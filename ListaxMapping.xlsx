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mc:AlternateContent xmlns:mc="http://schemas.openxmlformats.org/markup-compatibility/2006">
    <mc:Choice Requires="x15">
      <x15ac:absPath xmlns:x15ac="http://schemas.microsoft.com/office/spreadsheetml/2010/11/ac" url="Y:\RM_Insurance\Aladdin - Stress Test\Lista Scenari Stress Test\"/>
    </mc:Choice>
  </mc:AlternateContent>
  <xr:revisionPtr revIDLastSave="0" documentId="13_ncr:1_{744BF810-F920-49CD-AD44-FE9DFC43EC26}" xr6:coauthVersionLast="47" xr6:coauthVersionMax="47" xr10:uidLastSave="{00000000-0000-0000-0000-000000000000}"/>
  <bookViews>
    <workbookView xWindow="-120" yWindow="-120" windowWidth="29040" windowHeight="15720" activeTab="2" xr2:uid="{00000000-000D-0000-FFFF-FFFF00000000}"/>
  </bookViews>
  <sheets>
    <sheet name="MAIN" sheetId="1" r:id="rId1"/>
    <sheet name="Sheet11" sheetId="11" state="hidden" r:id="rId2"/>
    <sheet name="Pivot" sheetId="18" r:id="rId3"/>
    <sheet name="Mapping DEF" sheetId="13" r:id="rId4"/>
  </sheets>
  <externalReferences>
    <externalReference r:id="rId5"/>
  </externalReferences>
  <definedNames>
    <definedName name="_xlnm._FilterDatabase" localSheetId="0" hidden="1">MAIN!$A$1:$P$1794</definedName>
  </definedNames>
  <calcPr calcId="191029"/>
  <pivotCaches>
    <pivotCache cacheId="2"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92" i="1" l="1"/>
  <c r="G565" i="1"/>
  <c r="L3" i="11"/>
  <c r="M3" i="11" s="1"/>
  <c r="L4" i="11"/>
  <c r="L5" i="11"/>
  <c r="M5" i="11" s="1"/>
  <c r="L6" i="11"/>
  <c r="M6" i="11" s="1"/>
  <c r="L7" i="11"/>
  <c r="M7" i="11" s="1"/>
  <c r="L8" i="11"/>
  <c r="M8" i="11" s="1"/>
  <c r="L10" i="11"/>
  <c r="L11" i="11"/>
  <c r="M11" i="11" s="1"/>
  <c r="L12" i="11"/>
  <c r="M12" i="11" s="1"/>
  <c r="L13" i="11"/>
  <c r="M13" i="11" s="1"/>
  <c r="L14" i="11"/>
  <c r="L15" i="11"/>
  <c r="M15" i="11" s="1"/>
  <c r="L16" i="11"/>
  <c r="M16" i="11" s="1"/>
  <c r="L17" i="11"/>
  <c r="M17" i="11" s="1"/>
  <c r="L18" i="11"/>
  <c r="L19" i="11"/>
  <c r="M19" i="11" s="1"/>
  <c r="L21" i="11"/>
  <c r="M21" i="11" s="1"/>
  <c r="L22" i="11"/>
  <c r="M22" i="11" s="1"/>
  <c r="L23" i="11"/>
  <c r="M23" i="11" s="1"/>
  <c r="L24" i="11"/>
  <c r="M24" i="11" s="1"/>
  <c r="L25" i="11"/>
  <c r="L26" i="11"/>
  <c r="M26" i="11" s="1"/>
  <c r="L27" i="11"/>
  <c r="L28" i="11"/>
  <c r="L29" i="11"/>
  <c r="M29" i="11" s="1"/>
  <c r="L30" i="11"/>
  <c r="M30" i="11" s="1"/>
  <c r="L31" i="11"/>
  <c r="L32" i="11"/>
  <c r="M32" i="11" s="1"/>
  <c r="L33" i="11"/>
  <c r="L34" i="11"/>
  <c r="L35" i="11"/>
  <c r="M35" i="11" s="1"/>
  <c r="L36" i="11"/>
  <c r="M36" i="11" s="1"/>
  <c r="L37" i="11"/>
  <c r="M37" i="11" s="1"/>
  <c r="L38" i="11"/>
  <c r="L39" i="11"/>
  <c r="M39" i="11" s="1"/>
  <c r="L40" i="11"/>
  <c r="M40" i="11" s="1"/>
  <c r="L41" i="11"/>
  <c r="M41" i="11" s="1"/>
  <c r="L42" i="11"/>
  <c r="M42" i="11" s="1"/>
  <c r="L43" i="11"/>
  <c r="M43" i="11" s="1"/>
  <c r="L44" i="11"/>
  <c r="L45" i="11"/>
  <c r="L46" i="11"/>
  <c r="L47" i="11"/>
  <c r="M47" i="11" s="1"/>
  <c r="L49" i="11"/>
  <c r="L51" i="11"/>
  <c r="L52" i="11"/>
  <c r="L53" i="11"/>
  <c r="M53" i="11" s="1"/>
  <c r="L54" i="11"/>
  <c r="L55" i="11"/>
  <c r="L56" i="11"/>
  <c r="M56" i="11" s="1"/>
  <c r="L57" i="11"/>
  <c r="L58" i="11"/>
  <c r="M58" i="11" s="1"/>
  <c r="L59" i="11"/>
  <c r="L60" i="11"/>
  <c r="L61" i="11"/>
  <c r="M61" i="11" s="1"/>
  <c r="L62" i="11"/>
  <c r="L63" i="11"/>
  <c r="L64" i="11"/>
  <c r="M64" i="11" s="1"/>
  <c r="L65" i="11"/>
  <c r="M65" i="11" s="1"/>
  <c r="L66" i="11"/>
  <c r="L67" i="11"/>
  <c r="M67" i="11" s="1"/>
  <c r="L68" i="11"/>
  <c r="M68" i="11" s="1"/>
  <c r="L69" i="11"/>
  <c r="L70" i="11"/>
  <c r="L71" i="11"/>
  <c r="L72" i="11"/>
  <c r="M72" i="11" s="1"/>
  <c r="L2" i="11"/>
  <c r="M2" i="11" s="1"/>
  <c r="B57" i="11"/>
  <c r="B56" i="11"/>
  <c r="L50" i="11"/>
  <c r="B49" i="11"/>
  <c r="L48" i="11" s="1"/>
  <c r="M48" i="11" s="1"/>
  <c r="B19" i="11"/>
  <c r="L20" i="11" s="1"/>
  <c r="B9" i="11"/>
  <c r="L9" i="11" s="1"/>
  <c r="M9" i="11" s="1"/>
  <c r="M60" i="11" l="1"/>
  <c r="M34" i="11"/>
  <c r="M71" i="11"/>
  <c r="M59" i="11"/>
  <c r="M33" i="11"/>
  <c r="M70" i="11"/>
  <c r="M31" i="11"/>
  <c r="M57" i="11"/>
  <c r="M44" i="11"/>
  <c r="M55" i="11"/>
  <c r="M54" i="11"/>
  <c r="M52" i="11"/>
  <c r="M38" i="11"/>
  <c r="M14" i="11"/>
  <c r="M51" i="11"/>
  <c r="M49" i="11"/>
  <c r="I22" i="1" l="1"/>
  <c r="I23" i="1"/>
  <c r="I24" i="1"/>
  <c r="I26" i="1"/>
  <c r="I27" i="1"/>
  <c r="I28" i="1"/>
  <c r="I29" i="1"/>
  <c r="I34" i="1"/>
  <c r="I35" i="1"/>
  <c r="I36" i="1"/>
  <c r="I59" i="1"/>
  <c r="I60" i="1"/>
  <c r="I63" i="1"/>
  <c r="I65" i="1"/>
  <c r="I66" i="1"/>
  <c r="I67" i="1"/>
  <c r="I68" i="1"/>
  <c r="I70" i="1"/>
  <c r="I71" i="1"/>
  <c r="I74" i="1"/>
  <c r="I76" i="1"/>
  <c r="I77" i="1"/>
  <c r="I78" i="1"/>
  <c r="I79" i="1"/>
  <c r="I81" i="1"/>
  <c r="I82" i="1"/>
  <c r="I83" i="1"/>
  <c r="I91" i="1"/>
  <c r="I93" i="1"/>
  <c r="I95" i="1"/>
  <c r="I101" i="1"/>
  <c r="I103" i="1"/>
  <c r="I104" i="1"/>
  <c r="I105" i="1"/>
  <c r="I112" i="1"/>
  <c r="I115" i="1"/>
  <c r="I116" i="1"/>
  <c r="I117" i="1"/>
  <c r="I120" i="1"/>
  <c r="I123" i="1"/>
  <c r="I128" i="1"/>
  <c r="I129" i="1"/>
  <c r="I130" i="1"/>
  <c r="I134" i="1"/>
  <c r="I141" i="1"/>
  <c r="I143" i="1"/>
  <c r="I144" i="1"/>
  <c r="I152" i="1"/>
  <c r="I153" i="1"/>
  <c r="I154" i="1"/>
  <c r="I159" i="1"/>
  <c r="I160" i="1"/>
  <c r="I168" i="1"/>
  <c r="I174" i="1"/>
  <c r="I183" i="1"/>
  <c r="I187" i="1"/>
  <c r="I192" i="1"/>
  <c r="I194" i="1"/>
  <c r="I195" i="1"/>
  <c r="I196" i="1"/>
  <c r="I197" i="1"/>
  <c r="I198" i="1"/>
  <c r="I199" i="1"/>
  <c r="I206" i="1"/>
  <c r="I207" i="1"/>
  <c r="I208" i="1"/>
  <c r="I209" i="1"/>
  <c r="I210" i="1"/>
  <c r="I220" i="1"/>
  <c r="I221" i="1"/>
  <c r="I224" i="1"/>
  <c r="I225" i="1"/>
  <c r="I230" i="1"/>
  <c r="I231" i="1"/>
  <c r="I240" i="1"/>
  <c r="I241" i="1"/>
  <c r="I242" i="1"/>
  <c r="I243" i="1"/>
  <c r="I251" i="1"/>
  <c r="I252" i="1"/>
  <c r="I253" i="1"/>
  <c r="I255" i="1"/>
  <c r="I274" i="1"/>
  <c r="I286" i="1"/>
  <c r="I289" i="1"/>
  <c r="I291" i="1"/>
  <c r="I296" i="1"/>
  <c r="I299" i="1"/>
  <c r="I302" i="1"/>
  <c r="I303" i="1"/>
  <c r="I310" i="1"/>
  <c r="I313" i="1"/>
  <c r="I314" i="1"/>
  <c r="I315" i="1"/>
  <c r="I316" i="1"/>
  <c r="I317" i="1"/>
  <c r="I318" i="1"/>
  <c r="I330" i="1"/>
  <c r="I338" i="1"/>
  <c r="I345" i="1"/>
  <c r="I354" i="1"/>
  <c r="I356" i="1"/>
  <c r="I357" i="1"/>
  <c r="I358" i="1"/>
  <c r="I359" i="1"/>
  <c r="I362" i="1"/>
  <c r="I363" i="1"/>
  <c r="I369" i="1"/>
  <c r="I371" i="1"/>
  <c r="I372" i="1"/>
  <c r="I379" i="1"/>
  <c r="I383" i="1"/>
  <c r="I389" i="1"/>
  <c r="I391" i="1"/>
  <c r="I392" i="1"/>
  <c r="I393" i="1"/>
  <c r="I396" i="1"/>
  <c r="I397" i="1"/>
  <c r="I403" i="1"/>
  <c r="I412" i="1"/>
  <c r="I423" i="1"/>
  <c r="I431" i="1"/>
  <c r="I432" i="1"/>
  <c r="I436" i="1"/>
  <c r="I446" i="1"/>
  <c r="I447" i="1"/>
  <c r="I448" i="1"/>
  <c r="I451" i="1"/>
  <c r="I465" i="1"/>
  <c r="I484" i="1"/>
  <c r="I485" i="1"/>
  <c r="I486" i="1"/>
  <c r="I492" i="1"/>
  <c r="K492" i="1" s="1"/>
  <c r="M492" i="1" s="1"/>
  <c r="N492" i="1" s="1"/>
  <c r="I498" i="1"/>
  <c r="I503" i="1"/>
  <c r="I506" i="1"/>
  <c r="I507" i="1"/>
  <c r="I511" i="1"/>
  <c r="I512" i="1"/>
  <c r="I518" i="1"/>
  <c r="I526" i="1"/>
  <c r="I530" i="1"/>
  <c r="I534" i="1"/>
  <c r="I535" i="1"/>
  <c r="I536" i="1"/>
  <c r="I539" i="1"/>
  <c r="I540" i="1"/>
  <c r="I542" i="1"/>
  <c r="I545" i="1"/>
  <c r="I550" i="1"/>
  <c r="I562" i="1"/>
  <c r="I565" i="1"/>
  <c r="K565" i="1" s="1"/>
  <c r="M565" i="1" s="1"/>
  <c r="N565" i="1" s="1"/>
  <c r="I572" i="1"/>
  <c r="I573" i="1"/>
  <c r="I576" i="1"/>
  <c r="I580" i="1"/>
  <c r="I591" i="1"/>
  <c r="I592" i="1"/>
  <c r="I593" i="1"/>
  <c r="I594" i="1"/>
  <c r="I602" i="1"/>
  <c r="I603" i="1"/>
  <c r="I614" i="1"/>
  <c r="I622" i="1"/>
  <c r="I623" i="1"/>
  <c r="I624" i="1"/>
  <c r="I625" i="1"/>
  <c r="I637" i="1"/>
  <c r="I638" i="1"/>
  <c r="I639" i="1"/>
  <c r="I646" i="1"/>
  <c r="I647" i="1"/>
  <c r="I648" i="1"/>
  <c r="I660" i="1"/>
  <c r="I670" i="1"/>
  <c r="I671" i="1"/>
  <c r="I680" i="1"/>
  <c r="I682" i="1"/>
  <c r="I684" i="1"/>
  <c r="I688" i="1"/>
  <c r="I689" i="1"/>
  <c r="I690" i="1"/>
  <c r="I691" i="1"/>
  <c r="I692" i="1"/>
  <c r="I693" i="1"/>
  <c r="I695" i="1"/>
  <c r="I698" i="1"/>
  <c r="I701" i="1"/>
  <c r="I702" i="1"/>
  <c r="I703" i="1"/>
  <c r="I704" i="1"/>
  <c r="I705" i="1"/>
  <c r="I706" i="1"/>
  <c r="I714" i="1"/>
  <c r="I715" i="1"/>
  <c r="I718" i="1"/>
  <c r="I719" i="1"/>
  <c r="I720" i="1"/>
  <c r="I721" i="1"/>
  <c r="I732" i="1"/>
  <c r="I736" i="1"/>
  <c r="I745" i="1"/>
  <c r="I748" i="1"/>
  <c r="I753" i="1"/>
  <c r="I759" i="1"/>
  <c r="I762" i="1"/>
  <c r="I767" i="1"/>
  <c r="I768" i="1"/>
  <c r="I769" i="1"/>
  <c r="I773" i="1"/>
  <c r="I776" i="1"/>
  <c r="I777" i="1"/>
  <c r="I781" i="1"/>
  <c r="I782" i="1"/>
  <c r="I790" i="1"/>
  <c r="I791" i="1"/>
  <c r="I792" i="1"/>
  <c r="I793" i="1"/>
  <c r="I794" i="1"/>
  <c r="I799" i="1"/>
  <c r="I802" i="1"/>
  <c r="I805" i="1"/>
  <c r="I813" i="1"/>
  <c r="I814" i="1"/>
  <c r="I816" i="1"/>
  <c r="I825" i="1"/>
  <c r="I828" i="1"/>
  <c r="I833" i="1"/>
  <c r="I835" i="1"/>
  <c r="I837" i="1"/>
  <c r="I838" i="1"/>
  <c r="I839" i="1"/>
  <c r="I844" i="1"/>
  <c r="I846" i="1"/>
  <c r="I849" i="1"/>
  <c r="I851" i="1"/>
  <c r="I854" i="1"/>
  <c r="I855" i="1"/>
  <c r="I856" i="1"/>
  <c r="I862" i="1"/>
  <c r="I864" i="1"/>
  <c r="I867" i="1"/>
  <c r="I869" i="1"/>
  <c r="I881" i="1"/>
  <c r="I882" i="1"/>
  <c r="I883" i="1"/>
  <c r="I887" i="1"/>
  <c r="I898" i="1"/>
  <c r="I901" i="1"/>
  <c r="I903" i="1"/>
  <c r="I910" i="1"/>
  <c r="I911" i="1"/>
  <c r="I921" i="1"/>
  <c r="I929" i="1"/>
  <c r="I932" i="1"/>
  <c r="I933" i="1"/>
  <c r="I939" i="1"/>
  <c r="I941" i="1"/>
  <c r="I942" i="1"/>
  <c r="I943" i="1"/>
  <c r="I944" i="1"/>
  <c r="I952" i="1"/>
  <c r="I953" i="1"/>
  <c r="I959" i="1"/>
  <c r="I960" i="1"/>
  <c r="I965" i="1"/>
  <c r="I967" i="1"/>
  <c r="I972" i="1"/>
  <c r="I974" i="1"/>
  <c r="I976" i="1"/>
  <c r="I977" i="1"/>
  <c r="I978" i="1"/>
  <c r="I979" i="1"/>
  <c r="I983" i="1"/>
  <c r="I987" i="1"/>
  <c r="I990" i="1"/>
  <c r="I991" i="1"/>
  <c r="I992" i="1"/>
  <c r="I997" i="1"/>
  <c r="I999" i="1"/>
  <c r="I1001" i="1"/>
  <c r="I1002" i="1"/>
  <c r="I1011" i="1"/>
  <c r="I1012" i="1"/>
  <c r="I1013" i="1"/>
  <c r="I1018" i="1"/>
  <c r="I1020" i="1"/>
  <c r="I1027" i="1"/>
  <c r="I1029" i="1"/>
  <c r="I1053" i="1"/>
  <c r="I1063" i="1"/>
  <c r="I1064" i="1"/>
  <c r="I1065" i="1"/>
  <c r="I1073" i="1"/>
  <c r="I1080" i="1"/>
  <c r="I1081" i="1"/>
  <c r="I1090" i="1"/>
  <c r="I1097" i="1"/>
  <c r="I1100" i="1"/>
  <c r="I1114" i="1"/>
  <c r="I1115" i="1"/>
  <c r="I1116" i="1"/>
  <c r="I1118" i="1"/>
  <c r="I1119" i="1"/>
  <c r="I1120" i="1"/>
  <c r="I1121" i="1"/>
  <c r="I1122" i="1"/>
  <c r="I1123" i="1"/>
  <c r="I1125" i="1"/>
  <c r="I1126" i="1"/>
  <c r="I1127" i="1"/>
  <c r="I1128" i="1"/>
  <c r="I1129" i="1"/>
  <c r="I1131" i="1"/>
  <c r="I1132" i="1"/>
  <c r="I1137" i="1"/>
  <c r="I1145" i="1"/>
  <c r="I1148" i="1"/>
  <c r="I1169" i="1"/>
  <c r="I1173" i="1"/>
  <c r="I1176" i="1"/>
  <c r="I1177" i="1"/>
  <c r="I1181" i="1"/>
  <c r="I1183" i="1"/>
  <c r="I1185" i="1"/>
  <c r="I1188" i="1"/>
  <c r="I1189" i="1"/>
  <c r="I1193" i="1"/>
  <c r="I1194" i="1"/>
  <c r="I1196" i="1"/>
  <c r="I1197" i="1"/>
  <c r="I1202" i="1"/>
  <c r="I1203" i="1"/>
  <c r="I1213" i="1"/>
  <c r="I1217" i="1"/>
  <c r="I1219" i="1"/>
  <c r="I1223" i="1"/>
  <c r="I1225" i="1"/>
  <c r="I1226" i="1"/>
  <c r="I1233" i="1"/>
  <c r="I1236" i="1"/>
  <c r="I1239" i="1"/>
  <c r="I1241" i="1"/>
  <c r="I1242" i="1"/>
  <c r="I1243" i="1"/>
  <c r="I1244" i="1"/>
  <c r="I1245" i="1"/>
  <c r="I1249" i="1"/>
  <c r="I1255" i="1"/>
  <c r="I1256" i="1"/>
  <c r="I1264" i="1"/>
  <c r="I1278" i="1"/>
  <c r="I1279" i="1"/>
  <c r="I1288" i="1"/>
  <c r="I1290" i="1"/>
  <c r="I1295" i="1"/>
  <c r="I1306" i="1"/>
  <c r="I1344" i="1"/>
  <c r="I1348" i="1"/>
  <c r="I1356" i="1"/>
  <c r="I1367" i="1"/>
  <c r="I1369" i="1"/>
  <c r="I1374" i="1"/>
  <c r="I1375" i="1"/>
  <c r="I1378" i="1"/>
  <c r="I1380" i="1"/>
  <c r="I1385" i="1"/>
  <c r="I1390" i="1"/>
  <c r="I1392" i="1"/>
  <c r="I1393" i="1"/>
  <c r="I1394" i="1"/>
  <c r="I1397" i="1"/>
  <c r="I1398" i="1"/>
  <c r="I1399" i="1"/>
  <c r="I1402" i="1"/>
  <c r="I1404" i="1"/>
  <c r="I1415" i="1"/>
  <c r="I1416" i="1"/>
  <c r="I1417" i="1"/>
  <c r="I1425" i="1"/>
  <c r="I1429" i="1"/>
  <c r="I1447" i="1"/>
  <c r="I1452" i="1"/>
  <c r="I1453" i="1"/>
  <c r="I1459" i="1"/>
  <c r="I1460" i="1"/>
  <c r="I1465" i="1"/>
  <c r="I1469" i="1"/>
  <c r="I1471" i="1"/>
  <c r="I1472" i="1"/>
  <c r="I1473" i="1"/>
  <c r="I1474" i="1"/>
  <c r="I1481" i="1"/>
  <c r="I1482" i="1"/>
  <c r="I1483" i="1"/>
  <c r="I1494" i="1"/>
  <c r="I1503" i="1"/>
  <c r="I1505" i="1"/>
  <c r="I1506" i="1"/>
  <c r="I1512" i="1"/>
  <c r="I1517" i="1"/>
  <c r="I1518" i="1"/>
  <c r="I1519" i="1"/>
  <c r="I1520" i="1"/>
  <c r="I1521" i="1"/>
  <c r="I1535" i="1"/>
  <c r="I1536" i="1"/>
  <c r="I1537" i="1"/>
  <c r="I1538" i="1"/>
  <c r="I1539" i="1"/>
  <c r="I1540" i="1"/>
  <c r="I1541" i="1"/>
  <c r="I1542" i="1"/>
  <c r="I1550" i="1"/>
  <c r="I1561" i="1"/>
  <c r="I1562" i="1"/>
  <c r="I1563" i="1"/>
  <c r="I1564" i="1"/>
  <c r="I1566" i="1"/>
  <c r="I1575" i="1"/>
  <c r="I1576" i="1"/>
  <c r="I1577" i="1"/>
  <c r="I1578" i="1"/>
  <c r="I1590" i="1"/>
  <c r="I1591" i="1"/>
  <c r="I1592" i="1"/>
  <c r="I1596" i="1"/>
  <c r="I1609" i="1"/>
  <c r="I1610" i="1"/>
  <c r="I1611" i="1"/>
  <c r="I1612" i="1"/>
  <c r="I1619" i="1"/>
  <c r="I1620" i="1"/>
  <c r="I1621" i="1"/>
  <c r="I1622" i="1"/>
  <c r="I1623" i="1"/>
  <c r="I1624" i="1"/>
  <c r="I1631" i="1"/>
  <c r="I1632" i="1"/>
  <c r="I1634" i="1"/>
  <c r="I1635" i="1"/>
  <c r="I1636" i="1"/>
  <c r="I1638" i="1"/>
  <c r="I1645" i="1"/>
  <c r="I1647" i="1"/>
  <c r="I1653" i="1"/>
  <c r="I1654" i="1"/>
  <c r="I1660" i="1"/>
  <c r="I1661" i="1"/>
  <c r="I1662" i="1"/>
  <c r="I1668" i="1"/>
  <c r="I1670" i="1"/>
  <c r="I1671" i="1"/>
  <c r="I1672" i="1"/>
  <c r="I1673" i="1"/>
  <c r="I1674" i="1"/>
  <c r="I1675" i="1"/>
  <c r="I1676" i="1"/>
  <c r="I1677" i="1"/>
  <c r="I1678" i="1"/>
  <c r="I1684" i="1"/>
  <c r="I1685" i="1"/>
  <c r="I1686" i="1"/>
  <c r="I1687" i="1"/>
  <c r="I1688" i="1"/>
  <c r="I1694" i="1"/>
  <c r="I1696" i="1"/>
  <c r="I1697" i="1"/>
  <c r="I1698" i="1"/>
  <c r="I1699" i="1"/>
  <c r="I1700" i="1"/>
  <c r="I1701" i="1"/>
  <c r="I1702" i="1"/>
  <c r="I1703" i="1"/>
  <c r="I1708" i="1"/>
  <c r="I1709" i="1"/>
  <c r="I1710" i="1"/>
  <c r="I1711" i="1"/>
  <c r="I1712" i="1"/>
  <c r="I1717" i="1"/>
  <c r="I1718" i="1"/>
  <c r="I1719" i="1"/>
  <c r="I1720" i="1"/>
  <c r="I1721" i="1"/>
  <c r="I1722" i="1"/>
  <c r="I1723" i="1"/>
  <c r="I1724" i="1"/>
  <c r="I1725" i="1"/>
  <c r="I1728" i="1"/>
  <c r="I1729" i="1"/>
  <c r="I1739" i="1"/>
  <c r="I1749" i="1"/>
  <c r="I1750" i="1"/>
  <c r="I1751" i="1"/>
  <c r="I1759" i="1"/>
  <c r="I1760" i="1"/>
  <c r="I1761" i="1"/>
  <c r="I1767" i="1"/>
  <c r="I1770" i="1"/>
  <c r="I1771" i="1"/>
  <c r="I1772" i="1"/>
  <c r="I1782" i="1"/>
  <c r="I1783" i="1"/>
  <c r="I1784" i="1"/>
  <c r="I1785" i="1"/>
  <c r="I1792" i="1"/>
  <c r="I1793" i="1"/>
  <c r="I1794" i="1"/>
  <c r="G1794" i="1"/>
  <c r="G1792" i="1"/>
  <c r="G1785" i="1"/>
  <c r="G1784" i="1"/>
  <c r="G1778" i="1"/>
  <c r="G1777" i="1"/>
  <c r="G1772" i="1"/>
  <c r="G1768" i="1"/>
  <c r="G1767" i="1"/>
  <c r="G1760" i="1"/>
  <c r="G1759" i="1"/>
  <c r="G1756" i="1"/>
  <c r="G1755" i="1"/>
  <c r="G1754" i="1"/>
  <c r="G1751" i="1"/>
  <c r="G1750" i="1"/>
  <c r="G1748" i="1"/>
  <c r="G1747" i="1"/>
  <c r="G1746" i="1"/>
  <c r="G1738" i="1"/>
  <c r="G1734" i="1"/>
  <c r="G1729" i="1"/>
  <c r="G1712" i="1"/>
  <c r="G1711" i="1"/>
  <c r="G1708" i="1"/>
  <c r="G1707" i="1"/>
  <c r="G1706" i="1"/>
  <c r="G1703" i="1"/>
  <c r="G1702" i="1"/>
  <c r="G1700" i="1"/>
  <c r="G1699" i="1"/>
  <c r="G1696" i="1"/>
  <c r="G1694" i="1"/>
  <c r="G1688" i="1"/>
  <c r="G1687" i="1"/>
  <c r="G1684" i="1"/>
  <c r="G1677" i="1"/>
  <c r="G1676" i="1"/>
  <c r="G1673" i="1"/>
  <c r="G1672" i="1"/>
  <c r="G1670" i="1"/>
  <c r="G1668" i="1"/>
  <c r="G1662" i="1"/>
  <c r="G1661" i="1"/>
  <c r="G1660" i="1"/>
  <c r="G1658" i="1"/>
  <c r="G1654" i="1"/>
  <c r="G1653" i="1"/>
  <c r="G1651" i="1"/>
  <c r="G1650" i="1"/>
  <c r="G1647" i="1"/>
  <c r="G1646" i="1"/>
  <c r="G1645" i="1"/>
  <c r="G1644" i="1"/>
  <c r="G1643" i="1"/>
  <c r="G1642" i="1"/>
  <c r="G1638" i="1"/>
  <c r="G1637" i="1"/>
  <c r="G1636" i="1"/>
  <c r="G1634" i="1"/>
  <c r="G1632" i="1"/>
  <c r="G1631" i="1"/>
  <c r="G1630" i="1"/>
  <c r="G1629" i="1"/>
  <c r="G1624" i="1"/>
  <c r="G1620" i="1"/>
  <c r="G1619" i="1"/>
  <c r="G1618" i="1"/>
  <c r="G1612" i="1"/>
  <c r="G1611" i="1"/>
  <c r="G1610" i="1"/>
  <c r="G1609" i="1"/>
  <c r="G1606" i="1"/>
  <c r="G1605" i="1"/>
  <c r="G1604" i="1"/>
  <c r="G1603" i="1"/>
  <c r="G1602" i="1"/>
  <c r="G1596" i="1"/>
  <c r="G1592" i="1"/>
  <c r="G1591" i="1"/>
  <c r="G1590" i="1"/>
  <c r="G1586" i="1"/>
  <c r="G1585" i="1"/>
  <c r="G1584" i="1"/>
  <c r="G1583" i="1"/>
  <c r="G1576" i="1"/>
  <c r="G1575" i="1"/>
  <c r="G1574" i="1"/>
  <c r="G1571" i="1"/>
  <c r="G1570" i="1"/>
  <c r="G1566" i="1"/>
  <c r="G1563" i="1"/>
  <c r="G1562" i="1"/>
  <c r="G1561" i="1"/>
  <c r="G1560" i="1"/>
  <c r="G1548" i="1"/>
  <c r="G1542" i="1"/>
  <c r="G1536" i="1"/>
  <c r="G1535" i="1"/>
  <c r="G1534" i="1"/>
  <c r="G1533" i="1"/>
  <c r="G1521" i="1"/>
  <c r="G1520" i="1"/>
  <c r="G1519" i="1"/>
  <c r="G1518" i="1"/>
  <c r="G1517" i="1"/>
  <c r="G1512" i="1"/>
  <c r="G1506" i="1"/>
  <c r="G1505" i="1"/>
  <c r="G1503" i="1"/>
  <c r="G1500" i="1"/>
  <c r="G1496" i="1"/>
  <c r="G1495" i="1"/>
  <c r="G1494" i="1"/>
  <c r="G1483" i="1"/>
  <c r="G1482" i="1"/>
  <c r="G1474" i="1"/>
  <c r="G1473" i="1"/>
  <c r="G1472" i="1"/>
  <c r="G1471" i="1"/>
  <c r="G1468" i="1"/>
  <c r="G1467" i="1"/>
  <c r="G1465" i="1"/>
  <c r="G1460" i="1"/>
  <c r="G1454" i="1"/>
  <c r="G1453" i="1"/>
  <c r="G1452" i="1"/>
  <c r="G1447" i="1"/>
  <c r="G1440" i="1"/>
  <c r="G1439" i="1"/>
  <c r="G1429" i="1"/>
  <c r="G1427" i="1"/>
  <c r="G1426" i="1"/>
  <c r="G1425" i="1"/>
  <c r="G1424" i="1"/>
  <c r="G1417" i="1"/>
  <c r="G1416" i="1"/>
  <c r="G1415" i="1"/>
  <c r="G1413" i="1"/>
  <c r="G1404" i="1"/>
  <c r="G1402" i="1"/>
  <c r="G1401" i="1"/>
  <c r="G1399" i="1"/>
  <c r="G1398" i="1"/>
  <c r="G1397" i="1"/>
  <c r="G1394" i="1"/>
  <c r="G1393" i="1"/>
  <c r="G1392" i="1"/>
  <c r="G1391" i="1"/>
  <c r="G1390" i="1"/>
  <c r="G1389" i="1"/>
  <c r="G1385" i="1"/>
  <c r="G1382" i="1"/>
  <c r="G1380" i="1"/>
  <c r="G1378" i="1"/>
  <c r="G1374" i="1"/>
  <c r="G1372" i="1"/>
  <c r="G1370" i="1"/>
  <c r="G1369" i="1"/>
  <c r="G1367" i="1"/>
  <c r="G1360" i="1"/>
  <c r="G1358" i="1"/>
  <c r="G1356" i="1"/>
  <c r="G1348" i="1"/>
  <c r="G1344" i="1"/>
  <c r="G1333" i="1"/>
  <c r="G1323" i="1"/>
  <c r="G1322" i="1"/>
  <c r="G1315" i="1"/>
  <c r="G1314" i="1"/>
  <c r="G1306" i="1"/>
  <c r="G1303" i="1"/>
  <c r="G1295" i="1"/>
  <c r="G1291" i="1"/>
  <c r="G1290" i="1"/>
  <c r="G1288" i="1"/>
  <c r="G1279" i="1"/>
  <c r="G1278" i="1"/>
  <c r="G1269" i="1"/>
  <c r="G1268" i="1"/>
  <c r="G1261" i="1"/>
  <c r="G1260" i="1"/>
  <c r="G1259" i="1"/>
  <c r="G1256" i="1"/>
  <c r="G1255" i="1"/>
  <c r="G1252" i="1"/>
  <c r="G1249" i="1"/>
  <c r="G1244" i="1"/>
  <c r="G1243" i="1"/>
  <c r="G1242" i="1"/>
  <c r="G1241" i="1"/>
  <c r="G1240" i="1"/>
  <c r="G1239" i="1"/>
  <c r="G1236" i="1"/>
  <c r="G1234" i="1"/>
  <c r="G1233" i="1"/>
  <c r="G1232" i="1"/>
  <c r="G1231" i="1"/>
  <c r="G1226" i="1"/>
  <c r="G1225" i="1"/>
  <c r="G1224" i="1"/>
  <c r="G1223" i="1"/>
  <c r="G1222" i="1"/>
  <c r="G1221" i="1"/>
  <c r="G1217" i="1"/>
  <c r="G1214" i="1"/>
  <c r="G1213" i="1"/>
  <c r="G1212" i="1"/>
  <c r="G1211" i="1"/>
  <c r="G1210" i="1"/>
  <c r="G1209" i="1"/>
  <c r="G1201" i="1"/>
  <c r="G1195" i="1"/>
  <c r="G1194" i="1"/>
  <c r="G1186" i="1"/>
  <c r="G1185" i="1"/>
  <c r="G1183" i="1"/>
  <c r="G1180" i="1"/>
  <c r="G1175" i="1"/>
  <c r="G1173" i="1"/>
  <c r="G1169" i="1"/>
  <c r="G1166" i="1"/>
  <c r="G1148" i="1"/>
  <c r="G1145" i="1"/>
  <c r="G1137" i="1"/>
  <c r="G1132" i="1"/>
  <c r="G1131" i="1"/>
  <c r="G1128" i="1"/>
  <c r="G1127" i="1"/>
  <c r="G1126" i="1"/>
  <c r="G1125" i="1"/>
  <c r="G1121" i="1"/>
  <c r="G1120" i="1"/>
  <c r="G1119" i="1"/>
  <c r="G1118" i="1"/>
  <c r="G1115" i="1"/>
  <c r="G1114" i="1"/>
  <c r="G1113" i="1"/>
  <c r="G1110" i="1"/>
  <c r="G1109" i="1"/>
  <c r="G1104" i="1"/>
  <c r="G1100" i="1"/>
  <c r="G1099" i="1"/>
  <c r="G1097" i="1"/>
  <c r="G1094" i="1"/>
  <c r="G1093" i="1"/>
  <c r="G1090" i="1"/>
  <c r="G1085" i="1"/>
  <c r="G1081" i="1"/>
  <c r="G1080" i="1"/>
  <c r="G1078" i="1"/>
  <c r="G1073" i="1"/>
  <c r="G1065" i="1"/>
  <c r="G1064" i="1"/>
  <c r="G1063" i="1"/>
  <c r="G1058" i="1"/>
  <c r="G1057" i="1"/>
  <c r="G1053" i="1"/>
  <c r="G1046" i="1"/>
  <c r="G1045" i="1"/>
  <c r="G1039" i="1"/>
  <c r="G1035" i="1"/>
  <c r="G1034" i="1"/>
  <c r="G1033" i="1"/>
  <c r="G1027" i="1"/>
  <c r="G1026" i="1"/>
  <c r="G1018" i="1"/>
  <c r="G1017" i="1"/>
  <c r="G1012" i="1"/>
  <c r="G1011" i="1"/>
  <c r="G1009" i="1"/>
  <c r="G1007" i="1"/>
  <c r="G1002" i="1"/>
  <c r="G1001" i="1"/>
  <c r="G999" i="1"/>
  <c r="G997" i="1"/>
  <c r="G992" i="1"/>
  <c r="G991" i="1"/>
  <c r="G990" i="1"/>
  <c r="G987" i="1"/>
  <c r="G983" i="1"/>
  <c r="G979" i="1"/>
  <c r="G978" i="1"/>
  <c r="G977" i="1"/>
  <c r="G976" i="1"/>
  <c r="G974" i="1"/>
  <c r="G972" i="1"/>
  <c r="G966" i="1"/>
  <c r="G965" i="1"/>
  <c r="G957" i="1"/>
  <c r="G956" i="1"/>
  <c r="G953" i="1"/>
  <c r="G952" i="1"/>
  <c r="G949" i="1"/>
  <c r="G941" i="1"/>
  <c r="G940" i="1"/>
  <c r="G939" i="1"/>
  <c r="G929" i="1"/>
  <c r="G928" i="1"/>
  <c r="G927" i="1"/>
  <c r="G926" i="1"/>
  <c r="G925" i="1"/>
  <c r="G921" i="1"/>
  <c r="G915" i="1"/>
  <c r="G911" i="1"/>
  <c r="G910" i="1"/>
  <c r="G909" i="1"/>
  <c r="G903" i="1"/>
  <c r="G901" i="1"/>
  <c r="G898" i="1"/>
  <c r="G895" i="1"/>
  <c r="G887" i="1"/>
  <c r="G883" i="1"/>
  <c r="G882" i="1"/>
  <c r="G881" i="1"/>
  <c r="G879" i="1"/>
  <c r="G878" i="1"/>
  <c r="G870" i="1"/>
  <c r="G869" i="1"/>
  <c r="G867" i="1"/>
  <c r="G864" i="1"/>
  <c r="G862" i="1"/>
  <c r="G860" i="1"/>
  <c r="G855" i="1"/>
  <c r="G854" i="1"/>
  <c r="G852" i="1"/>
  <c r="G851" i="1"/>
  <c r="G849" i="1"/>
  <c r="G846" i="1"/>
  <c r="G844" i="1"/>
  <c r="G843" i="1"/>
  <c r="G839" i="1"/>
  <c r="G838" i="1"/>
  <c r="G837" i="1"/>
  <c r="G835" i="1"/>
  <c r="G833" i="1"/>
  <c r="G832" i="1"/>
  <c r="G831" i="1"/>
  <c r="G828" i="1"/>
  <c r="G827" i="1"/>
  <c r="G825" i="1"/>
  <c r="G824" i="1"/>
  <c r="G816" i="1"/>
  <c r="G813" i="1"/>
  <c r="G812" i="1"/>
  <c r="G805" i="1"/>
  <c r="G802" i="1"/>
  <c r="G800" i="1"/>
  <c r="G799" i="1"/>
  <c r="G794" i="1"/>
  <c r="G792" i="1"/>
  <c r="G791" i="1"/>
  <c r="G790" i="1"/>
  <c r="G789" i="1"/>
  <c r="G782" i="1"/>
  <c r="G781" i="1"/>
  <c r="G779" i="1"/>
  <c r="G778" i="1"/>
  <c r="G777" i="1"/>
  <c r="G776" i="1"/>
  <c r="G774" i="1"/>
  <c r="G773" i="1"/>
  <c r="G769" i="1"/>
  <c r="G768" i="1"/>
  <c r="G767" i="1"/>
  <c r="G765" i="1"/>
  <c r="G762" i="1"/>
  <c r="G754" i="1"/>
  <c r="G753" i="1"/>
  <c r="G749" i="1"/>
  <c r="G748" i="1"/>
  <c r="G742" i="1"/>
  <c r="G733" i="1"/>
  <c r="G732" i="1"/>
  <c r="G729" i="1"/>
  <c r="G728" i="1"/>
  <c r="G721" i="1"/>
  <c r="G720" i="1"/>
  <c r="G719" i="1"/>
  <c r="G718" i="1"/>
  <c r="G715" i="1"/>
  <c r="G714" i="1"/>
  <c r="G711" i="1"/>
  <c r="G707" i="1"/>
  <c r="G706" i="1"/>
  <c r="G705" i="1"/>
  <c r="G704" i="1"/>
  <c r="G703" i="1"/>
  <c r="G701" i="1"/>
  <c r="G698" i="1"/>
  <c r="G695" i="1"/>
  <c r="G692" i="1"/>
  <c r="G691" i="1"/>
  <c r="G688" i="1"/>
  <c r="G685" i="1"/>
  <c r="G684" i="1"/>
  <c r="G677" i="1"/>
  <c r="G675" i="1"/>
  <c r="G666" i="1"/>
  <c r="G664" i="1"/>
  <c r="G655" i="1"/>
  <c r="G654" i="1"/>
  <c r="G652" i="1"/>
  <c r="G644" i="1"/>
  <c r="G643" i="1"/>
  <c r="G638" i="1"/>
  <c r="G635" i="1"/>
  <c r="G633" i="1"/>
  <c r="G632" i="1"/>
  <c r="G624" i="1"/>
  <c r="G620" i="1"/>
  <c r="G619" i="1"/>
  <c r="G614" i="1"/>
  <c r="G609" i="1"/>
  <c r="G607" i="1"/>
  <c r="G603" i="1"/>
  <c r="G602" i="1"/>
  <c r="G597" i="1"/>
  <c r="G592" i="1"/>
  <c r="G587" i="1"/>
  <c r="G585" i="1"/>
  <c r="G583" i="1"/>
  <c r="G580" i="1"/>
  <c r="G576" i="1"/>
  <c r="G573" i="1"/>
  <c r="G562" i="1"/>
  <c r="G561" i="1"/>
  <c r="G560" i="1"/>
  <c r="G551" i="1"/>
  <c r="G550" i="1"/>
  <c r="G549" i="1"/>
  <c r="G542" i="1"/>
  <c r="G534" i="1"/>
  <c r="G530" i="1"/>
  <c r="G518" i="1"/>
  <c r="G517" i="1"/>
  <c r="G516" i="1"/>
  <c r="G503" i="1"/>
  <c r="G502" i="1"/>
  <c r="G499" i="1"/>
  <c r="G497" i="1"/>
  <c r="G491" i="1"/>
  <c r="G486" i="1"/>
  <c r="G472" i="1"/>
  <c r="G471" i="1"/>
  <c r="G470" i="1"/>
  <c r="G459" i="1"/>
  <c r="G458" i="1"/>
  <c r="G457" i="1"/>
  <c r="G456" i="1"/>
  <c r="G447" i="1"/>
  <c r="G446" i="1"/>
  <c r="G444" i="1"/>
  <c r="G436" i="1"/>
  <c r="G430" i="1"/>
  <c r="G429" i="1"/>
  <c r="G427" i="1"/>
  <c r="G422" i="1"/>
  <c r="G421" i="1"/>
  <c r="G415" i="1"/>
  <c r="G414" i="1"/>
  <c r="G412" i="1"/>
  <c r="G411" i="1"/>
  <c r="G405" i="1"/>
  <c r="G404" i="1"/>
  <c r="G403" i="1"/>
  <c r="G402" i="1"/>
  <c r="G393" i="1"/>
  <c r="G392" i="1"/>
  <c r="G391" i="1"/>
  <c r="G389" i="1"/>
  <c r="G388" i="1"/>
  <c r="G383" i="1"/>
  <c r="G382" i="1"/>
  <c r="G381" i="1"/>
  <c r="G379" i="1"/>
  <c r="G378" i="1"/>
  <c r="G371" i="1"/>
  <c r="G370" i="1"/>
  <c r="G369" i="1"/>
  <c r="G368" i="1"/>
  <c r="G359" i="1"/>
  <c r="G358" i="1"/>
  <c r="G357" i="1"/>
  <c r="G356" i="1"/>
  <c r="G354" i="1"/>
  <c r="G353" i="1"/>
  <c r="G348" i="1"/>
  <c r="G347" i="1"/>
  <c r="G345" i="1"/>
  <c r="G344" i="1"/>
  <c r="G330" i="1"/>
  <c r="G328" i="1"/>
  <c r="G327" i="1"/>
  <c r="G326" i="1"/>
  <c r="G325" i="1"/>
  <c r="G318" i="1"/>
  <c r="G317" i="1"/>
  <c r="G310" i="1"/>
  <c r="G306" i="1"/>
  <c r="G299" i="1"/>
  <c r="G296" i="1"/>
  <c r="G295" i="1"/>
  <c r="G290" i="1"/>
  <c r="G289" i="1"/>
  <c r="G287" i="1"/>
  <c r="G286" i="1"/>
  <c r="G285" i="1"/>
  <c r="G277" i="1"/>
  <c r="G274" i="1"/>
  <c r="G265" i="1"/>
  <c r="G257" i="1"/>
  <c r="G253" i="1"/>
  <c r="G251" i="1"/>
  <c r="G248" i="1"/>
  <c r="G242" i="1"/>
  <c r="G240" i="1"/>
  <c r="G231" i="1"/>
  <c r="G230" i="1"/>
  <c r="G225" i="1"/>
  <c r="G222" i="1"/>
  <c r="G220" i="1"/>
  <c r="G218" i="1"/>
  <c r="G217" i="1"/>
  <c r="G207" i="1"/>
  <c r="G206" i="1"/>
  <c r="G200" i="1"/>
  <c r="G197" i="1"/>
  <c r="G193" i="1"/>
  <c r="G192" i="1"/>
  <c r="G191" i="1"/>
  <c r="G185" i="1"/>
  <c r="G183" i="1"/>
  <c r="G182" i="1"/>
  <c r="G169" i="1"/>
  <c r="G168" i="1"/>
  <c r="G167" i="1"/>
  <c r="G166" i="1"/>
  <c r="G160" i="1"/>
  <c r="G159" i="1"/>
  <c r="G157" i="1"/>
  <c r="G154" i="1"/>
  <c r="G152" i="1"/>
  <c r="G150" i="1"/>
  <c r="G144" i="1"/>
  <c r="G143" i="1"/>
  <c r="G142" i="1"/>
  <c r="G141" i="1"/>
  <c r="G140" i="1"/>
  <c r="G139" i="1"/>
  <c r="G133" i="1"/>
  <c r="G128" i="1"/>
  <c r="G127" i="1"/>
  <c r="G126" i="1"/>
  <c r="G121" i="1"/>
  <c r="G120" i="1"/>
  <c r="G113" i="1"/>
  <c r="G112" i="1"/>
  <c r="G105" i="1"/>
  <c r="G104" i="1"/>
  <c r="G103" i="1"/>
  <c r="G102" i="1"/>
  <c r="G101" i="1"/>
  <c r="G93" i="1"/>
  <c r="G92" i="1"/>
  <c r="G91" i="1"/>
  <c r="G83" i="1"/>
  <c r="G82" i="1"/>
  <c r="G81" i="1"/>
  <c r="G78" i="1"/>
  <c r="G77" i="1"/>
  <c r="G76" i="1"/>
  <c r="G74" i="1"/>
  <c r="G66" i="1"/>
  <c r="G65" i="1"/>
  <c r="G63" i="1"/>
  <c r="G59" i="1"/>
  <c r="G55" i="1"/>
  <c r="G54" i="1"/>
  <c r="G50" i="1"/>
  <c r="G49" i="1"/>
  <c r="G48" i="1"/>
  <c r="G43" i="1"/>
  <c r="G42" i="1"/>
  <c r="G41" i="1"/>
  <c r="G32" i="1"/>
  <c r="G28" i="1"/>
  <c r="G26" i="1"/>
  <c r="G21" i="1"/>
  <c r="G19" i="1"/>
  <c r="G18" i="1"/>
  <c r="G17" i="1"/>
  <c r="G15" i="1"/>
  <c r="G14" i="1"/>
  <c r="G13" i="1"/>
  <c r="G12" i="1"/>
  <c r="G11" i="1"/>
  <c r="G10" i="1"/>
  <c r="K1712" i="1" l="1"/>
  <c r="M1712" i="1" s="1"/>
  <c r="N1712" i="1" s="1"/>
  <c r="K1673" i="1"/>
  <c r="M1673" i="1" s="1"/>
  <c r="N1673" i="1" s="1"/>
  <c r="K1561" i="1"/>
  <c r="M1561" i="1" s="1"/>
  <c r="N1561" i="1" s="1"/>
  <c r="K1661" i="1"/>
  <c r="M1661" i="1" s="1"/>
  <c r="N1661" i="1" s="1"/>
  <c r="K1700" i="1"/>
  <c r="M1700" i="1" s="1"/>
  <c r="N1700" i="1" s="1"/>
  <c r="K1654" i="1"/>
  <c r="M1654" i="1" s="1"/>
  <c r="N1654" i="1" s="1"/>
  <c r="K1590" i="1"/>
  <c r="M1590" i="1" s="1"/>
  <c r="N1590" i="1" s="1"/>
  <c r="K1751" i="1"/>
  <c r="M1751" i="1" s="1"/>
  <c r="N1751" i="1" s="1"/>
  <c r="K1711" i="1"/>
  <c r="M1711" i="1" s="1"/>
  <c r="N1711" i="1" s="1"/>
  <c r="K1699" i="1"/>
  <c r="M1699" i="1" s="1"/>
  <c r="N1699" i="1" s="1"/>
  <c r="K1672" i="1"/>
  <c r="M1672" i="1" s="1"/>
  <c r="N1672" i="1" s="1"/>
  <c r="K1653" i="1"/>
  <c r="M1653" i="1" s="1"/>
  <c r="N1653" i="1" s="1"/>
  <c r="K1631" i="1"/>
  <c r="M1631" i="1" s="1"/>
  <c r="N1631" i="1" s="1"/>
  <c r="K1611" i="1"/>
  <c r="M1611" i="1" s="1"/>
  <c r="N1611" i="1" s="1"/>
  <c r="K1472" i="1"/>
  <c r="M1472" i="1" s="1"/>
  <c r="N1472" i="1" s="1"/>
  <c r="K1750" i="1"/>
  <c r="M1750" i="1" s="1"/>
  <c r="N1750" i="1" s="1"/>
  <c r="K1696" i="1"/>
  <c r="M1696" i="1" s="1"/>
  <c r="N1696" i="1" s="1"/>
  <c r="K1785" i="1"/>
  <c r="M1785" i="1" s="1"/>
  <c r="N1785" i="1" s="1"/>
  <c r="K1591" i="1"/>
  <c r="M1591" i="1" s="1"/>
  <c r="N1591" i="1" s="1"/>
  <c r="K1784" i="1"/>
  <c r="M1784" i="1" s="1"/>
  <c r="N1784" i="1" s="1"/>
  <c r="K1760" i="1"/>
  <c r="M1760" i="1" s="1"/>
  <c r="N1760" i="1" s="1"/>
  <c r="K1687" i="1"/>
  <c r="M1687" i="1" s="1"/>
  <c r="N1687" i="1" s="1"/>
  <c r="K1660" i="1"/>
  <c r="M1660" i="1" s="1"/>
  <c r="N1660" i="1" s="1"/>
  <c r="K1634" i="1"/>
  <c r="M1634" i="1" s="1"/>
  <c r="N1634" i="1" s="1"/>
  <c r="K1619" i="1"/>
  <c r="M1619" i="1" s="1"/>
  <c r="N1619" i="1" s="1"/>
  <c r="K1562" i="1"/>
  <c r="M1562" i="1" s="1"/>
  <c r="N1562" i="1" s="1"/>
  <c r="K1512" i="1"/>
  <c r="M1512" i="1" s="1"/>
  <c r="N1512" i="1" s="1"/>
  <c r="K1474" i="1"/>
  <c r="M1474" i="1" s="1"/>
  <c r="N1474" i="1" s="1"/>
  <c r="K1453" i="1"/>
  <c r="M1453" i="1" s="1"/>
  <c r="N1453" i="1" s="1"/>
  <c r="K1404" i="1"/>
  <c r="M1404" i="1" s="1"/>
  <c r="N1404" i="1" s="1"/>
  <c r="K1390" i="1"/>
  <c r="M1390" i="1" s="1"/>
  <c r="N1390" i="1" s="1"/>
  <c r="K1356" i="1"/>
  <c r="M1356" i="1" s="1"/>
  <c r="N1356" i="1" s="1"/>
  <c r="K1278" i="1"/>
  <c r="M1278" i="1" s="1"/>
  <c r="N1278" i="1" s="1"/>
  <c r="K1242" i="1"/>
  <c r="M1242" i="1" s="1"/>
  <c r="N1242" i="1" s="1"/>
  <c r="K1173" i="1"/>
  <c r="M1173" i="1" s="1"/>
  <c r="N1173" i="1" s="1"/>
  <c r="K1128" i="1"/>
  <c r="M1128" i="1" s="1"/>
  <c r="N1128" i="1" s="1"/>
  <c r="K1119" i="1"/>
  <c r="M1119" i="1" s="1"/>
  <c r="N1119" i="1" s="1"/>
  <c r="K1081" i="1"/>
  <c r="M1081" i="1" s="1"/>
  <c r="N1081" i="1" s="1"/>
  <c r="K1027" i="1"/>
  <c r="M1027" i="1" s="1"/>
  <c r="N1027" i="1" s="1"/>
  <c r="K999" i="1"/>
  <c r="M999" i="1" s="1"/>
  <c r="N999" i="1" s="1"/>
  <c r="K978" i="1"/>
  <c r="M978" i="1" s="1"/>
  <c r="N978" i="1" s="1"/>
  <c r="K898" i="1"/>
  <c r="M898" i="1" s="1"/>
  <c r="N898" i="1" s="1"/>
  <c r="K862" i="1"/>
  <c r="M862" i="1" s="1"/>
  <c r="N862" i="1" s="1"/>
  <c r="K839" i="1"/>
  <c r="M839" i="1" s="1"/>
  <c r="N839" i="1" s="1"/>
  <c r="K791" i="1"/>
  <c r="M791" i="1" s="1"/>
  <c r="N791" i="1" s="1"/>
  <c r="K768" i="1"/>
  <c r="M768" i="1" s="1"/>
  <c r="N768" i="1" s="1"/>
  <c r="K732" i="1"/>
  <c r="M732" i="1" s="1"/>
  <c r="N732" i="1" s="1"/>
  <c r="K705" i="1"/>
  <c r="M705" i="1" s="1"/>
  <c r="N705" i="1" s="1"/>
  <c r="K692" i="1"/>
  <c r="M692" i="1" s="1"/>
  <c r="N692" i="1" s="1"/>
  <c r="K412" i="1"/>
  <c r="M412" i="1" s="1"/>
  <c r="N412" i="1" s="1"/>
  <c r="K383" i="1"/>
  <c r="M383" i="1" s="1"/>
  <c r="N383" i="1" s="1"/>
  <c r="K358" i="1"/>
  <c r="M358" i="1" s="1"/>
  <c r="N358" i="1" s="1"/>
  <c r="K317" i="1"/>
  <c r="M317" i="1" s="1"/>
  <c r="N317" i="1" s="1"/>
  <c r="K299" i="1"/>
  <c r="M299" i="1" s="1"/>
  <c r="N299" i="1" s="1"/>
  <c r="K225" i="1"/>
  <c r="M225" i="1" s="1"/>
  <c r="N225" i="1" s="1"/>
  <c r="K206" i="1"/>
  <c r="M206" i="1" s="1"/>
  <c r="N206" i="1" s="1"/>
  <c r="K152" i="1"/>
  <c r="M152" i="1" s="1"/>
  <c r="N152" i="1" s="1"/>
  <c r="K103" i="1"/>
  <c r="M103" i="1" s="1"/>
  <c r="N103" i="1" s="1"/>
  <c r="K1759" i="1"/>
  <c r="M1759" i="1" s="1"/>
  <c r="N1759" i="1" s="1"/>
  <c r="K1632" i="1"/>
  <c r="M1632" i="1" s="1"/>
  <c r="N1632" i="1" s="1"/>
  <c r="K1612" i="1"/>
  <c r="M1612" i="1" s="1"/>
  <c r="N1612" i="1" s="1"/>
  <c r="K1536" i="1"/>
  <c r="M1536" i="1" s="1"/>
  <c r="N1536" i="1" s="1"/>
  <c r="K1506" i="1"/>
  <c r="M1506" i="1" s="1"/>
  <c r="N1506" i="1" s="1"/>
  <c r="K1473" i="1"/>
  <c r="M1473" i="1" s="1"/>
  <c r="N1473" i="1" s="1"/>
  <c r="K1452" i="1"/>
  <c r="M1452" i="1" s="1"/>
  <c r="N1452" i="1" s="1"/>
  <c r="K1402" i="1"/>
  <c r="M1402" i="1" s="1"/>
  <c r="N1402" i="1" s="1"/>
  <c r="K1385" i="1"/>
  <c r="M1385" i="1" s="1"/>
  <c r="N1385" i="1" s="1"/>
  <c r="K1348" i="1"/>
  <c r="M1348" i="1" s="1"/>
  <c r="N1348" i="1" s="1"/>
  <c r="K1241" i="1"/>
  <c r="M1241" i="1" s="1"/>
  <c r="N1241" i="1" s="1"/>
  <c r="K1217" i="1"/>
  <c r="M1217" i="1" s="1"/>
  <c r="N1217" i="1" s="1"/>
  <c r="K1169" i="1"/>
  <c r="M1169" i="1" s="1"/>
  <c r="N1169" i="1" s="1"/>
  <c r="K1127" i="1"/>
  <c r="M1127" i="1" s="1"/>
  <c r="N1127" i="1" s="1"/>
  <c r="K1118" i="1"/>
  <c r="M1118" i="1" s="1"/>
  <c r="N1118" i="1" s="1"/>
  <c r="K1080" i="1"/>
  <c r="M1080" i="1" s="1"/>
  <c r="N1080" i="1" s="1"/>
  <c r="K997" i="1"/>
  <c r="M997" i="1" s="1"/>
  <c r="N997" i="1" s="1"/>
  <c r="K977" i="1"/>
  <c r="M977" i="1" s="1"/>
  <c r="N977" i="1" s="1"/>
  <c r="K953" i="1"/>
  <c r="M953" i="1" s="1"/>
  <c r="N953" i="1" s="1"/>
  <c r="K887" i="1"/>
  <c r="M887" i="1" s="1"/>
  <c r="N887" i="1" s="1"/>
  <c r="K838" i="1"/>
  <c r="M838" i="1" s="1"/>
  <c r="N838" i="1" s="1"/>
  <c r="K813" i="1"/>
  <c r="M813" i="1" s="1"/>
  <c r="N813" i="1" s="1"/>
  <c r="K790" i="1"/>
  <c r="M790" i="1" s="1"/>
  <c r="N790" i="1" s="1"/>
  <c r="K767" i="1"/>
  <c r="M767" i="1" s="1"/>
  <c r="N767" i="1" s="1"/>
  <c r="K721" i="1"/>
  <c r="M721" i="1" s="1"/>
  <c r="N721" i="1" s="1"/>
  <c r="K704" i="1"/>
  <c r="M704" i="1" s="1"/>
  <c r="N704" i="1" s="1"/>
  <c r="K691" i="1"/>
  <c r="M691" i="1" s="1"/>
  <c r="N691" i="1" s="1"/>
  <c r="K562" i="1"/>
  <c r="M562" i="1" s="1"/>
  <c r="N562" i="1" s="1"/>
  <c r="K534" i="1"/>
  <c r="M534" i="1" s="1"/>
  <c r="N534" i="1" s="1"/>
  <c r="K503" i="1"/>
  <c r="M503" i="1" s="1"/>
  <c r="N503" i="1" s="1"/>
  <c r="K403" i="1"/>
  <c r="M403" i="1" s="1"/>
  <c r="N403" i="1" s="1"/>
  <c r="K379" i="1"/>
  <c r="M379" i="1" s="1"/>
  <c r="N379" i="1" s="1"/>
  <c r="K357" i="1"/>
  <c r="M357" i="1" s="1"/>
  <c r="N357" i="1" s="1"/>
  <c r="K296" i="1"/>
  <c r="M296" i="1" s="1"/>
  <c r="N296" i="1" s="1"/>
  <c r="K251" i="1"/>
  <c r="M251" i="1" s="1"/>
  <c r="N251" i="1" s="1"/>
  <c r="K183" i="1"/>
  <c r="M183" i="1" s="1"/>
  <c r="N183" i="1" s="1"/>
  <c r="K144" i="1"/>
  <c r="M144" i="1" s="1"/>
  <c r="N144" i="1" s="1"/>
  <c r="K120" i="1"/>
  <c r="M120" i="1" s="1"/>
  <c r="N120" i="1" s="1"/>
  <c r="K101" i="1"/>
  <c r="M101" i="1" s="1"/>
  <c r="N101" i="1" s="1"/>
  <c r="K78" i="1"/>
  <c r="M78" i="1" s="1"/>
  <c r="N78" i="1" s="1"/>
  <c r="K66" i="1"/>
  <c r="M66" i="1" s="1"/>
  <c r="N66" i="1" s="1"/>
  <c r="K1535" i="1"/>
  <c r="M1535" i="1" s="1"/>
  <c r="N1535" i="1" s="1"/>
  <c r="K1505" i="1"/>
  <c r="M1505" i="1" s="1"/>
  <c r="N1505" i="1" s="1"/>
  <c r="K1447" i="1"/>
  <c r="M1447" i="1" s="1"/>
  <c r="N1447" i="1" s="1"/>
  <c r="K1399" i="1"/>
  <c r="M1399" i="1" s="1"/>
  <c r="N1399" i="1" s="1"/>
  <c r="K1380" i="1"/>
  <c r="M1380" i="1" s="1"/>
  <c r="N1380" i="1" s="1"/>
  <c r="K1344" i="1"/>
  <c r="M1344" i="1" s="1"/>
  <c r="N1344" i="1" s="1"/>
  <c r="K1256" i="1"/>
  <c r="M1256" i="1" s="1"/>
  <c r="N1256" i="1" s="1"/>
  <c r="K1239" i="1"/>
  <c r="M1239" i="1" s="1"/>
  <c r="N1239" i="1" s="1"/>
  <c r="K1213" i="1"/>
  <c r="M1213" i="1" s="1"/>
  <c r="N1213" i="1" s="1"/>
  <c r="K1148" i="1"/>
  <c r="M1148" i="1" s="1"/>
  <c r="N1148" i="1" s="1"/>
  <c r="K1126" i="1"/>
  <c r="M1126" i="1" s="1"/>
  <c r="N1126" i="1" s="1"/>
  <c r="K1073" i="1"/>
  <c r="M1073" i="1" s="1"/>
  <c r="N1073" i="1" s="1"/>
  <c r="K1018" i="1"/>
  <c r="M1018" i="1" s="1"/>
  <c r="N1018" i="1" s="1"/>
  <c r="K992" i="1"/>
  <c r="M992" i="1" s="1"/>
  <c r="N992" i="1" s="1"/>
  <c r="K976" i="1"/>
  <c r="M976" i="1" s="1"/>
  <c r="N976" i="1" s="1"/>
  <c r="K952" i="1"/>
  <c r="M952" i="1" s="1"/>
  <c r="N952" i="1" s="1"/>
  <c r="K929" i="1"/>
  <c r="M929" i="1" s="1"/>
  <c r="N929" i="1" s="1"/>
  <c r="K883" i="1"/>
  <c r="M883" i="1" s="1"/>
  <c r="N883" i="1" s="1"/>
  <c r="K855" i="1"/>
  <c r="M855" i="1" s="1"/>
  <c r="N855" i="1" s="1"/>
  <c r="K837" i="1"/>
  <c r="M837" i="1" s="1"/>
  <c r="N837" i="1" s="1"/>
  <c r="K805" i="1"/>
  <c r="M805" i="1" s="1"/>
  <c r="N805" i="1" s="1"/>
  <c r="K782" i="1"/>
  <c r="M782" i="1" s="1"/>
  <c r="N782" i="1" s="1"/>
  <c r="K762" i="1"/>
  <c r="M762" i="1" s="1"/>
  <c r="N762" i="1" s="1"/>
  <c r="K720" i="1"/>
  <c r="M720" i="1" s="1"/>
  <c r="N720" i="1" s="1"/>
  <c r="K703" i="1"/>
  <c r="M703" i="1" s="1"/>
  <c r="N703" i="1" s="1"/>
  <c r="K624" i="1"/>
  <c r="M624" i="1" s="1"/>
  <c r="N624" i="1" s="1"/>
  <c r="K592" i="1"/>
  <c r="M592" i="1" s="1"/>
  <c r="N592" i="1" s="1"/>
  <c r="K550" i="1"/>
  <c r="M550" i="1" s="1"/>
  <c r="N550" i="1" s="1"/>
  <c r="K530" i="1"/>
  <c r="M530" i="1" s="1"/>
  <c r="N530" i="1" s="1"/>
  <c r="K447" i="1"/>
  <c r="M447" i="1" s="1"/>
  <c r="N447" i="1" s="1"/>
  <c r="K356" i="1"/>
  <c r="M356" i="1" s="1"/>
  <c r="N356" i="1" s="1"/>
  <c r="K143" i="1"/>
  <c r="M143" i="1" s="1"/>
  <c r="N143" i="1" s="1"/>
  <c r="K77" i="1"/>
  <c r="M77" i="1" s="1"/>
  <c r="N77" i="1" s="1"/>
  <c r="K65" i="1"/>
  <c r="M65" i="1" s="1"/>
  <c r="N65" i="1" s="1"/>
  <c r="K28" i="1"/>
  <c r="M28" i="1" s="1"/>
  <c r="N28" i="1" s="1"/>
  <c r="K1772" i="1"/>
  <c r="M1772" i="1" s="1"/>
  <c r="N1772" i="1" s="1"/>
  <c r="K1684" i="1"/>
  <c r="M1684" i="1" s="1"/>
  <c r="N1684" i="1" s="1"/>
  <c r="K1647" i="1"/>
  <c r="M1647" i="1" s="1"/>
  <c r="N1647" i="1" s="1"/>
  <c r="K1624" i="1"/>
  <c r="M1624" i="1" s="1"/>
  <c r="N1624" i="1" s="1"/>
  <c r="K1610" i="1"/>
  <c r="M1610" i="1" s="1"/>
  <c r="N1610" i="1" s="1"/>
  <c r="K1576" i="1"/>
  <c r="M1576" i="1" s="1"/>
  <c r="N1576" i="1" s="1"/>
  <c r="K1542" i="1"/>
  <c r="M1542" i="1" s="1"/>
  <c r="N1542" i="1" s="1"/>
  <c r="K1521" i="1"/>
  <c r="M1521" i="1" s="1"/>
  <c r="N1521" i="1" s="1"/>
  <c r="K1503" i="1"/>
  <c r="M1503" i="1" s="1"/>
  <c r="N1503" i="1" s="1"/>
  <c r="K1471" i="1"/>
  <c r="M1471" i="1" s="1"/>
  <c r="N1471" i="1" s="1"/>
  <c r="K1429" i="1"/>
  <c r="M1429" i="1" s="1"/>
  <c r="N1429" i="1" s="1"/>
  <c r="K1398" i="1"/>
  <c r="M1398" i="1" s="1"/>
  <c r="N1398" i="1" s="1"/>
  <c r="K1378" i="1"/>
  <c r="M1378" i="1" s="1"/>
  <c r="N1378" i="1" s="1"/>
  <c r="K1306" i="1"/>
  <c r="M1306" i="1" s="1"/>
  <c r="N1306" i="1" s="1"/>
  <c r="K1255" i="1"/>
  <c r="M1255" i="1" s="1"/>
  <c r="N1255" i="1" s="1"/>
  <c r="K1236" i="1"/>
  <c r="M1236" i="1" s="1"/>
  <c r="N1236" i="1" s="1"/>
  <c r="K1185" i="1"/>
  <c r="M1185" i="1" s="1"/>
  <c r="N1185" i="1" s="1"/>
  <c r="K1145" i="1"/>
  <c r="M1145" i="1" s="1"/>
  <c r="N1145" i="1" s="1"/>
  <c r="K1125" i="1"/>
  <c r="M1125" i="1" s="1"/>
  <c r="N1125" i="1" s="1"/>
  <c r="K1115" i="1"/>
  <c r="M1115" i="1" s="1"/>
  <c r="N1115" i="1" s="1"/>
  <c r="K1065" i="1"/>
  <c r="M1065" i="1" s="1"/>
  <c r="N1065" i="1" s="1"/>
  <c r="K991" i="1"/>
  <c r="M991" i="1" s="1"/>
  <c r="N991" i="1" s="1"/>
  <c r="K974" i="1"/>
  <c r="M974" i="1" s="1"/>
  <c r="N974" i="1" s="1"/>
  <c r="K921" i="1"/>
  <c r="M921" i="1" s="1"/>
  <c r="N921" i="1" s="1"/>
  <c r="K882" i="1"/>
  <c r="M882" i="1" s="1"/>
  <c r="N882" i="1" s="1"/>
  <c r="K854" i="1"/>
  <c r="M854" i="1" s="1"/>
  <c r="N854" i="1" s="1"/>
  <c r="K835" i="1"/>
  <c r="M835" i="1" s="1"/>
  <c r="N835" i="1" s="1"/>
  <c r="K802" i="1"/>
  <c r="M802" i="1" s="1"/>
  <c r="N802" i="1" s="1"/>
  <c r="K781" i="1"/>
  <c r="M781" i="1" s="1"/>
  <c r="N781" i="1" s="1"/>
  <c r="K719" i="1"/>
  <c r="M719" i="1" s="1"/>
  <c r="N719" i="1" s="1"/>
  <c r="K446" i="1"/>
  <c r="M446" i="1" s="1"/>
  <c r="N446" i="1" s="1"/>
  <c r="K371" i="1"/>
  <c r="M371" i="1" s="1"/>
  <c r="N371" i="1" s="1"/>
  <c r="K354" i="1"/>
  <c r="M354" i="1" s="1"/>
  <c r="N354" i="1" s="1"/>
  <c r="K289" i="1"/>
  <c r="M289" i="1" s="1"/>
  <c r="N289" i="1" s="1"/>
  <c r="K242" i="1"/>
  <c r="M242" i="1" s="1"/>
  <c r="N242" i="1" s="1"/>
  <c r="K220" i="1"/>
  <c r="M220" i="1" s="1"/>
  <c r="N220" i="1" s="1"/>
  <c r="K197" i="1"/>
  <c r="M197" i="1" s="1"/>
  <c r="N197" i="1" s="1"/>
  <c r="K168" i="1"/>
  <c r="M168" i="1" s="1"/>
  <c r="N168" i="1" s="1"/>
  <c r="K141" i="1"/>
  <c r="M141" i="1" s="1"/>
  <c r="N141" i="1" s="1"/>
  <c r="K93" i="1"/>
  <c r="M93" i="1" s="1"/>
  <c r="N93" i="1" s="1"/>
  <c r="K76" i="1"/>
  <c r="M76" i="1" s="1"/>
  <c r="N76" i="1" s="1"/>
  <c r="K63" i="1"/>
  <c r="M63" i="1" s="1"/>
  <c r="N63" i="1" s="1"/>
  <c r="K1794" i="1"/>
  <c r="M1794" i="1" s="1"/>
  <c r="N1794" i="1" s="1"/>
  <c r="K1670" i="1"/>
  <c r="M1670" i="1" s="1"/>
  <c r="N1670" i="1" s="1"/>
  <c r="K1645" i="1"/>
  <c r="M1645" i="1" s="1"/>
  <c r="N1645" i="1" s="1"/>
  <c r="K1609" i="1"/>
  <c r="M1609" i="1" s="1"/>
  <c r="N1609" i="1" s="1"/>
  <c r="K1575" i="1"/>
  <c r="M1575" i="1" s="1"/>
  <c r="N1575" i="1" s="1"/>
  <c r="K1520" i="1"/>
  <c r="M1520" i="1" s="1"/>
  <c r="N1520" i="1" s="1"/>
  <c r="K1494" i="1"/>
  <c r="M1494" i="1" s="1"/>
  <c r="N1494" i="1" s="1"/>
  <c r="K1425" i="1"/>
  <c r="M1425" i="1" s="1"/>
  <c r="N1425" i="1" s="1"/>
  <c r="K1397" i="1"/>
  <c r="M1397" i="1" s="1"/>
  <c r="N1397" i="1" s="1"/>
  <c r="K1295" i="1"/>
  <c r="M1295" i="1" s="1"/>
  <c r="N1295" i="1" s="1"/>
  <c r="K1249" i="1"/>
  <c r="M1249" i="1" s="1"/>
  <c r="N1249" i="1" s="1"/>
  <c r="K1233" i="1"/>
  <c r="M1233" i="1" s="1"/>
  <c r="N1233" i="1" s="1"/>
  <c r="K1183" i="1"/>
  <c r="M1183" i="1" s="1"/>
  <c r="N1183" i="1" s="1"/>
  <c r="K1137" i="1"/>
  <c r="M1137" i="1" s="1"/>
  <c r="N1137" i="1" s="1"/>
  <c r="K1114" i="1"/>
  <c r="M1114" i="1" s="1"/>
  <c r="N1114" i="1" s="1"/>
  <c r="K1064" i="1"/>
  <c r="M1064" i="1" s="1"/>
  <c r="N1064" i="1" s="1"/>
  <c r="K1012" i="1"/>
  <c r="M1012" i="1" s="1"/>
  <c r="N1012" i="1" s="1"/>
  <c r="K990" i="1"/>
  <c r="M990" i="1" s="1"/>
  <c r="N990" i="1" s="1"/>
  <c r="K972" i="1"/>
  <c r="M972" i="1" s="1"/>
  <c r="N972" i="1" s="1"/>
  <c r="K911" i="1"/>
  <c r="M911" i="1" s="1"/>
  <c r="N911" i="1" s="1"/>
  <c r="K881" i="1"/>
  <c r="M881" i="1" s="1"/>
  <c r="N881" i="1" s="1"/>
  <c r="K851" i="1"/>
  <c r="M851" i="1" s="1"/>
  <c r="N851" i="1" s="1"/>
  <c r="K833" i="1"/>
  <c r="M833" i="1" s="1"/>
  <c r="N833" i="1" s="1"/>
  <c r="K799" i="1"/>
  <c r="M799" i="1" s="1"/>
  <c r="N799" i="1" s="1"/>
  <c r="K777" i="1"/>
  <c r="M777" i="1" s="1"/>
  <c r="N777" i="1" s="1"/>
  <c r="K753" i="1"/>
  <c r="M753" i="1" s="1"/>
  <c r="N753" i="1" s="1"/>
  <c r="K718" i="1"/>
  <c r="M718" i="1" s="1"/>
  <c r="N718" i="1" s="1"/>
  <c r="K701" i="1"/>
  <c r="M701" i="1" s="1"/>
  <c r="N701" i="1" s="1"/>
  <c r="K688" i="1"/>
  <c r="M688" i="1" s="1"/>
  <c r="N688" i="1" s="1"/>
  <c r="K580" i="1"/>
  <c r="M580" i="1" s="1"/>
  <c r="N580" i="1" s="1"/>
  <c r="K542" i="1"/>
  <c r="M542" i="1" s="1"/>
  <c r="N542" i="1" s="1"/>
  <c r="K518" i="1"/>
  <c r="M518" i="1" s="1"/>
  <c r="N518" i="1" s="1"/>
  <c r="K486" i="1"/>
  <c r="M486" i="1" s="1"/>
  <c r="N486" i="1" s="1"/>
  <c r="K436" i="1"/>
  <c r="M436" i="1" s="1"/>
  <c r="N436" i="1" s="1"/>
  <c r="K393" i="1"/>
  <c r="M393" i="1" s="1"/>
  <c r="N393" i="1" s="1"/>
  <c r="K369" i="1"/>
  <c r="M369" i="1" s="1"/>
  <c r="N369" i="1" s="1"/>
  <c r="K345" i="1"/>
  <c r="M345" i="1" s="1"/>
  <c r="N345" i="1" s="1"/>
  <c r="K286" i="1"/>
  <c r="M286" i="1" s="1"/>
  <c r="N286" i="1" s="1"/>
  <c r="K160" i="1"/>
  <c r="M160" i="1" s="1"/>
  <c r="N160" i="1" s="1"/>
  <c r="K91" i="1"/>
  <c r="M91" i="1" s="1"/>
  <c r="N91" i="1" s="1"/>
  <c r="K74" i="1"/>
  <c r="M74" i="1" s="1"/>
  <c r="N74" i="1" s="1"/>
  <c r="K26" i="1"/>
  <c r="M26" i="1" s="1"/>
  <c r="N26" i="1" s="1"/>
  <c r="K1708" i="1"/>
  <c r="M1708" i="1" s="1"/>
  <c r="N1708" i="1" s="1"/>
  <c r="K1677" i="1"/>
  <c r="M1677" i="1" s="1"/>
  <c r="N1677" i="1" s="1"/>
  <c r="K1668" i="1"/>
  <c r="M1668" i="1" s="1"/>
  <c r="N1668" i="1" s="1"/>
  <c r="K1638" i="1"/>
  <c r="M1638" i="1" s="1"/>
  <c r="N1638" i="1" s="1"/>
  <c r="K1596" i="1"/>
  <c r="M1596" i="1" s="1"/>
  <c r="N1596" i="1" s="1"/>
  <c r="K1566" i="1"/>
  <c r="M1566" i="1" s="1"/>
  <c r="N1566" i="1" s="1"/>
  <c r="K1519" i="1"/>
  <c r="M1519" i="1" s="1"/>
  <c r="N1519" i="1" s="1"/>
  <c r="K1483" i="1"/>
  <c r="M1483" i="1" s="1"/>
  <c r="N1483" i="1" s="1"/>
  <c r="K1465" i="1"/>
  <c r="M1465" i="1" s="1"/>
  <c r="N1465" i="1" s="1"/>
  <c r="K1417" i="1"/>
  <c r="M1417" i="1" s="1"/>
  <c r="N1417" i="1" s="1"/>
  <c r="K1394" i="1"/>
  <c r="M1394" i="1" s="1"/>
  <c r="N1394" i="1" s="1"/>
  <c r="K1374" i="1"/>
  <c r="M1374" i="1" s="1"/>
  <c r="N1374" i="1" s="1"/>
  <c r="K1290" i="1"/>
  <c r="M1290" i="1" s="1"/>
  <c r="N1290" i="1" s="1"/>
  <c r="K1226" i="1"/>
  <c r="M1226" i="1" s="1"/>
  <c r="N1226" i="1" s="1"/>
  <c r="K1132" i="1"/>
  <c r="M1132" i="1" s="1"/>
  <c r="N1132" i="1" s="1"/>
  <c r="K1100" i="1"/>
  <c r="M1100" i="1" s="1"/>
  <c r="N1100" i="1" s="1"/>
  <c r="K1063" i="1"/>
  <c r="M1063" i="1" s="1"/>
  <c r="N1063" i="1" s="1"/>
  <c r="K1011" i="1"/>
  <c r="M1011" i="1" s="1"/>
  <c r="N1011" i="1" s="1"/>
  <c r="K987" i="1"/>
  <c r="M987" i="1" s="1"/>
  <c r="N987" i="1" s="1"/>
  <c r="K910" i="1"/>
  <c r="M910" i="1" s="1"/>
  <c r="N910" i="1" s="1"/>
  <c r="K869" i="1"/>
  <c r="M869" i="1" s="1"/>
  <c r="N869" i="1" s="1"/>
  <c r="K849" i="1"/>
  <c r="M849" i="1" s="1"/>
  <c r="N849" i="1" s="1"/>
  <c r="K828" i="1"/>
  <c r="M828" i="1" s="1"/>
  <c r="N828" i="1" s="1"/>
  <c r="K794" i="1"/>
  <c r="M794" i="1" s="1"/>
  <c r="N794" i="1" s="1"/>
  <c r="K776" i="1"/>
  <c r="M776" i="1" s="1"/>
  <c r="N776" i="1" s="1"/>
  <c r="K748" i="1"/>
  <c r="M748" i="1" s="1"/>
  <c r="N748" i="1" s="1"/>
  <c r="K715" i="1"/>
  <c r="M715" i="1" s="1"/>
  <c r="N715" i="1" s="1"/>
  <c r="K698" i="1"/>
  <c r="M698" i="1" s="1"/>
  <c r="N698" i="1" s="1"/>
  <c r="K614" i="1"/>
  <c r="M614" i="1" s="1"/>
  <c r="N614" i="1" s="1"/>
  <c r="K576" i="1"/>
  <c r="M576" i="1" s="1"/>
  <c r="N576" i="1" s="1"/>
  <c r="K392" i="1"/>
  <c r="M392" i="1" s="1"/>
  <c r="N392" i="1" s="1"/>
  <c r="K310" i="1"/>
  <c r="M310" i="1" s="1"/>
  <c r="N310" i="1" s="1"/>
  <c r="K274" i="1"/>
  <c r="M274" i="1" s="1"/>
  <c r="N274" i="1" s="1"/>
  <c r="K240" i="1"/>
  <c r="M240" i="1" s="1"/>
  <c r="N240" i="1" s="1"/>
  <c r="K159" i="1"/>
  <c r="M159" i="1" s="1"/>
  <c r="N159" i="1" s="1"/>
  <c r="K112" i="1"/>
  <c r="M112" i="1" s="1"/>
  <c r="N112" i="1" s="1"/>
  <c r="K83" i="1"/>
  <c r="M83" i="1" s="1"/>
  <c r="N83" i="1" s="1"/>
  <c r="K59" i="1"/>
  <c r="M59" i="1" s="1"/>
  <c r="N59" i="1" s="1"/>
  <c r="K1792" i="1"/>
  <c r="M1792" i="1" s="1"/>
  <c r="N1792" i="1" s="1"/>
  <c r="K1767" i="1"/>
  <c r="M1767" i="1" s="1"/>
  <c r="N1767" i="1" s="1"/>
  <c r="K1729" i="1"/>
  <c r="M1729" i="1" s="1"/>
  <c r="N1729" i="1" s="1"/>
  <c r="K1703" i="1"/>
  <c r="M1703" i="1" s="1"/>
  <c r="N1703" i="1" s="1"/>
  <c r="K1694" i="1"/>
  <c r="M1694" i="1" s="1"/>
  <c r="N1694" i="1" s="1"/>
  <c r="K1676" i="1"/>
  <c r="M1676" i="1" s="1"/>
  <c r="N1676" i="1" s="1"/>
  <c r="K1662" i="1"/>
  <c r="M1662" i="1" s="1"/>
  <c r="N1662" i="1" s="1"/>
  <c r="K1636" i="1"/>
  <c r="M1636" i="1" s="1"/>
  <c r="N1636" i="1" s="1"/>
  <c r="K1592" i="1"/>
  <c r="M1592" i="1" s="1"/>
  <c r="N1592" i="1" s="1"/>
  <c r="K1518" i="1"/>
  <c r="M1518" i="1" s="1"/>
  <c r="N1518" i="1" s="1"/>
  <c r="K1482" i="1"/>
  <c r="M1482" i="1" s="1"/>
  <c r="N1482" i="1" s="1"/>
  <c r="K1460" i="1"/>
  <c r="M1460" i="1" s="1"/>
  <c r="N1460" i="1" s="1"/>
  <c r="K1416" i="1"/>
  <c r="M1416" i="1" s="1"/>
  <c r="N1416" i="1" s="1"/>
  <c r="K1393" i="1"/>
  <c r="M1393" i="1" s="1"/>
  <c r="N1393" i="1" s="1"/>
  <c r="K1369" i="1"/>
  <c r="M1369" i="1" s="1"/>
  <c r="N1369" i="1" s="1"/>
  <c r="K1288" i="1"/>
  <c r="M1288" i="1" s="1"/>
  <c r="N1288" i="1" s="1"/>
  <c r="K1244" i="1"/>
  <c r="M1244" i="1" s="1"/>
  <c r="N1244" i="1" s="1"/>
  <c r="K1225" i="1"/>
  <c r="M1225" i="1" s="1"/>
  <c r="N1225" i="1" s="1"/>
  <c r="K1131" i="1"/>
  <c r="M1131" i="1" s="1"/>
  <c r="N1131" i="1" s="1"/>
  <c r="K1121" i="1"/>
  <c r="M1121" i="1" s="1"/>
  <c r="N1121" i="1" s="1"/>
  <c r="K1097" i="1"/>
  <c r="M1097" i="1" s="1"/>
  <c r="N1097" i="1" s="1"/>
  <c r="K1053" i="1"/>
  <c r="M1053" i="1" s="1"/>
  <c r="N1053" i="1" s="1"/>
  <c r="K1002" i="1"/>
  <c r="M1002" i="1" s="1"/>
  <c r="N1002" i="1" s="1"/>
  <c r="K983" i="1"/>
  <c r="M983" i="1" s="1"/>
  <c r="N983" i="1" s="1"/>
  <c r="K965" i="1"/>
  <c r="M965" i="1" s="1"/>
  <c r="N965" i="1" s="1"/>
  <c r="K941" i="1"/>
  <c r="M941" i="1" s="1"/>
  <c r="N941" i="1" s="1"/>
  <c r="K903" i="1"/>
  <c r="M903" i="1" s="1"/>
  <c r="N903" i="1" s="1"/>
  <c r="K867" i="1"/>
  <c r="M867" i="1" s="1"/>
  <c r="N867" i="1" s="1"/>
  <c r="K846" i="1"/>
  <c r="M846" i="1" s="1"/>
  <c r="N846" i="1" s="1"/>
  <c r="K825" i="1"/>
  <c r="M825" i="1" s="1"/>
  <c r="N825" i="1" s="1"/>
  <c r="K773" i="1"/>
  <c r="M773" i="1" s="1"/>
  <c r="N773" i="1" s="1"/>
  <c r="K714" i="1"/>
  <c r="M714" i="1" s="1"/>
  <c r="N714" i="1" s="1"/>
  <c r="K695" i="1"/>
  <c r="M695" i="1" s="1"/>
  <c r="N695" i="1" s="1"/>
  <c r="K603" i="1"/>
  <c r="M603" i="1" s="1"/>
  <c r="N603" i="1" s="1"/>
  <c r="K573" i="1"/>
  <c r="M573" i="1" s="1"/>
  <c r="N573" i="1" s="1"/>
  <c r="K391" i="1"/>
  <c r="M391" i="1" s="1"/>
  <c r="N391" i="1" s="1"/>
  <c r="K330" i="1"/>
  <c r="M330" i="1" s="1"/>
  <c r="N330" i="1" s="1"/>
  <c r="K231" i="1"/>
  <c r="M231" i="1" s="1"/>
  <c r="N231" i="1" s="1"/>
  <c r="K154" i="1"/>
  <c r="M154" i="1" s="1"/>
  <c r="N154" i="1" s="1"/>
  <c r="K105" i="1"/>
  <c r="M105" i="1" s="1"/>
  <c r="N105" i="1" s="1"/>
  <c r="K82" i="1"/>
  <c r="M82" i="1" s="1"/>
  <c r="N82" i="1" s="1"/>
  <c r="K1702" i="1"/>
  <c r="M1702" i="1" s="1"/>
  <c r="N1702" i="1" s="1"/>
  <c r="K1688" i="1"/>
  <c r="M1688" i="1" s="1"/>
  <c r="N1688" i="1" s="1"/>
  <c r="K1620" i="1"/>
  <c r="M1620" i="1" s="1"/>
  <c r="N1620" i="1" s="1"/>
  <c r="K1563" i="1"/>
  <c r="M1563" i="1" s="1"/>
  <c r="N1563" i="1" s="1"/>
  <c r="K1517" i="1"/>
  <c r="M1517" i="1" s="1"/>
  <c r="N1517" i="1" s="1"/>
  <c r="K1415" i="1"/>
  <c r="M1415" i="1" s="1"/>
  <c r="N1415" i="1" s="1"/>
  <c r="K1392" i="1"/>
  <c r="M1392" i="1" s="1"/>
  <c r="N1392" i="1" s="1"/>
  <c r="K1367" i="1"/>
  <c r="M1367" i="1" s="1"/>
  <c r="N1367" i="1" s="1"/>
  <c r="K1279" i="1"/>
  <c r="M1279" i="1" s="1"/>
  <c r="N1279" i="1" s="1"/>
  <c r="K1243" i="1"/>
  <c r="M1243" i="1" s="1"/>
  <c r="N1243" i="1" s="1"/>
  <c r="K1223" i="1"/>
  <c r="M1223" i="1" s="1"/>
  <c r="N1223" i="1" s="1"/>
  <c r="K1194" i="1"/>
  <c r="M1194" i="1" s="1"/>
  <c r="N1194" i="1" s="1"/>
  <c r="K1120" i="1"/>
  <c r="M1120" i="1" s="1"/>
  <c r="N1120" i="1" s="1"/>
  <c r="K1090" i="1"/>
  <c r="M1090" i="1" s="1"/>
  <c r="N1090" i="1" s="1"/>
  <c r="K1001" i="1"/>
  <c r="M1001" i="1" s="1"/>
  <c r="N1001" i="1" s="1"/>
  <c r="K979" i="1"/>
  <c r="M979" i="1" s="1"/>
  <c r="N979" i="1" s="1"/>
  <c r="K939" i="1"/>
  <c r="M939" i="1" s="1"/>
  <c r="N939" i="1" s="1"/>
  <c r="K901" i="1"/>
  <c r="M901" i="1" s="1"/>
  <c r="N901" i="1" s="1"/>
  <c r="K864" i="1"/>
  <c r="M864" i="1" s="1"/>
  <c r="N864" i="1" s="1"/>
  <c r="K844" i="1"/>
  <c r="M844" i="1" s="1"/>
  <c r="N844" i="1" s="1"/>
  <c r="K816" i="1"/>
  <c r="M816" i="1" s="1"/>
  <c r="N816" i="1" s="1"/>
  <c r="K792" i="1"/>
  <c r="M792" i="1" s="1"/>
  <c r="N792" i="1" s="1"/>
  <c r="K769" i="1"/>
  <c r="M769" i="1" s="1"/>
  <c r="N769" i="1" s="1"/>
  <c r="K706" i="1"/>
  <c r="M706" i="1" s="1"/>
  <c r="N706" i="1" s="1"/>
  <c r="K638" i="1"/>
  <c r="M638" i="1" s="1"/>
  <c r="N638" i="1" s="1"/>
  <c r="K602" i="1"/>
  <c r="M602" i="1" s="1"/>
  <c r="N602" i="1" s="1"/>
  <c r="K389" i="1"/>
  <c r="M389" i="1" s="1"/>
  <c r="N389" i="1" s="1"/>
  <c r="K359" i="1"/>
  <c r="M359" i="1" s="1"/>
  <c r="N359" i="1" s="1"/>
  <c r="K318" i="1"/>
  <c r="M318" i="1" s="1"/>
  <c r="N318" i="1" s="1"/>
  <c r="K253" i="1"/>
  <c r="M253" i="1" s="1"/>
  <c r="N253" i="1" s="1"/>
  <c r="K230" i="1"/>
  <c r="M230" i="1" s="1"/>
  <c r="N230" i="1" s="1"/>
  <c r="K207" i="1"/>
  <c r="M207" i="1" s="1"/>
  <c r="N207" i="1" s="1"/>
  <c r="K192" i="1"/>
  <c r="M192" i="1" s="1"/>
  <c r="N192" i="1" s="1"/>
  <c r="K128" i="1"/>
  <c r="M128" i="1" s="1"/>
  <c r="N128" i="1" s="1"/>
  <c r="K104" i="1"/>
  <c r="M104" i="1" s="1"/>
  <c r="N104" i="1" s="1"/>
  <c r="K81" i="1"/>
  <c r="M81" i="1" s="1"/>
  <c r="N81" i="1" s="1"/>
  <c r="J1460" i="1"/>
  <c r="J1465" i="1"/>
  <c r="J251" i="1"/>
  <c r="J359" i="1"/>
  <c r="J903" i="1"/>
  <c r="J1115" i="1"/>
  <c r="J1244" i="1"/>
  <c r="J1374" i="1"/>
  <c r="J59" i="1"/>
  <c r="J318" i="1"/>
  <c r="J562" i="1"/>
  <c r="J802" i="1"/>
  <c r="J1447" i="1"/>
  <c r="J78" i="1"/>
  <c r="J143" i="1"/>
  <c r="J703" i="1"/>
  <c r="J953" i="1"/>
  <c r="J748" i="1"/>
  <c r="J1118" i="1"/>
  <c r="J1393" i="1"/>
  <c r="J82" i="1"/>
  <c r="J128" i="1"/>
  <c r="J197" i="1"/>
  <c r="J534" i="1"/>
  <c r="J624" i="1"/>
  <c r="J844" i="1"/>
  <c r="J882" i="1"/>
  <c r="J979" i="1"/>
  <c r="J1223" i="1"/>
  <c r="J65" i="1"/>
  <c r="J706" i="1"/>
  <c r="J790" i="1"/>
  <c r="J846" i="1"/>
  <c r="J864" i="1"/>
  <c r="J939" i="1"/>
  <c r="J1002" i="1"/>
  <c r="J1255" i="1"/>
  <c r="J91" i="1"/>
  <c r="J154" i="1"/>
  <c r="J231" i="1"/>
  <c r="J371" i="1"/>
  <c r="J576" i="1"/>
  <c r="J849" i="1"/>
  <c r="J867" i="1"/>
  <c r="J1145" i="1"/>
  <c r="J1225" i="1"/>
  <c r="J1288" i="1"/>
  <c r="J1385" i="1"/>
  <c r="J1398" i="1"/>
  <c r="J207" i="1"/>
  <c r="J240" i="1"/>
  <c r="J695" i="1"/>
  <c r="J792" i="1"/>
  <c r="J816" i="1"/>
  <c r="J835" i="1"/>
  <c r="J869" i="1"/>
  <c r="J921" i="1"/>
  <c r="J941" i="1"/>
  <c r="J1063" i="1"/>
  <c r="J1090" i="1"/>
  <c r="J1125" i="1"/>
  <c r="J1226" i="1"/>
  <c r="J1241" i="1"/>
  <c r="J1290" i="1"/>
  <c r="J1369" i="1"/>
  <c r="J1399" i="1"/>
  <c r="J1452" i="1"/>
  <c r="J220" i="1"/>
  <c r="J684" i="1"/>
  <c r="J977" i="1"/>
  <c r="J1392" i="1"/>
  <c r="J289" i="1"/>
  <c r="J492" i="1"/>
  <c r="J704" i="1"/>
  <c r="J769" i="1"/>
  <c r="J828" i="1"/>
  <c r="J1131" i="1"/>
  <c r="J1306" i="1"/>
  <c r="J1378" i="1"/>
  <c r="J1429" i="1"/>
  <c r="J63" i="1"/>
  <c r="J910" i="1"/>
  <c r="J1053" i="1"/>
  <c r="J1100" i="1"/>
  <c r="J1415" i="1"/>
  <c r="J83" i="1"/>
  <c r="J573" i="1"/>
  <c r="J983" i="1"/>
  <c r="J1120" i="1"/>
  <c r="J112" i="1"/>
  <c r="J274" i="1"/>
  <c r="J354" i="1"/>
  <c r="J391" i="1"/>
  <c r="J436" i="1"/>
  <c r="J603" i="1"/>
  <c r="J776" i="1"/>
  <c r="J813" i="1"/>
  <c r="J833" i="1"/>
  <c r="J887" i="1"/>
  <c r="J987" i="1"/>
  <c r="J1121" i="1"/>
  <c r="J1185" i="1"/>
  <c r="J1367" i="1"/>
  <c r="J1417" i="1"/>
  <c r="J183" i="1"/>
  <c r="J356" i="1"/>
  <c r="J392" i="1"/>
  <c r="J503" i="1"/>
  <c r="J76" i="1"/>
  <c r="J93" i="1"/>
  <c r="J120" i="1"/>
  <c r="J141" i="1"/>
  <c r="J159" i="1"/>
  <c r="J242" i="1"/>
  <c r="J330" i="1"/>
  <c r="J357" i="1"/>
  <c r="J379" i="1"/>
  <c r="J446" i="1"/>
  <c r="J638" i="1"/>
  <c r="J698" i="1"/>
  <c r="J714" i="1"/>
  <c r="J794" i="1"/>
  <c r="J837" i="1"/>
  <c r="J974" i="1"/>
  <c r="J991" i="1"/>
  <c r="J1011" i="1"/>
  <c r="J1194" i="1"/>
  <c r="J1729" i="1"/>
  <c r="J192" i="1"/>
  <c r="J403" i="1"/>
  <c r="J781" i="1"/>
  <c r="J997" i="1"/>
  <c r="J1097" i="1"/>
  <c r="J1348" i="1"/>
  <c r="J81" i="1"/>
  <c r="J144" i="1"/>
  <c r="J253" i="1"/>
  <c r="J719" i="1"/>
  <c r="J104" i="1"/>
  <c r="J168" i="1"/>
  <c r="J773" i="1"/>
  <c r="J1001" i="1"/>
  <c r="J1080" i="1"/>
  <c r="J1132" i="1"/>
  <c r="J1236" i="1"/>
  <c r="J1394" i="1"/>
  <c r="J105" i="1"/>
  <c r="J230" i="1"/>
  <c r="J389" i="1"/>
  <c r="J602" i="1"/>
  <c r="J691" i="1"/>
  <c r="J721" i="1"/>
  <c r="J965" i="1"/>
  <c r="J1279" i="1"/>
  <c r="J1416" i="1"/>
  <c r="J296" i="1"/>
  <c r="J28" i="1"/>
  <c r="J77" i="1"/>
  <c r="J101" i="1"/>
  <c r="J310" i="1"/>
  <c r="J614" i="1"/>
  <c r="J715" i="1"/>
  <c r="J767" i="1"/>
  <c r="J825" i="1"/>
  <c r="J838" i="1"/>
  <c r="J854" i="1"/>
  <c r="J901" i="1"/>
  <c r="J1065" i="1"/>
  <c r="J1127" i="1"/>
  <c r="J1169" i="1"/>
  <c r="J1217" i="1"/>
  <c r="J1243" i="1"/>
  <c r="J1402" i="1"/>
  <c r="J1482" i="1"/>
  <c r="J1563" i="1"/>
  <c r="J1661" i="1"/>
  <c r="J1483" i="1"/>
  <c r="J1596" i="1"/>
  <c r="J1767" i="1"/>
  <c r="J1619" i="1"/>
  <c r="J1687" i="1"/>
  <c r="J1471" i="1"/>
  <c r="J1473" i="1"/>
  <c r="J26" i="1"/>
  <c r="J345" i="1"/>
  <c r="J518" i="1"/>
  <c r="J718" i="1"/>
  <c r="J1233" i="1"/>
  <c r="J881" i="1"/>
  <c r="J1249" i="1"/>
  <c r="J369" i="1"/>
  <c r="J688" i="1"/>
  <c r="J1494" i="1"/>
  <c r="J542" i="1"/>
  <c r="J753" i="1"/>
  <c r="J911" i="1"/>
  <c r="J1137" i="1"/>
  <c r="J1183" i="1"/>
  <c r="J1397" i="1"/>
  <c r="J74" i="1"/>
  <c r="J580" i="1"/>
  <c r="J777" i="1"/>
  <c r="J851" i="1"/>
  <c r="J972" i="1"/>
  <c r="J990" i="1"/>
  <c r="J1575" i="1"/>
  <c r="J393" i="1"/>
  <c r="J1064" i="1"/>
  <c r="J1425" i="1"/>
  <c r="J160" i="1"/>
  <c r="J286" i="1"/>
  <c r="J486" i="1"/>
  <c r="J701" i="1"/>
  <c r="J799" i="1"/>
  <c r="J1012" i="1"/>
  <c r="J1114" i="1"/>
  <c r="J1295" i="1"/>
  <c r="J383" i="1"/>
  <c r="J1027" i="1"/>
  <c r="J1119" i="1"/>
  <c r="J152" i="1"/>
  <c r="J898" i="1"/>
  <c r="J1081" i="1"/>
  <c r="J1242" i="1"/>
  <c r="J1390" i="1"/>
  <c r="J565" i="1"/>
  <c r="J705" i="1"/>
  <c r="J768" i="1"/>
  <c r="J839" i="1"/>
  <c r="J1453" i="1"/>
  <c r="J299" i="1"/>
  <c r="J317" i="1"/>
  <c r="J358" i="1"/>
  <c r="J412" i="1"/>
  <c r="J692" i="1"/>
  <c r="J978" i="1"/>
  <c r="J999" i="1"/>
  <c r="J1356" i="1"/>
  <c r="J1404" i="1"/>
  <c r="J1474" i="1"/>
  <c r="J103" i="1"/>
  <c r="J225" i="1"/>
  <c r="J862" i="1"/>
  <c r="J1278" i="1"/>
  <c r="J206" i="1"/>
  <c r="J732" i="1"/>
  <c r="J791" i="1"/>
  <c r="J1128" i="1"/>
  <c r="J1173" i="1"/>
  <c r="J66" i="1"/>
  <c r="J1517" i="1"/>
  <c r="J1536" i="1"/>
  <c r="J447" i="1"/>
  <c r="J720" i="1"/>
  <c r="J855" i="1"/>
  <c r="J976" i="1"/>
  <c r="J992" i="1"/>
  <c r="J1344" i="1"/>
  <c r="J1472" i="1"/>
  <c r="J592" i="1"/>
  <c r="J782" i="1"/>
  <c r="J1148" i="1"/>
  <c r="J805" i="1"/>
  <c r="J1126" i="1"/>
  <c r="J530" i="1"/>
  <c r="J550" i="1"/>
  <c r="J929" i="1"/>
  <c r="J1018" i="1"/>
  <c r="J1380" i="1"/>
  <c r="J883" i="1"/>
  <c r="J1073" i="1"/>
  <c r="J1239" i="1"/>
  <c r="J762" i="1"/>
  <c r="J952" i="1"/>
  <c r="J1213" i="1"/>
  <c r="J1256" i="1"/>
  <c r="J1576" i="1"/>
  <c r="J1542" i="1"/>
  <c r="J1624" i="1"/>
  <c r="J1772" i="1"/>
  <c r="J1654" i="1"/>
  <c r="J1673" i="1"/>
  <c r="J1561" i="1"/>
  <c r="J1506" i="1"/>
  <c r="J1647" i="1"/>
  <c r="J1503" i="1"/>
  <c r="J1521" i="1"/>
  <c r="J1610" i="1"/>
  <c r="J1612" i="1"/>
  <c r="J1712" i="1"/>
  <c r="J1785" i="1"/>
  <c r="J1750" i="1"/>
  <c r="J1512" i="1"/>
  <c r="J1684" i="1"/>
  <c r="J1518" i="1"/>
  <c r="J1620" i="1"/>
  <c r="J1694" i="1"/>
  <c r="J1592" i="1"/>
  <c r="J1688" i="1"/>
  <c r="J1519" i="1"/>
  <c r="J1590" i="1"/>
  <c r="J1638" i="1"/>
  <c r="J1670" i="1"/>
  <c r="J1708" i="1"/>
  <c r="J1591" i="1"/>
  <c r="J1562" i="1"/>
  <c r="J1632" i="1"/>
  <c r="J1660" i="1"/>
  <c r="J1702" i="1"/>
  <c r="J1634" i="1"/>
  <c r="J1699" i="1"/>
  <c r="J1505" i="1"/>
  <c r="J1611" i="1"/>
  <c r="J1631" i="1"/>
  <c r="J1676" i="1"/>
  <c r="J1700" i="1"/>
  <c r="J1566" i="1"/>
  <c r="J1636" i="1"/>
  <c r="J1662" i="1"/>
  <c r="J1668" i="1"/>
  <c r="J1520" i="1"/>
  <c r="J1609" i="1"/>
  <c r="J1653" i="1"/>
  <c r="J1672" i="1"/>
  <c r="J1696" i="1"/>
  <c r="J1711" i="1"/>
  <c r="J1759" i="1"/>
  <c r="J1794" i="1"/>
  <c r="J1645" i="1"/>
  <c r="J1677" i="1"/>
  <c r="J1535" i="1"/>
  <c r="J1703" i="1"/>
  <c r="J1751" i="1"/>
  <c r="J1760" i="1"/>
  <c r="J1784" i="1"/>
  <c r="J1792" i="1"/>
  <c r="G170" i="1" l="1"/>
  <c r="G58" i="1"/>
  <c r="I1035" i="1"/>
  <c r="K1035" i="1" s="1"/>
  <c r="M1035" i="1" s="1"/>
  <c r="N1035" i="1" s="1"/>
  <c r="I459" i="1"/>
  <c r="K459" i="1" s="1"/>
  <c r="M459" i="1" s="1"/>
  <c r="N459" i="1" s="1"/>
  <c r="I139" i="1"/>
  <c r="K139" i="1" s="1"/>
  <c r="M139" i="1" s="1"/>
  <c r="N139" i="1" s="1"/>
  <c r="I1033" i="1"/>
  <c r="K1033" i="1" s="1"/>
  <c r="M1033" i="1" s="1"/>
  <c r="N1033" i="1" s="1"/>
  <c r="I217" i="1"/>
  <c r="K217" i="1" s="1"/>
  <c r="M217" i="1" s="1"/>
  <c r="N217" i="1" s="1"/>
  <c r="G432" i="1"/>
  <c r="K432" i="1" s="1"/>
  <c r="M432" i="1" s="1"/>
  <c r="N432" i="1" s="1"/>
  <c r="G451" i="1"/>
  <c r="K451" i="1" s="1"/>
  <c r="M451" i="1" s="1"/>
  <c r="N451" i="1" s="1"/>
  <c r="G441" i="1"/>
  <c r="G710" i="1"/>
  <c r="G440" i="1"/>
  <c r="G25" i="1"/>
  <c r="G479" i="1"/>
  <c r="G478" i="1"/>
  <c r="G138" i="1"/>
  <c r="G165" i="1"/>
  <c r="G53" i="1"/>
  <c r="G52" i="1"/>
  <c r="G280" i="1"/>
  <c r="G468" i="1"/>
  <c r="I185" i="1"/>
  <c r="K185" i="1" s="1"/>
  <c r="M185" i="1" s="1"/>
  <c r="N185" i="1" s="1"/>
  <c r="I1727" i="1"/>
  <c r="K1727" i="1" s="1"/>
  <c r="M1727" i="1" s="1"/>
  <c r="N1727" i="1" s="1"/>
  <c r="I271" i="1"/>
  <c r="K271" i="1" s="1"/>
  <c r="M271" i="1" s="1"/>
  <c r="N271" i="1" s="1"/>
  <c r="G336" i="1"/>
  <c r="I1040" i="1"/>
  <c r="K1040" i="1" s="1"/>
  <c r="M1040" i="1" s="1"/>
  <c r="N1040" i="1" s="1"/>
  <c r="I575" i="1"/>
  <c r="K575" i="1" s="1"/>
  <c r="M575" i="1" s="1"/>
  <c r="N575" i="1" s="1"/>
  <c r="I335" i="1"/>
  <c r="K335" i="1" s="1"/>
  <c r="M335" i="1" s="1"/>
  <c r="N335" i="1" s="1"/>
  <c r="I156" i="1"/>
  <c r="K156" i="1" s="1"/>
  <c r="M156" i="1" s="1"/>
  <c r="N156" i="1" s="1"/>
  <c r="I449" i="1"/>
  <c r="K449" i="1" s="1"/>
  <c r="M449" i="1" s="1"/>
  <c r="N449" i="1" s="1"/>
  <c r="I525" i="1"/>
  <c r="K525" i="1" s="1"/>
  <c r="M525" i="1" s="1"/>
  <c r="N525" i="1" s="1"/>
  <c r="G270" i="1"/>
  <c r="I524" i="1"/>
  <c r="K524" i="1" s="1"/>
  <c r="M524" i="1" s="1"/>
  <c r="N524" i="1" s="1"/>
  <c r="G2" i="1"/>
  <c r="G1400" i="1"/>
  <c r="G591" i="1"/>
  <c r="K591" i="1" s="1"/>
  <c r="M591" i="1" s="1"/>
  <c r="N591" i="1" s="1"/>
  <c r="I1276" i="1"/>
  <c r="K1276" i="1" s="1"/>
  <c r="M1276" i="1" s="1"/>
  <c r="N1276" i="1" s="1"/>
  <c r="G460" i="1"/>
  <c r="I700" i="1"/>
  <c r="K700" i="1" s="1"/>
  <c r="M700" i="1" s="1"/>
  <c r="N700" i="1" s="1"/>
  <c r="I1659" i="1"/>
  <c r="K1659" i="1" s="1"/>
  <c r="M1659" i="1" s="1"/>
  <c r="N1659" i="1" s="1"/>
  <c r="G700" i="1"/>
  <c r="G1659" i="1"/>
  <c r="G316" i="1"/>
  <c r="K316" i="1" s="1"/>
  <c r="M316" i="1" s="1"/>
  <c r="N316" i="1" s="1"/>
  <c r="G362" i="1"/>
  <c r="K362" i="1" s="1"/>
  <c r="M362" i="1" s="1"/>
  <c r="N362" i="1" s="1"/>
  <c r="G303" i="1"/>
  <c r="K303" i="1" s="1"/>
  <c r="M303" i="1" s="1"/>
  <c r="N303" i="1" s="1"/>
  <c r="G401" i="1"/>
  <c r="G190" i="1"/>
  <c r="I1736" i="1"/>
  <c r="K1736" i="1" s="1"/>
  <c r="M1736" i="1" s="1"/>
  <c r="N1736" i="1" s="1"/>
  <c r="I1361" i="1"/>
  <c r="K1361" i="1" s="1"/>
  <c r="M1361" i="1" s="1"/>
  <c r="N1361" i="1" s="1"/>
  <c r="G1361" i="1"/>
  <c r="G24" i="1"/>
  <c r="K24" i="1" s="1"/>
  <c r="M24" i="1" s="1"/>
  <c r="N24" i="1" s="1"/>
  <c r="I277" i="1"/>
  <c r="K277" i="1" s="1"/>
  <c r="M277" i="1" s="1"/>
  <c r="N277" i="1" s="1"/>
  <c r="J24" i="1" l="1"/>
  <c r="J451" i="1"/>
  <c r="J139" i="1"/>
  <c r="J459" i="1"/>
  <c r="J316" i="1"/>
  <c r="J277" i="1"/>
  <c r="J1033" i="1"/>
  <c r="J1035" i="1"/>
  <c r="J303" i="1"/>
  <c r="J362" i="1"/>
  <c r="J591" i="1"/>
  <c r="J217" i="1"/>
  <c r="J432" i="1"/>
  <c r="J185" i="1"/>
  <c r="G36" i="1"/>
  <c r="K36" i="1" s="1"/>
  <c r="M36" i="1" s="1"/>
  <c r="N36" i="1" s="1"/>
  <c r="G29" i="1"/>
  <c r="K29" i="1" s="1"/>
  <c r="M29" i="1" s="1"/>
  <c r="N29" i="1" s="1"/>
  <c r="G622" i="1"/>
  <c r="K622" i="1" s="1"/>
  <c r="M622" i="1" s="1"/>
  <c r="N622" i="1" s="1"/>
  <c r="G637" i="1"/>
  <c r="K637" i="1" s="1"/>
  <c r="M637" i="1" s="1"/>
  <c r="N637" i="1" s="1"/>
  <c r="G623" i="1"/>
  <c r="K623" i="1" s="1"/>
  <c r="M623" i="1" s="1"/>
  <c r="N623" i="1" s="1"/>
  <c r="G646" i="1"/>
  <c r="K646" i="1" s="1"/>
  <c r="M646" i="1" s="1"/>
  <c r="N646" i="1" s="1"/>
  <c r="G137" i="1"/>
  <c r="G352" i="1"/>
  <c r="G115" i="1"/>
  <c r="K115" i="1" s="1"/>
  <c r="M115" i="1" s="1"/>
  <c r="N115" i="1" s="1"/>
  <c r="G594" i="1"/>
  <c r="K594" i="1" s="1"/>
  <c r="M594" i="1" s="1"/>
  <c r="N594" i="1" s="1"/>
  <c r="G315" i="1"/>
  <c r="K315" i="1" s="1"/>
  <c r="M315" i="1" s="1"/>
  <c r="N315" i="1" s="1"/>
  <c r="G449" i="1"/>
  <c r="G522" i="1"/>
  <c r="G575" i="1"/>
  <c r="G156" i="1"/>
  <c r="G1040" i="1"/>
  <c r="G145" i="1"/>
  <c r="G524" i="1"/>
  <c r="G525" i="1"/>
  <c r="G335" i="1"/>
  <c r="G195" i="1"/>
  <c r="K195" i="1" s="1"/>
  <c r="M195" i="1" s="1"/>
  <c r="N195" i="1" s="1"/>
  <c r="G34" i="1"/>
  <c r="K34" i="1" s="1"/>
  <c r="M34" i="1" s="1"/>
  <c r="N34" i="1" s="1"/>
  <c r="I222" i="1"/>
  <c r="K222" i="1" s="1"/>
  <c r="M222" i="1" s="1"/>
  <c r="N222" i="1" s="1"/>
  <c r="G196" i="1"/>
  <c r="K196" i="1" s="1"/>
  <c r="M196" i="1" s="1"/>
  <c r="N196" i="1" s="1"/>
  <c r="I1382" i="1"/>
  <c r="K1382" i="1" s="1"/>
  <c r="M1382" i="1" s="1"/>
  <c r="N1382" i="1" s="1"/>
  <c r="G194" i="1"/>
  <c r="K194" i="1" s="1"/>
  <c r="M194" i="1" s="1"/>
  <c r="N194" i="1" s="1"/>
  <c r="G507" i="1"/>
  <c r="K507" i="1" s="1"/>
  <c r="M507" i="1" s="1"/>
  <c r="N507" i="1" s="1"/>
  <c r="G153" i="1"/>
  <c r="K153" i="1" s="1"/>
  <c r="M153" i="1" s="1"/>
  <c r="N153" i="1" s="1"/>
  <c r="G536" i="1"/>
  <c r="K536" i="1" s="1"/>
  <c r="M536" i="1" s="1"/>
  <c r="N536" i="1" s="1"/>
  <c r="G572" i="1"/>
  <c r="K572" i="1" s="1"/>
  <c r="M572" i="1" s="1"/>
  <c r="N572" i="1" s="1"/>
  <c r="G199" i="1"/>
  <c r="K199" i="1" s="1"/>
  <c r="M199" i="1" s="1"/>
  <c r="N199" i="1" s="1"/>
  <c r="G22" i="1"/>
  <c r="K22" i="1" s="1"/>
  <c r="M22" i="1" s="1"/>
  <c r="N22" i="1" s="1"/>
  <c r="G209" i="1"/>
  <c r="K209" i="1" s="1"/>
  <c r="M209" i="1" s="1"/>
  <c r="N209" i="1" s="1"/>
  <c r="G67" i="1"/>
  <c r="K67" i="1" s="1"/>
  <c r="M67" i="1" s="1"/>
  <c r="N67" i="1" s="1"/>
  <c r="G210" i="1"/>
  <c r="K210" i="1" s="1"/>
  <c r="M210" i="1" s="1"/>
  <c r="N210" i="1" s="1"/>
  <c r="G243" i="1"/>
  <c r="K243" i="1" s="1"/>
  <c r="M243" i="1" s="1"/>
  <c r="N243" i="1" s="1"/>
  <c r="I1651" i="1"/>
  <c r="K1651" i="1" s="1"/>
  <c r="M1651" i="1" s="1"/>
  <c r="N1651" i="1" s="1"/>
  <c r="G23" i="1"/>
  <c r="K23" i="1" s="1"/>
  <c r="M23" i="1" s="1"/>
  <c r="N23" i="1" s="1"/>
  <c r="G35" i="1"/>
  <c r="K35" i="1" s="1"/>
  <c r="M35" i="1" s="1"/>
  <c r="N35" i="1" s="1"/>
  <c r="G506" i="1"/>
  <c r="K506" i="1" s="1"/>
  <c r="M506" i="1" s="1"/>
  <c r="N506" i="1" s="1"/>
  <c r="G184" i="1"/>
  <c r="G448" i="1"/>
  <c r="K448" i="1" s="1"/>
  <c r="M448" i="1" s="1"/>
  <c r="N448" i="1" s="1"/>
  <c r="G1538" i="1"/>
  <c r="K1538" i="1" s="1"/>
  <c r="M1538" i="1" s="1"/>
  <c r="N1538" i="1" s="1"/>
  <c r="G311" i="1"/>
  <c r="G461" i="1"/>
  <c r="G423" i="1"/>
  <c r="K423" i="1" s="1"/>
  <c r="M423" i="1" s="1"/>
  <c r="N423" i="1" s="1"/>
  <c r="G255" i="1"/>
  <c r="K255" i="1" s="1"/>
  <c r="M255" i="1" s="1"/>
  <c r="N255" i="1" s="1"/>
  <c r="G302" i="1"/>
  <c r="K302" i="1" s="1"/>
  <c r="M302" i="1" s="1"/>
  <c r="N302" i="1" s="1"/>
  <c r="G313" i="1"/>
  <c r="K313" i="1" s="1"/>
  <c r="M313" i="1" s="1"/>
  <c r="N313" i="1" s="1"/>
  <c r="G484" i="1"/>
  <c r="K484" i="1" s="1"/>
  <c r="M484" i="1" s="1"/>
  <c r="N484" i="1" s="1"/>
  <c r="G431" i="1"/>
  <c r="K431" i="1" s="1"/>
  <c r="M431" i="1" s="1"/>
  <c r="N431" i="1" s="1"/>
  <c r="G485" i="1"/>
  <c r="K485" i="1" s="1"/>
  <c r="M485" i="1" s="1"/>
  <c r="N485" i="1" s="1"/>
  <c r="G224" i="1"/>
  <c r="K224" i="1" s="1"/>
  <c r="M224" i="1" s="1"/>
  <c r="N224" i="1" s="1"/>
  <c r="G545" i="1"/>
  <c r="K545" i="1" s="1"/>
  <c r="M545" i="1" s="1"/>
  <c r="N545" i="1" s="1"/>
  <c r="G539" i="1"/>
  <c r="K539" i="1" s="1"/>
  <c r="M539" i="1" s="1"/>
  <c r="N539" i="1" s="1"/>
  <c r="G511" i="1"/>
  <c r="K511" i="1" s="1"/>
  <c r="M511" i="1" s="1"/>
  <c r="N511" i="1" s="1"/>
  <c r="G338" i="1"/>
  <c r="K338" i="1" s="1"/>
  <c r="M338" i="1" s="1"/>
  <c r="N338" i="1" s="1"/>
  <c r="G540" i="1"/>
  <c r="K540" i="1" s="1"/>
  <c r="M540" i="1" s="1"/>
  <c r="N540" i="1" s="1"/>
  <c r="G512" i="1"/>
  <c r="K512" i="1" s="1"/>
  <c r="M512" i="1" s="1"/>
  <c r="N512" i="1" s="1"/>
  <c r="G1020" i="1"/>
  <c r="K1020" i="1" s="1"/>
  <c r="M1020" i="1" s="1"/>
  <c r="N1020" i="1" s="1"/>
  <c r="G759" i="1"/>
  <c r="K759" i="1" s="1"/>
  <c r="M759" i="1" s="1"/>
  <c r="N759" i="1" s="1"/>
  <c r="G1459" i="1"/>
  <c r="K1459" i="1" s="1"/>
  <c r="M1459" i="1" s="1"/>
  <c r="N1459" i="1" s="1"/>
  <c r="G967" i="1"/>
  <c r="K967" i="1" s="1"/>
  <c r="M967" i="1" s="1"/>
  <c r="N967" i="1" s="1"/>
  <c r="G959" i="1"/>
  <c r="K959" i="1" s="1"/>
  <c r="M959" i="1" s="1"/>
  <c r="N959" i="1" s="1"/>
  <c r="G1550" i="1"/>
  <c r="K1550" i="1" s="1"/>
  <c r="M1550" i="1" s="1"/>
  <c r="N1550" i="1" s="1"/>
  <c r="G95" i="1"/>
  <c r="K95" i="1" s="1"/>
  <c r="M95" i="1" s="1"/>
  <c r="N95" i="1" s="1"/>
  <c r="G944" i="1"/>
  <c r="K944" i="1" s="1"/>
  <c r="M944" i="1" s="1"/>
  <c r="N944" i="1" s="1"/>
  <c r="G856" i="1"/>
  <c r="K856" i="1" s="1"/>
  <c r="M856" i="1" s="1"/>
  <c r="N856" i="1" s="1"/>
  <c r="G736" i="1"/>
  <c r="K736" i="1" s="1"/>
  <c r="M736" i="1" s="1"/>
  <c r="N736" i="1" s="1"/>
  <c r="I728" i="1"/>
  <c r="K728" i="1" s="1"/>
  <c r="M728" i="1" s="1"/>
  <c r="N728" i="1" s="1"/>
  <c r="I729" i="1"/>
  <c r="K729" i="1" s="1"/>
  <c r="M729" i="1" s="1"/>
  <c r="N729" i="1" s="1"/>
  <c r="G71" i="1"/>
  <c r="K71" i="1" s="1"/>
  <c r="M71" i="1" s="1"/>
  <c r="N71" i="1" s="1"/>
  <c r="G1728" i="1"/>
  <c r="K1728" i="1" s="1"/>
  <c r="M1728" i="1" s="1"/>
  <c r="N1728" i="1" s="1"/>
  <c r="G960" i="1"/>
  <c r="K960" i="1" s="1"/>
  <c r="M960" i="1" s="1"/>
  <c r="N960" i="1" s="1"/>
  <c r="G1013" i="1"/>
  <c r="K1013" i="1" s="1"/>
  <c r="M1013" i="1" s="1"/>
  <c r="N1013" i="1" s="1"/>
  <c r="G1739" i="1"/>
  <c r="K1739" i="1" s="1"/>
  <c r="M1739" i="1" s="1"/>
  <c r="N1739" i="1" s="1"/>
  <c r="G56" i="1"/>
  <c r="G671" i="1"/>
  <c r="K671" i="1" s="1"/>
  <c r="M671" i="1" s="1"/>
  <c r="N671" i="1" s="1"/>
  <c r="G670" i="1"/>
  <c r="K670" i="1" s="1"/>
  <c r="M670" i="1" s="1"/>
  <c r="N670" i="1" s="1"/>
  <c r="G647" i="1"/>
  <c r="K647" i="1" s="1"/>
  <c r="M647" i="1" s="1"/>
  <c r="N647" i="1" s="1"/>
  <c r="G682" i="1"/>
  <c r="K682" i="1" s="1"/>
  <c r="M682" i="1" s="1"/>
  <c r="N682" i="1" s="1"/>
  <c r="G660" i="1"/>
  <c r="K660" i="1" s="1"/>
  <c r="M660" i="1" s="1"/>
  <c r="N660" i="1" s="1"/>
  <c r="G8" i="1"/>
  <c r="I10" i="1"/>
  <c r="K10" i="1" s="1"/>
  <c r="M10" i="1" s="1"/>
  <c r="N10" i="1" s="1"/>
  <c r="G942" i="1"/>
  <c r="K942" i="1" s="1"/>
  <c r="M942" i="1" s="1"/>
  <c r="N942" i="1" s="1"/>
  <c r="G932" i="1"/>
  <c r="K932" i="1" s="1"/>
  <c r="M932" i="1" s="1"/>
  <c r="N932" i="1" s="1"/>
  <c r="G1770" i="1"/>
  <c r="K1770" i="1" s="1"/>
  <c r="M1770" i="1" s="1"/>
  <c r="N1770" i="1" s="1"/>
  <c r="G1761" i="1"/>
  <c r="K1761" i="1" s="1"/>
  <c r="M1761" i="1" s="1"/>
  <c r="N1761" i="1" s="1"/>
  <c r="G1749" i="1"/>
  <c r="K1749" i="1" s="1"/>
  <c r="M1749" i="1" s="1"/>
  <c r="N1749" i="1" s="1"/>
  <c r="G593" i="1"/>
  <c r="K593" i="1" s="1"/>
  <c r="M593" i="1" s="1"/>
  <c r="N593" i="1" s="1"/>
  <c r="G372" i="1"/>
  <c r="K372" i="1" s="1"/>
  <c r="M372" i="1" s="1"/>
  <c r="N372" i="1" s="1"/>
  <c r="G291" i="1"/>
  <c r="K291" i="1" s="1"/>
  <c r="M291" i="1" s="1"/>
  <c r="N291" i="1" s="1"/>
  <c r="I12" i="1"/>
  <c r="K12" i="1" s="1"/>
  <c r="M12" i="1" s="1"/>
  <c r="N12" i="1" s="1"/>
  <c r="G1782" i="1"/>
  <c r="K1782" i="1" s="1"/>
  <c r="M1782" i="1" s="1"/>
  <c r="N1782" i="1" s="1"/>
  <c r="G943" i="1"/>
  <c r="K943" i="1" s="1"/>
  <c r="M943" i="1" s="1"/>
  <c r="N943" i="1" s="1"/>
  <c r="G1219" i="1"/>
  <c r="K1219" i="1" s="1"/>
  <c r="M1219" i="1" s="1"/>
  <c r="N1219" i="1" s="1"/>
  <c r="G1793" i="1"/>
  <c r="K1793" i="1" s="1"/>
  <c r="M1793" i="1" s="1"/>
  <c r="N1793" i="1" s="1"/>
  <c r="G1029" i="1"/>
  <c r="K1029" i="1" s="1"/>
  <c r="M1029" i="1" s="1"/>
  <c r="N1029" i="1" s="1"/>
  <c r="G1771" i="1"/>
  <c r="K1771" i="1" s="1"/>
  <c r="M1771" i="1" s="1"/>
  <c r="N1771" i="1" s="1"/>
  <c r="I14" i="1"/>
  <c r="K14" i="1" s="1"/>
  <c r="M14" i="1" s="1"/>
  <c r="N14" i="1" s="1"/>
  <c r="G1783" i="1"/>
  <c r="K1783" i="1" s="1"/>
  <c r="M1783" i="1" s="1"/>
  <c r="N1783" i="1" s="1"/>
  <c r="G1202" i="1"/>
  <c r="K1202" i="1" s="1"/>
  <c r="M1202" i="1" s="1"/>
  <c r="N1202" i="1" s="1"/>
  <c r="G933" i="1"/>
  <c r="K933" i="1" s="1"/>
  <c r="M933" i="1" s="1"/>
  <c r="N933" i="1" s="1"/>
  <c r="G1193" i="1"/>
  <c r="K1193" i="1" s="1"/>
  <c r="M1193" i="1" s="1"/>
  <c r="N1193" i="1" s="1"/>
  <c r="G1203" i="1"/>
  <c r="K1203" i="1" s="1"/>
  <c r="M1203" i="1" s="1"/>
  <c r="N1203" i="1" s="1"/>
  <c r="G1181" i="1"/>
  <c r="K1181" i="1" s="1"/>
  <c r="M1181" i="1" s="1"/>
  <c r="N1181" i="1" s="1"/>
  <c r="I18" i="1"/>
  <c r="K18" i="1" s="1"/>
  <c r="M18" i="1" s="1"/>
  <c r="N18" i="1" s="1"/>
  <c r="I19" i="1"/>
  <c r="K19" i="1" s="1"/>
  <c r="M19" i="1" s="1"/>
  <c r="N19" i="1" s="1"/>
  <c r="G1481" i="1"/>
  <c r="K1481" i="1" s="1"/>
  <c r="M1481" i="1" s="1"/>
  <c r="N1481" i="1" s="1"/>
  <c r="G648" i="1"/>
  <c r="K648" i="1" s="1"/>
  <c r="M648" i="1" s="1"/>
  <c r="N648" i="1" s="1"/>
  <c r="G625" i="1"/>
  <c r="K625" i="1" s="1"/>
  <c r="M625" i="1" s="1"/>
  <c r="N625" i="1" s="1"/>
  <c r="G639" i="1"/>
  <c r="K639" i="1" s="1"/>
  <c r="M639" i="1" s="1"/>
  <c r="N639" i="1" s="1"/>
  <c r="G526" i="1"/>
  <c r="K526" i="1" s="1"/>
  <c r="M526" i="1" s="1"/>
  <c r="N526" i="1" s="1"/>
  <c r="G498" i="1"/>
  <c r="K498" i="1" s="1"/>
  <c r="M498" i="1" s="1"/>
  <c r="N498" i="1" s="1"/>
  <c r="G314" i="1"/>
  <c r="K314" i="1" s="1"/>
  <c r="M314" i="1" s="1"/>
  <c r="N314" i="1" s="1"/>
  <c r="G465" i="1"/>
  <c r="K465" i="1" s="1"/>
  <c r="M465" i="1" s="1"/>
  <c r="N465" i="1" s="1"/>
  <c r="G474" i="1"/>
  <c r="G250" i="1"/>
  <c r="G60" i="1"/>
  <c r="K60" i="1" s="1"/>
  <c r="M60" i="1" s="1"/>
  <c r="N60" i="1" s="1"/>
  <c r="G134" i="1"/>
  <c r="K134" i="1" s="1"/>
  <c r="M134" i="1" s="1"/>
  <c r="N134" i="1" s="1"/>
  <c r="G397" i="1"/>
  <c r="K397" i="1" s="1"/>
  <c r="M397" i="1" s="1"/>
  <c r="N397" i="1" s="1"/>
  <c r="G363" i="1"/>
  <c r="K363" i="1" s="1"/>
  <c r="M363" i="1" s="1"/>
  <c r="N363" i="1" s="1"/>
  <c r="J700" i="1"/>
  <c r="J1659" i="1"/>
  <c r="J1361" i="1"/>
  <c r="G114" i="1"/>
  <c r="G122" i="1"/>
  <c r="G394" i="1"/>
  <c r="G360" i="1"/>
  <c r="G395" i="1"/>
  <c r="G361" i="1"/>
  <c r="G349" i="1"/>
  <c r="G384" i="1"/>
  <c r="G416" i="1"/>
  <c r="G94" i="1"/>
  <c r="G80" i="1"/>
  <c r="G106" i="1"/>
  <c r="G90" i="1"/>
  <c r="G282" i="1"/>
  <c r="G118" i="1"/>
  <c r="G72" i="1"/>
  <c r="G264" i="1"/>
  <c r="G6" i="1"/>
  <c r="G385" i="1"/>
  <c r="G176" i="1"/>
  <c r="G161" i="1"/>
  <c r="G417" i="1"/>
  <c r="G481" i="1"/>
  <c r="G434" i="1"/>
  <c r="G272" i="1"/>
  <c r="G256" i="1"/>
  <c r="G96" i="1"/>
  <c r="G7" i="1"/>
  <c r="G97" i="1"/>
  <c r="G39" i="1"/>
  <c r="G46" i="1"/>
  <c r="G426" i="1"/>
  <c r="G466" i="1"/>
  <c r="G424" i="1"/>
  <c r="G513" i="1"/>
  <c r="G278" i="1"/>
  <c r="G480" i="1"/>
  <c r="G433" i="1"/>
  <c r="G304" i="1"/>
  <c r="G5" i="1"/>
  <c r="G30" i="1"/>
  <c r="G1623" i="1"/>
  <c r="K1623" i="1" s="1"/>
  <c r="M1623" i="1" s="1"/>
  <c r="N1623" i="1" s="1"/>
  <c r="G198" i="1"/>
  <c r="K198" i="1" s="1"/>
  <c r="M198" i="1" s="1"/>
  <c r="N198" i="1" s="1"/>
  <c r="G129" i="1"/>
  <c r="K129" i="1" s="1"/>
  <c r="M129" i="1" s="1"/>
  <c r="N129" i="1" s="1"/>
  <c r="G208" i="1"/>
  <c r="K208" i="1" s="1"/>
  <c r="M208" i="1" s="1"/>
  <c r="N208" i="1" s="1"/>
  <c r="G333" i="1"/>
  <c r="G130" i="1"/>
  <c r="K130" i="1" s="1"/>
  <c r="M130" i="1" s="1"/>
  <c r="N130" i="1" s="1"/>
  <c r="G252" i="1"/>
  <c r="K252" i="1" s="1"/>
  <c r="M252" i="1" s="1"/>
  <c r="N252" i="1" s="1"/>
  <c r="G241" i="1"/>
  <c r="K241" i="1" s="1"/>
  <c r="M241" i="1" s="1"/>
  <c r="N241" i="1" s="1"/>
  <c r="G510" i="1"/>
  <c r="G450" i="1"/>
  <c r="G254" i="1"/>
  <c r="G232" i="1"/>
  <c r="I233" i="1"/>
  <c r="K233" i="1" s="1"/>
  <c r="M233" i="1" s="1"/>
  <c r="N233" i="1" s="1"/>
  <c r="G233" i="1"/>
  <c r="G301" i="1"/>
  <c r="G262" i="1"/>
  <c r="I158" i="1"/>
  <c r="K158" i="1" s="1"/>
  <c r="M158" i="1" s="1"/>
  <c r="N158" i="1" s="1"/>
  <c r="G158" i="1"/>
  <c r="G45" i="1"/>
  <c r="G425" i="1"/>
  <c r="G38" i="1"/>
  <c r="G177" i="1"/>
  <c r="G162" i="1"/>
  <c r="G418" i="1"/>
  <c r="G86" i="1"/>
  <c r="G47" i="1"/>
  <c r="G40" i="1"/>
  <c r="G238" i="1"/>
  <c r="G490" i="1"/>
  <c r="G284" i="1"/>
  <c r="G322" i="1"/>
  <c r="G305" i="1"/>
  <c r="G294" i="1"/>
  <c r="G73" i="1"/>
  <c r="G62" i="1"/>
  <c r="G343" i="1"/>
  <c r="G410" i="1"/>
  <c r="G377" i="1"/>
  <c r="G87" i="1"/>
  <c r="G98" i="1"/>
  <c r="I488" i="1"/>
  <c r="K488" i="1" s="1"/>
  <c r="M488" i="1" s="1"/>
  <c r="N488" i="1" s="1"/>
  <c r="G488" i="1"/>
  <c r="G201" i="1"/>
  <c r="G226" i="1"/>
  <c r="G214" i="1"/>
  <c r="G178" i="1"/>
  <c r="G320" i="1"/>
  <c r="G136" i="1"/>
  <c r="G88" i="1"/>
  <c r="G514" i="1"/>
  <c r="G489" i="1"/>
  <c r="G281" i="1"/>
  <c r="G216" i="1"/>
  <c r="G400" i="1"/>
  <c r="G386" i="1"/>
  <c r="G321" i="1"/>
  <c r="G408" i="1"/>
  <c r="G273" i="1"/>
  <c r="G89" i="1"/>
  <c r="G110" i="1"/>
  <c r="G246" i="1"/>
  <c r="G202" i="1"/>
  <c r="G409" i="1"/>
  <c r="G376" i="1"/>
  <c r="G337" i="1"/>
  <c r="G496" i="1"/>
  <c r="G234" i="1"/>
  <c r="G186" i="1"/>
  <c r="G464" i="1"/>
  <c r="G571" i="1"/>
  <c r="G442" i="1"/>
  <c r="G266" i="1"/>
  <c r="G288" i="1"/>
  <c r="G297" i="1"/>
  <c r="G258" i="1"/>
  <c r="G346" i="1"/>
  <c r="I33" i="1"/>
  <c r="K33" i="1" s="1"/>
  <c r="M33" i="1" s="1"/>
  <c r="N33" i="1" s="1"/>
  <c r="G33" i="1"/>
  <c r="I9" i="1"/>
  <c r="K9" i="1" s="1"/>
  <c r="M9" i="1" s="1"/>
  <c r="N9" i="1" s="1"/>
  <c r="G9" i="1"/>
  <c r="G187" i="1"/>
  <c r="K187" i="1" s="1"/>
  <c r="M187" i="1" s="1"/>
  <c r="N187" i="1" s="1"/>
  <c r="G70" i="1"/>
  <c r="K70" i="1" s="1"/>
  <c r="M70" i="1" s="1"/>
  <c r="N70" i="1" s="1"/>
  <c r="I16" i="1"/>
  <c r="K16" i="1" s="1"/>
  <c r="M16" i="1" s="1"/>
  <c r="N16" i="1" s="1"/>
  <c r="G16" i="1"/>
  <c r="I249" i="1"/>
  <c r="K249" i="1" s="1"/>
  <c r="M249" i="1" s="1"/>
  <c r="N249" i="1" s="1"/>
  <c r="G249" i="1"/>
  <c r="G473" i="1"/>
  <c r="G174" i="1"/>
  <c r="K174" i="1" s="1"/>
  <c r="M174" i="1" s="1"/>
  <c r="N174" i="1" s="1"/>
  <c r="G532" i="1"/>
  <c r="G505" i="1"/>
  <c r="G298" i="1"/>
  <c r="G57" i="1"/>
  <c r="G329" i="1"/>
  <c r="G64" i="1"/>
  <c r="G312" i="1"/>
  <c r="G482" i="1"/>
  <c r="G146" i="1"/>
  <c r="I420" i="1"/>
  <c r="K420" i="1" s="1"/>
  <c r="M420" i="1" s="1"/>
  <c r="N420" i="1" s="1"/>
  <c r="G420" i="1"/>
  <c r="G495" i="1"/>
  <c r="G223" i="1"/>
  <c r="G566" i="1"/>
  <c r="G69" i="1"/>
  <c r="G727" i="1"/>
  <c r="G367" i="1"/>
  <c r="G579" i="1"/>
  <c r="G283" i="1"/>
  <c r="G181" i="1"/>
  <c r="G396" i="1"/>
  <c r="K396" i="1" s="1"/>
  <c r="M396" i="1" s="1"/>
  <c r="N396" i="1" s="1"/>
  <c r="G616" i="1"/>
  <c r="G366" i="1"/>
  <c r="G293" i="1"/>
  <c r="G100" i="1"/>
  <c r="G627" i="1"/>
  <c r="G679" i="1"/>
  <c r="G645" i="1"/>
  <c r="G621" i="1"/>
  <c r="G309" i="1"/>
  <c r="G668" i="1"/>
  <c r="G636" i="1"/>
  <c r="G657" i="1"/>
  <c r="G1428" i="1"/>
  <c r="G588" i="1"/>
  <c r="G610" i="1"/>
  <c r="G601" i="1"/>
  <c r="I630" i="1"/>
  <c r="K630" i="1" s="1"/>
  <c r="M630" i="1" s="1"/>
  <c r="N630" i="1" s="1"/>
  <c r="G630" i="1"/>
  <c r="G631" i="1"/>
  <c r="G606" i="1"/>
  <c r="G582" i="1"/>
  <c r="G596" i="1"/>
  <c r="G642" i="1"/>
  <c r="G618" i="1"/>
  <c r="I437" i="1"/>
  <c r="K437" i="1" s="1"/>
  <c r="M437" i="1" s="1"/>
  <c r="N437" i="1" s="1"/>
  <c r="G437" i="1"/>
  <c r="G111" i="1"/>
  <c r="G662" i="1"/>
  <c r="G558" i="1"/>
  <c r="G605" i="1"/>
  <c r="G581" i="1"/>
  <c r="G628" i="1"/>
  <c r="G595" i="1"/>
  <c r="G387" i="1"/>
  <c r="G650" i="1"/>
  <c r="G673" i="1"/>
  <c r="G641" i="1"/>
  <c r="G617" i="1"/>
  <c r="G487" i="1"/>
  <c r="G319" i="1"/>
  <c r="G279" i="1"/>
  <c r="G135" i="1"/>
  <c r="G731" i="1"/>
  <c r="G406" i="1"/>
  <c r="G398" i="1"/>
  <c r="G350" i="1"/>
  <c r="G541" i="1"/>
  <c r="G373" i="1"/>
  <c r="G213" i="1"/>
  <c r="G85" i="1"/>
  <c r="G61" i="1"/>
  <c r="G709" i="1"/>
  <c r="G452" i="1"/>
  <c r="G364" i="1"/>
  <c r="G292" i="1"/>
  <c r="G124" i="1"/>
  <c r="G467" i="1"/>
  <c r="G339" i="1"/>
  <c r="G554" i="1"/>
  <c r="G546" i="1"/>
  <c r="G723" i="1"/>
  <c r="G577" i="1"/>
  <c r="G640" i="1"/>
  <c r="G604" i="1"/>
  <c r="G37" i="1"/>
  <c r="G44" i="1"/>
  <c r="G3" i="1"/>
  <c r="G527" i="1"/>
  <c r="G175" i="1"/>
  <c r="G117" i="1"/>
  <c r="K117" i="1" s="1"/>
  <c r="M117" i="1" s="1"/>
  <c r="N117" i="1" s="1"/>
  <c r="G84" i="1"/>
  <c r="G4" i="1"/>
  <c r="G477" i="1"/>
  <c r="G611" i="1"/>
  <c r="G669" i="1"/>
  <c r="G681" i="1"/>
  <c r="G574" i="1"/>
  <c r="G508" i="1"/>
  <c r="G537" i="1"/>
  <c r="G1697" i="1"/>
  <c r="K1697" i="1" s="1"/>
  <c r="M1697" i="1" s="1"/>
  <c r="N1697" i="1" s="1"/>
  <c r="G689" i="1"/>
  <c r="K689" i="1" s="1"/>
  <c r="M689" i="1" s="1"/>
  <c r="N689" i="1" s="1"/>
  <c r="G702" i="1"/>
  <c r="K702" i="1" s="1"/>
  <c r="M702" i="1" s="1"/>
  <c r="N702" i="1" s="1"/>
  <c r="G27" i="1"/>
  <c r="K27" i="1" s="1"/>
  <c r="M27" i="1" s="1"/>
  <c r="N27" i="1" s="1"/>
  <c r="G180" i="1"/>
  <c r="G547" i="1"/>
  <c r="G79" i="1"/>
  <c r="K79" i="1" s="1"/>
  <c r="M79" i="1" s="1"/>
  <c r="N79" i="1" s="1"/>
  <c r="G221" i="1"/>
  <c r="K221" i="1" s="1"/>
  <c r="M221" i="1" s="1"/>
  <c r="N221" i="1" s="1"/>
  <c r="G332" i="1"/>
  <c r="G300" i="1"/>
  <c r="G535" i="1"/>
  <c r="K535" i="1" s="1"/>
  <c r="M535" i="1" s="1"/>
  <c r="N535" i="1" s="1"/>
  <c r="G331" i="1"/>
  <c r="G693" i="1"/>
  <c r="K693" i="1" s="1"/>
  <c r="M693" i="1" s="1"/>
  <c r="N693" i="1" s="1"/>
  <c r="G68" i="1"/>
  <c r="K68" i="1" s="1"/>
  <c r="M68" i="1" s="1"/>
  <c r="N68" i="1" s="1"/>
  <c r="G1539" i="1"/>
  <c r="K1539" i="1" s="1"/>
  <c r="M1539" i="1" s="1"/>
  <c r="N1539" i="1" s="1"/>
  <c r="G680" i="1"/>
  <c r="K680" i="1" s="1"/>
  <c r="M680" i="1" s="1"/>
  <c r="N680" i="1" s="1"/>
  <c r="G663" i="1"/>
  <c r="G629" i="1"/>
  <c r="G651" i="1"/>
  <c r="G674" i="1"/>
  <c r="G271" i="1"/>
  <c r="G523" i="1"/>
  <c r="G263" i="1"/>
  <c r="G494" i="1"/>
  <c r="G462" i="1"/>
  <c r="G244" i="1"/>
  <c r="G172" i="1"/>
  <c r="G132" i="1"/>
  <c r="G211" i="1"/>
  <c r="I463" i="1"/>
  <c r="K463" i="1" s="1"/>
  <c r="M463" i="1" s="1"/>
  <c r="N463" i="1" s="1"/>
  <c r="G463" i="1"/>
  <c r="G694" i="1"/>
  <c r="G708" i="1"/>
  <c r="G453" i="1"/>
  <c r="G739" i="1"/>
  <c r="G407" i="1"/>
  <c r="G399" i="1"/>
  <c r="G374" i="1"/>
  <c r="G340" i="1"/>
  <c r="G188" i="1"/>
  <c r="G555" i="1"/>
  <c r="G435" i="1"/>
  <c r="G725" i="1"/>
  <c r="G578" i="1"/>
  <c r="I428" i="1"/>
  <c r="K428" i="1" s="1"/>
  <c r="M428" i="1" s="1"/>
  <c r="N428" i="1" s="1"/>
  <c r="G428" i="1"/>
  <c r="G686" i="1"/>
  <c r="G699" i="1"/>
  <c r="G608" i="1"/>
  <c r="G584" i="1"/>
  <c r="G712" i="1"/>
  <c r="G653" i="1"/>
  <c r="G676" i="1"/>
  <c r="G665" i="1"/>
  <c r="I455" i="1"/>
  <c r="K455" i="1" s="1"/>
  <c r="M455" i="1" s="1"/>
  <c r="N455" i="1" s="1"/>
  <c r="G455" i="1"/>
  <c r="I324" i="1"/>
  <c r="K324" i="1" s="1"/>
  <c r="M324" i="1" s="1"/>
  <c r="N324" i="1" s="1"/>
  <c r="G324" i="1"/>
  <c r="I148" i="1"/>
  <c r="K148" i="1" s="1"/>
  <c r="M148" i="1" s="1"/>
  <c r="N148" i="1" s="1"/>
  <c r="G148" i="1"/>
  <c r="I443" i="1"/>
  <c r="K443" i="1" s="1"/>
  <c r="M443" i="1" s="1"/>
  <c r="N443" i="1" s="1"/>
  <c r="G443" i="1"/>
  <c r="G559" i="1"/>
  <c r="G149" i="1"/>
  <c r="G237" i="1"/>
  <c r="G228" i="1"/>
  <c r="G203" i="1"/>
  <c r="G247" i="1"/>
  <c r="G557" i="1"/>
  <c r="G229" i="1"/>
  <c r="G204" i="1"/>
  <c r="I548" i="1"/>
  <c r="K548" i="1" s="1"/>
  <c r="M548" i="1" s="1"/>
  <c r="N548" i="1" s="1"/>
  <c r="G548" i="1"/>
  <c r="G501" i="1"/>
  <c r="G529" i="1"/>
  <c r="G515" i="1"/>
  <c r="G323" i="1"/>
  <c r="I107" i="1"/>
  <c r="K107" i="1" s="1"/>
  <c r="M107" i="1" s="1"/>
  <c r="N107" i="1" s="1"/>
  <c r="G107" i="1"/>
  <c r="I658" i="1"/>
  <c r="K658" i="1" s="1"/>
  <c r="M658" i="1" s="1"/>
  <c r="N658" i="1" s="1"/>
  <c r="G658" i="1"/>
  <c r="I659" i="1"/>
  <c r="K659" i="1" s="1"/>
  <c r="M659" i="1" s="1"/>
  <c r="N659" i="1" s="1"/>
  <c r="G659" i="1"/>
  <c r="I108" i="1"/>
  <c r="K108" i="1" s="1"/>
  <c r="M108" i="1" s="1"/>
  <c r="N108" i="1" s="1"/>
  <c r="G108" i="1"/>
  <c r="I109" i="1"/>
  <c r="K109" i="1" s="1"/>
  <c r="M109" i="1" s="1"/>
  <c r="N109" i="1" s="1"/>
  <c r="G109" i="1"/>
  <c r="G31" i="1"/>
  <c r="G20" i="1"/>
  <c r="I439" i="1"/>
  <c r="K439" i="1" s="1"/>
  <c r="M439" i="1" s="1"/>
  <c r="N439" i="1" s="1"/>
  <c r="G439" i="1"/>
  <c r="I567" i="1"/>
  <c r="K567" i="1" s="1"/>
  <c r="M567" i="1" s="1"/>
  <c r="N567" i="1" s="1"/>
  <c r="G567" i="1"/>
  <c r="G469" i="1"/>
  <c r="G419" i="1"/>
  <c r="G528" i="1"/>
  <c r="G245" i="1"/>
  <c r="G125" i="1"/>
  <c r="G556" i="1"/>
  <c r="G235" i="1"/>
  <c r="G99" i="1"/>
  <c r="G672" i="1"/>
  <c r="G615" i="1"/>
  <c r="G375" i="1"/>
  <c r="G351" i="1"/>
  <c r="G119" i="1"/>
  <c r="G661" i="1"/>
  <c r="G365" i="1"/>
  <c r="G341" i="1"/>
  <c r="G500" i="1"/>
  <c r="G164" i="1"/>
  <c r="G626" i="1"/>
  <c r="G649" i="1"/>
  <c r="G179" i="1"/>
  <c r="G163" i="1"/>
  <c r="I568" i="1"/>
  <c r="K568" i="1" s="1"/>
  <c r="M568" i="1" s="1"/>
  <c r="N568" i="1" s="1"/>
  <c r="G568" i="1"/>
  <c r="I569" i="1"/>
  <c r="K569" i="1" s="1"/>
  <c r="M569" i="1" s="1"/>
  <c r="N569" i="1" s="1"/>
  <c r="G569" i="1"/>
  <c r="G215" i="1"/>
  <c r="G454" i="1"/>
  <c r="G236" i="1"/>
  <c r="G227" i="1"/>
  <c r="G342" i="1"/>
  <c r="G683" i="1"/>
  <c r="G189" i="1"/>
  <c r="G570" i="1"/>
  <c r="I696" i="1"/>
  <c r="K696" i="1" s="1"/>
  <c r="M696" i="1" s="1"/>
  <c r="N696" i="1" s="1"/>
  <c r="G696" i="1"/>
  <c r="I697" i="1"/>
  <c r="K697" i="1" s="1"/>
  <c r="M697" i="1" s="1"/>
  <c r="N697" i="1" s="1"/>
  <c r="G697" i="1"/>
  <c r="I445" i="1"/>
  <c r="K445" i="1" s="1"/>
  <c r="M445" i="1" s="1"/>
  <c r="N445" i="1" s="1"/>
  <c r="G445" i="1"/>
  <c r="I483" i="1"/>
  <c r="K483" i="1" s="1"/>
  <c r="M483" i="1" s="1"/>
  <c r="N483" i="1" s="1"/>
  <c r="G483" i="1"/>
  <c r="I51" i="1"/>
  <c r="K51" i="1" s="1"/>
  <c r="M51" i="1" s="1"/>
  <c r="N51" i="1" s="1"/>
  <c r="G51" i="1"/>
  <c r="G173" i="1"/>
  <c r="G212" i="1"/>
  <c r="G716" i="1"/>
  <c r="I717" i="1"/>
  <c r="K717" i="1" s="1"/>
  <c r="M717" i="1" s="1"/>
  <c r="N717" i="1" s="1"/>
  <c r="G717" i="1"/>
  <c r="G590" i="1"/>
  <c r="G613" i="1"/>
  <c r="G589" i="1"/>
  <c r="G612" i="1"/>
  <c r="I147" i="1"/>
  <c r="K147" i="1" s="1"/>
  <c r="M147" i="1" s="1"/>
  <c r="N147" i="1" s="1"/>
  <c r="G713" i="1"/>
  <c r="G151" i="1"/>
  <c r="G598" i="1"/>
  <c r="G390" i="1"/>
  <c r="G413" i="1"/>
  <c r="G380" i="1"/>
  <c r="G355" i="1"/>
  <c r="G307" i="1"/>
  <c r="G275" i="1"/>
  <c r="G634" i="1"/>
  <c r="G586" i="1"/>
  <c r="G656" i="1"/>
  <c r="G599" i="1"/>
  <c r="G678" i="1"/>
  <c r="G667" i="1"/>
  <c r="G116" i="1"/>
  <c r="K116" i="1" s="1"/>
  <c r="M116" i="1" s="1"/>
  <c r="N116" i="1" s="1"/>
  <c r="G123" i="1"/>
  <c r="K123" i="1" s="1"/>
  <c r="M123" i="1" s="1"/>
  <c r="N123" i="1" s="1"/>
  <c r="G552" i="1"/>
  <c r="G543" i="1"/>
  <c r="G563" i="1"/>
  <c r="G531" i="1"/>
  <c r="G504" i="1"/>
  <c r="G519" i="1"/>
  <c r="G520" i="1"/>
  <c r="G267" i="1"/>
  <c r="G687" i="1"/>
  <c r="G475" i="1"/>
  <c r="G239" i="1"/>
  <c r="G259" i="1"/>
  <c r="I260" i="1"/>
  <c r="K260" i="1" s="1"/>
  <c r="M260" i="1" s="1"/>
  <c r="N260" i="1" s="1"/>
  <c r="G260" i="1"/>
  <c r="G600" i="1"/>
  <c r="G438" i="1"/>
  <c r="G533" i="1"/>
  <c r="G261" i="1"/>
  <c r="G205" i="1"/>
  <c r="G564" i="1"/>
  <c r="G308" i="1"/>
  <c r="G276" i="1"/>
  <c r="G268" i="1"/>
  <c r="G219" i="1"/>
  <c r="G75" i="1"/>
  <c r="G521" i="1"/>
  <c r="G544" i="1"/>
  <c r="G334" i="1"/>
  <c r="G509" i="1"/>
  <c r="G493" i="1"/>
  <c r="G269" i="1"/>
  <c r="G476" i="1"/>
  <c r="G171" i="1"/>
  <c r="G155" i="1"/>
  <c r="G131" i="1"/>
  <c r="G538" i="1"/>
  <c r="G553" i="1"/>
  <c r="I360" i="1"/>
  <c r="K360" i="1" s="1"/>
  <c r="M360" i="1" s="1"/>
  <c r="N360" i="1" s="1"/>
  <c r="I394" i="1"/>
  <c r="K394" i="1" s="1"/>
  <c r="M394" i="1" s="1"/>
  <c r="N394" i="1" s="1"/>
  <c r="I395" i="1"/>
  <c r="K395" i="1" s="1"/>
  <c r="M395" i="1" s="1"/>
  <c r="N395" i="1" s="1"/>
  <c r="I361" i="1"/>
  <c r="K361" i="1" s="1"/>
  <c r="M361" i="1" s="1"/>
  <c r="N361" i="1" s="1"/>
  <c r="I1327" i="1"/>
  <c r="K1327" i="1" s="1"/>
  <c r="M1327" i="1" s="1"/>
  <c r="N1327" i="1" s="1"/>
  <c r="I1335" i="1"/>
  <c r="K1335" i="1" s="1"/>
  <c r="M1335" i="1" s="1"/>
  <c r="N1335" i="1" s="1"/>
  <c r="I899" i="1"/>
  <c r="K899" i="1" s="1"/>
  <c r="M899" i="1" s="1"/>
  <c r="N899" i="1" s="1"/>
  <c r="I890" i="1"/>
  <c r="K890" i="1" s="1"/>
  <c r="M890" i="1" s="1"/>
  <c r="N890" i="1" s="1"/>
  <c r="I1317" i="1"/>
  <c r="K1317" i="1" s="1"/>
  <c r="M1317" i="1" s="1"/>
  <c r="N1317" i="1" s="1"/>
  <c r="I871" i="1"/>
  <c r="K871" i="1" s="1"/>
  <c r="M871" i="1" s="1"/>
  <c r="N871" i="1" s="1"/>
  <c r="G890" i="1"/>
  <c r="G871" i="1"/>
  <c r="G1327" i="1"/>
  <c r="G1335" i="1"/>
  <c r="G1317" i="1"/>
  <c r="G899" i="1"/>
  <c r="I416" i="1"/>
  <c r="K416" i="1" s="1"/>
  <c r="M416" i="1" s="1"/>
  <c r="N416" i="1" s="1"/>
  <c r="I384" i="1"/>
  <c r="K384" i="1" s="1"/>
  <c r="M384" i="1" s="1"/>
  <c r="N384" i="1" s="1"/>
  <c r="I349" i="1"/>
  <c r="K349" i="1" s="1"/>
  <c r="M349" i="1" s="1"/>
  <c r="N349" i="1" s="1"/>
  <c r="I114" i="1"/>
  <c r="K114" i="1" s="1"/>
  <c r="M114" i="1" s="1"/>
  <c r="N114" i="1" s="1"/>
  <c r="I122" i="1"/>
  <c r="K122" i="1" s="1"/>
  <c r="M122" i="1" s="1"/>
  <c r="N122" i="1" s="1"/>
  <c r="I69" i="1"/>
  <c r="K69" i="1" s="1"/>
  <c r="M69" i="1" s="1"/>
  <c r="N69" i="1" s="1"/>
  <c r="I94" i="1"/>
  <c r="K94" i="1" s="1"/>
  <c r="M94" i="1" s="1"/>
  <c r="N94" i="1" s="1"/>
  <c r="I80" i="1"/>
  <c r="K80" i="1" s="1"/>
  <c r="M80" i="1" s="1"/>
  <c r="N80" i="1" s="1"/>
  <c r="I106" i="1"/>
  <c r="K106" i="1" s="1"/>
  <c r="M106" i="1" s="1"/>
  <c r="N106" i="1" s="1"/>
  <c r="I891" i="1"/>
  <c r="K891" i="1" s="1"/>
  <c r="M891" i="1" s="1"/>
  <c r="N891" i="1" s="1"/>
  <c r="I900" i="1"/>
  <c r="K900" i="1" s="1"/>
  <c r="M900" i="1" s="1"/>
  <c r="N900" i="1" s="1"/>
  <c r="I1028" i="1"/>
  <c r="K1028" i="1" s="1"/>
  <c r="M1028" i="1" s="1"/>
  <c r="N1028" i="1" s="1"/>
  <c r="I758" i="1"/>
  <c r="K758" i="1" s="1"/>
  <c r="M758" i="1" s="1"/>
  <c r="N758" i="1" s="1"/>
  <c r="I566" i="1"/>
  <c r="K566" i="1" s="1"/>
  <c r="M566" i="1" s="1"/>
  <c r="N566" i="1" s="1"/>
  <c r="I750" i="1"/>
  <c r="K750" i="1" s="1"/>
  <c r="M750" i="1" s="1"/>
  <c r="N750" i="1" s="1"/>
  <c r="I848" i="1"/>
  <c r="K848" i="1" s="1"/>
  <c r="M848" i="1" s="1"/>
  <c r="N848" i="1" s="1"/>
  <c r="I495" i="1"/>
  <c r="K495" i="1" s="1"/>
  <c r="M495" i="1" s="1"/>
  <c r="N495" i="1" s="1"/>
  <c r="I975" i="1"/>
  <c r="K975" i="1" s="1"/>
  <c r="M975" i="1" s="1"/>
  <c r="N975" i="1" s="1"/>
  <c r="I989" i="1"/>
  <c r="K989" i="1" s="1"/>
  <c r="M989" i="1" s="1"/>
  <c r="N989" i="1" s="1"/>
  <c r="I1019" i="1"/>
  <c r="K1019" i="1" s="1"/>
  <c r="M1019" i="1" s="1"/>
  <c r="N1019" i="1" s="1"/>
  <c r="I863" i="1"/>
  <c r="K863" i="1" s="1"/>
  <c r="M863" i="1" s="1"/>
  <c r="N863" i="1" s="1"/>
  <c r="I1000" i="1"/>
  <c r="K1000" i="1" s="1"/>
  <c r="M1000" i="1" s="1"/>
  <c r="N1000" i="1" s="1"/>
  <c r="I1112" i="1"/>
  <c r="K1112" i="1" s="1"/>
  <c r="M1112" i="1" s="1"/>
  <c r="N1112" i="1" s="1"/>
  <c r="I1328" i="1"/>
  <c r="K1328" i="1" s="1"/>
  <c r="M1328" i="1" s="1"/>
  <c r="N1328" i="1" s="1"/>
  <c r="I1336" i="1"/>
  <c r="K1336" i="1" s="1"/>
  <c r="M1336" i="1" s="1"/>
  <c r="N1336" i="1" s="1"/>
  <c r="I1384" i="1"/>
  <c r="K1384" i="1" s="1"/>
  <c r="M1384" i="1" s="1"/>
  <c r="N1384" i="1" s="1"/>
  <c r="I735" i="1"/>
  <c r="K735" i="1" s="1"/>
  <c r="M735" i="1" s="1"/>
  <c r="N735" i="1" s="1"/>
  <c r="I1418" i="1"/>
  <c r="K1418" i="1" s="1"/>
  <c r="M1418" i="1" s="1"/>
  <c r="N1418" i="1" s="1"/>
  <c r="I872" i="1"/>
  <c r="K872" i="1" s="1"/>
  <c r="M872" i="1" s="1"/>
  <c r="N872" i="1" s="1"/>
  <c r="I1373" i="1"/>
  <c r="K1373" i="1" s="1"/>
  <c r="M1373" i="1" s="1"/>
  <c r="N1373" i="1" s="1"/>
  <c r="I1549" i="1"/>
  <c r="K1549" i="1" s="1"/>
  <c r="M1549" i="1" s="1"/>
  <c r="N1549" i="1" s="1"/>
  <c r="I1396" i="1"/>
  <c r="K1396" i="1" s="1"/>
  <c r="M1396" i="1" s="1"/>
  <c r="N1396" i="1" s="1"/>
  <c r="I1781" i="1"/>
  <c r="K1781" i="1" s="1"/>
  <c r="M1781" i="1" s="1"/>
  <c r="N1781" i="1" s="1"/>
  <c r="I1758" i="1"/>
  <c r="K1758" i="1" s="1"/>
  <c r="M1758" i="1" s="1"/>
  <c r="N1758" i="1" s="1"/>
  <c r="I1318" i="1"/>
  <c r="K1318" i="1" s="1"/>
  <c r="M1318" i="1" s="1"/>
  <c r="N1318" i="1" s="1"/>
  <c r="I1791" i="1"/>
  <c r="K1791" i="1" s="1"/>
  <c r="M1791" i="1" s="1"/>
  <c r="N1791" i="1" s="1"/>
  <c r="G1791" i="1"/>
  <c r="G1758" i="1"/>
  <c r="G1781" i="1"/>
  <c r="G1418" i="1"/>
  <c r="G1130" i="1"/>
  <c r="G1384" i="1"/>
  <c r="G1294" i="1"/>
  <c r="G1112" i="1"/>
  <c r="G1000" i="1"/>
  <c r="G872" i="1"/>
  <c r="G848" i="1"/>
  <c r="G744" i="1"/>
  <c r="G1549" i="1"/>
  <c r="G1373" i="1"/>
  <c r="G1328" i="1"/>
  <c r="G1310" i="1"/>
  <c r="G975" i="1"/>
  <c r="G863" i="1"/>
  <c r="G815" i="1"/>
  <c r="G735" i="1"/>
  <c r="G1346" i="1"/>
  <c r="G1336" i="1"/>
  <c r="G1318" i="1"/>
  <c r="G1150" i="1"/>
  <c r="G758" i="1"/>
  <c r="G750" i="1"/>
  <c r="G1396" i="1"/>
  <c r="G1117" i="1"/>
  <c r="G989" i="1"/>
  <c r="G1362" i="1"/>
  <c r="G1124" i="1"/>
  <c r="G1028" i="1"/>
  <c r="G900" i="1"/>
  <c r="G1019" i="1"/>
  <c r="G891" i="1"/>
  <c r="G803" i="1"/>
  <c r="I803" i="1"/>
  <c r="K803" i="1" s="1"/>
  <c r="M803" i="1" s="1"/>
  <c r="N803" i="1" s="1"/>
  <c r="I815" i="1"/>
  <c r="K815" i="1" s="1"/>
  <c r="M815" i="1" s="1"/>
  <c r="N815" i="1" s="1"/>
  <c r="I223" i="1"/>
  <c r="K223" i="1" s="1"/>
  <c r="M223" i="1" s="1"/>
  <c r="N223" i="1" s="1"/>
  <c r="I1130" i="1"/>
  <c r="K1130" i="1" s="1"/>
  <c r="M1130" i="1" s="1"/>
  <c r="N1130" i="1" s="1"/>
  <c r="I1346" i="1"/>
  <c r="K1346" i="1" s="1"/>
  <c r="M1346" i="1" s="1"/>
  <c r="N1346" i="1" s="1"/>
  <c r="I1362" i="1"/>
  <c r="K1362" i="1" s="1"/>
  <c r="M1362" i="1" s="1"/>
  <c r="N1362" i="1" s="1"/>
  <c r="I1117" i="1"/>
  <c r="K1117" i="1" s="1"/>
  <c r="M1117" i="1" s="1"/>
  <c r="N1117" i="1" s="1"/>
  <c r="I744" i="1"/>
  <c r="K744" i="1" s="1"/>
  <c r="M744" i="1" s="1"/>
  <c r="N744" i="1" s="1"/>
  <c r="I1150" i="1"/>
  <c r="K1150" i="1" s="1"/>
  <c r="M1150" i="1" s="1"/>
  <c r="N1150" i="1" s="1"/>
  <c r="I1124" i="1"/>
  <c r="K1124" i="1" s="1"/>
  <c r="M1124" i="1" s="1"/>
  <c r="N1124" i="1" s="1"/>
  <c r="I1310" i="1"/>
  <c r="K1310" i="1" s="1"/>
  <c r="M1310" i="1" s="1"/>
  <c r="N1310" i="1" s="1"/>
  <c r="I1294" i="1"/>
  <c r="K1294" i="1" s="1"/>
  <c r="M1294" i="1" s="1"/>
  <c r="N1294" i="1" s="1"/>
  <c r="I727" i="1"/>
  <c r="K727" i="1" s="1"/>
  <c r="M727" i="1" s="1"/>
  <c r="N727" i="1" s="1"/>
  <c r="I1010" i="1"/>
  <c r="K1010" i="1" s="1"/>
  <c r="M1010" i="1" s="1"/>
  <c r="N1010" i="1" s="1"/>
  <c r="I1050" i="1"/>
  <c r="K1050" i="1" s="1"/>
  <c r="M1050" i="1" s="1"/>
  <c r="N1050" i="1" s="1"/>
  <c r="I1061" i="1"/>
  <c r="K1061" i="1" s="1"/>
  <c r="M1061" i="1" s="1"/>
  <c r="N1061" i="1" s="1"/>
  <c r="I986" i="1"/>
  <c r="K986" i="1" s="1"/>
  <c r="M986" i="1" s="1"/>
  <c r="N986" i="1" s="1"/>
  <c r="I1493" i="1"/>
  <c r="K1493" i="1" s="1"/>
  <c r="M1493" i="1" s="1"/>
  <c r="N1493" i="1" s="1"/>
  <c r="I1757" i="1"/>
  <c r="K1757" i="1" s="1"/>
  <c r="M1757" i="1" s="1"/>
  <c r="N1757" i="1" s="1"/>
  <c r="G1769" i="1"/>
  <c r="G1736" i="1"/>
  <c r="I1769" i="1"/>
  <c r="K1769" i="1" s="1"/>
  <c r="M1769" i="1" s="1"/>
  <c r="N1769" i="1" s="1"/>
  <c r="G1757" i="1"/>
  <c r="G1493" i="1"/>
  <c r="G1050" i="1"/>
  <c r="G1010" i="1"/>
  <c r="G986" i="1"/>
  <c r="G1061" i="1"/>
  <c r="I190" i="1"/>
  <c r="I1220" i="1"/>
  <c r="K1220" i="1" s="1"/>
  <c r="M1220" i="1" s="1"/>
  <c r="N1220" i="1" s="1"/>
  <c r="I1230" i="1"/>
  <c r="K1230" i="1" s="1"/>
  <c r="M1230" i="1" s="1"/>
  <c r="N1230" i="1" s="1"/>
  <c r="G1230" i="1"/>
  <c r="G1220" i="1"/>
  <c r="I579" i="1"/>
  <c r="K579" i="1" s="1"/>
  <c r="M579" i="1" s="1"/>
  <c r="N579" i="1" s="1"/>
  <c r="I283" i="1"/>
  <c r="K283" i="1" s="1"/>
  <c r="M283" i="1" s="1"/>
  <c r="N283" i="1" s="1"/>
  <c r="I367" i="1"/>
  <c r="K367" i="1" s="1"/>
  <c r="M367" i="1" s="1"/>
  <c r="N367" i="1" s="1"/>
  <c r="I401" i="1"/>
  <c r="I1558" i="1"/>
  <c r="K1558" i="1" s="1"/>
  <c r="M1558" i="1" s="1"/>
  <c r="N1558" i="1" s="1"/>
  <c r="G1558" i="1"/>
  <c r="I1559" i="1"/>
  <c r="K1559" i="1" s="1"/>
  <c r="M1559" i="1" s="1"/>
  <c r="N1559" i="1" s="1"/>
  <c r="G1559" i="1"/>
  <c r="I181" i="1"/>
  <c r="K181" i="1" s="1"/>
  <c r="M181" i="1" s="1"/>
  <c r="N181" i="1" s="1"/>
  <c r="I1617" i="1"/>
  <c r="K1617" i="1" s="1"/>
  <c r="M1617" i="1" s="1"/>
  <c r="N1617" i="1" s="1"/>
  <c r="I1641" i="1"/>
  <c r="K1641" i="1" s="1"/>
  <c r="M1641" i="1" s="1"/>
  <c r="N1641" i="1" s="1"/>
  <c r="G1641" i="1"/>
  <c r="G1617" i="1"/>
  <c r="I100" i="1"/>
  <c r="K100" i="1" s="1"/>
  <c r="M100" i="1" s="1"/>
  <c r="N100" i="1" s="1"/>
  <c r="I90" i="1"/>
  <c r="K90" i="1" s="1"/>
  <c r="M90" i="1" s="1"/>
  <c r="N90" i="1" s="1"/>
  <c r="I616" i="1"/>
  <c r="K616" i="1" s="1"/>
  <c r="M616" i="1" s="1"/>
  <c r="N616" i="1" s="1"/>
  <c r="I282" i="1"/>
  <c r="K282" i="1" s="1"/>
  <c r="M282" i="1" s="1"/>
  <c r="N282" i="1" s="1"/>
  <c r="I293" i="1"/>
  <c r="K293" i="1" s="1"/>
  <c r="M293" i="1" s="1"/>
  <c r="N293" i="1" s="1"/>
  <c r="I627" i="1"/>
  <c r="K627" i="1" s="1"/>
  <c r="M627" i="1" s="1"/>
  <c r="N627" i="1" s="1"/>
  <c r="I938" i="1"/>
  <c r="K938" i="1" s="1"/>
  <c r="M938" i="1" s="1"/>
  <c r="N938" i="1" s="1"/>
  <c r="I1082" i="1"/>
  <c r="K1082" i="1" s="1"/>
  <c r="M1082" i="1" s="1"/>
  <c r="N1082" i="1" s="1"/>
  <c r="I1168" i="1"/>
  <c r="K1168" i="1" s="1"/>
  <c r="M1168" i="1" s="1"/>
  <c r="N1168" i="1" s="1"/>
  <c r="I1616" i="1"/>
  <c r="K1616" i="1" s="1"/>
  <c r="M1616" i="1" s="1"/>
  <c r="N1616" i="1" s="1"/>
  <c r="I1032" i="1"/>
  <c r="K1032" i="1" s="1"/>
  <c r="M1032" i="1" s="1"/>
  <c r="N1032" i="1" s="1"/>
  <c r="I1569" i="1"/>
  <c r="K1569" i="1" s="1"/>
  <c r="M1569" i="1" s="1"/>
  <c r="N1569" i="1" s="1"/>
  <c r="I1682" i="1"/>
  <c r="K1682" i="1" s="1"/>
  <c r="M1682" i="1" s="1"/>
  <c r="N1682" i="1" s="1"/>
  <c r="I1547" i="1"/>
  <c r="K1547" i="1" s="1"/>
  <c r="M1547" i="1" s="1"/>
  <c r="N1547" i="1" s="1"/>
  <c r="I1627" i="1"/>
  <c r="K1627" i="1" s="1"/>
  <c r="M1627" i="1" s="1"/>
  <c r="N1627" i="1" s="1"/>
  <c r="I1667" i="1"/>
  <c r="K1667" i="1" s="1"/>
  <c r="M1667" i="1" s="1"/>
  <c r="N1667" i="1" s="1"/>
  <c r="I1557" i="1"/>
  <c r="K1557" i="1" s="1"/>
  <c r="M1557" i="1" s="1"/>
  <c r="N1557" i="1" s="1"/>
  <c r="I920" i="1"/>
  <c r="K920" i="1" s="1"/>
  <c r="M920" i="1" s="1"/>
  <c r="N920" i="1" s="1"/>
  <c r="G1667" i="1"/>
  <c r="G1682" i="1"/>
  <c r="I1744" i="1"/>
  <c r="K1744" i="1" s="1"/>
  <c r="M1744" i="1" s="1"/>
  <c r="N1744" i="1" s="1"/>
  <c r="I1765" i="1"/>
  <c r="K1765" i="1" s="1"/>
  <c r="M1765" i="1" s="1"/>
  <c r="N1765" i="1" s="1"/>
  <c r="G1569" i="1"/>
  <c r="G1744" i="1"/>
  <c r="G1765" i="1"/>
  <c r="I366" i="1"/>
  <c r="K366" i="1" s="1"/>
  <c r="M366" i="1" s="1"/>
  <c r="N366" i="1" s="1"/>
  <c r="I1412" i="1"/>
  <c r="K1412" i="1" s="1"/>
  <c r="M1412" i="1" s="1"/>
  <c r="N1412" i="1" s="1"/>
  <c r="G1627" i="1"/>
  <c r="G1616" i="1"/>
  <c r="G1082" i="1"/>
  <c r="G938" i="1"/>
  <c r="G1168" i="1"/>
  <c r="G1032" i="1"/>
  <c r="G920" i="1"/>
  <c r="G1557" i="1"/>
  <c r="G1547" i="1"/>
  <c r="G1412" i="1"/>
  <c r="I636" i="1"/>
  <c r="K636" i="1" s="1"/>
  <c r="M636" i="1" s="1"/>
  <c r="N636" i="1" s="1"/>
  <c r="I668" i="1"/>
  <c r="K668" i="1" s="1"/>
  <c r="M668" i="1" s="1"/>
  <c r="N668" i="1" s="1"/>
  <c r="I309" i="1"/>
  <c r="K309" i="1" s="1"/>
  <c r="M309" i="1" s="1"/>
  <c r="N309" i="1" s="1"/>
  <c r="I679" i="1"/>
  <c r="K679" i="1" s="1"/>
  <c r="M679" i="1" s="1"/>
  <c r="N679" i="1" s="1"/>
  <c r="I645" i="1"/>
  <c r="K645" i="1" s="1"/>
  <c r="M645" i="1" s="1"/>
  <c r="N645" i="1" s="1"/>
  <c r="I951" i="1"/>
  <c r="K951" i="1" s="1"/>
  <c r="M951" i="1" s="1"/>
  <c r="N951" i="1" s="1"/>
  <c r="I1160" i="1"/>
  <c r="K1160" i="1" s="1"/>
  <c r="M1160" i="1" s="1"/>
  <c r="N1160" i="1" s="1"/>
  <c r="I657" i="1"/>
  <c r="K657" i="1" s="1"/>
  <c r="M657" i="1" s="1"/>
  <c r="N657" i="1" s="1"/>
  <c r="I621" i="1"/>
  <c r="K621" i="1" s="1"/>
  <c r="M621" i="1" s="1"/>
  <c r="N621" i="1" s="1"/>
  <c r="I1274" i="1"/>
  <c r="K1274" i="1" s="1"/>
  <c r="M1274" i="1" s="1"/>
  <c r="N1274" i="1" s="1"/>
  <c r="I1187" i="1"/>
  <c r="K1187" i="1" s="1"/>
  <c r="M1187" i="1" s="1"/>
  <c r="N1187" i="1" s="1"/>
  <c r="G1608" i="1"/>
  <c r="G1589" i="1"/>
  <c r="G1160" i="1"/>
  <c r="G1274" i="1"/>
  <c r="G951" i="1"/>
  <c r="G1516" i="1"/>
  <c r="G1187" i="1"/>
  <c r="I1608" i="1"/>
  <c r="K1608" i="1" s="1"/>
  <c r="M1608" i="1" s="1"/>
  <c r="N1608" i="1" s="1"/>
  <c r="I1589" i="1"/>
  <c r="K1589" i="1" s="1"/>
  <c r="M1589" i="1" s="1"/>
  <c r="N1589" i="1" s="1"/>
  <c r="I1516" i="1"/>
  <c r="K1516" i="1" s="1"/>
  <c r="M1516" i="1" s="1"/>
  <c r="N1516" i="1" s="1"/>
  <c r="I588" i="1"/>
  <c r="K588" i="1" s="1"/>
  <c r="M588" i="1" s="1"/>
  <c r="N588" i="1" s="1"/>
  <c r="I601" i="1"/>
  <c r="K601" i="1" s="1"/>
  <c r="M601" i="1" s="1"/>
  <c r="N601" i="1" s="1"/>
  <c r="I610" i="1"/>
  <c r="K610" i="1" s="1"/>
  <c r="M610" i="1" s="1"/>
  <c r="N610" i="1" s="1"/>
  <c r="I1428" i="1"/>
  <c r="K1428" i="1" s="1"/>
  <c r="M1428" i="1" s="1"/>
  <c r="N1428" i="1" s="1"/>
  <c r="I460" i="1"/>
  <c r="G1276" i="1"/>
  <c r="I1072" i="1"/>
  <c r="K1072" i="1" s="1"/>
  <c r="M1072" i="1" s="1"/>
  <c r="N1072" i="1" s="1"/>
  <c r="G1072" i="1"/>
  <c r="I1089" i="1"/>
  <c r="K1089" i="1" s="1"/>
  <c r="M1089" i="1" s="1"/>
  <c r="N1089" i="1" s="1"/>
  <c r="G1089" i="1"/>
  <c r="I596" i="1"/>
  <c r="K596" i="1" s="1"/>
  <c r="M596" i="1" s="1"/>
  <c r="N596" i="1" s="1"/>
  <c r="I137" i="1"/>
  <c r="K137" i="1" s="1"/>
  <c r="M137" i="1" s="1"/>
  <c r="N137" i="1" s="1"/>
  <c r="I606" i="1"/>
  <c r="K606" i="1" s="1"/>
  <c r="M606" i="1" s="1"/>
  <c r="N606" i="1" s="1"/>
  <c r="I642" i="1"/>
  <c r="K642" i="1" s="1"/>
  <c r="M642" i="1" s="1"/>
  <c r="N642" i="1" s="1"/>
  <c r="I582" i="1"/>
  <c r="K582" i="1" s="1"/>
  <c r="M582" i="1" s="1"/>
  <c r="N582" i="1" s="1"/>
  <c r="I618" i="1"/>
  <c r="K618" i="1" s="1"/>
  <c r="M618" i="1" s="1"/>
  <c r="N618" i="1" s="1"/>
  <c r="I631" i="1"/>
  <c r="K631" i="1" s="1"/>
  <c r="M631" i="1" s="1"/>
  <c r="N631" i="1" s="1"/>
  <c r="I1388" i="1"/>
  <c r="K1388" i="1" s="1"/>
  <c r="M1388" i="1" s="1"/>
  <c r="N1388" i="1" s="1"/>
  <c r="G1776" i="1"/>
  <c r="I1776" i="1"/>
  <c r="K1776" i="1" s="1"/>
  <c r="M1776" i="1" s="1"/>
  <c r="N1776" i="1" s="1"/>
  <c r="G1388" i="1"/>
  <c r="I1184" i="1"/>
  <c r="K1184" i="1" s="1"/>
  <c r="M1184" i="1" s="1"/>
  <c r="N1184" i="1" s="1"/>
  <c r="I1421" i="1"/>
  <c r="K1421" i="1" s="1"/>
  <c r="M1421" i="1" s="1"/>
  <c r="N1421" i="1" s="1"/>
  <c r="I1174" i="1"/>
  <c r="K1174" i="1" s="1"/>
  <c r="M1174" i="1" s="1"/>
  <c r="N1174" i="1" s="1"/>
  <c r="I922" i="1"/>
  <c r="K922" i="1" s="1"/>
  <c r="M922" i="1" s="1"/>
  <c r="N922" i="1" s="1"/>
  <c r="G922" i="1"/>
  <c r="G1184" i="1"/>
  <c r="G1174" i="1"/>
  <c r="G1421" i="1"/>
  <c r="I628" i="1"/>
  <c r="K628" i="1" s="1"/>
  <c r="M628" i="1" s="1"/>
  <c r="N628" i="1" s="1"/>
  <c r="I764" i="1"/>
  <c r="K764" i="1" s="1"/>
  <c r="M764" i="1" s="1"/>
  <c r="N764" i="1" s="1"/>
  <c r="I111" i="1"/>
  <c r="K111" i="1" s="1"/>
  <c r="M111" i="1" s="1"/>
  <c r="N111" i="1" s="1"/>
  <c r="I352" i="1"/>
  <c r="K352" i="1" s="1"/>
  <c r="M352" i="1" s="1"/>
  <c r="N352" i="1" s="1"/>
  <c r="I387" i="1"/>
  <c r="K387" i="1" s="1"/>
  <c r="M387" i="1" s="1"/>
  <c r="N387" i="1" s="1"/>
  <c r="I581" i="1"/>
  <c r="K581" i="1" s="1"/>
  <c r="M581" i="1" s="1"/>
  <c r="N581" i="1" s="1"/>
  <c r="I617" i="1"/>
  <c r="K617" i="1" s="1"/>
  <c r="M617" i="1" s="1"/>
  <c r="N617" i="1" s="1"/>
  <c r="I662" i="1"/>
  <c r="K662" i="1" s="1"/>
  <c r="M662" i="1" s="1"/>
  <c r="N662" i="1" s="1"/>
  <c r="I830" i="1"/>
  <c r="K830" i="1" s="1"/>
  <c r="M830" i="1" s="1"/>
  <c r="N830" i="1" s="1"/>
  <c r="I1006" i="1"/>
  <c r="K1006" i="1" s="1"/>
  <c r="M1006" i="1" s="1"/>
  <c r="N1006" i="1" s="1"/>
  <c r="I558" i="1"/>
  <c r="K558" i="1" s="1"/>
  <c r="M558" i="1" s="1"/>
  <c r="N558" i="1" s="1"/>
  <c r="I673" i="1"/>
  <c r="K673" i="1" s="1"/>
  <c r="M673" i="1" s="1"/>
  <c r="N673" i="1" s="1"/>
  <c r="I877" i="1"/>
  <c r="K877" i="1" s="1"/>
  <c r="M877" i="1" s="1"/>
  <c r="N877" i="1" s="1"/>
  <c r="I605" i="1"/>
  <c r="K605" i="1" s="1"/>
  <c r="M605" i="1" s="1"/>
  <c r="N605" i="1" s="1"/>
  <c r="I1423" i="1"/>
  <c r="K1423" i="1" s="1"/>
  <c r="M1423" i="1" s="1"/>
  <c r="N1423" i="1" s="1"/>
  <c r="I1511" i="1"/>
  <c r="K1511" i="1" s="1"/>
  <c r="M1511" i="1" s="1"/>
  <c r="N1511" i="1" s="1"/>
  <c r="I650" i="1"/>
  <c r="K650" i="1" s="1"/>
  <c r="M650" i="1" s="1"/>
  <c r="N650" i="1" s="1"/>
  <c r="I1042" i="1"/>
  <c r="K1042" i="1" s="1"/>
  <c r="M1042" i="1" s="1"/>
  <c r="N1042" i="1" s="1"/>
  <c r="I1745" i="1"/>
  <c r="K1745" i="1" s="1"/>
  <c r="M1745" i="1" s="1"/>
  <c r="N1745" i="1" s="1"/>
  <c r="I1054" i="1"/>
  <c r="K1054" i="1" s="1"/>
  <c r="M1054" i="1" s="1"/>
  <c r="N1054" i="1" s="1"/>
  <c r="I1162" i="1"/>
  <c r="K1162" i="1" s="1"/>
  <c r="M1162" i="1" s="1"/>
  <c r="N1162" i="1" s="1"/>
  <c r="I1354" i="1"/>
  <c r="K1354" i="1" s="1"/>
  <c r="M1354" i="1" s="1"/>
  <c r="N1354" i="1" s="1"/>
  <c r="I1466" i="1"/>
  <c r="K1466" i="1" s="1"/>
  <c r="M1466" i="1" s="1"/>
  <c r="N1466" i="1" s="1"/>
  <c r="I1387" i="1"/>
  <c r="K1387" i="1" s="1"/>
  <c r="M1387" i="1" s="1"/>
  <c r="N1387" i="1" s="1"/>
  <c r="I1733" i="1"/>
  <c r="K1733" i="1" s="1"/>
  <c r="M1733" i="1" s="1"/>
  <c r="N1733" i="1" s="1"/>
  <c r="I595" i="1"/>
  <c r="K595" i="1" s="1"/>
  <c r="M595" i="1" s="1"/>
  <c r="N595" i="1" s="1"/>
  <c r="G1466" i="1"/>
  <c r="G1745" i="1"/>
  <c r="I641" i="1"/>
  <c r="K641" i="1" s="1"/>
  <c r="M641" i="1" s="1"/>
  <c r="N641" i="1" s="1"/>
  <c r="I1766" i="1"/>
  <c r="K1766" i="1" s="1"/>
  <c r="M1766" i="1" s="1"/>
  <c r="N1766" i="1" s="1"/>
  <c r="G1766" i="1"/>
  <c r="G1733" i="1"/>
  <c r="G1511" i="1"/>
  <c r="G1162" i="1"/>
  <c r="G1042" i="1"/>
  <c r="G1423" i="1"/>
  <c r="G1054" i="1"/>
  <c r="G1006" i="1"/>
  <c r="G830" i="1"/>
  <c r="G1354" i="1"/>
  <c r="G877" i="1"/>
  <c r="G1387" i="1"/>
  <c r="G764" i="1"/>
  <c r="I124" i="1"/>
  <c r="K124" i="1" s="1"/>
  <c r="M124" i="1" s="1"/>
  <c r="N124" i="1" s="1"/>
  <c r="I292" i="1"/>
  <c r="K292" i="1" s="1"/>
  <c r="M292" i="1" s="1"/>
  <c r="N292" i="1" s="1"/>
  <c r="I364" i="1"/>
  <c r="K364" i="1" s="1"/>
  <c r="M364" i="1" s="1"/>
  <c r="N364" i="1" s="1"/>
  <c r="I452" i="1"/>
  <c r="K452" i="1" s="1"/>
  <c r="M452" i="1" s="1"/>
  <c r="N452" i="1" s="1"/>
  <c r="I892" i="1"/>
  <c r="K892" i="1" s="1"/>
  <c r="M892" i="1" s="1"/>
  <c r="N892" i="1" s="1"/>
  <c r="I61" i="1"/>
  <c r="K61" i="1" s="1"/>
  <c r="M61" i="1" s="1"/>
  <c r="N61" i="1" s="1"/>
  <c r="I85" i="1"/>
  <c r="K85" i="1" s="1"/>
  <c r="M85" i="1" s="1"/>
  <c r="N85" i="1" s="1"/>
  <c r="I6" i="1"/>
  <c r="K6" i="1" s="1"/>
  <c r="M6" i="1" s="1"/>
  <c r="N6" i="1" s="1"/>
  <c r="I118" i="1"/>
  <c r="K118" i="1" s="1"/>
  <c r="M118" i="1" s="1"/>
  <c r="N118" i="1" s="1"/>
  <c r="I72" i="1"/>
  <c r="K72" i="1" s="1"/>
  <c r="M72" i="1" s="1"/>
  <c r="N72" i="1" s="1"/>
  <c r="I96" i="1"/>
  <c r="K96" i="1" s="1"/>
  <c r="M96" i="1" s="1"/>
  <c r="N96" i="1" s="1"/>
  <c r="I738" i="1"/>
  <c r="K738" i="1" s="1"/>
  <c r="M738" i="1" s="1"/>
  <c r="N738" i="1" s="1"/>
  <c r="I747" i="1"/>
  <c r="K747" i="1" s="1"/>
  <c r="M747" i="1" s="1"/>
  <c r="N747" i="1" s="1"/>
  <c r="I272" i="1"/>
  <c r="K272" i="1" s="1"/>
  <c r="M272" i="1" s="1"/>
  <c r="N272" i="1" s="1"/>
  <c r="I554" i="1"/>
  <c r="K554" i="1" s="1"/>
  <c r="M554" i="1" s="1"/>
  <c r="N554" i="1" s="1"/>
  <c r="I731" i="1"/>
  <c r="K731" i="1" s="1"/>
  <c r="M731" i="1" s="1"/>
  <c r="N731" i="1" s="1"/>
  <c r="I784" i="1"/>
  <c r="K784" i="1" s="1"/>
  <c r="M784" i="1" s="1"/>
  <c r="N784" i="1" s="1"/>
  <c r="I829" i="1"/>
  <c r="K829" i="1" s="1"/>
  <c r="M829" i="1" s="1"/>
  <c r="N829" i="1" s="1"/>
  <c r="I980" i="1"/>
  <c r="K980" i="1" s="1"/>
  <c r="M980" i="1" s="1"/>
  <c r="N980" i="1" s="1"/>
  <c r="I1004" i="1"/>
  <c r="K1004" i="1" s="1"/>
  <c r="M1004" i="1" s="1"/>
  <c r="N1004" i="1" s="1"/>
  <c r="I176" i="1"/>
  <c r="K176" i="1" s="1"/>
  <c r="M176" i="1" s="1"/>
  <c r="N176" i="1" s="1"/>
  <c r="I264" i="1"/>
  <c r="K264" i="1" s="1"/>
  <c r="M264" i="1" s="1"/>
  <c r="N264" i="1" s="1"/>
  <c r="I406" i="1"/>
  <c r="K406" i="1" s="1"/>
  <c r="M406" i="1" s="1"/>
  <c r="N406" i="1" s="1"/>
  <c r="I467" i="1"/>
  <c r="K467" i="1" s="1"/>
  <c r="M467" i="1" s="1"/>
  <c r="N467" i="1" s="1"/>
  <c r="I546" i="1"/>
  <c r="K546" i="1" s="1"/>
  <c r="M546" i="1" s="1"/>
  <c r="N546" i="1" s="1"/>
  <c r="I723" i="1"/>
  <c r="K723" i="1" s="1"/>
  <c r="M723" i="1" s="1"/>
  <c r="N723" i="1" s="1"/>
  <c r="I865" i="1"/>
  <c r="K865" i="1" s="1"/>
  <c r="M865" i="1" s="1"/>
  <c r="N865" i="1" s="1"/>
  <c r="I874" i="1"/>
  <c r="K874" i="1" s="1"/>
  <c r="M874" i="1" s="1"/>
  <c r="N874" i="1" s="1"/>
  <c r="I917" i="1"/>
  <c r="K917" i="1" s="1"/>
  <c r="M917" i="1" s="1"/>
  <c r="N917" i="1" s="1"/>
  <c r="I213" i="1"/>
  <c r="K213" i="1" s="1"/>
  <c r="M213" i="1" s="1"/>
  <c r="N213" i="1" s="1"/>
  <c r="I256" i="1"/>
  <c r="K256" i="1" s="1"/>
  <c r="M256" i="1" s="1"/>
  <c r="N256" i="1" s="1"/>
  <c r="I319" i="1"/>
  <c r="K319" i="1" s="1"/>
  <c r="M319" i="1" s="1"/>
  <c r="N319" i="1" s="1"/>
  <c r="I398" i="1"/>
  <c r="K398" i="1" s="1"/>
  <c r="M398" i="1" s="1"/>
  <c r="N398" i="1" s="1"/>
  <c r="I857" i="1"/>
  <c r="K857" i="1" s="1"/>
  <c r="M857" i="1" s="1"/>
  <c r="N857" i="1" s="1"/>
  <c r="I373" i="1"/>
  <c r="K373" i="1" s="1"/>
  <c r="M373" i="1" s="1"/>
  <c r="N373" i="1" s="1"/>
  <c r="I434" i="1"/>
  <c r="K434" i="1" s="1"/>
  <c r="M434" i="1" s="1"/>
  <c r="N434" i="1" s="1"/>
  <c r="I487" i="1"/>
  <c r="K487" i="1" s="1"/>
  <c r="M487" i="1" s="1"/>
  <c r="N487" i="1" s="1"/>
  <c r="I841" i="1"/>
  <c r="K841" i="1" s="1"/>
  <c r="M841" i="1" s="1"/>
  <c r="N841" i="1" s="1"/>
  <c r="I935" i="1"/>
  <c r="K935" i="1" s="1"/>
  <c r="M935" i="1" s="1"/>
  <c r="N935" i="1" s="1"/>
  <c r="I1015" i="1"/>
  <c r="K1015" i="1" s="1"/>
  <c r="M1015" i="1" s="1"/>
  <c r="N1015" i="1" s="1"/>
  <c r="I135" i="1"/>
  <c r="K135" i="1" s="1"/>
  <c r="M135" i="1" s="1"/>
  <c r="N135" i="1" s="1"/>
  <c r="I350" i="1"/>
  <c r="K350" i="1" s="1"/>
  <c r="M350" i="1" s="1"/>
  <c r="N350" i="1" s="1"/>
  <c r="I481" i="1"/>
  <c r="K481" i="1" s="1"/>
  <c r="M481" i="1" s="1"/>
  <c r="N481" i="1" s="1"/>
  <c r="I577" i="1"/>
  <c r="K577" i="1" s="1"/>
  <c r="M577" i="1" s="1"/>
  <c r="N577" i="1" s="1"/>
  <c r="I279" i="1"/>
  <c r="K279" i="1" s="1"/>
  <c r="M279" i="1" s="1"/>
  <c r="N279" i="1" s="1"/>
  <c r="I969" i="1"/>
  <c r="K969" i="1" s="1"/>
  <c r="M969" i="1" s="1"/>
  <c r="N969" i="1" s="1"/>
  <c r="I1091" i="1"/>
  <c r="K1091" i="1" s="1"/>
  <c r="M1091" i="1" s="1"/>
  <c r="N1091" i="1" s="1"/>
  <c r="I1151" i="1"/>
  <c r="K1151" i="1" s="1"/>
  <c r="M1151" i="1" s="1"/>
  <c r="N1151" i="1" s="1"/>
  <c r="I1311" i="1"/>
  <c r="K1311" i="1" s="1"/>
  <c r="M1311" i="1" s="1"/>
  <c r="N1311" i="1" s="1"/>
  <c r="I1479" i="1"/>
  <c r="K1479" i="1" s="1"/>
  <c r="M1479" i="1" s="1"/>
  <c r="N1479" i="1" s="1"/>
  <c r="I1567" i="1"/>
  <c r="K1567" i="1" s="1"/>
  <c r="M1567" i="1" s="1"/>
  <c r="N1567" i="1" s="1"/>
  <c r="I1639" i="1"/>
  <c r="K1639" i="1" s="1"/>
  <c r="M1639" i="1" s="1"/>
  <c r="N1639" i="1" s="1"/>
  <c r="I339" i="1"/>
  <c r="K339" i="1" s="1"/>
  <c r="M339" i="1" s="1"/>
  <c r="N339" i="1" s="1"/>
  <c r="I752" i="1"/>
  <c r="K752" i="1" s="1"/>
  <c r="M752" i="1" s="1"/>
  <c r="N752" i="1" s="1"/>
  <c r="I1030" i="1"/>
  <c r="K1030" i="1" s="1"/>
  <c r="M1030" i="1" s="1"/>
  <c r="N1030" i="1" s="1"/>
  <c r="I1320" i="1"/>
  <c r="K1320" i="1" s="1"/>
  <c r="M1320" i="1" s="1"/>
  <c r="N1320" i="1" s="1"/>
  <c r="I1400" i="1"/>
  <c r="I1544" i="1"/>
  <c r="K1544" i="1" s="1"/>
  <c r="M1544" i="1" s="1"/>
  <c r="N1544" i="1" s="1"/>
  <c r="I1552" i="1"/>
  <c r="K1552" i="1" s="1"/>
  <c r="M1552" i="1" s="1"/>
  <c r="N1552" i="1" s="1"/>
  <c r="I1656" i="1"/>
  <c r="K1656" i="1" s="1"/>
  <c r="M1656" i="1" s="1"/>
  <c r="N1656" i="1" s="1"/>
  <c r="I1664" i="1"/>
  <c r="K1664" i="1" s="1"/>
  <c r="M1664" i="1" s="1"/>
  <c r="N1664" i="1" s="1"/>
  <c r="I1680" i="1"/>
  <c r="K1680" i="1" s="1"/>
  <c r="M1680" i="1" s="1"/>
  <c r="N1680" i="1" s="1"/>
  <c r="I818" i="1"/>
  <c r="K818" i="1" s="1"/>
  <c r="M818" i="1" s="1"/>
  <c r="N818" i="1" s="1"/>
  <c r="I913" i="1"/>
  <c r="K913" i="1" s="1"/>
  <c r="M913" i="1" s="1"/>
  <c r="N913" i="1" s="1"/>
  <c r="I1257" i="1"/>
  <c r="K1257" i="1" s="1"/>
  <c r="M1257" i="1" s="1"/>
  <c r="N1257" i="1" s="1"/>
  <c r="I1281" i="1"/>
  <c r="K1281" i="1" s="1"/>
  <c r="M1281" i="1" s="1"/>
  <c r="N1281" i="1" s="1"/>
  <c r="I1297" i="1"/>
  <c r="K1297" i="1" s="1"/>
  <c r="M1297" i="1" s="1"/>
  <c r="N1297" i="1" s="1"/>
  <c r="I1377" i="1"/>
  <c r="K1377" i="1" s="1"/>
  <c r="M1377" i="1" s="1"/>
  <c r="N1377" i="1" s="1"/>
  <c r="I1449" i="1"/>
  <c r="K1449" i="1" s="1"/>
  <c r="M1449" i="1" s="1"/>
  <c r="N1449" i="1" s="1"/>
  <c r="I1529" i="1"/>
  <c r="K1529" i="1" s="1"/>
  <c r="M1529" i="1" s="1"/>
  <c r="N1529" i="1" s="1"/>
  <c r="I1625" i="1"/>
  <c r="K1625" i="1" s="1"/>
  <c r="M1625" i="1" s="1"/>
  <c r="N1625" i="1" s="1"/>
  <c r="I770" i="1"/>
  <c r="K770" i="1" s="1"/>
  <c r="M770" i="1" s="1"/>
  <c r="N770" i="1" s="1"/>
  <c r="I962" i="1"/>
  <c r="K962" i="1" s="1"/>
  <c r="M962" i="1" s="1"/>
  <c r="N962" i="1" s="1"/>
  <c r="I1022" i="1"/>
  <c r="K1022" i="1" s="1"/>
  <c r="M1022" i="1" s="1"/>
  <c r="N1022" i="1" s="1"/>
  <c r="I1105" i="1"/>
  <c r="K1105" i="1" s="1"/>
  <c r="M1105" i="1" s="1"/>
  <c r="N1105" i="1" s="1"/>
  <c r="I1170" i="1"/>
  <c r="K1170" i="1" s="1"/>
  <c r="M1170" i="1" s="1"/>
  <c r="N1170" i="1" s="1"/>
  <c r="I1330" i="1"/>
  <c r="K1330" i="1" s="1"/>
  <c r="M1330" i="1" s="1"/>
  <c r="N1330" i="1" s="1"/>
  <c r="I1338" i="1"/>
  <c r="K1338" i="1" s="1"/>
  <c r="M1338" i="1" s="1"/>
  <c r="N1338" i="1" s="1"/>
  <c r="I1386" i="1"/>
  <c r="K1386" i="1" s="1"/>
  <c r="M1386" i="1" s="1"/>
  <c r="N1386" i="1" s="1"/>
  <c r="I1410" i="1"/>
  <c r="K1410" i="1" s="1"/>
  <c r="M1410" i="1" s="1"/>
  <c r="N1410" i="1" s="1"/>
  <c r="I1498" i="1"/>
  <c r="K1498" i="1" s="1"/>
  <c r="M1498" i="1" s="1"/>
  <c r="N1498" i="1" s="1"/>
  <c r="I1690" i="1"/>
  <c r="K1690" i="1" s="1"/>
  <c r="M1690" i="1" s="1"/>
  <c r="N1690" i="1" s="1"/>
  <c r="I1730" i="1"/>
  <c r="K1730" i="1" s="1"/>
  <c r="M1730" i="1" s="1"/>
  <c r="N1730" i="1" s="1"/>
  <c r="I417" i="1"/>
  <c r="K417" i="1" s="1"/>
  <c r="M417" i="1" s="1"/>
  <c r="N417" i="1" s="1"/>
  <c r="I993" i="1"/>
  <c r="K993" i="1" s="1"/>
  <c r="M993" i="1" s="1"/>
  <c r="N993" i="1" s="1"/>
  <c r="I1475" i="1"/>
  <c r="K1475" i="1" s="1"/>
  <c r="M1475" i="1" s="1"/>
  <c r="N1475" i="1" s="1"/>
  <c r="I1579" i="1"/>
  <c r="K1579" i="1" s="1"/>
  <c r="M1579" i="1" s="1"/>
  <c r="N1579" i="1" s="1"/>
  <c r="I161" i="1"/>
  <c r="K161" i="1" s="1"/>
  <c r="M161" i="1" s="1"/>
  <c r="N161" i="1" s="1"/>
  <c r="I385" i="1"/>
  <c r="K385" i="1" s="1"/>
  <c r="M385" i="1" s="1"/>
  <c r="N385" i="1" s="1"/>
  <c r="I541" i="1"/>
  <c r="K541" i="1" s="1"/>
  <c r="M541" i="1" s="1"/>
  <c r="N541" i="1" s="1"/>
  <c r="I1133" i="1"/>
  <c r="K1133" i="1" s="1"/>
  <c r="M1133" i="1" s="1"/>
  <c r="N1133" i="1" s="1"/>
  <c r="I1141" i="1"/>
  <c r="K1141" i="1" s="1"/>
  <c r="M1141" i="1" s="1"/>
  <c r="N1141" i="1" s="1"/>
  <c r="I1437" i="1"/>
  <c r="K1437" i="1" s="1"/>
  <c r="M1437" i="1" s="1"/>
  <c r="N1437" i="1" s="1"/>
  <c r="I1477" i="1"/>
  <c r="K1477" i="1" s="1"/>
  <c r="M1477" i="1" s="1"/>
  <c r="N1477" i="1" s="1"/>
  <c r="I1597" i="1"/>
  <c r="K1597" i="1" s="1"/>
  <c r="M1597" i="1" s="1"/>
  <c r="N1597" i="1" s="1"/>
  <c r="I1364" i="1"/>
  <c r="K1364" i="1" s="1"/>
  <c r="M1364" i="1" s="1"/>
  <c r="N1364" i="1" s="1"/>
  <c r="I1752" i="1"/>
  <c r="K1752" i="1" s="1"/>
  <c r="M1752" i="1" s="1"/>
  <c r="N1752" i="1" s="1"/>
  <c r="I1246" i="1"/>
  <c r="K1246" i="1" s="1"/>
  <c r="M1246" i="1" s="1"/>
  <c r="N1246" i="1" s="1"/>
  <c r="G1786" i="1"/>
  <c r="G1762" i="1"/>
  <c r="G1730" i="1"/>
  <c r="G1690" i="1"/>
  <c r="G1498" i="1"/>
  <c r="I807" i="1"/>
  <c r="K807" i="1" s="1"/>
  <c r="M807" i="1" s="1"/>
  <c r="N807" i="1" s="1"/>
  <c r="I1204" i="1"/>
  <c r="K1204" i="1" s="1"/>
  <c r="M1204" i="1" s="1"/>
  <c r="N1204" i="1" s="1"/>
  <c r="I1238" i="1"/>
  <c r="K1238" i="1" s="1"/>
  <c r="M1238" i="1" s="1"/>
  <c r="N1238" i="1" s="1"/>
  <c r="I1773" i="1"/>
  <c r="K1773" i="1" s="1"/>
  <c r="M1773" i="1" s="1"/>
  <c r="N1773" i="1" s="1"/>
  <c r="G1625" i="1"/>
  <c r="G1529" i="1"/>
  <c r="G1449" i="1"/>
  <c r="G1377" i="1"/>
  <c r="G1297" i="1"/>
  <c r="G1281" i="1"/>
  <c r="G1257" i="1"/>
  <c r="G1752" i="1"/>
  <c r="G1680" i="1"/>
  <c r="I1066" i="1"/>
  <c r="K1066" i="1" s="1"/>
  <c r="M1066" i="1" s="1"/>
  <c r="N1066" i="1" s="1"/>
  <c r="I1420" i="1"/>
  <c r="K1420" i="1" s="1"/>
  <c r="M1420" i="1" s="1"/>
  <c r="N1420" i="1" s="1"/>
  <c r="I1462" i="1"/>
  <c r="K1462" i="1" s="1"/>
  <c r="M1462" i="1" s="1"/>
  <c r="N1462" i="1" s="1"/>
  <c r="I1524" i="1"/>
  <c r="K1524" i="1" s="1"/>
  <c r="M1524" i="1" s="1"/>
  <c r="N1524" i="1" s="1"/>
  <c r="I906" i="1"/>
  <c r="K906" i="1" s="1"/>
  <c r="M906" i="1" s="1"/>
  <c r="N906" i="1" s="1"/>
  <c r="I1098" i="1"/>
  <c r="K1098" i="1" s="1"/>
  <c r="M1098" i="1" s="1"/>
  <c r="N1098" i="1" s="1"/>
  <c r="I1182" i="1"/>
  <c r="K1182" i="1" s="1"/>
  <c r="M1182" i="1" s="1"/>
  <c r="N1182" i="1" s="1"/>
  <c r="I1350" i="1"/>
  <c r="K1350" i="1" s="1"/>
  <c r="M1350" i="1" s="1"/>
  <c r="N1350" i="1" s="1"/>
  <c r="I709" i="1"/>
  <c r="K709" i="1" s="1"/>
  <c r="M709" i="1" s="1"/>
  <c r="N709" i="1" s="1"/>
  <c r="I761" i="1"/>
  <c r="K761" i="1" s="1"/>
  <c r="M761" i="1" s="1"/>
  <c r="N761" i="1" s="1"/>
  <c r="I1172" i="1"/>
  <c r="K1172" i="1" s="1"/>
  <c r="M1172" i="1" s="1"/>
  <c r="N1172" i="1" s="1"/>
  <c r="I1228" i="1"/>
  <c r="K1228" i="1" s="1"/>
  <c r="M1228" i="1" s="1"/>
  <c r="N1228" i="1" s="1"/>
  <c r="G1773" i="1"/>
  <c r="I954" i="1"/>
  <c r="K954" i="1" s="1"/>
  <c r="M954" i="1" s="1"/>
  <c r="N954" i="1" s="1"/>
  <c r="I1740" i="1"/>
  <c r="K1740" i="1" s="1"/>
  <c r="M1740" i="1" s="1"/>
  <c r="N1740" i="1" s="1"/>
  <c r="I1762" i="1"/>
  <c r="K1762" i="1" s="1"/>
  <c r="M1762" i="1" s="1"/>
  <c r="N1762" i="1" s="1"/>
  <c r="I1786" i="1"/>
  <c r="K1786" i="1" s="1"/>
  <c r="M1786" i="1" s="1"/>
  <c r="N1786" i="1" s="1"/>
  <c r="G1740" i="1"/>
  <c r="G1552" i="1"/>
  <c r="G1410" i="1"/>
  <c r="G1350" i="1"/>
  <c r="G1170" i="1"/>
  <c r="G1098" i="1"/>
  <c r="G1066" i="1"/>
  <c r="G962" i="1"/>
  <c r="G954" i="1"/>
  <c r="G906" i="1"/>
  <c r="G874" i="1"/>
  <c r="G818" i="1"/>
  <c r="G770" i="1"/>
  <c r="G738" i="1"/>
  <c r="G1105" i="1"/>
  <c r="G993" i="1"/>
  <c r="G969" i="1"/>
  <c r="G913" i="1"/>
  <c r="G865" i="1"/>
  <c r="G857" i="1"/>
  <c r="G841" i="1"/>
  <c r="G761" i="1"/>
  <c r="G1597" i="1"/>
  <c r="G1579" i="1"/>
  <c r="G1330" i="1"/>
  <c r="G1320" i="1"/>
  <c r="G1311" i="1"/>
  <c r="G784" i="1"/>
  <c r="G752" i="1"/>
  <c r="G1567" i="1"/>
  <c r="G1479" i="1"/>
  <c r="G1462" i="1"/>
  <c r="G1338" i="1"/>
  <c r="G1151" i="1"/>
  <c r="G1015" i="1"/>
  <c r="G935" i="1"/>
  <c r="G807" i="1"/>
  <c r="G1364" i="1"/>
  <c r="G1246" i="1"/>
  <c r="G1238" i="1"/>
  <c r="G1182" i="1"/>
  <c r="G1030" i="1"/>
  <c r="G1022" i="1"/>
  <c r="G1639" i="1"/>
  <c r="G1477" i="1"/>
  <c r="G1141" i="1"/>
  <c r="G1133" i="1"/>
  <c r="G917" i="1"/>
  <c r="G829" i="1"/>
  <c r="G1656" i="1"/>
  <c r="G1544" i="1"/>
  <c r="G1524" i="1"/>
  <c r="G1437" i="1"/>
  <c r="G1420" i="1"/>
  <c r="G1228" i="1"/>
  <c r="G1204" i="1"/>
  <c r="G1172" i="1"/>
  <c r="G1004" i="1"/>
  <c r="G980" i="1"/>
  <c r="G892" i="1"/>
  <c r="G1664" i="1"/>
  <c r="G1475" i="1"/>
  <c r="G1386" i="1"/>
  <c r="G1091" i="1"/>
  <c r="G747" i="1"/>
  <c r="I7" i="1"/>
  <c r="K7" i="1" s="1"/>
  <c r="M7" i="1" s="1"/>
  <c r="N7" i="1" s="1"/>
  <c r="I97" i="1"/>
  <c r="K97" i="1" s="1"/>
  <c r="M97" i="1" s="1"/>
  <c r="N97" i="1" s="1"/>
  <c r="I1282" i="1"/>
  <c r="K1282" i="1" s="1"/>
  <c r="M1282" i="1" s="1"/>
  <c r="N1282" i="1" s="1"/>
  <c r="I1298" i="1"/>
  <c r="K1298" i="1" s="1"/>
  <c r="M1298" i="1" s="1"/>
  <c r="N1298" i="1" s="1"/>
  <c r="G1282" i="1"/>
  <c r="G1298" i="1"/>
  <c r="I1041" i="1"/>
  <c r="K1041" i="1" s="1"/>
  <c r="M1041" i="1" s="1"/>
  <c r="N1041" i="1" s="1"/>
  <c r="I1422" i="1"/>
  <c r="K1422" i="1" s="1"/>
  <c r="M1422" i="1" s="1"/>
  <c r="N1422" i="1" s="1"/>
  <c r="G1041" i="1"/>
  <c r="G1422" i="1"/>
  <c r="I46" i="1"/>
  <c r="K46" i="1" s="1"/>
  <c r="M46" i="1" s="1"/>
  <c r="N46" i="1" s="1"/>
  <c r="I39" i="1"/>
  <c r="K39" i="1" s="1"/>
  <c r="M39" i="1" s="1"/>
  <c r="N39" i="1" s="1"/>
  <c r="I426" i="1"/>
  <c r="K426" i="1" s="1"/>
  <c r="M426" i="1" s="1"/>
  <c r="N426" i="1" s="1"/>
  <c r="I604" i="1"/>
  <c r="K604" i="1" s="1"/>
  <c r="M604" i="1" s="1"/>
  <c r="N604" i="1" s="1"/>
  <c r="I640" i="1"/>
  <c r="K640" i="1" s="1"/>
  <c r="M640" i="1" s="1"/>
  <c r="N640" i="1" s="1"/>
  <c r="I1488" i="1"/>
  <c r="K1488" i="1" s="1"/>
  <c r="M1488" i="1" s="1"/>
  <c r="N1488" i="1" s="1"/>
  <c r="I1353" i="1"/>
  <c r="K1353" i="1" s="1"/>
  <c r="M1353" i="1" s="1"/>
  <c r="N1353" i="1" s="1"/>
  <c r="I763" i="1"/>
  <c r="K763" i="1" s="1"/>
  <c r="M763" i="1" s="1"/>
  <c r="N763" i="1" s="1"/>
  <c r="G1353" i="1"/>
  <c r="I1510" i="1"/>
  <c r="K1510" i="1" s="1"/>
  <c r="M1510" i="1" s="1"/>
  <c r="N1510" i="1" s="1"/>
  <c r="I1005" i="1"/>
  <c r="K1005" i="1" s="1"/>
  <c r="M1005" i="1" s="1"/>
  <c r="N1005" i="1" s="1"/>
  <c r="G1510" i="1"/>
  <c r="G1488" i="1"/>
  <c r="G1005" i="1"/>
  <c r="G763" i="1"/>
  <c r="I1409" i="1"/>
  <c r="K1409" i="1" s="1"/>
  <c r="M1409" i="1" s="1"/>
  <c r="N1409" i="1" s="1"/>
  <c r="I1522" i="1"/>
  <c r="K1522" i="1" s="1"/>
  <c r="M1522" i="1" s="1"/>
  <c r="N1522" i="1" s="1"/>
  <c r="I1419" i="1"/>
  <c r="K1419" i="1" s="1"/>
  <c r="M1419" i="1" s="1"/>
  <c r="N1419" i="1" s="1"/>
  <c r="I2" i="1"/>
  <c r="I1430" i="1"/>
  <c r="K1430" i="1" s="1"/>
  <c r="M1430" i="1" s="1"/>
  <c r="N1430" i="1" s="1"/>
  <c r="G1522" i="1"/>
  <c r="G1409" i="1"/>
  <c r="G1430" i="1"/>
  <c r="G1419" i="1"/>
  <c r="I3" i="1"/>
  <c r="K3" i="1" s="1"/>
  <c r="M3" i="1" s="1"/>
  <c r="N3" i="1" s="1"/>
  <c r="I44" i="1"/>
  <c r="K44" i="1" s="1"/>
  <c r="M44" i="1" s="1"/>
  <c r="N44" i="1" s="1"/>
  <c r="I37" i="1"/>
  <c r="K37" i="1" s="1"/>
  <c r="M37" i="1" s="1"/>
  <c r="N37" i="1" s="1"/>
  <c r="I466" i="1"/>
  <c r="K466" i="1" s="1"/>
  <c r="M466" i="1" s="1"/>
  <c r="N466" i="1" s="1"/>
  <c r="I722" i="1"/>
  <c r="K722" i="1" s="1"/>
  <c r="M722" i="1" s="1"/>
  <c r="N722" i="1" s="1"/>
  <c r="I424" i="1"/>
  <c r="K424" i="1" s="1"/>
  <c r="M424" i="1" s="1"/>
  <c r="N424" i="1" s="1"/>
  <c r="I1431" i="1"/>
  <c r="K1431" i="1" s="1"/>
  <c r="M1431" i="1" s="1"/>
  <c r="N1431" i="1" s="1"/>
  <c r="I737" i="1"/>
  <c r="K737" i="1" s="1"/>
  <c r="M737" i="1" s="1"/>
  <c r="N737" i="1" s="1"/>
  <c r="I1523" i="1"/>
  <c r="K1523" i="1" s="1"/>
  <c r="M1523" i="1" s="1"/>
  <c r="N1523" i="1" s="1"/>
  <c r="G722" i="1"/>
  <c r="G737" i="1"/>
  <c r="G1431" i="1"/>
  <c r="G1523" i="1"/>
  <c r="I4" i="1"/>
  <c r="K4" i="1" s="1"/>
  <c r="M4" i="1" s="1"/>
  <c r="N4" i="1" s="1"/>
  <c r="I84" i="1"/>
  <c r="K84" i="1" s="1"/>
  <c r="M84" i="1" s="1"/>
  <c r="N84" i="1" s="1"/>
  <c r="I527" i="1"/>
  <c r="K527" i="1" s="1"/>
  <c r="M527" i="1" s="1"/>
  <c r="N527" i="1" s="1"/>
  <c r="I730" i="1"/>
  <c r="K730" i="1" s="1"/>
  <c r="M730" i="1" s="1"/>
  <c r="N730" i="1" s="1"/>
  <c r="I783" i="1"/>
  <c r="K783" i="1" s="1"/>
  <c r="M783" i="1" s="1"/>
  <c r="N783" i="1" s="1"/>
  <c r="I175" i="1"/>
  <c r="K175" i="1" s="1"/>
  <c r="M175" i="1" s="1"/>
  <c r="N175" i="1" s="1"/>
  <c r="I916" i="1"/>
  <c r="K916" i="1" s="1"/>
  <c r="M916" i="1" s="1"/>
  <c r="N916" i="1" s="1"/>
  <c r="I433" i="1"/>
  <c r="K433" i="1" s="1"/>
  <c r="M433" i="1" s="1"/>
  <c r="N433" i="1" s="1"/>
  <c r="I795" i="1"/>
  <c r="K795" i="1" s="1"/>
  <c r="M795" i="1" s="1"/>
  <c r="N795" i="1" s="1"/>
  <c r="I840" i="1"/>
  <c r="K840" i="1" s="1"/>
  <c r="M840" i="1" s="1"/>
  <c r="N840" i="1" s="1"/>
  <c r="I934" i="1"/>
  <c r="K934" i="1" s="1"/>
  <c r="M934" i="1" s="1"/>
  <c r="N934" i="1" s="1"/>
  <c r="I513" i="1"/>
  <c r="K513" i="1" s="1"/>
  <c r="M513" i="1" s="1"/>
  <c r="N513" i="1" s="1"/>
  <c r="I751" i="1"/>
  <c r="K751" i="1" s="1"/>
  <c r="M751" i="1" s="1"/>
  <c r="N751" i="1" s="1"/>
  <c r="I760" i="1"/>
  <c r="K760" i="1" s="1"/>
  <c r="M760" i="1" s="1"/>
  <c r="N760" i="1" s="1"/>
  <c r="I806" i="1"/>
  <c r="K806" i="1" s="1"/>
  <c r="M806" i="1" s="1"/>
  <c r="N806" i="1" s="1"/>
  <c r="I278" i="1"/>
  <c r="K278" i="1" s="1"/>
  <c r="M278" i="1" s="1"/>
  <c r="N278" i="1" s="1"/>
  <c r="I817" i="1"/>
  <c r="K817" i="1" s="1"/>
  <c r="M817" i="1" s="1"/>
  <c r="N817" i="1" s="1"/>
  <c r="I1319" i="1"/>
  <c r="K1319" i="1" s="1"/>
  <c r="M1319" i="1" s="1"/>
  <c r="N1319" i="1" s="1"/>
  <c r="I1543" i="1"/>
  <c r="K1543" i="1" s="1"/>
  <c r="M1543" i="1" s="1"/>
  <c r="N1543" i="1" s="1"/>
  <c r="I1551" i="1"/>
  <c r="K1551" i="1" s="1"/>
  <c r="M1551" i="1" s="1"/>
  <c r="N1551" i="1" s="1"/>
  <c r="I1655" i="1"/>
  <c r="K1655" i="1" s="1"/>
  <c r="M1655" i="1" s="1"/>
  <c r="N1655" i="1" s="1"/>
  <c r="I1663" i="1"/>
  <c r="K1663" i="1" s="1"/>
  <c r="M1663" i="1" s="1"/>
  <c r="N1663" i="1" s="1"/>
  <c r="I1679" i="1"/>
  <c r="K1679" i="1" s="1"/>
  <c r="M1679" i="1" s="1"/>
  <c r="N1679" i="1" s="1"/>
  <c r="I850" i="1"/>
  <c r="K850" i="1" s="1"/>
  <c r="M850" i="1" s="1"/>
  <c r="N850" i="1" s="1"/>
  <c r="I912" i="1"/>
  <c r="K912" i="1" s="1"/>
  <c r="M912" i="1" s="1"/>
  <c r="N912" i="1" s="1"/>
  <c r="I1280" i="1"/>
  <c r="K1280" i="1" s="1"/>
  <c r="M1280" i="1" s="1"/>
  <c r="N1280" i="1" s="1"/>
  <c r="I1296" i="1"/>
  <c r="K1296" i="1" s="1"/>
  <c r="M1296" i="1" s="1"/>
  <c r="N1296" i="1" s="1"/>
  <c r="I1376" i="1"/>
  <c r="K1376" i="1" s="1"/>
  <c r="M1376" i="1" s="1"/>
  <c r="N1376" i="1" s="1"/>
  <c r="I1448" i="1"/>
  <c r="K1448" i="1" s="1"/>
  <c r="M1448" i="1" s="1"/>
  <c r="N1448" i="1" s="1"/>
  <c r="I1704" i="1"/>
  <c r="K1704" i="1" s="1"/>
  <c r="M1704" i="1" s="1"/>
  <c r="N1704" i="1" s="1"/>
  <c r="I480" i="1"/>
  <c r="K480" i="1" s="1"/>
  <c r="M480" i="1" s="1"/>
  <c r="N480" i="1" s="1"/>
  <c r="I961" i="1"/>
  <c r="K961" i="1" s="1"/>
  <c r="M961" i="1" s="1"/>
  <c r="N961" i="1" s="1"/>
  <c r="I1021" i="1"/>
  <c r="K1021" i="1" s="1"/>
  <c r="M1021" i="1" s="1"/>
  <c r="N1021" i="1" s="1"/>
  <c r="I1337" i="1"/>
  <c r="K1337" i="1" s="1"/>
  <c r="M1337" i="1" s="1"/>
  <c r="N1337" i="1" s="1"/>
  <c r="I1497" i="1"/>
  <c r="K1497" i="1" s="1"/>
  <c r="M1497" i="1" s="1"/>
  <c r="N1497" i="1" s="1"/>
  <c r="I1689" i="1"/>
  <c r="K1689" i="1" s="1"/>
  <c r="M1689" i="1" s="1"/>
  <c r="N1689" i="1" s="1"/>
  <c r="I304" i="1"/>
  <c r="K304" i="1" s="1"/>
  <c r="M304" i="1" s="1"/>
  <c r="N304" i="1" s="1"/>
  <c r="I1003" i="1"/>
  <c r="K1003" i="1" s="1"/>
  <c r="M1003" i="1" s="1"/>
  <c r="N1003" i="1" s="1"/>
  <c r="I1014" i="1"/>
  <c r="K1014" i="1" s="1"/>
  <c r="M1014" i="1" s="1"/>
  <c r="N1014" i="1" s="1"/>
  <c r="I1363" i="1"/>
  <c r="K1363" i="1" s="1"/>
  <c r="M1363" i="1" s="1"/>
  <c r="N1363" i="1" s="1"/>
  <c r="I1349" i="1"/>
  <c r="K1349" i="1" s="1"/>
  <c r="M1349" i="1" s="1"/>
  <c r="N1349" i="1" s="1"/>
  <c r="I1461" i="1"/>
  <c r="K1461" i="1" s="1"/>
  <c r="M1461" i="1" s="1"/>
  <c r="N1461" i="1" s="1"/>
  <c r="I746" i="1"/>
  <c r="K746" i="1" s="1"/>
  <c r="M746" i="1" s="1"/>
  <c r="N746" i="1" s="1"/>
  <c r="I1436" i="1"/>
  <c r="K1436" i="1" s="1"/>
  <c r="M1436" i="1" s="1"/>
  <c r="N1436" i="1" s="1"/>
  <c r="G1689" i="1"/>
  <c r="G1497" i="1"/>
  <c r="G1337" i="1"/>
  <c r="G1704" i="1"/>
  <c r="G1679" i="1"/>
  <c r="I968" i="1"/>
  <c r="K968" i="1" s="1"/>
  <c r="M968" i="1" s="1"/>
  <c r="N968" i="1" s="1"/>
  <c r="G1663" i="1"/>
  <c r="G1376" i="1"/>
  <c r="G850" i="1"/>
  <c r="G746" i="1"/>
  <c r="G730" i="1"/>
  <c r="G1551" i="1"/>
  <c r="G1349" i="1"/>
  <c r="G961" i="1"/>
  <c r="G817" i="1"/>
  <c r="G968" i="1"/>
  <c r="G912" i="1"/>
  <c r="G840" i="1"/>
  <c r="G760" i="1"/>
  <c r="G1319" i="1"/>
  <c r="G783" i="1"/>
  <c r="G751" i="1"/>
  <c r="G1461" i="1"/>
  <c r="G1014" i="1"/>
  <c r="G934" i="1"/>
  <c r="G806" i="1"/>
  <c r="G1448" i="1"/>
  <c r="G1363" i="1"/>
  <c r="G1280" i="1"/>
  <c r="G1021" i="1"/>
  <c r="G916" i="1"/>
  <c r="G1655" i="1"/>
  <c r="G1543" i="1"/>
  <c r="G1436" i="1"/>
  <c r="G1296" i="1"/>
  <c r="G1003" i="1"/>
  <c r="G795" i="1"/>
  <c r="I5" i="1"/>
  <c r="K5" i="1" s="1"/>
  <c r="M5" i="1" s="1"/>
  <c r="N5" i="1" s="1"/>
  <c r="I30" i="1"/>
  <c r="K30" i="1" s="1"/>
  <c r="M30" i="1" s="1"/>
  <c r="N30" i="1" s="1"/>
  <c r="I1528" i="1"/>
  <c r="K1528" i="1" s="1"/>
  <c r="M1528" i="1" s="1"/>
  <c r="N1528" i="1" s="1"/>
  <c r="G1528" i="1"/>
  <c r="I1074" i="1"/>
  <c r="K1074" i="1" s="1"/>
  <c r="M1074" i="1" s="1"/>
  <c r="N1074" i="1" s="1"/>
  <c r="G1074" i="1"/>
  <c r="I477" i="1"/>
  <c r="K477" i="1" s="1"/>
  <c r="M477" i="1" s="1"/>
  <c r="N477" i="1" s="1"/>
  <c r="I611" i="1"/>
  <c r="K611" i="1" s="1"/>
  <c r="M611" i="1" s="1"/>
  <c r="N611" i="1" s="1"/>
  <c r="I1456" i="1"/>
  <c r="K1456" i="1" s="1"/>
  <c r="M1456" i="1" s="1"/>
  <c r="N1456" i="1" s="1"/>
  <c r="I1442" i="1"/>
  <c r="K1442" i="1" s="1"/>
  <c r="M1442" i="1" s="1"/>
  <c r="N1442" i="1" s="1"/>
  <c r="I931" i="1"/>
  <c r="K931" i="1" s="1"/>
  <c r="M931" i="1" s="1"/>
  <c r="N931" i="1" s="1"/>
  <c r="I1470" i="1"/>
  <c r="K1470" i="1" s="1"/>
  <c r="M1470" i="1" s="1"/>
  <c r="N1470" i="1" s="1"/>
  <c r="G1442" i="1"/>
  <c r="I1190" i="1"/>
  <c r="K1190" i="1" s="1"/>
  <c r="M1190" i="1" s="1"/>
  <c r="N1190" i="1" s="1"/>
  <c r="G1470" i="1"/>
  <c r="G1190" i="1"/>
  <c r="G1456" i="1"/>
  <c r="G931" i="1"/>
  <c r="I669" i="1"/>
  <c r="K669" i="1" s="1"/>
  <c r="M669" i="1" s="1"/>
  <c r="N669" i="1" s="1"/>
  <c r="I681" i="1"/>
  <c r="K681" i="1" s="1"/>
  <c r="M681" i="1" s="1"/>
  <c r="N681" i="1" s="1"/>
  <c r="I1713" i="1"/>
  <c r="K1713" i="1" s="1"/>
  <c r="M1713" i="1" s="1"/>
  <c r="N1713" i="1" s="1"/>
  <c r="G1713" i="1"/>
  <c r="G1725" i="1"/>
  <c r="K1725" i="1" s="1"/>
  <c r="M1725" i="1" s="1"/>
  <c r="N1725" i="1" s="1"/>
  <c r="G1709" i="1"/>
  <c r="K1709" i="1" s="1"/>
  <c r="M1709" i="1" s="1"/>
  <c r="N1709" i="1" s="1"/>
  <c r="I1715" i="1"/>
  <c r="K1715" i="1" s="1"/>
  <c r="M1715" i="1" s="1"/>
  <c r="N1715" i="1" s="1"/>
  <c r="G1715" i="1"/>
  <c r="G1722" i="1"/>
  <c r="K1722" i="1" s="1"/>
  <c r="M1722" i="1" s="1"/>
  <c r="N1722" i="1" s="1"/>
  <c r="G1718" i="1"/>
  <c r="K1718" i="1" s="1"/>
  <c r="M1718" i="1" s="1"/>
  <c r="N1718" i="1" s="1"/>
  <c r="I1648" i="1"/>
  <c r="K1648" i="1" s="1"/>
  <c r="M1648" i="1" s="1"/>
  <c r="N1648" i="1" s="1"/>
  <c r="I1714" i="1"/>
  <c r="K1714" i="1" s="1"/>
  <c r="M1714" i="1" s="1"/>
  <c r="N1714" i="1" s="1"/>
  <c r="G1714" i="1"/>
  <c r="G1721" i="1"/>
  <c r="K1721" i="1" s="1"/>
  <c r="M1721" i="1" s="1"/>
  <c r="N1721" i="1" s="1"/>
  <c r="G1717" i="1"/>
  <c r="K1717" i="1" s="1"/>
  <c r="M1717" i="1" s="1"/>
  <c r="N1717" i="1" s="1"/>
  <c r="G1648" i="1"/>
  <c r="G1723" i="1"/>
  <c r="K1723" i="1" s="1"/>
  <c r="M1723" i="1" s="1"/>
  <c r="N1723" i="1" s="1"/>
  <c r="I1716" i="1"/>
  <c r="K1716" i="1" s="1"/>
  <c r="M1716" i="1" s="1"/>
  <c r="N1716" i="1" s="1"/>
  <c r="G1727" i="1"/>
  <c r="G1719" i="1"/>
  <c r="K1719" i="1" s="1"/>
  <c r="M1719" i="1" s="1"/>
  <c r="N1719" i="1" s="1"/>
  <c r="G1716" i="1"/>
  <c r="I888" i="1"/>
  <c r="K888" i="1" s="1"/>
  <c r="M888" i="1" s="1"/>
  <c r="N888" i="1" s="1"/>
  <c r="G888" i="1"/>
  <c r="I145" i="1"/>
  <c r="K145" i="1" s="1"/>
  <c r="M145" i="1" s="1"/>
  <c r="N145" i="1" s="1"/>
  <c r="I904" i="1"/>
  <c r="K904" i="1" s="1"/>
  <c r="M904" i="1" s="1"/>
  <c r="N904" i="1" s="1"/>
  <c r="I889" i="1"/>
  <c r="K889" i="1" s="1"/>
  <c r="M889" i="1" s="1"/>
  <c r="N889" i="1" s="1"/>
  <c r="G889" i="1"/>
  <c r="G904" i="1"/>
  <c r="I1649" i="1"/>
  <c r="K1649" i="1" s="1"/>
  <c r="M1649" i="1" s="1"/>
  <c r="N1649" i="1" s="1"/>
  <c r="G1649" i="1"/>
  <c r="G1621" i="1"/>
  <c r="K1621" i="1" s="1"/>
  <c r="M1621" i="1" s="1"/>
  <c r="N1621" i="1" s="1"/>
  <c r="I1737" i="1"/>
  <c r="K1737" i="1" s="1"/>
  <c r="M1737" i="1" s="1"/>
  <c r="N1737" i="1" s="1"/>
  <c r="G1737" i="1"/>
  <c r="G1615" i="1"/>
  <c r="G1595" i="1"/>
  <c r="I1633" i="1"/>
  <c r="K1633" i="1" s="1"/>
  <c r="M1633" i="1" s="1"/>
  <c r="N1633" i="1" s="1"/>
  <c r="G1633" i="1"/>
  <c r="I1039" i="1"/>
  <c r="K1039" i="1" s="1"/>
  <c r="M1039" i="1" s="1"/>
  <c r="N1039" i="1" s="1"/>
  <c r="I870" i="1"/>
  <c r="K870" i="1" s="1"/>
  <c r="M870" i="1" s="1"/>
  <c r="N870" i="1" s="1"/>
  <c r="I1252" i="1"/>
  <c r="K1252" i="1" s="1"/>
  <c r="M1252" i="1" s="1"/>
  <c r="N1252" i="1" s="1"/>
  <c r="G1698" i="1"/>
  <c r="K1698" i="1" s="1"/>
  <c r="M1698" i="1" s="1"/>
  <c r="N1698" i="1" s="1"/>
  <c r="G1671" i="1"/>
  <c r="K1671" i="1" s="1"/>
  <c r="M1671" i="1" s="1"/>
  <c r="N1671" i="1" s="1"/>
  <c r="G1685" i="1"/>
  <c r="K1685" i="1" s="1"/>
  <c r="M1685" i="1" s="1"/>
  <c r="N1685" i="1" s="1"/>
  <c r="I1650" i="1"/>
  <c r="K1650" i="1" s="1"/>
  <c r="M1650" i="1" s="1"/>
  <c r="N1650" i="1" s="1"/>
  <c r="I1372" i="1"/>
  <c r="K1372" i="1" s="1"/>
  <c r="M1372" i="1" s="1"/>
  <c r="N1372" i="1" s="1"/>
  <c r="I1371" i="1"/>
  <c r="K1371" i="1" s="1"/>
  <c r="M1371" i="1" s="1"/>
  <c r="N1371" i="1" s="1"/>
  <c r="I333" i="1"/>
  <c r="K333" i="1" s="1"/>
  <c r="M333" i="1" s="1"/>
  <c r="N333" i="1" s="1"/>
  <c r="G1371" i="1"/>
  <c r="I1381" i="1"/>
  <c r="K1381" i="1" s="1"/>
  <c r="M1381" i="1" s="1"/>
  <c r="N1381" i="1" s="1"/>
  <c r="I1308" i="1"/>
  <c r="K1308" i="1" s="1"/>
  <c r="M1308" i="1" s="1"/>
  <c r="N1308" i="1" s="1"/>
  <c r="G1381" i="1"/>
  <c r="G1308" i="1"/>
  <c r="I1359" i="1"/>
  <c r="K1359" i="1" s="1"/>
  <c r="M1359" i="1" s="1"/>
  <c r="N1359" i="1" s="1"/>
  <c r="G1359" i="1"/>
  <c r="G1675" i="1"/>
  <c r="K1675" i="1" s="1"/>
  <c r="M1675" i="1" s="1"/>
  <c r="N1675" i="1" s="1"/>
  <c r="G1710" i="1"/>
  <c r="K1710" i="1" s="1"/>
  <c r="M1710" i="1" s="1"/>
  <c r="N1710" i="1" s="1"/>
  <c r="G1635" i="1"/>
  <c r="K1635" i="1" s="1"/>
  <c r="M1635" i="1" s="1"/>
  <c r="N1635" i="1" s="1"/>
  <c r="G1622" i="1"/>
  <c r="K1622" i="1" s="1"/>
  <c r="M1622" i="1" s="1"/>
  <c r="N1622" i="1" s="1"/>
  <c r="I707" i="1"/>
  <c r="K707" i="1" s="1"/>
  <c r="M707" i="1" s="1"/>
  <c r="N707" i="1" s="1"/>
  <c r="I1370" i="1"/>
  <c r="K1370" i="1" s="1"/>
  <c r="M1370" i="1" s="1"/>
  <c r="N1370" i="1" s="1"/>
  <c r="I1315" i="1"/>
  <c r="K1315" i="1" s="1"/>
  <c r="M1315" i="1" s="1"/>
  <c r="N1315" i="1" s="1"/>
  <c r="I1291" i="1"/>
  <c r="K1291" i="1" s="1"/>
  <c r="M1291" i="1" s="1"/>
  <c r="N1291" i="1" s="1"/>
  <c r="I1333" i="1"/>
  <c r="K1333" i="1" s="1"/>
  <c r="M1333" i="1" s="1"/>
  <c r="N1333" i="1" s="1"/>
  <c r="G1743" i="1"/>
  <c r="G1764" i="1"/>
  <c r="G1732" i="1"/>
  <c r="G1144" i="1"/>
  <c r="I290" i="1"/>
  <c r="K290" i="1" s="1"/>
  <c r="M290" i="1" s="1"/>
  <c r="N290" i="1" s="1"/>
  <c r="I1358" i="1"/>
  <c r="K1358" i="1" s="1"/>
  <c r="M1358" i="1" s="1"/>
  <c r="N1358" i="1" s="1"/>
  <c r="I826" i="1"/>
  <c r="K826" i="1" s="1"/>
  <c r="M826" i="1" s="1"/>
  <c r="N826" i="1" s="1"/>
  <c r="G1122" i="1"/>
  <c r="K1122" i="1" s="1"/>
  <c r="M1122" i="1" s="1"/>
  <c r="N1122" i="1" s="1"/>
  <c r="G826" i="1"/>
  <c r="G1129" i="1"/>
  <c r="K1129" i="1" s="1"/>
  <c r="M1129" i="1" s="1"/>
  <c r="N1129" i="1" s="1"/>
  <c r="G1116" i="1"/>
  <c r="K1116" i="1" s="1"/>
  <c r="M1116" i="1" s="1"/>
  <c r="N1116" i="1" s="1"/>
  <c r="I1383" i="1"/>
  <c r="K1383" i="1" s="1"/>
  <c r="M1383" i="1" s="1"/>
  <c r="N1383" i="1" s="1"/>
  <c r="G1383" i="1"/>
  <c r="I1360" i="1"/>
  <c r="K1360" i="1" s="1"/>
  <c r="M1360" i="1" s="1"/>
  <c r="N1360" i="1" s="1"/>
  <c r="I827" i="1"/>
  <c r="K827" i="1" s="1"/>
  <c r="M827" i="1" s="1"/>
  <c r="N827" i="1" s="1"/>
  <c r="I1292" i="1"/>
  <c r="K1292" i="1" s="1"/>
  <c r="M1292" i="1" s="1"/>
  <c r="N1292" i="1" s="1"/>
  <c r="G690" i="1"/>
  <c r="K690" i="1" s="1"/>
  <c r="M690" i="1" s="1"/>
  <c r="N690" i="1" s="1"/>
  <c r="G1292" i="1"/>
  <c r="I300" i="1"/>
  <c r="K300" i="1" s="1"/>
  <c r="M300" i="1" s="1"/>
  <c r="N300" i="1" s="1"/>
  <c r="I332" i="1"/>
  <c r="K332" i="1" s="1"/>
  <c r="M332" i="1" s="1"/>
  <c r="N332" i="1" s="1"/>
  <c r="I331" i="1"/>
  <c r="K331" i="1" s="1"/>
  <c r="M331" i="1" s="1"/>
  <c r="N331" i="1" s="1"/>
  <c r="I1307" i="1"/>
  <c r="K1307" i="1" s="1"/>
  <c r="M1307" i="1" s="1"/>
  <c r="N1307" i="1" s="1"/>
  <c r="I1293" i="1"/>
  <c r="K1293" i="1" s="1"/>
  <c r="M1293" i="1" s="1"/>
  <c r="N1293" i="1" s="1"/>
  <c r="I1357" i="1"/>
  <c r="K1357" i="1" s="1"/>
  <c r="M1357" i="1" s="1"/>
  <c r="N1357" i="1" s="1"/>
  <c r="I1334" i="1"/>
  <c r="K1334" i="1" s="1"/>
  <c r="M1334" i="1" s="1"/>
  <c r="N1334" i="1" s="1"/>
  <c r="G1678" i="1"/>
  <c r="K1678" i="1" s="1"/>
  <c r="M1678" i="1" s="1"/>
  <c r="N1678" i="1" s="1"/>
  <c r="G1375" i="1"/>
  <c r="K1375" i="1" s="1"/>
  <c r="M1375" i="1" s="1"/>
  <c r="N1375" i="1" s="1"/>
  <c r="G1357" i="1"/>
  <c r="G1293" i="1"/>
  <c r="G1264" i="1"/>
  <c r="K1264" i="1" s="1"/>
  <c r="M1264" i="1" s="1"/>
  <c r="N1264" i="1" s="1"/>
  <c r="G1334" i="1"/>
  <c r="G1307" i="1"/>
  <c r="G1674" i="1"/>
  <c r="K1674" i="1" s="1"/>
  <c r="M1674" i="1" s="1"/>
  <c r="N1674" i="1" s="1"/>
  <c r="I1316" i="1"/>
  <c r="K1316" i="1" s="1"/>
  <c r="M1316" i="1" s="1"/>
  <c r="N1316" i="1" s="1"/>
  <c r="G1686" i="1"/>
  <c r="K1686" i="1" s="1"/>
  <c r="M1686" i="1" s="1"/>
  <c r="N1686" i="1" s="1"/>
  <c r="G1701" i="1"/>
  <c r="K1701" i="1" s="1"/>
  <c r="M1701" i="1" s="1"/>
  <c r="N1701" i="1" s="1"/>
  <c r="G1564" i="1"/>
  <c r="K1564" i="1" s="1"/>
  <c r="M1564" i="1" s="1"/>
  <c r="N1564" i="1" s="1"/>
  <c r="G1316" i="1"/>
  <c r="I1405" i="1"/>
  <c r="K1405" i="1" s="1"/>
  <c r="M1405" i="1" s="1"/>
  <c r="N1405" i="1" s="1"/>
  <c r="G1405" i="1"/>
  <c r="I184" i="1"/>
  <c r="K184" i="1" s="1"/>
  <c r="M184" i="1" s="1"/>
  <c r="N184" i="1" s="1"/>
  <c r="G1577" i="1"/>
  <c r="K1577" i="1" s="1"/>
  <c r="M1577" i="1" s="1"/>
  <c r="N1577" i="1" s="1"/>
  <c r="G793" i="1"/>
  <c r="K793" i="1" s="1"/>
  <c r="M793" i="1" s="1"/>
  <c r="N793" i="1" s="1"/>
  <c r="G814" i="1"/>
  <c r="K814" i="1" s="1"/>
  <c r="M814" i="1" s="1"/>
  <c r="N814" i="1" s="1"/>
  <c r="G1537" i="1"/>
  <c r="K1537" i="1" s="1"/>
  <c r="M1537" i="1" s="1"/>
  <c r="N1537" i="1" s="1"/>
  <c r="G1720" i="1"/>
  <c r="K1720" i="1" s="1"/>
  <c r="M1720" i="1" s="1"/>
  <c r="N1720" i="1" s="1"/>
  <c r="G1724" i="1"/>
  <c r="K1724" i="1" s="1"/>
  <c r="M1724" i="1" s="1"/>
  <c r="N1724" i="1" s="1"/>
  <c r="G1123" i="1"/>
  <c r="K1123" i="1" s="1"/>
  <c r="M1123" i="1" s="1"/>
  <c r="N1123" i="1" s="1"/>
  <c r="G1578" i="1"/>
  <c r="K1578" i="1" s="1"/>
  <c r="M1578" i="1" s="1"/>
  <c r="N1578" i="1" s="1"/>
  <c r="G1541" i="1"/>
  <c r="K1541" i="1" s="1"/>
  <c r="M1541" i="1" s="1"/>
  <c r="N1541" i="1" s="1"/>
  <c r="G1177" i="1"/>
  <c r="K1177" i="1" s="1"/>
  <c r="M1177" i="1" s="1"/>
  <c r="N1177" i="1" s="1"/>
  <c r="G1176" i="1"/>
  <c r="K1176" i="1" s="1"/>
  <c r="M1176" i="1" s="1"/>
  <c r="N1176" i="1" s="1"/>
  <c r="G1245" i="1"/>
  <c r="K1245" i="1" s="1"/>
  <c r="M1245" i="1" s="1"/>
  <c r="N1245" i="1" s="1"/>
  <c r="G1197" i="1"/>
  <c r="K1197" i="1" s="1"/>
  <c r="M1197" i="1" s="1"/>
  <c r="N1197" i="1" s="1"/>
  <c r="G1189" i="1"/>
  <c r="K1189" i="1" s="1"/>
  <c r="M1189" i="1" s="1"/>
  <c r="N1189" i="1" s="1"/>
  <c r="G1196" i="1"/>
  <c r="K1196" i="1" s="1"/>
  <c r="M1196" i="1" s="1"/>
  <c r="N1196" i="1" s="1"/>
  <c r="G1188" i="1"/>
  <c r="K1188" i="1" s="1"/>
  <c r="M1188" i="1" s="1"/>
  <c r="N1188" i="1" s="1"/>
  <c r="I311" i="1"/>
  <c r="K311" i="1" s="1"/>
  <c r="M311" i="1" s="1"/>
  <c r="N311" i="1" s="1"/>
  <c r="I1051" i="1"/>
  <c r="K1051" i="1" s="1"/>
  <c r="M1051" i="1" s="1"/>
  <c r="N1051" i="1" s="1"/>
  <c r="I1573" i="1"/>
  <c r="K1573" i="1" s="1"/>
  <c r="M1573" i="1" s="1"/>
  <c r="N1573" i="1" s="1"/>
  <c r="G745" i="1"/>
  <c r="K745" i="1" s="1"/>
  <c r="M745" i="1" s="1"/>
  <c r="N745" i="1" s="1"/>
  <c r="G1540" i="1"/>
  <c r="K1540" i="1" s="1"/>
  <c r="M1540" i="1" s="1"/>
  <c r="N1540" i="1" s="1"/>
  <c r="G1469" i="1"/>
  <c r="K1469" i="1" s="1"/>
  <c r="M1469" i="1" s="1"/>
  <c r="N1469" i="1" s="1"/>
  <c r="G1573" i="1"/>
  <c r="G1051" i="1"/>
  <c r="I461" i="1"/>
  <c r="I1253" i="1"/>
  <c r="K1253" i="1" s="1"/>
  <c r="M1253" i="1" s="1"/>
  <c r="N1253" i="1" s="1"/>
  <c r="G1253" i="1"/>
  <c r="I651" i="1"/>
  <c r="K651" i="1" s="1"/>
  <c r="M651" i="1" s="1"/>
  <c r="N651" i="1" s="1"/>
  <c r="I663" i="1"/>
  <c r="K663" i="1" s="1"/>
  <c r="M663" i="1" s="1"/>
  <c r="N663" i="1" s="1"/>
  <c r="I629" i="1"/>
  <c r="K629" i="1" s="1"/>
  <c r="M629" i="1" s="1"/>
  <c r="N629" i="1" s="1"/>
  <c r="I674" i="1"/>
  <c r="K674" i="1" s="1"/>
  <c r="M674" i="1" s="1"/>
  <c r="N674" i="1" s="1"/>
  <c r="I1594" i="1"/>
  <c r="K1594" i="1" s="1"/>
  <c r="M1594" i="1" s="1"/>
  <c r="N1594" i="1" s="1"/>
  <c r="I523" i="1"/>
  <c r="K523" i="1" s="1"/>
  <c r="M523" i="1" s="1"/>
  <c r="N523" i="1" s="1"/>
  <c r="G1594" i="1"/>
  <c r="I1614" i="1"/>
  <c r="K1614" i="1" s="1"/>
  <c r="M1614" i="1" s="1"/>
  <c r="N1614" i="1" s="1"/>
  <c r="I270" i="1"/>
  <c r="G1614" i="1"/>
  <c r="I1615" i="1"/>
  <c r="K1615" i="1" s="1"/>
  <c r="M1615" i="1" s="1"/>
  <c r="N1615" i="1" s="1"/>
  <c r="I1595" i="1"/>
  <c r="K1595" i="1" s="1"/>
  <c r="M1595" i="1" s="1"/>
  <c r="N1595" i="1" s="1"/>
  <c r="I1155" i="1"/>
  <c r="K1155" i="1" s="1"/>
  <c r="M1155" i="1" s="1"/>
  <c r="N1155" i="1" s="1"/>
  <c r="I1149" i="1"/>
  <c r="K1149" i="1" s="1"/>
  <c r="M1149" i="1" s="1"/>
  <c r="N1149" i="1" s="1"/>
  <c r="I1140" i="1"/>
  <c r="K1140" i="1" s="1"/>
  <c r="M1140" i="1" s="1"/>
  <c r="N1140" i="1" s="1"/>
  <c r="G1149" i="1"/>
  <c r="G1140" i="1"/>
  <c r="G1155" i="1"/>
  <c r="I510" i="1"/>
  <c r="K510" i="1" s="1"/>
  <c r="M510" i="1" s="1"/>
  <c r="N510" i="1" s="1"/>
  <c r="I450" i="1"/>
  <c r="K450" i="1" s="1"/>
  <c r="M450" i="1" s="1"/>
  <c r="N450" i="1" s="1"/>
  <c r="I508" i="1"/>
  <c r="K508" i="1" s="1"/>
  <c r="M508" i="1" s="1"/>
  <c r="N508" i="1" s="1"/>
  <c r="I537" i="1"/>
  <c r="K537" i="1" s="1"/>
  <c r="M537" i="1" s="1"/>
  <c r="N537" i="1" s="1"/>
  <c r="I574" i="1"/>
  <c r="K574" i="1" s="1"/>
  <c r="M574" i="1" s="1"/>
  <c r="N574" i="1" s="1"/>
  <c r="I522" i="1"/>
  <c r="K522" i="1" s="1"/>
  <c r="M522" i="1" s="1"/>
  <c r="N522" i="1" s="1"/>
  <c r="I132" i="1"/>
  <c r="K132" i="1" s="1"/>
  <c r="M132" i="1" s="1"/>
  <c r="N132" i="1" s="1"/>
  <c r="I172" i="1"/>
  <c r="K172" i="1" s="1"/>
  <c r="M172" i="1" s="1"/>
  <c r="N172" i="1" s="1"/>
  <c r="I244" i="1"/>
  <c r="K244" i="1" s="1"/>
  <c r="M244" i="1" s="1"/>
  <c r="N244" i="1" s="1"/>
  <c r="I254" i="1"/>
  <c r="K254" i="1" s="1"/>
  <c r="M254" i="1" s="1"/>
  <c r="N254" i="1" s="1"/>
  <c r="I263" i="1"/>
  <c r="K263" i="1" s="1"/>
  <c r="M263" i="1" s="1"/>
  <c r="N263" i="1" s="1"/>
  <c r="I211" i="1"/>
  <c r="K211" i="1" s="1"/>
  <c r="M211" i="1" s="1"/>
  <c r="N211" i="1" s="1"/>
  <c r="I494" i="1"/>
  <c r="K494" i="1" s="1"/>
  <c r="M494" i="1" s="1"/>
  <c r="N494" i="1" s="1"/>
  <c r="I1407" i="1"/>
  <c r="K1407" i="1" s="1"/>
  <c r="M1407" i="1" s="1"/>
  <c r="N1407" i="1" s="1"/>
  <c r="I1345" i="1"/>
  <c r="K1345" i="1" s="1"/>
  <c r="M1345" i="1" s="1"/>
  <c r="N1345" i="1" s="1"/>
  <c r="I1652" i="1"/>
  <c r="K1652" i="1" s="1"/>
  <c r="M1652" i="1" s="1"/>
  <c r="N1652" i="1" s="1"/>
  <c r="I462" i="1"/>
  <c r="K462" i="1" s="1"/>
  <c r="M462" i="1" s="1"/>
  <c r="N462" i="1" s="1"/>
  <c r="G1345" i="1"/>
  <c r="I232" i="1"/>
  <c r="K232" i="1" s="1"/>
  <c r="M232" i="1" s="1"/>
  <c r="N232" i="1" s="1"/>
  <c r="G1726" i="1"/>
  <c r="I1726" i="1"/>
  <c r="K1726" i="1" s="1"/>
  <c r="M1726" i="1" s="1"/>
  <c r="N1726" i="1" s="1"/>
  <c r="G1652" i="1"/>
  <c r="G1407" i="1"/>
  <c r="I336" i="1"/>
  <c r="I1265" i="1"/>
  <c r="K1265" i="1" s="1"/>
  <c r="M1265" i="1" s="1"/>
  <c r="N1265" i="1" s="1"/>
  <c r="G1265" i="1"/>
  <c r="I1254" i="1"/>
  <c r="K1254" i="1" s="1"/>
  <c r="M1254" i="1" s="1"/>
  <c r="N1254" i="1" s="1"/>
  <c r="G1254" i="1"/>
  <c r="I262" i="1"/>
  <c r="K262" i="1" s="1"/>
  <c r="M262" i="1" s="1"/>
  <c r="N262" i="1" s="1"/>
  <c r="I301" i="1"/>
  <c r="K301" i="1" s="1"/>
  <c r="M301" i="1" s="1"/>
  <c r="N301" i="1" s="1"/>
  <c r="I708" i="1"/>
  <c r="K708" i="1" s="1"/>
  <c r="M708" i="1" s="1"/>
  <c r="N708" i="1" s="1"/>
  <c r="I694" i="1"/>
  <c r="K694" i="1" s="1"/>
  <c r="M694" i="1" s="1"/>
  <c r="N694" i="1" s="1"/>
  <c r="I1432" i="1"/>
  <c r="K1432" i="1" s="1"/>
  <c r="M1432" i="1" s="1"/>
  <c r="N1432" i="1" s="1"/>
  <c r="G1432" i="1"/>
  <c r="I45" i="1"/>
  <c r="K45" i="1" s="1"/>
  <c r="M45" i="1" s="1"/>
  <c r="N45" i="1" s="1"/>
  <c r="I38" i="1"/>
  <c r="K38" i="1" s="1"/>
  <c r="M38" i="1" s="1"/>
  <c r="N38" i="1" s="1"/>
  <c r="I425" i="1"/>
  <c r="K425" i="1" s="1"/>
  <c r="M425" i="1" s="1"/>
  <c r="N425" i="1" s="1"/>
  <c r="I724" i="1"/>
  <c r="K724" i="1" s="1"/>
  <c r="M724" i="1" s="1"/>
  <c r="N724" i="1" s="1"/>
  <c r="I739" i="1"/>
  <c r="K739" i="1" s="1"/>
  <c r="M739" i="1" s="1"/>
  <c r="N739" i="1" s="1"/>
  <c r="I1152" i="1"/>
  <c r="K1152" i="1" s="1"/>
  <c r="M1152" i="1" s="1"/>
  <c r="N1152" i="1" s="1"/>
  <c r="I1433" i="1"/>
  <c r="K1433" i="1" s="1"/>
  <c r="M1433" i="1" s="1"/>
  <c r="N1433" i="1" s="1"/>
  <c r="I453" i="1"/>
  <c r="K453" i="1" s="1"/>
  <c r="M453" i="1" s="1"/>
  <c r="N453" i="1" s="1"/>
  <c r="I1339" i="1"/>
  <c r="K1339" i="1" s="1"/>
  <c r="M1339" i="1" s="1"/>
  <c r="N1339" i="1" s="1"/>
  <c r="I1134" i="1"/>
  <c r="K1134" i="1" s="1"/>
  <c r="M1134" i="1" s="1"/>
  <c r="N1134" i="1" s="1"/>
  <c r="G1433" i="1"/>
  <c r="I1142" i="1"/>
  <c r="K1142" i="1" s="1"/>
  <c r="M1142" i="1" s="1"/>
  <c r="N1142" i="1" s="1"/>
  <c r="G1339" i="1"/>
  <c r="G1152" i="1"/>
  <c r="G1142" i="1"/>
  <c r="G1134" i="1"/>
  <c r="G724" i="1"/>
  <c r="I468" i="1"/>
  <c r="I785" i="1"/>
  <c r="K785" i="1" s="1"/>
  <c r="M785" i="1" s="1"/>
  <c r="N785" i="1" s="1"/>
  <c r="I808" i="1"/>
  <c r="K808" i="1" s="1"/>
  <c r="M808" i="1" s="1"/>
  <c r="N808" i="1" s="1"/>
  <c r="I1351" i="1"/>
  <c r="K1351" i="1" s="1"/>
  <c r="M1351" i="1" s="1"/>
  <c r="N1351" i="1" s="1"/>
  <c r="I1705" i="1"/>
  <c r="K1705" i="1" s="1"/>
  <c r="M1705" i="1" s="1"/>
  <c r="N1705" i="1" s="1"/>
  <c r="I819" i="1"/>
  <c r="K819" i="1" s="1"/>
  <c r="M819" i="1" s="1"/>
  <c r="N819" i="1" s="1"/>
  <c r="I1299" i="1"/>
  <c r="K1299" i="1" s="1"/>
  <c r="M1299" i="1" s="1"/>
  <c r="N1299" i="1" s="1"/>
  <c r="G1705" i="1"/>
  <c r="G785" i="1"/>
  <c r="G808" i="1"/>
  <c r="G1299" i="1"/>
  <c r="G1351" i="1"/>
  <c r="G819" i="1"/>
  <c r="I1340" i="1"/>
  <c r="K1340" i="1" s="1"/>
  <c r="M1340" i="1" s="1"/>
  <c r="N1340" i="1" s="1"/>
  <c r="G1340" i="1"/>
  <c r="I280" i="1"/>
  <c r="I1023" i="1"/>
  <c r="K1023" i="1" s="1"/>
  <c r="M1023" i="1" s="1"/>
  <c r="N1023" i="1" s="1"/>
  <c r="I1657" i="1"/>
  <c r="K1657" i="1" s="1"/>
  <c r="M1657" i="1" s="1"/>
  <c r="N1657" i="1" s="1"/>
  <c r="I1626" i="1"/>
  <c r="K1626" i="1" s="1"/>
  <c r="M1626" i="1" s="1"/>
  <c r="N1626" i="1" s="1"/>
  <c r="G1626" i="1"/>
  <c r="G1657" i="1"/>
  <c r="I1016" i="1"/>
  <c r="K1016" i="1" s="1"/>
  <c r="M1016" i="1" s="1"/>
  <c r="N1016" i="1" s="1"/>
  <c r="I1598" i="1"/>
  <c r="K1598" i="1" s="1"/>
  <c r="M1598" i="1" s="1"/>
  <c r="N1598" i="1" s="1"/>
  <c r="G1598" i="1"/>
  <c r="G1016" i="1"/>
  <c r="G1023" i="1"/>
  <c r="I188" i="1"/>
  <c r="K188" i="1" s="1"/>
  <c r="M188" i="1" s="1"/>
  <c r="N188" i="1" s="1"/>
  <c r="I340" i="1"/>
  <c r="K340" i="1" s="1"/>
  <c r="M340" i="1" s="1"/>
  <c r="N340" i="1" s="1"/>
  <c r="I740" i="1"/>
  <c r="K740" i="1" s="1"/>
  <c r="M740" i="1" s="1"/>
  <c r="N740" i="1" s="1"/>
  <c r="I86" i="1"/>
  <c r="K86" i="1" s="1"/>
  <c r="M86" i="1" s="1"/>
  <c r="N86" i="1" s="1"/>
  <c r="I555" i="1"/>
  <c r="K555" i="1" s="1"/>
  <c r="M555" i="1" s="1"/>
  <c r="N555" i="1" s="1"/>
  <c r="I177" i="1"/>
  <c r="K177" i="1" s="1"/>
  <c r="M177" i="1" s="1"/>
  <c r="N177" i="1" s="1"/>
  <c r="I407" i="1"/>
  <c r="K407" i="1" s="1"/>
  <c r="M407" i="1" s="1"/>
  <c r="N407" i="1" s="1"/>
  <c r="I725" i="1"/>
  <c r="K725" i="1" s="1"/>
  <c r="M725" i="1" s="1"/>
  <c r="N725" i="1" s="1"/>
  <c r="I918" i="1"/>
  <c r="K918" i="1" s="1"/>
  <c r="M918" i="1" s="1"/>
  <c r="N918" i="1" s="1"/>
  <c r="I399" i="1"/>
  <c r="K399" i="1" s="1"/>
  <c r="M399" i="1" s="1"/>
  <c r="N399" i="1" s="1"/>
  <c r="I162" i="1"/>
  <c r="K162" i="1" s="1"/>
  <c r="M162" i="1" s="1"/>
  <c r="N162" i="1" s="1"/>
  <c r="I418" i="1"/>
  <c r="K418" i="1" s="1"/>
  <c r="M418" i="1" s="1"/>
  <c r="N418" i="1" s="1"/>
  <c r="I771" i="1"/>
  <c r="K771" i="1" s="1"/>
  <c r="M771" i="1" s="1"/>
  <c r="N771" i="1" s="1"/>
  <c r="I1167" i="1"/>
  <c r="K1167" i="1" s="1"/>
  <c r="M1167" i="1" s="1"/>
  <c r="N1167" i="1" s="1"/>
  <c r="I1463" i="1"/>
  <c r="K1463" i="1" s="1"/>
  <c r="M1463" i="1" s="1"/>
  <c r="N1463" i="1" s="1"/>
  <c r="I970" i="1"/>
  <c r="K970" i="1" s="1"/>
  <c r="M970" i="1" s="1"/>
  <c r="N970" i="1" s="1"/>
  <c r="I1312" i="1"/>
  <c r="K1312" i="1" s="1"/>
  <c r="M1312" i="1" s="1"/>
  <c r="N1312" i="1" s="1"/>
  <c r="I374" i="1"/>
  <c r="K374" i="1" s="1"/>
  <c r="M374" i="1" s="1"/>
  <c r="N374" i="1" s="1"/>
  <c r="I981" i="1"/>
  <c r="K981" i="1" s="1"/>
  <c r="M981" i="1" s="1"/>
  <c r="N981" i="1" s="1"/>
  <c r="I1545" i="1"/>
  <c r="K1545" i="1" s="1"/>
  <c r="M1545" i="1" s="1"/>
  <c r="N1545" i="1" s="1"/>
  <c r="I1553" i="1"/>
  <c r="K1553" i="1" s="1"/>
  <c r="M1553" i="1" s="1"/>
  <c r="N1553" i="1" s="1"/>
  <c r="I435" i="1"/>
  <c r="K435" i="1" s="1"/>
  <c r="M435" i="1" s="1"/>
  <c r="N435" i="1" s="1"/>
  <c r="I914" i="1"/>
  <c r="K914" i="1" s="1"/>
  <c r="M914" i="1" s="1"/>
  <c r="N914" i="1" s="1"/>
  <c r="I1450" i="1"/>
  <c r="K1450" i="1" s="1"/>
  <c r="M1450" i="1" s="1"/>
  <c r="N1450" i="1" s="1"/>
  <c r="I963" i="1"/>
  <c r="K963" i="1" s="1"/>
  <c r="M963" i="1" s="1"/>
  <c r="N963" i="1" s="1"/>
  <c r="I1283" i="1"/>
  <c r="K1283" i="1" s="1"/>
  <c r="M1283" i="1" s="1"/>
  <c r="N1283" i="1" s="1"/>
  <c r="I1411" i="1"/>
  <c r="K1411" i="1" s="1"/>
  <c r="M1411" i="1" s="1"/>
  <c r="N1411" i="1" s="1"/>
  <c r="I907" i="1"/>
  <c r="K907" i="1" s="1"/>
  <c r="M907" i="1" s="1"/>
  <c r="N907" i="1" s="1"/>
  <c r="I1205" i="1"/>
  <c r="K1205" i="1" s="1"/>
  <c r="M1205" i="1" s="1"/>
  <c r="N1205" i="1" s="1"/>
  <c r="I1525" i="1"/>
  <c r="K1525" i="1" s="1"/>
  <c r="M1525" i="1" s="1"/>
  <c r="N1525" i="1" s="1"/>
  <c r="I1741" i="1"/>
  <c r="K1741" i="1" s="1"/>
  <c r="M1741" i="1" s="1"/>
  <c r="N1741" i="1" s="1"/>
  <c r="I1787" i="1"/>
  <c r="K1787" i="1" s="1"/>
  <c r="M1787" i="1" s="1"/>
  <c r="N1787" i="1" s="1"/>
  <c r="G1787" i="1"/>
  <c r="I578" i="1"/>
  <c r="K578" i="1" s="1"/>
  <c r="M578" i="1" s="1"/>
  <c r="N578" i="1" s="1"/>
  <c r="G1450" i="1"/>
  <c r="I994" i="1"/>
  <c r="K994" i="1" s="1"/>
  <c r="M994" i="1" s="1"/>
  <c r="N994" i="1" s="1"/>
  <c r="G1553" i="1"/>
  <c r="G1545" i="1"/>
  <c r="I1438" i="1"/>
  <c r="K1438" i="1" s="1"/>
  <c r="M1438" i="1" s="1"/>
  <c r="N1438" i="1" s="1"/>
  <c r="I1774" i="1"/>
  <c r="K1774" i="1" s="1"/>
  <c r="M1774" i="1" s="1"/>
  <c r="N1774" i="1" s="1"/>
  <c r="I945" i="1"/>
  <c r="K945" i="1" s="1"/>
  <c r="M945" i="1" s="1"/>
  <c r="N945" i="1" s="1"/>
  <c r="G1774" i="1"/>
  <c r="I936" i="1"/>
  <c r="K936" i="1" s="1"/>
  <c r="M936" i="1" s="1"/>
  <c r="N936" i="1" s="1"/>
  <c r="G1741" i="1"/>
  <c r="G994" i="1"/>
  <c r="G970" i="1"/>
  <c r="G914" i="1"/>
  <c r="G1312" i="1"/>
  <c r="G945" i="1"/>
  <c r="G1463" i="1"/>
  <c r="G936" i="1"/>
  <c r="G1283" i="1"/>
  <c r="G1167" i="1"/>
  <c r="G918" i="1"/>
  <c r="G1525" i="1"/>
  <c r="G1438" i="1"/>
  <c r="G1205" i="1"/>
  <c r="G981" i="1"/>
  <c r="G740" i="1"/>
  <c r="G1411" i="1"/>
  <c r="G963" i="1"/>
  <c r="G907" i="1"/>
  <c r="G771" i="1"/>
  <c r="I1304" i="1"/>
  <c r="K1304" i="1" s="1"/>
  <c r="M1304" i="1" s="1"/>
  <c r="N1304" i="1" s="1"/>
  <c r="G1304" i="1"/>
  <c r="I686" i="1"/>
  <c r="K686" i="1" s="1"/>
  <c r="M686" i="1" s="1"/>
  <c r="N686" i="1" s="1"/>
  <c r="I699" i="1"/>
  <c r="K699" i="1" s="1"/>
  <c r="M699" i="1" s="1"/>
  <c r="N699" i="1" s="1"/>
  <c r="I1489" i="1"/>
  <c r="K1489" i="1" s="1"/>
  <c r="M1489" i="1" s="1"/>
  <c r="N1489" i="1" s="1"/>
  <c r="G1489" i="1"/>
  <c r="I676" i="1"/>
  <c r="K676" i="1" s="1"/>
  <c r="M676" i="1" s="1"/>
  <c r="N676" i="1" s="1"/>
  <c r="I712" i="1"/>
  <c r="K712" i="1" s="1"/>
  <c r="M712" i="1" s="1"/>
  <c r="N712" i="1" s="1"/>
  <c r="I653" i="1"/>
  <c r="K653" i="1" s="1"/>
  <c r="M653" i="1" s="1"/>
  <c r="N653" i="1" s="1"/>
  <c r="I608" i="1"/>
  <c r="K608" i="1" s="1"/>
  <c r="M608" i="1" s="1"/>
  <c r="N608" i="1" s="1"/>
  <c r="I950" i="1"/>
  <c r="K950" i="1" s="1"/>
  <c r="M950" i="1" s="1"/>
  <c r="N950" i="1" s="1"/>
  <c r="I1047" i="1"/>
  <c r="K1047" i="1" s="1"/>
  <c r="M1047" i="1" s="1"/>
  <c r="N1047" i="1" s="1"/>
  <c r="I1159" i="1"/>
  <c r="K1159" i="1" s="1"/>
  <c r="M1159" i="1" s="1"/>
  <c r="N1159" i="1" s="1"/>
  <c r="I1513" i="1"/>
  <c r="K1513" i="1" s="1"/>
  <c r="M1513" i="1" s="1"/>
  <c r="N1513" i="1" s="1"/>
  <c r="I1008" i="1"/>
  <c r="K1008" i="1" s="1"/>
  <c r="M1008" i="1" s="1"/>
  <c r="N1008" i="1" s="1"/>
  <c r="I665" i="1"/>
  <c r="K665" i="1" s="1"/>
  <c r="M665" i="1" s="1"/>
  <c r="N665" i="1" s="1"/>
  <c r="I1059" i="1"/>
  <c r="K1059" i="1" s="1"/>
  <c r="M1059" i="1" s="1"/>
  <c r="N1059" i="1" s="1"/>
  <c r="G1513" i="1"/>
  <c r="I584" i="1"/>
  <c r="K584" i="1" s="1"/>
  <c r="M584" i="1" s="1"/>
  <c r="N584" i="1" s="1"/>
  <c r="G1008" i="1"/>
  <c r="G1159" i="1"/>
  <c r="G1047" i="1"/>
  <c r="G950" i="1"/>
  <c r="G1059" i="1"/>
  <c r="I1083" i="1"/>
  <c r="K1083" i="1" s="1"/>
  <c r="M1083" i="1" s="1"/>
  <c r="N1083" i="1" s="1"/>
  <c r="I1043" i="1"/>
  <c r="K1043" i="1" s="1"/>
  <c r="M1043" i="1" s="1"/>
  <c r="N1043" i="1" s="1"/>
  <c r="G1083" i="1"/>
  <c r="G1043" i="1"/>
  <c r="I47" i="1"/>
  <c r="K47" i="1" s="1"/>
  <c r="M47" i="1" s="1"/>
  <c r="N47" i="1" s="1"/>
  <c r="I40" i="1"/>
  <c r="K40" i="1" s="1"/>
  <c r="M40" i="1" s="1"/>
  <c r="N40" i="1" s="1"/>
  <c r="I948" i="1"/>
  <c r="K948" i="1" s="1"/>
  <c r="M948" i="1" s="1"/>
  <c r="N948" i="1" s="1"/>
  <c r="I1076" i="1"/>
  <c r="K1076" i="1" s="1"/>
  <c r="M1076" i="1" s="1"/>
  <c r="N1076" i="1" s="1"/>
  <c r="I1055" i="1"/>
  <c r="K1055" i="1" s="1"/>
  <c r="M1055" i="1" s="1"/>
  <c r="N1055" i="1" s="1"/>
  <c r="G1055" i="1"/>
  <c r="G1076" i="1"/>
  <c r="G948" i="1"/>
  <c r="I1044" i="1"/>
  <c r="K1044" i="1" s="1"/>
  <c r="M1044" i="1" s="1"/>
  <c r="N1044" i="1" s="1"/>
  <c r="I923" i="1"/>
  <c r="K923" i="1" s="1"/>
  <c r="M923" i="1" s="1"/>
  <c r="N923" i="1" s="1"/>
  <c r="I1056" i="1"/>
  <c r="K1056" i="1" s="1"/>
  <c r="M1056" i="1" s="1"/>
  <c r="N1056" i="1" s="1"/>
  <c r="I1165" i="1"/>
  <c r="K1165" i="1" s="1"/>
  <c r="M1165" i="1" s="1"/>
  <c r="N1165" i="1" s="1"/>
  <c r="I1069" i="1"/>
  <c r="K1069" i="1" s="1"/>
  <c r="M1069" i="1" s="1"/>
  <c r="N1069" i="1" s="1"/>
  <c r="I1077" i="1"/>
  <c r="K1077" i="1" s="1"/>
  <c r="M1077" i="1" s="1"/>
  <c r="N1077" i="1" s="1"/>
  <c r="G1056" i="1"/>
  <c r="G1165" i="1"/>
  <c r="G1077" i="1"/>
  <c r="G1069" i="1"/>
  <c r="G1044" i="1"/>
  <c r="G923" i="1"/>
  <c r="I1084" i="1"/>
  <c r="K1084" i="1" s="1"/>
  <c r="M1084" i="1" s="1"/>
  <c r="N1084" i="1" s="1"/>
  <c r="G1084" i="1"/>
  <c r="I52" i="1"/>
  <c r="I1266" i="1"/>
  <c r="K1266" i="1" s="1"/>
  <c r="M1266" i="1" s="1"/>
  <c r="N1266" i="1" s="1"/>
  <c r="G1266" i="1"/>
  <c r="I53" i="1"/>
  <c r="I1267" i="1"/>
  <c r="K1267" i="1" s="1"/>
  <c r="M1267" i="1" s="1"/>
  <c r="N1267" i="1" s="1"/>
  <c r="G1267" i="1"/>
  <c r="I1092" i="1"/>
  <c r="K1092" i="1" s="1"/>
  <c r="M1092" i="1" s="1"/>
  <c r="N1092" i="1" s="1"/>
  <c r="I149" i="1"/>
  <c r="K149" i="1" s="1"/>
  <c r="M149" i="1" s="1"/>
  <c r="N149" i="1" s="1"/>
  <c r="I559" i="1"/>
  <c r="K559" i="1" s="1"/>
  <c r="M559" i="1" s="1"/>
  <c r="N559" i="1" s="1"/>
  <c r="I1108" i="1"/>
  <c r="K1108" i="1" s="1"/>
  <c r="M1108" i="1" s="1"/>
  <c r="N1108" i="1" s="1"/>
  <c r="G1108" i="1"/>
  <c r="G1092" i="1"/>
  <c r="I228" i="1"/>
  <c r="K228" i="1" s="1"/>
  <c r="M228" i="1" s="1"/>
  <c r="N228" i="1" s="1"/>
  <c r="I237" i="1"/>
  <c r="K237" i="1" s="1"/>
  <c r="M237" i="1" s="1"/>
  <c r="N237" i="1" s="1"/>
  <c r="I203" i="1"/>
  <c r="K203" i="1" s="1"/>
  <c r="M203" i="1" s="1"/>
  <c r="N203" i="1" s="1"/>
  <c r="I1342" i="1"/>
  <c r="K1342" i="1" s="1"/>
  <c r="M1342" i="1" s="1"/>
  <c r="N1342" i="1" s="1"/>
  <c r="G1342" i="1"/>
  <c r="I204" i="1"/>
  <c r="K204" i="1" s="1"/>
  <c r="M204" i="1" s="1"/>
  <c r="N204" i="1" s="1"/>
  <c r="I229" i="1"/>
  <c r="K229" i="1" s="1"/>
  <c r="M229" i="1" s="1"/>
  <c r="N229" i="1" s="1"/>
  <c r="I238" i="1"/>
  <c r="K238" i="1" s="1"/>
  <c r="M238" i="1" s="1"/>
  <c r="N238" i="1" s="1"/>
  <c r="I247" i="1"/>
  <c r="K247" i="1" s="1"/>
  <c r="M247" i="1" s="1"/>
  <c r="N247" i="1" s="1"/>
  <c r="I557" i="1"/>
  <c r="K557" i="1" s="1"/>
  <c r="M557" i="1" s="1"/>
  <c r="N557" i="1" s="1"/>
  <c r="I490" i="1"/>
  <c r="K490" i="1" s="1"/>
  <c r="M490" i="1" s="1"/>
  <c r="N490" i="1" s="1"/>
  <c r="I1258" i="1"/>
  <c r="K1258" i="1" s="1"/>
  <c r="M1258" i="1" s="1"/>
  <c r="N1258" i="1" s="1"/>
  <c r="G1258" i="1"/>
  <c r="I284" i="1"/>
  <c r="K284" i="1" s="1"/>
  <c r="M284" i="1" s="1"/>
  <c r="N284" i="1" s="1"/>
  <c r="I294" i="1"/>
  <c r="K294" i="1" s="1"/>
  <c r="M294" i="1" s="1"/>
  <c r="N294" i="1" s="1"/>
  <c r="I305" i="1"/>
  <c r="K305" i="1" s="1"/>
  <c r="M305" i="1" s="1"/>
  <c r="N305" i="1" s="1"/>
  <c r="I322" i="1"/>
  <c r="K322" i="1" s="1"/>
  <c r="M322" i="1" s="1"/>
  <c r="N322" i="1" s="1"/>
  <c r="I165" i="1"/>
  <c r="I924" i="1"/>
  <c r="K924" i="1" s="1"/>
  <c r="M924" i="1" s="1"/>
  <c r="N924" i="1" s="1"/>
  <c r="I1208" i="1"/>
  <c r="K1208" i="1" s="1"/>
  <c r="M1208" i="1" s="1"/>
  <c r="N1208" i="1" s="1"/>
  <c r="I1107" i="1"/>
  <c r="K1107" i="1" s="1"/>
  <c r="M1107" i="1" s="1"/>
  <c r="N1107" i="1" s="1"/>
  <c r="I1332" i="1"/>
  <c r="K1332" i="1" s="1"/>
  <c r="M1332" i="1" s="1"/>
  <c r="N1332" i="1" s="1"/>
  <c r="G1332" i="1"/>
  <c r="G1208" i="1"/>
  <c r="G924" i="1"/>
  <c r="G1107" i="1"/>
  <c r="I1628" i="1"/>
  <c r="K1628" i="1" s="1"/>
  <c r="M1628" i="1" s="1"/>
  <c r="N1628" i="1" s="1"/>
  <c r="G1628" i="1"/>
  <c r="I138" i="1"/>
  <c r="I501" i="1"/>
  <c r="K501" i="1" s="1"/>
  <c r="M501" i="1" s="1"/>
  <c r="N501" i="1" s="1"/>
  <c r="I529" i="1"/>
  <c r="K529" i="1" s="1"/>
  <c r="M529" i="1" s="1"/>
  <c r="N529" i="1" s="1"/>
  <c r="I515" i="1"/>
  <c r="K515" i="1" s="1"/>
  <c r="M515" i="1" s="1"/>
  <c r="N515" i="1" s="1"/>
  <c r="I323" i="1"/>
  <c r="K323" i="1" s="1"/>
  <c r="M323" i="1" s="1"/>
  <c r="N323" i="1" s="1"/>
  <c r="I62" i="1"/>
  <c r="K62" i="1" s="1"/>
  <c r="M62" i="1" s="1"/>
  <c r="N62" i="1" s="1"/>
  <c r="I73" i="1"/>
  <c r="K73" i="1" s="1"/>
  <c r="M73" i="1" s="1"/>
  <c r="N73" i="1" s="1"/>
  <c r="I1568" i="1"/>
  <c r="K1568" i="1" s="1"/>
  <c r="M1568" i="1" s="1"/>
  <c r="N1568" i="1" s="1"/>
  <c r="I1546" i="1"/>
  <c r="K1546" i="1" s="1"/>
  <c r="M1546" i="1" s="1"/>
  <c r="N1546" i="1" s="1"/>
  <c r="G1546" i="1"/>
  <c r="I1556" i="1"/>
  <c r="K1556" i="1" s="1"/>
  <c r="M1556" i="1" s="1"/>
  <c r="N1556" i="1" s="1"/>
  <c r="G1568" i="1"/>
  <c r="G1556" i="1"/>
  <c r="I343" i="1"/>
  <c r="K343" i="1" s="1"/>
  <c r="M343" i="1" s="1"/>
  <c r="N343" i="1" s="1"/>
  <c r="I377" i="1"/>
  <c r="K377" i="1" s="1"/>
  <c r="M377" i="1" s="1"/>
  <c r="N377" i="1" s="1"/>
  <c r="I410" i="1"/>
  <c r="K410" i="1" s="1"/>
  <c r="M410" i="1" s="1"/>
  <c r="N410" i="1" s="1"/>
  <c r="I1277" i="1"/>
  <c r="K1277" i="1" s="1"/>
  <c r="M1277" i="1" s="1"/>
  <c r="N1277" i="1" s="1"/>
  <c r="G1277" i="1"/>
  <c r="I804" i="1"/>
  <c r="K804" i="1" s="1"/>
  <c r="M804" i="1" s="1"/>
  <c r="N804" i="1" s="1"/>
  <c r="G804" i="1"/>
  <c r="I1365" i="1"/>
  <c r="K1365" i="1" s="1"/>
  <c r="M1365" i="1" s="1"/>
  <c r="N1365" i="1" s="1"/>
  <c r="G1365" i="1"/>
  <c r="I478" i="1"/>
  <c r="I1191" i="1"/>
  <c r="K1191" i="1" s="1"/>
  <c r="M1191" i="1" s="1"/>
  <c r="N1191" i="1" s="1"/>
  <c r="I1199" i="1"/>
  <c r="K1199" i="1" s="1"/>
  <c r="M1199" i="1" s="1"/>
  <c r="N1199" i="1" s="1"/>
  <c r="I1457" i="1"/>
  <c r="K1457" i="1" s="1"/>
  <c r="M1457" i="1" s="1"/>
  <c r="N1457" i="1" s="1"/>
  <c r="G1457" i="1"/>
  <c r="G1199" i="1"/>
  <c r="G1191" i="1"/>
  <c r="I1178" i="1"/>
  <c r="K1178" i="1" s="1"/>
  <c r="M1178" i="1" s="1"/>
  <c r="N1178" i="1" s="1"/>
  <c r="G1178" i="1"/>
  <c r="I479" i="1"/>
  <c r="I1192" i="1"/>
  <c r="K1192" i="1" s="1"/>
  <c r="M1192" i="1" s="1"/>
  <c r="N1192" i="1" s="1"/>
  <c r="I1200" i="1"/>
  <c r="K1200" i="1" s="1"/>
  <c r="M1200" i="1" s="1"/>
  <c r="N1200" i="1" s="1"/>
  <c r="I1458" i="1"/>
  <c r="K1458" i="1" s="1"/>
  <c r="M1458" i="1" s="1"/>
  <c r="N1458" i="1" s="1"/>
  <c r="G1458" i="1"/>
  <c r="G1200" i="1"/>
  <c r="G1192" i="1"/>
  <c r="I1179" i="1"/>
  <c r="K1179" i="1" s="1"/>
  <c r="M1179" i="1" s="1"/>
  <c r="N1179" i="1" s="1"/>
  <c r="G1179" i="1"/>
  <c r="I1527" i="1"/>
  <c r="K1527" i="1" s="1"/>
  <c r="M1527" i="1" s="1"/>
  <c r="N1527" i="1" s="1"/>
  <c r="I1435" i="1"/>
  <c r="K1435" i="1" s="1"/>
  <c r="M1435" i="1" s="1"/>
  <c r="N1435" i="1" s="1"/>
  <c r="G1435" i="1"/>
  <c r="G1527" i="1"/>
  <c r="I87" i="1"/>
  <c r="K87" i="1" s="1"/>
  <c r="M87" i="1" s="1"/>
  <c r="N87" i="1" s="1"/>
  <c r="I98" i="1"/>
  <c r="K98" i="1" s="1"/>
  <c r="M98" i="1" s="1"/>
  <c r="N98" i="1" s="1"/>
  <c r="I820" i="1"/>
  <c r="K820" i="1" s="1"/>
  <c r="M820" i="1" s="1"/>
  <c r="N820" i="1" s="1"/>
  <c r="I809" i="1"/>
  <c r="K809" i="1" s="1"/>
  <c r="M809" i="1" s="1"/>
  <c r="N809" i="1" s="1"/>
  <c r="G809" i="1"/>
  <c r="G820" i="1"/>
  <c r="I834" i="1"/>
  <c r="K834" i="1" s="1"/>
  <c r="M834" i="1" s="1"/>
  <c r="N834" i="1" s="1"/>
  <c r="I1451" i="1"/>
  <c r="K1451" i="1" s="1"/>
  <c r="M1451" i="1" s="1"/>
  <c r="N1451" i="1" s="1"/>
  <c r="G834" i="1"/>
  <c r="G1451" i="1"/>
  <c r="I964" i="1"/>
  <c r="K964" i="1" s="1"/>
  <c r="M964" i="1" s="1"/>
  <c r="N964" i="1" s="1"/>
  <c r="I1075" i="1"/>
  <c r="K1075" i="1" s="1"/>
  <c r="M1075" i="1" s="1"/>
  <c r="N1075" i="1" s="1"/>
  <c r="G964" i="1"/>
  <c r="G1075" i="1"/>
  <c r="I20" i="1"/>
  <c r="K20" i="1" s="1"/>
  <c r="M20" i="1" s="1"/>
  <c r="N20" i="1" s="1"/>
  <c r="I31" i="1"/>
  <c r="K31" i="1" s="1"/>
  <c r="M31" i="1" s="1"/>
  <c r="N31" i="1" s="1"/>
  <c r="I25" i="1"/>
  <c r="I1507" i="1"/>
  <c r="K1507" i="1" s="1"/>
  <c r="M1507" i="1" s="1"/>
  <c r="N1507" i="1" s="1"/>
  <c r="G1507" i="1"/>
  <c r="I469" i="1"/>
  <c r="K469" i="1" s="1"/>
  <c r="M469" i="1" s="1"/>
  <c r="N469" i="1" s="1"/>
  <c r="I919" i="1"/>
  <c r="K919" i="1" s="1"/>
  <c r="M919" i="1" s="1"/>
  <c r="N919" i="1" s="1"/>
  <c r="I937" i="1"/>
  <c r="K937" i="1" s="1"/>
  <c r="M937" i="1" s="1"/>
  <c r="N937" i="1" s="1"/>
  <c r="I947" i="1"/>
  <c r="K947" i="1" s="1"/>
  <c r="M947" i="1" s="1"/>
  <c r="N947" i="1" s="1"/>
  <c r="I1464" i="1"/>
  <c r="K1464" i="1" s="1"/>
  <c r="M1464" i="1" s="1"/>
  <c r="N1464" i="1" s="1"/>
  <c r="I1681" i="1"/>
  <c r="K1681" i="1" s="1"/>
  <c r="M1681" i="1" s="1"/>
  <c r="N1681" i="1" s="1"/>
  <c r="I1434" i="1"/>
  <c r="K1434" i="1" s="1"/>
  <c r="M1434" i="1" s="1"/>
  <c r="N1434" i="1" s="1"/>
  <c r="I1666" i="1"/>
  <c r="K1666" i="1" s="1"/>
  <c r="M1666" i="1" s="1"/>
  <c r="N1666" i="1" s="1"/>
  <c r="I842" i="1"/>
  <c r="K842" i="1" s="1"/>
  <c r="M842" i="1" s="1"/>
  <c r="N842" i="1" s="1"/>
  <c r="I1555" i="1"/>
  <c r="K1555" i="1" s="1"/>
  <c r="M1555" i="1" s="1"/>
  <c r="N1555" i="1" s="1"/>
  <c r="I1731" i="1"/>
  <c r="K1731" i="1" s="1"/>
  <c r="M1731" i="1" s="1"/>
  <c r="N1731" i="1" s="1"/>
  <c r="I955" i="1"/>
  <c r="K955" i="1" s="1"/>
  <c r="M955" i="1" s="1"/>
  <c r="N955" i="1" s="1"/>
  <c r="I1067" i="1"/>
  <c r="K1067" i="1" s="1"/>
  <c r="M1067" i="1" s="1"/>
  <c r="N1067" i="1" s="1"/>
  <c r="I1157" i="1"/>
  <c r="K1157" i="1" s="1"/>
  <c r="M1157" i="1" s="1"/>
  <c r="N1157" i="1" s="1"/>
  <c r="I1485" i="1"/>
  <c r="K1485" i="1" s="1"/>
  <c r="M1485" i="1" s="1"/>
  <c r="N1485" i="1" s="1"/>
  <c r="G1731" i="1"/>
  <c r="G1666" i="1"/>
  <c r="G1681" i="1"/>
  <c r="I1526" i="1"/>
  <c r="K1526" i="1" s="1"/>
  <c r="M1526" i="1" s="1"/>
  <c r="N1526" i="1" s="1"/>
  <c r="I1692" i="1"/>
  <c r="K1692" i="1" s="1"/>
  <c r="M1692" i="1" s="1"/>
  <c r="N1692" i="1" s="1"/>
  <c r="I419" i="1"/>
  <c r="K419" i="1" s="1"/>
  <c r="M419" i="1" s="1"/>
  <c r="N419" i="1" s="1"/>
  <c r="G1692" i="1"/>
  <c r="G842" i="1"/>
  <c r="G1464" i="1"/>
  <c r="G1434" i="1"/>
  <c r="G937" i="1"/>
  <c r="G919" i="1"/>
  <c r="G1526" i="1"/>
  <c r="G1157" i="1"/>
  <c r="G1485" i="1"/>
  <c r="G1555" i="1"/>
  <c r="G1067" i="1"/>
  <c r="G955" i="1"/>
  <c r="G947" i="1"/>
  <c r="I99" i="1"/>
  <c r="K99" i="1" s="1"/>
  <c r="M99" i="1" s="1"/>
  <c r="N99" i="1" s="1"/>
  <c r="I556" i="1"/>
  <c r="K556" i="1" s="1"/>
  <c r="M556" i="1" s="1"/>
  <c r="N556" i="1" s="1"/>
  <c r="I772" i="1"/>
  <c r="K772" i="1" s="1"/>
  <c r="M772" i="1" s="1"/>
  <c r="N772" i="1" s="1"/>
  <c r="I796" i="1"/>
  <c r="K796" i="1" s="1"/>
  <c r="M796" i="1" s="1"/>
  <c r="N796" i="1" s="1"/>
  <c r="I884" i="1"/>
  <c r="K884" i="1" s="1"/>
  <c r="M884" i="1" s="1"/>
  <c r="N884" i="1" s="1"/>
  <c r="I125" i="1"/>
  <c r="K125" i="1" s="1"/>
  <c r="M125" i="1" s="1"/>
  <c r="N125" i="1" s="1"/>
  <c r="I88" i="1"/>
  <c r="K88" i="1" s="1"/>
  <c r="M88" i="1" s="1"/>
  <c r="N88" i="1" s="1"/>
  <c r="I226" i="1"/>
  <c r="K226" i="1" s="1"/>
  <c r="M226" i="1" s="1"/>
  <c r="N226" i="1" s="1"/>
  <c r="I235" i="1"/>
  <c r="K235" i="1" s="1"/>
  <c r="M235" i="1" s="1"/>
  <c r="N235" i="1" s="1"/>
  <c r="I245" i="1"/>
  <c r="K245" i="1" s="1"/>
  <c r="M245" i="1" s="1"/>
  <c r="N245" i="1" s="1"/>
  <c r="I810" i="1"/>
  <c r="K810" i="1" s="1"/>
  <c r="M810" i="1" s="1"/>
  <c r="N810" i="1" s="1"/>
  <c r="I201" i="1"/>
  <c r="K201" i="1" s="1"/>
  <c r="M201" i="1" s="1"/>
  <c r="N201" i="1" s="1"/>
  <c r="I528" i="1"/>
  <c r="K528" i="1" s="1"/>
  <c r="M528" i="1" s="1"/>
  <c r="N528" i="1" s="1"/>
  <c r="I821" i="1"/>
  <c r="K821" i="1" s="1"/>
  <c r="M821" i="1" s="1"/>
  <c r="N821" i="1" s="1"/>
  <c r="I786" i="1"/>
  <c r="K786" i="1" s="1"/>
  <c r="M786" i="1" s="1"/>
  <c r="N786" i="1" s="1"/>
  <c r="I866" i="1"/>
  <c r="K866" i="1" s="1"/>
  <c r="M866" i="1" s="1"/>
  <c r="N866" i="1" s="1"/>
  <c r="I902" i="1"/>
  <c r="K902" i="1" s="1"/>
  <c r="M902" i="1" s="1"/>
  <c r="N902" i="1" s="1"/>
  <c r="I982" i="1"/>
  <c r="K982" i="1" s="1"/>
  <c r="M982" i="1" s="1"/>
  <c r="N982" i="1" s="1"/>
  <c r="I178" i="1"/>
  <c r="K178" i="1" s="1"/>
  <c r="M178" i="1" s="1"/>
  <c r="N178" i="1" s="1"/>
  <c r="I214" i="1"/>
  <c r="K214" i="1" s="1"/>
  <c r="M214" i="1" s="1"/>
  <c r="N214" i="1" s="1"/>
  <c r="I320" i="1"/>
  <c r="K320" i="1" s="1"/>
  <c r="M320" i="1" s="1"/>
  <c r="N320" i="1" s="1"/>
  <c r="I858" i="1"/>
  <c r="K858" i="1" s="1"/>
  <c r="M858" i="1" s="1"/>
  <c r="N858" i="1" s="1"/>
  <c r="I489" i="1"/>
  <c r="K489" i="1" s="1"/>
  <c r="M489" i="1" s="1"/>
  <c r="N489" i="1" s="1"/>
  <c r="I1135" i="1"/>
  <c r="K1135" i="1" s="1"/>
  <c r="M1135" i="1" s="1"/>
  <c r="N1135" i="1" s="1"/>
  <c r="I1143" i="1"/>
  <c r="K1143" i="1" s="1"/>
  <c r="M1143" i="1" s="1"/>
  <c r="N1143" i="1" s="1"/>
  <c r="I1599" i="1"/>
  <c r="K1599" i="1" s="1"/>
  <c r="M1599" i="1" s="1"/>
  <c r="N1599" i="1" s="1"/>
  <c r="I514" i="1"/>
  <c r="K514" i="1" s="1"/>
  <c r="M514" i="1" s="1"/>
  <c r="N514" i="1" s="1"/>
  <c r="I971" i="1"/>
  <c r="K971" i="1" s="1"/>
  <c r="M971" i="1" s="1"/>
  <c r="N971" i="1" s="1"/>
  <c r="I1153" i="1"/>
  <c r="K1153" i="1" s="1"/>
  <c r="M1153" i="1" s="1"/>
  <c r="N1153" i="1" s="1"/>
  <c r="I1313" i="1"/>
  <c r="K1313" i="1" s="1"/>
  <c r="M1313" i="1" s="1"/>
  <c r="N1313" i="1" s="1"/>
  <c r="I1321" i="1"/>
  <c r="K1321" i="1" s="1"/>
  <c r="M1321" i="1" s="1"/>
  <c r="N1321" i="1" s="1"/>
  <c r="I1530" i="1"/>
  <c r="K1530" i="1" s="1"/>
  <c r="M1530" i="1" s="1"/>
  <c r="N1530" i="1" s="1"/>
  <c r="I1554" i="1"/>
  <c r="K1554" i="1" s="1"/>
  <c r="M1554" i="1" s="1"/>
  <c r="N1554" i="1" s="1"/>
  <c r="I136" i="1"/>
  <c r="K136" i="1" s="1"/>
  <c r="M136" i="1" s="1"/>
  <c r="N136" i="1" s="1"/>
  <c r="I1024" i="1"/>
  <c r="K1024" i="1" s="1"/>
  <c r="M1024" i="1" s="1"/>
  <c r="N1024" i="1" s="1"/>
  <c r="I1331" i="1"/>
  <c r="K1331" i="1" s="1"/>
  <c r="M1331" i="1" s="1"/>
  <c r="N1331" i="1" s="1"/>
  <c r="I1499" i="1"/>
  <c r="K1499" i="1" s="1"/>
  <c r="M1499" i="1" s="1"/>
  <c r="N1499" i="1" s="1"/>
  <c r="I995" i="1"/>
  <c r="K995" i="1" s="1"/>
  <c r="M995" i="1" s="1"/>
  <c r="N995" i="1" s="1"/>
  <c r="I1366" i="1"/>
  <c r="K1366" i="1" s="1"/>
  <c r="M1366" i="1" s="1"/>
  <c r="N1366" i="1" s="1"/>
  <c r="G1554" i="1"/>
  <c r="G1530" i="1"/>
  <c r="G1321" i="1"/>
  <c r="G1313" i="1"/>
  <c r="I1486" i="1"/>
  <c r="K1486" i="1" s="1"/>
  <c r="M1486" i="1" s="1"/>
  <c r="N1486" i="1" s="1"/>
  <c r="I1508" i="1"/>
  <c r="K1508" i="1" s="1"/>
  <c r="M1508" i="1" s="1"/>
  <c r="N1508" i="1" s="1"/>
  <c r="I1300" i="1"/>
  <c r="K1300" i="1" s="1"/>
  <c r="M1300" i="1" s="1"/>
  <c r="N1300" i="1" s="1"/>
  <c r="I1284" i="1"/>
  <c r="K1284" i="1" s="1"/>
  <c r="M1284" i="1" s="1"/>
  <c r="N1284" i="1" s="1"/>
  <c r="I1580" i="1"/>
  <c r="K1580" i="1" s="1"/>
  <c r="M1580" i="1" s="1"/>
  <c r="N1580" i="1" s="1"/>
  <c r="G1599" i="1"/>
  <c r="G866" i="1"/>
  <c r="G858" i="1"/>
  <c r="G810" i="1"/>
  <c r="G786" i="1"/>
  <c r="G1580" i="1"/>
  <c r="G1331" i="1"/>
  <c r="G1153" i="1"/>
  <c r="G1366" i="1"/>
  <c r="G1284" i="1"/>
  <c r="G1024" i="1"/>
  <c r="G1508" i="1"/>
  <c r="G1143" i="1"/>
  <c r="G1135" i="1"/>
  <c r="G1499" i="1"/>
  <c r="G1300" i="1"/>
  <c r="G982" i="1"/>
  <c r="G902" i="1"/>
  <c r="G1486" i="1"/>
  <c r="G821" i="1"/>
  <c r="G884" i="1"/>
  <c r="G796" i="1"/>
  <c r="G772" i="1"/>
  <c r="G995" i="1"/>
  <c r="G971" i="1"/>
  <c r="I164" i="1"/>
  <c r="K164" i="1" s="1"/>
  <c r="M164" i="1" s="1"/>
  <c r="N164" i="1" s="1"/>
  <c r="I500" i="1"/>
  <c r="K500" i="1" s="1"/>
  <c r="M500" i="1" s="1"/>
  <c r="N500" i="1" s="1"/>
  <c r="I110" i="1"/>
  <c r="K110" i="1" s="1"/>
  <c r="M110" i="1" s="1"/>
  <c r="N110" i="1" s="1"/>
  <c r="I119" i="1"/>
  <c r="K119" i="1" s="1"/>
  <c r="M119" i="1" s="1"/>
  <c r="N119" i="1" s="1"/>
  <c r="I89" i="1"/>
  <c r="K89" i="1" s="1"/>
  <c r="M89" i="1" s="1"/>
  <c r="N89" i="1" s="1"/>
  <c r="I386" i="1"/>
  <c r="K386" i="1" s="1"/>
  <c r="M386" i="1" s="1"/>
  <c r="N386" i="1" s="1"/>
  <c r="I615" i="1"/>
  <c r="K615" i="1" s="1"/>
  <c r="M615" i="1" s="1"/>
  <c r="N615" i="1" s="1"/>
  <c r="I281" i="1"/>
  <c r="K281" i="1" s="1"/>
  <c r="M281" i="1" s="1"/>
  <c r="N281" i="1" s="1"/>
  <c r="I661" i="1"/>
  <c r="K661" i="1" s="1"/>
  <c r="M661" i="1" s="1"/>
  <c r="N661" i="1" s="1"/>
  <c r="I908" i="1"/>
  <c r="K908" i="1" s="1"/>
  <c r="M908" i="1" s="1"/>
  <c r="N908" i="1" s="1"/>
  <c r="I996" i="1"/>
  <c r="K996" i="1" s="1"/>
  <c r="M996" i="1" s="1"/>
  <c r="N996" i="1" s="1"/>
  <c r="I273" i="1"/>
  <c r="K273" i="1" s="1"/>
  <c r="M273" i="1" s="1"/>
  <c r="N273" i="1" s="1"/>
  <c r="I626" i="1"/>
  <c r="K626" i="1" s="1"/>
  <c r="M626" i="1" s="1"/>
  <c r="N626" i="1" s="1"/>
  <c r="I741" i="1"/>
  <c r="K741" i="1" s="1"/>
  <c r="M741" i="1" s="1"/>
  <c r="N741" i="1" s="1"/>
  <c r="I893" i="1"/>
  <c r="K893" i="1" s="1"/>
  <c r="M893" i="1" s="1"/>
  <c r="N893" i="1" s="1"/>
  <c r="I672" i="1"/>
  <c r="K672" i="1" s="1"/>
  <c r="M672" i="1" s="1"/>
  <c r="N672" i="1" s="1"/>
  <c r="I875" i="1"/>
  <c r="K875" i="1" s="1"/>
  <c r="M875" i="1" s="1"/>
  <c r="N875" i="1" s="1"/>
  <c r="I365" i="1"/>
  <c r="K365" i="1" s="1"/>
  <c r="M365" i="1" s="1"/>
  <c r="N365" i="1" s="1"/>
  <c r="I408" i="1"/>
  <c r="K408" i="1" s="1"/>
  <c r="M408" i="1" s="1"/>
  <c r="N408" i="1" s="1"/>
  <c r="I726" i="1"/>
  <c r="K726" i="1" s="1"/>
  <c r="M726" i="1" s="1"/>
  <c r="N726" i="1" s="1"/>
  <c r="I1031" i="1"/>
  <c r="K1031" i="1" s="1"/>
  <c r="M1031" i="1" s="1"/>
  <c r="N1031" i="1" s="1"/>
  <c r="I216" i="1"/>
  <c r="K216" i="1" s="1"/>
  <c r="M216" i="1" s="1"/>
  <c r="N216" i="1" s="1"/>
  <c r="I341" i="1"/>
  <c r="K341" i="1" s="1"/>
  <c r="M341" i="1" s="1"/>
  <c r="N341" i="1" s="1"/>
  <c r="I375" i="1"/>
  <c r="K375" i="1" s="1"/>
  <c r="M375" i="1" s="1"/>
  <c r="N375" i="1" s="1"/>
  <c r="I649" i="1"/>
  <c r="K649" i="1" s="1"/>
  <c r="M649" i="1" s="1"/>
  <c r="N649" i="1" s="1"/>
  <c r="I1207" i="1"/>
  <c r="K1207" i="1" s="1"/>
  <c r="M1207" i="1" s="1"/>
  <c r="N1207" i="1" s="1"/>
  <c r="I1248" i="1"/>
  <c r="K1248" i="1" s="1"/>
  <c r="M1248" i="1" s="1"/>
  <c r="N1248" i="1" s="1"/>
  <c r="I1600" i="1"/>
  <c r="K1600" i="1" s="1"/>
  <c r="M1600" i="1" s="1"/>
  <c r="N1600" i="1" s="1"/>
  <c r="I1640" i="1"/>
  <c r="K1640" i="1" s="1"/>
  <c r="M1640" i="1" s="1"/>
  <c r="N1640" i="1" s="1"/>
  <c r="I1753" i="1"/>
  <c r="K1753" i="1" s="1"/>
  <c r="M1753" i="1" s="1"/>
  <c r="N1753" i="1" s="1"/>
  <c r="I321" i="1"/>
  <c r="K321" i="1" s="1"/>
  <c r="M321" i="1" s="1"/>
  <c r="N321" i="1" s="1"/>
  <c r="I1106" i="1"/>
  <c r="K1106" i="1" s="1"/>
  <c r="M1106" i="1" s="1"/>
  <c r="N1106" i="1" s="1"/>
  <c r="I1531" i="1"/>
  <c r="K1531" i="1" s="1"/>
  <c r="M1531" i="1" s="1"/>
  <c r="N1531" i="1" s="1"/>
  <c r="I400" i="1"/>
  <c r="K400" i="1" s="1"/>
  <c r="M400" i="1" s="1"/>
  <c r="N400" i="1" s="1"/>
  <c r="I1229" i="1"/>
  <c r="K1229" i="1" s="1"/>
  <c r="M1229" i="1" s="1"/>
  <c r="N1229" i="1" s="1"/>
  <c r="I1301" i="1"/>
  <c r="K1301" i="1" s="1"/>
  <c r="M1301" i="1" s="1"/>
  <c r="N1301" i="1" s="1"/>
  <c r="I1581" i="1"/>
  <c r="K1581" i="1" s="1"/>
  <c r="M1581" i="1" s="1"/>
  <c r="N1581" i="1" s="1"/>
  <c r="I1693" i="1"/>
  <c r="K1693" i="1" s="1"/>
  <c r="M1693" i="1" s="1"/>
  <c r="N1693" i="1" s="1"/>
  <c r="I1156" i="1"/>
  <c r="K1156" i="1" s="1"/>
  <c r="M1156" i="1" s="1"/>
  <c r="N1156" i="1" s="1"/>
  <c r="I1788" i="1"/>
  <c r="K1788" i="1" s="1"/>
  <c r="M1788" i="1" s="1"/>
  <c r="N1788" i="1" s="1"/>
  <c r="I1484" i="1"/>
  <c r="K1484" i="1" s="1"/>
  <c r="M1484" i="1" s="1"/>
  <c r="N1484" i="1" s="1"/>
  <c r="G1753" i="1"/>
  <c r="I1775" i="1"/>
  <c r="K1775" i="1" s="1"/>
  <c r="M1775" i="1" s="1"/>
  <c r="N1775" i="1" s="1"/>
  <c r="G1775" i="1"/>
  <c r="I859" i="1"/>
  <c r="K859" i="1" s="1"/>
  <c r="M859" i="1" s="1"/>
  <c r="N859" i="1" s="1"/>
  <c r="G1693" i="1"/>
  <c r="I351" i="1"/>
  <c r="K351" i="1" s="1"/>
  <c r="M351" i="1" s="1"/>
  <c r="N351" i="1" s="1"/>
  <c r="I1025" i="1"/>
  <c r="K1025" i="1" s="1"/>
  <c r="M1025" i="1" s="1"/>
  <c r="N1025" i="1" s="1"/>
  <c r="G1788" i="1"/>
  <c r="G1581" i="1"/>
  <c r="G1106" i="1"/>
  <c r="G1531" i="1"/>
  <c r="G1025" i="1"/>
  <c r="G1248" i="1"/>
  <c r="G1301" i="1"/>
  <c r="G1207" i="1"/>
  <c r="G1031" i="1"/>
  <c r="G1640" i="1"/>
  <c r="G726" i="1"/>
  <c r="G1229" i="1"/>
  <c r="G893" i="1"/>
  <c r="G741" i="1"/>
  <c r="G1156" i="1"/>
  <c r="G996" i="1"/>
  <c r="G908" i="1"/>
  <c r="G1600" i="1"/>
  <c r="G1484" i="1"/>
  <c r="G875" i="1"/>
  <c r="G859" i="1"/>
  <c r="I440" i="1"/>
  <c r="I797" i="1"/>
  <c r="K797" i="1" s="1"/>
  <c r="M797" i="1" s="1"/>
  <c r="N797" i="1" s="1"/>
  <c r="I179" i="1"/>
  <c r="K179" i="1" s="1"/>
  <c r="M179" i="1" s="1"/>
  <c r="N179" i="1" s="1"/>
  <c r="I1742" i="1"/>
  <c r="K1742" i="1" s="1"/>
  <c r="M1742" i="1" s="1"/>
  <c r="N1742" i="1" s="1"/>
  <c r="I1763" i="1"/>
  <c r="K1763" i="1" s="1"/>
  <c r="M1763" i="1" s="1"/>
  <c r="N1763" i="1" s="1"/>
  <c r="G1763" i="1"/>
  <c r="I1206" i="1"/>
  <c r="K1206" i="1" s="1"/>
  <c r="M1206" i="1" s="1"/>
  <c r="N1206" i="1" s="1"/>
  <c r="I163" i="1"/>
  <c r="K163" i="1" s="1"/>
  <c r="M163" i="1" s="1"/>
  <c r="N163" i="1" s="1"/>
  <c r="G1742" i="1"/>
  <c r="G1206" i="1"/>
  <c r="G797" i="1"/>
  <c r="I710" i="1"/>
  <c r="I946" i="1"/>
  <c r="K946" i="1" s="1"/>
  <c r="M946" i="1" s="1"/>
  <c r="N946" i="1" s="1"/>
  <c r="G946" i="1"/>
  <c r="I236" i="1"/>
  <c r="K236" i="1" s="1"/>
  <c r="M236" i="1" s="1"/>
  <c r="N236" i="1" s="1"/>
  <c r="I227" i="1"/>
  <c r="K227" i="1" s="1"/>
  <c r="M227" i="1" s="1"/>
  <c r="N227" i="1" s="1"/>
  <c r="I246" i="1"/>
  <c r="K246" i="1" s="1"/>
  <c r="M246" i="1" s="1"/>
  <c r="N246" i="1" s="1"/>
  <c r="I202" i="1"/>
  <c r="K202" i="1" s="1"/>
  <c r="M202" i="1" s="1"/>
  <c r="N202" i="1" s="1"/>
  <c r="I454" i="1"/>
  <c r="K454" i="1" s="1"/>
  <c r="M454" i="1" s="1"/>
  <c r="N454" i="1" s="1"/>
  <c r="I1247" i="1"/>
  <c r="K1247" i="1" s="1"/>
  <c r="M1247" i="1" s="1"/>
  <c r="N1247" i="1" s="1"/>
  <c r="I1665" i="1"/>
  <c r="K1665" i="1" s="1"/>
  <c r="M1665" i="1" s="1"/>
  <c r="N1665" i="1" s="1"/>
  <c r="I1691" i="1"/>
  <c r="K1691" i="1" s="1"/>
  <c r="M1691" i="1" s="1"/>
  <c r="N1691" i="1" s="1"/>
  <c r="I215" i="1"/>
  <c r="K215" i="1" s="1"/>
  <c r="M215" i="1" s="1"/>
  <c r="N215" i="1" s="1"/>
  <c r="I1341" i="1"/>
  <c r="K1341" i="1" s="1"/>
  <c r="M1341" i="1" s="1"/>
  <c r="N1341" i="1" s="1"/>
  <c r="G1691" i="1"/>
  <c r="G1665" i="1"/>
  <c r="G1341" i="1"/>
  <c r="G1247" i="1"/>
  <c r="I1487" i="1"/>
  <c r="K1487" i="1" s="1"/>
  <c r="M1487" i="1" s="1"/>
  <c r="N1487" i="1" s="1"/>
  <c r="I409" i="1"/>
  <c r="K409" i="1" s="1"/>
  <c r="M409" i="1" s="1"/>
  <c r="N409" i="1" s="1"/>
  <c r="I342" i="1"/>
  <c r="K342" i="1" s="1"/>
  <c r="M342" i="1" s="1"/>
  <c r="N342" i="1" s="1"/>
  <c r="I1601" i="1"/>
  <c r="K1601" i="1" s="1"/>
  <c r="M1601" i="1" s="1"/>
  <c r="N1601" i="1" s="1"/>
  <c r="I376" i="1"/>
  <c r="K376" i="1" s="1"/>
  <c r="M376" i="1" s="1"/>
  <c r="N376" i="1" s="1"/>
  <c r="I1285" i="1"/>
  <c r="K1285" i="1" s="1"/>
  <c r="M1285" i="1" s="1"/>
  <c r="N1285" i="1" s="1"/>
  <c r="I1509" i="1"/>
  <c r="K1509" i="1" s="1"/>
  <c r="M1509" i="1" s="1"/>
  <c r="N1509" i="1" s="1"/>
  <c r="I1582" i="1"/>
  <c r="K1582" i="1" s="1"/>
  <c r="M1582" i="1" s="1"/>
  <c r="N1582" i="1" s="1"/>
  <c r="G1601" i="1"/>
  <c r="I683" i="1"/>
  <c r="K683" i="1" s="1"/>
  <c r="M683" i="1" s="1"/>
  <c r="N683" i="1" s="1"/>
  <c r="G1285" i="1"/>
  <c r="G1509" i="1"/>
  <c r="G1487" i="1"/>
  <c r="G1582" i="1"/>
  <c r="I441" i="1"/>
  <c r="I189" i="1"/>
  <c r="K189" i="1" s="1"/>
  <c r="M189" i="1" s="1"/>
  <c r="N189" i="1" s="1"/>
  <c r="I570" i="1"/>
  <c r="K570" i="1" s="1"/>
  <c r="M570" i="1" s="1"/>
  <c r="N570" i="1" s="1"/>
  <c r="I885" i="1"/>
  <c r="K885" i="1" s="1"/>
  <c r="M885" i="1" s="1"/>
  <c r="N885" i="1" s="1"/>
  <c r="G885" i="1"/>
  <c r="I876" i="1"/>
  <c r="K876" i="1" s="1"/>
  <c r="M876" i="1" s="1"/>
  <c r="N876" i="1" s="1"/>
  <c r="I894" i="1"/>
  <c r="K894" i="1" s="1"/>
  <c r="M894" i="1" s="1"/>
  <c r="N894" i="1" s="1"/>
  <c r="G894" i="1"/>
  <c r="G876" i="1"/>
  <c r="I180" i="1"/>
  <c r="K180" i="1" s="1"/>
  <c r="M180" i="1" s="1"/>
  <c r="N180" i="1" s="1"/>
  <c r="I547" i="1"/>
  <c r="K547" i="1" s="1"/>
  <c r="M547" i="1" s="1"/>
  <c r="N547" i="1" s="1"/>
  <c r="I1144" i="1"/>
  <c r="K1144" i="1" s="1"/>
  <c r="M1144" i="1" s="1"/>
  <c r="N1144" i="1" s="1"/>
  <c r="I1743" i="1"/>
  <c r="K1743" i="1" s="1"/>
  <c r="M1743" i="1" s="1"/>
  <c r="N1743" i="1" s="1"/>
  <c r="I1764" i="1"/>
  <c r="K1764" i="1" s="1"/>
  <c r="M1764" i="1" s="1"/>
  <c r="N1764" i="1" s="1"/>
  <c r="I1732" i="1"/>
  <c r="K1732" i="1" s="1"/>
  <c r="M1732" i="1" s="1"/>
  <c r="N1732" i="1" s="1"/>
  <c r="I1286" i="1"/>
  <c r="K1286" i="1" s="1"/>
  <c r="M1286" i="1" s="1"/>
  <c r="N1286" i="1" s="1"/>
  <c r="G1286" i="1"/>
  <c r="I1201" i="1"/>
  <c r="K1201" i="1" s="1"/>
  <c r="M1201" i="1" s="1"/>
  <c r="N1201" i="1" s="1"/>
  <c r="I1180" i="1"/>
  <c r="K1180" i="1" s="1"/>
  <c r="M1180" i="1" s="1"/>
  <c r="N1180" i="1" s="1"/>
  <c r="I984" i="1"/>
  <c r="K984" i="1" s="1"/>
  <c r="M984" i="1" s="1"/>
  <c r="N984" i="1" s="1"/>
  <c r="G984" i="1"/>
  <c r="I1270" i="1"/>
  <c r="K1270" i="1" s="1"/>
  <c r="M1270" i="1" s="1"/>
  <c r="N1270" i="1" s="1"/>
  <c r="G1270" i="1"/>
  <c r="I1164" i="1"/>
  <c r="K1164" i="1" s="1"/>
  <c r="M1164" i="1" s="1"/>
  <c r="N1164" i="1" s="1"/>
  <c r="G1164" i="1"/>
  <c r="I1079" i="1"/>
  <c r="K1079" i="1" s="1"/>
  <c r="M1079" i="1" s="1"/>
  <c r="N1079" i="1" s="1"/>
  <c r="I1086" i="1"/>
  <c r="K1086" i="1" s="1"/>
  <c r="M1086" i="1" s="1"/>
  <c r="N1086" i="1" s="1"/>
  <c r="I1048" i="1"/>
  <c r="K1048" i="1" s="1"/>
  <c r="M1048" i="1" s="1"/>
  <c r="N1048" i="1" s="1"/>
  <c r="G1048" i="1"/>
  <c r="G1079" i="1"/>
  <c r="G1086" i="1"/>
  <c r="I811" i="1"/>
  <c r="K811" i="1" s="1"/>
  <c r="M811" i="1" s="1"/>
  <c r="N811" i="1" s="1"/>
  <c r="I822" i="1"/>
  <c r="K822" i="1" s="1"/>
  <c r="M822" i="1" s="1"/>
  <c r="N822" i="1" s="1"/>
  <c r="I787" i="1"/>
  <c r="K787" i="1" s="1"/>
  <c r="M787" i="1" s="1"/>
  <c r="N787" i="1" s="1"/>
  <c r="G822" i="1"/>
  <c r="G811" i="1"/>
  <c r="G787" i="1"/>
  <c r="I1068" i="1"/>
  <c r="K1068" i="1" s="1"/>
  <c r="M1068" i="1" s="1"/>
  <c r="N1068" i="1" s="1"/>
  <c r="G1068" i="1"/>
  <c r="I200" i="1"/>
  <c r="K200" i="1" s="1"/>
  <c r="M200" i="1" s="1"/>
  <c r="N200" i="1" s="1"/>
  <c r="I133" i="1"/>
  <c r="K133" i="1" s="1"/>
  <c r="M133" i="1" s="1"/>
  <c r="N133" i="1" s="1"/>
  <c r="I1738" i="1"/>
  <c r="K1738" i="1" s="1"/>
  <c r="M1738" i="1" s="1"/>
  <c r="N1738" i="1" s="1"/>
  <c r="I1637" i="1"/>
  <c r="K1637" i="1" s="1"/>
  <c r="M1637" i="1" s="1"/>
  <c r="N1637" i="1" s="1"/>
  <c r="I1445" i="1"/>
  <c r="K1445" i="1" s="1"/>
  <c r="M1445" i="1" s="1"/>
  <c r="N1445" i="1" s="1"/>
  <c r="G1445" i="1"/>
  <c r="I873" i="1"/>
  <c r="K873" i="1" s="1"/>
  <c r="M873" i="1" s="1"/>
  <c r="N873" i="1" s="1"/>
  <c r="I1329" i="1"/>
  <c r="K1329" i="1" s="1"/>
  <c r="M1329" i="1" s="1"/>
  <c r="N1329" i="1" s="1"/>
  <c r="G1329" i="1"/>
  <c r="G873" i="1"/>
  <c r="I1446" i="1"/>
  <c r="K1446" i="1" s="1"/>
  <c r="M1446" i="1" s="1"/>
  <c r="N1446" i="1" s="1"/>
  <c r="G1446" i="1"/>
  <c r="I212" i="1"/>
  <c r="K212" i="1" s="1"/>
  <c r="M212" i="1" s="1"/>
  <c r="N212" i="1" s="1"/>
  <c r="I716" i="1"/>
  <c r="K716" i="1" s="1"/>
  <c r="M716" i="1" s="1"/>
  <c r="N716" i="1" s="1"/>
  <c r="I186" i="1"/>
  <c r="K186" i="1" s="1"/>
  <c r="M186" i="1" s="1"/>
  <c r="N186" i="1" s="1"/>
  <c r="I337" i="1"/>
  <c r="K337" i="1" s="1"/>
  <c r="M337" i="1" s="1"/>
  <c r="N337" i="1" s="1"/>
  <c r="I234" i="1"/>
  <c r="K234" i="1" s="1"/>
  <c r="M234" i="1" s="1"/>
  <c r="N234" i="1" s="1"/>
  <c r="I1408" i="1"/>
  <c r="K1408" i="1" s="1"/>
  <c r="M1408" i="1" s="1"/>
  <c r="N1408" i="1" s="1"/>
  <c r="I173" i="1"/>
  <c r="K173" i="1" s="1"/>
  <c r="M173" i="1" s="1"/>
  <c r="N173" i="1" s="1"/>
  <c r="I496" i="1"/>
  <c r="K496" i="1" s="1"/>
  <c r="M496" i="1" s="1"/>
  <c r="N496" i="1" s="1"/>
  <c r="I1347" i="1"/>
  <c r="K1347" i="1" s="1"/>
  <c r="M1347" i="1" s="1"/>
  <c r="N1347" i="1" s="1"/>
  <c r="I464" i="1"/>
  <c r="K464" i="1" s="1"/>
  <c r="M464" i="1" s="1"/>
  <c r="N464" i="1" s="1"/>
  <c r="G1408" i="1"/>
  <c r="G1347" i="1"/>
  <c r="I1104" i="1"/>
  <c r="K1104" i="1" s="1"/>
  <c r="M1104" i="1" s="1"/>
  <c r="N1104" i="1" s="1"/>
  <c r="I1113" i="1"/>
  <c r="K1113" i="1" s="1"/>
  <c r="M1113" i="1" s="1"/>
  <c r="N1113" i="1" s="1"/>
  <c r="I157" i="1"/>
  <c r="K157" i="1" s="1"/>
  <c r="M157" i="1" s="1"/>
  <c r="N157" i="1" s="1"/>
  <c r="I497" i="1"/>
  <c r="K497" i="1" s="1"/>
  <c r="M497" i="1" s="1"/>
  <c r="N497" i="1" s="1"/>
  <c r="I571" i="1"/>
  <c r="K571" i="1" s="1"/>
  <c r="M571" i="1" s="1"/>
  <c r="N571" i="1" s="1"/>
  <c r="I442" i="1"/>
  <c r="K442" i="1" s="1"/>
  <c r="M442" i="1" s="1"/>
  <c r="N442" i="1" s="1"/>
  <c r="I590" i="1"/>
  <c r="K590" i="1" s="1"/>
  <c r="M590" i="1" s="1"/>
  <c r="N590" i="1" s="1"/>
  <c r="I613" i="1"/>
  <c r="K613" i="1" s="1"/>
  <c r="M613" i="1" s="1"/>
  <c r="N613" i="1" s="1"/>
  <c r="I1444" i="1"/>
  <c r="K1444" i="1" s="1"/>
  <c r="M1444" i="1" s="1"/>
  <c r="N1444" i="1" s="1"/>
  <c r="G1444" i="1"/>
  <c r="I612" i="1"/>
  <c r="K612" i="1" s="1"/>
  <c r="M612" i="1" s="1"/>
  <c r="N612" i="1" s="1"/>
  <c r="I589" i="1"/>
  <c r="K589" i="1" s="1"/>
  <c r="M589" i="1" s="1"/>
  <c r="N589" i="1" s="1"/>
  <c r="I1443" i="1"/>
  <c r="K1443" i="1" s="1"/>
  <c r="M1443" i="1" s="1"/>
  <c r="N1443" i="1" s="1"/>
  <c r="G1443" i="1"/>
  <c r="I788" i="1"/>
  <c r="K788" i="1" s="1"/>
  <c r="M788" i="1" s="1"/>
  <c r="N788" i="1" s="1"/>
  <c r="I823" i="1"/>
  <c r="K823" i="1" s="1"/>
  <c r="M823" i="1" s="1"/>
  <c r="N823" i="1" s="1"/>
  <c r="I798" i="1"/>
  <c r="K798" i="1" s="1"/>
  <c r="M798" i="1" s="1"/>
  <c r="N798" i="1" s="1"/>
  <c r="I1287" i="1"/>
  <c r="K1287" i="1" s="1"/>
  <c r="M1287" i="1" s="1"/>
  <c r="N1287" i="1" s="1"/>
  <c r="I1136" i="1"/>
  <c r="K1136" i="1" s="1"/>
  <c r="M1136" i="1" s="1"/>
  <c r="N1136" i="1" s="1"/>
  <c r="I1352" i="1"/>
  <c r="K1352" i="1" s="1"/>
  <c r="M1352" i="1" s="1"/>
  <c r="N1352" i="1" s="1"/>
  <c r="I1532" i="1"/>
  <c r="K1532" i="1" s="1"/>
  <c r="M1532" i="1" s="1"/>
  <c r="N1532" i="1" s="1"/>
  <c r="I1302" i="1"/>
  <c r="K1302" i="1" s="1"/>
  <c r="M1302" i="1" s="1"/>
  <c r="N1302" i="1" s="1"/>
  <c r="G1532" i="1"/>
  <c r="G1302" i="1"/>
  <c r="G1136" i="1"/>
  <c r="G823" i="1"/>
  <c r="G798" i="1"/>
  <c r="G1352" i="1"/>
  <c r="G788" i="1"/>
  <c r="G1287" i="1"/>
  <c r="I92" i="1"/>
  <c r="K92" i="1" s="1"/>
  <c r="M92" i="1" s="1"/>
  <c r="N92" i="1" s="1"/>
  <c r="I404" i="1"/>
  <c r="K404" i="1" s="1"/>
  <c r="M404" i="1" s="1"/>
  <c r="N404" i="1" s="1"/>
  <c r="I812" i="1"/>
  <c r="K812" i="1" s="1"/>
  <c r="M812" i="1" s="1"/>
  <c r="N812" i="1" s="1"/>
  <c r="I852" i="1"/>
  <c r="K852" i="1" s="1"/>
  <c r="M852" i="1" s="1"/>
  <c r="N852" i="1" s="1"/>
  <c r="I860" i="1"/>
  <c r="K860" i="1" s="1"/>
  <c r="M860" i="1" s="1"/>
  <c r="N860" i="1" s="1"/>
  <c r="I102" i="1"/>
  <c r="K102" i="1" s="1"/>
  <c r="M102" i="1" s="1"/>
  <c r="N102" i="1" s="1"/>
  <c r="I49" i="1"/>
  <c r="K49" i="1" s="1"/>
  <c r="M49" i="1" s="1"/>
  <c r="N49" i="1" s="1"/>
  <c r="I113" i="1"/>
  <c r="K113" i="1" s="1"/>
  <c r="M113" i="1" s="1"/>
  <c r="N113" i="1" s="1"/>
  <c r="I121" i="1"/>
  <c r="K121" i="1" s="1"/>
  <c r="M121" i="1" s="1"/>
  <c r="N121" i="1" s="1"/>
  <c r="I42" i="1"/>
  <c r="K42" i="1" s="1"/>
  <c r="M42" i="1" s="1"/>
  <c r="N42" i="1" s="1"/>
  <c r="I193" i="1"/>
  <c r="K193" i="1" s="1"/>
  <c r="M193" i="1" s="1"/>
  <c r="N193" i="1" s="1"/>
  <c r="I370" i="1"/>
  <c r="K370" i="1" s="1"/>
  <c r="M370" i="1" s="1"/>
  <c r="N370" i="1" s="1"/>
  <c r="I422" i="1"/>
  <c r="K422" i="1" s="1"/>
  <c r="M422" i="1" s="1"/>
  <c r="N422" i="1" s="1"/>
  <c r="I940" i="1"/>
  <c r="K940" i="1" s="1"/>
  <c r="M940" i="1" s="1"/>
  <c r="N940" i="1" s="1"/>
  <c r="I654" i="1"/>
  <c r="K654" i="1" s="1"/>
  <c r="M654" i="1" s="1"/>
  <c r="N654" i="1" s="1"/>
  <c r="I749" i="1"/>
  <c r="K749" i="1" s="1"/>
  <c r="M749" i="1" s="1"/>
  <c r="N749" i="1" s="1"/>
  <c r="I733" i="1"/>
  <c r="K733" i="1" s="1"/>
  <c r="M733" i="1" s="1"/>
  <c r="N733" i="1" s="1"/>
  <c r="I742" i="1"/>
  <c r="K742" i="1" s="1"/>
  <c r="M742" i="1" s="1"/>
  <c r="N742" i="1" s="1"/>
  <c r="I966" i="1"/>
  <c r="K966" i="1" s="1"/>
  <c r="M966" i="1" s="1"/>
  <c r="N966" i="1" s="1"/>
  <c r="I169" i="1"/>
  <c r="K169" i="1" s="1"/>
  <c r="M169" i="1" s="1"/>
  <c r="N169" i="1" s="1"/>
  <c r="I824" i="1"/>
  <c r="K824" i="1" s="1"/>
  <c r="M824" i="1" s="1"/>
  <c r="N824" i="1" s="1"/>
  <c r="I895" i="1"/>
  <c r="K895" i="1" s="1"/>
  <c r="M895" i="1" s="1"/>
  <c r="N895" i="1" s="1"/>
  <c r="I927" i="1"/>
  <c r="K927" i="1" s="1"/>
  <c r="M927" i="1" s="1"/>
  <c r="N927" i="1" s="1"/>
  <c r="I287" i="1"/>
  <c r="K287" i="1" s="1"/>
  <c r="M287" i="1" s="1"/>
  <c r="N287" i="1" s="1"/>
  <c r="I472" i="1"/>
  <c r="K472" i="1" s="1"/>
  <c r="M472" i="1" s="1"/>
  <c r="N472" i="1" s="1"/>
  <c r="I551" i="1"/>
  <c r="K551" i="1" s="1"/>
  <c r="M551" i="1" s="1"/>
  <c r="N551" i="1" s="1"/>
  <c r="I585" i="1"/>
  <c r="K585" i="1" s="1"/>
  <c r="M585" i="1" s="1"/>
  <c r="N585" i="1" s="1"/>
  <c r="I879" i="1"/>
  <c r="K879" i="1" s="1"/>
  <c r="M879" i="1" s="1"/>
  <c r="N879" i="1" s="1"/>
  <c r="I429" i="1"/>
  <c r="K429" i="1" s="1"/>
  <c r="M429" i="1" s="1"/>
  <c r="N429" i="1" s="1"/>
  <c r="I1175" i="1"/>
  <c r="K1175" i="1" s="1"/>
  <c r="M1175" i="1" s="1"/>
  <c r="N1175" i="1" s="1"/>
  <c r="I1391" i="1"/>
  <c r="K1391" i="1" s="1"/>
  <c r="M1391" i="1" s="1"/>
  <c r="N1391" i="1" s="1"/>
  <c r="I1224" i="1"/>
  <c r="K1224" i="1" s="1"/>
  <c r="M1224" i="1" s="1"/>
  <c r="N1224" i="1" s="1"/>
  <c r="I1440" i="1"/>
  <c r="K1440" i="1" s="1"/>
  <c r="M1440" i="1" s="1"/>
  <c r="N1440" i="1" s="1"/>
  <c r="I1560" i="1"/>
  <c r="K1560" i="1" s="1"/>
  <c r="M1560" i="1" s="1"/>
  <c r="N1560" i="1" s="1"/>
  <c r="I789" i="1"/>
  <c r="K789" i="1" s="1"/>
  <c r="M789" i="1" s="1"/>
  <c r="N789" i="1" s="1"/>
  <c r="I800" i="1"/>
  <c r="K800" i="1" s="1"/>
  <c r="M800" i="1" s="1"/>
  <c r="N800" i="1" s="1"/>
  <c r="I754" i="1"/>
  <c r="K754" i="1" s="1"/>
  <c r="M754" i="1" s="1"/>
  <c r="N754" i="1" s="1"/>
  <c r="I1186" i="1"/>
  <c r="K1186" i="1" s="1"/>
  <c r="M1186" i="1" s="1"/>
  <c r="N1186" i="1" s="1"/>
  <c r="I1234" i="1"/>
  <c r="K1234" i="1" s="1"/>
  <c r="M1234" i="1" s="1"/>
  <c r="N1234" i="1" s="1"/>
  <c r="I1426" i="1"/>
  <c r="K1426" i="1" s="1"/>
  <c r="M1426" i="1" s="1"/>
  <c r="N1426" i="1" s="1"/>
  <c r="I1618" i="1"/>
  <c r="K1618" i="1" s="1"/>
  <c r="M1618" i="1" s="1"/>
  <c r="N1618" i="1" s="1"/>
  <c r="I1658" i="1"/>
  <c r="K1658" i="1" s="1"/>
  <c r="M1658" i="1" s="1"/>
  <c r="N1658" i="1" s="1"/>
  <c r="I1195" i="1"/>
  <c r="K1195" i="1" s="1"/>
  <c r="M1195" i="1" s="1"/>
  <c r="N1195" i="1" s="1"/>
  <c r="I1571" i="1"/>
  <c r="K1571" i="1" s="1"/>
  <c r="M1571" i="1" s="1"/>
  <c r="N1571" i="1" s="1"/>
  <c r="I1017" i="1"/>
  <c r="K1017" i="1" s="1"/>
  <c r="M1017" i="1" s="1"/>
  <c r="N1017" i="1" s="1"/>
  <c r="I1026" i="1"/>
  <c r="K1026" i="1" s="1"/>
  <c r="M1026" i="1" s="1"/>
  <c r="N1026" i="1" s="1"/>
  <c r="I1261" i="1"/>
  <c r="K1261" i="1" s="1"/>
  <c r="M1261" i="1" s="1"/>
  <c r="N1261" i="1" s="1"/>
  <c r="I1413" i="1"/>
  <c r="K1413" i="1" s="1"/>
  <c r="M1413" i="1" s="1"/>
  <c r="N1413" i="1" s="1"/>
  <c r="I957" i="1"/>
  <c r="K957" i="1" s="1"/>
  <c r="M957" i="1" s="1"/>
  <c r="N957" i="1" s="1"/>
  <c r="I1548" i="1"/>
  <c r="K1548" i="1" s="1"/>
  <c r="M1548" i="1" s="1"/>
  <c r="N1548" i="1" s="1"/>
  <c r="I1606" i="1"/>
  <c r="K1606" i="1" s="1"/>
  <c r="M1606" i="1" s="1"/>
  <c r="N1606" i="1" s="1"/>
  <c r="I1454" i="1"/>
  <c r="K1454" i="1" s="1"/>
  <c r="M1454" i="1" s="1"/>
  <c r="N1454" i="1" s="1"/>
  <c r="I1755" i="1"/>
  <c r="K1755" i="1" s="1"/>
  <c r="M1755" i="1" s="1"/>
  <c r="N1755" i="1" s="1"/>
  <c r="I1574" i="1"/>
  <c r="K1574" i="1" s="1"/>
  <c r="M1574" i="1" s="1"/>
  <c r="N1574" i="1" s="1"/>
  <c r="I1747" i="1"/>
  <c r="K1747" i="1" s="1"/>
  <c r="M1747" i="1" s="1"/>
  <c r="N1747" i="1" s="1"/>
  <c r="I1166" i="1"/>
  <c r="K1166" i="1" s="1"/>
  <c r="M1166" i="1" s="1"/>
  <c r="N1166" i="1" s="1"/>
  <c r="I1768" i="1"/>
  <c r="K1768" i="1" s="1"/>
  <c r="M1768" i="1" s="1"/>
  <c r="N1768" i="1" s="1"/>
  <c r="I1214" i="1"/>
  <c r="K1214" i="1" s="1"/>
  <c r="M1214" i="1" s="1"/>
  <c r="N1214" i="1" s="1"/>
  <c r="I1468" i="1"/>
  <c r="K1468" i="1" s="1"/>
  <c r="M1468" i="1" s="1"/>
  <c r="N1468" i="1" s="1"/>
  <c r="I1646" i="1"/>
  <c r="K1646" i="1" s="1"/>
  <c r="M1646" i="1" s="1"/>
  <c r="N1646" i="1" s="1"/>
  <c r="I1534" i="1"/>
  <c r="K1534" i="1" s="1"/>
  <c r="M1534" i="1" s="1"/>
  <c r="N1534" i="1" s="1"/>
  <c r="I1778" i="1"/>
  <c r="K1778" i="1" s="1"/>
  <c r="M1778" i="1" s="1"/>
  <c r="N1778" i="1" s="1"/>
  <c r="I380" i="1"/>
  <c r="K380" i="1" s="1"/>
  <c r="M380" i="1" s="1"/>
  <c r="N380" i="1" s="1"/>
  <c r="I836" i="1"/>
  <c r="K836" i="1" s="1"/>
  <c r="M836" i="1" s="1"/>
  <c r="N836" i="1" s="1"/>
  <c r="I307" i="1"/>
  <c r="K307" i="1" s="1"/>
  <c r="M307" i="1" s="1"/>
  <c r="N307" i="1" s="1"/>
  <c r="I755" i="1"/>
  <c r="K755" i="1" s="1"/>
  <c r="M755" i="1" s="1"/>
  <c r="N755" i="1" s="1"/>
  <c r="I413" i="1"/>
  <c r="K413" i="1" s="1"/>
  <c r="M413" i="1" s="1"/>
  <c r="N413" i="1" s="1"/>
  <c r="I598" i="1"/>
  <c r="K598" i="1" s="1"/>
  <c r="M598" i="1" s="1"/>
  <c r="N598" i="1" s="1"/>
  <c r="I634" i="1"/>
  <c r="K634" i="1" s="1"/>
  <c r="M634" i="1" s="1"/>
  <c r="N634" i="1" s="1"/>
  <c r="I713" i="1"/>
  <c r="K713" i="1" s="1"/>
  <c r="M713" i="1" s="1"/>
  <c r="N713" i="1" s="1"/>
  <c r="I346" i="1"/>
  <c r="K346" i="1" s="1"/>
  <c r="M346" i="1" s="1"/>
  <c r="N346" i="1" s="1"/>
  <c r="I355" i="1"/>
  <c r="K355" i="1" s="1"/>
  <c r="M355" i="1" s="1"/>
  <c r="N355" i="1" s="1"/>
  <c r="I390" i="1"/>
  <c r="K390" i="1" s="1"/>
  <c r="M390" i="1" s="1"/>
  <c r="N390" i="1" s="1"/>
  <c r="I151" i="1"/>
  <c r="K151" i="1" s="1"/>
  <c r="M151" i="1" s="1"/>
  <c r="N151" i="1" s="1"/>
  <c r="I266" i="1"/>
  <c r="K266" i="1" s="1"/>
  <c r="M266" i="1" s="1"/>
  <c r="N266" i="1" s="1"/>
  <c r="I275" i="1"/>
  <c r="K275" i="1" s="1"/>
  <c r="M275" i="1" s="1"/>
  <c r="N275" i="1" s="1"/>
  <c r="I734" i="1"/>
  <c r="K734" i="1" s="1"/>
  <c r="M734" i="1" s="1"/>
  <c r="N734" i="1" s="1"/>
  <c r="I743" i="1"/>
  <c r="K743" i="1" s="1"/>
  <c r="M743" i="1" s="1"/>
  <c r="N743" i="1" s="1"/>
  <c r="I586" i="1"/>
  <c r="K586" i="1" s="1"/>
  <c r="M586" i="1" s="1"/>
  <c r="N586" i="1" s="1"/>
  <c r="I1695" i="1"/>
  <c r="K1695" i="1" s="1"/>
  <c r="M1695" i="1" s="1"/>
  <c r="N1695" i="1" s="1"/>
  <c r="I258" i="1"/>
  <c r="K258" i="1" s="1"/>
  <c r="M258" i="1" s="1"/>
  <c r="N258" i="1" s="1"/>
  <c r="I288" i="1"/>
  <c r="K288" i="1" s="1"/>
  <c r="M288" i="1" s="1"/>
  <c r="N288" i="1" s="1"/>
  <c r="I853" i="1"/>
  <c r="K853" i="1" s="1"/>
  <c r="M853" i="1" s="1"/>
  <c r="N853" i="1" s="1"/>
  <c r="I1154" i="1"/>
  <c r="K1154" i="1" s="1"/>
  <c r="M1154" i="1" s="1"/>
  <c r="N1154" i="1" s="1"/>
  <c r="I1587" i="1"/>
  <c r="K1587" i="1" s="1"/>
  <c r="M1587" i="1" s="1"/>
  <c r="N1587" i="1" s="1"/>
  <c r="I1683" i="1"/>
  <c r="K1683" i="1" s="1"/>
  <c r="M1683" i="1" s="1"/>
  <c r="N1683" i="1" s="1"/>
  <c r="I1501" i="1"/>
  <c r="K1501" i="1" s="1"/>
  <c r="M1501" i="1" s="1"/>
  <c r="N1501" i="1" s="1"/>
  <c r="I1669" i="1"/>
  <c r="K1669" i="1" s="1"/>
  <c r="M1669" i="1" s="1"/>
  <c r="N1669" i="1" s="1"/>
  <c r="I1414" i="1"/>
  <c r="K1414" i="1" s="1"/>
  <c r="M1414" i="1" s="1"/>
  <c r="N1414" i="1" s="1"/>
  <c r="I1779" i="1"/>
  <c r="K1779" i="1" s="1"/>
  <c r="M1779" i="1" s="1"/>
  <c r="N1779" i="1" s="1"/>
  <c r="G1779" i="1"/>
  <c r="G1683" i="1"/>
  <c r="I896" i="1"/>
  <c r="K896" i="1" s="1"/>
  <c r="M896" i="1" s="1"/>
  <c r="N896" i="1" s="1"/>
  <c r="I1572" i="1"/>
  <c r="K1572" i="1" s="1"/>
  <c r="M1572" i="1" s="1"/>
  <c r="N1572" i="1" s="1"/>
  <c r="I1158" i="1"/>
  <c r="K1158" i="1" s="1"/>
  <c r="M1158" i="1" s="1"/>
  <c r="N1158" i="1" s="1"/>
  <c r="I1789" i="1"/>
  <c r="K1789" i="1" s="1"/>
  <c r="M1789" i="1" s="1"/>
  <c r="N1789" i="1" s="1"/>
  <c r="I1735" i="1"/>
  <c r="K1735" i="1" s="1"/>
  <c r="M1735" i="1" s="1"/>
  <c r="N1735" i="1" s="1"/>
  <c r="G1735" i="1"/>
  <c r="G1695" i="1"/>
  <c r="G1789" i="1"/>
  <c r="G1669" i="1"/>
  <c r="I297" i="1"/>
  <c r="K297" i="1" s="1"/>
  <c r="M297" i="1" s="1"/>
  <c r="N297" i="1" s="1"/>
  <c r="G1154" i="1"/>
  <c r="G1587" i="1"/>
  <c r="G1501" i="1"/>
  <c r="G896" i="1"/>
  <c r="G743" i="1"/>
  <c r="G1414" i="1"/>
  <c r="G1158" i="1"/>
  <c r="G734" i="1"/>
  <c r="G853" i="1"/>
  <c r="G836" i="1"/>
  <c r="G1572" i="1"/>
  <c r="G755" i="1"/>
  <c r="I1161" i="1"/>
  <c r="K1161" i="1" s="1"/>
  <c r="M1161" i="1" s="1"/>
  <c r="N1161" i="1" s="1"/>
  <c r="G1161" i="1"/>
  <c r="I56" i="1"/>
  <c r="K56" i="1" s="1"/>
  <c r="M56" i="1" s="1"/>
  <c r="N56" i="1" s="1"/>
  <c r="I1271" i="1"/>
  <c r="K1271" i="1" s="1"/>
  <c r="M1271" i="1" s="1"/>
  <c r="N1271" i="1" s="1"/>
  <c r="G1271" i="1"/>
  <c r="I1087" i="1"/>
  <c r="K1087" i="1" s="1"/>
  <c r="M1087" i="1" s="1"/>
  <c r="N1087" i="1" s="1"/>
  <c r="I1070" i="1"/>
  <c r="K1070" i="1" s="1"/>
  <c r="M1070" i="1" s="1"/>
  <c r="N1070" i="1" s="1"/>
  <c r="I1163" i="1"/>
  <c r="K1163" i="1" s="1"/>
  <c r="M1163" i="1" s="1"/>
  <c r="N1163" i="1" s="1"/>
  <c r="G1087" i="1"/>
  <c r="G1070" i="1"/>
  <c r="G1163" i="1"/>
  <c r="I43" i="1"/>
  <c r="K43" i="1" s="1"/>
  <c r="M43" i="1" s="1"/>
  <c r="N43" i="1" s="1"/>
  <c r="I620" i="1"/>
  <c r="K620" i="1" s="1"/>
  <c r="M620" i="1" s="1"/>
  <c r="N620" i="1" s="1"/>
  <c r="I644" i="1"/>
  <c r="K644" i="1" s="1"/>
  <c r="M644" i="1" s="1"/>
  <c r="N644" i="1" s="1"/>
  <c r="I50" i="1"/>
  <c r="K50" i="1" s="1"/>
  <c r="M50" i="1" s="1"/>
  <c r="N50" i="1" s="1"/>
  <c r="I430" i="1"/>
  <c r="K430" i="1" s="1"/>
  <c r="M430" i="1" s="1"/>
  <c r="N430" i="1" s="1"/>
  <c r="I587" i="1"/>
  <c r="K587" i="1" s="1"/>
  <c r="M587" i="1" s="1"/>
  <c r="N587" i="1" s="1"/>
  <c r="I635" i="1"/>
  <c r="K635" i="1" s="1"/>
  <c r="M635" i="1" s="1"/>
  <c r="N635" i="1" s="1"/>
  <c r="I609" i="1"/>
  <c r="K609" i="1" s="1"/>
  <c r="M609" i="1" s="1"/>
  <c r="N609" i="1" s="1"/>
  <c r="I655" i="1"/>
  <c r="K655" i="1" s="1"/>
  <c r="M655" i="1" s="1"/>
  <c r="N655" i="1" s="1"/>
  <c r="I142" i="1"/>
  <c r="K142" i="1" s="1"/>
  <c r="M142" i="1" s="1"/>
  <c r="N142" i="1" s="1"/>
  <c r="I832" i="1"/>
  <c r="K832" i="1" s="1"/>
  <c r="M832" i="1" s="1"/>
  <c r="N832" i="1" s="1"/>
  <c r="I666" i="1"/>
  <c r="K666" i="1" s="1"/>
  <c r="M666" i="1" s="1"/>
  <c r="N666" i="1" s="1"/>
  <c r="I928" i="1"/>
  <c r="K928" i="1" s="1"/>
  <c r="M928" i="1" s="1"/>
  <c r="N928" i="1" s="1"/>
  <c r="I677" i="1"/>
  <c r="K677" i="1" s="1"/>
  <c r="M677" i="1" s="1"/>
  <c r="N677" i="1" s="1"/>
  <c r="I1427" i="1"/>
  <c r="K1427" i="1" s="1"/>
  <c r="M1427" i="1" s="1"/>
  <c r="N1427" i="1" s="1"/>
  <c r="I1009" i="1"/>
  <c r="K1009" i="1" s="1"/>
  <c r="M1009" i="1" s="1"/>
  <c r="N1009" i="1" s="1"/>
  <c r="I1756" i="1"/>
  <c r="K1756" i="1" s="1"/>
  <c r="M1756" i="1" s="1"/>
  <c r="N1756" i="1" s="1"/>
  <c r="I1748" i="1"/>
  <c r="K1748" i="1" s="1"/>
  <c r="M1748" i="1" s="1"/>
  <c r="N1748" i="1" s="1"/>
  <c r="I678" i="1"/>
  <c r="K678" i="1" s="1"/>
  <c r="M678" i="1" s="1"/>
  <c r="N678" i="1" s="1"/>
  <c r="I599" i="1"/>
  <c r="K599" i="1" s="1"/>
  <c r="M599" i="1" s="1"/>
  <c r="N599" i="1" s="1"/>
  <c r="I656" i="1"/>
  <c r="K656" i="1" s="1"/>
  <c r="M656" i="1" s="1"/>
  <c r="N656" i="1" s="1"/>
  <c r="I667" i="1"/>
  <c r="K667" i="1" s="1"/>
  <c r="M667" i="1" s="1"/>
  <c r="N667" i="1" s="1"/>
  <c r="I8" i="1"/>
  <c r="K8" i="1" s="1"/>
  <c r="M8" i="1" s="1"/>
  <c r="N8" i="1" s="1"/>
  <c r="I801" i="1"/>
  <c r="K801" i="1" s="1"/>
  <c r="M801" i="1" s="1"/>
  <c r="N801" i="1" s="1"/>
  <c r="G801" i="1"/>
  <c r="I11" i="1"/>
  <c r="K11" i="1" s="1"/>
  <c r="M11" i="1" s="1"/>
  <c r="N11" i="1" s="1"/>
  <c r="I405" i="1"/>
  <c r="K405" i="1" s="1"/>
  <c r="M405" i="1" s="1"/>
  <c r="N405" i="1" s="1"/>
  <c r="I13" i="1"/>
  <c r="K13" i="1" s="1"/>
  <c r="M13" i="1" s="1"/>
  <c r="N13" i="1" s="1"/>
  <c r="I414" i="1"/>
  <c r="K414" i="1" s="1"/>
  <c r="M414" i="1" s="1"/>
  <c r="N414" i="1" s="1"/>
  <c r="I381" i="1"/>
  <c r="K381" i="1" s="1"/>
  <c r="M381" i="1" s="1"/>
  <c r="N381" i="1" s="1"/>
  <c r="I347" i="1"/>
  <c r="K347" i="1" s="1"/>
  <c r="M347" i="1" s="1"/>
  <c r="N347" i="1" s="1"/>
  <c r="I779" i="1"/>
  <c r="K779" i="1" s="1"/>
  <c r="M779" i="1" s="1"/>
  <c r="N779" i="1" s="1"/>
  <c r="I15" i="1"/>
  <c r="K15" i="1" s="1"/>
  <c r="M15" i="1" s="1"/>
  <c r="N15" i="1" s="1"/>
  <c r="I1240" i="1"/>
  <c r="K1240" i="1" s="1"/>
  <c r="M1240" i="1" s="1"/>
  <c r="N1240" i="1" s="1"/>
  <c r="I348" i="1"/>
  <c r="K348" i="1" s="1"/>
  <c r="M348" i="1" s="1"/>
  <c r="N348" i="1" s="1"/>
  <c r="I17" i="1"/>
  <c r="K17" i="1" s="1"/>
  <c r="M17" i="1" s="1"/>
  <c r="N17" i="1" s="1"/>
  <c r="I415" i="1"/>
  <c r="K415" i="1" s="1"/>
  <c r="M415" i="1" s="1"/>
  <c r="N415" i="1" s="1"/>
  <c r="I382" i="1"/>
  <c r="K382" i="1" s="1"/>
  <c r="M382" i="1" s="1"/>
  <c r="N382" i="1" s="1"/>
  <c r="I1262" i="1"/>
  <c r="K1262" i="1" s="1"/>
  <c r="M1262" i="1" s="1"/>
  <c r="N1262" i="1" s="1"/>
  <c r="G1262" i="1"/>
  <c r="I756" i="1"/>
  <c r="K756" i="1" s="1"/>
  <c r="M756" i="1" s="1"/>
  <c r="N756" i="1" s="1"/>
  <c r="I563" i="1"/>
  <c r="K563" i="1" s="1"/>
  <c r="M563" i="1" s="1"/>
  <c r="N563" i="1" s="1"/>
  <c r="I958" i="1"/>
  <c r="K958" i="1" s="1"/>
  <c r="M958" i="1" s="1"/>
  <c r="N958" i="1" s="1"/>
  <c r="I531" i="1"/>
  <c r="K531" i="1" s="1"/>
  <c r="M531" i="1" s="1"/>
  <c r="N531" i="1" s="1"/>
  <c r="I1095" i="1"/>
  <c r="K1095" i="1" s="1"/>
  <c r="M1095" i="1" s="1"/>
  <c r="N1095" i="1" s="1"/>
  <c r="I543" i="1"/>
  <c r="K543" i="1" s="1"/>
  <c r="M543" i="1" s="1"/>
  <c r="N543" i="1" s="1"/>
  <c r="I1215" i="1"/>
  <c r="K1215" i="1" s="1"/>
  <c r="M1215" i="1" s="1"/>
  <c r="N1215" i="1" s="1"/>
  <c r="I473" i="1"/>
  <c r="K473" i="1" s="1"/>
  <c r="M473" i="1" s="1"/>
  <c r="N473" i="1" s="1"/>
  <c r="I1272" i="1"/>
  <c r="K1272" i="1" s="1"/>
  <c r="M1272" i="1" s="1"/>
  <c r="N1272" i="1" s="1"/>
  <c r="I552" i="1"/>
  <c r="K552" i="1" s="1"/>
  <c r="M552" i="1" s="1"/>
  <c r="N552" i="1" s="1"/>
  <c r="I1138" i="1"/>
  <c r="K1138" i="1" s="1"/>
  <c r="M1138" i="1" s="1"/>
  <c r="N1138" i="1" s="1"/>
  <c r="I1146" i="1"/>
  <c r="K1146" i="1" s="1"/>
  <c r="M1146" i="1" s="1"/>
  <c r="N1146" i="1" s="1"/>
  <c r="I1235" i="1"/>
  <c r="K1235" i="1" s="1"/>
  <c r="M1235" i="1" s="1"/>
  <c r="N1235" i="1" s="1"/>
  <c r="G1146" i="1"/>
  <c r="G1138" i="1"/>
  <c r="G1215" i="1"/>
  <c r="G1095" i="1"/>
  <c r="G1272" i="1"/>
  <c r="G958" i="1"/>
  <c r="G756" i="1"/>
  <c r="G1235" i="1"/>
  <c r="I474" i="1"/>
  <c r="K474" i="1" s="1"/>
  <c r="M474" i="1" s="1"/>
  <c r="N474" i="1" s="1"/>
  <c r="I519" i="1"/>
  <c r="K519" i="1" s="1"/>
  <c r="M519" i="1" s="1"/>
  <c r="N519" i="1" s="1"/>
  <c r="I504" i="1"/>
  <c r="K504" i="1" s="1"/>
  <c r="M504" i="1" s="1"/>
  <c r="N504" i="1" s="1"/>
  <c r="I1324" i="1"/>
  <c r="K1324" i="1" s="1"/>
  <c r="M1324" i="1" s="1"/>
  <c r="N1324" i="1" s="1"/>
  <c r="G1324" i="1"/>
  <c r="I1101" i="1"/>
  <c r="K1101" i="1" s="1"/>
  <c r="M1101" i="1" s="1"/>
  <c r="N1101" i="1" s="1"/>
  <c r="G1101" i="1"/>
  <c r="I520" i="1"/>
  <c r="K520" i="1" s="1"/>
  <c r="M520" i="1" s="1"/>
  <c r="N520" i="1" s="1"/>
  <c r="I1607" i="1"/>
  <c r="K1607" i="1" s="1"/>
  <c r="M1607" i="1" s="1"/>
  <c r="N1607" i="1" s="1"/>
  <c r="I1490" i="1"/>
  <c r="K1490" i="1" s="1"/>
  <c r="M1490" i="1" s="1"/>
  <c r="N1490" i="1" s="1"/>
  <c r="I1514" i="1"/>
  <c r="K1514" i="1" s="1"/>
  <c r="M1514" i="1" s="1"/>
  <c r="N1514" i="1" s="1"/>
  <c r="I267" i="1"/>
  <c r="K267" i="1" s="1"/>
  <c r="M267" i="1" s="1"/>
  <c r="N267" i="1" s="1"/>
  <c r="I1325" i="1"/>
  <c r="K1325" i="1" s="1"/>
  <c r="M1325" i="1" s="1"/>
  <c r="N1325" i="1" s="1"/>
  <c r="I1588" i="1"/>
  <c r="K1588" i="1" s="1"/>
  <c r="M1588" i="1" s="1"/>
  <c r="N1588" i="1" s="1"/>
  <c r="G1514" i="1"/>
  <c r="G1490" i="1"/>
  <c r="G1607" i="1"/>
  <c r="G1588" i="1"/>
  <c r="G1325" i="1"/>
  <c r="I475" i="1"/>
  <c r="K475" i="1" s="1"/>
  <c r="M475" i="1" s="1"/>
  <c r="N475" i="1" s="1"/>
  <c r="I687" i="1"/>
  <c r="K687" i="1" s="1"/>
  <c r="M687" i="1" s="1"/>
  <c r="N687" i="1" s="1"/>
  <c r="I239" i="1"/>
  <c r="K239" i="1" s="1"/>
  <c r="M239" i="1" s="1"/>
  <c r="N239" i="1" s="1"/>
  <c r="I259" i="1"/>
  <c r="K259" i="1" s="1"/>
  <c r="M259" i="1" s="1"/>
  <c r="N259" i="1" s="1"/>
  <c r="I1491" i="1"/>
  <c r="K1491" i="1" s="1"/>
  <c r="M1491" i="1" s="1"/>
  <c r="N1491" i="1" s="1"/>
  <c r="I250" i="1"/>
  <c r="K250" i="1" s="1"/>
  <c r="M250" i="1" s="1"/>
  <c r="N250" i="1" s="1"/>
  <c r="G1491" i="1"/>
  <c r="I897" i="1"/>
  <c r="K897" i="1" s="1"/>
  <c r="M897" i="1" s="1"/>
  <c r="N897" i="1" s="1"/>
  <c r="I880" i="1"/>
  <c r="K880" i="1" s="1"/>
  <c r="M880" i="1" s="1"/>
  <c r="N880" i="1" s="1"/>
  <c r="G897" i="1"/>
  <c r="G880" i="1"/>
  <c r="I1036" i="1"/>
  <c r="K1036" i="1" s="1"/>
  <c r="M1036" i="1" s="1"/>
  <c r="N1036" i="1" s="1"/>
  <c r="G1036" i="1"/>
  <c r="I1263" i="1"/>
  <c r="K1263" i="1" s="1"/>
  <c r="M1263" i="1" s="1"/>
  <c r="N1263" i="1" s="1"/>
  <c r="I1250" i="1"/>
  <c r="K1250" i="1" s="1"/>
  <c r="M1250" i="1" s="1"/>
  <c r="N1250" i="1" s="1"/>
  <c r="G1250" i="1"/>
  <c r="G1263" i="1"/>
  <c r="I1037" i="1"/>
  <c r="K1037" i="1" s="1"/>
  <c r="M1037" i="1" s="1"/>
  <c r="N1037" i="1" s="1"/>
  <c r="G1037" i="1"/>
  <c r="I532" i="1"/>
  <c r="K532" i="1" s="1"/>
  <c r="M532" i="1" s="1"/>
  <c r="N532" i="1" s="1"/>
  <c r="I505" i="1"/>
  <c r="K505" i="1" s="1"/>
  <c r="M505" i="1" s="1"/>
  <c r="N505" i="1" s="1"/>
  <c r="I1515" i="1"/>
  <c r="K1515" i="1" s="1"/>
  <c r="M1515" i="1" s="1"/>
  <c r="N1515" i="1" s="1"/>
  <c r="I1492" i="1"/>
  <c r="K1492" i="1" s="1"/>
  <c r="M1492" i="1" s="1"/>
  <c r="N1492" i="1" s="1"/>
  <c r="I1502" i="1"/>
  <c r="K1502" i="1" s="1"/>
  <c r="M1502" i="1" s="1"/>
  <c r="N1502" i="1" s="1"/>
  <c r="G1502" i="1"/>
  <c r="G1492" i="1"/>
  <c r="G1515" i="1"/>
  <c r="I75" i="1"/>
  <c r="K75" i="1" s="1"/>
  <c r="M75" i="1" s="1"/>
  <c r="N75" i="1" s="1"/>
  <c r="I268" i="1"/>
  <c r="K268" i="1" s="1"/>
  <c r="M268" i="1" s="1"/>
  <c r="N268" i="1" s="1"/>
  <c r="I276" i="1"/>
  <c r="K276" i="1" s="1"/>
  <c r="M276" i="1" s="1"/>
  <c r="N276" i="1" s="1"/>
  <c r="I308" i="1"/>
  <c r="K308" i="1" s="1"/>
  <c r="M308" i="1" s="1"/>
  <c r="N308" i="1" s="1"/>
  <c r="I564" i="1"/>
  <c r="K564" i="1" s="1"/>
  <c r="M564" i="1" s="1"/>
  <c r="N564" i="1" s="1"/>
  <c r="I780" i="1"/>
  <c r="K780" i="1" s="1"/>
  <c r="M780" i="1" s="1"/>
  <c r="N780" i="1" s="1"/>
  <c r="I868" i="1"/>
  <c r="K868" i="1" s="1"/>
  <c r="M868" i="1" s="1"/>
  <c r="N868" i="1" s="1"/>
  <c r="I64" i="1"/>
  <c r="K64" i="1" s="1"/>
  <c r="M64" i="1" s="1"/>
  <c r="N64" i="1" s="1"/>
  <c r="I57" i="1"/>
  <c r="K57" i="1" s="1"/>
  <c r="M57" i="1" s="1"/>
  <c r="N57" i="1" s="1"/>
  <c r="I298" i="1"/>
  <c r="K298" i="1" s="1"/>
  <c r="M298" i="1" s="1"/>
  <c r="N298" i="1" s="1"/>
  <c r="I438" i="1"/>
  <c r="K438" i="1" s="1"/>
  <c r="M438" i="1" s="1"/>
  <c r="N438" i="1" s="1"/>
  <c r="I219" i="1"/>
  <c r="K219" i="1" s="1"/>
  <c r="M219" i="1" s="1"/>
  <c r="N219" i="1" s="1"/>
  <c r="I775" i="1"/>
  <c r="K775" i="1" s="1"/>
  <c r="M775" i="1" s="1"/>
  <c r="N775" i="1" s="1"/>
  <c r="I1060" i="1"/>
  <c r="K1060" i="1" s="1"/>
  <c r="M1060" i="1" s="1"/>
  <c r="N1060" i="1" s="1"/>
  <c r="I521" i="1"/>
  <c r="K521" i="1" s="1"/>
  <c r="M521" i="1" s="1"/>
  <c r="N521" i="1" s="1"/>
  <c r="I600" i="1"/>
  <c r="K600" i="1" s="1"/>
  <c r="M600" i="1" s="1"/>
  <c r="N600" i="1" s="1"/>
  <c r="I998" i="1"/>
  <c r="K998" i="1" s="1"/>
  <c r="M998" i="1" s="1"/>
  <c r="N998" i="1" s="1"/>
  <c r="I205" i="1"/>
  <c r="K205" i="1" s="1"/>
  <c r="M205" i="1" s="1"/>
  <c r="N205" i="1" s="1"/>
  <c r="I329" i="1"/>
  <c r="K329" i="1" s="1"/>
  <c r="M329" i="1" s="1"/>
  <c r="N329" i="1" s="1"/>
  <c r="I886" i="1"/>
  <c r="K886" i="1" s="1"/>
  <c r="M886" i="1" s="1"/>
  <c r="N886" i="1" s="1"/>
  <c r="I1071" i="1"/>
  <c r="K1071" i="1" s="1"/>
  <c r="M1071" i="1" s="1"/>
  <c r="N1071" i="1" s="1"/>
  <c r="I861" i="1"/>
  <c r="K861" i="1" s="1"/>
  <c r="M861" i="1" s="1"/>
  <c r="N861" i="1" s="1"/>
  <c r="I533" i="1"/>
  <c r="K533" i="1" s="1"/>
  <c r="M533" i="1" s="1"/>
  <c r="N533" i="1" s="1"/>
  <c r="I1343" i="1"/>
  <c r="K1343" i="1" s="1"/>
  <c r="M1343" i="1" s="1"/>
  <c r="N1343" i="1" s="1"/>
  <c r="I1102" i="1"/>
  <c r="K1102" i="1" s="1"/>
  <c r="M1102" i="1" s="1"/>
  <c r="N1102" i="1" s="1"/>
  <c r="I1368" i="1"/>
  <c r="K1368" i="1" s="1"/>
  <c r="M1368" i="1" s="1"/>
  <c r="N1368" i="1" s="1"/>
  <c r="I1480" i="1"/>
  <c r="K1480" i="1" s="1"/>
  <c r="M1480" i="1" s="1"/>
  <c r="N1480" i="1" s="1"/>
  <c r="I1273" i="1"/>
  <c r="K1273" i="1" s="1"/>
  <c r="M1273" i="1" s="1"/>
  <c r="N1273" i="1" s="1"/>
  <c r="I1289" i="1"/>
  <c r="K1289" i="1" s="1"/>
  <c r="M1289" i="1" s="1"/>
  <c r="N1289" i="1" s="1"/>
  <c r="I1305" i="1"/>
  <c r="K1305" i="1" s="1"/>
  <c r="M1305" i="1" s="1"/>
  <c r="N1305" i="1" s="1"/>
  <c r="I261" i="1"/>
  <c r="K261" i="1" s="1"/>
  <c r="M261" i="1" s="1"/>
  <c r="N261" i="1" s="1"/>
  <c r="I973" i="1"/>
  <c r="K973" i="1" s="1"/>
  <c r="M973" i="1" s="1"/>
  <c r="N973" i="1" s="1"/>
  <c r="I1139" i="1"/>
  <c r="K1139" i="1" s="1"/>
  <c r="M1139" i="1" s="1"/>
  <c r="N1139" i="1" s="1"/>
  <c r="I1147" i="1"/>
  <c r="K1147" i="1" s="1"/>
  <c r="M1147" i="1" s="1"/>
  <c r="N1147" i="1" s="1"/>
  <c r="I1171" i="1"/>
  <c r="K1171" i="1" s="1"/>
  <c r="M1171" i="1" s="1"/>
  <c r="N1171" i="1" s="1"/>
  <c r="I1355" i="1"/>
  <c r="K1355" i="1" s="1"/>
  <c r="M1355" i="1" s="1"/>
  <c r="N1355" i="1" s="1"/>
  <c r="I1379" i="1"/>
  <c r="K1379" i="1" s="1"/>
  <c r="M1379" i="1" s="1"/>
  <c r="N1379" i="1" s="1"/>
  <c r="I1403" i="1"/>
  <c r="K1403" i="1" s="1"/>
  <c r="M1403" i="1" s="1"/>
  <c r="N1403" i="1" s="1"/>
  <c r="I845" i="1"/>
  <c r="K845" i="1" s="1"/>
  <c r="M845" i="1" s="1"/>
  <c r="N845" i="1" s="1"/>
  <c r="I1088" i="1"/>
  <c r="K1088" i="1" s="1"/>
  <c r="M1088" i="1" s="1"/>
  <c r="N1088" i="1" s="1"/>
  <c r="G1305" i="1"/>
  <c r="G1289" i="1"/>
  <c r="G1273" i="1"/>
  <c r="I1038" i="1"/>
  <c r="K1038" i="1" s="1"/>
  <c r="M1038" i="1" s="1"/>
  <c r="N1038" i="1" s="1"/>
  <c r="I1790" i="1"/>
  <c r="K1790" i="1" s="1"/>
  <c r="M1790" i="1" s="1"/>
  <c r="N1790" i="1" s="1"/>
  <c r="I985" i="1"/>
  <c r="K985" i="1" s="1"/>
  <c r="M985" i="1" s="1"/>
  <c r="N985" i="1" s="1"/>
  <c r="I1049" i="1"/>
  <c r="K1049" i="1" s="1"/>
  <c r="M1049" i="1" s="1"/>
  <c r="N1049" i="1" s="1"/>
  <c r="I1476" i="1"/>
  <c r="K1476" i="1" s="1"/>
  <c r="M1476" i="1" s="1"/>
  <c r="N1476" i="1" s="1"/>
  <c r="G1790" i="1"/>
  <c r="I1326" i="1"/>
  <c r="K1326" i="1" s="1"/>
  <c r="M1326" i="1" s="1"/>
  <c r="N1326" i="1" s="1"/>
  <c r="I1478" i="1"/>
  <c r="K1478" i="1" s="1"/>
  <c r="M1478" i="1" s="1"/>
  <c r="N1478" i="1" s="1"/>
  <c r="G1368" i="1"/>
  <c r="G1049" i="1"/>
  <c r="G985" i="1"/>
  <c r="G1480" i="1"/>
  <c r="G1088" i="1"/>
  <c r="G1071" i="1"/>
  <c r="G775" i="1"/>
  <c r="G1478" i="1"/>
  <c r="G1355" i="1"/>
  <c r="G1102" i="1"/>
  <c r="G1038" i="1"/>
  <c r="G998" i="1"/>
  <c r="G886" i="1"/>
  <c r="G1326" i="1"/>
  <c r="G973" i="1"/>
  <c r="G861" i="1"/>
  <c r="G845" i="1"/>
  <c r="G1476" i="1"/>
  <c r="G1403" i="1"/>
  <c r="G1379" i="1"/>
  <c r="G1343" i="1"/>
  <c r="G1060" i="1"/>
  <c r="G868" i="1"/>
  <c r="G780" i="1"/>
  <c r="G1171" i="1"/>
  <c r="G1147" i="1"/>
  <c r="G1139" i="1"/>
  <c r="I1231" i="1"/>
  <c r="K1231" i="1" s="1"/>
  <c r="M1231" i="1" s="1"/>
  <c r="N1231" i="1" s="1"/>
  <c r="I1209" i="1"/>
  <c r="K1209" i="1" s="1"/>
  <c r="M1209" i="1" s="1"/>
  <c r="N1209" i="1" s="1"/>
  <c r="I1221" i="1"/>
  <c r="K1221" i="1" s="1"/>
  <c r="M1221" i="1" s="1"/>
  <c r="N1221" i="1" s="1"/>
  <c r="I325" i="1"/>
  <c r="K325" i="1" s="1"/>
  <c r="M325" i="1" s="1"/>
  <c r="N325" i="1" s="1"/>
  <c r="I1629" i="1"/>
  <c r="K1629" i="1" s="1"/>
  <c r="M1629" i="1" s="1"/>
  <c r="N1629" i="1" s="1"/>
  <c r="I388" i="1"/>
  <c r="K388" i="1" s="1"/>
  <c r="M388" i="1" s="1"/>
  <c r="N388" i="1" s="1"/>
  <c r="I127" i="1"/>
  <c r="K127" i="1" s="1"/>
  <c r="M127" i="1" s="1"/>
  <c r="N127" i="1" s="1"/>
  <c r="I48" i="1"/>
  <c r="K48" i="1" s="1"/>
  <c r="M48" i="1" s="1"/>
  <c r="N48" i="1" s="1"/>
  <c r="I41" i="1"/>
  <c r="K41" i="1" s="1"/>
  <c r="M41" i="1" s="1"/>
  <c r="N41" i="1" s="1"/>
  <c r="I218" i="1"/>
  <c r="K218" i="1" s="1"/>
  <c r="M218" i="1" s="1"/>
  <c r="N218" i="1" s="1"/>
  <c r="I491" i="1"/>
  <c r="K491" i="1" s="1"/>
  <c r="M491" i="1" s="1"/>
  <c r="N491" i="1" s="1"/>
  <c r="I633" i="1"/>
  <c r="K633" i="1" s="1"/>
  <c r="M633" i="1" s="1"/>
  <c r="N633" i="1" s="1"/>
  <c r="I344" i="1"/>
  <c r="K344" i="1" s="1"/>
  <c r="M344" i="1" s="1"/>
  <c r="N344" i="1" s="1"/>
  <c r="I353" i="1"/>
  <c r="K353" i="1" s="1"/>
  <c r="M353" i="1" s="1"/>
  <c r="N353" i="1" s="1"/>
  <c r="I378" i="1"/>
  <c r="K378" i="1" s="1"/>
  <c r="M378" i="1" s="1"/>
  <c r="N378" i="1" s="1"/>
  <c r="I457" i="1"/>
  <c r="K457" i="1" s="1"/>
  <c r="M457" i="1" s="1"/>
  <c r="N457" i="1" s="1"/>
  <c r="I327" i="1"/>
  <c r="K327" i="1" s="1"/>
  <c r="M327" i="1" s="1"/>
  <c r="N327" i="1" s="1"/>
  <c r="I909" i="1"/>
  <c r="K909" i="1" s="1"/>
  <c r="M909" i="1" s="1"/>
  <c r="N909" i="1" s="1"/>
  <c r="I831" i="1"/>
  <c r="K831" i="1" s="1"/>
  <c r="M831" i="1" s="1"/>
  <c r="N831" i="1" s="1"/>
  <c r="I926" i="1"/>
  <c r="K926" i="1" s="1"/>
  <c r="M926" i="1" s="1"/>
  <c r="N926" i="1" s="1"/>
  <c r="I257" i="1"/>
  <c r="K257" i="1" s="1"/>
  <c r="M257" i="1" s="1"/>
  <c r="N257" i="1" s="1"/>
  <c r="I285" i="1"/>
  <c r="K285" i="1" s="1"/>
  <c r="M285" i="1" s="1"/>
  <c r="N285" i="1" s="1"/>
  <c r="I427" i="1"/>
  <c r="K427" i="1" s="1"/>
  <c r="M427" i="1" s="1"/>
  <c r="N427" i="1" s="1"/>
  <c r="I843" i="1"/>
  <c r="K843" i="1" s="1"/>
  <c r="M843" i="1" s="1"/>
  <c r="N843" i="1" s="1"/>
  <c r="I1584" i="1"/>
  <c r="K1584" i="1" s="1"/>
  <c r="M1584" i="1" s="1"/>
  <c r="N1584" i="1" s="1"/>
  <c r="I411" i="1"/>
  <c r="K411" i="1" s="1"/>
  <c r="M411" i="1" s="1"/>
  <c r="N411" i="1" s="1"/>
  <c r="I1085" i="1"/>
  <c r="K1085" i="1" s="1"/>
  <c r="M1085" i="1" s="1"/>
  <c r="N1085" i="1" s="1"/>
  <c r="I1034" i="1"/>
  <c r="K1034" i="1" s="1"/>
  <c r="M1034" i="1" s="1"/>
  <c r="N1034" i="1" s="1"/>
  <c r="I1259" i="1"/>
  <c r="K1259" i="1" s="1"/>
  <c r="M1259" i="1" s="1"/>
  <c r="N1259" i="1" s="1"/>
  <c r="I1603" i="1"/>
  <c r="K1603" i="1" s="1"/>
  <c r="M1603" i="1" s="1"/>
  <c r="N1603" i="1" s="1"/>
  <c r="I1643" i="1"/>
  <c r="K1643" i="1" s="1"/>
  <c r="M1643" i="1" s="1"/>
  <c r="N1643" i="1" s="1"/>
  <c r="I368" i="1"/>
  <c r="K368" i="1" s="1"/>
  <c r="M368" i="1" s="1"/>
  <c r="N368" i="1" s="1"/>
  <c r="I1078" i="1"/>
  <c r="K1078" i="1" s="1"/>
  <c r="M1078" i="1" s="1"/>
  <c r="N1078" i="1" s="1"/>
  <c r="I402" i="1"/>
  <c r="K402" i="1" s="1"/>
  <c r="M402" i="1" s="1"/>
  <c r="N402" i="1" s="1"/>
  <c r="I878" i="1"/>
  <c r="K878" i="1" s="1"/>
  <c r="M878" i="1" s="1"/>
  <c r="N878" i="1" s="1"/>
  <c r="I295" i="1"/>
  <c r="K295" i="1" s="1"/>
  <c r="M295" i="1" s="1"/>
  <c r="N295" i="1" s="1"/>
  <c r="I1777" i="1"/>
  <c r="K1777" i="1" s="1"/>
  <c r="M1777" i="1" s="1"/>
  <c r="N1777" i="1" s="1"/>
  <c r="I140" i="1"/>
  <c r="K140" i="1" s="1"/>
  <c r="M140" i="1" s="1"/>
  <c r="N140" i="1" s="1"/>
  <c r="I421" i="1"/>
  <c r="K421" i="1" s="1"/>
  <c r="M421" i="1" s="1"/>
  <c r="N421" i="1" s="1"/>
  <c r="I499" i="1"/>
  <c r="K499" i="1" s="1"/>
  <c r="M499" i="1" s="1"/>
  <c r="N499" i="1" s="1"/>
  <c r="I956" i="1"/>
  <c r="K956" i="1" s="1"/>
  <c r="M956" i="1" s="1"/>
  <c r="N956" i="1" s="1"/>
  <c r="I265" i="1"/>
  <c r="K265" i="1" s="1"/>
  <c r="M265" i="1" s="1"/>
  <c r="N265" i="1" s="1"/>
  <c r="I1496" i="1"/>
  <c r="K1496" i="1" s="1"/>
  <c r="M1496" i="1" s="1"/>
  <c r="N1496" i="1" s="1"/>
  <c r="I1585" i="1"/>
  <c r="K1585" i="1" s="1"/>
  <c r="M1585" i="1" s="1"/>
  <c r="N1585" i="1" s="1"/>
  <c r="I1323" i="1"/>
  <c r="K1323" i="1" s="1"/>
  <c r="M1323" i="1" s="1"/>
  <c r="N1323" i="1" s="1"/>
  <c r="I561" i="1"/>
  <c r="K561" i="1" s="1"/>
  <c r="M561" i="1" s="1"/>
  <c r="N561" i="1" s="1"/>
  <c r="I1604" i="1"/>
  <c r="K1604" i="1" s="1"/>
  <c r="M1604" i="1" s="1"/>
  <c r="N1604" i="1" s="1"/>
  <c r="I55" i="1"/>
  <c r="K55" i="1" s="1"/>
  <c r="M55" i="1" s="1"/>
  <c r="N55" i="1" s="1"/>
  <c r="I1269" i="1"/>
  <c r="K1269" i="1" s="1"/>
  <c r="M1269" i="1" s="1"/>
  <c r="N1269" i="1" s="1"/>
  <c r="I458" i="1"/>
  <c r="K458" i="1" s="1"/>
  <c r="M458" i="1" s="1"/>
  <c r="N458" i="1" s="1"/>
  <c r="I1260" i="1"/>
  <c r="K1260" i="1" s="1"/>
  <c r="M1260" i="1" s="1"/>
  <c r="N1260" i="1" s="1"/>
  <c r="I328" i="1"/>
  <c r="K328" i="1" s="1"/>
  <c r="M328" i="1" s="1"/>
  <c r="N328" i="1" s="1"/>
  <c r="I1644" i="1"/>
  <c r="K1644" i="1" s="1"/>
  <c r="M1644" i="1" s="1"/>
  <c r="N1644" i="1" s="1"/>
  <c r="I444" i="1"/>
  <c r="K444" i="1" s="1"/>
  <c r="M444" i="1" s="1"/>
  <c r="N444" i="1" s="1"/>
  <c r="I150" i="1"/>
  <c r="K150" i="1" s="1"/>
  <c r="M150" i="1" s="1"/>
  <c r="N150" i="1" s="1"/>
  <c r="I1093" i="1"/>
  <c r="K1093" i="1" s="1"/>
  <c r="M1093" i="1" s="1"/>
  <c r="N1093" i="1" s="1"/>
  <c r="I1314" i="1"/>
  <c r="K1314" i="1" s="1"/>
  <c r="M1314" i="1" s="1"/>
  <c r="N1314" i="1" s="1"/>
  <c r="I1322" i="1"/>
  <c r="K1322" i="1" s="1"/>
  <c r="M1322" i="1" s="1"/>
  <c r="N1322" i="1" s="1"/>
  <c r="I1109" i="1"/>
  <c r="K1109" i="1" s="1"/>
  <c r="M1109" i="1" s="1"/>
  <c r="N1109" i="1" s="1"/>
  <c r="I711" i="1"/>
  <c r="K711" i="1" s="1"/>
  <c r="M711" i="1" s="1"/>
  <c r="N711" i="1" s="1"/>
  <c r="I1210" i="1"/>
  <c r="K1210" i="1" s="1"/>
  <c r="M1210" i="1" s="1"/>
  <c r="N1210" i="1" s="1"/>
  <c r="I21" i="1"/>
  <c r="K21" i="1" s="1"/>
  <c r="M21" i="1" s="1"/>
  <c r="N21" i="1" s="1"/>
  <c r="I126" i="1"/>
  <c r="K126" i="1" s="1"/>
  <c r="M126" i="1" s="1"/>
  <c r="N126" i="1" s="1"/>
  <c r="I32" i="1"/>
  <c r="K32" i="1" s="1"/>
  <c r="M32" i="1" s="1"/>
  <c r="N32" i="1" s="1"/>
  <c r="I456" i="1"/>
  <c r="K456" i="1" s="1"/>
  <c r="M456" i="1" s="1"/>
  <c r="N456" i="1" s="1"/>
  <c r="I166" i="1"/>
  <c r="K166" i="1" s="1"/>
  <c r="M166" i="1" s="1"/>
  <c r="N166" i="1" s="1"/>
  <c r="I326" i="1"/>
  <c r="K326" i="1" s="1"/>
  <c r="M326" i="1" s="1"/>
  <c r="N326" i="1" s="1"/>
  <c r="I248" i="1"/>
  <c r="K248" i="1" s="1"/>
  <c r="M248" i="1" s="1"/>
  <c r="N248" i="1" s="1"/>
  <c r="I191" i="1"/>
  <c r="K191" i="1" s="1"/>
  <c r="M191" i="1" s="1"/>
  <c r="N191" i="1" s="1"/>
  <c r="I1401" i="1"/>
  <c r="K1401" i="1" s="1"/>
  <c r="M1401" i="1" s="1"/>
  <c r="N1401" i="1" s="1"/>
  <c r="I1642" i="1"/>
  <c r="K1642" i="1" s="1"/>
  <c r="M1642" i="1" s="1"/>
  <c r="N1642" i="1" s="1"/>
  <c r="I1706" i="1"/>
  <c r="K1706" i="1" s="1"/>
  <c r="M1706" i="1" s="1"/>
  <c r="N1706" i="1" s="1"/>
  <c r="I1630" i="1"/>
  <c r="K1630" i="1" s="1"/>
  <c r="M1630" i="1" s="1"/>
  <c r="N1630" i="1" s="1"/>
  <c r="I182" i="1"/>
  <c r="K182" i="1" s="1"/>
  <c r="M182" i="1" s="1"/>
  <c r="N182" i="1" s="1"/>
  <c r="I167" i="1"/>
  <c r="K167" i="1" s="1"/>
  <c r="M167" i="1" s="1"/>
  <c r="N167" i="1" s="1"/>
  <c r="I470" i="1"/>
  <c r="K470" i="1" s="1"/>
  <c r="M470" i="1" s="1"/>
  <c r="N470" i="1" s="1"/>
  <c r="I549" i="1"/>
  <c r="K549" i="1" s="1"/>
  <c r="M549" i="1" s="1"/>
  <c r="N549" i="1" s="1"/>
  <c r="I560" i="1"/>
  <c r="K560" i="1" s="1"/>
  <c r="M560" i="1" s="1"/>
  <c r="N560" i="1" s="1"/>
  <c r="I1110" i="1"/>
  <c r="K1110" i="1" s="1"/>
  <c r="M1110" i="1" s="1"/>
  <c r="N1110" i="1" s="1"/>
  <c r="I1232" i="1"/>
  <c r="K1232" i="1" s="1"/>
  <c r="M1232" i="1" s="1"/>
  <c r="N1232" i="1" s="1"/>
  <c r="I1094" i="1"/>
  <c r="K1094" i="1" s="1"/>
  <c r="M1094" i="1" s="1"/>
  <c r="N1094" i="1" s="1"/>
  <c r="I306" i="1"/>
  <c r="K306" i="1" s="1"/>
  <c r="M306" i="1" s="1"/>
  <c r="N306" i="1" s="1"/>
  <c r="I1211" i="1"/>
  <c r="K1211" i="1" s="1"/>
  <c r="M1211" i="1" s="1"/>
  <c r="N1211" i="1" s="1"/>
  <c r="I1707" i="1"/>
  <c r="K1707" i="1" s="1"/>
  <c r="M1707" i="1" s="1"/>
  <c r="N1707" i="1" s="1"/>
  <c r="I1058" i="1"/>
  <c r="K1058" i="1" s="1"/>
  <c r="M1058" i="1" s="1"/>
  <c r="N1058" i="1" s="1"/>
  <c r="I1099" i="1"/>
  <c r="K1099" i="1" s="1"/>
  <c r="M1099" i="1" s="1"/>
  <c r="N1099" i="1" s="1"/>
  <c r="I1222" i="1"/>
  <c r="K1222" i="1" s="1"/>
  <c r="M1222" i="1" s="1"/>
  <c r="N1222" i="1" s="1"/>
  <c r="I1046" i="1"/>
  <c r="K1046" i="1" s="1"/>
  <c r="M1046" i="1" s="1"/>
  <c r="N1046" i="1" s="1"/>
  <c r="I516" i="1"/>
  <c r="K516" i="1" s="1"/>
  <c r="M516" i="1" s="1"/>
  <c r="N516" i="1" s="1"/>
  <c r="I502" i="1"/>
  <c r="K502" i="1" s="1"/>
  <c r="M502" i="1" s="1"/>
  <c r="N502" i="1" s="1"/>
  <c r="I1586" i="1"/>
  <c r="K1586" i="1" s="1"/>
  <c r="M1586" i="1" s="1"/>
  <c r="N1586" i="1" s="1"/>
  <c r="I1605" i="1"/>
  <c r="K1605" i="1" s="1"/>
  <c r="M1605" i="1" s="1"/>
  <c r="N1605" i="1" s="1"/>
  <c r="I471" i="1"/>
  <c r="K471" i="1" s="1"/>
  <c r="M471" i="1" s="1"/>
  <c r="N471" i="1" s="1"/>
  <c r="I517" i="1"/>
  <c r="K517" i="1" s="1"/>
  <c r="M517" i="1" s="1"/>
  <c r="N517" i="1" s="1"/>
  <c r="I1389" i="1"/>
  <c r="K1389" i="1" s="1"/>
  <c r="M1389" i="1" s="1"/>
  <c r="N1389" i="1" s="1"/>
  <c r="I1212" i="1"/>
  <c r="K1212" i="1" s="1"/>
  <c r="M1212" i="1" s="1"/>
  <c r="N1212" i="1" s="1"/>
  <c r="I652" i="1"/>
  <c r="K652" i="1" s="1"/>
  <c r="M652" i="1" s="1"/>
  <c r="N652" i="1" s="1"/>
  <c r="I54" i="1"/>
  <c r="K54" i="1" s="1"/>
  <c r="M54" i="1" s="1"/>
  <c r="N54" i="1" s="1"/>
  <c r="I597" i="1"/>
  <c r="K597" i="1" s="1"/>
  <c r="M597" i="1" s="1"/>
  <c r="N597" i="1" s="1"/>
  <c r="I765" i="1"/>
  <c r="K765" i="1" s="1"/>
  <c r="M765" i="1" s="1"/>
  <c r="N765" i="1" s="1"/>
  <c r="I774" i="1"/>
  <c r="K774" i="1" s="1"/>
  <c r="M774" i="1" s="1"/>
  <c r="N774" i="1" s="1"/>
  <c r="I607" i="1"/>
  <c r="K607" i="1" s="1"/>
  <c r="M607" i="1" s="1"/>
  <c r="N607" i="1" s="1"/>
  <c r="I643" i="1"/>
  <c r="K643" i="1" s="1"/>
  <c r="M643" i="1" s="1"/>
  <c r="N643" i="1" s="1"/>
  <c r="I925" i="1"/>
  <c r="K925" i="1" s="1"/>
  <c r="M925" i="1" s="1"/>
  <c r="N925" i="1" s="1"/>
  <c r="I583" i="1"/>
  <c r="K583" i="1" s="1"/>
  <c r="M583" i="1" s="1"/>
  <c r="N583" i="1" s="1"/>
  <c r="I619" i="1"/>
  <c r="K619" i="1" s="1"/>
  <c r="M619" i="1" s="1"/>
  <c r="N619" i="1" s="1"/>
  <c r="I664" i="1"/>
  <c r="K664" i="1" s="1"/>
  <c r="M664" i="1" s="1"/>
  <c r="N664" i="1" s="1"/>
  <c r="I778" i="1"/>
  <c r="K778" i="1" s="1"/>
  <c r="M778" i="1" s="1"/>
  <c r="N778" i="1" s="1"/>
  <c r="I1007" i="1"/>
  <c r="K1007" i="1" s="1"/>
  <c r="M1007" i="1" s="1"/>
  <c r="N1007" i="1" s="1"/>
  <c r="I675" i="1"/>
  <c r="K675" i="1" s="1"/>
  <c r="M675" i="1" s="1"/>
  <c r="N675" i="1" s="1"/>
  <c r="I1303" i="1"/>
  <c r="K1303" i="1" s="1"/>
  <c r="M1303" i="1" s="1"/>
  <c r="N1303" i="1" s="1"/>
  <c r="I1439" i="1"/>
  <c r="K1439" i="1" s="1"/>
  <c r="M1439" i="1" s="1"/>
  <c r="N1439" i="1" s="1"/>
  <c r="I1495" i="1"/>
  <c r="K1495" i="1" s="1"/>
  <c r="M1495" i="1" s="1"/>
  <c r="N1495" i="1" s="1"/>
  <c r="I1583" i="1"/>
  <c r="K1583" i="1" s="1"/>
  <c r="M1583" i="1" s="1"/>
  <c r="N1583" i="1" s="1"/>
  <c r="I632" i="1"/>
  <c r="K632" i="1" s="1"/>
  <c r="M632" i="1" s="1"/>
  <c r="N632" i="1" s="1"/>
  <c r="I1424" i="1"/>
  <c r="K1424" i="1" s="1"/>
  <c r="M1424" i="1" s="1"/>
  <c r="N1424" i="1" s="1"/>
  <c r="I949" i="1"/>
  <c r="K949" i="1" s="1"/>
  <c r="M949" i="1" s="1"/>
  <c r="N949" i="1" s="1"/>
  <c r="I1570" i="1"/>
  <c r="K1570" i="1" s="1"/>
  <c r="M1570" i="1" s="1"/>
  <c r="N1570" i="1" s="1"/>
  <c r="I1602" i="1"/>
  <c r="K1602" i="1" s="1"/>
  <c r="M1602" i="1" s="1"/>
  <c r="N1602" i="1" s="1"/>
  <c r="I1746" i="1"/>
  <c r="K1746" i="1" s="1"/>
  <c r="M1746" i="1" s="1"/>
  <c r="N1746" i="1" s="1"/>
  <c r="I1754" i="1"/>
  <c r="K1754" i="1" s="1"/>
  <c r="M1754" i="1" s="1"/>
  <c r="N1754" i="1" s="1"/>
  <c r="I915" i="1"/>
  <c r="K915" i="1" s="1"/>
  <c r="M915" i="1" s="1"/>
  <c r="N915" i="1" s="1"/>
  <c r="I1045" i="1"/>
  <c r="K1045" i="1" s="1"/>
  <c r="M1045" i="1" s="1"/>
  <c r="N1045" i="1" s="1"/>
  <c r="I1467" i="1"/>
  <c r="K1467" i="1" s="1"/>
  <c r="M1467" i="1" s="1"/>
  <c r="N1467" i="1" s="1"/>
  <c r="I1533" i="1"/>
  <c r="K1533" i="1" s="1"/>
  <c r="M1533" i="1" s="1"/>
  <c r="N1533" i="1" s="1"/>
  <c r="I1268" i="1"/>
  <c r="K1268" i="1" s="1"/>
  <c r="M1268" i="1" s="1"/>
  <c r="N1268" i="1" s="1"/>
  <c r="I1734" i="1"/>
  <c r="K1734" i="1" s="1"/>
  <c r="M1734" i="1" s="1"/>
  <c r="N1734" i="1" s="1"/>
  <c r="I1500" i="1"/>
  <c r="K1500" i="1" s="1"/>
  <c r="M1500" i="1" s="1"/>
  <c r="N1500" i="1" s="1"/>
  <c r="I685" i="1"/>
  <c r="K685" i="1" s="1"/>
  <c r="M685" i="1" s="1"/>
  <c r="N685" i="1" s="1"/>
  <c r="I1057" i="1"/>
  <c r="K1057" i="1" s="1"/>
  <c r="M1057" i="1" s="1"/>
  <c r="N1057" i="1" s="1"/>
  <c r="I476" i="1"/>
  <c r="K476" i="1" s="1"/>
  <c r="M476" i="1" s="1"/>
  <c r="N476" i="1" s="1"/>
  <c r="I146" i="1"/>
  <c r="K146" i="1" s="1"/>
  <c r="M146" i="1" s="1"/>
  <c r="N146" i="1" s="1"/>
  <c r="I155" i="1"/>
  <c r="K155" i="1" s="1"/>
  <c r="M155" i="1" s="1"/>
  <c r="N155" i="1" s="1"/>
  <c r="I334" i="1"/>
  <c r="K334" i="1" s="1"/>
  <c r="M334" i="1" s="1"/>
  <c r="N334" i="1" s="1"/>
  <c r="I509" i="1"/>
  <c r="K509" i="1" s="1"/>
  <c r="M509" i="1" s="1"/>
  <c r="N509" i="1" s="1"/>
  <c r="I544" i="1"/>
  <c r="K544" i="1" s="1"/>
  <c r="M544" i="1" s="1"/>
  <c r="N544" i="1" s="1"/>
  <c r="I553" i="1"/>
  <c r="K553" i="1" s="1"/>
  <c r="M553" i="1" s="1"/>
  <c r="N553" i="1" s="1"/>
  <c r="I757" i="1"/>
  <c r="K757" i="1" s="1"/>
  <c r="M757" i="1" s="1"/>
  <c r="N757" i="1" s="1"/>
  <c r="I766" i="1"/>
  <c r="K766" i="1" s="1"/>
  <c r="M766" i="1" s="1"/>
  <c r="N766" i="1" s="1"/>
  <c r="I988" i="1"/>
  <c r="K988" i="1" s="1"/>
  <c r="M988" i="1" s="1"/>
  <c r="N988" i="1" s="1"/>
  <c r="I1052" i="1"/>
  <c r="K1052" i="1" s="1"/>
  <c r="M1052" i="1" s="1"/>
  <c r="N1052" i="1" s="1"/>
  <c r="I493" i="1"/>
  <c r="K493" i="1" s="1"/>
  <c r="M493" i="1" s="1"/>
  <c r="N493" i="1" s="1"/>
  <c r="I538" i="1"/>
  <c r="K538" i="1" s="1"/>
  <c r="M538" i="1" s="1"/>
  <c r="N538" i="1" s="1"/>
  <c r="I847" i="1"/>
  <c r="K847" i="1" s="1"/>
  <c r="M847" i="1" s="1"/>
  <c r="N847" i="1" s="1"/>
  <c r="I131" i="1"/>
  <c r="K131" i="1" s="1"/>
  <c r="M131" i="1" s="1"/>
  <c r="N131" i="1" s="1"/>
  <c r="I312" i="1"/>
  <c r="K312" i="1" s="1"/>
  <c r="M312" i="1" s="1"/>
  <c r="N312" i="1" s="1"/>
  <c r="I1103" i="1"/>
  <c r="K1103" i="1" s="1"/>
  <c r="M1103" i="1" s="1"/>
  <c r="N1103" i="1" s="1"/>
  <c r="I1111" i="1"/>
  <c r="K1111" i="1" s="1"/>
  <c r="M1111" i="1" s="1"/>
  <c r="N1111" i="1" s="1"/>
  <c r="I171" i="1"/>
  <c r="K171" i="1" s="1"/>
  <c r="M171" i="1" s="1"/>
  <c r="N171" i="1" s="1"/>
  <c r="I269" i="1"/>
  <c r="K269" i="1" s="1"/>
  <c r="M269" i="1" s="1"/>
  <c r="N269" i="1" s="1"/>
  <c r="I1455" i="1"/>
  <c r="K1455" i="1" s="1"/>
  <c r="M1455" i="1" s="1"/>
  <c r="N1455" i="1" s="1"/>
  <c r="I1062" i="1"/>
  <c r="K1062" i="1" s="1"/>
  <c r="M1062" i="1" s="1"/>
  <c r="N1062" i="1" s="1"/>
  <c r="I1504" i="1"/>
  <c r="K1504" i="1" s="1"/>
  <c r="M1504" i="1" s="1"/>
  <c r="N1504" i="1" s="1"/>
  <c r="I1441" i="1"/>
  <c r="K1441" i="1" s="1"/>
  <c r="M1441" i="1" s="1"/>
  <c r="N1441" i="1" s="1"/>
  <c r="I1593" i="1"/>
  <c r="K1593" i="1" s="1"/>
  <c r="M1593" i="1" s="1"/>
  <c r="N1593" i="1" s="1"/>
  <c r="I482" i="1"/>
  <c r="K482" i="1" s="1"/>
  <c r="M482" i="1" s="1"/>
  <c r="N482" i="1" s="1"/>
  <c r="I930" i="1"/>
  <c r="K930" i="1" s="1"/>
  <c r="M930" i="1" s="1"/>
  <c r="N930" i="1" s="1"/>
  <c r="I1096" i="1"/>
  <c r="K1096" i="1" s="1"/>
  <c r="M1096" i="1" s="1"/>
  <c r="N1096" i="1" s="1"/>
  <c r="I1218" i="1"/>
  <c r="K1218" i="1" s="1"/>
  <c r="M1218" i="1" s="1"/>
  <c r="N1218" i="1" s="1"/>
  <c r="I1227" i="1"/>
  <c r="K1227" i="1" s="1"/>
  <c r="M1227" i="1" s="1"/>
  <c r="N1227" i="1" s="1"/>
  <c r="I1395" i="1"/>
  <c r="K1395" i="1" s="1"/>
  <c r="M1395" i="1" s="1"/>
  <c r="N1395" i="1" s="1"/>
  <c r="I1237" i="1"/>
  <c r="K1237" i="1" s="1"/>
  <c r="M1237" i="1" s="1"/>
  <c r="N1237" i="1" s="1"/>
  <c r="I1309" i="1"/>
  <c r="K1309" i="1" s="1"/>
  <c r="M1309" i="1" s="1"/>
  <c r="N1309" i="1" s="1"/>
  <c r="I1565" i="1"/>
  <c r="K1565" i="1" s="1"/>
  <c r="M1565" i="1" s="1"/>
  <c r="N1565" i="1" s="1"/>
  <c r="I1613" i="1"/>
  <c r="K1613" i="1" s="1"/>
  <c r="M1613" i="1" s="1"/>
  <c r="N1613" i="1" s="1"/>
  <c r="I1780" i="1"/>
  <c r="K1780" i="1" s="1"/>
  <c r="M1780" i="1" s="1"/>
  <c r="N1780" i="1" s="1"/>
  <c r="G1593" i="1"/>
  <c r="G1441" i="1"/>
  <c r="I1406" i="1"/>
  <c r="K1406" i="1" s="1"/>
  <c r="M1406" i="1" s="1"/>
  <c r="N1406" i="1" s="1"/>
  <c r="I1198" i="1"/>
  <c r="K1198" i="1" s="1"/>
  <c r="M1198" i="1" s="1"/>
  <c r="N1198" i="1" s="1"/>
  <c r="G1780" i="1"/>
  <c r="G1455" i="1"/>
  <c r="G1218" i="1"/>
  <c r="G930" i="1"/>
  <c r="G1096" i="1"/>
  <c r="G1613" i="1"/>
  <c r="G1406" i="1"/>
  <c r="G1111" i="1"/>
  <c r="G1103" i="1"/>
  <c r="G847" i="1"/>
  <c r="G1309" i="1"/>
  <c r="G1198" i="1"/>
  <c r="G1062" i="1"/>
  <c r="G766" i="1"/>
  <c r="G1565" i="1"/>
  <c r="G1237" i="1"/>
  <c r="G757" i="1"/>
  <c r="G1395" i="1"/>
  <c r="G1052" i="1"/>
  <c r="G988" i="1"/>
  <c r="G1504" i="1"/>
  <c r="G1227" i="1"/>
  <c r="I58" i="1"/>
  <c r="I1275" i="1"/>
  <c r="K1275" i="1" s="1"/>
  <c r="M1275" i="1" s="1"/>
  <c r="N1275" i="1" s="1"/>
  <c r="G1275" i="1"/>
  <c r="I170" i="1"/>
  <c r="I1216" i="1"/>
  <c r="K1216" i="1" s="1"/>
  <c r="M1216" i="1" s="1"/>
  <c r="N1216" i="1" s="1"/>
  <c r="I1251" i="1"/>
  <c r="K1251" i="1" s="1"/>
  <c r="M1251" i="1" s="1"/>
  <c r="N1251" i="1" s="1"/>
  <c r="G1216" i="1"/>
  <c r="G1251" i="1"/>
  <c r="I905" i="1"/>
  <c r="K905" i="1" s="1"/>
  <c r="M905" i="1" s="1"/>
  <c r="N905" i="1" s="1"/>
  <c r="G905" i="1"/>
  <c r="J441" i="1" l="1"/>
  <c r="K441" i="1"/>
  <c r="M441" i="1" s="1"/>
  <c r="N441" i="1" s="1"/>
  <c r="J336" i="1"/>
  <c r="K336" i="1"/>
  <c r="M336" i="1" s="1"/>
  <c r="N336" i="1" s="1"/>
  <c r="J460" i="1"/>
  <c r="K460" i="1"/>
  <c r="M460" i="1" s="1"/>
  <c r="N460" i="1" s="1"/>
  <c r="J401" i="1"/>
  <c r="K401" i="1"/>
  <c r="M401" i="1" s="1"/>
  <c r="N401" i="1" s="1"/>
  <c r="J190" i="1"/>
  <c r="K190" i="1"/>
  <c r="M190" i="1" s="1"/>
  <c r="N190" i="1" s="1"/>
  <c r="J138" i="1"/>
  <c r="K138" i="1"/>
  <c r="M138" i="1" s="1"/>
  <c r="N138" i="1" s="1"/>
  <c r="J52" i="1"/>
  <c r="K52" i="1"/>
  <c r="M52" i="1" s="1"/>
  <c r="N52" i="1" s="1"/>
  <c r="J270" i="1"/>
  <c r="K270" i="1"/>
  <c r="M270" i="1" s="1"/>
  <c r="N270" i="1" s="1"/>
  <c r="J710" i="1"/>
  <c r="K710" i="1"/>
  <c r="M710" i="1" s="1"/>
  <c r="N710" i="1" s="1"/>
  <c r="J170" i="1"/>
  <c r="K170" i="1"/>
  <c r="M170" i="1" s="1"/>
  <c r="N170" i="1" s="1"/>
  <c r="J440" i="1"/>
  <c r="K440" i="1"/>
  <c r="M440" i="1" s="1"/>
  <c r="N440" i="1" s="1"/>
  <c r="J479" i="1"/>
  <c r="K479" i="1"/>
  <c r="M479" i="1" s="1"/>
  <c r="N479" i="1" s="1"/>
  <c r="J2" i="1"/>
  <c r="K2" i="1"/>
  <c r="M2" i="1" s="1"/>
  <c r="N2" i="1" s="1"/>
  <c r="J53" i="1"/>
  <c r="K53" i="1"/>
  <c r="M53" i="1" s="1"/>
  <c r="N53" i="1" s="1"/>
  <c r="J478" i="1"/>
  <c r="K478" i="1"/>
  <c r="M478" i="1" s="1"/>
  <c r="N478" i="1" s="1"/>
  <c r="J165" i="1"/>
  <c r="K165" i="1"/>
  <c r="M165" i="1" s="1"/>
  <c r="N165" i="1" s="1"/>
  <c r="J468" i="1"/>
  <c r="K468" i="1"/>
  <c r="M468" i="1" s="1"/>
  <c r="N468" i="1" s="1"/>
  <c r="J461" i="1"/>
  <c r="K461" i="1"/>
  <c r="M461" i="1" s="1"/>
  <c r="N461" i="1" s="1"/>
  <c r="J1400" i="1"/>
  <c r="K1400" i="1"/>
  <c r="M1400" i="1" s="1"/>
  <c r="N1400" i="1" s="1"/>
  <c r="J58" i="1"/>
  <c r="K58" i="1"/>
  <c r="M58" i="1" s="1"/>
  <c r="N58" i="1" s="1"/>
  <c r="J25" i="1"/>
  <c r="K25" i="1"/>
  <c r="M25" i="1" s="1"/>
  <c r="N25" i="1" s="1"/>
  <c r="J280" i="1"/>
  <c r="K280" i="1"/>
  <c r="M280" i="1" s="1"/>
  <c r="N280" i="1" s="1"/>
  <c r="J56" i="1"/>
  <c r="J474" i="1"/>
  <c r="J8" i="1"/>
  <c r="J352" i="1"/>
  <c r="J311" i="1"/>
  <c r="J524" i="1"/>
  <c r="J250" i="1"/>
  <c r="J184" i="1"/>
  <c r="J156" i="1"/>
  <c r="J525" i="1"/>
  <c r="J1052" i="1"/>
  <c r="J1533" i="1"/>
  <c r="J949" i="1"/>
  <c r="J1007" i="1"/>
  <c r="J774" i="1"/>
  <c r="J471" i="1"/>
  <c r="J1058" i="1"/>
  <c r="J549" i="1"/>
  <c r="J191" i="1"/>
  <c r="J1210" i="1"/>
  <c r="J1644" i="1"/>
  <c r="J1323" i="1"/>
  <c r="J1777" i="1"/>
  <c r="J1259" i="1"/>
  <c r="J257" i="1"/>
  <c r="J344" i="1"/>
  <c r="J1629" i="1"/>
  <c r="J1607" i="1"/>
  <c r="J382" i="1"/>
  <c r="J381" i="1"/>
  <c r="J677" i="1"/>
  <c r="J587" i="1"/>
  <c r="J1468" i="1"/>
  <c r="J1606" i="1"/>
  <c r="J1195" i="1"/>
  <c r="J789" i="1"/>
  <c r="J585" i="1"/>
  <c r="J966" i="1"/>
  <c r="J193" i="1"/>
  <c r="J812" i="1"/>
  <c r="J1104" i="1"/>
  <c r="J200" i="1"/>
  <c r="J1156" i="1"/>
  <c r="J1351" i="1"/>
  <c r="J745" i="1"/>
  <c r="J1245" i="1"/>
  <c r="J1537" i="1"/>
  <c r="J1564" i="1"/>
  <c r="J290" i="1"/>
  <c r="J1370" i="1"/>
  <c r="J1650" i="1"/>
  <c r="J1719" i="1"/>
  <c r="J1028" i="1"/>
  <c r="J68" i="1"/>
  <c r="J639" i="1"/>
  <c r="J19" i="1"/>
  <c r="J593" i="1"/>
  <c r="J660" i="1"/>
  <c r="J1739" i="1"/>
  <c r="J95" i="1"/>
  <c r="J540" i="1"/>
  <c r="J224" i="1"/>
  <c r="J1538" i="1"/>
  <c r="J243" i="1"/>
  <c r="J153" i="1"/>
  <c r="J594" i="1"/>
  <c r="J637" i="1"/>
  <c r="J1467" i="1"/>
  <c r="J1424" i="1"/>
  <c r="J778" i="1"/>
  <c r="J765" i="1"/>
  <c r="J1605" i="1"/>
  <c r="J1707" i="1"/>
  <c r="J470" i="1"/>
  <c r="J248" i="1"/>
  <c r="J711" i="1"/>
  <c r="J328" i="1"/>
  <c r="J1585" i="1"/>
  <c r="J295" i="1"/>
  <c r="J1034" i="1"/>
  <c r="J926" i="1"/>
  <c r="J633" i="1"/>
  <c r="J325" i="1"/>
  <c r="J1235" i="1"/>
  <c r="J415" i="1"/>
  <c r="J414" i="1"/>
  <c r="J928" i="1"/>
  <c r="J430" i="1"/>
  <c r="J755" i="1"/>
  <c r="J1214" i="1"/>
  <c r="J1548" i="1"/>
  <c r="J1658" i="1"/>
  <c r="J1560" i="1"/>
  <c r="J551" i="1"/>
  <c r="J742" i="1"/>
  <c r="J42" i="1"/>
  <c r="J404" i="1"/>
  <c r="J741" i="1"/>
  <c r="J1693" i="1"/>
  <c r="J945" i="1"/>
  <c r="J1176" i="1"/>
  <c r="J814" i="1"/>
  <c r="J1701" i="1"/>
  <c r="J707" i="1"/>
  <c r="J1685" i="1"/>
  <c r="J1727" i="1"/>
  <c r="J1567" i="1"/>
  <c r="J1318" i="1"/>
  <c r="J123" i="1"/>
  <c r="J271" i="1"/>
  <c r="J693" i="1"/>
  <c r="J208" i="1"/>
  <c r="J625" i="1"/>
  <c r="J1749" i="1"/>
  <c r="J682" i="1"/>
  <c r="J1013" i="1"/>
  <c r="J1550" i="1"/>
  <c r="J485" i="1"/>
  <c r="J302" i="1"/>
  <c r="J507" i="1"/>
  <c r="J222" i="1"/>
  <c r="J115" i="1"/>
  <c r="J622" i="1"/>
  <c r="J1045" i="1"/>
  <c r="J632" i="1"/>
  <c r="J664" i="1"/>
  <c r="J597" i="1"/>
  <c r="J1586" i="1"/>
  <c r="J1211" i="1"/>
  <c r="J167" i="1"/>
  <c r="J326" i="1"/>
  <c r="J1109" i="1"/>
  <c r="J1260" i="1"/>
  <c r="J1496" i="1"/>
  <c r="J878" i="1"/>
  <c r="J1085" i="1"/>
  <c r="J831" i="1"/>
  <c r="J491" i="1"/>
  <c r="J1221" i="1"/>
  <c r="J17" i="1"/>
  <c r="J13" i="1"/>
  <c r="J666" i="1"/>
  <c r="J50" i="1"/>
  <c r="J1768" i="1"/>
  <c r="J957" i="1"/>
  <c r="J1618" i="1"/>
  <c r="J1440" i="1"/>
  <c r="J472" i="1"/>
  <c r="J733" i="1"/>
  <c r="J121" i="1"/>
  <c r="J92" i="1"/>
  <c r="J859" i="1"/>
  <c r="J1177" i="1"/>
  <c r="J793" i="1"/>
  <c r="J1686" i="1"/>
  <c r="J1375" i="1"/>
  <c r="J1116" i="1"/>
  <c r="J1622" i="1"/>
  <c r="J1671" i="1"/>
  <c r="J1718" i="1"/>
  <c r="J1384" i="1"/>
  <c r="J116" i="1"/>
  <c r="J27" i="1"/>
  <c r="J129" i="1"/>
  <c r="J648" i="1"/>
  <c r="J14" i="1"/>
  <c r="J1782" i="1"/>
  <c r="J1761" i="1"/>
  <c r="J10" i="1"/>
  <c r="J647" i="1"/>
  <c r="J960" i="1"/>
  <c r="J729" i="1"/>
  <c r="J959" i="1"/>
  <c r="J338" i="1"/>
  <c r="J210" i="1"/>
  <c r="J22" i="1"/>
  <c r="J34" i="1"/>
  <c r="J575" i="1"/>
  <c r="J29" i="1"/>
  <c r="J1237" i="1"/>
  <c r="J1057" i="1"/>
  <c r="J915" i="1"/>
  <c r="J1583" i="1"/>
  <c r="J619" i="1"/>
  <c r="J54" i="1"/>
  <c r="J502" i="1"/>
  <c r="J306" i="1"/>
  <c r="J182" i="1"/>
  <c r="J166" i="1"/>
  <c r="J1322" i="1"/>
  <c r="J458" i="1"/>
  <c r="J265" i="1"/>
  <c r="J402" i="1"/>
  <c r="J411" i="1"/>
  <c r="J909" i="1"/>
  <c r="J218" i="1"/>
  <c r="J1209" i="1"/>
  <c r="J1343" i="1"/>
  <c r="J1088" i="1"/>
  <c r="J958" i="1"/>
  <c r="J348" i="1"/>
  <c r="J405" i="1"/>
  <c r="J832" i="1"/>
  <c r="J644" i="1"/>
  <c r="J836" i="1"/>
  <c r="J1166" i="1"/>
  <c r="J1413" i="1"/>
  <c r="J1426" i="1"/>
  <c r="J1224" i="1"/>
  <c r="J287" i="1"/>
  <c r="J749" i="1"/>
  <c r="J113" i="1"/>
  <c r="J884" i="1"/>
  <c r="J914" i="1"/>
  <c r="J1541" i="1"/>
  <c r="J1577" i="1"/>
  <c r="J1678" i="1"/>
  <c r="J1129" i="1"/>
  <c r="J1635" i="1"/>
  <c r="J1698" i="1"/>
  <c r="J1723" i="1"/>
  <c r="J1722" i="1"/>
  <c r="J1376" i="1"/>
  <c r="J784" i="1"/>
  <c r="J535" i="1"/>
  <c r="J702" i="1"/>
  <c r="J70" i="1"/>
  <c r="J198" i="1"/>
  <c r="J465" i="1"/>
  <c r="J18" i="1"/>
  <c r="J1771" i="1"/>
  <c r="J1770" i="1"/>
  <c r="J670" i="1"/>
  <c r="J1728" i="1"/>
  <c r="J967" i="1"/>
  <c r="J431" i="1"/>
  <c r="J255" i="1"/>
  <c r="J506" i="1"/>
  <c r="J199" i="1"/>
  <c r="J195" i="1"/>
  <c r="J36" i="1"/>
  <c r="J1406" i="1"/>
  <c r="J685" i="1"/>
  <c r="J1754" i="1"/>
  <c r="J1495" i="1"/>
  <c r="J583" i="1"/>
  <c r="J652" i="1"/>
  <c r="J516" i="1"/>
  <c r="J1094" i="1"/>
  <c r="J1630" i="1"/>
  <c r="J456" i="1"/>
  <c r="J1314" i="1"/>
  <c r="J1269" i="1"/>
  <c r="J956" i="1"/>
  <c r="J1078" i="1"/>
  <c r="J1584" i="1"/>
  <c r="J327" i="1"/>
  <c r="J41" i="1"/>
  <c r="J1231" i="1"/>
  <c r="J1240" i="1"/>
  <c r="J11" i="1"/>
  <c r="J1748" i="1"/>
  <c r="J142" i="1"/>
  <c r="J620" i="1"/>
  <c r="J1747" i="1"/>
  <c r="J1261" i="1"/>
  <c r="J1234" i="1"/>
  <c r="J1391" i="1"/>
  <c r="J927" i="1"/>
  <c r="J654" i="1"/>
  <c r="J49" i="1"/>
  <c r="J1188" i="1"/>
  <c r="J1578" i="1"/>
  <c r="J1674" i="1"/>
  <c r="J690" i="1"/>
  <c r="J1710" i="1"/>
  <c r="J1252" i="1"/>
  <c r="J1015" i="1"/>
  <c r="J1410" i="1"/>
  <c r="J689" i="1"/>
  <c r="J187" i="1"/>
  <c r="J1623" i="1"/>
  <c r="J363" i="1"/>
  <c r="J314" i="1"/>
  <c r="J1181" i="1"/>
  <c r="J1202" i="1"/>
  <c r="J1029" i="1"/>
  <c r="J932" i="1"/>
  <c r="J671" i="1"/>
  <c r="J728" i="1"/>
  <c r="J1459" i="1"/>
  <c r="J511" i="1"/>
  <c r="J448" i="1"/>
  <c r="J35" i="1"/>
  <c r="J67" i="1"/>
  <c r="J194" i="1"/>
  <c r="J1500" i="1"/>
  <c r="J1746" i="1"/>
  <c r="J1439" i="1"/>
  <c r="J925" i="1"/>
  <c r="J1212" i="1"/>
  <c r="J1046" i="1"/>
  <c r="J1232" i="1"/>
  <c r="J1706" i="1"/>
  <c r="J32" i="1"/>
  <c r="J1093" i="1"/>
  <c r="J55" i="1"/>
  <c r="J499" i="1"/>
  <c r="J368" i="1"/>
  <c r="J843" i="1"/>
  <c r="J457" i="1"/>
  <c r="J48" i="1"/>
  <c r="J1403" i="1"/>
  <c r="J15" i="1"/>
  <c r="J1756" i="1"/>
  <c r="J655" i="1"/>
  <c r="J43" i="1"/>
  <c r="J1778" i="1"/>
  <c r="J1574" i="1"/>
  <c r="J1026" i="1"/>
  <c r="J1186" i="1"/>
  <c r="J1175" i="1"/>
  <c r="J895" i="1"/>
  <c r="J940" i="1"/>
  <c r="J102" i="1"/>
  <c r="J497" i="1"/>
  <c r="J1637" i="1"/>
  <c r="J1180" i="1"/>
  <c r="J1024" i="1"/>
  <c r="J1553" i="1"/>
  <c r="J1196" i="1"/>
  <c r="J1123" i="1"/>
  <c r="J1122" i="1"/>
  <c r="J1333" i="1"/>
  <c r="J1675" i="1"/>
  <c r="J870" i="1"/>
  <c r="J1621" i="1"/>
  <c r="J1717" i="1"/>
  <c r="J1030" i="1"/>
  <c r="J1697" i="1"/>
  <c r="J396" i="1"/>
  <c r="J174" i="1"/>
  <c r="J241" i="1"/>
  <c r="J397" i="1"/>
  <c r="J60" i="1"/>
  <c r="J498" i="1"/>
  <c r="J1481" i="1"/>
  <c r="J1203" i="1"/>
  <c r="J1783" i="1"/>
  <c r="J1793" i="1"/>
  <c r="J12" i="1"/>
  <c r="J736" i="1"/>
  <c r="J759" i="1"/>
  <c r="J539" i="1"/>
  <c r="J484" i="1"/>
  <c r="J23" i="1"/>
  <c r="J572" i="1"/>
  <c r="J646" i="1"/>
  <c r="J1734" i="1"/>
  <c r="J1602" i="1"/>
  <c r="J1303" i="1"/>
  <c r="J643" i="1"/>
  <c r="J1389" i="1"/>
  <c r="J1222" i="1"/>
  <c r="J1110" i="1"/>
  <c r="J1642" i="1"/>
  <c r="J126" i="1"/>
  <c r="J150" i="1"/>
  <c r="J1604" i="1"/>
  <c r="J421" i="1"/>
  <c r="J1643" i="1"/>
  <c r="J427" i="1"/>
  <c r="J378" i="1"/>
  <c r="J127" i="1"/>
  <c r="J779" i="1"/>
  <c r="J1009" i="1"/>
  <c r="J609" i="1"/>
  <c r="J1534" i="1"/>
  <c r="J1755" i="1"/>
  <c r="J1017" i="1"/>
  <c r="J754" i="1"/>
  <c r="J429" i="1"/>
  <c r="J824" i="1"/>
  <c r="J422" i="1"/>
  <c r="J860" i="1"/>
  <c r="J157" i="1"/>
  <c r="J1738" i="1"/>
  <c r="J1201" i="1"/>
  <c r="J1247" i="1"/>
  <c r="J1159" i="1"/>
  <c r="J1469" i="1"/>
  <c r="J1189" i="1"/>
  <c r="J1724" i="1"/>
  <c r="J827" i="1"/>
  <c r="J1291" i="1"/>
  <c r="J1039" i="1"/>
  <c r="J1721" i="1"/>
  <c r="J1709" i="1"/>
  <c r="J795" i="1"/>
  <c r="J1349" i="1"/>
  <c r="J1338" i="1"/>
  <c r="J969" i="1"/>
  <c r="J1276" i="1"/>
  <c r="J680" i="1"/>
  <c r="J221" i="1"/>
  <c r="J252" i="1"/>
  <c r="J526" i="1"/>
  <c r="J1193" i="1"/>
  <c r="J1219" i="1"/>
  <c r="J291" i="1"/>
  <c r="J71" i="1"/>
  <c r="J856" i="1"/>
  <c r="J1020" i="1"/>
  <c r="J209" i="1"/>
  <c r="J1382" i="1"/>
  <c r="J335" i="1"/>
  <c r="J1040" i="1"/>
  <c r="J449" i="1"/>
  <c r="J623" i="1"/>
  <c r="J1268" i="1"/>
  <c r="J1570" i="1"/>
  <c r="J675" i="1"/>
  <c r="J607" i="1"/>
  <c r="J517" i="1"/>
  <c r="J1099" i="1"/>
  <c r="J560" i="1"/>
  <c r="J1401" i="1"/>
  <c r="J21" i="1"/>
  <c r="J444" i="1"/>
  <c r="J561" i="1"/>
  <c r="J140" i="1"/>
  <c r="J1603" i="1"/>
  <c r="J285" i="1"/>
  <c r="J353" i="1"/>
  <c r="J388" i="1"/>
  <c r="J1355" i="1"/>
  <c r="J347" i="1"/>
  <c r="J1427" i="1"/>
  <c r="J635" i="1"/>
  <c r="J1646" i="1"/>
  <c r="J1454" i="1"/>
  <c r="J1571" i="1"/>
  <c r="J800" i="1"/>
  <c r="J879" i="1"/>
  <c r="J169" i="1"/>
  <c r="J370" i="1"/>
  <c r="J852" i="1"/>
  <c r="J1113" i="1"/>
  <c r="J133" i="1"/>
  <c r="J740" i="1"/>
  <c r="J936" i="1"/>
  <c r="J1540" i="1"/>
  <c r="J1197" i="1"/>
  <c r="J1720" i="1"/>
  <c r="J1264" i="1"/>
  <c r="J1360" i="1"/>
  <c r="J1358" i="1"/>
  <c r="J1315" i="1"/>
  <c r="J1372" i="1"/>
  <c r="J1725" i="1"/>
  <c r="J1363" i="1"/>
  <c r="J917" i="1"/>
  <c r="J993" i="1"/>
  <c r="J938" i="1"/>
  <c r="J1736" i="1"/>
  <c r="J758" i="1"/>
  <c r="J1539" i="1"/>
  <c r="J79" i="1"/>
  <c r="J117" i="1"/>
  <c r="J130" i="1"/>
  <c r="J134" i="1"/>
  <c r="J933" i="1"/>
  <c r="J943" i="1"/>
  <c r="J372" i="1"/>
  <c r="J942" i="1"/>
  <c r="J944" i="1"/>
  <c r="J512" i="1"/>
  <c r="J545" i="1"/>
  <c r="J313" i="1"/>
  <c r="J423" i="1"/>
  <c r="J1651" i="1"/>
  <c r="J536" i="1"/>
  <c r="J196" i="1"/>
  <c r="J315" i="1"/>
  <c r="J1327" i="1"/>
  <c r="J137" i="1"/>
  <c r="J522" i="1"/>
  <c r="J145" i="1"/>
  <c r="J1103" i="1"/>
  <c r="J1257" i="1"/>
  <c r="J1335" i="1"/>
  <c r="J985" i="1"/>
  <c r="J920" i="1"/>
  <c r="J1096" i="1"/>
  <c r="J902" i="1"/>
  <c r="J747" i="1"/>
  <c r="J1330" i="1"/>
  <c r="J1788" i="1"/>
  <c r="J1457" i="1"/>
  <c r="J1411" i="1"/>
  <c r="J1449" i="1"/>
  <c r="J1511" i="1"/>
  <c r="J1359" i="1"/>
  <c r="J1352" i="1"/>
  <c r="J1227" i="1"/>
  <c r="J866" i="1"/>
  <c r="J1283" i="1"/>
  <c r="J1649" i="1"/>
  <c r="J1679" i="1"/>
  <c r="J1019" i="1"/>
  <c r="J1332" i="1"/>
  <c r="J1108" i="1"/>
  <c r="J1266" i="1"/>
  <c r="J1336" i="1"/>
  <c r="J1309" i="1"/>
  <c r="J894" i="1"/>
  <c r="J973" i="1"/>
  <c r="J1302" i="1"/>
  <c r="J1752" i="1"/>
  <c r="J951" i="1"/>
  <c r="J1412" i="1"/>
  <c r="J986" i="1"/>
  <c r="J757" i="1"/>
  <c r="J1438" i="1"/>
  <c r="J1054" i="1"/>
  <c r="J922" i="1"/>
  <c r="J147" i="1"/>
  <c r="J845" i="1"/>
  <c r="J996" i="1"/>
  <c r="J971" i="1"/>
  <c r="J249" i="1"/>
  <c r="J1049" i="1"/>
  <c r="J1325" i="1"/>
  <c r="J1158" i="1"/>
  <c r="J1681" i="1"/>
  <c r="J1296" i="1"/>
  <c r="J1228" i="1"/>
  <c r="J1061" i="1"/>
  <c r="J1395" i="1"/>
  <c r="J868" i="1"/>
  <c r="J1347" i="1"/>
  <c r="J1331" i="1"/>
  <c r="J1364" i="1"/>
  <c r="J1616" i="1"/>
  <c r="J1328" i="1"/>
  <c r="J890" i="1"/>
  <c r="J1501" i="1"/>
  <c r="J796" i="1"/>
  <c r="J1543" i="1"/>
  <c r="J934" i="1"/>
  <c r="J807" i="1"/>
  <c r="J770" i="1"/>
  <c r="J1504" i="1"/>
  <c r="J905" i="1"/>
  <c r="J1037" i="1"/>
  <c r="J1365" i="1"/>
  <c r="J1525" i="1"/>
  <c r="J1254" i="1"/>
  <c r="J1737" i="1"/>
  <c r="J1524" i="1"/>
  <c r="J1745" i="1"/>
  <c r="J1250" i="1"/>
  <c r="J1215" i="1"/>
  <c r="J1262" i="1"/>
  <c r="J908" i="1"/>
  <c r="J1280" i="1"/>
  <c r="J1172" i="1"/>
  <c r="J1168" i="1"/>
  <c r="J750" i="1"/>
  <c r="J1683" i="1"/>
  <c r="J1207" i="1"/>
  <c r="J1456" i="1"/>
  <c r="J1062" i="1"/>
  <c r="J780" i="1"/>
  <c r="J861" i="1"/>
  <c r="J743" i="1"/>
  <c r="J1337" i="1"/>
  <c r="J1431" i="1"/>
  <c r="J1386" i="1"/>
  <c r="J1597" i="1"/>
  <c r="J1625" i="1"/>
  <c r="J1112" i="1"/>
  <c r="J1691" i="1"/>
  <c r="J1248" i="1"/>
  <c r="J772" i="1"/>
  <c r="J1513" i="1"/>
  <c r="J1205" i="1"/>
  <c r="J1299" i="1"/>
  <c r="J1357" i="1"/>
  <c r="J1442" i="1"/>
  <c r="J840" i="1"/>
  <c r="J746" i="1"/>
  <c r="J1497" i="1"/>
  <c r="J737" i="1"/>
  <c r="J1006" i="1"/>
  <c r="J1275" i="1"/>
  <c r="J1060" i="1"/>
  <c r="J1305" i="1"/>
  <c r="J1101" i="1"/>
  <c r="J756" i="1"/>
  <c r="J1572" i="1"/>
  <c r="J1532" i="1"/>
  <c r="J1067" i="1"/>
  <c r="J1089" i="1"/>
  <c r="J847" i="1"/>
  <c r="J880" i="1"/>
  <c r="J1443" i="1"/>
  <c r="J1445" i="1"/>
  <c r="J1048" i="1"/>
  <c r="J984" i="1"/>
  <c r="J885" i="1"/>
  <c r="J1229" i="1"/>
  <c r="J1775" i="1"/>
  <c r="J923" i="1"/>
  <c r="J771" i="1"/>
  <c r="J1292" i="1"/>
  <c r="J968" i="1"/>
  <c r="J1353" i="1"/>
  <c r="J935" i="1"/>
  <c r="J818" i="1"/>
  <c r="J1557" i="1"/>
  <c r="J1050" i="1"/>
  <c r="J1549" i="1"/>
  <c r="J1324" i="1"/>
  <c r="J1272" i="1"/>
  <c r="J1271" i="1"/>
  <c r="J810" i="1"/>
  <c r="J1461" i="1"/>
  <c r="J764" i="1"/>
  <c r="J1042" i="1"/>
  <c r="J1072" i="1"/>
  <c r="J1230" i="1"/>
  <c r="J899" i="1"/>
  <c r="J1526" i="1"/>
  <c r="J1409" i="1"/>
  <c r="J1665" i="1"/>
  <c r="J1056" i="1"/>
  <c r="J1339" i="1"/>
  <c r="J1174" i="1"/>
  <c r="J1516" i="1"/>
  <c r="J1086" i="1"/>
  <c r="J1487" i="1"/>
  <c r="J1595" i="1"/>
  <c r="J1464" i="1"/>
  <c r="J1507" i="1"/>
  <c r="J1178" i="1"/>
  <c r="J1023" i="1"/>
  <c r="J1594" i="1"/>
  <c r="J515" i="1"/>
  <c r="J247" i="1"/>
  <c r="J148" i="1"/>
  <c r="J674" i="1"/>
  <c r="J554" i="1"/>
  <c r="J731" i="1"/>
  <c r="J111" i="1"/>
  <c r="J631" i="1"/>
  <c r="J1451" i="1"/>
  <c r="J1267" i="1"/>
  <c r="J260" i="1"/>
  <c r="J697" i="1"/>
  <c r="J439" i="1"/>
  <c r="J659" i="1"/>
  <c r="J437" i="1"/>
  <c r="J630" i="1"/>
  <c r="J488" i="1"/>
  <c r="J158" i="1"/>
  <c r="J1528" i="1"/>
  <c r="J1689" i="1"/>
  <c r="J600" i="1"/>
  <c r="J716" i="1"/>
  <c r="J342" i="1"/>
  <c r="J365" i="1"/>
  <c r="J669" i="1"/>
  <c r="J3" i="1"/>
  <c r="J1559" i="1"/>
  <c r="J85" i="1"/>
  <c r="J946" i="1"/>
  <c r="J1763" i="1"/>
  <c r="J1598" i="1"/>
  <c r="J1715" i="1"/>
  <c r="J1589" i="1"/>
  <c r="J1117" i="1"/>
  <c r="J1216" i="1"/>
  <c r="J1593" i="1"/>
  <c r="J1147" i="1"/>
  <c r="J1476" i="1"/>
  <c r="J1102" i="1"/>
  <c r="J1163" i="1"/>
  <c r="J1669" i="1"/>
  <c r="J798" i="1"/>
  <c r="J1031" i="1"/>
  <c r="J1284" i="1"/>
  <c r="J1321" i="1"/>
  <c r="J1435" i="1"/>
  <c r="J1077" i="1"/>
  <c r="J1741" i="1"/>
  <c r="J1142" i="1"/>
  <c r="J1334" i="1"/>
  <c r="J1190" i="1"/>
  <c r="J783" i="1"/>
  <c r="J1005" i="1"/>
  <c r="J829" i="1"/>
  <c r="J1182" i="1"/>
  <c r="J954" i="1"/>
  <c r="J1740" i="1"/>
  <c r="J1690" i="1"/>
  <c r="J877" i="1"/>
  <c r="J1744" i="1"/>
  <c r="J1617" i="1"/>
  <c r="J1758" i="1"/>
  <c r="J131" i="1"/>
  <c r="J544" i="1"/>
  <c r="J205" i="1"/>
  <c r="J239" i="1"/>
  <c r="J563" i="1"/>
  <c r="J656" i="1"/>
  <c r="J390" i="1"/>
  <c r="J613" i="1"/>
  <c r="J31" i="1"/>
  <c r="J988" i="1"/>
  <c r="J1198" i="1"/>
  <c r="J1588" i="1"/>
  <c r="J1138" i="1"/>
  <c r="J1789" i="1"/>
  <c r="J420" i="1"/>
  <c r="J1146" i="1"/>
  <c r="J1087" i="1"/>
  <c r="J1695" i="1"/>
  <c r="J1779" i="1"/>
  <c r="J1329" i="1"/>
  <c r="J1206" i="1"/>
  <c r="J1301" i="1"/>
  <c r="J1153" i="1"/>
  <c r="J809" i="1"/>
  <c r="J1258" i="1"/>
  <c r="J1342" i="1"/>
  <c r="J1076" i="1"/>
  <c r="J1463" i="1"/>
  <c r="J1626" i="1"/>
  <c r="J1407" i="1"/>
  <c r="J1383" i="1"/>
  <c r="J904" i="1"/>
  <c r="J1713" i="1"/>
  <c r="J1074" i="1"/>
  <c r="J760" i="1"/>
  <c r="J730" i="1"/>
  <c r="J1133" i="1"/>
  <c r="J1105" i="1"/>
  <c r="J1766" i="1"/>
  <c r="J500" i="1"/>
  <c r="J582" i="1"/>
  <c r="J1499" i="1"/>
  <c r="J1434" i="1"/>
  <c r="J1149" i="1"/>
  <c r="J1144" i="1"/>
  <c r="J1381" i="1"/>
  <c r="J1436" i="1"/>
  <c r="J1282" i="1"/>
  <c r="J713" i="1"/>
  <c r="J100" i="1"/>
  <c r="J1478" i="1"/>
  <c r="J1273" i="1"/>
  <c r="J1554" i="1"/>
  <c r="J937" i="1"/>
  <c r="J981" i="1"/>
  <c r="J1066" i="1"/>
  <c r="J1490" i="1"/>
  <c r="J1652" i="1"/>
  <c r="J1786" i="1"/>
  <c r="J709" i="1"/>
  <c r="J662" i="1"/>
  <c r="J606" i="1"/>
  <c r="J1326" i="1"/>
  <c r="J1408" i="1"/>
  <c r="J1509" i="1"/>
  <c r="J893" i="1"/>
  <c r="J1025" i="1"/>
  <c r="J1135" i="1"/>
  <c r="J1580" i="1"/>
  <c r="J1731" i="1"/>
  <c r="J1312" i="1"/>
  <c r="J808" i="1"/>
  <c r="J1732" i="1"/>
  <c r="J850" i="1"/>
  <c r="J722" i="1"/>
  <c r="J1664" i="1"/>
  <c r="J1437" i="1"/>
  <c r="J1170" i="1"/>
  <c r="J1274" i="1"/>
  <c r="J1547" i="1"/>
  <c r="J1627" i="1"/>
  <c r="J1682" i="1"/>
  <c r="J235" i="1"/>
  <c r="J727" i="1"/>
  <c r="J1143" i="1"/>
  <c r="J892" i="1"/>
  <c r="J1346" i="1"/>
  <c r="J172" i="1"/>
  <c r="J339" i="1"/>
  <c r="J668" i="1"/>
  <c r="J1705" i="1"/>
  <c r="J1287" i="1"/>
  <c r="J989" i="1"/>
  <c r="J1307" i="1"/>
  <c r="J961" i="1"/>
  <c r="J1041" i="1"/>
  <c r="J1387" i="1"/>
  <c r="J863" i="1"/>
  <c r="J872" i="1"/>
  <c r="J455" i="1"/>
  <c r="J694" i="1"/>
  <c r="J640" i="1"/>
  <c r="J487" i="1"/>
  <c r="J1152" i="1"/>
  <c r="J1150" i="1"/>
  <c r="J1310" i="1"/>
  <c r="J533" i="1"/>
  <c r="J687" i="1"/>
  <c r="J552" i="1"/>
  <c r="J717" i="1"/>
  <c r="J1136" i="1"/>
  <c r="J1582" i="1"/>
  <c r="J995" i="1"/>
  <c r="J1300" i="1"/>
  <c r="J947" i="1"/>
  <c r="J964" i="1"/>
  <c r="J1083" i="1"/>
  <c r="J1774" i="1"/>
  <c r="J1140" i="1"/>
  <c r="J1293" i="1"/>
  <c r="J1308" i="1"/>
  <c r="J1448" i="1"/>
  <c r="J1510" i="1"/>
  <c r="J1298" i="1"/>
  <c r="J1246" i="1"/>
  <c r="J1479" i="1"/>
  <c r="J1680" i="1"/>
  <c r="J1762" i="1"/>
  <c r="J830" i="1"/>
  <c r="J1082" i="1"/>
  <c r="J1769" i="1"/>
  <c r="J871" i="1"/>
  <c r="J171" i="1"/>
  <c r="J75" i="1"/>
  <c r="J634" i="1"/>
  <c r="J151" i="1"/>
  <c r="J1218" i="1"/>
  <c r="J775" i="1"/>
  <c r="J1289" i="1"/>
  <c r="J1036" i="1"/>
  <c r="J896" i="1"/>
  <c r="J1735" i="1"/>
  <c r="J1068" i="1"/>
  <c r="J1270" i="1"/>
  <c r="J1742" i="1"/>
  <c r="J955" i="1"/>
  <c r="J1666" i="1"/>
  <c r="J1179" i="1"/>
  <c r="J1628" i="1"/>
  <c r="J1084" i="1"/>
  <c r="J1055" i="1"/>
  <c r="J1304" i="1"/>
  <c r="J1787" i="1"/>
  <c r="J1253" i="1"/>
  <c r="J889" i="1"/>
  <c r="J806" i="1"/>
  <c r="J1475" i="1"/>
  <c r="J1420" i="1"/>
  <c r="J1141" i="1"/>
  <c r="J761" i="1"/>
  <c r="J738" i="1"/>
  <c r="J1098" i="1"/>
  <c r="J1184" i="1"/>
  <c r="J1776" i="1"/>
  <c r="J1477" i="1"/>
  <c r="J653" i="1"/>
  <c r="J578" i="1"/>
  <c r="J407" i="1"/>
  <c r="J132" i="1"/>
  <c r="J331" i="1"/>
  <c r="J61" i="1"/>
  <c r="J650" i="1"/>
  <c r="J636" i="1"/>
  <c r="J293" i="1"/>
  <c r="J1515" i="1"/>
  <c r="J787" i="1"/>
  <c r="J786" i="1"/>
  <c r="J842" i="1"/>
  <c r="J1192" i="1"/>
  <c r="J1059" i="1"/>
  <c r="J1455" i="1"/>
  <c r="J886" i="1"/>
  <c r="J1587" i="1"/>
  <c r="J1285" i="1"/>
  <c r="J875" i="1"/>
  <c r="J1531" i="1"/>
  <c r="J1555" i="1"/>
  <c r="J785" i="1"/>
  <c r="J1655" i="1"/>
  <c r="J1639" i="1"/>
  <c r="J857" i="1"/>
  <c r="J1780" i="1"/>
  <c r="J1071" i="1"/>
  <c r="J1790" i="1"/>
  <c r="J1514" i="1"/>
  <c r="J1079" i="1"/>
  <c r="J1433" i="1"/>
  <c r="J1615" i="1"/>
  <c r="J912" i="1"/>
  <c r="J752" i="1"/>
  <c r="J841" i="1"/>
  <c r="J1010" i="1"/>
  <c r="J1362" i="1"/>
  <c r="J1373" i="1"/>
  <c r="J269" i="1"/>
  <c r="J268" i="1"/>
  <c r="J520" i="1"/>
  <c r="J307" i="1"/>
  <c r="J1111" i="1"/>
  <c r="J1107" i="1"/>
  <c r="J1016" i="1"/>
  <c r="J1726" i="1"/>
  <c r="J1764" i="1"/>
  <c r="J1014" i="1"/>
  <c r="J930" i="1"/>
  <c r="J1171" i="1"/>
  <c r="J1368" i="1"/>
  <c r="J1491" i="1"/>
  <c r="J1070" i="1"/>
  <c r="J1161" i="1"/>
  <c r="J1414" i="1"/>
  <c r="J823" i="1"/>
  <c r="J1444" i="1"/>
  <c r="J873" i="1"/>
  <c r="J1164" i="1"/>
  <c r="J1286" i="1"/>
  <c r="J876" i="1"/>
  <c r="J1341" i="1"/>
  <c r="J797" i="1"/>
  <c r="J982" i="1"/>
  <c r="J1366" i="1"/>
  <c r="J1599" i="1"/>
  <c r="J1530" i="1"/>
  <c r="J919" i="1"/>
  <c r="J1075" i="1"/>
  <c r="J820" i="1"/>
  <c r="J189" i="1"/>
  <c r="J672" i="1"/>
  <c r="J469" i="1"/>
  <c r="J229" i="1"/>
  <c r="J443" i="1"/>
  <c r="J665" i="1"/>
  <c r="J428" i="1"/>
  <c r="J374" i="1"/>
  <c r="J523" i="1"/>
  <c r="J547" i="1"/>
  <c r="J574" i="1"/>
  <c r="J175" i="1"/>
  <c r="J723" i="1"/>
  <c r="J452" i="1"/>
  <c r="J398" i="1"/>
  <c r="J641" i="1"/>
  <c r="J558" i="1"/>
  <c r="J1428" i="1"/>
  <c r="J627" i="1"/>
  <c r="J1124" i="1"/>
  <c r="J1294" i="1"/>
  <c r="J476" i="1"/>
  <c r="J219" i="1"/>
  <c r="J438" i="1"/>
  <c r="J267" i="1"/>
  <c r="J275" i="1"/>
  <c r="J445" i="1"/>
  <c r="J683" i="1"/>
  <c r="J568" i="1"/>
  <c r="J341" i="1"/>
  <c r="J99" i="1"/>
  <c r="J567" i="1"/>
  <c r="J108" i="1"/>
  <c r="J323" i="1"/>
  <c r="J557" i="1"/>
  <c r="J676" i="1"/>
  <c r="J399" i="1"/>
  <c r="J211" i="1"/>
  <c r="J180" i="1"/>
  <c r="J681" i="1"/>
  <c r="J527" i="1"/>
  <c r="J546" i="1"/>
  <c r="J406" i="1"/>
  <c r="J673" i="1"/>
  <c r="J657" i="1"/>
  <c r="J367" i="1"/>
  <c r="J298" i="1"/>
  <c r="J1667" i="1"/>
  <c r="J1220" i="1"/>
  <c r="J1130" i="1"/>
  <c r="J493" i="1"/>
  <c r="J276" i="1"/>
  <c r="J519" i="1"/>
  <c r="J667" i="1"/>
  <c r="J355" i="1"/>
  <c r="J212" i="1"/>
  <c r="J227" i="1"/>
  <c r="J163" i="1"/>
  <c r="J661" i="1"/>
  <c r="J556" i="1"/>
  <c r="J529" i="1"/>
  <c r="J203" i="1"/>
  <c r="J712" i="1"/>
  <c r="J725" i="1"/>
  <c r="J739" i="1"/>
  <c r="J651" i="1"/>
  <c r="J611" i="1"/>
  <c r="J44" i="1"/>
  <c r="J135" i="1"/>
  <c r="J387" i="1"/>
  <c r="J366" i="1"/>
  <c r="J69" i="1"/>
  <c r="J950" i="1"/>
  <c r="J907" i="1"/>
  <c r="J918" i="1"/>
  <c r="J970" i="1"/>
  <c r="J1545" i="1"/>
  <c r="J724" i="1"/>
  <c r="J1051" i="1"/>
  <c r="J826" i="1"/>
  <c r="J1743" i="1"/>
  <c r="J1371" i="1"/>
  <c r="J1648" i="1"/>
  <c r="J931" i="1"/>
  <c r="J916" i="1"/>
  <c r="J817" i="1"/>
  <c r="J1663" i="1"/>
  <c r="J1419" i="1"/>
  <c r="J1422" i="1"/>
  <c r="J980" i="1"/>
  <c r="J1544" i="1"/>
  <c r="J1022" i="1"/>
  <c r="J1311" i="1"/>
  <c r="J865" i="1"/>
  <c r="J874" i="1"/>
  <c r="J1297" i="1"/>
  <c r="J1466" i="1"/>
  <c r="J1350" i="1"/>
  <c r="J1773" i="1"/>
  <c r="J1281" i="1"/>
  <c r="J1423" i="1"/>
  <c r="J1160" i="1"/>
  <c r="J1565" i="1"/>
  <c r="J1379" i="1"/>
  <c r="J998" i="1"/>
  <c r="J1480" i="1"/>
  <c r="J1492" i="1"/>
  <c r="J897" i="1"/>
  <c r="J853" i="1"/>
  <c r="J1154" i="1"/>
  <c r="J788" i="1"/>
  <c r="J811" i="1"/>
  <c r="J1484" i="1"/>
  <c r="J726" i="1"/>
  <c r="J1106" i="1"/>
  <c r="J821" i="1"/>
  <c r="J1508" i="1"/>
  <c r="J1485" i="1"/>
  <c r="J1692" i="1"/>
  <c r="J834" i="1"/>
  <c r="J1200" i="1"/>
  <c r="J1191" i="1"/>
  <c r="J1556" i="1"/>
  <c r="J924" i="1"/>
  <c r="J1044" i="1"/>
  <c r="J1251" i="1"/>
  <c r="J766" i="1"/>
  <c r="J1613" i="1"/>
  <c r="J1441" i="1"/>
  <c r="J1139" i="1"/>
  <c r="J1038" i="1"/>
  <c r="J1502" i="1"/>
  <c r="J1263" i="1"/>
  <c r="J1095" i="1"/>
  <c r="J801" i="1"/>
  <c r="J734" i="1"/>
  <c r="J1446" i="1"/>
  <c r="J822" i="1"/>
  <c r="J1601" i="1"/>
  <c r="J1600" i="1"/>
  <c r="J1640" i="1"/>
  <c r="J1581" i="1"/>
  <c r="J1753" i="1"/>
  <c r="J1486" i="1"/>
  <c r="J858" i="1"/>
  <c r="J1313" i="1"/>
  <c r="J1157" i="1"/>
  <c r="J1527" i="1"/>
  <c r="J1458" i="1"/>
  <c r="J1199" i="1"/>
  <c r="J804" i="1"/>
  <c r="J1568" i="1"/>
  <c r="J1208" i="1"/>
  <c r="J1092" i="1"/>
  <c r="J1069" i="1"/>
  <c r="J1047" i="1"/>
  <c r="J1489" i="1"/>
  <c r="J963" i="1"/>
  <c r="J1167" i="1"/>
  <c r="J994" i="1"/>
  <c r="J1340" i="1"/>
  <c r="J1134" i="1"/>
  <c r="J1432" i="1"/>
  <c r="J1265" i="1"/>
  <c r="J1345" i="1"/>
  <c r="J1573" i="1"/>
  <c r="J1405" i="1"/>
  <c r="J888" i="1"/>
  <c r="J1021" i="1"/>
  <c r="J751" i="1"/>
  <c r="J1430" i="1"/>
  <c r="J763" i="1"/>
  <c r="J1004" i="1"/>
  <c r="J1656" i="1"/>
  <c r="J1151" i="1"/>
  <c r="J1320" i="1"/>
  <c r="J913" i="1"/>
  <c r="J906" i="1"/>
  <c r="J1552" i="1"/>
  <c r="J1377" i="1"/>
  <c r="J1498" i="1"/>
  <c r="J1162" i="1"/>
  <c r="J215" i="1"/>
  <c r="J626" i="1"/>
  <c r="J375" i="1"/>
  <c r="J528" i="1"/>
  <c r="J149" i="1"/>
  <c r="J699" i="1"/>
  <c r="J188" i="1"/>
  <c r="J494" i="1"/>
  <c r="J537" i="1"/>
  <c r="J84" i="1"/>
  <c r="J292" i="1"/>
  <c r="J541" i="1"/>
  <c r="J581" i="1"/>
  <c r="J642" i="1"/>
  <c r="J610" i="1"/>
  <c r="J645" i="1"/>
  <c r="J181" i="1"/>
  <c r="J495" i="1"/>
  <c r="J312" i="1"/>
  <c r="J1277" i="1"/>
  <c r="J1546" i="1"/>
  <c r="J1165" i="1"/>
  <c r="J948" i="1"/>
  <c r="J1043" i="1"/>
  <c r="J1008" i="1"/>
  <c r="J1450" i="1"/>
  <c r="J1657" i="1"/>
  <c r="J819" i="1"/>
  <c r="J1155" i="1"/>
  <c r="J1614" i="1"/>
  <c r="J1316" i="1"/>
  <c r="J1633" i="1"/>
  <c r="J1716" i="1"/>
  <c r="J1714" i="1"/>
  <c r="J1470" i="1"/>
  <c r="J1003" i="1"/>
  <c r="J1319" i="1"/>
  <c r="J1551" i="1"/>
  <c r="J1704" i="1"/>
  <c r="J1523" i="1"/>
  <c r="J1522" i="1"/>
  <c r="J1488" i="1"/>
  <c r="J1091" i="1"/>
  <c r="J1204" i="1"/>
  <c r="J1238" i="1"/>
  <c r="J1462" i="1"/>
  <c r="J1579" i="1"/>
  <c r="J962" i="1"/>
  <c r="J1529" i="1"/>
  <c r="J1730" i="1"/>
  <c r="J1354" i="1"/>
  <c r="J1733" i="1"/>
  <c r="J1421" i="1"/>
  <c r="J1388" i="1"/>
  <c r="J1187" i="1"/>
  <c r="J1569" i="1"/>
  <c r="J1641" i="1"/>
  <c r="J900" i="1"/>
  <c r="J975" i="1"/>
  <c r="J1000" i="1"/>
  <c r="J1791" i="1"/>
  <c r="J155" i="1"/>
  <c r="J521" i="1"/>
  <c r="J261" i="1"/>
  <c r="J475" i="1"/>
  <c r="J543" i="1"/>
  <c r="J586" i="1"/>
  <c r="J598" i="1"/>
  <c r="J590" i="1"/>
  <c r="J483" i="1"/>
  <c r="J570" i="1"/>
  <c r="J569" i="1"/>
  <c r="J164" i="1"/>
  <c r="J615" i="1"/>
  <c r="J419" i="1"/>
  <c r="J109" i="1"/>
  <c r="J107" i="1"/>
  <c r="J204" i="1"/>
  <c r="J559" i="1"/>
  <c r="J686" i="1"/>
  <c r="J340" i="1"/>
  <c r="J463" i="1"/>
  <c r="J263" i="1"/>
  <c r="J508" i="1"/>
  <c r="J577" i="1"/>
  <c r="J364" i="1"/>
  <c r="J350" i="1"/>
  <c r="J617" i="1"/>
  <c r="J605" i="1"/>
  <c r="J596" i="1"/>
  <c r="J588" i="1"/>
  <c r="J679" i="1"/>
  <c r="J283" i="1"/>
  <c r="J64" i="1"/>
  <c r="J33" i="1"/>
  <c r="J571" i="1"/>
  <c r="J202" i="1"/>
  <c r="J400" i="1"/>
  <c r="J178" i="1"/>
  <c r="J377" i="1"/>
  <c r="J284" i="1"/>
  <c r="J177" i="1"/>
  <c r="J233" i="1"/>
  <c r="J304" i="1"/>
  <c r="J46" i="1"/>
  <c r="J481" i="1"/>
  <c r="J118" i="1"/>
  <c r="J349" i="1"/>
  <c r="J579" i="1"/>
  <c r="J329" i="1"/>
  <c r="J464" i="1"/>
  <c r="J246" i="1"/>
  <c r="J216" i="1"/>
  <c r="J214" i="1"/>
  <c r="J410" i="1"/>
  <c r="J490" i="1"/>
  <c r="J38" i="1"/>
  <c r="J333" i="1"/>
  <c r="J433" i="1"/>
  <c r="J39" i="1"/>
  <c r="J417" i="1"/>
  <c r="J282" i="1"/>
  <c r="J361" i="1"/>
  <c r="J57" i="1"/>
  <c r="J16" i="1"/>
  <c r="J346" i="1"/>
  <c r="J186" i="1"/>
  <c r="J110" i="1"/>
  <c r="J281" i="1"/>
  <c r="J226" i="1"/>
  <c r="J343" i="1"/>
  <c r="J238" i="1"/>
  <c r="J425" i="1"/>
  <c r="J232" i="1"/>
  <c r="J480" i="1"/>
  <c r="J97" i="1"/>
  <c r="J161" i="1"/>
  <c r="J90" i="1"/>
  <c r="J395" i="1"/>
  <c r="J258" i="1"/>
  <c r="J234" i="1"/>
  <c r="J89" i="1"/>
  <c r="J489" i="1"/>
  <c r="J201" i="1"/>
  <c r="J62" i="1"/>
  <c r="J40" i="1"/>
  <c r="J45" i="1"/>
  <c r="J254" i="1"/>
  <c r="J278" i="1"/>
  <c r="J7" i="1"/>
  <c r="J176" i="1"/>
  <c r="J106" i="1"/>
  <c r="J360" i="1"/>
  <c r="J505" i="1"/>
  <c r="J297" i="1"/>
  <c r="J496" i="1"/>
  <c r="J273" i="1"/>
  <c r="J514" i="1"/>
  <c r="J73" i="1"/>
  <c r="J47" i="1"/>
  <c r="J450" i="1"/>
  <c r="J513" i="1"/>
  <c r="J96" i="1"/>
  <c r="J385" i="1"/>
  <c r="J80" i="1"/>
  <c r="J394" i="1"/>
  <c r="J1493" i="1"/>
  <c r="J803" i="1"/>
  <c r="J735" i="1"/>
  <c r="J744" i="1"/>
  <c r="J1418" i="1"/>
  <c r="J553" i="1"/>
  <c r="J509" i="1"/>
  <c r="J308" i="1"/>
  <c r="J504" i="1"/>
  <c r="J678" i="1"/>
  <c r="J380" i="1"/>
  <c r="J612" i="1"/>
  <c r="J173" i="1"/>
  <c r="J236" i="1"/>
  <c r="J179" i="1"/>
  <c r="J119" i="1"/>
  <c r="J125" i="1"/>
  <c r="J501" i="1"/>
  <c r="J228" i="1"/>
  <c r="J324" i="1"/>
  <c r="J584" i="1"/>
  <c r="J435" i="1"/>
  <c r="J453" i="1"/>
  <c r="J244" i="1"/>
  <c r="J629" i="1"/>
  <c r="J300" i="1"/>
  <c r="J477" i="1"/>
  <c r="J37" i="1"/>
  <c r="J467" i="1"/>
  <c r="J213" i="1"/>
  <c r="J279" i="1"/>
  <c r="J595" i="1"/>
  <c r="J309" i="1"/>
  <c r="J616" i="1"/>
  <c r="J566" i="1"/>
  <c r="J146" i="1"/>
  <c r="J532" i="1"/>
  <c r="J288" i="1"/>
  <c r="J337" i="1"/>
  <c r="J408" i="1"/>
  <c r="J88" i="1"/>
  <c r="J294" i="1"/>
  <c r="J86" i="1"/>
  <c r="J510" i="1"/>
  <c r="J424" i="1"/>
  <c r="J256" i="1"/>
  <c r="J6" i="1"/>
  <c r="J94" i="1"/>
  <c r="J122" i="1"/>
  <c r="J1608" i="1"/>
  <c r="J1032" i="1"/>
  <c r="J1765" i="1"/>
  <c r="J1558" i="1"/>
  <c r="J1757" i="1"/>
  <c r="J891" i="1"/>
  <c r="J1396" i="1"/>
  <c r="J815" i="1"/>
  <c r="J848" i="1"/>
  <c r="J1781" i="1"/>
  <c r="J1317" i="1"/>
  <c r="J538" i="1"/>
  <c r="J334" i="1"/>
  <c r="J564" i="1"/>
  <c r="J259" i="1"/>
  <c r="J531" i="1"/>
  <c r="J599" i="1"/>
  <c r="J413" i="1"/>
  <c r="J589" i="1"/>
  <c r="J51" i="1"/>
  <c r="J696" i="1"/>
  <c r="J454" i="1"/>
  <c r="J649" i="1"/>
  <c r="J351" i="1"/>
  <c r="J245" i="1"/>
  <c r="J20" i="1"/>
  <c r="J658" i="1"/>
  <c r="J548" i="1"/>
  <c r="J237" i="1"/>
  <c r="J608" i="1"/>
  <c r="J555" i="1"/>
  <c r="J708" i="1"/>
  <c r="J462" i="1"/>
  <c r="J663" i="1"/>
  <c r="J332" i="1"/>
  <c r="J4" i="1"/>
  <c r="J604" i="1"/>
  <c r="J124" i="1"/>
  <c r="J373" i="1"/>
  <c r="J319" i="1"/>
  <c r="J628" i="1"/>
  <c r="J618" i="1"/>
  <c r="J601" i="1"/>
  <c r="J621" i="1"/>
  <c r="J223" i="1"/>
  <c r="J482" i="1"/>
  <c r="J9" i="1"/>
  <c r="J266" i="1"/>
  <c r="J376" i="1"/>
  <c r="J321" i="1"/>
  <c r="J136" i="1"/>
  <c r="J98" i="1"/>
  <c r="J305" i="1"/>
  <c r="J418" i="1"/>
  <c r="J262" i="1"/>
  <c r="J30" i="1"/>
  <c r="J466" i="1"/>
  <c r="J272" i="1"/>
  <c r="J264" i="1"/>
  <c r="J416" i="1"/>
  <c r="J114" i="1"/>
  <c r="J473" i="1"/>
  <c r="J442" i="1"/>
  <c r="J409" i="1"/>
  <c r="J386" i="1"/>
  <c r="J320" i="1"/>
  <c r="J87" i="1"/>
  <c r="J322" i="1"/>
  <c r="J162" i="1"/>
  <c r="J301" i="1"/>
  <c r="J5" i="1"/>
  <c r="J426" i="1"/>
  <c r="J434" i="1"/>
  <c r="J72" i="1"/>
  <c r="J384" i="1"/>
  <c r="K684" i="1"/>
  <c r="M684" i="1" s="1"/>
  <c r="N684" i="1" s="1"/>
</calcChain>
</file>

<file path=xl/sharedStrings.xml><?xml version="1.0" encoding="utf-8"?>
<sst xmlns="http://schemas.openxmlformats.org/spreadsheetml/2006/main" count="25598" uniqueCount="2947">
  <si>
    <t>Unnamed: 6</t>
  </si>
  <si>
    <t>Shock_Value</t>
  </si>
  <si>
    <t>1995_MCADJ</t>
  </si>
  <si>
    <t xml:space="preserve">Mid-cycle adjustment Mar 1995-Dec 1995                      </t>
  </si>
  <si>
    <t>Scenario to capture the mid-cycle adjustment of the 1995, based on historical factor returns during the period Mar1995 to Dec1995.</t>
  </si>
  <si>
    <t>Tsy 3M USD_3m - Yield: -76.00bps,</t>
  </si>
  <si>
    <t>Tsy 3M</t>
  </si>
  <si>
    <t>USD_3m</t>
  </si>
  <si>
    <t>Yield</t>
  </si>
  <si>
    <t>Tsy 1Y USD_1yr - Yield: -129.00bps,</t>
  </si>
  <si>
    <t>Tsy 1Y</t>
  </si>
  <si>
    <t>USD_1yr</t>
  </si>
  <si>
    <t>Tsy 2Y USD_2yr - Yield: -164.00bps,</t>
  </si>
  <si>
    <t>Tsy 2Y</t>
  </si>
  <si>
    <t>USD_2yr</t>
  </si>
  <si>
    <t>Tsy 5Y USD_5yr - Yield: -169.00bps,</t>
  </si>
  <si>
    <t>Tsy 5Y</t>
  </si>
  <si>
    <t>USD_5yr</t>
  </si>
  <si>
    <t>Tsy 10Y USD_10yr - Yield: -162.00bps,</t>
  </si>
  <si>
    <t>Tsy 10Y</t>
  </si>
  <si>
    <t>USD_10yr</t>
  </si>
  <si>
    <t>Tsy 30Y USD_30yr - Yield: -139.00bps,</t>
  </si>
  <si>
    <t>Tsy 30Y</t>
  </si>
  <si>
    <t>USD_30yr</t>
  </si>
  <si>
    <t>SP500 Consum Discr S5COND - Index Level: 17.00pct,</t>
  </si>
  <si>
    <t>SP500 Consum Discr</t>
  </si>
  <si>
    <t>S5COND</t>
  </si>
  <si>
    <t>Index Level</t>
  </si>
  <si>
    <t>17.00pct</t>
  </si>
  <si>
    <t>SP500 Consum Stapl S5CONS - Index Level: 24.00pct,</t>
  </si>
  <si>
    <t>SP500 Consum Stapl</t>
  </si>
  <si>
    <t>S5CONS</t>
  </si>
  <si>
    <t>24.00pct</t>
  </si>
  <si>
    <t>S&amp;P 500 Energy S5ENRS - Index Level: 29.00pct,</t>
  </si>
  <si>
    <t>S5ENRS</t>
  </si>
  <si>
    <t>29.00pct</t>
  </si>
  <si>
    <t>S&amp;P 500 Financials S5FINL - Index Level: 38.00pct,</t>
  </si>
  <si>
    <t>S5FINL</t>
  </si>
  <si>
    <t>38.00pct</t>
  </si>
  <si>
    <t>S&amp;P 500 Health Care S5HLTH - Index Level: 33.00pct,</t>
  </si>
  <si>
    <t>S5HLTH</t>
  </si>
  <si>
    <t>33.00pct</t>
  </si>
  <si>
    <t>S&amp;P 500 Industrials S5INDU - Index Level: 26.00pct,</t>
  </si>
  <si>
    <t>S5INDU</t>
  </si>
  <si>
    <t>26.00pct</t>
  </si>
  <si>
    <t>S&amp;P 500 Materials S5MATR - Index Level: 8.00pct,</t>
  </si>
  <si>
    <t>S5MATR</t>
  </si>
  <si>
    <t>8.00pct</t>
  </si>
  <si>
    <t>S&amp;P 500 Technology S5INFT - Index Level: 29.00pct,</t>
  </si>
  <si>
    <t>S5INFT</t>
  </si>
  <si>
    <t>SP500 Communications S5TELS - Index Level: 49.00pct,</t>
  </si>
  <si>
    <t>SP500 Communications</t>
  </si>
  <si>
    <t>S5TELS</t>
  </si>
  <si>
    <t>49.00pct</t>
  </si>
  <si>
    <t>S&amp;P 500 Utilities S5UTIL - Index Level: 37.00pct,</t>
  </si>
  <si>
    <t>S5UTIL</t>
  </si>
  <si>
    <t>37.00pct</t>
  </si>
  <si>
    <t>S&amp;P Mid Cap MID - Index Level: 32.00pctc,</t>
  </si>
  <si>
    <t>SP Mid Cap</t>
  </si>
  <si>
    <t>MID</t>
  </si>
  <si>
    <t>S&amp;P Small Cap SML - Index Level: 47.00pct</t>
  </si>
  <si>
    <t>SP Small Cap</t>
  </si>
  <si>
    <t>SML</t>
  </si>
  <si>
    <t>47.00pct</t>
  </si>
  <si>
    <t>AICHEV</t>
  </si>
  <si>
    <t xml:space="preserve">U.S. Global AI Diffusion: Evasion &amp; Diversion (06/2025)     </t>
  </si>
  <si>
    <t>Increased technology flow to allies under the replacement framework enables China and other adversaries to successfully acquire advanced US AI chips through evasion.</t>
  </si>
  <si>
    <t>GSCI PRECIOUS METALS GSPMSPOT - Price Level	: 15.00pct,</t>
  </si>
  <si>
    <t>GSCI PRECIOUS METALS</t>
  </si>
  <si>
    <t>GSPMSPOT</t>
  </si>
  <si>
    <t>Price Level</t>
  </si>
  <si>
    <t>15.00pct</t>
  </si>
  <si>
    <t>CNY/USD CNY_FX_USD - FX: 2.50pct,</t>
  </si>
  <si>
    <t>CNYUSD</t>
  </si>
  <si>
    <t>CNY_FX_USD</t>
  </si>
  <si>
    <t>FX</t>
  </si>
  <si>
    <t>2.50pct</t>
  </si>
  <si>
    <t>Electrical Equipment - Electrical Equipment [FMI_CHNA_INDELECEQ-FMI_NAMR_INDELECEQ] - Industry Return: 10.00pct,</t>
  </si>
  <si>
    <t>Equipment</t>
  </si>
  <si>
    <t>10.00pct</t>
  </si>
  <si>
    <t>Semiconductors - Semiconductors &amp; Equipment [FMI_CHNA_ITCSEMICON-FMI_NAMR_ITCSEMICEQ] - Industry Return: 30.00pct,</t>
  </si>
  <si>
    <t>Semiconductors</t>
  </si>
  <si>
    <t>30.00pct</t>
  </si>
  <si>
    <t>US HY Other Technology - US HY Market [USD_HY_TECHOTHR_SF-USD_HY_MARKET_SF] - Spread Yield: 50.00bps</t>
  </si>
  <si>
    <t>Technology</t>
  </si>
  <si>
    <t>50.00bps</t>
  </si>
  <si>
    <t>AICHRET</t>
  </si>
  <si>
    <t xml:space="preserve">U.S. Global AI Diffusion: China Retaliation (06/2025)       </t>
  </si>
  <si>
    <t>In response to the US export restrictions under the replacement framework, China?s retaliatory response involves imposing rare earth export limits to hinder U.S. chip manufacturing.</t>
  </si>
  <si>
    <t>GSCI PRECIOUS METALS GSPMSPOT - Price Level: 15.00pct,</t>
  </si>
  <si>
    <t>Alum Div Metals &amp; Mining FMI_NAMR_MATALUDIV - Industry Return: 10.00pct,</t>
  </si>
  <si>
    <t>Alum Div Metals  Mining</t>
  </si>
  <si>
    <t>FMI_NAMR_MATALUDIV</t>
  </si>
  <si>
    <t>Industry Return</t>
  </si>
  <si>
    <t>Electrical Equipment FMI_NAMR_INDELECEQ - Industry Return: -15.00pct,</t>
  </si>
  <si>
    <t>Electrical Equipment</t>
  </si>
  <si>
    <t>FMI_NAMR_INDELECEQ</t>
  </si>
  <si>
    <t>Software &amp; Internet Services FMI_CHNA_ITCSOFTNET - Industry Return: 10.00pct,</t>
  </si>
  <si>
    <t>FMI_CHNA_ITCSOFTNET</t>
  </si>
  <si>
    <t>US HY Tech Hardware - US HY Market [USD_HY_HARDWARE_SF-USD_HY_MARKET_SF] - Spread Yield: 100.00bps</t>
  </si>
  <si>
    <t>Hardware</t>
  </si>
  <si>
    <t>100.00bps</t>
  </si>
  <si>
    <t>AITWNBL</t>
  </si>
  <si>
    <t>U.S. Global AI Diffusion: China Blockade on Taiwan (06/2025)</t>
  </si>
  <si>
    <t>As an ultimatum to the AI war, China imposes a blockade of Taiwan, forcing it to stop chip exports to the US, causing the largest major supply chain disruption the US semiconductor industry has ever experienced.</t>
  </si>
  <si>
    <t>Tsy 5Y USD_5yr - Yield: 100.00bps,</t>
  </si>
  <si>
    <t>GSCI PRECIOUS METALS GSPMSPOT - Price Level: -10.00pct,</t>
  </si>
  <si>
    <t>CNY/USD CNY_FX_USD - FX: 5.00pct,</t>
  </si>
  <si>
    <t>5.00pct</t>
  </si>
  <si>
    <t>Taiwan TWSE TWSE - Index Level: -30.00pct,</t>
  </si>
  <si>
    <t>Taiwan TWSE</t>
  </si>
  <si>
    <t>TWSE</t>
  </si>
  <si>
    <t>Aerospace &amp; Defense FMI_NAMR_INDAIRDEF - Industry Return: 25.00pct,</t>
  </si>
  <si>
    <t>FMI_NAMR_INDAIRDEF</t>
  </si>
  <si>
    <t>25.00pct</t>
  </si>
  <si>
    <t>Semiconductors &amp; Equipment FMI_NAMR_ITCSEMICEQ - Industry Return: -35.00pct,</t>
  </si>
  <si>
    <t>Semiconductors  Equipment</t>
  </si>
  <si>
    <t>FMI_NAMR_ITCSEMICEQ</t>
  </si>
  <si>
    <t>US HY Tech Hardware - US HY Market [USD_HY_HARDWARE_SF-USD_HY_MARKET_SF] - Spread Yield: 150.00bps</t>
  </si>
  <si>
    <t>150.00bps</t>
  </si>
  <si>
    <t>ALLUP24</t>
  </si>
  <si>
    <t xml:space="preserve">Global Monetary Policy - All Hike/Hold Steady               </t>
  </si>
  <si>
    <t>All Hike / Hold Steady Monetary Policy Scenario- FED hikes and ECB keeps rates steady as inflation measures reaccelerates in both regions. BoJ hikes ahead of schedule.</t>
  </si>
  <si>
    <t>Tsy 1Y USD_1yr - Yield: 87.00bps,</t>
  </si>
  <si>
    <t>87.00bps</t>
  </si>
  <si>
    <t>CPI 1yr USD_CPI_1yr - Yield: -20.00bps,</t>
  </si>
  <si>
    <t>CPI 1yr</t>
  </si>
  <si>
    <t>USD_CPI_1yr</t>
  </si>
  <si>
    <t>20.00bps</t>
  </si>
  <si>
    <t>DEM 1Y EUR_1yr - Yield: 94.00bps,</t>
  </si>
  <si>
    <t>DEM 1Y</t>
  </si>
  <si>
    <t>EUR_1yr</t>
  </si>
  <si>
    <t>94.00bps</t>
  </si>
  <si>
    <t>JPY 1Y JPY_1yr - Yield: 10.00bps,</t>
  </si>
  <si>
    <t>JPY 1Y</t>
  </si>
  <si>
    <t>JPY_1yr</t>
  </si>
  <si>
    <t>10.00bps</t>
  </si>
  <si>
    <t>JPY/USD JPY_FX_USD - FX: 2.00pct,</t>
  </si>
  <si>
    <t>JPY_FX_USD</t>
  </si>
  <si>
    <t>2.00pct</t>
  </si>
  <si>
    <t>S&amp;P 500 SPX - Index Level: -7.00pct,</t>
  </si>
  <si>
    <t>SPX</t>
  </si>
  <si>
    <t>7.00pct</t>
  </si>
  <si>
    <t>MSCI EUROPE(EUR) MXEU - Index Level: -8.00pct</t>
  </si>
  <si>
    <t>MXEU</t>
  </si>
  <si>
    <t>APR24REV</t>
  </si>
  <si>
    <t xml:space="preserve">Global Monetary Policy - Reversal of April 2024 x2          </t>
  </si>
  <si>
    <t>Reversal of April 2024 x 2 Monetary Policy Scenario- A reversal of market movements over April 2024, magnified by 2x</t>
  </si>
  <si>
    <t>Tsy 1Y USD_1yr - Yield: -34.14bps,</t>
  </si>
  <si>
    <t>CPI 1yr USD_CPI_1yr - Yield: 30.28bps,</t>
  </si>
  <si>
    <t>30.28bps</t>
  </si>
  <si>
    <t>DEM 1Y EUR_1yr - Yield:	-11.26bps,</t>
  </si>
  <si>
    <t>JPY 1Y JPY_1yr - Yield: -10.96bps,</t>
  </si>
  <si>
    <t>JPY/USD JPY_FX_USD - FX: 7.26pct,</t>
  </si>
  <si>
    <t>7.26pct</t>
  </si>
  <si>
    <t>S&amp;P 500 SPX - Index Level: 7.94pct,</t>
  </si>
  <si>
    <t>7.94pct</t>
  </si>
  <si>
    <t>MSCI EUROPE(EUR) MXEU - Index Level: 2.84pct,</t>
  </si>
  <si>
    <t>2.84pct</t>
  </si>
  <si>
    <t>MSCI World IT MSIT_LCL - Index Level: 6.00pct</t>
  </si>
  <si>
    <t>MSCI World IT</t>
  </si>
  <si>
    <t>MSIT_LCL</t>
  </si>
  <si>
    <t>6.00pct</t>
  </si>
  <si>
    <t>BRTRANS18</t>
  </si>
  <si>
    <t xml:space="preserve">BREXIT - Soft Deal                                          </t>
  </si>
  <si>
    <t>Soft Deal: UK and the 27 EU member states reach an agreement on the terms of Brexit that is approved by UK Parliament and ratified by the EU. The relatively short-lived scenario provides muted relief for risk assets and sterling as fears of a no-deal dissipate. However, an air of uncertainty remains over longer term prospects.</t>
  </si>
  <si>
    <t>GBP 2Y GBP_2yr - Yield: 10.00bps,</t>
  </si>
  <si>
    <t>GBP 2Y</t>
  </si>
  <si>
    <t>GBP_2yr</t>
  </si>
  <si>
    <t>GBP 10Y GBP_10yr - Yield: 10.00bps,</t>
  </si>
  <si>
    <t>GBP 10Y</t>
  </si>
  <si>
    <t>GBP_10yr</t>
  </si>
  <si>
    <t>EUR/USD EUR_FX_USD - FX: 0.00pct,</t>
  </si>
  <si>
    <t>EUR_FX_USD</t>
  </si>
  <si>
    <t>0.00pct</t>
  </si>
  <si>
    <t>GBP/USD GBP_FX_USD - FX: 5.00pct,</t>
  </si>
  <si>
    <t>GBPUSD</t>
  </si>
  <si>
    <t>GBP_FX_USD</t>
  </si>
  <si>
    <t>FTSE 100 UKX - Index Level: 4.00pct,</t>
  </si>
  <si>
    <t>FTSE 100</t>
  </si>
  <si>
    <t>UKX</t>
  </si>
  <si>
    <t>4.00pct</t>
  </si>
  <si>
    <t>MSCI World Net TR MSCIWLDNET - Index Level: 0.00pct,</t>
  </si>
  <si>
    <t>MSCI World Net TR</t>
  </si>
  <si>
    <t>MSCIWLDNET</t>
  </si>
  <si>
    <t>UK Credit GBP_LEH_CREDIT - Spread Yield: -25.00bps,</t>
  </si>
  <si>
    <t>UK Credit</t>
  </si>
  <si>
    <t>GBP_LEH_CREDIT</t>
  </si>
  <si>
    <t>Spread Yield</t>
  </si>
  <si>
    <t>25.00bps</t>
  </si>
  <si>
    <t>Time ALL_TIME - Time: 21.00days,</t>
  </si>
  <si>
    <t>Time</t>
  </si>
  <si>
    <t>ALL_TIME</t>
  </si>
  <si>
    <t>21.00days</t>
  </si>
  <si>
    <t>FTSE All Share - FTSE 100 [UKALL-UKX] - Index Level: 1.00pct</t>
  </si>
  <si>
    <t>Share</t>
  </si>
  <si>
    <t>1.00pct</t>
  </si>
  <si>
    <t>BTAX_AMB</t>
  </si>
  <si>
    <t xml:space="preserve">US Corporate Tax Reform - Ambitious Plan (07/2021)          </t>
  </si>
  <si>
    <t>Major US corporate tax increases and a global minimum tax framework are enacted.</t>
  </si>
  <si>
    <t>Tsy 10Y USD_10yr - Yield: -10.00bps,</t>
  </si>
  <si>
    <t>Muni Spread 10Y USD_muni_10yr - Other Spread Yield: -20.00bps,</t>
  </si>
  <si>
    <t>Muni Spread 10Y</t>
  </si>
  <si>
    <t>USD_muni_10yr</t>
  </si>
  <si>
    <t>Other Spread Yield</t>
  </si>
  <si>
    <t>DXY DXY - Index Level: -2.00pct,</t>
  </si>
  <si>
    <t>DXY</t>
  </si>
  <si>
    <t>MSCI World Net TR MSCIWLDNET - Index Level: -4.00pct,</t>
  </si>
  <si>
    <t>Time ALL_TIME - Time: 30.00days,</t>
  </si>
  <si>
    <t>30.00days</t>
  </si>
  <si>
    <t>Media FMI_NAMR_CDIMEDIA - Industry Return: -8.00pct,</t>
  </si>
  <si>
    <t>Media</t>
  </si>
  <si>
    <t>FMI_NAMR_CDIMEDIA</t>
  </si>
  <si>
    <t>Pharmaceuticals FMI_NAMR_HLCPHARMA - Industry Return: -8.00pct,</t>
  </si>
  <si>
    <t>Pharmaceuticals</t>
  </si>
  <si>
    <t>FMI_NAMR_HLCPHARMA</t>
  </si>
  <si>
    <t>Utilities FMI_NAMR_UTLUTIL - Industry Return: -2.00pct,</t>
  </si>
  <si>
    <t>Utilities</t>
  </si>
  <si>
    <t>FMI_NAMR_UTLUTIL</t>
  </si>
  <si>
    <t>US HY Market USD_HY_MARKET - Spread Yield: 20.00bps,</t>
  </si>
  <si>
    <t>US HY Market</t>
  </si>
  <si>
    <t>USD_HY_MARKET</t>
  </si>
  <si>
    <t>S&amp;P 500 Technology - S&amp;P 500 [S5INFT-SPX] - Index Level: -6.00pct,</t>
  </si>
  <si>
    <t>S&amp;P 500 - MSCI World Net TR [SPX-MSCIWLDNET] - Index Level: -2.00pct</t>
  </si>
  <si>
    <t>500</t>
  </si>
  <si>
    <t>BTAX_COMP</t>
  </si>
  <si>
    <t xml:space="preserve">US Corporate Tax Reform - Compromise Plan (07/2021)         </t>
  </si>
  <si>
    <t>A dialed down tax reform package passes, but US EU trade tensions rise over digital services taxes.</t>
  </si>
  <si>
    <t>Tsy 10Y USD_10yr - Yield: 20.00bps,</t>
  </si>
  <si>
    <t>Muni Spread 10Y USD_muni_10yr - Other Spread Yield: -10.00bps,</t>
  </si>
  <si>
    <t>DXY DXY - Index Level: -1.00pct,</t>
  </si>
  <si>
    <t>MSCI World Net TR MSCIWLDNET - Index Level: -2.00pct,</t>
  </si>
  <si>
    <t>Internet &amp; Catalog Retail FMI_NAMR_CDIRETNET - Industry Return: -5.00pct,</t>
  </si>
  <si>
    <t>FMI_NAMR_CDIRETNET</t>
  </si>
  <si>
    <t>IT Services FMI_NAMR_ITCITSERV - Industry Return: -5.00pct,</t>
  </si>
  <si>
    <t>IT Services</t>
  </si>
  <si>
    <t>FMI_NAMR_ITCITSERV</t>
  </si>
  <si>
    <t>Textiles Apparel Luxury Goods FMI_EMEA_CDITXTLUX - Industry Return: -5.00pct,</t>
  </si>
  <si>
    <t>Textiles Apparel Luxury Goods</t>
  </si>
  <si>
    <t>FMI_EMEA_CDITXTLUX</t>
  </si>
  <si>
    <t>US HY Market USD_HY_MARKET - Spread Yield: 8.00bps,</t>
  </si>
  <si>
    <t>8.00bps</t>
  </si>
  <si>
    <t>MSCI EUROPE(EUR) - MSCI World Net TR [MXEU-MSCIWLDNET] - Index Level: -2.00pct</t>
  </si>
  <si>
    <t>EUROPEEUR</t>
  </si>
  <si>
    <t>C07_ABS</t>
  </si>
  <si>
    <t xml:space="preserve">Credit '07 - Absolute, Jul 01, 2007 - Jul 01, 2008          </t>
  </si>
  <si>
    <t>Credit &amp; liquidity crisis stemming from a severe slowdown in the housing market causing significant widening of credit spreads and increased implied volatility. Shocks for DxS Factors are spreads.</t>
  </si>
  <si>
    <t>-</t>
  </si>
  <si>
    <t>C08_REL</t>
  </si>
  <si>
    <t xml:space="preserve">Crash '08 - Relative, Sep 12 - Nov 03, 2008                 </t>
  </si>
  <si>
    <t>Credit &amp; liquidity crisis and equity market crash set off by Lehman Brothers bankruptcy. Significant credit spreads widening caused by massive deleveraging. Shocks for DxS Factors are percentages of spread.</t>
  </si>
  <si>
    <t>CB_OVER</t>
  </si>
  <si>
    <t xml:space="preserve">Fed Policy at Growth Inflection-Economy Overheats(08/2021)  </t>
  </si>
  <si>
    <t>The US economy recovers sharply following a successful vaccine rollout, leading to elevated risk asset valuations and unexpectedly high inflation. Faced with apparent economic overheating, the Fed hastens its tapering of asset purchases and pulls rate hike expectations forward to early 2022.</t>
  </si>
  <si>
    <t>Tsy 2Y USD_2yr - Yield: 20.00bps,</t>
  </si>
  <si>
    <t>Tsy 10Y USD_10yr - Yield: 45.00bps,</t>
  </si>
  <si>
    <t>45.00bps</t>
  </si>
  <si>
    <t>USD INF 10Y USD_INF_10yr - Yield: -50.00bps,</t>
  </si>
  <si>
    <t>USD INF 10Y</t>
  </si>
  <si>
    <t>USD_INF_10yr</t>
  </si>
  <si>
    <t>15yr Mtg Tsy Basis USD_mtg15_tsy - Mortgage Basis: 20.00bps,</t>
  </si>
  <si>
    <t>15yr Mtg Tsy Basis</t>
  </si>
  <si>
    <t>USD_mtg15_tsy</t>
  </si>
  <si>
    <t>Mortgage Basis</t>
  </si>
  <si>
    <t>Brent Crude ICE 1 USD_COMD_CO_1 - Price Level: 7.00pct,</t>
  </si>
  <si>
    <t>Brent Crude ICE 1</t>
  </si>
  <si>
    <t>USD_COMD_CO_1</t>
  </si>
  <si>
    <t>Gold COMEX 1 USD_COMD_GC_1 - Price Level: 5.00pct,</t>
  </si>
  <si>
    <t>Gold COMEX 1</t>
  </si>
  <si>
    <t>USD_COMD_GC_1</t>
  </si>
  <si>
    <t>US Cash Bonds IG USD_LEH_CREDIT3 - Spread Yield: 20.00bps,</t>
  </si>
  <si>
    <t>US Cash Bonds IG</t>
  </si>
  <si>
    <t>USD_LEH_CREDIT3</t>
  </si>
  <si>
    <t>DXY DXY - Index Level: 3.00pct,</t>
  </si>
  <si>
    <t>3.00pct</t>
  </si>
  <si>
    <t>S&amp;P 500 SPX - Index Level: -8.00pct,</t>
  </si>
  <si>
    <t>US HY Market USD_HY_MARKET - Spread Yield: 50.00bps,</t>
  </si>
  <si>
    <t>S&amp;P 500 Consumer Staples Index - S&amp;P 500 [SPCS-SPX] - Index Level: 10.00pct</t>
  </si>
  <si>
    <t>Index</t>
  </si>
  <si>
    <t>CB_UNDER</t>
  </si>
  <si>
    <t xml:space="preserve">Fed Policy at Growth Inflection-Growth Disappoints(08/2021) </t>
  </si>
  <si>
    <t>Reopening of the US economy is put on hold as COVID 19 variants drive infection rates up, resulting in another round of lockdowns.</t>
  </si>
  <si>
    <t>Tsy 10Y USD_10yr - Yield: -40.00bps,</t>
  </si>
  <si>
    <t>40.00bps</t>
  </si>
  <si>
    <t>Tsy 30Y USD_30yr - Yield: -50.00bps,</t>
  </si>
  <si>
    <t>15yr Mtg Tsy Basis USD_mtg15_tsy - Mortgage Basis: -15.00bps,</t>
  </si>
  <si>
    <t>15.00bps</t>
  </si>
  <si>
    <t>Brent Crude ICE 1 USD_COMD_CO_1 - Price Level	: -25.00pct,</t>
  </si>
  <si>
    <t>US Cash Bonds IG USD_LEH_CREDIT3 - Spread Yield: 35.00bps,</t>
  </si>
  <si>
    <t>35.00bps</t>
  </si>
  <si>
    <t>DXY DXY - Index Level: -3.00pct,</t>
  </si>
  <si>
    <t>S&amp;P 500 SPX - Index Level: -10.00pct,</t>
  </si>
  <si>
    <t>Airlines FMI_NAMR_INDAIRLINE - Industry Return: -12.00pct,</t>
  </si>
  <si>
    <t>Airlines</t>
  </si>
  <si>
    <t>FMI_NAMR_INDAIRLINE</t>
  </si>
  <si>
    <t>12.00pct</t>
  </si>
  <si>
    <t>Software FMI_NAMR_ITCSOFTW - Industry Return: 5.00pct,</t>
  </si>
  <si>
    <t>Software</t>
  </si>
  <si>
    <t>FMI_NAMR_ITCSOFTW</t>
  </si>
  <si>
    <t>US HY Market USD_HY_MARKET - Spread Yield: 65.00bps,</t>
  </si>
  <si>
    <t>65.00bps</t>
  </si>
  <si>
    <t>ABS Consumer USD_ABS_CONSUMER - Spread Yield: 40.00bps,</t>
  </si>
  <si>
    <t>ABS Consumer</t>
  </si>
  <si>
    <t>USD_ABS_CONSUMER</t>
  </si>
  <si>
    <t>CRT BB USD_CRT_BB - Price Level: -1.50pct,</t>
  </si>
  <si>
    <t>CRT BB</t>
  </si>
  <si>
    <t>USD_CRT_BB</t>
  </si>
  <si>
    <t>CRT NR USD_CRT_NR - Price Level: -3.50pct</t>
  </si>
  <si>
    <t>CRT NR</t>
  </si>
  <si>
    <t>USD_CRT_NR</t>
  </si>
  <si>
    <t>CEIL_DEF</t>
  </si>
  <si>
    <t xml:space="preserve">US Debt Ceiling - Technical Default (5/2023)                </t>
  </si>
  <si>
    <t>Negotiations are not reached in time for the x-date, government has a technical default.</t>
  </si>
  <si>
    <t>Gold COMEX 1 USD_COMD_GC_1 - Price Level 10.00 pct,</t>
  </si>
  <si>
    <t>DEM 10Y EUR_10yr - Yield -30.00 bps,</t>
  </si>
  <si>
    <t>DEM 10Y</t>
  </si>
  <si>
    <t>EUR_10yr</t>
  </si>
  <si>
    <t>DXY DXY - Index Level -2.50 pct,</t>
  </si>
  <si>
    <t>S&amp;P 500 SPX - Index Level -20.00 pct,</t>
  </si>
  <si>
    <t>US HY Banking USD_HY_BANKBROK_SF - Spread Yield 200.00 bps,</t>
  </si>
  <si>
    <t>US HY Banking</t>
  </si>
  <si>
    <t>USD_HY_BANKBROK_SF</t>
  </si>
  <si>
    <t>DEM 10Y - Tsy 10Y [DEM_10yr-USD_10yr] - Spread Yield -60.00 bps,</t>
  </si>
  <si>
    <t>10Y</t>
  </si>
  <si>
    <t>S&amp;P 500 Financials - S&amp;P 500 [S5FINL-SPX] - Index Level -12.50 pct,</t>
  </si>
  <si>
    <t>Financials</t>
  </si>
  <si>
    <t>Tsy 2Y - Tsy 10Y [USD_2yr-USD_10yr] - Yield 30.00 bps</t>
  </si>
  <si>
    <t>2Y</t>
  </si>
  <si>
    <t>Tsy 10Y USD_10yr - Yield -100.00 bps,</t>
  </si>
  <si>
    <t>Gold COMEX 1 USD_COMD_GC_1 - Price Level 5.00 pct,</t>
  </si>
  <si>
    <t>DXY DXY - Index Level 2.50 pct,</t>
  </si>
  <si>
    <t>S&amp;P 500 SPX - Index Level -12.50 pct,</t>
  </si>
  <si>
    <t>US HY Banking USD_HY_BANKBROK_SF - Spread Yield 75.00 bps,</t>
  </si>
  <si>
    <t>S&amp;P 500 Financials - S&amp;P 500 [S5FINL-SPX] - Index Level -5.00 pct</t>
  </si>
  <si>
    <t>Tsy 10Y USD_10yr - Yield -20.00 bps,</t>
  </si>
  <si>
    <t>Brent Crude ICE 1 USD_COMD_CO_1 - Price Level -30.00 pct,</t>
  </si>
  <si>
    <t>CNY/USD CNY_FX_USD - FX -4.00 pct,</t>
  </si>
  <si>
    <t>JPY/USD JPY_FX_USD - FX 5.00 pct,</t>
  </si>
  <si>
    <t>Time ALL_TIME - Time 30.00 days,</t>
  </si>
  <si>
    <t>Construction Materials FMI_APXJ_MATCONSTM - Industry Return 10.00 pct,</t>
  </si>
  <si>
    <t>Construction Materials</t>
  </si>
  <si>
    <t>FMI_APXJ_MATCONSTM</t>
  </si>
  <si>
    <t>Consumer Services FMI_APXJ_CDICONSVCS - Industry Return -10.00 pct,</t>
  </si>
  <si>
    <t>Consumer Services</t>
  </si>
  <si>
    <t>FMI_APXJ_CDICONSVCS</t>
  </si>
  <si>
    <t>EMBIG DxS USD_EM_DS_G - Spread Yield 150.00 bps,</t>
  </si>
  <si>
    <t>EMBIG DxS</t>
  </si>
  <si>
    <t>USD_EM_DS_G</t>
  </si>
  <si>
    <t>China Corp HY USD_CN_CORP_HY - Spread Yield 400.00 bps,</t>
  </si>
  <si>
    <t>China Corp HY</t>
  </si>
  <si>
    <t>USD_CN_CORP_HY</t>
  </si>
  <si>
    <t>MSCI China Index (USD) MSCINDRCHN - Index Level -20.00 pct,</t>
  </si>
  <si>
    <t>MSCI China Index USD</t>
  </si>
  <si>
    <t>MSCINDRCHN</t>
  </si>
  <si>
    <t>CEIL_LAST</t>
  </si>
  <si>
    <t xml:space="preserve">US Debt Ceiling - Last Minute Agreement (5/2023)            </t>
  </si>
  <si>
    <t>Negotiations are reached close to the X-date, with a risk-off in the markets</t>
  </si>
  <si>
    <t>MSCI World Net TR - MSCI China Index (USD) [MSCIWLDNET-MSCINDRCHN] - Index Level 10.00 pct</t>
  </si>
  <si>
    <t>TR</t>
  </si>
  <si>
    <t>ITL 10Y ITL_10yr - Spread Yield 80.00 bps,</t>
  </si>
  <si>
    <t>ITL 10Y</t>
  </si>
  <si>
    <t>ITL_10yr</t>
  </si>
  <si>
    <t>RUB 10Y RUB_10yr - Yield 80.00 bps,</t>
  </si>
  <si>
    <t>RUB 10Y</t>
  </si>
  <si>
    <t>RUB_10yr</t>
  </si>
  <si>
    <t>CZK/USD CZK_FX_USD - FX -5.00 pct,</t>
  </si>
  <si>
    <t>CZKUSD</t>
  </si>
  <si>
    <t>CZK_FX_USD</t>
  </si>
  <si>
    <t>RUB/USD RUB_FX_USD - FX -10.00 pct,</t>
  </si>
  <si>
    <t>RUBUSD</t>
  </si>
  <si>
    <t>RUB_FX_USD</t>
  </si>
  <si>
    <t>DXY DXY - Index Level 3.00 pct,</t>
  </si>
  <si>
    <t>MSCI EUROPE(EUR) MXEU - Index Level -10.00 pct,</t>
  </si>
  <si>
    <t>Hotels Restaurants &amp; Leisure FMI_EMEA_CDIHOTREST - Industry Return -15.00 pct,</t>
  </si>
  <si>
    <t>FMI_EMEA_CDIHOTREST</t>
  </si>
  <si>
    <t>Saudi Arabia FMI_WRLD_SAU - Country Return -10.00 pct,</t>
  </si>
  <si>
    <t>Saudi Arabia</t>
  </si>
  <si>
    <t>FMI_WRLD_SAU</t>
  </si>
  <si>
    <t>EMBIG DxS USD_EM_DS_G - Spread Yield 100.00 bps,</t>
  </si>
  <si>
    <t>Middle East and Africa USD_EM_CORP_MIDAF - Spread Yield 200.00 bps</t>
  </si>
  <si>
    <t>Middle East and Africa</t>
  </si>
  <si>
    <t>USD_EM_CORP_MIDAF</t>
  </si>
  <si>
    <t>BRL 3M BRL_3m - Yield -100.00 bps,</t>
  </si>
  <si>
    <t>BRL 3M</t>
  </si>
  <si>
    <t>BRL_3m</t>
  </si>
  <si>
    <t>BRL 10Y BRL_10yr - Yield 100.00 bps,</t>
  </si>
  <si>
    <t>BRL 10Y</t>
  </si>
  <si>
    <t>BRL_10yr</t>
  </si>
  <si>
    <t>BRL/USD BRL_FX_USD - FX -20.00 pct,</t>
  </si>
  <si>
    <t>BRLUSD</t>
  </si>
  <si>
    <t>BRL_FX_USD</t>
  </si>
  <si>
    <t>VIX VIX - Index Level 30.00 pct,</t>
  </si>
  <si>
    <t>VIX</t>
  </si>
  <si>
    <t>CEM_ASIA</t>
  </si>
  <si>
    <t xml:space="preserve">EM Pandemic Crisis - Second Wave Outbreak in China          </t>
  </si>
  <si>
    <t>After moving to normalize economic activity, China experiences a second wave of COVID-19 cases. Chinese policymakers intervene to ensure stability, despite having scrapped a numerical GDP growth target for 2020.</t>
  </si>
  <si>
    <t>Cons Staples x Alcohol &amp; Tob FMI_LATC_CSTXALCTOB - Industry Return 10.00 pct,</t>
  </si>
  <si>
    <t>FMI_LATC_CSTXALCTOB</t>
  </si>
  <si>
    <t>Banks FMI_LATC_FINBANK - Industry Return -10.00 pct,</t>
  </si>
  <si>
    <t>Banks</t>
  </si>
  <si>
    <t>FMI_LATC_FINBANK</t>
  </si>
  <si>
    <t>Mexico USD_EM_DS_MEXICO - Spread Yield 200.00 bps,</t>
  </si>
  <si>
    <t>Mexico</t>
  </si>
  <si>
    <t>USD_EM_DS_MEXICO</t>
  </si>
  <si>
    <t>MSCI EM Latin America (Loc) MS_LA_LCL - Index Level -20.00 pct,</t>
  </si>
  <si>
    <t>MSCI EM Latin America Loc</t>
  </si>
  <si>
    <t>MS_LA_LCL</t>
  </si>
  <si>
    <t>LA Industrial USD_EM_CORP_SA_INDU - Spread Yield 200.00 bps</t>
  </si>
  <si>
    <t>LA Industrial</t>
  </si>
  <si>
    <t>USD_EM_CORP_SA_INDU</t>
  </si>
  <si>
    <t>Tsy 10Y USD_10yr - Yield -35.00 bps,</t>
  </si>
  <si>
    <t>USD INF 10Y USD_INF_10yr - Yield -20.00 bps,</t>
  </si>
  <si>
    <t>Copper CMX 1 USD_COMD_HG_1 - Price Level -10.00 pct,</t>
  </si>
  <si>
    <t>Copper CMX 1</t>
  </si>
  <si>
    <t>USD_COMD_HG_1</t>
  </si>
  <si>
    <t>Gold COMEX 1 USD_COMD_GC_1 - Price Level 6.00 pct,</t>
  </si>
  <si>
    <t>MXN 10Y MXN_10yr - Yield 80.00 bps,</t>
  </si>
  <si>
    <t>MXN 10Y</t>
  </si>
  <si>
    <t>MXN_10yr</t>
  </si>
  <si>
    <t>CNY/USD CNY_FX_USD - FX -2.00 pct,</t>
  </si>
  <si>
    <t>MXN/USD MXN_FX_USD - FX -8.00 pct,</t>
  </si>
  <si>
    <t>MXNUSD</t>
  </si>
  <si>
    <t>MXN_FX_USD</t>
  </si>
  <si>
    <t>S&amp;P 500 SPX - Index Level -8.00 pct,</t>
  </si>
  <si>
    <t>Global HY 5 ALL_GLB_CORP_HY_5Y - Spread Yield 60.00 bps,</t>
  </si>
  <si>
    <t>Global HY 5</t>
  </si>
  <si>
    <t>ALL_GLB_CORP_HY_5Y</t>
  </si>
  <si>
    <t>EMBIG DxS USD_EM_DS_G - Spread Yield 80.00 bps,</t>
  </si>
  <si>
    <t>China Corp HY USD_CN_CORP_HY - Spread Yield 150.00 bps,</t>
  </si>
  <si>
    <t>MSCI China MS_CN_LCL - Index Level -20.00 pct,</t>
  </si>
  <si>
    <t>MSCI China</t>
  </si>
  <si>
    <t>MS_CN_LCL</t>
  </si>
  <si>
    <t>MS Emerging Mkts - MSCI World Net TR [MXEF-MSCIWLDNET] - Index Level -5.00 pct</t>
  </si>
  <si>
    <t>Mkts</t>
  </si>
  <si>
    <t>Tsy 2Y USD_2yr - Yield 25.00 bps,</t>
  </si>
  <si>
    <t>Tsy 10Y USD_10yr - Yield 3.00 bps,</t>
  </si>
  <si>
    <t>Brent Crude ICE 1 USD_COMD_CO_1 - Price Level -10.00 pct,</t>
  </si>
  <si>
    <t>Gold GOLD_SPOT - Price Level 5.00 pct,</t>
  </si>
  <si>
    <t>Gold</t>
  </si>
  <si>
    <t>GOLD_SPOT</t>
  </si>
  <si>
    <t>US Tech IG USD_TECH_IG3 - Spread Yield 15.00 bps,</t>
  </si>
  <si>
    <t>US Tech IG</t>
  </si>
  <si>
    <t>USD_TECH_IG3</t>
  </si>
  <si>
    <t>CNY/USD CNY_FX_USD - FX -0.50 pct,</t>
  </si>
  <si>
    <t>DXY DXY - Index Level -4.00 pct,</t>
  </si>
  <si>
    <t>Growth FMI_WRLD_GROWTH - Style Return -70.00 bps,</t>
  </si>
  <si>
    <t>Growth</t>
  </si>
  <si>
    <t>FMI_WRLD_GROWTH</t>
  </si>
  <si>
    <t>Non$ China Corp HY ALL_CN_CORP_HY - Spread Yield 100.00 bps,</t>
  </si>
  <si>
    <t>Non China Corp HY</t>
  </si>
  <si>
    <t>ALL_CN_CORP_HY</t>
  </si>
  <si>
    <t>MSCI China MS_CN_LCL - Index Level -15.00 pct,</t>
  </si>
  <si>
    <t>S&amp;P 500 Technology - S&amp;P 500 [S5INFT-SPX] - Index Level -5.00 pct</t>
  </si>
  <si>
    <t>USD INF 10Y USD_INF_10yr - Yield -10.00 bps,</t>
  </si>
  <si>
    <t>Soybeans CBOT 1 USD_COMD_S_1 - Price Level -4.00 pct,</t>
  </si>
  <si>
    <t>Soybeans CBOT 1</t>
  </si>
  <si>
    <t>USD_COMD_S_1</t>
  </si>
  <si>
    <t>US Auto IG USD_AUTO_IG3 - Spread Yield 5.00 bps,</t>
  </si>
  <si>
    <t>US Auto IG</t>
  </si>
  <si>
    <t>USD_AUTO_IG3</t>
  </si>
  <si>
    <t>CNY/USD CNY_FX_USD - FX -1.00 pct,</t>
  </si>
  <si>
    <t>DXY DXY - Index Level 1.00 pct,</t>
  </si>
  <si>
    <t>S&amp;P 500 SPX - Index Level -2.50 pct,</t>
  </si>
  <si>
    <t>Chemicals FMI_NAMR_MATCHEM - Industry Return -1.00 pct,</t>
  </si>
  <si>
    <t>Chemicals</t>
  </si>
  <si>
    <t>FMI_NAMR_MATCHEM</t>
  </si>
  <si>
    <t>Aerospace &amp; Defense FMI_NAMR_INDAIRDEF - Industry Return -2.00 pct,</t>
  </si>
  <si>
    <t>Automobiles &amp; Components FMI_NAMR_CDIAUTOCMP - Industry Return -2.00 pct,</t>
  </si>
  <si>
    <t>Automobiles  Components</t>
  </si>
  <si>
    <t>FMI_NAMR_CDIAUTOCMP</t>
  </si>
  <si>
    <t>Aerospace &amp; Def Const &amp; Eng FMI_APXJ_INDDEFENG - Industry Return -1.00 pct,</t>
  </si>
  <si>
    <t>FMI_APXJ_INDDEFENG</t>
  </si>
  <si>
    <t>Communications Equipment FMI_APXJ_ITCCOMMEQ - Industry Return -6.00 pct,</t>
  </si>
  <si>
    <t>Communications Equipment</t>
  </si>
  <si>
    <t>FMI_APXJ_ITCCOMMEQ</t>
  </si>
  <si>
    <t>Elec Eq Instr Comp &amp; Off Elec FMI_APXJ_ITCELECEQO - Industry Return -6.00 pct,</t>
  </si>
  <si>
    <t>FMI_APXJ_ITCELECEQO</t>
  </si>
  <si>
    <t>MSCI China Index (USD) MSCINDRCHN - Index Level -4.00 pct</t>
  </si>
  <si>
    <t>Brent Crude ICE 1 USD_COMD_CO_1 - Price Level -20.00 pct,</t>
  </si>
  <si>
    <t>Copper LME 1 USD_COMD_LP_1 - Price Level -15.00 pct,</t>
  </si>
  <si>
    <t>Copper LME 1</t>
  </si>
  <si>
    <t>USD_COMD_LP_1</t>
  </si>
  <si>
    <t>CNY 2Y CNY_2yr - Yield -10.00 bps,</t>
  </si>
  <si>
    <t>CNY 2Y</t>
  </si>
  <si>
    <t>CNY_2yr</t>
  </si>
  <si>
    <t>CNY 10Y CNY_10yr - Yield 20.00 bps,</t>
  </si>
  <si>
    <t>CNY 10Y</t>
  </si>
  <si>
    <t>CNY_10yr</t>
  </si>
  <si>
    <t>MSCI World Net TR MSCIWLDNET - Index Level -4.00 pct,</t>
  </si>
  <si>
    <t>Energy FMI_APXJ_EGYENERGY - Industry Return -4.00 pct,</t>
  </si>
  <si>
    <t>Energy</t>
  </si>
  <si>
    <t>FMI_APXJ_EGYENERGY</t>
  </si>
  <si>
    <t>Construction Materials FMI_APXJ_MATCONSTM - Industry Return -5.00 pct,</t>
  </si>
  <si>
    <t>Industrial Conglomerates FMI_APXJ_INDCONGLOM - Industry Return -5.00 pct,</t>
  </si>
  <si>
    <t>Industrial Conglomerates</t>
  </si>
  <si>
    <t>FMI_APXJ_INDCONGLOM</t>
  </si>
  <si>
    <t>Real Estate Management &amp; Dev FMI_APXJ_FINREALMGT - Industry Return -3.00 pct,</t>
  </si>
  <si>
    <t>FMI_APXJ_FINREALMGT</t>
  </si>
  <si>
    <t>China Corp HY USD_CN_CORP_HY - Spread Yield 50.00 bps,</t>
  </si>
  <si>
    <t>MSCI China MS_CN_LCL - Index Level -10.00 pct</t>
  </si>
  <si>
    <t>Copper LME 1 USD_COMD_LP_1 - Price Level -20.00 pct,</t>
  </si>
  <si>
    <t>AUD/USD AUD_FX_USD - FX -2.00 pct,</t>
  </si>
  <si>
    <t>AUDUSD</t>
  </si>
  <si>
    <t>AUD_FX_USD</t>
  </si>
  <si>
    <t>JPY/USD JPY_FX_USD - FX 3.00 pct,</t>
  </si>
  <si>
    <t>MSCI World Net TR MSCIWLDNET - Index Level -10.00 pct,</t>
  </si>
  <si>
    <t>Textiles Apparel Luxury Goods FMI_EMEA_CDITXTLUX - Industry Return -15.00 pct,</t>
  </si>
  <si>
    <t>Automobiles &amp; Components FMI_WRLD_CDIAUTOCMP - Industry Return -10.00 pct,</t>
  </si>
  <si>
    <t>FMI_WRLD_CDIAUTOCMP</t>
  </si>
  <si>
    <t>US HY Market USD_HY_MARKET_SF - Spread Yield 65.00 bps,</t>
  </si>
  <si>
    <t>USD_HY_MARKET_SF</t>
  </si>
  <si>
    <t>CEM_LATAM</t>
  </si>
  <si>
    <t xml:space="preserve">EM Pandemic Crisis - Widespread Infections Devastate LatAm  </t>
  </si>
  <si>
    <t>A jump in infection rates results in strict lockdowns across most of LatAm. Regional central banks loosen monetary policy in an effort to stimulate their economies, but markets panic as political instability rises and lockdown measures persist.</t>
  </si>
  <si>
    <t>MSCI China - MSCI World Net TR [MS_CN_LCL-MSCIWLDNET] - Index Level -5.00 pct,</t>
  </si>
  <si>
    <t>China</t>
  </si>
  <si>
    <t>MSCI EUROPE(EUR) - MSCI World Net TR [MXEU-MSCIWLDNET] - Index Level -12.00 pct</t>
  </si>
  <si>
    <t>Copper LME 1 USD_COMD_LP_1 - Price Level 10.00 pct,</t>
  </si>
  <si>
    <t>CNY 10Y CNY_10yr - Yield 0.00 bps,</t>
  </si>
  <si>
    <t>Software &amp; Internet Services FMI_APXJ_ITCSOFTNET - Industry Return 5.00 pct,</t>
  </si>
  <si>
    <t>FMI_APXJ_ITCSOFTNET</t>
  </si>
  <si>
    <t>China Corp HY USD_CN_CORP_HY - Spread Yield -100.00 bps,</t>
  </si>
  <si>
    <t>China Property HY USD_CN_PROP_HY - Spread Yield -200.00 bps,</t>
  </si>
  <si>
    <t>China Property HY</t>
  </si>
  <si>
    <t>USD_CN_PROP_HY</t>
  </si>
  <si>
    <t>MSCI China MS_CN_LCL - Index Level 12.00 pct</t>
  </si>
  <si>
    <t>Brent Crude ICE 1 USD_COMD_CO_1 - Price Level 20.00 pct,</t>
  </si>
  <si>
    <t>CNY 2Y CNY_2yr - Yield -20.00 bps,</t>
  </si>
  <si>
    <t>China Shanghai SECmp SHCOMP - Index Level 15.00 pct,</t>
  </si>
  <si>
    <t>China Shanghai SECmp</t>
  </si>
  <si>
    <t>SHCOMP</t>
  </si>
  <si>
    <t>Household Durables FMI_CHNA_CDIHHDUR - Industry Return 6.50 pct,</t>
  </si>
  <si>
    <t>Household Durables</t>
  </si>
  <si>
    <t>FMI_CHNA_CDIHHDUR</t>
  </si>
  <si>
    <t>Retailing FMI_CHNA_CDIRETAIL - Industry Return 5.00 pct,</t>
  </si>
  <si>
    <t>Retailing</t>
  </si>
  <si>
    <t>FMI_CHNA_CDIRETAIL</t>
  </si>
  <si>
    <t>Real Estate Management &amp; Dev FMI_CHNA_FINREALMGT - Industry Return 6.00 pct,</t>
  </si>
  <si>
    <t>FMI_CHNA_FINREALMGT</t>
  </si>
  <si>
    <t>China Corp HY USD_CN_CORP_HY - Spread Yield -200.00 bps</t>
  </si>
  <si>
    <t>Copper LME 1 USD_COMD_LP_1 - Price Level -10.00 pct,</t>
  </si>
  <si>
    <t>CNY 10Y CNY_10yr - Yield -20.00 bps,</t>
  </si>
  <si>
    <t>MS Europe MSER - Index Level -16.00 pct,</t>
  </si>
  <si>
    <t>MS Europe</t>
  </si>
  <si>
    <t>MSER</t>
  </si>
  <si>
    <t>China Shanghai SECmp SHCOMP - Index Level -20.00 pct,</t>
  </si>
  <si>
    <t>Household Durables FMI_CHNA_CDIHHDUR - Industry Return -6.50 pct,</t>
  </si>
  <si>
    <t>Retailing FMI_CHNA_CDIRETAIL - Industry Return -5.00 pct,</t>
  </si>
  <si>
    <t>China Corp HY USD_CN_CORP_HY - Spread Yield 300.00 bps,</t>
  </si>
  <si>
    <t>MSCI AC Asia Pacific (Loc) - China Shanghai SECmp [MSAC_APLCL-SHCOMP] - Index Level 5.00 pct</t>
  </si>
  <si>
    <t>Loc</t>
  </si>
  <si>
    <t>CHINA15A</t>
  </si>
  <si>
    <t xml:space="preserve">Chinese Market Crash '15 - Absolute, June 12 - Aug 26, 2015 </t>
  </si>
  <si>
    <t>Chinese stock market crash beginning with the popping of the stock market bubble on 12 June 2015</t>
  </si>
  <si>
    <t>JPY/USD JPY_FX_USD - FX 2.00 pct,</t>
  </si>
  <si>
    <t>CHINA15R</t>
  </si>
  <si>
    <t xml:space="preserve">Chinese Market Crash '15 - Relative, June 12 - Aug 26, 2015 </t>
  </si>
  <si>
    <t>VIX VIX - Index Level 10.00 pct,</t>
  </si>
  <si>
    <t>CHNTD_GLB</t>
  </si>
  <si>
    <t xml:space="preserve">US-China Trade Relations - Global Trade Protectionism       </t>
  </si>
  <si>
    <t>US-China Trade Relations - Global Trade Protectionism: US protectionism escalates trade disputes, and market sentiment deteriorates amid fears of a global trade war.</t>
  </si>
  <si>
    <t>China Shanghai SECmp SHCOMP - Index Level -10.00 pct,</t>
  </si>
  <si>
    <t>Philippines PSEi PCOMP - Index Level -10.00 pct,</t>
  </si>
  <si>
    <t>Philippines PSEi</t>
  </si>
  <si>
    <t>PCOMP</t>
  </si>
  <si>
    <t>MSCI World Net TR MSCIWLDNET - Index Level -5.00 pct,</t>
  </si>
  <si>
    <t>Asia Corp IG USD_ASIA_CORP_IG - Spread Yield 20.00 bps,</t>
  </si>
  <si>
    <t>Asia Corp IG</t>
  </si>
  <si>
    <t>USD_ASIA_CORP_IG</t>
  </si>
  <si>
    <t>China Corp HY USD_CN_CORP_HY - Spread Yield 50.00 bps</t>
  </si>
  <si>
    <t>RUB/USD RUB_FX_USD - FX -20.00 pct,</t>
  </si>
  <si>
    <t>Russia RTS RTSI - Index Level -25.00 pct,</t>
  </si>
  <si>
    <t>Russia RTS</t>
  </si>
  <si>
    <t>RTSI</t>
  </si>
  <si>
    <t>EMBIG DxS USD_EM_DS_G - Spread Yield 25.00 bps,</t>
  </si>
  <si>
    <t>Russia USD_EM_DS_RUSSIA - Spread Yield 100.00 bps,</t>
  </si>
  <si>
    <t>Russia</t>
  </si>
  <si>
    <t>USD_EM_DS_RUSSIA</t>
  </si>
  <si>
    <t>Russia USD_EM_CORP_EE_RU - Spread Yield 100.00 bps</t>
  </si>
  <si>
    <t>USD_EM_CORP_EE_RU</t>
  </si>
  <si>
    <t>Tsy 10Y USD_10yr - Yield -40.00 bps,</t>
  </si>
  <si>
    <t>VIX VIX - Index Level 20.00 pct,</t>
  </si>
  <si>
    <t>CDX.NA.HY.5 USD_CORP_HY_5YN - Spread Yield 80.00 bps</t>
  </si>
  <si>
    <t>CDXNAHY5</t>
  </si>
  <si>
    <t>USD_CORP_HY_5YN</t>
  </si>
  <si>
    <t>Tsy 2Y USD_2yr - Yield -20.00 bps,</t>
  </si>
  <si>
    <t>Tsy 10Y USD_10yr - Yield -70.00 bps,</t>
  </si>
  <si>
    <t>CPI 10yr USD_CPI_10yr - Yield 50.00 bps,</t>
  </si>
  <si>
    <t>CPI 10yr</t>
  </si>
  <si>
    <t>USD_CPI_10yr</t>
  </si>
  <si>
    <t>Gold COMEX 1 USD_COMD_GC_1 - Price Level 20.00 pct,</t>
  </si>
  <si>
    <t>US Cash Bonds IG USD_LEH_CREDIT3 - Spread Yield 300.00 bps,</t>
  </si>
  <si>
    <t>US Banking IG USD_BANKBROK_IG3 - Spread Yield 500.00 bps,</t>
  </si>
  <si>
    <t>US Banking IG</t>
  </si>
  <si>
    <t>USD_BANKBROK_IG3</t>
  </si>
  <si>
    <t>MXN 5Y MXN_5yr - Yield 300.00 bps,</t>
  </si>
  <si>
    <t>MXN 5Y</t>
  </si>
  <si>
    <t>MXN_5yr</t>
  </si>
  <si>
    <t>JPY/USD JPY_FX_USD - FX 9.00 pct,</t>
  </si>
  <si>
    <t>DXY DXY - Index Level 10.00 pct,</t>
  </si>
  <si>
    <t>S&amp;P 500 SPX - Index Level -30.00 pct,</t>
  </si>
  <si>
    <t>VIX VIX - Index Level 50.00 pct,</t>
  </si>
  <si>
    <t>Leisure Equipment &amp; Products FMI_WRLD_CDILEISEQ - Industry Return -20.00 pct,</t>
  </si>
  <si>
    <t>Leisure Equipment  Products</t>
  </si>
  <si>
    <t>FMI_WRLD_CDILEISEQ</t>
  </si>
  <si>
    <t>S&amp;P 500 Financials - S&amp;P 500 [S5FINL-SPX] - Index Level -20.00 pct</t>
  </si>
  <si>
    <t>Tsy 10Y USD_10yr - Yield -30.00 bps,</t>
  </si>
  <si>
    <t>US Cash Bonds IG USD_LEH_CREDIT3 - Spread Yield 100.00 bps,</t>
  </si>
  <si>
    <t>MXN 5Y MXN_5yr - Yield 80.00 bps,</t>
  </si>
  <si>
    <t>VIX VIX - Index Level 15.00 pct,</t>
  </si>
  <si>
    <t>MSCI World Net TR MSCIWLDNET - Index Level -15.00 pct,</t>
  </si>
  <si>
    <t>Textiles Apparel Luxury Goods FMI_WRLD_CDITXTLUX - Industry Return -10.00 pct,</t>
  </si>
  <si>
    <t>FMI_WRLD_CDITXTLUX</t>
  </si>
  <si>
    <t>CHNTD_LOC</t>
  </si>
  <si>
    <t>US-China Trade Relations - Tariffs &amp; Investment Restrictions</t>
  </si>
  <si>
    <t>US-China Trade Relations - Tariffs &amp; Investment Restrictions : Trade relations are strained due to broad US sanctions on China and investment restrictions from both countries.</t>
  </si>
  <si>
    <t>Asia Corp IG USD_ASIA_CORP_IG - Spread Yield 60.00 bps,</t>
  </si>
  <si>
    <t>MSCI World Cons. Discretionary - MSCI World Consumer Staples [MSCODS_LCL-MSCOST_LCL] - Index Level -10.00 pct,</t>
  </si>
  <si>
    <t>Discretionary</t>
  </si>
  <si>
    <t>US Energy IG - US Cash Bonds IG [USD_ENERGY_IG3-USD_LEH_CREDIT3] - Spread Yield 40.00 bps</t>
  </si>
  <si>
    <t>IG</t>
  </si>
  <si>
    <t>Tsy 2Y USD_2yr - Yield -10.00 bps,</t>
  </si>
  <si>
    <t>MXN 5Y MXN_5yr - Yield -30.00 bps,</t>
  </si>
  <si>
    <t>MXN/USD MXN_FX_USD - FX 6.00 pct,</t>
  </si>
  <si>
    <t>VIX VIX - Index Level -12.00 pct,</t>
  </si>
  <si>
    <t>MSCI World Net TR MSCIWLDNET - Index Level 15.00 pct,</t>
  </si>
  <si>
    <t>EU Credit IG EUR_LEH_CREDIT - Spread Yield -40.00 bps,</t>
  </si>
  <si>
    <t>EU Credit IG</t>
  </si>
  <si>
    <t>EUR_LEH_CREDIT</t>
  </si>
  <si>
    <t>Value FMI_WRLD_VALUE - Style Return 200.00 bps,</t>
  </si>
  <si>
    <t>Value</t>
  </si>
  <si>
    <t>FMI_WRLD_VALUE</t>
  </si>
  <si>
    <t>EMBIG DxS USD_EM_DS_G - Spread Yield -130.00 bps,</t>
  </si>
  <si>
    <t>MSCI World Consumer Staples - MSCI World Net TR [MSCOST_LCL-MSCIWLDNET] - Index Level -6.00 pct,</t>
  </si>
  <si>
    <t>Staples</t>
  </si>
  <si>
    <t>MS Emerging Mkts - MSCI World Net TR [MXEF-MSCIWLDNET] - Index Level -2.00 pct,</t>
  </si>
  <si>
    <t>Tsy 30Y - Tsy 2Y [USD_30yr-USD_2yr] - Yield 25.00 bps,</t>
  </si>
  <si>
    <t>30Y</t>
  </si>
  <si>
    <t>US Cash Bonds IG - EU Credit IG [USD_LEH_CREDIT3-EUR_LEH_CREDIT] - Spread Yield -30.00 bps</t>
  </si>
  <si>
    <t>MXN 5Y MXN_5yr - Yield 50.00 bps,</t>
  </si>
  <si>
    <t>ZAR 10Y ZAR_10yr - Yield 100.00 bps,</t>
  </si>
  <si>
    <t>ZAR 10Y</t>
  </si>
  <si>
    <t>ZAR_10yr</t>
  </si>
  <si>
    <t>PLN 5Y PLN_5yr - Yield -30.00 bps,</t>
  </si>
  <si>
    <t>PLN 5Y</t>
  </si>
  <si>
    <t>PLN_5yr</t>
  </si>
  <si>
    <t>CHF/USD CHF_FX_USD - FX 2.00 pct,</t>
  </si>
  <si>
    <t>CHFUSD</t>
  </si>
  <si>
    <t>CHF_FX_USD</t>
  </si>
  <si>
    <t>CNY/USD CNY_FX_USD - FX -3.50 pct,</t>
  </si>
  <si>
    <t>TWD/USD TWD_FX_USD - FX -3.00 pct,</t>
  </si>
  <si>
    <t>TWDUSD</t>
  </si>
  <si>
    <t>TWD_FX_USD</t>
  </si>
  <si>
    <t>MSCI World Net TR MSCIWLDNET - Index Level -8.00 pct,</t>
  </si>
  <si>
    <t>Time ALL_TIME - Time 21.00 days,</t>
  </si>
  <si>
    <t>Transportation FMI_WRLD_INDTRAN - Industry Return -4.00 pct,</t>
  </si>
  <si>
    <t>Transportation</t>
  </si>
  <si>
    <t>FMI_WRLD_INDTRAN</t>
  </si>
  <si>
    <t>Textiles Apparel Luxury Goods FMI_WRLD_CDITXTLUX - Industry Return -4.50 pct,</t>
  </si>
  <si>
    <t>Consumer Services FMI_WRLD_CDICONSVCS - Industry Return -4.00 pct,</t>
  </si>
  <si>
    <t>FMI_WRLD_CDICONSVCS</t>
  </si>
  <si>
    <t>EMBIG DxS USD_EM_DS_G - Spread Yield 40.00 bps,</t>
  </si>
  <si>
    <t>Venezuela USD_EM_DS_VENEZUELA - Spread Yield 0.00 bps,</t>
  </si>
  <si>
    <t>Venezuela</t>
  </si>
  <si>
    <t>USD_EM_DS_VENEZUELA</t>
  </si>
  <si>
    <t>Asia Corp HY USD_ASIA_CORP_HY - Spread Yield 70.00 bps,</t>
  </si>
  <si>
    <t>Asia Corp HY</t>
  </si>
  <si>
    <t>USD_ASIA_CORP_HY</t>
  </si>
  <si>
    <t>MSCI Japan - MSCI EUROPE(EUR) [MS_JP-MXEU] - Index Level -5.00 pct</t>
  </si>
  <si>
    <t>Japan</t>
  </si>
  <si>
    <t>Tsy 10Y USD_10yr - Yield -25.00 bps,</t>
  </si>
  <si>
    <t>CHNTD_TAT</t>
  </si>
  <si>
    <t xml:space="preserve">US-China Trade Relations - Trade Stand-Off                  </t>
  </si>
  <si>
    <t>US-China Trade Relations - Trade Stand-Off : The US imposes import tariffs and China retaliates, but a full-blown trade war is avoided.</t>
  </si>
  <si>
    <t>Natural gas NYME 1 USD_COMD_NG_1 - Price Level 15.00 pct,</t>
  </si>
  <si>
    <t>Natural gas NYME 1</t>
  </si>
  <si>
    <t>USD_COMD_NG_1</t>
  </si>
  <si>
    <t>Public Utilities USD_MUNI_UTIL2 - Spread Yield 5.00 bps,</t>
  </si>
  <si>
    <t>Public Utilities</t>
  </si>
  <si>
    <t>USD_MUNI_UTIL2</t>
  </si>
  <si>
    <t>VIX VIX - Index Level 3.00 pct,</t>
  </si>
  <si>
    <t>S&amp;P 500 Industrials S5INDU - Index Level -6.00 pct,</t>
  </si>
  <si>
    <t>S&amp;P 500 Utilities S5UTIL - Index Level -9.00 pct,</t>
  </si>
  <si>
    <t>US HY Utility USD_HY_UTILITY - Spread Yield 80.00 bps</t>
  </si>
  <si>
    <t>US HY Utility</t>
  </si>
  <si>
    <t>USD_HY_UTILITY</t>
  </si>
  <si>
    <t>Tsy 10Y USD_10yr - Yield -20.00</t>
  </si>
  <si>
    <t>Gold COMEX 1 USD_COMD_GC_1 - Price Level 3.00 pct,</t>
  </si>
  <si>
    <t>DEM 10Y EUR_10yr - Yield -20.00 bps,</t>
  </si>
  <si>
    <t>JPY/USD JPY_FX_USD - FX 1.00 pct,</t>
  </si>
  <si>
    <t>DXY DXY - Index Level 2.00 pct,</t>
  </si>
  <si>
    <t>Multiline Retail FMI_NAMR_CDIRETMULT - Industry Return -10.00 pct,</t>
  </si>
  <si>
    <t>Multiline Retail</t>
  </si>
  <si>
    <t>FMI_NAMR_CDIRETMULT</t>
  </si>
  <si>
    <t>Property Casualty Ins &amp; Brkrs FMI_NAMR_FINPROPINS - Industry Return -5.00 pct,</t>
  </si>
  <si>
    <t>Property Casualty Ins  Brkrs</t>
  </si>
  <si>
    <t>FMI_NAMR_FINPROPINS</t>
  </si>
  <si>
    <t>Internet Software &amp; Services FMI_NAMR_ITCNET - Industry Return -10.00 pct,</t>
  </si>
  <si>
    <t>FMI_NAMR_ITCNET</t>
  </si>
  <si>
    <t>US HY Insurance USD_HY_INSURANCE - Spread Yield 50.00 bps,</t>
  </si>
  <si>
    <t>US HY Insurance</t>
  </si>
  <si>
    <t>USD_HY_INSURANCE</t>
  </si>
  <si>
    <t>US HY Retail USD_HY_RETAIL - Spread Yield 80.00 bps,</t>
  </si>
  <si>
    <t>US HY Retail</t>
  </si>
  <si>
    <t>USD_HY_RETAIL</t>
  </si>
  <si>
    <t>US Tech IG USD_TECH_IGN - Spread Yield 10.00 bps,</t>
  </si>
  <si>
    <t>USD_TECH_IGN</t>
  </si>
  <si>
    <t>Russell 1000 - Russell 2000 [ROY-RTY] - Index Level -10.00 pct</t>
  </si>
  <si>
    <t>1000</t>
  </si>
  <si>
    <t>US Cash Bonds IG USD_LEH_CREDIT3 - Spread Yield 25.00 bps,</t>
  </si>
  <si>
    <t>US Banking IG USD_BANKBROK_IG3 - Spread Yield 45.00 bps,</t>
  </si>
  <si>
    <t>DXY DXY - Index Level 5.00 pct,</t>
  </si>
  <si>
    <t>S&amp;P 500 SPX - Index Level -10.00 pct,</t>
  </si>
  <si>
    <t>S&amp;P 500 Financials - S&amp;P 500 [S5FINL-SPX] - Index Level -8.00 pct</t>
  </si>
  <si>
    <t>USD INF 10Y USD_INF_10yr - Yield 10.00 bps,</t>
  </si>
  <si>
    <t>CHN_CPMISS</t>
  </si>
  <si>
    <t xml:space="preserve">China Corp Reg - Common Prosperity Policy Misstep (10/2021) </t>
  </si>
  <si>
    <t> Common Prosperity Policy Misstep: Regulatory reforms and hawkish PBOC policy continue, while social policies offset slowing growth.</t>
  </si>
  <si>
    <t>US HY Retail USD_HY_RETAIL - Spread Yield 80.00</t>
  </si>
  <si>
    <t>USD INF 10Y USD_INF_10yr - Yield 15.00 bps,</t>
  </si>
  <si>
    <t>Gold COMEX 1 USD_COMD_GC_1 - Price Level 8.00 pct,</t>
  </si>
  <si>
    <t>US Banking IG USD_BANKBROK_IG3 - Spread Yield 30.00 bps,</t>
  </si>
  <si>
    <t>JPY/USD JPY_FX_USD - FX 4.00 pct,</t>
  </si>
  <si>
    <t>DXY DXY - Index Level 8.00 pct,</t>
  </si>
  <si>
    <t>S&amp;P 500 SPX - Index Level -15.00 pct,</t>
  </si>
  <si>
    <t>S&amp;P 500 Financials S5FINL - Index Level -20.00 pct</t>
  </si>
  <si>
    <t>CHN_GROW</t>
  </si>
  <si>
    <t xml:space="preserve">China Corp Reg - Growth Slowdown Spillover (10/2021)        </t>
  </si>
  <si>
    <t>Growth Slowdown Spillover: Global sentiment turns negative, as the effects of China?s regulatory tightening and stagnating growth spill over.</t>
  </si>
  <si>
    <t>USD INF 10Y USD_INF_10yr - Yield 30.00 bps,</t>
  </si>
  <si>
    <t>Crude Oil NYME 1 USD_COMD_CL_1 - Price Level -35.00 pct,</t>
  </si>
  <si>
    <t>Crude Oil NYME 1</t>
  </si>
  <si>
    <t>USD_COMD_CL_1</t>
  </si>
  <si>
    <t>US Metals HY USD_METALS_HY3 - Spread Yield 100.00 bps,</t>
  </si>
  <si>
    <t>US Metals HY</t>
  </si>
  <si>
    <t>USD_METALS_HY3</t>
  </si>
  <si>
    <t>S&amp;P 500 SPX - Index Level -6.00 pct,</t>
  </si>
  <si>
    <t>DJ Glob Select Real Est - MSCI World Net TR [DWGRST-MSCIWLDNET] - Index Level -4.00 pct</t>
  </si>
  <si>
    <t>Est</t>
  </si>
  <si>
    <t>Tsy 1Y USD_1yr - Yield 62.00 bps,</t>
  </si>
  <si>
    <t>CPI 1yr USD_CPI_1yr - Yield -20.00 bps,</t>
  </si>
  <si>
    <t>DEM 1Y EUR_1yr - Yield -25.00 bps,</t>
  </si>
  <si>
    <t>EUR INF 1Y EUR_INF_1yr - Yield 20.00 bps,</t>
  </si>
  <si>
    <t>EUR INF 1Y</t>
  </si>
  <si>
    <t>EUR_INF_1yr</t>
  </si>
  <si>
    <t>S&amp;P 500 SPX - Index Level -3.00 pct,</t>
  </si>
  <si>
    <t>MSCI EUROPE(EUR) MXEU - Index Level 9.00 pct,</t>
  </si>
  <si>
    <t>MSCI World Materials - MSCI World IT [MSMTRL_LCL-MSIT_LCL] - Index Level 3.00 pct,</t>
  </si>
  <si>
    <t>Materials</t>
  </si>
  <si>
    <t>US IG Market - EU Credit IG [USD_IG_MARKET_SF-EUR_LEH_CREDIT_SF] - Spread Yield 15.00 bps</t>
  </si>
  <si>
    <t>Market</t>
  </si>
  <si>
    <t>Tsy 2Y USD_2yr - Yield -25.00 bps,</t>
  </si>
  <si>
    <t>US Cash Bonds HY USD_LEH_HY3 - Spread Yield -20.00 bps,</t>
  </si>
  <si>
    <t>US Cash Bonds HY</t>
  </si>
  <si>
    <t>USD_LEH_HY3</t>
  </si>
  <si>
    <t>ESP 5Y ESP_5yr - Spread Yield -10.00 bps,</t>
  </si>
  <si>
    <t>ESP 5Y</t>
  </si>
  <si>
    <t>ESP_5yr</t>
  </si>
  <si>
    <t>MSCI World Net TR MSCIWLDNET - Index Level 2.00 pct</t>
  </si>
  <si>
    <t>GSCI AGRICULTURE GSSASPOT - Price Level 5.00 pct,</t>
  </si>
  <si>
    <t>GSCI AGRICULTURE</t>
  </si>
  <si>
    <t>GSSASPOT</t>
  </si>
  <si>
    <t>Copper CMX 1 USD_COMD_HG_1 - Price Level 8.00 pct,</t>
  </si>
  <si>
    <t>Soybeans CBOT 1 USD_COMD_S_1 - Price Level -7.00 pct,</t>
  </si>
  <si>
    <t>USD Palm Oil 1 USD_COMD_CP_1 - Price Level 10.00 pct,</t>
  </si>
  <si>
    <t>USD Palm Oil 1</t>
  </si>
  <si>
    <t>USD_COMD_CP_1</t>
  </si>
  <si>
    <t>BRL 1Y BRL_1yr - Yield 60.00 bps,</t>
  </si>
  <si>
    <t>BRL 1Y</t>
  </si>
  <si>
    <t>BRL_1yr</t>
  </si>
  <si>
    <t>BRL/USD BRL_FX_USD - FX -7.00 pct,</t>
  </si>
  <si>
    <t>BRL INF 1Y BRL_INF_1yr - Yield -125.00 bps,</t>
  </si>
  <si>
    <t>BRL INF 1Y</t>
  </si>
  <si>
    <t>BRL_INF_1yr</t>
  </si>
  <si>
    <t>Marine FMI_EMEA_INDMARINE - Industry Return -8.00 pct,</t>
  </si>
  <si>
    <t>Marine</t>
  </si>
  <si>
    <t>FMI_EMEA_INDMARINE</t>
  </si>
  <si>
    <t>Market FMI_LATC_MARKET - Style Return -800.00 bps,</t>
  </si>
  <si>
    <t>FMI_LATC_MARKET</t>
  </si>
  <si>
    <t>Argentina USD_EM_DS_ARGENTINA - Spread Yield -300.00 bps,</t>
  </si>
  <si>
    <t>Argentina</t>
  </si>
  <si>
    <t>USD_EM_DS_ARGENTINA</t>
  </si>
  <si>
    <t>Emerg Mkt S America USD_EM_DS_SA - Spread Yield 50.00 bps,</t>
  </si>
  <si>
    <t>Emerg Mkt S America</t>
  </si>
  <si>
    <t>USD_EM_DS_SA</t>
  </si>
  <si>
    <t>BRL INF 1Y - USD INF 1Y [BRL_INF_1yr-USD_INF_1yr] - Yield -100.00 bps</t>
  </si>
  <si>
    <t>1Y</t>
  </si>
  <si>
    <t>CHN_NEWREG</t>
  </si>
  <si>
    <t xml:space="preserve">China Corp Reg - New Regulatory Normal (10/2021)            </t>
  </si>
  <si>
    <t>A New Regulatory Normal: China halts further regulatory tightening and employs pro-cyclical policies to combat waning growth, attracting foreign and domestic investors.</t>
  </si>
  <si>
    <t>USD INF 1Y USD_INF_1yr - Yield 25.00 bps,</t>
  </si>
  <si>
    <t>USD INF 1Y</t>
  </si>
  <si>
    <t>USD_INF_1yr</t>
  </si>
  <si>
    <t>AUD 10Y AUD_10yr - Yield -35.00 bps,</t>
  </si>
  <si>
    <t>AUD 10Y</t>
  </si>
  <si>
    <t>AUD_10yr</t>
  </si>
  <si>
    <t>CNY/USD CNY_FX_USD - FX -3.00 pct,</t>
  </si>
  <si>
    <t>KRW/USD KRW_FX_USD - FX -8.00 pct,</t>
  </si>
  <si>
    <t>KRWUSD</t>
  </si>
  <si>
    <t>KRW_FX_USD</t>
  </si>
  <si>
    <t>MYR/USD MYR_FX_USD - FX -12.00 pct,</t>
  </si>
  <si>
    <t>MYRUSD</t>
  </si>
  <si>
    <t>MYR_FX_USD</t>
  </si>
  <si>
    <t>UK Banking GBP_BANKBROK_IG - Spread Yield 65.00 bps,</t>
  </si>
  <si>
    <t>UK Banking</t>
  </si>
  <si>
    <t>GBP_BANKBROK_IG</t>
  </si>
  <si>
    <t>Volatility FMI_WRLD_VOLATILITY - Style Return -300.00 bps,</t>
  </si>
  <si>
    <t>Volatility</t>
  </si>
  <si>
    <t>FMI_WRLD_VOLATILITY</t>
  </si>
  <si>
    <t>China Corp HY USD_CN_CORP_HY - Spread Yield 250.00 bps,</t>
  </si>
  <si>
    <t>China Corp IG USD_CN_CORP_IG - Spread Yield 40.00 bps,</t>
  </si>
  <si>
    <t>China Corp IG</t>
  </si>
  <si>
    <t>USD_CN_CORP_IG</t>
  </si>
  <si>
    <t>MS Emerging Mkts - MSCI World Net TR [MXEF-MSCIWLDNET] - Index Level -7.00 pct</t>
  </si>
  <si>
    <t>Tsy 1Y USD_1yr - Yield 25.00 bps,</t>
  </si>
  <si>
    <t>Tsy 10Y USD_10yr - Yield 50.00 bps,</t>
  </si>
  <si>
    <t>USD INF 2Y USD_INF_2yr - Yield 20.00 bps,</t>
  </si>
  <si>
    <t>USD INF 2Y</t>
  </si>
  <si>
    <t>USD_INF_2yr</t>
  </si>
  <si>
    <t>Crude Oil NYME 1 USD_COMD_CL_1 - Price Level -3.00 pct,</t>
  </si>
  <si>
    <t>MXN/USD MXN_FX_USD - FX -10.00 pct,</t>
  </si>
  <si>
    <t>ZAR/USD ZAR_FX_USD - FX -15.00 pct,</t>
  </si>
  <si>
    <t>ZARUSD</t>
  </si>
  <si>
    <t>ZAR_FX_USD</t>
  </si>
  <si>
    <t>S&amp;P 500 SPX - Index Level 0.00 pct,</t>
  </si>
  <si>
    <t>MS Emerging Mkts MXEF - Index Level -10.00 pct,</t>
  </si>
  <si>
    <t>MS Emerging Mkts</t>
  </si>
  <si>
    <t>MXEF</t>
  </si>
  <si>
    <t>Brazil Bovespa IBOV - Index Level -15.00 pct,</t>
  </si>
  <si>
    <t>Brazil Bovespa</t>
  </si>
  <si>
    <t>IBOV</t>
  </si>
  <si>
    <t>Turkey ISE Natl 100 XU100 - Index Level -15.00 pct,</t>
  </si>
  <si>
    <t>Turkey ISE Natl 100</t>
  </si>
  <si>
    <t>XU100</t>
  </si>
  <si>
    <t>EMBIG DxS USD_EM_DS_G - Spread Yield 15.00 bps,</t>
  </si>
  <si>
    <t>OIS 3m USD_OIS_3m - Yield 20.00 bps,</t>
  </si>
  <si>
    <t>OIS 3m</t>
  </si>
  <si>
    <t>USD_OIS_3m</t>
  </si>
  <si>
    <t>DEPO Sprd 3m USD_DEPO_Sprd_3m - Spread Yield 10.00 bps,</t>
  </si>
  <si>
    <t>DEPO Sprd 3m</t>
  </si>
  <si>
    <t>USD_DEPO_Sprd_3m</t>
  </si>
  <si>
    <t>CHN_NOMG</t>
  </si>
  <si>
    <t xml:space="preserve">China Stabilizes Economic Growth (07/2022)                  </t>
  </si>
  <si>
    <t>China Stabilizes Economic Growth: China's growth rate recovers to pre-COVID levels, supported by easing COVID restrictions, more dovish policy, and an improved trade relationship with the US.</t>
  </si>
  <si>
    <t>CP A1P1 Sprd 3m USD_CP_A1P1_Sprd_3m - Spread Yield 10.00 bps</t>
  </si>
  <si>
    <t>CP A1P1 Sprd 3m</t>
  </si>
  <si>
    <t>USD_CP_A1P1_Sprd_3m</t>
  </si>
  <si>
    <t>EMBIG DxS USD_EM_DS_G - Spread Yield -70.00 bps,</t>
  </si>
  <si>
    <t>MSCI World Industrials MSINDU_LCL - Index Level 5.00 pct,</t>
  </si>
  <si>
    <t>MSCI World Industrials</t>
  </si>
  <si>
    <t>MSINDU_LCL</t>
  </si>
  <si>
    <t>MSCI World IT - MSCI World Financials [MSIT_LCL-MSFNCL_LCL] - Index Level 7.00 pct,</t>
  </si>
  <si>
    <t>IT</t>
  </si>
  <si>
    <t>MSCI China - MSCI World Net TR [MS_CN_LCL-MSCIWLDNET] - Index Level 8.00 pct,</t>
  </si>
  <si>
    <t>US Cash Bonds HY - US Cash Bonds IG [USD_LEH_HY3-USD_LEH_CREDIT3] - Spread Yield -20.00 bps</t>
  </si>
  <si>
    <t>HY</t>
  </si>
  <si>
    <t>GSCI INDUSTRIAL METALS GSINSPOT - Price Level -15.00 pct,</t>
  </si>
  <si>
    <t>GSCI INDUSTRIAL METALS</t>
  </si>
  <si>
    <t>GSINSPOT</t>
  </si>
  <si>
    <t>US HY Market USD_HY_MARKET - Spread Yield 40.00 bps,</t>
  </si>
  <si>
    <t>MSCI China MS_CN_LCL - Index Level -10.00 pct,</t>
  </si>
  <si>
    <t>MSCI EM Latin America (Loc) MS_LA_LCL - Index Level -10.00 pct,</t>
  </si>
  <si>
    <t>MS Emerging Mkts - MSCI World Net TR [MXEF-MSCIWLDNET] - Index Level -8.00 pct,</t>
  </si>
  <si>
    <t>RUB/USD [RUB_FX_USD-USD_FX_USD] - FX -8.00 pct</t>
  </si>
  <si>
    <t>RUB 10Y RUB_10yr - Yield 25.00 bps,</t>
  </si>
  <si>
    <t>TRY/USD TRY_FX_USD - FX -5.00 pct,</t>
  </si>
  <si>
    <t>TRYUSD</t>
  </si>
  <si>
    <t>TRY_FX_USD</t>
  </si>
  <si>
    <t>DXY DXY - Index Level -1.00 pct,</t>
  </si>
  <si>
    <t>Brazil Bovespa IBOV - Index Level -7.00 pct,</t>
  </si>
  <si>
    <t>Taiwan TSEC TW50 - Index Level 10.00 pct,</t>
  </si>
  <si>
    <t>Taiwan TSEC</t>
  </si>
  <si>
    <t>TW50</t>
  </si>
  <si>
    <t>Transportation FMI_APXJ_INDTRAN - Industry Return 3.00 pct,</t>
  </si>
  <si>
    <t>FMI_APXJ_INDTRAN</t>
  </si>
  <si>
    <t>Cons Staples x Alcohol &amp; Tob FMI_LATC_CSTXALCTOB - Industry Return 5.00 pct,</t>
  </si>
  <si>
    <t>Brazil USD_EM_DS_BRAZIL - Spread Yield 75.00 bps,</t>
  </si>
  <si>
    <t>Brazil</t>
  </si>
  <si>
    <t>USD_EM_DS_BRAZIL</t>
  </si>
  <si>
    <t>CHN_SLOWG</t>
  </si>
  <si>
    <t xml:space="preserve">China Growth Slowdown (07/2022)                             </t>
  </si>
  <si>
    <t>China Growth Slowdown: China enters an era of slower growth on the back of several factors, including a return to harsh zero-COVID measures, worsening foreign investor sentiment, and insufficient policy easing.</t>
  </si>
  <si>
    <t>EMBIG DxS USD_EM_DS_G - Spread Yield -15.00 bps,</t>
  </si>
  <si>
    <t>Emerg Mkt S America USD_EM_DS_SA - Spread Yield 25.00 bps,</t>
  </si>
  <si>
    <t>MSCI India - MS Emerging Mkts [MS_IN-MXEF] - Index Level -5.00 pct,</t>
  </si>
  <si>
    <t>India</t>
  </si>
  <si>
    <t>MSCI EM Latin America (USD) - MS Emerging Mkts [MS_LA-MXEF] - Index Level -10.00 pct</t>
  </si>
  <si>
    <t>USD</t>
  </si>
  <si>
    <t>Tsy 2Y USD_2yr - Yield 10.00 bps,</t>
  </si>
  <si>
    <t>Brent Crude ICE 1 USD_COMD_CO_1 - Price Level 10.00 pct,</t>
  </si>
  <si>
    <t>ZAR 10Y ZAR_10yr - Yield 75.00 bps,</t>
  </si>
  <si>
    <t>TRY/USD TRY_FX_USD - FX -15.00 pct,</t>
  </si>
  <si>
    <t>ZAR/USD ZAR_FX_USD - FX -8.00 pct,</t>
  </si>
  <si>
    <t>DXY DXY - Index Level 4.00 pct,</t>
  </si>
  <si>
    <t>Brazil Bovespa IBOV - Index Level 10.00 pct,</t>
  </si>
  <si>
    <t>Russia RTS RTSI - Index Level 15.00 pct,</t>
  </si>
  <si>
    <t>MSCI World Net TR MSCIWLDNET - Index Level 2.00 pct,</t>
  </si>
  <si>
    <t>Brazil USD_EM_DS_BRAZIL - Spread Yield -20.00 bps,</t>
  </si>
  <si>
    <t>Russia USD_EM_DS_RUSSIA - Spread Yield -30.00 bps,</t>
  </si>
  <si>
    <t>South Africa USD_EM_DS_SAFRICA - Spread Yield 30.00 bps,</t>
  </si>
  <si>
    <t>South Africa</t>
  </si>
  <si>
    <t>USD_EM_DS_SAFRICA</t>
  </si>
  <si>
    <t>Turkey USD_EM_DS_TURKEY - Spread Yield 50.00 bps,</t>
  </si>
  <si>
    <t>Turkey</t>
  </si>
  <si>
    <t>USD_EM_DS_TURKEY</t>
  </si>
  <si>
    <t>MS Emerging Mkts - MSCI World Net TR [MXEF-MSCIWLDNET] - Index Level -4.00 pct</t>
  </si>
  <si>
    <t>Tsy 2Y USD_2yr - Yield 5.00 bps,</t>
  </si>
  <si>
    <t>DXY DXY - Index Level 1.50 pct,</t>
  </si>
  <si>
    <t>MS Emerging Mkts MXEF - Index Level -5.00 pct,</t>
  </si>
  <si>
    <t>MSCI World Net TR MSCIWLDNET - Index Level 3.00 pct,</t>
  </si>
  <si>
    <t>EMBIG DxS USD_EM_DS_G - Spread Yield 30.00 bps,</t>
  </si>
  <si>
    <t>Tsy 10Y USD_10yr - Yield 5.00 bps,</t>
  </si>
  <si>
    <t>CONF_CHI</t>
  </si>
  <si>
    <t xml:space="preserve">Global Conflicts - South China Sea Conflict                 </t>
  </si>
  <si>
    <t>Although regional tensions have cooled, the risk of an accidental, or deliberate, clash in the South China Sea remains.</t>
  </si>
  <si>
    <t>DXY DXY - Index Level -4.50 pct,</t>
  </si>
  <si>
    <t>MS Emerging Mkts MXEF - Index Level 12.00 pct,</t>
  </si>
  <si>
    <t>EMBIG DxS USD_EM_DS_G - Spread Yield -40.00 bps,</t>
  </si>
  <si>
    <t>MSCI China - MS Emerging Mkts [MS_CN_LCL-MXEF] - Index Level 10.00 pct</t>
  </si>
  <si>
    <t>Gold GOLD_SPOT - Price Level 4.00 pct,</t>
  </si>
  <si>
    <t>MXN 20Y MXN_20yr - Yield 100.00 bps,</t>
  </si>
  <si>
    <t>MXN 20Y</t>
  </si>
  <si>
    <t>MXN_20yr</t>
  </si>
  <si>
    <t>MXN/USD MXN_FX_USD - FX -15.00 pct,</t>
  </si>
  <si>
    <t>S&amp;P 500 SPX - Index Level 1.00 pct,</t>
  </si>
  <si>
    <t>MS Emerging Mkts MXEF - Index Level -15.00 pct,</t>
  </si>
  <si>
    <t>EMBIG DxS USD_EM_DS_G - Spread Yield 100.00 bps</t>
  </si>
  <si>
    <t>Tsy 10Y USD_10yr - Yield 40.00 bps,</t>
  </si>
  <si>
    <t>USD INF 10Y USD_INF_10yr - Yield -30.00 bps,</t>
  </si>
  <si>
    <t>Brent Crude ICE 1 USD_COMD_CO_1 - Price Level 3.00 pct,</t>
  </si>
  <si>
    <t>DEM 10Y EUR_10yr - Yield 28.00 bps,</t>
  </si>
  <si>
    <t>BRL 10Y BRL_10yr - Yield 90.00 bps,</t>
  </si>
  <si>
    <t>MXN/USD MXN_FX_USD - FX -5.00 pct,</t>
  </si>
  <si>
    <t>RUB/USD RUB_FX_USD - FX 2.00 pct,</t>
  </si>
  <si>
    <t>MSCI World Net TR MSCIWLDNET - Index Level -6.00 pct,</t>
  </si>
  <si>
    <t>CONF_RUS</t>
  </si>
  <si>
    <t xml:space="preserve">Global Conflicts - Russia and NATO Military Conflict        </t>
  </si>
  <si>
    <t>Tensions between Russia and NATO are heightened due to the erosion of an arms control agreement and competing military exercises. World powers, on both sides, are highly cautious and increasingly suspicious of each other.</t>
  </si>
  <si>
    <t>US HY Market USD_HY_MARKET - Spread Yield 90.00 bps</t>
  </si>
  <si>
    <t>Cocoa NYBOT 1 USD_COMD_CC_1 - Price Level 35.00 pct,</t>
  </si>
  <si>
    <t>Cocoa NYBOT 1</t>
  </si>
  <si>
    <t>USD_COMD_CC_1</t>
  </si>
  <si>
    <t>Coffee NYBOT 1 USD_COMD_KC_1 - Price Level 22.00 pct,</t>
  </si>
  <si>
    <t>Coffee NYBOT 1</t>
  </si>
  <si>
    <t>USD_COMD_KC_1</t>
  </si>
  <si>
    <t>Live Cattle CME 1 USD_COMD_LC_1 - Price Level 8.00 pct,</t>
  </si>
  <si>
    <t>Live Cattle CME 1</t>
  </si>
  <si>
    <t>USD_COMD_LC_1</t>
  </si>
  <si>
    <t>Soybeans CBOT 1 USD_COMD_S_1 - Price Level 10.00 pct,</t>
  </si>
  <si>
    <t>Containers &amp; Packaging FMI_EMEA_MATPAK - Industry Return -7.00 pct,</t>
  </si>
  <si>
    <t>FMI_EMEA_MATPAK</t>
  </si>
  <si>
    <t>Food Household &amp; Personal Prod FMI_EMEA_CSTFOODHH - Industry Return -4.00 pct,</t>
  </si>
  <si>
    <t>FMI_EMEA_CSTFOODHH</t>
  </si>
  <si>
    <t>Brazil USD_EM_DS_BRAZIL - Spread Yield 20.00 bps,</t>
  </si>
  <si>
    <t>Indonesia USD_EM_DS_INDONESIA - Spread Yield 25.00 bps,</t>
  </si>
  <si>
    <t>Indonesia</t>
  </si>
  <si>
    <t>USD_EM_DS_INDONESIA</t>
  </si>
  <si>
    <t>Paper &amp; Forest Products - Paper &amp; Forest Products [FMI_EMEA_MATPAPER-FMI_WRLD_MATPAPER] - Industry Return 5.00 pct</t>
  </si>
  <si>
    <t>Products</t>
  </si>
  <si>
    <t>Tsy 10Y USD_10yr - Yield 20.00 bps,</t>
  </si>
  <si>
    <t>US Banking IG USD_BANKBROK_IG3 - Spread Yield -30.00 bps,</t>
  </si>
  <si>
    <t>US Cash Bonds HY USD_LEH_HY3 - Spread Yield -40.00 bps,</t>
  </si>
  <si>
    <t>DEM 10Y EUR_10yr - Yield -15.00 bps,</t>
  </si>
  <si>
    <t>ITL 10Y ITL_10yr - Spread Yield 40.00 bps,</t>
  </si>
  <si>
    <t>EUR/USD EUR_FX_USD - FX -5.00 pct,</t>
  </si>
  <si>
    <t>EUR INF 10Y EUR_INF_10yr - Yield 20.00 bps,</t>
  </si>
  <si>
    <t>EUR INF 10Y</t>
  </si>
  <si>
    <t>EUR_INF_10yr</t>
  </si>
  <si>
    <t>S&amp;P 500 SPX - Index Level 4.00 pct,</t>
  </si>
  <si>
    <t>VIX VIX - Index Level -2.50 pct,</t>
  </si>
  <si>
    <t>MSCI EUROPE(EUR) MXEU - Index Level -5.00 pct,</t>
  </si>
  <si>
    <t>EU Banking IG EUR_BANKBROK_IG_V3 - Spread Yield 30.00 bps,</t>
  </si>
  <si>
    <t>EU Banking IG</t>
  </si>
  <si>
    <t>EUR_BANKBROK_IG_V3</t>
  </si>
  <si>
    <t>DEPO 3m USD_DEPO_3m - Yield 10.00 bps,</t>
  </si>
  <si>
    <t>DEPO 3m</t>
  </si>
  <si>
    <t>USD_DEPO_3m</t>
  </si>
  <si>
    <t>CONF_TER</t>
  </si>
  <si>
    <t xml:space="preserve">Global Conflicts - Major Terror Attack                      </t>
  </si>
  <si>
    <t>A more sophisticated attack, especially in a financial center like New York or London, could have a significant impact on markets.</t>
  </si>
  <si>
    <t>CP A1P1 3m USD_CP_A1P1_3m - Yield 10.00 bps,</t>
  </si>
  <si>
    <t>CP A1P1 3m</t>
  </si>
  <si>
    <t>USD_CP_A1P1_3m</t>
  </si>
  <si>
    <t>DEM 30Y - DEM 10Y [EUR_30yr-EUR_10yr] - Yield -20.00 bps,</t>
  </si>
  <si>
    <t>MXEU FINANCIALS(EUR) - MSCI EUROPE(EUR) [MXEU0FN-MXEU] - Index Level -10.00 pct,</t>
  </si>
  <si>
    <t>FINANCIALSEUR</t>
  </si>
  <si>
    <t>S&amp;P 500 Financials - S&amp;P 500 [S5FINL-SPX] - Index Level 5.00 pct,</t>
  </si>
  <si>
    <t>Tsy 30Y - Tsy 10Y [USD_30yr-USD_10yr] - Yield 25.00 bps</t>
  </si>
  <si>
    <t>VSTOXX Implied Vol VSTOXX - Index Level 20.00 pct,</t>
  </si>
  <si>
    <t>VSTOXX Implied Vol</t>
  </si>
  <si>
    <t>VSTOXX</t>
  </si>
  <si>
    <t>MSCI World Net TR MSCIWLDNET - Index Level -2.50 pct,</t>
  </si>
  <si>
    <t>Regional Banks FMI_EMEA_FINREG - Industry Return -12.50 pct,</t>
  </si>
  <si>
    <t>Regional Banks</t>
  </si>
  <si>
    <t>FMI_EMEA_FINREG</t>
  </si>
  <si>
    <t>MSCI EUROPE(EUR) - MSCI World Net TR [MXEU-MSCIWLDNET] - Index Level -5.00 pct</t>
  </si>
  <si>
    <t>DEM 2Y EUR_2yr - Yield 5.00 bps,</t>
  </si>
  <si>
    <t>DEM 2Y</t>
  </si>
  <si>
    <t>EUR_2yr</t>
  </si>
  <si>
    <t>DEM 10Y EUR_10yr - Yield 15.00 bps,</t>
  </si>
  <si>
    <t>ITL 10Y ITL_10yr - Spread Yield -40.00 bps,</t>
  </si>
  <si>
    <t>EUR/USD EUR_FX_USD - FX 2.50 pct,</t>
  </si>
  <si>
    <t>COVID_L</t>
  </si>
  <si>
    <t xml:space="preserve">Pandemic Recession - Depression Fears                       </t>
  </si>
  <si>
    <t>COVID-19 continues its global spread deep into Q2 2020. Fiscal and monetary stimulus efforts fail to prevent increased bankruptcies, defaults, and unemployment. An economic depression threatens to engulf major industries, with the financial sector at the forefront of the crisis.</t>
  </si>
  <si>
    <t>EUR INF 10Y EUR_INF_10yr - Yield -20.00 bps,</t>
  </si>
  <si>
    <t>MSCI EUROPE(EUR) MXEU - Index Level 7.00 pct,</t>
  </si>
  <si>
    <t>EU Banking IG EUR_BANKBROK_IG_V3 - Spread Yield -30.00 bps,</t>
  </si>
  <si>
    <t>OIS 3m USD_OIS_3m - Yield 5.00 bps,</t>
  </si>
  <si>
    <t>DEPO 3m USD_DEPO_3m - Yield -5.00 bps,</t>
  </si>
  <si>
    <t>CP A1P1 3m USD_CP_A1P1_3m - Yield -5.00 bps,</t>
  </si>
  <si>
    <t>MXEU FINANCIALS(EUR) - MSCI EUROPE(EUR) [MXEU0FN-MXEU] - Index Level 10.00 pct</t>
  </si>
  <si>
    <t>Gold COMEX 1 USD_COMD_GC_1 - Price Level 15.00 pct,</t>
  </si>
  <si>
    <t>US Cash Bonds IG USD_LEH_CREDIT3 - Spread Yield 30.00 bps,</t>
  </si>
  <si>
    <t>DEM 10Y EUR_10yr - Yield -50.00 bps,</t>
  </si>
  <si>
    <t>ITL 10Y ITL_10yr - Spread Yield 400.00 bps,</t>
  </si>
  <si>
    <t>EUR/USD EUR_FX_USD - FX -10.00 pct,</t>
  </si>
  <si>
    <t>EU Credit IG EUR_LEH_CREDIT - Spread Yield 100.00 bps,</t>
  </si>
  <si>
    <t>EU Corp Italy - EU Credit IG [EUR_CORP_IT-EUR_LEH_CREDIT] - Spread Yield 200.00 bps,</t>
  </si>
  <si>
    <t>Italy</t>
  </si>
  <si>
    <t>ITL 2Y - ITL 10Y [ITL_2yr-ITL_10yr] - Spread Yield 200.00 bps,</t>
  </si>
  <si>
    <t>Italy S&amp;P MIB - MSCI EUROPE(EUR) [SPMIB-MXEU] - Index Level -10.00 pct</t>
  </si>
  <si>
    <t>MIB</t>
  </si>
  <si>
    <t>Gold COMEX 1 USD_COMD_GC_1 - Price Level 25.00 pct,</t>
  </si>
  <si>
    <t>US Cash Bonds IG USD_LEH_CREDIT3 - Spread Yield 50.00 bps,</t>
  </si>
  <si>
    <t>DEM 10Y EUR_10yr - Yield -100.00 bps,</t>
  </si>
  <si>
    <t>FRF 10Y FRF_10yr - Spread Yield 300.00 bps,</t>
  </si>
  <si>
    <t>FRF 10Y</t>
  </si>
  <si>
    <t>FRF_10yr</t>
  </si>
  <si>
    <t>ITL 2Y ITL_2yr - Spread Yield 900.00 bps,</t>
  </si>
  <si>
    <t>ITL 2Y</t>
  </si>
  <si>
    <t>ITL_2yr</t>
  </si>
  <si>
    <t>ITL 10Y ITL_10yr - Spread Yield 700.00 bps,</t>
  </si>
  <si>
    <t>EUR/USD EUR_FX_USD - FX -20.00 pct,</t>
  </si>
  <si>
    <t>JPY/USD JPY_FX_USD - FX 12.00 pct,</t>
  </si>
  <si>
    <t>VIX VIX - Index Level 50.00</t>
  </si>
  <si>
    <t>MSCI EUROPE(EUR) MXEU - Index Level -30.00 pct,</t>
  </si>
  <si>
    <t>EU Credit IG EUR_LEH_CREDIT - Spread Yield 175.00 bps,</t>
  </si>
  <si>
    <t>MXEU FINANCIALS(EUR) - MSCI EUROPE(EUR) [MXEU0FN-MXEU] - Index Level -20.00 pct,</t>
  </si>
  <si>
    <t>Italy S&amp;P MIB - MSCI EUROPE(EUR) [SPMIB-MXEU] - Index Level -20.00 pct</t>
  </si>
  <si>
    <t>DEM 2Y EUR_2yr - Yield 16.00 bps,</t>
  </si>
  <si>
    <t>DEM 10Y EUR_10yr - Yield 20.00 bps,</t>
  </si>
  <si>
    <t>ITL 10Y ITL_10yr - Spread Yield -100.00 bps,</t>
  </si>
  <si>
    <t>EUR/USD EUR_FX_USD - FX 4.00 pct,</t>
  </si>
  <si>
    <t>MSCI EUROPE(EUR) MXEU - Index Level 5.00 pct,</t>
  </si>
  <si>
    <t>ITL 2Y - ITL 10Y [ITL_2yr-ITL_10yr] - Spread Yield -20.00 bps,</t>
  </si>
  <si>
    <t>MXEU FINANCIALS(EUR) - MSCI EUROPE(EUR) [MXEU0FN-MXEU] - Index Level 5.00 pct,</t>
  </si>
  <si>
    <t>Italy S&amp;P MIB - MSCI EUROPE(EUR) [SPMIB-MXEU] - Index Level 5.00 pct</t>
  </si>
  <si>
    <t>COVID_U</t>
  </si>
  <si>
    <t xml:space="preserve">Pandemic Recession - Global Recession                       </t>
  </si>
  <si>
    <t>Strict lockdown measures take a toll on global growth, as the world faces an increasingly negative demand shock. Fears of a deepening recession rise as the duration of the lockdown increases, unnerving financial markets.</t>
  </si>
  <si>
    <t>Gold COMEX 1 USD_COMD_GC_1 - Price Level -9.00 pct,</t>
  </si>
  <si>
    <t>DEM 10Y EUR_10yr - Yield 40.00 bps,</t>
  </si>
  <si>
    <t>FRF 10Y FRF_10yr - Spread Yield -40.00 bps,</t>
  </si>
  <si>
    <t>EUR/USD EUR_FX_USD - FX 5.00 pct,</t>
  </si>
  <si>
    <t>S&amp;P 500 SPX - Index Level 2.00 pct,</t>
  </si>
  <si>
    <t>MSCI EUROPE(EUR) MXEU - Index Level 8.00 pct,</t>
  </si>
  <si>
    <t>VSTOXX Implied Vol VSTOXX - Index Level -10.00 pct,</t>
  </si>
  <si>
    <t>EU Credit IG EUR_LEH_CREDIT - Spread Yield -15.00 bps,</t>
  </si>
  <si>
    <t>EUR DEPO Sprd 3m EUR_DEPO_Sprd_3m - Spread Yield 5.00 bps,</t>
  </si>
  <si>
    <t>EUR DEPO Sprd 3m</t>
  </si>
  <si>
    <t>EUR_DEPO_Sprd_3m</t>
  </si>
  <si>
    <t>EUR CP A1P1 Sprd 3m EUR_CP_A1P1_Sprd_3m - Spread Yield 5.00 bps,</t>
  </si>
  <si>
    <t>EUR CP A1P1 Sprd 3m</t>
  </si>
  <si>
    <t>EUR_CP_A1P1_Sprd_3m</t>
  </si>
  <si>
    <t>MXEU FINANCIALS(EUR) - MSCI EUROPE(EUR) [MXEU0FN-MXEU] - Index Level 8.00 pct</t>
  </si>
  <si>
    <t>FRF 10Y FRF_10yr - Spread Yield 50.00 bps,</t>
  </si>
  <si>
    <t>EUR/USD EUR_FX_USD - FX -3.00 pct,</t>
  </si>
  <si>
    <t>EUR INF 10Y EUR_INF_10yr - Yield 30.00 bps,</t>
  </si>
  <si>
    <t>EU Credit IG EUR_LEH_CREDIT - Spread Yield 20.00 bps,</t>
  </si>
  <si>
    <t>EUR OIS 3m EUR_OIS_3m - Yield -5.00 bps,</t>
  </si>
  <si>
    <t>EUR OIS 3m</t>
  </si>
  <si>
    <t>EUR_OIS_3m</t>
  </si>
  <si>
    <t>MXEU FINANCIALS(EUR) - MXEU CONSUM STAP(EUR) [MXEU0FN-MXEU0CS] - Index Level -15.00 pct,</t>
  </si>
  <si>
    <t>MXEU INDUSTRIALS(EUR) - MSCI EUROPE(EUR) [MXEU0IN-MXEU] - Index Level 3.00 pct</t>
  </si>
  <si>
    <t>INDUSTRIALSEUR</t>
  </si>
  <si>
    <t>Gold COMEX 1 USD_COMD_GC_1 - Price Level 24.00 pct,</t>
  </si>
  <si>
    <t>FRF 10Y FRF_10yr - Spread Yield 150.00 bps,</t>
  </si>
  <si>
    <t>EUR/USD EUR_FX_USD - FX -6.00 pct,</t>
  </si>
  <si>
    <t>EUR INF 10Y EUR_INF_10yr - Yield 50.00 bps,</t>
  </si>
  <si>
    <t>MSCI EUROPE(EUR) MXEU - Index Level -20.00 pct,</t>
  </si>
  <si>
    <t>VSTOXX Implied Vol VSTOXX - Index Level 40.00 pct,</t>
  </si>
  <si>
    <t>EU Credit IG EUR_LEH_CREDIT - Spread Yield 44.00 bps,</t>
  </si>
  <si>
    <t>Momentum FMI_EMEA_MOMENTUM - Style Return -100.00 bps,</t>
  </si>
  <si>
    <t>Momentum</t>
  </si>
  <si>
    <t>FMI_EMEA_MOMENTUM</t>
  </si>
  <si>
    <t>EUR OIS 3m EUR_OIS_3m - Yield -15.00 bps,</t>
  </si>
  <si>
    <t>MXEU FINANCIALS(EUR) - MSCI EUROPE(EUR) [MXEU0FN-MXEU] - Index Level -15.00 pct</t>
  </si>
  <si>
    <t>Natural gas NYME 1 USD_COMD_NG_1 - Price Level 20.00 pct,</t>
  </si>
  <si>
    <t>Carbon Emission ICE EUA 2 EUR_COMD_MO_2 - Price Level 25.00 pct,</t>
  </si>
  <si>
    <t>Carbon Emission ICE EUA 2</t>
  </si>
  <si>
    <t>EUR_COMD_MO_2</t>
  </si>
  <si>
    <t>COVID_V</t>
  </si>
  <si>
    <t xml:space="preserve">Pandemic Recession - Moderate Recovery                      </t>
  </si>
  <si>
    <t>Governments relax lockdown measures after successfully containing the COVID-19 outbreak. A moderate recovery in global growth follows a sharp contraction and significant policy easing.</t>
  </si>
  <si>
    <t>EUR INF 5Y EUR_INF_5yr - Yield -30.00 bps,</t>
  </si>
  <si>
    <t>EUR INF 5Y</t>
  </si>
  <si>
    <t>EUR_INF_5yr</t>
  </si>
  <si>
    <t>Turkey ISE Natl 100 XU100 - Index Level -30.00 pct,</t>
  </si>
  <si>
    <t>Construction Materials FMI_EMEA_MATCONSTM - Industry Return 8.00 pct,</t>
  </si>
  <si>
    <t>FMI_EMEA_MATCONSTM</t>
  </si>
  <si>
    <t>Steel FMI_EMEA_MATSTEEL - Industry Return 8.00 pct,</t>
  </si>
  <si>
    <t>Steel</t>
  </si>
  <si>
    <t>FMI_EMEA_MATSTEEL</t>
  </si>
  <si>
    <t>Alum Div Metals &amp; Mining FMI_EMKT_MATALUDIV - Industry Return -8.00 pct,</t>
  </si>
  <si>
    <t>FMI_EMKT_MATALUDIV</t>
  </si>
  <si>
    <t>Construction &amp; Engineering FMI_EMKT_INDCONENG - Industry Return -4.00 pct,</t>
  </si>
  <si>
    <t>FMI_EMKT_INDCONENG</t>
  </si>
  <si>
    <t>Utilities FMI_EMKT_UTLUTIL - Industry Return -2.00 pct,</t>
  </si>
  <si>
    <t>FMI_EMKT_UTLUTIL</t>
  </si>
  <si>
    <t>E Oil and Gas USD_EM_CORP_EE_OGAS - Spread Yield 80.00 bps,</t>
  </si>
  <si>
    <t>E Oil and Gas</t>
  </si>
  <si>
    <t>USD_EM_CORP_EE_OGAS</t>
  </si>
  <si>
    <t>MS Emerging Mkts - MSCI EUROPE(EUR) [MXEF-MXEU] - Index Level -14.00 pct</t>
  </si>
  <si>
    <t>Nickel LME 2 USD_COMD_LN_2 - Price Level 15.00 pct,</t>
  </si>
  <si>
    <t>Nickel LME 2</t>
  </si>
  <si>
    <t>USD_COMD_LN_2</t>
  </si>
  <si>
    <t>Copper LME 2 USD_COMD_LP_2 - Price Level 6.00 pct,</t>
  </si>
  <si>
    <t>Copper LME 2</t>
  </si>
  <si>
    <t>USD_COMD_LP_2</t>
  </si>
  <si>
    <t>Carbon Emission ICE EUA 2 EUR_COMD_MO_2 - Price Level 20.00 pct,</t>
  </si>
  <si>
    <t>EUR INF 5Y EUR_INF_5yr - Yield -20.00 bps,</t>
  </si>
  <si>
    <t>EU Transport IG EUR_TRANSPORT_IG_V3_SF - Spread Yield 15.00 bps,</t>
  </si>
  <si>
    <t>EU Transport IG</t>
  </si>
  <si>
    <t>EUR_TRANSPORT_IG_V3_SF</t>
  </si>
  <si>
    <t>Electrical Equipment FMI_EMEA_INDELECEQ - Industry Return 9.00 pct,</t>
  </si>
  <si>
    <t>FMI_EMEA_INDELECEQ</t>
  </si>
  <si>
    <t>Airlines FMI_EMEA_INDAIRLINE - Industry Return -10.00 pct,</t>
  </si>
  <si>
    <t>FMI_EMEA_INDAIRLINE</t>
  </si>
  <si>
    <t>Marine FMI_EMEA_INDMARINE - Industry Return -12.00 pct,</t>
  </si>
  <si>
    <t>Transportation Infrastructure FMI_EMEA_INDTRANINF - Industry Return -4.00 pct,</t>
  </si>
  <si>
    <t>Transportation Infrastructure</t>
  </si>
  <si>
    <t>FMI_EMEA_INDTRANINF</t>
  </si>
  <si>
    <t>Semiconductors &amp; Equipment FMI_EMEA_ITCSEMICEQ - Industry Return 6.00 pct,</t>
  </si>
  <si>
    <t>FMI_EMEA_ITCSEMICEQ</t>
  </si>
  <si>
    <t>Energy Equip Oil &amp; Gas Exp FMI_WRLD_EQYEQEXP - Industry Return -4.00 pct,</t>
  </si>
  <si>
    <t>Energy Equip Oil  Gas Exp</t>
  </si>
  <si>
    <t>FMI_WRLD_EQYEQEXP</t>
  </si>
  <si>
    <t>E Oil and Gas USD_EM_CORP_EE_OGAS - Spread Yield 50.00 bps</t>
  </si>
  <si>
    <t>Tsy 10Y USD_10yr - Yield -15.00 bps,</t>
  </si>
  <si>
    <t>Aluminum LME 1 USD_COMD_LA_1 - Price Level 15.00 pct,</t>
  </si>
  <si>
    <t>Aluminum LME 1</t>
  </si>
  <si>
    <t>USD_COMD_LA_1</t>
  </si>
  <si>
    <t>CNH/USD CNH_FX_USD - FX -3.00 pct,</t>
  </si>
  <si>
    <t>CNHUSD</t>
  </si>
  <si>
    <t>CNH_FX_USD</t>
  </si>
  <si>
    <t>EUR INF 10Y EUR_INF_10yr - Yield -60.00 bps,</t>
  </si>
  <si>
    <t>VIX VIX - Index Level 40.00 pct,</t>
  </si>
  <si>
    <t>Chemicals &amp; Industrial Gases FMI_CHNA_MATCHEMIND - Industry Return -15.00 pct,</t>
  </si>
  <si>
    <t>Chemicals  Industrial Gases</t>
  </si>
  <si>
    <t>FMI_CHNA_MATCHEMIND</t>
  </si>
  <si>
    <t>MSCI India MS_IN - Index Level -15.00 pct,</t>
  </si>
  <si>
    <t>MSCI India</t>
  </si>
  <si>
    <t>MS_IN</t>
  </si>
  <si>
    <t>Automobiles &amp; Components - Automobiles &amp; Components [FMI_USAM_CDIAUTOCMP-FMI_APXJ_CDIAUTOCMP] - Industry Return 15.00 pct,</t>
  </si>
  <si>
    <t>Automobiles</t>
  </si>
  <si>
    <t>Components</t>
  </si>
  <si>
    <t>MXEU CONSUM DISC(EUR) - MSCI EUROPE(EUR) [MXEU0CD-MXEU] - Index Level -10.00 pct</t>
  </si>
  <si>
    <t>DISCEUR</t>
  </si>
  <si>
    <t>Tsy 1Y USD_1yr - Yield -50.00 bps,</t>
  </si>
  <si>
    <t>CRASH08</t>
  </si>
  <si>
    <t xml:space="preserve">Crash '08 - Absolute, Sep 12 - Nov 03, 2008                 </t>
  </si>
  <si>
    <t>Credit &amp; liquidity crisis and equity market crash set off by Lehman Brothers bankruptcy. Significant credit spreads widening caused by massive deleveraging. Shocks for DxS Factors are spreads.</t>
  </si>
  <si>
    <t>USD INF 1Y USD_INF_1yr - Yield 50.00 bps,</t>
  </si>
  <si>
    <t>CREDIT07</t>
  </si>
  <si>
    <t xml:space="preserve">Credit '07 - Relative, Jul 01, 2007 - Jul 01, 2008          </t>
  </si>
  <si>
    <t>Credit &amp; liquidity crisis stemming from a severe slowdown in the housing market causing significant widening of credit spreads and increased implied volatility. Shocks for DxS Factors are percentages of spread.</t>
  </si>
  <si>
    <t>USD INF 10Y USD_INF_10yr - Yield 0.00 bps,</t>
  </si>
  <si>
    <t>CVIRUS_GC</t>
  </si>
  <si>
    <t xml:space="preserve">Coronavirus - Coronavirus Global Contagion                  </t>
  </si>
  <si>
    <t>A hypothetical scenario in which the coronavirus spreads globally, with increasing numbers of infections and deaths beyond China. More cities are placed on lockdown in an attempt to contain the virus, transport systems are closed, and flights are grounded. Reduced economic activity impacts global growth.</t>
  </si>
  <si>
    <t>US HY Market USD_HY_MARKET_SF - Spread Yield -30.00 bps,</t>
  </si>
  <si>
    <t>S&amp;P 500 Consumer Staples Index SPCS - Index Level 10.00 pct,</t>
  </si>
  <si>
    <t>SPCS</t>
  </si>
  <si>
    <t>S&amp;P 500 Information Technology SPIT - Index Level 15.00 pct</t>
  </si>
  <si>
    <t>SPIT</t>
  </si>
  <si>
    <t>Tsy 2Y USD_2yr - Yield -50.00 bps,</t>
  </si>
  <si>
    <t>DXY DXY - Index Level -5.00 pct,</t>
  </si>
  <si>
    <t>US HY Market USD_HY_MARKET - Spread Yield 100.00 bps,</t>
  </si>
  <si>
    <t>S&amp;P 500 Consumer Staples Index - S&amp;P 500 Cons. Disc. Index [SPCS-SPCD] - Index Level 12.00 pct</t>
  </si>
  <si>
    <t>Tsy 1Y USD_1yr - Yield 50.00 bps,</t>
  </si>
  <si>
    <t>Tsy 10Y USD_10yr - Yield 25.00 bps,</t>
  </si>
  <si>
    <t>USD INF 1Y USD_INF_1yr - Yield -40.00 bps,</t>
  </si>
  <si>
    <t>US HY Market USD_HY_MARKET_SF - Spread Yield 75.00 bps,</t>
  </si>
  <si>
    <t>Value - Growth [FMI_NAMR_VALUE-FMI_NAMR_GROWTH] - Style Return 250.00 bps</t>
  </si>
  <si>
    <t>Tsy 10Y USD_10yr - Yield 10.00 bps,</t>
  </si>
  <si>
    <t>US HY Market USD_HY_MARKET - Spread Yield -5.00 bps</t>
  </si>
  <si>
    <t>Tsy 2Y USD_2yr - Yield 35.00 bps,</t>
  </si>
  <si>
    <t>S&amp;P 500 SPX - Index Level -5.00 pct,</t>
  </si>
  <si>
    <t>MS Emerging Mkts MXEF - Index Level -8.00 pct,</t>
  </si>
  <si>
    <t>EMBIG DxS USD_EM_DS_G - Spread Yield 50.00 bps,</t>
  </si>
  <si>
    <t>S&amp;P 500 Cons. Disc. Index - S&amp;P 500 Consumer Staples Index [SPCD-SPCS] - Index Level 8.00 pct</t>
  </si>
  <si>
    <t>Tsy 2Y USD_2yr - Yield -5.00 bps,</t>
  </si>
  <si>
    <t>US Cash Bonds HY USD_LEH_HY3 - Spread Yield -35.00 bps,</t>
  </si>
  <si>
    <t>DEM 2Y EUR_2yr - Yield -10.00 bps,</t>
  </si>
  <si>
    <t>EUR/USD EUR_FX_USD - FX -2.00 pct,</t>
  </si>
  <si>
    <t>EMBIG DxS USD_EM_DS_G - Spread Yield -20.00 bps,</t>
  </si>
  <si>
    <t>MSCI World Utilities - MSCI World IT [MSUTIL_LCL-MSIT_LCL] - Index Level 5.00 pct,</t>
  </si>
  <si>
    <t>China Corp HY - India Corp HY [USD_CN_CORP_HY-USD_IN_CORP_HY] - Spread Yield 25.00 bps,</t>
  </si>
  <si>
    <t>US Cash Bonds HY - US Cash Bonds IG [USD_LEH_HY3-USD_LEH_CREDIT3] - Spread Yield -15.00 bps</t>
  </si>
  <si>
    <t>Tsy 10Y USD_10yr - Yield 30.00 bps,</t>
  </si>
  <si>
    <t>USD INF 10Y USD_INF_10yr - Yield -15.00 bps,</t>
  </si>
  <si>
    <t>Brent Crude ICE 1 USD_COMD_CO_1 - Price Level 6.00 pct,</t>
  </si>
  <si>
    <t>US Cash Bonds HY USD_LEH_HY3 - Spread Yield -50.00 bps,</t>
  </si>
  <si>
    <t>MSCI World Net TR MSCIWLDNET - Index Level 4.00 pct,</t>
  </si>
  <si>
    <t>MSCI World Industrials - MSCI World Net TR [MSINDU_LCL-MSCIWLDNET] - Index Level 2.00 pct,</t>
  </si>
  <si>
    <t>Industrials</t>
  </si>
  <si>
    <t>Tsy 30Y - Tsy 10Y [USD_30yr-USD_10yr] - Yield 15.00 bps</t>
  </si>
  <si>
    <t>EUR/USD EUR_FX_USD - FX 2.00 pct,</t>
  </si>
  <si>
    <t>S&amp;P 500 Industrials S5INDU - Index Level -10.00 pct,</t>
  </si>
  <si>
    <t>MSCI World Net TR MSCIWLDNET - Index Level -7.50 pct,</t>
  </si>
  <si>
    <t>JPY 2Y - JPY 10Y [JPY_2yr-JPY_10yr] - Yield 20.00 bps,</t>
  </si>
  <si>
    <t>JPY</t>
  </si>
  <si>
    <t>Tsy 10Y - Tsy 2Y [USD_10yr-USD_2yr] - Yield -25.00 bps</t>
  </si>
  <si>
    <t>Tsy 2Y USD_2yr - Yield -75.00 bps,</t>
  </si>
  <si>
    <t>USD INF 2Y USD_INF_2yr - Yield 100.00 bps,</t>
  </si>
  <si>
    <t>CYBER</t>
  </si>
  <si>
    <t xml:space="preserve">Major cyber attack(s)                                       </t>
  </si>
  <si>
    <t>Cyber attacks cause sustained disruption to critical physical and digital infrastructure</t>
  </si>
  <si>
    <t>Brent Crude ICE 1 USD_COMD_CO_1 - Price Level -5.00 pct,</t>
  </si>
  <si>
    <t>Norm Impl Vol 1x10 USD_normvol_1y_10y - Implied Vol -25.00 bps,</t>
  </si>
  <si>
    <t>Norm Impl Vol 1x10</t>
  </si>
  <si>
    <t>USD_normvol_1y_10y</t>
  </si>
  <si>
    <t>US IG Market USD_IG_MARKET_SF - Spread Yield -40.00 bps,</t>
  </si>
  <si>
    <t>US IG Market</t>
  </si>
  <si>
    <t>USD_IG_MARKET_SF</t>
  </si>
  <si>
    <t>S&amp;P 500 SPX - Index Level 15.00 pct,</t>
  </si>
  <si>
    <t>Energy Equipment &amp; Services FMI_NAMR_EGYEQ - Industry Return -4.00 pct,</t>
  </si>
  <si>
    <t>FMI_NAMR_EGYEQ</t>
  </si>
  <si>
    <t>Diversified Consumer Services FMI_NAMR_CDIDIVSVCS - Industry Return 8.00 pct,</t>
  </si>
  <si>
    <t>Diversified Consumer Services</t>
  </si>
  <si>
    <t>FMI_NAMR_CDIDIVSVCS</t>
  </si>
  <si>
    <t>Growth FMI_NAMR_GROWTH - Style Return 500.00 bps,</t>
  </si>
  <si>
    <t>FMI_NAMR_GROWTH</t>
  </si>
  <si>
    <t>US HY Independent Energy - US HY Market [USD_HY_INDE_SF-USD_HY_MARKET_SF] - Spread Yield 20.00 bps</t>
  </si>
  <si>
    <t>Brent Crude ICE 1 USD_COMD_CO_1 - Price Level -23.00 pct,</t>
  </si>
  <si>
    <t>Copper CMX 1 USD_COMD_HG_1 - Price Level -20.00 pct,</t>
  </si>
  <si>
    <t>DXY DXY - Index Level -5.00</t>
  </si>
  <si>
    <t>S&amp;P 500 SPX - Index Level -25.00 pct,</t>
  </si>
  <si>
    <t>SP500 Consum Discr S5COND - Index Level -35.00 pct,</t>
  </si>
  <si>
    <t>US HY Market USD_HY_MARKET_SF - Spread Yield 350.00 bps,</t>
  </si>
  <si>
    <t>ABS Auto Subprime USD_ABS_AUTOSBPRM - Spread Yield 100.00 bps,</t>
  </si>
  <si>
    <t>ABS Auto Subprime</t>
  </si>
  <si>
    <t>USD_ABS_AUTOSBPRM</t>
  </si>
  <si>
    <t>MS Emerging Mkts - MSCI World Net TR [MXEF-MSCIWLDNET] - Index Level 8.00 pct</t>
  </si>
  <si>
    <t>Tsy 2Y USD_2yr - Yield 60.00 bps,</t>
  </si>
  <si>
    <t>Tsy 10Y USD_10yr - Yield 80.00 bps,</t>
  </si>
  <si>
    <t>USD INF 2Y USD_INF_2yr - Yield -50.00 bps,</t>
  </si>
  <si>
    <t>30yr Mtg Tsy Basis V620 USD_mtg30_tsy_V620 - Mortgage Basis 25.00 bps,</t>
  </si>
  <si>
    <t>30yr Mtg Tsy Basis V620</t>
  </si>
  <si>
    <t>USD_mtg30_tsy_V620</t>
  </si>
  <si>
    <t>Brent Crude ICE 1 USD_COMD_CO_1 - Price Level 2.00 pct,</t>
  </si>
  <si>
    <t>Norm Impl Vol 1x10 USD_normvol_1y_10y - Implied Vol 30.00 bps,</t>
  </si>
  <si>
    <t>Growth FMI_NAMR_GROWTH - Style Return -60.00 bps,</t>
  </si>
  <si>
    <t>US HY Market USD_HY_MARKET_SF - Spread Yield 130.00 bps,</t>
  </si>
  <si>
    <t>Tsy 2Y USD_2yr - Yield 75.00 bps,</t>
  </si>
  <si>
    <t>CYBERCLDV2</t>
  </si>
  <si>
    <t xml:space="preserve">Cyber Attacks Rising - Attack on the Cloud                  </t>
  </si>
  <si>
    <t>Hackers take over the infrastructure of key cloud service providers, with repercussions across industries.</t>
  </si>
  <si>
    <t>USD INF 2Y USD_INF_2yr - Yield -25.00 bps,</t>
  </si>
  <si>
    <t>30yr Mtg Tsy Basis V620 USD_mtg30_tsy_V620 - Mortgage Basis 30.00 bps,</t>
  </si>
  <si>
    <t>Brent Crude ICE 1 USD_COMD_CO_1 - Price Level -15.00 pct,</t>
  </si>
  <si>
    <t>Norm Impl Vol 1x10 USD_normvol_1y_10y - Implied Vol 15.00 bps,</t>
  </si>
  <si>
    <t>US IG Market USD_IG_MARKET_SF - Spread Yield 50.00 bps,</t>
  </si>
  <si>
    <t>Pharmaceuticals FMI_WRLD_HLCPHARMA - Industry Return 5.00 pct,</t>
  </si>
  <si>
    <t>FMI_WRLD_HLCPHARMA</t>
  </si>
  <si>
    <t>Software &amp; Svcs x Data Proc FMI_WRLD_ITCSOFTXDA - Industry Return -6.00 pct,</t>
  </si>
  <si>
    <t>Software  Svcs x Data Proc</t>
  </si>
  <si>
    <t>FMI_WRLD_ITCSOFTXDA</t>
  </si>
  <si>
    <t>US HY Market - US IG Market [USD_HY_MARKET_SF-USD_IG_MARKET_SF] - Spread Yield 250.00 bps</t>
  </si>
  <si>
    <t>Tsy 10Y USD_10yr - Yield -10.00 bps,</t>
  </si>
  <si>
    <t>DEM 10Y EUR_10yr - Yield -25.00 bps,</t>
  </si>
  <si>
    <t>MSCI EUROPE(EUR) MXEU - Index Level -3.00 pct,</t>
  </si>
  <si>
    <t>Airlines FMI_EMEA_INDAIRLINE - Industry Return -6.00 pct</t>
  </si>
  <si>
    <t>GSCI GSCIINDX - Price Level -4.00 pct,</t>
  </si>
  <si>
    <t>GSCI</t>
  </si>
  <si>
    <t>GSCIINDX</t>
  </si>
  <si>
    <t>ESP 10Y - DEM 10Y [ESP_10yr-DEM_10yr] - Spread Yield -15.00 bps,</t>
  </si>
  <si>
    <t>MSCI World xUS - S&amp;P 500 [MSXWOUS-SPX] - Index Level -3.00 pct</t>
  </si>
  <si>
    <t>xUS</t>
  </si>
  <si>
    <t>Crude Oil NYME 1 USD_COMD_CL_1 - Price Level -20.00 pct,</t>
  </si>
  <si>
    <t>US HY Market USD_HY_MARKET - Spread Yield 120.00 bps,</t>
  </si>
  <si>
    <t>MS Emerging Mkts - S&amp;P 500 [MXEF-SPX] - Index Level -5.00 pct</t>
  </si>
  <si>
    <t>US Cash Bonds HY USD_LEH_HY3 - Spread Yield 70.00 bps,</t>
  </si>
  <si>
    <t>S&amp;P 500 SPX - Index Level -12.00 pct,</t>
  </si>
  <si>
    <t>S&amp;P 500 Consumer Staples Index - S&amp;P 500 Cons. Disc. Index [SPCS-SPCD] - Index Level 10.00 pct</t>
  </si>
  <si>
    <t>Brent Crude ICE 1 USD_COMD_CO_1 - Price Level 35.00 pct,</t>
  </si>
  <si>
    <t>CYBERFINV2</t>
  </si>
  <si>
    <t xml:space="preserve">Cyber Attacks Rising - Financial Services Defenses Breached </t>
  </si>
  <si>
    <t>The US financial system is hit by a series of cyber attacks, forcing a shutdown of operations.</t>
  </si>
  <si>
    <t>MSCI World Net TR MSCIWLDNET - Index Level -12.00 pct,</t>
  </si>
  <si>
    <t>MSCI World Energy - MSCI World Net TR [MSENRG_LCL-MSCIWLDNET] - Index Level 12.00 pct</t>
  </si>
  <si>
    <t>Brent Crude ICE 1 USD_COMD_CO_1 - Price Level 25.00 pct,</t>
  </si>
  <si>
    <t>Aerospace &amp; Defense FMI_WRLD_INDAIRDEF - Industry Return 6.00 pct,</t>
  </si>
  <si>
    <t>FMI_WRLD_INDAIRDEF</t>
  </si>
  <si>
    <t>US HY Oil Field Services USD_HY_OILM - Spread Yield 10.00 bps,</t>
  </si>
  <si>
    <t>US HY Oil Field Services</t>
  </si>
  <si>
    <t>USD_HY_OILM</t>
  </si>
  <si>
    <t>US HY Market USD_HY_MARKET - Spread Yield 60.00 bps,</t>
  </si>
  <si>
    <t>MSCI World Energy MSENRG_LCL - Index Level 5.00 pct</t>
  </si>
  <si>
    <t>MSCI World Energy</t>
  </si>
  <si>
    <t>MSENRG_LCL</t>
  </si>
  <si>
    <t>Brent Crude ICE 12 USD_COMD_CO_12 - Price Level 5.00 pct,</t>
  </si>
  <si>
    <t>Brent Crude ICE 12</t>
  </si>
  <si>
    <t>USD_COMD_CO_12</t>
  </si>
  <si>
    <t>China Shenzhen SEAll SZCOMP - Index Level 3.00 pct,</t>
  </si>
  <si>
    <t>China Shenzhen SEAll</t>
  </si>
  <si>
    <t>SZCOMP</t>
  </si>
  <si>
    <t>Integrated Oil &amp; Gas - MSCI EUROPE(EUR) [FMI_EMEA_EGYINT-MXEU] - Industry Return -5.00 pct,</t>
  </si>
  <si>
    <t>Gas</t>
  </si>
  <si>
    <t>US Cash Bonds IG - EU Credit IG [USD_LEH_CREDIT3-EUR_LEH_CREDIT] - Spread Yield 15.00 bps</t>
  </si>
  <si>
    <t>Brent Crude ICE 6 USD_COMD_CO_6 - Price Level 8.00 pct,</t>
  </si>
  <si>
    <t>Brent Crude ICE 6</t>
  </si>
  <si>
    <t>USD_COMD_CO_6</t>
  </si>
  <si>
    <t>MSCI World Net TR MSCIWLDNET - Index Level -2.00 pct,</t>
  </si>
  <si>
    <t>CYBERUTLV2</t>
  </si>
  <si>
    <t xml:space="preserve">Cyber Attacks Rising - US Power Grid Targeted               </t>
  </si>
  <si>
    <t>A cyber attack on the US power grid results in sustained power outages and economic damage.</t>
  </si>
  <si>
    <t>Qatar FMI_WRLD_QAT - Country Return -6.00 pct,</t>
  </si>
  <si>
    <t>Qatar</t>
  </si>
  <si>
    <t>FMI_WRLD_QAT</t>
  </si>
  <si>
    <t>Saudi Arabia FMI_WRLD_SAU - Country Return -12.00 pct,</t>
  </si>
  <si>
    <t>US HY Oil Field Services USD_HY_OILM - Spread Yield -60.00 bps,</t>
  </si>
  <si>
    <t>US HY Market USD_HY_MARKET - Spread Yield -30.00 bps</t>
  </si>
  <si>
    <t>Brent Crude ICE 12 USD_COMD_CO_12 - Price Level 25.00 pct,</t>
  </si>
  <si>
    <t>S&amp;P 500 SPX - Index Level -2.00 pct,</t>
  </si>
  <si>
    <t>VIX VIX - Index Level 12.00 pct,</t>
  </si>
  <si>
    <t>China Shenzhen SEAll SZCOMP - Index Level -5.00 pct,</t>
  </si>
  <si>
    <t>US HY Oil Field Services USD_HY_OILM - Spread Yield 15.00 bps,</t>
  </si>
  <si>
    <t>MSCI World Energy - MSCI World Net TR [MSENRG_LCL-MSCIWLDNET] - Index Level 5.00 pct</t>
  </si>
  <si>
    <t>Brent Crude ICE 1 USD_COMD_CO_1 - Price Level 5.00 pct,</t>
  </si>
  <si>
    <t>Saudi Arabia FMI_WRLD_SAU - Country Return -5.00 pct,</t>
  </si>
  <si>
    <t>Emerg Mkt Mid E Africa USD_EM_DS_MIDAF - Spread Yield 50.00 bps</t>
  </si>
  <si>
    <t>Emerg Mkt Mid E Africa</t>
  </si>
  <si>
    <t>USD_EM_DS_MIDAF</t>
  </si>
  <si>
    <t>Gold COMEX 1 USD_COMD_GC_1 - Price Level -5.00 pct,</t>
  </si>
  <si>
    <t>Tsy 10Y - DEM 10Y [USD_10yr-EUR_10yr] - Yield 30.00 bps,</t>
  </si>
  <si>
    <t>Tsy 30Y - Tsy 5Y [USD_30yr-USD_5yr] - Yield -30.00 bps</t>
  </si>
  <si>
    <t>EUR/USD EUR_FX_USD - FX -2.00 pct</t>
  </si>
  <si>
    <t>Tsy 10Y USD_10yr - Yield 15.00 bps,</t>
  </si>
  <si>
    <t>Crude Oil NYME 1 USD_COMD_CL_1 - Price Level 10.00 pct,</t>
  </si>
  <si>
    <t>US Cash Bonds IG USD_LEH_CREDIT3 - Spread Yield 15.00 bps,</t>
  </si>
  <si>
    <t>US Cash Bonds HY USD_LEH_HY3 - Spread Yield 50.00 bps,</t>
  </si>
  <si>
    <t>ESP 10Y ESP_10yr - Spread Yield 20.00 bps,</t>
  </si>
  <si>
    <t>ESP 10Y</t>
  </si>
  <si>
    <t>ESP_10yr</t>
  </si>
  <si>
    <t>CYBER_CLD</t>
  </si>
  <si>
    <t xml:space="preserve">Cyber Attacks - Attack on the Cloud                         </t>
  </si>
  <si>
    <t>Hackers take over the infrastructure of key cloud service providers resulting in repercussions across industries</t>
  </si>
  <si>
    <t>JPY 10Y JPY_10yr - Yield 5.00 bps,</t>
  </si>
  <si>
    <t>JPY 10Y</t>
  </si>
  <si>
    <t>JPY_10yr</t>
  </si>
  <si>
    <t>MXN 10Y MXN_10yr - Yield 50.00 bps,</t>
  </si>
  <si>
    <t>EMBIG DxS USD_EM_DS_G - Spread Yield 35.00 bps,</t>
  </si>
  <si>
    <t>OIS 3m USD_OIS_3m - Yield 37.50 bps,</t>
  </si>
  <si>
    <t>S&amp;P 500 Utilities - S&amp;P 500 [S5UTIL-SPX] - Index Level 0.00 pct</t>
  </si>
  <si>
    <t>Tsy 10Y USD_10yr - Yield 45.00 bps,</t>
  </si>
  <si>
    <t>USD INF 10Y USD_INF_10yr - Yield -25.00 bps,</t>
  </si>
  <si>
    <t>Crude Oil NYME 1 USD_COMD_CL_1 - Price Level 8.00 pct,</t>
  </si>
  <si>
    <t>US Cash Bonds IG USD_LEH_CREDIT3 - Spread Yield -12.00 bps,</t>
  </si>
  <si>
    <t>S&amp;P 500 SPX - Index Level 5.00 pct,</t>
  </si>
  <si>
    <t>S&amp;P 500 Energy - S&amp;P 500 [S5ENRS-SPX] - Index Level 5.00 pct,</t>
  </si>
  <si>
    <t>S&amp;P 500 Industrials - S&amp;P 500 [S5INDU-SPX] - Index Level 3.00 pct,</t>
  </si>
  <si>
    <t>S&amp;P 500 Consumer Staples Index - S&amp;P 500 [SPCS-SPX] - Index Level -3.00 pct</t>
  </si>
  <si>
    <t>JPY 2Y JPY_2yr - Yield 10.00 bps,</t>
  </si>
  <si>
    <t>JPY 2Y</t>
  </si>
  <si>
    <t>JPY_2yr</t>
  </si>
  <si>
    <t>EUR/USD EUR_FX_USD - FX 3.00 pct,</t>
  </si>
  <si>
    <t>EUR INF 10Y EUR_INF_10yr - Yield -25.00 bps,</t>
  </si>
  <si>
    <t>MS Emerging Mkts - MSCI World Net TR [MXEF-MSCIWLDNET] - Index Level 5.00 pct</t>
  </si>
  <si>
    <t>Crude Oil NYME 1 USD_COMD_CL_1 - Price Level 30.00 pct,</t>
  </si>
  <si>
    <t>RUB/USD RUB_FX_USD - FX 15.00 pct,</t>
  </si>
  <si>
    <t>SP500 Consum Discr - S&amp;P 500 Consumer Staples Index [S5COND-SPCS] - Index Level -6.00 pct,</t>
  </si>
  <si>
    <t>Discr</t>
  </si>
  <si>
    <t>S&amp;P 500 Energy - S&amp;P 500 [S5ENRS-SPX] - Index Level 10.00 pct</t>
  </si>
  <si>
    <t>CYBER_FIN</t>
  </si>
  <si>
    <t xml:space="preserve">Cyber Attacks - Financial Services - Defenses Breached      </t>
  </si>
  <si>
    <t>Tsy 10Y USD_10yr - Yield 55.00 bps,</t>
  </si>
  <si>
    <t>USD INF 10Y USD_INF_10yr - Yield -50.00 bps,</t>
  </si>
  <si>
    <t>GSCI ENERGY GSENSPOT - Price Level 10.00 pct,</t>
  </si>
  <si>
    <t>GSCI ENERGY</t>
  </si>
  <si>
    <t>GSENSPOT</t>
  </si>
  <si>
    <t>S&amp;P 500 Cons. Disc. Index - S&amp;P 500 Consumer Staples Index [SPCD-SPCS] - Index Level 5.00 pct</t>
  </si>
  <si>
    <t>USD INF 10Y USD_INF_10yr - Yield 50.00 bps,</t>
  </si>
  <si>
    <t>US HY Market USD_HY_MARKET - Spread Yield 50.00 bps,</t>
  </si>
  <si>
    <t>MSCI World Consumer Staples - MSCI World Net TR [MSCOST_LCL-MSCIWLDNET] - Index Level 3.00 pct,</t>
  </si>
  <si>
    <t>MSCI World Industrials - MSCI World Net TR [MSINDU_LCL-MSCIWLDNET] - Index Level -5.00 pct,</t>
  </si>
  <si>
    <t>MSCI World Utilities - MSCI World Net TR [MSUTIL_LCL-MSCIWLDNET] - Index Level 3.00 pct,</t>
  </si>
  <si>
    <t>MSCI Japan - MSCI World Net TR [MS_JP-MSCIWLDNET] - Index Level 2.00 pct</t>
  </si>
  <si>
    <t>Tsy 10Y USD_10yr - Yield 90.00 bps,</t>
  </si>
  <si>
    <t>USD INF 10Y USD_INF_10yr - Yield -70.00 bps,</t>
  </si>
  <si>
    <t>BRL INF 10Y BRL_INF_10yr - Yield -130.00 bps,</t>
  </si>
  <si>
    <t>BRL INF 10Y</t>
  </si>
  <si>
    <t>BRL_INF_10yr</t>
  </si>
  <si>
    <t>A cyber attack on the US power grid results in sustained power outages and has economic impact</t>
  </si>
  <si>
    <t>Pan Euro Credit HY EUR_LEH_HY - Spread Yield 80.00 bps,</t>
  </si>
  <si>
    <t>Pan Euro Credit HY</t>
  </si>
  <si>
    <t>EUR_LEH_HY</t>
  </si>
  <si>
    <t>MSCI World Cons. Discretionary - MSCI World IT [MSCODS_LCL-MSIT_LCL] - Index Level 10.00 pct,</t>
  </si>
  <si>
    <t>MSCI World Utilities - MSCI World Net TR [MSUTIL_LCL-MSCIWLDNET] - Index Level -3.00 pct,</t>
  </si>
  <si>
    <t>MS Emerging Mkts - MSCI World Net TR [MXEF-MSCIWLDNET] - Index Level -2.00 pct</t>
  </si>
  <si>
    <t>Brent Crude ICE 1 USD_COMD_CO_1 - Price Level 8.00 pct,</t>
  </si>
  <si>
    <t>DXY DXY - Index Level -2.00 pct,</t>
  </si>
  <si>
    <t>MSCI World Net TR MSCIWLDNET - Index Level 5.00 pct,</t>
  </si>
  <si>
    <t>US HY Market USD_HY_MARKET - Spread Yield -10.00 bps,</t>
  </si>
  <si>
    <t>MSCI World Cons. Discretionary - MSCI World Net TR [MSCODS_LCL-MSCIWLDNET] - Index Level 3.00 pct,</t>
  </si>
  <si>
    <t>MSCI World Financials - MSCI World Net TR [MSFNCL_LCL-MSCIWLDNET] - Index Level -3.00 pct</t>
  </si>
  <si>
    <t>DEM 10Y EUR_10yr - Yield 30.00 bps,</t>
  </si>
  <si>
    <t>MSCI EUROPE(EUR) MXEU - Index Level 10.00 pct,</t>
  </si>
  <si>
    <t>Pan Euro Credit HY EUR_LEH_HY - Spread Yield -40.00 bps,</t>
  </si>
  <si>
    <t>MSCI World Cons. Discretionary - MSCI World Consumer Staples [MSCODS_LCL-MSCOST_LCL] - Index Level 7.00 pct,</t>
  </si>
  <si>
    <t>S&amp;P 500 - MSCI EUROPE(EUR) [SPX-MXEU] - Index Level -5.00 pct</t>
  </si>
  <si>
    <t>CPI 10yr USD_CPI_10yr - Yield -20.00 bps,</t>
  </si>
  <si>
    <t>DEF_SCEN</t>
  </si>
  <si>
    <t xml:space="preserve">Reflation - Deflation                                       </t>
  </si>
  <si>
    <t>Sluggish economic growth and weak oil prices drive down inflation expectations</t>
  </si>
  <si>
    <t>US HY Market USD_HY_MARKET - Spread Yield 90.00 bps,</t>
  </si>
  <si>
    <t>SP500 Consum Discr - S&amp;P 500 [S5COND-SPX] - Index Level 5.00 pct</t>
  </si>
  <si>
    <t>CPI 10yr USD_CPI_10yr - Yield 15.00 bps,</t>
  </si>
  <si>
    <t>Brent Crude ICE 1 USD_COMD_CO_1 - Price Level -9.00 pct,</t>
  </si>
  <si>
    <t>US HY Market USD_HY_MARKET - Spread Yield 35.00 bps,</t>
  </si>
  <si>
    <t>S&amp;P 500 Industrials - S&amp;P 500 [S5INDU-SPX] - Index Level -5.00 pct</t>
  </si>
  <si>
    <t>Tsy 10Y USD_10yr - Yield -8.00 bps,</t>
  </si>
  <si>
    <t>US Cash Bonds IG USD_LEH_CREDIT3 - Spread Yield 10.00 bps,</t>
  </si>
  <si>
    <t>INR/USD INR_FX_USD - FX -6.00 pct,</t>
  </si>
  <si>
    <t>INR_FX_USD</t>
  </si>
  <si>
    <t>PKR/USD PKR_FX_USD - FX -9.00 pct,</t>
  </si>
  <si>
    <t>PKR_FX_USD</t>
  </si>
  <si>
    <t>India BSE 100 BSE100 - Index Level -12.00 pct,</t>
  </si>
  <si>
    <t>India BSE 100</t>
  </si>
  <si>
    <t>BSE100</t>
  </si>
  <si>
    <t>Pakistan KSE 100 KSE100 - Index Level -18.00 pct,</t>
  </si>
  <si>
    <t>Pakistan KSE 100</t>
  </si>
  <si>
    <t>KSE100</t>
  </si>
  <si>
    <t>Aerospace &amp; Defense FMI_WRLD_INDAIRDEF - Industry Return 5.00 pct,</t>
  </si>
  <si>
    <t>DIV24</t>
  </si>
  <si>
    <t xml:space="preserve">Global Monetary Policy - ECB/FED Divergence                 </t>
  </si>
  <si>
    <t>ECB and FED Divergence Monetary Policy Scenario- ECB cuts rates ahead of FED as they hold steady. BoJ stays on track to continue rate hikes</t>
  </si>
  <si>
    <t>Pakistan USD_EM_DS_PAKISTAN - Spread Yield 150.00 bps</t>
  </si>
  <si>
    <t>Pakistan</t>
  </si>
  <si>
    <t>USD_EM_DS_PAKISTAN</t>
  </si>
  <si>
    <t>DEM 3M EUR_3m - Yield -5.00 bps,</t>
  </si>
  <si>
    <t>DEM 3M</t>
  </si>
  <si>
    <t>EUR_3m</t>
  </si>
  <si>
    <t>DEM 10Y EUR_10yr - Yield 50.00 bps,</t>
  </si>
  <si>
    <t>JPY 3M JPY_3m - Yield -5.00 bps,</t>
  </si>
  <si>
    <t>JPY 3M</t>
  </si>
  <si>
    <t>JPY_3m</t>
  </si>
  <si>
    <t>JPY 10Y JPY_10yr - Yield 30.00 bps,</t>
  </si>
  <si>
    <t>MXN/USD MXN_FX_USD - FX 4.00 pct,</t>
  </si>
  <si>
    <t>JPY INF 10Y JPY_INF_10yr - Yield -30.00 bps,</t>
  </si>
  <si>
    <t>JPY INF 10Y</t>
  </si>
  <si>
    <t>JPY_INF_10yr</t>
  </si>
  <si>
    <t>Pan Euro Credit HY EUR_LEH_HY - Spread Yield -70.00 bps,</t>
  </si>
  <si>
    <t>Value FMI_WRLD_VALUE - Style Return 100.00 bps,</t>
  </si>
  <si>
    <t>EMBIG DxS USD_EM_DS_G - Spread Yield -35.00 bps,</t>
  </si>
  <si>
    <t>MSCI EUROPE(EUR) - MSCI World Net TR [MXEU-MSCIWLDNET] - Index Level 5.00 pct</t>
  </si>
  <si>
    <t>JPY 2Y JPY_2yr - Yield -10.00 bps,</t>
  </si>
  <si>
    <t>JPY 10Y JPY_10yr - Yield -25.00 bps,</t>
  </si>
  <si>
    <t>MSCI World Net TR MSCIWLDNET - Index Level -10.00</t>
  </si>
  <si>
    <t>Pan Euro Credit HY EUR_LEH_HY - Spread Yield 100.00 bps,</t>
  </si>
  <si>
    <t>EMBIG DxS USD_EM_DS_G - Spread Yield 60.00 bps,</t>
  </si>
  <si>
    <t>EU Banking IG - EU Noncyclical IG [EUR_BANKBROK_IG-EUR_NONCYCLICAL_IG] - Spread Yield 40.00 bps,</t>
  </si>
  <si>
    <t>MSCI World Financials - MSCI World Net TR [MSFNCL_LCL-MSCIWLDNET] - Index Level -7.50 pct,</t>
  </si>
  <si>
    <t>DOV_CB</t>
  </si>
  <si>
    <t xml:space="preserve">Global CB Policy - Goldilocks Continues As Real Yields Fall </t>
  </si>
  <si>
    <t>Crude Oil NYME 1 USD_COMD_CL_1 - Price Level 0.00 pct,</t>
  </si>
  <si>
    <t>JPY Vol 1x10 JPY_normvol_1y_10y - Implied Vol 20.00 bps,</t>
  </si>
  <si>
    <t>JPY Vol 1x10</t>
  </si>
  <si>
    <t>JPY_normvol_1y_10y</t>
  </si>
  <si>
    <t>NIKKEI 225 NKY - Index Level -7.50 pct,</t>
  </si>
  <si>
    <t>NIKKEI 225</t>
  </si>
  <si>
    <t>NKY</t>
  </si>
  <si>
    <t>JP Maturity 5 JPY_CORP_AGG_5Y - Spread Yield -10.00 bps,</t>
  </si>
  <si>
    <t>JP Maturity 5</t>
  </si>
  <si>
    <t>JPY_CORP_AGG_5Y</t>
  </si>
  <si>
    <t>Banks FMI_JAPN_FINBANK - Industry Return -15.00 pct,</t>
  </si>
  <si>
    <t>FMI_JAPN_FINBANK</t>
  </si>
  <si>
    <t>OIS 1m USD_OIS_1m - Yield -5.00 bps</t>
  </si>
  <si>
    <t>OIS 1m</t>
  </si>
  <si>
    <t>USD_OIS_1m</t>
  </si>
  <si>
    <t>GSCI ENERGY GSENSPOT - Price Level 8.00 pct,</t>
  </si>
  <si>
    <t>JPY 10Y JPY_10yr - Yield 35.00 bps,</t>
  </si>
  <si>
    <t>JPY/USD JPY_FX_USD - FX -5.00 pct,</t>
  </si>
  <si>
    <t>JPY INF 10Y JPY_INF_10yr - Yield -25.00 bps,</t>
  </si>
  <si>
    <t>MSCI World Cons. Discretionary - MSCI World Consumer Staples [MSCODS_LCL-MSCOST_LCL] - Index Level 5.00 pct,</t>
  </si>
  <si>
    <t>NIKKEI 225 - MSCI World Net TR [NKY-MSCIWLDNET] - Index Level 7.50 pct</t>
  </si>
  <si>
    <t>225</t>
  </si>
  <si>
    <t>US Cash Bonds IG USD_LEH_CREDIT3 - Spread Yield -10.00 bps,</t>
  </si>
  <si>
    <t>JPY 3M JPY_3m - Yield -10.00 bps,</t>
  </si>
  <si>
    <t>EL_NINO24</t>
  </si>
  <si>
    <t xml:space="preserve">El Nino 2024                                                </t>
  </si>
  <si>
    <t>El Nino 2023-2024 - El Nino phase comes to its anticipated peak and physical climate impacts are more pronounced than meteorologist's expectations.</t>
  </si>
  <si>
    <t>JPY 15Y JPY_15yr - Yield 15.00 bps,</t>
  </si>
  <si>
    <t>JPY 15Y</t>
  </si>
  <si>
    <t>JPY_15yr</t>
  </si>
  <si>
    <t>JPY/USD JPY_FX_USD - FX -7.50 pct,</t>
  </si>
  <si>
    <t>JPY INF 10Y JPY_INF_10yr - Yield -20.00 bps,</t>
  </si>
  <si>
    <t>NIKKEI 225 NKY - Index Level 8.00 pct,</t>
  </si>
  <si>
    <t>JP Maturity 10 JPY_CORP_AGG_10Y - Spread Yield -25.00 bps</t>
  </si>
  <si>
    <t>JP Maturity 10</t>
  </si>
  <si>
    <t>JPY_CORP_AGG_10Y</t>
  </si>
  <si>
    <t>BRL 10Y BRL_10yr - Yield 50.00 bps,</t>
  </si>
  <si>
    <t>BRL/USD BRL_FX_USD - FX 5.00 pct,</t>
  </si>
  <si>
    <t>MXN/USD MXN_FX_USD - FX 5.00 pct,</t>
  </si>
  <si>
    <t>MS Emerging Mkts MXEF - Index Level 8.00 pct,</t>
  </si>
  <si>
    <t>EMBIG DxS USD_EM_DS_G - Spread Yield -25.00 bps,</t>
  </si>
  <si>
    <t>MSCI EM Latin America (USD) - MSCI World Net TR [MS_LA-MSCIWLDNET] - Index Level 10.00 pct</t>
  </si>
  <si>
    <t>Tsy 10Y USD_10yr - Yield -5.00 bps,</t>
  </si>
  <si>
    <t>MXN/USD MXN_FX_USD - FX -7.00 pct,</t>
  </si>
  <si>
    <t>Mexican Bolsa MEXBOL - Index Level -15.00 pct,</t>
  </si>
  <si>
    <t>Mexican Bolsa</t>
  </si>
  <si>
    <t>MEXBOL</t>
  </si>
  <si>
    <t>MSCI World Net TR MSCIWLDNET - Index Level -1.00 pct,</t>
  </si>
  <si>
    <t>MSCI EM Latin America (USD) MS_LA - Index Level -5.00 pct</t>
  </si>
  <si>
    <t>MSCI EM Latin America USD</t>
  </si>
  <si>
    <t>MS_LA</t>
  </si>
  <si>
    <t>US HY Market USD_HY_MARKET - Spread Yield 25.00 bps,</t>
  </si>
  <si>
    <t>MSCI EM Latin America (USD) MS_LA - Index Level -15.00 pct</t>
  </si>
  <si>
    <t>Food &amp; Staples Retailing FMI_NAMR_CSTFOODSTA - Industry Return -5.00 pct,</t>
  </si>
  <si>
    <t>Food  Staples Retailing</t>
  </si>
  <si>
    <t>FMI_NAMR_CSTFOODSTA</t>
  </si>
  <si>
    <t>Pharmaceuticals FMI_NAMR_HLCPHARMA - Industry Return -5.00 pct,</t>
  </si>
  <si>
    <t>US HY Market USD_HY_MARKET_SF - Spread Yield 0.00 bps,</t>
  </si>
  <si>
    <t>US HY Pharmaceuticals - US HY Market [USD_HY_PHARMA_SF-USD_HY_MARKET_SF] - Spread Yield 35.00 bps,</t>
  </si>
  <si>
    <t>US HY Retail - US HY Market [USD_HY_RETAIL_SF-USD_HY_MARKET_SF] - Spread Yield 20.00 bps</t>
  </si>
  <si>
    <t>Retail</t>
  </si>
  <si>
    <t>Media FMI_NAMR_CDIMEDIA - Industry Return -5.00 pct,</t>
  </si>
  <si>
    <t>Food &amp; Staples Retailing FMI_NAMR_CSTFOODSTA - Industry Return -15.00 pct,</t>
  </si>
  <si>
    <t>Pharmaceuticals FMI_NAMR_HLCPHARMA - Industry Return -15.00 pct,</t>
  </si>
  <si>
    <t>EM16_CHN</t>
  </si>
  <si>
    <t xml:space="preserve">EM Financial Conditions - China Credit Crunch               </t>
  </si>
  <si>
    <t>A credit crunch leads to disorderly defaults of corporate and real-estate loans in China. An interconnected financial system of banks and shadow banking increases the contagion, to emerging markets in particular.</t>
  </si>
  <si>
    <t>Market FMI_NAMR_MARKET - Style Return 0.00 bps,</t>
  </si>
  <si>
    <t>FMI_NAMR_MARKET</t>
  </si>
  <si>
    <t>US HY Pharmaceuticals - US HY Market [USD_HY_PHARMA_SF-USD_HY_MARKET_SF] - Spread Yield 100.00 bps,</t>
  </si>
  <si>
    <t>US HY Retail - US HY Market [USD_HY_RETAIL_SF-USD_HY_MARKET_SF] - Spread Yield 40.00 bps</t>
  </si>
  <si>
    <t>Media FMI_NAMR_CDIMEDIA - Industry Return 5.00 pct,</t>
  </si>
  <si>
    <t>Food &amp; Staples Retailing FMI_NAMR_CSTFOODSTA - Industry Return 7.00 pct,</t>
  </si>
  <si>
    <t>Pharmaceuticals FMI_NAMR_HLCPHARMA - Industry Return 5.00 pct,</t>
  </si>
  <si>
    <t>US HY Pharmaceuticals - US HY Market [USD_HY_PHARMA_SF-USD_HY_MARKET_SF] - Spread Yield -70.00 bps,</t>
  </si>
  <si>
    <t>US HY Retail - US HY Market [USD_HY_RETAIL_SF-USD_HY_MARKET_SF] - Spread Yield -20.00 bps</t>
  </si>
  <si>
    <t>USD INF 1Y USD_INF_1yr - Yield -120.00 bps,</t>
  </si>
  <si>
    <t>Brent Crude ICE 1 USD_COMD_CO_1 - Price Level 100.00 pct,</t>
  </si>
  <si>
    <t>US IG Market USD_IG_MARKET_SF - Spread Yield 45.00 bps,</t>
  </si>
  <si>
    <t>MS Emerging Mkts MXEF - Index Level -17.00 pct,</t>
  </si>
  <si>
    <t>Emerg Mkt Mid East USD_EM_DS_ME - Spread Yield 200.00 bps</t>
  </si>
  <si>
    <t>Emerg Mkt Mid East</t>
  </si>
  <si>
    <t>USD_EM_DS_ME</t>
  </si>
  <si>
    <t>Tsy 10Y USD_10yr - Yield -50.00 bps,</t>
  </si>
  <si>
    <t>USD INF 1Y USD_INF_1yr - Yield -75.00 bps,</t>
  </si>
  <si>
    <t>Brent Crude ICE 1 USD_COMD_CO_1 - Price Level 30.00 pct,</t>
  </si>
  <si>
    <t>Gold GOLD_SPOT - Price Level 10.00 pct,</t>
  </si>
  <si>
    <t>Aerospace &amp; Defense FMI_NAMR_INDAIRDEF - Industry Return 10.00 pct,</t>
  </si>
  <si>
    <t>Emerg Mkt Mid East USD_EM_DS_ME - Spread Yield 100.00 bps,</t>
  </si>
  <si>
    <t>US HY Market USD_HY_MARKET_SF - Spread Yield 50.00 bps</t>
  </si>
  <si>
    <t>USD INF 1Y USD_INF_1yr - Yield -30.00 bps,</t>
  </si>
  <si>
    <t>VIX VIX - Index Level 8.00 pct,</t>
  </si>
  <si>
    <t>Emerg Mkt Mid East USD_EM_DS_ME - Spread Yield 35.00 bps</t>
  </si>
  <si>
    <t>Gold COMEX 1 USD_COMD_GC_1 - Price Level -12.00 pct</t>
  </si>
  <si>
    <t>Crude Oil NYME 1 USD_COMD_CL_1 - Price Level -28.00 pct</t>
  </si>
  <si>
    <t>VIX VIX - Index Level 16.50 pct</t>
  </si>
  <si>
    <t>EUR INF 10Y EUR_INF_10yr - Yield -35.00 bps</t>
  </si>
  <si>
    <t>EU Credit IG EUR_LEH_CREDIT - Spread Yield 26.50</t>
  </si>
  <si>
    <t>DAX 30 DAX - Index Level -18.00 pct</t>
  </si>
  <si>
    <t>DAX 30</t>
  </si>
  <si>
    <t>DAX</t>
  </si>
  <si>
    <t>DEM 10Y EUR_10yr - Yield 40.00 bps</t>
  </si>
  <si>
    <t>NIKKEI 225 NKY - Index Level -14.00 pct</t>
  </si>
  <si>
    <t>EM16_FED</t>
  </si>
  <si>
    <t xml:space="preserve">EM Financial Conditions - Derailed by DM                    </t>
  </si>
  <si>
    <t>A hawkish Fed, combined with other central banks commitment to raising long-term yields, reverses the inflows to emerging market bonds</t>
  </si>
  <si>
    <t>JPY INF 3Y JPY_INF_3yr - Yield -70.00 bps</t>
  </si>
  <si>
    <t>JPY INF 3Y</t>
  </si>
  <si>
    <t>JPY_INF_3yr</t>
  </si>
  <si>
    <t>JPY 10Y JPY_10yr - Yield 25.00 bps</t>
  </si>
  <si>
    <t>S&amp;P 500 SPX - Index Level -9.50 pct</t>
  </si>
  <si>
    <t>USD INF 10Y USD_INF_10yr - Yield -30.00 bps</t>
  </si>
  <si>
    <t>US Cash Bonds IG USD_LEH_CREDIT3 - Spread Yield 23.00</t>
  </si>
  <si>
    <t>DXY DXY - Index Level -4.00 pct</t>
  </si>
  <si>
    <t>Tsy 10Y USD_10yr - Yield 55.00 bps</t>
  </si>
  <si>
    <t>MSCI World Net TR MSCIWLDNET - Index Level -10.00 pct</t>
  </si>
  <si>
    <t>US Cash Bonds HY USD_LEH_HY3 - Spread Yield -60.00 bps,</t>
  </si>
  <si>
    <t>ESP 10Y ESP_10yr - Spread Yield -10.00 bps,</t>
  </si>
  <si>
    <t>S&amp;P 500 SPX - Index Level 3.00 pct,</t>
  </si>
  <si>
    <t>Profitability FMI_NAMR_PROFIT - Style Return 65.00 bps,</t>
  </si>
  <si>
    <t>Profitability</t>
  </si>
  <si>
    <t>FMI_NAMR_PROFIT</t>
  </si>
  <si>
    <t>Profitability FMI_EMEA_PROFIT - Style Return 65.00 bps,</t>
  </si>
  <si>
    <t>FMI_EMEA_PROFIT</t>
  </si>
  <si>
    <t>DEPO Sprd 6m USD_DEPO_Sprd_6m - Spread Yield -10.00 bps,</t>
  </si>
  <si>
    <t>DEPO Sprd 6m</t>
  </si>
  <si>
    <t>USD_DEPO_Sprd_6m</t>
  </si>
  <si>
    <t>CP A1P1 Sprd 6m USD_CP_A1P1_Sprd_6m - Spread Yield -10.00 bps,</t>
  </si>
  <si>
    <t>CP A1P1 Sprd 6m</t>
  </si>
  <si>
    <t>USD_CP_A1P1_Sprd_6m</t>
  </si>
  <si>
    <t>Currency Carry [S] AI_CRNCY_CARRY - Index Level 3.00 pct,</t>
  </si>
  <si>
    <t>Currency Carry S</t>
  </si>
  <si>
    <t>AI_CRNCY_CARRY</t>
  </si>
  <si>
    <t>S&amp;P 500 Utilities - S&amp;P 500 [S5UTIL-SPX] - Index Level 5.00 pct</t>
  </si>
  <si>
    <t>US Cash Bonds HY USD_LEH_HY3 - Spread Yield 75.00 bps,</t>
  </si>
  <si>
    <t>ESP 10Y ESP_10yr - Spread Yield 10.00 bps,</t>
  </si>
  <si>
    <t>EU Credit IG EUR_LEH_CREDIT - Spread Yield 7.00 bps,</t>
  </si>
  <si>
    <t>Profitability FMI_NAMR_PROFIT - Style Return -65.00 bps,</t>
  </si>
  <si>
    <t>Profitability FMI_EMEA_PROFIT - Style Return -65.00 bps,</t>
  </si>
  <si>
    <t>OIS 3m USD_OIS_3m - Yield 10.00 bps,</t>
  </si>
  <si>
    <t>CP A1P1 Sprd 3m USD_CP_A1P1_Sprd_3m - Spread Yield 10.00 bps,</t>
  </si>
  <si>
    <t>S&amp;P 500 Utilities - S&amp;P 500 [S5UTIL-SPX] - Index Level -5.00 pct</t>
  </si>
  <si>
    <t>US Cash Bonds HY USD_LEH_HY3 - Spread Yield 85.00 bps,</t>
  </si>
  <si>
    <t>Profitability FMI_NAMR_PROFIT - Style Return -130.00 bps,</t>
  </si>
  <si>
    <t>Profitability FMI_EMEA_PROFIT - Style Return -130.00 bps,</t>
  </si>
  <si>
    <t>Currency Carry [S] AI_CRNCY_CARRY - Index Level -3.00 pct,</t>
  </si>
  <si>
    <t>S&amp;P 500 Technology - S&amp;P 500 [S5INFT-SPX] - Index Level 2.00 pct,</t>
  </si>
  <si>
    <t>S&amp;P 500 Utilities - S&amp;P 500 [S5UTIL-SPX] - Index Level -10.00 pct</t>
  </si>
  <si>
    <t>EM16_REB</t>
  </si>
  <si>
    <t xml:space="preserve">EM Financial Conditions - Carry On                          </t>
  </si>
  <si>
    <t>Stable Chinese growth creates an environment that is supportive for EM. Higher-yielding EM assets outperform</t>
  </si>
  <si>
    <t>CAD/USD CAD_FX_USD - FX -4.00 pct,</t>
  </si>
  <si>
    <t>CADUSD</t>
  </si>
  <si>
    <t>CAD_FX_USD</t>
  </si>
  <si>
    <t>CNH/USD CNH_FX_USD - FX -2.00 pct,</t>
  </si>
  <si>
    <t>MXN/USD MXN_FX_USD - FX -12.00 pct,</t>
  </si>
  <si>
    <t>ZAR/USD ZAR_FX_USD - FX -5.00 pct,</t>
  </si>
  <si>
    <t>Global HY 5 ALL_GLB_CORP_HY_5Y - Spread Yield 40.00 bps,</t>
  </si>
  <si>
    <t>Automobiles &amp; Components FMI_USAM_CDIAUTOCMP - Industry Return -5.00 pct,</t>
  </si>
  <si>
    <t>FMI_USAM_CDIAUTOCMP</t>
  </si>
  <si>
    <t>S&amp;P 500 Industrials - S&amp;P 500 [S5INDU-SPX] - Index Level 2.00 pct</t>
  </si>
  <si>
    <t>US Auto IG USD_AUTO_IG3 - Spread Yield -10.00 bps,</t>
  </si>
  <si>
    <t>CAD/USD CAD_FX_USD - FX 2.50 pct,</t>
  </si>
  <si>
    <t>Automobiles &amp; Components FMI_NAMR_CDIAUTOCMP - Industry Return 2.50 pct,</t>
  </si>
  <si>
    <t>EM_COMD</t>
  </si>
  <si>
    <t xml:space="preserve">EM Crises - Commodity Boom Unwind (05/2021)                 </t>
  </si>
  <si>
    <t>Expectations for a rapid global economic restart have triggered a strong commodities rally in 2021.</t>
  </si>
  <si>
    <t>Cons Dur &amp; Apparel x Homebuild FMI_NAMR_CDIDURXHMB - Industry Return 1.50 pct,</t>
  </si>
  <si>
    <t>FMI_NAMR_CDIDURXHMB</t>
  </si>
  <si>
    <t>EMBIG DxS USD_EM_DS_G - Spread Yield -15.00 bps</t>
  </si>
  <si>
    <t>Gold COMEX 1 USD_COMD_GC_1 - Price Level 2.00 pct,</t>
  </si>
  <si>
    <t>US Auto IG USD_AUTO_IG3 - Spread Yield 12.00 bps,</t>
  </si>
  <si>
    <t>CAD/USD CAD_FX_USD - FX -3.50 pct,</t>
  </si>
  <si>
    <t>MS Emerging Mkts MXEF - Index Level -4.00 pct,</t>
  </si>
  <si>
    <t>Automobiles &amp; Components FMI_NAMR_CDIAUTOCMP - Industry Return -4.00 pct,</t>
  </si>
  <si>
    <t>EMBIG DxS USD_EM_DS_G - Spread Yield 15.00 bps</t>
  </si>
  <si>
    <t>US Cash Bonds HY USD_LEH_HY3 - Spread Yield -15.00 bps,</t>
  </si>
  <si>
    <t>S&amp;P 500 Technology S5INFT - Index Level 0.00 pct,</t>
  </si>
  <si>
    <t>Internet &amp; Catalog Retail FMI_NAMR_CDIRETNET - Industry Return -15.00 pct,</t>
  </si>
  <si>
    <t>Comp Peripherals &amp; Office Eq FMI_NAMR_ITCCOMPOFF - Industry Return 6.00 pct,</t>
  </si>
  <si>
    <t>FMI_NAMR_ITCCOMPOFF</t>
  </si>
  <si>
    <t>Semiconductors &amp; Equipment FMI_NAMR_ITCSEMICEQ - Industry Return 6.00 pct,</t>
  </si>
  <si>
    <t>Profitability FMI_NAMR_PROFIT - Style Return 106.00 bps</t>
  </si>
  <si>
    <t>Tsy 10Y USD_10yr - Yield -40.00</t>
  </si>
  <si>
    <t>Korea KOSPI Comp KOSPI - Index Level -20.00 pct,</t>
  </si>
  <si>
    <t>Korea KOSPI Comp</t>
  </si>
  <si>
    <t>KOSPI</t>
  </si>
  <si>
    <t>Aerospace &amp; Defense FMI_WRLD_INDAIRDEF - Industry Return 1.50 pct,</t>
  </si>
  <si>
    <t>Volatility FMI_WRLD_VOLATILITY - Style Return -250.00 bps,</t>
  </si>
  <si>
    <t>Asia Corp HY USD_ASIA_CORP_HY - Spread Yield 80.00 bps,</t>
  </si>
  <si>
    <t>MSCI EUROPE(EUR) - MSCI World Net TR [MXEU-MSCIWLDNET] - Index Level 5.00 pct,</t>
  </si>
  <si>
    <t>Tsy 10Y - Tsy 2Y [USD_10yr-USD_2yr] - Yield -30.00 bps</t>
  </si>
  <si>
    <t>KRW 10Y KRW_10yr - Yield -20.00 bps,</t>
  </si>
  <si>
    <t>KRW 10Y</t>
  </si>
  <si>
    <t>KRW_10yr</t>
  </si>
  <si>
    <t>JPY/USD JPY_FX_USD - FX 6.00 pct,</t>
  </si>
  <si>
    <t>KRW/USD KRW_FX_USD - FX -4.00 pct,</t>
  </si>
  <si>
    <t>S&amp;P 500 SPX - Index Level -1.00 pct,</t>
  </si>
  <si>
    <t>Singapore StraitsTms STI - Index Level -5.00 pct,</t>
  </si>
  <si>
    <t>Singapore StraitsTms</t>
  </si>
  <si>
    <t>STI</t>
  </si>
  <si>
    <t>Korea KOSPI Comp KOSPI - Index Level -10.00 pct,</t>
  </si>
  <si>
    <t>EM_CRISIS</t>
  </si>
  <si>
    <t xml:space="preserve">Emerging markets political crisis                           </t>
  </si>
  <si>
    <t>Increased global fragmentation severely stresses EM political systems and institutions.</t>
  </si>
  <si>
    <t>Transportation FMI_APXJ_INDTRAN - Industry Return -3.00 pct,</t>
  </si>
  <si>
    <t>Asia Corp HY USD_ASIA_CORP_HY - Spread Yield 40.00 bps</t>
  </si>
  <si>
    <t>GBP 2Y GBP_2yr - Yield -50.00 bps,</t>
  </si>
  <si>
    <t>GBP 10Y GBP_10yr - Yield -75.00 bps,</t>
  </si>
  <si>
    <t>GBP/USD GBP_FX_USD - FX -10.00 pct,</t>
  </si>
  <si>
    <t>GBP INF 2Y GBP_INF_2yr - Yield -50.00 bps,</t>
  </si>
  <si>
    <t>GBP INF 2Y</t>
  </si>
  <si>
    <t>GBP_INF_2yr</t>
  </si>
  <si>
    <t>FTSE 100 UKX - Index Level -5.00 pct,</t>
  </si>
  <si>
    <t>MS Emerging Mkts MXEF - Index Level 0.00 pct,</t>
  </si>
  <si>
    <t>EU Credit IG EUR_LEH_CREDIT - Spread Yield 25.00 bps,</t>
  </si>
  <si>
    <t>UK Credit GBP_LEH_CREDIT - Spread Yield 50.00 bps,</t>
  </si>
  <si>
    <t>UK Banking GBP_BANKBROK_IG_V3 - Spread Yield 80.00 bps,</t>
  </si>
  <si>
    <t>GBP_BANKBROK_IG_V3</t>
  </si>
  <si>
    <t>Pan Euro RMBS UK Prime EUR_ERMBS_GB_P - Spread Yield 15.00 bps,</t>
  </si>
  <si>
    <t>Pan Euro RMBS UK Prime</t>
  </si>
  <si>
    <t>EUR_ERMBS_GB_P</t>
  </si>
  <si>
    <t>FTSE All Share - FTSE 100 [UKALL-UKX] - Index Level -1.50 pct</t>
  </si>
  <si>
    <t>Tsy 30Y USD_30yr - Yield 50.00 bps,</t>
  </si>
  <si>
    <t>USD INF 10Y USD_INF_10yr - Yield -40.00 bps,</t>
  </si>
  <si>
    <t>Brent Crude ICE 1 USD_COMD_CO_1 - Price Level 50.00 pct,</t>
  </si>
  <si>
    <t>Natural gas NYME 1 USD_COMD_NG_1 - Price Level 50.00 pct,</t>
  </si>
  <si>
    <t>Coal ICE Rotters 1 USD_COMD_XA_1 - Price Level 30.00 pct,</t>
  </si>
  <si>
    <t>Coal ICE Rotters 1</t>
  </si>
  <si>
    <t>USD_COMD_XA_1</t>
  </si>
  <si>
    <t>US IG Market USD_IG_MARKET_SF - Spread Yield 15.00 bps,</t>
  </si>
  <si>
    <t>Fuels Refining Storage &amp; Trans FMI_WRLD_EGYINTSTR - Industry Return 10.00 pct,</t>
  </si>
  <si>
    <t>Fuels Refining Storage  Trans</t>
  </si>
  <si>
    <t>FMI_WRLD_EGYINTSTR</t>
  </si>
  <si>
    <t>Steel FMI_WRLD_MATSTEEL - Industry Return -20.00 pct,</t>
  </si>
  <si>
    <t>FMI_WRLD_MATSTEEL</t>
  </si>
  <si>
    <t>Transportation FMI_WRLD_INDTRAN - Industry Return -10.00 pct,</t>
  </si>
  <si>
    <t>US HY Market USD_HY_MARKET_SF - Spread Yield 60.00 bps,</t>
  </si>
  <si>
    <t>US HY Metals - US HY Market [USD_HY_METALS_SF-USD_HY_MARKET_SF] - Spread Yield 40.00 bps</t>
  </si>
  <si>
    <t>Metals</t>
  </si>
  <si>
    <t>Tsy 2Y USD_2yr - Yield 50.00 bps,</t>
  </si>
  <si>
    <t>Tsy 30Y USD_30yr - Yield 10.00 bps,</t>
  </si>
  <si>
    <t>Brent Crude ICE 1 USD_COMD_CO_1 - Price Level 60.00 pct,</t>
  </si>
  <si>
    <t>US IG Market USD_IG_MARKET_SF - Spread Yield 20.00 bps,</t>
  </si>
  <si>
    <t>EM_DIFF</t>
  </si>
  <si>
    <t xml:space="preserve">Emerging Markets Post-QE - Differentiation in EM            </t>
  </si>
  <si>
    <t>An oil price shock, coupled with a rising dollar and US rates, drives different outcomes across EMs.</t>
  </si>
  <si>
    <t>EUR INF 2Y EUR_INF_2yr - Yield -50.00 bps,</t>
  </si>
  <si>
    <t>EUR INF 2Y</t>
  </si>
  <si>
    <t>EUR_INF_2yr</t>
  </si>
  <si>
    <t>MSCI World Net TR MSCIWLDNET - Index Level -20.00 pct,</t>
  </si>
  <si>
    <t>Transportation FMI_WRLD_INDTRAN - Industry Return -5.00 pct,</t>
  </si>
  <si>
    <t>Dist Net Catalog Multi Retail FMI_WRLD_CDIDISTNET - Industry Return -5.00 pct,</t>
  </si>
  <si>
    <t>Dist Net Catalog Multi Retail</t>
  </si>
  <si>
    <t>FMI_WRLD_CDIDISTNET</t>
  </si>
  <si>
    <t>EMBIG DxS USD_EM_DS_G - Spread Yield 75.00 bps,</t>
  </si>
  <si>
    <t>US HY Market USD_HY_MARKET_SF - Spread Yield 75.00 bps</t>
  </si>
  <si>
    <t>Brent Crude ICE 1 USD_COMD_CO_1 - Price Level 40.00 pct,</t>
  </si>
  <si>
    <t>BRL/USD BRL_FX_USD - FX 8.50 pct,</t>
  </si>
  <si>
    <t>Energy Equip Oil &amp; Gas Exp FMI_WRLD_EQYEQEXP - Industry Return 15.00 pct,</t>
  </si>
  <si>
    <t>Utilities FMI_WRLD_UTLUTIL - Industry Return -6.00 pct,</t>
  </si>
  <si>
    <t>FMI_WRLD_UTLUTIL</t>
  </si>
  <si>
    <t>US HY Oil Field Services USD_HY_OILM - Spread Yield -120.00 bps,</t>
  </si>
  <si>
    <t>US HY Market USD_HY_MARKET - Spread Yield -60.00 bps</t>
  </si>
  <si>
    <t>Brent Crude ICE 1 USD_COMD_CO_1 - Price Level -25.00 pct,</t>
  </si>
  <si>
    <t>BRL/USD BRL_FX_USD - FX -10.00 pct,</t>
  </si>
  <si>
    <t>Russia RTS RTSI - Index Level -15.00 pct,</t>
  </si>
  <si>
    <t>US HY Oil Field Services USD_HY_OILM - Spread Yield 100.00 bps,</t>
  </si>
  <si>
    <t>MSCI World Energy MSENRG_LCL - Index Level -8.00 pct</t>
  </si>
  <si>
    <t>Tsy 10Y USD_10yr - Yield 20.00</t>
  </si>
  <si>
    <t>MXN 10Y MXN_10yr - Yield -40.00 bps,</t>
  </si>
  <si>
    <t>Fuels Refining Storage &amp; Trans FMI_WRLD_EGYINTSTR - Industry Return 5.00 pct,</t>
  </si>
  <si>
    <t>Transportation FMI_WRLD_INDTRAN - Industry Return -3.00 pct,</t>
  </si>
  <si>
    <t>Tsy 2Y USD_2yr - Yield 40.00 bps,</t>
  </si>
  <si>
    <t>Tsy 10Y USD_10yr - Yield 60.00 bps,</t>
  </si>
  <si>
    <t>USD INF 1Y USD_INF_1yr - Yield -100.00 bps,</t>
  </si>
  <si>
    <t>USD INF 5Y USD_INF_5yr - Yield 15.00 bps,</t>
  </si>
  <si>
    <t>USD INF 5Y</t>
  </si>
  <si>
    <t>USD_INF_5yr</t>
  </si>
  <si>
    <t>MSCI World Net TR MSCIWLDNET - Index Level -7.00 pct,</t>
  </si>
  <si>
    <t>EM_DMDIFF</t>
  </si>
  <si>
    <t xml:space="preserve">EM Crises - EM Recovery Differentiation (05/2021)           </t>
  </si>
  <si>
    <t>Regional recovery differences emerge across EM, driven by disparities in vaccine rollouts, challenging fiscal backdrops, and the possibility of political unrest.</t>
  </si>
  <si>
    <t>China Corp HY USD_CN_CORP_HY - Spread Yield 100.00 bps,</t>
  </si>
  <si>
    <t>US HY Market USD_HY_MARKET_SF - Spread Yield 8.00 bps,</t>
  </si>
  <si>
    <t>MSCI China MS_CN_LCL - Index Level -16.00 pct,</t>
  </si>
  <si>
    <t>MSCI EUROPE(EUR) - MSCI World Net TR [MXEU-MSCIWLDNET] - Index Level -4.00 pct</t>
  </si>
  <si>
    <t>Tsy 10Y USD_10yr - Yield 0.00 bps,</t>
  </si>
  <si>
    <t>DEM 2Y EUR_2yr - Yield 10.00 bps,</t>
  </si>
  <si>
    <t>DEM 10Y EUR_10yr - Yield 10.00 bps,</t>
  </si>
  <si>
    <t>Transportation FMI_WRLD_INDTRAN - Industry Return 5.00 pct,</t>
  </si>
  <si>
    <t>Leisure Equipment &amp; Products FMI_WRLD_CDILEISEQ - Industry Return 5.00 pct,</t>
  </si>
  <si>
    <t>Diversified Banks FMI_WRLD_FINDIVBANK - Industry Return 8.00 pct,</t>
  </si>
  <si>
    <t>Diversified Banks</t>
  </si>
  <si>
    <t>FMI_WRLD_FINDIVBANK</t>
  </si>
  <si>
    <t>Software &amp; Svcs x Data Proc FMI_WRLD_ITCSOFTXDA - Industry Return -7.00 pct,</t>
  </si>
  <si>
    <t>US HY Transport USD_HY_TRANSPORT_SF - Spread Yield 20.00 bps,</t>
  </si>
  <si>
    <t>US HY Transport</t>
  </si>
  <si>
    <t>USD_HY_TRANSPORT_SF</t>
  </si>
  <si>
    <t>US HY Market USD_HY_MARKET_SF - Spread Yield 70.00 bps</t>
  </si>
  <si>
    <t>CMBS MEZZ post09 USD_CMBS_MEZZNEW - Spread Yield -50.00 bps,</t>
  </si>
  <si>
    <t>CMBS MEZZ post09</t>
  </si>
  <si>
    <t>USD_CMBS_MEZZNEW</t>
  </si>
  <si>
    <t>Energy Equip Oil &amp; Gas Exp FMI_WRLD_EQYEQEXP - Industry Return 6.00 pct,</t>
  </si>
  <si>
    <t>Consumer Services FMI_WRLD_CDICONSVCS - Industry Return 10.00 pct,</t>
  </si>
  <si>
    <t>Computers &amp; Peripherals FMI_WRLD_ITCCOMP - Industry Return -5.00 pct,</t>
  </si>
  <si>
    <t>Computers  Peripherals</t>
  </si>
  <si>
    <t>FMI_WRLD_ITCCOMP</t>
  </si>
  <si>
    <t>US HY Market USD_HY_MARKET - Spread Yield -50.00 bps,</t>
  </si>
  <si>
    <t>US HY Midstream &amp; Refining - US HY Market [USD_HY_MDST-USD_HY_MARKET] - Spread Yield -20.00 bps,</t>
  </si>
  <si>
    <t>Refining</t>
  </si>
  <si>
    <t>Transportation - REV [USD_MUNI_TRANS2-USD_MUNI_REV2] - Spread Yield -5.00 bps</t>
  </si>
  <si>
    <t>Dist Net Catalog Multi Retail FMI_WRLD_CDIDISTNET - Industry Return 3.00 pct,</t>
  </si>
  <si>
    <t>Biotechnology &amp; Life Sciences FMI_WRLD_HLCBIOLIFE - Industry Return 6.00 pct,</t>
  </si>
  <si>
    <t>Biotechnology  Life Sciences</t>
  </si>
  <si>
    <t>FMI_WRLD_HLCBIOLIFE</t>
  </si>
  <si>
    <t>Real Estate Investment Trusts FMI_WRLD_FINREIT - Industry Return -4.00 pct,</t>
  </si>
  <si>
    <t>Real Estate Investment Trusts</t>
  </si>
  <si>
    <t>FMI_WRLD_FINREIT</t>
  </si>
  <si>
    <t>US HY Midstream &amp; Refining - US HY Market [USD_HY_MDST-USD_HY_MARKET] - Spread Yield 20.00 bps</t>
  </si>
  <si>
    <t>EM_REBOUND</t>
  </si>
  <si>
    <t xml:space="preserve">Emerging Markets Post-QE - EM Rebound                       </t>
  </si>
  <si>
    <t>Driven by growth surprises, confidence in EM countries is renewed, sparking a surge in EM markets and flows.</t>
  </si>
  <si>
    <t>ITL 10Y ITL_10yr - Spread Yield 15.00 bps,</t>
  </si>
  <si>
    <t>Restaurants FMI_NAMR_CDIRESTRNT - Industry Return 6.00 pct,</t>
  </si>
  <si>
    <t>Restaurants</t>
  </si>
  <si>
    <t>FMI_NAMR_CDIRESTRNT</t>
  </si>
  <si>
    <t>Hotels Restaurants &amp; Leisure FMI_EMEA_CDIHOTREST - Industry Return -5.00 pct,</t>
  </si>
  <si>
    <t>US HY Market USD_HY_MARKET - Spread Yield -20.00 bps,</t>
  </si>
  <si>
    <t>Pan Euro Credit HY - US HY Market [EUR_LEH_HY-USD_HY_MARKET] - Spread Yield 30.00 bps,</t>
  </si>
  <si>
    <t>Airlines - Airlines [FMI_NAMR_INDAIRLINE-FMI_EMEA_INDAIRLINE] - Industry Return 10.00</t>
  </si>
  <si>
    <t>MSCI EUROPE(EUR) - S&amp;P 500 [MXEU-SPX] - Index Level -8.00 pct</t>
  </si>
  <si>
    <t>EM_SELLOFF</t>
  </si>
  <si>
    <t xml:space="preserve">Emerging Markets Post-QE - Knee-jerk EM Sell-Off            </t>
  </si>
  <si>
    <t>Heightened trade tensions and rising US rates drive increased negative sentiment toward EMs. The scenario is calibrated using the 'China Market Crash' covariance matrix (July 31, 2015), which is reflective of the EM environment the scenario portrays.</t>
  </si>
  <si>
    <t>CNY/USD CNY_FX_USD - FX 5.00 pct,</t>
  </si>
  <si>
    <t>MSCI World Net TR MSCIWLDNET - Index Level 0.00 pct,</t>
  </si>
  <si>
    <t>Emerging FMI_WRLD_EMERGING - Style Return 25.00 bps,</t>
  </si>
  <si>
    <t>Emerging</t>
  </si>
  <si>
    <t>FMI_WRLD_EMERGING</t>
  </si>
  <si>
    <t>EMBIG DxS USD_EM_DS_G - Spread Yield -30.00 bps,</t>
  </si>
  <si>
    <t>China Corp HY USD_CN_CORP_HY - Spread Yield -60.00 bps,</t>
  </si>
  <si>
    <t>MSCI China MS_CN_LCL - Index Level 7.50 pct</t>
  </si>
  <si>
    <t>Tsy 3M USD_3m - Yield -25.00 bps,</t>
  </si>
  <si>
    <t>S&amp;P 500 SPX - Index Level 10.00 pct,</t>
  </si>
  <si>
    <t>Aerospace &amp; Defense FMI_NAMR_INDAIRDEF - Industry Return 5.00 pct,</t>
  </si>
  <si>
    <t>Transportation x Airlines FMI_NAMR_INDTRAXAIR - Industry Return 5.00 pct,</t>
  </si>
  <si>
    <t>Transportation x Airlines</t>
  </si>
  <si>
    <t>FMI_NAMR_INDTRAXAIR</t>
  </si>
  <si>
    <t>US HY Market USD_HY_MARKET - Spread Yield -50.00 bps</t>
  </si>
  <si>
    <t>Tsy 3M USD_3m - Yield -5.00 bps,</t>
  </si>
  <si>
    <t>EM_TAPE</t>
  </si>
  <si>
    <t xml:space="preserve">EM Crises - DM Policy Derails EM (05/2021)                  </t>
  </si>
  <si>
    <t>High growth in developed markets leads to monetary policy normalization, making EM assets less attractive.</t>
  </si>
  <si>
    <t>DXY DXY - Index Level 0.00 pct,</t>
  </si>
  <si>
    <t>S&amp;P 500 SPX - Index Level 2.50 pct,</t>
  </si>
  <si>
    <t>EU Banking IG EUR_BANKBROK_IG_V3 - Spread Yield -15.00 bps,</t>
  </si>
  <si>
    <t>Time ALL_TIME - Time 21.00</t>
  </si>
  <si>
    <t>Tsy 3M USD_3m - Yield 0.00 bps,</t>
  </si>
  <si>
    <t>Tsy 1Y USD_1yr - Yield 0.00 bps,</t>
  </si>
  <si>
    <t>USD INF 3M USD_INF_3m - Yield 450.00 bps,</t>
  </si>
  <si>
    <t>USD INF 3M</t>
  </si>
  <si>
    <t>USD_INF_3m</t>
  </si>
  <si>
    <t>USD INF 1Y USD_INF_1yr - Yield 350.00 bps,</t>
  </si>
  <si>
    <t>Crude Oil NYME 1 USD_COMD_CL_1 - Price Level -60.00 pct,</t>
  </si>
  <si>
    <t>TBA30 ATM v540 USD_TBA_ATM_V540 - Spread Yield -25.00 bps</t>
  </si>
  <si>
    <t>TBA30 ATM v540</t>
  </si>
  <si>
    <t>USD_TBA_ATM_V540</t>
  </si>
  <si>
    <t>Tsy 2Y USD_2yr - Yield -15.00 bps,</t>
  </si>
  <si>
    <t>OIS 3m USD_OIS_3m - Yield -10.00 bps,</t>
  </si>
  <si>
    <t>MSCI World Consumer Staples MSCOST_LCL - Index Level 7.00 pct,</t>
  </si>
  <si>
    <t>MSCI World Consumer Staples</t>
  </si>
  <si>
    <t>MSCOST_LCL</t>
  </si>
  <si>
    <t>MSCI World Financials MSFNCL_LCL - Index Level -20.00 pct,</t>
  </si>
  <si>
    <t>MSCI World Financials</t>
  </si>
  <si>
    <t>MSFNCL_LCL</t>
  </si>
  <si>
    <t>Tsy 30Y - Tsy 10Y [USD_30yr-USD_10yr] - Yield 0.00 bps</t>
  </si>
  <si>
    <t>Tsy 2Y USD_2yr - Yield 30.00 bps,</t>
  </si>
  <si>
    <t>GSCI GSCIINDX - Price Level 10.00 pct,</t>
  </si>
  <si>
    <t>US Cash Bonds HY USD_LEH_HY3 - Spread Yield -80.00 bps,</t>
  </si>
  <si>
    <t>S&amp;P 500 Cons. Disc. Index - S&amp;P 500 Consumer Staples Index [SPCD-SPCS] - Index Level 5.00 pct,</t>
  </si>
  <si>
    <t>EUDR24</t>
  </si>
  <si>
    <t xml:space="preserve">EU Deforestation Regulation                                 </t>
  </si>
  <si>
    <t>The EUDR comes into effect despite challenges, forcing a shift in the European commodity markets. The lack of anticipation and preparation across markets causes asset price shocks to ripple through the supply chain, impacting dependent equity sectors and global producers.</t>
  </si>
  <si>
    <t>US Cash Bonds HY USD_LEH_HY3 - Spread Yield 40.00 bps,</t>
  </si>
  <si>
    <t>EUR/USD EUR_FX_USD - FX -4.00 pct,</t>
  </si>
  <si>
    <t>Value FMI_NAMR_VALUE - Style Return 70.00 bps,</t>
  </si>
  <si>
    <t>FMI_NAMR_VALUE</t>
  </si>
  <si>
    <t>DXY DXY - Index Level -8.00 pct</t>
  </si>
  <si>
    <t>Tsy 10Y USD_10yr - Yield 115.00 bps,</t>
  </si>
  <si>
    <t>MSCI World Net TR MSCIWLDNET - Index Level 32.00 pct</t>
  </si>
  <si>
    <t>MSCI World Net TR MSCIWLDNET - Index Level -32.00 pct</t>
  </si>
  <si>
    <t>Tsy 10Y USD_10yr - Yield -115.00 bps,</t>
  </si>
  <si>
    <t>Russell 3000 Growth - Russell 3000 Value [RAG-RAV] - Index Level -13.00 pct</t>
  </si>
  <si>
    <t>Russell 3000</t>
  </si>
  <si>
    <t>MS Emerging Mkts - MSCI World Net TR [MXEF-MSCIWLDNET] - Index Level -23.00 pct</t>
  </si>
  <si>
    <t>Tsy 10Y - Tsy 2Y [USD_10yr-USD_2yr] - Yield -100.00 bps</t>
  </si>
  <si>
    <t>Gold COMEX 1 USD_COMD_GC_1 - Price Level -19.00 pct</t>
  </si>
  <si>
    <t>Crude Oil NYME 1 USD_COMD_CL_1 - Price Level -76.00 pct</t>
  </si>
  <si>
    <t>Natural gas NYME 1 USD_COMD_NG_1 - Price Level -30.00 pct,</t>
  </si>
  <si>
    <t>DEM 2Y EUR_2yr - Yield 30.00 bps,</t>
  </si>
  <si>
    <t>Russia RTS RTSI - Index Level 5.00 pct,</t>
  </si>
  <si>
    <t>China Shanghai SECmp SHCOMP - Index Level 5.00 pct,</t>
  </si>
  <si>
    <t>EUFIN_DIV</t>
  </si>
  <si>
    <t xml:space="preserve">European Bank Woes - Regional Divergence                    </t>
  </si>
  <si>
    <t>Large-scale fiscal expansion and Fed rate hikes provides a favorable environment for US financials. Europe is a mirror image with political risks rising and a poor growth outlook</t>
  </si>
  <si>
    <t>DJ Euro Stoxx 600 EURO600 - Index Level 10.00 pct,</t>
  </si>
  <si>
    <t>DJ Euro Stoxx 600</t>
  </si>
  <si>
    <t>EURO600</t>
  </si>
  <si>
    <t>Pan Euro Credit HY EUR_LEH_HY - Spread Yield -75.00 bps,</t>
  </si>
  <si>
    <t>EUR/USD [EUR_FX_USD-USD_FX_USD] - FX 4.00 pct,</t>
  </si>
  <si>
    <t>RUB/USD [RUB_FX_USD-USD_FX_USD] - FX 8.00 pct</t>
  </si>
  <si>
    <t>Tsy 2Y USD_2yr - Yield -100.00 bps,</t>
  </si>
  <si>
    <t>EUR/USD EUR_FX_USD - FX -8.00 pct,</t>
  </si>
  <si>
    <t>DJ Euro Stoxx 600 EURO600 - Index Level -20.00 pct,</t>
  </si>
  <si>
    <t>EMBIG DxS USD_EM_DS_G - Spread Yield 300.00 bps,</t>
  </si>
  <si>
    <t>Pan Euro Energy HY - Pan Euro Credit HY [EUR_ENERGY_HY_V3_SF-EUR_LEH_HY_SF] - Spread Yield -80.00 bps,</t>
  </si>
  <si>
    <t>GSCI PRECIOUS METALS GSPMSPOT - Price Level 10.00 pct,</t>
  </si>
  <si>
    <t>Natural gas NYME 1 USD_COMD_NG_1 - Price Level 60.00 pct,</t>
  </si>
  <si>
    <t>DEM 2Y EUR_2yr - Yield 40.00 bps,</t>
  </si>
  <si>
    <t>EUR INF 10Y EUR_INF_10yr - Yield -50.00 bps,</t>
  </si>
  <si>
    <t>Russia RTS RTSI - Index Level -55.00 pct,</t>
  </si>
  <si>
    <t>DJ Euro Stoxx 600 EURO600 - Index Level -13.00 pct,</t>
  </si>
  <si>
    <t>EU Credit IG EUR_LEH_CREDIT_SF - Spread Yield 30.00 bps,</t>
  </si>
  <si>
    <t>EUR_LEH_CREDIT_SF</t>
  </si>
  <si>
    <t>Diversified Financials FMI_EMEA_FINDIV - Industry Return -4.00 pct,</t>
  </si>
  <si>
    <t>Diversified Financials</t>
  </si>
  <si>
    <t>FMI_EMEA_FINDIV</t>
  </si>
  <si>
    <t>Software &amp; Services FMI_EMEA_ITCSOFTSVC - Industry Return -4.50 pct</t>
  </si>
  <si>
    <t>FMI_EMEA_ITCSOFTSVC</t>
  </si>
  <si>
    <t>USD INF 10Y USD_INF_10yr - Yield 200.00 bps,</t>
  </si>
  <si>
    <t>Tsy 5Y USD_5yr - Yield 50.00 bps,</t>
  </si>
  <si>
    <t>Brent Crude ICE 1 USD_COMD_CO_1 - Price Level 130.00 pct,</t>
  </si>
  <si>
    <t>Gold COMEX 1 USD_COMD_GC_1 - Price Level 53.00 pct,</t>
  </si>
  <si>
    <t>US IG Market USD_IG_MARKET_SF - Spread Yield 165.00 bps,</t>
  </si>
  <si>
    <t>EUR/USD EUR_FX_USD - FX 7.00 pct,</t>
  </si>
  <si>
    <t>Metals &amp; Mining Ex Steel FMI_USAM_MATMETXSTL - Industry Return -20.00 pct,</t>
  </si>
  <si>
    <t>FMI_USAM_MATMETXSTL</t>
  </si>
  <si>
    <t>Automobiles &amp; Components FMI_USAM_CDIAUTOCMP - Industry Return -15.00 pct,</t>
  </si>
  <si>
    <t>Market FMI_USAM_MARKET - Style Return -4335.00 bps,</t>
  </si>
  <si>
    <t>FMI_USAM_MARKET</t>
  </si>
  <si>
    <t>Size FMI_USAM_SIZE - Style Return 23.00 bps,</t>
  </si>
  <si>
    <t>Size</t>
  </si>
  <si>
    <t>FMI_USAM_SIZE</t>
  </si>
  <si>
    <t>Momentum FMI_USAM_MOMENTUM - Style Return 498.00 bps,</t>
  </si>
  <si>
    <t>FMI_USAM_MOMENTUM</t>
  </si>
  <si>
    <t>Value FMI_USAM_VALUE - Style Return 539.00 bps,</t>
  </si>
  <si>
    <t>FMI_USAM_VALUE</t>
  </si>
  <si>
    <t>Profitability FMI_USAM_PROFIT - Style Return -293.00 bps</t>
  </si>
  <si>
    <t>FMI_USAM_PROFIT</t>
  </si>
  <si>
    <t>EUFIN_DWN</t>
  </si>
  <si>
    <t xml:space="preserve">European Bank Woes - Struggle Continues for EU Banks        </t>
  </si>
  <si>
    <t>European banks continue to struggle due to profitability concerns. Regional political uncertainty also undermines investor confidence in the industry</t>
  </si>
  <si>
    <t>Muni Spread 10Y USD_muni_10yr - Other Spread Yield 30.00 bps,</t>
  </si>
  <si>
    <t>US Cash Bonds IG USD_LEH_CREDIT3 - Spread Yield -15.00 bps,</t>
  </si>
  <si>
    <t>US HY Market USD_HY_MARKET - Spread Yield -25.00 bps,</t>
  </si>
  <si>
    <t>SP500 Consum Discr - S&amp;P 500 [S5COND-SPX] - Index Level 3.00 pct</t>
  </si>
  <si>
    <t>Muni Spread 10Y USD_muni_10yr - Other Spread Yield 50.00 bps,</t>
  </si>
  <si>
    <t>US Banking IG USD_BANKBROK_IG3 - Spread Yield -25.00 bps,</t>
  </si>
  <si>
    <t>US Retail IG USD_RETAIL_IG3 - Spread Yield -25.00 bps,</t>
  </si>
  <si>
    <t>US Retail IG</t>
  </si>
  <si>
    <t>USD_RETAIL_IG3</t>
  </si>
  <si>
    <t>Restaurants FMI_NAMR_CDIRESTRNT - Industry Return 7.50 pct,</t>
  </si>
  <si>
    <t>Commercial Banks FMI_NAMR_FINCOMBANK - Industry Return 15.00 pct,</t>
  </si>
  <si>
    <t>Commercial Banks</t>
  </si>
  <si>
    <t>FMI_NAMR_FINCOMBANK</t>
  </si>
  <si>
    <t>Semiconductors &amp; Equipment FMI_NAMR_ITCSEMICEQ - Industry Return -5.00 pct,</t>
  </si>
  <si>
    <t>Utilities FMI_NAMR_UTLUTIL - Industry Return -5.00 pct,</t>
  </si>
  <si>
    <t>MS EAFE - S&amp;P 500 [MXEA-SPX] - Index Level -5.00 pct</t>
  </si>
  <si>
    <t>EAFE</t>
  </si>
  <si>
    <t>Muni Spread 10Y USD_muni_10yr - Other Spread Yield -25.00 bps,</t>
  </si>
  <si>
    <t>US Cash Bonds IG USD_LEH_CREDIT3 - Spread Yield 20.00 bps,</t>
  </si>
  <si>
    <t>EUFIN_UP</t>
  </si>
  <si>
    <t xml:space="preserve">European Bank Woes - Bargains on EU Banks                   </t>
  </si>
  <si>
    <t>European banks boosted by attractive valuations, improving economic growth, subsiding political risk, and stable balance sheets</t>
  </si>
  <si>
    <t>Value FMI_WRLD_VALUE - Style Return -125.00 bps</t>
  </si>
  <si>
    <t>Growth FMI_NAMR_GROWTH - Style Return -106.00 bps,</t>
  </si>
  <si>
    <t>Brent Crude ICE 1 USD_COMD_CO_1 - Price Level 15.00 pct,</t>
  </si>
  <si>
    <t>Natural gas NYME 1 USD_COMD_NG_1 - Price Level 25.00 pct,</t>
  </si>
  <si>
    <t>RUB/USD RUB_FX_USD - FX -12.50 pct,</t>
  </si>
  <si>
    <t>TRY/USD TRY_FX_USD - FX 0.00 pct,</t>
  </si>
  <si>
    <t>Russia RTS RTSI - Index Level -23.00 pct,</t>
  </si>
  <si>
    <t>EU Credit IG EUR_LEH_CREDIT_SF - Spread Yield 20.00 bps,</t>
  </si>
  <si>
    <t>Integrated Oil &amp; Gas FMI_EMEA_EGYINT - Industry Return -10.00 pct,</t>
  </si>
  <si>
    <t>FMI_EMEA_EGYINT</t>
  </si>
  <si>
    <t>Diversified Financials FMI_EMEA_FINDIV - Industry Return -3.00 pct,</t>
  </si>
  <si>
    <t>Russia USD_EM_DS_RUSSIA - Spread Yield 60.00 bps,</t>
  </si>
  <si>
    <t>Ukraine USD_EM_DS_UKRAINE - Spread Yield 200.00 bps,</t>
  </si>
  <si>
    <t>Ukraine</t>
  </si>
  <si>
    <t>USD_EM_DS_UKRAINE</t>
  </si>
  <si>
    <t>CPI 10yr USD_CPI_10yr - Yield -30.00 bps,</t>
  </si>
  <si>
    <t>Natural gas NYME 1 USD_COMD_NG_1 - Price Level 90.00 pct,</t>
  </si>
  <si>
    <t>RUB/USD RUB_FX_USD - FX -25.00 pct,</t>
  </si>
  <si>
    <t>EUFRAG_EX</t>
  </si>
  <si>
    <t>Europe Fragmentation - Italian Populism Threatens the Eurozo</t>
  </si>
  <si>
    <t>The Italian left-right coalition government implements fiscal policies inconsistent with EU membership.</t>
  </si>
  <si>
    <t>S&amp;P 500 SPX - Index Level -13.00 pct,</t>
  </si>
  <si>
    <t>Russia RTS RTSI - Index Level -40.00 pct,</t>
  </si>
  <si>
    <t>EU Credit IG EUR_LEH_CREDIT_SF - Spread Yield 35.00 bps,</t>
  </si>
  <si>
    <t>Integrated Oil &amp; Gas FMI_EMEA_EGYINT - Industry Return -12.00 pct,</t>
  </si>
  <si>
    <t>Diversified Financials FMI_EMEA_FINDIV - Industry Return -6.00 pct,</t>
  </si>
  <si>
    <t>Semiconductors &amp; Equipment FMI_EMEA_ITCSEMICEQ - Industry Return -10.00 pct,</t>
  </si>
  <si>
    <t>Ukraine USD_EM_DS_UKRAINE - Spread Yield 400.00 bps</t>
  </si>
  <si>
    <t>US Cash Bonds IG USD_LEH_CREDIT3 - Spread Yield 5.00 bps,</t>
  </si>
  <si>
    <t>US Tech IG USD_TECH_IG3 - Spread Yield 10.00 bps,</t>
  </si>
  <si>
    <t>Semiconductors &amp; Equipment FMI_NAMR_ITCSEMICEQ - Industry Return -10.00 pct,</t>
  </si>
  <si>
    <t>Taiwan FMI_APXJ_TWN - Country Return 5.00 pct,</t>
  </si>
  <si>
    <t>Taiwan</t>
  </si>
  <si>
    <t>FMI_APXJ_TWN</t>
  </si>
  <si>
    <t>Electrical Equipment FMI_APXJ_INDELECEQ - Industry Return -8.00 pct,</t>
  </si>
  <si>
    <t>FMI_APXJ_INDELECEQ</t>
  </si>
  <si>
    <t>Communications Equipment FMI_APXJ_ITCCOMMEQ - Industry Return -8.00 pct,</t>
  </si>
  <si>
    <t>Semiconductors FMI_APXJ_ITCSEMICON - Industry Return 10.00 pct</t>
  </si>
  <si>
    <t>FMI_APXJ_ITCSEMICON</t>
  </si>
  <si>
    <t>MYR 5Y MYR_5yr - Yield 60.00 bps,</t>
  </si>
  <si>
    <t>MYR 5Y</t>
  </si>
  <si>
    <t>MYR_5yr</t>
  </si>
  <si>
    <t>CHF/USD CHF_FX_USD - FX 3.00 pct,</t>
  </si>
  <si>
    <t>CNY/USD CNY_FX_USD - FX -6.00 pct,</t>
  </si>
  <si>
    <t>Viet Nam FMI_WRLD_VNM - Country Return 3.00 pct,</t>
  </si>
  <si>
    <t>Viet Nam</t>
  </si>
  <si>
    <t>FMI_WRLD_VNM</t>
  </si>
  <si>
    <t>Aerospace &amp; Def Const &amp; Eng FMI_APXJ_INDDEFENG - Industry Return -3.00 pct,</t>
  </si>
  <si>
    <t>MSCI China Index (USD) MSCINDRCHN - Index Level -15.00 pct,</t>
  </si>
  <si>
    <t>MSCI China Index (USD) - S&amp;P 500 [MSCINDRCHN-SPX] - Index Level -5.00 pct</t>
  </si>
  <si>
    <t>EUFRAG_MT</t>
  </si>
  <si>
    <t xml:space="preserve">Europe Fragmentation - Eurozone Breakup                     </t>
  </si>
  <si>
    <t>The Italian left-right coalition government implements fiscal policies inconsistent with EU membership. The EU is unwilling to address the economic woes of less competitive EU nations.</t>
  </si>
  <si>
    <t>US Tech IG USD_TECH_IG3 - Spread Yield 50.00 bps,</t>
  </si>
  <si>
    <t>TWD/USD TWD_FX_USD - FX -5.00 pct,</t>
  </si>
  <si>
    <t>China Offshore FMI_WRLD_CHB - Country Return -12.00 pct,</t>
  </si>
  <si>
    <t>China Offshore</t>
  </si>
  <si>
    <t>FMI_WRLD_CHB</t>
  </si>
  <si>
    <t>Taiwan FMI_WRLD_TWN - Country Return -15.00 pct,</t>
  </si>
  <si>
    <t>FMI_WRLD_TWN</t>
  </si>
  <si>
    <t>Computers &amp; Peripherals FMI_WRLD_ITCCOMP - Industry Return -4.00 pct,</t>
  </si>
  <si>
    <t>Semiconductors &amp; Equipment FMI_WRLD_ITCSEMICEQ - Industry Return -8.00 pct,</t>
  </si>
  <si>
    <t>FMI_WRLD_ITCSEMICEQ</t>
  </si>
  <si>
    <t>China Corp HY USD_CN_CORP_HY - Spread Yield 180.00 bps</t>
  </si>
  <si>
    <t>CPI 10yr USD_CPI_10yr - Yield -3.00 bps,</t>
  </si>
  <si>
    <t>EU Auto IG EUR_AUTO_IG_V3 - Spread Yield 12.00 bps,</t>
  </si>
  <si>
    <t>EU Auto IG</t>
  </si>
  <si>
    <t>EUR_AUTO_IG_V3</t>
  </si>
  <si>
    <t>Automobiles FMI_EMEA_CDIAUTOS - Industry Return -9.00 pct,</t>
  </si>
  <si>
    <t>FMI_EMEA_CDIAUTOS</t>
  </si>
  <si>
    <t>MSCI EUROPE(EUR) - S&amp;P 500 [MXEU-SPX] - Index Level -5.00 pct</t>
  </si>
  <si>
    <t>Copper LME 1 USD_COMD_LP_1 - Price Level 8.00 pct,</t>
  </si>
  <si>
    <t>Crude Oil NYME 1 USD_COMD_CL_1 - Price Level 5.00 pct,</t>
  </si>
  <si>
    <t>DXY DXY - Index Level -3.00 pct,</t>
  </si>
  <si>
    <t>VIX VIX - Index Level 2.00 pct,</t>
  </si>
  <si>
    <t>Building Products FMI_NAMR_INDBLDPRD - Industry Return 15.00 pct,</t>
  </si>
  <si>
    <t>Building Products</t>
  </si>
  <si>
    <t>FMI_NAMR_INDBLDPRD</t>
  </si>
  <si>
    <t>Automobiles &amp; Components FMI_NAMR_CDIAUTOCMP - Industry Return 2.00 pct,</t>
  </si>
  <si>
    <t>Semiconductors &amp; Equipment FMI_NAMR_ITCSEMICEQ - Industry Return 10.00 pct,</t>
  </si>
  <si>
    <t>Utilities FMI_NAMR_UTLUTIL - Industry Return 8.00 pct,</t>
  </si>
  <si>
    <t>Electrical Equipment FMI_APXJ_INDELECEQ - Industry Return 8.00 pct,</t>
  </si>
  <si>
    <t>MSCI China - S&amp;P 500 [MS_CN_LCL-SPX] - Index Level -3.00 pct,</t>
  </si>
  <si>
    <t>US Energy IG - US Cash Bonds IG [USD_ENERGY_IG3-USD_LEH_CREDIT3] - Spread Yield 20.00 bps,</t>
  </si>
  <si>
    <t>Transportation - REV [USD_MUNI_TRANS2-USD_MUNI_REV2] - Spread Yield -3.00 bps</t>
  </si>
  <si>
    <t>EUFRAG_PC</t>
  </si>
  <si>
    <t xml:space="preserve">Europe Fragmentation - Meaningful Policy Change             </t>
  </si>
  <si>
    <t>A growing band of EU countries pressures the European core to reconsider their fiscal responsibility.</t>
  </si>
  <si>
    <t>US Cash Bonds IG USD_LEH_CREDIT3 - Spread Yield -2.00 bps,</t>
  </si>
  <si>
    <t>VIX VIX - Index Level -5.00 pct,</t>
  </si>
  <si>
    <t>Building Products FMI_NAMR_INDBLDPRD - Industry Return 12.00 pct,</t>
  </si>
  <si>
    <t>Utilities FMI_NAMR_UTLUTIL - Industry Return 5.00 pct,</t>
  </si>
  <si>
    <t>MSCI China - S&amp;P 500 [MS_CN_LCL-SPX] - Index Level -6.00 pct,</t>
  </si>
  <si>
    <t>US Energy IG - US Cash Bonds IG [USD_ENERGY_IG3-USD_LEH_CREDIT3] - Spread Yield -25.00 bps</t>
  </si>
  <si>
    <t>Tsy 2Y USD_2yr - Yield -2.00 bps,</t>
  </si>
  <si>
    <t>Copper LME 1 USD_COMD_LP_1 - Price Level -6.00 pct,</t>
  </si>
  <si>
    <t>Crude Oil NYME 1 USD_COMD_CL_1 - Price Level 2.00 pct,</t>
  </si>
  <si>
    <t>Gold COMEX 1 USD_COMD_GC_1 - Price Level 1.00 pct,</t>
  </si>
  <si>
    <t>DXY DXY - Index Level -0.25 pct,</t>
  </si>
  <si>
    <t>Construction Materials FMI_NAMR_MATCONSTM - Industry Return -10.00 pct,</t>
  </si>
  <si>
    <t>FMI_NAMR_MATCONSTM</t>
  </si>
  <si>
    <t>Building Products FMI_NAMR_INDBLDPRD - Industry Return -5.00 pct,</t>
  </si>
  <si>
    <t>Automobiles &amp; Components FMI_NAMR_CDIAUTOCMP - Industry Return -5.00 pct,</t>
  </si>
  <si>
    <t>MSCI China - S&amp;P 500 [MS_CN_LCL-SPX] - Index Level 5.00 pct,</t>
  </si>
  <si>
    <t>US Energy IG - US Cash Bonds IG [USD_ENERGY_IG3-USD_LEH_CREDIT3] - Spread Yield -8.00 bps</t>
  </si>
  <si>
    <t>Tsy 2Y USD_2yr - Yield 85.00 bps,</t>
  </si>
  <si>
    <t>USD INF 2Y USD_INF_2yr - Yield -65.00 bps,</t>
  </si>
  <si>
    <t>EUPOP_DOWN</t>
  </si>
  <si>
    <t xml:space="preserve">Eurozone Populist Elections - EU Cohesion as Populism Falls </t>
  </si>
  <si>
    <t>confidence in the cohesion of the Eurozone grows, as populist parties disappoint in the elections</t>
  </si>
  <si>
    <t>Canada FMI_NAMR_CAN - Country Return -5.00 pct,</t>
  </si>
  <si>
    <t>Canada</t>
  </si>
  <si>
    <t>FMI_NAMR_CAN</t>
  </si>
  <si>
    <t>Electrical Equipment FMI_NAMR_INDELECEQ - Industry Return -8.00 pct,</t>
  </si>
  <si>
    <t>Ind Mach Cong Trade Co &amp; Dist FMI_NAMR_INDCONMACT - Industry Return -7.00 pct,</t>
  </si>
  <si>
    <t>FMI_NAMR_INDCONMACT</t>
  </si>
  <si>
    <t>Distrib &amp; Speciality Retail FMI_NAMR_CDIDISTRET - Industry Return -8.00 pct,</t>
  </si>
  <si>
    <t>FMI_NAMR_CDIDISTRET</t>
  </si>
  <si>
    <t>Canada FMI_WRLD_CAN - Country Return -5.00 pct,</t>
  </si>
  <si>
    <t>FMI_WRLD_CAN</t>
  </si>
  <si>
    <t>China Offshore FMI_WRLD_CHB - Country Return -30.00 pct,</t>
  </si>
  <si>
    <t>China Domestic FMI_WRLD_CHN - Country Return -30.00 pct,</t>
  </si>
  <si>
    <t>China Domestic</t>
  </si>
  <si>
    <t>FMI_WRLD_CHN</t>
  </si>
  <si>
    <t>Mexico FMI_WRLD_MEX - Country Return -7.00 pct,</t>
  </si>
  <si>
    <t>FMI_WRLD_MEX</t>
  </si>
  <si>
    <t>China Offshore FMI_APXJ_CHB - Country Return -30.00 pct,</t>
  </si>
  <si>
    <t>FMI_APXJ_CHB</t>
  </si>
  <si>
    <t>China Domestic FMI_APXJ_CHN - Country Return -30.00 pct,</t>
  </si>
  <si>
    <t>FMI_APXJ_CHN</t>
  </si>
  <si>
    <t>Mexico FMI_LATC_MEX - Country Return -7.00 pct,</t>
  </si>
  <si>
    <t>FMI_LATC_MEX</t>
  </si>
  <si>
    <t>Market FMI_CAND_MARKET - Style Return -700.00 bps,</t>
  </si>
  <si>
    <t>FMI_CAND_MARKET</t>
  </si>
  <si>
    <t>China Offshore FMI_EMKT_CHB - Country Return -30.00 pct,</t>
  </si>
  <si>
    <t>FMI_EMKT_CHB</t>
  </si>
  <si>
    <t>China Domestic FMI_EMKT_CHN - Country Return -30.00 pct,</t>
  </si>
  <si>
    <t>FMI_EMKT_CHN</t>
  </si>
  <si>
    <t>Mexico FMI_EMKT_MEX - Country Return -7.00 pct,</t>
  </si>
  <si>
    <t>FMI_EMKT_MEX</t>
  </si>
  <si>
    <t>Market FMI_CHNA_MARKET - Style Return -3000.00 bps,</t>
  </si>
  <si>
    <t>FMI_CHNA_MARKET</t>
  </si>
  <si>
    <t>Canada FMI_NAHC_CAN - Country Return -5.00 pct,</t>
  </si>
  <si>
    <t>FMI_NAHC_CAN</t>
  </si>
  <si>
    <t>China Corp HY USD_CN_CORP_HY - Spread Yield 500.00 bps,</t>
  </si>
  <si>
    <t>Mexico USD_EM_CORP_SA_MX - Spread Yield 35.00 bps,</t>
  </si>
  <si>
    <t>USD_EM_CORP_SA_MX</t>
  </si>
  <si>
    <t>S&amp;P 500 - MSCI World xUS [SPX-MSXWOUS] - Index Level 7.00 pct,</t>
  </si>
  <si>
    <t>US Maturity HY 5 - Global HY 5 [USD_CORP_HY_5Y-ALL_GLB_CORP_HY_5Y] - Spread Yield -50.00 bps</t>
  </si>
  <si>
    <t>5</t>
  </si>
  <si>
    <t>Pan Euro Credit HY EUR_LEH_HY_SF - Spread Yield 60.00 bps,</t>
  </si>
  <si>
    <t>EUR_LEH_HY_SF</t>
  </si>
  <si>
    <t>Ukraine FMI_WRLD_UKR - Country Return -15.00 pct,</t>
  </si>
  <si>
    <t>FMI_WRLD_UKR</t>
  </si>
  <si>
    <t>MSCI China Index (USD) MSCINDRCHN - Index Level 5.00 pct,</t>
  </si>
  <si>
    <t>S&amp;P 500 - MSCI EUROPE(EUR) [SPX-MXEU] - Index Level 5.00 pct</t>
  </si>
  <si>
    <t>Copper CMX 1 USD_COMD_HG_1 - Price Level 2.00 pct,</t>
  </si>
  <si>
    <t>Gold GOLD_SPOT - Price Level -8.00 pct,</t>
  </si>
  <si>
    <t>EUPOP_GAIN</t>
  </si>
  <si>
    <t xml:space="preserve">Eurozone Populist Elections - Populism Soars in Elections   </t>
  </si>
  <si>
    <t>populism gains much more than expected, and moderate politicians are forced to adopt more populist positions to maintain voter share</t>
  </si>
  <si>
    <t>DEM 10Y EUR_10yr - Yield 7.50 bps,</t>
  </si>
  <si>
    <t>MSCI EUROPE(EUR) MXEU - Index Level 2.00 pct,</t>
  </si>
  <si>
    <t>S&amp;P 500 Financials - SP500 Consum Stapl [S5FINL-S5CONS] - Index Level 8.00 pct,</t>
  </si>
  <si>
    <t>US Banking IG - US Noncyclical IG [USD_BANKBROK_IG3-USD_NONCYCLICAL_IG3] - Spread Yield -10.00 bps,</t>
  </si>
  <si>
    <t>US HY Market - Pan Euro Credit HY [USD_HY_MARKET-EUR_LEH_HY] - Spread Yield -10.00 bps</t>
  </si>
  <si>
    <t>Gold COMEX 1 USD_COMD_GC_1 - Price Level -4.00 pct,</t>
  </si>
  <si>
    <t>MSCI EUROPE(EUR) MXEU - Index Level -4.00 pct,</t>
  </si>
  <si>
    <t>Pan Euro Credit HY EUR_LEH_HY - Spread Yield 25.00 bps,</t>
  </si>
  <si>
    <t>US HY Market USD_HY_MARKET - Spread Yield -30.00 bps,</t>
  </si>
  <si>
    <t>DEM 10Y - Tsy 10Y [EUR_10yr-USD_10yr] - Yield -40.00 bps,</t>
  </si>
  <si>
    <t>MXEU FINANCIALS(EUR) - MSCI EUROPE(EUR) [MXEU0FN-MXEU] - Index Level -5.00 pct,</t>
  </si>
  <si>
    <t>S&amp;P 500 Financials - S&amp;P 500 [S5FINL-SPX] - Index Level 4.00 pct</t>
  </si>
  <si>
    <t>US Cash Bonds IG USD_LEH_CREDIT3 - Spread Yield 7.00 bps,</t>
  </si>
  <si>
    <t>DEM 10Y EUR_10yr - Yield -5.00 bps,</t>
  </si>
  <si>
    <t>Pan Euro Credit HY EUR_LEH_HY - Spread Yield 10.00 bps,</t>
  </si>
  <si>
    <t>S&amp;P 500 Financials - S&amp;P 500 [S5FINL-SPX] - Index Level -10.00 pct,</t>
  </si>
  <si>
    <t>S&amp;P 500 Industrials - S&amp;P 500 [S5INDU-SPX] - Index Level -6.00 pct,</t>
  </si>
  <si>
    <t>US Banking IG - US Noncyclical IG [USD_BANKBROK_IG3-USD_NONCYCLICAL_IG3] - Spread Yield 15.00 bps</t>
  </si>
  <si>
    <t>ITL 10Y ITL_10yr - Spread Yield 50.00 bps,</t>
  </si>
  <si>
    <t>EUPOP_SURG</t>
  </si>
  <si>
    <t xml:space="preserve">Eurozone Populist Elections - Eurozone Break-up             </t>
  </si>
  <si>
    <t>a tail-risk scenario where anti-EU politicians sweep to victory across Europe, raising serious concerns about the future of the Eurozone</t>
  </si>
  <si>
    <t>JPY/USD JPY_FX_USD - FX 10.00 pct,</t>
  </si>
  <si>
    <t>VIX VIX - Index Level 7.00 pct,</t>
  </si>
  <si>
    <t>S&amp;P 500 Health Care - S&amp;P 500 [S5HLTH-SPX] - Index Level -7.00 pct,</t>
  </si>
  <si>
    <t>Care</t>
  </si>
  <si>
    <t>S&amp;P 500 Technology - S&amp;P 500 [S5INFT-SPX] - Index Level -7.00 pct,</t>
  </si>
  <si>
    <t>US HY Auto - US HY Market [USD_HY_AUTO-USD_HY_MARKET] - Spread Yield 25.00 bps,</t>
  </si>
  <si>
    <t>Auto</t>
  </si>
  <si>
    <t>US HY Wirelines - US HY Market [USD_HY_WIRELINES-USD_HY_MARKET] - Spread Yield 25.00 bps</t>
  </si>
  <si>
    <t>Wirelines</t>
  </si>
  <si>
    <t>MS Emerging Mkts - MSCI World Net TR [MXEF-MSCIWLDNET] - Index Level -4.00 pct,</t>
  </si>
  <si>
    <t>S&amp;P 500 Industrials - S&amp;P 500 Consumer Staples Index [S5INDU-SPCS] - Index Level -5.00 pct,</t>
  </si>
  <si>
    <t>US HY Pharmaceuticals - US HY Market [USD_HY_PHARMA-USD_HY_MARKET] - Spread Yield -50.00 bps</t>
  </si>
  <si>
    <t xml:space="preserve">Index Level </t>
  </si>
  <si>
    <t xml:space="preserve">Yield </t>
  </si>
  <si>
    <t xml:space="preserve">Time </t>
  </si>
  <si>
    <t xml:space="preserve">Price Level  </t>
  </si>
  <si>
    <t xml:space="preserve">FX  </t>
  </si>
  <si>
    <t xml:space="preserve">Industry Return  </t>
  </si>
  <si>
    <t xml:space="preserve">Country Return  </t>
  </si>
  <si>
    <t xml:space="preserve">Yield  </t>
  </si>
  <si>
    <t xml:space="preserve">Spread Yield  </t>
  </si>
  <si>
    <t xml:space="preserve">Style Return  </t>
  </si>
  <si>
    <t xml:space="preserve">Implied Vol  </t>
  </si>
  <si>
    <t xml:space="preserve">Mortgage Basis  </t>
  </si>
  <si>
    <t xml:space="preserve">Other Spread Yield  </t>
  </si>
  <si>
    <t>Country Return</t>
  </si>
  <si>
    <t>Style Return</t>
  </si>
  <si>
    <t xml:space="preserve"> Yield</t>
  </si>
  <si>
    <t xml:space="preserve"> Style Return</t>
  </si>
  <si>
    <t>(blank)</t>
  </si>
  <si>
    <t>Grand Total</t>
  </si>
  <si>
    <t>S&amp;P 500 Technology</t>
  </si>
  <si>
    <t>S&amp;P 500</t>
  </si>
  <si>
    <t>S&amp;P 500 Financials</t>
  </si>
  <si>
    <t>Tsy 2y</t>
  </si>
  <si>
    <t>S&amp;P 500 Consumer Staples Index</t>
  </si>
  <si>
    <t>Real Estate Management &amp; Dev</t>
  </si>
  <si>
    <t>Internet &amp; Catalog Retail</t>
  </si>
  <si>
    <t>Semiconductors &amp; Equipment</t>
  </si>
  <si>
    <t>US HY Other Technology</t>
  </si>
  <si>
    <t>Software &amp; Internet Services</t>
  </si>
  <si>
    <t>US HY Tech Hardware</t>
  </si>
  <si>
    <t>FTSE All Share</t>
  </si>
  <si>
    <t>Italy S&amp;P MIB</t>
  </si>
  <si>
    <t>S&amp;P 500 Industrials</t>
  </si>
  <si>
    <t>S&amp;P 500 Cons. Disc. Index</t>
  </si>
  <si>
    <t>S&amp;P 500 Health Care</t>
  </si>
  <si>
    <t>S&amp;P 500 industrials</t>
  </si>
  <si>
    <t>S&amp;P 500 utilities</t>
  </si>
  <si>
    <t>S&amp;P 500 Energy</t>
  </si>
  <si>
    <t>Hotels Restaurants &amp; Leisure</t>
  </si>
  <si>
    <t>Cons Staples x Alcohol &amp; Tob</t>
  </si>
  <si>
    <t>Aerospace &amp; Defense</t>
  </si>
  <si>
    <t>Automobiles &amp; Components</t>
  </si>
  <si>
    <t>Aerospace &amp; Def Const &amp; Eng</t>
  </si>
  <si>
    <t>Elec Eq Instr Comp &amp; Off Elec</t>
  </si>
  <si>
    <t>MSCI AC Asia Pacific (Loc)</t>
  </si>
  <si>
    <t>MSCI World Cons. Discretionary</t>
  </si>
  <si>
    <t>US Energy IG</t>
  </si>
  <si>
    <t>MSCI Japan</t>
  </si>
  <si>
    <t>Internet Software &amp; Services</t>
  </si>
  <si>
    <t>Russell 1000</t>
  </si>
  <si>
    <t>Property Casualty Ins &amp; Brkrs</t>
  </si>
  <si>
    <t>DJ Glob Select Real Est</t>
  </si>
  <si>
    <t>MSCI World Materials</t>
  </si>
  <si>
    <t>MSCI EM Latin America (USD)</t>
  </si>
  <si>
    <t>Containers &amp; Packaging</t>
  </si>
  <si>
    <t>Food Household &amp; Personal Prod</t>
  </si>
  <si>
    <t>DEM 30Y</t>
  </si>
  <si>
    <t>EU Corp Italy</t>
  </si>
  <si>
    <t>MXEU FINANCIALS(EUR)</t>
  </si>
  <si>
    <t>EU_CBAM</t>
  </si>
  <si>
    <t xml:space="preserve">EU Carbon Policies - EU CBAM Full Support (04/2022)         </t>
  </si>
  <si>
    <t>EU CBAM Full Support - Strong support for the EU's Carbon Border Adjustment Mechanism (CBAM) triggers fears of trade challenges on imported carbon-intensive goods</t>
  </si>
  <si>
    <t>EU_ETSEXT</t>
  </si>
  <si>
    <t xml:space="preserve">EU Carbon Policies - EU ETS Extension (04/2022)             </t>
  </si>
  <si>
    <t>EU ETS Extension - An extension of the EU Emission Trading Scheme (ETS) to include buildings, transport and maritime sectors is fully approved, accelerating the sectors' economic climate transition</t>
  </si>
  <si>
    <t>EU_USPART</t>
  </si>
  <si>
    <t xml:space="preserve">EU Carbon Policies - EU/US Partner on CBAM (04/2022)        </t>
  </si>
  <si>
    <t>EU/US Partner on CBAM - An unexpected climate alliance formed between the US and the EU leaves China out, and fears of a trade war escalate</t>
  </si>
  <si>
    <t>FED13_ABS</t>
  </si>
  <si>
    <t xml:space="preserve">Fed Tapering '13 - Absolute, May 21 - June 24, 2013         </t>
  </si>
  <si>
    <t>Congress Testimony by Bernanke on tapering mortgage purchases caused both equity and bond markets to sell-off. Emerging Markets suffered as expectations of higher US rates caused an unwind in Carry trades. Shocks for DxS Factors are spreads.</t>
  </si>
  <si>
    <t>FEDTAP13</t>
  </si>
  <si>
    <t xml:space="preserve">Fed Tapering '13 - Relative, May 21 - June 24, 2013         </t>
  </si>
  <si>
    <t>Congress Testimony by Bernanke on tapering mortgage purchases caused both equity and bond markets to sell-off. Emerging Markets suffered as expectations of higher US rates caused an unwind in Carry trades. Shocks for DxS Factors are percentages of spread.</t>
  </si>
  <si>
    <t>FED_CUTS50</t>
  </si>
  <si>
    <t xml:space="preserve">Fed Cuts Rates 50 bps Sep 2025 Scenario                     </t>
  </si>
  <si>
    <t>The Fed surprises markets by delivering a 50bp rate cut, beyond the expected 25bp first cut, and signals that another cut may still occur later this year. The Fed is acting proactively easing financial conditions to engineer a soft landing rather than a crisis reaction.</t>
  </si>
  <si>
    <t>FED_GEO</t>
  </si>
  <si>
    <t xml:space="preserve">Fed Interest Rate Regimes - Growth Concerns                 </t>
  </si>
  <si>
    <t>Growth Concerns : Tail risks, such as geopolitical and macroeconomic concerns, cause the Fed to adopt a more dovish stance.</t>
  </si>
  <si>
    <t>FED_HOLDS</t>
  </si>
  <si>
    <t xml:space="preserve">Fed Hold Rates Sep 2025 Scenario                            </t>
  </si>
  <si>
    <t>The Fed decides to maintain the current policy rate at its existing level, foregoing the widely anticipated 25bps cut. This signals a potential pause for the remainder of the year, emphasizing the Fed commitment to fighting sticky inflation.</t>
  </si>
  <si>
    <t>FED_PAUSE</t>
  </si>
  <si>
    <t xml:space="preserve">Fed Interest Rate Regimes - Fed Pauses                      </t>
  </si>
  <si>
    <t>Fed Pauses : The Fed pauses its tightening cycle after two rate hikes in 2019.</t>
  </si>
  <si>
    <t>FED_STAY</t>
  </si>
  <si>
    <t xml:space="preserve">Fed Interest Rate Regimes - Fed Stays the Course            </t>
  </si>
  <si>
    <t>Fed Stays the Course : The Fed raises rates three to four times in 2019, leading to a short-term correction in risk assets.</t>
  </si>
  <si>
    <t>FISC_NO</t>
  </si>
  <si>
    <t xml:space="preserve">Fiscal Policy Stance - Neutral                              </t>
  </si>
  <si>
    <t>Political discord in US and Europe stalls fiscal stimulus, resulting in a continuation of low short-end interest rates and investors search for yield</t>
  </si>
  <si>
    <t>FISC_SUC</t>
  </si>
  <si>
    <t xml:space="preserve">Fiscal Policy Stance - Credible Fiscal Policy               </t>
  </si>
  <si>
    <t>Credible, full-scale fiscal expansion drive a rally in risky assets along with rising long-term yields and tightening credit spreads.</t>
  </si>
  <si>
    <t>FISC_UNC</t>
  </si>
  <si>
    <t xml:space="preserve">Fiscal Policy Stance - Ineffective Spending                 </t>
  </si>
  <si>
    <t>Announcements of major fiscal packages by US and Japan fail to have the impact governments expect, resulting in a loss of market confidence</t>
  </si>
  <si>
    <t>FOMC_EASY</t>
  </si>
  <si>
    <t xml:space="preserve">FOMC Policy Paths-Easing Inflation Spur Dovish Fed(6/2022)  </t>
  </si>
  <si>
    <t>Easing Inflation Spurs Dovish Fed: Inflation tops out and begins easing gradually over the next several months driven, in part, by consumption shifting from goods to services and diminishing global supply imbalances. Fed eases its hawkish stance and markets partially offset 2022 losses.</t>
  </si>
  <si>
    <t>VOLSPIKE</t>
  </si>
  <si>
    <t xml:space="preserve">Volatility Regimes - Transitory Spike in Vol                </t>
  </si>
  <si>
    <t>Transitory Spike in Volatility: temporary jumps in volatility occur, potentially relating to various political events</t>
  </si>
  <si>
    <t>FOMC_HARD</t>
  </si>
  <si>
    <t xml:space="preserve">Fed Policy Paths - Fed Engineers a Hard Landing(03/2023)    </t>
  </si>
  <si>
    <t>Fed Policy Paths Reconsidered - The effects of the Feds policy response in 2022-23 are lagged and prove to be more significant than expected. Growth slows and cracks in the labor market begin to show.. Market prices in a significant recession in the US, driving a sizable risk-off react</t>
  </si>
  <si>
    <t>FOMC_QT23</t>
  </si>
  <si>
    <t xml:space="preserve">Fed Policy Paths - Lingering Inflation (03/2023)            </t>
  </si>
  <si>
    <t>Fed Policy Paths Reconsidered - Lingering Inflation Proves Markets Wrong</t>
  </si>
  <si>
    <t>FOMC_TIGHT</t>
  </si>
  <si>
    <t>FOMC Policy Paths-Hike Cycle Force US into Recession(6/2022)</t>
  </si>
  <si>
    <t>Hiking Cycle Forces US into a Recession: Due to continued inflation pressures from existing and potentially unforeseen supply shocks, the Fed is unable to engineer a soft landing. A US recession follows, resulting in a significant extension of losses incurred so far in 2022.</t>
  </si>
  <si>
    <t>GEO_TER</t>
  </si>
  <si>
    <t xml:space="preserve">Major terror attack(s)                                      </t>
  </si>
  <si>
    <t>A terror attack leads to significant loss of life and commercial disruption.</t>
  </si>
  <si>
    <t>GROWTH_EXT</t>
  </si>
  <si>
    <t xml:space="preserve">Global Growth Uncertainty - Central Banks Extend the Cycle  </t>
  </si>
  <si>
    <t>Central banks continue easing in an effort to prolong the current economic cycle, though heightened uncertainty results in increased market volatility.</t>
  </si>
  <si>
    <t>GROWTH_T</t>
  </si>
  <si>
    <t xml:space="preserve">Global Growth Uncertainty - Trade Tensions Risk Recession   </t>
  </si>
  <si>
    <t>Trade tensions continue to weigh on margins and profitability, thereby hampering business confidence and capex. Further escalation between China and the US edges economies closer to recession.</t>
  </si>
  <si>
    <t>GROWTH_US</t>
  </si>
  <si>
    <t xml:space="preserve">Global Growth Uncertainty - US Policy Mistake               </t>
  </si>
  <si>
    <t>Markets expect central banks to continue easing in order to ward off the downside risks of a contraction. However, central banks disappoint with less accommodative monetary policy than anticipated.</t>
  </si>
  <si>
    <t>GULF_ACT</t>
  </si>
  <si>
    <t xml:space="preserve">Gulf Escalation - Military Action in the Gulf               </t>
  </si>
  <si>
    <t>Escalating tensions in the Gulf lead to direct military action in the region.</t>
  </si>
  <si>
    <t>GULF_ATCK</t>
  </si>
  <si>
    <t xml:space="preserve">Gulf Tensions - Missile Strikes Hit Saudi Arabia            </t>
  </si>
  <si>
    <t>US backs Saudi Arabia in its response to a series of missile strikes, causing oil prices to rise significantly as global markets underperform.</t>
  </si>
  <si>
    <t>GULF_DEAL</t>
  </si>
  <si>
    <t xml:space="preserve">Gulf Tensions - US Leaves Iran Nuclear Deal                 </t>
  </si>
  <si>
    <t>US leaves the nuclear deal with Iran and re-imposes sanctions triggering a flight-to-safety.</t>
  </si>
  <si>
    <t>GULF_MBS</t>
  </si>
  <si>
    <t xml:space="preserve">Gulf Tensions - Internal Strife in Saudi Arabia             </t>
  </si>
  <si>
    <t>A rise in political instability in Saudi Arabia roils regional markets and puts upward pressure on oil prices.</t>
  </si>
  <si>
    <t>GULF_NUC</t>
  </si>
  <si>
    <t xml:space="preserve">Gulf Escalation - Iran Restarts Nuclear Program             </t>
  </si>
  <si>
    <t>The Iran nuclear deal deteriorates, leading Iran to restart its nuclear program in an effort to gain political leverage.</t>
  </si>
  <si>
    <t>GULF_SA</t>
  </si>
  <si>
    <t xml:space="preserve">Gulf Escalation - Saudi Arabia Uncertainty                  </t>
  </si>
  <si>
    <t>Backlash against the war in Yemen and the killing of a prominent Saudi journalist intensifies, increasing economic uncertainty in Saudi Arabia.</t>
  </si>
  <si>
    <t>HAWK_CB</t>
  </si>
  <si>
    <t>Global CB Policy - Simultaneous Tightening Unsettles Markets</t>
  </si>
  <si>
    <t>Balance sheet reduction by the Fed and tapering by the ECB and BoJ lead to a ?Taper Tantrum? like sell-off (September 2017)</t>
  </si>
  <si>
    <t>HAWK_NR</t>
  </si>
  <si>
    <t xml:space="preserve">Global CB Policy - Benign Real Yields Rise                  </t>
  </si>
  <si>
    <t>Well-telegraphed guidance on monetary policy normalization leads to rising real yields without market disruption (September 2017)</t>
  </si>
  <si>
    <t>INF18_FA</t>
  </si>
  <si>
    <t xml:space="preserve">Rising Inflation - US - Fed Tightens More Than Expected     </t>
  </si>
  <si>
    <t>Higher inflation than expected forces the Fed to change tack, tightening more than priced-in by the market</t>
  </si>
  <si>
    <t>INF18_FB</t>
  </si>
  <si>
    <t xml:space="preserve">Rising Inflation - US - Steady Pace                         </t>
  </si>
  <si>
    <t>Inflation surprises to the upside, catching the Fed off guard. Nonetheless, the Fed maintains the current pace of tightening.</t>
  </si>
  <si>
    <t>INF18_GL</t>
  </si>
  <si>
    <t xml:space="preserve">Rising Inflation - Global Rate Hikes                        </t>
  </si>
  <si>
    <t> A combination of rising oil prices, an increase in Chinese export prices, and a strong-footed Euro economy leads to a pick-up in inflation globally</t>
  </si>
  <si>
    <t>INF_COMD</t>
  </si>
  <si>
    <t xml:space="preserve">Reflation - Commodity Driven Inflation                      </t>
  </si>
  <si>
    <t>Disruption in oil supply boosts commodity prices putting pressure on global growth outlook</t>
  </si>
  <si>
    <t>INF_CORE</t>
  </si>
  <si>
    <t xml:space="preserve">Reflation - Core Inflation Rises                            </t>
  </si>
  <si>
    <t>Stable economic growth and improving market sentiment stimulates the rise of core inflation</t>
  </si>
  <si>
    <t>INF_DIS</t>
  </si>
  <si>
    <t xml:space="preserve">Inflation Expectations - Inflation Disappointment (02/2021) </t>
  </si>
  <si>
    <t>Inflation fails to materialize across regions, driven by COVID-19 related setbacks.</t>
  </si>
  <si>
    <t>INF_OVER</t>
  </si>
  <si>
    <t xml:space="preserve">Inflation Expectations - Inflation Overshoot (02/2021)      </t>
  </si>
  <si>
    <t>Economic recovery, pent-up demand, supply chain bottlenecks, and fiscal stimulus cause a surge in inflation, prompting higher interest rates in a taper tantrum-style sell-off.</t>
  </si>
  <si>
    <t>INF_REF</t>
  </si>
  <si>
    <t xml:space="preserve">Inflation Expectations - Reopening Reflation (02/2021)      </t>
  </si>
  <si>
    <t>Reopening of economies and easy financial conditions drive inflation expectations toward target levels, while nominal interest rates remain anchored by central bank asset purchases.</t>
  </si>
  <si>
    <t>INF_REFL</t>
  </si>
  <si>
    <t xml:space="preserve">Inflation Regimes - Europe-Led Reflation                    </t>
  </si>
  <si>
    <t>Expansionary fiscal policy in Europe, followed by US fiscal stimulus, drives growth and inflation up and leads to global reflation.</t>
  </si>
  <si>
    <t>INF_STAGFL</t>
  </si>
  <si>
    <t xml:space="preserve">Inflation Regimes - Policy Change Catalyzes Stagflation.    </t>
  </si>
  <si>
    <t>A change in policy effectively targets wealth inequality and increases wages. However, central banks are ineffective at boosting growth, leading the economy into stagflation.</t>
  </si>
  <si>
    <t>INF_STAGN</t>
  </si>
  <si>
    <t xml:space="preserve">Inflation Regimes - Global Stagnation                       </t>
  </si>
  <si>
    <t>Weak global economic data and central banks? ineffectiveness in providing stimulus drive growth and inflation down.</t>
  </si>
  <si>
    <t>INPK_CONF</t>
  </si>
  <si>
    <t xml:space="preserve">South Asia Tensions - India-Pakistan Military Conflict      </t>
  </si>
  <si>
    <t>Another terror attack by Pakistan-based militants leads India to respond more forcefully, using air strikes and ground troops. Pakistan responds and limited war ensues along the Line of Control in Kashmir.</t>
  </si>
  <si>
    <t>IR_GRO</t>
  </si>
  <si>
    <t xml:space="preserve">Financial Stress - NIRP Works                               </t>
  </si>
  <si>
    <t>Negative rates stimulate growth and bank profitability improves due to steeper yield curves</t>
  </si>
  <si>
    <t>IR_STAG</t>
  </si>
  <si>
    <t xml:space="preserve">Financial Stress - Financial Pressure                       </t>
  </si>
  <si>
    <t>Negative rates pressure bank profits, curbing credit creation</t>
  </si>
  <si>
    <t>JAPAN_NEG</t>
  </si>
  <si>
    <t xml:space="preserve">Abenomics - NIRP Bank Suffering                             </t>
  </si>
  <si>
    <t>Bank of Japan begins to run out of ammunition as banks come under further pressure and liquidity dries up</t>
  </si>
  <si>
    <t>JAPAN_NEW</t>
  </si>
  <si>
    <t xml:space="preserve">Abenomics - Helicopter Money                                </t>
  </si>
  <si>
    <t>Untried policies of helicopter money combined with fiscal expansion are deployed to curb deflationary pressures</t>
  </si>
  <si>
    <t>JAPAN_POS</t>
  </si>
  <si>
    <t xml:space="preserve">Abenomics  - Additional Abenomics Works                     </t>
  </si>
  <si>
    <t>Further rate cut from the BoJ combined with expansionary fiscal policy drives risk-on sentiment in markets</t>
  </si>
  <si>
    <t>JUL03_MTG</t>
  </si>
  <si>
    <t xml:space="preserve">MTG Widen - Relative, Jul 14 - Aug 01, 2003                 </t>
  </si>
  <si>
    <t>Convexity selling as mortgage durations lengthen. Shocks for DxS Factors are spreads.</t>
  </si>
  <si>
    <t>LAPOP_DWN</t>
  </si>
  <si>
    <t xml:space="preserve">Latin America Populism - Populism Falls in Latin America    </t>
  </si>
  <si>
    <t>Populist candidates disappoint in the lead up to major elections in Latin America. Market-friendly candidates are ahead in the polls, leading to the deterioration of populism in Latin America. Markets stabilize, anticipating less disruption from new regulations.</t>
  </si>
  <si>
    <t>LAPOP_MEX</t>
  </si>
  <si>
    <t xml:space="preserve">Latin America Populism - Mexican Populist Win               </t>
  </si>
  <si>
    <t>Populism in Mexico continues its ascent after a decade of soaring violence and widespread corruption. Corruption issues have led a large part of the population to place little trust in mainstream parties? candidates. Left-wing populist candidate Andrs Manuel Lpez Obrador (AMLO) wins the Mexican presidential election, by a wide margin. A strong AMLO win signals a potential majority in the Congress and political capital to push a more nationalist agenda.</t>
  </si>
  <si>
    <t>LAPOP_UP</t>
  </si>
  <si>
    <t xml:space="preserve">Latin America Populism - Surge in Latin American Populism   </t>
  </si>
  <si>
    <t>The trend towards pro-business, technocratic governments in Latin America might reverse with upcoming elections in Latin America. Elections take place against a backdrop of low growth and declining support for democracy. Populist candidates, rather than market-friendly centrists, rise in the polls across Latin America.</t>
  </si>
  <si>
    <t>M03_ABS</t>
  </si>
  <si>
    <t xml:space="preserve">MTG Widen - Absolute, Jul 14 - Aug 01, 2003                 </t>
  </si>
  <si>
    <t>MAHAPI</t>
  </si>
  <si>
    <t xml:space="preserve">MAHA Pragmatic Implementation Scenario                      </t>
  </si>
  <si>
    <t>MAHA Pragmatic Implementation: RFK Jr. and the commission is ambitious on MAHA policy if core Republican supporters are not impacted.</t>
  </si>
  <si>
    <t>MAHATTL</t>
  </si>
  <si>
    <t xml:space="preserve">MAHA To the Letter Scenario                                 </t>
  </si>
  <si>
    <t>MAHA To the Letter: Policy action directly corresponds to issues and solutions raised in the MAHA report.</t>
  </si>
  <si>
    <t>MAHAUT</t>
  </si>
  <si>
    <t xml:space="preserve">MAHA U-Turn Scenario                                        </t>
  </si>
  <si>
    <t>MAHA U-Turn: A clash with the Trump base threatens RFK Jr. role</t>
  </si>
  <si>
    <t>MEDIRECT24</t>
  </si>
  <si>
    <t xml:space="preserve">Middle East regional war                                    </t>
  </si>
  <si>
    <t>Direct War Scenario- With no end in sight to Israeli occupation of Gaza, Iran comes to the aid of Hamas and seeks to activate its network of militia partners. A proxy war between Israel and Iran escalates into direct confrontation between the US and Iran.</t>
  </si>
  <si>
    <t>MEDIRECT25</t>
  </si>
  <si>
    <t xml:space="preserve">Middle East Tensions (rerelease) Direct War 2025 Scenario   </t>
  </si>
  <si>
    <t>Middle East Tensions (rerelease) Scenario: Iran covertly advance towards reconstituting its nuclear program, prompting Israel to strike on Iranian nuclear facilities. The strike triggers a direct response from Iran against Israel, and the ceasefire collapses, causing instability around the Strait of Hormuz.</t>
  </si>
  <si>
    <t>MEPROXY24</t>
  </si>
  <si>
    <t xml:space="preserve">Middle East Tensions: Proxy War                             </t>
  </si>
  <si>
    <t>Proxy War Scenario- Israel and Iran engage in a proxy war, involving Iran-backed militia groups in the region. Conflict spills into neighboring Arab States (Lebanon, Syria), but Gulf States remain neutral, avoiding a larger regional conflict.</t>
  </si>
  <si>
    <t>MSGOLD_dn</t>
  </si>
  <si>
    <t xml:space="preserve">Gold Down                                                   </t>
  </si>
  <si>
    <t>1% probability Gold Down movement</t>
  </si>
  <si>
    <t>MSOIL_dn</t>
  </si>
  <si>
    <t xml:space="preserve">Oil Down                                                    </t>
  </si>
  <si>
    <t>1% probablity oil down movement</t>
  </si>
  <si>
    <t>MSVIX_up</t>
  </si>
  <si>
    <t xml:space="preserve">Equity Volatility Increase                                  </t>
  </si>
  <si>
    <t>1% probability VIX Up movement</t>
  </si>
  <si>
    <t>MS_EUCPIUP</t>
  </si>
  <si>
    <t xml:space="preserve">Rising Inflation Europe                                     </t>
  </si>
  <si>
    <t>Rising Euro Inflation 1% probability</t>
  </si>
  <si>
    <t>MS_EUCRDUP</t>
  </si>
  <si>
    <t xml:space="preserve">Credit Spread Widening Europe                               </t>
  </si>
  <si>
    <t>1% probability movement of European Credit Spread Widening</t>
  </si>
  <si>
    <t>MS_EURO</t>
  </si>
  <si>
    <t xml:space="preserve">Stock Market Drop Europe                                    </t>
  </si>
  <si>
    <t>1% probability Downward movement in Europe Equity Market</t>
  </si>
  <si>
    <t>MS_EUYC_UP</t>
  </si>
  <si>
    <t xml:space="preserve">Interest Rates Back-up Europe                               </t>
  </si>
  <si>
    <t>Europe Int Rates Up 1% probability</t>
  </si>
  <si>
    <t>MS_JAPAN</t>
  </si>
  <si>
    <t xml:space="preserve">Stock Market Drop Japan                                     </t>
  </si>
  <si>
    <t>Japan Equity Market Down 1% probability</t>
  </si>
  <si>
    <t>MS_JPCPIUP</t>
  </si>
  <si>
    <t xml:space="preserve">Rising Inflation Japan                                      </t>
  </si>
  <si>
    <t>Rising Japan Inflation 1% probability</t>
  </si>
  <si>
    <t>MS_JPYC_UP</t>
  </si>
  <si>
    <t xml:space="preserve">Interest Rates Back-up Japan                                </t>
  </si>
  <si>
    <t>Japan Int Rates Up 1% probability</t>
  </si>
  <si>
    <t>MS_US</t>
  </si>
  <si>
    <t xml:space="preserve">Stock Market Drop US                                        </t>
  </si>
  <si>
    <t>US Equity Market Down 1% probability</t>
  </si>
  <si>
    <t>MS_USCPIUP</t>
  </si>
  <si>
    <t xml:space="preserve">Rising Inflation US                                         </t>
  </si>
  <si>
    <t>Rising US Inflation 1% probability</t>
  </si>
  <si>
    <t>MS_USCRDUP</t>
  </si>
  <si>
    <t xml:space="preserve">Credit Spread Widening US                                   </t>
  </si>
  <si>
    <t>US Credit Spread Widen 1% probability</t>
  </si>
  <si>
    <t>MS_USD_DN</t>
  </si>
  <si>
    <t xml:space="preserve">Weak US Dollar                                              </t>
  </si>
  <si>
    <t>1% probability movement of US dollar weakening</t>
  </si>
  <si>
    <t>MS_USYC_UP</t>
  </si>
  <si>
    <t xml:space="preserve">Interest Rates Back-up US                                   </t>
  </si>
  <si>
    <t>US Int Rates Up 1% probability</t>
  </si>
  <si>
    <t>MS_WORLD</t>
  </si>
  <si>
    <t xml:space="preserve">Stock Market Drop Global                                    </t>
  </si>
  <si>
    <t>1% probability movement of MSCI World Market Down</t>
  </si>
  <si>
    <t>MV_MORE</t>
  </si>
  <si>
    <t xml:space="preserve">Safety Trade - Search for Yield Continues                   </t>
  </si>
  <si>
    <t>Continuing trend to reach for riskier sources of yield as the perception of a central bank put persists</t>
  </si>
  <si>
    <t>MV_POL</t>
  </si>
  <si>
    <t xml:space="preserve">Safety Trade - Yield Trade Unwind - Policy Driven           </t>
  </si>
  <si>
    <t>An unwind of the yield trade after the Fed raises rates</t>
  </si>
  <si>
    <t>MV_SENT</t>
  </si>
  <si>
    <t xml:space="preserve">Safety Trade - Yield Trade Unwind - Sentiment Driven        </t>
  </si>
  <si>
    <t>Stretched valuations in US credit and defensive equity sectors lead to an unwind of crowded trades</t>
  </si>
  <si>
    <t>NAFTA_P</t>
  </si>
  <si>
    <t xml:space="preserve">NAFTA Negotiations - US Leaves with Protectionist Steps     </t>
  </si>
  <si>
    <t>NAFTA Negotiations - US Leaves with Protectionist Steps - US leaves NAFTA with strong anti-trade / protectionist rhetoric</t>
  </si>
  <si>
    <t>NAFTA_S</t>
  </si>
  <si>
    <t xml:space="preserve">NAFTA Negotiations - Successful Negotiations                </t>
  </si>
  <si>
    <t>NAFTA Negotiations - Successful Negotiations - Concessions from all sides refocus negotiations that eventually lead to an agreement on NAFTA 2.0</t>
  </si>
  <si>
    <t>NAFTA_W</t>
  </si>
  <si>
    <t xml:space="preserve">NAFTA Negotiations - US Withdrawal                          </t>
  </si>
  <si>
    <t>NAFTA Negotiations - US Withdrawal - Derailed renegotiation prompts the US to withdraw from NAFTA</t>
  </si>
  <si>
    <t>NEW_OLD</t>
  </si>
  <si>
    <t xml:space="preserve">Tech Calamity - Older is Wiser                              </t>
  </si>
  <si>
    <t>North American new tech companies underperform old tech companies due to weak fundamentals and negative sentiment</t>
  </si>
  <si>
    <t>NK_ESCA</t>
  </si>
  <si>
    <t xml:space="preserve">North Korea Tensions - Escalating Military Conflict         </t>
  </si>
  <si>
    <t>Aggressive North Korean retaliation leads to a generalized military conflict</t>
  </si>
  <si>
    <t>NK_LTD</t>
  </si>
  <si>
    <t xml:space="preserve">North Korea conflict                                        </t>
  </si>
  <si>
    <t>US unilateral strikes result in limited North Korean retaliation</t>
  </si>
  <si>
    <t>NODEAL18</t>
  </si>
  <si>
    <t xml:space="preserve">BREXIT - No-Deal Exit Looms                                 </t>
  </si>
  <si>
    <t>No-Deal Exit Looms: A UK political crisis leads markets to price in a significantly increased probability of a no-deal Brexit. The scenario proposes a strong negative impact on UK risk assets and sterling.</t>
  </si>
  <si>
    <t>NRG_REBAL</t>
  </si>
  <si>
    <t>Higher Infl &amp; Climate Policy-Bumpy Energy Rebalance(12/2021)</t>
  </si>
  <si>
    <t>Bumpy Energy Rebalance: As governments and corporates commit to more aggressive net-zero targets, a supply-demand shock triggered by an unusually cold winter drives inflation up, although not enough to derail the broader economic restart.</t>
  </si>
  <si>
    <t>NRG_STAGF</t>
  </si>
  <si>
    <t>Higher Infl &amp; Climate Policy-Tipping Pt Stagflation(12/2021)</t>
  </si>
  <si>
    <t>Tipping Point Stagflation: Increased demand for cleaner alternatives to coal such as natural gas, along with shortages in Europe going into a colder winter, stretch global energy supply chains. Coupled with slower growth, stagflation sets in.</t>
  </si>
  <si>
    <t>OIL_LTSS</t>
  </si>
  <si>
    <t xml:space="preserve">Uncertain Future of Oil - Long-Term Supply Squeeze          </t>
  </si>
  <si>
    <t>Continuous underinvestment in technology and equipment by oil-producing companies leads to less optimal production processes and a long-term supply squeeze</t>
  </si>
  <si>
    <t>OIL_PEAKD</t>
  </si>
  <si>
    <t xml:space="preserve">Uncertain Future of Oil - Peak Demand                       </t>
  </si>
  <si>
    <t>Energy efficiency gains and substitution effects accelerate, causing a shift in expectations for future oil demand</t>
  </si>
  <si>
    <t>OIL_STSS</t>
  </si>
  <si>
    <t xml:space="preserve">Uncertain Future of Oil - Short-Term Supply Squeeze         </t>
  </si>
  <si>
    <t>Natural disasters or OPEC cuts result in a short-term supply squeeze</t>
  </si>
  <si>
    <t>OMI_CHN</t>
  </si>
  <si>
    <t>Omicron Uncertainties-China Lockdown Spur Inflation (1/2022)</t>
  </si>
  <si>
    <t>China Lockdowns Spur Inflation: The implication of China's zero-COVID policy is a key unknown in the evolution of Omicron. Widespread lockdowns in China caused by an outbreak would tighten manufacturing capacity and add to existing supply chain issues.</t>
  </si>
  <si>
    <t>OMI_END</t>
  </si>
  <si>
    <t>Omicron Uncertainties-Endemic Sees Broad Tightening (1/2022)</t>
  </si>
  <si>
    <t>COVID Endemic Sees Broad Tightening: The milder severity and rapid spread of the Omicron variant (and/or future variants) may pave the way for COVID to transition from pandemic to endemic. Policymakers rethink measures put in place to support markets as a result, heightening the risk of a policy error.</t>
  </si>
  <si>
    <t>OPEN_FULL</t>
  </si>
  <si>
    <t xml:space="preserve">Economic Restart - Optimistic Reopening (04/2021)           </t>
  </si>
  <si>
    <t>Global economies reopen rapidly after vaccine rollout, leading to a risk on environment with sector rotation.</t>
  </si>
  <si>
    <t>OPEN_HALF</t>
  </si>
  <si>
    <t xml:space="preserve">Economic Restart - Partial Reopening (04/2021)              </t>
  </si>
  <si>
    <t>Restrictions are lifted slower than expected as vaccines prove ineffective against COVID 19 mutations.</t>
  </si>
  <si>
    <t>OPEN_USEU</t>
  </si>
  <si>
    <t xml:space="preserve">Economic Restart - US Outpaces the EU (04/2021)             </t>
  </si>
  <si>
    <t>The US reopens rapidly on the back of faster than expected vaccine distribution, while the EU lags behind.</t>
  </si>
  <si>
    <t>POL_DIV</t>
  </si>
  <si>
    <t xml:space="preserve">Policy Effectiveness - China Leads Fiscal Policy Push       </t>
  </si>
  <si>
    <t>China Leads Fiscal Policy Push: Contrary to major developed economies that are currently faced with fiscal implementation challenges, China and Brazil deliver with favorable fiscal initiatives.</t>
  </si>
  <si>
    <t>POL_GLO</t>
  </si>
  <si>
    <t>Policy Effectiveness-Monetary and Fiscal Policy Coordination</t>
  </si>
  <si>
    <t>Monetary and Fiscal Policy Coordination: As monetary tools are close to being exhausted and fiscal policy alone is proven less effective, a new and unconventional coordination between monetary and fiscal helps boost growth. This scenario is inspired by the BII's August 2019 publication titled 'Dealing with the next downturn'.</t>
  </si>
  <si>
    <t>POL_UNC</t>
  </si>
  <si>
    <t xml:space="preserve">Policy Effectiveness - ECB Expands the QE-Eligible Universe </t>
  </si>
  <si>
    <t>ECB Expands the QE-Eligible Universe: Political and legal constraints leave little room for aggressive fiscal action in near term in the US and in the EU. The ECB will surprise the market, pursuing new, untraditional accommodative tools to help the region break out of longstanding stagnation.</t>
  </si>
  <si>
    <t>RAPID_DF</t>
  </si>
  <si>
    <t xml:space="preserve">Rapid Deflation                                             </t>
  </si>
  <si>
    <t>Oil price drops which causes short-end of the inflation curve to drop. The short end of the nominal curve is held unchanged since nominal rates in the short end are already very low. Due to the new round of quantitative easing agency mortgage rate spreads</t>
  </si>
  <si>
    <t>RAT_DELAY</t>
  </si>
  <si>
    <t xml:space="preserve">US Rates Paradigm Shift - Fed Surprise Delay                </t>
  </si>
  <si>
    <t>RAT_GROWTH</t>
  </si>
  <si>
    <t xml:space="preserve">US Rates Paradigm Shift - Real Growth                       </t>
  </si>
  <si>
    <t>RAT_INF</t>
  </si>
  <si>
    <t xml:space="preserve">US Rates Paradigm Shift - Stagflation Policy Reaction       </t>
  </si>
  <si>
    <t>RECESSION1</t>
  </si>
  <si>
    <t xml:space="preserve">Recession - Relative, Dec 3, 2007 - Mar 9, 2009             </t>
  </si>
  <si>
    <t>Starting date for this scenario is the official beginning of the latest recession in the US. The end date is the lowest point of S&amp;P 500 in the recent decade. Shocks for DxS Factors are percentages of spread.</t>
  </si>
  <si>
    <t>REC_ABS</t>
  </si>
  <si>
    <t xml:space="preserve">Recession - Absolute, Dec 3, 2007 - Mar 9, 2009             </t>
  </si>
  <si>
    <t>Starting date for this scenario is the official beginning of the latest recession in the US. The end date is the lowest point of S&amp;P 500 in the recent decade. Shocks for DxS Factors are spreads.</t>
  </si>
  <si>
    <t>RQAST10</t>
  </si>
  <si>
    <t xml:space="preserve">USD Down                                                    </t>
  </si>
  <si>
    <t>US dollar index down 3 Sigma</t>
  </si>
  <si>
    <t>RQAST2</t>
  </si>
  <si>
    <t xml:space="preserve">Equity Up / Rates Up                                        </t>
  </si>
  <si>
    <t>Equity up 3 Sigma/Rates up 3 Sigma directionally</t>
  </si>
  <si>
    <t>RQAST3</t>
  </si>
  <si>
    <t xml:space="preserve">Equity Down / Rates Up                                      </t>
  </si>
  <si>
    <t>Equity down 3 Sigma/Rates up 3 Sigma directionally</t>
  </si>
  <si>
    <t>RQAST4</t>
  </si>
  <si>
    <t xml:space="preserve">Equity Down / Rates Down                                    </t>
  </si>
  <si>
    <t>Equity down 3 Sigma/Rates down 3 Sigma directionally</t>
  </si>
  <si>
    <t>RQAST5</t>
  </si>
  <si>
    <t xml:space="preserve">Growth Underperforms Value                                  </t>
  </si>
  <si>
    <t>Growth down 3 Sigma relative to Value</t>
  </si>
  <si>
    <t>RQAST6</t>
  </si>
  <si>
    <t xml:space="preserve">Emerging Markets Underperform Developed Markets             </t>
  </si>
  <si>
    <t>Emerging Markets down 3 Sigma relative to Developed Markets</t>
  </si>
  <si>
    <t>RQAST7</t>
  </si>
  <si>
    <t xml:space="preserve">2s10s Flattener                                             </t>
  </si>
  <si>
    <t>Treasury 10-year down 3 Sigma relative to treasury 2-year curve</t>
  </si>
  <si>
    <t>RQAST8</t>
  </si>
  <si>
    <t>Gold down 3 Sigma</t>
  </si>
  <si>
    <t>RQAST9</t>
  </si>
  <si>
    <t>Oil down 3 Sigma</t>
  </si>
  <si>
    <t>RUS_DESC</t>
  </si>
  <si>
    <t xml:space="preserve">Russia-Ukraine Conflict - Military De-escalation (05/2022)  </t>
  </si>
  <si>
    <t>Military De-escalation - Russia stands down as a political settlement is reached.</t>
  </si>
  <si>
    <t>RUS_ESC</t>
  </si>
  <si>
    <t xml:space="preserve">Russia-Ukraine Conflict - Russia-NATO Escalation(05/2022)   </t>
  </si>
  <si>
    <t>Russia-NATO Escalation - An intensifying conflict in Ukraine brings Russia and the West into direct conflict.</t>
  </si>
  <si>
    <t>RUS_PCONF</t>
  </si>
  <si>
    <t>Russia-Ukraine Protracted Conflict Trigger Stagflation(5/22)</t>
  </si>
  <si>
    <t>Prolonged Conflict Triggers Stagflation - Europe's economy suffers as the war in Ukraine enters a new, extended phase.</t>
  </si>
  <si>
    <t>S03_ABS</t>
  </si>
  <si>
    <t xml:space="preserve">Summer '03 - Absolute, Jun 13 - Jul 31, 2003                </t>
  </si>
  <si>
    <t>Treasury sell-off. Shocks for DxS Factors are spreads.</t>
  </si>
  <si>
    <t>SARS_03</t>
  </si>
  <si>
    <t xml:space="preserve">Coronavirus - 2003 SARS Outbreak (Historical)               </t>
  </si>
  <si>
    <t>A historical scenario capturing the APAC-driven sell-off from April 18-25, 2003, when China revealed there were many more SARS cases than first reported.</t>
  </si>
  <si>
    <t>SLOW_DF</t>
  </si>
  <si>
    <t xml:space="preserve">Slow Deflation                                              </t>
  </si>
  <si>
    <t>Oil price is kept unchanged. The 10yr inflation rate drops 200 bps. The 10yr nominal rate drops to historical lows while short-term nominal rates are held constant. Agency mortgage rate spreads tighten.</t>
  </si>
  <si>
    <t>STAG_1974</t>
  </si>
  <si>
    <t xml:space="preserve">Stagflation 1974                                            </t>
  </si>
  <si>
    <t>1974 Historical Stagflation Scenario. Policy variable shocks are based on actual factor returns in the year 1974. BFRE USAM equity factors are proxied by Fama French factors with volatility adjustment.</t>
  </si>
  <si>
    <t>SUMMER03</t>
  </si>
  <si>
    <t xml:space="preserve">Summer '03 - Relative, Jun 13 - Jul 31, 2003                </t>
  </si>
  <si>
    <t>Treasury sell-off. Shocks for DxS Factors are percentages of spread.</t>
  </si>
  <si>
    <t>TAX_COMP</t>
  </si>
  <si>
    <t xml:space="preserve">US Tax Reform - Tax Reform Compromise                       </t>
  </si>
  <si>
    <t>a dialed-down tax reform package is passed with moderate tax cuts but a larger budget deficit.</t>
  </si>
  <si>
    <t>TAX_FULL</t>
  </si>
  <si>
    <t xml:space="preserve">US Tax Reform - Trump Grand Tax Deal                        </t>
  </si>
  <si>
    <t>comprehensive tax-reform package is passed and post-election market exuberance regains its strength.</t>
  </si>
  <si>
    <t>TAX_NONE</t>
  </si>
  <si>
    <t xml:space="preserve">US Tax Reform - Tax Reform Derailed                         </t>
  </si>
  <si>
    <t>a failure to reach an agreement on tax reform leads to an unwind of the reflation trade.</t>
  </si>
  <si>
    <t>TECH_DOWN</t>
  </si>
  <si>
    <t xml:space="preserve">Tech Calamity - Bursting Bubbles                            </t>
  </si>
  <si>
    <t>North American new tech companies lead a sell-off in the broader tech sector due to negative investor sentiment</t>
  </si>
  <si>
    <t>UKRU_ANX</t>
  </si>
  <si>
    <t xml:space="preserve">Russia-Ukraine Tensions-Annexation of Donbass Region(2/22)  </t>
  </si>
  <si>
    <t>Annexation of Donbass Region: Russia annexes the areas of Donetsk and Luhansk but does not invade any further.</t>
  </si>
  <si>
    <t>UKRU_INV</t>
  </si>
  <si>
    <t xml:space="preserve">Russia-NATO conflict                                        </t>
  </si>
  <si>
    <t>Invasion of Ukraine: Russia-Ukraine tensions rise to the point where Russian troops invade Ukraine, going farther than the Donbass region.</t>
  </si>
  <si>
    <t>USCHNTECH</t>
  </si>
  <si>
    <t xml:space="preserve">Global Strategic Competition - Jousting for Tech Dominance  </t>
  </si>
  <si>
    <t>Jousting for Tech Dominance: In the competition for dominance in advanced technology, the US bans all exports of semiconductors to China citing national security concerns.</t>
  </si>
  <si>
    <t>USCN_TWE</t>
  </si>
  <si>
    <t xml:space="preserve">Global technology decoupling                                </t>
  </si>
  <si>
    <t>US-China relations come under unprecedented strain, exacerbated by the COVID-19 crisis and ongoing trade and technology disputes. The Phase One trade deal collapses, reigniting a full-blown trade war as both sides impose tariffs and non-tariff barriers.</t>
  </si>
  <si>
    <t>USCN_TWN</t>
  </si>
  <si>
    <t xml:space="preserve">U.S.-China strategic competition                            </t>
  </si>
  <si>
    <t>Worsening US-China relations and a perceived challenge to the status quo 'One China' principle trigger US-China military tensions in the Taiwan Strait.</t>
  </si>
  <si>
    <t>USDN_ABS</t>
  </si>
  <si>
    <t xml:space="preserve">US Downgrade '11 - Absolute, July 21 - Sept 20, 2011        </t>
  </si>
  <si>
    <t>The period starts with 50% chance US downgrade indication from S&amp;P Standards and ends with Operational Twist announcement by Fed. Stock market incurred losses while bonds markets saw gains due to flight to safety. Shocks for DxS Factors are spreads.</t>
  </si>
  <si>
    <t>USDOWN11</t>
  </si>
  <si>
    <t xml:space="preserve">US Downgrade '11 - Relative, July 21 - Sept 20, 2011        </t>
  </si>
  <si>
    <t>The period starts with 50% chance US downgrade indication from S&amp;P Standards and ends with Operational Twist announcement by Fed. Stock market incurred losses while bonds markets saw gains due to flight to safety. Shocks for DxS Factors are percentages of spread.</t>
  </si>
  <si>
    <t>USEUAUTOS</t>
  </si>
  <si>
    <t xml:space="preserve">Global Strategic Competition - US Auto Tariffs on EU        </t>
  </si>
  <si>
    <t>US Auto Tariffs on EU: In an effort to reduce the US trade deficit, the Trump administration imposes 25% tariffs on all autos and auto components imported from Europe.</t>
  </si>
  <si>
    <t>USGRN_ALL</t>
  </si>
  <si>
    <t xml:space="preserve">US Green Plan - All Green(03/2021)                          </t>
  </si>
  <si>
    <t>US Green Plan: The US administrations 'Build Back Better' agenda gathers popular momentum and bipartisan support, resulting in a green-oriented fiscal stimulus package.</t>
  </si>
  <si>
    <t>USGRN_COMP</t>
  </si>
  <si>
    <t xml:space="preserve">US Green Plan - Compromise(03/2021)                         </t>
  </si>
  <si>
    <t>US Green Plan: Compromise - An infrastructure-focused fiscal bill garners bipartisan support, but falls short of the initial green proposal.</t>
  </si>
  <si>
    <t>USGRN_GRID</t>
  </si>
  <si>
    <t xml:space="preserve">US Green Plan - Gridlock(03/2021)                           </t>
  </si>
  <si>
    <t>US Green Plan: Gridlock scenario - The US administration?s push to pass the 'Build Back Better' plan is stymied by political obstacles in the House and Senate.</t>
  </si>
  <si>
    <t>USTRFS</t>
  </si>
  <si>
    <t xml:space="preserve">Global trade protectionism                                  </t>
  </si>
  <si>
    <t>Tariffs increase dramatically on goods entering the U.S., negatively impacting the macro outlook.</t>
  </si>
  <si>
    <t>US_EUR</t>
  </si>
  <si>
    <t xml:space="preserve">US-Europe Decoupling Scenario                               </t>
  </si>
  <si>
    <t>The U.S. announces it will scale back its military presence in Europe, triggering uncertainty around European security.</t>
  </si>
  <si>
    <t>VAL_CONT</t>
  </si>
  <si>
    <t xml:space="preserve">Value Sustainability - Continued Outperformance             </t>
  </si>
  <si>
    <t>Wage growth and aggregate demand surprise on the upside and indicate that the US-led reflationary phase has further room to run</t>
  </si>
  <si>
    <t>VAL_DIFF</t>
  </si>
  <si>
    <t xml:space="preserve">Value Sustainability - European Underperformance            </t>
  </si>
  <si>
    <t>Political uncertainty driven by Brexit negotiations, upcoming elections, and the risk of political crisis in the periphery weigh on investors in Europe</t>
  </si>
  <si>
    <t>VAL_REV</t>
  </si>
  <si>
    <t xml:space="preserve">Value Sustainability - Reversal                             </t>
  </si>
  <si>
    <t>President Trump fails to deliver on the magnitude of infrastructure promises and tax cuts</t>
  </si>
  <si>
    <t>VOLREG</t>
  </si>
  <si>
    <t xml:space="preserve">Volatility Regimes - Regime Change in Vol                   </t>
  </si>
  <si>
    <t>Regime Change in Volatility: expectations for stagnant economic growth are resurrected, paired with recessionary fears in economically weaker regions.</t>
  </si>
  <si>
    <t>Alum Div Metals &amp; Mining</t>
  </si>
  <si>
    <t>MSCI World Utilities</t>
  </si>
  <si>
    <t>Energy Equipment &amp; Services</t>
  </si>
  <si>
    <t>US HY Independent Energy</t>
  </si>
  <si>
    <t>MSCI World xUS</t>
  </si>
  <si>
    <t>Integrated Oil &amp; Gas</t>
  </si>
  <si>
    <t>MSCI EUROPE(EUR)</t>
  </si>
  <si>
    <t>Food &amp; Staples Retailing</t>
  </si>
  <si>
    <t>US HY Pharmaceuticals</t>
  </si>
  <si>
    <t>Cons Dur &amp; Apparel x Homebuild</t>
  </si>
  <si>
    <t>Comp Peripherals &amp; Office Eq</t>
  </si>
  <si>
    <t>US HY Metals</t>
  </si>
  <si>
    <t>US HY Midstream &amp; Refining</t>
  </si>
  <si>
    <t>Pan Euro Energy HY</t>
  </si>
  <si>
    <t>Software &amp; Services</t>
  </si>
  <si>
    <t>US HY Wirelines</t>
  </si>
  <si>
    <t>US HY Auto</t>
  </si>
  <si>
    <t>US Maturity HY 5</t>
  </si>
  <si>
    <t>Distrib &amp; Speciality Retail</t>
  </si>
  <si>
    <t>MSCI China Index (USD)</t>
  </si>
  <si>
    <t>MS EAFE</t>
  </si>
  <si>
    <t>Metals &amp; Mining Ex Steel</t>
  </si>
  <si>
    <t>Paper &amp; Forest Products</t>
  </si>
  <si>
    <t>MXEU CONSUM DISC(EUR)</t>
  </si>
  <si>
    <t>Check</t>
  </si>
  <si>
    <t>Equity Implied Volatility</t>
  </si>
  <si>
    <t>Govt USD</t>
  </si>
  <si>
    <t>Alternative - Commodity</t>
  </si>
  <si>
    <t>Emerging Currency</t>
  </si>
  <si>
    <t>Govt Developed Other (AU, GB, JP, ...)</t>
  </si>
  <si>
    <t>Govt EUR (Ger)</t>
  </si>
  <si>
    <t>USD Inflation</t>
  </si>
  <si>
    <t>Other - Index</t>
  </si>
  <si>
    <t>Corporate IG Other - Other</t>
  </si>
  <si>
    <t>EUR</t>
  </si>
  <si>
    <t>GBP</t>
  </si>
  <si>
    <t>Corporate HY USD - Other</t>
  </si>
  <si>
    <t>Spread - Municipals</t>
  </si>
  <si>
    <t>Corporate IG USD - Other</t>
  </si>
  <si>
    <t>ABS - Swap Spread</t>
  </si>
  <si>
    <t>Mortgage</t>
  </si>
  <si>
    <t>Corporate HY USD - Industry</t>
  </si>
  <si>
    <t>Spread Emerging Markets - Country</t>
  </si>
  <si>
    <t>Emerging Markets</t>
  </si>
  <si>
    <t>Govt Emerging Markets</t>
  </si>
  <si>
    <t>Other - Spread Yield</t>
  </si>
  <si>
    <t>Spread Govt ITA</t>
  </si>
  <si>
    <t>Consumer Discretionary</t>
  </si>
  <si>
    <t>Developed Currency</t>
  </si>
  <si>
    <t>Corporate HY Other - Maturity</t>
  </si>
  <si>
    <t>Corporate HY EUR - Industry</t>
  </si>
  <si>
    <t>Corporate IG USD - Industry</t>
  </si>
  <si>
    <t>Local Styles</t>
  </si>
  <si>
    <t>Corporate HY USD - CDX</t>
  </si>
  <si>
    <t>Corporate IG EUR - Other</t>
  </si>
  <si>
    <t>EUR Inflation</t>
  </si>
  <si>
    <t>Spread Govt Peripheral EUR (ex ITA)</t>
  </si>
  <si>
    <t>Commodity</t>
  </si>
  <si>
    <t>Other - Inflation</t>
  </si>
  <si>
    <t>Corporate IG Other - Industry</t>
  </si>
  <si>
    <t>Money Market</t>
  </si>
  <si>
    <t>Corporate IG EUR - Industry</t>
  </si>
  <si>
    <t>Other - KRD</t>
  </si>
  <si>
    <t>Spread Govt Quasi-Core EUR</t>
  </si>
  <si>
    <t>Corporate IG USD - Market</t>
  </si>
  <si>
    <t>Rates Implied Volatility</t>
  </si>
  <si>
    <t>Health Care</t>
  </si>
  <si>
    <t>Information Technology</t>
  </si>
  <si>
    <t>Corporate HY EUR - Other</t>
  </si>
  <si>
    <t>Corporate IG Other - Maturity</t>
  </si>
  <si>
    <t>Alternative - Hedge Fund</t>
  </si>
  <si>
    <t>Agency / Supranational</t>
  </si>
  <si>
    <t>Real Estate</t>
  </si>
  <si>
    <t>Mortgage - Moneyness</t>
  </si>
  <si>
    <t>North America</t>
  </si>
  <si>
    <t>Consumer Staples</t>
  </si>
  <si>
    <t>Alternative - Index</t>
  </si>
  <si>
    <t>Corporate IG EUR - Country</t>
  </si>
  <si>
    <t>Corporate HY USD - Maturity</t>
  </si>
  <si>
    <t>MAPPING_DEF</t>
  </si>
  <si>
    <t>-76.00bps</t>
  </si>
  <si>
    <t>-129.00bps</t>
  </si>
  <si>
    <t>-164.00bps</t>
  </si>
  <si>
    <t>-169.00bps</t>
  </si>
  <si>
    <t>-162.00bps</t>
  </si>
  <si>
    <t>-139.00bps</t>
  </si>
  <si>
    <t>32.00pct</t>
  </si>
  <si>
    <t>-15.00pct</t>
  </si>
  <si>
    <t>-10.00pct</t>
  </si>
  <si>
    <t>-30.00pct</t>
  </si>
  <si>
    <t>-35.00pct</t>
  </si>
  <si>
    <t>-20.00bps</t>
  </si>
  <si>
    <t>-7.00pct</t>
  </si>
  <si>
    <t>-8.00pct</t>
  </si>
  <si>
    <t>-34.14bps</t>
  </si>
  <si>
    <t>-11.26bps</t>
  </si>
  <si>
    <t>-10.96bps</t>
  </si>
  <si>
    <t>-25.00bps</t>
  </si>
  <si>
    <t>-10.00bps</t>
  </si>
  <si>
    <t>-2.00pct</t>
  </si>
  <si>
    <t>-4.00pct</t>
  </si>
  <si>
    <t>-6.00pct</t>
  </si>
  <si>
    <t>-1.00pct</t>
  </si>
  <si>
    <t>-5.00pct</t>
  </si>
  <si>
    <t>-50.00bps</t>
  </si>
  <si>
    <t>-40.00bps</t>
  </si>
  <si>
    <t>-15.00bps</t>
  </si>
  <si>
    <t>-25.00pct</t>
  </si>
  <si>
    <t>-3.00pct</t>
  </si>
  <si>
    <t>-12.00pct</t>
  </si>
  <si>
    <t>-1.50pct</t>
  </si>
  <si>
    <t>-3.50pct</t>
  </si>
  <si>
    <t>-30.00bps</t>
  </si>
  <si>
    <t>-2.50pct</t>
  </si>
  <si>
    <t>-20.00pct</t>
  </si>
  <si>
    <t>200.00bps</t>
  </si>
  <si>
    <t>-60.00bps</t>
  </si>
  <si>
    <t>-12.50pct</t>
  </si>
  <si>
    <t>30.00bps</t>
  </si>
  <si>
    <t>-100.00bps</t>
  </si>
  <si>
    <t>75.00bps</t>
  </si>
  <si>
    <t>400.00bps</t>
  </si>
  <si>
    <t>80.00bps</t>
  </si>
  <si>
    <t>-35.00bps</t>
  </si>
  <si>
    <t>60.00bps</t>
  </si>
  <si>
    <t>3.00bps</t>
  </si>
  <si>
    <t>-0.50pct</t>
  </si>
  <si>
    <t>-70.00bps</t>
  </si>
  <si>
    <t>5.00bps</t>
  </si>
  <si>
    <t>0.00bps</t>
  </si>
  <si>
    <t>-200.00bps</t>
  </si>
  <si>
    <t>20.00pct</t>
  </si>
  <si>
    <t>6.50pct</t>
  </si>
  <si>
    <t>-16.00pct</t>
  </si>
  <si>
    <t>-6.50pct</t>
  </si>
  <si>
    <t>300.00bps</t>
  </si>
  <si>
    <t>500.00bps</t>
  </si>
  <si>
    <t>9.00pct</t>
  </si>
  <si>
    <t>50.00pct</t>
  </si>
  <si>
    <t>-130.00bps</t>
  </si>
  <si>
    <t>-30.00 bps</t>
  </si>
  <si>
    <t>-10.00 pct</t>
  </si>
  <si>
    <t>6.00 pct</t>
  </si>
  <si>
    <t>50.00 bps</t>
  </si>
  <si>
    <t>100.00 bps</t>
  </si>
  <si>
    <t>2.00 pct</t>
  </si>
  <si>
    <t>-3.50 pct</t>
  </si>
  <si>
    <t>3.00 pct</t>
  </si>
  <si>
    <t>-3.00 pct</t>
  </si>
  <si>
    <t>-8.00 pct</t>
  </si>
  <si>
    <t>21.00 days</t>
  </si>
  <si>
    <t>-4.00 pct</t>
  </si>
  <si>
    <t>-4.50 pct</t>
  </si>
  <si>
    <t>40.00 bps</t>
  </si>
  <si>
    <t>0.00 bps</t>
  </si>
  <si>
    <t>70.00 bps</t>
  </si>
  <si>
    <t>-15.00 pct</t>
  </si>
  <si>
    <t>-25.00 bps</t>
  </si>
  <si>
    <t>5.00 pct</t>
  </si>
  <si>
    <t>-6.00 pct</t>
  </si>
  <si>
    <t>-9.00 pct</t>
  </si>
  <si>
    <t>80.00 bps</t>
  </si>
  <si>
    <t>-20.00 bps</t>
  </si>
  <si>
    <t>1.00 pct</t>
  </si>
  <si>
    <t>-5.00 pct</t>
  </si>
  <si>
    <t>-80.00 bps</t>
  </si>
  <si>
    <t>10.00 bps</t>
  </si>
  <si>
    <t>-10.00 bps</t>
  </si>
  <si>
    <t>-40.00 bps</t>
  </si>
  <si>
    <t>-15.00 bps</t>
  </si>
  <si>
    <t>-5.00 bps</t>
  </si>
  <si>
    <t>-300.00 bps</t>
  </si>
  <si>
    <t>-800.00 bps</t>
  </si>
  <si>
    <t>-100.00 bps</t>
  </si>
  <si>
    <t>20.00 bps</t>
  </si>
  <si>
    <t>-2.50 pct</t>
  </si>
  <si>
    <t>30.00 bps</t>
  </si>
  <si>
    <t>-12.50 pct</t>
  </si>
  <si>
    <t>5.00 bps</t>
  </si>
  <si>
    <t>15.00 bps</t>
  </si>
  <si>
    <t>15.00 pct</t>
  </si>
  <si>
    <t>-7.00 pct</t>
  </si>
  <si>
    <t>10.00 pct</t>
  </si>
  <si>
    <t>60.00 bps</t>
  </si>
  <si>
    <t>-125.00 bps</t>
  </si>
  <si>
    <t>25.00 bps</t>
  </si>
  <si>
    <t>-35.00 pct</t>
  </si>
  <si>
    <t>250.00 bps</t>
  </si>
  <si>
    <t>-70.00 bps</t>
  </si>
  <si>
    <t>8.00 pct</t>
  </si>
  <si>
    <t>-2.00 pct</t>
  </si>
  <si>
    <t>-20.00 pct</t>
  </si>
  <si>
    <t>200.00 bps</t>
  </si>
  <si>
    <t>900.00 bps</t>
  </si>
  <si>
    <t>700.00 bps</t>
  </si>
  <si>
    <t>12.00 pct</t>
  </si>
  <si>
    <t>-30.00 pct</t>
  </si>
  <si>
    <t>16.00 bps</t>
  </si>
  <si>
    <t>4.00 pct</t>
  </si>
  <si>
    <t>20.00 pct</t>
  </si>
  <si>
    <t>7.00 pct</t>
  </si>
  <si>
    <t>45.00 bps</t>
  </si>
  <si>
    <t>-20bps</t>
  </si>
  <si>
    <t>62.00 bps</t>
  </si>
  <si>
    <t>9.00 pct</t>
  </si>
  <si>
    <t>30.00 days</t>
  </si>
  <si>
    <t>-35.00 bps</t>
  </si>
  <si>
    <t>-12.00 pct</t>
  </si>
  <si>
    <t>65.00 bps</t>
  </si>
  <si>
    <t>0.00 pct</t>
  </si>
  <si>
    <t>-1.00 pct</t>
  </si>
  <si>
    <t>75.00 bps</t>
  </si>
  <si>
    <t>1.50 pct</t>
  </si>
  <si>
    <t>28.00 bps</t>
  </si>
  <si>
    <t>90.00 bps</t>
  </si>
  <si>
    <t>35.00 pct</t>
  </si>
  <si>
    <t>22.00 pct</t>
  </si>
  <si>
    <t>-50.00 bps</t>
  </si>
  <si>
    <t>400.00 bps</t>
  </si>
  <si>
    <t>2.50 pct</t>
  </si>
  <si>
    <t>25.00 pct</t>
  </si>
  <si>
    <t>300.00 bps</t>
  </si>
  <si>
    <t>175.00 bps</t>
  </si>
  <si>
    <t>50 bps</t>
  </si>
  <si>
    <t>24.00 pct</t>
  </si>
  <si>
    <t>150.00 bps</t>
  </si>
  <si>
    <t>40.00 pct</t>
  </si>
  <si>
    <t>44.00 bps</t>
  </si>
  <si>
    <t>-14.00 pct</t>
  </si>
  <si>
    <t>-60.00 bps</t>
  </si>
  <si>
    <t>30.00 pct</t>
  </si>
  <si>
    <t>35.00 bps</t>
  </si>
  <si>
    <t>-7.50 pct</t>
  </si>
  <si>
    <t>-75.00 bps</t>
  </si>
  <si>
    <t>500.00 bps</t>
  </si>
  <si>
    <t>-23.00 pct</t>
  </si>
  <si>
    <t>-25.00 pct</t>
  </si>
  <si>
    <t>350.00 bps</t>
  </si>
  <si>
    <t>130.00 bps</t>
  </si>
  <si>
    <t>120.00 bps</t>
  </si>
  <si>
    <t>37.50 bps</t>
  </si>
  <si>
    <t>-12.00 bps</t>
  </si>
  <si>
    <t>55.00 bps</t>
  </si>
  <si>
    <t>-130.00 bps</t>
  </si>
  <si>
    <t>-8.00 bps</t>
  </si>
  <si>
    <t>-18.00 pct</t>
  </si>
  <si>
    <t>7.50 pct</t>
  </si>
  <si>
    <t>-120.00 bps</t>
  </si>
  <si>
    <t>100.00 pct</t>
  </si>
  <si>
    <t>-17.00 pct</t>
  </si>
  <si>
    <t>-28.00 pct</t>
  </si>
  <si>
    <t>16.50 pct</t>
  </si>
  <si>
    <t>-9.50 pct</t>
  </si>
  <si>
    <t>7.00 bps</t>
  </si>
  <si>
    <t>-65.00 bps</t>
  </si>
  <si>
    <t>85.00 bps</t>
  </si>
  <si>
    <t>26.5 rel %</t>
  </si>
  <si>
    <t>23.00 rel %</t>
  </si>
  <si>
    <t>12.00 bps</t>
  </si>
  <si>
    <t>106.00 bps</t>
  </si>
  <si>
    <t>-250.00 bps</t>
  </si>
  <si>
    <t>-1.50 pct</t>
  </si>
  <si>
    <t>50.00 pct</t>
  </si>
  <si>
    <t>60.00 pct</t>
  </si>
  <si>
    <t>8.50 pct</t>
  </si>
  <si>
    <t>8.00 bps</t>
  </si>
  <si>
    <t>-16.00 pct</t>
  </si>
  <si>
    <t>450.00 bps</t>
  </si>
  <si>
    <t>-60.00 pct</t>
  </si>
  <si>
    <t>115.00 bps</t>
  </si>
  <si>
    <t>32.00 pct</t>
  </si>
  <si>
    <t>-32.00 pct</t>
  </si>
  <si>
    <t>-115.00 bps</t>
  </si>
  <si>
    <t>-13.00 pct</t>
  </si>
  <si>
    <t>-19.00 pct</t>
  </si>
  <si>
    <t>-76.00 pct</t>
  </si>
  <si>
    <t>-55.00 pct</t>
  </si>
  <si>
    <t>130.00 pct</t>
  </si>
  <si>
    <t>53.00 pct</t>
  </si>
  <si>
    <t>165.00 bps</t>
  </si>
  <si>
    <t>-4335.00 bps</t>
  </si>
  <si>
    <t>23.00 bps</t>
  </si>
  <si>
    <t>498.00 bps</t>
  </si>
  <si>
    <t>539.00 bps</t>
  </si>
  <si>
    <t>-293.00 bps</t>
  </si>
  <si>
    <t>-106.00 bps</t>
  </si>
  <si>
    <t>90.00 pct</t>
  </si>
  <si>
    <t>-40.00 pct</t>
  </si>
  <si>
    <t>180.00 bps</t>
  </si>
  <si>
    <t>-3.00 bps</t>
  </si>
  <si>
    <t>-2.00 bps</t>
  </si>
  <si>
    <t>-0.25 pct</t>
  </si>
  <si>
    <t>-700.00 bps</t>
  </si>
  <si>
    <t>-3000.00 bps</t>
  </si>
  <si>
    <t>7.50 bps</t>
  </si>
  <si>
    <t>Stress_Scenarios</t>
  </si>
  <si>
    <t>code</t>
  </si>
  <si>
    <t>Short_des</t>
  </si>
  <si>
    <t>Long_des</t>
  </si>
  <si>
    <t>Factors2</t>
  </si>
  <si>
    <t>Factors1</t>
  </si>
  <si>
    <t>Factor_type</t>
  </si>
  <si>
    <t>Equity Derivatives</t>
  </si>
  <si>
    <t>Mapping 1 Livello</t>
  </si>
  <si>
    <t>Curve (Local)</t>
  </si>
  <si>
    <t>Industry Allocation</t>
  </si>
  <si>
    <t>Alternative</t>
  </si>
  <si>
    <t>Spread</t>
  </si>
  <si>
    <t>Inflation</t>
  </si>
  <si>
    <t>Other</t>
  </si>
  <si>
    <t>Spread Govt</t>
  </si>
  <si>
    <t>Country Allocation</t>
  </si>
  <si>
    <t>Style</t>
  </si>
  <si>
    <t>MAPPING_DEF_1 LIV</t>
  </si>
  <si>
    <t>Mapping 2 Livello</t>
  </si>
  <si>
    <t>Equity</t>
  </si>
  <si>
    <t>Term Structure</t>
  </si>
  <si>
    <t>Construction &amp; Engineering</t>
  </si>
  <si>
    <t>Dollar Index</t>
  </si>
  <si>
    <t>Mapping 2 livello</t>
  </si>
  <si>
    <t>Mapping 3 livello</t>
  </si>
  <si>
    <t>Communication Services</t>
  </si>
  <si>
    <t>Ind Mach Cong Trade Co &amp; Dist</t>
  </si>
  <si>
    <t/>
  </si>
  <si>
    <t>TITLE</t>
  </si>
  <si>
    <t>FACTOR_TAG</t>
  </si>
  <si>
    <t>tim</t>
  </si>
  <si>
    <t>S&amp;P 500 Materials</t>
  </si>
  <si>
    <t>S&amp;P 500 Utilities</t>
  </si>
  <si>
    <t>S&amp;P 500 Information Technology</t>
  </si>
  <si>
    <t>EUR/USD</t>
  </si>
  <si>
    <t>INR/USD</t>
  </si>
  <si>
    <t>JPY/USD</t>
  </si>
  <si>
    <t>PKR/USD</t>
  </si>
  <si>
    <t>Corporate HY USD -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</si>
</sst>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sz val="11"/>
      <color theme="1"/>
      <name val="Calibri"/>
      <family val="2"/>
      <scheme val="minor"/>
    </font>
    <font>
      <sz val="10"/>
      <color rgb="FF000000"/>
      <name val="Arial"/>
      <family val="2"/>
    </font>
    <font>
      <i/>
      <sz val="8"/>
      <color rgb="FF000000"/>
      <name val="Arial"/>
      <family val="2"/>
    </font>
    <font>
      <b/>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 fillId="0" borderId="0"/>
  </cellStyleXfs>
  <cellXfs count="26">
    <xf numFmtId="0" fontId="0" fillId="0" borderId="0" xfId="0"/>
    <xf numFmtId="0" fontId="1" fillId="0" borderId="1" xfId="0" applyFont="1" applyBorder="1" applyAlignment="1">
      <alignment horizontal="center" vertical="top"/>
    </xf>
    <xf numFmtId="0" fontId="0" fillId="0" borderId="0" xfId="0" pivotButton="1"/>
    <xf numFmtId="0" fontId="1" fillId="2" borderId="1" xfId="0" applyFont="1" applyFill="1" applyBorder="1" applyAlignment="1">
      <alignment horizontal="center" vertical="top"/>
    </xf>
    <xf numFmtId="0" fontId="3" fillId="0" borderId="1" xfId="0" applyFont="1" applyBorder="1"/>
    <xf numFmtId="1" fontId="3" fillId="0" borderId="1" xfId="0" applyNumberFormat="1" applyFont="1" applyBorder="1"/>
    <xf numFmtId="0" fontId="4" fillId="0" borderId="2" xfId="0" applyFont="1" applyBorder="1" applyAlignment="1">
      <alignment horizontal="left" vertical="center"/>
    </xf>
    <xf numFmtId="0" fontId="0" fillId="0" borderId="0" xfId="0" quotePrefix="1"/>
    <xf numFmtId="0" fontId="5" fillId="0" borderId="0" xfId="0" applyFont="1"/>
    <xf numFmtId="0" fontId="1" fillId="3" borderId="1" xfId="0" applyFont="1" applyFill="1" applyBorder="1" applyAlignment="1">
      <alignment horizontal="center" vertical="top"/>
    </xf>
    <xf numFmtId="0" fontId="5" fillId="3" borderId="3" xfId="0" applyFont="1" applyFill="1" applyBorder="1"/>
    <xf numFmtId="0" fontId="5" fillId="3" borderId="4" xfId="0" applyFont="1" applyFill="1" applyBorder="1"/>
    <xf numFmtId="0" fontId="5" fillId="3" borderId="5" xfId="0" applyFont="1" applyFill="1" applyBorder="1"/>
    <xf numFmtId="0" fontId="0" fillId="0" borderId="6" xfId="0" applyBorder="1"/>
    <xf numFmtId="0" fontId="0" fillId="0" borderId="0" xfId="0" applyBorder="1"/>
    <xf numFmtId="0" fontId="0" fillId="0" borderId="7" xfId="0" applyBorder="1"/>
    <xf numFmtId="0" fontId="0" fillId="0" borderId="8" xfId="0" applyBorder="1"/>
    <xf numFmtId="0" fontId="0" fillId="0" borderId="9" xfId="0" applyBorder="1"/>
    <xf numFmtId="0" fontId="0" fillId="0" borderId="10" xfId="0" applyBorder="1"/>
    <xf numFmtId="0" fontId="3" fillId="0" borderId="1" xfId="0" applyFont="1" applyFill="1" applyBorder="1"/>
    <xf numFmtId="1" fontId="3" fillId="0" borderId="1" xfId="0" applyNumberFormat="1" applyFont="1" applyFill="1" applyBorder="1"/>
    <xf numFmtId="0" fontId="4" fillId="0" borderId="2" xfId="0" applyFont="1" applyFill="1" applyBorder="1" applyAlignment="1">
      <alignment horizontal="left" vertical="center"/>
    </xf>
    <xf numFmtId="0" fontId="0" fillId="0" borderId="0" xfId="0" applyFill="1"/>
    <xf numFmtId="0" fontId="0" fillId="0" borderId="0" xfId="0" applyFont="1" applyFill="1"/>
    <xf numFmtId="0" fontId="0" fillId="0" borderId="0" xfId="0" applyFont="1"/>
    <xf numFmtId="1" fontId="3" fillId="4" borderId="1" xfId="0" applyNumberFormat="1" applyFont="1" applyFill="1" applyBorder="1"/>
  </cellXfs>
  <cellStyles count="2">
    <cellStyle name="Normal" xfId="0" builtinId="0"/>
    <cellStyle name="Normal 8" xfId="1" xr:uid="{5043EEF2-34FA-4738-9C43-DC01ADFE8E5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Y:\RM_Insurance\Aladdin%20-%20Risk\_GOLD%20COPY\Master%20Template\MASTER_Mapping%20Aladdin.xlsx" TargetMode="External"/><Relationship Id="rId1" Type="http://schemas.openxmlformats.org/officeDocument/2006/relationships/externalLinkPath" Target="/RM_Insurance/Aladdin%20-%20Risk/_GOLD%20COPY/Master%20Template/MASTER_Mapping%20Aladdi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xplore"/>
      <sheetName val="Sp-Spread Corporat (PDI DET)"/>
      <sheetName val="SP-Corporate (-Distress"/>
      <sheetName val="SP-Corporate IG USD"/>
      <sheetName val="SP-Corporate IG Other"/>
      <sheetName val="SP-Corporate HY USD"/>
      <sheetName val="SP-Corporate HY Other"/>
      <sheetName val="SP-Corporate HY EUR"/>
      <sheetName val="Sheet5"/>
      <sheetName val="Sp-Other"/>
      <sheetName val="Sp-Spread EM"/>
      <sheetName val="Sp-Spread Corporate "/>
      <sheetName val="Factsheet"/>
      <sheetName val="PDI"/>
      <sheetName val="Check"/>
      <sheetName val="Breakdown Explore_v1"/>
      <sheetName val="Factsheet_Conc"/>
      <sheetName val="Note da leggere"/>
      <sheetName val="Breakdown Explore"/>
      <sheetName val="Note"/>
      <sheetName val="Spread Em Country (PDI)"/>
      <sheetName val="Alternative PE BFRE"/>
      <sheetName val="Alternative PE Equity"/>
      <sheetName val="Sheet1"/>
      <sheetName val="Spread Fact - EXP e RC"/>
      <sheetName val="FI-Govt EUR (Ger) - PDI 1"/>
      <sheetName val="Other di PDI_"/>
      <sheetName val="Mapping Emergente"/>
      <sheetName val="PDI HUB ECAL"/>
      <sheetName val="Spread"/>
      <sheetName val="Nuovi Fattori dal 1 Mar 23"/>
    </sheetNames>
    <sheetDataSet>
      <sheetData sheetId="0">
        <row r="1">
          <cell r="A1" t="str">
            <v>FACTOR_TAG</v>
          </cell>
          <cell r="B1" t="str">
            <v>TITLE</v>
          </cell>
          <cell r="C1" t="str">
            <v>FACTOR_PATH</v>
          </cell>
          <cell r="D1" t="str">
            <v>EXPOSURE TYPE</v>
          </cell>
          <cell r="E1" t="str">
            <v>FACTOR_TYPE</v>
          </cell>
          <cell r="F1" t="str">
            <v>EC RISK PDI DETAILED</v>
          </cell>
          <cell r="G1" t="str">
            <v>EC RISK PDI SUMMARY</v>
          </cell>
          <cell r="H1" t="str">
            <v>EC RISK SUMMARY</v>
          </cell>
          <cell r="I1" t="str">
            <v>Factsheet</v>
          </cell>
        </row>
        <row r="2">
          <cell r="A2" t="str">
            <v>USD_LIQUID_IG</v>
          </cell>
          <cell r="B2" t="str">
            <v>US Liquidity IG</v>
          </cell>
          <cell r="C2" t="str">
            <v>BRS_GOLD__5_SPREADS:BRS_GOLD__4_CORP:BRS_GOLD__3_CSIG:CORP40_IG_US,USD_LIQUID_IG,USD_IG_LIQUID_SF,USD_IG_VLUE_SF,USD_IG_QUAL_SF,USD_IG_REV_SF,USD_IG_VOL_SF:CORP40_US_ATT_IG,USD_LIQUID_IG,USD_IG_LIQUID_SF,USD_IG_VLUE_SF,USD_IG_QUAL_SF,USD_IG_REV_SF,USD_IG_VOL_SF:USD_LIQUID_IG</v>
          </cell>
          <cell r="D2" t="str">
            <v>Duration times Spread</v>
          </cell>
          <cell r="E2" t="str">
            <v>OAS Liquidity Premium</v>
          </cell>
          <cell r="F2" t="str">
            <v>SP-Corporate IG USD</v>
          </cell>
          <cell r="G2" t="str">
            <v>SP-Spread Corporate</v>
          </cell>
          <cell r="H2" t="str">
            <v>SPREADS</v>
          </cell>
          <cell r="I2" t="str">
            <v>Corporate IG USD - Liquidity</v>
          </cell>
        </row>
        <row r="3">
          <cell r="A3" t="str">
            <v>USD_IG_LIQUID_SF</v>
          </cell>
          <cell r="B3" t="str">
            <v>US IG Liquidity</v>
          </cell>
          <cell r="C3" t="str">
            <v>BRS_GOLD__5_SPREADS:BRS_GOLD__4_CORP:BRS_GOLD__3_CSIG:CORP40_IG_US,USD_LIQUID_IG,USD_IG_LIQUID_SF,USD_IG_VLUE_SF,USD_IG_QUAL_SF,USD_IG_REV_SF,USD_IG_VOL_SF:CORP40_US_ATT_IG,USD_LIQUID_IG,USD_IG_LIQUID_SF,USD_IG_VLUE_SF,USD_IG_QUAL_SF,USD_IG_REV_SF,USD_IG_VOL_SF:USD_IG_LIQUID_SF</v>
          </cell>
          <cell r="D3" t="str">
            <v>Duration times Spread</v>
          </cell>
          <cell r="E3" t="str">
            <v>OAS Liquidity Premium</v>
          </cell>
          <cell r="F3" t="str">
            <v>SP-Corporate IG USD</v>
          </cell>
          <cell r="G3" t="str">
            <v>SP-Spread Corporate</v>
          </cell>
          <cell r="H3" t="str">
            <v>SPREADS</v>
          </cell>
          <cell r="I3" t="str">
            <v>Corporate IG USD - Liquidity</v>
          </cell>
        </row>
        <row r="4">
          <cell r="A4" t="str">
            <v>EUR_CORP_LQ_IG</v>
          </cell>
          <cell r="B4" t="str">
            <v>EU Corp Liquidity IG</v>
          </cell>
          <cell r="C4" t="str">
            <v>BRS_GOLD__5_SPREADS:BRS_GOLD__4_CORP:BRS_GOLD__3_CSIG:CORP40_IG_EU:CORP40_IG_EU_ATT_V3:EUR_CORP_LQ_IG</v>
          </cell>
          <cell r="D4" t="str">
            <v>Duration times Spread</v>
          </cell>
          <cell r="E4" t="str">
            <v>OAS Liquidity Premium</v>
          </cell>
          <cell r="F4" t="str">
            <v>SP-Corporate IG EUR</v>
          </cell>
          <cell r="G4" t="str">
            <v>SP-Spread Corporate</v>
          </cell>
          <cell r="H4" t="str">
            <v>SPREADS</v>
          </cell>
          <cell r="I4" t="str">
            <v>Corporate IG EUR - Liquidity</v>
          </cell>
        </row>
        <row r="5">
          <cell r="A5" t="str">
            <v>EUR_CORP_LQ_IG_SF</v>
          </cell>
          <cell r="B5" t="str">
            <v>EU Corp Liquidity IG</v>
          </cell>
          <cell r="C5" t="str">
            <v>BRS_GOLD__5_SPREADS:BRS_GOLD__4_CORP:BRS_GOLD__3_CSIG:CORP40_IG_EU:CORP40_IG_EU_ATT_V3:EUR_CORP_LQ_IG_SF</v>
          </cell>
          <cell r="D5" t="str">
            <v>Duration times Spread</v>
          </cell>
          <cell r="E5" t="str">
            <v>OAS Liquidity Premium</v>
          </cell>
          <cell r="F5" t="str">
            <v>SP-Corporate IG EUR</v>
          </cell>
          <cell r="G5" t="str">
            <v>SP-Spread Corporate</v>
          </cell>
          <cell r="H5" t="str">
            <v>SPREADS</v>
          </cell>
          <cell r="I5" t="str">
            <v>Corporate IG EUR - Liquidity</v>
          </cell>
        </row>
        <row r="6">
          <cell r="A6" t="str">
            <v>GBP_CORP_LQ_IG</v>
          </cell>
          <cell r="B6" t="str">
            <v>UK Corp Liquidity IG</v>
          </cell>
          <cell r="C6" t="str">
            <v>BRS_GOLD__5_SPREADS:BRS_GOLD__4_CORP:BRS_GOLD__3_CSIG:CORP40_IG_UK:CORP40_IG_UK_ATT_V3:GBP_CORP_LQ_IG</v>
          </cell>
          <cell r="D6" t="str">
            <v>Duration times Spread</v>
          </cell>
          <cell r="E6" t="str">
            <v>OAS Liquidity Premium</v>
          </cell>
          <cell r="F6" t="str">
            <v>SP-Corporate IG Other</v>
          </cell>
          <cell r="G6" t="str">
            <v>SP-Spread Corporate</v>
          </cell>
          <cell r="H6" t="str">
            <v>SPREADS</v>
          </cell>
          <cell r="I6" t="str">
            <v>Corporate IG Other - Liquidity</v>
          </cell>
        </row>
        <row r="7">
          <cell r="A7" t="str">
            <v>USD_LIQUID_HY</v>
          </cell>
          <cell r="B7" t="str">
            <v>US Liquidity HY</v>
          </cell>
          <cell r="C7" t="str">
            <v>BRS_GOLD__5_SPREADS:BRS_GOLD__4_CORP:BRS_GOLD__3_CSHY:CORP40_HY_US,USD_LIQUID_HY:CORP40_US_ATT_HY,USD_LIQUID_HY:USD_LIQUID_HY</v>
          </cell>
          <cell r="D7" t="str">
            <v>Duration times Spread</v>
          </cell>
          <cell r="E7" t="str">
            <v>OAS Liquidity Premium</v>
          </cell>
          <cell r="F7" t="str">
            <v>SP-Corporate HY USD</v>
          </cell>
          <cell r="G7" t="str">
            <v>SP-Spread Corporate</v>
          </cell>
          <cell r="H7" t="str">
            <v>SPREADS</v>
          </cell>
          <cell r="I7" t="str">
            <v>Corporate HY USD - Liquidity</v>
          </cell>
        </row>
        <row r="8">
          <cell r="A8" t="str">
            <v>USD_HY_LIQUID</v>
          </cell>
          <cell r="B8" t="str">
            <v>US HY Liquidity</v>
          </cell>
          <cell r="C8" t="str">
            <v>BRS_GOLD__5_SPREADS:BRS_GOLD__4_CORP:BRS_GOLD__3_CSHY:CORP50_HY_US,USD_HY_LIQUID,USD_HY_LIQUID_SF,USD_HY_VLUE_SF,USD_HY_QUAL_SF,USD_HY_REV_SF,USD_HY_MOM_SF,USD_HY_VOL_SF:CORP50_US_ATT_HY,USD_HY_LIQUID,USD_HY_LIQUID_SF,USD_HY_VLUE_SF,USD_HY_QUAL_SF,USD_HY_REV_SF,USD_HY_MOM_SF,USD_HY_VOL_SF:USD_HY_LIQUID</v>
          </cell>
          <cell r="D8" t="str">
            <v>Duration times Spread</v>
          </cell>
          <cell r="E8" t="str">
            <v>OAS Liquidity Premium</v>
          </cell>
          <cell r="F8" t="str">
            <v>SP-Corporate HY USD</v>
          </cell>
          <cell r="G8" t="str">
            <v>SP-Spread Corporate</v>
          </cell>
          <cell r="H8" t="str">
            <v>SPREADS</v>
          </cell>
          <cell r="I8" t="str">
            <v>Corporate HY USD - Liquidity</v>
          </cell>
        </row>
        <row r="9">
          <cell r="A9" t="str">
            <v>USD_HY_LIQUID_SF</v>
          </cell>
          <cell r="B9" t="str">
            <v>US HY Liquidity</v>
          </cell>
          <cell r="C9" t="str">
            <v>BRS_GOLD__5_SPREADS:BRS_GOLD__4_CORP:BRS_GOLD__3_CSHY:CORP50_HY_US,USD_HY_LIQUID,USD_HY_LIQUID_SF,USD_HY_VLUE_SF,USD_HY_QUAL_SF,USD_HY_REV_SF,USD_HY_MOM_SF,USD_HY_VOL_SF:CORP50_US_ATT_HY,USD_HY_LIQUID,USD_HY_LIQUID_SF,USD_HY_VLUE_SF,USD_HY_QUAL_SF,USD_HY_REV_SF,USD_HY_MOM_SF,USD_HY_VOL_SF:USD_HY_LIQUID_SF</v>
          </cell>
          <cell r="D9" t="str">
            <v>Duration times Spread</v>
          </cell>
          <cell r="E9" t="str">
            <v>OAS Liquidity Premium</v>
          </cell>
          <cell r="F9" t="str">
            <v>SP-Corporate HY USD</v>
          </cell>
          <cell r="G9" t="str">
            <v>SP-Spread Corporate</v>
          </cell>
          <cell r="H9" t="str">
            <v>SPREADS</v>
          </cell>
          <cell r="I9" t="str">
            <v>Corporate HY USD - Liquidity</v>
          </cell>
        </row>
        <row r="10">
          <cell r="A10" t="str">
            <v>EUR_CORP_LQ_HY</v>
          </cell>
          <cell r="B10" t="str">
            <v>Pan Euro Liquidity HY</v>
          </cell>
          <cell r="C10" t="str">
            <v>BRS_GOLD__5_SPREADS:BRS_GOLD__4_CORP:BRS_GOLD__3_CSHY:CORP40_HY_EU:CORP40_HY_EU_ATT_V3:EUR_CORP_LQ_HY</v>
          </cell>
          <cell r="D10" t="str">
            <v>Duration times Spread</v>
          </cell>
          <cell r="E10" t="str">
            <v>OAS Liquidity Premium</v>
          </cell>
          <cell r="F10" t="str">
            <v>SP-Corporate HY EUR</v>
          </cell>
          <cell r="G10" t="str">
            <v>SP-Spread Corporate</v>
          </cell>
          <cell r="H10" t="str">
            <v>SPREADS</v>
          </cell>
          <cell r="I10" t="str">
            <v>Corporate HY EUR - Liquidity</v>
          </cell>
        </row>
        <row r="11">
          <cell r="A11" t="str">
            <v>EUR_CORP_LQ_HY_SF</v>
          </cell>
          <cell r="B11" t="str">
            <v>Pan Euro Liquidity HY</v>
          </cell>
          <cell r="C11" t="str">
            <v>BRS_GOLD__5_SPREADS:BRS_GOLD__4_CORP:BRS_GOLD__3_CSHY:CORP40_HY_EU:CORP40_HY_EU_ATT_V3:EUR_CORP_LQ_HY_SF</v>
          </cell>
          <cell r="D11" t="str">
            <v>Duration times Spread</v>
          </cell>
          <cell r="E11" t="str">
            <v>OAS Liquidity Premium</v>
          </cell>
          <cell r="F11" t="str">
            <v>SP-Corporate HY EUR</v>
          </cell>
          <cell r="G11" t="str">
            <v>SP-Spread Corporate</v>
          </cell>
          <cell r="H11" t="str">
            <v>SPREADS</v>
          </cell>
          <cell r="I11" t="str">
            <v>Corporate HY EUR - Liquidity</v>
          </cell>
        </row>
        <row r="12">
          <cell r="A12" t="str">
            <v>USD_HK_FIN_HY</v>
          </cell>
          <cell r="B12" t="str">
            <v>Hong Kong Fin HY</v>
          </cell>
          <cell r="C12" t="str">
            <v>BRS_GOLD__5_SPREADS:USD_EM_DS,EM_IDIO,US_CDX_EM,EM_CORP_EE,EM_CORP_MIDAF,EM_CORP_SA:EM_CORP-NUSD_EM,EM_CORP_EE,EM_CORP_MIDAF,EM_CORP_SA:EM_ASIA-NUSD_EM:EM_ASIA_HK-NUSD_EM:USD_HK_FIN_HY</v>
          </cell>
          <cell r="D12" t="str">
            <v>Spread Duration</v>
          </cell>
          <cell r="E12" t="str">
            <v>Spread Yield (DxS)</v>
          </cell>
          <cell r="F12" t="str">
            <v>SP-Corporate HY USD</v>
          </cell>
          <cell r="G12" t="str">
            <v>SP-Spread Corporate</v>
          </cell>
          <cell r="H12" t="str">
            <v>SPREADS</v>
          </cell>
          <cell r="I12" t="str">
            <v>Corporate HY USD - Industry</v>
          </cell>
        </row>
        <row r="13">
          <cell r="A13" t="str">
            <v>USD_HK_IND_HY</v>
          </cell>
          <cell r="B13" t="str">
            <v>Hong Kong Ind HY</v>
          </cell>
          <cell r="C13" t="str">
            <v>BRS_GOLD__5_SPREADS:USD_EM_DS,EM_IDIO,US_CDX_EM,EM_CORP_EE,EM_CORP_MIDAF,EM_CORP_SA:EM_CORP-NUSD_EM,EM_CORP_EE,EM_CORP_MIDAF,EM_CORP_SA:EM_ASIA-NUSD_EM:EM_ASIA_HK-NUSD_EM:USD_HK_IND_HY</v>
          </cell>
          <cell r="D13" t="str">
            <v>Spread Duration</v>
          </cell>
          <cell r="E13" t="str">
            <v>Spread Yield (DxS)</v>
          </cell>
          <cell r="F13" t="str">
            <v>SP-Corporate HY USD</v>
          </cell>
          <cell r="G13" t="str">
            <v>SP-Spread Corporate</v>
          </cell>
          <cell r="H13" t="str">
            <v>SPREADS</v>
          </cell>
          <cell r="I13" t="str">
            <v>Corporate HY USD - Industry</v>
          </cell>
        </row>
        <row r="14">
          <cell r="A14" t="str">
            <v>USD_SG_CORP_HY</v>
          </cell>
          <cell r="B14" t="str">
            <v>Singapore Corp HY</v>
          </cell>
          <cell r="C14" t="str">
            <v>BRS_GOLD__5_SPREADS:USD_EM_DS,EM_IDIO,US_CDX_EM,EM_CORP_EE,EM_CORP_MIDAF,EM_CORP_SA:EM_CORP-NUSD_EM,EM_CORP_EE,EM_CORP_MIDAF,EM_CORP_SA:EM_ASIA-NUSD_EM:EM_ASIA_SG-NUSD_EM:USD_SG_CORP_HY</v>
          </cell>
          <cell r="D14" t="str">
            <v>Spread Duration</v>
          </cell>
          <cell r="E14" t="str">
            <v>Spread Yield (DxS)</v>
          </cell>
          <cell r="F14" t="str">
            <v>SP-Corporate HY USD</v>
          </cell>
          <cell r="G14" t="str">
            <v>SP-Spread Corporate</v>
          </cell>
          <cell r="H14" t="str">
            <v>SPREADS</v>
          </cell>
          <cell r="I14" t="str">
            <v>Corporate HY USD - Industry</v>
          </cell>
        </row>
        <row r="15">
          <cell r="A15" t="str">
            <v>EUR_CORP_HY_5YN</v>
          </cell>
          <cell r="B15" t="str">
            <v>ITRAXX.XO.5</v>
          </cell>
          <cell r="C15" t="str">
            <v>BRS_GOLD__5_SPREADS:BRS_GOLD__4_CORP:BRS_GOLD__3_CSHY:CDX_HY:EUR_CORP_HY_5YN</v>
          </cell>
          <cell r="D15" t="str">
            <v>Spread Duration</v>
          </cell>
          <cell r="E15" t="str">
            <v>Spread Yield (DxS)</v>
          </cell>
          <cell r="F15" t="str">
            <v>SP-Corporate HY EUR</v>
          </cell>
          <cell r="G15" t="str">
            <v>SP-Spread Corporate</v>
          </cell>
          <cell r="H15" t="str">
            <v>SPREADS</v>
          </cell>
          <cell r="I15" t="str">
            <v>Corporate HY EUR - iTraxx</v>
          </cell>
        </row>
        <row r="16">
          <cell r="A16" t="str">
            <v>EUR_CORP_HY_10YN</v>
          </cell>
          <cell r="B16" t="str">
            <v>ITRAXX.XO.10</v>
          </cell>
          <cell r="C16" t="str">
            <v>BRS_GOLD__5_SPREADS:BRS_GOLD__4_CORP:BRS_GOLD__3_CSHY:CDX_HY:EUR_CORP_HY_10YN</v>
          </cell>
          <cell r="D16" t="str">
            <v>Spread Duration</v>
          </cell>
          <cell r="E16" t="str">
            <v>Spread Yield (DxS)</v>
          </cell>
          <cell r="F16" t="str">
            <v>SP-Corporate HY EUR</v>
          </cell>
          <cell r="G16" t="str">
            <v>SP-Spread Corporate</v>
          </cell>
          <cell r="H16" t="str">
            <v>SPREADS</v>
          </cell>
          <cell r="I16" t="str">
            <v>Corporate HY EUR - iTraxx</v>
          </cell>
        </row>
        <row r="17">
          <cell r="A17" t="str">
            <v>USD_CORP_HY_5YN</v>
          </cell>
          <cell r="B17" t="str">
            <v>CDX.NA.HY.5</v>
          </cell>
          <cell r="C17" t="str">
            <v>BRS_GOLD__5_SPREADS:BRS_GOLD__4_CORP:BRS_GOLD__3_CSHY:CDX_HY:USD_CORP_HY_5YN</v>
          </cell>
          <cell r="D17" t="str">
            <v>Spread Duration</v>
          </cell>
          <cell r="E17" t="str">
            <v>Spread Yield (DxS)</v>
          </cell>
          <cell r="F17" t="str">
            <v>SP-Corporate HY USD</v>
          </cell>
          <cell r="G17" t="str">
            <v>SP-Spread Corporate</v>
          </cell>
          <cell r="H17" t="str">
            <v>SPREADS</v>
          </cell>
          <cell r="I17" t="str">
            <v>Corporate HY USD - CDX</v>
          </cell>
        </row>
        <row r="18">
          <cell r="A18" t="str">
            <v>USD_CORP_HY_10YN</v>
          </cell>
          <cell r="B18" t="str">
            <v>CDX.NA.HY.10</v>
          </cell>
          <cell r="C18" t="str">
            <v>BRS_GOLD__5_SPREADS:BRS_GOLD__4_CORP:BRS_GOLD__3_CSHY:CDX_HY:USD_CORP_HY_10YN</v>
          </cell>
          <cell r="D18" t="str">
            <v>Spread Duration</v>
          </cell>
          <cell r="E18" t="str">
            <v>Spread Yield (DxS)</v>
          </cell>
          <cell r="F18" t="str">
            <v>SP-Corporate HY USD</v>
          </cell>
          <cell r="G18" t="str">
            <v>SP-Spread Corporate</v>
          </cell>
          <cell r="H18" t="str">
            <v>SPREADS</v>
          </cell>
          <cell r="I18" t="str">
            <v>Corporate HY USD - CDX</v>
          </cell>
        </row>
        <row r="19">
          <cell r="A19" t="str">
            <v>CDX_NA_HY</v>
          </cell>
          <cell r="B19" t="str">
            <v>CDX.NA.HY.5</v>
          </cell>
          <cell r="C19" t="str">
            <v>BRS_GOLD__5_SPREADS:BRS_GOLD__4_CORP:BRS_GOLD__3_CSHY:CDX_HY:CDX_NA_HY</v>
          </cell>
          <cell r="D19" t="str">
            <v>Spread Duration</v>
          </cell>
          <cell r="E19" t="str">
            <v>Spread Yield</v>
          </cell>
          <cell r="F19" t="str">
            <v>SP-Corporate HY Other</v>
          </cell>
          <cell r="G19" t="str">
            <v>SP-Spread Corporate</v>
          </cell>
          <cell r="H19" t="str">
            <v>SPREADS</v>
          </cell>
          <cell r="I19" t="str">
            <v>Corporate HY Other - CDX</v>
          </cell>
        </row>
        <row r="20">
          <cell r="A20" t="str">
            <v>ITRAXX_HVOL</v>
          </cell>
          <cell r="B20" t="str">
            <v>ITRAXX.HVOL.5</v>
          </cell>
          <cell r="C20" t="str">
            <v>BRS_GOLD__5_SPREADS:BRS_GOLD__4_CORP:BRS_GOLD__3_CSHY:CDX_HY:ITRAXX_HVOL</v>
          </cell>
          <cell r="D20" t="str">
            <v>Spread Duration</v>
          </cell>
          <cell r="E20" t="str">
            <v>Spread Yield</v>
          </cell>
          <cell r="F20" t="str">
            <v>SP-Corporate HY Other</v>
          </cell>
          <cell r="G20" t="str">
            <v>SP-Spread Corporate</v>
          </cell>
          <cell r="H20" t="str">
            <v>SPREADS</v>
          </cell>
          <cell r="I20" t="str">
            <v>Corporate HY Other - iTraxx</v>
          </cell>
        </row>
        <row r="21">
          <cell r="A21" t="str">
            <v>USD_DJHY_5Y</v>
          </cell>
          <cell r="B21" t="str">
            <v>CDX.NA.HY.5</v>
          </cell>
          <cell r="C21" t="str">
            <v>BRS_GOLD__5_SPREADS:BRS_GOLD__4_CORP:BRS_GOLD__3_CSHY:CDX_HY:USD_DJHY_5Y</v>
          </cell>
          <cell r="D21" t="str">
            <v>Spread Duration</v>
          </cell>
          <cell r="E21" t="str">
            <v>Spread Yield (DxS)</v>
          </cell>
          <cell r="F21" t="str">
            <v>SP-Corporate HY USD</v>
          </cell>
          <cell r="G21" t="str">
            <v>SP-Spread Corporate</v>
          </cell>
          <cell r="H21" t="str">
            <v>SPREADS</v>
          </cell>
          <cell r="I21" t="str">
            <v>Corporate HY USD - CDX</v>
          </cell>
        </row>
        <row r="22">
          <cell r="A22" t="str">
            <v>USD_DJHY_10Y</v>
          </cell>
          <cell r="B22" t="str">
            <v>CDX.NA.HY.10</v>
          </cell>
          <cell r="C22" t="str">
            <v>BRS_GOLD__5_SPREADS:BRS_GOLD__4_CORP:BRS_GOLD__3_CSHY:CDX_HY:USD_DJHY_10Y</v>
          </cell>
          <cell r="D22" t="str">
            <v>Spread Duration</v>
          </cell>
          <cell r="E22" t="str">
            <v>Spread Yield (DxS)</v>
          </cell>
          <cell r="F22" t="str">
            <v>SP-Corporate HY USD</v>
          </cell>
          <cell r="G22" t="str">
            <v>SP-Spread Corporate</v>
          </cell>
          <cell r="H22" t="str">
            <v>SPREADS</v>
          </cell>
          <cell r="I22" t="str">
            <v>Corporate HY USD - CDX</v>
          </cell>
        </row>
        <row r="23">
          <cell r="A23" t="str">
            <v>USD_DJB0_5Y</v>
          </cell>
          <cell r="B23" t="str">
            <v>CDX.NA.HY.B.5</v>
          </cell>
          <cell r="C23" t="str">
            <v>BRS_GOLD__5_SPREADS:BRS_GOLD__4_CORP:BRS_GOLD__3_CSHY:CDX_HY:USD_DJB0_5Y</v>
          </cell>
          <cell r="D23" t="str">
            <v>Spread Duration</v>
          </cell>
          <cell r="E23" t="str">
            <v>Spread Yield (DxS)</v>
          </cell>
          <cell r="F23" t="str">
            <v>SP-Corporate HY USD</v>
          </cell>
          <cell r="G23" t="str">
            <v>SP-Spread Corporate</v>
          </cell>
          <cell r="H23" t="str">
            <v>SPREADS</v>
          </cell>
          <cell r="I23" t="str">
            <v>Corporate HY USD - CDX</v>
          </cell>
        </row>
        <row r="24">
          <cell r="A24" t="str">
            <v>USD_DJB0_10Y</v>
          </cell>
          <cell r="B24" t="str">
            <v>CDX.NA.HY.B.10</v>
          </cell>
          <cell r="C24" t="str">
            <v>BRS_GOLD__5_SPREADS:BRS_GOLD__4_CORP:BRS_GOLD__3_CSHY:CDX_HY:USD_DJB0_10Y</v>
          </cell>
          <cell r="D24" t="str">
            <v>Spread Duration</v>
          </cell>
          <cell r="E24" t="str">
            <v>Spread Yield (DxS)</v>
          </cell>
          <cell r="F24" t="str">
            <v>SP-Corporate HY USD</v>
          </cell>
          <cell r="G24" t="str">
            <v>SP-Spread Corporate</v>
          </cell>
          <cell r="H24" t="str">
            <v>SPREADS</v>
          </cell>
          <cell r="I24" t="str">
            <v>Corporate HY USD - CDX</v>
          </cell>
        </row>
        <row r="25">
          <cell r="A25" t="str">
            <v>USD_DJBB_5Y</v>
          </cell>
          <cell r="B25" t="str">
            <v>CDX.NA.HY.BB.5</v>
          </cell>
          <cell r="C25" t="str">
            <v>BRS_GOLD__5_SPREADS:BRS_GOLD__4_CORP:BRS_GOLD__3_CSHY:CDX_HY:USD_DJBB_5Y</v>
          </cell>
          <cell r="D25" t="str">
            <v>Spread Duration</v>
          </cell>
          <cell r="E25" t="str">
            <v>Spread Yield (DxS)</v>
          </cell>
          <cell r="F25" t="str">
            <v>SP-Corporate HY USD</v>
          </cell>
          <cell r="G25" t="str">
            <v>SP-Spread Corporate</v>
          </cell>
          <cell r="H25" t="str">
            <v>SPREADS</v>
          </cell>
          <cell r="I25" t="str">
            <v>Corporate HY USD - CDX</v>
          </cell>
        </row>
        <row r="26">
          <cell r="A26" t="str">
            <v>USD_DJBB_10Y</v>
          </cell>
          <cell r="B26" t="str">
            <v>CDX.NA.HY.BB.10</v>
          </cell>
          <cell r="C26" t="str">
            <v>BRS_GOLD__5_SPREADS:BRS_GOLD__4_CORP:BRS_GOLD__3_CSHY:CDX_HY:USD_DJBB_10Y</v>
          </cell>
          <cell r="D26" t="str">
            <v>Spread Duration</v>
          </cell>
          <cell r="E26" t="str">
            <v>Spread Yield (DxS)</v>
          </cell>
          <cell r="F26" t="str">
            <v>SP-Corporate HY USD</v>
          </cell>
          <cell r="G26" t="str">
            <v>SP-Spread Corporate</v>
          </cell>
          <cell r="H26" t="str">
            <v>SPREADS</v>
          </cell>
          <cell r="I26" t="str">
            <v>Corporate HY USD - CDX</v>
          </cell>
        </row>
        <row r="27">
          <cell r="A27" t="str">
            <v>USD_DJHB_5Y</v>
          </cell>
          <cell r="B27" t="str">
            <v>CDX.NA.HY.HB.5</v>
          </cell>
          <cell r="C27" t="str">
            <v>BRS_GOLD__5_SPREADS:BRS_GOLD__4_CORP:BRS_GOLD__3_CSHY:CDX_HY:USD_DJHB_5Y</v>
          </cell>
          <cell r="D27" t="str">
            <v>Spread Duration</v>
          </cell>
          <cell r="E27" t="str">
            <v>Spread Yield (DxS)</v>
          </cell>
          <cell r="F27" t="str">
            <v>SP-Corporate HY USD</v>
          </cell>
          <cell r="G27" t="str">
            <v>SP-Spread Corporate</v>
          </cell>
          <cell r="H27" t="str">
            <v>SPREADS</v>
          </cell>
          <cell r="I27" t="str">
            <v>Corporate HY USD - CDX</v>
          </cell>
        </row>
        <row r="28">
          <cell r="A28" t="str">
            <v>USD_DJHB_10Y</v>
          </cell>
          <cell r="B28" t="str">
            <v>CDX.NA.HY.HB.10</v>
          </cell>
          <cell r="C28" t="str">
            <v>BRS_GOLD__5_SPREADS:BRS_GOLD__4_CORP:BRS_GOLD__3_CSHY:CDX_HY:USD_DJHB_10Y</v>
          </cell>
          <cell r="D28" t="str">
            <v>Spread Duration</v>
          </cell>
          <cell r="E28" t="str">
            <v>Spread Yield (DxS)</v>
          </cell>
          <cell r="F28" t="str">
            <v>SP-Corporate HY USD</v>
          </cell>
          <cell r="G28" t="str">
            <v>SP-Spread Corporate</v>
          </cell>
          <cell r="H28" t="str">
            <v>SPREADS</v>
          </cell>
          <cell r="I28" t="str">
            <v>Corporate HY USD - CDX</v>
          </cell>
        </row>
        <row r="29">
          <cell r="A29" t="str">
            <v>USD_DJXO_10Y</v>
          </cell>
          <cell r="B29" t="str">
            <v>CDX.NA.XO.10</v>
          </cell>
          <cell r="C29" t="str">
            <v>BRS_GOLD__5_SPREADS:BRS_GOLD__4_CORP:BRS_GOLD__3_CSHY:CDX_HY:USD_DJXO_10Y</v>
          </cell>
          <cell r="D29" t="str">
            <v>Spread Duration</v>
          </cell>
          <cell r="E29" t="str">
            <v>Spread Yield (DxS)</v>
          </cell>
          <cell r="F29" t="str">
            <v>SP-Corporate HY USD</v>
          </cell>
          <cell r="G29" t="str">
            <v>SP-Spread Corporate</v>
          </cell>
          <cell r="H29" t="str">
            <v>SPREADS</v>
          </cell>
          <cell r="I29" t="str">
            <v>Corporate HY USD - CDX</v>
          </cell>
        </row>
        <row r="30">
          <cell r="A30" t="str">
            <v>EUR_ITXO_5Y</v>
          </cell>
          <cell r="B30" t="str">
            <v>ITRAXX.XO.5</v>
          </cell>
          <cell r="C30" t="str">
            <v>BRS_GOLD__5_SPREADS:BRS_GOLD__4_CORP:BRS_GOLD__3_CSHY:CDX_HY:EUR_ITXO_5Y</v>
          </cell>
          <cell r="D30" t="str">
            <v>Spread Duration</v>
          </cell>
          <cell r="E30" t="str">
            <v>Spread Yield (DxS)</v>
          </cell>
          <cell r="F30" t="str">
            <v>SP-Corporate HY EUR</v>
          </cell>
          <cell r="G30" t="str">
            <v>SP-Spread Corporate</v>
          </cell>
          <cell r="H30" t="str">
            <v>SPREADS</v>
          </cell>
          <cell r="I30" t="str">
            <v>Corporate HY EUR - iTraxx</v>
          </cell>
        </row>
        <row r="31">
          <cell r="A31" t="str">
            <v>EUR_ITXO_10Y</v>
          </cell>
          <cell r="B31" t="str">
            <v>ITRAXX.XO.10</v>
          </cell>
          <cell r="C31" t="str">
            <v>BRS_GOLD__5_SPREADS:BRS_GOLD__4_CORP:BRS_GOLD__3_CSHY:CDX_HY:EUR_ITXO_10Y</v>
          </cell>
          <cell r="D31" t="str">
            <v>Spread Duration</v>
          </cell>
          <cell r="E31" t="str">
            <v>Spread Yield (DxS)</v>
          </cell>
          <cell r="F31" t="str">
            <v>SP-Corporate HY EUR</v>
          </cell>
          <cell r="G31" t="str">
            <v>SP-Spread Corporate</v>
          </cell>
          <cell r="H31" t="str">
            <v>SPREADS</v>
          </cell>
          <cell r="I31" t="str">
            <v>Corporate HY EUR - iTraxx</v>
          </cell>
        </row>
        <row r="32">
          <cell r="A32" t="str">
            <v>AUD_ITXH_5Y</v>
          </cell>
          <cell r="B32" t="str">
            <v>ITRAXX.ASIA.XJ.HY.5</v>
          </cell>
          <cell r="C32" t="str">
            <v>BRS_GOLD__5_SPREADS:BRS_GOLD__4_CORP:BRS_GOLD__3_CSHY:CDX_HY:AUD_ITXH_5Y</v>
          </cell>
          <cell r="D32" t="str">
            <v>Spread Duration</v>
          </cell>
          <cell r="E32" t="str">
            <v>Spread Yield (DxS)</v>
          </cell>
          <cell r="F32" t="str">
            <v>SP-Corporate HY Other</v>
          </cell>
          <cell r="G32" t="str">
            <v>SP-Spread Corporate</v>
          </cell>
          <cell r="H32" t="str">
            <v>SPREADS</v>
          </cell>
          <cell r="I32" t="str">
            <v>Corporate HY Other - iTraxx</v>
          </cell>
        </row>
        <row r="33">
          <cell r="A33" t="str">
            <v>USD_CORP_CAPSEC_HY</v>
          </cell>
          <cell r="B33" t="str">
            <v>US Capital Security HY</v>
          </cell>
          <cell r="C33" t="str">
            <v>BRS_GOLD__5_SPREADS:BRS_GOLD__4_CORP:BRS_GOLD__3_CSHY:CORP40_HY_US,USD_LIQUID_HY:CORP40_US_ATT_HY,USD_LIQUID_HY:USD_CORP_CAPSEC_HY</v>
          </cell>
          <cell r="D33" t="str">
            <v>Spread Duration</v>
          </cell>
          <cell r="E33" t="str">
            <v>Spread Yield (DxS)</v>
          </cell>
          <cell r="F33" t="str">
            <v>SP-Corporate HY USD</v>
          </cell>
          <cell r="G33" t="str">
            <v>SP-Spread Corporate</v>
          </cell>
          <cell r="H33" t="str">
            <v>SPREADS</v>
          </cell>
          <cell r="I33" t="str">
            <v>Corporate HY USD - Seniority</v>
          </cell>
        </row>
        <row r="34">
          <cell r="A34" t="str">
            <v>USD_CORP_SUB_HY</v>
          </cell>
          <cell r="B34" t="str">
            <v>US Subordinate HY</v>
          </cell>
          <cell r="C34" t="str">
            <v>BRS_GOLD__5_SPREADS:BRS_GOLD__4_CORP:BRS_GOLD__3_CSHY:CORP40_HY_US,USD_LIQUID_HY:CORP40_US_ATT_HY,USD_LIQUID_HY:USD_CORP_SUB_HY</v>
          </cell>
          <cell r="D34" t="str">
            <v>Spread Duration</v>
          </cell>
          <cell r="E34" t="str">
            <v>Spread Yield (DxS)</v>
          </cell>
          <cell r="F34" t="str">
            <v>SP-Corporate HY USD</v>
          </cell>
          <cell r="G34" t="str">
            <v>SP-Spread Corporate</v>
          </cell>
          <cell r="H34" t="str">
            <v>SPREADS</v>
          </cell>
          <cell r="I34" t="str">
            <v>Corporate HY USD - Seniority</v>
          </cell>
        </row>
        <row r="35">
          <cell r="A35" t="str">
            <v>USD_CORP_YANK_HY</v>
          </cell>
          <cell r="B35" t="str">
            <v>US Yankee HY</v>
          </cell>
          <cell r="C35" t="str">
            <v>BRS_GOLD__5_SPREADS:BRS_GOLD__4_CORP:BRS_GOLD__3_CSHY:CORP40_HY_US,USD_LIQUID_HY:CORP40_US_ATT_HY,USD_LIQUID_HY:USD_CORP_YANK_HY</v>
          </cell>
          <cell r="D35" t="str">
            <v>Spread Duration</v>
          </cell>
          <cell r="E35" t="str">
            <v>Spread Yield (DxS)</v>
          </cell>
          <cell r="F35" t="str">
            <v>SP-Corporate HY USD</v>
          </cell>
          <cell r="G35" t="str">
            <v>SP-Spread Corporate</v>
          </cell>
          <cell r="H35" t="str">
            <v>SPREADS</v>
          </cell>
          <cell r="I35" t="str">
            <v>Corporate HY USD - Yankee</v>
          </cell>
        </row>
        <row r="36">
          <cell r="A36" t="str">
            <v>USD_AUTO_HY3</v>
          </cell>
          <cell r="B36" t="str">
            <v>US Auto HY</v>
          </cell>
          <cell r="C36" t="str">
            <v>BRS_GOLD__5_SPREADS:BRS_GOLD__4_CORP:BRS_GOLD__3_CSHY:CORP40_HY_US,USD_LIQUID_HY:CORP40_US_IND_HY:USD_AUTO_HY3</v>
          </cell>
          <cell r="D36" t="str">
            <v>Spread Duration</v>
          </cell>
          <cell r="E36" t="str">
            <v>Spread Yield (DxS)</v>
          </cell>
          <cell r="F36" t="str">
            <v>SP-Corporate HY USD</v>
          </cell>
          <cell r="G36" t="str">
            <v>SP-Spread Corporate</v>
          </cell>
          <cell r="H36" t="str">
            <v>SPREADS</v>
          </cell>
          <cell r="I36" t="str">
            <v>Corporate HY USD - Industry</v>
          </cell>
        </row>
        <row r="37">
          <cell r="A37" t="str">
            <v>USD_BANKBROK_HY3</v>
          </cell>
          <cell r="B37" t="str">
            <v>US Banking HY</v>
          </cell>
          <cell r="C37" t="str">
            <v>BRS_GOLD__5_SPREADS:BRS_GOLD__4_CORP:BRS_GOLD__3_CSHY:CORP40_HY_US,USD_LIQUID_HY:CORP40_US_IND_HY:USD_BANKBROK_HY3</v>
          </cell>
          <cell r="D37" t="str">
            <v>Spread Duration</v>
          </cell>
          <cell r="E37" t="str">
            <v>Spread Yield (DxS)</v>
          </cell>
          <cell r="F37" t="str">
            <v>SP-Corporate HY USD</v>
          </cell>
          <cell r="G37" t="str">
            <v>SP-Spread Corporate</v>
          </cell>
          <cell r="H37" t="str">
            <v>SPREADS</v>
          </cell>
          <cell r="I37" t="str">
            <v>Corporate HY USD - Industry</v>
          </cell>
        </row>
        <row r="38">
          <cell r="A38" t="str">
            <v>USD_CAPG_HY3</v>
          </cell>
          <cell r="B38" t="str">
            <v>US Cap Goods HY</v>
          </cell>
          <cell r="C38" t="str">
            <v>BRS_GOLD__5_SPREADS:BRS_GOLD__4_CORP:BRS_GOLD__3_CSHY:CORP40_HY_US,USD_LIQUID_HY:CORP40_US_IND_HY:USD_CAPG_HY3</v>
          </cell>
          <cell r="D38" t="str">
            <v>Spread Duration</v>
          </cell>
          <cell r="E38" t="str">
            <v>Spread Yield (DxS)</v>
          </cell>
          <cell r="F38" t="str">
            <v>SP-Corporate HY USD</v>
          </cell>
          <cell r="G38" t="str">
            <v>SP-Spread Corporate</v>
          </cell>
          <cell r="H38" t="str">
            <v>SPREADS</v>
          </cell>
          <cell r="I38" t="str">
            <v>Corporate HY USD - Industry</v>
          </cell>
        </row>
        <row r="39">
          <cell r="A39" t="str">
            <v>USD_CHEMICALS_HY3</v>
          </cell>
          <cell r="B39" t="str">
            <v>US Chemicals HY</v>
          </cell>
          <cell r="C39" t="str">
            <v>BRS_GOLD__5_SPREADS:BRS_GOLD__4_CORP:BRS_GOLD__3_CSHY:CORP40_HY_US,USD_LIQUID_HY:CORP40_US_IND_HY:USD_CHEMICALS_HY3</v>
          </cell>
          <cell r="D39" t="str">
            <v>Spread Duration</v>
          </cell>
          <cell r="E39" t="str">
            <v>Spread Yield (DxS)</v>
          </cell>
          <cell r="F39" t="str">
            <v>SP-Corporate HY USD</v>
          </cell>
          <cell r="G39" t="str">
            <v>SP-Spread Corporate</v>
          </cell>
          <cell r="H39" t="str">
            <v>SPREADS</v>
          </cell>
          <cell r="I39" t="str">
            <v>Corporate HY USD - Industry</v>
          </cell>
        </row>
        <row r="40">
          <cell r="A40" t="str">
            <v>USD_CYCLICAL_HY3</v>
          </cell>
          <cell r="B40" t="str">
            <v>US Cyclical HY</v>
          </cell>
          <cell r="C40" t="str">
            <v>BRS_GOLD__5_SPREADS:BRS_GOLD__4_CORP:BRS_GOLD__3_CSHY:CORP40_HY_US,USD_LIQUID_HY:CORP40_US_IND_HY:USD_CYCLICAL_HY3</v>
          </cell>
          <cell r="D40" t="str">
            <v>Spread Duration</v>
          </cell>
          <cell r="E40" t="str">
            <v>Spread Yield (DxS)</v>
          </cell>
          <cell r="F40" t="str">
            <v>SP-Corporate HY USD</v>
          </cell>
          <cell r="G40" t="str">
            <v>SP-Spread Corporate</v>
          </cell>
          <cell r="H40" t="str">
            <v>SPREADS</v>
          </cell>
          <cell r="I40" t="str">
            <v>Corporate HY USD - Industry</v>
          </cell>
        </row>
        <row r="41">
          <cell r="A41" t="str">
            <v>USD_ELECTRIC_HY3</v>
          </cell>
          <cell r="B41" t="str">
            <v>US Electric HY</v>
          </cell>
          <cell r="C41" t="str">
            <v>BRS_GOLD__5_SPREADS:BRS_GOLD__4_CORP:BRS_GOLD__3_CSHY:CORP40_HY_US,USD_LIQUID_HY:CORP40_US_IND_HY:USD_ELECTRIC_HY3</v>
          </cell>
          <cell r="D41" t="str">
            <v>Spread Duration</v>
          </cell>
          <cell r="E41" t="str">
            <v>Spread Yield (DxS)</v>
          </cell>
          <cell r="F41" t="str">
            <v>SP-Corporate HY USD</v>
          </cell>
          <cell r="G41" t="str">
            <v>SP-Spread Corporate</v>
          </cell>
          <cell r="H41" t="str">
            <v>SPREADS</v>
          </cell>
          <cell r="I41" t="str">
            <v>Corporate HY USD - Industry</v>
          </cell>
        </row>
        <row r="42">
          <cell r="A42" t="str">
            <v>USD_ENERGY_HY3</v>
          </cell>
          <cell r="B42" t="str">
            <v>US Energy HY</v>
          </cell>
          <cell r="C42" t="str">
            <v>BRS_GOLD__5_SPREADS:BRS_GOLD__4_CORP:BRS_GOLD__3_CSHY:CORP40_HY_US,USD_LIQUID_HY:CORP40_US_IND_HY:USD_ENERGY_HY3</v>
          </cell>
          <cell r="D42" t="str">
            <v>Spread Duration</v>
          </cell>
          <cell r="E42" t="str">
            <v>Spread Yield (DxS)</v>
          </cell>
          <cell r="F42" t="str">
            <v>SP-Corporate HY USD</v>
          </cell>
          <cell r="G42" t="str">
            <v>SP-Spread Corporate</v>
          </cell>
          <cell r="H42" t="str">
            <v>SPREADS</v>
          </cell>
          <cell r="I42" t="str">
            <v>Corporate HY USD - Industry</v>
          </cell>
        </row>
        <row r="43">
          <cell r="A43" t="str">
            <v>USD_GAS_HY3</v>
          </cell>
          <cell r="B43" t="str">
            <v>US Gas HY</v>
          </cell>
          <cell r="C43" t="str">
            <v>BRS_GOLD__5_SPREADS:BRS_GOLD__4_CORP:BRS_GOLD__3_CSHY:CORP40_HY_US,USD_LIQUID_HY:CORP40_US_IND_HY:USD_GAS_HY3</v>
          </cell>
          <cell r="D43" t="str">
            <v>Spread Duration</v>
          </cell>
          <cell r="E43" t="str">
            <v>Spread Yield (DxS)</v>
          </cell>
          <cell r="F43" t="str">
            <v>SP-Corporate HY USD</v>
          </cell>
          <cell r="G43" t="str">
            <v>SP-Spread Corporate</v>
          </cell>
          <cell r="H43" t="str">
            <v>SPREADS</v>
          </cell>
          <cell r="I43" t="str">
            <v>Corporate HY USD - Industry</v>
          </cell>
        </row>
        <row r="44">
          <cell r="A44" t="str">
            <v>USD_HEALTHCARE_HY3</v>
          </cell>
          <cell r="B44" t="str">
            <v>US Healthcare HY</v>
          </cell>
          <cell r="C44" t="str">
            <v>BRS_GOLD__5_SPREADS:BRS_GOLD__4_CORP:BRS_GOLD__3_CSHY:CORP40_HY_US,USD_LIQUID_HY:CORP40_US_IND_HY:USD_HEALTHCARE_HY3</v>
          </cell>
          <cell r="D44" t="str">
            <v>Spread Duration</v>
          </cell>
          <cell r="E44" t="str">
            <v>Spread Yield (DxS)</v>
          </cell>
          <cell r="F44" t="str">
            <v>SP-Corporate HY USD</v>
          </cell>
          <cell r="G44" t="str">
            <v>SP-Spread Corporate</v>
          </cell>
          <cell r="H44" t="str">
            <v>SPREADS</v>
          </cell>
          <cell r="I44" t="str">
            <v>Corporate HY USD - Industry</v>
          </cell>
        </row>
        <row r="45">
          <cell r="A45" t="str">
            <v>USD_HOMECON_HY3</v>
          </cell>
          <cell r="B45" t="str">
            <v>US Home Construct HY</v>
          </cell>
          <cell r="C45" t="str">
            <v>BRS_GOLD__5_SPREADS:BRS_GOLD__4_CORP:BRS_GOLD__3_CSHY:CORP40_HY_US,USD_LIQUID_HY:CORP40_US_IND_HY:USD_HOMECON_HY3</v>
          </cell>
          <cell r="D45" t="str">
            <v>Spread Duration</v>
          </cell>
          <cell r="E45" t="str">
            <v>Spread Yield (DxS)</v>
          </cell>
          <cell r="F45" t="str">
            <v>SP-Corporate HY USD</v>
          </cell>
          <cell r="G45" t="str">
            <v>SP-Spread Corporate</v>
          </cell>
          <cell r="H45" t="str">
            <v>SPREADS</v>
          </cell>
          <cell r="I45" t="str">
            <v>Corporate HY USD - Industry</v>
          </cell>
        </row>
        <row r="46">
          <cell r="A46" t="str">
            <v>USD_LIFE_HY3</v>
          </cell>
          <cell r="B46" t="str">
            <v>US Life Insurance HY</v>
          </cell>
          <cell r="C46" t="str">
            <v>BRS_GOLD__5_SPREADS:BRS_GOLD__4_CORP:BRS_GOLD__3_CSHY:CORP40_HY_US,USD_LIQUID_HY:CORP40_US_IND_HY:USD_LIFE_HY3</v>
          </cell>
          <cell r="D46" t="str">
            <v>Spread Duration</v>
          </cell>
          <cell r="E46" t="str">
            <v>Spread Yield (DxS)</v>
          </cell>
          <cell r="F46" t="str">
            <v>SP-Corporate HY USD</v>
          </cell>
          <cell r="G46" t="str">
            <v>SP-Spread Corporate</v>
          </cell>
          <cell r="H46" t="str">
            <v>SPREADS</v>
          </cell>
          <cell r="I46" t="str">
            <v>Corporate HY USD - Industry</v>
          </cell>
        </row>
        <row r="47">
          <cell r="A47" t="str">
            <v>USD_CABLE_HY3</v>
          </cell>
          <cell r="B47" t="str">
            <v>US Media Cable HY</v>
          </cell>
          <cell r="C47" t="str">
            <v>BRS_GOLD__5_SPREADS:BRS_GOLD__4_CORP:BRS_GOLD__3_CSHY:CORP40_HY_US,USD_LIQUID_HY:CORP40_US_IND_HY:USD_CABLE_HY3</v>
          </cell>
          <cell r="D47" t="str">
            <v>Spread Duration</v>
          </cell>
          <cell r="E47" t="str">
            <v>Spread Yield (DxS)</v>
          </cell>
          <cell r="F47" t="str">
            <v>SP-Corporate HY USD</v>
          </cell>
          <cell r="G47" t="str">
            <v>SP-Spread Corporate</v>
          </cell>
          <cell r="H47" t="str">
            <v>SPREADS</v>
          </cell>
          <cell r="I47" t="str">
            <v>Corporate HY USD - Industry</v>
          </cell>
        </row>
        <row r="48">
          <cell r="A48" t="str">
            <v>USD_NONCABLE_HY3</v>
          </cell>
          <cell r="B48" t="str">
            <v>US Media Noncable HY</v>
          </cell>
          <cell r="C48" t="str">
            <v>BRS_GOLD__5_SPREADS:BRS_GOLD__4_CORP:BRS_GOLD__3_CSHY:CORP40_HY_US,USD_LIQUID_HY:CORP40_US_IND_HY:USD_NONCABLE_HY3</v>
          </cell>
          <cell r="D48" t="str">
            <v>Spread Duration</v>
          </cell>
          <cell r="E48" t="str">
            <v>Spread Yield (DxS)</v>
          </cell>
          <cell r="F48" t="str">
            <v>SP-Corporate HY USD</v>
          </cell>
          <cell r="G48" t="str">
            <v>SP-Spread Corporate</v>
          </cell>
          <cell r="H48" t="str">
            <v>SPREADS</v>
          </cell>
          <cell r="I48" t="str">
            <v>Corporate HY USD - Industry</v>
          </cell>
        </row>
        <row r="49">
          <cell r="A49" t="str">
            <v>USD_METALS_HY3</v>
          </cell>
          <cell r="B49" t="str">
            <v>US Metals HY</v>
          </cell>
          <cell r="C49" t="str">
            <v>BRS_GOLD__5_SPREADS:BRS_GOLD__4_CORP:BRS_GOLD__3_CSHY:CORP40_HY_US,USD_LIQUID_HY:CORP40_US_IND_HY:USD_METALS_HY3</v>
          </cell>
          <cell r="D49" t="str">
            <v>Spread Duration</v>
          </cell>
          <cell r="E49" t="str">
            <v>Spread Yield (DxS)</v>
          </cell>
          <cell r="F49" t="str">
            <v>SP-Corporate HY USD</v>
          </cell>
          <cell r="G49" t="str">
            <v>SP-Spread Corporate</v>
          </cell>
          <cell r="H49" t="str">
            <v>SPREADS</v>
          </cell>
          <cell r="I49" t="str">
            <v>Corporate HY USD - Industry</v>
          </cell>
        </row>
        <row r="50">
          <cell r="A50" t="str">
            <v>USD_NONCYCLICAL_HY3</v>
          </cell>
          <cell r="B50" t="str">
            <v>US Noncyclical HY</v>
          </cell>
          <cell r="C50" t="str">
            <v>BRS_GOLD__5_SPREADS:BRS_GOLD__4_CORP:BRS_GOLD__3_CSHY:CORP40_HY_US,USD_LIQUID_HY:CORP40_US_IND_HY:USD_NONCYCLICAL_HY3</v>
          </cell>
          <cell r="D50" t="str">
            <v>Spread Duration</v>
          </cell>
          <cell r="E50" t="str">
            <v>Spread Yield (DxS)</v>
          </cell>
          <cell r="F50" t="str">
            <v>SP-Corporate HY USD</v>
          </cell>
          <cell r="G50" t="str">
            <v>SP-Spread Corporate</v>
          </cell>
          <cell r="H50" t="str">
            <v>SPREADS</v>
          </cell>
          <cell r="I50" t="str">
            <v>Corporate HY USD - Industry</v>
          </cell>
        </row>
        <row r="51">
          <cell r="A51" t="str">
            <v>USD_OTHERFIN_HY3</v>
          </cell>
          <cell r="B51" t="str">
            <v>US Other Fin HY</v>
          </cell>
          <cell r="C51" t="str">
            <v>BRS_GOLD__5_SPREADS:BRS_GOLD__4_CORP:BRS_GOLD__3_CSHY:CORP40_HY_US,USD_LIQUID_HY:CORP40_US_IND_HY:USD_OTHERFIN_HY3</v>
          </cell>
          <cell r="D51" t="str">
            <v>Spread Duration</v>
          </cell>
          <cell r="E51" t="str">
            <v>Spread Yield (DxS)</v>
          </cell>
          <cell r="F51" t="str">
            <v>SP-Corporate HY USD</v>
          </cell>
          <cell r="G51" t="str">
            <v>SP-Spread Corporate</v>
          </cell>
          <cell r="H51" t="str">
            <v>SPREADS</v>
          </cell>
          <cell r="I51" t="str">
            <v>Corporate HY USD - Industry</v>
          </cell>
        </row>
        <row r="52">
          <cell r="A52" t="str">
            <v>USD_OTHERIND_HY3</v>
          </cell>
          <cell r="B52" t="str">
            <v>US Other Ind HY</v>
          </cell>
          <cell r="C52" t="str">
            <v>BRS_GOLD__5_SPREADS:BRS_GOLD__4_CORP:BRS_GOLD__3_CSHY:CORP40_HY_US,USD_LIQUID_HY:CORP40_US_IND_HY:USD_OTHERIND_HY3</v>
          </cell>
          <cell r="D52" t="str">
            <v>Spread Duration</v>
          </cell>
          <cell r="E52" t="str">
            <v>Spread Yield (DxS)</v>
          </cell>
          <cell r="F52" t="str">
            <v>SP-Corporate HY USD</v>
          </cell>
          <cell r="G52" t="str">
            <v>SP-Spread Corporate</v>
          </cell>
          <cell r="H52" t="str">
            <v>SPREADS</v>
          </cell>
          <cell r="I52" t="str">
            <v>Corporate HY USD - Industry</v>
          </cell>
        </row>
        <row r="53">
          <cell r="A53" t="str">
            <v>USD_PAPER_HY3</v>
          </cell>
          <cell r="B53" t="str">
            <v>US Paper HY</v>
          </cell>
          <cell r="C53" t="str">
            <v>BRS_GOLD__5_SPREADS:BRS_GOLD__4_CORP:BRS_GOLD__3_CSHY:CORP40_HY_US,USD_LIQUID_HY:CORP40_US_IND_HY:USD_PAPER_HY3</v>
          </cell>
          <cell r="D53" t="str">
            <v>Spread Duration</v>
          </cell>
          <cell r="E53" t="str">
            <v>Spread Yield (DxS)</v>
          </cell>
          <cell r="F53" t="str">
            <v>SP-Corporate HY USD</v>
          </cell>
          <cell r="G53" t="str">
            <v>SP-Spread Corporate</v>
          </cell>
          <cell r="H53" t="str">
            <v>SPREADS</v>
          </cell>
          <cell r="I53" t="str">
            <v>Corporate HY USD - Industry</v>
          </cell>
        </row>
        <row r="54">
          <cell r="A54" t="str">
            <v>USD_PHARMA_HY3</v>
          </cell>
          <cell r="B54" t="str">
            <v>US Pharmaceutical HY</v>
          </cell>
          <cell r="C54" t="str">
            <v>BRS_GOLD__5_SPREADS:BRS_GOLD__4_CORP:BRS_GOLD__3_CSHY:CORP40_HY_US,USD_LIQUID_HY:CORP40_US_IND_HY:USD_PHARMA_HY3</v>
          </cell>
          <cell r="D54" t="str">
            <v>Spread Duration</v>
          </cell>
          <cell r="E54" t="str">
            <v>Spread Yield (DxS)</v>
          </cell>
          <cell r="F54" t="str">
            <v>SP-Corporate HY USD</v>
          </cell>
          <cell r="G54" t="str">
            <v>SP-Spread Corporate</v>
          </cell>
          <cell r="H54" t="str">
            <v>SPREADS</v>
          </cell>
          <cell r="I54" t="str">
            <v>Corporate HY USD - Industry</v>
          </cell>
        </row>
        <row r="55">
          <cell r="A55" t="str">
            <v>USD_PNC_HY3</v>
          </cell>
          <cell r="B55" t="str">
            <v>US PnC Insurance HY</v>
          </cell>
          <cell r="C55" t="str">
            <v>BRS_GOLD__5_SPREADS:BRS_GOLD__4_CORP:BRS_GOLD__3_CSHY:CORP40_HY_US,USD_LIQUID_HY:CORP40_US_IND_HY:USD_PNC_HY3</v>
          </cell>
          <cell r="D55" t="str">
            <v>Spread Duration</v>
          </cell>
          <cell r="E55" t="str">
            <v>Spread Yield (DxS)</v>
          </cell>
          <cell r="F55" t="str">
            <v>SP-Corporate HY USD</v>
          </cell>
          <cell r="G55" t="str">
            <v>SP-Spread Corporate</v>
          </cell>
          <cell r="H55" t="str">
            <v>SPREADS</v>
          </cell>
          <cell r="I55" t="str">
            <v>Corporate HY USD - Industry</v>
          </cell>
        </row>
        <row r="56">
          <cell r="A56" t="str">
            <v>USD_REIT_HY3</v>
          </cell>
          <cell r="B56" t="str">
            <v>US REIT HY</v>
          </cell>
          <cell r="C56" t="str">
            <v>BRS_GOLD__5_SPREADS:BRS_GOLD__4_CORP:BRS_GOLD__3_CSHY:CORP40_HY_US,USD_LIQUID_HY:CORP40_US_IND_HY:USD_REIT_HY3</v>
          </cell>
          <cell r="D56" t="str">
            <v>Spread Duration</v>
          </cell>
          <cell r="E56" t="str">
            <v>Spread Yield (DxS)</v>
          </cell>
          <cell r="F56" t="str">
            <v>SP-Corporate HY USD</v>
          </cell>
          <cell r="G56" t="str">
            <v>SP-Spread Corporate</v>
          </cell>
          <cell r="H56" t="str">
            <v>SPREADS</v>
          </cell>
          <cell r="I56" t="str">
            <v>Corporate HY USD - Industry</v>
          </cell>
        </row>
        <row r="57">
          <cell r="A57" t="str">
            <v>USD_RETAIL_HY3</v>
          </cell>
          <cell r="B57" t="str">
            <v>US Retail HY</v>
          </cell>
          <cell r="C57" t="str">
            <v>BRS_GOLD__5_SPREADS:BRS_GOLD__4_CORP:BRS_GOLD__3_CSHY:CORP40_HY_US,USD_LIQUID_HY:CORP40_US_IND_HY:USD_RETAIL_HY3</v>
          </cell>
          <cell r="D57" t="str">
            <v>Spread Duration</v>
          </cell>
          <cell r="E57" t="str">
            <v>Spread Yield (DxS)</v>
          </cell>
          <cell r="F57" t="str">
            <v>SP-Corporate HY USD</v>
          </cell>
          <cell r="G57" t="str">
            <v>SP-Spread Corporate</v>
          </cell>
          <cell r="H57" t="str">
            <v>SPREADS</v>
          </cell>
          <cell r="I57" t="str">
            <v>Corporate HY USD - Industry</v>
          </cell>
        </row>
        <row r="58">
          <cell r="A58" t="str">
            <v>USD_TECH_HY3</v>
          </cell>
          <cell r="B58" t="str">
            <v>US Tech HY</v>
          </cell>
          <cell r="C58" t="str">
            <v>BRS_GOLD__5_SPREADS:BRS_GOLD__4_CORP:BRS_GOLD__3_CSHY:CORP40_HY_US,USD_LIQUID_HY:CORP40_US_IND_HY:USD_TECH_HY3</v>
          </cell>
          <cell r="D58" t="str">
            <v>Spread Duration</v>
          </cell>
          <cell r="E58" t="str">
            <v>Spread Yield (DxS)</v>
          </cell>
          <cell r="F58" t="str">
            <v>SP-Corporate HY USD</v>
          </cell>
          <cell r="G58" t="str">
            <v>SP-Spread Corporate</v>
          </cell>
          <cell r="H58" t="str">
            <v>SPREADS</v>
          </cell>
          <cell r="I58" t="str">
            <v>Corporate HY USD - Industry</v>
          </cell>
        </row>
        <row r="59">
          <cell r="A59" t="str">
            <v>USD_TRANSPORT_HY3</v>
          </cell>
          <cell r="B59" t="str">
            <v>US Transport HY</v>
          </cell>
          <cell r="C59" t="str">
            <v>BRS_GOLD__5_SPREADS:BRS_GOLD__4_CORP:BRS_GOLD__3_CSHY:CORP40_HY_US,USD_LIQUID_HY:CORP40_US_IND_HY:USD_TRANSPORT_HY3</v>
          </cell>
          <cell r="D59" t="str">
            <v>Spread Duration</v>
          </cell>
          <cell r="E59" t="str">
            <v>Spread Yield (DxS)</v>
          </cell>
          <cell r="F59" t="str">
            <v>SP-Corporate HY USD</v>
          </cell>
          <cell r="G59" t="str">
            <v>SP-Spread Corporate</v>
          </cell>
          <cell r="H59" t="str">
            <v>SPREADS</v>
          </cell>
          <cell r="I59" t="str">
            <v>Corporate HY USD - Industry</v>
          </cell>
        </row>
        <row r="60">
          <cell r="A60" t="str">
            <v>USD_WIRELESS_HY3</v>
          </cell>
          <cell r="B60" t="str">
            <v>US Wireless HY</v>
          </cell>
          <cell r="C60" t="str">
            <v>BRS_GOLD__5_SPREADS:BRS_GOLD__4_CORP:BRS_GOLD__3_CSHY:CORP40_HY_US,USD_LIQUID_HY:CORP40_US_IND_HY:USD_WIRELESS_HY3</v>
          </cell>
          <cell r="D60" t="str">
            <v>Spread Duration</v>
          </cell>
          <cell r="E60" t="str">
            <v>Spread Yield (DxS)</v>
          </cell>
          <cell r="F60" t="str">
            <v>SP-Corporate HY USD</v>
          </cell>
          <cell r="G60" t="str">
            <v>SP-Spread Corporate</v>
          </cell>
          <cell r="H60" t="str">
            <v>SPREADS</v>
          </cell>
          <cell r="I60" t="str">
            <v>Corporate HY USD - Industry</v>
          </cell>
        </row>
        <row r="61">
          <cell r="A61" t="str">
            <v>USD_WIRELINES_HY3</v>
          </cell>
          <cell r="B61" t="str">
            <v>US Wirelines HY</v>
          </cell>
          <cell r="C61" t="str">
            <v>BRS_GOLD__5_SPREADS:BRS_GOLD__4_CORP:BRS_GOLD__3_CSHY:CORP40_HY_US,USD_LIQUID_HY:CORP40_US_IND_HY:USD_WIRELINES_HY3</v>
          </cell>
          <cell r="D61" t="str">
            <v>Spread Duration</v>
          </cell>
          <cell r="E61" t="str">
            <v>Spread Yield (DxS)</v>
          </cell>
          <cell r="F61" t="str">
            <v>SP-Corporate HY USD</v>
          </cell>
          <cell r="G61" t="str">
            <v>SP-Spread Corporate</v>
          </cell>
          <cell r="H61" t="str">
            <v>SPREADS</v>
          </cell>
          <cell r="I61" t="str">
            <v>Corporate HY USD - Industry</v>
          </cell>
        </row>
        <row r="62">
          <cell r="A62" t="str">
            <v>USD_CORP_HY_2</v>
          </cell>
          <cell r="B62" t="str">
            <v>US Mat HY 2</v>
          </cell>
          <cell r="C62" t="str">
            <v>BRS_GOLD__5_SPREADS:BRS_GOLD__4_CORP:BRS_GOLD__3_CSHY:CORP40_HY_US,USD_LIQUID_HY:CORP40_US_MAT_HY:USD_CORP_HY_2</v>
          </cell>
          <cell r="D62" t="str">
            <v>Spread Duration</v>
          </cell>
          <cell r="E62" t="str">
            <v>Spread Yield (DxS)</v>
          </cell>
          <cell r="F62" t="str">
            <v>SP-Corporate HY USD</v>
          </cell>
          <cell r="G62" t="str">
            <v>SP-Spread Corporate</v>
          </cell>
          <cell r="H62" t="str">
            <v>SPREADS</v>
          </cell>
          <cell r="I62" t="str">
            <v>Corporate HY USD - Maturity</v>
          </cell>
        </row>
        <row r="63">
          <cell r="A63" t="str">
            <v>USD_CORP_HY_10</v>
          </cell>
          <cell r="B63" t="str">
            <v>US Mat HY 10</v>
          </cell>
          <cell r="C63" t="str">
            <v>BRS_GOLD__5_SPREADS:BRS_GOLD__4_CORP:BRS_GOLD__3_CSHY:CORP40_HY_US,USD_LIQUID_HY:CORP40_US_MAT_HY:USD_CORP_HY_10</v>
          </cell>
          <cell r="D63" t="str">
            <v>Spread Duration</v>
          </cell>
          <cell r="E63" t="str">
            <v>Spread Yield (DxS)</v>
          </cell>
          <cell r="F63" t="str">
            <v>SP-Corporate HY USD</v>
          </cell>
          <cell r="G63" t="str">
            <v>SP-Spread Corporate</v>
          </cell>
          <cell r="H63" t="str">
            <v>SPREADS</v>
          </cell>
          <cell r="I63" t="str">
            <v>Corporate HY USD - Maturity</v>
          </cell>
        </row>
        <row r="64">
          <cell r="A64" t="str">
            <v>USD_CORP_HY_20</v>
          </cell>
          <cell r="B64" t="str">
            <v>US Mat HY 20</v>
          </cell>
          <cell r="C64" t="str">
            <v>BRS_GOLD__5_SPREADS:BRS_GOLD__4_CORP:BRS_GOLD__3_CSHY:CORP40_HY_US,USD_LIQUID_HY:CORP40_US_MAT_HY:USD_CORP_HY_20</v>
          </cell>
          <cell r="D64" t="str">
            <v>Spread Duration</v>
          </cell>
          <cell r="E64" t="str">
            <v>Spread Yield (DxS)</v>
          </cell>
          <cell r="F64" t="str">
            <v>SP-Corporate HY USD</v>
          </cell>
          <cell r="G64" t="str">
            <v>SP-Spread Corporate</v>
          </cell>
          <cell r="H64" t="str">
            <v>SPREADS</v>
          </cell>
          <cell r="I64" t="str">
            <v>Corporate HY USD - Maturity</v>
          </cell>
        </row>
        <row r="65">
          <cell r="A65" t="str">
            <v>USD_HY_CAPSEC</v>
          </cell>
          <cell r="B65" t="str">
            <v>US HY Capital Security</v>
          </cell>
          <cell r="C65" t="str">
            <v>BRS_GOLD__5_SPREADS:BRS_GOLD__4_CORP:BRS_GOLD__3_CSHY:CORP50_HY_US,USD_HY_LIQUID,USD_HY_LIQUID_SF,USD_HY_VLUE_SF,USD_HY_QUAL_SF,USD_HY_REV_SF,USD_HY_MOM_SF,USD_HY_VOL_SF:CORP50_US_ATT_HY,USD_HY_LIQUID,USD_HY_LIQUID_SF,USD_HY_VLUE_SF,USD_HY_QUAL_SF,USD_HY_REV_SF,USD_HY_MOM_SF,USD_HY_VOL_SF:USD_HY_CAPSEC</v>
          </cell>
          <cell r="D65" t="str">
            <v>Spread Duration</v>
          </cell>
          <cell r="E65" t="str">
            <v>Spread Yield (DxS)</v>
          </cell>
          <cell r="F65" t="str">
            <v>SP-Corporate HY USD</v>
          </cell>
          <cell r="G65" t="str">
            <v>SP-Spread Corporate</v>
          </cell>
          <cell r="H65" t="str">
            <v>SPREADS</v>
          </cell>
          <cell r="I65" t="str">
            <v>Corporate HY USD - Seniority</v>
          </cell>
        </row>
        <row r="66">
          <cell r="A66" t="str">
            <v>USD_HY_SUB</v>
          </cell>
          <cell r="B66" t="str">
            <v>US HY Subordinate</v>
          </cell>
          <cell r="C66" t="str">
            <v>BRS_GOLD__5_SPREADS:BRS_GOLD__4_CORP:BRS_GOLD__3_CSHY:CORP50_HY_US,USD_HY_LIQUID,USD_HY_LIQUID_SF,USD_HY_VLUE_SF,USD_HY_QUAL_SF,USD_HY_REV_SF,USD_HY_MOM_SF,USD_HY_VOL_SF:CORP50_US_ATT_HY,USD_HY_LIQUID,USD_HY_LIQUID_SF,USD_HY_VLUE_SF,USD_HY_QUAL_SF,USD_HY_REV_SF,USD_HY_MOM_SF,USD_HY_VOL_SF:USD_HY_SUB</v>
          </cell>
          <cell r="D66" t="str">
            <v>Spread Duration</v>
          </cell>
          <cell r="E66" t="str">
            <v>Spread Yield (DxS)</v>
          </cell>
          <cell r="F66" t="str">
            <v>SP-Corporate HY USD</v>
          </cell>
          <cell r="G66" t="str">
            <v>SP-Spread Corporate</v>
          </cell>
          <cell r="H66" t="str">
            <v>SPREADS</v>
          </cell>
          <cell r="I66" t="str">
            <v>Corporate HY USD - Seniority</v>
          </cell>
        </row>
        <row r="67">
          <cell r="A67" t="str">
            <v>USD_HY_YANK</v>
          </cell>
          <cell r="B67" t="str">
            <v>US HY Yankee</v>
          </cell>
          <cell r="C67" t="str">
            <v>BRS_GOLD__5_SPREADS:BRS_GOLD__4_CORP:BRS_GOLD__3_CSHY:CORP50_HY_US,USD_HY_LIQUID,USD_HY_LIQUID_SF,USD_HY_VLUE_SF,USD_HY_QUAL_SF,USD_HY_REV_SF,USD_HY_MOM_SF,USD_HY_VOL_SF:CORP50_US_ATT_HY,USD_HY_LIQUID,USD_HY_LIQUID_SF,USD_HY_VLUE_SF,USD_HY_QUAL_SF,USD_HY_REV_SF,USD_HY_MOM_SF,USD_HY_VOL_SF:USD_HY_YANK</v>
          </cell>
          <cell r="D67" t="str">
            <v>Spread Duration</v>
          </cell>
          <cell r="E67" t="str">
            <v>Spread Yield (DxS)</v>
          </cell>
          <cell r="F67" t="str">
            <v>SP-Corporate HY USD</v>
          </cell>
          <cell r="G67" t="str">
            <v>SP-Spread Corporate</v>
          </cell>
          <cell r="H67" t="str">
            <v>SPREADS</v>
          </cell>
          <cell r="I67" t="str">
            <v>Corporate HY USD - Yankee</v>
          </cell>
        </row>
        <row r="68">
          <cell r="A68" t="str">
            <v>USD_PFD_HY</v>
          </cell>
          <cell r="B68" t="str">
            <v>US HY Preferred Equity</v>
          </cell>
          <cell r="C68" t="str">
            <v>BRS_GOLD__5_SPREADS:BRS_GOLD__4_CORP:BRS_GOLD__3_CSHY:CORP50_HY_US,USD_HY_LIQUID,USD_HY_LIQUID_SF,USD_HY_VLUE_SF,USD_HY_QUAL_SF,USD_HY_REV_SF,USD_HY_MOM_SF,USD_HY_VOL_SF:CORP50_US_ATT_HY,USD_HY_LIQUID,USD_HY_LIQUID_SF,USD_HY_VLUE_SF,USD_HY_QUAL_SF,USD_HY_REV_SF,USD_HY_MOM_SF,USD_HY_VOL_SF:USD_PFD_HY</v>
          </cell>
          <cell r="D68" t="str">
            <v>Spread Duration</v>
          </cell>
          <cell r="E68" t="str">
            <v>Spread Yield (DxS)</v>
          </cell>
          <cell r="F68" t="str">
            <v>SP-Corporate HY USD</v>
          </cell>
          <cell r="G68" t="str">
            <v>SP-Spread Corporate</v>
          </cell>
          <cell r="H68" t="str">
            <v>SPREADS</v>
          </cell>
          <cell r="I68" t="str">
            <v>Corporate HY USD - Seniority</v>
          </cell>
        </row>
        <row r="69">
          <cell r="A69" t="str">
            <v>USD_HY_CAPSEC_SF</v>
          </cell>
          <cell r="B69" t="str">
            <v>US HY Capital Security</v>
          </cell>
          <cell r="C69" t="str">
            <v>BRS_GOLD__5_SPREADS:BRS_GOLD__4_CORP:BRS_GOLD__3_CSHY:CORP50_HY_US,USD_HY_LIQUID,USD_HY_LIQUID_SF,USD_HY_VLUE_SF,USD_HY_QUAL_SF,USD_HY_REV_SF,USD_HY_MOM_SF,USD_HY_VOL_SF:CORP50_US_ATT_HY,USD_HY_LIQUID,USD_HY_LIQUID_SF,USD_HY_VLUE_SF,USD_HY_QUAL_SF,USD_HY_REV_SF,USD_HY_MOM_SF,USD_HY_VOL_SF:USD_HY_CAPSEC_SF</v>
          </cell>
          <cell r="D69" t="str">
            <v>Spread Duration</v>
          </cell>
          <cell r="E69" t="str">
            <v>Spread Yield (DxS)</v>
          </cell>
          <cell r="F69" t="str">
            <v>SP-Corporate HY USD</v>
          </cell>
          <cell r="G69" t="str">
            <v>SP-Spread Corporate</v>
          </cell>
          <cell r="H69" t="str">
            <v>SPREADS</v>
          </cell>
          <cell r="I69" t="str">
            <v>Corporate HY USD - Seniority</v>
          </cell>
        </row>
        <row r="70">
          <cell r="A70" t="str">
            <v>USD_HY_SUB_SF</v>
          </cell>
          <cell r="B70" t="str">
            <v>US HY Subordinate</v>
          </cell>
          <cell r="C70" t="str">
            <v>BRS_GOLD__5_SPREADS:BRS_GOLD__4_CORP:BRS_GOLD__3_CSHY:CORP50_HY_US,USD_HY_LIQUID,USD_HY_LIQUID_SF,USD_HY_VLUE_SF,USD_HY_QUAL_SF,USD_HY_REV_SF,USD_HY_MOM_SF,USD_HY_VOL_SF:CORP50_US_ATT_HY,USD_HY_LIQUID,USD_HY_LIQUID_SF,USD_HY_VLUE_SF,USD_HY_QUAL_SF,USD_HY_REV_SF,USD_HY_MOM_SF,USD_HY_VOL_SF:USD_HY_SUB_SF</v>
          </cell>
          <cell r="D70" t="str">
            <v>Spread Duration</v>
          </cell>
          <cell r="E70" t="str">
            <v>Spread Yield (DxS)</v>
          </cell>
          <cell r="F70" t="str">
            <v>SP-Corporate HY USD</v>
          </cell>
          <cell r="G70" t="str">
            <v>SP-Spread Corporate</v>
          </cell>
          <cell r="H70" t="str">
            <v>SPREADS</v>
          </cell>
          <cell r="I70" t="str">
            <v>Corporate HY USD - Seniority</v>
          </cell>
        </row>
        <row r="71">
          <cell r="A71" t="str">
            <v>USD_HY_YANK_SF</v>
          </cell>
          <cell r="B71" t="str">
            <v>US HY Yankee</v>
          </cell>
          <cell r="C71" t="str">
            <v>BRS_GOLD__5_SPREADS:BRS_GOLD__4_CORP:BRS_GOLD__3_CSHY:CORP50_HY_US,USD_HY_LIQUID,USD_HY_LIQUID_SF,USD_HY_VLUE_SF,USD_HY_QUAL_SF,USD_HY_REV_SF,USD_HY_MOM_SF,USD_HY_VOL_SF:CORP50_US_ATT_HY,USD_HY_LIQUID,USD_HY_LIQUID_SF,USD_HY_VLUE_SF,USD_HY_QUAL_SF,USD_HY_REV_SF,USD_HY_MOM_SF,USD_HY_VOL_SF:USD_HY_YANK_SF</v>
          </cell>
          <cell r="D71" t="str">
            <v>Spread Duration</v>
          </cell>
          <cell r="E71" t="str">
            <v>Spread Yield (DxS)</v>
          </cell>
          <cell r="F71" t="str">
            <v>SP-Corporate HY USD</v>
          </cell>
          <cell r="G71" t="str">
            <v>SP-Spread Corporate</v>
          </cell>
          <cell r="H71" t="str">
            <v>SPREADS</v>
          </cell>
          <cell r="I71" t="str">
            <v>Corporate HY USD - Yankee</v>
          </cell>
        </row>
        <row r="72">
          <cell r="A72" t="str">
            <v>USD_HY_BANKBROK</v>
          </cell>
          <cell r="B72" t="str">
            <v>US HY Banking</v>
          </cell>
          <cell r="C72" t="str">
            <v>BRS_GOLD__5_SPREADS:BRS_GOLD__4_CORP:BRS_GOLD__3_CSHY:CORP50_HY_US,USD_HY_LIQUID,USD_HY_LIQUID_SF,USD_HY_VLUE_SF,USD_HY_QUAL_SF,USD_HY_REV_SF,USD_HY_MOM_SF,USD_HY_VOL_SF:CORP50_US_IND_HY:USD_HY_BANKBROK</v>
          </cell>
          <cell r="D72" t="str">
            <v>Spread Duration</v>
          </cell>
          <cell r="E72" t="str">
            <v>Spread Yield (DxS)</v>
          </cell>
          <cell r="F72" t="str">
            <v>SP-Corporate HY USD</v>
          </cell>
          <cell r="G72" t="str">
            <v>SP-Spread Corporate</v>
          </cell>
          <cell r="H72" t="str">
            <v>SPREADS</v>
          </cell>
          <cell r="I72" t="str">
            <v>Corporate HY USD - Industry</v>
          </cell>
        </row>
        <row r="73">
          <cell r="A73" t="str">
            <v>USD_HY_FINC</v>
          </cell>
          <cell r="B73" t="str">
            <v>US HY Finance Companies</v>
          </cell>
          <cell r="C73" t="str">
            <v>BRS_GOLD__5_SPREADS:BRS_GOLD__4_CORP:BRS_GOLD__3_CSHY:CORP50_HY_US,USD_HY_LIQUID,USD_HY_LIQUID_SF,USD_HY_VLUE_SF,USD_HY_QUAL_SF,USD_HY_REV_SF,USD_HY_MOM_SF,USD_HY_VOL_SF:CORP50_US_IND_HY:USD_HY_FINC</v>
          </cell>
          <cell r="D73" t="str">
            <v>Spread Duration</v>
          </cell>
          <cell r="E73" t="str">
            <v>Spread Yield (DxS)</v>
          </cell>
          <cell r="F73" t="str">
            <v>SP-Corporate HY USD</v>
          </cell>
          <cell r="G73" t="str">
            <v>SP-Spread Corporate</v>
          </cell>
          <cell r="H73" t="str">
            <v>SPREADS</v>
          </cell>
          <cell r="I73" t="str">
            <v>Corporate HY USD - Industry</v>
          </cell>
        </row>
        <row r="74">
          <cell r="A74" t="str">
            <v>USD_HY_INSURANCE</v>
          </cell>
          <cell r="B74" t="str">
            <v>US HY Insurance</v>
          </cell>
          <cell r="C74" t="str">
            <v>BRS_GOLD__5_SPREADS:BRS_GOLD__4_CORP:BRS_GOLD__3_CSHY:CORP50_HY_US,USD_HY_LIQUID,USD_HY_LIQUID_SF,USD_HY_VLUE_SF,USD_HY_QUAL_SF,USD_HY_REV_SF,USD_HY_MOM_SF,USD_HY_VOL_SF:CORP50_US_IND_HY:USD_HY_INSURANCE</v>
          </cell>
          <cell r="D74" t="str">
            <v>Spread Duration</v>
          </cell>
          <cell r="E74" t="str">
            <v>Spread Yield (DxS)</v>
          </cell>
          <cell r="F74" t="str">
            <v>SP-Corporate HY USD</v>
          </cell>
          <cell r="G74" t="str">
            <v>SP-Spread Corporate</v>
          </cell>
          <cell r="H74" t="str">
            <v>SPREADS</v>
          </cell>
          <cell r="I74" t="str">
            <v>Corporate HY USD - Industry</v>
          </cell>
        </row>
        <row r="75">
          <cell r="A75" t="str">
            <v>USD_HY_OTHERFIN</v>
          </cell>
          <cell r="B75" t="str">
            <v>US HY Other Fin &amp; REITS</v>
          </cell>
          <cell r="C75" t="str">
            <v>BRS_GOLD__5_SPREADS:BRS_GOLD__4_CORP:BRS_GOLD__3_CSHY:CORP50_HY_US,USD_HY_LIQUID,USD_HY_LIQUID_SF,USD_HY_VLUE_SF,USD_HY_QUAL_SF,USD_HY_REV_SF,USD_HY_MOM_SF,USD_HY_VOL_SF:CORP50_US_IND_HY:USD_HY_OTHERFIN</v>
          </cell>
          <cell r="D75" t="str">
            <v>Spread Duration</v>
          </cell>
          <cell r="E75" t="str">
            <v>Spread Yield (DxS)</v>
          </cell>
          <cell r="F75" t="str">
            <v>SP-Corporate HY USD</v>
          </cell>
          <cell r="G75" t="str">
            <v>SP-Spread Corporate</v>
          </cell>
          <cell r="H75" t="str">
            <v>SPREADS</v>
          </cell>
          <cell r="I75" t="str">
            <v>Corporate HY USD - Industry</v>
          </cell>
        </row>
        <row r="76">
          <cell r="A76" t="str">
            <v>USD_HY_AUTO</v>
          </cell>
          <cell r="B76" t="str">
            <v>US HY Auto</v>
          </cell>
          <cell r="C76" t="str">
            <v>BRS_GOLD__5_SPREADS:BRS_GOLD__4_CORP:BRS_GOLD__3_CSHY:CORP50_HY_US,USD_HY_LIQUID,USD_HY_LIQUID_SF,USD_HY_VLUE_SF,USD_HY_QUAL_SF,USD_HY_REV_SF,USD_HY_MOM_SF,USD_HY_VOL_SF:CORP50_US_IND_HY:USD_HY_AUTO</v>
          </cell>
          <cell r="D76" t="str">
            <v>Spread Duration</v>
          </cell>
          <cell r="E76" t="str">
            <v>Spread Yield (DxS)</v>
          </cell>
          <cell r="F76" t="str">
            <v>SP-Corporate HY USD</v>
          </cell>
          <cell r="G76" t="str">
            <v>SP-Spread Corporate</v>
          </cell>
          <cell r="H76" t="str">
            <v>SPREADS</v>
          </cell>
          <cell r="I76" t="str">
            <v>Corporate HY USD - Industry</v>
          </cell>
        </row>
        <row r="77">
          <cell r="A77" t="str">
            <v>USD_HY_CYCLICAL</v>
          </cell>
          <cell r="B77" t="str">
            <v>US HY Cyclical</v>
          </cell>
          <cell r="C77" t="str">
            <v>BRS_GOLD__5_SPREADS:BRS_GOLD__4_CORP:BRS_GOLD__3_CSHY:CORP50_HY_US,USD_HY_LIQUID,USD_HY_LIQUID_SF,USD_HY_VLUE_SF,USD_HY_QUAL_SF,USD_HY_REV_SF,USD_HY_MOM_SF,USD_HY_VOL_SF:CORP50_US_IND_HY:USD_HY_CYCLICAL</v>
          </cell>
          <cell r="D77" t="str">
            <v>Spread Duration</v>
          </cell>
          <cell r="E77" t="str">
            <v>Spread Yield (DxS)</v>
          </cell>
          <cell r="F77" t="str">
            <v>SP-Corporate HY USD</v>
          </cell>
          <cell r="G77" t="str">
            <v>SP-Spread Corporate</v>
          </cell>
          <cell r="H77" t="str">
            <v>SPREADS</v>
          </cell>
          <cell r="I77" t="str">
            <v>Corporate HY USD - Industry</v>
          </cell>
        </row>
        <row r="78">
          <cell r="A78" t="str">
            <v>USD_HY_GAME</v>
          </cell>
          <cell r="B78" t="str">
            <v>US HY Gaming</v>
          </cell>
          <cell r="C78" t="str">
            <v>BRS_GOLD__5_SPREADS:BRS_GOLD__4_CORP:BRS_GOLD__3_CSHY:CORP50_HY_US,USD_HY_LIQUID,USD_HY_LIQUID_SF,USD_HY_VLUE_SF,USD_HY_QUAL_SF,USD_HY_REV_SF,USD_HY_MOM_SF,USD_HY_VOL_SF:CORP50_US_IND_HY:USD_HY_GAME</v>
          </cell>
          <cell r="D78" t="str">
            <v>Spread Duration</v>
          </cell>
          <cell r="E78" t="str">
            <v>Spread Yield (DxS)</v>
          </cell>
          <cell r="F78" t="str">
            <v>SP-Corporate HY USD</v>
          </cell>
          <cell r="G78" t="str">
            <v>SP-Spread Corporate</v>
          </cell>
          <cell r="H78" t="str">
            <v>SPREADS</v>
          </cell>
          <cell r="I78" t="str">
            <v>Corporate HY USD - Industry</v>
          </cell>
        </row>
        <row r="79">
          <cell r="A79" t="str">
            <v>USD_HY_HOMECON</v>
          </cell>
          <cell r="B79" t="str">
            <v>US HY Home Construction</v>
          </cell>
          <cell r="C79" t="str">
            <v>BRS_GOLD__5_SPREADS:BRS_GOLD__4_CORP:BRS_GOLD__3_CSHY:CORP50_HY_US,USD_HY_LIQUID,USD_HY_LIQUID_SF,USD_HY_VLUE_SF,USD_HY_QUAL_SF,USD_HY_REV_SF,USD_HY_MOM_SF,USD_HY_VOL_SF:CORP50_US_IND_HY:USD_HY_HOMECON</v>
          </cell>
          <cell r="D79" t="str">
            <v>Spread Duration</v>
          </cell>
          <cell r="E79" t="str">
            <v>Spread Yield (DxS)</v>
          </cell>
          <cell r="F79" t="str">
            <v>SP-Corporate HY USD</v>
          </cell>
          <cell r="G79" t="str">
            <v>SP-Spread Corporate</v>
          </cell>
          <cell r="H79" t="str">
            <v>SPREADS</v>
          </cell>
          <cell r="I79" t="str">
            <v>Corporate HY USD - Industry</v>
          </cell>
        </row>
        <row r="80">
          <cell r="A80" t="str">
            <v>USD_HY_RETAIL</v>
          </cell>
          <cell r="B80" t="str">
            <v>US HY Retail</v>
          </cell>
          <cell r="C80" t="str">
            <v>BRS_GOLD__5_SPREADS:BRS_GOLD__4_CORP:BRS_GOLD__3_CSHY:CORP50_HY_US,USD_HY_LIQUID,USD_HY_LIQUID_SF,USD_HY_VLUE_SF,USD_HY_QUAL_SF,USD_HY_REV_SF,USD_HY_MOM_SF,USD_HY_VOL_SF:CORP50_US_IND_HY:USD_HY_RETAIL</v>
          </cell>
          <cell r="D80" t="str">
            <v>Spread Duration</v>
          </cell>
          <cell r="E80" t="str">
            <v>Spread Yield (DxS)</v>
          </cell>
          <cell r="F80" t="str">
            <v>SP-Corporate HY USD</v>
          </cell>
          <cell r="G80" t="str">
            <v>SP-Spread Corporate</v>
          </cell>
          <cell r="H80" t="str">
            <v>SPREADS</v>
          </cell>
          <cell r="I80" t="str">
            <v>Corporate HY USD - Industry</v>
          </cell>
        </row>
        <row r="81">
          <cell r="A81" t="str">
            <v>USD_HY_HEALTHCARE</v>
          </cell>
          <cell r="B81" t="str">
            <v>US HY Healthcare</v>
          </cell>
          <cell r="C81" t="str">
            <v>BRS_GOLD__5_SPREADS:BRS_GOLD__4_CORP:BRS_GOLD__3_CSHY:CORP50_HY_US,USD_HY_LIQUID,USD_HY_LIQUID_SF,USD_HY_VLUE_SF,USD_HY_QUAL_SF,USD_HY_REV_SF,USD_HY_MOM_SF,USD_HY_VOL_SF:CORP50_US_IND_HY:USD_HY_HEALTHCARE</v>
          </cell>
          <cell r="D81" t="str">
            <v>Spread Duration</v>
          </cell>
          <cell r="E81" t="str">
            <v>Spread Yield (DxS)</v>
          </cell>
          <cell r="F81" t="str">
            <v>SP-Corporate HY USD</v>
          </cell>
          <cell r="G81" t="str">
            <v>SP-Spread Corporate</v>
          </cell>
          <cell r="H81" t="str">
            <v>SPREADS</v>
          </cell>
          <cell r="I81" t="str">
            <v>Corporate HY USD - Industry</v>
          </cell>
        </row>
        <row r="82">
          <cell r="A82" t="str">
            <v>USD_HY_NONCYCLICAL</v>
          </cell>
          <cell r="B82" t="str">
            <v>US HY Noncyclical</v>
          </cell>
          <cell r="C82" t="str">
            <v>BRS_GOLD__5_SPREADS:BRS_GOLD__4_CORP:BRS_GOLD__3_CSHY:CORP50_HY_US,USD_HY_LIQUID,USD_HY_LIQUID_SF,USD_HY_VLUE_SF,USD_HY_QUAL_SF,USD_HY_REV_SF,USD_HY_MOM_SF,USD_HY_VOL_SF:CORP50_US_IND_HY:USD_HY_NONCYCLICAL</v>
          </cell>
          <cell r="D82" t="str">
            <v>Spread Duration</v>
          </cell>
          <cell r="E82" t="str">
            <v>Spread Yield (DxS)</v>
          </cell>
          <cell r="F82" t="str">
            <v>SP-Corporate HY USD</v>
          </cell>
          <cell r="G82" t="str">
            <v>SP-Spread Corporate</v>
          </cell>
          <cell r="H82" t="str">
            <v>SPREADS</v>
          </cell>
          <cell r="I82" t="str">
            <v>Corporate HY USD - Industry</v>
          </cell>
        </row>
        <row r="83">
          <cell r="A83" t="str">
            <v>USD_HY_PHARMA</v>
          </cell>
          <cell r="B83" t="str">
            <v>US HY Pharmaceuticals</v>
          </cell>
          <cell r="C83" t="str">
            <v>BRS_GOLD__5_SPREADS:BRS_GOLD__4_CORP:BRS_GOLD__3_CSHY:CORP50_HY_US,USD_HY_LIQUID,USD_HY_LIQUID_SF,USD_HY_VLUE_SF,USD_HY_QUAL_SF,USD_HY_REV_SF,USD_HY_MOM_SF,USD_HY_VOL_SF:CORP50_US_IND_HY:USD_HY_PHARMA</v>
          </cell>
          <cell r="D83" t="str">
            <v>Spread Duration</v>
          </cell>
          <cell r="E83" t="str">
            <v>Spread Yield (DxS)</v>
          </cell>
          <cell r="F83" t="str">
            <v>SP-Corporate HY USD</v>
          </cell>
          <cell r="G83" t="str">
            <v>SP-Spread Corporate</v>
          </cell>
          <cell r="H83" t="str">
            <v>SPREADS</v>
          </cell>
          <cell r="I83" t="str">
            <v>Corporate HY USD - Industry</v>
          </cell>
        </row>
        <row r="84">
          <cell r="A84" t="str">
            <v>USD_HY_AERO</v>
          </cell>
          <cell r="B84" t="str">
            <v>US HY Aerospace</v>
          </cell>
          <cell r="C84" t="str">
            <v>BRS_GOLD__5_SPREADS:BRS_GOLD__4_CORP:BRS_GOLD__3_CSHY:CORP50_HY_US,USD_HY_LIQUID,USD_HY_LIQUID_SF,USD_HY_VLUE_SF,USD_HY_QUAL_SF,USD_HY_REV_SF,USD_HY_MOM_SF,USD_HY_VOL_SF:CORP50_US_IND_HY:USD_HY_AERO</v>
          </cell>
          <cell r="D84" t="str">
            <v>Spread Duration</v>
          </cell>
          <cell r="E84" t="str">
            <v>Spread Yield (DxS)</v>
          </cell>
          <cell r="F84" t="str">
            <v>SP-Corporate HY USD</v>
          </cell>
          <cell r="G84" t="str">
            <v>SP-Spread Corporate</v>
          </cell>
          <cell r="H84" t="str">
            <v>SPREADS</v>
          </cell>
          <cell r="I84" t="str">
            <v>Corporate HY USD - Industry</v>
          </cell>
        </row>
        <row r="85">
          <cell r="A85" t="str">
            <v>USD_HY_CABLE</v>
          </cell>
          <cell r="B85" t="str">
            <v>US HY Media Cable</v>
          </cell>
          <cell r="C85" t="str">
            <v>BRS_GOLD__5_SPREADS:BRS_GOLD__4_CORP:BRS_GOLD__3_CSHY:CORP50_HY_US,USD_HY_LIQUID,USD_HY_LIQUID_SF,USD_HY_VLUE_SF,USD_HY_QUAL_SF,USD_HY_REV_SF,USD_HY_MOM_SF,USD_HY_VOL_SF:CORP50_US_IND_HY:USD_HY_CABLE</v>
          </cell>
          <cell r="D85" t="str">
            <v>Spread Duration</v>
          </cell>
          <cell r="E85" t="str">
            <v>Spread Yield (DxS)</v>
          </cell>
          <cell r="F85" t="str">
            <v>SP-Corporate HY USD</v>
          </cell>
          <cell r="G85" t="str">
            <v>SP-Spread Corporate</v>
          </cell>
          <cell r="H85" t="str">
            <v>SPREADS</v>
          </cell>
          <cell r="I85" t="str">
            <v>Corporate HY USD - Industry</v>
          </cell>
        </row>
        <row r="86">
          <cell r="A86" t="str">
            <v>USD_HY_CAPG</v>
          </cell>
          <cell r="B86" t="str">
            <v>US HY Capital Goods</v>
          </cell>
          <cell r="C86" t="str">
            <v>BRS_GOLD__5_SPREADS:BRS_GOLD__4_CORP:BRS_GOLD__3_CSHY:CORP50_HY_US,USD_HY_LIQUID,USD_HY_LIQUID_SF,USD_HY_VLUE_SF,USD_HY_QUAL_SF,USD_HY_REV_SF,USD_HY_MOM_SF,USD_HY_VOL_SF:CORP50_US_IND_HY:USD_HY_CAPG</v>
          </cell>
          <cell r="D86" t="str">
            <v>Spread Duration</v>
          </cell>
          <cell r="E86" t="str">
            <v>Spread Yield (DxS)</v>
          </cell>
          <cell r="F86" t="str">
            <v>SP-Corporate HY USD</v>
          </cell>
          <cell r="G86" t="str">
            <v>SP-Spread Corporate</v>
          </cell>
          <cell r="H86" t="str">
            <v>SPREADS</v>
          </cell>
          <cell r="I86" t="str">
            <v>Corporate HY USD - Industry</v>
          </cell>
        </row>
        <row r="87">
          <cell r="A87" t="str">
            <v>USD_HY_CHEMPAPER</v>
          </cell>
          <cell r="B87" t="str">
            <v>US HY Chemicals &amp; Paper</v>
          </cell>
          <cell r="C87" t="str">
            <v>BRS_GOLD__5_SPREADS:BRS_GOLD__4_CORP:BRS_GOLD__3_CSHY:CORP50_HY_US,USD_HY_LIQUID,USD_HY_LIQUID_SF,USD_HY_VLUE_SF,USD_HY_QUAL_SF,USD_HY_REV_SF,USD_HY_MOM_SF,USD_HY_VOL_SF:CORP50_US_IND_HY:USD_HY_CHEMPAPER</v>
          </cell>
          <cell r="D87" t="str">
            <v>Spread Duration</v>
          </cell>
          <cell r="E87" t="str">
            <v>Spread Yield (DxS)</v>
          </cell>
          <cell r="F87" t="str">
            <v>SP-Corporate HY USD</v>
          </cell>
          <cell r="G87" t="str">
            <v>SP-Spread Corporate</v>
          </cell>
          <cell r="H87" t="str">
            <v>SPREADS</v>
          </cell>
          <cell r="I87" t="str">
            <v>Corporate HY USD - Industry</v>
          </cell>
        </row>
        <row r="88">
          <cell r="A88" t="str">
            <v>USD_HY_METALS</v>
          </cell>
          <cell r="B88" t="str">
            <v>US HY Metals</v>
          </cell>
          <cell r="C88" t="str">
            <v>BRS_GOLD__5_SPREADS:BRS_GOLD__4_CORP:BRS_GOLD__3_CSHY:CORP50_HY_US,USD_HY_LIQUID,USD_HY_LIQUID_SF,USD_HY_VLUE_SF,USD_HY_QUAL_SF,USD_HY_REV_SF,USD_HY_MOM_SF,USD_HY_VOL_SF:CORP50_US_IND_HY:USD_HY_METALS</v>
          </cell>
          <cell r="D88" t="str">
            <v>Spread Duration</v>
          </cell>
          <cell r="E88" t="str">
            <v>Spread Yield (DxS)</v>
          </cell>
          <cell r="F88" t="str">
            <v>SP-Corporate HY USD</v>
          </cell>
          <cell r="G88" t="str">
            <v>SP-Spread Corporate</v>
          </cell>
          <cell r="H88" t="str">
            <v>SPREADS</v>
          </cell>
          <cell r="I88" t="str">
            <v>Corporate HY USD - Industry</v>
          </cell>
        </row>
        <row r="89">
          <cell r="A89" t="str">
            <v>USD_HY_NONCABLE</v>
          </cell>
          <cell r="B89" t="str">
            <v>US HY Media Non Cable</v>
          </cell>
          <cell r="C89" t="str">
            <v>BRS_GOLD__5_SPREADS:BRS_GOLD__4_CORP:BRS_GOLD__3_CSHY:CORP50_HY_US,USD_HY_LIQUID,USD_HY_LIQUID_SF,USD_HY_VLUE_SF,USD_HY_QUAL_SF,USD_HY_REV_SF,USD_HY_MOM_SF,USD_HY_VOL_SF:CORP50_US_IND_HY:USD_HY_NONCABLE</v>
          </cell>
          <cell r="D89" t="str">
            <v>Spread Duration</v>
          </cell>
          <cell r="E89" t="str">
            <v>Spread Yield (DxS)</v>
          </cell>
          <cell r="F89" t="str">
            <v>SP-Corporate HY USD</v>
          </cell>
          <cell r="G89" t="str">
            <v>SP-Spread Corporate</v>
          </cell>
          <cell r="H89" t="str">
            <v>SPREADS</v>
          </cell>
          <cell r="I89" t="str">
            <v>Corporate HY USD - Industry</v>
          </cell>
        </row>
        <row r="90">
          <cell r="A90" t="str">
            <v>USD_HY_OTHERIND</v>
          </cell>
          <cell r="B90" t="str">
            <v>US HY Other Industry</v>
          </cell>
          <cell r="C90" t="str">
            <v>BRS_GOLD__5_SPREADS:BRS_GOLD__4_CORP:BRS_GOLD__3_CSHY:CORP50_HY_US,USD_HY_LIQUID,USD_HY_LIQUID_SF,USD_HY_VLUE_SF,USD_HY_QUAL_SF,USD_HY_REV_SF,USD_HY_MOM_SF,USD_HY_VOL_SF:CORP50_US_IND_HY:USD_HY_OTHERIND</v>
          </cell>
          <cell r="D90" t="str">
            <v>Spread Duration</v>
          </cell>
          <cell r="E90" t="str">
            <v>Spread Yield (DxS)</v>
          </cell>
          <cell r="F90" t="str">
            <v>SP-Corporate HY USD</v>
          </cell>
          <cell r="G90" t="str">
            <v>SP-Spread Corporate</v>
          </cell>
          <cell r="H90" t="str">
            <v>SPREADS</v>
          </cell>
          <cell r="I90" t="str">
            <v>Corporate HY USD - Industry</v>
          </cell>
        </row>
        <row r="91">
          <cell r="A91" t="str">
            <v>USD_HY_HARDWARE</v>
          </cell>
          <cell r="B91" t="str">
            <v>US HY Tech Hardware</v>
          </cell>
          <cell r="C91" t="str">
            <v>BRS_GOLD__5_SPREADS:BRS_GOLD__4_CORP:BRS_GOLD__3_CSHY:CORP50_HY_US,USD_HY_LIQUID,USD_HY_LIQUID_SF,USD_HY_VLUE_SF,USD_HY_QUAL_SF,USD_HY_REV_SF,USD_HY_MOM_SF,USD_HY_VOL_SF:CORP50_US_IND_HY:USD_HY_HARDWARE</v>
          </cell>
          <cell r="D91" t="str">
            <v>Spread Duration</v>
          </cell>
          <cell r="E91" t="str">
            <v>Spread Yield (DxS)</v>
          </cell>
          <cell r="F91" t="str">
            <v>SP-Corporate HY USD</v>
          </cell>
          <cell r="G91" t="str">
            <v>SP-Spread Corporate</v>
          </cell>
          <cell r="H91" t="str">
            <v>SPREADS</v>
          </cell>
          <cell r="I91" t="str">
            <v>Corporate HY USD - Industry</v>
          </cell>
        </row>
        <row r="92">
          <cell r="A92" t="str">
            <v>USD_HY_TECHOTHR</v>
          </cell>
          <cell r="B92" t="str">
            <v>US HY Other Technology</v>
          </cell>
          <cell r="C92" t="str">
            <v>BRS_GOLD__5_SPREADS:BRS_GOLD__4_CORP:BRS_GOLD__3_CSHY:CORP50_HY_US,USD_HY_LIQUID,USD_HY_LIQUID_SF,USD_HY_VLUE_SF,USD_HY_QUAL_SF,USD_HY_REV_SF,USD_HY_MOM_SF,USD_HY_VOL_SF:CORP50_US_IND_HY:USD_HY_TECHOTHR</v>
          </cell>
          <cell r="D92" t="str">
            <v>Spread Duration</v>
          </cell>
          <cell r="E92" t="str">
            <v>Spread Yield (DxS)</v>
          </cell>
          <cell r="F92" t="str">
            <v>SP-Corporate HY USD</v>
          </cell>
          <cell r="G92" t="str">
            <v>SP-Spread Corporate</v>
          </cell>
          <cell r="H92" t="str">
            <v>SPREADS</v>
          </cell>
          <cell r="I92" t="str">
            <v>Corporate HY USD - Industry</v>
          </cell>
        </row>
        <row r="93">
          <cell r="A93" t="str">
            <v>USD_HY_TRANSPORT</v>
          </cell>
          <cell r="B93" t="str">
            <v>US HY Transport</v>
          </cell>
          <cell r="C93" t="str">
            <v>BRS_GOLD__5_SPREADS:BRS_GOLD__4_CORP:BRS_GOLD__3_CSHY:CORP50_HY_US,USD_HY_LIQUID,USD_HY_LIQUID_SF,USD_HY_VLUE_SF,USD_HY_QUAL_SF,USD_HY_REV_SF,USD_HY_MOM_SF,USD_HY_VOL_SF:CORP50_US_IND_HY:USD_HY_TRANSPORT</v>
          </cell>
          <cell r="D93" t="str">
            <v>Spread Duration</v>
          </cell>
          <cell r="E93" t="str">
            <v>Spread Yield (DxS)</v>
          </cell>
          <cell r="F93" t="str">
            <v>SP-Corporate HY USD</v>
          </cell>
          <cell r="G93" t="str">
            <v>SP-Spread Corporate</v>
          </cell>
          <cell r="H93" t="str">
            <v>SPREADS</v>
          </cell>
          <cell r="I93" t="str">
            <v>Corporate HY USD - Industry</v>
          </cell>
        </row>
        <row r="94">
          <cell r="A94" t="str">
            <v>USD_HY_WIRELESS</v>
          </cell>
          <cell r="B94" t="str">
            <v>US HY Wireless</v>
          </cell>
          <cell r="C94" t="str">
            <v>BRS_GOLD__5_SPREADS:BRS_GOLD__4_CORP:BRS_GOLD__3_CSHY:CORP50_HY_US,USD_HY_LIQUID,USD_HY_LIQUID_SF,USD_HY_VLUE_SF,USD_HY_QUAL_SF,USD_HY_REV_SF,USD_HY_MOM_SF,USD_HY_VOL_SF:CORP50_US_IND_HY:USD_HY_WIRELESS</v>
          </cell>
          <cell r="D94" t="str">
            <v>Spread Duration</v>
          </cell>
          <cell r="E94" t="str">
            <v>Spread Yield (DxS)</v>
          </cell>
          <cell r="F94" t="str">
            <v>SP-Corporate HY USD</v>
          </cell>
          <cell r="G94" t="str">
            <v>SP-Spread Corporate</v>
          </cell>
          <cell r="H94" t="str">
            <v>SPREADS</v>
          </cell>
          <cell r="I94" t="str">
            <v>Corporate HY USD - Industry</v>
          </cell>
        </row>
        <row r="95">
          <cell r="A95" t="str">
            <v>USD_HY_WIRELINES</v>
          </cell>
          <cell r="B95" t="str">
            <v>US HY Wirelines</v>
          </cell>
          <cell r="C95" t="str">
            <v>BRS_GOLD__5_SPREADS:BRS_GOLD__4_CORP:BRS_GOLD__3_CSHY:CORP50_HY_US,USD_HY_LIQUID,USD_HY_LIQUID_SF,USD_HY_VLUE_SF,USD_HY_QUAL_SF,USD_HY_REV_SF,USD_HY_MOM_SF,USD_HY_VOL_SF:CORP50_US_IND_HY:USD_HY_WIRELINES</v>
          </cell>
          <cell r="D95" t="str">
            <v>Spread Duration</v>
          </cell>
          <cell r="E95" t="str">
            <v>Spread Yield (DxS)</v>
          </cell>
          <cell r="F95" t="str">
            <v>SP-Corporate HY USD</v>
          </cell>
          <cell r="G95" t="str">
            <v>SP-Spread Corporate</v>
          </cell>
          <cell r="H95" t="str">
            <v>SPREADS</v>
          </cell>
          <cell r="I95" t="str">
            <v>Corporate HY USD - Industry</v>
          </cell>
        </row>
        <row r="96">
          <cell r="A96" t="str">
            <v>USD_HY_INDE</v>
          </cell>
          <cell r="B96" t="str">
            <v>US HY Independent Energy</v>
          </cell>
          <cell r="C96" t="str">
            <v>BRS_GOLD__5_SPREADS:BRS_GOLD__4_CORP:BRS_GOLD__3_CSHY:CORP50_HY_US,USD_HY_LIQUID,USD_HY_LIQUID_SF,USD_HY_VLUE_SF,USD_HY_QUAL_SF,USD_HY_REV_SF,USD_HY_MOM_SF,USD_HY_VOL_SF:CORP50_US_IND_HY:USD_HY_INDE</v>
          </cell>
          <cell r="D96" t="str">
            <v>Spread Duration</v>
          </cell>
          <cell r="E96" t="str">
            <v>Spread Yield (DxS)</v>
          </cell>
          <cell r="F96" t="str">
            <v>SP-Corporate HY USD</v>
          </cell>
          <cell r="G96" t="str">
            <v>SP-Spread Corporate</v>
          </cell>
          <cell r="H96" t="str">
            <v>SPREADS</v>
          </cell>
          <cell r="I96" t="str">
            <v>Corporate HY USD - Industry</v>
          </cell>
        </row>
        <row r="97">
          <cell r="A97" t="str">
            <v>USD_HY_MDST</v>
          </cell>
          <cell r="B97" t="str">
            <v>US HY Midstream &amp; Refining</v>
          </cell>
          <cell r="C97" t="str">
            <v>BRS_GOLD__5_SPREADS:BRS_GOLD__4_CORP:BRS_GOLD__3_CSHY:CORP50_HY_US,USD_HY_LIQUID,USD_HY_LIQUID_SF,USD_HY_VLUE_SF,USD_HY_QUAL_SF,USD_HY_REV_SF,USD_HY_MOM_SF,USD_HY_VOL_SF:CORP50_US_IND_HY:USD_HY_MDST</v>
          </cell>
          <cell r="D97" t="str">
            <v>Spread Duration</v>
          </cell>
          <cell r="E97" t="str">
            <v>Spread Yield (DxS)</v>
          </cell>
          <cell r="F97" t="str">
            <v>SP-Corporate HY USD</v>
          </cell>
          <cell r="G97" t="str">
            <v>SP-Spread Corporate</v>
          </cell>
          <cell r="H97" t="str">
            <v>SPREADS</v>
          </cell>
          <cell r="I97" t="str">
            <v>Corporate HY USD - Industry</v>
          </cell>
        </row>
        <row r="98">
          <cell r="A98" t="str">
            <v>USD_HY_OILM</v>
          </cell>
          <cell r="B98" t="str">
            <v>US HY Oil Field Services</v>
          </cell>
          <cell r="C98" t="str">
            <v>BRS_GOLD__5_SPREADS:BRS_GOLD__4_CORP:BRS_GOLD__3_CSHY:CORP50_HY_US,USD_HY_LIQUID,USD_HY_LIQUID_SF,USD_HY_VLUE_SF,USD_HY_QUAL_SF,USD_HY_REV_SF,USD_HY_MOM_SF,USD_HY_VOL_SF:CORP50_US_IND_HY:USD_HY_OILM</v>
          </cell>
          <cell r="D98" t="str">
            <v>Spread Duration</v>
          </cell>
          <cell r="E98" t="str">
            <v>Spread Yield (DxS)</v>
          </cell>
          <cell r="F98" t="str">
            <v>SP-Corporate HY USD</v>
          </cell>
          <cell r="G98" t="str">
            <v>SP-Spread Corporate</v>
          </cell>
          <cell r="H98" t="str">
            <v>SPREADS</v>
          </cell>
          <cell r="I98" t="str">
            <v>Corporate HY USD - Industry</v>
          </cell>
        </row>
        <row r="99">
          <cell r="A99" t="str">
            <v>USD_HY_UTILITY</v>
          </cell>
          <cell r="B99" t="str">
            <v>US HY Utility</v>
          </cell>
          <cell r="C99" t="str">
            <v>BRS_GOLD__5_SPREADS:BRS_GOLD__4_CORP:BRS_GOLD__3_CSHY:CORP50_HY_US,USD_HY_LIQUID,USD_HY_LIQUID_SF,USD_HY_VLUE_SF,USD_HY_QUAL_SF,USD_HY_REV_SF,USD_HY_MOM_SF,USD_HY_VOL_SF:CORP50_US_IND_HY:USD_HY_UTILITY</v>
          </cell>
          <cell r="D99" t="str">
            <v>Spread Duration</v>
          </cell>
          <cell r="E99" t="str">
            <v>Spread Yield (DxS)</v>
          </cell>
          <cell r="F99" t="str">
            <v>SP-Corporate HY USD</v>
          </cell>
          <cell r="G99" t="str">
            <v>SP-Spread Corporate</v>
          </cell>
          <cell r="H99" t="str">
            <v>SPREADS</v>
          </cell>
          <cell r="I99" t="str">
            <v>Corporate HY USD - Industry</v>
          </cell>
        </row>
        <row r="100">
          <cell r="A100" t="str">
            <v>USD_HY_TECH</v>
          </cell>
          <cell r="B100" t="str">
            <v>US HY Technology</v>
          </cell>
          <cell r="C100" t="str">
            <v>BRS_GOLD__5_SPREADS:BRS_GOLD__4_CORP:BRS_GOLD__3_CSHY:CORP50_HY_US,USD_HY_LIQUID,USD_HY_LIQUID_SF,USD_HY_VLUE_SF,USD_HY_QUAL_SF,USD_HY_REV_SF,USD_HY_MOM_SF,USD_HY_VOL_SF:CORP50_US_IND_HY:USD_HY_TECH</v>
          </cell>
          <cell r="D100" t="str">
            <v>Spread Duration</v>
          </cell>
          <cell r="E100" t="str">
            <v>Spread Yield (DxS)</v>
          </cell>
          <cell r="F100" t="str">
            <v>SP-Corporate HY USD</v>
          </cell>
          <cell r="G100" t="str">
            <v>SP-Spread Corporate</v>
          </cell>
          <cell r="H100" t="str">
            <v>SPREADS</v>
          </cell>
          <cell r="I100" t="str">
            <v>Corporate HY USD - Industry</v>
          </cell>
        </row>
        <row r="101">
          <cell r="A101" t="str">
            <v>USD_HY_BANKBROK_SF</v>
          </cell>
          <cell r="B101" t="str">
            <v>US HY Banking</v>
          </cell>
          <cell r="C101" t="str">
            <v>BRS_GOLD__5_SPREADS:BRS_GOLD__4_CORP:BRS_GOLD__3_CSHY:CORP50_HY_US,USD_HY_LIQUID,USD_HY_LIQUID_SF,USD_HY_VLUE_SF,USD_HY_QUAL_SF,USD_HY_REV_SF,USD_HY_MOM_SF,USD_HY_VOL_SF:CORP50_US_IND_HY:USD_HY_BANKBROK_SF</v>
          </cell>
          <cell r="D101" t="str">
            <v>Spread Duration</v>
          </cell>
          <cell r="E101" t="str">
            <v>Spread Yield (DxS)</v>
          </cell>
          <cell r="F101" t="str">
            <v>SP-Corporate HY USD</v>
          </cell>
          <cell r="G101" t="str">
            <v>SP-Spread Corporate</v>
          </cell>
          <cell r="H101" t="str">
            <v>SPREADS</v>
          </cell>
          <cell r="I101" t="str">
            <v>Corporate HY USD - Industry</v>
          </cell>
        </row>
        <row r="102">
          <cell r="A102" t="str">
            <v>USD_HY_FINC_SF</v>
          </cell>
          <cell r="B102" t="str">
            <v>US HY Finance Companies</v>
          </cell>
          <cell r="C102" t="str">
            <v>BRS_GOLD__5_SPREADS:BRS_GOLD__4_CORP:BRS_GOLD__3_CSHY:CORP50_HY_US,USD_HY_LIQUID,USD_HY_LIQUID_SF,USD_HY_VLUE_SF,USD_HY_QUAL_SF,USD_HY_REV_SF,USD_HY_MOM_SF,USD_HY_VOL_SF:CORP50_US_IND_HY:USD_HY_FINC_SF</v>
          </cell>
          <cell r="D102" t="str">
            <v>Spread Duration</v>
          </cell>
          <cell r="E102" t="str">
            <v>Spread Yield (DxS)</v>
          </cell>
          <cell r="F102" t="str">
            <v>SP-Corporate HY USD</v>
          </cell>
          <cell r="G102" t="str">
            <v>SP-Spread Corporate</v>
          </cell>
          <cell r="H102" t="str">
            <v>SPREADS</v>
          </cell>
          <cell r="I102" t="str">
            <v>Corporate HY USD - Industry</v>
          </cell>
        </row>
        <row r="103">
          <cell r="A103" t="str">
            <v>USD_HY_INSURANCE_SF</v>
          </cell>
          <cell r="B103" t="str">
            <v>US HY Insurance</v>
          </cell>
          <cell r="C103" t="str">
            <v>BRS_GOLD__5_SPREADS:BRS_GOLD__4_CORP:BRS_GOLD__3_CSHY:CORP50_HY_US,USD_HY_LIQUID,USD_HY_LIQUID_SF,USD_HY_VLUE_SF,USD_HY_QUAL_SF,USD_HY_REV_SF,USD_HY_MOM_SF,USD_HY_VOL_SF:CORP50_US_IND_HY:USD_HY_INSURANCE_SF</v>
          </cell>
          <cell r="D103" t="str">
            <v>Spread Duration</v>
          </cell>
          <cell r="E103" t="str">
            <v>Spread Yield (DxS)</v>
          </cell>
          <cell r="F103" t="str">
            <v>SP-Corporate HY USD</v>
          </cell>
          <cell r="G103" t="str">
            <v>SP-Spread Corporate</v>
          </cell>
          <cell r="H103" t="str">
            <v>SPREADS</v>
          </cell>
          <cell r="I103" t="str">
            <v>Corporate HY USD - Industry</v>
          </cell>
        </row>
        <row r="104">
          <cell r="A104" t="str">
            <v>USD_HY_OTHERFIN_SF</v>
          </cell>
          <cell r="B104" t="str">
            <v>US HY Other Fin &amp; REITS</v>
          </cell>
          <cell r="C104" t="str">
            <v>BRS_GOLD__5_SPREADS:BRS_GOLD__4_CORP:BRS_GOLD__3_CSHY:CORP50_HY_US,USD_HY_LIQUID,USD_HY_LIQUID_SF,USD_HY_VLUE_SF,USD_HY_QUAL_SF,USD_HY_REV_SF,USD_HY_MOM_SF,USD_HY_VOL_SF:CORP50_US_IND_HY:USD_HY_OTHERFIN_SF</v>
          </cell>
          <cell r="D104" t="str">
            <v>Spread Duration</v>
          </cell>
          <cell r="E104" t="str">
            <v>Spread Yield (DxS)</v>
          </cell>
          <cell r="F104" t="str">
            <v>SP-Corporate HY USD</v>
          </cell>
          <cell r="G104" t="str">
            <v>SP-Spread Corporate</v>
          </cell>
          <cell r="H104" t="str">
            <v>SPREADS</v>
          </cell>
          <cell r="I104" t="str">
            <v>Corporate HY USD - Industry</v>
          </cell>
        </row>
        <row r="105">
          <cell r="A105" t="str">
            <v>USD_HY_AUTO_SF</v>
          </cell>
          <cell r="B105" t="str">
            <v>US HY Auto</v>
          </cell>
          <cell r="C105" t="str">
            <v>BRS_GOLD__5_SPREADS:BRS_GOLD__4_CORP:BRS_GOLD__3_CSHY:CORP50_HY_US,USD_HY_LIQUID,USD_HY_LIQUID_SF,USD_HY_VLUE_SF,USD_HY_QUAL_SF,USD_HY_REV_SF,USD_HY_MOM_SF,USD_HY_VOL_SF:CORP50_US_IND_HY:USD_HY_AUTO_SF</v>
          </cell>
          <cell r="D105" t="str">
            <v>Spread Duration</v>
          </cell>
          <cell r="E105" t="str">
            <v>Spread Yield (DxS)</v>
          </cell>
          <cell r="F105" t="str">
            <v>SP-Corporate HY USD</v>
          </cell>
          <cell r="G105" t="str">
            <v>SP-Spread Corporate</v>
          </cell>
          <cell r="H105" t="str">
            <v>SPREADS</v>
          </cell>
          <cell r="I105" t="str">
            <v>Corporate HY USD - Industry</v>
          </cell>
        </row>
        <row r="106">
          <cell r="A106" t="str">
            <v>USD_HY_CYCLICAL_SF</v>
          </cell>
          <cell r="B106" t="str">
            <v>US HY Cyclical</v>
          </cell>
          <cell r="C106" t="str">
            <v>BRS_GOLD__5_SPREADS:BRS_GOLD__4_CORP:BRS_GOLD__3_CSHY:CORP50_HY_US,USD_HY_LIQUID,USD_HY_LIQUID_SF,USD_HY_VLUE_SF,USD_HY_QUAL_SF,USD_HY_REV_SF,USD_HY_MOM_SF,USD_HY_VOL_SF:CORP50_US_IND_HY:USD_HY_CYCLICAL_SF</v>
          </cell>
          <cell r="D106" t="str">
            <v>Spread Duration</v>
          </cell>
          <cell r="E106" t="str">
            <v>Spread Yield (DxS)</v>
          </cell>
          <cell r="F106" t="str">
            <v>SP-Corporate HY USD</v>
          </cell>
          <cell r="G106" t="str">
            <v>SP-Spread Corporate</v>
          </cell>
          <cell r="H106" t="str">
            <v>SPREADS</v>
          </cell>
          <cell r="I106" t="str">
            <v>Corporate HY USD - Industry</v>
          </cell>
        </row>
        <row r="107">
          <cell r="A107" t="str">
            <v>USD_HY_GAME_SF</v>
          </cell>
          <cell r="B107" t="str">
            <v>US HY Gaming</v>
          </cell>
          <cell r="C107" t="str">
            <v>BRS_GOLD__5_SPREADS:BRS_GOLD__4_CORP:BRS_GOLD__3_CSHY:CORP50_HY_US,USD_HY_LIQUID,USD_HY_LIQUID_SF,USD_HY_VLUE_SF,USD_HY_QUAL_SF,USD_HY_REV_SF,USD_HY_MOM_SF,USD_HY_VOL_SF:CORP50_US_IND_HY:USD_HY_GAME_SF</v>
          </cell>
          <cell r="D107" t="str">
            <v>Spread Duration</v>
          </cell>
          <cell r="E107" t="str">
            <v>Spread Yield (DxS)</v>
          </cell>
          <cell r="F107" t="str">
            <v>SP-Corporate HY USD</v>
          </cell>
          <cell r="G107" t="str">
            <v>SP-Spread Corporate</v>
          </cell>
          <cell r="H107" t="str">
            <v>SPREADS</v>
          </cell>
          <cell r="I107" t="str">
            <v>Corporate HY USD - Industry</v>
          </cell>
        </row>
        <row r="108">
          <cell r="A108" t="str">
            <v>USD_HY_HOMECON_SF</v>
          </cell>
          <cell r="B108" t="str">
            <v>US HY Home Construction</v>
          </cell>
          <cell r="C108" t="str">
            <v>BRS_GOLD__5_SPREADS:BRS_GOLD__4_CORP:BRS_GOLD__3_CSHY:CORP50_HY_US,USD_HY_LIQUID,USD_HY_LIQUID_SF,USD_HY_VLUE_SF,USD_HY_QUAL_SF,USD_HY_REV_SF,USD_HY_MOM_SF,USD_HY_VOL_SF:CORP50_US_IND_HY:USD_HY_HOMECON_SF</v>
          </cell>
          <cell r="D108" t="str">
            <v>Spread Duration</v>
          </cell>
          <cell r="E108" t="str">
            <v>Spread Yield (DxS)</v>
          </cell>
          <cell r="F108" t="str">
            <v>SP-Corporate HY USD</v>
          </cell>
          <cell r="G108" t="str">
            <v>SP-Spread Corporate</v>
          </cell>
          <cell r="H108" t="str">
            <v>SPREADS</v>
          </cell>
          <cell r="I108" t="str">
            <v>Corporate HY USD - Industry</v>
          </cell>
        </row>
        <row r="109">
          <cell r="A109" t="str">
            <v>USD_HY_RETAIL_SF</v>
          </cell>
          <cell r="B109" t="str">
            <v>US HY Retail</v>
          </cell>
          <cell r="C109" t="str">
            <v>BRS_GOLD__5_SPREADS:BRS_GOLD__4_CORP:BRS_GOLD__3_CSHY:CORP50_HY_US,USD_HY_LIQUID,USD_HY_LIQUID_SF,USD_HY_VLUE_SF,USD_HY_QUAL_SF,USD_HY_REV_SF,USD_HY_MOM_SF,USD_HY_VOL_SF:CORP50_US_IND_HY:USD_HY_RETAIL_SF</v>
          </cell>
          <cell r="D109" t="str">
            <v>Spread Duration</v>
          </cell>
          <cell r="E109" t="str">
            <v>Spread Yield (DxS)</v>
          </cell>
          <cell r="F109" t="str">
            <v>SP-Corporate HY USD</v>
          </cell>
          <cell r="G109" t="str">
            <v>SP-Spread Corporate</v>
          </cell>
          <cell r="H109" t="str">
            <v>SPREADS</v>
          </cell>
          <cell r="I109" t="str">
            <v>Corporate HY USD - Industry</v>
          </cell>
        </row>
        <row r="110">
          <cell r="A110" t="str">
            <v>USD_HY_HEALTHCARE_SF</v>
          </cell>
          <cell r="B110" t="str">
            <v>US HY Healthcare</v>
          </cell>
          <cell r="C110" t="str">
            <v>BRS_GOLD__5_SPREADS:BRS_GOLD__4_CORP:BRS_GOLD__3_CSHY:CORP50_HY_US,USD_HY_LIQUID,USD_HY_LIQUID_SF,USD_HY_VLUE_SF,USD_HY_QUAL_SF,USD_HY_REV_SF,USD_HY_MOM_SF,USD_HY_VOL_SF:CORP50_US_IND_HY:USD_HY_HEALTHCARE_SF</v>
          </cell>
          <cell r="D110" t="str">
            <v>Spread Duration</v>
          </cell>
          <cell r="E110" t="str">
            <v>Spread Yield (DxS)</v>
          </cell>
          <cell r="F110" t="str">
            <v>SP-Corporate HY USD</v>
          </cell>
          <cell r="G110" t="str">
            <v>SP-Spread Corporate</v>
          </cell>
          <cell r="H110" t="str">
            <v>SPREADS</v>
          </cell>
          <cell r="I110" t="str">
            <v>Corporate HY USD - Industry</v>
          </cell>
        </row>
        <row r="111">
          <cell r="A111" t="str">
            <v>USD_HY_NONCYCLICAL_SF</v>
          </cell>
          <cell r="B111" t="str">
            <v>US HY Noncyclical</v>
          </cell>
          <cell r="C111" t="str">
            <v>BRS_GOLD__5_SPREADS:BRS_GOLD__4_CORP:BRS_GOLD__3_CSHY:CORP50_HY_US,USD_HY_LIQUID,USD_HY_LIQUID_SF,USD_HY_VLUE_SF,USD_HY_QUAL_SF,USD_HY_REV_SF,USD_HY_MOM_SF,USD_HY_VOL_SF:CORP50_US_IND_HY:USD_HY_NONCYCLICAL_SF</v>
          </cell>
          <cell r="D111" t="str">
            <v>Spread Duration</v>
          </cell>
          <cell r="E111" t="str">
            <v>Spread Yield (DxS)</v>
          </cell>
          <cell r="F111" t="str">
            <v>SP-Corporate HY USD</v>
          </cell>
          <cell r="G111" t="str">
            <v>SP-Spread Corporate</v>
          </cell>
          <cell r="H111" t="str">
            <v>SPREADS</v>
          </cell>
          <cell r="I111" t="str">
            <v>Corporate HY USD - Industry</v>
          </cell>
        </row>
        <row r="112">
          <cell r="A112" t="str">
            <v>USD_HY_PHARMA_SF</v>
          </cell>
          <cell r="B112" t="str">
            <v>US HY Pharmaceuticals</v>
          </cell>
          <cell r="C112" t="str">
            <v>BRS_GOLD__5_SPREADS:BRS_GOLD__4_CORP:BRS_GOLD__3_CSHY:CORP50_HY_US,USD_HY_LIQUID,USD_HY_LIQUID_SF,USD_HY_VLUE_SF,USD_HY_QUAL_SF,USD_HY_REV_SF,USD_HY_MOM_SF,USD_HY_VOL_SF:CORP50_US_IND_HY:USD_HY_PHARMA_SF</v>
          </cell>
          <cell r="D112" t="str">
            <v>Spread Duration</v>
          </cell>
          <cell r="E112" t="str">
            <v>Spread Yield (DxS)</v>
          </cell>
          <cell r="F112" t="str">
            <v>SP-Corporate HY USD</v>
          </cell>
          <cell r="G112" t="str">
            <v>SP-Spread Corporate</v>
          </cell>
          <cell r="H112" t="str">
            <v>SPREADS</v>
          </cell>
          <cell r="I112" t="str">
            <v>Corporate HY USD - Industry</v>
          </cell>
        </row>
        <row r="113">
          <cell r="A113" t="str">
            <v>USD_HY_AERO_SF</v>
          </cell>
          <cell r="B113" t="str">
            <v>US HY Aerospace</v>
          </cell>
          <cell r="C113" t="str">
            <v>BRS_GOLD__5_SPREADS:BRS_GOLD__4_CORP:BRS_GOLD__3_CSHY:CORP50_HY_US,USD_HY_LIQUID,USD_HY_LIQUID_SF,USD_HY_VLUE_SF,USD_HY_QUAL_SF,USD_HY_REV_SF,USD_HY_MOM_SF,USD_HY_VOL_SF:CORP50_US_IND_HY:USD_HY_AERO_SF</v>
          </cell>
          <cell r="D113" t="str">
            <v>Spread Duration</v>
          </cell>
          <cell r="E113" t="str">
            <v>Spread Yield (DxS)</v>
          </cell>
          <cell r="F113" t="str">
            <v>SP-Corporate HY USD</v>
          </cell>
          <cell r="G113" t="str">
            <v>SP-Spread Corporate</v>
          </cell>
          <cell r="H113" t="str">
            <v>SPREADS</v>
          </cell>
          <cell r="I113" t="str">
            <v>Corporate HY USD - Industry</v>
          </cell>
        </row>
        <row r="114">
          <cell r="A114" t="str">
            <v>USD_HY_CABLE_SF</v>
          </cell>
          <cell r="B114" t="str">
            <v>US HY Media Cable</v>
          </cell>
          <cell r="C114" t="str">
            <v>BRS_GOLD__5_SPREADS:BRS_GOLD__4_CORP:BRS_GOLD__3_CSHY:CORP50_HY_US,USD_HY_LIQUID,USD_HY_LIQUID_SF,USD_HY_VLUE_SF,USD_HY_QUAL_SF,USD_HY_REV_SF,USD_HY_MOM_SF,USD_HY_VOL_SF:CORP50_US_IND_HY:USD_HY_CABLE_SF</v>
          </cell>
          <cell r="D114" t="str">
            <v>Spread Duration</v>
          </cell>
          <cell r="E114" t="str">
            <v>Spread Yield (DxS)</v>
          </cell>
          <cell r="F114" t="str">
            <v>SP-Corporate HY USD</v>
          </cell>
          <cell r="G114" t="str">
            <v>SP-Spread Corporate</v>
          </cell>
          <cell r="H114" t="str">
            <v>SPREADS</v>
          </cell>
          <cell r="I114" t="str">
            <v>Corporate HY USD - Industry</v>
          </cell>
        </row>
        <row r="115">
          <cell r="A115" t="str">
            <v>USD_HY_CAPG_SF</v>
          </cell>
          <cell r="B115" t="str">
            <v>US HY Capital Goods</v>
          </cell>
          <cell r="C115" t="str">
            <v>BRS_GOLD__5_SPREADS:BRS_GOLD__4_CORP:BRS_GOLD__3_CSHY:CORP50_HY_US,USD_HY_LIQUID,USD_HY_LIQUID_SF,USD_HY_VLUE_SF,USD_HY_QUAL_SF,USD_HY_REV_SF,USD_HY_MOM_SF,USD_HY_VOL_SF:CORP50_US_IND_HY:USD_HY_CAPG_SF</v>
          </cell>
          <cell r="D115" t="str">
            <v>Spread Duration</v>
          </cell>
          <cell r="E115" t="str">
            <v>Spread Yield (DxS)</v>
          </cell>
          <cell r="F115" t="str">
            <v>SP-Corporate HY USD</v>
          </cell>
          <cell r="G115" t="str">
            <v>SP-Spread Corporate</v>
          </cell>
          <cell r="H115" t="str">
            <v>SPREADS</v>
          </cell>
          <cell r="I115" t="str">
            <v>Corporate HY USD - Industry</v>
          </cell>
        </row>
        <row r="116">
          <cell r="A116" t="str">
            <v>USD_HY_CHEMPAPER_SF</v>
          </cell>
          <cell r="B116" t="str">
            <v>US HY Chemicals &amp; Paper</v>
          </cell>
          <cell r="C116" t="str">
            <v>BRS_GOLD__5_SPREADS:BRS_GOLD__4_CORP:BRS_GOLD__3_CSHY:CORP50_HY_US,USD_HY_LIQUID,USD_HY_LIQUID_SF,USD_HY_VLUE_SF,USD_HY_QUAL_SF,USD_HY_REV_SF,USD_HY_MOM_SF,USD_HY_VOL_SF:CORP50_US_IND_HY:USD_HY_CHEMPAPER_SF</v>
          </cell>
          <cell r="D116" t="str">
            <v>Spread Duration</v>
          </cell>
          <cell r="E116" t="str">
            <v>Spread Yield (DxS)</v>
          </cell>
          <cell r="F116" t="str">
            <v>SP-Corporate HY USD</v>
          </cell>
          <cell r="G116" t="str">
            <v>SP-Spread Corporate</v>
          </cell>
          <cell r="H116" t="str">
            <v>SPREADS</v>
          </cell>
          <cell r="I116" t="str">
            <v>Corporate HY USD - Industry</v>
          </cell>
        </row>
        <row r="117">
          <cell r="A117" t="str">
            <v>USD_HY_METALS_SF</v>
          </cell>
          <cell r="B117" t="str">
            <v>US HY Metals</v>
          </cell>
          <cell r="C117" t="str">
            <v>BRS_GOLD__5_SPREADS:BRS_GOLD__4_CORP:BRS_GOLD__3_CSHY:CORP50_HY_US,USD_HY_LIQUID,USD_HY_LIQUID_SF,USD_HY_VLUE_SF,USD_HY_QUAL_SF,USD_HY_REV_SF,USD_HY_MOM_SF,USD_HY_VOL_SF:CORP50_US_IND_HY:USD_HY_METALS_SF</v>
          </cell>
          <cell r="D117" t="str">
            <v>Spread Duration</v>
          </cell>
          <cell r="E117" t="str">
            <v>Spread Yield (DxS)</v>
          </cell>
          <cell r="F117" t="str">
            <v>SP-Corporate HY USD</v>
          </cell>
          <cell r="G117" t="str">
            <v>SP-Spread Corporate</v>
          </cell>
          <cell r="H117" t="str">
            <v>SPREADS</v>
          </cell>
          <cell r="I117" t="str">
            <v>Corporate HY USD - Industry</v>
          </cell>
        </row>
        <row r="118">
          <cell r="A118" t="str">
            <v>USD_HY_NONCABLE_SF</v>
          </cell>
          <cell r="B118" t="str">
            <v>US HY Media Non Cable</v>
          </cell>
          <cell r="C118" t="str">
            <v>BRS_GOLD__5_SPREADS:BRS_GOLD__4_CORP:BRS_GOLD__3_CSHY:CORP50_HY_US,USD_HY_LIQUID,USD_HY_LIQUID_SF,USD_HY_VLUE_SF,USD_HY_QUAL_SF,USD_HY_REV_SF,USD_HY_MOM_SF,USD_HY_VOL_SF:CORP50_US_IND_HY:USD_HY_NONCABLE_SF</v>
          </cell>
          <cell r="D118" t="str">
            <v>Spread Duration</v>
          </cell>
          <cell r="E118" t="str">
            <v>Spread Yield (DxS)</v>
          </cell>
          <cell r="F118" t="str">
            <v>SP-Corporate HY USD</v>
          </cell>
          <cell r="G118" t="str">
            <v>SP-Spread Corporate</v>
          </cell>
          <cell r="H118" t="str">
            <v>SPREADS</v>
          </cell>
          <cell r="I118" t="str">
            <v>Corporate HY USD - Industry</v>
          </cell>
        </row>
        <row r="119">
          <cell r="A119" t="str">
            <v>USD_HY_OTHERIND_SF</v>
          </cell>
          <cell r="B119" t="str">
            <v>US HY Other Industry</v>
          </cell>
          <cell r="C119" t="str">
            <v>BRS_GOLD__5_SPREADS:BRS_GOLD__4_CORP:BRS_GOLD__3_CSHY:CORP50_HY_US,USD_HY_LIQUID,USD_HY_LIQUID_SF,USD_HY_VLUE_SF,USD_HY_QUAL_SF,USD_HY_REV_SF,USD_HY_MOM_SF,USD_HY_VOL_SF:CORP50_US_IND_HY:USD_HY_OTHERIND_SF</v>
          </cell>
          <cell r="D119" t="str">
            <v>Spread Duration</v>
          </cell>
          <cell r="E119" t="str">
            <v>Spread Yield (DxS)</v>
          </cell>
          <cell r="F119" t="str">
            <v>SP-Corporate HY USD</v>
          </cell>
          <cell r="G119" t="str">
            <v>SP-Spread Corporate</v>
          </cell>
          <cell r="H119" t="str">
            <v>SPREADS</v>
          </cell>
          <cell r="I119" t="str">
            <v>Corporate HY USD - Industry</v>
          </cell>
        </row>
        <row r="120">
          <cell r="A120" t="str">
            <v>USD_HY_HARDWARE_SF</v>
          </cell>
          <cell r="B120" t="str">
            <v>US HY Tech Hardware</v>
          </cell>
          <cell r="C120" t="str">
            <v>BRS_GOLD__5_SPREADS:BRS_GOLD__4_CORP:BRS_GOLD__3_CSHY:CORP50_HY_US,USD_HY_LIQUID,USD_HY_LIQUID_SF,USD_HY_VLUE_SF,USD_HY_QUAL_SF,USD_HY_REV_SF,USD_HY_MOM_SF,USD_HY_VOL_SF:CORP50_US_IND_HY:USD_HY_HARDWARE_SF</v>
          </cell>
          <cell r="D120" t="str">
            <v>Spread Duration</v>
          </cell>
          <cell r="E120" t="str">
            <v>Spread Yield (DxS)</v>
          </cell>
          <cell r="F120" t="str">
            <v>SP-Corporate HY USD</v>
          </cell>
          <cell r="G120" t="str">
            <v>SP-Spread Corporate</v>
          </cell>
          <cell r="H120" t="str">
            <v>SPREADS</v>
          </cell>
          <cell r="I120" t="str">
            <v>Corporate HY USD - Industry</v>
          </cell>
        </row>
        <row r="121">
          <cell r="A121" t="str">
            <v>USD_HY_TECHOTHR_SF</v>
          </cell>
          <cell r="B121" t="str">
            <v>US HY Other Technology</v>
          </cell>
          <cell r="C121" t="str">
            <v>BRS_GOLD__5_SPREADS:BRS_GOLD__4_CORP:BRS_GOLD__3_CSHY:CORP50_HY_US,USD_HY_LIQUID,USD_HY_LIQUID_SF,USD_HY_VLUE_SF,USD_HY_QUAL_SF,USD_HY_REV_SF,USD_HY_MOM_SF,USD_HY_VOL_SF:CORP50_US_IND_HY:USD_HY_TECHOTHR_SF</v>
          </cell>
          <cell r="D121" t="str">
            <v>Spread Duration</v>
          </cell>
          <cell r="E121" t="str">
            <v>Spread Yield (DxS)</v>
          </cell>
          <cell r="F121" t="str">
            <v>SP-Corporate HY USD</v>
          </cell>
          <cell r="G121" t="str">
            <v>SP-Spread Corporate</v>
          </cell>
          <cell r="H121" t="str">
            <v>SPREADS</v>
          </cell>
          <cell r="I121" t="str">
            <v>Corporate HY USD - Industry</v>
          </cell>
        </row>
        <row r="122">
          <cell r="A122" t="str">
            <v>USD_HY_TRANSPORT_SF</v>
          </cell>
          <cell r="B122" t="str">
            <v>US HY Transport</v>
          </cell>
          <cell r="C122" t="str">
            <v>BRS_GOLD__5_SPREADS:BRS_GOLD__4_CORP:BRS_GOLD__3_CSHY:CORP50_HY_US,USD_HY_LIQUID,USD_HY_LIQUID_SF,USD_HY_VLUE_SF,USD_HY_QUAL_SF,USD_HY_REV_SF,USD_HY_MOM_SF,USD_HY_VOL_SF:CORP50_US_IND_HY:USD_HY_TRANSPORT_SF</v>
          </cell>
          <cell r="D122" t="str">
            <v>Spread Duration</v>
          </cell>
          <cell r="E122" t="str">
            <v>Spread Yield (DxS)</v>
          </cell>
          <cell r="F122" t="str">
            <v>SP-Corporate HY USD</v>
          </cell>
          <cell r="G122" t="str">
            <v>SP-Spread Corporate</v>
          </cell>
          <cell r="H122" t="str">
            <v>SPREADS</v>
          </cell>
          <cell r="I122" t="str">
            <v>Corporate HY USD - Industry</v>
          </cell>
        </row>
        <row r="123">
          <cell r="A123" t="str">
            <v>USD_HY_WIRELESS_SF</v>
          </cell>
          <cell r="B123" t="str">
            <v>US HY Wireless</v>
          </cell>
          <cell r="C123" t="str">
            <v>BRS_GOLD__5_SPREADS:BRS_GOLD__4_CORP:BRS_GOLD__3_CSHY:CORP50_HY_US,USD_HY_LIQUID,USD_HY_LIQUID_SF,USD_HY_VLUE_SF,USD_HY_QUAL_SF,USD_HY_REV_SF,USD_HY_MOM_SF,USD_HY_VOL_SF:CORP50_US_IND_HY:USD_HY_WIRELESS_SF</v>
          </cell>
          <cell r="D123" t="str">
            <v>Spread Duration</v>
          </cell>
          <cell r="E123" t="str">
            <v>Spread Yield (DxS)</v>
          </cell>
          <cell r="F123" t="str">
            <v>SP-Corporate HY USD</v>
          </cell>
          <cell r="G123" t="str">
            <v>SP-Spread Corporate</v>
          </cell>
          <cell r="H123" t="str">
            <v>SPREADS</v>
          </cell>
          <cell r="I123" t="str">
            <v>Corporate HY USD - Industry</v>
          </cell>
        </row>
        <row r="124">
          <cell r="A124" t="str">
            <v>USD_HY_WIRELINES_SF</v>
          </cell>
          <cell r="B124" t="str">
            <v>US HY Wirelines</v>
          </cell>
          <cell r="C124" t="str">
            <v>BRS_GOLD__5_SPREADS:BRS_GOLD__4_CORP:BRS_GOLD__3_CSHY:CORP50_HY_US,USD_HY_LIQUID,USD_HY_LIQUID_SF,USD_HY_VLUE_SF,USD_HY_QUAL_SF,USD_HY_REV_SF,USD_HY_MOM_SF,USD_HY_VOL_SF:CORP50_US_IND_HY:USD_HY_WIRELINES_SF</v>
          </cell>
          <cell r="D124" t="str">
            <v>Spread Duration</v>
          </cell>
          <cell r="E124" t="str">
            <v>Spread Yield (DxS)</v>
          </cell>
          <cell r="F124" t="str">
            <v>SP-Corporate HY USD</v>
          </cell>
          <cell r="G124" t="str">
            <v>SP-Spread Corporate</v>
          </cell>
          <cell r="H124" t="str">
            <v>SPREADS</v>
          </cell>
          <cell r="I124" t="str">
            <v>Corporate HY USD - Industry</v>
          </cell>
        </row>
        <row r="125">
          <cell r="A125" t="str">
            <v>USD_HY_INDE_SF</v>
          </cell>
          <cell r="B125" t="str">
            <v>US HY Independent Energy</v>
          </cell>
          <cell r="C125" t="str">
            <v>BRS_GOLD__5_SPREADS:BRS_GOLD__4_CORP:BRS_GOLD__3_CSHY:CORP50_HY_US,USD_HY_LIQUID,USD_HY_LIQUID_SF,USD_HY_VLUE_SF,USD_HY_QUAL_SF,USD_HY_REV_SF,USD_HY_MOM_SF,USD_HY_VOL_SF:CORP50_US_IND_HY:USD_HY_INDE_SF</v>
          </cell>
          <cell r="D125" t="str">
            <v>Spread Duration</v>
          </cell>
          <cell r="E125" t="str">
            <v>Spread Yield (DxS)</v>
          </cell>
          <cell r="F125" t="str">
            <v>SP-Corporate HY USD</v>
          </cell>
          <cell r="G125" t="str">
            <v>SP-Spread Corporate</v>
          </cell>
          <cell r="H125" t="str">
            <v>SPREADS</v>
          </cell>
          <cell r="I125" t="str">
            <v>Corporate HY USD - Industry</v>
          </cell>
        </row>
        <row r="126">
          <cell r="A126" t="str">
            <v>USD_HY_MDST_SF</v>
          </cell>
          <cell r="B126" t="str">
            <v>US HY Midstream &amp; Refining</v>
          </cell>
          <cell r="C126" t="str">
            <v>BRS_GOLD__5_SPREADS:BRS_GOLD__4_CORP:BRS_GOLD__3_CSHY:CORP50_HY_US,USD_HY_LIQUID,USD_HY_LIQUID_SF,USD_HY_VLUE_SF,USD_HY_QUAL_SF,USD_HY_REV_SF,USD_HY_MOM_SF,USD_HY_VOL_SF:CORP50_US_IND_HY:USD_HY_MDST_SF</v>
          </cell>
          <cell r="D126" t="str">
            <v>Spread Duration</v>
          </cell>
          <cell r="E126" t="str">
            <v>Spread Yield (DxS)</v>
          </cell>
          <cell r="F126" t="str">
            <v>SP-Corporate HY USD</v>
          </cell>
          <cell r="G126" t="str">
            <v>SP-Spread Corporate</v>
          </cell>
          <cell r="H126" t="str">
            <v>SPREADS</v>
          </cell>
          <cell r="I126" t="str">
            <v>Corporate HY USD - Industry</v>
          </cell>
        </row>
        <row r="127">
          <cell r="A127" t="str">
            <v>USD_HY_OILM_SF</v>
          </cell>
          <cell r="B127" t="str">
            <v>US HY Oil Field Services</v>
          </cell>
          <cell r="C127" t="str">
            <v>BRS_GOLD__5_SPREADS:BRS_GOLD__4_CORP:BRS_GOLD__3_CSHY:CORP50_HY_US,USD_HY_LIQUID,USD_HY_LIQUID_SF,USD_HY_VLUE_SF,USD_HY_QUAL_SF,USD_HY_REV_SF,USD_HY_MOM_SF,USD_HY_VOL_SF:CORP50_US_IND_HY:USD_HY_OILM_SF</v>
          </cell>
          <cell r="D127" t="str">
            <v>Spread Duration</v>
          </cell>
          <cell r="E127" t="str">
            <v>Spread Yield (DxS)</v>
          </cell>
          <cell r="F127" t="str">
            <v>SP-Corporate HY USD</v>
          </cell>
          <cell r="G127" t="str">
            <v>SP-Spread Corporate</v>
          </cell>
          <cell r="H127" t="str">
            <v>SPREADS</v>
          </cell>
          <cell r="I127" t="str">
            <v>Corporate HY USD - Industry</v>
          </cell>
        </row>
        <row r="128">
          <cell r="A128" t="str">
            <v>USD_HY_UTILITY_SF</v>
          </cell>
          <cell r="B128" t="str">
            <v>US HY Utility</v>
          </cell>
          <cell r="C128" t="str">
            <v>BRS_GOLD__5_SPREADS:BRS_GOLD__4_CORP:BRS_GOLD__3_CSHY:CORP50_HY_US,USD_HY_LIQUID,USD_HY_LIQUID_SF,USD_HY_VLUE_SF,USD_HY_QUAL_SF,USD_HY_REV_SF,USD_HY_MOM_SF,USD_HY_VOL_SF:CORP50_US_IND_HY:USD_HY_UTILITY_SF</v>
          </cell>
          <cell r="D128" t="str">
            <v>Spread Duration</v>
          </cell>
          <cell r="E128" t="str">
            <v>Spread Yield (DxS)</v>
          </cell>
          <cell r="F128" t="str">
            <v>SP-Corporate HY USD</v>
          </cell>
          <cell r="G128" t="str">
            <v>SP-Spread Corporate</v>
          </cell>
          <cell r="H128" t="str">
            <v>SPREADS</v>
          </cell>
          <cell r="I128" t="str">
            <v>Corporate HY USD - Industry</v>
          </cell>
        </row>
        <row r="129">
          <cell r="A129" t="str">
            <v>USD_HY_MAT_10</v>
          </cell>
          <cell r="B129" t="str">
            <v>US HY Maturity 10</v>
          </cell>
          <cell r="C129" t="str">
            <v>BRS_GOLD__5_SPREADS:BRS_GOLD__4_CORP:BRS_GOLD__3_CSHY:CORP50_HY_US,USD_HY_LIQUID,USD_HY_LIQUID_SF,USD_HY_VLUE_SF,USD_HY_QUAL_SF,USD_HY_REV_SF,USD_HY_MOM_SF,USD_HY_VOL_SF:CORP50_US_MAT_HY:USD_HY_MAT_10</v>
          </cell>
          <cell r="D129" t="str">
            <v>Spread Duration</v>
          </cell>
          <cell r="E129" t="str">
            <v>Spread Yield (DxS)</v>
          </cell>
          <cell r="F129" t="str">
            <v>SP-Corporate HY USD</v>
          </cell>
          <cell r="G129" t="str">
            <v>SP-Spread Corporate</v>
          </cell>
          <cell r="H129" t="str">
            <v>SPREADS</v>
          </cell>
          <cell r="I129" t="str">
            <v>Corporate HY USD - Maturity</v>
          </cell>
        </row>
        <row r="130">
          <cell r="A130" t="str">
            <v>USD_HY_MAT_2</v>
          </cell>
          <cell r="B130" t="str">
            <v>US HY Maturity 2</v>
          </cell>
          <cell r="C130" t="str">
            <v>BRS_GOLD__5_SPREADS:BRS_GOLD__4_CORP:BRS_GOLD__3_CSHY:CORP50_HY_US,USD_HY_LIQUID,USD_HY_LIQUID_SF,USD_HY_VLUE_SF,USD_HY_QUAL_SF,USD_HY_REV_SF,USD_HY_MOM_SF,USD_HY_VOL_SF:CORP50_US_MAT_HY:USD_HY_MAT_2</v>
          </cell>
          <cell r="D130" t="str">
            <v>Spread Duration</v>
          </cell>
          <cell r="E130" t="str">
            <v>Spread Yield (DxS)</v>
          </cell>
          <cell r="F130" t="str">
            <v>SP-Corporate HY USD</v>
          </cell>
          <cell r="G130" t="str">
            <v>SP-Spread Corporate</v>
          </cell>
          <cell r="H130" t="str">
            <v>SPREADS</v>
          </cell>
          <cell r="I130" t="str">
            <v>Corporate HY USD - Maturity</v>
          </cell>
        </row>
        <row r="131">
          <cell r="A131" t="str">
            <v>USD_HY_MAT_20</v>
          </cell>
          <cell r="B131" t="str">
            <v>US HY Maturity 20</v>
          </cell>
          <cell r="C131" t="str">
            <v>BRS_GOLD__5_SPREADS:BRS_GOLD__4_CORP:BRS_GOLD__3_CSHY:CORP50_HY_US,USD_HY_LIQUID,USD_HY_LIQUID_SF,USD_HY_VLUE_SF,USD_HY_QUAL_SF,USD_HY_REV_SF,USD_HY_MOM_SF,USD_HY_VOL_SF:CORP50_US_MAT_HY:USD_HY_MAT_20</v>
          </cell>
          <cell r="D131" t="str">
            <v>Spread Duration</v>
          </cell>
          <cell r="E131" t="str">
            <v>Spread Yield (DxS)</v>
          </cell>
          <cell r="F131" t="str">
            <v>SP-Corporate HY USD</v>
          </cell>
          <cell r="G131" t="str">
            <v>SP-Spread Corporate</v>
          </cell>
          <cell r="H131" t="str">
            <v>SPREADS</v>
          </cell>
          <cell r="I131" t="str">
            <v>Corporate HY USD - Maturity</v>
          </cell>
        </row>
        <row r="132">
          <cell r="A132" t="str">
            <v>USD_HY_MAT_10_SF</v>
          </cell>
          <cell r="B132" t="str">
            <v>US HY Maturity 10</v>
          </cell>
          <cell r="C132" t="str">
            <v>BRS_GOLD__5_SPREADS:BRS_GOLD__4_CORP:BRS_GOLD__3_CSHY:CORP50_HY_US,USD_HY_LIQUID,USD_HY_LIQUID_SF,USD_HY_VLUE_SF,USD_HY_QUAL_SF,USD_HY_REV_SF,USD_HY_MOM_SF,USD_HY_VOL_SF:CORP50_US_MAT_HY:USD_HY_MAT_10_SF</v>
          </cell>
          <cell r="D132" t="str">
            <v>Spread Duration</v>
          </cell>
          <cell r="E132" t="str">
            <v>Spread Yield (DxS)</v>
          </cell>
          <cell r="F132" t="str">
            <v>SP-Corporate HY USD</v>
          </cell>
          <cell r="G132" t="str">
            <v>SP-Spread Corporate</v>
          </cell>
          <cell r="H132" t="str">
            <v>SPREADS</v>
          </cell>
          <cell r="I132" t="str">
            <v>Corporate HY USD - Maturity</v>
          </cell>
        </row>
        <row r="133">
          <cell r="A133" t="str">
            <v>USD_HY_MAT_2_SF</v>
          </cell>
          <cell r="B133" t="str">
            <v>US HY Maturity 2</v>
          </cell>
          <cell r="C133" t="str">
            <v>BRS_GOLD__5_SPREADS:BRS_GOLD__4_CORP:BRS_GOLD__3_CSHY:CORP50_HY_US,USD_HY_LIQUID,USD_HY_LIQUID_SF,USD_HY_VLUE_SF,USD_HY_QUAL_SF,USD_HY_REV_SF,USD_HY_MOM_SF,USD_HY_VOL_SF:CORP50_US_MAT_HY:USD_HY_MAT_2_SF</v>
          </cell>
          <cell r="D133" t="str">
            <v>Spread Duration</v>
          </cell>
          <cell r="E133" t="str">
            <v>Spread Yield (DxS)</v>
          </cell>
          <cell r="F133" t="str">
            <v>SP-Corporate HY USD</v>
          </cell>
          <cell r="G133" t="str">
            <v>SP-Spread Corporate</v>
          </cell>
          <cell r="H133" t="str">
            <v>SPREADS</v>
          </cell>
          <cell r="I133" t="str">
            <v>Corporate HY USD - Maturity</v>
          </cell>
        </row>
        <row r="134">
          <cell r="A134" t="str">
            <v>USD_HY_MAT_20_SF</v>
          </cell>
          <cell r="B134" t="str">
            <v>US HY Maturity 20</v>
          </cell>
          <cell r="C134" t="str">
            <v>BRS_GOLD__5_SPREADS:BRS_GOLD__4_CORP:BRS_GOLD__3_CSHY:CORP50_HY_US,USD_HY_LIQUID,USD_HY_LIQUID_SF,USD_HY_VLUE_SF,USD_HY_QUAL_SF,USD_HY_REV_SF,USD_HY_MOM_SF,USD_HY_VOL_SF:CORP50_US_MAT_HY:USD_HY_MAT_20_SF</v>
          </cell>
          <cell r="D134" t="str">
            <v>Spread Duration</v>
          </cell>
          <cell r="E134" t="str">
            <v>Spread Yield (DxS)</v>
          </cell>
          <cell r="F134" t="str">
            <v>SP-Corporate HY USD</v>
          </cell>
          <cell r="G134" t="str">
            <v>SP-Spread Corporate</v>
          </cell>
          <cell r="H134" t="str">
            <v>SPREADS</v>
          </cell>
          <cell r="I134" t="str">
            <v>Corporate HY USD - Maturity</v>
          </cell>
        </row>
        <row r="135">
          <cell r="A135" t="str">
            <v>USD_HY_MARKET</v>
          </cell>
          <cell r="B135" t="str">
            <v>US HY Market</v>
          </cell>
          <cell r="C135" t="str">
            <v>BRS_GOLD__5_SPREADS:BRS_GOLD__4_CORP:BRS_GOLD__3_CSHY:CORP50_HY_US,USD_HY_LIQUID,USD_HY_LIQUID_SF,USD_HY_VLUE_SF,USD_HY_QUAL_SF,USD_HY_REV_SF,USD_HY_MOM_SF,USD_HY_VOL_SF:USD_HY_MARKET,USD_HY_MARKET_SF:USD_HY_MARKET</v>
          </cell>
          <cell r="D135" t="str">
            <v>Spread Duration</v>
          </cell>
          <cell r="E135" t="str">
            <v>Spread Yield (DxS)</v>
          </cell>
          <cell r="F135" t="str">
            <v>SP-Corporate HY USD</v>
          </cell>
          <cell r="G135" t="str">
            <v>SP-Spread Corporate</v>
          </cell>
          <cell r="H135" t="str">
            <v>SPREADS</v>
          </cell>
          <cell r="I135" t="str">
            <v>Corporate HY USD - Other</v>
          </cell>
        </row>
        <row r="136">
          <cell r="A136" t="str">
            <v>USD_HY_MARKET_SF</v>
          </cell>
          <cell r="B136" t="str">
            <v>US HY Market</v>
          </cell>
          <cell r="C136" t="str">
            <v>BRS_GOLD__5_SPREADS:BRS_GOLD__4_CORP:BRS_GOLD__3_CSHY:CORP50_HY_US,USD_HY_LIQUID,USD_HY_LIQUID_SF,USD_HY_VLUE_SF,USD_HY_QUAL_SF,USD_HY_REV_SF,USD_HY_MOM_SF,USD_HY_VOL_SF:USD_HY_MARKET,USD_HY_MARKET_SF:USD_HY_MARKET_SF</v>
          </cell>
          <cell r="D136" t="str">
            <v>Spread Duration</v>
          </cell>
          <cell r="E136" t="str">
            <v>Spread Yield (DxS)</v>
          </cell>
          <cell r="F136" t="str">
            <v>SP-Corporate HY USD</v>
          </cell>
          <cell r="G136" t="str">
            <v>SP-Spread Corporate</v>
          </cell>
          <cell r="H136" t="str">
            <v>SPREADS</v>
          </cell>
          <cell r="I136" t="str">
            <v>Corporate HY USD - Other</v>
          </cell>
        </row>
        <row r="137">
          <cell r="A137" t="str">
            <v>USD_CORP_HY_2Y</v>
          </cell>
          <cell r="B137" t="str">
            <v>US Maturity HY 2</v>
          </cell>
          <cell r="C137" t="str">
            <v>BRS_GOLD__5_SPREADS:BRS_GOLD__4_CORP:BRS_GOLD__3_CSHY:BRS_GOLD__2_CSHY_USD:CORP33_MAT_HY_USD:USD_CORP_HY_2Y</v>
          </cell>
          <cell r="D137" t="str">
            <v>Spread Duration</v>
          </cell>
          <cell r="E137" t="str">
            <v>Spread Yield (DxS)</v>
          </cell>
          <cell r="F137" t="str">
            <v>SP-Corporate HY USD</v>
          </cell>
          <cell r="G137" t="str">
            <v>SP-Spread Corporate</v>
          </cell>
          <cell r="H137" t="str">
            <v>SPREADS</v>
          </cell>
          <cell r="I137" t="str">
            <v>Corporate HY USD - Maturity</v>
          </cell>
        </row>
        <row r="138">
          <cell r="A138" t="str">
            <v>USD_CORP_HY_5Y</v>
          </cell>
          <cell r="B138" t="str">
            <v>US Maturity HY 5</v>
          </cell>
          <cell r="C138" t="str">
            <v>BRS_GOLD__5_SPREADS:BRS_GOLD__4_CORP:BRS_GOLD__3_CSHY:BRS_GOLD__2_CSHY_USD:CORP33_MAT_HY_USD:USD_CORP_HY_5Y</v>
          </cell>
          <cell r="D138" t="str">
            <v>Spread Duration</v>
          </cell>
          <cell r="E138" t="str">
            <v>Spread Yield (DxS)</v>
          </cell>
          <cell r="F138" t="str">
            <v>SP-Corporate HY USD</v>
          </cell>
          <cell r="G138" t="str">
            <v>SP-Spread Corporate</v>
          </cell>
          <cell r="H138" t="str">
            <v>SPREADS</v>
          </cell>
          <cell r="I138" t="str">
            <v>Corporate HY USD - Maturity</v>
          </cell>
        </row>
        <row r="139">
          <cell r="A139" t="str">
            <v>USD_CORP_HY_10Y</v>
          </cell>
          <cell r="B139" t="str">
            <v>US Maturity HY 10</v>
          </cell>
          <cell r="C139" t="str">
            <v>BRS_GOLD__5_SPREADS:BRS_GOLD__4_CORP:BRS_GOLD__3_CSHY:BRS_GOLD__2_CSHY_USD:CORP33_MAT_HY_USD:USD_CORP_HY_10Y</v>
          </cell>
          <cell r="D139" t="str">
            <v>Spread Duration</v>
          </cell>
          <cell r="E139" t="str">
            <v>Spread Yield (DxS)</v>
          </cell>
          <cell r="F139" t="str">
            <v>SP-Corporate HY USD</v>
          </cell>
          <cell r="G139" t="str">
            <v>SP-Spread Corporate</v>
          </cell>
          <cell r="H139" t="str">
            <v>SPREADS</v>
          </cell>
          <cell r="I139" t="str">
            <v>Corporate HY USD - Maturity</v>
          </cell>
        </row>
        <row r="140">
          <cell r="A140" t="str">
            <v>USD_CORP_HY_20Y</v>
          </cell>
          <cell r="B140" t="str">
            <v>US Maturity HY 20</v>
          </cell>
          <cell r="C140" t="str">
            <v>BRS_GOLD__5_SPREADS:BRS_GOLD__4_CORP:BRS_GOLD__3_CSHY:BRS_GOLD__2_CSHY_USD:CORP33_MAT_HY_USD:USD_CORP_HY_20Y</v>
          </cell>
          <cell r="D140" t="str">
            <v>Spread Duration</v>
          </cell>
          <cell r="E140" t="str">
            <v>Spread Yield (DxS)</v>
          </cell>
          <cell r="F140" t="str">
            <v>SP-Corporate HY USD</v>
          </cell>
          <cell r="G140" t="str">
            <v>SP-Spread Corporate</v>
          </cell>
          <cell r="H140" t="str">
            <v>SPREADS</v>
          </cell>
          <cell r="I140" t="str">
            <v>Corporate HY USD - Maturity</v>
          </cell>
        </row>
        <row r="141">
          <cell r="A141" t="str">
            <v>USD_AUTO_HY</v>
          </cell>
          <cell r="B141" t="str">
            <v>US Auto HY</v>
          </cell>
          <cell r="C141" t="str">
            <v>BRS_GOLD__5_SPREADS:BRS_GOLD__4_CORP:BRS_GOLD__3_CSHY:BRS_GOLD__2_CSHY_USD:CORP33_IND_HY_USD:USD_AUTO_HY</v>
          </cell>
          <cell r="D141" t="str">
            <v>Spread Duration</v>
          </cell>
          <cell r="E141" t="str">
            <v>Spread Yield (DxS)</v>
          </cell>
          <cell r="F141" t="str">
            <v>SP-Corporate HY USD</v>
          </cell>
          <cell r="G141" t="str">
            <v>SP-Spread Corporate</v>
          </cell>
          <cell r="H141" t="str">
            <v>SPREADS</v>
          </cell>
          <cell r="I141" t="str">
            <v>Corporate HY USD - Industry</v>
          </cell>
        </row>
        <row r="142">
          <cell r="A142" t="str">
            <v>USD_BANK_HY</v>
          </cell>
          <cell r="B142" t="str">
            <v>US Bank HY</v>
          </cell>
          <cell r="C142" t="str">
            <v>BRS_GOLD__5_SPREADS:BRS_GOLD__4_CORP:BRS_GOLD__3_CSHY:BRS_GOLD__2_CSHY_USD:CORP33_IND_HY_USD:USD_BANK_HY</v>
          </cell>
          <cell r="D142" t="str">
            <v>Spread Duration</v>
          </cell>
          <cell r="E142" t="str">
            <v>Spread Yield (DxS)</v>
          </cell>
          <cell r="F142" t="str">
            <v>SP-Corporate HY USD</v>
          </cell>
          <cell r="G142" t="str">
            <v>SP-Spread Corporate</v>
          </cell>
          <cell r="H142" t="str">
            <v>SPREADS</v>
          </cell>
          <cell r="I142" t="str">
            <v>Corporate HY USD - Industry</v>
          </cell>
        </row>
        <row r="143">
          <cell r="A143" t="str">
            <v>USD_BASIC_HY</v>
          </cell>
          <cell r="B143" t="str">
            <v>US Basic HY</v>
          </cell>
          <cell r="C143" t="str">
            <v>BRS_GOLD__5_SPREADS:BRS_GOLD__4_CORP:BRS_GOLD__3_CSHY:BRS_GOLD__2_CSHY_USD:CORP33_IND_HY_USD:USD_BASIC_HY</v>
          </cell>
          <cell r="D143" t="str">
            <v>Spread Duration</v>
          </cell>
          <cell r="E143" t="str">
            <v>Spread Yield (DxS)</v>
          </cell>
          <cell r="F143" t="str">
            <v>SP-Corporate HY USD</v>
          </cell>
          <cell r="G143" t="str">
            <v>SP-Spread Corporate</v>
          </cell>
          <cell r="H143" t="str">
            <v>SPREADS</v>
          </cell>
          <cell r="I143" t="str">
            <v>Corporate HY USD - Industry</v>
          </cell>
        </row>
        <row r="144">
          <cell r="A144" t="str">
            <v>USD_CAP_GOODS_HY</v>
          </cell>
          <cell r="B144" t="str">
            <v>US Cap Goods HY</v>
          </cell>
          <cell r="C144" t="str">
            <v>BRS_GOLD__5_SPREADS:BRS_GOLD__4_CORP:BRS_GOLD__3_CSHY:BRS_GOLD__2_CSHY_USD:CORP33_IND_HY_USD:USD_CAP_GOODS_HY</v>
          </cell>
          <cell r="D144" t="str">
            <v>Spread Duration</v>
          </cell>
          <cell r="E144" t="str">
            <v>Spread Yield (DxS)</v>
          </cell>
          <cell r="F144" t="str">
            <v>SP-Corporate HY USD</v>
          </cell>
          <cell r="G144" t="str">
            <v>SP-Spread Corporate</v>
          </cell>
          <cell r="H144" t="str">
            <v>SPREADS</v>
          </cell>
          <cell r="I144" t="str">
            <v>Corporate HY USD - Industry</v>
          </cell>
        </row>
        <row r="145">
          <cell r="A145" t="str">
            <v>USD_CYCLICAL_HY</v>
          </cell>
          <cell r="B145" t="str">
            <v>US Cycl HY</v>
          </cell>
          <cell r="C145" t="str">
            <v>BRS_GOLD__5_SPREADS:BRS_GOLD__4_CORP:BRS_GOLD__3_CSHY:BRS_GOLD__2_CSHY_USD:CORP33_IND_HY_USD:USD_CYCLICAL_HY</v>
          </cell>
          <cell r="D145" t="str">
            <v>Spread Duration</v>
          </cell>
          <cell r="E145" t="str">
            <v>Spread Yield (DxS)</v>
          </cell>
          <cell r="F145" t="str">
            <v>SP-Corporate HY USD</v>
          </cell>
          <cell r="G145" t="str">
            <v>SP-Spread Corporate</v>
          </cell>
          <cell r="H145" t="str">
            <v>SPREADS</v>
          </cell>
          <cell r="I145" t="str">
            <v>Corporate HY USD - Industry</v>
          </cell>
        </row>
        <row r="146">
          <cell r="A146" t="str">
            <v>USD_ENERGY_HY</v>
          </cell>
          <cell r="B146" t="str">
            <v>US Energy HY</v>
          </cell>
          <cell r="C146" t="str">
            <v>BRS_GOLD__5_SPREADS:BRS_GOLD__4_CORP:BRS_GOLD__3_CSHY:BRS_GOLD__2_CSHY_USD:CORP33_IND_HY_USD:USD_ENERGY_HY</v>
          </cell>
          <cell r="D146" t="str">
            <v>Spread Duration</v>
          </cell>
          <cell r="E146" t="str">
            <v>Spread Yield (DxS)</v>
          </cell>
          <cell r="F146" t="str">
            <v>SP-Corporate HY USD</v>
          </cell>
          <cell r="G146" t="str">
            <v>SP-Spread Corporate</v>
          </cell>
          <cell r="H146" t="str">
            <v>SPREADS</v>
          </cell>
          <cell r="I146" t="str">
            <v>Corporate HY USD - Industry</v>
          </cell>
        </row>
        <row r="147">
          <cell r="A147" t="str">
            <v>USD_FINANCE_COMPANY_HY</v>
          </cell>
          <cell r="B147" t="str">
            <v>US Fin Com HY</v>
          </cell>
          <cell r="C147" t="str">
            <v>BRS_GOLD__5_SPREADS:BRS_GOLD__4_CORP:BRS_GOLD__3_CSHY:BRS_GOLD__2_CSHY_USD:CORP33_IND_HY_USD:USD_FINANCE_COMPANY_HY</v>
          </cell>
          <cell r="D147" t="str">
            <v>Spread Duration</v>
          </cell>
          <cell r="E147" t="str">
            <v>Spread Yield (DxS)</v>
          </cell>
          <cell r="F147" t="str">
            <v>SP-Corporate HY USD</v>
          </cell>
          <cell r="G147" t="str">
            <v>SP-Spread Corporate</v>
          </cell>
          <cell r="H147" t="str">
            <v>SPREADS</v>
          </cell>
          <cell r="I147" t="str">
            <v>Corporate HY USD - Industry</v>
          </cell>
        </row>
        <row r="148">
          <cell r="A148" t="str">
            <v>USD_FOREIGN_HY</v>
          </cell>
          <cell r="B148" t="str">
            <v>US Foreign HY</v>
          </cell>
          <cell r="C148" t="str">
            <v>BRS_GOLD__5_SPREADS:BRS_GOLD__4_CORP:BRS_GOLD__3_CSHY:BRS_GOLD__2_CSHY_USD:CORP33_IND_HY_USD:USD_FOREIGN_HY</v>
          </cell>
          <cell r="D148" t="str">
            <v>Spread Duration</v>
          </cell>
          <cell r="E148" t="str">
            <v>Spread Yield (DxS)</v>
          </cell>
          <cell r="F148" t="str">
            <v>SP-Corporate HY USD</v>
          </cell>
          <cell r="G148" t="str">
            <v>SP-Spread Corporate</v>
          </cell>
          <cell r="H148" t="str">
            <v>SPREADS</v>
          </cell>
          <cell r="I148" t="str">
            <v>Corporate HY USD - Industry</v>
          </cell>
        </row>
        <row r="149">
          <cell r="A149" t="str">
            <v>USD_HOME_CONSTRUCT_HY</v>
          </cell>
          <cell r="B149" t="str">
            <v>US Home Con HY</v>
          </cell>
          <cell r="C149" t="str">
            <v>BRS_GOLD__5_SPREADS:BRS_GOLD__4_CORP:BRS_GOLD__3_CSHY:BRS_GOLD__2_CSHY_USD:CORP33_IND_HY_USD:USD_HOME_CONSTRUCT_HY</v>
          </cell>
          <cell r="D149" t="str">
            <v>Spread Duration</v>
          </cell>
          <cell r="E149" t="str">
            <v>Spread Yield (DxS)</v>
          </cell>
          <cell r="F149" t="str">
            <v>SP-Corporate HY USD</v>
          </cell>
          <cell r="G149" t="str">
            <v>SP-Spread Corporate</v>
          </cell>
          <cell r="H149" t="str">
            <v>SPREADS</v>
          </cell>
          <cell r="I149" t="str">
            <v>Corporate HY USD - Industry</v>
          </cell>
        </row>
        <row r="150">
          <cell r="A150" t="str">
            <v>USD_INSURANCE_HY</v>
          </cell>
          <cell r="B150" t="str">
            <v>US Insur HY</v>
          </cell>
          <cell r="C150" t="str">
            <v>BRS_GOLD__5_SPREADS:BRS_GOLD__4_CORP:BRS_GOLD__3_CSHY:BRS_GOLD__2_CSHY_USD:CORP33_IND_HY_USD:USD_INSURANCE_HY</v>
          </cell>
          <cell r="D150" t="str">
            <v>Spread Duration</v>
          </cell>
          <cell r="E150" t="str">
            <v>Spread Yield (DxS)</v>
          </cell>
          <cell r="F150" t="str">
            <v>SP-Corporate HY USD</v>
          </cell>
          <cell r="G150" t="str">
            <v>SP-Spread Corporate</v>
          </cell>
          <cell r="H150" t="str">
            <v>SPREADS</v>
          </cell>
          <cell r="I150" t="str">
            <v>Corporate HY USD - Industry</v>
          </cell>
        </row>
        <row r="151">
          <cell r="A151" t="str">
            <v>USD_MEDIA_CBL_HY</v>
          </cell>
          <cell r="B151" t="str">
            <v>US Cable HY</v>
          </cell>
          <cell r="C151" t="str">
            <v>BRS_GOLD__5_SPREADS:BRS_GOLD__4_CORP:BRS_GOLD__3_CSHY:BRS_GOLD__2_CSHY_USD:CORP33_IND_HY_USD:USD_MEDIA_CBL_HY</v>
          </cell>
          <cell r="D151" t="str">
            <v>Spread Duration</v>
          </cell>
          <cell r="E151" t="str">
            <v>Spread Yield (DxS)</v>
          </cell>
          <cell r="F151" t="str">
            <v>SP-Corporate HY USD</v>
          </cell>
          <cell r="G151" t="str">
            <v>SP-Spread Corporate</v>
          </cell>
          <cell r="H151" t="str">
            <v>SPREADS</v>
          </cell>
          <cell r="I151" t="str">
            <v>Corporate HY USD - Industry</v>
          </cell>
        </row>
        <row r="152">
          <cell r="A152" t="str">
            <v>USD_MEDIA_NON_CBL_HY</v>
          </cell>
          <cell r="B152" t="str">
            <v>US Non Cbl HY</v>
          </cell>
          <cell r="C152" t="str">
            <v>BRS_GOLD__5_SPREADS:BRS_GOLD__4_CORP:BRS_GOLD__3_CSHY:BRS_GOLD__2_CSHY_USD:CORP33_IND_HY_USD:USD_MEDIA_NON_CBL_HY</v>
          </cell>
          <cell r="D152" t="str">
            <v>Spread Duration</v>
          </cell>
          <cell r="E152" t="str">
            <v>Spread Yield (DxS)</v>
          </cell>
          <cell r="F152" t="str">
            <v>SP-Corporate HY USD</v>
          </cell>
          <cell r="G152" t="str">
            <v>SP-Spread Corporate</v>
          </cell>
          <cell r="H152" t="str">
            <v>SPREADS</v>
          </cell>
          <cell r="I152" t="str">
            <v>Corporate HY USD - Industry</v>
          </cell>
        </row>
        <row r="153">
          <cell r="A153" t="str">
            <v>USD_NON_CYCLICAL_HY</v>
          </cell>
          <cell r="B153" t="str">
            <v>US Non Cyc HY</v>
          </cell>
          <cell r="C153" t="str">
            <v>BRS_GOLD__5_SPREADS:BRS_GOLD__4_CORP:BRS_GOLD__3_CSHY:BRS_GOLD__2_CSHY_USD:CORP33_IND_HY_USD:USD_NON_CYCLICAL_HY</v>
          </cell>
          <cell r="D153" t="str">
            <v>Spread Duration</v>
          </cell>
          <cell r="E153" t="str">
            <v>Spread Yield (DxS)</v>
          </cell>
          <cell r="F153" t="str">
            <v>SP-Corporate HY USD</v>
          </cell>
          <cell r="G153" t="str">
            <v>SP-Spread Corporate</v>
          </cell>
          <cell r="H153" t="str">
            <v>SPREADS</v>
          </cell>
          <cell r="I153" t="str">
            <v>Corporate HY USD - Industry</v>
          </cell>
        </row>
        <row r="154">
          <cell r="A154" t="str">
            <v>USD_OTHER_HY</v>
          </cell>
          <cell r="B154" t="str">
            <v>US Other HY</v>
          </cell>
          <cell r="C154" t="str">
            <v>BRS_GOLD__5_SPREADS:BRS_GOLD__4_CORP:BRS_GOLD__3_CSHY:BRS_GOLD__2_CSHY_USD:CORP33_IND_HY_USD:USD_OTHER_HY</v>
          </cell>
          <cell r="D154" t="str">
            <v>Spread Duration</v>
          </cell>
          <cell r="E154" t="str">
            <v>Spread Yield (DxS)</v>
          </cell>
          <cell r="F154" t="str">
            <v>SP-Corporate HY USD</v>
          </cell>
          <cell r="G154" t="str">
            <v>SP-Spread Corporate</v>
          </cell>
          <cell r="H154" t="str">
            <v>SPREADS</v>
          </cell>
          <cell r="I154" t="str">
            <v>Corporate HY USD - Industry</v>
          </cell>
        </row>
        <row r="155">
          <cell r="A155" t="str">
            <v>USD_PAPER_HY</v>
          </cell>
          <cell r="B155" t="str">
            <v>US Paper HY</v>
          </cell>
          <cell r="C155" t="str">
            <v>BRS_GOLD__5_SPREADS:BRS_GOLD__4_CORP:BRS_GOLD__3_CSHY:BRS_GOLD__2_CSHY_USD:CORP33_IND_HY_USD:USD_PAPER_HY</v>
          </cell>
          <cell r="D155" t="str">
            <v>Spread Duration</v>
          </cell>
          <cell r="E155" t="str">
            <v>Spread Yield (DxS)</v>
          </cell>
          <cell r="F155" t="str">
            <v>SP-Corporate HY USD</v>
          </cell>
          <cell r="G155" t="str">
            <v>SP-Spread Corporate</v>
          </cell>
          <cell r="H155" t="str">
            <v>SPREADS</v>
          </cell>
          <cell r="I155" t="str">
            <v>Corporate HY USD - Industry</v>
          </cell>
        </row>
        <row r="156">
          <cell r="A156" t="str">
            <v>USD_PHARMACEUTICAL_HY</v>
          </cell>
          <cell r="B156" t="str">
            <v>US Pharma HY</v>
          </cell>
          <cell r="C156" t="str">
            <v>BRS_GOLD__5_SPREADS:BRS_GOLD__4_CORP:BRS_GOLD__3_CSHY:BRS_GOLD__2_CSHY_USD:CORP33_IND_HY_USD:USD_PHARMACEUTICAL_HY</v>
          </cell>
          <cell r="D156" t="str">
            <v>Spread Duration</v>
          </cell>
          <cell r="E156" t="str">
            <v>Spread Yield (DxS)</v>
          </cell>
          <cell r="F156" t="str">
            <v>SP-Corporate HY USD</v>
          </cell>
          <cell r="G156" t="str">
            <v>SP-Spread Corporate</v>
          </cell>
          <cell r="H156" t="str">
            <v>SPREADS</v>
          </cell>
          <cell r="I156" t="str">
            <v>Corporate HY USD - Industry</v>
          </cell>
        </row>
        <row r="157">
          <cell r="A157" t="str">
            <v>USD_PIPELINES_HY</v>
          </cell>
          <cell r="B157" t="str">
            <v>US Pipe HY</v>
          </cell>
          <cell r="C157" t="str">
            <v>BRS_GOLD__5_SPREADS:BRS_GOLD__4_CORP:BRS_GOLD__3_CSHY:BRS_GOLD__2_CSHY_USD:CORP33_IND_HY_USD:USD_PIPELINES_HY</v>
          </cell>
          <cell r="D157" t="str">
            <v>Spread Duration</v>
          </cell>
          <cell r="E157" t="str">
            <v>Spread Yield (DxS)</v>
          </cell>
          <cell r="F157" t="str">
            <v>SP-Corporate HY USD</v>
          </cell>
          <cell r="G157" t="str">
            <v>SP-Spread Corporate</v>
          </cell>
          <cell r="H157" t="str">
            <v>SPREADS</v>
          </cell>
          <cell r="I157" t="str">
            <v>Corporate HY USD - Industry</v>
          </cell>
        </row>
        <row r="158">
          <cell r="A158" t="str">
            <v>USD_REIT_HY</v>
          </cell>
          <cell r="B158" t="str">
            <v>US Reit HY</v>
          </cell>
          <cell r="C158" t="str">
            <v>BRS_GOLD__5_SPREADS:BRS_GOLD__4_CORP:BRS_GOLD__3_CSHY:BRS_GOLD__2_CSHY_USD:CORP33_IND_HY_USD:USD_REIT_HY</v>
          </cell>
          <cell r="D158" t="str">
            <v>Spread Duration</v>
          </cell>
          <cell r="E158" t="str">
            <v>Spread Yield (DxS)</v>
          </cell>
          <cell r="F158" t="str">
            <v>SP-Corporate HY USD</v>
          </cell>
          <cell r="G158" t="str">
            <v>SP-Spread Corporate</v>
          </cell>
          <cell r="H158" t="str">
            <v>SPREADS</v>
          </cell>
          <cell r="I158" t="str">
            <v>Corporate HY USD - Industry</v>
          </cell>
        </row>
        <row r="159">
          <cell r="A159" t="str">
            <v>USD_TECH_HY</v>
          </cell>
          <cell r="B159" t="str">
            <v>US Tech HY</v>
          </cell>
          <cell r="C159" t="str">
            <v>BRS_GOLD__5_SPREADS:BRS_GOLD__4_CORP:BRS_GOLD__3_CSHY:BRS_GOLD__2_CSHY_USD:CORP33_IND_HY_USD:USD_TECH_HY</v>
          </cell>
          <cell r="D159" t="str">
            <v>Spread Duration</v>
          </cell>
          <cell r="E159" t="str">
            <v>Spread Yield (DxS)</v>
          </cell>
          <cell r="F159" t="str">
            <v>SP-Corporate HY USD</v>
          </cell>
          <cell r="G159" t="str">
            <v>SP-Spread Corporate</v>
          </cell>
          <cell r="H159" t="str">
            <v>SPREADS</v>
          </cell>
          <cell r="I159" t="str">
            <v>Corporate HY USD - Industry</v>
          </cell>
        </row>
        <row r="160">
          <cell r="A160" t="str">
            <v>USD_TELECOM_HY</v>
          </cell>
          <cell r="B160" t="str">
            <v>US Telecom HY</v>
          </cell>
          <cell r="C160" t="str">
            <v>BRS_GOLD__5_SPREADS:BRS_GOLD__4_CORP:BRS_GOLD__3_CSHY:BRS_GOLD__2_CSHY_USD:CORP33_IND_HY_USD:USD_TELECOM_HY</v>
          </cell>
          <cell r="D160" t="str">
            <v>Spread Duration</v>
          </cell>
          <cell r="E160" t="str">
            <v>Spread Yield (DxS)</v>
          </cell>
          <cell r="F160" t="str">
            <v>SP-Corporate HY USD</v>
          </cell>
          <cell r="G160" t="str">
            <v>SP-Spread Corporate</v>
          </cell>
          <cell r="H160" t="str">
            <v>SPREADS</v>
          </cell>
          <cell r="I160" t="str">
            <v>Corporate HY USD - Industry</v>
          </cell>
        </row>
        <row r="161">
          <cell r="A161" t="str">
            <v>USD_TOBACCO_HY</v>
          </cell>
          <cell r="B161" t="str">
            <v>US Tobacco HY</v>
          </cell>
          <cell r="C161" t="str">
            <v>BRS_GOLD__5_SPREADS:BRS_GOLD__4_CORP:BRS_GOLD__3_CSHY:BRS_GOLD__2_CSHY_USD:CORP33_IND_HY_USD:USD_TOBACCO_HY</v>
          </cell>
          <cell r="D161" t="str">
            <v>Spread Duration</v>
          </cell>
          <cell r="E161" t="str">
            <v>Spread Yield (DxS)</v>
          </cell>
          <cell r="F161" t="str">
            <v>SP-Corporate HY USD</v>
          </cell>
          <cell r="G161" t="str">
            <v>SP-Spread Corporate</v>
          </cell>
          <cell r="H161" t="str">
            <v>SPREADS</v>
          </cell>
          <cell r="I161" t="str">
            <v>Corporate HY USD - Industry</v>
          </cell>
        </row>
        <row r="162">
          <cell r="A162" t="str">
            <v>USD_TRANSPORTATION_HY</v>
          </cell>
          <cell r="B162" t="str">
            <v>US Transp HY</v>
          </cell>
          <cell r="C162" t="str">
            <v>BRS_GOLD__5_SPREADS:BRS_GOLD__4_CORP:BRS_GOLD__3_CSHY:BRS_GOLD__2_CSHY_USD:CORP33_IND_HY_USD:USD_TRANSPORTATION_HY</v>
          </cell>
          <cell r="D162" t="str">
            <v>Spread Duration</v>
          </cell>
          <cell r="E162" t="str">
            <v>Spread Yield (DxS)</v>
          </cell>
          <cell r="F162" t="str">
            <v>SP-Corporate HY USD</v>
          </cell>
          <cell r="G162" t="str">
            <v>SP-Spread Corporate</v>
          </cell>
          <cell r="H162" t="str">
            <v>SPREADS</v>
          </cell>
          <cell r="I162" t="str">
            <v>Corporate HY USD - Industry</v>
          </cell>
        </row>
        <row r="163">
          <cell r="A163" t="str">
            <v>USD_UTILITY_HY</v>
          </cell>
          <cell r="B163" t="str">
            <v>US Util HY</v>
          </cell>
          <cell r="C163" t="str">
            <v>BRS_GOLD__5_SPREADS:BRS_GOLD__4_CORP:BRS_GOLD__3_CSHY:BRS_GOLD__2_CSHY_USD:CORP33_IND_HY_USD:USD_UTILITY_HY</v>
          </cell>
          <cell r="D163" t="str">
            <v>Spread Duration</v>
          </cell>
          <cell r="E163" t="str">
            <v>Spread Yield (DxS)</v>
          </cell>
          <cell r="F163" t="str">
            <v>SP-Corporate HY USD</v>
          </cell>
          <cell r="G163" t="str">
            <v>SP-Spread Corporate</v>
          </cell>
          <cell r="H163" t="str">
            <v>SPREADS</v>
          </cell>
          <cell r="I163" t="str">
            <v>Corporate HY USD - Industry</v>
          </cell>
        </row>
        <row r="164">
          <cell r="A164" t="str">
            <v>USD_BASIS_HY_B_2Y</v>
          </cell>
          <cell r="B164" t="str">
            <v>US Basis HY B 2</v>
          </cell>
          <cell r="C164" t="str">
            <v>BRS_GOLD__5_SPREADS:BRS_GOLD__4_CORP:BRS_GOLD__3_CSHY:BRS_GOLD__2_CSHY_USD:CORP33_BAS_HY_USD:USD_BASIS_HY_B_2Y</v>
          </cell>
          <cell r="D164" t="str">
            <v>Spread Duration</v>
          </cell>
          <cell r="E164" t="str">
            <v>Spread Yield (DxS)</v>
          </cell>
          <cell r="F164" t="str">
            <v>SP-Corporate HY USD</v>
          </cell>
          <cell r="G164" t="str">
            <v>SP-Spread Corporate</v>
          </cell>
          <cell r="H164" t="str">
            <v>SPREADS</v>
          </cell>
          <cell r="I164" t="str">
            <v>Corporate HY USD - Other</v>
          </cell>
        </row>
        <row r="165">
          <cell r="A165" t="str">
            <v>USD_BASIS_HY_B_5Y</v>
          </cell>
          <cell r="B165" t="str">
            <v>US Basis HY B 5</v>
          </cell>
          <cell r="C165" t="str">
            <v>BRS_GOLD__5_SPREADS:BRS_GOLD__4_CORP:BRS_GOLD__3_CSHY:BRS_GOLD__2_CSHY_USD:CORP33_BAS_HY_USD:USD_BASIS_HY_B_5Y</v>
          </cell>
          <cell r="D165" t="str">
            <v>Spread Duration</v>
          </cell>
          <cell r="E165" t="str">
            <v>Spread Yield (DxS)</v>
          </cell>
          <cell r="F165" t="str">
            <v>SP-Corporate HY USD</v>
          </cell>
          <cell r="G165" t="str">
            <v>SP-Spread Corporate</v>
          </cell>
          <cell r="H165" t="str">
            <v>SPREADS</v>
          </cell>
          <cell r="I165" t="str">
            <v>Corporate HY USD - Other</v>
          </cell>
        </row>
        <row r="166">
          <cell r="A166" t="str">
            <v>USD_BASIS_HY_B_10Y</v>
          </cell>
          <cell r="B166" t="str">
            <v>US Basis HY B 10</v>
          </cell>
          <cell r="C166" t="str">
            <v>BRS_GOLD__5_SPREADS:BRS_GOLD__4_CORP:BRS_GOLD__3_CSHY:BRS_GOLD__2_CSHY_USD:CORP33_BAS_HY_USD:USD_BASIS_HY_B_10Y</v>
          </cell>
          <cell r="D166" t="str">
            <v>Spread Duration</v>
          </cell>
          <cell r="E166" t="str">
            <v>Spread Yield (DxS)</v>
          </cell>
          <cell r="F166" t="str">
            <v>SP-Corporate HY USD</v>
          </cell>
          <cell r="G166" t="str">
            <v>SP-Spread Corporate</v>
          </cell>
          <cell r="H166" t="str">
            <v>SPREADS</v>
          </cell>
          <cell r="I166" t="str">
            <v>Corporate HY USD - Other</v>
          </cell>
        </row>
        <row r="167">
          <cell r="A167" t="str">
            <v>USD_BASIS_HY_B_20Y</v>
          </cell>
          <cell r="B167" t="str">
            <v>US Basis HY B 20</v>
          </cell>
          <cell r="C167" t="str">
            <v>BRS_GOLD__5_SPREADS:BRS_GOLD__4_CORP:BRS_GOLD__3_CSHY:BRS_GOLD__2_CSHY_USD:CORP33_BAS_HY_USD:USD_BASIS_HY_B_20Y</v>
          </cell>
          <cell r="D167" t="str">
            <v>Spread Duration</v>
          </cell>
          <cell r="E167" t="str">
            <v>Spread Yield (DxS)</v>
          </cell>
          <cell r="F167" t="str">
            <v>SP-Corporate HY USD</v>
          </cell>
          <cell r="G167" t="str">
            <v>SP-Spread Corporate</v>
          </cell>
          <cell r="H167" t="str">
            <v>SPREADS</v>
          </cell>
          <cell r="I167" t="str">
            <v>Corporate HY USD - Other</v>
          </cell>
        </row>
        <row r="168">
          <cell r="A168" t="str">
            <v>USD_BASIS_HY_C_2Y</v>
          </cell>
          <cell r="B168" t="str">
            <v>US Basis HY C 2</v>
          </cell>
          <cell r="C168" t="str">
            <v>BRS_GOLD__5_SPREADS:BRS_GOLD__4_CORP:BRS_GOLD__3_CSHY:BRS_GOLD__2_CSHY_USD:CORP33_BAS_HY_USD:USD_BASIS_HY_C_2Y</v>
          </cell>
          <cell r="D168" t="str">
            <v>Spread Duration</v>
          </cell>
          <cell r="E168" t="str">
            <v>Spread Yield (DxS)</v>
          </cell>
          <cell r="F168" t="str">
            <v>SP-Corporate HY USD</v>
          </cell>
          <cell r="G168" t="str">
            <v>SP-Spread Corporate</v>
          </cell>
          <cell r="H168" t="str">
            <v>SPREADS</v>
          </cell>
          <cell r="I168" t="str">
            <v>Corporate HY USD - Other</v>
          </cell>
        </row>
        <row r="169">
          <cell r="A169" t="str">
            <v>USD_BASIS_HY_C_5Y</v>
          </cell>
          <cell r="B169" t="str">
            <v>US Basis HY C 5</v>
          </cell>
          <cell r="C169" t="str">
            <v>BRS_GOLD__5_SPREADS:BRS_GOLD__4_CORP:BRS_GOLD__3_CSHY:BRS_GOLD__2_CSHY_USD:CORP33_BAS_HY_USD:USD_BASIS_HY_C_5Y</v>
          </cell>
          <cell r="D169" t="str">
            <v>Spread Duration</v>
          </cell>
          <cell r="E169" t="str">
            <v>Spread Yield (DxS)</v>
          </cell>
          <cell r="F169" t="str">
            <v>SP-Corporate HY USD</v>
          </cell>
          <cell r="G169" t="str">
            <v>SP-Spread Corporate</v>
          </cell>
          <cell r="H169" t="str">
            <v>SPREADS</v>
          </cell>
          <cell r="I169" t="str">
            <v>Corporate HY USD - Other</v>
          </cell>
        </row>
        <row r="170">
          <cell r="A170" t="str">
            <v>USD_BASIS_HY_C_10Y</v>
          </cell>
          <cell r="B170" t="str">
            <v>US Basis HY C 10</v>
          </cell>
          <cell r="C170" t="str">
            <v>BRS_GOLD__5_SPREADS:BRS_GOLD__4_CORP:BRS_GOLD__3_CSHY:BRS_GOLD__2_CSHY_USD:CORP33_BAS_HY_USD:USD_BASIS_HY_C_10Y</v>
          </cell>
          <cell r="D170" t="str">
            <v>Spread Duration</v>
          </cell>
          <cell r="E170" t="str">
            <v>Spread Yield (DxS)</v>
          </cell>
          <cell r="F170" t="str">
            <v>SP-Corporate HY USD</v>
          </cell>
          <cell r="G170" t="str">
            <v>SP-Spread Corporate</v>
          </cell>
          <cell r="H170" t="str">
            <v>SPREADS</v>
          </cell>
          <cell r="I170" t="str">
            <v>Corporate HY USD - Other</v>
          </cell>
        </row>
        <row r="171">
          <cell r="A171" t="str">
            <v>USD_BASIS_HY_C_20Y</v>
          </cell>
          <cell r="B171" t="str">
            <v>US Basis HY C 20</v>
          </cell>
          <cell r="C171" t="str">
            <v>BRS_GOLD__5_SPREADS:BRS_GOLD__4_CORP:BRS_GOLD__3_CSHY:BRS_GOLD__2_CSHY_USD:CORP33_BAS_HY_USD:USD_BASIS_HY_C_20Y</v>
          </cell>
          <cell r="D171" t="str">
            <v>Spread Duration</v>
          </cell>
          <cell r="E171" t="str">
            <v>Spread Yield (DxS)</v>
          </cell>
          <cell r="F171" t="str">
            <v>SP-Corporate HY USD</v>
          </cell>
          <cell r="G171" t="str">
            <v>SP-Spread Corporate</v>
          </cell>
          <cell r="H171" t="str">
            <v>SPREADS</v>
          </cell>
          <cell r="I171" t="str">
            <v>Corporate HY USD - Other</v>
          </cell>
        </row>
        <row r="172">
          <cell r="A172" t="str">
            <v>EUR_CORP_HY_2Y</v>
          </cell>
          <cell r="B172" t="str">
            <v>EU Maturity HY 2</v>
          </cell>
          <cell r="C172" t="str">
            <v>BRS_GOLD__5_SPREADS:BRS_GOLD__4_CORP:BRS_GOLD__3_CSHY:BRS_GOLD__2_CSHY_EUR:CORP33_EU_MAT_HY:EUR_CORP_HY_2Y</v>
          </cell>
          <cell r="D172" t="str">
            <v>Spread Duration</v>
          </cell>
          <cell r="E172" t="str">
            <v>Spread Yield (DxS)</v>
          </cell>
          <cell r="F172" t="str">
            <v>SP-Corporate HY EUR</v>
          </cell>
          <cell r="G172" t="str">
            <v>SP-Spread Corporate</v>
          </cell>
          <cell r="H172" t="str">
            <v>SPREADS</v>
          </cell>
          <cell r="I172" t="str">
            <v>Corporate HY EUR - Maturity</v>
          </cell>
        </row>
        <row r="173">
          <cell r="A173" t="str">
            <v>EUR_CORP_HY_5Y</v>
          </cell>
          <cell r="B173" t="str">
            <v>EU Maturity HY 5</v>
          </cell>
          <cell r="C173" t="str">
            <v>BRS_GOLD__5_SPREADS:BRS_GOLD__4_CORP:BRS_GOLD__3_CSHY:BRS_GOLD__2_CSHY_EUR:CORP33_EU_MAT_HY:EUR_CORP_HY_5Y</v>
          </cell>
          <cell r="D173" t="str">
            <v>Spread Duration</v>
          </cell>
          <cell r="E173" t="str">
            <v>Spread Yield (DxS)</v>
          </cell>
          <cell r="F173" t="str">
            <v>SP-Corporate HY EUR</v>
          </cell>
          <cell r="G173" t="str">
            <v>SP-Spread Corporate</v>
          </cell>
          <cell r="H173" t="str">
            <v>SPREADS</v>
          </cell>
          <cell r="I173" t="str">
            <v>Corporate HY EUR - Maturity</v>
          </cell>
        </row>
        <row r="174">
          <cell r="A174" t="str">
            <v>EUR_CORP_HY_10Y</v>
          </cell>
          <cell r="B174" t="str">
            <v>EU Maturity HY 10</v>
          </cell>
          <cell r="C174" t="str">
            <v>BRS_GOLD__5_SPREADS:BRS_GOLD__4_CORP:BRS_GOLD__3_CSHY:BRS_GOLD__2_CSHY_EUR:CORP33_EU_MAT_HY:EUR_CORP_HY_10Y</v>
          </cell>
          <cell r="D174" t="str">
            <v>Spread Duration</v>
          </cell>
          <cell r="E174" t="str">
            <v>Spread Yield (DxS)</v>
          </cell>
          <cell r="F174" t="str">
            <v>SP-Corporate HY EUR</v>
          </cell>
          <cell r="G174" t="str">
            <v>SP-Spread Corporate</v>
          </cell>
          <cell r="H174" t="str">
            <v>SPREADS</v>
          </cell>
          <cell r="I174" t="str">
            <v>Corporate HY EUR - Maturity</v>
          </cell>
        </row>
        <row r="175">
          <cell r="A175" t="str">
            <v>EUR_CORP_HY_20Y</v>
          </cell>
          <cell r="B175" t="str">
            <v>EU Maturity HY 20</v>
          </cell>
          <cell r="C175" t="str">
            <v>BRS_GOLD__5_SPREADS:BRS_GOLD__4_CORP:BRS_GOLD__3_CSHY:BRS_GOLD__2_CSHY_EUR:CORP33_EU_MAT_HY:EUR_CORP_HY_20Y</v>
          </cell>
          <cell r="D175" t="str">
            <v>Spread Duration</v>
          </cell>
          <cell r="E175" t="str">
            <v>Spread Yield (DxS)</v>
          </cell>
          <cell r="F175" t="str">
            <v>SP-Corporate HY EUR</v>
          </cell>
          <cell r="G175" t="str">
            <v>SP-Spread Corporate</v>
          </cell>
          <cell r="H175" t="str">
            <v>SPREADS</v>
          </cell>
          <cell r="I175" t="str">
            <v>Corporate HY EUR - Maturity</v>
          </cell>
        </row>
        <row r="176">
          <cell r="A176" t="str">
            <v>EUR_COMMTECH_HY</v>
          </cell>
          <cell r="B176" t="str">
            <v>EU Com Tec HY</v>
          </cell>
          <cell r="C176" t="str">
            <v>BRS_GOLD__5_SPREADS:BRS_GOLD__4_CORP:BRS_GOLD__3_CSHY:BRS_GOLD__2_CSHY_EUR:CORP33_EU_IND_HY:EUR_COMMTECH_HY</v>
          </cell>
          <cell r="D176" t="str">
            <v>Spread Duration</v>
          </cell>
          <cell r="E176" t="str">
            <v>Spread Yield (DxS)</v>
          </cell>
          <cell r="F176" t="str">
            <v>SP-Corporate HY EUR</v>
          </cell>
          <cell r="G176" t="str">
            <v>SP-Spread Corporate</v>
          </cell>
          <cell r="H176" t="str">
            <v>SPREADS</v>
          </cell>
          <cell r="I176" t="str">
            <v>Corporate HY EUR - Industry</v>
          </cell>
        </row>
        <row r="177">
          <cell r="A177" t="str">
            <v>EUR_CONSCYC_HY</v>
          </cell>
          <cell r="B177" t="str">
            <v>EU Cycl HY</v>
          </cell>
          <cell r="C177" t="str">
            <v>BRS_GOLD__5_SPREADS:BRS_GOLD__4_CORP:BRS_GOLD__3_CSHY:BRS_GOLD__2_CSHY_EUR:CORP33_EU_IND_HY:EUR_CONSCYC_HY</v>
          </cell>
          <cell r="D177" t="str">
            <v>Spread Duration</v>
          </cell>
          <cell r="E177" t="str">
            <v>Spread Yield (DxS)</v>
          </cell>
          <cell r="F177" t="str">
            <v>SP-Corporate HY EUR</v>
          </cell>
          <cell r="G177" t="str">
            <v>SP-Spread Corporate</v>
          </cell>
          <cell r="H177" t="str">
            <v>SPREADS</v>
          </cell>
          <cell r="I177" t="str">
            <v>Corporate HY EUR - Industry</v>
          </cell>
        </row>
        <row r="178">
          <cell r="A178" t="str">
            <v>EUR_CONSSTA_HY</v>
          </cell>
          <cell r="B178" t="str">
            <v>EU Non Cyc HY</v>
          </cell>
          <cell r="C178" t="str">
            <v>BRS_GOLD__5_SPREADS:BRS_GOLD__4_CORP:BRS_GOLD__3_CSHY:BRS_GOLD__2_CSHY_EUR:CORP33_EU_IND_HY:EUR_CONSSTA_HY</v>
          </cell>
          <cell r="D178" t="str">
            <v>Spread Duration</v>
          </cell>
          <cell r="E178" t="str">
            <v>Spread Yield (DxS)</v>
          </cell>
          <cell r="F178" t="str">
            <v>SP-Corporate HY EUR</v>
          </cell>
          <cell r="G178" t="str">
            <v>SP-Spread Corporate</v>
          </cell>
          <cell r="H178" t="str">
            <v>SPREADS</v>
          </cell>
          <cell r="I178" t="str">
            <v>Corporate HY EUR - Industry</v>
          </cell>
        </row>
        <row r="179">
          <cell r="A179" t="str">
            <v>EUR_DIVERS_HY</v>
          </cell>
          <cell r="B179" t="str">
            <v>EU Ind Misc HY</v>
          </cell>
          <cell r="C179" t="str">
            <v>BRS_GOLD__5_SPREADS:BRS_GOLD__4_CORP:BRS_GOLD__3_CSHY:BRS_GOLD__2_CSHY_EUR:CORP33_EU_IND_HY:EUR_DIVERS_HY</v>
          </cell>
          <cell r="D179" t="str">
            <v>Spread Duration</v>
          </cell>
          <cell r="E179" t="str">
            <v>Spread Yield (DxS)</v>
          </cell>
          <cell r="F179" t="str">
            <v>SP-Corporate HY EUR</v>
          </cell>
          <cell r="G179" t="str">
            <v>SP-Spread Corporate</v>
          </cell>
          <cell r="H179" t="str">
            <v>SPREADS</v>
          </cell>
          <cell r="I179" t="str">
            <v>Corporate HY EUR - Industry</v>
          </cell>
        </row>
        <row r="180">
          <cell r="A180" t="str">
            <v>EUR_FINANCIAL_HY</v>
          </cell>
          <cell r="B180" t="str">
            <v>EU Finance HY</v>
          </cell>
          <cell r="C180" t="str">
            <v>BRS_GOLD__5_SPREADS:BRS_GOLD__4_CORP:BRS_GOLD__3_CSHY:BRS_GOLD__2_CSHY_EUR:CORP33_EU_IND_HY:EUR_FINANCIAL_HY</v>
          </cell>
          <cell r="D180" t="str">
            <v>Spread Duration</v>
          </cell>
          <cell r="E180" t="str">
            <v>Spread Yield (DxS)</v>
          </cell>
          <cell r="F180" t="str">
            <v>SP-Corporate HY EUR</v>
          </cell>
          <cell r="G180" t="str">
            <v>SP-Spread Corporate</v>
          </cell>
          <cell r="H180" t="str">
            <v>SPREADS</v>
          </cell>
          <cell r="I180" t="str">
            <v>Corporate HY EUR - Industry</v>
          </cell>
        </row>
        <row r="181">
          <cell r="A181" t="str">
            <v>EUR_GOVERNMENT_HY</v>
          </cell>
          <cell r="B181" t="str">
            <v>EU Govt HY</v>
          </cell>
          <cell r="C181" t="str">
            <v>BRS_GOLD__5_SPREADS:BRS_GOLD__4_CORP:BRS_GOLD__3_CSHY:BRS_GOLD__2_CSHY_EUR:CORP33_EU_IND_HY:EUR_GOVERNMENT_HY</v>
          </cell>
          <cell r="D181" t="str">
            <v>Spread Duration</v>
          </cell>
          <cell r="E181" t="str">
            <v>Spread Yield (DxS)</v>
          </cell>
          <cell r="F181" t="str">
            <v>SP-Corporate HY EUR</v>
          </cell>
          <cell r="G181" t="str">
            <v>SP-Spread Corporate</v>
          </cell>
          <cell r="H181" t="str">
            <v>SPREADS</v>
          </cell>
          <cell r="I181" t="str">
            <v>Corporate HY EUR - Industry</v>
          </cell>
        </row>
        <row r="182">
          <cell r="A182" t="str">
            <v>EUR_INDUSTRIAL_HY</v>
          </cell>
          <cell r="B182" t="str">
            <v>EU Ind HY</v>
          </cell>
          <cell r="C182" t="str">
            <v>BRS_GOLD__5_SPREADS:BRS_GOLD__4_CORP:BRS_GOLD__3_CSHY:BRS_GOLD__2_CSHY_EUR:CORP33_EU_IND_HY:EUR_INDUSTRIAL_HY</v>
          </cell>
          <cell r="D182" t="str">
            <v>Spread Duration</v>
          </cell>
          <cell r="E182" t="str">
            <v>Spread Yield (DxS)</v>
          </cell>
          <cell r="F182" t="str">
            <v>SP-Corporate HY EUR</v>
          </cell>
          <cell r="G182" t="str">
            <v>SP-Spread Corporate</v>
          </cell>
          <cell r="H182" t="str">
            <v>SPREADS</v>
          </cell>
          <cell r="I182" t="str">
            <v>Corporate HY EUR - Industry</v>
          </cell>
        </row>
        <row r="183">
          <cell r="A183" t="str">
            <v>EUR_MATERIALS_HY</v>
          </cell>
          <cell r="B183" t="str">
            <v>EU Basic HY</v>
          </cell>
          <cell r="C183" t="str">
            <v>BRS_GOLD__5_SPREADS:BRS_GOLD__4_CORP:BRS_GOLD__3_CSHY:BRS_GOLD__2_CSHY_EUR:CORP33_EU_IND_HY:EUR_MATERIALS_HY</v>
          </cell>
          <cell r="D183" t="str">
            <v>Spread Duration</v>
          </cell>
          <cell r="E183" t="str">
            <v>Spread Yield (DxS)</v>
          </cell>
          <cell r="F183" t="str">
            <v>SP-Corporate HY EUR</v>
          </cell>
          <cell r="G183" t="str">
            <v>SP-Spread Corporate</v>
          </cell>
          <cell r="H183" t="str">
            <v>SPREADS</v>
          </cell>
          <cell r="I183" t="str">
            <v>Corporate HY EUR - Industry</v>
          </cell>
        </row>
        <row r="184">
          <cell r="A184" t="str">
            <v>EUR_UTILENER_HY</v>
          </cell>
          <cell r="B184" t="str">
            <v>EU Util Ene HY</v>
          </cell>
          <cell r="C184" t="str">
            <v>BRS_GOLD__5_SPREADS:BRS_GOLD__4_CORP:BRS_GOLD__3_CSHY:BRS_GOLD__2_CSHY_EUR:CORP33_EU_IND_HY:EUR_UTILENER_HY</v>
          </cell>
          <cell r="D184" t="str">
            <v>Spread Duration</v>
          </cell>
          <cell r="E184" t="str">
            <v>Spread Yield (DxS)</v>
          </cell>
          <cell r="F184" t="str">
            <v>SP-Corporate HY EUR</v>
          </cell>
          <cell r="G184" t="str">
            <v>SP-Spread Corporate</v>
          </cell>
          <cell r="H184" t="str">
            <v>SPREADS</v>
          </cell>
          <cell r="I184" t="str">
            <v>Corporate HY EUR - Industry</v>
          </cell>
        </row>
        <row r="185">
          <cell r="A185" t="str">
            <v>EUR_LEH_HY</v>
          </cell>
          <cell r="B185" t="str">
            <v>Pan Euro Credit HY</v>
          </cell>
          <cell r="C185" t="str">
            <v>BRS_GOLD__5_SPREADS:BRS_GOLD__4_CORP:BRS_GOLD__3_CSHY:CORP40_HY_EU:EUR_LEH_HY,EUR_LEH_HY_SF:EUR_LEH_HY</v>
          </cell>
          <cell r="D185" t="str">
            <v>Spread Duration</v>
          </cell>
          <cell r="E185" t="str">
            <v>Spread Yield (DxS)</v>
          </cell>
          <cell r="F185" t="str">
            <v>SP-Corporate HY EUR</v>
          </cell>
          <cell r="G185" t="str">
            <v>SP-Spread Corporate</v>
          </cell>
          <cell r="H185" t="str">
            <v>SPREADS</v>
          </cell>
          <cell r="I185" t="str">
            <v>Corporate HY EUR - Other</v>
          </cell>
        </row>
        <row r="186">
          <cell r="A186" t="str">
            <v>EUR_LEH_HY_SF</v>
          </cell>
          <cell r="B186" t="str">
            <v>Pan Euro Credit HY</v>
          </cell>
          <cell r="C186" t="str">
            <v>BRS_GOLD__5_SPREADS:BRS_GOLD__4_CORP:BRS_GOLD__3_CSHY:CORP40_HY_EU:EUR_LEH_HY,EUR_LEH_HY_SF:EUR_LEH_HY_SF</v>
          </cell>
          <cell r="D186" t="str">
            <v>Spread Duration</v>
          </cell>
          <cell r="E186" t="str">
            <v>Spread Yield (DxS)</v>
          </cell>
          <cell r="F186" t="str">
            <v>SP-Corporate HY EUR</v>
          </cell>
          <cell r="G186" t="str">
            <v>SP-Spread Corporate</v>
          </cell>
          <cell r="H186" t="str">
            <v>SPREADS</v>
          </cell>
          <cell r="I186" t="str">
            <v>Corporate HY EUR - Other</v>
          </cell>
        </row>
        <row r="187">
          <cell r="A187" t="str">
            <v>EUR_CORP_HY_10</v>
          </cell>
          <cell r="B187" t="str">
            <v>Pan Euro Maturity HY 10</v>
          </cell>
          <cell r="C187" t="str">
            <v>BRS_GOLD__5_SPREADS:BRS_GOLD__4_CORP:BRS_GOLD__3_CSHY:CORP40_HY_EU:CORP40_HY_EU_MAT:EUR_CORP_HY_10</v>
          </cell>
          <cell r="D187" t="str">
            <v>Spread Duration</v>
          </cell>
          <cell r="E187" t="str">
            <v>Spread Yield (DxS)</v>
          </cell>
          <cell r="F187" t="str">
            <v>SP-Corporate HY EUR</v>
          </cell>
          <cell r="G187" t="str">
            <v>SP-Spread Corporate</v>
          </cell>
          <cell r="H187" t="str">
            <v>SPREADS</v>
          </cell>
          <cell r="I187" t="str">
            <v>Corporate HY EUR - Maturity</v>
          </cell>
        </row>
        <row r="188">
          <cell r="A188" t="str">
            <v>EUR_CORP_HY_20</v>
          </cell>
          <cell r="B188" t="str">
            <v>Pan Euro Maturity HY 20</v>
          </cell>
          <cell r="C188" t="str">
            <v>BRS_GOLD__5_SPREADS:BRS_GOLD__4_CORP:BRS_GOLD__3_CSHY:CORP40_HY_EU:CORP40_HY_EU_MAT:EUR_CORP_HY_20</v>
          </cell>
          <cell r="D188" t="str">
            <v>Spread Duration</v>
          </cell>
          <cell r="E188" t="str">
            <v>Spread Yield (DxS)</v>
          </cell>
          <cell r="F188" t="str">
            <v>SP-Corporate HY EUR</v>
          </cell>
          <cell r="G188" t="str">
            <v>SP-Spread Corporate</v>
          </cell>
          <cell r="H188" t="str">
            <v>SPREADS</v>
          </cell>
          <cell r="I188" t="str">
            <v>Corporate HY EUR - Maturity</v>
          </cell>
        </row>
        <row r="189">
          <cell r="A189" t="str">
            <v>EUR_CORP_HY_2</v>
          </cell>
          <cell r="B189" t="str">
            <v>Pan Euro Maturity HY 2</v>
          </cell>
          <cell r="C189" t="str">
            <v>BRS_GOLD__5_SPREADS:BRS_GOLD__4_CORP:BRS_GOLD__3_CSHY:CORP40_HY_EU:CORP40_HY_EU_MAT:EUR_CORP_HY_2</v>
          </cell>
          <cell r="D189" t="str">
            <v>Spread Duration</v>
          </cell>
          <cell r="E189" t="str">
            <v>Spread Yield (DxS)</v>
          </cell>
          <cell r="F189" t="str">
            <v>SP-Corporate HY EUR</v>
          </cell>
          <cell r="G189" t="str">
            <v>SP-Spread Corporate</v>
          </cell>
          <cell r="H189" t="str">
            <v>SPREADS</v>
          </cell>
          <cell r="I189" t="str">
            <v>Corporate HY EUR - Maturity</v>
          </cell>
        </row>
        <row r="190">
          <cell r="A190" t="str">
            <v>EUR_CORP_HY_10_V3</v>
          </cell>
          <cell r="B190" t="str">
            <v>Pan Euro Maturity HY 10</v>
          </cell>
          <cell r="C190" t="str">
            <v>BRS_GOLD__5_SPREADS:BRS_GOLD__4_CORP:BRS_GOLD__3_CSHY:CORP40_HY_EU:CORP40_HY_EU_MAT_V3:EUR_CORP_HY_10_V3</v>
          </cell>
          <cell r="D190" t="str">
            <v>Spread Duration</v>
          </cell>
          <cell r="E190" t="str">
            <v>Spread Yield (DxS)</v>
          </cell>
          <cell r="F190" t="str">
            <v>SP-Corporate HY EUR</v>
          </cell>
          <cell r="G190" t="str">
            <v>SP-Spread Corporate</v>
          </cell>
          <cell r="H190" t="str">
            <v>SPREADS</v>
          </cell>
          <cell r="I190" t="str">
            <v>Corporate HY EUR - Maturity</v>
          </cell>
        </row>
        <row r="191">
          <cell r="A191" t="str">
            <v>EUR_CORP_HY_20_V3</v>
          </cell>
          <cell r="B191" t="str">
            <v>Pan Euro Maturity HY 20</v>
          </cell>
          <cell r="C191" t="str">
            <v>BRS_GOLD__5_SPREADS:BRS_GOLD__4_CORP:BRS_GOLD__3_CSHY:CORP40_HY_EU:CORP40_HY_EU_MAT_V3:EUR_CORP_HY_20_V3</v>
          </cell>
          <cell r="D191" t="str">
            <v>Spread Duration</v>
          </cell>
          <cell r="E191" t="str">
            <v>Spread Yield (DxS)</v>
          </cell>
          <cell r="F191" t="str">
            <v>SP-Corporate HY EUR</v>
          </cell>
          <cell r="G191" t="str">
            <v>SP-Spread Corporate</v>
          </cell>
          <cell r="H191" t="str">
            <v>SPREADS</v>
          </cell>
          <cell r="I191" t="str">
            <v>Corporate HY EUR - Maturity</v>
          </cell>
        </row>
        <row r="192">
          <cell r="A192" t="str">
            <v>EUR_CORP_HY_2_V3</v>
          </cell>
          <cell r="B192" t="str">
            <v>Pan Euro Maturity HY 2</v>
          </cell>
          <cell r="C192" t="str">
            <v>BRS_GOLD__5_SPREADS:BRS_GOLD__4_CORP:BRS_GOLD__3_CSHY:CORP40_HY_EU:CORP40_HY_EU_MAT_V3:EUR_CORP_HY_2_V3</v>
          </cell>
          <cell r="D192" t="str">
            <v>Spread Duration</v>
          </cell>
          <cell r="E192" t="str">
            <v>Spread Yield (DxS)</v>
          </cell>
          <cell r="F192" t="str">
            <v>SP-Corporate HY EUR</v>
          </cell>
          <cell r="G192" t="str">
            <v>SP-Spread Corporate</v>
          </cell>
          <cell r="H192" t="str">
            <v>SPREADS</v>
          </cell>
          <cell r="I192" t="str">
            <v>Corporate HY EUR - Maturity</v>
          </cell>
        </row>
        <row r="193">
          <cell r="A193" t="str">
            <v>EUR_CORP_HY_10_V3_SF</v>
          </cell>
          <cell r="B193" t="str">
            <v>Pan Euro Maturity HY 10</v>
          </cell>
          <cell r="C193" t="str">
            <v>BRS_GOLD__5_SPREADS:BRS_GOLD__4_CORP:BRS_GOLD__3_CSHY:CORP40_HY_EU:CORP40_HY_EU_MAT_V3:EUR_CORP_HY_10_V3_SF</v>
          </cell>
          <cell r="D193" t="str">
            <v>Spread Duration</v>
          </cell>
          <cell r="E193" t="str">
            <v>Spread Yield (DxS)</v>
          </cell>
          <cell r="F193" t="str">
            <v>SP-Corporate HY EUR</v>
          </cell>
          <cell r="G193" t="str">
            <v>SP-Spread Corporate</v>
          </cell>
          <cell r="H193" t="str">
            <v>SPREADS</v>
          </cell>
          <cell r="I193" t="str">
            <v>Corporate HY EUR - Maturity</v>
          </cell>
        </row>
        <row r="194">
          <cell r="A194" t="str">
            <v>EUR_CORP_HY_20_V3_SF</v>
          </cell>
          <cell r="B194" t="str">
            <v>Pan Euro Maturity HY 20</v>
          </cell>
          <cell r="C194" t="str">
            <v>BRS_GOLD__5_SPREADS:BRS_GOLD__4_CORP:BRS_GOLD__3_CSHY:CORP40_HY_EU:CORP40_HY_EU_MAT_V3:EUR_CORP_HY_20_V3_SF</v>
          </cell>
          <cell r="D194" t="str">
            <v>Spread Duration</v>
          </cell>
          <cell r="E194" t="str">
            <v>Spread Yield (DxS)</v>
          </cell>
          <cell r="F194" t="str">
            <v>SP-Corporate HY EUR</v>
          </cell>
          <cell r="G194" t="str">
            <v>SP-Spread Corporate</v>
          </cell>
          <cell r="H194" t="str">
            <v>SPREADS</v>
          </cell>
          <cell r="I194" t="str">
            <v>Corporate HY EUR - Maturity</v>
          </cell>
        </row>
        <row r="195">
          <cell r="A195" t="str">
            <v>EUR_CORP_HY_2_V3_SF</v>
          </cell>
          <cell r="B195" t="str">
            <v>Pan Euro Maturity HY 2</v>
          </cell>
          <cell r="C195" t="str">
            <v>BRS_GOLD__5_SPREADS:BRS_GOLD__4_CORP:BRS_GOLD__3_CSHY:CORP40_HY_EU:CORP40_HY_EU_MAT_V3:EUR_CORP_HY_2_V3_SF</v>
          </cell>
          <cell r="D195" t="str">
            <v>Spread Duration</v>
          </cell>
          <cell r="E195" t="str">
            <v>Spread Yield (DxS)</v>
          </cell>
          <cell r="F195" t="str">
            <v>SP-Corporate HY EUR</v>
          </cell>
          <cell r="G195" t="str">
            <v>SP-Spread Corporate</v>
          </cell>
          <cell r="H195" t="str">
            <v>SPREADS</v>
          </cell>
          <cell r="I195" t="str">
            <v>Corporate HY EUR - Maturity</v>
          </cell>
        </row>
        <row r="196">
          <cell r="A196" t="str">
            <v>EUR_AUTO_HY</v>
          </cell>
          <cell r="B196" t="str">
            <v>Pan Euro Auto HY</v>
          </cell>
          <cell r="C196" t="str">
            <v>BRS_GOLD__5_SPREADS:BRS_GOLD__4_CORP:BRS_GOLD__3_CSHY:CORP40_HY_EU:CORP40_HY_EU_IND:EUR_AUTO_HY</v>
          </cell>
          <cell r="D196" t="str">
            <v>Spread Duration</v>
          </cell>
          <cell r="E196" t="str">
            <v>Spread Yield (DxS)</v>
          </cell>
          <cell r="F196" t="str">
            <v>SP-Corporate HY EUR</v>
          </cell>
          <cell r="G196" t="str">
            <v>SP-Spread Corporate</v>
          </cell>
          <cell r="H196" t="str">
            <v>SPREADS</v>
          </cell>
          <cell r="I196" t="str">
            <v>Corporate HY EUR - Industry</v>
          </cell>
        </row>
        <row r="197">
          <cell r="A197" t="str">
            <v>EUR_BANKBROK_HY</v>
          </cell>
          <cell r="B197" t="str">
            <v>Pan Euro Banking HY</v>
          </cell>
          <cell r="C197" t="str">
            <v>BRS_GOLD__5_SPREADS:BRS_GOLD__4_CORP:BRS_GOLD__3_CSHY:CORP40_HY_EU:CORP40_HY_EU_IND:EUR_BANKBROK_HY</v>
          </cell>
          <cell r="D197" t="str">
            <v>Spread Duration</v>
          </cell>
          <cell r="E197" t="str">
            <v>Spread Yield (DxS)</v>
          </cell>
          <cell r="F197" t="str">
            <v>SP-Corporate HY EUR</v>
          </cell>
          <cell r="G197" t="str">
            <v>SP-Spread Corporate</v>
          </cell>
          <cell r="H197" t="str">
            <v>SPREADS</v>
          </cell>
          <cell r="I197" t="str">
            <v>Corporate HY EUR - Industry</v>
          </cell>
        </row>
        <row r="198">
          <cell r="A198" t="str">
            <v>EUR_BASIC_HY</v>
          </cell>
          <cell r="B198" t="str">
            <v>Pan Euro Basic HY</v>
          </cell>
          <cell r="C198" t="str">
            <v>BRS_GOLD__5_SPREADS:BRS_GOLD__4_CORP:BRS_GOLD__3_CSHY:CORP40_HY_EU:CORP40_HY_EU_IND:EUR_BASIC_HY</v>
          </cell>
          <cell r="D198" t="str">
            <v>Spread Duration</v>
          </cell>
          <cell r="E198" t="str">
            <v>Spread Yield (DxS)</v>
          </cell>
          <cell r="F198" t="str">
            <v>SP-Corporate HY EUR</v>
          </cell>
          <cell r="G198" t="str">
            <v>SP-Spread Corporate</v>
          </cell>
          <cell r="H198" t="str">
            <v>SPREADS</v>
          </cell>
          <cell r="I198" t="str">
            <v>Corporate HY EUR - Industry</v>
          </cell>
        </row>
        <row r="199">
          <cell r="A199" t="str">
            <v>EUR_CAPG_HY</v>
          </cell>
          <cell r="B199" t="str">
            <v>Pan Euro Cap Goods HY</v>
          </cell>
          <cell r="C199" t="str">
            <v>BRS_GOLD__5_SPREADS:BRS_GOLD__4_CORP:BRS_GOLD__3_CSHY:CORP40_HY_EU:CORP40_HY_EU_IND:EUR_CAPG_HY</v>
          </cell>
          <cell r="D199" t="str">
            <v>Spread Duration</v>
          </cell>
          <cell r="E199" t="str">
            <v>Spread Yield (DxS)</v>
          </cell>
          <cell r="F199" t="str">
            <v>SP-Corporate HY EUR</v>
          </cell>
          <cell r="G199" t="str">
            <v>SP-Spread Corporate</v>
          </cell>
          <cell r="H199" t="str">
            <v>SPREADS</v>
          </cell>
          <cell r="I199" t="str">
            <v>Corporate HY EUR - Industry</v>
          </cell>
        </row>
        <row r="200">
          <cell r="A200" t="str">
            <v>EUR_CYCLICAL_HY</v>
          </cell>
          <cell r="B200" t="str">
            <v>Pan Euro Cyclical HY</v>
          </cell>
          <cell r="C200" t="str">
            <v>BRS_GOLD__5_SPREADS:BRS_GOLD__4_CORP:BRS_GOLD__3_CSHY:CORP40_HY_EU:CORP40_HY_EU_IND:EUR_CYCLICAL_HY</v>
          </cell>
          <cell r="D200" t="str">
            <v>Spread Duration</v>
          </cell>
          <cell r="E200" t="str">
            <v>Spread Yield (DxS)</v>
          </cell>
          <cell r="F200" t="str">
            <v>SP-Corporate HY EUR</v>
          </cell>
          <cell r="G200" t="str">
            <v>SP-Spread Corporate</v>
          </cell>
          <cell r="H200" t="str">
            <v>SPREADS</v>
          </cell>
          <cell r="I200" t="str">
            <v>Corporate HY EUR - Industry</v>
          </cell>
        </row>
        <row r="201">
          <cell r="A201" t="str">
            <v>EUR_ENERGY_HY</v>
          </cell>
          <cell r="B201" t="str">
            <v>Pan Euro Energy HY</v>
          </cell>
          <cell r="C201" t="str">
            <v>BRS_GOLD__5_SPREADS:BRS_GOLD__4_CORP:BRS_GOLD__3_CSHY:CORP40_HY_EU:CORP40_HY_EU_IND:EUR_ENERGY_HY</v>
          </cell>
          <cell r="D201" t="str">
            <v>Spread Duration</v>
          </cell>
          <cell r="E201" t="str">
            <v>Spread Yield (DxS)</v>
          </cell>
          <cell r="F201" t="str">
            <v>SP-Corporate HY EUR</v>
          </cell>
          <cell r="G201" t="str">
            <v>SP-Spread Corporate</v>
          </cell>
          <cell r="H201" t="str">
            <v>SPREADS</v>
          </cell>
          <cell r="I201" t="str">
            <v>Corporate HY EUR - Industry</v>
          </cell>
        </row>
        <row r="202">
          <cell r="A202" t="str">
            <v>EUR_INSURANCE_HY</v>
          </cell>
          <cell r="B202" t="str">
            <v>Pan Euro Insurance HY</v>
          </cell>
          <cell r="C202" t="str">
            <v>BRS_GOLD__5_SPREADS:BRS_GOLD__4_CORP:BRS_GOLD__3_CSHY:CORP40_HY_EU:CORP40_HY_EU_IND:EUR_INSURANCE_HY</v>
          </cell>
          <cell r="D202" t="str">
            <v>Spread Duration</v>
          </cell>
          <cell r="E202" t="str">
            <v>Spread Yield (DxS)</v>
          </cell>
          <cell r="F202" t="str">
            <v>SP-Corporate HY EUR</v>
          </cell>
          <cell r="G202" t="str">
            <v>SP-Spread Corporate</v>
          </cell>
          <cell r="H202" t="str">
            <v>SPREADS</v>
          </cell>
          <cell r="I202" t="str">
            <v>Corporate HY EUR - Industry</v>
          </cell>
        </row>
        <row r="203">
          <cell r="A203" t="str">
            <v>EUR_NONCYCLICAL_HY</v>
          </cell>
          <cell r="B203" t="str">
            <v>Pan Euro Noncyclical HY</v>
          </cell>
          <cell r="C203" t="str">
            <v>BRS_GOLD__5_SPREADS:BRS_GOLD__4_CORP:BRS_GOLD__3_CSHY:CORP40_HY_EU:CORP40_HY_EU_IND:EUR_NONCYCLICAL_HY</v>
          </cell>
          <cell r="D203" t="str">
            <v>Spread Duration</v>
          </cell>
          <cell r="E203" t="str">
            <v>Spread Yield (DxS)</v>
          </cell>
          <cell r="F203" t="str">
            <v>SP-Corporate HY EUR</v>
          </cell>
          <cell r="G203" t="str">
            <v>SP-Spread Corporate</v>
          </cell>
          <cell r="H203" t="str">
            <v>SPREADS</v>
          </cell>
          <cell r="I203" t="str">
            <v>Corporate HY EUR - Industry</v>
          </cell>
        </row>
        <row r="204">
          <cell r="A204" t="str">
            <v>EUR_OTHERFIN_HY</v>
          </cell>
          <cell r="B204" t="str">
            <v>Pan Euro Fin Other HY</v>
          </cell>
          <cell r="C204" t="str">
            <v>BRS_GOLD__5_SPREADS:BRS_GOLD__4_CORP:BRS_GOLD__3_CSHY:CORP40_HY_EU:CORP40_HY_EU_IND:EUR_OTHERFIN_HY</v>
          </cell>
          <cell r="D204" t="str">
            <v>Spread Duration</v>
          </cell>
          <cell r="E204" t="str">
            <v>Spread Yield (DxS)</v>
          </cell>
          <cell r="F204" t="str">
            <v>SP-Corporate HY EUR</v>
          </cell>
          <cell r="G204" t="str">
            <v>SP-Spread Corporate</v>
          </cell>
          <cell r="H204" t="str">
            <v>SPREADS</v>
          </cell>
          <cell r="I204" t="str">
            <v>Corporate HY EUR - Industry</v>
          </cell>
        </row>
        <row r="205">
          <cell r="A205" t="str">
            <v>EUR_OTHERIND_HY</v>
          </cell>
          <cell r="B205" t="str">
            <v>Pan Euro Ind Other HY</v>
          </cell>
          <cell r="C205" t="str">
            <v>BRS_GOLD__5_SPREADS:BRS_GOLD__4_CORP:BRS_GOLD__3_CSHY:CORP40_HY_EU:CORP40_HY_EU_IND:EUR_OTHERIND_HY</v>
          </cell>
          <cell r="D205" t="str">
            <v>Spread Duration</v>
          </cell>
          <cell r="E205" t="str">
            <v>Spread Yield (DxS)</v>
          </cell>
          <cell r="F205" t="str">
            <v>SP-Corporate HY EUR</v>
          </cell>
          <cell r="G205" t="str">
            <v>SP-Spread Corporate</v>
          </cell>
          <cell r="H205" t="str">
            <v>SPREADS</v>
          </cell>
          <cell r="I205" t="str">
            <v>Corporate HY EUR - Industry</v>
          </cell>
        </row>
        <row r="206">
          <cell r="A206" t="str">
            <v>EUR_TECHCOMM_HY</v>
          </cell>
          <cell r="B206" t="str">
            <v>Pan Euro Tech Comm HY</v>
          </cell>
          <cell r="C206" t="str">
            <v>BRS_GOLD__5_SPREADS:BRS_GOLD__4_CORP:BRS_GOLD__3_CSHY:CORP40_HY_EU:CORP40_HY_EU_IND:EUR_TECHCOMM_HY</v>
          </cell>
          <cell r="D206" t="str">
            <v>Spread Duration</v>
          </cell>
          <cell r="E206" t="str">
            <v>Spread Yield (DxS)</v>
          </cell>
          <cell r="F206" t="str">
            <v>SP-Corporate HY EUR</v>
          </cell>
          <cell r="G206" t="str">
            <v>SP-Spread Corporate</v>
          </cell>
          <cell r="H206" t="str">
            <v>SPREADS</v>
          </cell>
          <cell r="I206" t="str">
            <v>Corporate HY EUR - Industry</v>
          </cell>
        </row>
        <row r="207">
          <cell r="A207" t="str">
            <v>EUR_TRANSPORT_HY</v>
          </cell>
          <cell r="B207" t="str">
            <v>Pan Euro Transport HY</v>
          </cell>
          <cell r="C207" t="str">
            <v>BRS_GOLD__5_SPREADS:BRS_GOLD__4_CORP:BRS_GOLD__3_CSHY:CORP40_HY_EU:CORP40_HY_EU_IND:EUR_TRANSPORT_HY</v>
          </cell>
          <cell r="D207" t="str">
            <v>Spread Duration</v>
          </cell>
          <cell r="E207" t="str">
            <v>Spread Yield (DxS)</v>
          </cell>
          <cell r="F207" t="str">
            <v>SP-Corporate HY EUR</v>
          </cell>
          <cell r="G207" t="str">
            <v>SP-Spread Corporate</v>
          </cell>
          <cell r="H207" t="str">
            <v>SPREADS</v>
          </cell>
          <cell r="I207" t="str">
            <v>Corporate HY EUR - Industry</v>
          </cell>
        </row>
        <row r="208">
          <cell r="A208" t="str">
            <v>EUR_UTILITY_HY</v>
          </cell>
          <cell r="B208" t="str">
            <v>Pan Euro Utility HY</v>
          </cell>
          <cell r="C208" t="str">
            <v>BRS_GOLD__5_SPREADS:BRS_GOLD__4_CORP:BRS_GOLD__3_CSHY:CORP40_HY_EU:CORP40_HY_EU_IND:EUR_UTILITY_HY</v>
          </cell>
          <cell r="D208" t="str">
            <v>Spread Duration</v>
          </cell>
          <cell r="E208" t="str">
            <v>Spread Yield (DxS)</v>
          </cell>
          <cell r="F208" t="str">
            <v>SP-Corporate HY EUR</v>
          </cell>
          <cell r="G208" t="str">
            <v>SP-Spread Corporate</v>
          </cell>
          <cell r="H208" t="str">
            <v>SPREADS</v>
          </cell>
          <cell r="I208" t="str">
            <v>Corporate HY EUR - Industry</v>
          </cell>
        </row>
        <row r="209">
          <cell r="A209" t="str">
            <v>EUR_AUTO_HY_V3</v>
          </cell>
          <cell r="B209" t="str">
            <v>Pan Euro Auto HY</v>
          </cell>
          <cell r="C209" t="str">
            <v>BRS_GOLD__5_SPREADS:BRS_GOLD__4_CORP:BRS_GOLD__3_CSHY:CORP40_HY_EU:CORP40_HY_EU_IND_V3:EUR_AUTO_HY_V3</v>
          </cell>
          <cell r="D209" t="str">
            <v>Spread Duration</v>
          </cell>
          <cell r="E209" t="str">
            <v>Spread Yield (DxS)</v>
          </cell>
          <cell r="F209" t="str">
            <v>SP-Corporate HY EUR</v>
          </cell>
          <cell r="G209" t="str">
            <v>SP-Spread Corporate</v>
          </cell>
          <cell r="H209" t="str">
            <v>SPREADS</v>
          </cell>
          <cell r="I209" t="str">
            <v>Corporate HY EUR - Industry</v>
          </cell>
        </row>
        <row r="210">
          <cell r="A210" t="str">
            <v>EUR_BANKBROK_HY_V3</v>
          </cell>
          <cell r="B210" t="str">
            <v>Pan Euro Banking HY</v>
          </cell>
          <cell r="C210" t="str">
            <v>BRS_GOLD__5_SPREADS:BRS_GOLD__4_CORP:BRS_GOLD__3_CSHY:CORP40_HY_EU:CORP40_HY_EU_IND_V3:EUR_BANKBROK_HY_V3</v>
          </cell>
          <cell r="D210" t="str">
            <v>Spread Duration</v>
          </cell>
          <cell r="E210" t="str">
            <v>Spread Yield (DxS)</v>
          </cell>
          <cell r="F210" t="str">
            <v>SP-Corporate HY EUR</v>
          </cell>
          <cell r="G210" t="str">
            <v>SP-Spread Corporate</v>
          </cell>
          <cell r="H210" t="str">
            <v>SPREADS</v>
          </cell>
          <cell r="I210" t="str">
            <v>Corporate HY EUR - Industry</v>
          </cell>
        </row>
        <row r="211">
          <cell r="A211" t="str">
            <v>EUR_BASIC_HY_V3</v>
          </cell>
          <cell r="B211" t="str">
            <v>Pan Euro Basic HY</v>
          </cell>
          <cell r="C211" t="str">
            <v>BRS_GOLD__5_SPREADS:BRS_GOLD__4_CORP:BRS_GOLD__3_CSHY:CORP40_HY_EU:CORP40_HY_EU_IND_V3:EUR_BASIC_HY_V3</v>
          </cell>
          <cell r="D211" t="str">
            <v>Spread Duration</v>
          </cell>
          <cell r="E211" t="str">
            <v>Spread Yield (DxS)</v>
          </cell>
          <cell r="F211" t="str">
            <v>SP-Corporate HY EUR</v>
          </cell>
          <cell r="G211" t="str">
            <v>SP-Spread Corporate</v>
          </cell>
          <cell r="H211" t="str">
            <v>SPREADS</v>
          </cell>
          <cell r="I211" t="str">
            <v>Corporate HY EUR - Industry</v>
          </cell>
        </row>
        <row r="212">
          <cell r="A212" t="str">
            <v>EUR_CAPG_HY_V3</v>
          </cell>
          <cell r="B212" t="str">
            <v>Pan Euro Cap Goods HY</v>
          </cell>
          <cell r="C212" t="str">
            <v>BRS_GOLD__5_SPREADS:BRS_GOLD__4_CORP:BRS_GOLD__3_CSHY:CORP40_HY_EU:CORP40_HY_EU_IND_V3:EUR_CAPG_HY_V3</v>
          </cell>
          <cell r="D212" t="str">
            <v>Spread Duration</v>
          </cell>
          <cell r="E212" t="str">
            <v>Spread Yield (DxS)</v>
          </cell>
          <cell r="F212" t="str">
            <v>SP-Corporate HY EUR</v>
          </cell>
          <cell r="G212" t="str">
            <v>SP-Spread Corporate</v>
          </cell>
          <cell r="H212" t="str">
            <v>SPREADS</v>
          </cell>
          <cell r="I212" t="str">
            <v>Corporate HY EUR - Industry</v>
          </cell>
        </row>
        <row r="213">
          <cell r="A213" t="str">
            <v>EUR_CYCLICAL_HY_V3</v>
          </cell>
          <cell r="B213" t="str">
            <v>Pan Euro Cyclical HY</v>
          </cell>
          <cell r="C213" t="str">
            <v>BRS_GOLD__5_SPREADS:BRS_GOLD__4_CORP:BRS_GOLD__3_CSHY:CORP40_HY_EU:CORP40_HY_EU_IND_V3:EUR_CYCLICAL_HY_V3</v>
          </cell>
          <cell r="D213" t="str">
            <v>Spread Duration</v>
          </cell>
          <cell r="E213" t="str">
            <v>Spread Yield (DxS)</v>
          </cell>
          <cell r="F213" t="str">
            <v>SP-Corporate HY EUR</v>
          </cell>
          <cell r="G213" t="str">
            <v>SP-Spread Corporate</v>
          </cell>
          <cell r="H213" t="str">
            <v>SPREADS</v>
          </cell>
          <cell r="I213" t="str">
            <v>Corporate HY EUR - Industry</v>
          </cell>
        </row>
        <row r="214">
          <cell r="A214" t="str">
            <v>EUR_ENERGY_HY_V3</v>
          </cell>
          <cell r="B214" t="str">
            <v>Pan Euro Energy HY</v>
          </cell>
          <cell r="C214" t="str">
            <v>BRS_GOLD__5_SPREADS:BRS_GOLD__4_CORP:BRS_GOLD__3_CSHY:CORP40_HY_EU:CORP40_HY_EU_IND_V3:EUR_ENERGY_HY_V3</v>
          </cell>
          <cell r="D214" t="str">
            <v>Spread Duration</v>
          </cell>
          <cell r="E214" t="str">
            <v>Spread Yield (DxS)</v>
          </cell>
          <cell r="F214" t="str">
            <v>SP-Corporate HY EUR</v>
          </cell>
          <cell r="G214" t="str">
            <v>SP-Spread Corporate</v>
          </cell>
          <cell r="H214" t="str">
            <v>SPREADS</v>
          </cell>
          <cell r="I214" t="str">
            <v>Corporate HY EUR - Industry</v>
          </cell>
        </row>
        <row r="215">
          <cell r="A215" t="str">
            <v>EUR_INSURANCE_HY_V3</v>
          </cell>
          <cell r="B215" t="str">
            <v>Pan Euro Insurance HY</v>
          </cell>
          <cell r="C215" t="str">
            <v>BRS_GOLD__5_SPREADS:BRS_GOLD__4_CORP:BRS_GOLD__3_CSHY:CORP40_HY_EU:CORP40_HY_EU_IND_V3:EUR_INSURANCE_HY_V3</v>
          </cell>
          <cell r="D215" t="str">
            <v>Spread Duration</v>
          </cell>
          <cell r="E215" t="str">
            <v>Spread Yield (DxS)</v>
          </cell>
          <cell r="F215" t="str">
            <v>SP-Corporate HY EUR</v>
          </cell>
          <cell r="G215" t="str">
            <v>SP-Spread Corporate</v>
          </cell>
          <cell r="H215" t="str">
            <v>SPREADS</v>
          </cell>
          <cell r="I215" t="str">
            <v>Corporate HY EUR - Industry</v>
          </cell>
        </row>
        <row r="216">
          <cell r="A216" t="str">
            <v>EUR_NONCYCLICAL_HY_V3</v>
          </cell>
          <cell r="B216" t="str">
            <v>Pan Euro Noncyclical HY</v>
          </cell>
          <cell r="C216" t="str">
            <v>BRS_GOLD__5_SPREADS:BRS_GOLD__4_CORP:BRS_GOLD__3_CSHY:CORP40_HY_EU:CORP40_HY_EU_IND_V3:EUR_NONCYCLICAL_HY_V3</v>
          </cell>
          <cell r="D216" t="str">
            <v>Spread Duration</v>
          </cell>
          <cell r="E216" t="str">
            <v>Spread Yield (DxS)</v>
          </cell>
          <cell r="F216" t="str">
            <v>SP-Corporate HY EUR</v>
          </cell>
          <cell r="G216" t="str">
            <v>SP-Spread Corporate</v>
          </cell>
          <cell r="H216" t="str">
            <v>SPREADS</v>
          </cell>
          <cell r="I216" t="str">
            <v>Corporate HY EUR - Industry</v>
          </cell>
        </row>
        <row r="217">
          <cell r="A217" t="str">
            <v>EUR_OTHERFIN_HY_V3</v>
          </cell>
          <cell r="B217" t="str">
            <v>Pan Euro Fin Other HY</v>
          </cell>
          <cell r="C217" t="str">
            <v>BRS_GOLD__5_SPREADS:BRS_GOLD__4_CORP:BRS_GOLD__3_CSHY:CORP40_HY_EU:CORP40_HY_EU_IND_V3:EUR_OTHERFIN_HY_V3</v>
          </cell>
          <cell r="D217" t="str">
            <v>Spread Duration</v>
          </cell>
          <cell r="E217" t="str">
            <v>Spread Yield (DxS)</v>
          </cell>
          <cell r="F217" t="str">
            <v>SP-Corporate HY EUR</v>
          </cell>
          <cell r="G217" t="str">
            <v>SP-Spread Corporate</v>
          </cell>
          <cell r="H217" t="str">
            <v>SPREADS</v>
          </cell>
          <cell r="I217" t="str">
            <v>Corporate HY EUR - Industry</v>
          </cell>
        </row>
        <row r="218">
          <cell r="A218" t="str">
            <v>EUR_OTHERIND_HY_V3</v>
          </cell>
          <cell r="B218" t="str">
            <v>Pan Euro Ind Other HY</v>
          </cell>
          <cell r="C218" t="str">
            <v>BRS_GOLD__5_SPREADS:BRS_GOLD__4_CORP:BRS_GOLD__3_CSHY:CORP40_HY_EU:CORP40_HY_EU_IND_V3:EUR_OTHERIND_HY_V3</v>
          </cell>
          <cell r="D218" t="str">
            <v>Spread Duration</v>
          </cell>
          <cell r="E218" t="str">
            <v>Spread Yield (DxS)</v>
          </cell>
          <cell r="F218" t="str">
            <v>SP-Corporate HY EUR</v>
          </cell>
          <cell r="G218" t="str">
            <v>SP-Spread Corporate</v>
          </cell>
          <cell r="H218" t="str">
            <v>SPREADS</v>
          </cell>
          <cell r="I218" t="str">
            <v>Corporate HY EUR - Industry</v>
          </cell>
        </row>
        <row r="219">
          <cell r="A219" t="str">
            <v>EUR_TECHCOMM_HY_V3</v>
          </cell>
          <cell r="B219" t="str">
            <v>Pan Euro Tech Comm HY</v>
          </cell>
          <cell r="C219" t="str">
            <v>BRS_GOLD__5_SPREADS:BRS_GOLD__4_CORP:BRS_GOLD__3_CSHY:CORP40_HY_EU:CORP40_HY_EU_IND_V3:EUR_TECHCOMM_HY_V3</v>
          </cell>
          <cell r="D219" t="str">
            <v>Spread Duration</v>
          </cell>
          <cell r="E219" t="str">
            <v>Spread Yield (DxS)</v>
          </cell>
          <cell r="F219" t="str">
            <v>SP-Corporate HY EUR</v>
          </cell>
          <cell r="G219" t="str">
            <v>SP-Spread Corporate</v>
          </cell>
          <cell r="H219" t="str">
            <v>SPREADS</v>
          </cell>
          <cell r="I219" t="str">
            <v>Corporate HY EUR - Industry</v>
          </cell>
        </row>
        <row r="220">
          <cell r="A220" t="str">
            <v>EUR_TRANSPORT_HY_V3</v>
          </cell>
          <cell r="B220" t="str">
            <v>Pan Euro Transport HY</v>
          </cell>
          <cell r="C220" t="str">
            <v>BRS_GOLD__5_SPREADS:BRS_GOLD__4_CORP:BRS_GOLD__3_CSHY:CORP40_HY_EU:CORP40_HY_EU_IND_V3:EUR_TRANSPORT_HY_V3</v>
          </cell>
          <cell r="D220" t="str">
            <v>Spread Duration</v>
          </cell>
          <cell r="E220" t="str">
            <v>Spread Yield (DxS)</v>
          </cell>
          <cell r="F220" t="str">
            <v>SP-Corporate HY EUR</v>
          </cell>
          <cell r="G220" t="str">
            <v>SP-Spread Corporate</v>
          </cell>
          <cell r="H220" t="str">
            <v>SPREADS</v>
          </cell>
          <cell r="I220" t="str">
            <v>Corporate HY EUR - Industry</v>
          </cell>
        </row>
        <row r="221">
          <cell r="A221" t="str">
            <v>EUR_UTILITY_HY_V3</v>
          </cell>
          <cell r="B221" t="str">
            <v>Pan Euro Utility HY</v>
          </cell>
          <cell r="C221" t="str">
            <v>BRS_GOLD__5_SPREADS:BRS_GOLD__4_CORP:BRS_GOLD__3_CSHY:CORP40_HY_EU:CORP40_HY_EU_IND_V3:EUR_UTILITY_HY_V3</v>
          </cell>
          <cell r="D221" t="str">
            <v>Spread Duration</v>
          </cell>
          <cell r="E221" t="str">
            <v>Spread Yield (DxS)</v>
          </cell>
          <cell r="F221" t="str">
            <v>SP-Corporate HY EUR</v>
          </cell>
          <cell r="G221" t="str">
            <v>SP-Spread Corporate</v>
          </cell>
          <cell r="H221" t="str">
            <v>SPREADS</v>
          </cell>
          <cell r="I221" t="str">
            <v>Corporate HY EUR - Industry</v>
          </cell>
        </row>
        <row r="222">
          <cell r="A222" t="str">
            <v>EUR_AUTO_HY_V3_SF</v>
          </cell>
          <cell r="B222" t="str">
            <v>Pan Euro Auto HY</v>
          </cell>
          <cell r="C222" t="str">
            <v>BRS_GOLD__5_SPREADS:BRS_GOLD__4_CORP:BRS_GOLD__3_CSHY:CORP40_HY_EU:CORP40_HY_EU_IND_V3:EUR_AUTO_HY_V3_SF</v>
          </cell>
          <cell r="D222" t="str">
            <v>Spread Duration</v>
          </cell>
          <cell r="E222" t="str">
            <v>Spread Yield (DxS)</v>
          </cell>
          <cell r="F222" t="str">
            <v>SP-Corporate HY EUR</v>
          </cell>
          <cell r="G222" t="str">
            <v>SP-Spread Corporate</v>
          </cell>
          <cell r="H222" t="str">
            <v>SPREADS</v>
          </cell>
          <cell r="I222" t="str">
            <v>Corporate HY EUR - Industry</v>
          </cell>
        </row>
        <row r="223">
          <cell r="A223" t="str">
            <v>EUR_BANKBROK_HY_V3_SF</v>
          </cell>
          <cell r="B223" t="str">
            <v>Pan Euro Banking HY</v>
          </cell>
          <cell r="C223" t="str">
            <v>BRS_GOLD__5_SPREADS:BRS_GOLD__4_CORP:BRS_GOLD__3_CSHY:CORP40_HY_EU:CORP40_HY_EU_IND_V3:EUR_BANKBROK_HY_V3_SF</v>
          </cell>
          <cell r="D223" t="str">
            <v>Spread Duration</v>
          </cell>
          <cell r="E223" t="str">
            <v>Spread Yield (DxS)</v>
          </cell>
          <cell r="F223" t="str">
            <v>SP-Corporate HY EUR</v>
          </cell>
          <cell r="G223" t="str">
            <v>SP-Spread Corporate</v>
          </cell>
          <cell r="H223" t="str">
            <v>SPREADS</v>
          </cell>
          <cell r="I223" t="str">
            <v>Corporate HY EUR - Industry</v>
          </cell>
        </row>
        <row r="224">
          <cell r="A224" t="str">
            <v>EUR_BASIC_HY_V3_SF</v>
          </cell>
          <cell r="B224" t="str">
            <v>Pan Euro Basic HY</v>
          </cell>
          <cell r="C224" t="str">
            <v>BRS_GOLD__5_SPREADS:BRS_GOLD__4_CORP:BRS_GOLD__3_CSHY:CORP40_HY_EU:CORP40_HY_EU_IND_V3:EUR_BASIC_HY_V3_SF</v>
          </cell>
          <cell r="D224" t="str">
            <v>Spread Duration</v>
          </cell>
          <cell r="E224" t="str">
            <v>Spread Yield (DxS)</v>
          </cell>
          <cell r="F224" t="str">
            <v>SP-Corporate HY EUR</v>
          </cell>
          <cell r="G224" t="str">
            <v>SP-Spread Corporate</v>
          </cell>
          <cell r="H224" t="str">
            <v>SPREADS</v>
          </cell>
          <cell r="I224" t="str">
            <v>Corporate HY EUR - Industry</v>
          </cell>
        </row>
        <row r="225">
          <cell r="A225" t="str">
            <v>EUR_CAPG_HY_V3_SF</v>
          </cell>
          <cell r="B225" t="str">
            <v>Pan Euro Cap Goods HY</v>
          </cell>
          <cell r="C225" t="str">
            <v>BRS_GOLD__5_SPREADS:BRS_GOLD__4_CORP:BRS_GOLD__3_CSHY:CORP40_HY_EU:CORP40_HY_EU_IND_V3:EUR_CAPG_HY_V3_SF</v>
          </cell>
          <cell r="D225" t="str">
            <v>Spread Duration</v>
          </cell>
          <cell r="E225" t="str">
            <v>Spread Yield (DxS)</v>
          </cell>
          <cell r="F225" t="str">
            <v>SP-Corporate HY EUR</v>
          </cell>
          <cell r="G225" t="str">
            <v>SP-Spread Corporate</v>
          </cell>
          <cell r="H225" t="str">
            <v>SPREADS</v>
          </cell>
          <cell r="I225" t="str">
            <v>Corporate HY EUR - Industry</v>
          </cell>
        </row>
        <row r="226">
          <cell r="A226" t="str">
            <v>EUR_CYCLICAL_HY_V3_SF</v>
          </cell>
          <cell r="B226" t="str">
            <v>Pan Euro Cyclical HY</v>
          </cell>
          <cell r="C226" t="str">
            <v>BRS_GOLD__5_SPREADS:BRS_GOLD__4_CORP:BRS_GOLD__3_CSHY:CORP40_HY_EU:CORP40_HY_EU_IND_V3:EUR_CYCLICAL_HY_V3_SF</v>
          </cell>
          <cell r="D226" t="str">
            <v>Spread Duration</v>
          </cell>
          <cell r="E226" t="str">
            <v>Spread Yield (DxS)</v>
          </cell>
          <cell r="F226" t="str">
            <v>SP-Corporate HY EUR</v>
          </cell>
          <cell r="G226" t="str">
            <v>SP-Spread Corporate</v>
          </cell>
          <cell r="H226" t="str">
            <v>SPREADS</v>
          </cell>
          <cell r="I226" t="str">
            <v>Corporate HY EUR - Industry</v>
          </cell>
        </row>
        <row r="227">
          <cell r="A227" t="str">
            <v>EUR_ENERGY_HY_V3_SF</v>
          </cell>
          <cell r="B227" t="str">
            <v>Pan Euro Energy HY</v>
          </cell>
          <cell r="C227" t="str">
            <v>BRS_GOLD__5_SPREADS:BRS_GOLD__4_CORP:BRS_GOLD__3_CSHY:CORP40_HY_EU:CORP40_HY_EU_IND_V3:EUR_ENERGY_HY_V3_SF</v>
          </cell>
          <cell r="D227" t="str">
            <v>Spread Duration</v>
          </cell>
          <cell r="E227" t="str">
            <v>Spread Yield (DxS)</v>
          </cell>
          <cell r="F227" t="str">
            <v>SP-Corporate HY EUR</v>
          </cell>
          <cell r="G227" t="str">
            <v>SP-Spread Corporate</v>
          </cell>
          <cell r="H227" t="str">
            <v>SPREADS</v>
          </cell>
          <cell r="I227" t="str">
            <v>Corporate HY EUR - Industry</v>
          </cell>
        </row>
        <row r="228">
          <cell r="A228" t="str">
            <v>EUR_INSURANCE_HY_V3_SF</v>
          </cell>
          <cell r="B228" t="str">
            <v>Pan Euro Insurance HY</v>
          </cell>
          <cell r="C228" t="str">
            <v>BRS_GOLD__5_SPREADS:BRS_GOLD__4_CORP:BRS_GOLD__3_CSHY:CORP40_HY_EU:CORP40_HY_EU_IND_V3:EUR_INSURANCE_HY_V3_SF</v>
          </cell>
          <cell r="D228" t="str">
            <v>Spread Duration</v>
          </cell>
          <cell r="E228" t="str">
            <v>Spread Yield (DxS)</v>
          </cell>
          <cell r="F228" t="str">
            <v>SP-Corporate HY EUR</v>
          </cell>
          <cell r="G228" t="str">
            <v>SP-Spread Corporate</v>
          </cell>
          <cell r="H228" t="str">
            <v>SPREADS</v>
          </cell>
          <cell r="I228" t="str">
            <v>Corporate HY EUR - Industry</v>
          </cell>
        </row>
        <row r="229">
          <cell r="A229" t="str">
            <v>EUR_NONCYCLICAL_HY_V3_SF</v>
          </cell>
          <cell r="B229" t="str">
            <v>Pan Euro Noncyclical HY</v>
          </cell>
          <cell r="C229" t="str">
            <v>BRS_GOLD__5_SPREADS:BRS_GOLD__4_CORP:BRS_GOLD__3_CSHY:CORP40_HY_EU:CORP40_HY_EU_IND_V3:EUR_NONCYCLICAL_HY_V3_SF</v>
          </cell>
          <cell r="D229" t="str">
            <v>Spread Duration</v>
          </cell>
          <cell r="E229" t="str">
            <v>Spread Yield (DxS)</v>
          </cell>
          <cell r="F229" t="str">
            <v>SP-Corporate HY EUR</v>
          </cell>
          <cell r="G229" t="str">
            <v>SP-Spread Corporate</v>
          </cell>
          <cell r="H229" t="str">
            <v>SPREADS</v>
          </cell>
          <cell r="I229" t="str">
            <v>Corporate HY EUR - Industry</v>
          </cell>
        </row>
        <row r="230">
          <cell r="A230" t="str">
            <v>EUR_OTHERFIN_HY_V3_SF</v>
          </cell>
          <cell r="B230" t="str">
            <v>Pan Euro Fin Other HY</v>
          </cell>
          <cell r="C230" t="str">
            <v>BRS_GOLD__5_SPREADS:BRS_GOLD__4_CORP:BRS_GOLD__3_CSHY:CORP40_HY_EU:CORP40_HY_EU_IND_V3:EUR_OTHERFIN_HY_V3_SF</v>
          </cell>
          <cell r="D230" t="str">
            <v>Spread Duration</v>
          </cell>
          <cell r="E230" t="str">
            <v>Spread Yield (DxS)</v>
          </cell>
          <cell r="F230" t="str">
            <v>SP-Corporate HY EUR</v>
          </cell>
          <cell r="G230" t="str">
            <v>SP-Spread Corporate</v>
          </cell>
          <cell r="H230" t="str">
            <v>SPREADS</v>
          </cell>
          <cell r="I230" t="str">
            <v>Corporate HY EUR - Industry</v>
          </cell>
        </row>
        <row r="231">
          <cell r="A231" t="str">
            <v>EUR_OTHERIND_HY_V3_SF</v>
          </cell>
          <cell r="B231" t="str">
            <v>Pan Euro Ind Other HY</v>
          </cell>
          <cell r="C231" t="str">
            <v>BRS_GOLD__5_SPREADS:BRS_GOLD__4_CORP:BRS_GOLD__3_CSHY:CORP40_HY_EU:CORP40_HY_EU_IND_V3:EUR_OTHERIND_HY_V3_SF</v>
          </cell>
          <cell r="D231" t="str">
            <v>Spread Duration</v>
          </cell>
          <cell r="E231" t="str">
            <v>Spread Yield (DxS)</v>
          </cell>
          <cell r="F231" t="str">
            <v>SP-Corporate HY EUR</v>
          </cell>
          <cell r="G231" t="str">
            <v>SP-Spread Corporate</v>
          </cell>
          <cell r="H231" t="str">
            <v>SPREADS</v>
          </cell>
          <cell r="I231" t="str">
            <v>Corporate HY EUR - Industry</v>
          </cell>
        </row>
        <row r="232">
          <cell r="A232" t="str">
            <v>EUR_TECHCOMM_HY_V3_SF</v>
          </cell>
          <cell r="B232" t="str">
            <v>Pan Euro Tech Comm HY</v>
          </cell>
          <cell r="C232" t="str">
            <v>BRS_GOLD__5_SPREADS:BRS_GOLD__4_CORP:BRS_GOLD__3_CSHY:CORP40_HY_EU:CORP40_HY_EU_IND_V3:EUR_TECHCOMM_HY_V3_SF</v>
          </cell>
          <cell r="D232" t="str">
            <v>Spread Duration</v>
          </cell>
          <cell r="E232" t="str">
            <v>Spread Yield (DxS)</v>
          </cell>
          <cell r="F232" t="str">
            <v>SP-Corporate HY EUR</v>
          </cell>
          <cell r="G232" t="str">
            <v>SP-Spread Corporate</v>
          </cell>
          <cell r="H232" t="str">
            <v>SPREADS</v>
          </cell>
          <cell r="I232" t="str">
            <v>Corporate HY EUR - Industry</v>
          </cell>
        </row>
        <row r="233">
          <cell r="A233" t="str">
            <v>EUR_TRANSPORT_HY_V3_SF</v>
          </cell>
          <cell r="B233" t="str">
            <v>Pan Euro Transport HY</v>
          </cell>
          <cell r="C233" t="str">
            <v>BRS_GOLD__5_SPREADS:BRS_GOLD__4_CORP:BRS_GOLD__3_CSHY:CORP40_HY_EU:CORP40_HY_EU_IND_V3:EUR_TRANSPORT_HY_V3_SF</v>
          </cell>
          <cell r="D233" t="str">
            <v>Spread Duration</v>
          </cell>
          <cell r="E233" t="str">
            <v>Spread Yield (DxS)</v>
          </cell>
          <cell r="F233" t="str">
            <v>SP-Corporate HY EUR</v>
          </cell>
          <cell r="G233" t="str">
            <v>SP-Spread Corporate</v>
          </cell>
          <cell r="H233" t="str">
            <v>SPREADS</v>
          </cell>
          <cell r="I233" t="str">
            <v>Corporate HY EUR - Industry</v>
          </cell>
        </row>
        <row r="234">
          <cell r="A234" t="str">
            <v>EUR_UTILITY_HY_V3_SF</v>
          </cell>
          <cell r="B234" t="str">
            <v>Pan Euro Utility HY</v>
          </cell>
          <cell r="C234" t="str">
            <v>BRS_GOLD__5_SPREADS:BRS_GOLD__4_CORP:BRS_GOLD__3_CSHY:CORP40_HY_EU:CORP40_HY_EU_IND_V3:EUR_UTILITY_HY_V3_SF</v>
          </cell>
          <cell r="D234" t="str">
            <v>Spread Duration</v>
          </cell>
          <cell r="E234" t="str">
            <v>Spread Yield (DxS)</v>
          </cell>
          <cell r="F234" t="str">
            <v>SP-Corporate HY EUR</v>
          </cell>
          <cell r="G234" t="str">
            <v>SP-Spread Corporate</v>
          </cell>
          <cell r="H234" t="str">
            <v>SPREADS</v>
          </cell>
          <cell r="I234" t="str">
            <v>Corporate HY EUR - Industry</v>
          </cell>
        </row>
        <row r="235">
          <cell r="A235" t="str">
            <v>EUR_CORP_SUB_HY</v>
          </cell>
          <cell r="B235" t="str">
            <v>Pan Euro Capital Security HY</v>
          </cell>
          <cell r="C235" t="str">
            <v>BRS_GOLD__5_SPREADS:BRS_GOLD__4_CORP:BRS_GOLD__3_CSHY:CORP40_HY_EU:CORP40_HY_EU_ATT:EUR_CORP_SUB_HY</v>
          </cell>
          <cell r="D235" t="str">
            <v>Spread Duration</v>
          </cell>
          <cell r="E235" t="str">
            <v>Spread Yield (DxS)</v>
          </cell>
          <cell r="F235" t="str">
            <v>SP-Corporate HY EUR</v>
          </cell>
          <cell r="G235" t="str">
            <v>SP-Spread Corporate</v>
          </cell>
          <cell r="H235" t="str">
            <v>SPREADS</v>
          </cell>
          <cell r="I235" t="str">
            <v>Corporate HY EUR - Seniority</v>
          </cell>
        </row>
        <row r="236">
          <cell r="A236" t="str">
            <v>EUR_CORP_YANK_HY</v>
          </cell>
          <cell r="B236" t="str">
            <v>Pan Euro Non Domestic HY</v>
          </cell>
          <cell r="C236" t="str">
            <v>BRS_GOLD__5_SPREADS:BRS_GOLD__4_CORP:BRS_GOLD__3_CSHY:CORP40_HY_EU:CORP40_HY_EU_ATT:EUR_CORP_YANK_HY</v>
          </cell>
          <cell r="D236" t="str">
            <v>Spread Duration</v>
          </cell>
          <cell r="E236" t="str">
            <v>Spread Yield (DxS)</v>
          </cell>
          <cell r="F236" t="str">
            <v>SP-Corporate HY EUR</v>
          </cell>
          <cell r="G236" t="str">
            <v>SP-Spread Corporate</v>
          </cell>
          <cell r="H236" t="str">
            <v>SPREADS</v>
          </cell>
          <cell r="I236" t="str">
            <v>Corporate HY EUR - Yankee</v>
          </cell>
        </row>
        <row r="237">
          <cell r="A237" t="str">
            <v>EUR_CORP_SUB_HY_V3</v>
          </cell>
          <cell r="B237" t="str">
            <v>Pan Euro Capital Security HY</v>
          </cell>
          <cell r="C237" t="str">
            <v>BRS_GOLD__5_SPREADS:BRS_GOLD__4_CORP:BRS_GOLD__3_CSHY:CORP40_HY_EU:CORP40_HY_EU_ATT_V3:EUR_CORP_SUB_HY_V3</v>
          </cell>
          <cell r="D237" t="str">
            <v>Spread Duration</v>
          </cell>
          <cell r="E237" t="str">
            <v>Spread Yield (DxS)</v>
          </cell>
          <cell r="F237" t="str">
            <v>SP-Corporate HY EUR</v>
          </cell>
          <cell r="G237" t="str">
            <v>SP-Spread Corporate</v>
          </cell>
          <cell r="H237" t="str">
            <v>SPREADS</v>
          </cell>
          <cell r="I237" t="str">
            <v>Corporate HY EUR - Seniority</v>
          </cell>
        </row>
        <row r="238">
          <cell r="A238" t="str">
            <v>EUR_CORP_AT1_HY_V3</v>
          </cell>
          <cell r="B238" t="str">
            <v>Pan Euro AT1 HY</v>
          </cell>
          <cell r="C238" t="str">
            <v>BRS_GOLD__5_SPREADS:BRS_GOLD__4_CORP:BRS_GOLD__3_CSHY:CORP40_HY_EU:CORP40_HY_EU_ATT_V3:EUR_CORP_AT1_HY_V3</v>
          </cell>
          <cell r="D238" t="str">
            <v>Spread Duration</v>
          </cell>
          <cell r="E238" t="str">
            <v>Spread Yield (DxS)</v>
          </cell>
          <cell r="F238" t="str">
            <v>SP-Corporate HY EUR</v>
          </cell>
          <cell r="G238" t="str">
            <v>SP-Spread Corporate</v>
          </cell>
          <cell r="H238" t="str">
            <v>SPREADS</v>
          </cell>
          <cell r="I238" t="str">
            <v>Corporate HY EUR - Seniority</v>
          </cell>
        </row>
        <row r="239">
          <cell r="A239" t="str">
            <v>EUR_CORP_SUB_HY_V3_SF</v>
          </cell>
          <cell r="B239" t="str">
            <v>Pan Euro Capital Security HY</v>
          </cell>
          <cell r="C239" t="str">
            <v>BRS_GOLD__5_SPREADS:BRS_GOLD__4_CORP:BRS_GOLD__3_CSHY:CORP40_HY_EU:CORP40_HY_EU_ATT_V3:EUR_CORP_SUB_HY_V3_SF</v>
          </cell>
          <cell r="D239" t="str">
            <v>Spread Duration</v>
          </cell>
          <cell r="E239" t="str">
            <v>Spread Yield (DxS)</v>
          </cell>
          <cell r="F239" t="str">
            <v>SP-Corporate HY EUR</v>
          </cell>
          <cell r="G239" t="str">
            <v>SP-Spread Corporate</v>
          </cell>
          <cell r="H239" t="str">
            <v>SPREADS</v>
          </cell>
          <cell r="I239" t="str">
            <v>Corporate HY EUR - Seniority</v>
          </cell>
        </row>
        <row r="240">
          <cell r="A240" t="str">
            <v>EUR_CORP_AT1_HY_V3_SF</v>
          </cell>
          <cell r="B240" t="str">
            <v>Pan Euro AT1 HY</v>
          </cell>
          <cell r="C240" t="str">
            <v>BRS_GOLD__5_SPREADS:BRS_GOLD__4_CORP:BRS_GOLD__3_CSHY:CORP40_HY_EU:CORP40_HY_EU_ATT_V3:EUR_CORP_AT1_HY_V3_SF</v>
          </cell>
          <cell r="D240" t="str">
            <v>Spread Duration</v>
          </cell>
          <cell r="E240" t="str">
            <v>Spread Yield (DxS)</v>
          </cell>
          <cell r="F240" t="str">
            <v>SP-Corporate HY EUR</v>
          </cell>
          <cell r="G240" t="str">
            <v>SP-Spread Corporate</v>
          </cell>
          <cell r="H240" t="str">
            <v>SPREADS</v>
          </cell>
          <cell r="I240" t="str">
            <v>Corporate HY EUR - Seniority</v>
          </cell>
        </row>
        <row r="241">
          <cell r="A241" t="str">
            <v>EUR_CORP_FR_HY</v>
          </cell>
          <cell r="B241" t="str">
            <v>Pan Euro France HY</v>
          </cell>
          <cell r="C241" t="str">
            <v>BRS_GOLD__5_SPREADS:BRS_GOLD__4_CORP:BRS_GOLD__3_CSHY:CORP40_HY_EU:EUR_CORP_CTRY_HY:EUR_CORP_FR_HY</v>
          </cell>
          <cell r="D241" t="str">
            <v>Spread Duration</v>
          </cell>
          <cell r="E241" t="str">
            <v>Spread Yield (DxS)</v>
          </cell>
          <cell r="F241" t="str">
            <v>SP-Corporate HY EUR</v>
          </cell>
          <cell r="G241" t="str">
            <v>SP-Spread Corporate</v>
          </cell>
          <cell r="H241" t="str">
            <v>SPREADS</v>
          </cell>
          <cell r="I241" t="str">
            <v>Corporate HY EUR - Country</v>
          </cell>
        </row>
        <row r="242">
          <cell r="A242" t="str">
            <v>EUR_CORP_DE_HY</v>
          </cell>
          <cell r="B242" t="str">
            <v>Pan Euro Germany HY</v>
          </cell>
          <cell r="C242" t="str">
            <v>BRS_GOLD__5_SPREADS:BRS_GOLD__4_CORP:BRS_GOLD__3_CSHY:CORP40_HY_EU:EUR_CORP_CTRY_HY:EUR_CORP_DE_HY</v>
          </cell>
          <cell r="D242" t="str">
            <v>Spread Duration</v>
          </cell>
          <cell r="E242" t="str">
            <v>Spread Yield (DxS)</v>
          </cell>
          <cell r="F242" t="str">
            <v>SP-Corporate HY EUR</v>
          </cell>
          <cell r="G242" t="str">
            <v>SP-Spread Corporate</v>
          </cell>
          <cell r="H242" t="str">
            <v>SPREADS</v>
          </cell>
          <cell r="I242" t="str">
            <v>Corporate HY EUR - Country</v>
          </cell>
        </row>
        <row r="243">
          <cell r="A243" t="str">
            <v>EUR_CORP_NL_HY</v>
          </cell>
          <cell r="B243" t="str">
            <v>Pan Euro Netherlands HY</v>
          </cell>
          <cell r="C243" t="str">
            <v>BRS_GOLD__5_SPREADS:BRS_GOLD__4_CORP:BRS_GOLD__3_CSHY:CORP40_HY_EU:EUR_CORP_CTRY_HY:EUR_CORP_NL_HY</v>
          </cell>
          <cell r="D243" t="str">
            <v>Spread Duration</v>
          </cell>
          <cell r="E243" t="str">
            <v>Spread Yield (DxS)</v>
          </cell>
          <cell r="F243" t="str">
            <v>SP-Corporate HY EUR</v>
          </cell>
          <cell r="G243" t="str">
            <v>SP-Spread Corporate</v>
          </cell>
          <cell r="H243" t="str">
            <v>SPREADS</v>
          </cell>
          <cell r="I243" t="str">
            <v>Corporate HY EUR - Country</v>
          </cell>
        </row>
        <row r="244">
          <cell r="A244" t="str">
            <v>EUR_CORP_GB_HY</v>
          </cell>
          <cell r="B244" t="str">
            <v>Pan Euro UK HY</v>
          </cell>
          <cell r="C244" t="str">
            <v>BRS_GOLD__5_SPREADS:BRS_GOLD__4_CORP:BRS_GOLD__3_CSHY:CORP40_HY_EU:EUR_CORP_CTRY_HY:EUR_CORP_GB_HY</v>
          </cell>
          <cell r="D244" t="str">
            <v>Spread Duration</v>
          </cell>
          <cell r="E244" t="str">
            <v>Spread Yield (DxS)</v>
          </cell>
          <cell r="F244" t="str">
            <v>SP-Corporate HY EUR</v>
          </cell>
          <cell r="G244" t="str">
            <v>SP-Spread Corporate</v>
          </cell>
          <cell r="H244" t="str">
            <v>SPREADS</v>
          </cell>
          <cell r="I244" t="str">
            <v>Corporate HY EUR - Country</v>
          </cell>
        </row>
        <row r="245">
          <cell r="A245" t="str">
            <v>EUR_CORP_IT_HY</v>
          </cell>
          <cell r="B245" t="str">
            <v>Pan Euro Italy HY</v>
          </cell>
          <cell r="C245" t="str">
            <v>BRS_GOLD__5_SPREADS:BRS_GOLD__4_CORP:BRS_GOLD__3_CSHY:CORP40_HY_EU:EUR_CORP_CTRY_HY:EUR_CORP_IT_HY</v>
          </cell>
          <cell r="D245" t="str">
            <v>Spread Duration</v>
          </cell>
          <cell r="E245" t="str">
            <v>Spread Yield (DxS)</v>
          </cell>
          <cell r="F245" t="str">
            <v>SP-Corporate HY EUR</v>
          </cell>
          <cell r="G245" t="str">
            <v>SP-Spread Corporate</v>
          </cell>
          <cell r="H245" t="str">
            <v>SPREADS</v>
          </cell>
          <cell r="I245" t="str">
            <v>Corporate HY EUR - Country</v>
          </cell>
        </row>
        <row r="246">
          <cell r="A246" t="str">
            <v>EUR_CORP_ES_HY</v>
          </cell>
          <cell r="B246" t="str">
            <v>Pan Euro Spain HY</v>
          </cell>
          <cell r="C246" t="str">
            <v>BRS_GOLD__5_SPREADS:BRS_GOLD__4_CORP:BRS_GOLD__3_CSHY:CORP40_HY_EU:EUR_CORP_CTRY_HY:EUR_CORP_ES_HY</v>
          </cell>
          <cell r="D246" t="str">
            <v>Spread Duration</v>
          </cell>
          <cell r="E246" t="str">
            <v>Spread Yield (DxS)</v>
          </cell>
          <cell r="F246" t="str">
            <v>SP-Corporate HY EUR</v>
          </cell>
          <cell r="G246" t="str">
            <v>SP-Spread Corporate</v>
          </cell>
          <cell r="H246" t="str">
            <v>SPREADS</v>
          </cell>
          <cell r="I246" t="str">
            <v>Corporate HY EUR - Country</v>
          </cell>
        </row>
        <row r="247">
          <cell r="A247" t="str">
            <v>EUR_CORP_LU_HY</v>
          </cell>
          <cell r="B247" t="str">
            <v>Pan Euro Luxembourg HY</v>
          </cell>
          <cell r="C247" t="str">
            <v>BRS_GOLD__5_SPREADS:BRS_GOLD__4_CORP:BRS_GOLD__3_CSHY:CORP40_HY_EU:EUR_CORP_CTRY_HY:EUR_CORP_LU_HY</v>
          </cell>
          <cell r="D247" t="str">
            <v>Spread Duration</v>
          </cell>
          <cell r="E247" t="str">
            <v>Spread Yield (DxS)</v>
          </cell>
          <cell r="F247" t="str">
            <v>SP-Corporate HY EUR</v>
          </cell>
          <cell r="G247" t="str">
            <v>SP-Spread Corporate</v>
          </cell>
          <cell r="H247" t="str">
            <v>SPREADS</v>
          </cell>
          <cell r="I247" t="str">
            <v>Corporate HY EUR - Country</v>
          </cell>
        </row>
        <row r="248">
          <cell r="A248" t="str">
            <v>EUR_CORP_SE_HY</v>
          </cell>
          <cell r="B248" t="str">
            <v>Pan Euro Sweden HY</v>
          </cell>
          <cell r="C248" t="str">
            <v>BRS_GOLD__5_SPREADS:BRS_GOLD__4_CORP:BRS_GOLD__3_CSHY:CORP40_HY_EU:EUR_CORP_CTRY_HY:EUR_CORP_SE_HY</v>
          </cell>
          <cell r="D248" t="str">
            <v>Spread Duration</v>
          </cell>
          <cell r="E248" t="str">
            <v>Spread Yield (DxS)</v>
          </cell>
          <cell r="F248" t="str">
            <v>SP-Corporate HY EUR</v>
          </cell>
          <cell r="G248" t="str">
            <v>SP-Spread Corporate</v>
          </cell>
          <cell r="H248" t="str">
            <v>SPREADS</v>
          </cell>
          <cell r="I248" t="str">
            <v>Corporate HY EUR - Country</v>
          </cell>
        </row>
        <row r="249">
          <cell r="A249" t="str">
            <v>EUR_CORP_CH_HY</v>
          </cell>
          <cell r="B249" t="str">
            <v>Pan Euro Switzerland HY</v>
          </cell>
          <cell r="C249" t="str">
            <v>BRS_GOLD__5_SPREADS:BRS_GOLD__4_CORP:BRS_GOLD__3_CSHY:CORP40_HY_EU:EUR_CORP_CTRY_HY:EUR_CORP_CH_HY</v>
          </cell>
          <cell r="D249" t="str">
            <v>Spread Duration</v>
          </cell>
          <cell r="E249" t="str">
            <v>Spread Yield (DxS)</v>
          </cell>
          <cell r="F249" t="str">
            <v>SP-Corporate HY EUR</v>
          </cell>
          <cell r="G249" t="str">
            <v>SP-Spread Corporate</v>
          </cell>
          <cell r="H249" t="str">
            <v>SPREADS</v>
          </cell>
          <cell r="I249" t="str">
            <v>Corporate HY EUR - Country</v>
          </cell>
        </row>
        <row r="250">
          <cell r="A250" t="str">
            <v>EUR_CORP_AT_HY</v>
          </cell>
          <cell r="B250" t="str">
            <v>Pan Euro Austria HY</v>
          </cell>
          <cell r="C250" t="str">
            <v>BRS_GOLD__5_SPREADS:BRS_GOLD__4_CORP:BRS_GOLD__3_CSHY:CORP40_HY_EU:EUR_CORP_CTRY_HY:EUR_CORP_AT_HY</v>
          </cell>
          <cell r="D250" t="str">
            <v>Spread Duration</v>
          </cell>
          <cell r="E250" t="str">
            <v>Spread Yield (DxS)</v>
          </cell>
          <cell r="F250" t="str">
            <v>SP-Corporate HY EUR</v>
          </cell>
          <cell r="G250" t="str">
            <v>SP-Spread Corporate</v>
          </cell>
          <cell r="H250" t="str">
            <v>SPREADS</v>
          </cell>
          <cell r="I250" t="str">
            <v>Corporate HY EUR - Country</v>
          </cell>
        </row>
        <row r="251">
          <cell r="A251" t="str">
            <v>EUR_CORP_BE_HY</v>
          </cell>
          <cell r="B251" t="str">
            <v>Pan Euro Belgium HY</v>
          </cell>
          <cell r="C251" t="str">
            <v>BRS_GOLD__5_SPREADS:BRS_GOLD__4_CORP:BRS_GOLD__3_CSHY:CORP40_HY_EU:EUR_CORP_CTRY_HY:EUR_CORP_BE_HY</v>
          </cell>
          <cell r="D251" t="str">
            <v>Spread Duration</v>
          </cell>
          <cell r="E251" t="str">
            <v>Spread Yield (DxS)</v>
          </cell>
          <cell r="F251" t="str">
            <v>SP-Corporate HY EUR</v>
          </cell>
          <cell r="G251" t="str">
            <v>SP-Spread Corporate</v>
          </cell>
          <cell r="H251" t="str">
            <v>SPREADS</v>
          </cell>
          <cell r="I251" t="str">
            <v>Corporate HY EUR - Country</v>
          </cell>
        </row>
        <row r="252">
          <cell r="A252" t="str">
            <v>EUR_CORP_IE_HY</v>
          </cell>
          <cell r="B252" t="str">
            <v>Pan Euro Ireland HY</v>
          </cell>
          <cell r="C252" t="str">
            <v>BRS_GOLD__5_SPREADS:BRS_GOLD__4_CORP:BRS_GOLD__3_CSHY:CORP40_HY_EU:EUR_CORP_CTRY_HY:EUR_CORP_IE_HY</v>
          </cell>
          <cell r="D252" t="str">
            <v>Spread Duration</v>
          </cell>
          <cell r="E252" t="str">
            <v>Spread Yield (DxS)</v>
          </cell>
          <cell r="F252" t="str">
            <v>SP-Corporate HY EUR</v>
          </cell>
          <cell r="G252" t="str">
            <v>SP-Spread Corporate</v>
          </cell>
          <cell r="H252" t="str">
            <v>SPREADS</v>
          </cell>
          <cell r="I252" t="str">
            <v>Corporate HY EUR - Country</v>
          </cell>
        </row>
        <row r="253">
          <cell r="A253" t="str">
            <v>EUR_CORP_PT_HY</v>
          </cell>
          <cell r="B253" t="str">
            <v>Pan Euro Portugal HY</v>
          </cell>
          <cell r="C253" t="str">
            <v>BRS_GOLD__5_SPREADS:BRS_GOLD__4_CORP:BRS_GOLD__3_CSHY:CORP40_HY_EU:EUR_CORP_CTRY_HY:EUR_CORP_PT_HY</v>
          </cell>
          <cell r="D253" t="str">
            <v>Spread Duration</v>
          </cell>
          <cell r="E253" t="str">
            <v>Spread Yield (DxS)</v>
          </cell>
          <cell r="F253" t="str">
            <v>SP-Corporate HY EUR</v>
          </cell>
          <cell r="G253" t="str">
            <v>SP-Spread Corporate</v>
          </cell>
          <cell r="H253" t="str">
            <v>SPREADS</v>
          </cell>
          <cell r="I253" t="str">
            <v>Corporate HY EUR - Country</v>
          </cell>
        </row>
        <row r="254">
          <cell r="A254" t="str">
            <v>EUR_CORP_FI_HY</v>
          </cell>
          <cell r="B254" t="str">
            <v>Pan Euro Finland HY</v>
          </cell>
          <cell r="C254" t="str">
            <v>BRS_GOLD__5_SPREADS:BRS_GOLD__4_CORP:BRS_GOLD__3_CSHY:CORP40_HY_EU:EUR_CORP_CTRY_HY:EUR_CORP_FI_HY</v>
          </cell>
          <cell r="D254" t="str">
            <v>Spread Duration</v>
          </cell>
          <cell r="E254" t="str">
            <v>Spread Yield (DxS)</v>
          </cell>
          <cell r="F254" t="str">
            <v>SP-Corporate HY EUR</v>
          </cell>
          <cell r="G254" t="str">
            <v>SP-Spread Corporate</v>
          </cell>
          <cell r="H254" t="str">
            <v>SPREADS</v>
          </cell>
          <cell r="I254" t="str">
            <v>Corporate HY EUR - Country</v>
          </cell>
        </row>
        <row r="255">
          <cell r="A255" t="str">
            <v>EUR_CORP_DK_HY</v>
          </cell>
          <cell r="B255" t="str">
            <v>Pan Euro Denmark HY</v>
          </cell>
          <cell r="C255" t="str">
            <v>BRS_GOLD__5_SPREADS:BRS_GOLD__4_CORP:BRS_GOLD__3_CSHY:CORP40_HY_EU:EUR_CORP_CTRY_HY:EUR_CORP_DK_HY</v>
          </cell>
          <cell r="D255" t="str">
            <v>Spread Duration</v>
          </cell>
          <cell r="E255" t="str">
            <v>Spread Yield (DxS)</v>
          </cell>
          <cell r="F255" t="str">
            <v>SP-Corporate HY EUR</v>
          </cell>
          <cell r="G255" t="str">
            <v>SP-Spread Corporate</v>
          </cell>
          <cell r="H255" t="str">
            <v>SPREADS</v>
          </cell>
          <cell r="I255" t="str">
            <v>Corporate HY EUR - Country</v>
          </cell>
        </row>
        <row r="256">
          <cell r="A256" t="str">
            <v>EUR_CORP_NO_HY</v>
          </cell>
          <cell r="B256" t="str">
            <v>Pan Euro Norway HY</v>
          </cell>
          <cell r="C256" t="str">
            <v>BRS_GOLD__5_SPREADS:BRS_GOLD__4_CORP:BRS_GOLD__3_CSHY:CORP40_HY_EU:EUR_CORP_CTRY_HY:EUR_CORP_NO_HY</v>
          </cell>
          <cell r="D256" t="str">
            <v>Spread Duration</v>
          </cell>
          <cell r="E256" t="str">
            <v>Spread Yield (DxS)</v>
          </cell>
          <cell r="F256" t="str">
            <v>SP-Corporate HY EUR</v>
          </cell>
          <cell r="G256" t="str">
            <v>SP-Spread Corporate</v>
          </cell>
          <cell r="H256" t="str">
            <v>SPREADS</v>
          </cell>
          <cell r="I256" t="str">
            <v>Corporate HY EUR - Country</v>
          </cell>
        </row>
        <row r="257">
          <cell r="A257" t="str">
            <v>EUR_CORP_GR_HY</v>
          </cell>
          <cell r="B257" t="str">
            <v>Pan Euro Greece HY</v>
          </cell>
          <cell r="C257" t="str">
            <v>BRS_GOLD__5_SPREADS:BRS_GOLD__4_CORP:BRS_GOLD__3_CSHY:CORP40_HY_EU:EUR_CORP_CTRY_HY:EUR_CORP_GR_HY</v>
          </cell>
          <cell r="D257" t="str">
            <v>Spread Duration</v>
          </cell>
          <cell r="E257" t="str">
            <v>Spread Yield (DxS)</v>
          </cell>
          <cell r="F257" t="str">
            <v>SP-Corporate HY EUR</v>
          </cell>
          <cell r="G257" t="str">
            <v>SP-Spread Corporate</v>
          </cell>
          <cell r="H257" t="str">
            <v>SPREADS</v>
          </cell>
          <cell r="I257" t="str">
            <v>Corporate HY EUR - Country</v>
          </cell>
        </row>
        <row r="258">
          <cell r="A258" t="str">
            <v>EUR_CORP_NOND_HY</v>
          </cell>
          <cell r="B258" t="str">
            <v>Pan Euro Non-domestic HY</v>
          </cell>
          <cell r="C258" t="str">
            <v>BRS_GOLD__5_SPREADS:BRS_GOLD__4_CORP:BRS_GOLD__3_CSHY:CORP40_HY_EU:EUR_CORP_CTRY_HY:EUR_CORP_NOND_HY</v>
          </cell>
          <cell r="D258" t="str">
            <v>Spread Duration</v>
          </cell>
          <cell r="E258" t="str">
            <v>Spread Yield (DxS)</v>
          </cell>
          <cell r="F258" t="str">
            <v>SP-Corporate HY EUR</v>
          </cell>
          <cell r="G258" t="str">
            <v>SP-Spread Corporate</v>
          </cell>
          <cell r="H258" t="str">
            <v>SPREADS</v>
          </cell>
          <cell r="I258" t="str">
            <v>Corporate HY EUR - Country</v>
          </cell>
        </row>
        <row r="259">
          <cell r="A259" t="str">
            <v>EUR_CORP_OTHER_CTRY_HY</v>
          </cell>
          <cell r="B259" t="str">
            <v>Pan Euro Other HY</v>
          </cell>
          <cell r="C259" t="str">
            <v>BRS_GOLD__5_SPREADS:BRS_GOLD__4_CORP:BRS_GOLD__3_CSHY:CORP40_HY_EU:EUR_CORP_CTRY_HY:EUR_CORP_OTHER_CTRY_HY</v>
          </cell>
          <cell r="D259" t="str">
            <v>Spread Duration</v>
          </cell>
          <cell r="E259" t="str">
            <v>Spread Yield (DxS)</v>
          </cell>
          <cell r="F259" t="str">
            <v>SP-Corporate HY EUR</v>
          </cell>
          <cell r="G259" t="str">
            <v>SP-Spread Corporate</v>
          </cell>
          <cell r="H259" t="str">
            <v>SPREADS</v>
          </cell>
          <cell r="I259" t="str">
            <v>Corporate HY EUR - Country</v>
          </cell>
        </row>
        <row r="260">
          <cell r="A260" t="str">
            <v>EUR_CORP_FR_HY_SF</v>
          </cell>
          <cell r="B260" t="str">
            <v>Pan Euro France HY</v>
          </cell>
          <cell r="C260" t="str">
            <v>BRS_GOLD__5_SPREADS:BRS_GOLD__4_CORP:BRS_GOLD__3_CSHY:CORP40_HY_EU:EUR_CORP_CTRY_HY:EUR_CORP_FR_HY_SF</v>
          </cell>
          <cell r="D260" t="str">
            <v>Spread Duration</v>
          </cell>
          <cell r="E260" t="str">
            <v>Spread Yield (DxS)</v>
          </cell>
          <cell r="F260" t="str">
            <v>SP-Corporate HY EUR</v>
          </cell>
          <cell r="G260" t="str">
            <v>SP-Spread Corporate</v>
          </cell>
          <cell r="H260" t="str">
            <v>SPREADS</v>
          </cell>
          <cell r="I260" t="str">
            <v>Corporate HY EUR - Country</v>
          </cell>
        </row>
        <row r="261">
          <cell r="A261" t="str">
            <v>EUR_CORP_DE_HY_SF</v>
          </cell>
          <cell r="B261" t="str">
            <v>Pan Euro Germany HY</v>
          </cell>
          <cell r="C261" t="str">
            <v>BRS_GOLD__5_SPREADS:BRS_GOLD__4_CORP:BRS_GOLD__3_CSHY:CORP40_HY_EU:EUR_CORP_CTRY_HY:EUR_CORP_DE_HY_SF</v>
          </cell>
          <cell r="D261" t="str">
            <v>Spread Duration</v>
          </cell>
          <cell r="E261" t="str">
            <v>Spread Yield (DxS)</v>
          </cell>
          <cell r="F261" t="str">
            <v>SP-Corporate HY EUR</v>
          </cell>
          <cell r="G261" t="str">
            <v>SP-Spread Corporate</v>
          </cell>
          <cell r="H261" t="str">
            <v>SPREADS</v>
          </cell>
          <cell r="I261" t="str">
            <v>Corporate HY EUR - Country</v>
          </cell>
        </row>
        <row r="262">
          <cell r="A262" t="str">
            <v>EUR_CORP_NL_HY_SF</v>
          </cell>
          <cell r="B262" t="str">
            <v>Pan Euro Netherlands HY</v>
          </cell>
          <cell r="C262" t="str">
            <v>BRS_GOLD__5_SPREADS:BRS_GOLD__4_CORP:BRS_GOLD__3_CSHY:CORP40_HY_EU:EUR_CORP_CTRY_HY:EUR_CORP_NL_HY_SF</v>
          </cell>
          <cell r="D262" t="str">
            <v>Spread Duration</v>
          </cell>
          <cell r="E262" t="str">
            <v>Spread Yield (DxS)</v>
          </cell>
          <cell r="F262" t="str">
            <v>SP-Corporate HY EUR</v>
          </cell>
          <cell r="G262" t="str">
            <v>SP-Spread Corporate</v>
          </cell>
          <cell r="H262" t="str">
            <v>SPREADS</v>
          </cell>
          <cell r="I262" t="str">
            <v>Corporate HY EUR - Country</v>
          </cell>
        </row>
        <row r="263">
          <cell r="A263" t="str">
            <v>EUR_CORP_GB_HY_SF</v>
          </cell>
          <cell r="B263" t="str">
            <v>Pan Euro UK HY</v>
          </cell>
          <cell r="C263" t="str">
            <v>BRS_GOLD__5_SPREADS:BRS_GOLD__4_CORP:BRS_GOLD__3_CSHY:CORP40_HY_EU:EUR_CORP_CTRY_HY:EUR_CORP_GB_HY_SF</v>
          </cell>
          <cell r="D263" t="str">
            <v>Spread Duration</v>
          </cell>
          <cell r="E263" t="str">
            <v>Spread Yield (DxS)</v>
          </cell>
          <cell r="F263" t="str">
            <v>SP-Corporate HY EUR</v>
          </cell>
          <cell r="G263" t="str">
            <v>SP-Spread Corporate</v>
          </cell>
          <cell r="H263" t="str">
            <v>SPREADS</v>
          </cell>
          <cell r="I263" t="str">
            <v>Corporate HY EUR - Country</v>
          </cell>
        </row>
        <row r="264">
          <cell r="A264" t="str">
            <v>EUR_CORP_IT_HY_SF</v>
          </cell>
          <cell r="B264" t="str">
            <v>Pan Euro Italy HY</v>
          </cell>
          <cell r="C264" t="str">
            <v>BRS_GOLD__5_SPREADS:BRS_GOLD__4_CORP:BRS_GOLD__3_CSHY:CORP40_HY_EU:EUR_CORP_CTRY_HY:EUR_CORP_IT_HY_SF</v>
          </cell>
          <cell r="D264" t="str">
            <v>Spread Duration</v>
          </cell>
          <cell r="E264" t="str">
            <v>Spread Yield (DxS)</v>
          </cell>
          <cell r="F264" t="str">
            <v>SP-Corporate HY EUR</v>
          </cell>
          <cell r="G264" t="str">
            <v>SP-Spread Corporate</v>
          </cell>
          <cell r="H264" t="str">
            <v>SPREADS</v>
          </cell>
          <cell r="I264" t="str">
            <v>Corporate HY EUR - Country</v>
          </cell>
        </row>
        <row r="265">
          <cell r="A265" t="str">
            <v>EUR_CORP_ES_HY_SF</v>
          </cell>
          <cell r="B265" t="str">
            <v>Pan Euro Spain HY</v>
          </cell>
          <cell r="C265" t="str">
            <v>BRS_GOLD__5_SPREADS:BRS_GOLD__4_CORP:BRS_GOLD__3_CSHY:CORP40_HY_EU:EUR_CORP_CTRY_HY:EUR_CORP_ES_HY_SF</v>
          </cell>
          <cell r="D265" t="str">
            <v>Spread Duration</v>
          </cell>
          <cell r="E265" t="str">
            <v>Spread Yield (DxS)</v>
          </cell>
          <cell r="F265" t="str">
            <v>SP-Corporate HY EUR</v>
          </cell>
          <cell r="G265" t="str">
            <v>SP-Spread Corporate</v>
          </cell>
          <cell r="H265" t="str">
            <v>SPREADS</v>
          </cell>
          <cell r="I265" t="str">
            <v>Corporate HY EUR - Country</v>
          </cell>
        </row>
        <row r="266">
          <cell r="A266" t="str">
            <v>EUR_CORP_LU_HY_SF</v>
          </cell>
          <cell r="B266" t="str">
            <v>Pan Euro Luxembourg HY</v>
          </cell>
          <cell r="C266" t="str">
            <v>BRS_GOLD__5_SPREADS:BRS_GOLD__4_CORP:BRS_GOLD__3_CSHY:CORP40_HY_EU:EUR_CORP_CTRY_HY:EUR_CORP_LU_HY_SF</v>
          </cell>
          <cell r="D266" t="str">
            <v>Spread Duration</v>
          </cell>
          <cell r="E266" t="str">
            <v>Spread Yield (DxS)</v>
          </cell>
          <cell r="F266" t="str">
            <v>SP-Corporate HY EUR</v>
          </cell>
          <cell r="G266" t="str">
            <v>SP-Spread Corporate</v>
          </cell>
          <cell r="H266" t="str">
            <v>SPREADS</v>
          </cell>
          <cell r="I266" t="str">
            <v>Corporate HY EUR - Country</v>
          </cell>
        </row>
        <row r="267">
          <cell r="A267" t="str">
            <v>EUR_CORP_SE_HY_SF</v>
          </cell>
          <cell r="B267" t="str">
            <v>Pan Euro Sweden HY</v>
          </cell>
          <cell r="C267" t="str">
            <v>BRS_GOLD__5_SPREADS:BRS_GOLD__4_CORP:BRS_GOLD__3_CSHY:CORP40_HY_EU:EUR_CORP_CTRY_HY:EUR_CORP_SE_HY_SF</v>
          </cell>
          <cell r="D267" t="str">
            <v>Spread Duration</v>
          </cell>
          <cell r="E267" t="str">
            <v>Spread Yield (DxS)</v>
          </cell>
          <cell r="F267" t="str">
            <v>SP-Corporate HY EUR</v>
          </cell>
          <cell r="G267" t="str">
            <v>SP-Spread Corporate</v>
          </cell>
          <cell r="H267" t="str">
            <v>SPREADS</v>
          </cell>
          <cell r="I267" t="str">
            <v>Corporate HY EUR - Country</v>
          </cell>
        </row>
        <row r="268">
          <cell r="A268" t="str">
            <v>EUR_CORP_CH_HY_SF</v>
          </cell>
          <cell r="B268" t="str">
            <v>Pan Euro Switzerland HY</v>
          </cell>
          <cell r="C268" t="str">
            <v>BRS_GOLD__5_SPREADS:BRS_GOLD__4_CORP:BRS_GOLD__3_CSHY:CORP40_HY_EU:EUR_CORP_CTRY_HY:EUR_CORP_CH_HY_SF</v>
          </cell>
          <cell r="D268" t="str">
            <v>Spread Duration</v>
          </cell>
          <cell r="E268" t="str">
            <v>Spread Yield (DxS)</v>
          </cell>
          <cell r="F268" t="str">
            <v>SP-Corporate HY EUR</v>
          </cell>
          <cell r="G268" t="str">
            <v>SP-Spread Corporate</v>
          </cell>
          <cell r="H268" t="str">
            <v>SPREADS</v>
          </cell>
          <cell r="I268" t="str">
            <v>Corporate HY EUR - Country</v>
          </cell>
        </row>
        <row r="269">
          <cell r="A269" t="str">
            <v>EUR_CORP_AT_HY_SF</v>
          </cell>
          <cell r="B269" t="str">
            <v>Pan Euro Austria HY</v>
          </cell>
          <cell r="C269" t="str">
            <v>BRS_GOLD__5_SPREADS:BRS_GOLD__4_CORP:BRS_GOLD__3_CSHY:CORP40_HY_EU:EUR_CORP_CTRY_HY:EUR_CORP_AT_HY_SF</v>
          </cell>
          <cell r="D269" t="str">
            <v>Spread Duration</v>
          </cell>
          <cell r="E269" t="str">
            <v>Spread Yield (DxS)</v>
          </cell>
          <cell r="F269" t="str">
            <v>SP-Corporate HY EUR</v>
          </cell>
          <cell r="G269" t="str">
            <v>SP-Spread Corporate</v>
          </cell>
          <cell r="H269" t="str">
            <v>SPREADS</v>
          </cell>
          <cell r="I269" t="str">
            <v>Corporate HY EUR - Country</v>
          </cell>
        </row>
        <row r="270">
          <cell r="A270" t="str">
            <v>EUR_CORP_BE_HY_SF</v>
          </cell>
          <cell r="B270" t="str">
            <v>Pan Euro Belgium HY</v>
          </cell>
          <cell r="C270" t="str">
            <v>BRS_GOLD__5_SPREADS:BRS_GOLD__4_CORP:BRS_GOLD__3_CSHY:CORP40_HY_EU:EUR_CORP_CTRY_HY:EUR_CORP_BE_HY_SF</v>
          </cell>
          <cell r="D270" t="str">
            <v>Spread Duration</v>
          </cell>
          <cell r="E270" t="str">
            <v>Spread Yield (DxS)</v>
          </cell>
          <cell r="F270" t="str">
            <v>SP-Corporate HY EUR</v>
          </cell>
          <cell r="G270" t="str">
            <v>SP-Spread Corporate</v>
          </cell>
          <cell r="H270" t="str">
            <v>SPREADS</v>
          </cell>
          <cell r="I270" t="str">
            <v>Corporate HY EUR - Country</v>
          </cell>
        </row>
        <row r="271">
          <cell r="A271" t="str">
            <v>EUR_CORP_IE_HY_SF</v>
          </cell>
          <cell r="B271" t="str">
            <v>Pan Euro Ireland HY</v>
          </cell>
          <cell r="C271" t="str">
            <v>BRS_GOLD__5_SPREADS:BRS_GOLD__4_CORP:BRS_GOLD__3_CSHY:CORP40_HY_EU:EUR_CORP_CTRY_HY:EUR_CORP_IE_HY_SF</v>
          </cell>
          <cell r="D271" t="str">
            <v>Spread Duration</v>
          </cell>
          <cell r="E271" t="str">
            <v>Spread Yield (DxS)</v>
          </cell>
          <cell r="F271" t="str">
            <v>SP-Corporate HY EUR</v>
          </cell>
          <cell r="G271" t="str">
            <v>SP-Spread Corporate</v>
          </cell>
          <cell r="H271" t="str">
            <v>SPREADS</v>
          </cell>
          <cell r="I271" t="str">
            <v>Corporate HY EUR - Country</v>
          </cell>
        </row>
        <row r="272">
          <cell r="A272" t="str">
            <v>EUR_CORP_PT_HY_SF</v>
          </cell>
          <cell r="B272" t="str">
            <v>Pan Euro Portugal HY</v>
          </cell>
          <cell r="C272" t="str">
            <v>BRS_GOLD__5_SPREADS:BRS_GOLD__4_CORP:BRS_GOLD__3_CSHY:CORP40_HY_EU:EUR_CORP_CTRY_HY:EUR_CORP_PT_HY_SF</v>
          </cell>
          <cell r="D272" t="str">
            <v>Spread Duration</v>
          </cell>
          <cell r="E272" t="str">
            <v>Spread Yield (DxS)</v>
          </cell>
          <cell r="F272" t="str">
            <v>SP-Corporate HY EUR</v>
          </cell>
          <cell r="G272" t="str">
            <v>SP-Spread Corporate</v>
          </cell>
          <cell r="H272" t="str">
            <v>SPREADS</v>
          </cell>
          <cell r="I272" t="str">
            <v>Corporate HY EUR - Country</v>
          </cell>
        </row>
        <row r="273">
          <cell r="A273" t="str">
            <v>EUR_CORP_FI_HY_SF</v>
          </cell>
          <cell r="B273" t="str">
            <v>Pan Euro Finland HY</v>
          </cell>
          <cell r="C273" t="str">
            <v>BRS_GOLD__5_SPREADS:BRS_GOLD__4_CORP:BRS_GOLD__3_CSHY:CORP40_HY_EU:EUR_CORP_CTRY_HY:EUR_CORP_FI_HY_SF</v>
          </cell>
          <cell r="D273" t="str">
            <v>Spread Duration</v>
          </cell>
          <cell r="E273" t="str">
            <v>Spread Yield (DxS)</v>
          </cell>
          <cell r="F273" t="str">
            <v>SP-Corporate HY EUR</v>
          </cell>
          <cell r="G273" t="str">
            <v>SP-Spread Corporate</v>
          </cell>
          <cell r="H273" t="str">
            <v>SPREADS</v>
          </cell>
          <cell r="I273" t="str">
            <v>Corporate HY EUR - Country</v>
          </cell>
        </row>
        <row r="274">
          <cell r="A274" t="str">
            <v>EUR_CORP_DK_HY_SF</v>
          </cell>
          <cell r="B274" t="str">
            <v>Pan Euro Denmark HY</v>
          </cell>
          <cell r="C274" t="str">
            <v>BRS_GOLD__5_SPREADS:BRS_GOLD__4_CORP:BRS_GOLD__3_CSHY:CORP40_HY_EU:EUR_CORP_CTRY_HY:EUR_CORP_DK_HY_SF</v>
          </cell>
          <cell r="D274" t="str">
            <v>Spread Duration</v>
          </cell>
          <cell r="E274" t="str">
            <v>Spread Yield (DxS)</v>
          </cell>
          <cell r="F274" t="str">
            <v>SP-Corporate HY EUR</v>
          </cell>
          <cell r="G274" t="str">
            <v>SP-Spread Corporate</v>
          </cell>
          <cell r="H274" t="str">
            <v>SPREADS</v>
          </cell>
          <cell r="I274" t="str">
            <v>Corporate HY EUR - Country</v>
          </cell>
        </row>
        <row r="275">
          <cell r="A275" t="str">
            <v>EUR_CORP_NO_HY_SF</v>
          </cell>
          <cell r="B275" t="str">
            <v>Pan Euro Norway HY</v>
          </cell>
          <cell r="C275" t="str">
            <v>BRS_GOLD__5_SPREADS:BRS_GOLD__4_CORP:BRS_GOLD__3_CSHY:CORP40_HY_EU:EUR_CORP_CTRY_HY:EUR_CORP_NO_HY_SF</v>
          </cell>
          <cell r="D275" t="str">
            <v>Spread Duration</v>
          </cell>
          <cell r="E275" t="str">
            <v>Spread Yield (DxS)</v>
          </cell>
          <cell r="F275" t="str">
            <v>SP-Corporate HY EUR</v>
          </cell>
          <cell r="G275" t="str">
            <v>SP-Spread Corporate</v>
          </cell>
          <cell r="H275" t="str">
            <v>SPREADS</v>
          </cell>
          <cell r="I275" t="str">
            <v>Corporate HY EUR - Country</v>
          </cell>
        </row>
        <row r="276">
          <cell r="A276" t="str">
            <v>EUR_CORP_GR_HY_SF</v>
          </cell>
          <cell r="B276" t="str">
            <v>Pan Euro Greece HY</v>
          </cell>
          <cell r="C276" t="str">
            <v>BRS_GOLD__5_SPREADS:BRS_GOLD__4_CORP:BRS_GOLD__3_CSHY:CORP40_HY_EU:EUR_CORP_CTRY_HY:EUR_CORP_GR_HY_SF</v>
          </cell>
          <cell r="D276" t="str">
            <v>Spread Duration</v>
          </cell>
          <cell r="E276" t="str">
            <v>Spread Yield (DxS)</v>
          </cell>
          <cell r="F276" t="str">
            <v>SP-Corporate HY EUR</v>
          </cell>
          <cell r="G276" t="str">
            <v>SP-Spread Corporate</v>
          </cell>
          <cell r="H276" t="str">
            <v>SPREADS</v>
          </cell>
          <cell r="I276" t="str">
            <v>Corporate HY EUR - Country</v>
          </cell>
        </row>
        <row r="277">
          <cell r="A277" t="str">
            <v>EUR_CORP_NOND_HY_SF</v>
          </cell>
          <cell r="B277" t="str">
            <v>Pan Euro Non-domestic HY</v>
          </cell>
          <cell r="C277" t="str">
            <v>BRS_GOLD__5_SPREADS:BRS_GOLD__4_CORP:BRS_GOLD__3_CSHY:CORP40_HY_EU:EUR_CORP_CTRY_HY:EUR_CORP_NOND_HY_SF</v>
          </cell>
          <cell r="D277" t="str">
            <v>Spread Duration</v>
          </cell>
          <cell r="E277" t="str">
            <v>Spread Yield (DxS)</v>
          </cell>
          <cell r="F277" t="str">
            <v>SP-Corporate HY EUR</v>
          </cell>
          <cell r="G277" t="str">
            <v>SP-Spread Corporate</v>
          </cell>
          <cell r="H277" t="str">
            <v>SPREADS</v>
          </cell>
          <cell r="I277" t="str">
            <v>Corporate HY EUR - Country</v>
          </cell>
        </row>
        <row r="278">
          <cell r="A278" t="str">
            <v>EUR_CORP_OTHER_CTRY_HY_SF</v>
          </cell>
          <cell r="B278" t="str">
            <v>Pan Euro Other HY</v>
          </cell>
          <cell r="C278" t="str">
            <v>BRS_GOLD__5_SPREADS:BRS_GOLD__4_CORP:BRS_GOLD__3_CSHY:CORP40_HY_EU:EUR_CORP_CTRY_HY:EUR_CORP_OTHER_CTRY_HY_SF</v>
          </cell>
          <cell r="D278" t="str">
            <v>Spread Duration</v>
          </cell>
          <cell r="E278" t="str">
            <v>Spread Yield (DxS)</v>
          </cell>
          <cell r="F278" t="str">
            <v>SP-Corporate HY EUR</v>
          </cell>
          <cell r="G278" t="str">
            <v>SP-Spread Corporate</v>
          </cell>
          <cell r="H278" t="str">
            <v>SPREADS</v>
          </cell>
          <cell r="I278" t="str">
            <v>Corporate HY EUR - Country</v>
          </cell>
        </row>
        <row r="279">
          <cell r="A279" t="str">
            <v>GBP_CORP_HY_2Y</v>
          </cell>
          <cell r="B279" t="str">
            <v>GB Maturity HY 2</v>
          </cell>
          <cell r="C279" t="str">
            <v>BRS_GOLD__5_SPREADS:BRS_GOLD__4_CORP:BRS_GOLD__3_CSHY:BRS_GOLD__2_CSHY_GBP:CORP33_GB_MAT_HY:GBP_CORP_HY_2Y</v>
          </cell>
          <cell r="D279" t="str">
            <v>Spread Duration</v>
          </cell>
          <cell r="E279" t="str">
            <v>Spread Yield (DxS)</v>
          </cell>
          <cell r="F279" t="str">
            <v>SP-Corporate HY Other</v>
          </cell>
          <cell r="G279" t="str">
            <v>SP-Spread Corporate</v>
          </cell>
          <cell r="H279" t="str">
            <v>SPREADS</v>
          </cell>
          <cell r="I279" t="str">
            <v>Corporate HY Other - Maturity</v>
          </cell>
        </row>
        <row r="280">
          <cell r="A280" t="str">
            <v>GBP_CORP_HY_5Y</v>
          </cell>
          <cell r="B280" t="str">
            <v>GB Maturity HY 5</v>
          </cell>
          <cell r="C280" t="str">
            <v>BRS_GOLD__5_SPREADS:BRS_GOLD__4_CORP:BRS_GOLD__3_CSHY:BRS_GOLD__2_CSHY_GBP:CORP33_GB_MAT_HY:GBP_CORP_HY_5Y</v>
          </cell>
          <cell r="D280" t="str">
            <v>Spread Duration</v>
          </cell>
          <cell r="E280" t="str">
            <v>Spread Yield (DxS)</v>
          </cell>
          <cell r="F280" t="str">
            <v>SP-Corporate HY Other</v>
          </cell>
          <cell r="G280" t="str">
            <v>SP-Spread Corporate</v>
          </cell>
          <cell r="H280" t="str">
            <v>SPREADS</v>
          </cell>
          <cell r="I280" t="str">
            <v>Corporate HY Other - Maturity</v>
          </cell>
        </row>
        <row r="281">
          <cell r="A281" t="str">
            <v>GBP_CORP_HY_10Y</v>
          </cell>
          <cell r="B281" t="str">
            <v>GB Maturity HY 10</v>
          </cell>
          <cell r="C281" t="str">
            <v>BRS_GOLD__5_SPREADS:BRS_GOLD__4_CORP:BRS_GOLD__3_CSHY:BRS_GOLD__2_CSHY_GBP:CORP33_GB_MAT_HY:GBP_CORP_HY_10Y</v>
          </cell>
          <cell r="D281" t="str">
            <v>Spread Duration</v>
          </cell>
          <cell r="E281" t="str">
            <v>Spread Yield (DxS)</v>
          </cell>
          <cell r="F281" t="str">
            <v>SP-Corporate HY Other</v>
          </cell>
          <cell r="G281" t="str">
            <v>SP-Spread Corporate</v>
          </cell>
          <cell r="H281" t="str">
            <v>SPREADS</v>
          </cell>
          <cell r="I281" t="str">
            <v>Corporate HY Other - Maturity</v>
          </cell>
        </row>
        <row r="282">
          <cell r="A282" t="str">
            <v>GBP_CORP_HY_20Y</v>
          </cell>
          <cell r="B282" t="str">
            <v>GB Maturity HY 20</v>
          </cell>
          <cell r="C282" t="str">
            <v>BRS_GOLD__5_SPREADS:BRS_GOLD__4_CORP:BRS_GOLD__3_CSHY:BRS_GOLD__2_CSHY_GBP:CORP33_GB_MAT_HY:GBP_CORP_HY_20Y</v>
          </cell>
          <cell r="D282" t="str">
            <v>Spread Duration</v>
          </cell>
          <cell r="E282" t="str">
            <v>Spread Yield (DxS)</v>
          </cell>
          <cell r="F282" t="str">
            <v>SP-Corporate HY Other</v>
          </cell>
          <cell r="G282" t="str">
            <v>SP-Spread Corporate</v>
          </cell>
          <cell r="H282" t="str">
            <v>SPREADS</v>
          </cell>
          <cell r="I282" t="str">
            <v>Corporate HY Other - Maturity</v>
          </cell>
        </row>
        <row r="283">
          <cell r="A283" t="str">
            <v>GBP_COMMTECH_HY</v>
          </cell>
          <cell r="B283" t="str">
            <v>GB Com Tec HY</v>
          </cell>
          <cell r="C283" t="str">
            <v>BRS_GOLD__5_SPREADS:BRS_GOLD__4_CORP:BRS_GOLD__3_CSHY:BRS_GOLD__2_CSHY_GBP:CORP33_GB_IND_HY:GBP_COMMTECH_HY</v>
          </cell>
          <cell r="D283" t="str">
            <v>Spread Duration</v>
          </cell>
          <cell r="E283" t="str">
            <v>Spread Yield (DxS)</v>
          </cell>
          <cell r="F283" t="str">
            <v>SP-Corporate HY Other</v>
          </cell>
          <cell r="G283" t="str">
            <v>SP-Spread Corporate</v>
          </cell>
          <cell r="H283" t="str">
            <v>SPREADS</v>
          </cell>
          <cell r="I283" t="str">
            <v>Corporate HY Other - Industry</v>
          </cell>
        </row>
        <row r="284">
          <cell r="A284" t="str">
            <v>GBP_CONSCYC_HY</v>
          </cell>
          <cell r="B284" t="str">
            <v>GB Cycl HY</v>
          </cell>
          <cell r="C284" t="str">
            <v>BRS_GOLD__5_SPREADS:BRS_GOLD__4_CORP:BRS_GOLD__3_CSHY:BRS_GOLD__2_CSHY_GBP:CORP33_GB_IND_HY:GBP_CONSCYC_HY</v>
          </cell>
          <cell r="D284" t="str">
            <v>Spread Duration</v>
          </cell>
          <cell r="E284" t="str">
            <v>Spread Yield (DxS)</v>
          </cell>
          <cell r="F284" t="str">
            <v>SP-Corporate HY Other</v>
          </cell>
          <cell r="G284" t="str">
            <v>SP-Spread Corporate</v>
          </cell>
          <cell r="H284" t="str">
            <v>SPREADS</v>
          </cell>
          <cell r="I284" t="str">
            <v>Corporate HY Other - Industry</v>
          </cell>
        </row>
        <row r="285">
          <cell r="A285" t="str">
            <v>GBP_CONSSTA_HY</v>
          </cell>
          <cell r="B285" t="str">
            <v>GB Non Cyc HY</v>
          </cell>
          <cell r="C285" t="str">
            <v>BRS_GOLD__5_SPREADS:BRS_GOLD__4_CORP:BRS_GOLD__3_CSHY:BRS_GOLD__2_CSHY_GBP:CORP33_GB_IND_HY:GBP_CONSSTA_HY</v>
          </cell>
          <cell r="D285" t="str">
            <v>Spread Duration</v>
          </cell>
          <cell r="E285" t="str">
            <v>Spread Yield (DxS)</v>
          </cell>
          <cell r="F285" t="str">
            <v>SP-Corporate HY Other</v>
          </cell>
          <cell r="G285" t="str">
            <v>SP-Spread Corporate</v>
          </cell>
          <cell r="H285" t="str">
            <v>SPREADS</v>
          </cell>
          <cell r="I285" t="str">
            <v>Corporate HY Other - Industry</v>
          </cell>
        </row>
        <row r="286">
          <cell r="A286" t="str">
            <v>GBP_DIVERS_HY</v>
          </cell>
          <cell r="B286" t="str">
            <v>GB Ind Misc HY</v>
          </cell>
          <cell r="C286" t="str">
            <v>BRS_GOLD__5_SPREADS:BRS_GOLD__4_CORP:BRS_GOLD__3_CSHY:BRS_GOLD__2_CSHY_GBP:CORP33_GB_IND_HY:GBP_DIVERS_HY</v>
          </cell>
          <cell r="D286" t="str">
            <v>Spread Duration</v>
          </cell>
          <cell r="E286" t="str">
            <v>Spread Yield (DxS)</v>
          </cell>
          <cell r="F286" t="str">
            <v>SP-Corporate HY Other</v>
          </cell>
          <cell r="G286" t="str">
            <v>SP-Spread Corporate</v>
          </cell>
          <cell r="H286" t="str">
            <v>SPREADS</v>
          </cell>
          <cell r="I286" t="str">
            <v>Corporate HY Other - Industry</v>
          </cell>
        </row>
        <row r="287">
          <cell r="A287" t="str">
            <v>GBP_FINANCIAL_HY</v>
          </cell>
          <cell r="B287" t="str">
            <v>GB Finance HY</v>
          </cell>
          <cell r="C287" t="str">
            <v>BRS_GOLD__5_SPREADS:BRS_GOLD__4_CORP:BRS_GOLD__3_CSHY:BRS_GOLD__2_CSHY_GBP:CORP33_GB_IND_HY:GBP_FINANCIAL_HY</v>
          </cell>
          <cell r="D287" t="str">
            <v>Spread Duration</v>
          </cell>
          <cell r="E287" t="str">
            <v>Spread Yield (DxS)</v>
          </cell>
          <cell r="F287" t="str">
            <v>SP-Corporate HY Other</v>
          </cell>
          <cell r="G287" t="str">
            <v>SP-Spread Corporate</v>
          </cell>
          <cell r="H287" t="str">
            <v>SPREADS</v>
          </cell>
          <cell r="I287" t="str">
            <v>Corporate HY Other - Industry</v>
          </cell>
        </row>
        <row r="288">
          <cell r="A288" t="str">
            <v>GBP_GOVERNMENT_HY</v>
          </cell>
          <cell r="B288" t="str">
            <v>GB Govt HY</v>
          </cell>
          <cell r="C288" t="str">
            <v>BRS_GOLD__5_SPREADS:BRS_GOLD__4_CORP:BRS_GOLD__3_CSHY:BRS_GOLD__2_CSHY_GBP:CORP33_GB_IND_HY:GBP_GOVERNMENT_HY</v>
          </cell>
          <cell r="D288" t="str">
            <v>Spread Duration</v>
          </cell>
          <cell r="E288" t="str">
            <v>Spread Yield (DxS)</v>
          </cell>
          <cell r="F288" t="str">
            <v>SP-Corporate HY Other</v>
          </cell>
          <cell r="G288" t="str">
            <v>SP-Spread Corporate</v>
          </cell>
          <cell r="H288" t="str">
            <v>SPREADS</v>
          </cell>
          <cell r="I288" t="str">
            <v>Corporate HY Other - Industry</v>
          </cell>
        </row>
        <row r="289">
          <cell r="A289" t="str">
            <v>GBP_INDUSTRIAL_HY</v>
          </cell>
          <cell r="B289" t="str">
            <v>GB Ind HY</v>
          </cell>
          <cell r="C289" t="str">
            <v>BRS_GOLD__5_SPREADS:BRS_GOLD__4_CORP:BRS_GOLD__3_CSHY:BRS_GOLD__2_CSHY_GBP:CORP33_GB_IND_HY:GBP_INDUSTRIAL_HY</v>
          </cell>
          <cell r="D289" t="str">
            <v>Spread Duration</v>
          </cell>
          <cell r="E289" t="str">
            <v>Spread Yield (DxS)</v>
          </cell>
          <cell r="F289" t="str">
            <v>SP-Corporate HY Other</v>
          </cell>
          <cell r="G289" t="str">
            <v>SP-Spread Corporate</v>
          </cell>
          <cell r="H289" t="str">
            <v>SPREADS</v>
          </cell>
          <cell r="I289" t="str">
            <v>Corporate HY Other - Industry</v>
          </cell>
        </row>
        <row r="290">
          <cell r="A290" t="str">
            <v>GBP_MATERIALS_HY</v>
          </cell>
          <cell r="B290" t="str">
            <v>GB Basic HY</v>
          </cell>
          <cell r="C290" t="str">
            <v>BRS_GOLD__5_SPREADS:BRS_GOLD__4_CORP:BRS_GOLD__3_CSHY:BRS_GOLD__2_CSHY_GBP:CORP33_GB_IND_HY:GBP_MATERIALS_HY</v>
          </cell>
          <cell r="D290" t="str">
            <v>Spread Duration</v>
          </cell>
          <cell r="E290" t="str">
            <v>Spread Yield (DxS)</v>
          </cell>
          <cell r="F290" t="str">
            <v>SP-Corporate HY Other</v>
          </cell>
          <cell r="G290" t="str">
            <v>SP-Spread Corporate</v>
          </cell>
          <cell r="H290" t="str">
            <v>SPREADS</v>
          </cell>
          <cell r="I290" t="str">
            <v>Corporate HY Other - Industry</v>
          </cell>
        </row>
        <row r="291">
          <cell r="A291" t="str">
            <v>GBP_UTILENER_HY</v>
          </cell>
          <cell r="B291" t="str">
            <v>GB Util Ene HY</v>
          </cell>
          <cell r="C291" t="str">
            <v>BRS_GOLD__5_SPREADS:BRS_GOLD__4_CORP:BRS_GOLD__3_CSHY:BRS_GOLD__2_CSHY_GBP:CORP33_GB_IND_HY:GBP_UTILENER_HY</v>
          </cell>
          <cell r="D291" t="str">
            <v>Spread Duration</v>
          </cell>
          <cell r="E291" t="str">
            <v>Spread Yield (DxS)</v>
          </cell>
          <cell r="F291" t="str">
            <v>SP-Corporate HY Other</v>
          </cell>
          <cell r="G291" t="str">
            <v>SP-Spread Corporate</v>
          </cell>
          <cell r="H291" t="str">
            <v>SPREADS</v>
          </cell>
          <cell r="I291" t="str">
            <v>Corporate HY Other - Industry</v>
          </cell>
        </row>
        <row r="292">
          <cell r="A292" t="str">
            <v>ALL_CORP_HY_2Y</v>
          </cell>
          <cell r="B292" t="str">
            <v>Non$ Maturity HY 2</v>
          </cell>
          <cell r="C292" t="str">
            <v>BRS_GOLD__5_SPREADS:BRS_GOLD__4_CORP:BRS_GOLD__3_CSHY:BRS_GOLD__2_CSHY_OTHER:CORP33_MAT_HY_OTHER:ALL_CORP_HY_2Y</v>
          </cell>
          <cell r="D292" t="str">
            <v>Spread Duration</v>
          </cell>
          <cell r="E292" t="str">
            <v>Spread Yield (DxS)</v>
          </cell>
          <cell r="F292" t="str">
            <v>SP-Corporate HY Other</v>
          </cell>
          <cell r="G292" t="str">
            <v>SP-Spread Corporate</v>
          </cell>
          <cell r="H292" t="str">
            <v>SPREADS</v>
          </cell>
          <cell r="I292" t="str">
            <v>Corporate HY Other - Maturity</v>
          </cell>
        </row>
        <row r="293">
          <cell r="A293" t="str">
            <v>ALL_CORP_HY_5Y</v>
          </cell>
          <cell r="B293" t="str">
            <v>Non$ Maturity HY 5</v>
          </cell>
          <cell r="C293" t="str">
            <v>BRS_GOLD__5_SPREADS:BRS_GOLD__4_CORP:BRS_GOLD__3_CSHY:BRS_GOLD__2_CSHY_OTHER:CORP33_MAT_HY_OTHER:ALL_CORP_HY_5Y</v>
          </cell>
          <cell r="D293" t="str">
            <v>Spread Duration</v>
          </cell>
          <cell r="E293" t="str">
            <v>Spread Yield (DxS)</v>
          </cell>
          <cell r="F293" t="str">
            <v>SP-Corporate HY Other</v>
          </cell>
          <cell r="G293" t="str">
            <v>SP-Spread Corporate</v>
          </cell>
          <cell r="H293" t="str">
            <v>SPREADS</v>
          </cell>
          <cell r="I293" t="str">
            <v>Corporate HY Other - Maturity</v>
          </cell>
        </row>
        <row r="294">
          <cell r="A294" t="str">
            <v>ALL_CORP_HY_10Y</v>
          </cell>
          <cell r="B294" t="str">
            <v>Non$ Maturity HY 10</v>
          </cell>
          <cell r="C294" t="str">
            <v>BRS_GOLD__5_SPREADS:BRS_GOLD__4_CORP:BRS_GOLD__3_CSHY:BRS_GOLD__2_CSHY_OTHER:CORP33_MAT_HY_OTHER:ALL_CORP_HY_10Y</v>
          </cell>
          <cell r="D294" t="str">
            <v>Spread Duration</v>
          </cell>
          <cell r="E294" t="str">
            <v>Spread Yield (DxS)</v>
          </cell>
          <cell r="F294" t="str">
            <v>SP-Corporate HY Other</v>
          </cell>
          <cell r="G294" t="str">
            <v>SP-Spread Corporate</v>
          </cell>
          <cell r="H294" t="str">
            <v>SPREADS</v>
          </cell>
          <cell r="I294" t="str">
            <v>Corporate HY Other - Maturity</v>
          </cell>
        </row>
        <row r="295">
          <cell r="A295" t="str">
            <v>ALL_CORP_HY_20Y</v>
          </cell>
          <cell r="B295" t="str">
            <v>Non$ Maturity HY 20</v>
          </cell>
          <cell r="C295" t="str">
            <v>BRS_GOLD__5_SPREADS:BRS_GOLD__4_CORP:BRS_GOLD__3_CSHY:BRS_GOLD__2_CSHY_OTHER:CORP33_MAT_HY_OTHER:ALL_CORP_HY_20Y</v>
          </cell>
          <cell r="D295" t="str">
            <v>Spread Duration</v>
          </cell>
          <cell r="E295" t="str">
            <v>Spread Yield (DxS)</v>
          </cell>
          <cell r="F295" t="str">
            <v>SP-Corporate HY Other</v>
          </cell>
          <cell r="G295" t="str">
            <v>SP-Spread Corporate</v>
          </cell>
          <cell r="H295" t="str">
            <v>SPREADS</v>
          </cell>
          <cell r="I295" t="str">
            <v>Corporate HY Other - Maturity</v>
          </cell>
        </row>
        <row r="296">
          <cell r="A296" t="str">
            <v>ALL_AUTO_HY</v>
          </cell>
          <cell r="B296" t="str">
            <v>Non$ Auto HY</v>
          </cell>
          <cell r="C296" t="str">
            <v>BRS_GOLD__5_SPREADS:BRS_GOLD__4_CORP:BRS_GOLD__3_CSHY:BRS_GOLD__2_CSHY_OTHER:CORP33_IND_HY_OTHER:ALL_AUTO_HY</v>
          </cell>
          <cell r="D296" t="str">
            <v>Spread Duration</v>
          </cell>
          <cell r="E296" t="str">
            <v>Spread Yield (DxS)</v>
          </cell>
          <cell r="F296" t="str">
            <v>SP-Corporate HY Other</v>
          </cell>
          <cell r="G296" t="str">
            <v>SP-Spread Corporate</v>
          </cell>
          <cell r="H296" t="str">
            <v>SPREADS</v>
          </cell>
          <cell r="I296" t="str">
            <v>Corporate HY Other - Industry</v>
          </cell>
        </row>
        <row r="297">
          <cell r="A297" t="str">
            <v>ALL_BANK_HY</v>
          </cell>
          <cell r="B297" t="str">
            <v>Non$ Bank HY</v>
          </cell>
          <cell r="C297" t="str">
            <v>BRS_GOLD__5_SPREADS:BRS_GOLD__4_CORP:BRS_GOLD__3_CSHY:BRS_GOLD__2_CSHY_OTHER:CORP33_IND_HY_OTHER:ALL_BANK_HY</v>
          </cell>
          <cell r="D297" t="str">
            <v>Spread Duration</v>
          </cell>
          <cell r="E297" t="str">
            <v>Spread Yield (DxS)</v>
          </cell>
          <cell r="F297" t="str">
            <v>SP-Corporate HY Other</v>
          </cell>
          <cell r="G297" t="str">
            <v>SP-Spread Corporate</v>
          </cell>
          <cell r="H297" t="str">
            <v>SPREADS</v>
          </cell>
          <cell r="I297" t="str">
            <v>Corporate HY Other - Industry</v>
          </cell>
        </row>
        <row r="298">
          <cell r="A298" t="str">
            <v>ALL_BASIC_HY</v>
          </cell>
          <cell r="B298" t="str">
            <v>Non$ Basic HY</v>
          </cell>
          <cell r="C298" t="str">
            <v>BRS_GOLD__5_SPREADS:BRS_GOLD__4_CORP:BRS_GOLD__3_CSHY:BRS_GOLD__2_CSHY_OTHER:CORP33_IND_HY_OTHER:ALL_BASIC_HY</v>
          </cell>
          <cell r="D298" t="str">
            <v>Spread Duration</v>
          </cell>
          <cell r="E298" t="str">
            <v>Spread Yield (DxS)</v>
          </cell>
          <cell r="F298" t="str">
            <v>SP-Corporate HY Other</v>
          </cell>
          <cell r="G298" t="str">
            <v>SP-Spread Corporate</v>
          </cell>
          <cell r="H298" t="str">
            <v>SPREADS</v>
          </cell>
          <cell r="I298" t="str">
            <v>Corporate HY Other - Industry</v>
          </cell>
        </row>
        <row r="299">
          <cell r="A299" t="str">
            <v>ALL_CAP_GOODS_HY</v>
          </cell>
          <cell r="B299" t="str">
            <v>Non$ Cap Goods HY</v>
          </cell>
          <cell r="C299" t="str">
            <v>BRS_GOLD__5_SPREADS:BRS_GOLD__4_CORP:BRS_GOLD__3_CSHY:BRS_GOLD__2_CSHY_OTHER:CORP33_IND_HY_OTHER:ALL_CAP_GOODS_HY</v>
          </cell>
          <cell r="D299" t="str">
            <v>Spread Duration</v>
          </cell>
          <cell r="E299" t="str">
            <v>Spread Yield (DxS)</v>
          </cell>
          <cell r="F299" t="str">
            <v>SP-Corporate HY Other</v>
          </cell>
          <cell r="G299" t="str">
            <v>SP-Spread Corporate</v>
          </cell>
          <cell r="H299" t="str">
            <v>SPREADS</v>
          </cell>
          <cell r="I299" t="str">
            <v>Corporate HY Other - Industry</v>
          </cell>
        </row>
        <row r="300">
          <cell r="A300" t="str">
            <v>ALL_CYCLICAL_HY</v>
          </cell>
          <cell r="B300" t="str">
            <v>Non$ Cycl HY</v>
          </cell>
          <cell r="C300" t="str">
            <v>BRS_GOLD__5_SPREADS:BRS_GOLD__4_CORP:BRS_GOLD__3_CSHY:BRS_GOLD__2_CSHY_OTHER:CORP33_IND_HY_OTHER:ALL_CYCLICAL_HY</v>
          </cell>
          <cell r="D300" t="str">
            <v>Spread Duration</v>
          </cell>
          <cell r="E300" t="str">
            <v>Spread Yield (DxS)</v>
          </cell>
          <cell r="F300" t="str">
            <v>SP-Corporate HY Other</v>
          </cell>
          <cell r="G300" t="str">
            <v>SP-Spread Corporate</v>
          </cell>
          <cell r="H300" t="str">
            <v>SPREADS</v>
          </cell>
          <cell r="I300" t="str">
            <v>Corporate HY Other - Industry</v>
          </cell>
        </row>
        <row r="301">
          <cell r="A301" t="str">
            <v>ALL_ENERGY_HY</v>
          </cell>
          <cell r="B301" t="str">
            <v>Non$ Energy HY</v>
          </cell>
          <cell r="C301" t="str">
            <v>BRS_GOLD__5_SPREADS:BRS_GOLD__4_CORP:BRS_GOLD__3_CSHY:BRS_GOLD__2_CSHY_OTHER:CORP33_IND_HY_OTHER:ALL_ENERGY_HY</v>
          </cell>
          <cell r="D301" t="str">
            <v>Spread Duration</v>
          </cell>
          <cell r="E301" t="str">
            <v>Spread Yield (DxS)</v>
          </cell>
          <cell r="F301" t="str">
            <v>SP-Corporate HY Other</v>
          </cell>
          <cell r="G301" t="str">
            <v>SP-Spread Corporate</v>
          </cell>
          <cell r="H301" t="str">
            <v>SPREADS</v>
          </cell>
          <cell r="I301" t="str">
            <v>Corporate HY Other - Industry</v>
          </cell>
        </row>
        <row r="302">
          <cell r="A302" t="str">
            <v>ALL_FINANCE_COMPANY_HY</v>
          </cell>
          <cell r="B302" t="str">
            <v>Non$ Fin Com HY</v>
          </cell>
          <cell r="C302" t="str">
            <v>BRS_GOLD__5_SPREADS:BRS_GOLD__4_CORP:BRS_GOLD__3_CSHY:BRS_GOLD__2_CSHY_OTHER:CORP33_IND_HY_OTHER:ALL_FINANCE_COMPANY_HY</v>
          </cell>
          <cell r="D302" t="str">
            <v>Spread Duration</v>
          </cell>
          <cell r="E302" t="str">
            <v>Spread Yield (DxS)</v>
          </cell>
          <cell r="F302" t="str">
            <v>SP-Corporate HY Other</v>
          </cell>
          <cell r="G302" t="str">
            <v>SP-Spread Corporate</v>
          </cell>
          <cell r="H302" t="str">
            <v>SPREADS</v>
          </cell>
          <cell r="I302" t="str">
            <v>Corporate HY Other - Industry</v>
          </cell>
        </row>
        <row r="303">
          <cell r="A303" t="str">
            <v>ALL_FOREIGN_HY</v>
          </cell>
          <cell r="B303" t="str">
            <v>Non$ Foreign HY</v>
          </cell>
          <cell r="C303" t="str">
            <v>BRS_GOLD__5_SPREADS:BRS_GOLD__4_CORP:BRS_GOLD__3_CSHY:BRS_GOLD__2_CSHY_OTHER:CORP33_IND_HY_OTHER:ALL_FOREIGN_HY</v>
          </cell>
          <cell r="D303" t="str">
            <v>Spread Duration</v>
          </cell>
          <cell r="E303" t="str">
            <v>Spread Yield (DxS)</v>
          </cell>
          <cell r="F303" t="str">
            <v>SP-Corporate HY Other</v>
          </cell>
          <cell r="G303" t="str">
            <v>SP-Spread Corporate</v>
          </cell>
          <cell r="H303" t="str">
            <v>SPREADS</v>
          </cell>
          <cell r="I303" t="str">
            <v>Corporate HY Other - Industry</v>
          </cell>
        </row>
        <row r="304">
          <cell r="A304" t="str">
            <v>ALL_HOME_CONSTRUCT_HY</v>
          </cell>
          <cell r="B304" t="str">
            <v>Non$ Home Con HY</v>
          </cell>
          <cell r="C304" t="str">
            <v>BRS_GOLD__5_SPREADS:BRS_GOLD__4_CORP:BRS_GOLD__3_CSHY:BRS_GOLD__2_CSHY_OTHER:CORP33_IND_HY_OTHER:ALL_HOME_CONSTRUCT_HY</v>
          </cell>
          <cell r="D304" t="str">
            <v>Spread Duration</v>
          </cell>
          <cell r="E304" t="str">
            <v>Spread Yield (DxS)</v>
          </cell>
          <cell r="F304" t="str">
            <v>SP-Corporate HY Other</v>
          </cell>
          <cell r="G304" t="str">
            <v>SP-Spread Corporate</v>
          </cell>
          <cell r="H304" t="str">
            <v>SPREADS</v>
          </cell>
          <cell r="I304" t="str">
            <v>Corporate HY Other - Industry</v>
          </cell>
        </row>
        <row r="305">
          <cell r="A305" t="str">
            <v>ALL_INSURANCE_HY</v>
          </cell>
          <cell r="B305" t="str">
            <v>Non$ Insur HY</v>
          </cell>
          <cell r="C305" t="str">
            <v>BRS_GOLD__5_SPREADS:BRS_GOLD__4_CORP:BRS_GOLD__3_CSHY:BRS_GOLD__2_CSHY_OTHER:CORP33_IND_HY_OTHER:ALL_INSURANCE_HY</v>
          </cell>
          <cell r="D305" t="str">
            <v>Spread Duration</v>
          </cell>
          <cell r="E305" t="str">
            <v>Spread Yield (DxS)</v>
          </cell>
          <cell r="F305" t="str">
            <v>SP-Corporate HY Other</v>
          </cell>
          <cell r="G305" t="str">
            <v>SP-Spread Corporate</v>
          </cell>
          <cell r="H305" t="str">
            <v>SPREADS</v>
          </cell>
          <cell r="I305" t="str">
            <v>Corporate HY Other - Industry</v>
          </cell>
        </row>
        <row r="306">
          <cell r="A306" t="str">
            <v>ALL_MEDIA_CBL_HY</v>
          </cell>
          <cell r="B306" t="str">
            <v>Non$ Cable HY</v>
          </cell>
          <cell r="C306" t="str">
            <v>BRS_GOLD__5_SPREADS:BRS_GOLD__4_CORP:BRS_GOLD__3_CSHY:BRS_GOLD__2_CSHY_OTHER:CORP33_IND_HY_OTHER:ALL_MEDIA_CBL_HY</v>
          </cell>
          <cell r="D306" t="str">
            <v>Spread Duration</v>
          </cell>
          <cell r="E306" t="str">
            <v>Spread Yield (DxS)</v>
          </cell>
          <cell r="F306" t="str">
            <v>SP-Corporate HY Other</v>
          </cell>
          <cell r="G306" t="str">
            <v>SP-Spread Corporate</v>
          </cell>
          <cell r="H306" t="str">
            <v>SPREADS</v>
          </cell>
          <cell r="I306" t="str">
            <v>Corporate HY Other - Industry</v>
          </cell>
        </row>
        <row r="307">
          <cell r="A307" t="str">
            <v>ALL_MEDIA_NON_CBL_HY</v>
          </cell>
          <cell r="B307" t="str">
            <v>Non$ Non Cbl HY</v>
          </cell>
          <cell r="C307" t="str">
            <v>BRS_GOLD__5_SPREADS:BRS_GOLD__4_CORP:BRS_GOLD__3_CSHY:BRS_GOLD__2_CSHY_OTHER:CORP33_IND_HY_OTHER:ALL_MEDIA_NON_CBL_HY</v>
          </cell>
          <cell r="D307" t="str">
            <v>Spread Duration</v>
          </cell>
          <cell r="E307" t="str">
            <v>Spread Yield (DxS)</v>
          </cell>
          <cell r="F307" t="str">
            <v>SP-Corporate HY Other</v>
          </cell>
          <cell r="G307" t="str">
            <v>SP-Spread Corporate</v>
          </cell>
          <cell r="H307" t="str">
            <v>SPREADS</v>
          </cell>
          <cell r="I307" t="str">
            <v>Corporate HY Other - Industry</v>
          </cell>
        </row>
        <row r="308">
          <cell r="A308" t="str">
            <v>ALL_NON_CYCLICAL_HY</v>
          </cell>
          <cell r="B308" t="str">
            <v>Non$ Non Cyc HY</v>
          </cell>
          <cell r="C308" t="str">
            <v>BRS_GOLD__5_SPREADS:BRS_GOLD__4_CORP:BRS_GOLD__3_CSHY:BRS_GOLD__2_CSHY_OTHER:CORP33_IND_HY_OTHER:ALL_NON_CYCLICAL_HY</v>
          </cell>
          <cell r="D308" t="str">
            <v>Spread Duration</v>
          </cell>
          <cell r="E308" t="str">
            <v>Spread Yield (DxS)</v>
          </cell>
          <cell r="F308" t="str">
            <v>SP-Corporate HY Other</v>
          </cell>
          <cell r="G308" t="str">
            <v>SP-Spread Corporate</v>
          </cell>
          <cell r="H308" t="str">
            <v>SPREADS</v>
          </cell>
          <cell r="I308" t="str">
            <v>Corporate HY Other - Industry</v>
          </cell>
        </row>
        <row r="309">
          <cell r="A309" t="str">
            <v>ALL_OTHER_HY</v>
          </cell>
          <cell r="B309" t="str">
            <v>Non$ Other HY</v>
          </cell>
          <cell r="C309" t="str">
            <v>BRS_GOLD__5_SPREADS:BRS_GOLD__4_CORP:BRS_GOLD__3_CSHY:BRS_GOLD__2_CSHY_OTHER:CORP33_IND_HY_OTHER:ALL_OTHER_HY</v>
          </cell>
          <cell r="D309" t="str">
            <v>Spread Duration</v>
          </cell>
          <cell r="E309" t="str">
            <v>Spread Yield (DxS)</v>
          </cell>
          <cell r="F309" t="str">
            <v>SP-Corporate HY Other</v>
          </cell>
          <cell r="G309" t="str">
            <v>SP-Spread Corporate</v>
          </cell>
          <cell r="H309" t="str">
            <v>SPREADS</v>
          </cell>
          <cell r="I309" t="str">
            <v>Corporate HY Other - Industry</v>
          </cell>
        </row>
        <row r="310">
          <cell r="A310" t="str">
            <v>ALL_PAPER_HY</v>
          </cell>
          <cell r="B310" t="str">
            <v>Non$ Paper HY</v>
          </cell>
          <cell r="C310" t="str">
            <v>BRS_GOLD__5_SPREADS:BRS_GOLD__4_CORP:BRS_GOLD__3_CSHY:BRS_GOLD__2_CSHY_OTHER:CORP33_IND_HY_OTHER:ALL_PAPER_HY</v>
          </cell>
          <cell r="D310" t="str">
            <v>Spread Duration</v>
          </cell>
          <cell r="E310" t="str">
            <v>Spread Yield (DxS)</v>
          </cell>
          <cell r="F310" t="str">
            <v>SP-Corporate HY Other</v>
          </cell>
          <cell r="G310" t="str">
            <v>SP-Spread Corporate</v>
          </cell>
          <cell r="H310" t="str">
            <v>SPREADS</v>
          </cell>
          <cell r="I310" t="str">
            <v>Corporate HY Other - Industry</v>
          </cell>
        </row>
        <row r="311">
          <cell r="A311" t="str">
            <v>ALL_PHARMACEUTICAL_HY</v>
          </cell>
          <cell r="B311" t="str">
            <v>Non$ Pharma HY</v>
          </cell>
          <cell r="C311" t="str">
            <v>BRS_GOLD__5_SPREADS:BRS_GOLD__4_CORP:BRS_GOLD__3_CSHY:BRS_GOLD__2_CSHY_OTHER:CORP33_IND_HY_OTHER:ALL_PHARMACEUTICAL_HY</v>
          </cell>
          <cell r="D311" t="str">
            <v>Spread Duration</v>
          </cell>
          <cell r="E311" t="str">
            <v>Spread Yield (DxS)</v>
          </cell>
          <cell r="F311" t="str">
            <v>SP-Corporate HY Other</v>
          </cell>
          <cell r="G311" t="str">
            <v>SP-Spread Corporate</v>
          </cell>
          <cell r="H311" t="str">
            <v>SPREADS</v>
          </cell>
          <cell r="I311" t="str">
            <v>Corporate HY Other - Industry</v>
          </cell>
        </row>
        <row r="312">
          <cell r="A312" t="str">
            <v>ALL_PIPELINES_HY</v>
          </cell>
          <cell r="B312" t="str">
            <v>Non$ Pipe HY</v>
          </cell>
          <cell r="C312" t="str">
            <v>BRS_GOLD__5_SPREADS:BRS_GOLD__4_CORP:BRS_GOLD__3_CSHY:BRS_GOLD__2_CSHY_OTHER:CORP33_IND_HY_OTHER:ALL_PIPELINES_HY</v>
          </cell>
          <cell r="D312" t="str">
            <v>Spread Duration</v>
          </cell>
          <cell r="E312" t="str">
            <v>Spread Yield (DxS)</v>
          </cell>
          <cell r="F312" t="str">
            <v>SP-Corporate HY Other</v>
          </cell>
          <cell r="G312" t="str">
            <v>SP-Spread Corporate</v>
          </cell>
          <cell r="H312" t="str">
            <v>SPREADS</v>
          </cell>
          <cell r="I312" t="str">
            <v>Corporate HY Other - Industry</v>
          </cell>
        </row>
        <row r="313">
          <cell r="A313" t="str">
            <v>ALL_REIT_HY</v>
          </cell>
          <cell r="B313" t="str">
            <v>Non$ Reit HY</v>
          </cell>
          <cell r="C313" t="str">
            <v>BRS_GOLD__5_SPREADS:BRS_GOLD__4_CORP:BRS_GOLD__3_CSHY:BRS_GOLD__2_CSHY_OTHER:CORP33_IND_HY_OTHER:ALL_REIT_HY</v>
          </cell>
          <cell r="D313" t="str">
            <v>Spread Duration</v>
          </cell>
          <cell r="E313" t="str">
            <v>Spread Yield (DxS)</v>
          </cell>
          <cell r="F313" t="str">
            <v>SP-Corporate HY Other</v>
          </cell>
          <cell r="G313" t="str">
            <v>SP-Spread Corporate</v>
          </cell>
          <cell r="H313" t="str">
            <v>SPREADS</v>
          </cell>
          <cell r="I313" t="str">
            <v>Corporate HY Other - Industry</v>
          </cell>
        </row>
        <row r="314">
          <cell r="A314" t="str">
            <v>ALL_TECH_HY</v>
          </cell>
          <cell r="B314" t="str">
            <v>Non$ Tech HY</v>
          </cell>
          <cell r="C314" t="str">
            <v>BRS_GOLD__5_SPREADS:BRS_GOLD__4_CORP:BRS_GOLD__3_CSHY:BRS_GOLD__2_CSHY_OTHER:CORP33_IND_HY_OTHER:ALL_TECH_HY</v>
          </cell>
          <cell r="D314" t="str">
            <v>Spread Duration</v>
          </cell>
          <cell r="E314" t="str">
            <v>Spread Yield (DxS)</v>
          </cell>
          <cell r="F314" t="str">
            <v>SP-Corporate HY Other</v>
          </cell>
          <cell r="G314" t="str">
            <v>SP-Spread Corporate</v>
          </cell>
          <cell r="H314" t="str">
            <v>SPREADS</v>
          </cell>
          <cell r="I314" t="str">
            <v>Corporate HY Other - Industry</v>
          </cell>
        </row>
        <row r="315">
          <cell r="A315" t="str">
            <v>ALL_TELECOM_HY</v>
          </cell>
          <cell r="B315" t="str">
            <v>Non$ Telecom HY</v>
          </cell>
          <cell r="C315" t="str">
            <v>BRS_GOLD__5_SPREADS:BRS_GOLD__4_CORP:BRS_GOLD__3_CSHY:BRS_GOLD__2_CSHY_OTHER:CORP33_IND_HY_OTHER:ALL_TELECOM_HY</v>
          </cell>
          <cell r="D315" t="str">
            <v>Spread Duration</v>
          </cell>
          <cell r="E315" t="str">
            <v>Spread Yield (DxS)</v>
          </cell>
          <cell r="F315" t="str">
            <v>SP-Corporate HY Other</v>
          </cell>
          <cell r="G315" t="str">
            <v>SP-Spread Corporate</v>
          </cell>
          <cell r="H315" t="str">
            <v>SPREADS</v>
          </cell>
          <cell r="I315" t="str">
            <v>Corporate HY Other - Industry</v>
          </cell>
        </row>
        <row r="316">
          <cell r="A316" t="str">
            <v>ALL_TOBACCO_HY</v>
          </cell>
          <cell r="B316" t="str">
            <v>Non$ Tobacco HY</v>
          </cell>
          <cell r="C316" t="str">
            <v>BRS_GOLD__5_SPREADS:BRS_GOLD__4_CORP:BRS_GOLD__3_CSHY:BRS_GOLD__2_CSHY_OTHER:CORP33_IND_HY_OTHER:ALL_TOBACCO_HY</v>
          </cell>
          <cell r="D316" t="str">
            <v>Spread Duration</v>
          </cell>
          <cell r="E316" t="str">
            <v>Spread Yield (DxS)</v>
          </cell>
          <cell r="F316" t="str">
            <v>SP-Corporate HY Other</v>
          </cell>
          <cell r="G316" t="str">
            <v>SP-Spread Corporate</v>
          </cell>
          <cell r="H316" t="str">
            <v>SPREADS</v>
          </cell>
          <cell r="I316" t="str">
            <v>Corporate HY Other - Industry</v>
          </cell>
        </row>
        <row r="317">
          <cell r="A317" t="str">
            <v>ALL_TRANSPORTATION_HY</v>
          </cell>
          <cell r="B317" t="str">
            <v>Non$ Transp HY</v>
          </cell>
          <cell r="C317" t="str">
            <v>BRS_GOLD__5_SPREADS:BRS_GOLD__4_CORP:BRS_GOLD__3_CSHY:BRS_GOLD__2_CSHY_OTHER:CORP33_IND_HY_OTHER:ALL_TRANSPORTATION_HY</v>
          </cell>
          <cell r="D317" t="str">
            <v>Spread Duration</v>
          </cell>
          <cell r="E317" t="str">
            <v>Spread Yield (DxS)</v>
          </cell>
          <cell r="F317" t="str">
            <v>SP-Corporate HY Other</v>
          </cell>
          <cell r="G317" t="str">
            <v>SP-Spread Corporate</v>
          </cell>
          <cell r="H317" t="str">
            <v>SPREADS</v>
          </cell>
          <cell r="I317" t="str">
            <v>Corporate HY Other - Industry</v>
          </cell>
        </row>
        <row r="318">
          <cell r="A318" t="str">
            <v>ALL_UTILITY_HY</v>
          </cell>
          <cell r="B318" t="str">
            <v>Non$ Util HY</v>
          </cell>
          <cell r="C318" t="str">
            <v>BRS_GOLD__5_SPREADS:BRS_GOLD__4_CORP:BRS_GOLD__3_CSHY:BRS_GOLD__2_CSHY_OTHER:CORP33_IND_HY_OTHER:ALL_UTILITY_HY</v>
          </cell>
          <cell r="D318" t="str">
            <v>Spread Duration</v>
          </cell>
          <cell r="E318" t="str">
            <v>Spread Yield (DxS)</v>
          </cell>
          <cell r="F318" t="str">
            <v>SP-Corporate HY Other</v>
          </cell>
          <cell r="G318" t="str">
            <v>SP-Spread Corporate</v>
          </cell>
          <cell r="H318" t="str">
            <v>SPREADS</v>
          </cell>
          <cell r="I318" t="str">
            <v>Corporate HY Other - Industry</v>
          </cell>
        </row>
        <row r="319">
          <cell r="A319" t="str">
            <v>ALL_BASIS_HY_B_2Y</v>
          </cell>
          <cell r="B319" t="str">
            <v>Non$ Basis HY B 2</v>
          </cell>
          <cell r="C319" t="str">
            <v>BRS_GOLD__5_SPREADS:BRS_GOLD__4_CORP:BRS_GOLD__3_CSHY:BRS_GOLD__2_CSHY_OTHER:CORP33_BAS_HY_OTHER:ALL_BASIS_HY_B_2Y</v>
          </cell>
          <cell r="D319" t="str">
            <v>Spread Duration</v>
          </cell>
          <cell r="E319" t="str">
            <v>Spread Yield (DxS)</v>
          </cell>
          <cell r="F319" t="str">
            <v>SP-Corporate HY Other</v>
          </cell>
          <cell r="G319" t="str">
            <v>SP-Spread Corporate</v>
          </cell>
          <cell r="H319" t="str">
            <v>SPREADS</v>
          </cell>
          <cell r="I319" t="str">
            <v>Corporate HY Other - Other</v>
          </cell>
        </row>
        <row r="320">
          <cell r="A320" t="str">
            <v>ALL_BASIS_HY_B_5Y</v>
          </cell>
          <cell r="B320" t="str">
            <v>Non$ Basis HY B 5</v>
          </cell>
          <cell r="C320" t="str">
            <v>BRS_GOLD__5_SPREADS:BRS_GOLD__4_CORP:BRS_GOLD__3_CSHY:BRS_GOLD__2_CSHY_OTHER:CORP33_BAS_HY_OTHER:ALL_BASIS_HY_B_5Y</v>
          </cell>
          <cell r="D320" t="str">
            <v>Spread Duration</v>
          </cell>
          <cell r="E320" t="str">
            <v>Spread Yield (DxS)</v>
          </cell>
          <cell r="F320" t="str">
            <v>SP-Corporate HY Other</v>
          </cell>
          <cell r="G320" t="str">
            <v>SP-Spread Corporate</v>
          </cell>
          <cell r="H320" t="str">
            <v>SPREADS</v>
          </cell>
          <cell r="I320" t="str">
            <v>Corporate HY Other - Other</v>
          </cell>
        </row>
        <row r="321">
          <cell r="A321" t="str">
            <v>ALL_BASIS_HY_B_10Y</v>
          </cell>
          <cell r="B321" t="str">
            <v>Non$ Basis HY B 10</v>
          </cell>
          <cell r="C321" t="str">
            <v>BRS_GOLD__5_SPREADS:BRS_GOLD__4_CORP:BRS_GOLD__3_CSHY:BRS_GOLD__2_CSHY_OTHER:CORP33_BAS_HY_OTHER:ALL_BASIS_HY_B_10Y</v>
          </cell>
          <cell r="D321" t="str">
            <v>Spread Duration</v>
          </cell>
          <cell r="E321" t="str">
            <v>Spread Yield (DxS)</v>
          </cell>
          <cell r="F321" t="str">
            <v>SP-Corporate HY Other</v>
          </cell>
          <cell r="G321" t="str">
            <v>SP-Spread Corporate</v>
          </cell>
          <cell r="H321" t="str">
            <v>SPREADS</v>
          </cell>
          <cell r="I321" t="str">
            <v>Corporate HY Other - Other</v>
          </cell>
        </row>
        <row r="322">
          <cell r="A322" t="str">
            <v>ALL_BASIS_HY_B_20Y</v>
          </cell>
          <cell r="B322" t="str">
            <v>Non$ Basis HY B 20</v>
          </cell>
          <cell r="C322" t="str">
            <v>BRS_GOLD__5_SPREADS:BRS_GOLD__4_CORP:BRS_GOLD__3_CSHY:BRS_GOLD__2_CSHY_OTHER:CORP33_BAS_HY_OTHER:ALL_BASIS_HY_B_20Y</v>
          </cell>
          <cell r="D322" t="str">
            <v>Spread Duration</v>
          </cell>
          <cell r="E322" t="str">
            <v>Spread Yield (DxS)</v>
          </cell>
          <cell r="F322" t="str">
            <v>SP-Corporate HY Other</v>
          </cell>
          <cell r="G322" t="str">
            <v>SP-Spread Corporate</v>
          </cell>
          <cell r="H322" t="str">
            <v>SPREADS</v>
          </cell>
          <cell r="I322" t="str">
            <v>Corporate HY Other - Other</v>
          </cell>
        </row>
        <row r="323">
          <cell r="A323" t="str">
            <v>ALL_BASIS_HY_C_2Y</v>
          </cell>
          <cell r="B323" t="str">
            <v>Non$ Basis HY C 2</v>
          </cell>
          <cell r="C323" t="str">
            <v>BRS_GOLD__5_SPREADS:BRS_GOLD__4_CORP:BRS_GOLD__3_CSHY:BRS_GOLD__2_CSHY_OTHER:CORP33_BAS_HY_OTHER:ALL_BASIS_HY_C_2Y</v>
          </cell>
          <cell r="D323" t="str">
            <v>Spread Duration</v>
          </cell>
          <cell r="E323" t="str">
            <v>Spread Yield (DxS)</v>
          </cell>
          <cell r="F323" t="str">
            <v>SP-Corporate HY Other</v>
          </cell>
          <cell r="G323" t="str">
            <v>SP-Spread Corporate</v>
          </cell>
          <cell r="H323" t="str">
            <v>SPREADS</v>
          </cell>
          <cell r="I323" t="str">
            <v>Corporate HY Other - Other</v>
          </cell>
        </row>
        <row r="324">
          <cell r="A324" t="str">
            <v>ALL_BASIS_HY_C_5Y</v>
          </cell>
          <cell r="B324" t="str">
            <v>Non$ Basis HY C 5</v>
          </cell>
          <cell r="C324" t="str">
            <v>BRS_GOLD__5_SPREADS:BRS_GOLD__4_CORP:BRS_GOLD__3_CSHY:BRS_GOLD__2_CSHY_OTHER:CORP33_BAS_HY_OTHER:ALL_BASIS_HY_C_5Y</v>
          </cell>
          <cell r="D324" t="str">
            <v>Spread Duration</v>
          </cell>
          <cell r="E324" t="str">
            <v>Spread Yield (DxS)</v>
          </cell>
          <cell r="F324" t="str">
            <v>SP-Corporate HY Other</v>
          </cell>
          <cell r="G324" t="str">
            <v>SP-Spread Corporate</v>
          </cell>
          <cell r="H324" t="str">
            <v>SPREADS</v>
          </cell>
          <cell r="I324" t="str">
            <v>Corporate HY Other - Other</v>
          </cell>
        </row>
        <row r="325">
          <cell r="A325" t="str">
            <v>ALL_BASIS_HY_C_10Y</v>
          </cell>
          <cell r="B325" t="str">
            <v>Non$ Basis HY C 10</v>
          </cell>
          <cell r="C325" t="str">
            <v>BRS_GOLD__5_SPREADS:BRS_GOLD__4_CORP:BRS_GOLD__3_CSHY:BRS_GOLD__2_CSHY_OTHER:CORP33_BAS_HY_OTHER:ALL_BASIS_HY_C_10Y</v>
          </cell>
          <cell r="D325" t="str">
            <v>Spread Duration</v>
          </cell>
          <cell r="E325" t="str">
            <v>Spread Yield (DxS)</v>
          </cell>
          <cell r="F325" t="str">
            <v>SP-Corporate HY Other</v>
          </cell>
          <cell r="G325" t="str">
            <v>SP-Spread Corporate</v>
          </cell>
          <cell r="H325" t="str">
            <v>SPREADS</v>
          </cell>
          <cell r="I325" t="str">
            <v>Corporate HY Other - Other</v>
          </cell>
        </row>
        <row r="326">
          <cell r="A326" t="str">
            <v>ALL_BASIS_HY_C_20Y</v>
          </cell>
          <cell r="B326" t="str">
            <v>Non$ Basis HY C 20</v>
          </cell>
          <cell r="C326" t="str">
            <v>BRS_GOLD__5_SPREADS:BRS_GOLD__4_CORP:BRS_GOLD__3_CSHY:BRS_GOLD__2_CSHY_OTHER:CORP33_BAS_HY_OTHER:ALL_BASIS_HY_C_20Y</v>
          </cell>
          <cell r="D326" t="str">
            <v>Spread Duration</v>
          </cell>
          <cell r="E326" t="str">
            <v>Spread Yield (DxS)</v>
          </cell>
          <cell r="F326" t="str">
            <v>SP-Corporate HY Other</v>
          </cell>
          <cell r="G326" t="str">
            <v>SP-Spread Corporate</v>
          </cell>
          <cell r="H326" t="str">
            <v>SPREADS</v>
          </cell>
          <cell r="I326" t="str">
            <v>Corporate HY Other - Other</v>
          </cell>
        </row>
        <row r="327">
          <cell r="A327" t="str">
            <v>USD_CORP_HY_BB_10YR</v>
          </cell>
          <cell r="B327" t="str">
            <v>Corp HY BB</v>
          </cell>
          <cell r="C327" t="str">
            <v>BRS_GOLD__5_SPREADS:BRS_GOLD__4_CORP:BRS_GOLD__1_CORP:USD_CORP_HY_BB_10YR</v>
          </cell>
          <cell r="D327" t="str">
            <v>Spread Duration</v>
          </cell>
          <cell r="E327" t="str">
            <v>Spread Yield</v>
          </cell>
          <cell r="F327" t="str">
            <v>SP-Corporate HY USD</v>
          </cell>
          <cell r="G327" t="str">
            <v>SP-Spread Corporate</v>
          </cell>
          <cell r="H327" t="str">
            <v>SPREADS</v>
          </cell>
          <cell r="I327" t="str">
            <v>Corporate HY USD - Other</v>
          </cell>
        </row>
        <row r="328">
          <cell r="A328" t="str">
            <v>USD_CORP_HY_B_10YR</v>
          </cell>
          <cell r="B328" t="str">
            <v>Corp HY B</v>
          </cell>
          <cell r="C328" t="str">
            <v>BRS_GOLD__5_SPREADS:BRS_GOLD__4_CORP:BRS_GOLD__1_CORP:USD_CORP_HY_B_10YR</v>
          </cell>
          <cell r="D328" t="str">
            <v>Spread Duration</v>
          </cell>
          <cell r="E328" t="str">
            <v>Spread Yield</v>
          </cell>
          <cell r="F328" t="str">
            <v>SP-Corporate HY USD</v>
          </cell>
          <cell r="G328" t="str">
            <v>SP-Spread Corporate</v>
          </cell>
          <cell r="H328" t="str">
            <v>SPREADS</v>
          </cell>
          <cell r="I328" t="str">
            <v>Corporate HY USD - Other</v>
          </cell>
        </row>
        <row r="329">
          <cell r="A329" t="str">
            <v>USD_CORP_HY_CCC_10YR</v>
          </cell>
          <cell r="B329" t="str">
            <v>Corp HY CCC</v>
          </cell>
          <cell r="C329" t="str">
            <v>BRS_GOLD__5_SPREADS:BRS_GOLD__4_CORP:BRS_GOLD__1_CORP:USD_CORP_HY_CCC_10YR</v>
          </cell>
          <cell r="D329" t="str">
            <v>Spread Duration</v>
          </cell>
          <cell r="E329" t="str">
            <v>Spread Yield</v>
          </cell>
          <cell r="F329" t="str">
            <v>SP-Corporate HY USD</v>
          </cell>
          <cell r="G329" t="str">
            <v>SP-Spread Corporate</v>
          </cell>
          <cell r="H329" t="str">
            <v>SPREADS</v>
          </cell>
          <cell r="I329" t="str">
            <v>Corporate HY USD - Other</v>
          </cell>
        </row>
        <row r="330">
          <cell r="A330" t="str">
            <v>USD_CORP_HY_D_10YR</v>
          </cell>
          <cell r="B330" t="str">
            <v>Corp HY D</v>
          </cell>
          <cell r="C330" t="str">
            <v>BRS_GOLD__5_SPREADS:BRS_GOLD__4_CORP:BRS_GOLD__1_CORP:USD_CORP_HY_D_10YR</v>
          </cell>
          <cell r="D330" t="str">
            <v>Spread Duration</v>
          </cell>
          <cell r="E330" t="str">
            <v>Spread Yield</v>
          </cell>
          <cell r="F330" t="str">
            <v>SP-Corporate HY USD</v>
          </cell>
          <cell r="G330" t="str">
            <v>SP-Spread Corporate</v>
          </cell>
          <cell r="H330" t="str">
            <v>SPREADS</v>
          </cell>
          <cell r="I330" t="str">
            <v>Corporate HY USD - Other</v>
          </cell>
        </row>
        <row r="331">
          <cell r="A331" t="str">
            <v>ALL_CORP_HY_BB_10YR</v>
          </cell>
          <cell r="B331" t="str">
            <v>Non$ HY BB</v>
          </cell>
          <cell r="C331" t="str">
            <v>BRS_GOLD__5_SPREADS:BRS_GOLD__4_CORP:BRS_GOLD__1_CORP:ALL_CORP_HY_BB_10YR</v>
          </cell>
          <cell r="D331" t="str">
            <v>Spread Duration</v>
          </cell>
          <cell r="E331" t="str">
            <v>Spread Yield</v>
          </cell>
          <cell r="F331" t="str">
            <v>SP-Corporate HY Other</v>
          </cell>
          <cell r="G331" t="str">
            <v>SP-Spread Corporate</v>
          </cell>
          <cell r="H331" t="str">
            <v>SPREADS</v>
          </cell>
          <cell r="I331" t="str">
            <v>Corporate HY Other - Other</v>
          </cell>
        </row>
        <row r="332">
          <cell r="A332" t="str">
            <v>ALL_CORP_HY_B_10YR</v>
          </cell>
          <cell r="B332" t="str">
            <v>other ccy Corp HY B</v>
          </cell>
          <cell r="C332" t="str">
            <v>BRS_GOLD__5_SPREADS:BRS_GOLD__4_CORP:BRS_GOLD__1_CORP:ALL_CORP_HY_B_10YR</v>
          </cell>
          <cell r="D332" t="str">
            <v>Spread Duration</v>
          </cell>
          <cell r="E332" t="str">
            <v>Spread Yield</v>
          </cell>
          <cell r="F332" t="str">
            <v>SP-Corporate HY Other</v>
          </cell>
          <cell r="G332" t="str">
            <v>SP-Spread Corporate</v>
          </cell>
          <cell r="H332" t="str">
            <v>SPREADS</v>
          </cell>
          <cell r="I332" t="str">
            <v>Corporate HY Other - Other</v>
          </cell>
        </row>
        <row r="333">
          <cell r="A333" t="str">
            <v>ALL_CORP_HY_CCC_10YR</v>
          </cell>
          <cell r="B333" t="str">
            <v>Non$ HY CCC</v>
          </cell>
          <cell r="C333" t="str">
            <v>BRS_GOLD__5_SPREADS:BRS_GOLD__4_CORP:BRS_GOLD__1_CORP:ALL_CORP_HY_CCC_10YR</v>
          </cell>
          <cell r="D333" t="str">
            <v>Spread Duration</v>
          </cell>
          <cell r="E333" t="str">
            <v>Spread Yield</v>
          </cell>
          <cell r="F333" t="str">
            <v>SP-Corporate HY Other</v>
          </cell>
          <cell r="G333" t="str">
            <v>SP-Spread Corporate</v>
          </cell>
          <cell r="H333" t="str">
            <v>SPREADS</v>
          </cell>
          <cell r="I333" t="str">
            <v>Corporate HY Other - Other</v>
          </cell>
        </row>
        <row r="334">
          <cell r="A334" t="str">
            <v>ALL_CORP_HY_D_10YR</v>
          </cell>
          <cell r="B334" t="str">
            <v>other ccy Corp HY D</v>
          </cell>
          <cell r="C334" t="str">
            <v>BRS_GOLD__5_SPREADS:BRS_GOLD__4_CORP:BRS_GOLD__1_CORP:ALL_CORP_HY_D_10YR</v>
          </cell>
          <cell r="D334" t="str">
            <v>Spread Duration</v>
          </cell>
          <cell r="E334" t="str">
            <v>Spread Yield</v>
          </cell>
          <cell r="F334" t="str">
            <v>SP-Corporate HY Other</v>
          </cell>
          <cell r="G334" t="str">
            <v>SP-Spread Corporate</v>
          </cell>
          <cell r="H334" t="str">
            <v>SPREADS</v>
          </cell>
          <cell r="I334" t="str">
            <v>Corporate HY Other - Other</v>
          </cell>
        </row>
        <row r="335">
          <cell r="A335" t="str">
            <v>USD_CORP_FIN_BBB_2YR</v>
          </cell>
          <cell r="B335" t="str">
            <v>Corp FIN BBB 2Y</v>
          </cell>
          <cell r="C335" t="str">
            <v>BRS_GOLD__5_SPREADS:BRS_GOLD__4_CORP:BRS_GOLD__1_CORP:USD_CORP_FIN_BBB_2YR</v>
          </cell>
          <cell r="D335" t="str">
            <v>Spread Duration</v>
          </cell>
          <cell r="E335" t="str">
            <v>Other Spread Yield</v>
          </cell>
          <cell r="F335" t="str">
            <v>SP-Corporate IG USD</v>
          </cell>
          <cell r="G335" t="str">
            <v>SP-Spread Corporate</v>
          </cell>
          <cell r="H335" t="str">
            <v>SPREADS</v>
          </cell>
          <cell r="I335" t="str">
            <v>Corporate IG USD - Industry</v>
          </cell>
        </row>
        <row r="336">
          <cell r="A336" t="str">
            <v>USD_CORP_FIN_BBB_5YR</v>
          </cell>
          <cell r="B336" t="str">
            <v>Corp FIN BBB 5Y</v>
          </cell>
          <cell r="C336" t="str">
            <v>BRS_GOLD__5_SPREADS:BRS_GOLD__4_CORP:BRS_GOLD__1_CORP:USD_CORP_FIN_BBB_5YR</v>
          </cell>
          <cell r="D336" t="str">
            <v>Spread Duration</v>
          </cell>
          <cell r="E336" t="str">
            <v>Other Spread Yield</v>
          </cell>
          <cell r="F336" t="str">
            <v>SP-Corporate IG USD</v>
          </cell>
          <cell r="G336" t="str">
            <v>SP-Spread Corporate</v>
          </cell>
          <cell r="H336" t="str">
            <v>SPREADS</v>
          </cell>
          <cell r="I336" t="str">
            <v>Corporate IG USD - Industry</v>
          </cell>
        </row>
        <row r="337">
          <cell r="A337" t="str">
            <v>USD_CORP_FIN_BBB_10YR</v>
          </cell>
          <cell r="B337" t="str">
            <v>Corp FIN BBB 10Y</v>
          </cell>
          <cell r="C337" t="str">
            <v>BRS_GOLD__5_SPREADS:BRS_GOLD__4_CORP:BRS_GOLD__1_CORP:USD_CORP_FIN_BBB_10YR</v>
          </cell>
          <cell r="D337" t="str">
            <v>Spread Duration</v>
          </cell>
          <cell r="E337" t="str">
            <v>Other Spread Yield</v>
          </cell>
          <cell r="F337" t="str">
            <v>SP-Corporate IG USD</v>
          </cell>
          <cell r="G337" t="str">
            <v>SP-Spread Corporate</v>
          </cell>
          <cell r="H337" t="str">
            <v>SPREADS</v>
          </cell>
          <cell r="I337" t="str">
            <v>Corporate IG USD - Industry</v>
          </cell>
        </row>
        <row r="338">
          <cell r="A338" t="str">
            <v>USD_CORP_FIN_BBB_30YR</v>
          </cell>
          <cell r="B338" t="str">
            <v>Corp FIN BBB 30Y</v>
          </cell>
          <cell r="C338" t="str">
            <v>BRS_GOLD__5_SPREADS:BRS_GOLD__4_CORP:BRS_GOLD__1_CORP:USD_CORP_FIN_BBB_30YR</v>
          </cell>
          <cell r="D338" t="str">
            <v>Spread Duration</v>
          </cell>
          <cell r="E338" t="str">
            <v>Other Spread Yield</v>
          </cell>
          <cell r="F338" t="str">
            <v>SP-Corporate IG USD</v>
          </cell>
          <cell r="G338" t="str">
            <v>SP-Spread Corporate</v>
          </cell>
          <cell r="H338" t="str">
            <v>SPREADS</v>
          </cell>
          <cell r="I338" t="str">
            <v>Corporate IG USD - Industry</v>
          </cell>
        </row>
        <row r="339">
          <cell r="A339" t="str">
            <v>USD_CORP_IND_BBB_2YR</v>
          </cell>
          <cell r="B339" t="str">
            <v>Corp IND BBB 2Y</v>
          </cell>
          <cell r="C339" t="str">
            <v>BRS_GOLD__5_SPREADS:BRS_GOLD__4_CORP:BRS_GOLD__1_CORP:USD_CORP_IND_BBB_2YR</v>
          </cell>
          <cell r="D339" t="str">
            <v>Spread Duration</v>
          </cell>
          <cell r="E339" t="str">
            <v>Other Spread Yield</v>
          </cell>
          <cell r="F339" t="str">
            <v>SP-Corporate IG USD</v>
          </cell>
          <cell r="G339" t="str">
            <v>SP-Spread Corporate</v>
          </cell>
          <cell r="H339" t="str">
            <v>SPREADS</v>
          </cell>
          <cell r="I339" t="str">
            <v>Corporate IG USD - Industry</v>
          </cell>
        </row>
        <row r="340">
          <cell r="A340" t="str">
            <v>USD_CORP_IND_BBB_5YR</v>
          </cell>
          <cell r="B340" t="str">
            <v>Corp IND BBB 5Y</v>
          </cell>
          <cell r="C340" t="str">
            <v>BRS_GOLD__5_SPREADS:BRS_GOLD__4_CORP:BRS_GOLD__1_CORP:USD_CORP_IND_BBB_5YR</v>
          </cell>
          <cell r="D340" t="str">
            <v>Spread Duration</v>
          </cell>
          <cell r="E340" t="str">
            <v>Other Spread Yield</v>
          </cell>
          <cell r="F340" t="str">
            <v>SP-Corporate IG USD</v>
          </cell>
          <cell r="G340" t="str">
            <v>SP-Spread Corporate</v>
          </cell>
          <cell r="H340" t="str">
            <v>SPREADS</v>
          </cell>
          <cell r="I340" t="str">
            <v>Corporate IG USD - Industry</v>
          </cell>
        </row>
        <row r="341">
          <cell r="A341" t="str">
            <v>USD_CORP_IND_BBB_10YR</v>
          </cell>
          <cell r="B341" t="str">
            <v>Corp IND BBB 10Y</v>
          </cell>
          <cell r="C341" t="str">
            <v>BRS_GOLD__5_SPREADS:BRS_GOLD__4_CORP:BRS_GOLD__1_CORP:USD_CORP_IND_BBB_10YR</v>
          </cell>
          <cell r="D341" t="str">
            <v>Spread Duration</v>
          </cell>
          <cell r="E341" t="str">
            <v>Other Spread Yield</v>
          </cell>
          <cell r="F341" t="str">
            <v>SP-Corporate IG USD</v>
          </cell>
          <cell r="G341" t="str">
            <v>SP-Spread Corporate</v>
          </cell>
          <cell r="H341" t="str">
            <v>SPREADS</v>
          </cell>
          <cell r="I341" t="str">
            <v>Corporate IG USD - Industry</v>
          </cell>
        </row>
        <row r="342">
          <cell r="A342" t="str">
            <v>USD_CORP_IND_BBB_30YR</v>
          </cell>
          <cell r="B342" t="str">
            <v>Corp IND BBB 30Y</v>
          </cell>
          <cell r="C342" t="str">
            <v>BRS_GOLD__5_SPREADS:BRS_GOLD__4_CORP:BRS_GOLD__1_CORP:USD_CORP_IND_BBB_30YR</v>
          </cell>
          <cell r="D342" t="str">
            <v>Spread Duration</v>
          </cell>
          <cell r="E342" t="str">
            <v>Other Spread Yield</v>
          </cell>
          <cell r="F342" t="str">
            <v>SP-Corporate IG USD</v>
          </cell>
          <cell r="G342" t="str">
            <v>SP-Spread Corporate</v>
          </cell>
          <cell r="H342" t="str">
            <v>SPREADS</v>
          </cell>
          <cell r="I342" t="str">
            <v>Corporate IG USD - Industry</v>
          </cell>
        </row>
        <row r="343">
          <cell r="A343" t="str">
            <v>USD_CORP_UTL_BBB_2YR</v>
          </cell>
          <cell r="B343" t="str">
            <v>Corp UTL BBB 2Y</v>
          </cell>
          <cell r="C343" t="str">
            <v>BRS_GOLD__5_SPREADS:BRS_GOLD__4_CORP:BRS_GOLD__1_CORP:USD_CORP_UTL_BBB_2YR</v>
          </cell>
          <cell r="D343" t="str">
            <v>Spread Duration</v>
          </cell>
          <cell r="E343" t="str">
            <v>Other Spread Yield</v>
          </cell>
          <cell r="F343" t="str">
            <v>SP-Corporate IG USD</v>
          </cell>
          <cell r="G343" t="str">
            <v>SP-Spread Corporate</v>
          </cell>
          <cell r="H343" t="str">
            <v>SPREADS</v>
          </cell>
          <cell r="I343" t="str">
            <v>Corporate IG USD - Industry</v>
          </cell>
        </row>
        <row r="344">
          <cell r="A344" t="str">
            <v>USD_CORP_UTL_BBB_5YR</v>
          </cell>
          <cell r="B344" t="str">
            <v>Corp UTL BBB 5Y</v>
          </cell>
          <cell r="C344" t="str">
            <v>BRS_GOLD__5_SPREADS:BRS_GOLD__4_CORP:BRS_GOLD__1_CORP:USD_CORP_UTL_BBB_5YR</v>
          </cell>
          <cell r="D344" t="str">
            <v>Spread Duration</v>
          </cell>
          <cell r="E344" t="str">
            <v>Other Spread Yield</v>
          </cell>
          <cell r="F344" t="str">
            <v>SP-Corporate IG USD</v>
          </cell>
          <cell r="G344" t="str">
            <v>SP-Spread Corporate</v>
          </cell>
          <cell r="H344" t="str">
            <v>SPREADS</v>
          </cell>
          <cell r="I344" t="str">
            <v>Corporate IG USD - Industry</v>
          </cell>
        </row>
        <row r="345">
          <cell r="A345" t="str">
            <v>USD_CORP_UTL_BBB_10YR</v>
          </cell>
          <cell r="B345" t="str">
            <v>Corp UTL BBB 10Y</v>
          </cell>
          <cell r="C345" t="str">
            <v>BRS_GOLD__5_SPREADS:BRS_GOLD__4_CORP:BRS_GOLD__1_CORP:USD_CORP_UTL_BBB_10YR</v>
          </cell>
          <cell r="D345" t="str">
            <v>Spread Duration</v>
          </cell>
          <cell r="E345" t="str">
            <v>Other Spread Yield</v>
          </cell>
          <cell r="F345" t="str">
            <v>SP-Corporate IG USD</v>
          </cell>
          <cell r="G345" t="str">
            <v>SP-Spread Corporate</v>
          </cell>
          <cell r="H345" t="str">
            <v>SPREADS</v>
          </cell>
          <cell r="I345" t="str">
            <v>Corporate IG USD - Industry</v>
          </cell>
        </row>
        <row r="346">
          <cell r="A346" t="str">
            <v>USD_CORP_UTL_BBB_30YR</v>
          </cell>
          <cell r="B346" t="str">
            <v>Corp UTL BBB 30Y</v>
          </cell>
          <cell r="C346" t="str">
            <v>BRS_GOLD__5_SPREADS:BRS_GOLD__4_CORP:BRS_GOLD__1_CORP:USD_CORP_UTL_BBB_30YR</v>
          </cell>
          <cell r="D346" t="str">
            <v>Spread Duration</v>
          </cell>
          <cell r="E346" t="str">
            <v>Other Spread Yield</v>
          </cell>
          <cell r="F346" t="str">
            <v>SP-Corporate IG USD</v>
          </cell>
          <cell r="G346" t="str">
            <v>SP-Spread Corporate</v>
          </cell>
          <cell r="H346" t="str">
            <v>SPREADS</v>
          </cell>
          <cell r="I346" t="str">
            <v>Corporate IG USD - Industry</v>
          </cell>
        </row>
        <row r="347">
          <cell r="A347" t="str">
            <v>USD_CORP_YNK_BBB_2YR</v>
          </cell>
          <cell r="B347" t="str">
            <v>Corp YNK BBB 2Y</v>
          </cell>
          <cell r="C347" t="str">
            <v>BRS_GOLD__5_SPREADS:BRS_GOLD__4_CORP:BRS_GOLD__1_CORP:USD_CORP_YNK_BBB_2YR</v>
          </cell>
          <cell r="D347" t="str">
            <v>Spread Duration</v>
          </cell>
          <cell r="E347" t="str">
            <v>Other Spread Yield</v>
          </cell>
          <cell r="F347" t="str">
            <v>SP-Corporate IG USD</v>
          </cell>
          <cell r="G347" t="str">
            <v>SP-Spread Corporate</v>
          </cell>
          <cell r="H347" t="str">
            <v>SPREADS</v>
          </cell>
          <cell r="I347" t="str">
            <v>Corporate IG USD - Yankee</v>
          </cell>
        </row>
        <row r="348">
          <cell r="A348" t="str">
            <v>USD_CORP_YNK_BBB_5YR</v>
          </cell>
          <cell r="B348" t="str">
            <v>Corp YNK BBB 5Y</v>
          </cell>
          <cell r="C348" t="str">
            <v>BRS_GOLD__5_SPREADS:BRS_GOLD__4_CORP:BRS_GOLD__1_CORP:USD_CORP_YNK_BBB_5YR</v>
          </cell>
          <cell r="D348" t="str">
            <v>Spread Duration</v>
          </cell>
          <cell r="E348" t="str">
            <v>Other Spread Yield</v>
          </cell>
          <cell r="F348" t="str">
            <v>SP-Corporate IG USD</v>
          </cell>
          <cell r="G348" t="str">
            <v>SP-Spread Corporate</v>
          </cell>
          <cell r="H348" t="str">
            <v>SPREADS</v>
          </cell>
          <cell r="I348" t="str">
            <v>Corporate IG USD - Yankee</v>
          </cell>
        </row>
        <row r="349">
          <cell r="A349" t="str">
            <v>USD_CORP_YNK_BBB_10YR</v>
          </cell>
          <cell r="B349" t="str">
            <v>Corp YNK BBB 10Y</v>
          </cell>
          <cell r="C349" t="str">
            <v>BRS_GOLD__5_SPREADS:BRS_GOLD__4_CORP:BRS_GOLD__1_CORP:USD_CORP_YNK_BBB_10YR</v>
          </cell>
          <cell r="D349" t="str">
            <v>Spread Duration</v>
          </cell>
          <cell r="E349" t="str">
            <v>Other Spread Yield</v>
          </cell>
          <cell r="F349" t="str">
            <v>SP-Corporate IG USD</v>
          </cell>
          <cell r="G349" t="str">
            <v>SP-Spread Corporate</v>
          </cell>
          <cell r="H349" t="str">
            <v>SPREADS</v>
          </cell>
          <cell r="I349" t="str">
            <v>Corporate IG USD - Yankee</v>
          </cell>
        </row>
        <row r="350">
          <cell r="A350" t="str">
            <v>USD_CORP_YNK_BBB_30YR</v>
          </cell>
          <cell r="B350" t="str">
            <v>Corp YNK BBB 30Y</v>
          </cell>
          <cell r="C350" t="str">
            <v>BRS_GOLD__5_SPREADS:BRS_GOLD__4_CORP:BRS_GOLD__1_CORP:USD_CORP_YNK_BBB_30YR</v>
          </cell>
          <cell r="D350" t="str">
            <v>Spread Duration</v>
          </cell>
          <cell r="E350" t="str">
            <v>Other Spread Yield</v>
          </cell>
          <cell r="F350" t="str">
            <v>SP-Corporate IG USD</v>
          </cell>
          <cell r="G350" t="str">
            <v>SP-Spread Corporate</v>
          </cell>
          <cell r="H350" t="str">
            <v>SPREADS</v>
          </cell>
          <cell r="I350" t="str">
            <v>Corporate IG USD - Yankee</v>
          </cell>
        </row>
        <row r="351">
          <cell r="A351" t="str">
            <v>ALL_CORP_IND_XAUTO_BBB_2</v>
          </cell>
          <cell r="B351" t="str">
            <v>ALL IND xAUTO BBB 2</v>
          </cell>
          <cell r="C351" t="str">
            <v>BRS_GOLD__5_SPREADS:BRS_GOLD__4_CORP:BRS_GOLD__1_CORP:ALL_CORP_IND_XAUTO_BBB_2</v>
          </cell>
          <cell r="D351" t="str">
            <v>Spread Duration</v>
          </cell>
          <cell r="E351" t="str">
            <v>Spread Yield</v>
          </cell>
          <cell r="F351" t="str">
            <v>SP-Corporate IG Other</v>
          </cell>
          <cell r="G351" t="str">
            <v>SP-Spread Corporate</v>
          </cell>
          <cell r="H351" t="str">
            <v>SPREADS</v>
          </cell>
          <cell r="I351" t="str">
            <v>Corporate IG Other - Industry</v>
          </cell>
        </row>
        <row r="352">
          <cell r="A352" t="str">
            <v>ALL_CORP_IND_XAUTO_BBB_5</v>
          </cell>
          <cell r="B352" t="str">
            <v>ALL IND xAUTO BBB 5</v>
          </cell>
          <cell r="C352" t="str">
            <v>BRS_GOLD__5_SPREADS:BRS_GOLD__4_CORP:BRS_GOLD__1_CORP:ALL_CORP_IND_XAUTO_BBB_5</v>
          </cell>
          <cell r="D352" t="str">
            <v>Spread Duration</v>
          </cell>
          <cell r="E352" t="str">
            <v>Spread Yield</v>
          </cell>
          <cell r="F352" t="str">
            <v>SP-Corporate IG Other</v>
          </cell>
          <cell r="G352" t="str">
            <v>SP-Spread Corporate</v>
          </cell>
          <cell r="H352" t="str">
            <v>SPREADS</v>
          </cell>
          <cell r="I352" t="str">
            <v>Corporate IG Other - Industry</v>
          </cell>
        </row>
        <row r="353">
          <cell r="A353" t="str">
            <v>ALL_CORP_IND_XAUTO_BBB_10</v>
          </cell>
          <cell r="B353" t="str">
            <v>ALL IND xAUTO BBB 10</v>
          </cell>
          <cell r="C353" t="str">
            <v>BRS_GOLD__5_SPREADS:BRS_GOLD__4_CORP:BRS_GOLD__1_CORP:ALL_CORP_IND_XAUTO_BBB_10</v>
          </cell>
          <cell r="D353" t="str">
            <v>Spread Duration</v>
          </cell>
          <cell r="E353" t="str">
            <v>Spread Yield</v>
          </cell>
          <cell r="F353" t="str">
            <v>SP-Corporate IG Other</v>
          </cell>
          <cell r="G353" t="str">
            <v>SP-Spread Corporate</v>
          </cell>
          <cell r="H353" t="str">
            <v>SPREADS</v>
          </cell>
          <cell r="I353" t="str">
            <v>Corporate IG Other - Industry</v>
          </cell>
        </row>
        <row r="354">
          <cell r="A354" t="str">
            <v>ALL_CORP_IND_XAUTO_BBB_30</v>
          </cell>
          <cell r="B354" t="str">
            <v>ALL IND xAUTO BBB 30</v>
          </cell>
          <cell r="C354" t="str">
            <v>BRS_GOLD__5_SPREADS:BRS_GOLD__4_CORP:BRS_GOLD__1_CORP:ALL_CORP_IND_XAUTO_BBB_30</v>
          </cell>
          <cell r="D354" t="str">
            <v>Spread Duration</v>
          </cell>
          <cell r="E354" t="str">
            <v>Spread Yield</v>
          </cell>
          <cell r="F354" t="str">
            <v>SP-Corporate IG Other</v>
          </cell>
          <cell r="G354" t="str">
            <v>SP-Spread Corporate</v>
          </cell>
          <cell r="H354" t="str">
            <v>SPREADS</v>
          </cell>
          <cell r="I354" t="str">
            <v>Corporate IG Other - Industry</v>
          </cell>
        </row>
        <row r="355">
          <cell r="A355" t="str">
            <v>USD_CORP_IND_XAUTO_BBB_2</v>
          </cell>
          <cell r="B355" t="str">
            <v>IND xAUTO BBB 2Y</v>
          </cell>
          <cell r="C355" t="str">
            <v>BRS_GOLD__5_SPREADS:BRS_GOLD__4_CORP:BRS_GOLD__1_CORP:USD_CORP_IND_XAUTO_BBB_2</v>
          </cell>
          <cell r="D355" t="str">
            <v>Spread Duration</v>
          </cell>
          <cell r="E355" t="str">
            <v>Other Spread Yield</v>
          </cell>
          <cell r="F355" t="str">
            <v>SP-Corporate IG USD</v>
          </cell>
          <cell r="G355" t="str">
            <v>SP-Spread Corporate</v>
          </cell>
          <cell r="H355" t="str">
            <v>SPREADS</v>
          </cell>
          <cell r="I355" t="str">
            <v>Corporate IG USD - Industry</v>
          </cell>
        </row>
        <row r="356">
          <cell r="A356" t="str">
            <v>USD_CORP_IND_XAUTO_BBB_5</v>
          </cell>
          <cell r="B356" t="str">
            <v>IND xAUTO BBB 5Y</v>
          </cell>
          <cell r="C356" t="str">
            <v>BRS_GOLD__5_SPREADS:BRS_GOLD__4_CORP:BRS_GOLD__1_CORP:USD_CORP_IND_XAUTO_BBB_5</v>
          </cell>
          <cell r="D356" t="str">
            <v>Spread Duration</v>
          </cell>
          <cell r="E356" t="str">
            <v>Other Spread Yield</v>
          </cell>
          <cell r="F356" t="str">
            <v>SP-Corporate IG USD</v>
          </cell>
          <cell r="G356" t="str">
            <v>SP-Spread Corporate</v>
          </cell>
          <cell r="H356" t="str">
            <v>SPREADS</v>
          </cell>
          <cell r="I356" t="str">
            <v>Corporate IG USD - Industry</v>
          </cell>
        </row>
        <row r="357">
          <cell r="A357" t="str">
            <v>USD_CORP_IND_XAUTO_BBB_10</v>
          </cell>
          <cell r="B357" t="str">
            <v>IND xAUTO BBB 10Y</v>
          </cell>
          <cell r="C357" t="str">
            <v>BRS_GOLD__5_SPREADS:BRS_GOLD__4_CORP:BRS_GOLD__1_CORP:USD_CORP_IND_XAUTO_BBB_10</v>
          </cell>
          <cell r="D357" t="str">
            <v>Spread Duration</v>
          </cell>
          <cell r="E357" t="str">
            <v>Other Spread Yield</v>
          </cell>
          <cell r="F357" t="str">
            <v>SP-Corporate IG USD</v>
          </cell>
          <cell r="G357" t="str">
            <v>SP-Spread Corporate</v>
          </cell>
          <cell r="H357" t="str">
            <v>SPREADS</v>
          </cell>
          <cell r="I357" t="str">
            <v>Corporate IG USD - Industry</v>
          </cell>
        </row>
        <row r="358">
          <cell r="A358" t="str">
            <v>USD_CORP_IND_XAUTO_BBB_30</v>
          </cell>
          <cell r="B358" t="str">
            <v>IND xAUTO BBB 30Y</v>
          </cell>
          <cell r="C358" t="str">
            <v>BRS_GOLD__5_SPREADS:BRS_GOLD__4_CORP:BRS_GOLD__1_CORP:USD_CORP_IND_XAUTO_BBB_30</v>
          </cell>
          <cell r="D358" t="str">
            <v>Spread Duration</v>
          </cell>
          <cell r="E358" t="str">
            <v>Other Spread Yield</v>
          </cell>
          <cell r="F358" t="str">
            <v>SP-Corporate IG USD</v>
          </cell>
          <cell r="G358" t="str">
            <v>SP-Spread Corporate</v>
          </cell>
          <cell r="H358" t="str">
            <v>SPREADS</v>
          </cell>
          <cell r="I358" t="str">
            <v>Corporate IG USD - Industry</v>
          </cell>
        </row>
        <row r="359">
          <cell r="A359" t="str">
            <v>ALL_CORP_FIN_BBB_2YR</v>
          </cell>
          <cell r="B359" t="str">
            <v>Non$ FIN BBB 2Y</v>
          </cell>
          <cell r="C359" t="str">
            <v>BRS_GOLD__5_SPREADS:BRS_GOLD__4_CORP:BRS_GOLD__1_CORP:ALL_CORP_FIN_BBB_2YR</v>
          </cell>
          <cell r="D359" t="str">
            <v>Spread Duration</v>
          </cell>
          <cell r="E359" t="str">
            <v>Spread Yield</v>
          </cell>
          <cell r="F359" t="str">
            <v>SP-Corporate IG Other</v>
          </cell>
          <cell r="G359" t="str">
            <v>SP-Spread Corporate</v>
          </cell>
          <cell r="H359" t="str">
            <v>SPREADS</v>
          </cell>
          <cell r="I359" t="str">
            <v>Corporate IG Other - Industry</v>
          </cell>
        </row>
        <row r="360">
          <cell r="A360" t="str">
            <v>ALL_CORP_FIN_BBB_5YR</v>
          </cell>
          <cell r="B360" t="str">
            <v>Non$ FIN BBB 5Y</v>
          </cell>
          <cell r="C360" t="str">
            <v>BRS_GOLD__5_SPREADS:BRS_GOLD__4_CORP:BRS_GOLD__1_CORP:ALL_CORP_FIN_BBB_5YR</v>
          </cell>
          <cell r="D360" t="str">
            <v>Spread Duration</v>
          </cell>
          <cell r="E360" t="str">
            <v>Spread Yield</v>
          </cell>
          <cell r="F360" t="str">
            <v>SP-Corporate IG Other</v>
          </cell>
          <cell r="G360" t="str">
            <v>SP-Spread Corporate</v>
          </cell>
          <cell r="H360" t="str">
            <v>SPREADS</v>
          </cell>
          <cell r="I360" t="str">
            <v>Corporate IG Other - Industry</v>
          </cell>
        </row>
        <row r="361">
          <cell r="A361" t="str">
            <v>ALL_CORP_FIN_BBB_10YR</v>
          </cell>
          <cell r="B361" t="str">
            <v>Non$ FIN BBB 10Y</v>
          </cell>
          <cell r="C361" t="str">
            <v>BRS_GOLD__5_SPREADS:BRS_GOLD__4_CORP:BRS_GOLD__1_CORP:ALL_CORP_FIN_BBB_10YR</v>
          </cell>
          <cell r="D361" t="str">
            <v>Spread Duration</v>
          </cell>
          <cell r="E361" t="str">
            <v>Spread Yield</v>
          </cell>
          <cell r="F361" t="str">
            <v>SP-Corporate IG Other</v>
          </cell>
          <cell r="G361" t="str">
            <v>SP-Spread Corporate</v>
          </cell>
          <cell r="H361" t="str">
            <v>SPREADS</v>
          </cell>
          <cell r="I361" t="str">
            <v>Corporate IG Other - Industry</v>
          </cell>
        </row>
        <row r="362">
          <cell r="A362" t="str">
            <v>ALL_CORP_FIN_BBB_30YR</v>
          </cell>
          <cell r="B362" t="str">
            <v>Non$ FIN BBB 30Y</v>
          </cell>
          <cell r="C362" t="str">
            <v>BRS_GOLD__5_SPREADS:BRS_GOLD__4_CORP:BRS_GOLD__1_CORP:ALL_CORP_FIN_BBB_30YR</v>
          </cell>
          <cell r="D362" t="str">
            <v>Spread Duration</v>
          </cell>
          <cell r="E362" t="str">
            <v>Spread Yield</v>
          </cell>
          <cell r="F362" t="str">
            <v>SP-Corporate IG Other</v>
          </cell>
          <cell r="G362" t="str">
            <v>SP-Spread Corporate</v>
          </cell>
          <cell r="H362" t="str">
            <v>SPREADS</v>
          </cell>
          <cell r="I362" t="str">
            <v>Corporate IG Other - Industry</v>
          </cell>
        </row>
        <row r="363">
          <cell r="A363" t="str">
            <v>ALL_CORP_IND_BBB_2YR</v>
          </cell>
          <cell r="B363" t="str">
            <v>Non$ IND BBB 2Y</v>
          </cell>
          <cell r="C363" t="str">
            <v>BRS_GOLD__5_SPREADS:BRS_GOLD__4_CORP:BRS_GOLD__1_CORP:ALL_CORP_IND_BBB_2YR</v>
          </cell>
          <cell r="D363" t="str">
            <v>Spread Duration</v>
          </cell>
          <cell r="E363" t="str">
            <v>Spread Yield</v>
          </cell>
          <cell r="F363" t="str">
            <v>SP-Corporate IG Other</v>
          </cell>
          <cell r="G363" t="str">
            <v>SP-Spread Corporate</v>
          </cell>
          <cell r="H363" t="str">
            <v>SPREADS</v>
          </cell>
          <cell r="I363" t="str">
            <v>Corporate IG Other - Industry</v>
          </cell>
        </row>
        <row r="364">
          <cell r="A364" t="str">
            <v>ALL_CORP_IND_BBB_5YR</v>
          </cell>
          <cell r="B364" t="str">
            <v>Non$ IND BBB 5Y</v>
          </cell>
          <cell r="C364" t="str">
            <v>BRS_GOLD__5_SPREADS:BRS_GOLD__4_CORP:BRS_GOLD__1_CORP:ALL_CORP_IND_BBB_5YR</v>
          </cell>
          <cell r="D364" t="str">
            <v>Spread Duration</v>
          </cell>
          <cell r="E364" t="str">
            <v>Spread Yield</v>
          </cell>
          <cell r="F364" t="str">
            <v>SP-Corporate IG Other</v>
          </cell>
          <cell r="G364" t="str">
            <v>SP-Spread Corporate</v>
          </cell>
          <cell r="H364" t="str">
            <v>SPREADS</v>
          </cell>
          <cell r="I364" t="str">
            <v>Corporate IG Other - Industry</v>
          </cell>
        </row>
        <row r="365">
          <cell r="A365" t="str">
            <v>ALL_CORP_IND_BBB_10YR</v>
          </cell>
          <cell r="B365" t="str">
            <v>Non$ IND BBB 10Y</v>
          </cell>
          <cell r="C365" t="str">
            <v>BRS_GOLD__5_SPREADS:BRS_GOLD__4_CORP:BRS_GOLD__1_CORP:ALL_CORP_IND_BBB_10YR</v>
          </cell>
          <cell r="D365" t="str">
            <v>Spread Duration</v>
          </cell>
          <cell r="E365" t="str">
            <v>Spread Yield</v>
          </cell>
          <cell r="F365" t="str">
            <v>SP-Corporate IG Other</v>
          </cell>
          <cell r="G365" t="str">
            <v>SP-Spread Corporate</v>
          </cell>
          <cell r="H365" t="str">
            <v>SPREADS</v>
          </cell>
          <cell r="I365" t="str">
            <v>Corporate IG Other - Industry</v>
          </cell>
        </row>
        <row r="366">
          <cell r="A366" t="str">
            <v>ALL_CORP_IND_BBB_30YR</v>
          </cell>
          <cell r="B366" t="str">
            <v>Non$ IND BBB 30Y</v>
          </cell>
          <cell r="C366" t="str">
            <v>BRS_GOLD__5_SPREADS:BRS_GOLD__4_CORP:BRS_GOLD__1_CORP:ALL_CORP_IND_BBB_30YR</v>
          </cell>
          <cell r="D366" t="str">
            <v>Spread Duration</v>
          </cell>
          <cell r="E366" t="str">
            <v>Spread Yield</v>
          </cell>
          <cell r="F366" t="str">
            <v>SP-Corporate IG Other</v>
          </cell>
          <cell r="G366" t="str">
            <v>SP-Spread Corporate</v>
          </cell>
          <cell r="H366" t="str">
            <v>SPREADS</v>
          </cell>
          <cell r="I366" t="str">
            <v>Corporate IG Other - Industry</v>
          </cell>
        </row>
        <row r="367">
          <cell r="A367" t="str">
            <v>ALL_CORP_UTL_BBB_2YR</v>
          </cell>
          <cell r="B367" t="str">
            <v>Non$ UTL BBB 2Y</v>
          </cell>
          <cell r="C367" t="str">
            <v>BRS_GOLD__5_SPREADS:BRS_GOLD__4_CORP:BRS_GOLD__1_CORP:ALL_CORP_UTL_BBB_2YR</v>
          </cell>
          <cell r="D367" t="str">
            <v>Spread Duration</v>
          </cell>
          <cell r="E367" t="str">
            <v>Spread Yield</v>
          </cell>
          <cell r="F367" t="str">
            <v>SP-Corporate IG Other</v>
          </cell>
          <cell r="G367" t="str">
            <v>SP-Spread Corporate</v>
          </cell>
          <cell r="H367" t="str">
            <v>SPREADS</v>
          </cell>
          <cell r="I367" t="str">
            <v>Corporate IG Other - Industry</v>
          </cell>
        </row>
        <row r="368">
          <cell r="A368" t="str">
            <v>ALL_CORP_UTL_BBB_5YR</v>
          </cell>
          <cell r="B368" t="str">
            <v>Non$ UTL BBB 5Y</v>
          </cell>
          <cell r="C368" t="str">
            <v>BRS_GOLD__5_SPREADS:BRS_GOLD__4_CORP:BRS_GOLD__1_CORP:ALL_CORP_UTL_BBB_5YR</v>
          </cell>
          <cell r="D368" t="str">
            <v>Spread Duration</v>
          </cell>
          <cell r="E368" t="str">
            <v>Spread Yield</v>
          </cell>
          <cell r="F368" t="str">
            <v>SP-Corporate IG Other</v>
          </cell>
          <cell r="G368" t="str">
            <v>SP-Spread Corporate</v>
          </cell>
          <cell r="H368" t="str">
            <v>SPREADS</v>
          </cell>
          <cell r="I368" t="str">
            <v>Corporate IG Other - Industry</v>
          </cell>
        </row>
        <row r="369">
          <cell r="A369" t="str">
            <v>ALL_CORP_UTL_BBB_10YR</v>
          </cell>
          <cell r="B369" t="str">
            <v>Non$ UTL BBB 10Y</v>
          </cell>
          <cell r="C369" t="str">
            <v>BRS_GOLD__5_SPREADS:BRS_GOLD__4_CORP:BRS_GOLD__1_CORP:ALL_CORP_UTL_BBB_10YR</v>
          </cell>
          <cell r="D369" t="str">
            <v>Spread Duration</v>
          </cell>
          <cell r="E369" t="str">
            <v>Spread Yield</v>
          </cell>
          <cell r="F369" t="str">
            <v>SP-Corporate IG Other</v>
          </cell>
          <cell r="G369" t="str">
            <v>SP-Spread Corporate</v>
          </cell>
          <cell r="H369" t="str">
            <v>SPREADS</v>
          </cell>
          <cell r="I369" t="str">
            <v>Corporate IG Other - Industry</v>
          </cell>
        </row>
        <row r="370">
          <cell r="A370" t="str">
            <v>ALL_CORP_UTL_BBB_30YR</v>
          </cell>
          <cell r="B370" t="str">
            <v>Non$ UTL BBB 30Y</v>
          </cell>
          <cell r="C370" t="str">
            <v>BRS_GOLD__5_SPREADS:BRS_GOLD__4_CORP:BRS_GOLD__1_CORP:ALL_CORP_UTL_BBB_30YR</v>
          </cell>
          <cell r="D370" t="str">
            <v>Spread Duration</v>
          </cell>
          <cell r="E370" t="str">
            <v>Spread Yield</v>
          </cell>
          <cell r="F370" t="str">
            <v>SP-Corporate IG Other</v>
          </cell>
          <cell r="G370" t="str">
            <v>SP-Spread Corporate</v>
          </cell>
          <cell r="H370" t="str">
            <v>SPREADS</v>
          </cell>
          <cell r="I370" t="str">
            <v>Corporate IG Other - Industry</v>
          </cell>
        </row>
        <row r="371">
          <cell r="A371" t="str">
            <v>ALL_CORP_YNK_BBB_2YR</v>
          </cell>
          <cell r="B371" t="str">
            <v>Non$ YNK BBB 2Y</v>
          </cell>
          <cell r="C371" t="str">
            <v>BRS_GOLD__5_SPREADS:BRS_GOLD__4_CORP:BRS_GOLD__1_CORP:ALL_CORP_YNK_BBB_2YR</v>
          </cell>
          <cell r="D371" t="str">
            <v>Spread Duration</v>
          </cell>
          <cell r="E371" t="str">
            <v>Spread Yield</v>
          </cell>
          <cell r="F371" t="str">
            <v>SP-Corporate IG Other</v>
          </cell>
          <cell r="G371" t="str">
            <v>SP-Spread Corporate</v>
          </cell>
          <cell r="H371" t="str">
            <v>SPREADS</v>
          </cell>
          <cell r="I371" t="str">
            <v>Corporate IG Other - Yankee</v>
          </cell>
        </row>
        <row r="372">
          <cell r="A372" t="str">
            <v>ALL_CORP_YNK_BBB_5YR</v>
          </cell>
          <cell r="B372" t="str">
            <v>Non$ YNK BBB 5Y</v>
          </cell>
          <cell r="C372" t="str">
            <v>BRS_GOLD__5_SPREADS:BRS_GOLD__4_CORP:BRS_GOLD__1_CORP:ALL_CORP_YNK_BBB_5YR</v>
          </cell>
          <cell r="D372" t="str">
            <v>Spread Duration</v>
          </cell>
          <cell r="E372" t="str">
            <v>Spread Yield</v>
          </cell>
          <cell r="F372" t="str">
            <v>SP-Corporate IG Other</v>
          </cell>
          <cell r="G372" t="str">
            <v>SP-Spread Corporate</v>
          </cell>
          <cell r="H372" t="str">
            <v>SPREADS</v>
          </cell>
          <cell r="I372" t="str">
            <v>Corporate IG Other - Yankee</v>
          </cell>
        </row>
        <row r="373">
          <cell r="A373" t="str">
            <v>ALL_CORP_YNK_BBB_10YR</v>
          </cell>
          <cell r="B373" t="str">
            <v>Non$ YNK BBB 10Y</v>
          </cell>
          <cell r="C373" t="str">
            <v>BRS_GOLD__5_SPREADS:BRS_GOLD__4_CORP:BRS_GOLD__1_CORP:ALL_CORP_YNK_BBB_10YR</v>
          </cell>
          <cell r="D373" t="str">
            <v>Spread Duration</v>
          </cell>
          <cell r="E373" t="str">
            <v>Spread Yield</v>
          </cell>
          <cell r="F373" t="str">
            <v>SP-Corporate IG Other</v>
          </cell>
          <cell r="G373" t="str">
            <v>SP-Spread Corporate</v>
          </cell>
          <cell r="H373" t="str">
            <v>SPREADS</v>
          </cell>
          <cell r="I373" t="str">
            <v>Corporate IG Other - Yankee</v>
          </cell>
        </row>
        <row r="374">
          <cell r="A374" t="str">
            <v>ALL_CORP_YNK_BBB_30YR</v>
          </cell>
          <cell r="B374" t="str">
            <v>Non$ YNK BBB 30Y</v>
          </cell>
          <cell r="C374" t="str">
            <v>BRS_GOLD__5_SPREADS:BRS_GOLD__4_CORP:BRS_GOLD__1_CORP:ALL_CORP_YNK_BBB_30YR</v>
          </cell>
          <cell r="D374" t="str">
            <v>Spread Duration</v>
          </cell>
          <cell r="E374" t="str">
            <v>Spread Yield</v>
          </cell>
          <cell r="F374" t="str">
            <v>SP-Corporate IG Other</v>
          </cell>
          <cell r="G374" t="str">
            <v>SP-Spread Corporate</v>
          </cell>
          <cell r="H374" t="str">
            <v>SPREADS</v>
          </cell>
          <cell r="I374" t="str">
            <v>Corporate IG Other - Yankee</v>
          </cell>
        </row>
        <row r="375">
          <cell r="A375" t="str">
            <v>USD_CORP_AGG_5YN</v>
          </cell>
          <cell r="B375" t="str">
            <v>CDX.NA.IG.5</v>
          </cell>
          <cell r="C375" t="str">
            <v>BRS_GOLD__5_SPREADS:BRS_GOLD__4_CORP:BRS_GOLD__3_CSIG:CDX_IG:USD_CORP_AGG_5YN</v>
          </cell>
          <cell r="D375" t="str">
            <v>Spread Duration</v>
          </cell>
          <cell r="E375" t="str">
            <v>Spread Yield (DxS)</v>
          </cell>
          <cell r="F375" t="str">
            <v>SP-Corporate IG USD</v>
          </cell>
          <cell r="G375" t="str">
            <v>SP-Spread Corporate</v>
          </cell>
          <cell r="H375" t="str">
            <v>SPREADS</v>
          </cell>
          <cell r="I375" t="str">
            <v>Corporate IG USD - CDX</v>
          </cell>
        </row>
        <row r="376">
          <cell r="A376" t="str">
            <v>USD_CORP_AGG_10YN</v>
          </cell>
          <cell r="B376" t="str">
            <v>CDX.NA.IG.10</v>
          </cell>
          <cell r="C376" t="str">
            <v>BRS_GOLD__5_SPREADS:BRS_GOLD__4_CORP:BRS_GOLD__3_CSIG:CDX_IG:USD_CORP_AGG_10YN</v>
          </cell>
          <cell r="D376" t="str">
            <v>Spread Duration</v>
          </cell>
          <cell r="E376" t="str">
            <v>Spread Yield (DxS)</v>
          </cell>
          <cell r="F376" t="str">
            <v>SP-Corporate IG USD</v>
          </cell>
          <cell r="G376" t="str">
            <v>SP-Spread Corporate</v>
          </cell>
          <cell r="H376" t="str">
            <v>SPREADS</v>
          </cell>
          <cell r="I376" t="str">
            <v>Corporate IG USD - CDX</v>
          </cell>
        </row>
        <row r="377">
          <cell r="A377" t="str">
            <v>EUR_CORP_AGG_10YN</v>
          </cell>
          <cell r="B377" t="str">
            <v>ITRAXX.EU.10</v>
          </cell>
          <cell r="C377" t="str">
            <v>BRS_GOLD__5_SPREADS:BRS_GOLD__4_CORP:BRS_GOLD__3_CSIG:CDX_IG:EUR_CORP_AGG_10YN</v>
          </cell>
          <cell r="D377" t="str">
            <v>Spread Duration</v>
          </cell>
          <cell r="E377" t="str">
            <v>Spread Yield (DxS)</v>
          </cell>
          <cell r="F377" t="str">
            <v>SP-Corporate IG EUR</v>
          </cell>
          <cell r="G377" t="str">
            <v>SP-Spread Corporate</v>
          </cell>
          <cell r="H377" t="str">
            <v>SPREADS</v>
          </cell>
          <cell r="I377" t="str">
            <v>Corporate IG EUR - iTraxx</v>
          </cell>
        </row>
        <row r="378">
          <cell r="A378" t="str">
            <v>EUR_CORP_AGG_5YN</v>
          </cell>
          <cell r="B378" t="str">
            <v>ITRAXX.EU.5</v>
          </cell>
          <cell r="C378" t="str">
            <v>BRS_GOLD__5_SPREADS:BRS_GOLD__4_CORP:BRS_GOLD__3_CSIG:CDX_IG:EUR_CORP_AGG_5YN</v>
          </cell>
          <cell r="D378" t="str">
            <v>Spread Duration</v>
          </cell>
          <cell r="E378" t="str">
            <v>Spread Yield (DxS)</v>
          </cell>
          <cell r="F378" t="str">
            <v>SP-Corporate IG EUR</v>
          </cell>
          <cell r="G378" t="str">
            <v>SP-Spread Corporate</v>
          </cell>
          <cell r="H378" t="str">
            <v>SPREADS</v>
          </cell>
          <cell r="I378" t="str">
            <v>Corporate IG EUR - iTraxx</v>
          </cell>
        </row>
        <row r="379">
          <cell r="A379" t="str">
            <v>JPY_CORP_AGG_10YN</v>
          </cell>
          <cell r="B379" t="str">
            <v>ITRAXX.JP.10</v>
          </cell>
          <cell r="C379" t="str">
            <v>BRS_GOLD__5_SPREADS:BRS_GOLD__4_CORP:BRS_GOLD__3_CSIG:CDX_IG:JPY_CORP_AGG_10YN</v>
          </cell>
          <cell r="D379" t="str">
            <v>Spread Duration</v>
          </cell>
          <cell r="E379" t="str">
            <v>Spread Yield (DxS)</v>
          </cell>
          <cell r="F379" t="str">
            <v>SP-Corporate IG Other</v>
          </cell>
          <cell r="G379" t="str">
            <v>SP-Spread Corporate</v>
          </cell>
          <cell r="H379" t="str">
            <v>SPREADS</v>
          </cell>
          <cell r="I379" t="str">
            <v>Corporate IG Other - iTraxx</v>
          </cell>
        </row>
        <row r="380">
          <cell r="A380" t="str">
            <v>JPY_CORP_AGG_5YN</v>
          </cell>
          <cell r="B380" t="str">
            <v>ITRAXX.JP.5</v>
          </cell>
          <cell r="C380" t="str">
            <v>BRS_GOLD__5_SPREADS:BRS_GOLD__4_CORP:BRS_GOLD__3_CSIG:CDX_IG:JPY_CORP_AGG_5YN</v>
          </cell>
          <cell r="D380" t="str">
            <v>Spread Duration</v>
          </cell>
          <cell r="E380" t="str">
            <v>Spread Yield (DxS)</v>
          </cell>
          <cell r="F380" t="str">
            <v>SP-Corporate IG Other</v>
          </cell>
          <cell r="G380" t="str">
            <v>SP-Spread Corporate</v>
          </cell>
          <cell r="H380" t="str">
            <v>SPREADS</v>
          </cell>
          <cell r="I380" t="str">
            <v>Corporate IG Other - iTraxx</v>
          </cell>
        </row>
        <row r="381">
          <cell r="A381" t="str">
            <v>CDX_NA_IG</v>
          </cell>
          <cell r="B381" t="str">
            <v>CDX.NA.IG.5</v>
          </cell>
          <cell r="C381" t="str">
            <v>BRS_GOLD__5_SPREADS:BRS_GOLD__4_CORP:BRS_GOLD__3_CSIG:CDX_IG:CDX_NA_IG</v>
          </cell>
          <cell r="D381" t="str">
            <v>Spread Duration</v>
          </cell>
          <cell r="E381" t="str">
            <v>Spread Yield</v>
          </cell>
          <cell r="F381" t="str">
            <v>SP-Corporate IG Other</v>
          </cell>
          <cell r="G381" t="str">
            <v>SP-Spread Corporate</v>
          </cell>
          <cell r="H381" t="str">
            <v>SPREADS</v>
          </cell>
          <cell r="I381" t="str">
            <v>Corporate IG Other - CDX</v>
          </cell>
        </row>
        <row r="382">
          <cell r="A382" t="str">
            <v>ITRAXX_ASIA_XJ_IG</v>
          </cell>
          <cell r="B382" t="str">
            <v>ITRAXX.ASIA.XJ.IG.5</v>
          </cell>
          <cell r="C382" t="str">
            <v>BRS_GOLD__5_SPREADS:BRS_GOLD__4_CORP:BRS_GOLD__3_CSIG:CDX_IG:ITRAXX_ASIA_XJ_IG</v>
          </cell>
          <cell r="D382" t="str">
            <v>Spread Duration</v>
          </cell>
          <cell r="E382" t="str">
            <v>Spread Yield</v>
          </cell>
          <cell r="F382" t="str">
            <v>SP-Corporate IG Other</v>
          </cell>
          <cell r="G382" t="str">
            <v>SP-Spread Corporate</v>
          </cell>
          <cell r="H382" t="str">
            <v>SPREADS</v>
          </cell>
          <cell r="I382" t="str">
            <v>Corporate IG Other - iTraxx</v>
          </cell>
        </row>
        <row r="383">
          <cell r="A383" t="str">
            <v>ITRAXX_AUST</v>
          </cell>
          <cell r="B383" t="str">
            <v>ITRAXX.AUST.5</v>
          </cell>
          <cell r="C383" t="str">
            <v>BRS_GOLD__5_SPREADS:BRS_GOLD__4_CORP:BRS_GOLD__3_CSIG:CDX_IG:ITRAXX_AUST</v>
          </cell>
          <cell r="D383" t="str">
            <v>Spread Duration</v>
          </cell>
          <cell r="E383" t="str">
            <v>Spread Yield</v>
          </cell>
          <cell r="F383" t="str">
            <v>SP-Corporate IG Other</v>
          </cell>
          <cell r="G383" t="str">
            <v>SP-Spread Corporate</v>
          </cell>
          <cell r="H383" t="str">
            <v>SPREADS</v>
          </cell>
          <cell r="I383" t="str">
            <v>Corporate IG Other - iTraxx</v>
          </cell>
        </row>
        <row r="384">
          <cell r="A384" t="str">
            <v>ITRAXX_JPN</v>
          </cell>
          <cell r="B384" t="str">
            <v>ITRAXX.JPN.5</v>
          </cell>
          <cell r="C384" t="str">
            <v>BRS_GOLD__5_SPREADS:BRS_GOLD__4_CORP:BRS_GOLD__3_CSIG:CDX_IG:ITRAXX_JPN</v>
          </cell>
          <cell r="D384" t="str">
            <v>Spread Duration</v>
          </cell>
          <cell r="E384" t="str">
            <v>Spread Yield</v>
          </cell>
          <cell r="F384" t="str">
            <v>SP-Corporate IG Other</v>
          </cell>
          <cell r="G384" t="str">
            <v>SP-Spread Corporate</v>
          </cell>
          <cell r="H384" t="str">
            <v>SPREADS</v>
          </cell>
          <cell r="I384" t="str">
            <v>Corporate IG Other - iTraxx</v>
          </cell>
        </row>
        <row r="385">
          <cell r="A385" t="str">
            <v>ITRAXX_EUR</v>
          </cell>
          <cell r="B385" t="str">
            <v>ITRAXX.EUR.5</v>
          </cell>
          <cell r="C385" t="str">
            <v>BRS_GOLD__5_SPREADS:BRS_GOLD__4_CORP:BRS_GOLD__3_CSIG:CDX_IG:ITRAXX_EUR</v>
          </cell>
          <cell r="D385" t="str">
            <v>Spread Duration</v>
          </cell>
          <cell r="E385" t="str">
            <v>Spread Yield</v>
          </cell>
          <cell r="F385" t="str">
            <v>SP-Corporate IG EUR</v>
          </cell>
          <cell r="G385" t="str">
            <v>SP-Spread Corporate</v>
          </cell>
          <cell r="H385" t="str">
            <v>SPREADS</v>
          </cell>
          <cell r="I385" t="str">
            <v>Corporate IG EUR - iTraxx</v>
          </cell>
        </row>
        <row r="386">
          <cell r="A386" t="str">
            <v>ITRAXX_FINSR</v>
          </cell>
          <cell r="B386" t="str">
            <v>ITRAXX.FINSR.5</v>
          </cell>
          <cell r="C386" t="str">
            <v>BRS_GOLD__5_SPREADS:BRS_GOLD__4_CORP:BRS_GOLD__3_CSIG:CDX_IG:ITRAXX_FINSR</v>
          </cell>
          <cell r="D386" t="str">
            <v>Spread Duration</v>
          </cell>
          <cell r="E386" t="str">
            <v>Spread Yield</v>
          </cell>
          <cell r="F386" t="str">
            <v>SP-Corporate IG Other</v>
          </cell>
          <cell r="G386" t="str">
            <v>SP-Spread Corporate</v>
          </cell>
          <cell r="H386" t="str">
            <v>SPREADS</v>
          </cell>
          <cell r="I386" t="str">
            <v>Corporate IG Other - iTraxx</v>
          </cell>
        </row>
        <row r="387">
          <cell r="A387" t="str">
            <v>ITRAXX_FINSUB</v>
          </cell>
          <cell r="B387" t="str">
            <v>ITRAXX.FINSUB.5</v>
          </cell>
          <cell r="C387" t="str">
            <v>BRS_GOLD__5_SPREADS:BRS_GOLD__4_CORP:BRS_GOLD__3_CSIG:CDX_IG:ITRAXX_FINSUB</v>
          </cell>
          <cell r="D387" t="str">
            <v>Spread Duration</v>
          </cell>
          <cell r="E387" t="str">
            <v>Spread Yield</v>
          </cell>
          <cell r="F387" t="str">
            <v>SP-Corporate IG Other</v>
          </cell>
          <cell r="G387" t="str">
            <v>SP-Spread Corporate</v>
          </cell>
          <cell r="H387" t="str">
            <v>SPREADS</v>
          </cell>
          <cell r="I387" t="str">
            <v>Corporate IG Other - iTraxx</v>
          </cell>
        </row>
        <row r="388">
          <cell r="A388" t="str">
            <v>USD_DJIG_5Y</v>
          </cell>
          <cell r="B388" t="str">
            <v>CDX.NA.IG.5</v>
          </cell>
          <cell r="C388" t="str">
            <v>BRS_GOLD__5_SPREADS:BRS_GOLD__4_CORP:BRS_GOLD__3_CSIG:CDX_IG:USD_DJIG_5Y</v>
          </cell>
          <cell r="D388" t="str">
            <v>Spread Duration</v>
          </cell>
          <cell r="E388" t="str">
            <v>Spread Yield (DxS)</v>
          </cell>
          <cell r="F388" t="str">
            <v>SP-Corporate IG USD</v>
          </cell>
          <cell r="G388" t="str">
            <v>SP-Spread Corporate</v>
          </cell>
          <cell r="H388" t="str">
            <v>SPREADS</v>
          </cell>
          <cell r="I388" t="str">
            <v>Corporate IG USD - CDX</v>
          </cell>
        </row>
        <row r="389">
          <cell r="A389" t="str">
            <v>USD_DJIG_10Y</v>
          </cell>
          <cell r="B389" t="str">
            <v>CDX.NA.IG.10</v>
          </cell>
          <cell r="C389" t="str">
            <v>BRS_GOLD__5_SPREADS:BRS_GOLD__4_CORP:BRS_GOLD__3_CSIG:CDX_IG:USD_DJIG_10Y</v>
          </cell>
          <cell r="D389" t="str">
            <v>Spread Duration</v>
          </cell>
          <cell r="E389" t="str">
            <v>Spread Yield (DxS)</v>
          </cell>
          <cell r="F389" t="str">
            <v>SP-Corporate IG USD</v>
          </cell>
          <cell r="G389" t="str">
            <v>SP-Spread Corporate</v>
          </cell>
          <cell r="H389" t="str">
            <v>SPREADS</v>
          </cell>
          <cell r="I389" t="str">
            <v>Corporate IG USD - CDX</v>
          </cell>
        </row>
        <row r="390">
          <cell r="A390" t="str">
            <v>USD_DJHV_5Y</v>
          </cell>
          <cell r="B390" t="str">
            <v>CDX.NA.IG.HVOL.5</v>
          </cell>
          <cell r="C390" t="str">
            <v>BRS_GOLD__5_SPREADS:BRS_GOLD__4_CORP:BRS_GOLD__3_CSIG:CDX_IG:USD_DJHV_5Y</v>
          </cell>
          <cell r="D390" t="str">
            <v>Spread Duration</v>
          </cell>
          <cell r="E390" t="str">
            <v>Spread Yield (DxS)</v>
          </cell>
          <cell r="F390" t="str">
            <v>SP-Corporate IG USD</v>
          </cell>
          <cell r="G390" t="str">
            <v>SP-Spread Corporate</v>
          </cell>
          <cell r="H390" t="str">
            <v>SPREADS</v>
          </cell>
          <cell r="I390" t="str">
            <v>Corporate IG USD - CDX</v>
          </cell>
        </row>
        <row r="391">
          <cell r="A391" t="str">
            <v>USD_DJHV_10Y</v>
          </cell>
          <cell r="B391" t="str">
            <v>CDX.NA.IG.HVOL.10</v>
          </cell>
          <cell r="C391" t="str">
            <v>BRS_GOLD__5_SPREADS:BRS_GOLD__4_CORP:BRS_GOLD__3_CSIG:CDX_IG:USD_DJHV_10Y</v>
          </cell>
          <cell r="D391" t="str">
            <v>Spread Duration</v>
          </cell>
          <cell r="E391" t="str">
            <v>Spread Yield (DxS)</v>
          </cell>
          <cell r="F391" t="str">
            <v>SP-Corporate IG USD</v>
          </cell>
          <cell r="G391" t="str">
            <v>SP-Spread Corporate</v>
          </cell>
          <cell r="H391" t="str">
            <v>SPREADS</v>
          </cell>
          <cell r="I391" t="str">
            <v>Corporate IG USD - CDX</v>
          </cell>
        </row>
        <row r="392">
          <cell r="A392" t="str">
            <v>USD_DJFN_5Y</v>
          </cell>
          <cell r="B392" t="str">
            <v>CDX.NA.IG.FIN.5</v>
          </cell>
          <cell r="C392" t="str">
            <v>BRS_GOLD__5_SPREADS:BRS_GOLD__4_CORP:BRS_GOLD__3_CSIG:CDX_IG:USD_DJFN_5Y</v>
          </cell>
          <cell r="D392" t="str">
            <v>Spread Duration</v>
          </cell>
          <cell r="E392" t="str">
            <v>Spread Yield (DxS)</v>
          </cell>
          <cell r="F392" t="str">
            <v>SP-Corporate IG USD</v>
          </cell>
          <cell r="G392" t="str">
            <v>SP-Spread Corporate</v>
          </cell>
          <cell r="H392" t="str">
            <v>SPREADS</v>
          </cell>
          <cell r="I392" t="str">
            <v>Corporate IG USD - CDX</v>
          </cell>
        </row>
        <row r="393">
          <cell r="A393" t="str">
            <v>USD_DJFN_10Y</v>
          </cell>
          <cell r="B393" t="str">
            <v>CDX.NA.IG.FIN.10</v>
          </cell>
          <cell r="C393" t="str">
            <v>BRS_GOLD__5_SPREADS:BRS_GOLD__4_CORP:BRS_GOLD__3_CSIG:CDX_IG:USD_DJFN_10Y</v>
          </cell>
          <cell r="D393" t="str">
            <v>Spread Duration</v>
          </cell>
          <cell r="E393" t="str">
            <v>Spread Yield (DxS)</v>
          </cell>
          <cell r="F393" t="str">
            <v>SP-Corporate IG USD</v>
          </cell>
          <cell r="G393" t="str">
            <v>SP-Spread Corporate</v>
          </cell>
          <cell r="H393" t="str">
            <v>SPREADS</v>
          </cell>
          <cell r="I393" t="str">
            <v>Corporate IG USD - CDX</v>
          </cell>
        </row>
        <row r="394">
          <cell r="A394" t="str">
            <v>USD_DJIN_5Y</v>
          </cell>
          <cell r="B394" t="str">
            <v>CDX.NA.IG.INDU.5</v>
          </cell>
          <cell r="C394" t="str">
            <v>BRS_GOLD__5_SPREADS:BRS_GOLD__4_CORP:BRS_GOLD__3_CSIG:CDX_IG:USD_DJIN_5Y</v>
          </cell>
          <cell r="D394" t="str">
            <v>Spread Duration</v>
          </cell>
          <cell r="E394" t="str">
            <v>Spread Yield (DxS)</v>
          </cell>
          <cell r="F394" t="str">
            <v>SP-Corporate IG USD</v>
          </cell>
          <cell r="G394" t="str">
            <v>SP-Spread Corporate</v>
          </cell>
          <cell r="H394" t="str">
            <v>SPREADS</v>
          </cell>
          <cell r="I394" t="str">
            <v>Corporate IG USD - CDX</v>
          </cell>
        </row>
        <row r="395">
          <cell r="A395" t="str">
            <v>USD_DJIN_10Y</v>
          </cell>
          <cell r="B395" t="str">
            <v>CDX.NA.IG.INDU.10</v>
          </cell>
          <cell r="C395" t="str">
            <v>BRS_GOLD__5_SPREADS:BRS_GOLD__4_CORP:BRS_GOLD__3_CSIG:CDX_IG:USD_DJIN_10Y</v>
          </cell>
          <cell r="D395" t="str">
            <v>Spread Duration</v>
          </cell>
          <cell r="E395" t="str">
            <v>Spread Yield (DxS)</v>
          </cell>
          <cell r="F395" t="str">
            <v>SP-Corporate IG USD</v>
          </cell>
          <cell r="G395" t="str">
            <v>SP-Spread Corporate</v>
          </cell>
          <cell r="H395" t="str">
            <v>SPREADS</v>
          </cell>
          <cell r="I395" t="str">
            <v>Corporate IG USD - CDX</v>
          </cell>
        </row>
        <row r="396">
          <cell r="A396" t="str">
            <v>USD_DJCN_5Y</v>
          </cell>
          <cell r="B396" t="str">
            <v>CDX.NA.IG.CONS.5</v>
          </cell>
          <cell r="C396" t="str">
            <v>BRS_GOLD__5_SPREADS:BRS_GOLD__4_CORP:BRS_GOLD__3_CSIG:CDX_IG:USD_DJCN_5Y</v>
          </cell>
          <cell r="D396" t="str">
            <v>Spread Duration</v>
          </cell>
          <cell r="E396" t="str">
            <v>Spread Yield (DxS)</v>
          </cell>
          <cell r="F396" t="str">
            <v>SP-Corporate IG USD</v>
          </cell>
          <cell r="G396" t="str">
            <v>SP-Spread Corporate</v>
          </cell>
          <cell r="H396" t="str">
            <v>SPREADS</v>
          </cell>
          <cell r="I396" t="str">
            <v>Corporate IG USD - CDX</v>
          </cell>
        </row>
        <row r="397">
          <cell r="A397" t="str">
            <v>USD_DJCN_10Y</v>
          </cell>
          <cell r="B397" t="str">
            <v>CDX.NA.IG.CONS.10</v>
          </cell>
          <cell r="C397" t="str">
            <v>BRS_GOLD__5_SPREADS:BRS_GOLD__4_CORP:BRS_GOLD__3_CSIG:CDX_IG:USD_DJCN_10Y</v>
          </cell>
          <cell r="D397" t="str">
            <v>Spread Duration</v>
          </cell>
          <cell r="E397" t="str">
            <v>Spread Yield (DxS)</v>
          </cell>
          <cell r="F397" t="str">
            <v>SP-Corporate IG USD</v>
          </cell>
          <cell r="G397" t="str">
            <v>SP-Spread Corporate</v>
          </cell>
          <cell r="H397" t="str">
            <v>SPREADS</v>
          </cell>
          <cell r="I397" t="str">
            <v>Corporate IG USD - CDX</v>
          </cell>
        </row>
        <row r="398">
          <cell r="A398" t="str">
            <v>USD_DJEN_5Y</v>
          </cell>
          <cell r="B398" t="str">
            <v>CDX.NA.IG.ENRG.5</v>
          </cell>
          <cell r="C398" t="str">
            <v>BRS_GOLD__5_SPREADS:BRS_GOLD__4_CORP:BRS_GOLD__3_CSIG:CDX_IG:USD_DJEN_5Y</v>
          </cell>
          <cell r="D398" t="str">
            <v>Spread Duration</v>
          </cell>
          <cell r="E398" t="str">
            <v>Spread Yield (DxS)</v>
          </cell>
          <cell r="F398" t="str">
            <v>SP-Corporate IG USD</v>
          </cell>
          <cell r="G398" t="str">
            <v>SP-Spread Corporate</v>
          </cell>
          <cell r="H398" t="str">
            <v>SPREADS</v>
          </cell>
          <cell r="I398" t="str">
            <v>Corporate IG USD - CDX</v>
          </cell>
        </row>
        <row r="399">
          <cell r="A399" t="str">
            <v>USD_DJEN_10Y</v>
          </cell>
          <cell r="B399" t="str">
            <v>CDX.NA.IG.ENRG.10</v>
          </cell>
          <cell r="C399" t="str">
            <v>BRS_GOLD__5_SPREADS:BRS_GOLD__4_CORP:BRS_GOLD__3_CSIG:CDX_IG:USD_DJEN_10Y</v>
          </cell>
          <cell r="D399" t="str">
            <v>Spread Duration</v>
          </cell>
          <cell r="E399" t="str">
            <v>Spread Yield (DxS)</v>
          </cell>
          <cell r="F399" t="str">
            <v>SP-Corporate IG USD</v>
          </cell>
          <cell r="G399" t="str">
            <v>SP-Spread Corporate</v>
          </cell>
          <cell r="H399" t="str">
            <v>SPREADS</v>
          </cell>
          <cell r="I399" t="str">
            <v>Corporate IG USD - CDX</v>
          </cell>
        </row>
        <row r="400">
          <cell r="A400" t="str">
            <v>USD_DJTM_5Y</v>
          </cell>
          <cell r="B400" t="str">
            <v>CDX.NA.IG.TMT.5</v>
          </cell>
          <cell r="C400" t="str">
            <v>BRS_GOLD__5_SPREADS:BRS_GOLD__4_CORP:BRS_GOLD__3_CSIG:CDX_IG:USD_DJTM_5Y</v>
          </cell>
          <cell r="D400" t="str">
            <v>Spread Duration</v>
          </cell>
          <cell r="E400" t="str">
            <v>Spread Yield (DxS)</v>
          </cell>
          <cell r="F400" t="str">
            <v>SP-Corporate IG USD</v>
          </cell>
          <cell r="G400" t="str">
            <v>SP-Spread Corporate</v>
          </cell>
          <cell r="H400" t="str">
            <v>SPREADS</v>
          </cell>
          <cell r="I400" t="str">
            <v>Corporate IG USD - CDX</v>
          </cell>
        </row>
        <row r="401">
          <cell r="A401" t="str">
            <v>USD_DJTM_10Y</v>
          </cell>
          <cell r="B401" t="str">
            <v>CDX.NA.IG.TMT.10</v>
          </cell>
          <cell r="C401" t="str">
            <v>BRS_GOLD__5_SPREADS:BRS_GOLD__4_CORP:BRS_GOLD__3_CSIG:CDX_IG:USD_DJTM_10Y</v>
          </cell>
          <cell r="D401" t="str">
            <v>Spread Duration</v>
          </cell>
          <cell r="E401" t="str">
            <v>Spread Yield (DxS)</v>
          </cell>
          <cell r="F401" t="str">
            <v>SP-Corporate IG USD</v>
          </cell>
          <cell r="G401" t="str">
            <v>SP-Spread Corporate</v>
          </cell>
          <cell r="H401" t="str">
            <v>SPREADS</v>
          </cell>
          <cell r="I401" t="str">
            <v>Corporate IG USD - CDX</v>
          </cell>
        </row>
        <row r="402">
          <cell r="A402" t="str">
            <v>EUR_ITEU_5Y</v>
          </cell>
          <cell r="B402" t="str">
            <v>ITRAXX.EUR.5</v>
          </cell>
          <cell r="C402" t="str">
            <v>BRS_GOLD__5_SPREADS:BRS_GOLD__4_CORP:BRS_GOLD__3_CSIG:CDX_IG:EUR_ITEU_5Y</v>
          </cell>
          <cell r="D402" t="str">
            <v>Spread Duration</v>
          </cell>
          <cell r="E402" t="str">
            <v>Spread Yield (DxS)</v>
          </cell>
          <cell r="F402" t="str">
            <v>SP-Corporate IG EUR</v>
          </cell>
          <cell r="G402" t="str">
            <v>SP-Spread Corporate</v>
          </cell>
          <cell r="H402" t="str">
            <v>SPREADS</v>
          </cell>
          <cell r="I402" t="str">
            <v>Corporate IG EUR - iTraxx</v>
          </cell>
        </row>
        <row r="403">
          <cell r="A403" t="str">
            <v>EUR_ITEU_10Y</v>
          </cell>
          <cell r="B403" t="str">
            <v>ITRAXX.EUR.10</v>
          </cell>
          <cell r="C403" t="str">
            <v>BRS_GOLD__5_SPREADS:BRS_GOLD__4_CORP:BRS_GOLD__3_CSIG:CDX_IG:EUR_ITEU_10Y</v>
          </cell>
          <cell r="D403" t="str">
            <v>Spread Duration</v>
          </cell>
          <cell r="E403" t="str">
            <v>Spread Yield (DxS)</v>
          </cell>
          <cell r="F403" t="str">
            <v>SP-Corporate IG EUR</v>
          </cell>
          <cell r="G403" t="str">
            <v>SP-Spread Corporate</v>
          </cell>
          <cell r="H403" t="str">
            <v>SPREADS</v>
          </cell>
          <cell r="I403" t="str">
            <v>Corporate IG EUR - iTraxx</v>
          </cell>
        </row>
        <row r="404">
          <cell r="A404" t="str">
            <v>EUR_ITSN_5Y</v>
          </cell>
          <cell r="B404" t="str">
            <v>ITRAXX.FINSR.5</v>
          </cell>
          <cell r="C404" t="str">
            <v>BRS_GOLD__5_SPREADS:BRS_GOLD__4_CORP:BRS_GOLD__3_CSIG:CDX_IG:EUR_ITSN_5Y</v>
          </cell>
          <cell r="D404" t="str">
            <v>Spread Duration</v>
          </cell>
          <cell r="E404" t="str">
            <v>Spread Yield (DxS)</v>
          </cell>
          <cell r="F404" t="str">
            <v>SP-Corporate IG EUR</v>
          </cell>
          <cell r="G404" t="str">
            <v>SP-Spread Corporate</v>
          </cell>
          <cell r="H404" t="str">
            <v>SPREADS</v>
          </cell>
          <cell r="I404" t="str">
            <v>Corporate IG EUR - iTraxx</v>
          </cell>
        </row>
        <row r="405">
          <cell r="A405" t="str">
            <v>EUR_ITSN_10Y</v>
          </cell>
          <cell r="B405" t="str">
            <v>ITRAXX.FINSR.10</v>
          </cell>
          <cell r="C405" t="str">
            <v>BRS_GOLD__5_SPREADS:BRS_GOLD__4_CORP:BRS_GOLD__3_CSIG:CDX_IG:EUR_ITSN_10Y</v>
          </cell>
          <cell r="D405" t="str">
            <v>Spread Duration</v>
          </cell>
          <cell r="E405" t="str">
            <v>Spread Yield (DxS)</v>
          </cell>
          <cell r="F405" t="str">
            <v>SP-Corporate IG EUR</v>
          </cell>
          <cell r="G405" t="str">
            <v>SP-Spread Corporate</v>
          </cell>
          <cell r="H405" t="str">
            <v>SPREADS</v>
          </cell>
          <cell r="I405" t="str">
            <v>Corporate IG EUR - iTraxx</v>
          </cell>
        </row>
        <row r="406">
          <cell r="A406" t="str">
            <v>EUR_ITSB_5Y</v>
          </cell>
          <cell r="B406" t="str">
            <v>ITRAXX.FINSUB.5</v>
          </cell>
          <cell r="C406" t="str">
            <v>BRS_GOLD__5_SPREADS:BRS_GOLD__4_CORP:BRS_GOLD__3_CSIG:CDX_IG:EUR_ITSB_5Y</v>
          </cell>
          <cell r="D406" t="str">
            <v>Spread Duration</v>
          </cell>
          <cell r="E406" t="str">
            <v>Spread Yield (DxS)</v>
          </cell>
          <cell r="F406" t="str">
            <v>SP-Corporate IG EUR</v>
          </cell>
          <cell r="G406" t="str">
            <v>SP-Spread Corporate</v>
          </cell>
          <cell r="H406" t="str">
            <v>SPREADS</v>
          </cell>
          <cell r="I406" t="str">
            <v>Corporate IG EUR - iTraxx</v>
          </cell>
        </row>
        <row r="407">
          <cell r="A407" t="str">
            <v>EUR_ITSB_10Y</v>
          </cell>
          <cell r="B407" t="str">
            <v>ITRAXX.FINSUB.10</v>
          </cell>
          <cell r="C407" t="str">
            <v>BRS_GOLD__5_SPREADS:BRS_GOLD__4_CORP:BRS_GOLD__3_CSIG:CDX_IG:EUR_ITSB_10Y</v>
          </cell>
          <cell r="D407" t="str">
            <v>Spread Duration</v>
          </cell>
          <cell r="E407" t="str">
            <v>Spread Yield (DxS)</v>
          </cell>
          <cell r="F407" t="str">
            <v>SP-Corporate IG EUR</v>
          </cell>
          <cell r="G407" t="str">
            <v>SP-Spread Corporate</v>
          </cell>
          <cell r="H407" t="str">
            <v>SPREADS</v>
          </cell>
          <cell r="I407" t="str">
            <v>Corporate IG EUR - iTraxx</v>
          </cell>
        </row>
        <row r="408">
          <cell r="A408" t="str">
            <v>EUR_ITNF_5Y</v>
          </cell>
          <cell r="B408" t="str">
            <v>ITRAXX.NONFIN.5</v>
          </cell>
          <cell r="C408" t="str">
            <v>BRS_GOLD__5_SPREADS:BRS_GOLD__4_CORP:BRS_GOLD__3_CSIG:CDX_IG:EUR_ITNF_5Y</v>
          </cell>
          <cell r="D408" t="str">
            <v>Spread Duration</v>
          </cell>
          <cell r="E408" t="str">
            <v>Spread Yield (DxS)</v>
          </cell>
          <cell r="F408" t="str">
            <v>SP-Corporate IG EUR</v>
          </cell>
          <cell r="G408" t="str">
            <v>SP-Spread Corporate</v>
          </cell>
          <cell r="H408" t="str">
            <v>SPREADS</v>
          </cell>
          <cell r="I408" t="str">
            <v>Corporate IG EUR - iTraxx</v>
          </cell>
        </row>
        <row r="409">
          <cell r="A409" t="str">
            <v>EUR_ITNF_10Y</v>
          </cell>
          <cell r="B409" t="str">
            <v>ITRAXX.NONFIN.10</v>
          </cell>
          <cell r="C409" t="str">
            <v>BRS_GOLD__5_SPREADS:BRS_GOLD__4_CORP:BRS_GOLD__3_CSIG:CDX_IG:EUR_ITNF_10Y</v>
          </cell>
          <cell r="D409" t="str">
            <v>Spread Duration</v>
          </cell>
          <cell r="E409" t="str">
            <v>Spread Yield (DxS)</v>
          </cell>
          <cell r="F409" t="str">
            <v>SP-Corporate IG EUR</v>
          </cell>
          <cell r="G409" t="str">
            <v>SP-Spread Corporate</v>
          </cell>
          <cell r="H409" t="str">
            <v>SPREADS</v>
          </cell>
          <cell r="I409" t="str">
            <v>Corporate IG EUR - iTraxx</v>
          </cell>
        </row>
        <row r="410">
          <cell r="A410" t="str">
            <v>EUR_ITHV_5Y</v>
          </cell>
          <cell r="B410" t="str">
            <v>ITRAXX.HVOL.5</v>
          </cell>
          <cell r="C410" t="str">
            <v>BRS_GOLD__5_SPREADS:BRS_GOLD__4_CORP:BRS_GOLD__3_CSIG:CDX_IG:EUR_ITHV_5Y</v>
          </cell>
          <cell r="D410" t="str">
            <v>Spread Duration</v>
          </cell>
          <cell r="E410" t="str">
            <v>Spread Yield (DxS)</v>
          </cell>
          <cell r="F410" t="str">
            <v>SP-Corporate IG EUR</v>
          </cell>
          <cell r="G410" t="str">
            <v>SP-Spread Corporate</v>
          </cell>
          <cell r="H410" t="str">
            <v>SPREADS</v>
          </cell>
          <cell r="I410" t="str">
            <v>Corporate IG EUR - iTraxx</v>
          </cell>
        </row>
        <row r="411">
          <cell r="A411" t="str">
            <v>EUR_ITHV_10Y</v>
          </cell>
          <cell r="B411" t="str">
            <v>ITRAXX.HVOL.10</v>
          </cell>
          <cell r="C411" t="str">
            <v>BRS_GOLD__5_SPREADS:BRS_GOLD__4_CORP:BRS_GOLD__3_CSIG:CDX_IG:EUR_ITHV_10Y</v>
          </cell>
          <cell r="D411" t="str">
            <v>Spread Duration</v>
          </cell>
          <cell r="E411" t="str">
            <v>Spread Yield (DxS)</v>
          </cell>
          <cell r="F411" t="str">
            <v>SP-Corporate IG EUR</v>
          </cell>
          <cell r="G411" t="str">
            <v>SP-Spread Corporate</v>
          </cell>
          <cell r="H411" t="str">
            <v>SPREADS</v>
          </cell>
          <cell r="I411" t="str">
            <v>Corporate IG EUR - iTraxx</v>
          </cell>
        </row>
        <row r="412">
          <cell r="A412" t="str">
            <v>JPY_ITJP_5Y</v>
          </cell>
          <cell r="B412" t="str">
            <v>ITRAXX.JPN.5</v>
          </cell>
          <cell r="C412" t="str">
            <v>BRS_GOLD__5_SPREADS:BRS_GOLD__4_CORP:BRS_GOLD__3_CSIG:CDX_IG:JPY_ITJP_5Y</v>
          </cell>
          <cell r="D412" t="str">
            <v>Spread Duration</v>
          </cell>
          <cell r="E412" t="str">
            <v>Spread Yield (DxS)</v>
          </cell>
          <cell r="F412" t="str">
            <v>SP-Corporate IG Other</v>
          </cell>
          <cell r="G412" t="str">
            <v>SP-Spread Corporate</v>
          </cell>
          <cell r="H412" t="str">
            <v>SPREADS</v>
          </cell>
          <cell r="I412" t="str">
            <v>Corporate IG Other - iTraxx</v>
          </cell>
        </row>
        <row r="413">
          <cell r="A413" t="str">
            <v>JPY_ITJP_10Y</v>
          </cell>
          <cell r="B413" t="str">
            <v>ITRAXX.JPN.10</v>
          </cell>
          <cell r="C413" t="str">
            <v>BRS_GOLD__5_SPREADS:BRS_GOLD__4_CORP:BRS_GOLD__3_CSIG:CDX_IG:JPY_ITJP_10Y</v>
          </cell>
          <cell r="D413" t="str">
            <v>Spread Duration</v>
          </cell>
          <cell r="E413" t="str">
            <v>Spread Yield (DxS)</v>
          </cell>
          <cell r="F413" t="str">
            <v>SP-Corporate IG Other</v>
          </cell>
          <cell r="G413" t="str">
            <v>SP-Spread Corporate</v>
          </cell>
          <cell r="H413" t="str">
            <v>SPREADS</v>
          </cell>
          <cell r="I413" t="str">
            <v>Corporate IG Other - iTraxx</v>
          </cell>
        </row>
        <row r="414">
          <cell r="A414" t="str">
            <v>AUD_ITAU_5Y</v>
          </cell>
          <cell r="B414" t="str">
            <v>ITRAXX.AUST.5</v>
          </cell>
          <cell r="C414" t="str">
            <v>BRS_GOLD__5_SPREADS:BRS_GOLD__4_CORP:BRS_GOLD__3_CSIG:CDX_IG:AUD_ITAU_5Y</v>
          </cell>
          <cell r="D414" t="str">
            <v>Spread Duration</v>
          </cell>
          <cell r="E414" t="str">
            <v>Spread Yield (DxS)</v>
          </cell>
          <cell r="F414" t="str">
            <v>SP-Corporate IG Other</v>
          </cell>
          <cell r="G414" t="str">
            <v>SP-Spread Corporate</v>
          </cell>
          <cell r="H414" t="str">
            <v>SPREADS</v>
          </cell>
          <cell r="I414" t="str">
            <v>Corporate IG Other - iTraxx</v>
          </cell>
        </row>
        <row r="415">
          <cell r="A415" t="str">
            <v>AUD_ITAU_10Y</v>
          </cell>
          <cell r="B415" t="str">
            <v>ITRAXX.AUST.10</v>
          </cell>
          <cell r="C415" t="str">
            <v>BRS_GOLD__5_SPREADS:BRS_GOLD__4_CORP:BRS_GOLD__3_CSIG:CDX_IG:AUD_ITAU_10Y</v>
          </cell>
          <cell r="D415" t="str">
            <v>Spread Duration</v>
          </cell>
          <cell r="E415" t="str">
            <v>Spread Yield (DxS)</v>
          </cell>
          <cell r="F415" t="str">
            <v>SP-Corporate IG Other</v>
          </cell>
          <cell r="G415" t="str">
            <v>SP-Spread Corporate</v>
          </cell>
          <cell r="H415" t="str">
            <v>SPREADS</v>
          </cell>
          <cell r="I415" t="str">
            <v>Corporate IG Other - iTraxx</v>
          </cell>
        </row>
        <row r="416">
          <cell r="A416" t="str">
            <v>AUD_ITXI_5Y</v>
          </cell>
          <cell r="B416" t="str">
            <v>ITRAXX.ASIA.XJ.IG.5</v>
          </cell>
          <cell r="C416" t="str">
            <v>BRS_GOLD__5_SPREADS:BRS_GOLD__4_CORP:BRS_GOLD__3_CSIG:CDX_IG:AUD_ITXI_5Y</v>
          </cell>
          <cell r="D416" t="str">
            <v>Spread Duration</v>
          </cell>
          <cell r="E416" t="str">
            <v>Spread Yield (DxS)</v>
          </cell>
          <cell r="F416" t="str">
            <v>SP-Corporate IG Other</v>
          </cell>
          <cell r="G416" t="str">
            <v>SP-Spread Corporate</v>
          </cell>
          <cell r="H416" t="str">
            <v>SPREADS</v>
          </cell>
          <cell r="I416" t="str">
            <v>Corporate IG Other - iTraxx</v>
          </cell>
        </row>
        <row r="417">
          <cell r="A417" t="str">
            <v>AUD_ITXI_10Y</v>
          </cell>
          <cell r="B417" t="str">
            <v>ITRAXX.ASIA.XJ.IG.10</v>
          </cell>
          <cell r="C417" t="str">
            <v>BRS_GOLD__5_SPREADS:BRS_GOLD__4_CORP:BRS_GOLD__3_CSIG:CDX_IG:AUD_ITXI_10Y</v>
          </cell>
          <cell r="D417" t="str">
            <v>Spread Duration</v>
          </cell>
          <cell r="E417" t="str">
            <v>Spread Yield (DxS)</v>
          </cell>
          <cell r="F417" t="str">
            <v>SP-Corporate IG Other</v>
          </cell>
          <cell r="G417" t="str">
            <v>SP-Spread Corporate</v>
          </cell>
          <cell r="H417" t="str">
            <v>SPREADS</v>
          </cell>
          <cell r="I417" t="str">
            <v>Corporate IG Other - iTraxx</v>
          </cell>
        </row>
        <row r="418">
          <cell r="A418" t="str">
            <v>USD_MXNA_5Y</v>
          </cell>
          <cell r="B418" t="str">
            <v>MCDX.NA.5</v>
          </cell>
          <cell r="C418" t="str">
            <v>BRS_GOLD__5_SPREADS:BRS_GOLD__4_CORP:BRS_GOLD__3_CSIG:CDX_IG:USD_MXNA_5Y</v>
          </cell>
          <cell r="D418" t="str">
            <v>Spread Duration</v>
          </cell>
          <cell r="E418" t="str">
            <v>Spread Yield (DxS)</v>
          </cell>
          <cell r="F418" t="str">
            <v>SP-Corporate IG USD</v>
          </cell>
          <cell r="G418" t="str">
            <v>SP-Spread Corporate</v>
          </cell>
          <cell r="H418" t="str">
            <v>SPREADS</v>
          </cell>
          <cell r="I418" t="str">
            <v>Corporate IG USD - CDX</v>
          </cell>
        </row>
        <row r="419">
          <cell r="A419" t="str">
            <v>USD_MXNA_10Y</v>
          </cell>
          <cell r="B419" t="str">
            <v>MCDX.NA.10</v>
          </cell>
          <cell r="C419" t="str">
            <v>BRS_GOLD__5_SPREADS:BRS_GOLD__4_CORP:BRS_GOLD__3_CSIG:CDX_IG:USD_MXNA_10Y</v>
          </cell>
          <cell r="D419" t="str">
            <v>Spread Duration</v>
          </cell>
          <cell r="E419" t="str">
            <v>Spread Yield (DxS)</v>
          </cell>
          <cell r="F419" t="str">
            <v>SP-Corporate IG USD</v>
          </cell>
          <cell r="G419" t="str">
            <v>SP-Spread Corporate</v>
          </cell>
          <cell r="H419" t="str">
            <v>SPREADS</v>
          </cell>
          <cell r="I419" t="str">
            <v>Corporate IG USD - CDX</v>
          </cell>
        </row>
        <row r="420">
          <cell r="A420" t="str">
            <v>USD_OCDX_5Y</v>
          </cell>
          <cell r="B420" t="str">
            <v>CDX.OTHER.5</v>
          </cell>
          <cell r="C420" t="str">
            <v>BRS_GOLD__5_SPREADS:BRS_GOLD__4_CORP:BRS_GOLD__3_CSIG:CDX_IG:USD_OCDX_5Y</v>
          </cell>
          <cell r="D420" t="str">
            <v>Spread Duration</v>
          </cell>
          <cell r="E420" t="str">
            <v>Spread Yield (DxS)</v>
          </cell>
          <cell r="F420" t="str">
            <v>SP-Spread Emerging Markets - CDX</v>
          </cell>
          <cell r="G420" t="str">
            <v>SP-Spread Emerging Markets</v>
          </cell>
          <cell r="H420" t="str">
            <v>SPREADS</v>
          </cell>
          <cell r="I420" t="str">
            <v>Spread Emerging Markets - CDX</v>
          </cell>
        </row>
        <row r="421">
          <cell r="A421" t="str">
            <v>USD_CORP_CAPSEC_IG</v>
          </cell>
          <cell r="B421" t="str">
            <v>US Capital Security IG</v>
          </cell>
          <cell r="C421" t="str">
            <v>BRS_GOLD__5_SPREADS:BRS_GOLD__4_CORP:BRS_GOLD__3_CSIG:CORP40_IG_US,USD_LIQUID_IG,USD_IG_LIQUID_SF,USD_IG_VLUE_SF,USD_IG_QUAL_SF,USD_IG_REV_SF,USD_IG_VOL_SF:CORP40_US_ATT_IG,USD_LIQUID_IG,USD_IG_LIQUID_SF,USD_IG_VLUE_SF,USD_IG_QUAL_SF,USD_IG_REV_SF,USD_IG_VOL_SF:USD_CORP_CAPSEC_IG</v>
          </cell>
          <cell r="D421" t="str">
            <v>Spread Duration</v>
          </cell>
          <cell r="E421" t="str">
            <v>Spread Yield (DxS)</v>
          </cell>
          <cell r="F421" t="str">
            <v>SP-Corporate IG USD</v>
          </cell>
          <cell r="G421" t="str">
            <v>SP-Spread Corporate</v>
          </cell>
          <cell r="H421" t="str">
            <v>SPREADS</v>
          </cell>
          <cell r="I421" t="str">
            <v>Corporate IG USD - Seniority</v>
          </cell>
        </row>
        <row r="422">
          <cell r="A422" t="str">
            <v>USD_CORP_SUB_IG</v>
          </cell>
          <cell r="B422" t="str">
            <v>US Subordinate IG</v>
          </cell>
          <cell r="C422" t="str">
            <v>BRS_GOLD__5_SPREADS:BRS_GOLD__4_CORP:BRS_GOLD__3_CSIG:CORP40_IG_US,USD_LIQUID_IG,USD_IG_LIQUID_SF,USD_IG_VLUE_SF,USD_IG_QUAL_SF,USD_IG_REV_SF,USD_IG_VOL_SF:CORP40_US_ATT_IG,USD_LIQUID_IG,USD_IG_LIQUID_SF,USD_IG_VLUE_SF,USD_IG_QUAL_SF,USD_IG_REV_SF,USD_IG_VOL_SF:USD_CORP_SUB_IG</v>
          </cell>
          <cell r="D422" t="str">
            <v>Spread Duration</v>
          </cell>
          <cell r="E422" t="str">
            <v>Spread Yield (DxS)</v>
          </cell>
          <cell r="F422" t="str">
            <v>SP-Corporate IG USD</v>
          </cell>
          <cell r="G422" t="str">
            <v>SP-Spread Corporate</v>
          </cell>
          <cell r="H422" t="str">
            <v>SPREADS</v>
          </cell>
          <cell r="I422" t="str">
            <v>Corporate IG USD - Seniority</v>
          </cell>
        </row>
        <row r="423">
          <cell r="A423" t="str">
            <v>USD_CORP_YANK_IG</v>
          </cell>
          <cell r="B423" t="str">
            <v>US Yankee IG</v>
          </cell>
          <cell r="C423" t="str">
            <v>BRS_GOLD__5_SPREADS:BRS_GOLD__4_CORP:BRS_GOLD__3_CSIG:CORP40_IG_US,USD_LIQUID_IG,USD_IG_LIQUID_SF,USD_IG_VLUE_SF,USD_IG_QUAL_SF,USD_IG_REV_SF,USD_IG_VOL_SF:CORP40_US_ATT_IG,USD_LIQUID_IG,USD_IG_LIQUID_SF,USD_IG_VLUE_SF,USD_IG_QUAL_SF,USD_IG_REV_SF,USD_IG_VOL_SF:USD_CORP_YANK_IG</v>
          </cell>
          <cell r="D423" t="str">
            <v>Spread Duration</v>
          </cell>
          <cell r="E423" t="str">
            <v>Spread Yield (DxS)</v>
          </cell>
          <cell r="F423" t="str">
            <v>SP-Corporate IG USD</v>
          </cell>
          <cell r="G423" t="str">
            <v>SP-Spread Corporate</v>
          </cell>
          <cell r="H423" t="str">
            <v>SPREADS</v>
          </cell>
          <cell r="I423" t="str">
            <v>Corporate IG USD - Yankee</v>
          </cell>
        </row>
        <row r="424">
          <cell r="A424" t="str">
            <v>USD_PFD_IG</v>
          </cell>
          <cell r="B424" t="str">
            <v>US IG Preferred Equity</v>
          </cell>
          <cell r="C424" t="str">
            <v>BRS_GOLD__5_SPREADS:BRS_GOLD__4_CORP:BRS_GOLD__3_CSIG:CORP40_IG_US,USD_LIQUID_IG,USD_IG_LIQUID_SF,USD_IG_VLUE_SF,USD_IG_QUAL_SF,USD_IG_REV_SF,USD_IG_VOL_SF:CORP40_US_ATT_IG,USD_LIQUID_IG,USD_IG_LIQUID_SF,USD_IG_VLUE_SF,USD_IG_QUAL_SF,USD_IG_REV_SF,USD_IG_VOL_SF:USD_PFD_IG</v>
          </cell>
          <cell r="D424" t="str">
            <v>Spread Duration</v>
          </cell>
          <cell r="E424" t="str">
            <v>Spread Yield (DxS)</v>
          </cell>
          <cell r="F424" t="str">
            <v>SP-Corporate IG USD</v>
          </cell>
          <cell r="G424" t="str">
            <v>SP-Spread Corporate</v>
          </cell>
          <cell r="H424" t="str">
            <v>SPREADS</v>
          </cell>
          <cell r="I424" t="str">
            <v>Corporate IG USD - Seniority</v>
          </cell>
        </row>
        <row r="425">
          <cell r="A425" t="str">
            <v>USD_IG_CAPSEC_SF</v>
          </cell>
          <cell r="B425" t="str">
            <v>US IG Capital Security</v>
          </cell>
          <cell r="C425" t="str">
            <v>BRS_GOLD__5_SPREADS:BRS_GOLD__4_CORP:BRS_GOLD__3_CSIG:CORP40_IG_US,USD_LIQUID_IG,USD_IG_LIQUID_SF,USD_IG_VLUE_SF,USD_IG_QUAL_SF,USD_IG_REV_SF,USD_IG_VOL_SF:CORP40_US_ATT_IG,USD_LIQUID_IG,USD_IG_LIQUID_SF,USD_IG_VLUE_SF,USD_IG_QUAL_SF,USD_IG_REV_SF,USD_IG_VOL_SF:USD_IG_CAPSEC_SF</v>
          </cell>
          <cell r="D425" t="str">
            <v>Spread Duration</v>
          </cell>
          <cell r="E425" t="str">
            <v>Spread Yield (DxS)</v>
          </cell>
          <cell r="F425" t="str">
            <v>SP-Corporate IG USD</v>
          </cell>
          <cell r="G425" t="str">
            <v>SP-Spread Corporate</v>
          </cell>
          <cell r="H425" t="str">
            <v>SPREADS</v>
          </cell>
          <cell r="I425" t="str">
            <v>Corporate IG USD - Seniority</v>
          </cell>
        </row>
        <row r="426">
          <cell r="A426" t="str">
            <v>USD_IG_SUB_SF</v>
          </cell>
          <cell r="B426" t="str">
            <v>US IG Subordinate</v>
          </cell>
          <cell r="C426" t="str">
            <v>BRS_GOLD__5_SPREADS:BRS_GOLD__4_CORP:BRS_GOLD__3_CSIG:CORP40_IG_US,USD_LIQUID_IG,USD_IG_LIQUID_SF,USD_IG_VLUE_SF,USD_IG_QUAL_SF,USD_IG_REV_SF,USD_IG_VOL_SF:CORP40_US_ATT_IG,USD_LIQUID_IG,USD_IG_LIQUID_SF,USD_IG_VLUE_SF,USD_IG_QUAL_SF,USD_IG_REV_SF,USD_IG_VOL_SF:USD_IG_SUB_SF</v>
          </cell>
          <cell r="D426" t="str">
            <v>Spread Duration</v>
          </cell>
          <cell r="E426" t="str">
            <v>Spread Yield (DxS)</v>
          </cell>
          <cell r="F426" t="str">
            <v>SP-Corporate IG USD</v>
          </cell>
          <cell r="G426" t="str">
            <v>SP-Spread Corporate</v>
          </cell>
          <cell r="H426" t="str">
            <v>SPREADS</v>
          </cell>
          <cell r="I426" t="str">
            <v>Corporate IG USD - Seniority</v>
          </cell>
        </row>
        <row r="427">
          <cell r="A427" t="str">
            <v>USD_IG_YANK_SF</v>
          </cell>
          <cell r="B427" t="str">
            <v>US IG Yankee</v>
          </cell>
          <cell r="C427" t="str">
            <v>BRS_GOLD__5_SPREADS:BRS_GOLD__4_CORP:BRS_GOLD__3_CSIG:CORP40_IG_US,USD_LIQUID_IG,USD_IG_LIQUID_SF,USD_IG_VLUE_SF,USD_IG_QUAL_SF,USD_IG_REV_SF,USD_IG_VOL_SF:CORP40_US_ATT_IG,USD_LIQUID_IG,USD_IG_LIQUID_SF,USD_IG_VLUE_SF,USD_IG_QUAL_SF,USD_IG_REV_SF,USD_IG_VOL_SF:USD_IG_YANK_SF</v>
          </cell>
          <cell r="D427" t="str">
            <v>Spread Duration</v>
          </cell>
          <cell r="E427" t="str">
            <v>Spread Yield (DxS)</v>
          </cell>
          <cell r="F427" t="str">
            <v>SP-Corporate IG USD</v>
          </cell>
          <cell r="G427" t="str">
            <v>SP-Spread Corporate</v>
          </cell>
          <cell r="H427" t="str">
            <v>SPREADS</v>
          </cell>
          <cell r="I427" t="str">
            <v>Corporate IG USD - Yankee</v>
          </cell>
        </row>
        <row r="428">
          <cell r="A428" t="str">
            <v>USD_AUTO_IG3</v>
          </cell>
          <cell r="B428" t="str">
            <v>US Auto IG</v>
          </cell>
          <cell r="C428" t="str">
            <v>BRS_GOLD__5_SPREADS:BRS_GOLD__4_CORP:BRS_GOLD__3_CSIG:CORP40_IG_US,USD_LIQUID_IG,USD_IG_LIQUID_SF,USD_IG_VLUE_SF,USD_IG_QUAL_SF,USD_IG_REV_SF,USD_IG_VOL_SF:CORP40_US_IND_IG:USD_AUTO_IG3</v>
          </cell>
          <cell r="D428" t="str">
            <v>Spread Duration</v>
          </cell>
          <cell r="E428" t="str">
            <v>Spread Yield (DxS)</v>
          </cell>
          <cell r="F428" t="str">
            <v>SP-Corporate IG USD</v>
          </cell>
          <cell r="G428" t="str">
            <v>SP-Spread Corporate</v>
          </cell>
          <cell r="H428" t="str">
            <v>SPREADS</v>
          </cell>
          <cell r="I428" t="str">
            <v>Corporate IG USD - Industry</v>
          </cell>
        </row>
        <row r="429">
          <cell r="A429" t="str">
            <v>USD_BANKBROK_IG3</v>
          </cell>
          <cell r="B429" t="str">
            <v>US Banking IG</v>
          </cell>
          <cell r="C429" t="str">
            <v>BRS_GOLD__5_SPREADS:BRS_GOLD__4_CORP:BRS_GOLD__3_CSIG:CORP40_IG_US,USD_LIQUID_IG,USD_IG_LIQUID_SF,USD_IG_VLUE_SF,USD_IG_QUAL_SF,USD_IG_REV_SF,USD_IG_VOL_SF:CORP40_US_IND_IG:USD_BANKBROK_IG3</v>
          </cell>
          <cell r="D429" t="str">
            <v>Spread Duration</v>
          </cell>
          <cell r="E429" t="str">
            <v>Spread Yield (DxS)</v>
          </cell>
          <cell r="F429" t="str">
            <v>SP-Corporate IG USD</v>
          </cell>
          <cell r="G429" t="str">
            <v>SP-Spread Corporate</v>
          </cell>
          <cell r="H429" t="str">
            <v>SPREADS</v>
          </cell>
          <cell r="I429" t="str">
            <v>Corporate IG USD - Industry</v>
          </cell>
        </row>
        <row r="430">
          <cell r="A430" t="str">
            <v>USD_CAPG_IG3</v>
          </cell>
          <cell r="B430" t="str">
            <v>US Cap Goods IG</v>
          </cell>
          <cell r="C430" t="str">
            <v>BRS_GOLD__5_SPREADS:BRS_GOLD__4_CORP:BRS_GOLD__3_CSIG:CORP40_IG_US,USD_LIQUID_IG,USD_IG_LIQUID_SF,USD_IG_VLUE_SF,USD_IG_QUAL_SF,USD_IG_REV_SF,USD_IG_VOL_SF:CORP40_US_IND_IG:USD_CAPG_IG3</v>
          </cell>
          <cell r="D430" t="str">
            <v>Spread Duration</v>
          </cell>
          <cell r="E430" t="str">
            <v>Spread Yield (DxS)</v>
          </cell>
          <cell r="F430" t="str">
            <v>SP-Corporate IG USD</v>
          </cell>
          <cell r="G430" t="str">
            <v>SP-Spread Corporate</v>
          </cell>
          <cell r="H430" t="str">
            <v>SPREADS</v>
          </cell>
          <cell r="I430" t="str">
            <v>Corporate IG USD - Industry</v>
          </cell>
        </row>
        <row r="431">
          <cell r="A431" t="str">
            <v>USD_CHEMICALS_IG3</v>
          </cell>
          <cell r="B431" t="str">
            <v>US Chemicals IG</v>
          </cell>
          <cell r="C431" t="str">
            <v>BRS_GOLD__5_SPREADS:BRS_GOLD__4_CORP:BRS_GOLD__3_CSIG:CORP40_IG_US,USD_LIQUID_IG,USD_IG_LIQUID_SF,USD_IG_VLUE_SF,USD_IG_QUAL_SF,USD_IG_REV_SF,USD_IG_VOL_SF:CORP40_US_IND_IG:USD_CHEMICALS_IG3</v>
          </cell>
          <cell r="D431" t="str">
            <v>Spread Duration</v>
          </cell>
          <cell r="E431" t="str">
            <v>Spread Yield (DxS)</v>
          </cell>
          <cell r="F431" t="str">
            <v>SP-Corporate IG USD</v>
          </cell>
          <cell r="G431" t="str">
            <v>SP-Spread Corporate</v>
          </cell>
          <cell r="H431" t="str">
            <v>SPREADS</v>
          </cell>
          <cell r="I431" t="str">
            <v>Corporate IG USD - Industry</v>
          </cell>
        </row>
        <row r="432">
          <cell r="A432" t="str">
            <v>USD_CYCLICAL_IG3</v>
          </cell>
          <cell r="B432" t="str">
            <v>US Cyclical IG</v>
          </cell>
          <cell r="C432" t="str">
            <v>BRS_GOLD__5_SPREADS:BRS_GOLD__4_CORP:BRS_GOLD__3_CSIG:CORP40_IG_US,USD_LIQUID_IG,USD_IG_LIQUID_SF,USD_IG_VLUE_SF,USD_IG_QUAL_SF,USD_IG_REV_SF,USD_IG_VOL_SF:CORP40_US_IND_IG:USD_CYCLICAL_IG3</v>
          </cell>
          <cell r="D432" t="str">
            <v>Spread Duration</v>
          </cell>
          <cell r="E432" t="str">
            <v>Spread Yield (DxS)</v>
          </cell>
          <cell r="F432" t="str">
            <v>SP-Corporate IG USD</v>
          </cell>
          <cell r="G432" t="str">
            <v>SP-Spread Corporate</v>
          </cell>
          <cell r="H432" t="str">
            <v>SPREADS</v>
          </cell>
          <cell r="I432" t="str">
            <v>Corporate IG USD - Industry</v>
          </cell>
        </row>
        <row r="433">
          <cell r="A433" t="str">
            <v>USD_ELECTRIC_IG3</v>
          </cell>
          <cell r="B433" t="str">
            <v>US Electric IG</v>
          </cell>
          <cell r="C433" t="str">
            <v>BRS_GOLD__5_SPREADS:BRS_GOLD__4_CORP:BRS_GOLD__3_CSIG:CORP40_IG_US,USD_LIQUID_IG,USD_IG_LIQUID_SF,USD_IG_VLUE_SF,USD_IG_QUAL_SF,USD_IG_REV_SF,USD_IG_VOL_SF:CORP40_US_IND_IG:USD_ELECTRIC_IG3</v>
          </cell>
          <cell r="D433" t="str">
            <v>Spread Duration</v>
          </cell>
          <cell r="E433" t="str">
            <v>Spread Yield (DxS)</v>
          </cell>
          <cell r="F433" t="str">
            <v>SP-Corporate IG USD</v>
          </cell>
          <cell r="G433" t="str">
            <v>SP-Spread Corporate</v>
          </cell>
          <cell r="H433" t="str">
            <v>SPREADS</v>
          </cell>
          <cell r="I433" t="str">
            <v>Corporate IG USD - Industry</v>
          </cell>
        </row>
        <row r="434">
          <cell r="A434" t="str">
            <v>USD_ENERGY_IG3</v>
          </cell>
          <cell r="B434" t="str">
            <v>US Energy IG</v>
          </cell>
          <cell r="C434" t="str">
            <v>BRS_GOLD__5_SPREADS:BRS_GOLD__4_CORP:BRS_GOLD__3_CSIG:CORP40_IG_US,USD_LIQUID_IG,USD_IG_LIQUID_SF,USD_IG_VLUE_SF,USD_IG_QUAL_SF,USD_IG_REV_SF,USD_IG_VOL_SF:CORP40_US_IND_IG:USD_ENERGY_IG3</v>
          </cell>
          <cell r="D434" t="str">
            <v>Spread Duration</v>
          </cell>
          <cell r="E434" t="str">
            <v>Spread Yield (DxS)</v>
          </cell>
          <cell r="F434" t="str">
            <v>SP-Corporate IG USD</v>
          </cell>
          <cell r="G434" t="str">
            <v>SP-Spread Corporate</v>
          </cell>
          <cell r="H434" t="str">
            <v>SPREADS</v>
          </cell>
          <cell r="I434" t="str">
            <v>Corporate IG USD - Industry</v>
          </cell>
        </row>
        <row r="435">
          <cell r="A435" t="str">
            <v>USD_GAS_IG3</v>
          </cell>
          <cell r="B435" t="str">
            <v>US Gas IG</v>
          </cell>
          <cell r="C435" t="str">
            <v>BRS_GOLD__5_SPREADS:BRS_GOLD__4_CORP:BRS_GOLD__3_CSIG:CORP40_IG_US,USD_LIQUID_IG,USD_IG_LIQUID_SF,USD_IG_VLUE_SF,USD_IG_QUAL_SF,USD_IG_REV_SF,USD_IG_VOL_SF:CORP40_US_IND_IG:USD_GAS_IG3</v>
          </cell>
          <cell r="D435" t="str">
            <v>Spread Duration</v>
          </cell>
          <cell r="E435" t="str">
            <v>Spread Yield (DxS)</v>
          </cell>
          <cell r="F435" t="str">
            <v>SP-Corporate IG USD</v>
          </cell>
          <cell r="G435" t="str">
            <v>SP-Spread Corporate</v>
          </cell>
          <cell r="H435" t="str">
            <v>SPREADS</v>
          </cell>
          <cell r="I435" t="str">
            <v>Corporate IG USD - Industry</v>
          </cell>
        </row>
        <row r="436">
          <cell r="A436" t="str">
            <v>USD_HEALTHCARE_IG3</v>
          </cell>
          <cell r="B436" t="str">
            <v>US Healthcare IG</v>
          </cell>
          <cell r="C436" t="str">
            <v>BRS_GOLD__5_SPREADS:BRS_GOLD__4_CORP:BRS_GOLD__3_CSIG:CORP40_IG_US,USD_LIQUID_IG,USD_IG_LIQUID_SF,USD_IG_VLUE_SF,USD_IG_QUAL_SF,USD_IG_REV_SF,USD_IG_VOL_SF:CORP40_US_IND_IG:USD_HEALTHCARE_IG3</v>
          </cell>
          <cell r="D436" t="str">
            <v>Spread Duration</v>
          </cell>
          <cell r="E436" t="str">
            <v>Spread Yield (DxS)</v>
          </cell>
          <cell r="F436" t="str">
            <v>SP-Corporate IG USD</v>
          </cell>
          <cell r="G436" t="str">
            <v>SP-Spread Corporate</v>
          </cell>
          <cell r="H436" t="str">
            <v>SPREADS</v>
          </cell>
          <cell r="I436" t="str">
            <v>Corporate IG USD - Industry</v>
          </cell>
        </row>
        <row r="437">
          <cell r="A437" t="str">
            <v>USD_HOMECON_IG3</v>
          </cell>
          <cell r="B437" t="str">
            <v>US Home Construct IG</v>
          </cell>
          <cell r="C437" t="str">
            <v>BRS_GOLD__5_SPREADS:BRS_GOLD__4_CORP:BRS_GOLD__3_CSIG:CORP40_IG_US,USD_LIQUID_IG,USD_IG_LIQUID_SF,USD_IG_VLUE_SF,USD_IG_QUAL_SF,USD_IG_REV_SF,USD_IG_VOL_SF:CORP40_US_IND_IG:USD_HOMECON_IG3</v>
          </cell>
          <cell r="D437" t="str">
            <v>Spread Duration</v>
          </cell>
          <cell r="E437" t="str">
            <v>Spread Yield (DxS)</v>
          </cell>
          <cell r="F437" t="str">
            <v>SP-Corporate IG USD</v>
          </cell>
          <cell r="G437" t="str">
            <v>SP-Spread Corporate</v>
          </cell>
          <cell r="H437" t="str">
            <v>SPREADS</v>
          </cell>
          <cell r="I437" t="str">
            <v>Corporate IG USD - Industry</v>
          </cell>
        </row>
        <row r="438">
          <cell r="A438" t="str">
            <v>USD_LIFE_IG3</v>
          </cell>
          <cell r="B438" t="str">
            <v>US Life Insurance IG</v>
          </cell>
          <cell r="C438" t="str">
            <v>BRS_GOLD__5_SPREADS:BRS_GOLD__4_CORP:BRS_GOLD__3_CSIG:CORP40_IG_US,USD_LIQUID_IG,USD_IG_LIQUID_SF,USD_IG_VLUE_SF,USD_IG_QUAL_SF,USD_IG_REV_SF,USD_IG_VOL_SF:CORP40_US_IND_IG:USD_LIFE_IG3</v>
          </cell>
          <cell r="D438" t="str">
            <v>Spread Duration</v>
          </cell>
          <cell r="E438" t="str">
            <v>Spread Yield (DxS)</v>
          </cell>
          <cell r="F438" t="str">
            <v>SP-Corporate IG USD</v>
          </cell>
          <cell r="G438" t="str">
            <v>SP-Spread Corporate</v>
          </cell>
          <cell r="H438" t="str">
            <v>SPREADS</v>
          </cell>
          <cell r="I438" t="str">
            <v>Corporate IG USD - Industry</v>
          </cell>
        </row>
        <row r="439">
          <cell r="A439" t="str">
            <v>USD_CABLE_IG3</v>
          </cell>
          <cell r="B439" t="str">
            <v>US Media Cable IG</v>
          </cell>
          <cell r="C439" t="str">
            <v>BRS_GOLD__5_SPREADS:BRS_GOLD__4_CORP:BRS_GOLD__3_CSIG:CORP40_IG_US,USD_LIQUID_IG,USD_IG_LIQUID_SF,USD_IG_VLUE_SF,USD_IG_QUAL_SF,USD_IG_REV_SF,USD_IG_VOL_SF:CORP40_US_IND_IG:USD_CABLE_IG3</v>
          </cell>
          <cell r="D439" t="str">
            <v>Spread Duration</v>
          </cell>
          <cell r="E439" t="str">
            <v>Spread Yield (DxS)</v>
          </cell>
          <cell r="F439" t="str">
            <v>SP-Corporate IG USD</v>
          </cell>
          <cell r="G439" t="str">
            <v>SP-Spread Corporate</v>
          </cell>
          <cell r="H439" t="str">
            <v>SPREADS</v>
          </cell>
          <cell r="I439" t="str">
            <v>Corporate IG USD - Industry</v>
          </cell>
        </row>
        <row r="440">
          <cell r="A440" t="str">
            <v>USD_NONCABLE_IG3</v>
          </cell>
          <cell r="B440" t="str">
            <v>US Media Noncable IG</v>
          </cell>
          <cell r="C440" t="str">
            <v>BRS_GOLD__5_SPREADS:BRS_GOLD__4_CORP:BRS_GOLD__3_CSIG:CORP40_IG_US,USD_LIQUID_IG,USD_IG_LIQUID_SF,USD_IG_VLUE_SF,USD_IG_QUAL_SF,USD_IG_REV_SF,USD_IG_VOL_SF:CORP40_US_IND_IG:USD_NONCABLE_IG3</v>
          </cell>
          <cell r="D440" t="str">
            <v>Spread Duration</v>
          </cell>
          <cell r="E440" t="str">
            <v>Spread Yield (DxS)</v>
          </cell>
          <cell r="F440" t="str">
            <v>SP-Corporate IG USD</v>
          </cell>
          <cell r="G440" t="str">
            <v>SP-Spread Corporate</v>
          </cell>
          <cell r="H440" t="str">
            <v>SPREADS</v>
          </cell>
          <cell r="I440" t="str">
            <v>Corporate IG USD - Industry</v>
          </cell>
        </row>
        <row r="441">
          <cell r="A441" t="str">
            <v>USD_METALS_IG3</v>
          </cell>
          <cell r="B441" t="str">
            <v>US Metals IG</v>
          </cell>
          <cell r="C441" t="str">
            <v>BRS_GOLD__5_SPREADS:BRS_GOLD__4_CORP:BRS_GOLD__3_CSIG:CORP40_IG_US,USD_LIQUID_IG,USD_IG_LIQUID_SF,USD_IG_VLUE_SF,USD_IG_QUAL_SF,USD_IG_REV_SF,USD_IG_VOL_SF:CORP40_US_IND_IG:USD_METALS_IG3</v>
          </cell>
          <cell r="D441" t="str">
            <v>Spread Duration</v>
          </cell>
          <cell r="E441" t="str">
            <v>Spread Yield (DxS)</v>
          </cell>
          <cell r="F441" t="str">
            <v>SP-Corporate IG USD</v>
          </cell>
          <cell r="G441" t="str">
            <v>SP-Spread Corporate</v>
          </cell>
          <cell r="H441" t="str">
            <v>SPREADS</v>
          </cell>
          <cell r="I441" t="str">
            <v>Corporate IG USD - Industry</v>
          </cell>
        </row>
        <row r="442">
          <cell r="A442" t="str">
            <v>USD_NONCYCLICAL_IG3</v>
          </cell>
          <cell r="B442" t="str">
            <v>US Noncyclical IG</v>
          </cell>
          <cell r="C442" t="str">
            <v>BRS_GOLD__5_SPREADS:BRS_GOLD__4_CORP:BRS_GOLD__3_CSIG:CORP40_IG_US,USD_LIQUID_IG,USD_IG_LIQUID_SF,USD_IG_VLUE_SF,USD_IG_QUAL_SF,USD_IG_REV_SF,USD_IG_VOL_SF:CORP40_US_IND_IG:USD_NONCYCLICAL_IG3</v>
          </cell>
          <cell r="D442" t="str">
            <v>Spread Duration</v>
          </cell>
          <cell r="E442" t="str">
            <v>Spread Yield (DxS)</v>
          </cell>
          <cell r="F442" t="str">
            <v>SP-Corporate IG USD</v>
          </cell>
          <cell r="G442" t="str">
            <v>SP-Spread Corporate</v>
          </cell>
          <cell r="H442" t="str">
            <v>SPREADS</v>
          </cell>
          <cell r="I442" t="str">
            <v>Corporate IG USD - Industry</v>
          </cell>
        </row>
        <row r="443">
          <cell r="A443" t="str">
            <v>USD_OTHERFIN_IG3</v>
          </cell>
          <cell r="B443" t="str">
            <v>US Other Fin IG</v>
          </cell>
          <cell r="C443" t="str">
            <v>BRS_GOLD__5_SPREADS:BRS_GOLD__4_CORP:BRS_GOLD__3_CSIG:CORP40_IG_US,USD_LIQUID_IG,USD_IG_LIQUID_SF,USD_IG_VLUE_SF,USD_IG_QUAL_SF,USD_IG_REV_SF,USD_IG_VOL_SF:CORP40_US_IND_IG:USD_OTHERFIN_IG3</v>
          </cell>
          <cell r="D443" t="str">
            <v>Spread Duration</v>
          </cell>
          <cell r="E443" t="str">
            <v>Spread Yield (DxS)</v>
          </cell>
          <cell r="F443" t="str">
            <v>SP-Corporate IG USD</v>
          </cell>
          <cell r="G443" t="str">
            <v>SP-Spread Corporate</v>
          </cell>
          <cell r="H443" t="str">
            <v>SPREADS</v>
          </cell>
          <cell r="I443" t="str">
            <v>Corporate IG USD - Industry</v>
          </cell>
        </row>
        <row r="444">
          <cell r="A444" t="str">
            <v>USD_OTHERIND_IG3</v>
          </cell>
          <cell r="B444" t="str">
            <v>US Other Ind IG</v>
          </cell>
          <cell r="C444" t="str">
            <v>BRS_GOLD__5_SPREADS:BRS_GOLD__4_CORP:BRS_GOLD__3_CSIG:CORP40_IG_US,USD_LIQUID_IG,USD_IG_LIQUID_SF,USD_IG_VLUE_SF,USD_IG_QUAL_SF,USD_IG_REV_SF,USD_IG_VOL_SF:CORP40_US_IND_IG:USD_OTHERIND_IG3</v>
          </cell>
          <cell r="D444" t="str">
            <v>Spread Duration</v>
          </cell>
          <cell r="E444" t="str">
            <v>Spread Yield (DxS)</v>
          </cell>
          <cell r="F444" t="str">
            <v>SP-Corporate IG USD</v>
          </cell>
          <cell r="G444" t="str">
            <v>SP-Spread Corporate</v>
          </cell>
          <cell r="H444" t="str">
            <v>SPREADS</v>
          </cell>
          <cell r="I444" t="str">
            <v>Corporate IG USD - Industry</v>
          </cell>
        </row>
        <row r="445">
          <cell r="A445" t="str">
            <v>USD_PAPER_IG3</v>
          </cell>
          <cell r="B445" t="str">
            <v>US Paper IG</v>
          </cell>
          <cell r="C445" t="str">
            <v>BRS_GOLD__5_SPREADS:BRS_GOLD__4_CORP:BRS_GOLD__3_CSIG:CORP40_IG_US,USD_LIQUID_IG,USD_IG_LIQUID_SF,USD_IG_VLUE_SF,USD_IG_QUAL_SF,USD_IG_REV_SF,USD_IG_VOL_SF:CORP40_US_IND_IG:USD_PAPER_IG3</v>
          </cell>
          <cell r="D445" t="str">
            <v>Spread Duration</v>
          </cell>
          <cell r="E445" t="str">
            <v>Spread Yield (DxS)</v>
          </cell>
          <cell r="F445" t="str">
            <v>SP-Corporate IG USD</v>
          </cell>
          <cell r="G445" t="str">
            <v>SP-Spread Corporate</v>
          </cell>
          <cell r="H445" t="str">
            <v>SPREADS</v>
          </cell>
          <cell r="I445" t="str">
            <v>Corporate IG USD - Industry</v>
          </cell>
        </row>
        <row r="446">
          <cell r="A446" t="str">
            <v>USD_PHARMA_IG3</v>
          </cell>
          <cell r="B446" t="str">
            <v>US Pharmaceutical IG</v>
          </cell>
          <cell r="C446" t="str">
            <v>BRS_GOLD__5_SPREADS:BRS_GOLD__4_CORP:BRS_GOLD__3_CSIG:CORP40_IG_US,USD_LIQUID_IG,USD_IG_LIQUID_SF,USD_IG_VLUE_SF,USD_IG_QUAL_SF,USD_IG_REV_SF,USD_IG_VOL_SF:CORP40_US_IND_IG:USD_PHARMA_IG3</v>
          </cell>
          <cell r="D446" t="str">
            <v>Spread Duration</v>
          </cell>
          <cell r="E446" t="str">
            <v>Spread Yield (DxS)</v>
          </cell>
          <cell r="F446" t="str">
            <v>SP-Corporate IG USD</v>
          </cell>
          <cell r="G446" t="str">
            <v>SP-Spread Corporate</v>
          </cell>
          <cell r="H446" t="str">
            <v>SPREADS</v>
          </cell>
          <cell r="I446" t="str">
            <v>Corporate IG USD - Industry</v>
          </cell>
        </row>
        <row r="447">
          <cell r="A447" t="str">
            <v>USD_PNC_IG3</v>
          </cell>
          <cell r="B447" t="str">
            <v>US PnC Insurance IG</v>
          </cell>
          <cell r="C447" t="str">
            <v>BRS_GOLD__5_SPREADS:BRS_GOLD__4_CORP:BRS_GOLD__3_CSIG:CORP40_IG_US,USD_LIQUID_IG,USD_IG_LIQUID_SF,USD_IG_VLUE_SF,USD_IG_QUAL_SF,USD_IG_REV_SF,USD_IG_VOL_SF:CORP40_US_IND_IG:USD_PNC_IG3</v>
          </cell>
          <cell r="D447" t="str">
            <v>Spread Duration</v>
          </cell>
          <cell r="E447" t="str">
            <v>Spread Yield (DxS)</v>
          </cell>
          <cell r="F447" t="str">
            <v>SP-Corporate IG USD</v>
          </cell>
          <cell r="G447" t="str">
            <v>SP-Spread Corporate</v>
          </cell>
          <cell r="H447" t="str">
            <v>SPREADS</v>
          </cell>
          <cell r="I447" t="str">
            <v>Corporate IG USD - Industry</v>
          </cell>
        </row>
        <row r="448">
          <cell r="A448" t="str">
            <v>USD_REIT_IG3</v>
          </cell>
          <cell r="B448" t="str">
            <v>US REIT IG</v>
          </cell>
          <cell r="C448" t="str">
            <v>BRS_GOLD__5_SPREADS:BRS_GOLD__4_CORP:BRS_GOLD__3_CSIG:CORP40_IG_US,USD_LIQUID_IG,USD_IG_LIQUID_SF,USD_IG_VLUE_SF,USD_IG_QUAL_SF,USD_IG_REV_SF,USD_IG_VOL_SF:CORP40_US_IND_IG:USD_REIT_IG3</v>
          </cell>
          <cell r="D448" t="str">
            <v>Spread Duration</v>
          </cell>
          <cell r="E448" t="str">
            <v>Spread Yield (DxS)</v>
          </cell>
          <cell r="F448" t="str">
            <v>SP-Corporate IG USD</v>
          </cell>
          <cell r="G448" t="str">
            <v>SP-Spread Corporate</v>
          </cell>
          <cell r="H448" t="str">
            <v>SPREADS</v>
          </cell>
          <cell r="I448" t="str">
            <v>Corporate IG USD - Industry</v>
          </cell>
        </row>
        <row r="449">
          <cell r="A449" t="str">
            <v>USD_RETAIL_IG3</v>
          </cell>
          <cell r="B449" t="str">
            <v>US Retail IG</v>
          </cell>
          <cell r="C449" t="str">
            <v>BRS_GOLD__5_SPREADS:BRS_GOLD__4_CORP:BRS_GOLD__3_CSIG:CORP40_IG_US,USD_LIQUID_IG,USD_IG_LIQUID_SF,USD_IG_VLUE_SF,USD_IG_QUAL_SF,USD_IG_REV_SF,USD_IG_VOL_SF:CORP40_US_IND_IG:USD_RETAIL_IG3</v>
          </cell>
          <cell r="D449" t="str">
            <v>Spread Duration</v>
          </cell>
          <cell r="E449" t="str">
            <v>Spread Yield (DxS)</v>
          </cell>
          <cell r="F449" t="str">
            <v>SP-Corporate IG USD</v>
          </cell>
          <cell r="G449" t="str">
            <v>SP-Spread Corporate</v>
          </cell>
          <cell r="H449" t="str">
            <v>SPREADS</v>
          </cell>
          <cell r="I449" t="str">
            <v>Corporate IG USD - Industry</v>
          </cell>
        </row>
        <row r="450">
          <cell r="A450" t="str">
            <v>USD_TECH_IG3</v>
          </cell>
          <cell r="B450" t="str">
            <v>US Tech IG</v>
          </cell>
          <cell r="C450" t="str">
            <v>BRS_GOLD__5_SPREADS:BRS_GOLD__4_CORP:BRS_GOLD__3_CSIG:CORP40_IG_US,USD_LIQUID_IG,USD_IG_LIQUID_SF,USD_IG_VLUE_SF,USD_IG_QUAL_SF,USD_IG_REV_SF,USD_IG_VOL_SF:CORP40_US_IND_IG:USD_TECH_IG3</v>
          </cell>
          <cell r="D450" t="str">
            <v>Spread Duration</v>
          </cell>
          <cell r="E450" t="str">
            <v>Spread Yield (DxS)</v>
          </cell>
          <cell r="F450" t="str">
            <v>SP-Corporate IG USD</v>
          </cell>
          <cell r="G450" t="str">
            <v>SP-Spread Corporate</v>
          </cell>
          <cell r="H450" t="str">
            <v>SPREADS</v>
          </cell>
          <cell r="I450" t="str">
            <v>Corporate IG USD - Industry</v>
          </cell>
        </row>
        <row r="451">
          <cell r="A451" t="str">
            <v>USD_TRANSPORT_IG3</v>
          </cell>
          <cell r="B451" t="str">
            <v>US Transport IG</v>
          </cell>
          <cell r="C451" t="str">
            <v>BRS_GOLD__5_SPREADS:BRS_GOLD__4_CORP:BRS_GOLD__3_CSIG:CORP40_IG_US,USD_LIQUID_IG,USD_IG_LIQUID_SF,USD_IG_VLUE_SF,USD_IG_QUAL_SF,USD_IG_REV_SF,USD_IG_VOL_SF:CORP40_US_IND_IG:USD_TRANSPORT_IG3</v>
          </cell>
          <cell r="D451" t="str">
            <v>Spread Duration</v>
          </cell>
          <cell r="E451" t="str">
            <v>Spread Yield (DxS)</v>
          </cell>
          <cell r="F451" t="str">
            <v>SP-Corporate IG USD</v>
          </cell>
          <cell r="G451" t="str">
            <v>SP-Spread Corporate</v>
          </cell>
          <cell r="H451" t="str">
            <v>SPREADS</v>
          </cell>
          <cell r="I451" t="str">
            <v>Corporate IG USD - Industry</v>
          </cell>
        </row>
        <row r="452">
          <cell r="A452" t="str">
            <v>USD_WIRELESS_IG3</v>
          </cell>
          <cell r="B452" t="str">
            <v>US Wireless IG</v>
          </cell>
          <cell r="C452" t="str">
            <v>BRS_GOLD__5_SPREADS:BRS_GOLD__4_CORP:BRS_GOLD__3_CSIG:CORP40_IG_US,USD_LIQUID_IG,USD_IG_LIQUID_SF,USD_IG_VLUE_SF,USD_IG_QUAL_SF,USD_IG_REV_SF,USD_IG_VOL_SF:CORP40_US_IND_IG:USD_WIRELESS_IG3</v>
          </cell>
          <cell r="D452" t="str">
            <v>Spread Duration</v>
          </cell>
          <cell r="E452" t="str">
            <v>Spread Yield (DxS)</v>
          </cell>
          <cell r="F452" t="str">
            <v>SP-Corporate IG USD</v>
          </cell>
          <cell r="G452" t="str">
            <v>SP-Spread Corporate</v>
          </cell>
          <cell r="H452" t="str">
            <v>SPREADS</v>
          </cell>
          <cell r="I452" t="str">
            <v>Corporate IG USD - Industry</v>
          </cell>
        </row>
        <row r="453">
          <cell r="A453" t="str">
            <v>USD_WIRELINES_IG3</v>
          </cell>
          <cell r="B453" t="str">
            <v>US Wirelines IG</v>
          </cell>
          <cell r="C453" t="str">
            <v>BRS_GOLD__5_SPREADS:BRS_GOLD__4_CORP:BRS_GOLD__3_CSIG:CORP40_IG_US,USD_LIQUID_IG,USD_IG_LIQUID_SF,USD_IG_VLUE_SF,USD_IG_QUAL_SF,USD_IG_REV_SF,USD_IG_VOL_SF:CORP40_US_IND_IG:USD_WIRELINES_IG3</v>
          </cell>
          <cell r="D453" t="str">
            <v>Spread Duration</v>
          </cell>
          <cell r="E453" t="str">
            <v>Spread Yield (DxS)</v>
          </cell>
          <cell r="F453" t="str">
            <v>SP-Corporate IG USD</v>
          </cell>
          <cell r="G453" t="str">
            <v>SP-Spread Corporate</v>
          </cell>
          <cell r="H453" t="str">
            <v>SPREADS</v>
          </cell>
          <cell r="I453" t="str">
            <v>Corporate IG USD - Industry</v>
          </cell>
        </row>
        <row r="454">
          <cell r="A454" t="str">
            <v>USD_IG_METALS_SF</v>
          </cell>
          <cell r="B454" t="str">
            <v>US IG Metals</v>
          </cell>
          <cell r="C454" t="str">
            <v>BRS_GOLD__5_SPREADS:BRS_GOLD__4_CORP:BRS_GOLD__3_CSIG:CORP40_IG_US,USD_LIQUID_IG,USD_IG_LIQUID_SF,USD_IG_VLUE_SF,USD_IG_QUAL_SF,USD_IG_REV_SF,USD_IG_VOL_SF:CORP40_US_IND_IG:USD_IG_METALS_SF</v>
          </cell>
          <cell r="D454" t="str">
            <v>Spread Duration</v>
          </cell>
          <cell r="E454" t="str">
            <v>Spread Yield (DxS)</v>
          </cell>
          <cell r="F454" t="str">
            <v>SP-Corporate IG USD</v>
          </cell>
          <cell r="G454" t="str">
            <v>SP-Spread Corporate</v>
          </cell>
          <cell r="H454" t="str">
            <v>SPREADS</v>
          </cell>
          <cell r="I454" t="str">
            <v>Corporate IG USD - Industry</v>
          </cell>
        </row>
        <row r="455">
          <cell r="A455" t="str">
            <v>USD_IG_INTG_SF</v>
          </cell>
          <cell r="B455" t="str">
            <v>US IG Integrated</v>
          </cell>
          <cell r="C455" t="str">
            <v>BRS_GOLD__5_SPREADS:BRS_GOLD__4_CORP:BRS_GOLD__3_CSIG:CORP40_IG_US,USD_LIQUID_IG,USD_IG_LIQUID_SF,USD_IG_VLUE_SF,USD_IG_QUAL_SF,USD_IG_REV_SF,USD_IG_VOL_SF:CORP40_US_IND_IG:USD_IG_INTG_SF</v>
          </cell>
          <cell r="D455" t="str">
            <v>Spread Duration</v>
          </cell>
          <cell r="E455" t="str">
            <v>Spread Yield (DxS)</v>
          </cell>
          <cell r="F455" t="str">
            <v>SP-Corporate IG USD</v>
          </cell>
          <cell r="G455" t="str">
            <v>SP-Spread Corporate</v>
          </cell>
          <cell r="H455" t="str">
            <v>SPREADS</v>
          </cell>
          <cell r="I455" t="str">
            <v>Corporate IG USD - Industry</v>
          </cell>
        </row>
        <row r="456">
          <cell r="A456" t="str">
            <v>USD_IG_INDE_SF</v>
          </cell>
          <cell r="B456" t="str">
            <v>US IG Independent</v>
          </cell>
          <cell r="C456" t="str">
            <v>BRS_GOLD__5_SPREADS:BRS_GOLD__4_CORP:BRS_GOLD__3_CSIG:CORP40_IG_US,USD_LIQUID_IG,USD_IG_LIQUID_SF,USD_IG_VLUE_SF,USD_IG_QUAL_SF,USD_IG_REV_SF,USD_IG_VOL_SF:CORP40_US_IND_IG:USD_IG_INDE_SF</v>
          </cell>
          <cell r="D456" t="str">
            <v>Spread Duration</v>
          </cell>
          <cell r="E456" t="str">
            <v>Spread Yield (DxS)</v>
          </cell>
          <cell r="F456" t="str">
            <v>SP-Corporate IG USD</v>
          </cell>
          <cell r="G456" t="str">
            <v>SP-Spread Corporate</v>
          </cell>
          <cell r="H456" t="str">
            <v>SPREADS</v>
          </cell>
          <cell r="I456" t="str">
            <v>Corporate IG USD - Industry</v>
          </cell>
        </row>
        <row r="457">
          <cell r="A457" t="str">
            <v>USD_IG_MDST_SF</v>
          </cell>
          <cell r="B457" t="str">
            <v>US IG Midstream</v>
          </cell>
          <cell r="C457" t="str">
            <v>BRS_GOLD__5_SPREADS:BRS_GOLD__4_CORP:BRS_GOLD__3_CSIG:CORP40_IG_US,USD_LIQUID_IG,USD_IG_LIQUID_SF,USD_IG_VLUE_SF,USD_IG_QUAL_SF,USD_IG_REV_SF,USD_IG_VOL_SF:CORP40_US_IND_IG:USD_IG_MDST_SF</v>
          </cell>
          <cell r="D457" t="str">
            <v>Spread Duration</v>
          </cell>
          <cell r="E457" t="str">
            <v>Spread Yield (DxS)</v>
          </cell>
          <cell r="F457" t="str">
            <v>SP-Corporate IG USD</v>
          </cell>
          <cell r="G457" t="str">
            <v>SP-Spread Corporate</v>
          </cell>
          <cell r="H457" t="str">
            <v>SPREADS</v>
          </cell>
          <cell r="I457" t="str">
            <v>Corporate IG USD - Industry</v>
          </cell>
        </row>
        <row r="458">
          <cell r="A458" t="str">
            <v>USD_IG_ELECTRIC_SF</v>
          </cell>
          <cell r="B458" t="str">
            <v>US IG Electric</v>
          </cell>
          <cell r="C458" t="str">
            <v>BRS_GOLD__5_SPREADS:BRS_GOLD__4_CORP:BRS_GOLD__3_CSIG:CORP40_IG_US,USD_LIQUID_IG,USD_IG_LIQUID_SF,USD_IG_VLUE_SF,USD_IG_QUAL_SF,USD_IG_REV_SF,USD_IG_VOL_SF:CORP40_US_IND_IG:USD_IG_ELECTRIC_SF</v>
          </cell>
          <cell r="D458" t="str">
            <v>Spread Duration</v>
          </cell>
          <cell r="E458" t="str">
            <v>Spread Yield (DxS)</v>
          </cell>
          <cell r="F458" t="str">
            <v>SP-Corporate IG USD</v>
          </cell>
          <cell r="G458" t="str">
            <v>SP-Spread Corporate</v>
          </cell>
          <cell r="H458" t="str">
            <v>SPREADS</v>
          </cell>
          <cell r="I458" t="str">
            <v>Corporate IG USD - Industry</v>
          </cell>
        </row>
        <row r="459">
          <cell r="A459" t="str">
            <v>USD_IG_CHEMICALS_SF</v>
          </cell>
          <cell r="B459" t="str">
            <v>US IG Chemicals</v>
          </cell>
          <cell r="C459" t="str">
            <v>BRS_GOLD__5_SPREADS:BRS_GOLD__4_CORP:BRS_GOLD__3_CSIG:CORP40_IG_US,USD_LIQUID_IG,USD_IG_LIQUID_SF,USD_IG_VLUE_SF,USD_IG_QUAL_SF,USD_IG_REV_SF,USD_IG_VOL_SF:CORP40_US_IND_IG:USD_IG_CHEMICALS_SF</v>
          </cell>
          <cell r="D459" t="str">
            <v>Spread Duration</v>
          </cell>
          <cell r="E459" t="str">
            <v>Spread Yield (DxS)</v>
          </cell>
          <cell r="F459" t="str">
            <v>SP-Corporate IG USD</v>
          </cell>
          <cell r="G459" t="str">
            <v>SP-Spread Corporate</v>
          </cell>
          <cell r="H459" t="str">
            <v>SPREADS</v>
          </cell>
          <cell r="I459" t="str">
            <v>Corporate IG USD - Industry</v>
          </cell>
        </row>
        <row r="460">
          <cell r="A460" t="str">
            <v>USD_IG_BLDG_SF</v>
          </cell>
          <cell r="B460" t="str">
            <v>US IG Building Materials</v>
          </cell>
          <cell r="C460" t="str">
            <v>BRS_GOLD__5_SPREADS:BRS_GOLD__4_CORP:BRS_GOLD__3_CSIG:CORP40_IG_US,USD_LIQUID_IG,USD_IG_LIQUID_SF,USD_IG_VLUE_SF,USD_IG_QUAL_SF,USD_IG_REV_SF,USD_IG_VOL_SF:CORP40_US_IND_IG:USD_IG_BLDG_SF</v>
          </cell>
          <cell r="D460" t="str">
            <v>Spread Duration</v>
          </cell>
          <cell r="E460" t="str">
            <v>Spread Yield (DxS)</v>
          </cell>
          <cell r="F460" t="str">
            <v>SP-Corporate IG USD</v>
          </cell>
          <cell r="G460" t="str">
            <v>SP-Spread Corporate</v>
          </cell>
          <cell r="H460" t="str">
            <v>SPREADS</v>
          </cell>
          <cell r="I460" t="str">
            <v>Corporate IG USD - Industry</v>
          </cell>
        </row>
        <row r="461">
          <cell r="A461" t="str">
            <v>USD_IG_PAPER_SF</v>
          </cell>
          <cell r="B461" t="str">
            <v>US IG Paper</v>
          </cell>
          <cell r="C461" t="str">
            <v>BRS_GOLD__5_SPREADS:BRS_GOLD__4_CORP:BRS_GOLD__3_CSIG:CORP40_IG_US,USD_LIQUID_IG,USD_IG_LIQUID_SF,USD_IG_VLUE_SF,USD_IG_QUAL_SF,USD_IG_REV_SF,USD_IG_VOL_SF:CORP40_US_IND_IG:USD_IG_PAPER_SF</v>
          </cell>
          <cell r="D461" t="str">
            <v>Spread Duration</v>
          </cell>
          <cell r="E461" t="str">
            <v>Spread Yield (DxS)</v>
          </cell>
          <cell r="F461" t="str">
            <v>SP-Corporate IG USD</v>
          </cell>
          <cell r="G461" t="str">
            <v>SP-Spread Corporate</v>
          </cell>
          <cell r="H461" t="str">
            <v>SPREADS</v>
          </cell>
          <cell r="I461" t="str">
            <v>Corporate IG USD - Industry</v>
          </cell>
        </row>
        <row r="462">
          <cell r="A462" t="str">
            <v>USD_IG_ABEP_SF</v>
          </cell>
          <cell r="B462" t="str">
            <v>US IG Aerospace, Environmental</v>
          </cell>
          <cell r="C462" t="str">
            <v>BRS_GOLD__5_SPREADS:BRS_GOLD__4_CORP:BRS_GOLD__3_CSIG:CORP40_IG_US,USD_LIQUID_IG,USD_IG_LIQUID_SF,USD_IG_VLUE_SF,USD_IG_QUAL_SF,USD_IG_REV_SF,USD_IG_VOL_SF:CORP40_US_IND_IG:USD_IG_ABEP_SF</v>
          </cell>
          <cell r="D462" t="str">
            <v>Spread Duration</v>
          </cell>
          <cell r="E462" t="str">
            <v>Spread Yield (DxS)</v>
          </cell>
          <cell r="F462" t="str">
            <v>SP-Corporate IG USD</v>
          </cell>
          <cell r="G462" t="str">
            <v>SP-Spread Corporate</v>
          </cell>
          <cell r="H462" t="str">
            <v>SPREADS</v>
          </cell>
          <cell r="I462" t="str">
            <v>Corporate IG USD - Industry</v>
          </cell>
        </row>
        <row r="463">
          <cell r="A463" t="str">
            <v>USD_IG_MANUMACH_SF</v>
          </cell>
          <cell r="B463" t="str">
            <v>US IG Manufacturing and Machin</v>
          </cell>
          <cell r="C463" t="str">
            <v>BRS_GOLD__5_SPREADS:BRS_GOLD__4_CORP:BRS_GOLD__3_CSIG:CORP40_IG_US,USD_LIQUID_IG,USD_IG_LIQUID_SF,USD_IG_VLUE_SF,USD_IG_QUAL_SF,USD_IG_REV_SF,USD_IG_VOL_SF:CORP40_US_IND_IG:USD_IG_MANUMACH_SF</v>
          </cell>
          <cell r="D463" t="str">
            <v>Spread Duration</v>
          </cell>
          <cell r="E463" t="str">
            <v>Spread Yield (DxS)</v>
          </cell>
          <cell r="F463" t="str">
            <v>SP-Corporate IG USD</v>
          </cell>
          <cell r="G463" t="str">
            <v>SP-Spread Corporate</v>
          </cell>
          <cell r="H463" t="str">
            <v>SPREADS</v>
          </cell>
          <cell r="I463" t="str">
            <v>Corporate IG USD - Industry</v>
          </cell>
        </row>
        <row r="464">
          <cell r="A464" t="str">
            <v>USD_IG_NONCABLE_SF</v>
          </cell>
          <cell r="B464" t="str">
            <v>US IG Media Noncable</v>
          </cell>
          <cell r="C464" t="str">
            <v>BRS_GOLD__5_SPREADS:BRS_GOLD__4_CORP:BRS_GOLD__3_CSIG:CORP40_IG_US,USD_LIQUID_IG,USD_IG_LIQUID_SF,USD_IG_VLUE_SF,USD_IG_QUAL_SF,USD_IG_REV_SF,USD_IG_VOL_SF:CORP40_US_IND_IG:USD_IG_NONCABLE_SF</v>
          </cell>
          <cell r="D464" t="str">
            <v>Spread Duration</v>
          </cell>
          <cell r="E464" t="str">
            <v>Spread Yield (DxS)</v>
          </cell>
          <cell r="F464" t="str">
            <v>SP-Corporate IG USD</v>
          </cell>
          <cell r="G464" t="str">
            <v>SP-Spread Corporate</v>
          </cell>
          <cell r="H464" t="str">
            <v>SPREADS</v>
          </cell>
          <cell r="I464" t="str">
            <v>Corporate IG USD - Industry</v>
          </cell>
        </row>
        <row r="465">
          <cell r="A465" t="str">
            <v>USD_IG_CYCLICAL_SF</v>
          </cell>
          <cell r="B465" t="str">
            <v>US IG Cyclical</v>
          </cell>
          <cell r="C465" t="str">
            <v>BRS_GOLD__5_SPREADS:BRS_GOLD__4_CORP:BRS_GOLD__3_CSIG:CORP40_IG_US,USD_LIQUID_IG,USD_IG_LIQUID_SF,USD_IG_VLUE_SF,USD_IG_QUAL_SF,USD_IG_REV_SF,USD_IG_VOL_SF:CORP40_US_IND_IG:USD_IG_CYCLICAL_SF</v>
          </cell>
          <cell r="D465" t="str">
            <v>Spread Duration</v>
          </cell>
          <cell r="E465" t="str">
            <v>Spread Yield (DxS)</v>
          </cell>
          <cell r="F465" t="str">
            <v>SP-Corporate IG USD</v>
          </cell>
          <cell r="G465" t="str">
            <v>SP-Spread Corporate</v>
          </cell>
          <cell r="H465" t="str">
            <v>SPREADS</v>
          </cell>
          <cell r="I465" t="str">
            <v>Corporate IG USD - Industry</v>
          </cell>
        </row>
        <row r="466">
          <cell r="A466" t="str">
            <v>USD_IG_OTHERIND_SF</v>
          </cell>
          <cell r="B466" t="str">
            <v>US IG Other Industrial</v>
          </cell>
          <cell r="C466" t="str">
            <v>BRS_GOLD__5_SPREADS:BRS_GOLD__4_CORP:BRS_GOLD__3_CSIG:CORP40_IG_US,USD_LIQUID_IG,USD_IG_LIQUID_SF,USD_IG_VLUE_SF,USD_IG_QUAL_SF,USD_IG_REV_SF,USD_IG_VOL_SF:CORP40_US_IND_IG:USD_IG_OTHERIND_SF</v>
          </cell>
          <cell r="D466" t="str">
            <v>Spread Duration</v>
          </cell>
          <cell r="E466" t="str">
            <v>Spread Yield (DxS)</v>
          </cell>
          <cell r="F466" t="str">
            <v>SP-Corporate IG USD</v>
          </cell>
          <cell r="G466" t="str">
            <v>SP-Spread Corporate</v>
          </cell>
          <cell r="H466" t="str">
            <v>SPREADS</v>
          </cell>
          <cell r="I466" t="str">
            <v>Corporate IG USD - Industry</v>
          </cell>
        </row>
        <row r="467">
          <cell r="A467" t="str">
            <v>USD_IG_TRANSPORT_SF</v>
          </cell>
          <cell r="B467" t="str">
            <v>US IG Transportation</v>
          </cell>
          <cell r="C467" t="str">
            <v>BRS_GOLD__5_SPREADS:BRS_GOLD__4_CORP:BRS_GOLD__3_CSIG:CORP40_IG_US,USD_LIQUID_IG,USD_IG_LIQUID_SF,USD_IG_VLUE_SF,USD_IG_QUAL_SF,USD_IG_REV_SF,USD_IG_VOL_SF:CORP40_US_IND_IG:USD_IG_TRANSPORT_SF</v>
          </cell>
          <cell r="D467" t="str">
            <v>Spread Duration</v>
          </cell>
          <cell r="E467" t="str">
            <v>Spread Yield (DxS)</v>
          </cell>
          <cell r="F467" t="str">
            <v>SP-Corporate IG USD</v>
          </cell>
          <cell r="G467" t="str">
            <v>SP-Spread Corporate</v>
          </cell>
          <cell r="H467" t="str">
            <v>SPREADS</v>
          </cell>
          <cell r="I467" t="str">
            <v>Corporate IG USD - Industry</v>
          </cell>
        </row>
        <row r="468">
          <cell r="A468" t="str">
            <v>USD_IG_AIRL_SF</v>
          </cell>
          <cell r="B468" t="str">
            <v>US IG Airlines</v>
          </cell>
          <cell r="C468" t="str">
            <v>BRS_GOLD__5_SPREADS:BRS_GOLD__4_CORP:BRS_GOLD__3_CSIG:CORP40_IG_US,USD_LIQUID_IG,USD_IG_LIQUID_SF,USD_IG_VLUE_SF,USD_IG_QUAL_SF,USD_IG_REV_SF,USD_IG_VOL_SF:CORP40_US_IND_IG:USD_IG_AIRL_SF</v>
          </cell>
          <cell r="D468" t="str">
            <v>Spread Duration</v>
          </cell>
          <cell r="E468" t="str">
            <v>Spread Yield (DxS)</v>
          </cell>
          <cell r="F468" t="str">
            <v>SP-Corporate IG USD</v>
          </cell>
          <cell r="G468" t="str">
            <v>SP-Spread Corporate</v>
          </cell>
          <cell r="H468" t="str">
            <v>SPREADS</v>
          </cell>
          <cell r="I468" t="str">
            <v>Corporate IG USD - Industry</v>
          </cell>
        </row>
        <row r="469">
          <cell r="A469" t="str">
            <v>USD_IG_AUTO_SF</v>
          </cell>
          <cell r="B469" t="str">
            <v>US IG Auto</v>
          </cell>
          <cell r="C469" t="str">
            <v>BRS_GOLD__5_SPREADS:BRS_GOLD__4_CORP:BRS_GOLD__3_CSIG:CORP40_IG_US,USD_LIQUID_IG,USD_IG_LIQUID_SF,USD_IG_VLUE_SF,USD_IG_QUAL_SF,USD_IG_REV_SF,USD_IG_VOL_SF:CORP40_US_IND_IG:USD_IG_AUTO_SF</v>
          </cell>
          <cell r="D469" t="str">
            <v>Spread Duration</v>
          </cell>
          <cell r="E469" t="str">
            <v>Spread Yield (DxS)</v>
          </cell>
          <cell r="F469" t="str">
            <v>SP-Corporate IG USD</v>
          </cell>
          <cell r="G469" t="str">
            <v>SP-Spread Corporate</v>
          </cell>
          <cell r="H469" t="str">
            <v>SPREADS</v>
          </cell>
          <cell r="I469" t="str">
            <v>Corporate IG USD - Industry</v>
          </cell>
        </row>
        <row r="470">
          <cell r="A470" t="str">
            <v>USD_IG_RETAIL_SF</v>
          </cell>
          <cell r="B470" t="str">
            <v>US IG Retail</v>
          </cell>
          <cell r="C470" t="str">
            <v>BRS_GOLD__5_SPREADS:BRS_GOLD__4_CORP:BRS_GOLD__3_CSIG:CORP40_IG_US,USD_LIQUID_IG,USD_IG_LIQUID_SF,USD_IG_VLUE_SF,USD_IG_QUAL_SF,USD_IG_REV_SF,USD_IG_VOL_SF:CORP40_US_IND_IG:USD_IG_RETAIL_SF</v>
          </cell>
          <cell r="D470" t="str">
            <v>Spread Duration</v>
          </cell>
          <cell r="E470" t="str">
            <v>Spread Yield (DxS)</v>
          </cell>
          <cell r="F470" t="str">
            <v>SP-Corporate IG USD</v>
          </cell>
          <cell r="G470" t="str">
            <v>SP-Spread Corporate</v>
          </cell>
          <cell r="H470" t="str">
            <v>SPREADS</v>
          </cell>
          <cell r="I470" t="str">
            <v>Corporate IG USD - Industry</v>
          </cell>
        </row>
        <row r="471">
          <cell r="A471" t="str">
            <v>USD_IG_NONCYCLICAL_SF</v>
          </cell>
          <cell r="B471" t="str">
            <v>US IG Noncyclical</v>
          </cell>
          <cell r="C471" t="str">
            <v>BRS_GOLD__5_SPREADS:BRS_GOLD__4_CORP:BRS_GOLD__3_CSIG:CORP40_IG_US,USD_LIQUID_IG,USD_IG_LIQUID_SF,USD_IG_VLUE_SF,USD_IG_QUAL_SF,USD_IG_REV_SF,USD_IG_VOL_SF:CORP40_US_IND_IG:USD_IG_NONCYCLICAL_SF</v>
          </cell>
          <cell r="D471" t="str">
            <v>Spread Duration</v>
          </cell>
          <cell r="E471" t="str">
            <v>Spread Yield (DxS)</v>
          </cell>
          <cell r="F471" t="str">
            <v>SP-Corporate IG USD</v>
          </cell>
          <cell r="G471" t="str">
            <v>SP-Spread Corporate</v>
          </cell>
          <cell r="H471" t="str">
            <v>SPREADS</v>
          </cell>
          <cell r="I471" t="str">
            <v>Corporate IG USD - Industry</v>
          </cell>
        </row>
        <row r="472">
          <cell r="A472" t="str">
            <v>USD_IG_PHARMA_SF</v>
          </cell>
          <cell r="B472" t="str">
            <v>US IG Pharmaceutical</v>
          </cell>
          <cell r="C472" t="str">
            <v>BRS_GOLD__5_SPREADS:BRS_GOLD__4_CORP:BRS_GOLD__3_CSIG:CORP40_IG_US,USD_LIQUID_IG,USD_IG_LIQUID_SF,USD_IG_VLUE_SF,USD_IG_QUAL_SF,USD_IG_REV_SF,USD_IG_VOL_SF:CORP40_US_IND_IG:USD_IG_PHARMA_SF</v>
          </cell>
          <cell r="D472" t="str">
            <v>Spread Duration</v>
          </cell>
          <cell r="E472" t="str">
            <v>Spread Yield (DxS)</v>
          </cell>
          <cell r="F472" t="str">
            <v>SP-Corporate IG USD</v>
          </cell>
          <cell r="G472" t="str">
            <v>SP-Spread Corporate</v>
          </cell>
          <cell r="H472" t="str">
            <v>SPREADS</v>
          </cell>
          <cell r="I472" t="str">
            <v>Corporate IG USD - Industry</v>
          </cell>
        </row>
        <row r="473">
          <cell r="A473" t="str">
            <v>USD_IG_BANKBROK_SF</v>
          </cell>
          <cell r="B473" t="str">
            <v>US IG Banking</v>
          </cell>
          <cell r="C473" t="str">
            <v>BRS_GOLD__5_SPREADS:BRS_GOLD__4_CORP:BRS_GOLD__3_CSIG:CORP40_IG_US,USD_LIQUID_IG,USD_IG_LIQUID_SF,USD_IG_VLUE_SF,USD_IG_QUAL_SF,USD_IG_REV_SF,USD_IG_VOL_SF:CORP40_US_IND_IG:USD_IG_BANKBROK_SF</v>
          </cell>
          <cell r="D473" t="str">
            <v>Spread Duration</v>
          </cell>
          <cell r="E473" t="str">
            <v>Spread Yield (DxS)</v>
          </cell>
          <cell r="F473" t="str">
            <v>SP-Corporate IG USD</v>
          </cell>
          <cell r="G473" t="str">
            <v>SP-Spread Corporate</v>
          </cell>
          <cell r="H473" t="str">
            <v>SPREADS</v>
          </cell>
          <cell r="I473" t="str">
            <v>Corporate IG USD - Industry</v>
          </cell>
        </row>
        <row r="474">
          <cell r="A474" t="str">
            <v>USD_IG_OTHERFIN_SF</v>
          </cell>
          <cell r="B474" t="str">
            <v>US IG Other Financial</v>
          </cell>
          <cell r="C474" t="str">
            <v>BRS_GOLD__5_SPREADS:BRS_GOLD__4_CORP:BRS_GOLD__3_CSIG:CORP40_IG_US,USD_LIQUID_IG,USD_IG_LIQUID_SF,USD_IG_VLUE_SF,USD_IG_QUAL_SF,USD_IG_REV_SF,USD_IG_VOL_SF:CORP40_US_IND_IG:USD_IG_OTHERFIN_SF</v>
          </cell>
          <cell r="D474" t="str">
            <v>Spread Duration</v>
          </cell>
          <cell r="E474" t="str">
            <v>Spread Yield (DxS)</v>
          </cell>
          <cell r="F474" t="str">
            <v>SP-Corporate IG USD</v>
          </cell>
          <cell r="G474" t="str">
            <v>SP-Spread Corporate</v>
          </cell>
          <cell r="H474" t="str">
            <v>SPREADS</v>
          </cell>
          <cell r="I474" t="str">
            <v>Corporate IG USD - Industry</v>
          </cell>
        </row>
        <row r="475">
          <cell r="A475" t="str">
            <v>USD_IG_PNC_SF</v>
          </cell>
          <cell r="B475" t="str">
            <v>US IG PnC Insurance</v>
          </cell>
          <cell r="C475" t="str">
            <v>BRS_GOLD__5_SPREADS:BRS_GOLD__4_CORP:BRS_GOLD__3_CSIG:CORP40_IG_US,USD_LIQUID_IG,USD_IG_LIQUID_SF,USD_IG_VLUE_SF,USD_IG_QUAL_SF,USD_IG_REV_SF,USD_IG_VOL_SF:CORP40_US_IND_IG:USD_IG_PNC_SF</v>
          </cell>
          <cell r="D475" t="str">
            <v>Spread Duration</v>
          </cell>
          <cell r="E475" t="str">
            <v>Spread Yield (DxS)</v>
          </cell>
          <cell r="F475" t="str">
            <v>SP-Corporate IG USD</v>
          </cell>
          <cell r="G475" t="str">
            <v>SP-Spread Corporate</v>
          </cell>
          <cell r="H475" t="str">
            <v>SPREADS</v>
          </cell>
          <cell r="I475" t="str">
            <v>Corporate IG USD - Industry</v>
          </cell>
        </row>
        <row r="476">
          <cell r="A476" t="str">
            <v>USD_IG_LIFE_SF</v>
          </cell>
          <cell r="B476" t="str">
            <v>US IG Life Insurance</v>
          </cell>
          <cell r="C476" t="str">
            <v>BRS_GOLD__5_SPREADS:BRS_GOLD__4_CORP:BRS_GOLD__3_CSIG:CORP40_IG_US,USD_LIQUID_IG,USD_IG_LIQUID_SF,USD_IG_VLUE_SF,USD_IG_QUAL_SF,USD_IG_REV_SF,USD_IG_VOL_SF:CORP40_US_IND_IG:USD_IG_LIFE_SF</v>
          </cell>
          <cell r="D476" t="str">
            <v>Spread Duration</v>
          </cell>
          <cell r="E476" t="str">
            <v>Spread Yield (DxS)</v>
          </cell>
          <cell r="F476" t="str">
            <v>SP-Corporate IG USD</v>
          </cell>
          <cell r="G476" t="str">
            <v>SP-Spread Corporate</v>
          </cell>
          <cell r="H476" t="str">
            <v>SPREADS</v>
          </cell>
          <cell r="I476" t="str">
            <v>Corporate IG USD - Industry</v>
          </cell>
        </row>
        <row r="477">
          <cell r="A477" t="str">
            <v>USD_IG_HEALTHCARE_SF</v>
          </cell>
          <cell r="B477" t="str">
            <v>US IG Healthcare</v>
          </cell>
          <cell r="C477" t="str">
            <v>BRS_GOLD__5_SPREADS:BRS_GOLD__4_CORP:BRS_GOLD__3_CSIG:CORP40_IG_US,USD_LIQUID_IG,USD_IG_LIQUID_SF,USD_IG_VLUE_SF,USD_IG_QUAL_SF,USD_IG_REV_SF,USD_IG_VOL_SF:CORP40_US_IND_IG:USD_IG_HEALTHCARE_SF</v>
          </cell>
          <cell r="D477" t="str">
            <v>Spread Duration</v>
          </cell>
          <cell r="E477" t="str">
            <v>Spread Yield (DxS)</v>
          </cell>
          <cell r="F477" t="str">
            <v>SP-Corporate IG USD</v>
          </cell>
          <cell r="G477" t="str">
            <v>SP-Spread Corporate</v>
          </cell>
          <cell r="H477" t="str">
            <v>SPREADS</v>
          </cell>
          <cell r="I477" t="str">
            <v>Corporate IG USD - Industry</v>
          </cell>
        </row>
        <row r="478">
          <cell r="A478" t="str">
            <v>USD_IG_HEAI_SF</v>
          </cell>
          <cell r="B478" t="str">
            <v>US IG Health Insurance</v>
          </cell>
          <cell r="C478" t="str">
            <v>BRS_GOLD__5_SPREADS:BRS_GOLD__4_CORP:BRS_GOLD__3_CSIG:CORP40_IG_US,USD_LIQUID_IG,USD_IG_LIQUID_SF,USD_IG_VLUE_SF,USD_IG_QUAL_SF,USD_IG_REV_SF,USD_IG_VOL_SF:CORP40_US_IND_IG:USD_IG_HEAI_SF</v>
          </cell>
          <cell r="D478" t="str">
            <v>Spread Duration</v>
          </cell>
          <cell r="E478" t="str">
            <v>Spread Yield (DxS)</v>
          </cell>
          <cell r="F478" t="str">
            <v>SP-Corporate IG USD</v>
          </cell>
          <cell r="G478" t="str">
            <v>SP-Spread Corporate</v>
          </cell>
          <cell r="H478" t="str">
            <v>SPREADS</v>
          </cell>
          <cell r="I478" t="str">
            <v>Corporate IG USD - Industry</v>
          </cell>
        </row>
        <row r="479">
          <cell r="A479" t="str">
            <v>USD_IG_SEMI_SF</v>
          </cell>
          <cell r="B479" t="str">
            <v>US IG Semiconductors</v>
          </cell>
          <cell r="C479" t="str">
            <v>BRS_GOLD__5_SPREADS:BRS_GOLD__4_CORP:BRS_GOLD__3_CSIG:CORP40_IG_US,USD_LIQUID_IG,USD_IG_LIQUID_SF,USD_IG_VLUE_SF,USD_IG_QUAL_SF,USD_IG_REV_SF,USD_IG_VOL_SF:CORP40_US_IND_IG:USD_IG_SEMI_SF</v>
          </cell>
          <cell r="D479" t="str">
            <v>Spread Duration</v>
          </cell>
          <cell r="E479" t="str">
            <v>Spread Yield (DxS)</v>
          </cell>
          <cell r="F479" t="str">
            <v>SP-Corporate IG USD</v>
          </cell>
          <cell r="G479" t="str">
            <v>SP-Spread Corporate</v>
          </cell>
          <cell r="H479" t="str">
            <v>SPREADS</v>
          </cell>
          <cell r="I479" t="str">
            <v>Corporate IG USD - Industry</v>
          </cell>
        </row>
        <row r="480">
          <cell r="A480" t="str">
            <v>USD_IG_CMPT_SF</v>
          </cell>
          <cell r="B480" t="str">
            <v>US IG Computer Hardware</v>
          </cell>
          <cell r="C480" t="str">
            <v>BRS_GOLD__5_SPREADS:BRS_GOLD__4_CORP:BRS_GOLD__3_CSIG:CORP40_IG_US,USD_LIQUID_IG,USD_IG_LIQUID_SF,USD_IG_VLUE_SF,USD_IG_QUAL_SF,USD_IG_REV_SF,USD_IG_VOL_SF:CORP40_US_IND_IG:USD_IG_CMPT_SF</v>
          </cell>
          <cell r="D480" t="str">
            <v>Spread Duration</v>
          </cell>
          <cell r="E480" t="str">
            <v>Spread Yield (DxS)</v>
          </cell>
          <cell r="F480" t="str">
            <v>SP-Corporate IG USD</v>
          </cell>
          <cell r="G480" t="str">
            <v>SP-Spread Corporate</v>
          </cell>
          <cell r="H480" t="str">
            <v>SPREADS</v>
          </cell>
          <cell r="I480" t="str">
            <v>Corporate IG USD - Industry</v>
          </cell>
        </row>
        <row r="481">
          <cell r="A481" t="str">
            <v>USD_IG_ITSV_SF</v>
          </cell>
          <cell r="B481" t="str">
            <v>US IG IT Services</v>
          </cell>
          <cell r="C481" t="str">
            <v>BRS_GOLD__5_SPREADS:BRS_GOLD__4_CORP:BRS_GOLD__3_CSIG:CORP40_IG_US,USD_LIQUID_IG,USD_IG_LIQUID_SF,USD_IG_VLUE_SF,USD_IG_QUAL_SF,USD_IG_REV_SF,USD_IG_VOL_SF:CORP40_US_IND_IG:USD_IG_ITSV_SF</v>
          </cell>
          <cell r="D481" t="str">
            <v>Spread Duration</v>
          </cell>
          <cell r="E481" t="str">
            <v>Spread Yield (DxS)</v>
          </cell>
          <cell r="F481" t="str">
            <v>SP-Corporate IG USD</v>
          </cell>
          <cell r="G481" t="str">
            <v>SP-Spread Corporate</v>
          </cell>
          <cell r="H481" t="str">
            <v>SPREADS</v>
          </cell>
          <cell r="I481" t="str">
            <v>Corporate IG USD - Industry</v>
          </cell>
        </row>
        <row r="482">
          <cell r="A482" t="str">
            <v>USD_IG_SOFT_SF</v>
          </cell>
          <cell r="B482" t="str">
            <v>US IG Software</v>
          </cell>
          <cell r="C482" t="str">
            <v>BRS_GOLD__5_SPREADS:BRS_GOLD__4_CORP:BRS_GOLD__3_CSIG:CORP40_IG_US,USD_LIQUID_IG,USD_IG_LIQUID_SF,USD_IG_VLUE_SF,USD_IG_QUAL_SF,USD_IG_REV_SF,USD_IG_VOL_SF:CORP40_US_IND_IG:USD_IG_SOFT_SF</v>
          </cell>
          <cell r="D482" t="str">
            <v>Spread Duration</v>
          </cell>
          <cell r="E482" t="str">
            <v>Spread Yield (DxS)</v>
          </cell>
          <cell r="F482" t="str">
            <v>SP-Corporate IG USD</v>
          </cell>
          <cell r="G482" t="str">
            <v>SP-Spread Corporate</v>
          </cell>
          <cell r="H482" t="str">
            <v>SPREADS</v>
          </cell>
          <cell r="I482" t="str">
            <v>Corporate IG USD - Industry</v>
          </cell>
        </row>
        <row r="483">
          <cell r="A483" t="str">
            <v>USD_IG_WIRELINES_SF</v>
          </cell>
          <cell r="B483" t="str">
            <v>US IG Wirelines</v>
          </cell>
          <cell r="C483" t="str">
            <v>BRS_GOLD__5_SPREADS:BRS_GOLD__4_CORP:BRS_GOLD__3_CSIG:CORP40_IG_US,USD_LIQUID_IG,USD_IG_LIQUID_SF,USD_IG_VLUE_SF,USD_IG_QUAL_SF,USD_IG_REV_SF,USD_IG_VOL_SF:CORP40_US_IND_IG:USD_IG_WIRELINES_SF</v>
          </cell>
          <cell r="D483" t="str">
            <v>Spread Duration</v>
          </cell>
          <cell r="E483" t="str">
            <v>Spread Yield (DxS)</v>
          </cell>
          <cell r="F483" t="str">
            <v>SP-Corporate IG USD</v>
          </cell>
          <cell r="G483" t="str">
            <v>SP-Spread Corporate</v>
          </cell>
          <cell r="H483" t="str">
            <v>SPREADS</v>
          </cell>
          <cell r="I483" t="str">
            <v>Corporate IG USD - Industry</v>
          </cell>
        </row>
        <row r="484">
          <cell r="A484" t="str">
            <v>USD_IG_WIRELESS_SF</v>
          </cell>
          <cell r="B484" t="str">
            <v>US IG Wireless</v>
          </cell>
          <cell r="C484" t="str">
            <v>BRS_GOLD__5_SPREADS:BRS_GOLD__4_CORP:BRS_GOLD__3_CSIG:CORP40_IG_US,USD_LIQUID_IG,USD_IG_LIQUID_SF,USD_IG_VLUE_SF,USD_IG_QUAL_SF,USD_IG_REV_SF,USD_IG_VOL_SF:CORP40_US_IND_IG:USD_IG_WIRELESS_SF</v>
          </cell>
          <cell r="D484" t="str">
            <v>Spread Duration</v>
          </cell>
          <cell r="E484" t="str">
            <v>Spread Yield (DxS)</v>
          </cell>
          <cell r="F484" t="str">
            <v>SP-Corporate IG USD</v>
          </cell>
          <cell r="G484" t="str">
            <v>SP-Spread Corporate</v>
          </cell>
          <cell r="H484" t="str">
            <v>SPREADS</v>
          </cell>
          <cell r="I484" t="str">
            <v>Corporate IG USD - Industry</v>
          </cell>
        </row>
        <row r="485">
          <cell r="A485" t="str">
            <v>USD_IG_GAS_SF</v>
          </cell>
          <cell r="B485" t="str">
            <v>US IG Gas</v>
          </cell>
          <cell r="C485" t="str">
            <v>BRS_GOLD__5_SPREADS:BRS_GOLD__4_CORP:BRS_GOLD__3_CSIG:CORP40_IG_US,USD_LIQUID_IG,USD_IG_LIQUID_SF,USD_IG_VLUE_SF,USD_IG_QUAL_SF,USD_IG_REV_SF,USD_IG_VOL_SF:CORP40_US_IND_IG:USD_IG_GAS_SF</v>
          </cell>
          <cell r="D485" t="str">
            <v>Spread Duration</v>
          </cell>
          <cell r="E485" t="str">
            <v>Spread Yield (DxS)</v>
          </cell>
          <cell r="F485" t="str">
            <v>SP-Corporate IG USD</v>
          </cell>
          <cell r="G485" t="str">
            <v>SP-Spread Corporate</v>
          </cell>
          <cell r="H485" t="str">
            <v>SPREADS</v>
          </cell>
          <cell r="I485" t="str">
            <v>Corporate IG USD - Industry</v>
          </cell>
        </row>
        <row r="486">
          <cell r="A486" t="str">
            <v>USD_IG_REIT_SF</v>
          </cell>
          <cell r="B486" t="str">
            <v>US IG REIT</v>
          </cell>
          <cell r="C486" t="str">
            <v>BRS_GOLD__5_SPREADS:BRS_GOLD__4_CORP:BRS_GOLD__3_CSIG:CORP40_IG_US,USD_LIQUID_IG,USD_IG_LIQUID_SF,USD_IG_VLUE_SF,USD_IG_QUAL_SF,USD_IG_REV_SF,USD_IG_VOL_SF:CORP40_US_IND_IG:USD_IG_REIT_SF</v>
          </cell>
          <cell r="D486" t="str">
            <v>Spread Duration</v>
          </cell>
          <cell r="E486" t="str">
            <v>Spread Yield (DxS)</v>
          </cell>
          <cell r="F486" t="str">
            <v>SP-Corporate IG USD</v>
          </cell>
          <cell r="G486" t="str">
            <v>SP-Spread Corporate</v>
          </cell>
          <cell r="H486" t="str">
            <v>SPREADS</v>
          </cell>
          <cell r="I486" t="str">
            <v>Corporate IG USD - Industry</v>
          </cell>
        </row>
        <row r="487">
          <cell r="A487" t="str">
            <v>USD_IG_CABLE_SF</v>
          </cell>
          <cell r="B487" t="str">
            <v>US IG Cable</v>
          </cell>
          <cell r="C487" t="str">
            <v>BRS_GOLD__5_SPREADS:BRS_GOLD__4_CORP:BRS_GOLD__3_CSIG:CORP40_IG_US,USD_LIQUID_IG,USD_IG_LIQUID_SF,USD_IG_VLUE_SF,USD_IG_QUAL_SF,USD_IG_REV_SF,USD_IG_VOL_SF:CORP40_US_IND_IG:USD_IG_CABLE_SF</v>
          </cell>
          <cell r="D487" t="str">
            <v>Spread Duration</v>
          </cell>
          <cell r="E487" t="str">
            <v>Spread Yield (DxS)</v>
          </cell>
          <cell r="F487" t="str">
            <v>SP-Corporate IG USD</v>
          </cell>
          <cell r="G487" t="str">
            <v>SP-Spread Corporate</v>
          </cell>
          <cell r="H487" t="str">
            <v>SPREADS</v>
          </cell>
          <cell r="I487" t="str">
            <v>Corporate IG USD - Industry</v>
          </cell>
        </row>
        <row r="488">
          <cell r="A488" t="str">
            <v>USD_IG_CAPG_SF</v>
          </cell>
          <cell r="B488" t="str">
            <v>US Cap Goods IG</v>
          </cell>
          <cell r="C488" t="str">
            <v>BRS_GOLD__5_SPREADS:BRS_GOLD__4_CORP:BRS_GOLD__3_CSIG:CORP40_IG_US,USD_LIQUID_IG,USD_IG_LIQUID_SF,USD_IG_VLUE_SF,USD_IG_QUAL_SF,USD_IG_REV_SF,USD_IG_VOL_SF:CORP40_US_IND_IG:USD_IG_CAPG_SF</v>
          </cell>
          <cell r="D488" t="str">
            <v>Spread Duration</v>
          </cell>
          <cell r="E488" t="str">
            <v>Spread Yield (DxS)</v>
          </cell>
          <cell r="F488" t="str">
            <v>SP-Corporate IG USD</v>
          </cell>
          <cell r="G488" t="str">
            <v>SP-Spread Corporate</v>
          </cell>
          <cell r="H488" t="str">
            <v>SPREADS</v>
          </cell>
          <cell r="I488" t="str">
            <v>Corporate IG USD - Industry</v>
          </cell>
        </row>
        <row r="489">
          <cell r="A489" t="str">
            <v>USD_IG_ENERGY_SF</v>
          </cell>
          <cell r="B489" t="str">
            <v>US Energy IG</v>
          </cell>
          <cell r="C489" t="str">
            <v>BRS_GOLD__5_SPREADS:BRS_GOLD__4_CORP:BRS_GOLD__3_CSIG:CORP40_IG_US,USD_LIQUID_IG,USD_IG_LIQUID_SF,USD_IG_VLUE_SF,USD_IG_QUAL_SF,USD_IG_REV_SF,USD_IG_VOL_SF:CORP40_US_IND_IG:USD_IG_ENERGY_SF</v>
          </cell>
          <cell r="D489" t="str">
            <v>Spread Duration</v>
          </cell>
          <cell r="E489" t="str">
            <v>Spread Yield (DxS)</v>
          </cell>
          <cell r="F489" t="str">
            <v>SP-Corporate IG USD</v>
          </cell>
          <cell r="G489" t="str">
            <v>SP-Spread Corporate</v>
          </cell>
          <cell r="H489" t="str">
            <v>SPREADS</v>
          </cell>
          <cell r="I489" t="str">
            <v>Corporate IG USD - Industry</v>
          </cell>
        </row>
        <row r="490">
          <cell r="A490" t="str">
            <v>USD_IG_HOMECON_SF</v>
          </cell>
          <cell r="B490" t="str">
            <v>US Home Construct IG</v>
          </cell>
          <cell r="C490" t="str">
            <v>BRS_GOLD__5_SPREADS:BRS_GOLD__4_CORP:BRS_GOLD__3_CSIG:CORP40_IG_US,USD_LIQUID_IG,USD_IG_LIQUID_SF,USD_IG_VLUE_SF,USD_IG_QUAL_SF,USD_IG_REV_SF,USD_IG_VOL_SF:CORP40_US_IND_IG:USD_IG_HOMECON_SF</v>
          </cell>
          <cell r="D490" t="str">
            <v>Spread Duration</v>
          </cell>
          <cell r="E490" t="str">
            <v>Spread Yield (DxS)</v>
          </cell>
          <cell r="F490" t="str">
            <v>SP-Corporate IG USD</v>
          </cell>
          <cell r="G490" t="str">
            <v>SP-Spread Corporate</v>
          </cell>
          <cell r="H490" t="str">
            <v>SPREADS</v>
          </cell>
          <cell r="I490" t="str">
            <v>Corporate IG USD - Industry</v>
          </cell>
        </row>
        <row r="491">
          <cell r="A491" t="str">
            <v>USD_IG_TECH_SF</v>
          </cell>
          <cell r="B491" t="str">
            <v>US Tech IG</v>
          </cell>
          <cell r="C491" t="str">
            <v>BRS_GOLD__5_SPREADS:BRS_GOLD__4_CORP:BRS_GOLD__3_CSIG:CORP40_IG_US,USD_LIQUID_IG,USD_IG_LIQUID_SF,USD_IG_VLUE_SF,USD_IG_QUAL_SF,USD_IG_REV_SF,USD_IG_VOL_SF:CORP40_US_IND_IG:USD_IG_TECH_SF</v>
          </cell>
          <cell r="D491" t="str">
            <v>Spread Duration</v>
          </cell>
          <cell r="E491" t="str">
            <v>Spread Yield (DxS)</v>
          </cell>
          <cell r="F491" t="str">
            <v>SP-Corporate IG USD</v>
          </cell>
          <cell r="G491" t="str">
            <v>SP-Spread Corporate</v>
          </cell>
          <cell r="H491" t="str">
            <v>SPREADS</v>
          </cell>
          <cell r="I491" t="str">
            <v>Corporate IG USD - Industry</v>
          </cell>
        </row>
        <row r="492">
          <cell r="A492" t="str">
            <v>USD_CORP_IG_FIN_2</v>
          </cell>
          <cell r="B492" t="str">
            <v>US Mat IG Financial 2</v>
          </cell>
          <cell r="C492" t="str">
            <v>BRS_GOLD__5_SPREADS:BRS_GOLD__4_CORP:BRS_GOLD__3_CSIG:CORP40_IG_US,USD_LIQUID_IG,USD_IG_LIQUID_SF,USD_IG_VLUE_SF,USD_IG_QUAL_SF,USD_IG_REV_SF,USD_IG_VOL_SF:CORP40_US_MAT_IG:USD_CORP_IG_FIN_2</v>
          </cell>
          <cell r="D492" t="str">
            <v>Spread Duration</v>
          </cell>
          <cell r="E492" t="str">
            <v>Spread Yield (DxS)</v>
          </cell>
          <cell r="F492" t="str">
            <v>SP-Corporate IG USD</v>
          </cell>
          <cell r="G492" t="str">
            <v>SP-Spread Corporate</v>
          </cell>
          <cell r="H492" t="str">
            <v>SPREADS</v>
          </cell>
          <cell r="I492" t="str">
            <v>Corporate IG USD - Maturity</v>
          </cell>
        </row>
        <row r="493">
          <cell r="A493" t="str">
            <v>USD_CORP_IG_FIN_10</v>
          </cell>
          <cell r="B493" t="str">
            <v>US Mat IG Financial 10</v>
          </cell>
          <cell r="C493" t="str">
            <v>BRS_GOLD__5_SPREADS:BRS_GOLD__4_CORP:BRS_GOLD__3_CSIG:CORP40_IG_US,USD_LIQUID_IG,USD_IG_LIQUID_SF,USD_IG_VLUE_SF,USD_IG_QUAL_SF,USD_IG_REV_SF,USD_IG_VOL_SF:CORP40_US_MAT_IG:USD_CORP_IG_FIN_10</v>
          </cell>
          <cell r="D493" t="str">
            <v>Spread Duration</v>
          </cell>
          <cell r="E493" t="str">
            <v>Spread Yield (DxS)</v>
          </cell>
          <cell r="F493" t="str">
            <v>SP-Corporate IG USD</v>
          </cell>
          <cell r="G493" t="str">
            <v>SP-Spread Corporate</v>
          </cell>
          <cell r="H493" t="str">
            <v>SPREADS</v>
          </cell>
          <cell r="I493" t="str">
            <v>Corporate IG USD - Maturity</v>
          </cell>
        </row>
        <row r="494">
          <cell r="A494" t="str">
            <v>USD_CORP_IG_FIN_20</v>
          </cell>
          <cell r="B494" t="str">
            <v>US Mat IG Financial 20</v>
          </cell>
          <cell r="C494" t="str">
            <v>BRS_GOLD__5_SPREADS:BRS_GOLD__4_CORP:BRS_GOLD__3_CSIG:CORP40_IG_US,USD_LIQUID_IG,USD_IG_LIQUID_SF,USD_IG_VLUE_SF,USD_IG_QUAL_SF,USD_IG_REV_SF,USD_IG_VOL_SF:CORP40_US_MAT_IG:USD_CORP_IG_FIN_20</v>
          </cell>
          <cell r="D494" t="str">
            <v>Spread Duration</v>
          </cell>
          <cell r="E494" t="str">
            <v>Spread Yield (DxS)</v>
          </cell>
          <cell r="F494" t="str">
            <v>SP-Corporate IG USD</v>
          </cell>
          <cell r="G494" t="str">
            <v>SP-Spread Corporate</v>
          </cell>
          <cell r="H494" t="str">
            <v>SPREADS</v>
          </cell>
          <cell r="I494" t="str">
            <v>Corporate IG USD - Maturity</v>
          </cell>
        </row>
        <row r="495">
          <cell r="A495" t="str">
            <v>USD_CORP_IG_IND_2</v>
          </cell>
          <cell r="B495" t="str">
            <v>US Mat IG Industrial 2</v>
          </cell>
          <cell r="C495" t="str">
            <v>BRS_GOLD__5_SPREADS:BRS_GOLD__4_CORP:BRS_GOLD__3_CSIG:CORP40_IG_US,USD_LIQUID_IG,USD_IG_LIQUID_SF,USD_IG_VLUE_SF,USD_IG_QUAL_SF,USD_IG_REV_SF,USD_IG_VOL_SF:CORP40_US_MAT_IG:USD_CORP_IG_IND_2</v>
          </cell>
          <cell r="D495" t="str">
            <v>Spread Duration</v>
          </cell>
          <cell r="E495" t="str">
            <v>Spread Yield (DxS)</v>
          </cell>
          <cell r="F495" t="str">
            <v>SP-Corporate IG USD</v>
          </cell>
          <cell r="G495" t="str">
            <v>SP-Spread Corporate</v>
          </cell>
          <cell r="H495" t="str">
            <v>SPREADS</v>
          </cell>
          <cell r="I495" t="str">
            <v>Corporate IG USD - Maturity</v>
          </cell>
        </row>
        <row r="496">
          <cell r="A496" t="str">
            <v>USD_CORP_IG_IND_10</v>
          </cell>
          <cell r="B496" t="str">
            <v>US Mat IG Industrial 10</v>
          </cell>
          <cell r="C496" t="str">
            <v>BRS_GOLD__5_SPREADS:BRS_GOLD__4_CORP:BRS_GOLD__3_CSIG:CORP40_IG_US,USD_LIQUID_IG,USD_IG_LIQUID_SF,USD_IG_VLUE_SF,USD_IG_QUAL_SF,USD_IG_REV_SF,USD_IG_VOL_SF:CORP40_US_MAT_IG:USD_CORP_IG_IND_10</v>
          </cell>
          <cell r="D496" t="str">
            <v>Spread Duration</v>
          </cell>
          <cell r="E496" t="str">
            <v>Spread Yield (DxS)</v>
          </cell>
          <cell r="F496" t="str">
            <v>SP-Corporate IG USD</v>
          </cell>
          <cell r="G496" t="str">
            <v>SP-Spread Corporate</v>
          </cell>
          <cell r="H496" t="str">
            <v>SPREADS</v>
          </cell>
          <cell r="I496" t="str">
            <v>Corporate IG USD - Maturity</v>
          </cell>
        </row>
        <row r="497">
          <cell r="A497" t="str">
            <v>USD_CORP_IG_IND_20</v>
          </cell>
          <cell r="B497" t="str">
            <v>US Mat IG Industrial 20</v>
          </cell>
          <cell r="C497" t="str">
            <v>BRS_GOLD__5_SPREADS:BRS_GOLD__4_CORP:BRS_GOLD__3_CSIG:CORP40_IG_US,USD_LIQUID_IG,USD_IG_LIQUID_SF,USD_IG_VLUE_SF,USD_IG_QUAL_SF,USD_IG_REV_SF,USD_IG_VOL_SF:CORP40_US_MAT_IG:USD_CORP_IG_IND_20</v>
          </cell>
          <cell r="D497" t="str">
            <v>Spread Duration</v>
          </cell>
          <cell r="E497" t="str">
            <v>Spread Yield (DxS)</v>
          </cell>
          <cell r="F497" t="str">
            <v>SP-Corporate IG USD</v>
          </cell>
          <cell r="G497" t="str">
            <v>SP-Spread Corporate</v>
          </cell>
          <cell r="H497" t="str">
            <v>SPREADS</v>
          </cell>
          <cell r="I497" t="str">
            <v>Corporate IG USD - Maturity</v>
          </cell>
        </row>
        <row r="498">
          <cell r="A498" t="str">
            <v>USD_CORP_IG_UTI_2</v>
          </cell>
          <cell r="B498" t="str">
            <v>US Mat IG Utility 2</v>
          </cell>
          <cell r="C498" t="str">
            <v>BRS_GOLD__5_SPREADS:BRS_GOLD__4_CORP:BRS_GOLD__3_CSIG:CORP40_IG_US,USD_LIQUID_IG,USD_IG_LIQUID_SF,USD_IG_VLUE_SF,USD_IG_QUAL_SF,USD_IG_REV_SF,USD_IG_VOL_SF:CORP40_US_MAT_IG:USD_CORP_IG_UTI_2</v>
          </cell>
          <cell r="D498" t="str">
            <v>Spread Duration</v>
          </cell>
          <cell r="E498" t="str">
            <v>Spread Yield (DxS)</v>
          </cell>
          <cell r="F498" t="str">
            <v>SP-Corporate IG USD</v>
          </cell>
          <cell r="G498" t="str">
            <v>SP-Spread Corporate</v>
          </cell>
          <cell r="H498" t="str">
            <v>SPREADS</v>
          </cell>
          <cell r="I498" t="str">
            <v>Corporate IG USD - Maturity</v>
          </cell>
        </row>
        <row r="499">
          <cell r="A499" t="str">
            <v>USD_CORP_IG_UTI_10</v>
          </cell>
          <cell r="B499" t="str">
            <v>US Mat IG Utility 10</v>
          </cell>
          <cell r="C499" t="str">
            <v>BRS_GOLD__5_SPREADS:BRS_GOLD__4_CORP:BRS_GOLD__3_CSIG:CORP40_IG_US,USD_LIQUID_IG,USD_IG_LIQUID_SF,USD_IG_VLUE_SF,USD_IG_QUAL_SF,USD_IG_REV_SF,USD_IG_VOL_SF:CORP40_US_MAT_IG:USD_CORP_IG_UTI_10</v>
          </cell>
          <cell r="D499" t="str">
            <v>Spread Duration</v>
          </cell>
          <cell r="E499" t="str">
            <v>Spread Yield (DxS)</v>
          </cell>
          <cell r="F499" t="str">
            <v>SP-Corporate IG USD</v>
          </cell>
          <cell r="G499" t="str">
            <v>SP-Spread Corporate</v>
          </cell>
          <cell r="H499" t="str">
            <v>SPREADS</v>
          </cell>
          <cell r="I499" t="str">
            <v>Corporate IG USD - Maturity</v>
          </cell>
        </row>
        <row r="500">
          <cell r="A500" t="str">
            <v>USD_CORP_IG_UTI_20</v>
          </cell>
          <cell r="B500" t="str">
            <v>US Mat IG Utility 20</v>
          </cell>
          <cell r="C500" t="str">
            <v>BRS_GOLD__5_SPREADS:BRS_GOLD__4_CORP:BRS_GOLD__3_CSIG:CORP40_IG_US,USD_LIQUID_IG,USD_IG_LIQUID_SF,USD_IG_VLUE_SF,USD_IG_QUAL_SF,USD_IG_REV_SF,USD_IG_VOL_SF:CORP40_US_MAT_IG:USD_CORP_IG_UTI_20</v>
          </cell>
          <cell r="D500" t="str">
            <v>Spread Duration</v>
          </cell>
          <cell r="E500" t="str">
            <v>Spread Yield (DxS)</v>
          </cell>
          <cell r="F500" t="str">
            <v>SP-Corporate IG USD</v>
          </cell>
          <cell r="G500" t="str">
            <v>SP-Spread Corporate</v>
          </cell>
          <cell r="H500" t="str">
            <v>SPREADS</v>
          </cell>
          <cell r="I500" t="str">
            <v>Corporate IG USD - Maturity</v>
          </cell>
        </row>
        <row r="501">
          <cell r="A501" t="str">
            <v>USD_CORP_IG_FIN_10_SF</v>
          </cell>
          <cell r="B501" t="str">
            <v>US Mat IG Financial 10</v>
          </cell>
          <cell r="C501" t="str">
            <v>BRS_GOLD__5_SPREADS:BRS_GOLD__4_CORP:BRS_GOLD__3_CSIG:CORP40_IG_US,USD_LIQUID_IG,USD_IG_LIQUID_SF,USD_IG_VLUE_SF,USD_IG_QUAL_SF,USD_IG_REV_SF,USD_IG_VOL_SF:CORP40_US_MAT_IG:USD_CORP_IG_FIN_10_SF</v>
          </cell>
          <cell r="D501" t="str">
            <v>Spread Duration</v>
          </cell>
          <cell r="E501" t="str">
            <v>Spread Yield (DxS)</v>
          </cell>
          <cell r="F501" t="str">
            <v>SP-Corporate IG USD</v>
          </cell>
          <cell r="G501" t="str">
            <v>SP-Spread Corporate</v>
          </cell>
          <cell r="H501" t="str">
            <v>SPREADS</v>
          </cell>
          <cell r="I501" t="str">
            <v>Corporate IG USD - Maturity</v>
          </cell>
        </row>
        <row r="502">
          <cell r="A502" t="str">
            <v>USD_CORP_IG_FIN_2_SF</v>
          </cell>
          <cell r="B502" t="str">
            <v>US Mat IG Financial 2</v>
          </cell>
          <cell r="C502" t="str">
            <v>BRS_GOLD__5_SPREADS:BRS_GOLD__4_CORP:BRS_GOLD__3_CSIG:CORP40_IG_US,USD_LIQUID_IG,USD_IG_LIQUID_SF,USD_IG_VLUE_SF,USD_IG_QUAL_SF,USD_IG_REV_SF,USD_IG_VOL_SF:CORP40_US_MAT_IG:USD_CORP_IG_FIN_2_SF</v>
          </cell>
          <cell r="D502" t="str">
            <v>Spread Duration</v>
          </cell>
          <cell r="E502" t="str">
            <v>Spread Yield (DxS)</v>
          </cell>
          <cell r="F502" t="str">
            <v>SP-Corporate IG USD</v>
          </cell>
          <cell r="G502" t="str">
            <v>SP-Spread Corporate</v>
          </cell>
          <cell r="H502" t="str">
            <v>SPREADS</v>
          </cell>
          <cell r="I502" t="str">
            <v>Corporate IG USD - Maturity</v>
          </cell>
        </row>
        <row r="503">
          <cell r="A503" t="str">
            <v>USD_CORP_IG_FIN_20_SF</v>
          </cell>
          <cell r="B503" t="str">
            <v>US Mat IG Financial 20</v>
          </cell>
          <cell r="C503" t="str">
            <v>BRS_GOLD__5_SPREADS:BRS_GOLD__4_CORP:BRS_GOLD__3_CSIG:CORP40_IG_US,USD_LIQUID_IG,USD_IG_LIQUID_SF,USD_IG_VLUE_SF,USD_IG_QUAL_SF,USD_IG_REV_SF,USD_IG_VOL_SF:CORP40_US_MAT_IG:USD_CORP_IG_FIN_20_SF</v>
          </cell>
          <cell r="D503" t="str">
            <v>Spread Duration</v>
          </cell>
          <cell r="E503" t="str">
            <v>Spread Yield (DxS)</v>
          </cell>
          <cell r="F503" t="str">
            <v>SP-Corporate IG USD</v>
          </cell>
          <cell r="G503" t="str">
            <v>SP-Spread Corporate</v>
          </cell>
          <cell r="H503" t="str">
            <v>SPREADS</v>
          </cell>
          <cell r="I503" t="str">
            <v>Corporate IG USD - Maturity</v>
          </cell>
        </row>
        <row r="504">
          <cell r="A504" t="str">
            <v>USD_CORP_IG_IND_10_SF</v>
          </cell>
          <cell r="B504" t="str">
            <v>US Mat IG Industrial 10</v>
          </cell>
          <cell r="C504" t="str">
            <v>BRS_GOLD__5_SPREADS:BRS_GOLD__4_CORP:BRS_GOLD__3_CSIG:CORP40_IG_US,USD_LIQUID_IG,USD_IG_LIQUID_SF,USD_IG_VLUE_SF,USD_IG_QUAL_SF,USD_IG_REV_SF,USD_IG_VOL_SF:CORP40_US_MAT_IG:USD_CORP_IG_IND_10_SF</v>
          </cell>
          <cell r="D504" t="str">
            <v>Spread Duration</v>
          </cell>
          <cell r="E504" t="str">
            <v>Spread Yield (DxS)</v>
          </cell>
          <cell r="F504" t="str">
            <v>SP-Corporate IG USD</v>
          </cell>
          <cell r="G504" t="str">
            <v>SP-Spread Corporate</v>
          </cell>
          <cell r="H504" t="str">
            <v>SPREADS</v>
          </cell>
          <cell r="I504" t="str">
            <v>Corporate IG USD - Maturity</v>
          </cell>
        </row>
        <row r="505">
          <cell r="A505" t="str">
            <v>USD_CORP_IG_IND_2_SF</v>
          </cell>
          <cell r="B505" t="str">
            <v>US Mat IG Industrial 2</v>
          </cell>
          <cell r="C505" t="str">
            <v>BRS_GOLD__5_SPREADS:BRS_GOLD__4_CORP:BRS_GOLD__3_CSIG:CORP40_IG_US,USD_LIQUID_IG,USD_IG_LIQUID_SF,USD_IG_VLUE_SF,USD_IG_QUAL_SF,USD_IG_REV_SF,USD_IG_VOL_SF:CORP40_US_MAT_IG:USD_CORP_IG_IND_2_SF</v>
          </cell>
          <cell r="D505" t="str">
            <v>Spread Duration</v>
          </cell>
          <cell r="E505" t="str">
            <v>Spread Yield (DxS)</v>
          </cell>
          <cell r="F505" t="str">
            <v>SP-Corporate IG USD</v>
          </cell>
          <cell r="G505" t="str">
            <v>SP-Spread Corporate</v>
          </cell>
          <cell r="H505" t="str">
            <v>SPREADS</v>
          </cell>
          <cell r="I505" t="str">
            <v>Corporate IG USD - Maturity</v>
          </cell>
        </row>
        <row r="506">
          <cell r="A506" t="str">
            <v>USD_CORP_IG_IND_20_SF</v>
          </cell>
          <cell r="B506" t="str">
            <v>US Mat IG Industrial 20</v>
          </cell>
          <cell r="C506" t="str">
            <v>BRS_GOLD__5_SPREADS:BRS_GOLD__4_CORP:BRS_GOLD__3_CSIG:CORP40_IG_US,USD_LIQUID_IG,USD_IG_LIQUID_SF,USD_IG_VLUE_SF,USD_IG_QUAL_SF,USD_IG_REV_SF,USD_IG_VOL_SF:CORP40_US_MAT_IG:USD_CORP_IG_IND_20_SF</v>
          </cell>
          <cell r="D506" t="str">
            <v>Spread Duration</v>
          </cell>
          <cell r="E506" t="str">
            <v>Spread Yield (DxS)</v>
          </cell>
          <cell r="F506" t="str">
            <v>SP-Corporate IG USD</v>
          </cell>
          <cell r="G506" t="str">
            <v>SP-Spread Corporate</v>
          </cell>
          <cell r="H506" t="str">
            <v>SPREADS</v>
          </cell>
          <cell r="I506" t="str">
            <v>Corporate IG USD - Maturity</v>
          </cell>
        </row>
        <row r="507">
          <cell r="A507" t="str">
            <v>USD_CORP_IG_UTI_10_SF</v>
          </cell>
          <cell r="B507" t="str">
            <v>US Mat IG Utility 10</v>
          </cell>
          <cell r="C507" t="str">
            <v>BRS_GOLD__5_SPREADS:BRS_GOLD__4_CORP:BRS_GOLD__3_CSIG:CORP40_IG_US,USD_LIQUID_IG,USD_IG_LIQUID_SF,USD_IG_VLUE_SF,USD_IG_QUAL_SF,USD_IG_REV_SF,USD_IG_VOL_SF:CORP40_US_MAT_IG:USD_CORP_IG_UTI_10_SF</v>
          </cell>
          <cell r="D507" t="str">
            <v>Spread Duration</v>
          </cell>
          <cell r="E507" t="str">
            <v>Spread Yield (DxS)</v>
          </cell>
          <cell r="F507" t="str">
            <v>SP-Corporate IG USD</v>
          </cell>
          <cell r="G507" t="str">
            <v>SP-Spread Corporate</v>
          </cell>
          <cell r="H507" t="str">
            <v>SPREADS</v>
          </cell>
          <cell r="I507" t="str">
            <v>Corporate IG USD - Maturity</v>
          </cell>
        </row>
        <row r="508">
          <cell r="A508" t="str">
            <v>USD_CORP_IG_UTI_2_SF</v>
          </cell>
          <cell r="B508" t="str">
            <v>US Mat IG Utility 2</v>
          </cell>
          <cell r="C508" t="str">
            <v>BRS_GOLD__5_SPREADS:BRS_GOLD__4_CORP:BRS_GOLD__3_CSIG:CORP40_IG_US,USD_LIQUID_IG,USD_IG_LIQUID_SF,USD_IG_VLUE_SF,USD_IG_QUAL_SF,USD_IG_REV_SF,USD_IG_VOL_SF:CORP40_US_MAT_IG:USD_CORP_IG_UTI_2_SF</v>
          </cell>
          <cell r="D508" t="str">
            <v>Spread Duration</v>
          </cell>
          <cell r="E508" t="str">
            <v>Spread Yield (DxS)</v>
          </cell>
          <cell r="F508" t="str">
            <v>SP-Corporate IG USD</v>
          </cell>
          <cell r="G508" t="str">
            <v>SP-Spread Corporate</v>
          </cell>
          <cell r="H508" t="str">
            <v>SPREADS</v>
          </cell>
          <cell r="I508" t="str">
            <v>Corporate IG USD - Maturity</v>
          </cell>
        </row>
        <row r="509">
          <cell r="A509" t="str">
            <v>USD_CORP_IG_UTI_20_SF</v>
          </cell>
          <cell r="B509" t="str">
            <v>US Mat IG Utility 20</v>
          </cell>
          <cell r="C509" t="str">
            <v>BRS_GOLD__5_SPREADS:BRS_GOLD__4_CORP:BRS_GOLD__3_CSIG:CORP40_IG_US,USD_LIQUID_IG,USD_IG_LIQUID_SF,USD_IG_VLUE_SF,USD_IG_QUAL_SF,USD_IG_REV_SF,USD_IG_VOL_SF:CORP40_US_MAT_IG:USD_CORP_IG_UTI_20_SF</v>
          </cell>
          <cell r="D509" t="str">
            <v>Spread Duration</v>
          </cell>
          <cell r="E509" t="str">
            <v>Spread Yield (DxS)</v>
          </cell>
          <cell r="F509" t="str">
            <v>SP-Corporate IG USD</v>
          </cell>
          <cell r="G509" t="str">
            <v>SP-Spread Corporate</v>
          </cell>
          <cell r="H509" t="str">
            <v>SPREADS</v>
          </cell>
          <cell r="I509" t="str">
            <v>Corporate IG USD - Maturity</v>
          </cell>
        </row>
        <row r="510">
          <cell r="A510" t="str">
            <v>USD_LEH_CREDIT3</v>
          </cell>
          <cell r="B510" t="str">
            <v>US Cash Bonds IG</v>
          </cell>
          <cell r="C510" t="str">
            <v>BRS_GOLD__5_SPREADS:BRS_GOLD__4_CORP:BRS_GOLD__3_CSIG:CORP40_IG_US,USD_LIQUID_IG,USD_IG_LIQUID_SF,USD_IG_VLUE_SF,USD_IG_QUAL_SF,USD_IG_REV_SF,USD_IG_VOL_SF:USD_LEH_CREDIT3,USD_IG_MARKET_SF:USD_LEH_CREDIT3</v>
          </cell>
          <cell r="D510" t="str">
            <v>Spread Duration</v>
          </cell>
          <cell r="E510" t="str">
            <v>Spread Yield (DxS)</v>
          </cell>
          <cell r="F510" t="str">
            <v>SP-Corporate IG USD</v>
          </cell>
          <cell r="G510" t="str">
            <v>SP-Spread Corporate</v>
          </cell>
          <cell r="H510" t="str">
            <v>SPREADS</v>
          </cell>
          <cell r="I510" t="str">
            <v>Corporate IG USD - Other</v>
          </cell>
        </row>
        <row r="511">
          <cell r="A511" t="str">
            <v>USD_CORP_AGG_2Y</v>
          </cell>
          <cell r="B511" t="str">
            <v>US Maturity 2</v>
          </cell>
          <cell r="C511" t="str">
            <v>BRS_GOLD__5_SPREADS:BRS_GOLD__4_CORP:BRS_GOLD__3_CSIG:BRS_GOLD__2_CSIG_USD:CORP33_MAT_USD:USD_CORP_AGG_2Y</v>
          </cell>
          <cell r="D511" t="str">
            <v>Spread Duration</v>
          </cell>
          <cell r="E511" t="str">
            <v>Spread Yield (DxS)</v>
          </cell>
          <cell r="F511" t="str">
            <v>SP-Corporate IG USD</v>
          </cell>
          <cell r="G511" t="str">
            <v>SP-Spread Corporate</v>
          </cell>
          <cell r="H511" t="str">
            <v>SPREADS</v>
          </cell>
          <cell r="I511" t="str">
            <v>Corporate IG USD - Maturity</v>
          </cell>
        </row>
        <row r="512">
          <cell r="A512" t="str">
            <v>USD_CORP_AGG_5Y</v>
          </cell>
          <cell r="B512" t="str">
            <v>US Maturity 5</v>
          </cell>
          <cell r="C512" t="str">
            <v>BRS_GOLD__5_SPREADS:BRS_GOLD__4_CORP:BRS_GOLD__3_CSIG:BRS_GOLD__2_CSIG_USD:CORP33_MAT_USD:USD_CORP_AGG_5Y</v>
          </cell>
          <cell r="D512" t="str">
            <v>Spread Duration</v>
          </cell>
          <cell r="E512" t="str">
            <v>Spread Yield (DxS)</v>
          </cell>
          <cell r="F512" t="str">
            <v>SP-Corporate IG USD</v>
          </cell>
          <cell r="G512" t="str">
            <v>SP-Spread Corporate</v>
          </cell>
          <cell r="H512" t="str">
            <v>SPREADS</v>
          </cell>
          <cell r="I512" t="str">
            <v>Corporate IG USD - Maturity</v>
          </cell>
        </row>
        <row r="513">
          <cell r="A513" t="str">
            <v>USD_CORP_AGG_10Y</v>
          </cell>
          <cell r="B513" t="str">
            <v>US Maturity 10</v>
          </cell>
          <cell r="C513" t="str">
            <v>BRS_GOLD__5_SPREADS:BRS_GOLD__4_CORP:BRS_GOLD__3_CSIG:BRS_GOLD__2_CSIG_USD:CORP33_MAT_USD:USD_CORP_AGG_10Y</v>
          </cell>
          <cell r="D513" t="str">
            <v>Spread Duration</v>
          </cell>
          <cell r="E513" t="str">
            <v>Spread Yield (DxS)</v>
          </cell>
          <cell r="F513" t="str">
            <v>SP-Corporate IG USD</v>
          </cell>
          <cell r="G513" t="str">
            <v>SP-Spread Corporate</v>
          </cell>
          <cell r="H513" t="str">
            <v>SPREADS</v>
          </cell>
          <cell r="I513" t="str">
            <v>Corporate IG USD - Maturity</v>
          </cell>
        </row>
        <row r="514">
          <cell r="A514" t="str">
            <v>USD_CORP_AGG_20Y</v>
          </cell>
          <cell r="B514" t="str">
            <v>US Maturity 20</v>
          </cell>
          <cell r="C514" t="str">
            <v>BRS_GOLD__5_SPREADS:BRS_GOLD__4_CORP:BRS_GOLD__3_CSIG:BRS_GOLD__2_CSIG_USD:CORP33_MAT_USD:USD_CORP_AGG_20Y</v>
          </cell>
          <cell r="D514" t="str">
            <v>Spread Duration</v>
          </cell>
          <cell r="E514" t="str">
            <v>Spread Yield (DxS)</v>
          </cell>
          <cell r="F514" t="str">
            <v>SP-Corporate IG USD</v>
          </cell>
          <cell r="G514" t="str">
            <v>SP-Spread Corporate</v>
          </cell>
          <cell r="H514" t="str">
            <v>SPREADS</v>
          </cell>
          <cell r="I514" t="str">
            <v>Corporate IG USD - Maturity</v>
          </cell>
        </row>
        <row r="515">
          <cell r="A515" t="str">
            <v>USD_FINANCE_SUPER_IG</v>
          </cell>
          <cell r="B515" t="str">
            <v>US Finance SIG</v>
          </cell>
          <cell r="C515" t="str">
            <v>BRS_GOLD__5_SPREADS:BRS_GOLD__4_CORP:BRS_GOLD__3_CSIG:BRS_GOLD__2_CSIG_USD:CORP33_IND_SIG_USD:USD_FINANCE_SUPER_IG</v>
          </cell>
          <cell r="D515" t="str">
            <v>Spread Duration</v>
          </cell>
          <cell r="E515" t="str">
            <v>Spread Yield (DxS)</v>
          </cell>
          <cell r="F515" t="str">
            <v>SP-Corporate IG USD</v>
          </cell>
          <cell r="G515" t="str">
            <v>SP-Spread Corporate</v>
          </cell>
          <cell r="H515" t="str">
            <v>SPREADS</v>
          </cell>
          <cell r="I515" t="str">
            <v>Corporate IG USD - Industry</v>
          </cell>
        </row>
        <row r="516">
          <cell r="A516" t="str">
            <v>USD_FINANCE_OTH_SUPER_IG</v>
          </cell>
          <cell r="B516" t="str">
            <v>US Fin Oth SIG</v>
          </cell>
          <cell r="C516" t="str">
            <v>BRS_GOLD__5_SPREADS:BRS_GOLD__4_CORP:BRS_GOLD__3_CSIG:BRS_GOLD__2_CSIG_USD:CORP33_IND_SIG_USD:USD_FINANCE_OTH_SUPER_IG</v>
          </cell>
          <cell r="D516" t="str">
            <v>Spread Duration</v>
          </cell>
          <cell r="E516" t="str">
            <v>Spread Yield (DxS)</v>
          </cell>
          <cell r="F516" t="str">
            <v>SP-Corporate IG USD</v>
          </cell>
          <cell r="G516" t="str">
            <v>SP-Spread Corporate</v>
          </cell>
          <cell r="H516" t="str">
            <v>SPREADS</v>
          </cell>
          <cell r="I516" t="str">
            <v>Corporate IG USD - Industry</v>
          </cell>
        </row>
        <row r="517">
          <cell r="A517" t="str">
            <v>USD_INDUSTRIAL_SUPER_IG</v>
          </cell>
          <cell r="B517" t="str">
            <v>US Ind SIG</v>
          </cell>
          <cell r="C517" t="str">
            <v>BRS_GOLD__5_SPREADS:BRS_GOLD__4_CORP:BRS_GOLD__3_CSIG:BRS_GOLD__2_CSIG_USD:CORP33_IND_SIG_USD:USD_INDUSTRIAL_SUPER_IG</v>
          </cell>
          <cell r="D517" t="str">
            <v>Spread Duration</v>
          </cell>
          <cell r="E517" t="str">
            <v>Spread Yield (DxS)</v>
          </cell>
          <cell r="F517" t="str">
            <v>SP-Corporate IG USD</v>
          </cell>
          <cell r="G517" t="str">
            <v>SP-Spread Corporate</v>
          </cell>
          <cell r="H517" t="str">
            <v>SPREADS</v>
          </cell>
          <cell r="I517" t="str">
            <v>Corporate IG USD - Industry</v>
          </cell>
        </row>
        <row r="518">
          <cell r="A518" t="str">
            <v>USD_UTILITY_SUPER_IG</v>
          </cell>
          <cell r="B518" t="str">
            <v>US Util SIG</v>
          </cell>
          <cell r="C518" t="str">
            <v>BRS_GOLD__5_SPREADS:BRS_GOLD__4_CORP:BRS_GOLD__3_CSIG:BRS_GOLD__2_CSIG_USD:CORP33_IND_SIG_USD:USD_UTILITY_SUPER_IG</v>
          </cell>
          <cell r="D518" t="str">
            <v>Spread Duration</v>
          </cell>
          <cell r="E518" t="str">
            <v>Spread Yield (DxS)</v>
          </cell>
          <cell r="F518" t="str">
            <v>SP-Corporate IG USD</v>
          </cell>
          <cell r="G518" t="str">
            <v>SP-Spread Corporate</v>
          </cell>
          <cell r="H518" t="str">
            <v>SPREADS</v>
          </cell>
          <cell r="I518" t="str">
            <v>Corporate IG USD - Industry</v>
          </cell>
        </row>
        <row r="519">
          <cell r="A519" t="str">
            <v>USD_AUTO_IG</v>
          </cell>
          <cell r="B519" t="str">
            <v>US Auto IG</v>
          </cell>
          <cell r="C519" t="str">
            <v>BRS_GOLD__5_SPREADS:BRS_GOLD__4_CORP:BRS_GOLD__3_CSIG:BRS_GOLD__2_CSIG_USD:CORP33_IND_IG_USD:USD_AUTO_IG</v>
          </cell>
          <cell r="D519" t="str">
            <v>Spread Duration</v>
          </cell>
          <cell r="E519" t="str">
            <v>Spread Yield (DxS)</v>
          </cell>
          <cell r="F519" t="str">
            <v>SP-Corporate IG USD</v>
          </cell>
          <cell r="G519" t="str">
            <v>SP-Spread Corporate</v>
          </cell>
          <cell r="H519" t="str">
            <v>SPREADS</v>
          </cell>
          <cell r="I519" t="str">
            <v>Corporate IG USD - Industry</v>
          </cell>
        </row>
        <row r="520">
          <cell r="A520" t="str">
            <v>USD_BANK_IG</v>
          </cell>
          <cell r="B520" t="str">
            <v>US Bank IG</v>
          </cell>
          <cell r="C520" t="str">
            <v>BRS_GOLD__5_SPREADS:BRS_GOLD__4_CORP:BRS_GOLD__3_CSIG:BRS_GOLD__2_CSIG_USD:CORP33_IND_IG_USD:USD_BANK_IG</v>
          </cell>
          <cell r="D520" t="str">
            <v>Spread Duration</v>
          </cell>
          <cell r="E520" t="str">
            <v>Spread Yield (DxS)</v>
          </cell>
          <cell r="F520" t="str">
            <v>SP-Corporate IG USD</v>
          </cell>
          <cell r="G520" t="str">
            <v>SP-Spread Corporate</v>
          </cell>
          <cell r="H520" t="str">
            <v>SPREADS</v>
          </cell>
          <cell r="I520" t="str">
            <v>Corporate IG USD - Industry</v>
          </cell>
        </row>
        <row r="521">
          <cell r="A521" t="str">
            <v>USD_BASIC_IG</v>
          </cell>
          <cell r="B521" t="str">
            <v>US Basic IG</v>
          </cell>
          <cell r="C521" t="str">
            <v>BRS_GOLD__5_SPREADS:BRS_GOLD__4_CORP:BRS_GOLD__3_CSIG:BRS_GOLD__2_CSIG_USD:CORP33_IND_IG_USD:USD_BASIC_IG</v>
          </cell>
          <cell r="D521" t="str">
            <v>Spread Duration</v>
          </cell>
          <cell r="E521" t="str">
            <v>Spread Yield (DxS)</v>
          </cell>
          <cell r="F521" t="str">
            <v>SP-Corporate IG USD</v>
          </cell>
          <cell r="G521" t="str">
            <v>SP-Spread Corporate</v>
          </cell>
          <cell r="H521" t="str">
            <v>SPREADS</v>
          </cell>
          <cell r="I521" t="str">
            <v>Corporate IG USD - Industry</v>
          </cell>
        </row>
        <row r="522">
          <cell r="A522" t="str">
            <v>USD_CAP_GOODS_IG</v>
          </cell>
          <cell r="B522" t="str">
            <v>US Cap Goods IG</v>
          </cell>
          <cell r="C522" t="str">
            <v>BRS_GOLD__5_SPREADS:BRS_GOLD__4_CORP:BRS_GOLD__3_CSIG:BRS_GOLD__2_CSIG_USD:CORP33_IND_IG_USD:USD_CAP_GOODS_IG</v>
          </cell>
          <cell r="D522" t="str">
            <v>Spread Duration</v>
          </cell>
          <cell r="E522" t="str">
            <v>Spread Yield (DxS)</v>
          </cell>
          <cell r="F522" t="str">
            <v>SP-Corporate IG USD</v>
          </cell>
          <cell r="G522" t="str">
            <v>SP-Spread Corporate</v>
          </cell>
          <cell r="H522" t="str">
            <v>SPREADS</v>
          </cell>
          <cell r="I522" t="str">
            <v>Corporate IG USD - Industry</v>
          </cell>
        </row>
        <row r="523">
          <cell r="A523" t="str">
            <v>USD_CYCLICAL_IG</v>
          </cell>
          <cell r="B523" t="str">
            <v>US Cycl IG</v>
          </cell>
          <cell r="C523" t="str">
            <v>BRS_GOLD__5_SPREADS:BRS_GOLD__4_CORP:BRS_GOLD__3_CSIG:BRS_GOLD__2_CSIG_USD:CORP33_IND_IG_USD:USD_CYCLICAL_IG</v>
          </cell>
          <cell r="D523" t="str">
            <v>Spread Duration</v>
          </cell>
          <cell r="E523" t="str">
            <v>Spread Yield (DxS)</v>
          </cell>
          <cell r="F523" t="str">
            <v>SP-Corporate IG USD</v>
          </cell>
          <cell r="G523" t="str">
            <v>SP-Spread Corporate</v>
          </cell>
          <cell r="H523" t="str">
            <v>SPREADS</v>
          </cell>
          <cell r="I523" t="str">
            <v>Corporate IG USD - Industry</v>
          </cell>
        </row>
        <row r="524">
          <cell r="A524" t="str">
            <v>USD_ENERGY_IG</v>
          </cell>
          <cell r="B524" t="str">
            <v>US Energy IG</v>
          </cell>
          <cell r="C524" t="str">
            <v>BRS_GOLD__5_SPREADS:BRS_GOLD__4_CORP:BRS_GOLD__3_CSIG:BRS_GOLD__2_CSIG_USD:CORP33_IND_IG_USD:USD_ENERGY_IG</v>
          </cell>
          <cell r="D524" t="str">
            <v>Spread Duration</v>
          </cell>
          <cell r="E524" t="str">
            <v>Spread Yield (DxS)</v>
          </cell>
          <cell r="F524" t="str">
            <v>SP-Corporate IG USD</v>
          </cell>
          <cell r="G524" t="str">
            <v>SP-Spread Corporate</v>
          </cell>
          <cell r="H524" t="str">
            <v>SPREADS</v>
          </cell>
          <cell r="I524" t="str">
            <v>Corporate IG USD - Industry</v>
          </cell>
        </row>
        <row r="525">
          <cell r="A525" t="str">
            <v>USD_FINANCE_COMPANY_IG</v>
          </cell>
          <cell r="B525" t="str">
            <v>US Fin Com IG</v>
          </cell>
          <cell r="C525" t="str">
            <v>BRS_GOLD__5_SPREADS:BRS_GOLD__4_CORP:BRS_GOLD__3_CSIG:BRS_GOLD__2_CSIG_USD:CORP33_IND_IG_USD:USD_FINANCE_COMPANY_IG</v>
          </cell>
          <cell r="D525" t="str">
            <v>Spread Duration</v>
          </cell>
          <cell r="E525" t="str">
            <v>Spread Yield (DxS)</v>
          </cell>
          <cell r="F525" t="str">
            <v>SP-Corporate IG USD</v>
          </cell>
          <cell r="G525" t="str">
            <v>SP-Spread Corporate</v>
          </cell>
          <cell r="H525" t="str">
            <v>SPREADS</v>
          </cell>
          <cell r="I525" t="str">
            <v>Corporate IG USD - Industry</v>
          </cell>
        </row>
        <row r="526">
          <cell r="A526" t="str">
            <v>USD_FOREIGN_IG</v>
          </cell>
          <cell r="B526" t="str">
            <v>US Foreign IG</v>
          </cell>
          <cell r="C526" t="str">
            <v>BRS_GOLD__5_SPREADS:BRS_GOLD__4_CORP:BRS_GOLD__3_CSIG:BRS_GOLD__2_CSIG_USD:CORP33_IND_IG_USD:USD_FOREIGN_IG</v>
          </cell>
          <cell r="D526" t="str">
            <v>Spread Duration</v>
          </cell>
          <cell r="E526" t="str">
            <v>Spread Yield (DxS)</v>
          </cell>
          <cell r="F526" t="str">
            <v>SP-Corporate IG USD</v>
          </cell>
          <cell r="G526" t="str">
            <v>SP-Spread Corporate</v>
          </cell>
          <cell r="H526" t="str">
            <v>SPREADS</v>
          </cell>
          <cell r="I526" t="str">
            <v>Corporate IG USD - Industry</v>
          </cell>
        </row>
        <row r="527">
          <cell r="A527" t="str">
            <v>USD_HOME_CONSTRUCT_IG</v>
          </cell>
          <cell r="B527" t="str">
            <v>US Home Con IG</v>
          </cell>
          <cell r="C527" t="str">
            <v>BRS_GOLD__5_SPREADS:BRS_GOLD__4_CORP:BRS_GOLD__3_CSIG:BRS_GOLD__2_CSIG_USD:CORP33_IND_IG_USD:USD_HOME_CONSTRUCT_IG</v>
          </cell>
          <cell r="D527" t="str">
            <v>Spread Duration</v>
          </cell>
          <cell r="E527" t="str">
            <v>Spread Yield (DxS)</v>
          </cell>
          <cell r="F527" t="str">
            <v>SP-Corporate IG USD</v>
          </cell>
          <cell r="G527" t="str">
            <v>SP-Spread Corporate</v>
          </cell>
          <cell r="H527" t="str">
            <v>SPREADS</v>
          </cell>
          <cell r="I527" t="str">
            <v>Corporate IG USD - Industry</v>
          </cell>
        </row>
        <row r="528">
          <cell r="A528" t="str">
            <v>USD_INSURANCE_IG</v>
          </cell>
          <cell r="B528" t="str">
            <v>US Insur IG</v>
          </cell>
          <cell r="C528" t="str">
            <v>BRS_GOLD__5_SPREADS:BRS_GOLD__4_CORP:BRS_GOLD__3_CSIG:BRS_GOLD__2_CSIG_USD:CORP33_IND_IG_USD:USD_INSURANCE_IG</v>
          </cell>
          <cell r="D528" t="str">
            <v>Spread Duration</v>
          </cell>
          <cell r="E528" t="str">
            <v>Spread Yield (DxS)</v>
          </cell>
          <cell r="F528" t="str">
            <v>SP-Corporate IG USD</v>
          </cell>
          <cell r="G528" t="str">
            <v>SP-Spread Corporate</v>
          </cell>
          <cell r="H528" t="str">
            <v>SPREADS</v>
          </cell>
          <cell r="I528" t="str">
            <v>Corporate IG USD - Industry</v>
          </cell>
        </row>
        <row r="529">
          <cell r="A529" t="str">
            <v>USD_MEDIA_CBL_IG</v>
          </cell>
          <cell r="B529" t="str">
            <v>US Cable IG</v>
          </cell>
          <cell r="C529" t="str">
            <v>BRS_GOLD__5_SPREADS:BRS_GOLD__4_CORP:BRS_GOLD__3_CSIG:BRS_GOLD__2_CSIG_USD:CORP33_IND_IG_USD:USD_MEDIA_CBL_IG</v>
          </cell>
          <cell r="D529" t="str">
            <v>Spread Duration</v>
          </cell>
          <cell r="E529" t="str">
            <v>Spread Yield (DxS)</v>
          </cell>
          <cell r="F529" t="str">
            <v>SP-Corporate IG USD</v>
          </cell>
          <cell r="G529" t="str">
            <v>SP-Spread Corporate</v>
          </cell>
          <cell r="H529" t="str">
            <v>SPREADS</v>
          </cell>
          <cell r="I529" t="str">
            <v>Corporate IG USD - Industry</v>
          </cell>
        </row>
        <row r="530">
          <cell r="A530" t="str">
            <v>USD_MEDIA_NON_CBL_IG</v>
          </cell>
          <cell r="B530" t="str">
            <v>US Non Cbl IG</v>
          </cell>
          <cell r="C530" t="str">
            <v>BRS_GOLD__5_SPREADS:BRS_GOLD__4_CORP:BRS_GOLD__3_CSIG:BRS_GOLD__2_CSIG_USD:CORP33_IND_IG_USD:USD_MEDIA_NON_CBL_IG</v>
          </cell>
          <cell r="D530" t="str">
            <v>Spread Duration</v>
          </cell>
          <cell r="E530" t="str">
            <v>Spread Yield (DxS)</v>
          </cell>
          <cell r="F530" t="str">
            <v>SP-Corporate IG USD</v>
          </cell>
          <cell r="G530" t="str">
            <v>SP-Spread Corporate</v>
          </cell>
          <cell r="H530" t="str">
            <v>SPREADS</v>
          </cell>
          <cell r="I530" t="str">
            <v>Corporate IG USD - Industry</v>
          </cell>
        </row>
        <row r="531">
          <cell r="A531" t="str">
            <v>USD_NON_CYCLICAL_IG</v>
          </cell>
          <cell r="B531" t="str">
            <v>US Non Cyc IG</v>
          </cell>
          <cell r="C531" t="str">
            <v>BRS_GOLD__5_SPREADS:BRS_GOLD__4_CORP:BRS_GOLD__3_CSIG:BRS_GOLD__2_CSIG_USD:CORP33_IND_IG_USD:USD_NON_CYCLICAL_IG</v>
          </cell>
          <cell r="D531" t="str">
            <v>Spread Duration</v>
          </cell>
          <cell r="E531" t="str">
            <v>Spread Yield (DxS)</v>
          </cell>
          <cell r="F531" t="str">
            <v>SP-Corporate IG USD</v>
          </cell>
          <cell r="G531" t="str">
            <v>SP-Spread Corporate</v>
          </cell>
          <cell r="H531" t="str">
            <v>SPREADS</v>
          </cell>
          <cell r="I531" t="str">
            <v>Corporate IG USD - Industry</v>
          </cell>
        </row>
        <row r="532">
          <cell r="A532" t="str">
            <v>USD_OTHER_IG</v>
          </cell>
          <cell r="B532" t="str">
            <v>US Other IG</v>
          </cell>
          <cell r="C532" t="str">
            <v>BRS_GOLD__5_SPREADS:BRS_GOLD__4_CORP:BRS_GOLD__3_CSIG:BRS_GOLD__2_CSIG_USD:CORP33_IND_IG_USD:USD_OTHER_IG</v>
          </cell>
          <cell r="D532" t="str">
            <v>Spread Duration</v>
          </cell>
          <cell r="E532" t="str">
            <v>Spread Yield (DxS)</v>
          </cell>
          <cell r="F532" t="str">
            <v>SP-Corporate IG USD</v>
          </cell>
          <cell r="G532" t="str">
            <v>SP-Spread Corporate</v>
          </cell>
          <cell r="H532" t="str">
            <v>SPREADS</v>
          </cell>
          <cell r="I532" t="str">
            <v>Corporate IG USD - Industry</v>
          </cell>
        </row>
        <row r="533">
          <cell r="A533" t="str">
            <v>USD_PAPER_IG</v>
          </cell>
          <cell r="B533" t="str">
            <v>US Paper IG</v>
          </cell>
          <cell r="C533" t="str">
            <v>BRS_GOLD__5_SPREADS:BRS_GOLD__4_CORP:BRS_GOLD__3_CSIG:BRS_GOLD__2_CSIG_USD:CORP33_IND_IG_USD:USD_PAPER_IG</v>
          </cell>
          <cell r="D533" t="str">
            <v>Spread Duration</v>
          </cell>
          <cell r="E533" t="str">
            <v>Spread Yield (DxS)</v>
          </cell>
          <cell r="F533" t="str">
            <v>SP-Corporate IG USD</v>
          </cell>
          <cell r="G533" t="str">
            <v>SP-Spread Corporate</v>
          </cell>
          <cell r="H533" t="str">
            <v>SPREADS</v>
          </cell>
          <cell r="I533" t="str">
            <v>Corporate IG USD - Industry</v>
          </cell>
        </row>
        <row r="534">
          <cell r="A534" t="str">
            <v>USD_PHARMACEUTICAL_IG</v>
          </cell>
          <cell r="B534" t="str">
            <v>US Pharma IG</v>
          </cell>
          <cell r="C534" t="str">
            <v>BRS_GOLD__5_SPREADS:BRS_GOLD__4_CORP:BRS_GOLD__3_CSIG:BRS_GOLD__2_CSIG_USD:CORP33_IND_IG_USD:USD_PHARMACEUTICAL_IG</v>
          </cell>
          <cell r="D534" t="str">
            <v>Spread Duration</v>
          </cell>
          <cell r="E534" t="str">
            <v>Spread Yield (DxS)</v>
          </cell>
          <cell r="F534" t="str">
            <v>SP-Corporate IG USD</v>
          </cell>
          <cell r="G534" t="str">
            <v>SP-Spread Corporate</v>
          </cell>
          <cell r="H534" t="str">
            <v>SPREADS</v>
          </cell>
          <cell r="I534" t="str">
            <v>Corporate IG USD - Industry</v>
          </cell>
        </row>
        <row r="535">
          <cell r="A535" t="str">
            <v>USD_PIPELINES_IG</v>
          </cell>
          <cell r="B535" t="str">
            <v>US Pipe IG</v>
          </cell>
          <cell r="C535" t="str">
            <v>BRS_GOLD__5_SPREADS:BRS_GOLD__4_CORP:BRS_GOLD__3_CSIG:BRS_GOLD__2_CSIG_USD:CORP33_IND_IG_USD:USD_PIPELINES_IG</v>
          </cell>
          <cell r="D535" t="str">
            <v>Spread Duration</v>
          </cell>
          <cell r="E535" t="str">
            <v>Spread Yield (DxS)</v>
          </cell>
          <cell r="F535" t="str">
            <v>SP-Corporate IG USD</v>
          </cell>
          <cell r="G535" t="str">
            <v>SP-Spread Corporate</v>
          </cell>
          <cell r="H535" t="str">
            <v>SPREADS</v>
          </cell>
          <cell r="I535" t="str">
            <v>Corporate IG USD - Industry</v>
          </cell>
        </row>
        <row r="536">
          <cell r="A536" t="str">
            <v>USD_REIT_IG</v>
          </cell>
          <cell r="B536" t="str">
            <v>US Reit IG</v>
          </cell>
          <cell r="C536" t="str">
            <v>BRS_GOLD__5_SPREADS:BRS_GOLD__4_CORP:BRS_GOLD__3_CSIG:BRS_GOLD__2_CSIG_USD:CORP33_IND_IG_USD:USD_REIT_IG</v>
          </cell>
          <cell r="D536" t="str">
            <v>Spread Duration</v>
          </cell>
          <cell r="E536" t="str">
            <v>Spread Yield (DxS)</v>
          </cell>
          <cell r="F536" t="str">
            <v>SP-Corporate IG USD</v>
          </cell>
          <cell r="G536" t="str">
            <v>SP-Spread Corporate</v>
          </cell>
          <cell r="H536" t="str">
            <v>SPREADS</v>
          </cell>
          <cell r="I536" t="str">
            <v>Corporate IG USD - Industry</v>
          </cell>
        </row>
        <row r="537">
          <cell r="A537" t="str">
            <v>USD_TECH_IG</v>
          </cell>
          <cell r="B537" t="str">
            <v>US Tech IG</v>
          </cell>
          <cell r="C537" t="str">
            <v>BRS_GOLD__5_SPREADS:BRS_GOLD__4_CORP:BRS_GOLD__3_CSIG:BRS_GOLD__2_CSIG_USD:CORP33_IND_IG_USD:USD_TECH_IG</v>
          </cell>
          <cell r="D537" t="str">
            <v>Spread Duration</v>
          </cell>
          <cell r="E537" t="str">
            <v>Spread Yield (DxS)</v>
          </cell>
          <cell r="F537" t="str">
            <v>SP-Corporate IG USD</v>
          </cell>
          <cell r="G537" t="str">
            <v>SP-Spread Corporate</v>
          </cell>
          <cell r="H537" t="str">
            <v>SPREADS</v>
          </cell>
          <cell r="I537" t="str">
            <v>Corporate IG USD - Industry</v>
          </cell>
        </row>
        <row r="538">
          <cell r="A538" t="str">
            <v>USD_TELECOM_IG</v>
          </cell>
          <cell r="B538" t="str">
            <v>US Telecom IG</v>
          </cell>
          <cell r="C538" t="str">
            <v>BRS_GOLD__5_SPREADS:BRS_GOLD__4_CORP:BRS_GOLD__3_CSIG:BRS_GOLD__2_CSIG_USD:CORP33_IND_IG_USD:USD_TELECOM_IG</v>
          </cell>
          <cell r="D538" t="str">
            <v>Spread Duration</v>
          </cell>
          <cell r="E538" t="str">
            <v>Spread Yield (DxS)</v>
          </cell>
          <cell r="F538" t="str">
            <v>SP-Corporate IG USD</v>
          </cell>
          <cell r="G538" t="str">
            <v>SP-Spread Corporate</v>
          </cell>
          <cell r="H538" t="str">
            <v>SPREADS</v>
          </cell>
          <cell r="I538" t="str">
            <v>Corporate IG USD - Industry</v>
          </cell>
        </row>
        <row r="539">
          <cell r="A539" t="str">
            <v>USD_TOBACCO_IG</v>
          </cell>
          <cell r="B539" t="str">
            <v>US Tobacco IG</v>
          </cell>
          <cell r="C539" t="str">
            <v>BRS_GOLD__5_SPREADS:BRS_GOLD__4_CORP:BRS_GOLD__3_CSIG:BRS_GOLD__2_CSIG_USD:CORP33_IND_IG_USD:USD_TOBACCO_IG</v>
          </cell>
          <cell r="D539" t="str">
            <v>Spread Duration</v>
          </cell>
          <cell r="E539" t="str">
            <v>Spread Yield (DxS)</v>
          </cell>
          <cell r="F539" t="str">
            <v>SP-Corporate IG USD</v>
          </cell>
          <cell r="G539" t="str">
            <v>SP-Spread Corporate</v>
          </cell>
          <cell r="H539" t="str">
            <v>SPREADS</v>
          </cell>
          <cell r="I539" t="str">
            <v>Corporate IG USD - Industry</v>
          </cell>
        </row>
        <row r="540">
          <cell r="A540" t="str">
            <v>USD_TRANSPORTATION_IG</v>
          </cell>
          <cell r="B540" t="str">
            <v>US Transp IG</v>
          </cell>
          <cell r="C540" t="str">
            <v>BRS_GOLD__5_SPREADS:BRS_GOLD__4_CORP:BRS_GOLD__3_CSIG:BRS_GOLD__2_CSIG_USD:CORP33_IND_IG_USD:USD_TRANSPORTATION_IG</v>
          </cell>
          <cell r="D540" t="str">
            <v>Spread Duration</v>
          </cell>
          <cell r="E540" t="str">
            <v>Spread Yield (DxS)</v>
          </cell>
          <cell r="F540" t="str">
            <v>SP-Corporate IG USD</v>
          </cell>
          <cell r="G540" t="str">
            <v>SP-Spread Corporate</v>
          </cell>
          <cell r="H540" t="str">
            <v>SPREADS</v>
          </cell>
          <cell r="I540" t="str">
            <v>Corporate IG USD - Industry</v>
          </cell>
        </row>
        <row r="541">
          <cell r="A541" t="str">
            <v>USD_UTILITY_IG</v>
          </cell>
          <cell r="B541" t="str">
            <v>US Util IG</v>
          </cell>
          <cell r="C541" t="str">
            <v>BRS_GOLD__5_SPREADS:BRS_GOLD__4_CORP:BRS_GOLD__3_CSIG:BRS_GOLD__2_CSIG_USD:CORP33_IND_IG_USD:USD_UTILITY_IG</v>
          </cell>
          <cell r="D541" t="str">
            <v>Spread Duration</v>
          </cell>
          <cell r="E541" t="str">
            <v>Spread Yield (DxS)</v>
          </cell>
          <cell r="F541" t="str">
            <v>SP-Corporate IG USD</v>
          </cell>
          <cell r="G541" t="str">
            <v>SP-Spread Corporate</v>
          </cell>
          <cell r="H541" t="str">
            <v>SPREADS</v>
          </cell>
          <cell r="I541" t="str">
            <v>Corporate IG USD - Industry</v>
          </cell>
        </row>
        <row r="542">
          <cell r="A542" t="str">
            <v>USD_BASIS_SUPER_IG</v>
          </cell>
          <cell r="B542" t="str">
            <v>US Basis SIG</v>
          </cell>
          <cell r="C542" t="str">
            <v>BRS_GOLD__5_SPREADS:BRS_GOLD__4_CORP:BRS_GOLD__3_CSIG:BRS_GOLD__2_CSIG_USD:CORP33_BAS_USD:USD_BASIS_SUPER_IG</v>
          </cell>
          <cell r="D542" t="str">
            <v>Spread Duration</v>
          </cell>
          <cell r="E542" t="str">
            <v>Spread Yield (DxS)</v>
          </cell>
          <cell r="F542" t="str">
            <v>SP-Corporate IG USD</v>
          </cell>
          <cell r="G542" t="str">
            <v>SP-Spread Corporate</v>
          </cell>
          <cell r="H542" t="str">
            <v>SPREADS</v>
          </cell>
          <cell r="I542" t="str">
            <v>Corporate IG USD - Other</v>
          </cell>
        </row>
        <row r="543">
          <cell r="A543" t="str">
            <v>USD_BASIS_IG_2Y</v>
          </cell>
          <cell r="B543" t="str">
            <v>US Basis IG 2</v>
          </cell>
          <cell r="C543" t="str">
            <v>BRS_GOLD__5_SPREADS:BRS_GOLD__4_CORP:BRS_GOLD__3_CSIG:BRS_GOLD__2_CSIG_USD:CORP33_BAS_USD:USD_BASIS_IG_2Y</v>
          </cell>
          <cell r="D543" t="str">
            <v>Spread Duration</v>
          </cell>
          <cell r="E543" t="str">
            <v>Spread Yield (DxS)</v>
          </cell>
          <cell r="F543" t="str">
            <v>SP-Corporate IG USD</v>
          </cell>
          <cell r="G543" t="str">
            <v>SP-Spread Corporate</v>
          </cell>
          <cell r="H543" t="str">
            <v>SPREADS</v>
          </cell>
          <cell r="I543" t="str">
            <v>Corporate IG USD - Other</v>
          </cell>
        </row>
        <row r="544">
          <cell r="A544" t="str">
            <v>USD_BASIS_IG_5Y</v>
          </cell>
          <cell r="B544" t="str">
            <v>US Basis IG 5</v>
          </cell>
          <cell r="C544" t="str">
            <v>BRS_GOLD__5_SPREADS:BRS_GOLD__4_CORP:BRS_GOLD__3_CSIG:BRS_GOLD__2_CSIG_USD:CORP33_BAS_USD:USD_BASIS_IG_5Y</v>
          </cell>
          <cell r="D544" t="str">
            <v>Spread Duration</v>
          </cell>
          <cell r="E544" t="str">
            <v>Spread Yield (DxS)</v>
          </cell>
          <cell r="F544" t="str">
            <v>SP-Corporate IG USD</v>
          </cell>
          <cell r="G544" t="str">
            <v>SP-Spread Corporate</v>
          </cell>
          <cell r="H544" t="str">
            <v>SPREADS</v>
          </cell>
          <cell r="I544" t="str">
            <v>Corporate IG USD - Other</v>
          </cell>
        </row>
        <row r="545">
          <cell r="A545" t="str">
            <v>USD_BASIS_IG_10Y</v>
          </cell>
          <cell r="B545" t="str">
            <v>US Basis IG 10</v>
          </cell>
          <cell r="C545" t="str">
            <v>BRS_GOLD__5_SPREADS:BRS_GOLD__4_CORP:BRS_GOLD__3_CSIG:BRS_GOLD__2_CSIG_USD:CORP33_BAS_USD:USD_BASIS_IG_10Y</v>
          </cell>
          <cell r="D545" t="str">
            <v>Spread Duration</v>
          </cell>
          <cell r="E545" t="str">
            <v>Spread Yield (DxS)</v>
          </cell>
          <cell r="F545" t="str">
            <v>SP-Corporate IG USD</v>
          </cell>
          <cell r="G545" t="str">
            <v>SP-Spread Corporate</v>
          </cell>
          <cell r="H545" t="str">
            <v>SPREADS</v>
          </cell>
          <cell r="I545" t="str">
            <v>Corporate IG USD - Other</v>
          </cell>
        </row>
        <row r="546">
          <cell r="A546" t="str">
            <v>USD_BASIS_IG_20Y</v>
          </cell>
          <cell r="B546" t="str">
            <v>US Basis IG 20</v>
          </cell>
          <cell r="C546" t="str">
            <v>BRS_GOLD__5_SPREADS:BRS_GOLD__4_CORP:BRS_GOLD__3_CSIG:BRS_GOLD__2_CSIG_USD:CORP33_BAS_USD:USD_BASIS_IG_20Y</v>
          </cell>
          <cell r="D546" t="str">
            <v>Spread Duration</v>
          </cell>
          <cell r="E546" t="str">
            <v>Spread Yield (DxS)</v>
          </cell>
          <cell r="F546" t="str">
            <v>SP-Corporate IG USD</v>
          </cell>
          <cell r="G546" t="str">
            <v>SP-Spread Corporate</v>
          </cell>
          <cell r="H546" t="str">
            <v>SPREADS</v>
          </cell>
          <cell r="I546" t="str">
            <v>Corporate IG USD - Other</v>
          </cell>
        </row>
        <row r="547">
          <cell r="A547" t="str">
            <v>AUD_CORP_AGG_2YN</v>
          </cell>
          <cell r="B547" t="str">
            <v>AU Maturity 2</v>
          </cell>
          <cell r="C547" t="str">
            <v>BRS_GOLD__5_SPREADS:BRS_GOLD__4_CORP:BRS_GOLD__3_CSIG:BRS_GOLD__2_CSIG_AUD:CORP_GLOBAL_AU_MAT_IG:AUD_CORP_AGG_2YN</v>
          </cell>
          <cell r="D547" t="str">
            <v>Spread Duration</v>
          </cell>
          <cell r="E547" t="str">
            <v>Spread Yield (DxS)</v>
          </cell>
          <cell r="F547" t="str">
            <v>SP-Corporate IG Other</v>
          </cell>
          <cell r="G547" t="str">
            <v>SP-Spread Corporate</v>
          </cell>
          <cell r="H547" t="str">
            <v>SPREADS</v>
          </cell>
          <cell r="I547" t="str">
            <v>Corporate IG Other - Maturity</v>
          </cell>
        </row>
        <row r="548">
          <cell r="A548" t="str">
            <v>AUD_CORP_AGG_2YN_SF</v>
          </cell>
          <cell r="B548" t="str">
            <v>AU Maturity 2</v>
          </cell>
          <cell r="C548" t="str">
            <v>BRS_GOLD__5_SPREADS:BRS_GOLD__4_CORP:BRS_GOLD__3_CSIG:BRS_GOLD__2_CSIG_AUD:CORP_GLOBAL_AU_MAT_IG:AUD_CORP_AGG_2YN_SF</v>
          </cell>
          <cell r="D548" t="str">
            <v>Spread Duration</v>
          </cell>
          <cell r="E548" t="str">
            <v>Spread Yield (DxS)</v>
          </cell>
          <cell r="F548" t="str">
            <v>SP-Corporate IG Other</v>
          </cell>
          <cell r="G548" t="str">
            <v>SP-Spread Corporate</v>
          </cell>
          <cell r="H548" t="str">
            <v>SPREADS</v>
          </cell>
          <cell r="I548" t="str">
            <v>Corporate IG Other - Maturity</v>
          </cell>
        </row>
        <row r="549">
          <cell r="A549" t="str">
            <v>AUD_CORP_AGG_5YN</v>
          </cell>
          <cell r="B549" t="str">
            <v>AU Maturity 5</v>
          </cell>
          <cell r="C549" t="str">
            <v>BRS_GOLD__5_SPREADS:BRS_GOLD__4_CORP:BRS_GOLD__3_CSIG:BRS_GOLD__2_CSIG_AUD:CORP_GLOBAL_AU_MAT_IG:AUD_CORP_AGG_5YN</v>
          </cell>
          <cell r="D549" t="str">
            <v>Spread Duration</v>
          </cell>
          <cell r="E549" t="str">
            <v>Spread Yield (DxS)</v>
          </cell>
          <cell r="F549" t="str">
            <v>SP-Corporate IG Other</v>
          </cell>
          <cell r="G549" t="str">
            <v>SP-Spread Corporate</v>
          </cell>
          <cell r="H549" t="str">
            <v>SPREADS</v>
          </cell>
          <cell r="I549" t="str">
            <v>Corporate IG Other - Maturity</v>
          </cell>
        </row>
        <row r="550">
          <cell r="A550" t="str">
            <v>AUD_CORP_AGG_10YN</v>
          </cell>
          <cell r="B550" t="str">
            <v>AU Maturity 10</v>
          </cell>
          <cell r="C550" t="str">
            <v>BRS_GOLD__5_SPREADS:BRS_GOLD__4_CORP:BRS_GOLD__3_CSIG:BRS_GOLD__2_CSIG_AUD:CORP_GLOBAL_AU_MAT_IG:AUD_CORP_AGG_10YN</v>
          </cell>
          <cell r="D550" t="str">
            <v>Spread Duration</v>
          </cell>
          <cell r="E550" t="str">
            <v>Spread Yield (DxS)</v>
          </cell>
          <cell r="F550" t="str">
            <v>SP-Corporate IG Other</v>
          </cell>
          <cell r="G550" t="str">
            <v>SP-Spread Corporate</v>
          </cell>
          <cell r="H550" t="str">
            <v>SPREADS</v>
          </cell>
          <cell r="I550" t="str">
            <v>Corporate IG Other - Maturity</v>
          </cell>
        </row>
        <row r="551">
          <cell r="A551" t="str">
            <v>AUD_CORP_AGG_10YN_SF</v>
          </cell>
          <cell r="B551" t="str">
            <v>AU Maturity 10</v>
          </cell>
          <cell r="C551" t="str">
            <v>BRS_GOLD__5_SPREADS:BRS_GOLD__4_CORP:BRS_GOLD__3_CSIG:BRS_GOLD__2_CSIG_AUD:CORP_GLOBAL_AU_MAT_IG:AUD_CORP_AGG_10YN_SF</v>
          </cell>
          <cell r="D551" t="str">
            <v>Spread Duration</v>
          </cell>
          <cell r="E551" t="str">
            <v>Spread Yield (DxS)</v>
          </cell>
          <cell r="F551" t="str">
            <v>SP-Corporate IG Other</v>
          </cell>
          <cell r="G551" t="str">
            <v>SP-Spread Corporate</v>
          </cell>
          <cell r="H551" t="str">
            <v>SPREADS</v>
          </cell>
          <cell r="I551" t="str">
            <v>Corporate IG Other - Maturity</v>
          </cell>
        </row>
        <row r="552">
          <cell r="A552" t="str">
            <v>AUD_LOCAL_FIN_IGN</v>
          </cell>
          <cell r="B552" t="str">
            <v>AU Financial</v>
          </cell>
          <cell r="C552" t="str">
            <v>BRS_GOLD__5_SPREADS:BRS_GOLD__4_CORP:BRS_GOLD__3_CSIG:BRS_GOLD__2_CSIG_AUD:CORP_GLOBAL_AU_IND_IG:AUD_LOCAL_FIN_IGN</v>
          </cell>
          <cell r="D552" t="str">
            <v>Spread Duration</v>
          </cell>
          <cell r="E552" t="str">
            <v>Spread Yield (DxS)</v>
          </cell>
          <cell r="F552" t="str">
            <v>SP-Corporate IG Other</v>
          </cell>
          <cell r="G552" t="str">
            <v>SP-Spread Corporate</v>
          </cell>
          <cell r="H552" t="str">
            <v>SPREADS</v>
          </cell>
          <cell r="I552" t="str">
            <v>Corporate IG Other - Industry</v>
          </cell>
        </row>
        <row r="553">
          <cell r="A553" t="str">
            <v>AUD_LOCAL_FIN_IGN_SF</v>
          </cell>
          <cell r="B553" t="str">
            <v>AU Financial</v>
          </cell>
          <cell r="C553" t="str">
            <v>BRS_GOLD__5_SPREADS:BRS_GOLD__4_CORP:BRS_GOLD__3_CSIG:BRS_GOLD__2_CSIG_AUD:CORP_GLOBAL_AU_IND_IG:AUD_LOCAL_FIN_IGN_SF</v>
          </cell>
          <cell r="D553" t="str">
            <v>Spread Duration</v>
          </cell>
          <cell r="E553" t="str">
            <v>Spread Yield (DxS)</v>
          </cell>
          <cell r="F553" t="str">
            <v>SP-Corporate IG Other</v>
          </cell>
          <cell r="G553" t="str">
            <v>SP-Spread Corporate</v>
          </cell>
          <cell r="H553" t="str">
            <v>SPREADS</v>
          </cell>
          <cell r="I553" t="str">
            <v>Corporate IG Other - Industry</v>
          </cell>
        </row>
        <row r="554">
          <cell r="A554" t="str">
            <v>AUD_LOCAL_IND_IGN</v>
          </cell>
          <cell r="B554" t="str">
            <v>AU Industrial</v>
          </cell>
          <cell r="C554" t="str">
            <v>BRS_GOLD__5_SPREADS:BRS_GOLD__4_CORP:BRS_GOLD__3_CSIG:BRS_GOLD__2_CSIG_AUD:CORP_GLOBAL_AU_IND_IG:AUD_LOCAL_IND_IGN</v>
          </cell>
          <cell r="D554" t="str">
            <v>Spread Duration</v>
          </cell>
          <cell r="E554" t="str">
            <v>Spread Yield (DxS)</v>
          </cell>
          <cell r="F554" t="str">
            <v>SP-Corporate IG Other</v>
          </cell>
          <cell r="G554" t="str">
            <v>SP-Spread Corporate</v>
          </cell>
          <cell r="H554" t="str">
            <v>SPREADS</v>
          </cell>
          <cell r="I554" t="str">
            <v>Corporate IG Other - Industry</v>
          </cell>
        </row>
        <row r="555">
          <cell r="A555" t="str">
            <v>AUD_LOCAL_IND_IGN_SF</v>
          </cell>
          <cell r="B555" t="str">
            <v>AU Industrial</v>
          </cell>
          <cell r="C555" t="str">
            <v>BRS_GOLD__5_SPREADS:BRS_GOLD__4_CORP:BRS_GOLD__3_CSIG:BRS_GOLD__2_CSIG_AUD:CORP_GLOBAL_AU_IND_IG:AUD_LOCAL_IND_IGN_SF</v>
          </cell>
          <cell r="D555" t="str">
            <v>Spread Duration</v>
          </cell>
          <cell r="E555" t="str">
            <v>Spread Yield (DxS)</v>
          </cell>
          <cell r="F555" t="str">
            <v>SP-Corporate IG Other</v>
          </cell>
          <cell r="G555" t="str">
            <v>SP-Spread Corporate</v>
          </cell>
          <cell r="H555" t="str">
            <v>SPREADS</v>
          </cell>
          <cell r="I555" t="str">
            <v>Corporate IG Other - Industry</v>
          </cell>
        </row>
        <row r="556">
          <cell r="A556" t="str">
            <v>EUR_CORP_AGG_2Y</v>
          </cell>
          <cell r="B556" t="str">
            <v>EU Maturity 2</v>
          </cell>
          <cell r="C556" t="str">
            <v>BRS_GOLD__5_SPREADS:BRS_GOLD__4_CORP:BRS_GOLD__3_CSIG:BRS_GOLD__2_CSIG_EUR:CORP33_EU_MAT:EUR_CORP_AGG_2Y</v>
          </cell>
          <cell r="D556" t="str">
            <v>Spread Duration</v>
          </cell>
          <cell r="E556" t="str">
            <v>Spread Yield (DxS)</v>
          </cell>
          <cell r="F556" t="str">
            <v>SP-Corporate IG EUR</v>
          </cell>
          <cell r="G556" t="str">
            <v>SP-Spread Corporate</v>
          </cell>
          <cell r="H556" t="str">
            <v>SPREADS</v>
          </cell>
          <cell r="I556" t="str">
            <v>Corporate IG EUR - Maturity</v>
          </cell>
        </row>
        <row r="557">
          <cell r="A557" t="str">
            <v>EUR_CORP_AGG_5Y</v>
          </cell>
          <cell r="B557" t="str">
            <v>EU Maturity 5</v>
          </cell>
          <cell r="C557" t="str">
            <v>BRS_GOLD__5_SPREADS:BRS_GOLD__4_CORP:BRS_GOLD__3_CSIG:BRS_GOLD__2_CSIG_EUR:CORP33_EU_MAT:EUR_CORP_AGG_5Y</v>
          </cell>
          <cell r="D557" t="str">
            <v>Spread Duration</v>
          </cell>
          <cell r="E557" t="str">
            <v>Spread Yield (DxS)</v>
          </cell>
          <cell r="F557" t="str">
            <v>SP-Corporate IG EUR</v>
          </cell>
          <cell r="G557" t="str">
            <v>SP-Spread Corporate</v>
          </cell>
          <cell r="H557" t="str">
            <v>SPREADS</v>
          </cell>
          <cell r="I557" t="str">
            <v>Corporate IG EUR - Maturity</v>
          </cell>
        </row>
        <row r="558">
          <cell r="A558" t="str">
            <v>EUR_CORP_AGG_10Y</v>
          </cell>
          <cell r="B558" t="str">
            <v>EU Maturity 10</v>
          </cell>
          <cell r="C558" t="str">
            <v>BRS_GOLD__5_SPREADS:BRS_GOLD__4_CORP:BRS_GOLD__3_CSIG:BRS_GOLD__2_CSIG_EUR:CORP33_EU_MAT:EUR_CORP_AGG_10Y</v>
          </cell>
          <cell r="D558" t="str">
            <v>Spread Duration</v>
          </cell>
          <cell r="E558" t="str">
            <v>Spread Yield (DxS)</v>
          </cell>
          <cell r="F558" t="str">
            <v>SP-Corporate IG EUR</v>
          </cell>
          <cell r="G558" t="str">
            <v>SP-Spread Corporate</v>
          </cell>
          <cell r="H558" t="str">
            <v>SPREADS</v>
          </cell>
          <cell r="I558" t="str">
            <v>Corporate IG EUR - Maturity</v>
          </cell>
        </row>
        <row r="559">
          <cell r="A559" t="str">
            <v>EUR_CORP_AGG_20Y</v>
          </cell>
          <cell r="B559" t="str">
            <v>EU Maturity 20</v>
          </cell>
          <cell r="C559" t="str">
            <v>BRS_GOLD__5_SPREADS:BRS_GOLD__4_CORP:BRS_GOLD__3_CSIG:BRS_GOLD__2_CSIG_EUR:CORP33_EU_MAT:EUR_CORP_AGG_20Y</v>
          </cell>
          <cell r="D559" t="str">
            <v>Spread Duration</v>
          </cell>
          <cell r="E559" t="str">
            <v>Spread Yield (DxS)</v>
          </cell>
          <cell r="F559" t="str">
            <v>SP-Corporate IG EUR</v>
          </cell>
          <cell r="G559" t="str">
            <v>SP-Spread Corporate</v>
          </cell>
          <cell r="H559" t="str">
            <v>SPREADS</v>
          </cell>
          <cell r="I559" t="str">
            <v>Corporate IG EUR - Maturity</v>
          </cell>
        </row>
        <row r="560">
          <cell r="A560" t="str">
            <v>EUR_FINANCIAL_SUPER_IG</v>
          </cell>
          <cell r="B560" t="str">
            <v>EU Fin SIG</v>
          </cell>
          <cell r="C560" t="str">
            <v>BRS_GOLD__5_SPREADS:BRS_GOLD__4_CORP:BRS_GOLD__3_CSIG:BRS_GOLD__2_CSIG_EUR:CORP33_EU_IND_SIG:EUR_FINANCIAL_SUPER_IG</v>
          </cell>
          <cell r="D560" t="str">
            <v>Spread Duration</v>
          </cell>
          <cell r="E560" t="str">
            <v>Spread Yield (DxS)</v>
          </cell>
          <cell r="F560" t="str">
            <v>SP-Corporate IG EUR</v>
          </cell>
          <cell r="G560" t="str">
            <v>SP-Spread Corporate</v>
          </cell>
          <cell r="H560" t="str">
            <v>SPREADS</v>
          </cell>
          <cell r="I560" t="str">
            <v>Corporate IG EUR - Industry</v>
          </cell>
        </row>
        <row r="561">
          <cell r="A561" t="str">
            <v>EUR_INDUSTRIAL_SUPER_IG</v>
          </cell>
          <cell r="B561" t="str">
            <v>EU Ind SIG</v>
          </cell>
          <cell r="C561" t="str">
            <v>BRS_GOLD__5_SPREADS:BRS_GOLD__4_CORP:BRS_GOLD__3_CSIG:BRS_GOLD__2_CSIG_EUR:CORP33_EU_IND_SIG:EUR_INDUSTRIAL_SUPER_IG</v>
          </cell>
          <cell r="D561" t="str">
            <v>Spread Duration</v>
          </cell>
          <cell r="E561" t="str">
            <v>Spread Yield (DxS)</v>
          </cell>
          <cell r="F561" t="str">
            <v>SP-Corporate IG EUR</v>
          </cell>
          <cell r="G561" t="str">
            <v>SP-Spread Corporate</v>
          </cell>
          <cell r="H561" t="str">
            <v>SPREADS</v>
          </cell>
          <cell r="I561" t="str">
            <v>Corporate IG EUR - Industry</v>
          </cell>
        </row>
        <row r="562">
          <cell r="A562" t="str">
            <v>EUR_UTILENER_SUPER_IG</v>
          </cell>
          <cell r="B562" t="str">
            <v>EU Util Ene SIG</v>
          </cell>
          <cell r="C562" t="str">
            <v>BRS_GOLD__5_SPREADS:BRS_GOLD__4_CORP:BRS_GOLD__3_CSIG:BRS_GOLD__2_CSIG_EUR:CORP33_EU_IND_SIG:EUR_UTILENER_SUPER_IG</v>
          </cell>
          <cell r="D562" t="str">
            <v>Spread Duration</v>
          </cell>
          <cell r="E562" t="str">
            <v>Spread Yield (DxS)</v>
          </cell>
          <cell r="F562" t="str">
            <v>SP-Corporate IG EUR</v>
          </cell>
          <cell r="G562" t="str">
            <v>SP-Spread Corporate</v>
          </cell>
          <cell r="H562" t="str">
            <v>SPREADS</v>
          </cell>
          <cell r="I562" t="str">
            <v>Corporate IG EUR - Industry</v>
          </cell>
        </row>
        <row r="563">
          <cell r="A563" t="str">
            <v>EUR_COMMTECH_IG</v>
          </cell>
          <cell r="B563" t="str">
            <v>EU Com Tec IG</v>
          </cell>
          <cell r="C563" t="str">
            <v>BRS_GOLD__5_SPREADS:BRS_GOLD__4_CORP:BRS_GOLD__3_CSIG:BRS_GOLD__2_CSIG_EUR:CORP33_EU_IND_IG:EUR_COMMTECH_IG</v>
          </cell>
          <cell r="D563" t="str">
            <v>Spread Duration</v>
          </cell>
          <cell r="E563" t="str">
            <v>Spread Yield (DxS)</v>
          </cell>
          <cell r="F563" t="str">
            <v>SP-Corporate IG EUR</v>
          </cell>
          <cell r="G563" t="str">
            <v>SP-Spread Corporate</v>
          </cell>
          <cell r="H563" t="str">
            <v>SPREADS</v>
          </cell>
          <cell r="I563" t="str">
            <v>Corporate IG EUR - Industry</v>
          </cell>
        </row>
        <row r="564">
          <cell r="A564" t="str">
            <v>EUR_CONSCYC_IG</v>
          </cell>
          <cell r="B564" t="str">
            <v>EU Cycl IG</v>
          </cell>
          <cell r="C564" t="str">
            <v>BRS_GOLD__5_SPREADS:BRS_GOLD__4_CORP:BRS_GOLD__3_CSIG:BRS_GOLD__2_CSIG_EUR:CORP33_EU_IND_IG:EUR_CONSCYC_IG</v>
          </cell>
          <cell r="D564" t="str">
            <v>Spread Duration</v>
          </cell>
          <cell r="E564" t="str">
            <v>Spread Yield (DxS)</v>
          </cell>
          <cell r="F564" t="str">
            <v>SP-Corporate IG EUR</v>
          </cell>
          <cell r="G564" t="str">
            <v>SP-Spread Corporate</v>
          </cell>
          <cell r="H564" t="str">
            <v>SPREADS</v>
          </cell>
          <cell r="I564" t="str">
            <v>Corporate IG EUR - Industry</v>
          </cell>
        </row>
        <row r="565">
          <cell r="A565" t="str">
            <v>EUR_CONSSTA_IG</v>
          </cell>
          <cell r="B565" t="str">
            <v>EU Non Cyc IG</v>
          </cell>
          <cell r="C565" t="str">
            <v>BRS_GOLD__5_SPREADS:BRS_GOLD__4_CORP:BRS_GOLD__3_CSIG:BRS_GOLD__2_CSIG_EUR:CORP33_EU_IND_IG:EUR_CONSSTA_IG</v>
          </cell>
          <cell r="D565" t="str">
            <v>Spread Duration</v>
          </cell>
          <cell r="E565" t="str">
            <v>Spread Yield (DxS)</v>
          </cell>
          <cell r="F565" t="str">
            <v>SP-Corporate IG EUR</v>
          </cell>
          <cell r="G565" t="str">
            <v>SP-Spread Corporate</v>
          </cell>
          <cell r="H565" t="str">
            <v>SPREADS</v>
          </cell>
          <cell r="I565" t="str">
            <v>Corporate IG EUR - Industry</v>
          </cell>
        </row>
        <row r="566">
          <cell r="A566" t="str">
            <v>EUR_DIVERS_IG</v>
          </cell>
          <cell r="B566" t="str">
            <v>EU Ind Misc IG</v>
          </cell>
          <cell r="C566" t="str">
            <v>BRS_GOLD__5_SPREADS:BRS_GOLD__4_CORP:BRS_GOLD__3_CSIG:BRS_GOLD__2_CSIG_EUR:CORP33_EU_IND_IG:EUR_DIVERS_IG</v>
          </cell>
          <cell r="D566" t="str">
            <v>Spread Duration</v>
          </cell>
          <cell r="E566" t="str">
            <v>Spread Yield (DxS)</v>
          </cell>
          <cell r="F566" t="str">
            <v>SP-Corporate IG EUR</v>
          </cell>
          <cell r="G566" t="str">
            <v>SP-Spread Corporate</v>
          </cell>
          <cell r="H566" t="str">
            <v>SPREADS</v>
          </cell>
          <cell r="I566" t="str">
            <v>Corporate IG EUR - Industry</v>
          </cell>
        </row>
        <row r="567">
          <cell r="A567" t="str">
            <v>EUR_FINANCIAL_IG</v>
          </cell>
          <cell r="B567" t="str">
            <v>EU Finance IG</v>
          </cell>
          <cell r="C567" t="str">
            <v>BRS_GOLD__5_SPREADS:BRS_GOLD__4_CORP:BRS_GOLD__3_CSIG:BRS_GOLD__2_CSIG_EUR:CORP33_EU_IND_IG:EUR_FINANCIAL_IG</v>
          </cell>
          <cell r="D567" t="str">
            <v>Spread Duration</v>
          </cell>
          <cell r="E567" t="str">
            <v>Spread Yield (DxS)</v>
          </cell>
          <cell r="F567" t="str">
            <v>SP-Corporate IG EUR</v>
          </cell>
          <cell r="G567" t="str">
            <v>SP-Spread Corporate</v>
          </cell>
          <cell r="H567" t="str">
            <v>SPREADS</v>
          </cell>
          <cell r="I567" t="str">
            <v>Corporate IG EUR - Industry</v>
          </cell>
        </row>
        <row r="568">
          <cell r="A568" t="str">
            <v>EUR_GOVERNMENT_IG</v>
          </cell>
          <cell r="B568" t="str">
            <v>EU Govt IG</v>
          </cell>
          <cell r="C568" t="str">
            <v>BRS_GOLD__5_SPREADS:BRS_GOLD__4_CORP:BRS_GOLD__3_CSIG:BRS_GOLD__2_CSIG_EUR:CORP33_EU_IND_IG:EUR_GOVERNMENT_IG</v>
          </cell>
          <cell r="D568" t="str">
            <v>Spread Duration</v>
          </cell>
          <cell r="E568" t="str">
            <v>Spread Yield (DxS)</v>
          </cell>
          <cell r="F568" t="str">
            <v>SP-Corporate IG EUR</v>
          </cell>
          <cell r="G568" t="str">
            <v>SP-Spread Corporate</v>
          </cell>
          <cell r="H568" t="str">
            <v>SPREADS</v>
          </cell>
          <cell r="I568" t="str">
            <v>Corporate IG EUR - Industry</v>
          </cell>
        </row>
        <row r="569">
          <cell r="A569" t="str">
            <v>EUR_INDUSTRIAL_IG</v>
          </cell>
          <cell r="B569" t="str">
            <v>EU Ind IG</v>
          </cell>
          <cell r="C569" t="str">
            <v>BRS_GOLD__5_SPREADS:BRS_GOLD__4_CORP:BRS_GOLD__3_CSIG:BRS_GOLD__2_CSIG_EUR:CORP33_EU_IND_IG:EUR_INDUSTRIAL_IG</v>
          </cell>
          <cell r="D569" t="str">
            <v>Spread Duration</v>
          </cell>
          <cell r="E569" t="str">
            <v>Spread Yield (DxS)</v>
          </cell>
          <cell r="F569" t="str">
            <v>SP-Corporate IG EUR</v>
          </cell>
          <cell r="G569" t="str">
            <v>SP-Spread Corporate</v>
          </cell>
          <cell r="H569" t="str">
            <v>SPREADS</v>
          </cell>
          <cell r="I569" t="str">
            <v>Corporate IG EUR - Industry</v>
          </cell>
        </row>
        <row r="570">
          <cell r="A570" t="str">
            <v>EUR_MATERIALS_IG</v>
          </cell>
          <cell r="B570" t="str">
            <v>EU Basic IG</v>
          </cell>
          <cell r="C570" t="str">
            <v>BRS_GOLD__5_SPREADS:BRS_GOLD__4_CORP:BRS_GOLD__3_CSIG:BRS_GOLD__2_CSIG_EUR:CORP33_EU_IND_IG:EUR_MATERIALS_IG</v>
          </cell>
          <cell r="D570" t="str">
            <v>Spread Duration</v>
          </cell>
          <cell r="E570" t="str">
            <v>Spread Yield (DxS)</v>
          </cell>
          <cell r="F570" t="str">
            <v>SP-Corporate IG EUR</v>
          </cell>
          <cell r="G570" t="str">
            <v>SP-Spread Corporate</v>
          </cell>
          <cell r="H570" t="str">
            <v>SPREADS</v>
          </cell>
          <cell r="I570" t="str">
            <v>Corporate IG EUR - Industry</v>
          </cell>
        </row>
        <row r="571">
          <cell r="A571" t="str">
            <v>EUR_UTILENER_IG</v>
          </cell>
          <cell r="B571" t="str">
            <v>EU Util Ene IG</v>
          </cell>
          <cell r="C571" t="str">
            <v>BRS_GOLD__5_SPREADS:BRS_GOLD__4_CORP:BRS_GOLD__3_CSIG:BRS_GOLD__2_CSIG_EUR:CORP33_EU_IND_IG:EUR_UTILENER_IG</v>
          </cell>
          <cell r="D571" t="str">
            <v>Spread Duration</v>
          </cell>
          <cell r="E571" t="str">
            <v>Spread Yield (DxS)</v>
          </cell>
          <cell r="F571" t="str">
            <v>SP-Corporate IG EUR</v>
          </cell>
          <cell r="G571" t="str">
            <v>SP-Spread Corporate</v>
          </cell>
          <cell r="H571" t="str">
            <v>SPREADS</v>
          </cell>
          <cell r="I571" t="str">
            <v>Corporate IG EUR - Industry</v>
          </cell>
        </row>
        <row r="572">
          <cell r="A572" t="str">
            <v>EUR_LEH_CREDIT</v>
          </cell>
          <cell r="B572" t="str">
            <v>EU Credit IG</v>
          </cell>
          <cell r="C572" t="str">
            <v>BRS_GOLD__5_SPREADS:BRS_GOLD__4_CORP:BRS_GOLD__3_CSIG:CORP40_IG_EU:EUR_LEH_CREDIT,EUR_LEH_CREDIT_SF:EUR_LEH_CREDIT</v>
          </cell>
          <cell r="D572" t="str">
            <v>Spread Duration</v>
          </cell>
          <cell r="E572" t="str">
            <v>Spread Yield (DxS)</v>
          </cell>
          <cell r="F572" t="str">
            <v>SP-Corporate IG EUR</v>
          </cell>
          <cell r="G572" t="str">
            <v>SP-Spread Corporate</v>
          </cell>
          <cell r="H572" t="str">
            <v>SPREADS</v>
          </cell>
          <cell r="I572" t="str">
            <v>Corporate IG EUR - Other</v>
          </cell>
        </row>
        <row r="573">
          <cell r="A573" t="str">
            <v>EUR_LEH_CREDIT_SF</v>
          </cell>
          <cell r="B573" t="str">
            <v>EU Credit IG</v>
          </cell>
          <cell r="C573" t="str">
            <v>BRS_GOLD__5_SPREADS:BRS_GOLD__4_CORP:BRS_GOLD__3_CSIG:CORP40_IG_EU:EUR_LEH_CREDIT,EUR_LEH_CREDIT_SF:EUR_LEH_CREDIT_SF</v>
          </cell>
          <cell r="D573" t="str">
            <v>Spread Duration</v>
          </cell>
          <cell r="E573" t="str">
            <v>Spread Yield (DxS)</v>
          </cell>
          <cell r="F573" t="str">
            <v>SP-Corporate IG EUR</v>
          </cell>
          <cell r="G573" t="str">
            <v>SP-Spread Corporate</v>
          </cell>
          <cell r="H573" t="str">
            <v>SPREADS</v>
          </cell>
          <cell r="I573" t="str">
            <v>Corporate IG EUR - Other</v>
          </cell>
        </row>
        <row r="574">
          <cell r="A574" t="str">
            <v>EUR_CORP_IG_10</v>
          </cell>
          <cell r="B574" t="str">
            <v>EU Maturity IG 10</v>
          </cell>
          <cell r="C574" t="str">
            <v>BRS_GOLD__5_SPREADS:BRS_GOLD__4_CORP:BRS_GOLD__3_CSIG:CORP40_IG_EU:CORP40_IG_EU_MAT:EUR_CORP_IG_10</v>
          </cell>
          <cell r="D574" t="str">
            <v>Spread Duration</v>
          </cell>
          <cell r="E574" t="str">
            <v>Spread Yield (DxS)</v>
          </cell>
          <cell r="F574" t="str">
            <v>SP-Corporate IG EUR</v>
          </cell>
          <cell r="G574" t="str">
            <v>SP-Spread Corporate</v>
          </cell>
          <cell r="H574" t="str">
            <v>SPREADS</v>
          </cell>
          <cell r="I574" t="str">
            <v>Corporate IG EUR - Maturity</v>
          </cell>
        </row>
        <row r="575">
          <cell r="A575" t="str">
            <v>EUR_CORP_IG_20</v>
          </cell>
          <cell r="B575" t="str">
            <v>EU Maturity IG 20</v>
          </cell>
          <cell r="C575" t="str">
            <v>BRS_GOLD__5_SPREADS:BRS_GOLD__4_CORP:BRS_GOLD__3_CSIG:CORP40_IG_EU:CORP40_IG_EU_MAT:EUR_CORP_IG_20</v>
          </cell>
          <cell r="D575" t="str">
            <v>Spread Duration</v>
          </cell>
          <cell r="E575" t="str">
            <v>Spread Yield (DxS)</v>
          </cell>
          <cell r="F575" t="str">
            <v>SP-Corporate IG EUR</v>
          </cell>
          <cell r="G575" t="str">
            <v>SP-Spread Corporate</v>
          </cell>
          <cell r="H575" t="str">
            <v>SPREADS</v>
          </cell>
          <cell r="I575" t="str">
            <v>Corporate IG EUR - Maturity</v>
          </cell>
        </row>
        <row r="576">
          <cell r="A576" t="str">
            <v>EUR_CORP_IG_2</v>
          </cell>
          <cell r="B576" t="str">
            <v>EU Maturity IG 2</v>
          </cell>
          <cell r="C576" t="str">
            <v>BRS_GOLD__5_SPREADS:BRS_GOLD__4_CORP:BRS_GOLD__3_CSIG:CORP40_IG_EU:CORP40_IG_EU_MAT:EUR_CORP_IG_2</v>
          </cell>
          <cell r="D576" t="str">
            <v>Spread Duration</v>
          </cell>
          <cell r="E576" t="str">
            <v>Spread Yield (DxS)</v>
          </cell>
          <cell r="F576" t="str">
            <v>SP-Corporate IG EUR</v>
          </cell>
          <cell r="G576" t="str">
            <v>SP-Spread Corporate</v>
          </cell>
          <cell r="H576" t="str">
            <v>SPREADS</v>
          </cell>
          <cell r="I576" t="str">
            <v>Corporate IG EUR - Maturity</v>
          </cell>
        </row>
        <row r="577">
          <cell r="A577" t="str">
            <v>EUR_CORP_IG_10_V3</v>
          </cell>
          <cell r="B577" t="str">
            <v>EU Maturity IG 10</v>
          </cell>
          <cell r="C577" t="str">
            <v>BRS_GOLD__5_SPREADS:BRS_GOLD__4_CORP:BRS_GOLD__3_CSIG:CORP40_IG_EU:CORP40_IG_EU_MAT_V3:EUR_CORP_IG_10_V3</v>
          </cell>
          <cell r="D577" t="str">
            <v>Spread Duration</v>
          </cell>
          <cell r="E577" t="str">
            <v>Spread Yield (DxS)</v>
          </cell>
          <cell r="F577" t="str">
            <v>SP-Corporate IG EUR</v>
          </cell>
          <cell r="G577" t="str">
            <v>SP-Spread Corporate</v>
          </cell>
          <cell r="H577" t="str">
            <v>SPREADS</v>
          </cell>
          <cell r="I577" t="str">
            <v>Corporate IG EUR - Maturity</v>
          </cell>
        </row>
        <row r="578">
          <cell r="A578" t="str">
            <v>EUR_CORP_IG_20_V3</v>
          </cell>
          <cell r="B578" t="str">
            <v>EU Maturity IG 20</v>
          </cell>
          <cell r="C578" t="str">
            <v>BRS_GOLD__5_SPREADS:BRS_GOLD__4_CORP:BRS_GOLD__3_CSIG:CORP40_IG_EU:CORP40_IG_EU_MAT_V3:EUR_CORP_IG_20_V3</v>
          </cell>
          <cell r="D578" t="str">
            <v>Spread Duration</v>
          </cell>
          <cell r="E578" t="str">
            <v>Spread Yield (DxS)</v>
          </cell>
          <cell r="F578" t="str">
            <v>SP-Corporate IG EUR</v>
          </cell>
          <cell r="G578" t="str">
            <v>SP-Spread Corporate</v>
          </cell>
          <cell r="H578" t="str">
            <v>SPREADS</v>
          </cell>
          <cell r="I578" t="str">
            <v>Corporate IG EUR - Maturity</v>
          </cell>
        </row>
        <row r="579">
          <cell r="A579" t="str">
            <v>EUR_CORP_IG_2_V3</v>
          </cell>
          <cell r="B579" t="str">
            <v>EU Maturity IG 2</v>
          </cell>
          <cell r="C579" t="str">
            <v>BRS_GOLD__5_SPREADS:BRS_GOLD__4_CORP:BRS_GOLD__3_CSIG:CORP40_IG_EU:CORP40_IG_EU_MAT_V3:EUR_CORP_IG_2_V3</v>
          </cell>
          <cell r="D579" t="str">
            <v>Spread Duration</v>
          </cell>
          <cell r="E579" t="str">
            <v>Spread Yield (DxS)</v>
          </cell>
          <cell r="F579" t="str">
            <v>SP-Corporate IG EUR</v>
          </cell>
          <cell r="G579" t="str">
            <v>SP-Spread Corporate</v>
          </cell>
          <cell r="H579" t="str">
            <v>SPREADS</v>
          </cell>
          <cell r="I579" t="str">
            <v>Corporate IG EUR - Maturity</v>
          </cell>
        </row>
        <row r="580">
          <cell r="A580" t="str">
            <v>EUR_CORP_IG_10_V3_SF</v>
          </cell>
          <cell r="B580" t="str">
            <v>EU Maturity IG 10</v>
          </cell>
          <cell r="C580" t="str">
            <v>BRS_GOLD__5_SPREADS:BRS_GOLD__4_CORP:BRS_GOLD__3_CSIG:CORP40_IG_EU:CORP40_IG_EU_MAT_V3:EUR_CORP_IG_10_V3_SF</v>
          </cell>
          <cell r="D580" t="str">
            <v>Spread Duration</v>
          </cell>
          <cell r="E580" t="str">
            <v>Spread Yield (DxS)</v>
          </cell>
          <cell r="F580" t="str">
            <v>SP-Corporate IG EUR</v>
          </cell>
          <cell r="G580" t="str">
            <v>SP-Spread Corporate</v>
          </cell>
          <cell r="H580" t="str">
            <v>SPREADS</v>
          </cell>
          <cell r="I580" t="str">
            <v>Corporate IG EUR - Maturity</v>
          </cell>
        </row>
        <row r="581">
          <cell r="A581" t="str">
            <v>EUR_CORP_IG_20_V3_SF</v>
          </cell>
          <cell r="B581" t="str">
            <v>EU Maturity IG 20</v>
          </cell>
          <cell r="C581" t="str">
            <v>BRS_GOLD__5_SPREADS:BRS_GOLD__4_CORP:BRS_GOLD__3_CSIG:CORP40_IG_EU:CORP40_IG_EU_MAT_V3:EUR_CORP_IG_20_V3_SF</v>
          </cell>
          <cell r="D581" t="str">
            <v>Spread Duration</v>
          </cell>
          <cell r="E581" t="str">
            <v>Spread Yield (DxS)</v>
          </cell>
          <cell r="F581" t="str">
            <v>SP-Corporate IG EUR</v>
          </cell>
          <cell r="G581" t="str">
            <v>SP-Spread Corporate</v>
          </cell>
          <cell r="H581" t="str">
            <v>SPREADS</v>
          </cell>
          <cell r="I581" t="str">
            <v>Corporate IG EUR - Maturity</v>
          </cell>
        </row>
        <row r="582">
          <cell r="A582" t="str">
            <v>EUR_CORP_IG_2_V3_SF</v>
          </cell>
          <cell r="B582" t="str">
            <v>EU Maturity IG 2</v>
          </cell>
          <cell r="C582" t="str">
            <v>BRS_GOLD__5_SPREADS:BRS_GOLD__4_CORP:BRS_GOLD__3_CSIG:CORP40_IG_EU:CORP40_IG_EU_MAT_V3:EUR_CORP_IG_2_V3_SF</v>
          </cell>
          <cell r="D582" t="str">
            <v>Spread Duration</v>
          </cell>
          <cell r="E582" t="str">
            <v>Spread Yield (DxS)</v>
          </cell>
          <cell r="F582" t="str">
            <v>SP-Corporate IG EUR</v>
          </cell>
          <cell r="G582" t="str">
            <v>SP-Spread Corporate</v>
          </cell>
          <cell r="H582" t="str">
            <v>SPREADS</v>
          </cell>
          <cell r="I582" t="str">
            <v>Corporate IG EUR - Maturity</v>
          </cell>
        </row>
        <row r="583">
          <cell r="A583" t="str">
            <v>EUR_AUTO_IG</v>
          </cell>
          <cell r="B583" t="str">
            <v>EU Auto IG</v>
          </cell>
          <cell r="C583" t="str">
            <v>BRS_GOLD__5_SPREADS:BRS_GOLD__4_CORP:BRS_GOLD__3_CSIG:CORP40_IG_EU:CORP40_IG_EU_IND:EUR_AUTO_IG</v>
          </cell>
          <cell r="D583" t="str">
            <v>Spread Duration</v>
          </cell>
          <cell r="E583" t="str">
            <v>Spread Yield (DxS)</v>
          </cell>
          <cell r="F583" t="str">
            <v>SP-Corporate IG EUR</v>
          </cell>
          <cell r="G583" t="str">
            <v>SP-Spread Corporate</v>
          </cell>
          <cell r="H583" t="str">
            <v>SPREADS</v>
          </cell>
          <cell r="I583" t="str">
            <v>Corporate IG EUR - Industry</v>
          </cell>
        </row>
        <row r="584">
          <cell r="A584" t="str">
            <v>EUR_BANKBROK_IG</v>
          </cell>
          <cell r="B584" t="str">
            <v>EU Banking IG</v>
          </cell>
          <cell r="C584" t="str">
            <v>BRS_GOLD__5_SPREADS:BRS_GOLD__4_CORP:BRS_GOLD__3_CSIG:CORP40_IG_EU:CORP40_IG_EU_IND:EUR_BANKBROK_IG</v>
          </cell>
          <cell r="D584" t="str">
            <v>Spread Duration</v>
          </cell>
          <cell r="E584" t="str">
            <v>Spread Yield (DxS)</v>
          </cell>
          <cell r="F584" t="str">
            <v>SP-Corporate IG EUR</v>
          </cell>
          <cell r="G584" t="str">
            <v>SP-Spread Corporate</v>
          </cell>
          <cell r="H584" t="str">
            <v>SPREADS</v>
          </cell>
          <cell r="I584" t="str">
            <v>Corporate IG EUR - Industry</v>
          </cell>
        </row>
        <row r="585">
          <cell r="A585" t="str">
            <v>EUR_BASIC_IG</v>
          </cell>
          <cell r="B585" t="str">
            <v>EU Basic IG</v>
          </cell>
          <cell r="C585" t="str">
            <v>BRS_GOLD__5_SPREADS:BRS_GOLD__4_CORP:BRS_GOLD__3_CSIG:CORP40_IG_EU:CORP40_IG_EU_IND:EUR_BASIC_IG</v>
          </cell>
          <cell r="D585" t="str">
            <v>Spread Duration</v>
          </cell>
          <cell r="E585" t="str">
            <v>Spread Yield (DxS)</v>
          </cell>
          <cell r="F585" t="str">
            <v>SP-Corporate IG EUR</v>
          </cell>
          <cell r="G585" t="str">
            <v>SP-Spread Corporate</v>
          </cell>
          <cell r="H585" t="str">
            <v>SPREADS</v>
          </cell>
          <cell r="I585" t="str">
            <v>Corporate IG EUR - Industry</v>
          </cell>
        </row>
        <row r="586">
          <cell r="A586" t="str">
            <v>EUR_CAPG_IG</v>
          </cell>
          <cell r="B586" t="str">
            <v>EU Cap Goods IG</v>
          </cell>
          <cell r="C586" t="str">
            <v>BRS_GOLD__5_SPREADS:BRS_GOLD__4_CORP:BRS_GOLD__3_CSIG:CORP40_IG_EU:CORP40_IG_EU_IND:EUR_CAPG_IG</v>
          </cell>
          <cell r="D586" t="str">
            <v>Spread Duration</v>
          </cell>
          <cell r="E586" t="str">
            <v>Spread Yield (DxS)</v>
          </cell>
          <cell r="F586" t="str">
            <v>SP-Corporate IG EUR</v>
          </cell>
          <cell r="G586" t="str">
            <v>SP-Spread Corporate</v>
          </cell>
          <cell r="H586" t="str">
            <v>SPREADS</v>
          </cell>
          <cell r="I586" t="str">
            <v>Corporate IG EUR - Industry</v>
          </cell>
        </row>
        <row r="587">
          <cell r="A587" t="str">
            <v>EUR_CYCLICAL_IG</v>
          </cell>
          <cell r="B587" t="str">
            <v>EU Cyclical IG</v>
          </cell>
          <cell r="C587" t="str">
            <v>BRS_GOLD__5_SPREADS:BRS_GOLD__4_CORP:BRS_GOLD__3_CSIG:CORP40_IG_EU:CORP40_IG_EU_IND:EUR_CYCLICAL_IG</v>
          </cell>
          <cell r="D587" t="str">
            <v>Spread Duration</v>
          </cell>
          <cell r="E587" t="str">
            <v>Spread Yield (DxS)</v>
          </cell>
          <cell r="F587" t="str">
            <v>SP-Corporate IG EUR</v>
          </cell>
          <cell r="G587" t="str">
            <v>SP-Spread Corporate</v>
          </cell>
          <cell r="H587" t="str">
            <v>SPREADS</v>
          </cell>
          <cell r="I587" t="str">
            <v>Corporate IG EUR - Industry</v>
          </cell>
        </row>
        <row r="588">
          <cell r="A588" t="str">
            <v>EUR_ENERGY_IG</v>
          </cell>
          <cell r="B588" t="str">
            <v>EU Energy IG</v>
          </cell>
          <cell r="C588" t="str">
            <v>BRS_GOLD__5_SPREADS:BRS_GOLD__4_CORP:BRS_GOLD__3_CSIG:CORP40_IG_EU:CORP40_IG_EU_IND:EUR_ENERGY_IG</v>
          </cell>
          <cell r="D588" t="str">
            <v>Spread Duration</v>
          </cell>
          <cell r="E588" t="str">
            <v>Spread Yield (DxS)</v>
          </cell>
          <cell r="F588" t="str">
            <v>SP-Corporate IG EUR</v>
          </cell>
          <cell r="G588" t="str">
            <v>SP-Spread Corporate</v>
          </cell>
          <cell r="H588" t="str">
            <v>SPREADS</v>
          </cell>
          <cell r="I588" t="str">
            <v>Corporate IG EUR - Industry</v>
          </cell>
        </row>
        <row r="589">
          <cell r="A589" t="str">
            <v>EUR_INSURANCE_IG</v>
          </cell>
          <cell r="B589" t="str">
            <v>EU Insurance IG</v>
          </cell>
          <cell r="C589" t="str">
            <v>BRS_GOLD__5_SPREADS:BRS_GOLD__4_CORP:BRS_GOLD__3_CSIG:CORP40_IG_EU:CORP40_IG_EU_IND:EUR_INSURANCE_IG</v>
          </cell>
          <cell r="D589" t="str">
            <v>Spread Duration</v>
          </cell>
          <cell r="E589" t="str">
            <v>Spread Yield (DxS)</v>
          </cell>
          <cell r="F589" t="str">
            <v>SP-Corporate IG EUR</v>
          </cell>
          <cell r="G589" t="str">
            <v>SP-Spread Corporate</v>
          </cell>
          <cell r="H589" t="str">
            <v>SPREADS</v>
          </cell>
          <cell r="I589" t="str">
            <v>Corporate IG EUR - Industry</v>
          </cell>
        </row>
        <row r="590">
          <cell r="A590" t="str">
            <v>EUR_NONCYCLICAL_IG</v>
          </cell>
          <cell r="B590" t="str">
            <v>EU Noncyclical IG</v>
          </cell>
          <cell r="C590" t="str">
            <v>BRS_GOLD__5_SPREADS:BRS_GOLD__4_CORP:BRS_GOLD__3_CSIG:CORP40_IG_EU:CORP40_IG_EU_IND:EUR_NONCYCLICAL_IG</v>
          </cell>
          <cell r="D590" t="str">
            <v>Spread Duration</v>
          </cell>
          <cell r="E590" t="str">
            <v>Spread Yield (DxS)</v>
          </cell>
          <cell r="F590" t="str">
            <v>SP-Corporate IG EUR</v>
          </cell>
          <cell r="G590" t="str">
            <v>SP-Spread Corporate</v>
          </cell>
          <cell r="H590" t="str">
            <v>SPREADS</v>
          </cell>
          <cell r="I590" t="str">
            <v>Corporate IG EUR - Industry</v>
          </cell>
        </row>
        <row r="591">
          <cell r="A591" t="str">
            <v>EUR_OTHERFIN_IG</v>
          </cell>
          <cell r="B591" t="str">
            <v>EU Fin Other IG</v>
          </cell>
          <cell r="C591" t="str">
            <v>BRS_GOLD__5_SPREADS:BRS_GOLD__4_CORP:BRS_GOLD__3_CSIG:CORP40_IG_EU:CORP40_IG_EU_IND:EUR_OTHERFIN_IG</v>
          </cell>
          <cell r="D591" t="str">
            <v>Spread Duration</v>
          </cell>
          <cell r="E591" t="str">
            <v>Spread Yield (DxS)</v>
          </cell>
          <cell r="F591" t="str">
            <v>SP-Corporate IG EUR</v>
          </cell>
          <cell r="G591" t="str">
            <v>SP-Spread Corporate</v>
          </cell>
          <cell r="H591" t="str">
            <v>SPREADS</v>
          </cell>
          <cell r="I591" t="str">
            <v>Corporate IG EUR - Industry</v>
          </cell>
        </row>
        <row r="592">
          <cell r="A592" t="str">
            <v>EUR_OTHERIND_IG</v>
          </cell>
          <cell r="B592" t="str">
            <v>EU Ind Other IG</v>
          </cell>
          <cell r="C592" t="str">
            <v>BRS_GOLD__5_SPREADS:BRS_GOLD__4_CORP:BRS_GOLD__3_CSIG:CORP40_IG_EU:CORP40_IG_EU_IND:EUR_OTHERIND_IG</v>
          </cell>
          <cell r="D592" t="str">
            <v>Spread Duration</v>
          </cell>
          <cell r="E592" t="str">
            <v>Spread Yield (DxS)</v>
          </cell>
          <cell r="F592" t="str">
            <v>SP-Corporate IG EUR</v>
          </cell>
          <cell r="G592" t="str">
            <v>SP-Spread Corporate</v>
          </cell>
          <cell r="H592" t="str">
            <v>SPREADS</v>
          </cell>
          <cell r="I592" t="str">
            <v>Corporate IG EUR - Industry</v>
          </cell>
        </row>
        <row r="593">
          <cell r="A593" t="str">
            <v>EUR_TECHCOMM_IG</v>
          </cell>
          <cell r="B593" t="str">
            <v>EU Tech Comm IG</v>
          </cell>
          <cell r="C593" t="str">
            <v>BRS_GOLD__5_SPREADS:BRS_GOLD__4_CORP:BRS_GOLD__3_CSIG:CORP40_IG_EU:CORP40_IG_EU_IND:EUR_TECHCOMM_IG</v>
          </cell>
          <cell r="D593" t="str">
            <v>Spread Duration</v>
          </cell>
          <cell r="E593" t="str">
            <v>Spread Yield (DxS)</v>
          </cell>
          <cell r="F593" t="str">
            <v>SP-Corporate IG EUR</v>
          </cell>
          <cell r="G593" t="str">
            <v>SP-Spread Corporate</v>
          </cell>
          <cell r="H593" t="str">
            <v>SPREADS</v>
          </cell>
          <cell r="I593" t="str">
            <v>Corporate IG EUR - Industry</v>
          </cell>
        </row>
        <row r="594">
          <cell r="A594" t="str">
            <v>EUR_TRANSPORT_IG</v>
          </cell>
          <cell r="B594" t="str">
            <v>EU Transport IG</v>
          </cell>
          <cell r="C594" t="str">
            <v>BRS_GOLD__5_SPREADS:BRS_GOLD__4_CORP:BRS_GOLD__3_CSIG:CORP40_IG_EU:CORP40_IG_EU_IND:EUR_TRANSPORT_IG</v>
          </cell>
          <cell r="D594" t="str">
            <v>Spread Duration</v>
          </cell>
          <cell r="E594" t="str">
            <v>Spread Yield (DxS)</v>
          </cell>
          <cell r="F594" t="str">
            <v>SP-Corporate IG EUR</v>
          </cell>
          <cell r="G594" t="str">
            <v>SP-Spread Corporate</v>
          </cell>
          <cell r="H594" t="str">
            <v>SPREADS</v>
          </cell>
          <cell r="I594" t="str">
            <v>Corporate IG EUR - Industry</v>
          </cell>
        </row>
        <row r="595">
          <cell r="A595" t="str">
            <v>EUR_UTILITY_IG</v>
          </cell>
          <cell r="B595" t="str">
            <v>EU Utility IG</v>
          </cell>
          <cell r="C595" t="str">
            <v>BRS_GOLD__5_SPREADS:BRS_GOLD__4_CORP:BRS_GOLD__3_CSIG:CORP40_IG_EU:CORP40_IG_EU_IND:EUR_UTILITY_IG</v>
          </cell>
          <cell r="D595" t="str">
            <v>Spread Duration</v>
          </cell>
          <cell r="E595" t="str">
            <v>Spread Yield (DxS)</v>
          </cell>
          <cell r="F595" t="str">
            <v>SP-Corporate IG EUR</v>
          </cell>
          <cell r="G595" t="str">
            <v>SP-Spread Corporate</v>
          </cell>
          <cell r="H595" t="str">
            <v>SPREADS</v>
          </cell>
          <cell r="I595" t="str">
            <v>Corporate IG EUR - Industry</v>
          </cell>
        </row>
        <row r="596">
          <cell r="A596" t="str">
            <v>EUR_AUTO_IG_V3</v>
          </cell>
          <cell r="B596" t="str">
            <v>EU Auto IG</v>
          </cell>
          <cell r="C596" t="str">
            <v>BRS_GOLD__5_SPREADS:BRS_GOLD__4_CORP:BRS_GOLD__3_CSIG:CORP40_IG_EU:CORP40_IG_EU_IND_V3:EUR_AUTO_IG_V3</v>
          </cell>
          <cell r="D596" t="str">
            <v>Spread Duration</v>
          </cell>
          <cell r="E596" t="str">
            <v>Spread Yield (DxS)</v>
          </cell>
          <cell r="F596" t="str">
            <v>SP-Corporate IG EUR</v>
          </cell>
          <cell r="G596" t="str">
            <v>SP-Spread Corporate</v>
          </cell>
          <cell r="H596" t="str">
            <v>SPREADS</v>
          </cell>
          <cell r="I596" t="str">
            <v>Corporate IG EUR - Industry</v>
          </cell>
        </row>
        <row r="597">
          <cell r="A597" t="str">
            <v>EUR_BANKBROK_IG_V3</v>
          </cell>
          <cell r="B597" t="str">
            <v>EU Banking IG</v>
          </cell>
          <cell r="C597" t="str">
            <v>BRS_GOLD__5_SPREADS:BRS_GOLD__4_CORP:BRS_GOLD__3_CSIG:CORP40_IG_EU:CORP40_IG_EU_IND_V3:EUR_BANKBROK_IG_V3</v>
          </cell>
          <cell r="D597" t="str">
            <v>Spread Duration</v>
          </cell>
          <cell r="E597" t="str">
            <v>Spread Yield (DxS)</v>
          </cell>
          <cell r="F597" t="str">
            <v>SP-Corporate IG EUR</v>
          </cell>
          <cell r="G597" t="str">
            <v>SP-Spread Corporate</v>
          </cell>
          <cell r="H597" t="str">
            <v>SPREADS</v>
          </cell>
          <cell r="I597" t="str">
            <v>Corporate IG EUR - Industry</v>
          </cell>
        </row>
        <row r="598">
          <cell r="A598" t="str">
            <v>EUR_BASIC_IG_V3</v>
          </cell>
          <cell r="B598" t="str">
            <v>EU Basic IG</v>
          </cell>
          <cell r="C598" t="str">
            <v>BRS_GOLD__5_SPREADS:BRS_GOLD__4_CORP:BRS_GOLD__3_CSIG:CORP40_IG_EU:CORP40_IG_EU_IND_V3:EUR_BASIC_IG_V3</v>
          </cell>
          <cell r="D598" t="str">
            <v>Spread Duration</v>
          </cell>
          <cell r="E598" t="str">
            <v>Spread Yield (DxS)</v>
          </cell>
          <cell r="F598" t="str">
            <v>SP-Corporate IG EUR</v>
          </cell>
          <cell r="G598" t="str">
            <v>SP-Spread Corporate</v>
          </cell>
          <cell r="H598" t="str">
            <v>SPREADS</v>
          </cell>
          <cell r="I598" t="str">
            <v>Corporate IG EUR - Industry</v>
          </cell>
        </row>
        <row r="599">
          <cell r="A599" t="str">
            <v>EUR_CAPG_IG_V3</v>
          </cell>
          <cell r="B599" t="str">
            <v>EU Cap Goods IG</v>
          </cell>
          <cell r="C599" t="str">
            <v>BRS_GOLD__5_SPREADS:BRS_GOLD__4_CORP:BRS_GOLD__3_CSIG:CORP40_IG_EU:CORP40_IG_EU_IND_V3:EUR_CAPG_IG_V3</v>
          </cell>
          <cell r="D599" t="str">
            <v>Spread Duration</v>
          </cell>
          <cell r="E599" t="str">
            <v>Spread Yield (DxS)</v>
          </cell>
          <cell r="F599" t="str">
            <v>SP-Corporate IG EUR</v>
          </cell>
          <cell r="G599" t="str">
            <v>SP-Spread Corporate</v>
          </cell>
          <cell r="H599" t="str">
            <v>SPREADS</v>
          </cell>
          <cell r="I599" t="str">
            <v>Corporate IG EUR - Industry</v>
          </cell>
        </row>
        <row r="600">
          <cell r="A600" t="str">
            <v>EUR_CYCLICAL_IG_V3</v>
          </cell>
          <cell r="B600" t="str">
            <v>EU Cyclical IG</v>
          </cell>
          <cell r="C600" t="str">
            <v>BRS_GOLD__5_SPREADS:BRS_GOLD__4_CORP:BRS_GOLD__3_CSIG:CORP40_IG_EU:CORP40_IG_EU_IND_V3:EUR_CYCLICAL_IG_V3</v>
          </cell>
          <cell r="D600" t="str">
            <v>Spread Duration</v>
          </cell>
          <cell r="E600" t="str">
            <v>Spread Yield (DxS)</v>
          </cell>
          <cell r="F600" t="str">
            <v>SP-Corporate IG EUR</v>
          </cell>
          <cell r="G600" t="str">
            <v>SP-Spread Corporate</v>
          </cell>
          <cell r="H600" t="str">
            <v>SPREADS</v>
          </cell>
          <cell r="I600" t="str">
            <v>Corporate IG EUR - Industry</v>
          </cell>
        </row>
        <row r="601">
          <cell r="A601" t="str">
            <v>EUR_ENERGY_IG_V3</v>
          </cell>
          <cell r="B601" t="str">
            <v>EU Energy IG</v>
          </cell>
          <cell r="C601" t="str">
            <v>BRS_GOLD__5_SPREADS:BRS_GOLD__4_CORP:BRS_GOLD__3_CSIG:CORP40_IG_EU:CORP40_IG_EU_IND_V3:EUR_ENERGY_IG_V3</v>
          </cell>
          <cell r="D601" t="str">
            <v>Spread Duration</v>
          </cell>
          <cell r="E601" t="str">
            <v>Spread Yield (DxS)</v>
          </cell>
          <cell r="F601" t="str">
            <v>SP-Corporate IG EUR</v>
          </cell>
          <cell r="G601" t="str">
            <v>SP-Spread Corporate</v>
          </cell>
          <cell r="H601" t="str">
            <v>SPREADS</v>
          </cell>
          <cell r="I601" t="str">
            <v>Corporate IG EUR - Industry</v>
          </cell>
        </row>
        <row r="602">
          <cell r="A602" t="str">
            <v>EUR_INSURANCE_IG_V3</v>
          </cell>
          <cell r="B602" t="str">
            <v>EU Insurance IG</v>
          </cell>
          <cell r="C602" t="str">
            <v>BRS_GOLD__5_SPREADS:BRS_GOLD__4_CORP:BRS_GOLD__3_CSIG:CORP40_IG_EU:CORP40_IG_EU_IND_V3:EUR_INSURANCE_IG_V3</v>
          </cell>
          <cell r="D602" t="str">
            <v>Spread Duration</v>
          </cell>
          <cell r="E602" t="str">
            <v>Spread Yield (DxS)</v>
          </cell>
          <cell r="F602" t="str">
            <v>SP-Corporate IG EUR</v>
          </cell>
          <cell r="G602" t="str">
            <v>SP-Spread Corporate</v>
          </cell>
          <cell r="H602" t="str">
            <v>SPREADS</v>
          </cell>
          <cell r="I602" t="str">
            <v>Corporate IG EUR - Industry</v>
          </cell>
        </row>
        <row r="603">
          <cell r="A603" t="str">
            <v>EUR_NONCYCLICAL_IG_V3</v>
          </cell>
          <cell r="B603" t="str">
            <v>EU Noncyclical IG</v>
          </cell>
          <cell r="C603" t="str">
            <v>BRS_GOLD__5_SPREADS:BRS_GOLD__4_CORP:BRS_GOLD__3_CSIG:CORP40_IG_EU:CORP40_IG_EU_IND_V3:EUR_NONCYCLICAL_IG_V3</v>
          </cell>
          <cell r="D603" t="str">
            <v>Spread Duration</v>
          </cell>
          <cell r="E603" t="str">
            <v>Spread Yield (DxS)</v>
          </cell>
          <cell r="F603" t="str">
            <v>SP-Corporate IG EUR</v>
          </cell>
          <cell r="G603" t="str">
            <v>SP-Spread Corporate</v>
          </cell>
          <cell r="H603" t="str">
            <v>SPREADS</v>
          </cell>
          <cell r="I603" t="str">
            <v>Corporate IG EUR - Industry</v>
          </cell>
        </row>
        <row r="604">
          <cell r="A604" t="str">
            <v>EUR_OTHERFIN_IG_V3</v>
          </cell>
          <cell r="B604" t="str">
            <v>EU Fin Other IG</v>
          </cell>
          <cell r="C604" t="str">
            <v>BRS_GOLD__5_SPREADS:BRS_GOLD__4_CORP:BRS_GOLD__3_CSIG:CORP40_IG_EU:CORP40_IG_EU_IND_V3:EUR_OTHERFIN_IG_V3</v>
          </cell>
          <cell r="D604" t="str">
            <v>Spread Duration</v>
          </cell>
          <cell r="E604" t="str">
            <v>Spread Yield (DxS)</v>
          </cell>
          <cell r="F604" t="str">
            <v>SP-Corporate IG EUR</v>
          </cell>
          <cell r="G604" t="str">
            <v>SP-Spread Corporate</v>
          </cell>
          <cell r="H604" t="str">
            <v>SPREADS</v>
          </cell>
          <cell r="I604" t="str">
            <v>Corporate IG EUR - Industry</v>
          </cell>
        </row>
        <row r="605">
          <cell r="A605" t="str">
            <v>EUR_OTHERIND_IG_V3</v>
          </cell>
          <cell r="B605" t="str">
            <v>EU Ind Other IG</v>
          </cell>
          <cell r="C605" t="str">
            <v>BRS_GOLD__5_SPREADS:BRS_GOLD__4_CORP:BRS_GOLD__3_CSIG:CORP40_IG_EU:CORP40_IG_EU_IND_V3:EUR_OTHERIND_IG_V3</v>
          </cell>
          <cell r="D605" t="str">
            <v>Spread Duration</v>
          </cell>
          <cell r="E605" t="str">
            <v>Spread Yield (DxS)</v>
          </cell>
          <cell r="F605" t="str">
            <v>SP-Corporate IG EUR</v>
          </cell>
          <cell r="G605" t="str">
            <v>SP-Spread Corporate</v>
          </cell>
          <cell r="H605" t="str">
            <v>SPREADS</v>
          </cell>
          <cell r="I605" t="str">
            <v>Corporate IG EUR - Industry</v>
          </cell>
        </row>
        <row r="606">
          <cell r="A606" t="str">
            <v>EUR_TECHCOMM_IG_V3</v>
          </cell>
          <cell r="B606" t="str">
            <v>EU Tech Comm IG</v>
          </cell>
          <cell r="C606" t="str">
            <v>BRS_GOLD__5_SPREADS:BRS_GOLD__4_CORP:BRS_GOLD__3_CSIG:CORP40_IG_EU:CORP40_IG_EU_IND_V3:EUR_TECHCOMM_IG_V3</v>
          </cell>
          <cell r="D606" t="str">
            <v>Spread Duration</v>
          </cell>
          <cell r="E606" t="str">
            <v>Spread Yield (DxS)</v>
          </cell>
          <cell r="F606" t="str">
            <v>SP-Corporate IG EUR</v>
          </cell>
          <cell r="G606" t="str">
            <v>SP-Spread Corporate</v>
          </cell>
          <cell r="H606" t="str">
            <v>SPREADS</v>
          </cell>
          <cell r="I606" t="str">
            <v>Corporate IG EUR - Industry</v>
          </cell>
        </row>
        <row r="607">
          <cell r="A607" t="str">
            <v>EUR_TRANSPORT_IG_V3</v>
          </cell>
          <cell r="B607" t="str">
            <v>EU Transport IG</v>
          </cell>
          <cell r="C607" t="str">
            <v>BRS_GOLD__5_SPREADS:BRS_GOLD__4_CORP:BRS_GOLD__3_CSIG:CORP40_IG_EU:CORP40_IG_EU_IND_V3:EUR_TRANSPORT_IG_V3</v>
          </cell>
          <cell r="D607" t="str">
            <v>Spread Duration</v>
          </cell>
          <cell r="E607" t="str">
            <v>Spread Yield (DxS)</v>
          </cell>
          <cell r="F607" t="str">
            <v>SP-Corporate IG EUR</v>
          </cell>
          <cell r="G607" t="str">
            <v>SP-Spread Corporate</v>
          </cell>
          <cell r="H607" t="str">
            <v>SPREADS</v>
          </cell>
          <cell r="I607" t="str">
            <v>Corporate IG EUR - Industry</v>
          </cell>
        </row>
        <row r="608">
          <cell r="A608" t="str">
            <v>EUR_UTILITY_IG_V3</v>
          </cell>
          <cell r="B608" t="str">
            <v>EU Utility IG</v>
          </cell>
          <cell r="C608" t="str">
            <v>BRS_GOLD__5_SPREADS:BRS_GOLD__4_CORP:BRS_GOLD__3_CSIG:CORP40_IG_EU:CORP40_IG_EU_IND_V3:EUR_UTILITY_IG_V3</v>
          </cell>
          <cell r="D608" t="str">
            <v>Spread Duration</v>
          </cell>
          <cell r="E608" t="str">
            <v>Spread Yield (DxS)</v>
          </cell>
          <cell r="F608" t="str">
            <v>SP-Corporate IG EUR</v>
          </cell>
          <cell r="G608" t="str">
            <v>SP-Spread Corporate</v>
          </cell>
          <cell r="H608" t="str">
            <v>SPREADS</v>
          </cell>
          <cell r="I608" t="str">
            <v>Corporate IG EUR - Industry</v>
          </cell>
        </row>
        <row r="609">
          <cell r="A609" t="str">
            <v>EUR_AUTO_IG_V3_SF</v>
          </cell>
          <cell r="B609" t="str">
            <v>EU Auto IG</v>
          </cell>
          <cell r="C609" t="str">
            <v>BRS_GOLD__5_SPREADS:BRS_GOLD__4_CORP:BRS_GOLD__3_CSIG:CORP40_IG_EU:CORP40_IG_EU_IND_V3:EUR_AUTO_IG_V3_SF</v>
          </cell>
          <cell r="D609" t="str">
            <v>Spread Duration</v>
          </cell>
          <cell r="E609" t="str">
            <v>Spread Yield (DxS)</v>
          </cell>
          <cell r="F609" t="str">
            <v>SP-Corporate IG EUR</v>
          </cell>
          <cell r="G609" t="str">
            <v>SP-Spread Corporate</v>
          </cell>
          <cell r="H609" t="str">
            <v>SPREADS</v>
          </cell>
          <cell r="I609" t="str">
            <v>Corporate IG EUR - Industry</v>
          </cell>
        </row>
        <row r="610">
          <cell r="A610" t="str">
            <v>EUR_BANKBROK_IG_V3_SF</v>
          </cell>
          <cell r="B610" t="str">
            <v>EU Banking IG</v>
          </cell>
          <cell r="C610" t="str">
            <v>BRS_GOLD__5_SPREADS:BRS_GOLD__4_CORP:BRS_GOLD__3_CSIG:CORP40_IG_EU:CORP40_IG_EU_IND_V3:EUR_BANKBROK_IG_V3_SF</v>
          </cell>
          <cell r="D610" t="str">
            <v>Spread Duration</v>
          </cell>
          <cell r="E610" t="str">
            <v>Spread Yield (DxS)</v>
          </cell>
          <cell r="F610" t="str">
            <v>SP-Corporate IG EUR</v>
          </cell>
          <cell r="G610" t="str">
            <v>SP-Spread Corporate</v>
          </cell>
          <cell r="H610" t="str">
            <v>SPREADS</v>
          </cell>
          <cell r="I610" t="str">
            <v>Corporate IG EUR - Industry</v>
          </cell>
        </row>
        <row r="611">
          <cell r="A611" t="str">
            <v>EUR_BASIC_IG_V3_SF</v>
          </cell>
          <cell r="B611" t="str">
            <v>EU Basic IG</v>
          </cell>
          <cell r="C611" t="str">
            <v>BRS_GOLD__5_SPREADS:BRS_GOLD__4_CORP:BRS_GOLD__3_CSIG:CORP40_IG_EU:CORP40_IG_EU_IND_V3:EUR_BASIC_IG_V3_SF</v>
          </cell>
          <cell r="D611" t="str">
            <v>Spread Duration</v>
          </cell>
          <cell r="E611" t="str">
            <v>Spread Yield (DxS)</v>
          </cell>
          <cell r="F611" t="str">
            <v>SP-Corporate IG EUR</v>
          </cell>
          <cell r="G611" t="str">
            <v>SP-Spread Corporate</v>
          </cell>
          <cell r="H611" t="str">
            <v>SPREADS</v>
          </cell>
          <cell r="I611" t="str">
            <v>Corporate IG EUR - Industry</v>
          </cell>
        </row>
        <row r="612">
          <cell r="A612" t="str">
            <v>EUR_CAPG_IG_V3_SF</v>
          </cell>
          <cell r="B612" t="str">
            <v>EU Cap Goods IG</v>
          </cell>
          <cell r="C612" t="str">
            <v>BRS_GOLD__5_SPREADS:BRS_GOLD__4_CORP:BRS_GOLD__3_CSIG:CORP40_IG_EU:CORP40_IG_EU_IND_V3:EUR_CAPG_IG_V3_SF</v>
          </cell>
          <cell r="D612" t="str">
            <v>Spread Duration</v>
          </cell>
          <cell r="E612" t="str">
            <v>Spread Yield (DxS)</v>
          </cell>
          <cell r="F612" t="str">
            <v>SP-Corporate IG EUR</v>
          </cell>
          <cell r="G612" t="str">
            <v>SP-Spread Corporate</v>
          </cell>
          <cell r="H612" t="str">
            <v>SPREADS</v>
          </cell>
          <cell r="I612" t="str">
            <v>Corporate IG EUR - Industry</v>
          </cell>
        </row>
        <row r="613">
          <cell r="A613" t="str">
            <v>EUR_CYCLICAL_IG_V3_SF</v>
          </cell>
          <cell r="B613" t="str">
            <v>EU Cyclical IG</v>
          </cell>
          <cell r="C613" t="str">
            <v>BRS_GOLD__5_SPREADS:BRS_GOLD__4_CORP:BRS_GOLD__3_CSIG:CORP40_IG_EU:CORP40_IG_EU_IND_V3:EUR_CYCLICAL_IG_V3_SF</v>
          </cell>
          <cell r="D613" t="str">
            <v>Spread Duration</v>
          </cell>
          <cell r="E613" t="str">
            <v>Spread Yield (DxS)</v>
          </cell>
          <cell r="F613" t="str">
            <v>SP-Corporate IG EUR</v>
          </cell>
          <cell r="G613" t="str">
            <v>SP-Spread Corporate</v>
          </cell>
          <cell r="H613" t="str">
            <v>SPREADS</v>
          </cell>
          <cell r="I613" t="str">
            <v>Corporate IG EUR - Industry</v>
          </cell>
        </row>
        <row r="614">
          <cell r="A614" t="str">
            <v>EUR_ENERGY_IG_V3_SF</v>
          </cell>
          <cell r="B614" t="str">
            <v>EU Energy IG</v>
          </cell>
          <cell r="C614" t="str">
            <v>BRS_GOLD__5_SPREADS:BRS_GOLD__4_CORP:BRS_GOLD__3_CSIG:CORP40_IG_EU:CORP40_IG_EU_IND_V3:EUR_ENERGY_IG_V3_SF</v>
          </cell>
          <cell r="D614" t="str">
            <v>Spread Duration</v>
          </cell>
          <cell r="E614" t="str">
            <v>Spread Yield (DxS)</v>
          </cell>
          <cell r="F614" t="str">
            <v>SP-Corporate IG EUR</v>
          </cell>
          <cell r="G614" t="str">
            <v>SP-Spread Corporate</v>
          </cell>
          <cell r="H614" t="str">
            <v>SPREADS</v>
          </cell>
          <cell r="I614" t="str">
            <v>Corporate IG EUR - Industry</v>
          </cell>
        </row>
        <row r="615">
          <cell r="A615" t="str">
            <v>EUR_INSURANCE_IG_V3_SF</v>
          </cell>
          <cell r="B615" t="str">
            <v>EU Insurance IG</v>
          </cell>
          <cell r="C615" t="str">
            <v>BRS_GOLD__5_SPREADS:BRS_GOLD__4_CORP:BRS_GOLD__3_CSIG:CORP40_IG_EU:CORP40_IG_EU_IND_V3:EUR_INSURANCE_IG_V3_SF</v>
          </cell>
          <cell r="D615" t="str">
            <v>Spread Duration</v>
          </cell>
          <cell r="E615" t="str">
            <v>Spread Yield (DxS)</v>
          </cell>
          <cell r="F615" t="str">
            <v>SP-Corporate IG EUR</v>
          </cell>
          <cell r="G615" t="str">
            <v>SP-Spread Corporate</v>
          </cell>
          <cell r="H615" t="str">
            <v>SPREADS</v>
          </cell>
          <cell r="I615" t="str">
            <v>Corporate IG EUR - Industry</v>
          </cell>
        </row>
        <row r="616">
          <cell r="A616" t="str">
            <v>EUR_NONCYCLICAL_IG_V3_SF</v>
          </cell>
          <cell r="B616" t="str">
            <v>EU Noncyclical IG</v>
          </cell>
          <cell r="C616" t="str">
            <v>BRS_GOLD__5_SPREADS:BRS_GOLD__4_CORP:BRS_GOLD__3_CSIG:CORP40_IG_EU:CORP40_IG_EU_IND_V3:EUR_NONCYCLICAL_IG_V3_SF</v>
          </cell>
          <cell r="D616" t="str">
            <v>Spread Duration</v>
          </cell>
          <cell r="E616" t="str">
            <v>Spread Yield (DxS)</v>
          </cell>
          <cell r="F616" t="str">
            <v>SP-Corporate IG EUR</v>
          </cell>
          <cell r="G616" t="str">
            <v>SP-Spread Corporate</v>
          </cell>
          <cell r="H616" t="str">
            <v>SPREADS</v>
          </cell>
          <cell r="I616" t="str">
            <v>Corporate IG EUR - Industry</v>
          </cell>
        </row>
        <row r="617">
          <cell r="A617" t="str">
            <v>EUR_OTHERFIN_IG_V3_SF</v>
          </cell>
          <cell r="B617" t="str">
            <v>EU Fin Other IG</v>
          </cell>
          <cell r="C617" t="str">
            <v>BRS_GOLD__5_SPREADS:BRS_GOLD__4_CORP:BRS_GOLD__3_CSIG:CORP40_IG_EU:CORP40_IG_EU_IND_V3:EUR_OTHERFIN_IG_V3_SF</v>
          </cell>
          <cell r="D617" t="str">
            <v>Spread Duration</v>
          </cell>
          <cell r="E617" t="str">
            <v>Spread Yield (DxS)</v>
          </cell>
          <cell r="F617" t="str">
            <v>SP-Corporate IG EUR</v>
          </cell>
          <cell r="G617" t="str">
            <v>SP-Spread Corporate</v>
          </cell>
          <cell r="H617" t="str">
            <v>SPREADS</v>
          </cell>
          <cell r="I617" t="str">
            <v>Corporate IG EUR - Industry</v>
          </cell>
        </row>
        <row r="618">
          <cell r="A618" t="str">
            <v>EUR_OTHERIND_IG_V3_SF</v>
          </cell>
          <cell r="B618" t="str">
            <v>EU Ind Other IG</v>
          </cell>
          <cell r="C618" t="str">
            <v>BRS_GOLD__5_SPREADS:BRS_GOLD__4_CORP:BRS_GOLD__3_CSIG:CORP40_IG_EU:CORP40_IG_EU_IND_V3:EUR_OTHERIND_IG_V3_SF</v>
          </cell>
          <cell r="D618" t="str">
            <v>Spread Duration</v>
          </cell>
          <cell r="E618" t="str">
            <v>Spread Yield (DxS)</v>
          </cell>
          <cell r="F618" t="str">
            <v>SP-Corporate IG EUR</v>
          </cell>
          <cell r="G618" t="str">
            <v>SP-Spread Corporate</v>
          </cell>
          <cell r="H618" t="str">
            <v>SPREADS</v>
          </cell>
          <cell r="I618" t="str">
            <v>Corporate IG EUR - Industry</v>
          </cell>
        </row>
        <row r="619">
          <cell r="A619" t="str">
            <v>EUR_TECHCOMM_IG_V3_SF</v>
          </cell>
          <cell r="B619" t="str">
            <v>EU Tech Comm IG</v>
          </cell>
          <cell r="C619" t="str">
            <v>BRS_GOLD__5_SPREADS:BRS_GOLD__4_CORP:BRS_GOLD__3_CSIG:CORP40_IG_EU:CORP40_IG_EU_IND_V3:EUR_TECHCOMM_IG_V3_SF</v>
          </cell>
          <cell r="D619" t="str">
            <v>Spread Duration</v>
          </cell>
          <cell r="E619" t="str">
            <v>Spread Yield (DxS)</v>
          </cell>
          <cell r="F619" t="str">
            <v>SP-Corporate IG EUR</v>
          </cell>
          <cell r="G619" t="str">
            <v>SP-Spread Corporate</v>
          </cell>
          <cell r="H619" t="str">
            <v>SPREADS</v>
          </cell>
          <cell r="I619" t="str">
            <v>Corporate IG EUR - Industry</v>
          </cell>
        </row>
        <row r="620">
          <cell r="A620" t="str">
            <v>EUR_TRANSPORT_IG_V3_SF</v>
          </cell>
          <cell r="B620" t="str">
            <v>EU Transport IG</v>
          </cell>
          <cell r="C620" t="str">
            <v>BRS_GOLD__5_SPREADS:BRS_GOLD__4_CORP:BRS_GOLD__3_CSIG:CORP40_IG_EU:CORP40_IG_EU_IND_V3:EUR_TRANSPORT_IG_V3_SF</v>
          </cell>
          <cell r="D620" t="str">
            <v>Spread Duration</v>
          </cell>
          <cell r="E620" t="str">
            <v>Spread Yield (DxS)</v>
          </cell>
          <cell r="F620" t="str">
            <v>SP-Corporate IG EUR</v>
          </cell>
          <cell r="G620" t="str">
            <v>SP-Spread Corporate</v>
          </cell>
          <cell r="H620" t="str">
            <v>SPREADS</v>
          </cell>
          <cell r="I620" t="str">
            <v>Corporate IG EUR - Industry</v>
          </cell>
        </row>
        <row r="621">
          <cell r="A621" t="str">
            <v>EUR_UTILITY_IG_V3_SF</v>
          </cell>
          <cell r="B621" t="str">
            <v>EU Utility IG</v>
          </cell>
          <cell r="C621" t="str">
            <v>BRS_GOLD__5_SPREADS:BRS_GOLD__4_CORP:BRS_GOLD__3_CSIG:CORP40_IG_EU:CORP40_IG_EU_IND_V3:EUR_UTILITY_IG_V3_SF</v>
          </cell>
          <cell r="D621" t="str">
            <v>Spread Duration</v>
          </cell>
          <cell r="E621" t="str">
            <v>Spread Yield (DxS)</v>
          </cell>
          <cell r="F621" t="str">
            <v>SP-Corporate IG EUR</v>
          </cell>
          <cell r="G621" t="str">
            <v>SP-Spread Corporate</v>
          </cell>
          <cell r="H621" t="str">
            <v>SPREADS</v>
          </cell>
          <cell r="I621" t="str">
            <v>Corporate IG EUR - Industry</v>
          </cell>
        </row>
        <row r="622">
          <cell r="A622" t="str">
            <v>EUR_CORP_SUB_IG</v>
          </cell>
          <cell r="B622" t="str">
            <v>EU Capital Security IG</v>
          </cell>
          <cell r="C622" t="str">
            <v>BRS_GOLD__5_SPREADS:BRS_GOLD__4_CORP:BRS_GOLD__3_CSIG:CORP40_IG_EU:CORP40_IG_EU_ATT:EUR_CORP_SUB_IG</v>
          </cell>
          <cell r="D622" t="str">
            <v>Spread Duration</v>
          </cell>
          <cell r="E622" t="str">
            <v>Spread Yield (DxS)</v>
          </cell>
          <cell r="F622" t="str">
            <v>SP-Corporate IG EUR</v>
          </cell>
          <cell r="G622" t="str">
            <v>SP-Spread Corporate</v>
          </cell>
          <cell r="H622" t="str">
            <v>SPREADS</v>
          </cell>
          <cell r="I622" t="str">
            <v>Corporate IG EUR - Seniority</v>
          </cell>
        </row>
        <row r="623">
          <cell r="A623" t="str">
            <v>EUR_CORP_YANK_IG</v>
          </cell>
          <cell r="B623" t="str">
            <v>EU Non Domestic IG</v>
          </cell>
          <cell r="C623" t="str">
            <v>BRS_GOLD__5_SPREADS:BRS_GOLD__4_CORP:BRS_GOLD__3_CSIG:CORP40_IG_EU:CORP40_IG_EU_ATT:EUR_CORP_YANK_IG</v>
          </cell>
          <cell r="D623" t="str">
            <v>Spread Duration</v>
          </cell>
          <cell r="E623" t="str">
            <v>Spread Yield (DxS)</v>
          </cell>
          <cell r="F623" t="str">
            <v>SP-Corporate IG EUR</v>
          </cell>
          <cell r="G623" t="str">
            <v>SP-Spread Corporate</v>
          </cell>
          <cell r="H623" t="str">
            <v>SPREADS</v>
          </cell>
          <cell r="I623" t="str">
            <v>Corporate IG EUR - Yankee</v>
          </cell>
        </row>
        <row r="624">
          <cell r="A624" t="str">
            <v>EUR_CORP_SUB_IG_V3</v>
          </cell>
          <cell r="B624" t="str">
            <v>EU Capital Security IG</v>
          </cell>
          <cell r="C624" t="str">
            <v>BRS_GOLD__5_SPREADS:BRS_GOLD__4_CORP:BRS_GOLD__3_CSIG:CORP40_IG_EU:CORP40_IG_EU_ATT_V3:EUR_CORP_SUB_IG_V3</v>
          </cell>
          <cell r="D624" t="str">
            <v>Spread Duration</v>
          </cell>
          <cell r="E624" t="str">
            <v>Spread Yield (DxS)</v>
          </cell>
          <cell r="F624" t="str">
            <v>SP-Corporate IG EUR</v>
          </cell>
          <cell r="G624" t="str">
            <v>SP-Spread Corporate</v>
          </cell>
          <cell r="H624" t="str">
            <v>SPREADS</v>
          </cell>
          <cell r="I624" t="str">
            <v>Corporate IG EUR - Seniority</v>
          </cell>
        </row>
        <row r="625">
          <cell r="A625" t="str">
            <v>EUR_CORP_SUB_IG_V3_SF</v>
          </cell>
          <cell r="B625" t="str">
            <v>EU Capital Security IG</v>
          </cell>
          <cell r="C625" t="str">
            <v>BRS_GOLD__5_SPREADS:BRS_GOLD__4_CORP:BRS_GOLD__3_CSIG:CORP40_IG_EU:CORP40_IG_EU_ATT_V3:EUR_CORP_SUB_IG_V3_SF</v>
          </cell>
          <cell r="D625" t="str">
            <v>Spread Duration</v>
          </cell>
          <cell r="E625" t="str">
            <v>Spread Yield (DxS)</v>
          </cell>
          <cell r="F625" t="str">
            <v>SP-Corporate IG EUR</v>
          </cell>
          <cell r="G625" t="str">
            <v>SP-Spread Corporate</v>
          </cell>
          <cell r="H625" t="str">
            <v>SPREADS</v>
          </cell>
          <cell r="I625" t="str">
            <v>Corporate IG EUR - Seniority</v>
          </cell>
        </row>
        <row r="626">
          <cell r="A626" t="str">
            <v>EUR_CORP_FR</v>
          </cell>
          <cell r="B626" t="str">
            <v>EU Corp France</v>
          </cell>
          <cell r="C626" t="str">
            <v>BRS_GOLD__5_SPREADS:BRS_GOLD__4_CORP:BRS_GOLD__3_CSIG:CORP40_IG_EU:EUR_CORP_CTRY-EUR_CORP_CTRY_HY:EUR_CORP_FR</v>
          </cell>
          <cell r="D626" t="str">
            <v>Spread Duration</v>
          </cell>
          <cell r="E626" t="str">
            <v>Spread Yield (DxS)</v>
          </cell>
          <cell r="F626" t="str">
            <v>SP-Corporate IG EUR</v>
          </cell>
          <cell r="G626" t="str">
            <v>SP-Spread Corporate</v>
          </cell>
          <cell r="H626" t="str">
            <v>SPREADS</v>
          </cell>
          <cell r="I626" t="str">
            <v>Corporate IG EUR - Country</v>
          </cell>
        </row>
        <row r="627">
          <cell r="A627" t="str">
            <v>EUR_CORP_DE</v>
          </cell>
          <cell r="B627" t="str">
            <v>EU Corp Germany</v>
          </cell>
          <cell r="C627" t="str">
            <v>BRS_GOLD__5_SPREADS:BRS_GOLD__4_CORP:BRS_GOLD__3_CSIG:CORP40_IG_EU:EUR_CORP_CTRY-EUR_CORP_CTRY_HY:EUR_CORP_DE</v>
          </cell>
          <cell r="D627" t="str">
            <v>Spread Duration</v>
          </cell>
          <cell r="E627" t="str">
            <v>Spread Yield (DxS)</v>
          </cell>
          <cell r="F627" t="str">
            <v>SP-Corporate IG EUR</v>
          </cell>
          <cell r="G627" t="str">
            <v>SP-Spread Corporate</v>
          </cell>
          <cell r="H627" t="str">
            <v>SPREADS</v>
          </cell>
          <cell r="I627" t="str">
            <v>Corporate IG EUR - Country</v>
          </cell>
        </row>
        <row r="628">
          <cell r="A628" t="str">
            <v>EUR_CORP_NL</v>
          </cell>
          <cell r="B628" t="str">
            <v>EU Corp Netherlands</v>
          </cell>
          <cell r="C628" t="str">
            <v>BRS_GOLD__5_SPREADS:BRS_GOLD__4_CORP:BRS_GOLD__3_CSIG:CORP40_IG_EU:EUR_CORP_CTRY-EUR_CORP_CTRY_HY:EUR_CORP_NL</v>
          </cell>
          <cell r="D628" t="str">
            <v>Spread Duration</v>
          </cell>
          <cell r="E628" t="str">
            <v>Spread Yield (DxS)</v>
          </cell>
          <cell r="F628" t="str">
            <v>SP-Corporate IG EUR</v>
          </cell>
          <cell r="G628" t="str">
            <v>SP-Spread Corporate</v>
          </cell>
          <cell r="H628" t="str">
            <v>SPREADS</v>
          </cell>
          <cell r="I628" t="str">
            <v>Corporate IG EUR - Country</v>
          </cell>
        </row>
        <row r="629">
          <cell r="A629" t="str">
            <v>EUR_CORP_GB</v>
          </cell>
          <cell r="B629" t="str">
            <v>EU Corp UK</v>
          </cell>
          <cell r="C629" t="str">
            <v>BRS_GOLD__5_SPREADS:BRS_GOLD__4_CORP:BRS_GOLD__3_CSIG:CORP40_IG_EU:EUR_CORP_CTRY-EUR_CORP_CTRY_HY:EUR_CORP_GB</v>
          </cell>
          <cell r="D629" t="str">
            <v>Spread Duration</v>
          </cell>
          <cell r="E629" t="str">
            <v>Spread Yield (DxS)</v>
          </cell>
          <cell r="F629" t="str">
            <v>SP-Corporate IG EUR</v>
          </cell>
          <cell r="G629" t="str">
            <v>SP-Spread Corporate</v>
          </cell>
          <cell r="H629" t="str">
            <v>SPREADS</v>
          </cell>
          <cell r="I629" t="str">
            <v>Corporate IG EUR - Country</v>
          </cell>
        </row>
        <row r="630">
          <cell r="A630" t="str">
            <v>EUR_CORP_IT</v>
          </cell>
          <cell r="B630" t="str">
            <v>EU Corp Italy</v>
          </cell>
          <cell r="C630" t="str">
            <v>BRS_GOLD__5_SPREADS:BRS_GOLD__4_CORP:BRS_GOLD__3_CSIG:CORP40_IG_EU:EUR_CORP_CTRY-EUR_CORP_CTRY_HY:EUR_CORP_IT</v>
          </cell>
          <cell r="D630" t="str">
            <v>Spread Duration</v>
          </cell>
          <cell r="E630" t="str">
            <v>Spread Yield (DxS)</v>
          </cell>
          <cell r="F630" t="str">
            <v>SP-Corporate IG EUR</v>
          </cell>
          <cell r="G630" t="str">
            <v>SP-Spread Corporate</v>
          </cell>
          <cell r="H630" t="str">
            <v>SPREADS</v>
          </cell>
          <cell r="I630" t="str">
            <v>Corporate IG EUR - Country</v>
          </cell>
        </row>
        <row r="631">
          <cell r="A631" t="str">
            <v>EUR_CORP_ES</v>
          </cell>
          <cell r="B631" t="str">
            <v>EU Corp Spain</v>
          </cell>
          <cell r="C631" t="str">
            <v>BRS_GOLD__5_SPREADS:BRS_GOLD__4_CORP:BRS_GOLD__3_CSIG:CORP40_IG_EU:EUR_CORP_CTRY-EUR_CORP_CTRY_HY:EUR_CORP_ES</v>
          </cell>
          <cell r="D631" t="str">
            <v>Spread Duration</v>
          </cell>
          <cell r="E631" t="str">
            <v>Spread Yield (DxS)</v>
          </cell>
          <cell r="F631" t="str">
            <v>SP-Corporate IG EUR</v>
          </cell>
          <cell r="G631" t="str">
            <v>SP-Spread Corporate</v>
          </cell>
          <cell r="H631" t="str">
            <v>SPREADS</v>
          </cell>
          <cell r="I631" t="str">
            <v>Corporate IG EUR - Country</v>
          </cell>
        </row>
        <row r="632">
          <cell r="A632" t="str">
            <v>EUR_CORP_LU</v>
          </cell>
          <cell r="B632" t="str">
            <v>EU Corp Luxembourg</v>
          </cell>
          <cell r="C632" t="str">
            <v>BRS_GOLD__5_SPREADS:BRS_GOLD__4_CORP:BRS_GOLD__3_CSIG:CORP40_IG_EU:EUR_CORP_CTRY-EUR_CORP_CTRY_HY:EUR_CORP_LU</v>
          </cell>
          <cell r="D632" t="str">
            <v>Spread Duration</v>
          </cell>
          <cell r="E632" t="str">
            <v>Spread Yield (DxS)</v>
          </cell>
          <cell r="F632" t="str">
            <v>SP-Corporate IG EUR</v>
          </cell>
          <cell r="G632" t="str">
            <v>SP-Spread Corporate</v>
          </cell>
          <cell r="H632" t="str">
            <v>SPREADS</v>
          </cell>
          <cell r="I632" t="str">
            <v>Corporate IG EUR - Country</v>
          </cell>
        </row>
        <row r="633">
          <cell r="A633" t="str">
            <v>EUR_CORP_SE</v>
          </cell>
          <cell r="B633" t="str">
            <v>EU Corp Sweden</v>
          </cell>
          <cell r="C633" t="str">
            <v>BRS_GOLD__5_SPREADS:BRS_GOLD__4_CORP:BRS_GOLD__3_CSIG:CORP40_IG_EU:EUR_CORP_CTRY-EUR_CORP_CTRY_HY:EUR_CORP_SE</v>
          </cell>
          <cell r="D633" t="str">
            <v>Spread Duration</v>
          </cell>
          <cell r="E633" t="str">
            <v>Spread Yield (DxS)</v>
          </cell>
          <cell r="F633" t="str">
            <v>SP-Corporate IG EUR</v>
          </cell>
          <cell r="G633" t="str">
            <v>SP-Spread Corporate</v>
          </cell>
          <cell r="H633" t="str">
            <v>SPREADS</v>
          </cell>
          <cell r="I633" t="str">
            <v>Corporate IG EUR - Country</v>
          </cell>
        </row>
        <row r="634">
          <cell r="A634" t="str">
            <v>EUR_CORP_CH</v>
          </cell>
          <cell r="B634" t="str">
            <v>EU Corp Switzerland</v>
          </cell>
          <cell r="C634" t="str">
            <v>BRS_GOLD__5_SPREADS:BRS_GOLD__4_CORP:BRS_GOLD__3_CSIG:CORP40_IG_EU:EUR_CORP_CTRY-EUR_CORP_CTRY_HY:EUR_CORP_CH</v>
          </cell>
          <cell r="D634" t="str">
            <v>Spread Duration</v>
          </cell>
          <cell r="E634" t="str">
            <v>Spread Yield (DxS)</v>
          </cell>
          <cell r="F634" t="str">
            <v>SP-Corporate IG EUR</v>
          </cell>
          <cell r="G634" t="str">
            <v>SP-Spread Corporate</v>
          </cell>
          <cell r="H634" t="str">
            <v>SPREADS</v>
          </cell>
          <cell r="I634" t="str">
            <v>Corporate IG EUR - Country</v>
          </cell>
        </row>
        <row r="635">
          <cell r="A635" t="str">
            <v>EUR_CORP_AT</v>
          </cell>
          <cell r="B635" t="str">
            <v>EU Corp Austria</v>
          </cell>
          <cell r="C635" t="str">
            <v>BRS_GOLD__5_SPREADS:BRS_GOLD__4_CORP:BRS_GOLD__3_CSIG:CORP40_IG_EU:EUR_CORP_CTRY-EUR_CORP_CTRY_HY:EUR_CORP_AT</v>
          </cell>
          <cell r="D635" t="str">
            <v>Spread Duration</v>
          </cell>
          <cell r="E635" t="str">
            <v>Spread Yield (DxS)</v>
          </cell>
          <cell r="F635" t="str">
            <v>SP-Corporate IG EUR</v>
          </cell>
          <cell r="G635" t="str">
            <v>SP-Spread Corporate</v>
          </cell>
          <cell r="H635" t="str">
            <v>SPREADS</v>
          </cell>
          <cell r="I635" t="str">
            <v>Corporate IG EUR - Country</v>
          </cell>
        </row>
        <row r="636">
          <cell r="A636" t="str">
            <v>EUR_CORP_BE</v>
          </cell>
          <cell r="B636" t="str">
            <v>EU Corp Belgium</v>
          </cell>
          <cell r="C636" t="str">
            <v>BRS_GOLD__5_SPREADS:BRS_GOLD__4_CORP:BRS_GOLD__3_CSIG:CORP40_IG_EU:EUR_CORP_CTRY-EUR_CORP_CTRY_HY:EUR_CORP_BE</v>
          </cell>
          <cell r="D636" t="str">
            <v>Spread Duration</v>
          </cell>
          <cell r="E636" t="str">
            <v>Spread Yield (DxS)</v>
          </cell>
          <cell r="F636" t="str">
            <v>SP-Corporate IG EUR</v>
          </cell>
          <cell r="G636" t="str">
            <v>SP-Spread Corporate</v>
          </cell>
          <cell r="H636" t="str">
            <v>SPREADS</v>
          </cell>
          <cell r="I636" t="str">
            <v>Corporate IG EUR - Country</v>
          </cell>
        </row>
        <row r="637">
          <cell r="A637" t="str">
            <v>EUR_CORP_IE</v>
          </cell>
          <cell r="B637" t="str">
            <v>EU Corp Ireland</v>
          </cell>
          <cell r="C637" t="str">
            <v>BRS_GOLD__5_SPREADS:BRS_GOLD__4_CORP:BRS_GOLD__3_CSIG:CORP40_IG_EU:EUR_CORP_CTRY-EUR_CORP_CTRY_HY:EUR_CORP_IE</v>
          </cell>
          <cell r="D637" t="str">
            <v>Spread Duration</v>
          </cell>
          <cell r="E637" t="str">
            <v>Spread Yield (DxS)</v>
          </cell>
          <cell r="F637" t="str">
            <v>SP-Corporate IG EUR</v>
          </cell>
          <cell r="G637" t="str">
            <v>SP-Spread Corporate</v>
          </cell>
          <cell r="H637" t="str">
            <v>SPREADS</v>
          </cell>
          <cell r="I637" t="str">
            <v>Corporate IG EUR - Country</v>
          </cell>
        </row>
        <row r="638">
          <cell r="A638" t="str">
            <v>EUR_CORP_PT</v>
          </cell>
          <cell r="B638" t="str">
            <v>EU Corp Portugal</v>
          </cell>
          <cell r="C638" t="str">
            <v>BRS_GOLD__5_SPREADS:BRS_GOLD__4_CORP:BRS_GOLD__3_CSIG:CORP40_IG_EU:EUR_CORP_CTRY-EUR_CORP_CTRY_HY:EUR_CORP_PT</v>
          </cell>
          <cell r="D638" t="str">
            <v>Spread Duration</v>
          </cell>
          <cell r="E638" t="str">
            <v>Spread Yield (DxS)</v>
          </cell>
          <cell r="F638" t="str">
            <v>SP-Corporate IG EUR</v>
          </cell>
          <cell r="G638" t="str">
            <v>SP-Spread Corporate</v>
          </cell>
          <cell r="H638" t="str">
            <v>SPREADS</v>
          </cell>
          <cell r="I638" t="str">
            <v>Corporate IG EUR - Country</v>
          </cell>
        </row>
        <row r="639">
          <cell r="A639" t="str">
            <v>EUR_CORP_FI</v>
          </cell>
          <cell r="B639" t="str">
            <v>EU Corp Finland</v>
          </cell>
          <cell r="C639" t="str">
            <v>BRS_GOLD__5_SPREADS:BRS_GOLD__4_CORP:BRS_GOLD__3_CSIG:CORP40_IG_EU:EUR_CORP_CTRY-EUR_CORP_CTRY_HY:EUR_CORP_FI</v>
          </cell>
          <cell r="D639" t="str">
            <v>Spread Duration</v>
          </cell>
          <cell r="E639" t="str">
            <v>Spread Yield (DxS)</v>
          </cell>
          <cell r="F639" t="str">
            <v>SP-Corporate IG EUR</v>
          </cell>
          <cell r="G639" t="str">
            <v>SP-Spread Corporate</v>
          </cell>
          <cell r="H639" t="str">
            <v>SPREADS</v>
          </cell>
          <cell r="I639" t="str">
            <v>Corporate IG EUR - Country</v>
          </cell>
        </row>
        <row r="640">
          <cell r="A640" t="str">
            <v>EUR_CORP_DK</v>
          </cell>
          <cell r="B640" t="str">
            <v>EU Corp Denmark</v>
          </cell>
          <cell r="C640" t="str">
            <v>BRS_GOLD__5_SPREADS:BRS_GOLD__4_CORP:BRS_GOLD__3_CSIG:CORP40_IG_EU:EUR_CORP_CTRY-EUR_CORP_CTRY_HY:EUR_CORP_DK</v>
          </cell>
          <cell r="D640" t="str">
            <v>Spread Duration</v>
          </cell>
          <cell r="E640" t="str">
            <v>Spread Yield (DxS)</v>
          </cell>
          <cell r="F640" t="str">
            <v>SP-Corporate IG EUR</v>
          </cell>
          <cell r="G640" t="str">
            <v>SP-Spread Corporate</v>
          </cell>
          <cell r="H640" t="str">
            <v>SPREADS</v>
          </cell>
          <cell r="I640" t="str">
            <v>Corporate IG EUR - Country</v>
          </cell>
        </row>
        <row r="641">
          <cell r="A641" t="str">
            <v>EUR_CORP_NO</v>
          </cell>
          <cell r="B641" t="str">
            <v>EU Corp Norway</v>
          </cell>
          <cell r="C641" t="str">
            <v>BRS_GOLD__5_SPREADS:BRS_GOLD__4_CORP:BRS_GOLD__3_CSIG:CORP40_IG_EU:EUR_CORP_CTRY-EUR_CORP_CTRY_HY:EUR_CORP_NO</v>
          </cell>
          <cell r="D641" t="str">
            <v>Spread Duration</v>
          </cell>
          <cell r="E641" t="str">
            <v>Spread Yield (DxS)</v>
          </cell>
          <cell r="F641" t="str">
            <v>SP-Corporate IG EUR</v>
          </cell>
          <cell r="G641" t="str">
            <v>SP-Spread Corporate</v>
          </cell>
          <cell r="H641" t="str">
            <v>SPREADS</v>
          </cell>
          <cell r="I641" t="str">
            <v>Corporate IG EUR - Country</v>
          </cell>
        </row>
        <row r="642">
          <cell r="A642" t="str">
            <v>EUR_CORP_GR</v>
          </cell>
          <cell r="B642" t="str">
            <v>EU Corp Greece</v>
          </cell>
          <cell r="C642" t="str">
            <v>BRS_GOLD__5_SPREADS:BRS_GOLD__4_CORP:BRS_GOLD__3_CSIG:CORP40_IG_EU:EUR_CORP_CTRY-EUR_CORP_CTRY_HY:EUR_CORP_GR</v>
          </cell>
          <cell r="D642" t="str">
            <v>Spread Duration</v>
          </cell>
          <cell r="E642" t="str">
            <v>Spread Yield (DxS)</v>
          </cell>
          <cell r="F642" t="str">
            <v>SP-Corporate IG EUR</v>
          </cell>
          <cell r="G642" t="str">
            <v>SP-Spread Corporate</v>
          </cell>
          <cell r="H642" t="str">
            <v>SPREADS</v>
          </cell>
          <cell r="I642" t="str">
            <v>Corporate IG EUR - Country</v>
          </cell>
        </row>
        <row r="643">
          <cell r="A643" t="str">
            <v>EUR_CORP_NOND</v>
          </cell>
          <cell r="B643" t="str">
            <v>EU Corp Non-domestic</v>
          </cell>
          <cell r="C643" t="str">
            <v>BRS_GOLD__5_SPREADS:BRS_GOLD__4_CORP:BRS_GOLD__3_CSIG:CORP40_IG_EU:EUR_CORP_CTRY-EUR_CORP_CTRY_HY:EUR_CORP_NOND</v>
          </cell>
          <cell r="D643" t="str">
            <v>Spread Duration</v>
          </cell>
          <cell r="E643" t="str">
            <v>Spread Yield (DxS)</v>
          </cell>
          <cell r="F643" t="str">
            <v>SP-Corporate IG EUR</v>
          </cell>
          <cell r="G643" t="str">
            <v>SP-Spread Corporate</v>
          </cell>
          <cell r="H643" t="str">
            <v>SPREADS</v>
          </cell>
          <cell r="I643" t="str">
            <v>Corporate IG EUR - Country</v>
          </cell>
        </row>
        <row r="644">
          <cell r="A644" t="str">
            <v>EUR_CORP_OTHER_CTRY</v>
          </cell>
          <cell r="B644" t="str">
            <v>EU Corp Europe Other</v>
          </cell>
          <cell r="C644" t="str">
            <v>BRS_GOLD__5_SPREADS:BRS_GOLD__4_CORP:BRS_GOLD__3_CSIG:CORP40_IG_EU:EUR_CORP_CTRY-EUR_CORP_CTRY_HY:EUR_CORP_OTHER_CTRY</v>
          </cell>
          <cell r="D644" t="str">
            <v>Spread Duration</v>
          </cell>
          <cell r="E644" t="str">
            <v>Spread Yield (DxS)</v>
          </cell>
          <cell r="F644" t="str">
            <v>SP-Corporate IG EUR</v>
          </cell>
          <cell r="G644" t="str">
            <v>SP-Spread Corporate</v>
          </cell>
          <cell r="H644" t="str">
            <v>SPREADS</v>
          </cell>
          <cell r="I644" t="str">
            <v>Corporate IG EUR - Country</v>
          </cell>
        </row>
        <row r="645">
          <cell r="A645" t="str">
            <v>EUR_CORP_FR_SF</v>
          </cell>
          <cell r="B645" t="str">
            <v>EU Corp France</v>
          </cell>
          <cell r="C645" t="str">
            <v>BRS_GOLD__5_SPREADS:BRS_GOLD__4_CORP:BRS_GOLD__3_CSIG:CORP40_IG_EU:EUR_CORP_CTRY-EUR_CORP_CTRY_HY:EUR_CORP_FR_SF</v>
          </cell>
          <cell r="D645" t="str">
            <v>Spread Duration</v>
          </cell>
          <cell r="E645" t="str">
            <v>Spread Yield (DxS)</v>
          </cell>
          <cell r="F645" t="str">
            <v>SP-Corporate IG EUR</v>
          </cell>
          <cell r="G645" t="str">
            <v>SP-Spread Corporate</v>
          </cell>
          <cell r="H645" t="str">
            <v>SPREADS</v>
          </cell>
          <cell r="I645" t="str">
            <v>Corporate IG EUR - Country</v>
          </cell>
        </row>
        <row r="646">
          <cell r="A646" t="str">
            <v>EUR_CORP_DE_SF</v>
          </cell>
          <cell r="B646" t="str">
            <v>EU Corp Germany</v>
          </cell>
          <cell r="C646" t="str">
            <v>BRS_GOLD__5_SPREADS:BRS_GOLD__4_CORP:BRS_GOLD__3_CSIG:CORP40_IG_EU:EUR_CORP_CTRY-EUR_CORP_CTRY_HY:EUR_CORP_DE_SF</v>
          </cell>
          <cell r="D646" t="str">
            <v>Spread Duration</v>
          </cell>
          <cell r="E646" t="str">
            <v>Spread Yield (DxS)</v>
          </cell>
          <cell r="F646" t="str">
            <v>SP-Corporate IG EUR</v>
          </cell>
          <cell r="G646" t="str">
            <v>SP-Spread Corporate</v>
          </cell>
          <cell r="H646" t="str">
            <v>SPREADS</v>
          </cell>
          <cell r="I646" t="str">
            <v>Corporate IG EUR - Country</v>
          </cell>
        </row>
        <row r="647">
          <cell r="A647" t="str">
            <v>EUR_CORP_NL_SF</v>
          </cell>
          <cell r="B647" t="str">
            <v>EU Corp Netherlands</v>
          </cell>
          <cell r="C647" t="str">
            <v>BRS_GOLD__5_SPREADS:BRS_GOLD__4_CORP:BRS_GOLD__3_CSIG:CORP40_IG_EU:EUR_CORP_CTRY-EUR_CORP_CTRY_HY:EUR_CORP_NL_SF</v>
          </cell>
          <cell r="D647" t="str">
            <v>Spread Duration</v>
          </cell>
          <cell r="E647" t="str">
            <v>Spread Yield (DxS)</v>
          </cell>
          <cell r="F647" t="str">
            <v>SP-Corporate IG EUR</v>
          </cell>
          <cell r="G647" t="str">
            <v>SP-Spread Corporate</v>
          </cell>
          <cell r="H647" t="str">
            <v>SPREADS</v>
          </cell>
          <cell r="I647" t="str">
            <v>Corporate IG EUR - Country</v>
          </cell>
        </row>
        <row r="648">
          <cell r="A648" t="str">
            <v>EUR_CORP_GB_SF</v>
          </cell>
          <cell r="B648" t="str">
            <v>EU Corp UK</v>
          </cell>
          <cell r="C648" t="str">
            <v>BRS_GOLD__5_SPREADS:BRS_GOLD__4_CORP:BRS_GOLD__3_CSIG:CORP40_IG_EU:EUR_CORP_CTRY-EUR_CORP_CTRY_HY:EUR_CORP_GB_SF</v>
          </cell>
          <cell r="D648" t="str">
            <v>Spread Duration</v>
          </cell>
          <cell r="E648" t="str">
            <v>Spread Yield (DxS)</v>
          </cell>
          <cell r="F648" t="str">
            <v>SP-Corporate IG EUR</v>
          </cell>
          <cell r="G648" t="str">
            <v>SP-Spread Corporate</v>
          </cell>
          <cell r="H648" t="str">
            <v>SPREADS</v>
          </cell>
          <cell r="I648" t="str">
            <v>Corporate IG EUR - Country</v>
          </cell>
        </row>
        <row r="649">
          <cell r="A649" t="str">
            <v>EUR_CORP_IT_SF</v>
          </cell>
          <cell r="B649" t="str">
            <v>EU Corp Italy</v>
          </cell>
          <cell r="C649" t="str">
            <v>BRS_GOLD__5_SPREADS:BRS_GOLD__4_CORP:BRS_GOLD__3_CSIG:CORP40_IG_EU:EUR_CORP_CTRY-EUR_CORP_CTRY_HY:EUR_CORP_IT_SF</v>
          </cell>
          <cell r="D649" t="str">
            <v>Spread Duration</v>
          </cell>
          <cell r="E649" t="str">
            <v>Spread Yield (DxS)</v>
          </cell>
          <cell r="F649" t="str">
            <v>SP-Corporate IG EUR</v>
          </cell>
          <cell r="G649" t="str">
            <v>SP-Spread Corporate</v>
          </cell>
          <cell r="H649" t="str">
            <v>SPREADS</v>
          </cell>
          <cell r="I649" t="str">
            <v>Corporate IG EUR - Country</v>
          </cell>
        </row>
        <row r="650">
          <cell r="A650" t="str">
            <v>EUR_CORP_ES_SF</v>
          </cell>
          <cell r="B650" t="str">
            <v>EU Corp Spain</v>
          </cell>
          <cell r="C650" t="str">
            <v>BRS_GOLD__5_SPREADS:BRS_GOLD__4_CORP:BRS_GOLD__3_CSIG:CORP40_IG_EU:EUR_CORP_CTRY-EUR_CORP_CTRY_HY:EUR_CORP_ES_SF</v>
          </cell>
          <cell r="D650" t="str">
            <v>Spread Duration</v>
          </cell>
          <cell r="E650" t="str">
            <v>Spread Yield (DxS)</v>
          </cell>
          <cell r="F650" t="str">
            <v>SP-Corporate IG EUR</v>
          </cell>
          <cell r="G650" t="str">
            <v>SP-Spread Corporate</v>
          </cell>
          <cell r="H650" t="str">
            <v>SPREADS</v>
          </cell>
          <cell r="I650" t="str">
            <v>Corporate IG EUR - Country</v>
          </cell>
        </row>
        <row r="651">
          <cell r="A651" t="str">
            <v>EUR_CORP_LU_SF</v>
          </cell>
          <cell r="B651" t="str">
            <v>EU Corp Luxembourg</v>
          </cell>
          <cell r="C651" t="str">
            <v>BRS_GOLD__5_SPREADS:BRS_GOLD__4_CORP:BRS_GOLD__3_CSIG:CORP40_IG_EU:EUR_CORP_CTRY-EUR_CORP_CTRY_HY:EUR_CORP_LU_SF</v>
          </cell>
          <cell r="D651" t="str">
            <v>Spread Duration</v>
          </cell>
          <cell r="E651" t="str">
            <v>Spread Yield (DxS)</v>
          </cell>
          <cell r="F651" t="str">
            <v>SP-Corporate IG EUR</v>
          </cell>
          <cell r="G651" t="str">
            <v>SP-Spread Corporate</v>
          </cell>
          <cell r="H651" t="str">
            <v>SPREADS</v>
          </cell>
          <cell r="I651" t="str">
            <v>Corporate IG EUR - Country</v>
          </cell>
        </row>
        <row r="652">
          <cell r="A652" t="str">
            <v>EUR_CORP_SE_SF</v>
          </cell>
          <cell r="B652" t="str">
            <v>EU Corp Sweden</v>
          </cell>
          <cell r="C652" t="str">
            <v>BRS_GOLD__5_SPREADS:BRS_GOLD__4_CORP:BRS_GOLD__3_CSIG:CORP40_IG_EU:EUR_CORP_CTRY-EUR_CORP_CTRY_HY:EUR_CORP_SE_SF</v>
          </cell>
          <cell r="D652" t="str">
            <v>Spread Duration</v>
          </cell>
          <cell r="E652" t="str">
            <v>Spread Yield (DxS)</v>
          </cell>
          <cell r="F652" t="str">
            <v>SP-Corporate IG EUR</v>
          </cell>
          <cell r="G652" t="str">
            <v>SP-Spread Corporate</v>
          </cell>
          <cell r="H652" t="str">
            <v>SPREADS</v>
          </cell>
          <cell r="I652" t="str">
            <v>Corporate IG EUR - Country</v>
          </cell>
        </row>
        <row r="653">
          <cell r="A653" t="str">
            <v>EUR_CORP_CH_SF</v>
          </cell>
          <cell r="B653" t="str">
            <v>EU Corp Switzerland</v>
          </cell>
          <cell r="C653" t="str">
            <v>BRS_GOLD__5_SPREADS:BRS_GOLD__4_CORP:BRS_GOLD__3_CSIG:CORP40_IG_EU:EUR_CORP_CTRY-EUR_CORP_CTRY_HY:EUR_CORP_CH_SF</v>
          </cell>
          <cell r="D653" t="str">
            <v>Spread Duration</v>
          </cell>
          <cell r="E653" t="str">
            <v>Spread Yield (DxS)</v>
          </cell>
          <cell r="F653" t="str">
            <v>SP-Corporate IG EUR</v>
          </cell>
          <cell r="G653" t="str">
            <v>SP-Spread Corporate</v>
          </cell>
          <cell r="H653" t="str">
            <v>SPREADS</v>
          </cell>
          <cell r="I653" t="str">
            <v>Corporate IG EUR - Country</v>
          </cell>
        </row>
        <row r="654">
          <cell r="A654" t="str">
            <v>EUR_CORP_AT_SF</v>
          </cell>
          <cell r="B654" t="str">
            <v>EU Corp Austria</v>
          </cell>
          <cell r="C654" t="str">
            <v>BRS_GOLD__5_SPREADS:BRS_GOLD__4_CORP:BRS_GOLD__3_CSIG:CORP40_IG_EU:EUR_CORP_CTRY-EUR_CORP_CTRY_HY:EUR_CORP_AT_SF</v>
          </cell>
          <cell r="D654" t="str">
            <v>Spread Duration</v>
          </cell>
          <cell r="E654" t="str">
            <v>Spread Yield (DxS)</v>
          </cell>
          <cell r="F654" t="str">
            <v>SP-Corporate IG EUR</v>
          </cell>
          <cell r="G654" t="str">
            <v>SP-Spread Corporate</v>
          </cell>
          <cell r="H654" t="str">
            <v>SPREADS</v>
          </cell>
          <cell r="I654" t="str">
            <v>Corporate IG EUR - Country</v>
          </cell>
        </row>
        <row r="655">
          <cell r="A655" t="str">
            <v>EUR_CORP_BE_SF</v>
          </cell>
          <cell r="B655" t="str">
            <v>EU Corp Belgium</v>
          </cell>
          <cell r="C655" t="str">
            <v>BRS_GOLD__5_SPREADS:BRS_GOLD__4_CORP:BRS_GOLD__3_CSIG:CORP40_IG_EU:EUR_CORP_CTRY-EUR_CORP_CTRY_HY:EUR_CORP_BE_SF</v>
          </cell>
          <cell r="D655" t="str">
            <v>Spread Duration</v>
          </cell>
          <cell r="E655" t="str">
            <v>Spread Yield (DxS)</v>
          </cell>
          <cell r="F655" t="str">
            <v>SP-Corporate IG EUR</v>
          </cell>
          <cell r="G655" t="str">
            <v>SP-Spread Corporate</v>
          </cell>
          <cell r="H655" t="str">
            <v>SPREADS</v>
          </cell>
          <cell r="I655" t="str">
            <v>Corporate IG EUR - Country</v>
          </cell>
        </row>
        <row r="656">
          <cell r="A656" t="str">
            <v>EUR_CORP_IE_SF</v>
          </cell>
          <cell r="B656" t="str">
            <v>EU Corp Ireland</v>
          </cell>
          <cell r="C656" t="str">
            <v>BRS_GOLD__5_SPREADS:BRS_GOLD__4_CORP:BRS_GOLD__3_CSIG:CORP40_IG_EU:EUR_CORP_CTRY-EUR_CORP_CTRY_HY:EUR_CORP_IE_SF</v>
          </cell>
          <cell r="D656" t="str">
            <v>Spread Duration</v>
          </cell>
          <cell r="E656" t="str">
            <v>Spread Yield (DxS)</v>
          </cell>
          <cell r="F656" t="str">
            <v>SP-Corporate IG EUR</v>
          </cell>
          <cell r="G656" t="str">
            <v>SP-Spread Corporate</v>
          </cell>
          <cell r="H656" t="str">
            <v>SPREADS</v>
          </cell>
          <cell r="I656" t="str">
            <v>Corporate IG EUR - Country</v>
          </cell>
        </row>
        <row r="657">
          <cell r="A657" t="str">
            <v>EUR_CORP_PT_SF</v>
          </cell>
          <cell r="B657" t="str">
            <v>EU Corp Portugal</v>
          </cell>
          <cell r="C657" t="str">
            <v>BRS_GOLD__5_SPREADS:BRS_GOLD__4_CORP:BRS_GOLD__3_CSIG:CORP40_IG_EU:EUR_CORP_CTRY-EUR_CORP_CTRY_HY:EUR_CORP_PT_SF</v>
          </cell>
          <cell r="D657" t="str">
            <v>Spread Duration</v>
          </cell>
          <cell r="E657" t="str">
            <v>Spread Yield (DxS)</v>
          </cell>
          <cell r="F657" t="str">
            <v>SP-Corporate IG EUR</v>
          </cell>
          <cell r="G657" t="str">
            <v>SP-Spread Corporate</v>
          </cell>
          <cell r="H657" t="str">
            <v>SPREADS</v>
          </cell>
          <cell r="I657" t="str">
            <v>Corporate IG EUR - Country</v>
          </cell>
        </row>
        <row r="658">
          <cell r="A658" t="str">
            <v>EUR_CORP_FI_SF</v>
          </cell>
          <cell r="B658" t="str">
            <v>EU Corp Finland</v>
          </cell>
          <cell r="C658" t="str">
            <v>BRS_GOLD__5_SPREADS:BRS_GOLD__4_CORP:BRS_GOLD__3_CSIG:CORP40_IG_EU:EUR_CORP_CTRY-EUR_CORP_CTRY_HY:EUR_CORP_FI_SF</v>
          </cell>
          <cell r="D658" t="str">
            <v>Spread Duration</v>
          </cell>
          <cell r="E658" t="str">
            <v>Spread Yield (DxS)</v>
          </cell>
          <cell r="F658" t="str">
            <v>SP-Corporate IG EUR</v>
          </cell>
          <cell r="G658" t="str">
            <v>SP-Spread Corporate</v>
          </cell>
          <cell r="H658" t="str">
            <v>SPREADS</v>
          </cell>
          <cell r="I658" t="str">
            <v>Corporate IG EUR - Country</v>
          </cell>
        </row>
        <row r="659">
          <cell r="A659" t="str">
            <v>EUR_CORP_DK_SF</v>
          </cell>
          <cell r="B659" t="str">
            <v>EU Corp Denmark</v>
          </cell>
          <cell r="C659" t="str">
            <v>BRS_GOLD__5_SPREADS:BRS_GOLD__4_CORP:BRS_GOLD__3_CSIG:CORP40_IG_EU:EUR_CORP_CTRY-EUR_CORP_CTRY_HY:EUR_CORP_DK_SF</v>
          </cell>
          <cell r="D659" t="str">
            <v>Spread Duration</v>
          </cell>
          <cell r="E659" t="str">
            <v>Spread Yield (DxS)</v>
          </cell>
          <cell r="F659" t="str">
            <v>SP-Corporate IG EUR</v>
          </cell>
          <cell r="G659" t="str">
            <v>SP-Spread Corporate</v>
          </cell>
          <cell r="H659" t="str">
            <v>SPREADS</v>
          </cell>
          <cell r="I659" t="str">
            <v>Corporate IG EUR - Country</v>
          </cell>
        </row>
        <row r="660">
          <cell r="A660" t="str">
            <v>EUR_CORP_NO_SF</v>
          </cell>
          <cell r="B660" t="str">
            <v>EU Corp Norway</v>
          </cell>
          <cell r="C660" t="str">
            <v>BRS_GOLD__5_SPREADS:BRS_GOLD__4_CORP:BRS_GOLD__3_CSIG:CORP40_IG_EU:EUR_CORP_CTRY-EUR_CORP_CTRY_HY:EUR_CORP_NO_SF</v>
          </cell>
          <cell r="D660" t="str">
            <v>Spread Duration</v>
          </cell>
          <cell r="E660" t="str">
            <v>Spread Yield (DxS)</v>
          </cell>
          <cell r="F660" t="str">
            <v>SP-Corporate IG EUR</v>
          </cell>
          <cell r="G660" t="str">
            <v>SP-Spread Corporate</v>
          </cell>
          <cell r="H660" t="str">
            <v>SPREADS</v>
          </cell>
          <cell r="I660" t="str">
            <v>Corporate IG EUR - Country</v>
          </cell>
        </row>
        <row r="661">
          <cell r="A661" t="str">
            <v>EUR_CORP_GR_SF</v>
          </cell>
          <cell r="B661" t="str">
            <v>EU Corp Greece</v>
          </cell>
          <cell r="C661" t="str">
            <v>BRS_GOLD__5_SPREADS:BRS_GOLD__4_CORP:BRS_GOLD__3_CSIG:CORP40_IG_EU:EUR_CORP_CTRY-EUR_CORP_CTRY_HY:EUR_CORP_GR_SF</v>
          </cell>
          <cell r="D661" t="str">
            <v>Spread Duration</v>
          </cell>
          <cell r="E661" t="str">
            <v>Spread Yield (DxS)</v>
          </cell>
          <cell r="F661" t="str">
            <v>SP-Corporate IG EUR</v>
          </cell>
          <cell r="G661" t="str">
            <v>SP-Spread Corporate</v>
          </cell>
          <cell r="H661" t="str">
            <v>SPREADS</v>
          </cell>
          <cell r="I661" t="str">
            <v>Corporate IG EUR - Country</v>
          </cell>
        </row>
        <row r="662">
          <cell r="A662" t="str">
            <v>EUR_CORP_NOND_SF</v>
          </cell>
          <cell r="B662" t="str">
            <v>EU Corp Non-domestic</v>
          </cell>
          <cell r="C662" t="str">
            <v>BRS_GOLD__5_SPREADS:BRS_GOLD__4_CORP:BRS_GOLD__3_CSIG:CORP40_IG_EU:EUR_CORP_CTRY-EUR_CORP_CTRY_HY:EUR_CORP_NOND_SF</v>
          </cell>
          <cell r="D662" t="str">
            <v>Spread Duration</v>
          </cell>
          <cell r="E662" t="str">
            <v>Spread Yield (DxS)</v>
          </cell>
          <cell r="F662" t="str">
            <v>SP-Corporate IG EUR</v>
          </cell>
          <cell r="G662" t="str">
            <v>SP-Spread Corporate</v>
          </cell>
          <cell r="H662" t="str">
            <v>SPREADS</v>
          </cell>
          <cell r="I662" t="str">
            <v>Corporate IG EUR - Country</v>
          </cell>
        </row>
        <row r="663">
          <cell r="A663" t="str">
            <v>EUR_CORP_OTHER_CTRY_SF</v>
          </cell>
          <cell r="B663" t="str">
            <v>EU Corp Europe Other</v>
          </cell>
          <cell r="C663" t="str">
            <v>BRS_GOLD__5_SPREADS:BRS_GOLD__4_CORP:BRS_GOLD__3_CSIG:CORP40_IG_EU:EUR_CORP_CTRY-EUR_CORP_CTRY_HY:EUR_CORP_OTHER_CTRY_SF</v>
          </cell>
          <cell r="D663" t="str">
            <v>Spread Duration</v>
          </cell>
          <cell r="E663" t="str">
            <v>Spread Yield (DxS)</v>
          </cell>
          <cell r="F663" t="str">
            <v>SP-Corporate IG EUR</v>
          </cell>
          <cell r="G663" t="str">
            <v>SP-Spread Corporate</v>
          </cell>
          <cell r="H663" t="str">
            <v>SPREADS</v>
          </cell>
          <cell r="I663" t="str">
            <v>Corporate IG EUR - Country</v>
          </cell>
        </row>
        <row r="664">
          <cell r="A664" t="str">
            <v>GBP_CORP_AGG_2Y</v>
          </cell>
          <cell r="B664" t="str">
            <v>GB Maturity 2</v>
          </cell>
          <cell r="C664" t="str">
            <v>BRS_GOLD__5_SPREADS:BRS_GOLD__4_CORP:BRS_GOLD__3_CSIG:BRS_GOLD__2_CSIG_GBP:CORP33_GB_MAT:GBP_CORP_AGG_2Y</v>
          </cell>
          <cell r="D664" t="str">
            <v>Spread Duration</v>
          </cell>
          <cell r="E664" t="str">
            <v>Spread Yield (DxS)</v>
          </cell>
          <cell r="F664" t="str">
            <v>SP-Corporate IG Other</v>
          </cell>
          <cell r="G664" t="str">
            <v>SP-Spread Corporate</v>
          </cell>
          <cell r="H664" t="str">
            <v>SPREADS</v>
          </cell>
          <cell r="I664" t="str">
            <v>Corporate IG Other - Maturity</v>
          </cell>
        </row>
        <row r="665">
          <cell r="A665" t="str">
            <v>GBP_CORP_AGG_5Y</v>
          </cell>
          <cell r="B665" t="str">
            <v>GB Maturity 5</v>
          </cell>
          <cell r="C665" t="str">
            <v>BRS_GOLD__5_SPREADS:BRS_GOLD__4_CORP:BRS_GOLD__3_CSIG:BRS_GOLD__2_CSIG_GBP:CORP33_GB_MAT:GBP_CORP_AGG_5Y</v>
          </cell>
          <cell r="D665" t="str">
            <v>Spread Duration</v>
          </cell>
          <cell r="E665" t="str">
            <v>Spread Yield (DxS)</v>
          </cell>
          <cell r="F665" t="str">
            <v>SP-Corporate IG Other</v>
          </cell>
          <cell r="G665" t="str">
            <v>SP-Spread Corporate</v>
          </cell>
          <cell r="H665" t="str">
            <v>SPREADS</v>
          </cell>
          <cell r="I665" t="str">
            <v>Corporate IG Other - Maturity</v>
          </cell>
        </row>
        <row r="666">
          <cell r="A666" t="str">
            <v>GBP_CORP_AGG_10Y</v>
          </cell>
          <cell r="B666" t="str">
            <v>GB Maturity 10</v>
          </cell>
          <cell r="C666" t="str">
            <v>BRS_GOLD__5_SPREADS:BRS_GOLD__4_CORP:BRS_GOLD__3_CSIG:BRS_GOLD__2_CSIG_GBP:CORP33_GB_MAT:GBP_CORP_AGG_10Y</v>
          </cell>
          <cell r="D666" t="str">
            <v>Spread Duration</v>
          </cell>
          <cell r="E666" t="str">
            <v>Spread Yield (DxS)</v>
          </cell>
          <cell r="F666" t="str">
            <v>SP-Corporate IG Other</v>
          </cell>
          <cell r="G666" t="str">
            <v>SP-Spread Corporate</v>
          </cell>
          <cell r="H666" t="str">
            <v>SPREADS</v>
          </cell>
          <cell r="I666" t="str">
            <v>Corporate IG Other - Maturity</v>
          </cell>
        </row>
        <row r="667">
          <cell r="A667" t="str">
            <v>GBP_CORP_AGG_20Y</v>
          </cell>
          <cell r="B667" t="str">
            <v>GB Maturity 20</v>
          </cell>
          <cell r="C667" t="str">
            <v>BRS_GOLD__5_SPREADS:BRS_GOLD__4_CORP:BRS_GOLD__3_CSIG:BRS_GOLD__2_CSIG_GBP:CORP33_GB_MAT:GBP_CORP_AGG_20Y</v>
          </cell>
          <cell r="D667" t="str">
            <v>Spread Duration</v>
          </cell>
          <cell r="E667" t="str">
            <v>Spread Yield (DxS)</v>
          </cell>
          <cell r="F667" t="str">
            <v>SP-Corporate IG Other</v>
          </cell>
          <cell r="G667" t="str">
            <v>SP-Spread Corporate</v>
          </cell>
          <cell r="H667" t="str">
            <v>SPREADS</v>
          </cell>
          <cell r="I667" t="str">
            <v>Corporate IG Other - Maturity</v>
          </cell>
        </row>
        <row r="668">
          <cell r="A668" t="str">
            <v>GBP_FINANCIAL_SUPER_IG</v>
          </cell>
          <cell r="B668" t="str">
            <v>GB Fin AA</v>
          </cell>
          <cell r="C668" t="str">
            <v>BRS_GOLD__5_SPREADS:BRS_GOLD__4_CORP:BRS_GOLD__3_CSIG:BRS_GOLD__2_CSIG_GBP:CORP33_GB_IND_SIG:GBP_FINANCIAL_SUPER_IG</v>
          </cell>
          <cell r="D668" t="str">
            <v>Spread Duration</v>
          </cell>
          <cell r="E668" t="str">
            <v>Spread Yield (DxS)</v>
          </cell>
          <cell r="F668" t="str">
            <v>SP-Corporate IG Other</v>
          </cell>
          <cell r="G668" t="str">
            <v>SP-Spread Corporate</v>
          </cell>
          <cell r="H668" t="str">
            <v>SPREADS</v>
          </cell>
          <cell r="I668" t="str">
            <v>Corporate IG Other - Industry</v>
          </cell>
        </row>
        <row r="669">
          <cell r="A669" t="str">
            <v>GBP_INDUSTRIAL_SUPER_IG</v>
          </cell>
          <cell r="B669" t="str">
            <v>GB Ind AA</v>
          </cell>
          <cell r="C669" t="str">
            <v>BRS_GOLD__5_SPREADS:BRS_GOLD__4_CORP:BRS_GOLD__3_CSIG:BRS_GOLD__2_CSIG_GBP:CORP33_GB_IND_SIG:GBP_INDUSTRIAL_SUPER_IG</v>
          </cell>
          <cell r="D669" t="str">
            <v>Spread Duration</v>
          </cell>
          <cell r="E669" t="str">
            <v>Spread Yield (DxS)</v>
          </cell>
          <cell r="F669" t="str">
            <v>SP-Corporate IG Other</v>
          </cell>
          <cell r="G669" t="str">
            <v>SP-Spread Corporate</v>
          </cell>
          <cell r="H669" t="str">
            <v>SPREADS</v>
          </cell>
          <cell r="I669" t="str">
            <v>Corporate IG Other - Industry</v>
          </cell>
        </row>
        <row r="670">
          <cell r="A670" t="str">
            <v>GBP_UTILENER_SUPER_IG</v>
          </cell>
          <cell r="B670" t="str">
            <v>GB Util Ene AA</v>
          </cell>
          <cell r="C670" t="str">
            <v>BRS_GOLD__5_SPREADS:BRS_GOLD__4_CORP:BRS_GOLD__3_CSIG:BRS_GOLD__2_CSIG_GBP:CORP33_GB_IND_SIG:GBP_UTILENER_SUPER_IG</v>
          </cell>
          <cell r="D670" t="str">
            <v>Spread Duration</v>
          </cell>
          <cell r="E670" t="str">
            <v>Spread Yield (DxS)</v>
          </cell>
          <cell r="F670" t="str">
            <v>SP-Corporate IG Other</v>
          </cell>
          <cell r="G670" t="str">
            <v>SP-Spread Corporate</v>
          </cell>
          <cell r="H670" t="str">
            <v>SPREADS</v>
          </cell>
          <cell r="I670" t="str">
            <v>Corporate IG Other - Industry</v>
          </cell>
        </row>
        <row r="671">
          <cell r="A671" t="str">
            <v>GBP_COMMTECH_IG</v>
          </cell>
          <cell r="B671" t="str">
            <v>GB Com Tec IG</v>
          </cell>
          <cell r="C671" t="str">
            <v>BRS_GOLD__5_SPREADS:BRS_GOLD__4_CORP:BRS_GOLD__3_CSIG:BRS_GOLD__2_CSIG_GBP:CORP33_GB_IND_IG:GBP_COMMTECH_IG</v>
          </cell>
          <cell r="D671" t="str">
            <v>Spread Duration</v>
          </cell>
          <cell r="E671" t="str">
            <v>Spread Yield (DxS)</v>
          </cell>
          <cell r="F671" t="str">
            <v>SP-Corporate IG Other</v>
          </cell>
          <cell r="G671" t="str">
            <v>SP-Spread Corporate</v>
          </cell>
          <cell r="H671" t="str">
            <v>SPREADS</v>
          </cell>
          <cell r="I671" t="str">
            <v>Corporate IG Other - Industry</v>
          </cell>
        </row>
        <row r="672">
          <cell r="A672" t="str">
            <v>GBP_CONSCYC_IG</v>
          </cell>
          <cell r="B672" t="str">
            <v>GB Cycl IG</v>
          </cell>
          <cell r="C672" t="str">
            <v>BRS_GOLD__5_SPREADS:BRS_GOLD__4_CORP:BRS_GOLD__3_CSIG:BRS_GOLD__2_CSIG_GBP:CORP33_GB_IND_IG:GBP_CONSCYC_IG</v>
          </cell>
          <cell r="D672" t="str">
            <v>Spread Duration</v>
          </cell>
          <cell r="E672" t="str">
            <v>Spread Yield (DxS)</v>
          </cell>
          <cell r="F672" t="str">
            <v>SP-Corporate IG Other</v>
          </cell>
          <cell r="G672" t="str">
            <v>SP-Spread Corporate</v>
          </cell>
          <cell r="H672" t="str">
            <v>SPREADS</v>
          </cell>
          <cell r="I672" t="str">
            <v>Corporate IG Other - Industry</v>
          </cell>
        </row>
        <row r="673">
          <cell r="A673" t="str">
            <v>GBP_CONSSTA_IG</v>
          </cell>
          <cell r="B673" t="str">
            <v>GB Non Cyc IG</v>
          </cell>
          <cell r="C673" t="str">
            <v>BRS_GOLD__5_SPREADS:BRS_GOLD__4_CORP:BRS_GOLD__3_CSIG:BRS_GOLD__2_CSIG_GBP:CORP33_GB_IND_IG:GBP_CONSSTA_IG</v>
          </cell>
          <cell r="D673" t="str">
            <v>Spread Duration</v>
          </cell>
          <cell r="E673" t="str">
            <v>Spread Yield (DxS)</v>
          </cell>
          <cell r="F673" t="str">
            <v>SP-Corporate IG Other</v>
          </cell>
          <cell r="G673" t="str">
            <v>SP-Spread Corporate</v>
          </cell>
          <cell r="H673" t="str">
            <v>SPREADS</v>
          </cell>
          <cell r="I673" t="str">
            <v>Corporate IG Other - Industry</v>
          </cell>
        </row>
        <row r="674">
          <cell r="A674" t="str">
            <v>GBP_DIVERS_IG</v>
          </cell>
          <cell r="B674" t="str">
            <v>GB Ind Misc IG</v>
          </cell>
          <cell r="C674" t="str">
            <v>BRS_GOLD__5_SPREADS:BRS_GOLD__4_CORP:BRS_GOLD__3_CSIG:BRS_GOLD__2_CSIG_GBP:CORP33_GB_IND_IG:GBP_DIVERS_IG</v>
          </cell>
          <cell r="D674" t="str">
            <v>Spread Duration</v>
          </cell>
          <cell r="E674" t="str">
            <v>Spread Yield (DxS)</v>
          </cell>
          <cell r="F674" t="str">
            <v>SP-Corporate IG Other</v>
          </cell>
          <cell r="G674" t="str">
            <v>SP-Spread Corporate</v>
          </cell>
          <cell r="H674" t="str">
            <v>SPREADS</v>
          </cell>
          <cell r="I674" t="str">
            <v>Corporate IG Other - Industry</v>
          </cell>
        </row>
        <row r="675">
          <cell r="A675" t="str">
            <v>GBP_FINANCIAL_IG</v>
          </cell>
          <cell r="B675" t="str">
            <v>GB Finance IG</v>
          </cell>
          <cell r="C675" t="str">
            <v>BRS_GOLD__5_SPREADS:BRS_GOLD__4_CORP:BRS_GOLD__3_CSIG:BRS_GOLD__2_CSIG_GBP:CORP33_GB_IND_IG:GBP_FINANCIAL_IG</v>
          </cell>
          <cell r="D675" t="str">
            <v>Spread Duration</v>
          </cell>
          <cell r="E675" t="str">
            <v>Spread Yield (DxS)</v>
          </cell>
          <cell r="F675" t="str">
            <v>SP-Corporate IG Other</v>
          </cell>
          <cell r="G675" t="str">
            <v>SP-Spread Corporate</v>
          </cell>
          <cell r="H675" t="str">
            <v>SPREADS</v>
          </cell>
          <cell r="I675" t="str">
            <v>Corporate IG Other - Industry</v>
          </cell>
        </row>
        <row r="676">
          <cell r="A676" t="str">
            <v>GBP_GOVERNMENT_IG</v>
          </cell>
          <cell r="B676" t="str">
            <v>GB Govt IG</v>
          </cell>
          <cell r="C676" t="str">
            <v>BRS_GOLD__5_SPREADS:BRS_GOLD__4_CORP:BRS_GOLD__3_CSIG:BRS_GOLD__2_CSIG_GBP:CORP33_GB_IND_IG:GBP_GOVERNMENT_IG</v>
          </cell>
          <cell r="D676" t="str">
            <v>Spread Duration</v>
          </cell>
          <cell r="E676" t="str">
            <v>Spread Yield (DxS)</v>
          </cell>
          <cell r="F676" t="str">
            <v>SP-Corporate IG Other</v>
          </cell>
          <cell r="G676" t="str">
            <v>SP-Spread Corporate</v>
          </cell>
          <cell r="H676" t="str">
            <v>SPREADS</v>
          </cell>
          <cell r="I676" t="str">
            <v>Corporate IG Other - Industry</v>
          </cell>
        </row>
        <row r="677">
          <cell r="A677" t="str">
            <v>GBP_INDUSTRIAL_IG</v>
          </cell>
          <cell r="B677" t="str">
            <v>GB Ind IG</v>
          </cell>
          <cell r="C677" t="str">
            <v>BRS_GOLD__5_SPREADS:BRS_GOLD__4_CORP:BRS_GOLD__3_CSIG:BRS_GOLD__2_CSIG_GBP:CORP33_GB_IND_IG:GBP_INDUSTRIAL_IG</v>
          </cell>
          <cell r="D677" t="str">
            <v>Spread Duration</v>
          </cell>
          <cell r="E677" t="str">
            <v>Spread Yield (DxS)</v>
          </cell>
          <cell r="F677" t="str">
            <v>SP-Corporate IG Other</v>
          </cell>
          <cell r="G677" t="str">
            <v>SP-Spread Corporate</v>
          </cell>
          <cell r="H677" t="str">
            <v>SPREADS</v>
          </cell>
          <cell r="I677" t="str">
            <v>Corporate IG Other - Industry</v>
          </cell>
        </row>
        <row r="678">
          <cell r="A678" t="str">
            <v>GBP_MATERIALS_IG</v>
          </cell>
          <cell r="B678" t="str">
            <v>GB Basic IG</v>
          </cell>
          <cell r="C678" t="str">
            <v>BRS_GOLD__5_SPREADS:BRS_GOLD__4_CORP:BRS_GOLD__3_CSIG:BRS_GOLD__2_CSIG_GBP:CORP33_GB_IND_IG:GBP_MATERIALS_IG</v>
          </cell>
          <cell r="D678" t="str">
            <v>Spread Duration</v>
          </cell>
          <cell r="E678" t="str">
            <v>Spread Yield (DxS)</v>
          </cell>
          <cell r="F678" t="str">
            <v>SP-Corporate IG Other</v>
          </cell>
          <cell r="G678" t="str">
            <v>SP-Spread Corporate</v>
          </cell>
          <cell r="H678" t="str">
            <v>SPREADS</v>
          </cell>
          <cell r="I678" t="str">
            <v>Corporate IG Other - Industry</v>
          </cell>
        </row>
        <row r="679">
          <cell r="A679" t="str">
            <v>GBP_UTILENER_IG</v>
          </cell>
          <cell r="B679" t="str">
            <v>GB Util Ene IG</v>
          </cell>
          <cell r="C679" t="str">
            <v>BRS_GOLD__5_SPREADS:BRS_GOLD__4_CORP:BRS_GOLD__3_CSIG:BRS_GOLD__2_CSIG_GBP:CORP33_GB_IND_IG:GBP_UTILENER_IG</v>
          </cell>
          <cell r="D679" t="str">
            <v>Spread Duration</v>
          </cell>
          <cell r="E679" t="str">
            <v>Spread Yield (DxS)</v>
          </cell>
          <cell r="F679" t="str">
            <v>SP-Corporate IG Other</v>
          </cell>
          <cell r="G679" t="str">
            <v>SP-Spread Corporate</v>
          </cell>
          <cell r="H679" t="str">
            <v>SPREADS</v>
          </cell>
          <cell r="I679" t="str">
            <v>Corporate IG Other - Industry</v>
          </cell>
        </row>
        <row r="680">
          <cell r="A680" t="str">
            <v>GBP_CORP_IG_10</v>
          </cell>
          <cell r="B680" t="str">
            <v>UK Maturity 10</v>
          </cell>
          <cell r="C680" t="str">
            <v>BRS_GOLD__5_SPREADS:BRS_GOLD__4_CORP:BRS_GOLD__3_CSIG:CORP40_IG_UK:CORP40_IG_UK_MAT:GBP_CORP_IG_10</v>
          </cell>
          <cell r="D680" t="str">
            <v>Spread Duration</v>
          </cell>
          <cell r="E680" t="str">
            <v>Spread Yield (DxS)</v>
          </cell>
          <cell r="F680" t="str">
            <v>SP-Corporate IG Other</v>
          </cell>
          <cell r="G680" t="str">
            <v>SP-Spread Corporate</v>
          </cell>
          <cell r="H680" t="str">
            <v>SPREADS</v>
          </cell>
          <cell r="I680" t="str">
            <v>Corporate IG Other - Maturity</v>
          </cell>
        </row>
        <row r="681">
          <cell r="A681" t="str">
            <v>GBP_CORP_IG_20</v>
          </cell>
          <cell r="B681" t="str">
            <v>UK Maturity 20</v>
          </cell>
          <cell r="C681" t="str">
            <v>BRS_GOLD__5_SPREADS:BRS_GOLD__4_CORP:BRS_GOLD__3_CSIG:CORP40_IG_UK:CORP40_IG_UK_MAT:GBP_CORP_IG_20</v>
          </cell>
          <cell r="D681" t="str">
            <v>Spread Duration</v>
          </cell>
          <cell r="E681" t="str">
            <v>Spread Yield (DxS)</v>
          </cell>
          <cell r="F681" t="str">
            <v>SP-Corporate IG Other</v>
          </cell>
          <cell r="G681" t="str">
            <v>SP-Spread Corporate</v>
          </cell>
          <cell r="H681" t="str">
            <v>SPREADS</v>
          </cell>
          <cell r="I681" t="str">
            <v>Corporate IG Other - Maturity</v>
          </cell>
        </row>
        <row r="682">
          <cell r="A682" t="str">
            <v>GBP_CORP_IG_2</v>
          </cell>
          <cell r="B682" t="str">
            <v>UK Maturity 2</v>
          </cell>
          <cell r="C682" t="str">
            <v>BRS_GOLD__5_SPREADS:BRS_GOLD__4_CORP:BRS_GOLD__3_CSIG:CORP40_IG_UK:CORP40_IG_UK_MAT:GBP_CORP_IG_2</v>
          </cell>
          <cell r="D682" t="str">
            <v>Spread Duration</v>
          </cell>
          <cell r="E682" t="str">
            <v>Spread Yield (DxS)</v>
          </cell>
          <cell r="F682" t="str">
            <v>SP-Corporate IG Other</v>
          </cell>
          <cell r="G682" t="str">
            <v>SP-Spread Corporate</v>
          </cell>
          <cell r="H682" t="str">
            <v>SPREADS</v>
          </cell>
          <cell r="I682" t="str">
            <v>Corporate IG Other - Maturity</v>
          </cell>
        </row>
        <row r="683">
          <cell r="A683" t="str">
            <v>GBP_CORP_IG_10_V3</v>
          </cell>
          <cell r="B683" t="str">
            <v>UK Maturity 10</v>
          </cell>
          <cell r="C683" t="str">
            <v>BRS_GOLD__5_SPREADS:BRS_GOLD__4_CORP:BRS_GOLD__3_CSIG:CORP40_IG_UK:CORP40_IG_UK_MAT_V3:GBP_CORP_IG_10_V3</v>
          </cell>
          <cell r="D683" t="str">
            <v>Spread Duration</v>
          </cell>
          <cell r="E683" t="str">
            <v>Spread Yield (DxS)</v>
          </cell>
          <cell r="F683" t="str">
            <v>SP-Corporate IG Other</v>
          </cell>
          <cell r="G683" t="str">
            <v>SP-Spread Corporate</v>
          </cell>
          <cell r="H683" t="str">
            <v>SPREADS</v>
          </cell>
          <cell r="I683" t="str">
            <v>Corporate IG Other - Maturity</v>
          </cell>
        </row>
        <row r="684">
          <cell r="A684" t="str">
            <v>GBP_CORP_IG_20_V3</v>
          </cell>
          <cell r="B684" t="str">
            <v>UK Maturity 20</v>
          </cell>
          <cell r="C684" t="str">
            <v>BRS_GOLD__5_SPREADS:BRS_GOLD__4_CORP:BRS_GOLD__3_CSIG:CORP40_IG_UK:CORP40_IG_UK_MAT_V3:GBP_CORP_IG_20_V3</v>
          </cell>
          <cell r="D684" t="str">
            <v>Spread Duration</v>
          </cell>
          <cell r="E684" t="str">
            <v>Spread Yield (DxS)</v>
          </cell>
          <cell r="F684" t="str">
            <v>SP-Corporate IG Other</v>
          </cell>
          <cell r="G684" t="str">
            <v>SP-Spread Corporate</v>
          </cell>
          <cell r="H684" t="str">
            <v>SPREADS</v>
          </cell>
          <cell r="I684" t="str">
            <v>Corporate IG Other - Maturity</v>
          </cell>
        </row>
        <row r="685">
          <cell r="A685" t="str">
            <v>GBP_CORP_IG_2_V3</v>
          </cell>
          <cell r="B685" t="str">
            <v>UK Maturity 2</v>
          </cell>
          <cell r="C685" t="str">
            <v>BRS_GOLD__5_SPREADS:BRS_GOLD__4_CORP:BRS_GOLD__3_CSIG:CORP40_IG_UK:CORP40_IG_UK_MAT_V3:GBP_CORP_IG_2_V3</v>
          </cell>
          <cell r="D685" t="str">
            <v>Spread Duration</v>
          </cell>
          <cell r="E685" t="str">
            <v>Spread Yield (DxS)</v>
          </cell>
          <cell r="F685" t="str">
            <v>SP-Corporate IG Other</v>
          </cell>
          <cell r="G685" t="str">
            <v>SP-Spread Corporate</v>
          </cell>
          <cell r="H685" t="str">
            <v>SPREADS</v>
          </cell>
          <cell r="I685" t="str">
            <v>Corporate IG Other - Maturity</v>
          </cell>
        </row>
        <row r="686">
          <cell r="A686" t="str">
            <v>GBP_AUTO_IG</v>
          </cell>
          <cell r="B686" t="str">
            <v>UK Auto</v>
          </cell>
          <cell r="C686" t="str">
            <v>BRS_GOLD__5_SPREADS:BRS_GOLD__4_CORP:BRS_GOLD__3_CSIG:CORP40_IG_UK:CORP40_IG_UK_IND:GBP_AUTO_IG</v>
          </cell>
          <cell r="D686" t="str">
            <v>Spread Duration</v>
          </cell>
          <cell r="E686" t="str">
            <v>Spread Yield (DxS)</v>
          </cell>
          <cell r="F686" t="str">
            <v>SP-Corporate IG Other</v>
          </cell>
          <cell r="G686" t="str">
            <v>SP-Spread Corporate</v>
          </cell>
          <cell r="H686" t="str">
            <v>SPREADS</v>
          </cell>
          <cell r="I686" t="str">
            <v>Corporate IG Other - Industry</v>
          </cell>
        </row>
        <row r="687">
          <cell r="A687" t="str">
            <v>GBP_BANKBROK_IG</v>
          </cell>
          <cell r="B687" t="str">
            <v>UK Banking</v>
          </cell>
          <cell r="C687" t="str">
            <v>BRS_GOLD__5_SPREADS:BRS_GOLD__4_CORP:BRS_GOLD__3_CSIG:CORP40_IG_UK:CORP40_IG_UK_IND:GBP_BANKBROK_IG</v>
          </cell>
          <cell r="D687" t="str">
            <v>Spread Duration</v>
          </cell>
          <cell r="E687" t="str">
            <v>Spread Yield (DxS)</v>
          </cell>
          <cell r="F687" t="str">
            <v>SP-Corporate IG Other</v>
          </cell>
          <cell r="G687" t="str">
            <v>SP-Spread Corporate</v>
          </cell>
          <cell r="H687" t="str">
            <v>SPREADS</v>
          </cell>
          <cell r="I687" t="str">
            <v>Corporate IG Other - Industry</v>
          </cell>
        </row>
        <row r="688">
          <cell r="A688" t="str">
            <v>GBP_BASIC_IG</v>
          </cell>
          <cell r="B688" t="str">
            <v>UK Basic</v>
          </cell>
          <cell r="C688" t="str">
            <v>BRS_GOLD__5_SPREADS:BRS_GOLD__4_CORP:BRS_GOLD__3_CSIG:CORP40_IG_UK:CORP40_IG_UK_IND:GBP_BASIC_IG</v>
          </cell>
          <cell r="D688" t="str">
            <v>Spread Duration</v>
          </cell>
          <cell r="E688" t="str">
            <v>Spread Yield (DxS)</v>
          </cell>
          <cell r="F688" t="str">
            <v>SP-Corporate IG Other</v>
          </cell>
          <cell r="G688" t="str">
            <v>SP-Spread Corporate</v>
          </cell>
          <cell r="H688" t="str">
            <v>SPREADS</v>
          </cell>
          <cell r="I688" t="str">
            <v>Corporate IG Other - Industry</v>
          </cell>
        </row>
        <row r="689">
          <cell r="A689" t="str">
            <v>GBP_CAPG_IG</v>
          </cell>
          <cell r="B689" t="str">
            <v>UK Cap Goods</v>
          </cell>
          <cell r="C689" t="str">
            <v>BRS_GOLD__5_SPREADS:BRS_GOLD__4_CORP:BRS_GOLD__3_CSIG:CORP40_IG_UK:CORP40_IG_UK_IND:GBP_CAPG_IG</v>
          </cell>
          <cell r="D689" t="str">
            <v>Spread Duration</v>
          </cell>
          <cell r="E689" t="str">
            <v>Spread Yield (DxS)</v>
          </cell>
          <cell r="F689" t="str">
            <v>SP-Corporate IG Other</v>
          </cell>
          <cell r="G689" t="str">
            <v>SP-Spread Corporate</v>
          </cell>
          <cell r="H689" t="str">
            <v>SPREADS</v>
          </cell>
          <cell r="I689" t="str">
            <v>Corporate IG Other - Industry</v>
          </cell>
        </row>
        <row r="690">
          <cell r="A690" t="str">
            <v>GBP_CYCLICAL_IG</v>
          </cell>
          <cell r="B690" t="str">
            <v>UK Cyclical</v>
          </cell>
          <cell r="C690" t="str">
            <v>BRS_GOLD__5_SPREADS:BRS_GOLD__4_CORP:BRS_GOLD__3_CSIG:CORP40_IG_UK:CORP40_IG_UK_IND:GBP_CYCLICAL_IG</v>
          </cell>
          <cell r="D690" t="str">
            <v>Spread Duration</v>
          </cell>
          <cell r="E690" t="str">
            <v>Spread Yield (DxS)</v>
          </cell>
          <cell r="F690" t="str">
            <v>SP-Corporate IG Other</v>
          </cell>
          <cell r="G690" t="str">
            <v>SP-Spread Corporate</v>
          </cell>
          <cell r="H690" t="str">
            <v>SPREADS</v>
          </cell>
          <cell r="I690" t="str">
            <v>Corporate IG Other - Industry</v>
          </cell>
        </row>
        <row r="691">
          <cell r="A691" t="str">
            <v>GBP_ENERGY_IG</v>
          </cell>
          <cell r="B691" t="str">
            <v>UK Energy</v>
          </cell>
          <cell r="C691" t="str">
            <v>BRS_GOLD__5_SPREADS:BRS_GOLD__4_CORP:BRS_GOLD__3_CSIG:CORP40_IG_UK:CORP40_IG_UK_IND:GBP_ENERGY_IG</v>
          </cell>
          <cell r="D691" t="str">
            <v>Spread Duration</v>
          </cell>
          <cell r="E691" t="str">
            <v>Spread Yield (DxS)</v>
          </cell>
          <cell r="F691" t="str">
            <v>SP-Corporate IG Other</v>
          </cell>
          <cell r="G691" t="str">
            <v>SP-Spread Corporate</v>
          </cell>
          <cell r="H691" t="str">
            <v>SPREADS</v>
          </cell>
          <cell r="I691" t="str">
            <v>Corporate IG Other - Industry</v>
          </cell>
        </row>
        <row r="692">
          <cell r="A692" t="str">
            <v>GBP_INSURANCE_IG</v>
          </cell>
          <cell r="B692" t="str">
            <v>UK Insurance</v>
          </cell>
          <cell r="C692" t="str">
            <v>BRS_GOLD__5_SPREADS:BRS_GOLD__4_CORP:BRS_GOLD__3_CSIG:CORP40_IG_UK:CORP40_IG_UK_IND:GBP_INSURANCE_IG</v>
          </cell>
          <cell r="D692" t="str">
            <v>Spread Duration</v>
          </cell>
          <cell r="E692" t="str">
            <v>Spread Yield (DxS)</v>
          </cell>
          <cell r="F692" t="str">
            <v>SP-Corporate IG Other</v>
          </cell>
          <cell r="G692" t="str">
            <v>SP-Spread Corporate</v>
          </cell>
          <cell r="H692" t="str">
            <v>SPREADS</v>
          </cell>
          <cell r="I692" t="str">
            <v>Corporate IG Other - Industry</v>
          </cell>
        </row>
        <row r="693">
          <cell r="A693" t="str">
            <v>GBP_NONCYCLICAL_IG</v>
          </cell>
          <cell r="B693" t="str">
            <v>UK Noncyclical</v>
          </cell>
          <cell r="C693" t="str">
            <v>BRS_GOLD__5_SPREADS:BRS_GOLD__4_CORP:BRS_GOLD__3_CSIG:CORP40_IG_UK:CORP40_IG_UK_IND:GBP_NONCYCLICAL_IG</v>
          </cell>
          <cell r="D693" t="str">
            <v>Spread Duration</v>
          </cell>
          <cell r="E693" t="str">
            <v>Spread Yield (DxS)</v>
          </cell>
          <cell r="F693" t="str">
            <v>SP-Corporate IG Other</v>
          </cell>
          <cell r="G693" t="str">
            <v>SP-Spread Corporate</v>
          </cell>
          <cell r="H693" t="str">
            <v>SPREADS</v>
          </cell>
          <cell r="I693" t="str">
            <v>Corporate IG Other - Industry</v>
          </cell>
        </row>
        <row r="694">
          <cell r="A694" t="str">
            <v>GBP_OTHERFIN_IG</v>
          </cell>
          <cell r="B694" t="str">
            <v>UK Fin Other</v>
          </cell>
          <cell r="C694" t="str">
            <v>BRS_GOLD__5_SPREADS:BRS_GOLD__4_CORP:BRS_GOLD__3_CSIG:CORP40_IG_UK:CORP40_IG_UK_IND:GBP_OTHERFIN_IG</v>
          </cell>
          <cell r="D694" t="str">
            <v>Spread Duration</v>
          </cell>
          <cell r="E694" t="str">
            <v>Spread Yield (DxS)</v>
          </cell>
          <cell r="F694" t="str">
            <v>SP-Corporate IG Other</v>
          </cell>
          <cell r="G694" t="str">
            <v>SP-Spread Corporate</v>
          </cell>
          <cell r="H694" t="str">
            <v>SPREADS</v>
          </cell>
          <cell r="I694" t="str">
            <v>Corporate IG Other - Industry</v>
          </cell>
        </row>
        <row r="695">
          <cell r="A695" t="str">
            <v>GBP_OTHERIND_IG</v>
          </cell>
          <cell r="B695" t="str">
            <v>UK Ind Other</v>
          </cell>
          <cell r="C695" t="str">
            <v>BRS_GOLD__5_SPREADS:BRS_GOLD__4_CORP:BRS_GOLD__3_CSIG:CORP40_IG_UK:CORP40_IG_UK_IND:GBP_OTHERIND_IG</v>
          </cell>
          <cell r="D695" t="str">
            <v>Spread Duration</v>
          </cell>
          <cell r="E695" t="str">
            <v>Spread Yield (DxS)</v>
          </cell>
          <cell r="F695" t="str">
            <v>SP-Corporate IG Other</v>
          </cell>
          <cell r="G695" t="str">
            <v>SP-Spread Corporate</v>
          </cell>
          <cell r="H695" t="str">
            <v>SPREADS</v>
          </cell>
          <cell r="I695" t="str">
            <v>Corporate IG Other - Industry</v>
          </cell>
        </row>
        <row r="696">
          <cell r="A696" t="str">
            <v>GBP_TECHCOMM_IG</v>
          </cell>
          <cell r="B696" t="str">
            <v>UK Tech Comm</v>
          </cell>
          <cell r="C696" t="str">
            <v>BRS_GOLD__5_SPREADS:BRS_GOLD__4_CORP:BRS_GOLD__3_CSIG:CORP40_IG_UK:CORP40_IG_UK_IND:GBP_TECHCOMM_IG</v>
          </cell>
          <cell r="D696" t="str">
            <v>Spread Duration</v>
          </cell>
          <cell r="E696" t="str">
            <v>Spread Yield (DxS)</v>
          </cell>
          <cell r="F696" t="str">
            <v>SP-Corporate IG Other</v>
          </cell>
          <cell r="G696" t="str">
            <v>SP-Spread Corporate</v>
          </cell>
          <cell r="H696" t="str">
            <v>SPREADS</v>
          </cell>
          <cell r="I696" t="str">
            <v>Corporate IG Other - Industry</v>
          </cell>
        </row>
        <row r="697">
          <cell r="A697" t="str">
            <v>GBP_TRANSPORT_IG</v>
          </cell>
          <cell r="B697" t="str">
            <v>UK Transport</v>
          </cell>
          <cell r="C697" t="str">
            <v>BRS_GOLD__5_SPREADS:BRS_GOLD__4_CORP:BRS_GOLD__3_CSIG:CORP40_IG_UK:CORP40_IG_UK_IND:GBP_TRANSPORT_IG</v>
          </cell>
          <cell r="D697" t="str">
            <v>Spread Duration</v>
          </cell>
          <cell r="E697" t="str">
            <v>Spread Yield (DxS)</v>
          </cell>
          <cell r="F697" t="str">
            <v>SP-Corporate IG Other</v>
          </cell>
          <cell r="G697" t="str">
            <v>SP-Spread Corporate</v>
          </cell>
          <cell r="H697" t="str">
            <v>SPREADS</v>
          </cell>
          <cell r="I697" t="str">
            <v>Corporate IG Other - Industry</v>
          </cell>
        </row>
        <row r="698">
          <cell r="A698" t="str">
            <v>GBP_UTILITY_IG</v>
          </cell>
          <cell r="B698" t="str">
            <v>UK Utility</v>
          </cell>
          <cell r="C698" t="str">
            <v>BRS_GOLD__5_SPREADS:BRS_GOLD__4_CORP:BRS_GOLD__3_CSIG:CORP40_IG_UK:CORP40_IG_UK_IND:GBP_UTILITY_IG</v>
          </cell>
          <cell r="D698" t="str">
            <v>Spread Duration</v>
          </cell>
          <cell r="E698" t="str">
            <v>Spread Yield (DxS)</v>
          </cell>
          <cell r="F698" t="str">
            <v>SP-Corporate IG Other</v>
          </cell>
          <cell r="G698" t="str">
            <v>SP-Spread Corporate</v>
          </cell>
          <cell r="H698" t="str">
            <v>SPREADS</v>
          </cell>
          <cell r="I698" t="str">
            <v>Corporate IG Other - Industry</v>
          </cell>
        </row>
        <row r="699">
          <cell r="A699" t="str">
            <v>GBP_AUTO_IG_V3</v>
          </cell>
          <cell r="B699" t="str">
            <v>UK Auto</v>
          </cell>
          <cell r="C699" t="str">
            <v>BRS_GOLD__5_SPREADS:BRS_GOLD__4_CORP:BRS_GOLD__3_CSIG:CORP40_IG_UK:CORP40_IG_UK_IND_V3:GBP_AUTO_IG_V3</v>
          </cell>
          <cell r="D699" t="str">
            <v>Spread Duration</v>
          </cell>
          <cell r="E699" t="str">
            <v>Spread Yield (DxS)</v>
          </cell>
          <cell r="F699" t="str">
            <v>SP-Corporate IG Other</v>
          </cell>
          <cell r="G699" t="str">
            <v>SP-Spread Corporate</v>
          </cell>
          <cell r="H699" t="str">
            <v>SPREADS</v>
          </cell>
          <cell r="I699" t="str">
            <v>Corporate IG Other - Industry</v>
          </cell>
        </row>
        <row r="700">
          <cell r="A700" t="str">
            <v>GBP_BANKBROK_IG_V3</v>
          </cell>
          <cell r="B700" t="str">
            <v>UK Banking</v>
          </cell>
          <cell r="C700" t="str">
            <v>BRS_GOLD__5_SPREADS:BRS_GOLD__4_CORP:BRS_GOLD__3_CSIG:CORP40_IG_UK:CORP40_IG_UK_IND_V3:GBP_BANKBROK_IG_V3</v>
          </cell>
          <cell r="D700" t="str">
            <v>Spread Duration</v>
          </cell>
          <cell r="E700" t="str">
            <v>Spread Yield (DxS)</v>
          </cell>
          <cell r="F700" t="str">
            <v>SP-Corporate IG Other</v>
          </cell>
          <cell r="G700" t="str">
            <v>SP-Spread Corporate</v>
          </cell>
          <cell r="H700" t="str">
            <v>SPREADS</v>
          </cell>
          <cell r="I700" t="str">
            <v>Corporate IG Other - Industry</v>
          </cell>
        </row>
        <row r="701">
          <cell r="A701" t="str">
            <v>GBP_BASIC_IG_V3</v>
          </cell>
          <cell r="B701" t="str">
            <v>UK Basic</v>
          </cell>
          <cell r="C701" t="str">
            <v>BRS_GOLD__5_SPREADS:BRS_GOLD__4_CORP:BRS_GOLD__3_CSIG:CORP40_IG_UK:CORP40_IG_UK_IND_V3:GBP_BASIC_IG_V3</v>
          </cell>
          <cell r="D701" t="str">
            <v>Spread Duration</v>
          </cell>
          <cell r="E701" t="str">
            <v>Spread Yield (DxS)</v>
          </cell>
          <cell r="F701" t="str">
            <v>SP-Corporate IG Other</v>
          </cell>
          <cell r="G701" t="str">
            <v>SP-Spread Corporate</v>
          </cell>
          <cell r="H701" t="str">
            <v>SPREADS</v>
          </cell>
          <cell r="I701" t="str">
            <v>Corporate IG Other - Industry</v>
          </cell>
        </row>
        <row r="702">
          <cell r="A702" t="str">
            <v>GBP_CAPG_IG_V3</v>
          </cell>
          <cell r="B702" t="str">
            <v>UK Cap Goods</v>
          </cell>
          <cell r="C702" t="str">
            <v>BRS_GOLD__5_SPREADS:BRS_GOLD__4_CORP:BRS_GOLD__3_CSIG:CORP40_IG_UK:CORP40_IG_UK_IND_V3:GBP_CAPG_IG_V3</v>
          </cell>
          <cell r="D702" t="str">
            <v>Spread Duration</v>
          </cell>
          <cell r="E702" t="str">
            <v>Spread Yield (DxS)</v>
          </cell>
          <cell r="F702" t="str">
            <v>SP-Corporate IG Other</v>
          </cell>
          <cell r="G702" t="str">
            <v>SP-Spread Corporate</v>
          </cell>
          <cell r="H702" t="str">
            <v>SPREADS</v>
          </cell>
          <cell r="I702" t="str">
            <v>Corporate IG Other - Industry</v>
          </cell>
        </row>
        <row r="703">
          <cell r="A703" t="str">
            <v>GBP_CYCLICAL_IG_V3</v>
          </cell>
          <cell r="B703" t="str">
            <v>UK Cyclical</v>
          </cell>
          <cell r="C703" t="str">
            <v>BRS_GOLD__5_SPREADS:BRS_GOLD__4_CORP:BRS_GOLD__3_CSIG:CORP40_IG_UK:CORP40_IG_UK_IND_V3:GBP_CYCLICAL_IG_V3</v>
          </cell>
          <cell r="D703" t="str">
            <v>Spread Duration</v>
          </cell>
          <cell r="E703" t="str">
            <v>Spread Yield (DxS)</v>
          </cell>
          <cell r="F703" t="str">
            <v>SP-Corporate IG Other</v>
          </cell>
          <cell r="G703" t="str">
            <v>SP-Spread Corporate</v>
          </cell>
          <cell r="H703" t="str">
            <v>SPREADS</v>
          </cell>
          <cell r="I703" t="str">
            <v>Corporate IG Other - Industry</v>
          </cell>
        </row>
        <row r="704">
          <cell r="A704" t="str">
            <v>GBP_ENERGY_IG_V3</v>
          </cell>
          <cell r="B704" t="str">
            <v>UK Energy</v>
          </cell>
          <cell r="C704" t="str">
            <v>BRS_GOLD__5_SPREADS:BRS_GOLD__4_CORP:BRS_GOLD__3_CSIG:CORP40_IG_UK:CORP40_IG_UK_IND_V3:GBP_ENERGY_IG_V3</v>
          </cell>
          <cell r="D704" t="str">
            <v>Spread Duration</v>
          </cell>
          <cell r="E704" t="str">
            <v>Spread Yield (DxS)</v>
          </cell>
          <cell r="F704" t="str">
            <v>SP-Corporate IG Other</v>
          </cell>
          <cell r="G704" t="str">
            <v>SP-Spread Corporate</v>
          </cell>
          <cell r="H704" t="str">
            <v>SPREADS</v>
          </cell>
          <cell r="I704" t="str">
            <v>Corporate IG Other - Industry</v>
          </cell>
        </row>
        <row r="705">
          <cell r="A705" t="str">
            <v>GBP_INSURANCE_IG_V3</v>
          </cell>
          <cell r="B705" t="str">
            <v>UK Insurance</v>
          </cell>
          <cell r="C705" t="str">
            <v>BRS_GOLD__5_SPREADS:BRS_GOLD__4_CORP:BRS_GOLD__3_CSIG:CORP40_IG_UK:CORP40_IG_UK_IND_V3:GBP_INSURANCE_IG_V3</v>
          </cell>
          <cell r="D705" t="str">
            <v>Spread Duration</v>
          </cell>
          <cell r="E705" t="str">
            <v>Spread Yield (DxS)</v>
          </cell>
          <cell r="F705" t="str">
            <v>SP-Corporate IG Other</v>
          </cell>
          <cell r="G705" t="str">
            <v>SP-Spread Corporate</v>
          </cell>
          <cell r="H705" t="str">
            <v>SPREADS</v>
          </cell>
          <cell r="I705" t="str">
            <v>Corporate IG Other - Industry</v>
          </cell>
        </row>
        <row r="706">
          <cell r="A706" t="str">
            <v>GBP_NONCYCLICAL_IG_V3</v>
          </cell>
          <cell r="B706" t="str">
            <v>UK Noncyclical</v>
          </cell>
          <cell r="C706" t="str">
            <v>BRS_GOLD__5_SPREADS:BRS_GOLD__4_CORP:BRS_GOLD__3_CSIG:CORP40_IG_UK:CORP40_IG_UK_IND_V3:GBP_NONCYCLICAL_IG_V3</v>
          </cell>
          <cell r="D706" t="str">
            <v>Spread Duration</v>
          </cell>
          <cell r="E706" t="str">
            <v>Spread Yield (DxS)</v>
          </cell>
          <cell r="F706" t="str">
            <v>SP-Corporate IG Other</v>
          </cell>
          <cell r="G706" t="str">
            <v>SP-Spread Corporate</v>
          </cell>
          <cell r="H706" t="str">
            <v>SPREADS</v>
          </cell>
          <cell r="I706" t="str">
            <v>Corporate IG Other - Industry</v>
          </cell>
        </row>
        <row r="707">
          <cell r="A707" t="str">
            <v>GBP_OTHERFIN_IG_V3</v>
          </cell>
          <cell r="B707" t="str">
            <v>UK Fin Other</v>
          </cell>
          <cell r="C707" t="str">
            <v>BRS_GOLD__5_SPREADS:BRS_GOLD__4_CORP:BRS_GOLD__3_CSIG:CORP40_IG_UK:CORP40_IG_UK_IND_V3:GBP_OTHERFIN_IG_V3</v>
          </cell>
          <cell r="D707" t="str">
            <v>Spread Duration</v>
          </cell>
          <cell r="E707" t="str">
            <v>Spread Yield (DxS)</v>
          </cell>
          <cell r="F707" t="str">
            <v>SP-Corporate IG Other</v>
          </cell>
          <cell r="G707" t="str">
            <v>SP-Spread Corporate</v>
          </cell>
          <cell r="H707" t="str">
            <v>SPREADS</v>
          </cell>
          <cell r="I707" t="str">
            <v>Corporate IG Other - Industry</v>
          </cell>
        </row>
        <row r="708">
          <cell r="A708" t="str">
            <v>GBP_OTHERIND_IG_V3</v>
          </cell>
          <cell r="B708" t="str">
            <v>UK Ind Other</v>
          </cell>
          <cell r="C708" t="str">
            <v>BRS_GOLD__5_SPREADS:BRS_GOLD__4_CORP:BRS_GOLD__3_CSIG:CORP40_IG_UK:CORP40_IG_UK_IND_V3:GBP_OTHERIND_IG_V3</v>
          </cell>
          <cell r="D708" t="str">
            <v>Spread Duration</v>
          </cell>
          <cell r="E708" t="str">
            <v>Spread Yield (DxS)</v>
          </cell>
          <cell r="F708" t="str">
            <v>SP-Corporate IG Other</v>
          </cell>
          <cell r="G708" t="str">
            <v>SP-Spread Corporate</v>
          </cell>
          <cell r="H708" t="str">
            <v>SPREADS</v>
          </cell>
          <cell r="I708" t="str">
            <v>Corporate IG Other - Industry</v>
          </cell>
        </row>
        <row r="709">
          <cell r="A709" t="str">
            <v>GBP_TECHCOMM_IG_V3</v>
          </cell>
          <cell r="B709" t="str">
            <v>UK Tech Comm</v>
          </cell>
          <cell r="C709" t="str">
            <v>BRS_GOLD__5_SPREADS:BRS_GOLD__4_CORP:BRS_GOLD__3_CSIG:CORP40_IG_UK:CORP40_IG_UK_IND_V3:GBP_TECHCOMM_IG_V3</v>
          </cell>
          <cell r="D709" t="str">
            <v>Spread Duration</v>
          </cell>
          <cell r="E709" t="str">
            <v>Spread Yield (DxS)</v>
          </cell>
          <cell r="F709" t="str">
            <v>SP-Corporate IG Other</v>
          </cell>
          <cell r="G709" t="str">
            <v>SP-Spread Corporate</v>
          </cell>
          <cell r="H709" t="str">
            <v>SPREADS</v>
          </cell>
          <cell r="I709" t="str">
            <v>Corporate IG Other - Industry</v>
          </cell>
        </row>
        <row r="710">
          <cell r="A710" t="str">
            <v>GBP_TRANSPORT_IG_V3</v>
          </cell>
          <cell r="B710" t="str">
            <v>UK Transport</v>
          </cell>
          <cell r="C710" t="str">
            <v>BRS_GOLD__5_SPREADS:BRS_GOLD__4_CORP:BRS_GOLD__3_CSIG:CORP40_IG_UK:CORP40_IG_UK_IND_V3:GBP_TRANSPORT_IG_V3</v>
          </cell>
          <cell r="D710" t="str">
            <v>Spread Duration</v>
          </cell>
          <cell r="E710" t="str">
            <v>Spread Yield (DxS)</v>
          </cell>
          <cell r="F710" t="str">
            <v>SP-Corporate IG Other</v>
          </cell>
          <cell r="G710" t="str">
            <v>SP-Spread Corporate</v>
          </cell>
          <cell r="H710" t="str">
            <v>SPREADS</v>
          </cell>
          <cell r="I710" t="str">
            <v>Corporate IG Other - Industry</v>
          </cell>
        </row>
        <row r="711">
          <cell r="A711" t="str">
            <v>GBP_UTILITY_IG_V3</v>
          </cell>
          <cell r="B711" t="str">
            <v>UK Utility</v>
          </cell>
          <cell r="C711" t="str">
            <v>BRS_GOLD__5_SPREADS:BRS_GOLD__4_CORP:BRS_GOLD__3_CSIG:CORP40_IG_UK:CORP40_IG_UK_IND_V3:GBP_UTILITY_IG_V3</v>
          </cell>
          <cell r="D711" t="str">
            <v>Spread Duration</v>
          </cell>
          <cell r="E711" t="str">
            <v>Spread Yield (DxS)</v>
          </cell>
          <cell r="F711" t="str">
            <v>SP-Corporate IG Other</v>
          </cell>
          <cell r="G711" t="str">
            <v>SP-Spread Corporate</v>
          </cell>
          <cell r="H711" t="str">
            <v>SPREADS</v>
          </cell>
          <cell r="I711" t="str">
            <v>Corporate IG Other - Industry</v>
          </cell>
        </row>
        <row r="712">
          <cell r="A712" t="str">
            <v>GBP_CORP_SUB_IG</v>
          </cell>
          <cell r="B712" t="str">
            <v>UK Capital Security</v>
          </cell>
          <cell r="C712" t="str">
            <v>BRS_GOLD__5_SPREADS:BRS_GOLD__4_CORP:BRS_GOLD__3_CSIG:CORP40_IG_UK:CORP40_IG_UK_ATT:GBP_CORP_SUB_IG</v>
          </cell>
          <cell r="D712" t="str">
            <v>Spread Duration</v>
          </cell>
          <cell r="E712" t="str">
            <v>Spread Yield (DxS)</v>
          </cell>
          <cell r="F712" t="str">
            <v>SP-Corporate IG Other</v>
          </cell>
          <cell r="G712" t="str">
            <v>SP-Spread Corporate</v>
          </cell>
          <cell r="H712" t="str">
            <v>SPREADS</v>
          </cell>
          <cell r="I712" t="str">
            <v>Corporate IG Other - Seniority</v>
          </cell>
        </row>
        <row r="713">
          <cell r="A713" t="str">
            <v>GBP_CORP_YANK_IG</v>
          </cell>
          <cell r="B713" t="str">
            <v>UK Non Domestic</v>
          </cell>
          <cell r="C713" t="str">
            <v>BRS_GOLD__5_SPREADS:BRS_GOLD__4_CORP:BRS_GOLD__3_CSIG:CORP40_IG_UK:CORP40_IG_UK_ATT:GBP_CORP_YANK_IG</v>
          </cell>
          <cell r="D713" t="str">
            <v>Spread Duration</v>
          </cell>
          <cell r="E713" t="str">
            <v>Spread Yield (DxS)</v>
          </cell>
          <cell r="F713" t="str">
            <v>SP-Corporate IG Other</v>
          </cell>
          <cell r="G713" t="str">
            <v>SP-Spread Corporate</v>
          </cell>
          <cell r="H713" t="str">
            <v>SPREADS</v>
          </cell>
          <cell r="I713" t="str">
            <v>Corporate IG Other - Yankee</v>
          </cell>
        </row>
        <row r="714">
          <cell r="A714" t="str">
            <v>GBP_CORP_SUB_IG_V3</v>
          </cell>
          <cell r="B714" t="str">
            <v>UK Capital Security</v>
          </cell>
          <cell r="C714" t="str">
            <v>BRS_GOLD__5_SPREADS:BRS_GOLD__4_CORP:BRS_GOLD__3_CSIG:CORP40_IG_UK:CORP40_IG_UK_ATT_V3:GBP_CORP_SUB_IG_V3</v>
          </cell>
          <cell r="D714" t="str">
            <v>Spread Duration</v>
          </cell>
          <cell r="E714" t="str">
            <v>Spread Yield (DxS)</v>
          </cell>
          <cell r="F714" t="str">
            <v>SP-Corporate IG Other</v>
          </cell>
          <cell r="G714" t="str">
            <v>SP-Spread Corporate</v>
          </cell>
          <cell r="H714" t="str">
            <v>SPREADS</v>
          </cell>
          <cell r="I714" t="str">
            <v>Corporate IG Other - Seniority</v>
          </cell>
        </row>
        <row r="715">
          <cell r="A715" t="str">
            <v>GBP_CORP_YANK_IG_V3</v>
          </cell>
          <cell r="B715" t="str">
            <v>UK Non Domestic</v>
          </cell>
          <cell r="C715" t="str">
            <v>BRS_GOLD__5_SPREADS:BRS_GOLD__4_CORP:BRS_GOLD__3_CSIG:CORP40_IG_UK:CORP40_IG_UK_ATT_V3:GBP_CORP_YANK_IG_V3</v>
          </cell>
          <cell r="D715" t="str">
            <v>Spread Duration</v>
          </cell>
          <cell r="E715" t="str">
            <v>Spread Yield (DxS)</v>
          </cell>
          <cell r="F715" t="str">
            <v>SP-Corporate IG Other</v>
          </cell>
          <cell r="G715" t="str">
            <v>SP-Spread Corporate</v>
          </cell>
          <cell r="H715" t="str">
            <v>SPREADS</v>
          </cell>
          <cell r="I715" t="str">
            <v>Corporate IG Other - Yankee</v>
          </cell>
        </row>
        <row r="716">
          <cell r="A716" t="str">
            <v>CAD_CORP_IG_2</v>
          </cell>
          <cell r="B716" t="str">
            <v>CA Mat 2</v>
          </cell>
          <cell r="C716" t="str">
            <v>BRS_GOLD__5_SPREADS:BRS_GOLD__4_CORP:BRS_GOLD__3_CSIG:CORP_CA:CORP_CA_MAT:CAD_CORP_IG_2</v>
          </cell>
          <cell r="D716" t="str">
            <v>Spread Duration</v>
          </cell>
          <cell r="E716" t="str">
            <v>Spread Yield (DxS)</v>
          </cell>
          <cell r="F716" t="str">
            <v>SP-Corporate IG Other</v>
          </cell>
          <cell r="G716" t="str">
            <v>SP-Spread Corporate</v>
          </cell>
          <cell r="H716" t="str">
            <v>SPREADS</v>
          </cell>
          <cell r="I716" t="str">
            <v>Corporate IG Other - Maturity</v>
          </cell>
        </row>
        <row r="717">
          <cell r="A717" t="str">
            <v>CAD_CORP_IG_10</v>
          </cell>
          <cell r="B717" t="str">
            <v>CA Mat 10</v>
          </cell>
          <cell r="C717" t="str">
            <v>BRS_GOLD__5_SPREADS:BRS_GOLD__4_CORP:BRS_GOLD__3_CSIG:CORP_CA:CORP_CA_MAT:CAD_CORP_IG_10</v>
          </cell>
          <cell r="D717" t="str">
            <v>Spread Duration</v>
          </cell>
          <cell r="E717" t="str">
            <v>Spread Yield (DxS)</v>
          </cell>
          <cell r="F717" t="str">
            <v>SP-Corporate IG Other</v>
          </cell>
          <cell r="G717" t="str">
            <v>SP-Spread Corporate</v>
          </cell>
          <cell r="H717" t="str">
            <v>SPREADS</v>
          </cell>
          <cell r="I717" t="str">
            <v>Corporate IG Other - Maturity</v>
          </cell>
        </row>
        <row r="718">
          <cell r="A718" t="str">
            <v>CAD_BANKBROK_IG</v>
          </cell>
          <cell r="B718" t="str">
            <v>CA Banking</v>
          </cell>
          <cell r="C718" t="str">
            <v>BRS_GOLD__5_SPREADS:BRS_GOLD__4_CORP:BRS_GOLD__3_CSIG:CORP_CA:CORP_CA_IND:CAD_BANKBROK_IG</v>
          </cell>
          <cell r="D718" t="str">
            <v>Spread Duration</v>
          </cell>
          <cell r="E718" t="str">
            <v>Spread Yield (DxS)</v>
          </cell>
          <cell r="F718" t="str">
            <v>SP-Corporate IG Other</v>
          </cell>
          <cell r="G718" t="str">
            <v>SP-Spread Corporate</v>
          </cell>
          <cell r="H718" t="str">
            <v>SPREADS</v>
          </cell>
          <cell r="I718" t="str">
            <v>Corporate IG Other - Industry</v>
          </cell>
        </row>
        <row r="719">
          <cell r="A719" t="str">
            <v>CAD_CONSUMER_IG</v>
          </cell>
          <cell r="B719" t="str">
            <v>CA Consumer</v>
          </cell>
          <cell r="C719" t="str">
            <v>BRS_GOLD__5_SPREADS:BRS_GOLD__4_CORP:BRS_GOLD__3_CSIG:CORP_CA:CORP_CA_IND:CAD_CONSUMER_IG</v>
          </cell>
          <cell r="D719" t="str">
            <v>Spread Duration</v>
          </cell>
          <cell r="E719" t="str">
            <v>Spread Yield (DxS)</v>
          </cell>
          <cell r="F719" t="str">
            <v>SP-Corporate IG Other</v>
          </cell>
          <cell r="G719" t="str">
            <v>SP-Spread Corporate</v>
          </cell>
          <cell r="H719" t="str">
            <v>SPREADS</v>
          </cell>
          <cell r="I719" t="str">
            <v>Corporate IG Other - Industry</v>
          </cell>
        </row>
        <row r="720">
          <cell r="A720" t="str">
            <v>CAD_CYCLICAL_IG</v>
          </cell>
          <cell r="B720" t="str">
            <v>CA Cyclical</v>
          </cell>
          <cell r="C720" t="str">
            <v>BRS_GOLD__5_SPREADS:BRS_GOLD__4_CORP:BRS_GOLD__3_CSIG:CORP_CA:CORP_CA_IND:CAD_CYCLICAL_IG</v>
          </cell>
          <cell r="D720" t="str">
            <v>Spread Duration</v>
          </cell>
          <cell r="E720" t="str">
            <v>Spread Yield (DxS)</v>
          </cell>
          <cell r="F720" t="str">
            <v>SP-Corporate IG Other</v>
          </cell>
          <cell r="G720" t="str">
            <v>SP-Spread Corporate</v>
          </cell>
          <cell r="H720" t="str">
            <v>SPREADS</v>
          </cell>
          <cell r="I720" t="str">
            <v>Corporate IG Other - Industry</v>
          </cell>
        </row>
        <row r="721">
          <cell r="A721" t="str">
            <v>CAD_ENERGY_IG</v>
          </cell>
          <cell r="B721" t="str">
            <v>CA Energy</v>
          </cell>
          <cell r="C721" t="str">
            <v>BRS_GOLD__5_SPREADS:BRS_GOLD__4_CORP:BRS_GOLD__3_CSIG:CORP_CA:CORP_CA_IND:CAD_ENERGY_IG</v>
          </cell>
          <cell r="D721" t="str">
            <v>Spread Duration</v>
          </cell>
          <cell r="E721" t="str">
            <v>Spread Yield (DxS)</v>
          </cell>
          <cell r="F721" t="str">
            <v>SP-Corporate IG Other</v>
          </cell>
          <cell r="G721" t="str">
            <v>SP-Spread Corporate</v>
          </cell>
          <cell r="H721" t="str">
            <v>SPREADS</v>
          </cell>
          <cell r="I721" t="str">
            <v>Corporate IG Other - Industry</v>
          </cell>
        </row>
        <row r="722">
          <cell r="A722" t="str">
            <v>CAD_INFRASTRUCTURE_IG</v>
          </cell>
          <cell r="B722" t="str">
            <v>CA Infrastructure</v>
          </cell>
          <cell r="C722" t="str">
            <v>BRS_GOLD__5_SPREADS:BRS_GOLD__4_CORP:BRS_GOLD__3_CSIG:CORP_CA:CORP_CA_IND:CAD_INFRASTRUCTURE_IG</v>
          </cell>
          <cell r="D722" t="str">
            <v>Spread Duration</v>
          </cell>
          <cell r="E722" t="str">
            <v>Spread Yield (DxS)</v>
          </cell>
          <cell r="F722" t="str">
            <v>SP-Corporate IG Other</v>
          </cell>
          <cell r="G722" t="str">
            <v>SP-Spread Corporate</v>
          </cell>
          <cell r="H722" t="str">
            <v>SPREADS</v>
          </cell>
          <cell r="I722" t="str">
            <v>Corporate IG Other - Industry</v>
          </cell>
        </row>
        <row r="723">
          <cell r="A723" t="str">
            <v>CAD_INSURANCE_IG</v>
          </cell>
          <cell r="B723" t="str">
            <v>CA Insurance</v>
          </cell>
          <cell r="C723" t="str">
            <v>BRS_GOLD__5_SPREADS:BRS_GOLD__4_CORP:BRS_GOLD__3_CSIG:CORP_CA:CORP_CA_IND:CAD_INSURANCE_IG</v>
          </cell>
          <cell r="D723" t="str">
            <v>Spread Duration</v>
          </cell>
          <cell r="E723" t="str">
            <v>Spread Yield (DxS)</v>
          </cell>
          <cell r="F723" t="str">
            <v>SP-Corporate IG Other</v>
          </cell>
          <cell r="G723" t="str">
            <v>SP-Spread Corporate</v>
          </cell>
          <cell r="H723" t="str">
            <v>SPREADS</v>
          </cell>
          <cell r="I723" t="str">
            <v>Corporate IG Other - Industry</v>
          </cell>
        </row>
        <row r="724">
          <cell r="A724" t="str">
            <v>CAD_OTHERFIN_IG</v>
          </cell>
          <cell r="B724" t="str">
            <v>CA Other Financial</v>
          </cell>
          <cell r="C724" t="str">
            <v>BRS_GOLD__5_SPREADS:BRS_GOLD__4_CORP:BRS_GOLD__3_CSIG:CORP_CA:CORP_CA_IND:CAD_OTHERFIN_IG</v>
          </cell>
          <cell r="D724" t="str">
            <v>Spread Duration</v>
          </cell>
          <cell r="E724" t="str">
            <v>Spread Yield (DxS)</v>
          </cell>
          <cell r="F724" t="str">
            <v>SP-Corporate IG Other</v>
          </cell>
          <cell r="G724" t="str">
            <v>SP-Spread Corporate</v>
          </cell>
          <cell r="H724" t="str">
            <v>SPREADS</v>
          </cell>
          <cell r="I724" t="str">
            <v>Corporate IG Other - Industry</v>
          </cell>
        </row>
        <row r="725">
          <cell r="A725" t="str">
            <v>CAD_OTHERIND_IG</v>
          </cell>
          <cell r="B725" t="str">
            <v>CA Other Ind</v>
          </cell>
          <cell r="C725" t="str">
            <v>BRS_GOLD__5_SPREADS:BRS_GOLD__4_CORP:BRS_GOLD__3_CSIG:CORP_CA:CORP_CA_IND:CAD_OTHERIND_IG</v>
          </cell>
          <cell r="D725" t="str">
            <v>Spread Duration</v>
          </cell>
          <cell r="E725" t="str">
            <v>Spread Yield (DxS)</v>
          </cell>
          <cell r="F725" t="str">
            <v>SP-Corporate IG Other</v>
          </cell>
          <cell r="G725" t="str">
            <v>SP-Spread Corporate</v>
          </cell>
          <cell r="H725" t="str">
            <v>SPREADS</v>
          </cell>
          <cell r="I725" t="str">
            <v>Corporate IG Other - Industry</v>
          </cell>
        </row>
        <row r="726">
          <cell r="A726" t="str">
            <v>CAD_REALESTATE_IG</v>
          </cell>
          <cell r="B726" t="str">
            <v>CA Real Estate</v>
          </cell>
          <cell r="C726" t="str">
            <v>BRS_GOLD__5_SPREADS:BRS_GOLD__4_CORP:BRS_GOLD__3_CSIG:CORP_CA:CORP_CA_IND:CAD_REALESTATE_IG</v>
          </cell>
          <cell r="D726" t="str">
            <v>Spread Duration</v>
          </cell>
          <cell r="E726" t="str">
            <v>Spread Yield (DxS)</v>
          </cell>
          <cell r="F726" t="str">
            <v>SP-Corporate IG Other</v>
          </cell>
          <cell r="G726" t="str">
            <v>SP-Spread Corporate</v>
          </cell>
          <cell r="H726" t="str">
            <v>SPREADS</v>
          </cell>
          <cell r="I726" t="str">
            <v>Corporate IG Other - Industry</v>
          </cell>
        </row>
        <row r="727">
          <cell r="A727" t="str">
            <v>CAD_SECURITIZED_IG</v>
          </cell>
          <cell r="B727" t="str">
            <v>CA Securitized</v>
          </cell>
          <cell r="C727" t="str">
            <v>BRS_GOLD__5_SPREADS:BRS_GOLD__4_CORP:BRS_GOLD__3_CSIG:CORP_CA:CORP_CA_IND:CAD_SECURITIZED_IG</v>
          </cell>
          <cell r="D727" t="str">
            <v>Spread Duration</v>
          </cell>
          <cell r="E727" t="str">
            <v>Spread Yield (DxS)</v>
          </cell>
          <cell r="F727" t="str">
            <v>SP-Corporate IG Other</v>
          </cell>
          <cell r="G727" t="str">
            <v>SP-Spread Corporate</v>
          </cell>
          <cell r="H727" t="str">
            <v>SPREADS</v>
          </cell>
          <cell r="I727" t="str">
            <v>Corporate IG Other - Industry</v>
          </cell>
        </row>
        <row r="728">
          <cell r="A728" t="str">
            <v>CAD_TELECOM_IG</v>
          </cell>
          <cell r="B728" t="str">
            <v>CA Communication</v>
          </cell>
          <cell r="C728" t="str">
            <v>BRS_GOLD__5_SPREADS:BRS_GOLD__4_CORP:BRS_GOLD__3_CSIG:CORP_CA:CORP_CA_IND:CAD_TELECOM_IG</v>
          </cell>
          <cell r="D728" t="str">
            <v>Spread Duration</v>
          </cell>
          <cell r="E728" t="str">
            <v>Spread Yield (DxS)</v>
          </cell>
          <cell r="F728" t="str">
            <v>SP-Corporate IG Other</v>
          </cell>
          <cell r="G728" t="str">
            <v>SP-Spread Corporate</v>
          </cell>
          <cell r="H728" t="str">
            <v>SPREADS</v>
          </cell>
          <cell r="I728" t="str">
            <v>Corporate IG Other - Industry</v>
          </cell>
        </row>
        <row r="729">
          <cell r="A729" t="str">
            <v>CAD_UTILITY_IG</v>
          </cell>
          <cell r="B729" t="str">
            <v>CA Utility</v>
          </cell>
          <cell r="C729" t="str">
            <v>BRS_GOLD__5_SPREADS:BRS_GOLD__4_CORP:BRS_GOLD__3_CSIG:CORP_CA:CORP_CA_IND:CAD_UTILITY_IG</v>
          </cell>
          <cell r="D729" t="str">
            <v>Spread Duration</v>
          </cell>
          <cell r="E729" t="str">
            <v>Spread Yield (DxS)</v>
          </cell>
          <cell r="F729" t="str">
            <v>SP-Corporate IG Other</v>
          </cell>
          <cell r="G729" t="str">
            <v>SP-Spread Corporate</v>
          </cell>
          <cell r="H729" t="str">
            <v>SPREADS</v>
          </cell>
          <cell r="I729" t="str">
            <v>Corporate IG Other - Industry</v>
          </cell>
        </row>
        <row r="730">
          <cell r="A730" t="str">
            <v>JPY_CORP_AGG_2Y</v>
          </cell>
          <cell r="B730" t="str">
            <v>JP Maturity 2</v>
          </cell>
          <cell r="C730" t="str">
            <v>BRS_GOLD__5_SPREADS:BRS_GOLD__4_CORP:BRS_GOLD__3_CSIG:BRS_GOLD__2_CSIG_JPY:CORP33_JP_MAT:JPY_CORP_AGG_2Y</v>
          </cell>
          <cell r="D730" t="str">
            <v>Spread Duration</v>
          </cell>
          <cell r="E730" t="str">
            <v>Spread Yield (DxS)</v>
          </cell>
          <cell r="F730" t="str">
            <v>SP-Corporate IG Other</v>
          </cell>
          <cell r="G730" t="str">
            <v>SP-Spread Corporate</v>
          </cell>
          <cell r="H730" t="str">
            <v>SPREADS</v>
          </cell>
          <cell r="I730" t="str">
            <v>Corporate IG Other - Maturity</v>
          </cell>
        </row>
        <row r="731">
          <cell r="A731" t="str">
            <v>JPY_CORP_AGG_5Y</v>
          </cell>
          <cell r="B731" t="str">
            <v>JP Maturity 5</v>
          </cell>
          <cell r="C731" t="str">
            <v>BRS_GOLD__5_SPREADS:BRS_GOLD__4_CORP:BRS_GOLD__3_CSIG:BRS_GOLD__2_CSIG_JPY:CORP33_JP_MAT:JPY_CORP_AGG_5Y</v>
          </cell>
          <cell r="D731" t="str">
            <v>Spread Duration</v>
          </cell>
          <cell r="E731" t="str">
            <v>Spread Yield (DxS)</v>
          </cell>
          <cell r="F731" t="str">
            <v>SP-Corporate IG Other</v>
          </cell>
          <cell r="G731" t="str">
            <v>SP-Spread Corporate</v>
          </cell>
          <cell r="H731" t="str">
            <v>SPREADS</v>
          </cell>
          <cell r="I731" t="str">
            <v>Corporate IG Other - Maturity</v>
          </cell>
        </row>
        <row r="732">
          <cell r="A732" t="str">
            <v>JPY_CORP_AGG_10Y</v>
          </cell>
          <cell r="B732" t="str">
            <v>JP Maturity 10</v>
          </cell>
          <cell r="C732" t="str">
            <v>BRS_GOLD__5_SPREADS:BRS_GOLD__4_CORP:BRS_GOLD__3_CSIG:BRS_GOLD__2_CSIG_JPY:CORP33_JP_MAT:JPY_CORP_AGG_10Y</v>
          </cell>
          <cell r="D732" t="str">
            <v>Spread Duration</v>
          </cell>
          <cell r="E732" t="str">
            <v>Spread Yield (DxS)</v>
          </cell>
          <cell r="F732" t="str">
            <v>SP-Corporate IG Other</v>
          </cell>
          <cell r="G732" t="str">
            <v>SP-Spread Corporate</v>
          </cell>
          <cell r="H732" t="str">
            <v>SPREADS</v>
          </cell>
          <cell r="I732" t="str">
            <v>Corporate IG Other - Maturity</v>
          </cell>
        </row>
        <row r="733">
          <cell r="A733" t="str">
            <v>JPY_CORP_AGG_20Y</v>
          </cell>
          <cell r="B733" t="str">
            <v>JP Maturity 20</v>
          </cell>
          <cell r="C733" t="str">
            <v>BRS_GOLD__5_SPREADS:BRS_GOLD__4_CORP:BRS_GOLD__3_CSIG:BRS_GOLD__2_CSIG_JPY:CORP33_JP_MAT:JPY_CORP_AGG_20Y</v>
          </cell>
          <cell r="D733" t="str">
            <v>Spread Duration</v>
          </cell>
          <cell r="E733" t="str">
            <v>Spread Yield (DxS)</v>
          </cell>
          <cell r="F733" t="str">
            <v>SP-Corporate IG Other</v>
          </cell>
          <cell r="G733" t="str">
            <v>SP-Spread Corporate</v>
          </cell>
          <cell r="H733" t="str">
            <v>SPREADS</v>
          </cell>
          <cell r="I733" t="str">
            <v>Corporate IG Other - Maturity</v>
          </cell>
        </row>
        <row r="734">
          <cell r="A734" t="str">
            <v>JPY_FINANCIAL_SUPER_IG</v>
          </cell>
          <cell r="B734" t="str">
            <v>JP Fin SIG</v>
          </cell>
          <cell r="C734" t="str">
            <v>BRS_GOLD__5_SPREADS:BRS_GOLD__4_CORP:BRS_GOLD__3_CSIG:BRS_GOLD__2_CSIG_JPY:CORP33_JP_IND_SIG:JPY_FINANCIAL_SUPER_IG</v>
          </cell>
          <cell r="D734" t="str">
            <v>Spread Duration</v>
          </cell>
          <cell r="E734" t="str">
            <v>Spread Yield (DxS)</v>
          </cell>
          <cell r="F734" t="str">
            <v>SP-Corporate IG Other</v>
          </cell>
          <cell r="G734" t="str">
            <v>SP-Spread Corporate</v>
          </cell>
          <cell r="H734" t="str">
            <v>SPREADS</v>
          </cell>
          <cell r="I734" t="str">
            <v>Corporate IG Other - Industry</v>
          </cell>
        </row>
        <row r="735">
          <cell r="A735" t="str">
            <v>JPY_INDUSTRIAL_SUPER_IG</v>
          </cell>
          <cell r="B735" t="str">
            <v>JP Ind SIG</v>
          </cell>
          <cell r="C735" t="str">
            <v>BRS_GOLD__5_SPREADS:BRS_GOLD__4_CORP:BRS_GOLD__3_CSIG:BRS_GOLD__2_CSIG_JPY:CORP33_JP_IND_SIG:JPY_INDUSTRIAL_SUPER_IG</v>
          </cell>
          <cell r="D735" t="str">
            <v>Spread Duration</v>
          </cell>
          <cell r="E735" t="str">
            <v>Spread Yield (DxS)</v>
          </cell>
          <cell r="F735" t="str">
            <v>SP-Corporate IG Other</v>
          </cell>
          <cell r="G735" t="str">
            <v>SP-Spread Corporate</v>
          </cell>
          <cell r="H735" t="str">
            <v>SPREADS</v>
          </cell>
          <cell r="I735" t="str">
            <v>Corporate IG Other - Industry</v>
          </cell>
        </row>
        <row r="736">
          <cell r="A736" t="str">
            <v>JPY_UTILENER_SUPER_IG</v>
          </cell>
          <cell r="B736" t="str">
            <v>JP Util Ene SIG</v>
          </cell>
          <cell r="C736" t="str">
            <v>BRS_GOLD__5_SPREADS:BRS_GOLD__4_CORP:BRS_GOLD__3_CSIG:BRS_GOLD__2_CSIG_JPY:CORP33_JP_IND_SIG:JPY_UTILENER_SUPER_IG</v>
          </cell>
          <cell r="D736" t="str">
            <v>Spread Duration</v>
          </cell>
          <cell r="E736" t="str">
            <v>Spread Yield (DxS)</v>
          </cell>
          <cell r="F736" t="str">
            <v>SP-Corporate IG Other</v>
          </cell>
          <cell r="G736" t="str">
            <v>SP-Spread Corporate</v>
          </cell>
          <cell r="H736" t="str">
            <v>SPREADS</v>
          </cell>
          <cell r="I736" t="str">
            <v>Corporate IG Other - Industry</v>
          </cell>
        </row>
        <row r="737">
          <cell r="A737" t="str">
            <v>JPY_COMMTECH_IG</v>
          </cell>
          <cell r="B737" t="str">
            <v>JP Com Tec IG</v>
          </cell>
          <cell r="C737" t="str">
            <v>BRS_GOLD__5_SPREADS:BRS_GOLD__4_CORP:BRS_GOLD__3_CSIG:BRS_GOLD__2_CSIG_JPY:CORP33_JP_IND_IG:JPY_COMMTECH_IG</v>
          </cell>
          <cell r="D737" t="str">
            <v>Spread Duration</v>
          </cell>
          <cell r="E737" t="str">
            <v>Spread Yield (DxS)</v>
          </cell>
          <cell r="F737" t="str">
            <v>SP-Corporate IG Other</v>
          </cell>
          <cell r="G737" t="str">
            <v>SP-Spread Corporate</v>
          </cell>
          <cell r="H737" t="str">
            <v>SPREADS</v>
          </cell>
          <cell r="I737" t="str">
            <v>Corporate IG Other - Industry</v>
          </cell>
        </row>
        <row r="738">
          <cell r="A738" t="str">
            <v>JPY_CONSCYC_IG</v>
          </cell>
          <cell r="B738" t="str">
            <v>JP Cycl IG</v>
          </cell>
          <cell r="C738" t="str">
            <v>BRS_GOLD__5_SPREADS:BRS_GOLD__4_CORP:BRS_GOLD__3_CSIG:BRS_GOLD__2_CSIG_JPY:CORP33_JP_IND_IG:JPY_CONSCYC_IG</v>
          </cell>
          <cell r="D738" t="str">
            <v>Spread Duration</v>
          </cell>
          <cell r="E738" t="str">
            <v>Spread Yield (DxS)</v>
          </cell>
          <cell r="F738" t="str">
            <v>SP-Corporate IG Other</v>
          </cell>
          <cell r="G738" t="str">
            <v>SP-Spread Corporate</v>
          </cell>
          <cell r="H738" t="str">
            <v>SPREADS</v>
          </cell>
          <cell r="I738" t="str">
            <v>Corporate IG Other - Industry</v>
          </cell>
        </row>
        <row r="739">
          <cell r="A739" t="str">
            <v>JPY_CONSSTA_IG</v>
          </cell>
          <cell r="B739" t="str">
            <v>JP Non Cyc IG</v>
          </cell>
          <cell r="C739" t="str">
            <v>BRS_GOLD__5_SPREADS:BRS_GOLD__4_CORP:BRS_GOLD__3_CSIG:BRS_GOLD__2_CSIG_JPY:CORP33_JP_IND_IG:JPY_CONSSTA_IG</v>
          </cell>
          <cell r="D739" t="str">
            <v>Spread Duration</v>
          </cell>
          <cell r="E739" t="str">
            <v>Spread Yield (DxS)</v>
          </cell>
          <cell r="F739" t="str">
            <v>SP-Corporate IG Other</v>
          </cell>
          <cell r="G739" t="str">
            <v>SP-Spread Corporate</v>
          </cell>
          <cell r="H739" t="str">
            <v>SPREADS</v>
          </cell>
          <cell r="I739" t="str">
            <v>Corporate IG Other - Industry</v>
          </cell>
        </row>
        <row r="740">
          <cell r="A740" t="str">
            <v>JPY_DIVERS_IG</v>
          </cell>
          <cell r="B740" t="str">
            <v>JP Ind Misc IG</v>
          </cell>
          <cell r="C740" t="str">
            <v>BRS_GOLD__5_SPREADS:BRS_GOLD__4_CORP:BRS_GOLD__3_CSIG:BRS_GOLD__2_CSIG_JPY:CORP33_JP_IND_IG:JPY_DIVERS_IG</v>
          </cell>
          <cell r="D740" t="str">
            <v>Spread Duration</v>
          </cell>
          <cell r="E740" t="str">
            <v>Spread Yield (DxS)</v>
          </cell>
          <cell r="F740" t="str">
            <v>SP-Corporate IG Other</v>
          </cell>
          <cell r="G740" t="str">
            <v>SP-Spread Corporate</v>
          </cell>
          <cell r="H740" t="str">
            <v>SPREADS</v>
          </cell>
          <cell r="I740" t="str">
            <v>Corporate IG Other - Industry</v>
          </cell>
        </row>
        <row r="741">
          <cell r="A741" t="str">
            <v>JPY_FINANCIAL_IG</v>
          </cell>
          <cell r="B741" t="str">
            <v>JP Finance IG</v>
          </cell>
          <cell r="C741" t="str">
            <v>BRS_GOLD__5_SPREADS:BRS_GOLD__4_CORP:BRS_GOLD__3_CSIG:BRS_GOLD__2_CSIG_JPY:CORP33_JP_IND_IG:JPY_FINANCIAL_IG</v>
          </cell>
          <cell r="D741" t="str">
            <v>Spread Duration</v>
          </cell>
          <cell r="E741" t="str">
            <v>Spread Yield (DxS)</v>
          </cell>
          <cell r="F741" t="str">
            <v>SP-Corporate IG Other</v>
          </cell>
          <cell r="G741" t="str">
            <v>SP-Spread Corporate</v>
          </cell>
          <cell r="H741" t="str">
            <v>SPREADS</v>
          </cell>
          <cell r="I741" t="str">
            <v>Corporate IG Other - Industry</v>
          </cell>
        </row>
        <row r="742">
          <cell r="A742" t="str">
            <v>JPY_GOVERNMENT_IG</v>
          </cell>
          <cell r="B742" t="str">
            <v>JP Govt IG</v>
          </cell>
          <cell r="C742" t="str">
            <v>BRS_GOLD__5_SPREADS:BRS_GOLD__4_CORP:BRS_GOLD__3_CSIG:BRS_GOLD__2_CSIG_JPY:CORP33_JP_IND_IG:JPY_GOVERNMENT_IG</v>
          </cell>
          <cell r="D742" t="str">
            <v>Spread Duration</v>
          </cell>
          <cell r="E742" t="str">
            <v>Spread Yield (DxS)</v>
          </cell>
          <cell r="F742" t="str">
            <v>SP-Corporate IG Other</v>
          </cell>
          <cell r="G742" t="str">
            <v>SP-Spread Corporate</v>
          </cell>
          <cell r="H742" t="str">
            <v>SPREADS</v>
          </cell>
          <cell r="I742" t="str">
            <v>Corporate IG Other - Industry</v>
          </cell>
        </row>
        <row r="743">
          <cell r="A743" t="str">
            <v>JPY_INDUSTRIAL_IG</v>
          </cell>
          <cell r="B743" t="str">
            <v>JP Ind IG</v>
          </cell>
          <cell r="C743" t="str">
            <v>BRS_GOLD__5_SPREADS:BRS_GOLD__4_CORP:BRS_GOLD__3_CSIG:BRS_GOLD__2_CSIG_JPY:CORP33_JP_IND_IG:JPY_INDUSTRIAL_IG</v>
          </cell>
          <cell r="D743" t="str">
            <v>Spread Duration</v>
          </cell>
          <cell r="E743" t="str">
            <v>Spread Yield (DxS)</v>
          </cell>
          <cell r="F743" t="str">
            <v>SP-Corporate IG Other</v>
          </cell>
          <cell r="G743" t="str">
            <v>SP-Spread Corporate</v>
          </cell>
          <cell r="H743" t="str">
            <v>SPREADS</v>
          </cell>
          <cell r="I743" t="str">
            <v>Corporate IG Other - Industry</v>
          </cell>
        </row>
        <row r="744">
          <cell r="A744" t="str">
            <v>JPY_MATERIALS_IG</v>
          </cell>
          <cell r="B744" t="str">
            <v>JP Basic IG</v>
          </cell>
          <cell r="C744" t="str">
            <v>BRS_GOLD__5_SPREADS:BRS_GOLD__4_CORP:BRS_GOLD__3_CSIG:BRS_GOLD__2_CSIG_JPY:CORP33_JP_IND_IG:JPY_MATERIALS_IG</v>
          </cell>
          <cell r="D744" t="str">
            <v>Spread Duration</v>
          </cell>
          <cell r="E744" t="str">
            <v>Spread Yield (DxS)</v>
          </cell>
          <cell r="F744" t="str">
            <v>SP-Corporate IG Other</v>
          </cell>
          <cell r="G744" t="str">
            <v>SP-Spread Corporate</v>
          </cell>
          <cell r="H744" t="str">
            <v>SPREADS</v>
          </cell>
          <cell r="I744" t="str">
            <v>Corporate IG Other - Industry</v>
          </cell>
        </row>
        <row r="745">
          <cell r="A745" t="str">
            <v>JPY_UTILENER_IG</v>
          </cell>
          <cell r="B745" t="str">
            <v>JP Util Ene IG</v>
          </cell>
          <cell r="C745" t="str">
            <v>BRS_GOLD__5_SPREADS:BRS_GOLD__4_CORP:BRS_GOLD__3_CSIG:BRS_GOLD__2_CSIG_JPY:CORP33_JP_IND_IG:JPY_UTILENER_IG</v>
          </cell>
          <cell r="D745" t="str">
            <v>Spread Duration</v>
          </cell>
          <cell r="E745" t="str">
            <v>Spread Yield (DxS)</v>
          </cell>
          <cell r="F745" t="str">
            <v>SP-Corporate IG Other</v>
          </cell>
          <cell r="G745" t="str">
            <v>SP-Spread Corporate</v>
          </cell>
          <cell r="H745" t="str">
            <v>SPREADS</v>
          </cell>
          <cell r="I745" t="str">
            <v>Corporate IG Other - Industry</v>
          </cell>
        </row>
        <row r="746">
          <cell r="A746" t="str">
            <v>ALL_CORP_AGG_2Y</v>
          </cell>
          <cell r="B746" t="str">
            <v>Non$ Maturity 2</v>
          </cell>
          <cell r="C746" t="str">
            <v>BRS_GOLD__5_SPREADS:BRS_GOLD__4_CORP:BRS_GOLD__3_CSIG:BRS_GOLD__2_CSIG_OTHER:CORP33_MAT_OTHER:ALL_CORP_AGG_2Y</v>
          </cell>
          <cell r="D746" t="str">
            <v>Spread Duration</v>
          </cell>
          <cell r="E746" t="str">
            <v>Spread Yield (DxS)</v>
          </cell>
          <cell r="F746" t="str">
            <v>SP-Corporate IG Other</v>
          </cell>
          <cell r="G746" t="str">
            <v>SP-Spread Corporate</v>
          </cell>
          <cell r="H746" t="str">
            <v>SPREADS</v>
          </cell>
          <cell r="I746" t="str">
            <v>Corporate IG Other - Maturity</v>
          </cell>
        </row>
        <row r="747">
          <cell r="A747" t="str">
            <v>ALL_CORP_AGG_5Y</v>
          </cell>
          <cell r="B747" t="str">
            <v>Non$ Maturity 5</v>
          </cell>
          <cell r="C747" t="str">
            <v>BRS_GOLD__5_SPREADS:BRS_GOLD__4_CORP:BRS_GOLD__3_CSIG:BRS_GOLD__2_CSIG_OTHER:CORP33_MAT_OTHER:ALL_CORP_AGG_5Y</v>
          </cell>
          <cell r="D747" t="str">
            <v>Spread Duration</v>
          </cell>
          <cell r="E747" t="str">
            <v>Spread Yield (DxS)</v>
          </cell>
          <cell r="F747" t="str">
            <v>SP-Corporate IG Other</v>
          </cell>
          <cell r="G747" t="str">
            <v>SP-Spread Corporate</v>
          </cell>
          <cell r="H747" t="str">
            <v>SPREADS</v>
          </cell>
          <cell r="I747" t="str">
            <v>Corporate IG Other - Maturity</v>
          </cell>
        </row>
        <row r="748">
          <cell r="A748" t="str">
            <v>ALL_CORP_AGG_10Y</v>
          </cell>
          <cell r="B748" t="str">
            <v>Non$ Maturity 10</v>
          </cell>
          <cell r="C748" t="str">
            <v>BRS_GOLD__5_SPREADS:BRS_GOLD__4_CORP:BRS_GOLD__3_CSIG:BRS_GOLD__2_CSIG_OTHER:CORP33_MAT_OTHER:ALL_CORP_AGG_10Y</v>
          </cell>
          <cell r="D748" t="str">
            <v>Spread Duration</v>
          </cell>
          <cell r="E748" t="str">
            <v>Spread Yield (DxS)</v>
          </cell>
          <cell r="F748" t="str">
            <v>SP-Corporate IG Other</v>
          </cell>
          <cell r="G748" t="str">
            <v>SP-Spread Corporate</v>
          </cell>
          <cell r="H748" t="str">
            <v>SPREADS</v>
          </cell>
          <cell r="I748" t="str">
            <v>Corporate IG Other - Maturity</v>
          </cell>
        </row>
        <row r="749">
          <cell r="A749" t="str">
            <v>ALL_CORP_AGG_20Y</v>
          </cell>
          <cell r="B749" t="str">
            <v>Non$ Maturity 20</v>
          </cell>
          <cell r="C749" t="str">
            <v>BRS_GOLD__5_SPREADS:BRS_GOLD__4_CORP:BRS_GOLD__3_CSIG:BRS_GOLD__2_CSIG_OTHER:CORP33_MAT_OTHER:ALL_CORP_AGG_20Y</v>
          </cell>
          <cell r="D749" t="str">
            <v>Spread Duration</v>
          </cell>
          <cell r="E749" t="str">
            <v>Spread Yield (DxS)</v>
          </cell>
          <cell r="F749" t="str">
            <v>SP-Corporate IG Other</v>
          </cell>
          <cell r="G749" t="str">
            <v>SP-Spread Corporate</v>
          </cell>
          <cell r="H749" t="str">
            <v>SPREADS</v>
          </cell>
          <cell r="I749" t="str">
            <v>Corporate IG Other - Maturity</v>
          </cell>
        </row>
        <row r="750">
          <cell r="A750" t="str">
            <v>ALL_FINANCE_SUPER_IG</v>
          </cell>
          <cell r="B750" t="str">
            <v>Non$ Finance AA</v>
          </cell>
          <cell r="C750" t="str">
            <v>BRS_GOLD__5_SPREADS:BRS_GOLD__4_CORP:BRS_GOLD__3_CSIG:BRS_GOLD__2_CSIG_OTHER:CORP33_IND_SIG_OTHER:ALL_FINANCE_SUPER_IG</v>
          </cell>
          <cell r="D750" t="str">
            <v>Spread Duration</v>
          </cell>
          <cell r="E750" t="str">
            <v>Spread Yield (DxS)</v>
          </cell>
          <cell r="F750" t="str">
            <v>SP-Corporate IG Other</v>
          </cell>
          <cell r="G750" t="str">
            <v>SP-Spread Corporate</v>
          </cell>
          <cell r="H750" t="str">
            <v>SPREADS</v>
          </cell>
          <cell r="I750" t="str">
            <v>Corporate IG Other - Industry</v>
          </cell>
        </row>
        <row r="751">
          <cell r="A751" t="str">
            <v>ALL_FINANCE_OTH_SUPER_IG</v>
          </cell>
          <cell r="B751" t="str">
            <v>Non$ Fin Oth AA</v>
          </cell>
          <cell r="C751" t="str">
            <v>BRS_GOLD__5_SPREADS:BRS_GOLD__4_CORP:BRS_GOLD__3_CSIG:BRS_GOLD__2_CSIG_OTHER:CORP33_IND_SIG_OTHER:ALL_FINANCE_OTH_SUPER_IG</v>
          </cell>
          <cell r="D751" t="str">
            <v>Spread Duration</v>
          </cell>
          <cell r="E751" t="str">
            <v>Spread Yield (DxS)</v>
          </cell>
          <cell r="F751" t="str">
            <v>SP-Corporate IG Other</v>
          </cell>
          <cell r="G751" t="str">
            <v>SP-Spread Corporate</v>
          </cell>
          <cell r="H751" t="str">
            <v>SPREADS</v>
          </cell>
          <cell r="I751" t="str">
            <v>Corporate IG Other - Industry</v>
          </cell>
        </row>
        <row r="752">
          <cell r="A752" t="str">
            <v>ALL_INDUSTRIAL_SUPER_IG</v>
          </cell>
          <cell r="B752" t="str">
            <v>Non$ Ind AA</v>
          </cell>
          <cell r="C752" t="str">
            <v>BRS_GOLD__5_SPREADS:BRS_GOLD__4_CORP:BRS_GOLD__3_CSIG:BRS_GOLD__2_CSIG_OTHER:CORP33_IND_SIG_OTHER:ALL_INDUSTRIAL_SUPER_IG</v>
          </cell>
          <cell r="D752" t="str">
            <v>Spread Duration</v>
          </cell>
          <cell r="E752" t="str">
            <v>Spread Yield (DxS)</v>
          </cell>
          <cell r="F752" t="str">
            <v>SP-Corporate IG Other</v>
          </cell>
          <cell r="G752" t="str">
            <v>SP-Spread Corporate</v>
          </cell>
          <cell r="H752" t="str">
            <v>SPREADS</v>
          </cell>
          <cell r="I752" t="str">
            <v>Corporate IG Other - Industry</v>
          </cell>
        </row>
        <row r="753">
          <cell r="A753" t="str">
            <v>ALL_UTILITY_SUPER_IG</v>
          </cell>
          <cell r="B753" t="str">
            <v>Non$ Util AA</v>
          </cell>
          <cell r="C753" t="str">
            <v>BRS_GOLD__5_SPREADS:BRS_GOLD__4_CORP:BRS_GOLD__3_CSIG:BRS_GOLD__2_CSIG_OTHER:CORP33_IND_SIG_OTHER:ALL_UTILITY_SUPER_IG</v>
          </cell>
          <cell r="D753" t="str">
            <v>Spread Duration</v>
          </cell>
          <cell r="E753" t="str">
            <v>Spread Yield (DxS)</v>
          </cell>
          <cell r="F753" t="str">
            <v>SP-Corporate IG Other</v>
          </cell>
          <cell r="G753" t="str">
            <v>SP-Spread Corporate</v>
          </cell>
          <cell r="H753" t="str">
            <v>SPREADS</v>
          </cell>
          <cell r="I753" t="str">
            <v>Corporate IG Other - Industry</v>
          </cell>
        </row>
        <row r="754">
          <cell r="A754" t="str">
            <v>ALL_AUTO_IG</v>
          </cell>
          <cell r="B754" t="str">
            <v>Non$ Auto IG</v>
          </cell>
          <cell r="C754" t="str">
            <v>BRS_GOLD__5_SPREADS:BRS_GOLD__4_CORP:BRS_GOLD__3_CSIG:BRS_GOLD__2_CSIG_OTHER:CORP33_IND_IG_OTHER:ALL_AUTO_IG</v>
          </cell>
          <cell r="D754" t="str">
            <v>Spread Duration</v>
          </cell>
          <cell r="E754" t="str">
            <v>Spread Yield (DxS)</v>
          </cell>
          <cell r="F754" t="str">
            <v>SP-Corporate IG Other</v>
          </cell>
          <cell r="G754" t="str">
            <v>SP-Spread Corporate</v>
          </cell>
          <cell r="H754" t="str">
            <v>SPREADS</v>
          </cell>
          <cell r="I754" t="str">
            <v>Corporate IG Other - Industry</v>
          </cell>
        </row>
        <row r="755">
          <cell r="A755" t="str">
            <v>ALL_BANK_IG</v>
          </cell>
          <cell r="B755" t="str">
            <v>Non$ Bank IG</v>
          </cell>
          <cell r="C755" t="str">
            <v>BRS_GOLD__5_SPREADS:BRS_GOLD__4_CORP:BRS_GOLD__3_CSIG:BRS_GOLD__2_CSIG_OTHER:CORP33_IND_IG_OTHER:ALL_BANK_IG</v>
          </cell>
          <cell r="D755" t="str">
            <v>Spread Duration</v>
          </cell>
          <cell r="E755" t="str">
            <v>Spread Yield (DxS)</v>
          </cell>
          <cell r="F755" t="str">
            <v>SP-Corporate IG Other</v>
          </cell>
          <cell r="G755" t="str">
            <v>SP-Spread Corporate</v>
          </cell>
          <cell r="H755" t="str">
            <v>SPREADS</v>
          </cell>
          <cell r="I755" t="str">
            <v>Corporate IG Other - Industry</v>
          </cell>
        </row>
        <row r="756">
          <cell r="A756" t="str">
            <v>ALL_BASIC_IG</v>
          </cell>
          <cell r="B756" t="str">
            <v>Non$ Basic IG</v>
          </cell>
          <cell r="C756" t="str">
            <v>BRS_GOLD__5_SPREADS:BRS_GOLD__4_CORP:BRS_GOLD__3_CSIG:BRS_GOLD__2_CSIG_OTHER:CORP33_IND_IG_OTHER:ALL_BASIC_IG</v>
          </cell>
          <cell r="D756" t="str">
            <v>Spread Duration</v>
          </cell>
          <cell r="E756" t="str">
            <v>Spread Yield (DxS)</v>
          </cell>
          <cell r="F756" t="str">
            <v>SP-Corporate IG Other</v>
          </cell>
          <cell r="G756" t="str">
            <v>SP-Spread Corporate</v>
          </cell>
          <cell r="H756" t="str">
            <v>SPREADS</v>
          </cell>
          <cell r="I756" t="str">
            <v>Corporate IG Other - Industry</v>
          </cell>
        </row>
        <row r="757">
          <cell r="A757" t="str">
            <v>ALL_CAP_GOODS_IG</v>
          </cell>
          <cell r="B757" t="str">
            <v>Non$ Cap Goods IG</v>
          </cell>
          <cell r="C757" t="str">
            <v>BRS_GOLD__5_SPREADS:BRS_GOLD__4_CORP:BRS_GOLD__3_CSIG:BRS_GOLD__2_CSIG_OTHER:CORP33_IND_IG_OTHER:ALL_CAP_GOODS_IG</v>
          </cell>
          <cell r="D757" t="str">
            <v>Spread Duration</v>
          </cell>
          <cell r="E757" t="str">
            <v>Spread Yield (DxS)</v>
          </cell>
          <cell r="F757" t="str">
            <v>SP-Corporate IG Other</v>
          </cell>
          <cell r="G757" t="str">
            <v>SP-Spread Corporate</v>
          </cell>
          <cell r="H757" t="str">
            <v>SPREADS</v>
          </cell>
          <cell r="I757" t="str">
            <v>Corporate IG Other - Industry</v>
          </cell>
        </row>
        <row r="758">
          <cell r="A758" t="str">
            <v>ALL_CYCLICAL_IG</v>
          </cell>
          <cell r="B758" t="str">
            <v>Non$ Cycl IG</v>
          </cell>
          <cell r="C758" t="str">
            <v>BRS_GOLD__5_SPREADS:BRS_GOLD__4_CORP:BRS_GOLD__3_CSIG:BRS_GOLD__2_CSIG_OTHER:CORP33_IND_IG_OTHER:ALL_CYCLICAL_IG</v>
          </cell>
          <cell r="D758" t="str">
            <v>Spread Duration</v>
          </cell>
          <cell r="E758" t="str">
            <v>Spread Yield (DxS)</v>
          </cell>
          <cell r="F758" t="str">
            <v>SP-Corporate IG Other</v>
          </cell>
          <cell r="G758" t="str">
            <v>SP-Spread Corporate</v>
          </cell>
          <cell r="H758" t="str">
            <v>SPREADS</v>
          </cell>
          <cell r="I758" t="str">
            <v>Corporate IG Other - Industry</v>
          </cell>
        </row>
        <row r="759">
          <cell r="A759" t="str">
            <v>ALL_ENERGY_IG</v>
          </cell>
          <cell r="B759" t="str">
            <v>Non$ Energy IG</v>
          </cell>
          <cell r="C759" t="str">
            <v>BRS_GOLD__5_SPREADS:BRS_GOLD__4_CORP:BRS_GOLD__3_CSIG:BRS_GOLD__2_CSIG_OTHER:CORP33_IND_IG_OTHER:ALL_ENERGY_IG</v>
          </cell>
          <cell r="D759" t="str">
            <v>Spread Duration</v>
          </cell>
          <cell r="E759" t="str">
            <v>Spread Yield (DxS)</v>
          </cell>
          <cell r="F759" t="str">
            <v>SP-Corporate IG Other</v>
          </cell>
          <cell r="G759" t="str">
            <v>SP-Spread Corporate</v>
          </cell>
          <cell r="H759" t="str">
            <v>SPREADS</v>
          </cell>
          <cell r="I759" t="str">
            <v>Corporate IG Other - Industry</v>
          </cell>
        </row>
        <row r="760">
          <cell r="A760" t="str">
            <v>ALL_FINANCE_COMPANY_IG</v>
          </cell>
          <cell r="B760" t="str">
            <v>Non$ Fin Com IG</v>
          </cell>
          <cell r="C760" t="str">
            <v>BRS_GOLD__5_SPREADS:BRS_GOLD__4_CORP:BRS_GOLD__3_CSIG:BRS_GOLD__2_CSIG_OTHER:CORP33_IND_IG_OTHER:ALL_FINANCE_COMPANY_IG</v>
          </cell>
          <cell r="D760" t="str">
            <v>Spread Duration</v>
          </cell>
          <cell r="E760" t="str">
            <v>Spread Yield (DxS)</v>
          </cell>
          <cell r="F760" t="str">
            <v>SP-Corporate IG Other</v>
          </cell>
          <cell r="G760" t="str">
            <v>SP-Spread Corporate</v>
          </cell>
          <cell r="H760" t="str">
            <v>SPREADS</v>
          </cell>
          <cell r="I760" t="str">
            <v>Corporate IG Other - Industry</v>
          </cell>
        </row>
        <row r="761">
          <cell r="A761" t="str">
            <v>ALL_FOREIGN_IG</v>
          </cell>
          <cell r="B761" t="str">
            <v>Non$ Foreign IG</v>
          </cell>
          <cell r="C761" t="str">
            <v>BRS_GOLD__5_SPREADS:BRS_GOLD__4_CORP:BRS_GOLD__3_CSIG:BRS_GOLD__2_CSIG_OTHER:CORP33_IND_IG_OTHER:ALL_FOREIGN_IG</v>
          </cell>
          <cell r="D761" t="str">
            <v>Spread Duration</v>
          </cell>
          <cell r="E761" t="str">
            <v>Spread Yield (DxS)</v>
          </cell>
          <cell r="F761" t="str">
            <v>SP-Corporate IG Other</v>
          </cell>
          <cell r="G761" t="str">
            <v>SP-Spread Corporate</v>
          </cell>
          <cell r="H761" t="str">
            <v>SPREADS</v>
          </cell>
          <cell r="I761" t="str">
            <v>Corporate IG Other - Industry</v>
          </cell>
        </row>
        <row r="762">
          <cell r="A762" t="str">
            <v>ALL_HOME_CONSTRUCT_IG</v>
          </cell>
          <cell r="B762" t="str">
            <v>Non$ Home Con IG</v>
          </cell>
          <cell r="C762" t="str">
            <v>BRS_GOLD__5_SPREADS:BRS_GOLD__4_CORP:BRS_GOLD__3_CSIG:BRS_GOLD__2_CSIG_OTHER:CORP33_IND_IG_OTHER:ALL_HOME_CONSTRUCT_IG</v>
          </cell>
          <cell r="D762" t="str">
            <v>Spread Duration</v>
          </cell>
          <cell r="E762" t="str">
            <v>Spread Yield (DxS)</v>
          </cell>
          <cell r="F762" t="str">
            <v>SP-Corporate IG Other</v>
          </cell>
          <cell r="G762" t="str">
            <v>SP-Spread Corporate</v>
          </cell>
          <cell r="H762" t="str">
            <v>SPREADS</v>
          </cell>
          <cell r="I762" t="str">
            <v>Corporate IG Other - Industry</v>
          </cell>
        </row>
        <row r="763">
          <cell r="A763" t="str">
            <v>ALL_INSURANCE_IG</v>
          </cell>
          <cell r="B763" t="str">
            <v>Non$ Insur IG</v>
          </cell>
          <cell r="C763" t="str">
            <v>BRS_GOLD__5_SPREADS:BRS_GOLD__4_CORP:BRS_GOLD__3_CSIG:BRS_GOLD__2_CSIG_OTHER:CORP33_IND_IG_OTHER:ALL_INSURANCE_IG</v>
          </cell>
          <cell r="D763" t="str">
            <v>Spread Duration</v>
          </cell>
          <cell r="E763" t="str">
            <v>Spread Yield (DxS)</v>
          </cell>
          <cell r="F763" t="str">
            <v>SP-Corporate IG Other</v>
          </cell>
          <cell r="G763" t="str">
            <v>SP-Spread Corporate</v>
          </cell>
          <cell r="H763" t="str">
            <v>SPREADS</v>
          </cell>
          <cell r="I763" t="str">
            <v>Corporate IG Other - Industry</v>
          </cell>
        </row>
        <row r="764">
          <cell r="A764" t="str">
            <v>ALL_MEDIA_CBL_IG</v>
          </cell>
          <cell r="B764" t="str">
            <v>Non$ Cable IG</v>
          </cell>
          <cell r="C764" t="str">
            <v>BRS_GOLD__5_SPREADS:BRS_GOLD__4_CORP:BRS_GOLD__3_CSIG:BRS_GOLD__2_CSIG_OTHER:CORP33_IND_IG_OTHER:ALL_MEDIA_CBL_IG</v>
          </cell>
          <cell r="D764" t="str">
            <v>Spread Duration</v>
          </cell>
          <cell r="E764" t="str">
            <v>Spread Yield (DxS)</v>
          </cell>
          <cell r="F764" t="str">
            <v>SP-Corporate IG Other</v>
          </cell>
          <cell r="G764" t="str">
            <v>SP-Spread Corporate</v>
          </cell>
          <cell r="H764" t="str">
            <v>SPREADS</v>
          </cell>
          <cell r="I764" t="str">
            <v>Corporate IG Other - Industry</v>
          </cell>
        </row>
        <row r="765">
          <cell r="A765" t="str">
            <v>ALL_MEDIA_NON_CBL_IG</v>
          </cell>
          <cell r="B765" t="str">
            <v>Non$ Non Cbl IG</v>
          </cell>
          <cell r="C765" t="str">
            <v>BRS_GOLD__5_SPREADS:BRS_GOLD__4_CORP:BRS_GOLD__3_CSIG:BRS_GOLD__2_CSIG_OTHER:CORP33_IND_IG_OTHER:ALL_MEDIA_NON_CBL_IG</v>
          </cell>
          <cell r="D765" t="str">
            <v>Spread Duration</v>
          </cell>
          <cell r="E765" t="str">
            <v>Spread Yield (DxS)</v>
          </cell>
          <cell r="F765" t="str">
            <v>SP-Corporate IG Other</v>
          </cell>
          <cell r="G765" t="str">
            <v>SP-Spread Corporate</v>
          </cell>
          <cell r="H765" t="str">
            <v>SPREADS</v>
          </cell>
          <cell r="I765" t="str">
            <v>Corporate IG Other - Industry</v>
          </cell>
        </row>
        <row r="766">
          <cell r="A766" t="str">
            <v>ALL_NON_CYCLICAL_IG</v>
          </cell>
          <cell r="B766" t="str">
            <v>Non$ Non Cyc IG</v>
          </cell>
          <cell r="C766" t="str">
            <v>BRS_GOLD__5_SPREADS:BRS_GOLD__4_CORP:BRS_GOLD__3_CSIG:BRS_GOLD__2_CSIG_OTHER:CORP33_IND_IG_OTHER:ALL_NON_CYCLICAL_IG</v>
          </cell>
          <cell r="D766" t="str">
            <v>Spread Duration</v>
          </cell>
          <cell r="E766" t="str">
            <v>Spread Yield (DxS)</v>
          </cell>
          <cell r="F766" t="str">
            <v>SP-Corporate IG Other</v>
          </cell>
          <cell r="G766" t="str">
            <v>SP-Spread Corporate</v>
          </cell>
          <cell r="H766" t="str">
            <v>SPREADS</v>
          </cell>
          <cell r="I766" t="str">
            <v>Corporate IG Other - Industry</v>
          </cell>
        </row>
        <row r="767">
          <cell r="A767" t="str">
            <v>ALL_OTHER_IG</v>
          </cell>
          <cell r="B767" t="str">
            <v>Non$ Other IG</v>
          </cell>
          <cell r="C767" t="str">
            <v>BRS_GOLD__5_SPREADS:BRS_GOLD__4_CORP:BRS_GOLD__3_CSIG:BRS_GOLD__2_CSIG_OTHER:CORP33_IND_IG_OTHER:ALL_OTHER_IG</v>
          </cell>
          <cell r="D767" t="str">
            <v>Spread Duration</v>
          </cell>
          <cell r="E767" t="str">
            <v>Spread Yield (DxS)</v>
          </cell>
          <cell r="F767" t="str">
            <v>SP-Corporate IG Other</v>
          </cell>
          <cell r="G767" t="str">
            <v>SP-Spread Corporate</v>
          </cell>
          <cell r="H767" t="str">
            <v>SPREADS</v>
          </cell>
          <cell r="I767" t="str">
            <v>Corporate IG Other - Industry</v>
          </cell>
        </row>
        <row r="768">
          <cell r="A768" t="str">
            <v>ALL_PAPER_IG</v>
          </cell>
          <cell r="B768" t="str">
            <v>Non$ Paper IG</v>
          </cell>
          <cell r="C768" t="str">
            <v>BRS_GOLD__5_SPREADS:BRS_GOLD__4_CORP:BRS_GOLD__3_CSIG:BRS_GOLD__2_CSIG_OTHER:CORP33_IND_IG_OTHER:ALL_PAPER_IG</v>
          </cell>
          <cell r="D768" t="str">
            <v>Spread Duration</v>
          </cell>
          <cell r="E768" t="str">
            <v>Spread Yield (DxS)</v>
          </cell>
          <cell r="F768" t="str">
            <v>SP-Corporate IG Other</v>
          </cell>
          <cell r="G768" t="str">
            <v>SP-Spread Corporate</v>
          </cell>
          <cell r="H768" t="str">
            <v>SPREADS</v>
          </cell>
          <cell r="I768" t="str">
            <v>Corporate IG Other - Industry</v>
          </cell>
        </row>
        <row r="769">
          <cell r="A769" t="str">
            <v>ALL_PHARMACEUTICAL_IG</v>
          </cell>
          <cell r="B769" t="str">
            <v>Non$ Pharma IG</v>
          </cell>
          <cell r="C769" t="str">
            <v>BRS_GOLD__5_SPREADS:BRS_GOLD__4_CORP:BRS_GOLD__3_CSIG:BRS_GOLD__2_CSIG_OTHER:CORP33_IND_IG_OTHER:ALL_PHARMACEUTICAL_IG</v>
          </cell>
          <cell r="D769" t="str">
            <v>Spread Duration</v>
          </cell>
          <cell r="E769" t="str">
            <v>Spread Yield (DxS)</v>
          </cell>
          <cell r="F769" t="str">
            <v>SP-Corporate IG Other</v>
          </cell>
          <cell r="G769" t="str">
            <v>SP-Spread Corporate</v>
          </cell>
          <cell r="H769" t="str">
            <v>SPREADS</v>
          </cell>
          <cell r="I769" t="str">
            <v>Corporate IG Other - Industry</v>
          </cell>
        </row>
        <row r="770">
          <cell r="A770" t="str">
            <v>ALL_PIPELINES_IG</v>
          </cell>
          <cell r="B770" t="str">
            <v>Non$ Pipe IG</v>
          </cell>
          <cell r="C770" t="str">
            <v>BRS_GOLD__5_SPREADS:BRS_GOLD__4_CORP:BRS_GOLD__3_CSIG:BRS_GOLD__2_CSIG_OTHER:CORP33_IND_IG_OTHER:ALL_PIPELINES_IG</v>
          </cell>
          <cell r="D770" t="str">
            <v>Spread Duration</v>
          </cell>
          <cell r="E770" t="str">
            <v>Spread Yield (DxS)</v>
          </cell>
          <cell r="F770" t="str">
            <v>SP-Corporate IG Other</v>
          </cell>
          <cell r="G770" t="str">
            <v>SP-Spread Corporate</v>
          </cell>
          <cell r="H770" t="str">
            <v>SPREADS</v>
          </cell>
          <cell r="I770" t="str">
            <v>Corporate IG Other - Industry</v>
          </cell>
        </row>
        <row r="771">
          <cell r="A771" t="str">
            <v>ALL_REIT_IG</v>
          </cell>
          <cell r="B771" t="str">
            <v>Non$ Reit IG</v>
          </cell>
          <cell r="C771" t="str">
            <v>BRS_GOLD__5_SPREADS:BRS_GOLD__4_CORP:BRS_GOLD__3_CSIG:BRS_GOLD__2_CSIG_OTHER:CORP33_IND_IG_OTHER:ALL_REIT_IG</v>
          </cell>
          <cell r="D771" t="str">
            <v>Spread Duration</v>
          </cell>
          <cell r="E771" t="str">
            <v>Spread Yield (DxS)</v>
          </cell>
          <cell r="F771" t="str">
            <v>SP-Corporate IG Other</v>
          </cell>
          <cell r="G771" t="str">
            <v>SP-Spread Corporate</v>
          </cell>
          <cell r="H771" t="str">
            <v>SPREADS</v>
          </cell>
          <cell r="I771" t="str">
            <v>Corporate IG Other - Industry</v>
          </cell>
        </row>
        <row r="772">
          <cell r="A772" t="str">
            <v>ALL_TECH_IG</v>
          </cell>
          <cell r="B772" t="str">
            <v>Non$ Tech IG</v>
          </cell>
          <cell r="C772" t="str">
            <v>BRS_GOLD__5_SPREADS:BRS_GOLD__4_CORP:BRS_GOLD__3_CSIG:BRS_GOLD__2_CSIG_OTHER:CORP33_IND_IG_OTHER:ALL_TECH_IG</v>
          </cell>
          <cell r="D772" t="str">
            <v>Spread Duration</v>
          </cell>
          <cell r="E772" t="str">
            <v>Spread Yield (DxS)</v>
          </cell>
          <cell r="F772" t="str">
            <v>SP-Corporate IG Other</v>
          </cell>
          <cell r="G772" t="str">
            <v>SP-Spread Corporate</v>
          </cell>
          <cell r="H772" t="str">
            <v>SPREADS</v>
          </cell>
          <cell r="I772" t="str">
            <v>Corporate IG Other - Industry</v>
          </cell>
        </row>
        <row r="773">
          <cell r="A773" t="str">
            <v>ALL_TELECOM_IG</v>
          </cell>
          <cell r="B773" t="str">
            <v>Non$ Telecom IG</v>
          </cell>
          <cell r="C773" t="str">
            <v>BRS_GOLD__5_SPREADS:BRS_GOLD__4_CORP:BRS_GOLD__3_CSIG:BRS_GOLD__2_CSIG_OTHER:CORP33_IND_IG_OTHER:ALL_TELECOM_IG</v>
          </cell>
          <cell r="D773" t="str">
            <v>Spread Duration</v>
          </cell>
          <cell r="E773" t="str">
            <v>Spread Yield (DxS)</v>
          </cell>
          <cell r="F773" t="str">
            <v>SP-Corporate IG Other</v>
          </cell>
          <cell r="G773" t="str">
            <v>SP-Spread Corporate</v>
          </cell>
          <cell r="H773" t="str">
            <v>SPREADS</v>
          </cell>
          <cell r="I773" t="str">
            <v>Corporate IG Other - Industry</v>
          </cell>
        </row>
        <row r="774">
          <cell r="A774" t="str">
            <v>ALL_TOBACCO_IG</v>
          </cell>
          <cell r="B774" t="str">
            <v>Non$ Tobacco IG</v>
          </cell>
          <cell r="C774" t="str">
            <v>BRS_GOLD__5_SPREADS:BRS_GOLD__4_CORP:BRS_GOLD__3_CSIG:BRS_GOLD__2_CSIG_OTHER:CORP33_IND_IG_OTHER:ALL_TOBACCO_IG</v>
          </cell>
          <cell r="D774" t="str">
            <v>Spread Duration</v>
          </cell>
          <cell r="E774" t="str">
            <v>Spread Yield (DxS)</v>
          </cell>
          <cell r="F774" t="str">
            <v>SP-Corporate IG Other</v>
          </cell>
          <cell r="G774" t="str">
            <v>SP-Spread Corporate</v>
          </cell>
          <cell r="H774" t="str">
            <v>SPREADS</v>
          </cell>
          <cell r="I774" t="str">
            <v>Corporate IG Other - Industry</v>
          </cell>
        </row>
        <row r="775">
          <cell r="A775" t="str">
            <v>ALL_TRANSPORTATION_IG</v>
          </cell>
          <cell r="B775" t="str">
            <v>Non$ Transp IG</v>
          </cell>
          <cell r="C775" t="str">
            <v>BRS_GOLD__5_SPREADS:BRS_GOLD__4_CORP:BRS_GOLD__3_CSIG:BRS_GOLD__2_CSIG_OTHER:CORP33_IND_IG_OTHER:ALL_TRANSPORTATION_IG</v>
          </cell>
          <cell r="D775" t="str">
            <v>Spread Duration</v>
          </cell>
          <cell r="E775" t="str">
            <v>Spread Yield (DxS)</v>
          </cell>
          <cell r="F775" t="str">
            <v>SP-Corporate IG Other</v>
          </cell>
          <cell r="G775" t="str">
            <v>SP-Spread Corporate</v>
          </cell>
          <cell r="H775" t="str">
            <v>SPREADS</v>
          </cell>
          <cell r="I775" t="str">
            <v>Corporate IG Other - Industry</v>
          </cell>
        </row>
        <row r="776">
          <cell r="A776" t="str">
            <v>ALL_UTILITY_IG</v>
          </cell>
          <cell r="B776" t="str">
            <v>Non$ Util IG</v>
          </cell>
          <cell r="C776" t="str">
            <v>BRS_GOLD__5_SPREADS:BRS_GOLD__4_CORP:BRS_GOLD__3_CSIG:BRS_GOLD__2_CSIG_OTHER:CORP33_IND_IG_OTHER:ALL_UTILITY_IG</v>
          </cell>
          <cell r="D776" t="str">
            <v>Spread Duration</v>
          </cell>
          <cell r="E776" t="str">
            <v>Spread Yield (DxS)</v>
          </cell>
          <cell r="F776" t="str">
            <v>SP-Corporate IG Other</v>
          </cell>
          <cell r="G776" t="str">
            <v>SP-Spread Corporate</v>
          </cell>
          <cell r="H776" t="str">
            <v>SPREADS</v>
          </cell>
          <cell r="I776" t="str">
            <v>Corporate IG Other - Industry</v>
          </cell>
        </row>
        <row r="777">
          <cell r="A777" t="str">
            <v>ALL_BASIS_SUPER_IG</v>
          </cell>
          <cell r="B777" t="str">
            <v>Non$ Basis AA</v>
          </cell>
          <cell r="C777" t="str">
            <v>BRS_GOLD__5_SPREADS:BRS_GOLD__4_CORP:BRS_GOLD__3_CSIG:BRS_GOLD__2_CSIG_OTHER:CORP33_BAS_OTHER:ALL_BASIS_SUPER_IG</v>
          </cell>
          <cell r="D777" t="str">
            <v>Spread Duration</v>
          </cell>
          <cell r="E777" t="str">
            <v>Spread Yield (DxS)</v>
          </cell>
          <cell r="F777" t="str">
            <v>SP-Corporate IG Other</v>
          </cell>
          <cell r="G777" t="str">
            <v>SP-Spread Corporate</v>
          </cell>
          <cell r="H777" t="str">
            <v>SPREADS</v>
          </cell>
          <cell r="I777" t="str">
            <v>Corporate IG Other - Other</v>
          </cell>
        </row>
        <row r="778">
          <cell r="A778" t="str">
            <v>ALL_BASIS_IG_2Y</v>
          </cell>
          <cell r="B778" t="str">
            <v>Non$ Basis IG 2</v>
          </cell>
          <cell r="C778" t="str">
            <v>BRS_GOLD__5_SPREADS:BRS_GOLD__4_CORP:BRS_GOLD__3_CSIG:BRS_GOLD__2_CSIG_OTHER:CORP33_BAS_OTHER:ALL_BASIS_IG_2Y</v>
          </cell>
          <cell r="D778" t="str">
            <v>Spread Duration</v>
          </cell>
          <cell r="E778" t="str">
            <v>Spread Yield (DxS)</v>
          </cell>
          <cell r="F778" t="str">
            <v>SP-Corporate IG Other</v>
          </cell>
          <cell r="G778" t="str">
            <v>SP-Spread Corporate</v>
          </cell>
          <cell r="H778" t="str">
            <v>SPREADS</v>
          </cell>
          <cell r="I778" t="str">
            <v>Corporate IG Other - Other</v>
          </cell>
        </row>
        <row r="779">
          <cell r="A779" t="str">
            <v>ALL_BASIS_IG_5Y</v>
          </cell>
          <cell r="B779" t="str">
            <v>Non$ Basis IG 5</v>
          </cell>
          <cell r="C779" t="str">
            <v>BRS_GOLD__5_SPREADS:BRS_GOLD__4_CORP:BRS_GOLD__3_CSIG:BRS_GOLD__2_CSIG_OTHER:CORP33_BAS_OTHER:ALL_BASIS_IG_5Y</v>
          </cell>
          <cell r="D779" t="str">
            <v>Spread Duration</v>
          </cell>
          <cell r="E779" t="str">
            <v>Spread Yield (DxS)</v>
          </cell>
          <cell r="F779" t="str">
            <v>SP-Corporate IG Other</v>
          </cell>
          <cell r="G779" t="str">
            <v>SP-Spread Corporate</v>
          </cell>
          <cell r="H779" t="str">
            <v>SPREADS</v>
          </cell>
          <cell r="I779" t="str">
            <v>Corporate IG Other - Other</v>
          </cell>
        </row>
        <row r="780">
          <cell r="A780" t="str">
            <v>ALL_BASIS_IG_10Y</v>
          </cell>
          <cell r="B780" t="str">
            <v>Non$ Basis IG 10</v>
          </cell>
          <cell r="C780" t="str">
            <v>BRS_GOLD__5_SPREADS:BRS_GOLD__4_CORP:BRS_GOLD__3_CSIG:BRS_GOLD__2_CSIG_OTHER:CORP33_BAS_OTHER:ALL_BASIS_IG_10Y</v>
          </cell>
          <cell r="D780" t="str">
            <v>Spread Duration</v>
          </cell>
          <cell r="E780" t="str">
            <v>Spread Yield (DxS)</v>
          </cell>
          <cell r="F780" t="str">
            <v>SP-Corporate IG Other</v>
          </cell>
          <cell r="G780" t="str">
            <v>SP-Spread Corporate</v>
          </cell>
          <cell r="H780" t="str">
            <v>SPREADS</v>
          </cell>
          <cell r="I780" t="str">
            <v>Corporate IG Other - Other</v>
          </cell>
        </row>
        <row r="781">
          <cell r="A781" t="str">
            <v>ALL_BASIS_IG_20Y</v>
          </cell>
          <cell r="B781" t="str">
            <v>Non$ Basis IG 20</v>
          </cell>
          <cell r="C781" t="str">
            <v>BRS_GOLD__5_SPREADS:BRS_GOLD__4_CORP:BRS_GOLD__3_CSIG:BRS_GOLD__2_CSIG_OTHER:CORP33_BAS_OTHER:ALL_BASIS_IG_20Y</v>
          </cell>
          <cell r="D781" t="str">
            <v>Spread Duration</v>
          </cell>
          <cell r="E781" t="str">
            <v>Spread Yield (DxS)</v>
          </cell>
          <cell r="F781" t="str">
            <v>SP-Corporate IG Other</v>
          </cell>
          <cell r="G781" t="str">
            <v>SP-Spread Corporate</v>
          </cell>
          <cell r="H781" t="str">
            <v>SPREADS</v>
          </cell>
          <cell r="I781" t="str">
            <v>Corporate IG Other - Other</v>
          </cell>
        </row>
        <row r="782">
          <cell r="A782" t="str">
            <v>USD_CORP_FIN_AAA_2YR</v>
          </cell>
          <cell r="B782" t="str">
            <v>Corp FIN AAA 2Y</v>
          </cell>
          <cell r="C782" t="str">
            <v>BRS_GOLD__5_SPREADS:BRS_GOLD__4_CORP:BRS_GOLD__1_CORP:USD_CORP_FIN_AAA_2YR</v>
          </cell>
          <cell r="D782" t="str">
            <v>Spread Duration</v>
          </cell>
          <cell r="E782" t="str">
            <v>Other Spread Yield</v>
          </cell>
          <cell r="F782" t="str">
            <v>SP-Corporate IG USD</v>
          </cell>
          <cell r="G782" t="str">
            <v>SP-Spread Corporate</v>
          </cell>
          <cell r="H782" t="str">
            <v>SPREADS</v>
          </cell>
          <cell r="I782" t="str">
            <v>Corporate IG USD - Industry</v>
          </cell>
        </row>
        <row r="783">
          <cell r="A783" t="str">
            <v>USD_CORP_FIN_AAA_5YR</v>
          </cell>
          <cell r="B783" t="str">
            <v>Corp FIN AAA 5Y</v>
          </cell>
          <cell r="C783" t="str">
            <v>BRS_GOLD__5_SPREADS:BRS_GOLD__4_CORP:BRS_GOLD__1_CORP:USD_CORP_FIN_AAA_5YR</v>
          </cell>
          <cell r="D783" t="str">
            <v>Spread Duration</v>
          </cell>
          <cell r="E783" t="str">
            <v>Other Spread Yield</v>
          </cell>
          <cell r="F783" t="str">
            <v>SP-Corporate IG USD</v>
          </cell>
          <cell r="G783" t="str">
            <v>SP-Spread Corporate</v>
          </cell>
          <cell r="H783" t="str">
            <v>SPREADS</v>
          </cell>
          <cell r="I783" t="str">
            <v>Corporate IG USD - Industry</v>
          </cell>
        </row>
        <row r="784">
          <cell r="A784" t="str">
            <v>USD_CORP_FIN_AAA_10YR</v>
          </cell>
          <cell r="B784" t="str">
            <v>Corp FIN AAA 10Y</v>
          </cell>
          <cell r="C784" t="str">
            <v>BRS_GOLD__5_SPREADS:BRS_GOLD__4_CORP:BRS_GOLD__1_CORP:USD_CORP_FIN_AAA_10YR</v>
          </cell>
          <cell r="D784" t="str">
            <v>Spread Duration</v>
          </cell>
          <cell r="E784" t="str">
            <v>Other Spread Yield</v>
          </cell>
          <cell r="F784" t="str">
            <v>SP-Corporate IG USD</v>
          </cell>
          <cell r="G784" t="str">
            <v>SP-Spread Corporate</v>
          </cell>
          <cell r="H784" t="str">
            <v>SPREADS</v>
          </cell>
          <cell r="I784" t="str">
            <v>Corporate IG USD - Industry</v>
          </cell>
        </row>
        <row r="785">
          <cell r="A785" t="str">
            <v>USD_CORP_FIN_AAA_30YR</v>
          </cell>
          <cell r="B785" t="str">
            <v>Corp FIN AAA 30Y</v>
          </cell>
          <cell r="C785" t="str">
            <v>BRS_GOLD__5_SPREADS:BRS_GOLD__4_CORP:BRS_GOLD__1_CORP:USD_CORP_FIN_AAA_30YR</v>
          </cell>
          <cell r="D785" t="str">
            <v>Spread Duration</v>
          </cell>
          <cell r="E785" t="str">
            <v>Other Spread Yield</v>
          </cell>
          <cell r="F785" t="str">
            <v>SP-Corporate IG USD</v>
          </cell>
          <cell r="G785" t="str">
            <v>SP-Spread Corporate</v>
          </cell>
          <cell r="H785" t="str">
            <v>SPREADS</v>
          </cell>
          <cell r="I785" t="str">
            <v>Corporate IG USD - Industry</v>
          </cell>
        </row>
        <row r="786">
          <cell r="A786" t="str">
            <v>USD_CORP_FIN_AA_2YR</v>
          </cell>
          <cell r="B786" t="str">
            <v>Corp FIN AA 2Y</v>
          </cell>
          <cell r="C786" t="str">
            <v>BRS_GOLD__5_SPREADS:BRS_GOLD__4_CORP:BRS_GOLD__1_CORP:USD_CORP_FIN_AA_2YR</v>
          </cell>
          <cell r="D786" t="str">
            <v>Spread Duration</v>
          </cell>
          <cell r="E786" t="str">
            <v>Other Spread Yield</v>
          </cell>
          <cell r="F786" t="str">
            <v>SP-Corporate IG USD</v>
          </cell>
          <cell r="G786" t="str">
            <v>SP-Spread Corporate</v>
          </cell>
          <cell r="H786" t="str">
            <v>SPREADS</v>
          </cell>
          <cell r="I786" t="str">
            <v>Corporate IG USD - Industry</v>
          </cell>
        </row>
        <row r="787">
          <cell r="A787" t="str">
            <v>USD_CORP_FIN_AA_5YR</v>
          </cell>
          <cell r="B787" t="str">
            <v>Corp FIN AA 5Y</v>
          </cell>
          <cell r="C787" t="str">
            <v>BRS_GOLD__5_SPREADS:BRS_GOLD__4_CORP:BRS_GOLD__1_CORP:USD_CORP_FIN_AA_5YR</v>
          </cell>
          <cell r="D787" t="str">
            <v>Spread Duration</v>
          </cell>
          <cell r="E787" t="str">
            <v>Other Spread Yield</v>
          </cell>
          <cell r="F787" t="str">
            <v>SP-Corporate IG USD</v>
          </cell>
          <cell r="G787" t="str">
            <v>SP-Spread Corporate</v>
          </cell>
          <cell r="H787" t="str">
            <v>SPREADS</v>
          </cell>
          <cell r="I787" t="str">
            <v>Corporate IG USD - Industry</v>
          </cell>
        </row>
        <row r="788">
          <cell r="A788" t="str">
            <v>USD_CORP_FIN_AA_10YR</v>
          </cell>
          <cell r="B788" t="str">
            <v>Corp FIN AA 10Y</v>
          </cell>
          <cell r="C788" t="str">
            <v>BRS_GOLD__5_SPREADS:BRS_GOLD__4_CORP:BRS_GOLD__1_CORP:USD_CORP_FIN_AA_10YR</v>
          </cell>
          <cell r="D788" t="str">
            <v>Spread Duration</v>
          </cell>
          <cell r="E788" t="str">
            <v>Other Spread Yield</v>
          </cell>
          <cell r="F788" t="str">
            <v>SP-Corporate IG USD</v>
          </cell>
          <cell r="G788" t="str">
            <v>SP-Spread Corporate</v>
          </cell>
          <cell r="H788" t="str">
            <v>SPREADS</v>
          </cell>
          <cell r="I788" t="str">
            <v>Corporate IG USD - Industry</v>
          </cell>
        </row>
        <row r="789">
          <cell r="A789" t="str">
            <v>USD_CORP_FIN_AA_30YR</v>
          </cell>
          <cell r="B789" t="str">
            <v>Corp FIN AA 30Y</v>
          </cell>
          <cell r="C789" t="str">
            <v>BRS_GOLD__5_SPREADS:BRS_GOLD__4_CORP:BRS_GOLD__1_CORP:USD_CORP_FIN_AA_30YR</v>
          </cell>
          <cell r="D789" t="str">
            <v>Spread Duration</v>
          </cell>
          <cell r="E789" t="str">
            <v>Other Spread Yield</v>
          </cell>
          <cell r="F789" t="str">
            <v>SP-Corporate IG USD</v>
          </cell>
          <cell r="G789" t="str">
            <v>SP-Spread Corporate</v>
          </cell>
          <cell r="H789" t="str">
            <v>SPREADS</v>
          </cell>
          <cell r="I789" t="str">
            <v>Corporate IG USD - Industry</v>
          </cell>
        </row>
        <row r="790">
          <cell r="A790" t="str">
            <v>USD_CORP_FIN_A_2YR</v>
          </cell>
          <cell r="B790" t="str">
            <v>Corp FIN A 2Y</v>
          </cell>
          <cell r="C790" t="str">
            <v>BRS_GOLD__5_SPREADS:BRS_GOLD__4_CORP:BRS_GOLD__1_CORP:USD_CORP_FIN_A_2YR</v>
          </cell>
          <cell r="D790" t="str">
            <v>Spread Duration</v>
          </cell>
          <cell r="E790" t="str">
            <v>Other Spread Yield</v>
          </cell>
          <cell r="F790" t="str">
            <v>SP-Corporate IG USD</v>
          </cell>
          <cell r="G790" t="str">
            <v>SP-Spread Corporate</v>
          </cell>
          <cell r="H790" t="str">
            <v>SPREADS</v>
          </cell>
          <cell r="I790" t="str">
            <v>Corporate IG USD - Industry</v>
          </cell>
        </row>
        <row r="791">
          <cell r="A791" t="str">
            <v>USD_CORP_FIN_A_5YR</v>
          </cell>
          <cell r="B791" t="str">
            <v>Corp FIN A 5Y</v>
          </cell>
          <cell r="C791" t="str">
            <v>BRS_GOLD__5_SPREADS:BRS_GOLD__4_CORP:BRS_GOLD__1_CORP:USD_CORP_FIN_A_5YR</v>
          </cell>
          <cell r="D791" t="str">
            <v>Spread Duration</v>
          </cell>
          <cell r="E791" t="str">
            <v>Other Spread Yield</v>
          </cell>
          <cell r="F791" t="str">
            <v>SP-Corporate IG USD</v>
          </cell>
          <cell r="G791" t="str">
            <v>SP-Spread Corporate</v>
          </cell>
          <cell r="H791" t="str">
            <v>SPREADS</v>
          </cell>
          <cell r="I791" t="str">
            <v>Corporate IG USD - Industry</v>
          </cell>
        </row>
        <row r="792">
          <cell r="A792" t="str">
            <v>USD_CORP_FIN_A_10YR</v>
          </cell>
          <cell r="B792" t="str">
            <v>Corp FIN A 10Y</v>
          </cell>
          <cell r="C792" t="str">
            <v>BRS_GOLD__5_SPREADS:BRS_GOLD__4_CORP:BRS_GOLD__1_CORP:USD_CORP_FIN_A_10YR</v>
          </cell>
          <cell r="D792" t="str">
            <v>Spread Duration</v>
          </cell>
          <cell r="E792" t="str">
            <v>Other Spread Yield</v>
          </cell>
          <cell r="F792" t="str">
            <v>SP-Corporate IG USD</v>
          </cell>
          <cell r="G792" t="str">
            <v>SP-Spread Corporate</v>
          </cell>
          <cell r="H792" t="str">
            <v>SPREADS</v>
          </cell>
          <cell r="I792" t="str">
            <v>Corporate IG USD - Industry</v>
          </cell>
        </row>
        <row r="793">
          <cell r="A793" t="str">
            <v>USD_CORP_FIN_A_30YR</v>
          </cell>
          <cell r="B793" t="str">
            <v>Corp FIN A 30Y</v>
          </cell>
          <cell r="C793" t="str">
            <v>BRS_GOLD__5_SPREADS:BRS_GOLD__4_CORP:BRS_GOLD__1_CORP:USD_CORP_FIN_A_30YR</v>
          </cell>
          <cell r="D793" t="str">
            <v>Spread Duration</v>
          </cell>
          <cell r="E793" t="str">
            <v>Other Spread Yield</v>
          </cell>
          <cell r="F793" t="str">
            <v>SP-Corporate IG USD</v>
          </cell>
          <cell r="G793" t="str">
            <v>SP-Spread Corporate</v>
          </cell>
          <cell r="H793" t="str">
            <v>SPREADS</v>
          </cell>
          <cell r="I793" t="str">
            <v>Corporate IG USD - Industry</v>
          </cell>
        </row>
        <row r="794">
          <cell r="A794" t="str">
            <v>USD_CORP_IND_AAA_2YR</v>
          </cell>
          <cell r="B794" t="str">
            <v>Corp IND AAA 2Y</v>
          </cell>
          <cell r="C794" t="str">
            <v>BRS_GOLD__5_SPREADS:BRS_GOLD__4_CORP:BRS_GOLD__1_CORP:USD_CORP_IND_AAA_2YR</v>
          </cell>
          <cell r="D794" t="str">
            <v>Spread Duration</v>
          </cell>
          <cell r="E794" t="str">
            <v>Other Spread Yield</v>
          </cell>
          <cell r="F794" t="str">
            <v>SP-Corporate IG USD</v>
          </cell>
          <cell r="G794" t="str">
            <v>SP-Spread Corporate</v>
          </cell>
          <cell r="H794" t="str">
            <v>SPREADS</v>
          </cell>
          <cell r="I794" t="str">
            <v>Corporate IG USD - Industry</v>
          </cell>
        </row>
        <row r="795">
          <cell r="A795" t="str">
            <v>USD_CORP_IND_AAA_5YR</v>
          </cell>
          <cell r="B795" t="str">
            <v>Corp IND AAA 5Y</v>
          </cell>
          <cell r="C795" t="str">
            <v>BRS_GOLD__5_SPREADS:BRS_GOLD__4_CORP:BRS_GOLD__1_CORP:USD_CORP_IND_AAA_5YR</v>
          </cell>
          <cell r="D795" t="str">
            <v>Spread Duration</v>
          </cell>
          <cell r="E795" t="str">
            <v>Other Spread Yield</v>
          </cell>
          <cell r="F795" t="str">
            <v>SP-Corporate IG USD</v>
          </cell>
          <cell r="G795" t="str">
            <v>SP-Spread Corporate</v>
          </cell>
          <cell r="H795" t="str">
            <v>SPREADS</v>
          </cell>
          <cell r="I795" t="str">
            <v>Corporate IG USD - Industry</v>
          </cell>
        </row>
        <row r="796">
          <cell r="A796" t="str">
            <v>USD_CORP_IND_AAA_10YR</v>
          </cell>
          <cell r="B796" t="str">
            <v>Corp IND AAA 10Y</v>
          </cell>
          <cell r="C796" t="str">
            <v>BRS_GOLD__5_SPREADS:BRS_GOLD__4_CORP:BRS_GOLD__1_CORP:USD_CORP_IND_AAA_10YR</v>
          </cell>
          <cell r="D796" t="str">
            <v>Spread Duration</v>
          </cell>
          <cell r="E796" t="str">
            <v>Other Spread Yield</v>
          </cell>
          <cell r="F796" t="str">
            <v>SP-Corporate IG USD</v>
          </cell>
          <cell r="G796" t="str">
            <v>SP-Spread Corporate</v>
          </cell>
          <cell r="H796" t="str">
            <v>SPREADS</v>
          </cell>
          <cell r="I796" t="str">
            <v>Corporate IG USD - Industry</v>
          </cell>
        </row>
        <row r="797">
          <cell r="A797" t="str">
            <v>USD_CORP_IND_AAA_30YR</v>
          </cell>
          <cell r="B797" t="str">
            <v>Corp IND AAA 30Y</v>
          </cell>
          <cell r="C797" t="str">
            <v>BRS_GOLD__5_SPREADS:BRS_GOLD__4_CORP:BRS_GOLD__1_CORP:USD_CORP_IND_AAA_30YR</v>
          </cell>
          <cell r="D797" t="str">
            <v>Spread Duration</v>
          </cell>
          <cell r="E797" t="str">
            <v>Other Spread Yield</v>
          </cell>
          <cell r="F797" t="str">
            <v>SP-Corporate IG USD</v>
          </cell>
          <cell r="G797" t="str">
            <v>SP-Spread Corporate</v>
          </cell>
          <cell r="H797" t="str">
            <v>SPREADS</v>
          </cell>
          <cell r="I797" t="str">
            <v>Corporate IG USD - Industry</v>
          </cell>
        </row>
        <row r="798">
          <cell r="A798" t="str">
            <v>USD_CORP_IND_AA_2YR</v>
          </cell>
          <cell r="B798" t="str">
            <v>Corp IND AA 2Y</v>
          </cell>
          <cell r="C798" t="str">
            <v>BRS_GOLD__5_SPREADS:BRS_GOLD__4_CORP:BRS_GOLD__1_CORP:USD_CORP_IND_AA_2YR</v>
          </cell>
          <cell r="D798" t="str">
            <v>Spread Duration</v>
          </cell>
          <cell r="E798" t="str">
            <v>Other Spread Yield</v>
          </cell>
          <cell r="F798" t="str">
            <v>SP-Corporate IG USD</v>
          </cell>
          <cell r="G798" t="str">
            <v>SP-Spread Corporate</v>
          </cell>
          <cell r="H798" t="str">
            <v>SPREADS</v>
          </cell>
          <cell r="I798" t="str">
            <v>Corporate IG USD - Industry</v>
          </cell>
        </row>
        <row r="799">
          <cell r="A799" t="str">
            <v>USD_CORP_IND_AA_5YR</v>
          </cell>
          <cell r="B799" t="str">
            <v>Corp IND AA 5Y</v>
          </cell>
          <cell r="C799" t="str">
            <v>BRS_GOLD__5_SPREADS:BRS_GOLD__4_CORP:BRS_GOLD__1_CORP:USD_CORP_IND_AA_5YR</v>
          </cell>
          <cell r="D799" t="str">
            <v>Spread Duration</v>
          </cell>
          <cell r="E799" t="str">
            <v>Other Spread Yield</v>
          </cell>
          <cell r="F799" t="str">
            <v>SP-Corporate IG USD</v>
          </cell>
          <cell r="G799" t="str">
            <v>SP-Spread Corporate</v>
          </cell>
          <cell r="H799" t="str">
            <v>SPREADS</v>
          </cell>
          <cell r="I799" t="str">
            <v>Corporate IG USD - Industry</v>
          </cell>
        </row>
        <row r="800">
          <cell r="A800" t="str">
            <v>USD_CORP_IND_AA_10YR</v>
          </cell>
          <cell r="B800" t="str">
            <v>Corp IND AA 10Y</v>
          </cell>
          <cell r="C800" t="str">
            <v>BRS_GOLD__5_SPREADS:BRS_GOLD__4_CORP:BRS_GOLD__1_CORP:USD_CORP_IND_AA_10YR</v>
          </cell>
          <cell r="D800" t="str">
            <v>Spread Duration</v>
          </cell>
          <cell r="E800" t="str">
            <v>Other Spread Yield</v>
          </cell>
          <cell r="F800" t="str">
            <v>SP-Corporate IG USD</v>
          </cell>
          <cell r="G800" t="str">
            <v>SP-Spread Corporate</v>
          </cell>
          <cell r="H800" t="str">
            <v>SPREADS</v>
          </cell>
          <cell r="I800" t="str">
            <v>Corporate IG USD - Industry</v>
          </cell>
        </row>
        <row r="801">
          <cell r="A801" t="str">
            <v>USD_CORP_IND_AA_30YR</v>
          </cell>
          <cell r="B801" t="str">
            <v>Corp IND AA 30Y</v>
          </cell>
          <cell r="C801" t="str">
            <v>BRS_GOLD__5_SPREADS:BRS_GOLD__4_CORP:BRS_GOLD__1_CORP:USD_CORP_IND_AA_30YR</v>
          </cell>
          <cell r="D801" t="str">
            <v>Spread Duration</v>
          </cell>
          <cell r="E801" t="str">
            <v>Other Spread Yield</v>
          </cell>
          <cell r="F801" t="str">
            <v>SP-Corporate IG USD</v>
          </cell>
          <cell r="G801" t="str">
            <v>SP-Spread Corporate</v>
          </cell>
          <cell r="H801" t="str">
            <v>SPREADS</v>
          </cell>
          <cell r="I801" t="str">
            <v>Corporate IG USD - Industry</v>
          </cell>
        </row>
        <row r="802">
          <cell r="A802" t="str">
            <v>USD_CORP_IND_A_2YR</v>
          </cell>
          <cell r="B802" t="str">
            <v>Corp IND A 2Y</v>
          </cell>
          <cell r="C802" t="str">
            <v>BRS_GOLD__5_SPREADS:BRS_GOLD__4_CORP:BRS_GOLD__1_CORP:USD_CORP_IND_A_2YR</v>
          </cell>
          <cell r="D802" t="str">
            <v>Spread Duration</v>
          </cell>
          <cell r="E802" t="str">
            <v>Other Spread Yield</v>
          </cell>
          <cell r="F802" t="str">
            <v>SP-Corporate IG USD</v>
          </cell>
          <cell r="G802" t="str">
            <v>SP-Spread Corporate</v>
          </cell>
          <cell r="H802" t="str">
            <v>SPREADS</v>
          </cell>
          <cell r="I802" t="str">
            <v>Corporate IG USD - Industry</v>
          </cell>
        </row>
        <row r="803">
          <cell r="A803" t="str">
            <v>USD_CORP_IND_A_5YR</v>
          </cell>
          <cell r="B803" t="str">
            <v>Corp IND A 5Y</v>
          </cell>
          <cell r="C803" t="str">
            <v>BRS_GOLD__5_SPREADS:BRS_GOLD__4_CORP:BRS_GOLD__1_CORP:USD_CORP_IND_A_5YR</v>
          </cell>
          <cell r="D803" t="str">
            <v>Spread Duration</v>
          </cell>
          <cell r="E803" t="str">
            <v>Other Spread Yield</v>
          </cell>
          <cell r="F803" t="str">
            <v>SP-Corporate IG USD</v>
          </cell>
          <cell r="G803" t="str">
            <v>SP-Spread Corporate</v>
          </cell>
          <cell r="H803" t="str">
            <v>SPREADS</v>
          </cell>
          <cell r="I803" t="str">
            <v>Corporate IG USD - Industry</v>
          </cell>
        </row>
        <row r="804">
          <cell r="A804" t="str">
            <v>USD_CORP_IND_A_10YR</v>
          </cell>
          <cell r="B804" t="str">
            <v>Corp IND A 10Y</v>
          </cell>
          <cell r="C804" t="str">
            <v>BRS_GOLD__5_SPREADS:BRS_GOLD__4_CORP:BRS_GOLD__1_CORP:USD_CORP_IND_A_10YR</v>
          </cell>
          <cell r="D804" t="str">
            <v>Spread Duration</v>
          </cell>
          <cell r="E804" t="str">
            <v>Other Spread Yield</v>
          </cell>
          <cell r="F804" t="str">
            <v>SP-Corporate IG USD</v>
          </cell>
          <cell r="G804" t="str">
            <v>SP-Spread Corporate</v>
          </cell>
          <cell r="H804" t="str">
            <v>SPREADS</v>
          </cell>
          <cell r="I804" t="str">
            <v>Corporate IG USD - Industry</v>
          </cell>
        </row>
        <row r="805">
          <cell r="A805" t="str">
            <v>USD_CORP_IND_A_30YR</v>
          </cell>
          <cell r="B805" t="str">
            <v>Corp IND A 30Y</v>
          </cell>
          <cell r="C805" t="str">
            <v>BRS_GOLD__5_SPREADS:BRS_GOLD__4_CORP:BRS_GOLD__1_CORP:USD_CORP_IND_A_30YR</v>
          </cell>
          <cell r="D805" t="str">
            <v>Spread Duration</v>
          </cell>
          <cell r="E805" t="str">
            <v>Other Spread Yield</v>
          </cell>
          <cell r="F805" t="str">
            <v>SP-Corporate IG USD</v>
          </cell>
          <cell r="G805" t="str">
            <v>SP-Spread Corporate</v>
          </cell>
          <cell r="H805" t="str">
            <v>SPREADS</v>
          </cell>
          <cell r="I805" t="str">
            <v>Corporate IG USD - Industry</v>
          </cell>
        </row>
        <row r="806">
          <cell r="A806" t="str">
            <v>USD_CORP_UTL_AAA_2YR</v>
          </cell>
          <cell r="B806" t="str">
            <v>Corp UTL AAA 2Y</v>
          </cell>
          <cell r="C806" t="str">
            <v>BRS_GOLD__5_SPREADS:BRS_GOLD__4_CORP:BRS_GOLD__1_CORP:USD_CORP_UTL_AAA_2YR</v>
          </cell>
          <cell r="D806" t="str">
            <v>Spread Duration</v>
          </cell>
          <cell r="E806" t="str">
            <v>Other Spread Yield</v>
          </cell>
          <cell r="F806" t="str">
            <v>SP-Corporate IG USD</v>
          </cell>
          <cell r="G806" t="str">
            <v>SP-Spread Corporate</v>
          </cell>
          <cell r="H806" t="str">
            <v>SPREADS</v>
          </cell>
          <cell r="I806" t="str">
            <v>Corporate IG USD - Industry</v>
          </cell>
        </row>
        <row r="807">
          <cell r="A807" t="str">
            <v>USD_CORP_UTL_AAA_5YR</v>
          </cell>
          <cell r="B807" t="str">
            <v>Corp UTL AAA 5Y</v>
          </cell>
          <cell r="C807" t="str">
            <v>BRS_GOLD__5_SPREADS:BRS_GOLD__4_CORP:BRS_GOLD__1_CORP:USD_CORP_UTL_AAA_5YR</v>
          </cell>
          <cell r="D807" t="str">
            <v>Spread Duration</v>
          </cell>
          <cell r="E807" t="str">
            <v>Other Spread Yield</v>
          </cell>
          <cell r="F807" t="str">
            <v>SP-Corporate IG USD</v>
          </cell>
          <cell r="G807" t="str">
            <v>SP-Spread Corporate</v>
          </cell>
          <cell r="H807" t="str">
            <v>SPREADS</v>
          </cell>
          <cell r="I807" t="str">
            <v>Corporate IG USD - Industry</v>
          </cell>
        </row>
        <row r="808">
          <cell r="A808" t="str">
            <v>USD_CORP_UTL_AAA_10YR</v>
          </cell>
          <cell r="B808" t="str">
            <v>Corp UTL AAA 10Y</v>
          </cell>
          <cell r="C808" t="str">
            <v>BRS_GOLD__5_SPREADS:BRS_GOLD__4_CORP:BRS_GOLD__1_CORP:USD_CORP_UTL_AAA_10YR</v>
          </cell>
          <cell r="D808" t="str">
            <v>Spread Duration</v>
          </cell>
          <cell r="E808" t="str">
            <v>Other Spread Yield</v>
          </cell>
          <cell r="F808" t="str">
            <v>SP-Corporate IG USD</v>
          </cell>
          <cell r="G808" t="str">
            <v>SP-Spread Corporate</v>
          </cell>
          <cell r="H808" t="str">
            <v>SPREADS</v>
          </cell>
          <cell r="I808" t="str">
            <v>Corporate IG USD - Industry</v>
          </cell>
        </row>
        <row r="809">
          <cell r="A809" t="str">
            <v>USD_CORP_UTL_AAA_30YR</v>
          </cell>
          <cell r="B809" t="str">
            <v>Corp UTL AAA 30Y</v>
          </cell>
          <cell r="C809" t="str">
            <v>BRS_GOLD__5_SPREADS:BRS_GOLD__4_CORP:BRS_GOLD__1_CORP:USD_CORP_UTL_AAA_30YR</v>
          </cell>
          <cell r="D809" t="str">
            <v>Spread Duration</v>
          </cell>
          <cell r="E809" t="str">
            <v>Other Spread Yield</v>
          </cell>
          <cell r="F809" t="str">
            <v>SP-Corporate IG USD</v>
          </cell>
          <cell r="G809" t="str">
            <v>SP-Spread Corporate</v>
          </cell>
          <cell r="H809" t="str">
            <v>SPREADS</v>
          </cell>
          <cell r="I809" t="str">
            <v>Corporate IG USD - Industry</v>
          </cell>
        </row>
        <row r="810">
          <cell r="A810" t="str">
            <v>USD_CORP_UTL_AA_2YR</v>
          </cell>
          <cell r="B810" t="str">
            <v>Corp UTL AA 2Y</v>
          </cell>
          <cell r="C810" t="str">
            <v>BRS_GOLD__5_SPREADS:BRS_GOLD__4_CORP:BRS_GOLD__1_CORP:USD_CORP_UTL_AA_2YR</v>
          </cell>
          <cell r="D810" t="str">
            <v>Spread Duration</v>
          </cell>
          <cell r="E810" t="str">
            <v>Other Spread Yield</v>
          </cell>
          <cell r="F810" t="str">
            <v>SP-Corporate IG USD</v>
          </cell>
          <cell r="G810" t="str">
            <v>SP-Spread Corporate</v>
          </cell>
          <cell r="H810" t="str">
            <v>SPREADS</v>
          </cell>
          <cell r="I810" t="str">
            <v>Corporate IG USD - Industry</v>
          </cell>
        </row>
        <row r="811">
          <cell r="A811" t="str">
            <v>USD_CORP_UTL_AA_5YR</v>
          </cell>
          <cell r="B811" t="str">
            <v>Corp UTL AA 5Y</v>
          </cell>
          <cell r="C811" t="str">
            <v>BRS_GOLD__5_SPREADS:BRS_GOLD__4_CORP:BRS_GOLD__1_CORP:USD_CORP_UTL_AA_5YR</v>
          </cell>
          <cell r="D811" t="str">
            <v>Spread Duration</v>
          </cell>
          <cell r="E811" t="str">
            <v>Other Spread Yield</v>
          </cell>
          <cell r="F811" t="str">
            <v>SP-Corporate IG USD</v>
          </cell>
          <cell r="G811" t="str">
            <v>SP-Spread Corporate</v>
          </cell>
          <cell r="H811" t="str">
            <v>SPREADS</v>
          </cell>
          <cell r="I811" t="str">
            <v>Corporate IG USD - Industry</v>
          </cell>
        </row>
        <row r="812">
          <cell r="A812" t="str">
            <v>USD_CORP_UTL_AA_10YR</v>
          </cell>
          <cell r="B812" t="str">
            <v>Corp UTL AA 10Y</v>
          </cell>
          <cell r="C812" t="str">
            <v>BRS_GOLD__5_SPREADS:BRS_GOLD__4_CORP:BRS_GOLD__1_CORP:USD_CORP_UTL_AA_10YR</v>
          </cell>
          <cell r="D812" t="str">
            <v>Spread Duration</v>
          </cell>
          <cell r="E812" t="str">
            <v>Other Spread Yield</v>
          </cell>
          <cell r="F812" t="str">
            <v>SP-Corporate IG USD</v>
          </cell>
          <cell r="G812" t="str">
            <v>SP-Spread Corporate</v>
          </cell>
          <cell r="H812" t="str">
            <v>SPREADS</v>
          </cell>
          <cell r="I812" t="str">
            <v>Corporate IG USD - Industry</v>
          </cell>
        </row>
        <row r="813">
          <cell r="A813" t="str">
            <v>USD_CORP_UTL_AA_30YR</v>
          </cell>
          <cell r="B813" t="str">
            <v>Corp UTL AA 30Y</v>
          </cell>
          <cell r="C813" t="str">
            <v>BRS_GOLD__5_SPREADS:BRS_GOLD__4_CORP:BRS_GOLD__1_CORP:USD_CORP_UTL_AA_30YR</v>
          </cell>
          <cell r="D813" t="str">
            <v>Spread Duration</v>
          </cell>
          <cell r="E813" t="str">
            <v>Other Spread Yield</v>
          </cell>
          <cell r="F813" t="str">
            <v>SP-Corporate IG USD</v>
          </cell>
          <cell r="G813" t="str">
            <v>SP-Spread Corporate</v>
          </cell>
          <cell r="H813" t="str">
            <v>SPREADS</v>
          </cell>
          <cell r="I813" t="str">
            <v>Corporate IG USD - Industry</v>
          </cell>
        </row>
        <row r="814">
          <cell r="A814" t="str">
            <v>USD_CORP_UTL_A_2YR</v>
          </cell>
          <cell r="B814" t="str">
            <v>Corp UTL A 2Y</v>
          </cell>
          <cell r="C814" t="str">
            <v>BRS_GOLD__5_SPREADS:BRS_GOLD__4_CORP:BRS_GOLD__1_CORP:USD_CORP_UTL_A_2YR</v>
          </cell>
          <cell r="D814" t="str">
            <v>Spread Duration</v>
          </cell>
          <cell r="E814" t="str">
            <v>Other Spread Yield</v>
          </cell>
          <cell r="F814" t="str">
            <v>SP-Corporate IG USD</v>
          </cell>
          <cell r="G814" t="str">
            <v>SP-Spread Corporate</v>
          </cell>
          <cell r="H814" t="str">
            <v>SPREADS</v>
          </cell>
          <cell r="I814" t="str">
            <v>Corporate IG USD - Industry</v>
          </cell>
        </row>
        <row r="815">
          <cell r="A815" t="str">
            <v>USD_CORP_UTL_A_5YR</v>
          </cell>
          <cell r="B815" t="str">
            <v>Corp UTL A 5Y</v>
          </cell>
          <cell r="C815" t="str">
            <v>BRS_GOLD__5_SPREADS:BRS_GOLD__4_CORP:BRS_GOLD__1_CORP:USD_CORP_UTL_A_5YR</v>
          </cell>
          <cell r="D815" t="str">
            <v>Spread Duration</v>
          </cell>
          <cell r="E815" t="str">
            <v>Other Spread Yield</v>
          </cell>
          <cell r="F815" t="str">
            <v>SP-Corporate IG USD</v>
          </cell>
          <cell r="G815" t="str">
            <v>SP-Spread Corporate</v>
          </cell>
          <cell r="H815" t="str">
            <v>SPREADS</v>
          </cell>
          <cell r="I815" t="str">
            <v>Corporate IG USD - Industry</v>
          </cell>
        </row>
        <row r="816">
          <cell r="A816" t="str">
            <v>USD_CORP_UTL_A_10YR</v>
          </cell>
          <cell r="B816" t="str">
            <v>Corp UTL A 10Y</v>
          </cell>
          <cell r="C816" t="str">
            <v>BRS_GOLD__5_SPREADS:BRS_GOLD__4_CORP:BRS_GOLD__1_CORP:USD_CORP_UTL_A_10YR</v>
          </cell>
          <cell r="D816" t="str">
            <v>Spread Duration</v>
          </cell>
          <cell r="E816" t="str">
            <v>Other Spread Yield</v>
          </cell>
          <cell r="F816" t="str">
            <v>SP-Corporate IG USD</v>
          </cell>
          <cell r="G816" t="str">
            <v>SP-Spread Corporate</v>
          </cell>
          <cell r="H816" t="str">
            <v>SPREADS</v>
          </cell>
          <cell r="I816" t="str">
            <v>Corporate IG USD - Industry</v>
          </cell>
        </row>
        <row r="817">
          <cell r="A817" t="str">
            <v>USD_CORP_UTL_A_30YR</v>
          </cell>
          <cell r="B817" t="str">
            <v>Corp UTL A 30Y</v>
          </cell>
          <cell r="C817" t="str">
            <v>BRS_GOLD__5_SPREADS:BRS_GOLD__4_CORP:BRS_GOLD__1_CORP:USD_CORP_UTL_A_30YR</v>
          </cell>
          <cell r="D817" t="str">
            <v>Spread Duration</v>
          </cell>
          <cell r="E817" t="str">
            <v>Other Spread Yield</v>
          </cell>
          <cell r="F817" t="str">
            <v>SP-Corporate IG USD</v>
          </cell>
          <cell r="G817" t="str">
            <v>SP-Spread Corporate</v>
          </cell>
          <cell r="H817" t="str">
            <v>SPREADS</v>
          </cell>
          <cell r="I817" t="str">
            <v>Corporate IG USD - Industry</v>
          </cell>
        </row>
        <row r="818">
          <cell r="A818" t="str">
            <v>USD_CORP_YNK_AAA_2YR</v>
          </cell>
          <cell r="B818" t="str">
            <v>Corp YNK AAA 2Y</v>
          </cell>
          <cell r="C818" t="str">
            <v>BRS_GOLD__5_SPREADS:BRS_GOLD__4_CORP:BRS_GOLD__1_CORP:USD_CORP_YNK_AAA_2YR</v>
          </cell>
          <cell r="D818" t="str">
            <v>Spread Duration</v>
          </cell>
          <cell r="E818" t="str">
            <v>Other Spread Yield</v>
          </cell>
          <cell r="F818" t="str">
            <v>SP-Corporate IG USD</v>
          </cell>
          <cell r="G818" t="str">
            <v>SP-Spread Corporate</v>
          </cell>
          <cell r="H818" t="str">
            <v>SPREADS</v>
          </cell>
          <cell r="I818" t="str">
            <v>Corporate IG USD - Yankee</v>
          </cell>
        </row>
        <row r="819">
          <cell r="A819" t="str">
            <v>USD_CORP_YNK_AAA_5YR</v>
          </cell>
          <cell r="B819" t="str">
            <v>Corp YNK AAA 5Y</v>
          </cell>
          <cell r="C819" t="str">
            <v>BRS_GOLD__5_SPREADS:BRS_GOLD__4_CORP:BRS_GOLD__1_CORP:USD_CORP_YNK_AAA_5YR</v>
          </cell>
          <cell r="D819" t="str">
            <v>Spread Duration</v>
          </cell>
          <cell r="E819" t="str">
            <v>Other Spread Yield</v>
          </cell>
          <cell r="F819" t="str">
            <v>SP-Corporate IG USD</v>
          </cell>
          <cell r="G819" t="str">
            <v>SP-Spread Corporate</v>
          </cell>
          <cell r="H819" t="str">
            <v>SPREADS</v>
          </cell>
          <cell r="I819" t="str">
            <v>Corporate IG USD - Yankee</v>
          </cell>
        </row>
        <row r="820">
          <cell r="A820" t="str">
            <v>USD_CORP_YNK_AAA_10YR</v>
          </cell>
          <cell r="B820" t="str">
            <v>Corp YNK AAA 10Y</v>
          </cell>
          <cell r="C820" t="str">
            <v>BRS_GOLD__5_SPREADS:BRS_GOLD__4_CORP:BRS_GOLD__1_CORP:USD_CORP_YNK_AAA_10YR</v>
          </cell>
          <cell r="D820" t="str">
            <v>Spread Duration</v>
          </cell>
          <cell r="E820" t="str">
            <v>Other Spread Yield</v>
          </cell>
          <cell r="F820" t="str">
            <v>SP-Corporate IG USD</v>
          </cell>
          <cell r="G820" t="str">
            <v>SP-Spread Corporate</v>
          </cell>
          <cell r="H820" t="str">
            <v>SPREADS</v>
          </cell>
          <cell r="I820" t="str">
            <v>Corporate IG USD - Yankee</v>
          </cell>
        </row>
        <row r="821">
          <cell r="A821" t="str">
            <v>USD_CORP_YNK_AAA_30YR</v>
          </cell>
          <cell r="B821" t="str">
            <v>Corp YNK AAA 30Y</v>
          </cell>
          <cell r="C821" t="str">
            <v>BRS_GOLD__5_SPREADS:BRS_GOLD__4_CORP:BRS_GOLD__1_CORP:USD_CORP_YNK_AAA_30YR</v>
          </cell>
          <cell r="D821" t="str">
            <v>Spread Duration</v>
          </cell>
          <cell r="E821" t="str">
            <v>Other Spread Yield</v>
          </cell>
          <cell r="F821" t="str">
            <v>SP-Corporate IG USD</v>
          </cell>
          <cell r="G821" t="str">
            <v>SP-Spread Corporate</v>
          </cell>
          <cell r="H821" t="str">
            <v>SPREADS</v>
          </cell>
          <cell r="I821" t="str">
            <v>Corporate IG USD - Yankee</v>
          </cell>
        </row>
        <row r="822">
          <cell r="A822" t="str">
            <v>USD_CORP_YNK_AA_2YR</v>
          </cell>
          <cell r="B822" t="str">
            <v>Corp YNK AA 2Y</v>
          </cell>
          <cell r="C822" t="str">
            <v>BRS_GOLD__5_SPREADS:BRS_GOLD__4_CORP:BRS_GOLD__1_CORP:USD_CORP_YNK_AA_2YR</v>
          </cell>
          <cell r="D822" t="str">
            <v>Spread Duration</v>
          </cell>
          <cell r="E822" t="str">
            <v>Other Spread Yield</v>
          </cell>
          <cell r="F822" t="str">
            <v>SP-Corporate IG USD</v>
          </cell>
          <cell r="G822" t="str">
            <v>SP-Spread Corporate</v>
          </cell>
          <cell r="H822" t="str">
            <v>SPREADS</v>
          </cell>
          <cell r="I822" t="str">
            <v>Corporate IG USD - Yankee</v>
          </cell>
        </row>
        <row r="823">
          <cell r="A823" t="str">
            <v>USD_CORP_YNK_AA_5YR</v>
          </cell>
          <cell r="B823" t="str">
            <v>Corp YNK AA 5Y</v>
          </cell>
          <cell r="C823" t="str">
            <v>BRS_GOLD__5_SPREADS:BRS_GOLD__4_CORP:BRS_GOLD__1_CORP:USD_CORP_YNK_AA_5YR</v>
          </cell>
          <cell r="D823" t="str">
            <v>Spread Duration</v>
          </cell>
          <cell r="E823" t="str">
            <v>Other Spread Yield</v>
          </cell>
          <cell r="F823" t="str">
            <v>SP-Corporate IG USD</v>
          </cell>
          <cell r="G823" t="str">
            <v>SP-Spread Corporate</v>
          </cell>
          <cell r="H823" t="str">
            <v>SPREADS</v>
          </cell>
          <cell r="I823" t="str">
            <v>Corporate IG USD - Yankee</v>
          </cell>
        </row>
        <row r="824">
          <cell r="A824" t="str">
            <v>USD_CORP_YNK_AA_10YR</v>
          </cell>
          <cell r="B824" t="str">
            <v>Corp YNK AA 10Y</v>
          </cell>
          <cell r="C824" t="str">
            <v>BRS_GOLD__5_SPREADS:BRS_GOLD__4_CORP:BRS_GOLD__1_CORP:USD_CORP_YNK_AA_10YR</v>
          </cell>
          <cell r="D824" t="str">
            <v>Spread Duration</v>
          </cell>
          <cell r="E824" t="str">
            <v>Other Spread Yield</v>
          </cell>
          <cell r="F824" t="str">
            <v>SP-Corporate IG USD</v>
          </cell>
          <cell r="G824" t="str">
            <v>SP-Spread Corporate</v>
          </cell>
          <cell r="H824" t="str">
            <v>SPREADS</v>
          </cell>
          <cell r="I824" t="str">
            <v>Corporate IG USD - Yankee</v>
          </cell>
        </row>
        <row r="825">
          <cell r="A825" t="str">
            <v>USD_CORP_YNK_AA_30YR</v>
          </cell>
          <cell r="B825" t="str">
            <v>Corp YNK AA 30Y</v>
          </cell>
          <cell r="C825" t="str">
            <v>BRS_GOLD__5_SPREADS:BRS_GOLD__4_CORP:BRS_GOLD__1_CORP:USD_CORP_YNK_AA_30YR</v>
          </cell>
          <cell r="D825" t="str">
            <v>Spread Duration</v>
          </cell>
          <cell r="E825" t="str">
            <v>Other Spread Yield</v>
          </cell>
          <cell r="F825" t="str">
            <v>SP-Corporate IG USD</v>
          </cell>
          <cell r="G825" t="str">
            <v>SP-Spread Corporate</v>
          </cell>
          <cell r="H825" t="str">
            <v>SPREADS</v>
          </cell>
          <cell r="I825" t="str">
            <v>Corporate IG USD - Yankee</v>
          </cell>
        </row>
        <row r="826">
          <cell r="A826" t="str">
            <v>USD_CORP_YNK_A_2YR</v>
          </cell>
          <cell r="B826" t="str">
            <v>Corp YNK A 2Y</v>
          </cell>
          <cell r="C826" t="str">
            <v>BRS_GOLD__5_SPREADS:BRS_GOLD__4_CORP:BRS_GOLD__1_CORP:USD_CORP_YNK_A_2YR</v>
          </cell>
          <cell r="D826" t="str">
            <v>Spread Duration</v>
          </cell>
          <cell r="E826" t="str">
            <v>Other Spread Yield</v>
          </cell>
          <cell r="F826" t="str">
            <v>SP-Corporate IG USD</v>
          </cell>
          <cell r="G826" t="str">
            <v>SP-Spread Corporate</v>
          </cell>
          <cell r="H826" t="str">
            <v>SPREADS</v>
          </cell>
          <cell r="I826" t="str">
            <v>Corporate IG USD - Yankee</v>
          </cell>
        </row>
        <row r="827">
          <cell r="A827" t="str">
            <v>USD_CORP_YNK_A_5YR</v>
          </cell>
          <cell r="B827" t="str">
            <v>Corp YNK A 5Y</v>
          </cell>
          <cell r="C827" t="str">
            <v>BRS_GOLD__5_SPREADS:BRS_GOLD__4_CORP:BRS_GOLD__1_CORP:USD_CORP_YNK_A_5YR</v>
          </cell>
          <cell r="D827" t="str">
            <v>Spread Duration</v>
          </cell>
          <cell r="E827" t="str">
            <v>Other Spread Yield</v>
          </cell>
          <cell r="F827" t="str">
            <v>SP-Corporate IG USD</v>
          </cell>
          <cell r="G827" t="str">
            <v>SP-Spread Corporate</v>
          </cell>
          <cell r="H827" t="str">
            <v>SPREADS</v>
          </cell>
          <cell r="I827" t="str">
            <v>Corporate IG USD - Yankee</v>
          </cell>
        </row>
        <row r="828">
          <cell r="A828" t="str">
            <v>USD_CORP_YNK_A_10YR</v>
          </cell>
          <cell r="B828" t="str">
            <v>Corp YNK A 10Y</v>
          </cell>
          <cell r="C828" t="str">
            <v>BRS_GOLD__5_SPREADS:BRS_GOLD__4_CORP:BRS_GOLD__1_CORP:USD_CORP_YNK_A_10YR</v>
          </cell>
          <cell r="D828" t="str">
            <v>Spread Duration</v>
          </cell>
          <cell r="E828" t="str">
            <v>Other Spread Yield</v>
          </cell>
          <cell r="F828" t="str">
            <v>SP-Corporate IG USD</v>
          </cell>
          <cell r="G828" t="str">
            <v>SP-Spread Corporate</v>
          </cell>
          <cell r="H828" t="str">
            <v>SPREADS</v>
          </cell>
          <cell r="I828" t="str">
            <v>Corporate IG USD - Yankee</v>
          </cell>
        </row>
        <row r="829">
          <cell r="A829" t="str">
            <v>USD_CORP_YNK_A_30YR</v>
          </cell>
          <cell r="B829" t="str">
            <v>Corp YNK A 30Y</v>
          </cell>
          <cell r="C829" t="str">
            <v>BRS_GOLD__5_SPREADS:BRS_GOLD__4_CORP:BRS_GOLD__1_CORP:USD_CORP_YNK_A_30YR</v>
          </cell>
          <cell r="D829" t="str">
            <v>Spread Duration</v>
          </cell>
          <cell r="E829" t="str">
            <v>Other Spread Yield</v>
          </cell>
          <cell r="F829" t="str">
            <v>SP-Corporate IG USD</v>
          </cell>
          <cell r="G829" t="str">
            <v>SP-Spread Corporate</v>
          </cell>
          <cell r="H829" t="str">
            <v>SPREADS</v>
          </cell>
          <cell r="I829" t="str">
            <v>Corporate IG USD - Yankee</v>
          </cell>
        </row>
        <row r="830">
          <cell r="A830" t="str">
            <v>ALL_CORP_FIN_AAA_2YR</v>
          </cell>
          <cell r="B830" t="str">
            <v>Non$ FIN AAA 2Y</v>
          </cell>
          <cell r="C830" t="str">
            <v>BRS_GOLD__5_SPREADS:BRS_GOLD__4_CORP:BRS_GOLD__1_CORP:ALL_CORP_FIN_AAA_2YR</v>
          </cell>
          <cell r="D830" t="str">
            <v>Spread Duration</v>
          </cell>
          <cell r="E830" t="str">
            <v>Spread Yield</v>
          </cell>
          <cell r="F830" t="str">
            <v>SP-Corporate IG Other</v>
          </cell>
          <cell r="G830" t="str">
            <v>SP-Spread Corporate</v>
          </cell>
          <cell r="H830" t="str">
            <v>SPREADS</v>
          </cell>
          <cell r="I830" t="str">
            <v>Corporate IG Other - Industry</v>
          </cell>
        </row>
        <row r="831">
          <cell r="A831" t="str">
            <v>ALL_CORP_FIN_AAA_5YR</v>
          </cell>
          <cell r="B831" t="str">
            <v>Non$ FIN AAA 5Y</v>
          </cell>
          <cell r="C831" t="str">
            <v>BRS_GOLD__5_SPREADS:BRS_GOLD__4_CORP:BRS_GOLD__1_CORP:ALL_CORP_FIN_AAA_5YR</v>
          </cell>
          <cell r="D831" t="str">
            <v>Spread Duration</v>
          </cell>
          <cell r="E831" t="str">
            <v>Spread Yield</v>
          </cell>
          <cell r="F831" t="str">
            <v>SP-Corporate IG Other</v>
          </cell>
          <cell r="G831" t="str">
            <v>SP-Spread Corporate</v>
          </cell>
          <cell r="H831" t="str">
            <v>SPREADS</v>
          </cell>
          <cell r="I831" t="str">
            <v>Corporate IG Other - Industry</v>
          </cell>
        </row>
        <row r="832">
          <cell r="A832" t="str">
            <v>ALL_CORP_FIN_AAA_10YR</v>
          </cell>
          <cell r="B832" t="str">
            <v>Non$ FIN AAA 10Y</v>
          </cell>
          <cell r="C832" t="str">
            <v>BRS_GOLD__5_SPREADS:BRS_GOLD__4_CORP:BRS_GOLD__1_CORP:ALL_CORP_FIN_AAA_10YR</v>
          </cell>
          <cell r="D832" t="str">
            <v>Spread Duration</v>
          </cell>
          <cell r="E832" t="str">
            <v>Spread Yield</v>
          </cell>
          <cell r="F832" t="str">
            <v>SP-Corporate IG Other</v>
          </cell>
          <cell r="G832" t="str">
            <v>SP-Spread Corporate</v>
          </cell>
          <cell r="H832" t="str">
            <v>SPREADS</v>
          </cell>
          <cell r="I832" t="str">
            <v>Corporate IG Other - Industry</v>
          </cell>
        </row>
        <row r="833">
          <cell r="A833" t="str">
            <v>ALL_CORP_FIN_AAA_30YR</v>
          </cell>
          <cell r="B833" t="str">
            <v>Non$ FIN AAA 30Y</v>
          </cell>
          <cell r="C833" t="str">
            <v>BRS_GOLD__5_SPREADS:BRS_GOLD__4_CORP:BRS_GOLD__1_CORP:ALL_CORP_FIN_AAA_30YR</v>
          </cell>
          <cell r="D833" t="str">
            <v>Spread Duration</v>
          </cell>
          <cell r="E833" t="str">
            <v>Spread Yield</v>
          </cell>
          <cell r="F833" t="str">
            <v>SP-Corporate IG Other</v>
          </cell>
          <cell r="G833" t="str">
            <v>SP-Spread Corporate</v>
          </cell>
          <cell r="H833" t="str">
            <v>SPREADS</v>
          </cell>
          <cell r="I833" t="str">
            <v>Corporate IG Other - Industry</v>
          </cell>
        </row>
        <row r="834">
          <cell r="A834" t="str">
            <v>ALL_CORP_FIN_AA_2YR</v>
          </cell>
          <cell r="B834" t="str">
            <v>Non$ FIN AA 2Y</v>
          </cell>
          <cell r="C834" t="str">
            <v>BRS_GOLD__5_SPREADS:BRS_GOLD__4_CORP:BRS_GOLD__1_CORP:ALL_CORP_FIN_AA_2YR</v>
          </cell>
          <cell r="D834" t="str">
            <v>Spread Duration</v>
          </cell>
          <cell r="E834" t="str">
            <v>Spread Yield</v>
          </cell>
          <cell r="F834" t="str">
            <v>SP-Corporate IG Other</v>
          </cell>
          <cell r="G834" t="str">
            <v>SP-Spread Corporate</v>
          </cell>
          <cell r="H834" t="str">
            <v>SPREADS</v>
          </cell>
          <cell r="I834" t="str">
            <v>Corporate IG Other - Industry</v>
          </cell>
        </row>
        <row r="835">
          <cell r="A835" t="str">
            <v>ALL_CORP_FIN_AA_5YR</v>
          </cell>
          <cell r="B835" t="str">
            <v>Non$ FIN AA 5Y</v>
          </cell>
          <cell r="C835" t="str">
            <v>BRS_GOLD__5_SPREADS:BRS_GOLD__4_CORP:BRS_GOLD__1_CORP:ALL_CORP_FIN_AA_5YR</v>
          </cell>
          <cell r="D835" t="str">
            <v>Spread Duration</v>
          </cell>
          <cell r="E835" t="str">
            <v>Spread Yield</v>
          </cell>
          <cell r="F835" t="str">
            <v>SP-Corporate IG Other</v>
          </cell>
          <cell r="G835" t="str">
            <v>SP-Spread Corporate</v>
          </cell>
          <cell r="H835" t="str">
            <v>SPREADS</v>
          </cell>
          <cell r="I835" t="str">
            <v>Corporate IG Other - Industry</v>
          </cell>
        </row>
        <row r="836">
          <cell r="A836" t="str">
            <v>ALL_CORP_FIN_AA_10YR</v>
          </cell>
          <cell r="B836" t="str">
            <v>Non$ FIN AA 10Y</v>
          </cell>
          <cell r="C836" t="str">
            <v>BRS_GOLD__5_SPREADS:BRS_GOLD__4_CORP:BRS_GOLD__1_CORP:ALL_CORP_FIN_AA_10YR</v>
          </cell>
          <cell r="D836" t="str">
            <v>Spread Duration</v>
          </cell>
          <cell r="E836" t="str">
            <v>Spread Yield</v>
          </cell>
          <cell r="F836" t="str">
            <v>SP-Corporate IG Other</v>
          </cell>
          <cell r="G836" t="str">
            <v>SP-Spread Corporate</v>
          </cell>
          <cell r="H836" t="str">
            <v>SPREADS</v>
          </cell>
          <cell r="I836" t="str">
            <v>Corporate IG Other - Industry</v>
          </cell>
        </row>
        <row r="837">
          <cell r="A837" t="str">
            <v>ALL_CORP_FIN_AA_30YR</v>
          </cell>
          <cell r="B837" t="str">
            <v>Non$ FIN AA 30Y</v>
          </cell>
          <cell r="C837" t="str">
            <v>BRS_GOLD__5_SPREADS:BRS_GOLD__4_CORP:BRS_GOLD__1_CORP:ALL_CORP_FIN_AA_30YR</v>
          </cell>
          <cell r="D837" t="str">
            <v>Spread Duration</v>
          </cell>
          <cell r="E837" t="str">
            <v>Spread Yield</v>
          </cell>
          <cell r="F837" t="str">
            <v>SP-Corporate IG Other</v>
          </cell>
          <cell r="G837" t="str">
            <v>SP-Spread Corporate</v>
          </cell>
          <cell r="H837" t="str">
            <v>SPREADS</v>
          </cell>
          <cell r="I837" t="str">
            <v>Corporate IG Other - Industry</v>
          </cell>
        </row>
        <row r="838">
          <cell r="A838" t="str">
            <v>ALL_CORP_FIN_A_2YR</v>
          </cell>
          <cell r="B838" t="str">
            <v>Non$ FIN A 2Y</v>
          </cell>
          <cell r="C838" t="str">
            <v>BRS_GOLD__5_SPREADS:BRS_GOLD__4_CORP:BRS_GOLD__1_CORP:ALL_CORP_FIN_A_2YR</v>
          </cell>
          <cell r="D838" t="str">
            <v>Spread Duration</v>
          </cell>
          <cell r="E838" t="str">
            <v>Spread Yield</v>
          </cell>
          <cell r="F838" t="str">
            <v>SP-Corporate IG Other</v>
          </cell>
          <cell r="G838" t="str">
            <v>SP-Spread Corporate</v>
          </cell>
          <cell r="H838" t="str">
            <v>SPREADS</v>
          </cell>
          <cell r="I838" t="str">
            <v>Corporate IG Other - Industry</v>
          </cell>
        </row>
        <row r="839">
          <cell r="A839" t="str">
            <v>ALL_CORP_FIN_A_5YR</v>
          </cell>
          <cell r="B839" t="str">
            <v>Non$ FIN A 5Y</v>
          </cell>
          <cell r="C839" t="str">
            <v>BRS_GOLD__5_SPREADS:BRS_GOLD__4_CORP:BRS_GOLD__1_CORP:ALL_CORP_FIN_A_5YR</v>
          </cell>
          <cell r="D839" t="str">
            <v>Spread Duration</v>
          </cell>
          <cell r="E839" t="str">
            <v>Spread Yield</v>
          </cell>
          <cell r="F839" t="str">
            <v>SP-Corporate IG Other</v>
          </cell>
          <cell r="G839" t="str">
            <v>SP-Spread Corporate</v>
          </cell>
          <cell r="H839" t="str">
            <v>SPREADS</v>
          </cell>
          <cell r="I839" t="str">
            <v>Corporate IG Other - Industry</v>
          </cell>
        </row>
        <row r="840">
          <cell r="A840" t="str">
            <v>ALL_CORP_FIN_A_10YR</v>
          </cell>
          <cell r="B840" t="str">
            <v>Non$ FIN A 10Y</v>
          </cell>
          <cell r="C840" t="str">
            <v>BRS_GOLD__5_SPREADS:BRS_GOLD__4_CORP:BRS_GOLD__1_CORP:ALL_CORP_FIN_A_10YR</v>
          </cell>
          <cell r="D840" t="str">
            <v>Spread Duration</v>
          </cell>
          <cell r="E840" t="str">
            <v>Spread Yield</v>
          </cell>
          <cell r="F840" t="str">
            <v>SP-Corporate IG Other</v>
          </cell>
          <cell r="G840" t="str">
            <v>SP-Spread Corporate</v>
          </cell>
          <cell r="H840" t="str">
            <v>SPREADS</v>
          </cell>
          <cell r="I840" t="str">
            <v>Corporate IG Other - Industry</v>
          </cell>
        </row>
        <row r="841">
          <cell r="A841" t="str">
            <v>ALL_CORP_FIN_A_30YR</v>
          </cell>
          <cell r="B841" t="str">
            <v>Non$ FIN A 30Y</v>
          </cell>
          <cell r="C841" t="str">
            <v>BRS_GOLD__5_SPREADS:BRS_GOLD__4_CORP:BRS_GOLD__1_CORP:ALL_CORP_FIN_A_30YR</v>
          </cell>
          <cell r="D841" t="str">
            <v>Spread Duration</v>
          </cell>
          <cell r="E841" t="str">
            <v>Spread Yield</v>
          </cell>
          <cell r="F841" t="str">
            <v>SP-Corporate IG Other</v>
          </cell>
          <cell r="G841" t="str">
            <v>SP-Spread Corporate</v>
          </cell>
          <cell r="H841" t="str">
            <v>SPREADS</v>
          </cell>
          <cell r="I841" t="str">
            <v>Corporate IG Other - Industry</v>
          </cell>
        </row>
        <row r="842">
          <cell r="A842" t="str">
            <v>ALL_CORP_IND_AAA_2YR</v>
          </cell>
          <cell r="B842" t="str">
            <v>Non$ IND AAA 2Y</v>
          </cell>
          <cell r="C842" t="str">
            <v>BRS_GOLD__5_SPREADS:BRS_GOLD__4_CORP:BRS_GOLD__1_CORP:ALL_CORP_IND_AAA_2YR</v>
          </cell>
          <cell r="D842" t="str">
            <v>Spread Duration</v>
          </cell>
          <cell r="E842" t="str">
            <v>Spread Yield</v>
          </cell>
          <cell r="F842" t="str">
            <v>SP-Corporate IG Other</v>
          </cell>
          <cell r="G842" t="str">
            <v>SP-Spread Corporate</v>
          </cell>
          <cell r="H842" t="str">
            <v>SPREADS</v>
          </cell>
          <cell r="I842" t="str">
            <v>Corporate IG Other - Industry</v>
          </cell>
        </row>
        <row r="843">
          <cell r="A843" t="str">
            <v>ALL_CORP_IND_AAA_5YR</v>
          </cell>
          <cell r="B843" t="str">
            <v>Non$ IND AAA 5Y</v>
          </cell>
          <cell r="C843" t="str">
            <v>BRS_GOLD__5_SPREADS:BRS_GOLD__4_CORP:BRS_GOLD__1_CORP:ALL_CORP_IND_AAA_5YR</v>
          </cell>
          <cell r="D843" t="str">
            <v>Spread Duration</v>
          </cell>
          <cell r="E843" t="str">
            <v>Spread Yield</v>
          </cell>
          <cell r="F843" t="str">
            <v>SP-Corporate IG Other</v>
          </cell>
          <cell r="G843" t="str">
            <v>SP-Spread Corporate</v>
          </cell>
          <cell r="H843" t="str">
            <v>SPREADS</v>
          </cell>
          <cell r="I843" t="str">
            <v>Corporate IG Other - Industry</v>
          </cell>
        </row>
        <row r="844">
          <cell r="A844" t="str">
            <v>ALL_CORP_IND_AAA_10YR</v>
          </cell>
          <cell r="B844" t="str">
            <v>Non$ IND AAA 10Y</v>
          </cell>
          <cell r="C844" t="str">
            <v>BRS_GOLD__5_SPREADS:BRS_GOLD__4_CORP:BRS_GOLD__1_CORP:ALL_CORP_IND_AAA_10YR</v>
          </cell>
          <cell r="D844" t="str">
            <v>Spread Duration</v>
          </cell>
          <cell r="E844" t="str">
            <v>Spread Yield</v>
          </cell>
          <cell r="F844" t="str">
            <v>SP-Corporate IG Other</v>
          </cell>
          <cell r="G844" t="str">
            <v>SP-Spread Corporate</v>
          </cell>
          <cell r="H844" t="str">
            <v>SPREADS</v>
          </cell>
          <cell r="I844" t="str">
            <v>Corporate IG Other - Industry</v>
          </cell>
        </row>
        <row r="845">
          <cell r="A845" t="str">
            <v>ALL_CORP_IND_AAA_30YR</v>
          </cell>
          <cell r="B845" t="str">
            <v>Non$ IND AAA 30Y</v>
          </cell>
          <cell r="C845" t="str">
            <v>BRS_GOLD__5_SPREADS:BRS_GOLD__4_CORP:BRS_GOLD__1_CORP:ALL_CORP_IND_AAA_30YR</v>
          </cell>
          <cell r="D845" t="str">
            <v>Spread Duration</v>
          </cell>
          <cell r="E845" t="str">
            <v>Spread Yield</v>
          </cell>
          <cell r="F845" t="str">
            <v>SP-Corporate IG Other</v>
          </cell>
          <cell r="G845" t="str">
            <v>SP-Spread Corporate</v>
          </cell>
          <cell r="H845" t="str">
            <v>SPREADS</v>
          </cell>
          <cell r="I845" t="str">
            <v>Corporate IG Other - Industry</v>
          </cell>
        </row>
        <row r="846">
          <cell r="A846" t="str">
            <v>ALL_CORP_IND_AA_2YR</v>
          </cell>
          <cell r="B846" t="str">
            <v>Non$ IND AA 2Y</v>
          </cell>
          <cell r="C846" t="str">
            <v>BRS_GOLD__5_SPREADS:BRS_GOLD__4_CORP:BRS_GOLD__1_CORP:ALL_CORP_IND_AA_2YR</v>
          </cell>
          <cell r="D846" t="str">
            <v>Spread Duration</v>
          </cell>
          <cell r="E846" t="str">
            <v>Spread Yield</v>
          </cell>
          <cell r="F846" t="str">
            <v>SP-Corporate IG Other</v>
          </cell>
          <cell r="G846" t="str">
            <v>SP-Spread Corporate</v>
          </cell>
          <cell r="H846" t="str">
            <v>SPREADS</v>
          </cell>
          <cell r="I846" t="str">
            <v>Corporate IG Other - Industry</v>
          </cell>
        </row>
        <row r="847">
          <cell r="A847" t="str">
            <v>ALL_CORP_IND_AA_5YR</v>
          </cell>
          <cell r="B847" t="str">
            <v>Non$ IND AA 5Y</v>
          </cell>
          <cell r="C847" t="str">
            <v>BRS_GOLD__5_SPREADS:BRS_GOLD__4_CORP:BRS_GOLD__1_CORP:ALL_CORP_IND_AA_5YR</v>
          </cell>
          <cell r="D847" t="str">
            <v>Spread Duration</v>
          </cell>
          <cell r="E847" t="str">
            <v>Spread Yield</v>
          </cell>
          <cell r="F847" t="str">
            <v>SP-Corporate IG Other</v>
          </cell>
          <cell r="G847" t="str">
            <v>SP-Spread Corporate</v>
          </cell>
          <cell r="H847" t="str">
            <v>SPREADS</v>
          </cell>
          <cell r="I847" t="str">
            <v>Corporate IG Other - Industry</v>
          </cell>
        </row>
        <row r="848">
          <cell r="A848" t="str">
            <v>ALL_CORP_IND_AA_10YR</v>
          </cell>
          <cell r="B848" t="str">
            <v>Non$ IND AA 10Y</v>
          </cell>
          <cell r="C848" t="str">
            <v>BRS_GOLD__5_SPREADS:BRS_GOLD__4_CORP:BRS_GOLD__1_CORP:ALL_CORP_IND_AA_10YR</v>
          </cell>
          <cell r="D848" t="str">
            <v>Spread Duration</v>
          </cell>
          <cell r="E848" t="str">
            <v>Spread Yield</v>
          </cell>
          <cell r="F848" t="str">
            <v>SP-Corporate IG Other</v>
          </cell>
          <cell r="G848" t="str">
            <v>SP-Spread Corporate</v>
          </cell>
          <cell r="H848" t="str">
            <v>SPREADS</v>
          </cell>
          <cell r="I848" t="str">
            <v>Corporate IG Other - Industry</v>
          </cell>
        </row>
        <row r="849">
          <cell r="A849" t="str">
            <v>ALL_CORP_IND_AA_30YR</v>
          </cell>
          <cell r="B849" t="str">
            <v>Non$ IND AA 30Y</v>
          </cell>
          <cell r="C849" t="str">
            <v>BRS_GOLD__5_SPREADS:BRS_GOLD__4_CORP:BRS_GOLD__1_CORP:ALL_CORP_IND_AA_30YR</v>
          </cell>
          <cell r="D849" t="str">
            <v>Spread Duration</v>
          </cell>
          <cell r="E849" t="str">
            <v>Spread Yield</v>
          </cell>
          <cell r="F849" t="str">
            <v>SP-Corporate IG Other</v>
          </cell>
          <cell r="G849" t="str">
            <v>SP-Spread Corporate</v>
          </cell>
          <cell r="H849" t="str">
            <v>SPREADS</v>
          </cell>
          <cell r="I849" t="str">
            <v>Corporate IG Other - Industry</v>
          </cell>
        </row>
        <row r="850">
          <cell r="A850" t="str">
            <v>ALL_CORP_IND_A_2YR</v>
          </cell>
          <cell r="B850" t="str">
            <v>Non$ IND A 2Y</v>
          </cell>
          <cell r="C850" t="str">
            <v>BRS_GOLD__5_SPREADS:BRS_GOLD__4_CORP:BRS_GOLD__1_CORP:ALL_CORP_IND_A_2YR</v>
          </cell>
          <cell r="D850" t="str">
            <v>Spread Duration</v>
          </cell>
          <cell r="E850" t="str">
            <v>Spread Yield</v>
          </cell>
          <cell r="F850" t="str">
            <v>SP-Corporate IG Other</v>
          </cell>
          <cell r="G850" t="str">
            <v>SP-Spread Corporate</v>
          </cell>
          <cell r="H850" t="str">
            <v>SPREADS</v>
          </cell>
          <cell r="I850" t="str">
            <v>Corporate IG Other - Industry</v>
          </cell>
        </row>
        <row r="851">
          <cell r="A851" t="str">
            <v>ALL_CORP_IND_A_5YR</v>
          </cell>
          <cell r="B851" t="str">
            <v>Non$ IND A 5Y</v>
          </cell>
          <cell r="C851" t="str">
            <v>BRS_GOLD__5_SPREADS:BRS_GOLD__4_CORP:BRS_GOLD__1_CORP:ALL_CORP_IND_A_5YR</v>
          </cell>
          <cell r="D851" t="str">
            <v>Spread Duration</v>
          </cell>
          <cell r="E851" t="str">
            <v>Spread Yield</v>
          </cell>
          <cell r="F851" t="str">
            <v>SP-Corporate IG Other</v>
          </cell>
          <cell r="G851" t="str">
            <v>SP-Spread Corporate</v>
          </cell>
          <cell r="H851" t="str">
            <v>SPREADS</v>
          </cell>
          <cell r="I851" t="str">
            <v>Corporate IG Other - Industry</v>
          </cell>
        </row>
        <row r="852">
          <cell r="A852" t="str">
            <v>ALL_CORP_IND_A_10YR</v>
          </cell>
          <cell r="B852" t="str">
            <v>Non$ IND A 10Y</v>
          </cell>
          <cell r="C852" t="str">
            <v>BRS_GOLD__5_SPREADS:BRS_GOLD__4_CORP:BRS_GOLD__1_CORP:ALL_CORP_IND_A_10YR</v>
          </cell>
          <cell r="D852" t="str">
            <v>Spread Duration</v>
          </cell>
          <cell r="E852" t="str">
            <v>Spread Yield</v>
          </cell>
          <cell r="F852" t="str">
            <v>SP-Corporate IG Other</v>
          </cell>
          <cell r="G852" t="str">
            <v>SP-Spread Corporate</v>
          </cell>
          <cell r="H852" t="str">
            <v>SPREADS</v>
          </cell>
          <cell r="I852" t="str">
            <v>Corporate IG Other - Industry</v>
          </cell>
        </row>
        <row r="853">
          <cell r="A853" t="str">
            <v>ALL_CORP_IND_A_30YR</v>
          </cell>
          <cell r="B853" t="str">
            <v>Non$ IND A 30Y</v>
          </cell>
          <cell r="C853" t="str">
            <v>BRS_GOLD__5_SPREADS:BRS_GOLD__4_CORP:BRS_GOLD__1_CORP:ALL_CORP_IND_A_30YR</v>
          </cell>
          <cell r="D853" t="str">
            <v>Spread Duration</v>
          </cell>
          <cell r="E853" t="str">
            <v>Spread Yield</v>
          </cell>
          <cell r="F853" t="str">
            <v>SP-Corporate IG Other</v>
          </cell>
          <cell r="G853" t="str">
            <v>SP-Spread Corporate</v>
          </cell>
          <cell r="H853" t="str">
            <v>SPREADS</v>
          </cell>
          <cell r="I853" t="str">
            <v>Corporate IG Other - Industry</v>
          </cell>
        </row>
        <row r="854">
          <cell r="A854" t="str">
            <v>ALL_CORP_UTL_AAA_2YR</v>
          </cell>
          <cell r="B854" t="str">
            <v>Non$ UTL AAA 2Y</v>
          </cell>
          <cell r="C854" t="str">
            <v>BRS_GOLD__5_SPREADS:BRS_GOLD__4_CORP:BRS_GOLD__1_CORP:ALL_CORP_UTL_AAA_2YR</v>
          </cell>
          <cell r="D854" t="str">
            <v>Spread Duration</v>
          </cell>
          <cell r="E854" t="str">
            <v>Spread Yield</v>
          </cell>
          <cell r="F854" t="str">
            <v>SP-Corporate IG Other</v>
          </cell>
          <cell r="G854" t="str">
            <v>SP-Spread Corporate</v>
          </cell>
          <cell r="H854" t="str">
            <v>SPREADS</v>
          </cell>
          <cell r="I854" t="str">
            <v>Corporate IG Other - Industry</v>
          </cell>
        </row>
        <row r="855">
          <cell r="A855" t="str">
            <v>ALL_CORP_UTL_AAA_5YR</v>
          </cell>
          <cell r="B855" t="str">
            <v>Non$ UTL AAA 5Y</v>
          </cell>
          <cell r="C855" t="str">
            <v>BRS_GOLD__5_SPREADS:BRS_GOLD__4_CORP:BRS_GOLD__1_CORP:ALL_CORP_UTL_AAA_5YR</v>
          </cell>
          <cell r="D855" t="str">
            <v>Spread Duration</v>
          </cell>
          <cell r="E855" t="str">
            <v>Spread Yield</v>
          </cell>
          <cell r="F855" t="str">
            <v>SP-Corporate IG Other</v>
          </cell>
          <cell r="G855" t="str">
            <v>SP-Spread Corporate</v>
          </cell>
          <cell r="H855" t="str">
            <v>SPREADS</v>
          </cell>
          <cell r="I855" t="str">
            <v>Corporate IG Other - Industry</v>
          </cell>
        </row>
        <row r="856">
          <cell r="A856" t="str">
            <v>ALL_CORP_UTL_AAA_10YR</v>
          </cell>
          <cell r="B856" t="str">
            <v>Non$ UTL AAA 10Y</v>
          </cell>
          <cell r="C856" t="str">
            <v>BRS_GOLD__5_SPREADS:BRS_GOLD__4_CORP:BRS_GOLD__1_CORP:ALL_CORP_UTL_AAA_10YR</v>
          </cell>
          <cell r="D856" t="str">
            <v>Spread Duration</v>
          </cell>
          <cell r="E856" t="str">
            <v>Spread Yield</v>
          </cell>
          <cell r="F856" t="str">
            <v>SP-Corporate IG Other</v>
          </cell>
          <cell r="G856" t="str">
            <v>SP-Spread Corporate</v>
          </cell>
          <cell r="H856" t="str">
            <v>SPREADS</v>
          </cell>
          <cell r="I856" t="str">
            <v>Corporate IG Other - Industry</v>
          </cell>
        </row>
        <row r="857">
          <cell r="A857" t="str">
            <v>ALL_CORP_UTL_AAA_30YR</v>
          </cell>
          <cell r="B857" t="str">
            <v>Non$ UTL AAA 30Y</v>
          </cell>
          <cell r="C857" t="str">
            <v>BRS_GOLD__5_SPREADS:BRS_GOLD__4_CORP:BRS_GOLD__1_CORP:ALL_CORP_UTL_AAA_30YR</v>
          </cell>
          <cell r="D857" t="str">
            <v>Spread Duration</v>
          </cell>
          <cell r="E857" t="str">
            <v>Spread Yield</v>
          </cell>
          <cell r="F857" t="str">
            <v>SP-Corporate IG Other</v>
          </cell>
          <cell r="G857" t="str">
            <v>SP-Spread Corporate</v>
          </cell>
          <cell r="H857" t="str">
            <v>SPREADS</v>
          </cell>
          <cell r="I857" t="str">
            <v>Corporate IG Other - Industry</v>
          </cell>
        </row>
        <row r="858">
          <cell r="A858" t="str">
            <v>ALL_CORP_UTL_AA_2YR</v>
          </cell>
          <cell r="B858" t="str">
            <v>Non$ UTL AA 2Y</v>
          </cell>
          <cell r="C858" t="str">
            <v>BRS_GOLD__5_SPREADS:BRS_GOLD__4_CORP:BRS_GOLD__1_CORP:ALL_CORP_UTL_AA_2YR</v>
          </cell>
          <cell r="D858" t="str">
            <v>Spread Duration</v>
          </cell>
          <cell r="E858" t="str">
            <v>Spread Yield</v>
          </cell>
          <cell r="F858" t="str">
            <v>SP-Corporate IG Other</v>
          </cell>
          <cell r="G858" t="str">
            <v>SP-Spread Corporate</v>
          </cell>
          <cell r="H858" t="str">
            <v>SPREADS</v>
          </cell>
          <cell r="I858" t="str">
            <v>Corporate IG Other - Industry</v>
          </cell>
        </row>
        <row r="859">
          <cell r="A859" t="str">
            <v>ALL_CORP_UTL_AA_5YR</v>
          </cell>
          <cell r="B859" t="str">
            <v>Non$ UTL AA 5Y</v>
          </cell>
          <cell r="C859" t="str">
            <v>BRS_GOLD__5_SPREADS:BRS_GOLD__4_CORP:BRS_GOLD__1_CORP:ALL_CORP_UTL_AA_5YR</v>
          </cell>
          <cell r="D859" t="str">
            <v>Spread Duration</v>
          </cell>
          <cell r="E859" t="str">
            <v>Spread Yield</v>
          </cell>
          <cell r="F859" t="str">
            <v>SP-Corporate IG Other</v>
          </cell>
          <cell r="G859" t="str">
            <v>SP-Spread Corporate</v>
          </cell>
          <cell r="H859" t="str">
            <v>SPREADS</v>
          </cell>
          <cell r="I859" t="str">
            <v>Corporate IG Other - Industry</v>
          </cell>
        </row>
        <row r="860">
          <cell r="A860" t="str">
            <v>ALL_CORP_UTL_AA_10YR</v>
          </cell>
          <cell r="B860" t="str">
            <v>Non$ UTL AA 10Y</v>
          </cell>
          <cell r="C860" t="str">
            <v>BRS_GOLD__5_SPREADS:BRS_GOLD__4_CORP:BRS_GOLD__1_CORP:ALL_CORP_UTL_AA_10YR</v>
          </cell>
          <cell r="D860" t="str">
            <v>Spread Duration</v>
          </cell>
          <cell r="E860" t="str">
            <v>Spread Yield</v>
          </cell>
          <cell r="F860" t="str">
            <v>SP-Corporate IG Other</v>
          </cell>
          <cell r="G860" t="str">
            <v>SP-Spread Corporate</v>
          </cell>
          <cell r="H860" t="str">
            <v>SPREADS</v>
          </cell>
          <cell r="I860" t="str">
            <v>Corporate IG Other - Industry</v>
          </cell>
        </row>
        <row r="861">
          <cell r="A861" t="str">
            <v>ALL_CORP_UTL_AA_30YR</v>
          </cell>
          <cell r="B861" t="str">
            <v>Non$ UTL AA 30Y</v>
          </cell>
          <cell r="C861" t="str">
            <v>BRS_GOLD__5_SPREADS:BRS_GOLD__4_CORP:BRS_GOLD__1_CORP:ALL_CORP_UTL_AA_30YR</v>
          </cell>
          <cell r="D861" t="str">
            <v>Spread Duration</v>
          </cell>
          <cell r="E861" t="str">
            <v>Spread Yield</v>
          </cell>
          <cell r="F861" t="str">
            <v>SP-Corporate IG Other</v>
          </cell>
          <cell r="G861" t="str">
            <v>SP-Spread Corporate</v>
          </cell>
          <cell r="H861" t="str">
            <v>SPREADS</v>
          </cell>
          <cell r="I861" t="str">
            <v>Corporate IG Other - Industry</v>
          </cell>
        </row>
        <row r="862">
          <cell r="A862" t="str">
            <v>ALL_CORP_UTL_A_2YR</v>
          </cell>
          <cell r="B862" t="str">
            <v>Non$ UTL A 2Y</v>
          </cell>
          <cell r="C862" t="str">
            <v>BRS_GOLD__5_SPREADS:BRS_GOLD__4_CORP:BRS_GOLD__1_CORP:ALL_CORP_UTL_A_2YR</v>
          </cell>
          <cell r="D862" t="str">
            <v>Spread Duration</v>
          </cell>
          <cell r="E862" t="str">
            <v>Spread Yield</v>
          </cell>
          <cell r="F862" t="str">
            <v>SP-Corporate IG Other</v>
          </cell>
          <cell r="G862" t="str">
            <v>SP-Spread Corporate</v>
          </cell>
          <cell r="H862" t="str">
            <v>SPREADS</v>
          </cell>
          <cell r="I862" t="str">
            <v>Corporate IG Other - Industry</v>
          </cell>
        </row>
        <row r="863">
          <cell r="A863" t="str">
            <v>ALL_CORP_UTL_A_5YR</v>
          </cell>
          <cell r="B863" t="str">
            <v>Non$ UTL A 5Y</v>
          </cell>
          <cell r="C863" t="str">
            <v>BRS_GOLD__5_SPREADS:BRS_GOLD__4_CORP:BRS_GOLD__1_CORP:ALL_CORP_UTL_A_5YR</v>
          </cell>
          <cell r="D863" t="str">
            <v>Spread Duration</v>
          </cell>
          <cell r="E863" t="str">
            <v>Spread Yield</v>
          </cell>
          <cell r="F863" t="str">
            <v>SP-Corporate IG Other</v>
          </cell>
          <cell r="G863" t="str">
            <v>SP-Spread Corporate</v>
          </cell>
          <cell r="H863" t="str">
            <v>SPREADS</v>
          </cell>
          <cell r="I863" t="str">
            <v>Corporate IG Other - Industry</v>
          </cell>
        </row>
        <row r="864">
          <cell r="A864" t="str">
            <v>ALL_CORP_UTL_A_10YR</v>
          </cell>
          <cell r="B864" t="str">
            <v>Non$ UTL A 10Y</v>
          </cell>
          <cell r="C864" t="str">
            <v>BRS_GOLD__5_SPREADS:BRS_GOLD__4_CORP:BRS_GOLD__1_CORP:ALL_CORP_UTL_A_10YR</v>
          </cell>
          <cell r="D864" t="str">
            <v>Spread Duration</v>
          </cell>
          <cell r="E864" t="str">
            <v>Spread Yield</v>
          </cell>
          <cell r="F864" t="str">
            <v>SP-Corporate IG Other</v>
          </cell>
          <cell r="G864" t="str">
            <v>SP-Spread Corporate</v>
          </cell>
          <cell r="H864" t="str">
            <v>SPREADS</v>
          </cell>
          <cell r="I864" t="str">
            <v>Corporate IG Other - Industry</v>
          </cell>
        </row>
        <row r="865">
          <cell r="A865" t="str">
            <v>ALL_CORP_UTL_A_30YR</v>
          </cell>
          <cell r="B865" t="str">
            <v>Non$ UTL A 30Y</v>
          </cell>
          <cell r="C865" t="str">
            <v>BRS_GOLD__5_SPREADS:BRS_GOLD__4_CORP:BRS_GOLD__1_CORP:ALL_CORP_UTL_A_30YR</v>
          </cell>
          <cell r="D865" t="str">
            <v>Spread Duration</v>
          </cell>
          <cell r="E865" t="str">
            <v>Spread Yield</v>
          </cell>
          <cell r="F865" t="str">
            <v>SP-Corporate IG Other</v>
          </cell>
          <cell r="G865" t="str">
            <v>SP-Spread Corporate</v>
          </cell>
          <cell r="H865" t="str">
            <v>SPREADS</v>
          </cell>
          <cell r="I865" t="str">
            <v>Corporate IG Other - Industry</v>
          </cell>
        </row>
        <row r="866">
          <cell r="A866" t="str">
            <v>ALL_CORP_YNK_AAA_2YR</v>
          </cell>
          <cell r="B866" t="str">
            <v>Non$ YNK AAA 2Y</v>
          </cell>
          <cell r="C866" t="str">
            <v>BRS_GOLD__5_SPREADS:BRS_GOLD__4_CORP:BRS_GOLD__1_CORP:ALL_CORP_YNK_AAA_2YR</v>
          </cell>
          <cell r="D866" t="str">
            <v>Spread Duration</v>
          </cell>
          <cell r="E866" t="str">
            <v>Spread Yield</v>
          </cell>
          <cell r="F866" t="str">
            <v>SP-Corporate IG Other</v>
          </cell>
          <cell r="G866" t="str">
            <v>SP-Spread Corporate</v>
          </cell>
          <cell r="H866" t="str">
            <v>SPREADS</v>
          </cell>
          <cell r="I866" t="str">
            <v>Corporate IG Other - Yankee</v>
          </cell>
        </row>
        <row r="867">
          <cell r="A867" t="str">
            <v>ALL_CORP_YNK_AAA_5YR</v>
          </cell>
          <cell r="B867" t="str">
            <v>Non$ YNK AAA 5Y</v>
          </cell>
          <cell r="C867" t="str">
            <v>BRS_GOLD__5_SPREADS:BRS_GOLD__4_CORP:BRS_GOLD__1_CORP:ALL_CORP_YNK_AAA_5YR</v>
          </cell>
          <cell r="D867" t="str">
            <v>Spread Duration</v>
          </cell>
          <cell r="E867" t="str">
            <v>Spread Yield</v>
          </cell>
          <cell r="F867" t="str">
            <v>SP-Corporate IG Other</v>
          </cell>
          <cell r="G867" t="str">
            <v>SP-Spread Corporate</v>
          </cell>
          <cell r="H867" t="str">
            <v>SPREADS</v>
          </cell>
          <cell r="I867" t="str">
            <v>Corporate IG Other - Yankee</v>
          </cell>
        </row>
        <row r="868">
          <cell r="A868" t="str">
            <v>ALL_CORP_YNK_AAA_10YR</v>
          </cell>
          <cell r="B868" t="str">
            <v>Non$ YNK AAA 10Y</v>
          </cell>
          <cell r="C868" t="str">
            <v>BRS_GOLD__5_SPREADS:BRS_GOLD__4_CORP:BRS_GOLD__1_CORP:ALL_CORP_YNK_AAA_10YR</v>
          </cell>
          <cell r="D868" t="str">
            <v>Spread Duration</v>
          </cell>
          <cell r="E868" t="str">
            <v>Spread Yield</v>
          </cell>
          <cell r="F868" t="str">
            <v>SP-Corporate IG Other</v>
          </cell>
          <cell r="G868" t="str">
            <v>SP-Spread Corporate</v>
          </cell>
          <cell r="H868" t="str">
            <v>SPREADS</v>
          </cell>
          <cell r="I868" t="str">
            <v>Corporate IG Other - Yankee</v>
          </cell>
        </row>
        <row r="869">
          <cell r="A869" t="str">
            <v>ALL_CORP_YNK_AAA_30YR</v>
          </cell>
          <cell r="B869" t="str">
            <v>Non$ YNK AAA 30Y</v>
          </cell>
          <cell r="C869" t="str">
            <v>BRS_GOLD__5_SPREADS:BRS_GOLD__4_CORP:BRS_GOLD__1_CORP:ALL_CORP_YNK_AAA_30YR</v>
          </cell>
          <cell r="D869" t="str">
            <v>Spread Duration</v>
          </cell>
          <cell r="E869" t="str">
            <v>Spread Yield</v>
          </cell>
          <cell r="F869" t="str">
            <v>SP-Corporate IG Other</v>
          </cell>
          <cell r="G869" t="str">
            <v>SP-Spread Corporate</v>
          </cell>
          <cell r="H869" t="str">
            <v>SPREADS</v>
          </cell>
          <cell r="I869" t="str">
            <v>Corporate IG Other - Yankee</v>
          </cell>
        </row>
        <row r="870">
          <cell r="A870" t="str">
            <v>ALL_CORP_YNK_AA_2YR</v>
          </cell>
          <cell r="B870" t="str">
            <v>Non$ YNK AA 2Y</v>
          </cell>
          <cell r="C870" t="str">
            <v>BRS_GOLD__5_SPREADS:BRS_GOLD__4_CORP:BRS_GOLD__1_CORP:ALL_CORP_YNK_AA_2YR</v>
          </cell>
          <cell r="D870" t="str">
            <v>Spread Duration</v>
          </cell>
          <cell r="E870" t="str">
            <v>Spread Yield</v>
          </cell>
          <cell r="F870" t="str">
            <v>SP-Corporate IG Other</v>
          </cell>
          <cell r="G870" t="str">
            <v>SP-Spread Corporate</v>
          </cell>
          <cell r="H870" t="str">
            <v>SPREADS</v>
          </cell>
          <cell r="I870" t="str">
            <v>Corporate IG Other - Yankee</v>
          </cell>
        </row>
        <row r="871">
          <cell r="A871" t="str">
            <v>ITL_3m</v>
          </cell>
          <cell r="B871" t="str">
            <v>ITL 3M</v>
          </cell>
          <cell r="C871" t="str">
            <v>BRS_GOLD__2_RATES:BRS_GOLD__1_EURSPRD:BRS_GOLD__1_ITLIR:ITL,ITL_10yr_10yr:ITL_3m</v>
          </cell>
          <cell r="D871" t="str">
            <v>KRD</v>
          </cell>
          <cell r="E871" t="str">
            <v>Spread Yield (DxS)</v>
          </cell>
          <cell r="F871" t="str">
            <v>FI-Spread Govt ITA</v>
          </cell>
          <cell r="G871" t="str">
            <v>FI-Spread Govt NON-Core EUR</v>
          </cell>
          <cell r="H871" t="str">
            <v>RATES</v>
          </cell>
          <cell r="I871" t="str">
            <v>Spread Govt ITA</v>
          </cell>
        </row>
        <row r="872">
          <cell r="A872" t="str">
            <v>ITL_1yr</v>
          </cell>
          <cell r="B872" t="str">
            <v>ITL 1Y</v>
          </cell>
          <cell r="C872" t="str">
            <v>BRS_GOLD__2_RATES:BRS_GOLD__1_EURSPRD:BRS_GOLD__1_ITLIR:ITL,ITL_10yr_10yr:ITL_1yr</v>
          </cell>
          <cell r="D872" t="str">
            <v>KRD</v>
          </cell>
          <cell r="E872" t="str">
            <v>Spread Yield (DxS)</v>
          </cell>
          <cell r="F872" t="str">
            <v>FI-Spread Govt ITA</v>
          </cell>
          <cell r="G872" t="str">
            <v>FI-Spread Govt NON-Core EUR</v>
          </cell>
          <cell r="H872" t="str">
            <v>RATES</v>
          </cell>
          <cell r="I872" t="str">
            <v>Spread Govt ITA</v>
          </cell>
        </row>
        <row r="873">
          <cell r="A873" t="str">
            <v>ITL_2yr</v>
          </cell>
          <cell r="B873" t="str">
            <v>ITL 2Y</v>
          </cell>
          <cell r="C873" t="str">
            <v>BRS_GOLD__2_RATES:BRS_GOLD__1_EURSPRD:BRS_GOLD__1_ITLIR:ITL,ITL_10yr_10yr:ITL_2yr</v>
          </cell>
          <cell r="D873" t="str">
            <v>KRD</v>
          </cell>
          <cell r="E873" t="str">
            <v>Spread Yield (DxS)</v>
          </cell>
          <cell r="F873" t="str">
            <v>FI-Spread Govt ITA</v>
          </cell>
          <cell r="G873" t="str">
            <v>FI-Spread Govt NON-Core EUR</v>
          </cell>
          <cell r="H873" t="str">
            <v>RATES</v>
          </cell>
          <cell r="I873" t="str">
            <v>Spread Govt ITA</v>
          </cell>
        </row>
        <row r="874">
          <cell r="A874" t="str">
            <v>ITL_3yr</v>
          </cell>
          <cell r="B874" t="str">
            <v>ITL 3Y</v>
          </cell>
          <cell r="C874" t="str">
            <v>BRS_GOLD__2_RATES:BRS_GOLD__1_EURSPRD:BRS_GOLD__1_ITLIR:ITL,ITL_10yr_10yr:ITL_3yr</v>
          </cell>
          <cell r="D874" t="str">
            <v>KRD</v>
          </cell>
          <cell r="E874" t="str">
            <v>Spread Yield (DxS)</v>
          </cell>
          <cell r="F874" t="str">
            <v>FI-Spread Govt ITA</v>
          </cell>
          <cell r="G874" t="str">
            <v>FI-Spread Govt NON-Core EUR</v>
          </cell>
          <cell r="H874" t="str">
            <v>RATES</v>
          </cell>
          <cell r="I874" t="str">
            <v>Spread Govt ITA</v>
          </cell>
        </row>
        <row r="875">
          <cell r="A875" t="str">
            <v>ITL_5yr</v>
          </cell>
          <cell r="B875" t="str">
            <v>ITL 5Y</v>
          </cell>
          <cell r="C875" t="str">
            <v>BRS_GOLD__2_RATES:BRS_GOLD__1_EURSPRD:BRS_GOLD__1_ITLIR:ITL,ITL_10yr_10yr:ITL_5yr</v>
          </cell>
          <cell r="D875" t="str">
            <v>KRD</v>
          </cell>
          <cell r="E875" t="str">
            <v>Spread Yield (DxS)</v>
          </cell>
          <cell r="F875" t="str">
            <v>FI-Spread Govt ITA</v>
          </cell>
          <cell r="G875" t="str">
            <v>FI-Spread Govt NON-Core EUR</v>
          </cell>
          <cell r="H875" t="str">
            <v>RATES</v>
          </cell>
          <cell r="I875" t="str">
            <v>Spread Govt ITA</v>
          </cell>
        </row>
        <row r="876">
          <cell r="A876" t="str">
            <v>ITL_7yr</v>
          </cell>
          <cell r="B876" t="str">
            <v>ITL 7Y</v>
          </cell>
          <cell r="C876" t="str">
            <v>BRS_GOLD__2_RATES:BRS_GOLD__1_EURSPRD:BRS_GOLD__1_ITLIR:ITL,ITL_10yr_10yr:ITL_7yr</v>
          </cell>
          <cell r="D876" t="str">
            <v>KRD</v>
          </cell>
          <cell r="E876" t="str">
            <v>Spread Yield (DxS)</v>
          </cell>
          <cell r="F876" t="str">
            <v>FI-Spread Govt ITA</v>
          </cell>
          <cell r="G876" t="str">
            <v>FI-Spread Govt NON-Core EUR</v>
          </cell>
          <cell r="H876" t="str">
            <v>RATES</v>
          </cell>
          <cell r="I876" t="str">
            <v>Spread Govt ITA</v>
          </cell>
        </row>
        <row r="877">
          <cell r="A877" t="str">
            <v>ITL_10yr</v>
          </cell>
          <cell r="B877" t="str">
            <v>ITL 10Y</v>
          </cell>
          <cell r="C877" t="str">
            <v>BRS_GOLD__2_RATES:BRS_GOLD__1_EURSPRD:BRS_GOLD__1_ITLIR:ITL,ITL_10yr_10yr:ITL_10yr</v>
          </cell>
          <cell r="D877" t="str">
            <v>KRD</v>
          </cell>
          <cell r="E877" t="str">
            <v>Spread Yield (DxS)</v>
          </cell>
          <cell r="F877" t="str">
            <v>FI-Spread Govt ITA</v>
          </cell>
          <cell r="G877" t="str">
            <v>FI-Spread Govt NON-Core EUR</v>
          </cell>
          <cell r="H877" t="str">
            <v>RATES</v>
          </cell>
          <cell r="I877" t="str">
            <v>Spread Govt ITA</v>
          </cell>
        </row>
        <row r="878">
          <cell r="A878" t="str">
            <v>ITL_15yr</v>
          </cell>
          <cell r="B878" t="str">
            <v>ITL 15Y</v>
          </cell>
          <cell r="C878" t="str">
            <v>BRS_GOLD__2_RATES:BRS_GOLD__1_EURSPRD:BRS_GOLD__1_ITLIR:ITL,ITL_10yr_10yr:ITL_15yr</v>
          </cell>
          <cell r="D878" t="str">
            <v>KRD</v>
          </cell>
          <cell r="E878" t="str">
            <v>Spread Yield (DxS)</v>
          </cell>
          <cell r="F878" t="str">
            <v>FI-Spread Govt ITA</v>
          </cell>
          <cell r="G878" t="str">
            <v>FI-Spread Govt NON-Core EUR</v>
          </cell>
          <cell r="H878" t="str">
            <v>RATES</v>
          </cell>
          <cell r="I878" t="str">
            <v>Spread Govt ITA</v>
          </cell>
        </row>
        <row r="879">
          <cell r="A879" t="str">
            <v>ITL_20yr</v>
          </cell>
          <cell r="B879" t="str">
            <v>ITL 20Y</v>
          </cell>
          <cell r="C879" t="str">
            <v>BRS_GOLD__2_RATES:BRS_GOLD__1_EURSPRD:BRS_GOLD__1_ITLIR:ITL,ITL_10yr_10yr:ITL_20yr</v>
          </cell>
          <cell r="D879" t="str">
            <v>KRD</v>
          </cell>
          <cell r="E879" t="str">
            <v>Spread Yield (DxS)</v>
          </cell>
          <cell r="F879" t="str">
            <v>FI-Spread Govt ITA</v>
          </cell>
          <cell r="G879" t="str">
            <v>FI-Spread Govt NON-Core EUR</v>
          </cell>
          <cell r="H879" t="str">
            <v>RATES</v>
          </cell>
          <cell r="I879" t="str">
            <v>Spread Govt ITA</v>
          </cell>
        </row>
        <row r="880">
          <cell r="A880" t="str">
            <v>ITL_25yr</v>
          </cell>
          <cell r="B880" t="str">
            <v>ITL 25Y</v>
          </cell>
          <cell r="C880" t="str">
            <v>BRS_GOLD__2_RATES:BRS_GOLD__1_EURSPRD:BRS_GOLD__1_ITLIR:ITL,ITL_10yr_10yr:ITL_25yr</v>
          </cell>
          <cell r="D880" t="str">
            <v>KRD</v>
          </cell>
          <cell r="E880" t="str">
            <v>Spread Yield (DxS)</v>
          </cell>
          <cell r="F880" t="str">
            <v>FI-Spread Govt ITA</v>
          </cell>
          <cell r="G880" t="str">
            <v>FI-Spread Govt NON-Core EUR</v>
          </cell>
          <cell r="H880" t="str">
            <v>RATES</v>
          </cell>
          <cell r="I880" t="str">
            <v>Spread Govt ITA</v>
          </cell>
        </row>
        <row r="881">
          <cell r="A881" t="str">
            <v>ITL_30yr</v>
          </cell>
          <cell r="B881" t="str">
            <v>ITL 30Y</v>
          </cell>
          <cell r="C881" t="str">
            <v>BRS_GOLD__2_RATES:BRS_GOLD__1_EURSPRD:BRS_GOLD__1_ITLIR:ITL,ITL_10yr_10yr:ITL_30yr</v>
          </cell>
          <cell r="D881" t="str">
            <v>KRD</v>
          </cell>
          <cell r="E881" t="str">
            <v>Spread Yield (DxS)</v>
          </cell>
          <cell r="F881" t="str">
            <v>FI-Spread Govt ITA</v>
          </cell>
          <cell r="G881" t="str">
            <v>FI-Spread Govt NON-Core EUR</v>
          </cell>
          <cell r="H881" t="str">
            <v>RATES</v>
          </cell>
          <cell r="I881" t="str">
            <v>Spread Govt ITA</v>
          </cell>
        </row>
        <row r="882">
          <cell r="A882" t="str">
            <v>ITL_40yr</v>
          </cell>
          <cell r="B882" t="str">
            <v>ITL 40Y</v>
          </cell>
          <cell r="C882" t="str">
            <v>BRS_GOLD__2_RATES:BRS_GOLD__1_EURSPRD:BRS_GOLD__1_ITLIR:ITL,ITL_10yr_10yr:ITL_40yr</v>
          </cell>
          <cell r="D882" t="str">
            <v>KRD</v>
          </cell>
          <cell r="E882" t="str">
            <v>Spread Yield (DxS)</v>
          </cell>
          <cell r="F882" t="str">
            <v>FI-Spread Govt ITA</v>
          </cell>
          <cell r="G882" t="str">
            <v>FI-Spread Govt NON-Core EUR</v>
          </cell>
          <cell r="H882" t="str">
            <v>RATES</v>
          </cell>
          <cell r="I882" t="str">
            <v>Spread Govt ITA</v>
          </cell>
        </row>
        <row r="883">
          <cell r="A883" t="str">
            <v>ITL_50yr</v>
          </cell>
          <cell r="B883" t="str">
            <v>ITL 50Y</v>
          </cell>
          <cell r="C883" t="str">
            <v>BRS_GOLD__2_RATES:BRS_GOLD__1_EURSPRD:BRS_GOLD__1_ITLIR:ITL,ITL_10yr_10yr:ITL_50yr</v>
          </cell>
          <cell r="D883" t="str">
            <v>KRD</v>
          </cell>
          <cell r="E883" t="str">
            <v>Spread Yield (DxS)</v>
          </cell>
          <cell r="F883" t="str">
            <v>FI-Spread Govt ITA</v>
          </cell>
          <cell r="G883" t="str">
            <v>FI-Spread Govt NON-Core EUR</v>
          </cell>
          <cell r="H883" t="str">
            <v>RATES</v>
          </cell>
          <cell r="I883" t="str">
            <v>Spread Govt ITA</v>
          </cell>
        </row>
        <row r="884">
          <cell r="A884" t="str">
            <v>IEP_3m</v>
          </cell>
          <cell r="B884" t="str">
            <v>IEP 3M</v>
          </cell>
          <cell r="C884" t="str">
            <v>BRS_GOLD__2_RATES:BRS_GOLD__1_EURSPRD:BRS_GOLD__1_IEPIR:IEP,IEP_10yr_10yr:IEP_3m</v>
          </cell>
          <cell r="D884" t="str">
            <v>KRD</v>
          </cell>
          <cell r="E884" t="str">
            <v>Spread Yield (DxS)</v>
          </cell>
          <cell r="F884" t="str">
            <v xml:space="preserve">FI-Spread Govt Peripheral EUR (ex ITA) </v>
          </cell>
          <cell r="G884" t="str">
            <v>FI-Spread Govt NON-Core EUR</v>
          </cell>
          <cell r="H884" t="str">
            <v>RATES</v>
          </cell>
          <cell r="I884" t="str">
            <v>Spread Govt Peripheral EUR (ex ITA)</v>
          </cell>
        </row>
        <row r="885">
          <cell r="A885" t="str">
            <v>IEP_1yr</v>
          </cell>
          <cell r="B885" t="str">
            <v>IEP 1Y</v>
          </cell>
          <cell r="C885" t="str">
            <v>BRS_GOLD__2_RATES:BRS_GOLD__1_EURSPRD:BRS_GOLD__1_IEPIR:IEP,IEP_10yr_10yr:IEP_1yr</v>
          </cell>
          <cell r="D885" t="str">
            <v>KRD</v>
          </cell>
          <cell r="E885" t="str">
            <v>Spread Yield (DxS)</v>
          </cell>
          <cell r="F885" t="str">
            <v xml:space="preserve">FI-Spread Govt Peripheral EUR (ex ITA) </v>
          </cell>
          <cell r="G885" t="str">
            <v>FI-Spread Govt NON-Core EUR</v>
          </cell>
          <cell r="H885" t="str">
            <v>RATES</v>
          </cell>
          <cell r="I885" t="str">
            <v>Spread Govt Peripheral EUR (ex ITA)</v>
          </cell>
        </row>
        <row r="886">
          <cell r="A886" t="str">
            <v>IEP_2yr</v>
          </cell>
          <cell r="B886" t="str">
            <v>IEP 2Y</v>
          </cell>
          <cell r="C886" t="str">
            <v>BRS_GOLD__2_RATES:BRS_GOLD__1_EURSPRD:BRS_GOLD__1_IEPIR:IEP,IEP_10yr_10yr:IEP_2yr</v>
          </cell>
          <cell r="D886" t="str">
            <v>KRD</v>
          </cell>
          <cell r="E886" t="str">
            <v>Spread Yield (DxS)</v>
          </cell>
          <cell r="F886" t="str">
            <v xml:space="preserve">FI-Spread Govt Peripheral EUR (ex ITA) </v>
          </cell>
          <cell r="G886" t="str">
            <v>FI-Spread Govt NON-Core EUR</v>
          </cell>
          <cell r="H886" t="str">
            <v>RATES</v>
          </cell>
          <cell r="I886" t="str">
            <v>Spread Govt Peripheral EUR (ex ITA)</v>
          </cell>
        </row>
        <row r="887">
          <cell r="A887" t="str">
            <v>IEP_3yr</v>
          </cell>
          <cell r="B887" t="str">
            <v>IEP 3Y</v>
          </cell>
          <cell r="C887" t="str">
            <v>BRS_GOLD__2_RATES:BRS_GOLD__1_EURSPRD:BRS_GOLD__1_IEPIR:IEP,IEP_10yr_10yr:IEP_3yr</v>
          </cell>
          <cell r="D887" t="str">
            <v>KRD</v>
          </cell>
          <cell r="E887" t="str">
            <v>Spread Yield (DxS)</v>
          </cell>
          <cell r="F887" t="str">
            <v xml:space="preserve">FI-Spread Govt Peripheral EUR (ex ITA) </v>
          </cell>
          <cell r="G887" t="str">
            <v>FI-Spread Govt NON-Core EUR</v>
          </cell>
          <cell r="H887" t="str">
            <v>RATES</v>
          </cell>
          <cell r="I887" t="str">
            <v>Spread Govt Peripheral EUR (ex ITA)</v>
          </cell>
        </row>
        <row r="888">
          <cell r="A888" t="str">
            <v>IEP_5yr</v>
          </cell>
          <cell r="B888" t="str">
            <v>IEP 5Y</v>
          </cell>
          <cell r="C888" t="str">
            <v>BRS_GOLD__2_RATES:BRS_GOLD__1_EURSPRD:BRS_GOLD__1_IEPIR:IEP,IEP_10yr_10yr:IEP_5yr</v>
          </cell>
          <cell r="D888" t="str">
            <v>KRD</v>
          </cell>
          <cell r="E888" t="str">
            <v>Spread Yield (DxS)</v>
          </cell>
          <cell r="F888" t="str">
            <v xml:space="preserve">FI-Spread Govt Peripheral EUR (ex ITA) </v>
          </cell>
          <cell r="G888" t="str">
            <v>FI-Spread Govt NON-Core EUR</v>
          </cell>
          <cell r="H888" t="str">
            <v>RATES</v>
          </cell>
          <cell r="I888" t="str">
            <v>Spread Govt Peripheral EUR (ex ITA)</v>
          </cell>
        </row>
        <row r="889">
          <cell r="A889" t="str">
            <v>IEP_7yr</v>
          </cell>
          <cell r="B889" t="str">
            <v>IEP 7Y</v>
          </cell>
          <cell r="C889" t="str">
            <v>BRS_GOLD__2_RATES:BRS_GOLD__1_EURSPRD:BRS_GOLD__1_IEPIR:IEP,IEP_10yr_10yr:IEP_7yr</v>
          </cell>
          <cell r="D889" t="str">
            <v>KRD</v>
          </cell>
          <cell r="E889" t="str">
            <v>Spread Yield (DxS)</v>
          </cell>
          <cell r="F889" t="str">
            <v xml:space="preserve">FI-Spread Govt Peripheral EUR (ex ITA) </v>
          </cell>
          <cell r="G889" t="str">
            <v>FI-Spread Govt NON-Core EUR</v>
          </cell>
          <cell r="H889" t="str">
            <v>RATES</v>
          </cell>
          <cell r="I889" t="str">
            <v>Spread Govt Peripheral EUR (ex ITA)</v>
          </cell>
        </row>
        <row r="890">
          <cell r="A890" t="str">
            <v>IEP_10yr</v>
          </cell>
          <cell r="B890" t="str">
            <v>IEP 10Y</v>
          </cell>
          <cell r="C890" t="str">
            <v>BRS_GOLD__2_RATES:BRS_GOLD__1_EURSPRD:BRS_GOLD__1_IEPIR:IEP,IEP_10yr_10yr:IEP_10yr</v>
          </cell>
          <cell r="D890" t="str">
            <v>KRD</v>
          </cell>
          <cell r="E890" t="str">
            <v>Spread Yield (DxS)</v>
          </cell>
          <cell r="F890" t="str">
            <v xml:space="preserve">FI-Spread Govt Peripheral EUR (ex ITA) </v>
          </cell>
          <cell r="G890" t="str">
            <v>FI-Spread Govt NON-Core EUR</v>
          </cell>
          <cell r="H890" t="str">
            <v>RATES</v>
          </cell>
          <cell r="I890" t="str">
            <v>Spread Govt Peripheral EUR (ex ITA)</v>
          </cell>
        </row>
        <row r="891">
          <cell r="A891" t="str">
            <v>IEP_15yr</v>
          </cell>
          <cell r="B891" t="str">
            <v>IEP 15Y</v>
          </cell>
          <cell r="C891" t="str">
            <v>BRS_GOLD__2_RATES:BRS_GOLD__1_EURSPRD:BRS_GOLD__1_IEPIR:IEP,IEP_10yr_10yr:IEP_15yr</v>
          </cell>
          <cell r="D891" t="str">
            <v>KRD</v>
          </cell>
          <cell r="E891" t="str">
            <v>Spread Yield (DxS)</v>
          </cell>
          <cell r="F891" t="str">
            <v xml:space="preserve">FI-Spread Govt Peripheral EUR (ex ITA) </v>
          </cell>
          <cell r="G891" t="str">
            <v>FI-Spread Govt NON-Core EUR</v>
          </cell>
          <cell r="H891" t="str">
            <v>RATES</v>
          </cell>
          <cell r="I891" t="str">
            <v>Spread Govt Peripheral EUR (ex ITA)</v>
          </cell>
        </row>
        <row r="892">
          <cell r="A892" t="str">
            <v>IEP_20yr</v>
          </cell>
          <cell r="B892" t="str">
            <v>IEP 20Y</v>
          </cell>
          <cell r="C892" t="str">
            <v>BRS_GOLD__2_RATES:BRS_GOLD__1_EURSPRD:BRS_GOLD__1_IEPIR:IEP,IEP_10yr_10yr:IEP_20yr</v>
          </cell>
          <cell r="D892" t="str">
            <v>KRD</v>
          </cell>
          <cell r="E892" t="str">
            <v>Spread Yield (DxS)</v>
          </cell>
          <cell r="F892" t="str">
            <v xml:space="preserve">FI-Spread Govt Peripheral EUR (ex ITA) </v>
          </cell>
          <cell r="G892" t="str">
            <v>FI-Spread Govt NON-Core EUR</v>
          </cell>
          <cell r="H892" t="str">
            <v>RATES</v>
          </cell>
          <cell r="I892" t="str">
            <v>Spread Govt Peripheral EUR (ex ITA)</v>
          </cell>
        </row>
        <row r="893">
          <cell r="A893" t="str">
            <v>IEP_25yr</v>
          </cell>
          <cell r="B893" t="str">
            <v>IEP 25Y</v>
          </cell>
          <cell r="C893" t="str">
            <v>BRS_GOLD__2_RATES:BRS_GOLD__1_EURSPRD:BRS_GOLD__1_IEPIR:IEP,IEP_10yr_10yr:IEP_25yr</v>
          </cell>
          <cell r="D893" t="str">
            <v>KRD</v>
          </cell>
          <cell r="E893" t="str">
            <v>Spread Yield (DxS)</v>
          </cell>
          <cell r="F893" t="str">
            <v xml:space="preserve">FI-Spread Govt Peripheral EUR (ex ITA) </v>
          </cell>
          <cell r="G893" t="str">
            <v>FI-Spread Govt NON-Core EUR</v>
          </cell>
          <cell r="H893" t="str">
            <v>RATES</v>
          </cell>
          <cell r="I893" t="str">
            <v>Spread Govt Peripheral EUR (ex ITA)</v>
          </cell>
        </row>
        <row r="894">
          <cell r="A894" t="str">
            <v>IEP_30yr</v>
          </cell>
          <cell r="B894" t="str">
            <v>IEP 30Y</v>
          </cell>
          <cell r="C894" t="str">
            <v>BRS_GOLD__2_RATES:BRS_GOLD__1_EURSPRD:BRS_GOLD__1_IEPIR:IEP,IEP_10yr_10yr:IEP_30yr</v>
          </cell>
          <cell r="D894" t="str">
            <v>KRD</v>
          </cell>
          <cell r="E894" t="str">
            <v>Spread Yield (DxS)</v>
          </cell>
          <cell r="F894" t="str">
            <v xml:space="preserve">FI-Spread Govt Peripheral EUR (ex ITA) </v>
          </cell>
          <cell r="G894" t="str">
            <v>FI-Spread Govt NON-Core EUR</v>
          </cell>
          <cell r="H894" t="str">
            <v>RATES</v>
          </cell>
          <cell r="I894" t="str">
            <v>Spread Govt Peripheral EUR (ex ITA)</v>
          </cell>
        </row>
        <row r="895">
          <cell r="A895" t="str">
            <v>PTE_3m</v>
          </cell>
          <cell r="B895" t="str">
            <v>PTE 3M</v>
          </cell>
          <cell r="C895" t="str">
            <v>BRS_GOLD__2_RATES:BRS_GOLD__1_EURSPRD:BRS_GOLD__1_PTEIR:PTE,PTE_10yr_10yr:PTE_3m</v>
          </cell>
          <cell r="D895" t="str">
            <v>KRD</v>
          </cell>
          <cell r="E895" t="str">
            <v>Spread Yield (DxS)</v>
          </cell>
          <cell r="F895" t="str">
            <v xml:space="preserve">FI-Spread Govt Peripheral EUR (ex ITA) </v>
          </cell>
          <cell r="G895" t="str">
            <v>FI-Spread Govt NON-Core EUR</v>
          </cell>
          <cell r="H895" t="str">
            <v>RATES</v>
          </cell>
          <cell r="I895" t="str">
            <v>Spread Govt Peripheral EUR (ex ITA)</v>
          </cell>
        </row>
        <row r="896">
          <cell r="A896" t="str">
            <v>PTE_1yr</v>
          </cell>
          <cell r="B896" t="str">
            <v>PTE 1Y</v>
          </cell>
          <cell r="C896" t="str">
            <v>BRS_GOLD__2_RATES:BRS_GOLD__1_EURSPRD:BRS_GOLD__1_PTEIR:PTE,PTE_10yr_10yr:PTE_1yr</v>
          </cell>
          <cell r="D896" t="str">
            <v>KRD</v>
          </cell>
          <cell r="E896" t="str">
            <v>Spread Yield (DxS)</v>
          </cell>
          <cell r="F896" t="str">
            <v xml:space="preserve">FI-Spread Govt Peripheral EUR (ex ITA) </v>
          </cell>
          <cell r="G896" t="str">
            <v>FI-Spread Govt NON-Core EUR</v>
          </cell>
          <cell r="H896" t="str">
            <v>RATES</v>
          </cell>
          <cell r="I896" t="str">
            <v>Spread Govt Peripheral EUR (ex ITA)</v>
          </cell>
        </row>
        <row r="897">
          <cell r="A897" t="str">
            <v>PTE_2yr</v>
          </cell>
          <cell r="B897" t="str">
            <v>PTE 2Y</v>
          </cell>
          <cell r="C897" t="str">
            <v>BRS_GOLD__2_RATES:BRS_GOLD__1_EURSPRD:BRS_GOLD__1_PTEIR:PTE,PTE_10yr_10yr:PTE_2yr</v>
          </cell>
          <cell r="D897" t="str">
            <v>KRD</v>
          </cell>
          <cell r="E897" t="str">
            <v>Spread Yield (DxS)</v>
          </cell>
          <cell r="F897" t="str">
            <v xml:space="preserve">FI-Spread Govt Peripheral EUR (ex ITA) </v>
          </cell>
          <cell r="G897" t="str">
            <v>FI-Spread Govt NON-Core EUR</v>
          </cell>
          <cell r="H897" t="str">
            <v>RATES</v>
          </cell>
          <cell r="I897" t="str">
            <v>Spread Govt Peripheral EUR (ex ITA)</v>
          </cell>
        </row>
        <row r="898">
          <cell r="A898" t="str">
            <v>PTE_3yr</v>
          </cell>
          <cell r="B898" t="str">
            <v>PTE 3Y</v>
          </cell>
          <cell r="C898" t="str">
            <v>BRS_GOLD__2_RATES:BRS_GOLD__1_EURSPRD:BRS_GOLD__1_PTEIR:PTE,PTE_10yr_10yr:PTE_3yr</v>
          </cell>
          <cell r="D898" t="str">
            <v>KRD</v>
          </cell>
          <cell r="E898" t="str">
            <v>Spread Yield (DxS)</v>
          </cell>
          <cell r="F898" t="str">
            <v xml:space="preserve">FI-Spread Govt Peripheral EUR (ex ITA) </v>
          </cell>
          <cell r="G898" t="str">
            <v>FI-Spread Govt NON-Core EUR</v>
          </cell>
          <cell r="H898" t="str">
            <v>RATES</v>
          </cell>
          <cell r="I898" t="str">
            <v>Spread Govt Peripheral EUR (ex ITA)</v>
          </cell>
        </row>
        <row r="899">
          <cell r="A899" t="str">
            <v>PTE_5yr</v>
          </cell>
          <cell r="B899" t="str">
            <v>PTE 5Y</v>
          </cell>
          <cell r="C899" t="str">
            <v>BRS_GOLD__2_RATES:BRS_GOLD__1_EURSPRD:BRS_GOLD__1_PTEIR:PTE,PTE_10yr_10yr:PTE_5yr</v>
          </cell>
          <cell r="D899" t="str">
            <v>KRD</v>
          </cell>
          <cell r="E899" t="str">
            <v>Spread Yield (DxS)</v>
          </cell>
          <cell r="F899" t="str">
            <v xml:space="preserve">FI-Spread Govt Peripheral EUR (ex ITA) </v>
          </cell>
          <cell r="G899" t="str">
            <v>FI-Spread Govt NON-Core EUR</v>
          </cell>
          <cell r="H899" t="str">
            <v>RATES</v>
          </cell>
          <cell r="I899" t="str">
            <v>Spread Govt Peripheral EUR (ex ITA)</v>
          </cell>
        </row>
        <row r="900">
          <cell r="A900" t="str">
            <v>PTE_7yr</v>
          </cell>
          <cell r="B900" t="str">
            <v>PTE 7Y</v>
          </cell>
          <cell r="C900" t="str">
            <v>BRS_GOLD__2_RATES:BRS_GOLD__1_EURSPRD:BRS_GOLD__1_PTEIR:PTE,PTE_10yr_10yr:PTE_7yr</v>
          </cell>
          <cell r="D900" t="str">
            <v>KRD</v>
          </cell>
          <cell r="E900" t="str">
            <v>Spread Yield (DxS)</v>
          </cell>
          <cell r="F900" t="str">
            <v xml:space="preserve">FI-Spread Govt Peripheral EUR (ex ITA) </v>
          </cell>
          <cell r="G900" t="str">
            <v>FI-Spread Govt NON-Core EUR</v>
          </cell>
          <cell r="H900" t="str">
            <v>RATES</v>
          </cell>
          <cell r="I900" t="str">
            <v>Spread Govt Peripheral EUR (ex ITA)</v>
          </cell>
        </row>
        <row r="901">
          <cell r="A901" t="str">
            <v>PTE_10yr</v>
          </cell>
          <cell r="B901" t="str">
            <v>PTE 10Y</v>
          </cell>
          <cell r="C901" t="str">
            <v>BRS_GOLD__2_RATES:BRS_GOLD__1_EURSPRD:BRS_GOLD__1_PTEIR:PTE,PTE_10yr_10yr:PTE_10yr</v>
          </cell>
          <cell r="D901" t="str">
            <v>KRD</v>
          </cell>
          <cell r="E901" t="str">
            <v>Spread Yield (DxS)</v>
          </cell>
          <cell r="F901" t="str">
            <v xml:space="preserve">FI-Spread Govt Peripheral EUR (ex ITA) </v>
          </cell>
          <cell r="G901" t="str">
            <v>FI-Spread Govt NON-Core EUR</v>
          </cell>
          <cell r="H901" t="str">
            <v>RATES</v>
          </cell>
          <cell r="I901" t="str">
            <v>Spread Govt Peripheral EUR (ex ITA)</v>
          </cell>
        </row>
        <row r="902">
          <cell r="A902" t="str">
            <v>PTE_15yr</v>
          </cell>
          <cell r="B902" t="str">
            <v>PTE 15Y</v>
          </cell>
          <cell r="C902" t="str">
            <v>BRS_GOLD__2_RATES:BRS_GOLD__1_EURSPRD:BRS_GOLD__1_PTEIR:PTE,PTE_10yr_10yr:PTE_15yr</v>
          </cell>
          <cell r="D902" t="str">
            <v>KRD</v>
          </cell>
          <cell r="E902" t="str">
            <v>Spread Yield (DxS)</v>
          </cell>
          <cell r="F902" t="str">
            <v xml:space="preserve">FI-Spread Govt Peripheral EUR (ex ITA) </v>
          </cell>
          <cell r="G902" t="str">
            <v>FI-Spread Govt NON-Core EUR</v>
          </cell>
          <cell r="H902" t="str">
            <v>RATES</v>
          </cell>
          <cell r="I902" t="str">
            <v>Spread Govt Peripheral EUR (ex ITA)</v>
          </cell>
        </row>
        <row r="903">
          <cell r="A903" t="str">
            <v>PTE_20yr</v>
          </cell>
          <cell r="B903" t="str">
            <v>PTE 20Y</v>
          </cell>
          <cell r="C903" t="str">
            <v>BRS_GOLD__2_RATES:BRS_GOLD__1_EURSPRD:BRS_GOLD__1_PTEIR:PTE,PTE_10yr_10yr:PTE_20yr</v>
          </cell>
          <cell r="D903" t="str">
            <v>KRD</v>
          </cell>
          <cell r="E903" t="str">
            <v>Spread Yield (DxS)</v>
          </cell>
          <cell r="F903" t="str">
            <v xml:space="preserve">FI-Spread Govt Peripheral EUR (ex ITA) </v>
          </cell>
          <cell r="G903" t="str">
            <v>FI-Spread Govt NON-Core EUR</v>
          </cell>
          <cell r="H903" t="str">
            <v>RATES</v>
          </cell>
          <cell r="I903" t="str">
            <v>Spread Govt Peripheral EUR (ex ITA)</v>
          </cell>
        </row>
        <row r="904">
          <cell r="A904" t="str">
            <v>PTE_25yr</v>
          </cell>
          <cell r="B904" t="str">
            <v>PTE 25Y</v>
          </cell>
          <cell r="C904" t="str">
            <v>BRS_GOLD__2_RATES:BRS_GOLD__1_EURSPRD:BRS_GOLD__1_PTEIR:PTE,PTE_10yr_10yr:PTE_25yr</v>
          </cell>
          <cell r="D904" t="str">
            <v>KRD</v>
          </cell>
          <cell r="E904" t="str">
            <v>Spread Yield (DxS)</v>
          </cell>
          <cell r="F904" t="str">
            <v xml:space="preserve">FI-Spread Govt Peripheral EUR (ex ITA) </v>
          </cell>
          <cell r="G904" t="str">
            <v>FI-Spread Govt NON-Core EUR</v>
          </cell>
          <cell r="H904" t="str">
            <v>RATES</v>
          </cell>
          <cell r="I904" t="str">
            <v>Spread Govt Peripheral EUR (ex ITA)</v>
          </cell>
        </row>
        <row r="905">
          <cell r="A905" t="str">
            <v>PTE_30yr</v>
          </cell>
          <cell r="B905" t="str">
            <v>PTE 30Y</v>
          </cell>
          <cell r="C905" t="str">
            <v>BRS_GOLD__2_RATES:BRS_GOLD__1_EURSPRD:BRS_GOLD__1_PTEIR:PTE,PTE_10yr_10yr:PTE_30yr</v>
          </cell>
          <cell r="D905" t="str">
            <v>KRD</v>
          </cell>
          <cell r="E905" t="str">
            <v>Spread Yield (DxS)</v>
          </cell>
          <cell r="F905" t="str">
            <v xml:space="preserve">FI-Spread Govt Peripheral EUR (ex ITA) </v>
          </cell>
          <cell r="G905" t="str">
            <v>FI-Spread Govt NON-Core EUR</v>
          </cell>
          <cell r="H905" t="str">
            <v>RATES</v>
          </cell>
          <cell r="I905" t="str">
            <v>Spread Govt Peripheral EUR (ex ITA)</v>
          </cell>
        </row>
        <row r="906">
          <cell r="A906" t="str">
            <v>ESP_3m</v>
          </cell>
          <cell r="B906" t="str">
            <v>ESP 3M</v>
          </cell>
          <cell r="C906" t="str">
            <v>BRS_GOLD__2_RATES:BRS_GOLD__1_EURSPRD:BRS_GOLD__1_ESPIR:ESP,ESP_10yr_10yr:ESP_3m</v>
          </cell>
          <cell r="D906" t="str">
            <v>KRD</v>
          </cell>
          <cell r="E906" t="str">
            <v>Spread Yield (DxS)</v>
          </cell>
          <cell r="F906" t="str">
            <v xml:space="preserve">FI-Spread Govt Peripheral EUR (ex ITA) </v>
          </cell>
          <cell r="G906" t="str">
            <v>FI-Spread Govt NON-Core EUR</v>
          </cell>
          <cell r="H906" t="str">
            <v>RATES</v>
          </cell>
          <cell r="I906" t="str">
            <v>Spread Govt Peripheral EUR (ex ITA)</v>
          </cell>
        </row>
        <row r="907">
          <cell r="A907" t="str">
            <v>ESP_1yr</v>
          </cell>
          <cell r="B907" t="str">
            <v>ESP 1Y</v>
          </cell>
          <cell r="C907" t="str">
            <v>BRS_GOLD__2_RATES:BRS_GOLD__1_EURSPRD:BRS_GOLD__1_ESPIR:ESP,ESP_10yr_10yr:ESP_1yr</v>
          </cell>
          <cell r="D907" t="str">
            <v>KRD</v>
          </cell>
          <cell r="E907" t="str">
            <v>Spread Yield (DxS)</v>
          </cell>
          <cell r="F907" t="str">
            <v xml:space="preserve">FI-Spread Govt Peripheral EUR (ex ITA) </v>
          </cell>
          <cell r="G907" t="str">
            <v>FI-Spread Govt NON-Core EUR</v>
          </cell>
          <cell r="H907" t="str">
            <v>RATES</v>
          </cell>
          <cell r="I907" t="str">
            <v>Spread Govt Peripheral EUR (ex ITA)</v>
          </cell>
        </row>
        <row r="908">
          <cell r="A908" t="str">
            <v>ESP_2yr</v>
          </cell>
          <cell r="B908" t="str">
            <v>ESP 2Y</v>
          </cell>
          <cell r="C908" t="str">
            <v>BRS_GOLD__2_RATES:BRS_GOLD__1_EURSPRD:BRS_GOLD__1_ESPIR:ESP,ESP_10yr_10yr:ESP_2yr</v>
          </cell>
          <cell r="D908" t="str">
            <v>KRD</v>
          </cell>
          <cell r="E908" t="str">
            <v>Spread Yield (DxS)</v>
          </cell>
          <cell r="F908" t="str">
            <v xml:space="preserve">FI-Spread Govt Peripheral EUR (ex ITA) </v>
          </cell>
          <cell r="G908" t="str">
            <v>FI-Spread Govt NON-Core EUR</v>
          </cell>
          <cell r="H908" t="str">
            <v>RATES</v>
          </cell>
          <cell r="I908" t="str">
            <v>Spread Govt Peripheral EUR (ex ITA)</v>
          </cell>
        </row>
        <row r="909">
          <cell r="A909" t="str">
            <v>ESP_3yr</v>
          </cell>
          <cell r="B909" t="str">
            <v>ESP 3Y</v>
          </cell>
          <cell r="C909" t="str">
            <v>BRS_GOLD__2_RATES:BRS_GOLD__1_EURSPRD:BRS_GOLD__1_ESPIR:ESP,ESP_10yr_10yr:ESP_3yr</v>
          </cell>
          <cell r="D909" t="str">
            <v>KRD</v>
          </cell>
          <cell r="E909" t="str">
            <v>Spread Yield (DxS)</v>
          </cell>
          <cell r="F909" t="str">
            <v xml:space="preserve">FI-Spread Govt Peripheral EUR (ex ITA) </v>
          </cell>
          <cell r="G909" t="str">
            <v>FI-Spread Govt NON-Core EUR</v>
          </cell>
          <cell r="H909" t="str">
            <v>RATES</v>
          </cell>
          <cell r="I909" t="str">
            <v>Spread Govt Peripheral EUR (ex ITA)</v>
          </cell>
        </row>
        <row r="910">
          <cell r="A910" t="str">
            <v>ESP_5yr</v>
          </cell>
          <cell r="B910" t="str">
            <v>ESP 5Y</v>
          </cell>
          <cell r="C910" t="str">
            <v>BRS_GOLD__2_RATES:BRS_GOLD__1_EURSPRD:BRS_GOLD__1_ESPIR:ESP,ESP_10yr_10yr:ESP_5yr</v>
          </cell>
          <cell r="D910" t="str">
            <v>KRD</v>
          </cell>
          <cell r="E910" t="str">
            <v>Spread Yield (DxS)</v>
          </cell>
          <cell r="F910" t="str">
            <v xml:space="preserve">FI-Spread Govt Peripheral EUR (ex ITA) </v>
          </cell>
          <cell r="G910" t="str">
            <v>FI-Spread Govt NON-Core EUR</v>
          </cell>
          <cell r="H910" t="str">
            <v>RATES</v>
          </cell>
          <cell r="I910" t="str">
            <v>Spread Govt Peripheral EUR (ex ITA)</v>
          </cell>
        </row>
        <row r="911">
          <cell r="A911" t="str">
            <v>ESP_7yr</v>
          </cell>
          <cell r="B911" t="str">
            <v>ESP 7Y</v>
          </cell>
          <cell r="C911" t="str">
            <v>BRS_GOLD__2_RATES:BRS_GOLD__1_EURSPRD:BRS_GOLD__1_ESPIR:ESP,ESP_10yr_10yr:ESP_7yr</v>
          </cell>
          <cell r="D911" t="str">
            <v>KRD</v>
          </cell>
          <cell r="E911" t="str">
            <v>Spread Yield (DxS)</v>
          </cell>
          <cell r="F911" t="str">
            <v xml:space="preserve">FI-Spread Govt Peripheral EUR (ex ITA) </v>
          </cell>
          <cell r="G911" t="str">
            <v>FI-Spread Govt NON-Core EUR</v>
          </cell>
          <cell r="H911" t="str">
            <v>RATES</v>
          </cell>
          <cell r="I911" t="str">
            <v>Spread Govt Peripheral EUR (ex ITA)</v>
          </cell>
        </row>
        <row r="912">
          <cell r="A912" t="str">
            <v>ESP_10yr</v>
          </cell>
          <cell r="B912" t="str">
            <v>ESP 10Y</v>
          </cell>
          <cell r="C912" t="str">
            <v>BRS_GOLD__2_RATES:BRS_GOLD__1_EURSPRD:BRS_GOLD__1_ESPIR:ESP,ESP_10yr_10yr:ESP_10yr</v>
          </cell>
          <cell r="D912" t="str">
            <v>KRD</v>
          </cell>
          <cell r="E912" t="str">
            <v>Spread Yield (DxS)</v>
          </cell>
          <cell r="F912" t="str">
            <v xml:space="preserve">FI-Spread Govt Peripheral EUR (ex ITA) </v>
          </cell>
          <cell r="G912" t="str">
            <v>FI-Spread Govt NON-Core EUR</v>
          </cell>
          <cell r="H912" t="str">
            <v>RATES</v>
          </cell>
          <cell r="I912" t="str">
            <v>Spread Govt Peripheral EUR (ex ITA)</v>
          </cell>
        </row>
        <row r="913">
          <cell r="A913" t="str">
            <v>ESP_15yr</v>
          </cell>
          <cell r="B913" t="str">
            <v>ESP 15Y</v>
          </cell>
          <cell r="C913" t="str">
            <v>BRS_GOLD__2_RATES:BRS_GOLD__1_EURSPRD:BRS_GOLD__1_ESPIR:ESP,ESP_10yr_10yr:ESP_15yr</v>
          </cell>
          <cell r="D913" t="str">
            <v>KRD</v>
          </cell>
          <cell r="E913" t="str">
            <v>Spread Yield (DxS)</v>
          </cell>
          <cell r="F913" t="str">
            <v xml:space="preserve">FI-Spread Govt Peripheral EUR (ex ITA) </v>
          </cell>
          <cell r="G913" t="str">
            <v>FI-Spread Govt NON-Core EUR</v>
          </cell>
          <cell r="H913" t="str">
            <v>RATES</v>
          </cell>
          <cell r="I913" t="str">
            <v>Spread Govt Peripheral EUR (ex ITA)</v>
          </cell>
        </row>
        <row r="914">
          <cell r="A914" t="str">
            <v>ESP_20yr</v>
          </cell>
          <cell r="B914" t="str">
            <v>ESP 20Y</v>
          </cell>
          <cell r="C914" t="str">
            <v>BRS_GOLD__2_RATES:BRS_GOLD__1_EURSPRD:BRS_GOLD__1_ESPIR:ESP,ESP_10yr_10yr:ESP_20yr</v>
          </cell>
          <cell r="D914" t="str">
            <v>KRD</v>
          </cell>
          <cell r="E914" t="str">
            <v>Spread Yield (DxS)</v>
          </cell>
          <cell r="F914" t="str">
            <v xml:space="preserve">FI-Spread Govt Peripheral EUR (ex ITA) </v>
          </cell>
          <cell r="G914" t="str">
            <v>FI-Spread Govt NON-Core EUR</v>
          </cell>
          <cell r="H914" t="str">
            <v>RATES</v>
          </cell>
          <cell r="I914" t="str">
            <v>Spread Govt Peripheral EUR (ex ITA)</v>
          </cell>
        </row>
        <row r="915">
          <cell r="A915" t="str">
            <v>ESP_25yr</v>
          </cell>
          <cell r="B915" t="str">
            <v>ESP 25Y</v>
          </cell>
          <cell r="C915" t="str">
            <v>BRS_GOLD__2_RATES:BRS_GOLD__1_EURSPRD:BRS_GOLD__1_ESPIR:ESP,ESP_10yr_10yr:ESP_25yr</v>
          </cell>
          <cell r="D915" t="str">
            <v>KRD</v>
          </cell>
          <cell r="E915" t="str">
            <v>Spread Yield (DxS)</v>
          </cell>
          <cell r="F915" t="str">
            <v xml:space="preserve">FI-Spread Govt Peripheral EUR (ex ITA) </v>
          </cell>
          <cell r="G915" t="str">
            <v>FI-Spread Govt NON-Core EUR</v>
          </cell>
          <cell r="H915" t="str">
            <v>RATES</v>
          </cell>
          <cell r="I915" t="str">
            <v>Spread Govt Peripheral EUR (ex ITA)</v>
          </cell>
        </row>
        <row r="916">
          <cell r="A916" t="str">
            <v>ESP_30yr</v>
          </cell>
          <cell r="B916" t="str">
            <v>ESP 30Y</v>
          </cell>
          <cell r="C916" t="str">
            <v>BRS_GOLD__2_RATES:BRS_GOLD__1_EURSPRD:BRS_GOLD__1_ESPIR:ESP,ESP_10yr_10yr:ESP_30yr</v>
          </cell>
          <cell r="D916" t="str">
            <v>KRD</v>
          </cell>
          <cell r="E916" t="str">
            <v>Spread Yield (DxS)</v>
          </cell>
          <cell r="F916" t="str">
            <v xml:space="preserve">FI-Spread Govt Peripheral EUR (ex ITA) </v>
          </cell>
          <cell r="G916" t="str">
            <v>FI-Spread Govt NON-Core EUR</v>
          </cell>
          <cell r="H916" t="str">
            <v>RATES</v>
          </cell>
          <cell r="I916" t="str">
            <v>Spread Govt Peripheral EUR (ex ITA)</v>
          </cell>
        </row>
        <row r="917">
          <cell r="A917" t="str">
            <v>EUR_7yr</v>
          </cell>
          <cell r="B917" t="str">
            <v>DEM 7Y</v>
          </cell>
          <cell r="C917" t="str">
            <v>BRS_GOLD__2_RATES:BRS_GOLD__1_EURIR:EUR_7yr</v>
          </cell>
          <cell r="D917" t="str">
            <v>KRD</v>
          </cell>
          <cell r="E917" t="str">
            <v>Yield</v>
          </cell>
          <cell r="F917" t="str">
            <v>FI-Govt EUR (Ger) 7 +</v>
          </cell>
          <cell r="G917" t="str">
            <v>FI-Govt EUR (Ger)</v>
          </cell>
          <cell r="H917" t="str">
            <v>RATES</v>
          </cell>
          <cell r="I917" t="str">
            <v>Govt EUR (Ger)</v>
          </cell>
        </row>
        <row r="918">
          <cell r="A918" t="str">
            <v>EUR_10yr</v>
          </cell>
          <cell r="B918" t="str">
            <v>DEM 10Y</v>
          </cell>
          <cell r="C918" t="str">
            <v>BRS_GOLD__2_RATES:BRS_GOLD__1_EURIR:EUR_10yr</v>
          </cell>
          <cell r="D918" t="str">
            <v>KRD</v>
          </cell>
          <cell r="E918" t="str">
            <v>Yield</v>
          </cell>
          <cell r="F918" t="str">
            <v>FI-Govt EUR (Ger) 7 +</v>
          </cell>
          <cell r="G918" t="str">
            <v>FI-Govt EUR (Ger)</v>
          </cell>
          <cell r="H918" t="str">
            <v>RATES</v>
          </cell>
          <cell r="I918" t="str">
            <v>Govt EUR (Ger)</v>
          </cell>
        </row>
        <row r="919">
          <cell r="A919" t="str">
            <v>EUR_15yr</v>
          </cell>
          <cell r="B919" t="str">
            <v>DEM 15Y</v>
          </cell>
          <cell r="C919" t="str">
            <v>BRS_GOLD__2_RATES:BRS_GOLD__1_EURIR:EUR_15yr</v>
          </cell>
          <cell r="D919" t="str">
            <v>KRD</v>
          </cell>
          <cell r="E919" t="str">
            <v>Yield</v>
          </cell>
          <cell r="F919" t="str">
            <v>FI-Govt EUR (Ger) 7 +</v>
          </cell>
          <cell r="G919" t="str">
            <v>FI-Govt EUR (Ger)</v>
          </cell>
          <cell r="H919" t="str">
            <v>RATES</v>
          </cell>
          <cell r="I919" t="str">
            <v>Govt EUR (Ger)</v>
          </cell>
        </row>
        <row r="920">
          <cell r="A920" t="str">
            <v>EUR_20yr</v>
          </cell>
          <cell r="B920" t="str">
            <v>DEM 20Y</v>
          </cell>
          <cell r="C920" t="str">
            <v>BRS_GOLD__2_RATES:BRS_GOLD__1_EURIR:EUR_20yr</v>
          </cell>
          <cell r="D920" t="str">
            <v>KRD</v>
          </cell>
          <cell r="E920" t="str">
            <v>Yield</v>
          </cell>
          <cell r="F920" t="str">
            <v>FI-Govt EUR (Ger) 7 +</v>
          </cell>
          <cell r="G920" t="str">
            <v>FI-Govt EUR (Ger)</v>
          </cell>
          <cell r="H920" t="str">
            <v>RATES</v>
          </cell>
          <cell r="I920" t="str">
            <v>Govt EUR (Ger)</v>
          </cell>
        </row>
        <row r="921">
          <cell r="A921" t="str">
            <v>EUR_25yr</v>
          </cell>
          <cell r="B921" t="str">
            <v>DEM 25Y</v>
          </cell>
          <cell r="C921" t="str">
            <v>BRS_GOLD__2_RATES:BRS_GOLD__1_EURIR:EUR_25yr</v>
          </cell>
          <cell r="D921" t="str">
            <v>KRD</v>
          </cell>
          <cell r="E921" t="str">
            <v>Yield</v>
          </cell>
          <cell r="F921" t="str">
            <v>FI-Govt EUR (Ger) 7 +</v>
          </cell>
          <cell r="G921" t="str">
            <v>FI-Govt EUR (Ger)</v>
          </cell>
          <cell r="H921" t="str">
            <v>RATES</v>
          </cell>
          <cell r="I921" t="str">
            <v>Govt EUR (Ger)</v>
          </cell>
        </row>
        <row r="922">
          <cell r="A922" t="str">
            <v>EUR_30yr</v>
          </cell>
          <cell r="B922" t="str">
            <v>DEM 30Y</v>
          </cell>
          <cell r="C922" t="str">
            <v>BRS_GOLD__2_RATES:BRS_GOLD__1_EURIR:EUR_30yr</v>
          </cell>
          <cell r="D922" t="str">
            <v>KRD</v>
          </cell>
          <cell r="E922" t="str">
            <v>Yield</v>
          </cell>
          <cell r="F922" t="str">
            <v>FI-Govt EUR (Ger) 7 +</v>
          </cell>
          <cell r="G922" t="str">
            <v>FI-Govt EUR (Ger)</v>
          </cell>
          <cell r="H922" t="str">
            <v>RATES</v>
          </cell>
          <cell r="I922" t="str">
            <v>Govt EUR (Ger)</v>
          </cell>
        </row>
        <row r="923">
          <cell r="A923" t="str">
            <v>EUR_40yr</v>
          </cell>
          <cell r="B923" t="str">
            <v>DEM 40Y</v>
          </cell>
          <cell r="C923" t="str">
            <v>BRS_GOLD__2_RATES:BRS_GOLD__1_EURIR:EUR_40yr</v>
          </cell>
          <cell r="D923" t="str">
            <v>KRD</v>
          </cell>
          <cell r="E923" t="str">
            <v>Yield</v>
          </cell>
          <cell r="F923" t="str">
            <v>FI-Govt EUR (Ger) 7 +</v>
          </cell>
          <cell r="G923" t="str">
            <v>FI-Govt EUR (Ger)</v>
          </cell>
          <cell r="H923" t="str">
            <v>RATES</v>
          </cell>
          <cell r="I923" t="str">
            <v>Govt EUR (Ger)</v>
          </cell>
        </row>
        <row r="924">
          <cell r="A924" t="str">
            <v>EUR_50yr</v>
          </cell>
          <cell r="B924" t="str">
            <v>DEM 50Y</v>
          </cell>
          <cell r="C924" t="str">
            <v>BRS_GOLD__2_RATES:BRS_GOLD__1_EURIR:EUR_50yr</v>
          </cell>
          <cell r="D924" t="str">
            <v>KRD</v>
          </cell>
          <cell r="E924" t="str">
            <v>Yield</v>
          </cell>
          <cell r="F924" t="str">
            <v>FI-Govt EUR (Ger) 7 +</v>
          </cell>
          <cell r="G924" t="str">
            <v>FI-Govt EUR (Ger)</v>
          </cell>
          <cell r="H924" t="str">
            <v>RATES</v>
          </cell>
          <cell r="I924" t="str">
            <v>Govt EUR (Ger)</v>
          </cell>
        </row>
        <row r="925">
          <cell r="A925" t="str">
            <v>USD_7yr</v>
          </cell>
          <cell r="B925" t="str">
            <v>Tsy 7Y</v>
          </cell>
          <cell r="C925" t="str">
            <v>BRS_GOLD__2_RATES:BRS_GOLD__1_USDIR:USD_7yr</v>
          </cell>
          <cell r="D925" t="str">
            <v>KRD</v>
          </cell>
          <cell r="E925" t="str">
            <v>Yield</v>
          </cell>
          <cell r="F925" t="str">
            <v>FI-Govt USD 7+</v>
          </cell>
          <cell r="G925" t="str">
            <v>FI-Govt USD</v>
          </cell>
          <cell r="H925" t="str">
            <v>RATES</v>
          </cell>
          <cell r="I925" t="str">
            <v>Govt USD</v>
          </cell>
        </row>
        <row r="926">
          <cell r="A926" t="str">
            <v>USD_10yr</v>
          </cell>
          <cell r="B926" t="str">
            <v>Tsy 10Y</v>
          </cell>
          <cell r="C926" t="str">
            <v>BRS_GOLD__2_RATES:BRS_GOLD__1_USDIR:USD_10yr</v>
          </cell>
          <cell r="D926" t="str">
            <v>KRD</v>
          </cell>
          <cell r="E926" t="str">
            <v>Yield</v>
          </cell>
          <cell r="F926" t="str">
            <v>FI-Govt USD 7+</v>
          </cell>
          <cell r="G926" t="str">
            <v>FI-Govt USD</v>
          </cell>
          <cell r="H926" t="str">
            <v>RATES</v>
          </cell>
          <cell r="I926" t="str">
            <v>Govt USD</v>
          </cell>
        </row>
        <row r="927">
          <cell r="A927" t="str">
            <v>USD_15yr</v>
          </cell>
          <cell r="B927" t="str">
            <v>Tsy 15Y</v>
          </cell>
          <cell r="C927" t="str">
            <v>BRS_GOLD__2_RATES:BRS_GOLD__1_USDIR:USD_15yr</v>
          </cell>
          <cell r="D927" t="str">
            <v>KRD</v>
          </cell>
          <cell r="E927" t="str">
            <v>Yield</v>
          </cell>
          <cell r="F927" t="str">
            <v>FI-Govt USD 7+</v>
          </cell>
          <cell r="G927" t="str">
            <v>FI-Govt USD</v>
          </cell>
          <cell r="H927" t="str">
            <v>RATES</v>
          </cell>
          <cell r="I927" t="str">
            <v>Govt USD</v>
          </cell>
        </row>
        <row r="928">
          <cell r="A928" t="str">
            <v>USD_20yr</v>
          </cell>
          <cell r="B928" t="str">
            <v>Tsy 20Y</v>
          </cell>
          <cell r="C928" t="str">
            <v>BRS_GOLD__2_RATES:BRS_GOLD__1_USDIR:USD_20yr</v>
          </cell>
          <cell r="D928" t="str">
            <v>KRD</v>
          </cell>
          <cell r="E928" t="str">
            <v>Yield</v>
          </cell>
          <cell r="F928" t="str">
            <v>FI-Govt USD 7+</v>
          </cell>
          <cell r="G928" t="str">
            <v>FI-Govt USD</v>
          </cell>
          <cell r="H928" t="str">
            <v>RATES</v>
          </cell>
          <cell r="I928" t="str">
            <v>Govt USD</v>
          </cell>
        </row>
        <row r="929">
          <cell r="A929" t="str">
            <v>USD_25yr</v>
          </cell>
          <cell r="B929" t="str">
            <v>Tsy 25Y</v>
          </cell>
          <cell r="C929" t="str">
            <v>BRS_GOLD__2_RATES:BRS_GOLD__1_USDIR:USD_25yr</v>
          </cell>
          <cell r="D929" t="str">
            <v>KRD</v>
          </cell>
          <cell r="E929" t="str">
            <v>Yield</v>
          </cell>
          <cell r="F929" t="str">
            <v>FI-Govt USD 7+</v>
          </cell>
          <cell r="G929" t="str">
            <v>FI-Govt USD</v>
          </cell>
          <cell r="H929" t="str">
            <v>RATES</v>
          </cell>
          <cell r="I929" t="str">
            <v>Govt USD</v>
          </cell>
        </row>
        <row r="930">
          <cell r="A930" t="str">
            <v>USD_30yr</v>
          </cell>
          <cell r="B930" t="str">
            <v>Tsy 30Y</v>
          </cell>
          <cell r="C930" t="str">
            <v>BRS_GOLD__2_RATES:BRS_GOLD__1_USDIR:USD_30yr</v>
          </cell>
          <cell r="D930" t="str">
            <v>KRD</v>
          </cell>
          <cell r="E930" t="str">
            <v>Yield</v>
          </cell>
          <cell r="F930" t="str">
            <v>FI-Govt USD 7+</v>
          </cell>
          <cell r="G930" t="str">
            <v>FI-Govt USD</v>
          </cell>
          <cell r="H930" t="str">
            <v>RATES</v>
          </cell>
          <cell r="I930" t="str">
            <v>Govt USD</v>
          </cell>
        </row>
        <row r="931">
          <cell r="A931" t="str">
            <v>USD_40yr</v>
          </cell>
          <cell r="B931" t="str">
            <v>Tsy 40Y</v>
          </cell>
          <cell r="C931" t="str">
            <v>-BRS_GOLD_1:USD_40yr</v>
          </cell>
          <cell r="D931" t="str">
            <v>KRD</v>
          </cell>
          <cell r="E931" t="str">
            <v>Yield</v>
          </cell>
          <cell r="F931" t="str">
            <v>FI-Govt USD 7+</v>
          </cell>
          <cell r="G931" t="str">
            <v>FI-Govt USD</v>
          </cell>
          <cell r="H931" t="str">
            <v>RATES</v>
          </cell>
          <cell r="I931" t="str">
            <v>Govt USD</v>
          </cell>
        </row>
        <row r="932">
          <cell r="A932" t="str">
            <v>USD_50yr</v>
          </cell>
          <cell r="B932" t="str">
            <v>Tsy 50Y</v>
          </cell>
          <cell r="C932" t="str">
            <v>-BRS_GOLD_1:USD_50yr</v>
          </cell>
          <cell r="D932" t="str">
            <v>KRD</v>
          </cell>
          <cell r="E932" t="str">
            <v>Yield</v>
          </cell>
          <cell r="F932" t="str">
            <v>FI-Govt USD 7+</v>
          </cell>
          <cell r="G932" t="str">
            <v>FI-Govt USD</v>
          </cell>
          <cell r="H932" t="str">
            <v>RATES</v>
          </cell>
          <cell r="I932" t="str">
            <v>Govt USD</v>
          </cell>
        </row>
        <row r="933">
          <cell r="A933" t="str">
            <v>EUR_3m</v>
          </cell>
          <cell r="B933" t="str">
            <v>DEM 3M</v>
          </cell>
          <cell r="C933" t="str">
            <v>BRS_GOLD__2_RATES:BRS_GOLD__1_EURIR:EUR_3m</v>
          </cell>
          <cell r="D933" t="str">
            <v>KRD</v>
          </cell>
          <cell r="E933" t="str">
            <v>Yield</v>
          </cell>
          <cell r="F933" t="str">
            <v>FI-Govt EUR (Ger) 5 -</v>
          </cell>
          <cell r="G933" t="str">
            <v>FI-Govt EUR (Ger)</v>
          </cell>
          <cell r="H933" t="str">
            <v>RATES</v>
          </cell>
          <cell r="I933" t="str">
            <v>Govt EUR (Ger)</v>
          </cell>
        </row>
        <row r="934">
          <cell r="A934" t="str">
            <v>EUR_1yr</v>
          </cell>
          <cell r="B934" t="str">
            <v>DEM 1Y</v>
          </cell>
          <cell r="C934" t="str">
            <v>BRS_GOLD__2_RATES:BRS_GOLD__1_EURIR:EUR_1yr</v>
          </cell>
          <cell r="D934" t="str">
            <v>KRD</v>
          </cell>
          <cell r="E934" t="str">
            <v>Yield</v>
          </cell>
          <cell r="F934" t="str">
            <v>FI-Govt EUR (Ger) 5 -</v>
          </cell>
          <cell r="G934" t="str">
            <v>FI-Govt EUR (Ger)</v>
          </cell>
          <cell r="H934" t="str">
            <v>RATES</v>
          </cell>
          <cell r="I934" t="str">
            <v>Govt EUR (Ger)</v>
          </cell>
        </row>
        <row r="935">
          <cell r="A935" t="str">
            <v>EUR_2yr</v>
          </cell>
          <cell r="B935" t="str">
            <v>DEM 2Y</v>
          </cell>
          <cell r="C935" t="str">
            <v>BRS_GOLD__2_RATES:BRS_GOLD__1_EURIR:EUR_2yr</v>
          </cell>
          <cell r="D935" t="str">
            <v>KRD</v>
          </cell>
          <cell r="E935" t="str">
            <v>Yield</v>
          </cell>
          <cell r="F935" t="str">
            <v>FI-Govt EUR (Ger) 5 -</v>
          </cell>
          <cell r="G935" t="str">
            <v>FI-Govt EUR (Ger)</v>
          </cell>
          <cell r="H935" t="str">
            <v>RATES</v>
          </cell>
          <cell r="I935" t="str">
            <v>Govt EUR (Ger)</v>
          </cell>
        </row>
        <row r="936">
          <cell r="A936" t="str">
            <v>EUR_3yr</v>
          </cell>
          <cell r="B936" t="str">
            <v>DEM 3Y</v>
          </cell>
          <cell r="C936" t="str">
            <v>BRS_GOLD__2_RATES:BRS_GOLD__1_EURIR:EUR_3yr</v>
          </cell>
          <cell r="D936" t="str">
            <v>KRD</v>
          </cell>
          <cell r="E936" t="str">
            <v>Yield</v>
          </cell>
          <cell r="F936" t="str">
            <v>FI-Govt EUR (Ger) 5 -</v>
          </cell>
          <cell r="G936" t="str">
            <v>FI-Govt EUR (Ger)</v>
          </cell>
          <cell r="H936" t="str">
            <v>RATES</v>
          </cell>
          <cell r="I936" t="str">
            <v>Govt EUR (Ger)</v>
          </cell>
        </row>
        <row r="937">
          <cell r="A937" t="str">
            <v>EUR_5yr</v>
          </cell>
          <cell r="B937" t="str">
            <v>DEM 5Y</v>
          </cell>
          <cell r="C937" t="str">
            <v>BRS_GOLD__2_RATES:BRS_GOLD__1_EURIR:EUR_5yr</v>
          </cell>
          <cell r="D937" t="str">
            <v>KRD</v>
          </cell>
          <cell r="E937" t="str">
            <v>Yield</v>
          </cell>
          <cell r="F937" t="str">
            <v>FI-Govt EUR (Ger) 5 -</v>
          </cell>
          <cell r="G937" t="str">
            <v>FI-Govt EUR (Ger)</v>
          </cell>
          <cell r="H937" t="str">
            <v>RATES</v>
          </cell>
          <cell r="I937" t="str">
            <v>Govt EUR (Ger)</v>
          </cell>
        </row>
        <row r="938">
          <cell r="A938" t="str">
            <v>USD_3m</v>
          </cell>
          <cell r="B938" t="str">
            <v>Tsy 3M</v>
          </cell>
          <cell r="C938" t="str">
            <v>BRS_GOLD__2_RATES:BRS_GOLD__1_USDIR:USD_3m</v>
          </cell>
          <cell r="D938" t="str">
            <v>KRD</v>
          </cell>
          <cell r="E938" t="str">
            <v>Yield</v>
          </cell>
          <cell r="F938" t="str">
            <v>FI-Govt USD 5 -</v>
          </cell>
          <cell r="G938" t="str">
            <v>FI-Govt USD</v>
          </cell>
          <cell r="H938" t="str">
            <v>RATES</v>
          </cell>
          <cell r="I938" t="str">
            <v>Govt USD</v>
          </cell>
        </row>
        <row r="939">
          <cell r="A939" t="str">
            <v>USD_1yr</v>
          </cell>
          <cell r="B939" t="str">
            <v>Tsy 1Y</v>
          </cell>
          <cell r="C939" t="str">
            <v>BRS_GOLD__2_RATES:BRS_GOLD__1_USDIR:USD_1yr</v>
          </cell>
          <cell r="D939" t="str">
            <v>KRD</v>
          </cell>
          <cell r="E939" t="str">
            <v>Yield</v>
          </cell>
          <cell r="F939" t="str">
            <v>FI-Govt USD 5 -</v>
          </cell>
          <cell r="G939" t="str">
            <v>FI-Govt USD</v>
          </cell>
          <cell r="H939" t="str">
            <v>RATES</v>
          </cell>
          <cell r="I939" t="str">
            <v>Govt USD</v>
          </cell>
        </row>
        <row r="940">
          <cell r="A940" t="str">
            <v>USD_2yr</v>
          </cell>
          <cell r="B940" t="str">
            <v>Tsy 2Y</v>
          </cell>
          <cell r="C940" t="str">
            <v>BRS_GOLD__2_RATES:BRS_GOLD__1_USDIR:USD_2yr</v>
          </cell>
          <cell r="D940" t="str">
            <v>KRD</v>
          </cell>
          <cell r="E940" t="str">
            <v>Yield</v>
          </cell>
          <cell r="F940" t="str">
            <v>FI-Govt USD 5 -</v>
          </cell>
          <cell r="G940" t="str">
            <v>FI-Govt USD</v>
          </cell>
          <cell r="H940" t="str">
            <v>RATES</v>
          </cell>
          <cell r="I940" t="str">
            <v>Govt USD</v>
          </cell>
        </row>
        <row r="941">
          <cell r="A941" t="str">
            <v>USD_3yr</v>
          </cell>
          <cell r="B941" t="str">
            <v>Tsy 3Y</v>
          </cell>
          <cell r="C941" t="str">
            <v>BRS_GOLD__2_RATES:BRS_GOLD__1_USDIR:USD_3yr</v>
          </cell>
          <cell r="D941" t="str">
            <v>KRD</v>
          </cell>
          <cell r="E941" t="str">
            <v>Yield</v>
          </cell>
          <cell r="F941" t="str">
            <v>FI-Govt USD 5 -</v>
          </cell>
          <cell r="G941" t="str">
            <v>FI-Govt USD</v>
          </cell>
          <cell r="H941" t="str">
            <v>RATES</v>
          </cell>
          <cell r="I941" t="str">
            <v>Govt USD</v>
          </cell>
        </row>
        <row r="942">
          <cell r="A942" t="str">
            <v>USD_5yr</v>
          </cell>
          <cell r="B942" t="str">
            <v>Tsy 5Y</v>
          </cell>
          <cell r="C942" t="str">
            <v>BRS_GOLD__2_RATES:BRS_GOLD__1_USDIR:USD_5yr</v>
          </cell>
          <cell r="D942" t="str">
            <v>KRD</v>
          </cell>
          <cell r="E942" t="str">
            <v>Yield</v>
          </cell>
          <cell r="F942" t="str">
            <v>FI-Govt USD 5 -</v>
          </cell>
          <cell r="G942" t="str">
            <v>FI-Govt USD</v>
          </cell>
          <cell r="H942" t="str">
            <v>RATES</v>
          </cell>
          <cell r="I942" t="str">
            <v>Govt USD</v>
          </cell>
        </row>
        <row r="943">
          <cell r="A943" t="str">
            <v>USD_OIS_2w</v>
          </cell>
          <cell r="B943" t="str">
            <v>OIS 2w</v>
          </cell>
          <cell r="C943" t="str">
            <v>BRS_GOLD__2_RATES:OIS:USD_OIS_2w</v>
          </cell>
          <cell r="D943" t="str">
            <v>KRD</v>
          </cell>
          <cell r="E943" t="str">
            <v>Yield</v>
          </cell>
          <cell r="F943" t="str">
            <v>FI-Govt USD 5 -</v>
          </cell>
          <cell r="G943" t="str">
            <v>FI-Govt USD</v>
          </cell>
          <cell r="H943" t="str">
            <v>RATES</v>
          </cell>
          <cell r="I943" t="str">
            <v>Govt USD</v>
          </cell>
        </row>
        <row r="944">
          <cell r="A944" t="str">
            <v>USD_OIS_1m</v>
          </cell>
          <cell r="B944" t="str">
            <v>OIS 1m</v>
          </cell>
          <cell r="C944" t="str">
            <v>BRS_GOLD__2_RATES:OIS:USD_OIS_1m</v>
          </cell>
          <cell r="D944" t="str">
            <v>KRD</v>
          </cell>
          <cell r="E944" t="str">
            <v>Yield</v>
          </cell>
          <cell r="F944" t="str">
            <v>FI-Govt USD 5 -</v>
          </cell>
          <cell r="G944" t="str">
            <v>FI-Govt USD</v>
          </cell>
          <cell r="H944" t="str">
            <v>RATES</v>
          </cell>
          <cell r="I944" t="str">
            <v>Govt USD</v>
          </cell>
        </row>
        <row r="945">
          <cell r="A945" t="str">
            <v>USD_OIS_2m</v>
          </cell>
          <cell r="B945" t="str">
            <v>OIS 2m</v>
          </cell>
          <cell r="C945" t="str">
            <v>BRS_GOLD__2_RATES:OIS:USD_OIS_2m</v>
          </cell>
          <cell r="D945" t="str">
            <v>KRD</v>
          </cell>
          <cell r="E945" t="str">
            <v>Yield</v>
          </cell>
          <cell r="F945" t="str">
            <v>FI-Govt USD 5 -</v>
          </cell>
          <cell r="G945" t="str">
            <v>FI-Govt USD</v>
          </cell>
          <cell r="H945" t="str">
            <v>RATES</v>
          </cell>
          <cell r="I945" t="str">
            <v>Govt USD</v>
          </cell>
        </row>
        <row r="946">
          <cell r="A946" t="str">
            <v>USD_OIS_3m</v>
          </cell>
          <cell r="B946" t="str">
            <v>OIS 3m</v>
          </cell>
          <cell r="C946" t="str">
            <v>BRS_GOLD__2_RATES:OIS:USD_OIS_3m</v>
          </cell>
          <cell r="D946" t="str">
            <v>KRD</v>
          </cell>
          <cell r="E946" t="str">
            <v>Yield</v>
          </cell>
          <cell r="F946" t="str">
            <v>FI-Govt USD 5 -</v>
          </cell>
          <cell r="G946" t="str">
            <v>FI-Govt USD</v>
          </cell>
          <cell r="H946" t="str">
            <v>RATES</v>
          </cell>
          <cell r="I946" t="str">
            <v>Govt USD</v>
          </cell>
        </row>
        <row r="947">
          <cell r="A947" t="str">
            <v>USD_OIS_6m</v>
          </cell>
          <cell r="B947" t="str">
            <v>OIS 6m</v>
          </cell>
          <cell r="C947" t="str">
            <v>BRS_GOLD__2_RATES:OIS:USD_OIS_6m</v>
          </cell>
          <cell r="D947" t="str">
            <v>KRD</v>
          </cell>
          <cell r="E947" t="str">
            <v>Yield</v>
          </cell>
          <cell r="F947" t="str">
            <v>FI-Govt USD 5 -</v>
          </cell>
          <cell r="G947" t="str">
            <v>FI-Govt USD</v>
          </cell>
          <cell r="H947" t="str">
            <v>RATES</v>
          </cell>
          <cell r="I947" t="str">
            <v>Govt USD</v>
          </cell>
        </row>
        <row r="948">
          <cell r="A948" t="str">
            <v>USD_OIS_12m</v>
          </cell>
          <cell r="B948" t="str">
            <v>OIS 12m</v>
          </cell>
          <cell r="C948" t="str">
            <v>BRS_GOLD__2_RATES:OIS:USD_OIS_12m</v>
          </cell>
          <cell r="D948" t="str">
            <v>KRD</v>
          </cell>
          <cell r="E948" t="str">
            <v>Yield</v>
          </cell>
          <cell r="F948" t="str">
            <v>FI-Govt USD 5 -</v>
          </cell>
          <cell r="G948" t="str">
            <v>FI-Govt USD</v>
          </cell>
          <cell r="H948" t="str">
            <v>RATES</v>
          </cell>
          <cell r="I948" t="str">
            <v>Govt USD</v>
          </cell>
        </row>
        <row r="949">
          <cell r="A949" t="str">
            <v>USD_OIS_2y</v>
          </cell>
          <cell r="B949" t="str">
            <v>OIS 2y</v>
          </cell>
          <cell r="C949" t="str">
            <v>BRS_GOLD__2_RATES:OIS:USD_OIS_2y</v>
          </cell>
          <cell r="D949" t="str">
            <v>KRD</v>
          </cell>
          <cell r="E949" t="str">
            <v>Yield</v>
          </cell>
          <cell r="F949" t="str">
            <v>FI-Govt USD 5 -</v>
          </cell>
          <cell r="G949" t="str">
            <v>FI-Govt USD</v>
          </cell>
          <cell r="H949" t="str">
            <v>RATES</v>
          </cell>
          <cell r="I949" t="str">
            <v>Govt USD</v>
          </cell>
        </row>
        <row r="950">
          <cell r="A950" t="str">
            <v>USD_OIS_3y</v>
          </cell>
          <cell r="B950" t="str">
            <v>OIS 3y</v>
          </cell>
          <cell r="C950" t="str">
            <v>BRS_GOLD__2_RATES:OIS:USD_OIS_3y</v>
          </cell>
          <cell r="D950" t="str">
            <v>KRD</v>
          </cell>
          <cell r="E950" t="str">
            <v>Yield</v>
          </cell>
          <cell r="F950" t="str">
            <v>FI-Govt USD 5 -</v>
          </cell>
          <cell r="G950" t="str">
            <v>FI-Govt USD</v>
          </cell>
          <cell r="H950" t="str">
            <v>RATES</v>
          </cell>
          <cell r="I950" t="str">
            <v>Govt USD</v>
          </cell>
        </row>
        <row r="951">
          <cell r="A951" t="str">
            <v>USD_OIS_5y</v>
          </cell>
          <cell r="B951" t="str">
            <v>OIS 5y</v>
          </cell>
          <cell r="C951" t="str">
            <v>BRS_GOLD__2_RATES:OIS:USD_OIS_5y</v>
          </cell>
          <cell r="D951" t="str">
            <v>KRD</v>
          </cell>
          <cell r="E951" t="str">
            <v>Yield</v>
          </cell>
          <cell r="F951" t="str">
            <v>FI-Govt USD 5 -</v>
          </cell>
          <cell r="G951" t="str">
            <v>FI-Govt USD</v>
          </cell>
          <cell r="H951" t="str">
            <v>RATES</v>
          </cell>
          <cell r="I951" t="str">
            <v>Govt USD</v>
          </cell>
        </row>
        <row r="952">
          <cell r="A952" t="str">
            <v>GBP_OIS_2w</v>
          </cell>
          <cell r="B952" t="str">
            <v>GBP OIS 2w</v>
          </cell>
          <cell r="C952" t="str">
            <v>BRS_GOLD__2_RATES:OISGBP:GBP_OIS_2w</v>
          </cell>
          <cell r="D952" t="str">
            <v>KRD</v>
          </cell>
          <cell r="E952" t="str">
            <v>Yield</v>
          </cell>
          <cell r="F952" t="str">
            <v>FI-Govt Developed Other (AU, GB, JP, ...)</v>
          </cell>
          <cell r="G952" t="str">
            <v>FI-Other</v>
          </cell>
          <cell r="H952" t="str">
            <v>RATES</v>
          </cell>
          <cell r="I952" t="str">
            <v>Govt Developed Other (AU, GB, JP, ...)</v>
          </cell>
        </row>
        <row r="953">
          <cell r="A953" t="str">
            <v>GBP_OIS_1m</v>
          </cell>
          <cell r="B953" t="str">
            <v>GBP OIS 1m</v>
          </cell>
          <cell r="C953" t="str">
            <v>BRS_GOLD__2_RATES:OISGBP:GBP_OIS_1m</v>
          </cell>
          <cell r="D953" t="str">
            <v>KRD</v>
          </cell>
          <cell r="E953" t="str">
            <v>Yield</v>
          </cell>
          <cell r="F953" t="str">
            <v>FI-Govt Developed Other (AU, GB, JP, ...)</v>
          </cell>
          <cell r="G953" t="str">
            <v>FI-Other</v>
          </cell>
          <cell r="H953" t="str">
            <v>RATES</v>
          </cell>
          <cell r="I953" t="str">
            <v>Govt Developed Other (AU, GB, JP, ...)</v>
          </cell>
        </row>
        <row r="954">
          <cell r="A954" t="str">
            <v>GBP_OIS_2m</v>
          </cell>
          <cell r="B954" t="str">
            <v>GBP OIS 2m</v>
          </cell>
          <cell r="C954" t="str">
            <v>BRS_GOLD__2_RATES:OISGBP:GBP_OIS_2m</v>
          </cell>
          <cell r="D954" t="str">
            <v>KRD</v>
          </cell>
          <cell r="E954" t="str">
            <v>Yield</v>
          </cell>
          <cell r="F954" t="str">
            <v>FI-Govt Developed Other (AU, GB, JP, ...)</v>
          </cell>
          <cell r="G954" t="str">
            <v>FI-Other</v>
          </cell>
          <cell r="H954" t="str">
            <v>RATES</v>
          </cell>
          <cell r="I954" t="str">
            <v>Govt Developed Other (AU, GB, JP, ...)</v>
          </cell>
        </row>
        <row r="955">
          <cell r="A955" t="str">
            <v>GBP_OIS_3m</v>
          </cell>
          <cell r="B955" t="str">
            <v>GBP OIS 3m</v>
          </cell>
          <cell r="C955" t="str">
            <v>BRS_GOLD__2_RATES:OISGBP:GBP_OIS_3m</v>
          </cell>
          <cell r="D955" t="str">
            <v>KRD</v>
          </cell>
          <cell r="E955" t="str">
            <v>Yield</v>
          </cell>
          <cell r="F955" t="str">
            <v>FI-Govt Developed Other (AU, GB, JP, ...)</v>
          </cell>
          <cell r="G955" t="str">
            <v>FI-Other</v>
          </cell>
          <cell r="H955" t="str">
            <v>RATES</v>
          </cell>
          <cell r="I955" t="str">
            <v>Govt Developed Other (AU, GB, JP, ...)</v>
          </cell>
        </row>
        <row r="956">
          <cell r="A956" t="str">
            <v>GBP_OIS_6m</v>
          </cell>
          <cell r="B956" t="str">
            <v>GBP OIS 6m</v>
          </cell>
          <cell r="C956" t="str">
            <v>BRS_GOLD__2_RATES:OISGBP:GBP_OIS_6m</v>
          </cell>
          <cell r="D956" t="str">
            <v>KRD</v>
          </cell>
          <cell r="E956" t="str">
            <v>Yield</v>
          </cell>
          <cell r="F956" t="str">
            <v>FI-Govt Developed Other (AU, GB, JP, ...)</v>
          </cell>
          <cell r="G956" t="str">
            <v>FI-Other</v>
          </cell>
          <cell r="H956" t="str">
            <v>RATES</v>
          </cell>
          <cell r="I956" t="str">
            <v>Govt Developed Other (AU, GB, JP, ...)</v>
          </cell>
        </row>
        <row r="957">
          <cell r="A957" t="str">
            <v>GBP_OIS_12m</v>
          </cell>
          <cell r="B957" t="str">
            <v>GBP OIS 12m</v>
          </cell>
          <cell r="C957" t="str">
            <v>BRS_GOLD__2_RATES:OISGBP:GBP_OIS_12m</v>
          </cell>
          <cell r="D957" t="str">
            <v>KRD</v>
          </cell>
          <cell r="E957" t="str">
            <v>Yield</v>
          </cell>
          <cell r="F957" t="str">
            <v>FI-Govt Developed Other (AU, GB, JP, ...)</v>
          </cell>
          <cell r="G957" t="str">
            <v>FI-Other</v>
          </cell>
          <cell r="H957" t="str">
            <v>RATES</v>
          </cell>
          <cell r="I957" t="str">
            <v>Govt Developed Other (AU, GB, JP, ...)</v>
          </cell>
        </row>
        <row r="958">
          <cell r="A958" t="str">
            <v>GBP_OIS_2y</v>
          </cell>
          <cell r="B958" t="str">
            <v>GBP OIS 2y</v>
          </cell>
          <cell r="C958" t="str">
            <v>BRS_GOLD__2_RATES:OISGBP:GBP_OIS_2y</v>
          </cell>
          <cell r="D958" t="str">
            <v>KRD</v>
          </cell>
          <cell r="E958" t="str">
            <v>Yield</v>
          </cell>
          <cell r="F958" t="str">
            <v>FI-Govt Developed Other (AU, GB, JP, ...)</v>
          </cell>
          <cell r="G958" t="str">
            <v>FI-Other</v>
          </cell>
          <cell r="H958" t="str">
            <v>RATES</v>
          </cell>
          <cell r="I958" t="str">
            <v>Govt Developed Other (AU, GB, JP, ...)</v>
          </cell>
        </row>
        <row r="959">
          <cell r="A959" t="str">
            <v>GBP_OIS_3y</v>
          </cell>
          <cell r="B959" t="str">
            <v>GBP OIS 3y</v>
          </cell>
          <cell r="C959" t="str">
            <v>BRS_GOLD__2_RATES:OISGBP:GBP_OIS_3y</v>
          </cell>
          <cell r="D959" t="str">
            <v>KRD</v>
          </cell>
          <cell r="E959" t="str">
            <v>Yield</v>
          </cell>
          <cell r="F959" t="str">
            <v>FI-Govt Developed Other (AU, GB, JP, ...)</v>
          </cell>
          <cell r="G959" t="str">
            <v>FI-Other</v>
          </cell>
          <cell r="H959" t="str">
            <v>RATES</v>
          </cell>
          <cell r="I959" t="str">
            <v>Govt Developed Other (AU, GB, JP, ...)</v>
          </cell>
        </row>
        <row r="960">
          <cell r="A960" t="str">
            <v>GBP_OIS_5y</v>
          </cell>
          <cell r="B960" t="str">
            <v>GBP OIS 5y</v>
          </cell>
          <cell r="C960" t="str">
            <v>BRS_GOLD__2_RATES:OISGBP:GBP_OIS_5y</v>
          </cell>
          <cell r="D960" t="str">
            <v>KRD</v>
          </cell>
          <cell r="E960" t="str">
            <v>Yield</v>
          </cell>
          <cell r="F960" t="str">
            <v>FI-Govt Developed Other (AU, GB, JP, ...)</v>
          </cell>
          <cell r="G960" t="str">
            <v>FI-Other</v>
          </cell>
          <cell r="H960" t="str">
            <v>RATES</v>
          </cell>
          <cell r="I960" t="str">
            <v>Govt Developed Other (AU, GB, JP, ...)</v>
          </cell>
        </row>
        <row r="961">
          <cell r="A961" t="str">
            <v>EUR_OIS_2w</v>
          </cell>
          <cell r="B961" t="str">
            <v>EUR OIS 2w</v>
          </cell>
          <cell r="C961" t="str">
            <v>BRS_GOLD__2_RATES:OISEUR:EUR_OIS_2w</v>
          </cell>
          <cell r="D961" t="str">
            <v>KRD</v>
          </cell>
          <cell r="E961" t="str">
            <v>Yield</v>
          </cell>
          <cell r="F961" t="str">
            <v>FI-Govt EUR (Ger) 5 -</v>
          </cell>
          <cell r="G961" t="str">
            <v>FI-Govt EUR (Ger)</v>
          </cell>
          <cell r="H961" t="str">
            <v>RATES</v>
          </cell>
          <cell r="I961" t="str">
            <v>Govt EUR (Ger)</v>
          </cell>
        </row>
        <row r="962">
          <cell r="A962" t="str">
            <v>EUR_OIS_1m</v>
          </cell>
          <cell r="B962" t="str">
            <v>EUR OIS 1m</v>
          </cell>
          <cell r="C962" t="str">
            <v>BRS_GOLD__2_RATES:OISEUR:EUR_OIS_1m</v>
          </cell>
          <cell r="D962" t="str">
            <v>KRD</v>
          </cell>
          <cell r="E962" t="str">
            <v>Yield</v>
          </cell>
          <cell r="F962" t="str">
            <v>FI-Govt EUR (Ger) 5 -</v>
          </cell>
          <cell r="G962" t="str">
            <v>FI-Govt EUR (Ger)</v>
          </cell>
          <cell r="H962" t="str">
            <v>RATES</v>
          </cell>
          <cell r="I962" t="str">
            <v>Govt EUR (Ger)</v>
          </cell>
        </row>
        <row r="963">
          <cell r="A963" t="str">
            <v>EUR_OIS_2m</v>
          </cell>
          <cell r="B963" t="str">
            <v>EUR OIS 2m</v>
          </cell>
          <cell r="C963" t="str">
            <v>BRS_GOLD__2_RATES:OISEUR:EUR_OIS_2m</v>
          </cell>
          <cell r="D963" t="str">
            <v>KRD</v>
          </cell>
          <cell r="E963" t="str">
            <v>Yield</v>
          </cell>
          <cell r="F963" t="str">
            <v>FI-Govt EUR (Ger) 5 -</v>
          </cell>
          <cell r="G963" t="str">
            <v>FI-Govt EUR (Ger)</v>
          </cell>
          <cell r="H963" t="str">
            <v>RATES</v>
          </cell>
          <cell r="I963" t="str">
            <v>Govt EUR (Ger)</v>
          </cell>
        </row>
        <row r="964">
          <cell r="A964" t="str">
            <v>EUR_OIS_3m</v>
          </cell>
          <cell r="B964" t="str">
            <v>EUR OIS 3m</v>
          </cell>
          <cell r="C964" t="str">
            <v>BRS_GOLD__2_RATES:OISEUR:EUR_OIS_3m</v>
          </cell>
          <cell r="D964" t="str">
            <v>KRD</v>
          </cell>
          <cell r="E964" t="str">
            <v>Yield</v>
          </cell>
          <cell r="F964" t="str">
            <v>FI-Govt EUR (Ger) 5 -</v>
          </cell>
          <cell r="G964" t="str">
            <v>FI-Govt EUR (Ger)</v>
          </cell>
          <cell r="H964" t="str">
            <v>RATES</v>
          </cell>
          <cell r="I964" t="str">
            <v>Govt EUR (Ger)</v>
          </cell>
        </row>
        <row r="965">
          <cell r="A965" t="str">
            <v>EUR_OIS_6m</v>
          </cell>
          <cell r="B965" t="str">
            <v>EUR OIS 6m</v>
          </cell>
          <cell r="C965" t="str">
            <v>BRS_GOLD__2_RATES:OISEUR:EUR_OIS_6m</v>
          </cell>
          <cell r="D965" t="str">
            <v>KRD</v>
          </cell>
          <cell r="E965" t="str">
            <v>Yield</v>
          </cell>
          <cell r="F965" t="str">
            <v>FI-Govt EUR (Ger) 5 -</v>
          </cell>
          <cell r="G965" t="str">
            <v>FI-Govt EUR (Ger)</v>
          </cell>
          <cell r="H965" t="str">
            <v>RATES</v>
          </cell>
          <cell r="I965" t="str">
            <v>Govt EUR (Ger)</v>
          </cell>
        </row>
        <row r="966">
          <cell r="A966" t="str">
            <v>EUR_OIS_12m</v>
          </cell>
          <cell r="B966" t="str">
            <v>EUR OIS 12m</v>
          </cell>
          <cell r="C966" t="str">
            <v>BRS_GOLD__2_RATES:OISEUR:EUR_OIS_12m</v>
          </cell>
          <cell r="D966" t="str">
            <v>KRD</v>
          </cell>
          <cell r="E966" t="str">
            <v>Yield</v>
          </cell>
          <cell r="F966" t="str">
            <v>FI-Govt EUR (Ger) 5 -</v>
          </cell>
          <cell r="G966" t="str">
            <v>FI-Govt EUR (Ger)</v>
          </cell>
          <cell r="H966" t="str">
            <v>RATES</v>
          </cell>
          <cell r="I966" t="str">
            <v>Govt EUR (Ger)</v>
          </cell>
        </row>
        <row r="967">
          <cell r="A967" t="str">
            <v>EUR_OIS_2y</v>
          </cell>
          <cell r="B967" t="str">
            <v>EUR OIS 2y</v>
          </cell>
          <cell r="C967" t="str">
            <v>BRS_GOLD__2_RATES:OISEUR:EUR_OIS_2y</v>
          </cell>
          <cell r="D967" t="str">
            <v>KRD</v>
          </cell>
          <cell r="E967" t="str">
            <v>Yield</v>
          </cell>
          <cell r="F967" t="str">
            <v>FI-Govt EUR (Ger) 5 -</v>
          </cell>
          <cell r="G967" t="str">
            <v>FI-Govt EUR (Ger)</v>
          </cell>
          <cell r="H967" t="str">
            <v>RATES</v>
          </cell>
          <cell r="I967" t="str">
            <v>Govt EUR (Ger)</v>
          </cell>
        </row>
        <row r="968">
          <cell r="A968" t="str">
            <v>EUR_OIS_3y</v>
          </cell>
          <cell r="B968" t="str">
            <v>EUR OIS 3y</v>
          </cell>
          <cell r="C968" t="str">
            <v>BRS_GOLD__2_RATES:OISEUR:EUR_OIS_3y</v>
          </cell>
          <cell r="D968" t="str">
            <v>KRD</v>
          </cell>
          <cell r="E968" t="str">
            <v>Yield</v>
          </cell>
          <cell r="F968" t="str">
            <v>FI-Govt EUR (Ger) 5 -</v>
          </cell>
          <cell r="G968" t="str">
            <v>FI-Govt EUR (Ger)</v>
          </cell>
          <cell r="H968" t="str">
            <v>RATES</v>
          </cell>
          <cell r="I968" t="str">
            <v>Govt EUR (Ger)</v>
          </cell>
        </row>
        <row r="969">
          <cell r="A969" t="str">
            <v>EUR_OIS_5y</v>
          </cell>
          <cell r="B969" t="str">
            <v>EUR OIS 5y</v>
          </cell>
          <cell r="C969" t="str">
            <v>BRS_GOLD__2_RATES:OISEUR:EUR_OIS_5y</v>
          </cell>
          <cell r="D969" t="str">
            <v>KRD</v>
          </cell>
          <cell r="E969" t="str">
            <v>Yield</v>
          </cell>
          <cell r="F969" t="str">
            <v>FI-Govt EUR (Ger) 5 -</v>
          </cell>
          <cell r="G969" t="str">
            <v>FI-Govt EUR (Ger)</v>
          </cell>
          <cell r="H969" t="str">
            <v>RATES</v>
          </cell>
          <cell r="I969" t="str">
            <v>Govt EUR (Ger)</v>
          </cell>
        </row>
        <row r="970">
          <cell r="A970" t="str">
            <v>AUD_OIS_2w</v>
          </cell>
          <cell r="B970" t="str">
            <v>AUD OIS 2w</v>
          </cell>
          <cell r="C970" t="str">
            <v>BRS_GOLD__2_RATES:AUD_OIS:AUD_OIS_2w</v>
          </cell>
          <cell r="D970" t="str">
            <v>KRD</v>
          </cell>
          <cell r="E970" t="str">
            <v>Yield</v>
          </cell>
          <cell r="F970" t="str">
            <v>FI-Govt Developed Other (AU, GB, JP, ...)</v>
          </cell>
          <cell r="G970" t="str">
            <v>FI-Other</v>
          </cell>
          <cell r="H970" t="str">
            <v>RATES</v>
          </cell>
          <cell r="I970" t="str">
            <v>Govt Developed Other (AU, GB, JP, ...)</v>
          </cell>
        </row>
        <row r="971">
          <cell r="A971" t="str">
            <v>AUD_OIS_1m</v>
          </cell>
          <cell r="B971" t="str">
            <v>AUD OIS 1m</v>
          </cell>
          <cell r="C971" t="str">
            <v>BRS_GOLD__2_RATES:AUD_OIS:AUD_OIS_1m</v>
          </cell>
          <cell r="D971" t="str">
            <v>KRD</v>
          </cell>
          <cell r="E971" t="str">
            <v>Yield</v>
          </cell>
          <cell r="F971" t="str">
            <v>FI-Govt Developed Other (AU, GB, JP, ...)</v>
          </cell>
          <cell r="G971" t="str">
            <v>FI-Other</v>
          </cell>
          <cell r="H971" t="str">
            <v>RATES</v>
          </cell>
          <cell r="I971" t="str">
            <v>Govt Developed Other (AU, GB, JP, ...)</v>
          </cell>
        </row>
        <row r="972">
          <cell r="A972" t="str">
            <v>AUD_OIS_2m</v>
          </cell>
          <cell r="B972" t="str">
            <v>AUD OIS 2m</v>
          </cell>
          <cell r="C972" t="str">
            <v>BRS_GOLD__2_RATES:AUD_OIS:AUD_OIS_2m</v>
          </cell>
          <cell r="D972" t="str">
            <v>KRD</v>
          </cell>
          <cell r="E972" t="str">
            <v>Yield</v>
          </cell>
          <cell r="F972" t="str">
            <v>FI-Govt Developed Other (AU, GB, JP, ...)</v>
          </cell>
          <cell r="G972" t="str">
            <v>FI-Other</v>
          </cell>
          <cell r="H972" t="str">
            <v>RATES</v>
          </cell>
          <cell r="I972" t="str">
            <v>Govt Developed Other (AU, GB, JP, ...)</v>
          </cell>
        </row>
        <row r="973">
          <cell r="A973" t="str">
            <v>AUD_OIS_3m</v>
          </cell>
          <cell r="B973" t="str">
            <v>AUD OIS 3m</v>
          </cell>
          <cell r="C973" t="str">
            <v>BRS_GOLD__2_RATES:AUD_OIS:AUD_OIS_3m</v>
          </cell>
          <cell r="D973" t="str">
            <v>KRD</v>
          </cell>
          <cell r="E973" t="str">
            <v>Yield</v>
          </cell>
          <cell r="F973" t="str">
            <v>FI-Govt Developed Other (AU, GB, JP, ...)</v>
          </cell>
          <cell r="G973" t="str">
            <v>FI-Other</v>
          </cell>
          <cell r="H973" t="str">
            <v>RATES</v>
          </cell>
          <cell r="I973" t="str">
            <v>Govt Developed Other (AU, GB, JP, ...)</v>
          </cell>
        </row>
        <row r="974">
          <cell r="A974" t="str">
            <v>AUD_OIS_6m</v>
          </cell>
          <cell r="B974" t="str">
            <v>AUD OIS 6m</v>
          </cell>
          <cell r="C974" t="str">
            <v>BRS_GOLD__2_RATES:AUD_OIS:AUD_OIS_6m</v>
          </cell>
          <cell r="D974" t="str">
            <v>KRD</v>
          </cell>
          <cell r="E974" t="str">
            <v>Yield</v>
          </cell>
          <cell r="F974" t="str">
            <v>FI-Govt Developed Other (AU, GB, JP, ...)</v>
          </cell>
          <cell r="G974" t="str">
            <v>FI-Other</v>
          </cell>
          <cell r="H974" t="str">
            <v>RATES</v>
          </cell>
          <cell r="I974" t="str">
            <v>Govt Developed Other (AU, GB, JP, ...)</v>
          </cell>
        </row>
        <row r="975">
          <cell r="A975" t="str">
            <v>AUD_OIS_12m</v>
          </cell>
          <cell r="B975" t="str">
            <v>AUD OIS 12m</v>
          </cell>
          <cell r="C975" t="str">
            <v>BRS_GOLD__2_RATES:AUD_OIS:AUD_OIS_12m</v>
          </cell>
          <cell r="D975" t="str">
            <v>KRD</v>
          </cell>
          <cell r="E975" t="str">
            <v>Yield</v>
          </cell>
          <cell r="F975" t="str">
            <v>FI-Govt Developed Other (AU, GB, JP, ...)</v>
          </cell>
          <cell r="G975" t="str">
            <v>FI-Other</v>
          </cell>
          <cell r="H975" t="str">
            <v>RATES</v>
          </cell>
          <cell r="I975" t="str">
            <v>Govt Developed Other (AU, GB, JP, ...)</v>
          </cell>
        </row>
        <row r="976">
          <cell r="A976" t="str">
            <v>AUD_OIS_2y</v>
          </cell>
          <cell r="B976" t="str">
            <v>AUD OIS 2y</v>
          </cell>
          <cell r="C976" t="str">
            <v>BRS_GOLD__2_RATES:AUD_OIS:AUD_OIS_2y</v>
          </cell>
          <cell r="D976" t="str">
            <v>KRD</v>
          </cell>
          <cell r="E976" t="str">
            <v>Yield</v>
          </cell>
          <cell r="F976" t="str">
            <v>FI-Govt Developed Other (AU, GB, JP, ...)</v>
          </cell>
          <cell r="G976" t="str">
            <v>FI-Other</v>
          </cell>
          <cell r="H976" t="str">
            <v>RATES</v>
          </cell>
          <cell r="I976" t="str">
            <v>Govt Developed Other (AU, GB, JP, ...)</v>
          </cell>
        </row>
        <row r="977">
          <cell r="A977" t="str">
            <v>AUD_OIS_3y</v>
          </cell>
          <cell r="B977" t="str">
            <v>AUD OIS 3y</v>
          </cell>
          <cell r="C977" t="str">
            <v>BRS_GOLD__2_RATES:AUD_OIS:AUD_OIS_3y</v>
          </cell>
          <cell r="D977" t="str">
            <v>KRD</v>
          </cell>
          <cell r="E977" t="str">
            <v>Yield</v>
          </cell>
          <cell r="F977" t="str">
            <v>FI-Govt Developed Other (AU, GB, JP, ...)</v>
          </cell>
          <cell r="G977" t="str">
            <v>FI-Other</v>
          </cell>
          <cell r="H977" t="str">
            <v>RATES</v>
          </cell>
          <cell r="I977" t="str">
            <v>Govt Developed Other (AU, GB, JP, ...)</v>
          </cell>
        </row>
        <row r="978">
          <cell r="A978" t="str">
            <v>AUD_OIS_5y</v>
          </cell>
          <cell r="B978" t="str">
            <v>AUD OIS 5y</v>
          </cell>
          <cell r="C978" t="str">
            <v>BRS_GOLD__2_RATES:AUD_OIS:AUD_OIS_5y</v>
          </cell>
          <cell r="D978" t="str">
            <v>KRD</v>
          </cell>
          <cell r="E978" t="str">
            <v>Yield</v>
          </cell>
          <cell r="F978" t="str">
            <v>FI-Govt Developed Other (AU, GB, JP, ...)</v>
          </cell>
          <cell r="G978" t="str">
            <v>FI-Other</v>
          </cell>
          <cell r="H978" t="str">
            <v>RATES</v>
          </cell>
          <cell r="I978" t="str">
            <v>Govt Developed Other (AU, GB, JP, ...)</v>
          </cell>
        </row>
        <row r="979">
          <cell r="A979" t="str">
            <v>CAD_OIS_2w</v>
          </cell>
          <cell r="B979" t="str">
            <v>CAD OIS 2w</v>
          </cell>
          <cell r="C979" t="str">
            <v>BRS_GOLD__2_RATES:CAD_OIS:CAD_OIS_2w</v>
          </cell>
          <cell r="D979" t="str">
            <v>KRD</v>
          </cell>
          <cell r="E979" t="str">
            <v>Yield</v>
          </cell>
          <cell r="F979" t="str">
            <v>FI-Govt Developed Other (AU, GB, JP, ...)</v>
          </cell>
          <cell r="G979" t="str">
            <v>FI-Other</v>
          </cell>
          <cell r="H979" t="str">
            <v>RATES</v>
          </cell>
          <cell r="I979" t="str">
            <v>Govt Developed Other (AU, GB, JP, ...)</v>
          </cell>
        </row>
        <row r="980">
          <cell r="A980" t="str">
            <v>CAD_OIS_1m</v>
          </cell>
          <cell r="B980" t="str">
            <v>CAD OIS 1m</v>
          </cell>
          <cell r="C980" t="str">
            <v>BRS_GOLD__2_RATES:CAD_OIS:CAD_OIS_1m</v>
          </cell>
          <cell r="D980" t="str">
            <v>KRD</v>
          </cell>
          <cell r="E980" t="str">
            <v>Yield</v>
          </cell>
          <cell r="F980" t="str">
            <v>FI-Govt Developed Other (AU, GB, JP, ...)</v>
          </cell>
          <cell r="G980" t="str">
            <v>FI-Other</v>
          </cell>
          <cell r="H980" t="str">
            <v>RATES</v>
          </cell>
          <cell r="I980" t="str">
            <v>Govt Developed Other (AU, GB, JP, ...)</v>
          </cell>
        </row>
        <row r="981">
          <cell r="A981" t="str">
            <v>CAD_OIS_2m</v>
          </cell>
          <cell r="B981" t="str">
            <v>CAD OIS 2m</v>
          </cell>
          <cell r="C981" t="str">
            <v>BRS_GOLD__2_RATES:CAD_OIS:CAD_OIS_2m</v>
          </cell>
          <cell r="D981" t="str">
            <v>KRD</v>
          </cell>
          <cell r="E981" t="str">
            <v>Yield</v>
          </cell>
          <cell r="F981" t="str">
            <v>FI-Govt Developed Other (AU, GB, JP, ...)</v>
          </cell>
          <cell r="G981" t="str">
            <v>FI-Other</v>
          </cell>
          <cell r="H981" t="str">
            <v>RATES</v>
          </cell>
          <cell r="I981" t="str">
            <v>Govt Developed Other (AU, GB, JP, ...)</v>
          </cell>
        </row>
        <row r="982">
          <cell r="A982" t="str">
            <v>CAD_OIS_3m</v>
          </cell>
          <cell r="B982" t="str">
            <v>CAD OIS 3m</v>
          </cell>
          <cell r="C982" t="str">
            <v>BRS_GOLD__2_RATES:CAD_OIS:CAD_OIS_3m</v>
          </cell>
          <cell r="D982" t="str">
            <v>KRD</v>
          </cell>
          <cell r="E982" t="str">
            <v>Yield</v>
          </cell>
          <cell r="F982" t="str">
            <v>FI-Govt Developed Other (AU, GB, JP, ...)</v>
          </cell>
          <cell r="G982" t="str">
            <v>FI-Other</v>
          </cell>
          <cell r="H982" t="str">
            <v>RATES</v>
          </cell>
          <cell r="I982" t="str">
            <v>Govt Developed Other (AU, GB, JP, ...)</v>
          </cell>
        </row>
        <row r="983">
          <cell r="A983" t="str">
            <v>CAD_OIS_6m</v>
          </cell>
          <cell r="B983" t="str">
            <v>CAD OIS 6m</v>
          </cell>
          <cell r="C983" t="str">
            <v>BRS_GOLD__2_RATES:CAD_OIS:CAD_OIS_6m</v>
          </cell>
          <cell r="D983" t="str">
            <v>KRD</v>
          </cell>
          <cell r="E983" t="str">
            <v>Yield</v>
          </cell>
          <cell r="F983" t="str">
            <v>FI-Govt Developed Other (AU, GB, JP, ...)</v>
          </cell>
          <cell r="G983" t="str">
            <v>FI-Other</v>
          </cell>
          <cell r="H983" t="str">
            <v>RATES</v>
          </cell>
          <cell r="I983" t="str">
            <v>Govt Developed Other (AU, GB, JP, ...)</v>
          </cell>
        </row>
        <row r="984">
          <cell r="A984" t="str">
            <v>CAD_OIS_12m</v>
          </cell>
          <cell r="B984" t="str">
            <v>CAD OIS 12m</v>
          </cell>
          <cell r="C984" t="str">
            <v>BRS_GOLD__2_RATES:CAD_OIS:CAD_OIS_12m</v>
          </cell>
          <cell r="D984" t="str">
            <v>KRD</v>
          </cell>
          <cell r="E984" t="str">
            <v>Yield</v>
          </cell>
          <cell r="F984" t="str">
            <v>FI-Govt Developed Other (AU, GB, JP, ...)</v>
          </cell>
          <cell r="G984" t="str">
            <v>FI-Other</v>
          </cell>
          <cell r="H984" t="str">
            <v>RATES</v>
          </cell>
          <cell r="I984" t="str">
            <v>Govt Developed Other (AU, GB, JP, ...)</v>
          </cell>
        </row>
        <row r="985">
          <cell r="A985" t="str">
            <v>CAD_OIS_2y</v>
          </cell>
          <cell r="B985" t="str">
            <v>CAD OIS 2y</v>
          </cell>
          <cell r="C985" t="str">
            <v>BRS_GOLD__2_RATES:CAD_OIS:CAD_OIS_2y</v>
          </cell>
          <cell r="D985" t="str">
            <v>KRD</v>
          </cell>
          <cell r="E985" t="str">
            <v>Yield</v>
          </cell>
          <cell r="F985" t="str">
            <v>FI-Govt Developed Other (AU, GB, JP, ...)</v>
          </cell>
          <cell r="G985" t="str">
            <v>FI-Other</v>
          </cell>
          <cell r="H985" t="str">
            <v>RATES</v>
          </cell>
          <cell r="I985" t="str">
            <v>Govt Developed Other (AU, GB, JP, ...)</v>
          </cell>
        </row>
        <row r="986">
          <cell r="A986" t="str">
            <v>CAD_OIS_3y</v>
          </cell>
          <cell r="B986" t="str">
            <v>CAD OIS 3y</v>
          </cell>
          <cell r="C986" t="str">
            <v>BRS_GOLD__2_RATES:CAD_OIS:CAD_OIS_3y</v>
          </cell>
          <cell r="D986" t="str">
            <v>KRD</v>
          </cell>
          <cell r="E986" t="str">
            <v>Yield</v>
          </cell>
          <cell r="F986" t="str">
            <v>FI-Govt Developed Other (AU, GB, JP, ...)</v>
          </cell>
          <cell r="G986" t="str">
            <v>FI-Other</v>
          </cell>
          <cell r="H986" t="str">
            <v>RATES</v>
          </cell>
          <cell r="I986" t="str">
            <v>Govt Developed Other (AU, GB, JP, ...)</v>
          </cell>
        </row>
        <row r="987">
          <cell r="A987" t="str">
            <v>CAD_OIS_5y</v>
          </cell>
          <cell r="B987" t="str">
            <v>CAD OIS 5y</v>
          </cell>
          <cell r="C987" t="str">
            <v>BRS_GOLD__2_RATES:CAD_OIS:CAD_OIS_5y</v>
          </cell>
          <cell r="D987" t="str">
            <v>KRD</v>
          </cell>
          <cell r="E987" t="str">
            <v>Yield</v>
          </cell>
          <cell r="F987" t="str">
            <v>FI-Govt Developed Other (AU, GB, JP, ...)</v>
          </cell>
          <cell r="G987" t="str">
            <v>FI-Other</v>
          </cell>
          <cell r="H987" t="str">
            <v>RATES</v>
          </cell>
          <cell r="I987" t="str">
            <v>Govt Developed Other (AU, GB, JP, ...)</v>
          </cell>
        </row>
        <row r="988">
          <cell r="A988" t="str">
            <v>USD_libor_3m</v>
          </cell>
          <cell r="B988" t="str">
            <v>LIBOR 3M</v>
          </cell>
          <cell r="C988" t="str">
            <v>BRS_GOLD__5_SPREADS:BRS_GOLD__3_SS:BRS_GOLD__2_SS_USD:USD_LIBOR:USD_libor_3m</v>
          </cell>
          <cell r="D988" t="str">
            <v>Libor KRD</v>
          </cell>
          <cell r="E988" t="str">
            <v>Yield</v>
          </cell>
          <cell r="F988" t="str">
            <v>SP-Other</v>
          </cell>
          <cell r="G988" t="str">
            <v>SP-Other</v>
          </cell>
          <cell r="H988" t="str">
            <v>SPREADS</v>
          </cell>
          <cell r="I988" t="str">
            <v>Swap Spread - Libor</v>
          </cell>
        </row>
        <row r="989">
          <cell r="A989" t="str">
            <v>USD_libor_1yr</v>
          </cell>
          <cell r="B989" t="str">
            <v>LIBOR 1Y</v>
          </cell>
          <cell r="C989" t="str">
            <v>BRS_GOLD__5_SPREADS:BRS_GOLD__3_SS:BRS_GOLD__2_SS_USD:USD_LIBOR:USD_libor_1yr</v>
          </cell>
          <cell r="D989" t="str">
            <v>Libor KRD</v>
          </cell>
          <cell r="E989" t="str">
            <v>Yield</v>
          </cell>
          <cell r="F989" t="str">
            <v>SP-Other</v>
          </cell>
          <cell r="G989" t="str">
            <v>SP-Other</v>
          </cell>
          <cell r="H989" t="str">
            <v>SPREADS</v>
          </cell>
          <cell r="I989" t="str">
            <v>Swap Spread - Libor</v>
          </cell>
        </row>
        <row r="990">
          <cell r="A990" t="str">
            <v>USD_libor_2yr</v>
          </cell>
          <cell r="B990" t="str">
            <v>LIBOR 2Y</v>
          </cell>
          <cell r="C990" t="str">
            <v>BRS_GOLD__5_SPREADS:BRS_GOLD__3_SS:BRS_GOLD__2_SS_USD:USD_LIBOR:USD_libor_2yr</v>
          </cell>
          <cell r="D990" t="str">
            <v>Libor KRD</v>
          </cell>
          <cell r="E990" t="str">
            <v>Yield</v>
          </cell>
          <cell r="F990" t="str">
            <v>SP-Other</v>
          </cell>
          <cell r="G990" t="str">
            <v>SP-Other</v>
          </cell>
          <cell r="H990" t="str">
            <v>SPREADS</v>
          </cell>
          <cell r="I990" t="str">
            <v>Swap Spread - Libor</v>
          </cell>
        </row>
        <row r="991">
          <cell r="A991" t="str">
            <v>USD_libor_3yr</v>
          </cell>
          <cell r="B991" t="str">
            <v>LIBOR 3Y</v>
          </cell>
          <cell r="C991" t="str">
            <v>BRS_GOLD__5_SPREADS:BRS_GOLD__3_SS:BRS_GOLD__2_SS_USD:USD_LIBOR:USD_libor_3yr</v>
          </cell>
          <cell r="D991" t="str">
            <v>Libor KRD</v>
          </cell>
          <cell r="E991" t="str">
            <v>Yield</v>
          </cell>
          <cell r="F991" t="str">
            <v>SP-Other</v>
          </cell>
          <cell r="G991" t="str">
            <v>SP-Other</v>
          </cell>
          <cell r="H991" t="str">
            <v>SPREADS</v>
          </cell>
          <cell r="I991" t="str">
            <v>Swap Spread - Libor</v>
          </cell>
        </row>
        <row r="992">
          <cell r="A992" t="str">
            <v>USD_libor_5yr</v>
          </cell>
          <cell r="B992" t="str">
            <v>LIBOR 5Y</v>
          </cell>
          <cell r="C992" t="str">
            <v>BRS_GOLD__5_SPREADS:BRS_GOLD__3_SS:BRS_GOLD__2_SS_USD:USD_LIBOR:USD_libor_5yr</v>
          </cell>
          <cell r="D992" t="str">
            <v>Libor KRD</v>
          </cell>
          <cell r="E992" t="str">
            <v>Yield</v>
          </cell>
          <cell r="F992" t="str">
            <v>SP-Other</v>
          </cell>
          <cell r="G992" t="str">
            <v>SP-Other</v>
          </cell>
          <cell r="H992" t="str">
            <v>SPREADS</v>
          </cell>
          <cell r="I992" t="str">
            <v>Swap Spread - Libor</v>
          </cell>
        </row>
        <row r="993">
          <cell r="A993" t="str">
            <v>USD_libor_7yr</v>
          </cell>
          <cell r="B993" t="str">
            <v>LIBOR 7Y</v>
          </cell>
          <cell r="C993" t="str">
            <v>BRS_GOLD__5_SPREADS:BRS_GOLD__3_SS:BRS_GOLD__2_SS_USD:USD_LIBOR:USD_libor_7yr</v>
          </cell>
          <cell r="D993" t="str">
            <v>Libor KRD</v>
          </cell>
          <cell r="E993" t="str">
            <v>Yield</v>
          </cell>
          <cell r="F993" t="str">
            <v>SP-Other</v>
          </cell>
          <cell r="G993" t="str">
            <v>SP-Other</v>
          </cell>
          <cell r="H993" t="str">
            <v>SPREADS</v>
          </cell>
          <cell r="I993" t="str">
            <v>Swap Spread - Libor</v>
          </cell>
        </row>
        <row r="994">
          <cell r="A994" t="str">
            <v>USD_libor_10yr</v>
          </cell>
          <cell r="B994" t="str">
            <v>LIBOR 10Y</v>
          </cell>
          <cell r="C994" t="str">
            <v>BRS_GOLD__5_SPREADS:BRS_GOLD__3_SS:BRS_GOLD__2_SS_USD:USD_LIBOR:USD_libor_10yr</v>
          </cell>
          <cell r="D994" t="str">
            <v>Libor KRD</v>
          </cell>
          <cell r="E994" t="str">
            <v>Yield</v>
          </cell>
          <cell r="F994" t="str">
            <v>SP-Other</v>
          </cell>
          <cell r="G994" t="str">
            <v>SP-Other</v>
          </cell>
          <cell r="H994" t="str">
            <v>SPREADS</v>
          </cell>
          <cell r="I994" t="str">
            <v>Swap Spread - Libor</v>
          </cell>
        </row>
        <row r="995">
          <cell r="A995" t="str">
            <v>USD_libor_15yr</v>
          </cell>
          <cell r="B995" t="str">
            <v>LIBOR 15Y</v>
          </cell>
          <cell r="C995" t="str">
            <v>BRS_GOLD__5_SPREADS:BRS_GOLD__3_SS:BRS_GOLD__2_SS_USD:USD_LIBOR:USD_libor_15yr</v>
          </cell>
          <cell r="D995" t="str">
            <v>Libor KRD</v>
          </cell>
          <cell r="E995" t="str">
            <v>Yield</v>
          </cell>
          <cell r="F995" t="str">
            <v>SP-Other</v>
          </cell>
          <cell r="G995" t="str">
            <v>SP-Other</v>
          </cell>
          <cell r="H995" t="str">
            <v>SPREADS</v>
          </cell>
          <cell r="I995" t="str">
            <v>Swap Spread - Libor</v>
          </cell>
        </row>
        <row r="996">
          <cell r="A996" t="str">
            <v>USD_libor_20yr</v>
          </cell>
          <cell r="B996" t="str">
            <v>LIBOR 20Y</v>
          </cell>
          <cell r="C996" t="str">
            <v>BRS_GOLD__5_SPREADS:BRS_GOLD__3_SS:BRS_GOLD__2_SS_USD:USD_LIBOR:USD_libor_20yr</v>
          </cell>
          <cell r="D996" t="str">
            <v>Libor KRD</v>
          </cell>
          <cell r="E996" t="str">
            <v>Yield</v>
          </cell>
          <cell r="F996" t="str">
            <v>SP-Other</v>
          </cell>
          <cell r="G996" t="str">
            <v>SP-Other</v>
          </cell>
          <cell r="H996" t="str">
            <v>SPREADS</v>
          </cell>
          <cell r="I996" t="str">
            <v>Swap Spread - Libor</v>
          </cell>
        </row>
        <row r="997">
          <cell r="A997" t="str">
            <v>USD_libor_25yr</v>
          </cell>
          <cell r="B997" t="str">
            <v>LIBOR 25Y</v>
          </cell>
          <cell r="C997" t="str">
            <v>BRS_GOLD__5_SPREADS:BRS_GOLD__3_SS:BRS_GOLD__2_SS_USD:USD_LIBOR:USD_libor_25yr</v>
          </cell>
          <cell r="D997" t="str">
            <v>Libor KRD</v>
          </cell>
          <cell r="E997" t="str">
            <v>Yield</v>
          </cell>
          <cell r="F997" t="str">
            <v>SP-Other</v>
          </cell>
          <cell r="G997" t="str">
            <v>SP-Other</v>
          </cell>
          <cell r="H997" t="str">
            <v>SPREADS</v>
          </cell>
          <cell r="I997" t="str">
            <v>Swap Spread - Libor</v>
          </cell>
        </row>
        <row r="998">
          <cell r="A998" t="str">
            <v>USD_libor_30yr</v>
          </cell>
          <cell r="B998" t="str">
            <v>LIBOR 30Y</v>
          </cell>
          <cell r="C998" t="str">
            <v>BRS_GOLD__5_SPREADS:BRS_GOLD__3_SS:BRS_GOLD__2_SS_USD:USD_LIBOR:USD_libor_30yr</v>
          </cell>
          <cell r="D998" t="str">
            <v>Libor KRD</v>
          </cell>
          <cell r="E998" t="str">
            <v>Yield</v>
          </cell>
          <cell r="F998" t="str">
            <v>SP-Other</v>
          </cell>
          <cell r="G998" t="str">
            <v>SP-Other</v>
          </cell>
          <cell r="H998" t="str">
            <v>SPREADS</v>
          </cell>
          <cell r="I998" t="str">
            <v>Swap Spread - Libor</v>
          </cell>
        </row>
        <row r="999">
          <cell r="A999" t="str">
            <v>USD_mod_libor_3m</v>
          </cell>
          <cell r="B999" t="str">
            <v>Model LIBOR 3M</v>
          </cell>
          <cell r="C999" t="str">
            <v>BRS_GOLD__5_SPREADS:BRS_GOLD__3_SS:BRS_GOLD__2_SS_USD:MOD_LIBOR_USD:USD_mod_libor_3m</v>
          </cell>
          <cell r="D999" t="str">
            <v>Libor KRD</v>
          </cell>
          <cell r="E999" t="str">
            <v>Yield</v>
          </cell>
          <cell r="F999" t="str">
            <v>SP-Other</v>
          </cell>
          <cell r="G999" t="str">
            <v>SP-Other</v>
          </cell>
          <cell r="H999" t="str">
            <v>SPREADS</v>
          </cell>
          <cell r="I999" t="str">
            <v>Swap Spread - Libor</v>
          </cell>
        </row>
        <row r="1000">
          <cell r="A1000" t="str">
            <v>USD_mod_libor_1yr</v>
          </cell>
          <cell r="B1000" t="str">
            <v>Model LIBOR 1Y</v>
          </cell>
          <cell r="C1000" t="str">
            <v>BRS_GOLD__5_SPREADS:BRS_GOLD__3_SS:BRS_GOLD__2_SS_USD:MOD_LIBOR_USD:USD_mod_libor_1yr</v>
          </cell>
          <cell r="D1000" t="str">
            <v>Libor KRD</v>
          </cell>
          <cell r="E1000" t="str">
            <v>Yield</v>
          </cell>
          <cell r="F1000" t="str">
            <v>SP-Other</v>
          </cell>
          <cell r="G1000" t="str">
            <v>SP-Other</v>
          </cell>
          <cell r="H1000" t="str">
            <v>SPREADS</v>
          </cell>
          <cell r="I1000" t="str">
            <v>Swap Spread - Libor</v>
          </cell>
        </row>
        <row r="1001">
          <cell r="A1001" t="str">
            <v>USD_mod_libor_2yr</v>
          </cell>
          <cell r="B1001" t="str">
            <v>Model LIBOR 2Y</v>
          </cell>
          <cell r="C1001" t="str">
            <v>BRS_GOLD__5_SPREADS:BRS_GOLD__3_SS:BRS_GOLD__2_SS_USD:MOD_LIBOR_USD:USD_mod_libor_2yr</v>
          </cell>
          <cell r="D1001" t="str">
            <v>Libor KRD</v>
          </cell>
          <cell r="E1001" t="str">
            <v>Yield</v>
          </cell>
          <cell r="F1001" t="str">
            <v>SP-Other</v>
          </cell>
          <cell r="G1001" t="str">
            <v>SP-Other</v>
          </cell>
          <cell r="H1001" t="str">
            <v>SPREADS</v>
          </cell>
          <cell r="I1001" t="str">
            <v>Swap Spread - Libor</v>
          </cell>
        </row>
        <row r="1002">
          <cell r="A1002" t="str">
            <v>USD_mod_libor_3yr</v>
          </cell>
          <cell r="B1002" t="str">
            <v>Model LIBOR 3Y</v>
          </cell>
          <cell r="C1002" t="str">
            <v>BRS_GOLD__5_SPREADS:BRS_GOLD__3_SS:BRS_GOLD__2_SS_USD:MOD_LIBOR_USD:USD_mod_libor_3yr</v>
          </cell>
          <cell r="D1002" t="str">
            <v>Libor KRD</v>
          </cell>
          <cell r="E1002" t="str">
            <v>Yield</v>
          </cell>
          <cell r="F1002" t="str">
            <v>SP-Other</v>
          </cell>
          <cell r="G1002" t="str">
            <v>SP-Other</v>
          </cell>
          <cell r="H1002" t="str">
            <v>SPREADS</v>
          </cell>
          <cell r="I1002" t="str">
            <v>Swap Spread - Libor</v>
          </cell>
        </row>
        <row r="1003">
          <cell r="A1003" t="str">
            <v>USD_mod_libor_5yr</v>
          </cell>
          <cell r="B1003" t="str">
            <v>Model LIBOR 5Y</v>
          </cell>
          <cell r="C1003" t="str">
            <v>BRS_GOLD__5_SPREADS:BRS_GOLD__3_SS:BRS_GOLD__2_SS_USD:MOD_LIBOR_USD:USD_mod_libor_5yr</v>
          </cell>
          <cell r="D1003" t="str">
            <v>Libor KRD</v>
          </cell>
          <cell r="E1003" t="str">
            <v>Yield</v>
          </cell>
          <cell r="F1003" t="str">
            <v>SP-Other</v>
          </cell>
          <cell r="G1003" t="str">
            <v>SP-Other</v>
          </cell>
          <cell r="H1003" t="str">
            <v>SPREADS</v>
          </cell>
          <cell r="I1003" t="str">
            <v>Swap Spread - Libor</v>
          </cell>
        </row>
        <row r="1004">
          <cell r="A1004" t="str">
            <v>USD_mod_libor_7yr</v>
          </cell>
          <cell r="B1004" t="str">
            <v>Model LIBOR 7Y</v>
          </cell>
          <cell r="C1004" t="str">
            <v>BRS_GOLD__5_SPREADS:BRS_GOLD__3_SS:BRS_GOLD__2_SS_USD:MOD_LIBOR_USD:USD_mod_libor_7yr</v>
          </cell>
          <cell r="D1004" t="str">
            <v>Libor KRD</v>
          </cell>
          <cell r="E1004" t="str">
            <v>Yield</v>
          </cell>
          <cell r="F1004" t="str">
            <v>SP-Other</v>
          </cell>
          <cell r="G1004" t="str">
            <v>SP-Other</v>
          </cell>
          <cell r="H1004" t="str">
            <v>SPREADS</v>
          </cell>
          <cell r="I1004" t="str">
            <v>Swap Spread - Libor</v>
          </cell>
        </row>
        <row r="1005">
          <cell r="A1005" t="str">
            <v>USD_mod_libor_10yr</v>
          </cell>
          <cell r="B1005" t="str">
            <v>Model LIBOR 10Y</v>
          </cell>
          <cell r="C1005" t="str">
            <v>BRS_GOLD__5_SPREADS:BRS_GOLD__3_SS:BRS_GOLD__2_SS_USD:MOD_LIBOR_USD:USD_mod_libor_10yr</v>
          </cell>
          <cell r="D1005" t="str">
            <v>Libor KRD</v>
          </cell>
          <cell r="E1005" t="str">
            <v>Yield</v>
          </cell>
          <cell r="F1005" t="str">
            <v>SP-Other</v>
          </cell>
          <cell r="G1005" t="str">
            <v>SP-Other</v>
          </cell>
          <cell r="H1005" t="str">
            <v>SPREADS</v>
          </cell>
          <cell r="I1005" t="str">
            <v>Swap Spread - Libor</v>
          </cell>
        </row>
        <row r="1006">
          <cell r="A1006" t="str">
            <v>USD_mod_libor_15yr</v>
          </cell>
          <cell r="B1006" t="str">
            <v>Model LIBOR 15Y</v>
          </cell>
          <cell r="C1006" t="str">
            <v>BRS_GOLD__5_SPREADS:BRS_GOLD__3_SS:BRS_GOLD__2_SS_USD:MOD_LIBOR_USD:USD_mod_libor_15yr</v>
          </cell>
          <cell r="D1006" t="str">
            <v>Libor KRD</v>
          </cell>
          <cell r="E1006" t="str">
            <v>Yield</v>
          </cell>
          <cell r="F1006" t="str">
            <v>SP-Other</v>
          </cell>
          <cell r="G1006" t="str">
            <v>SP-Other</v>
          </cell>
          <cell r="H1006" t="str">
            <v>SPREADS</v>
          </cell>
          <cell r="I1006" t="str">
            <v>Swap Spread - Libor</v>
          </cell>
        </row>
        <row r="1007">
          <cell r="A1007" t="str">
            <v>USD_mod_libor_20yr</v>
          </cell>
          <cell r="B1007" t="str">
            <v>Model LIBOR 20Y</v>
          </cell>
          <cell r="C1007" t="str">
            <v>BRS_GOLD__5_SPREADS:BRS_GOLD__3_SS:BRS_GOLD__2_SS_USD:MOD_LIBOR_USD:USD_mod_libor_20yr</v>
          </cell>
          <cell r="D1007" t="str">
            <v>Libor KRD</v>
          </cell>
          <cell r="E1007" t="str">
            <v>Yield</v>
          </cell>
          <cell r="F1007" t="str">
            <v>SP-Other</v>
          </cell>
          <cell r="G1007" t="str">
            <v>SP-Other</v>
          </cell>
          <cell r="H1007" t="str">
            <v>SPREADS</v>
          </cell>
          <cell r="I1007" t="str">
            <v>Swap Spread - Libor</v>
          </cell>
        </row>
        <row r="1008">
          <cell r="A1008" t="str">
            <v>USD_mod_libor_25yr</v>
          </cell>
          <cell r="B1008" t="str">
            <v>Model LIBOR 25Y</v>
          </cell>
          <cell r="C1008" t="str">
            <v>BRS_GOLD__5_SPREADS:BRS_GOLD__3_SS:BRS_GOLD__2_SS_USD:MOD_LIBOR_USD:USD_mod_libor_25yr</v>
          </cell>
          <cell r="D1008" t="str">
            <v>Libor KRD</v>
          </cell>
          <cell r="E1008" t="str">
            <v>Yield</v>
          </cell>
          <cell r="F1008" t="str">
            <v>SP-Other</v>
          </cell>
          <cell r="G1008" t="str">
            <v>SP-Other</v>
          </cell>
          <cell r="H1008" t="str">
            <v>SPREADS</v>
          </cell>
          <cell r="I1008" t="str">
            <v>Swap Spread - Libor</v>
          </cell>
        </row>
        <row r="1009">
          <cell r="A1009" t="str">
            <v>USD_mod_libor_30yr</v>
          </cell>
          <cell r="B1009" t="str">
            <v>Model LIBOR 30Y</v>
          </cell>
          <cell r="C1009" t="str">
            <v>BRS_GOLD__5_SPREADS:BRS_GOLD__3_SS:BRS_GOLD__2_SS_USD:MOD_LIBOR_USD:USD_mod_libor_30yr</v>
          </cell>
          <cell r="D1009" t="str">
            <v>Libor KRD</v>
          </cell>
          <cell r="E1009" t="str">
            <v>Yield</v>
          </cell>
          <cell r="F1009" t="str">
            <v>SP-Other</v>
          </cell>
          <cell r="G1009" t="str">
            <v>SP-Other</v>
          </cell>
          <cell r="H1009" t="str">
            <v>SPREADS</v>
          </cell>
          <cell r="I1009" t="str">
            <v>Swap Spread - Libor</v>
          </cell>
        </row>
        <row r="1010">
          <cell r="A1010" t="str">
            <v>USD_oisbasis_3m</v>
          </cell>
          <cell r="B1010" t="str">
            <v>USD OIS BASIS 3M</v>
          </cell>
          <cell r="C1010" t="str">
            <v>BRS_GOLD__5_SPREADS:BRS_GOLD__3_SS:BRS_GOLD__2_SS_USD:USD_OIS:USD_oisbasis_3m</v>
          </cell>
          <cell r="D1010" t="str">
            <v>Libor KRD</v>
          </cell>
          <cell r="E1010" t="str">
            <v>Yield</v>
          </cell>
          <cell r="F1010" t="str">
            <v>SP-Other</v>
          </cell>
          <cell r="G1010" t="str">
            <v>SP-Other</v>
          </cell>
          <cell r="H1010" t="str">
            <v>SPREADS</v>
          </cell>
          <cell r="I1010" t="str">
            <v>Swap Spread - Libor</v>
          </cell>
        </row>
        <row r="1011">
          <cell r="A1011" t="str">
            <v>USD_oisbasis_1yr</v>
          </cell>
          <cell r="B1011" t="str">
            <v>USD OIS BASIS 1Y</v>
          </cell>
          <cell r="C1011" t="str">
            <v>BRS_GOLD__5_SPREADS:BRS_GOLD__3_SS:BRS_GOLD__2_SS_USD:USD_OIS:USD_oisbasis_1yr</v>
          </cell>
          <cell r="D1011" t="str">
            <v>Libor KRD</v>
          </cell>
          <cell r="E1011" t="str">
            <v>Yield</v>
          </cell>
          <cell r="F1011" t="str">
            <v>SP-Other</v>
          </cell>
          <cell r="G1011" t="str">
            <v>SP-Other</v>
          </cell>
          <cell r="H1011" t="str">
            <v>SPREADS</v>
          </cell>
          <cell r="I1011" t="str">
            <v>Swap Spread - Libor</v>
          </cell>
        </row>
        <row r="1012">
          <cell r="A1012" t="str">
            <v>USD_oisbasis_2yr</v>
          </cell>
          <cell r="B1012" t="str">
            <v>USD OIS BASIS 2Y</v>
          </cell>
          <cell r="C1012" t="str">
            <v>BRS_GOLD__5_SPREADS:BRS_GOLD__3_SS:BRS_GOLD__2_SS_USD:USD_OIS:USD_oisbasis_2yr</v>
          </cell>
          <cell r="D1012" t="str">
            <v>Libor KRD</v>
          </cell>
          <cell r="E1012" t="str">
            <v>Yield</v>
          </cell>
          <cell r="F1012" t="str">
            <v>SP-Other</v>
          </cell>
          <cell r="G1012" t="str">
            <v>SP-Other</v>
          </cell>
          <cell r="H1012" t="str">
            <v>SPREADS</v>
          </cell>
          <cell r="I1012" t="str">
            <v>Swap Spread - Libor</v>
          </cell>
        </row>
        <row r="1013">
          <cell r="A1013" t="str">
            <v>USD_oisbasis_3yr</v>
          </cell>
          <cell r="B1013" t="str">
            <v>USD OIS BASIS 3Y</v>
          </cell>
          <cell r="C1013" t="str">
            <v>BRS_GOLD__5_SPREADS:BRS_GOLD__3_SS:BRS_GOLD__2_SS_USD:USD_OIS:USD_oisbasis_3yr</v>
          </cell>
          <cell r="D1013" t="str">
            <v>Libor KRD</v>
          </cell>
          <cell r="E1013" t="str">
            <v>Yield</v>
          </cell>
          <cell r="F1013" t="str">
            <v>SP-Other</v>
          </cell>
          <cell r="G1013" t="str">
            <v>SP-Other</v>
          </cell>
          <cell r="H1013" t="str">
            <v>SPREADS</v>
          </cell>
          <cell r="I1013" t="str">
            <v>Swap Spread - Libor</v>
          </cell>
        </row>
        <row r="1014">
          <cell r="A1014" t="str">
            <v>USD_oisbasis_5yr</v>
          </cell>
          <cell r="B1014" t="str">
            <v>USD OIS BASIS 5Y</v>
          </cell>
          <cell r="C1014" t="str">
            <v>BRS_GOLD__5_SPREADS:BRS_GOLD__3_SS:BRS_GOLD__2_SS_USD:USD_OIS:USD_oisbasis_5yr</v>
          </cell>
          <cell r="D1014" t="str">
            <v>Libor KRD</v>
          </cell>
          <cell r="E1014" t="str">
            <v>Yield</v>
          </cell>
          <cell r="F1014" t="str">
            <v>SP-Other</v>
          </cell>
          <cell r="G1014" t="str">
            <v>SP-Other</v>
          </cell>
          <cell r="H1014" t="str">
            <v>SPREADS</v>
          </cell>
          <cell r="I1014" t="str">
            <v>Swap Spread - Libor</v>
          </cell>
        </row>
        <row r="1015">
          <cell r="A1015" t="str">
            <v>USD_oisbasis_7yr</v>
          </cell>
          <cell r="B1015" t="str">
            <v>USD OIS BASIS 7Y</v>
          </cell>
          <cell r="C1015" t="str">
            <v>BRS_GOLD__5_SPREADS:BRS_GOLD__3_SS:BRS_GOLD__2_SS_USD:USD_OIS:USD_oisbasis_7yr</v>
          </cell>
          <cell r="D1015" t="str">
            <v>Libor KRD</v>
          </cell>
          <cell r="E1015" t="str">
            <v>Yield</v>
          </cell>
          <cell r="F1015" t="str">
            <v>SP-Other</v>
          </cell>
          <cell r="G1015" t="str">
            <v>SP-Other</v>
          </cell>
          <cell r="H1015" t="str">
            <v>SPREADS</v>
          </cell>
          <cell r="I1015" t="str">
            <v>Swap Spread - Libor</v>
          </cell>
        </row>
        <row r="1016">
          <cell r="A1016" t="str">
            <v>USD_oisbasis_10yr</v>
          </cell>
          <cell r="B1016" t="str">
            <v>USD OIS BASIS 10Y</v>
          </cell>
          <cell r="C1016" t="str">
            <v>BRS_GOLD__5_SPREADS:BRS_GOLD__3_SS:BRS_GOLD__2_SS_USD:USD_OIS:USD_oisbasis_10yr</v>
          </cell>
          <cell r="D1016" t="str">
            <v>Libor KRD</v>
          </cell>
          <cell r="E1016" t="str">
            <v>Yield</v>
          </cell>
          <cell r="F1016" t="str">
            <v>SP-Other</v>
          </cell>
          <cell r="G1016" t="str">
            <v>SP-Other</v>
          </cell>
          <cell r="H1016" t="str">
            <v>SPREADS</v>
          </cell>
          <cell r="I1016" t="str">
            <v>Swap Spread - Libor</v>
          </cell>
        </row>
        <row r="1017">
          <cell r="A1017" t="str">
            <v>USD_oisbasis_15yr</v>
          </cell>
          <cell r="B1017" t="str">
            <v>USD OIS BASIS 15Y</v>
          </cell>
          <cell r="C1017" t="str">
            <v>BRS_GOLD__5_SPREADS:BRS_GOLD__3_SS:BRS_GOLD__2_SS_USD:USD_OIS:USD_oisbasis_15yr</v>
          </cell>
          <cell r="D1017" t="str">
            <v>Libor KRD</v>
          </cell>
          <cell r="E1017" t="str">
            <v>Yield</v>
          </cell>
          <cell r="F1017" t="str">
            <v>SP-Other</v>
          </cell>
          <cell r="G1017" t="str">
            <v>SP-Other</v>
          </cell>
          <cell r="H1017" t="str">
            <v>SPREADS</v>
          </cell>
          <cell r="I1017" t="str">
            <v>Swap Spread - Libor</v>
          </cell>
        </row>
        <row r="1018">
          <cell r="A1018" t="str">
            <v>USD_oisbasis_20yr</v>
          </cell>
          <cell r="B1018" t="str">
            <v>USD OIS BASIS 20Y</v>
          </cell>
          <cell r="C1018" t="str">
            <v>BRS_GOLD__5_SPREADS:BRS_GOLD__3_SS:BRS_GOLD__2_SS_USD:USD_OIS:USD_oisbasis_20yr</v>
          </cell>
          <cell r="D1018" t="str">
            <v>Libor KRD</v>
          </cell>
          <cell r="E1018" t="str">
            <v>Yield</v>
          </cell>
          <cell r="F1018" t="str">
            <v>SP-Other</v>
          </cell>
          <cell r="G1018" t="str">
            <v>SP-Other</v>
          </cell>
          <cell r="H1018" t="str">
            <v>SPREADS</v>
          </cell>
          <cell r="I1018" t="str">
            <v>Swap Spread - Libor</v>
          </cell>
        </row>
        <row r="1019">
          <cell r="A1019" t="str">
            <v>USD_oisbasis_25yr</v>
          </cell>
          <cell r="B1019" t="str">
            <v>USD OIS BASIS 25Y</v>
          </cell>
          <cell r="C1019" t="str">
            <v>BRS_GOLD__5_SPREADS:BRS_GOLD__3_SS:BRS_GOLD__2_SS_USD:USD_OIS:USD_oisbasis_25yr</v>
          </cell>
          <cell r="D1019" t="str">
            <v>Libor KRD</v>
          </cell>
          <cell r="E1019" t="str">
            <v>Yield</v>
          </cell>
          <cell r="F1019" t="str">
            <v>SP-Other</v>
          </cell>
          <cell r="G1019" t="str">
            <v>SP-Other</v>
          </cell>
          <cell r="H1019" t="str">
            <v>SPREADS</v>
          </cell>
          <cell r="I1019" t="str">
            <v>Swap Spread - Libor</v>
          </cell>
        </row>
        <row r="1020">
          <cell r="A1020" t="str">
            <v>USD_oisbasis_30yr</v>
          </cell>
          <cell r="B1020" t="str">
            <v>USD OIS BASIS 30Y</v>
          </cell>
          <cell r="C1020" t="str">
            <v>BRS_GOLD__5_SPREADS:BRS_GOLD__3_SS:BRS_GOLD__2_SS_USD:USD_OIS:USD_oisbasis_30yr</v>
          </cell>
          <cell r="D1020" t="str">
            <v>Libor KRD</v>
          </cell>
          <cell r="E1020" t="str">
            <v>Yield</v>
          </cell>
          <cell r="F1020" t="str">
            <v>SP-Other</v>
          </cell>
          <cell r="G1020" t="str">
            <v>SP-Other</v>
          </cell>
          <cell r="H1020" t="str">
            <v>SPREADS</v>
          </cell>
          <cell r="I1020" t="str">
            <v>Swap Spread - Libor</v>
          </cell>
        </row>
        <row r="1021">
          <cell r="A1021" t="str">
            <v>USD_oisbasis_40yr</v>
          </cell>
          <cell r="B1021" t="str">
            <v>USD OIS BASIS 40Y</v>
          </cell>
          <cell r="C1021" t="str">
            <v>BRS_GOLD__5_SPREADS:BRS_GOLD__3_SS:BRS_GOLD__2_SS_USD:USD_OIS:USD_oisbasis_40yr</v>
          </cell>
          <cell r="D1021" t="str">
            <v>Libor KRD</v>
          </cell>
          <cell r="E1021" t="str">
            <v>Yield</v>
          </cell>
          <cell r="F1021" t="str">
            <v>SP-Other</v>
          </cell>
          <cell r="G1021" t="str">
            <v>SP-Other</v>
          </cell>
          <cell r="H1021" t="str">
            <v>SPREADS</v>
          </cell>
          <cell r="I1021" t="str">
            <v>Swap Spread - Libor</v>
          </cell>
        </row>
        <row r="1022">
          <cell r="A1022" t="str">
            <v>USD_oisbasis_50yr</v>
          </cell>
          <cell r="B1022" t="str">
            <v>USD OIS BASIS 50Y</v>
          </cell>
          <cell r="C1022" t="str">
            <v>BRS_GOLD__5_SPREADS:BRS_GOLD__3_SS:BRS_GOLD__2_SS_USD:USD_OIS:USD_oisbasis_50yr</v>
          </cell>
          <cell r="D1022" t="str">
            <v>Libor KRD</v>
          </cell>
          <cell r="E1022" t="str">
            <v>Yield</v>
          </cell>
          <cell r="F1022" t="str">
            <v>SP-Other</v>
          </cell>
          <cell r="G1022" t="str">
            <v>SP-Other</v>
          </cell>
          <cell r="H1022" t="str">
            <v>SPREADS</v>
          </cell>
          <cell r="I1022" t="str">
            <v>Swap Spread - Libor</v>
          </cell>
        </row>
        <row r="1023">
          <cell r="A1023" t="str">
            <v>FMI_WRLD_ARG</v>
          </cell>
          <cell r="B1023" t="str">
            <v>Argentina</v>
          </cell>
          <cell r="C1023" t="str">
            <v>WRLD Country:Argentina</v>
          </cell>
          <cell r="D1023" t="str">
            <v>BFRE Country</v>
          </cell>
          <cell r="E1023" t="str">
            <v>Country Return</v>
          </cell>
          <cell r="F1023" t="str">
            <v>EQ-Emerging Markets</v>
          </cell>
          <cell r="G1023" t="str">
            <v>EQ-Emerging Markets</v>
          </cell>
          <cell r="H1023" t="str">
            <v>EQ_COUNTRY</v>
          </cell>
          <cell r="I1023" t="str">
            <v>Emerging Markets</v>
          </cell>
        </row>
        <row r="1024">
          <cell r="A1024" t="str">
            <v>FMI_WRLD_AUS</v>
          </cell>
          <cell r="B1024" t="str">
            <v>Australia</v>
          </cell>
          <cell r="C1024" t="str">
            <v>WRLD Country:Australia</v>
          </cell>
          <cell r="D1024" t="str">
            <v>BFRE Country</v>
          </cell>
          <cell r="E1024" t="str">
            <v>Country Return</v>
          </cell>
          <cell r="F1024" t="str">
            <v>EQ-Pacific ex Japan</v>
          </cell>
          <cell r="G1024" t="str">
            <v>EQ-Pacific ex Japan</v>
          </cell>
          <cell r="H1024" t="str">
            <v>EQ_COUNTRY</v>
          </cell>
          <cell r="I1024" t="str">
            <v>Pacific ex Japan</v>
          </cell>
        </row>
        <row r="1025">
          <cell r="A1025" t="str">
            <v>FMI_WRLD_AUT</v>
          </cell>
          <cell r="B1025" t="str">
            <v>Austria</v>
          </cell>
          <cell r="C1025" t="str">
            <v>WRLD Country:Austria</v>
          </cell>
          <cell r="D1025" t="str">
            <v>BFRE Country</v>
          </cell>
          <cell r="E1025" t="str">
            <v>Country Return</v>
          </cell>
          <cell r="F1025" t="str">
            <v>EQ-Europe</v>
          </cell>
          <cell r="G1025" t="str">
            <v>EQ-Europe</v>
          </cell>
          <cell r="H1025" t="str">
            <v>EQ_COUNTRY</v>
          </cell>
          <cell r="I1025" t="str">
            <v>Europe</v>
          </cell>
        </row>
        <row r="1026">
          <cell r="A1026" t="str">
            <v>FMI_WRLD_BHR</v>
          </cell>
          <cell r="B1026" t="str">
            <v>Bahrain</v>
          </cell>
          <cell r="C1026" t="str">
            <v>WRLD Country:Bahrain</v>
          </cell>
          <cell r="D1026" t="str">
            <v>BFRE Country</v>
          </cell>
          <cell r="E1026" t="str">
            <v>Country Return</v>
          </cell>
          <cell r="F1026" t="str">
            <v>EQ-Emerging Markets</v>
          </cell>
          <cell r="G1026" t="str">
            <v>EQ-Emerging Markets</v>
          </cell>
          <cell r="H1026" t="str">
            <v>EQ_COUNTRY</v>
          </cell>
          <cell r="I1026" t="str">
            <v>Emerging Markets</v>
          </cell>
        </row>
        <row r="1027">
          <cell r="A1027" t="str">
            <v>FMI_WRLD_BGD</v>
          </cell>
          <cell r="B1027" t="str">
            <v>Bangladesh</v>
          </cell>
          <cell r="C1027" t="str">
            <v>WRLD Country:Bangladesh</v>
          </cell>
          <cell r="D1027" t="str">
            <v>BFRE Country</v>
          </cell>
          <cell r="E1027" t="str">
            <v>Country Return</v>
          </cell>
          <cell r="F1027" t="str">
            <v>EQ-Emerging Markets</v>
          </cell>
          <cell r="G1027" t="str">
            <v>EQ-Emerging Markets</v>
          </cell>
          <cell r="H1027" t="str">
            <v>EQ_COUNTRY</v>
          </cell>
          <cell r="I1027" t="str">
            <v>Emerging Markets</v>
          </cell>
        </row>
        <row r="1028">
          <cell r="A1028" t="str">
            <v>FMI_WRLD_BEL</v>
          </cell>
          <cell r="B1028" t="str">
            <v>Belgium and Luxembourg</v>
          </cell>
          <cell r="C1028" t="str">
            <v>WRLD Country:Belgium and Luxembourg</v>
          </cell>
          <cell r="D1028" t="str">
            <v>BFRE Country</v>
          </cell>
          <cell r="E1028" t="str">
            <v>Country Return</v>
          </cell>
          <cell r="F1028" t="str">
            <v>EQ-Europe</v>
          </cell>
          <cell r="G1028" t="str">
            <v>EQ-Europe</v>
          </cell>
          <cell r="H1028" t="str">
            <v>EQ_COUNTRY</v>
          </cell>
          <cell r="I1028" t="str">
            <v>Europe</v>
          </cell>
        </row>
        <row r="1029">
          <cell r="A1029" t="str">
            <v>FMI_WRLD_BRA</v>
          </cell>
          <cell r="B1029" t="str">
            <v>Brazil</v>
          </cell>
          <cell r="C1029" t="str">
            <v>WRLD Country:Brazil</v>
          </cell>
          <cell r="D1029" t="str">
            <v>BFRE Country</v>
          </cell>
          <cell r="E1029" t="str">
            <v>Country Return</v>
          </cell>
          <cell r="F1029" t="str">
            <v>EQ-Emerging Markets</v>
          </cell>
          <cell r="G1029" t="str">
            <v>EQ-Emerging Markets</v>
          </cell>
          <cell r="H1029" t="str">
            <v>EQ_COUNTRY</v>
          </cell>
          <cell r="I1029" t="str">
            <v>Emerging Markets</v>
          </cell>
        </row>
        <row r="1030">
          <cell r="A1030" t="str">
            <v>FMI_WRLD_CAN</v>
          </cell>
          <cell r="B1030" t="str">
            <v>Canada</v>
          </cell>
          <cell r="C1030" t="str">
            <v>WRLD Country:Canada</v>
          </cell>
          <cell r="D1030" t="str">
            <v>BFRE Country</v>
          </cell>
          <cell r="E1030" t="str">
            <v>Country Return</v>
          </cell>
          <cell r="F1030" t="str">
            <v>EQ-North America</v>
          </cell>
          <cell r="G1030" t="str">
            <v>EQ-North America</v>
          </cell>
          <cell r="H1030" t="str">
            <v>EQ_COUNTRY</v>
          </cell>
          <cell r="I1030" t="str">
            <v>North America</v>
          </cell>
        </row>
        <row r="1031">
          <cell r="A1031" t="str">
            <v>FMI_WRLD_CHL</v>
          </cell>
          <cell r="B1031" t="str">
            <v>Chile</v>
          </cell>
          <cell r="C1031" t="str">
            <v>WRLD Country:Chile</v>
          </cell>
          <cell r="D1031" t="str">
            <v>BFRE Country</v>
          </cell>
          <cell r="E1031" t="str">
            <v>Country Return</v>
          </cell>
          <cell r="F1031" t="str">
            <v>EQ-Emerging Markets</v>
          </cell>
          <cell r="G1031" t="str">
            <v>EQ-Emerging Markets</v>
          </cell>
          <cell r="H1031" t="str">
            <v>EQ_COUNTRY</v>
          </cell>
          <cell r="I1031" t="str">
            <v>Emerging Markets</v>
          </cell>
        </row>
        <row r="1032">
          <cell r="A1032" t="str">
            <v>FMI_WRLD_CHN</v>
          </cell>
          <cell r="B1032" t="str">
            <v>China Domestic</v>
          </cell>
          <cell r="C1032" t="str">
            <v>WRLD Country:China Domestic</v>
          </cell>
          <cell r="D1032" t="str">
            <v>BFRE Country</v>
          </cell>
          <cell r="E1032" t="str">
            <v>Country Return</v>
          </cell>
          <cell r="F1032" t="str">
            <v>EQ-Emerging Markets</v>
          </cell>
          <cell r="G1032" t="str">
            <v>EQ-Emerging Markets</v>
          </cell>
          <cell r="H1032" t="str">
            <v>EQ_COUNTRY</v>
          </cell>
          <cell r="I1032" t="str">
            <v>Emerging Markets</v>
          </cell>
        </row>
        <row r="1033">
          <cell r="A1033" t="str">
            <v>FMI_WRLD_CHB</v>
          </cell>
          <cell r="B1033" t="str">
            <v>China Offshore</v>
          </cell>
          <cell r="C1033" t="str">
            <v>WRLD Country:China Offshore</v>
          </cell>
          <cell r="D1033" t="str">
            <v>BFRE Country</v>
          </cell>
          <cell r="E1033" t="str">
            <v>Country Return</v>
          </cell>
          <cell r="F1033" t="str">
            <v>EQ-Emerging Markets</v>
          </cell>
          <cell r="G1033" t="str">
            <v>EQ-Emerging Markets</v>
          </cell>
          <cell r="H1033" t="str">
            <v>EQ_COUNTRY</v>
          </cell>
          <cell r="I1033" t="str">
            <v>Emerging Markets</v>
          </cell>
        </row>
        <row r="1034">
          <cell r="A1034" t="str">
            <v>FMI_WRLD_COL</v>
          </cell>
          <cell r="B1034" t="str">
            <v>Colombia</v>
          </cell>
          <cell r="C1034" t="str">
            <v>WRLD Country:Colombia</v>
          </cell>
          <cell r="D1034" t="str">
            <v>BFRE Country</v>
          </cell>
          <cell r="E1034" t="str">
            <v>Country Return</v>
          </cell>
          <cell r="F1034" t="str">
            <v>EQ-Emerging Markets</v>
          </cell>
          <cell r="G1034" t="str">
            <v>EQ-Emerging Markets</v>
          </cell>
          <cell r="H1034" t="str">
            <v>EQ_COUNTRY</v>
          </cell>
          <cell r="I1034" t="str">
            <v>Emerging Markets</v>
          </cell>
        </row>
        <row r="1035">
          <cell r="A1035" t="str">
            <v>FMI_WRLD_HRV</v>
          </cell>
          <cell r="B1035" t="str">
            <v>Croatia</v>
          </cell>
          <cell r="C1035" t="str">
            <v>WRLD Country:Croatia</v>
          </cell>
          <cell r="D1035" t="str">
            <v>BFRE Country</v>
          </cell>
          <cell r="E1035" t="str">
            <v>Country Return</v>
          </cell>
          <cell r="F1035" t="str">
            <v>EQ-Emerging Markets</v>
          </cell>
          <cell r="G1035" t="str">
            <v>EQ-Emerging Markets</v>
          </cell>
          <cell r="H1035" t="str">
            <v>EQ_COUNTRY</v>
          </cell>
          <cell r="I1035" t="str">
            <v>Emerging Markets</v>
          </cell>
        </row>
        <row r="1036">
          <cell r="A1036" t="str">
            <v>FMI_WRLD_CZE</v>
          </cell>
          <cell r="B1036" t="str">
            <v>Czech Republic</v>
          </cell>
          <cell r="C1036" t="str">
            <v>WRLD Country:Czech Republic</v>
          </cell>
          <cell r="D1036" t="str">
            <v>BFRE Country</v>
          </cell>
          <cell r="E1036" t="str">
            <v>Country Return</v>
          </cell>
          <cell r="F1036" t="str">
            <v>EQ-Emerging Markets</v>
          </cell>
          <cell r="G1036" t="str">
            <v>EQ-Emerging Markets</v>
          </cell>
          <cell r="H1036" t="str">
            <v>EQ_COUNTRY</v>
          </cell>
          <cell r="I1036" t="str">
            <v>Emerging Markets</v>
          </cell>
        </row>
        <row r="1037">
          <cell r="A1037" t="str">
            <v>FMI_WRLD_DNK</v>
          </cell>
          <cell r="B1037" t="str">
            <v>Denmark</v>
          </cell>
          <cell r="C1037" t="str">
            <v>WRLD Country:Denmark</v>
          </cell>
          <cell r="D1037" t="str">
            <v>BFRE Country</v>
          </cell>
          <cell r="E1037" t="str">
            <v>Country Return</v>
          </cell>
          <cell r="F1037" t="str">
            <v>EQ-Europe</v>
          </cell>
          <cell r="G1037" t="str">
            <v>EQ-Europe</v>
          </cell>
          <cell r="H1037" t="str">
            <v>EQ_COUNTRY</v>
          </cell>
          <cell r="I1037" t="str">
            <v>Europe</v>
          </cell>
        </row>
        <row r="1038">
          <cell r="A1038" t="str">
            <v>FMI_WRLD_EGY</v>
          </cell>
          <cell r="B1038" t="str">
            <v>Egypt</v>
          </cell>
          <cell r="C1038" t="str">
            <v>WRLD Country:Egypt</v>
          </cell>
          <cell r="D1038" t="str">
            <v>BFRE Country</v>
          </cell>
          <cell r="E1038" t="str">
            <v>Country Return</v>
          </cell>
          <cell r="F1038" t="str">
            <v>EQ-Emerging Markets</v>
          </cell>
          <cell r="G1038" t="str">
            <v>EQ-Emerging Markets</v>
          </cell>
          <cell r="H1038" t="str">
            <v>EQ_COUNTRY</v>
          </cell>
          <cell r="I1038" t="str">
            <v>Emerging Markets</v>
          </cell>
        </row>
        <row r="1039">
          <cell r="A1039" t="str">
            <v>FMI_WRLD_EST</v>
          </cell>
          <cell r="B1039" t="str">
            <v>Estonia</v>
          </cell>
          <cell r="C1039" t="str">
            <v>WRLD Country:Estonia</v>
          </cell>
          <cell r="D1039" t="str">
            <v>BFRE Country</v>
          </cell>
          <cell r="E1039" t="str">
            <v>Country Return</v>
          </cell>
          <cell r="F1039" t="str">
            <v>EQ-Emerging Markets</v>
          </cell>
          <cell r="G1039" t="str">
            <v>EQ-Emerging Markets</v>
          </cell>
          <cell r="H1039" t="str">
            <v>EQ_COUNTRY</v>
          </cell>
          <cell r="I1039" t="str">
            <v>Emerging Markets</v>
          </cell>
        </row>
        <row r="1040">
          <cell r="A1040" t="str">
            <v>FMI_WRLD_FIN</v>
          </cell>
          <cell r="B1040" t="str">
            <v>Finland</v>
          </cell>
          <cell r="C1040" t="str">
            <v>WRLD Country:Finland</v>
          </cell>
          <cell r="D1040" t="str">
            <v>BFRE Country</v>
          </cell>
          <cell r="E1040" t="str">
            <v>Country Return</v>
          </cell>
          <cell r="F1040" t="str">
            <v>EQ-Europe</v>
          </cell>
          <cell r="G1040" t="str">
            <v>EQ-Europe</v>
          </cell>
          <cell r="H1040" t="str">
            <v>EQ_COUNTRY</v>
          </cell>
          <cell r="I1040" t="str">
            <v>Europe</v>
          </cell>
        </row>
        <row r="1041">
          <cell r="A1041" t="str">
            <v>FMI_WRLD_FRA</v>
          </cell>
          <cell r="B1041" t="str">
            <v>France</v>
          </cell>
          <cell r="C1041" t="str">
            <v>WRLD Country:France</v>
          </cell>
          <cell r="D1041" t="str">
            <v>BFRE Country</v>
          </cell>
          <cell r="E1041" t="str">
            <v>Country Return</v>
          </cell>
          <cell r="F1041" t="str">
            <v>EQ-Europe</v>
          </cell>
          <cell r="G1041" t="str">
            <v>EQ-Europe</v>
          </cell>
          <cell r="H1041" t="str">
            <v>EQ_COUNTRY</v>
          </cell>
          <cell r="I1041" t="str">
            <v>Europe</v>
          </cell>
        </row>
        <row r="1042">
          <cell r="A1042" t="str">
            <v>FMI_WRLD_DEU</v>
          </cell>
          <cell r="B1042" t="str">
            <v>Germany</v>
          </cell>
          <cell r="C1042" t="str">
            <v>WRLD Country:Germany</v>
          </cell>
          <cell r="D1042" t="str">
            <v>BFRE Country</v>
          </cell>
          <cell r="E1042" t="str">
            <v>Country Return</v>
          </cell>
          <cell r="F1042" t="str">
            <v>EQ-Europe</v>
          </cell>
          <cell r="G1042" t="str">
            <v>EQ-Europe</v>
          </cell>
          <cell r="H1042" t="str">
            <v>EQ_COUNTRY</v>
          </cell>
          <cell r="I1042" t="str">
            <v>Europe</v>
          </cell>
        </row>
        <row r="1043">
          <cell r="A1043" t="str">
            <v>FMI_WRLD_GHA</v>
          </cell>
          <cell r="B1043" t="str">
            <v>Ghana</v>
          </cell>
          <cell r="C1043" t="str">
            <v>WRLD Country:Ghana</v>
          </cell>
          <cell r="D1043" t="str">
            <v>BFRE Country</v>
          </cell>
          <cell r="E1043" t="str">
            <v>Country Return</v>
          </cell>
          <cell r="F1043" t="str">
            <v>EQ-Emerging Markets</v>
          </cell>
          <cell r="G1043" t="str">
            <v>EQ-Emerging Markets</v>
          </cell>
          <cell r="H1043" t="str">
            <v>EQ_COUNTRY</v>
          </cell>
          <cell r="I1043" t="str">
            <v>Emerging Markets</v>
          </cell>
        </row>
        <row r="1044">
          <cell r="A1044" t="str">
            <v>FMI_WRLD_GRC</v>
          </cell>
          <cell r="B1044" t="str">
            <v>Greece</v>
          </cell>
          <cell r="C1044" t="str">
            <v>WRLD Country:Greece</v>
          </cell>
          <cell r="D1044" t="str">
            <v>BFRE Country</v>
          </cell>
          <cell r="E1044" t="str">
            <v>Country Return</v>
          </cell>
          <cell r="F1044" t="str">
            <v>EQ-Europe</v>
          </cell>
          <cell r="G1044" t="str">
            <v>EQ-Europe</v>
          </cell>
          <cell r="H1044" t="str">
            <v>EQ_COUNTRY</v>
          </cell>
          <cell r="I1044" t="str">
            <v>Europe</v>
          </cell>
        </row>
        <row r="1045">
          <cell r="A1045" t="str">
            <v>FMI_WRLD_HKG</v>
          </cell>
          <cell r="B1045" t="str">
            <v>Hong Kong</v>
          </cell>
          <cell r="C1045" t="str">
            <v>WRLD Country:Hong Kong</v>
          </cell>
          <cell r="D1045" t="str">
            <v>BFRE Country</v>
          </cell>
          <cell r="E1045" t="str">
            <v>Country Return</v>
          </cell>
          <cell r="F1045" t="str">
            <v>EQ-Pacific ex Japan</v>
          </cell>
          <cell r="G1045" t="str">
            <v>EQ-Pacific ex Japan</v>
          </cell>
          <cell r="H1045" t="str">
            <v>EQ_COUNTRY</v>
          </cell>
          <cell r="I1045" t="str">
            <v>Pacific ex Japan</v>
          </cell>
        </row>
        <row r="1046">
          <cell r="A1046" t="str">
            <v>FMI_WRLD_HUN</v>
          </cell>
          <cell r="B1046" t="str">
            <v>Hungary</v>
          </cell>
          <cell r="C1046" t="str">
            <v>WRLD Country:Hungary</v>
          </cell>
          <cell r="D1046" t="str">
            <v>BFRE Country</v>
          </cell>
          <cell r="E1046" t="str">
            <v>Country Return</v>
          </cell>
          <cell r="F1046" t="str">
            <v>EQ-Emerging Markets</v>
          </cell>
          <cell r="G1046" t="str">
            <v>EQ-Emerging Markets</v>
          </cell>
          <cell r="H1046" t="str">
            <v>EQ_COUNTRY</v>
          </cell>
          <cell r="I1046" t="str">
            <v>Emerging Markets</v>
          </cell>
        </row>
        <row r="1047">
          <cell r="A1047" t="str">
            <v>FMI_WRLD_ISL</v>
          </cell>
          <cell r="B1047" t="str">
            <v>Iceland</v>
          </cell>
          <cell r="C1047" t="str">
            <v>WRLD Country:Iceland</v>
          </cell>
          <cell r="D1047" t="str">
            <v>BFRE Country</v>
          </cell>
          <cell r="E1047" t="str">
            <v>Country Return</v>
          </cell>
          <cell r="F1047" t="str">
            <v>EQ-Emerging Markets</v>
          </cell>
          <cell r="G1047" t="str">
            <v>EQ-Emerging Markets</v>
          </cell>
          <cell r="H1047" t="str">
            <v>EQ_COUNTRY</v>
          </cell>
          <cell r="I1047" t="str">
            <v>Emerging Markets</v>
          </cell>
        </row>
        <row r="1048">
          <cell r="A1048" t="str">
            <v>FMI_WRLD_IND</v>
          </cell>
          <cell r="B1048" t="str">
            <v>India</v>
          </cell>
          <cell r="C1048" t="str">
            <v>WRLD Country:India</v>
          </cell>
          <cell r="D1048" t="str">
            <v>BFRE Country</v>
          </cell>
          <cell r="E1048" t="str">
            <v>Country Return</v>
          </cell>
          <cell r="F1048" t="str">
            <v>EQ-Emerging Markets</v>
          </cell>
          <cell r="G1048" t="str">
            <v>EQ-Emerging Markets</v>
          </cell>
          <cell r="H1048" t="str">
            <v>EQ_COUNTRY</v>
          </cell>
          <cell r="I1048" t="str">
            <v>Emerging Markets</v>
          </cell>
        </row>
        <row r="1049">
          <cell r="A1049" t="str">
            <v>FMI_WRLD_IDN</v>
          </cell>
          <cell r="B1049" t="str">
            <v>Indonesia</v>
          </cell>
          <cell r="C1049" t="str">
            <v>WRLD Country:Indonesia</v>
          </cell>
          <cell r="D1049" t="str">
            <v>BFRE Country</v>
          </cell>
          <cell r="E1049" t="str">
            <v>Country Return</v>
          </cell>
          <cell r="F1049" t="str">
            <v>EQ-Emerging Markets</v>
          </cell>
          <cell r="G1049" t="str">
            <v>EQ-Emerging Markets</v>
          </cell>
          <cell r="H1049" t="str">
            <v>EQ_COUNTRY</v>
          </cell>
          <cell r="I1049" t="str">
            <v>Emerging Markets</v>
          </cell>
        </row>
        <row r="1050">
          <cell r="A1050" t="str">
            <v>FMI_WRLD_IRL</v>
          </cell>
          <cell r="B1050" t="str">
            <v>Ireland</v>
          </cell>
          <cell r="C1050" t="str">
            <v>WRLD Country:Ireland</v>
          </cell>
          <cell r="D1050" t="str">
            <v>BFRE Country</v>
          </cell>
          <cell r="E1050" t="str">
            <v>Country Return</v>
          </cell>
          <cell r="F1050" t="str">
            <v>EQ-Europe</v>
          </cell>
          <cell r="G1050" t="str">
            <v>EQ-Europe</v>
          </cell>
          <cell r="H1050" t="str">
            <v>EQ_COUNTRY</v>
          </cell>
          <cell r="I1050" t="str">
            <v>Europe</v>
          </cell>
        </row>
        <row r="1051">
          <cell r="A1051" t="str">
            <v>FMI_WRLD_ISR</v>
          </cell>
          <cell r="B1051" t="str">
            <v>Israel</v>
          </cell>
          <cell r="C1051" t="str">
            <v>WRLD Country:Israel</v>
          </cell>
          <cell r="D1051" t="str">
            <v>BFRE Country</v>
          </cell>
          <cell r="E1051" t="str">
            <v>Country Return</v>
          </cell>
          <cell r="F1051" t="str">
            <v>EQ-Emerging Markets</v>
          </cell>
          <cell r="G1051" t="str">
            <v>EQ-Emerging Markets</v>
          </cell>
          <cell r="H1051" t="str">
            <v>EQ_COUNTRY</v>
          </cell>
          <cell r="I1051" t="str">
            <v>Emerging Markets</v>
          </cell>
        </row>
        <row r="1052">
          <cell r="A1052" t="str">
            <v>FMI_WRLD_ITA</v>
          </cell>
          <cell r="B1052" t="str">
            <v>Italy</v>
          </cell>
          <cell r="C1052" t="str">
            <v>WRLD Country:Italy</v>
          </cell>
          <cell r="D1052" t="str">
            <v>BFRE Country</v>
          </cell>
          <cell r="E1052" t="str">
            <v>Country Return</v>
          </cell>
          <cell r="F1052" t="str">
            <v>EQ-Europe</v>
          </cell>
          <cell r="G1052" t="str">
            <v>EQ-Europe</v>
          </cell>
          <cell r="H1052" t="str">
            <v>EQ_COUNTRY</v>
          </cell>
          <cell r="I1052" t="str">
            <v>Europe</v>
          </cell>
        </row>
        <row r="1053">
          <cell r="A1053" t="str">
            <v>FMI_WRLD_JPN</v>
          </cell>
          <cell r="B1053" t="str">
            <v>Japan</v>
          </cell>
          <cell r="C1053" t="str">
            <v>WRLD Country:Japan</v>
          </cell>
          <cell r="D1053" t="str">
            <v>BFRE Country</v>
          </cell>
          <cell r="E1053" t="str">
            <v>Country Return</v>
          </cell>
          <cell r="F1053" t="str">
            <v>EQ-Japan</v>
          </cell>
          <cell r="G1053" t="str">
            <v>EQ-Japan</v>
          </cell>
          <cell r="H1053" t="str">
            <v>EQ_COUNTRY</v>
          </cell>
          <cell r="I1053" t="str">
            <v>Japan</v>
          </cell>
        </row>
        <row r="1054">
          <cell r="A1054" t="str">
            <v>FMI_WRLD_JOR</v>
          </cell>
          <cell r="B1054" t="str">
            <v>Jordan</v>
          </cell>
          <cell r="C1054" t="str">
            <v>WRLD Country:Jordan</v>
          </cell>
          <cell r="D1054" t="str">
            <v>BFRE Country</v>
          </cell>
          <cell r="E1054" t="str">
            <v>Country Return</v>
          </cell>
          <cell r="F1054" t="str">
            <v>EQ-Emerging Markets</v>
          </cell>
          <cell r="G1054" t="str">
            <v>EQ-Emerging Markets</v>
          </cell>
          <cell r="H1054" t="str">
            <v>EQ_COUNTRY</v>
          </cell>
          <cell r="I1054" t="str">
            <v>Emerging Markets</v>
          </cell>
        </row>
        <row r="1055">
          <cell r="A1055" t="str">
            <v>FMI_WRLD_KAZ</v>
          </cell>
          <cell r="B1055" t="str">
            <v>Kazakhstan</v>
          </cell>
          <cell r="C1055" t="str">
            <v>WRLD Country:Kazakhstan</v>
          </cell>
          <cell r="D1055" t="str">
            <v>BFRE Country</v>
          </cell>
          <cell r="E1055" t="str">
            <v>Country Return</v>
          </cell>
          <cell r="F1055" t="str">
            <v>EQ-Emerging Markets</v>
          </cell>
          <cell r="G1055" t="str">
            <v>EQ-Emerging Markets</v>
          </cell>
          <cell r="H1055" t="str">
            <v>EQ_COUNTRY</v>
          </cell>
          <cell r="I1055" t="str">
            <v>Emerging Markets</v>
          </cell>
        </row>
        <row r="1056">
          <cell r="A1056" t="str">
            <v>FMI_WRLD_KEN</v>
          </cell>
          <cell r="B1056" t="str">
            <v>Kenya</v>
          </cell>
          <cell r="C1056" t="str">
            <v>WRLD Country:Kenya</v>
          </cell>
          <cell r="D1056" t="str">
            <v>BFRE Country</v>
          </cell>
          <cell r="E1056" t="str">
            <v>Country Return</v>
          </cell>
          <cell r="F1056" t="str">
            <v>EQ-Emerging Markets</v>
          </cell>
          <cell r="G1056" t="str">
            <v>EQ-Emerging Markets</v>
          </cell>
          <cell r="H1056" t="str">
            <v>EQ_COUNTRY</v>
          </cell>
          <cell r="I1056" t="str">
            <v>Emerging Markets</v>
          </cell>
        </row>
        <row r="1057">
          <cell r="A1057" t="str">
            <v>FMI_WRLD_KOR</v>
          </cell>
          <cell r="B1057" t="str">
            <v>Korea</v>
          </cell>
          <cell r="C1057" t="str">
            <v>WRLD Country:Korea</v>
          </cell>
          <cell r="D1057" t="str">
            <v>BFRE Country</v>
          </cell>
          <cell r="E1057" t="str">
            <v>Country Return</v>
          </cell>
          <cell r="F1057" t="str">
            <v>EQ-Emerging Markets</v>
          </cell>
          <cell r="G1057" t="str">
            <v>EQ-Emerging Markets</v>
          </cell>
          <cell r="H1057" t="str">
            <v>EQ_COUNTRY</v>
          </cell>
          <cell r="I1057" t="str">
            <v>Emerging Markets</v>
          </cell>
        </row>
        <row r="1058">
          <cell r="A1058" t="str">
            <v>FMI_WRLD_KWT</v>
          </cell>
          <cell r="B1058" t="str">
            <v>Kuwait</v>
          </cell>
          <cell r="C1058" t="str">
            <v>WRLD Country:Kuwait</v>
          </cell>
          <cell r="D1058" t="str">
            <v>BFRE Country</v>
          </cell>
          <cell r="E1058" t="str">
            <v>Country Return</v>
          </cell>
          <cell r="F1058" t="str">
            <v>EQ-Emerging Markets</v>
          </cell>
          <cell r="G1058" t="str">
            <v>EQ-Emerging Markets</v>
          </cell>
          <cell r="H1058" t="str">
            <v>EQ_COUNTRY</v>
          </cell>
          <cell r="I1058" t="str">
            <v>Emerging Markets</v>
          </cell>
        </row>
        <row r="1059">
          <cell r="A1059" t="str">
            <v>FMI_WRLD_LTU</v>
          </cell>
          <cell r="B1059" t="str">
            <v>Lithuania</v>
          </cell>
          <cell r="C1059" t="str">
            <v>WRLD Country:Lithuania</v>
          </cell>
          <cell r="D1059" t="str">
            <v>BFRE Country</v>
          </cell>
          <cell r="E1059" t="str">
            <v>Country Return</v>
          </cell>
          <cell r="F1059" t="str">
            <v>EQ-Emerging Markets</v>
          </cell>
          <cell r="G1059" t="str">
            <v>EQ-Emerging Markets</v>
          </cell>
          <cell r="H1059" t="str">
            <v>EQ_COUNTRY</v>
          </cell>
          <cell r="I1059" t="str">
            <v>Emerging Markets</v>
          </cell>
        </row>
        <row r="1060">
          <cell r="A1060" t="str">
            <v>FMI_WRLD_MYS</v>
          </cell>
          <cell r="B1060" t="str">
            <v>Malaysia</v>
          </cell>
          <cell r="C1060" t="str">
            <v>WRLD Country:Malaysia</v>
          </cell>
          <cell r="D1060" t="str">
            <v>BFRE Country</v>
          </cell>
          <cell r="E1060" t="str">
            <v>Country Return</v>
          </cell>
          <cell r="F1060" t="str">
            <v>EQ-Emerging Markets</v>
          </cell>
          <cell r="G1060" t="str">
            <v>EQ-Emerging Markets</v>
          </cell>
          <cell r="H1060" t="str">
            <v>EQ_COUNTRY</v>
          </cell>
          <cell r="I1060" t="str">
            <v>Emerging Markets</v>
          </cell>
        </row>
        <row r="1061">
          <cell r="A1061" t="str">
            <v>FMI_WRLD_MLT</v>
          </cell>
          <cell r="B1061" t="str">
            <v>Malta</v>
          </cell>
          <cell r="C1061" t="str">
            <v>WRLD Country:Malta</v>
          </cell>
          <cell r="D1061" t="str">
            <v>BFRE Country</v>
          </cell>
          <cell r="E1061" t="str">
            <v>Country Return</v>
          </cell>
          <cell r="F1061" t="str">
            <v>EQ-Emerging Markets</v>
          </cell>
          <cell r="G1061" t="str">
            <v>EQ-Emerging Markets</v>
          </cell>
          <cell r="H1061" t="str">
            <v>EQ_COUNTRY</v>
          </cell>
          <cell r="I1061" t="str">
            <v>Emerging Markets</v>
          </cell>
        </row>
        <row r="1062">
          <cell r="A1062" t="str">
            <v>FMI_WRLD_MUS</v>
          </cell>
          <cell r="B1062" t="str">
            <v>Mauritius</v>
          </cell>
          <cell r="C1062" t="str">
            <v>WRLD Country:Mauritius</v>
          </cell>
          <cell r="D1062" t="str">
            <v>BFRE Country</v>
          </cell>
          <cell r="E1062" t="str">
            <v>Country Return</v>
          </cell>
          <cell r="F1062" t="str">
            <v>EQ-Emerging Markets</v>
          </cell>
          <cell r="G1062" t="str">
            <v>EQ-Emerging Markets</v>
          </cell>
          <cell r="H1062" t="str">
            <v>EQ_COUNTRY</v>
          </cell>
          <cell r="I1062" t="str">
            <v>Emerging Markets</v>
          </cell>
        </row>
        <row r="1063">
          <cell r="A1063" t="str">
            <v>FMI_WRLD_MEX</v>
          </cell>
          <cell r="B1063" t="str">
            <v>Mexico</v>
          </cell>
          <cell r="C1063" t="str">
            <v>WRLD Country:Mexico</v>
          </cell>
          <cell r="D1063" t="str">
            <v>BFRE Country</v>
          </cell>
          <cell r="E1063" t="str">
            <v>Country Return</v>
          </cell>
          <cell r="F1063" t="str">
            <v>EQ-Emerging Markets</v>
          </cell>
          <cell r="G1063" t="str">
            <v>EQ-Emerging Markets</v>
          </cell>
          <cell r="H1063" t="str">
            <v>EQ_COUNTRY</v>
          </cell>
          <cell r="I1063" t="str">
            <v>Emerging Markets</v>
          </cell>
        </row>
        <row r="1064">
          <cell r="A1064" t="str">
            <v>FMI_WRLD_MAR</v>
          </cell>
          <cell r="B1064" t="str">
            <v>Morocco</v>
          </cell>
          <cell r="C1064" t="str">
            <v>WRLD Country:Morocco</v>
          </cell>
          <cell r="D1064" t="str">
            <v>BFRE Country</v>
          </cell>
          <cell r="E1064" t="str">
            <v>Country Return</v>
          </cell>
          <cell r="F1064" t="str">
            <v>EQ-Emerging Markets</v>
          </cell>
          <cell r="G1064" t="str">
            <v>EQ-Emerging Markets</v>
          </cell>
          <cell r="H1064" t="str">
            <v>EQ_COUNTRY</v>
          </cell>
          <cell r="I1064" t="str">
            <v>Emerging Markets</v>
          </cell>
        </row>
        <row r="1065">
          <cell r="A1065" t="str">
            <v>FMI_WRLD_NLD</v>
          </cell>
          <cell r="B1065" t="str">
            <v>Netherlands</v>
          </cell>
          <cell r="C1065" t="str">
            <v>WRLD Country:Netherlands</v>
          </cell>
          <cell r="D1065" t="str">
            <v>BFRE Country</v>
          </cell>
          <cell r="E1065" t="str">
            <v>Country Return</v>
          </cell>
          <cell r="F1065" t="str">
            <v>EQ-Europe</v>
          </cell>
          <cell r="G1065" t="str">
            <v>EQ-Europe</v>
          </cell>
          <cell r="H1065" t="str">
            <v>EQ_COUNTRY</v>
          </cell>
          <cell r="I1065" t="str">
            <v>Europe</v>
          </cell>
        </row>
        <row r="1066">
          <cell r="A1066" t="str">
            <v>FMI_WRLD_NZL</v>
          </cell>
          <cell r="B1066" t="str">
            <v>New Zealand</v>
          </cell>
          <cell r="C1066" t="str">
            <v>WRLD Country:New Zealand</v>
          </cell>
          <cell r="D1066" t="str">
            <v>BFRE Country</v>
          </cell>
          <cell r="E1066" t="str">
            <v>Country Return</v>
          </cell>
          <cell r="F1066" t="str">
            <v>EQ-Pacific ex Japan</v>
          </cell>
          <cell r="G1066" t="str">
            <v>EQ-Pacific ex Japan</v>
          </cell>
          <cell r="H1066" t="str">
            <v>EQ_COUNTRY</v>
          </cell>
          <cell r="I1066" t="str">
            <v>Pacific ex Japan</v>
          </cell>
        </row>
        <row r="1067">
          <cell r="A1067" t="str">
            <v>FMI_WRLD_NGA</v>
          </cell>
          <cell r="B1067" t="str">
            <v>Nigeria</v>
          </cell>
          <cell r="C1067" t="str">
            <v>WRLD Country:Nigeria</v>
          </cell>
          <cell r="D1067" t="str">
            <v>BFRE Country</v>
          </cell>
          <cell r="E1067" t="str">
            <v>Country Return</v>
          </cell>
          <cell r="F1067" t="str">
            <v>EQ-Emerging Markets</v>
          </cell>
          <cell r="G1067" t="str">
            <v>EQ-Emerging Markets</v>
          </cell>
          <cell r="H1067" t="str">
            <v>EQ_COUNTRY</v>
          </cell>
          <cell r="I1067" t="str">
            <v>Emerging Markets</v>
          </cell>
        </row>
        <row r="1068">
          <cell r="A1068" t="str">
            <v>FMI_WRLD_NOR</v>
          </cell>
          <cell r="B1068" t="str">
            <v>Norway</v>
          </cell>
          <cell r="C1068" t="str">
            <v>WRLD Country:Norway</v>
          </cell>
          <cell r="D1068" t="str">
            <v>BFRE Country</v>
          </cell>
          <cell r="E1068" t="str">
            <v>Country Return</v>
          </cell>
          <cell r="F1068" t="str">
            <v>EQ-Europe</v>
          </cell>
          <cell r="G1068" t="str">
            <v>EQ-Europe</v>
          </cell>
          <cell r="H1068" t="str">
            <v>EQ_COUNTRY</v>
          </cell>
          <cell r="I1068" t="str">
            <v>Europe</v>
          </cell>
        </row>
        <row r="1069">
          <cell r="A1069" t="str">
            <v>FMI_WRLD_OMN</v>
          </cell>
          <cell r="B1069" t="str">
            <v>Oman</v>
          </cell>
          <cell r="C1069" t="str">
            <v>WRLD Country:Oman</v>
          </cell>
          <cell r="D1069" t="str">
            <v>BFRE Country</v>
          </cell>
          <cell r="E1069" t="str">
            <v>Country Return</v>
          </cell>
          <cell r="F1069" t="str">
            <v>EQ-Emerging Markets</v>
          </cell>
          <cell r="G1069" t="str">
            <v>EQ-Emerging Markets</v>
          </cell>
          <cell r="H1069" t="str">
            <v>EQ_COUNTRY</v>
          </cell>
          <cell r="I1069" t="str">
            <v>Emerging Markets</v>
          </cell>
        </row>
        <row r="1070">
          <cell r="A1070" t="str">
            <v>FMI_WRLD_PAK</v>
          </cell>
          <cell r="B1070" t="str">
            <v>Pakistan</v>
          </cell>
          <cell r="C1070" t="str">
            <v>WRLD Country:Pakistan</v>
          </cell>
          <cell r="D1070" t="str">
            <v>BFRE Country</v>
          </cell>
          <cell r="E1070" t="str">
            <v>Country Return</v>
          </cell>
          <cell r="F1070" t="str">
            <v>EQ-Emerging Markets</v>
          </cell>
          <cell r="G1070" t="str">
            <v>EQ-Emerging Markets</v>
          </cell>
          <cell r="H1070" t="str">
            <v>EQ_COUNTRY</v>
          </cell>
          <cell r="I1070" t="str">
            <v>Emerging Markets</v>
          </cell>
        </row>
        <row r="1071">
          <cell r="A1071" t="str">
            <v>FMI_WRLD_PER</v>
          </cell>
          <cell r="B1071" t="str">
            <v>Peru</v>
          </cell>
          <cell r="C1071" t="str">
            <v>WRLD Country:Peru</v>
          </cell>
          <cell r="D1071" t="str">
            <v>BFRE Country</v>
          </cell>
          <cell r="E1071" t="str">
            <v>Country Return</v>
          </cell>
          <cell r="F1071" t="str">
            <v>EQ-Emerging Markets</v>
          </cell>
          <cell r="G1071" t="str">
            <v>EQ-Emerging Markets</v>
          </cell>
          <cell r="H1071" t="str">
            <v>EQ_COUNTRY</v>
          </cell>
          <cell r="I1071" t="str">
            <v>Emerging Markets</v>
          </cell>
        </row>
        <row r="1072">
          <cell r="A1072" t="str">
            <v>FMI_WRLD_PHL</v>
          </cell>
          <cell r="B1072" t="str">
            <v>Philippines</v>
          </cell>
          <cell r="C1072" t="str">
            <v>WRLD Country:Philippines</v>
          </cell>
          <cell r="D1072" t="str">
            <v>BFRE Country</v>
          </cell>
          <cell r="E1072" t="str">
            <v>Country Return</v>
          </cell>
          <cell r="F1072" t="str">
            <v>EQ-Emerging Markets</v>
          </cell>
          <cell r="G1072" t="str">
            <v>EQ-Emerging Markets</v>
          </cell>
          <cell r="H1072" t="str">
            <v>EQ_COUNTRY</v>
          </cell>
          <cell r="I1072" t="str">
            <v>Emerging Markets</v>
          </cell>
        </row>
        <row r="1073">
          <cell r="A1073" t="str">
            <v>FMI_WRLD_POL</v>
          </cell>
          <cell r="B1073" t="str">
            <v>Poland</v>
          </cell>
          <cell r="C1073" t="str">
            <v>WRLD Country:Poland</v>
          </cell>
          <cell r="D1073" t="str">
            <v>BFRE Country</v>
          </cell>
          <cell r="E1073" t="str">
            <v>Country Return</v>
          </cell>
          <cell r="F1073" t="str">
            <v>EQ-Emerging Markets</v>
          </cell>
          <cell r="G1073" t="str">
            <v>EQ-Emerging Markets</v>
          </cell>
          <cell r="H1073" t="str">
            <v>EQ_COUNTRY</v>
          </cell>
          <cell r="I1073" t="str">
            <v>Emerging Markets</v>
          </cell>
        </row>
        <row r="1074">
          <cell r="A1074" t="str">
            <v>FMI_WRLD_PRT</v>
          </cell>
          <cell r="B1074" t="str">
            <v>Portugal</v>
          </cell>
          <cell r="C1074" t="str">
            <v>WRLD Country:Portugal</v>
          </cell>
          <cell r="D1074" t="str">
            <v>BFRE Country</v>
          </cell>
          <cell r="E1074" t="str">
            <v>Country Return</v>
          </cell>
          <cell r="F1074" t="str">
            <v>EQ-Europe</v>
          </cell>
          <cell r="G1074" t="str">
            <v>EQ-Europe</v>
          </cell>
          <cell r="H1074" t="str">
            <v>EQ_COUNTRY</v>
          </cell>
          <cell r="I1074" t="str">
            <v>Europe</v>
          </cell>
        </row>
        <row r="1075">
          <cell r="A1075" t="str">
            <v>FMI_WRLD_QAT</v>
          </cell>
          <cell r="B1075" t="str">
            <v>Qatar</v>
          </cell>
          <cell r="C1075" t="str">
            <v>WRLD Country:Qatar</v>
          </cell>
          <cell r="D1075" t="str">
            <v>BFRE Country</v>
          </cell>
          <cell r="E1075" t="str">
            <v>Country Return</v>
          </cell>
          <cell r="F1075" t="str">
            <v>EQ-Emerging Markets</v>
          </cell>
          <cell r="G1075" t="str">
            <v>EQ-Emerging Markets</v>
          </cell>
          <cell r="H1075" t="str">
            <v>EQ_COUNTRY</v>
          </cell>
          <cell r="I1075" t="str">
            <v>Emerging Markets</v>
          </cell>
        </row>
        <row r="1076">
          <cell r="A1076" t="str">
            <v>FMI_WRLD_ROU</v>
          </cell>
          <cell r="B1076" t="str">
            <v>Romania</v>
          </cell>
          <cell r="C1076" t="str">
            <v>WRLD Country:Romania</v>
          </cell>
          <cell r="D1076" t="str">
            <v>BFRE Country</v>
          </cell>
          <cell r="E1076" t="str">
            <v>Country Return</v>
          </cell>
          <cell r="F1076" t="str">
            <v>EQ-Emerging Markets</v>
          </cell>
          <cell r="G1076" t="str">
            <v>EQ-Emerging Markets</v>
          </cell>
          <cell r="H1076" t="str">
            <v>EQ_COUNTRY</v>
          </cell>
          <cell r="I1076" t="str">
            <v>Emerging Markets</v>
          </cell>
        </row>
        <row r="1077">
          <cell r="A1077" t="str">
            <v>FMI_WRLD_RUS</v>
          </cell>
          <cell r="B1077" t="str">
            <v>Russian Federation</v>
          </cell>
          <cell r="C1077" t="str">
            <v>WRLD Country:Russian Federation</v>
          </cell>
          <cell r="D1077" t="str">
            <v>BFRE Country</v>
          </cell>
          <cell r="E1077" t="str">
            <v>Country Return</v>
          </cell>
          <cell r="F1077" t="str">
            <v>EQ-Emerging Markets</v>
          </cell>
          <cell r="G1077" t="str">
            <v>EQ-Emerging Markets</v>
          </cell>
          <cell r="H1077" t="str">
            <v>EQ_COUNTRY</v>
          </cell>
          <cell r="I1077" t="str">
            <v>Emerging Markets</v>
          </cell>
        </row>
        <row r="1078">
          <cell r="A1078" t="str">
            <v>FMI_WRLD_SAU</v>
          </cell>
          <cell r="B1078" t="str">
            <v>Saudi Arabia</v>
          </cell>
          <cell r="C1078" t="str">
            <v>WRLD Country:Saudi Arabia</v>
          </cell>
          <cell r="D1078" t="str">
            <v>BFRE Country</v>
          </cell>
          <cell r="E1078" t="str">
            <v>Country Return</v>
          </cell>
          <cell r="F1078" t="str">
            <v>EQ-Emerging Markets</v>
          </cell>
          <cell r="G1078" t="str">
            <v>EQ-Emerging Markets</v>
          </cell>
          <cell r="H1078" t="str">
            <v>EQ_COUNTRY</v>
          </cell>
          <cell r="I1078" t="str">
            <v>Emerging Markets</v>
          </cell>
        </row>
        <row r="1079">
          <cell r="A1079" t="str">
            <v>FMI_WRLD_SRB</v>
          </cell>
          <cell r="B1079" t="str">
            <v>Serbia</v>
          </cell>
          <cell r="C1079" t="str">
            <v>WRLD Country:Serbia</v>
          </cell>
          <cell r="D1079" t="str">
            <v>BFRE Country</v>
          </cell>
          <cell r="E1079" t="str">
            <v>Country Return</v>
          </cell>
          <cell r="F1079" t="str">
            <v>EQ-Emerging Markets</v>
          </cell>
          <cell r="G1079" t="str">
            <v>EQ-Emerging Markets</v>
          </cell>
          <cell r="H1079" t="str">
            <v>EQ_COUNTRY</v>
          </cell>
          <cell r="I1079" t="str">
            <v>Emerging Markets</v>
          </cell>
        </row>
        <row r="1080">
          <cell r="A1080" t="str">
            <v>FMI_WRLD_SGP</v>
          </cell>
          <cell r="B1080" t="str">
            <v>Singapore</v>
          </cell>
          <cell r="C1080" t="str">
            <v>WRLD Country:Singapore</v>
          </cell>
          <cell r="D1080" t="str">
            <v>BFRE Country</v>
          </cell>
          <cell r="E1080" t="str">
            <v>Country Return</v>
          </cell>
          <cell r="F1080" t="str">
            <v>EQ-Pacific ex Japan</v>
          </cell>
          <cell r="G1080" t="str">
            <v>EQ-Pacific ex Japan</v>
          </cell>
          <cell r="H1080" t="str">
            <v>EQ_COUNTRY</v>
          </cell>
          <cell r="I1080" t="str">
            <v>Pacific ex Japan</v>
          </cell>
        </row>
        <row r="1081">
          <cell r="A1081" t="str">
            <v>FMI_WRLD_SVN</v>
          </cell>
          <cell r="B1081" t="str">
            <v>Slovenia</v>
          </cell>
          <cell r="C1081" t="str">
            <v>WRLD Country:Slovenia</v>
          </cell>
          <cell r="D1081" t="str">
            <v>BFRE Country</v>
          </cell>
          <cell r="E1081" t="str">
            <v>Country Return</v>
          </cell>
          <cell r="F1081" t="str">
            <v>EQ-Emerging Markets</v>
          </cell>
          <cell r="G1081" t="str">
            <v>EQ-Emerging Markets</v>
          </cell>
          <cell r="H1081" t="str">
            <v>EQ_COUNTRY</v>
          </cell>
          <cell r="I1081" t="str">
            <v>Emerging Markets</v>
          </cell>
        </row>
        <row r="1082">
          <cell r="A1082" t="str">
            <v>FMI_WRLD_ZAF</v>
          </cell>
          <cell r="B1082" t="str">
            <v>South Africa</v>
          </cell>
          <cell r="C1082" t="str">
            <v>WRLD Country:South Africa</v>
          </cell>
          <cell r="D1082" t="str">
            <v>BFRE Country</v>
          </cell>
          <cell r="E1082" t="str">
            <v>Country Return</v>
          </cell>
          <cell r="F1082" t="str">
            <v>EQ-Emerging Markets</v>
          </cell>
          <cell r="G1082" t="str">
            <v>EQ-Emerging Markets</v>
          </cell>
          <cell r="H1082" t="str">
            <v>EQ_COUNTRY</v>
          </cell>
          <cell r="I1082" t="str">
            <v>Emerging Markets</v>
          </cell>
        </row>
        <row r="1083">
          <cell r="A1083" t="str">
            <v>FMI_WRLD_ESP</v>
          </cell>
          <cell r="B1083" t="str">
            <v>Spain</v>
          </cell>
          <cell r="C1083" t="str">
            <v>WRLD Country:Spain</v>
          </cell>
          <cell r="D1083" t="str">
            <v>BFRE Country</v>
          </cell>
          <cell r="E1083" t="str">
            <v>Country Return</v>
          </cell>
          <cell r="F1083" t="str">
            <v>EQ-Europe</v>
          </cell>
          <cell r="G1083" t="str">
            <v>EQ-Europe</v>
          </cell>
          <cell r="H1083" t="str">
            <v>EQ_COUNTRY</v>
          </cell>
          <cell r="I1083" t="str">
            <v>Europe</v>
          </cell>
        </row>
        <row r="1084">
          <cell r="A1084" t="str">
            <v>FMI_WRLD_LKA</v>
          </cell>
          <cell r="B1084" t="str">
            <v>Sri Lanka</v>
          </cell>
          <cell r="C1084" t="str">
            <v>WRLD Country:Sri Lanka</v>
          </cell>
          <cell r="D1084" t="str">
            <v>BFRE Country</v>
          </cell>
          <cell r="E1084" t="str">
            <v>Country Return</v>
          </cell>
          <cell r="F1084" t="str">
            <v>EQ-Emerging Markets</v>
          </cell>
          <cell r="G1084" t="str">
            <v>EQ-Emerging Markets</v>
          </cell>
          <cell r="H1084" t="str">
            <v>EQ_COUNTRY</v>
          </cell>
          <cell r="I1084" t="str">
            <v>Emerging Markets</v>
          </cell>
        </row>
        <row r="1085">
          <cell r="A1085" t="str">
            <v>FMI_WRLD_SWE</v>
          </cell>
          <cell r="B1085" t="str">
            <v>Sweden</v>
          </cell>
          <cell r="C1085" t="str">
            <v>WRLD Country:Sweden</v>
          </cell>
          <cell r="D1085" t="str">
            <v>BFRE Country</v>
          </cell>
          <cell r="E1085" t="str">
            <v>Country Return</v>
          </cell>
          <cell r="F1085" t="str">
            <v>EQ-Europe</v>
          </cell>
          <cell r="G1085" t="str">
            <v>EQ-Europe</v>
          </cell>
          <cell r="H1085" t="str">
            <v>EQ_COUNTRY</v>
          </cell>
          <cell r="I1085" t="str">
            <v>Europe</v>
          </cell>
        </row>
        <row r="1086">
          <cell r="A1086" t="str">
            <v>FMI_WRLD_CHE</v>
          </cell>
          <cell r="B1086" t="str">
            <v>Switzerland</v>
          </cell>
          <cell r="C1086" t="str">
            <v>WRLD Country:Switzerland</v>
          </cell>
          <cell r="D1086" t="str">
            <v>BFRE Country</v>
          </cell>
          <cell r="E1086" t="str">
            <v>Country Return</v>
          </cell>
          <cell r="F1086" t="str">
            <v>EQ-Europe</v>
          </cell>
          <cell r="G1086" t="str">
            <v>EQ-Europe</v>
          </cell>
          <cell r="H1086" t="str">
            <v>EQ_COUNTRY</v>
          </cell>
          <cell r="I1086" t="str">
            <v>Europe</v>
          </cell>
        </row>
        <row r="1087">
          <cell r="A1087" t="str">
            <v>FMI_WRLD_TWN</v>
          </cell>
          <cell r="B1087" t="str">
            <v>Taiwan</v>
          </cell>
          <cell r="C1087" t="str">
            <v>WRLD Country:Taiwan</v>
          </cell>
          <cell r="D1087" t="str">
            <v>BFRE Country</v>
          </cell>
          <cell r="E1087" t="str">
            <v>Country Return</v>
          </cell>
          <cell r="F1087" t="str">
            <v>EQ-Emerging Markets</v>
          </cell>
          <cell r="G1087" t="str">
            <v>EQ-Emerging Markets</v>
          </cell>
          <cell r="H1087" t="str">
            <v>EQ_COUNTRY</v>
          </cell>
          <cell r="I1087" t="str">
            <v>Emerging Markets</v>
          </cell>
        </row>
        <row r="1088">
          <cell r="A1088" t="str">
            <v>FMI_WRLD_THA</v>
          </cell>
          <cell r="B1088" t="str">
            <v>Thailand</v>
          </cell>
          <cell r="C1088" t="str">
            <v>WRLD Country:Thailand</v>
          </cell>
          <cell r="D1088" t="str">
            <v>BFRE Country</v>
          </cell>
          <cell r="E1088" t="str">
            <v>Country Return</v>
          </cell>
          <cell r="F1088" t="str">
            <v>EQ-Emerging Markets</v>
          </cell>
          <cell r="G1088" t="str">
            <v>EQ-Emerging Markets</v>
          </cell>
          <cell r="H1088" t="str">
            <v>EQ_COUNTRY</v>
          </cell>
          <cell r="I1088" t="str">
            <v>Emerging Markets</v>
          </cell>
        </row>
        <row r="1089">
          <cell r="A1089" t="str">
            <v>FMI_WRLD_TUN</v>
          </cell>
          <cell r="B1089" t="str">
            <v>Tunisia</v>
          </cell>
          <cell r="C1089" t="str">
            <v>WRLD Country:Tunisia</v>
          </cell>
          <cell r="D1089" t="str">
            <v>BFRE Country</v>
          </cell>
          <cell r="E1089" t="str">
            <v>Country Return</v>
          </cell>
          <cell r="F1089" t="str">
            <v>EQ-Emerging Markets</v>
          </cell>
          <cell r="G1089" t="str">
            <v>EQ-Emerging Markets</v>
          </cell>
          <cell r="H1089" t="str">
            <v>EQ_COUNTRY</v>
          </cell>
          <cell r="I1089" t="str">
            <v>Emerging Markets</v>
          </cell>
        </row>
        <row r="1090">
          <cell r="A1090" t="str">
            <v>FMI_WRLD_TUR</v>
          </cell>
          <cell r="B1090" t="str">
            <v>Turkey</v>
          </cell>
          <cell r="C1090" t="str">
            <v>WRLD Country:Turkey</v>
          </cell>
          <cell r="D1090" t="str">
            <v>BFRE Country</v>
          </cell>
          <cell r="E1090" t="str">
            <v>Country Return</v>
          </cell>
          <cell r="F1090" t="str">
            <v>EQ-Emerging Markets</v>
          </cell>
          <cell r="G1090" t="str">
            <v>EQ-Emerging Markets</v>
          </cell>
          <cell r="H1090" t="str">
            <v>EQ_COUNTRY</v>
          </cell>
          <cell r="I1090" t="str">
            <v>Emerging Markets</v>
          </cell>
        </row>
        <row r="1091">
          <cell r="A1091" t="str">
            <v>FMI_WRLD_UKR</v>
          </cell>
          <cell r="B1091" t="str">
            <v>Ukraine</v>
          </cell>
          <cell r="C1091" t="str">
            <v>WRLD Country:Ukraine</v>
          </cell>
          <cell r="D1091" t="str">
            <v>BFRE Country</v>
          </cell>
          <cell r="E1091" t="str">
            <v>Country Return</v>
          </cell>
          <cell r="F1091" t="str">
            <v>EQ-Emerging Markets</v>
          </cell>
          <cell r="G1091" t="str">
            <v>EQ-Emerging Markets</v>
          </cell>
          <cell r="H1091" t="str">
            <v>EQ_COUNTRY</v>
          </cell>
          <cell r="I1091" t="str">
            <v>Emerging Markets</v>
          </cell>
        </row>
        <row r="1092">
          <cell r="A1092" t="str">
            <v>FMI_WRLD_ARE</v>
          </cell>
          <cell r="B1092" t="str">
            <v>United Arab Emirates</v>
          </cell>
          <cell r="C1092" t="str">
            <v>WRLD Country:United Arab Emirates</v>
          </cell>
          <cell r="D1092" t="str">
            <v>BFRE Country</v>
          </cell>
          <cell r="E1092" t="str">
            <v>Country Return</v>
          </cell>
          <cell r="F1092" t="str">
            <v>EQ-Emerging Markets</v>
          </cell>
          <cell r="G1092" t="str">
            <v>EQ-Emerging Markets</v>
          </cell>
          <cell r="H1092" t="str">
            <v>EQ_COUNTRY</v>
          </cell>
          <cell r="I1092" t="str">
            <v>Emerging Markets</v>
          </cell>
        </row>
        <row r="1093">
          <cell r="A1093" t="str">
            <v>FMI_WRLD_GBR</v>
          </cell>
          <cell r="B1093" t="str">
            <v>United Kingdom</v>
          </cell>
          <cell r="C1093" t="str">
            <v>WRLD Country:United Kingdom</v>
          </cell>
          <cell r="D1093" t="str">
            <v>BFRE Country</v>
          </cell>
          <cell r="E1093" t="str">
            <v>Country Return</v>
          </cell>
          <cell r="F1093" t="str">
            <v>EQ-Europe</v>
          </cell>
          <cell r="G1093" t="str">
            <v>EQ-Europe</v>
          </cell>
          <cell r="H1093" t="str">
            <v>EQ_COUNTRY</v>
          </cell>
          <cell r="I1093" t="str">
            <v>Europe</v>
          </cell>
        </row>
        <row r="1094">
          <cell r="A1094" t="str">
            <v>FMI_WRLD_USA</v>
          </cell>
          <cell r="B1094" t="str">
            <v>United States</v>
          </cell>
          <cell r="C1094" t="str">
            <v>WRLD Country:United States</v>
          </cell>
          <cell r="D1094" t="str">
            <v>BFRE Country</v>
          </cell>
          <cell r="E1094" t="str">
            <v>Country Return</v>
          </cell>
          <cell r="F1094" t="str">
            <v>EQ-North America</v>
          </cell>
          <cell r="G1094" t="str">
            <v>EQ-North America</v>
          </cell>
          <cell r="H1094" t="str">
            <v>EQ_COUNTRY</v>
          </cell>
          <cell r="I1094" t="str">
            <v>North America</v>
          </cell>
        </row>
        <row r="1095">
          <cell r="A1095" t="str">
            <v>FMI_WRLD_VNM</v>
          </cell>
          <cell r="B1095" t="str">
            <v>Viet Nam</v>
          </cell>
          <cell r="C1095" t="str">
            <v>WRLD Country:Viet Nam</v>
          </cell>
          <cell r="D1095" t="str">
            <v>BFRE Country</v>
          </cell>
          <cell r="E1095" t="str">
            <v>Country Return</v>
          </cell>
          <cell r="F1095" t="str">
            <v>EQ-Emerging Markets</v>
          </cell>
          <cell r="G1095" t="str">
            <v>EQ-Emerging Markets</v>
          </cell>
          <cell r="H1095" t="str">
            <v>EQ_COUNTRY</v>
          </cell>
          <cell r="I1095" t="str">
            <v>Emerging Markets</v>
          </cell>
        </row>
        <row r="1096">
          <cell r="A1096" t="str">
            <v>FMI_WRLD_BGR</v>
          </cell>
          <cell r="B1096" t="str">
            <v>Bulgaria</v>
          </cell>
          <cell r="C1096" t="str">
            <v>_BRS_GOLD__5_EQ:FMI_WRLD_COUNTRY:FMI_WRLD_BGR</v>
          </cell>
          <cell r="D1096" t="str">
            <v>BFRE Country</v>
          </cell>
          <cell r="E1096" t="str">
            <v>Country Return</v>
          </cell>
          <cell r="F1096" t="str">
            <v>EQ-Emerging Markets</v>
          </cell>
          <cell r="G1096" t="str">
            <v>EQ-Emerging Markets</v>
          </cell>
          <cell r="H1096" t="str">
            <v>EQ_COUNTRY</v>
          </cell>
          <cell r="I1096" t="str">
            <v>Emerging Markets</v>
          </cell>
        </row>
        <row r="1097">
          <cell r="A1097" t="str">
            <v>FMI_WRLD_BWA</v>
          </cell>
          <cell r="B1097" t="str">
            <v>Botswana</v>
          </cell>
          <cell r="C1097" t="str">
            <v>_BRS_GOLD__5_EQ:FMI_WRLD_COUNTRY:FMI_WRLD_BWA</v>
          </cell>
          <cell r="D1097" t="str">
            <v>BFRE Country</v>
          </cell>
          <cell r="E1097" t="str">
            <v>Country Return</v>
          </cell>
          <cell r="F1097" t="str">
            <v>EQ-Emerging Markets</v>
          </cell>
          <cell r="G1097" t="str">
            <v>EQ-Emerging Markets</v>
          </cell>
          <cell r="H1097" t="str">
            <v>EQ_COUNTRY</v>
          </cell>
          <cell r="I1097" t="str">
            <v>Emerging Markets</v>
          </cell>
        </row>
        <row r="1098">
          <cell r="A1098" t="str">
            <v>FMI_WRLD_CIV</v>
          </cell>
          <cell r="B1098" t="str">
            <v>Cote d Ivoire</v>
          </cell>
          <cell r="C1098" t="str">
            <v>_BRS_GOLD__5_EQ:FMI_WRLD_COUNTRY:FMI_WRLD_CIV</v>
          </cell>
          <cell r="D1098" t="str">
            <v>BFRE Country</v>
          </cell>
          <cell r="E1098" t="str">
            <v>Country Return</v>
          </cell>
          <cell r="F1098" t="str">
            <v>EQ-Emerging Markets</v>
          </cell>
          <cell r="G1098" t="str">
            <v>EQ-Emerging Markets</v>
          </cell>
          <cell r="H1098" t="str">
            <v>EQ_COUNTRY</v>
          </cell>
          <cell r="I1098" t="str">
            <v>Emerging Markets</v>
          </cell>
        </row>
        <row r="1099">
          <cell r="A1099" t="str">
            <v>FMI_WRLD_CYP</v>
          </cell>
          <cell r="B1099" t="str">
            <v>Cyprus</v>
          </cell>
          <cell r="C1099" t="str">
            <v>_BRS_GOLD__5_EQ:FMI_WRLD_COUNTRY:FMI_WRLD_CYP</v>
          </cell>
          <cell r="D1099" t="str">
            <v>BFRE Country</v>
          </cell>
          <cell r="E1099" t="str">
            <v>Country Return</v>
          </cell>
          <cell r="F1099" t="str">
            <v>EQ-Emerging Markets</v>
          </cell>
          <cell r="G1099" t="str">
            <v>EQ-Emerging Markets</v>
          </cell>
          <cell r="H1099" t="str">
            <v>EQ_COUNTRY</v>
          </cell>
          <cell r="I1099" t="str">
            <v>Emerging Markets</v>
          </cell>
        </row>
        <row r="1100">
          <cell r="A1100" t="str">
            <v>FMI_WRLD_ECU</v>
          </cell>
          <cell r="B1100" t="str">
            <v>Ecuador</v>
          </cell>
          <cell r="C1100" t="str">
            <v>_BRS_GOLD__5_EQ:FMI_WRLD_COUNTRY:FMI_WRLD_ECU</v>
          </cell>
          <cell r="D1100" t="str">
            <v>BFRE Country</v>
          </cell>
          <cell r="E1100" t="str">
            <v>Country Return</v>
          </cell>
          <cell r="F1100" t="str">
            <v>EQ-Emerging Markets</v>
          </cell>
          <cell r="G1100" t="str">
            <v>EQ-Emerging Markets</v>
          </cell>
          <cell r="H1100" t="str">
            <v>EQ_COUNTRY</v>
          </cell>
          <cell r="I1100" t="str">
            <v>Emerging Markets</v>
          </cell>
        </row>
        <row r="1101">
          <cell r="A1101" t="str">
            <v>FMI_WRLD_JAM</v>
          </cell>
          <cell r="B1101" t="str">
            <v>Jamaica</v>
          </cell>
          <cell r="C1101" t="str">
            <v>_BRS_GOLD__5_EQ:FMI_WRLD_COUNTRY:FMI_WRLD_JAM</v>
          </cell>
          <cell r="D1101" t="str">
            <v>BFRE Country</v>
          </cell>
          <cell r="E1101" t="str">
            <v>Country Return</v>
          </cell>
          <cell r="F1101" t="str">
            <v>EQ-Emerging Markets</v>
          </cell>
          <cell r="G1101" t="str">
            <v>EQ-Emerging Markets</v>
          </cell>
          <cell r="H1101" t="str">
            <v>EQ_COUNTRY</v>
          </cell>
          <cell r="I1101" t="str">
            <v>Emerging Markets</v>
          </cell>
        </row>
        <row r="1102">
          <cell r="A1102" t="str">
            <v>FMI_WRLD_LBN</v>
          </cell>
          <cell r="B1102" t="str">
            <v>Lebanon</v>
          </cell>
          <cell r="C1102" t="str">
            <v>_BRS_GOLD__5_EQ:FMI_WRLD_COUNTRY:FMI_WRLD_LBN</v>
          </cell>
          <cell r="D1102" t="str">
            <v>BFRE Country</v>
          </cell>
          <cell r="E1102" t="str">
            <v>Country Return</v>
          </cell>
          <cell r="F1102" t="str">
            <v>EQ-Emerging Markets</v>
          </cell>
          <cell r="G1102" t="str">
            <v>EQ-Emerging Markets</v>
          </cell>
          <cell r="H1102" t="str">
            <v>EQ_COUNTRY</v>
          </cell>
          <cell r="I1102" t="str">
            <v>Emerging Markets</v>
          </cell>
        </row>
        <row r="1103">
          <cell r="A1103" t="str">
            <v>FMI_WRLD_LVA</v>
          </cell>
          <cell r="B1103" t="str">
            <v>Latvia</v>
          </cell>
          <cell r="C1103" t="str">
            <v>_BRS_GOLD__5_EQ:FMI_WRLD_COUNTRY:FMI_WRLD_LVA</v>
          </cell>
          <cell r="D1103" t="str">
            <v>BFRE Country</v>
          </cell>
          <cell r="E1103" t="str">
            <v>Country Return</v>
          </cell>
          <cell r="F1103" t="str">
            <v>EQ-Emerging Markets</v>
          </cell>
          <cell r="G1103" t="str">
            <v>EQ-Emerging Markets</v>
          </cell>
          <cell r="H1103" t="str">
            <v>EQ_COUNTRY</v>
          </cell>
          <cell r="I1103" t="str">
            <v>Emerging Markets</v>
          </cell>
        </row>
        <row r="1104">
          <cell r="A1104" t="str">
            <v>FMI_WRLD_NAM</v>
          </cell>
          <cell r="B1104" t="str">
            <v>Namibia</v>
          </cell>
          <cell r="C1104" t="str">
            <v>_BRS_GOLD__5_EQ:FMI_WRLD_COUNTRY:FMI_WRLD_NAM</v>
          </cell>
          <cell r="D1104" t="str">
            <v>BFRE Country</v>
          </cell>
          <cell r="E1104" t="str">
            <v>Country Return</v>
          </cell>
          <cell r="F1104" t="str">
            <v>EQ-Emerging Markets</v>
          </cell>
          <cell r="G1104" t="str">
            <v>EQ-Emerging Markets</v>
          </cell>
          <cell r="H1104" t="str">
            <v>EQ_COUNTRY</v>
          </cell>
          <cell r="I1104" t="str">
            <v>Emerging Markets</v>
          </cell>
        </row>
        <row r="1105">
          <cell r="A1105" t="str">
            <v>FMI_WRLD_PSE</v>
          </cell>
          <cell r="B1105" t="str">
            <v>Palestinian Territory</v>
          </cell>
          <cell r="C1105" t="str">
            <v>_BRS_GOLD__5_EQ:FMI_WRLD_COUNTRY:FMI_WRLD_PSE</v>
          </cell>
          <cell r="D1105" t="str">
            <v>BFRE Country</v>
          </cell>
          <cell r="E1105" t="str">
            <v>Country Return</v>
          </cell>
          <cell r="F1105" t="str">
            <v>EQ-Emerging Markets</v>
          </cell>
          <cell r="G1105" t="str">
            <v>EQ-Emerging Markets</v>
          </cell>
          <cell r="H1105" t="str">
            <v>EQ_COUNTRY</v>
          </cell>
          <cell r="I1105" t="str">
            <v>Emerging Markets</v>
          </cell>
        </row>
        <row r="1106">
          <cell r="A1106" t="str">
            <v>FMI_WRLD_SVK</v>
          </cell>
          <cell r="B1106" t="str">
            <v>Slovakia</v>
          </cell>
          <cell r="C1106" t="str">
            <v>_BRS_GOLD__5_EQ:FMI_WRLD_COUNTRY:FMI_WRLD_SVK</v>
          </cell>
          <cell r="D1106" t="str">
            <v>BFRE Country</v>
          </cell>
          <cell r="E1106" t="str">
            <v>Country Return</v>
          </cell>
          <cell r="F1106" t="str">
            <v>EQ-Emerging Markets</v>
          </cell>
          <cell r="G1106" t="str">
            <v>EQ-Emerging Markets</v>
          </cell>
          <cell r="H1106" t="str">
            <v>EQ_COUNTRY</v>
          </cell>
          <cell r="I1106" t="str">
            <v>Emerging Markets</v>
          </cell>
        </row>
        <row r="1107">
          <cell r="A1107" t="str">
            <v>FMI_WRLD_TTO</v>
          </cell>
          <cell r="B1107" t="str">
            <v>Trinidad and Tobago</v>
          </cell>
          <cell r="C1107" t="str">
            <v>_BRS_GOLD__5_EQ:FMI_WRLD_COUNTRY:FMI_WRLD_TTO</v>
          </cell>
          <cell r="D1107" t="str">
            <v>BFRE Country</v>
          </cell>
          <cell r="E1107" t="str">
            <v>Country Return</v>
          </cell>
          <cell r="F1107" t="str">
            <v>EQ-Emerging Markets</v>
          </cell>
          <cell r="G1107" t="str">
            <v>EQ-Emerging Markets</v>
          </cell>
          <cell r="H1107" t="str">
            <v>EQ_COUNTRY</v>
          </cell>
          <cell r="I1107" t="str">
            <v>Emerging Markets</v>
          </cell>
        </row>
        <row r="1108">
          <cell r="A1108" t="str">
            <v>FMI_WRLD_VEN</v>
          </cell>
          <cell r="B1108" t="str">
            <v>Venezuela</v>
          </cell>
          <cell r="C1108" t="str">
            <v>_BRS_GOLD__5_EQ:FMI_WRLD_COUNTRY:FMI_WRLD_VEN</v>
          </cell>
          <cell r="D1108" t="str">
            <v>BFRE Country</v>
          </cell>
          <cell r="E1108" t="str">
            <v>Country Return</v>
          </cell>
          <cell r="F1108" t="str">
            <v>EQ-Emerging Markets</v>
          </cell>
          <cell r="G1108" t="str">
            <v>EQ-Emerging Markets</v>
          </cell>
          <cell r="H1108" t="str">
            <v>EQ_COUNTRY</v>
          </cell>
          <cell r="I1108" t="str">
            <v>Emerging Markets</v>
          </cell>
        </row>
        <row r="1109">
          <cell r="A1109" t="str">
            <v>FMI_WRLD_ZMB</v>
          </cell>
          <cell r="B1109" t="str">
            <v>Zambia</v>
          </cell>
          <cell r="C1109" t="str">
            <v>_BRS_GOLD__5_EQ:FMI_WRLD_COUNTRY:FMI_WRLD_ZMB</v>
          </cell>
          <cell r="D1109" t="str">
            <v>BFRE Country</v>
          </cell>
          <cell r="E1109" t="str">
            <v>Country Return</v>
          </cell>
          <cell r="F1109" t="str">
            <v>EQ-Emerging Markets</v>
          </cell>
          <cell r="G1109" t="str">
            <v>EQ-Emerging Markets</v>
          </cell>
          <cell r="H1109" t="str">
            <v>EQ_COUNTRY</v>
          </cell>
          <cell r="I1109" t="str">
            <v>Emerging Markets</v>
          </cell>
        </row>
        <row r="1110">
          <cell r="A1110" t="str">
            <v>[AED_FX_USD-EUR_FX_USD]</v>
          </cell>
          <cell r="B1110" t="str">
            <v>AED/EUR</v>
          </cell>
          <cell r="C1110" t="str">
            <v>Foreign Exchange:AED/USD</v>
          </cell>
          <cell r="E1110" t="str">
            <v>FX</v>
          </cell>
          <cell r="F1110" t="str">
            <v>FX-Emerging Currency</v>
          </cell>
          <cell r="G1110" t="str">
            <v>FX-Emerging Currency</v>
          </cell>
          <cell r="H1110" t="str">
            <v>FX</v>
          </cell>
          <cell r="I1110" t="str">
            <v>Emerging Currency</v>
          </cell>
        </row>
        <row r="1111">
          <cell r="A1111" t="str">
            <v>[ARS_FX_USD-EUR_FX_USD]</v>
          </cell>
          <cell r="B1111" t="str">
            <v>ARS/EUR</v>
          </cell>
          <cell r="C1111" t="str">
            <v>Foreign Exchange:ARS/USD</v>
          </cell>
          <cell r="E1111" t="str">
            <v>FX</v>
          </cell>
          <cell r="F1111" t="str">
            <v>FX-Emerging Currency</v>
          </cell>
          <cell r="G1111" t="str">
            <v>FX-Emerging Currency</v>
          </cell>
          <cell r="H1111" t="str">
            <v>FX</v>
          </cell>
          <cell r="I1111" t="str">
            <v>Emerging Currency</v>
          </cell>
        </row>
        <row r="1112">
          <cell r="A1112" t="str">
            <v>[AUD_FX_USD-EUR_FX_USD]</v>
          </cell>
          <cell r="B1112" t="str">
            <v>AUD/EUR</v>
          </cell>
          <cell r="C1112" t="str">
            <v>Foreign Exchange:AUD/USD</v>
          </cell>
          <cell r="E1112" t="str">
            <v>FX</v>
          </cell>
          <cell r="F1112" t="str">
            <v>FX-Developed Currency</v>
          </cell>
          <cell r="G1112" t="str">
            <v>FX-Developed Currency</v>
          </cell>
          <cell r="H1112" t="str">
            <v>FX</v>
          </cell>
          <cell r="I1112" t="str">
            <v>Developed Currency</v>
          </cell>
        </row>
        <row r="1113">
          <cell r="A1113" t="str">
            <v>[BDT_FX_USD-EUR_FX_USD]</v>
          </cell>
          <cell r="B1113" t="str">
            <v>BDT/EUR</v>
          </cell>
          <cell r="C1113" t="str">
            <v>Foreign Exchange:BDT/USD</v>
          </cell>
          <cell r="E1113" t="str">
            <v>FX</v>
          </cell>
          <cell r="F1113" t="str">
            <v>FX-Emerging Currency</v>
          </cell>
          <cell r="G1113" t="str">
            <v>FX-Emerging Currency</v>
          </cell>
          <cell r="H1113" t="str">
            <v>FX</v>
          </cell>
          <cell r="I1113" t="str">
            <v>Emerging Currency</v>
          </cell>
        </row>
        <row r="1114">
          <cell r="A1114" t="str">
            <v>[BHD_FX_USD-EUR_FX_USD]</v>
          </cell>
          <cell r="B1114" t="str">
            <v>BHD/EUR</v>
          </cell>
          <cell r="C1114" t="str">
            <v>Foreign Exchange:BHD/USD</v>
          </cell>
          <cell r="E1114" t="str">
            <v>FX</v>
          </cell>
          <cell r="F1114" t="str">
            <v>FX-Emerging Currency</v>
          </cell>
          <cell r="G1114" t="str">
            <v>FX-Emerging Currency</v>
          </cell>
          <cell r="H1114" t="str">
            <v>FX</v>
          </cell>
          <cell r="I1114" t="str">
            <v>Emerging Currency</v>
          </cell>
        </row>
        <row r="1115">
          <cell r="A1115" t="str">
            <v>[BRL_FX_USD-EUR_FX_USD]</v>
          </cell>
          <cell r="B1115" t="str">
            <v>BRL/EUR</v>
          </cell>
          <cell r="C1115" t="str">
            <v>Foreign Exchange:BRL/USD</v>
          </cell>
          <cell r="E1115" t="str">
            <v>FX</v>
          </cell>
          <cell r="F1115" t="str">
            <v>FX-Emerging Currency</v>
          </cell>
          <cell r="G1115" t="str">
            <v>FX-Emerging Currency</v>
          </cell>
          <cell r="H1115" t="str">
            <v>FX</v>
          </cell>
          <cell r="I1115" t="str">
            <v>Emerging Currency</v>
          </cell>
        </row>
        <row r="1116">
          <cell r="A1116" t="str">
            <v>[BSD_FX_USD-EUR_FX_USD]</v>
          </cell>
          <cell r="B1116" t="str">
            <v>BSD/EUR</v>
          </cell>
          <cell r="C1116" t="str">
            <v>Foreign Exchange:BSD/USD</v>
          </cell>
          <cell r="E1116" t="str">
            <v>FX</v>
          </cell>
          <cell r="F1116" t="str">
            <v>FX-Emerging Currency</v>
          </cell>
          <cell r="G1116" t="str">
            <v>FX-Emerging Currency</v>
          </cell>
          <cell r="H1116" t="str">
            <v>FX</v>
          </cell>
          <cell r="I1116" t="str">
            <v>Emerging Currency</v>
          </cell>
        </row>
        <row r="1117">
          <cell r="A1117" t="str">
            <v>[CAD_FX_USD-EUR_FX_USD]</v>
          </cell>
          <cell r="B1117" t="str">
            <v>CAD/EUR</v>
          </cell>
          <cell r="C1117" t="str">
            <v>Foreign Exchange:CAD/USD</v>
          </cell>
          <cell r="E1117" t="str">
            <v>FX</v>
          </cell>
          <cell r="F1117" t="str">
            <v>FX-Developed Currency</v>
          </cell>
          <cell r="G1117" t="str">
            <v>FX-Developed Currency</v>
          </cell>
          <cell r="H1117" t="str">
            <v>FX</v>
          </cell>
          <cell r="I1117" t="str">
            <v>Developed Currency</v>
          </cell>
        </row>
        <row r="1118">
          <cell r="A1118" t="str">
            <v>[CHF_FX_USD-EUR_FX_USD]</v>
          </cell>
          <cell r="B1118" t="str">
            <v>CHF/EUR</v>
          </cell>
          <cell r="C1118" t="str">
            <v>Foreign Exchange:CHF/USD</v>
          </cell>
          <cell r="E1118" t="str">
            <v>FX</v>
          </cell>
          <cell r="F1118" t="str">
            <v>FX-Developed Currency</v>
          </cell>
          <cell r="G1118" t="str">
            <v>FX-Developed Currency</v>
          </cell>
          <cell r="H1118" t="str">
            <v>FX</v>
          </cell>
          <cell r="I1118" t="str">
            <v>Developed Currency</v>
          </cell>
        </row>
        <row r="1119">
          <cell r="A1119" t="str">
            <v>[CLP_FX_USD-EUR_FX_USD]</v>
          </cell>
          <cell r="B1119" t="str">
            <v>CLP/EUR</v>
          </cell>
          <cell r="C1119" t="str">
            <v>Foreign Exchange:CLP/USD</v>
          </cell>
          <cell r="E1119" t="str">
            <v>FX</v>
          </cell>
          <cell r="F1119" t="str">
            <v>FX-Emerging Currency</v>
          </cell>
          <cell r="G1119" t="str">
            <v>FX-Emerging Currency</v>
          </cell>
          <cell r="H1119" t="str">
            <v>FX</v>
          </cell>
          <cell r="I1119" t="str">
            <v>Emerging Currency</v>
          </cell>
        </row>
        <row r="1120">
          <cell r="A1120" t="str">
            <v>[CNH_FX_USD-EUR_FX_USD]</v>
          </cell>
          <cell r="B1120" t="str">
            <v>CNH/EUR</v>
          </cell>
          <cell r="C1120" t="str">
            <v>Foreign Exchange:CNH/USD</v>
          </cell>
          <cell r="E1120" t="str">
            <v>FX</v>
          </cell>
          <cell r="F1120" t="str">
            <v>FX-Emerging Currency</v>
          </cell>
          <cell r="G1120" t="str">
            <v>FX-Emerging Currency</v>
          </cell>
          <cell r="H1120" t="str">
            <v>FX</v>
          </cell>
          <cell r="I1120" t="str">
            <v>Emerging Currency</v>
          </cell>
        </row>
        <row r="1121">
          <cell r="A1121" t="str">
            <v>[CNY_FX_USD-EUR_FX_USD]</v>
          </cell>
          <cell r="B1121" t="str">
            <v>CNY/EUR</v>
          </cell>
          <cell r="C1121" t="str">
            <v>Foreign Exchange:CNY/USD</v>
          </cell>
          <cell r="E1121" t="str">
            <v>FX</v>
          </cell>
          <cell r="F1121" t="str">
            <v>FX-Emerging Currency</v>
          </cell>
          <cell r="G1121" t="str">
            <v>FX-Emerging Currency</v>
          </cell>
          <cell r="H1121" t="str">
            <v>FX</v>
          </cell>
          <cell r="I1121" t="str">
            <v>Emerging Currency</v>
          </cell>
        </row>
        <row r="1122">
          <cell r="A1122" t="str">
            <v>[COP_FX_USD-EUR_FX_USD]</v>
          </cell>
          <cell r="B1122" t="str">
            <v>COP/EUR</v>
          </cell>
          <cell r="C1122" t="str">
            <v>Foreign Exchange:COP/USD</v>
          </cell>
          <cell r="E1122" t="str">
            <v>FX</v>
          </cell>
          <cell r="F1122" t="str">
            <v>FX-Emerging Currency</v>
          </cell>
          <cell r="G1122" t="str">
            <v>FX-Emerging Currency</v>
          </cell>
          <cell r="H1122" t="str">
            <v>FX</v>
          </cell>
          <cell r="I1122" t="str">
            <v>Emerging Currency</v>
          </cell>
        </row>
        <row r="1123">
          <cell r="A1123" t="str">
            <v>[CZK_FX_USD-EUR_FX_USD]</v>
          </cell>
          <cell r="B1123" t="str">
            <v>CZK/EUR</v>
          </cell>
          <cell r="C1123" t="str">
            <v>Foreign Exchange:CZK/USD</v>
          </cell>
          <cell r="E1123" t="str">
            <v>FX</v>
          </cell>
          <cell r="F1123" t="str">
            <v>FX-Emerging Currency</v>
          </cell>
          <cell r="G1123" t="str">
            <v>FX-Emerging Currency</v>
          </cell>
          <cell r="H1123" t="str">
            <v>FX</v>
          </cell>
          <cell r="I1123" t="str">
            <v>Emerging Currency</v>
          </cell>
        </row>
        <row r="1124">
          <cell r="A1124" t="str">
            <v>[DKK_FX_USD-EUR_FX_USD]</v>
          </cell>
          <cell r="B1124" t="str">
            <v>DKK/EUR</v>
          </cell>
          <cell r="C1124" t="str">
            <v>Foreign Exchange:DKK/USD</v>
          </cell>
          <cell r="E1124" t="str">
            <v>FX</v>
          </cell>
          <cell r="F1124" t="str">
            <v>FX-Developed Currency</v>
          </cell>
          <cell r="G1124" t="str">
            <v>FX-Developed Currency</v>
          </cell>
          <cell r="H1124" t="str">
            <v>FX</v>
          </cell>
          <cell r="I1124" t="str">
            <v>Developed Currency</v>
          </cell>
        </row>
        <row r="1125">
          <cell r="A1125" t="str">
            <v>[DOP_FX_USD-EUR_FX_USD]</v>
          </cell>
          <cell r="B1125" t="str">
            <v>DOP/EUR</v>
          </cell>
          <cell r="C1125" t="str">
            <v>Foreign Exchange:DOP/USD</v>
          </cell>
          <cell r="E1125" t="str">
            <v>FX</v>
          </cell>
          <cell r="F1125" t="str">
            <v>FX-Emerging Currency</v>
          </cell>
          <cell r="G1125" t="str">
            <v>FX-Emerging Currency</v>
          </cell>
          <cell r="H1125" t="str">
            <v>FX</v>
          </cell>
          <cell r="I1125" t="str">
            <v>Emerging Currency</v>
          </cell>
        </row>
        <row r="1126">
          <cell r="A1126" t="str">
            <v>[EGP_FX_USD-EUR_FX_USD]</v>
          </cell>
          <cell r="B1126" t="str">
            <v>EGP/EUR</v>
          </cell>
          <cell r="C1126" t="str">
            <v>Foreign Exchange:EGP/USD</v>
          </cell>
          <cell r="E1126" t="str">
            <v>FX</v>
          </cell>
          <cell r="F1126" t="str">
            <v>FX-Emerging Currency</v>
          </cell>
          <cell r="G1126" t="str">
            <v>FX-Emerging Currency</v>
          </cell>
          <cell r="H1126" t="str">
            <v>FX</v>
          </cell>
          <cell r="I1126" t="str">
            <v>Emerging Currency</v>
          </cell>
        </row>
        <row r="1127">
          <cell r="A1127" t="str">
            <v>[GBP_FX_USD-EUR_FX_USD]</v>
          </cell>
          <cell r="B1127" t="str">
            <v>GBP/EUR</v>
          </cell>
          <cell r="C1127" t="str">
            <v>Foreign Exchange:GBP/USD</v>
          </cell>
          <cell r="E1127" t="str">
            <v>FX</v>
          </cell>
          <cell r="F1127" t="str">
            <v>FX-GBP</v>
          </cell>
          <cell r="G1127" t="str">
            <v>FX-GBP</v>
          </cell>
          <cell r="H1127" t="str">
            <v>FX</v>
          </cell>
          <cell r="I1127" t="str">
            <v>GBP</v>
          </cell>
        </row>
        <row r="1128">
          <cell r="A1128" t="str">
            <v>[GHS_FX_USD-EUR_FX_USD]</v>
          </cell>
          <cell r="B1128" t="str">
            <v>GHS/EUR</v>
          </cell>
          <cell r="C1128" t="str">
            <v>Foreign Exchange:GHS/USD</v>
          </cell>
          <cell r="E1128" t="str">
            <v>FX</v>
          </cell>
          <cell r="F1128" t="str">
            <v>FX-Emerging Currency</v>
          </cell>
          <cell r="G1128" t="str">
            <v>FX-Emerging Currency</v>
          </cell>
          <cell r="H1128" t="str">
            <v>FX</v>
          </cell>
          <cell r="I1128" t="str">
            <v>Emerging Currency</v>
          </cell>
        </row>
        <row r="1129">
          <cell r="A1129" t="str">
            <v>[HKD_FX_USD-EUR_FX_USD]</v>
          </cell>
          <cell r="B1129" t="str">
            <v>HKD/EUR</v>
          </cell>
          <cell r="C1129" t="str">
            <v>Foreign Exchange:HKD/USD</v>
          </cell>
          <cell r="E1129" t="str">
            <v>FX</v>
          </cell>
          <cell r="F1129" t="str">
            <v>FX-Developed Currency</v>
          </cell>
          <cell r="G1129" t="str">
            <v>FX-Developed Currency</v>
          </cell>
          <cell r="H1129" t="str">
            <v>FX</v>
          </cell>
          <cell r="I1129" t="str">
            <v>Developed Currency</v>
          </cell>
        </row>
        <row r="1130">
          <cell r="A1130" t="str">
            <v>[HRK_FX_USD-EUR_FX_USD]</v>
          </cell>
          <cell r="B1130" t="str">
            <v>HRK/EUR</v>
          </cell>
          <cell r="C1130" t="str">
            <v>Foreign Exchange:HRK/USD</v>
          </cell>
          <cell r="E1130" t="str">
            <v>FX</v>
          </cell>
          <cell r="F1130" t="str">
            <v>FX-Emerging Currency</v>
          </cell>
          <cell r="G1130" t="str">
            <v>FX-Emerging Currency</v>
          </cell>
          <cell r="H1130" t="str">
            <v>FX</v>
          </cell>
          <cell r="I1130" t="str">
            <v>Emerging Currency</v>
          </cell>
        </row>
        <row r="1131">
          <cell r="A1131" t="str">
            <v>[HUF_FX_USD-EUR_FX_USD]</v>
          </cell>
          <cell r="B1131" t="str">
            <v>HUF/EUR</v>
          </cell>
          <cell r="C1131" t="str">
            <v>Foreign Exchange:HUF/USD</v>
          </cell>
          <cell r="E1131" t="str">
            <v>FX</v>
          </cell>
          <cell r="F1131" t="str">
            <v>FX-Emerging Currency</v>
          </cell>
          <cell r="G1131" t="str">
            <v>FX-Emerging Currency</v>
          </cell>
          <cell r="H1131" t="str">
            <v>FX</v>
          </cell>
          <cell r="I1131" t="str">
            <v>Emerging Currency</v>
          </cell>
        </row>
        <row r="1132">
          <cell r="A1132" t="str">
            <v>[IDR_FX_USD-EUR_FX_USD]</v>
          </cell>
          <cell r="B1132" t="str">
            <v>IDR/EUR</v>
          </cell>
          <cell r="C1132" t="str">
            <v>Foreign Exchange:IDR/USD</v>
          </cell>
          <cell r="E1132" t="str">
            <v>FX</v>
          </cell>
          <cell r="F1132" t="str">
            <v>FX-Emerging Currency</v>
          </cell>
          <cell r="G1132" t="str">
            <v>FX-Emerging Currency</v>
          </cell>
          <cell r="H1132" t="str">
            <v>FX</v>
          </cell>
          <cell r="I1132" t="str">
            <v>Emerging Currency</v>
          </cell>
        </row>
        <row r="1133">
          <cell r="A1133" t="str">
            <v>[ILS_FX_USD-EUR_FX_USD]</v>
          </cell>
          <cell r="B1133" t="str">
            <v>ILS/EUR</v>
          </cell>
          <cell r="C1133" t="str">
            <v>Foreign Exchange:ILS/USD</v>
          </cell>
          <cell r="E1133" t="str">
            <v>FX</v>
          </cell>
          <cell r="F1133" t="str">
            <v>FX-Emerging Currency</v>
          </cell>
          <cell r="G1133" t="str">
            <v>FX-Emerging Currency</v>
          </cell>
          <cell r="H1133" t="str">
            <v>FX</v>
          </cell>
          <cell r="I1133" t="str">
            <v>Emerging Currency</v>
          </cell>
        </row>
        <row r="1134">
          <cell r="A1134" t="str">
            <v>[INR_FX_USD-EUR_FX_USD]</v>
          </cell>
          <cell r="B1134" t="str">
            <v>INR/EUR</v>
          </cell>
          <cell r="C1134" t="str">
            <v>Foreign Exchange:INR/USD</v>
          </cell>
          <cell r="E1134" t="str">
            <v>FX</v>
          </cell>
          <cell r="F1134" t="str">
            <v>FX-Emerging Currency</v>
          </cell>
          <cell r="G1134" t="str">
            <v>FX-Emerging Currency</v>
          </cell>
          <cell r="H1134" t="str">
            <v>FX</v>
          </cell>
          <cell r="I1134" t="str">
            <v>Emerging Currency</v>
          </cell>
        </row>
        <row r="1135">
          <cell r="A1135" t="str">
            <v>[ISK_FX_USD-EUR_FX_USD]</v>
          </cell>
          <cell r="B1135" t="str">
            <v>ISK/EUR</v>
          </cell>
          <cell r="C1135" t="str">
            <v>Foreign Exchange:ISK/USD</v>
          </cell>
          <cell r="E1135" t="str">
            <v>FX</v>
          </cell>
          <cell r="F1135" t="str">
            <v>FX-Developed Currency</v>
          </cell>
          <cell r="G1135" t="str">
            <v>FX-Developed Currency</v>
          </cell>
          <cell r="H1135" t="str">
            <v>FX</v>
          </cell>
          <cell r="I1135" t="str">
            <v>Developed Currency</v>
          </cell>
        </row>
        <row r="1136">
          <cell r="A1136" t="str">
            <v>[JOD_FX_USD-EUR_FX_USD]</v>
          </cell>
          <cell r="B1136" t="str">
            <v>JOD/EUR</v>
          </cell>
          <cell r="C1136" t="str">
            <v>Foreign Exchange:JOD/USD</v>
          </cell>
          <cell r="E1136" t="str">
            <v>FX</v>
          </cell>
          <cell r="F1136" t="str">
            <v>FX-Emerging Currency</v>
          </cell>
          <cell r="G1136" t="str">
            <v>FX-Emerging Currency</v>
          </cell>
          <cell r="H1136" t="str">
            <v>FX</v>
          </cell>
          <cell r="I1136" t="str">
            <v>Emerging Currency</v>
          </cell>
        </row>
        <row r="1137">
          <cell r="A1137" t="str">
            <v>[JPY_FX_USD-EUR_FX_USD]</v>
          </cell>
          <cell r="B1137" t="str">
            <v>JPY/EUR</v>
          </cell>
          <cell r="C1137" t="str">
            <v>Foreign Exchange:JPY/USD</v>
          </cell>
          <cell r="E1137" t="str">
            <v>FX</v>
          </cell>
          <cell r="F1137" t="str">
            <v>FX-JPY</v>
          </cell>
          <cell r="G1137" t="str">
            <v>FX-JPY</v>
          </cell>
          <cell r="H1137" t="str">
            <v>FX</v>
          </cell>
          <cell r="I1137" t="str">
            <v>JPY</v>
          </cell>
        </row>
        <row r="1138">
          <cell r="A1138" t="str">
            <v>[KES_FX_USD-EUR_FX_USD]</v>
          </cell>
          <cell r="B1138" t="str">
            <v>KES/EUR</v>
          </cell>
          <cell r="C1138" t="str">
            <v>Foreign Exchange:KES/USD</v>
          </cell>
          <cell r="E1138" t="str">
            <v>FX</v>
          </cell>
          <cell r="F1138" t="str">
            <v>FX-Emerging Currency</v>
          </cell>
          <cell r="G1138" t="str">
            <v>FX-Emerging Currency</v>
          </cell>
          <cell r="H1138" t="str">
            <v>FX</v>
          </cell>
          <cell r="I1138" t="str">
            <v>Emerging Currency</v>
          </cell>
        </row>
        <row r="1139">
          <cell r="A1139" t="str">
            <v>[KRW_FX_USD-EUR_FX_USD]</v>
          </cell>
          <cell r="B1139" t="str">
            <v>KRW/EUR</v>
          </cell>
          <cell r="C1139" t="str">
            <v>Foreign Exchange:KRW/USD</v>
          </cell>
          <cell r="E1139" t="str">
            <v>FX</v>
          </cell>
          <cell r="F1139" t="str">
            <v>FX-Emerging Currency</v>
          </cell>
          <cell r="G1139" t="str">
            <v>FX-Emerging Currency</v>
          </cell>
          <cell r="H1139" t="str">
            <v>FX</v>
          </cell>
          <cell r="I1139" t="str">
            <v>Emerging Currency</v>
          </cell>
        </row>
        <row r="1140">
          <cell r="A1140" t="str">
            <v>[KWD_FX_USD-EUR_FX_USD]</v>
          </cell>
          <cell r="B1140" t="str">
            <v>KWD/EUR</v>
          </cell>
          <cell r="C1140" t="str">
            <v>Foreign Exchange:KWD/USD</v>
          </cell>
          <cell r="E1140" t="str">
            <v>FX</v>
          </cell>
          <cell r="F1140" t="str">
            <v>FX-Emerging Currency</v>
          </cell>
          <cell r="G1140" t="str">
            <v>FX-Emerging Currency</v>
          </cell>
          <cell r="H1140" t="str">
            <v>FX</v>
          </cell>
          <cell r="I1140" t="str">
            <v>Emerging Currency</v>
          </cell>
        </row>
        <row r="1141">
          <cell r="A1141" t="str">
            <v>[KZT_FX_USD-EUR_FX_USD]</v>
          </cell>
          <cell r="B1141" t="str">
            <v>KZT/EUR</v>
          </cell>
          <cell r="C1141" t="str">
            <v>Foreign Exchange:KZT/USD</v>
          </cell>
          <cell r="E1141" t="str">
            <v>FX</v>
          </cell>
          <cell r="F1141" t="str">
            <v>FX-Emerging Currency</v>
          </cell>
          <cell r="G1141" t="str">
            <v>FX-Emerging Currency</v>
          </cell>
          <cell r="H1141" t="str">
            <v>FX</v>
          </cell>
          <cell r="I1141" t="str">
            <v>Emerging Currency</v>
          </cell>
        </row>
        <row r="1142">
          <cell r="A1142" t="str">
            <v>[LKR_FX_USD-EUR_FX_USD]</v>
          </cell>
          <cell r="B1142" t="str">
            <v>LKR/EUR</v>
          </cell>
          <cell r="C1142" t="str">
            <v>Foreign Exchange:LKR/USD</v>
          </cell>
          <cell r="E1142" t="str">
            <v>FX</v>
          </cell>
          <cell r="F1142" t="str">
            <v>FX-Emerging Currency</v>
          </cell>
          <cell r="G1142" t="str">
            <v>FX-Emerging Currency</v>
          </cell>
          <cell r="H1142" t="str">
            <v>FX</v>
          </cell>
          <cell r="I1142" t="str">
            <v>Emerging Currency</v>
          </cell>
        </row>
        <row r="1143">
          <cell r="A1143" t="str">
            <v>[MAD_FX_USD-EUR_FX_USD]</v>
          </cell>
          <cell r="B1143" t="str">
            <v>MAD/EUR</v>
          </cell>
          <cell r="C1143" t="str">
            <v>Foreign Exchange:MAD/USD</v>
          </cell>
          <cell r="E1143" t="str">
            <v>FX</v>
          </cell>
          <cell r="F1143" t="str">
            <v>FX-Emerging Currency</v>
          </cell>
          <cell r="G1143" t="str">
            <v>FX-Emerging Currency</v>
          </cell>
          <cell r="H1143" t="str">
            <v>FX</v>
          </cell>
          <cell r="I1143" t="str">
            <v>Emerging Currency</v>
          </cell>
        </row>
        <row r="1144">
          <cell r="A1144" t="str">
            <v>[MUR_FX_USD-EUR_FX_USD]</v>
          </cell>
          <cell r="B1144" t="str">
            <v>MUR/EUR</v>
          </cell>
          <cell r="C1144" t="str">
            <v>Foreign Exchange:MUR/USD</v>
          </cell>
          <cell r="E1144" t="str">
            <v>FX</v>
          </cell>
          <cell r="F1144" t="str">
            <v>FX-Emerging Currency</v>
          </cell>
          <cell r="G1144" t="str">
            <v>FX-Emerging Currency</v>
          </cell>
          <cell r="H1144" t="str">
            <v>FX</v>
          </cell>
          <cell r="I1144" t="str">
            <v>Emerging Currency</v>
          </cell>
        </row>
        <row r="1145">
          <cell r="A1145" t="str">
            <v>[MXN_FX_USD-EUR_FX_USD]</v>
          </cell>
          <cell r="B1145" t="str">
            <v>MXN/EUR</v>
          </cell>
          <cell r="C1145" t="str">
            <v>Foreign Exchange:MXN/USD</v>
          </cell>
          <cell r="E1145" t="str">
            <v>FX</v>
          </cell>
          <cell r="F1145" t="str">
            <v>FX-Emerging Currency</v>
          </cell>
          <cell r="G1145" t="str">
            <v>FX-Emerging Currency</v>
          </cell>
          <cell r="H1145" t="str">
            <v>FX</v>
          </cell>
          <cell r="I1145" t="str">
            <v>Emerging Currency</v>
          </cell>
        </row>
        <row r="1146">
          <cell r="A1146" t="str">
            <v>[MYR_FX_USD-EUR_FX_USD]</v>
          </cell>
          <cell r="B1146" t="str">
            <v>MYR/EUR</v>
          </cell>
          <cell r="C1146" t="str">
            <v>Foreign Exchange:MYR/USD</v>
          </cell>
          <cell r="E1146" t="str">
            <v>FX</v>
          </cell>
          <cell r="F1146" t="str">
            <v>FX-Emerging Currency</v>
          </cell>
          <cell r="G1146" t="str">
            <v>FX-Emerging Currency</v>
          </cell>
          <cell r="H1146" t="str">
            <v>FX</v>
          </cell>
          <cell r="I1146" t="str">
            <v>Emerging Currency</v>
          </cell>
        </row>
        <row r="1147">
          <cell r="A1147" t="str">
            <v>[NGN_FX_USD-EUR_FX_USD]</v>
          </cell>
          <cell r="B1147" t="str">
            <v>NGN/EUR</v>
          </cell>
          <cell r="C1147" t="str">
            <v>Foreign Exchange:NGN/USD</v>
          </cell>
          <cell r="E1147" t="str">
            <v>FX</v>
          </cell>
          <cell r="F1147" t="str">
            <v>FX-Emerging Currency</v>
          </cell>
          <cell r="G1147" t="str">
            <v>FX-Emerging Currency</v>
          </cell>
          <cell r="H1147" t="str">
            <v>FX</v>
          </cell>
          <cell r="I1147" t="str">
            <v>Emerging Currency</v>
          </cell>
        </row>
        <row r="1148">
          <cell r="A1148" t="str">
            <v>[NOK_FX_USD-EUR_FX_USD]</v>
          </cell>
          <cell r="B1148" t="str">
            <v>NOK/EUR</v>
          </cell>
          <cell r="C1148" t="str">
            <v>Foreign Exchange:NOK/USD</v>
          </cell>
          <cell r="E1148" t="str">
            <v>FX</v>
          </cell>
          <cell r="F1148" t="str">
            <v>FX-Developed Currency</v>
          </cell>
          <cell r="G1148" t="str">
            <v>FX-Developed Currency</v>
          </cell>
          <cell r="H1148" t="str">
            <v>FX</v>
          </cell>
          <cell r="I1148" t="str">
            <v>Developed Currency</v>
          </cell>
        </row>
        <row r="1149">
          <cell r="A1149" t="str">
            <v>[NZD_FX_USD-EUR_FX_USD]</v>
          </cell>
          <cell r="B1149" t="str">
            <v>NZD/EUR</v>
          </cell>
          <cell r="C1149" t="str">
            <v>Foreign Exchange:NZD/USD</v>
          </cell>
          <cell r="E1149" t="str">
            <v>FX</v>
          </cell>
          <cell r="F1149" t="str">
            <v>FX-Developed Currency</v>
          </cell>
          <cell r="G1149" t="str">
            <v>FX-Developed Currency</v>
          </cell>
          <cell r="H1149" t="str">
            <v>FX</v>
          </cell>
          <cell r="I1149" t="str">
            <v>Developed Currency</v>
          </cell>
        </row>
        <row r="1150">
          <cell r="A1150" t="str">
            <v>[OMR_FX_USD-EUR_FX_USD]</v>
          </cell>
          <cell r="B1150" t="str">
            <v>OMR/EUR</v>
          </cell>
          <cell r="C1150" t="str">
            <v>Foreign Exchange:OMR/USD</v>
          </cell>
          <cell r="E1150" t="str">
            <v>FX</v>
          </cell>
          <cell r="F1150" t="str">
            <v>FX-Emerging Currency</v>
          </cell>
          <cell r="G1150" t="str">
            <v>FX-Emerging Currency</v>
          </cell>
          <cell r="H1150" t="str">
            <v>FX</v>
          </cell>
          <cell r="I1150" t="str">
            <v>Emerging Currency</v>
          </cell>
        </row>
        <row r="1151">
          <cell r="A1151" t="str">
            <v>[PEN_FX_USD-EUR_FX_USD]</v>
          </cell>
          <cell r="B1151" t="str">
            <v>PEN/EUR</v>
          </cell>
          <cell r="C1151" t="str">
            <v>Foreign Exchange:PEN/USD</v>
          </cell>
          <cell r="E1151" t="str">
            <v>FX</v>
          </cell>
          <cell r="F1151" t="str">
            <v>FX-Emerging Currency</v>
          </cell>
          <cell r="G1151" t="str">
            <v>FX-Emerging Currency</v>
          </cell>
          <cell r="H1151" t="str">
            <v>FX</v>
          </cell>
          <cell r="I1151" t="str">
            <v>Emerging Currency</v>
          </cell>
        </row>
        <row r="1152">
          <cell r="A1152" t="str">
            <v>[PHP_FX_USD-EUR_FX_USD]</v>
          </cell>
          <cell r="B1152" t="str">
            <v>PHP/EUR</v>
          </cell>
          <cell r="C1152" t="str">
            <v>Foreign Exchange:PHP/USD</v>
          </cell>
          <cell r="E1152" t="str">
            <v>FX</v>
          </cell>
          <cell r="F1152" t="str">
            <v>FX-Emerging Currency</v>
          </cell>
          <cell r="G1152" t="str">
            <v>FX-Emerging Currency</v>
          </cell>
          <cell r="H1152" t="str">
            <v>FX</v>
          </cell>
          <cell r="I1152" t="str">
            <v>Emerging Currency</v>
          </cell>
        </row>
        <row r="1153">
          <cell r="A1153" t="str">
            <v>[PKR_FX_USD-EUR_FX_USD]</v>
          </cell>
          <cell r="B1153" t="str">
            <v>PKR/EUR</v>
          </cell>
          <cell r="C1153" t="str">
            <v>Foreign Exchange:PKR/USD</v>
          </cell>
          <cell r="E1153" t="str">
            <v>FX</v>
          </cell>
          <cell r="F1153" t="str">
            <v>FX-Emerging Currency</v>
          </cell>
          <cell r="G1153" t="str">
            <v>FX-Emerging Currency</v>
          </cell>
          <cell r="H1153" t="str">
            <v>FX</v>
          </cell>
          <cell r="I1153" t="str">
            <v>Emerging Currency</v>
          </cell>
        </row>
        <row r="1154">
          <cell r="A1154" t="str">
            <v>[PLN_FX_USD-EUR_FX_USD]</v>
          </cell>
          <cell r="B1154" t="str">
            <v>PLN/EUR</v>
          </cell>
          <cell r="C1154" t="str">
            <v>Foreign Exchange:PLN/USD</v>
          </cell>
          <cell r="E1154" t="str">
            <v>FX</v>
          </cell>
          <cell r="F1154" t="str">
            <v>FX-Emerging Currency</v>
          </cell>
          <cell r="G1154" t="str">
            <v>FX-Emerging Currency</v>
          </cell>
          <cell r="H1154" t="str">
            <v>FX</v>
          </cell>
          <cell r="I1154" t="str">
            <v>Emerging Currency</v>
          </cell>
        </row>
        <row r="1155">
          <cell r="A1155" t="str">
            <v>[QAR_FX_USD-EUR_FX_USD]</v>
          </cell>
          <cell r="B1155" t="str">
            <v>QAR/EUR</v>
          </cell>
          <cell r="C1155" t="str">
            <v>Foreign Exchange:QAR/USD</v>
          </cell>
          <cell r="E1155" t="str">
            <v>FX</v>
          </cell>
          <cell r="F1155" t="str">
            <v>FX-Emerging Currency</v>
          </cell>
          <cell r="G1155" t="str">
            <v>FX-Emerging Currency</v>
          </cell>
          <cell r="H1155" t="str">
            <v>FX</v>
          </cell>
          <cell r="I1155" t="str">
            <v>Emerging Currency</v>
          </cell>
        </row>
        <row r="1156">
          <cell r="A1156" t="str">
            <v>[RON_FX_USD-EUR_FX_USD]</v>
          </cell>
          <cell r="B1156" t="str">
            <v>RON/EUR</v>
          </cell>
          <cell r="C1156" t="str">
            <v>Foreign Exchange:RON/USD</v>
          </cell>
          <cell r="E1156" t="str">
            <v>FX</v>
          </cell>
          <cell r="F1156" t="str">
            <v>FX-Emerging Currency</v>
          </cell>
          <cell r="G1156" t="str">
            <v>FX-Emerging Currency</v>
          </cell>
          <cell r="H1156" t="str">
            <v>FX</v>
          </cell>
          <cell r="I1156" t="str">
            <v>Emerging Currency</v>
          </cell>
        </row>
        <row r="1157">
          <cell r="A1157" t="str">
            <v>[RSD_FX_USD-EUR_FX_USD]</v>
          </cell>
          <cell r="B1157" t="str">
            <v>RSD/EUR</v>
          </cell>
          <cell r="C1157" t="str">
            <v>Foreign Exchange:RSD/USD</v>
          </cell>
          <cell r="E1157" t="str">
            <v>FX</v>
          </cell>
          <cell r="F1157" t="str">
            <v>FX-Emerging Currency</v>
          </cell>
          <cell r="G1157" t="str">
            <v>FX-Emerging Currency</v>
          </cell>
          <cell r="H1157" t="str">
            <v>FX</v>
          </cell>
          <cell r="I1157" t="str">
            <v>Emerging Currency</v>
          </cell>
        </row>
        <row r="1158">
          <cell r="A1158" t="str">
            <v>[RUB_FX_USD-EUR_FX_USD]</v>
          </cell>
          <cell r="B1158" t="str">
            <v>RUB/EUR</v>
          </cell>
          <cell r="C1158" t="str">
            <v>Foreign Exchange:RUB/USD</v>
          </cell>
          <cell r="E1158" t="str">
            <v>FX</v>
          </cell>
          <cell r="F1158" t="str">
            <v>FX-Emerging Currency</v>
          </cell>
          <cell r="G1158" t="str">
            <v>FX-Emerging Currency</v>
          </cell>
          <cell r="H1158" t="str">
            <v>FX</v>
          </cell>
          <cell r="I1158" t="str">
            <v>Emerging Currency</v>
          </cell>
        </row>
        <row r="1159">
          <cell r="A1159" t="str">
            <v>[SAR_FX_USD-EUR_FX_USD]</v>
          </cell>
          <cell r="B1159" t="str">
            <v>SAR/EUR</v>
          </cell>
          <cell r="C1159" t="str">
            <v>Foreign Exchange:SAR/USD</v>
          </cell>
          <cell r="E1159" t="str">
            <v>FX</v>
          </cell>
          <cell r="F1159" t="str">
            <v>FX-Emerging Currency</v>
          </cell>
          <cell r="G1159" t="str">
            <v>FX-Emerging Currency</v>
          </cell>
          <cell r="H1159" t="str">
            <v>FX</v>
          </cell>
          <cell r="I1159" t="str">
            <v>Emerging Currency</v>
          </cell>
        </row>
        <row r="1160">
          <cell r="A1160" t="str">
            <v>[SEK_FX_USD-EUR_FX_USD]</v>
          </cell>
          <cell r="B1160" t="str">
            <v>SEK/EUR</v>
          </cell>
          <cell r="C1160" t="str">
            <v>Foreign Exchange:SEK/USD</v>
          </cell>
          <cell r="E1160" t="str">
            <v>FX</v>
          </cell>
          <cell r="F1160" t="str">
            <v>FX-Developed Currency</v>
          </cell>
          <cell r="G1160" t="str">
            <v>FX-Developed Currency</v>
          </cell>
          <cell r="H1160" t="str">
            <v>FX</v>
          </cell>
          <cell r="I1160" t="str">
            <v>Developed Currency</v>
          </cell>
        </row>
        <row r="1161">
          <cell r="A1161" t="str">
            <v>[SGD_FX_USD-EUR_FX_USD]</v>
          </cell>
          <cell r="B1161" t="str">
            <v>SGD/EUR</v>
          </cell>
          <cell r="C1161" t="str">
            <v>Foreign Exchange:SGD/USD</v>
          </cell>
          <cell r="E1161" t="str">
            <v>FX</v>
          </cell>
          <cell r="F1161" t="str">
            <v>FX-Developed Currency</v>
          </cell>
          <cell r="G1161" t="str">
            <v>FX-Developed Currency</v>
          </cell>
          <cell r="H1161" t="str">
            <v>FX</v>
          </cell>
          <cell r="I1161" t="str">
            <v>Developed Currency</v>
          </cell>
        </row>
        <row r="1162">
          <cell r="A1162" t="str">
            <v>[THB_FX_USD-EUR_FX_USD]</v>
          </cell>
          <cell r="B1162" t="str">
            <v>THB/EUR</v>
          </cell>
          <cell r="C1162" t="str">
            <v>Foreign Exchange:THB/USD</v>
          </cell>
          <cell r="E1162" t="str">
            <v>FX</v>
          </cell>
          <cell r="F1162" t="str">
            <v>FX-Emerging Currency</v>
          </cell>
          <cell r="G1162" t="str">
            <v>FX-Emerging Currency</v>
          </cell>
          <cell r="H1162" t="str">
            <v>FX</v>
          </cell>
          <cell r="I1162" t="str">
            <v>Emerging Currency</v>
          </cell>
        </row>
        <row r="1163">
          <cell r="A1163" t="str">
            <v>[TND_FX_USD-EUR_FX_USD]</v>
          </cell>
          <cell r="B1163" t="str">
            <v>TND/EUR</v>
          </cell>
          <cell r="C1163" t="str">
            <v>Foreign Exchange:TND/USD</v>
          </cell>
          <cell r="E1163" t="str">
            <v>FX</v>
          </cell>
          <cell r="F1163" t="str">
            <v>FX-Emerging Currency</v>
          </cell>
          <cell r="G1163" t="str">
            <v>FX-Emerging Currency</v>
          </cell>
          <cell r="H1163" t="str">
            <v>FX</v>
          </cell>
          <cell r="I1163" t="str">
            <v>Emerging Currency</v>
          </cell>
        </row>
        <row r="1164">
          <cell r="A1164" t="str">
            <v>[TRY_FX_USD-EUR_FX_USD]</v>
          </cell>
          <cell r="B1164" t="str">
            <v>TRY/EUR</v>
          </cell>
          <cell r="C1164" t="str">
            <v>Foreign Exchange:TRY/USD</v>
          </cell>
          <cell r="E1164" t="str">
            <v>FX</v>
          </cell>
          <cell r="F1164" t="str">
            <v>FX-Emerging Currency</v>
          </cell>
          <cell r="G1164" t="str">
            <v>FX-Emerging Currency</v>
          </cell>
          <cell r="H1164" t="str">
            <v>FX</v>
          </cell>
          <cell r="I1164" t="str">
            <v>Emerging Currency</v>
          </cell>
        </row>
        <row r="1165">
          <cell r="A1165" t="str">
            <v>[TWD_FX_USD-EUR_FX_USD]</v>
          </cell>
          <cell r="B1165" t="str">
            <v>TWD/EUR</v>
          </cell>
          <cell r="C1165" t="str">
            <v>Foreign Exchange:TWD/USD</v>
          </cell>
          <cell r="E1165" t="str">
            <v>FX</v>
          </cell>
          <cell r="F1165" t="str">
            <v>FX-Emerging Currency</v>
          </cell>
          <cell r="G1165" t="str">
            <v>FX-Emerging Currency</v>
          </cell>
          <cell r="H1165" t="str">
            <v>FX</v>
          </cell>
          <cell r="I1165" t="str">
            <v>Emerging Currency</v>
          </cell>
        </row>
        <row r="1166">
          <cell r="A1166" t="str">
            <v>[UAH_FX_USD-EUR_FX_USD]</v>
          </cell>
          <cell r="B1166" t="str">
            <v>UAH/EUR</v>
          </cell>
          <cell r="C1166" t="str">
            <v>Foreign Exchange:UAH/USD</v>
          </cell>
          <cell r="E1166" t="str">
            <v>FX</v>
          </cell>
          <cell r="F1166" t="str">
            <v>FX-Emerging Currency</v>
          </cell>
          <cell r="G1166" t="str">
            <v>FX-Emerging Currency</v>
          </cell>
          <cell r="H1166" t="str">
            <v>FX</v>
          </cell>
          <cell r="I1166" t="str">
            <v>Emerging Currency</v>
          </cell>
        </row>
        <row r="1167">
          <cell r="A1167" t="str">
            <v>[USD_FX_USD-EUR_FX_USD]</v>
          </cell>
          <cell r="B1167" t="str">
            <v>USD/EUR</v>
          </cell>
          <cell r="C1167" t="str">
            <v>Foreign Exchange:USD/USD</v>
          </cell>
          <cell r="E1167" t="str">
            <v>FX</v>
          </cell>
          <cell r="F1167" t="str">
            <v>FX-USD</v>
          </cell>
          <cell r="G1167" t="str">
            <v>FX-USD</v>
          </cell>
          <cell r="H1167" t="str">
            <v>FX</v>
          </cell>
          <cell r="I1167" t="str">
            <v>USD</v>
          </cell>
        </row>
        <row r="1168">
          <cell r="A1168" t="str">
            <v>[UYU_FX_USD-EUR_FX_USD]</v>
          </cell>
          <cell r="B1168" t="str">
            <v>UYU/EUR</v>
          </cell>
          <cell r="C1168" t="str">
            <v>Foreign Exchange:UYU/USD</v>
          </cell>
          <cell r="E1168" t="str">
            <v>FX</v>
          </cell>
          <cell r="F1168" t="str">
            <v>FX-Emerging Currency</v>
          </cell>
          <cell r="G1168" t="str">
            <v>FX-Emerging Currency</v>
          </cell>
          <cell r="H1168" t="str">
            <v>FX</v>
          </cell>
          <cell r="I1168" t="str">
            <v>Emerging Currency</v>
          </cell>
        </row>
        <row r="1169">
          <cell r="A1169" t="str">
            <v>[VND_FX_USD-EUR_FX_USD]</v>
          </cell>
          <cell r="B1169" t="str">
            <v>VND/EUR</v>
          </cell>
          <cell r="C1169" t="str">
            <v>Foreign Exchange:VND/USD</v>
          </cell>
          <cell r="E1169" t="str">
            <v>FX</v>
          </cell>
          <cell r="F1169" t="str">
            <v>FX-Emerging Currency</v>
          </cell>
          <cell r="G1169" t="str">
            <v>FX-Emerging Currency</v>
          </cell>
          <cell r="H1169" t="str">
            <v>FX</v>
          </cell>
          <cell r="I1169" t="str">
            <v>Emerging Currency</v>
          </cell>
        </row>
        <row r="1170">
          <cell r="A1170" t="str">
            <v>[ZAR_FX_USD-EUR_FX_USD]</v>
          </cell>
          <cell r="B1170" t="str">
            <v>ZAR/EUR</v>
          </cell>
          <cell r="C1170" t="str">
            <v>Foreign Exchange:ZAR/USD</v>
          </cell>
          <cell r="E1170" t="str">
            <v>FX</v>
          </cell>
          <cell r="F1170" t="str">
            <v>FX-Emerging Currency</v>
          </cell>
          <cell r="G1170" t="str">
            <v>FX-Emerging Currency</v>
          </cell>
          <cell r="H1170" t="str">
            <v>FX</v>
          </cell>
          <cell r="I1170" t="str">
            <v>Emerging Currency</v>
          </cell>
        </row>
        <row r="1171">
          <cell r="A1171" t="str">
            <v>[ZMW_FX_USD-EUR_FX_USD]</v>
          </cell>
          <cell r="B1171" t="str">
            <v>ZMW/EUR</v>
          </cell>
          <cell r="C1171" t="str">
            <v>Foreign Exchange:ZMW/USD</v>
          </cell>
          <cell r="E1171" t="str">
            <v>FX</v>
          </cell>
          <cell r="F1171" t="str">
            <v>FX-Emerging Currency</v>
          </cell>
          <cell r="G1171" t="str">
            <v>FX-Emerging Currency</v>
          </cell>
          <cell r="H1171" t="str">
            <v>FX</v>
          </cell>
          <cell r="I1171" t="str">
            <v>Emerging Currency</v>
          </cell>
        </row>
        <row r="1172">
          <cell r="A1172" t="str">
            <v>[ANG_FX_USD-EUR_FX_USD]</v>
          </cell>
          <cell r="B1172" t="str">
            <v>ANG/EUR</v>
          </cell>
          <cell r="E1172" t="str">
            <v>FX</v>
          </cell>
          <cell r="F1172" t="str">
            <v>FX-Developed Currency</v>
          </cell>
          <cell r="G1172" t="str">
            <v>FX-Developed Currency</v>
          </cell>
          <cell r="H1172" t="str">
            <v>FX</v>
          </cell>
          <cell r="I1172" t="str">
            <v>Developed Currency</v>
          </cell>
        </row>
        <row r="1173">
          <cell r="A1173" t="str">
            <v>[BAM_FX_USD-EUR_FX_USD]</v>
          </cell>
          <cell r="B1173" t="str">
            <v>BAM/EUR</v>
          </cell>
          <cell r="E1173" t="str">
            <v>FX</v>
          </cell>
          <cell r="F1173" t="str">
            <v>FX-Emerging Currency</v>
          </cell>
          <cell r="G1173" t="str">
            <v>FX-Emerging Currency</v>
          </cell>
          <cell r="H1173" t="str">
            <v>FX</v>
          </cell>
          <cell r="I1173" t="str">
            <v>Emerging Currency</v>
          </cell>
        </row>
        <row r="1174">
          <cell r="A1174" t="str">
            <v>[BGN_FX_USD-EUR_FX_USD]</v>
          </cell>
          <cell r="B1174" t="str">
            <v>BGN/EUR</v>
          </cell>
          <cell r="E1174" t="str">
            <v>FX</v>
          </cell>
          <cell r="F1174" t="str">
            <v>FX-Emerging Currency</v>
          </cell>
          <cell r="G1174" t="str">
            <v>FX-Emerging Currency</v>
          </cell>
          <cell r="H1174" t="str">
            <v>FX</v>
          </cell>
          <cell r="I1174" t="str">
            <v>Emerging Currency</v>
          </cell>
        </row>
        <row r="1175">
          <cell r="A1175" t="str">
            <v>[BMD_FX_USD-EUR_FX_USD]</v>
          </cell>
          <cell r="B1175" t="str">
            <v>BMD/EUR</v>
          </cell>
          <cell r="E1175" t="str">
            <v>FX</v>
          </cell>
          <cell r="F1175" t="str">
            <v>FX-Emerging Currency</v>
          </cell>
          <cell r="G1175" t="str">
            <v>FX-Emerging Currency</v>
          </cell>
          <cell r="H1175" t="str">
            <v>FX</v>
          </cell>
          <cell r="I1175" t="str">
            <v>Emerging Currency</v>
          </cell>
        </row>
        <row r="1176">
          <cell r="A1176" t="str">
            <v>[BWP_FX_USD-EUR_FX_USD]</v>
          </cell>
          <cell r="B1176" t="str">
            <v>BWP/EUR</v>
          </cell>
          <cell r="E1176" t="str">
            <v>FX</v>
          </cell>
          <cell r="F1176" t="str">
            <v>FX-Emerging Currency</v>
          </cell>
          <cell r="G1176" t="str">
            <v>FX-Emerging Currency</v>
          </cell>
          <cell r="H1176" t="str">
            <v>FX</v>
          </cell>
          <cell r="I1176" t="str">
            <v>Emerging Currency</v>
          </cell>
        </row>
        <row r="1177">
          <cell r="A1177" t="str">
            <v>[CLF_FX_USD-EUR_FX_USD]</v>
          </cell>
          <cell r="B1177" t="str">
            <v>CLF/EUR</v>
          </cell>
          <cell r="E1177" t="str">
            <v>FX</v>
          </cell>
          <cell r="F1177" t="str">
            <v>FX-Emerging Currency</v>
          </cell>
          <cell r="G1177" t="str">
            <v>FX-Emerging Currency</v>
          </cell>
          <cell r="H1177" t="str">
            <v>FX</v>
          </cell>
          <cell r="I1177" t="str">
            <v>Emerging Currency</v>
          </cell>
        </row>
        <row r="1178">
          <cell r="A1178" t="str">
            <v>[COU_FX_USD-EUR_FX_USD]</v>
          </cell>
          <cell r="B1178" t="str">
            <v>COU/EUR</v>
          </cell>
          <cell r="E1178" t="str">
            <v>FX</v>
          </cell>
          <cell r="F1178" t="str">
            <v>FX-Emerging Currency</v>
          </cell>
          <cell r="G1178" t="str">
            <v>FX-Emerging Currency</v>
          </cell>
          <cell r="H1178" t="str">
            <v>FX</v>
          </cell>
          <cell r="I1178" t="str">
            <v>Emerging Currency</v>
          </cell>
        </row>
        <row r="1179">
          <cell r="A1179" t="str">
            <v>[CRC_FX_USD-EUR_FX_USD]</v>
          </cell>
          <cell r="B1179" t="str">
            <v>CRC/EUR</v>
          </cell>
          <cell r="E1179" t="str">
            <v>FX</v>
          </cell>
          <cell r="F1179" t="str">
            <v>FX-Emerging Currency</v>
          </cell>
          <cell r="G1179" t="str">
            <v>FX-Emerging Currency</v>
          </cell>
          <cell r="H1179" t="str">
            <v>FX</v>
          </cell>
          <cell r="I1179" t="str">
            <v>Emerging Currency</v>
          </cell>
        </row>
        <row r="1180">
          <cell r="A1180" t="str">
            <v>[ECS_FX_USD-EUR_FX_USD]</v>
          </cell>
          <cell r="B1180" t="str">
            <v>ECS/EUR</v>
          </cell>
          <cell r="E1180" t="str">
            <v>FX</v>
          </cell>
          <cell r="F1180" t="str">
            <v>FX-Emerging Currency</v>
          </cell>
          <cell r="G1180" t="str">
            <v>FX-Emerging Currency</v>
          </cell>
          <cell r="H1180" t="str">
            <v>FX</v>
          </cell>
          <cell r="I1180" t="str">
            <v>Emerging Currency</v>
          </cell>
        </row>
        <row r="1181">
          <cell r="A1181" t="str">
            <v>[EEK_FX_USD-EUR_FX_USD]</v>
          </cell>
          <cell r="B1181" t="str">
            <v>EEK/EUR</v>
          </cell>
          <cell r="E1181" t="str">
            <v>FX</v>
          </cell>
          <cell r="F1181" t="str">
            <v>FX-Emerging Currency</v>
          </cell>
          <cell r="G1181" t="str">
            <v>FX-Emerging Currency</v>
          </cell>
          <cell r="H1181" t="str">
            <v>FX</v>
          </cell>
          <cell r="I1181" t="str">
            <v>Emerging Currency</v>
          </cell>
        </row>
        <row r="1182">
          <cell r="A1182" t="str">
            <v>[HNL_FX_USD-EUR_FX_USD]</v>
          </cell>
          <cell r="B1182" t="str">
            <v>HNL/EUR</v>
          </cell>
          <cell r="E1182" t="str">
            <v>FX</v>
          </cell>
          <cell r="F1182" t="str">
            <v>FX-Emerging Currency</v>
          </cell>
          <cell r="G1182" t="str">
            <v>FX-Emerging Currency</v>
          </cell>
          <cell r="H1182" t="str">
            <v>FX</v>
          </cell>
          <cell r="I1182" t="str">
            <v>Emerging Currency</v>
          </cell>
        </row>
        <row r="1183">
          <cell r="A1183" t="str">
            <v>[JMD_FX_USD-EUR_FX_USD]</v>
          </cell>
          <cell r="B1183" t="str">
            <v>JMD/EUR</v>
          </cell>
          <cell r="E1183" t="str">
            <v>FX</v>
          </cell>
          <cell r="F1183" t="str">
            <v>FX-Emerging Currency</v>
          </cell>
          <cell r="G1183" t="str">
            <v>FX-Emerging Currency</v>
          </cell>
          <cell r="H1183" t="str">
            <v>FX</v>
          </cell>
          <cell r="I1183" t="str">
            <v>Emerging Currency</v>
          </cell>
        </row>
        <row r="1184">
          <cell r="A1184" t="str">
            <v>[LBP_FX_USD-EUR_FX_USD]</v>
          </cell>
          <cell r="B1184" t="str">
            <v>LBP/EUR</v>
          </cell>
          <cell r="E1184" t="str">
            <v>FX</v>
          </cell>
          <cell r="F1184" t="str">
            <v>FX-Emerging Currency</v>
          </cell>
          <cell r="G1184" t="str">
            <v>FX-Emerging Currency</v>
          </cell>
          <cell r="H1184" t="str">
            <v>FX</v>
          </cell>
          <cell r="I1184" t="str">
            <v>Emerging Currency</v>
          </cell>
        </row>
        <row r="1185">
          <cell r="A1185" t="str">
            <v>[LTL_FX_USD-EUR_FX_USD]</v>
          </cell>
          <cell r="B1185" t="str">
            <v>LTL/EUR</v>
          </cell>
          <cell r="E1185" t="str">
            <v>FX</v>
          </cell>
          <cell r="F1185" t="str">
            <v>FX-Emerging Currency</v>
          </cell>
          <cell r="G1185" t="str">
            <v>FX-Emerging Currency</v>
          </cell>
          <cell r="H1185" t="str">
            <v>FX</v>
          </cell>
          <cell r="I1185" t="str">
            <v>Emerging Currency</v>
          </cell>
        </row>
        <row r="1186">
          <cell r="A1186" t="str">
            <v>[LUF_FX_USD-EUR_FX_USD]</v>
          </cell>
          <cell r="B1186" t="str">
            <v>LUF/EUR</v>
          </cell>
          <cell r="E1186" t="str">
            <v>FX</v>
          </cell>
          <cell r="F1186" t="str">
            <v>FX-Developed Currency</v>
          </cell>
          <cell r="G1186" t="str">
            <v>FX-Developed Currency</v>
          </cell>
          <cell r="H1186" t="str">
            <v>FX</v>
          </cell>
          <cell r="I1186" t="str">
            <v>Developed Currency</v>
          </cell>
        </row>
        <row r="1187">
          <cell r="A1187" t="str">
            <v>[LVL_FX_USD-EUR_FX_USD]</v>
          </cell>
          <cell r="B1187" t="str">
            <v>LVL/EUR</v>
          </cell>
          <cell r="E1187" t="str">
            <v>FX</v>
          </cell>
          <cell r="F1187" t="str">
            <v>FX-Emerging Currency</v>
          </cell>
          <cell r="G1187" t="str">
            <v>FX-Emerging Currency</v>
          </cell>
          <cell r="H1187" t="str">
            <v>FX</v>
          </cell>
          <cell r="I1187" t="str">
            <v>Emerging Currency</v>
          </cell>
        </row>
        <row r="1188">
          <cell r="A1188" t="str">
            <v>[MXV_FX_USD-EUR_FX_USD]</v>
          </cell>
          <cell r="B1188" t="str">
            <v>MXV/EUR</v>
          </cell>
          <cell r="E1188" t="str">
            <v>FX</v>
          </cell>
          <cell r="F1188" t="str">
            <v>FX-Emerging Currency</v>
          </cell>
          <cell r="G1188" t="str">
            <v>FX-Emerging Currency</v>
          </cell>
          <cell r="H1188" t="str">
            <v>FX</v>
          </cell>
          <cell r="I1188" t="str">
            <v>Emerging Currency</v>
          </cell>
        </row>
        <row r="1189">
          <cell r="A1189" t="str">
            <v>[NAD_FX_USD-EUR_FX_USD]</v>
          </cell>
          <cell r="B1189" t="str">
            <v>NAD/EUR</v>
          </cell>
          <cell r="E1189" t="str">
            <v>FX</v>
          </cell>
          <cell r="F1189" t="str">
            <v>FX-Emerging Currency</v>
          </cell>
          <cell r="G1189" t="str">
            <v>FX-Emerging Currency</v>
          </cell>
          <cell r="H1189" t="str">
            <v>FX</v>
          </cell>
          <cell r="I1189" t="str">
            <v>Emerging Currency</v>
          </cell>
        </row>
        <row r="1190">
          <cell r="A1190" t="str">
            <v>[NLG_FX_USD-EUR_FX_USD]</v>
          </cell>
          <cell r="B1190" t="str">
            <v>NLG/EUR</v>
          </cell>
          <cell r="E1190" t="str">
            <v>FX</v>
          </cell>
          <cell r="F1190" t="str">
            <v>FX-Developed Currency</v>
          </cell>
          <cell r="G1190" t="str">
            <v>FX-Developed Currency</v>
          </cell>
          <cell r="H1190" t="str">
            <v>FX</v>
          </cell>
          <cell r="I1190" t="str">
            <v>Developed Currency</v>
          </cell>
        </row>
        <row r="1191">
          <cell r="A1191" t="str">
            <v>[PYG_FX_USD-EUR_FX_USD]</v>
          </cell>
          <cell r="B1191" t="str">
            <v>PYG/EUR</v>
          </cell>
          <cell r="E1191" t="str">
            <v>FX</v>
          </cell>
          <cell r="F1191" t="str">
            <v>FX-Emerging Currency</v>
          </cell>
          <cell r="G1191" t="str">
            <v>FX-Emerging Currency</v>
          </cell>
          <cell r="H1191" t="str">
            <v>FX</v>
          </cell>
          <cell r="I1191" t="str">
            <v>Emerging Currency</v>
          </cell>
        </row>
        <row r="1192">
          <cell r="A1192" t="str">
            <v>[SIT_FX_USD-EUR_FX_USD]</v>
          </cell>
          <cell r="B1192" t="str">
            <v>SIT/EUR</v>
          </cell>
          <cell r="E1192" t="str">
            <v>FX</v>
          </cell>
          <cell r="F1192" t="str">
            <v>FX-Emerging Currency</v>
          </cell>
          <cell r="G1192" t="str">
            <v>FX-Emerging Currency</v>
          </cell>
          <cell r="H1192" t="str">
            <v>FX</v>
          </cell>
          <cell r="I1192" t="str">
            <v>Emerging Currency</v>
          </cell>
        </row>
        <row r="1193">
          <cell r="A1193" t="str">
            <v>[SKK_FX_USD-EUR_FX_USD]</v>
          </cell>
          <cell r="B1193" t="str">
            <v>SKK/EUR</v>
          </cell>
          <cell r="E1193" t="str">
            <v>FX</v>
          </cell>
          <cell r="F1193" t="str">
            <v>FX-Emerging Currency</v>
          </cell>
          <cell r="G1193" t="str">
            <v>FX-Emerging Currency</v>
          </cell>
          <cell r="H1193" t="str">
            <v>FX</v>
          </cell>
          <cell r="I1193" t="str">
            <v>Emerging Currency</v>
          </cell>
        </row>
        <row r="1194">
          <cell r="A1194" t="str">
            <v>[TRL_FX_USD-EUR_FX_USD]</v>
          </cell>
          <cell r="B1194" t="str">
            <v>TRL/EUR</v>
          </cell>
          <cell r="E1194" t="str">
            <v>FX</v>
          </cell>
          <cell r="F1194" t="str">
            <v>FX-Emerging Currency</v>
          </cell>
          <cell r="G1194" t="str">
            <v>FX-Emerging Currency</v>
          </cell>
          <cell r="H1194" t="str">
            <v>FX</v>
          </cell>
          <cell r="I1194" t="str">
            <v>Emerging Currency</v>
          </cell>
        </row>
        <row r="1195">
          <cell r="A1195" t="str">
            <v>[TTD_FX_USD-EUR_FX_USD]</v>
          </cell>
          <cell r="B1195" t="str">
            <v>TTD/EUR</v>
          </cell>
          <cell r="E1195" t="str">
            <v>FX</v>
          </cell>
          <cell r="F1195" t="str">
            <v>FX-Emerging Currency</v>
          </cell>
          <cell r="G1195" t="str">
            <v>FX-Emerging Currency</v>
          </cell>
          <cell r="H1195" t="str">
            <v>FX</v>
          </cell>
          <cell r="I1195" t="str">
            <v>Emerging Currency</v>
          </cell>
        </row>
        <row r="1196">
          <cell r="A1196" t="str">
            <v>[TZS_FX_USD-EUR_FX_USD]</v>
          </cell>
          <cell r="B1196" t="str">
            <v>TZS/EUR</v>
          </cell>
          <cell r="E1196" t="str">
            <v>FX</v>
          </cell>
          <cell r="F1196" t="str">
            <v>FX-Emerging Currency</v>
          </cell>
          <cell r="G1196" t="str">
            <v>FX-Emerging Currency</v>
          </cell>
          <cell r="H1196" t="str">
            <v>FX</v>
          </cell>
          <cell r="I1196" t="str">
            <v>Emerging Currency</v>
          </cell>
        </row>
        <row r="1197">
          <cell r="A1197" t="str">
            <v>[UGX_FX_USD-EUR_FX_USD]</v>
          </cell>
          <cell r="B1197" t="str">
            <v>UGX/EUR</v>
          </cell>
          <cell r="E1197" t="str">
            <v>FX</v>
          </cell>
          <cell r="F1197" t="str">
            <v>FX-Emerging Currency</v>
          </cell>
          <cell r="G1197" t="str">
            <v>FX-Emerging Currency</v>
          </cell>
          <cell r="H1197" t="str">
            <v>FX</v>
          </cell>
          <cell r="I1197" t="str">
            <v>Emerging Currency</v>
          </cell>
        </row>
        <row r="1198">
          <cell r="A1198" t="str">
            <v>[VEB_FX_USD-EUR_FX_USD]</v>
          </cell>
          <cell r="B1198" t="str">
            <v>VEB/EUR</v>
          </cell>
          <cell r="E1198" t="str">
            <v>FX</v>
          </cell>
          <cell r="F1198" t="str">
            <v>FX-Emerging Currency</v>
          </cell>
          <cell r="G1198" t="str">
            <v>FX-Emerging Currency</v>
          </cell>
          <cell r="H1198" t="str">
            <v>FX</v>
          </cell>
          <cell r="I1198" t="str">
            <v>Emerging Currency</v>
          </cell>
        </row>
        <row r="1199">
          <cell r="A1199" t="str">
            <v>[VEF_FX_USD-EUR_FX_USD]</v>
          </cell>
          <cell r="B1199" t="str">
            <v>VEF/EUR</v>
          </cell>
          <cell r="E1199" t="str">
            <v>FX</v>
          </cell>
          <cell r="F1199" t="str">
            <v>FX-Emerging Currency</v>
          </cell>
          <cell r="G1199" t="str">
            <v>FX-Emerging Currency</v>
          </cell>
          <cell r="H1199" t="str">
            <v>FX</v>
          </cell>
          <cell r="I1199" t="str">
            <v>Emerging Currency</v>
          </cell>
        </row>
        <row r="1200">
          <cell r="A1200" t="str">
            <v>[XOF_FX_USD-EUR_FX_USD]</v>
          </cell>
          <cell r="B1200" t="str">
            <v>XOF/EUR</v>
          </cell>
          <cell r="E1200" t="str">
            <v>FX</v>
          </cell>
          <cell r="F1200" t="str">
            <v>FX-Emerging Currency</v>
          </cell>
          <cell r="G1200" t="str">
            <v>FX-Emerging Currency</v>
          </cell>
          <cell r="H1200" t="str">
            <v>FX</v>
          </cell>
          <cell r="I1200" t="str">
            <v>Emerging Currency</v>
          </cell>
        </row>
        <row r="1201">
          <cell r="A1201" t="str">
            <v>[ZMK_FX_USD-EUR_FX_USD]</v>
          </cell>
          <cell r="B1201" t="str">
            <v>ZMK/EUR</v>
          </cell>
          <cell r="E1201" t="str">
            <v>FX</v>
          </cell>
          <cell r="F1201" t="str">
            <v>FX-Emerging Currency</v>
          </cell>
          <cell r="G1201" t="str">
            <v>FX-Emerging Currency</v>
          </cell>
          <cell r="H1201" t="str">
            <v>FX</v>
          </cell>
          <cell r="I1201" t="str">
            <v>Emerging Currency</v>
          </cell>
        </row>
        <row r="1202">
          <cell r="A1202" t="str">
            <v>[ZWD_FX_USD-EUR_FX_USD]</v>
          </cell>
          <cell r="B1202" t="str">
            <v>ZWD/EUR</v>
          </cell>
          <cell r="E1202" t="str">
            <v>FX</v>
          </cell>
          <cell r="F1202" t="str">
            <v>FX-Emerging Currency</v>
          </cell>
          <cell r="G1202" t="str">
            <v>FX-Emerging Currency</v>
          </cell>
          <cell r="H1202" t="str">
            <v>FX</v>
          </cell>
          <cell r="I1202" t="str">
            <v>Emerging Currency</v>
          </cell>
        </row>
        <row r="1203">
          <cell r="A1203" t="str">
            <v>[ZWR_FX_USD-EUR_FX_USD]</v>
          </cell>
          <cell r="B1203" t="str">
            <v>ZWR/EUR</v>
          </cell>
          <cell r="E1203" t="str">
            <v>FX</v>
          </cell>
          <cell r="F1203" t="str">
            <v>FX-Emerging Currency</v>
          </cell>
          <cell r="G1203" t="str">
            <v>FX-Emerging Currency</v>
          </cell>
          <cell r="H1203" t="str">
            <v>FX</v>
          </cell>
          <cell r="I1203" t="str">
            <v>Emerging Currency</v>
          </cell>
        </row>
        <row r="1204">
          <cell r="A1204" t="str">
            <v>[AFN_FX_USD-EUR_FX_USD]</v>
          </cell>
          <cell r="B1204" t="str">
            <v>AFN/EUR</v>
          </cell>
          <cell r="E1204" t="str">
            <v>FX</v>
          </cell>
          <cell r="F1204" t="str">
            <v>FX-Emerging Currency</v>
          </cell>
          <cell r="G1204" t="str">
            <v>FX-Emerging Currency</v>
          </cell>
          <cell r="H1204" t="str">
            <v>FX</v>
          </cell>
          <cell r="I1204" t="str">
            <v>Emerging Currency</v>
          </cell>
        </row>
        <row r="1205">
          <cell r="A1205" t="str">
            <v>[AMD_FX_USD-EUR_FX_USD]</v>
          </cell>
          <cell r="B1205" t="str">
            <v>AMD/EUR</v>
          </cell>
          <cell r="E1205" t="str">
            <v>FX</v>
          </cell>
          <cell r="F1205" t="str">
            <v>FX-Emerging Currency</v>
          </cell>
          <cell r="G1205" t="str">
            <v>FX-Emerging Currency</v>
          </cell>
          <cell r="H1205" t="str">
            <v>FX</v>
          </cell>
          <cell r="I1205" t="str">
            <v>Emerging Currency</v>
          </cell>
        </row>
        <row r="1206">
          <cell r="A1206" t="str">
            <v>[AOA_FX_USD-EUR_FX_USD]</v>
          </cell>
          <cell r="B1206" t="str">
            <v>AOA/EUR</v>
          </cell>
          <cell r="E1206" t="str">
            <v>FX</v>
          </cell>
          <cell r="F1206" t="str">
            <v>FX-Emerging Currency</v>
          </cell>
          <cell r="G1206" t="str">
            <v>FX-Emerging Currency</v>
          </cell>
          <cell r="H1206" t="str">
            <v>FX</v>
          </cell>
          <cell r="I1206" t="str">
            <v>Emerging Currency</v>
          </cell>
        </row>
        <row r="1207">
          <cell r="A1207" t="str">
            <v>[AWG_FX_USD-EUR_FX_USD]</v>
          </cell>
          <cell r="B1207" t="str">
            <v>AWG/EUR</v>
          </cell>
          <cell r="E1207" t="str">
            <v>FX</v>
          </cell>
          <cell r="F1207" t="str">
            <v>FX-Emerging Currency</v>
          </cell>
          <cell r="G1207" t="str">
            <v>FX-Emerging Currency</v>
          </cell>
          <cell r="H1207" t="str">
            <v>FX</v>
          </cell>
          <cell r="I1207" t="str">
            <v>Emerging Currency</v>
          </cell>
        </row>
        <row r="1208">
          <cell r="A1208" t="str">
            <v>[AZN_FX_USD-EUR_FX_USD]</v>
          </cell>
          <cell r="B1208" t="str">
            <v>AZN/EUR</v>
          </cell>
          <cell r="E1208" t="str">
            <v>FX</v>
          </cell>
          <cell r="F1208" t="str">
            <v>FX-Emerging Currency</v>
          </cell>
          <cell r="G1208" t="str">
            <v>FX-Emerging Currency</v>
          </cell>
          <cell r="H1208" t="str">
            <v>FX</v>
          </cell>
          <cell r="I1208" t="str">
            <v>Emerging Currency</v>
          </cell>
        </row>
        <row r="1209">
          <cell r="A1209" t="str">
            <v>[BBD_FX_USD-EUR_FX_USD]</v>
          </cell>
          <cell r="B1209" t="str">
            <v>BBD/EUR</v>
          </cell>
          <cell r="E1209" t="str">
            <v>FX</v>
          </cell>
          <cell r="F1209" t="str">
            <v>FX-Emerging Currency</v>
          </cell>
          <cell r="G1209" t="str">
            <v>FX-Emerging Currency</v>
          </cell>
          <cell r="H1209" t="str">
            <v>FX</v>
          </cell>
          <cell r="I1209" t="str">
            <v>Emerging Currency</v>
          </cell>
        </row>
        <row r="1210">
          <cell r="A1210" t="str">
            <v>[BIF_FX_USD-EUR_FX_USD]</v>
          </cell>
          <cell r="B1210" t="str">
            <v>BIF/EUR</v>
          </cell>
          <cell r="E1210" t="str">
            <v>FX</v>
          </cell>
          <cell r="F1210" t="str">
            <v>FX-Emerging Currency</v>
          </cell>
          <cell r="G1210" t="str">
            <v>FX-Emerging Currency</v>
          </cell>
          <cell r="H1210" t="str">
            <v>FX</v>
          </cell>
          <cell r="I1210" t="str">
            <v>Emerging Currency</v>
          </cell>
        </row>
        <row r="1211">
          <cell r="A1211" t="str">
            <v>[BYR_FX_USD-EUR_FX_USD]</v>
          </cell>
          <cell r="B1211" t="str">
            <v>BYR/EUR</v>
          </cell>
          <cell r="E1211" t="str">
            <v>FX</v>
          </cell>
          <cell r="F1211" t="str">
            <v>FX-Emerging Currency</v>
          </cell>
          <cell r="G1211" t="str">
            <v>FX-Emerging Currency</v>
          </cell>
          <cell r="H1211" t="str">
            <v>FX</v>
          </cell>
          <cell r="I1211" t="str">
            <v>Emerging Currency</v>
          </cell>
        </row>
        <row r="1212">
          <cell r="A1212" t="str">
            <v>[BZD_FX_USD-EUR_FX_USD]</v>
          </cell>
          <cell r="B1212" t="str">
            <v>BZD/EUR</v>
          </cell>
          <cell r="E1212" t="str">
            <v>FX</v>
          </cell>
          <cell r="F1212" t="str">
            <v>FX-Emerging Currency</v>
          </cell>
          <cell r="G1212" t="str">
            <v>FX-Emerging Currency</v>
          </cell>
          <cell r="H1212" t="str">
            <v>FX</v>
          </cell>
          <cell r="I1212" t="str">
            <v>Emerging Currency</v>
          </cell>
        </row>
        <row r="1213">
          <cell r="A1213" t="str">
            <v>[CYP_FX_USD-EUR_FX_USD]</v>
          </cell>
          <cell r="B1213" t="str">
            <v>CYP/EUR</v>
          </cell>
          <cell r="E1213" t="str">
            <v>FX</v>
          </cell>
          <cell r="F1213" t="str">
            <v>FX-Emerging Currency</v>
          </cell>
          <cell r="G1213" t="str">
            <v>FX-Emerging Currency</v>
          </cell>
          <cell r="H1213" t="str">
            <v>FX</v>
          </cell>
          <cell r="I1213" t="str">
            <v>Emerging Currency</v>
          </cell>
        </row>
        <row r="1214">
          <cell r="A1214" t="str">
            <v>[DZD_FX_USD-EUR_FX_USD]</v>
          </cell>
          <cell r="B1214" t="str">
            <v>DZD/EUR</v>
          </cell>
          <cell r="E1214" t="str">
            <v>FX</v>
          </cell>
          <cell r="F1214" t="str">
            <v>FX-Emerging Currency</v>
          </cell>
          <cell r="G1214" t="str">
            <v>FX-Emerging Currency</v>
          </cell>
          <cell r="H1214" t="str">
            <v>FX</v>
          </cell>
          <cell r="I1214" t="str">
            <v>Emerging Currency</v>
          </cell>
        </row>
        <row r="1215">
          <cell r="A1215" t="str">
            <v>[GEL_FX_USD-EUR_FX_USD]</v>
          </cell>
          <cell r="B1215" t="str">
            <v>GEL/EUR</v>
          </cell>
          <cell r="E1215" t="str">
            <v>FX</v>
          </cell>
          <cell r="F1215" t="str">
            <v>FX-Emerging Currency</v>
          </cell>
          <cell r="G1215" t="str">
            <v>FX-Emerging Currency</v>
          </cell>
          <cell r="H1215" t="str">
            <v>FX</v>
          </cell>
          <cell r="I1215" t="str">
            <v>Emerging Currency</v>
          </cell>
        </row>
        <row r="1216">
          <cell r="A1216" t="str">
            <v>[GTQ_FX_USD-EUR_FX_USD]</v>
          </cell>
          <cell r="B1216" t="str">
            <v>GTQ/EUR</v>
          </cell>
          <cell r="E1216" t="str">
            <v>FX</v>
          </cell>
          <cell r="F1216" t="str">
            <v>FX-Emerging Currency</v>
          </cell>
          <cell r="G1216" t="str">
            <v>FX-Emerging Currency</v>
          </cell>
          <cell r="H1216" t="str">
            <v>FX</v>
          </cell>
          <cell r="I1216" t="str">
            <v>Emerging Currency</v>
          </cell>
        </row>
        <row r="1217">
          <cell r="A1217" t="str">
            <v>[GYD_FX_USD-EUR_FX_USD]</v>
          </cell>
          <cell r="B1217" t="str">
            <v>GYD/EUR</v>
          </cell>
          <cell r="E1217" t="str">
            <v>FX</v>
          </cell>
          <cell r="F1217" t="str">
            <v>FX-Emerging Currency</v>
          </cell>
          <cell r="G1217" t="str">
            <v>FX-Emerging Currency</v>
          </cell>
          <cell r="H1217" t="str">
            <v>FX</v>
          </cell>
          <cell r="I1217" t="str">
            <v>Emerging Currency</v>
          </cell>
        </row>
        <row r="1218">
          <cell r="A1218" t="str">
            <v>[IRR_FX_USD-EUR_FX_USD]</v>
          </cell>
          <cell r="B1218" t="str">
            <v>IRR/EUR</v>
          </cell>
          <cell r="E1218" t="str">
            <v>FX</v>
          </cell>
          <cell r="F1218" t="str">
            <v>FX-Emerging Currency</v>
          </cell>
          <cell r="G1218" t="str">
            <v>FX-Emerging Currency</v>
          </cell>
          <cell r="H1218" t="str">
            <v>FX</v>
          </cell>
          <cell r="I1218" t="str">
            <v>Emerging Currency</v>
          </cell>
        </row>
        <row r="1219">
          <cell r="A1219" t="str">
            <v>[KHR_FX_USD-EUR_FX_USD]</v>
          </cell>
          <cell r="B1219" t="str">
            <v>KHR/EUR</v>
          </cell>
          <cell r="E1219" t="str">
            <v>FX</v>
          </cell>
          <cell r="F1219" t="str">
            <v>FX-Emerging Currency</v>
          </cell>
          <cell r="G1219" t="str">
            <v>FX-Emerging Currency</v>
          </cell>
          <cell r="H1219" t="str">
            <v>FX</v>
          </cell>
          <cell r="I1219" t="str">
            <v>Emerging Currency</v>
          </cell>
        </row>
        <row r="1220">
          <cell r="A1220" t="str">
            <v>[KMF_FX_USD-EUR_FX_USD]</v>
          </cell>
          <cell r="B1220" t="str">
            <v>KMF/EUR</v>
          </cell>
          <cell r="E1220" t="str">
            <v>FX</v>
          </cell>
          <cell r="F1220" t="str">
            <v>FX-Emerging Currency</v>
          </cell>
          <cell r="G1220" t="str">
            <v>FX-Emerging Currency</v>
          </cell>
          <cell r="H1220" t="str">
            <v>FX</v>
          </cell>
          <cell r="I1220" t="str">
            <v>Emerging Currency</v>
          </cell>
        </row>
        <row r="1221">
          <cell r="A1221" t="str">
            <v>[KYD_FX_USD-EUR_FX_USD]</v>
          </cell>
          <cell r="B1221" t="str">
            <v>KYD/EUR</v>
          </cell>
          <cell r="E1221" t="str">
            <v>FX</v>
          </cell>
          <cell r="F1221" t="str">
            <v>FX-Emerging Currency</v>
          </cell>
          <cell r="G1221" t="str">
            <v>FX-Emerging Currency</v>
          </cell>
          <cell r="H1221" t="str">
            <v>FX</v>
          </cell>
          <cell r="I1221" t="str">
            <v>Emerging Currency</v>
          </cell>
        </row>
        <row r="1222">
          <cell r="A1222" t="str">
            <v>[LRD_FX_USD-EUR_FX_USD]</v>
          </cell>
          <cell r="B1222" t="str">
            <v>LRD/EUR</v>
          </cell>
          <cell r="E1222" t="str">
            <v>FX</v>
          </cell>
          <cell r="F1222" t="str">
            <v>FX-Emerging Currency</v>
          </cell>
          <cell r="G1222" t="str">
            <v>FX-Emerging Currency</v>
          </cell>
          <cell r="H1222" t="str">
            <v>FX</v>
          </cell>
          <cell r="I1222" t="str">
            <v>Emerging Currency</v>
          </cell>
        </row>
        <row r="1223">
          <cell r="A1223" t="str">
            <v>[MDL_FX_USD-EUR_FX_USD]</v>
          </cell>
          <cell r="B1223" t="str">
            <v>MDL/EUR</v>
          </cell>
          <cell r="E1223" t="str">
            <v>FX</v>
          </cell>
          <cell r="F1223" t="str">
            <v>FX-Emerging Currency</v>
          </cell>
          <cell r="G1223" t="str">
            <v>FX-Emerging Currency</v>
          </cell>
          <cell r="H1223" t="str">
            <v>FX</v>
          </cell>
          <cell r="I1223" t="str">
            <v>Emerging Currency</v>
          </cell>
        </row>
        <row r="1224">
          <cell r="A1224" t="str">
            <v>[MGA_FX_USD-EUR_FX_USD]</v>
          </cell>
          <cell r="B1224" t="str">
            <v>MGA/EUR</v>
          </cell>
          <cell r="E1224" t="str">
            <v>FX</v>
          </cell>
          <cell r="F1224" t="str">
            <v>FX-Emerging Currency</v>
          </cell>
          <cell r="G1224" t="str">
            <v>FX-Emerging Currency</v>
          </cell>
          <cell r="H1224" t="str">
            <v>FX</v>
          </cell>
          <cell r="I1224" t="str">
            <v>Emerging Currency</v>
          </cell>
        </row>
        <row r="1225">
          <cell r="A1225" t="str">
            <v>[MMK_FX_USD-EUR_FX_USD]</v>
          </cell>
          <cell r="B1225" t="str">
            <v>MMK/EUR</v>
          </cell>
          <cell r="E1225" t="str">
            <v>FX</v>
          </cell>
          <cell r="F1225" t="str">
            <v>FX-Emerging Currency</v>
          </cell>
          <cell r="G1225" t="str">
            <v>FX-Emerging Currency</v>
          </cell>
          <cell r="H1225" t="str">
            <v>FX</v>
          </cell>
          <cell r="I1225" t="str">
            <v>Emerging Currency</v>
          </cell>
        </row>
        <row r="1226">
          <cell r="A1226" t="str">
            <v>[MNT_FX_USD-EUR_FX_USD]</v>
          </cell>
          <cell r="B1226" t="str">
            <v>MNT/EUR</v>
          </cell>
          <cell r="E1226" t="str">
            <v>FX</v>
          </cell>
          <cell r="F1226" t="str">
            <v>FX-Emerging Currency</v>
          </cell>
          <cell r="G1226" t="str">
            <v>FX-Emerging Currency</v>
          </cell>
          <cell r="H1226" t="str">
            <v>FX</v>
          </cell>
          <cell r="I1226" t="str">
            <v>Emerging Currency</v>
          </cell>
        </row>
        <row r="1227">
          <cell r="A1227" t="str">
            <v>[MOP_FX_USD-EUR_FX_USD]</v>
          </cell>
          <cell r="B1227" t="str">
            <v>MOP/EUR</v>
          </cell>
          <cell r="E1227" t="str">
            <v>FX</v>
          </cell>
          <cell r="F1227" t="str">
            <v>FX-Emerging Currency</v>
          </cell>
          <cell r="G1227" t="str">
            <v>FX-Emerging Currency</v>
          </cell>
          <cell r="H1227" t="str">
            <v>FX</v>
          </cell>
          <cell r="I1227" t="str">
            <v>Emerging Currency</v>
          </cell>
        </row>
        <row r="1228">
          <cell r="A1228" t="str">
            <v>[MWK_FX_USD-EUR_FX_USD]</v>
          </cell>
          <cell r="B1228" t="str">
            <v>MWK/EUR</v>
          </cell>
          <cell r="E1228" t="str">
            <v>FX</v>
          </cell>
          <cell r="F1228" t="str">
            <v>FX-Emerging Currency</v>
          </cell>
          <cell r="G1228" t="str">
            <v>FX-Emerging Currency</v>
          </cell>
          <cell r="H1228" t="str">
            <v>FX</v>
          </cell>
          <cell r="I1228" t="str">
            <v>Emerging Currency</v>
          </cell>
        </row>
        <row r="1229">
          <cell r="A1229" t="str">
            <v>[MZN_FX_USD-EUR_FX_USD]</v>
          </cell>
          <cell r="B1229" t="str">
            <v>MZN/EUR</v>
          </cell>
          <cell r="E1229" t="str">
            <v>FX</v>
          </cell>
          <cell r="F1229" t="str">
            <v>FX-Emerging Currency</v>
          </cell>
          <cell r="G1229" t="str">
            <v>FX-Emerging Currency</v>
          </cell>
          <cell r="H1229" t="str">
            <v>FX</v>
          </cell>
          <cell r="I1229" t="str">
            <v>Emerging Currency</v>
          </cell>
        </row>
        <row r="1230">
          <cell r="A1230" t="str">
            <v>[NPR_FX_USD-EUR_FX_USD]</v>
          </cell>
          <cell r="B1230" t="str">
            <v>NPR/EUR</v>
          </cell>
          <cell r="E1230" t="str">
            <v>FX</v>
          </cell>
          <cell r="F1230" t="str">
            <v>FX-Emerging Currency</v>
          </cell>
          <cell r="G1230" t="str">
            <v>FX-Emerging Currency</v>
          </cell>
          <cell r="H1230" t="str">
            <v>FX</v>
          </cell>
          <cell r="I1230" t="str">
            <v>Emerging Currency</v>
          </cell>
        </row>
        <row r="1231">
          <cell r="A1231" t="str">
            <v>[PAB_FX_USD-EUR_FX_USD]</v>
          </cell>
          <cell r="B1231" t="str">
            <v>PAB/EUR</v>
          </cell>
          <cell r="E1231" t="str">
            <v>FX</v>
          </cell>
          <cell r="F1231" t="str">
            <v>FX-Emerging Currency</v>
          </cell>
          <cell r="G1231" t="str">
            <v>FX-Emerging Currency</v>
          </cell>
          <cell r="H1231" t="str">
            <v>FX</v>
          </cell>
          <cell r="I1231" t="str">
            <v>Emerging Currency</v>
          </cell>
        </row>
        <row r="1232">
          <cell r="A1232" t="str">
            <v>[PGK_FX_USD-EUR_FX_USD]</v>
          </cell>
          <cell r="B1232" t="str">
            <v>PGK/EUR</v>
          </cell>
          <cell r="E1232" t="str">
            <v>FX</v>
          </cell>
          <cell r="F1232" t="str">
            <v>FX-Emerging Currency</v>
          </cell>
          <cell r="G1232" t="str">
            <v>FX-Emerging Currency</v>
          </cell>
          <cell r="H1232" t="str">
            <v>FX</v>
          </cell>
          <cell r="I1232" t="str">
            <v>Emerging Currency</v>
          </cell>
        </row>
        <row r="1233">
          <cell r="A1233" t="str">
            <v>[RWF_FX_USD-EUR_FX_USD]</v>
          </cell>
          <cell r="B1233" t="str">
            <v>RWF/EUR</v>
          </cell>
          <cell r="E1233" t="str">
            <v>FX</v>
          </cell>
          <cell r="F1233" t="str">
            <v>FX-Emerging Currency</v>
          </cell>
          <cell r="G1233" t="str">
            <v>FX-Emerging Currency</v>
          </cell>
          <cell r="H1233" t="str">
            <v>FX</v>
          </cell>
          <cell r="I1233" t="str">
            <v>Emerging Currency</v>
          </cell>
        </row>
        <row r="1234">
          <cell r="A1234" t="str">
            <v>[SSP_FX_USD-EUR_FX_USD]</v>
          </cell>
          <cell r="B1234" t="str">
            <v>SSP/EUR</v>
          </cell>
          <cell r="E1234" t="str">
            <v>FX</v>
          </cell>
          <cell r="F1234" t="str">
            <v>FX-Emerging Currency</v>
          </cell>
          <cell r="G1234" t="str">
            <v>FX-Emerging Currency</v>
          </cell>
          <cell r="H1234" t="str">
            <v>FX</v>
          </cell>
          <cell r="I1234" t="str">
            <v>Emerging Currency</v>
          </cell>
        </row>
        <row r="1235">
          <cell r="A1235" t="str">
            <v>[SVC_FX_USD-EUR_FX_USD]</v>
          </cell>
          <cell r="B1235" t="str">
            <v>SVC/EUR</v>
          </cell>
          <cell r="E1235" t="str">
            <v>FX</v>
          </cell>
          <cell r="F1235" t="str">
            <v>FX-Emerging Currency</v>
          </cell>
          <cell r="G1235" t="str">
            <v>FX-Emerging Currency</v>
          </cell>
          <cell r="H1235" t="str">
            <v>FX</v>
          </cell>
          <cell r="I1235" t="str">
            <v>Emerging Currency</v>
          </cell>
        </row>
        <row r="1236">
          <cell r="A1236" t="str">
            <v>[SZL_FX_USD-EUR_FX_USD]</v>
          </cell>
          <cell r="B1236" t="str">
            <v>SZL/EUR</v>
          </cell>
          <cell r="E1236" t="str">
            <v>FX</v>
          </cell>
          <cell r="F1236" t="str">
            <v>FX-Emerging Currency</v>
          </cell>
          <cell r="G1236" t="str">
            <v>FX-Emerging Currency</v>
          </cell>
          <cell r="H1236" t="str">
            <v>FX</v>
          </cell>
          <cell r="I1236" t="str">
            <v>Emerging Currency</v>
          </cell>
        </row>
        <row r="1237">
          <cell r="A1237" t="str">
            <v>[XAF_FX_USD-EUR_FX_USD]</v>
          </cell>
          <cell r="B1237" t="str">
            <v>XAF/EUR</v>
          </cell>
          <cell r="E1237" t="str">
            <v>FX</v>
          </cell>
          <cell r="F1237" t="str">
            <v>FX-Emerging Currency</v>
          </cell>
          <cell r="G1237" t="str">
            <v>FX-Emerging Currency</v>
          </cell>
          <cell r="H1237" t="str">
            <v>FX</v>
          </cell>
          <cell r="I1237" t="str">
            <v>Emerging Currency</v>
          </cell>
        </row>
        <row r="1238">
          <cell r="A1238" t="str">
            <v>[XCD_FX_USD-EUR_FX_USD]</v>
          </cell>
          <cell r="B1238" t="str">
            <v>XCD/EUR</v>
          </cell>
          <cell r="E1238" t="str">
            <v>FX</v>
          </cell>
          <cell r="F1238" t="str">
            <v>FX-Emerging Currency</v>
          </cell>
          <cell r="G1238" t="str">
            <v>FX-Emerging Currency</v>
          </cell>
          <cell r="H1238" t="str">
            <v>FX</v>
          </cell>
          <cell r="I1238" t="str">
            <v>Emerging Currency</v>
          </cell>
        </row>
        <row r="1239">
          <cell r="A1239" t="str">
            <v>[YER_FX_USD-EUR_FX_USD]</v>
          </cell>
          <cell r="B1239" t="str">
            <v>YER/EUR</v>
          </cell>
          <cell r="E1239" t="str">
            <v>FX</v>
          </cell>
          <cell r="F1239" t="str">
            <v>FX-Emerging Currency</v>
          </cell>
          <cell r="G1239" t="str">
            <v>FX-Emerging Currency</v>
          </cell>
          <cell r="H1239" t="str">
            <v>FX</v>
          </cell>
          <cell r="I1239" t="str">
            <v>Emerging Currency</v>
          </cell>
        </row>
        <row r="1240">
          <cell r="A1240" t="str">
            <v>[BYN_FX_USD-EUR_FX_USD]</v>
          </cell>
          <cell r="B1240" t="str">
            <v>BYN/EUR</v>
          </cell>
          <cell r="E1240" t="str">
            <v>FX</v>
          </cell>
          <cell r="F1240" t="str">
            <v>FX-Emerging Currency</v>
          </cell>
          <cell r="G1240" t="str">
            <v>FX-Emerging Currency</v>
          </cell>
          <cell r="H1240" t="str">
            <v>FX</v>
          </cell>
          <cell r="I1240" t="str">
            <v>Emerging Currency</v>
          </cell>
        </row>
        <row r="1241">
          <cell r="A1241" t="str">
            <v>[XDR_FX_USD-EUR_FX_USD]</v>
          </cell>
          <cell r="B1241" t="str">
            <v>XDR/EUR</v>
          </cell>
          <cell r="E1241" t="str">
            <v>FX</v>
          </cell>
          <cell r="F1241" t="str">
            <v>FX-Developed Currency</v>
          </cell>
          <cell r="G1241" t="str">
            <v>FX-Developed Currency</v>
          </cell>
          <cell r="H1241" t="str">
            <v>FX</v>
          </cell>
          <cell r="I1241" t="str">
            <v>Developed Currency</v>
          </cell>
        </row>
        <row r="1242">
          <cell r="A1242" t="str">
            <v>[XAU_FX_USD-EUR_FX_USD]</v>
          </cell>
          <cell r="B1242" t="str">
            <v>XAU/EUR</v>
          </cell>
          <cell r="E1242" t="str">
            <v>FX</v>
          </cell>
          <cell r="F1242" t="str">
            <v>FX-Developed Currency</v>
          </cell>
          <cell r="G1242" t="str">
            <v>FX-Developed Currency</v>
          </cell>
          <cell r="H1242" t="str">
            <v>FX</v>
          </cell>
          <cell r="I1242" t="str">
            <v>Developed Currency</v>
          </cell>
        </row>
        <row r="1243">
          <cell r="A1243" t="str">
            <v>FMI_WRLD_INDAIRDEF</v>
          </cell>
          <cell r="B1243" t="str">
            <v>Aerospace &amp; Defense</v>
          </cell>
          <cell r="C1243" t="str">
            <v>WRLD Sector:Aerospace &amp; Defense</v>
          </cell>
          <cell r="D1243" t="str">
            <v>BFRE Industry</v>
          </cell>
          <cell r="E1243" t="str">
            <v>Industry Return</v>
          </cell>
          <cell r="F1243" t="str">
            <v>EQ-Industrials</v>
          </cell>
          <cell r="G1243" t="str">
            <v>EQ-Industrials</v>
          </cell>
          <cell r="H1243" t="str">
            <v>EQ_SECTOR</v>
          </cell>
          <cell r="I1243" t="str">
            <v>Industrials</v>
          </cell>
        </row>
        <row r="1244">
          <cell r="A1244" t="str">
            <v>FMI_WRLD_CSTALCTOB</v>
          </cell>
          <cell r="B1244" t="str">
            <v>Alcohol &amp; Tobacco</v>
          </cell>
          <cell r="C1244" t="str">
            <v>WRLD Sector:Alcohol &amp; Tobacco</v>
          </cell>
          <cell r="D1244" t="str">
            <v>BFRE Industry</v>
          </cell>
          <cell r="E1244" t="str">
            <v>Industry Return</v>
          </cell>
          <cell r="F1244" t="str">
            <v>EQ-Consumer Staples</v>
          </cell>
          <cell r="G1244" t="str">
            <v>EQ-Consumer Staples</v>
          </cell>
          <cell r="H1244" t="str">
            <v>EQ_SECTOR</v>
          </cell>
          <cell r="I1244" t="str">
            <v>Consumer Staples</v>
          </cell>
        </row>
        <row r="1245">
          <cell r="A1245" t="str">
            <v>FMI_WRLD_MATALUPRE</v>
          </cell>
          <cell r="B1245" t="str">
            <v>Alum Div &amp; Prec Metals &amp; Min</v>
          </cell>
          <cell r="C1245" t="str">
            <v>WRLD Sector:Alum Div &amp; Prec Metals &amp; Min</v>
          </cell>
          <cell r="D1245" t="str">
            <v>BFRE Industry</v>
          </cell>
          <cell r="E1245" t="str">
            <v>Industry Return</v>
          </cell>
          <cell r="F1245" t="str">
            <v>EQ-Materials</v>
          </cell>
          <cell r="G1245" t="str">
            <v>EQ-Materials</v>
          </cell>
          <cell r="H1245" t="str">
            <v>EQ_SECTOR</v>
          </cell>
          <cell r="I1245" t="str">
            <v>Materials</v>
          </cell>
        </row>
        <row r="1246">
          <cell r="A1246" t="str">
            <v>FMI_WRLD_CDIAUTOCMP</v>
          </cell>
          <cell r="B1246" t="str">
            <v>Automobiles &amp; Components</v>
          </cell>
          <cell r="C1246" t="str">
            <v>WRLD Sector:Automobiles &amp; Components</v>
          </cell>
          <cell r="D1246" t="str">
            <v>BFRE Industry</v>
          </cell>
          <cell r="E1246" t="str">
            <v>Industry Return</v>
          </cell>
          <cell r="F1246" t="str">
            <v>EQ-Consumer Discretionary</v>
          </cell>
          <cell r="G1246" t="str">
            <v>EQ-Consumer Discretionary</v>
          </cell>
          <cell r="H1246" t="str">
            <v>EQ_SECTOR</v>
          </cell>
          <cell r="I1246" t="str">
            <v>Consumer Discretionary</v>
          </cell>
        </row>
        <row r="1247">
          <cell r="A1247" t="str">
            <v>FMI_WRLD_HLCBIOLIFE</v>
          </cell>
          <cell r="B1247" t="str">
            <v>Biotechnology &amp; Life Sciences</v>
          </cell>
          <cell r="C1247" t="str">
            <v>WRLD Sector:Biotechnology &amp; Life Sciences</v>
          </cell>
          <cell r="D1247" t="str">
            <v>BFRE Industry</v>
          </cell>
          <cell r="E1247" t="str">
            <v>Industry Return</v>
          </cell>
          <cell r="F1247" t="str">
            <v>EQ-Health Care</v>
          </cell>
          <cell r="G1247" t="str">
            <v>EQ-Health Care</v>
          </cell>
          <cell r="H1247" t="str">
            <v>EQ_SECTOR</v>
          </cell>
          <cell r="I1247" t="str">
            <v>Health Care</v>
          </cell>
        </row>
        <row r="1248">
          <cell r="A1248" t="str">
            <v>FMI_WRLD_CDIPUBLISH</v>
          </cell>
          <cell r="B1248" t="str">
            <v>Broadcasting &amp; Publishing</v>
          </cell>
          <cell r="C1248" t="str">
            <v>WRLD Sector:Broadcasting &amp; Publishing</v>
          </cell>
          <cell r="D1248" t="str">
            <v>BFRE Industry</v>
          </cell>
          <cell r="E1248" t="str">
            <v>Industry Return</v>
          </cell>
          <cell r="F1248" t="str">
            <v>EQ-Consumer Discretionary</v>
          </cell>
          <cell r="G1248" t="str">
            <v>EQ-Consumer Discretionary</v>
          </cell>
          <cell r="H1248" t="str">
            <v>EQ_SECTOR</v>
          </cell>
          <cell r="I1248" t="str">
            <v>Communication Services</v>
          </cell>
        </row>
        <row r="1249">
          <cell r="A1249" t="str">
            <v>FMI_WRLD_INDBLDPRD</v>
          </cell>
          <cell r="B1249" t="str">
            <v>Building Products</v>
          </cell>
          <cell r="C1249" t="str">
            <v>WRLD Sector:Building Products</v>
          </cell>
          <cell r="D1249" t="str">
            <v>BFRE Industry</v>
          </cell>
          <cell r="E1249" t="str">
            <v>Industry Return</v>
          </cell>
          <cell r="F1249" t="str">
            <v>EQ-Industrials</v>
          </cell>
          <cell r="G1249" t="str">
            <v>EQ-Industrials</v>
          </cell>
          <cell r="H1249" t="str">
            <v>EQ_SECTOR</v>
          </cell>
          <cell r="I1249" t="str">
            <v>Industrials</v>
          </cell>
        </row>
        <row r="1250">
          <cell r="A1250" t="str">
            <v>FMI_WRLD_MATCHEM</v>
          </cell>
          <cell r="B1250" t="str">
            <v>Chemicals</v>
          </cell>
          <cell r="C1250" t="str">
            <v>WRLD Sector:Chemicals</v>
          </cell>
          <cell r="D1250" t="str">
            <v>BFRE Industry</v>
          </cell>
          <cell r="E1250" t="str">
            <v>Industry Return</v>
          </cell>
          <cell r="F1250" t="str">
            <v>EQ-Materials</v>
          </cell>
          <cell r="G1250" t="str">
            <v>EQ-Materials</v>
          </cell>
          <cell r="H1250" t="str">
            <v>EQ_SECTOR</v>
          </cell>
          <cell r="I1250" t="str">
            <v>Materials</v>
          </cell>
        </row>
        <row r="1251">
          <cell r="A1251" t="str">
            <v>FMI_WRLD_INDCOMPRO</v>
          </cell>
          <cell r="B1251" t="str">
            <v>Commercial  &amp; Prof Services</v>
          </cell>
          <cell r="C1251" t="str">
            <v>WRLD Sector:Commercial  &amp; Prof Services</v>
          </cell>
          <cell r="D1251" t="str">
            <v>BFRE Industry</v>
          </cell>
          <cell r="E1251" t="str">
            <v>Industry Return</v>
          </cell>
          <cell r="F1251" t="str">
            <v>EQ-Industrials</v>
          </cell>
          <cell r="G1251" t="str">
            <v>EQ-Industrials</v>
          </cell>
          <cell r="H1251" t="str">
            <v>EQ_SECTOR</v>
          </cell>
          <cell r="I1251" t="str">
            <v>Industrials</v>
          </cell>
        </row>
        <row r="1252">
          <cell r="A1252" t="str">
            <v>FMI_WRLD_ITCCOMMEQ</v>
          </cell>
          <cell r="B1252" t="str">
            <v>Communications Equipment</v>
          </cell>
          <cell r="C1252" t="str">
            <v>WRLD Sector:Communications Equipment</v>
          </cell>
          <cell r="D1252" t="str">
            <v>BFRE Industry</v>
          </cell>
          <cell r="E1252" t="str">
            <v>Industry Return</v>
          </cell>
          <cell r="F1252" t="str">
            <v>EQ-Information Technology</v>
          </cell>
          <cell r="G1252" t="str">
            <v>EQ-Information Technology</v>
          </cell>
          <cell r="H1252" t="str">
            <v>EQ_SECTOR</v>
          </cell>
          <cell r="I1252" t="str">
            <v>Information Technology</v>
          </cell>
        </row>
        <row r="1253">
          <cell r="A1253" t="str">
            <v>FMI_WRLD_ITCCOMP</v>
          </cell>
          <cell r="B1253" t="str">
            <v>Computers &amp; Peripherals</v>
          </cell>
          <cell r="C1253" t="str">
            <v>WRLD Sector:Computers &amp; Peripherals</v>
          </cell>
          <cell r="D1253" t="str">
            <v>BFRE Industry</v>
          </cell>
          <cell r="E1253" t="str">
            <v>Industry Return</v>
          </cell>
          <cell r="F1253" t="str">
            <v>EQ-Information Technology</v>
          </cell>
          <cell r="G1253" t="str">
            <v>EQ-Information Technology</v>
          </cell>
          <cell r="H1253" t="str">
            <v>EQ_SECTOR</v>
          </cell>
          <cell r="I1253" t="str">
            <v>Information Technology</v>
          </cell>
        </row>
        <row r="1254">
          <cell r="A1254" t="str">
            <v>FMI_WRLD_CSTXALCTOB</v>
          </cell>
          <cell r="B1254" t="str">
            <v>Cons Staples x Alcohol &amp; Tob</v>
          </cell>
          <cell r="C1254" t="str">
            <v>WRLD Sector:Cons Staples x Alcohol &amp; Tob</v>
          </cell>
          <cell r="D1254" t="str">
            <v>BFRE Industry</v>
          </cell>
          <cell r="E1254" t="str">
            <v>Industry Return</v>
          </cell>
          <cell r="F1254" t="str">
            <v>EQ-Consumer Staples</v>
          </cell>
          <cell r="G1254" t="str">
            <v>EQ-Consumer Staples</v>
          </cell>
          <cell r="H1254" t="str">
            <v>EQ_SECTOR</v>
          </cell>
          <cell r="I1254" t="str">
            <v>Consumer Staples</v>
          </cell>
        </row>
        <row r="1255">
          <cell r="A1255" t="str">
            <v>FMI_WRLD_INDCONENG</v>
          </cell>
          <cell r="B1255" t="str">
            <v>Construction &amp; Engineering</v>
          </cell>
          <cell r="C1255" t="str">
            <v>WRLD Sector:Construction &amp; Engineering</v>
          </cell>
          <cell r="D1255" t="str">
            <v>BFRE Industry</v>
          </cell>
          <cell r="E1255" t="str">
            <v>Industry Return</v>
          </cell>
          <cell r="F1255" t="str">
            <v>EQ-Industrials</v>
          </cell>
          <cell r="G1255" t="str">
            <v>EQ-Industrials</v>
          </cell>
          <cell r="H1255" t="str">
            <v>EQ_SECTOR</v>
          </cell>
          <cell r="I1255" t="str">
            <v>Industrials</v>
          </cell>
        </row>
        <row r="1256">
          <cell r="A1256" t="str">
            <v>FMI_WRLD_MATCONSTM</v>
          </cell>
          <cell r="B1256" t="str">
            <v>Construction Materials</v>
          </cell>
          <cell r="C1256" t="str">
            <v>WRLD Sector:Construction Materials</v>
          </cell>
          <cell r="D1256" t="str">
            <v>BFRE Industry</v>
          </cell>
          <cell r="E1256" t="str">
            <v>Industry Return</v>
          </cell>
          <cell r="F1256" t="str">
            <v>EQ-Materials</v>
          </cell>
          <cell r="G1256" t="str">
            <v>EQ-Materials</v>
          </cell>
          <cell r="H1256" t="str">
            <v>EQ_SECTOR</v>
          </cell>
          <cell r="I1256" t="str">
            <v>Materials</v>
          </cell>
        </row>
        <row r="1257">
          <cell r="A1257" t="str">
            <v>FMI_WRLD_FINCONSFIN</v>
          </cell>
          <cell r="B1257" t="str">
            <v>Consumer Finance</v>
          </cell>
          <cell r="C1257" t="str">
            <v>WRLD Sector:Consumer Finance</v>
          </cell>
          <cell r="D1257" t="str">
            <v>BFRE Industry</v>
          </cell>
          <cell r="E1257" t="str">
            <v>Industry Return</v>
          </cell>
          <cell r="F1257" t="str">
            <v>EQ-Financials</v>
          </cell>
          <cell r="G1257" t="str">
            <v>EQ-Financials</v>
          </cell>
          <cell r="H1257" t="str">
            <v>EQ_SECTOR</v>
          </cell>
          <cell r="I1257" t="str">
            <v>Financials</v>
          </cell>
        </row>
        <row r="1258">
          <cell r="A1258" t="str">
            <v>FMI_WRLD_CDICONSVCS</v>
          </cell>
          <cell r="B1258" t="str">
            <v>Consumer Services</v>
          </cell>
          <cell r="C1258" t="str">
            <v>WRLD Sector:Consumer Services</v>
          </cell>
          <cell r="D1258" t="str">
            <v>BFRE Industry</v>
          </cell>
          <cell r="E1258" t="str">
            <v>Industry Return</v>
          </cell>
          <cell r="F1258" t="str">
            <v>EQ-Consumer Discretionary</v>
          </cell>
          <cell r="G1258" t="str">
            <v>EQ-Consumer Discretionary</v>
          </cell>
          <cell r="H1258" t="str">
            <v>EQ_SECTOR</v>
          </cell>
          <cell r="I1258" t="str">
            <v>Consumer Discretionary</v>
          </cell>
        </row>
        <row r="1259">
          <cell r="A1259" t="str">
            <v>FMI_WRLD_MATPAK</v>
          </cell>
          <cell r="B1259" t="str">
            <v>Containers &amp; Packaging</v>
          </cell>
          <cell r="C1259" t="str">
            <v>WRLD Sector:Containers &amp; Packaging</v>
          </cell>
          <cell r="D1259" t="str">
            <v>BFRE Industry</v>
          </cell>
          <cell r="E1259" t="str">
            <v>Industry Return</v>
          </cell>
          <cell r="F1259" t="str">
            <v>EQ-Materials</v>
          </cell>
          <cell r="G1259" t="str">
            <v>EQ-Materials</v>
          </cell>
          <cell r="H1259" t="str">
            <v>EQ_SECTOR</v>
          </cell>
          <cell r="I1259" t="str">
            <v>Materials</v>
          </cell>
        </row>
        <row r="1260">
          <cell r="A1260" t="str">
            <v>FMI_WRLD_ITCDATAOUT</v>
          </cell>
          <cell r="B1260" t="str">
            <v>Data Processing &amp; Outsourcing</v>
          </cell>
          <cell r="C1260" t="str">
            <v>WRLD Sector:Data Processing &amp; Outsourcing</v>
          </cell>
          <cell r="D1260" t="str">
            <v>BFRE Industry</v>
          </cell>
          <cell r="E1260" t="str">
            <v>Industry Return</v>
          </cell>
          <cell r="F1260" t="str">
            <v>EQ-Information Technology</v>
          </cell>
          <cell r="G1260" t="str">
            <v>EQ-Information Technology</v>
          </cell>
          <cell r="H1260" t="str">
            <v>EQ_SECTOR</v>
          </cell>
          <cell r="I1260" t="str">
            <v>Information Technology</v>
          </cell>
        </row>
        <row r="1261">
          <cell r="A1261" t="str">
            <v>FMI_WRLD_CDIDISTNET</v>
          </cell>
          <cell r="B1261" t="str">
            <v>Dist Net Catalog Multi Retail</v>
          </cell>
          <cell r="C1261" t="str">
            <v>WRLD Sector:Dist Net Catalog Multi Retail</v>
          </cell>
          <cell r="D1261" t="str">
            <v>BFRE Industry</v>
          </cell>
          <cell r="E1261" t="str">
            <v>Industry Return</v>
          </cell>
          <cell r="F1261" t="str">
            <v>EQ-Consumer Discretionary</v>
          </cell>
          <cell r="G1261" t="str">
            <v>EQ-Consumer Discretionary</v>
          </cell>
          <cell r="H1261" t="str">
            <v>EQ_SECTOR</v>
          </cell>
          <cell r="I1261" t="str">
            <v>Consumer Discretionary</v>
          </cell>
        </row>
        <row r="1262">
          <cell r="A1262" t="str">
            <v>FMI_WRLD_FINDIVXCON</v>
          </cell>
          <cell r="B1262" t="str">
            <v>Div Fin x Con Fin x Multi Hlds</v>
          </cell>
          <cell r="C1262" t="str">
            <v>WRLD Sector:Div Fin x Con Fin x Multi Hlds</v>
          </cell>
          <cell r="D1262" t="str">
            <v>BFRE Industry</v>
          </cell>
          <cell r="E1262" t="str">
            <v>Industry Return</v>
          </cell>
          <cell r="F1262" t="str">
            <v>EQ-Financials</v>
          </cell>
          <cell r="G1262" t="str">
            <v>EQ-Financials</v>
          </cell>
          <cell r="H1262" t="str">
            <v>EQ_SECTOR</v>
          </cell>
          <cell r="I1262" t="str">
            <v>Financials</v>
          </cell>
        </row>
        <row r="1263">
          <cell r="A1263" t="str">
            <v>FMI_WRLD_FINDIVBANK</v>
          </cell>
          <cell r="B1263" t="str">
            <v>Diversified Banks</v>
          </cell>
          <cell r="C1263" t="str">
            <v>WRLD Sector:Diversified Banks</v>
          </cell>
          <cell r="D1263" t="str">
            <v>BFRE Industry</v>
          </cell>
          <cell r="E1263" t="str">
            <v>Industry Return</v>
          </cell>
          <cell r="F1263" t="str">
            <v>EQ-Financials</v>
          </cell>
          <cell r="G1263" t="str">
            <v>EQ-Financials</v>
          </cell>
          <cell r="H1263" t="str">
            <v>EQ_SECTOR</v>
          </cell>
          <cell r="I1263" t="str">
            <v>Financials</v>
          </cell>
        </row>
        <row r="1264">
          <cell r="A1264" t="str">
            <v>FMI_WRLD_ITCELECEQO</v>
          </cell>
          <cell r="B1264" t="str">
            <v>Elec Eq Instr Comp &amp; Off Elec</v>
          </cell>
          <cell r="C1264" t="str">
            <v>WRLD Sector:Elec Eq Instr Comp &amp; Off Elec</v>
          </cell>
          <cell r="D1264" t="str">
            <v>BFRE Industry</v>
          </cell>
          <cell r="E1264" t="str">
            <v>Industry Return</v>
          </cell>
          <cell r="F1264" t="str">
            <v>EQ-Information Technology</v>
          </cell>
          <cell r="G1264" t="str">
            <v>EQ-Information Technology</v>
          </cell>
          <cell r="H1264" t="str">
            <v>EQ_SECTOR</v>
          </cell>
          <cell r="I1264" t="str">
            <v>Information Technology</v>
          </cell>
        </row>
        <row r="1265">
          <cell r="A1265" t="str">
            <v>FMI_WRLD_INDELECEQ</v>
          </cell>
          <cell r="B1265" t="str">
            <v>Electrical Equipment</v>
          </cell>
          <cell r="C1265" t="str">
            <v>WRLD Sector:Electrical Equipment</v>
          </cell>
          <cell r="D1265" t="str">
            <v>BFRE Industry</v>
          </cell>
          <cell r="E1265" t="str">
            <v>Industry Return</v>
          </cell>
          <cell r="F1265" t="str">
            <v>EQ-Industrials</v>
          </cell>
          <cell r="G1265" t="str">
            <v>EQ-Industrials</v>
          </cell>
          <cell r="H1265" t="str">
            <v>EQ_SECTOR</v>
          </cell>
          <cell r="I1265" t="str">
            <v>Industrials</v>
          </cell>
        </row>
        <row r="1266">
          <cell r="A1266" t="str">
            <v>FMI_WRLD_EQYEQEXP</v>
          </cell>
          <cell r="B1266" t="str">
            <v>Energy Equip Oil &amp; Gas Exp</v>
          </cell>
          <cell r="C1266" t="str">
            <v>WRLD Sector:Energy Equip Oil &amp; Gas Exp</v>
          </cell>
          <cell r="D1266" t="str">
            <v>BFRE Industry</v>
          </cell>
          <cell r="E1266" t="str">
            <v>Industry Return</v>
          </cell>
          <cell r="F1266" t="str">
            <v>EQ-Energy</v>
          </cell>
          <cell r="G1266" t="str">
            <v>EQ-Energy</v>
          </cell>
          <cell r="H1266" t="str">
            <v>EQ_SECTOR</v>
          </cell>
          <cell r="I1266" t="str">
            <v>Energy</v>
          </cell>
        </row>
        <row r="1267">
          <cell r="A1267" t="str">
            <v>FMI_WRLD_EGYINTSTR</v>
          </cell>
          <cell r="B1267" t="str">
            <v>Fuels Refining Storage &amp; Trans</v>
          </cell>
          <cell r="C1267" t="str">
            <v>WRLD Sector:Fuels Refining Storage &amp; Trans</v>
          </cell>
          <cell r="D1267" t="str">
            <v>BFRE Industry</v>
          </cell>
          <cell r="E1267" t="str">
            <v>Industry Return</v>
          </cell>
          <cell r="F1267" t="str">
            <v>EQ-Energy</v>
          </cell>
          <cell r="G1267" t="str">
            <v>EQ-Energy</v>
          </cell>
          <cell r="H1267" t="str">
            <v>EQ_SECTOR</v>
          </cell>
          <cell r="I1267" t="str">
            <v>Energy</v>
          </cell>
        </row>
        <row r="1268">
          <cell r="A1268" t="str">
            <v>FMI_WRLD_MATGOLD</v>
          </cell>
          <cell r="B1268" t="str">
            <v>Gold</v>
          </cell>
          <cell r="C1268" t="str">
            <v>WRLD Sector:Gold</v>
          </cell>
          <cell r="D1268" t="str">
            <v>BFRE Industry</v>
          </cell>
          <cell r="E1268" t="str">
            <v>Industry Return</v>
          </cell>
          <cell r="F1268" t="str">
            <v>EQ-Materials</v>
          </cell>
          <cell r="G1268" t="str">
            <v>EQ-Materials</v>
          </cell>
          <cell r="H1268" t="str">
            <v>EQ_SECTOR</v>
          </cell>
          <cell r="I1268" t="str">
            <v>Materials</v>
          </cell>
        </row>
        <row r="1269">
          <cell r="A1269" t="str">
            <v>FMI_WRLD_HLCEQSUP</v>
          </cell>
          <cell r="B1269" t="str">
            <v>Health Care Equip &amp; Supplies</v>
          </cell>
          <cell r="C1269" t="str">
            <v>WRLD Sector:Health Care Equip &amp; Supplies</v>
          </cell>
          <cell r="D1269" t="str">
            <v>BFRE Industry</v>
          </cell>
          <cell r="E1269" t="str">
            <v>Industry Return</v>
          </cell>
          <cell r="F1269" t="str">
            <v>EQ-Health Care</v>
          </cell>
          <cell r="G1269" t="str">
            <v>EQ-Health Care</v>
          </cell>
          <cell r="H1269" t="str">
            <v>EQ_SECTOR</v>
          </cell>
          <cell r="I1269" t="str">
            <v>Health Care</v>
          </cell>
        </row>
        <row r="1270">
          <cell r="A1270" t="str">
            <v>FMI_WRLD_HLCPROVTEC</v>
          </cell>
          <cell r="B1270" t="str">
            <v>Health Care Providers &amp; Tech</v>
          </cell>
          <cell r="C1270" t="str">
            <v>WRLD Sector:Health Care Providers &amp; Tech</v>
          </cell>
          <cell r="D1270" t="str">
            <v>BFRE Industry</v>
          </cell>
          <cell r="E1270" t="str">
            <v>Industry Return</v>
          </cell>
          <cell r="F1270" t="str">
            <v>EQ-Health Care</v>
          </cell>
          <cell r="G1270" t="str">
            <v>EQ-Health Care</v>
          </cell>
          <cell r="H1270" t="str">
            <v>EQ_SECTOR</v>
          </cell>
          <cell r="I1270" t="str">
            <v>Health Care</v>
          </cell>
        </row>
        <row r="1271">
          <cell r="A1271" t="str">
            <v>FMI_WRLD_CDIHHDUR</v>
          </cell>
          <cell r="B1271" t="str">
            <v>Household Durables</v>
          </cell>
          <cell r="C1271" t="str">
            <v>WRLD Sector:Household Durables</v>
          </cell>
          <cell r="D1271" t="str">
            <v>BFRE Industry</v>
          </cell>
          <cell r="E1271" t="str">
            <v>Industry Return</v>
          </cell>
          <cell r="F1271" t="str">
            <v>EQ-Consumer Discretionary</v>
          </cell>
          <cell r="G1271" t="str">
            <v>EQ-Consumer Discretionary</v>
          </cell>
          <cell r="H1271" t="str">
            <v>EQ_SECTOR</v>
          </cell>
          <cell r="I1271" t="str">
            <v>Consumer Discretionary</v>
          </cell>
        </row>
        <row r="1272">
          <cell r="A1272" t="str">
            <v>FMI_WRLD_INDCONGLOM</v>
          </cell>
          <cell r="B1272" t="str">
            <v>Industrial Conglomerates</v>
          </cell>
          <cell r="C1272" t="str">
            <v>WRLD Sector:Industrial Conglomerates</v>
          </cell>
          <cell r="D1272" t="str">
            <v>BFRE Industry</v>
          </cell>
          <cell r="E1272" t="str">
            <v>Industry Return</v>
          </cell>
          <cell r="F1272" t="str">
            <v>EQ-Industrials</v>
          </cell>
          <cell r="G1272" t="str">
            <v>EQ-Industrials</v>
          </cell>
          <cell r="H1272" t="str">
            <v>EQ_SECTOR</v>
          </cell>
          <cell r="I1272" t="str">
            <v>Industrials</v>
          </cell>
        </row>
        <row r="1273">
          <cell r="A1273" t="str">
            <v>FMI_WRLD_FININSBROK</v>
          </cell>
          <cell r="B1273" t="str">
            <v>Ins Brkrs Reins Property &amp; Cas</v>
          </cell>
          <cell r="C1273" t="str">
            <v>WRLD Sector:Ins Brkrs Reins Property &amp; Cas</v>
          </cell>
          <cell r="D1273" t="str">
            <v>BFRE Industry</v>
          </cell>
          <cell r="E1273" t="str">
            <v>Industry Return</v>
          </cell>
          <cell r="F1273" t="str">
            <v>EQ-Financials</v>
          </cell>
          <cell r="G1273" t="str">
            <v>EQ-Financials</v>
          </cell>
          <cell r="H1273" t="str">
            <v>EQ_SECTOR</v>
          </cell>
          <cell r="I1273" t="str">
            <v>Financials</v>
          </cell>
        </row>
        <row r="1274">
          <cell r="A1274" t="str">
            <v>FMI_WRLD_CDILEISEQ</v>
          </cell>
          <cell r="B1274" t="str">
            <v>Leisure Equipment &amp; Products</v>
          </cell>
          <cell r="C1274" t="str">
            <v>WRLD Sector:Leisure Equipment &amp; Products</v>
          </cell>
          <cell r="D1274" t="str">
            <v>BFRE Industry</v>
          </cell>
          <cell r="E1274" t="str">
            <v>Industry Return</v>
          </cell>
          <cell r="F1274" t="str">
            <v>EQ-Consumer Discretionary</v>
          </cell>
          <cell r="G1274" t="str">
            <v>EQ-Consumer Discretionary</v>
          </cell>
          <cell r="H1274" t="str">
            <v>EQ_SECTOR</v>
          </cell>
          <cell r="I1274" t="str">
            <v>Consumer Discretionary</v>
          </cell>
        </row>
        <row r="1275">
          <cell r="A1275" t="str">
            <v>FMI_WRLD_FINLIFEINS</v>
          </cell>
          <cell r="B1275" t="str">
            <v>Life Health &amp; Multiline Ins</v>
          </cell>
          <cell r="C1275" t="str">
            <v>WRLD Sector:Life Health &amp; Multiline Ins</v>
          </cell>
          <cell r="D1275" t="str">
            <v>BFRE Industry</v>
          </cell>
          <cell r="E1275" t="str">
            <v>Industry Return</v>
          </cell>
          <cell r="F1275" t="str">
            <v>EQ-Financials</v>
          </cell>
          <cell r="G1275" t="str">
            <v>EQ-Financials</v>
          </cell>
          <cell r="H1275" t="str">
            <v>EQ_SECTOR</v>
          </cell>
          <cell r="I1275" t="str">
            <v>Financials</v>
          </cell>
        </row>
        <row r="1276">
          <cell r="A1276" t="str">
            <v>FMI_WRLD_INDMACHTRD</v>
          </cell>
          <cell r="B1276" t="str">
            <v>Machinery &amp; Trading Companies</v>
          </cell>
          <cell r="C1276" t="str">
            <v>WRLD Sector:Machinery &amp; Trading Companies</v>
          </cell>
          <cell r="D1276" t="str">
            <v>BFRE Industry</v>
          </cell>
          <cell r="E1276" t="str">
            <v>Industry Return</v>
          </cell>
          <cell r="F1276" t="str">
            <v>EQ-Industrials</v>
          </cell>
          <cell r="G1276" t="str">
            <v>EQ-Industrials</v>
          </cell>
          <cell r="H1276" t="str">
            <v>EQ_SECTOR</v>
          </cell>
          <cell r="I1276" t="str">
            <v>Industrials</v>
          </cell>
        </row>
        <row r="1277">
          <cell r="A1277" t="str">
            <v>FMI_WRLD_CDIMEDXPUB</v>
          </cell>
          <cell r="B1277" t="str">
            <v>Media x Broadcast &amp; Publishing</v>
          </cell>
          <cell r="C1277" t="str">
            <v>WRLD Sector:Media x Broadcast &amp; Publishing</v>
          </cell>
          <cell r="D1277" t="str">
            <v>BFRE Industry</v>
          </cell>
          <cell r="E1277" t="str">
            <v>Industry Return</v>
          </cell>
          <cell r="F1277" t="str">
            <v>EQ-Consumer Discretionary</v>
          </cell>
          <cell r="G1277" t="str">
            <v>EQ-Consumer Discretionary</v>
          </cell>
          <cell r="H1277" t="str">
            <v>EQ_SECTOR</v>
          </cell>
          <cell r="I1277" t="str">
            <v>Communication Services</v>
          </cell>
        </row>
        <row r="1278">
          <cell r="A1278" t="str">
            <v>FMI_WRLD_FINMULTSEC</v>
          </cell>
          <cell r="B1278" t="str">
            <v>Multi-Sector Holdings</v>
          </cell>
          <cell r="C1278" t="str">
            <v>WRLD Sector:Multi-Sector Holdings</v>
          </cell>
          <cell r="D1278" t="str">
            <v>BFRE Industry</v>
          </cell>
          <cell r="E1278" t="str">
            <v>Industry Return</v>
          </cell>
          <cell r="F1278" t="str">
            <v>EQ-Financials</v>
          </cell>
          <cell r="G1278" t="str">
            <v>EQ-Financials</v>
          </cell>
          <cell r="H1278" t="str">
            <v>EQ_SECTOR</v>
          </cell>
          <cell r="I1278" t="str">
            <v>Financials</v>
          </cell>
        </row>
        <row r="1279">
          <cell r="A1279" t="str">
            <v>FMI_WRLD_MATPAPER</v>
          </cell>
          <cell r="B1279" t="str">
            <v>Paper &amp; Forest Products</v>
          </cell>
          <cell r="C1279" t="str">
            <v>WRLD Sector:Paper &amp; Forest Products</v>
          </cell>
          <cell r="D1279" t="str">
            <v>BFRE Industry</v>
          </cell>
          <cell r="E1279" t="str">
            <v>Industry Return</v>
          </cell>
          <cell r="F1279" t="str">
            <v>EQ-Materials</v>
          </cell>
          <cell r="G1279" t="str">
            <v>EQ-Materials</v>
          </cell>
          <cell r="H1279" t="str">
            <v>EQ_SECTOR</v>
          </cell>
          <cell r="I1279" t="str">
            <v>Materials</v>
          </cell>
        </row>
        <row r="1280">
          <cell r="A1280" t="str">
            <v>FMI_WRLD_HLCPHARMA</v>
          </cell>
          <cell r="B1280" t="str">
            <v>Pharmaceuticals</v>
          </cell>
          <cell r="C1280" t="str">
            <v>WRLD Sector:Pharmaceuticals</v>
          </cell>
          <cell r="D1280" t="str">
            <v>BFRE Industry</v>
          </cell>
          <cell r="E1280" t="str">
            <v>Industry Return</v>
          </cell>
          <cell r="F1280" t="str">
            <v>EQ-Health Care</v>
          </cell>
          <cell r="G1280" t="str">
            <v>EQ-Health Care</v>
          </cell>
          <cell r="H1280" t="str">
            <v>EQ_SECTOR</v>
          </cell>
          <cell r="I1280" t="str">
            <v>Health Care</v>
          </cell>
        </row>
        <row r="1281">
          <cell r="A1281" t="str">
            <v>FMI_WRLD_FINREIT</v>
          </cell>
          <cell r="B1281" t="str">
            <v>Real Estate Investment Trusts</v>
          </cell>
          <cell r="C1281" t="str">
            <v>WRLD Sector:Real Estate Investment Trusts</v>
          </cell>
          <cell r="D1281" t="str">
            <v>BFRE Industry</v>
          </cell>
          <cell r="E1281" t="str">
            <v>Industry Return</v>
          </cell>
          <cell r="F1281" t="str">
            <v>EQ-Real Estate</v>
          </cell>
          <cell r="G1281" t="str">
            <v>EQ-Real Estate</v>
          </cell>
          <cell r="H1281" t="str">
            <v>EQ_SECTOR</v>
          </cell>
          <cell r="I1281" t="str">
            <v>Real Estate</v>
          </cell>
        </row>
        <row r="1282">
          <cell r="A1282" t="str">
            <v>FMI_WRLD_FINREALMGT</v>
          </cell>
          <cell r="B1282" t="str">
            <v>Real Estate Management &amp; Dev</v>
          </cell>
          <cell r="C1282" t="str">
            <v>WRLD Sector:Real Estate Management &amp; Dev</v>
          </cell>
          <cell r="D1282" t="str">
            <v>BFRE Industry</v>
          </cell>
          <cell r="E1282" t="str">
            <v>Industry Return</v>
          </cell>
          <cell r="F1282" t="str">
            <v>EQ-Real Estate</v>
          </cell>
          <cell r="G1282" t="str">
            <v>EQ-Real Estate</v>
          </cell>
          <cell r="H1282" t="str">
            <v>EQ_SECTOR</v>
          </cell>
          <cell r="I1282" t="str">
            <v>Real Estate</v>
          </cell>
        </row>
        <row r="1283">
          <cell r="A1283" t="str">
            <v>FMI_WRLD_FINREGMTG</v>
          </cell>
          <cell r="B1283" t="str">
            <v>Reg Banks Thrifts &amp; Mort Fin</v>
          </cell>
          <cell r="C1283" t="str">
            <v>WRLD Sector:Reg Banks Thrifts &amp; Mort Fin</v>
          </cell>
          <cell r="D1283" t="str">
            <v>BFRE Industry</v>
          </cell>
          <cell r="E1283" t="str">
            <v>Industry Return</v>
          </cell>
          <cell r="F1283" t="str">
            <v>EQ-Financials</v>
          </cell>
          <cell r="G1283" t="str">
            <v>EQ-Financials</v>
          </cell>
          <cell r="H1283" t="str">
            <v>EQ_SECTOR</v>
          </cell>
          <cell r="I1283" t="str">
            <v>Financials</v>
          </cell>
        </row>
        <row r="1284">
          <cell r="A1284" t="str">
            <v>FMI_WRLD_ITCSEMICEQ</v>
          </cell>
          <cell r="B1284" t="str">
            <v>Semiconductors &amp; Equipment</v>
          </cell>
          <cell r="C1284" t="str">
            <v>WRLD Sector:Semiconductors &amp; Equipment</v>
          </cell>
          <cell r="D1284" t="str">
            <v>BFRE Industry</v>
          </cell>
          <cell r="E1284" t="str">
            <v>Industry Return</v>
          </cell>
          <cell r="F1284" t="str">
            <v>EQ-Information Technology</v>
          </cell>
          <cell r="G1284" t="str">
            <v>EQ-Information Technology</v>
          </cell>
          <cell r="H1284" t="str">
            <v>EQ_SECTOR</v>
          </cell>
          <cell r="I1284" t="str">
            <v>Information Technology</v>
          </cell>
        </row>
        <row r="1285">
          <cell r="A1285" t="str">
            <v>FMI_WRLD_ITCSOFTXDA</v>
          </cell>
          <cell r="B1285" t="str">
            <v>Software &amp; Svcs x Data Proc</v>
          </cell>
          <cell r="C1285" t="str">
            <v>WRLD Sector:Software &amp; Svcs x Data Proc</v>
          </cell>
          <cell r="D1285" t="str">
            <v>BFRE Industry</v>
          </cell>
          <cell r="E1285" t="str">
            <v>Industry Return</v>
          </cell>
          <cell r="F1285" t="str">
            <v>EQ-Information Technology</v>
          </cell>
          <cell r="G1285" t="str">
            <v>EQ-Information Technology</v>
          </cell>
          <cell r="H1285" t="str">
            <v>EQ_SECTOR</v>
          </cell>
          <cell r="I1285" t="str">
            <v>Information Technology</v>
          </cell>
        </row>
        <row r="1286">
          <cell r="A1286" t="str">
            <v>FMI_WRLD_CDIRETSPEC</v>
          </cell>
          <cell r="B1286" t="str">
            <v>Specialty Retail</v>
          </cell>
          <cell r="C1286" t="str">
            <v>WRLD Sector:Specialty Retail</v>
          </cell>
          <cell r="D1286" t="str">
            <v>BFRE Industry</v>
          </cell>
          <cell r="E1286" t="str">
            <v>Industry Return</v>
          </cell>
          <cell r="F1286" t="str">
            <v>EQ-Consumer Discretionary</v>
          </cell>
          <cell r="G1286" t="str">
            <v>EQ-Consumer Discretionary</v>
          </cell>
          <cell r="H1286" t="str">
            <v>EQ_SECTOR</v>
          </cell>
          <cell r="I1286" t="str">
            <v>Consumer Discretionary</v>
          </cell>
        </row>
        <row r="1287">
          <cell r="A1287" t="str">
            <v>FMI_WRLD_MATSTEEL</v>
          </cell>
          <cell r="B1287" t="str">
            <v>Steel</v>
          </cell>
          <cell r="C1287" t="str">
            <v>WRLD Sector:Steel</v>
          </cell>
          <cell r="D1287" t="str">
            <v>BFRE Industry</v>
          </cell>
          <cell r="E1287" t="str">
            <v>Industry Return</v>
          </cell>
          <cell r="F1287" t="str">
            <v>EQ-Materials</v>
          </cell>
          <cell r="G1287" t="str">
            <v>EQ-Materials</v>
          </cell>
          <cell r="H1287" t="str">
            <v>EQ_SECTOR</v>
          </cell>
          <cell r="I1287" t="str">
            <v>Materials</v>
          </cell>
        </row>
        <row r="1288">
          <cell r="A1288" t="str">
            <v>FMI_WRLD_TELTELECOM</v>
          </cell>
          <cell r="B1288" t="str">
            <v>Telecommunication Services</v>
          </cell>
          <cell r="C1288" t="str">
            <v>WRLD Sector:Telecommunication Services</v>
          </cell>
          <cell r="D1288" t="str">
            <v>BFRE Industry</v>
          </cell>
          <cell r="E1288" t="str">
            <v>Industry Return</v>
          </cell>
          <cell r="F1288" t="str">
            <v>EQ-Communication Services</v>
          </cell>
          <cell r="G1288" t="str">
            <v>EQ-Communication Services</v>
          </cell>
          <cell r="H1288" t="str">
            <v>EQ_SECTOR</v>
          </cell>
          <cell r="I1288" t="str">
            <v>Communication Services</v>
          </cell>
        </row>
        <row r="1289">
          <cell r="A1289" t="str">
            <v>FMI_WRLD_CDITXTLUX</v>
          </cell>
          <cell r="B1289" t="str">
            <v>Textiles Apparel Luxury Goods</v>
          </cell>
          <cell r="C1289" t="str">
            <v>WRLD Sector:Textiles Apparel Luxury Goods</v>
          </cell>
          <cell r="D1289" t="str">
            <v>BFRE Industry</v>
          </cell>
          <cell r="E1289" t="str">
            <v>Industry Return</v>
          </cell>
          <cell r="F1289" t="str">
            <v>EQ-Consumer Discretionary</v>
          </cell>
          <cell r="G1289" t="str">
            <v>EQ-Consumer Discretionary</v>
          </cell>
          <cell r="H1289" t="str">
            <v>EQ_SECTOR</v>
          </cell>
          <cell r="I1289" t="str">
            <v>Consumer Discretionary</v>
          </cell>
        </row>
        <row r="1290">
          <cell r="A1290" t="str">
            <v>FMI_WRLD_INDTRAN</v>
          </cell>
          <cell r="B1290" t="str">
            <v>Transportation</v>
          </cell>
          <cell r="C1290" t="str">
            <v>WRLD Sector:Transportation</v>
          </cell>
          <cell r="D1290" t="str">
            <v>BFRE Industry</v>
          </cell>
          <cell r="E1290" t="str">
            <v>Industry Return</v>
          </cell>
          <cell r="F1290" t="str">
            <v>EQ-Industrials</v>
          </cell>
          <cell r="G1290" t="str">
            <v>EQ-Industrials</v>
          </cell>
          <cell r="H1290" t="str">
            <v>EQ_SECTOR</v>
          </cell>
          <cell r="I1290" t="str">
            <v>Industrials</v>
          </cell>
        </row>
        <row r="1291">
          <cell r="A1291" t="str">
            <v>FMI_WRLD_UTLUTIL</v>
          </cell>
          <cell r="B1291" t="str">
            <v>Utilities</v>
          </cell>
          <cell r="C1291" t="str">
            <v>WRLD Sector:Utilities</v>
          </cell>
          <cell r="D1291" t="str">
            <v>BFRE Industry</v>
          </cell>
          <cell r="E1291" t="str">
            <v>Industry Return</v>
          </cell>
          <cell r="F1291" t="str">
            <v>EQ-Utilities</v>
          </cell>
          <cell r="G1291" t="str">
            <v>EQ-Utilities</v>
          </cell>
          <cell r="H1291" t="str">
            <v>EQ_SECTOR</v>
          </cell>
          <cell r="I1291" t="str">
            <v>Utilities</v>
          </cell>
        </row>
        <row r="1292">
          <cell r="A1292" t="str">
            <v>FMI_WRLD_DIVYIELD</v>
          </cell>
          <cell r="B1292" t="str">
            <v>Dividend Yield</v>
          </cell>
          <cell r="C1292" t="str">
            <v>WRLD Style:Dividend Yield</v>
          </cell>
          <cell r="D1292" t="str">
            <v>BFRE Characteristics</v>
          </cell>
          <cell r="E1292" t="str">
            <v>Style Return</v>
          </cell>
          <cell r="F1292" t="str">
            <v>EQ-Local Styles</v>
          </cell>
          <cell r="G1292" t="str">
            <v>EQ-Other</v>
          </cell>
          <cell r="H1292" t="str">
            <v>EQ_STYLE</v>
          </cell>
          <cell r="I1292" t="str">
            <v>Local Styles</v>
          </cell>
        </row>
        <row r="1293">
          <cell r="A1293" t="str">
            <v>FMI_WRLD_EARNYIELD</v>
          </cell>
          <cell r="B1293" t="str">
            <v>Earnings Yield</v>
          </cell>
          <cell r="C1293" t="str">
            <v>WRLD Style:Earnings Yield</v>
          </cell>
          <cell r="D1293" t="str">
            <v>BFRE Characteristics</v>
          </cell>
          <cell r="E1293" t="str">
            <v>Style Return</v>
          </cell>
          <cell r="F1293" t="str">
            <v>EQ-Local Styles</v>
          </cell>
          <cell r="G1293" t="str">
            <v>EQ-Other</v>
          </cell>
          <cell r="H1293" t="str">
            <v>EQ_STYLE</v>
          </cell>
          <cell r="I1293" t="str">
            <v>Local Styles</v>
          </cell>
        </row>
        <row r="1294">
          <cell r="A1294" t="str">
            <v>FMI_WRLD_EMERGING</v>
          </cell>
          <cell r="B1294" t="str">
            <v>Emerging</v>
          </cell>
          <cell r="C1294" t="str">
            <v>WRLD Style:Emerging</v>
          </cell>
          <cell r="D1294" t="str">
            <v>BFRE Characteristics</v>
          </cell>
          <cell r="E1294" t="str">
            <v>Style Return</v>
          </cell>
          <cell r="F1294" t="str">
            <v>EQ-Local Styles</v>
          </cell>
          <cell r="G1294" t="str">
            <v>EQ-Other</v>
          </cell>
          <cell r="H1294" t="str">
            <v>EQ_STYLE</v>
          </cell>
          <cell r="I1294" t="str">
            <v>Local Styles</v>
          </cell>
        </row>
        <row r="1295">
          <cell r="A1295" t="str">
            <v>FMI_WRLD_GROWTH</v>
          </cell>
          <cell r="B1295" t="str">
            <v>Growth</v>
          </cell>
          <cell r="C1295" t="str">
            <v>WRLD Style:Growth</v>
          </cell>
          <cell r="D1295" t="str">
            <v>BFRE Characteristics</v>
          </cell>
          <cell r="E1295" t="str">
            <v>Style Return</v>
          </cell>
          <cell r="F1295" t="str">
            <v>EQ-Local Styles</v>
          </cell>
          <cell r="G1295" t="str">
            <v>EQ-Other</v>
          </cell>
          <cell r="H1295" t="str">
            <v>EQ_STYLE</v>
          </cell>
          <cell r="I1295" t="str">
            <v>Local Styles</v>
          </cell>
        </row>
        <row r="1296">
          <cell r="A1296" t="str">
            <v>FMI_WRLD_LEVERAGE</v>
          </cell>
          <cell r="B1296" t="str">
            <v>Leverage</v>
          </cell>
          <cell r="C1296" t="str">
            <v>WRLD Style:Leverage</v>
          </cell>
          <cell r="D1296" t="str">
            <v>BFRE Characteristics</v>
          </cell>
          <cell r="E1296" t="str">
            <v>Style Return</v>
          </cell>
          <cell r="F1296" t="str">
            <v>EQ-Local Styles</v>
          </cell>
          <cell r="G1296" t="str">
            <v>EQ-Other</v>
          </cell>
          <cell r="H1296" t="str">
            <v>EQ_STYLE</v>
          </cell>
          <cell r="I1296" t="str">
            <v>Local Styles</v>
          </cell>
        </row>
        <row r="1297">
          <cell r="A1297" t="str">
            <v>FMI_WRLD_LIQUIDITY</v>
          </cell>
          <cell r="B1297" t="str">
            <v>Liquidity</v>
          </cell>
          <cell r="C1297" t="str">
            <v>WRLD Style:Liquidity</v>
          </cell>
          <cell r="D1297" t="str">
            <v>BFRE Characteristics</v>
          </cell>
          <cell r="E1297" t="str">
            <v>Style Return</v>
          </cell>
          <cell r="F1297" t="str">
            <v>EQ-Local Styles</v>
          </cell>
          <cell r="G1297" t="str">
            <v>EQ-Other</v>
          </cell>
          <cell r="H1297" t="str">
            <v>EQ_STYLE</v>
          </cell>
          <cell r="I1297" t="str">
            <v>Local Styles</v>
          </cell>
        </row>
        <row r="1298">
          <cell r="A1298" t="str">
            <v>FMI_WRLD_MARKET</v>
          </cell>
          <cell r="B1298" t="str">
            <v>Market</v>
          </cell>
          <cell r="C1298" t="str">
            <v>WRLD Style:Market</v>
          </cell>
          <cell r="D1298" t="str">
            <v>BFRE Characteristics</v>
          </cell>
          <cell r="E1298" t="str">
            <v>Style Return</v>
          </cell>
          <cell r="F1298" t="str">
            <v>EQ-Market</v>
          </cell>
          <cell r="G1298" t="str">
            <v>EQ-Market</v>
          </cell>
          <cell r="H1298" t="str">
            <v>EQ_MARKET</v>
          </cell>
          <cell r="I1298" t="str">
            <v>Market</v>
          </cell>
        </row>
        <row r="1299">
          <cell r="A1299" t="str">
            <v>FMI_WRLD_MOMENTUM</v>
          </cell>
          <cell r="B1299" t="str">
            <v>Momentum</v>
          </cell>
          <cell r="C1299" t="str">
            <v>WRLD Style:Momentum</v>
          </cell>
          <cell r="D1299" t="str">
            <v>BFRE Characteristics</v>
          </cell>
          <cell r="E1299" t="str">
            <v>Style Return</v>
          </cell>
          <cell r="F1299" t="str">
            <v>EQ-Momentum</v>
          </cell>
          <cell r="G1299" t="str">
            <v>EQ-Other</v>
          </cell>
          <cell r="H1299" t="str">
            <v>EQ_STYLE</v>
          </cell>
          <cell r="I1299" t="str">
            <v>Momentum</v>
          </cell>
        </row>
        <row r="1300">
          <cell r="A1300" t="str">
            <v>FMI_WRLD_OIL</v>
          </cell>
          <cell r="B1300" t="str">
            <v>Oil</v>
          </cell>
          <cell r="C1300" t="str">
            <v>WRLD Style:Oil</v>
          </cell>
          <cell r="D1300" t="str">
            <v>BFRE Characteristics</v>
          </cell>
          <cell r="E1300" t="str">
            <v>Style Return</v>
          </cell>
          <cell r="F1300" t="str">
            <v>EQ-Local Styles</v>
          </cell>
          <cell r="G1300" t="str">
            <v>EQ-Other</v>
          </cell>
          <cell r="H1300" t="str">
            <v>EQ_STYLE</v>
          </cell>
          <cell r="I1300" t="str">
            <v>Local Styles</v>
          </cell>
        </row>
        <row r="1301">
          <cell r="A1301" t="str">
            <v>FMI_WRLD_PROFIT</v>
          </cell>
          <cell r="B1301" t="str">
            <v>Profitability</v>
          </cell>
          <cell r="C1301" t="str">
            <v>WRLD Style:Profitability</v>
          </cell>
          <cell r="D1301" t="str">
            <v>BFRE Characteristics</v>
          </cell>
          <cell r="E1301" t="str">
            <v>Style Return</v>
          </cell>
          <cell r="F1301" t="str">
            <v>EQ-Local Styles</v>
          </cell>
          <cell r="G1301" t="str">
            <v>EQ-Other</v>
          </cell>
          <cell r="H1301" t="str">
            <v>EQ_STYLE</v>
          </cell>
          <cell r="I1301" t="str">
            <v>Local Styles</v>
          </cell>
        </row>
        <row r="1302">
          <cell r="A1302" t="str">
            <v>FMI_WRLD_REVERSAL</v>
          </cell>
          <cell r="B1302" t="str">
            <v>Reversal</v>
          </cell>
          <cell r="C1302" t="str">
            <v>WRLD Style:Reversal</v>
          </cell>
          <cell r="D1302" t="str">
            <v>BFRE Characteristics</v>
          </cell>
          <cell r="E1302" t="str">
            <v>Style Return</v>
          </cell>
          <cell r="F1302" t="str">
            <v>EQ-Local Styles</v>
          </cell>
          <cell r="G1302" t="str">
            <v>EQ-Other</v>
          </cell>
          <cell r="H1302" t="str">
            <v>EQ_STYLE</v>
          </cell>
          <cell r="I1302" t="str">
            <v>Local Styles</v>
          </cell>
        </row>
        <row r="1303">
          <cell r="A1303" t="str">
            <v>FMI_WRLD_SENTIMENT</v>
          </cell>
          <cell r="B1303" t="str">
            <v>Sentiment</v>
          </cell>
          <cell r="C1303" t="str">
            <v>WRLD Style:Sentiment</v>
          </cell>
          <cell r="D1303" t="str">
            <v>BFRE Characteristics</v>
          </cell>
          <cell r="E1303" t="str">
            <v>Style Return</v>
          </cell>
          <cell r="F1303" t="str">
            <v>EQ-Local Styles</v>
          </cell>
          <cell r="G1303" t="str">
            <v>EQ-Other</v>
          </cell>
          <cell r="H1303" t="str">
            <v>EQ_STYLE</v>
          </cell>
          <cell r="I1303" t="str">
            <v>Local Styles</v>
          </cell>
        </row>
        <row r="1304">
          <cell r="A1304" t="str">
            <v>FMI_WRLD_SIZE</v>
          </cell>
          <cell r="B1304" t="str">
            <v>Size</v>
          </cell>
          <cell r="C1304" t="str">
            <v>WRLD Style:Size</v>
          </cell>
          <cell r="D1304" t="str">
            <v>BFRE Characteristics</v>
          </cell>
          <cell r="E1304" t="str">
            <v>Style Return</v>
          </cell>
          <cell r="F1304" t="str">
            <v>EQ-Size</v>
          </cell>
          <cell r="G1304" t="str">
            <v>EQ-Size</v>
          </cell>
          <cell r="H1304" t="str">
            <v>EQ_STYLE</v>
          </cell>
          <cell r="I1304" t="str">
            <v>Size</v>
          </cell>
        </row>
        <row r="1305">
          <cell r="A1305" t="str">
            <v>FMI_WRLD_SMALLCAP</v>
          </cell>
          <cell r="B1305" t="str">
            <v>SmallCap</v>
          </cell>
          <cell r="C1305" t="str">
            <v>WRLD Style:SmallCap</v>
          </cell>
          <cell r="D1305" t="str">
            <v>BFRE Characteristics</v>
          </cell>
          <cell r="E1305" t="str">
            <v>Style Return</v>
          </cell>
          <cell r="F1305" t="str">
            <v>EQ-Local Styles</v>
          </cell>
          <cell r="G1305" t="str">
            <v>EQ-Other</v>
          </cell>
          <cell r="H1305" t="str">
            <v>EQ_STYLE</v>
          </cell>
          <cell r="I1305" t="str">
            <v>Local Styles</v>
          </cell>
        </row>
        <row r="1306">
          <cell r="A1306" t="str">
            <v>FMI_WRLD_VALUE</v>
          </cell>
          <cell r="B1306" t="str">
            <v>Value</v>
          </cell>
          <cell r="C1306" t="str">
            <v>WRLD Style:Value</v>
          </cell>
          <cell r="D1306" t="str">
            <v>BFRE Characteristics</v>
          </cell>
          <cell r="E1306" t="str">
            <v>Style Return</v>
          </cell>
          <cell r="F1306" t="str">
            <v>EQ-Value</v>
          </cell>
          <cell r="G1306" t="str">
            <v>EQ-Value</v>
          </cell>
          <cell r="H1306" t="str">
            <v>EQ_STYLE</v>
          </cell>
          <cell r="I1306" t="str">
            <v>Value</v>
          </cell>
        </row>
        <row r="1307">
          <cell r="A1307" t="str">
            <v>FMI_WRLD_VOLATILITY</v>
          </cell>
          <cell r="B1307" t="str">
            <v>Volatility</v>
          </cell>
          <cell r="C1307" t="str">
            <v>WRLD Style:Volatility</v>
          </cell>
          <cell r="D1307" t="str">
            <v>Implied Vol Duration</v>
          </cell>
          <cell r="E1307" t="str">
            <v>Implied Vol</v>
          </cell>
          <cell r="F1307" t="str">
            <v>EQ-Volatility</v>
          </cell>
          <cell r="G1307" t="str">
            <v>EQ-Other</v>
          </cell>
          <cell r="H1307" t="str">
            <v>EQ_STYLE</v>
          </cell>
          <cell r="I1307" t="str">
            <v>Volatility</v>
          </cell>
        </row>
        <row r="1308">
          <cell r="A1308" t="str">
            <v>ATS_3m</v>
          </cell>
          <cell r="B1308" t="str">
            <v>ATS 3M</v>
          </cell>
          <cell r="C1308" t="str">
            <v>BRS_GOLD__2_RATES:BRS_GOLD__1_EURSPRD:ATS,USD_CDS_AT_2Y,USD_CDS_AT_5Y:ATS:ATS_3m</v>
          </cell>
          <cell r="D1308" t="str">
            <v>KRD</v>
          </cell>
          <cell r="E1308" t="str">
            <v>Spread Yield (DxS)</v>
          </cell>
          <cell r="F1308" t="str">
            <v xml:space="preserve">FI-Spread Govt Quasi-Core EUR </v>
          </cell>
          <cell r="G1308" t="str">
            <v>FI-Spread Govt NON-Core EUR</v>
          </cell>
          <cell r="H1308" t="str">
            <v>RATES</v>
          </cell>
          <cell r="I1308" t="str">
            <v>Spread Govt Quasi-Core EUR</v>
          </cell>
        </row>
        <row r="1309">
          <cell r="A1309" t="str">
            <v>ATS_1yr</v>
          </cell>
          <cell r="B1309" t="str">
            <v>ATS 1Y</v>
          </cell>
          <cell r="C1309" t="str">
            <v>BRS_GOLD__2_RATES:BRS_GOLD__1_EURSPRD:ATS,USD_CDS_AT_2Y,USD_CDS_AT_5Y:ATS:ATS_1yr</v>
          </cell>
          <cell r="D1309" t="str">
            <v>KRD</v>
          </cell>
          <cell r="E1309" t="str">
            <v>Spread Yield (DxS)</v>
          </cell>
          <cell r="F1309" t="str">
            <v xml:space="preserve">FI-Spread Govt Quasi-Core EUR </v>
          </cell>
          <cell r="G1309" t="str">
            <v>FI-Spread Govt NON-Core EUR</v>
          </cell>
          <cell r="H1309" t="str">
            <v>RATES</v>
          </cell>
          <cell r="I1309" t="str">
            <v>Spread Govt Quasi-Core EUR</v>
          </cell>
        </row>
        <row r="1310">
          <cell r="A1310" t="str">
            <v>ATS_2yr</v>
          </cell>
          <cell r="B1310" t="str">
            <v>ATS 2Y</v>
          </cell>
          <cell r="C1310" t="str">
            <v>BRS_GOLD__2_RATES:BRS_GOLD__1_EURSPRD:ATS,USD_CDS_AT_2Y,USD_CDS_AT_5Y:ATS:ATS_2yr</v>
          </cell>
          <cell r="D1310" t="str">
            <v>KRD</v>
          </cell>
          <cell r="E1310" t="str">
            <v>Spread Yield (DxS)</v>
          </cell>
          <cell r="F1310" t="str">
            <v xml:space="preserve">FI-Spread Govt Quasi-Core EUR </v>
          </cell>
          <cell r="G1310" t="str">
            <v>FI-Spread Govt NON-Core EUR</v>
          </cell>
          <cell r="H1310" t="str">
            <v>RATES</v>
          </cell>
          <cell r="I1310" t="str">
            <v>Spread Govt Quasi-Core EUR</v>
          </cell>
        </row>
        <row r="1311">
          <cell r="A1311" t="str">
            <v>ATS_3yr</v>
          </cell>
          <cell r="B1311" t="str">
            <v>ATS 3Y</v>
          </cell>
          <cell r="C1311" t="str">
            <v>BRS_GOLD__2_RATES:BRS_GOLD__1_EURSPRD:ATS,USD_CDS_AT_2Y,USD_CDS_AT_5Y:ATS:ATS_3yr</v>
          </cell>
          <cell r="D1311" t="str">
            <v>KRD</v>
          </cell>
          <cell r="E1311" t="str">
            <v>Spread Yield (DxS)</v>
          </cell>
          <cell r="F1311" t="str">
            <v xml:space="preserve">FI-Spread Govt Quasi-Core EUR </v>
          </cell>
          <cell r="G1311" t="str">
            <v>FI-Spread Govt NON-Core EUR</v>
          </cell>
          <cell r="H1311" t="str">
            <v>RATES</v>
          </cell>
          <cell r="I1311" t="str">
            <v>Spread Govt Quasi-Core EUR</v>
          </cell>
        </row>
        <row r="1312">
          <cell r="A1312" t="str">
            <v>ATS_5yr</v>
          </cell>
          <cell r="B1312" t="str">
            <v>ATS 5Y</v>
          </cell>
          <cell r="C1312" t="str">
            <v>BRS_GOLD__2_RATES:BRS_GOLD__1_EURSPRD:ATS,USD_CDS_AT_2Y,USD_CDS_AT_5Y:ATS:ATS_5yr</v>
          </cell>
          <cell r="D1312" t="str">
            <v>KRD</v>
          </cell>
          <cell r="E1312" t="str">
            <v>Spread Yield (DxS)</v>
          </cell>
          <cell r="F1312" t="str">
            <v xml:space="preserve">FI-Spread Govt Quasi-Core EUR </v>
          </cell>
          <cell r="G1312" t="str">
            <v>FI-Spread Govt NON-Core EUR</v>
          </cell>
          <cell r="H1312" t="str">
            <v>RATES</v>
          </cell>
          <cell r="I1312" t="str">
            <v>Spread Govt Quasi-Core EUR</v>
          </cell>
        </row>
        <row r="1313">
          <cell r="A1313" t="str">
            <v>ATS_7yr</v>
          </cell>
          <cell r="B1313" t="str">
            <v>ATS 7Y</v>
          </cell>
          <cell r="C1313" t="str">
            <v>BRS_GOLD__2_RATES:BRS_GOLD__1_EURSPRD:ATS,USD_CDS_AT_2Y,USD_CDS_AT_5Y:ATS:ATS_7yr</v>
          </cell>
          <cell r="D1313" t="str">
            <v>KRD</v>
          </cell>
          <cell r="E1313" t="str">
            <v>Spread Yield (DxS)</v>
          </cell>
          <cell r="F1313" t="str">
            <v xml:space="preserve">FI-Spread Govt Quasi-Core EUR </v>
          </cell>
          <cell r="G1313" t="str">
            <v>FI-Spread Govt NON-Core EUR</v>
          </cell>
          <cell r="H1313" t="str">
            <v>RATES</v>
          </cell>
          <cell r="I1313" t="str">
            <v>Spread Govt Quasi-Core EUR</v>
          </cell>
        </row>
        <row r="1314">
          <cell r="A1314" t="str">
            <v>ATS_10yr</v>
          </cell>
          <cell r="B1314" t="str">
            <v>ATS 10Y</v>
          </cell>
          <cell r="C1314" t="str">
            <v>BRS_GOLD__2_RATES:BRS_GOLD__1_EURSPRD:ATS,USD_CDS_AT_2Y,USD_CDS_AT_5Y:ATS:ATS_10yr</v>
          </cell>
          <cell r="D1314" t="str">
            <v>KRD</v>
          </cell>
          <cell r="E1314" t="str">
            <v>Spread Yield (DxS)</v>
          </cell>
          <cell r="F1314" t="str">
            <v xml:space="preserve">FI-Spread Govt Quasi-Core EUR </v>
          </cell>
          <cell r="G1314" t="str">
            <v>FI-Spread Govt NON-Core EUR</v>
          </cell>
          <cell r="H1314" t="str">
            <v>RATES</v>
          </cell>
          <cell r="I1314" t="str">
            <v>Spread Govt Quasi-Core EUR</v>
          </cell>
        </row>
        <row r="1315">
          <cell r="A1315" t="str">
            <v>ATS_15yr</v>
          </cell>
          <cell r="B1315" t="str">
            <v>ATS 15Y</v>
          </cell>
          <cell r="C1315" t="str">
            <v>BRS_GOLD__2_RATES:BRS_GOLD__1_EURSPRD:ATS,USD_CDS_AT_2Y,USD_CDS_AT_5Y:ATS:ATS_15yr</v>
          </cell>
          <cell r="D1315" t="str">
            <v>KRD</v>
          </cell>
          <cell r="E1315" t="str">
            <v>Spread Yield (DxS)</v>
          </cell>
          <cell r="F1315" t="str">
            <v xml:space="preserve">FI-Spread Govt Quasi-Core EUR </v>
          </cell>
          <cell r="G1315" t="str">
            <v>FI-Spread Govt NON-Core EUR</v>
          </cell>
          <cell r="H1315" t="str">
            <v>RATES</v>
          </cell>
          <cell r="I1315" t="str">
            <v>Spread Govt Quasi-Core EUR</v>
          </cell>
        </row>
        <row r="1316">
          <cell r="A1316" t="str">
            <v>ATS_20yr</v>
          </cell>
          <cell r="B1316" t="str">
            <v>ATS 20Y</v>
          </cell>
          <cell r="C1316" t="str">
            <v>BRS_GOLD__2_RATES:BRS_GOLD__1_EURSPRD:ATS,USD_CDS_AT_2Y,USD_CDS_AT_5Y:ATS:ATS_20yr</v>
          </cell>
          <cell r="D1316" t="str">
            <v>KRD</v>
          </cell>
          <cell r="E1316" t="str">
            <v>Spread Yield (DxS)</v>
          </cell>
          <cell r="F1316" t="str">
            <v xml:space="preserve">FI-Spread Govt Quasi-Core EUR </v>
          </cell>
          <cell r="G1316" t="str">
            <v>FI-Spread Govt NON-Core EUR</v>
          </cell>
          <cell r="H1316" t="str">
            <v>RATES</v>
          </cell>
          <cell r="I1316" t="str">
            <v>Spread Govt Quasi-Core EUR</v>
          </cell>
        </row>
        <row r="1317">
          <cell r="A1317" t="str">
            <v>ATS_25yr</v>
          </cell>
          <cell r="B1317" t="str">
            <v>ATS 25Y</v>
          </cell>
          <cell r="C1317" t="str">
            <v>BRS_GOLD__2_RATES:BRS_GOLD__1_EURSPRD:ATS,USD_CDS_AT_2Y,USD_CDS_AT_5Y:ATS:ATS_25yr</v>
          </cell>
          <cell r="D1317" t="str">
            <v>KRD</v>
          </cell>
          <cell r="E1317" t="str">
            <v>Spread Yield (DxS)</v>
          </cell>
          <cell r="F1317" t="str">
            <v xml:space="preserve">FI-Spread Govt Quasi-Core EUR </v>
          </cell>
          <cell r="G1317" t="str">
            <v>FI-Spread Govt NON-Core EUR</v>
          </cell>
          <cell r="H1317" t="str">
            <v>RATES</v>
          </cell>
          <cell r="I1317" t="str">
            <v>Spread Govt Quasi-Core EUR</v>
          </cell>
        </row>
        <row r="1318">
          <cell r="A1318" t="str">
            <v>ATS_30yr</v>
          </cell>
          <cell r="B1318" t="str">
            <v>ATS 30Y</v>
          </cell>
          <cell r="C1318" t="str">
            <v>BRS_GOLD__2_RATES:BRS_GOLD__1_EURSPRD:ATS,USD_CDS_AT_2Y,USD_CDS_AT_5Y:ATS:ATS_30yr</v>
          </cell>
          <cell r="D1318" t="str">
            <v>KRD</v>
          </cell>
          <cell r="E1318" t="str">
            <v>Spread Yield (DxS)</v>
          </cell>
          <cell r="F1318" t="str">
            <v xml:space="preserve">FI-Spread Govt Quasi-Core EUR </v>
          </cell>
          <cell r="G1318" t="str">
            <v>FI-Spread Govt NON-Core EUR</v>
          </cell>
          <cell r="H1318" t="str">
            <v>RATES</v>
          </cell>
          <cell r="I1318" t="str">
            <v>Spread Govt Quasi-Core EUR</v>
          </cell>
        </row>
        <row r="1319">
          <cell r="A1319" t="str">
            <v>BEF_3m</v>
          </cell>
          <cell r="B1319" t="str">
            <v>BEF 3M</v>
          </cell>
          <cell r="C1319" t="str">
            <v>BRS_GOLD__2_RATES:BRS_GOLD__1_EURSPRD:BRS_GOLD__1_BEFIR:BEF,BEF_10yr_10yr:BEF_3m</v>
          </cell>
          <cell r="D1319" t="str">
            <v>KRD</v>
          </cell>
          <cell r="E1319" t="str">
            <v>Spread Yield (DxS)</v>
          </cell>
          <cell r="F1319" t="str">
            <v xml:space="preserve">FI-Spread Govt Quasi-Core EUR </v>
          </cell>
          <cell r="G1319" t="str">
            <v>FI-Spread Govt NON-Core EUR</v>
          </cell>
          <cell r="H1319" t="str">
            <v>RATES</v>
          </cell>
          <cell r="I1319" t="str">
            <v>Spread Govt Quasi-Core EUR</v>
          </cell>
        </row>
        <row r="1320">
          <cell r="A1320" t="str">
            <v>BEF_1yr</v>
          </cell>
          <cell r="B1320" t="str">
            <v>BEF 1Y</v>
          </cell>
          <cell r="C1320" t="str">
            <v>BRS_GOLD__2_RATES:BRS_GOLD__1_EURSPRD:BRS_GOLD__1_BEFIR:BEF,BEF_10yr_10yr:BEF_1yr</v>
          </cell>
          <cell r="D1320" t="str">
            <v>KRD</v>
          </cell>
          <cell r="E1320" t="str">
            <v>Spread Yield (DxS)</v>
          </cell>
          <cell r="F1320" t="str">
            <v xml:space="preserve">FI-Spread Govt Quasi-Core EUR </v>
          </cell>
          <cell r="G1320" t="str">
            <v>FI-Spread Govt NON-Core EUR</v>
          </cell>
          <cell r="H1320" t="str">
            <v>RATES</v>
          </cell>
          <cell r="I1320" t="str">
            <v>Spread Govt Quasi-Core EUR</v>
          </cell>
        </row>
        <row r="1321">
          <cell r="A1321" t="str">
            <v>BEF_2yr</v>
          </cell>
          <cell r="B1321" t="str">
            <v>BEF 2Y</v>
          </cell>
          <cell r="C1321" t="str">
            <v>BRS_GOLD__2_RATES:BRS_GOLD__1_EURSPRD:BRS_GOLD__1_BEFIR:BEF,BEF_10yr_10yr:BEF_2yr</v>
          </cell>
          <cell r="D1321" t="str">
            <v>KRD</v>
          </cell>
          <cell r="E1321" t="str">
            <v>Spread Yield (DxS)</v>
          </cell>
          <cell r="F1321" t="str">
            <v xml:space="preserve">FI-Spread Govt Quasi-Core EUR </v>
          </cell>
          <cell r="G1321" t="str">
            <v>FI-Spread Govt NON-Core EUR</v>
          </cell>
          <cell r="H1321" t="str">
            <v>RATES</v>
          </cell>
          <cell r="I1321" t="str">
            <v>Spread Govt Quasi-Core EUR</v>
          </cell>
        </row>
        <row r="1322">
          <cell r="A1322" t="str">
            <v>BEF_3yr</v>
          </cell>
          <cell r="B1322" t="str">
            <v>BEF 3Y</v>
          </cell>
          <cell r="C1322" t="str">
            <v>BRS_GOLD__2_RATES:BRS_GOLD__1_EURSPRD:BRS_GOLD__1_BEFIR:BEF,BEF_10yr_10yr:BEF_3yr</v>
          </cell>
          <cell r="D1322" t="str">
            <v>KRD</v>
          </cell>
          <cell r="E1322" t="str">
            <v>Spread Yield (DxS)</v>
          </cell>
          <cell r="F1322" t="str">
            <v xml:space="preserve">FI-Spread Govt Quasi-Core EUR </v>
          </cell>
          <cell r="G1322" t="str">
            <v>FI-Spread Govt NON-Core EUR</v>
          </cell>
          <cell r="H1322" t="str">
            <v>RATES</v>
          </cell>
          <cell r="I1322" t="str">
            <v>Spread Govt Quasi-Core EUR</v>
          </cell>
        </row>
        <row r="1323">
          <cell r="A1323" t="str">
            <v>BEF_5yr</v>
          </cell>
          <cell r="B1323" t="str">
            <v>BEF 5Y</v>
          </cell>
          <cell r="C1323" t="str">
            <v>BRS_GOLD__2_RATES:BRS_GOLD__1_EURSPRD:BRS_GOLD__1_BEFIR:BEF,BEF_10yr_10yr:BEF_5yr</v>
          </cell>
          <cell r="D1323" t="str">
            <v>KRD</v>
          </cell>
          <cell r="E1323" t="str">
            <v>Spread Yield (DxS)</v>
          </cell>
          <cell r="F1323" t="str">
            <v xml:space="preserve">FI-Spread Govt Quasi-Core EUR </v>
          </cell>
          <cell r="G1323" t="str">
            <v>FI-Spread Govt NON-Core EUR</v>
          </cell>
          <cell r="H1323" t="str">
            <v>RATES</v>
          </cell>
          <cell r="I1323" t="str">
            <v>Spread Govt Quasi-Core EUR</v>
          </cell>
        </row>
        <row r="1324">
          <cell r="A1324" t="str">
            <v>BEF_7yr</v>
          </cell>
          <cell r="B1324" t="str">
            <v>BEF 7Y</v>
          </cell>
          <cell r="C1324" t="str">
            <v>BRS_GOLD__2_RATES:BRS_GOLD__1_EURSPRD:BRS_GOLD__1_BEFIR:BEF,BEF_10yr_10yr:BEF_7yr</v>
          </cell>
          <cell r="D1324" t="str">
            <v>KRD</v>
          </cell>
          <cell r="E1324" t="str">
            <v>Spread Yield (DxS)</v>
          </cell>
          <cell r="F1324" t="str">
            <v xml:space="preserve">FI-Spread Govt Quasi-Core EUR </v>
          </cell>
          <cell r="G1324" t="str">
            <v>FI-Spread Govt NON-Core EUR</v>
          </cell>
          <cell r="H1324" t="str">
            <v>RATES</v>
          </cell>
          <cell r="I1324" t="str">
            <v>Spread Govt Quasi-Core EUR</v>
          </cell>
        </row>
        <row r="1325">
          <cell r="A1325" t="str">
            <v>BEF_10yr</v>
          </cell>
          <cell r="B1325" t="str">
            <v>BEF 10Y</v>
          </cell>
          <cell r="C1325" t="str">
            <v>BRS_GOLD__2_RATES:BRS_GOLD__1_EURSPRD:BRS_GOLD__1_BEFIR:BEF,BEF_10yr_10yr:BEF_10yr</v>
          </cell>
          <cell r="D1325" t="str">
            <v>KRD</v>
          </cell>
          <cell r="E1325" t="str">
            <v>Spread Yield (DxS)</v>
          </cell>
          <cell r="F1325" t="str">
            <v xml:space="preserve">FI-Spread Govt Quasi-Core EUR </v>
          </cell>
          <cell r="G1325" t="str">
            <v>FI-Spread Govt NON-Core EUR</v>
          </cell>
          <cell r="H1325" t="str">
            <v>RATES</v>
          </cell>
          <cell r="I1325" t="str">
            <v>Spread Govt Quasi-Core EUR</v>
          </cell>
        </row>
        <row r="1326">
          <cell r="A1326" t="str">
            <v>BEF_15yr</v>
          </cell>
          <cell r="B1326" t="str">
            <v>BEF 15Y</v>
          </cell>
          <cell r="C1326" t="str">
            <v>BRS_GOLD__2_RATES:BRS_GOLD__1_EURSPRD:BRS_GOLD__1_BEFIR:BEF,BEF_10yr_10yr:BEF_15yr</v>
          </cell>
          <cell r="D1326" t="str">
            <v>KRD</v>
          </cell>
          <cell r="E1326" t="str">
            <v>Spread Yield (DxS)</v>
          </cell>
          <cell r="F1326" t="str">
            <v xml:space="preserve">FI-Spread Govt Quasi-Core EUR </v>
          </cell>
          <cell r="G1326" t="str">
            <v>FI-Spread Govt NON-Core EUR</v>
          </cell>
          <cell r="H1326" t="str">
            <v>RATES</v>
          </cell>
          <cell r="I1326" t="str">
            <v>Spread Govt Quasi-Core EUR</v>
          </cell>
        </row>
        <row r="1327">
          <cell r="A1327" t="str">
            <v>BEF_20yr</v>
          </cell>
          <cell r="B1327" t="str">
            <v>BEF 20Y</v>
          </cell>
          <cell r="C1327" t="str">
            <v>BRS_GOLD__2_RATES:BRS_GOLD__1_EURSPRD:BRS_GOLD__1_BEFIR:BEF,BEF_10yr_10yr:BEF_20yr</v>
          </cell>
          <cell r="D1327" t="str">
            <v>KRD</v>
          </cell>
          <cell r="E1327" t="str">
            <v>Spread Yield (DxS)</v>
          </cell>
          <cell r="F1327" t="str">
            <v xml:space="preserve">FI-Spread Govt Quasi-Core EUR </v>
          </cell>
          <cell r="G1327" t="str">
            <v>FI-Spread Govt NON-Core EUR</v>
          </cell>
          <cell r="H1327" t="str">
            <v>RATES</v>
          </cell>
          <cell r="I1327" t="str">
            <v>Spread Govt Quasi-Core EUR</v>
          </cell>
        </row>
        <row r="1328">
          <cell r="A1328" t="str">
            <v>BEF_25yr</v>
          </cell>
          <cell r="B1328" t="str">
            <v>BEF 25Y</v>
          </cell>
          <cell r="C1328" t="str">
            <v>BRS_GOLD__2_RATES:BRS_GOLD__1_EURSPRD:BRS_GOLD__1_BEFIR:BEF,BEF_10yr_10yr:BEF_25yr</v>
          </cell>
          <cell r="D1328" t="str">
            <v>KRD</v>
          </cell>
          <cell r="E1328" t="str">
            <v>Spread Yield (DxS)</v>
          </cell>
          <cell r="F1328" t="str">
            <v xml:space="preserve">FI-Spread Govt Quasi-Core EUR </v>
          </cell>
          <cell r="G1328" t="str">
            <v>FI-Spread Govt NON-Core EUR</v>
          </cell>
          <cell r="H1328" t="str">
            <v>RATES</v>
          </cell>
          <cell r="I1328" t="str">
            <v>Spread Govt Quasi-Core EUR</v>
          </cell>
        </row>
        <row r="1329">
          <cell r="A1329" t="str">
            <v>BEF_30yr</v>
          </cell>
          <cell r="B1329" t="str">
            <v>BEF 30Y</v>
          </cell>
          <cell r="C1329" t="str">
            <v>BRS_GOLD__2_RATES:BRS_GOLD__1_EURSPRD:BRS_GOLD__1_BEFIR:BEF,BEF_10yr_10yr:BEF_30yr</v>
          </cell>
          <cell r="D1329" t="str">
            <v>KRD</v>
          </cell>
          <cell r="E1329" t="str">
            <v>Spread Yield (DxS)</v>
          </cell>
          <cell r="F1329" t="str">
            <v xml:space="preserve">FI-Spread Govt Quasi-Core EUR </v>
          </cell>
          <cell r="G1329" t="str">
            <v>FI-Spread Govt NON-Core EUR</v>
          </cell>
          <cell r="H1329" t="str">
            <v>RATES</v>
          </cell>
          <cell r="I1329" t="str">
            <v>Spread Govt Quasi-Core EUR</v>
          </cell>
        </row>
        <row r="1330">
          <cell r="A1330" t="str">
            <v>FIM_3m</v>
          </cell>
          <cell r="B1330" t="str">
            <v>FIM 3M</v>
          </cell>
          <cell r="C1330" t="str">
            <v>BRS_GOLD__2_RATES:BRS_GOLD__1_EURSPRD:FIM,USD_CDS_FI_2Y,USD_CDS_FI_5Y:FIM:FIM_3m</v>
          </cell>
          <cell r="D1330" t="str">
            <v>KRD</v>
          </cell>
          <cell r="E1330" t="str">
            <v>Spread Yield (DxS)</v>
          </cell>
          <cell r="F1330" t="str">
            <v xml:space="preserve">FI-Spread Govt Quasi-Core EUR </v>
          </cell>
          <cell r="G1330" t="str">
            <v>FI-Spread Govt NON-Core EUR</v>
          </cell>
          <cell r="H1330" t="str">
            <v>RATES</v>
          </cell>
          <cell r="I1330" t="str">
            <v>Spread Govt Quasi-Core EUR</v>
          </cell>
        </row>
        <row r="1331">
          <cell r="A1331" t="str">
            <v>FIM_1yr</v>
          </cell>
          <cell r="B1331" t="str">
            <v>FIM 1Y</v>
          </cell>
          <cell r="C1331" t="str">
            <v>BRS_GOLD__2_RATES:BRS_GOLD__1_EURSPRD:FIM,USD_CDS_FI_2Y,USD_CDS_FI_5Y:FIM:FIM_1yr</v>
          </cell>
          <cell r="D1331" t="str">
            <v>KRD</v>
          </cell>
          <cell r="E1331" t="str">
            <v>Spread Yield (DxS)</v>
          </cell>
          <cell r="F1331" t="str">
            <v xml:space="preserve">FI-Spread Govt Quasi-Core EUR </v>
          </cell>
          <cell r="G1331" t="str">
            <v>FI-Spread Govt NON-Core EUR</v>
          </cell>
          <cell r="H1331" t="str">
            <v>RATES</v>
          </cell>
          <cell r="I1331" t="str">
            <v>Spread Govt Quasi-Core EUR</v>
          </cell>
        </row>
        <row r="1332">
          <cell r="A1332" t="str">
            <v>FIM_2yr</v>
          </cell>
          <cell r="B1332" t="str">
            <v>FIM 2Y</v>
          </cell>
          <cell r="C1332" t="str">
            <v>BRS_GOLD__2_RATES:BRS_GOLD__1_EURSPRD:FIM,USD_CDS_FI_2Y,USD_CDS_FI_5Y:FIM:FIM_2yr</v>
          </cell>
          <cell r="D1332" t="str">
            <v>KRD</v>
          </cell>
          <cell r="E1332" t="str">
            <v>Spread Yield (DxS)</v>
          </cell>
          <cell r="F1332" t="str">
            <v xml:space="preserve">FI-Spread Govt Quasi-Core EUR </v>
          </cell>
          <cell r="G1332" t="str">
            <v>FI-Spread Govt NON-Core EUR</v>
          </cell>
          <cell r="H1332" t="str">
            <v>RATES</v>
          </cell>
          <cell r="I1332" t="str">
            <v>Spread Govt Quasi-Core EUR</v>
          </cell>
        </row>
        <row r="1333">
          <cell r="A1333" t="str">
            <v>FIM_3yr</v>
          </cell>
          <cell r="B1333" t="str">
            <v>FIM 3Y</v>
          </cell>
          <cell r="C1333" t="str">
            <v>BRS_GOLD__2_RATES:BRS_GOLD__1_EURSPRD:FIM,USD_CDS_FI_2Y,USD_CDS_FI_5Y:FIM:FIM_3yr</v>
          </cell>
          <cell r="D1333" t="str">
            <v>KRD</v>
          </cell>
          <cell r="E1333" t="str">
            <v>Spread Yield (DxS)</v>
          </cell>
          <cell r="F1333" t="str">
            <v xml:space="preserve">FI-Spread Govt Quasi-Core EUR </v>
          </cell>
          <cell r="G1333" t="str">
            <v>FI-Spread Govt NON-Core EUR</v>
          </cell>
          <cell r="H1333" t="str">
            <v>RATES</v>
          </cell>
          <cell r="I1333" t="str">
            <v>Spread Govt Quasi-Core EUR</v>
          </cell>
        </row>
        <row r="1334">
          <cell r="A1334" t="str">
            <v>FIM_5yr</v>
          </cell>
          <cell r="B1334" t="str">
            <v>FIM 5Y</v>
          </cell>
          <cell r="C1334" t="str">
            <v>BRS_GOLD__2_RATES:BRS_GOLD__1_EURSPRD:FIM,USD_CDS_FI_2Y,USD_CDS_FI_5Y:FIM:FIM_5yr</v>
          </cell>
          <cell r="D1334" t="str">
            <v>KRD</v>
          </cell>
          <cell r="E1334" t="str">
            <v>Spread Yield (DxS)</v>
          </cell>
          <cell r="F1334" t="str">
            <v xml:space="preserve">FI-Spread Govt Quasi-Core EUR </v>
          </cell>
          <cell r="G1334" t="str">
            <v>FI-Spread Govt NON-Core EUR</v>
          </cell>
          <cell r="H1334" t="str">
            <v>RATES</v>
          </cell>
          <cell r="I1334" t="str">
            <v>Spread Govt Quasi-Core EUR</v>
          </cell>
        </row>
        <row r="1335">
          <cell r="A1335" t="str">
            <v>FIM_7yr</v>
          </cell>
          <cell r="B1335" t="str">
            <v>FIM 7Y</v>
          </cell>
          <cell r="C1335" t="str">
            <v>BRS_GOLD__2_RATES:BRS_GOLD__1_EURSPRD:FIM,USD_CDS_FI_2Y,USD_CDS_FI_5Y:FIM:FIM_7yr</v>
          </cell>
          <cell r="D1335" t="str">
            <v>KRD</v>
          </cell>
          <cell r="E1335" t="str">
            <v>Spread Yield (DxS)</v>
          </cell>
          <cell r="F1335" t="str">
            <v xml:space="preserve">FI-Spread Govt Quasi-Core EUR </v>
          </cell>
          <cell r="G1335" t="str">
            <v>FI-Spread Govt NON-Core EUR</v>
          </cell>
          <cell r="H1335" t="str">
            <v>RATES</v>
          </cell>
          <cell r="I1335" t="str">
            <v>Spread Govt Quasi-Core EUR</v>
          </cell>
        </row>
        <row r="1336">
          <cell r="A1336" t="str">
            <v>FIM_10yr</v>
          </cell>
          <cell r="B1336" t="str">
            <v>FIM 10Y</v>
          </cell>
          <cell r="C1336" t="str">
            <v>BRS_GOLD__2_RATES:BRS_GOLD__1_EURSPRD:FIM,USD_CDS_FI_2Y,USD_CDS_FI_5Y:FIM:FIM_10yr</v>
          </cell>
          <cell r="D1336" t="str">
            <v>KRD</v>
          </cell>
          <cell r="E1336" t="str">
            <v>Spread Yield (DxS)</v>
          </cell>
          <cell r="F1336" t="str">
            <v xml:space="preserve">FI-Spread Govt Quasi-Core EUR </v>
          </cell>
          <cell r="G1336" t="str">
            <v>FI-Spread Govt NON-Core EUR</v>
          </cell>
          <cell r="H1336" t="str">
            <v>RATES</v>
          </cell>
          <cell r="I1336" t="str">
            <v>Spread Govt Quasi-Core EUR</v>
          </cell>
        </row>
        <row r="1337">
          <cell r="A1337" t="str">
            <v>FIM_15yr</v>
          </cell>
          <cell r="B1337" t="str">
            <v>FIM 15Y</v>
          </cell>
          <cell r="C1337" t="str">
            <v>BRS_GOLD__2_RATES:BRS_GOLD__1_EURSPRD:FIM,USD_CDS_FI_2Y,USD_CDS_FI_5Y:FIM:FIM_15yr</v>
          </cell>
          <cell r="D1337" t="str">
            <v>KRD</v>
          </cell>
          <cell r="E1337" t="str">
            <v>Spread Yield (DxS)</v>
          </cell>
          <cell r="F1337" t="str">
            <v xml:space="preserve">FI-Spread Govt Quasi-Core EUR </v>
          </cell>
          <cell r="G1337" t="str">
            <v>FI-Spread Govt NON-Core EUR</v>
          </cell>
          <cell r="H1337" t="str">
            <v>RATES</v>
          </cell>
          <cell r="I1337" t="str">
            <v>Spread Govt Quasi-Core EUR</v>
          </cell>
        </row>
        <row r="1338">
          <cell r="A1338" t="str">
            <v>FIM_20yr</v>
          </cell>
          <cell r="B1338" t="str">
            <v>FIM 20Y</v>
          </cell>
          <cell r="C1338" t="str">
            <v>BRS_GOLD__2_RATES:BRS_GOLD__1_EURSPRD:FIM,USD_CDS_FI_2Y,USD_CDS_FI_5Y:FIM:FIM_20yr</v>
          </cell>
          <cell r="D1338" t="str">
            <v>KRD</v>
          </cell>
          <cell r="E1338" t="str">
            <v>Spread Yield (DxS)</v>
          </cell>
          <cell r="F1338" t="str">
            <v xml:space="preserve">FI-Spread Govt Quasi-Core EUR </v>
          </cell>
          <cell r="G1338" t="str">
            <v>FI-Spread Govt NON-Core EUR</v>
          </cell>
          <cell r="H1338" t="str">
            <v>RATES</v>
          </cell>
          <cell r="I1338" t="str">
            <v>Spread Govt Quasi-Core EUR</v>
          </cell>
        </row>
        <row r="1339">
          <cell r="A1339" t="str">
            <v>FIM_25yr</v>
          </cell>
          <cell r="B1339" t="str">
            <v>FIM 25Y</v>
          </cell>
          <cell r="C1339" t="str">
            <v>BRS_GOLD__2_RATES:BRS_GOLD__1_EURSPRD:FIM,USD_CDS_FI_2Y,USD_CDS_FI_5Y:FIM:FIM_25yr</v>
          </cell>
          <cell r="D1339" t="str">
            <v>KRD</v>
          </cell>
          <cell r="E1339" t="str">
            <v>Spread Yield (DxS)</v>
          </cell>
          <cell r="F1339" t="str">
            <v xml:space="preserve">FI-Spread Govt Quasi-Core EUR </v>
          </cell>
          <cell r="G1339" t="str">
            <v>FI-Spread Govt NON-Core EUR</v>
          </cell>
          <cell r="H1339" t="str">
            <v>RATES</v>
          </cell>
          <cell r="I1339" t="str">
            <v>Spread Govt Quasi-Core EUR</v>
          </cell>
        </row>
        <row r="1340">
          <cell r="A1340" t="str">
            <v>FIM_30yr</v>
          </cell>
          <cell r="B1340" t="str">
            <v>FIM 30Y</v>
          </cell>
          <cell r="C1340" t="str">
            <v>BRS_GOLD__2_RATES:BRS_GOLD__1_EURSPRD:FIM,USD_CDS_FI_2Y,USD_CDS_FI_5Y:FIM:FIM_30yr</v>
          </cell>
          <cell r="D1340" t="str">
            <v>KRD</v>
          </cell>
          <cell r="E1340" t="str">
            <v>Spread Yield (DxS)</v>
          </cell>
          <cell r="F1340" t="str">
            <v xml:space="preserve">FI-Spread Govt Quasi-Core EUR </v>
          </cell>
          <cell r="G1340" t="str">
            <v>FI-Spread Govt NON-Core EUR</v>
          </cell>
          <cell r="H1340" t="str">
            <v>RATES</v>
          </cell>
          <cell r="I1340" t="str">
            <v>Spread Govt Quasi-Core EUR</v>
          </cell>
        </row>
        <row r="1341">
          <cell r="A1341" t="str">
            <v>FRF_3m</v>
          </cell>
          <cell r="B1341" t="str">
            <v>FRF 3M</v>
          </cell>
          <cell r="C1341" t="str">
            <v>BRS_GOLD__2_RATES:BRS_GOLD__1_EURSPRD:BRS_GOLD__1_FRFIR:FRF,FRF_10yr_10yr:FRF_3m</v>
          </cell>
          <cell r="D1341" t="str">
            <v>KRD</v>
          </cell>
          <cell r="E1341" t="str">
            <v>Spread Yield (DxS)</v>
          </cell>
          <cell r="F1341" t="str">
            <v xml:space="preserve">FI-Spread Govt Quasi-Core EUR </v>
          </cell>
          <cell r="G1341" t="str">
            <v>FI-Spread Govt NON-Core EUR</v>
          </cell>
          <cell r="H1341" t="str">
            <v>RATES</v>
          </cell>
          <cell r="I1341" t="str">
            <v>Spread Govt Quasi-Core EUR</v>
          </cell>
        </row>
        <row r="1342">
          <cell r="A1342" t="str">
            <v>FRF_1yr</v>
          </cell>
          <cell r="B1342" t="str">
            <v>FRF 1Y</v>
          </cell>
          <cell r="C1342" t="str">
            <v>BRS_GOLD__2_RATES:BRS_GOLD__1_EURSPRD:BRS_GOLD__1_FRFIR:FRF,FRF_10yr_10yr:FRF_1yr</v>
          </cell>
          <cell r="D1342" t="str">
            <v>KRD</v>
          </cell>
          <cell r="E1342" t="str">
            <v>Spread Yield (DxS)</v>
          </cell>
          <cell r="F1342" t="str">
            <v xml:space="preserve">FI-Spread Govt Quasi-Core EUR </v>
          </cell>
          <cell r="G1342" t="str">
            <v>FI-Spread Govt NON-Core EUR</v>
          </cell>
          <cell r="H1342" t="str">
            <v>RATES</v>
          </cell>
          <cell r="I1342" t="str">
            <v>Spread Govt Quasi-Core EUR</v>
          </cell>
        </row>
        <row r="1343">
          <cell r="A1343" t="str">
            <v>FRF_2yr</v>
          </cell>
          <cell r="B1343" t="str">
            <v>FRF 2Y</v>
          </cell>
          <cell r="C1343" t="str">
            <v>BRS_GOLD__2_RATES:BRS_GOLD__1_EURSPRD:BRS_GOLD__1_FRFIR:FRF,FRF_10yr_10yr:FRF_2yr</v>
          </cell>
          <cell r="D1343" t="str">
            <v>KRD</v>
          </cell>
          <cell r="E1343" t="str">
            <v>Spread Yield (DxS)</v>
          </cell>
          <cell r="F1343" t="str">
            <v xml:space="preserve">FI-Spread Govt Quasi-Core EUR </v>
          </cell>
          <cell r="G1343" t="str">
            <v>FI-Spread Govt NON-Core EUR</v>
          </cell>
          <cell r="H1343" t="str">
            <v>RATES</v>
          </cell>
          <cell r="I1343" t="str">
            <v>Spread Govt Quasi-Core EUR</v>
          </cell>
        </row>
        <row r="1344">
          <cell r="A1344" t="str">
            <v>FRF_3yr</v>
          </cell>
          <cell r="B1344" t="str">
            <v>FRF 3Y</v>
          </cell>
          <cell r="C1344" t="str">
            <v>BRS_GOLD__2_RATES:BRS_GOLD__1_EURSPRD:BRS_GOLD__1_FRFIR:FRF,FRF_10yr_10yr:FRF_3yr</v>
          </cell>
          <cell r="D1344" t="str">
            <v>KRD</v>
          </cell>
          <cell r="E1344" t="str">
            <v>Spread Yield (DxS)</v>
          </cell>
          <cell r="F1344" t="str">
            <v xml:space="preserve">FI-Spread Govt Quasi-Core EUR </v>
          </cell>
          <cell r="G1344" t="str">
            <v>FI-Spread Govt NON-Core EUR</v>
          </cell>
          <cell r="H1344" t="str">
            <v>RATES</v>
          </cell>
          <cell r="I1344" t="str">
            <v>Spread Govt Quasi-Core EUR</v>
          </cell>
        </row>
        <row r="1345">
          <cell r="A1345" t="str">
            <v>FRF_5yr</v>
          </cell>
          <cell r="B1345" t="str">
            <v>FRF 5Y</v>
          </cell>
          <cell r="C1345" t="str">
            <v>BRS_GOLD__2_RATES:BRS_GOLD__1_EURSPRD:BRS_GOLD__1_FRFIR:FRF,FRF_10yr_10yr:FRF_5yr</v>
          </cell>
          <cell r="D1345" t="str">
            <v>KRD</v>
          </cell>
          <cell r="E1345" t="str">
            <v>Spread Yield (DxS)</v>
          </cell>
          <cell r="F1345" t="str">
            <v xml:space="preserve">FI-Spread Govt Quasi-Core EUR </v>
          </cell>
          <cell r="G1345" t="str">
            <v>FI-Spread Govt NON-Core EUR</v>
          </cell>
          <cell r="H1345" t="str">
            <v>RATES</v>
          </cell>
          <cell r="I1345" t="str">
            <v>Spread Govt Quasi-Core EUR</v>
          </cell>
        </row>
        <row r="1346">
          <cell r="A1346" t="str">
            <v>FRF_7yr</v>
          </cell>
          <cell r="B1346" t="str">
            <v>FRF 7Y</v>
          </cell>
          <cell r="C1346" t="str">
            <v>BRS_GOLD__2_RATES:BRS_GOLD__1_EURSPRD:BRS_GOLD__1_FRFIR:FRF,FRF_10yr_10yr:FRF_7yr</v>
          </cell>
          <cell r="D1346" t="str">
            <v>KRD</v>
          </cell>
          <cell r="E1346" t="str">
            <v>Spread Yield (DxS)</v>
          </cell>
          <cell r="F1346" t="str">
            <v xml:space="preserve">FI-Spread Govt Quasi-Core EUR </v>
          </cell>
          <cell r="G1346" t="str">
            <v>FI-Spread Govt NON-Core EUR</v>
          </cell>
          <cell r="H1346" t="str">
            <v>RATES</v>
          </cell>
          <cell r="I1346" t="str">
            <v>Spread Govt Quasi-Core EUR</v>
          </cell>
        </row>
        <row r="1347">
          <cell r="A1347" t="str">
            <v>FRF_10yr</v>
          </cell>
          <cell r="B1347" t="str">
            <v>FRF 10Y</v>
          </cell>
          <cell r="C1347" t="str">
            <v>BRS_GOLD__2_RATES:BRS_GOLD__1_EURSPRD:BRS_GOLD__1_FRFIR:FRF,FRF_10yr_10yr:FRF_10yr</v>
          </cell>
          <cell r="D1347" t="str">
            <v>KRD</v>
          </cell>
          <cell r="E1347" t="str">
            <v>Spread Yield (DxS)</v>
          </cell>
          <cell r="F1347" t="str">
            <v xml:space="preserve">FI-Spread Govt Quasi-Core EUR </v>
          </cell>
          <cell r="G1347" t="str">
            <v>FI-Spread Govt NON-Core EUR</v>
          </cell>
          <cell r="H1347" t="str">
            <v>RATES</v>
          </cell>
          <cell r="I1347" t="str">
            <v>Spread Govt Quasi-Core EUR</v>
          </cell>
        </row>
        <row r="1348">
          <cell r="A1348" t="str">
            <v>FRF_15yr</v>
          </cell>
          <cell r="B1348" t="str">
            <v>FRF 15Y</v>
          </cell>
          <cell r="C1348" t="str">
            <v>BRS_GOLD__2_RATES:BRS_GOLD__1_EURSPRD:BRS_GOLD__1_FRFIR:FRF,FRF_10yr_10yr:FRF_15yr</v>
          </cell>
          <cell r="D1348" t="str">
            <v>KRD</v>
          </cell>
          <cell r="E1348" t="str">
            <v>Spread Yield (DxS)</v>
          </cell>
          <cell r="F1348" t="str">
            <v xml:space="preserve">FI-Spread Govt Quasi-Core EUR </v>
          </cell>
          <cell r="G1348" t="str">
            <v>FI-Spread Govt NON-Core EUR</v>
          </cell>
          <cell r="H1348" t="str">
            <v>RATES</v>
          </cell>
          <cell r="I1348" t="str">
            <v>Spread Govt Quasi-Core EUR</v>
          </cell>
        </row>
        <row r="1349">
          <cell r="A1349" t="str">
            <v>FRF_20yr</v>
          </cell>
          <cell r="B1349" t="str">
            <v>FRF 20Y</v>
          </cell>
          <cell r="C1349" t="str">
            <v>BRS_GOLD__2_RATES:BRS_GOLD__1_EURSPRD:BRS_GOLD__1_FRFIR:FRF,FRF_10yr_10yr:FRF_20yr</v>
          </cell>
          <cell r="D1349" t="str">
            <v>KRD</v>
          </cell>
          <cell r="E1349" t="str">
            <v>Spread Yield (DxS)</v>
          </cell>
          <cell r="F1349" t="str">
            <v xml:space="preserve">FI-Spread Govt Quasi-Core EUR </v>
          </cell>
          <cell r="G1349" t="str">
            <v>FI-Spread Govt NON-Core EUR</v>
          </cell>
          <cell r="H1349" t="str">
            <v>RATES</v>
          </cell>
          <cell r="I1349" t="str">
            <v>Spread Govt Quasi-Core EUR</v>
          </cell>
        </row>
        <row r="1350">
          <cell r="A1350" t="str">
            <v>FRF_25yr</v>
          </cell>
          <cell r="B1350" t="str">
            <v>FRF 25Y</v>
          </cell>
          <cell r="C1350" t="str">
            <v>BRS_GOLD__2_RATES:BRS_GOLD__1_EURSPRD:BRS_GOLD__1_FRFIR:FRF,FRF_10yr_10yr:FRF_25yr</v>
          </cell>
          <cell r="D1350" t="str">
            <v>KRD</v>
          </cell>
          <cell r="E1350" t="str">
            <v>Spread Yield (DxS)</v>
          </cell>
          <cell r="F1350" t="str">
            <v xml:space="preserve">FI-Spread Govt Quasi-Core EUR </v>
          </cell>
          <cell r="G1350" t="str">
            <v>FI-Spread Govt NON-Core EUR</v>
          </cell>
          <cell r="H1350" t="str">
            <v>RATES</v>
          </cell>
          <cell r="I1350" t="str">
            <v>Spread Govt Quasi-Core EUR</v>
          </cell>
        </row>
        <row r="1351">
          <cell r="A1351" t="str">
            <v>FRF_30yr</v>
          </cell>
          <cell r="B1351" t="str">
            <v>FRF 30Y</v>
          </cell>
          <cell r="C1351" t="str">
            <v>BRS_GOLD__2_RATES:BRS_GOLD__1_EURSPRD:BRS_GOLD__1_FRFIR:FRF,FRF_10yr_10yr:FRF_30yr</v>
          </cell>
          <cell r="D1351" t="str">
            <v>KRD</v>
          </cell>
          <cell r="E1351" t="str">
            <v>Spread Yield (DxS)</v>
          </cell>
          <cell r="F1351" t="str">
            <v xml:space="preserve">FI-Spread Govt Quasi-Core EUR </v>
          </cell>
          <cell r="G1351" t="str">
            <v>FI-Spread Govt NON-Core EUR</v>
          </cell>
          <cell r="H1351" t="str">
            <v>RATES</v>
          </cell>
          <cell r="I1351" t="str">
            <v>Spread Govt Quasi-Core EUR</v>
          </cell>
        </row>
        <row r="1352">
          <cell r="A1352" t="str">
            <v>FRF_40yr</v>
          </cell>
          <cell r="B1352" t="str">
            <v>FRF 40Y</v>
          </cell>
          <cell r="C1352" t="str">
            <v>BRS_GOLD__2_RATES:BRS_GOLD__1_EURSPRD:BRS_GOLD__1_FRFIR:FRF,FRF_10yr_10yr:FRF_40yr</v>
          </cell>
          <cell r="D1352" t="str">
            <v>KRD</v>
          </cell>
          <cell r="E1352" t="str">
            <v>Spread Yield (DxS)</v>
          </cell>
          <cell r="F1352" t="str">
            <v xml:space="preserve">FI-Spread Govt Quasi-Core EUR </v>
          </cell>
          <cell r="G1352" t="str">
            <v>FI-Spread Govt NON-Core EUR</v>
          </cell>
          <cell r="H1352" t="str">
            <v>RATES</v>
          </cell>
          <cell r="I1352" t="str">
            <v>Spread Govt Quasi-Core EUR</v>
          </cell>
        </row>
        <row r="1353">
          <cell r="A1353" t="str">
            <v>FRF_50yr</v>
          </cell>
          <cell r="B1353" t="str">
            <v>FRF 50Y</v>
          </cell>
          <cell r="C1353" t="str">
            <v>BRS_GOLD__2_RATES:BRS_GOLD__1_EURSPRD:BRS_GOLD__1_FRFIR:FRF,FRF_10yr_10yr:FRF_50yr</v>
          </cell>
          <cell r="D1353" t="str">
            <v>KRD</v>
          </cell>
          <cell r="E1353" t="str">
            <v>Spread Yield (DxS)</v>
          </cell>
          <cell r="F1353" t="str">
            <v xml:space="preserve">FI-Spread Govt Quasi-Core EUR </v>
          </cell>
          <cell r="G1353" t="str">
            <v>FI-Spread Govt NON-Core EUR</v>
          </cell>
          <cell r="H1353" t="str">
            <v>RATES</v>
          </cell>
          <cell r="I1353" t="str">
            <v>Spread Govt Quasi-Core EUR</v>
          </cell>
        </row>
        <row r="1354">
          <cell r="A1354" t="str">
            <v>NLG_3m</v>
          </cell>
          <cell r="B1354" t="str">
            <v>NLG 3M</v>
          </cell>
          <cell r="C1354" t="str">
            <v>BRS_GOLD__2_RATES:BRS_GOLD__1_EURSPRD:BRS_GOLD__1_NLGIR:NLG,NLG_10yr_10yr:NLG_3m</v>
          </cell>
          <cell r="D1354" t="str">
            <v>KRD</v>
          </cell>
          <cell r="E1354" t="str">
            <v>Spread Yield (DxS)</v>
          </cell>
          <cell r="F1354" t="str">
            <v xml:space="preserve">FI-Spread Govt Quasi-Core EUR </v>
          </cell>
          <cell r="G1354" t="str">
            <v>FI-Spread Govt NON-Core EUR</v>
          </cell>
          <cell r="H1354" t="str">
            <v>RATES</v>
          </cell>
          <cell r="I1354" t="str">
            <v>Spread Govt Quasi-Core EUR</v>
          </cell>
        </row>
        <row r="1355">
          <cell r="A1355" t="str">
            <v>NLG_1yr</v>
          </cell>
          <cell r="B1355" t="str">
            <v>NLG 1Y</v>
          </cell>
          <cell r="C1355" t="str">
            <v>BRS_GOLD__2_RATES:BRS_GOLD__1_EURSPRD:BRS_GOLD__1_NLGIR:NLG,NLG_10yr_10yr:NLG_1yr</v>
          </cell>
          <cell r="D1355" t="str">
            <v>KRD</v>
          </cell>
          <cell r="E1355" t="str">
            <v>Spread Yield (DxS)</v>
          </cell>
          <cell r="F1355" t="str">
            <v xml:space="preserve">FI-Spread Govt Quasi-Core EUR </v>
          </cell>
          <cell r="G1355" t="str">
            <v>FI-Spread Govt NON-Core EUR</v>
          </cell>
          <cell r="H1355" t="str">
            <v>RATES</v>
          </cell>
          <cell r="I1355" t="str">
            <v>Spread Govt Quasi-Core EUR</v>
          </cell>
        </row>
        <row r="1356">
          <cell r="A1356" t="str">
            <v>NLG_2yr</v>
          </cell>
          <cell r="B1356" t="str">
            <v>NLG 2Y</v>
          </cell>
          <cell r="C1356" t="str">
            <v>BRS_GOLD__2_RATES:BRS_GOLD__1_EURSPRD:BRS_GOLD__1_NLGIR:NLG,NLG_10yr_10yr:NLG_2yr</v>
          </cell>
          <cell r="D1356" t="str">
            <v>KRD</v>
          </cell>
          <cell r="E1356" t="str">
            <v>Spread Yield (DxS)</v>
          </cell>
          <cell r="F1356" t="str">
            <v xml:space="preserve">FI-Spread Govt Quasi-Core EUR </v>
          </cell>
          <cell r="G1356" t="str">
            <v>FI-Spread Govt NON-Core EUR</v>
          </cell>
          <cell r="H1356" t="str">
            <v>RATES</v>
          </cell>
          <cell r="I1356" t="str">
            <v>Spread Govt Quasi-Core EUR</v>
          </cell>
        </row>
        <row r="1357">
          <cell r="A1357" t="str">
            <v>NLG_3yr</v>
          </cell>
          <cell r="B1357" t="str">
            <v>NLG 3Y</v>
          </cell>
          <cell r="C1357" t="str">
            <v>BRS_GOLD__2_RATES:BRS_GOLD__1_EURSPRD:BRS_GOLD__1_NLGIR:NLG,NLG_10yr_10yr:NLG_3yr</v>
          </cell>
          <cell r="D1357" t="str">
            <v>KRD</v>
          </cell>
          <cell r="E1357" t="str">
            <v>Spread Yield (DxS)</v>
          </cell>
          <cell r="F1357" t="str">
            <v xml:space="preserve">FI-Spread Govt Quasi-Core EUR </v>
          </cell>
          <cell r="G1357" t="str">
            <v>FI-Spread Govt NON-Core EUR</v>
          </cell>
          <cell r="H1357" t="str">
            <v>RATES</v>
          </cell>
          <cell r="I1357" t="str">
            <v>Spread Govt Quasi-Core EUR</v>
          </cell>
        </row>
        <row r="1358">
          <cell r="A1358" t="str">
            <v>NLG_5yr</v>
          </cell>
          <cell r="B1358" t="str">
            <v>NLG 5Y</v>
          </cell>
          <cell r="C1358" t="str">
            <v>BRS_GOLD__2_RATES:BRS_GOLD__1_EURSPRD:BRS_GOLD__1_NLGIR:NLG,NLG_10yr_10yr:NLG_5yr</v>
          </cell>
          <cell r="D1358" t="str">
            <v>KRD</v>
          </cell>
          <cell r="E1358" t="str">
            <v>Spread Yield (DxS)</v>
          </cell>
          <cell r="F1358" t="str">
            <v xml:space="preserve">FI-Spread Govt Quasi-Core EUR </v>
          </cell>
          <cell r="G1358" t="str">
            <v>FI-Spread Govt NON-Core EUR</v>
          </cell>
          <cell r="H1358" t="str">
            <v>RATES</v>
          </cell>
          <cell r="I1358" t="str">
            <v>Spread Govt Quasi-Core EUR</v>
          </cell>
        </row>
        <row r="1359">
          <cell r="A1359" t="str">
            <v>NLG_7yr</v>
          </cell>
          <cell r="B1359" t="str">
            <v>NLG 7Y</v>
          </cell>
          <cell r="C1359" t="str">
            <v>BRS_GOLD__2_RATES:BRS_GOLD__1_EURSPRD:BRS_GOLD__1_NLGIR:NLG,NLG_10yr_10yr:NLG_7yr</v>
          </cell>
          <cell r="D1359" t="str">
            <v>KRD</v>
          </cell>
          <cell r="E1359" t="str">
            <v>Spread Yield (DxS)</v>
          </cell>
          <cell r="F1359" t="str">
            <v xml:space="preserve">FI-Spread Govt Quasi-Core EUR </v>
          </cell>
          <cell r="G1359" t="str">
            <v>FI-Spread Govt NON-Core EUR</v>
          </cell>
          <cell r="H1359" t="str">
            <v>RATES</v>
          </cell>
          <cell r="I1359" t="str">
            <v>Spread Govt Quasi-Core EUR</v>
          </cell>
        </row>
        <row r="1360">
          <cell r="A1360" t="str">
            <v>NLG_10yr</v>
          </cell>
          <cell r="B1360" t="str">
            <v>NLG 10Y</v>
          </cell>
          <cell r="C1360" t="str">
            <v>BRS_GOLD__2_RATES:BRS_GOLD__1_EURSPRD:BRS_GOLD__1_NLGIR:NLG,NLG_10yr_10yr:NLG_10yr</v>
          </cell>
          <cell r="D1360" t="str">
            <v>KRD</v>
          </cell>
          <cell r="E1360" t="str">
            <v>Spread Yield (DxS)</v>
          </cell>
          <cell r="F1360" t="str">
            <v xml:space="preserve">FI-Spread Govt Quasi-Core EUR </v>
          </cell>
          <cell r="G1360" t="str">
            <v>FI-Spread Govt NON-Core EUR</v>
          </cell>
          <cell r="H1360" t="str">
            <v>RATES</v>
          </cell>
          <cell r="I1360" t="str">
            <v>Spread Govt Quasi-Core EUR</v>
          </cell>
        </row>
        <row r="1361">
          <cell r="A1361" t="str">
            <v>NLG_15yr</v>
          </cell>
          <cell r="B1361" t="str">
            <v>NLG 15Y</v>
          </cell>
          <cell r="C1361" t="str">
            <v>BRS_GOLD__2_RATES:BRS_GOLD__1_EURSPRD:BRS_GOLD__1_NLGIR:NLG,NLG_10yr_10yr:NLG_15yr</v>
          </cell>
          <cell r="D1361" t="str">
            <v>KRD</v>
          </cell>
          <cell r="E1361" t="str">
            <v>Spread Yield (DxS)</v>
          </cell>
          <cell r="F1361" t="str">
            <v xml:space="preserve">FI-Spread Govt Quasi-Core EUR </v>
          </cell>
          <cell r="G1361" t="str">
            <v>FI-Spread Govt NON-Core EUR</v>
          </cell>
          <cell r="H1361" t="str">
            <v>RATES</v>
          </cell>
          <cell r="I1361" t="str">
            <v>Spread Govt Quasi-Core EUR</v>
          </cell>
        </row>
        <row r="1362">
          <cell r="A1362" t="str">
            <v>NLG_20yr</v>
          </cell>
          <cell r="B1362" t="str">
            <v>NLG 20Y</v>
          </cell>
          <cell r="C1362" t="str">
            <v>BRS_GOLD__2_RATES:BRS_GOLD__1_EURSPRD:BRS_GOLD__1_NLGIR:NLG,NLG_10yr_10yr:NLG_20yr</v>
          </cell>
          <cell r="D1362" t="str">
            <v>KRD</v>
          </cell>
          <cell r="E1362" t="str">
            <v>Spread Yield (DxS)</v>
          </cell>
          <cell r="F1362" t="str">
            <v xml:space="preserve">FI-Spread Govt Quasi-Core EUR </v>
          </cell>
          <cell r="G1362" t="str">
            <v>FI-Spread Govt NON-Core EUR</v>
          </cell>
          <cell r="H1362" t="str">
            <v>RATES</v>
          </cell>
          <cell r="I1362" t="str">
            <v>Spread Govt Quasi-Core EUR</v>
          </cell>
        </row>
        <row r="1363">
          <cell r="A1363" t="str">
            <v>NLG_25yr</v>
          </cell>
          <cell r="B1363" t="str">
            <v>NLG 25Y</v>
          </cell>
          <cell r="C1363" t="str">
            <v>BRS_GOLD__2_RATES:BRS_GOLD__1_EURSPRD:BRS_GOLD__1_NLGIR:NLG,NLG_10yr_10yr:NLG_25yr</v>
          </cell>
          <cell r="D1363" t="str">
            <v>KRD</v>
          </cell>
          <cell r="E1363" t="str">
            <v>Spread Yield (DxS)</v>
          </cell>
          <cell r="F1363" t="str">
            <v xml:space="preserve">FI-Spread Govt Quasi-Core EUR </v>
          </cell>
          <cell r="G1363" t="str">
            <v>FI-Spread Govt NON-Core EUR</v>
          </cell>
          <cell r="H1363" t="str">
            <v>RATES</v>
          </cell>
          <cell r="I1363" t="str">
            <v>Spread Govt Quasi-Core EUR</v>
          </cell>
        </row>
        <row r="1364">
          <cell r="A1364" t="str">
            <v>NLG_30yr</v>
          </cell>
          <cell r="B1364" t="str">
            <v>NLG 30Y</v>
          </cell>
          <cell r="C1364" t="str">
            <v>BRS_GOLD__2_RATES:BRS_GOLD__1_EURSPRD:BRS_GOLD__1_NLGIR:NLG,NLG_10yr_10yr:NLG_30yr</v>
          </cell>
          <cell r="D1364" t="str">
            <v>KRD</v>
          </cell>
          <cell r="E1364" t="str">
            <v>Spread Yield (DxS)</v>
          </cell>
          <cell r="F1364" t="str">
            <v xml:space="preserve">FI-Spread Govt Quasi-Core EUR </v>
          </cell>
          <cell r="G1364" t="str">
            <v>FI-Spread Govt NON-Core EUR</v>
          </cell>
          <cell r="H1364" t="str">
            <v>RATES</v>
          </cell>
          <cell r="I1364" t="str">
            <v>Spread Govt Quasi-Core EUR</v>
          </cell>
        </row>
        <row r="1365">
          <cell r="A1365" t="str">
            <v>ALL_CORP_YNK_AA_5YR</v>
          </cell>
          <cell r="B1365" t="str">
            <v>Non$ YNK AA 5Y</v>
          </cell>
          <cell r="C1365" t="str">
            <v>BRS_GOLD__5_SPREADS:BRS_GOLD__4_CORP:BRS_GOLD__1_CORP:ALL_CORP_YNK_AA_5YR</v>
          </cell>
          <cell r="D1365" t="str">
            <v>Spread Duration</v>
          </cell>
          <cell r="E1365" t="str">
            <v>Spread Yield</v>
          </cell>
          <cell r="F1365" t="str">
            <v>SP-Corporate IG Other</v>
          </cell>
          <cell r="G1365" t="str">
            <v>SP-Spread Corporate</v>
          </cell>
          <cell r="H1365" t="str">
            <v>SPREADS</v>
          </cell>
          <cell r="I1365" t="str">
            <v>Corporate IG Other - Yankee</v>
          </cell>
        </row>
        <row r="1366">
          <cell r="A1366" t="str">
            <v>ALL_CORP_YNK_AA_10YR</v>
          </cell>
          <cell r="B1366" t="str">
            <v>Non$ YNK AA 10Y</v>
          </cell>
          <cell r="C1366" t="str">
            <v>BRS_GOLD__5_SPREADS:BRS_GOLD__4_CORP:BRS_GOLD__1_CORP:ALL_CORP_YNK_AA_10YR</v>
          </cell>
          <cell r="D1366" t="str">
            <v>Spread Duration</v>
          </cell>
          <cell r="E1366" t="str">
            <v>Spread Yield</v>
          </cell>
          <cell r="F1366" t="str">
            <v>SP-Corporate IG Other</v>
          </cell>
          <cell r="G1366" t="str">
            <v>SP-Spread Corporate</v>
          </cell>
          <cell r="H1366" t="str">
            <v>SPREADS</v>
          </cell>
          <cell r="I1366" t="str">
            <v>Corporate IG Other - Yankee</v>
          </cell>
        </row>
        <row r="1367">
          <cell r="A1367" t="str">
            <v>ALL_CORP_YNK_AA_30YR</v>
          </cell>
          <cell r="B1367" t="str">
            <v>Non$ YNK AA 30Y</v>
          </cell>
          <cell r="C1367" t="str">
            <v>BRS_GOLD__5_SPREADS:BRS_GOLD__4_CORP:BRS_GOLD__1_CORP:ALL_CORP_YNK_AA_30YR</v>
          </cell>
          <cell r="D1367" t="str">
            <v>Spread Duration</v>
          </cell>
          <cell r="E1367" t="str">
            <v>Spread Yield</v>
          </cell>
          <cell r="F1367" t="str">
            <v>SP-Corporate IG Other</v>
          </cell>
          <cell r="G1367" t="str">
            <v>SP-Spread Corporate</v>
          </cell>
          <cell r="H1367" t="str">
            <v>SPREADS</v>
          </cell>
          <cell r="I1367" t="str">
            <v>Corporate IG Other - Yankee</v>
          </cell>
        </row>
        <row r="1368">
          <cell r="A1368" t="str">
            <v>ALL_CORP_YNK_A_2YR</v>
          </cell>
          <cell r="B1368" t="str">
            <v>Non$ YNK A 2Y</v>
          </cell>
          <cell r="C1368" t="str">
            <v>BRS_GOLD__5_SPREADS:BRS_GOLD__4_CORP:BRS_GOLD__1_CORP:ALL_CORP_YNK_A_2YR</v>
          </cell>
          <cell r="D1368" t="str">
            <v>Spread Duration</v>
          </cell>
          <cell r="E1368" t="str">
            <v>Spread Yield</v>
          </cell>
          <cell r="F1368" t="str">
            <v>SP-Corporate IG Other</v>
          </cell>
          <cell r="G1368" t="str">
            <v>SP-Spread Corporate</v>
          </cell>
          <cell r="H1368" t="str">
            <v>SPREADS</v>
          </cell>
          <cell r="I1368" t="str">
            <v>Corporate IG Other - Yankee</v>
          </cell>
        </row>
        <row r="1369">
          <cell r="A1369" t="str">
            <v>ALL_CORP_YNK_A_5YR</v>
          </cell>
          <cell r="B1369" t="str">
            <v>Non$ YNK A 5Y</v>
          </cell>
          <cell r="C1369" t="str">
            <v>BRS_GOLD__5_SPREADS:BRS_GOLD__4_CORP:BRS_GOLD__1_CORP:ALL_CORP_YNK_A_5YR</v>
          </cell>
          <cell r="D1369" t="str">
            <v>Spread Duration</v>
          </cell>
          <cell r="E1369" t="str">
            <v>Spread Yield</v>
          </cell>
          <cell r="F1369" t="str">
            <v>SP-Corporate IG Other</v>
          </cell>
          <cell r="G1369" t="str">
            <v>SP-Spread Corporate</v>
          </cell>
          <cell r="H1369" t="str">
            <v>SPREADS</v>
          </cell>
          <cell r="I1369" t="str">
            <v>Corporate IG Other - Yankee</v>
          </cell>
        </row>
        <row r="1370">
          <cell r="A1370" t="str">
            <v>ALL_CORP_YNK_A_10YR</v>
          </cell>
          <cell r="B1370" t="str">
            <v>Non$ YNK A 10Y</v>
          </cell>
          <cell r="C1370" t="str">
            <v>BRS_GOLD__5_SPREADS:BRS_GOLD__4_CORP:BRS_GOLD__1_CORP:ALL_CORP_YNK_A_10YR</v>
          </cell>
          <cell r="D1370" t="str">
            <v>Spread Duration</v>
          </cell>
          <cell r="E1370" t="str">
            <v>Spread Yield</v>
          </cell>
          <cell r="F1370" t="str">
            <v>SP-Corporate IG Other</v>
          </cell>
          <cell r="G1370" t="str">
            <v>SP-Spread Corporate</v>
          </cell>
          <cell r="H1370" t="str">
            <v>SPREADS</v>
          </cell>
          <cell r="I1370" t="str">
            <v>Corporate IG Other - Yankee</v>
          </cell>
        </row>
        <row r="1371">
          <cell r="A1371" t="str">
            <v>ALL_CORP_YNK_A_30YR</v>
          </cell>
          <cell r="B1371" t="str">
            <v>Non$ YNK A 30Y</v>
          </cell>
          <cell r="C1371" t="str">
            <v>BRS_GOLD__5_SPREADS:BRS_GOLD__4_CORP:BRS_GOLD__1_CORP:ALL_CORP_YNK_A_30YR</v>
          </cell>
          <cell r="D1371" t="str">
            <v>Spread Duration</v>
          </cell>
          <cell r="E1371" t="str">
            <v>Spread Yield</v>
          </cell>
          <cell r="F1371" t="str">
            <v>SP-Corporate IG Other</v>
          </cell>
          <cell r="G1371" t="str">
            <v>SP-Spread Corporate</v>
          </cell>
          <cell r="H1371" t="str">
            <v>SPREADS</v>
          </cell>
          <cell r="I1371" t="str">
            <v>Corporate IG Other - Yankee</v>
          </cell>
        </row>
        <row r="1372">
          <cell r="A1372" t="str">
            <v>USD_HK_FIN_IG</v>
          </cell>
          <cell r="B1372" t="str">
            <v>Hong Kong Fin IG</v>
          </cell>
          <cell r="C1372" t="str">
            <v>BRS_GOLD__5_SPREADS:USD_EM_DS,EM_IDIO,US_CDX_EM,EM_CORP_EE,EM_CORP_MIDAF,EM_CORP_SA:EM_CORP-NUSD_EM,EM_CORP_EE,EM_CORP_MIDAF,EM_CORP_SA:EM_ASIA-NUSD_EM:EM_ASIA_HK-NUSD_EM:USD_HK_FIN_IG</v>
          </cell>
          <cell r="D1372" t="str">
            <v>Spread Duration</v>
          </cell>
          <cell r="E1372" t="str">
            <v>Spread Yield (DxS)</v>
          </cell>
          <cell r="F1372" t="str">
            <v>SP-Corporate IG USD</v>
          </cell>
          <cell r="G1372" t="str">
            <v>SP-Spread Corporate</v>
          </cell>
          <cell r="H1372" t="str">
            <v>SPREADS</v>
          </cell>
          <cell r="I1372" t="str">
            <v>Corporate IG USD - Industry</v>
          </cell>
        </row>
        <row r="1373">
          <cell r="A1373" t="str">
            <v>USD_HK_IND_IG</v>
          </cell>
          <cell r="B1373" t="str">
            <v>Hong Kong Ind IG</v>
          </cell>
          <cell r="C1373" t="str">
            <v>BRS_GOLD__5_SPREADS:USD_EM_DS,EM_IDIO,US_CDX_EM,EM_CORP_EE,EM_CORP_MIDAF,EM_CORP_SA:EM_CORP-NUSD_EM,EM_CORP_EE,EM_CORP_MIDAF,EM_CORP_SA:EM_ASIA-NUSD_EM:EM_ASIA_HK-NUSD_EM:USD_HK_IND_IG</v>
          </cell>
          <cell r="D1373" t="str">
            <v>Spread Duration</v>
          </cell>
          <cell r="E1373" t="str">
            <v>Spread Yield (DxS)</v>
          </cell>
          <cell r="F1373" t="str">
            <v>SP-Corporate IG USD</v>
          </cell>
          <cell r="G1373" t="str">
            <v>SP-Spread Corporate</v>
          </cell>
          <cell r="H1373" t="str">
            <v>SPREADS</v>
          </cell>
          <cell r="I1373" t="str">
            <v>Corporate IG USD - Industry</v>
          </cell>
        </row>
        <row r="1374">
          <cell r="A1374" t="str">
            <v>USD_SG_CORP_IG</v>
          </cell>
          <cell r="B1374" t="str">
            <v>Singapore Corp IG</v>
          </cell>
          <cell r="C1374" t="str">
            <v>BRS_GOLD__5_SPREADS:USD_EM_DS,EM_IDIO,US_CDX_EM,EM_CORP_EE,EM_CORP_MIDAF,EM_CORP_SA:EM_CORP-NUSD_EM,EM_CORP_EE,EM_CORP_MIDAF,EM_CORP_SA:EM_ASIA-NUSD_EM:EM_ASIA_SG-NUSD_EM:USD_SG_CORP_IG</v>
          </cell>
          <cell r="D1374" t="str">
            <v>Spread Duration</v>
          </cell>
          <cell r="E1374" t="str">
            <v>Spread Yield (DxS)</v>
          </cell>
          <cell r="F1374" t="str">
            <v>SP-Corporate IG USD</v>
          </cell>
          <cell r="G1374" t="str">
            <v>SP-Spread Corporate</v>
          </cell>
          <cell r="H1374" t="str">
            <v>SPREADS</v>
          </cell>
          <cell r="I1374" t="str">
            <v>Corporate IG USD - Industry</v>
          </cell>
        </row>
        <row r="1375">
          <cell r="A1375" t="str">
            <v>USD_EM_DS_AF</v>
          </cell>
          <cell r="B1375" t="str">
            <v>Emerg Mkt Africa</v>
          </cell>
          <cell r="C1375" t="str">
            <v>BRS_GOLD__5_SPREADS:USD_EM_DS,EM_IDIO,US_CDX_EM,EM_CORP_EE,EM_CORP_MIDAF,EM_CORP_SA:EM_SOV-NUSD_EM:USD_EM_DS_AFRICA:USD_EM_DS_AF</v>
          </cell>
          <cell r="D1375" t="str">
            <v>Spread Duration</v>
          </cell>
          <cell r="E1375" t="str">
            <v>Spread Yield (DxS)</v>
          </cell>
          <cell r="F1375" t="str">
            <v>SP-Spread Emerging Markets - Country</v>
          </cell>
          <cell r="G1375" t="str">
            <v>SP-Spread Emerging Markets</v>
          </cell>
          <cell r="H1375" t="str">
            <v>SPREADS</v>
          </cell>
          <cell r="I1375" t="str">
            <v>Spread Emerging Markets - Country</v>
          </cell>
        </row>
        <row r="1376">
          <cell r="A1376" t="str">
            <v>USD_EM_DS_ALGERIA</v>
          </cell>
          <cell r="B1376" t="str">
            <v>Algeria</v>
          </cell>
          <cell r="C1376" t="str">
            <v>BRS_GOLD__5_SPREADS:USD_EM_DS,EM_IDIO,US_CDX_EM,EM_CORP_EE,EM_CORP_MIDAF,EM_CORP_SA:EM_SOV-NUSD_EM:USD_EM_DS_AFRICA:USD_EM_DS_ALGERIA</v>
          </cell>
          <cell r="D1376" t="str">
            <v>Spread Duration</v>
          </cell>
          <cell r="E1376" t="str">
            <v>Spread Yield (DxS)</v>
          </cell>
          <cell r="F1376" t="str">
            <v>SP-Spread Emerging Markets - Country</v>
          </cell>
          <cell r="G1376" t="str">
            <v>SP-Spread Emerging Markets</v>
          </cell>
          <cell r="H1376" t="str">
            <v>SPREADS</v>
          </cell>
          <cell r="I1376" t="str">
            <v>Spread Emerging Markets - Country</v>
          </cell>
        </row>
        <row r="1377">
          <cell r="A1377" t="str">
            <v>USD_EM_DS_ANGOLA</v>
          </cell>
          <cell r="B1377" t="str">
            <v>Angola</v>
          </cell>
          <cell r="C1377" t="str">
            <v>BRS_GOLD__5_SPREADS:USD_EM_DS,EM_IDIO,US_CDX_EM,EM_CORP_EE,EM_CORP_MIDAF,EM_CORP_SA:EM_SOV-NUSD_EM:USD_EM_DS_AFRICA:USD_EM_DS_ANGOLA</v>
          </cell>
          <cell r="D1377" t="str">
            <v>Spread Duration</v>
          </cell>
          <cell r="E1377" t="str">
            <v>Spread Yield (DxS)</v>
          </cell>
          <cell r="F1377" t="str">
            <v>SP-Spread Emerging Markets - Country</v>
          </cell>
          <cell r="G1377" t="str">
            <v>SP-Spread Emerging Markets</v>
          </cell>
          <cell r="H1377" t="str">
            <v>SPREADS</v>
          </cell>
          <cell r="I1377" t="str">
            <v>Spread Emerging Markets - Country</v>
          </cell>
        </row>
        <row r="1378">
          <cell r="A1378" t="str">
            <v>USD_EM_DS_CAMEROON</v>
          </cell>
          <cell r="B1378" t="str">
            <v>Cameroon</v>
          </cell>
          <cell r="C1378" t="str">
            <v>BRS_GOLD__5_SPREADS:USD_EM_DS,EM_IDIO,US_CDX_EM,EM_CORP_EE,EM_CORP_MIDAF,EM_CORP_SA:EM_SOV-NUSD_EM:USD_EM_DS_AFRICA:USD_EM_DS_CAMEROON</v>
          </cell>
          <cell r="D1378" t="str">
            <v>Spread Duration</v>
          </cell>
          <cell r="E1378" t="str">
            <v>Spread Yield (DxS)</v>
          </cell>
          <cell r="F1378" t="str">
            <v>SP-Spread Emerging Markets - Country</v>
          </cell>
          <cell r="G1378" t="str">
            <v>SP-Spread Emerging Markets</v>
          </cell>
          <cell r="H1378" t="str">
            <v>SPREADS</v>
          </cell>
          <cell r="I1378" t="str">
            <v>Spread Emerging Markets - Country</v>
          </cell>
        </row>
        <row r="1379">
          <cell r="A1379" t="str">
            <v>USD_EM_DS_ETHIOPIA</v>
          </cell>
          <cell r="B1379" t="str">
            <v>Ethiopia</v>
          </cell>
          <cell r="C1379" t="str">
            <v>BRS_GOLD__5_SPREADS:USD_EM_DS,EM_IDIO,US_CDX_EM,EM_CORP_EE,EM_CORP_MIDAF,EM_CORP_SA:EM_SOV-NUSD_EM:USD_EM_DS_AFRICA:USD_EM_DS_ETHIOPIA</v>
          </cell>
          <cell r="D1379" t="str">
            <v>Spread Duration</v>
          </cell>
          <cell r="E1379" t="str">
            <v>Spread Yield (DxS)</v>
          </cell>
          <cell r="F1379" t="str">
            <v>SP-Spread Emerging Markets - Country</v>
          </cell>
          <cell r="G1379" t="str">
            <v>SP-Spread Emerging Markets</v>
          </cell>
          <cell r="H1379" t="str">
            <v>SPREADS</v>
          </cell>
          <cell r="I1379" t="str">
            <v>Spread Emerging Markets - Country</v>
          </cell>
        </row>
        <row r="1380">
          <cell r="A1380" t="str">
            <v>USD_EM_DS_GABON</v>
          </cell>
          <cell r="B1380" t="str">
            <v>Gabon</v>
          </cell>
          <cell r="C1380" t="str">
            <v>BRS_GOLD__5_SPREADS:USD_EM_DS,EM_IDIO,US_CDX_EM,EM_CORP_EE,EM_CORP_MIDAF,EM_CORP_SA:EM_SOV-NUSD_EM:USD_EM_DS_AFRICA:USD_EM_DS_GABON</v>
          </cell>
          <cell r="D1380" t="str">
            <v>Spread Duration</v>
          </cell>
          <cell r="E1380" t="str">
            <v>Spread Yield (DxS)</v>
          </cell>
          <cell r="F1380" t="str">
            <v>SP-Spread Emerging Markets - Country</v>
          </cell>
          <cell r="G1380" t="str">
            <v>SP-Spread Emerging Markets</v>
          </cell>
          <cell r="H1380" t="str">
            <v>SPREADS</v>
          </cell>
          <cell r="I1380" t="str">
            <v>Spread Emerging Markets - Country</v>
          </cell>
        </row>
        <row r="1381">
          <cell r="A1381" t="str">
            <v>USD_EM_DS_GHANA</v>
          </cell>
          <cell r="B1381" t="str">
            <v>Ghana</v>
          </cell>
          <cell r="C1381" t="str">
            <v>BRS_GOLD__5_SPREADS:USD_EM_DS,EM_IDIO,US_CDX_EM,EM_CORP_EE,EM_CORP_MIDAF,EM_CORP_SA:EM_SOV-NUSD_EM:USD_EM_DS_AFRICA:USD_EM_DS_GHANA</v>
          </cell>
          <cell r="D1381" t="str">
            <v>Spread Duration</v>
          </cell>
          <cell r="E1381" t="str">
            <v>Spread Yield (DxS)</v>
          </cell>
          <cell r="F1381" t="str">
            <v>SP-Spread Emerging Markets - Country</v>
          </cell>
          <cell r="G1381" t="str">
            <v>SP-Spread Emerging Markets</v>
          </cell>
          <cell r="H1381" t="str">
            <v>SPREADS</v>
          </cell>
          <cell r="I1381" t="str">
            <v>Spread Emerging Markets - Country</v>
          </cell>
        </row>
        <row r="1382">
          <cell r="A1382" t="str">
            <v>USD_EM_DS_IVOIRE</v>
          </cell>
          <cell r="B1382" t="str">
            <v>Cote dIvoire</v>
          </cell>
          <cell r="C1382" t="str">
            <v>BRS_GOLD__5_SPREADS:USD_EM_DS,EM_IDIO,US_CDX_EM,EM_CORP_EE,EM_CORP_MIDAF,EM_CORP_SA:EM_SOV-NUSD_EM:USD_EM_DS_AFRICA:USD_EM_DS_IVOIRE</v>
          </cell>
          <cell r="D1382" t="str">
            <v>Spread Duration</v>
          </cell>
          <cell r="E1382" t="str">
            <v>Spread Yield (DxS)</v>
          </cell>
          <cell r="F1382" t="str">
            <v>SP-Spread Emerging Markets - Country</v>
          </cell>
          <cell r="G1382" t="str">
            <v>SP-Spread Emerging Markets</v>
          </cell>
          <cell r="H1382" t="str">
            <v>SPREADS</v>
          </cell>
          <cell r="I1382" t="str">
            <v>Spread Emerging Markets - Country</v>
          </cell>
        </row>
        <row r="1383">
          <cell r="A1383" t="str">
            <v>USD_EM_DS_KENYA</v>
          </cell>
          <cell r="B1383" t="str">
            <v>Kenya</v>
          </cell>
          <cell r="C1383" t="str">
            <v>BRS_GOLD__5_SPREADS:USD_EM_DS,EM_IDIO,US_CDX_EM,EM_CORP_EE,EM_CORP_MIDAF,EM_CORP_SA:EM_SOV-NUSD_EM:USD_EM_DS_AFRICA:USD_EM_DS_KENYA</v>
          </cell>
          <cell r="D1383" t="str">
            <v>Spread Duration</v>
          </cell>
          <cell r="E1383" t="str">
            <v>Spread Yield (DxS)</v>
          </cell>
          <cell r="F1383" t="str">
            <v>SP-Spread Emerging Markets - Country</v>
          </cell>
          <cell r="G1383" t="str">
            <v>SP-Spread Emerging Markets</v>
          </cell>
          <cell r="H1383" t="str">
            <v>SPREADS</v>
          </cell>
          <cell r="I1383" t="str">
            <v>Spread Emerging Markets - Country</v>
          </cell>
        </row>
        <row r="1384">
          <cell r="A1384" t="str">
            <v>USD_EM_DS_MOROCCO</v>
          </cell>
          <cell r="B1384" t="str">
            <v>Morocco</v>
          </cell>
          <cell r="C1384" t="str">
            <v>BRS_GOLD__5_SPREADS:USD_EM_DS,EM_IDIO,US_CDX_EM,EM_CORP_EE,EM_CORP_MIDAF,EM_CORP_SA:EM_SOV-NUSD_EM:USD_EM_DS_AFRICA:USD_EM_DS_MOROCCO</v>
          </cell>
          <cell r="D1384" t="str">
            <v>Spread Duration</v>
          </cell>
          <cell r="E1384" t="str">
            <v>Spread Yield (DxS)</v>
          </cell>
          <cell r="F1384" t="str">
            <v>SP-Spread Emerging Markets - Country</v>
          </cell>
          <cell r="G1384" t="str">
            <v>SP-Spread Emerging Markets</v>
          </cell>
          <cell r="H1384" t="str">
            <v>SPREADS</v>
          </cell>
          <cell r="I1384" t="str">
            <v>Spread Emerging Markets - Country</v>
          </cell>
        </row>
        <row r="1385">
          <cell r="A1385" t="str">
            <v>USD_EM_DS_MOZAMBIQUE</v>
          </cell>
          <cell r="B1385" t="str">
            <v>Mozambique</v>
          </cell>
          <cell r="C1385" t="str">
            <v>BRS_GOLD__5_SPREADS:USD_EM_DS,EM_IDIO,US_CDX_EM,EM_CORP_EE,EM_CORP_MIDAF,EM_CORP_SA:EM_SOV-NUSD_EM:USD_EM_DS_AFRICA:USD_EM_DS_MOZAMBIQUE</v>
          </cell>
          <cell r="D1385" t="str">
            <v>Spread Duration</v>
          </cell>
          <cell r="E1385" t="str">
            <v>Spread Yield (DxS)</v>
          </cell>
          <cell r="F1385" t="str">
            <v>SP-Spread Emerging Markets - Country</v>
          </cell>
          <cell r="G1385" t="str">
            <v>SP-Spread Emerging Markets</v>
          </cell>
          <cell r="H1385" t="str">
            <v>SPREADS</v>
          </cell>
          <cell r="I1385" t="str">
            <v>Spread Emerging Markets - Country</v>
          </cell>
        </row>
        <row r="1386">
          <cell r="A1386" t="str">
            <v>USD_EM_DS_NAMIBIA</v>
          </cell>
          <cell r="B1386" t="str">
            <v>Namibia</v>
          </cell>
          <cell r="C1386" t="str">
            <v>BRS_GOLD__5_SPREADS:USD_EM_DS,EM_IDIO,US_CDX_EM,EM_CORP_EE,EM_CORP_MIDAF,EM_CORP_SA:EM_SOV-NUSD_EM:USD_EM_DS_AFRICA:USD_EM_DS_NAMIBIA</v>
          </cell>
          <cell r="D1386" t="str">
            <v>Spread Duration</v>
          </cell>
          <cell r="E1386" t="str">
            <v>Spread Yield (DxS)</v>
          </cell>
          <cell r="F1386" t="str">
            <v>SP-Spread Emerging Markets - Country</v>
          </cell>
          <cell r="G1386" t="str">
            <v>SP-Spread Emerging Markets</v>
          </cell>
          <cell r="H1386" t="str">
            <v>SPREADS</v>
          </cell>
          <cell r="I1386" t="str">
            <v>Spread Emerging Markets - Country</v>
          </cell>
        </row>
        <row r="1387">
          <cell r="A1387" t="str">
            <v>USD_EM_DS_NIGERIA</v>
          </cell>
          <cell r="B1387" t="str">
            <v>Nigeria</v>
          </cell>
          <cell r="C1387" t="str">
            <v>BRS_GOLD__5_SPREADS:USD_EM_DS,EM_IDIO,US_CDX_EM,EM_CORP_EE,EM_CORP_MIDAF,EM_CORP_SA:EM_SOV-NUSD_EM:USD_EM_DS_AFRICA:USD_EM_DS_NIGERIA</v>
          </cell>
          <cell r="D1387" t="str">
            <v>Spread Duration</v>
          </cell>
          <cell r="E1387" t="str">
            <v>Spread Yield (DxS)</v>
          </cell>
          <cell r="F1387" t="str">
            <v>SP-Spread Emerging Markets - Country</v>
          </cell>
          <cell r="G1387" t="str">
            <v>SP-Spread Emerging Markets</v>
          </cell>
          <cell r="H1387" t="str">
            <v>SPREADS</v>
          </cell>
          <cell r="I1387" t="str">
            <v>Spread Emerging Markets - Country</v>
          </cell>
        </row>
        <row r="1388">
          <cell r="A1388" t="str">
            <v>USD_EM_DS_SAFRICA</v>
          </cell>
          <cell r="B1388" t="str">
            <v>South Africa</v>
          </cell>
          <cell r="C1388" t="str">
            <v>BRS_GOLD__5_SPREADS:USD_EM_DS,EM_IDIO,US_CDX_EM,EM_CORP_EE,EM_CORP_MIDAF,EM_CORP_SA:EM_SOV-NUSD_EM:USD_EM_DS_AFRICA:USD_EM_DS_SAFRICA</v>
          </cell>
          <cell r="D1388" t="str">
            <v>Spread Duration</v>
          </cell>
          <cell r="E1388" t="str">
            <v>Spread Yield (DxS)</v>
          </cell>
          <cell r="F1388" t="str">
            <v>SP-Spread Emerging Markets - Country</v>
          </cell>
          <cell r="G1388" t="str">
            <v>SP-Spread Emerging Markets</v>
          </cell>
          <cell r="H1388" t="str">
            <v>SPREADS</v>
          </cell>
          <cell r="I1388" t="str">
            <v>Spread Emerging Markets - Country</v>
          </cell>
        </row>
        <row r="1389">
          <cell r="A1389" t="str">
            <v>USD_EM_DS_SENEGAL</v>
          </cell>
          <cell r="B1389" t="str">
            <v>Senegal</v>
          </cell>
          <cell r="C1389" t="str">
            <v>BRS_GOLD__5_SPREADS:USD_EM_DS,EM_IDIO,US_CDX_EM,EM_CORP_EE,EM_CORP_MIDAF,EM_CORP_SA:EM_SOV-NUSD_EM:USD_EM_DS_AFRICA:USD_EM_DS_SENEGAL</v>
          </cell>
          <cell r="D1389" t="str">
            <v>Spread Duration</v>
          </cell>
          <cell r="E1389" t="str">
            <v>Spread Yield (DxS)</v>
          </cell>
          <cell r="F1389" t="str">
            <v>SP-Spread Emerging Markets - Country</v>
          </cell>
          <cell r="G1389" t="str">
            <v>SP-Spread Emerging Markets</v>
          </cell>
          <cell r="H1389" t="str">
            <v>SPREADS</v>
          </cell>
          <cell r="I1389" t="str">
            <v>Spread Emerging Markets - Country</v>
          </cell>
        </row>
        <row r="1390">
          <cell r="A1390" t="str">
            <v>USD_EM_DS_TUNISIA</v>
          </cell>
          <cell r="B1390" t="str">
            <v>Tunisia</v>
          </cell>
          <cell r="C1390" t="str">
            <v>BRS_GOLD__5_SPREADS:USD_EM_DS,EM_IDIO,US_CDX_EM,EM_CORP_EE,EM_CORP_MIDAF,EM_CORP_SA:EM_SOV-NUSD_EM:USD_EM_DS_AFRICA:USD_EM_DS_TUNISIA</v>
          </cell>
          <cell r="D1390" t="str">
            <v>Spread Duration</v>
          </cell>
          <cell r="E1390" t="str">
            <v>Spread Yield (DxS)</v>
          </cell>
          <cell r="F1390" t="str">
            <v>SP-Spread Emerging Markets - Country</v>
          </cell>
          <cell r="G1390" t="str">
            <v>SP-Spread Emerging Markets</v>
          </cell>
          <cell r="H1390" t="str">
            <v>SPREADS</v>
          </cell>
          <cell r="I1390" t="str">
            <v>Spread Emerging Markets - Country</v>
          </cell>
        </row>
        <row r="1391">
          <cell r="A1391" t="str">
            <v>USD_EM_DS_ZAMBIA</v>
          </cell>
          <cell r="B1391" t="str">
            <v>Zambia</v>
          </cell>
          <cell r="C1391" t="str">
            <v>BRS_GOLD__5_SPREADS:USD_EM_DS,EM_IDIO,US_CDX_EM,EM_CORP_EE,EM_CORP_MIDAF,EM_CORP_SA:EM_SOV-NUSD_EM:USD_EM_DS_AFRICA:USD_EM_DS_ZAMBIA</v>
          </cell>
          <cell r="D1391" t="str">
            <v>Spread Duration</v>
          </cell>
          <cell r="E1391" t="str">
            <v>Spread Yield (DxS)</v>
          </cell>
          <cell r="F1391" t="str">
            <v>SP-Spread Emerging Markets - Country</v>
          </cell>
          <cell r="G1391" t="str">
            <v>SP-Spread Emerging Markets</v>
          </cell>
          <cell r="H1391" t="str">
            <v>SPREADS</v>
          </cell>
          <cell r="I1391" t="str">
            <v>Spread Emerging Markets - Country</v>
          </cell>
        </row>
        <row r="1392">
          <cell r="A1392" t="str">
            <v>USD_EM_DS_EE</v>
          </cell>
          <cell r="B1392" t="str">
            <v>Emerg Mkt E Europe</v>
          </cell>
          <cell r="C1392" t="str">
            <v>BRS_GOLD__5_SPREADS:USD_EM_DS,EM_IDIO,US_CDX_EM,EM_CORP_EE,EM_CORP_MIDAF,EM_CORP_SA:EM_SOV-NUSD_EM:USD_EM_DS_EUROPE:USD_EM_DS_EE</v>
          </cell>
          <cell r="D1392" t="str">
            <v>Spread Duration</v>
          </cell>
          <cell r="E1392" t="str">
            <v>Spread Yield (DxS)</v>
          </cell>
          <cell r="F1392" t="str">
            <v>SP-Spread Emerging Markets - Country</v>
          </cell>
          <cell r="G1392" t="str">
            <v>SP-Spread Emerging Markets</v>
          </cell>
          <cell r="H1392" t="str">
            <v>SPREADS</v>
          </cell>
          <cell r="I1392" t="str">
            <v>Spread Emerging Markets - Country</v>
          </cell>
        </row>
        <row r="1393">
          <cell r="A1393" t="str">
            <v>USD_EM_DS_BELARUS</v>
          </cell>
          <cell r="B1393" t="str">
            <v>Belarus</v>
          </cell>
          <cell r="C1393" t="str">
            <v>BRS_GOLD__5_SPREADS:USD_EM_DS,EM_IDIO,US_CDX_EM,EM_CORP_EE,EM_CORP_MIDAF,EM_CORP_SA:EM_SOV-NUSD_EM:USD_EM_DS_EUROPE:USD_EM_DS_BELARUS</v>
          </cell>
          <cell r="D1393" t="str">
            <v>Spread Duration</v>
          </cell>
          <cell r="E1393" t="str">
            <v>Spread Yield (DxS)</v>
          </cell>
          <cell r="F1393" t="str">
            <v>SP-Spread Emerging Markets - Country</v>
          </cell>
          <cell r="G1393" t="str">
            <v>SP-Spread Emerging Markets</v>
          </cell>
          <cell r="H1393" t="str">
            <v>SPREADS</v>
          </cell>
          <cell r="I1393" t="str">
            <v>Spread Emerging Markets - Country</v>
          </cell>
        </row>
        <row r="1394">
          <cell r="A1394" t="str">
            <v>USD_EM_DS_BULGARIA</v>
          </cell>
          <cell r="B1394" t="str">
            <v>Bulgaria</v>
          </cell>
          <cell r="C1394" t="str">
            <v>BRS_GOLD__5_SPREADS:USD_EM_DS,EM_IDIO,US_CDX_EM,EM_CORP_EE,EM_CORP_MIDAF,EM_CORP_SA:EM_SOV-NUSD_EM:USD_EM_DS_EUROPE:USD_EM_DS_BULGARIA</v>
          </cell>
          <cell r="D1394" t="str">
            <v>Spread Duration</v>
          </cell>
          <cell r="E1394" t="str">
            <v>Spread Yield (DxS)</v>
          </cell>
          <cell r="F1394" t="str">
            <v>SP-Spread Emerging Markets - Country</v>
          </cell>
          <cell r="G1394" t="str">
            <v>SP-Spread Emerging Markets</v>
          </cell>
          <cell r="H1394" t="str">
            <v>SPREADS</v>
          </cell>
          <cell r="I1394" t="str">
            <v>Spread Emerging Markets - Country</v>
          </cell>
        </row>
        <row r="1395">
          <cell r="A1395" t="str">
            <v>USD_EM_DS_CROATIA</v>
          </cell>
          <cell r="B1395" t="str">
            <v>Croatia</v>
          </cell>
          <cell r="C1395" t="str">
            <v>BRS_GOLD__5_SPREADS:USD_EM_DS,EM_IDIO,US_CDX_EM,EM_CORP_EE,EM_CORP_MIDAF,EM_CORP_SA:EM_SOV-NUSD_EM:USD_EM_DS_EUROPE:USD_EM_DS_CROATIA</v>
          </cell>
          <cell r="D1395" t="str">
            <v>Spread Duration</v>
          </cell>
          <cell r="E1395" t="str">
            <v>Spread Yield (DxS)</v>
          </cell>
          <cell r="F1395" t="str">
            <v>SP-Spread Emerging Markets - Country</v>
          </cell>
          <cell r="G1395" t="str">
            <v>SP-Spread Emerging Markets</v>
          </cell>
          <cell r="H1395" t="str">
            <v>SPREADS</v>
          </cell>
          <cell r="I1395" t="str">
            <v>Spread Emerging Markets - Country</v>
          </cell>
        </row>
        <row r="1396">
          <cell r="A1396" t="str">
            <v>USD_EM_DS_GEORGIA</v>
          </cell>
          <cell r="B1396" t="str">
            <v>Georgia</v>
          </cell>
          <cell r="C1396" t="str">
            <v>BRS_GOLD__5_SPREADS:USD_EM_DS,EM_IDIO,US_CDX_EM,EM_CORP_EE,EM_CORP_MIDAF,EM_CORP_SA:EM_SOV-NUSD_EM:USD_EM_DS_EUROPE:USD_EM_DS_GEORGIA</v>
          </cell>
          <cell r="D1396" t="str">
            <v>Spread Duration</v>
          </cell>
          <cell r="E1396" t="str">
            <v>Spread Yield (DxS)</v>
          </cell>
          <cell r="F1396" t="str">
            <v>SP-Spread Emerging Markets - Country</v>
          </cell>
          <cell r="G1396" t="str">
            <v>SP-Spread Emerging Markets</v>
          </cell>
          <cell r="H1396" t="str">
            <v>SPREADS</v>
          </cell>
          <cell r="I1396" t="str">
            <v>Spread Emerging Markets - Country</v>
          </cell>
        </row>
        <row r="1397">
          <cell r="A1397" t="str">
            <v>USD_EM_DS_HUNGARY</v>
          </cell>
          <cell r="B1397" t="str">
            <v>Hungary</v>
          </cell>
          <cell r="C1397" t="str">
            <v>BRS_GOLD__5_SPREADS:USD_EM_DS,EM_IDIO,US_CDX_EM,EM_CORP_EE,EM_CORP_MIDAF,EM_CORP_SA:EM_SOV-NUSD_EM:USD_EM_DS_EUROPE:USD_EM_DS_HUNGARY</v>
          </cell>
          <cell r="D1397" t="str">
            <v>Spread Duration</v>
          </cell>
          <cell r="E1397" t="str">
            <v>Spread Yield (DxS)</v>
          </cell>
          <cell r="F1397" t="str">
            <v>SP-Spread Emerging Markets - Country</v>
          </cell>
          <cell r="G1397" t="str">
            <v>SP-Spread Emerging Markets</v>
          </cell>
          <cell r="H1397" t="str">
            <v>SPREADS</v>
          </cell>
          <cell r="I1397" t="str">
            <v>Spread Emerging Markets - Country</v>
          </cell>
        </row>
        <row r="1398">
          <cell r="A1398" t="str">
            <v>USD_EM_DS_KAZAKHSTAN</v>
          </cell>
          <cell r="B1398" t="str">
            <v>Kazakhstan</v>
          </cell>
          <cell r="C1398" t="str">
            <v>BRS_GOLD__5_SPREADS:USD_EM_DS,EM_IDIO,US_CDX_EM,EM_CORP_EE,EM_CORP_MIDAF,EM_CORP_SA:EM_SOV-NUSD_EM:USD_EM_DS_EUROPE:USD_EM_DS_KAZAKHSTAN</v>
          </cell>
          <cell r="D1398" t="str">
            <v>Spread Duration</v>
          </cell>
          <cell r="E1398" t="str">
            <v>Spread Yield (DxS)</v>
          </cell>
          <cell r="F1398" t="str">
            <v>SP-Spread Emerging Markets - Country</v>
          </cell>
          <cell r="G1398" t="str">
            <v>SP-Spread Emerging Markets</v>
          </cell>
          <cell r="H1398" t="str">
            <v>SPREADS</v>
          </cell>
          <cell r="I1398" t="str">
            <v>Spread Emerging Markets - Country</v>
          </cell>
        </row>
        <row r="1399">
          <cell r="A1399" t="str">
            <v>USD_EM_DS_LATVIA</v>
          </cell>
          <cell r="B1399" t="str">
            <v>Latvia</v>
          </cell>
          <cell r="C1399" t="str">
            <v>BRS_GOLD__5_SPREADS:USD_EM_DS,EM_IDIO,US_CDX_EM,EM_CORP_EE,EM_CORP_MIDAF,EM_CORP_SA:EM_SOV-NUSD_EM:USD_EM_DS_EUROPE:USD_EM_DS_LATVIA</v>
          </cell>
          <cell r="D1399" t="str">
            <v>Spread Duration</v>
          </cell>
          <cell r="E1399" t="str">
            <v>Spread Yield (DxS)</v>
          </cell>
          <cell r="F1399" t="str">
            <v>SP-Spread Emerging Markets - Country</v>
          </cell>
          <cell r="G1399" t="str">
            <v>SP-Spread Emerging Markets</v>
          </cell>
          <cell r="H1399" t="str">
            <v>SPREADS</v>
          </cell>
          <cell r="I1399" t="str">
            <v>Spread Emerging Markets - Country</v>
          </cell>
        </row>
        <row r="1400">
          <cell r="A1400" t="str">
            <v>USD_EM_DS_LITHUANIA</v>
          </cell>
          <cell r="B1400" t="str">
            <v>Lithuania</v>
          </cell>
          <cell r="C1400" t="str">
            <v>BRS_GOLD__5_SPREADS:USD_EM_DS,EM_IDIO,US_CDX_EM,EM_CORP_EE,EM_CORP_MIDAF,EM_CORP_SA:EM_SOV-NUSD_EM:USD_EM_DS_EUROPE:USD_EM_DS_LITHUANIA</v>
          </cell>
          <cell r="D1400" t="str">
            <v>Spread Duration</v>
          </cell>
          <cell r="E1400" t="str">
            <v>Spread Yield (DxS)</v>
          </cell>
          <cell r="F1400" t="str">
            <v>SP-Spread Emerging Markets - Country</v>
          </cell>
          <cell r="G1400" t="str">
            <v>SP-Spread Emerging Markets</v>
          </cell>
          <cell r="H1400" t="str">
            <v>SPREADS</v>
          </cell>
          <cell r="I1400" t="str">
            <v>Spread Emerging Markets - Country</v>
          </cell>
        </row>
        <row r="1401">
          <cell r="A1401" t="str">
            <v>USD_EM_DS_POLAND</v>
          </cell>
          <cell r="B1401" t="str">
            <v>Poland</v>
          </cell>
          <cell r="C1401" t="str">
            <v>BRS_GOLD__5_SPREADS:USD_EM_DS,EM_IDIO,US_CDX_EM,EM_CORP_EE,EM_CORP_MIDAF,EM_CORP_SA:EM_SOV-NUSD_EM:USD_EM_DS_EUROPE:USD_EM_DS_POLAND</v>
          </cell>
          <cell r="D1401" t="str">
            <v>Spread Duration</v>
          </cell>
          <cell r="E1401" t="str">
            <v>Spread Yield (DxS)</v>
          </cell>
          <cell r="F1401" t="str">
            <v>SP-Spread Emerging Markets - Country</v>
          </cell>
          <cell r="G1401" t="str">
            <v>SP-Spread Emerging Markets</v>
          </cell>
          <cell r="H1401" t="str">
            <v>SPREADS</v>
          </cell>
          <cell r="I1401" t="str">
            <v>Spread Emerging Markets - Country</v>
          </cell>
        </row>
        <row r="1402">
          <cell r="A1402" t="str">
            <v>USD_EM_DS_ROMANIA</v>
          </cell>
          <cell r="B1402" t="str">
            <v>Romania</v>
          </cell>
          <cell r="C1402" t="str">
            <v>BRS_GOLD__5_SPREADS:USD_EM_DS,EM_IDIO,US_CDX_EM,EM_CORP_EE,EM_CORP_MIDAF,EM_CORP_SA:EM_SOV-NUSD_EM:USD_EM_DS_EUROPE:USD_EM_DS_ROMANIA</v>
          </cell>
          <cell r="D1402" t="str">
            <v>Spread Duration</v>
          </cell>
          <cell r="E1402" t="str">
            <v>Spread Yield (DxS)</v>
          </cell>
          <cell r="F1402" t="str">
            <v>SP-Spread Emerging Markets - Country</v>
          </cell>
          <cell r="G1402" t="str">
            <v>SP-Spread Emerging Markets</v>
          </cell>
          <cell r="H1402" t="str">
            <v>SPREADS</v>
          </cell>
          <cell r="I1402" t="str">
            <v>Spread Emerging Markets - Country</v>
          </cell>
        </row>
        <row r="1403">
          <cell r="A1403" t="str">
            <v>USD_EM_DS_RUSSIA</v>
          </cell>
          <cell r="B1403" t="str">
            <v>Russia</v>
          </cell>
          <cell r="C1403" t="str">
            <v>BRS_GOLD__5_SPREADS:USD_EM_DS,EM_IDIO,US_CDX_EM,EM_CORP_EE,EM_CORP_MIDAF,EM_CORP_SA:EM_SOV-NUSD_EM:USD_EM_DS_EUROPE:USD_EM_DS_RUSSIA</v>
          </cell>
          <cell r="D1403" t="str">
            <v>Spread Duration</v>
          </cell>
          <cell r="E1403" t="str">
            <v>Spread Yield (DxS)</v>
          </cell>
          <cell r="F1403" t="str">
            <v>SP-Spread Emerging Markets - Country</v>
          </cell>
          <cell r="G1403" t="str">
            <v>SP-Spread Emerging Markets</v>
          </cell>
          <cell r="H1403" t="str">
            <v>SPREADS</v>
          </cell>
          <cell r="I1403" t="str">
            <v>Spread Emerging Markets - Country</v>
          </cell>
        </row>
        <row r="1404">
          <cell r="A1404" t="str">
            <v>USD_EM_DS_SERBIA</v>
          </cell>
          <cell r="B1404" t="str">
            <v>Serbia</v>
          </cell>
          <cell r="C1404" t="str">
            <v>BRS_GOLD__5_SPREADS:USD_EM_DS,EM_IDIO,US_CDX_EM,EM_CORP_EE,EM_CORP_MIDAF,EM_CORP_SA:EM_SOV-NUSD_EM:USD_EM_DS_EUROPE:USD_EM_DS_SERBIA</v>
          </cell>
          <cell r="D1404" t="str">
            <v>Spread Duration</v>
          </cell>
          <cell r="E1404" t="str">
            <v>Spread Yield (DxS)</v>
          </cell>
          <cell r="F1404" t="str">
            <v>SP-Spread Emerging Markets - Country</v>
          </cell>
          <cell r="G1404" t="str">
            <v>SP-Spread Emerging Markets</v>
          </cell>
          <cell r="H1404" t="str">
            <v>SPREADS</v>
          </cell>
          <cell r="I1404" t="str">
            <v>Spread Emerging Markets - Country</v>
          </cell>
        </row>
        <row r="1405">
          <cell r="A1405" t="str">
            <v>USD_EM_DS_SLOVAKIA</v>
          </cell>
          <cell r="B1405" t="str">
            <v>Slovakia</v>
          </cell>
          <cell r="C1405" t="str">
            <v>BRS_GOLD__5_SPREADS:USD_EM_DS,EM_IDIO,US_CDX_EM,EM_CORP_EE,EM_CORP_MIDAF,EM_CORP_SA:EM_SOV-NUSD_EM:USD_EM_DS_EUROPE:USD_EM_DS_SLOVAKIA</v>
          </cell>
          <cell r="D1405" t="str">
            <v>Spread Duration</v>
          </cell>
          <cell r="E1405" t="str">
            <v>Spread Yield (DxS)</v>
          </cell>
          <cell r="F1405" t="str">
            <v>SP-Spread Emerging Markets - Country</v>
          </cell>
          <cell r="G1405" t="str">
            <v>SP-Spread Emerging Markets</v>
          </cell>
          <cell r="H1405" t="str">
            <v>SPREADS</v>
          </cell>
          <cell r="I1405" t="str">
            <v>Spread Emerging Markets - Country</v>
          </cell>
        </row>
        <row r="1406">
          <cell r="A1406" t="str">
            <v>USD_EM_DS_TURKEY</v>
          </cell>
          <cell r="B1406" t="str">
            <v>Turkey</v>
          </cell>
          <cell r="C1406" t="str">
            <v>BRS_GOLD__5_SPREADS:USD_EM_DS,EM_IDIO,US_CDX_EM,EM_CORP_EE,EM_CORP_MIDAF,EM_CORP_SA:EM_SOV-NUSD_EM:USD_EM_DS_EUROPE:USD_EM_DS_TURKEY</v>
          </cell>
          <cell r="D1406" t="str">
            <v>Spread Duration</v>
          </cell>
          <cell r="E1406" t="str">
            <v>Spread Yield (DxS)</v>
          </cell>
          <cell r="F1406" t="str">
            <v>SP-Spread Emerging Markets - Country</v>
          </cell>
          <cell r="G1406" t="str">
            <v>SP-Spread Emerging Markets</v>
          </cell>
          <cell r="H1406" t="str">
            <v>SPREADS</v>
          </cell>
          <cell r="I1406" t="str">
            <v>Spread Emerging Markets - Country</v>
          </cell>
        </row>
        <row r="1407">
          <cell r="A1407" t="str">
            <v>USD_EM_DS_UKRAINE</v>
          </cell>
          <cell r="B1407" t="str">
            <v>Ukraine</v>
          </cell>
          <cell r="C1407" t="str">
            <v>BRS_GOLD__5_SPREADS:USD_EM_DS,EM_IDIO,US_CDX_EM,EM_CORP_EE,EM_CORP_MIDAF,EM_CORP_SA:EM_SOV-NUSD_EM:USD_EM_DS_EUROPE:USD_EM_DS_UKRAINE</v>
          </cell>
          <cell r="D1407" t="str">
            <v>Spread Duration</v>
          </cell>
          <cell r="E1407" t="str">
            <v>Spread Yield (DxS)</v>
          </cell>
          <cell r="F1407" t="str">
            <v>SP-Spread Emerging Markets - Country</v>
          </cell>
          <cell r="G1407" t="str">
            <v>SP-Spread Emerging Markets</v>
          </cell>
          <cell r="H1407" t="str">
            <v>SPREADS</v>
          </cell>
          <cell r="I1407" t="str">
            <v>Spread Emerging Markets - Country</v>
          </cell>
        </row>
        <row r="1408">
          <cell r="A1408" t="str">
            <v>USD_EM_DS_ME</v>
          </cell>
          <cell r="B1408" t="str">
            <v>Emerg Mkt Mid East</v>
          </cell>
          <cell r="C1408" t="str">
            <v>BRS_GOLD__5_SPREADS:USD_EM_DS,EM_IDIO,US_CDX_EM,EM_CORP_EE,EM_CORP_MIDAF,EM_CORP_SA:EM_SOV-NUSD_EM:USD_EM_DS_MIDEAST:USD_EM_DS_ME</v>
          </cell>
          <cell r="D1408" t="str">
            <v>Spread Duration</v>
          </cell>
          <cell r="E1408" t="str">
            <v>Spread Yield (DxS)</v>
          </cell>
          <cell r="F1408" t="str">
            <v>SP-Spread Emerging Markets - Country</v>
          </cell>
          <cell r="G1408" t="str">
            <v>SP-Spread Emerging Markets</v>
          </cell>
          <cell r="H1408" t="str">
            <v>SPREADS</v>
          </cell>
          <cell r="I1408" t="str">
            <v>Spread Emerging Markets - Country</v>
          </cell>
        </row>
        <row r="1409">
          <cell r="A1409" t="str">
            <v>USD_EM_DS_ARMENIA</v>
          </cell>
          <cell r="B1409" t="str">
            <v>Armenia</v>
          </cell>
          <cell r="C1409" t="str">
            <v>BRS_GOLD__5_SPREADS:USD_EM_DS,EM_IDIO,US_CDX_EM,EM_CORP_EE,EM_CORP_MIDAF,EM_CORP_SA:EM_SOV-NUSD_EM:USD_EM_DS_MIDEAST:USD_EM_DS_ARMENIA</v>
          </cell>
          <cell r="D1409" t="str">
            <v>Spread Duration</v>
          </cell>
          <cell r="E1409" t="str">
            <v>Spread Yield (DxS)</v>
          </cell>
          <cell r="F1409" t="str">
            <v>SP-Spread Emerging Markets - Country</v>
          </cell>
          <cell r="G1409" t="str">
            <v>SP-Spread Emerging Markets</v>
          </cell>
          <cell r="H1409" t="str">
            <v>SPREADS</v>
          </cell>
          <cell r="I1409" t="str">
            <v>Spread Emerging Markets - Country</v>
          </cell>
        </row>
        <row r="1410">
          <cell r="A1410" t="str">
            <v>USD_EM_DS_AZERBAIJAN</v>
          </cell>
          <cell r="B1410" t="str">
            <v>Azerbaijan</v>
          </cell>
          <cell r="C1410" t="str">
            <v>BRS_GOLD__5_SPREADS:USD_EM_DS,EM_IDIO,US_CDX_EM,EM_CORP_EE,EM_CORP_MIDAF,EM_CORP_SA:EM_SOV-NUSD_EM:USD_EM_DS_MIDEAST:USD_EM_DS_AZERBAIJAN</v>
          </cell>
          <cell r="D1410" t="str">
            <v>Spread Duration</v>
          </cell>
          <cell r="E1410" t="str">
            <v>Spread Yield (DxS)</v>
          </cell>
          <cell r="F1410" t="str">
            <v>SP-Spread Emerging Markets - Country</v>
          </cell>
          <cell r="G1410" t="str">
            <v>SP-Spread Emerging Markets</v>
          </cell>
          <cell r="H1410" t="str">
            <v>SPREADS</v>
          </cell>
          <cell r="I1410" t="str">
            <v>Spread Emerging Markets - Country</v>
          </cell>
        </row>
        <row r="1411">
          <cell r="A1411" t="str">
            <v>USD_EM_DS_BAHRAIN</v>
          </cell>
          <cell r="B1411" t="str">
            <v>Bahrain</v>
          </cell>
          <cell r="C1411" t="str">
            <v>BRS_GOLD__5_SPREADS:USD_EM_DS,EM_IDIO,US_CDX_EM,EM_CORP_EE,EM_CORP_MIDAF,EM_CORP_SA:EM_SOV-NUSD_EM:USD_EM_DS_MIDEAST:USD_EM_DS_BAHRAIN</v>
          </cell>
          <cell r="D1411" t="str">
            <v>Spread Duration</v>
          </cell>
          <cell r="E1411" t="str">
            <v>Spread Yield (DxS)</v>
          </cell>
          <cell r="F1411" t="str">
            <v>SP-Spread Emerging Markets - Country</v>
          </cell>
          <cell r="G1411" t="str">
            <v>SP-Spread Emerging Markets</v>
          </cell>
          <cell r="H1411" t="str">
            <v>SPREADS</v>
          </cell>
          <cell r="I1411" t="str">
            <v>Spread Emerging Markets - Country</v>
          </cell>
        </row>
        <row r="1412">
          <cell r="A1412" t="str">
            <v>USD_EM_DS_EGYPT</v>
          </cell>
          <cell r="B1412" t="str">
            <v>Egypt</v>
          </cell>
          <cell r="C1412" t="str">
            <v>BRS_GOLD__5_SPREADS:USD_EM_DS,EM_IDIO,US_CDX_EM,EM_CORP_EE,EM_CORP_MIDAF,EM_CORP_SA:EM_SOV-NUSD_EM:USD_EM_DS_MIDEAST:USD_EM_DS_EGYPT</v>
          </cell>
          <cell r="D1412" t="str">
            <v>Spread Duration</v>
          </cell>
          <cell r="E1412" t="str">
            <v>Spread Yield (DxS)</v>
          </cell>
          <cell r="F1412" t="str">
            <v>SP-Spread Emerging Markets - Country</v>
          </cell>
          <cell r="G1412" t="str">
            <v>SP-Spread Emerging Markets</v>
          </cell>
          <cell r="H1412" t="str">
            <v>SPREADS</v>
          </cell>
          <cell r="I1412" t="str">
            <v>Spread Emerging Markets - Country</v>
          </cell>
        </row>
        <row r="1413">
          <cell r="A1413" t="str">
            <v>USD_EM_DS_IRAQ</v>
          </cell>
          <cell r="B1413" t="str">
            <v>Iraq</v>
          </cell>
          <cell r="C1413" t="str">
            <v>BRS_GOLD__5_SPREADS:USD_EM_DS,EM_IDIO,US_CDX_EM,EM_CORP_EE,EM_CORP_MIDAF,EM_CORP_SA:EM_SOV-NUSD_EM:USD_EM_DS_MIDEAST:USD_EM_DS_IRAQ</v>
          </cell>
          <cell r="D1413" t="str">
            <v>Spread Duration</v>
          </cell>
          <cell r="E1413" t="str">
            <v>Spread Yield (DxS)</v>
          </cell>
          <cell r="F1413" t="str">
            <v>SP-Spread Emerging Markets - Country</v>
          </cell>
          <cell r="G1413" t="str">
            <v>SP-Spread Emerging Markets</v>
          </cell>
          <cell r="H1413" t="str">
            <v>SPREADS</v>
          </cell>
          <cell r="I1413" t="str">
            <v>Spread Emerging Markets - Country</v>
          </cell>
        </row>
        <row r="1414">
          <cell r="A1414" t="str">
            <v>USD_EM_DS_JORDAN</v>
          </cell>
          <cell r="B1414" t="str">
            <v>Jordan</v>
          </cell>
          <cell r="C1414" t="str">
            <v>BRS_GOLD__5_SPREADS:USD_EM_DS,EM_IDIO,US_CDX_EM,EM_CORP_EE,EM_CORP_MIDAF,EM_CORP_SA:EM_SOV-NUSD_EM:USD_EM_DS_MIDEAST:USD_EM_DS_JORDAN</v>
          </cell>
          <cell r="D1414" t="str">
            <v>Spread Duration</v>
          </cell>
          <cell r="E1414" t="str">
            <v>Spread Yield (DxS)</v>
          </cell>
          <cell r="F1414" t="str">
            <v>SP-Spread Emerging Markets - Country</v>
          </cell>
          <cell r="G1414" t="str">
            <v>SP-Spread Emerging Markets</v>
          </cell>
          <cell r="H1414" t="str">
            <v>SPREADS</v>
          </cell>
          <cell r="I1414" t="str">
            <v>Spread Emerging Markets - Country</v>
          </cell>
        </row>
        <row r="1415">
          <cell r="A1415" t="str">
            <v>USD_EM_DS_KUWAIT</v>
          </cell>
          <cell r="B1415" t="str">
            <v>Kuwait</v>
          </cell>
          <cell r="C1415" t="str">
            <v>BRS_GOLD__5_SPREADS:USD_EM_DS,EM_IDIO,US_CDX_EM,EM_CORP_EE,EM_CORP_MIDAF,EM_CORP_SA:EM_SOV-NUSD_EM:USD_EM_DS_MIDEAST:USD_EM_DS_KUWAIT</v>
          </cell>
          <cell r="D1415" t="str">
            <v>Spread Duration</v>
          </cell>
          <cell r="E1415" t="str">
            <v>Spread Yield (DxS)</v>
          </cell>
          <cell r="F1415" t="str">
            <v>SP-Spread Emerging Markets - Country</v>
          </cell>
          <cell r="G1415" t="str">
            <v>SP-Spread Emerging Markets</v>
          </cell>
          <cell r="H1415" t="str">
            <v>SPREADS</v>
          </cell>
          <cell r="I1415" t="str">
            <v>Spread Emerging Markets - Country</v>
          </cell>
        </row>
        <row r="1416">
          <cell r="A1416" t="str">
            <v>USD_EM_DS_LEBANON</v>
          </cell>
          <cell r="B1416" t="str">
            <v>Lebanon</v>
          </cell>
          <cell r="C1416" t="str">
            <v>BRS_GOLD__5_SPREADS:USD_EM_DS,EM_IDIO,US_CDX_EM,EM_CORP_EE,EM_CORP_MIDAF,EM_CORP_SA:EM_SOV-NUSD_EM:USD_EM_DS_MIDEAST:USD_EM_DS_LEBANON</v>
          </cell>
          <cell r="D1416" t="str">
            <v>Spread Duration</v>
          </cell>
          <cell r="E1416" t="str">
            <v>Spread Yield (DxS)</v>
          </cell>
          <cell r="F1416" t="str">
            <v>SP-Spread Emerging Markets - Country</v>
          </cell>
          <cell r="G1416" t="str">
            <v>SP-Spread Emerging Markets</v>
          </cell>
          <cell r="H1416" t="str">
            <v>SPREADS</v>
          </cell>
          <cell r="I1416" t="str">
            <v>Spread Emerging Markets - Country</v>
          </cell>
        </row>
        <row r="1417">
          <cell r="A1417" t="str">
            <v>USD_EM_DS_OMAN</v>
          </cell>
          <cell r="B1417" t="str">
            <v>Oman</v>
          </cell>
          <cell r="C1417" t="str">
            <v>BRS_GOLD__5_SPREADS:USD_EM_DS,EM_IDIO,US_CDX_EM,EM_CORP_EE,EM_CORP_MIDAF,EM_CORP_SA:EM_SOV-NUSD_EM:USD_EM_DS_MIDEAST:USD_EM_DS_OMAN</v>
          </cell>
          <cell r="D1417" t="str">
            <v>Spread Duration</v>
          </cell>
          <cell r="E1417" t="str">
            <v>Spread Yield (DxS)</v>
          </cell>
          <cell r="F1417" t="str">
            <v>SP-Spread Emerging Markets - Country</v>
          </cell>
          <cell r="G1417" t="str">
            <v>SP-Spread Emerging Markets</v>
          </cell>
          <cell r="H1417" t="str">
            <v>SPREADS</v>
          </cell>
          <cell r="I1417" t="str">
            <v>Spread Emerging Markets - Country</v>
          </cell>
        </row>
        <row r="1418">
          <cell r="A1418" t="str">
            <v>USD_EM_DS_QATAR</v>
          </cell>
          <cell r="B1418" t="str">
            <v>Qatar</v>
          </cell>
          <cell r="C1418" t="str">
            <v>BRS_GOLD__5_SPREADS:USD_EM_DS,EM_IDIO,US_CDX_EM,EM_CORP_EE,EM_CORP_MIDAF,EM_CORP_SA:EM_SOV-NUSD_EM:USD_EM_DS_MIDEAST:USD_EM_DS_QATAR</v>
          </cell>
          <cell r="D1418" t="str">
            <v>Spread Duration</v>
          </cell>
          <cell r="E1418" t="str">
            <v>Spread Yield (DxS)</v>
          </cell>
          <cell r="F1418" t="str">
            <v>SP-Spread Emerging Markets - Country</v>
          </cell>
          <cell r="G1418" t="str">
            <v>SP-Spread Emerging Markets</v>
          </cell>
          <cell r="H1418" t="str">
            <v>SPREADS</v>
          </cell>
          <cell r="I1418" t="str">
            <v>Spread Emerging Markets - Country</v>
          </cell>
        </row>
        <row r="1419">
          <cell r="A1419" t="str">
            <v>USD_EM_DS_SARABIA</v>
          </cell>
          <cell r="B1419" t="str">
            <v>Sarabia</v>
          </cell>
          <cell r="C1419" t="str">
            <v>BRS_GOLD__5_SPREADS:USD_EM_DS,EM_IDIO,US_CDX_EM,EM_CORP_EE,EM_CORP_MIDAF,EM_CORP_SA:EM_SOV-NUSD_EM:USD_EM_DS_MIDEAST:USD_EM_DS_SARABIA</v>
          </cell>
          <cell r="D1419" t="str">
            <v>Spread Duration</v>
          </cell>
          <cell r="E1419" t="str">
            <v>Spread Yield (DxS)</v>
          </cell>
          <cell r="F1419" t="str">
            <v>SP-Spread Emerging Markets - Country</v>
          </cell>
          <cell r="G1419" t="str">
            <v>SP-Spread Emerging Markets</v>
          </cell>
          <cell r="H1419" t="str">
            <v>SPREADS</v>
          </cell>
          <cell r="I1419" t="str">
            <v>Spread Emerging Markets - Country</v>
          </cell>
        </row>
        <row r="1420">
          <cell r="A1420" t="str">
            <v>USD_EM_DS_TAJIKISTAN</v>
          </cell>
          <cell r="B1420" t="str">
            <v>Tajikistan</v>
          </cell>
          <cell r="C1420" t="str">
            <v>BRS_GOLD__5_SPREADS:USD_EM_DS,EM_IDIO,US_CDX_EM,EM_CORP_EE,EM_CORP_MIDAF,EM_CORP_SA:EM_SOV-NUSD_EM:USD_EM_DS_MIDEAST:USD_EM_DS_TAJIKISTAN</v>
          </cell>
          <cell r="D1420" t="str">
            <v>Spread Duration</v>
          </cell>
          <cell r="E1420" t="str">
            <v>Spread Yield (DxS)</v>
          </cell>
          <cell r="F1420" t="str">
            <v>SP-Spread Emerging Markets - Country</v>
          </cell>
          <cell r="G1420" t="str">
            <v>SP-Spread Emerging Markets</v>
          </cell>
          <cell r="H1420" t="str">
            <v>SPREADS</v>
          </cell>
          <cell r="I1420" t="str">
            <v>Spread Emerging Markets - Country</v>
          </cell>
        </row>
        <row r="1421">
          <cell r="A1421" t="str">
            <v>USD_EM_DS_UAE</v>
          </cell>
          <cell r="B1421" t="str">
            <v>UAE</v>
          </cell>
          <cell r="C1421" t="str">
            <v>BRS_GOLD__5_SPREADS:USD_EM_DS,EM_IDIO,US_CDX_EM,EM_CORP_EE,EM_CORP_MIDAF,EM_CORP_SA:EM_SOV-NUSD_EM:USD_EM_DS_MIDEAST:USD_EM_DS_UAE</v>
          </cell>
          <cell r="D1421" t="str">
            <v>Spread Duration</v>
          </cell>
          <cell r="E1421" t="str">
            <v>Spread Yield (DxS)</v>
          </cell>
          <cell r="F1421" t="str">
            <v>SP-Spread Emerging Markets - Country</v>
          </cell>
          <cell r="G1421" t="str">
            <v>SP-Spread Emerging Markets</v>
          </cell>
          <cell r="H1421" t="str">
            <v>SPREADS</v>
          </cell>
          <cell r="I1421" t="str">
            <v>Spread Emerging Markets - Country</v>
          </cell>
        </row>
        <row r="1422">
          <cell r="A1422" t="str">
            <v>USD_EM_DS_UZBEKISTAN</v>
          </cell>
          <cell r="B1422" t="str">
            <v>Uzbekistan</v>
          </cell>
          <cell r="C1422" t="str">
            <v>BRS_GOLD__5_SPREADS:USD_EM_DS,EM_IDIO,US_CDX_EM,EM_CORP_EE,EM_CORP_MIDAF,EM_CORP_SA:EM_SOV-NUSD_EM:USD_EM_DS_MIDEAST:USD_EM_DS_UZBEKISTAN</v>
          </cell>
          <cell r="D1422" t="str">
            <v>Spread Duration</v>
          </cell>
          <cell r="E1422" t="str">
            <v>Spread Yield (DxS)</v>
          </cell>
          <cell r="F1422" t="str">
            <v>SP-Spread Emerging Markets - Country</v>
          </cell>
          <cell r="G1422" t="str">
            <v>SP-Spread Emerging Markets</v>
          </cell>
          <cell r="H1422" t="str">
            <v>SPREADS</v>
          </cell>
          <cell r="I1422" t="str">
            <v>Spread Emerging Markets - Country</v>
          </cell>
        </row>
        <row r="1423">
          <cell r="A1423" t="str">
            <v>USD_EM_DS_SA</v>
          </cell>
          <cell r="B1423" t="str">
            <v>Emerg Mkt S America</v>
          </cell>
          <cell r="C1423" t="str">
            <v>BRS_GOLD__5_SPREADS:USD_EM_DS,EM_IDIO,US_CDX_EM,EM_CORP_EE,EM_CORP_MIDAF,EM_CORP_SA:EM_SOV-NUSD_EM:USD_EM_DS_S_AMERICA:USD_EM_DS_SA</v>
          </cell>
          <cell r="D1423" t="str">
            <v>Spread Duration</v>
          </cell>
          <cell r="E1423" t="str">
            <v>Spread Yield (DxS)</v>
          </cell>
          <cell r="F1423" t="str">
            <v>SP-Spread Emerging Markets - Country</v>
          </cell>
          <cell r="G1423" t="str">
            <v>SP-Spread Emerging Markets</v>
          </cell>
          <cell r="H1423" t="str">
            <v>SPREADS</v>
          </cell>
          <cell r="I1423" t="str">
            <v>Spread Emerging Markets - Country</v>
          </cell>
        </row>
        <row r="1424">
          <cell r="A1424" t="str">
            <v>USD_EM_DS_ARGENTINA</v>
          </cell>
          <cell r="B1424" t="str">
            <v>Argentina</v>
          </cell>
          <cell r="C1424" t="str">
            <v>BRS_GOLD__5_SPREADS:USD_EM_DS,EM_IDIO,US_CDX_EM,EM_CORP_EE,EM_CORP_MIDAF,EM_CORP_SA:EM_SOV-NUSD_EM:USD_EM_DS_S_AMERICA:USD_EM_DS_ARGENTINA</v>
          </cell>
          <cell r="D1424" t="str">
            <v>Spread Duration</v>
          </cell>
          <cell r="E1424" t="str">
            <v>Spread Yield (DxS)</v>
          </cell>
          <cell r="F1424" t="str">
            <v>SP-Spread Emerging Markets - Country</v>
          </cell>
          <cell r="G1424" t="str">
            <v>SP-Spread Emerging Markets</v>
          </cell>
          <cell r="H1424" t="str">
            <v>SPREADS</v>
          </cell>
          <cell r="I1424" t="str">
            <v>Spread Emerging Markets - Country</v>
          </cell>
        </row>
        <row r="1425">
          <cell r="A1425" t="str">
            <v>USD_EM_DS_BELIZE</v>
          </cell>
          <cell r="B1425" t="str">
            <v>Belize</v>
          </cell>
          <cell r="C1425" t="str">
            <v>BRS_GOLD__5_SPREADS:USD_EM_DS,EM_IDIO,US_CDX_EM,EM_CORP_EE,EM_CORP_MIDAF,EM_CORP_SA:EM_SOV-NUSD_EM:USD_EM_DS_S_AMERICA:USD_EM_DS_BELIZE</v>
          </cell>
          <cell r="D1425" t="str">
            <v>Spread Duration</v>
          </cell>
          <cell r="E1425" t="str">
            <v>Spread Yield (DxS)</v>
          </cell>
          <cell r="F1425" t="str">
            <v>SP-Spread Emerging Markets - Country</v>
          </cell>
          <cell r="G1425" t="str">
            <v>SP-Spread Emerging Markets</v>
          </cell>
          <cell r="H1425" t="str">
            <v>SPREADS</v>
          </cell>
          <cell r="I1425" t="str">
            <v>Spread Emerging Markets - Country</v>
          </cell>
        </row>
        <row r="1426">
          <cell r="A1426" t="str">
            <v>USD_EM_DS_BOLIVIA</v>
          </cell>
          <cell r="B1426" t="str">
            <v>Bolivia</v>
          </cell>
          <cell r="C1426" t="str">
            <v>BRS_GOLD__5_SPREADS:USD_EM_DS,EM_IDIO,US_CDX_EM,EM_CORP_EE,EM_CORP_MIDAF,EM_CORP_SA:EM_SOV-NUSD_EM:USD_EM_DS_S_AMERICA:USD_EM_DS_BOLIVIA</v>
          </cell>
          <cell r="D1426" t="str">
            <v>Spread Duration</v>
          </cell>
          <cell r="E1426" t="str">
            <v>Spread Yield (DxS)</v>
          </cell>
          <cell r="F1426" t="str">
            <v>SP-Spread Emerging Markets - Country</v>
          </cell>
          <cell r="G1426" t="str">
            <v>SP-Spread Emerging Markets</v>
          </cell>
          <cell r="H1426" t="str">
            <v>SPREADS</v>
          </cell>
          <cell r="I1426" t="str">
            <v>Spread Emerging Markets - Country</v>
          </cell>
        </row>
        <row r="1427">
          <cell r="A1427" t="str">
            <v>USD_EM_DS_BRAZIL</v>
          </cell>
          <cell r="B1427" t="str">
            <v>Brazil</v>
          </cell>
          <cell r="C1427" t="str">
            <v>BRS_GOLD__5_SPREADS:USD_EM_DS,EM_IDIO,US_CDX_EM,EM_CORP_EE,EM_CORP_MIDAF,EM_CORP_SA:EM_SOV-NUSD_EM:USD_EM_DS_S_AMERICA:USD_EM_DS_BRAZIL</v>
          </cell>
          <cell r="D1427" t="str">
            <v>Spread Duration</v>
          </cell>
          <cell r="E1427" t="str">
            <v>Spread Yield (DxS)</v>
          </cell>
          <cell r="F1427" t="str">
            <v>SP-Spread Emerging Markets - Country</v>
          </cell>
          <cell r="G1427" t="str">
            <v>SP-Spread Emerging Markets</v>
          </cell>
          <cell r="H1427" t="str">
            <v>SPREADS</v>
          </cell>
          <cell r="I1427" t="str">
            <v>Spread Emerging Markets - Country</v>
          </cell>
        </row>
        <row r="1428">
          <cell r="A1428" t="str">
            <v>USD_EM_DS_CHILE</v>
          </cell>
          <cell r="B1428" t="str">
            <v>Chile</v>
          </cell>
          <cell r="C1428" t="str">
            <v>BRS_GOLD__5_SPREADS:USD_EM_DS,EM_IDIO,US_CDX_EM,EM_CORP_EE,EM_CORP_MIDAF,EM_CORP_SA:EM_SOV-NUSD_EM:USD_EM_DS_S_AMERICA:USD_EM_DS_CHILE</v>
          </cell>
          <cell r="D1428" t="str">
            <v>Spread Duration</v>
          </cell>
          <cell r="E1428" t="str">
            <v>Spread Yield (DxS)</v>
          </cell>
          <cell r="F1428" t="str">
            <v>SP-Spread Emerging Markets - Country</v>
          </cell>
          <cell r="G1428" t="str">
            <v>SP-Spread Emerging Markets</v>
          </cell>
          <cell r="H1428" t="str">
            <v>SPREADS</v>
          </cell>
          <cell r="I1428" t="str">
            <v>Spread Emerging Markets - Country</v>
          </cell>
        </row>
        <row r="1429">
          <cell r="A1429" t="str">
            <v>USD_EM_DS_COLOMBIA</v>
          </cell>
          <cell r="B1429" t="str">
            <v>Colombia</v>
          </cell>
          <cell r="C1429" t="str">
            <v>BRS_GOLD__5_SPREADS:USD_EM_DS,EM_IDIO,US_CDX_EM,EM_CORP_EE,EM_CORP_MIDAF,EM_CORP_SA:EM_SOV-NUSD_EM:USD_EM_DS_S_AMERICA:USD_EM_DS_COLOMBIA</v>
          </cell>
          <cell r="D1429" t="str">
            <v>Spread Duration</v>
          </cell>
          <cell r="E1429" t="str">
            <v>Spread Yield (DxS)</v>
          </cell>
          <cell r="F1429" t="str">
            <v>SP-Spread Emerging Markets - Country</v>
          </cell>
          <cell r="G1429" t="str">
            <v>SP-Spread Emerging Markets</v>
          </cell>
          <cell r="H1429" t="str">
            <v>SPREADS</v>
          </cell>
          <cell r="I1429" t="str">
            <v>Spread Emerging Markets - Country</v>
          </cell>
        </row>
        <row r="1430">
          <cell r="A1430" t="str">
            <v>USD_EM_DS_COSTARICA</v>
          </cell>
          <cell r="B1430" t="str">
            <v>Costarica</v>
          </cell>
          <cell r="C1430" t="str">
            <v>BRS_GOLD__5_SPREADS:USD_EM_DS,EM_IDIO,US_CDX_EM,EM_CORP_EE,EM_CORP_MIDAF,EM_CORP_SA:EM_SOV-NUSD_EM:USD_EM_DS_S_AMERICA:USD_EM_DS_COSTARICA</v>
          </cell>
          <cell r="D1430" t="str">
            <v>Spread Duration</v>
          </cell>
          <cell r="E1430" t="str">
            <v>Spread Yield (DxS)</v>
          </cell>
          <cell r="F1430" t="str">
            <v>SP-Spread Emerging Markets - Country</v>
          </cell>
          <cell r="G1430" t="str">
            <v>SP-Spread Emerging Markets</v>
          </cell>
          <cell r="H1430" t="str">
            <v>SPREADS</v>
          </cell>
          <cell r="I1430" t="str">
            <v>Spread Emerging Markets - Country</v>
          </cell>
        </row>
        <row r="1431">
          <cell r="A1431" t="str">
            <v>USD_EM_DS_DOMINICA</v>
          </cell>
          <cell r="B1431" t="str">
            <v>Dominican Republic</v>
          </cell>
          <cell r="C1431" t="str">
            <v>BRS_GOLD__5_SPREADS:USD_EM_DS,EM_IDIO,US_CDX_EM,EM_CORP_EE,EM_CORP_MIDAF,EM_CORP_SA:EM_SOV-NUSD_EM:USD_EM_DS_S_AMERICA:USD_EM_DS_DOMINICA</v>
          </cell>
          <cell r="D1431" t="str">
            <v>Spread Duration</v>
          </cell>
          <cell r="E1431" t="str">
            <v>Spread Yield (DxS)</v>
          </cell>
          <cell r="F1431" t="str">
            <v>SP-Spread Emerging Markets - Country</v>
          </cell>
          <cell r="G1431" t="str">
            <v>SP-Spread Emerging Markets</v>
          </cell>
          <cell r="H1431" t="str">
            <v>SPREADS</v>
          </cell>
          <cell r="I1431" t="str">
            <v>Spread Emerging Markets - Country</v>
          </cell>
        </row>
        <row r="1432">
          <cell r="A1432" t="str">
            <v>USD_EM_DS_ECUADOR</v>
          </cell>
          <cell r="B1432" t="str">
            <v>Ecuador</v>
          </cell>
          <cell r="C1432" t="str">
            <v>BRS_GOLD__5_SPREADS:USD_EM_DS,EM_IDIO,US_CDX_EM,EM_CORP_EE,EM_CORP_MIDAF,EM_CORP_SA:EM_SOV-NUSD_EM:USD_EM_DS_S_AMERICA:USD_EM_DS_ECUADOR</v>
          </cell>
          <cell r="D1432" t="str">
            <v>Spread Duration</v>
          </cell>
          <cell r="E1432" t="str">
            <v>Spread Yield (DxS)</v>
          </cell>
          <cell r="F1432" t="str">
            <v>SP-Spread Emerging Markets - Country</v>
          </cell>
          <cell r="G1432" t="str">
            <v>SP-Spread Emerging Markets</v>
          </cell>
          <cell r="H1432" t="str">
            <v>SPREADS</v>
          </cell>
          <cell r="I1432" t="str">
            <v>Spread Emerging Markets - Country</v>
          </cell>
        </row>
        <row r="1433">
          <cell r="A1433" t="str">
            <v>USD_EM_DS_GUATEMALA</v>
          </cell>
          <cell r="B1433" t="str">
            <v>Guatemala</v>
          </cell>
          <cell r="C1433" t="str">
            <v>BRS_GOLD__5_SPREADS:USD_EM_DS,EM_IDIO,US_CDX_EM,EM_CORP_EE,EM_CORP_MIDAF,EM_CORP_SA:EM_SOV-NUSD_EM:USD_EM_DS_S_AMERICA:USD_EM_DS_GUATEMALA</v>
          </cell>
          <cell r="D1433" t="str">
            <v>Spread Duration</v>
          </cell>
          <cell r="E1433" t="str">
            <v>Spread Yield (DxS)</v>
          </cell>
          <cell r="F1433" t="str">
            <v>SP-Spread Emerging Markets - Country</v>
          </cell>
          <cell r="G1433" t="str">
            <v>SP-Spread Emerging Markets</v>
          </cell>
          <cell r="H1433" t="str">
            <v>SPREADS</v>
          </cell>
          <cell r="I1433" t="str">
            <v>Spread Emerging Markets - Country</v>
          </cell>
        </row>
        <row r="1434">
          <cell r="A1434" t="str">
            <v>USD_EM_DS_HONDURAS</v>
          </cell>
          <cell r="B1434" t="str">
            <v>Honduras</v>
          </cell>
          <cell r="C1434" t="str">
            <v>BRS_GOLD__5_SPREADS:USD_EM_DS,EM_IDIO,US_CDX_EM,EM_CORP_EE,EM_CORP_MIDAF,EM_CORP_SA:EM_SOV-NUSD_EM:USD_EM_DS_S_AMERICA:USD_EM_DS_HONDURAS</v>
          </cell>
          <cell r="D1434" t="str">
            <v>Spread Duration</v>
          </cell>
          <cell r="E1434" t="str">
            <v>Spread Yield (DxS)</v>
          </cell>
          <cell r="F1434" t="str">
            <v>SP-Spread Emerging Markets - Country</v>
          </cell>
          <cell r="G1434" t="str">
            <v>SP-Spread Emerging Markets</v>
          </cell>
          <cell r="H1434" t="str">
            <v>SPREADS</v>
          </cell>
          <cell r="I1434" t="str">
            <v>Spread Emerging Markets - Country</v>
          </cell>
        </row>
        <row r="1435">
          <cell r="A1435" t="str">
            <v>USD_EM_DS_JAMAICA</v>
          </cell>
          <cell r="B1435" t="str">
            <v>Jamaica</v>
          </cell>
          <cell r="C1435" t="str">
            <v>BRS_GOLD__5_SPREADS:USD_EM_DS,EM_IDIO,US_CDX_EM,EM_CORP_EE,EM_CORP_MIDAF,EM_CORP_SA:EM_SOV-NUSD_EM:USD_EM_DS_S_AMERICA:USD_EM_DS_JAMAICA</v>
          </cell>
          <cell r="D1435" t="str">
            <v>Spread Duration</v>
          </cell>
          <cell r="E1435" t="str">
            <v>Spread Yield (DxS)</v>
          </cell>
          <cell r="F1435" t="str">
            <v>SP-Spread Emerging Markets - Country</v>
          </cell>
          <cell r="G1435" t="str">
            <v>SP-Spread Emerging Markets</v>
          </cell>
          <cell r="H1435" t="str">
            <v>SPREADS</v>
          </cell>
          <cell r="I1435" t="str">
            <v>Spread Emerging Markets - Country</v>
          </cell>
        </row>
        <row r="1436">
          <cell r="A1436" t="str">
            <v>USD_EM_DS_MEXICO</v>
          </cell>
          <cell r="B1436" t="str">
            <v>Mexico</v>
          </cell>
          <cell r="C1436" t="str">
            <v>BRS_GOLD__5_SPREADS:USD_EM_DS,EM_IDIO,US_CDX_EM,EM_CORP_EE,EM_CORP_MIDAF,EM_CORP_SA:EM_SOV-NUSD_EM:USD_EM_DS_S_AMERICA:USD_EM_DS_MEXICO</v>
          </cell>
          <cell r="D1436" t="str">
            <v>Spread Duration</v>
          </cell>
          <cell r="E1436" t="str">
            <v>Spread Yield (DxS)</v>
          </cell>
          <cell r="F1436" t="str">
            <v>SP-Spread Emerging Markets - Country</v>
          </cell>
          <cell r="G1436" t="str">
            <v>SP-Spread Emerging Markets</v>
          </cell>
          <cell r="H1436" t="str">
            <v>SPREADS</v>
          </cell>
          <cell r="I1436" t="str">
            <v>Spread Emerging Markets - Country</v>
          </cell>
        </row>
        <row r="1437">
          <cell r="A1437" t="str">
            <v>USD_EM_DS_PANAMA</v>
          </cell>
          <cell r="B1437" t="str">
            <v>Panama</v>
          </cell>
          <cell r="C1437" t="str">
            <v>BRS_GOLD__5_SPREADS:USD_EM_DS,EM_IDIO,US_CDX_EM,EM_CORP_EE,EM_CORP_MIDAF,EM_CORP_SA:EM_SOV-NUSD_EM:USD_EM_DS_S_AMERICA:USD_EM_DS_PANAMA</v>
          </cell>
          <cell r="D1437" t="str">
            <v>Spread Duration</v>
          </cell>
          <cell r="E1437" t="str">
            <v>Spread Yield (DxS)</v>
          </cell>
          <cell r="F1437" t="str">
            <v>SP-Spread Emerging Markets - Country</v>
          </cell>
          <cell r="G1437" t="str">
            <v>SP-Spread Emerging Markets</v>
          </cell>
          <cell r="H1437" t="str">
            <v>SPREADS</v>
          </cell>
          <cell r="I1437" t="str">
            <v>Spread Emerging Markets - Country</v>
          </cell>
        </row>
        <row r="1438">
          <cell r="A1438" t="str">
            <v>USD_EM_DS_PARAGUAY</v>
          </cell>
          <cell r="B1438" t="str">
            <v>Paraguay</v>
          </cell>
          <cell r="C1438" t="str">
            <v>BRS_GOLD__5_SPREADS:USD_EM_DS,EM_IDIO,US_CDX_EM,EM_CORP_EE,EM_CORP_MIDAF,EM_CORP_SA:EM_SOV-NUSD_EM:USD_EM_DS_S_AMERICA:USD_EM_DS_PARAGUAY</v>
          </cell>
          <cell r="D1438" t="str">
            <v>Spread Duration</v>
          </cell>
          <cell r="E1438" t="str">
            <v>Spread Yield (DxS)</v>
          </cell>
          <cell r="F1438" t="str">
            <v>SP-Spread Emerging Markets - Country</v>
          </cell>
          <cell r="G1438" t="str">
            <v>SP-Spread Emerging Markets</v>
          </cell>
          <cell r="H1438" t="str">
            <v>SPREADS</v>
          </cell>
          <cell r="I1438" t="str">
            <v>Spread Emerging Markets - Country</v>
          </cell>
        </row>
        <row r="1439">
          <cell r="A1439" t="str">
            <v>USD_EM_DS_PERU</v>
          </cell>
          <cell r="B1439" t="str">
            <v>Peru</v>
          </cell>
          <cell r="C1439" t="str">
            <v>BRS_GOLD__5_SPREADS:USD_EM_DS,EM_IDIO,US_CDX_EM,EM_CORP_EE,EM_CORP_MIDAF,EM_CORP_SA:EM_SOV-NUSD_EM:USD_EM_DS_S_AMERICA:USD_EM_DS_PERU</v>
          </cell>
          <cell r="D1439" t="str">
            <v>Spread Duration</v>
          </cell>
          <cell r="E1439" t="str">
            <v>Spread Yield (DxS)</v>
          </cell>
          <cell r="F1439" t="str">
            <v>SP-Spread Emerging Markets - Country</v>
          </cell>
          <cell r="G1439" t="str">
            <v>SP-Spread Emerging Markets</v>
          </cell>
          <cell r="H1439" t="str">
            <v>SPREADS</v>
          </cell>
          <cell r="I1439" t="str">
            <v>Spread Emerging Markets - Country</v>
          </cell>
        </row>
        <row r="1440">
          <cell r="A1440" t="str">
            <v>USD_EM_DS_SALVADOR</v>
          </cell>
          <cell r="B1440" t="str">
            <v>El Salvador</v>
          </cell>
          <cell r="C1440" t="str">
            <v>BRS_GOLD__5_SPREADS:USD_EM_DS,EM_IDIO,US_CDX_EM,EM_CORP_EE,EM_CORP_MIDAF,EM_CORP_SA:EM_SOV-NUSD_EM:USD_EM_DS_S_AMERICA:USD_EM_DS_SALVADOR</v>
          </cell>
          <cell r="D1440" t="str">
            <v>Spread Duration</v>
          </cell>
          <cell r="E1440" t="str">
            <v>Spread Yield (DxS)</v>
          </cell>
          <cell r="F1440" t="str">
            <v>SP-Spread Emerging Markets - Country</v>
          </cell>
          <cell r="G1440" t="str">
            <v>SP-Spread Emerging Markets</v>
          </cell>
          <cell r="H1440" t="str">
            <v>SPREADS</v>
          </cell>
          <cell r="I1440" t="str">
            <v>Spread Emerging Markets - Country</v>
          </cell>
        </row>
        <row r="1441">
          <cell r="A1441" t="str">
            <v>USD_EM_DS_SURINAME</v>
          </cell>
          <cell r="B1441" t="str">
            <v>Suriname</v>
          </cell>
          <cell r="C1441" t="str">
            <v>BRS_GOLD__5_SPREADS:USD_EM_DS,EM_IDIO,US_CDX_EM,EM_CORP_EE,EM_CORP_MIDAF,EM_CORP_SA:EM_SOV-NUSD_EM:USD_EM_DS_S_AMERICA:USD_EM_DS_SURINAME</v>
          </cell>
          <cell r="D1441" t="str">
            <v>Spread Duration</v>
          </cell>
          <cell r="E1441" t="str">
            <v>Spread Yield (DxS)</v>
          </cell>
          <cell r="F1441" t="str">
            <v>SP-Spread Emerging Markets - Country</v>
          </cell>
          <cell r="G1441" t="str">
            <v>SP-Spread Emerging Markets</v>
          </cell>
          <cell r="H1441" t="str">
            <v>SPREADS</v>
          </cell>
          <cell r="I1441" t="str">
            <v>Spread Emerging Markets - Country</v>
          </cell>
        </row>
        <row r="1442">
          <cell r="A1442" t="str">
            <v>USD_EM_DS_TRINTOBAGO</v>
          </cell>
          <cell r="B1442" t="str">
            <v>Trinidad and Tobago</v>
          </cell>
          <cell r="C1442" t="str">
            <v>BRS_GOLD__5_SPREADS:USD_EM_DS,EM_IDIO,US_CDX_EM,EM_CORP_EE,EM_CORP_MIDAF,EM_CORP_SA:EM_SOV-NUSD_EM:USD_EM_DS_S_AMERICA:USD_EM_DS_TRINTOBAGO</v>
          </cell>
          <cell r="D1442" t="str">
            <v>Spread Duration</v>
          </cell>
          <cell r="E1442" t="str">
            <v>Spread Yield (DxS)</v>
          </cell>
          <cell r="F1442" t="str">
            <v>SP-Spread Emerging Markets - Country</v>
          </cell>
          <cell r="G1442" t="str">
            <v>SP-Spread Emerging Markets</v>
          </cell>
          <cell r="H1442" t="str">
            <v>SPREADS</v>
          </cell>
          <cell r="I1442" t="str">
            <v>Spread Emerging Markets - Country</v>
          </cell>
        </row>
        <row r="1443">
          <cell r="A1443" t="str">
            <v>USD_EM_DS_URUGUAY</v>
          </cell>
          <cell r="B1443" t="str">
            <v>Uruguay</v>
          </cell>
          <cell r="C1443" t="str">
            <v>BRS_GOLD__5_SPREADS:USD_EM_DS,EM_IDIO,US_CDX_EM,EM_CORP_EE,EM_CORP_MIDAF,EM_CORP_SA:EM_SOV-NUSD_EM:USD_EM_DS_S_AMERICA:USD_EM_DS_URUGUAY</v>
          </cell>
          <cell r="D1443" t="str">
            <v>Spread Duration</v>
          </cell>
          <cell r="E1443" t="str">
            <v>Spread Yield (DxS)</v>
          </cell>
          <cell r="F1443" t="str">
            <v>SP-Spread Emerging Markets - Country</v>
          </cell>
          <cell r="G1443" t="str">
            <v>SP-Spread Emerging Markets</v>
          </cell>
          <cell r="H1443" t="str">
            <v>SPREADS</v>
          </cell>
          <cell r="I1443" t="str">
            <v>Spread Emerging Markets - Country</v>
          </cell>
        </row>
        <row r="1444">
          <cell r="A1444" t="str">
            <v>USD_EM_DS_VENEZUELA</v>
          </cell>
          <cell r="B1444" t="str">
            <v>Venezuela</v>
          </cell>
          <cell r="C1444" t="str">
            <v>BRS_GOLD__5_SPREADS:USD_EM_DS,EM_IDIO,US_CDX_EM,EM_CORP_EE,EM_CORP_MIDAF,EM_CORP_SA:EM_SOV-NUSD_EM:USD_EM_DS_S_AMERICA:USD_EM_DS_VENEZUELA</v>
          </cell>
          <cell r="D1444" t="str">
            <v>Spread Duration</v>
          </cell>
          <cell r="E1444" t="str">
            <v>Spread Yield (DxS)</v>
          </cell>
          <cell r="F1444" t="str">
            <v>SP-Spread Emerging Markets - Country</v>
          </cell>
          <cell r="G1444" t="str">
            <v>SP-Spread Emerging Markets</v>
          </cell>
          <cell r="H1444" t="str">
            <v>SPREADS</v>
          </cell>
          <cell r="I1444" t="str">
            <v>Spread Emerging Markets - Country</v>
          </cell>
        </row>
        <row r="1445">
          <cell r="A1445" t="str">
            <v>USD_EM_DS_SEA</v>
          </cell>
          <cell r="B1445" t="str">
            <v>Emerg Mkt SE Asia</v>
          </cell>
          <cell r="C1445" t="str">
            <v>BRS_GOLD__5_SPREADS:USD_EM_DS,EM_IDIO,US_CDX_EM,EM_CORP_EE,EM_CORP_MIDAF,EM_CORP_SA:EM_SOV-NUSD_EM:USD_EM_DS_S_ASIA:USD_EM_DS_SEA</v>
          </cell>
          <cell r="D1445" t="str">
            <v>Spread Duration</v>
          </cell>
          <cell r="E1445" t="str">
            <v>Spread Yield (DxS)</v>
          </cell>
          <cell r="F1445" t="str">
            <v>SP-Spread Emerging Markets - Country</v>
          </cell>
          <cell r="G1445" t="str">
            <v>SP-Spread Emerging Markets</v>
          </cell>
          <cell r="H1445" t="str">
            <v>SPREADS</v>
          </cell>
          <cell r="I1445" t="str">
            <v>Spread Emerging Markets - Country</v>
          </cell>
        </row>
        <row r="1446">
          <cell r="A1446" t="str">
            <v>USD_EM_DS_CHINA</v>
          </cell>
          <cell r="B1446" t="str">
            <v>China</v>
          </cell>
          <cell r="C1446" t="str">
            <v>BRS_GOLD__5_SPREADS:USD_EM_DS,EM_IDIO,US_CDX_EM,EM_CORP_EE,EM_CORP_MIDAF,EM_CORP_SA:EM_SOV-NUSD_EM:USD_EM_DS_S_ASIA:USD_EM_DS_CHINA</v>
          </cell>
          <cell r="D1446" t="str">
            <v>Spread Duration</v>
          </cell>
          <cell r="E1446" t="str">
            <v>Spread Yield (DxS)</v>
          </cell>
          <cell r="F1446" t="str">
            <v>SP-Spread Emerging Markets - Country</v>
          </cell>
          <cell r="G1446" t="str">
            <v>SP-Spread Emerging Markets</v>
          </cell>
          <cell r="H1446" t="str">
            <v>SPREADS</v>
          </cell>
          <cell r="I1446" t="str">
            <v>Spread Emerging Markets - Country</v>
          </cell>
        </row>
        <row r="1447">
          <cell r="A1447" t="str">
            <v>USD_EM_DS_HONGKONG</v>
          </cell>
          <cell r="B1447" t="str">
            <v>Hong Kong</v>
          </cell>
          <cell r="C1447" t="str">
            <v>BRS_GOLD__5_SPREADS:USD_EM_DS,EM_IDIO,US_CDX_EM,EM_CORP_EE,EM_CORP_MIDAF,EM_CORP_SA:EM_SOV-NUSD_EM:USD_EM_DS_S_ASIA:USD_EM_DS_HONGKONG</v>
          </cell>
          <cell r="D1447" t="str">
            <v>Spread Duration</v>
          </cell>
          <cell r="E1447" t="str">
            <v>Spread Yield (DxS)</v>
          </cell>
          <cell r="F1447" t="str">
            <v>SP-Spread Emerging Markets - Country</v>
          </cell>
          <cell r="G1447" t="str">
            <v>SP-Spread Emerging Markets</v>
          </cell>
          <cell r="H1447" t="str">
            <v>SPREADS</v>
          </cell>
          <cell r="I1447" t="str">
            <v>Spread Emerging Markets - Country</v>
          </cell>
        </row>
        <row r="1448">
          <cell r="A1448" t="str">
            <v>USD_EM_DS_INDIA</v>
          </cell>
          <cell r="B1448" t="str">
            <v>India</v>
          </cell>
          <cell r="C1448" t="str">
            <v>BRS_GOLD__5_SPREADS:USD_EM_DS,EM_IDIO,US_CDX_EM,EM_CORP_EE,EM_CORP_MIDAF,EM_CORP_SA:EM_SOV-NUSD_EM:USD_EM_DS_S_ASIA:USD_EM_DS_INDIA</v>
          </cell>
          <cell r="D1448" t="str">
            <v>Spread Duration</v>
          </cell>
          <cell r="E1448" t="str">
            <v>Spread Yield (DxS)</v>
          </cell>
          <cell r="F1448" t="str">
            <v>SP-Spread Emerging Markets - Country</v>
          </cell>
          <cell r="G1448" t="str">
            <v>SP-Spread Emerging Markets</v>
          </cell>
          <cell r="H1448" t="str">
            <v>SPREADS</v>
          </cell>
          <cell r="I1448" t="str">
            <v>Spread Emerging Markets - Country</v>
          </cell>
        </row>
        <row r="1449">
          <cell r="A1449" t="str">
            <v>USD_EM_DS_INDONESIA</v>
          </cell>
          <cell r="B1449" t="str">
            <v>Indonesia</v>
          </cell>
          <cell r="C1449" t="str">
            <v>BRS_GOLD__5_SPREADS:USD_EM_DS,EM_IDIO,US_CDX_EM,EM_CORP_EE,EM_CORP_MIDAF,EM_CORP_SA:EM_SOV-NUSD_EM:USD_EM_DS_S_ASIA:USD_EM_DS_INDONESIA</v>
          </cell>
          <cell r="D1449" t="str">
            <v>Spread Duration</v>
          </cell>
          <cell r="E1449" t="str">
            <v>Spread Yield (DxS)</v>
          </cell>
          <cell r="F1449" t="str">
            <v>SP-Spread Emerging Markets - Country</v>
          </cell>
          <cell r="G1449" t="str">
            <v>SP-Spread Emerging Markets</v>
          </cell>
          <cell r="H1449" t="str">
            <v>SPREADS</v>
          </cell>
          <cell r="I1449" t="str">
            <v>Spread Emerging Markets - Country</v>
          </cell>
        </row>
        <row r="1450">
          <cell r="A1450" t="str">
            <v>USD_EM_DS_KOREA</v>
          </cell>
          <cell r="B1450" t="str">
            <v>Korea</v>
          </cell>
          <cell r="C1450" t="str">
            <v>BRS_GOLD__5_SPREADS:USD_EM_DS,EM_IDIO,US_CDX_EM,EM_CORP_EE,EM_CORP_MIDAF,EM_CORP_SA:EM_SOV-NUSD_EM:USD_EM_DS_S_ASIA:USD_EM_DS_KOREA</v>
          </cell>
          <cell r="D1450" t="str">
            <v>Spread Duration</v>
          </cell>
          <cell r="E1450" t="str">
            <v>Spread Yield (DxS)</v>
          </cell>
          <cell r="F1450" t="str">
            <v>SP-Spread Emerging Markets - Country</v>
          </cell>
          <cell r="G1450" t="str">
            <v>SP-Spread Emerging Markets</v>
          </cell>
          <cell r="H1450" t="str">
            <v>SPREADS</v>
          </cell>
          <cell r="I1450" t="str">
            <v>Spread Emerging Markets - Country</v>
          </cell>
        </row>
        <row r="1451">
          <cell r="A1451" t="str">
            <v>USD_EM_DS_MACAU</v>
          </cell>
          <cell r="B1451" t="str">
            <v>Macau</v>
          </cell>
          <cell r="C1451" t="str">
            <v>BRS_GOLD__5_SPREADS:USD_EM_DS,EM_IDIO,US_CDX_EM,EM_CORP_EE,EM_CORP_MIDAF,EM_CORP_SA:EM_SOV-NUSD_EM:USD_EM_DS_S_ASIA:USD_EM_DS_MACAU</v>
          </cell>
          <cell r="D1451" t="str">
            <v>Spread Duration</v>
          </cell>
          <cell r="E1451" t="str">
            <v>Spread Yield (DxS)</v>
          </cell>
          <cell r="F1451" t="str">
            <v>SP-Spread Emerging Markets - Country</v>
          </cell>
          <cell r="G1451" t="str">
            <v>SP-Spread Emerging Markets</v>
          </cell>
          <cell r="H1451" t="str">
            <v>SPREADS</v>
          </cell>
          <cell r="I1451" t="str">
            <v>Spread Emerging Markets - Country</v>
          </cell>
        </row>
        <row r="1452">
          <cell r="A1452" t="str">
            <v>USD_EM_DS_MALAYSIA</v>
          </cell>
          <cell r="B1452" t="str">
            <v>Malaysia</v>
          </cell>
          <cell r="C1452" t="str">
            <v>BRS_GOLD__5_SPREADS:USD_EM_DS,EM_IDIO,US_CDX_EM,EM_CORP_EE,EM_CORP_MIDAF,EM_CORP_SA:EM_SOV-NUSD_EM:USD_EM_DS_S_ASIA:USD_EM_DS_MALAYSIA</v>
          </cell>
          <cell r="D1452" t="str">
            <v>Spread Duration</v>
          </cell>
          <cell r="E1452" t="str">
            <v>Spread Yield (DxS)</v>
          </cell>
          <cell r="F1452" t="str">
            <v>SP-Spread Emerging Markets - Country</v>
          </cell>
          <cell r="G1452" t="str">
            <v>SP-Spread Emerging Markets</v>
          </cell>
          <cell r="H1452" t="str">
            <v>SPREADS</v>
          </cell>
          <cell r="I1452" t="str">
            <v>Spread Emerging Markets - Country</v>
          </cell>
        </row>
        <row r="1453">
          <cell r="A1453" t="str">
            <v>USD_EM_DS_MALDIVES</v>
          </cell>
          <cell r="B1453" t="str">
            <v>Maldives</v>
          </cell>
          <cell r="C1453" t="str">
            <v>BRS_GOLD__5_SPREADS:USD_EM_DS,EM_IDIO,US_CDX_EM,EM_CORP_EE,EM_CORP_MIDAF,EM_CORP_SA:EM_SOV-NUSD_EM:USD_EM_DS_S_ASIA:USD_EM_DS_MALDIVES</v>
          </cell>
          <cell r="D1453" t="str">
            <v>Spread Duration</v>
          </cell>
          <cell r="E1453" t="str">
            <v>Spread Yield (DxS)</v>
          </cell>
          <cell r="F1453" t="str">
            <v>SP-Spread Emerging Markets - Country</v>
          </cell>
          <cell r="G1453" t="str">
            <v>SP-Spread Emerging Markets</v>
          </cell>
          <cell r="H1453" t="str">
            <v>SPREADS</v>
          </cell>
          <cell r="I1453" t="str">
            <v>Spread Emerging Markets - Country</v>
          </cell>
        </row>
        <row r="1454">
          <cell r="A1454" t="str">
            <v>USD_EM_DS_MONGOLIA</v>
          </cell>
          <cell r="B1454" t="str">
            <v>Mongolia</v>
          </cell>
          <cell r="C1454" t="str">
            <v>BRS_GOLD__5_SPREADS:USD_EM_DS,EM_IDIO,US_CDX_EM,EM_CORP_EE,EM_CORP_MIDAF,EM_CORP_SA:EM_SOV-NUSD_EM:USD_EM_DS_S_ASIA:USD_EM_DS_MONGOLIA</v>
          </cell>
          <cell r="D1454" t="str">
            <v>Spread Duration</v>
          </cell>
          <cell r="E1454" t="str">
            <v>Spread Yield (DxS)</v>
          </cell>
          <cell r="F1454" t="str">
            <v>SP-Spread Emerging Markets - Country</v>
          </cell>
          <cell r="G1454" t="str">
            <v>SP-Spread Emerging Markets</v>
          </cell>
          <cell r="H1454" t="str">
            <v>SPREADS</v>
          </cell>
          <cell r="I1454" t="str">
            <v>Spread Emerging Markets - Country</v>
          </cell>
        </row>
        <row r="1455">
          <cell r="A1455" t="str">
            <v>USD_EM_DS_PAKISTAN</v>
          </cell>
          <cell r="B1455" t="str">
            <v>Pakistan</v>
          </cell>
          <cell r="C1455" t="str">
            <v>BRS_GOLD__5_SPREADS:USD_EM_DS,EM_IDIO,US_CDX_EM,EM_CORP_EE,EM_CORP_MIDAF,EM_CORP_SA:EM_SOV-NUSD_EM:USD_EM_DS_S_ASIA:USD_EM_DS_PAKISTAN</v>
          </cell>
          <cell r="D1455" t="str">
            <v>Spread Duration</v>
          </cell>
          <cell r="E1455" t="str">
            <v>Spread Yield (DxS)</v>
          </cell>
          <cell r="F1455" t="str">
            <v>SP-Spread Emerging Markets - Country</v>
          </cell>
          <cell r="G1455" t="str">
            <v>SP-Spread Emerging Markets</v>
          </cell>
          <cell r="H1455" t="str">
            <v>SPREADS</v>
          </cell>
          <cell r="I1455" t="str">
            <v>Spread Emerging Markets - Country</v>
          </cell>
        </row>
        <row r="1456">
          <cell r="A1456" t="str">
            <v>USD_EM_DS_PAPUANEWGUINEA</v>
          </cell>
          <cell r="B1456" t="str">
            <v>Papuanewguinea</v>
          </cell>
          <cell r="C1456" t="str">
            <v>BRS_GOLD__5_SPREADS:USD_EM_DS,EM_IDIO,US_CDX_EM,EM_CORP_EE,EM_CORP_MIDAF,EM_CORP_SA:EM_SOV-NUSD_EM:USD_EM_DS_S_ASIA:USD_EM_DS_PAPUANEWGUINEA</v>
          </cell>
          <cell r="D1456" t="str">
            <v>Spread Duration</v>
          </cell>
          <cell r="E1456" t="str">
            <v>Spread Yield (DxS)</v>
          </cell>
          <cell r="F1456" t="str">
            <v>SP-Spread Emerging Markets - Country</v>
          </cell>
          <cell r="G1456" t="str">
            <v>SP-Spread Emerging Markets</v>
          </cell>
          <cell r="H1456" t="str">
            <v>SPREADS</v>
          </cell>
          <cell r="I1456" t="str">
            <v>Spread Emerging Markets - Country</v>
          </cell>
        </row>
        <row r="1457">
          <cell r="A1457" t="str">
            <v>USD_EM_DS_PHILIPPINES</v>
          </cell>
          <cell r="B1457" t="str">
            <v>Philippines</v>
          </cell>
          <cell r="C1457" t="str">
            <v>BRS_GOLD__5_SPREADS:USD_EM_DS,EM_IDIO,US_CDX_EM,EM_CORP_EE,EM_CORP_MIDAF,EM_CORP_SA:EM_SOV-NUSD_EM:USD_EM_DS_S_ASIA:USD_EM_DS_PHILIPPINES</v>
          </cell>
          <cell r="D1457" t="str">
            <v>Spread Duration</v>
          </cell>
          <cell r="E1457" t="str">
            <v>Spread Yield (DxS)</v>
          </cell>
          <cell r="F1457" t="str">
            <v>SP-Spread Emerging Markets - Country</v>
          </cell>
          <cell r="G1457" t="str">
            <v>SP-Spread Emerging Markets</v>
          </cell>
          <cell r="H1457" t="str">
            <v>SPREADS</v>
          </cell>
          <cell r="I1457" t="str">
            <v>Spread Emerging Markets - Country</v>
          </cell>
        </row>
        <row r="1458">
          <cell r="A1458" t="str">
            <v>USD_EM_DS_SINGAPORE</v>
          </cell>
          <cell r="B1458" t="str">
            <v>Singapore</v>
          </cell>
          <cell r="C1458" t="str">
            <v>BRS_GOLD__5_SPREADS:USD_EM_DS,EM_IDIO,US_CDX_EM,EM_CORP_EE,EM_CORP_MIDAF,EM_CORP_SA:EM_SOV-NUSD_EM:USD_EM_DS_S_ASIA:USD_EM_DS_SINGAPORE</v>
          </cell>
          <cell r="D1458" t="str">
            <v>Spread Duration</v>
          </cell>
          <cell r="E1458" t="str">
            <v>Spread Yield (DxS)</v>
          </cell>
          <cell r="F1458" t="str">
            <v>SP-Spread Emerging Markets - Country</v>
          </cell>
          <cell r="G1458" t="str">
            <v>SP-Spread Emerging Markets</v>
          </cell>
          <cell r="H1458" t="str">
            <v>SPREADS</v>
          </cell>
          <cell r="I1458" t="str">
            <v>Spread Emerging Markets - Country</v>
          </cell>
        </row>
        <row r="1459">
          <cell r="A1459" t="str">
            <v>USD_EM_DS_SRILANKA</v>
          </cell>
          <cell r="B1459" t="str">
            <v>Sri Lanka</v>
          </cell>
          <cell r="C1459" t="str">
            <v>BRS_GOLD__5_SPREADS:USD_EM_DS,EM_IDIO,US_CDX_EM,EM_CORP_EE,EM_CORP_MIDAF,EM_CORP_SA:EM_SOV-NUSD_EM:USD_EM_DS_S_ASIA:USD_EM_DS_SRILANKA</v>
          </cell>
          <cell r="D1459" t="str">
            <v>Spread Duration</v>
          </cell>
          <cell r="E1459" t="str">
            <v>Spread Yield (DxS)</v>
          </cell>
          <cell r="F1459" t="str">
            <v>SP-Spread Emerging Markets - Country</v>
          </cell>
          <cell r="G1459" t="str">
            <v>SP-Spread Emerging Markets</v>
          </cell>
          <cell r="H1459" t="str">
            <v>SPREADS</v>
          </cell>
          <cell r="I1459" t="str">
            <v>Spread Emerging Markets - Country</v>
          </cell>
        </row>
        <row r="1460">
          <cell r="A1460" t="str">
            <v>USD_EM_DS_THAILAND</v>
          </cell>
          <cell r="B1460" t="str">
            <v>Thailand</v>
          </cell>
          <cell r="C1460" t="str">
            <v>BRS_GOLD__5_SPREADS:USD_EM_DS,EM_IDIO,US_CDX_EM,EM_CORP_EE,EM_CORP_MIDAF,EM_CORP_SA:EM_SOV-NUSD_EM:USD_EM_DS_S_ASIA:USD_EM_DS_THAILAND</v>
          </cell>
          <cell r="D1460" t="str">
            <v>Spread Duration</v>
          </cell>
          <cell r="E1460" t="str">
            <v>Spread Yield (DxS)</v>
          </cell>
          <cell r="F1460" t="str">
            <v>SP-Spread Emerging Markets - Country</v>
          </cell>
          <cell r="G1460" t="str">
            <v>SP-Spread Emerging Markets</v>
          </cell>
          <cell r="H1460" t="str">
            <v>SPREADS</v>
          </cell>
          <cell r="I1460" t="str">
            <v>Spread Emerging Markets - Country</v>
          </cell>
        </row>
        <row r="1461">
          <cell r="A1461" t="str">
            <v>USD_EM_DS_VIETNAM</v>
          </cell>
          <cell r="B1461" t="str">
            <v>Vietnam</v>
          </cell>
          <cell r="C1461" t="str">
            <v>BRS_GOLD__5_SPREADS:USD_EM_DS,EM_IDIO,US_CDX_EM,EM_CORP_EE,EM_CORP_MIDAF,EM_CORP_SA:EM_SOV-NUSD_EM:USD_EM_DS_S_ASIA:USD_EM_DS_VIETNAM</v>
          </cell>
          <cell r="D1461" t="str">
            <v>Spread Duration</v>
          </cell>
          <cell r="E1461" t="str">
            <v>Spread Yield (DxS)</v>
          </cell>
          <cell r="F1461" t="str">
            <v>SP-Spread Emerging Markets - Country</v>
          </cell>
          <cell r="G1461" t="str">
            <v>SP-Spread Emerging Markets</v>
          </cell>
          <cell r="H1461" t="str">
            <v>SPREADS</v>
          </cell>
          <cell r="I1461" t="str">
            <v>Spread Emerging Markets - Country</v>
          </cell>
        </row>
        <row r="1462">
          <cell r="A1462" t="str">
            <v>USD_EM_CORP_10</v>
          </cell>
          <cell r="B1462" t="str">
            <v>EM Mat Corp 10</v>
          </cell>
          <cell r="C1462" t="str">
            <v>BRS_GOLD__5_SPREADS:USD_EM_DS,EM_IDIO,US_CDX_EM,EM_CORP_EE,EM_CORP_MIDAF,EM_CORP_SA:EM_CORP-NUSD_EM,EM_CORP_EE,EM_CORP_MIDAF,EM_CORP_SA:EM_CORP-NUSD_EM-EM_ASIA:EM_MAT-NUSD_EM-EM_ASIA:USD_EM_CORP_10</v>
          </cell>
          <cell r="D1462" t="str">
            <v>Spread Duration</v>
          </cell>
          <cell r="E1462" t="str">
            <v>Spread Yield (DxS)</v>
          </cell>
          <cell r="F1462" t="str">
            <v>SP-Corporate HY USD</v>
          </cell>
          <cell r="G1462" t="str">
            <v>SP-Spread Corporate</v>
          </cell>
          <cell r="H1462" t="str">
            <v>SPREADS</v>
          </cell>
          <cell r="I1462" t="str">
            <v>Corporate HY USD - Maturity</v>
          </cell>
        </row>
        <row r="1463">
          <cell r="A1463" t="str">
            <v>USD_EM_CORP_30</v>
          </cell>
          <cell r="B1463" t="str">
            <v>EM Mat Corp 30</v>
          </cell>
          <cell r="C1463" t="str">
            <v>BRS_GOLD__5_SPREADS:USD_EM_DS,EM_IDIO,US_CDX_EM,EM_CORP_EE,EM_CORP_MIDAF,EM_CORP_SA:EM_CORP-NUSD_EM,EM_CORP_EE,EM_CORP_MIDAF,EM_CORP_SA:EM_CORP-NUSD_EM-EM_ASIA:EM_MAT-NUSD_EM-EM_ASIA:USD_EM_CORP_30</v>
          </cell>
          <cell r="D1463" t="str">
            <v>Spread Duration</v>
          </cell>
          <cell r="E1463" t="str">
            <v>Spread Yield (DxS)</v>
          </cell>
          <cell r="F1463" t="str">
            <v>SP-Corporate HY USD</v>
          </cell>
          <cell r="G1463" t="str">
            <v>SP-Spread Corporate</v>
          </cell>
          <cell r="H1463" t="str">
            <v>SPREADS</v>
          </cell>
          <cell r="I1463" t="str">
            <v>Corporate HY USD - Maturity</v>
          </cell>
        </row>
        <row r="1464">
          <cell r="A1464" t="str">
            <v>USD_EE_FIN</v>
          </cell>
          <cell r="B1464" t="str">
            <v>E Eur Fin</v>
          </cell>
          <cell r="C1464" t="str">
            <v>BRS_GOLD__5_SPREADS:USD_EM_DS,EM_IDIO,US_CDX_EM,EM_CORP_EE,EM_CORP_MIDAF,EM_CORP_SA:EM_CORP-NUSD_EM,EM_CORP_EE,EM_CORP_MIDAF,EM_CORP_SA:EM_CORP-NUSD_EM-EM_ASIA:EM_CORP-NUSD_EM-EM_ASIA-EM_MAT:USD_EE_FIN</v>
          </cell>
          <cell r="D1464" t="str">
            <v>Spread Duration</v>
          </cell>
          <cell r="E1464" t="str">
            <v>Spread Yield (DxS)</v>
          </cell>
          <cell r="F1464" t="str">
            <v>SP-Corporate HY USD</v>
          </cell>
          <cell r="G1464" t="str">
            <v>SP-Spread Corporate</v>
          </cell>
          <cell r="H1464" t="str">
            <v>SPREADS</v>
          </cell>
          <cell r="I1464" t="str">
            <v>Corporate HY USD - Industry</v>
          </cell>
        </row>
        <row r="1465">
          <cell r="A1465" t="str">
            <v>USD_EE_IND</v>
          </cell>
          <cell r="B1465" t="str">
            <v>E Eur Ind</v>
          </cell>
          <cell r="C1465" t="str">
            <v>BRS_GOLD__5_SPREADS:USD_EM_DS,EM_IDIO,US_CDX_EM,EM_CORP_EE,EM_CORP_MIDAF,EM_CORP_SA:EM_CORP-NUSD_EM,EM_CORP_EE,EM_CORP_MIDAF,EM_CORP_SA:EM_CORP-NUSD_EM-EM_ASIA:EM_CORP-NUSD_EM-EM_ASIA-EM_MAT:USD_EE_IND</v>
          </cell>
          <cell r="D1465" t="str">
            <v>Spread Duration</v>
          </cell>
          <cell r="E1465" t="str">
            <v>Spread Yield (DxS)</v>
          </cell>
          <cell r="F1465" t="str">
            <v>SP-Corporate HY USD</v>
          </cell>
          <cell r="G1465" t="str">
            <v>SP-Spread Corporate</v>
          </cell>
          <cell r="H1465" t="str">
            <v>SPREADS</v>
          </cell>
          <cell r="I1465" t="str">
            <v>Corporate HY USD - Industry</v>
          </cell>
        </row>
        <row r="1466">
          <cell r="A1466" t="str">
            <v>USD_MIDAF_CORP</v>
          </cell>
          <cell r="B1466" t="str">
            <v>Mid E Africa Corp</v>
          </cell>
          <cell r="C1466" t="str">
            <v>BRS_GOLD__5_SPREADS:USD_EM_DS,EM_IDIO,US_CDX_EM,EM_CORP_EE,EM_CORP_MIDAF,EM_CORP_SA:EM_CORP-NUSD_EM,EM_CORP_EE,EM_CORP_MIDAF,EM_CORP_SA:EM_CORP-NUSD_EM-EM_ASIA:EM_CORP-NUSD_EM-EM_ASIA-EM_MAT:USD_MIDAF_CORP</v>
          </cell>
          <cell r="D1466" t="str">
            <v>Spread Duration</v>
          </cell>
          <cell r="E1466" t="str">
            <v>Spread Yield (DxS)</v>
          </cell>
          <cell r="F1466" t="str">
            <v>SP-Corporate HY USD</v>
          </cell>
          <cell r="G1466" t="str">
            <v>SP-Spread Corporate</v>
          </cell>
          <cell r="H1466" t="str">
            <v>SPREADS</v>
          </cell>
          <cell r="I1466" t="str">
            <v>Corporate HY USD - Industry</v>
          </cell>
        </row>
        <row r="1467">
          <cell r="A1467" t="str">
            <v>USD_SA_FIN_HY</v>
          </cell>
          <cell r="B1467" t="str">
            <v>S America Fin HY</v>
          </cell>
          <cell r="C1467" t="str">
            <v>BRS_GOLD__5_SPREADS:USD_EM_DS,EM_IDIO,US_CDX_EM,EM_CORP_EE,EM_CORP_MIDAF,EM_CORP_SA:EM_CORP-NUSD_EM,EM_CORP_EE,EM_CORP_MIDAF,EM_CORP_SA:EM_CORP-NUSD_EM-EM_ASIA:EM_CORP-NUSD_EM-EM_ASIA-EM_MAT:USD_SA_FIN_HY</v>
          </cell>
          <cell r="D1467" t="str">
            <v>Spread Duration</v>
          </cell>
          <cell r="E1467" t="str">
            <v>Spread Yield (DxS)</v>
          </cell>
          <cell r="F1467" t="str">
            <v>SP-Corporate HY USD</v>
          </cell>
          <cell r="G1467" t="str">
            <v>SP-Spread Corporate</v>
          </cell>
          <cell r="H1467" t="str">
            <v>SPREADS</v>
          </cell>
          <cell r="I1467" t="str">
            <v>Corporate HY USD - Industry</v>
          </cell>
        </row>
        <row r="1468">
          <cell r="A1468" t="str">
            <v>USD_SA_FIN_IG</v>
          </cell>
          <cell r="B1468" t="str">
            <v>S America Fin IG</v>
          </cell>
          <cell r="C1468" t="str">
            <v>BRS_GOLD__5_SPREADS:USD_EM_DS,EM_IDIO,US_CDX_EM,EM_CORP_EE,EM_CORP_MIDAF,EM_CORP_SA:EM_CORP-NUSD_EM,EM_CORP_EE,EM_CORP_MIDAF,EM_CORP_SA:EM_CORP-NUSD_EM-EM_ASIA:EM_CORP-NUSD_EM-EM_ASIA-EM_MAT:USD_SA_FIN_IG</v>
          </cell>
          <cell r="D1468" t="str">
            <v>Spread Duration</v>
          </cell>
          <cell r="E1468" t="str">
            <v>Spread Yield (DxS)</v>
          </cell>
          <cell r="F1468" t="str">
            <v>SP-Corporate IG USD</v>
          </cell>
          <cell r="G1468" t="str">
            <v>SP-Spread Corporate</v>
          </cell>
          <cell r="H1468" t="str">
            <v>SPREADS</v>
          </cell>
          <cell r="I1468" t="str">
            <v>Corporate IG USD - Industry</v>
          </cell>
        </row>
        <row r="1469">
          <cell r="A1469" t="str">
            <v>USD_SA_IND_HY</v>
          </cell>
          <cell r="B1469" t="str">
            <v>S America Ind HY</v>
          </cell>
          <cell r="C1469" t="str">
            <v>BRS_GOLD__5_SPREADS:USD_EM_DS,EM_IDIO,US_CDX_EM,EM_CORP_EE,EM_CORP_MIDAF,EM_CORP_SA:EM_CORP-NUSD_EM,EM_CORP_EE,EM_CORP_MIDAF,EM_CORP_SA:EM_CORP-NUSD_EM-EM_ASIA:EM_CORP-NUSD_EM-EM_ASIA-EM_MAT:USD_SA_IND_HY</v>
          </cell>
          <cell r="D1469" t="str">
            <v>Spread Duration</v>
          </cell>
          <cell r="E1469" t="str">
            <v>Spread Yield (DxS)</v>
          </cell>
          <cell r="F1469" t="str">
            <v>SP-Corporate HY USD</v>
          </cell>
          <cell r="G1469" t="str">
            <v>SP-Spread Corporate</v>
          </cell>
          <cell r="H1469" t="str">
            <v>SPREADS</v>
          </cell>
          <cell r="I1469" t="str">
            <v>Corporate HY USD - Industry</v>
          </cell>
        </row>
        <row r="1470">
          <cell r="A1470" t="str">
            <v>USD_SA_IND_IG</v>
          </cell>
          <cell r="B1470" t="str">
            <v>S America Ind IG</v>
          </cell>
          <cell r="C1470" t="str">
            <v>BRS_GOLD__5_SPREADS:USD_EM_DS,EM_IDIO,US_CDX_EM,EM_CORP_EE,EM_CORP_MIDAF,EM_CORP_SA:EM_CORP-NUSD_EM,EM_CORP_EE,EM_CORP_MIDAF,EM_CORP_SA:EM_CORP-NUSD_EM-EM_ASIA:EM_CORP-NUSD_EM-EM_ASIA-EM_MAT:USD_SA_IND_IG</v>
          </cell>
          <cell r="D1470" t="str">
            <v>Spread Duration</v>
          </cell>
          <cell r="E1470" t="str">
            <v>Spread Yield (DxS)</v>
          </cell>
          <cell r="F1470" t="str">
            <v>SP-Corporate IG USD</v>
          </cell>
          <cell r="G1470" t="str">
            <v>SP-Spread Corporate</v>
          </cell>
          <cell r="H1470" t="str">
            <v>SPREADS</v>
          </cell>
          <cell r="I1470" t="str">
            <v>Corporate IG USD - Industry</v>
          </cell>
        </row>
        <row r="1471">
          <cell r="A1471" t="str">
            <v>USD_ASIA_CORP_10</v>
          </cell>
          <cell r="B1471" t="str">
            <v>Asia Mat Corp 10</v>
          </cell>
          <cell r="C1471" t="str">
            <v>BRS_GOLD__5_SPREADS:USD_EM_DS,EM_IDIO,US_CDX_EM,EM_CORP_EE,EM_CORP_MIDAF,EM_CORP_SA:EM_CORP-NUSD_EM,EM_CORP_EE,EM_CORP_MIDAF,EM_CORP_SA:EM_ASIA-NUSD_EM:EM_MAT-NUSD_EM-USD_EM_CORP_10-USD_EM_CORP_30:USD_ASIA_CORP_10</v>
          </cell>
          <cell r="D1471" t="str">
            <v>Spread Duration</v>
          </cell>
          <cell r="E1471" t="str">
            <v>Spread Yield (DxS)</v>
          </cell>
          <cell r="F1471" t="str">
            <v>SP-Corporate HY USD</v>
          </cell>
          <cell r="G1471" t="str">
            <v>SP-Spread Corporate</v>
          </cell>
          <cell r="H1471" t="str">
            <v>SPREADS</v>
          </cell>
          <cell r="I1471" t="str">
            <v>Corporate HY USD - Maturity</v>
          </cell>
        </row>
        <row r="1472">
          <cell r="A1472" t="str">
            <v>USD_ASIA_CORP_30</v>
          </cell>
          <cell r="B1472" t="str">
            <v>Asia Mat Corp 30</v>
          </cell>
          <cell r="C1472" t="str">
            <v>BRS_GOLD__5_SPREADS:USD_EM_DS,EM_IDIO,US_CDX_EM,EM_CORP_EE,EM_CORP_MIDAF,EM_CORP_SA:EM_CORP-NUSD_EM,EM_CORP_EE,EM_CORP_MIDAF,EM_CORP_SA:EM_ASIA-NUSD_EM:EM_MAT-NUSD_EM-USD_EM_CORP_10-USD_EM_CORP_30:USD_ASIA_CORP_30</v>
          </cell>
          <cell r="D1472" t="str">
            <v>Spread Duration</v>
          </cell>
          <cell r="E1472" t="str">
            <v>Spread Yield (DxS)</v>
          </cell>
          <cell r="F1472" t="str">
            <v>SP-Corporate HY USD</v>
          </cell>
          <cell r="G1472" t="str">
            <v>SP-Spread Corporate</v>
          </cell>
          <cell r="H1472" t="str">
            <v>SPREADS</v>
          </cell>
          <cell r="I1472" t="str">
            <v>Corporate HY USD - Maturity</v>
          </cell>
        </row>
        <row r="1473">
          <cell r="A1473" t="str">
            <v>USD_CN_CORP_HY</v>
          </cell>
          <cell r="B1473" t="str">
            <v>China Corp HY</v>
          </cell>
          <cell r="C1473" t="str">
            <v>BRS_GOLD__5_SPREADS:USD_EM_DS,EM_IDIO,US_CDX_EM,EM_CORP_EE,EM_CORP_MIDAF,EM_CORP_SA:EM_CORP-NUSD_EM,EM_CORP_EE,EM_CORP_MIDAF,EM_CORP_SA:EM_ASIA-NUSD_EM:EM_ASIA_CN-NUSD_EM:USD_CN_CORP_HY</v>
          </cell>
          <cell r="D1473" t="str">
            <v>Spread Duration</v>
          </cell>
          <cell r="E1473" t="str">
            <v>Spread Yield (DxS)</v>
          </cell>
          <cell r="F1473" t="str">
            <v>SP-Corporate HY USD</v>
          </cell>
          <cell r="G1473" t="str">
            <v>SP-Spread Corporate</v>
          </cell>
          <cell r="H1473" t="str">
            <v>SPREADS</v>
          </cell>
          <cell r="I1473" t="str">
            <v>Corporate HY USD - Industry</v>
          </cell>
        </row>
        <row r="1474">
          <cell r="A1474" t="str">
            <v>USD_CN_CORP_IG</v>
          </cell>
          <cell r="B1474" t="str">
            <v>China Corp IG</v>
          </cell>
          <cell r="C1474" t="str">
            <v>BRS_GOLD__5_SPREADS:USD_EM_DS,EM_IDIO,US_CDX_EM,EM_CORP_EE,EM_CORP_MIDAF,EM_CORP_SA:EM_CORP-NUSD_EM,EM_CORP_EE,EM_CORP_MIDAF,EM_CORP_SA:EM_ASIA-NUSD_EM:EM_ASIA_CN-NUSD_EM:USD_CN_CORP_IG</v>
          </cell>
          <cell r="D1474" t="str">
            <v>Spread Duration</v>
          </cell>
          <cell r="E1474" t="str">
            <v>Spread Yield (DxS)</v>
          </cell>
          <cell r="F1474" t="str">
            <v>SP-Corporate IG USD</v>
          </cell>
          <cell r="G1474" t="str">
            <v>SP-Spread Corporate</v>
          </cell>
          <cell r="H1474" t="str">
            <v>SPREADS</v>
          </cell>
          <cell r="I1474" t="str">
            <v>Corporate IG USD - Industry</v>
          </cell>
        </row>
        <row r="1475">
          <cell r="A1475" t="str">
            <v>USD_CN_PROP_HY</v>
          </cell>
          <cell r="B1475" t="str">
            <v>China Property HY</v>
          </cell>
          <cell r="C1475" t="str">
            <v>BRS_GOLD__5_SPREADS:USD_EM_DS,EM_IDIO,US_CDX_EM,EM_CORP_EE,EM_CORP_MIDAF,EM_CORP_SA:EM_CORP-NUSD_EM,EM_CORP_EE,EM_CORP_MIDAF,EM_CORP_SA:EM_ASIA-NUSD_EM:EM_ASIA_CN-NUSD_EM:USD_CN_PROP_HY</v>
          </cell>
          <cell r="D1475" t="str">
            <v>Spread Duration</v>
          </cell>
          <cell r="E1475" t="str">
            <v>Spread Yield (DxS)</v>
          </cell>
          <cell r="F1475" t="str">
            <v>SP-Corporate HY USD</v>
          </cell>
          <cell r="G1475" t="str">
            <v>SP-Spread Corporate</v>
          </cell>
          <cell r="H1475" t="str">
            <v>SPREADS</v>
          </cell>
          <cell r="I1475" t="str">
            <v>Corporate HY USD - Industry</v>
          </cell>
        </row>
        <row r="1476">
          <cell r="A1476" t="str">
            <v>USD_CN_PROP_IG</v>
          </cell>
          <cell r="B1476" t="str">
            <v>China Property IG</v>
          </cell>
          <cell r="C1476" t="str">
            <v>BRS_GOLD__5_SPREADS:USD_EM_DS,EM_IDIO,US_CDX_EM,EM_CORP_EE,EM_CORP_MIDAF,EM_CORP_SA:EM_CORP-NUSD_EM,EM_CORP_EE,EM_CORP_MIDAF,EM_CORP_SA:EM_ASIA-NUSD_EM:EM_ASIA_CN-NUSD_EM:USD_CN_PROP_IG</v>
          </cell>
          <cell r="D1476" t="str">
            <v>Spread Duration</v>
          </cell>
          <cell r="E1476" t="str">
            <v>Spread Yield (DxS)</v>
          </cell>
          <cell r="F1476" t="str">
            <v>SP-Corporate IG USD</v>
          </cell>
          <cell r="G1476" t="str">
            <v>SP-Spread Corporate</v>
          </cell>
          <cell r="H1476" t="str">
            <v>SPREADS</v>
          </cell>
          <cell r="I1476" t="str">
            <v>Corporate IG USD - Industry</v>
          </cell>
        </row>
        <row r="1477">
          <cell r="A1477" t="str">
            <v>USD_ID_CORP_HY</v>
          </cell>
          <cell r="B1477" t="str">
            <v>Indonesia Corp HY</v>
          </cell>
          <cell r="C1477" t="str">
            <v>BRS_GOLD__5_SPREADS:USD_EM_DS,EM_IDIO,US_CDX_EM,EM_CORP_EE,EM_CORP_MIDAF,EM_CORP_SA:EM_CORP-NUSD_EM,EM_CORP_EE,EM_CORP_MIDAF,EM_CORP_SA:EM_ASIA-NUSD_EM:EM_ASIA_ID-NUSD_EM:USD_ID_CORP_HY</v>
          </cell>
          <cell r="D1477" t="str">
            <v>Spread Duration</v>
          </cell>
          <cell r="E1477" t="str">
            <v>Spread Yield (DxS)</v>
          </cell>
          <cell r="F1477" t="str">
            <v>SP-Corporate HY USD</v>
          </cell>
          <cell r="G1477" t="str">
            <v>SP-Spread Corporate</v>
          </cell>
          <cell r="H1477" t="str">
            <v>SPREADS</v>
          </cell>
          <cell r="I1477" t="str">
            <v>Corporate HY USD - Industry</v>
          </cell>
        </row>
        <row r="1478">
          <cell r="A1478" t="str">
            <v>USD_ID_CORP_IG</v>
          </cell>
          <cell r="B1478" t="str">
            <v>Indonesia Corp IG</v>
          </cell>
          <cell r="C1478" t="str">
            <v>BRS_GOLD__5_SPREADS:USD_EM_DS,EM_IDIO,US_CDX_EM,EM_CORP_EE,EM_CORP_MIDAF,EM_CORP_SA:EM_CORP-NUSD_EM,EM_CORP_EE,EM_CORP_MIDAF,EM_CORP_SA:EM_ASIA-NUSD_EM:EM_ASIA_ID-NUSD_EM:USD_ID_CORP_IG</v>
          </cell>
          <cell r="D1478" t="str">
            <v>Spread Duration</v>
          </cell>
          <cell r="E1478" t="str">
            <v>Spread Yield (DxS)</v>
          </cell>
          <cell r="F1478" t="str">
            <v>SP-Corporate IG USD</v>
          </cell>
          <cell r="G1478" t="str">
            <v>SP-Spread Corporate</v>
          </cell>
          <cell r="H1478" t="str">
            <v>SPREADS</v>
          </cell>
          <cell r="I1478" t="str">
            <v>Corporate IG USD - Industry</v>
          </cell>
        </row>
        <row r="1479">
          <cell r="A1479" t="str">
            <v>USD_ID_RSRC_HY</v>
          </cell>
          <cell r="B1479" t="str">
            <v>Indonesia Resources HY</v>
          </cell>
          <cell r="C1479" t="str">
            <v>BRS_GOLD__5_SPREADS:USD_EM_DS,EM_IDIO,US_CDX_EM,EM_CORP_EE,EM_CORP_MIDAF,EM_CORP_SA:EM_CORP-NUSD_EM,EM_CORP_EE,EM_CORP_MIDAF,EM_CORP_SA:EM_ASIA-NUSD_EM:EM_ASIA_ID-NUSD_EM:USD_ID_RSRC_HY</v>
          </cell>
          <cell r="D1479" t="str">
            <v>Spread Duration</v>
          </cell>
          <cell r="E1479" t="str">
            <v>Spread Yield (DxS)</v>
          </cell>
          <cell r="F1479" t="str">
            <v>SP-Corporate HY USD</v>
          </cell>
          <cell r="G1479" t="str">
            <v>SP-Spread Corporate</v>
          </cell>
          <cell r="H1479" t="str">
            <v>SPREADS</v>
          </cell>
          <cell r="I1479" t="str">
            <v>Corporate HY USD - Industry</v>
          </cell>
        </row>
        <row r="1480">
          <cell r="A1480" t="str">
            <v>USD_ID_RSRC_IG</v>
          </cell>
          <cell r="B1480" t="str">
            <v>Indonesia Resources IG</v>
          </cell>
          <cell r="C1480" t="str">
            <v>BRS_GOLD__5_SPREADS:USD_EM_DS,EM_IDIO,US_CDX_EM,EM_CORP_EE,EM_CORP_MIDAF,EM_CORP_SA:EM_CORP-NUSD_EM,EM_CORP_EE,EM_CORP_MIDAF,EM_CORP_SA:EM_ASIA-NUSD_EM:EM_ASIA_ID-NUSD_EM:USD_ID_RSRC_IG</v>
          </cell>
          <cell r="D1480" t="str">
            <v>Spread Duration</v>
          </cell>
          <cell r="E1480" t="str">
            <v>Spread Yield (DxS)</v>
          </cell>
          <cell r="F1480" t="str">
            <v>SP-Corporate IG USD</v>
          </cell>
          <cell r="G1480" t="str">
            <v>SP-Spread Corporate</v>
          </cell>
          <cell r="H1480" t="str">
            <v>SPREADS</v>
          </cell>
          <cell r="I1480" t="str">
            <v>Corporate IG USD - Industry</v>
          </cell>
        </row>
        <row r="1481">
          <cell r="A1481" t="str">
            <v>USD_IN_CORP_HY</v>
          </cell>
          <cell r="B1481" t="str">
            <v>India Corp HY</v>
          </cell>
          <cell r="C1481" t="str">
            <v>BRS_GOLD__5_SPREADS:USD_EM_DS,EM_IDIO,US_CDX_EM,EM_CORP_EE,EM_CORP_MIDAF,EM_CORP_SA:EM_CORP-NUSD_EM,EM_CORP_EE,EM_CORP_MIDAF,EM_CORP_SA:EM_ASIA-NUSD_EM:EM_ASIA_IN-NUSD_EM:USD_IN_CORP_HY</v>
          </cell>
          <cell r="D1481" t="str">
            <v>Spread Duration</v>
          </cell>
          <cell r="E1481" t="str">
            <v>Spread Yield (DxS)</v>
          </cell>
          <cell r="F1481" t="str">
            <v>SP-Corporate HY USD</v>
          </cell>
          <cell r="G1481" t="str">
            <v>SP-Spread Corporate</v>
          </cell>
          <cell r="H1481" t="str">
            <v>SPREADS</v>
          </cell>
          <cell r="I1481" t="str">
            <v>Corporate HY USD - Industry</v>
          </cell>
        </row>
        <row r="1482">
          <cell r="A1482" t="str">
            <v>USD_IN_CORP_IG</v>
          </cell>
          <cell r="B1482" t="str">
            <v>India Corp IG</v>
          </cell>
          <cell r="C1482" t="str">
            <v>BRS_GOLD__5_SPREADS:USD_EM_DS,EM_IDIO,US_CDX_EM,EM_CORP_EE,EM_CORP_MIDAF,EM_CORP_SA:EM_CORP-NUSD_EM,EM_CORP_EE,EM_CORP_MIDAF,EM_CORP_SA:EM_ASIA-NUSD_EM:EM_ASIA_IN-NUSD_EM:USD_IN_CORP_IG</v>
          </cell>
          <cell r="D1482" t="str">
            <v>Spread Duration</v>
          </cell>
          <cell r="E1482" t="str">
            <v>Spread Yield (DxS)</v>
          </cell>
          <cell r="F1482" t="str">
            <v>SP-Corporate IG USD</v>
          </cell>
          <cell r="G1482" t="str">
            <v>SP-Spread Corporate</v>
          </cell>
          <cell r="H1482" t="str">
            <v>SPREADS</v>
          </cell>
          <cell r="I1482" t="str">
            <v>Corporate IG USD - Industry</v>
          </cell>
        </row>
        <row r="1483">
          <cell r="A1483" t="str">
            <v>USD_KR_FIN_HY</v>
          </cell>
          <cell r="B1483" t="str">
            <v>Korea Fin HY</v>
          </cell>
          <cell r="C1483" t="str">
            <v>BRS_GOLD__5_SPREADS:USD_EM_DS,EM_IDIO,US_CDX_EM,EM_CORP_EE,EM_CORP_MIDAF,EM_CORP_SA:EM_CORP-NUSD_EM,EM_CORP_EE,EM_CORP_MIDAF,EM_CORP_SA:EM_ASIA-NUSD_EM:EM_ASIA_KR-NUSD_EM:USD_KR_FIN_HY</v>
          </cell>
          <cell r="D1483" t="str">
            <v>Spread Duration</v>
          </cell>
          <cell r="E1483" t="str">
            <v>Spread Yield (DxS)</v>
          </cell>
          <cell r="F1483" t="str">
            <v>SP-Corporate HY USD</v>
          </cell>
          <cell r="G1483" t="str">
            <v>SP-Spread Corporate</v>
          </cell>
          <cell r="H1483" t="str">
            <v>SPREADS</v>
          </cell>
          <cell r="I1483" t="str">
            <v>Corporate HY USD - Industry</v>
          </cell>
        </row>
        <row r="1484">
          <cell r="A1484" t="str">
            <v>USD_KR_FIN_IG</v>
          </cell>
          <cell r="B1484" t="str">
            <v>Korea Fin IG</v>
          </cell>
          <cell r="C1484" t="str">
            <v>BRS_GOLD__5_SPREADS:USD_EM_DS,EM_IDIO,US_CDX_EM,EM_CORP_EE,EM_CORP_MIDAF,EM_CORP_SA:EM_CORP-NUSD_EM,EM_CORP_EE,EM_CORP_MIDAF,EM_CORP_SA:EM_ASIA-NUSD_EM:EM_ASIA_KR-NUSD_EM:USD_KR_FIN_IG</v>
          </cell>
          <cell r="D1484" t="str">
            <v>Spread Duration</v>
          </cell>
          <cell r="E1484" t="str">
            <v>Spread Yield (DxS)</v>
          </cell>
          <cell r="F1484" t="str">
            <v>SP-Corporate IG USD</v>
          </cell>
          <cell r="G1484" t="str">
            <v>SP-Spread Corporate</v>
          </cell>
          <cell r="H1484" t="str">
            <v>SPREADS</v>
          </cell>
          <cell r="I1484" t="str">
            <v>Corporate IG USD - Industry</v>
          </cell>
        </row>
        <row r="1485">
          <cell r="A1485" t="str">
            <v>USD_KR_IND_HY</v>
          </cell>
          <cell r="B1485" t="str">
            <v>Korea Ind HY</v>
          </cell>
          <cell r="C1485" t="str">
            <v>BRS_GOLD__5_SPREADS:USD_EM_DS,EM_IDIO,US_CDX_EM,EM_CORP_EE,EM_CORP_MIDAF,EM_CORP_SA:EM_CORP-NUSD_EM,EM_CORP_EE,EM_CORP_MIDAF,EM_CORP_SA:EM_ASIA-NUSD_EM:EM_ASIA_KR-NUSD_EM:USD_KR_IND_HY</v>
          </cell>
          <cell r="D1485" t="str">
            <v>Spread Duration</v>
          </cell>
          <cell r="E1485" t="str">
            <v>Spread Yield (DxS)</v>
          </cell>
          <cell r="F1485" t="str">
            <v>SP-Corporate HY USD</v>
          </cell>
          <cell r="G1485" t="str">
            <v>SP-Spread Corporate</v>
          </cell>
          <cell r="H1485" t="str">
            <v>SPREADS</v>
          </cell>
          <cell r="I1485" t="str">
            <v>Corporate HY USD - Industry</v>
          </cell>
        </row>
        <row r="1486">
          <cell r="A1486" t="str">
            <v>USD_KR_IND_IG</v>
          </cell>
          <cell r="B1486" t="str">
            <v>Korea Ind IG</v>
          </cell>
          <cell r="C1486" t="str">
            <v>BRS_GOLD__5_SPREADS:USD_EM_DS,EM_IDIO,US_CDX_EM,EM_CORP_EE,EM_CORP_MIDAF,EM_CORP_SA:EM_CORP-NUSD_EM,EM_CORP_EE,EM_CORP_MIDAF,EM_CORP_SA:EM_ASIA-NUSD_EM:EM_ASIA_KR-NUSD_EM:USD_KR_IND_IG</v>
          </cell>
          <cell r="D1486" t="str">
            <v>Spread Duration</v>
          </cell>
          <cell r="E1486" t="str">
            <v>Spread Yield (DxS)</v>
          </cell>
          <cell r="F1486" t="str">
            <v>SP-Corporate IG USD</v>
          </cell>
          <cell r="G1486" t="str">
            <v>SP-Spread Corporate</v>
          </cell>
          <cell r="H1486" t="str">
            <v>SPREADS</v>
          </cell>
          <cell r="I1486" t="str">
            <v>Corporate IG USD - Industry</v>
          </cell>
        </row>
        <row r="1487">
          <cell r="A1487" t="str">
            <v>USD_PH_CORP_HY</v>
          </cell>
          <cell r="B1487" t="str">
            <v>Philippines Corp HY</v>
          </cell>
          <cell r="C1487" t="str">
            <v>BRS_GOLD__5_SPREADS:USD_EM_DS,EM_IDIO,US_CDX_EM,EM_CORP_EE,EM_CORP_MIDAF,EM_CORP_SA:EM_CORP-NUSD_EM,EM_CORP_EE,EM_CORP_MIDAF,EM_CORP_SA:EM_ASIA-NUSD_EM:EM_ASIA_PH-NUSD_EM:USD_PH_CORP_HY</v>
          </cell>
          <cell r="D1487" t="str">
            <v>Spread Duration</v>
          </cell>
          <cell r="E1487" t="str">
            <v>Spread Yield (DxS)</v>
          </cell>
          <cell r="F1487" t="str">
            <v>SP-Corporate HY USD</v>
          </cell>
          <cell r="G1487" t="str">
            <v>SP-Spread Corporate</v>
          </cell>
          <cell r="H1487" t="str">
            <v>SPREADS</v>
          </cell>
          <cell r="I1487" t="str">
            <v>Corporate HY USD - Industry</v>
          </cell>
        </row>
        <row r="1488">
          <cell r="A1488" t="str">
            <v>USD_PH_CORP_IG</v>
          </cell>
          <cell r="B1488" t="str">
            <v>Philippines Corp IG</v>
          </cell>
          <cell r="C1488" t="str">
            <v>BRS_GOLD__5_SPREADS:USD_EM_DS,EM_IDIO,US_CDX_EM,EM_CORP_EE,EM_CORP_MIDAF,EM_CORP_SA:EM_CORP-NUSD_EM,EM_CORP_EE,EM_CORP_MIDAF,EM_CORP_SA:EM_ASIA-NUSD_EM:EM_ASIA_PH-NUSD_EM:USD_PH_CORP_IG</v>
          </cell>
          <cell r="D1488" t="str">
            <v>Spread Duration</v>
          </cell>
          <cell r="E1488" t="str">
            <v>Spread Yield (DxS)</v>
          </cell>
          <cell r="F1488" t="str">
            <v>SP-Corporate IG USD</v>
          </cell>
          <cell r="G1488" t="str">
            <v>SP-Spread Corporate</v>
          </cell>
          <cell r="H1488" t="str">
            <v>SPREADS</v>
          </cell>
          <cell r="I1488" t="str">
            <v>Corporate IG USD - Industry</v>
          </cell>
        </row>
        <row r="1489">
          <cell r="A1489" t="str">
            <v>USD_ASIA_CORP_HY</v>
          </cell>
          <cell r="B1489" t="str">
            <v>Asia Corp HY</v>
          </cell>
          <cell r="C1489" t="str">
            <v>BRS_GOLD__5_SPREADS:USD_EM_DS,EM_IDIO,US_CDX_EM,EM_CORP_EE,EM_CORP_MIDAF,EM_CORP_SA:EM_CORP-NUSD_EM,EM_CORP_EE,EM_CORP_MIDAF,EM_CORP_SA:EM_ASIA-NUSD_EM:EM_ASIA_OTHER-NUSD_EM:USD_ASIA_CORP_HY</v>
          </cell>
          <cell r="D1489" t="str">
            <v>Spread Duration</v>
          </cell>
          <cell r="E1489" t="str">
            <v>Spread Yield (DxS)</v>
          </cell>
          <cell r="F1489" t="str">
            <v>SP-Corporate HY USD</v>
          </cell>
          <cell r="G1489" t="str">
            <v>SP-Spread Corporate</v>
          </cell>
          <cell r="H1489" t="str">
            <v>SPREADS</v>
          </cell>
          <cell r="I1489" t="str">
            <v>Corporate HY USD - Industry</v>
          </cell>
        </row>
        <row r="1490">
          <cell r="A1490" t="str">
            <v>USD_ASIA_CORP_IG</v>
          </cell>
          <cell r="B1490" t="str">
            <v>Asia Corp IG</v>
          </cell>
          <cell r="C1490" t="str">
            <v>BRS_GOLD__5_SPREADS:USD_EM_DS,EM_IDIO,US_CDX_EM,EM_CORP_EE,EM_CORP_MIDAF,EM_CORP_SA:EM_CORP-NUSD_EM,EM_CORP_EE,EM_CORP_MIDAF,EM_CORP_SA:EM_ASIA-NUSD_EM:EM_ASIA_OTHER-NUSD_EM:USD_ASIA_CORP_IG</v>
          </cell>
          <cell r="D1490" t="str">
            <v>Spread Duration</v>
          </cell>
          <cell r="E1490" t="str">
            <v>Spread Yield (DxS)</v>
          </cell>
          <cell r="F1490" t="str">
            <v>SP-Corporate IG USD</v>
          </cell>
          <cell r="G1490" t="str">
            <v>SP-Spread Corporate</v>
          </cell>
          <cell r="H1490" t="str">
            <v>SPREADS</v>
          </cell>
          <cell r="I1490" t="str">
            <v>Corporate IG USD - Industry</v>
          </cell>
        </row>
        <row r="1491">
          <cell r="A1491" t="str">
            <v>USD_EM_CORP_EE_RU</v>
          </cell>
          <cell r="B1491" t="str">
            <v>Russia</v>
          </cell>
          <cell r="C1491" t="str">
            <v>BRS_GOLD__5_SPREADS:USD_EM_DS,EM_IDIO,US_CDX_EM,EM_CORP_EE,EM_CORP_MIDAF,EM_CORP_SA:EM_CORP-NUSD_EM,EM_CORP_EE,EM_CORP_MIDAF,EM_CORP_SA:EM_CORP_EE:EM_CORP_EE_COUNTRY:USD_EM_CORP_EE_RU</v>
          </cell>
          <cell r="D1491" t="str">
            <v>Spread Duration</v>
          </cell>
          <cell r="E1491" t="str">
            <v>Spread Yield (DxS)</v>
          </cell>
          <cell r="F1491" t="str">
            <v>SP-Corporate HY USD</v>
          </cell>
          <cell r="G1491" t="str">
            <v>SP-Spread Corporate</v>
          </cell>
          <cell r="H1491" t="str">
            <v>SPREADS</v>
          </cell>
          <cell r="I1491" t="str">
            <v>Corporate HY USD - Country</v>
          </cell>
        </row>
        <row r="1492">
          <cell r="A1492" t="str">
            <v>USD_EM_CORP_EE_TR</v>
          </cell>
          <cell r="B1492" t="str">
            <v>Turkey</v>
          </cell>
          <cell r="C1492" t="str">
            <v>BRS_GOLD__5_SPREADS:USD_EM_DS,EM_IDIO,US_CDX_EM,EM_CORP_EE,EM_CORP_MIDAF,EM_CORP_SA:EM_CORP-NUSD_EM,EM_CORP_EE,EM_CORP_MIDAF,EM_CORP_SA:EM_CORP_EE:EM_CORP_EE_COUNTRY:USD_EM_CORP_EE_TR</v>
          </cell>
          <cell r="D1492" t="str">
            <v>Spread Duration</v>
          </cell>
          <cell r="E1492" t="str">
            <v>Spread Yield (DxS)</v>
          </cell>
          <cell r="F1492" t="str">
            <v>SP-Corporate HY USD</v>
          </cell>
          <cell r="G1492" t="str">
            <v>SP-Spread Corporate</v>
          </cell>
          <cell r="H1492" t="str">
            <v>SPREADS</v>
          </cell>
          <cell r="I1492" t="str">
            <v>Corporate HY USD - Country</v>
          </cell>
        </row>
        <row r="1493">
          <cell r="A1493" t="str">
            <v>USD_EM_CORP_EE_OTRCNTY</v>
          </cell>
          <cell r="B1493" t="str">
            <v>E Other Country</v>
          </cell>
          <cell r="C1493" t="str">
            <v>BRS_GOLD__5_SPREADS:USD_EM_DS,EM_IDIO,US_CDX_EM,EM_CORP_EE,EM_CORP_MIDAF,EM_CORP_SA:EM_CORP-NUSD_EM,EM_CORP_EE,EM_CORP_MIDAF,EM_CORP_SA:EM_CORP_EE:EM_CORP_EE_COUNTRY:USD_EM_CORP_EE_OTRCNTY</v>
          </cell>
          <cell r="D1493" t="str">
            <v>Spread Duration</v>
          </cell>
          <cell r="E1493" t="str">
            <v>Spread Yield (DxS)</v>
          </cell>
          <cell r="F1493" t="str">
            <v>SP-Corporate HY USD</v>
          </cell>
          <cell r="G1493" t="str">
            <v>SP-Spread Corporate</v>
          </cell>
          <cell r="H1493" t="str">
            <v>SPREADS</v>
          </cell>
          <cell r="I1493" t="str">
            <v>Corporate HY USD - Country</v>
          </cell>
        </row>
        <row r="1494">
          <cell r="A1494" t="str">
            <v>USD_EM_CORP_EE_FINA</v>
          </cell>
          <cell r="B1494" t="str">
            <v>E Financial</v>
          </cell>
          <cell r="C1494" t="str">
            <v>BRS_GOLD__5_SPREADS:USD_EM_DS,EM_IDIO,US_CDX_EM,EM_CORP_EE,EM_CORP_MIDAF,EM_CORP_SA:EM_CORP-NUSD_EM,EM_CORP_EE,EM_CORP_MIDAF,EM_CORP_SA:EM_CORP_EE:EM_CORP_EE_SECTOR:USD_EM_CORP_EE_FINA</v>
          </cell>
          <cell r="D1494" t="str">
            <v>Spread Duration</v>
          </cell>
          <cell r="E1494" t="str">
            <v>Spread Yield (DxS)</v>
          </cell>
          <cell r="F1494" t="str">
            <v>SP-Corporate HY USD</v>
          </cell>
          <cell r="G1494" t="str">
            <v>SP-Spread Corporate</v>
          </cell>
          <cell r="H1494" t="str">
            <v>SPREADS</v>
          </cell>
          <cell r="I1494" t="str">
            <v>Corporate HY USD - Industry</v>
          </cell>
        </row>
        <row r="1495">
          <cell r="A1495" t="str">
            <v>USD_EM_CORP_EE_METM</v>
          </cell>
          <cell r="B1495" t="str">
            <v>E Metals and Mining</v>
          </cell>
          <cell r="C1495" t="str">
            <v>BRS_GOLD__5_SPREADS:USD_EM_DS,EM_IDIO,US_CDX_EM,EM_CORP_EE,EM_CORP_MIDAF,EM_CORP_SA:EM_CORP-NUSD_EM,EM_CORP_EE,EM_CORP_MIDAF,EM_CORP_SA:EM_CORP_EE:EM_CORP_EE_SECTOR:USD_EM_CORP_EE_METM</v>
          </cell>
          <cell r="D1495" t="str">
            <v>Spread Duration</v>
          </cell>
          <cell r="E1495" t="str">
            <v>Spread Yield (DxS)</v>
          </cell>
          <cell r="F1495" t="str">
            <v>SP-Corporate HY USD</v>
          </cell>
          <cell r="G1495" t="str">
            <v>SP-Spread Corporate</v>
          </cell>
          <cell r="H1495" t="str">
            <v>SPREADS</v>
          </cell>
          <cell r="I1495" t="str">
            <v>Corporate HY USD - Industry</v>
          </cell>
        </row>
        <row r="1496">
          <cell r="A1496" t="str">
            <v>USD_EM_CORP_EE_OGAS</v>
          </cell>
          <cell r="B1496" t="str">
            <v>E Oil and Gas</v>
          </cell>
          <cell r="C1496" t="str">
            <v>BRS_GOLD__5_SPREADS:USD_EM_DS,EM_IDIO,US_CDX_EM,EM_CORP_EE,EM_CORP_MIDAF,EM_CORP_SA:EM_CORP-NUSD_EM,EM_CORP_EE,EM_CORP_MIDAF,EM_CORP_SA:EM_CORP_EE:EM_CORP_EE_SECTOR:USD_EM_CORP_EE_OGAS</v>
          </cell>
          <cell r="D1496" t="str">
            <v>Spread Duration</v>
          </cell>
          <cell r="E1496" t="str">
            <v>Spread Yield (DxS)</v>
          </cell>
          <cell r="F1496" t="str">
            <v>SP-Corporate HY USD</v>
          </cell>
          <cell r="G1496" t="str">
            <v>SP-Spread Corporate</v>
          </cell>
          <cell r="H1496" t="str">
            <v>SPREADS</v>
          </cell>
          <cell r="I1496" t="str">
            <v>Corporate HY USD - Industry</v>
          </cell>
        </row>
        <row r="1497">
          <cell r="A1497" t="str">
            <v>USD_EM_CORP_EE_OTRSEC</v>
          </cell>
          <cell r="B1497" t="str">
            <v>E Other Sectors</v>
          </cell>
          <cell r="C1497" t="str">
            <v>BRS_GOLD__5_SPREADS:USD_EM_DS,EM_IDIO,US_CDX_EM,EM_CORP_EE,EM_CORP_MIDAF,EM_CORP_SA:EM_CORP-NUSD_EM,EM_CORP_EE,EM_CORP_MIDAF,EM_CORP_SA:EM_CORP_EE:EM_CORP_EE_SECTOR:USD_EM_CORP_EE_OTRSEC</v>
          </cell>
          <cell r="D1497" t="str">
            <v>Spread Duration</v>
          </cell>
          <cell r="E1497" t="str">
            <v>Spread Yield (DxS)</v>
          </cell>
          <cell r="F1497" t="str">
            <v>SP-Corporate HY USD</v>
          </cell>
          <cell r="G1497" t="str">
            <v>SP-Spread Corporate</v>
          </cell>
          <cell r="H1497" t="str">
            <v>SPREADS</v>
          </cell>
          <cell r="I1497" t="str">
            <v>Corporate HY USD - Industry</v>
          </cell>
        </row>
        <row r="1498">
          <cell r="A1498" t="str">
            <v>USD_EM_CORP_EE_MAT2</v>
          </cell>
          <cell r="B1498" t="str">
            <v>EM Corp E Mat 2</v>
          </cell>
          <cell r="C1498" t="str">
            <v>BRS_GOLD__5_SPREADS:USD_EM_DS,EM_IDIO,US_CDX_EM,EM_CORP_EE,EM_CORP_MIDAF,EM_CORP_SA:EM_CORP-NUSD_EM,EM_CORP_EE,EM_CORP_MIDAF,EM_CORP_SA:EM_CORP_EE:EM_CORP_EE_MATURITY:USD_EM_CORP_EE_MAT2</v>
          </cell>
          <cell r="D1498" t="str">
            <v>Spread Duration</v>
          </cell>
          <cell r="E1498" t="str">
            <v>Spread Yield (DxS)</v>
          </cell>
          <cell r="F1498" t="str">
            <v>SP-Corporate HY USD</v>
          </cell>
          <cell r="G1498" t="str">
            <v>SP-Spread Corporate</v>
          </cell>
          <cell r="H1498" t="str">
            <v>SPREADS</v>
          </cell>
          <cell r="I1498" t="str">
            <v>Corporate HY USD - Maturity</v>
          </cell>
        </row>
        <row r="1499">
          <cell r="A1499" t="str">
            <v>USD_EM_CORP_EE_MAT10</v>
          </cell>
          <cell r="B1499" t="str">
            <v>EM Corp E Mat 10</v>
          </cell>
          <cell r="C1499" t="str">
            <v>BRS_GOLD__5_SPREADS:USD_EM_DS,EM_IDIO,US_CDX_EM,EM_CORP_EE,EM_CORP_MIDAF,EM_CORP_SA:EM_CORP-NUSD_EM,EM_CORP_EE,EM_CORP_MIDAF,EM_CORP_SA:EM_CORP_EE:EM_CORP_EE_MATURITY:USD_EM_CORP_EE_MAT10</v>
          </cell>
          <cell r="D1499" t="str">
            <v>Spread Duration</v>
          </cell>
          <cell r="E1499" t="str">
            <v>Spread Yield (DxS)</v>
          </cell>
          <cell r="F1499" t="str">
            <v>SP-Corporate HY USD</v>
          </cell>
          <cell r="G1499" t="str">
            <v>SP-Spread Corporate</v>
          </cell>
          <cell r="H1499" t="str">
            <v>SPREADS</v>
          </cell>
          <cell r="I1499" t="str">
            <v>Corporate HY USD - Maturity</v>
          </cell>
        </row>
        <row r="1500">
          <cell r="A1500" t="str">
            <v>USD_EM_CORP_MIDAF_AE</v>
          </cell>
          <cell r="B1500" t="str">
            <v>United Arab Emirates</v>
          </cell>
          <cell r="C1500" t="str">
            <v>BRS_GOLD__5_SPREADS:USD_EM_DS,EM_IDIO,US_CDX_EM,EM_CORP_EE,EM_CORP_MIDAF,EM_CORP_SA:EM_CORP-NUSD_EM,EM_CORP_EE,EM_CORP_MIDAF,EM_CORP_SA:EM_CORP_MIDAF:EM_CORP_MIDAF_COUNTRY:USD_EM_CORP_MIDAF_AE</v>
          </cell>
          <cell r="D1500" t="str">
            <v>Spread Duration</v>
          </cell>
          <cell r="E1500" t="str">
            <v>Spread Yield (DxS)</v>
          </cell>
          <cell r="F1500" t="str">
            <v>SP-Corporate HY USD</v>
          </cell>
          <cell r="G1500" t="str">
            <v>SP-Spread Corporate</v>
          </cell>
          <cell r="H1500" t="str">
            <v>SPREADS</v>
          </cell>
          <cell r="I1500" t="str">
            <v>Corporate HY USD - Country</v>
          </cell>
        </row>
        <row r="1501">
          <cell r="A1501" t="str">
            <v>USD_EM_CORP_MIDAF_IL</v>
          </cell>
          <cell r="B1501" t="str">
            <v>Israel</v>
          </cell>
          <cell r="C1501" t="str">
            <v>BRS_GOLD__5_SPREADS:USD_EM_DS,EM_IDIO,US_CDX_EM,EM_CORP_EE,EM_CORP_MIDAF,EM_CORP_SA:EM_CORP-NUSD_EM,EM_CORP_EE,EM_CORP_MIDAF,EM_CORP_SA:EM_CORP_MIDAF:EM_CORP_MIDAF_COUNTRY:USD_EM_CORP_MIDAF_IL</v>
          </cell>
          <cell r="D1501" t="str">
            <v>Spread Duration</v>
          </cell>
          <cell r="E1501" t="str">
            <v>Spread Yield (DxS)</v>
          </cell>
          <cell r="F1501" t="str">
            <v>SP-Corporate HY USD</v>
          </cell>
          <cell r="G1501" t="str">
            <v>SP-Spread Corporate</v>
          </cell>
          <cell r="H1501" t="str">
            <v>SPREADS</v>
          </cell>
          <cell r="I1501" t="str">
            <v>Corporate HY USD - Country</v>
          </cell>
        </row>
        <row r="1502">
          <cell r="A1502" t="str">
            <v>USD_EM_CORP_MIDAF_NG</v>
          </cell>
          <cell r="B1502" t="str">
            <v>Nigeria</v>
          </cell>
          <cell r="C1502" t="str">
            <v>BRS_GOLD__5_SPREADS:USD_EM_DS,EM_IDIO,US_CDX_EM,EM_CORP_EE,EM_CORP_MIDAF,EM_CORP_SA:EM_CORP-NUSD_EM,EM_CORP_EE,EM_CORP_MIDAF,EM_CORP_SA:EM_CORP_MIDAF:EM_CORP_MIDAF_COUNTRY:USD_EM_CORP_MIDAF_NG</v>
          </cell>
          <cell r="D1502" t="str">
            <v>Spread Duration</v>
          </cell>
          <cell r="E1502" t="str">
            <v>Spread Yield (DxS)</v>
          </cell>
          <cell r="F1502" t="str">
            <v>SP-Corporate HY USD</v>
          </cell>
          <cell r="G1502" t="str">
            <v>SP-Spread Corporate</v>
          </cell>
          <cell r="H1502" t="str">
            <v>SPREADS</v>
          </cell>
          <cell r="I1502" t="str">
            <v>Corporate HY USD - Country</v>
          </cell>
        </row>
        <row r="1503">
          <cell r="A1503" t="str">
            <v>USD_EM_CORP_MIDAF_ZA</v>
          </cell>
          <cell r="B1503" t="str">
            <v>South Africa</v>
          </cell>
          <cell r="C1503" t="str">
            <v>BRS_GOLD__5_SPREADS:USD_EM_DS,EM_IDIO,US_CDX_EM,EM_CORP_EE,EM_CORP_MIDAF,EM_CORP_SA:EM_CORP-NUSD_EM,EM_CORP_EE,EM_CORP_MIDAF,EM_CORP_SA:EM_CORP_MIDAF:EM_CORP_MIDAF_COUNTRY:USD_EM_CORP_MIDAF_ZA</v>
          </cell>
          <cell r="D1503" t="str">
            <v>Spread Duration</v>
          </cell>
          <cell r="E1503" t="str">
            <v>Spread Yield (DxS)</v>
          </cell>
          <cell r="F1503" t="str">
            <v>SP-Corporate HY USD</v>
          </cell>
          <cell r="G1503" t="str">
            <v>SP-Spread Corporate</v>
          </cell>
          <cell r="H1503" t="str">
            <v>SPREADS</v>
          </cell>
          <cell r="I1503" t="str">
            <v>Corporate HY USD - Country</v>
          </cell>
        </row>
        <row r="1504">
          <cell r="A1504" t="str">
            <v>USD_EM_CORP_MIDAF_OTRCNTY</v>
          </cell>
          <cell r="B1504" t="str">
            <v>MIDAF Other Country</v>
          </cell>
          <cell r="C1504" t="str">
            <v>BRS_GOLD__5_SPREADS:USD_EM_DS,EM_IDIO,US_CDX_EM,EM_CORP_EE,EM_CORP_MIDAF,EM_CORP_SA:EM_CORP-NUSD_EM,EM_CORP_EE,EM_CORP_MIDAF,EM_CORP_SA:EM_CORP_MIDAF:EM_CORP_MIDAF_COUNTRY:USD_EM_CORP_MIDAF_OTRCNTY</v>
          </cell>
          <cell r="D1504" t="str">
            <v>Spread Duration</v>
          </cell>
          <cell r="E1504" t="str">
            <v>Spread Yield (DxS)</v>
          </cell>
          <cell r="F1504" t="str">
            <v>SP-Corporate HY USD</v>
          </cell>
          <cell r="G1504" t="str">
            <v>SP-Spread Corporate</v>
          </cell>
          <cell r="H1504" t="str">
            <v>SPREADS</v>
          </cell>
          <cell r="I1504" t="str">
            <v>Corporate HY USD - Country</v>
          </cell>
        </row>
        <row r="1505">
          <cell r="A1505" t="str">
            <v>USD_EM_CORP_MIDAF_FINA</v>
          </cell>
          <cell r="B1505" t="str">
            <v>MIDAF Financial</v>
          </cell>
          <cell r="C1505" t="str">
            <v>BRS_GOLD__5_SPREADS:USD_EM_DS,EM_IDIO,US_CDX_EM,EM_CORP_EE,EM_CORP_MIDAF,EM_CORP_SA:EM_CORP-NUSD_EM,EM_CORP_EE,EM_CORP_MIDAF,EM_CORP_SA:EM_CORP_MIDAF:EM_CORP_MIDAF_SECTOR:USD_EM_CORP_MIDAF_FINA</v>
          </cell>
          <cell r="D1505" t="str">
            <v>Spread Duration</v>
          </cell>
          <cell r="E1505" t="str">
            <v>Spread Yield (DxS)</v>
          </cell>
          <cell r="F1505" t="str">
            <v>SP-Corporate HY USD</v>
          </cell>
          <cell r="G1505" t="str">
            <v>SP-Spread Corporate</v>
          </cell>
          <cell r="H1505" t="str">
            <v>SPREADS</v>
          </cell>
          <cell r="I1505" t="str">
            <v>Corporate HY USD - Industry</v>
          </cell>
        </row>
        <row r="1506">
          <cell r="A1506" t="str">
            <v>USD_EM_CORP_MIDAF_METM</v>
          </cell>
          <cell r="B1506" t="str">
            <v>MIDAF Metals and Mining</v>
          </cell>
          <cell r="C1506" t="str">
            <v>BRS_GOLD__5_SPREADS:USD_EM_DS,EM_IDIO,US_CDX_EM,EM_CORP_EE,EM_CORP_MIDAF,EM_CORP_SA:EM_CORP-NUSD_EM,EM_CORP_EE,EM_CORP_MIDAF,EM_CORP_SA:EM_CORP_MIDAF:EM_CORP_MIDAF_SECTOR:USD_EM_CORP_MIDAF_METM</v>
          </cell>
          <cell r="D1506" t="str">
            <v>Spread Duration</v>
          </cell>
          <cell r="E1506" t="str">
            <v>Spread Yield (DxS)</v>
          </cell>
          <cell r="F1506" t="str">
            <v>SP-Corporate HY USD</v>
          </cell>
          <cell r="G1506" t="str">
            <v>SP-Spread Corporate</v>
          </cell>
          <cell r="H1506" t="str">
            <v>SPREADS</v>
          </cell>
          <cell r="I1506" t="str">
            <v>Corporate HY USD - Industry</v>
          </cell>
        </row>
        <row r="1507">
          <cell r="A1507" t="str">
            <v>USD_EM_CORP_MIDAF_OGAS</v>
          </cell>
          <cell r="B1507" t="str">
            <v>MIDAF Oil and Gas</v>
          </cell>
          <cell r="C1507" t="str">
            <v>BRS_GOLD__5_SPREADS:USD_EM_DS,EM_IDIO,US_CDX_EM,EM_CORP_EE,EM_CORP_MIDAF,EM_CORP_SA:EM_CORP-NUSD_EM,EM_CORP_EE,EM_CORP_MIDAF,EM_CORP_SA:EM_CORP_MIDAF:EM_CORP_MIDAF_SECTOR:USD_EM_CORP_MIDAF_OGAS</v>
          </cell>
          <cell r="D1507" t="str">
            <v>Spread Duration</v>
          </cell>
          <cell r="E1507" t="str">
            <v>Spread Yield (DxS)</v>
          </cell>
          <cell r="F1507" t="str">
            <v>SP-Corporate HY USD</v>
          </cell>
          <cell r="G1507" t="str">
            <v>SP-Spread Corporate</v>
          </cell>
          <cell r="H1507" t="str">
            <v>SPREADS</v>
          </cell>
          <cell r="I1507" t="str">
            <v>Corporate HY USD - Industry</v>
          </cell>
        </row>
        <row r="1508">
          <cell r="A1508" t="str">
            <v>USD_EM_CORP_MIDAF_OTRSEC</v>
          </cell>
          <cell r="B1508" t="str">
            <v>MIDAF Other Sectors</v>
          </cell>
          <cell r="C1508" t="str">
            <v>BRS_GOLD__5_SPREADS:USD_EM_DS,EM_IDIO,US_CDX_EM,EM_CORP_EE,EM_CORP_MIDAF,EM_CORP_SA:EM_CORP-NUSD_EM,EM_CORP_EE,EM_CORP_MIDAF,EM_CORP_SA:EM_CORP_MIDAF:EM_CORP_MIDAF_SECTOR:USD_EM_CORP_MIDAF_OTRSEC</v>
          </cell>
          <cell r="D1508" t="str">
            <v>Spread Duration</v>
          </cell>
          <cell r="E1508" t="str">
            <v>Spread Yield (DxS)</v>
          </cell>
          <cell r="F1508" t="str">
            <v>SP-Corporate HY USD</v>
          </cell>
          <cell r="G1508" t="str">
            <v>SP-Spread Corporate</v>
          </cell>
          <cell r="H1508" t="str">
            <v>SPREADS</v>
          </cell>
          <cell r="I1508" t="str">
            <v>Corporate HY USD - Industry</v>
          </cell>
        </row>
        <row r="1509">
          <cell r="A1509" t="str">
            <v>USD_EM_CORP_MIDAF_MAT2</v>
          </cell>
          <cell r="B1509" t="str">
            <v>EM Corp MIDAF Mat 2</v>
          </cell>
          <cell r="C1509" t="str">
            <v>BRS_GOLD__5_SPREADS:USD_EM_DS,EM_IDIO,US_CDX_EM,EM_CORP_EE,EM_CORP_MIDAF,EM_CORP_SA:EM_CORP-NUSD_EM,EM_CORP_EE,EM_CORP_MIDAF,EM_CORP_SA:EM_CORP_MIDAF:EM_CORP_MIDAF_MATURITY:USD_EM_CORP_MIDAF_MAT2</v>
          </cell>
          <cell r="D1509" t="str">
            <v>Spread Duration</v>
          </cell>
          <cell r="E1509" t="str">
            <v>Spread Yield (DxS)</v>
          </cell>
          <cell r="F1509" t="str">
            <v>SP-Corporate HY USD</v>
          </cell>
          <cell r="G1509" t="str">
            <v>SP-Spread Corporate</v>
          </cell>
          <cell r="H1509" t="str">
            <v>SPREADS</v>
          </cell>
          <cell r="I1509" t="str">
            <v>Corporate HY USD - Maturity</v>
          </cell>
        </row>
        <row r="1510">
          <cell r="A1510" t="str">
            <v>USD_EM_CORP_MIDAF_MAT10</v>
          </cell>
          <cell r="B1510" t="str">
            <v>EM Corp MIDAF Mat 10</v>
          </cell>
          <cell r="C1510" t="str">
            <v>BRS_GOLD__5_SPREADS:USD_EM_DS,EM_IDIO,US_CDX_EM,EM_CORP_EE,EM_CORP_MIDAF,EM_CORP_SA:EM_CORP-NUSD_EM,EM_CORP_EE,EM_CORP_MIDAF,EM_CORP_SA:EM_CORP_MIDAF:EM_CORP_MIDAF_MATURITY:USD_EM_CORP_MIDAF_MAT10</v>
          </cell>
          <cell r="D1510" t="str">
            <v>Spread Duration</v>
          </cell>
          <cell r="E1510" t="str">
            <v>Spread Yield (DxS)</v>
          </cell>
          <cell r="F1510" t="str">
            <v>SP-Corporate HY USD</v>
          </cell>
          <cell r="G1510" t="str">
            <v>SP-Spread Corporate</v>
          </cell>
          <cell r="H1510" t="str">
            <v>SPREADS</v>
          </cell>
          <cell r="I1510" t="str">
            <v>Corporate HY USD - Maturity</v>
          </cell>
        </row>
        <row r="1511">
          <cell r="A1511" t="str">
            <v>USD_EM_CORP_SA_BR</v>
          </cell>
          <cell r="B1511" t="str">
            <v>Brazil</v>
          </cell>
          <cell r="C1511" t="str">
            <v>BRS_GOLD__5_SPREADS:USD_EM_DS,EM_IDIO,US_CDX_EM,EM_CORP_EE,EM_CORP_MIDAF,EM_CORP_SA:EM_CORP-NUSD_EM,EM_CORP_EE,EM_CORP_MIDAF,EM_CORP_SA:EM_CORP_SA:EM_CORP_SA_COUNTRY:USD_EM_CORP_SA_BR</v>
          </cell>
          <cell r="D1511" t="str">
            <v>Spread Duration</v>
          </cell>
          <cell r="E1511" t="str">
            <v>Spread Yield (DxS)</v>
          </cell>
          <cell r="F1511" t="str">
            <v>SP-Corporate HY USD</v>
          </cell>
          <cell r="G1511" t="str">
            <v>SP-Spread Corporate</v>
          </cell>
          <cell r="H1511" t="str">
            <v>SPREADS</v>
          </cell>
          <cell r="I1511" t="str">
            <v>Corporate HY USD - Country</v>
          </cell>
        </row>
        <row r="1512">
          <cell r="A1512" t="str">
            <v>USD_EM_CORP_SA_CL</v>
          </cell>
          <cell r="B1512" t="str">
            <v>Chile</v>
          </cell>
          <cell r="C1512" t="str">
            <v>BRS_GOLD__5_SPREADS:USD_EM_DS,EM_IDIO,US_CDX_EM,EM_CORP_EE,EM_CORP_MIDAF,EM_CORP_SA:EM_CORP-NUSD_EM,EM_CORP_EE,EM_CORP_MIDAF,EM_CORP_SA:EM_CORP_SA:EM_CORP_SA_COUNTRY:USD_EM_CORP_SA_CL</v>
          </cell>
          <cell r="D1512" t="str">
            <v>Spread Duration</v>
          </cell>
          <cell r="E1512" t="str">
            <v>Spread Yield (DxS)</v>
          </cell>
          <cell r="F1512" t="str">
            <v>SP-Corporate HY USD</v>
          </cell>
          <cell r="G1512" t="str">
            <v>SP-Spread Corporate</v>
          </cell>
          <cell r="H1512" t="str">
            <v>SPREADS</v>
          </cell>
          <cell r="I1512" t="str">
            <v>Corporate HY USD - Country</v>
          </cell>
        </row>
        <row r="1513">
          <cell r="A1513" t="str">
            <v>USD_EM_CORP_SA_CO</v>
          </cell>
          <cell r="B1513" t="str">
            <v>Colombia</v>
          </cell>
          <cell r="C1513" t="str">
            <v>BRS_GOLD__5_SPREADS:USD_EM_DS,EM_IDIO,US_CDX_EM,EM_CORP_EE,EM_CORP_MIDAF,EM_CORP_SA:EM_CORP-NUSD_EM,EM_CORP_EE,EM_CORP_MIDAF,EM_CORP_SA:EM_CORP_SA:EM_CORP_SA_COUNTRY:USD_EM_CORP_SA_CO</v>
          </cell>
          <cell r="D1513" t="str">
            <v>Spread Duration</v>
          </cell>
          <cell r="E1513" t="str">
            <v>Spread Yield (DxS)</v>
          </cell>
          <cell r="F1513" t="str">
            <v>SP-Corporate HY USD</v>
          </cell>
          <cell r="G1513" t="str">
            <v>SP-Spread Corporate</v>
          </cell>
          <cell r="H1513" t="str">
            <v>SPREADS</v>
          </cell>
          <cell r="I1513" t="str">
            <v>Corporate HY USD - Country</v>
          </cell>
        </row>
        <row r="1514">
          <cell r="A1514" t="str">
            <v>USD_EM_CORP_SA_MX</v>
          </cell>
          <cell r="B1514" t="str">
            <v>Mexico</v>
          </cell>
          <cell r="C1514" t="str">
            <v>BRS_GOLD__5_SPREADS:USD_EM_DS,EM_IDIO,US_CDX_EM,EM_CORP_EE,EM_CORP_MIDAF,EM_CORP_SA:EM_CORP-NUSD_EM,EM_CORP_EE,EM_CORP_MIDAF,EM_CORP_SA:EM_CORP_SA:EM_CORP_SA_COUNTRY:USD_EM_CORP_SA_MX</v>
          </cell>
          <cell r="D1514" t="str">
            <v>Spread Duration</v>
          </cell>
          <cell r="E1514" t="str">
            <v>Spread Yield (DxS)</v>
          </cell>
          <cell r="F1514" t="str">
            <v>SP-Corporate HY USD</v>
          </cell>
          <cell r="G1514" t="str">
            <v>SP-Spread Corporate</v>
          </cell>
          <cell r="H1514" t="str">
            <v>SPREADS</v>
          </cell>
          <cell r="I1514" t="str">
            <v>Corporate HY USD - Country</v>
          </cell>
        </row>
        <row r="1515">
          <cell r="A1515" t="str">
            <v>USD_EM_CORP_SA_PE</v>
          </cell>
          <cell r="B1515" t="str">
            <v>Peru</v>
          </cell>
          <cell r="C1515" t="str">
            <v>BRS_GOLD__5_SPREADS:USD_EM_DS,EM_IDIO,US_CDX_EM,EM_CORP_EE,EM_CORP_MIDAF,EM_CORP_SA:EM_CORP-NUSD_EM,EM_CORP_EE,EM_CORP_MIDAF,EM_CORP_SA:EM_CORP_SA:EM_CORP_SA_COUNTRY:USD_EM_CORP_SA_PE</v>
          </cell>
          <cell r="D1515" t="str">
            <v>Spread Duration</v>
          </cell>
          <cell r="E1515" t="str">
            <v>Spread Yield (DxS)</v>
          </cell>
          <cell r="F1515" t="str">
            <v>SP-Corporate HY USD</v>
          </cell>
          <cell r="G1515" t="str">
            <v>SP-Spread Corporate</v>
          </cell>
          <cell r="H1515" t="str">
            <v>SPREADS</v>
          </cell>
          <cell r="I1515" t="str">
            <v>Corporate HY USD - Country</v>
          </cell>
        </row>
        <row r="1516">
          <cell r="A1516" t="str">
            <v>USD_EM_CORP_SA_OTRCNTY</v>
          </cell>
          <cell r="B1516" t="str">
            <v>LA Other Country</v>
          </cell>
          <cell r="C1516" t="str">
            <v>BRS_GOLD__5_SPREADS:USD_EM_DS,EM_IDIO,US_CDX_EM,EM_CORP_EE,EM_CORP_MIDAF,EM_CORP_SA:EM_CORP-NUSD_EM,EM_CORP_EE,EM_CORP_MIDAF,EM_CORP_SA:EM_CORP_SA:EM_CORP_SA_COUNTRY:USD_EM_CORP_SA_OTRCNTY</v>
          </cell>
          <cell r="D1516" t="str">
            <v>Spread Duration</v>
          </cell>
          <cell r="E1516" t="str">
            <v>Spread Yield (DxS)</v>
          </cell>
          <cell r="F1516" t="str">
            <v>SP-Corporate HY USD</v>
          </cell>
          <cell r="G1516" t="str">
            <v>SP-Spread Corporate</v>
          </cell>
          <cell r="H1516" t="str">
            <v>SPREADS</v>
          </cell>
          <cell r="I1516" t="str">
            <v>Corporate HY USD - Country</v>
          </cell>
        </row>
        <row r="1517">
          <cell r="A1517" t="str">
            <v>USD_EM_CORP_SA_CONS</v>
          </cell>
          <cell r="B1517" t="str">
            <v>LA Consumer</v>
          </cell>
          <cell r="C1517" t="str">
            <v>BRS_GOLD__5_SPREADS:USD_EM_DS,EM_IDIO,US_CDX_EM,EM_CORP_EE,EM_CORP_MIDAF,EM_CORP_SA:EM_CORP-NUSD_EM,EM_CORP_EE,EM_CORP_MIDAF,EM_CORP_SA:EM_CORP_SA:EM_CORP_SA_SECTOR:USD_EM_CORP_SA_CONS</v>
          </cell>
          <cell r="D1517" t="str">
            <v>Spread Duration</v>
          </cell>
          <cell r="E1517" t="str">
            <v>Spread Yield (DxS)</v>
          </cell>
          <cell r="F1517" t="str">
            <v>SP-Corporate HY USD</v>
          </cell>
          <cell r="G1517" t="str">
            <v>SP-Spread Corporate</v>
          </cell>
          <cell r="H1517" t="str">
            <v>SPREADS</v>
          </cell>
          <cell r="I1517" t="str">
            <v>Corporate HY USD - Industry</v>
          </cell>
        </row>
        <row r="1518">
          <cell r="A1518" t="str">
            <v>USD_EM_CORP_SA_FINA</v>
          </cell>
          <cell r="B1518" t="str">
            <v>LA Financial</v>
          </cell>
          <cell r="C1518" t="str">
            <v>BRS_GOLD__5_SPREADS:USD_EM_DS,EM_IDIO,US_CDX_EM,EM_CORP_EE,EM_CORP_MIDAF,EM_CORP_SA:EM_CORP-NUSD_EM,EM_CORP_EE,EM_CORP_MIDAF,EM_CORP_SA:EM_CORP_SA:EM_CORP_SA_SECTOR:USD_EM_CORP_SA_FINA</v>
          </cell>
          <cell r="D1518" t="str">
            <v>Spread Duration</v>
          </cell>
          <cell r="E1518" t="str">
            <v>Spread Yield (DxS)</v>
          </cell>
          <cell r="F1518" t="str">
            <v>SP-Corporate HY USD</v>
          </cell>
          <cell r="G1518" t="str">
            <v>SP-Spread Corporate</v>
          </cell>
          <cell r="H1518" t="str">
            <v>SPREADS</v>
          </cell>
          <cell r="I1518" t="str">
            <v>Corporate HY USD - Industry</v>
          </cell>
        </row>
        <row r="1519">
          <cell r="A1519" t="str">
            <v>USD_EM_CORP_SA_INDU</v>
          </cell>
          <cell r="B1519" t="str">
            <v>LA Industrial</v>
          </cell>
          <cell r="C1519" t="str">
            <v>BRS_GOLD__5_SPREADS:USD_EM_DS,EM_IDIO,US_CDX_EM,EM_CORP_EE,EM_CORP_MIDAF,EM_CORP_SA:EM_CORP-NUSD_EM,EM_CORP_EE,EM_CORP_MIDAF,EM_CORP_SA:EM_CORP_SA:EM_CORP_SA_SECTOR:USD_EM_CORP_SA_INDU</v>
          </cell>
          <cell r="D1519" t="str">
            <v>Spread Duration</v>
          </cell>
          <cell r="E1519" t="str">
            <v>Spread Yield (DxS)</v>
          </cell>
          <cell r="F1519" t="str">
            <v>SP-Corporate HY USD</v>
          </cell>
          <cell r="G1519" t="str">
            <v>SP-Spread Corporate</v>
          </cell>
          <cell r="H1519" t="str">
            <v>SPREADS</v>
          </cell>
          <cell r="I1519" t="str">
            <v>Corporate HY USD - Industry</v>
          </cell>
        </row>
        <row r="1520">
          <cell r="A1520" t="str">
            <v>USD_EM_CORP_SA_METM</v>
          </cell>
          <cell r="B1520" t="str">
            <v>LA Metals and Mining</v>
          </cell>
          <cell r="C1520" t="str">
            <v>BRS_GOLD__5_SPREADS:USD_EM_DS,EM_IDIO,US_CDX_EM,EM_CORP_EE,EM_CORP_MIDAF,EM_CORP_SA:EM_CORP-NUSD_EM,EM_CORP_EE,EM_CORP_MIDAF,EM_CORP_SA:EM_CORP_SA:EM_CORP_SA_SECTOR:USD_EM_CORP_SA_METM</v>
          </cell>
          <cell r="D1520" t="str">
            <v>Spread Duration</v>
          </cell>
          <cell r="E1520" t="str">
            <v>Spread Yield (DxS)</v>
          </cell>
          <cell r="F1520" t="str">
            <v>SP-Corporate HY USD</v>
          </cell>
          <cell r="G1520" t="str">
            <v>SP-Spread Corporate</v>
          </cell>
          <cell r="H1520" t="str">
            <v>SPREADS</v>
          </cell>
          <cell r="I1520" t="str">
            <v>Corporate HY USD - Industry</v>
          </cell>
        </row>
        <row r="1521">
          <cell r="A1521" t="str">
            <v>USD_EM_CORP_SA_PPER</v>
          </cell>
          <cell r="B1521" t="str">
            <v>LA Pulp and Paper</v>
          </cell>
          <cell r="C1521" t="str">
            <v>BRS_GOLD__5_SPREADS:USD_EM_DS,EM_IDIO,US_CDX_EM,EM_CORP_EE,EM_CORP_MIDAF,EM_CORP_SA:EM_CORP-NUSD_EM,EM_CORP_EE,EM_CORP_MIDAF,EM_CORP_SA:EM_CORP_SA:EM_CORP_SA_SECTOR:USD_EM_CORP_SA_PPER</v>
          </cell>
          <cell r="D1521" t="str">
            <v>Spread Duration</v>
          </cell>
          <cell r="E1521" t="str">
            <v>Spread Yield (DxS)</v>
          </cell>
          <cell r="F1521" t="str">
            <v>SP-Corporate HY USD</v>
          </cell>
          <cell r="G1521" t="str">
            <v>SP-Spread Corporate</v>
          </cell>
          <cell r="H1521" t="str">
            <v>SPREADS</v>
          </cell>
          <cell r="I1521" t="str">
            <v>Corporate HY USD - Industry</v>
          </cell>
        </row>
        <row r="1522">
          <cell r="A1522" t="str">
            <v>USD_EM_CORP_SA_TELC</v>
          </cell>
          <cell r="B1522" t="str">
            <v>LA Telecom</v>
          </cell>
          <cell r="C1522" t="str">
            <v>BRS_GOLD__5_SPREADS:USD_EM_DS,EM_IDIO,US_CDX_EM,EM_CORP_EE,EM_CORP_MIDAF,EM_CORP_SA:EM_CORP-NUSD_EM,EM_CORP_EE,EM_CORP_MIDAF,EM_CORP_SA:EM_CORP_SA:EM_CORP_SA_SECTOR:USD_EM_CORP_SA_TELC</v>
          </cell>
          <cell r="D1522" t="str">
            <v>Spread Duration</v>
          </cell>
          <cell r="E1522" t="str">
            <v>Spread Yield (DxS)</v>
          </cell>
          <cell r="F1522" t="str">
            <v>SP-Corporate HY USD</v>
          </cell>
          <cell r="G1522" t="str">
            <v>SP-Spread Corporate</v>
          </cell>
          <cell r="H1522" t="str">
            <v>SPREADS</v>
          </cell>
          <cell r="I1522" t="str">
            <v>Corporate HY USD - Industry</v>
          </cell>
        </row>
        <row r="1523">
          <cell r="A1523" t="str">
            <v>USD_EM_CORP_SA_UTIL</v>
          </cell>
          <cell r="B1523" t="str">
            <v>LA Utilities</v>
          </cell>
          <cell r="C1523" t="str">
            <v>BRS_GOLD__5_SPREADS:USD_EM_DS,EM_IDIO,US_CDX_EM,EM_CORP_EE,EM_CORP_MIDAF,EM_CORP_SA:EM_CORP-NUSD_EM,EM_CORP_EE,EM_CORP_MIDAF,EM_CORP_SA:EM_CORP_SA:EM_CORP_SA_SECTOR:USD_EM_CORP_SA_UTIL</v>
          </cell>
          <cell r="D1523" t="str">
            <v>Spread Duration</v>
          </cell>
          <cell r="E1523" t="str">
            <v>Spread Yield (DxS)</v>
          </cell>
          <cell r="F1523" t="str">
            <v>SP-Corporate HY USD</v>
          </cell>
          <cell r="G1523" t="str">
            <v>SP-Spread Corporate</v>
          </cell>
          <cell r="H1523" t="str">
            <v>SPREADS</v>
          </cell>
          <cell r="I1523" t="str">
            <v>Corporate HY USD - Industry</v>
          </cell>
        </row>
        <row r="1524">
          <cell r="A1524" t="str">
            <v>USD_EM_CORP_SA_OTRSEC</v>
          </cell>
          <cell r="B1524" t="str">
            <v>LA Other Sectors</v>
          </cell>
          <cell r="C1524" t="str">
            <v>BRS_GOLD__5_SPREADS:USD_EM_DS,EM_IDIO,US_CDX_EM,EM_CORP_EE,EM_CORP_MIDAF,EM_CORP_SA:EM_CORP-NUSD_EM,EM_CORP_EE,EM_CORP_MIDAF,EM_CORP_SA:EM_CORP_SA:EM_CORP_SA_SECTOR:USD_EM_CORP_SA_OTRSEC</v>
          </cell>
          <cell r="D1524" t="str">
            <v>Spread Duration</v>
          </cell>
          <cell r="E1524" t="str">
            <v>Spread Yield (DxS)</v>
          </cell>
          <cell r="F1524" t="str">
            <v>SP-Corporate HY USD</v>
          </cell>
          <cell r="G1524" t="str">
            <v>SP-Spread Corporate</v>
          </cell>
          <cell r="H1524" t="str">
            <v>SPREADS</v>
          </cell>
          <cell r="I1524" t="str">
            <v>Corporate HY USD - Industry</v>
          </cell>
        </row>
        <row r="1525">
          <cell r="A1525" t="str">
            <v>USD_EM_CORP_SA_MAT2</v>
          </cell>
          <cell r="B1525" t="str">
            <v>EM Corp LA Mat 2</v>
          </cell>
          <cell r="C1525" t="str">
            <v>BRS_GOLD__5_SPREADS:USD_EM_DS,EM_IDIO,US_CDX_EM,EM_CORP_EE,EM_CORP_MIDAF,EM_CORP_SA:EM_CORP-NUSD_EM,EM_CORP_EE,EM_CORP_MIDAF,EM_CORP_SA:EM_CORP_SA:EM_CORP_SA_MATURITY:USD_EM_CORP_SA_MAT2</v>
          </cell>
          <cell r="D1525" t="str">
            <v>Spread Duration</v>
          </cell>
          <cell r="E1525" t="str">
            <v>Spread Yield (DxS)</v>
          </cell>
          <cell r="F1525" t="str">
            <v>SP-Corporate HY USD</v>
          </cell>
          <cell r="G1525" t="str">
            <v>SP-Spread Corporate</v>
          </cell>
          <cell r="H1525" t="str">
            <v>SPREADS</v>
          </cell>
          <cell r="I1525" t="str">
            <v>Corporate HY USD - Maturity</v>
          </cell>
        </row>
        <row r="1526">
          <cell r="A1526" t="str">
            <v>USD_EM_CORP_SA_MAT10</v>
          </cell>
          <cell r="B1526" t="str">
            <v>EM Corp LA Mat 10</v>
          </cell>
          <cell r="C1526" t="str">
            <v>BRS_GOLD__5_SPREADS:USD_EM_DS,EM_IDIO,US_CDX_EM,EM_CORP_EE,EM_CORP_MIDAF,EM_CORP_SA:EM_CORP-NUSD_EM,EM_CORP_EE,EM_CORP_MIDAF,EM_CORP_SA:EM_CORP_SA:EM_CORP_SA_MATURITY:USD_EM_CORP_SA_MAT10</v>
          </cell>
          <cell r="D1526" t="str">
            <v>Spread Duration</v>
          </cell>
          <cell r="E1526" t="str">
            <v>Spread Yield (DxS)</v>
          </cell>
          <cell r="F1526" t="str">
            <v>SP-Corporate HY USD</v>
          </cell>
          <cell r="G1526" t="str">
            <v>SP-Spread Corporate</v>
          </cell>
          <cell r="H1526" t="str">
            <v>SPREADS</v>
          </cell>
          <cell r="I1526" t="str">
            <v>Corporate HY USD - Maturity</v>
          </cell>
        </row>
        <row r="1527">
          <cell r="A1527" t="str">
            <v>CNY_POLICY_2yN</v>
          </cell>
          <cell r="B1527" t="str">
            <v>CNY Policy 2Y</v>
          </cell>
          <cell r="C1527" t="str">
            <v>BRS_GOLD__5_SPREADS:NUSD_EM,NUSD_EM_CORP_EE,NUSD_EM_CORP_MIDAF,NUSD_EM_CORP_SA,NUSD_EM_GOVT:NUSD_EM_GOVT:EM_GOVT_CHINA:FA_CNY_POLICY:CNY_POLICY_2yN</v>
          </cell>
          <cell r="D1527" t="str">
            <v>Spread Duration</v>
          </cell>
          <cell r="E1527" t="str">
            <v>Other Spread Yield</v>
          </cell>
          <cell r="F1527" t="str">
            <v>SP-Spread Emerging Markets - Country</v>
          </cell>
          <cell r="G1527" t="str">
            <v>SP-Spread Emerging Markets</v>
          </cell>
          <cell r="H1527" t="str">
            <v>SPREADS</v>
          </cell>
          <cell r="I1527" t="str">
            <v>Spread Emerging Markets - Country</v>
          </cell>
        </row>
        <row r="1528">
          <cell r="A1528" t="str">
            <v>CNY_POLICY_5yN</v>
          </cell>
          <cell r="B1528" t="str">
            <v>CNY Policy 5Y</v>
          </cell>
          <cell r="C1528" t="str">
            <v>BRS_GOLD__5_SPREADS:NUSD_EM,NUSD_EM_CORP_EE,NUSD_EM_CORP_MIDAF,NUSD_EM_CORP_SA,NUSD_EM_GOVT:NUSD_EM_GOVT:EM_GOVT_CHINA:FA_CNY_POLICY:CNY_POLICY_5yN</v>
          </cell>
          <cell r="D1528" t="str">
            <v>Spread Duration</v>
          </cell>
          <cell r="E1528" t="str">
            <v>Other Spread Yield</v>
          </cell>
          <cell r="F1528" t="str">
            <v>SP-Spread Emerging Markets - Country</v>
          </cell>
          <cell r="G1528" t="str">
            <v>SP-Spread Emerging Markets</v>
          </cell>
          <cell r="H1528" t="str">
            <v>SPREADS</v>
          </cell>
          <cell r="I1528" t="str">
            <v>Spread Emerging Markets - Country</v>
          </cell>
        </row>
        <row r="1529">
          <cell r="A1529" t="str">
            <v>CNY_POLICY_10yN</v>
          </cell>
          <cell r="B1529" t="str">
            <v>CNY Policy 10Y</v>
          </cell>
          <cell r="C1529" t="str">
            <v>BRS_GOLD__5_SPREADS:NUSD_EM,NUSD_EM_CORP_EE,NUSD_EM_CORP_MIDAF,NUSD_EM_CORP_SA,NUSD_EM_GOVT:NUSD_EM_GOVT:EM_GOVT_CHINA:FA_CNY_POLICY:CNY_POLICY_10yN</v>
          </cell>
          <cell r="D1529" t="str">
            <v>Spread Duration</v>
          </cell>
          <cell r="E1529" t="str">
            <v>Other Spread Yield</v>
          </cell>
          <cell r="F1529" t="str">
            <v>SP-Spread Emerging Markets - Country</v>
          </cell>
          <cell r="G1529" t="str">
            <v>SP-Spread Emerging Markets</v>
          </cell>
          <cell r="H1529" t="str">
            <v>SPREADS</v>
          </cell>
          <cell r="I1529" t="str">
            <v>Spread Emerging Markets - Country</v>
          </cell>
        </row>
        <row r="1530">
          <cell r="A1530" t="str">
            <v>CNY_POLICY_30yN</v>
          </cell>
          <cell r="B1530" t="str">
            <v>CNY Policy 30Y</v>
          </cell>
          <cell r="C1530" t="str">
            <v>BRS_GOLD__5_SPREADS:NUSD_EM,NUSD_EM_CORP_EE,NUSD_EM_CORP_MIDAF,NUSD_EM_CORP_SA,NUSD_EM_GOVT:NUSD_EM_GOVT:EM_GOVT_CHINA:FA_CNY_POLICY:CNY_POLICY_30yN</v>
          </cell>
          <cell r="D1530" t="str">
            <v>Spread Duration</v>
          </cell>
          <cell r="E1530" t="str">
            <v>Other Spread Yield</v>
          </cell>
          <cell r="F1530" t="str">
            <v>SP-Spread Emerging Markets - Country</v>
          </cell>
          <cell r="G1530" t="str">
            <v>SP-Spread Emerging Markets</v>
          </cell>
          <cell r="H1530" t="str">
            <v>SPREADS</v>
          </cell>
          <cell r="I1530" t="str">
            <v>Spread Emerging Markets - Country</v>
          </cell>
        </row>
        <row r="1531">
          <cell r="A1531" t="str">
            <v>ALL_EM_DS_AF</v>
          </cell>
          <cell r="B1531" t="str">
            <v>Non$ Emerg Mkt Africa</v>
          </cell>
          <cell r="C1531" t="str">
            <v>BRS_GOLD__5_SPREADS:NUSD_EM,NUSD_EM_CORP_EE,NUSD_EM_CORP_MIDAF,NUSD_EM_CORP_SA,NUSD_EM_GOVT:EM_SOV-USD_EM:ALL_EM_DS_AFRICA:ALL_EM_DS_AF</v>
          </cell>
          <cell r="D1531" t="str">
            <v>Spread Duration</v>
          </cell>
          <cell r="E1531" t="str">
            <v>Spread Yield (DxS)</v>
          </cell>
          <cell r="F1531" t="str">
            <v>SP-Spread Emerging Markets - Country</v>
          </cell>
          <cell r="G1531" t="str">
            <v>SP-Spread Emerging Markets</v>
          </cell>
          <cell r="H1531" t="str">
            <v>SPREADS</v>
          </cell>
          <cell r="I1531" t="str">
            <v>Spread Emerging Markets - Country</v>
          </cell>
        </row>
        <row r="1532">
          <cell r="A1532" t="str">
            <v>ALL_EM_DS_ALGERIA</v>
          </cell>
          <cell r="B1532" t="str">
            <v>Non$ Algeria</v>
          </cell>
          <cell r="C1532" t="str">
            <v>BRS_GOLD__5_SPREADS:NUSD_EM,NUSD_EM_CORP_EE,NUSD_EM_CORP_MIDAF,NUSD_EM_CORP_SA,NUSD_EM_GOVT:EM_SOV-USD_EM:ALL_EM_DS_AFRICA:ALL_EM_DS_ALGERIA</v>
          </cell>
          <cell r="D1532" t="str">
            <v>Spread Duration</v>
          </cell>
          <cell r="E1532" t="str">
            <v>Spread Yield (DxS)</v>
          </cell>
          <cell r="F1532" t="str">
            <v>SP-Spread Emerging Markets - Country</v>
          </cell>
          <cell r="G1532" t="str">
            <v>SP-Spread Emerging Markets</v>
          </cell>
          <cell r="H1532" t="str">
            <v>SPREADS</v>
          </cell>
          <cell r="I1532" t="str">
            <v>Spread Emerging Markets - Country</v>
          </cell>
        </row>
        <row r="1533">
          <cell r="A1533" t="str">
            <v>ALL_EM_DS_ANGOLA</v>
          </cell>
          <cell r="B1533" t="str">
            <v>Non$ Angola</v>
          </cell>
          <cell r="C1533" t="str">
            <v>BRS_GOLD__5_SPREADS:NUSD_EM,NUSD_EM_CORP_EE,NUSD_EM_CORP_MIDAF,NUSD_EM_CORP_SA,NUSD_EM_GOVT:EM_SOV-USD_EM:ALL_EM_DS_AFRICA:ALL_EM_DS_ANGOLA</v>
          </cell>
          <cell r="D1533" t="str">
            <v>Spread Duration</v>
          </cell>
          <cell r="E1533" t="str">
            <v>Spread Yield (DxS)</v>
          </cell>
          <cell r="F1533" t="str">
            <v>SP-Spread Emerging Markets - Country</v>
          </cell>
          <cell r="G1533" t="str">
            <v>SP-Spread Emerging Markets</v>
          </cell>
          <cell r="H1533" t="str">
            <v>SPREADS</v>
          </cell>
          <cell r="I1533" t="str">
            <v>Spread Emerging Markets - Country</v>
          </cell>
        </row>
        <row r="1534">
          <cell r="A1534" t="str">
            <v>ALL_EM_DS_CAMEROON</v>
          </cell>
          <cell r="B1534" t="str">
            <v>Non$ Cameroon</v>
          </cell>
          <cell r="C1534" t="str">
            <v>BRS_GOLD__5_SPREADS:NUSD_EM,NUSD_EM_CORP_EE,NUSD_EM_CORP_MIDAF,NUSD_EM_CORP_SA,NUSD_EM_GOVT:EM_SOV-USD_EM:ALL_EM_DS_AFRICA:ALL_EM_DS_CAMEROON</v>
          </cell>
          <cell r="D1534" t="str">
            <v>Spread Duration</v>
          </cell>
          <cell r="E1534" t="str">
            <v>Spread Yield (DxS)</v>
          </cell>
          <cell r="F1534" t="str">
            <v>SP-Spread Emerging Markets - Country</v>
          </cell>
          <cell r="G1534" t="str">
            <v>SP-Spread Emerging Markets</v>
          </cell>
          <cell r="H1534" t="str">
            <v>SPREADS</v>
          </cell>
          <cell r="I1534" t="str">
            <v>Spread Emerging Markets - Country</v>
          </cell>
        </row>
        <row r="1535">
          <cell r="A1535" t="str">
            <v>ALL_EM_DS_ETHIOPIA</v>
          </cell>
          <cell r="B1535" t="str">
            <v>Non$ Ethiopia</v>
          </cell>
          <cell r="C1535" t="str">
            <v>BRS_GOLD__5_SPREADS:NUSD_EM,NUSD_EM_CORP_EE,NUSD_EM_CORP_MIDAF,NUSD_EM_CORP_SA,NUSD_EM_GOVT:EM_SOV-USD_EM:ALL_EM_DS_AFRICA:ALL_EM_DS_ETHIOPIA</v>
          </cell>
          <cell r="D1535" t="str">
            <v>Spread Duration</v>
          </cell>
          <cell r="E1535" t="str">
            <v>Spread Yield (DxS)</v>
          </cell>
          <cell r="F1535" t="str">
            <v>SP-Spread Emerging Markets - Country</v>
          </cell>
          <cell r="G1535" t="str">
            <v>SP-Spread Emerging Markets</v>
          </cell>
          <cell r="H1535" t="str">
            <v>SPREADS</v>
          </cell>
          <cell r="I1535" t="str">
            <v>Spread Emerging Markets - Country</v>
          </cell>
        </row>
        <row r="1536">
          <cell r="A1536" t="str">
            <v>ALL_EM_DS_GABON</v>
          </cell>
          <cell r="B1536" t="str">
            <v>Non$ Gabon</v>
          </cell>
          <cell r="C1536" t="str">
            <v>BRS_GOLD__5_SPREADS:NUSD_EM,NUSD_EM_CORP_EE,NUSD_EM_CORP_MIDAF,NUSD_EM_CORP_SA,NUSD_EM_GOVT:EM_SOV-USD_EM:ALL_EM_DS_AFRICA:ALL_EM_DS_GABON</v>
          </cell>
          <cell r="D1536" t="str">
            <v>Spread Duration</v>
          </cell>
          <cell r="E1536" t="str">
            <v>Spread Yield (DxS)</v>
          </cell>
          <cell r="F1536" t="str">
            <v>SP-Spread Emerging Markets - Country</v>
          </cell>
          <cell r="G1536" t="str">
            <v>SP-Spread Emerging Markets</v>
          </cell>
          <cell r="H1536" t="str">
            <v>SPREADS</v>
          </cell>
          <cell r="I1536" t="str">
            <v>Spread Emerging Markets - Country</v>
          </cell>
        </row>
        <row r="1537">
          <cell r="A1537" t="str">
            <v>ALL_EM_DS_GHANA</v>
          </cell>
          <cell r="B1537" t="str">
            <v>Non$ Ghana</v>
          </cell>
          <cell r="C1537" t="str">
            <v>BRS_GOLD__5_SPREADS:NUSD_EM,NUSD_EM_CORP_EE,NUSD_EM_CORP_MIDAF,NUSD_EM_CORP_SA,NUSD_EM_GOVT:EM_SOV-USD_EM:ALL_EM_DS_AFRICA:ALL_EM_DS_GHANA</v>
          </cell>
          <cell r="D1537" t="str">
            <v>Spread Duration</v>
          </cell>
          <cell r="E1537" t="str">
            <v>Spread Yield (DxS)</v>
          </cell>
          <cell r="F1537" t="str">
            <v>SP-Spread Emerging Markets - Country</v>
          </cell>
          <cell r="G1537" t="str">
            <v>SP-Spread Emerging Markets</v>
          </cell>
          <cell r="H1537" t="str">
            <v>SPREADS</v>
          </cell>
          <cell r="I1537" t="str">
            <v>Spread Emerging Markets - Country</v>
          </cell>
        </row>
        <row r="1538">
          <cell r="A1538" t="str">
            <v>ALL_EM_DS_IVOIRE</v>
          </cell>
          <cell r="B1538" t="str">
            <v>Non$ Cote d'Ivoire</v>
          </cell>
          <cell r="C1538" t="str">
            <v>BRS_GOLD__5_SPREADS:NUSD_EM,NUSD_EM_CORP_EE,NUSD_EM_CORP_MIDAF,NUSD_EM_CORP_SA,NUSD_EM_GOVT:EM_SOV-USD_EM:ALL_EM_DS_AFRICA:ALL_EM_DS_IVOIRE</v>
          </cell>
          <cell r="D1538" t="str">
            <v>Spread Duration</v>
          </cell>
          <cell r="E1538" t="str">
            <v>Spread Yield (DxS)</v>
          </cell>
          <cell r="F1538" t="str">
            <v>SP-Spread Emerging Markets - Country</v>
          </cell>
          <cell r="G1538" t="str">
            <v>SP-Spread Emerging Markets</v>
          </cell>
          <cell r="H1538" t="str">
            <v>SPREADS</v>
          </cell>
          <cell r="I1538" t="str">
            <v>Spread Emerging Markets - Country</v>
          </cell>
        </row>
        <row r="1539">
          <cell r="A1539" t="str">
            <v>ALL_EM_DS_KENYA</v>
          </cell>
          <cell r="B1539" t="str">
            <v>Non$ Kenya</v>
          </cell>
          <cell r="C1539" t="str">
            <v>BRS_GOLD__5_SPREADS:NUSD_EM,NUSD_EM_CORP_EE,NUSD_EM_CORP_MIDAF,NUSD_EM_CORP_SA,NUSD_EM_GOVT:EM_SOV-USD_EM:ALL_EM_DS_AFRICA:ALL_EM_DS_KENYA</v>
          </cell>
          <cell r="D1539" t="str">
            <v>Spread Duration</v>
          </cell>
          <cell r="E1539" t="str">
            <v>Spread Yield (DxS)</v>
          </cell>
          <cell r="F1539" t="str">
            <v>SP-Spread Emerging Markets - Country</v>
          </cell>
          <cell r="G1539" t="str">
            <v>SP-Spread Emerging Markets</v>
          </cell>
          <cell r="H1539" t="str">
            <v>SPREADS</v>
          </cell>
          <cell r="I1539" t="str">
            <v>Spread Emerging Markets - Country</v>
          </cell>
        </row>
        <row r="1540">
          <cell r="A1540" t="str">
            <v>ALL_EM_DS_MOROCCO</v>
          </cell>
          <cell r="B1540" t="str">
            <v>Non$ Morocco</v>
          </cell>
          <cell r="C1540" t="str">
            <v>BRS_GOLD__5_SPREADS:NUSD_EM,NUSD_EM_CORP_EE,NUSD_EM_CORP_MIDAF,NUSD_EM_CORP_SA,NUSD_EM_GOVT:EM_SOV-USD_EM:ALL_EM_DS_AFRICA:ALL_EM_DS_MOROCCO</v>
          </cell>
          <cell r="D1540" t="str">
            <v>Spread Duration</v>
          </cell>
          <cell r="E1540" t="str">
            <v>Spread Yield (DxS)</v>
          </cell>
          <cell r="F1540" t="str">
            <v>SP-Spread Emerging Markets - Country</v>
          </cell>
          <cell r="G1540" t="str">
            <v>SP-Spread Emerging Markets</v>
          </cell>
          <cell r="H1540" t="str">
            <v>SPREADS</v>
          </cell>
          <cell r="I1540" t="str">
            <v>Spread Emerging Markets - Country</v>
          </cell>
        </row>
        <row r="1541">
          <cell r="A1541" t="str">
            <v>ALL_EM_DS_MOZAMBIQUE</v>
          </cell>
          <cell r="B1541" t="str">
            <v>Non$ Mozambique</v>
          </cell>
          <cell r="C1541" t="str">
            <v>BRS_GOLD__5_SPREADS:NUSD_EM,NUSD_EM_CORP_EE,NUSD_EM_CORP_MIDAF,NUSD_EM_CORP_SA,NUSD_EM_GOVT:EM_SOV-USD_EM:ALL_EM_DS_AFRICA:ALL_EM_DS_MOZAMBIQUE</v>
          </cell>
          <cell r="D1541" t="str">
            <v>Spread Duration</v>
          </cell>
          <cell r="E1541" t="str">
            <v>Spread Yield (DxS)</v>
          </cell>
          <cell r="F1541" t="str">
            <v>SP-Spread Emerging Markets - Country</v>
          </cell>
          <cell r="G1541" t="str">
            <v>SP-Spread Emerging Markets</v>
          </cell>
          <cell r="H1541" t="str">
            <v>SPREADS</v>
          </cell>
          <cell r="I1541" t="str">
            <v>Spread Emerging Markets - Country</v>
          </cell>
        </row>
        <row r="1542">
          <cell r="A1542" t="str">
            <v>ALL_EM_DS_NAMIBIA</v>
          </cell>
          <cell r="B1542" t="str">
            <v>Non$ Namibia</v>
          </cell>
          <cell r="C1542" t="str">
            <v>BRS_GOLD__5_SPREADS:NUSD_EM,NUSD_EM_CORP_EE,NUSD_EM_CORP_MIDAF,NUSD_EM_CORP_SA,NUSD_EM_GOVT:EM_SOV-USD_EM:ALL_EM_DS_AFRICA:ALL_EM_DS_NAMIBIA</v>
          </cell>
          <cell r="D1542" t="str">
            <v>Spread Duration</v>
          </cell>
          <cell r="E1542" t="str">
            <v>Spread Yield (DxS)</v>
          </cell>
          <cell r="F1542" t="str">
            <v>SP-Spread Emerging Markets - Country</v>
          </cell>
          <cell r="G1542" t="str">
            <v>SP-Spread Emerging Markets</v>
          </cell>
          <cell r="H1542" t="str">
            <v>SPREADS</v>
          </cell>
          <cell r="I1542" t="str">
            <v>Spread Emerging Markets - Country</v>
          </cell>
        </row>
        <row r="1543">
          <cell r="A1543" t="str">
            <v>ALL_EM_DS_NIGERIA</v>
          </cell>
          <cell r="B1543" t="str">
            <v>Non$ Nigeria</v>
          </cell>
          <cell r="C1543" t="str">
            <v>BRS_GOLD__5_SPREADS:NUSD_EM,NUSD_EM_CORP_EE,NUSD_EM_CORP_MIDAF,NUSD_EM_CORP_SA,NUSD_EM_GOVT:EM_SOV-USD_EM:ALL_EM_DS_AFRICA:ALL_EM_DS_NIGERIA</v>
          </cell>
          <cell r="D1543" t="str">
            <v>Spread Duration</v>
          </cell>
          <cell r="E1543" t="str">
            <v>Spread Yield (DxS)</v>
          </cell>
          <cell r="F1543" t="str">
            <v>SP-Spread Emerging Markets - Country</v>
          </cell>
          <cell r="G1543" t="str">
            <v>SP-Spread Emerging Markets</v>
          </cell>
          <cell r="H1543" t="str">
            <v>SPREADS</v>
          </cell>
          <cell r="I1543" t="str">
            <v>Spread Emerging Markets - Country</v>
          </cell>
        </row>
        <row r="1544">
          <cell r="A1544" t="str">
            <v>ALL_EM_DS_SAFRICA</v>
          </cell>
          <cell r="B1544" t="str">
            <v>Non$ South Africa</v>
          </cell>
          <cell r="C1544" t="str">
            <v>BRS_GOLD__5_SPREADS:NUSD_EM,NUSD_EM_CORP_EE,NUSD_EM_CORP_MIDAF,NUSD_EM_CORP_SA,NUSD_EM_GOVT:EM_SOV-USD_EM:ALL_EM_DS_AFRICA:ALL_EM_DS_SAFRICA</v>
          </cell>
          <cell r="D1544" t="str">
            <v>Spread Duration</v>
          </cell>
          <cell r="E1544" t="str">
            <v>Spread Yield (DxS)</v>
          </cell>
          <cell r="F1544" t="str">
            <v>SP-Spread Emerging Markets - Country</v>
          </cell>
          <cell r="G1544" t="str">
            <v>SP-Spread Emerging Markets</v>
          </cell>
          <cell r="H1544" t="str">
            <v>SPREADS</v>
          </cell>
          <cell r="I1544" t="str">
            <v>Spread Emerging Markets - Country</v>
          </cell>
        </row>
        <row r="1545">
          <cell r="A1545" t="str">
            <v>ALL_EM_DS_SENEGAL</v>
          </cell>
          <cell r="B1545" t="str">
            <v>Non$ Senegal</v>
          </cell>
          <cell r="C1545" t="str">
            <v>BRS_GOLD__5_SPREADS:NUSD_EM,NUSD_EM_CORP_EE,NUSD_EM_CORP_MIDAF,NUSD_EM_CORP_SA,NUSD_EM_GOVT:EM_SOV-USD_EM:ALL_EM_DS_AFRICA:ALL_EM_DS_SENEGAL</v>
          </cell>
          <cell r="D1545" t="str">
            <v>Spread Duration</v>
          </cell>
          <cell r="E1545" t="str">
            <v>Spread Yield (DxS)</v>
          </cell>
          <cell r="F1545" t="str">
            <v>SP-Spread Emerging Markets - Country</v>
          </cell>
          <cell r="G1545" t="str">
            <v>SP-Spread Emerging Markets</v>
          </cell>
          <cell r="H1545" t="str">
            <v>SPREADS</v>
          </cell>
          <cell r="I1545" t="str">
            <v>Spread Emerging Markets - Country</v>
          </cell>
        </row>
        <row r="1546">
          <cell r="A1546" t="str">
            <v>ALL_EM_DS_TUNISIA</v>
          </cell>
          <cell r="B1546" t="str">
            <v>Non$ Tunisia</v>
          </cell>
          <cell r="C1546" t="str">
            <v>BRS_GOLD__5_SPREADS:NUSD_EM,NUSD_EM_CORP_EE,NUSD_EM_CORP_MIDAF,NUSD_EM_CORP_SA,NUSD_EM_GOVT:EM_SOV-USD_EM:ALL_EM_DS_AFRICA:ALL_EM_DS_TUNISIA</v>
          </cell>
          <cell r="D1546" t="str">
            <v>Spread Duration</v>
          </cell>
          <cell r="E1546" t="str">
            <v>Spread Yield (DxS)</v>
          </cell>
          <cell r="F1546" t="str">
            <v>SP-Spread Emerging Markets - Country</v>
          </cell>
          <cell r="G1546" t="str">
            <v>SP-Spread Emerging Markets</v>
          </cell>
          <cell r="H1546" t="str">
            <v>SPREADS</v>
          </cell>
          <cell r="I1546" t="str">
            <v>Spread Emerging Markets - Country</v>
          </cell>
        </row>
        <row r="1547">
          <cell r="A1547" t="str">
            <v>ALL_EM_DS_ZAMBIA</v>
          </cell>
          <cell r="B1547" t="str">
            <v>Non$ Zambia</v>
          </cell>
          <cell r="C1547" t="str">
            <v>BRS_GOLD__5_SPREADS:NUSD_EM,NUSD_EM_CORP_EE,NUSD_EM_CORP_MIDAF,NUSD_EM_CORP_SA,NUSD_EM_GOVT:EM_SOV-USD_EM:ALL_EM_DS_AFRICA:ALL_EM_DS_ZAMBIA</v>
          </cell>
          <cell r="D1547" t="str">
            <v>Spread Duration</v>
          </cell>
          <cell r="E1547" t="str">
            <v>Spread Yield (DxS)</v>
          </cell>
          <cell r="F1547" t="str">
            <v>SP-Spread Emerging Markets - Country</v>
          </cell>
          <cell r="G1547" t="str">
            <v>SP-Spread Emerging Markets</v>
          </cell>
          <cell r="H1547" t="str">
            <v>SPREADS</v>
          </cell>
          <cell r="I1547" t="str">
            <v>Spread Emerging Markets - Country</v>
          </cell>
        </row>
        <row r="1548">
          <cell r="A1548" t="str">
            <v>ALL_EM_DS_EE</v>
          </cell>
          <cell r="B1548" t="str">
            <v>Non$ Emerg Mkt E Europe</v>
          </cell>
          <cell r="C1548" t="str">
            <v>BRS_GOLD__5_SPREADS:NUSD_EM,NUSD_EM_CORP_EE,NUSD_EM_CORP_MIDAF,NUSD_EM_CORP_SA,NUSD_EM_GOVT:EM_SOV-USD_EM:ALL_EM_DS_EUROPE:ALL_EM_DS_EE</v>
          </cell>
          <cell r="D1548" t="str">
            <v>Spread Duration</v>
          </cell>
          <cell r="E1548" t="str">
            <v>Spread Yield (DxS)</v>
          </cell>
          <cell r="F1548" t="str">
            <v>SP-Spread Emerging Markets - Country</v>
          </cell>
          <cell r="G1548" t="str">
            <v>SP-Spread Emerging Markets</v>
          </cell>
          <cell r="H1548" t="str">
            <v>SPREADS</v>
          </cell>
          <cell r="I1548" t="str">
            <v>Spread Emerging Markets - Country</v>
          </cell>
        </row>
        <row r="1549">
          <cell r="A1549" t="str">
            <v>ALL_EM_DS_BELARUS</v>
          </cell>
          <cell r="B1549" t="str">
            <v>Non$ Belarus</v>
          </cell>
          <cell r="C1549" t="str">
            <v>BRS_GOLD__5_SPREADS:NUSD_EM,NUSD_EM_CORP_EE,NUSD_EM_CORP_MIDAF,NUSD_EM_CORP_SA,NUSD_EM_GOVT:EM_SOV-USD_EM:ALL_EM_DS_EUROPE:ALL_EM_DS_BELARUS</v>
          </cell>
          <cell r="D1549" t="str">
            <v>Spread Duration</v>
          </cell>
          <cell r="E1549" t="str">
            <v>Spread Yield (DxS)</v>
          </cell>
          <cell r="F1549" t="str">
            <v>SP-Spread Emerging Markets - Country</v>
          </cell>
          <cell r="G1549" t="str">
            <v>SP-Spread Emerging Markets</v>
          </cell>
          <cell r="H1549" t="str">
            <v>SPREADS</v>
          </cell>
          <cell r="I1549" t="str">
            <v>Spread Emerging Markets - Country</v>
          </cell>
        </row>
        <row r="1550">
          <cell r="A1550" t="str">
            <v>ALL_EM_DS_BULGARIA</v>
          </cell>
          <cell r="B1550" t="str">
            <v>Non$ Bulgaria</v>
          </cell>
          <cell r="C1550" t="str">
            <v>BRS_GOLD__5_SPREADS:NUSD_EM,NUSD_EM_CORP_EE,NUSD_EM_CORP_MIDAF,NUSD_EM_CORP_SA,NUSD_EM_GOVT:EM_SOV-USD_EM:ALL_EM_DS_EUROPE:ALL_EM_DS_BULGARIA</v>
          </cell>
          <cell r="D1550" t="str">
            <v>Spread Duration</v>
          </cell>
          <cell r="E1550" t="str">
            <v>Spread Yield (DxS)</v>
          </cell>
          <cell r="F1550" t="str">
            <v>SP-Spread Emerging Markets - Country</v>
          </cell>
          <cell r="G1550" t="str">
            <v>SP-Spread Emerging Markets</v>
          </cell>
          <cell r="H1550" t="str">
            <v>SPREADS</v>
          </cell>
          <cell r="I1550" t="str">
            <v>Spread Emerging Markets - Country</v>
          </cell>
        </row>
        <row r="1551">
          <cell r="A1551" t="str">
            <v>ALL_EM_DS_CROATIA</v>
          </cell>
          <cell r="B1551" t="str">
            <v>Non$ Croatia</v>
          </cell>
          <cell r="C1551" t="str">
            <v>BRS_GOLD__5_SPREADS:NUSD_EM,NUSD_EM_CORP_EE,NUSD_EM_CORP_MIDAF,NUSD_EM_CORP_SA,NUSD_EM_GOVT:EM_SOV-USD_EM:ALL_EM_DS_EUROPE:ALL_EM_DS_CROATIA</v>
          </cell>
          <cell r="D1551" t="str">
            <v>Spread Duration</v>
          </cell>
          <cell r="E1551" t="str">
            <v>Spread Yield (DxS)</v>
          </cell>
          <cell r="F1551" t="str">
            <v>SP-Spread Emerging Markets - Country</v>
          </cell>
          <cell r="G1551" t="str">
            <v>SP-Spread Emerging Markets</v>
          </cell>
          <cell r="H1551" t="str">
            <v>SPREADS</v>
          </cell>
          <cell r="I1551" t="str">
            <v>Spread Emerging Markets - Country</v>
          </cell>
        </row>
        <row r="1552">
          <cell r="A1552" t="str">
            <v>ALL_EM_DS_GEORGIA</v>
          </cell>
          <cell r="B1552" t="str">
            <v>Non$ Georgia</v>
          </cell>
          <cell r="C1552" t="str">
            <v>BRS_GOLD__5_SPREADS:NUSD_EM,NUSD_EM_CORP_EE,NUSD_EM_CORP_MIDAF,NUSD_EM_CORP_SA,NUSD_EM_GOVT:EM_SOV-USD_EM:ALL_EM_DS_EUROPE:ALL_EM_DS_GEORGIA</v>
          </cell>
          <cell r="D1552" t="str">
            <v>Spread Duration</v>
          </cell>
          <cell r="E1552" t="str">
            <v>Spread Yield (DxS)</v>
          </cell>
          <cell r="F1552" t="str">
            <v>SP-Spread Emerging Markets - Country</v>
          </cell>
          <cell r="G1552" t="str">
            <v>SP-Spread Emerging Markets</v>
          </cell>
          <cell r="H1552" t="str">
            <v>SPREADS</v>
          </cell>
          <cell r="I1552" t="str">
            <v>Spread Emerging Markets - Country</v>
          </cell>
        </row>
        <row r="1553">
          <cell r="A1553" t="str">
            <v>ALL_EM_DS_HUNGARY</v>
          </cell>
          <cell r="B1553" t="str">
            <v>Non$ Hungary</v>
          </cell>
          <cell r="C1553" t="str">
            <v>BRS_GOLD__5_SPREADS:NUSD_EM,NUSD_EM_CORP_EE,NUSD_EM_CORP_MIDAF,NUSD_EM_CORP_SA,NUSD_EM_GOVT:EM_SOV-USD_EM:ALL_EM_DS_EUROPE:ALL_EM_DS_HUNGARY</v>
          </cell>
          <cell r="D1553" t="str">
            <v>Spread Duration</v>
          </cell>
          <cell r="E1553" t="str">
            <v>Spread Yield (DxS)</v>
          </cell>
          <cell r="F1553" t="str">
            <v>SP-Spread Emerging Markets - Country</v>
          </cell>
          <cell r="G1553" t="str">
            <v>SP-Spread Emerging Markets</v>
          </cell>
          <cell r="H1553" t="str">
            <v>SPREADS</v>
          </cell>
          <cell r="I1553" t="str">
            <v>Spread Emerging Markets - Country</v>
          </cell>
        </row>
        <row r="1554">
          <cell r="A1554" t="str">
            <v>ALL_EM_DS_KAZAKHSTAN</v>
          </cell>
          <cell r="B1554" t="str">
            <v>Non$ Kazakhstan</v>
          </cell>
          <cell r="C1554" t="str">
            <v>BRS_GOLD__5_SPREADS:NUSD_EM,NUSD_EM_CORP_EE,NUSD_EM_CORP_MIDAF,NUSD_EM_CORP_SA,NUSD_EM_GOVT:EM_SOV-USD_EM:ALL_EM_DS_EUROPE:ALL_EM_DS_KAZAKHSTAN</v>
          </cell>
          <cell r="D1554" t="str">
            <v>Spread Duration</v>
          </cell>
          <cell r="E1554" t="str">
            <v>Spread Yield (DxS)</v>
          </cell>
          <cell r="F1554" t="str">
            <v>SP-Spread Emerging Markets - Country</v>
          </cell>
          <cell r="G1554" t="str">
            <v>SP-Spread Emerging Markets</v>
          </cell>
          <cell r="H1554" t="str">
            <v>SPREADS</v>
          </cell>
          <cell r="I1554" t="str">
            <v>Spread Emerging Markets - Country</v>
          </cell>
        </row>
        <row r="1555">
          <cell r="A1555" t="str">
            <v>ALL_EM_DS_LATVIA</v>
          </cell>
          <cell r="B1555" t="str">
            <v>Non$ Latvia</v>
          </cell>
          <cell r="C1555" t="str">
            <v>BRS_GOLD__5_SPREADS:NUSD_EM,NUSD_EM_CORP_EE,NUSD_EM_CORP_MIDAF,NUSD_EM_CORP_SA,NUSD_EM_GOVT:EM_SOV-USD_EM:ALL_EM_DS_EUROPE:ALL_EM_DS_LATVIA</v>
          </cell>
          <cell r="D1555" t="str">
            <v>Spread Duration</v>
          </cell>
          <cell r="E1555" t="str">
            <v>Spread Yield (DxS)</v>
          </cell>
          <cell r="F1555" t="str">
            <v>SP-Spread Emerging Markets - Country</v>
          </cell>
          <cell r="G1555" t="str">
            <v>SP-Spread Emerging Markets</v>
          </cell>
          <cell r="H1555" t="str">
            <v>SPREADS</v>
          </cell>
          <cell r="I1555" t="str">
            <v>Spread Emerging Markets - Country</v>
          </cell>
        </row>
        <row r="1556">
          <cell r="A1556" t="str">
            <v>ALL_EM_DS_LITHUANIA</v>
          </cell>
          <cell r="B1556" t="str">
            <v>Non$ Lithuania</v>
          </cell>
          <cell r="C1556" t="str">
            <v>BRS_GOLD__5_SPREADS:NUSD_EM,NUSD_EM_CORP_EE,NUSD_EM_CORP_MIDAF,NUSD_EM_CORP_SA,NUSD_EM_GOVT:EM_SOV-USD_EM:ALL_EM_DS_EUROPE:ALL_EM_DS_LITHUANIA</v>
          </cell>
          <cell r="D1556" t="str">
            <v>Spread Duration</v>
          </cell>
          <cell r="E1556" t="str">
            <v>Spread Yield (DxS)</v>
          </cell>
          <cell r="F1556" t="str">
            <v>SP-Spread Emerging Markets - Country</v>
          </cell>
          <cell r="G1556" t="str">
            <v>SP-Spread Emerging Markets</v>
          </cell>
          <cell r="H1556" t="str">
            <v>SPREADS</v>
          </cell>
          <cell r="I1556" t="str">
            <v>Spread Emerging Markets - Country</v>
          </cell>
        </row>
        <row r="1557">
          <cell r="A1557" t="str">
            <v>ALL_EM_DS_POLAND</v>
          </cell>
          <cell r="B1557" t="str">
            <v>Non$ Poland</v>
          </cell>
          <cell r="C1557" t="str">
            <v>BRS_GOLD__5_SPREADS:NUSD_EM,NUSD_EM_CORP_EE,NUSD_EM_CORP_MIDAF,NUSD_EM_CORP_SA,NUSD_EM_GOVT:EM_SOV-USD_EM:ALL_EM_DS_EUROPE:ALL_EM_DS_POLAND</v>
          </cell>
          <cell r="D1557" t="str">
            <v>Spread Duration</v>
          </cell>
          <cell r="E1557" t="str">
            <v>Spread Yield (DxS)</v>
          </cell>
          <cell r="F1557" t="str">
            <v>SP-Spread Emerging Markets - Country</v>
          </cell>
          <cell r="G1557" t="str">
            <v>SP-Spread Emerging Markets</v>
          </cell>
          <cell r="H1557" t="str">
            <v>SPREADS</v>
          </cell>
          <cell r="I1557" t="str">
            <v>Spread Emerging Markets - Country</v>
          </cell>
        </row>
        <row r="1558">
          <cell r="A1558" t="str">
            <v>ALL_EM_DS_ROMANIA</v>
          </cell>
          <cell r="B1558" t="str">
            <v>Non$ Romania</v>
          </cell>
          <cell r="C1558" t="str">
            <v>BRS_GOLD__5_SPREADS:NUSD_EM,NUSD_EM_CORP_EE,NUSD_EM_CORP_MIDAF,NUSD_EM_CORP_SA,NUSD_EM_GOVT:EM_SOV-USD_EM:ALL_EM_DS_EUROPE:ALL_EM_DS_ROMANIA</v>
          </cell>
          <cell r="D1558" t="str">
            <v>Spread Duration</v>
          </cell>
          <cell r="E1558" t="str">
            <v>Spread Yield (DxS)</v>
          </cell>
          <cell r="F1558" t="str">
            <v>SP-Spread Emerging Markets - Country</v>
          </cell>
          <cell r="G1558" t="str">
            <v>SP-Spread Emerging Markets</v>
          </cell>
          <cell r="H1558" t="str">
            <v>SPREADS</v>
          </cell>
          <cell r="I1558" t="str">
            <v>Spread Emerging Markets - Country</v>
          </cell>
        </row>
        <row r="1559">
          <cell r="A1559" t="str">
            <v>ALL_EM_DS_RUSSIA</v>
          </cell>
          <cell r="B1559" t="str">
            <v>Non$ Russia</v>
          </cell>
          <cell r="C1559" t="str">
            <v>BRS_GOLD__5_SPREADS:NUSD_EM,NUSD_EM_CORP_EE,NUSD_EM_CORP_MIDAF,NUSD_EM_CORP_SA,NUSD_EM_GOVT:EM_SOV-USD_EM:ALL_EM_DS_EUROPE:ALL_EM_DS_RUSSIA</v>
          </cell>
          <cell r="D1559" t="str">
            <v>Spread Duration</v>
          </cell>
          <cell r="E1559" t="str">
            <v>Spread Yield (DxS)</v>
          </cell>
          <cell r="F1559" t="str">
            <v>SP-Spread Emerging Markets - Country</v>
          </cell>
          <cell r="G1559" t="str">
            <v>SP-Spread Emerging Markets</v>
          </cell>
          <cell r="H1559" t="str">
            <v>SPREADS</v>
          </cell>
          <cell r="I1559" t="str">
            <v>Spread Emerging Markets - Country</v>
          </cell>
        </row>
        <row r="1560">
          <cell r="A1560" t="str">
            <v>ALL_EM_DS_SERBIA</v>
          </cell>
          <cell r="B1560" t="str">
            <v>Non$ Serbia</v>
          </cell>
          <cell r="C1560" t="str">
            <v>BRS_GOLD__5_SPREADS:NUSD_EM,NUSD_EM_CORP_EE,NUSD_EM_CORP_MIDAF,NUSD_EM_CORP_SA,NUSD_EM_GOVT:EM_SOV-USD_EM:ALL_EM_DS_EUROPE:ALL_EM_DS_SERBIA</v>
          </cell>
          <cell r="D1560" t="str">
            <v>Spread Duration</v>
          </cell>
          <cell r="E1560" t="str">
            <v>Spread Yield (DxS)</v>
          </cell>
          <cell r="F1560" t="str">
            <v>SP-Spread Emerging Markets - Country</v>
          </cell>
          <cell r="G1560" t="str">
            <v>SP-Spread Emerging Markets</v>
          </cell>
          <cell r="H1560" t="str">
            <v>SPREADS</v>
          </cell>
          <cell r="I1560" t="str">
            <v>Spread Emerging Markets - Country</v>
          </cell>
        </row>
        <row r="1561">
          <cell r="A1561" t="str">
            <v>ALL_EM_DS_SLOVAKIA</v>
          </cell>
          <cell r="B1561" t="str">
            <v>Non$ Slovakia</v>
          </cell>
          <cell r="C1561" t="str">
            <v>BRS_GOLD__5_SPREADS:NUSD_EM,NUSD_EM_CORP_EE,NUSD_EM_CORP_MIDAF,NUSD_EM_CORP_SA,NUSD_EM_GOVT:EM_SOV-USD_EM:ALL_EM_DS_EUROPE:ALL_EM_DS_SLOVAKIA</v>
          </cell>
          <cell r="D1561" t="str">
            <v>Spread Duration</v>
          </cell>
          <cell r="E1561" t="str">
            <v>Spread Yield (DxS)</v>
          </cell>
          <cell r="F1561" t="str">
            <v>SP-Spread Emerging Markets - Country</v>
          </cell>
          <cell r="G1561" t="str">
            <v>SP-Spread Emerging Markets</v>
          </cell>
          <cell r="H1561" t="str">
            <v>SPREADS</v>
          </cell>
          <cell r="I1561" t="str">
            <v>Spread Emerging Markets - Country</v>
          </cell>
        </row>
        <row r="1562">
          <cell r="A1562" t="str">
            <v>ALL_EM_DS_TURKEY</v>
          </cell>
          <cell r="B1562" t="str">
            <v>Non$ Turkey</v>
          </cell>
          <cell r="C1562" t="str">
            <v>BRS_GOLD__5_SPREADS:NUSD_EM,NUSD_EM_CORP_EE,NUSD_EM_CORP_MIDAF,NUSD_EM_CORP_SA,NUSD_EM_GOVT:EM_SOV-USD_EM:ALL_EM_DS_EUROPE:ALL_EM_DS_TURKEY</v>
          </cell>
          <cell r="D1562" t="str">
            <v>Spread Duration</v>
          </cell>
          <cell r="E1562" t="str">
            <v>Spread Yield (DxS)</v>
          </cell>
          <cell r="F1562" t="str">
            <v>SP-Spread Emerging Markets - Country</v>
          </cell>
          <cell r="G1562" t="str">
            <v>SP-Spread Emerging Markets</v>
          </cell>
          <cell r="H1562" t="str">
            <v>SPREADS</v>
          </cell>
          <cell r="I1562" t="str">
            <v>Spread Emerging Markets - Country</v>
          </cell>
        </row>
        <row r="1563">
          <cell r="A1563" t="str">
            <v>ALL_EM_DS_UKRAINE</v>
          </cell>
          <cell r="B1563" t="str">
            <v>Non$ Ukraine</v>
          </cell>
          <cell r="C1563" t="str">
            <v>BRS_GOLD__5_SPREADS:NUSD_EM,NUSD_EM_CORP_EE,NUSD_EM_CORP_MIDAF,NUSD_EM_CORP_SA,NUSD_EM_GOVT:EM_SOV-USD_EM:ALL_EM_DS_EUROPE:ALL_EM_DS_UKRAINE</v>
          </cell>
          <cell r="D1563" t="str">
            <v>Spread Duration</v>
          </cell>
          <cell r="E1563" t="str">
            <v>Spread Yield (DxS)</v>
          </cell>
          <cell r="F1563" t="str">
            <v>SP-Spread Emerging Markets - Country</v>
          </cell>
          <cell r="G1563" t="str">
            <v>SP-Spread Emerging Markets</v>
          </cell>
          <cell r="H1563" t="str">
            <v>SPREADS</v>
          </cell>
          <cell r="I1563" t="str">
            <v>Spread Emerging Markets - Country</v>
          </cell>
        </row>
        <row r="1564">
          <cell r="A1564" t="str">
            <v>ALL_EM_DS_ME</v>
          </cell>
          <cell r="B1564" t="str">
            <v>Non$ Emerg Mkt Mid East</v>
          </cell>
          <cell r="C1564" t="str">
            <v>BRS_GOLD__5_SPREADS:NUSD_EM,NUSD_EM_CORP_EE,NUSD_EM_CORP_MIDAF,NUSD_EM_CORP_SA,NUSD_EM_GOVT:EM_SOV-USD_EM:ALL_EM_DS_MIDEAST:ALL_EM_DS_ME</v>
          </cell>
          <cell r="D1564" t="str">
            <v>Spread Duration</v>
          </cell>
          <cell r="E1564" t="str">
            <v>Spread Yield (DxS)</v>
          </cell>
          <cell r="F1564" t="str">
            <v>SP-Spread Emerging Markets - Country</v>
          </cell>
          <cell r="G1564" t="str">
            <v>SP-Spread Emerging Markets</v>
          </cell>
          <cell r="H1564" t="str">
            <v>SPREADS</v>
          </cell>
          <cell r="I1564" t="str">
            <v>Spread Emerging Markets - Country</v>
          </cell>
        </row>
        <row r="1565">
          <cell r="A1565" t="str">
            <v>ALL_EM_DS_ARMENIA</v>
          </cell>
          <cell r="B1565" t="str">
            <v>Non$ Armenia</v>
          </cell>
          <cell r="C1565" t="str">
            <v>BRS_GOLD__5_SPREADS:NUSD_EM,NUSD_EM_CORP_EE,NUSD_EM_CORP_MIDAF,NUSD_EM_CORP_SA,NUSD_EM_GOVT:EM_SOV-USD_EM:ALL_EM_DS_MIDEAST:ALL_EM_DS_ARMENIA</v>
          </cell>
          <cell r="D1565" t="str">
            <v>Spread Duration</v>
          </cell>
          <cell r="E1565" t="str">
            <v>Spread Yield (DxS)</v>
          </cell>
          <cell r="F1565" t="str">
            <v>SP-Spread Emerging Markets - Country</v>
          </cell>
          <cell r="G1565" t="str">
            <v>SP-Spread Emerging Markets</v>
          </cell>
          <cell r="H1565" t="str">
            <v>SPREADS</v>
          </cell>
          <cell r="I1565" t="str">
            <v>Spread Emerging Markets - Country</v>
          </cell>
        </row>
        <row r="1566">
          <cell r="A1566" t="str">
            <v>ALL_EM_DS_AZERBAIJAN</v>
          </cell>
          <cell r="B1566" t="str">
            <v>Non$ Azerbaijan</v>
          </cell>
          <cell r="C1566" t="str">
            <v>BRS_GOLD__5_SPREADS:NUSD_EM,NUSD_EM_CORP_EE,NUSD_EM_CORP_MIDAF,NUSD_EM_CORP_SA,NUSD_EM_GOVT:EM_SOV-USD_EM:ALL_EM_DS_MIDEAST:ALL_EM_DS_AZERBAIJAN</v>
          </cell>
          <cell r="D1566" t="str">
            <v>Spread Duration</v>
          </cell>
          <cell r="E1566" t="str">
            <v>Spread Yield (DxS)</v>
          </cell>
          <cell r="F1566" t="str">
            <v>SP-Spread Emerging Markets - Country</v>
          </cell>
          <cell r="G1566" t="str">
            <v>SP-Spread Emerging Markets</v>
          </cell>
          <cell r="H1566" t="str">
            <v>SPREADS</v>
          </cell>
          <cell r="I1566" t="str">
            <v>Spread Emerging Markets - Country</v>
          </cell>
        </row>
        <row r="1567">
          <cell r="A1567" t="str">
            <v>ALL_EM_DS_BAHRAIN</v>
          </cell>
          <cell r="B1567" t="str">
            <v>Non$ Bahrain</v>
          </cell>
          <cell r="C1567" t="str">
            <v>BRS_GOLD__5_SPREADS:NUSD_EM,NUSD_EM_CORP_EE,NUSD_EM_CORP_MIDAF,NUSD_EM_CORP_SA,NUSD_EM_GOVT:EM_SOV-USD_EM:ALL_EM_DS_MIDEAST:ALL_EM_DS_BAHRAIN</v>
          </cell>
          <cell r="D1567" t="str">
            <v>Spread Duration</v>
          </cell>
          <cell r="E1567" t="str">
            <v>Spread Yield (DxS)</v>
          </cell>
          <cell r="F1567" t="str">
            <v>SP-Spread Emerging Markets - Country</v>
          </cell>
          <cell r="G1567" t="str">
            <v>SP-Spread Emerging Markets</v>
          </cell>
          <cell r="H1567" t="str">
            <v>SPREADS</v>
          </cell>
          <cell r="I1567" t="str">
            <v>Spread Emerging Markets - Country</v>
          </cell>
        </row>
        <row r="1568">
          <cell r="A1568" t="str">
            <v>ALL_EM_DS_EGYPT</v>
          </cell>
          <cell r="B1568" t="str">
            <v>Non$ Egypt</v>
          </cell>
          <cell r="C1568" t="str">
            <v>BRS_GOLD__5_SPREADS:NUSD_EM,NUSD_EM_CORP_EE,NUSD_EM_CORP_MIDAF,NUSD_EM_CORP_SA,NUSD_EM_GOVT:EM_SOV-USD_EM:ALL_EM_DS_MIDEAST:ALL_EM_DS_EGYPT</v>
          </cell>
          <cell r="D1568" t="str">
            <v>Spread Duration</v>
          </cell>
          <cell r="E1568" t="str">
            <v>Spread Yield (DxS)</v>
          </cell>
          <cell r="F1568" t="str">
            <v>SP-Spread Emerging Markets - Country</v>
          </cell>
          <cell r="G1568" t="str">
            <v>SP-Spread Emerging Markets</v>
          </cell>
          <cell r="H1568" t="str">
            <v>SPREADS</v>
          </cell>
          <cell r="I1568" t="str">
            <v>Spread Emerging Markets - Country</v>
          </cell>
        </row>
        <row r="1569">
          <cell r="A1569" t="str">
            <v>ALL_EM_DS_IRAQ</v>
          </cell>
          <cell r="B1569" t="str">
            <v>Non$ Iraq</v>
          </cell>
          <cell r="C1569" t="str">
            <v>BRS_GOLD__5_SPREADS:NUSD_EM,NUSD_EM_CORP_EE,NUSD_EM_CORP_MIDAF,NUSD_EM_CORP_SA,NUSD_EM_GOVT:EM_SOV-USD_EM:ALL_EM_DS_MIDEAST:ALL_EM_DS_IRAQ</v>
          </cell>
          <cell r="D1569" t="str">
            <v>Spread Duration</v>
          </cell>
          <cell r="E1569" t="str">
            <v>Spread Yield (DxS)</v>
          </cell>
          <cell r="F1569" t="str">
            <v>SP-Spread Emerging Markets - Country</v>
          </cell>
          <cell r="G1569" t="str">
            <v>SP-Spread Emerging Markets</v>
          </cell>
          <cell r="H1569" t="str">
            <v>SPREADS</v>
          </cell>
          <cell r="I1569" t="str">
            <v>Spread Emerging Markets - Country</v>
          </cell>
        </row>
        <row r="1570">
          <cell r="A1570" t="str">
            <v>ALL_EM_DS_JORDAN</v>
          </cell>
          <cell r="B1570" t="str">
            <v>Non$ Jordan</v>
          </cell>
          <cell r="C1570" t="str">
            <v>BRS_GOLD__5_SPREADS:NUSD_EM,NUSD_EM_CORP_EE,NUSD_EM_CORP_MIDAF,NUSD_EM_CORP_SA,NUSD_EM_GOVT:EM_SOV-USD_EM:ALL_EM_DS_MIDEAST:ALL_EM_DS_JORDAN</v>
          </cell>
          <cell r="D1570" t="str">
            <v>Spread Duration</v>
          </cell>
          <cell r="E1570" t="str">
            <v>Spread Yield (DxS)</v>
          </cell>
          <cell r="F1570" t="str">
            <v>SP-Spread Emerging Markets - Country</v>
          </cell>
          <cell r="G1570" t="str">
            <v>SP-Spread Emerging Markets</v>
          </cell>
          <cell r="H1570" t="str">
            <v>SPREADS</v>
          </cell>
          <cell r="I1570" t="str">
            <v>Spread Emerging Markets - Country</v>
          </cell>
        </row>
        <row r="1571">
          <cell r="A1571" t="str">
            <v>ALL_EM_DS_KUWAIT</v>
          </cell>
          <cell r="B1571" t="str">
            <v>Non$ Kuwait</v>
          </cell>
          <cell r="C1571" t="str">
            <v>BRS_GOLD__5_SPREADS:NUSD_EM,NUSD_EM_CORP_EE,NUSD_EM_CORP_MIDAF,NUSD_EM_CORP_SA,NUSD_EM_GOVT:EM_SOV-USD_EM:ALL_EM_DS_MIDEAST:ALL_EM_DS_KUWAIT</v>
          </cell>
          <cell r="D1571" t="str">
            <v>Spread Duration</v>
          </cell>
          <cell r="E1571" t="str">
            <v>Spread Yield (DxS)</v>
          </cell>
          <cell r="F1571" t="str">
            <v>SP-Spread Emerging Markets - Country</v>
          </cell>
          <cell r="G1571" t="str">
            <v>SP-Spread Emerging Markets</v>
          </cell>
          <cell r="H1571" t="str">
            <v>SPREADS</v>
          </cell>
          <cell r="I1571" t="str">
            <v>Spread Emerging Markets - Country</v>
          </cell>
        </row>
        <row r="1572">
          <cell r="A1572" t="str">
            <v>ALL_EM_DS_LEBANON</v>
          </cell>
          <cell r="B1572" t="str">
            <v>Non$ Lebanon</v>
          </cell>
          <cell r="C1572" t="str">
            <v>BRS_GOLD__5_SPREADS:NUSD_EM,NUSD_EM_CORP_EE,NUSD_EM_CORP_MIDAF,NUSD_EM_CORP_SA,NUSD_EM_GOVT:EM_SOV-USD_EM:ALL_EM_DS_MIDEAST:ALL_EM_DS_LEBANON</v>
          </cell>
          <cell r="D1572" t="str">
            <v>Spread Duration</v>
          </cell>
          <cell r="E1572" t="str">
            <v>Spread Yield (DxS)</v>
          </cell>
          <cell r="F1572" t="str">
            <v>SP-Spread Emerging Markets - Country</v>
          </cell>
          <cell r="G1572" t="str">
            <v>SP-Spread Emerging Markets</v>
          </cell>
          <cell r="H1572" t="str">
            <v>SPREADS</v>
          </cell>
          <cell r="I1572" t="str">
            <v>Spread Emerging Markets - Country</v>
          </cell>
        </row>
        <row r="1573">
          <cell r="A1573" t="str">
            <v>ALL_EM_DS_OMAN</v>
          </cell>
          <cell r="B1573" t="str">
            <v>Non$ Oman</v>
          </cell>
          <cell r="C1573" t="str">
            <v>BRS_GOLD__5_SPREADS:NUSD_EM,NUSD_EM_CORP_EE,NUSD_EM_CORP_MIDAF,NUSD_EM_CORP_SA,NUSD_EM_GOVT:EM_SOV-USD_EM:ALL_EM_DS_MIDEAST:ALL_EM_DS_OMAN</v>
          </cell>
          <cell r="D1573" t="str">
            <v>Spread Duration</v>
          </cell>
          <cell r="E1573" t="str">
            <v>Spread Yield (DxS)</v>
          </cell>
          <cell r="F1573" t="str">
            <v>SP-Spread Emerging Markets - Country</v>
          </cell>
          <cell r="G1573" t="str">
            <v>SP-Spread Emerging Markets</v>
          </cell>
          <cell r="H1573" t="str">
            <v>SPREADS</v>
          </cell>
          <cell r="I1573" t="str">
            <v>Spread Emerging Markets - Country</v>
          </cell>
        </row>
        <row r="1574">
          <cell r="A1574" t="str">
            <v>ALL_EM_DS_QATAR</v>
          </cell>
          <cell r="B1574" t="str">
            <v>Non$ Qatar</v>
          </cell>
          <cell r="C1574" t="str">
            <v>BRS_GOLD__5_SPREADS:NUSD_EM,NUSD_EM_CORP_EE,NUSD_EM_CORP_MIDAF,NUSD_EM_CORP_SA,NUSD_EM_GOVT:EM_SOV-USD_EM:ALL_EM_DS_MIDEAST:ALL_EM_DS_QATAR</v>
          </cell>
          <cell r="D1574" t="str">
            <v>Spread Duration</v>
          </cell>
          <cell r="E1574" t="str">
            <v>Spread Yield (DxS)</v>
          </cell>
          <cell r="F1574" t="str">
            <v>SP-Spread Emerging Markets - Country</v>
          </cell>
          <cell r="G1574" t="str">
            <v>SP-Spread Emerging Markets</v>
          </cell>
          <cell r="H1574" t="str">
            <v>SPREADS</v>
          </cell>
          <cell r="I1574" t="str">
            <v>Spread Emerging Markets - Country</v>
          </cell>
        </row>
        <row r="1575">
          <cell r="A1575" t="str">
            <v>ALL_EM_DS_SARABIA</v>
          </cell>
          <cell r="B1575" t="str">
            <v>Non$ Sarabia</v>
          </cell>
          <cell r="C1575" t="str">
            <v>BRS_GOLD__5_SPREADS:NUSD_EM,NUSD_EM_CORP_EE,NUSD_EM_CORP_MIDAF,NUSD_EM_CORP_SA,NUSD_EM_GOVT:EM_SOV-USD_EM:ALL_EM_DS_MIDEAST:ALL_EM_DS_SARABIA</v>
          </cell>
          <cell r="D1575" t="str">
            <v>Spread Duration</v>
          </cell>
          <cell r="E1575" t="str">
            <v>Spread Yield (DxS)</v>
          </cell>
          <cell r="F1575" t="str">
            <v>SP-Spread Emerging Markets - Country</v>
          </cell>
          <cell r="G1575" t="str">
            <v>SP-Spread Emerging Markets</v>
          </cell>
          <cell r="H1575" t="str">
            <v>SPREADS</v>
          </cell>
          <cell r="I1575" t="str">
            <v>Spread Emerging Markets - Country</v>
          </cell>
        </row>
        <row r="1576">
          <cell r="A1576" t="str">
            <v>ALL_EM_DS_TAJIKISTAN</v>
          </cell>
          <cell r="B1576" t="str">
            <v>Non$ Tajikistan</v>
          </cell>
          <cell r="C1576" t="str">
            <v>BRS_GOLD__5_SPREADS:NUSD_EM,NUSD_EM_CORP_EE,NUSD_EM_CORP_MIDAF,NUSD_EM_CORP_SA,NUSD_EM_GOVT:EM_SOV-USD_EM:ALL_EM_DS_MIDEAST:ALL_EM_DS_TAJIKISTAN</v>
          </cell>
          <cell r="D1576" t="str">
            <v>Spread Duration</v>
          </cell>
          <cell r="E1576" t="str">
            <v>Spread Yield (DxS)</v>
          </cell>
          <cell r="F1576" t="str">
            <v>SP-Spread Emerging Markets - Country</v>
          </cell>
          <cell r="G1576" t="str">
            <v>SP-Spread Emerging Markets</v>
          </cell>
          <cell r="H1576" t="str">
            <v>SPREADS</v>
          </cell>
          <cell r="I1576" t="str">
            <v>Spread Emerging Markets - Country</v>
          </cell>
        </row>
        <row r="1577">
          <cell r="A1577" t="str">
            <v>ALL_EM_DS_UAE</v>
          </cell>
          <cell r="B1577" t="str">
            <v>Non$ UAE</v>
          </cell>
          <cell r="C1577" t="str">
            <v>BRS_GOLD__5_SPREADS:NUSD_EM,NUSD_EM_CORP_EE,NUSD_EM_CORP_MIDAF,NUSD_EM_CORP_SA,NUSD_EM_GOVT:EM_SOV-USD_EM:ALL_EM_DS_MIDEAST:ALL_EM_DS_UAE</v>
          </cell>
          <cell r="D1577" t="str">
            <v>Spread Duration</v>
          </cell>
          <cell r="E1577" t="str">
            <v>Spread Yield (DxS)</v>
          </cell>
          <cell r="F1577" t="str">
            <v>SP-Spread Emerging Markets - Country</v>
          </cell>
          <cell r="G1577" t="str">
            <v>SP-Spread Emerging Markets</v>
          </cell>
          <cell r="H1577" t="str">
            <v>SPREADS</v>
          </cell>
          <cell r="I1577" t="str">
            <v>Spread Emerging Markets - Country</v>
          </cell>
        </row>
        <row r="1578">
          <cell r="A1578" t="str">
            <v>ALL_EM_DS_UZBEKISTAN</v>
          </cell>
          <cell r="B1578" t="str">
            <v>Non$ Uzbekistan</v>
          </cell>
          <cell r="C1578" t="str">
            <v>BRS_GOLD__5_SPREADS:NUSD_EM,NUSD_EM_CORP_EE,NUSD_EM_CORP_MIDAF,NUSD_EM_CORP_SA,NUSD_EM_GOVT:EM_SOV-USD_EM:ALL_EM_DS_MIDEAST:ALL_EM_DS_UZBEKISTAN</v>
          </cell>
          <cell r="D1578" t="str">
            <v>Spread Duration</v>
          </cell>
          <cell r="E1578" t="str">
            <v>Spread Yield (DxS)</v>
          </cell>
          <cell r="F1578" t="str">
            <v>SP-Spread Emerging Markets - Country</v>
          </cell>
          <cell r="G1578" t="str">
            <v>SP-Spread Emerging Markets</v>
          </cell>
          <cell r="H1578" t="str">
            <v>SPREADS</v>
          </cell>
          <cell r="I1578" t="str">
            <v>Spread Emerging Markets - Country</v>
          </cell>
        </row>
        <row r="1579">
          <cell r="A1579" t="str">
            <v>ALL_EM_DS_SA</v>
          </cell>
          <cell r="B1579" t="str">
            <v>Non$ Emerg Mkts South America</v>
          </cell>
          <cell r="C1579" t="str">
            <v>BRS_GOLD__5_SPREADS:NUSD_EM,NUSD_EM_CORP_EE,NUSD_EM_CORP_MIDAF,NUSD_EM_CORP_SA,NUSD_EM_GOVT:EM_SOV-USD_EM:ALL_EM_DS_S_AMERICA:ALL_EM_DS_SA</v>
          </cell>
          <cell r="D1579" t="str">
            <v>Spread Duration</v>
          </cell>
          <cell r="E1579" t="str">
            <v>Spread Yield (DxS)</v>
          </cell>
          <cell r="F1579" t="str">
            <v>SP-Spread Emerging Markets - Country</v>
          </cell>
          <cell r="G1579" t="str">
            <v>SP-Spread Emerging Markets</v>
          </cell>
          <cell r="H1579" t="str">
            <v>SPREADS</v>
          </cell>
          <cell r="I1579" t="str">
            <v>Spread Emerging Markets - Country</v>
          </cell>
        </row>
        <row r="1580">
          <cell r="A1580" t="str">
            <v>ALL_EM_DS_ARGENTINA</v>
          </cell>
          <cell r="B1580" t="str">
            <v>Non$ Argentina</v>
          </cell>
          <cell r="C1580" t="str">
            <v>BRS_GOLD__5_SPREADS:NUSD_EM,NUSD_EM_CORP_EE,NUSD_EM_CORP_MIDAF,NUSD_EM_CORP_SA,NUSD_EM_GOVT:EM_SOV-USD_EM:ALL_EM_DS_S_AMERICA:ALL_EM_DS_ARGENTINA</v>
          </cell>
          <cell r="D1580" t="str">
            <v>Spread Duration</v>
          </cell>
          <cell r="E1580" t="str">
            <v>Spread Yield (DxS)</v>
          </cell>
          <cell r="F1580" t="str">
            <v>SP-Spread Emerging Markets - Country</v>
          </cell>
          <cell r="G1580" t="str">
            <v>SP-Spread Emerging Markets</v>
          </cell>
          <cell r="H1580" t="str">
            <v>SPREADS</v>
          </cell>
          <cell r="I1580" t="str">
            <v>Spread Emerging Markets - Country</v>
          </cell>
        </row>
        <row r="1581">
          <cell r="A1581" t="str">
            <v>ALL_EM_DS_BELIZE</v>
          </cell>
          <cell r="B1581" t="str">
            <v>Non$ Belize</v>
          </cell>
          <cell r="C1581" t="str">
            <v>BRS_GOLD__5_SPREADS:NUSD_EM,NUSD_EM_CORP_EE,NUSD_EM_CORP_MIDAF,NUSD_EM_CORP_SA,NUSD_EM_GOVT:EM_SOV-USD_EM:ALL_EM_DS_S_AMERICA:ALL_EM_DS_BELIZE</v>
          </cell>
          <cell r="D1581" t="str">
            <v>Spread Duration</v>
          </cell>
          <cell r="E1581" t="str">
            <v>Spread Yield (DxS)</v>
          </cell>
          <cell r="F1581" t="str">
            <v>SP-Spread Emerging Markets - Country</v>
          </cell>
          <cell r="G1581" t="str">
            <v>SP-Spread Emerging Markets</v>
          </cell>
          <cell r="H1581" t="str">
            <v>SPREADS</v>
          </cell>
          <cell r="I1581" t="str">
            <v>Spread Emerging Markets - Country</v>
          </cell>
        </row>
        <row r="1582">
          <cell r="A1582" t="str">
            <v>ALL_EM_DS_BOLIVIA</v>
          </cell>
          <cell r="B1582" t="str">
            <v>Non$ Bolivia</v>
          </cell>
          <cell r="C1582" t="str">
            <v>BRS_GOLD__5_SPREADS:NUSD_EM,NUSD_EM_CORP_EE,NUSD_EM_CORP_MIDAF,NUSD_EM_CORP_SA,NUSD_EM_GOVT:EM_SOV-USD_EM:ALL_EM_DS_S_AMERICA:ALL_EM_DS_BOLIVIA</v>
          </cell>
          <cell r="D1582" t="str">
            <v>Spread Duration</v>
          </cell>
          <cell r="E1582" t="str">
            <v>Spread Yield (DxS)</v>
          </cell>
          <cell r="F1582" t="str">
            <v>SP-Spread Emerging Markets - Country</v>
          </cell>
          <cell r="G1582" t="str">
            <v>SP-Spread Emerging Markets</v>
          </cell>
          <cell r="H1582" t="str">
            <v>SPREADS</v>
          </cell>
          <cell r="I1582" t="str">
            <v>Spread Emerging Markets - Country</v>
          </cell>
        </row>
        <row r="1583">
          <cell r="A1583" t="str">
            <v>ALL_EM_DS_BRAZIL</v>
          </cell>
          <cell r="B1583" t="str">
            <v>Non$ Brazil</v>
          </cell>
          <cell r="C1583" t="str">
            <v>BRS_GOLD__5_SPREADS:NUSD_EM,NUSD_EM_CORP_EE,NUSD_EM_CORP_MIDAF,NUSD_EM_CORP_SA,NUSD_EM_GOVT:EM_SOV-USD_EM:ALL_EM_DS_S_AMERICA:ALL_EM_DS_BRAZIL</v>
          </cell>
          <cell r="D1583" t="str">
            <v>Spread Duration</v>
          </cell>
          <cell r="E1583" t="str">
            <v>Spread Yield (DxS)</v>
          </cell>
          <cell r="F1583" t="str">
            <v>SP-Spread Emerging Markets - Country</v>
          </cell>
          <cell r="G1583" t="str">
            <v>SP-Spread Emerging Markets</v>
          </cell>
          <cell r="H1583" t="str">
            <v>SPREADS</v>
          </cell>
          <cell r="I1583" t="str">
            <v>Spread Emerging Markets - Country</v>
          </cell>
        </row>
        <row r="1584">
          <cell r="A1584" t="str">
            <v>ALL_EM_DS_CHILE</v>
          </cell>
          <cell r="B1584" t="str">
            <v>Non$ Chile</v>
          </cell>
          <cell r="C1584" t="str">
            <v>BRS_GOLD__5_SPREADS:NUSD_EM,NUSD_EM_CORP_EE,NUSD_EM_CORP_MIDAF,NUSD_EM_CORP_SA,NUSD_EM_GOVT:EM_SOV-USD_EM:ALL_EM_DS_S_AMERICA:ALL_EM_DS_CHILE</v>
          </cell>
          <cell r="D1584" t="str">
            <v>Spread Duration</v>
          </cell>
          <cell r="E1584" t="str">
            <v>Spread Yield (DxS)</v>
          </cell>
          <cell r="F1584" t="str">
            <v>SP-Spread Emerging Markets - Country</v>
          </cell>
          <cell r="G1584" t="str">
            <v>SP-Spread Emerging Markets</v>
          </cell>
          <cell r="H1584" t="str">
            <v>SPREADS</v>
          </cell>
          <cell r="I1584" t="str">
            <v>Spread Emerging Markets - Country</v>
          </cell>
        </row>
        <row r="1585">
          <cell r="A1585" t="str">
            <v>ALL_EM_DS_COLOMBIA</v>
          </cell>
          <cell r="B1585" t="str">
            <v>Non$ Colombia</v>
          </cell>
          <cell r="C1585" t="str">
            <v>BRS_GOLD__5_SPREADS:NUSD_EM,NUSD_EM_CORP_EE,NUSD_EM_CORP_MIDAF,NUSD_EM_CORP_SA,NUSD_EM_GOVT:EM_SOV-USD_EM:ALL_EM_DS_S_AMERICA:ALL_EM_DS_COLOMBIA</v>
          </cell>
          <cell r="D1585" t="str">
            <v>Spread Duration</v>
          </cell>
          <cell r="E1585" t="str">
            <v>Spread Yield (DxS)</v>
          </cell>
          <cell r="F1585" t="str">
            <v>SP-Spread Emerging Markets - Country</v>
          </cell>
          <cell r="G1585" t="str">
            <v>SP-Spread Emerging Markets</v>
          </cell>
          <cell r="H1585" t="str">
            <v>SPREADS</v>
          </cell>
          <cell r="I1585" t="str">
            <v>Spread Emerging Markets - Country</v>
          </cell>
        </row>
        <row r="1586">
          <cell r="A1586" t="str">
            <v>ALL_EM_DS_COSTARICA</v>
          </cell>
          <cell r="B1586" t="str">
            <v>Non$ Costarica</v>
          </cell>
          <cell r="C1586" t="str">
            <v>BRS_GOLD__5_SPREADS:NUSD_EM,NUSD_EM_CORP_EE,NUSD_EM_CORP_MIDAF,NUSD_EM_CORP_SA,NUSD_EM_GOVT:EM_SOV-USD_EM:ALL_EM_DS_S_AMERICA:ALL_EM_DS_COSTARICA</v>
          </cell>
          <cell r="D1586" t="str">
            <v>Spread Duration</v>
          </cell>
          <cell r="E1586" t="str">
            <v>Spread Yield (DxS)</v>
          </cell>
          <cell r="F1586" t="str">
            <v>SP-Spread Emerging Markets - Country</v>
          </cell>
          <cell r="G1586" t="str">
            <v>SP-Spread Emerging Markets</v>
          </cell>
          <cell r="H1586" t="str">
            <v>SPREADS</v>
          </cell>
          <cell r="I1586" t="str">
            <v>Spread Emerging Markets - Country</v>
          </cell>
        </row>
        <row r="1587">
          <cell r="A1587" t="str">
            <v>ALL_EM_DS_DOMINICA</v>
          </cell>
          <cell r="B1587" t="str">
            <v>Non$ Dominican Republic</v>
          </cell>
          <cell r="C1587" t="str">
            <v>BRS_GOLD__5_SPREADS:NUSD_EM,NUSD_EM_CORP_EE,NUSD_EM_CORP_MIDAF,NUSD_EM_CORP_SA,NUSD_EM_GOVT:EM_SOV-USD_EM:ALL_EM_DS_S_AMERICA:ALL_EM_DS_DOMINICA</v>
          </cell>
          <cell r="D1587" t="str">
            <v>Spread Duration</v>
          </cell>
          <cell r="E1587" t="str">
            <v>Spread Yield (DxS)</v>
          </cell>
          <cell r="F1587" t="str">
            <v>SP-Spread Emerging Markets - Country</v>
          </cell>
          <cell r="G1587" t="str">
            <v>SP-Spread Emerging Markets</v>
          </cell>
          <cell r="H1587" t="str">
            <v>SPREADS</v>
          </cell>
          <cell r="I1587" t="str">
            <v>Spread Emerging Markets - Country</v>
          </cell>
        </row>
        <row r="1588">
          <cell r="A1588" t="str">
            <v>ALL_EM_DS_ECUADOR</v>
          </cell>
          <cell r="B1588" t="str">
            <v>Non$ Ecuador</v>
          </cell>
          <cell r="C1588" t="str">
            <v>BRS_GOLD__5_SPREADS:NUSD_EM,NUSD_EM_CORP_EE,NUSD_EM_CORP_MIDAF,NUSD_EM_CORP_SA,NUSD_EM_GOVT:EM_SOV-USD_EM:ALL_EM_DS_S_AMERICA:ALL_EM_DS_ECUADOR</v>
          </cell>
          <cell r="D1588" t="str">
            <v>Spread Duration</v>
          </cell>
          <cell r="E1588" t="str">
            <v>Spread Yield (DxS)</v>
          </cell>
          <cell r="F1588" t="str">
            <v>SP-Spread Emerging Markets - Country</v>
          </cell>
          <cell r="G1588" t="str">
            <v>SP-Spread Emerging Markets</v>
          </cell>
          <cell r="H1588" t="str">
            <v>SPREADS</v>
          </cell>
          <cell r="I1588" t="str">
            <v>Spread Emerging Markets - Country</v>
          </cell>
        </row>
        <row r="1589">
          <cell r="A1589" t="str">
            <v>ALL_EM_DS_GUATEMALA</v>
          </cell>
          <cell r="B1589" t="str">
            <v>Non$ Guatemala</v>
          </cell>
          <cell r="C1589" t="str">
            <v>BRS_GOLD__5_SPREADS:NUSD_EM,NUSD_EM_CORP_EE,NUSD_EM_CORP_MIDAF,NUSD_EM_CORP_SA,NUSD_EM_GOVT:EM_SOV-USD_EM:ALL_EM_DS_S_AMERICA:ALL_EM_DS_GUATEMALA</v>
          </cell>
          <cell r="D1589" t="str">
            <v>Spread Duration</v>
          </cell>
          <cell r="E1589" t="str">
            <v>Spread Yield (DxS)</v>
          </cell>
          <cell r="F1589" t="str">
            <v>SP-Spread Emerging Markets - Country</v>
          </cell>
          <cell r="G1589" t="str">
            <v>SP-Spread Emerging Markets</v>
          </cell>
          <cell r="H1589" t="str">
            <v>SPREADS</v>
          </cell>
          <cell r="I1589" t="str">
            <v>Spread Emerging Markets - Country</v>
          </cell>
        </row>
        <row r="1590">
          <cell r="A1590" t="str">
            <v>ALL_EM_DS_HONDURAS</v>
          </cell>
          <cell r="B1590" t="str">
            <v>Non$ Honduras</v>
          </cell>
          <cell r="C1590" t="str">
            <v>BRS_GOLD__5_SPREADS:NUSD_EM,NUSD_EM_CORP_EE,NUSD_EM_CORP_MIDAF,NUSD_EM_CORP_SA,NUSD_EM_GOVT:EM_SOV-USD_EM:ALL_EM_DS_S_AMERICA:ALL_EM_DS_HONDURAS</v>
          </cell>
          <cell r="D1590" t="str">
            <v>Spread Duration</v>
          </cell>
          <cell r="E1590" t="str">
            <v>Spread Yield (DxS)</v>
          </cell>
          <cell r="F1590" t="str">
            <v>SP-Spread Emerging Markets - Country</v>
          </cell>
          <cell r="G1590" t="str">
            <v>SP-Spread Emerging Markets</v>
          </cell>
          <cell r="H1590" t="str">
            <v>SPREADS</v>
          </cell>
          <cell r="I1590" t="str">
            <v>Spread Emerging Markets - Country</v>
          </cell>
        </row>
        <row r="1591">
          <cell r="A1591" t="str">
            <v>ALL_EM_DS_JAMAICA</v>
          </cell>
          <cell r="B1591" t="str">
            <v>Non$ Jamaica</v>
          </cell>
          <cell r="C1591" t="str">
            <v>BRS_GOLD__5_SPREADS:NUSD_EM,NUSD_EM_CORP_EE,NUSD_EM_CORP_MIDAF,NUSD_EM_CORP_SA,NUSD_EM_GOVT:EM_SOV-USD_EM:ALL_EM_DS_S_AMERICA:ALL_EM_DS_JAMAICA</v>
          </cell>
          <cell r="D1591" t="str">
            <v>Spread Duration</v>
          </cell>
          <cell r="E1591" t="str">
            <v>Spread Yield (DxS)</v>
          </cell>
          <cell r="F1591" t="str">
            <v>SP-Spread Emerging Markets - Country</v>
          </cell>
          <cell r="G1591" t="str">
            <v>SP-Spread Emerging Markets</v>
          </cell>
          <cell r="H1591" t="str">
            <v>SPREADS</v>
          </cell>
          <cell r="I1591" t="str">
            <v>Spread Emerging Markets - Country</v>
          </cell>
        </row>
        <row r="1592">
          <cell r="A1592" t="str">
            <v>ALL_EM_DS_MEXICO</v>
          </cell>
          <cell r="B1592" t="str">
            <v>Non$ Mexico</v>
          </cell>
          <cell r="C1592" t="str">
            <v>BRS_GOLD__5_SPREADS:NUSD_EM,NUSD_EM_CORP_EE,NUSD_EM_CORP_MIDAF,NUSD_EM_CORP_SA,NUSD_EM_GOVT:EM_SOV-USD_EM:ALL_EM_DS_S_AMERICA:ALL_EM_DS_MEXICO</v>
          </cell>
          <cell r="D1592" t="str">
            <v>Spread Duration</v>
          </cell>
          <cell r="E1592" t="str">
            <v>Spread Yield (DxS)</v>
          </cell>
          <cell r="F1592" t="str">
            <v>SP-Spread Emerging Markets - Country</v>
          </cell>
          <cell r="G1592" t="str">
            <v>SP-Spread Emerging Markets</v>
          </cell>
          <cell r="H1592" t="str">
            <v>SPREADS</v>
          </cell>
          <cell r="I1592" t="str">
            <v>Spread Emerging Markets - Country</v>
          </cell>
        </row>
        <row r="1593">
          <cell r="A1593" t="str">
            <v>ALL_EM_DS_PANAMA</v>
          </cell>
          <cell r="B1593" t="str">
            <v>Non$ Panama</v>
          </cell>
          <cell r="C1593" t="str">
            <v>BRS_GOLD__5_SPREADS:NUSD_EM,NUSD_EM_CORP_EE,NUSD_EM_CORP_MIDAF,NUSD_EM_CORP_SA,NUSD_EM_GOVT:EM_SOV-USD_EM:ALL_EM_DS_S_AMERICA:ALL_EM_DS_PANAMA</v>
          </cell>
          <cell r="D1593" t="str">
            <v>Spread Duration</v>
          </cell>
          <cell r="E1593" t="str">
            <v>Spread Yield (DxS)</v>
          </cell>
          <cell r="F1593" t="str">
            <v>SP-Spread Emerging Markets - Country</v>
          </cell>
          <cell r="G1593" t="str">
            <v>SP-Spread Emerging Markets</v>
          </cell>
          <cell r="H1593" t="str">
            <v>SPREADS</v>
          </cell>
          <cell r="I1593" t="str">
            <v>Spread Emerging Markets - Country</v>
          </cell>
        </row>
        <row r="1594">
          <cell r="A1594" t="str">
            <v>ALL_EM_DS_PARAGUAY</v>
          </cell>
          <cell r="B1594" t="str">
            <v>Non$ Paraguay</v>
          </cell>
          <cell r="C1594" t="str">
            <v>BRS_GOLD__5_SPREADS:NUSD_EM,NUSD_EM_CORP_EE,NUSD_EM_CORP_MIDAF,NUSD_EM_CORP_SA,NUSD_EM_GOVT:EM_SOV-USD_EM:ALL_EM_DS_S_AMERICA:ALL_EM_DS_PARAGUAY</v>
          </cell>
          <cell r="D1594" t="str">
            <v>Spread Duration</v>
          </cell>
          <cell r="E1594" t="str">
            <v>Spread Yield (DxS)</v>
          </cell>
          <cell r="F1594" t="str">
            <v>SP-Spread Emerging Markets - Country</v>
          </cell>
          <cell r="G1594" t="str">
            <v>SP-Spread Emerging Markets</v>
          </cell>
          <cell r="H1594" t="str">
            <v>SPREADS</v>
          </cell>
          <cell r="I1594" t="str">
            <v>Spread Emerging Markets - Country</v>
          </cell>
        </row>
        <row r="1595">
          <cell r="A1595" t="str">
            <v>ALL_EM_DS_PERU</v>
          </cell>
          <cell r="B1595" t="str">
            <v>Non$ Peru</v>
          </cell>
          <cell r="C1595" t="str">
            <v>BRS_GOLD__5_SPREADS:NUSD_EM,NUSD_EM_CORP_EE,NUSD_EM_CORP_MIDAF,NUSD_EM_CORP_SA,NUSD_EM_GOVT:EM_SOV-USD_EM:ALL_EM_DS_S_AMERICA:ALL_EM_DS_PERU</v>
          </cell>
          <cell r="D1595" t="str">
            <v>Spread Duration</v>
          </cell>
          <cell r="E1595" t="str">
            <v>Spread Yield (DxS)</v>
          </cell>
          <cell r="F1595" t="str">
            <v>SP-Spread Emerging Markets - Country</v>
          </cell>
          <cell r="G1595" t="str">
            <v>SP-Spread Emerging Markets</v>
          </cell>
          <cell r="H1595" t="str">
            <v>SPREADS</v>
          </cell>
          <cell r="I1595" t="str">
            <v>Spread Emerging Markets - Country</v>
          </cell>
        </row>
        <row r="1596">
          <cell r="A1596" t="str">
            <v>ALL_EM_DS_SALVADOR</v>
          </cell>
          <cell r="B1596" t="str">
            <v>Non$ El Salvador</v>
          </cell>
          <cell r="C1596" t="str">
            <v>BRS_GOLD__5_SPREADS:NUSD_EM,NUSD_EM_CORP_EE,NUSD_EM_CORP_MIDAF,NUSD_EM_CORP_SA,NUSD_EM_GOVT:EM_SOV-USD_EM:ALL_EM_DS_S_AMERICA:ALL_EM_DS_SALVADOR</v>
          </cell>
          <cell r="D1596" t="str">
            <v>Spread Duration</v>
          </cell>
          <cell r="E1596" t="str">
            <v>Spread Yield (DxS)</v>
          </cell>
          <cell r="F1596" t="str">
            <v>SP-Spread Emerging Markets - Country</v>
          </cell>
          <cell r="G1596" t="str">
            <v>SP-Spread Emerging Markets</v>
          </cell>
          <cell r="H1596" t="str">
            <v>SPREADS</v>
          </cell>
          <cell r="I1596" t="str">
            <v>Spread Emerging Markets - Country</v>
          </cell>
        </row>
        <row r="1597">
          <cell r="A1597" t="str">
            <v>ALL_EM_DS_SURINAME</v>
          </cell>
          <cell r="B1597" t="str">
            <v>Non$ Suriname</v>
          </cell>
          <cell r="C1597" t="str">
            <v>BRS_GOLD__5_SPREADS:NUSD_EM,NUSD_EM_CORP_EE,NUSD_EM_CORP_MIDAF,NUSD_EM_CORP_SA,NUSD_EM_GOVT:EM_SOV-USD_EM:ALL_EM_DS_S_AMERICA:ALL_EM_DS_SURINAME</v>
          </cell>
          <cell r="D1597" t="str">
            <v>Spread Duration</v>
          </cell>
          <cell r="E1597" t="str">
            <v>Spread Yield (DxS)</v>
          </cell>
          <cell r="F1597" t="str">
            <v>SP-Spread Emerging Markets - Country</v>
          </cell>
          <cell r="G1597" t="str">
            <v>SP-Spread Emerging Markets</v>
          </cell>
          <cell r="H1597" t="str">
            <v>SPREADS</v>
          </cell>
          <cell r="I1597" t="str">
            <v>Spread Emerging Markets - Country</v>
          </cell>
        </row>
        <row r="1598">
          <cell r="A1598" t="str">
            <v>ALL_EM_DS_TRINTOBAGO</v>
          </cell>
          <cell r="B1598" t="str">
            <v>Non$ Trinidad and Tobago</v>
          </cell>
          <cell r="C1598" t="str">
            <v>BRS_GOLD__5_SPREADS:NUSD_EM,NUSD_EM_CORP_EE,NUSD_EM_CORP_MIDAF,NUSD_EM_CORP_SA,NUSD_EM_GOVT:EM_SOV-USD_EM:ALL_EM_DS_S_AMERICA:ALL_EM_DS_TRINTOBAGO</v>
          </cell>
          <cell r="D1598" t="str">
            <v>Spread Duration</v>
          </cell>
          <cell r="E1598" t="str">
            <v>Spread Yield (DxS)</v>
          </cell>
          <cell r="F1598" t="str">
            <v>SP-Spread Emerging Markets - Country</v>
          </cell>
          <cell r="G1598" t="str">
            <v>SP-Spread Emerging Markets</v>
          </cell>
          <cell r="H1598" t="str">
            <v>SPREADS</v>
          </cell>
          <cell r="I1598" t="str">
            <v>Spread Emerging Markets - Country</v>
          </cell>
        </row>
        <row r="1599">
          <cell r="A1599" t="str">
            <v>ALL_EM_DS_URUGUAY</v>
          </cell>
          <cell r="B1599" t="str">
            <v>Non$ Uruguay</v>
          </cell>
          <cell r="C1599" t="str">
            <v>BRS_GOLD__5_SPREADS:NUSD_EM,NUSD_EM_CORP_EE,NUSD_EM_CORP_MIDAF,NUSD_EM_CORP_SA,NUSD_EM_GOVT:EM_SOV-USD_EM:ALL_EM_DS_S_AMERICA:ALL_EM_DS_URUGUAY</v>
          </cell>
          <cell r="D1599" t="str">
            <v>Spread Duration</v>
          </cell>
          <cell r="E1599" t="str">
            <v>Spread Yield (DxS)</v>
          </cell>
          <cell r="F1599" t="str">
            <v>SP-Spread Emerging Markets - Country</v>
          </cell>
          <cell r="G1599" t="str">
            <v>SP-Spread Emerging Markets</v>
          </cell>
          <cell r="H1599" t="str">
            <v>SPREADS</v>
          </cell>
          <cell r="I1599" t="str">
            <v>Spread Emerging Markets - Country</v>
          </cell>
        </row>
        <row r="1600">
          <cell r="A1600" t="str">
            <v>ALL_EM_DS_VENEZUELA</v>
          </cell>
          <cell r="B1600" t="str">
            <v>Non$ Venezuela</v>
          </cell>
          <cell r="C1600" t="str">
            <v>BRS_GOLD__5_SPREADS:NUSD_EM,NUSD_EM_CORP_EE,NUSD_EM_CORP_MIDAF,NUSD_EM_CORP_SA,NUSD_EM_GOVT:EM_SOV-USD_EM:ALL_EM_DS_S_AMERICA:ALL_EM_DS_VENEZUELA</v>
          </cell>
          <cell r="D1600" t="str">
            <v>Spread Duration</v>
          </cell>
          <cell r="E1600" t="str">
            <v>Spread Yield (DxS)</v>
          </cell>
          <cell r="F1600" t="str">
            <v>SP-Spread Emerging Markets - Country</v>
          </cell>
          <cell r="G1600" t="str">
            <v>SP-Spread Emerging Markets</v>
          </cell>
          <cell r="H1600" t="str">
            <v>SPREADS</v>
          </cell>
          <cell r="I1600" t="str">
            <v>Spread Emerging Markets - Country</v>
          </cell>
        </row>
        <row r="1601">
          <cell r="A1601" t="str">
            <v>ALL_EM_DS_SEA</v>
          </cell>
          <cell r="B1601" t="str">
            <v>Non$ Emerg Mkts SouthEast Asia</v>
          </cell>
          <cell r="C1601" t="str">
            <v>BRS_GOLD__5_SPREADS:NUSD_EM,NUSD_EM_CORP_EE,NUSD_EM_CORP_MIDAF,NUSD_EM_CORP_SA,NUSD_EM_GOVT:EM_SOV-USD_EM:ALL_EM_DS_S_ASIA:ALL_EM_DS_SEA</v>
          </cell>
          <cell r="D1601" t="str">
            <v>Spread Duration</v>
          </cell>
          <cell r="E1601" t="str">
            <v>Spread Yield (DxS)</v>
          </cell>
          <cell r="F1601" t="str">
            <v>SP-Spread Emerging Markets - Country</v>
          </cell>
          <cell r="G1601" t="str">
            <v>SP-Spread Emerging Markets</v>
          </cell>
          <cell r="H1601" t="str">
            <v>SPREADS</v>
          </cell>
          <cell r="I1601" t="str">
            <v>Spread Emerging Markets - Country</v>
          </cell>
        </row>
        <row r="1602">
          <cell r="A1602" t="str">
            <v>ALL_EM_DS_CHINA</v>
          </cell>
          <cell r="B1602" t="str">
            <v>Non$ China</v>
          </cell>
          <cell r="C1602" t="str">
            <v>BRS_GOLD__5_SPREADS:NUSD_EM,NUSD_EM_CORP_EE,NUSD_EM_CORP_MIDAF,NUSD_EM_CORP_SA,NUSD_EM_GOVT:EM_SOV-USD_EM:ALL_EM_DS_S_ASIA:ALL_EM_DS_CHINA</v>
          </cell>
          <cell r="D1602" t="str">
            <v>Spread Duration</v>
          </cell>
          <cell r="E1602" t="str">
            <v>Spread Yield (DxS)</v>
          </cell>
          <cell r="F1602" t="str">
            <v>SP-Spread Emerging Markets - Country</v>
          </cell>
          <cell r="G1602" t="str">
            <v>SP-Spread Emerging Markets</v>
          </cell>
          <cell r="H1602" t="str">
            <v>SPREADS</v>
          </cell>
          <cell r="I1602" t="str">
            <v>Spread Emerging Markets - Country</v>
          </cell>
        </row>
        <row r="1603">
          <cell r="A1603" t="str">
            <v>ALL_EM_DS_HONGKONG</v>
          </cell>
          <cell r="B1603" t="str">
            <v>Non$ Hong Kong</v>
          </cell>
          <cell r="C1603" t="str">
            <v>BRS_GOLD__5_SPREADS:NUSD_EM,NUSD_EM_CORP_EE,NUSD_EM_CORP_MIDAF,NUSD_EM_CORP_SA,NUSD_EM_GOVT:EM_SOV-USD_EM:ALL_EM_DS_S_ASIA:ALL_EM_DS_HONGKONG</v>
          </cell>
          <cell r="D1603" t="str">
            <v>Spread Duration</v>
          </cell>
          <cell r="E1603" t="str">
            <v>Spread Yield (DxS)</v>
          </cell>
          <cell r="F1603" t="str">
            <v>SP-Spread Emerging Markets - Country</v>
          </cell>
          <cell r="G1603" t="str">
            <v>SP-Spread Emerging Markets</v>
          </cell>
          <cell r="H1603" t="str">
            <v>SPREADS</v>
          </cell>
          <cell r="I1603" t="str">
            <v>Spread Emerging Markets - Country</v>
          </cell>
        </row>
        <row r="1604">
          <cell r="A1604" t="str">
            <v>ALL_EM_DS_INDIA</v>
          </cell>
          <cell r="B1604" t="str">
            <v>Non$ India</v>
          </cell>
          <cell r="C1604" t="str">
            <v>BRS_GOLD__5_SPREADS:NUSD_EM,NUSD_EM_CORP_EE,NUSD_EM_CORP_MIDAF,NUSD_EM_CORP_SA,NUSD_EM_GOVT:EM_SOV-USD_EM:ALL_EM_DS_S_ASIA:ALL_EM_DS_INDIA</v>
          </cell>
          <cell r="D1604" t="str">
            <v>Spread Duration</v>
          </cell>
          <cell r="E1604" t="str">
            <v>Spread Yield (DxS)</v>
          </cell>
          <cell r="F1604" t="str">
            <v>SP-Spread Emerging Markets - Country</v>
          </cell>
          <cell r="G1604" t="str">
            <v>SP-Spread Emerging Markets</v>
          </cell>
          <cell r="H1604" t="str">
            <v>SPREADS</v>
          </cell>
          <cell r="I1604" t="str">
            <v>Spread Emerging Markets - Country</v>
          </cell>
        </row>
        <row r="1605">
          <cell r="A1605" t="str">
            <v>ALL_EM_DS_INDONESIA</v>
          </cell>
          <cell r="B1605" t="str">
            <v>Non$ Indonesia</v>
          </cell>
          <cell r="C1605" t="str">
            <v>BRS_GOLD__5_SPREADS:NUSD_EM,NUSD_EM_CORP_EE,NUSD_EM_CORP_MIDAF,NUSD_EM_CORP_SA,NUSD_EM_GOVT:EM_SOV-USD_EM:ALL_EM_DS_S_ASIA:ALL_EM_DS_INDONESIA</v>
          </cell>
          <cell r="D1605" t="str">
            <v>Spread Duration</v>
          </cell>
          <cell r="E1605" t="str">
            <v>Spread Yield (DxS)</v>
          </cell>
          <cell r="F1605" t="str">
            <v>SP-Spread Emerging Markets - Country</v>
          </cell>
          <cell r="G1605" t="str">
            <v>SP-Spread Emerging Markets</v>
          </cell>
          <cell r="H1605" t="str">
            <v>SPREADS</v>
          </cell>
          <cell r="I1605" t="str">
            <v>Spread Emerging Markets - Country</v>
          </cell>
        </row>
        <row r="1606">
          <cell r="A1606" t="str">
            <v>ALL_EM_DS_KOREA</v>
          </cell>
          <cell r="B1606" t="str">
            <v>Non$ Korea</v>
          </cell>
          <cell r="C1606" t="str">
            <v>BRS_GOLD__5_SPREADS:NUSD_EM,NUSD_EM_CORP_EE,NUSD_EM_CORP_MIDAF,NUSD_EM_CORP_SA,NUSD_EM_GOVT:EM_SOV-USD_EM:ALL_EM_DS_S_ASIA:ALL_EM_DS_KOREA</v>
          </cell>
          <cell r="D1606" t="str">
            <v>Spread Duration</v>
          </cell>
          <cell r="E1606" t="str">
            <v>Spread Yield (DxS)</v>
          </cell>
          <cell r="F1606" t="str">
            <v>SP-Spread Emerging Markets - Country</v>
          </cell>
          <cell r="G1606" t="str">
            <v>SP-Spread Emerging Markets</v>
          </cell>
          <cell r="H1606" t="str">
            <v>SPREADS</v>
          </cell>
          <cell r="I1606" t="str">
            <v>Spread Emerging Markets - Country</v>
          </cell>
        </row>
        <row r="1607">
          <cell r="A1607" t="str">
            <v>ALL_EM_DS_MACAU</v>
          </cell>
          <cell r="B1607" t="str">
            <v>Non$ Macau</v>
          </cell>
          <cell r="C1607" t="str">
            <v>BRS_GOLD__5_SPREADS:NUSD_EM,NUSD_EM_CORP_EE,NUSD_EM_CORP_MIDAF,NUSD_EM_CORP_SA,NUSD_EM_GOVT:EM_SOV-USD_EM:ALL_EM_DS_S_ASIA:ALL_EM_DS_MACAU</v>
          </cell>
          <cell r="D1607" t="str">
            <v>Spread Duration</v>
          </cell>
          <cell r="E1607" t="str">
            <v>Spread Yield (DxS)</v>
          </cell>
          <cell r="F1607" t="str">
            <v>SP-Spread Emerging Markets - Country</v>
          </cell>
          <cell r="G1607" t="str">
            <v>SP-Spread Emerging Markets</v>
          </cell>
          <cell r="H1607" t="str">
            <v>SPREADS</v>
          </cell>
          <cell r="I1607" t="str">
            <v>Spread Emerging Markets - Country</v>
          </cell>
        </row>
        <row r="1608">
          <cell r="A1608" t="str">
            <v>ALL_EM_DS_MALAYSIA</v>
          </cell>
          <cell r="B1608" t="str">
            <v>Non$ Malaysia</v>
          </cell>
          <cell r="C1608" t="str">
            <v>BRS_GOLD__5_SPREADS:NUSD_EM,NUSD_EM_CORP_EE,NUSD_EM_CORP_MIDAF,NUSD_EM_CORP_SA,NUSD_EM_GOVT:EM_SOV-USD_EM:ALL_EM_DS_S_ASIA:ALL_EM_DS_MALAYSIA</v>
          </cell>
          <cell r="D1608" t="str">
            <v>Spread Duration</v>
          </cell>
          <cell r="E1608" t="str">
            <v>Spread Yield (DxS)</v>
          </cell>
          <cell r="F1608" t="str">
            <v>SP-Spread Emerging Markets - Country</v>
          </cell>
          <cell r="G1608" t="str">
            <v>SP-Spread Emerging Markets</v>
          </cell>
          <cell r="H1608" t="str">
            <v>SPREADS</v>
          </cell>
          <cell r="I1608" t="str">
            <v>Spread Emerging Markets - Country</v>
          </cell>
        </row>
        <row r="1609">
          <cell r="A1609" t="str">
            <v>ALL_EM_DS_MALDIVES</v>
          </cell>
          <cell r="B1609" t="str">
            <v>Non$ Maldives</v>
          </cell>
          <cell r="C1609" t="str">
            <v>BRS_GOLD__5_SPREADS:NUSD_EM,NUSD_EM_CORP_EE,NUSD_EM_CORP_MIDAF,NUSD_EM_CORP_SA,NUSD_EM_GOVT:EM_SOV-USD_EM:ALL_EM_DS_S_ASIA:ALL_EM_DS_MALDIVES</v>
          </cell>
          <cell r="D1609" t="str">
            <v>Spread Duration</v>
          </cell>
          <cell r="E1609" t="str">
            <v>Spread Yield (DxS)</v>
          </cell>
          <cell r="F1609" t="str">
            <v>SP-Spread Emerging Markets - Country</v>
          </cell>
          <cell r="G1609" t="str">
            <v>SP-Spread Emerging Markets</v>
          </cell>
          <cell r="H1609" t="str">
            <v>SPREADS</v>
          </cell>
          <cell r="I1609" t="str">
            <v>Spread Emerging Markets - Country</v>
          </cell>
        </row>
        <row r="1610">
          <cell r="A1610" t="str">
            <v>ALL_EM_DS_MONGOLIA</v>
          </cell>
          <cell r="B1610" t="str">
            <v>Non$ Mongolia</v>
          </cell>
          <cell r="C1610" t="str">
            <v>BRS_GOLD__5_SPREADS:NUSD_EM,NUSD_EM_CORP_EE,NUSD_EM_CORP_MIDAF,NUSD_EM_CORP_SA,NUSD_EM_GOVT:EM_SOV-USD_EM:ALL_EM_DS_S_ASIA:ALL_EM_DS_MONGOLIA</v>
          </cell>
          <cell r="D1610" t="str">
            <v>Spread Duration</v>
          </cell>
          <cell r="E1610" t="str">
            <v>Spread Yield (DxS)</v>
          </cell>
          <cell r="F1610" t="str">
            <v>SP-Spread Emerging Markets - Country</v>
          </cell>
          <cell r="G1610" t="str">
            <v>SP-Spread Emerging Markets</v>
          </cell>
          <cell r="H1610" t="str">
            <v>SPREADS</v>
          </cell>
          <cell r="I1610" t="str">
            <v>Spread Emerging Markets - Country</v>
          </cell>
        </row>
        <row r="1611">
          <cell r="A1611" t="str">
            <v>ALL_EM_DS_PAKISTAN</v>
          </cell>
          <cell r="B1611" t="str">
            <v>Non$ Pakistan</v>
          </cell>
          <cell r="C1611" t="str">
            <v>BRS_GOLD__5_SPREADS:NUSD_EM,NUSD_EM_CORP_EE,NUSD_EM_CORP_MIDAF,NUSD_EM_CORP_SA,NUSD_EM_GOVT:EM_SOV-USD_EM:ALL_EM_DS_S_ASIA:ALL_EM_DS_PAKISTAN</v>
          </cell>
          <cell r="D1611" t="str">
            <v>Spread Duration</v>
          </cell>
          <cell r="E1611" t="str">
            <v>Spread Yield (DxS)</v>
          </cell>
          <cell r="F1611" t="str">
            <v>SP-Spread Emerging Markets - Country</v>
          </cell>
          <cell r="G1611" t="str">
            <v>SP-Spread Emerging Markets</v>
          </cell>
          <cell r="H1611" t="str">
            <v>SPREADS</v>
          </cell>
          <cell r="I1611" t="str">
            <v>Spread Emerging Markets - Country</v>
          </cell>
        </row>
        <row r="1612">
          <cell r="A1612" t="str">
            <v>ALL_EM_DS_PAPUANEWGUINEA</v>
          </cell>
          <cell r="B1612" t="str">
            <v>Non$ Papuanewguinea</v>
          </cell>
          <cell r="C1612" t="str">
            <v>BRS_GOLD__5_SPREADS:NUSD_EM,NUSD_EM_CORP_EE,NUSD_EM_CORP_MIDAF,NUSD_EM_CORP_SA,NUSD_EM_GOVT:EM_SOV-USD_EM:ALL_EM_DS_S_ASIA:ALL_EM_DS_PAPUANEWGUINEA</v>
          </cell>
          <cell r="D1612" t="str">
            <v>Spread Duration</v>
          </cell>
          <cell r="E1612" t="str">
            <v>Spread Yield (DxS)</v>
          </cell>
          <cell r="F1612" t="str">
            <v>SP-Spread Emerging Markets - Country</v>
          </cell>
          <cell r="G1612" t="str">
            <v>SP-Spread Emerging Markets</v>
          </cell>
          <cell r="H1612" t="str">
            <v>SPREADS</v>
          </cell>
          <cell r="I1612" t="str">
            <v>Spread Emerging Markets - Country</v>
          </cell>
        </row>
        <row r="1613">
          <cell r="A1613" t="str">
            <v>ALL_EM_DS_PHILIPPINES</v>
          </cell>
          <cell r="B1613" t="str">
            <v>Non$ Philippines</v>
          </cell>
          <cell r="C1613" t="str">
            <v>BRS_GOLD__5_SPREADS:NUSD_EM,NUSD_EM_CORP_EE,NUSD_EM_CORP_MIDAF,NUSD_EM_CORP_SA,NUSD_EM_GOVT:EM_SOV-USD_EM:ALL_EM_DS_S_ASIA:ALL_EM_DS_PHILIPPINES</v>
          </cell>
          <cell r="D1613" t="str">
            <v>Spread Duration</v>
          </cell>
          <cell r="E1613" t="str">
            <v>Spread Yield (DxS)</v>
          </cell>
          <cell r="F1613" t="str">
            <v>SP-Spread Emerging Markets - Country</v>
          </cell>
          <cell r="G1613" t="str">
            <v>SP-Spread Emerging Markets</v>
          </cell>
          <cell r="H1613" t="str">
            <v>SPREADS</v>
          </cell>
          <cell r="I1613" t="str">
            <v>Spread Emerging Markets - Country</v>
          </cell>
        </row>
        <row r="1614">
          <cell r="A1614" t="str">
            <v>ALL_EM_DS_SINGAPORE</v>
          </cell>
          <cell r="B1614" t="str">
            <v>Non$ Singapore</v>
          </cell>
          <cell r="C1614" t="str">
            <v>BRS_GOLD__5_SPREADS:NUSD_EM,NUSD_EM_CORP_EE,NUSD_EM_CORP_MIDAF,NUSD_EM_CORP_SA,NUSD_EM_GOVT:EM_SOV-USD_EM:ALL_EM_DS_S_ASIA:ALL_EM_DS_SINGAPORE</v>
          </cell>
          <cell r="D1614" t="str">
            <v>Spread Duration</v>
          </cell>
          <cell r="E1614" t="str">
            <v>Spread Yield (DxS)</v>
          </cell>
          <cell r="F1614" t="str">
            <v>SP-Spread Emerging Markets - Country</v>
          </cell>
          <cell r="G1614" t="str">
            <v>SP-Spread Emerging Markets</v>
          </cell>
          <cell r="H1614" t="str">
            <v>SPREADS</v>
          </cell>
          <cell r="I1614" t="str">
            <v>Spread Emerging Markets - Country</v>
          </cell>
        </row>
        <row r="1615">
          <cell r="A1615" t="str">
            <v>ALL_EM_DS_SRILANKA</v>
          </cell>
          <cell r="B1615" t="str">
            <v>Non$ Sri Lanka</v>
          </cell>
          <cell r="C1615" t="str">
            <v>BRS_GOLD__5_SPREADS:NUSD_EM,NUSD_EM_CORP_EE,NUSD_EM_CORP_MIDAF,NUSD_EM_CORP_SA,NUSD_EM_GOVT:EM_SOV-USD_EM:ALL_EM_DS_S_ASIA:ALL_EM_DS_SRILANKA</v>
          </cell>
          <cell r="D1615" t="str">
            <v>Spread Duration</v>
          </cell>
          <cell r="E1615" t="str">
            <v>Spread Yield (DxS)</v>
          </cell>
          <cell r="F1615" t="str">
            <v>SP-Spread Emerging Markets - Country</v>
          </cell>
          <cell r="G1615" t="str">
            <v>SP-Spread Emerging Markets</v>
          </cell>
          <cell r="H1615" t="str">
            <v>SPREADS</v>
          </cell>
          <cell r="I1615" t="str">
            <v>Spread Emerging Markets - Country</v>
          </cell>
        </row>
        <row r="1616">
          <cell r="A1616" t="str">
            <v>ALL_EM_DS_THAILAND</v>
          </cell>
          <cell r="B1616" t="str">
            <v>Non$ Thailand</v>
          </cell>
          <cell r="C1616" t="str">
            <v>BRS_GOLD__5_SPREADS:NUSD_EM,NUSD_EM_CORP_EE,NUSD_EM_CORP_MIDAF,NUSD_EM_CORP_SA,NUSD_EM_GOVT:EM_SOV-USD_EM:ALL_EM_DS_S_ASIA:ALL_EM_DS_THAILAND</v>
          </cell>
          <cell r="D1616" t="str">
            <v>Spread Duration</v>
          </cell>
          <cell r="E1616" t="str">
            <v>Spread Yield (DxS)</v>
          </cell>
          <cell r="F1616" t="str">
            <v>SP-Spread Emerging Markets - Country</v>
          </cell>
          <cell r="G1616" t="str">
            <v>SP-Spread Emerging Markets</v>
          </cell>
          <cell r="H1616" t="str">
            <v>SPREADS</v>
          </cell>
          <cell r="I1616" t="str">
            <v>Spread Emerging Markets - Country</v>
          </cell>
        </row>
        <row r="1617">
          <cell r="A1617" t="str">
            <v>ALL_EM_DS_VIETNAM</v>
          </cell>
          <cell r="B1617" t="str">
            <v>Non$ Vietnam</v>
          </cell>
          <cell r="C1617" t="str">
            <v>BRS_GOLD__5_SPREADS:NUSD_EM,NUSD_EM_CORP_EE,NUSD_EM_CORP_MIDAF,NUSD_EM_CORP_SA,NUSD_EM_GOVT:EM_SOV-USD_EM:ALL_EM_DS_S_ASIA:ALL_EM_DS_VIETNAM</v>
          </cell>
          <cell r="D1617" t="str">
            <v>Spread Duration</v>
          </cell>
          <cell r="E1617" t="str">
            <v>Spread Yield (DxS)</v>
          </cell>
          <cell r="F1617" t="str">
            <v>SP-Spread Emerging Markets - Country</v>
          </cell>
          <cell r="G1617" t="str">
            <v>SP-Spread Emerging Markets</v>
          </cell>
          <cell r="H1617" t="str">
            <v>SPREADS</v>
          </cell>
          <cell r="I1617" t="str">
            <v>Spread Emerging Markets - Country</v>
          </cell>
        </row>
        <row r="1618">
          <cell r="A1618" t="str">
            <v>ALL_EM_CORP_10</v>
          </cell>
          <cell r="B1618" t="str">
            <v>Non$ EM Mat Corp 10</v>
          </cell>
          <cell r="C1618" t="str">
            <v>BRS_GOLD__5_SPREADS:NUSD_EM,NUSD_EM_CORP_EE,NUSD_EM_CORP_MIDAF,NUSD_EM_CORP_SA,NUSD_EM_GOVT:EM_CORP-USD_EM,NUSD_EM_CORP_EE,NUSD_EM_CORP_MIDAF,NUSD_EM_CORP_SA:EM_CORP-USD_EM-EM_ASIA:EM_MAT-USD_EM-EM_ASIA:ALL_EM_CORP_10</v>
          </cell>
          <cell r="D1618" t="str">
            <v>Spread Duration</v>
          </cell>
          <cell r="E1618" t="str">
            <v>Spread Yield (DxS)</v>
          </cell>
          <cell r="F1618" t="str">
            <v>SP-Corporate HY EUR</v>
          </cell>
          <cell r="G1618" t="str">
            <v>SP-Spread Corporate</v>
          </cell>
          <cell r="H1618" t="str">
            <v>SPREADS</v>
          </cell>
          <cell r="I1618" t="str">
            <v>Corporate HY EUR - Maturity</v>
          </cell>
        </row>
        <row r="1619">
          <cell r="A1619" t="str">
            <v>ALL_EM_CORP_30</v>
          </cell>
          <cell r="B1619" t="str">
            <v>Non$ EM Mat Corp 30</v>
          </cell>
          <cell r="C1619" t="str">
            <v>BRS_GOLD__5_SPREADS:NUSD_EM,NUSD_EM_CORP_EE,NUSD_EM_CORP_MIDAF,NUSD_EM_CORP_SA,NUSD_EM_GOVT:EM_CORP-USD_EM,NUSD_EM_CORP_EE,NUSD_EM_CORP_MIDAF,NUSD_EM_CORP_SA:EM_CORP-USD_EM-EM_ASIA:EM_MAT-USD_EM-EM_ASIA:ALL_EM_CORP_30</v>
          </cell>
          <cell r="D1619" t="str">
            <v>Spread Duration</v>
          </cell>
          <cell r="E1619" t="str">
            <v>Spread Yield (DxS)</v>
          </cell>
          <cell r="F1619" t="str">
            <v>SP-Corporate HY EUR</v>
          </cell>
          <cell r="G1619" t="str">
            <v>SP-Spread Corporate</v>
          </cell>
          <cell r="H1619" t="str">
            <v>SPREADS</v>
          </cell>
          <cell r="I1619" t="str">
            <v>Corporate HY EUR - Maturity</v>
          </cell>
        </row>
        <row r="1620">
          <cell r="A1620" t="str">
            <v>ALL_EE_FIN</v>
          </cell>
          <cell r="B1620" t="str">
            <v>Non$ E Eur Fin</v>
          </cell>
          <cell r="C1620" t="str">
            <v>BRS_GOLD__5_SPREADS:NUSD_EM,NUSD_EM_CORP_EE,NUSD_EM_CORP_MIDAF,NUSD_EM_CORP_SA,NUSD_EM_GOVT:EM_CORP-USD_EM,NUSD_EM_CORP_EE,NUSD_EM_CORP_MIDAF,NUSD_EM_CORP_SA:EM_CORP-USD_EM-EM_ASIA:EM_CORP-USD_EM-EM_ASIA-EM_MAT:ALL_EE_FIN</v>
          </cell>
          <cell r="D1620" t="str">
            <v>Spread Duration</v>
          </cell>
          <cell r="E1620" t="str">
            <v>Spread Yield (DxS)</v>
          </cell>
          <cell r="F1620" t="str">
            <v>SP-Corporate HY EUR</v>
          </cell>
          <cell r="G1620" t="str">
            <v>SP-Spread Corporate</v>
          </cell>
          <cell r="H1620" t="str">
            <v>SPREADS</v>
          </cell>
          <cell r="I1620" t="str">
            <v>Corporate HY EUR - Industry</v>
          </cell>
        </row>
        <row r="1621">
          <cell r="A1621" t="str">
            <v>ALL_EE_IND</v>
          </cell>
          <cell r="B1621" t="str">
            <v>Non$ E Eur Ind</v>
          </cell>
          <cell r="C1621" t="str">
            <v>BRS_GOLD__5_SPREADS:NUSD_EM,NUSD_EM_CORP_EE,NUSD_EM_CORP_MIDAF,NUSD_EM_CORP_SA,NUSD_EM_GOVT:EM_CORP-USD_EM,NUSD_EM_CORP_EE,NUSD_EM_CORP_MIDAF,NUSD_EM_CORP_SA:EM_CORP-USD_EM-EM_ASIA:EM_CORP-USD_EM-EM_ASIA-EM_MAT:ALL_EE_IND</v>
          </cell>
          <cell r="D1621" t="str">
            <v>Spread Duration</v>
          </cell>
          <cell r="E1621" t="str">
            <v>Spread Yield (DxS)</v>
          </cell>
          <cell r="F1621" t="str">
            <v>SP-Corporate HY EUR</v>
          </cell>
          <cell r="G1621" t="str">
            <v>SP-Spread Corporate</v>
          </cell>
          <cell r="H1621" t="str">
            <v>SPREADS</v>
          </cell>
          <cell r="I1621" t="str">
            <v>Corporate HY EUR - Industry</v>
          </cell>
        </row>
        <row r="1622">
          <cell r="A1622" t="str">
            <v>ALL_MIDAF_CORP</v>
          </cell>
          <cell r="B1622" t="str">
            <v>Non$ Mid E Africa Corp</v>
          </cell>
          <cell r="C1622" t="str">
            <v>BRS_GOLD__5_SPREADS:NUSD_EM,NUSD_EM_CORP_EE,NUSD_EM_CORP_MIDAF,NUSD_EM_CORP_SA,NUSD_EM_GOVT:EM_CORP-USD_EM,NUSD_EM_CORP_EE,NUSD_EM_CORP_MIDAF,NUSD_EM_CORP_SA:EM_CORP-USD_EM-EM_ASIA:EM_CORP-USD_EM-EM_ASIA-EM_MAT:ALL_MIDAF_CORP</v>
          </cell>
          <cell r="D1622" t="str">
            <v>Spread Duration</v>
          </cell>
          <cell r="E1622" t="str">
            <v>Spread Yield (DxS)</v>
          </cell>
          <cell r="F1622" t="str">
            <v>SP-Corporate HY EUR</v>
          </cell>
          <cell r="G1622" t="str">
            <v>SP-Spread Corporate</v>
          </cell>
          <cell r="H1622" t="str">
            <v>SPREADS</v>
          </cell>
          <cell r="I1622" t="str">
            <v>Corporate HY EUR - Industry</v>
          </cell>
        </row>
        <row r="1623">
          <cell r="A1623" t="str">
            <v>ALL_SA_FIN_HY</v>
          </cell>
          <cell r="B1623" t="str">
            <v>Non$ S America Fin HY</v>
          </cell>
          <cell r="C1623" t="str">
            <v>BRS_GOLD__5_SPREADS:NUSD_EM,NUSD_EM_CORP_EE,NUSD_EM_CORP_MIDAF,NUSD_EM_CORP_SA,NUSD_EM_GOVT:EM_CORP-USD_EM,NUSD_EM_CORP_EE,NUSD_EM_CORP_MIDAF,NUSD_EM_CORP_SA:EM_CORP-USD_EM-EM_ASIA:EM_CORP-USD_EM-EM_ASIA-EM_MAT:ALL_SA_FIN_HY</v>
          </cell>
          <cell r="D1623" t="str">
            <v>Spread Duration</v>
          </cell>
          <cell r="E1623" t="str">
            <v>Spread Yield (DxS)</v>
          </cell>
          <cell r="F1623" t="str">
            <v>SP-Corporate HY EUR</v>
          </cell>
          <cell r="G1623" t="str">
            <v>SP-Spread Corporate</v>
          </cell>
          <cell r="H1623" t="str">
            <v>SPREADS</v>
          </cell>
          <cell r="I1623" t="str">
            <v>Corporate HY EUR - Industry</v>
          </cell>
        </row>
        <row r="1624">
          <cell r="A1624" t="str">
            <v>ALL_SA_FIN_IG</v>
          </cell>
          <cell r="B1624" t="str">
            <v>Non$ S America Fin IG</v>
          </cell>
          <cell r="C1624" t="str">
            <v>BRS_GOLD__5_SPREADS:NUSD_EM,NUSD_EM_CORP_EE,NUSD_EM_CORP_MIDAF,NUSD_EM_CORP_SA,NUSD_EM_GOVT:EM_CORP-USD_EM,NUSD_EM_CORP_EE,NUSD_EM_CORP_MIDAF,NUSD_EM_CORP_SA:EM_CORP-USD_EM-EM_ASIA:EM_CORP-USD_EM-EM_ASIA-EM_MAT:ALL_SA_FIN_IG</v>
          </cell>
          <cell r="D1624" t="str">
            <v>Spread Duration</v>
          </cell>
          <cell r="E1624" t="str">
            <v>Spread Yield (DxS)</v>
          </cell>
          <cell r="F1624" t="str">
            <v>SP-Corporate IG EUR</v>
          </cell>
          <cell r="G1624" t="str">
            <v>SP-Spread Corporate</v>
          </cell>
          <cell r="H1624" t="str">
            <v>SPREADS</v>
          </cell>
          <cell r="I1624" t="str">
            <v>Corporate IG EUR - Industry</v>
          </cell>
        </row>
        <row r="1625">
          <cell r="A1625" t="str">
            <v>ALL_SA_IND_HY</v>
          </cell>
          <cell r="B1625" t="str">
            <v>Non$ S America Ind HY</v>
          </cell>
          <cell r="C1625" t="str">
            <v>BRS_GOLD__5_SPREADS:NUSD_EM,NUSD_EM_CORP_EE,NUSD_EM_CORP_MIDAF,NUSD_EM_CORP_SA,NUSD_EM_GOVT:EM_CORP-USD_EM,NUSD_EM_CORP_EE,NUSD_EM_CORP_MIDAF,NUSD_EM_CORP_SA:EM_CORP-USD_EM-EM_ASIA:EM_CORP-USD_EM-EM_ASIA-EM_MAT:ALL_SA_IND_HY</v>
          </cell>
          <cell r="D1625" t="str">
            <v>Spread Duration</v>
          </cell>
          <cell r="E1625" t="str">
            <v>Spread Yield (DxS)</v>
          </cell>
          <cell r="F1625" t="str">
            <v>SP-Corporate HY EUR</v>
          </cell>
          <cell r="G1625" t="str">
            <v>SP-Spread Corporate</v>
          </cell>
          <cell r="H1625" t="str">
            <v>SPREADS</v>
          </cell>
          <cell r="I1625" t="str">
            <v>Corporate HY EUR - Industry</v>
          </cell>
        </row>
        <row r="1626">
          <cell r="A1626" t="str">
            <v>ALL_SA_IND_IG</v>
          </cell>
          <cell r="B1626" t="str">
            <v>Non$ S America Ind IG</v>
          </cell>
          <cell r="C1626" t="str">
            <v>BRS_GOLD__5_SPREADS:NUSD_EM,NUSD_EM_CORP_EE,NUSD_EM_CORP_MIDAF,NUSD_EM_CORP_SA,NUSD_EM_GOVT:EM_CORP-USD_EM,NUSD_EM_CORP_EE,NUSD_EM_CORP_MIDAF,NUSD_EM_CORP_SA:EM_CORP-USD_EM-EM_ASIA:EM_CORP-USD_EM-EM_ASIA-EM_MAT:ALL_SA_IND_IG</v>
          </cell>
          <cell r="D1626" t="str">
            <v>Spread Duration</v>
          </cell>
          <cell r="E1626" t="str">
            <v>Spread Yield (DxS)</v>
          </cell>
          <cell r="F1626" t="str">
            <v>SP-Corporate IG EUR</v>
          </cell>
          <cell r="G1626" t="str">
            <v>SP-Spread Corporate</v>
          </cell>
          <cell r="H1626" t="str">
            <v>SPREADS</v>
          </cell>
          <cell r="I1626" t="str">
            <v>Corporate IG EUR - Industry</v>
          </cell>
        </row>
        <row r="1627">
          <cell r="A1627" t="str">
            <v>ALL_ASIA_CORP_10</v>
          </cell>
          <cell r="B1627" t="str">
            <v>Non$ Asia Mat Corp 10</v>
          </cell>
          <cell r="C1627" t="str">
            <v>BRS_GOLD__5_SPREADS:NUSD_EM,NUSD_EM_CORP_EE,NUSD_EM_CORP_MIDAF,NUSD_EM_CORP_SA,NUSD_EM_GOVT:EM_CORP-USD_EM,NUSD_EM_CORP_EE,NUSD_EM_CORP_MIDAF,NUSD_EM_CORP_SA:EM_ASIA-USD_EM:EM_MAT-USD_EM-ALL_EM_CORP_10-ALL_EM_CORP_30:ALL_ASIA_CORP_10</v>
          </cell>
          <cell r="D1627" t="str">
            <v>Spread Duration</v>
          </cell>
          <cell r="E1627" t="str">
            <v>Spread Yield (DxS)</v>
          </cell>
          <cell r="F1627" t="str">
            <v>SP-Corporate HY EUR</v>
          </cell>
          <cell r="G1627" t="str">
            <v>SP-Spread Corporate</v>
          </cell>
          <cell r="H1627" t="str">
            <v>SPREADS</v>
          </cell>
          <cell r="I1627" t="str">
            <v>Corporate HY EUR - Maturity</v>
          </cell>
        </row>
        <row r="1628">
          <cell r="A1628" t="str">
            <v>ALL_ASIA_CORP_30</v>
          </cell>
          <cell r="B1628" t="str">
            <v>Non$ Asia Mat Corp 30</v>
          </cell>
          <cell r="C1628" t="str">
            <v>BRS_GOLD__5_SPREADS:NUSD_EM,NUSD_EM_CORP_EE,NUSD_EM_CORP_MIDAF,NUSD_EM_CORP_SA,NUSD_EM_GOVT:EM_CORP-USD_EM,NUSD_EM_CORP_EE,NUSD_EM_CORP_MIDAF,NUSD_EM_CORP_SA:EM_ASIA-USD_EM:EM_MAT-USD_EM-ALL_EM_CORP_10-ALL_EM_CORP_30:ALL_ASIA_CORP_30</v>
          </cell>
          <cell r="D1628" t="str">
            <v>Spread Duration</v>
          </cell>
          <cell r="E1628" t="str">
            <v>Spread Yield (DxS)</v>
          </cell>
          <cell r="F1628" t="str">
            <v>SP-Corporate HY EUR</v>
          </cell>
          <cell r="G1628" t="str">
            <v>SP-Spread Corporate</v>
          </cell>
          <cell r="H1628" t="str">
            <v>SPREADS</v>
          </cell>
          <cell r="I1628" t="str">
            <v>Corporate HY EUR - Maturity</v>
          </cell>
        </row>
        <row r="1629">
          <cell r="A1629" t="str">
            <v>ALL_CN_CORP_HY</v>
          </cell>
          <cell r="B1629" t="str">
            <v>Non$ China Corp HY</v>
          </cell>
          <cell r="C1629" t="str">
            <v>BRS_GOLD__5_SPREADS:NUSD_EM,NUSD_EM_CORP_EE,NUSD_EM_CORP_MIDAF,NUSD_EM_CORP_SA,NUSD_EM_GOVT:EM_CORP-USD_EM,NUSD_EM_CORP_EE,NUSD_EM_CORP_MIDAF,NUSD_EM_CORP_SA:EM_ASIA-USD_EM:EM_ASIA_CN-USD_EM:ALL_CN_CORP_HY</v>
          </cell>
          <cell r="D1629" t="str">
            <v>Spread Duration</v>
          </cell>
          <cell r="E1629" t="str">
            <v>Spread Yield (DxS)</v>
          </cell>
          <cell r="F1629" t="str">
            <v>SP-Corporate HY EUR</v>
          </cell>
          <cell r="G1629" t="str">
            <v>SP-Spread Corporate</v>
          </cell>
          <cell r="H1629" t="str">
            <v>SPREADS</v>
          </cell>
          <cell r="I1629" t="str">
            <v>Corporate HY EUR - Industry</v>
          </cell>
        </row>
        <row r="1630">
          <cell r="A1630" t="str">
            <v>ALL_CN_CORP_IG</v>
          </cell>
          <cell r="B1630" t="str">
            <v>Non$ China Corp IG</v>
          </cell>
          <cell r="C1630" t="str">
            <v>BRS_GOLD__5_SPREADS:NUSD_EM,NUSD_EM_CORP_EE,NUSD_EM_CORP_MIDAF,NUSD_EM_CORP_SA,NUSD_EM_GOVT:EM_CORP-USD_EM,NUSD_EM_CORP_EE,NUSD_EM_CORP_MIDAF,NUSD_EM_CORP_SA:EM_ASIA-USD_EM:EM_ASIA_CN-USD_EM:ALL_CN_CORP_IG</v>
          </cell>
          <cell r="D1630" t="str">
            <v>Spread Duration</v>
          </cell>
          <cell r="E1630" t="str">
            <v>Spread Yield (DxS)</v>
          </cell>
          <cell r="F1630" t="str">
            <v>SP-Corporate IG EUR</v>
          </cell>
          <cell r="G1630" t="str">
            <v>SP-Spread Corporate</v>
          </cell>
          <cell r="H1630" t="str">
            <v>SPREADS</v>
          </cell>
          <cell r="I1630" t="str">
            <v>Corporate IG EUR - Industry</v>
          </cell>
        </row>
        <row r="1631">
          <cell r="A1631" t="str">
            <v>ALL_CN_PROP_HY</v>
          </cell>
          <cell r="B1631" t="str">
            <v>Non$ China Property HY</v>
          </cell>
          <cell r="C1631" t="str">
            <v>BRS_GOLD__5_SPREADS:NUSD_EM,NUSD_EM_CORP_EE,NUSD_EM_CORP_MIDAF,NUSD_EM_CORP_SA,NUSD_EM_GOVT:EM_CORP-USD_EM,NUSD_EM_CORP_EE,NUSD_EM_CORP_MIDAF,NUSD_EM_CORP_SA:EM_ASIA-USD_EM:EM_ASIA_CN-USD_EM:ALL_CN_PROP_HY</v>
          </cell>
          <cell r="D1631" t="str">
            <v>Spread Duration</v>
          </cell>
          <cell r="E1631" t="str">
            <v>Spread Yield (DxS)</v>
          </cell>
          <cell r="F1631" t="str">
            <v>SP-Corporate HY EUR</v>
          </cell>
          <cell r="G1631" t="str">
            <v>SP-Spread Corporate</v>
          </cell>
          <cell r="H1631" t="str">
            <v>SPREADS</v>
          </cell>
          <cell r="I1631" t="str">
            <v>Corporate HY EUR - Industry</v>
          </cell>
        </row>
        <row r="1632">
          <cell r="A1632" t="str">
            <v>ALL_CN_PROP_IG</v>
          </cell>
          <cell r="B1632" t="str">
            <v>Non$ China Property IG</v>
          </cell>
          <cell r="C1632" t="str">
            <v>BRS_GOLD__5_SPREADS:NUSD_EM,NUSD_EM_CORP_EE,NUSD_EM_CORP_MIDAF,NUSD_EM_CORP_SA,NUSD_EM_GOVT:EM_CORP-USD_EM,NUSD_EM_CORP_EE,NUSD_EM_CORP_MIDAF,NUSD_EM_CORP_SA:EM_ASIA-USD_EM:EM_ASIA_CN-USD_EM:ALL_CN_PROP_IG</v>
          </cell>
          <cell r="D1632" t="str">
            <v>Spread Duration</v>
          </cell>
          <cell r="E1632" t="str">
            <v>Spread Yield (DxS)</v>
          </cell>
          <cell r="F1632" t="str">
            <v>SP-Corporate IG EUR</v>
          </cell>
          <cell r="G1632" t="str">
            <v>SP-Spread Corporate</v>
          </cell>
          <cell r="H1632" t="str">
            <v>SPREADS</v>
          </cell>
          <cell r="I1632" t="str">
            <v>Corporate IG EUR - Industry</v>
          </cell>
        </row>
        <row r="1633">
          <cell r="A1633" t="str">
            <v>ALL_CN_SOE</v>
          </cell>
          <cell r="B1633" t="str">
            <v>Non$ China State Owned</v>
          </cell>
          <cell r="C1633" t="str">
            <v>BRS_GOLD__5_SPREADS:NUSD_EM,NUSD_EM_CORP_EE,NUSD_EM_CORP_MIDAF,NUSD_EM_CORP_SA,NUSD_EM_GOVT:EM_CORP-USD_EM,NUSD_EM_CORP_EE,NUSD_EM_CORP_MIDAF,NUSD_EM_CORP_SA:EM_ASIA-USD_EM:EM_ASIA_CN-USD_EM:ALL_CN_SOE</v>
          </cell>
          <cell r="D1633" t="str">
            <v>Spread Duration</v>
          </cell>
          <cell r="E1633" t="str">
            <v>Spread Yield (DxS)</v>
          </cell>
          <cell r="F1633" t="str">
            <v>SP-Corporate HY EUR</v>
          </cell>
          <cell r="G1633" t="str">
            <v>SP-Spread Corporate</v>
          </cell>
          <cell r="H1633" t="str">
            <v>SPREADS</v>
          </cell>
          <cell r="I1633" t="str">
            <v>Corporate HY EUR - Industry</v>
          </cell>
        </row>
        <row r="1634">
          <cell r="A1634" t="str">
            <v>ALL_HK_FIN_HY</v>
          </cell>
          <cell r="B1634" t="str">
            <v>Non$ Hong Kong Fin HY</v>
          </cell>
          <cell r="C1634" t="str">
            <v>BRS_GOLD__5_SPREADS:NUSD_EM,NUSD_EM_CORP_EE,NUSD_EM_CORP_MIDAF,NUSD_EM_CORP_SA,NUSD_EM_GOVT:EM_CORP-USD_EM,NUSD_EM_CORP_EE,NUSD_EM_CORP_MIDAF,NUSD_EM_CORP_SA:EM_ASIA-USD_EM:EM_ASIA_HK-USD_EM:ALL_HK_FIN_HY</v>
          </cell>
          <cell r="D1634" t="str">
            <v>Spread Duration</v>
          </cell>
          <cell r="E1634" t="str">
            <v>Spread Yield (DxS)</v>
          </cell>
          <cell r="F1634" t="str">
            <v>SP-Corporate HY EUR</v>
          </cell>
          <cell r="G1634" t="str">
            <v>SP-Spread Corporate</v>
          </cell>
          <cell r="H1634" t="str">
            <v>SPREADS</v>
          </cell>
          <cell r="I1634" t="str">
            <v>Corporate HY EUR - Industry</v>
          </cell>
        </row>
        <row r="1635">
          <cell r="A1635" t="str">
            <v>ALL_HK_FIN_IG</v>
          </cell>
          <cell r="B1635" t="str">
            <v>Non$ Hong Kong Fin IG</v>
          </cell>
          <cell r="C1635" t="str">
            <v>BRS_GOLD__5_SPREADS:NUSD_EM,NUSD_EM_CORP_EE,NUSD_EM_CORP_MIDAF,NUSD_EM_CORP_SA,NUSD_EM_GOVT:EM_CORP-USD_EM,NUSD_EM_CORP_EE,NUSD_EM_CORP_MIDAF,NUSD_EM_CORP_SA:EM_ASIA-USD_EM:EM_ASIA_HK-USD_EM:ALL_HK_FIN_IG</v>
          </cell>
          <cell r="D1635" t="str">
            <v>Spread Duration</v>
          </cell>
          <cell r="E1635" t="str">
            <v>Spread Yield (DxS)</v>
          </cell>
          <cell r="F1635" t="str">
            <v>SP-Corporate IG EUR</v>
          </cell>
          <cell r="G1635" t="str">
            <v>SP-Spread Corporate</v>
          </cell>
          <cell r="H1635" t="str">
            <v>SPREADS</v>
          </cell>
          <cell r="I1635" t="str">
            <v>Corporate IG EUR - Industry</v>
          </cell>
        </row>
        <row r="1636">
          <cell r="A1636" t="str">
            <v>ALL_HK_IND_HY</v>
          </cell>
          <cell r="B1636" t="str">
            <v>Non$ Hong Kong Ind HY</v>
          </cell>
          <cell r="C1636" t="str">
            <v>BRS_GOLD__5_SPREADS:NUSD_EM,NUSD_EM_CORP_EE,NUSD_EM_CORP_MIDAF,NUSD_EM_CORP_SA,NUSD_EM_GOVT:EM_CORP-USD_EM,NUSD_EM_CORP_EE,NUSD_EM_CORP_MIDAF,NUSD_EM_CORP_SA:EM_ASIA-USD_EM:EM_ASIA_HK-USD_EM:ALL_HK_IND_HY</v>
          </cell>
          <cell r="D1636" t="str">
            <v>Spread Duration</v>
          </cell>
          <cell r="E1636" t="str">
            <v>Spread Yield (DxS)</v>
          </cell>
          <cell r="F1636" t="str">
            <v>SP-Corporate HY EUR</v>
          </cell>
          <cell r="G1636" t="str">
            <v>SP-Spread Corporate</v>
          </cell>
          <cell r="H1636" t="str">
            <v>SPREADS</v>
          </cell>
          <cell r="I1636" t="str">
            <v>Corporate HY EUR - Industry</v>
          </cell>
        </row>
        <row r="1637">
          <cell r="A1637" t="str">
            <v>ALL_HK_IND_IG</v>
          </cell>
          <cell r="B1637" t="str">
            <v>Non$ Hong Kong Ind IG</v>
          </cell>
          <cell r="C1637" t="str">
            <v>BRS_GOLD__5_SPREADS:NUSD_EM,NUSD_EM_CORP_EE,NUSD_EM_CORP_MIDAF,NUSD_EM_CORP_SA,NUSD_EM_GOVT:EM_CORP-USD_EM,NUSD_EM_CORP_EE,NUSD_EM_CORP_MIDAF,NUSD_EM_CORP_SA:EM_ASIA-USD_EM:EM_ASIA_HK-USD_EM:ALL_HK_IND_IG</v>
          </cell>
          <cell r="D1637" t="str">
            <v>Spread Duration</v>
          </cell>
          <cell r="E1637" t="str">
            <v>Spread Yield (DxS)</v>
          </cell>
          <cell r="F1637" t="str">
            <v>SP-Corporate IG EUR</v>
          </cell>
          <cell r="G1637" t="str">
            <v>SP-Spread Corporate</v>
          </cell>
          <cell r="H1637" t="str">
            <v>SPREADS</v>
          </cell>
          <cell r="I1637" t="str">
            <v>Corporate IG EUR - Industry</v>
          </cell>
        </row>
        <row r="1638">
          <cell r="A1638" t="str">
            <v>ALL_ID_CORP_HY</v>
          </cell>
          <cell r="B1638" t="str">
            <v>Non$ Indonesia Corp HY</v>
          </cell>
          <cell r="C1638" t="str">
            <v>BRS_GOLD__5_SPREADS:NUSD_EM,NUSD_EM_CORP_EE,NUSD_EM_CORP_MIDAF,NUSD_EM_CORP_SA,NUSD_EM_GOVT:EM_CORP-USD_EM,NUSD_EM_CORP_EE,NUSD_EM_CORP_MIDAF,NUSD_EM_CORP_SA:EM_ASIA-USD_EM:EM_ASIA_ID-USD_EM:ALL_ID_CORP_HY</v>
          </cell>
          <cell r="D1638" t="str">
            <v>Spread Duration</v>
          </cell>
          <cell r="E1638" t="str">
            <v>Spread Yield (DxS)</v>
          </cell>
          <cell r="F1638" t="str">
            <v>SP-Corporate HY EUR</v>
          </cell>
          <cell r="G1638" t="str">
            <v>SP-Spread Corporate</v>
          </cell>
          <cell r="H1638" t="str">
            <v>SPREADS</v>
          </cell>
          <cell r="I1638" t="str">
            <v>Corporate HY EUR - Industry</v>
          </cell>
        </row>
        <row r="1639">
          <cell r="A1639" t="str">
            <v>ALL_ID_CORP_IG</v>
          </cell>
          <cell r="B1639" t="str">
            <v>Non$ Indonesia Corp IG</v>
          </cell>
          <cell r="C1639" t="str">
            <v>BRS_GOLD__5_SPREADS:NUSD_EM,NUSD_EM_CORP_EE,NUSD_EM_CORP_MIDAF,NUSD_EM_CORP_SA,NUSD_EM_GOVT:EM_CORP-USD_EM,NUSD_EM_CORP_EE,NUSD_EM_CORP_MIDAF,NUSD_EM_CORP_SA:EM_ASIA-USD_EM:EM_ASIA_ID-USD_EM:ALL_ID_CORP_IG</v>
          </cell>
          <cell r="D1639" t="str">
            <v>Spread Duration</v>
          </cell>
          <cell r="E1639" t="str">
            <v>Spread Yield (DxS)</v>
          </cell>
          <cell r="F1639" t="str">
            <v>SP-Corporate IG EUR</v>
          </cell>
          <cell r="G1639" t="str">
            <v>SP-Spread Corporate</v>
          </cell>
          <cell r="H1639" t="str">
            <v>SPREADS</v>
          </cell>
          <cell r="I1639" t="str">
            <v>Corporate IG EUR - Industry</v>
          </cell>
        </row>
        <row r="1640">
          <cell r="A1640" t="str">
            <v>ALL_ID_RSRC_HY</v>
          </cell>
          <cell r="B1640" t="str">
            <v>Non$ Indonesia Resources HY</v>
          </cell>
          <cell r="C1640" t="str">
            <v>BRS_GOLD__5_SPREADS:NUSD_EM,NUSD_EM_CORP_EE,NUSD_EM_CORP_MIDAF,NUSD_EM_CORP_SA,NUSD_EM_GOVT:EM_CORP-USD_EM,NUSD_EM_CORP_EE,NUSD_EM_CORP_MIDAF,NUSD_EM_CORP_SA:EM_ASIA-USD_EM:EM_ASIA_ID-USD_EM:ALL_ID_RSRC_HY</v>
          </cell>
          <cell r="D1640" t="str">
            <v>Spread Duration</v>
          </cell>
          <cell r="E1640" t="str">
            <v>Spread Yield (DxS)</v>
          </cell>
          <cell r="F1640" t="str">
            <v>SP-Corporate HY EUR</v>
          </cell>
          <cell r="G1640" t="str">
            <v>SP-Spread Corporate</v>
          </cell>
          <cell r="H1640" t="str">
            <v>SPREADS</v>
          </cell>
          <cell r="I1640" t="str">
            <v>Corporate HY EUR - Industry</v>
          </cell>
        </row>
        <row r="1641">
          <cell r="A1641" t="str">
            <v>ALL_ID_RSRC_IG</v>
          </cell>
          <cell r="B1641" t="str">
            <v>Non$ Indonesia Resources IG</v>
          </cell>
          <cell r="C1641" t="str">
            <v>BRS_GOLD__5_SPREADS:NUSD_EM,NUSD_EM_CORP_EE,NUSD_EM_CORP_MIDAF,NUSD_EM_CORP_SA,NUSD_EM_GOVT:EM_CORP-USD_EM,NUSD_EM_CORP_EE,NUSD_EM_CORP_MIDAF,NUSD_EM_CORP_SA:EM_ASIA-USD_EM:EM_ASIA_ID-USD_EM:ALL_ID_RSRC_IG</v>
          </cell>
          <cell r="D1641" t="str">
            <v>Spread Duration</v>
          </cell>
          <cell r="E1641" t="str">
            <v>Spread Yield (DxS)</v>
          </cell>
          <cell r="F1641" t="str">
            <v>SP-Corporate IG EUR</v>
          </cell>
          <cell r="G1641" t="str">
            <v>SP-Spread Corporate</v>
          </cell>
          <cell r="H1641" t="str">
            <v>SPREADS</v>
          </cell>
          <cell r="I1641" t="str">
            <v>Corporate IG EUR - Industry</v>
          </cell>
        </row>
        <row r="1642">
          <cell r="A1642" t="str">
            <v>ALL_IN_CORP_HY</v>
          </cell>
          <cell r="B1642" t="str">
            <v>Non$ India Corp HY</v>
          </cell>
          <cell r="C1642" t="str">
            <v>BRS_GOLD__5_SPREADS:NUSD_EM,NUSD_EM_CORP_EE,NUSD_EM_CORP_MIDAF,NUSD_EM_CORP_SA,NUSD_EM_GOVT:EM_CORP-USD_EM,NUSD_EM_CORP_EE,NUSD_EM_CORP_MIDAF,NUSD_EM_CORP_SA:EM_ASIA-USD_EM:EM_ASIA_IN-USD_EM:ALL_IN_CORP_HY</v>
          </cell>
          <cell r="D1642" t="str">
            <v>Spread Duration</v>
          </cell>
          <cell r="E1642" t="str">
            <v>Spread Yield (DxS)</v>
          </cell>
          <cell r="F1642" t="str">
            <v>SP-Corporate HY EUR</v>
          </cell>
          <cell r="G1642" t="str">
            <v>SP-Spread Corporate</v>
          </cell>
          <cell r="H1642" t="str">
            <v>SPREADS</v>
          </cell>
          <cell r="I1642" t="str">
            <v>Corporate HY EUR - Industry</v>
          </cell>
        </row>
        <row r="1643">
          <cell r="A1643" t="str">
            <v>ALL_IN_CORP_IG</v>
          </cell>
          <cell r="B1643" t="str">
            <v>Non$ India Corp IG</v>
          </cell>
          <cell r="C1643" t="str">
            <v>BRS_GOLD__5_SPREADS:NUSD_EM,NUSD_EM_CORP_EE,NUSD_EM_CORP_MIDAF,NUSD_EM_CORP_SA,NUSD_EM_GOVT:EM_CORP-USD_EM,NUSD_EM_CORP_EE,NUSD_EM_CORP_MIDAF,NUSD_EM_CORP_SA:EM_ASIA-USD_EM:EM_ASIA_IN-USD_EM:ALL_IN_CORP_IG</v>
          </cell>
          <cell r="D1643" t="str">
            <v>Spread Duration</v>
          </cell>
          <cell r="E1643" t="str">
            <v>Spread Yield (DxS)</v>
          </cell>
          <cell r="F1643" t="str">
            <v>SP-Corporate IG EUR</v>
          </cell>
          <cell r="G1643" t="str">
            <v>SP-Spread Corporate</v>
          </cell>
          <cell r="H1643" t="str">
            <v>SPREADS</v>
          </cell>
          <cell r="I1643" t="str">
            <v>Corporate IG EUR - Industry</v>
          </cell>
        </row>
        <row r="1644">
          <cell r="A1644" t="str">
            <v>ALL_IN_SOE</v>
          </cell>
          <cell r="B1644" t="str">
            <v>Non$ India State Owned</v>
          </cell>
          <cell r="C1644" t="str">
            <v>BRS_GOLD__5_SPREADS:NUSD_EM,NUSD_EM_CORP_EE,NUSD_EM_CORP_MIDAF,NUSD_EM_CORP_SA,NUSD_EM_GOVT:EM_CORP-USD_EM,NUSD_EM_CORP_EE,NUSD_EM_CORP_MIDAF,NUSD_EM_CORP_SA:EM_ASIA-USD_EM:EM_ASIA_IN-USD_EM:ALL_IN_SOE</v>
          </cell>
          <cell r="D1644" t="str">
            <v>Spread Duration</v>
          </cell>
          <cell r="E1644" t="str">
            <v>Spread Yield (DxS)</v>
          </cell>
          <cell r="F1644" t="str">
            <v>SP-Corporate HY EUR</v>
          </cell>
          <cell r="G1644" t="str">
            <v>SP-Spread Corporate</v>
          </cell>
          <cell r="H1644" t="str">
            <v>SPREADS</v>
          </cell>
          <cell r="I1644" t="str">
            <v>Corporate HY EUR - Industry</v>
          </cell>
        </row>
        <row r="1645">
          <cell r="A1645" t="str">
            <v>ALL_KR_FIN_HY</v>
          </cell>
          <cell r="B1645" t="str">
            <v>Non$ Korea Fin HY</v>
          </cell>
          <cell r="C1645" t="str">
            <v>BRS_GOLD__5_SPREADS:NUSD_EM,NUSD_EM_CORP_EE,NUSD_EM_CORP_MIDAF,NUSD_EM_CORP_SA,NUSD_EM_GOVT:EM_CORP-USD_EM,NUSD_EM_CORP_EE,NUSD_EM_CORP_MIDAF,NUSD_EM_CORP_SA:EM_ASIA-USD_EM:EM_ASIA_KR-USD_EM:ALL_KR_FIN_HY</v>
          </cell>
          <cell r="D1645" t="str">
            <v>Spread Duration</v>
          </cell>
          <cell r="E1645" t="str">
            <v>Spread Yield (DxS)</v>
          </cell>
          <cell r="F1645" t="str">
            <v>SP-Corporate HY EUR</v>
          </cell>
          <cell r="G1645" t="str">
            <v>SP-Spread Corporate</v>
          </cell>
          <cell r="H1645" t="str">
            <v>SPREADS</v>
          </cell>
          <cell r="I1645" t="str">
            <v>Corporate HY EUR - Industry</v>
          </cell>
        </row>
        <row r="1646">
          <cell r="A1646" t="str">
            <v>ALL_KR_FIN_IG</v>
          </cell>
          <cell r="B1646" t="str">
            <v>Non$ Korea Fin IG</v>
          </cell>
          <cell r="C1646" t="str">
            <v>BRS_GOLD__5_SPREADS:NUSD_EM,NUSD_EM_CORP_EE,NUSD_EM_CORP_MIDAF,NUSD_EM_CORP_SA,NUSD_EM_GOVT:EM_CORP-USD_EM,NUSD_EM_CORP_EE,NUSD_EM_CORP_MIDAF,NUSD_EM_CORP_SA:EM_ASIA-USD_EM:EM_ASIA_KR-USD_EM:ALL_KR_FIN_IG</v>
          </cell>
          <cell r="D1646" t="str">
            <v>Spread Duration</v>
          </cell>
          <cell r="E1646" t="str">
            <v>Spread Yield (DxS)</v>
          </cell>
          <cell r="F1646" t="str">
            <v>SP-Corporate IG EUR</v>
          </cell>
          <cell r="G1646" t="str">
            <v>SP-Spread Corporate</v>
          </cell>
          <cell r="H1646" t="str">
            <v>SPREADS</v>
          </cell>
          <cell r="I1646" t="str">
            <v>Corporate IG EUR - Industry</v>
          </cell>
        </row>
        <row r="1647">
          <cell r="A1647" t="str">
            <v>ALL_KR_IND_HY</v>
          </cell>
          <cell r="B1647" t="str">
            <v>Non$ Korea Ind HY</v>
          </cell>
          <cell r="C1647" t="str">
            <v>BRS_GOLD__5_SPREADS:NUSD_EM,NUSD_EM_CORP_EE,NUSD_EM_CORP_MIDAF,NUSD_EM_CORP_SA,NUSD_EM_GOVT:EM_CORP-USD_EM,NUSD_EM_CORP_EE,NUSD_EM_CORP_MIDAF,NUSD_EM_CORP_SA:EM_ASIA-USD_EM:EM_ASIA_KR-USD_EM:ALL_KR_IND_HY</v>
          </cell>
          <cell r="D1647" t="str">
            <v>Spread Duration</v>
          </cell>
          <cell r="E1647" t="str">
            <v>Spread Yield (DxS)</v>
          </cell>
          <cell r="F1647" t="str">
            <v>SP-Corporate HY EUR</v>
          </cell>
          <cell r="G1647" t="str">
            <v>SP-Spread Corporate</v>
          </cell>
          <cell r="H1647" t="str">
            <v>SPREADS</v>
          </cell>
          <cell r="I1647" t="str">
            <v>Corporate HY EUR - Industry</v>
          </cell>
        </row>
        <row r="1648">
          <cell r="A1648" t="str">
            <v>ALL_KR_IND_IG</v>
          </cell>
          <cell r="B1648" t="str">
            <v>Non$ Korea Ind IG</v>
          </cell>
          <cell r="C1648" t="str">
            <v>BRS_GOLD__5_SPREADS:NUSD_EM,NUSD_EM_CORP_EE,NUSD_EM_CORP_MIDAF,NUSD_EM_CORP_SA,NUSD_EM_GOVT:EM_CORP-USD_EM,NUSD_EM_CORP_EE,NUSD_EM_CORP_MIDAF,NUSD_EM_CORP_SA:EM_ASIA-USD_EM:EM_ASIA_KR-USD_EM:ALL_KR_IND_IG</v>
          </cell>
          <cell r="D1648" t="str">
            <v>Spread Duration</v>
          </cell>
          <cell r="E1648" t="str">
            <v>Spread Yield (DxS)</v>
          </cell>
          <cell r="F1648" t="str">
            <v>SP-Corporate IG EUR</v>
          </cell>
          <cell r="G1648" t="str">
            <v>SP-Spread Corporate</v>
          </cell>
          <cell r="H1648" t="str">
            <v>SPREADS</v>
          </cell>
          <cell r="I1648" t="str">
            <v>Corporate IG EUR - Industry</v>
          </cell>
        </row>
        <row r="1649">
          <cell r="A1649" t="str">
            <v>ALL_KR_SOE</v>
          </cell>
          <cell r="B1649" t="str">
            <v>Non$ Korea State Owned</v>
          </cell>
          <cell r="C1649" t="str">
            <v>BRS_GOLD__5_SPREADS:NUSD_EM,NUSD_EM_CORP_EE,NUSD_EM_CORP_MIDAF,NUSD_EM_CORP_SA,NUSD_EM_GOVT:EM_CORP-USD_EM,NUSD_EM_CORP_EE,NUSD_EM_CORP_MIDAF,NUSD_EM_CORP_SA:EM_ASIA-USD_EM:EM_ASIA_KR-USD_EM:ALL_KR_SOE</v>
          </cell>
          <cell r="D1649" t="str">
            <v>Spread Duration</v>
          </cell>
          <cell r="E1649" t="str">
            <v>Spread Yield (DxS)</v>
          </cell>
          <cell r="F1649" t="str">
            <v>SP-Corporate HY EUR</v>
          </cell>
          <cell r="G1649" t="str">
            <v>SP-Spread Corporate</v>
          </cell>
          <cell r="H1649" t="str">
            <v>SPREADS</v>
          </cell>
          <cell r="I1649" t="str">
            <v>Corporate HY EUR - Industry</v>
          </cell>
        </row>
        <row r="1650">
          <cell r="A1650" t="str">
            <v>ALL_PH_CORP_HY</v>
          </cell>
          <cell r="B1650" t="str">
            <v>Non$ Philippines Corp HY</v>
          </cell>
          <cell r="C1650" t="str">
            <v>BRS_GOLD__5_SPREADS:NUSD_EM,NUSD_EM_CORP_EE,NUSD_EM_CORP_MIDAF,NUSD_EM_CORP_SA,NUSD_EM_GOVT:EM_CORP-USD_EM,NUSD_EM_CORP_EE,NUSD_EM_CORP_MIDAF,NUSD_EM_CORP_SA:EM_ASIA-USD_EM:EM_ASIA_PH-USD_EM:ALL_PH_CORP_HY</v>
          </cell>
          <cell r="D1650" t="str">
            <v>Spread Duration</v>
          </cell>
          <cell r="E1650" t="str">
            <v>Spread Yield (DxS)</v>
          </cell>
          <cell r="F1650" t="str">
            <v>SP-Corporate HY EUR</v>
          </cell>
          <cell r="G1650" t="str">
            <v>SP-Spread Corporate</v>
          </cell>
          <cell r="H1650" t="str">
            <v>SPREADS</v>
          </cell>
          <cell r="I1650" t="str">
            <v>Corporate HY EUR - Industry</v>
          </cell>
        </row>
        <row r="1651">
          <cell r="A1651" t="str">
            <v>ALL_PH_CORP_IG</v>
          </cell>
          <cell r="B1651" t="str">
            <v>Non$ Philippines Corp IG</v>
          </cell>
          <cell r="C1651" t="str">
            <v>BRS_GOLD__5_SPREADS:NUSD_EM,NUSD_EM_CORP_EE,NUSD_EM_CORP_MIDAF,NUSD_EM_CORP_SA,NUSD_EM_GOVT:EM_CORP-USD_EM,NUSD_EM_CORP_EE,NUSD_EM_CORP_MIDAF,NUSD_EM_CORP_SA:EM_ASIA-USD_EM:EM_ASIA_PH-USD_EM:ALL_PH_CORP_IG</v>
          </cell>
          <cell r="D1651" t="str">
            <v>Spread Duration</v>
          </cell>
          <cell r="E1651" t="str">
            <v>Spread Yield (DxS)</v>
          </cell>
          <cell r="F1651" t="str">
            <v>SP-Corporate IG EUR</v>
          </cell>
          <cell r="G1651" t="str">
            <v>SP-Spread Corporate</v>
          </cell>
          <cell r="H1651" t="str">
            <v>SPREADS</v>
          </cell>
          <cell r="I1651" t="str">
            <v>Corporate IG EUR - Industry</v>
          </cell>
        </row>
        <row r="1652">
          <cell r="A1652" t="str">
            <v>ALL_SG_CORP_HY</v>
          </cell>
          <cell r="B1652" t="str">
            <v>Non$ Singapore Corp HY</v>
          </cell>
          <cell r="C1652" t="str">
            <v>BRS_GOLD__5_SPREADS:NUSD_EM,NUSD_EM_CORP_EE,NUSD_EM_CORP_MIDAF,NUSD_EM_CORP_SA,NUSD_EM_GOVT:EM_CORP-USD_EM,NUSD_EM_CORP_EE,NUSD_EM_CORP_MIDAF,NUSD_EM_CORP_SA:EM_ASIA-USD_EM:EM_ASIA_SG-USD_EM:ALL_SG_CORP_HY</v>
          </cell>
          <cell r="D1652" t="str">
            <v>Spread Duration</v>
          </cell>
          <cell r="E1652" t="str">
            <v>Spread Yield (DxS)</v>
          </cell>
          <cell r="F1652" t="str">
            <v>SP-Corporate HY EUR</v>
          </cell>
          <cell r="G1652" t="str">
            <v>SP-Spread Corporate</v>
          </cell>
          <cell r="H1652" t="str">
            <v>SPREADS</v>
          </cell>
          <cell r="I1652" t="str">
            <v>Corporate HY EUR - Industry</v>
          </cell>
        </row>
        <row r="1653">
          <cell r="A1653" t="str">
            <v>ALL_SG_CORP_IG</v>
          </cell>
          <cell r="B1653" t="str">
            <v>Non$ Singapore Corp IG</v>
          </cell>
          <cell r="C1653" t="str">
            <v>BRS_GOLD__5_SPREADS:NUSD_EM,NUSD_EM_CORP_EE,NUSD_EM_CORP_MIDAF,NUSD_EM_CORP_SA,NUSD_EM_GOVT:EM_CORP-USD_EM,NUSD_EM_CORP_EE,NUSD_EM_CORP_MIDAF,NUSD_EM_CORP_SA:EM_ASIA-USD_EM:EM_ASIA_SG-USD_EM:ALL_SG_CORP_IG</v>
          </cell>
          <cell r="D1653" t="str">
            <v>Spread Duration</v>
          </cell>
          <cell r="E1653" t="str">
            <v>Spread Yield (DxS)</v>
          </cell>
          <cell r="F1653" t="str">
            <v>SP-Corporate IG EUR</v>
          </cell>
          <cell r="G1653" t="str">
            <v>SP-Spread Corporate</v>
          </cell>
          <cell r="H1653" t="str">
            <v>SPREADS</v>
          </cell>
          <cell r="I1653" t="str">
            <v>Corporate IG EUR - Industry</v>
          </cell>
        </row>
        <row r="1654">
          <cell r="A1654" t="str">
            <v>ALL_ASIA_CORP_HY</v>
          </cell>
          <cell r="B1654" t="str">
            <v>Non$ Asia Corp HY</v>
          </cell>
          <cell r="C1654" t="str">
            <v>BRS_GOLD__5_SPREADS:NUSD_EM,NUSD_EM_CORP_EE,NUSD_EM_CORP_MIDAF,NUSD_EM_CORP_SA,NUSD_EM_GOVT:EM_CORP-USD_EM,NUSD_EM_CORP_EE,NUSD_EM_CORP_MIDAF,NUSD_EM_CORP_SA:EM_ASIA-USD_EM:EM_ASIA_OTHER-USD_EM:ALL_ASIA_CORP_HY</v>
          </cell>
          <cell r="D1654" t="str">
            <v>Spread Duration</v>
          </cell>
          <cell r="E1654" t="str">
            <v>Spread Yield (DxS)</v>
          </cell>
          <cell r="F1654" t="str">
            <v>SP-Corporate HY EUR</v>
          </cell>
          <cell r="G1654" t="str">
            <v>SP-Spread Corporate</v>
          </cell>
          <cell r="H1654" t="str">
            <v>SPREADS</v>
          </cell>
          <cell r="I1654" t="str">
            <v>Corporate HY EUR - Industry</v>
          </cell>
        </row>
        <row r="1655">
          <cell r="A1655" t="str">
            <v>ALL_ASIA_CORP_IG</v>
          </cell>
          <cell r="B1655" t="str">
            <v>Non$ Asia Corp IG</v>
          </cell>
          <cell r="C1655" t="str">
            <v>BRS_GOLD__5_SPREADS:NUSD_EM,NUSD_EM_CORP_EE,NUSD_EM_CORP_MIDAF,NUSD_EM_CORP_SA,NUSD_EM_GOVT:EM_CORP-USD_EM,NUSD_EM_CORP_EE,NUSD_EM_CORP_MIDAF,NUSD_EM_CORP_SA:EM_ASIA-USD_EM:EM_ASIA_OTHER-USD_EM:ALL_ASIA_CORP_IG</v>
          </cell>
          <cell r="D1655" t="str">
            <v>Spread Duration</v>
          </cell>
          <cell r="E1655" t="str">
            <v>Spread Yield (DxS)</v>
          </cell>
          <cell r="F1655" t="str">
            <v>SP-Corporate IG EUR</v>
          </cell>
          <cell r="G1655" t="str">
            <v>SP-Spread Corporate</v>
          </cell>
          <cell r="H1655" t="str">
            <v>SPREADS</v>
          </cell>
          <cell r="I1655" t="str">
            <v>Corporate IG EUR - Industry</v>
          </cell>
        </row>
        <row r="1656">
          <cell r="A1656" t="str">
            <v>ALL_EM_CORP_EE_RU</v>
          </cell>
          <cell r="B1656" t="str">
            <v>Non$ Russia</v>
          </cell>
          <cell r="C1656" t="str">
            <v>BRS_GOLD__5_SPREADS:NUSD_EM,NUSD_EM_CORP_EE,NUSD_EM_CORP_MIDAF,NUSD_EM_CORP_SA,NUSD_EM_GOVT:EM_CORP-USD_EM,NUSD_EM_CORP_EE,NUSD_EM_CORP_MIDAF,NUSD_EM_CORP_SA:NUSD_EM_CORP_EE:ALL_CORP_EE_COUNTRY:ALL_EM_CORP_EE_RU</v>
          </cell>
          <cell r="D1656" t="str">
            <v>Spread Duration</v>
          </cell>
          <cell r="E1656" t="str">
            <v>Spread Yield (DxS)</v>
          </cell>
          <cell r="F1656" t="str">
            <v>SP-Corporate HY EUR</v>
          </cell>
          <cell r="G1656" t="str">
            <v>SP-Spread Corporate</v>
          </cell>
          <cell r="H1656" t="str">
            <v>SPREADS</v>
          </cell>
          <cell r="I1656" t="str">
            <v>Corporate HY EUR - Country</v>
          </cell>
        </row>
        <row r="1657">
          <cell r="A1657" t="str">
            <v>ALL_EM_CORP_EE_TR</v>
          </cell>
          <cell r="B1657" t="str">
            <v>Non$ Turkey</v>
          </cell>
          <cell r="C1657" t="str">
            <v>BRS_GOLD__5_SPREADS:NUSD_EM,NUSD_EM_CORP_EE,NUSD_EM_CORP_MIDAF,NUSD_EM_CORP_SA,NUSD_EM_GOVT:EM_CORP-USD_EM,NUSD_EM_CORP_EE,NUSD_EM_CORP_MIDAF,NUSD_EM_CORP_SA:NUSD_EM_CORP_EE:ALL_CORP_EE_COUNTRY:ALL_EM_CORP_EE_TR</v>
          </cell>
          <cell r="D1657" t="str">
            <v>Spread Duration</v>
          </cell>
          <cell r="E1657" t="str">
            <v>Spread Yield (DxS)</v>
          </cell>
          <cell r="F1657" t="str">
            <v>SP-Corporate HY EUR</v>
          </cell>
          <cell r="G1657" t="str">
            <v>SP-Spread Corporate</v>
          </cell>
          <cell r="H1657" t="str">
            <v>SPREADS</v>
          </cell>
          <cell r="I1657" t="str">
            <v>Corporate HY EUR - Country</v>
          </cell>
        </row>
        <row r="1658">
          <cell r="A1658" t="str">
            <v>ALL_EM_CORP_EE_OTRCNTY</v>
          </cell>
          <cell r="B1658" t="str">
            <v>Non$ E Other Country</v>
          </cell>
          <cell r="C1658" t="str">
            <v>BRS_GOLD__5_SPREADS:NUSD_EM,NUSD_EM_CORP_EE,NUSD_EM_CORP_MIDAF,NUSD_EM_CORP_SA,NUSD_EM_GOVT:EM_CORP-USD_EM,NUSD_EM_CORP_EE,NUSD_EM_CORP_MIDAF,NUSD_EM_CORP_SA:NUSD_EM_CORP_EE:ALL_CORP_EE_COUNTRY:ALL_EM_CORP_EE_OTRCNTY</v>
          </cell>
          <cell r="D1658" t="str">
            <v>Spread Duration</v>
          </cell>
          <cell r="E1658" t="str">
            <v>Spread Yield (DxS)</v>
          </cell>
          <cell r="F1658" t="str">
            <v>SP-Corporate HY EUR</v>
          </cell>
          <cell r="G1658" t="str">
            <v>SP-Spread Corporate</v>
          </cell>
          <cell r="H1658" t="str">
            <v>SPREADS</v>
          </cell>
          <cell r="I1658" t="str">
            <v>Corporate HY EUR - Country</v>
          </cell>
        </row>
        <row r="1659">
          <cell r="A1659" t="str">
            <v>ALL_EM_CORP_EE_FINA</v>
          </cell>
          <cell r="B1659" t="str">
            <v>Non$ E Financial</v>
          </cell>
          <cell r="C1659" t="str">
            <v>BRS_GOLD__5_SPREADS:NUSD_EM,NUSD_EM_CORP_EE,NUSD_EM_CORP_MIDAF,NUSD_EM_CORP_SA,NUSD_EM_GOVT:EM_CORP-USD_EM,NUSD_EM_CORP_EE,NUSD_EM_CORP_MIDAF,NUSD_EM_CORP_SA:NUSD_EM_CORP_EE:ALL_CORP_EE_SECTOR:ALL_EM_CORP_EE_FINA</v>
          </cell>
          <cell r="D1659" t="str">
            <v>Spread Duration</v>
          </cell>
          <cell r="E1659" t="str">
            <v>Spread Yield (DxS)</v>
          </cell>
          <cell r="F1659" t="str">
            <v>SP-Corporate HY EUR</v>
          </cell>
          <cell r="G1659" t="str">
            <v>SP-Spread Corporate</v>
          </cell>
          <cell r="H1659" t="str">
            <v>SPREADS</v>
          </cell>
          <cell r="I1659" t="str">
            <v>Corporate HY EUR - Industry</v>
          </cell>
        </row>
        <row r="1660">
          <cell r="A1660" t="str">
            <v>ALL_EM_CORP_EE_METM</v>
          </cell>
          <cell r="B1660" t="str">
            <v>Non$ E Metals and Mining</v>
          </cell>
          <cell r="C1660" t="str">
            <v>BRS_GOLD__5_SPREADS:NUSD_EM,NUSD_EM_CORP_EE,NUSD_EM_CORP_MIDAF,NUSD_EM_CORP_SA,NUSD_EM_GOVT:EM_CORP-USD_EM,NUSD_EM_CORP_EE,NUSD_EM_CORP_MIDAF,NUSD_EM_CORP_SA:NUSD_EM_CORP_EE:ALL_CORP_EE_SECTOR:ALL_EM_CORP_EE_METM</v>
          </cell>
          <cell r="D1660" t="str">
            <v>Spread Duration</v>
          </cell>
          <cell r="E1660" t="str">
            <v>Spread Yield (DxS)</v>
          </cell>
          <cell r="F1660" t="str">
            <v>SP-Corporate HY EUR</v>
          </cell>
          <cell r="G1660" t="str">
            <v>SP-Spread Corporate</v>
          </cell>
          <cell r="H1660" t="str">
            <v>SPREADS</v>
          </cell>
          <cell r="I1660" t="str">
            <v>Corporate HY EUR - Industry</v>
          </cell>
        </row>
        <row r="1661">
          <cell r="A1661" t="str">
            <v>ALL_EM_CORP_EE_OGAS</v>
          </cell>
          <cell r="B1661" t="str">
            <v>Non$ E Oil and Gas</v>
          </cell>
          <cell r="C1661" t="str">
            <v>BRS_GOLD__5_SPREADS:NUSD_EM,NUSD_EM_CORP_EE,NUSD_EM_CORP_MIDAF,NUSD_EM_CORP_SA,NUSD_EM_GOVT:EM_CORP-USD_EM,NUSD_EM_CORP_EE,NUSD_EM_CORP_MIDAF,NUSD_EM_CORP_SA:NUSD_EM_CORP_EE:ALL_CORP_EE_SECTOR:ALL_EM_CORP_EE_OGAS</v>
          </cell>
          <cell r="D1661" t="str">
            <v>Spread Duration</v>
          </cell>
          <cell r="E1661" t="str">
            <v>Spread Yield (DxS)</v>
          </cell>
          <cell r="F1661" t="str">
            <v>SP-Corporate HY EUR</v>
          </cell>
          <cell r="G1661" t="str">
            <v>SP-Spread Corporate</v>
          </cell>
          <cell r="H1661" t="str">
            <v>SPREADS</v>
          </cell>
          <cell r="I1661" t="str">
            <v>Corporate HY EUR - Industry</v>
          </cell>
        </row>
        <row r="1662">
          <cell r="A1662" t="str">
            <v>ALL_EM_CORP_EE_OTRSEC</v>
          </cell>
          <cell r="B1662" t="str">
            <v>Non$ E Other Sectors</v>
          </cell>
          <cell r="C1662" t="str">
            <v>BRS_GOLD__5_SPREADS:NUSD_EM,NUSD_EM_CORP_EE,NUSD_EM_CORP_MIDAF,NUSD_EM_CORP_SA,NUSD_EM_GOVT:EM_CORP-USD_EM,NUSD_EM_CORP_EE,NUSD_EM_CORP_MIDAF,NUSD_EM_CORP_SA:NUSD_EM_CORP_EE:ALL_CORP_EE_SECTOR:ALL_EM_CORP_EE_OTRSEC</v>
          </cell>
          <cell r="D1662" t="str">
            <v>Spread Duration</v>
          </cell>
          <cell r="E1662" t="str">
            <v>Spread Yield (DxS)</v>
          </cell>
          <cell r="F1662" t="str">
            <v>SP-Corporate HY EUR</v>
          </cell>
          <cell r="G1662" t="str">
            <v>SP-Spread Corporate</v>
          </cell>
          <cell r="H1662" t="str">
            <v>SPREADS</v>
          </cell>
          <cell r="I1662" t="str">
            <v>Corporate HY EUR - Industry</v>
          </cell>
        </row>
        <row r="1663">
          <cell r="A1663" t="str">
            <v>ALL_EM_CORP_EE_MAT2</v>
          </cell>
          <cell r="B1663" t="str">
            <v>Non$ EM Corp E Mat 2</v>
          </cell>
          <cell r="C1663" t="str">
            <v>BRS_GOLD__5_SPREADS:NUSD_EM,NUSD_EM_CORP_EE,NUSD_EM_CORP_MIDAF,NUSD_EM_CORP_SA,NUSD_EM_GOVT:EM_CORP-USD_EM,NUSD_EM_CORP_EE,NUSD_EM_CORP_MIDAF,NUSD_EM_CORP_SA:NUSD_EM_CORP_EE:ALL_CORP_EE_MATURITY:ALL_EM_CORP_EE_MAT2</v>
          </cell>
          <cell r="D1663" t="str">
            <v>Spread Duration</v>
          </cell>
          <cell r="E1663" t="str">
            <v>Spread Yield (DxS)</v>
          </cell>
          <cell r="F1663" t="str">
            <v>SP-Corporate HY EUR</v>
          </cell>
          <cell r="G1663" t="str">
            <v>SP-Spread Corporate</v>
          </cell>
          <cell r="H1663" t="str">
            <v>SPREADS</v>
          </cell>
          <cell r="I1663" t="str">
            <v>Corporate HY EUR - Maturity</v>
          </cell>
        </row>
        <row r="1664">
          <cell r="A1664" t="str">
            <v>ALL_EM_CORP_EE_MAT10</v>
          </cell>
          <cell r="B1664" t="str">
            <v>Non$ EM Corp E Mat 10</v>
          </cell>
          <cell r="C1664" t="str">
            <v>BRS_GOLD__5_SPREADS:NUSD_EM,NUSD_EM_CORP_EE,NUSD_EM_CORP_MIDAF,NUSD_EM_CORP_SA,NUSD_EM_GOVT:EM_CORP-USD_EM,NUSD_EM_CORP_EE,NUSD_EM_CORP_MIDAF,NUSD_EM_CORP_SA:NUSD_EM_CORP_EE:ALL_CORP_EE_MATURITY:ALL_EM_CORP_EE_MAT10</v>
          </cell>
          <cell r="D1664" t="str">
            <v>Spread Duration</v>
          </cell>
          <cell r="E1664" t="str">
            <v>Spread Yield (DxS)</v>
          </cell>
          <cell r="F1664" t="str">
            <v>SP-Corporate HY EUR</v>
          </cell>
          <cell r="G1664" t="str">
            <v>SP-Spread Corporate</v>
          </cell>
          <cell r="H1664" t="str">
            <v>SPREADS</v>
          </cell>
          <cell r="I1664" t="str">
            <v>Corporate HY EUR - Maturity</v>
          </cell>
        </row>
        <row r="1665">
          <cell r="A1665" t="str">
            <v>ALL_EM_CORP_MIDAF_AE</v>
          </cell>
          <cell r="B1665" t="str">
            <v>Non$ United Arab Emirates</v>
          </cell>
          <cell r="C1665" t="str">
            <v>BRS_GOLD__5_SPREADS:NUSD_EM,NUSD_EM_CORP_EE,NUSD_EM_CORP_MIDAF,NUSD_EM_CORP_SA,NUSD_EM_GOVT:EM_CORP-USD_EM,NUSD_EM_CORP_EE,NUSD_EM_CORP_MIDAF,NUSD_EM_CORP_SA:NUSD_EM_CORP_MIDAF:ALL_CORP_MIDAF_COUNTRY:ALL_EM_CORP_MIDAF_AE</v>
          </cell>
          <cell r="D1665" t="str">
            <v>Spread Duration</v>
          </cell>
          <cell r="E1665" t="str">
            <v>Spread Yield (DxS)</v>
          </cell>
          <cell r="F1665" t="str">
            <v>SP-Corporate HY EUR</v>
          </cell>
          <cell r="G1665" t="str">
            <v>SP-Spread Corporate</v>
          </cell>
          <cell r="H1665" t="str">
            <v>SPREADS</v>
          </cell>
          <cell r="I1665" t="str">
            <v>Corporate HY EUR - Country</v>
          </cell>
        </row>
        <row r="1666">
          <cell r="A1666" t="str">
            <v>ALL_EM_CORP_MIDAF_IL</v>
          </cell>
          <cell r="B1666" t="str">
            <v>Non$ Israel</v>
          </cell>
          <cell r="C1666" t="str">
            <v>BRS_GOLD__5_SPREADS:NUSD_EM,NUSD_EM_CORP_EE,NUSD_EM_CORP_MIDAF,NUSD_EM_CORP_SA,NUSD_EM_GOVT:EM_CORP-USD_EM,NUSD_EM_CORP_EE,NUSD_EM_CORP_MIDAF,NUSD_EM_CORP_SA:NUSD_EM_CORP_MIDAF:ALL_CORP_MIDAF_COUNTRY:ALL_EM_CORP_MIDAF_IL</v>
          </cell>
          <cell r="D1666" t="str">
            <v>Spread Duration</v>
          </cell>
          <cell r="E1666" t="str">
            <v>Spread Yield (DxS)</v>
          </cell>
          <cell r="F1666" t="str">
            <v>SP-Corporate HY EUR</v>
          </cell>
          <cell r="G1666" t="str">
            <v>SP-Spread Corporate</v>
          </cell>
          <cell r="H1666" t="str">
            <v>SPREADS</v>
          </cell>
          <cell r="I1666" t="str">
            <v>Corporate HY EUR - Country</v>
          </cell>
        </row>
        <row r="1667">
          <cell r="A1667" t="str">
            <v>ALL_EM_CORP_MIDAF_NG</v>
          </cell>
          <cell r="B1667" t="str">
            <v>Non$ Nigeria</v>
          </cell>
          <cell r="C1667" t="str">
            <v>BRS_GOLD__5_SPREADS:NUSD_EM,NUSD_EM_CORP_EE,NUSD_EM_CORP_MIDAF,NUSD_EM_CORP_SA,NUSD_EM_GOVT:EM_CORP-USD_EM,NUSD_EM_CORP_EE,NUSD_EM_CORP_MIDAF,NUSD_EM_CORP_SA:NUSD_EM_CORP_MIDAF:ALL_CORP_MIDAF_COUNTRY:ALL_EM_CORP_MIDAF_NG</v>
          </cell>
          <cell r="D1667" t="str">
            <v>Spread Duration</v>
          </cell>
          <cell r="E1667" t="str">
            <v>Spread Yield (DxS)</v>
          </cell>
          <cell r="F1667" t="str">
            <v>SP-Corporate HY EUR</v>
          </cell>
          <cell r="G1667" t="str">
            <v>SP-Spread Corporate</v>
          </cell>
          <cell r="H1667" t="str">
            <v>SPREADS</v>
          </cell>
          <cell r="I1667" t="str">
            <v>Corporate HY EUR - Country</v>
          </cell>
        </row>
        <row r="1668">
          <cell r="A1668" t="str">
            <v>ALL_EM_CORP_MIDAF_ZA</v>
          </cell>
          <cell r="B1668" t="str">
            <v>Non$ South Africa</v>
          </cell>
          <cell r="C1668" t="str">
            <v>BRS_GOLD__5_SPREADS:NUSD_EM,NUSD_EM_CORP_EE,NUSD_EM_CORP_MIDAF,NUSD_EM_CORP_SA,NUSD_EM_GOVT:EM_CORP-USD_EM,NUSD_EM_CORP_EE,NUSD_EM_CORP_MIDAF,NUSD_EM_CORP_SA:NUSD_EM_CORP_MIDAF:ALL_CORP_MIDAF_COUNTRY:ALL_EM_CORP_MIDAF_ZA</v>
          </cell>
          <cell r="D1668" t="str">
            <v>Spread Duration</v>
          </cell>
          <cell r="E1668" t="str">
            <v>Spread Yield (DxS)</v>
          </cell>
          <cell r="F1668" t="str">
            <v>SP-Corporate HY EUR</v>
          </cell>
          <cell r="G1668" t="str">
            <v>SP-Spread Corporate</v>
          </cell>
          <cell r="H1668" t="str">
            <v>SPREADS</v>
          </cell>
          <cell r="I1668" t="str">
            <v>Corporate HY EUR - Country</v>
          </cell>
        </row>
        <row r="1669">
          <cell r="A1669" t="str">
            <v>ALL_EM_CORP_MIDAF_OTRCNTY</v>
          </cell>
          <cell r="B1669" t="str">
            <v>Non$ MIDAF Other Country</v>
          </cell>
          <cell r="C1669" t="str">
            <v>BRS_GOLD__5_SPREADS:NUSD_EM,NUSD_EM_CORP_EE,NUSD_EM_CORP_MIDAF,NUSD_EM_CORP_SA,NUSD_EM_GOVT:EM_CORP-USD_EM,NUSD_EM_CORP_EE,NUSD_EM_CORP_MIDAF,NUSD_EM_CORP_SA:NUSD_EM_CORP_MIDAF:ALL_CORP_MIDAF_COUNTRY:ALL_EM_CORP_MIDAF_OTRCNTY</v>
          </cell>
          <cell r="D1669" t="str">
            <v>Spread Duration</v>
          </cell>
          <cell r="E1669" t="str">
            <v>Spread Yield (DxS)</v>
          </cell>
          <cell r="F1669" t="str">
            <v>SP-Corporate HY EUR</v>
          </cell>
          <cell r="G1669" t="str">
            <v>SP-Spread Corporate</v>
          </cell>
          <cell r="H1669" t="str">
            <v>SPREADS</v>
          </cell>
          <cell r="I1669" t="str">
            <v>Corporate HY EUR - Country</v>
          </cell>
        </row>
        <row r="1670">
          <cell r="A1670" t="str">
            <v>ALL_EM_CORP_MIDAF_FINA</v>
          </cell>
          <cell r="B1670" t="str">
            <v>Non$ MIDAF Financial</v>
          </cell>
          <cell r="C1670" t="str">
            <v>BRS_GOLD__5_SPREADS:NUSD_EM,NUSD_EM_CORP_EE,NUSD_EM_CORP_MIDAF,NUSD_EM_CORP_SA,NUSD_EM_GOVT:EM_CORP-USD_EM,NUSD_EM_CORP_EE,NUSD_EM_CORP_MIDAF,NUSD_EM_CORP_SA:NUSD_EM_CORP_MIDAF:ALL_CORP_MIDAF_SECTOR:ALL_EM_CORP_MIDAF_FINA</v>
          </cell>
          <cell r="D1670" t="str">
            <v>Spread Duration</v>
          </cell>
          <cell r="E1670" t="str">
            <v>Spread Yield (DxS)</v>
          </cell>
          <cell r="F1670" t="str">
            <v>SP-Corporate HY EUR</v>
          </cell>
          <cell r="G1670" t="str">
            <v>SP-Spread Corporate</v>
          </cell>
          <cell r="H1670" t="str">
            <v>SPREADS</v>
          </cell>
          <cell r="I1670" t="str">
            <v>Corporate HY EUR - Industry</v>
          </cell>
        </row>
        <row r="1671">
          <cell r="A1671" t="str">
            <v>ALL_EM_CORP_MIDAF_METM</v>
          </cell>
          <cell r="B1671" t="str">
            <v>Non$ MIDAF Metals and Mining</v>
          </cell>
          <cell r="C1671" t="str">
            <v>BRS_GOLD__5_SPREADS:NUSD_EM,NUSD_EM_CORP_EE,NUSD_EM_CORP_MIDAF,NUSD_EM_CORP_SA,NUSD_EM_GOVT:EM_CORP-USD_EM,NUSD_EM_CORP_EE,NUSD_EM_CORP_MIDAF,NUSD_EM_CORP_SA:NUSD_EM_CORP_MIDAF:ALL_CORP_MIDAF_SECTOR:ALL_EM_CORP_MIDAF_METM</v>
          </cell>
          <cell r="D1671" t="str">
            <v>Spread Duration</v>
          </cell>
          <cell r="E1671" t="str">
            <v>Spread Yield (DxS)</v>
          </cell>
          <cell r="F1671" t="str">
            <v>SP-Corporate HY EUR</v>
          </cell>
          <cell r="G1671" t="str">
            <v>SP-Spread Corporate</v>
          </cell>
          <cell r="H1671" t="str">
            <v>SPREADS</v>
          </cell>
          <cell r="I1671" t="str">
            <v>Corporate HY EUR - Industry</v>
          </cell>
        </row>
        <row r="1672">
          <cell r="A1672" t="str">
            <v>ALL_EM_CORP_MIDAF_OGAS</v>
          </cell>
          <cell r="B1672" t="str">
            <v>Non$ MIDAF Oil and Gas</v>
          </cell>
          <cell r="C1672" t="str">
            <v>BRS_GOLD__5_SPREADS:NUSD_EM,NUSD_EM_CORP_EE,NUSD_EM_CORP_MIDAF,NUSD_EM_CORP_SA,NUSD_EM_GOVT:EM_CORP-USD_EM,NUSD_EM_CORP_EE,NUSD_EM_CORP_MIDAF,NUSD_EM_CORP_SA:NUSD_EM_CORP_MIDAF:ALL_CORP_MIDAF_SECTOR:ALL_EM_CORP_MIDAF_OGAS</v>
          </cell>
          <cell r="D1672" t="str">
            <v>Spread Duration</v>
          </cell>
          <cell r="E1672" t="str">
            <v>Spread Yield (DxS)</v>
          </cell>
          <cell r="F1672" t="str">
            <v>SP-Corporate HY EUR</v>
          </cell>
          <cell r="G1672" t="str">
            <v>SP-Spread Corporate</v>
          </cell>
          <cell r="H1672" t="str">
            <v>SPREADS</v>
          </cell>
          <cell r="I1672" t="str">
            <v>Corporate HY EUR - Industry</v>
          </cell>
        </row>
        <row r="1673">
          <cell r="A1673" t="str">
            <v>ALL_EM_CORP_MIDAF_OTRSEC</v>
          </cell>
          <cell r="B1673" t="str">
            <v>Non$ MIDAF Other Sectors</v>
          </cell>
          <cell r="C1673" t="str">
            <v>BRS_GOLD__5_SPREADS:NUSD_EM,NUSD_EM_CORP_EE,NUSD_EM_CORP_MIDAF,NUSD_EM_CORP_SA,NUSD_EM_GOVT:EM_CORP-USD_EM,NUSD_EM_CORP_EE,NUSD_EM_CORP_MIDAF,NUSD_EM_CORP_SA:NUSD_EM_CORP_MIDAF:ALL_CORP_MIDAF_SECTOR:ALL_EM_CORP_MIDAF_OTRSEC</v>
          </cell>
          <cell r="D1673" t="str">
            <v>Spread Duration</v>
          </cell>
          <cell r="E1673" t="str">
            <v>Spread Yield (DxS)</v>
          </cell>
          <cell r="F1673" t="str">
            <v>SP-Corporate HY EUR</v>
          </cell>
          <cell r="G1673" t="str">
            <v>SP-Spread Corporate</v>
          </cell>
          <cell r="H1673" t="str">
            <v>SPREADS</v>
          </cell>
          <cell r="I1673" t="str">
            <v>Corporate HY EUR - Industry</v>
          </cell>
        </row>
        <row r="1674">
          <cell r="A1674" t="str">
            <v>ALL_EM_CORP_MIDAF_MAT2</v>
          </cell>
          <cell r="B1674" t="str">
            <v>Non$ EM Corp MIDAF Mat 2</v>
          </cell>
          <cell r="C1674" t="str">
            <v>BRS_GOLD__5_SPREADS:NUSD_EM,NUSD_EM_CORP_EE,NUSD_EM_CORP_MIDAF,NUSD_EM_CORP_SA,NUSD_EM_GOVT:EM_CORP-USD_EM,NUSD_EM_CORP_EE,NUSD_EM_CORP_MIDAF,NUSD_EM_CORP_SA:NUSD_EM_CORP_MIDAF:ALL_CORP_MIDAF_MATURITY:ALL_EM_CORP_MIDAF_MAT2</v>
          </cell>
          <cell r="D1674" t="str">
            <v>Spread Duration</v>
          </cell>
          <cell r="E1674" t="str">
            <v>Spread Yield (DxS)</v>
          </cell>
          <cell r="F1674" t="str">
            <v>SP-Corporate HY EUR</v>
          </cell>
          <cell r="G1674" t="str">
            <v>SP-Spread Corporate</v>
          </cell>
          <cell r="H1674" t="str">
            <v>SPREADS</v>
          </cell>
          <cell r="I1674" t="str">
            <v>Corporate HY EUR - Maturity</v>
          </cell>
        </row>
        <row r="1675">
          <cell r="A1675" t="str">
            <v>ALL_EM_CORP_MIDAF_MAT10</v>
          </cell>
          <cell r="B1675" t="str">
            <v>Non$ EM Corp MIDAF Mat 10</v>
          </cell>
          <cell r="C1675" t="str">
            <v>BRS_GOLD__5_SPREADS:NUSD_EM,NUSD_EM_CORP_EE,NUSD_EM_CORP_MIDAF,NUSD_EM_CORP_SA,NUSD_EM_GOVT:EM_CORP-USD_EM,NUSD_EM_CORP_EE,NUSD_EM_CORP_MIDAF,NUSD_EM_CORP_SA:NUSD_EM_CORP_MIDAF:ALL_CORP_MIDAF_MATURITY:ALL_EM_CORP_MIDAF_MAT10</v>
          </cell>
          <cell r="D1675" t="str">
            <v>Spread Duration</v>
          </cell>
          <cell r="E1675" t="str">
            <v>Spread Yield (DxS)</v>
          </cell>
          <cell r="F1675" t="str">
            <v>SP-Corporate HY EUR</v>
          </cell>
          <cell r="G1675" t="str">
            <v>SP-Spread Corporate</v>
          </cell>
          <cell r="H1675" t="str">
            <v>SPREADS</v>
          </cell>
          <cell r="I1675" t="str">
            <v>Corporate HY EUR - Maturity</v>
          </cell>
        </row>
        <row r="1676">
          <cell r="A1676" t="str">
            <v>ALL_EM_CORP_SA_BR</v>
          </cell>
          <cell r="B1676" t="str">
            <v>Non$ Brazil</v>
          </cell>
          <cell r="C1676" t="str">
            <v>BRS_GOLD__5_SPREADS:NUSD_EM,NUSD_EM_CORP_EE,NUSD_EM_CORP_MIDAF,NUSD_EM_CORP_SA,NUSD_EM_GOVT:EM_CORP-USD_EM,NUSD_EM_CORP_EE,NUSD_EM_CORP_MIDAF,NUSD_EM_CORP_SA:NUSD_EM_CORP_SA:ALL_CORP_SA_COUNTRY:ALL_EM_CORP_SA_BR</v>
          </cell>
          <cell r="D1676" t="str">
            <v>Spread Duration</v>
          </cell>
          <cell r="E1676" t="str">
            <v>Spread Yield (DxS)</v>
          </cell>
          <cell r="F1676" t="str">
            <v>SP-Corporate HY EUR</v>
          </cell>
          <cell r="G1676" t="str">
            <v>SP-Spread Corporate</v>
          </cell>
          <cell r="H1676" t="str">
            <v>SPREADS</v>
          </cell>
          <cell r="I1676" t="str">
            <v>Corporate HY EUR - Country</v>
          </cell>
        </row>
        <row r="1677">
          <cell r="A1677" t="str">
            <v>ALL_EM_CORP_SA_CL</v>
          </cell>
          <cell r="B1677" t="str">
            <v>Non$ Chile</v>
          </cell>
          <cell r="C1677" t="str">
            <v>BRS_GOLD__5_SPREADS:NUSD_EM,NUSD_EM_CORP_EE,NUSD_EM_CORP_MIDAF,NUSD_EM_CORP_SA,NUSD_EM_GOVT:EM_CORP-USD_EM,NUSD_EM_CORP_EE,NUSD_EM_CORP_MIDAF,NUSD_EM_CORP_SA:NUSD_EM_CORP_SA:ALL_CORP_SA_COUNTRY:ALL_EM_CORP_SA_CL</v>
          </cell>
          <cell r="D1677" t="str">
            <v>Spread Duration</v>
          </cell>
          <cell r="E1677" t="str">
            <v>Spread Yield (DxS)</v>
          </cell>
          <cell r="F1677" t="str">
            <v>SP-Corporate HY EUR</v>
          </cell>
          <cell r="G1677" t="str">
            <v>SP-Spread Corporate</v>
          </cell>
          <cell r="H1677" t="str">
            <v>SPREADS</v>
          </cell>
          <cell r="I1677" t="str">
            <v>Corporate HY EUR - Country</v>
          </cell>
        </row>
        <row r="1678">
          <cell r="A1678" t="str">
            <v>ALL_EM_CORP_SA_CO</v>
          </cell>
          <cell r="B1678" t="str">
            <v>Non$ Colombia</v>
          </cell>
          <cell r="C1678" t="str">
            <v>BRS_GOLD__5_SPREADS:NUSD_EM,NUSD_EM_CORP_EE,NUSD_EM_CORP_MIDAF,NUSD_EM_CORP_SA,NUSD_EM_GOVT:EM_CORP-USD_EM,NUSD_EM_CORP_EE,NUSD_EM_CORP_MIDAF,NUSD_EM_CORP_SA:NUSD_EM_CORP_SA:ALL_CORP_SA_COUNTRY:ALL_EM_CORP_SA_CO</v>
          </cell>
          <cell r="D1678" t="str">
            <v>Spread Duration</v>
          </cell>
          <cell r="E1678" t="str">
            <v>Spread Yield (DxS)</v>
          </cell>
          <cell r="F1678" t="str">
            <v>SP-Corporate HY EUR</v>
          </cell>
          <cell r="G1678" t="str">
            <v>SP-Spread Corporate</v>
          </cell>
          <cell r="H1678" t="str">
            <v>SPREADS</v>
          </cell>
          <cell r="I1678" t="str">
            <v>Corporate HY EUR - Country</v>
          </cell>
        </row>
        <row r="1679">
          <cell r="A1679" t="str">
            <v>ALL_EM_CORP_SA_MX</v>
          </cell>
          <cell r="B1679" t="str">
            <v>Non$ Mexico</v>
          </cell>
          <cell r="C1679" t="str">
            <v>BRS_GOLD__5_SPREADS:NUSD_EM,NUSD_EM_CORP_EE,NUSD_EM_CORP_MIDAF,NUSD_EM_CORP_SA,NUSD_EM_GOVT:EM_CORP-USD_EM,NUSD_EM_CORP_EE,NUSD_EM_CORP_MIDAF,NUSD_EM_CORP_SA:NUSD_EM_CORP_SA:ALL_CORP_SA_COUNTRY:ALL_EM_CORP_SA_MX</v>
          </cell>
          <cell r="D1679" t="str">
            <v>Spread Duration</v>
          </cell>
          <cell r="E1679" t="str">
            <v>Spread Yield (DxS)</v>
          </cell>
          <cell r="F1679" t="str">
            <v>SP-Corporate HY EUR</v>
          </cell>
          <cell r="G1679" t="str">
            <v>SP-Spread Corporate</v>
          </cell>
          <cell r="H1679" t="str">
            <v>SPREADS</v>
          </cell>
          <cell r="I1679" t="str">
            <v>Corporate HY EUR - Country</v>
          </cell>
        </row>
        <row r="1680">
          <cell r="A1680" t="str">
            <v>ALL_EM_CORP_SA_PE</v>
          </cell>
          <cell r="B1680" t="str">
            <v>Non$ Peru</v>
          </cell>
          <cell r="C1680" t="str">
            <v>BRS_GOLD__5_SPREADS:NUSD_EM,NUSD_EM_CORP_EE,NUSD_EM_CORP_MIDAF,NUSD_EM_CORP_SA,NUSD_EM_GOVT:EM_CORP-USD_EM,NUSD_EM_CORP_EE,NUSD_EM_CORP_MIDAF,NUSD_EM_CORP_SA:NUSD_EM_CORP_SA:ALL_CORP_SA_COUNTRY:ALL_EM_CORP_SA_PE</v>
          </cell>
          <cell r="D1680" t="str">
            <v>Spread Duration</v>
          </cell>
          <cell r="E1680" t="str">
            <v>Spread Yield (DxS)</v>
          </cell>
          <cell r="F1680" t="str">
            <v>SP-Corporate HY EUR</v>
          </cell>
          <cell r="G1680" t="str">
            <v>SP-Spread Corporate</v>
          </cell>
          <cell r="H1680" t="str">
            <v>SPREADS</v>
          </cell>
          <cell r="I1680" t="str">
            <v>Corporate HY EUR - Country</v>
          </cell>
        </row>
        <row r="1681">
          <cell r="A1681" t="str">
            <v>ALL_EM_CORP_SA_OTRCNTY</v>
          </cell>
          <cell r="B1681" t="str">
            <v>Non$ LA Other Country</v>
          </cell>
          <cell r="C1681" t="str">
            <v>BRS_GOLD__5_SPREADS:NUSD_EM,NUSD_EM_CORP_EE,NUSD_EM_CORP_MIDAF,NUSD_EM_CORP_SA,NUSD_EM_GOVT:EM_CORP-USD_EM,NUSD_EM_CORP_EE,NUSD_EM_CORP_MIDAF,NUSD_EM_CORP_SA:NUSD_EM_CORP_SA:ALL_CORP_SA_COUNTRY:ALL_EM_CORP_SA_OTRCNTY</v>
          </cell>
          <cell r="D1681" t="str">
            <v>Spread Duration</v>
          </cell>
          <cell r="E1681" t="str">
            <v>Spread Yield (DxS)</v>
          </cell>
          <cell r="F1681" t="str">
            <v>SP-Corporate HY EUR</v>
          </cell>
          <cell r="G1681" t="str">
            <v>SP-Spread Corporate</v>
          </cell>
          <cell r="H1681" t="str">
            <v>SPREADS</v>
          </cell>
          <cell r="I1681" t="str">
            <v>Corporate HY EUR - Country</v>
          </cell>
        </row>
        <row r="1682">
          <cell r="A1682" t="str">
            <v>ALL_EM_CORP_SA_CONS</v>
          </cell>
          <cell r="B1682" t="str">
            <v>Non$ LA Consumer</v>
          </cell>
          <cell r="C1682" t="str">
            <v>BRS_GOLD__5_SPREADS:NUSD_EM,NUSD_EM_CORP_EE,NUSD_EM_CORP_MIDAF,NUSD_EM_CORP_SA,NUSD_EM_GOVT:EM_CORP-USD_EM,NUSD_EM_CORP_EE,NUSD_EM_CORP_MIDAF,NUSD_EM_CORP_SA:NUSD_EM_CORP_SA:ALL_CORP_SA_SECTOR:ALL_EM_CORP_SA_CONS</v>
          </cell>
          <cell r="D1682" t="str">
            <v>Spread Duration</v>
          </cell>
          <cell r="E1682" t="str">
            <v>Spread Yield (DxS)</v>
          </cell>
          <cell r="F1682" t="str">
            <v>SP-Corporate HY EUR</v>
          </cell>
          <cell r="G1682" t="str">
            <v>SP-Spread Corporate</v>
          </cell>
          <cell r="H1682" t="str">
            <v>SPREADS</v>
          </cell>
          <cell r="I1682" t="str">
            <v>Corporate HY EUR - Industry</v>
          </cell>
        </row>
        <row r="1683">
          <cell r="A1683" t="str">
            <v>ALL_EM_CORP_SA_FINA</v>
          </cell>
          <cell r="B1683" t="str">
            <v>Non$ LA Financial</v>
          </cell>
          <cell r="C1683" t="str">
            <v>BRS_GOLD__5_SPREADS:NUSD_EM,NUSD_EM_CORP_EE,NUSD_EM_CORP_MIDAF,NUSD_EM_CORP_SA,NUSD_EM_GOVT:EM_CORP-USD_EM,NUSD_EM_CORP_EE,NUSD_EM_CORP_MIDAF,NUSD_EM_CORP_SA:NUSD_EM_CORP_SA:ALL_CORP_SA_SECTOR:ALL_EM_CORP_SA_FINA</v>
          </cell>
          <cell r="D1683" t="str">
            <v>Spread Duration</v>
          </cell>
          <cell r="E1683" t="str">
            <v>Spread Yield (DxS)</v>
          </cell>
          <cell r="F1683" t="str">
            <v>SP-Corporate HY EUR</v>
          </cell>
          <cell r="G1683" t="str">
            <v>SP-Spread Corporate</v>
          </cell>
          <cell r="H1683" t="str">
            <v>SPREADS</v>
          </cell>
          <cell r="I1683" t="str">
            <v>Corporate HY EUR - Industry</v>
          </cell>
        </row>
        <row r="1684">
          <cell r="A1684" t="str">
            <v>ALL_EM_CORP_SA_INDU</v>
          </cell>
          <cell r="B1684" t="str">
            <v>Non$ LA Industrial</v>
          </cell>
          <cell r="C1684" t="str">
            <v>BRS_GOLD__5_SPREADS:NUSD_EM,NUSD_EM_CORP_EE,NUSD_EM_CORP_MIDAF,NUSD_EM_CORP_SA,NUSD_EM_GOVT:EM_CORP-USD_EM,NUSD_EM_CORP_EE,NUSD_EM_CORP_MIDAF,NUSD_EM_CORP_SA:NUSD_EM_CORP_SA:ALL_CORP_SA_SECTOR:ALL_EM_CORP_SA_INDU</v>
          </cell>
          <cell r="D1684" t="str">
            <v>Spread Duration</v>
          </cell>
          <cell r="E1684" t="str">
            <v>Spread Yield (DxS)</v>
          </cell>
          <cell r="F1684" t="str">
            <v>SP-Corporate HY EUR</v>
          </cell>
          <cell r="G1684" t="str">
            <v>SP-Spread Corporate</v>
          </cell>
          <cell r="H1684" t="str">
            <v>SPREADS</v>
          </cell>
          <cell r="I1684" t="str">
            <v>Corporate HY EUR - Industry</v>
          </cell>
        </row>
        <row r="1685">
          <cell r="A1685" t="str">
            <v>ALL_EM_CORP_SA_METM</v>
          </cell>
          <cell r="B1685" t="str">
            <v>Non$ LA Metals and Mining</v>
          </cell>
          <cell r="C1685" t="str">
            <v>BRS_GOLD__5_SPREADS:NUSD_EM,NUSD_EM_CORP_EE,NUSD_EM_CORP_MIDAF,NUSD_EM_CORP_SA,NUSD_EM_GOVT:EM_CORP-USD_EM,NUSD_EM_CORP_EE,NUSD_EM_CORP_MIDAF,NUSD_EM_CORP_SA:NUSD_EM_CORP_SA:ALL_CORP_SA_SECTOR:ALL_EM_CORP_SA_METM</v>
          </cell>
          <cell r="D1685" t="str">
            <v>Spread Duration</v>
          </cell>
          <cell r="E1685" t="str">
            <v>Spread Yield (DxS)</v>
          </cell>
          <cell r="F1685" t="str">
            <v>SP-Corporate HY EUR</v>
          </cell>
          <cell r="G1685" t="str">
            <v>SP-Spread Corporate</v>
          </cell>
          <cell r="H1685" t="str">
            <v>SPREADS</v>
          </cell>
          <cell r="I1685" t="str">
            <v>Corporate HY EUR - Industry</v>
          </cell>
        </row>
        <row r="1686">
          <cell r="A1686" t="str">
            <v>ALL_EM_CORP_SA_PPER</v>
          </cell>
          <cell r="B1686" t="str">
            <v>Non$ LA Pulp and Paper</v>
          </cell>
          <cell r="C1686" t="str">
            <v>BRS_GOLD__5_SPREADS:NUSD_EM,NUSD_EM_CORP_EE,NUSD_EM_CORP_MIDAF,NUSD_EM_CORP_SA,NUSD_EM_GOVT:EM_CORP-USD_EM,NUSD_EM_CORP_EE,NUSD_EM_CORP_MIDAF,NUSD_EM_CORP_SA:NUSD_EM_CORP_SA:ALL_CORP_SA_SECTOR:ALL_EM_CORP_SA_PPER</v>
          </cell>
          <cell r="D1686" t="str">
            <v>Spread Duration</v>
          </cell>
          <cell r="E1686" t="str">
            <v>Spread Yield (DxS)</v>
          </cell>
          <cell r="F1686" t="str">
            <v>SP-Corporate HY EUR</v>
          </cell>
          <cell r="G1686" t="str">
            <v>SP-Spread Corporate</v>
          </cell>
          <cell r="H1686" t="str">
            <v>SPREADS</v>
          </cell>
          <cell r="I1686" t="str">
            <v>Corporate HY EUR - Industry</v>
          </cell>
        </row>
        <row r="1687">
          <cell r="A1687" t="str">
            <v>ALL_EM_CORP_SA_TELC</v>
          </cell>
          <cell r="B1687" t="str">
            <v>Non$ LA Telecom</v>
          </cell>
          <cell r="C1687" t="str">
            <v>BRS_GOLD__5_SPREADS:NUSD_EM,NUSD_EM_CORP_EE,NUSD_EM_CORP_MIDAF,NUSD_EM_CORP_SA,NUSD_EM_GOVT:EM_CORP-USD_EM,NUSD_EM_CORP_EE,NUSD_EM_CORP_MIDAF,NUSD_EM_CORP_SA:NUSD_EM_CORP_SA:ALL_CORP_SA_SECTOR:ALL_EM_CORP_SA_TELC</v>
          </cell>
          <cell r="D1687" t="str">
            <v>Spread Duration</v>
          </cell>
          <cell r="E1687" t="str">
            <v>Spread Yield (DxS)</v>
          </cell>
          <cell r="F1687" t="str">
            <v>SP-Corporate HY EUR</v>
          </cell>
          <cell r="G1687" t="str">
            <v>SP-Spread Corporate</v>
          </cell>
          <cell r="H1687" t="str">
            <v>SPREADS</v>
          </cell>
          <cell r="I1687" t="str">
            <v>Corporate HY EUR - Industry</v>
          </cell>
        </row>
        <row r="1688">
          <cell r="A1688" t="str">
            <v>ALL_EM_CORP_SA_UTIL</v>
          </cell>
          <cell r="B1688" t="str">
            <v>Non$ LA Utilities</v>
          </cell>
          <cell r="C1688" t="str">
            <v>BRS_GOLD__5_SPREADS:NUSD_EM,NUSD_EM_CORP_EE,NUSD_EM_CORP_MIDAF,NUSD_EM_CORP_SA,NUSD_EM_GOVT:EM_CORP-USD_EM,NUSD_EM_CORP_EE,NUSD_EM_CORP_MIDAF,NUSD_EM_CORP_SA:NUSD_EM_CORP_SA:ALL_CORP_SA_SECTOR:ALL_EM_CORP_SA_UTIL</v>
          </cell>
          <cell r="D1688" t="str">
            <v>Spread Duration</v>
          </cell>
          <cell r="E1688" t="str">
            <v>Spread Yield (DxS)</v>
          </cell>
          <cell r="F1688" t="str">
            <v>SP-Corporate HY EUR</v>
          </cell>
          <cell r="G1688" t="str">
            <v>SP-Spread Corporate</v>
          </cell>
          <cell r="H1688" t="str">
            <v>SPREADS</v>
          </cell>
          <cell r="I1688" t="str">
            <v>Corporate HY EUR - Industry</v>
          </cell>
        </row>
        <row r="1689">
          <cell r="A1689" t="str">
            <v>ALL_EM_CORP_SA_OTRSEC</v>
          </cell>
          <cell r="B1689" t="str">
            <v>Non$ LA Other Sectors</v>
          </cell>
          <cell r="C1689" t="str">
            <v>BRS_GOLD__5_SPREADS:NUSD_EM,NUSD_EM_CORP_EE,NUSD_EM_CORP_MIDAF,NUSD_EM_CORP_SA,NUSD_EM_GOVT:EM_CORP-USD_EM,NUSD_EM_CORP_EE,NUSD_EM_CORP_MIDAF,NUSD_EM_CORP_SA:NUSD_EM_CORP_SA:ALL_CORP_SA_SECTOR:ALL_EM_CORP_SA_OTRSEC</v>
          </cell>
          <cell r="D1689" t="str">
            <v>Spread Duration</v>
          </cell>
          <cell r="E1689" t="str">
            <v>Spread Yield (DxS)</v>
          </cell>
          <cell r="F1689" t="str">
            <v>SP-Corporate HY EUR</v>
          </cell>
          <cell r="G1689" t="str">
            <v>SP-Spread Corporate</v>
          </cell>
          <cell r="H1689" t="str">
            <v>SPREADS</v>
          </cell>
          <cell r="I1689" t="str">
            <v>Corporate HY EUR - Industry</v>
          </cell>
        </row>
        <row r="1690">
          <cell r="A1690" t="str">
            <v>ALL_EM_CORP_SA_MAT2</v>
          </cell>
          <cell r="B1690" t="str">
            <v>Non$ EM Corp LA Mat 2</v>
          </cell>
          <cell r="C1690" t="str">
            <v>BRS_GOLD__5_SPREADS:NUSD_EM,NUSD_EM_CORP_EE,NUSD_EM_CORP_MIDAF,NUSD_EM_CORP_SA,NUSD_EM_GOVT:EM_CORP-USD_EM,NUSD_EM_CORP_EE,NUSD_EM_CORP_MIDAF,NUSD_EM_CORP_SA:NUSD_EM_CORP_SA:ALL_CORP_SA_MATURITY:ALL_EM_CORP_SA_MAT2</v>
          </cell>
          <cell r="D1690" t="str">
            <v>Spread Duration</v>
          </cell>
          <cell r="E1690" t="str">
            <v>Spread Yield (DxS)</v>
          </cell>
          <cell r="F1690" t="str">
            <v>SP-Corporate HY EUR</v>
          </cell>
          <cell r="G1690" t="str">
            <v>SP-Spread Corporate</v>
          </cell>
          <cell r="H1690" t="str">
            <v>SPREADS</v>
          </cell>
          <cell r="I1690" t="str">
            <v>Corporate HY EUR - Maturity</v>
          </cell>
        </row>
        <row r="1691">
          <cell r="A1691" t="str">
            <v>ALL_EM_CORP_SA_MAT10</v>
          </cell>
          <cell r="B1691" t="str">
            <v>Non$ EM Corp LA Mat 10</v>
          </cell>
          <cell r="C1691" t="str">
            <v>BRS_GOLD__5_SPREADS:NUSD_EM,NUSD_EM_CORP_EE,NUSD_EM_CORP_MIDAF,NUSD_EM_CORP_SA,NUSD_EM_GOVT:EM_CORP-USD_EM,NUSD_EM_CORP_EE,NUSD_EM_CORP_MIDAF,NUSD_EM_CORP_SA:NUSD_EM_CORP_SA:ALL_CORP_SA_MATURITY:ALL_EM_CORP_SA_MAT10</v>
          </cell>
          <cell r="D1691" t="str">
            <v>Spread Duration</v>
          </cell>
          <cell r="E1691" t="str">
            <v>Spread Yield (DxS)</v>
          </cell>
          <cell r="F1691" t="str">
            <v>SP-Corporate HY EUR</v>
          </cell>
          <cell r="G1691" t="str">
            <v>SP-Spread Corporate</v>
          </cell>
          <cell r="H1691" t="str">
            <v>SPREADS</v>
          </cell>
          <cell r="I1691" t="str">
            <v>Corporate HY EUR - Maturity</v>
          </cell>
        </row>
        <row r="1692">
          <cell r="A1692" t="str">
            <v>USD_CPI_3m</v>
          </cell>
          <cell r="B1692" t="str">
            <v>CPI 3m</v>
          </cell>
          <cell r="C1692" t="str">
            <v>BRS_GOLD__2_INFLATION:USD_TIPS:USD_CPI_3m</v>
          </cell>
          <cell r="D1692" t="str">
            <v>Inflation Duration</v>
          </cell>
          <cell r="E1692" t="str">
            <v>Yield</v>
          </cell>
          <cell r="F1692" t="str">
            <v>USD Inflation</v>
          </cell>
          <cell r="G1692" t="str">
            <v>USD Inflation</v>
          </cell>
          <cell r="H1692" t="str">
            <v>INFLATION</v>
          </cell>
          <cell r="I1692" t="str">
            <v>USD Inflation</v>
          </cell>
        </row>
        <row r="1693">
          <cell r="A1693" t="str">
            <v>USD_INF_3m</v>
          </cell>
          <cell r="B1693" t="str">
            <v>USD INF 3M</v>
          </cell>
          <cell r="C1693" t="str">
            <v>BRS_GOLD__2_INFLATION:USD_TIPS:USD_INF_3m</v>
          </cell>
          <cell r="D1693" t="str">
            <v>Inflation Duration</v>
          </cell>
          <cell r="E1693" t="str">
            <v>Yield</v>
          </cell>
          <cell r="F1693" t="str">
            <v>USD Inflation</v>
          </cell>
          <cell r="G1693" t="str">
            <v>USD Inflation</v>
          </cell>
          <cell r="H1693" t="str">
            <v>INFLATION</v>
          </cell>
          <cell r="I1693" t="str">
            <v>USD Inflation</v>
          </cell>
        </row>
        <row r="1694">
          <cell r="A1694" t="str">
            <v>USD_CPI_1yr</v>
          </cell>
          <cell r="B1694" t="str">
            <v>CPI 1yr</v>
          </cell>
          <cell r="C1694" t="str">
            <v>BRS_GOLD__2_INFLATION:USD_TIPS:USD_CPI_1yr</v>
          </cell>
          <cell r="D1694" t="str">
            <v>Inflation Duration</v>
          </cell>
          <cell r="E1694" t="str">
            <v>Yield</v>
          </cell>
          <cell r="F1694" t="str">
            <v>USD Inflation</v>
          </cell>
          <cell r="G1694" t="str">
            <v>USD Inflation</v>
          </cell>
          <cell r="H1694" t="str">
            <v>INFLATION</v>
          </cell>
          <cell r="I1694" t="str">
            <v>USD Inflation</v>
          </cell>
        </row>
        <row r="1695">
          <cell r="A1695" t="str">
            <v>USD_INF_1yr</v>
          </cell>
          <cell r="B1695" t="str">
            <v>USD INF 1Y</v>
          </cell>
          <cell r="C1695" t="str">
            <v>BRS_GOLD__2_INFLATION:USD_TIPS:USD_INF_1yr</v>
          </cell>
          <cell r="D1695" t="str">
            <v>Inflation Duration</v>
          </cell>
          <cell r="E1695" t="str">
            <v>Yield</v>
          </cell>
          <cell r="F1695" t="str">
            <v>USD Inflation</v>
          </cell>
          <cell r="G1695" t="str">
            <v>USD Inflation</v>
          </cell>
          <cell r="H1695" t="str">
            <v>INFLATION</v>
          </cell>
          <cell r="I1695" t="str">
            <v>USD Inflation</v>
          </cell>
        </row>
        <row r="1696">
          <cell r="A1696" t="str">
            <v>USD_CPI_2yr</v>
          </cell>
          <cell r="B1696" t="str">
            <v>CPI 2yr</v>
          </cell>
          <cell r="C1696" t="str">
            <v>BRS_GOLD__2_INFLATION:USD_TIPS:USD_CPI_2yr</v>
          </cell>
          <cell r="D1696" t="str">
            <v>Inflation Duration</v>
          </cell>
          <cell r="E1696" t="str">
            <v>Yield</v>
          </cell>
          <cell r="F1696" t="str">
            <v>USD Inflation</v>
          </cell>
          <cell r="G1696" t="str">
            <v>USD Inflation</v>
          </cell>
          <cell r="H1696" t="str">
            <v>INFLATION</v>
          </cell>
          <cell r="I1696" t="str">
            <v>USD Inflation</v>
          </cell>
        </row>
        <row r="1697">
          <cell r="A1697" t="str">
            <v>USD_INF_2yr</v>
          </cell>
          <cell r="B1697" t="str">
            <v>USD INF 2Y</v>
          </cell>
          <cell r="C1697" t="str">
            <v>BRS_GOLD__2_INFLATION:USD_TIPS:USD_INF_2yr</v>
          </cell>
          <cell r="D1697" t="str">
            <v>Inflation Duration</v>
          </cell>
          <cell r="E1697" t="str">
            <v>Yield</v>
          </cell>
          <cell r="F1697" t="str">
            <v>USD Inflation</v>
          </cell>
          <cell r="G1697" t="str">
            <v>USD Inflation</v>
          </cell>
          <cell r="H1697" t="str">
            <v>INFLATION</v>
          </cell>
          <cell r="I1697" t="str">
            <v>USD Inflation</v>
          </cell>
        </row>
        <row r="1698">
          <cell r="A1698" t="str">
            <v>USD_CPI_3yr</v>
          </cell>
          <cell r="B1698" t="str">
            <v>CPI 3yr</v>
          </cell>
          <cell r="C1698" t="str">
            <v>BRS_GOLD__2_INFLATION:USD_TIPS:USD_CPI_3yr</v>
          </cell>
          <cell r="D1698" t="str">
            <v>Inflation Duration</v>
          </cell>
          <cell r="E1698" t="str">
            <v>Yield</v>
          </cell>
          <cell r="F1698" t="str">
            <v>USD Inflation</v>
          </cell>
          <cell r="G1698" t="str">
            <v>USD Inflation</v>
          </cell>
          <cell r="H1698" t="str">
            <v>INFLATION</v>
          </cell>
          <cell r="I1698" t="str">
            <v>USD Inflation</v>
          </cell>
        </row>
        <row r="1699">
          <cell r="A1699" t="str">
            <v>USD_INF_3yr</v>
          </cell>
          <cell r="B1699" t="str">
            <v>USD INF 3Y</v>
          </cell>
          <cell r="C1699" t="str">
            <v>BRS_GOLD__2_INFLATION:USD_TIPS:USD_INF_3yr</v>
          </cell>
          <cell r="D1699" t="str">
            <v>Inflation Duration</v>
          </cell>
          <cell r="E1699" t="str">
            <v>Yield</v>
          </cell>
          <cell r="F1699" t="str">
            <v>USD Inflation</v>
          </cell>
          <cell r="G1699" t="str">
            <v>USD Inflation</v>
          </cell>
          <cell r="H1699" t="str">
            <v>INFLATION</v>
          </cell>
          <cell r="I1699" t="str">
            <v>USD Inflation</v>
          </cell>
        </row>
        <row r="1700">
          <cell r="A1700" t="str">
            <v>USD_CPI_5yr</v>
          </cell>
          <cell r="B1700" t="str">
            <v>CPI 5yr</v>
          </cell>
          <cell r="C1700" t="str">
            <v>BRS_GOLD__2_INFLATION:USD_TIPS:USD_CPI_5yr</v>
          </cell>
          <cell r="D1700" t="str">
            <v>Inflation Duration</v>
          </cell>
          <cell r="E1700" t="str">
            <v>Yield</v>
          </cell>
          <cell r="F1700" t="str">
            <v>USD Inflation</v>
          </cell>
          <cell r="G1700" t="str">
            <v>USD Inflation</v>
          </cell>
          <cell r="H1700" t="str">
            <v>INFLATION</v>
          </cell>
          <cell r="I1700" t="str">
            <v>USD Inflation</v>
          </cell>
        </row>
        <row r="1701">
          <cell r="A1701" t="str">
            <v>USD_INF_5yr</v>
          </cell>
          <cell r="B1701" t="str">
            <v>USD INF 5Y</v>
          </cell>
          <cell r="C1701" t="str">
            <v>BRS_GOLD__2_INFLATION:USD_TIPS:USD_INF_5yr</v>
          </cell>
          <cell r="D1701" t="str">
            <v>Inflation Duration</v>
          </cell>
          <cell r="E1701" t="str">
            <v>Yield</v>
          </cell>
          <cell r="F1701" t="str">
            <v>USD Inflation</v>
          </cell>
          <cell r="G1701" t="str">
            <v>USD Inflation</v>
          </cell>
          <cell r="H1701" t="str">
            <v>INFLATION</v>
          </cell>
          <cell r="I1701" t="str">
            <v>USD Inflation</v>
          </cell>
        </row>
        <row r="1702">
          <cell r="A1702" t="str">
            <v>USD_CPI_7yr</v>
          </cell>
          <cell r="B1702" t="str">
            <v>CPI 7yr</v>
          </cell>
          <cell r="C1702" t="str">
            <v>BRS_GOLD__2_INFLATION:USD_TIPS:USD_CPI_7yr</v>
          </cell>
          <cell r="D1702" t="str">
            <v>Inflation Duration</v>
          </cell>
          <cell r="E1702" t="str">
            <v>Yield</v>
          </cell>
          <cell r="F1702" t="str">
            <v>USD Inflation</v>
          </cell>
          <cell r="G1702" t="str">
            <v>USD Inflation</v>
          </cell>
          <cell r="H1702" t="str">
            <v>INFLATION</v>
          </cell>
          <cell r="I1702" t="str">
            <v>USD Inflation</v>
          </cell>
        </row>
        <row r="1703">
          <cell r="A1703" t="str">
            <v>USD_INF_7yr</v>
          </cell>
          <cell r="B1703" t="str">
            <v>USD INF 7Y</v>
          </cell>
          <cell r="C1703" t="str">
            <v>BRS_GOLD__2_INFLATION:USD_TIPS:USD_INF_7yr</v>
          </cell>
          <cell r="D1703" t="str">
            <v>Inflation Duration</v>
          </cell>
          <cell r="E1703" t="str">
            <v>Yield</v>
          </cell>
          <cell r="F1703" t="str">
            <v>USD Inflation</v>
          </cell>
          <cell r="G1703" t="str">
            <v>USD Inflation</v>
          </cell>
          <cell r="H1703" t="str">
            <v>INFLATION</v>
          </cell>
          <cell r="I1703" t="str">
            <v>USD Inflation</v>
          </cell>
        </row>
        <row r="1704">
          <cell r="A1704" t="str">
            <v>USD_CPI_10yr</v>
          </cell>
          <cell r="B1704" t="str">
            <v>CPI 10yr</v>
          </cell>
          <cell r="C1704" t="str">
            <v>BRS_GOLD__2_INFLATION:USD_TIPS:USD_CPI_10yr</v>
          </cell>
          <cell r="D1704" t="str">
            <v>Inflation Duration</v>
          </cell>
          <cell r="E1704" t="str">
            <v>Yield</v>
          </cell>
          <cell r="F1704" t="str">
            <v>USD Inflation</v>
          </cell>
          <cell r="G1704" t="str">
            <v>USD Inflation</v>
          </cell>
          <cell r="H1704" t="str">
            <v>INFLATION</v>
          </cell>
          <cell r="I1704" t="str">
            <v>USD Inflation</v>
          </cell>
        </row>
        <row r="1705">
          <cell r="A1705" t="str">
            <v>USD_INF_10yr</v>
          </cell>
          <cell r="B1705" t="str">
            <v>USD INF 10Y</v>
          </cell>
          <cell r="C1705" t="str">
            <v>BRS_GOLD__2_INFLATION:USD_TIPS:USD_INF_10yr</v>
          </cell>
          <cell r="D1705" t="str">
            <v>Inflation Duration</v>
          </cell>
          <cell r="E1705" t="str">
            <v>Yield</v>
          </cell>
          <cell r="F1705" t="str">
            <v>USD Inflation</v>
          </cell>
          <cell r="G1705" t="str">
            <v>USD Inflation</v>
          </cell>
          <cell r="H1705" t="str">
            <v>INFLATION</v>
          </cell>
          <cell r="I1705" t="str">
            <v>USD Inflation</v>
          </cell>
        </row>
        <row r="1706">
          <cell r="A1706" t="str">
            <v>USD_CPI_15yr</v>
          </cell>
          <cell r="B1706" t="str">
            <v>CPI 15yr</v>
          </cell>
          <cell r="C1706" t="str">
            <v>BRS_GOLD__2_INFLATION:USD_TIPS:USD_CPI_15yr</v>
          </cell>
          <cell r="D1706" t="str">
            <v>Inflation Duration</v>
          </cell>
          <cell r="E1706" t="str">
            <v>Yield</v>
          </cell>
          <cell r="F1706" t="str">
            <v>USD Inflation</v>
          </cell>
          <cell r="G1706" t="str">
            <v>USD Inflation</v>
          </cell>
          <cell r="H1706" t="str">
            <v>INFLATION</v>
          </cell>
          <cell r="I1706" t="str">
            <v>USD Inflation</v>
          </cell>
        </row>
        <row r="1707">
          <cell r="A1707" t="str">
            <v>USD_INF_15yr</v>
          </cell>
          <cell r="B1707" t="str">
            <v>USD INF 15Y</v>
          </cell>
          <cell r="C1707" t="str">
            <v>BRS_GOLD__2_INFLATION:USD_TIPS:USD_INF_15yr</v>
          </cell>
          <cell r="D1707" t="str">
            <v>Inflation Duration</v>
          </cell>
          <cell r="E1707" t="str">
            <v>Yield</v>
          </cell>
          <cell r="F1707" t="str">
            <v>USD Inflation</v>
          </cell>
          <cell r="G1707" t="str">
            <v>USD Inflation</v>
          </cell>
          <cell r="H1707" t="str">
            <v>INFLATION</v>
          </cell>
          <cell r="I1707" t="str">
            <v>USD Inflation</v>
          </cell>
        </row>
        <row r="1708">
          <cell r="A1708" t="str">
            <v>USD_CPI_20yr</v>
          </cell>
          <cell r="B1708" t="str">
            <v>CPI 20yr</v>
          </cell>
          <cell r="C1708" t="str">
            <v>BRS_GOLD__2_INFLATION:USD_TIPS:USD_CPI_20yr</v>
          </cell>
          <cell r="D1708" t="str">
            <v>Inflation Duration</v>
          </cell>
          <cell r="E1708" t="str">
            <v>Yield</v>
          </cell>
          <cell r="F1708" t="str">
            <v>USD Inflation</v>
          </cell>
          <cell r="G1708" t="str">
            <v>USD Inflation</v>
          </cell>
          <cell r="H1708" t="str">
            <v>INFLATION</v>
          </cell>
          <cell r="I1708" t="str">
            <v>USD Inflation</v>
          </cell>
        </row>
        <row r="1709">
          <cell r="A1709" t="str">
            <v>USD_INF_20yr</v>
          </cell>
          <cell r="B1709" t="str">
            <v>USD INF 20Y</v>
          </cell>
          <cell r="C1709" t="str">
            <v>BRS_GOLD__2_INFLATION:USD_TIPS:USD_INF_20yr</v>
          </cell>
          <cell r="D1709" t="str">
            <v>Inflation Duration</v>
          </cell>
          <cell r="E1709" t="str">
            <v>Yield</v>
          </cell>
          <cell r="F1709" t="str">
            <v>USD Inflation</v>
          </cell>
          <cell r="G1709" t="str">
            <v>USD Inflation</v>
          </cell>
          <cell r="H1709" t="str">
            <v>INFLATION</v>
          </cell>
          <cell r="I1709" t="str">
            <v>USD Inflation</v>
          </cell>
        </row>
        <row r="1710">
          <cell r="A1710" t="str">
            <v>USD_CPI_25yr</v>
          </cell>
          <cell r="B1710" t="str">
            <v>CPI 25yr</v>
          </cell>
          <cell r="C1710" t="str">
            <v>BRS_GOLD__2_INFLATION:USD_TIPS:USD_CPI_25yr</v>
          </cell>
          <cell r="D1710" t="str">
            <v>Inflation Duration</v>
          </cell>
          <cell r="E1710" t="str">
            <v>Yield</v>
          </cell>
          <cell r="F1710" t="str">
            <v>USD Inflation</v>
          </cell>
          <cell r="G1710" t="str">
            <v>USD Inflation</v>
          </cell>
          <cell r="H1710" t="str">
            <v>INFLATION</v>
          </cell>
          <cell r="I1710" t="str">
            <v>USD Inflation</v>
          </cell>
        </row>
        <row r="1711">
          <cell r="A1711" t="str">
            <v>USD_INF_25yr</v>
          </cell>
          <cell r="B1711" t="str">
            <v>USD INF 25Y</v>
          </cell>
          <cell r="C1711" t="str">
            <v>BRS_GOLD__2_INFLATION:USD_TIPS:USD_INF_25yr</v>
          </cell>
          <cell r="D1711" t="str">
            <v>Inflation Duration</v>
          </cell>
          <cell r="E1711" t="str">
            <v>Yield</v>
          </cell>
          <cell r="F1711" t="str">
            <v>USD Inflation</v>
          </cell>
          <cell r="G1711" t="str">
            <v>USD Inflation</v>
          </cell>
          <cell r="H1711" t="str">
            <v>INFLATION</v>
          </cell>
          <cell r="I1711" t="str">
            <v>USD Inflation</v>
          </cell>
        </row>
        <row r="1712">
          <cell r="A1712" t="str">
            <v>USD_CPI_30yr</v>
          </cell>
          <cell r="B1712" t="str">
            <v>CPI 30yr</v>
          </cell>
          <cell r="C1712" t="str">
            <v>BRS_GOLD__2_INFLATION:USD_TIPS:USD_CPI_30yr</v>
          </cell>
          <cell r="D1712" t="str">
            <v>Inflation Duration</v>
          </cell>
          <cell r="E1712" t="str">
            <v>Yield</v>
          </cell>
          <cell r="F1712" t="str">
            <v>USD Inflation</v>
          </cell>
          <cell r="G1712" t="str">
            <v>USD Inflation</v>
          </cell>
          <cell r="H1712" t="str">
            <v>INFLATION</v>
          </cell>
          <cell r="I1712" t="str">
            <v>USD Inflation</v>
          </cell>
        </row>
        <row r="1713">
          <cell r="A1713" t="str">
            <v>USD_INF_30yr</v>
          </cell>
          <cell r="B1713" t="str">
            <v>USD INF 30Y</v>
          </cell>
          <cell r="C1713" t="str">
            <v>BRS_GOLD__2_INFLATION:USD_TIPS:USD_INF_30yr</v>
          </cell>
          <cell r="D1713" t="str">
            <v>Inflation Duration</v>
          </cell>
          <cell r="E1713" t="str">
            <v>Yield</v>
          </cell>
          <cell r="F1713" t="str">
            <v>USD Inflation</v>
          </cell>
          <cell r="G1713" t="str">
            <v>USD Inflation</v>
          </cell>
          <cell r="H1713" t="str">
            <v>INFLATION</v>
          </cell>
          <cell r="I1713" t="str">
            <v>USD Inflation</v>
          </cell>
        </row>
        <row r="1714">
          <cell r="A1714" t="str">
            <v>EUR_INF_3m</v>
          </cell>
          <cell r="B1714" t="str">
            <v>EUR INF 3M</v>
          </cell>
          <cell r="C1714" t="str">
            <v>BRS_GOLD__2_INFLATION:EUR_INF:EUR_INF_3m</v>
          </cell>
          <cell r="D1714" t="str">
            <v>Inflation Duration</v>
          </cell>
          <cell r="E1714" t="str">
            <v>Yield</v>
          </cell>
          <cell r="F1714" t="str">
            <v>EUR Inflation</v>
          </cell>
          <cell r="G1714" t="str">
            <v>EUR Inflation</v>
          </cell>
          <cell r="H1714" t="str">
            <v>INFLATION</v>
          </cell>
          <cell r="I1714" t="str">
            <v>EUR Inflation</v>
          </cell>
        </row>
        <row r="1715">
          <cell r="A1715" t="str">
            <v>EUR_INF_1yr</v>
          </cell>
          <cell r="B1715" t="str">
            <v>EUR INF 1Y</v>
          </cell>
          <cell r="C1715" t="str">
            <v>BRS_GOLD__2_INFLATION:EUR_INF:EUR_INF_1yr</v>
          </cell>
          <cell r="D1715" t="str">
            <v>Inflation Duration</v>
          </cell>
          <cell r="E1715" t="str">
            <v>Yield</v>
          </cell>
          <cell r="F1715" t="str">
            <v>EUR Inflation</v>
          </cell>
          <cell r="G1715" t="str">
            <v>EUR Inflation</v>
          </cell>
          <cell r="H1715" t="str">
            <v>INFLATION</v>
          </cell>
          <cell r="I1715" t="str">
            <v>EUR Inflation</v>
          </cell>
        </row>
        <row r="1716">
          <cell r="A1716" t="str">
            <v>EUR_INF_2yr</v>
          </cell>
          <cell r="B1716" t="str">
            <v>EUR INF 2Y</v>
          </cell>
          <cell r="C1716" t="str">
            <v>BRS_GOLD__2_INFLATION:EUR_INF:EUR_INF_2yr</v>
          </cell>
          <cell r="D1716" t="str">
            <v>Inflation Duration</v>
          </cell>
          <cell r="E1716" t="str">
            <v>Yield</v>
          </cell>
          <cell r="F1716" t="str">
            <v>EUR Inflation</v>
          </cell>
          <cell r="G1716" t="str">
            <v>EUR Inflation</v>
          </cell>
          <cell r="H1716" t="str">
            <v>INFLATION</v>
          </cell>
          <cell r="I1716" t="str">
            <v>EUR Inflation</v>
          </cell>
        </row>
        <row r="1717">
          <cell r="A1717" t="str">
            <v>EUR_INF_3yr</v>
          </cell>
          <cell r="B1717" t="str">
            <v>EUR INF 3Y</v>
          </cell>
          <cell r="C1717" t="str">
            <v>BRS_GOLD__2_INFLATION:EUR_INF:EUR_INF_3yr</v>
          </cell>
          <cell r="D1717" t="str">
            <v>Inflation Duration</v>
          </cell>
          <cell r="E1717" t="str">
            <v>Yield</v>
          </cell>
          <cell r="F1717" t="str">
            <v>EUR Inflation</v>
          </cell>
          <cell r="G1717" t="str">
            <v>EUR Inflation</v>
          </cell>
          <cell r="H1717" t="str">
            <v>INFLATION</v>
          </cell>
          <cell r="I1717" t="str">
            <v>EUR Inflation</v>
          </cell>
        </row>
        <row r="1718">
          <cell r="A1718" t="str">
            <v>EUR_INF_5yr</v>
          </cell>
          <cell r="B1718" t="str">
            <v>EUR INF 5Y</v>
          </cell>
          <cell r="C1718" t="str">
            <v>BRS_GOLD__2_INFLATION:EUR_INF:EUR_INF_5yr</v>
          </cell>
          <cell r="D1718" t="str">
            <v>Inflation Duration</v>
          </cell>
          <cell r="E1718" t="str">
            <v>Yield</v>
          </cell>
          <cell r="F1718" t="str">
            <v>EUR Inflation</v>
          </cell>
          <cell r="G1718" t="str">
            <v>EUR Inflation</v>
          </cell>
          <cell r="H1718" t="str">
            <v>INFLATION</v>
          </cell>
          <cell r="I1718" t="str">
            <v>EUR Inflation</v>
          </cell>
        </row>
        <row r="1719">
          <cell r="A1719" t="str">
            <v>EUR_INF_7yr</v>
          </cell>
          <cell r="B1719" t="str">
            <v>EUR INF 7Y</v>
          </cell>
          <cell r="C1719" t="str">
            <v>BRS_GOLD__2_INFLATION:EUR_INF:EUR_INF_7yr</v>
          </cell>
          <cell r="D1719" t="str">
            <v>Inflation Duration</v>
          </cell>
          <cell r="E1719" t="str">
            <v>Yield</v>
          </cell>
          <cell r="F1719" t="str">
            <v>EUR Inflation</v>
          </cell>
          <cell r="G1719" t="str">
            <v>EUR Inflation</v>
          </cell>
          <cell r="H1719" t="str">
            <v>INFLATION</v>
          </cell>
          <cell r="I1719" t="str">
            <v>EUR Inflation</v>
          </cell>
        </row>
        <row r="1720">
          <cell r="A1720" t="str">
            <v>EUR_INF_10yr</v>
          </cell>
          <cell r="B1720" t="str">
            <v>EUR INF 10Y</v>
          </cell>
          <cell r="C1720" t="str">
            <v>BRS_GOLD__2_INFLATION:EUR_INF:EUR_INF_10yr</v>
          </cell>
          <cell r="D1720" t="str">
            <v>Inflation Duration</v>
          </cell>
          <cell r="E1720" t="str">
            <v>Yield</v>
          </cell>
          <cell r="F1720" t="str">
            <v>EUR Inflation</v>
          </cell>
          <cell r="G1720" t="str">
            <v>EUR Inflation</v>
          </cell>
          <cell r="H1720" t="str">
            <v>INFLATION</v>
          </cell>
          <cell r="I1720" t="str">
            <v>EUR Inflation</v>
          </cell>
        </row>
        <row r="1721">
          <cell r="A1721" t="str">
            <v>EUR_INF_15yr</v>
          </cell>
          <cell r="B1721" t="str">
            <v>EUR INF 15Y</v>
          </cell>
          <cell r="C1721" t="str">
            <v>BRS_GOLD__2_INFLATION:EUR_INF:EUR_INF_15yr</v>
          </cell>
          <cell r="D1721" t="str">
            <v>Inflation Duration</v>
          </cell>
          <cell r="E1721" t="str">
            <v>Yield</v>
          </cell>
          <cell r="F1721" t="str">
            <v>EUR Inflation</v>
          </cell>
          <cell r="G1721" t="str">
            <v>EUR Inflation</v>
          </cell>
          <cell r="H1721" t="str">
            <v>INFLATION</v>
          </cell>
          <cell r="I1721" t="str">
            <v>EUR Inflation</v>
          </cell>
        </row>
        <row r="1722">
          <cell r="A1722" t="str">
            <v>EUR_INF_20yr</v>
          </cell>
          <cell r="B1722" t="str">
            <v>EUR INF 20Y</v>
          </cell>
          <cell r="C1722" t="str">
            <v>BRS_GOLD__2_INFLATION:EUR_INF:EUR_INF_20yr</v>
          </cell>
          <cell r="D1722" t="str">
            <v>Inflation Duration</v>
          </cell>
          <cell r="E1722" t="str">
            <v>Yield</v>
          </cell>
          <cell r="F1722" t="str">
            <v>EUR Inflation</v>
          </cell>
          <cell r="G1722" t="str">
            <v>EUR Inflation</v>
          </cell>
          <cell r="H1722" t="str">
            <v>INFLATION</v>
          </cell>
          <cell r="I1722" t="str">
            <v>EUR Inflation</v>
          </cell>
        </row>
        <row r="1723">
          <cell r="A1723" t="str">
            <v>EUR_INF_25yr</v>
          </cell>
          <cell r="B1723" t="str">
            <v>EUR INF 25Y</v>
          </cell>
          <cell r="C1723" t="str">
            <v>BRS_GOLD__2_INFLATION:EUR_INF:EUR_INF_25yr</v>
          </cell>
          <cell r="D1723" t="str">
            <v>Inflation Duration</v>
          </cell>
          <cell r="E1723" t="str">
            <v>Yield</v>
          </cell>
          <cell r="F1723" t="str">
            <v>EUR Inflation</v>
          </cell>
          <cell r="G1723" t="str">
            <v>EUR Inflation</v>
          </cell>
          <cell r="H1723" t="str">
            <v>INFLATION</v>
          </cell>
          <cell r="I1723" t="str">
            <v>EUR Inflation</v>
          </cell>
        </row>
        <row r="1724">
          <cell r="A1724" t="str">
            <v>EUR_INF_30yr</v>
          </cell>
          <cell r="B1724" t="str">
            <v>EUR INF 30Y</v>
          </cell>
          <cell r="C1724" t="str">
            <v>BRS_GOLD__2_INFLATION:EUR_INF:EUR_INF_30yr</v>
          </cell>
          <cell r="D1724" t="str">
            <v>Inflation Duration</v>
          </cell>
          <cell r="E1724" t="str">
            <v>Yield</v>
          </cell>
          <cell r="F1724" t="str">
            <v>EUR Inflation</v>
          </cell>
          <cell r="G1724" t="str">
            <v>EUR Inflation</v>
          </cell>
          <cell r="H1724" t="str">
            <v>INFLATION</v>
          </cell>
          <cell r="I1724" t="str">
            <v>EUR Inflation</v>
          </cell>
        </row>
        <row r="1725">
          <cell r="A1725" t="str">
            <v>EUR_INF_40yr</v>
          </cell>
          <cell r="B1725" t="str">
            <v>EUR INF 40Y</v>
          </cell>
          <cell r="C1725" t="str">
            <v>BRS_GOLD__2_INFLATION:EUR_INF:EUR_INF_40yr</v>
          </cell>
          <cell r="D1725" t="str">
            <v>Inflation Duration</v>
          </cell>
          <cell r="E1725" t="str">
            <v>Yield</v>
          </cell>
          <cell r="F1725" t="str">
            <v>EUR Inflation</v>
          </cell>
          <cell r="G1725" t="str">
            <v>EUR Inflation</v>
          </cell>
          <cell r="H1725" t="str">
            <v>INFLATION</v>
          </cell>
          <cell r="I1725" t="str">
            <v>EUR Inflation</v>
          </cell>
        </row>
        <row r="1726">
          <cell r="A1726" t="str">
            <v>EUR_INF_50yr</v>
          </cell>
          <cell r="B1726" t="str">
            <v>EUR INF 50Y</v>
          </cell>
          <cell r="C1726" t="str">
            <v>BRS_GOLD__2_INFLATION:EUR_INF:EUR_INF_50yr</v>
          </cell>
          <cell r="D1726" t="str">
            <v>Inflation Duration</v>
          </cell>
          <cell r="E1726" t="str">
            <v>Yield</v>
          </cell>
          <cell r="F1726" t="str">
            <v>EUR Inflation</v>
          </cell>
          <cell r="G1726" t="str">
            <v>EUR Inflation</v>
          </cell>
          <cell r="H1726" t="str">
            <v>INFLATION</v>
          </cell>
          <cell r="I1726" t="str">
            <v>EUR Inflation</v>
          </cell>
        </row>
        <row r="1727">
          <cell r="A1727" t="str">
            <v>CDX_EM</v>
          </cell>
          <cell r="B1727" t="str">
            <v>CDX.EM.5</v>
          </cell>
          <cell r="C1727" t="str">
            <v>BRS_GOLD__5_SPREADS:USD_EM_DS,EM_IDIO,US_CDX_EM,EM_CORP_EE,EM_CORP_MIDAF,EM_CORP_SA:US_CDX_EM:CDX_EM</v>
          </cell>
          <cell r="D1727" t="str">
            <v>Spread Duration</v>
          </cell>
          <cell r="E1727" t="str">
            <v>Spread Yield</v>
          </cell>
          <cell r="F1727" t="str">
            <v>SP-Spread Emerging Markets - CDX</v>
          </cell>
          <cell r="G1727" t="str">
            <v>SP-Spread Emerging Markets</v>
          </cell>
          <cell r="H1727" t="str">
            <v>SPREADS</v>
          </cell>
          <cell r="I1727" t="str">
            <v>Spread Emerging Markets - CDX</v>
          </cell>
        </row>
        <row r="1728">
          <cell r="A1728" t="str">
            <v>USD_DJEM_5Y</v>
          </cell>
          <cell r="B1728" t="str">
            <v>CDX.EM.5</v>
          </cell>
          <cell r="C1728" t="str">
            <v>BRS_GOLD__5_SPREADS:USD_EM_DS,EM_IDIO,US_CDX_EM,EM_CORP_EE,EM_CORP_MIDAF,EM_CORP_SA:US_CDX_EM:USD_DJEM_5Y</v>
          </cell>
          <cell r="D1728" t="str">
            <v>Spread Duration</v>
          </cell>
          <cell r="E1728" t="str">
            <v>Spread Yield (DxS)</v>
          </cell>
          <cell r="F1728" t="str">
            <v>SP-Spread Emerging Markets - CDX</v>
          </cell>
          <cell r="G1728" t="str">
            <v>SP-Spread Emerging Markets</v>
          </cell>
          <cell r="H1728" t="str">
            <v>SPREADS</v>
          </cell>
          <cell r="I1728" t="str">
            <v>Spread Emerging Markets - CDX</v>
          </cell>
        </row>
        <row r="1729">
          <cell r="A1729" t="str">
            <v>USD_DJEM_10Y</v>
          </cell>
          <cell r="B1729" t="str">
            <v>CDX.EM.10</v>
          </cell>
          <cell r="C1729" t="str">
            <v>BRS_GOLD__5_SPREADS:USD_EM_DS,EM_IDIO,US_CDX_EM,EM_CORP_EE,EM_CORP_MIDAF,EM_CORP_SA:US_CDX_EM:USD_DJEM_10Y</v>
          </cell>
          <cell r="D1729" t="str">
            <v>Spread Duration</v>
          </cell>
          <cell r="E1729" t="str">
            <v>Spread Yield (DxS)</v>
          </cell>
          <cell r="F1729" t="str">
            <v>SP-Spread Emerging Markets - CDX</v>
          </cell>
          <cell r="G1729" t="str">
            <v>SP-Spread Emerging Markets</v>
          </cell>
          <cell r="H1729" t="str">
            <v>SPREADS</v>
          </cell>
          <cell r="I1729" t="str">
            <v>Spread Emerging Markets - CDX</v>
          </cell>
        </row>
        <row r="1730">
          <cell r="A1730" t="str">
            <v>USD_DJEX_5Y</v>
          </cell>
          <cell r="B1730" t="str">
            <v>CDX.EM.EX.EU.5</v>
          </cell>
          <cell r="C1730" t="str">
            <v>BRS_GOLD__5_SPREADS:USD_EM_DS,EM_IDIO,US_CDX_EM,EM_CORP_EE,EM_CORP_MIDAF,EM_CORP_SA:US_CDX_EM:USD_DJEX_5Y</v>
          </cell>
          <cell r="D1730" t="str">
            <v>Spread Duration</v>
          </cell>
          <cell r="E1730" t="str">
            <v>Spread Yield (DxS)</v>
          </cell>
          <cell r="F1730" t="str">
            <v>SP-Spread Emerging Markets - CDX</v>
          </cell>
          <cell r="G1730" t="str">
            <v>SP-Spread Emerging Markets</v>
          </cell>
          <cell r="H1730" t="str">
            <v>SPREADS</v>
          </cell>
          <cell r="I1730" t="str">
            <v>Spread Emerging Markets - CDX</v>
          </cell>
        </row>
        <row r="1731">
          <cell r="A1731" t="str">
            <v>USD_DJEX_10Y</v>
          </cell>
          <cell r="B1731" t="str">
            <v>CDX.EM.EX.EU.10</v>
          </cell>
          <cell r="C1731" t="str">
            <v>BRS_GOLD__5_SPREADS:USD_EM_DS,EM_IDIO,US_CDX_EM,EM_CORP_EE,EM_CORP_MIDAF,EM_CORP_SA:US_CDX_EM:USD_DJEX_10Y</v>
          </cell>
          <cell r="D1731" t="str">
            <v>Spread Duration</v>
          </cell>
          <cell r="E1731" t="str">
            <v>Spread Yield (DxS)</v>
          </cell>
          <cell r="F1731" t="str">
            <v>SP-Spread Emerging Markets - CDX</v>
          </cell>
          <cell r="G1731" t="str">
            <v>SP-Spread Emerging Markets</v>
          </cell>
          <cell r="H1731" t="str">
            <v>SPREADS</v>
          </cell>
          <cell r="I1731" t="str">
            <v>Spread Emerging Markets - CDX</v>
          </cell>
        </row>
        <row r="1732">
          <cell r="A1732" t="str">
            <v>USD_DJED_5Y</v>
          </cell>
          <cell r="B1732" t="str">
            <v>CDX.EM.DIV.5</v>
          </cell>
          <cell r="C1732" t="str">
            <v>BRS_GOLD__5_SPREADS:USD_EM_DS,EM_IDIO,US_CDX_EM,EM_CORP_EE,EM_CORP_MIDAF,EM_CORP_SA:US_CDX_EM:USD_DJED_5Y</v>
          </cell>
          <cell r="D1732" t="str">
            <v>Spread Duration</v>
          </cell>
          <cell r="E1732" t="str">
            <v>Spread Yield (DxS)</v>
          </cell>
          <cell r="F1732" t="str">
            <v>SP-Spread Emerging Markets - CDX</v>
          </cell>
          <cell r="G1732" t="str">
            <v>SP-Spread Emerging Markets</v>
          </cell>
          <cell r="H1732" t="str">
            <v>SPREADS</v>
          </cell>
          <cell r="I1732" t="str">
            <v>Spread Emerging Markets - CDX</v>
          </cell>
        </row>
        <row r="1733">
          <cell r="A1733" t="str">
            <v>USD_DJED_10Y</v>
          </cell>
          <cell r="B1733" t="str">
            <v>CDX.EM.DIV.10</v>
          </cell>
          <cell r="C1733" t="str">
            <v>BRS_GOLD__5_SPREADS:USD_EM_DS,EM_IDIO,US_CDX_EM,EM_CORP_EE,EM_CORP_MIDAF,EM_CORP_SA:US_CDX_EM:USD_DJED_10Y</v>
          </cell>
          <cell r="D1733" t="str">
            <v>Spread Duration</v>
          </cell>
          <cell r="E1733" t="str">
            <v>Spread Yield (DxS)</v>
          </cell>
          <cell r="F1733" t="str">
            <v>SP-Spread Emerging Markets - CDX</v>
          </cell>
          <cell r="G1733" t="str">
            <v>SP-Spread Emerging Markets</v>
          </cell>
          <cell r="H1733" t="str">
            <v>SPREADS</v>
          </cell>
          <cell r="I1733" t="str">
            <v>Spread Emerging Markets - CDX</v>
          </cell>
        </row>
        <row r="1734">
          <cell r="A1734" t="str">
            <v>USD_ITEC_5Y</v>
          </cell>
          <cell r="B1734" t="str">
            <v>ITRAXX.CEEMEA.5</v>
          </cell>
          <cell r="C1734" t="str">
            <v>BRS_GOLD__5_SPREADS:USD_EM_DS,EM_IDIO,US_CDX_EM,EM_CORP_EE,EM_CORP_MIDAF,EM_CORP_SA:US_CDX_EM:USD_ITEC_5Y</v>
          </cell>
          <cell r="D1734" t="str">
            <v>Spread Duration</v>
          </cell>
          <cell r="E1734" t="str">
            <v>Spread Yield (DxS)</v>
          </cell>
          <cell r="F1734" t="str">
            <v>SP-Spread Emerging Markets - CDX</v>
          </cell>
          <cell r="G1734" t="str">
            <v>SP-Spread Emerging Markets</v>
          </cell>
          <cell r="H1734" t="str">
            <v>SPREADS</v>
          </cell>
          <cell r="I1734" t="str">
            <v>Spread Emerging Markets - CDX</v>
          </cell>
        </row>
        <row r="1735">
          <cell r="A1735" t="str">
            <v>USD_ITEC_10Y</v>
          </cell>
          <cell r="B1735" t="str">
            <v>ITRAXX.CEEMEA.10</v>
          </cell>
          <cell r="C1735" t="str">
            <v>BRS_GOLD__5_SPREADS:USD_EM_DS,EM_IDIO,US_CDX_EM,EM_CORP_EE,EM_CORP_MIDAF,EM_CORP_SA:US_CDX_EM:USD_ITEC_10Y</v>
          </cell>
          <cell r="D1735" t="str">
            <v>Spread Duration</v>
          </cell>
          <cell r="E1735" t="str">
            <v>Spread Yield (DxS)</v>
          </cell>
          <cell r="F1735" t="str">
            <v>SP-Spread Emerging Markets - CDX</v>
          </cell>
          <cell r="G1735" t="str">
            <v>SP-Spread Emerging Markets</v>
          </cell>
          <cell r="H1735" t="str">
            <v>SPREADS</v>
          </cell>
          <cell r="I1735" t="str">
            <v>Spread Emerging Markets - CDX</v>
          </cell>
        </row>
        <row r="1736">
          <cell r="A1736" t="str">
            <v>USD_ITEE_5Y</v>
          </cell>
          <cell r="B1736" t="str">
            <v>ITRAXX.CEEMEA.EX.EU.5</v>
          </cell>
          <cell r="C1736" t="str">
            <v>BRS_GOLD__5_SPREADS:USD_EM_DS,EM_IDIO,US_CDX_EM,EM_CORP_EE,EM_CORP_MIDAF,EM_CORP_SA:US_CDX_EM:USD_ITEE_5Y</v>
          </cell>
          <cell r="D1736" t="str">
            <v>Spread Duration</v>
          </cell>
          <cell r="E1736" t="str">
            <v>Spread Yield (DxS)</v>
          </cell>
          <cell r="F1736" t="str">
            <v>SP-Spread Emerging Markets - CDX</v>
          </cell>
          <cell r="G1736" t="str">
            <v>SP-Spread Emerging Markets</v>
          </cell>
          <cell r="H1736" t="str">
            <v>SPREADS</v>
          </cell>
          <cell r="I1736" t="str">
            <v>Spread Emerging Markets - CDX</v>
          </cell>
        </row>
        <row r="1737">
          <cell r="A1737" t="str">
            <v>USD_ITEE_10Y</v>
          </cell>
          <cell r="B1737" t="str">
            <v>ITRAXX.CEEMEA.EX.EU.10</v>
          </cell>
          <cell r="C1737" t="str">
            <v>BRS_GOLD__5_SPREADS:USD_EM_DS,EM_IDIO,US_CDX_EM,EM_CORP_EE,EM_CORP_MIDAF,EM_CORP_SA:US_CDX_EM:USD_ITEE_10Y</v>
          </cell>
          <cell r="D1737" t="str">
            <v>Spread Duration</v>
          </cell>
          <cell r="E1737" t="str">
            <v>Spread Yield (DxS)</v>
          </cell>
          <cell r="F1737" t="str">
            <v>SP-Spread Emerging Markets - CDX</v>
          </cell>
          <cell r="G1737" t="str">
            <v>SP-Spread Emerging Markets</v>
          </cell>
          <cell r="H1737" t="str">
            <v>SPREADS</v>
          </cell>
          <cell r="I1737" t="str">
            <v>Spread Emerging Markets - CDX</v>
          </cell>
        </row>
        <row r="1738">
          <cell r="A1738" t="str">
            <v>USD_ITCE_5Y</v>
          </cell>
          <cell r="B1738" t="str">
            <v>ITRAXX.SOV.CE.5</v>
          </cell>
          <cell r="C1738" t="str">
            <v>BRS_GOLD__5_SPREADS:USD_EM_DS,EM_IDIO,US_CDX_EM,EM_CORP_EE,EM_CORP_MIDAF,EM_CORP_SA:US_CDX_EM:USD_ITCE_5Y</v>
          </cell>
          <cell r="D1738" t="str">
            <v>Spread Duration</v>
          </cell>
          <cell r="E1738" t="str">
            <v>Spread Yield (DxS)</v>
          </cell>
          <cell r="F1738" t="str">
            <v>SP-Spread Emerging Markets - CDX</v>
          </cell>
          <cell r="G1738" t="str">
            <v>SP-Spread Emerging Markets</v>
          </cell>
          <cell r="H1738" t="str">
            <v>SPREADS</v>
          </cell>
          <cell r="I1738" t="str">
            <v>Spread Emerging Markets - CDX</v>
          </cell>
        </row>
        <row r="1739">
          <cell r="A1739" t="str">
            <v>USD_ITCE_10Y</v>
          </cell>
          <cell r="B1739" t="str">
            <v>ITRAXX.SOV.CE.10</v>
          </cell>
          <cell r="C1739" t="str">
            <v>BRS_GOLD__5_SPREADS:USD_EM_DS,EM_IDIO,US_CDX_EM,EM_CORP_EE,EM_CORP_MIDAF,EM_CORP_SA:US_CDX_EM:USD_ITCE_10Y</v>
          </cell>
          <cell r="D1739" t="str">
            <v>Spread Duration</v>
          </cell>
          <cell r="E1739" t="str">
            <v>Spread Yield (DxS)</v>
          </cell>
          <cell r="F1739" t="str">
            <v>SP-Spread Emerging Markets - CDX</v>
          </cell>
          <cell r="G1739" t="str">
            <v>SP-Spread Emerging Markets</v>
          </cell>
          <cell r="H1739" t="str">
            <v>SPREADS</v>
          </cell>
          <cell r="I1739" t="str">
            <v>Spread Emerging Markets - CDX</v>
          </cell>
        </row>
        <row r="1740">
          <cell r="A1740" t="str">
            <v>USD_DJLA_5Y</v>
          </cell>
          <cell r="B1740" t="str">
            <v>CDX.LATAM.CORP.5</v>
          </cell>
          <cell r="C1740" t="str">
            <v>BRS_GOLD__5_SPREADS:USD_EM_DS,EM_IDIO,US_CDX_EM,EM_CORP_EE,EM_CORP_MIDAF,EM_CORP_SA:US_CDX_EM:USD_DJLA_5Y</v>
          </cell>
          <cell r="D1740" t="str">
            <v>Spread Duration</v>
          </cell>
          <cell r="E1740" t="str">
            <v>Spread Yield (DxS)</v>
          </cell>
          <cell r="F1740" t="str">
            <v>SP-Spread Emerging Markets - CDX</v>
          </cell>
          <cell r="G1740" t="str">
            <v>SP-Spread Emerging Markets</v>
          </cell>
          <cell r="H1740" t="str">
            <v>SPREADS</v>
          </cell>
          <cell r="I1740" t="str">
            <v>Spread Emerging Markets - CDX</v>
          </cell>
        </row>
        <row r="1741">
          <cell r="A1741" t="str">
            <v>USD_DJLA_10Y</v>
          </cell>
          <cell r="B1741" t="str">
            <v>CDX.LATAM.CORP.10</v>
          </cell>
          <cell r="C1741" t="str">
            <v>BRS_GOLD__5_SPREADS:USD_EM_DS,EM_IDIO,US_CDX_EM,EM_CORP_EE,EM_CORP_MIDAF,EM_CORP_SA:US_CDX_EM:USD_DJLA_10Y</v>
          </cell>
          <cell r="D1741" t="str">
            <v>Spread Duration</v>
          </cell>
          <cell r="E1741" t="str">
            <v>Spread Yield (DxS)</v>
          </cell>
          <cell r="F1741" t="str">
            <v>SP-Spread Emerging Markets - CDX</v>
          </cell>
          <cell r="G1741" t="str">
            <v>SP-Spread Emerging Markets</v>
          </cell>
          <cell r="H1741" t="str">
            <v>SPREADS</v>
          </cell>
          <cell r="I1741" t="str">
            <v>Spread Emerging Markets - CDX</v>
          </cell>
        </row>
        <row r="1742">
          <cell r="A1742" t="str">
            <v>USD_2yr_2yr</v>
          </cell>
          <cell r="B1742" t="str">
            <v>Tsy 2Y ^2</v>
          </cell>
          <cell r="C1742" t="str">
            <v>BRS_GOLD__2_RATES:BRS_GOLD__1_USDIR:USD_2yr_2yr</v>
          </cell>
          <cell r="D1742" t="str">
            <v>Convexity</v>
          </cell>
          <cell r="E1742" t="str">
            <v>Convexity</v>
          </cell>
          <cell r="F1742" t="str">
            <v>FI-Convexity</v>
          </cell>
          <cell r="G1742" t="str">
            <v>FI-Other</v>
          </cell>
          <cell r="H1742" t="str">
            <v>RATES</v>
          </cell>
          <cell r="I1742" t="str">
            <v>Convexity</v>
          </cell>
        </row>
        <row r="1743">
          <cell r="A1743" t="str">
            <v>USD_5yr_5yr</v>
          </cell>
          <cell r="B1743" t="str">
            <v>Tsy 5Y ^2</v>
          </cell>
          <cell r="C1743" t="str">
            <v>BRS_GOLD__2_RATES:BRS_GOLD__1_USDIR:USD_5yr_5yr</v>
          </cell>
          <cell r="D1743" t="str">
            <v>Convexity</v>
          </cell>
          <cell r="E1743" t="str">
            <v>Convexity</v>
          </cell>
          <cell r="F1743" t="str">
            <v>FI-Convexity</v>
          </cell>
          <cell r="G1743" t="str">
            <v>FI-Other</v>
          </cell>
          <cell r="H1743" t="str">
            <v>RATES</v>
          </cell>
          <cell r="I1743" t="str">
            <v>Convexity</v>
          </cell>
        </row>
        <row r="1744">
          <cell r="A1744" t="str">
            <v>USD_10yr_10yr</v>
          </cell>
          <cell r="B1744" t="str">
            <v>Tsy 10Y ^2</v>
          </cell>
          <cell r="C1744" t="str">
            <v>BRS_GOLD__2_RATES:BRS_GOLD__1_USDIR:USD_10yr_10yr</v>
          </cell>
          <cell r="D1744" t="str">
            <v>Convexity</v>
          </cell>
          <cell r="E1744" t="str">
            <v>Convexity</v>
          </cell>
          <cell r="F1744" t="str">
            <v>FI-Convexity</v>
          </cell>
          <cell r="G1744" t="str">
            <v>FI-Other</v>
          </cell>
          <cell r="H1744" t="str">
            <v>RATES</v>
          </cell>
          <cell r="I1744" t="str">
            <v>Convexity</v>
          </cell>
        </row>
        <row r="1745">
          <cell r="A1745" t="str">
            <v>USD_30yr_30yr</v>
          </cell>
          <cell r="B1745" t="str">
            <v>Tsy 30Y ^2</v>
          </cell>
          <cell r="C1745" t="str">
            <v>BRS_GOLD__2_RATES:BRS_GOLD__1_USDIR:USD_30yr_30yr</v>
          </cell>
          <cell r="D1745" t="str">
            <v>Convexity</v>
          </cell>
          <cell r="E1745" t="str">
            <v>Convexity</v>
          </cell>
          <cell r="F1745" t="str">
            <v>FI-Convexity</v>
          </cell>
          <cell r="G1745" t="str">
            <v>FI-Other</v>
          </cell>
          <cell r="H1745" t="str">
            <v>RATES</v>
          </cell>
          <cell r="I1745" t="str">
            <v>Convexity</v>
          </cell>
        </row>
        <row r="1746">
          <cell r="A1746" t="str">
            <v>USD_2yr_5yr</v>
          </cell>
          <cell r="B1746" t="str">
            <v>Tsy 2Y x 5Y</v>
          </cell>
          <cell r="C1746" t="str">
            <v>BRS_GOLD__2_RATES:BRS_GOLD__1_USDIR:USD_2yr_5yr</v>
          </cell>
          <cell r="D1746" t="str">
            <v>Convexity</v>
          </cell>
          <cell r="E1746" t="str">
            <v>Convexity</v>
          </cell>
          <cell r="F1746" t="str">
            <v>FI-Convexity</v>
          </cell>
          <cell r="G1746" t="str">
            <v>FI-Other</v>
          </cell>
          <cell r="H1746" t="str">
            <v>RATES</v>
          </cell>
          <cell r="I1746" t="str">
            <v>Convexity</v>
          </cell>
        </row>
        <row r="1747">
          <cell r="A1747" t="str">
            <v>USD_2yr_10yr</v>
          </cell>
          <cell r="B1747" t="str">
            <v>Tsy 2Y x 10Y</v>
          </cell>
          <cell r="C1747" t="str">
            <v>BRS_GOLD__2_RATES:BRS_GOLD__1_USDIR:USD_2yr_10yr</v>
          </cell>
          <cell r="D1747" t="str">
            <v>Convexity</v>
          </cell>
          <cell r="E1747" t="str">
            <v>Convexity</v>
          </cell>
          <cell r="F1747" t="str">
            <v>FI-Convexity</v>
          </cell>
          <cell r="G1747" t="str">
            <v>FI-Other</v>
          </cell>
          <cell r="H1747" t="str">
            <v>RATES</v>
          </cell>
          <cell r="I1747" t="str">
            <v>Convexity</v>
          </cell>
        </row>
        <row r="1748">
          <cell r="A1748" t="str">
            <v>USD_2yr_30yr</v>
          </cell>
          <cell r="B1748" t="str">
            <v>Tsy 2Y x 30Y</v>
          </cell>
          <cell r="C1748" t="str">
            <v>BRS_GOLD__2_RATES:BRS_GOLD__1_USDIR:USD_2yr_30yr</v>
          </cell>
          <cell r="D1748" t="str">
            <v>Convexity</v>
          </cell>
          <cell r="E1748" t="str">
            <v>Convexity</v>
          </cell>
          <cell r="F1748" t="str">
            <v>FI-Convexity</v>
          </cell>
          <cell r="G1748" t="str">
            <v>FI-Other</v>
          </cell>
          <cell r="H1748" t="str">
            <v>RATES</v>
          </cell>
          <cell r="I1748" t="str">
            <v>Convexity</v>
          </cell>
        </row>
        <row r="1749">
          <cell r="A1749" t="str">
            <v>USD_5yr_10yr</v>
          </cell>
          <cell r="B1749" t="str">
            <v>Tsy 5Y x 10Y</v>
          </cell>
          <cell r="C1749" t="str">
            <v>BRS_GOLD__2_RATES:BRS_GOLD__1_USDIR:USD_5yr_10yr</v>
          </cell>
          <cell r="D1749" t="str">
            <v>Convexity</v>
          </cell>
          <cell r="E1749" t="str">
            <v>Convexity</v>
          </cell>
          <cell r="F1749" t="str">
            <v>FI-Convexity</v>
          </cell>
          <cell r="G1749" t="str">
            <v>FI-Other</v>
          </cell>
          <cell r="H1749" t="str">
            <v>RATES</v>
          </cell>
          <cell r="I1749" t="str">
            <v>Convexity</v>
          </cell>
        </row>
        <row r="1750">
          <cell r="A1750" t="str">
            <v>USD_5yr_30yr</v>
          </cell>
          <cell r="B1750" t="str">
            <v>Tsy 5Y x 30Y</v>
          </cell>
          <cell r="C1750" t="str">
            <v>BRS_GOLD__2_RATES:BRS_GOLD__1_USDIR:USD_5yr_30yr</v>
          </cell>
          <cell r="D1750" t="str">
            <v>Convexity</v>
          </cell>
          <cell r="E1750" t="str">
            <v>Convexity</v>
          </cell>
          <cell r="F1750" t="str">
            <v>FI-Convexity</v>
          </cell>
          <cell r="G1750" t="str">
            <v>FI-Other</v>
          </cell>
          <cell r="H1750" t="str">
            <v>RATES</v>
          </cell>
          <cell r="I1750" t="str">
            <v>Convexity</v>
          </cell>
        </row>
        <row r="1751">
          <cell r="A1751" t="str">
            <v>USD_10yr_30yr</v>
          </cell>
          <cell r="B1751" t="str">
            <v>Tsy 10Y x 30Y</v>
          </cell>
          <cell r="C1751" t="str">
            <v>BRS_GOLD__2_RATES:BRS_GOLD__1_USDIR:USD_10yr_30yr</v>
          </cell>
          <cell r="D1751" t="str">
            <v>Convexity</v>
          </cell>
          <cell r="E1751" t="str">
            <v>Convexity</v>
          </cell>
          <cell r="F1751" t="str">
            <v>FI-Convexity</v>
          </cell>
          <cell r="G1751" t="str">
            <v>FI-Other</v>
          </cell>
          <cell r="H1751" t="str">
            <v>RATES</v>
          </cell>
          <cell r="I1751" t="str">
            <v>Convexity</v>
          </cell>
        </row>
        <row r="1752">
          <cell r="A1752" t="str">
            <v>EUR_2yr_2yr</v>
          </cell>
          <cell r="B1752" t="str">
            <v>EUR 2Y ^2</v>
          </cell>
          <cell r="C1752" t="str">
            <v>BRS_GOLD__2_RATES:BRS_GOLD__1_EURIR:EUR_2yr_2yr</v>
          </cell>
          <cell r="D1752" t="str">
            <v>Convexity</v>
          </cell>
          <cell r="E1752" t="str">
            <v>Convexity</v>
          </cell>
          <cell r="F1752" t="str">
            <v>FI-Convexity</v>
          </cell>
          <cell r="G1752" t="str">
            <v>FI-Other</v>
          </cell>
          <cell r="H1752" t="str">
            <v>RATES</v>
          </cell>
          <cell r="I1752" t="str">
            <v>Convexity</v>
          </cell>
        </row>
        <row r="1753">
          <cell r="A1753" t="str">
            <v>EUR_5yr_5yr</v>
          </cell>
          <cell r="B1753" t="str">
            <v>EUR 5Y ^2</v>
          </cell>
          <cell r="C1753" t="str">
            <v>BRS_GOLD__2_RATES:BRS_GOLD__1_EURIR:EUR_5yr_5yr</v>
          </cell>
          <cell r="D1753" t="str">
            <v>Convexity</v>
          </cell>
          <cell r="E1753" t="str">
            <v>Convexity</v>
          </cell>
          <cell r="F1753" t="str">
            <v>FI-Convexity</v>
          </cell>
          <cell r="G1753" t="str">
            <v>FI-Other</v>
          </cell>
          <cell r="H1753" t="str">
            <v>RATES</v>
          </cell>
          <cell r="I1753" t="str">
            <v>Convexity</v>
          </cell>
        </row>
        <row r="1754">
          <cell r="A1754" t="str">
            <v>EUR_10yr_10yr</v>
          </cell>
          <cell r="B1754" t="str">
            <v>EUR 10Y ^2</v>
          </cell>
          <cell r="C1754" t="str">
            <v>BRS_GOLD__2_RATES:BRS_GOLD__1_EURIR:EUR_10yr_10yr</v>
          </cell>
          <cell r="D1754" t="str">
            <v>Convexity</v>
          </cell>
          <cell r="E1754" t="str">
            <v>Convexity</v>
          </cell>
          <cell r="F1754" t="str">
            <v>FI-Convexity</v>
          </cell>
          <cell r="G1754" t="str">
            <v>FI-Other</v>
          </cell>
          <cell r="H1754" t="str">
            <v>RATES</v>
          </cell>
          <cell r="I1754" t="str">
            <v>Convexity</v>
          </cell>
        </row>
        <row r="1755">
          <cell r="A1755" t="str">
            <v>EUR_30yr_30yr</v>
          </cell>
          <cell r="B1755" t="str">
            <v>EUR 30Y ^2</v>
          </cell>
          <cell r="C1755" t="str">
            <v>BRS_GOLD__2_RATES:BRS_GOLD__1_EURIR:EUR_30yr_30yr</v>
          </cell>
          <cell r="D1755" t="str">
            <v>Convexity</v>
          </cell>
          <cell r="E1755" t="str">
            <v>Convexity</v>
          </cell>
          <cell r="F1755" t="str">
            <v>FI-Convexity</v>
          </cell>
          <cell r="G1755" t="str">
            <v>FI-Other</v>
          </cell>
          <cell r="H1755" t="str">
            <v>RATES</v>
          </cell>
          <cell r="I1755" t="str">
            <v>Convexity</v>
          </cell>
        </row>
        <row r="1756">
          <cell r="A1756" t="str">
            <v>EUR_2yr_5yr</v>
          </cell>
          <cell r="B1756" t="str">
            <v>EUR 2Y x 5Y</v>
          </cell>
          <cell r="C1756" t="str">
            <v>BRS_GOLD__2_RATES:BRS_GOLD__1_EURIR:EUR_2yr_5yr</v>
          </cell>
          <cell r="D1756" t="str">
            <v>Convexity</v>
          </cell>
          <cell r="E1756" t="str">
            <v>Convexity</v>
          </cell>
          <cell r="F1756" t="str">
            <v>FI-Convexity</v>
          </cell>
          <cell r="G1756" t="str">
            <v>FI-Other</v>
          </cell>
          <cell r="H1756" t="str">
            <v>RATES</v>
          </cell>
          <cell r="I1756" t="str">
            <v>Convexity</v>
          </cell>
        </row>
        <row r="1757">
          <cell r="A1757" t="str">
            <v>EUR_2yr_10yr</v>
          </cell>
          <cell r="B1757" t="str">
            <v>EUR 2Y x 10Y</v>
          </cell>
          <cell r="C1757" t="str">
            <v>BRS_GOLD__2_RATES:BRS_GOLD__1_EURIR:EUR_2yr_10yr</v>
          </cell>
          <cell r="D1757" t="str">
            <v>Convexity</v>
          </cell>
          <cell r="E1757" t="str">
            <v>Convexity</v>
          </cell>
          <cell r="F1757" t="str">
            <v>FI-Convexity</v>
          </cell>
          <cell r="G1757" t="str">
            <v>FI-Other</v>
          </cell>
          <cell r="H1757" t="str">
            <v>RATES</v>
          </cell>
          <cell r="I1757" t="str">
            <v>Convexity</v>
          </cell>
        </row>
        <row r="1758">
          <cell r="A1758" t="str">
            <v>EUR_2yr_30yr</v>
          </cell>
          <cell r="B1758" t="str">
            <v>EUR 2Y x 30Y</v>
          </cell>
          <cell r="C1758" t="str">
            <v>BRS_GOLD__2_RATES:BRS_GOLD__1_EURIR:EUR_2yr_30yr</v>
          </cell>
          <cell r="D1758" t="str">
            <v>Convexity</v>
          </cell>
          <cell r="E1758" t="str">
            <v>Convexity</v>
          </cell>
          <cell r="F1758" t="str">
            <v>FI-Convexity</v>
          </cell>
          <cell r="G1758" t="str">
            <v>FI-Other</v>
          </cell>
          <cell r="H1758" t="str">
            <v>RATES</v>
          </cell>
          <cell r="I1758" t="str">
            <v>Convexity</v>
          </cell>
        </row>
        <row r="1759">
          <cell r="A1759" t="str">
            <v>EUR_5yr_10yr</v>
          </cell>
          <cell r="B1759" t="str">
            <v>EUR 5Y x 10Y</v>
          </cell>
          <cell r="C1759" t="str">
            <v>BRS_GOLD__2_RATES:BRS_GOLD__1_EURIR:EUR_5yr_10yr</v>
          </cell>
          <cell r="D1759" t="str">
            <v>Convexity</v>
          </cell>
          <cell r="E1759" t="str">
            <v>Convexity</v>
          </cell>
          <cell r="F1759" t="str">
            <v>FI-Convexity</v>
          </cell>
          <cell r="G1759" t="str">
            <v>FI-Other</v>
          </cell>
          <cell r="H1759" t="str">
            <v>RATES</v>
          </cell>
          <cell r="I1759" t="str">
            <v>Convexity</v>
          </cell>
        </row>
        <row r="1760">
          <cell r="A1760" t="str">
            <v>EUR_5yr_30yr</v>
          </cell>
          <cell r="B1760" t="str">
            <v>EUR 5Y x 30Y</v>
          </cell>
          <cell r="C1760" t="str">
            <v>BRS_GOLD__2_RATES:BRS_GOLD__1_EURIR:EUR_5yr_30yr</v>
          </cell>
          <cell r="D1760" t="str">
            <v>Convexity</v>
          </cell>
          <cell r="E1760" t="str">
            <v>Convexity</v>
          </cell>
          <cell r="F1760" t="str">
            <v>FI-Convexity</v>
          </cell>
          <cell r="G1760" t="str">
            <v>FI-Other</v>
          </cell>
          <cell r="H1760" t="str">
            <v>RATES</v>
          </cell>
          <cell r="I1760" t="str">
            <v>Convexity</v>
          </cell>
        </row>
        <row r="1761">
          <cell r="A1761" t="str">
            <v>EUR_10yr_30yr</v>
          </cell>
          <cell r="B1761" t="str">
            <v>EUR 10Y x 30Y</v>
          </cell>
          <cell r="C1761" t="str">
            <v>BRS_GOLD__2_RATES:BRS_GOLD__1_EURIR:EUR_10yr_30yr</v>
          </cell>
          <cell r="D1761" t="str">
            <v>Convexity</v>
          </cell>
          <cell r="E1761" t="str">
            <v>Convexity</v>
          </cell>
          <cell r="F1761" t="str">
            <v>FI-Convexity</v>
          </cell>
          <cell r="G1761" t="str">
            <v>FI-Other</v>
          </cell>
          <cell r="H1761" t="str">
            <v>RATES</v>
          </cell>
          <cell r="I1761" t="str">
            <v>Convexity</v>
          </cell>
        </row>
        <row r="1762">
          <cell r="A1762" t="str">
            <v>JPY_2yr_2yr</v>
          </cell>
          <cell r="B1762" t="str">
            <v>JPY 2Y ^2</v>
          </cell>
          <cell r="C1762" t="str">
            <v>BRS_GOLD__2_RATES:BRS_GOLD__1_JPYIR:JPY_2yr_2yr</v>
          </cell>
          <cell r="D1762" t="str">
            <v>Convexity</v>
          </cell>
          <cell r="E1762" t="str">
            <v>Convexity</v>
          </cell>
          <cell r="F1762" t="str">
            <v>FI-Convexity</v>
          </cell>
          <cell r="G1762" t="str">
            <v>FI-Other</v>
          </cell>
          <cell r="H1762" t="str">
            <v>RATES</v>
          </cell>
          <cell r="I1762" t="str">
            <v>Convexity</v>
          </cell>
        </row>
        <row r="1763">
          <cell r="A1763" t="str">
            <v>JPY_5yr_5yr</v>
          </cell>
          <cell r="B1763" t="str">
            <v>JPY 5Y ^2</v>
          </cell>
          <cell r="C1763" t="str">
            <v>BRS_GOLD__2_RATES:BRS_GOLD__1_JPYIR:JPY_5yr_5yr</v>
          </cell>
          <cell r="D1763" t="str">
            <v>Convexity</v>
          </cell>
          <cell r="E1763" t="str">
            <v>Convexity</v>
          </cell>
          <cell r="F1763" t="str">
            <v>FI-Convexity</v>
          </cell>
          <cell r="G1763" t="str">
            <v>FI-Other</v>
          </cell>
          <cell r="H1763" t="str">
            <v>RATES</v>
          </cell>
          <cell r="I1763" t="str">
            <v>Convexity</v>
          </cell>
        </row>
        <row r="1764">
          <cell r="A1764" t="str">
            <v>JPY_10yr_10yr</v>
          </cell>
          <cell r="B1764" t="str">
            <v>JPY 10Y ^2</v>
          </cell>
          <cell r="C1764" t="str">
            <v>BRS_GOLD__2_RATES:BRS_GOLD__1_JPYIR:JPY_10yr_10yr</v>
          </cell>
          <cell r="D1764" t="str">
            <v>Convexity</v>
          </cell>
          <cell r="E1764" t="str">
            <v>Convexity</v>
          </cell>
          <cell r="F1764" t="str">
            <v>FI-Convexity</v>
          </cell>
          <cell r="G1764" t="str">
            <v>FI-Other</v>
          </cell>
          <cell r="H1764" t="str">
            <v>RATES</v>
          </cell>
          <cell r="I1764" t="str">
            <v>Convexity</v>
          </cell>
        </row>
        <row r="1765">
          <cell r="A1765" t="str">
            <v>JPY_30yr_30yr</v>
          </cell>
          <cell r="B1765" t="str">
            <v>JPY 30Y ^2</v>
          </cell>
          <cell r="C1765" t="str">
            <v>BRS_GOLD__2_RATES:BRS_GOLD__1_JPYIR:JPY_30yr_30yr</v>
          </cell>
          <cell r="D1765" t="str">
            <v>Convexity</v>
          </cell>
          <cell r="E1765" t="str">
            <v>Convexity</v>
          </cell>
          <cell r="F1765" t="str">
            <v>FI-Convexity</v>
          </cell>
          <cell r="G1765" t="str">
            <v>FI-Other</v>
          </cell>
          <cell r="H1765" t="str">
            <v>RATES</v>
          </cell>
          <cell r="I1765" t="str">
            <v>Convexity</v>
          </cell>
        </row>
        <row r="1766">
          <cell r="A1766" t="str">
            <v>JPY_2yr_5yr</v>
          </cell>
          <cell r="B1766" t="str">
            <v>JPY 2Y x 5Y</v>
          </cell>
          <cell r="C1766" t="str">
            <v>BRS_GOLD__2_RATES:BRS_GOLD__1_JPYIR:JPY_2yr_5yr</v>
          </cell>
          <cell r="D1766" t="str">
            <v>Convexity</v>
          </cell>
          <cell r="E1766" t="str">
            <v>Convexity</v>
          </cell>
          <cell r="F1766" t="str">
            <v>FI-Convexity</v>
          </cell>
          <cell r="G1766" t="str">
            <v>FI-Other</v>
          </cell>
          <cell r="H1766" t="str">
            <v>RATES</v>
          </cell>
          <cell r="I1766" t="str">
            <v>Convexity</v>
          </cell>
        </row>
        <row r="1767">
          <cell r="A1767" t="str">
            <v>JPY_2yr_10yr</v>
          </cell>
          <cell r="B1767" t="str">
            <v>JPY 2Y x 10Y</v>
          </cell>
          <cell r="C1767" t="str">
            <v>BRS_GOLD__2_RATES:BRS_GOLD__1_JPYIR:JPY_2yr_10yr</v>
          </cell>
          <cell r="D1767" t="str">
            <v>Convexity</v>
          </cell>
          <cell r="E1767" t="str">
            <v>Convexity</v>
          </cell>
          <cell r="F1767" t="str">
            <v>FI-Convexity</v>
          </cell>
          <cell r="G1767" t="str">
            <v>FI-Other</v>
          </cell>
          <cell r="H1767" t="str">
            <v>RATES</v>
          </cell>
          <cell r="I1767" t="str">
            <v>Convexity</v>
          </cell>
        </row>
        <row r="1768">
          <cell r="A1768" t="str">
            <v>JPY_2yr_30yr</v>
          </cell>
          <cell r="B1768" t="str">
            <v>JPY 2Y x 30Y</v>
          </cell>
          <cell r="C1768" t="str">
            <v>BRS_GOLD__2_RATES:BRS_GOLD__1_JPYIR:JPY_2yr_30yr</v>
          </cell>
          <cell r="D1768" t="str">
            <v>Convexity</v>
          </cell>
          <cell r="E1768" t="str">
            <v>Convexity</v>
          </cell>
          <cell r="F1768" t="str">
            <v>FI-Convexity</v>
          </cell>
          <cell r="G1768" t="str">
            <v>FI-Other</v>
          </cell>
          <cell r="H1768" t="str">
            <v>RATES</v>
          </cell>
          <cell r="I1768" t="str">
            <v>Convexity</v>
          </cell>
        </row>
        <row r="1769">
          <cell r="A1769" t="str">
            <v>JPY_5yr_10yr</v>
          </cell>
          <cell r="B1769" t="str">
            <v>JPY 5Y x 10Y</v>
          </cell>
          <cell r="C1769" t="str">
            <v>BRS_GOLD__2_RATES:BRS_GOLD__1_JPYIR:JPY_5yr_10yr</v>
          </cell>
          <cell r="D1769" t="str">
            <v>Convexity</v>
          </cell>
          <cell r="E1769" t="str">
            <v>Convexity</v>
          </cell>
          <cell r="F1769" t="str">
            <v>FI-Convexity</v>
          </cell>
          <cell r="G1769" t="str">
            <v>FI-Other</v>
          </cell>
          <cell r="H1769" t="str">
            <v>RATES</v>
          </cell>
          <cell r="I1769" t="str">
            <v>Convexity</v>
          </cell>
        </row>
        <row r="1770">
          <cell r="A1770" t="str">
            <v>JPY_5yr_30yr</v>
          </cell>
          <cell r="B1770" t="str">
            <v>JPY 5Y x 30Y</v>
          </cell>
          <cell r="C1770" t="str">
            <v>BRS_GOLD__2_RATES:BRS_GOLD__1_JPYIR:JPY_5yr_30yr</v>
          </cell>
          <cell r="D1770" t="str">
            <v>Convexity</v>
          </cell>
          <cell r="E1770" t="str">
            <v>Convexity</v>
          </cell>
          <cell r="F1770" t="str">
            <v>FI-Convexity</v>
          </cell>
          <cell r="G1770" t="str">
            <v>FI-Other</v>
          </cell>
          <cell r="H1770" t="str">
            <v>RATES</v>
          </cell>
          <cell r="I1770" t="str">
            <v>Convexity</v>
          </cell>
        </row>
        <row r="1771">
          <cell r="A1771" t="str">
            <v>JPY_10yr_30yr</v>
          </cell>
          <cell r="B1771" t="str">
            <v>JPY 10Y x 30Y</v>
          </cell>
          <cell r="C1771" t="str">
            <v>BRS_GOLD__2_RATES:BRS_GOLD__1_JPYIR:JPY_10yr_30yr</v>
          </cell>
          <cell r="D1771" t="str">
            <v>Convexity</v>
          </cell>
          <cell r="E1771" t="str">
            <v>Convexity</v>
          </cell>
          <cell r="F1771" t="str">
            <v>FI-Convexity</v>
          </cell>
          <cell r="G1771" t="str">
            <v>FI-Other</v>
          </cell>
          <cell r="H1771" t="str">
            <v>RATES</v>
          </cell>
          <cell r="I1771" t="str">
            <v>Convexity</v>
          </cell>
        </row>
        <row r="1772">
          <cell r="A1772" t="str">
            <v>GBP_2yr_2yr</v>
          </cell>
          <cell r="B1772" t="str">
            <v>GBP 2Y ^2</v>
          </cell>
          <cell r="C1772" t="str">
            <v>BRS_GOLD__2_RATES:BRS_GOLD__1_GBPIR:GBP_2yr_2yr</v>
          </cell>
          <cell r="D1772" t="str">
            <v>Convexity</v>
          </cell>
          <cell r="E1772" t="str">
            <v>Convexity</v>
          </cell>
          <cell r="F1772" t="str">
            <v>FI-Convexity</v>
          </cell>
          <cell r="G1772" t="str">
            <v>FI-Other</v>
          </cell>
          <cell r="H1772" t="str">
            <v>RATES</v>
          </cell>
          <cell r="I1772" t="str">
            <v>Convexity</v>
          </cell>
        </row>
        <row r="1773">
          <cell r="A1773" t="str">
            <v>GBP_5yr_5yr</v>
          </cell>
          <cell r="B1773" t="str">
            <v>GBP 5Y ^2</v>
          </cell>
          <cell r="C1773" t="str">
            <v>BRS_GOLD__2_RATES:BRS_GOLD__1_GBPIR:GBP_5yr_5yr</v>
          </cell>
          <cell r="D1773" t="str">
            <v>Convexity</v>
          </cell>
          <cell r="E1773" t="str">
            <v>Convexity</v>
          </cell>
          <cell r="F1773" t="str">
            <v>FI-Convexity</v>
          </cell>
          <cell r="G1773" t="str">
            <v>FI-Other</v>
          </cell>
          <cell r="H1773" t="str">
            <v>RATES</v>
          </cell>
          <cell r="I1773" t="str">
            <v>Convexity</v>
          </cell>
        </row>
        <row r="1774">
          <cell r="A1774" t="str">
            <v>GBP_10yr_10yr</v>
          </cell>
          <cell r="B1774" t="str">
            <v>GBP 10Y ^2</v>
          </cell>
          <cell r="C1774" t="str">
            <v>BRS_GOLD__2_RATES:BRS_GOLD__1_GBPIR:GBP_10yr_10yr</v>
          </cell>
          <cell r="D1774" t="str">
            <v>Convexity</v>
          </cell>
          <cell r="E1774" t="str">
            <v>Convexity</v>
          </cell>
          <cell r="F1774" t="str">
            <v>FI-Convexity</v>
          </cell>
          <cell r="G1774" t="str">
            <v>FI-Other</v>
          </cell>
          <cell r="H1774" t="str">
            <v>RATES</v>
          </cell>
          <cell r="I1774" t="str">
            <v>Convexity</v>
          </cell>
        </row>
        <row r="1775">
          <cell r="A1775" t="str">
            <v>GBP_30yr_30yr</v>
          </cell>
          <cell r="B1775" t="str">
            <v>GBP 30Y ^2</v>
          </cell>
          <cell r="C1775" t="str">
            <v>BRS_GOLD__2_RATES:BRS_GOLD__1_GBPIR:GBP_30yr_30yr</v>
          </cell>
          <cell r="D1775" t="str">
            <v>Convexity</v>
          </cell>
          <cell r="E1775" t="str">
            <v>Convexity</v>
          </cell>
          <cell r="F1775" t="str">
            <v>FI-Convexity</v>
          </cell>
          <cell r="G1775" t="str">
            <v>FI-Other</v>
          </cell>
          <cell r="H1775" t="str">
            <v>RATES</v>
          </cell>
          <cell r="I1775" t="str">
            <v>Convexity</v>
          </cell>
        </row>
        <row r="1776">
          <cell r="A1776" t="str">
            <v>GBP_2yr_5yr</v>
          </cell>
          <cell r="B1776" t="str">
            <v>GBP 2Y x 5Y</v>
          </cell>
          <cell r="C1776" t="str">
            <v>BRS_GOLD__2_RATES:BRS_GOLD__1_GBPIR:GBP_2yr_5yr</v>
          </cell>
          <cell r="D1776" t="str">
            <v>Convexity</v>
          </cell>
          <cell r="E1776" t="str">
            <v>Convexity</v>
          </cell>
          <cell r="F1776" t="str">
            <v>FI-Convexity</v>
          </cell>
          <cell r="G1776" t="str">
            <v>FI-Other</v>
          </cell>
          <cell r="H1776" t="str">
            <v>RATES</v>
          </cell>
          <cell r="I1776" t="str">
            <v>Convexity</v>
          </cell>
        </row>
        <row r="1777">
          <cell r="A1777" t="str">
            <v>GBP_2yr_10yr</v>
          </cell>
          <cell r="B1777" t="str">
            <v>GBP 2Y x 10Y</v>
          </cell>
          <cell r="C1777" t="str">
            <v>BRS_GOLD__2_RATES:BRS_GOLD__1_GBPIR:GBP_2yr_10yr</v>
          </cell>
          <cell r="D1777" t="str">
            <v>Convexity</v>
          </cell>
          <cell r="E1777" t="str">
            <v>Convexity</v>
          </cell>
          <cell r="F1777" t="str">
            <v>FI-Convexity</v>
          </cell>
          <cell r="G1777" t="str">
            <v>FI-Other</v>
          </cell>
          <cell r="H1777" t="str">
            <v>RATES</v>
          </cell>
          <cell r="I1777" t="str">
            <v>Convexity</v>
          </cell>
        </row>
        <row r="1778">
          <cell r="A1778" t="str">
            <v>GBP_2yr_30yr</v>
          </cell>
          <cell r="B1778" t="str">
            <v>GBP 2Y x 30Y</v>
          </cell>
          <cell r="C1778" t="str">
            <v>BRS_GOLD__2_RATES:BRS_GOLD__1_GBPIR:GBP_2yr_30yr</v>
          </cell>
          <cell r="D1778" t="str">
            <v>Convexity</v>
          </cell>
          <cell r="E1778" t="str">
            <v>Convexity</v>
          </cell>
          <cell r="F1778" t="str">
            <v>FI-Convexity</v>
          </cell>
          <cell r="G1778" t="str">
            <v>FI-Other</v>
          </cell>
          <cell r="H1778" t="str">
            <v>RATES</v>
          </cell>
          <cell r="I1778" t="str">
            <v>Convexity</v>
          </cell>
        </row>
        <row r="1779">
          <cell r="A1779" t="str">
            <v>GBP_5yr_10yr</v>
          </cell>
          <cell r="B1779" t="str">
            <v>GBP 5Y x 10Y</v>
          </cell>
          <cell r="C1779" t="str">
            <v>BRS_GOLD__2_RATES:BRS_GOLD__1_GBPIR:GBP_5yr_10yr</v>
          </cell>
          <cell r="D1779" t="str">
            <v>Convexity</v>
          </cell>
          <cell r="E1779" t="str">
            <v>Convexity</v>
          </cell>
          <cell r="F1779" t="str">
            <v>FI-Convexity</v>
          </cell>
          <cell r="G1779" t="str">
            <v>FI-Other</v>
          </cell>
          <cell r="H1779" t="str">
            <v>RATES</v>
          </cell>
          <cell r="I1779" t="str">
            <v>Convexity</v>
          </cell>
        </row>
        <row r="1780">
          <cell r="A1780" t="str">
            <v>GBP_5yr_30yr</v>
          </cell>
          <cell r="B1780" t="str">
            <v>GBP 5Y x 30Y</v>
          </cell>
          <cell r="C1780" t="str">
            <v>BRS_GOLD__2_RATES:BRS_GOLD__1_GBPIR:GBP_5yr_30yr</v>
          </cell>
          <cell r="D1780" t="str">
            <v>Convexity</v>
          </cell>
          <cell r="E1780" t="str">
            <v>Convexity</v>
          </cell>
          <cell r="F1780" t="str">
            <v>FI-Convexity</v>
          </cell>
          <cell r="G1780" t="str">
            <v>FI-Other</v>
          </cell>
          <cell r="H1780" t="str">
            <v>RATES</v>
          </cell>
          <cell r="I1780" t="str">
            <v>Convexity</v>
          </cell>
        </row>
        <row r="1781">
          <cell r="A1781" t="str">
            <v>GBP_10yr_30yr</v>
          </cell>
          <cell r="B1781" t="str">
            <v>GBP 10Y x 30Y</v>
          </cell>
          <cell r="C1781" t="str">
            <v>BRS_GOLD__2_RATES:BRS_GOLD__1_GBPIR:GBP_10yr_30yr</v>
          </cell>
          <cell r="D1781" t="str">
            <v>Convexity</v>
          </cell>
          <cell r="E1781" t="str">
            <v>Convexity</v>
          </cell>
          <cell r="F1781" t="str">
            <v>FI-Convexity</v>
          </cell>
          <cell r="G1781" t="str">
            <v>FI-Other</v>
          </cell>
          <cell r="H1781" t="str">
            <v>RATES</v>
          </cell>
          <cell r="I1781" t="str">
            <v>Convexity</v>
          </cell>
        </row>
        <row r="1782">
          <cell r="A1782" t="str">
            <v>AUD_10yr_10yr</v>
          </cell>
          <cell r="B1782" t="str">
            <v>AUD 10Y ^2</v>
          </cell>
          <cell r="C1782" t="str">
            <v>BRS_GOLD__2_RATES:BRS_GOLD__1_AUDIR:AUD_10yr_10yr</v>
          </cell>
          <cell r="D1782" t="str">
            <v>Convexity</v>
          </cell>
          <cell r="E1782" t="str">
            <v>Convexity</v>
          </cell>
          <cell r="F1782" t="str">
            <v>FI-Convexity</v>
          </cell>
          <cell r="G1782" t="str">
            <v>FI-Other</v>
          </cell>
          <cell r="H1782" t="str">
            <v>RATES</v>
          </cell>
          <cell r="I1782" t="str">
            <v>Convexity</v>
          </cell>
        </row>
        <row r="1783">
          <cell r="A1783" t="str">
            <v>CAD_2yr_2yr</v>
          </cell>
          <cell r="B1783" t="str">
            <v>CAD 2Y ^2</v>
          </cell>
          <cell r="C1783" t="str">
            <v>BRS_GOLD__2_RATES:BRS_GOLD__1_OtherIR-HUF_IR-PLN-CZK_IR:BRS_GOLD__1_CADIR:CAD_2yr_2yr</v>
          </cell>
          <cell r="D1783" t="str">
            <v>Convexity</v>
          </cell>
          <cell r="E1783" t="str">
            <v>Convexity</v>
          </cell>
          <cell r="F1783" t="str">
            <v>FI-Convexity</v>
          </cell>
          <cell r="G1783" t="str">
            <v>FI-Other</v>
          </cell>
          <cell r="H1783" t="str">
            <v>RATES</v>
          </cell>
          <cell r="I1783" t="str">
            <v>Convexity</v>
          </cell>
        </row>
        <row r="1784">
          <cell r="A1784" t="str">
            <v>CAD_5yr_5yr</v>
          </cell>
          <cell r="B1784" t="str">
            <v>CAD 5Y ^2</v>
          </cell>
          <cell r="C1784" t="str">
            <v>BRS_GOLD__2_RATES:BRS_GOLD__1_OtherIR-HUF_IR-PLN-CZK_IR:BRS_GOLD__1_CADIR:CAD_5yr_5yr</v>
          </cell>
          <cell r="D1784" t="str">
            <v>Convexity</v>
          </cell>
          <cell r="E1784" t="str">
            <v>Convexity</v>
          </cell>
          <cell r="F1784" t="str">
            <v>FI-Convexity</v>
          </cell>
          <cell r="G1784" t="str">
            <v>FI-Other</v>
          </cell>
          <cell r="H1784" t="str">
            <v>RATES</v>
          </cell>
          <cell r="I1784" t="str">
            <v>Convexity</v>
          </cell>
        </row>
        <row r="1785">
          <cell r="A1785" t="str">
            <v>CAD_10yr_10yr</v>
          </cell>
          <cell r="B1785" t="str">
            <v>CAD 10Y ^2</v>
          </cell>
          <cell r="C1785" t="str">
            <v>BRS_GOLD__2_RATES:BRS_GOLD__1_OtherIR-HUF_IR-PLN-CZK_IR:BRS_GOLD__1_CADIR:CAD_10yr_10yr</v>
          </cell>
          <cell r="D1785" t="str">
            <v>Convexity</v>
          </cell>
          <cell r="E1785" t="str">
            <v>Convexity</v>
          </cell>
          <cell r="F1785" t="str">
            <v>FI-Convexity</v>
          </cell>
          <cell r="G1785" t="str">
            <v>FI-Other</v>
          </cell>
          <cell r="H1785" t="str">
            <v>RATES</v>
          </cell>
          <cell r="I1785" t="str">
            <v>Convexity</v>
          </cell>
        </row>
        <row r="1786">
          <cell r="A1786" t="str">
            <v>CAD_30yr_30yr</v>
          </cell>
          <cell r="B1786" t="str">
            <v>CAD 30Y ^2</v>
          </cell>
          <cell r="C1786" t="str">
            <v>BRS_GOLD__2_RATES:BRS_GOLD__1_OtherIR-HUF_IR-PLN-CZK_IR:BRS_GOLD__1_CADIR:CAD_30yr_30yr</v>
          </cell>
          <cell r="D1786" t="str">
            <v>Convexity</v>
          </cell>
          <cell r="E1786" t="str">
            <v>Convexity</v>
          </cell>
          <cell r="F1786" t="str">
            <v>FI-Convexity</v>
          </cell>
          <cell r="G1786" t="str">
            <v>FI-Other</v>
          </cell>
          <cell r="H1786" t="str">
            <v>RATES</v>
          </cell>
          <cell r="I1786" t="str">
            <v>Convexity</v>
          </cell>
        </row>
        <row r="1787">
          <cell r="A1787" t="str">
            <v>CAD_2yr_5yr</v>
          </cell>
          <cell r="B1787" t="str">
            <v>CAD 2Y x 5Y</v>
          </cell>
          <cell r="C1787" t="str">
            <v>BRS_GOLD__2_RATES:BRS_GOLD__1_OtherIR-HUF_IR-PLN-CZK_IR:BRS_GOLD__1_CADIR:CAD_2yr_5yr</v>
          </cell>
          <cell r="D1787" t="str">
            <v>Convexity</v>
          </cell>
          <cell r="E1787" t="str">
            <v>Convexity</v>
          </cell>
          <cell r="F1787" t="str">
            <v>FI-Convexity</v>
          </cell>
          <cell r="G1787" t="str">
            <v>FI-Other</v>
          </cell>
          <cell r="H1787" t="str">
            <v>RATES</v>
          </cell>
          <cell r="I1787" t="str">
            <v>Convexity</v>
          </cell>
        </row>
        <row r="1788">
          <cell r="A1788" t="str">
            <v>CAD_2yr_10yr</v>
          </cell>
          <cell r="B1788" t="str">
            <v>CAD 2Y x 10Y</v>
          </cell>
          <cell r="C1788" t="str">
            <v>BRS_GOLD__2_RATES:BRS_GOLD__1_OtherIR-HUF_IR-PLN-CZK_IR:BRS_GOLD__1_CADIR:CAD_2yr_10yr</v>
          </cell>
          <cell r="D1788" t="str">
            <v>Convexity</v>
          </cell>
          <cell r="E1788" t="str">
            <v>Convexity</v>
          </cell>
          <cell r="F1788" t="str">
            <v>FI-Convexity</v>
          </cell>
          <cell r="G1788" t="str">
            <v>FI-Other</v>
          </cell>
          <cell r="H1788" t="str">
            <v>RATES</v>
          </cell>
          <cell r="I1788" t="str">
            <v>Convexity</v>
          </cell>
        </row>
        <row r="1789">
          <cell r="A1789" t="str">
            <v>CAD_2yr_30yr</v>
          </cell>
          <cell r="B1789" t="str">
            <v>CAD 2Y x 30Y</v>
          </cell>
          <cell r="C1789" t="str">
            <v>BRS_GOLD__2_RATES:BRS_GOLD__1_OtherIR-HUF_IR-PLN-CZK_IR:BRS_GOLD__1_CADIR:CAD_2yr_30yr</v>
          </cell>
          <cell r="D1789" t="str">
            <v>Convexity</v>
          </cell>
          <cell r="E1789" t="str">
            <v>Convexity</v>
          </cell>
          <cell r="F1789" t="str">
            <v>FI-Convexity</v>
          </cell>
          <cell r="G1789" t="str">
            <v>FI-Other</v>
          </cell>
          <cell r="H1789" t="str">
            <v>RATES</v>
          </cell>
          <cell r="I1789" t="str">
            <v>Convexity</v>
          </cell>
        </row>
        <row r="1790">
          <cell r="A1790" t="str">
            <v>CAD_5yr_10yr</v>
          </cell>
          <cell r="B1790" t="str">
            <v>CAD 5Y x 10Y</v>
          </cell>
          <cell r="C1790" t="str">
            <v>BRS_GOLD__2_RATES:BRS_GOLD__1_OtherIR-HUF_IR-PLN-CZK_IR:BRS_GOLD__1_CADIR:CAD_5yr_10yr</v>
          </cell>
          <cell r="D1790" t="str">
            <v>Convexity</v>
          </cell>
          <cell r="E1790" t="str">
            <v>Convexity</v>
          </cell>
          <cell r="F1790" t="str">
            <v>FI-Convexity</v>
          </cell>
          <cell r="G1790" t="str">
            <v>FI-Other</v>
          </cell>
          <cell r="H1790" t="str">
            <v>RATES</v>
          </cell>
          <cell r="I1790" t="str">
            <v>Convexity</v>
          </cell>
        </row>
        <row r="1791">
          <cell r="A1791" t="str">
            <v>CAD_5yr_30yr</v>
          </cell>
          <cell r="B1791" t="str">
            <v>CAD 5Y x 30Y</v>
          </cell>
          <cell r="C1791" t="str">
            <v>BRS_GOLD__2_RATES:BRS_GOLD__1_OtherIR-HUF_IR-PLN-CZK_IR:BRS_GOLD__1_CADIR:CAD_5yr_30yr</v>
          </cell>
          <cell r="D1791" t="str">
            <v>Convexity</v>
          </cell>
          <cell r="E1791" t="str">
            <v>Convexity</v>
          </cell>
          <cell r="F1791" t="str">
            <v>FI-Convexity</v>
          </cell>
          <cell r="G1791" t="str">
            <v>FI-Other</v>
          </cell>
          <cell r="H1791" t="str">
            <v>RATES</v>
          </cell>
          <cell r="I1791" t="str">
            <v>Convexity</v>
          </cell>
        </row>
        <row r="1792">
          <cell r="A1792" t="str">
            <v>CAD_10yr_30yr</v>
          </cell>
          <cell r="B1792" t="str">
            <v>CAD 10Y x 30Y</v>
          </cell>
          <cell r="C1792" t="str">
            <v>BRS_GOLD__2_RATES:BRS_GOLD__1_OtherIR-HUF_IR-PLN-CZK_IR:BRS_GOLD__1_CADIR:CAD_10yr_30yr</v>
          </cell>
          <cell r="D1792" t="str">
            <v>Convexity</v>
          </cell>
          <cell r="E1792" t="str">
            <v>Convexity</v>
          </cell>
          <cell r="F1792" t="str">
            <v>FI-Convexity</v>
          </cell>
          <cell r="G1792" t="str">
            <v>FI-Other</v>
          </cell>
          <cell r="H1792" t="str">
            <v>RATES</v>
          </cell>
          <cell r="I1792" t="str">
            <v>Convexity</v>
          </cell>
        </row>
        <row r="1793">
          <cell r="A1793" t="str">
            <v>CHF_10yr_10yr</v>
          </cell>
          <cell r="B1793" t="str">
            <v>CHF 10Y ^2</v>
          </cell>
          <cell r="C1793" t="str">
            <v>BRS_GOLD__2_RATES:BRS_GOLD__1_OtherIR-HUF_IR-PLN-CZK_IR:BRS_GOLD__1_CHFIR:CHF_10yr_10yr</v>
          </cell>
          <cell r="D1793" t="str">
            <v>Convexity</v>
          </cell>
          <cell r="E1793" t="str">
            <v>Convexity</v>
          </cell>
          <cell r="F1793" t="str">
            <v>FI-Convexity</v>
          </cell>
          <cell r="G1793" t="str">
            <v>FI-Other</v>
          </cell>
          <cell r="H1793" t="str">
            <v>RATES</v>
          </cell>
          <cell r="I1793" t="str">
            <v>Convexity</v>
          </cell>
        </row>
        <row r="1794">
          <cell r="A1794" t="str">
            <v>CNY_10yr_10yr</v>
          </cell>
          <cell r="B1794" t="str">
            <v>CNY 10Y ^2</v>
          </cell>
          <cell r="C1794" t="str">
            <v>BRS_GOLD__2_RATES:BRS_GOLD__1_OtherIR-HUF_IR-PLN-CZK_IR:BRS_GOLD__1_CNYIR:CNY_10yr_10yr</v>
          </cell>
          <cell r="D1794" t="str">
            <v>Convexity</v>
          </cell>
          <cell r="E1794" t="str">
            <v>Convexity</v>
          </cell>
          <cell r="F1794" t="str">
            <v>FI-Convexity</v>
          </cell>
          <cell r="G1794" t="str">
            <v>FI-Other</v>
          </cell>
          <cell r="H1794" t="str">
            <v>RATES</v>
          </cell>
          <cell r="I1794" t="str">
            <v>Convexity</v>
          </cell>
        </row>
        <row r="1795">
          <cell r="A1795" t="str">
            <v>DKK_10yr_10yr</v>
          </cell>
          <cell r="B1795" t="str">
            <v>DKK 10Y ^2</v>
          </cell>
          <cell r="C1795" t="str">
            <v>BRS_GOLD__2_RATES:BRS_GOLD__1_OtherIR-HUF_IR-PLN-CZK_IR:BRS_GOLD__1_DKKIR:DKK_10yr_10yr</v>
          </cell>
          <cell r="D1795" t="str">
            <v>Convexity</v>
          </cell>
          <cell r="E1795" t="str">
            <v>Convexity</v>
          </cell>
          <cell r="F1795" t="str">
            <v>FI-Convexity</v>
          </cell>
          <cell r="G1795" t="str">
            <v>FI-Other</v>
          </cell>
          <cell r="H1795" t="str">
            <v>RATES</v>
          </cell>
          <cell r="I1795" t="str">
            <v>Convexity</v>
          </cell>
        </row>
        <row r="1796">
          <cell r="A1796" t="str">
            <v>HKD_10yr_10yr</v>
          </cell>
          <cell r="B1796" t="str">
            <v>HKD 10Y ^2</v>
          </cell>
          <cell r="C1796" t="str">
            <v>BRS_GOLD__2_RATES:BRS_GOLD__1_OtherIR-HUF_IR-PLN-CZK_IR:BRS_GOLD__1_HKDIR:HKD_10yr_10yr</v>
          </cell>
          <cell r="D1796" t="str">
            <v>Convexity</v>
          </cell>
          <cell r="E1796" t="str">
            <v>Convexity</v>
          </cell>
          <cell r="F1796" t="str">
            <v>FI-Convexity</v>
          </cell>
          <cell r="G1796" t="str">
            <v>FI-Other</v>
          </cell>
          <cell r="H1796" t="str">
            <v>RATES</v>
          </cell>
          <cell r="I1796" t="str">
            <v>Convexity</v>
          </cell>
        </row>
        <row r="1797">
          <cell r="A1797" t="str">
            <v>MXN_10yr_10yr</v>
          </cell>
          <cell r="B1797" t="str">
            <v>MXN 10Y ^2</v>
          </cell>
          <cell r="C1797" t="str">
            <v>BRS_GOLD__2_RATES:BRS_GOLD__1_OtherIR-HUF_IR-PLN-CZK_IR:BRS_GOLD__1_MXNIR:MXN_10yr_10yr</v>
          </cell>
          <cell r="D1797" t="str">
            <v>Convexity</v>
          </cell>
          <cell r="E1797" t="str">
            <v>Convexity</v>
          </cell>
          <cell r="F1797" t="str">
            <v>FI-Convexity</v>
          </cell>
          <cell r="G1797" t="str">
            <v>FI-Other</v>
          </cell>
          <cell r="H1797" t="str">
            <v>RATES</v>
          </cell>
          <cell r="I1797" t="str">
            <v>Convexity</v>
          </cell>
        </row>
        <row r="1798">
          <cell r="A1798" t="str">
            <v>NOK_10yr_10yr</v>
          </cell>
          <cell r="B1798" t="str">
            <v>NOK 10Y ^2</v>
          </cell>
          <cell r="C1798" t="str">
            <v>BRS_GOLD__2_RATES:BRS_GOLD__1_OtherIR-HUF_IR-PLN-CZK_IR:BRS_GOLD__1_NOKIR:NOK_10yr_10yr</v>
          </cell>
          <cell r="D1798" t="str">
            <v>Convexity</v>
          </cell>
          <cell r="E1798" t="str">
            <v>Convexity</v>
          </cell>
          <cell r="F1798" t="str">
            <v>FI-Convexity</v>
          </cell>
          <cell r="G1798" t="str">
            <v>FI-Other</v>
          </cell>
          <cell r="H1798" t="str">
            <v>RATES</v>
          </cell>
          <cell r="I1798" t="str">
            <v>Convexity</v>
          </cell>
        </row>
        <row r="1799">
          <cell r="A1799" t="str">
            <v>NZD_10yr_10yr</v>
          </cell>
          <cell r="B1799" t="str">
            <v>NZD 10Y ^2</v>
          </cell>
          <cell r="C1799" t="str">
            <v>BRS_GOLD__2_RATES:BRS_GOLD__1_OtherIR-HUF_IR-PLN-CZK_IR:BRS_GOLD__1_NZDIR:NZD_10yr_10yr</v>
          </cell>
          <cell r="D1799" t="str">
            <v>Convexity</v>
          </cell>
          <cell r="E1799" t="str">
            <v>Convexity</v>
          </cell>
          <cell r="F1799" t="str">
            <v>FI-Convexity</v>
          </cell>
          <cell r="G1799" t="str">
            <v>FI-Other</v>
          </cell>
          <cell r="H1799" t="str">
            <v>RATES</v>
          </cell>
          <cell r="I1799" t="str">
            <v>Convexity</v>
          </cell>
        </row>
        <row r="1800">
          <cell r="A1800" t="str">
            <v>SEK_10yr_10yr</v>
          </cell>
          <cell r="B1800" t="str">
            <v>SEK 10Y ^2</v>
          </cell>
          <cell r="C1800" t="str">
            <v>BRS_GOLD__2_RATES:BRS_GOLD__1_OtherIR-HUF_IR-PLN-CZK_IR:BRS_GOLD__1_SEKIR:SEK_10yr_10yr</v>
          </cell>
          <cell r="D1800" t="str">
            <v>Convexity</v>
          </cell>
          <cell r="E1800" t="str">
            <v>Convexity</v>
          </cell>
          <cell r="F1800" t="str">
            <v>FI-Convexity</v>
          </cell>
          <cell r="G1800" t="str">
            <v>FI-Other</v>
          </cell>
          <cell r="H1800" t="str">
            <v>RATES</v>
          </cell>
          <cell r="I1800" t="str">
            <v>Convexity</v>
          </cell>
        </row>
        <row r="1801">
          <cell r="A1801" t="str">
            <v>NGN_10yr_10yr</v>
          </cell>
          <cell r="B1801" t="str">
            <v>NGN 10Y ^2</v>
          </cell>
          <cell r="C1801" t="str">
            <v>BRS_GOLD__2_RATES:BRS_GOLD__1_OtherIR-HUF_IR-PLN-CZK_IR:BRS_GOLD__1_NGNIR:NGN_10yr_10yr</v>
          </cell>
          <cell r="D1801" t="str">
            <v>Convexity</v>
          </cell>
          <cell r="E1801" t="str">
            <v>Convexity</v>
          </cell>
          <cell r="F1801" t="str">
            <v>FI-Convexity</v>
          </cell>
          <cell r="G1801" t="str">
            <v>FI-Other</v>
          </cell>
          <cell r="H1801" t="str">
            <v>RATES</v>
          </cell>
          <cell r="I1801" t="str">
            <v>Convexity</v>
          </cell>
        </row>
        <row r="1802">
          <cell r="A1802" t="str">
            <v>RON_10yr_10yr</v>
          </cell>
          <cell r="B1802" t="str">
            <v>RON 10Y ^2</v>
          </cell>
          <cell r="C1802" t="str">
            <v>BRS_GOLD__2_RATES:BRS_GOLD__1_OtherIR-HUF_IR-PLN-CZK_IR:BRS_GOLD__1_RONIR:RON_10yr_10yr</v>
          </cell>
          <cell r="D1802" t="str">
            <v>Convexity</v>
          </cell>
          <cell r="E1802" t="str">
            <v>Convexity</v>
          </cell>
          <cell r="F1802" t="str">
            <v>FI-Convexity</v>
          </cell>
          <cell r="G1802" t="str">
            <v>FI-Other</v>
          </cell>
          <cell r="H1802" t="str">
            <v>RATES</v>
          </cell>
          <cell r="I1802" t="str">
            <v>Convexity</v>
          </cell>
        </row>
        <row r="1803">
          <cell r="A1803" t="str">
            <v>SGD_10yr_10yr</v>
          </cell>
          <cell r="B1803" t="str">
            <v>SGD 10Y ^2</v>
          </cell>
          <cell r="C1803" t="str">
            <v>BRS_GOLD__2_RATES:BRS_GOLD__1_OtherIR-HUF_IR-PLN-CZK_IR:BRS_GOLD__1_SGDIR:SGD_10yr_10yr</v>
          </cell>
          <cell r="D1803" t="str">
            <v>Convexity</v>
          </cell>
          <cell r="E1803" t="str">
            <v>Convexity</v>
          </cell>
          <cell r="F1803" t="str">
            <v>FI-Convexity</v>
          </cell>
          <cell r="G1803" t="str">
            <v>FI-Other</v>
          </cell>
          <cell r="H1803" t="str">
            <v>RATES</v>
          </cell>
          <cell r="I1803" t="str">
            <v>Convexity</v>
          </cell>
        </row>
        <row r="1804">
          <cell r="A1804" t="str">
            <v>MXV_10yr_10yr</v>
          </cell>
          <cell r="B1804" t="str">
            <v>MXV 10Y ^2</v>
          </cell>
          <cell r="C1804" t="str">
            <v>BRS_GOLD__2_RATES:BRS_GOLD__1_OtherIR-HUF_IR-PLN-CZK_IR:BRS_GOLD__1_MXVIR:MXV_10yr_10yr</v>
          </cell>
          <cell r="D1804" t="str">
            <v>Convexity</v>
          </cell>
          <cell r="E1804" t="str">
            <v>Convexity</v>
          </cell>
          <cell r="F1804" t="str">
            <v>FI-Convexity</v>
          </cell>
          <cell r="G1804" t="str">
            <v>FI-Other</v>
          </cell>
          <cell r="H1804" t="str">
            <v>RATES</v>
          </cell>
          <cell r="I1804" t="str">
            <v>Convexity</v>
          </cell>
        </row>
        <row r="1805">
          <cell r="A1805" t="str">
            <v>BEF_10yr_10yr</v>
          </cell>
          <cell r="B1805" t="str">
            <v>BEF 10Y ^2</v>
          </cell>
          <cell r="C1805" t="str">
            <v>BRS_GOLD__2_RATES:BRS_GOLD__1_EURSPRD:BRS_GOLD__1_BEFIR:BEF,BEF_10yr_10yr:BEF_10yr_10yr</v>
          </cell>
          <cell r="D1805" t="str">
            <v>Convexity</v>
          </cell>
          <cell r="E1805" t="str">
            <v>Spread Yield (DxS)</v>
          </cell>
          <cell r="F1805" t="str">
            <v>FI-Convexity</v>
          </cell>
          <cell r="G1805" t="str">
            <v>FI-Other</v>
          </cell>
          <cell r="H1805" t="str">
            <v>RATES</v>
          </cell>
          <cell r="I1805" t="str">
            <v>Convexity</v>
          </cell>
        </row>
        <row r="1806">
          <cell r="A1806" t="str">
            <v>FRF_10yr_10yr</v>
          </cell>
          <cell r="B1806" t="str">
            <v>FRF 10Y ^2</v>
          </cell>
          <cell r="C1806" t="str">
            <v>BRS_GOLD__2_RATES:BRS_GOLD__1_EURSPRD:BRS_GOLD__1_FRFIR:FRF,FRF_10yr_10yr:FRF_10yr_10yr</v>
          </cell>
          <cell r="D1806" t="str">
            <v>Convexity</v>
          </cell>
          <cell r="E1806" t="str">
            <v>Spread Yield (DxS)</v>
          </cell>
          <cell r="F1806" t="str">
            <v>FI-Convexity</v>
          </cell>
          <cell r="G1806" t="str">
            <v>FI-Other</v>
          </cell>
          <cell r="H1806" t="str">
            <v>RATES</v>
          </cell>
          <cell r="I1806" t="str">
            <v>Convexity</v>
          </cell>
        </row>
        <row r="1807">
          <cell r="A1807" t="str">
            <v>DEM_10yr_10yr</v>
          </cell>
          <cell r="B1807" t="str">
            <v>DEM 10Y ^2</v>
          </cell>
          <cell r="C1807" t="str">
            <v>BRS_GOLD__2_RATES:BRS_GOLD__1_EURSPRD:BRS_GOLD__1_DEMIR:DEM_10yr_10yr</v>
          </cell>
          <cell r="D1807" t="str">
            <v>Convexity</v>
          </cell>
          <cell r="E1807" t="str">
            <v>Convexity</v>
          </cell>
          <cell r="F1807" t="str">
            <v>FI-Convexity</v>
          </cell>
          <cell r="G1807" t="str">
            <v>FI-Other</v>
          </cell>
          <cell r="H1807" t="str">
            <v>RATES</v>
          </cell>
          <cell r="I1807" t="str">
            <v>Convexity</v>
          </cell>
        </row>
        <row r="1808">
          <cell r="A1808" t="str">
            <v>IEP_10yr_10yr</v>
          </cell>
          <cell r="B1808" t="str">
            <v>IEP 10Y ^2</v>
          </cell>
          <cell r="C1808" t="str">
            <v>BRS_GOLD__2_RATES:BRS_GOLD__1_EURSPRD:BRS_GOLD__1_IEPIR:IEP,IEP_10yr_10yr:IEP_10yr_10yr</v>
          </cell>
          <cell r="D1808" t="str">
            <v>Convexity</v>
          </cell>
          <cell r="E1808" t="str">
            <v>Spread Yield (DxS)</v>
          </cell>
          <cell r="F1808" t="str">
            <v>FI-Convexity</v>
          </cell>
          <cell r="G1808" t="str">
            <v>FI-Other</v>
          </cell>
          <cell r="H1808" t="str">
            <v>RATES</v>
          </cell>
          <cell r="I1808" t="str">
            <v>Convexity</v>
          </cell>
        </row>
        <row r="1809">
          <cell r="A1809" t="str">
            <v>ITL_10yr_10yr</v>
          </cell>
          <cell r="B1809" t="str">
            <v>ITL 10Y ^2</v>
          </cell>
          <cell r="C1809" t="str">
            <v>BRS_GOLD__2_RATES:BRS_GOLD__1_EURSPRD:BRS_GOLD__1_ITLIR:ITL,ITL_10yr_10yr:ITL_10yr_10yr</v>
          </cell>
          <cell r="D1809" t="str">
            <v>Convexity</v>
          </cell>
          <cell r="E1809" t="str">
            <v>Spread Yield (DxS)</v>
          </cell>
          <cell r="F1809" t="str">
            <v>FI-Convexity</v>
          </cell>
          <cell r="G1809" t="str">
            <v>FI-Other</v>
          </cell>
          <cell r="H1809" t="str">
            <v>RATES</v>
          </cell>
          <cell r="I1809" t="str">
            <v>Convexity</v>
          </cell>
        </row>
        <row r="1810">
          <cell r="A1810" t="str">
            <v>NLG_10yr_10yr</v>
          </cell>
          <cell r="B1810" t="str">
            <v>NLG 10Y ^2</v>
          </cell>
          <cell r="C1810" t="str">
            <v>BRS_GOLD__2_RATES:BRS_GOLD__1_EURSPRD:BRS_GOLD__1_NLGIR:NLG,NLG_10yr_10yr:NLG_10yr_10yr</v>
          </cell>
          <cell r="D1810" t="str">
            <v>Convexity</v>
          </cell>
          <cell r="E1810" t="str">
            <v>Spread Yield (DxS)</v>
          </cell>
          <cell r="F1810" t="str">
            <v>FI-Convexity</v>
          </cell>
          <cell r="G1810" t="str">
            <v>FI-Other</v>
          </cell>
          <cell r="H1810" t="str">
            <v>RATES</v>
          </cell>
          <cell r="I1810" t="str">
            <v>Convexity</v>
          </cell>
        </row>
        <row r="1811">
          <cell r="A1811" t="str">
            <v>PTE_10yr_10yr</v>
          </cell>
          <cell r="B1811" t="str">
            <v>PTE 10Y ^2</v>
          </cell>
          <cell r="C1811" t="str">
            <v>BRS_GOLD__2_RATES:BRS_GOLD__1_EURSPRD:BRS_GOLD__1_PTEIR:PTE,PTE_10yr_10yr:PTE_10yr_10yr</v>
          </cell>
          <cell r="D1811" t="str">
            <v>Convexity</v>
          </cell>
          <cell r="E1811" t="str">
            <v>Spread Yield (DxS)</v>
          </cell>
          <cell r="F1811" t="str">
            <v>FI-Convexity</v>
          </cell>
          <cell r="G1811" t="str">
            <v>FI-Other</v>
          </cell>
          <cell r="H1811" t="str">
            <v>RATES</v>
          </cell>
          <cell r="I1811" t="str">
            <v>Convexity</v>
          </cell>
        </row>
        <row r="1812">
          <cell r="A1812" t="str">
            <v>ESP_10yr_10yr</v>
          </cell>
          <cell r="B1812" t="str">
            <v>ESP 10Y ^2</v>
          </cell>
          <cell r="C1812" t="str">
            <v>BRS_GOLD__2_RATES:BRS_GOLD__1_EURSPRD:BRS_GOLD__1_ESPIR:ESP,ESP_10yr_10yr:ESP_10yr_10yr</v>
          </cell>
          <cell r="D1812" t="str">
            <v>Convexity</v>
          </cell>
          <cell r="E1812" t="str">
            <v>Spread Yield (DxS)</v>
          </cell>
          <cell r="F1812" t="str">
            <v>FI-Convexity</v>
          </cell>
          <cell r="G1812" t="str">
            <v>FI-Other</v>
          </cell>
          <cell r="H1812" t="str">
            <v>RATES</v>
          </cell>
          <cell r="I1812" t="str">
            <v>Convexity</v>
          </cell>
        </row>
        <row r="1813">
          <cell r="A1813" t="str">
            <v>USD_2yr_2yr_U</v>
          </cell>
          <cell r="B1813" t="str">
            <v>Tsy 2Y Convexity</v>
          </cell>
          <cell r="C1813" t="str">
            <v>BRS_GOLD__2_RATES:CONVEXITY_VAR:USD_2yr_2yr_U</v>
          </cell>
          <cell r="D1813" t="str">
            <v>Convexity</v>
          </cell>
          <cell r="E1813" t="str">
            <v>Convexity</v>
          </cell>
          <cell r="F1813" t="str">
            <v>FI-Convexity</v>
          </cell>
          <cell r="G1813" t="str">
            <v>FI-Other</v>
          </cell>
          <cell r="H1813" t="str">
            <v>RATES</v>
          </cell>
          <cell r="I1813" t="str">
            <v>Convexity</v>
          </cell>
        </row>
        <row r="1814">
          <cell r="A1814" t="str">
            <v>USD_5yr_5yr_U</v>
          </cell>
          <cell r="B1814" t="str">
            <v>Tsy 5Y Convexity</v>
          </cell>
          <cell r="C1814" t="str">
            <v>BRS_GOLD__2_RATES:CONVEXITY_VAR:USD_5yr_5yr_U</v>
          </cell>
          <cell r="D1814" t="str">
            <v>Convexity</v>
          </cell>
          <cell r="E1814" t="str">
            <v>Convexity</v>
          </cell>
          <cell r="F1814" t="str">
            <v>FI-Convexity</v>
          </cell>
          <cell r="G1814" t="str">
            <v>FI-Other</v>
          </cell>
          <cell r="H1814" t="str">
            <v>RATES</v>
          </cell>
          <cell r="I1814" t="str">
            <v>Convexity</v>
          </cell>
        </row>
        <row r="1815">
          <cell r="A1815" t="str">
            <v>USD_10yr_10yr_U</v>
          </cell>
          <cell r="B1815" t="str">
            <v>Tsy 10Y Convexity</v>
          </cell>
          <cell r="C1815" t="str">
            <v>BRS_GOLD__2_RATES:CONVEXITY_VAR:USD_10yr_10yr_U</v>
          </cell>
          <cell r="D1815" t="str">
            <v>Convexity</v>
          </cell>
          <cell r="E1815" t="str">
            <v>Convexity</v>
          </cell>
          <cell r="F1815" t="str">
            <v>FI-Convexity</v>
          </cell>
          <cell r="G1815" t="str">
            <v>FI-Other</v>
          </cell>
          <cell r="H1815" t="str">
            <v>RATES</v>
          </cell>
          <cell r="I1815" t="str">
            <v>Convexity</v>
          </cell>
        </row>
        <row r="1816">
          <cell r="A1816" t="str">
            <v>USD_30yr_30yr_U</v>
          </cell>
          <cell r="B1816" t="str">
            <v>Tsy 30Y Convexity</v>
          </cell>
          <cell r="C1816" t="str">
            <v>BRS_GOLD__2_RATES:CONVEXITY_VAR:USD_30yr_30yr_U</v>
          </cell>
          <cell r="D1816" t="str">
            <v>Convexity</v>
          </cell>
          <cell r="E1816" t="str">
            <v>Convexity</v>
          </cell>
          <cell r="F1816" t="str">
            <v>FI-Convexity</v>
          </cell>
          <cell r="G1816" t="str">
            <v>FI-Other</v>
          </cell>
          <cell r="H1816" t="str">
            <v>RATES</v>
          </cell>
          <cell r="I1816" t="str">
            <v>Convexity</v>
          </cell>
        </row>
        <row r="1817">
          <cell r="A1817" t="str">
            <v>USD_2yr_2yr_E</v>
          </cell>
          <cell r="B1817" t="str">
            <v>Tsy 2Y Avg Convexity</v>
          </cell>
          <cell r="C1817" t="str">
            <v>BRS_GOLD__2_RATES:CONVEXITY_VAR:USD_2yr_2yr_E</v>
          </cell>
          <cell r="D1817" t="str">
            <v>Convexity</v>
          </cell>
          <cell r="E1817" t="str">
            <v>Convexity</v>
          </cell>
          <cell r="F1817" t="str">
            <v>FI-Convexity</v>
          </cell>
          <cell r="G1817" t="str">
            <v>FI-Other</v>
          </cell>
          <cell r="H1817" t="str">
            <v>RATES</v>
          </cell>
          <cell r="I1817" t="str">
            <v>Convexity</v>
          </cell>
        </row>
        <row r="1818">
          <cell r="A1818" t="str">
            <v>USD_5yr_5yr_E</v>
          </cell>
          <cell r="B1818" t="str">
            <v>Tsy 5Y Avg Convexity</v>
          </cell>
          <cell r="C1818" t="str">
            <v>BRS_GOLD__2_RATES:CONVEXITY_VAR:USD_5yr_5yr_E</v>
          </cell>
          <cell r="D1818" t="str">
            <v>Convexity</v>
          </cell>
          <cell r="E1818" t="str">
            <v>Convexity</v>
          </cell>
          <cell r="F1818" t="str">
            <v>FI-Convexity</v>
          </cell>
          <cell r="G1818" t="str">
            <v>FI-Other</v>
          </cell>
          <cell r="H1818" t="str">
            <v>RATES</v>
          </cell>
          <cell r="I1818" t="str">
            <v>Convexity</v>
          </cell>
        </row>
        <row r="1819">
          <cell r="A1819" t="str">
            <v>USD_10yr_10yr_E</v>
          </cell>
          <cell r="B1819" t="str">
            <v>Tsy 10Y Avg Convexity</v>
          </cell>
          <cell r="C1819" t="str">
            <v>BRS_GOLD__2_RATES:CONVEXITY_VAR:USD_10yr_10yr_E</v>
          </cell>
          <cell r="D1819" t="str">
            <v>Convexity</v>
          </cell>
          <cell r="E1819" t="str">
            <v>Convexity</v>
          </cell>
          <cell r="F1819" t="str">
            <v>FI-Convexity</v>
          </cell>
          <cell r="G1819" t="str">
            <v>FI-Other</v>
          </cell>
          <cell r="H1819" t="str">
            <v>RATES</v>
          </cell>
          <cell r="I1819" t="str">
            <v>Convexity</v>
          </cell>
        </row>
        <row r="1820">
          <cell r="A1820" t="str">
            <v>USD_30yr_30yr_E</v>
          </cell>
          <cell r="B1820" t="str">
            <v>Tsy 30Y Avg Convexity</v>
          </cell>
          <cell r="C1820" t="str">
            <v>BRS_GOLD__2_RATES:CONVEXITY_VAR:USD_30yr_30yr_E</v>
          </cell>
          <cell r="D1820" t="str">
            <v>Convexity</v>
          </cell>
          <cell r="E1820" t="str">
            <v>Convexity</v>
          </cell>
          <cell r="F1820" t="str">
            <v>FI-Convexity</v>
          </cell>
          <cell r="G1820" t="str">
            <v>FI-Other</v>
          </cell>
          <cell r="H1820" t="str">
            <v>RATES</v>
          </cell>
          <cell r="I1820" t="str">
            <v>Convexity</v>
          </cell>
        </row>
        <row r="1821">
          <cell r="A1821" t="str">
            <v>AUD_10yr_10yr_U</v>
          </cell>
          <cell r="B1821" t="str">
            <v>AUD Tsy 10Y Convexity</v>
          </cell>
          <cell r="C1821" t="str">
            <v>BRS_GOLD__2_RATES:CONVEXITY_VAR:AUD_10yr_10yr_U</v>
          </cell>
          <cell r="D1821" t="str">
            <v>Convexity</v>
          </cell>
          <cell r="E1821" t="str">
            <v>Convexity</v>
          </cell>
          <cell r="F1821" t="str">
            <v>FI-Convexity</v>
          </cell>
          <cell r="G1821" t="str">
            <v>FI-Other</v>
          </cell>
          <cell r="H1821" t="str">
            <v>RATES</v>
          </cell>
          <cell r="I1821" t="str">
            <v>Convexity</v>
          </cell>
        </row>
        <row r="1822">
          <cell r="A1822" t="str">
            <v>AUD_10yr_10yr_E</v>
          </cell>
          <cell r="B1822" t="str">
            <v>AUD Tsy 10Y Avg Convexity</v>
          </cell>
          <cell r="C1822" t="str">
            <v>BRS_GOLD__2_RATES:CONVEXITY_VAR:AUD_10yr_10yr_E</v>
          </cell>
          <cell r="D1822" t="str">
            <v>Convexity</v>
          </cell>
          <cell r="E1822" t="str">
            <v>Convexity</v>
          </cell>
          <cell r="F1822" t="str">
            <v>FI-Convexity</v>
          </cell>
          <cell r="G1822" t="str">
            <v>FI-Other</v>
          </cell>
          <cell r="H1822" t="str">
            <v>RATES</v>
          </cell>
          <cell r="I1822" t="str">
            <v>Convexity</v>
          </cell>
        </row>
        <row r="1823">
          <cell r="A1823" t="str">
            <v>BEF_10yr_10yr_U</v>
          </cell>
          <cell r="B1823" t="str">
            <v>BEF Tsy 10Y Convexity</v>
          </cell>
          <cell r="C1823" t="str">
            <v>BRS_GOLD__2_RATES:CONVEXITY_VAR:BEF_10yr_10yr_U</v>
          </cell>
          <cell r="D1823" t="str">
            <v>Convexity</v>
          </cell>
          <cell r="E1823" t="str">
            <v>Convexity</v>
          </cell>
          <cell r="F1823" t="str">
            <v>FI-Convexity</v>
          </cell>
          <cell r="G1823" t="str">
            <v>FI-Other</v>
          </cell>
          <cell r="H1823" t="str">
            <v>RATES</v>
          </cell>
          <cell r="I1823" t="str">
            <v>Convexity</v>
          </cell>
        </row>
        <row r="1824">
          <cell r="A1824" t="str">
            <v>BEF_10yr_10yr_E</v>
          </cell>
          <cell r="B1824" t="str">
            <v>BEF Tsy 10Y Avg Convexity</v>
          </cell>
          <cell r="C1824" t="str">
            <v>BRS_GOLD__2_RATES:CONVEXITY_VAR:BEF_10yr_10yr_E</v>
          </cell>
          <cell r="D1824" t="str">
            <v>Convexity</v>
          </cell>
          <cell r="E1824" t="str">
            <v>Convexity</v>
          </cell>
          <cell r="F1824" t="str">
            <v>FI-Convexity</v>
          </cell>
          <cell r="G1824" t="str">
            <v>FI-Other</v>
          </cell>
          <cell r="H1824" t="str">
            <v>RATES</v>
          </cell>
          <cell r="I1824" t="str">
            <v>Convexity</v>
          </cell>
        </row>
        <row r="1825">
          <cell r="A1825" t="str">
            <v>CAD_2yr_2yr_U</v>
          </cell>
          <cell r="B1825" t="str">
            <v>CAD Tsy 2Y Convexity</v>
          </cell>
          <cell r="C1825" t="str">
            <v>BRS_GOLD__2_RATES:CONVEXITY_VAR:CAD_2yr_2yr_U</v>
          </cell>
          <cell r="D1825" t="str">
            <v>Convexity</v>
          </cell>
          <cell r="E1825" t="str">
            <v>Convexity</v>
          </cell>
          <cell r="F1825" t="str">
            <v>FI-Convexity</v>
          </cell>
          <cell r="G1825" t="str">
            <v>FI-Other</v>
          </cell>
          <cell r="H1825" t="str">
            <v>RATES</v>
          </cell>
          <cell r="I1825" t="str">
            <v>Convexity</v>
          </cell>
        </row>
        <row r="1826">
          <cell r="A1826" t="str">
            <v>CAD_5yr_5yr_U</v>
          </cell>
          <cell r="B1826" t="str">
            <v>CAD Tsy 5Y Convexity</v>
          </cell>
          <cell r="C1826" t="str">
            <v>BRS_GOLD__2_RATES:CONVEXITY_VAR:CAD_5yr_5yr_U</v>
          </cell>
          <cell r="D1826" t="str">
            <v>Convexity</v>
          </cell>
          <cell r="E1826" t="str">
            <v>Convexity</v>
          </cell>
          <cell r="F1826" t="str">
            <v>FI-Convexity</v>
          </cell>
          <cell r="G1826" t="str">
            <v>FI-Other</v>
          </cell>
          <cell r="H1826" t="str">
            <v>RATES</v>
          </cell>
          <cell r="I1826" t="str">
            <v>Convexity</v>
          </cell>
        </row>
        <row r="1827">
          <cell r="A1827" t="str">
            <v>CAD_10yr_10yr_U</v>
          </cell>
          <cell r="B1827" t="str">
            <v>CAD Tsy 10Y Convexity</v>
          </cell>
          <cell r="C1827" t="str">
            <v>BRS_GOLD__2_RATES:CONVEXITY_VAR:CAD_10yr_10yr_U</v>
          </cell>
          <cell r="D1827" t="str">
            <v>Convexity</v>
          </cell>
          <cell r="E1827" t="str">
            <v>Convexity</v>
          </cell>
          <cell r="F1827" t="str">
            <v>FI-Convexity</v>
          </cell>
          <cell r="G1827" t="str">
            <v>FI-Other</v>
          </cell>
          <cell r="H1827" t="str">
            <v>RATES</v>
          </cell>
          <cell r="I1827" t="str">
            <v>Convexity</v>
          </cell>
        </row>
        <row r="1828">
          <cell r="A1828" t="str">
            <v>CAD_30yr_30yr_U</v>
          </cell>
          <cell r="B1828" t="str">
            <v>CAD Tsy 30Y Convexity</v>
          </cell>
          <cell r="C1828" t="str">
            <v>BRS_GOLD__2_RATES:CONVEXITY_VAR:CAD_30yr_30yr_U</v>
          </cell>
          <cell r="D1828" t="str">
            <v>Convexity</v>
          </cell>
          <cell r="E1828" t="str">
            <v>Convexity</v>
          </cell>
          <cell r="F1828" t="str">
            <v>FI-Convexity</v>
          </cell>
          <cell r="G1828" t="str">
            <v>FI-Other</v>
          </cell>
          <cell r="H1828" t="str">
            <v>RATES</v>
          </cell>
          <cell r="I1828" t="str">
            <v>Convexity</v>
          </cell>
        </row>
        <row r="1829">
          <cell r="A1829" t="str">
            <v>CAD_2yr_2yr_E</v>
          </cell>
          <cell r="B1829" t="str">
            <v>CAD Tsy 2Y Avg Convexity</v>
          </cell>
          <cell r="C1829" t="str">
            <v>BRS_GOLD__2_RATES:CONVEXITY_VAR:CAD_2yr_2yr_E</v>
          </cell>
          <cell r="D1829" t="str">
            <v>Convexity</v>
          </cell>
          <cell r="E1829" t="str">
            <v>Convexity</v>
          </cell>
          <cell r="F1829" t="str">
            <v>FI-Convexity</v>
          </cell>
          <cell r="G1829" t="str">
            <v>FI-Other</v>
          </cell>
          <cell r="H1829" t="str">
            <v>RATES</v>
          </cell>
          <cell r="I1829" t="str">
            <v>Convexity</v>
          </cell>
        </row>
        <row r="1830">
          <cell r="A1830" t="str">
            <v>CAD_5yr_5yr_E</v>
          </cell>
          <cell r="B1830" t="str">
            <v>CAD Tsy 5Y Avg Convexity</v>
          </cell>
          <cell r="C1830" t="str">
            <v>BRS_GOLD__2_RATES:CONVEXITY_VAR:CAD_5yr_5yr_E</v>
          </cell>
          <cell r="D1830" t="str">
            <v>Convexity</v>
          </cell>
          <cell r="E1830" t="str">
            <v>Convexity</v>
          </cell>
          <cell r="F1830" t="str">
            <v>FI-Convexity</v>
          </cell>
          <cell r="G1830" t="str">
            <v>FI-Other</v>
          </cell>
          <cell r="H1830" t="str">
            <v>RATES</v>
          </cell>
          <cell r="I1830" t="str">
            <v>Convexity</v>
          </cell>
        </row>
        <row r="1831">
          <cell r="A1831" t="str">
            <v>CAD_10yr_10yr_E</v>
          </cell>
          <cell r="B1831" t="str">
            <v>CAD Tsy 10Y Avg Convexity</v>
          </cell>
          <cell r="C1831" t="str">
            <v>BRS_GOLD__2_RATES:CONVEXITY_VAR:CAD_10yr_10yr_E</v>
          </cell>
          <cell r="D1831" t="str">
            <v>Convexity</v>
          </cell>
          <cell r="E1831" t="str">
            <v>Convexity</v>
          </cell>
          <cell r="F1831" t="str">
            <v>FI-Convexity</v>
          </cell>
          <cell r="G1831" t="str">
            <v>FI-Other</v>
          </cell>
          <cell r="H1831" t="str">
            <v>RATES</v>
          </cell>
          <cell r="I1831" t="str">
            <v>Convexity</v>
          </cell>
        </row>
        <row r="1832">
          <cell r="A1832" t="str">
            <v>CAD_30yr_30yr_E</v>
          </cell>
          <cell r="B1832" t="str">
            <v>CAD Tsy 30Y Avg Convexity</v>
          </cell>
          <cell r="C1832" t="str">
            <v>BRS_GOLD__2_RATES:CONVEXITY_VAR:CAD_30yr_30yr_E</v>
          </cell>
          <cell r="D1832" t="str">
            <v>Convexity</v>
          </cell>
          <cell r="E1832" t="str">
            <v>Convexity</v>
          </cell>
          <cell r="F1832" t="str">
            <v>FI-Convexity</v>
          </cell>
          <cell r="G1832" t="str">
            <v>FI-Other</v>
          </cell>
          <cell r="H1832" t="str">
            <v>RATES</v>
          </cell>
          <cell r="I1832" t="str">
            <v>Convexity</v>
          </cell>
        </row>
        <row r="1833">
          <cell r="A1833" t="str">
            <v>CHF_10yr_10yr_U</v>
          </cell>
          <cell r="B1833" t="str">
            <v>CHF Tsy 10Y Convexity</v>
          </cell>
          <cell r="C1833" t="str">
            <v>BRS_GOLD__2_RATES:CONVEXITY_VAR:CHF_10yr_10yr_U</v>
          </cell>
          <cell r="D1833" t="str">
            <v>Convexity</v>
          </cell>
          <cell r="E1833" t="str">
            <v>Convexity</v>
          </cell>
          <cell r="F1833" t="str">
            <v>FI-Convexity</v>
          </cell>
          <cell r="G1833" t="str">
            <v>FI-Other</v>
          </cell>
          <cell r="H1833" t="str">
            <v>RATES</v>
          </cell>
          <cell r="I1833" t="str">
            <v>Convexity</v>
          </cell>
        </row>
        <row r="1834">
          <cell r="A1834" t="str">
            <v>CHF_10yr_10yr_E</v>
          </cell>
          <cell r="B1834" t="str">
            <v>CHF Tsy 10Y Avg Convexity</v>
          </cell>
          <cell r="C1834" t="str">
            <v>BRS_GOLD__2_RATES:CONVEXITY_VAR:CHF_10yr_10yr_E</v>
          </cell>
          <cell r="D1834" t="str">
            <v>Convexity</v>
          </cell>
          <cell r="E1834" t="str">
            <v>Convexity</v>
          </cell>
          <cell r="F1834" t="str">
            <v>FI-Convexity</v>
          </cell>
          <cell r="G1834" t="str">
            <v>FI-Other</v>
          </cell>
          <cell r="H1834" t="str">
            <v>RATES</v>
          </cell>
          <cell r="I1834" t="str">
            <v>Convexity</v>
          </cell>
        </row>
        <row r="1835">
          <cell r="A1835" t="str">
            <v>CNY_10yr_10yr_U</v>
          </cell>
          <cell r="B1835" t="str">
            <v>CNY Tsy 10Y Convexity</v>
          </cell>
          <cell r="C1835" t="str">
            <v>BRS_GOLD__2_RATES:CONVEXITY_VAR:CNY_10yr_10yr_U</v>
          </cell>
          <cell r="D1835" t="str">
            <v>Convexity</v>
          </cell>
          <cell r="E1835" t="str">
            <v>Convexity</v>
          </cell>
          <cell r="F1835" t="str">
            <v>FI-Convexity</v>
          </cell>
          <cell r="G1835" t="str">
            <v>FI-Other</v>
          </cell>
          <cell r="H1835" t="str">
            <v>RATES</v>
          </cell>
          <cell r="I1835" t="str">
            <v>Convexity</v>
          </cell>
        </row>
        <row r="1836">
          <cell r="A1836" t="str">
            <v>CNY_10yr_10yr_E</v>
          </cell>
          <cell r="B1836" t="str">
            <v>CNY Tsy 10Y Avg Convexity</v>
          </cell>
          <cell r="C1836" t="str">
            <v>BRS_GOLD__2_RATES:CONVEXITY_VAR:CNY_10yr_10yr_E</v>
          </cell>
          <cell r="D1836" t="str">
            <v>Convexity</v>
          </cell>
          <cell r="E1836" t="str">
            <v>Convexity</v>
          </cell>
          <cell r="F1836" t="str">
            <v>FI-Convexity</v>
          </cell>
          <cell r="G1836" t="str">
            <v>FI-Other</v>
          </cell>
          <cell r="H1836" t="str">
            <v>RATES</v>
          </cell>
          <cell r="I1836" t="str">
            <v>Convexity</v>
          </cell>
        </row>
        <row r="1837">
          <cell r="A1837" t="str">
            <v>DEM_10yr_10yr_U</v>
          </cell>
          <cell r="B1837" t="str">
            <v>DEM Tsy 10Y Convexity</v>
          </cell>
          <cell r="C1837" t="str">
            <v>BRS_GOLD__2_RATES:CONVEXITY_VAR:DEM_10yr_10yr_U</v>
          </cell>
          <cell r="D1837" t="str">
            <v>Convexity</v>
          </cell>
          <cell r="E1837" t="str">
            <v>Convexity</v>
          </cell>
          <cell r="F1837" t="str">
            <v>FI-Convexity</v>
          </cell>
          <cell r="G1837" t="str">
            <v>FI-Other</v>
          </cell>
          <cell r="H1837" t="str">
            <v>RATES</v>
          </cell>
          <cell r="I1837" t="str">
            <v>Convexity</v>
          </cell>
        </row>
        <row r="1838">
          <cell r="A1838" t="str">
            <v>DEM_10yr_10yr_E</v>
          </cell>
          <cell r="B1838" t="str">
            <v>DEM Tsy 10Y Avg Convexity</v>
          </cell>
          <cell r="C1838" t="str">
            <v>BRS_GOLD__2_RATES:CONVEXITY_VAR:DEM_10yr_10yr_E</v>
          </cell>
          <cell r="D1838" t="str">
            <v>Convexity</v>
          </cell>
          <cell r="E1838" t="str">
            <v>Convexity</v>
          </cell>
          <cell r="F1838" t="str">
            <v>FI-Convexity</v>
          </cell>
          <cell r="G1838" t="str">
            <v>FI-Other</v>
          </cell>
          <cell r="H1838" t="str">
            <v>RATES</v>
          </cell>
          <cell r="I1838" t="str">
            <v>Convexity</v>
          </cell>
        </row>
        <row r="1839">
          <cell r="A1839" t="str">
            <v>DKK_10yr_10yr_U</v>
          </cell>
          <cell r="B1839" t="str">
            <v>DKK Tsy 10Y Convexity</v>
          </cell>
          <cell r="C1839" t="str">
            <v>BRS_GOLD__2_RATES:CONVEXITY_VAR:DKK_10yr_10yr_U</v>
          </cell>
          <cell r="D1839" t="str">
            <v>Convexity</v>
          </cell>
          <cell r="E1839" t="str">
            <v>Convexity</v>
          </cell>
          <cell r="F1839" t="str">
            <v>FI-Convexity</v>
          </cell>
          <cell r="G1839" t="str">
            <v>FI-Other</v>
          </cell>
          <cell r="H1839" t="str">
            <v>RATES</v>
          </cell>
          <cell r="I1839" t="str">
            <v>Convexity</v>
          </cell>
        </row>
        <row r="1840">
          <cell r="A1840" t="str">
            <v>DKK_10yr_10yr_E</v>
          </cell>
          <cell r="B1840" t="str">
            <v>DKK Tsy 10Y Avg Convexity</v>
          </cell>
          <cell r="C1840" t="str">
            <v>BRS_GOLD__2_RATES:CONVEXITY_VAR:DKK_10yr_10yr_E</v>
          </cell>
          <cell r="D1840" t="str">
            <v>Convexity</v>
          </cell>
          <cell r="E1840" t="str">
            <v>Convexity</v>
          </cell>
          <cell r="F1840" t="str">
            <v>FI-Convexity</v>
          </cell>
          <cell r="G1840" t="str">
            <v>FI-Other</v>
          </cell>
          <cell r="H1840" t="str">
            <v>RATES</v>
          </cell>
          <cell r="I1840" t="str">
            <v>Convexity</v>
          </cell>
        </row>
        <row r="1841">
          <cell r="A1841" t="str">
            <v>ESP_10yr_10yr_U</v>
          </cell>
          <cell r="B1841" t="str">
            <v>ESP Tsy 10Y Convexity</v>
          </cell>
          <cell r="C1841" t="str">
            <v>BRS_GOLD__2_RATES:CONVEXITY_VAR:ESP_10yr_10yr_U</v>
          </cell>
          <cell r="D1841" t="str">
            <v>Convexity</v>
          </cell>
          <cell r="E1841" t="str">
            <v>Convexity</v>
          </cell>
          <cell r="F1841" t="str">
            <v>FI-Convexity</v>
          </cell>
          <cell r="G1841" t="str">
            <v>FI-Other</v>
          </cell>
          <cell r="H1841" t="str">
            <v>RATES</v>
          </cell>
          <cell r="I1841" t="str">
            <v>Convexity</v>
          </cell>
        </row>
        <row r="1842">
          <cell r="A1842" t="str">
            <v>ESP_10yr_10yr_E</v>
          </cell>
          <cell r="B1842" t="str">
            <v>ESP Tsy 10Y Avg Convexity</v>
          </cell>
          <cell r="C1842" t="str">
            <v>BRS_GOLD__2_RATES:CONVEXITY_VAR:ESP_10yr_10yr_E</v>
          </cell>
          <cell r="D1842" t="str">
            <v>Convexity</v>
          </cell>
          <cell r="E1842" t="str">
            <v>Convexity</v>
          </cell>
          <cell r="F1842" t="str">
            <v>FI-Convexity</v>
          </cell>
          <cell r="G1842" t="str">
            <v>FI-Other</v>
          </cell>
          <cell r="H1842" t="str">
            <v>RATES</v>
          </cell>
          <cell r="I1842" t="str">
            <v>Convexity</v>
          </cell>
        </row>
        <row r="1843">
          <cell r="A1843" t="str">
            <v>EUR_2yr_2yr_U</v>
          </cell>
          <cell r="B1843" t="str">
            <v>EUR Tsy 2Y Convexity</v>
          </cell>
          <cell r="C1843" t="str">
            <v>BRS_GOLD__2_RATES:CONVEXITY_VAR:EUR_2yr_2yr_U</v>
          </cell>
          <cell r="D1843" t="str">
            <v>Convexity</v>
          </cell>
          <cell r="E1843" t="str">
            <v>Convexity</v>
          </cell>
          <cell r="F1843" t="str">
            <v>FI-Convexity</v>
          </cell>
          <cell r="G1843" t="str">
            <v>FI-Other</v>
          </cell>
          <cell r="H1843" t="str">
            <v>RATES</v>
          </cell>
          <cell r="I1843" t="str">
            <v>Convexity</v>
          </cell>
        </row>
        <row r="1844">
          <cell r="A1844" t="str">
            <v>EUR_5yr_5yr_U</v>
          </cell>
          <cell r="B1844" t="str">
            <v>EUR Tsy 5Y Convexity</v>
          </cell>
          <cell r="C1844" t="str">
            <v>BRS_GOLD__2_RATES:CONVEXITY_VAR:EUR_5yr_5yr_U</v>
          </cell>
          <cell r="D1844" t="str">
            <v>Convexity</v>
          </cell>
          <cell r="E1844" t="str">
            <v>Convexity</v>
          </cell>
          <cell r="F1844" t="str">
            <v>FI-Convexity</v>
          </cell>
          <cell r="G1844" t="str">
            <v>FI-Other</v>
          </cell>
          <cell r="H1844" t="str">
            <v>RATES</v>
          </cell>
          <cell r="I1844" t="str">
            <v>Convexity</v>
          </cell>
        </row>
        <row r="1845">
          <cell r="A1845" t="str">
            <v>EUR_10yr_10yr_U</v>
          </cell>
          <cell r="B1845" t="str">
            <v>EUR Tsy 10Y Convexity</v>
          </cell>
          <cell r="C1845" t="str">
            <v>BRS_GOLD__2_RATES:CONVEXITY_VAR:EUR_10yr_10yr_U</v>
          </cell>
          <cell r="D1845" t="str">
            <v>Convexity</v>
          </cell>
          <cell r="E1845" t="str">
            <v>Convexity</v>
          </cell>
          <cell r="F1845" t="str">
            <v>FI-Convexity</v>
          </cell>
          <cell r="G1845" t="str">
            <v>FI-Other</v>
          </cell>
          <cell r="H1845" t="str">
            <v>RATES</v>
          </cell>
          <cell r="I1845" t="str">
            <v>Convexity</v>
          </cell>
        </row>
        <row r="1846">
          <cell r="A1846" t="str">
            <v>EUR_30yr_30yr_U</v>
          </cell>
          <cell r="B1846" t="str">
            <v>EUR Tsy 30Y Convexity</v>
          </cell>
          <cell r="C1846" t="str">
            <v>BRS_GOLD__2_RATES:CONVEXITY_VAR:EUR_30yr_30yr_U</v>
          </cell>
          <cell r="D1846" t="str">
            <v>Convexity</v>
          </cell>
          <cell r="E1846" t="str">
            <v>Convexity</v>
          </cell>
          <cell r="F1846" t="str">
            <v>FI-Convexity</v>
          </cell>
          <cell r="G1846" t="str">
            <v>FI-Other</v>
          </cell>
          <cell r="H1846" t="str">
            <v>RATES</v>
          </cell>
          <cell r="I1846" t="str">
            <v>Convexity</v>
          </cell>
        </row>
        <row r="1847">
          <cell r="A1847" t="str">
            <v>EUR_2yr_2yr_E</v>
          </cell>
          <cell r="B1847" t="str">
            <v>EUR Tsy 2Y Avg Convexity</v>
          </cell>
          <cell r="C1847" t="str">
            <v>BRS_GOLD__2_RATES:CONVEXITY_VAR:EUR_2yr_2yr_E</v>
          </cell>
          <cell r="D1847" t="str">
            <v>Convexity</v>
          </cell>
          <cell r="E1847" t="str">
            <v>Convexity</v>
          </cell>
          <cell r="F1847" t="str">
            <v>FI-Convexity</v>
          </cell>
          <cell r="G1847" t="str">
            <v>FI-Other</v>
          </cell>
          <cell r="H1847" t="str">
            <v>RATES</v>
          </cell>
          <cell r="I1847" t="str">
            <v>Convexity</v>
          </cell>
        </row>
        <row r="1848">
          <cell r="A1848" t="str">
            <v>EUR_5yr_5yr_E</v>
          </cell>
          <cell r="B1848" t="str">
            <v>EUR Tsy 5Y Avg Convexity</v>
          </cell>
          <cell r="C1848" t="str">
            <v>BRS_GOLD__2_RATES:CONVEXITY_VAR:EUR_5yr_5yr_E</v>
          </cell>
          <cell r="D1848" t="str">
            <v>Convexity</v>
          </cell>
          <cell r="E1848" t="str">
            <v>Convexity</v>
          </cell>
          <cell r="F1848" t="str">
            <v>FI-Convexity</v>
          </cell>
          <cell r="G1848" t="str">
            <v>FI-Other</v>
          </cell>
          <cell r="H1848" t="str">
            <v>RATES</v>
          </cell>
          <cell r="I1848" t="str">
            <v>Convexity</v>
          </cell>
        </row>
        <row r="1849">
          <cell r="A1849" t="str">
            <v>EUR_10yr_10yr_E</v>
          </cell>
          <cell r="B1849" t="str">
            <v>EUR Tsy 10Y Avg Convexity</v>
          </cell>
          <cell r="C1849" t="str">
            <v>BRS_GOLD__2_RATES:CONVEXITY_VAR:EUR_10yr_10yr_E</v>
          </cell>
          <cell r="D1849" t="str">
            <v>Convexity</v>
          </cell>
          <cell r="E1849" t="str">
            <v>Convexity</v>
          </cell>
          <cell r="F1849" t="str">
            <v>FI-Convexity</v>
          </cell>
          <cell r="G1849" t="str">
            <v>FI-Other</v>
          </cell>
          <cell r="H1849" t="str">
            <v>RATES</v>
          </cell>
          <cell r="I1849" t="str">
            <v>Convexity</v>
          </cell>
        </row>
        <row r="1850">
          <cell r="A1850" t="str">
            <v>EUR_30yr_30yr_E</v>
          </cell>
          <cell r="B1850" t="str">
            <v>EUR Tsy 30Y Avg Convexity</v>
          </cell>
          <cell r="C1850" t="str">
            <v>BRS_GOLD__2_RATES:CONVEXITY_VAR:EUR_30yr_30yr_E</v>
          </cell>
          <cell r="D1850" t="str">
            <v>Convexity</v>
          </cell>
          <cell r="E1850" t="str">
            <v>Convexity</v>
          </cell>
          <cell r="F1850" t="str">
            <v>FI-Convexity</v>
          </cell>
          <cell r="G1850" t="str">
            <v>FI-Other</v>
          </cell>
          <cell r="H1850" t="str">
            <v>RATES</v>
          </cell>
          <cell r="I1850" t="str">
            <v>Convexity</v>
          </cell>
        </row>
        <row r="1851">
          <cell r="A1851" t="str">
            <v>GBP_2yr_2yr_U</v>
          </cell>
          <cell r="B1851" t="str">
            <v>GBP Tsy 2Y Convexity</v>
          </cell>
          <cell r="C1851" t="str">
            <v>BRS_GOLD__2_RATES:CONVEXITY_VAR:GBP_2yr_2yr_U</v>
          </cell>
          <cell r="D1851" t="str">
            <v>Convexity</v>
          </cell>
          <cell r="E1851" t="str">
            <v>Convexity</v>
          </cell>
          <cell r="F1851" t="str">
            <v>FI-Convexity</v>
          </cell>
          <cell r="G1851" t="str">
            <v>FI-Other</v>
          </cell>
          <cell r="H1851" t="str">
            <v>RATES</v>
          </cell>
          <cell r="I1851" t="str">
            <v>Convexity</v>
          </cell>
        </row>
        <row r="1852">
          <cell r="A1852" t="str">
            <v>GBP_5yr_5yr_U</v>
          </cell>
          <cell r="B1852" t="str">
            <v>GBP Tsy 5Y Convexity</v>
          </cell>
          <cell r="C1852" t="str">
            <v>BRS_GOLD__2_RATES:CONVEXITY_VAR:GBP_5yr_5yr_U</v>
          </cell>
          <cell r="D1852" t="str">
            <v>Convexity</v>
          </cell>
          <cell r="E1852" t="str">
            <v>Convexity</v>
          </cell>
          <cell r="F1852" t="str">
            <v>FI-Convexity</v>
          </cell>
          <cell r="G1852" t="str">
            <v>FI-Other</v>
          </cell>
          <cell r="H1852" t="str">
            <v>RATES</v>
          </cell>
          <cell r="I1852" t="str">
            <v>Convexity</v>
          </cell>
        </row>
        <row r="1853">
          <cell r="A1853" t="str">
            <v>GBP_10yr_10yr_U</v>
          </cell>
          <cell r="B1853" t="str">
            <v>GBP Tsy 10Y Convexity</v>
          </cell>
          <cell r="C1853" t="str">
            <v>BRS_GOLD__2_RATES:CONVEXITY_VAR:GBP_10yr_10yr_U</v>
          </cell>
          <cell r="D1853" t="str">
            <v>Convexity</v>
          </cell>
          <cell r="E1853" t="str">
            <v>Convexity</v>
          </cell>
          <cell r="F1853" t="str">
            <v>FI-Convexity</v>
          </cell>
          <cell r="G1853" t="str">
            <v>FI-Other</v>
          </cell>
          <cell r="H1853" t="str">
            <v>RATES</v>
          </cell>
          <cell r="I1853" t="str">
            <v>Convexity</v>
          </cell>
        </row>
        <row r="1854">
          <cell r="A1854" t="str">
            <v>GBP_30yr_30yr_U</v>
          </cell>
          <cell r="B1854" t="str">
            <v>GBP Tsy 30Y Convexity</v>
          </cell>
          <cell r="C1854" t="str">
            <v>BRS_GOLD__2_RATES:CONVEXITY_VAR:GBP_30yr_30yr_U</v>
          </cell>
          <cell r="D1854" t="str">
            <v>Convexity</v>
          </cell>
          <cell r="E1854" t="str">
            <v>Convexity</v>
          </cell>
          <cell r="F1854" t="str">
            <v>FI-Convexity</v>
          </cell>
          <cell r="G1854" t="str">
            <v>FI-Other</v>
          </cell>
          <cell r="H1854" t="str">
            <v>RATES</v>
          </cell>
          <cell r="I1854" t="str">
            <v>Convexity</v>
          </cell>
        </row>
        <row r="1855">
          <cell r="A1855" t="str">
            <v>GBP_2yr_2yr_E</v>
          </cell>
          <cell r="B1855" t="str">
            <v>GBP Tsy 2Y Avg Convexity</v>
          </cell>
          <cell r="C1855" t="str">
            <v>BRS_GOLD__2_RATES:CONVEXITY_VAR:GBP_2yr_2yr_E</v>
          </cell>
          <cell r="D1855" t="str">
            <v>Convexity</v>
          </cell>
          <cell r="E1855" t="str">
            <v>Convexity</v>
          </cell>
          <cell r="F1855" t="str">
            <v>FI-Convexity</v>
          </cell>
          <cell r="G1855" t="str">
            <v>FI-Other</v>
          </cell>
          <cell r="H1855" t="str">
            <v>RATES</v>
          </cell>
          <cell r="I1855" t="str">
            <v>Convexity</v>
          </cell>
        </row>
        <row r="1856">
          <cell r="A1856" t="str">
            <v>GBP_5yr_5yr_E</v>
          </cell>
          <cell r="B1856" t="str">
            <v>GBP Tsy 5Y Avg Convexity</v>
          </cell>
          <cell r="C1856" t="str">
            <v>BRS_GOLD__2_RATES:CONVEXITY_VAR:GBP_5yr_5yr_E</v>
          </cell>
          <cell r="D1856" t="str">
            <v>Convexity</v>
          </cell>
          <cell r="E1856" t="str">
            <v>Convexity</v>
          </cell>
          <cell r="F1856" t="str">
            <v>FI-Convexity</v>
          </cell>
          <cell r="G1856" t="str">
            <v>FI-Other</v>
          </cell>
          <cell r="H1856" t="str">
            <v>RATES</v>
          </cell>
          <cell r="I1856" t="str">
            <v>Convexity</v>
          </cell>
        </row>
        <row r="1857">
          <cell r="A1857" t="str">
            <v>GBP_10yr_10yr_E</v>
          </cell>
          <cell r="B1857" t="str">
            <v>GBP Tsy 10Y Avg Convexity</v>
          </cell>
          <cell r="C1857" t="str">
            <v>BRS_GOLD__2_RATES:CONVEXITY_VAR:GBP_10yr_10yr_E</v>
          </cell>
          <cell r="D1857" t="str">
            <v>Convexity</v>
          </cell>
          <cell r="E1857" t="str">
            <v>Convexity</v>
          </cell>
          <cell r="F1857" t="str">
            <v>FI-Convexity</v>
          </cell>
          <cell r="G1857" t="str">
            <v>FI-Other</v>
          </cell>
          <cell r="H1857" t="str">
            <v>RATES</v>
          </cell>
          <cell r="I1857" t="str">
            <v>Convexity</v>
          </cell>
        </row>
        <row r="1858">
          <cell r="A1858" t="str">
            <v>GBP_30yr_30yr_E</v>
          </cell>
          <cell r="B1858" t="str">
            <v>GBP Tsy 30Y Avg Convexity</v>
          </cell>
          <cell r="C1858" t="str">
            <v>BRS_GOLD__2_RATES:CONVEXITY_VAR:GBP_30yr_30yr_E</v>
          </cell>
          <cell r="D1858" t="str">
            <v>Convexity</v>
          </cell>
          <cell r="E1858" t="str">
            <v>Convexity</v>
          </cell>
          <cell r="F1858" t="str">
            <v>FI-Convexity</v>
          </cell>
          <cell r="G1858" t="str">
            <v>FI-Other</v>
          </cell>
          <cell r="H1858" t="str">
            <v>RATES</v>
          </cell>
          <cell r="I1858" t="str">
            <v>Convexity</v>
          </cell>
        </row>
        <row r="1859">
          <cell r="A1859" t="str">
            <v>HKD_10yr_10yr_U</v>
          </cell>
          <cell r="B1859" t="str">
            <v>HKD Tsy 10Y Convexity</v>
          </cell>
          <cell r="C1859" t="str">
            <v>BRS_GOLD__2_RATES:CONVEXITY_VAR:HKD_10yr_10yr_U</v>
          </cell>
          <cell r="D1859" t="str">
            <v>Convexity</v>
          </cell>
          <cell r="E1859" t="str">
            <v>Convexity</v>
          </cell>
          <cell r="F1859" t="str">
            <v>FI-Convexity</v>
          </cell>
          <cell r="G1859" t="str">
            <v>FI-Other</v>
          </cell>
          <cell r="H1859" t="str">
            <v>RATES</v>
          </cell>
          <cell r="I1859" t="str">
            <v>Convexity</v>
          </cell>
        </row>
        <row r="1860">
          <cell r="A1860" t="str">
            <v>HKD_10yr_10yr_E</v>
          </cell>
          <cell r="B1860" t="str">
            <v>HKD Tsy 10Y Avg Convexity</v>
          </cell>
          <cell r="C1860" t="str">
            <v>BRS_GOLD__2_RATES:CONVEXITY_VAR:HKD_10yr_10yr_E</v>
          </cell>
          <cell r="D1860" t="str">
            <v>Convexity</v>
          </cell>
          <cell r="E1860" t="str">
            <v>Convexity</v>
          </cell>
          <cell r="F1860" t="str">
            <v>FI-Convexity</v>
          </cell>
          <cell r="G1860" t="str">
            <v>FI-Other</v>
          </cell>
          <cell r="H1860" t="str">
            <v>RATES</v>
          </cell>
          <cell r="I1860" t="str">
            <v>Convexity</v>
          </cell>
        </row>
        <row r="1861">
          <cell r="A1861" t="str">
            <v>IEP_10yr_10yr_U</v>
          </cell>
          <cell r="B1861" t="str">
            <v>IEP Tsy 10Y Convexity</v>
          </cell>
          <cell r="C1861" t="str">
            <v>BRS_GOLD__2_RATES:CONVEXITY_VAR:IEP_10yr_10yr_U</v>
          </cell>
          <cell r="D1861" t="str">
            <v>Convexity</v>
          </cell>
          <cell r="E1861" t="str">
            <v>Convexity</v>
          </cell>
          <cell r="F1861" t="str">
            <v>FI-Convexity</v>
          </cell>
          <cell r="G1861" t="str">
            <v>FI-Other</v>
          </cell>
          <cell r="H1861" t="str">
            <v>RATES</v>
          </cell>
          <cell r="I1861" t="str">
            <v>Convexity</v>
          </cell>
        </row>
        <row r="1862">
          <cell r="A1862" t="str">
            <v>IEP_10yr_10yr_E</v>
          </cell>
          <cell r="B1862" t="str">
            <v>IEP Tsy 10Y Avg Convexity</v>
          </cell>
          <cell r="C1862" t="str">
            <v>BRS_GOLD__2_RATES:CONVEXITY_VAR:IEP_10yr_10yr_E</v>
          </cell>
          <cell r="D1862" t="str">
            <v>Convexity</v>
          </cell>
          <cell r="E1862" t="str">
            <v>Convexity</v>
          </cell>
          <cell r="F1862" t="str">
            <v>FI-Convexity</v>
          </cell>
          <cell r="G1862" t="str">
            <v>FI-Other</v>
          </cell>
          <cell r="H1862" t="str">
            <v>RATES</v>
          </cell>
          <cell r="I1862" t="str">
            <v>Convexity</v>
          </cell>
        </row>
        <row r="1863">
          <cell r="A1863" t="str">
            <v>ITL_10yr_10yr_U</v>
          </cell>
          <cell r="B1863" t="str">
            <v>ITL Tsy 10Y Convexity</v>
          </cell>
          <cell r="C1863" t="str">
            <v>BRS_GOLD__2_RATES:CONVEXITY_VAR:ITL_10yr_10yr_U</v>
          </cell>
          <cell r="D1863" t="str">
            <v>Convexity</v>
          </cell>
          <cell r="E1863" t="str">
            <v>Convexity</v>
          </cell>
          <cell r="F1863" t="str">
            <v>FI-Convexity</v>
          </cell>
          <cell r="G1863" t="str">
            <v>FI-Other</v>
          </cell>
          <cell r="H1863" t="str">
            <v>RATES</v>
          </cell>
          <cell r="I1863" t="str">
            <v>Convexity</v>
          </cell>
        </row>
        <row r="1864">
          <cell r="A1864" t="str">
            <v>ITL_10yr_10yr_E</v>
          </cell>
          <cell r="B1864" t="str">
            <v>ITL Tsy 10Y Avg Convexity</v>
          </cell>
          <cell r="C1864" t="str">
            <v>BRS_GOLD__2_RATES:CONVEXITY_VAR:ITL_10yr_10yr_E</v>
          </cell>
          <cell r="D1864" t="str">
            <v>Convexity</v>
          </cell>
          <cell r="E1864" t="str">
            <v>Convexity</v>
          </cell>
          <cell r="F1864" t="str">
            <v>FI-Convexity</v>
          </cell>
          <cell r="G1864" t="str">
            <v>FI-Other</v>
          </cell>
          <cell r="H1864" t="str">
            <v>RATES</v>
          </cell>
          <cell r="I1864" t="str">
            <v>Convexity</v>
          </cell>
        </row>
        <row r="1865">
          <cell r="A1865" t="str">
            <v>JPY_2yr_2yr_U</v>
          </cell>
          <cell r="B1865" t="str">
            <v>JPY Tsy 2Y Convexity</v>
          </cell>
          <cell r="C1865" t="str">
            <v>BRS_GOLD__2_RATES:CONVEXITY_VAR:JPY_2yr_2yr_U</v>
          </cell>
          <cell r="D1865" t="str">
            <v>Convexity</v>
          </cell>
          <cell r="E1865" t="str">
            <v>Convexity</v>
          </cell>
          <cell r="F1865" t="str">
            <v>FI-Convexity</v>
          </cell>
          <cell r="G1865" t="str">
            <v>FI-Other</v>
          </cell>
          <cell r="H1865" t="str">
            <v>RATES</v>
          </cell>
          <cell r="I1865" t="str">
            <v>Convexity</v>
          </cell>
        </row>
        <row r="1866">
          <cell r="A1866" t="str">
            <v>JPY_5yr_5yr_U</v>
          </cell>
          <cell r="B1866" t="str">
            <v>JPY Tsy 5Y Convexity</v>
          </cell>
          <cell r="C1866" t="str">
            <v>BRS_GOLD__2_RATES:CONVEXITY_VAR:JPY_5yr_5yr_U</v>
          </cell>
          <cell r="D1866" t="str">
            <v>Convexity</v>
          </cell>
          <cell r="E1866" t="str">
            <v>Convexity</v>
          </cell>
          <cell r="F1866" t="str">
            <v>FI-Convexity</v>
          </cell>
          <cell r="G1866" t="str">
            <v>FI-Other</v>
          </cell>
          <cell r="H1866" t="str">
            <v>RATES</v>
          </cell>
          <cell r="I1866" t="str">
            <v>Convexity</v>
          </cell>
        </row>
        <row r="1867">
          <cell r="A1867" t="str">
            <v>JPY_10yr_10yr_U</v>
          </cell>
          <cell r="B1867" t="str">
            <v>JPY Tsy 10Y Convexity</v>
          </cell>
          <cell r="C1867" t="str">
            <v>BRS_GOLD__2_RATES:CONVEXITY_VAR:JPY_10yr_10yr_U</v>
          </cell>
          <cell r="D1867" t="str">
            <v>Convexity</v>
          </cell>
          <cell r="E1867" t="str">
            <v>Convexity</v>
          </cell>
          <cell r="F1867" t="str">
            <v>FI-Convexity</v>
          </cell>
          <cell r="G1867" t="str">
            <v>FI-Other</v>
          </cell>
          <cell r="H1867" t="str">
            <v>RATES</v>
          </cell>
          <cell r="I1867" t="str">
            <v>Convexity</v>
          </cell>
        </row>
        <row r="1868">
          <cell r="A1868" t="str">
            <v>JPY_30yr_30yr_U</v>
          </cell>
          <cell r="B1868" t="str">
            <v>JPY Tsy 30Y Convexity</v>
          </cell>
          <cell r="C1868" t="str">
            <v>BRS_GOLD__2_RATES:CONVEXITY_VAR:JPY_30yr_30yr_U</v>
          </cell>
          <cell r="D1868" t="str">
            <v>Convexity</v>
          </cell>
          <cell r="E1868" t="str">
            <v>Convexity</v>
          </cell>
          <cell r="F1868" t="str">
            <v>FI-Convexity</v>
          </cell>
          <cell r="G1868" t="str">
            <v>FI-Other</v>
          </cell>
          <cell r="H1868" t="str">
            <v>RATES</v>
          </cell>
          <cell r="I1868" t="str">
            <v>Convexity</v>
          </cell>
        </row>
        <row r="1869">
          <cell r="A1869" t="str">
            <v>JPY_2yr_2yr_E</v>
          </cell>
          <cell r="B1869" t="str">
            <v>JPY Tsy 2Y Avg Convexity</v>
          </cell>
          <cell r="C1869" t="str">
            <v>BRS_GOLD__2_RATES:CONVEXITY_VAR:JPY_2yr_2yr_E</v>
          </cell>
          <cell r="D1869" t="str">
            <v>Convexity</v>
          </cell>
          <cell r="E1869" t="str">
            <v>Convexity</v>
          </cell>
          <cell r="F1869" t="str">
            <v>FI-Convexity</v>
          </cell>
          <cell r="G1869" t="str">
            <v>FI-Other</v>
          </cell>
          <cell r="H1869" t="str">
            <v>RATES</v>
          </cell>
          <cell r="I1869" t="str">
            <v>Convexity</v>
          </cell>
        </row>
        <row r="1870">
          <cell r="A1870" t="str">
            <v>JPY_5yr_5yr_E</v>
          </cell>
          <cell r="B1870" t="str">
            <v>JPY Tsy 5Y Avg Convexity</v>
          </cell>
          <cell r="C1870" t="str">
            <v>BRS_GOLD__2_RATES:CONVEXITY_VAR:JPY_5yr_5yr_E</v>
          </cell>
          <cell r="D1870" t="str">
            <v>Convexity</v>
          </cell>
          <cell r="E1870" t="str">
            <v>Convexity</v>
          </cell>
          <cell r="F1870" t="str">
            <v>FI-Convexity</v>
          </cell>
          <cell r="G1870" t="str">
            <v>FI-Other</v>
          </cell>
          <cell r="H1870" t="str">
            <v>RATES</v>
          </cell>
          <cell r="I1870" t="str">
            <v>Convexity</v>
          </cell>
        </row>
        <row r="1871">
          <cell r="A1871" t="str">
            <v>JPY_10yr_10yr_E</v>
          </cell>
          <cell r="B1871" t="str">
            <v>JPY Tsy 10Y Avg Convexity</v>
          </cell>
          <cell r="C1871" t="str">
            <v>BRS_GOLD__2_RATES:CONVEXITY_VAR:JPY_10yr_10yr_E</v>
          </cell>
          <cell r="D1871" t="str">
            <v>Convexity</v>
          </cell>
          <cell r="E1871" t="str">
            <v>Convexity</v>
          </cell>
          <cell r="F1871" t="str">
            <v>FI-Convexity</v>
          </cell>
          <cell r="G1871" t="str">
            <v>FI-Other</v>
          </cell>
          <cell r="H1871" t="str">
            <v>RATES</v>
          </cell>
          <cell r="I1871" t="str">
            <v>Convexity</v>
          </cell>
        </row>
        <row r="1872">
          <cell r="A1872" t="str">
            <v>JPY_30yr_30yr_E</v>
          </cell>
          <cell r="B1872" t="str">
            <v>JPY Tsy 30Y Avg Convexity</v>
          </cell>
          <cell r="C1872" t="str">
            <v>BRS_GOLD__2_RATES:CONVEXITY_VAR:JPY_30yr_30yr_E</v>
          </cell>
          <cell r="D1872" t="str">
            <v>Convexity</v>
          </cell>
          <cell r="E1872" t="str">
            <v>Convexity</v>
          </cell>
          <cell r="F1872" t="str">
            <v>FI-Convexity</v>
          </cell>
          <cell r="G1872" t="str">
            <v>FI-Other</v>
          </cell>
          <cell r="H1872" t="str">
            <v>RATES</v>
          </cell>
          <cell r="I1872" t="str">
            <v>Convexity</v>
          </cell>
        </row>
        <row r="1873">
          <cell r="A1873" t="str">
            <v>MXN_10yr_10yr_U</v>
          </cell>
          <cell r="B1873" t="str">
            <v>MXN Tsy 10Y Convexity</v>
          </cell>
          <cell r="C1873" t="str">
            <v>BRS_GOLD__2_RATES:CONVEXITY_VAR:MXN_10yr_10yr_U</v>
          </cell>
          <cell r="D1873" t="str">
            <v>Convexity</v>
          </cell>
          <cell r="E1873" t="str">
            <v>Convexity</v>
          </cell>
          <cell r="F1873" t="str">
            <v>FI-Convexity</v>
          </cell>
          <cell r="G1873" t="str">
            <v>FI-Other</v>
          </cell>
          <cell r="H1873" t="str">
            <v>RATES</v>
          </cell>
          <cell r="I1873" t="str">
            <v>Convexity</v>
          </cell>
        </row>
        <row r="1874">
          <cell r="A1874" t="str">
            <v>MXN_10yr_10yr_E</v>
          </cell>
          <cell r="B1874" t="str">
            <v>MXN Tsy 10Y Avg Convexity</v>
          </cell>
          <cell r="C1874" t="str">
            <v>BRS_GOLD__2_RATES:CONVEXITY_VAR:MXN_10yr_10yr_E</v>
          </cell>
          <cell r="D1874" t="str">
            <v>Convexity</v>
          </cell>
          <cell r="E1874" t="str">
            <v>Convexity</v>
          </cell>
          <cell r="F1874" t="str">
            <v>FI-Convexity</v>
          </cell>
          <cell r="G1874" t="str">
            <v>FI-Other</v>
          </cell>
          <cell r="H1874" t="str">
            <v>RATES</v>
          </cell>
          <cell r="I1874" t="str">
            <v>Convexity</v>
          </cell>
        </row>
        <row r="1875">
          <cell r="A1875" t="str">
            <v>NLG_10yr_10yr_U</v>
          </cell>
          <cell r="B1875" t="str">
            <v>NLG Tsy 10Y Convexity</v>
          </cell>
          <cell r="C1875" t="str">
            <v>BRS_GOLD__2_RATES:CONVEXITY_VAR:NLG_10yr_10yr_U</v>
          </cell>
          <cell r="D1875" t="str">
            <v>Convexity</v>
          </cell>
          <cell r="E1875" t="str">
            <v>Convexity</v>
          </cell>
          <cell r="F1875" t="str">
            <v>FI-Convexity</v>
          </cell>
          <cell r="G1875" t="str">
            <v>FI-Other</v>
          </cell>
          <cell r="H1875" t="str">
            <v>RATES</v>
          </cell>
          <cell r="I1875" t="str">
            <v>Convexity</v>
          </cell>
        </row>
        <row r="1876">
          <cell r="A1876" t="str">
            <v>NLG_10yr_10yr_E</v>
          </cell>
          <cell r="B1876" t="str">
            <v>NLG Tsy 10Y Avg Convexity</v>
          </cell>
          <cell r="C1876" t="str">
            <v>BRS_GOLD__2_RATES:CONVEXITY_VAR:NLG_10yr_10yr_E</v>
          </cell>
          <cell r="D1876" t="str">
            <v>Convexity</v>
          </cell>
          <cell r="E1876" t="str">
            <v>Convexity</v>
          </cell>
          <cell r="F1876" t="str">
            <v>FI-Convexity</v>
          </cell>
          <cell r="G1876" t="str">
            <v>FI-Other</v>
          </cell>
          <cell r="H1876" t="str">
            <v>RATES</v>
          </cell>
          <cell r="I1876" t="str">
            <v>Convexity</v>
          </cell>
        </row>
        <row r="1877">
          <cell r="A1877" t="str">
            <v>NZD_10yr_10yr_U</v>
          </cell>
          <cell r="B1877" t="str">
            <v>NZD Tsy 10Y Convexity</v>
          </cell>
          <cell r="C1877" t="str">
            <v>BRS_GOLD__2_RATES:CONVEXITY_VAR:NZD_10yr_10yr_U</v>
          </cell>
          <cell r="D1877" t="str">
            <v>Convexity</v>
          </cell>
          <cell r="E1877" t="str">
            <v>Convexity</v>
          </cell>
          <cell r="F1877" t="str">
            <v>FI-Convexity</v>
          </cell>
          <cell r="G1877" t="str">
            <v>FI-Other</v>
          </cell>
          <cell r="H1877" t="str">
            <v>RATES</v>
          </cell>
          <cell r="I1877" t="str">
            <v>Convexity</v>
          </cell>
        </row>
        <row r="1878">
          <cell r="A1878" t="str">
            <v>NZD_10yr_10yr_E</v>
          </cell>
          <cell r="B1878" t="str">
            <v>NZD Tsy 10Y Avg Convexity</v>
          </cell>
          <cell r="C1878" t="str">
            <v>BRS_GOLD__2_RATES:CONVEXITY_VAR:NZD_10yr_10yr_E</v>
          </cell>
          <cell r="D1878" t="str">
            <v>Convexity</v>
          </cell>
          <cell r="E1878" t="str">
            <v>Convexity</v>
          </cell>
          <cell r="F1878" t="str">
            <v>FI-Convexity</v>
          </cell>
          <cell r="G1878" t="str">
            <v>FI-Other</v>
          </cell>
          <cell r="H1878" t="str">
            <v>RATES</v>
          </cell>
          <cell r="I1878" t="str">
            <v>Convexity</v>
          </cell>
        </row>
        <row r="1879">
          <cell r="A1879" t="str">
            <v>PTE_10yr_10yr_U</v>
          </cell>
          <cell r="B1879" t="str">
            <v>PTE Tsy 10Y Convexity</v>
          </cell>
          <cell r="C1879" t="str">
            <v>BRS_GOLD__2_RATES:CONVEXITY_VAR:PTE_10yr_10yr_U</v>
          </cell>
          <cell r="D1879" t="str">
            <v>Convexity</v>
          </cell>
          <cell r="E1879" t="str">
            <v>Convexity</v>
          </cell>
          <cell r="F1879" t="str">
            <v>FI-Convexity</v>
          </cell>
          <cell r="G1879" t="str">
            <v>FI-Other</v>
          </cell>
          <cell r="H1879" t="str">
            <v>RATES</v>
          </cell>
          <cell r="I1879" t="str">
            <v>Convexity</v>
          </cell>
        </row>
        <row r="1880">
          <cell r="A1880" t="str">
            <v>PTE_10yr_10yr_E</v>
          </cell>
          <cell r="B1880" t="str">
            <v>PTE Tsy 10Y Avg Convexity</v>
          </cell>
          <cell r="C1880" t="str">
            <v>BRS_GOLD__2_RATES:CONVEXITY_VAR:PTE_10yr_10yr_E</v>
          </cell>
          <cell r="D1880" t="str">
            <v>Convexity</v>
          </cell>
          <cell r="E1880" t="str">
            <v>Convexity</v>
          </cell>
          <cell r="F1880" t="str">
            <v>FI-Convexity</v>
          </cell>
          <cell r="G1880" t="str">
            <v>FI-Other</v>
          </cell>
          <cell r="H1880" t="str">
            <v>RATES</v>
          </cell>
          <cell r="I1880" t="str">
            <v>Convexity</v>
          </cell>
        </row>
        <row r="1881">
          <cell r="A1881" t="str">
            <v>SEK_10yr_10yr_U</v>
          </cell>
          <cell r="B1881" t="str">
            <v>SEK Tsy 10Y Convexity</v>
          </cell>
          <cell r="C1881" t="str">
            <v>BRS_GOLD__2_RATES:CONVEXITY_VAR:SEK_10yr_10yr_U</v>
          </cell>
          <cell r="D1881" t="str">
            <v>Convexity</v>
          </cell>
          <cell r="E1881" t="str">
            <v>Convexity</v>
          </cell>
          <cell r="F1881" t="str">
            <v>FI-Convexity</v>
          </cell>
          <cell r="G1881" t="str">
            <v>FI-Other</v>
          </cell>
          <cell r="H1881" t="str">
            <v>RATES</v>
          </cell>
          <cell r="I1881" t="str">
            <v>Convexity</v>
          </cell>
        </row>
        <row r="1882">
          <cell r="A1882" t="str">
            <v>SEK_10yr_10yr_E</v>
          </cell>
          <cell r="B1882" t="str">
            <v>SEK Tsy 10Y Avg Convexity</v>
          </cell>
          <cell r="C1882" t="str">
            <v>BRS_GOLD__2_RATES:CONVEXITY_VAR:SEK_10yr_10yr_E</v>
          </cell>
          <cell r="D1882" t="str">
            <v>Convexity</v>
          </cell>
          <cell r="E1882" t="str">
            <v>Convexity</v>
          </cell>
          <cell r="F1882" t="str">
            <v>FI-Convexity</v>
          </cell>
          <cell r="G1882" t="str">
            <v>FI-Other</v>
          </cell>
          <cell r="H1882" t="str">
            <v>RATES</v>
          </cell>
          <cell r="I1882" t="str">
            <v>Convexity</v>
          </cell>
        </row>
        <row r="1883">
          <cell r="A1883" t="str">
            <v>SGD_10yr_10yr_U</v>
          </cell>
          <cell r="B1883" t="str">
            <v>SGD Tsy 10Y Convexity</v>
          </cell>
          <cell r="C1883" t="str">
            <v>BRS_GOLD__2_RATES:CONVEXITY_VAR:SGD_10yr_10yr_U</v>
          </cell>
          <cell r="D1883" t="str">
            <v>Convexity</v>
          </cell>
          <cell r="E1883" t="str">
            <v>Convexity</v>
          </cell>
          <cell r="F1883" t="str">
            <v>FI-Convexity</v>
          </cell>
          <cell r="G1883" t="str">
            <v>FI-Other</v>
          </cell>
          <cell r="H1883" t="str">
            <v>RATES</v>
          </cell>
          <cell r="I1883" t="str">
            <v>Convexity</v>
          </cell>
        </row>
        <row r="1884">
          <cell r="A1884" t="str">
            <v>SGD_10yr_10yr_E</v>
          </cell>
          <cell r="B1884" t="str">
            <v>SGD Tsy 10Y Avg Convexity</v>
          </cell>
          <cell r="C1884" t="str">
            <v>BRS_GOLD__2_RATES:CONVEXITY_VAR:SGD_10yr_10yr_E</v>
          </cell>
          <cell r="D1884" t="str">
            <v>Convexity</v>
          </cell>
          <cell r="E1884" t="str">
            <v>Convexity</v>
          </cell>
          <cell r="F1884" t="str">
            <v>FI-Convexity</v>
          </cell>
          <cell r="G1884" t="str">
            <v>FI-Other</v>
          </cell>
          <cell r="H1884" t="str">
            <v>RATES</v>
          </cell>
          <cell r="I1884" t="str">
            <v>Convexity</v>
          </cell>
        </row>
        <row r="1885">
          <cell r="A1885" t="str">
            <v>ALL_10yr_10yr_U</v>
          </cell>
          <cell r="B1885" t="str">
            <v>ALL Tsy 10Y Convexity</v>
          </cell>
          <cell r="C1885" t="str">
            <v>BRS_GOLD__2_RATES:CONVEXITY_VAR:ALL_10yr_10yr_U</v>
          </cell>
          <cell r="D1885" t="str">
            <v>Convexity</v>
          </cell>
          <cell r="E1885" t="str">
            <v>Convexity</v>
          </cell>
          <cell r="F1885" t="str">
            <v>FI-Convexity</v>
          </cell>
          <cell r="G1885" t="str">
            <v>FI-Other</v>
          </cell>
          <cell r="H1885" t="str">
            <v>RATES</v>
          </cell>
          <cell r="I1885" t="str">
            <v>Convexity</v>
          </cell>
        </row>
        <row r="1886">
          <cell r="A1886" t="str">
            <v>ALL_10yr_10yr_E</v>
          </cell>
          <cell r="B1886" t="str">
            <v>ALL Tsy 10Y Avg Convexity</v>
          </cell>
          <cell r="C1886" t="str">
            <v>BRS_GOLD__2_RATES:CONVEXITY_VAR:ALL_10yr_10yr_E</v>
          </cell>
          <cell r="D1886" t="str">
            <v>Convexity</v>
          </cell>
          <cell r="E1886" t="str">
            <v>Convexity</v>
          </cell>
          <cell r="F1886" t="str">
            <v>FI-Convexity</v>
          </cell>
          <cell r="G1886" t="str">
            <v>FI-Other</v>
          </cell>
          <cell r="H1886" t="str">
            <v>RATES</v>
          </cell>
          <cell r="I1886" t="str">
            <v>Convexity</v>
          </cell>
        </row>
        <row r="1887">
          <cell r="A1887" t="str">
            <v>NOK_10yr_10yr_U</v>
          </cell>
          <cell r="B1887" t="str">
            <v>NOK Tsy 10Y Convexity</v>
          </cell>
          <cell r="C1887" t="str">
            <v>BRS_GOLD__2_RATES:CONVEXITY_VAR:NOK_10yr_10yr_U</v>
          </cell>
          <cell r="D1887" t="str">
            <v>Convexity</v>
          </cell>
          <cell r="E1887" t="str">
            <v>Convexity</v>
          </cell>
          <cell r="F1887" t="str">
            <v>FI-Convexity</v>
          </cell>
          <cell r="G1887" t="str">
            <v>FI-Other</v>
          </cell>
          <cell r="H1887" t="str">
            <v>RATES</v>
          </cell>
          <cell r="I1887" t="str">
            <v>Convexity</v>
          </cell>
        </row>
        <row r="1888">
          <cell r="A1888" t="str">
            <v>NOK_10yr_10yr_E</v>
          </cell>
          <cell r="B1888" t="str">
            <v>NOK Tsy 10Y Avg Convexity</v>
          </cell>
          <cell r="C1888" t="str">
            <v>BRS_GOLD__2_RATES:CONVEXITY_VAR:NOK_10yr_10yr_E</v>
          </cell>
          <cell r="D1888" t="str">
            <v>Convexity</v>
          </cell>
          <cell r="E1888" t="str">
            <v>Convexity</v>
          </cell>
          <cell r="F1888" t="str">
            <v>FI-Convexity</v>
          </cell>
          <cell r="G1888" t="str">
            <v>FI-Other</v>
          </cell>
          <cell r="H1888" t="str">
            <v>RATES</v>
          </cell>
          <cell r="I1888" t="str">
            <v>Convexity</v>
          </cell>
        </row>
        <row r="1889">
          <cell r="A1889" t="str">
            <v>MXV_10yr_10yr_U</v>
          </cell>
          <cell r="B1889" t="str">
            <v>MXV Tsy 10Y Convexity</v>
          </cell>
          <cell r="C1889" t="str">
            <v>BRS_GOLD__2_RATES:CONVEXITY_VAR:MXV_10yr_10yr_U</v>
          </cell>
          <cell r="D1889" t="str">
            <v>Convexity</v>
          </cell>
          <cell r="E1889" t="str">
            <v>Convexity</v>
          </cell>
          <cell r="F1889" t="str">
            <v>FI-Convexity</v>
          </cell>
          <cell r="G1889" t="str">
            <v>FI-Other</v>
          </cell>
          <cell r="H1889" t="str">
            <v>RATES</v>
          </cell>
          <cell r="I1889" t="str">
            <v>Convexity</v>
          </cell>
        </row>
        <row r="1890">
          <cell r="A1890" t="str">
            <v>MXV_10yr_10yr_E</v>
          </cell>
          <cell r="B1890" t="str">
            <v>MXV Tsy 10Y Avg Convexity</v>
          </cell>
          <cell r="C1890" t="str">
            <v>BRS_GOLD__2_RATES:CONVEXITY_VAR:MXV_10yr_10yr_E</v>
          </cell>
          <cell r="D1890" t="str">
            <v>Convexity</v>
          </cell>
          <cell r="E1890" t="str">
            <v>Convexity</v>
          </cell>
          <cell r="F1890" t="str">
            <v>FI-Convexity</v>
          </cell>
          <cell r="G1890" t="str">
            <v>FI-Other</v>
          </cell>
          <cell r="H1890" t="str">
            <v>RATES</v>
          </cell>
          <cell r="I1890" t="str">
            <v>Convexity</v>
          </cell>
        </row>
        <row r="1891">
          <cell r="A1891" t="str">
            <v>JPY_3m</v>
          </cell>
          <cell r="B1891" t="str">
            <v>JPY 3M</v>
          </cell>
          <cell r="C1891" t="str">
            <v>BRS_GOLD__2_RATES:BRS_GOLD__1_JPYIR:JPY_3m</v>
          </cell>
          <cell r="D1891" t="str">
            <v>KRD</v>
          </cell>
          <cell r="E1891" t="str">
            <v>Yield</v>
          </cell>
          <cell r="F1891" t="str">
            <v>FI-Govt Developed Other (AU, GB, JP, ...)</v>
          </cell>
          <cell r="G1891" t="str">
            <v>FI-Other</v>
          </cell>
          <cell r="H1891" t="str">
            <v>RATES</v>
          </cell>
          <cell r="I1891" t="str">
            <v>Govt Developed Other (AU, GB, JP, ...)</v>
          </cell>
        </row>
        <row r="1892">
          <cell r="A1892" t="str">
            <v>JPY_1yr</v>
          </cell>
          <cell r="B1892" t="str">
            <v>JPY 1Y</v>
          </cell>
          <cell r="C1892" t="str">
            <v>BRS_GOLD__2_RATES:BRS_GOLD__1_JPYIR:JPY_1yr</v>
          </cell>
          <cell r="D1892" t="str">
            <v>KRD</v>
          </cell>
          <cell r="E1892" t="str">
            <v>Yield</v>
          </cell>
          <cell r="F1892" t="str">
            <v>FI-Govt Developed Other (AU, GB, JP, ...)</v>
          </cell>
          <cell r="G1892" t="str">
            <v>FI-Other</v>
          </cell>
          <cell r="H1892" t="str">
            <v>RATES</v>
          </cell>
          <cell r="I1892" t="str">
            <v>Govt Developed Other (AU, GB, JP, ...)</v>
          </cell>
        </row>
        <row r="1893">
          <cell r="A1893" t="str">
            <v>JPY_2yr</v>
          </cell>
          <cell r="B1893" t="str">
            <v>JPY 2Y</v>
          </cell>
          <cell r="C1893" t="str">
            <v>BRS_GOLD__2_RATES:BRS_GOLD__1_JPYIR:JPY_2yr</v>
          </cell>
          <cell r="D1893" t="str">
            <v>KRD</v>
          </cell>
          <cell r="E1893" t="str">
            <v>Yield</v>
          </cell>
          <cell r="F1893" t="str">
            <v>FI-Govt Developed Other (AU, GB, JP, ...)</v>
          </cell>
          <cell r="G1893" t="str">
            <v>FI-Other</v>
          </cell>
          <cell r="H1893" t="str">
            <v>RATES</v>
          </cell>
          <cell r="I1893" t="str">
            <v>Govt Developed Other (AU, GB, JP, ...)</v>
          </cell>
        </row>
        <row r="1894">
          <cell r="A1894" t="str">
            <v>JPY_3yr</v>
          </cell>
          <cell r="B1894" t="str">
            <v>JPY 3Y</v>
          </cell>
          <cell r="C1894" t="str">
            <v>BRS_GOLD__2_RATES:BRS_GOLD__1_JPYIR:JPY_3yr</v>
          </cell>
          <cell r="D1894" t="str">
            <v>KRD</v>
          </cell>
          <cell r="E1894" t="str">
            <v>Yield</v>
          </cell>
          <cell r="F1894" t="str">
            <v>FI-Govt Developed Other (AU, GB, JP, ...)</v>
          </cell>
          <cell r="G1894" t="str">
            <v>FI-Other</v>
          </cell>
          <cell r="H1894" t="str">
            <v>RATES</v>
          </cell>
          <cell r="I1894" t="str">
            <v>Govt Developed Other (AU, GB, JP, ...)</v>
          </cell>
        </row>
        <row r="1895">
          <cell r="A1895" t="str">
            <v>JPY_5yr</v>
          </cell>
          <cell r="B1895" t="str">
            <v>JPY 5Y</v>
          </cell>
          <cell r="C1895" t="str">
            <v>BRS_GOLD__2_RATES:BRS_GOLD__1_JPYIR:JPY_5yr</v>
          </cell>
          <cell r="D1895" t="str">
            <v>KRD</v>
          </cell>
          <cell r="E1895" t="str">
            <v>Yield</v>
          </cell>
          <cell r="F1895" t="str">
            <v>FI-Govt Developed Other (AU, GB, JP, ...)</v>
          </cell>
          <cell r="G1895" t="str">
            <v>FI-Other</v>
          </cell>
          <cell r="H1895" t="str">
            <v>RATES</v>
          </cell>
          <cell r="I1895" t="str">
            <v>Govt Developed Other (AU, GB, JP, ...)</v>
          </cell>
        </row>
        <row r="1896">
          <cell r="A1896" t="str">
            <v>JPY_7yr</v>
          </cell>
          <cell r="B1896" t="str">
            <v>JPY 7Y</v>
          </cell>
          <cell r="C1896" t="str">
            <v>BRS_GOLD__2_RATES:BRS_GOLD__1_JPYIR:JPY_7yr</v>
          </cell>
          <cell r="D1896" t="str">
            <v>KRD</v>
          </cell>
          <cell r="E1896" t="str">
            <v>Yield</v>
          </cell>
          <cell r="F1896" t="str">
            <v>FI-Govt Developed Other (AU, GB, JP, ...)</v>
          </cell>
          <cell r="G1896" t="str">
            <v>FI-Other</v>
          </cell>
          <cell r="H1896" t="str">
            <v>RATES</v>
          </cell>
          <cell r="I1896" t="str">
            <v>Govt Developed Other (AU, GB, JP, ...)</v>
          </cell>
        </row>
        <row r="1897">
          <cell r="A1897" t="str">
            <v>JPY_10yr</v>
          </cell>
          <cell r="B1897" t="str">
            <v>JPY 10Y</v>
          </cell>
          <cell r="C1897" t="str">
            <v>BRS_GOLD__2_RATES:BRS_GOLD__1_JPYIR:JPY_10yr</v>
          </cell>
          <cell r="D1897" t="str">
            <v>KRD</v>
          </cell>
          <cell r="E1897" t="str">
            <v>Yield</v>
          </cell>
          <cell r="F1897" t="str">
            <v>FI-Govt Developed Other (AU, GB, JP, ...)</v>
          </cell>
          <cell r="G1897" t="str">
            <v>FI-Other</v>
          </cell>
          <cell r="H1897" t="str">
            <v>RATES</v>
          </cell>
          <cell r="I1897" t="str">
            <v>Govt Developed Other (AU, GB, JP, ...)</v>
          </cell>
        </row>
        <row r="1898">
          <cell r="A1898" t="str">
            <v>JPY_15yr</v>
          </cell>
          <cell r="B1898" t="str">
            <v>JPY 15Y</v>
          </cell>
          <cell r="C1898" t="str">
            <v>BRS_GOLD__2_RATES:BRS_GOLD__1_JPYIR:JPY_15yr</v>
          </cell>
          <cell r="D1898" t="str">
            <v>KRD</v>
          </cell>
          <cell r="E1898" t="str">
            <v>Yield</v>
          </cell>
          <cell r="F1898" t="str">
            <v>FI-Govt Developed Other (AU, GB, JP, ...)</v>
          </cell>
          <cell r="G1898" t="str">
            <v>FI-Other</v>
          </cell>
          <cell r="H1898" t="str">
            <v>RATES</v>
          </cell>
          <cell r="I1898" t="str">
            <v>Govt Developed Other (AU, GB, JP, ...)</v>
          </cell>
        </row>
        <row r="1899">
          <cell r="A1899" t="str">
            <v>JPY_20yr</v>
          </cell>
          <cell r="B1899" t="str">
            <v>JPY 20Y</v>
          </cell>
          <cell r="C1899" t="str">
            <v>BRS_GOLD__2_RATES:BRS_GOLD__1_JPYIR:JPY_20yr</v>
          </cell>
          <cell r="D1899" t="str">
            <v>KRD</v>
          </cell>
          <cell r="E1899" t="str">
            <v>Yield</v>
          </cell>
          <cell r="F1899" t="str">
            <v>FI-Govt Developed Other (AU, GB, JP, ...)</v>
          </cell>
          <cell r="G1899" t="str">
            <v>FI-Other</v>
          </cell>
          <cell r="H1899" t="str">
            <v>RATES</v>
          </cell>
          <cell r="I1899" t="str">
            <v>Govt Developed Other (AU, GB, JP, ...)</v>
          </cell>
        </row>
        <row r="1900">
          <cell r="A1900" t="str">
            <v>JPY_25yr</v>
          </cell>
          <cell r="B1900" t="str">
            <v>JPY 25Y</v>
          </cell>
          <cell r="C1900" t="str">
            <v>BRS_GOLD__2_RATES:BRS_GOLD__1_JPYIR:JPY_25yr</v>
          </cell>
          <cell r="D1900" t="str">
            <v>KRD</v>
          </cell>
          <cell r="E1900" t="str">
            <v>Yield</v>
          </cell>
          <cell r="F1900" t="str">
            <v>FI-Govt Developed Other (AU, GB, JP, ...)</v>
          </cell>
          <cell r="G1900" t="str">
            <v>FI-Other</v>
          </cell>
          <cell r="H1900" t="str">
            <v>RATES</v>
          </cell>
          <cell r="I1900" t="str">
            <v>Govt Developed Other (AU, GB, JP, ...)</v>
          </cell>
        </row>
        <row r="1901">
          <cell r="A1901" t="str">
            <v>JPY_30yr</v>
          </cell>
          <cell r="B1901" t="str">
            <v>JPY 30Y</v>
          </cell>
          <cell r="C1901" t="str">
            <v>BRS_GOLD__2_RATES:BRS_GOLD__1_JPYIR:JPY_30yr</v>
          </cell>
          <cell r="D1901" t="str">
            <v>KRD</v>
          </cell>
          <cell r="E1901" t="str">
            <v>Yield</v>
          </cell>
          <cell r="F1901" t="str">
            <v>FI-Govt Developed Other (AU, GB, JP, ...)</v>
          </cell>
          <cell r="G1901" t="str">
            <v>FI-Other</v>
          </cell>
          <cell r="H1901" t="str">
            <v>RATES</v>
          </cell>
          <cell r="I1901" t="str">
            <v>Govt Developed Other (AU, GB, JP, ...)</v>
          </cell>
        </row>
        <row r="1902">
          <cell r="A1902" t="str">
            <v>JPY_40yr</v>
          </cell>
          <cell r="B1902" t="str">
            <v>JPY 40Y</v>
          </cell>
          <cell r="C1902" t="str">
            <v>-BRS_GOLD_1:JPY_40yr</v>
          </cell>
          <cell r="D1902" t="str">
            <v>KRD</v>
          </cell>
          <cell r="E1902" t="str">
            <v>Yield</v>
          </cell>
          <cell r="F1902" t="str">
            <v>FI-Govt Developed Other (AU, GB, JP, ...)</v>
          </cell>
          <cell r="G1902" t="str">
            <v>FI-Other</v>
          </cell>
          <cell r="H1902" t="str">
            <v>RATES</v>
          </cell>
          <cell r="I1902" t="str">
            <v>Govt Developed Other (AU, GB, JP, ...)</v>
          </cell>
        </row>
        <row r="1903">
          <cell r="A1903" t="str">
            <v>JPY_50yr</v>
          </cell>
          <cell r="B1903" t="str">
            <v>JPY 50Y</v>
          </cell>
          <cell r="C1903" t="str">
            <v>-BRS_GOLD_1:JPY_50yr</v>
          </cell>
          <cell r="D1903" t="str">
            <v>KRD</v>
          </cell>
          <cell r="E1903" t="str">
            <v>Yield</v>
          </cell>
          <cell r="F1903" t="str">
            <v>FI-Govt Developed Other (AU, GB, JP, ...)</v>
          </cell>
          <cell r="G1903" t="str">
            <v>FI-Other</v>
          </cell>
          <cell r="H1903" t="str">
            <v>RATES</v>
          </cell>
          <cell r="I1903" t="str">
            <v>Govt Developed Other (AU, GB, JP, ...)</v>
          </cell>
        </row>
        <row r="1904">
          <cell r="A1904" t="str">
            <v>GBP_3m</v>
          </cell>
          <cell r="B1904" t="str">
            <v>GBP 3M</v>
          </cell>
          <cell r="C1904" t="str">
            <v>BRS_GOLD__2_RATES:BRS_GOLD__1_GBPIR:GBP_3m</v>
          </cell>
          <cell r="D1904" t="str">
            <v>KRD</v>
          </cell>
          <cell r="E1904" t="str">
            <v>Yield</v>
          </cell>
          <cell r="F1904" t="str">
            <v>FI-Govt Developed Other (AU, GB, JP, ...)</v>
          </cell>
          <cell r="G1904" t="str">
            <v>FI-Other</v>
          </cell>
          <cell r="H1904" t="str">
            <v>RATES</v>
          </cell>
          <cell r="I1904" t="str">
            <v>Govt Developed Other (AU, GB, JP, ...)</v>
          </cell>
        </row>
        <row r="1905">
          <cell r="A1905" t="str">
            <v>GBP_1yr</v>
          </cell>
          <cell r="B1905" t="str">
            <v>GBP 1Y</v>
          </cell>
          <cell r="C1905" t="str">
            <v>BRS_GOLD__2_RATES:BRS_GOLD__1_GBPIR:GBP_1yr</v>
          </cell>
          <cell r="D1905" t="str">
            <v>KRD</v>
          </cell>
          <cell r="E1905" t="str">
            <v>Yield</v>
          </cell>
          <cell r="F1905" t="str">
            <v>FI-Govt Developed Other (AU, GB, JP, ...)</v>
          </cell>
          <cell r="G1905" t="str">
            <v>FI-Other</v>
          </cell>
          <cell r="H1905" t="str">
            <v>RATES</v>
          </cell>
          <cell r="I1905" t="str">
            <v>Govt Developed Other (AU, GB, JP, ...)</v>
          </cell>
        </row>
        <row r="1906">
          <cell r="A1906" t="str">
            <v>GBP_2yr</v>
          </cell>
          <cell r="B1906" t="str">
            <v>GBP 2Y</v>
          </cell>
          <cell r="C1906" t="str">
            <v>BRS_GOLD__2_RATES:BRS_GOLD__1_GBPIR:GBP_2yr</v>
          </cell>
          <cell r="D1906" t="str">
            <v>KRD</v>
          </cell>
          <cell r="E1906" t="str">
            <v>Yield</v>
          </cell>
          <cell r="F1906" t="str">
            <v>FI-Govt Developed Other (AU, GB, JP, ...)</v>
          </cell>
          <cell r="G1906" t="str">
            <v>FI-Other</v>
          </cell>
          <cell r="H1906" t="str">
            <v>RATES</v>
          </cell>
          <cell r="I1906" t="str">
            <v>Govt Developed Other (AU, GB, JP, ...)</v>
          </cell>
        </row>
        <row r="1907">
          <cell r="A1907" t="str">
            <v>GBP_3yr</v>
          </cell>
          <cell r="B1907" t="str">
            <v>GBP 3Y</v>
          </cell>
          <cell r="C1907" t="str">
            <v>BRS_GOLD__2_RATES:BRS_GOLD__1_GBPIR:GBP_3yr</v>
          </cell>
          <cell r="D1907" t="str">
            <v>KRD</v>
          </cell>
          <cell r="E1907" t="str">
            <v>Yield</v>
          </cell>
          <cell r="F1907" t="str">
            <v>FI-Govt Developed Other (AU, GB, JP, ...)</v>
          </cell>
          <cell r="G1907" t="str">
            <v>FI-Other</v>
          </cell>
          <cell r="H1907" t="str">
            <v>RATES</v>
          </cell>
          <cell r="I1907" t="str">
            <v>Govt Developed Other (AU, GB, JP, ...)</v>
          </cell>
        </row>
        <row r="1908">
          <cell r="A1908" t="str">
            <v>GBP_5yr</v>
          </cell>
          <cell r="B1908" t="str">
            <v>GBP 5Y</v>
          </cell>
          <cell r="C1908" t="str">
            <v>BRS_GOLD__2_RATES:BRS_GOLD__1_GBPIR:GBP_5yr</v>
          </cell>
          <cell r="D1908" t="str">
            <v>KRD</v>
          </cell>
          <cell r="E1908" t="str">
            <v>Yield</v>
          </cell>
          <cell r="F1908" t="str">
            <v>FI-Govt Developed Other (AU, GB, JP, ...)</v>
          </cell>
          <cell r="G1908" t="str">
            <v>FI-Other</v>
          </cell>
          <cell r="H1908" t="str">
            <v>RATES</v>
          </cell>
          <cell r="I1908" t="str">
            <v>Govt Developed Other (AU, GB, JP, ...)</v>
          </cell>
        </row>
        <row r="1909">
          <cell r="A1909" t="str">
            <v>GBP_7yr</v>
          </cell>
          <cell r="B1909" t="str">
            <v>GBP 7Y</v>
          </cell>
          <cell r="C1909" t="str">
            <v>BRS_GOLD__2_RATES:BRS_GOLD__1_GBPIR:GBP_7yr</v>
          </cell>
          <cell r="D1909" t="str">
            <v>KRD</v>
          </cell>
          <cell r="E1909" t="str">
            <v>Yield</v>
          </cell>
          <cell r="F1909" t="str">
            <v>FI-Govt Developed Other (AU, GB, JP, ...)</v>
          </cell>
          <cell r="G1909" t="str">
            <v>FI-Other</v>
          </cell>
          <cell r="H1909" t="str">
            <v>RATES</v>
          </cell>
          <cell r="I1909" t="str">
            <v>Govt Developed Other (AU, GB, JP, ...)</v>
          </cell>
        </row>
        <row r="1910">
          <cell r="A1910" t="str">
            <v>GBP_10yr</v>
          </cell>
          <cell r="B1910" t="str">
            <v>GBP 10Y</v>
          </cell>
          <cell r="C1910" t="str">
            <v>BRS_GOLD__2_RATES:BRS_GOLD__1_GBPIR:GBP_10yr</v>
          </cell>
          <cell r="D1910" t="str">
            <v>KRD</v>
          </cell>
          <cell r="E1910" t="str">
            <v>Yield</v>
          </cell>
          <cell r="F1910" t="str">
            <v>FI-Govt Developed Other (AU, GB, JP, ...)</v>
          </cell>
          <cell r="G1910" t="str">
            <v>FI-Other</v>
          </cell>
          <cell r="H1910" t="str">
            <v>RATES</v>
          </cell>
          <cell r="I1910" t="str">
            <v>Govt Developed Other (AU, GB, JP, ...)</v>
          </cell>
        </row>
        <row r="1911">
          <cell r="A1911" t="str">
            <v>GBP_15yr</v>
          </cell>
          <cell r="B1911" t="str">
            <v>GBP 15Y</v>
          </cell>
          <cell r="C1911" t="str">
            <v>BRS_GOLD__2_RATES:BRS_GOLD__1_GBPIR:GBP_15yr</v>
          </cell>
          <cell r="D1911" t="str">
            <v>KRD</v>
          </cell>
          <cell r="E1911" t="str">
            <v>Yield</v>
          </cell>
          <cell r="F1911" t="str">
            <v>FI-Govt Developed Other (AU, GB, JP, ...)</v>
          </cell>
          <cell r="G1911" t="str">
            <v>FI-Other</v>
          </cell>
          <cell r="H1911" t="str">
            <v>RATES</v>
          </cell>
          <cell r="I1911" t="str">
            <v>Govt Developed Other (AU, GB, JP, ...)</v>
          </cell>
        </row>
        <row r="1912">
          <cell r="A1912" t="str">
            <v>GBP_20yr</v>
          </cell>
          <cell r="B1912" t="str">
            <v>GBP 20Y</v>
          </cell>
          <cell r="C1912" t="str">
            <v>BRS_GOLD__2_RATES:BRS_GOLD__1_GBPIR:GBP_20yr</v>
          </cell>
          <cell r="D1912" t="str">
            <v>KRD</v>
          </cell>
          <cell r="E1912" t="str">
            <v>Yield</v>
          </cell>
          <cell r="F1912" t="str">
            <v>FI-Govt Developed Other (AU, GB, JP, ...)</v>
          </cell>
          <cell r="G1912" t="str">
            <v>FI-Other</v>
          </cell>
          <cell r="H1912" t="str">
            <v>RATES</v>
          </cell>
          <cell r="I1912" t="str">
            <v>Govt Developed Other (AU, GB, JP, ...)</v>
          </cell>
        </row>
        <row r="1913">
          <cell r="A1913" t="str">
            <v>GBP_25yr</v>
          </cell>
          <cell r="B1913" t="str">
            <v>GBP 25Y</v>
          </cell>
          <cell r="C1913" t="str">
            <v>BRS_GOLD__2_RATES:BRS_GOLD__1_GBPIR:GBP_25yr</v>
          </cell>
          <cell r="D1913" t="str">
            <v>KRD</v>
          </cell>
          <cell r="E1913" t="str">
            <v>Yield</v>
          </cell>
          <cell r="F1913" t="str">
            <v>FI-Govt Developed Other (AU, GB, JP, ...)</v>
          </cell>
          <cell r="G1913" t="str">
            <v>FI-Other</v>
          </cell>
          <cell r="H1913" t="str">
            <v>RATES</v>
          </cell>
          <cell r="I1913" t="str">
            <v>Govt Developed Other (AU, GB, JP, ...)</v>
          </cell>
        </row>
        <row r="1914">
          <cell r="A1914" t="str">
            <v>GBP_30yr</v>
          </cell>
          <cell r="B1914" t="str">
            <v>GBP 30Y</v>
          </cell>
          <cell r="C1914" t="str">
            <v>BRS_GOLD__2_RATES:BRS_GOLD__1_GBPIR:GBP_30yr</v>
          </cell>
          <cell r="D1914" t="str">
            <v>KRD</v>
          </cell>
          <cell r="E1914" t="str">
            <v>Yield</v>
          </cell>
          <cell r="F1914" t="str">
            <v>FI-Govt Developed Other (AU, GB, JP, ...)</v>
          </cell>
          <cell r="G1914" t="str">
            <v>FI-Other</v>
          </cell>
          <cell r="H1914" t="str">
            <v>RATES</v>
          </cell>
          <cell r="I1914" t="str">
            <v>Govt Developed Other (AU, GB, JP, ...)</v>
          </cell>
        </row>
        <row r="1915">
          <cell r="A1915" t="str">
            <v>GBP_40yr</v>
          </cell>
          <cell r="B1915" t="str">
            <v>GBP 40Y</v>
          </cell>
          <cell r="C1915" t="str">
            <v>BRS_GOLD__2_RATES:BRS_GOLD__1_GBPIR:GBP_40yr</v>
          </cell>
          <cell r="D1915" t="str">
            <v>KRD</v>
          </cell>
          <cell r="E1915" t="str">
            <v>Yield</v>
          </cell>
          <cell r="F1915" t="str">
            <v>FI-Govt Developed Other (AU, GB, JP, ...)</v>
          </cell>
          <cell r="G1915" t="str">
            <v>FI-Other</v>
          </cell>
          <cell r="H1915" t="str">
            <v>RATES</v>
          </cell>
          <cell r="I1915" t="str">
            <v>Govt Developed Other (AU, GB, JP, ...)</v>
          </cell>
        </row>
        <row r="1916">
          <cell r="A1916" t="str">
            <v>GBP_50yr</v>
          </cell>
          <cell r="B1916" t="str">
            <v>GBP 50Y</v>
          </cell>
          <cell r="C1916" t="str">
            <v>BRS_GOLD__2_RATES:BRS_GOLD__1_GBPIR:GBP_50yr</v>
          </cell>
          <cell r="D1916" t="str">
            <v>KRD</v>
          </cell>
          <cell r="E1916" t="str">
            <v>Yield</v>
          </cell>
          <cell r="F1916" t="str">
            <v>FI-Govt Developed Other (AU, GB, JP, ...)</v>
          </cell>
          <cell r="G1916" t="str">
            <v>FI-Other</v>
          </cell>
          <cell r="H1916" t="str">
            <v>RATES</v>
          </cell>
          <cell r="I1916" t="str">
            <v>Govt Developed Other (AU, GB, JP, ...)</v>
          </cell>
        </row>
        <row r="1917">
          <cell r="A1917" t="str">
            <v>AUD_3m</v>
          </cell>
          <cell r="B1917" t="str">
            <v>AUD 3M</v>
          </cell>
          <cell r="C1917" t="str">
            <v>BRS_GOLD__2_RATES:BRS_GOLD__1_AUDIR:AUD_3m</v>
          </cell>
          <cell r="D1917" t="str">
            <v>KRD</v>
          </cell>
          <cell r="E1917" t="str">
            <v>Yield</v>
          </cell>
          <cell r="F1917" t="str">
            <v>FI-Govt Developed Other (AU, GB, JP, ...)</v>
          </cell>
          <cell r="G1917" t="str">
            <v>FI-Other</v>
          </cell>
          <cell r="H1917" t="str">
            <v>RATES</v>
          </cell>
          <cell r="I1917" t="str">
            <v>Govt Developed Other (AU, GB, JP, ...)</v>
          </cell>
        </row>
        <row r="1918">
          <cell r="A1918" t="str">
            <v>AUD_1yr</v>
          </cell>
          <cell r="B1918" t="str">
            <v>AUD 1Y</v>
          </cell>
          <cell r="C1918" t="str">
            <v>BRS_GOLD__2_RATES:BRS_GOLD__1_AUDIR:AUD_1yr</v>
          </cell>
          <cell r="D1918" t="str">
            <v>KRD</v>
          </cell>
          <cell r="E1918" t="str">
            <v>Yield</v>
          </cell>
          <cell r="F1918" t="str">
            <v>FI-Govt Developed Other (AU, GB, JP, ...)</v>
          </cell>
          <cell r="G1918" t="str">
            <v>FI-Other</v>
          </cell>
          <cell r="H1918" t="str">
            <v>RATES</v>
          </cell>
          <cell r="I1918" t="str">
            <v>Govt Developed Other (AU, GB, JP, ...)</v>
          </cell>
        </row>
        <row r="1919">
          <cell r="A1919" t="str">
            <v>AUD_2yr</v>
          </cell>
          <cell r="B1919" t="str">
            <v>AUD 2Y</v>
          </cell>
          <cell r="C1919" t="str">
            <v>BRS_GOLD__2_RATES:BRS_GOLD__1_AUDIR:AUD_2yr</v>
          </cell>
          <cell r="D1919" t="str">
            <v>KRD</v>
          </cell>
          <cell r="E1919" t="str">
            <v>Yield</v>
          </cell>
          <cell r="F1919" t="str">
            <v>FI-Govt Developed Other (AU, GB, JP, ...)</v>
          </cell>
          <cell r="G1919" t="str">
            <v>FI-Other</v>
          </cell>
          <cell r="H1919" t="str">
            <v>RATES</v>
          </cell>
          <cell r="I1919" t="str">
            <v>Govt Developed Other (AU, GB, JP, ...)</v>
          </cell>
        </row>
        <row r="1920">
          <cell r="A1920" t="str">
            <v>AUD_3yr</v>
          </cell>
          <cell r="B1920" t="str">
            <v>AUD 3Y</v>
          </cell>
          <cell r="C1920" t="str">
            <v>BRS_GOLD__2_RATES:BRS_GOLD__1_AUDIR:AUD_3yr</v>
          </cell>
          <cell r="D1920" t="str">
            <v>KRD</v>
          </cell>
          <cell r="E1920" t="str">
            <v>Yield</v>
          </cell>
          <cell r="F1920" t="str">
            <v>FI-Govt Developed Other (AU, GB, JP, ...)</v>
          </cell>
          <cell r="G1920" t="str">
            <v>FI-Other</v>
          </cell>
          <cell r="H1920" t="str">
            <v>RATES</v>
          </cell>
          <cell r="I1920" t="str">
            <v>Govt Developed Other (AU, GB, JP, ...)</v>
          </cell>
        </row>
        <row r="1921">
          <cell r="A1921" t="str">
            <v>AUD_5yr</v>
          </cell>
          <cell r="B1921" t="str">
            <v>AUD 5Y</v>
          </cell>
          <cell r="C1921" t="str">
            <v>BRS_GOLD__2_RATES:BRS_GOLD__1_AUDIR:AUD_5yr</v>
          </cell>
          <cell r="D1921" t="str">
            <v>KRD</v>
          </cell>
          <cell r="E1921" t="str">
            <v>Yield</v>
          </cell>
          <cell r="F1921" t="str">
            <v>FI-Govt Developed Other (AU, GB, JP, ...)</v>
          </cell>
          <cell r="G1921" t="str">
            <v>FI-Other</v>
          </cell>
          <cell r="H1921" t="str">
            <v>RATES</v>
          </cell>
          <cell r="I1921" t="str">
            <v>Govt Developed Other (AU, GB, JP, ...)</v>
          </cell>
        </row>
        <row r="1922">
          <cell r="A1922" t="str">
            <v>AUD_7yr</v>
          </cell>
          <cell r="B1922" t="str">
            <v>AUD 7Y</v>
          </cell>
          <cell r="C1922" t="str">
            <v>BRS_GOLD__2_RATES:BRS_GOLD__1_AUDIR:AUD_7yr</v>
          </cell>
          <cell r="D1922" t="str">
            <v>KRD</v>
          </cell>
          <cell r="E1922" t="str">
            <v>Yield</v>
          </cell>
          <cell r="F1922" t="str">
            <v>FI-Govt Developed Other (AU, GB, JP, ...)</v>
          </cell>
          <cell r="G1922" t="str">
            <v>FI-Other</v>
          </cell>
          <cell r="H1922" t="str">
            <v>RATES</v>
          </cell>
          <cell r="I1922" t="str">
            <v>Govt Developed Other (AU, GB, JP, ...)</v>
          </cell>
        </row>
        <row r="1923">
          <cell r="A1923" t="str">
            <v>AUD_10yr</v>
          </cell>
          <cell r="B1923" t="str">
            <v>AUD 10Y</v>
          </cell>
          <cell r="C1923" t="str">
            <v>BRS_GOLD__2_RATES:BRS_GOLD__1_AUDIR:AUD_10yr</v>
          </cell>
          <cell r="D1923" t="str">
            <v>KRD</v>
          </cell>
          <cell r="E1923" t="str">
            <v>Yield</v>
          </cell>
          <cell r="F1923" t="str">
            <v>FI-Govt Developed Other (AU, GB, JP, ...)</v>
          </cell>
          <cell r="G1923" t="str">
            <v>FI-Other</v>
          </cell>
          <cell r="H1923" t="str">
            <v>RATES</v>
          </cell>
          <cell r="I1923" t="str">
            <v>Govt Developed Other (AU, GB, JP, ...)</v>
          </cell>
        </row>
        <row r="1924">
          <cell r="A1924" t="str">
            <v>AUD_15yr</v>
          </cell>
          <cell r="B1924" t="str">
            <v>AUD 15Y</v>
          </cell>
          <cell r="C1924" t="str">
            <v>BRS_GOLD__2_RATES:BRS_GOLD__1_AUDIR:AUD_15yr</v>
          </cell>
          <cell r="D1924" t="str">
            <v>KRD</v>
          </cell>
          <cell r="E1924" t="str">
            <v>Yield</v>
          </cell>
          <cell r="F1924" t="str">
            <v>FI-Govt Developed Other (AU, GB, JP, ...)</v>
          </cell>
          <cell r="G1924" t="str">
            <v>FI-Other</v>
          </cell>
          <cell r="H1924" t="str">
            <v>RATES</v>
          </cell>
          <cell r="I1924" t="str">
            <v>Govt Developed Other (AU, GB, JP, ...)</v>
          </cell>
        </row>
        <row r="1925">
          <cell r="A1925" t="str">
            <v>AUD_20yr</v>
          </cell>
          <cell r="B1925" t="str">
            <v>AUD 20Y</v>
          </cell>
          <cell r="C1925" t="str">
            <v>BRS_GOLD__2_RATES:BRS_GOLD__1_AUDIR:AUD_20yr</v>
          </cell>
          <cell r="D1925" t="str">
            <v>KRD</v>
          </cell>
          <cell r="E1925" t="str">
            <v>Yield</v>
          </cell>
          <cell r="F1925" t="str">
            <v>FI-Govt Developed Other (AU, GB, JP, ...)</v>
          </cell>
          <cell r="G1925" t="str">
            <v>FI-Other</v>
          </cell>
          <cell r="H1925" t="str">
            <v>RATES</v>
          </cell>
          <cell r="I1925" t="str">
            <v>Govt Developed Other (AU, GB, JP, ...)</v>
          </cell>
        </row>
        <row r="1926">
          <cell r="A1926" t="str">
            <v>AUD_25yr</v>
          </cell>
          <cell r="B1926" t="str">
            <v>AUD 25Y</v>
          </cell>
          <cell r="C1926" t="str">
            <v>BRS_GOLD__2_RATES:BRS_GOLD__1_AUDIR:AUD_25yr</v>
          </cell>
          <cell r="D1926" t="str">
            <v>KRD</v>
          </cell>
          <cell r="E1926" t="str">
            <v>Yield</v>
          </cell>
          <cell r="F1926" t="str">
            <v>FI-Govt Developed Other (AU, GB, JP, ...)</v>
          </cell>
          <cell r="G1926" t="str">
            <v>FI-Other</v>
          </cell>
          <cell r="H1926" t="str">
            <v>RATES</v>
          </cell>
          <cell r="I1926" t="str">
            <v>Govt Developed Other (AU, GB, JP, ...)</v>
          </cell>
        </row>
        <row r="1927">
          <cell r="A1927" t="str">
            <v>AUD_30yr</v>
          </cell>
          <cell r="B1927" t="str">
            <v>AUD 30Y</v>
          </cell>
          <cell r="C1927" t="str">
            <v>BRS_GOLD__2_RATES:BRS_GOLD__1_AUDIR:AUD_30yr</v>
          </cell>
          <cell r="D1927" t="str">
            <v>KRD</v>
          </cell>
          <cell r="E1927" t="str">
            <v>Yield</v>
          </cell>
          <cell r="F1927" t="str">
            <v>FI-Govt Developed Other (AU, GB, JP, ...)</v>
          </cell>
          <cell r="G1927" t="str">
            <v>FI-Other</v>
          </cell>
          <cell r="H1927" t="str">
            <v>RATES</v>
          </cell>
          <cell r="I1927" t="str">
            <v>Govt Developed Other (AU, GB, JP, ...)</v>
          </cell>
        </row>
        <row r="1928">
          <cell r="A1928" t="str">
            <v>CZK_3m</v>
          </cell>
          <cell r="B1928" t="str">
            <v>CZK 3M</v>
          </cell>
          <cell r="C1928" t="str">
            <v>BRS_GOLD__2_RATES:CZK_IR,HUF_IR,PLN:CZK_IR:CZK_3m</v>
          </cell>
          <cell r="D1928" t="str">
            <v>KRD</v>
          </cell>
          <cell r="E1928" t="str">
            <v>Yield</v>
          </cell>
          <cell r="F1928" t="str">
            <v>FI-Govt Emerging Markets</v>
          </cell>
          <cell r="G1928" t="str">
            <v>FI-Other</v>
          </cell>
          <cell r="H1928" t="str">
            <v>RATES</v>
          </cell>
          <cell r="I1928" t="str">
            <v>Govt Emerging Markets</v>
          </cell>
        </row>
        <row r="1929">
          <cell r="A1929" t="str">
            <v>CZK_1yr</v>
          </cell>
          <cell r="B1929" t="str">
            <v>CZK 1Y</v>
          </cell>
          <cell r="C1929" t="str">
            <v>BRS_GOLD__2_RATES:CZK_IR,HUF_IR,PLN:CZK_IR:CZK_1yr</v>
          </cell>
          <cell r="D1929" t="str">
            <v>KRD</v>
          </cell>
          <cell r="E1929" t="str">
            <v>Yield</v>
          </cell>
          <cell r="F1929" t="str">
            <v>FI-Govt Emerging Markets</v>
          </cell>
          <cell r="G1929" t="str">
            <v>FI-Other</v>
          </cell>
          <cell r="H1929" t="str">
            <v>RATES</v>
          </cell>
          <cell r="I1929" t="str">
            <v>Govt Emerging Markets</v>
          </cell>
        </row>
        <row r="1930">
          <cell r="A1930" t="str">
            <v>CZK_2yr</v>
          </cell>
          <cell r="B1930" t="str">
            <v>CZK 2Y</v>
          </cell>
          <cell r="C1930" t="str">
            <v>BRS_GOLD__2_RATES:CZK_IR,HUF_IR,PLN:CZK_IR:CZK_2yr</v>
          </cell>
          <cell r="D1930" t="str">
            <v>KRD</v>
          </cell>
          <cell r="E1930" t="str">
            <v>Yield</v>
          </cell>
          <cell r="F1930" t="str">
            <v>FI-Govt Emerging Markets</v>
          </cell>
          <cell r="G1930" t="str">
            <v>FI-Other</v>
          </cell>
          <cell r="H1930" t="str">
            <v>RATES</v>
          </cell>
          <cell r="I1930" t="str">
            <v>Govt Emerging Markets</v>
          </cell>
        </row>
        <row r="1931">
          <cell r="A1931" t="str">
            <v>CZK_3yr</v>
          </cell>
          <cell r="B1931" t="str">
            <v>CZK 3Y</v>
          </cell>
          <cell r="C1931" t="str">
            <v>BRS_GOLD__2_RATES:CZK_IR,HUF_IR,PLN:CZK_IR:CZK_3yr</v>
          </cell>
          <cell r="D1931" t="str">
            <v>KRD</v>
          </cell>
          <cell r="E1931" t="str">
            <v>Yield</v>
          </cell>
          <cell r="F1931" t="str">
            <v>FI-Govt Emerging Markets</v>
          </cell>
          <cell r="G1931" t="str">
            <v>FI-Other</v>
          </cell>
          <cell r="H1931" t="str">
            <v>RATES</v>
          </cell>
          <cell r="I1931" t="str">
            <v>Govt Emerging Markets</v>
          </cell>
        </row>
        <row r="1932">
          <cell r="A1932" t="str">
            <v>CZK_5yr</v>
          </cell>
          <cell r="B1932" t="str">
            <v>CZK 5Y</v>
          </cell>
          <cell r="C1932" t="str">
            <v>BRS_GOLD__2_RATES:CZK_IR,HUF_IR,PLN:CZK_IR:CZK_5yr</v>
          </cell>
          <cell r="D1932" t="str">
            <v>KRD</v>
          </cell>
          <cell r="E1932" t="str">
            <v>Yield</v>
          </cell>
          <cell r="F1932" t="str">
            <v>FI-Govt Emerging Markets</v>
          </cell>
          <cell r="G1932" t="str">
            <v>FI-Other</v>
          </cell>
          <cell r="H1932" t="str">
            <v>RATES</v>
          </cell>
          <cell r="I1932" t="str">
            <v>Govt Emerging Markets</v>
          </cell>
        </row>
        <row r="1933">
          <cell r="A1933" t="str">
            <v>CZK_7yr</v>
          </cell>
          <cell r="B1933" t="str">
            <v>CZK 7Y</v>
          </cell>
          <cell r="C1933" t="str">
            <v>BRS_GOLD__2_RATES:CZK_IR,HUF_IR,PLN:CZK_IR:CZK_7yr</v>
          </cell>
          <cell r="D1933" t="str">
            <v>KRD</v>
          </cell>
          <cell r="E1933" t="str">
            <v>Yield</v>
          </cell>
          <cell r="F1933" t="str">
            <v>FI-Govt Emerging Markets</v>
          </cell>
          <cell r="G1933" t="str">
            <v>FI-Other</v>
          </cell>
          <cell r="H1933" t="str">
            <v>RATES</v>
          </cell>
          <cell r="I1933" t="str">
            <v>Govt Emerging Markets</v>
          </cell>
        </row>
        <row r="1934">
          <cell r="A1934" t="str">
            <v>CZK_10yr</v>
          </cell>
          <cell r="B1934" t="str">
            <v>CZK 10Y</v>
          </cell>
          <cell r="C1934" t="str">
            <v>BRS_GOLD__2_RATES:CZK_IR,HUF_IR,PLN:CZK_IR:CZK_10yr</v>
          </cell>
          <cell r="D1934" t="str">
            <v>KRD</v>
          </cell>
          <cell r="E1934" t="str">
            <v>Yield</v>
          </cell>
          <cell r="F1934" t="str">
            <v>FI-Govt Emerging Markets</v>
          </cell>
          <cell r="G1934" t="str">
            <v>FI-Other</v>
          </cell>
          <cell r="H1934" t="str">
            <v>RATES</v>
          </cell>
          <cell r="I1934" t="str">
            <v>Govt Emerging Markets</v>
          </cell>
        </row>
        <row r="1935">
          <cell r="A1935" t="str">
            <v>CZK_15yr</v>
          </cell>
          <cell r="B1935" t="str">
            <v>CZK 15Y</v>
          </cell>
          <cell r="C1935" t="str">
            <v>BRS_GOLD__2_RATES:CZK_IR,HUF_IR,PLN:CZK_IR:CZK_15yr</v>
          </cell>
          <cell r="D1935" t="str">
            <v>KRD</v>
          </cell>
          <cell r="E1935" t="str">
            <v>Yield</v>
          </cell>
          <cell r="F1935" t="str">
            <v>FI-Govt Emerging Markets</v>
          </cell>
          <cell r="G1935" t="str">
            <v>FI-Other</v>
          </cell>
          <cell r="H1935" t="str">
            <v>RATES</v>
          </cell>
          <cell r="I1935" t="str">
            <v>Govt Emerging Markets</v>
          </cell>
        </row>
        <row r="1936">
          <cell r="A1936" t="str">
            <v>CZK_20yr</v>
          </cell>
          <cell r="B1936" t="str">
            <v>CZK 20Y</v>
          </cell>
          <cell r="C1936" t="str">
            <v>BRS_GOLD__2_RATES:CZK_IR,HUF_IR,PLN:CZK_IR:CZK_20yr</v>
          </cell>
          <cell r="D1936" t="str">
            <v>KRD</v>
          </cell>
          <cell r="E1936" t="str">
            <v>Yield</v>
          </cell>
          <cell r="F1936" t="str">
            <v>FI-Govt Emerging Markets</v>
          </cell>
          <cell r="G1936" t="str">
            <v>FI-Other</v>
          </cell>
          <cell r="H1936" t="str">
            <v>RATES</v>
          </cell>
          <cell r="I1936" t="str">
            <v>Govt Emerging Markets</v>
          </cell>
        </row>
        <row r="1937">
          <cell r="A1937" t="str">
            <v>CZK_25yr</v>
          </cell>
          <cell r="B1937" t="str">
            <v>CZK 25Y</v>
          </cell>
          <cell r="C1937" t="str">
            <v>BRS_GOLD__2_RATES:CZK_IR,HUF_IR,PLN:CZK_IR:CZK_25yr</v>
          </cell>
          <cell r="D1937" t="str">
            <v>KRD</v>
          </cell>
          <cell r="E1937" t="str">
            <v>Yield</v>
          </cell>
          <cell r="F1937" t="str">
            <v>FI-Govt Emerging Markets</v>
          </cell>
          <cell r="G1937" t="str">
            <v>FI-Other</v>
          </cell>
          <cell r="H1937" t="str">
            <v>RATES</v>
          </cell>
          <cell r="I1937" t="str">
            <v>Govt Emerging Markets</v>
          </cell>
        </row>
        <row r="1938">
          <cell r="A1938" t="str">
            <v>CZK_30yr</v>
          </cell>
          <cell r="B1938" t="str">
            <v>CZK 30Y</v>
          </cell>
          <cell r="C1938" t="str">
            <v>BRS_GOLD__2_RATES:CZK_IR,HUF_IR,PLN:CZK_IR:CZK_30yr</v>
          </cell>
          <cell r="D1938" t="str">
            <v>KRD</v>
          </cell>
          <cell r="E1938" t="str">
            <v>Yield</v>
          </cell>
          <cell r="F1938" t="str">
            <v>FI-Govt Emerging Markets</v>
          </cell>
          <cell r="G1938" t="str">
            <v>FI-Other</v>
          </cell>
          <cell r="H1938" t="str">
            <v>RATES</v>
          </cell>
          <cell r="I1938" t="str">
            <v>Govt Emerging Markets</v>
          </cell>
        </row>
        <row r="1939">
          <cell r="A1939" t="str">
            <v>HUF_3m</v>
          </cell>
          <cell r="B1939" t="str">
            <v>HUF 3M</v>
          </cell>
          <cell r="C1939" t="str">
            <v>BRS_GOLD__2_RATES:CZK_IR,HUF_IR,PLN:HUF_IR:HUF_3m</v>
          </cell>
          <cell r="D1939" t="str">
            <v>KRD</v>
          </cell>
          <cell r="E1939" t="str">
            <v>Yield</v>
          </cell>
          <cell r="F1939" t="str">
            <v>FI-Govt Emerging Markets</v>
          </cell>
          <cell r="G1939" t="str">
            <v>FI-Other</v>
          </cell>
          <cell r="H1939" t="str">
            <v>RATES</v>
          </cell>
          <cell r="I1939" t="str">
            <v>Govt Emerging Markets</v>
          </cell>
        </row>
        <row r="1940">
          <cell r="A1940" t="str">
            <v>HUF_1yr</v>
          </cell>
          <cell r="B1940" t="str">
            <v>HUF 1Y</v>
          </cell>
          <cell r="C1940" t="str">
            <v>BRS_GOLD__2_RATES:CZK_IR,HUF_IR,PLN:HUF_IR:HUF_1yr</v>
          </cell>
          <cell r="D1940" t="str">
            <v>KRD</v>
          </cell>
          <cell r="E1940" t="str">
            <v>Yield</v>
          </cell>
          <cell r="F1940" t="str">
            <v>FI-Govt Emerging Markets</v>
          </cell>
          <cell r="G1940" t="str">
            <v>FI-Other</v>
          </cell>
          <cell r="H1940" t="str">
            <v>RATES</v>
          </cell>
          <cell r="I1940" t="str">
            <v>Govt Emerging Markets</v>
          </cell>
        </row>
        <row r="1941">
          <cell r="A1941" t="str">
            <v>HUF_2yr</v>
          </cell>
          <cell r="B1941" t="str">
            <v>HUF 2Y</v>
          </cell>
          <cell r="C1941" t="str">
            <v>BRS_GOLD__2_RATES:CZK_IR,HUF_IR,PLN:HUF_IR:HUF_2yr</v>
          </cell>
          <cell r="D1941" t="str">
            <v>KRD</v>
          </cell>
          <cell r="E1941" t="str">
            <v>Yield</v>
          </cell>
          <cell r="F1941" t="str">
            <v>FI-Govt Emerging Markets</v>
          </cell>
          <cell r="G1941" t="str">
            <v>FI-Other</v>
          </cell>
          <cell r="H1941" t="str">
            <v>RATES</v>
          </cell>
          <cell r="I1941" t="str">
            <v>Govt Emerging Markets</v>
          </cell>
        </row>
        <row r="1942">
          <cell r="A1942" t="str">
            <v>HUF_3yr</v>
          </cell>
          <cell r="B1942" t="str">
            <v>HUF 3Y</v>
          </cell>
          <cell r="C1942" t="str">
            <v>BRS_GOLD__2_RATES:CZK_IR,HUF_IR,PLN:HUF_IR:HUF_3yr</v>
          </cell>
          <cell r="D1942" t="str">
            <v>KRD</v>
          </cell>
          <cell r="E1942" t="str">
            <v>Yield</v>
          </cell>
          <cell r="F1942" t="str">
            <v>FI-Govt Emerging Markets</v>
          </cell>
          <cell r="G1942" t="str">
            <v>FI-Other</v>
          </cell>
          <cell r="H1942" t="str">
            <v>RATES</v>
          </cell>
          <cell r="I1942" t="str">
            <v>Govt Emerging Markets</v>
          </cell>
        </row>
        <row r="1943">
          <cell r="A1943" t="str">
            <v>HUF_5yr</v>
          </cell>
          <cell r="B1943" t="str">
            <v>HUF 5Y</v>
          </cell>
          <cell r="C1943" t="str">
            <v>BRS_GOLD__2_RATES:CZK_IR,HUF_IR,PLN:HUF_IR:HUF_5yr</v>
          </cell>
          <cell r="D1943" t="str">
            <v>KRD</v>
          </cell>
          <cell r="E1943" t="str">
            <v>Yield</v>
          </cell>
          <cell r="F1943" t="str">
            <v>FI-Govt Emerging Markets</v>
          </cell>
          <cell r="G1943" t="str">
            <v>FI-Other</v>
          </cell>
          <cell r="H1943" t="str">
            <v>RATES</v>
          </cell>
          <cell r="I1943" t="str">
            <v>Govt Emerging Markets</v>
          </cell>
        </row>
        <row r="1944">
          <cell r="A1944" t="str">
            <v>HUF_7yr</v>
          </cell>
          <cell r="B1944" t="str">
            <v>HUF 7Y</v>
          </cell>
          <cell r="C1944" t="str">
            <v>BRS_GOLD__2_RATES:CZK_IR,HUF_IR,PLN:HUF_IR:HUF_7yr</v>
          </cell>
          <cell r="D1944" t="str">
            <v>KRD</v>
          </cell>
          <cell r="E1944" t="str">
            <v>Yield</v>
          </cell>
          <cell r="F1944" t="str">
            <v>FI-Govt Emerging Markets</v>
          </cell>
          <cell r="G1944" t="str">
            <v>FI-Other</v>
          </cell>
          <cell r="H1944" t="str">
            <v>RATES</v>
          </cell>
          <cell r="I1944" t="str">
            <v>Govt Emerging Markets</v>
          </cell>
        </row>
        <row r="1945">
          <cell r="A1945" t="str">
            <v>HUF_10yr</v>
          </cell>
          <cell r="B1945" t="str">
            <v>HUF 10Y</v>
          </cell>
          <cell r="C1945" t="str">
            <v>BRS_GOLD__2_RATES:CZK_IR,HUF_IR,PLN:HUF_IR:HUF_10yr</v>
          </cell>
          <cell r="D1945" t="str">
            <v>KRD</v>
          </cell>
          <cell r="E1945" t="str">
            <v>Yield</v>
          </cell>
          <cell r="F1945" t="str">
            <v>FI-Govt Emerging Markets</v>
          </cell>
          <cell r="G1945" t="str">
            <v>FI-Other</v>
          </cell>
          <cell r="H1945" t="str">
            <v>RATES</v>
          </cell>
          <cell r="I1945" t="str">
            <v>Govt Emerging Markets</v>
          </cell>
        </row>
        <row r="1946">
          <cell r="A1946" t="str">
            <v>HUF_15yr</v>
          </cell>
          <cell r="B1946" t="str">
            <v>HUF 15Y</v>
          </cell>
          <cell r="C1946" t="str">
            <v>BRS_GOLD__2_RATES:CZK_IR,HUF_IR,PLN:HUF_IR:HUF_15yr</v>
          </cell>
          <cell r="D1946" t="str">
            <v>KRD</v>
          </cell>
          <cell r="E1946" t="str">
            <v>Yield</v>
          </cell>
          <cell r="F1946" t="str">
            <v>FI-Govt Emerging Markets</v>
          </cell>
          <cell r="G1946" t="str">
            <v>FI-Other</v>
          </cell>
          <cell r="H1946" t="str">
            <v>RATES</v>
          </cell>
          <cell r="I1946" t="str">
            <v>Govt Emerging Markets</v>
          </cell>
        </row>
        <row r="1947">
          <cell r="A1947" t="str">
            <v>HUF_20yr</v>
          </cell>
          <cell r="B1947" t="str">
            <v>HUF 20Y</v>
          </cell>
          <cell r="C1947" t="str">
            <v>BRS_GOLD__2_RATES:CZK_IR,HUF_IR,PLN:HUF_IR:HUF_20yr</v>
          </cell>
          <cell r="D1947" t="str">
            <v>KRD</v>
          </cell>
          <cell r="E1947" t="str">
            <v>Yield</v>
          </cell>
          <cell r="F1947" t="str">
            <v>FI-Govt Emerging Markets</v>
          </cell>
          <cell r="G1947" t="str">
            <v>FI-Other</v>
          </cell>
          <cell r="H1947" t="str">
            <v>RATES</v>
          </cell>
          <cell r="I1947" t="str">
            <v>Govt Emerging Markets</v>
          </cell>
        </row>
        <row r="1948">
          <cell r="A1948" t="str">
            <v>HUF_25yr</v>
          </cell>
          <cell r="B1948" t="str">
            <v>HUF 25Y</v>
          </cell>
          <cell r="C1948" t="str">
            <v>BRS_GOLD__2_RATES:CZK_IR,HUF_IR,PLN:HUF_IR:HUF_25yr</v>
          </cell>
          <cell r="D1948" t="str">
            <v>KRD</v>
          </cell>
          <cell r="E1948" t="str">
            <v>Yield</v>
          </cell>
          <cell r="F1948" t="str">
            <v>FI-Govt Emerging Markets</v>
          </cell>
          <cell r="G1948" t="str">
            <v>FI-Other</v>
          </cell>
          <cell r="H1948" t="str">
            <v>RATES</v>
          </cell>
          <cell r="I1948" t="str">
            <v>Govt Emerging Markets</v>
          </cell>
        </row>
        <row r="1949">
          <cell r="A1949" t="str">
            <v>HUF_30yr</v>
          </cell>
          <cell r="B1949" t="str">
            <v>HUF 30Y</v>
          </cell>
          <cell r="C1949" t="str">
            <v>BRS_GOLD__2_RATES:CZK_IR,HUF_IR,PLN:HUF_IR:HUF_30yr</v>
          </cell>
          <cell r="D1949" t="str">
            <v>KRD</v>
          </cell>
          <cell r="E1949" t="str">
            <v>Yield</v>
          </cell>
          <cell r="F1949" t="str">
            <v>FI-Govt Emerging Markets</v>
          </cell>
          <cell r="G1949" t="str">
            <v>FI-Other</v>
          </cell>
          <cell r="H1949" t="str">
            <v>RATES</v>
          </cell>
          <cell r="I1949" t="str">
            <v>Govt Emerging Markets</v>
          </cell>
        </row>
        <row r="1950">
          <cell r="A1950" t="str">
            <v>PLN_3m</v>
          </cell>
          <cell r="B1950" t="str">
            <v>PLN 3M</v>
          </cell>
          <cell r="C1950" t="str">
            <v>BRS_GOLD__2_RATES:CZK_IR,HUF_IR,PLN:PLN:PLN_3m</v>
          </cell>
          <cell r="D1950" t="str">
            <v>KRD</v>
          </cell>
          <cell r="E1950" t="str">
            <v>Yield</v>
          </cell>
          <cell r="F1950" t="str">
            <v>FI-Govt Emerging Markets</v>
          </cell>
          <cell r="G1950" t="str">
            <v>FI-Other</v>
          </cell>
          <cell r="H1950" t="str">
            <v>RATES</v>
          </cell>
          <cell r="I1950" t="str">
            <v>Govt Emerging Markets</v>
          </cell>
        </row>
        <row r="1951">
          <cell r="A1951" t="str">
            <v>PLN_1yr</v>
          </cell>
          <cell r="B1951" t="str">
            <v>PLN 1Y</v>
          </cell>
          <cell r="C1951" t="str">
            <v>BRS_GOLD__2_RATES:CZK_IR,HUF_IR,PLN:PLN:PLN_1yr</v>
          </cell>
          <cell r="D1951" t="str">
            <v>KRD</v>
          </cell>
          <cell r="E1951" t="str">
            <v>Yield</v>
          </cell>
          <cell r="F1951" t="str">
            <v>FI-Govt Emerging Markets</v>
          </cell>
          <cell r="G1951" t="str">
            <v>FI-Other</v>
          </cell>
          <cell r="H1951" t="str">
            <v>RATES</v>
          </cell>
          <cell r="I1951" t="str">
            <v>Govt Emerging Markets</v>
          </cell>
        </row>
        <row r="1952">
          <cell r="A1952" t="str">
            <v>PLN_2yr</v>
          </cell>
          <cell r="B1952" t="str">
            <v>PLN 2Y</v>
          </cell>
          <cell r="C1952" t="str">
            <v>BRS_GOLD__2_RATES:CZK_IR,HUF_IR,PLN:PLN:PLN_2yr</v>
          </cell>
          <cell r="D1952" t="str">
            <v>KRD</v>
          </cell>
          <cell r="E1952" t="str">
            <v>Yield</v>
          </cell>
          <cell r="F1952" t="str">
            <v>FI-Govt Emerging Markets</v>
          </cell>
          <cell r="G1952" t="str">
            <v>FI-Other</v>
          </cell>
          <cell r="H1952" t="str">
            <v>RATES</v>
          </cell>
          <cell r="I1952" t="str">
            <v>Govt Emerging Markets</v>
          </cell>
        </row>
        <row r="1953">
          <cell r="A1953" t="str">
            <v>PLN_3yr</v>
          </cell>
          <cell r="B1953" t="str">
            <v>PLN 3Y</v>
          </cell>
          <cell r="C1953" t="str">
            <v>BRS_GOLD__2_RATES:CZK_IR,HUF_IR,PLN:PLN:PLN_3yr</v>
          </cell>
          <cell r="D1953" t="str">
            <v>KRD</v>
          </cell>
          <cell r="E1953" t="str">
            <v>Yield</v>
          </cell>
          <cell r="F1953" t="str">
            <v>FI-Govt Emerging Markets</v>
          </cell>
          <cell r="G1953" t="str">
            <v>FI-Other</v>
          </cell>
          <cell r="H1953" t="str">
            <v>RATES</v>
          </cell>
          <cell r="I1953" t="str">
            <v>Govt Emerging Markets</v>
          </cell>
        </row>
        <row r="1954">
          <cell r="A1954" t="str">
            <v>PLN_5yr</v>
          </cell>
          <cell r="B1954" t="str">
            <v>PLN 5Y</v>
          </cell>
          <cell r="C1954" t="str">
            <v>BRS_GOLD__2_RATES:CZK_IR,HUF_IR,PLN:PLN:PLN_5yr</v>
          </cell>
          <cell r="D1954" t="str">
            <v>KRD</v>
          </cell>
          <cell r="E1954" t="str">
            <v>Yield</v>
          </cell>
          <cell r="F1954" t="str">
            <v>FI-Govt Emerging Markets</v>
          </cell>
          <cell r="G1954" t="str">
            <v>FI-Other</v>
          </cell>
          <cell r="H1954" t="str">
            <v>RATES</v>
          </cell>
          <cell r="I1954" t="str">
            <v>Govt Emerging Markets</v>
          </cell>
        </row>
        <row r="1955">
          <cell r="A1955" t="str">
            <v>PLN_7yr</v>
          </cell>
          <cell r="B1955" t="str">
            <v>PLN 7Y</v>
          </cell>
          <cell r="C1955" t="str">
            <v>BRS_GOLD__2_RATES:CZK_IR,HUF_IR,PLN:PLN:PLN_7yr</v>
          </cell>
          <cell r="D1955" t="str">
            <v>KRD</v>
          </cell>
          <cell r="E1955" t="str">
            <v>Yield</v>
          </cell>
          <cell r="F1955" t="str">
            <v>FI-Govt Emerging Markets</v>
          </cell>
          <cell r="G1955" t="str">
            <v>FI-Other</v>
          </cell>
          <cell r="H1955" t="str">
            <v>RATES</v>
          </cell>
          <cell r="I1955" t="str">
            <v>Govt Emerging Markets</v>
          </cell>
        </row>
        <row r="1956">
          <cell r="A1956" t="str">
            <v>PLN_10yr</v>
          </cell>
          <cell r="B1956" t="str">
            <v>PLN 10Y</v>
          </cell>
          <cell r="C1956" t="str">
            <v>BRS_GOLD__2_RATES:CZK_IR,HUF_IR,PLN:PLN:PLN_10yr</v>
          </cell>
          <cell r="D1956" t="str">
            <v>KRD</v>
          </cell>
          <cell r="E1956" t="str">
            <v>Yield</v>
          </cell>
          <cell r="F1956" t="str">
            <v>FI-Govt Emerging Markets</v>
          </cell>
          <cell r="G1956" t="str">
            <v>FI-Other</v>
          </cell>
          <cell r="H1956" t="str">
            <v>RATES</v>
          </cell>
          <cell r="I1956" t="str">
            <v>Govt Emerging Markets</v>
          </cell>
        </row>
        <row r="1957">
          <cell r="A1957" t="str">
            <v>PLN_15yr</v>
          </cell>
          <cell r="B1957" t="str">
            <v>PLN 15Y</v>
          </cell>
          <cell r="C1957" t="str">
            <v>BRS_GOLD__2_RATES:CZK_IR,HUF_IR,PLN:PLN:PLN_15yr</v>
          </cell>
          <cell r="D1957" t="str">
            <v>KRD</v>
          </cell>
          <cell r="E1957" t="str">
            <v>Yield</v>
          </cell>
          <cell r="F1957" t="str">
            <v>FI-Govt Emerging Markets</v>
          </cell>
          <cell r="G1957" t="str">
            <v>FI-Other</v>
          </cell>
          <cell r="H1957" t="str">
            <v>RATES</v>
          </cell>
          <cell r="I1957" t="str">
            <v>Govt Emerging Markets</v>
          </cell>
        </row>
        <row r="1958">
          <cell r="A1958" t="str">
            <v>PLN_20yr</v>
          </cell>
          <cell r="B1958" t="str">
            <v>PLN 20Y</v>
          </cell>
          <cell r="C1958" t="str">
            <v>BRS_GOLD__2_RATES:CZK_IR,HUF_IR,PLN:PLN:PLN_20yr</v>
          </cell>
          <cell r="D1958" t="str">
            <v>KRD</v>
          </cell>
          <cell r="E1958" t="str">
            <v>Yield</v>
          </cell>
          <cell r="F1958" t="str">
            <v>FI-Govt Emerging Markets</v>
          </cell>
          <cell r="G1958" t="str">
            <v>FI-Other</v>
          </cell>
          <cell r="H1958" t="str">
            <v>RATES</v>
          </cell>
          <cell r="I1958" t="str">
            <v>Govt Emerging Markets</v>
          </cell>
        </row>
        <row r="1959">
          <cell r="A1959" t="str">
            <v>PLN_25yr</v>
          </cell>
          <cell r="B1959" t="str">
            <v>PLN 25Y</v>
          </cell>
          <cell r="C1959" t="str">
            <v>BRS_GOLD__2_RATES:CZK_IR,HUF_IR,PLN:PLN:PLN_25yr</v>
          </cell>
          <cell r="D1959" t="str">
            <v>KRD</v>
          </cell>
          <cell r="E1959" t="str">
            <v>Yield</v>
          </cell>
          <cell r="F1959" t="str">
            <v>FI-Govt Emerging Markets</v>
          </cell>
          <cell r="G1959" t="str">
            <v>FI-Other</v>
          </cell>
          <cell r="H1959" t="str">
            <v>RATES</v>
          </cell>
          <cell r="I1959" t="str">
            <v>Govt Emerging Markets</v>
          </cell>
        </row>
        <row r="1960">
          <cell r="A1960" t="str">
            <v>PLN_30yr</v>
          </cell>
          <cell r="B1960" t="str">
            <v>PLN 30Y</v>
          </cell>
          <cell r="C1960" t="str">
            <v>BRS_GOLD__2_RATES:CZK_IR,HUF_IR,PLN:PLN:PLN_30yr</v>
          </cell>
          <cell r="D1960" t="str">
            <v>KRD</v>
          </cell>
          <cell r="E1960" t="str">
            <v>Yield</v>
          </cell>
          <cell r="F1960" t="str">
            <v>FI-Govt Emerging Markets</v>
          </cell>
          <cell r="G1960" t="str">
            <v>FI-Other</v>
          </cell>
          <cell r="H1960" t="str">
            <v>RATES</v>
          </cell>
          <cell r="I1960" t="str">
            <v>Govt Emerging Markets</v>
          </cell>
        </row>
        <row r="1961">
          <cell r="A1961" t="str">
            <v>ARS_3m</v>
          </cell>
          <cell r="B1961" t="str">
            <v>ARS 3M</v>
          </cell>
          <cell r="C1961" t="str">
            <v>BRS_GOLD__2_RATES:BRS_GOLD__1_OtherIR-HUF_IR-PLN-CZK_IR:ARS_IR:ARS_3m</v>
          </cell>
          <cell r="D1961" t="str">
            <v>KRD</v>
          </cell>
          <cell r="E1961" t="str">
            <v>Yield</v>
          </cell>
          <cell r="F1961" t="str">
            <v>FI-Govt Emerging Markets</v>
          </cell>
          <cell r="G1961" t="str">
            <v>FI-Other</v>
          </cell>
          <cell r="H1961" t="str">
            <v>RATES</v>
          </cell>
          <cell r="I1961" t="str">
            <v>Govt Emerging Markets</v>
          </cell>
        </row>
        <row r="1962">
          <cell r="A1962" t="str">
            <v>ARS_1yr</v>
          </cell>
          <cell r="B1962" t="str">
            <v>ARS 1Y</v>
          </cell>
          <cell r="C1962" t="str">
            <v>BRS_GOLD__2_RATES:BRS_GOLD__1_OtherIR-HUF_IR-PLN-CZK_IR:ARS_IR:ARS_1yr</v>
          </cell>
          <cell r="D1962" t="str">
            <v>KRD</v>
          </cell>
          <cell r="E1962" t="str">
            <v>Yield</v>
          </cell>
          <cell r="F1962" t="str">
            <v>FI-Govt Emerging Markets</v>
          </cell>
          <cell r="G1962" t="str">
            <v>FI-Other</v>
          </cell>
          <cell r="H1962" t="str">
            <v>RATES</v>
          </cell>
          <cell r="I1962" t="str">
            <v>Govt Emerging Markets</v>
          </cell>
        </row>
        <row r="1963">
          <cell r="A1963" t="str">
            <v>ARS_2yr</v>
          </cell>
          <cell r="B1963" t="str">
            <v>ARS 2Y</v>
          </cell>
          <cell r="C1963" t="str">
            <v>BRS_GOLD__2_RATES:BRS_GOLD__1_OtherIR-HUF_IR-PLN-CZK_IR:ARS_IR:ARS_2yr</v>
          </cell>
          <cell r="D1963" t="str">
            <v>KRD</v>
          </cell>
          <cell r="E1963" t="str">
            <v>Yield</v>
          </cell>
          <cell r="F1963" t="str">
            <v>FI-Govt Emerging Markets</v>
          </cell>
          <cell r="G1963" t="str">
            <v>FI-Other</v>
          </cell>
          <cell r="H1963" t="str">
            <v>RATES</v>
          </cell>
          <cell r="I1963" t="str">
            <v>Govt Emerging Markets</v>
          </cell>
        </row>
        <row r="1964">
          <cell r="A1964" t="str">
            <v>ARS_3yr</v>
          </cell>
          <cell r="B1964" t="str">
            <v>ARS 3Y</v>
          </cell>
          <cell r="C1964" t="str">
            <v>BRS_GOLD__2_RATES:BRS_GOLD__1_OtherIR-HUF_IR-PLN-CZK_IR:ARS_IR:ARS_3yr</v>
          </cell>
          <cell r="D1964" t="str">
            <v>KRD</v>
          </cell>
          <cell r="E1964" t="str">
            <v>Yield</v>
          </cell>
          <cell r="F1964" t="str">
            <v>FI-Govt Emerging Markets</v>
          </cell>
          <cell r="G1964" t="str">
            <v>FI-Other</v>
          </cell>
          <cell r="H1964" t="str">
            <v>RATES</v>
          </cell>
          <cell r="I1964" t="str">
            <v>Govt Emerging Markets</v>
          </cell>
        </row>
        <row r="1965">
          <cell r="A1965" t="str">
            <v>ARS_5yr</v>
          </cell>
          <cell r="B1965" t="str">
            <v>ARS 5Y</v>
          </cell>
          <cell r="C1965" t="str">
            <v>BRS_GOLD__2_RATES:BRS_GOLD__1_OtherIR-HUF_IR-PLN-CZK_IR:ARS_IR:ARS_5yr</v>
          </cell>
          <cell r="D1965" t="str">
            <v>KRD</v>
          </cell>
          <cell r="E1965" t="str">
            <v>Yield</v>
          </cell>
          <cell r="F1965" t="str">
            <v>FI-Govt Emerging Markets</v>
          </cell>
          <cell r="G1965" t="str">
            <v>FI-Other</v>
          </cell>
          <cell r="H1965" t="str">
            <v>RATES</v>
          </cell>
          <cell r="I1965" t="str">
            <v>Govt Emerging Markets</v>
          </cell>
        </row>
        <row r="1966">
          <cell r="A1966" t="str">
            <v>ARS_7yr</v>
          </cell>
          <cell r="B1966" t="str">
            <v>ARS 7Y</v>
          </cell>
          <cell r="C1966" t="str">
            <v>BRS_GOLD__2_RATES:BRS_GOLD__1_OtherIR-HUF_IR-PLN-CZK_IR:ARS_IR:ARS_7yr</v>
          </cell>
          <cell r="D1966" t="str">
            <v>KRD</v>
          </cell>
          <cell r="E1966" t="str">
            <v>Yield</v>
          </cell>
          <cell r="F1966" t="str">
            <v>FI-Govt Emerging Markets</v>
          </cell>
          <cell r="G1966" t="str">
            <v>FI-Other</v>
          </cell>
          <cell r="H1966" t="str">
            <v>RATES</v>
          </cell>
          <cell r="I1966" t="str">
            <v>Govt Emerging Markets</v>
          </cell>
        </row>
        <row r="1967">
          <cell r="A1967" t="str">
            <v>ARS_10yr</v>
          </cell>
          <cell r="B1967" t="str">
            <v>ARS 10Y</v>
          </cell>
          <cell r="C1967" t="str">
            <v>BRS_GOLD__2_RATES:BRS_GOLD__1_OtherIR-HUF_IR-PLN-CZK_IR:ARS_IR:ARS_10yr</v>
          </cell>
          <cell r="D1967" t="str">
            <v>KRD</v>
          </cell>
          <cell r="E1967" t="str">
            <v>Yield</v>
          </cell>
          <cell r="F1967" t="str">
            <v>FI-Govt Emerging Markets</v>
          </cell>
          <cell r="G1967" t="str">
            <v>FI-Other</v>
          </cell>
          <cell r="H1967" t="str">
            <v>RATES</v>
          </cell>
          <cell r="I1967" t="str">
            <v>Govt Emerging Markets</v>
          </cell>
        </row>
        <row r="1968">
          <cell r="A1968" t="str">
            <v>ARS_15yr</v>
          </cell>
          <cell r="B1968" t="str">
            <v>ARS 15Y</v>
          </cell>
          <cell r="C1968" t="str">
            <v>BRS_GOLD__2_RATES:BRS_GOLD__1_OtherIR-HUF_IR-PLN-CZK_IR:ARS_IR:ARS_15yr</v>
          </cell>
          <cell r="D1968" t="str">
            <v>KRD</v>
          </cell>
          <cell r="E1968" t="str">
            <v>Yield</v>
          </cell>
          <cell r="F1968" t="str">
            <v>FI-Govt Emerging Markets</v>
          </cell>
          <cell r="G1968" t="str">
            <v>FI-Other</v>
          </cell>
          <cell r="H1968" t="str">
            <v>RATES</v>
          </cell>
          <cell r="I1968" t="str">
            <v>Govt Emerging Markets</v>
          </cell>
        </row>
        <row r="1969">
          <cell r="A1969" t="str">
            <v>ARS_20yr</v>
          </cell>
          <cell r="B1969" t="str">
            <v>ARS 20Y</v>
          </cell>
          <cell r="C1969" t="str">
            <v>BRS_GOLD__2_RATES:BRS_GOLD__1_OtherIR-HUF_IR-PLN-CZK_IR:ARS_IR:ARS_20yr</v>
          </cell>
          <cell r="D1969" t="str">
            <v>KRD</v>
          </cell>
          <cell r="E1969" t="str">
            <v>Yield</v>
          </cell>
          <cell r="F1969" t="str">
            <v>FI-Govt Emerging Markets</v>
          </cell>
          <cell r="G1969" t="str">
            <v>FI-Other</v>
          </cell>
          <cell r="H1969" t="str">
            <v>RATES</v>
          </cell>
          <cell r="I1969" t="str">
            <v>Govt Emerging Markets</v>
          </cell>
        </row>
        <row r="1970">
          <cell r="A1970" t="str">
            <v>ARS_25yr</v>
          </cell>
          <cell r="B1970" t="str">
            <v>ARS 25Y</v>
          </cell>
          <cell r="C1970" t="str">
            <v>BRS_GOLD__2_RATES:BRS_GOLD__1_OtherIR-HUF_IR-PLN-CZK_IR:ARS_IR:ARS_25yr</v>
          </cell>
          <cell r="D1970" t="str">
            <v>KRD</v>
          </cell>
          <cell r="E1970" t="str">
            <v>Yield</v>
          </cell>
          <cell r="F1970" t="str">
            <v>FI-Govt Emerging Markets</v>
          </cell>
          <cell r="G1970" t="str">
            <v>FI-Other</v>
          </cell>
          <cell r="H1970" t="str">
            <v>RATES</v>
          </cell>
          <cell r="I1970" t="str">
            <v>Govt Emerging Markets</v>
          </cell>
        </row>
        <row r="1971">
          <cell r="A1971" t="str">
            <v>ARS_30yr</v>
          </cell>
          <cell r="B1971" t="str">
            <v>ARS 30Y</v>
          </cell>
          <cell r="C1971" t="str">
            <v>BRS_GOLD__2_RATES:BRS_GOLD__1_OtherIR-HUF_IR-PLN-CZK_IR:ARS_IR:ARS_30yr</v>
          </cell>
          <cell r="D1971" t="str">
            <v>KRD</v>
          </cell>
          <cell r="E1971" t="str">
            <v>Yield</v>
          </cell>
          <cell r="F1971" t="str">
            <v>FI-Govt Emerging Markets</v>
          </cell>
          <cell r="G1971" t="str">
            <v>FI-Other</v>
          </cell>
          <cell r="H1971" t="str">
            <v>RATES</v>
          </cell>
          <cell r="I1971" t="str">
            <v>Govt Emerging Markets</v>
          </cell>
        </row>
        <row r="1972">
          <cell r="A1972" t="str">
            <v>BRL_3m</v>
          </cell>
          <cell r="B1972" t="str">
            <v>BRL 3M</v>
          </cell>
          <cell r="C1972" t="str">
            <v>BRS_GOLD__2_RATES:BRS_GOLD__1_OtherIR-HUF_IR-PLN-CZK_IR:BRL_IR:BRL_3m</v>
          </cell>
          <cell r="D1972" t="str">
            <v>KRD</v>
          </cell>
          <cell r="E1972" t="str">
            <v>Yield</v>
          </cell>
          <cell r="F1972" t="str">
            <v>FI-Govt Emerging Markets</v>
          </cell>
          <cell r="G1972" t="str">
            <v>FI-Other</v>
          </cell>
          <cell r="H1972" t="str">
            <v>RATES</v>
          </cell>
          <cell r="I1972" t="str">
            <v>Govt Emerging Markets</v>
          </cell>
        </row>
        <row r="1973">
          <cell r="A1973" t="str">
            <v>BRL_1yr</v>
          </cell>
          <cell r="B1973" t="str">
            <v>BRL 1Y</v>
          </cell>
          <cell r="C1973" t="str">
            <v>BRS_GOLD__2_RATES:BRS_GOLD__1_OtherIR-HUF_IR-PLN-CZK_IR:BRL_IR:BRL_1yr</v>
          </cell>
          <cell r="D1973" t="str">
            <v>KRD</v>
          </cell>
          <cell r="E1973" t="str">
            <v>Yield</v>
          </cell>
          <cell r="F1973" t="str">
            <v>FI-Govt Emerging Markets</v>
          </cell>
          <cell r="G1973" t="str">
            <v>FI-Other</v>
          </cell>
          <cell r="H1973" t="str">
            <v>RATES</v>
          </cell>
          <cell r="I1973" t="str">
            <v>Govt Emerging Markets</v>
          </cell>
        </row>
        <row r="1974">
          <cell r="A1974" t="str">
            <v>BRL_2yr</v>
          </cell>
          <cell r="B1974" t="str">
            <v>BRL 2Y</v>
          </cell>
          <cell r="C1974" t="str">
            <v>BRS_GOLD__2_RATES:BRS_GOLD__1_OtherIR-HUF_IR-PLN-CZK_IR:BRL_IR:BRL_2yr</v>
          </cell>
          <cell r="D1974" t="str">
            <v>KRD</v>
          </cell>
          <cell r="E1974" t="str">
            <v>Yield</v>
          </cell>
          <cell r="F1974" t="str">
            <v>FI-Govt Emerging Markets</v>
          </cell>
          <cell r="G1974" t="str">
            <v>FI-Other</v>
          </cell>
          <cell r="H1974" t="str">
            <v>RATES</v>
          </cell>
          <cell r="I1974" t="str">
            <v>Govt Emerging Markets</v>
          </cell>
        </row>
        <row r="1975">
          <cell r="A1975" t="str">
            <v>BRL_3yr</v>
          </cell>
          <cell r="B1975" t="str">
            <v>BRL 3Y</v>
          </cell>
          <cell r="C1975" t="str">
            <v>BRS_GOLD__2_RATES:BRS_GOLD__1_OtherIR-HUF_IR-PLN-CZK_IR:BRL_IR:BRL_3yr</v>
          </cell>
          <cell r="D1975" t="str">
            <v>KRD</v>
          </cell>
          <cell r="E1975" t="str">
            <v>Yield</v>
          </cell>
          <cell r="F1975" t="str">
            <v>FI-Govt Emerging Markets</v>
          </cell>
          <cell r="G1975" t="str">
            <v>FI-Other</v>
          </cell>
          <cell r="H1975" t="str">
            <v>RATES</v>
          </cell>
          <cell r="I1975" t="str">
            <v>Govt Emerging Markets</v>
          </cell>
        </row>
        <row r="1976">
          <cell r="A1976" t="str">
            <v>BRL_5yr</v>
          </cell>
          <cell r="B1976" t="str">
            <v>BRL 5Y</v>
          </cell>
          <cell r="C1976" t="str">
            <v>BRS_GOLD__2_RATES:BRS_GOLD__1_OtherIR-HUF_IR-PLN-CZK_IR:BRL_IR:BRL_5yr</v>
          </cell>
          <cell r="D1976" t="str">
            <v>KRD</v>
          </cell>
          <cell r="E1976" t="str">
            <v>Yield</v>
          </cell>
          <cell r="F1976" t="str">
            <v>FI-Govt Emerging Markets</v>
          </cell>
          <cell r="G1976" t="str">
            <v>FI-Other</v>
          </cell>
          <cell r="H1976" t="str">
            <v>RATES</v>
          </cell>
          <cell r="I1976" t="str">
            <v>Govt Emerging Markets</v>
          </cell>
        </row>
        <row r="1977">
          <cell r="A1977" t="str">
            <v>BRL_7yr</v>
          </cell>
          <cell r="B1977" t="str">
            <v>BRL 7Y</v>
          </cell>
          <cell r="C1977" t="str">
            <v>BRS_GOLD__2_RATES:BRS_GOLD__1_OtherIR-HUF_IR-PLN-CZK_IR:BRL_IR:BRL_7yr</v>
          </cell>
          <cell r="D1977" t="str">
            <v>KRD</v>
          </cell>
          <cell r="E1977" t="str">
            <v>Yield</v>
          </cell>
          <cell r="F1977" t="str">
            <v>FI-Govt Emerging Markets</v>
          </cell>
          <cell r="G1977" t="str">
            <v>FI-Other</v>
          </cell>
          <cell r="H1977" t="str">
            <v>RATES</v>
          </cell>
          <cell r="I1977" t="str">
            <v>Govt Emerging Markets</v>
          </cell>
        </row>
        <row r="1978">
          <cell r="A1978" t="str">
            <v>BRL_10yr</v>
          </cell>
          <cell r="B1978" t="str">
            <v>BRL 10Y</v>
          </cell>
          <cell r="C1978" t="str">
            <v>BRS_GOLD__2_RATES:BRS_GOLD__1_OtherIR-HUF_IR-PLN-CZK_IR:BRL_IR:BRL_10yr</v>
          </cell>
          <cell r="D1978" t="str">
            <v>KRD</v>
          </cell>
          <cell r="E1978" t="str">
            <v>Yield</v>
          </cell>
          <cell r="F1978" t="str">
            <v>FI-Govt Emerging Markets</v>
          </cell>
          <cell r="G1978" t="str">
            <v>FI-Other</v>
          </cell>
          <cell r="H1978" t="str">
            <v>RATES</v>
          </cell>
          <cell r="I1978" t="str">
            <v>Govt Emerging Markets</v>
          </cell>
        </row>
        <row r="1979">
          <cell r="A1979" t="str">
            <v>BRL_15yr</v>
          </cell>
          <cell r="B1979" t="str">
            <v>BRL 15Y</v>
          </cell>
          <cell r="C1979" t="str">
            <v>BRS_GOLD__2_RATES:BRS_GOLD__1_OtherIR-HUF_IR-PLN-CZK_IR:BRL_IR:BRL_15yr</v>
          </cell>
          <cell r="D1979" t="str">
            <v>KRD</v>
          </cell>
          <cell r="E1979" t="str">
            <v>Yield</v>
          </cell>
          <cell r="F1979" t="str">
            <v>FI-Govt Emerging Markets</v>
          </cell>
          <cell r="G1979" t="str">
            <v>FI-Other</v>
          </cell>
          <cell r="H1979" t="str">
            <v>RATES</v>
          </cell>
          <cell r="I1979" t="str">
            <v>Govt Emerging Markets</v>
          </cell>
        </row>
        <row r="1980">
          <cell r="A1980" t="str">
            <v>BRL_20yr</v>
          </cell>
          <cell r="B1980" t="str">
            <v>BRL 20Y</v>
          </cell>
          <cell r="C1980" t="str">
            <v>BRS_GOLD__2_RATES:BRS_GOLD__1_OtherIR-HUF_IR-PLN-CZK_IR:BRL_IR:BRL_20yr</v>
          </cell>
          <cell r="D1980" t="str">
            <v>KRD</v>
          </cell>
          <cell r="E1980" t="str">
            <v>Yield</v>
          </cell>
          <cell r="F1980" t="str">
            <v>FI-Govt Emerging Markets</v>
          </cell>
          <cell r="G1980" t="str">
            <v>FI-Other</v>
          </cell>
          <cell r="H1980" t="str">
            <v>RATES</v>
          </cell>
          <cell r="I1980" t="str">
            <v>Govt Emerging Markets</v>
          </cell>
        </row>
        <row r="1981">
          <cell r="A1981" t="str">
            <v>BRL_25yr</v>
          </cell>
          <cell r="B1981" t="str">
            <v>BRL 25Y</v>
          </cell>
          <cell r="C1981" t="str">
            <v>BRS_GOLD__2_RATES:BRS_GOLD__1_OtherIR-HUF_IR-PLN-CZK_IR:BRL_IR:BRL_25yr</v>
          </cell>
          <cell r="D1981" t="str">
            <v>KRD</v>
          </cell>
          <cell r="E1981" t="str">
            <v>Yield</v>
          </cell>
          <cell r="F1981" t="str">
            <v>FI-Govt Emerging Markets</v>
          </cell>
          <cell r="G1981" t="str">
            <v>FI-Other</v>
          </cell>
          <cell r="H1981" t="str">
            <v>RATES</v>
          </cell>
          <cell r="I1981" t="str">
            <v>Govt Emerging Markets</v>
          </cell>
        </row>
        <row r="1982">
          <cell r="A1982" t="str">
            <v>BRL_30yr</v>
          </cell>
          <cell r="B1982" t="str">
            <v>BRL 30Y</v>
          </cell>
          <cell r="C1982" t="str">
            <v>BRS_GOLD__2_RATES:BRS_GOLD__1_OtherIR-HUF_IR-PLN-CZK_IR:BRL_IR:BRL_30yr</v>
          </cell>
          <cell r="D1982" t="str">
            <v>KRD</v>
          </cell>
          <cell r="E1982" t="str">
            <v>Yield</v>
          </cell>
          <cell r="F1982" t="str">
            <v>FI-Govt Emerging Markets</v>
          </cell>
          <cell r="G1982" t="str">
            <v>FI-Other</v>
          </cell>
          <cell r="H1982" t="str">
            <v>RATES</v>
          </cell>
          <cell r="I1982" t="str">
            <v>Govt Emerging Markets</v>
          </cell>
        </row>
        <row r="1983">
          <cell r="A1983" t="str">
            <v>CAD_3m</v>
          </cell>
          <cell r="B1983" t="str">
            <v>CAD 3M</v>
          </cell>
          <cell r="C1983" t="str">
            <v>BRS_GOLD__2_RATES:BRS_GOLD__1_OtherIR-HUF_IR-PLN-CZK_IR:BRS_GOLD__1_CADIR:CAD_3m</v>
          </cell>
          <cell r="D1983" t="str">
            <v>KRD</v>
          </cell>
          <cell r="E1983" t="str">
            <v>Yield</v>
          </cell>
          <cell r="F1983" t="str">
            <v>FI-Govt Developed Other (AU, GB, JP, ...)</v>
          </cell>
          <cell r="G1983" t="str">
            <v>FI-Other</v>
          </cell>
          <cell r="H1983" t="str">
            <v>RATES</v>
          </cell>
          <cell r="I1983" t="str">
            <v>Govt Developed Other (AU, GB, JP, ...)</v>
          </cell>
        </row>
        <row r="1984">
          <cell r="A1984" t="str">
            <v>CAD_1yr</v>
          </cell>
          <cell r="B1984" t="str">
            <v>CAD 1Y</v>
          </cell>
          <cell r="C1984" t="str">
            <v>BRS_GOLD__2_RATES:BRS_GOLD__1_OtherIR-HUF_IR-PLN-CZK_IR:BRS_GOLD__1_CADIR:CAD_1yr</v>
          </cell>
          <cell r="D1984" t="str">
            <v>KRD</v>
          </cell>
          <cell r="E1984" t="str">
            <v>Yield</v>
          </cell>
          <cell r="F1984" t="str">
            <v>FI-Govt Developed Other (AU, GB, JP, ...)</v>
          </cell>
          <cell r="G1984" t="str">
            <v>FI-Other</v>
          </cell>
          <cell r="H1984" t="str">
            <v>RATES</v>
          </cell>
          <cell r="I1984" t="str">
            <v>Govt Developed Other (AU, GB, JP, ...)</v>
          </cell>
        </row>
        <row r="1985">
          <cell r="A1985" t="str">
            <v>CAD_2yr</v>
          </cell>
          <cell r="B1985" t="str">
            <v>CAD 2Y</v>
          </cell>
          <cell r="C1985" t="str">
            <v>BRS_GOLD__2_RATES:BRS_GOLD__1_OtherIR-HUF_IR-PLN-CZK_IR:BRS_GOLD__1_CADIR:CAD_2yr</v>
          </cell>
          <cell r="D1985" t="str">
            <v>KRD</v>
          </cell>
          <cell r="E1985" t="str">
            <v>Yield</v>
          </cell>
          <cell r="F1985" t="str">
            <v>FI-Govt Developed Other (AU, GB, JP, ...)</v>
          </cell>
          <cell r="G1985" t="str">
            <v>FI-Other</v>
          </cell>
          <cell r="H1985" t="str">
            <v>RATES</v>
          </cell>
          <cell r="I1985" t="str">
            <v>Govt Developed Other (AU, GB, JP, ...)</v>
          </cell>
        </row>
        <row r="1986">
          <cell r="A1986" t="str">
            <v>CAD_3yr</v>
          </cell>
          <cell r="B1986" t="str">
            <v>CAD 3Y</v>
          </cell>
          <cell r="C1986" t="str">
            <v>BRS_GOLD__2_RATES:BRS_GOLD__1_OtherIR-HUF_IR-PLN-CZK_IR:BRS_GOLD__1_CADIR:CAD_3yr</v>
          </cell>
          <cell r="D1986" t="str">
            <v>KRD</v>
          </cell>
          <cell r="E1986" t="str">
            <v>Yield</v>
          </cell>
          <cell r="F1986" t="str">
            <v>FI-Govt Developed Other (AU, GB, JP, ...)</v>
          </cell>
          <cell r="G1986" t="str">
            <v>FI-Other</v>
          </cell>
          <cell r="H1986" t="str">
            <v>RATES</v>
          </cell>
          <cell r="I1986" t="str">
            <v>Govt Developed Other (AU, GB, JP, ...)</v>
          </cell>
        </row>
        <row r="1987">
          <cell r="A1987" t="str">
            <v>CAD_5yr</v>
          </cell>
          <cell r="B1987" t="str">
            <v>CAD 5Y</v>
          </cell>
          <cell r="C1987" t="str">
            <v>BRS_GOLD__2_RATES:BRS_GOLD__1_OtherIR-HUF_IR-PLN-CZK_IR:BRS_GOLD__1_CADIR:CAD_5yr</v>
          </cell>
          <cell r="D1987" t="str">
            <v>KRD</v>
          </cell>
          <cell r="E1987" t="str">
            <v>Yield</v>
          </cell>
          <cell r="F1987" t="str">
            <v>FI-Govt Developed Other (AU, GB, JP, ...)</v>
          </cell>
          <cell r="G1987" t="str">
            <v>FI-Other</v>
          </cell>
          <cell r="H1987" t="str">
            <v>RATES</v>
          </cell>
          <cell r="I1987" t="str">
            <v>Govt Developed Other (AU, GB, JP, ...)</v>
          </cell>
        </row>
        <row r="1988">
          <cell r="A1988" t="str">
            <v>CAD_7yr</v>
          </cell>
          <cell r="B1988" t="str">
            <v>CAD 7Y</v>
          </cell>
          <cell r="C1988" t="str">
            <v>BRS_GOLD__2_RATES:BRS_GOLD__1_OtherIR-HUF_IR-PLN-CZK_IR:BRS_GOLD__1_CADIR:CAD_7yr</v>
          </cell>
          <cell r="D1988" t="str">
            <v>KRD</v>
          </cell>
          <cell r="E1988" t="str">
            <v>Yield</v>
          </cell>
          <cell r="F1988" t="str">
            <v>FI-Govt Developed Other (AU, GB, JP, ...)</v>
          </cell>
          <cell r="G1988" t="str">
            <v>FI-Other</v>
          </cell>
          <cell r="H1988" t="str">
            <v>RATES</v>
          </cell>
          <cell r="I1988" t="str">
            <v>Govt Developed Other (AU, GB, JP, ...)</v>
          </cell>
        </row>
        <row r="1989">
          <cell r="A1989" t="str">
            <v>CAD_10yr</v>
          </cell>
          <cell r="B1989" t="str">
            <v>CAD 10Y</v>
          </cell>
          <cell r="C1989" t="str">
            <v>BRS_GOLD__2_RATES:BRS_GOLD__1_OtherIR-HUF_IR-PLN-CZK_IR:BRS_GOLD__1_CADIR:CAD_10yr</v>
          </cell>
          <cell r="D1989" t="str">
            <v>KRD</v>
          </cell>
          <cell r="E1989" t="str">
            <v>Yield</v>
          </cell>
          <cell r="F1989" t="str">
            <v>FI-Govt Developed Other (AU, GB, JP, ...)</v>
          </cell>
          <cell r="G1989" t="str">
            <v>FI-Other</v>
          </cell>
          <cell r="H1989" t="str">
            <v>RATES</v>
          </cell>
          <cell r="I1989" t="str">
            <v>Govt Developed Other (AU, GB, JP, ...)</v>
          </cell>
        </row>
        <row r="1990">
          <cell r="A1990" t="str">
            <v>CAD_15yr</v>
          </cell>
          <cell r="B1990" t="str">
            <v>CAD 15Y</v>
          </cell>
          <cell r="C1990" t="str">
            <v>BRS_GOLD__2_RATES:BRS_GOLD__1_OtherIR-HUF_IR-PLN-CZK_IR:BRS_GOLD__1_CADIR:CAD_15yr</v>
          </cell>
          <cell r="D1990" t="str">
            <v>KRD</v>
          </cell>
          <cell r="E1990" t="str">
            <v>Yield</v>
          </cell>
          <cell r="F1990" t="str">
            <v>FI-Govt Developed Other (AU, GB, JP, ...)</v>
          </cell>
          <cell r="G1990" t="str">
            <v>FI-Other</v>
          </cell>
          <cell r="H1990" t="str">
            <v>RATES</v>
          </cell>
          <cell r="I1990" t="str">
            <v>Govt Developed Other (AU, GB, JP, ...)</v>
          </cell>
        </row>
        <row r="1991">
          <cell r="A1991" t="str">
            <v>CAD_20yr</v>
          </cell>
          <cell r="B1991" t="str">
            <v>CAD 20Y</v>
          </cell>
          <cell r="C1991" t="str">
            <v>BRS_GOLD__2_RATES:BRS_GOLD__1_OtherIR-HUF_IR-PLN-CZK_IR:BRS_GOLD__1_CADIR:CAD_20yr</v>
          </cell>
          <cell r="D1991" t="str">
            <v>KRD</v>
          </cell>
          <cell r="E1991" t="str">
            <v>Yield</v>
          </cell>
          <cell r="F1991" t="str">
            <v>FI-Govt Developed Other (AU, GB, JP, ...)</v>
          </cell>
          <cell r="G1991" t="str">
            <v>FI-Other</v>
          </cell>
          <cell r="H1991" t="str">
            <v>RATES</v>
          </cell>
          <cell r="I1991" t="str">
            <v>Govt Developed Other (AU, GB, JP, ...)</v>
          </cell>
        </row>
        <row r="1992">
          <cell r="A1992" t="str">
            <v>CAD_25yr</v>
          </cell>
          <cell r="B1992" t="str">
            <v>CAD 25Y</v>
          </cell>
          <cell r="C1992" t="str">
            <v>BRS_GOLD__2_RATES:BRS_GOLD__1_OtherIR-HUF_IR-PLN-CZK_IR:BRS_GOLD__1_CADIR:CAD_25yr</v>
          </cell>
          <cell r="D1992" t="str">
            <v>KRD</v>
          </cell>
          <cell r="E1992" t="str">
            <v>Yield</v>
          </cell>
          <cell r="F1992" t="str">
            <v>FI-Govt Developed Other (AU, GB, JP, ...)</v>
          </cell>
          <cell r="G1992" t="str">
            <v>FI-Other</v>
          </cell>
          <cell r="H1992" t="str">
            <v>RATES</v>
          </cell>
          <cell r="I1992" t="str">
            <v>Govt Developed Other (AU, GB, JP, ...)</v>
          </cell>
        </row>
        <row r="1993">
          <cell r="A1993" t="str">
            <v>CAD_30yr</v>
          </cell>
          <cell r="B1993" t="str">
            <v>CAD 30Y</v>
          </cell>
          <cell r="C1993" t="str">
            <v>BRS_GOLD__2_RATES:BRS_GOLD__1_OtherIR-HUF_IR-PLN-CZK_IR:BRS_GOLD__1_CADIR:CAD_30yr</v>
          </cell>
          <cell r="D1993" t="str">
            <v>KRD</v>
          </cell>
          <cell r="E1993" t="str">
            <v>Yield</v>
          </cell>
          <cell r="F1993" t="str">
            <v>FI-Govt Developed Other (AU, GB, JP, ...)</v>
          </cell>
          <cell r="G1993" t="str">
            <v>FI-Other</v>
          </cell>
          <cell r="H1993" t="str">
            <v>RATES</v>
          </cell>
          <cell r="I1993" t="str">
            <v>Govt Developed Other (AU, GB, JP, ...)</v>
          </cell>
        </row>
        <row r="1994">
          <cell r="A1994" t="str">
            <v>CAD_40yr</v>
          </cell>
          <cell r="B1994" t="str">
            <v>CAD 40Y</v>
          </cell>
          <cell r="C1994" t="str">
            <v>-BRS_GOLD_1:CAD_40yr</v>
          </cell>
          <cell r="D1994" t="str">
            <v>KRD</v>
          </cell>
          <cell r="E1994" t="str">
            <v>Yield</v>
          </cell>
          <cell r="F1994" t="str">
            <v>FI-Govt Developed Other (AU, GB, JP, ...)</v>
          </cell>
          <cell r="G1994" t="str">
            <v>FI-Other</v>
          </cell>
          <cell r="H1994" t="str">
            <v>RATES</v>
          </cell>
          <cell r="I1994" t="str">
            <v>Govt Developed Other (AU, GB, JP, ...)</v>
          </cell>
        </row>
        <row r="1995">
          <cell r="A1995" t="str">
            <v>CAD_50yr</v>
          </cell>
          <cell r="B1995" t="str">
            <v>CAD 50Y</v>
          </cell>
          <cell r="C1995" t="str">
            <v>-BRS_GOLD_1:CAD_50yr</v>
          </cell>
          <cell r="D1995" t="str">
            <v>KRD</v>
          </cell>
          <cell r="E1995" t="str">
            <v>Yield</v>
          </cell>
          <cell r="F1995" t="str">
            <v>FI-Govt Developed Other (AU, GB, JP, ...)</v>
          </cell>
          <cell r="G1995" t="str">
            <v>FI-Other</v>
          </cell>
          <cell r="H1995" t="str">
            <v>RATES</v>
          </cell>
          <cell r="I1995" t="str">
            <v>Govt Developed Other (AU, GB, JP, ...)</v>
          </cell>
        </row>
        <row r="1996">
          <cell r="A1996" t="str">
            <v>CHF_3m</v>
          </cell>
          <cell r="B1996" t="str">
            <v>CHF 3M</v>
          </cell>
          <cell r="C1996" t="str">
            <v>BRS_GOLD__2_RATES:BRS_GOLD__1_OtherIR-HUF_IR-PLN-CZK_IR:BRS_GOLD__1_CHFIR:CHF_3m</v>
          </cell>
          <cell r="D1996" t="str">
            <v>KRD</v>
          </cell>
          <cell r="E1996" t="str">
            <v>Yield</v>
          </cell>
          <cell r="F1996" t="str">
            <v>FI-Govt Developed Other (AU, GB, JP, ...)</v>
          </cell>
          <cell r="G1996" t="str">
            <v>FI-Other</v>
          </cell>
          <cell r="H1996" t="str">
            <v>RATES</v>
          </cell>
          <cell r="I1996" t="str">
            <v>Govt Developed Other (AU, GB, JP, ...)</v>
          </cell>
        </row>
        <row r="1997">
          <cell r="A1997" t="str">
            <v>CHF_1yr</v>
          </cell>
          <cell r="B1997" t="str">
            <v>CHF 1Y</v>
          </cell>
          <cell r="C1997" t="str">
            <v>BRS_GOLD__2_RATES:BRS_GOLD__1_OtherIR-HUF_IR-PLN-CZK_IR:BRS_GOLD__1_CHFIR:CHF_1yr</v>
          </cell>
          <cell r="D1997" t="str">
            <v>KRD</v>
          </cell>
          <cell r="E1997" t="str">
            <v>Yield</v>
          </cell>
          <cell r="F1997" t="str">
            <v>FI-Govt Developed Other (AU, GB, JP, ...)</v>
          </cell>
          <cell r="G1997" t="str">
            <v>FI-Other</v>
          </cell>
          <cell r="H1997" t="str">
            <v>RATES</v>
          </cell>
          <cell r="I1997" t="str">
            <v>Govt Developed Other (AU, GB, JP, ...)</v>
          </cell>
        </row>
        <row r="1998">
          <cell r="A1998" t="str">
            <v>CHF_2yr</v>
          </cell>
          <cell r="B1998" t="str">
            <v>CHF 2Y</v>
          </cell>
          <cell r="C1998" t="str">
            <v>BRS_GOLD__2_RATES:BRS_GOLD__1_OtherIR-HUF_IR-PLN-CZK_IR:BRS_GOLD__1_CHFIR:CHF_2yr</v>
          </cell>
          <cell r="D1998" t="str">
            <v>KRD</v>
          </cell>
          <cell r="E1998" t="str">
            <v>Yield</v>
          </cell>
          <cell r="F1998" t="str">
            <v>FI-Govt Developed Other (AU, GB, JP, ...)</v>
          </cell>
          <cell r="G1998" t="str">
            <v>FI-Other</v>
          </cell>
          <cell r="H1998" t="str">
            <v>RATES</v>
          </cell>
          <cell r="I1998" t="str">
            <v>Govt Developed Other (AU, GB, JP, ...)</v>
          </cell>
        </row>
        <row r="1999">
          <cell r="A1999" t="str">
            <v>CHF_3yr</v>
          </cell>
          <cell r="B1999" t="str">
            <v>CHF 3Y</v>
          </cell>
          <cell r="C1999" t="str">
            <v>BRS_GOLD__2_RATES:BRS_GOLD__1_OtherIR-HUF_IR-PLN-CZK_IR:BRS_GOLD__1_CHFIR:CHF_3yr</v>
          </cell>
          <cell r="D1999" t="str">
            <v>KRD</v>
          </cell>
          <cell r="E1999" t="str">
            <v>Yield</v>
          </cell>
          <cell r="F1999" t="str">
            <v>FI-Govt Developed Other (AU, GB, JP, ...)</v>
          </cell>
          <cell r="G1999" t="str">
            <v>FI-Other</v>
          </cell>
          <cell r="H1999" t="str">
            <v>RATES</v>
          </cell>
          <cell r="I1999" t="str">
            <v>Govt Developed Other (AU, GB, JP, ...)</v>
          </cell>
        </row>
        <row r="2000">
          <cell r="A2000" t="str">
            <v>CHF_5yr</v>
          </cell>
          <cell r="B2000" t="str">
            <v>CHF 5Y</v>
          </cell>
          <cell r="C2000" t="str">
            <v>BRS_GOLD__2_RATES:BRS_GOLD__1_OtherIR-HUF_IR-PLN-CZK_IR:BRS_GOLD__1_CHFIR:CHF_5yr</v>
          </cell>
          <cell r="D2000" t="str">
            <v>KRD</v>
          </cell>
          <cell r="E2000" t="str">
            <v>Yield</v>
          </cell>
          <cell r="F2000" t="str">
            <v>FI-Govt Developed Other (AU, GB, JP, ...)</v>
          </cell>
          <cell r="G2000" t="str">
            <v>FI-Other</v>
          </cell>
          <cell r="H2000" t="str">
            <v>RATES</v>
          </cell>
          <cell r="I2000" t="str">
            <v>Govt Developed Other (AU, GB, JP, ...)</v>
          </cell>
        </row>
        <row r="2001">
          <cell r="A2001" t="str">
            <v>CHF_7yr</v>
          </cell>
          <cell r="B2001" t="str">
            <v>CHF 7Y</v>
          </cell>
          <cell r="C2001" t="str">
            <v>BRS_GOLD__2_RATES:BRS_GOLD__1_OtherIR-HUF_IR-PLN-CZK_IR:BRS_GOLD__1_CHFIR:CHF_7yr</v>
          </cell>
          <cell r="D2001" t="str">
            <v>KRD</v>
          </cell>
          <cell r="E2001" t="str">
            <v>Yield</v>
          </cell>
          <cell r="F2001" t="str">
            <v>FI-Govt Developed Other (AU, GB, JP, ...)</v>
          </cell>
          <cell r="G2001" t="str">
            <v>FI-Other</v>
          </cell>
          <cell r="H2001" t="str">
            <v>RATES</v>
          </cell>
          <cell r="I2001" t="str">
            <v>Govt Developed Other (AU, GB, JP, ...)</v>
          </cell>
        </row>
        <row r="2002">
          <cell r="A2002" t="str">
            <v>CHF_10yr</v>
          </cell>
          <cell r="B2002" t="str">
            <v>CHF 10Y</v>
          </cell>
          <cell r="C2002" t="str">
            <v>BRS_GOLD__2_RATES:BRS_GOLD__1_OtherIR-HUF_IR-PLN-CZK_IR:BRS_GOLD__1_CHFIR:CHF_10yr</v>
          </cell>
          <cell r="D2002" t="str">
            <v>KRD</v>
          </cell>
          <cell r="E2002" t="str">
            <v>Yield</v>
          </cell>
          <cell r="F2002" t="str">
            <v>FI-Govt Developed Other (AU, GB, JP, ...)</v>
          </cell>
          <cell r="G2002" t="str">
            <v>FI-Other</v>
          </cell>
          <cell r="H2002" t="str">
            <v>RATES</v>
          </cell>
          <cell r="I2002" t="str">
            <v>Govt Developed Other (AU, GB, JP, ...)</v>
          </cell>
        </row>
        <row r="2003">
          <cell r="A2003" t="str">
            <v>CHF_15yr</v>
          </cell>
          <cell r="B2003" t="str">
            <v>CHF 15Y</v>
          </cell>
          <cell r="C2003" t="str">
            <v>BRS_GOLD__2_RATES:BRS_GOLD__1_OtherIR-HUF_IR-PLN-CZK_IR:BRS_GOLD__1_CHFIR:CHF_15yr</v>
          </cell>
          <cell r="D2003" t="str">
            <v>KRD</v>
          </cell>
          <cell r="E2003" t="str">
            <v>Yield</v>
          </cell>
          <cell r="F2003" t="str">
            <v>FI-Govt Developed Other (AU, GB, JP, ...)</v>
          </cell>
          <cell r="G2003" t="str">
            <v>FI-Other</v>
          </cell>
          <cell r="H2003" t="str">
            <v>RATES</v>
          </cell>
          <cell r="I2003" t="str">
            <v>Govt Developed Other (AU, GB, JP, ...)</v>
          </cell>
        </row>
        <row r="2004">
          <cell r="A2004" t="str">
            <v>CHF_20yr</v>
          </cell>
          <cell r="B2004" t="str">
            <v>CHF 20Y</v>
          </cell>
          <cell r="C2004" t="str">
            <v>BRS_GOLD__2_RATES:BRS_GOLD__1_OtherIR-HUF_IR-PLN-CZK_IR:BRS_GOLD__1_CHFIR:CHF_20yr</v>
          </cell>
          <cell r="D2004" t="str">
            <v>KRD</v>
          </cell>
          <cell r="E2004" t="str">
            <v>Yield</v>
          </cell>
          <cell r="F2004" t="str">
            <v>FI-Govt Developed Other (AU, GB, JP, ...)</v>
          </cell>
          <cell r="G2004" t="str">
            <v>FI-Other</v>
          </cell>
          <cell r="H2004" t="str">
            <v>RATES</v>
          </cell>
          <cell r="I2004" t="str">
            <v>Govt Developed Other (AU, GB, JP, ...)</v>
          </cell>
        </row>
        <row r="2005">
          <cell r="A2005" t="str">
            <v>CHF_25yr</v>
          </cell>
          <cell r="B2005" t="str">
            <v>CHF 25Y</v>
          </cell>
          <cell r="C2005" t="str">
            <v>BRS_GOLD__2_RATES:BRS_GOLD__1_OtherIR-HUF_IR-PLN-CZK_IR:BRS_GOLD__1_CHFIR:CHF_25yr</v>
          </cell>
          <cell r="D2005" t="str">
            <v>KRD</v>
          </cell>
          <cell r="E2005" t="str">
            <v>Yield</v>
          </cell>
          <cell r="F2005" t="str">
            <v>FI-Govt Developed Other (AU, GB, JP, ...)</v>
          </cell>
          <cell r="G2005" t="str">
            <v>FI-Other</v>
          </cell>
          <cell r="H2005" t="str">
            <v>RATES</v>
          </cell>
          <cell r="I2005" t="str">
            <v>Govt Developed Other (AU, GB, JP, ...)</v>
          </cell>
        </row>
        <row r="2006">
          <cell r="A2006" t="str">
            <v>CHF_30yr</v>
          </cell>
          <cell r="B2006" t="str">
            <v>CHF 30Y</v>
          </cell>
          <cell r="C2006" t="str">
            <v>BRS_GOLD__2_RATES:BRS_GOLD__1_OtherIR-HUF_IR-PLN-CZK_IR:BRS_GOLD__1_CHFIR:CHF_30yr</v>
          </cell>
          <cell r="D2006" t="str">
            <v>KRD</v>
          </cell>
          <cell r="E2006" t="str">
            <v>Yield</v>
          </cell>
          <cell r="F2006" t="str">
            <v>FI-Govt Developed Other (AU, GB, JP, ...)</v>
          </cell>
          <cell r="G2006" t="str">
            <v>FI-Other</v>
          </cell>
          <cell r="H2006" t="str">
            <v>RATES</v>
          </cell>
          <cell r="I2006" t="str">
            <v>Govt Developed Other (AU, GB, JP, ...)</v>
          </cell>
        </row>
        <row r="2007">
          <cell r="A2007" t="str">
            <v>CLF_3m</v>
          </cell>
          <cell r="B2007" t="str">
            <v>CLF 3M</v>
          </cell>
          <cell r="C2007" t="str">
            <v>BRS_GOLD__2_RATES:BRS_GOLD__1_OtherIR-HUF_IR-PLN-CZK_IR:CLF_IR:CLF_3m</v>
          </cell>
          <cell r="D2007" t="str">
            <v>KRD</v>
          </cell>
          <cell r="E2007" t="str">
            <v>Yield</v>
          </cell>
          <cell r="F2007" t="str">
            <v>FI-Govt Emerging Markets</v>
          </cell>
          <cell r="G2007" t="str">
            <v>FI-Other</v>
          </cell>
          <cell r="H2007" t="str">
            <v>RATES</v>
          </cell>
          <cell r="I2007" t="str">
            <v>Govt Emerging Markets</v>
          </cell>
        </row>
        <row r="2008">
          <cell r="A2008" t="str">
            <v>CLF_1yr</v>
          </cell>
          <cell r="B2008" t="str">
            <v>CLF 1Y</v>
          </cell>
          <cell r="C2008" t="str">
            <v>BRS_GOLD__2_RATES:BRS_GOLD__1_OtherIR-HUF_IR-PLN-CZK_IR:CLF_IR:CLF_1yr</v>
          </cell>
          <cell r="D2008" t="str">
            <v>KRD</v>
          </cell>
          <cell r="E2008" t="str">
            <v>Yield</v>
          </cell>
          <cell r="F2008" t="str">
            <v>FI-Govt Emerging Markets</v>
          </cell>
          <cell r="G2008" t="str">
            <v>FI-Other</v>
          </cell>
          <cell r="H2008" t="str">
            <v>RATES</v>
          </cell>
          <cell r="I2008" t="str">
            <v>Govt Emerging Markets</v>
          </cell>
        </row>
        <row r="2009">
          <cell r="A2009" t="str">
            <v>CLF_2yr</v>
          </cell>
          <cell r="B2009" t="str">
            <v>CLF 2Y</v>
          </cell>
          <cell r="C2009" t="str">
            <v>BRS_GOLD__2_RATES:BRS_GOLD__1_OtherIR-HUF_IR-PLN-CZK_IR:CLF_IR:CLF_2yr</v>
          </cell>
          <cell r="D2009" t="str">
            <v>KRD</v>
          </cell>
          <cell r="E2009" t="str">
            <v>Yield</v>
          </cell>
          <cell r="F2009" t="str">
            <v>FI-Govt Emerging Markets</v>
          </cell>
          <cell r="G2009" t="str">
            <v>FI-Other</v>
          </cell>
          <cell r="H2009" t="str">
            <v>RATES</v>
          </cell>
          <cell r="I2009" t="str">
            <v>Govt Emerging Markets</v>
          </cell>
        </row>
        <row r="2010">
          <cell r="A2010" t="str">
            <v>CLF_3yr</v>
          </cell>
          <cell r="B2010" t="str">
            <v>CLF 3Y</v>
          </cell>
          <cell r="C2010" t="str">
            <v>BRS_GOLD__2_RATES:BRS_GOLD__1_OtherIR-HUF_IR-PLN-CZK_IR:CLF_IR:CLF_3yr</v>
          </cell>
          <cell r="D2010" t="str">
            <v>KRD</v>
          </cell>
          <cell r="E2010" t="str">
            <v>Yield</v>
          </cell>
          <cell r="F2010" t="str">
            <v>FI-Govt Emerging Markets</v>
          </cell>
          <cell r="G2010" t="str">
            <v>FI-Other</v>
          </cell>
          <cell r="H2010" t="str">
            <v>RATES</v>
          </cell>
          <cell r="I2010" t="str">
            <v>Govt Emerging Markets</v>
          </cell>
        </row>
        <row r="2011">
          <cell r="A2011" t="str">
            <v>CLF_5yr</v>
          </cell>
          <cell r="B2011" t="str">
            <v>CLF 5Y</v>
          </cell>
          <cell r="C2011" t="str">
            <v>BRS_GOLD__2_RATES:BRS_GOLD__1_OtherIR-HUF_IR-PLN-CZK_IR:CLF_IR:CLF_5yr</v>
          </cell>
          <cell r="D2011" t="str">
            <v>KRD</v>
          </cell>
          <cell r="E2011" t="str">
            <v>Yield</v>
          </cell>
          <cell r="F2011" t="str">
            <v>FI-Govt Emerging Markets</v>
          </cell>
          <cell r="G2011" t="str">
            <v>FI-Other</v>
          </cell>
          <cell r="H2011" t="str">
            <v>RATES</v>
          </cell>
          <cell r="I2011" t="str">
            <v>Govt Emerging Markets</v>
          </cell>
        </row>
        <row r="2012">
          <cell r="A2012" t="str">
            <v>CLF_7yr</v>
          </cell>
          <cell r="B2012" t="str">
            <v>CLF 7Y</v>
          </cell>
          <cell r="C2012" t="str">
            <v>BRS_GOLD__2_RATES:BRS_GOLD__1_OtherIR-HUF_IR-PLN-CZK_IR:CLF_IR:CLF_7yr</v>
          </cell>
          <cell r="D2012" t="str">
            <v>KRD</v>
          </cell>
          <cell r="E2012" t="str">
            <v>Yield</v>
          </cell>
          <cell r="F2012" t="str">
            <v>FI-Govt Emerging Markets</v>
          </cell>
          <cell r="G2012" t="str">
            <v>FI-Other</v>
          </cell>
          <cell r="H2012" t="str">
            <v>RATES</v>
          </cell>
          <cell r="I2012" t="str">
            <v>Govt Emerging Markets</v>
          </cell>
        </row>
        <row r="2013">
          <cell r="A2013" t="str">
            <v>CLF_10yr</v>
          </cell>
          <cell r="B2013" t="str">
            <v>CLF 10Y</v>
          </cell>
          <cell r="C2013" t="str">
            <v>BRS_GOLD__2_RATES:BRS_GOLD__1_OtherIR-HUF_IR-PLN-CZK_IR:CLF_IR:CLF_10yr</v>
          </cell>
          <cell r="D2013" t="str">
            <v>KRD</v>
          </cell>
          <cell r="E2013" t="str">
            <v>Yield</v>
          </cell>
          <cell r="F2013" t="str">
            <v>FI-Govt Emerging Markets</v>
          </cell>
          <cell r="G2013" t="str">
            <v>FI-Other</v>
          </cell>
          <cell r="H2013" t="str">
            <v>RATES</v>
          </cell>
          <cell r="I2013" t="str">
            <v>Govt Emerging Markets</v>
          </cell>
        </row>
        <row r="2014">
          <cell r="A2014" t="str">
            <v>CLF_15yr</v>
          </cell>
          <cell r="B2014" t="str">
            <v>CLF 15Y</v>
          </cell>
          <cell r="C2014" t="str">
            <v>BRS_GOLD__2_RATES:BRS_GOLD__1_OtherIR-HUF_IR-PLN-CZK_IR:CLF_IR:CLF_15yr</v>
          </cell>
          <cell r="D2014" t="str">
            <v>KRD</v>
          </cell>
          <cell r="E2014" t="str">
            <v>Yield</v>
          </cell>
          <cell r="F2014" t="str">
            <v>FI-Govt Emerging Markets</v>
          </cell>
          <cell r="G2014" t="str">
            <v>FI-Other</v>
          </cell>
          <cell r="H2014" t="str">
            <v>RATES</v>
          </cell>
          <cell r="I2014" t="str">
            <v>Govt Emerging Markets</v>
          </cell>
        </row>
        <row r="2015">
          <cell r="A2015" t="str">
            <v>CLF_20yr</v>
          </cell>
          <cell r="B2015" t="str">
            <v>CLF 20Y</v>
          </cell>
          <cell r="C2015" t="str">
            <v>BRS_GOLD__2_RATES:BRS_GOLD__1_OtherIR-HUF_IR-PLN-CZK_IR:CLF_IR:CLF_20yr</v>
          </cell>
          <cell r="D2015" t="str">
            <v>KRD</v>
          </cell>
          <cell r="E2015" t="str">
            <v>Yield</v>
          </cell>
          <cell r="F2015" t="str">
            <v>FI-Govt Emerging Markets</v>
          </cell>
          <cell r="G2015" t="str">
            <v>FI-Other</v>
          </cell>
          <cell r="H2015" t="str">
            <v>RATES</v>
          </cell>
          <cell r="I2015" t="str">
            <v>Govt Emerging Markets</v>
          </cell>
        </row>
        <row r="2016">
          <cell r="A2016" t="str">
            <v>CLF_25yr</v>
          </cell>
          <cell r="B2016" t="str">
            <v>CLF 25Y</v>
          </cell>
          <cell r="C2016" t="str">
            <v>BRS_GOLD__2_RATES:BRS_GOLD__1_OtherIR-HUF_IR-PLN-CZK_IR:CLF_IR:CLF_25yr</v>
          </cell>
          <cell r="D2016" t="str">
            <v>KRD</v>
          </cell>
          <cell r="E2016" t="str">
            <v>Yield</v>
          </cell>
          <cell r="F2016" t="str">
            <v>FI-Govt Emerging Markets</v>
          </cell>
          <cell r="G2016" t="str">
            <v>FI-Other</v>
          </cell>
          <cell r="H2016" t="str">
            <v>RATES</v>
          </cell>
          <cell r="I2016" t="str">
            <v>Govt Emerging Markets</v>
          </cell>
        </row>
        <row r="2017">
          <cell r="A2017" t="str">
            <v>CLF_30yr</v>
          </cell>
          <cell r="B2017" t="str">
            <v>CLF 30Y</v>
          </cell>
          <cell r="C2017" t="str">
            <v>BRS_GOLD__2_RATES:BRS_GOLD__1_OtherIR-HUF_IR-PLN-CZK_IR:CLF_IR:CLF_30yr</v>
          </cell>
          <cell r="D2017" t="str">
            <v>KRD</v>
          </cell>
          <cell r="E2017" t="str">
            <v>Yield</v>
          </cell>
          <cell r="F2017" t="str">
            <v>FI-Govt Emerging Markets</v>
          </cell>
          <cell r="G2017" t="str">
            <v>FI-Other</v>
          </cell>
          <cell r="H2017" t="str">
            <v>RATES</v>
          </cell>
          <cell r="I2017" t="str">
            <v>Govt Emerging Markets</v>
          </cell>
        </row>
        <row r="2018">
          <cell r="A2018" t="str">
            <v>CLP_3m</v>
          </cell>
          <cell r="B2018" t="str">
            <v>CLP 3M</v>
          </cell>
          <cell r="C2018" t="str">
            <v>BRS_GOLD__2_RATES:BRS_GOLD__1_OtherIR-HUF_IR-PLN-CZK_IR:CLP_IR:CLP_3m</v>
          </cell>
          <cell r="D2018" t="str">
            <v>KRD</v>
          </cell>
          <cell r="E2018" t="str">
            <v>Yield</v>
          </cell>
          <cell r="F2018" t="str">
            <v>FI-Govt Emerging Markets</v>
          </cell>
          <cell r="G2018" t="str">
            <v>FI-Other</v>
          </cell>
          <cell r="H2018" t="str">
            <v>RATES</v>
          </cell>
          <cell r="I2018" t="str">
            <v>Govt Emerging Markets</v>
          </cell>
        </row>
        <row r="2019">
          <cell r="A2019" t="str">
            <v>CLP_1yr</v>
          </cell>
          <cell r="B2019" t="str">
            <v>CLP 1Y</v>
          </cell>
          <cell r="C2019" t="str">
            <v>BRS_GOLD__2_RATES:BRS_GOLD__1_OtherIR-HUF_IR-PLN-CZK_IR:CLP_IR:CLP_1yr</v>
          </cell>
          <cell r="D2019" t="str">
            <v>KRD</v>
          </cell>
          <cell r="E2019" t="str">
            <v>Yield</v>
          </cell>
          <cell r="F2019" t="str">
            <v>FI-Govt Emerging Markets</v>
          </cell>
          <cell r="G2019" t="str">
            <v>FI-Other</v>
          </cell>
          <cell r="H2019" t="str">
            <v>RATES</v>
          </cell>
          <cell r="I2019" t="str">
            <v>Govt Emerging Markets</v>
          </cell>
        </row>
        <row r="2020">
          <cell r="A2020" t="str">
            <v>CLP_2yr</v>
          </cell>
          <cell r="B2020" t="str">
            <v>CLP 2Y</v>
          </cell>
          <cell r="C2020" t="str">
            <v>BRS_GOLD__2_RATES:BRS_GOLD__1_OtherIR-HUF_IR-PLN-CZK_IR:CLP_IR:CLP_2yr</v>
          </cell>
          <cell r="D2020" t="str">
            <v>KRD</v>
          </cell>
          <cell r="E2020" t="str">
            <v>Yield</v>
          </cell>
          <cell r="F2020" t="str">
            <v>FI-Govt Emerging Markets</v>
          </cell>
          <cell r="G2020" t="str">
            <v>FI-Other</v>
          </cell>
          <cell r="H2020" t="str">
            <v>RATES</v>
          </cell>
          <cell r="I2020" t="str">
            <v>Govt Emerging Markets</v>
          </cell>
        </row>
        <row r="2021">
          <cell r="A2021" t="str">
            <v>CLP_3yr</v>
          </cell>
          <cell r="B2021" t="str">
            <v>CLP 3Y</v>
          </cell>
          <cell r="C2021" t="str">
            <v>BRS_GOLD__2_RATES:BRS_GOLD__1_OtherIR-HUF_IR-PLN-CZK_IR:CLP_IR:CLP_3yr</v>
          </cell>
          <cell r="D2021" t="str">
            <v>KRD</v>
          </cell>
          <cell r="E2021" t="str">
            <v>Yield</v>
          </cell>
          <cell r="F2021" t="str">
            <v>FI-Govt Emerging Markets</v>
          </cell>
          <cell r="G2021" t="str">
            <v>FI-Other</v>
          </cell>
          <cell r="H2021" t="str">
            <v>RATES</v>
          </cell>
          <cell r="I2021" t="str">
            <v>Govt Emerging Markets</v>
          </cell>
        </row>
        <row r="2022">
          <cell r="A2022" t="str">
            <v>CLP_5yr</v>
          </cell>
          <cell r="B2022" t="str">
            <v>CLP 5Y</v>
          </cell>
          <cell r="C2022" t="str">
            <v>BRS_GOLD__2_RATES:BRS_GOLD__1_OtherIR-HUF_IR-PLN-CZK_IR:CLP_IR:CLP_5yr</v>
          </cell>
          <cell r="D2022" t="str">
            <v>KRD</v>
          </cell>
          <cell r="E2022" t="str">
            <v>Yield</v>
          </cell>
          <cell r="F2022" t="str">
            <v>FI-Govt Emerging Markets</v>
          </cell>
          <cell r="G2022" t="str">
            <v>FI-Other</v>
          </cell>
          <cell r="H2022" t="str">
            <v>RATES</v>
          </cell>
          <cell r="I2022" t="str">
            <v>Govt Emerging Markets</v>
          </cell>
        </row>
        <row r="2023">
          <cell r="A2023" t="str">
            <v>CLP_7yr</v>
          </cell>
          <cell r="B2023" t="str">
            <v>CLP 7Y</v>
          </cell>
          <cell r="C2023" t="str">
            <v>BRS_GOLD__2_RATES:BRS_GOLD__1_OtherIR-HUF_IR-PLN-CZK_IR:CLP_IR:CLP_7yr</v>
          </cell>
          <cell r="D2023" t="str">
            <v>KRD</v>
          </cell>
          <cell r="E2023" t="str">
            <v>Yield</v>
          </cell>
          <cell r="F2023" t="str">
            <v>FI-Govt Emerging Markets</v>
          </cell>
          <cell r="G2023" t="str">
            <v>FI-Other</v>
          </cell>
          <cell r="H2023" t="str">
            <v>RATES</v>
          </cell>
          <cell r="I2023" t="str">
            <v>Govt Emerging Markets</v>
          </cell>
        </row>
        <row r="2024">
          <cell r="A2024" t="str">
            <v>CLP_10yr</v>
          </cell>
          <cell r="B2024" t="str">
            <v>CLP 10Y</v>
          </cell>
          <cell r="C2024" t="str">
            <v>BRS_GOLD__2_RATES:BRS_GOLD__1_OtherIR-HUF_IR-PLN-CZK_IR:CLP_IR:CLP_10yr</v>
          </cell>
          <cell r="D2024" t="str">
            <v>KRD</v>
          </cell>
          <cell r="E2024" t="str">
            <v>Yield</v>
          </cell>
          <cell r="F2024" t="str">
            <v>FI-Govt Emerging Markets</v>
          </cell>
          <cell r="G2024" t="str">
            <v>FI-Other</v>
          </cell>
          <cell r="H2024" t="str">
            <v>RATES</v>
          </cell>
          <cell r="I2024" t="str">
            <v>Govt Emerging Markets</v>
          </cell>
        </row>
        <row r="2025">
          <cell r="A2025" t="str">
            <v>CLP_15yr</v>
          </cell>
          <cell r="B2025" t="str">
            <v>CLP 15Y</v>
          </cell>
          <cell r="C2025" t="str">
            <v>BRS_GOLD__2_RATES:BRS_GOLD__1_OtherIR-HUF_IR-PLN-CZK_IR:CLP_IR:CLP_15yr</v>
          </cell>
          <cell r="D2025" t="str">
            <v>KRD</v>
          </cell>
          <cell r="E2025" t="str">
            <v>Yield</v>
          </cell>
          <cell r="F2025" t="str">
            <v>FI-Govt Emerging Markets</v>
          </cell>
          <cell r="G2025" t="str">
            <v>FI-Other</v>
          </cell>
          <cell r="H2025" t="str">
            <v>RATES</v>
          </cell>
          <cell r="I2025" t="str">
            <v>Govt Emerging Markets</v>
          </cell>
        </row>
        <row r="2026">
          <cell r="A2026" t="str">
            <v>CLP_20yr</v>
          </cell>
          <cell r="B2026" t="str">
            <v>CLP 20Y</v>
          </cell>
          <cell r="C2026" t="str">
            <v>BRS_GOLD__2_RATES:BRS_GOLD__1_OtherIR-HUF_IR-PLN-CZK_IR:CLP_IR:CLP_20yr</v>
          </cell>
          <cell r="D2026" t="str">
            <v>KRD</v>
          </cell>
          <cell r="E2026" t="str">
            <v>Yield</v>
          </cell>
          <cell r="F2026" t="str">
            <v>FI-Govt Emerging Markets</v>
          </cell>
          <cell r="G2026" t="str">
            <v>FI-Other</v>
          </cell>
          <cell r="H2026" t="str">
            <v>RATES</v>
          </cell>
          <cell r="I2026" t="str">
            <v>Govt Emerging Markets</v>
          </cell>
        </row>
        <row r="2027">
          <cell r="A2027" t="str">
            <v>CLP_25yr</v>
          </cell>
          <cell r="B2027" t="str">
            <v>CLP 25Y</v>
          </cell>
          <cell r="C2027" t="str">
            <v>BRS_GOLD__2_RATES:BRS_GOLD__1_OtherIR-HUF_IR-PLN-CZK_IR:CLP_IR:CLP_25yr</v>
          </cell>
          <cell r="D2027" t="str">
            <v>KRD</v>
          </cell>
          <cell r="E2027" t="str">
            <v>Yield</v>
          </cell>
          <cell r="F2027" t="str">
            <v>FI-Govt Emerging Markets</v>
          </cell>
          <cell r="G2027" t="str">
            <v>FI-Other</v>
          </cell>
          <cell r="H2027" t="str">
            <v>RATES</v>
          </cell>
          <cell r="I2027" t="str">
            <v>Govt Emerging Markets</v>
          </cell>
        </row>
        <row r="2028">
          <cell r="A2028" t="str">
            <v>CLP_30yr</v>
          </cell>
          <cell r="B2028" t="str">
            <v>CLP 30Y</v>
          </cell>
          <cell r="C2028" t="str">
            <v>BRS_GOLD__2_RATES:BRS_GOLD__1_OtherIR-HUF_IR-PLN-CZK_IR:CLP_IR:CLP_30yr</v>
          </cell>
          <cell r="D2028" t="str">
            <v>KRD</v>
          </cell>
          <cell r="E2028" t="str">
            <v>Yield</v>
          </cell>
          <cell r="F2028" t="str">
            <v>FI-Govt Emerging Markets</v>
          </cell>
          <cell r="G2028" t="str">
            <v>FI-Other</v>
          </cell>
          <cell r="H2028" t="str">
            <v>RATES</v>
          </cell>
          <cell r="I2028" t="str">
            <v>Govt Emerging Markets</v>
          </cell>
        </row>
        <row r="2029">
          <cell r="A2029" t="str">
            <v>CNH_3m</v>
          </cell>
          <cell r="B2029" t="str">
            <v>CNH 3M</v>
          </cell>
          <cell r="C2029" t="str">
            <v>BRS_GOLD__2_RATES:BRS_GOLD__1_OtherIR-HUF_IR-PLN-CZK_IR:CNH_IR:CNH_3m</v>
          </cell>
          <cell r="D2029" t="str">
            <v>KRD</v>
          </cell>
          <cell r="E2029" t="str">
            <v>Yield</v>
          </cell>
          <cell r="F2029" t="str">
            <v>FI-Govt Emerging Markets</v>
          </cell>
          <cell r="G2029" t="str">
            <v>FI-Other</v>
          </cell>
          <cell r="H2029" t="str">
            <v>RATES</v>
          </cell>
          <cell r="I2029" t="str">
            <v>Govt Emerging Markets</v>
          </cell>
        </row>
        <row r="2030">
          <cell r="A2030" t="str">
            <v>CNH_1yr</v>
          </cell>
          <cell r="B2030" t="str">
            <v>CNH 1Y</v>
          </cell>
          <cell r="C2030" t="str">
            <v>BRS_GOLD__2_RATES:BRS_GOLD__1_OtherIR-HUF_IR-PLN-CZK_IR:CNH_IR:CNH_1yr</v>
          </cell>
          <cell r="D2030" t="str">
            <v>KRD</v>
          </cell>
          <cell r="E2030" t="str">
            <v>Yield</v>
          </cell>
          <cell r="F2030" t="str">
            <v>FI-Govt Emerging Markets</v>
          </cell>
          <cell r="G2030" t="str">
            <v>FI-Other</v>
          </cell>
          <cell r="H2030" t="str">
            <v>RATES</v>
          </cell>
          <cell r="I2030" t="str">
            <v>Govt Emerging Markets</v>
          </cell>
        </row>
        <row r="2031">
          <cell r="A2031" t="str">
            <v>CNH_2yr</v>
          </cell>
          <cell r="B2031" t="str">
            <v>CNH 2Y</v>
          </cell>
          <cell r="C2031" t="str">
            <v>BRS_GOLD__2_RATES:BRS_GOLD__1_OtherIR-HUF_IR-PLN-CZK_IR:CNH_IR:CNH_2yr</v>
          </cell>
          <cell r="D2031" t="str">
            <v>KRD</v>
          </cell>
          <cell r="E2031" t="str">
            <v>Yield</v>
          </cell>
          <cell r="F2031" t="str">
            <v>FI-Govt Emerging Markets</v>
          </cell>
          <cell r="G2031" t="str">
            <v>FI-Other</v>
          </cell>
          <cell r="H2031" t="str">
            <v>RATES</v>
          </cell>
          <cell r="I2031" t="str">
            <v>Govt Emerging Markets</v>
          </cell>
        </row>
        <row r="2032">
          <cell r="A2032" t="str">
            <v>CNH_3yr</v>
          </cell>
          <cell r="B2032" t="str">
            <v>CNH 3Y</v>
          </cell>
          <cell r="C2032" t="str">
            <v>BRS_GOLD__2_RATES:BRS_GOLD__1_OtherIR-HUF_IR-PLN-CZK_IR:CNH_IR:CNH_3yr</v>
          </cell>
          <cell r="D2032" t="str">
            <v>KRD</v>
          </cell>
          <cell r="E2032" t="str">
            <v>Yield</v>
          </cell>
          <cell r="F2032" t="str">
            <v>FI-Govt Emerging Markets</v>
          </cell>
          <cell r="G2032" t="str">
            <v>FI-Other</v>
          </cell>
          <cell r="H2032" t="str">
            <v>RATES</v>
          </cell>
          <cell r="I2032" t="str">
            <v>Govt Emerging Markets</v>
          </cell>
        </row>
        <row r="2033">
          <cell r="A2033" t="str">
            <v>CNH_5yr</v>
          </cell>
          <cell r="B2033" t="str">
            <v>CNH 5Y</v>
          </cell>
          <cell r="C2033" t="str">
            <v>BRS_GOLD__2_RATES:BRS_GOLD__1_OtherIR-HUF_IR-PLN-CZK_IR:CNH_IR:CNH_5yr</v>
          </cell>
          <cell r="D2033" t="str">
            <v>KRD</v>
          </cell>
          <cell r="E2033" t="str">
            <v>Yield</v>
          </cell>
          <cell r="F2033" t="str">
            <v>FI-Govt Emerging Markets</v>
          </cell>
          <cell r="G2033" t="str">
            <v>FI-Other</v>
          </cell>
          <cell r="H2033" t="str">
            <v>RATES</v>
          </cell>
          <cell r="I2033" t="str">
            <v>Govt Emerging Markets</v>
          </cell>
        </row>
        <row r="2034">
          <cell r="A2034" t="str">
            <v>CNH_7yr</v>
          </cell>
          <cell r="B2034" t="str">
            <v>CNH 7Y</v>
          </cell>
          <cell r="C2034" t="str">
            <v>BRS_GOLD__2_RATES:BRS_GOLD__1_OtherIR-HUF_IR-PLN-CZK_IR:CNH_IR:CNH_7yr</v>
          </cell>
          <cell r="D2034" t="str">
            <v>KRD</v>
          </cell>
          <cell r="E2034" t="str">
            <v>Yield</v>
          </cell>
          <cell r="F2034" t="str">
            <v>FI-Govt Emerging Markets</v>
          </cell>
          <cell r="G2034" t="str">
            <v>FI-Other</v>
          </cell>
          <cell r="H2034" t="str">
            <v>RATES</v>
          </cell>
          <cell r="I2034" t="str">
            <v>Govt Emerging Markets</v>
          </cell>
        </row>
        <row r="2035">
          <cell r="A2035" t="str">
            <v>CNH_10yr</v>
          </cell>
          <cell r="B2035" t="str">
            <v>CNH 10Y</v>
          </cell>
          <cell r="C2035" t="str">
            <v>BRS_GOLD__2_RATES:BRS_GOLD__1_OtherIR-HUF_IR-PLN-CZK_IR:CNH_IR:CNH_10yr</v>
          </cell>
          <cell r="D2035" t="str">
            <v>KRD</v>
          </cell>
          <cell r="E2035" t="str">
            <v>Yield</v>
          </cell>
          <cell r="F2035" t="str">
            <v>FI-Govt Emerging Markets</v>
          </cell>
          <cell r="G2035" t="str">
            <v>FI-Other</v>
          </cell>
          <cell r="H2035" t="str">
            <v>RATES</v>
          </cell>
          <cell r="I2035" t="str">
            <v>Govt Emerging Markets</v>
          </cell>
        </row>
        <row r="2036">
          <cell r="A2036" t="str">
            <v>CNH_15yr</v>
          </cell>
          <cell r="B2036" t="str">
            <v>CNH 15Y</v>
          </cell>
          <cell r="C2036" t="str">
            <v>BRS_GOLD__2_RATES:BRS_GOLD__1_OtherIR-HUF_IR-PLN-CZK_IR:CNH_IR:CNH_15yr</v>
          </cell>
          <cell r="D2036" t="str">
            <v>KRD</v>
          </cell>
          <cell r="E2036" t="str">
            <v>Yield</v>
          </cell>
          <cell r="F2036" t="str">
            <v>FI-Govt Emerging Markets</v>
          </cell>
          <cell r="G2036" t="str">
            <v>FI-Other</v>
          </cell>
          <cell r="H2036" t="str">
            <v>RATES</v>
          </cell>
          <cell r="I2036" t="str">
            <v>Govt Emerging Markets</v>
          </cell>
        </row>
        <row r="2037">
          <cell r="A2037" t="str">
            <v>CNH_20yr</v>
          </cell>
          <cell r="B2037" t="str">
            <v>CNH 20Y</v>
          </cell>
          <cell r="C2037" t="str">
            <v>BRS_GOLD__2_RATES:BRS_GOLD__1_OtherIR-HUF_IR-PLN-CZK_IR:CNH_IR:CNH_20yr</v>
          </cell>
          <cell r="D2037" t="str">
            <v>KRD</v>
          </cell>
          <cell r="E2037" t="str">
            <v>Yield</v>
          </cell>
          <cell r="F2037" t="str">
            <v>FI-Govt Emerging Markets</v>
          </cell>
          <cell r="G2037" t="str">
            <v>FI-Other</v>
          </cell>
          <cell r="H2037" t="str">
            <v>RATES</v>
          </cell>
          <cell r="I2037" t="str">
            <v>Govt Emerging Markets</v>
          </cell>
        </row>
        <row r="2038">
          <cell r="A2038" t="str">
            <v>CNH_25yr</v>
          </cell>
          <cell r="B2038" t="str">
            <v>CNH 25Y</v>
          </cell>
          <cell r="C2038" t="str">
            <v>BRS_GOLD__2_RATES:BRS_GOLD__1_OtherIR-HUF_IR-PLN-CZK_IR:CNH_IR:CNH_25yr</v>
          </cell>
          <cell r="D2038" t="str">
            <v>KRD</v>
          </cell>
          <cell r="E2038" t="str">
            <v>Yield</v>
          </cell>
          <cell r="F2038" t="str">
            <v>FI-Govt Emerging Markets</v>
          </cell>
          <cell r="G2038" t="str">
            <v>FI-Other</v>
          </cell>
          <cell r="H2038" t="str">
            <v>RATES</v>
          </cell>
          <cell r="I2038" t="str">
            <v>Govt Emerging Markets</v>
          </cell>
        </row>
        <row r="2039">
          <cell r="A2039" t="str">
            <v>CNH_30yr</v>
          </cell>
          <cell r="B2039" t="str">
            <v>CNH 30Y</v>
          </cell>
          <cell r="C2039" t="str">
            <v>BRS_GOLD__2_RATES:BRS_GOLD__1_OtherIR-HUF_IR-PLN-CZK_IR:CNH_IR:CNH_30yr</v>
          </cell>
          <cell r="D2039" t="str">
            <v>KRD</v>
          </cell>
          <cell r="E2039" t="str">
            <v>Yield</v>
          </cell>
          <cell r="F2039" t="str">
            <v>FI-Govt Emerging Markets</v>
          </cell>
          <cell r="G2039" t="str">
            <v>FI-Other</v>
          </cell>
          <cell r="H2039" t="str">
            <v>RATES</v>
          </cell>
          <cell r="I2039" t="str">
            <v>Govt Emerging Markets</v>
          </cell>
        </row>
        <row r="2040">
          <cell r="A2040" t="str">
            <v>CNY_3m</v>
          </cell>
          <cell r="B2040" t="str">
            <v>CNY 3M</v>
          </cell>
          <cell r="C2040" t="str">
            <v>BRS_GOLD__2_RATES:BRS_GOLD__1_OtherIR-HUF_IR-PLN-CZK_IR:BRS_GOLD__1_CNYIR:CNY_3m</v>
          </cell>
          <cell r="D2040" t="str">
            <v>KRD</v>
          </cell>
          <cell r="E2040" t="str">
            <v>Yield</v>
          </cell>
          <cell r="F2040" t="str">
            <v>FI-Govt Emerging Markets</v>
          </cell>
          <cell r="G2040" t="str">
            <v>FI-Other</v>
          </cell>
          <cell r="H2040" t="str">
            <v>RATES</v>
          </cell>
          <cell r="I2040" t="str">
            <v>Govt Emerging Markets</v>
          </cell>
        </row>
        <row r="2041">
          <cell r="A2041" t="str">
            <v>CNY_1yr</v>
          </cell>
          <cell r="B2041" t="str">
            <v>CNY 1Y</v>
          </cell>
          <cell r="C2041" t="str">
            <v>BRS_GOLD__2_RATES:BRS_GOLD__1_OtherIR-HUF_IR-PLN-CZK_IR:BRS_GOLD__1_CNYIR:CNY_1yr</v>
          </cell>
          <cell r="D2041" t="str">
            <v>KRD</v>
          </cell>
          <cell r="E2041" t="str">
            <v>Yield</v>
          </cell>
          <cell r="F2041" t="str">
            <v>FI-Govt Emerging Markets</v>
          </cell>
          <cell r="G2041" t="str">
            <v>FI-Other</v>
          </cell>
          <cell r="H2041" t="str">
            <v>RATES</v>
          </cell>
          <cell r="I2041" t="str">
            <v>Govt Emerging Markets</v>
          </cell>
        </row>
        <row r="2042">
          <cell r="A2042" t="str">
            <v>CNY_2yr</v>
          </cell>
          <cell r="B2042" t="str">
            <v>CNY 2Y</v>
          </cell>
          <cell r="C2042" t="str">
            <v>BRS_GOLD__2_RATES:BRS_GOLD__1_OtherIR-HUF_IR-PLN-CZK_IR:BRS_GOLD__1_CNYIR:CNY_2yr</v>
          </cell>
          <cell r="D2042" t="str">
            <v>KRD</v>
          </cell>
          <cell r="E2042" t="str">
            <v>Yield</v>
          </cell>
          <cell r="F2042" t="str">
            <v>FI-Govt Emerging Markets</v>
          </cell>
          <cell r="G2042" t="str">
            <v>FI-Other</v>
          </cell>
          <cell r="H2042" t="str">
            <v>RATES</v>
          </cell>
          <cell r="I2042" t="str">
            <v>Govt Emerging Markets</v>
          </cell>
        </row>
        <row r="2043">
          <cell r="A2043" t="str">
            <v>CNY_3yr</v>
          </cell>
          <cell r="B2043" t="str">
            <v>CNY 3Y</v>
          </cell>
          <cell r="C2043" t="str">
            <v>BRS_GOLD__2_RATES:BRS_GOLD__1_OtherIR-HUF_IR-PLN-CZK_IR:BRS_GOLD__1_CNYIR:CNY_3yr</v>
          </cell>
          <cell r="D2043" t="str">
            <v>KRD</v>
          </cell>
          <cell r="E2043" t="str">
            <v>Yield</v>
          </cell>
          <cell r="F2043" t="str">
            <v>FI-Govt Emerging Markets</v>
          </cell>
          <cell r="G2043" t="str">
            <v>FI-Other</v>
          </cell>
          <cell r="H2043" t="str">
            <v>RATES</v>
          </cell>
          <cell r="I2043" t="str">
            <v>Govt Emerging Markets</v>
          </cell>
        </row>
        <row r="2044">
          <cell r="A2044" t="str">
            <v>CNY_5yr</v>
          </cell>
          <cell r="B2044" t="str">
            <v>CNY 5Y</v>
          </cell>
          <cell r="C2044" t="str">
            <v>BRS_GOLD__2_RATES:BRS_GOLD__1_OtherIR-HUF_IR-PLN-CZK_IR:BRS_GOLD__1_CNYIR:CNY_5yr</v>
          </cell>
          <cell r="D2044" t="str">
            <v>KRD</v>
          </cell>
          <cell r="E2044" t="str">
            <v>Yield</v>
          </cell>
          <cell r="F2044" t="str">
            <v>FI-Govt Emerging Markets</v>
          </cell>
          <cell r="G2044" t="str">
            <v>FI-Other</v>
          </cell>
          <cell r="H2044" t="str">
            <v>RATES</v>
          </cell>
          <cell r="I2044" t="str">
            <v>Govt Emerging Markets</v>
          </cell>
        </row>
        <row r="2045">
          <cell r="A2045" t="str">
            <v>CNY_7yr</v>
          </cell>
          <cell r="B2045" t="str">
            <v>CNY 7Y</v>
          </cell>
          <cell r="C2045" t="str">
            <v>BRS_GOLD__2_RATES:BRS_GOLD__1_OtherIR-HUF_IR-PLN-CZK_IR:BRS_GOLD__1_CNYIR:CNY_7yr</v>
          </cell>
          <cell r="D2045" t="str">
            <v>KRD</v>
          </cell>
          <cell r="E2045" t="str">
            <v>Yield</v>
          </cell>
          <cell r="F2045" t="str">
            <v>FI-Govt Emerging Markets</v>
          </cell>
          <cell r="G2045" t="str">
            <v>FI-Other</v>
          </cell>
          <cell r="H2045" t="str">
            <v>RATES</v>
          </cell>
          <cell r="I2045" t="str">
            <v>Govt Emerging Markets</v>
          </cell>
        </row>
        <row r="2046">
          <cell r="A2046" t="str">
            <v>CNY_10yr</v>
          </cell>
          <cell r="B2046" t="str">
            <v>CNY 10Y</v>
          </cell>
          <cell r="C2046" t="str">
            <v>BRS_GOLD__2_RATES:BRS_GOLD__1_OtherIR-HUF_IR-PLN-CZK_IR:BRS_GOLD__1_CNYIR:CNY_10yr</v>
          </cell>
          <cell r="D2046" t="str">
            <v>KRD</v>
          </cell>
          <cell r="E2046" t="str">
            <v>Yield</v>
          </cell>
          <cell r="F2046" t="str">
            <v>FI-Govt Emerging Markets</v>
          </cell>
          <cell r="G2046" t="str">
            <v>FI-Other</v>
          </cell>
          <cell r="H2046" t="str">
            <v>RATES</v>
          </cell>
          <cell r="I2046" t="str">
            <v>Govt Emerging Markets</v>
          </cell>
        </row>
        <row r="2047">
          <cell r="A2047" t="str">
            <v>CNY_15yr</v>
          </cell>
          <cell r="B2047" t="str">
            <v>CNY 15Y</v>
          </cell>
          <cell r="C2047" t="str">
            <v>BRS_GOLD__2_RATES:BRS_GOLD__1_OtherIR-HUF_IR-PLN-CZK_IR:BRS_GOLD__1_CNYIR:CNY_15yr</v>
          </cell>
          <cell r="D2047" t="str">
            <v>KRD</v>
          </cell>
          <cell r="E2047" t="str">
            <v>Yield</v>
          </cell>
          <cell r="F2047" t="str">
            <v>FI-Govt Emerging Markets</v>
          </cell>
          <cell r="G2047" t="str">
            <v>FI-Other</v>
          </cell>
          <cell r="H2047" t="str">
            <v>RATES</v>
          </cell>
          <cell r="I2047" t="str">
            <v>Govt Emerging Markets</v>
          </cell>
        </row>
        <row r="2048">
          <cell r="A2048" t="str">
            <v>CNY_20yr</v>
          </cell>
          <cell r="B2048" t="str">
            <v>CNY 20Y</v>
          </cell>
          <cell r="C2048" t="str">
            <v>BRS_GOLD__2_RATES:BRS_GOLD__1_OtherIR-HUF_IR-PLN-CZK_IR:BRS_GOLD__1_CNYIR:CNY_20yr</v>
          </cell>
          <cell r="D2048" t="str">
            <v>KRD</v>
          </cell>
          <cell r="E2048" t="str">
            <v>Yield</v>
          </cell>
          <cell r="F2048" t="str">
            <v>FI-Govt Emerging Markets</v>
          </cell>
          <cell r="G2048" t="str">
            <v>FI-Other</v>
          </cell>
          <cell r="H2048" t="str">
            <v>RATES</v>
          </cell>
          <cell r="I2048" t="str">
            <v>Govt Emerging Markets</v>
          </cell>
        </row>
        <row r="2049">
          <cell r="A2049" t="str">
            <v>CNY_25yr</v>
          </cell>
          <cell r="B2049" t="str">
            <v>CNY 25Y</v>
          </cell>
          <cell r="C2049" t="str">
            <v>BRS_GOLD__2_RATES:BRS_GOLD__1_OtherIR-HUF_IR-PLN-CZK_IR:BRS_GOLD__1_CNYIR:CNY_25yr</v>
          </cell>
          <cell r="D2049" t="str">
            <v>KRD</v>
          </cell>
          <cell r="E2049" t="str">
            <v>Yield</v>
          </cell>
          <cell r="F2049" t="str">
            <v>FI-Govt Emerging Markets</v>
          </cell>
          <cell r="G2049" t="str">
            <v>FI-Other</v>
          </cell>
          <cell r="H2049" t="str">
            <v>RATES</v>
          </cell>
          <cell r="I2049" t="str">
            <v>Govt Emerging Markets</v>
          </cell>
        </row>
        <row r="2050">
          <cell r="A2050" t="str">
            <v>CNY_30yr</v>
          </cell>
          <cell r="B2050" t="str">
            <v>CNY 30Y</v>
          </cell>
          <cell r="C2050" t="str">
            <v>BRS_GOLD__2_RATES:BRS_GOLD__1_OtherIR-HUF_IR-PLN-CZK_IR:BRS_GOLD__1_CNYIR:CNY_30yr</v>
          </cell>
          <cell r="D2050" t="str">
            <v>KRD</v>
          </cell>
          <cell r="E2050" t="str">
            <v>Yield</v>
          </cell>
          <cell r="F2050" t="str">
            <v>FI-Govt Emerging Markets</v>
          </cell>
          <cell r="G2050" t="str">
            <v>FI-Other</v>
          </cell>
          <cell r="H2050" t="str">
            <v>RATES</v>
          </cell>
          <cell r="I2050" t="str">
            <v>Govt Emerging Markets</v>
          </cell>
        </row>
        <row r="2051">
          <cell r="A2051" t="str">
            <v>COP_3m</v>
          </cell>
          <cell r="B2051" t="str">
            <v>COP 3M</v>
          </cell>
          <cell r="C2051" t="str">
            <v>BRS_GOLD__2_RATES:BRS_GOLD__1_OtherIR-HUF_IR-PLN-CZK_IR:COP_IR:COP_3m</v>
          </cell>
          <cell r="D2051" t="str">
            <v>KRD</v>
          </cell>
          <cell r="E2051" t="str">
            <v>Yield</v>
          </cell>
          <cell r="F2051" t="str">
            <v>FI-Govt Emerging Markets</v>
          </cell>
          <cell r="G2051" t="str">
            <v>FI-Other</v>
          </cell>
          <cell r="H2051" t="str">
            <v>RATES</v>
          </cell>
          <cell r="I2051" t="str">
            <v>Govt Emerging Markets</v>
          </cell>
        </row>
        <row r="2052">
          <cell r="A2052" t="str">
            <v>COP_1yr</v>
          </cell>
          <cell r="B2052" t="str">
            <v>COP 1Y</v>
          </cell>
          <cell r="C2052" t="str">
            <v>BRS_GOLD__2_RATES:BRS_GOLD__1_OtherIR-HUF_IR-PLN-CZK_IR:COP_IR:COP_1yr</v>
          </cell>
          <cell r="D2052" t="str">
            <v>KRD</v>
          </cell>
          <cell r="E2052" t="str">
            <v>Yield</v>
          </cell>
          <cell r="F2052" t="str">
            <v>FI-Govt Emerging Markets</v>
          </cell>
          <cell r="G2052" t="str">
            <v>FI-Other</v>
          </cell>
          <cell r="H2052" t="str">
            <v>RATES</v>
          </cell>
          <cell r="I2052" t="str">
            <v>Govt Emerging Markets</v>
          </cell>
        </row>
        <row r="2053">
          <cell r="A2053" t="str">
            <v>COP_2yr</v>
          </cell>
          <cell r="B2053" t="str">
            <v>COP 2Y</v>
          </cell>
          <cell r="C2053" t="str">
            <v>BRS_GOLD__2_RATES:BRS_GOLD__1_OtherIR-HUF_IR-PLN-CZK_IR:COP_IR:COP_2yr</v>
          </cell>
          <cell r="D2053" t="str">
            <v>KRD</v>
          </cell>
          <cell r="E2053" t="str">
            <v>Yield</v>
          </cell>
          <cell r="F2053" t="str">
            <v>FI-Govt Emerging Markets</v>
          </cell>
          <cell r="G2053" t="str">
            <v>FI-Other</v>
          </cell>
          <cell r="H2053" t="str">
            <v>RATES</v>
          </cell>
          <cell r="I2053" t="str">
            <v>Govt Emerging Markets</v>
          </cell>
        </row>
        <row r="2054">
          <cell r="A2054" t="str">
            <v>COP_3yr</v>
          </cell>
          <cell r="B2054" t="str">
            <v>COP 3Y</v>
          </cell>
          <cell r="C2054" t="str">
            <v>BRS_GOLD__2_RATES:BRS_GOLD__1_OtherIR-HUF_IR-PLN-CZK_IR:COP_IR:COP_3yr</v>
          </cell>
          <cell r="D2054" t="str">
            <v>KRD</v>
          </cell>
          <cell r="E2054" t="str">
            <v>Yield</v>
          </cell>
          <cell r="F2054" t="str">
            <v>FI-Govt Emerging Markets</v>
          </cell>
          <cell r="G2054" t="str">
            <v>FI-Other</v>
          </cell>
          <cell r="H2054" t="str">
            <v>RATES</v>
          </cell>
          <cell r="I2054" t="str">
            <v>Govt Emerging Markets</v>
          </cell>
        </row>
        <row r="2055">
          <cell r="A2055" t="str">
            <v>COP_5yr</v>
          </cell>
          <cell r="B2055" t="str">
            <v>COP 5Y</v>
          </cell>
          <cell r="C2055" t="str">
            <v>BRS_GOLD__2_RATES:BRS_GOLD__1_OtherIR-HUF_IR-PLN-CZK_IR:COP_IR:COP_5yr</v>
          </cell>
          <cell r="D2055" t="str">
            <v>KRD</v>
          </cell>
          <cell r="E2055" t="str">
            <v>Yield</v>
          </cell>
          <cell r="F2055" t="str">
            <v>FI-Govt Emerging Markets</v>
          </cell>
          <cell r="G2055" t="str">
            <v>FI-Other</v>
          </cell>
          <cell r="H2055" t="str">
            <v>RATES</v>
          </cell>
          <cell r="I2055" t="str">
            <v>Govt Emerging Markets</v>
          </cell>
        </row>
        <row r="2056">
          <cell r="A2056" t="str">
            <v>COP_7yr</v>
          </cell>
          <cell r="B2056" t="str">
            <v>COP 7Y</v>
          </cell>
          <cell r="C2056" t="str">
            <v>BRS_GOLD__2_RATES:BRS_GOLD__1_OtherIR-HUF_IR-PLN-CZK_IR:COP_IR:COP_7yr</v>
          </cell>
          <cell r="D2056" t="str">
            <v>KRD</v>
          </cell>
          <cell r="E2056" t="str">
            <v>Yield</v>
          </cell>
          <cell r="F2056" t="str">
            <v>FI-Govt Emerging Markets</v>
          </cell>
          <cell r="G2056" t="str">
            <v>FI-Other</v>
          </cell>
          <cell r="H2056" t="str">
            <v>RATES</v>
          </cell>
          <cell r="I2056" t="str">
            <v>Govt Emerging Markets</v>
          </cell>
        </row>
        <row r="2057">
          <cell r="A2057" t="str">
            <v>COP_10yr</v>
          </cell>
          <cell r="B2057" t="str">
            <v>COP 10Y</v>
          </cell>
          <cell r="C2057" t="str">
            <v>BRS_GOLD__2_RATES:BRS_GOLD__1_OtherIR-HUF_IR-PLN-CZK_IR:COP_IR:COP_10yr</v>
          </cell>
          <cell r="D2057" t="str">
            <v>KRD</v>
          </cell>
          <cell r="E2057" t="str">
            <v>Yield</v>
          </cell>
          <cell r="F2057" t="str">
            <v>FI-Govt Emerging Markets</v>
          </cell>
          <cell r="G2057" t="str">
            <v>FI-Other</v>
          </cell>
          <cell r="H2057" t="str">
            <v>RATES</v>
          </cell>
          <cell r="I2057" t="str">
            <v>Govt Emerging Markets</v>
          </cell>
        </row>
        <row r="2058">
          <cell r="A2058" t="str">
            <v>COP_15yr</v>
          </cell>
          <cell r="B2058" t="str">
            <v>COP 15Y</v>
          </cell>
          <cell r="C2058" t="str">
            <v>BRS_GOLD__2_RATES:BRS_GOLD__1_OtherIR-HUF_IR-PLN-CZK_IR:COP_IR:COP_15yr</v>
          </cell>
          <cell r="D2058" t="str">
            <v>KRD</v>
          </cell>
          <cell r="E2058" t="str">
            <v>Yield</v>
          </cell>
          <cell r="F2058" t="str">
            <v>FI-Govt Emerging Markets</v>
          </cell>
          <cell r="G2058" t="str">
            <v>FI-Other</v>
          </cell>
          <cell r="H2058" t="str">
            <v>RATES</v>
          </cell>
          <cell r="I2058" t="str">
            <v>Govt Emerging Markets</v>
          </cell>
        </row>
        <row r="2059">
          <cell r="A2059" t="str">
            <v>COP_20yr</v>
          </cell>
          <cell r="B2059" t="str">
            <v>COP 20Y</v>
          </cell>
          <cell r="C2059" t="str">
            <v>BRS_GOLD__2_RATES:BRS_GOLD__1_OtherIR-HUF_IR-PLN-CZK_IR:COP_IR:COP_20yr</v>
          </cell>
          <cell r="D2059" t="str">
            <v>KRD</v>
          </cell>
          <cell r="E2059" t="str">
            <v>Yield</v>
          </cell>
          <cell r="F2059" t="str">
            <v>FI-Govt Emerging Markets</v>
          </cell>
          <cell r="G2059" t="str">
            <v>FI-Other</v>
          </cell>
          <cell r="H2059" t="str">
            <v>RATES</v>
          </cell>
          <cell r="I2059" t="str">
            <v>Govt Emerging Markets</v>
          </cell>
        </row>
        <row r="2060">
          <cell r="A2060" t="str">
            <v>COP_25yr</v>
          </cell>
          <cell r="B2060" t="str">
            <v>COP 25Y</v>
          </cell>
          <cell r="C2060" t="str">
            <v>BRS_GOLD__2_RATES:BRS_GOLD__1_OtherIR-HUF_IR-PLN-CZK_IR:COP_IR:COP_25yr</v>
          </cell>
          <cell r="D2060" t="str">
            <v>KRD</v>
          </cell>
          <cell r="E2060" t="str">
            <v>Yield</v>
          </cell>
          <cell r="F2060" t="str">
            <v>FI-Govt Emerging Markets</v>
          </cell>
          <cell r="G2060" t="str">
            <v>FI-Other</v>
          </cell>
          <cell r="H2060" t="str">
            <v>RATES</v>
          </cell>
          <cell r="I2060" t="str">
            <v>Govt Emerging Markets</v>
          </cell>
        </row>
        <row r="2061">
          <cell r="A2061" t="str">
            <v>COP_30yr</v>
          </cell>
          <cell r="B2061" t="str">
            <v>COP 30Y</v>
          </cell>
          <cell r="C2061" t="str">
            <v>BRS_GOLD__2_RATES:BRS_GOLD__1_OtherIR-HUF_IR-PLN-CZK_IR:COP_IR:COP_30yr</v>
          </cell>
          <cell r="D2061" t="str">
            <v>KRD</v>
          </cell>
          <cell r="E2061" t="str">
            <v>Yield</v>
          </cell>
          <cell r="F2061" t="str">
            <v>FI-Govt Emerging Markets</v>
          </cell>
          <cell r="G2061" t="str">
            <v>FI-Other</v>
          </cell>
          <cell r="H2061" t="str">
            <v>RATES</v>
          </cell>
          <cell r="I2061" t="str">
            <v>Govt Emerging Markets</v>
          </cell>
        </row>
        <row r="2062">
          <cell r="A2062" t="str">
            <v>DKK_3m</v>
          </cell>
          <cell r="B2062" t="str">
            <v>DKK 3M</v>
          </cell>
          <cell r="C2062" t="str">
            <v>BRS_GOLD__2_RATES:BRS_GOLD__1_OtherIR-HUF_IR-PLN-CZK_IR:BRS_GOLD__1_DKKIR:DKK_3m</v>
          </cell>
          <cell r="D2062" t="str">
            <v>KRD</v>
          </cell>
          <cell r="E2062" t="str">
            <v>Yield</v>
          </cell>
          <cell r="F2062" t="str">
            <v>FI-Govt Developed Other (AU, GB, JP, ...)</v>
          </cell>
          <cell r="G2062" t="str">
            <v>FI-Other</v>
          </cell>
          <cell r="H2062" t="str">
            <v>RATES</v>
          </cell>
          <cell r="I2062" t="str">
            <v>Govt Developed Other (AU, GB, JP, ...)</v>
          </cell>
        </row>
        <row r="2063">
          <cell r="A2063" t="str">
            <v>DKK_1yr</v>
          </cell>
          <cell r="B2063" t="str">
            <v>DKK 1Y</v>
          </cell>
          <cell r="C2063" t="str">
            <v>BRS_GOLD__2_RATES:BRS_GOLD__1_OtherIR-HUF_IR-PLN-CZK_IR:BRS_GOLD__1_DKKIR:DKK_1yr</v>
          </cell>
          <cell r="D2063" t="str">
            <v>KRD</v>
          </cell>
          <cell r="E2063" t="str">
            <v>Yield</v>
          </cell>
          <cell r="F2063" t="str">
            <v>FI-Govt Developed Other (AU, GB, JP, ...)</v>
          </cell>
          <cell r="G2063" t="str">
            <v>FI-Other</v>
          </cell>
          <cell r="H2063" t="str">
            <v>RATES</v>
          </cell>
          <cell r="I2063" t="str">
            <v>Govt Developed Other (AU, GB, JP, ...)</v>
          </cell>
        </row>
        <row r="2064">
          <cell r="A2064" t="str">
            <v>DKK_2yr</v>
          </cell>
          <cell r="B2064" t="str">
            <v>DKK 2Y</v>
          </cell>
          <cell r="C2064" t="str">
            <v>BRS_GOLD__2_RATES:BRS_GOLD__1_OtherIR-HUF_IR-PLN-CZK_IR:BRS_GOLD__1_DKKIR:DKK_2yr</v>
          </cell>
          <cell r="D2064" t="str">
            <v>KRD</v>
          </cell>
          <cell r="E2064" t="str">
            <v>Yield</v>
          </cell>
          <cell r="F2064" t="str">
            <v>FI-Govt Developed Other (AU, GB, JP, ...)</v>
          </cell>
          <cell r="G2064" t="str">
            <v>FI-Other</v>
          </cell>
          <cell r="H2064" t="str">
            <v>RATES</v>
          </cell>
          <cell r="I2064" t="str">
            <v>Govt Developed Other (AU, GB, JP, ...)</v>
          </cell>
        </row>
        <row r="2065">
          <cell r="A2065" t="str">
            <v>DKK_3yr</v>
          </cell>
          <cell r="B2065" t="str">
            <v>DKK 3Y</v>
          </cell>
          <cell r="C2065" t="str">
            <v>BRS_GOLD__2_RATES:BRS_GOLD__1_OtherIR-HUF_IR-PLN-CZK_IR:BRS_GOLD__1_DKKIR:DKK_3yr</v>
          </cell>
          <cell r="D2065" t="str">
            <v>KRD</v>
          </cell>
          <cell r="E2065" t="str">
            <v>Yield</v>
          </cell>
          <cell r="F2065" t="str">
            <v>FI-Govt Developed Other (AU, GB, JP, ...)</v>
          </cell>
          <cell r="G2065" t="str">
            <v>FI-Other</v>
          </cell>
          <cell r="H2065" t="str">
            <v>RATES</v>
          </cell>
          <cell r="I2065" t="str">
            <v>Govt Developed Other (AU, GB, JP, ...)</v>
          </cell>
        </row>
        <row r="2066">
          <cell r="A2066" t="str">
            <v>DKK_5yr</v>
          </cell>
          <cell r="B2066" t="str">
            <v>DKK 5Y</v>
          </cell>
          <cell r="C2066" t="str">
            <v>BRS_GOLD__2_RATES:BRS_GOLD__1_OtherIR-HUF_IR-PLN-CZK_IR:BRS_GOLD__1_DKKIR:DKK_5yr</v>
          </cell>
          <cell r="D2066" t="str">
            <v>KRD</v>
          </cell>
          <cell r="E2066" t="str">
            <v>Yield</v>
          </cell>
          <cell r="F2066" t="str">
            <v>FI-Govt Developed Other (AU, GB, JP, ...)</v>
          </cell>
          <cell r="G2066" t="str">
            <v>FI-Other</v>
          </cell>
          <cell r="H2066" t="str">
            <v>RATES</v>
          </cell>
          <cell r="I2066" t="str">
            <v>Govt Developed Other (AU, GB, JP, ...)</v>
          </cell>
        </row>
        <row r="2067">
          <cell r="A2067" t="str">
            <v>DKK_7yr</v>
          </cell>
          <cell r="B2067" t="str">
            <v>DKK 7Y</v>
          </cell>
          <cell r="C2067" t="str">
            <v>BRS_GOLD__2_RATES:BRS_GOLD__1_OtherIR-HUF_IR-PLN-CZK_IR:BRS_GOLD__1_DKKIR:DKK_7yr</v>
          </cell>
          <cell r="D2067" t="str">
            <v>KRD</v>
          </cell>
          <cell r="E2067" t="str">
            <v>Yield</v>
          </cell>
          <cell r="F2067" t="str">
            <v>FI-Govt Developed Other (AU, GB, JP, ...)</v>
          </cell>
          <cell r="G2067" t="str">
            <v>FI-Other</v>
          </cell>
          <cell r="H2067" t="str">
            <v>RATES</v>
          </cell>
          <cell r="I2067" t="str">
            <v>Govt Developed Other (AU, GB, JP, ...)</v>
          </cell>
        </row>
        <row r="2068">
          <cell r="A2068" t="str">
            <v>DKK_10yr</v>
          </cell>
          <cell r="B2068" t="str">
            <v>DKK 10Y</v>
          </cell>
          <cell r="C2068" t="str">
            <v>BRS_GOLD__2_RATES:BRS_GOLD__1_OtherIR-HUF_IR-PLN-CZK_IR:BRS_GOLD__1_DKKIR:DKK_10yr</v>
          </cell>
          <cell r="D2068" t="str">
            <v>KRD</v>
          </cell>
          <cell r="E2068" t="str">
            <v>Yield</v>
          </cell>
          <cell r="F2068" t="str">
            <v>FI-Govt Developed Other (AU, GB, JP, ...)</v>
          </cell>
          <cell r="G2068" t="str">
            <v>FI-Other</v>
          </cell>
          <cell r="H2068" t="str">
            <v>RATES</v>
          </cell>
          <cell r="I2068" t="str">
            <v>Govt Developed Other (AU, GB, JP, ...)</v>
          </cell>
        </row>
        <row r="2069">
          <cell r="A2069" t="str">
            <v>DKK_15yr</v>
          </cell>
          <cell r="B2069" t="str">
            <v>DKK 15Y</v>
          </cell>
          <cell r="C2069" t="str">
            <v>BRS_GOLD__2_RATES:BRS_GOLD__1_OtherIR-HUF_IR-PLN-CZK_IR:BRS_GOLD__1_DKKIR:DKK_15yr</v>
          </cell>
          <cell r="D2069" t="str">
            <v>KRD</v>
          </cell>
          <cell r="E2069" t="str">
            <v>Yield</v>
          </cell>
          <cell r="F2069" t="str">
            <v>FI-Govt Developed Other (AU, GB, JP, ...)</v>
          </cell>
          <cell r="G2069" t="str">
            <v>FI-Other</v>
          </cell>
          <cell r="H2069" t="str">
            <v>RATES</v>
          </cell>
          <cell r="I2069" t="str">
            <v>Govt Developed Other (AU, GB, JP, ...)</v>
          </cell>
        </row>
        <row r="2070">
          <cell r="A2070" t="str">
            <v>DKK_20yr</v>
          </cell>
          <cell r="B2070" t="str">
            <v>DKK 20Y</v>
          </cell>
          <cell r="C2070" t="str">
            <v>BRS_GOLD__2_RATES:BRS_GOLD__1_OtherIR-HUF_IR-PLN-CZK_IR:BRS_GOLD__1_DKKIR:DKK_20yr</v>
          </cell>
          <cell r="D2070" t="str">
            <v>KRD</v>
          </cell>
          <cell r="E2070" t="str">
            <v>Yield</v>
          </cell>
          <cell r="F2070" t="str">
            <v>FI-Govt Developed Other (AU, GB, JP, ...)</v>
          </cell>
          <cell r="G2070" t="str">
            <v>FI-Other</v>
          </cell>
          <cell r="H2070" t="str">
            <v>RATES</v>
          </cell>
          <cell r="I2070" t="str">
            <v>Govt Developed Other (AU, GB, JP, ...)</v>
          </cell>
        </row>
        <row r="2071">
          <cell r="A2071" t="str">
            <v>DKK_25yr</v>
          </cell>
          <cell r="B2071" t="str">
            <v>DKK 25Y</v>
          </cell>
          <cell r="C2071" t="str">
            <v>BRS_GOLD__2_RATES:BRS_GOLD__1_OtherIR-HUF_IR-PLN-CZK_IR:BRS_GOLD__1_DKKIR:DKK_25yr</v>
          </cell>
          <cell r="D2071" t="str">
            <v>KRD</v>
          </cell>
          <cell r="E2071" t="str">
            <v>Yield</v>
          </cell>
          <cell r="F2071" t="str">
            <v>FI-Govt Developed Other (AU, GB, JP, ...)</v>
          </cell>
          <cell r="G2071" t="str">
            <v>FI-Other</v>
          </cell>
          <cell r="H2071" t="str">
            <v>RATES</v>
          </cell>
          <cell r="I2071" t="str">
            <v>Govt Developed Other (AU, GB, JP, ...)</v>
          </cell>
        </row>
        <row r="2072">
          <cell r="A2072" t="str">
            <v>DKK_30yr</v>
          </cell>
          <cell r="B2072" t="str">
            <v>DKK 30Y</v>
          </cell>
          <cell r="C2072" t="str">
            <v>BRS_GOLD__2_RATES:BRS_GOLD__1_OtherIR-HUF_IR-PLN-CZK_IR:BRS_GOLD__1_DKKIR:DKK_30yr</v>
          </cell>
          <cell r="D2072" t="str">
            <v>KRD</v>
          </cell>
          <cell r="E2072" t="str">
            <v>Yield</v>
          </cell>
          <cell r="F2072" t="str">
            <v>FI-Govt Developed Other (AU, GB, JP, ...)</v>
          </cell>
          <cell r="G2072" t="str">
            <v>FI-Other</v>
          </cell>
          <cell r="H2072" t="str">
            <v>RATES</v>
          </cell>
          <cell r="I2072" t="str">
            <v>Govt Developed Other (AU, GB, JP, ...)</v>
          </cell>
        </row>
        <row r="2073">
          <cell r="A2073" t="str">
            <v>HKD_3m</v>
          </cell>
          <cell r="B2073" t="str">
            <v>HKD 3M</v>
          </cell>
          <cell r="C2073" t="str">
            <v>BRS_GOLD__2_RATES:BRS_GOLD__1_OtherIR-HUF_IR-PLN-CZK_IR:BRS_GOLD__1_HKDIR:HKD_3m</v>
          </cell>
          <cell r="D2073" t="str">
            <v>KRD</v>
          </cell>
          <cell r="E2073" t="str">
            <v>Yield</v>
          </cell>
          <cell r="F2073" t="str">
            <v>FI-Govt Developed Other (AU, GB, JP, ...)</v>
          </cell>
          <cell r="G2073" t="str">
            <v>FI-Other</v>
          </cell>
          <cell r="H2073" t="str">
            <v>RATES</v>
          </cell>
          <cell r="I2073" t="str">
            <v>Govt Developed Other (AU, GB, JP, ...)</v>
          </cell>
        </row>
        <row r="2074">
          <cell r="A2074" t="str">
            <v>HKD_1yr</v>
          </cell>
          <cell r="B2074" t="str">
            <v>HKD 1Y</v>
          </cell>
          <cell r="C2074" t="str">
            <v>BRS_GOLD__2_RATES:BRS_GOLD__1_OtherIR-HUF_IR-PLN-CZK_IR:BRS_GOLD__1_HKDIR:HKD_1yr</v>
          </cell>
          <cell r="D2074" t="str">
            <v>KRD</v>
          </cell>
          <cell r="E2074" t="str">
            <v>Yield</v>
          </cell>
          <cell r="F2074" t="str">
            <v>FI-Govt Developed Other (AU, GB, JP, ...)</v>
          </cell>
          <cell r="G2074" t="str">
            <v>FI-Other</v>
          </cell>
          <cell r="H2074" t="str">
            <v>RATES</v>
          </cell>
          <cell r="I2074" t="str">
            <v>Govt Developed Other (AU, GB, JP, ...)</v>
          </cell>
        </row>
        <row r="2075">
          <cell r="A2075" t="str">
            <v>HKD_2yr</v>
          </cell>
          <cell r="B2075" t="str">
            <v>HKD 2Y</v>
          </cell>
          <cell r="C2075" t="str">
            <v>BRS_GOLD__2_RATES:BRS_GOLD__1_OtherIR-HUF_IR-PLN-CZK_IR:BRS_GOLD__1_HKDIR:HKD_2yr</v>
          </cell>
          <cell r="D2075" t="str">
            <v>KRD</v>
          </cell>
          <cell r="E2075" t="str">
            <v>Yield</v>
          </cell>
          <cell r="F2075" t="str">
            <v>FI-Govt Developed Other (AU, GB, JP, ...)</v>
          </cell>
          <cell r="G2075" t="str">
            <v>FI-Other</v>
          </cell>
          <cell r="H2075" t="str">
            <v>RATES</v>
          </cell>
          <cell r="I2075" t="str">
            <v>Govt Developed Other (AU, GB, JP, ...)</v>
          </cell>
        </row>
        <row r="2076">
          <cell r="A2076" t="str">
            <v>HKD_3yr</v>
          </cell>
          <cell r="B2076" t="str">
            <v>HKD 3Y</v>
          </cell>
          <cell r="C2076" t="str">
            <v>BRS_GOLD__2_RATES:BRS_GOLD__1_OtherIR-HUF_IR-PLN-CZK_IR:BRS_GOLD__1_HKDIR:HKD_3yr</v>
          </cell>
          <cell r="D2076" t="str">
            <v>KRD</v>
          </cell>
          <cell r="E2076" t="str">
            <v>Yield</v>
          </cell>
          <cell r="F2076" t="str">
            <v>FI-Govt Developed Other (AU, GB, JP, ...)</v>
          </cell>
          <cell r="G2076" t="str">
            <v>FI-Other</v>
          </cell>
          <cell r="H2076" t="str">
            <v>RATES</v>
          </cell>
          <cell r="I2076" t="str">
            <v>Govt Developed Other (AU, GB, JP, ...)</v>
          </cell>
        </row>
        <row r="2077">
          <cell r="A2077" t="str">
            <v>HKD_5yr</v>
          </cell>
          <cell r="B2077" t="str">
            <v>HKD 5Y</v>
          </cell>
          <cell r="C2077" t="str">
            <v>BRS_GOLD__2_RATES:BRS_GOLD__1_OtherIR-HUF_IR-PLN-CZK_IR:BRS_GOLD__1_HKDIR:HKD_5yr</v>
          </cell>
          <cell r="D2077" t="str">
            <v>KRD</v>
          </cell>
          <cell r="E2077" t="str">
            <v>Yield</v>
          </cell>
          <cell r="F2077" t="str">
            <v>FI-Govt Developed Other (AU, GB, JP, ...)</v>
          </cell>
          <cell r="G2077" t="str">
            <v>FI-Other</v>
          </cell>
          <cell r="H2077" t="str">
            <v>RATES</v>
          </cell>
          <cell r="I2077" t="str">
            <v>Govt Developed Other (AU, GB, JP, ...)</v>
          </cell>
        </row>
        <row r="2078">
          <cell r="A2078" t="str">
            <v>HKD_7yr</v>
          </cell>
          <cell r="B2078" t="str">
            <v>HKD 7Y</v>
          </cell>
          <cell r="C2078" t="str">
            <v>BRS_GOLD__2_RATES:BRS_GOLD__1_OtherIR-HUF_IR-PLN-CZK_IR:BRS_GOLD__1_HKDIR:HKD_7yr</v>
          </cell>
          <cell r="D2078" t="str">
            <v>KRD</v>
          </cell>
          <cell r="E2078" t="str">
            <v>Yield</v>
          </cell>
          <cell r="F2078" t="str">
            <v>FI-Govt Developed Other (AU, GB, JP, ...)</v>
          </cell>
          <cell r="G2078" t="str">
            <v>FI-Other</v>
          </cell>
          <cell r="H2078" t="str">
            <v>RATES</v>
          </cell>
          <cell r="I2078" t="str">
            <v>Govt Developed Other (AU, GB, JP, ...)</v>
          </cell>
        </row>
        <row r="2079">
          <cell r="A2079" t="str">
            <v>HKD_10yr</v>
          </cell>
          <cell r="B2079" t="str">
            <v>HKD 10Y</v>
          </cell>
          <cell r="C2079" t="str">
            <v>BRS_GOLD__2_RATES:BRS_GOLD__1_OtherIR-HUF_IR-PLN-CZK_IR:BRS_GOLD__1_HKDIR:HKD_10yr</v>
          </cell>
          <cell r="D2079" t="str">
            <v>KRD</v>
          </cell>
          <cell r="E2079" t="str">
            <v>Yield</v>
          </cell>
          <cell r="F2079" t="str">
            <v>FI-Govt Developed Other (AU, GB, JP, ...)</v>
          </cell>
          <cell r="G2079" t="str">
            <v>FI-Other</v>
          </cell>
          <cell r="H2079" t="str">
            <v>RATES</v>
          </cell>
          <cell r="I2079" t="str">
            <v>Govt Developed Other (AU, GB, JP, ...)</v>
          </cell>
        </row>
        <row r="2080">
          <cell r="A2080" t="str">
            <v>HKD_15yr</v>
          </cell>
          <cell r="B2080" t="str">
            <v>HKD 15Y</v>
          </cell>
          <cell r="C2080" t="str">
            <v>BRS_GOLD__2_RATES:BRS_GOLD__1_OtherIR-HUF_IR-PLN-CZK_IR:BRS_GOLD__1_HKDIR:HKD_15yr</v>
          </cell>
          <cell r="D2080" t="str">
            <v>KRD</v>
          </cell>
          <cell r="E2080" t="str">
            <v>Yield</v>
          </cell>
          <cell r="F2080" t="str">
            <v>FI-Govt Developed Other (AU, GB, JP, ...)</v>
          </cell>
          <cell r="G2080" t="str">
            <v>FI-Other</v>
          </cell>
          <cell r="H2080" t="str">
            <v>RATES</v>
          </cell>
          <cell r="I2080" t="str">
            <v>Govt Developed Other (AU, GB, JP, ...)</v>
          </cell>
        </row>
        <row r="2081">
          <cell r="A2081" t="str">
            <v>HKD_20yr</v>
          </cell>
          <cell r="B2081" t="str">
            <v>HKD 20Y</v>
          </cell>
          <cell r="C2081" t="str">
            <v>BRS_GOLD__2_RATES:BRS_GOLD__1_OtherIR-HUF_IR-PLN-CZK_IR:BRS_GOLD__1_HKDIR:HKD_20yr</v>
          </cell>
          <cell r="D2081" t="str">
            <v>KRD</v>
          </cell>
          <cell r="E2081" t="str">
            <v>Yield</v>
          </cell>
          <cell r="F2081" t="str">
            <v>FI-Govt Developed Other (AU, GB, JP, ...)</v>
          </cell>
          <cell r="G2081" t="str">
            <v>FI-Other</v>
          </cell>
          <cell r="H2081" t="str">
            <v>RATES</v>
          </cell>
          <cell r="I2081" t="str">
            <v>Govt Developed Other (AU, GB, JP, ...)</v>
          </cell>
        </row>
        <row r="2082">
          <cell r="A2082" t="str">
            <v>HKD_25yr</v>
          </cell>
          <cell r="B2082" t="str">
            <v>HKD 25Y</v>
          </cell>
          <cell r="C2082" t="str">
            <v>BRS_GOLD__2_RATES:BRS_GOLD__1_OtherIR-HUF_IR-PLN-CZK_IR:BRS_GOLD__1_HKDIR:HKD_25yr</v>
          </cell>
          <cell r="D2082" t="str">
            <v>KRD</v>
          </cell>
          <cell r="E2082" t="str">
            <v>Yield</v>
          </cell>
          <cell r="F2082" t="str">
            <v>FI-Govt Developed Other (AU, GB, JP, ...)</v>
          </cell>
          <cell r="G2082" t="str">
            <v>FI-Other</v>
          </cell>
          <cell r="H2082" t="str">
            <v>RATES</v>
          </cell>
          <cell r="I2082" t="str">
            <v>Govt Developed Other (AU, GB, JP, ...)</v>
          </cell>
        </row>
        <row r="2083">
          <cell r="A2083" t="str">
            <v>HKD_30yr</v>
          </cell>
          <cell r="B2083" t="str">
            <v>HKD 30Y</v>
          </cell>
          <cell r="C2083" t="str">
            <v>BRS_GOLD__2_RATES:BRS_GOLD__1_OtherIR-HUF_IR-PLN-CZK_IR:BRS_GOLD__1_HKDIR:HKD_30yr</v>
          </cell>
          <cell r="D2083" t="str">
            <v>KRD</v>
          </cell>
          <cell r="E2083" t="str">
            <v>Yield</v>
          </cell>
          <cell r="F2083" t="str">
            <v>FI-Govt Developed Other (AU, GB, JP, ...)</v>
          </cell>
          <cell r="G2083" t="str">
            <v>FI-Other</v>
          </cell>
          <cell r="H2083" t="str">
            <v>RATES</v>
          </cell>
          <cell r="I2083" t="str">
            <v>Govt Developed Other (AU, GB, JP, ...)</v>
          </cell>
        </row>
        <row r="2084">
          <cell r="A2084" t="str">
            <v>IDR_3m</v>
          </cell>
          <cell r="B2084" t="str">
            <v>IDR 3M</v>
          </cell>
          <cell r="C2084" t="str">
            <v>BRS_GOLD__2_RATES:BRS_GOLD__1_OtherIR-HUF_IR-PLN-CZK_IR:IDR_IR:IDR_3m</v>
          </cell>
          <cell r="D2084" t="str">
            <v>KRD</v>
          </cell>
          <cell r="E2084" t="str">
            <v>Yield</v>
          </cell>
          <cell r="F2084" t="str">
            <v>FI-Govt Emerging Markets</v>
          </cell>
          <cell r="G2084" t="str">
            <v>FI-Other</v>
          </cell>
          <cell r="H2084" t="str">
            <v>RATES</v>
          </cell>
          <cell r="I2084" t="str">
            <v>Govt Emerging Markets</v>
          </cell>
        </row>
        <row r="2085">
          <cell r="A2085" t="str">
            <v>IDR_1yr</v>
          </cell>
          <cell r="B2085" t="str">
            <v>IDR 1Y</v>
          </cell>
          <cell r="C2085" t="str">
            <v>BRS_GOLD__2_RATES:BRS_GOLD__1_OtherIR-HUF_IR-PLN-CZK_IR:IDR_IR:IDR_1yr</v>
          </cell>
          <cell r="D2085" t="str">
            <v>KRD</v>
          </cell>
          <cell r="E2085" t="str">
            <v>Yield</v>
          </cell>
          <cell r="F2085" t="str">
            <v>FI-Govt Emerging Markets</v>
          </cell>
          <cell r="G2085" t="str">
            <v>FI-Other</v>
          </cell>
          <cell r="H2085" t="str">
            <v>RATES</v>
          </cell>
          <cell r="I2085" t="str">
            <v>Govt Emerging Markets</v>
          </cell>
        </row>
        <row r="2086">
          <cell r="A2086" t="str">
            <v>IDR_2yr</v>
          </cell>
          <cell r="B2086" t="str">
            <v>IDR 2Y</v>
          </cell>
          <cell r="C2086" t="str">
            <v>BRS_GOLD__2_RATES:BRS_GOLD__1_OtherIR-HUF_IR-PLN-CZK_IR:IDR_IR:IDR_2yr</v>
          </cell>
          <cell r="D2086" t="str">
            <v>KRD</v>
          </cell>
          <cell r="E2086" t="str">
            <v>Yield</v>
          </cell>
          <cell r="F2086" t="str">
            <v>FI-Govt Emerging Markets</v>
          </cell>
          <cell r="G2086" t="str">
            <v>FI-Other</v>
          </cell>
          <cell r="H2086" t="str">
            <v>RATES</v>
          </cell>
          <cell r="I2086" t="str">
            <v>Govt Emerging Markets</v>
          </cell>
        </row>
        <row r="2087">
          <cell r="A2087" t="str">
            <v>IDR_3yr</v>
          </cell>
          <cell r="B2087" t="str">
            <v>IDR 3Y</v>
          </cell>
          <cell r="C2087" t="str">
            <v>BRS_GOLD__2_RATES:BRS_GOLD__1_OtherIR-HUF_IR-PLN-CZK_IR:IDR_IR:IDR_3yr</v>
          </cell>
          <cell r="D2087" t="str">
            <v>KRD</v>
          </cell>
          <cell r="E2087" t="str">
            <v>Yield</v>
          </cell>
          <cell r="F2087" t="str">
            <v>FI-Govt Emerging Markets</v>
          </cell>
          <cell r="G2087" t="str">
            <v>FI-Other</v>
          </cell>
          <cell r="H2087" t="str">
            <v>RATES</v>
          </cell>
          <cell r="I2087" t="str">
            <v>Govt Emerging Markets</v>
          </cell>
        </row>
        <row r="2088">
          <cell r="A2088" t="str">
            <v>IDR_5yr</v>
          </cell>
          <cell r="B2088" t="str">
            <v>IDR 5Y</v>
          </cell>
          <cell r="C2088" t="str">
            <v>BRS_GOLD__2_RATES:BRS_GOLD__1_OtherIR-HUF_IR-PLN-CZK_IR:IDR_IR:IDR_5yr</v>
          </cell>
          <cell r="D2088" t="str">
            <v>KRD</v>
          </cell>
          <cell r="E2088" t="str">
            <v>Yield</v>
          </cell>
          <cell r="F2088" t="str">
            <v>FI-Govt Emerging Markets</v>
          </cell>
          <cell r="G2088" t="str">
            <v>FI-Other</v>
          </cell>
          <cell r="H2088" t="str">
            <v>RATES</v>
          </cell>
          <cell r="I2088" t="str">
            <v>Govt Emerging Markets</v>
          </cell>
        </row>
        <row r="2089">
          <cell r="A2089" t="str">
            <v>IDR_7yr</v>
          </cell>
          <cell r="B2089" t="str">
            <v>IDR 7Y</v>
          </cell>
          <cell r="C2089" t="str">
            <v>BRS_GOLD__2_RATES:BRS_GOLD__1_OtherIR-HUF_IR-PLN-CZK_IR:IDR_IR:IDR_7yr</v>
          </cell>
          <cell r="D2089" t="str">
            <v>KRD</v>
          </cell>
          <cell r="E2089" t="str">
            <v>Yield</v>
          </cell>
          <cell r="F2089" t="str">
            <v>FI-Govt Emerging Markets</v>
          </cell>
          <cell r="G2089" t="str">
            <v>FI-Other</v>
          </cell>
          <cell r="H2089" t="str">
            <v>RATES</v>
          </cell>
          <cell r="I2089" t="str">
            <v>Govt Emerging Markets</v>
          </cell>
        </row>
        <row r="2090">
          <cell r="A2090" t="str">
            <v>IDR_10yr</v>
          </cell>
          <cell r="B2090" t="str">
            <v>IDR 10Y</v>
          </cell>
          <cell r="C2090" t="str">
            <v>BRS_GOLD__2_RATES:BRS_GOLD__1_OtherIR-HUF_IR-PLN-CZK_IR:IDR_IR:IDR_10yr</v>
          </cell>
          <cell r="D2090" t="str">
            <v>KRD</v>
          </cell>
          <cell r="E2090" t="str">
            <v>Yield</v>
          </cell>
          <cell r="F2090" t="str">
            <v>FI-Govt Emerging Markets</v>
          </cell>
          <cell r="G2090" t="str">
            <v>FI-Other</v>
          </cell>
          <cell r="H2090" t="str">
            <v>RATES</v>
          </cell>
          <cell r="I2090" t="str">
            <v>Govt Emerging Markets</v>
          </cell>
        </row>
        <row r="2091">
          <cell r="A2091" t="str">
            <v>IDR_15yr</v>
          </cell>
          <cell r="B2091" t="str">
            <v>IDR 15Y</v>
          </cell>
          <cell r="C2091" t="str">
            <v>BRS_GOLD__2_RATES:BRS_GOLD__1_OtherIR-HUF_IR-PLN-CZK_IR:IDR_IR:IDR_15yr</v>
          </cell>
          <cell r="D2091" t="str">
            <v>KRD</v>
          </cell>
          <cell r="E2091" t="str">
            <v>Yield</v>
          </cell>
          <cell r="F2091" t="str">
            <v>FI-Govt Emerging Markets</v>
          </cell>
          <cell r="G2091" t="str">
            <v>FI-Other</v>
          </cell>
          <cell r="H2091" t="str">
            <v>RATES</v>
          </cell>
          <cell r="I2091" t="str">
            <v>Govt Emerging Markets</v>
          </cell>
        </row>
        <row r="2092">
          <cell r="A2092" t="str">
            <v>IDR_20yr</v>
          </cell>
          <cell r="B2092" t="str">
            <v>IDR 20Y</v>
          </cell>
          <cell r="C2092" t="str">
            <v>BRS_GOLD__2_RATES:BRS_GOLD__1_OtherIR-HUF_IR-PLN-CZK_IR:IDR_IR:IDR_20yr</v>
          </cell>
          <cell r="D2092" t="str">
            <v>KRD</v>
          </cell>
          <cell r="E2092" t="str">
            <v>Yield</v>
          </cell>
          <cell r="F2092" t="str">
            <v>FI-Govt Emerging Markets</v>
          </cell>
          <cell r="G2092" t="str">
            <v>FI-Other</v>
          </cell>
          <cell r="H2092" t="str">
            <v>RATES</v>
          </cell>
          <cell r="I2092" t="str">
            <v>Govt Emerging Markets</v>
          </cell>
        </row>
        <row r="2093">
          <cell r="A2093" t="str">
            <v>IDR_25yr</v>
          </cell>
          <cell r="B2093" t="str">
            <v>IDR 25Y</v>
          </cell>
          <cell r="C2093" t="str">
            <v>BRS_GOLD__2_RATES:BRS_GOLD__1_OtherIR-HUF_IR-PLN-CZK_IR:IDR_IR:IDR_25yr</v>
          </cell>
          <cell r="D2093" t="str">
            <v>KRD</v>
          </cell>
          <cell r="E2093" t="str">
            <v>Yield</v>
          </cell>
          <cell r="F2093" t="str">
            <v>FI-Govt Emerging Markets</v>
          </cell>
          <cell r="G2093" t="str">
            <v>FI-Other</v>
          </cell>
          <cell r="H2093" t="str">
            <v>RATES</v>
          </cell>
          <cell r="I2093" t="str">
            <v>Govt Emerging Markets</v>
          </cell>
        </row>
        <row r="2094">
          <cell r="A2094" t="str">
            <v>IDR_30yr</v>
          </cell>
          <cell r="B2094" t="str">
            <v>IDR 30Y</v>
          </cell>
          <cell r="C2094" t="str">
            <v>BRS_GOLD__2_RATES:BRS_GOLD__1_OtherIR-HUF_IR-PLN-CZK_IR:IDR_IR:IDR_30yr</v>
          </cell>
          <cell r="D2094" t="str">
            <v>KRD</v>
          </cell>
          <cell r="E2094" t="str">
            <v>Yield</v>
          </cell>
          <cell r="F2094" t="str">
            <v>FI-Govt Emerging Markets</v>
          </cell>
          <cell r="G2094" t="str">
            <v>FI-Other</v>
          </cell>
          <cell r="H2094" t="str">
            <v>RATES</v>
          </cell>
          <cell r="I2094" t="str">
            <v>Govt Emerging Markets</v>
          </cell>
        </row>
        <row r="2095">
          <cell r="A2095" t="str">
            <v>ILS_3m</v>
          </cell>
          <cell r="B2095" t="str">
            <v>ILS 3M</v>
          </cell>
          <cell r="C2095" t="str">
            <v>ILS Int Rates:ILS 3M</v>
          </cell>
          <cell r="D2095" t="str">
            <v>KRD</v>
          </cell>
          <cell r="E2095" t="str">
            <v>Yield</v>
          </cell>
          <cell r="F2095" t="str">
            <v>FI-Govt Emerging Markets</v>
          </cell>
          <cell r="G2095" t="str">
            <v>FI-Other</v>
          </cell>
          <cell r="H2095" t="str">
            <v>RATES</v>
          </cell>
          <cell r="I2095" t="str">
            <v>Govt Emerging Markets</v>
          </cell>
        </row>
        <row r="2096">
          <cell r="A2096" t="str">
            <v>ILS_1yr</v>
          </cell>
          <cell r="B2096" t="str">
            <v>ILS 1Y</v>
          </cell>
          <cell r="C2096" t="str">
            <v>ILS Int Rates:ILS 1Y</v>
          </cell>
          <cell r="D2096" t="str">
            <v>KRD</v>
          </cell>
          <cell r="E2096" t="str">
            <v>Yield</v>
          </cell>
          <cell r="F2096" t="str">
            <v>FI-Govt Emerging Markets</v>
          </cell>
          <cell r="G2096" t="str">
            <v>FI-Other</v>
          </cell>
          <cell r="H2096" t="str">
            <v>RATES</v>
          </cell>
          <cell r="I2096" t="str">
            <v>Govt Emerging Markets</v>
          </cell>
        </row>
        <row r="2097">
          <cell r="A2097" t="str">
            <v>ILS_2yr</v>
          </cell>
          <cell r="B2097" t="str">
            <v>ILS 2Y</v>
          </cell>
          <cell r="C2097" t="str">
            <v>ILS Int Rates:ILS 2Y</v>
          </cell>
          <cell r="D2097" t="str">
            <v>KRD</v>
          </cell>
          <cell r="E2097" t="str">
            <v>Yield</v>
          </cell>
          <cell r="F2097" t="str">
            <v>FI-Govt Emerging Markets</v>
          </cell>
          <cell r="G2097" t="str">
            <v>FI-Other</v>
          </cell>
          <cell r="H2097" t="str">
            <v>RATES</v>
          </cell>
          <cell r="I2097" t="str">
            <v>Govt Emerging Markets</v>
          </cell>
        </row>
        <row r="2098">
          <cell r="A2098" t="str">
            <v>ILS_3yr</v>
          </cell>
          <cell r="B2098" t="str">
            <v>ILS 3Y</v>
          </cell>
          <cell r="C2098" t="str">
            <v>ILS Int Rates:ILS 3Y</v>
          </cell>
          <cell r="D2098" t="str">
            <v>KRD</v>
          </cell>
          <cell r="E2098" t="str">
            <v>Yield</v>
          </cell>
          <cell r="F2098" t="str">
            <v>FI-Govt Emerging Markets</v>
          </cell>
          <cell r="G2098" t="str">
            <v>FI-Other</v>
          </cell>
          <cell r="H2098" t="str">
            <v>RATES</v>
          </cell>
          <cell r="I2098" t="str">
            <v>Govt Emerging Markets</v>
          </cell>
        </row>
        <row r="2099">
          <cell r="A2099" t="str">
            <v>ILS_5yr</v>
          </cell>
          <cell r="B2099" t="str">
            <v>ILS 5Y</v>
          </cell>
          <cell r="C2099" t="str">
            <v>ILS Int Rates:ILS 5Y</v>
          </cell>
          <cell r="D2099" t="str">
            <v>KRD</v>
          </cell>
          <cell r="E2099" t="str">
            <v>Yield</v>
          </cell>
          <cell r="F2099" t="str">
            <v>FI-Govt Emerging Markets</v>
          </cell>
          <cell r="G2099" t="str">
            <v>FI-Other</v>
          </cell>
          <cell r="H2099" t="str">
            <v>RATES</v>
          </cell>
          <cell r="I2099" t="str">
            <v>Govt Emerging Markets</v>
          </cell>
        </row>
        <row r="2100">
          <cell r="A2100" t="str">
            <v>ILS_7yr</v>
          </cell>
          <cell r="B2100" t="str">
            <v>ILS 7Y</v>
          </cell>
          <cell r="C2100" t="str">
            <v>ILS Int Rates:ILS 7Y</v>
          </cell>
          <cell r="D2100" t="str">
            <v>KRD</v>
          </cell>
          <cell r="E2100" t="str">
            <v>Yield</v>
          </cell>
          <cell r="F2100" t="str">
            <v>FI-Govt Emerging Markets</v>
          </cell>
          <cell r="G2100" t="str">
            <v>FI-Other</v>
          </cell>
          <cell r="H2100" t="str">
            <v>RATES</v>
          </cell>
          <cell r="I2100" t="str">
            <v>Govt Emerging Markets</v>
          </cell>
        </row>
        <row r="2101">
          <cell r="A2101" t="str">
            <v>ILS_10yr</v>
          </cell>
          <cell r="B2101" t="str">
            <v>ILS 10Y</v>
          </cell>
          <cell r="C2101" t="str">
            <v>ILS Int Rates:ILS 10Y</v>
          </cell>
          <cell r="D2101" t="str">
            <v>KRD</v>
          </cell>
          <cell r="E2101" t="str">
            <v>Yield</v>
          </cell>
          <cell r="F2101" t="str">
            <v>FI-Govt Emerging Markets</v>
          </cell>
          <cell r="G2101" t="str">
            <v>FI-Other</v>
          </cell>
          <cell r="H2101" t="str">
            <v>RATES</v>
          </cell>
          <cell r="I2101" t="str">
            <v>Govt Emerging Markets</v>
          </cell>
        </row>
        <row r="2102">
          <cell r="A2102" t="str">
            <v>ILS_15yr</v>
          </cell>
          <cell r="B2102" t="str">
            <v>ILS 15Y</v>
          </cell>
          <cell r="C2102" t="str">
            <v>ILS Int Rates:ILS 15Y</v>
          </cell>
          <cell r="D2102" t="str">
            <v>KRD</v>
          </cell>
          <cell r="E2102" t="str">
            <v>Yield</v>
          </cell>
          <cell r="F2102" t="str">
            <v>FI-Govt Emerging Markets</v>
          </cell>
          <cell r="G2102" t="str">
            <v>FI-Other</v>
          </cell>
          <cell r="H2102" t="str">
            <v>RATES</v>
          </cell>
          <cell r="I2102" t="str">
            <v>Govt Emerging Markets</v>
          </cell>
        </row>
        <row r="2103">
          <cell r="A2103" t="str">
            <v>ILS_20yr</v>
          </cell>
          <cell r="B2103" t="str">
            <v>ILS 20Y</v>
          </cell>
          <cell r="C2103" t="str">
            <v>ILS Int Rates:ILS 20Y</v>
          </cell>
          <cell r="D2103" t="str">
            <v>KRD</v>
          </cell>
          <cell r="E2103" t="str">
            <v>Yield</v>
          </cell>
          <cell r="F2103" t="str">
            <v>FI-Govt Emerging Markets</v>
          </cell>
          <cell r="G2103" t="str">
            <v>FI-Other</v>
          </cell>
          <cell r="H2103" t="str">
            <v>RATES</v>
          </cell>
          <cell r="I2103" t="str">
            <v>Govt Emerging Markets</v>
          </cell>
        </row>
        <row r="2104">
          <cell r="A2104" t="str">
            <v>ILS_25yr</v>
          </cell>
          <cell r="B2104" t="str">
            <v>ILS 25Y</v>
          </cell>
          <cell r="C2104" t="str">
            <v>ILS Int Rates:ILS 25Y</v>
          </cell>
          <cell r="D2104" t="str">
            <v>KRD</v>
          </cell>
          <cell r="E2104" t="str">
            <v>Yield</v>
          </cell>
          <cell r="F2104" t="str">
            <v>FI-Govt Emerging Markets</v>
          </cell>
          <cell r="G2104" t="str">
            <v>FI-Other</v>
          </cell>
          <cell r="H2104" t="str">
            <v>RATES</v>
          </cell>
          <cell r="I2104" t="str">
            <v>Govt Emerging Markets</v>
          </cell>
        </row>
        <row r="2105">
          <cell r="A2105" t="str">
            <v>ILS_30yr</v>
          </cell>
          <cell r="B2105" t="str">
            <v>ILS 30Y</v>
          </cell>
          <cell r="C2105" t="str">
            <v>ILS Int Rates:ILS 30Y</v>
          </cell>
          <cell r="D2105" t="str">
            <v>KRD</v>
          </cell>
          <cell r="E2105" t="str">
            <v>Yield</v>
          </cell>
          <cell r="F2105" t="str">
            <v>FI-Govt Emerging Markets</v>
          </cell>
          <cell r="G2105" t="str">
            <v>FI-Other</v>
          </cell>
          <cell r="H2105" t="str">
            <v>RATES</v>
          </cell>
          <cell r="I2105" t="str">
            <v>Govt Emerging Markets</v>
          </cell>
        </row>
        <row r="2106">
          <cell r="A2106" t="str">
            <v>INR_3m</v>
          </cell>
          <cell r="B2106" t="str">
            <v>INR 3M</v>
          </cell>
          <cell r="C2106" t="str">
            <v>BRS_GOLD__2_RATES:BRS_GOLD__1_OtherIR-HUF_IR-PLN-CZK_IR:INR_IR:INR_3m</v>
          </cell>
          <cell r="D2106" t="str">
            <v>KRD</v>
          </cell>
          <cell r="E2106" t="str">
            <v>Yield</v>
          </cell>
          <cell r="F2106" t="str">
            <v>FI-Govt Emerging Markets</v>
          </cell>
          <cell r="G2106" t="str">
            <v>FI-Other</v>
          </cell>
          <cell r="H2106" t="str">
            <v>RATES</v>
          </cell>
          <cell r="I2106" t="str">
            <v>Govt Emerging Markets</v>
          </cell>
        </row>
        <row r="2107">
          <cell r="A2107" t="str">
            <v>INR_1yr</v>
          </cell>
          <cell r="B2107" t="str">
            <v>INR 1Y</v>
          </cell>
          <cell r="C2107" t="str">
            <v>BRS_GOLD__2_RATES:BRS_GOLD__1_OtherIR-HUF_IR-PLN-CZK_IR:INR_IR:INR_1yr</v>
          </cell>
          <cell r="D2107" t="str">
            <v>KRD</v>
          </cell>
          <cell r="E2107" t="str">
            <v>Yield</v>
          </cell>
          <cell r="F2107" t="str">
            <v>FI-Govt Emerging Markets</v>
          </cell>
          <cell r="G2107" t="str">
            <v>FI-Other</v>
          </cell>
          <cell r="H2107" t="str">
            <v>RATES</v>
          </cell>
          <cell r="I2107" t="str">
            <v>Govt Emerging Markets</v>
          </cell>
        </row>
        <row r="2108">
          <cell r="A2108" t="str">
            <v>INR_2yr</v>
          </cell>
          <cell r="B2108" t="str">
            <v>INR 2Y</v>
          </cell>
          <cell r="C2108" t="str">
            <v>BRS_GOLD__2_RATES:BRS_GOLD__1_OtherIR-HUF_IR-PLN-CZK_IR:INR_IR:INR_2yr</v>
          </cell>
          <cell r="D2108" t="str">
            <v>KRD</v>
          </cell>
          <cell r="E2108" t="str">
            <v>Yield</v>
          </cell>
          <cell r="F2108" t="str">
            <v>FI-Govt Emerging Markets</v>
          </cell>
          <cell r="G2108" t="str">
            <v>FI-Other</v>
          </cell>
          <cell r="H2108" t="str">
            <v>RATES</v>
          </cell>
          <cell r="I2108" t="str">
            <v>Govt Emerging Markets</v>
          </cell>
        </row>
        <row r="2109">
          <cell r="A2109" t="str">
            <v>INR_3yr</v>
          </cell>
          <cell r="B2109" t="str">
            <v>INR 3Y</v>
          </cell>
          <cell r="C2109" t="str">
            <v>BRS_GOLD__2_RATES:BRS_GOLD__1_OtherIR-HUF_IR-PLN-CZK_IR:INR_IR:INR_3yr</v>
          </cell>
          <cell r="D2109" t="str">
            <v>KRD</v>
          </cell>
          <cell r="E2109" t="str">
            <v>Yield</v>
          </cell>
          <cell r="F2109" t="str">
            <v>FI-Govt Emerging Markets</v>
          </cell>
          <cell r="G2109" t="str">
            <v>FI-Other</v>
          </cell>
          <cell r="H2109" t="str">
            <v>RATES</v>
          </cell>
          <cell r="I2109" t="str">
            <v>Govt Emerging Markets</v>
          </cell>
        </row>
        <row r="2110">
          <cell r="A2110" t="str">
            <v>INR_5yr</v>
          </cell>
          <cell r="B2110" t="str">
            <v>INR 5Y</v>
          </cell>
          <cell r="C2110" t="str">
            <v>BRS_GOLD__2_RATES:BRS_GOLD__1_OtherIR-HUF_IR-PLN-CZK_IR:INR_IR:INR_5yr</v>
          </cell>
          <cell r="D2110" t="str">
            <v>KRD</v>
          </cell>
          <cell r="E2110" t="str">
            <v>Yield</v>
          </cell>
          <cell r="F2110" t="str">
            <v>FI-Govt Emerging Markets</v>
          </cell>
          <cell r="G2110" t="str">
            <v>FI-Other</v>
          </cell>
          <cell r="H2110" t="str">
            <v>RATES</v>
          </cell>
          <cell r="I2110" t="str">
            <v>Govt Emerging Markets</v>
          </cell>
        </row>
        <row r="2111">
          <cell r="A2111" t="str">
            <v>INR_7yr</v>
          </cell>
          <cell r="B2111" t="str">
            <v>INR 7Y</v>
          </cell>
          <cell r="C2111" t="str">
            <v>BRS_GOLD__2_RATES:BRS_GOLD__1_OtherIR-HUF_IR-PLN-CZK_IR:INR_IR:INR_7yr</v>
          </cell>
          <cell r="D2111" t="str">
            <v>KRD</v>
          </cell>
          <cell r="E2111" t="str">
            <v>Yield</v>
          </cell>
          <cell r="F2111" t="str">
            <v>FI-Govt Emerging Markets</v>
          </cell>
          <cell r="G2111" t="str">
            <v>FI-Other</v>
          </cell>
          <cell r="H2111" t="str">
            <v>RATES</v>
          </cell>
          <cell r="I2111" t="str">
            <v>Govt Emerging Markets</v>
          </cell>
        </row>
        <row r="2112">
          <cell r="A2112" t="str">
            <v>INR_10yr</v>
          </cell>
          <cell r="B2112" t="str">
            <v>INR 10Y</v>
          </cell>
          <cell r="C2112" t="str">
            <v>BRS_GOLD__2_RATES:BRS_GOLD__1_OtherIR-HUF_IR-PLN-CZK_IR:INR_IR:INR_10yr</v>
          </cell>
          <cell r="D2112" t="str">
            <v>KRD</v>
          </cell>
          <cell r="E2112" t="str">
            <v>Yield</v>
          </cell>
          <cell r="F2112" t="str">
            <v>FI-Govt Emerging Markets</v>
          </cell>
          <cell r="G2112" t="str">
            <v>FI-Other</v>
          </cell>
          <cell r="H2112" t="str">
            <v>RATES</v>
          </cell>
          <cell r="I2112" t="str">
            <v>Govt Emerging Markets</v>
          </cell>
        </row>
        <row r="2113">
          <cell r="A2113" t="str">
            <v>INR_15yr</v>
          </cell>
          <cell r="B2113" t="str">
            <v>INR 15Y</v>
          </cell>
          <cell r="C2113" t="str">
            <v>BRS_GOLD__2_RATES:BRS_GOLD__1_OtherIR-HUF_IR-PLN-CZK_IR:INR_IR:INR_15yr</v>
          </cell>
          <cell r="D2113" t="str">
            <v>KRD</v>
          </cell>
          <cell r="E2113" t="str">
            <v>Yield</v>
          </cell>
          <cell r="F2113" t="str">
            <v>FI-Govt Emerging Markets</v>
          </cell>
          <cell r="G2113" t="str">
            <v>FI-Other</v>
          </cell>
          <cell r="H2113" t="str">
            <v>RATES</v>
          </cell>
          <cell r="I2113" t="str">
            <v>Govt Emerging Markets</v>
          </cell>
        </row>
        <row r="2114">
          <cell r="A2114" t="str">
            <v>INR_20yr</v>
          </cell>
          <cell r="B2114" t="str">
            <v>INR 20Y</v>
          </cell>
          <cell r="C2114" t="str">
            <v>BRS_GOLD__2_RATES:BRS_GOLD__1_OtherIR-HUF_IR-PLN-CZK_IR:INR_IR:INR_20yr</v>
          </cell>
          <cell r="D2114" t="str">
            <v>KRD</v>
          </cell>
          <cell r="E2114" t="str">
            <v>Yield</v>
          </cell>
          <cell r="F2114" t="str">
            <v>FI-Govt Emerging Markets</v>
          </cell>
          <cell r="G2114" t="str">
            <v>FI-Other</v>
          </cell>
          <cell r="H2114" t="str">
            <v>RATES</v>
          </cell>
          <cell r="I2114" t="str">
            <v>Govt Emerging Markets</v>
          </cell>
        </row>
        <row r="2115">
          <cell r="A2115" t="str">
            <v>INR_25yr</v>
          </cell>
          <cell r="B2115" t="str">
            <v>INR 25Y</v>
          </cell>
          <cell r="C2115" t="str">
            <v>BRS_GOLD__2_RATES:BRS_GOLD__1_OtherIR-HUF_IR-PLN-CZK_IR:INR_IR:INR_25yr</v>
          </cell>
          <cell r="D2115" t="str">
            <v>KRD</v>
          </cell>
          <cell r="E2115" t="str">
            <v>Yield</v>
          </cell>
          <cell r="F2115" t="str">
            <v>FI-Govt Emerging Markets</v>
          </cell>
          <cell r="G2115" t="str">
            <v>FI-Other</v>
          </cell>
          <cell r="H2115" t="str">
            <v>RATES</v>
          </cell>
          <cell r="I2115" t="str">
            <v>Govt Emerging Markets</v>
          </cell>
        </row>
        <row r="2116">
          <cell r="A2116" t="str">
            <v>INR_30yr</v>
          </cell>
          <cell r="B2116" t="str">
            <v>INR 30Y</v>
          </cell>
          <cell r="C2116" t="str">
            <v>BRS_GOLD__2_RATES:BRS_GOLD__1_OtherIR-HUF_IR-PLN-CZK_IR:INR_IR:INR_30yr</v>
          </cell>
          <cell r="D2116" t="str">
            <v>KRD</v>
          </cell>
          <cell r="E2116" t="str">
            <v>Yield</v>
          </cell>
          <cell r="F2116" t="str">
            <v>FI-Govt Emerging Markets</v>
          </cell>
          <cell r="G2116" t="str">
            <v>FI-Other</v>
          </cell>
          <cell r="H2116" t="str">
            <v>RATES</v>
          </cell>
          <cell r="I2116" t="str">
            <v>Govt Emerging Markets</v>
          </cell>
        </row>
        <row r="2117">
          <cell r="A2117" t="str">
            <v>KRW_3m</v>
          </cell>
          <cell r="B2117" t="str">
            <v>KRW 3M</v>
          </cell>
          <cell r="C2117" t="str">
            <v>BRS_GOLD__2_RATES:BRS_GOLD__1_OtherIR-HUF_IR-PLN-CZK_IR:KRW_IR:KRW_3m</v>
          </cell>
          <cell r="D2117" t="str">
            <v>KRD</v>
          </cell>
          <cell r="E2117" t="str">
            <v>Yield</v>
          </cell>
          <cell r="F2117" t="str">
            <v>FI-Govt Emerging Markets</v>
          </cell>
          <cell r="G2117" t="str">
            <v>FI-Other</v>
          </cell>
          <cell r="H2117" t="str">
            <v>RATES</v>
          </cell>
          <cell r="I2117" t="str">
            <v>Govt Emerging Markets</v>
          </cell>
        </row>
        <row r="2118">
          <cell r="A2118" t="str">
            <v>KRW_1yr</v>
          </cell>
          <cell r="B2118" t="str">
            <v>KRW 1Y</v>
          </cell>
          <cell r="C2118" t="str">
            <v>BRS_GOLD__2_RATES:BRS_GOLD__1_OtherIR-HUF_IR-PLN-CZK_IR:KRW_IR:KRW_1yr</v>
          </cell>
          <cell r="D2118" t="str">
            <v>KRD</v>
          </cell>
          <cell r="E2118" t="str">
            <v>Yield</v>
          </cell>
          <cell r="F2118" t="str">
            <v>FI-Govt Emerging Markets</v>
          </cell>
          <cell r="G2118" t="str">
            <v>FI-Other</v>
          </cell>
          <cell r="H2118" t="str">
            <v>RATES</v>
          </cell>
          <cell r="I2118" t="str">
            <v>Govt Emerging Markets</v>
          </cell>
        </row>
        <row r="2119">
          <cell r="A2119" t="str">
            <v>KRW_2yr</v>
          </cell>
          <cell r="B2119" t="str">
            <v>KRW 2Y</v>
          </cell>
          <cell r="C2119" t="str">
            <v>BRS_GOLD__2_RATES:BRS_GOLD__1_OtherIR-HUF_IR-PLN-CZK_IR:KRW_IR:KRW_2yr</v>
          </cell>
          <cell r="D2119" t="str">
            <v>KRD</v>
          </cell>
          <cell r="E2119" t="str">
            <v>Yield</v>
          </cell>
          <cell r="F2119" t="str">
            <v>FI-Govt Emerging Markets</v>
          </cell>
          <cell r="G2119" t="str">
            <v>FI-Other</v>
          </cell>
          <cell r="H2119" t="str">
            <v>RATES</v>
          </cell>
          <cell r="I2119" t="str">
            <v>Govt Emerging Markets</v>
          </cell>
        </row>
        <row r="2120">
          <cell r="A2120" t="str">
            <v>KRW_3yr</v>
          </cell>
          <cell r="B2120" t="str">
            <v>KRW 3Y</v>
          </cell>
          <cell r="C2120" t="str">
            <v>BRS_GOLD__2_RATES:BRS_GOLD__1_OtherIR-HUF_IR-PLN-CZK_IR:KRW_IR:KRW_3yr</v>
          </cell>
          <cell r="D2120" t="str">
            <v>KRD</v>
          </cell>
          <cell r="E2120" t="str">
            <v>Yield</v>
          </cell>
          <cell r="F2120" t="str">
            <v>FI-Govt Emerging Markets</v>
          </cell>
          <cell r="G2120" t="str">
            <v>FI-Other</v>
          </cell>
          <cell r="H2120" t="str">
            <v>RATES</v>
          </cell>
          <cell r="I2120" t="str">
            <v>Govt Emerging Markets</v>
          </cell>
        </row>
        <row r="2121">
          <cell r="A2121" t="str">
            <v>KRW_5yr</v>
          </cell>
          <cell r="B2121" t="str">
            <v>KRW 5Y</v>
          </cell>
          <cell r="C2121" t="str">
            <v>BRS_GOLD__2_RATES:BRS_GOLD__1_OtherIR-HUF_IR-PLN-CZK_IR:KRW_IR:KRW_5yr</v>
          </cell>
          <cell r="D2121" t="str">
            <v>KRD</v>
          </cell>
          <cell r="E2121" t="str">
            <v>Yield</v>
          </cell>
          <cell r="F2121" t="str">
            <v>FI-Govt Emerging Markets</v>
          </cell>
          <cell r="G2121" t="str">
            <v>FI-Other</v>
          </cell>
          <cell r="H2121" t="str">
            <v>RATES</v>
          </cell>
          <cell r="I2121" t="str">
            <v>Govt Emerging Markets</v>
          </cell>
        </row>
        <row r="2122">
          <cell r="A2122" t="str">
            <v>KRW_7yr</v>
          </cell>
          <cell r="B2122" t="str">
            <v>KRW 7Y</v>
          </cell>
          <cell r="C2122" t="str">
            <v>BRS_GOLD__2_RATES:BRS_GOLD__1_OtherIR-HUF_IR-PLN-CZK_IR:KRW_IR:KRW_7yr</v>
          </cell>
          <cell r="D2122" t="str">
            <v>KRD</v>
          </cell>
          <cell r="E2122" t="str">
            <v>Yield</v>
          </cell>
          <cell r="F2122" t="str">
            <v>FI-Govt Emerging Markets</v>
          </cell>
          <cell r="G2122" t="str">
            <v>FI-Other</v>
          </cell>
          <cell r="H2122" t="str">
            <v>RATES</v>
          </cell>
          <cell r="I2122" t="str">
            <v>Govt Emerging Markets</v>
          </cell>
        </row>
        <row r="2123">
          <cell r="A2123" t="str">
            <v>KRW_10yr</v>
          </cell>
          <cell r="B2123" t="str">
            <v>KRW 10Y</v>
          </cell>
          <cell r="C2123" t="str">
            <v>BRS_GOLD__2_RATES:BRS_GOLD__1_OtherIR-HUF_IR-PLN-CZK_IR:KRW_IR:KRW_10yr</v>
          </cell>
          <cell r="D2123" t="str">
            <v>KRD</v>
          </cell>
          <cell r="E2123" t="str">
            <v>Yield</v>
          </cell>
          <cell r="F2123" t="str">
            <v>FI-Govt Emerging Markets</v>
          </cell>
          <cell r="G2123" t="str">
            <v>FI-Other</v>
          </cell>
          <cell r="H2123" t="str">
            <v>RATES</v>
          </cell>
          <cell r="I2123" t="str">
            <v>Govt Emerging Markets</v>
          </cell>
        </row>
        <row r="2124">
          <cell r="A2124" t="str">
            <v>KRW_15yr</v>
          </cell>
          <cell r="B2124" t="str">
            <v>KRW 15Y</v>
          </cell>
          <cell r="C2124" t="str">
            <v>BRS_GOLD__2_RATES:BRS_GOLD__1_OtherIR-HUF_IR-PLN-CZK_IR:KRW_IR:KRW_15yr</v>
          </cell>
          <cell r="D2124" t="str">
            <v>KRD</v>
          </cell>
          <cell r="E2124" t="str">
            <v>Yield</v>
          </cell>
          <cell r="F2124" t="str">
            <v>FI-Govt Emerging Markets</v>
          </cell>
          <cell r="G2124" t="str">
            <v>FI-Other</v>
          </cell>
          <cell r="H2124" t="str">
            <v>RATES</v>
          </cell>
          <cell r="I2124" t="str">
            <v>Govt Emerging Markets</v>
          </cell>
        </row>
        <row r="2125">
          <cell r="A2125" t="str">
            <v>KRW_20yr</v>
          </cell>
          <cell r="B2125" t="str">
            <v>KRW 20Y</v>
          </cell>
          <cell r="C2125" t="str">
            <v>BRS_GOLD__2_RATES:BRS_GOLD__1_OtherIR-HUF_IR-PLN-CZK_IR:KRW_IR:KRW_20yr</v>
          </cell>
          <cell r="D2125" t="str">
            <v>KRD</v>
          </cell>
          <cell r="E2125" t="str">
            <v>Yield</v>
          </cell>
          <cell r="F2125" t="str">
            <v>FI-Govt Emerging Markets</v>
          </cell>
          <cell r="G2125" t="str">
            <v>FI-Other</v>
          </cell>
          <cell r="H2125" t="str">
            <v>RATES</v>
          </cell>
          <cell r="I2125" t="str">
            <v>Govt Emerging Markets</v>
          </cell>
        </row>
        <row r="2126">
          <cell r="A2126" t="str">
            <v>KRW_25yr</v>
          </cell>
          <cell r="B2126" t="str">
            <v>KRW 25Y</v>
          </cell>
          <cell r="C2126" t="str">
            <v>BRS_GOLD__2_RATES:BRS_GOLD__1_OtherIR-HUF_IR-PLN-CZK_IR:KRW_IR:KRW_25yr</v>
          </cell>
          <cell r="D2126" t="str">
            <v>KRD</v>
          </cell>
          <cell r="E2126" t="str">
            <v>Yield</v>
          </cell>
          <cell r="F2126" t="str">
            <v>FI-Govt Emerging Markets</v>
          </cell>
          <cell r="G2126" t="str">
            <v>FI-Other</v>
          </cell>
          <cell r="H2126" t="str">
            <v>RATES</v>
          </cell>
          <cell r="I2126" t="str">
            <v>Govt Emerging Markets</v>
          </cell>
        </row>
        <row r="2127">
          <cell r="A2127" t="str">
            <v>KRW_30yr</v>
          </cell>
          <cell r="B2127" t="str">
            <v>KRW 30Y</v>
          </cell>
          <cell r="C2127" t="str">
            <v>BRS_GOLD__2_RATES:BRS_GOLD__1_OtherIR-HUF_IR-PLN-CZK_IR:KRW_IR:KRW_30yr</v>
          </cell>
          <cell r="D2127" t="str">
            <v>KRD</v>
          </cell>
          <cell r="E2127" t="str">
            <v>Yield</v>
          </cell>
          <cell r="F2127" t="str">
            <v>FI-Govt Emerging Markets</v>
          </cell>
          <cell r="G2127" t="str">
            <v>FI-Other</v>
          </cell>
          <cell r="H2127" t="str">
            <v>RATES</v>
          </cell>
          <cell r="I2127" t="str">
            <v>Govt Emerging Markets</v>
          </cell>
        </row>
        <row r="2128">
          <cell r="A2128" t="str">
            <v>LKR_3m</v>
          </cell>
          <cell r="B2128" t="str">
            <v>LKR 3M</v>
          </cell>
          <cell r="C2128" t="str">
            <v>BRS_GOLD__2_RATES:BRS_GOLD__1_OtherIR-HUF_IR-PLN-CZK_IR:LKR_IR:LKR_3m</v>
          </cell>
          <cell r="D2128" t="str">
            <v>KRD</v>
          </cell>
          <cell r="E2128" t="str">
            <v>Yield</v>
          </cell>
          <cell r="F2128" t="str">
            <v>FI-Govt Emerging Markets</v>
          </cell>
          <cell r="G2128" t="str">
            <v>FI-Other</v>
          </cell>
          <cell r="H2128" t="str">
            <v>RATES</v>
          </cell>
          <cell r="I2128" t="str">
            <v>Govt Emerging Markets</v>
          </cell>
        </row>
        <row r="2129">
          <cell r="A2129" t="str">
            <v>LKR_1yr</v>
          </cell>
          <cell r="B2129" t="str">
            <v>LKR 1Y</v>
          </cell>
          <cell r="C2129" t="str">
            <v>BRS_GOLD__2_RATES:BRS_GOLD__1_OtherIR-HUF_IR-PLN-CZK_IR:LKR_IR:LKR_1yr</v>
          </cell>
          <cell r="D2129" t="str">
            <v>KRD</v>
          </cell>
          <cell r="E2129" t="str">
            <v>Yield</v>
          </cell>
          <cell r="F2129" t="str">
            <v>FI-Govt Emerging Markets</v>
          </cell>
          <cell r="G2129" t="str">
            <v>FI-Other</v>
          </cell>
          <cell r="H2129" t="str">
            <v>RATES</v>
          </cell>
          <cell r="I2129" t="str">
            <v>Govt Emerging Markets</v>
          </cell>
        </row>
        <row r="2130">
          <cell r="A2130" t="str">
            <v>LKR_2yr</v>
          </cell>
          <cell r="B2130" t="str">
            <v>LKR 2Y</v>
          </cell>
          <cell r="C2130" t="str">
            <v>BRS_GOLD__2_RATES:BRS_GOLD__1_OtherIR-HUF_IR-PLN-CZK_IR:LKR_IR:LKR_2yr</v>
          </cell>
          <cell r="D2130" t="str">
            <v>KRD</v>
          </cell>
          <cell r="E2130" t="str">
            <v>Yield</v>
          </cell>
          <cell r="F2130" t="str">
            <v>FI-Govt Emerging Markets</v>
          </cell>
          <cell r="G2130" t="str">
            <v>FI-Other</v>
          </cell>
          <cell r="H2130" t="str">
            <v>RATES</v>
          </cell>
          <cell r="I2130" t="str">
            <v>Govt Emerging Markets</v>
          </cell>
        </row>
        <row r="2131">
          <cell r="A2131" t="str">
            <v>LKR_3yr</v>
          </cell>
          <cell r="B2131" t="str">
            <v>LKR 3Y</v>
          </cell>
          <cell r="C2131" t="str">
            <v>BRS_GOLD__2_RATES:BRS_GOLD__1_OtherIR-HUF_IR-PLN-CZK_IR:LKR_IR:LKR_3yr</v>
          </cell>
          <cell r="D2131" t="str">
            <v>KRD</v>
          </cell>
          <cell r="E2131" t="str">
            <v>Yield</v>
          </cell>
          <cell r="F2131" t="str">
            <v>FI-Govt Emerging Markets</v>
          </cell>
          <cell r="G2131" t="str">
            <v>FI-Other</v>
          </cell>
          <cell r="H2131" t="str">
            <v>RATES</v>
          </cell>
          <cell r="I2131" t="str">
            <v>Govt Emerging Markets</v>
          </cell>
        </row>
        <row r="2132">
          <cell r="A2132" t="str">
            <v>LKR_5yr</v>
          </cell>
          <cell r="B2132" t="str">
            <v>LKR 5Y</v>
          </cell>
          <cell r="C2132" t="str">
            <v>BRS_GOLD__2_RATES:BRS_GOLD__1_OtherIR-HUF_IR-PLN-CZK_IR:LKR_IR:LKR_5yr</v>
          </cell>
          <cell r="D2132" t="str">
            <v>KRD</v>
          </cell>
          <cell r="E2132" t="str">
            <v>Yield</v>
          </cell>
          <cell r="F2132" t="str">
            <v>FI-Govt Emerging Markets</v>
          </cell>
          <cell r="G2132" t="str">
            <v>FI-Other</v>
          </cell>
          <cell r="H2132" t="str">
            <v>RATES</v>
          </cell>
          <cell r="I2132" t="str">
            <v>Govt Emerging Markets</v>
          </cell>
        </row>
        <row r="2133">
          <cell r="A2133" t="str">
            <v>LKR_7yr</v>
          </cell>
          <cell r="B2133" t="str">
            <v>LKR 7Y</v>
          </cell>
          <cell r="C2133" t="str">
            <v>BRS_GOLD__2_RATES:BRS_GOLD__1_OtherIR-HUF_IR-PLN-CZK_IR:LKR_IR:LKR_7yr</v>
          </cell>
          <cell r="D2133" t="str">
            <v>KRD</v>
          </cell>
          <cell r="E2133" t="str">
            <v>Yield</v>
          </cell>
          <cell r="F2133" t="str">
            <v>FI-Govt Emerging Markets</v>
          </cell>
          <cell r="G2133" t="str">
            <v>FI-Other</v>
          </cell>
          <cell r="H2133" t="str">
            <v>RATES</v>
          </cell>
          <cell r="I2133" t="str">
            <v>Govt Emerging Markets</v>
          </cell>
        </row>
        <row r="2134">
          <cell r="A2134" t="str">
            <v>LKR_10yr</v>
          </cell>
          <cell r="B2134" t="str">
            <v>LKR 10Y</v>
          </cell>
          <cell r="C2134" t="str">
            <v>BRS_GOLD__2_RATES:BRS_GOLD__1_OtherIR-HUF_IR-PLN-CZK_IR:LKR_IR:LKR_10yr</v>
          </cell>
          <cell r="D2134" t="str">
            <v>KRD</v>
          </cell>
          <cell r="E2134" t="str">
            <v>Yield</v>
          </cell>
          <cell r="F2134" t="str">
            <v>FI-Govt Emerging Markets</v>
          </cell>
          <cell r="G2134" t="str">
            <v>FI-Other</v>
          </cell>
          <cell r="H2134" t="str">
            <v>RATES</v>
          </cell>
          <cell r="I2134" t="str">
            <v>Govt Emerging Markets</v>
          </cell>
        </row>
        <row r="2135">
          <cell r="A2135" t="str">
            <v>LKR_15yr</v>
          </cell>
          <cell r="B2135" t="str">
            <v>LKR 15Y</v>
          </cell>
          <cell r="C2135" t="str">
            <v>BRS_GOLD__2_RATES:BRS_GOLD__1_OtherIR-HUF_IR-PLN-CZK_IR:LKR_IR:LKR_15yr</v>
          </cell>
          <cell r="D2135" t="str">
            <v>KRD</v>
          </cell>
          <cell r="E2135" t="str">
            <v>Yield</v>
          </cell>
          <cell r="F2135" t="str">
            <v>FI-Govt Emerging Markets</v>
          </cell>
          <cell r="G2135" t="str">
            <v>FI-Other</v>
          </cell>
          <cell r="H2135" t="str">
            <v>RATES</v>
          </cell>
          <cell r="I2135" t="str">
            <v>Govt Emerging Markets</v>
          </cell>
        </row>
        <row r="2136">
          <cell r="A2136" t="str">
            <v>LKR_20yr</v>
          </cell>
          <cell r="B2136" t="str">
            <v>LKR 20Y</v>
          </cell>
          <cell r="C2136" t="str">
            <v>BRS_GOLD__2_RATES:BRS_GOLD__1_OtherIR-HUF_IR-PLN-CZK_IR:LKR_IR:LKR_20yr</v>
          </cell>
          <cell r="D2136" t="str">
            <v>KRD</v>
          </cell>
          <cell r="E2136" t="str">
            <v>Yield</v>
          </cell>
          <cell r="F2136" t="str">
            <v>FI-Govt Emerging Markets</v>
          </cell>
          <cell r="G2136" t="str">
            <v>FI-Other</v>
          </cell>
          <cell r="H2136" t="str">
            <v>RATES</v>
          </cell>
          <cell r="I2136" t="str">
            <v>Govt Emerging Markets</v>
          </cell>
        </row>
        <row r="2137">
          <cell r="A2137" t="str">
            <v>LKR_25yr</v>
          </cell>
          <cell r="B2137" t="str">
            <v>LKR 25Y</v>
          </cell>
          <cell r="C2137" t="str">
            <v>BRS_GOLD__2_RATES:BRS_GOLD__1_OtherIR-HUF_IR-PLN-CZK_IR:LKR_IR:LKR_25yr</v>
          </cell>
          <cell r="D2137" t="str">
            <v>KRD</v>
          </cell>
          <cell r="E2137" t="str">
            <v>Yield</v>
          </cell>
          <cell r="F2137" t="str">
            <v>FI-Govt Emerging Markets</v>
          </cell>
          <cell r="G2137" t="str">
            <v>FI-Other</v>
          </cell>
          <cell r="H2137" t="str">
            <v>RATES</v>
          </cell>
          <cell r="I2137" t="str">
            <v>Govt Emerging Markets</v>
          </cell>
        </row>
        <row r="2138">
          <cell r="A2138" t="str">
            <v>LKR_30yr</v>
          </cell>
          <cell r="B2138" t="str">
            <v>LKR 30Y</v>
          </cell>
          <cell r="C2138" t="str">
            <v>BRS_GOLD__2_RATES:BRS_GOLD__1_OtherIR-HUF_IR-PLN-CZK_IR:LKR_IR:LKR_30yr</v>
          </cell>
          <cell r="D2138" t="str">
            <v>KRD</v>
          </cell>
          <cell r="E2138" t="str">
            <v>Yield</v>
          </cell>
          <cell r="F2138" t="str">
            <v>FI-Govt Emerging Markets</v>
          </cell>
          <cell r="G2138" t="str">
            <v>FI-Other</v>
          </cell>
          <cell r="H2138" t="str">
            <v>RATES</v>
          </cell>
          <cell r="I2138" t="str">
            <v>Govt Emerging Markets</v>
          </cell>
        </row>
        <row r="2139">
          <cell r="A2139" t="str">
            <v>MXN_3m</v>
          </cell>
          <cell r="B2139" t="str">
            <v>MXN 3M</v>
          </cell>
          <cell r="C2139" t="str">
            <v>BRS_GOLD__2_RATES:BRS_GOLD__1_OtherIR-HUF_IR-PLN-CZK_IR:BRS_GOLD__1_MXNIR:MXN_3m</v>
          </cell>
          <cell r="D2139" t="str">
            <v>KRD</v>
          </cell>
          <cell r="E2139" t="str">
            <v>Yield</v>
          </cell>
          <cell r="F2139" t="str">
            <v>FI-Govt Emerging Markets</v>
          </cell>
          <cell r="G2139" t="str">
            <v>FI-Other</v>
          </cell>
          <cell r="H2139" t="str">
            <v>RATES</v>
          </cell>
          <cell r="I2139" t="str">
            <v>Govt Emerging Markets</v>
          </cell>
        </row>
        <row r="2140">
          <cell r="A2140" t="str">
            <v>MXN_1yr</v>
          </cell>
          <cell r="B2140" t="str">
            <v>MXN 1Y</v>
          </cell>
          <cell r="C2140" t="str">
            <v>BRS_GOLD__2_RATES:BRS_GOLD__1_OtherIR-HUF_IR-PLN-CZK_IR:BRS_GOLD__1_MXNIR:MXN_1yr</v>
          </cell>
          <cell r="D2140" t="str">
            <v>KRD</v>
          </cell>
          <cell r="E2140" t="str">
            <v>Yield</v>
          </cell>
          <cell r="F2140" t="str">
            <v>FI-Govt Emerging Markets</v>
          </cell>
          <cell r="G2140" t="str">
            <v>FI-Other</v>
          </cell>
          <cell r="H2140" t="str">
            <v>RATES</v>
          </cell>
          <cell r="I2140" t="str">
            <v>Govt Emerging Markets</v>
          </cell>
        </row>
        <row r="2141">
          <cell r="A2141" t="str">
            <v>MXN_2yr</v>
          </cell>
          <cell r="B2141" t="str">
            <v>MXN 2Y</v>
          </cell>
          <cell r="C2141" t="str">
            <v>BRS_GOLD__2_RATES:BRS_GOLD__1_OtherIR-HUF_IR-PLN-CZK_IR:BRS_GOLD__1_MXNIR:MXN_2yr</v>
          </cell>
          <cell r="D2141" t="str">
            <v>KRD</v>
          </cell>
          <cell r="E2141" t="str">
            <v>Yield</v>
          </cell>
          <cell r="F2141" t="str">
            <v>FI-Govt Emerging Markets</v>
          </cell>
          <cell r="G2141" t="str">
            <v>FI-Other</v>
          </cell>
          <cell r="H2141" t="str">
            <v>RATES</v>
          </cell>
          <cell r="I2141" t="str">
            <v>Govt Emerging Markets</v>
          </cell>
        </row>
        <row r="2142">
          <cell r="A2142" t="str">
            <v>MXN_3yr</v>
          </cell>
          <cell r="B2142" t="str">
            <v>MXN 3Y</v>
          </cell>
          <cell r="C2142" t="str">
            <v>BRS_GOLD__2_RATES:BRS_GOLD__1_OtherIR-HUF_IR-PLN-CZK_IR:BRS_GOLD__1_MXNIR:MXN_3yr</v>
          </cell>
          <cell r="D2142" t="str">
            <v>KRD</v>
          </cell>
          <cell r="E2142" t="str">
            <v>Yield</v>
          </cell>
          <cell r="F2142" t="str">
            <v>FI-Govt Emerging Markets</v>
          </cell>
          <cell r="G2142" t="str">
            <v>FI-Other</v>
          </cell>
          <cell r="H2142" t="str">
            <v>RATES</v>
          </cell>
          <cell r="I2142" t="str">
            <v>Govt Emerging Markets</v>
          </cell>
        </row>
        <row r="2143">
          <cell r="A2143" t="str">
            <v>MXN_5yr</v>
          </cell>
          <cell r="B2143" t="str">
            <v>MXN 5Y</v>
          </cell>
          <cell r="C2143" t="str">
            <v>BRS_GOLD__2_RATES:BRS_GOLD__1_OtherIR-HUF_IR-PLN-CZK_IR:BRS_GOLD__1_MXNIR:MXN_5yr</v>
          </cell>
          <cell r="D2143" t="str">
            <v>KRD</v>
          </cell>
          <cell r="E2143" t="str">
            <v>Yield</v>
          </cell>
          <cell r="F2143" t="str">
            <v>FI-Govt Emerging Markets</v>
          </cell>
          <cell r="G2143" t="str">
            <v>FI-Other</v>
          </cell>
          <cell r="H2143" t="str">
            <v>RATES</v>
          </cell>
          <cell r="I2143" t="str">
            <v>Govt Emerging Markets</v>
          </cell>
        </row>
        <row r="2144">
          <cell r="A2144" t="str">
            <v>MXN_7yr</v>
          </cell>
          <cell r="B2144" t="str">
            <v>MXN 7Y</v>
          </cell>
          <cell r="C2144" t="str">
            <v>BRS_GOLD__2_RATES:BRS_GOLD__1_OtherIR-HUF_IR-PLN-CZK_IR:BRS_GOLD__1_MXNIR:MXN_7yr</v>
          </cell>
          <cell r="D2144" t="str">
            <v>KRD</v>
          </cell>
          <cell r="E2144" t="str">
            <v>Yield</v>
          </cell>
          <cell r="F2144" t="str">
            <v>FI-Govt Emerging Markets</v>
          </cell>
          <cell r="G2144" t="str">
            <v>FI-Other</v>
          </cell>
          <cell r="H2144" t="str">
            <v>RATES</v>
          </cell>
          <cell r="I2144" t="str">
            <v>Govt Emerging Markets</v>
          </cell>
        </row>
        <row r="2145">
          <cell r="A2145" t="str">
            <v>MXN_10yr</v>
          </cell>
          <cell r="B2145" t="str">
            <v>MXN 10Y</v>
          </cell>
          <cell r="C2145" t="str">
            <v>BRS_GOLD__2_RATES:BRS_GOLD__1_OtherIR-HUF_IR-PLN-CZK_IR:BRS_GOLD__1_MXNIR:MXN_10yr</v>
          </cell>
          <cell r="D2145" t="str">
            <v>KRD</v>
          </cell>
          <cell r="E2145" t="str">
            <v>Yield</v>
          </cell>
          <cell r="F2145" t="str">
            <v>FI-Govt Emerging Markets</v>
          </cell>
          <cell r="G2145" t="str">
            <v>FI-Other</v>
          </cell>
          <cell r="H2145" t="str">
            <v>RATES</v>
          </cell>
          <cell r="I2145" t="str">
            <v>Govt Emerging Markets</v>
          </cell>
        </row>
        <row r="2146">
          <cell r="A2146" t="str">
            <v>MXN_15yr</v>
          </cell>
          <cell r="B2146" t="str">
            <v>MXN 15Y</v>
          </cell>
          <cell r="C2146" t="str">
            <v>BRS_GOLD__2_RATES:BRS_GOLD__1_OtherIR-HUF_IR-PLN-CZK_IR:BRS_GOLD__1_MXNIR:MXN_15yr</v>
          </cell>
          <cell r="D2146" t="str">
            <v>KRD</v>
          </cell>
          <cell r="E2146" t="str">
            <v>Yield</v>
          </cell>
          <cell r="F2146" t="str">
            <v>FI-Govt Emerging Markets</v>
          </cell>
          <cell r="G2146" t="str">
            <v>FI-Other</v>
          </cell>
          <cell r="H2146" t="str">
            <v>RATES</v>
          </cell>
          <cell r="I2146" t="str">
            <v>Govt Emerging Markets</v>
          </cell>
        </row>
        <row r="2147">
          <cell r="A2147" t="str">
            <v>MXN_20yr</v>
          </cell>
          <cell r="B2147" t="str">
            <v>MXN 20Y</v>
          </cell>
          <cell r="C2147" t="str">
            <v>BRS_GOLD__2_RATES:BRS_GOLD__1_OtherIR-HUF_IR-PLN-CZK_IR:BRS_GOLD__1_MXNIR:MXN_20yr</v>
          </cell>
          <cell r="D2147" t="str">
            <v>KRD</v>
          </cell>
          <cell r="E2147" t="str">
            <v>Yield</v>
          </cell>
          <cell r="F2147" t="str">
            <v>FI-Govt Emerging Markets</v>
          </cell>
          <cell r="G2147" t="str">
            <v>FI-Other</v>
          </cell>
          <cell r="H2147" t="str">
            <v>RATES</v>
          </cell>
          <cell r="I2147" t="str">
            <v>Govt Emerging Markets</v>
          </cell>
        </row>
        <row r="2148">
          <cell r="A2148" t="str">
            <v>MXN_25yr</v>
          </cell>
          <cell r="B2148" t="str">
            <v>MXN 25Y</v>
          </cell>
          <cell r="C2148" t="str">
            <v>BRS_GOLD__2_RATES:BRS_GOLD__1_OtherIR-HUF_IR-PLN-CZK_IR:BRS_GOLD__1_MXNIR:MXN_25yr</v>
          </cell>
          <cell r="D2148" t="str">
            <v>KRD</v>
          </cell>
          <cell r="E2148" t="str">
            <v>Yield</v>
          </cell>
          <cell r="F2148" t="str">
            <v>FI-Govt Emerging Markets</v>
          </cell>
          <cell r="G2148" t="str">
            <v>FI-Other</v>
          </cell>
          <cell r="H2148" t="str">
            <v>RATES</v>
          </cell>
          <cell r="I2148" t="str">
            <v>Govt Emerging Markets</v>
          </cell>
        </row>
        <row r="2149">
          <cell r="A2149" t="str">
            <v>MXN_30yr</v>
          </cell>
          <cell r="B2149" t="str">
            <v>MXN 30Y</v>
          </cell>
          <cell r="C2149" t="str">
            <v>BRS_GOLD__2_RATES:BRS_GOLD__1_OtherIR-HUF_IR-PLN-CZK_IR:BRS_GOLD__1_MXNIR:MXN_30yr</v>
          </cell>
          <cell r="D2149" t="str">
            <v>KRD</v>
          </cell>
          <cell r="E2149" t="str">
            <v>Yield</v>
          </cell>
          <cell r="F2149" t="str">
            <v>FI-Govt Emerging Markets</v>
          </cell>
          <cell r="G2149" t="str">
            <v>FI-Other</v>
          </cell>
          <cell r="H2149" t="str">
            <v>RATES</v>
          </cell>
          <cell r="I2149" t="str">
            <v>Govt Emerging Markets</v>
          </cell>
        </row>
        <row r="2150">
          <cell r="A2150" t="str">
            <v>MYR_3m</v>
          </cell>
          <cell r="B2150" t="str">
            <v>MYR 3M</v>
          </cell>
          <cell r="C2150" t="str">
            <v>BRS_GOLD__2_RATES:BRS_GOLD__1_OtherIR-HUF_IR-PLN-CZK_IR:MYR_IR:MYR_3m</v>
          </cell>
          <cell r="D2150" t="str">
            <v>KRD</v>
          </cell>
          <cell r="E2150" t="str">
            <v>Yield</v>
          </cell>
          <cell r="F2150" t="str">
            <v>FI-Govt Emerging Markets</v>
          </cell>
          <cell r="G2150" t="str">
            <v>FI-Other</v>
          </cell>
          <cell r="H2150" t="str">
            <v>RATES</v>
          </cell>
          <cell r="I2150" t="str">
            <v>Govt Emerging Markets</v>
          </cell>
        </row>
        <row r="2151">
          <cell r="A2151" t="str">
            <v>MYR_1yr</v>
          </cell>
          <cell r="B2151" t="str">
            <v>MYR 1Y</v>
          </cell>
          <cell r="C2151" t="str">
            <v>BRS_GOLD__2_RATES:BRS_GOLD__1_OtherIR-HUF_IR-PLN-CZK_IR:MYR_IR:MYR_1yr</v>
          </cell>
          <cell r="D2151" t="str">
            <v>KRD</v>
          </cell>
          <cell r="E2151" t="str">
            <v>Yield</v>
          </cell>
          <cell r="F2151" t="str">
            <v>FI-Govt Emerging Markets</v>
          </cell>
          <cell r="G2151" t="str">
            <v>FI-Other</v>
          </cell>
          <cell r="H2151" t="str">
            <v>RATES</v>
          </cell>
          <cell r="I2151" t="str">
            <v>Govt Emerging Markets</v>
          </cell>
        </row>
        <row r="2152">
          <cell r="A2152" t="str">
            <v>MYR_2yr</v>
          </cell>
          <cell r="B2152" t="str">
            <v>MYR 2Y</v>
          </cell>
          <cell r="C2152" t="str">
            <v>BRS_GOLD__2_RATES:BRS_GOLD__1_OtherIR-HUF_IR-PLN-CZK_IR:MYR_IR:MYR_2yr</v>
          </cell>
          <cell r="D2152" t="str">
            <v>KRD</v>
          </cell>
          <cell r="E2152" t="str">
            <v>Yield</v>
          </cell>
          <cell r="F2152" t="str">
            <v>FI-Govt Emerging Markets</v>
          </cell>
          <cell r="G2152" t="str">
            <v>FI-Other</v>
          </cell>
          <cell r="H2152" t="str">
            <v>RATES</v>
          </cell>
          <cell r="I2152" t="str">
            <v>Govt Emerging Markets</v>
          </cell>
        </row>
        <row r="2153">
          <cell r="A2153" t="str">
            <v>MYR_3yr</v>
          </cell>
          <cell r="B2153" t="str">
            <v>MYR 3Y</v>
          </cell>
          <cell r="C2153" t="str">
            <v>BRS_GOLD__2_RATES:BRS_GOLD__1_OtherIR-HUF_IR-PLN-CZK_IR:MYR_IR:MYR_3yr</v>
          </cell>
          <cell r="D2153" t="str">
            <v>KRD</v>
          </cell>
          <cell r="E2153" t="str">
            <v>Yield</v>
          </cell>
          <cell r="F2153" t="str">
            <v>FI-Govt Emerging Markets</v>
          </cell>
          <cell r="G2153" t="str">
            <v>FI-Other</v>
          </cell>
          <cell r="H2153" t="str">
            <v>RATES</v>
          </cell>
          <cell r="I2153" t="str">
            <v>Govt Emerging Markets</v>
          </cell>
        </row>
        <row r="2154">
          <cell r="A2154" t="str">
            <v>MYR_5yr</v>
          </cell>
          <cell r="B2154" t="str">
            <v>MYR 5Y</v>
          </cell>
          <cell r="C2154" t="str">
            <v>BRS_GOLD__2_RATES:BRS_GOLD__1_OtherIR-HUF_IR-PLN-CZK_IR:MYR_IR:MYR_5yr</v>
          </cell>
          <cell r="D2154" t="str">
            <v>KRD</v>
          </cell>
          <cell r="E2154" t="str">
            <v>Yield</v>
          </cell>
          <cell r="F2154" t="str">
            <v>FI-Govt Emerging Markets</v>
          </cell>
          <cell r="G2154" t="str">
            <v>FI-Other</v>
          </cell>
          <cell r="H2154" t="str">
            <v>RATES</v>
          </cell>
          <cell r="I2154" t="str">
            <v>Govt Emerging Markets</v>
          </cell>
        </row>
        <row r="2155">
          <cell r="A2155" t="str">
            <v>MYR_7yr</v>
          </cell>
          <cell r="B2155" t="str">
            <v>MYR 7Y</v>
          </cell>
          <cell r="C2155" t="str">
            <v>BRS_GOLD__2_RATES:BRS_GOLD__1_OtherIR-HUF_IR-PLN-CZK_IR:MYR_IR:MYR_7yr</v>
          </cell>
          <cell r="D2155" t="str">
            <v>KRD</v>
          </cell>
          <cell r="E2155" t="str">
            <v>Yield</v>
          </cell>
          <cell r="F2155" t="str">
            <v>FI-Govt Emerging Markets</v>
          </cell>
          <cell r="G2155" t="str">
            <v>FI-Other</v>
          </cell>
          <cell r="H2155" t="str">
            <v>RATES</v>
          </cell>
          <cell r="I2155" t="str">
            <v>Govt Emerging Markets</v>
          </cell>
        </row>
        <row r="2156">
          <cell r="A2156" t="str">
            <v>MYR_10yr</v>
          </cell>
          <cell r="B2156" t="str">
            <v>MYR 10Y</v>
          </cell>
          <cell r="C2156" t="str">
            <v>BRS_GOLD__2_RATES:BRS_GOLD__1_OtherIR-HUF_IR-PLN-CZK_IR:MYR_IR:MYR_10yr</v>
          </cell>
          <cell r="D2156" t="str">
            <v>KRD</v>
          </cell>
          <cell r="E2156" t="str">
            <v>Yield</v>
          </cell>
          <cell r="F2156" t="str">
            <v>FI-Govt Emerging Markets</v>
          </cell>
          <cell r="G2156" t="str">
            <v>FI-Other</v>
          </cell>
          <cell r="H2156" t="str">
            <v>RATES</v>
          </cell>
          <cell r="I2156" t="str">
            <v>Govt Emerging Markets</v>
          </cell>
        </row>
        <row r="2157">
          <cell r="A2157" t="str">
            <v>MYR_15yr</v>
          </cell>
          <cell r="B2157" t="str">
            <v>MYR 15Y</v>
          </cell>
          <cell r="C2157" t="str">
            <v>BRS_GOLD__2_RATES:BRS_GOLD__1_OtherIR-HUF_IR-PLN-CZK_IR:MYR_IR:MYR_15yr</v>
          </cell>
          <cell r="D2157" t="str">
            <v>KRD</v>
          </cell>
          <cell r="E2157" t="str">
            <v>Yield</v>
          </cell>
          <cell r="F2157" t="str">
            <v>FI-Govt Emerging Markets</v>
          </cell>
          <cell r="G2157" t="str">
            <v>FI-Other</v>
          </cell>
          <cell r="H2157" t="str">
            <v>RATES</v>
          </cell>
          <cell r="I2157" t="str">
            <v>Govt Emerging Markets</v>
          </cell>
        </row>
        <row r="2158">
          <cell r="A2158" t="str">
            <v>MYR_20yr</v>
          </cell>
          <cell r="B2158" t="str">
            <v>MYR 20Y</v>
          </cell>
          <cell r="C2158" t="str">
            <v>BRS_GOLD__2_RATES:BRS_GOLD__1_OtherIR-HUF_IR-PLN-CZK_IR:MYR_IR:MYR_20yr</v>
          </cell>
          <cell r="D2158" t="str">
            <v>KRD</v>
          </cell>
          <cell r="E2158" t="str">
            <v>Yield</v>
          </cell>
          <cell r="F2158" t="str">
            <v>FI-Govt Emerging Markets</v>
          </cell>
          <cell r="G2158" t="str">
            <v>FI-Other</v>
          </cell>
          <cell r="H2158" t="str">
            <v>RATES</v>
          </cell>
          <cell r="I2158" t="str">
            <v>Govt Emerging Markets</v>
          </cell>
        </row>
        <row r="2159">
          <cell r="A2159" t="str">
            <v>MYR_25yr</v>
          </cell>
          <cell r="B2159" t="str">
            <v>MYR 25Y</v>
          </cell>
          <cell r="C2159" t="str">
            <v>BRS_GOLD__2_RATES:BRS_GOLD__1_OtherIR-HUF_IR-PLN-CZK_IR:MYR_IR:MYR_25yr</v>
          </cell>
          <cell r="D2159" t="str">
            <v>KRD</v>
          </cell>
          <cell r="E2159" t="str">
            <v>Yield</v>
          </cell>
          <cell r="F2159" t="str">
            <v>FI-Govt Emerging Markets</v>
          </cell>
          <cell r="G2159" t="str">
            <v>FI-Other</v>
          </cell>
          <cell r="H2159" t="str">
            <v>RATES</v>
          </cell>
          <cell r="I2159" t="str">
            <v>Govt Emerging Markets</v>
          </cell>
        </row>
        <row r="2160">
          <cell r="A2160" t="str">
            <v>MYR_30yr</v>
          </cell>
          <cell r="B2160" t="str">
            <v>MYR 30Y</v>
          </cell>
          <cell r="C2160" t="str">
            <v>BRS_GOLD__2_RATES:BRS_GOLD__1_OtherIR-HUF_IR-PLN-CZK_IR:MYR_IR:MYR_30yr</v>
          </cell>
          <cell r="D2160" t="str">
            <v>KRD</v>
          </cell>
          <cell r="E2160" t="str">
            <v>Yield</v>
          </cell>
          <cell r="F2160" t="str">
            <v>FI-Govt Emerging Markets</v>
          </cell>
          <cell r="G2160" t="str">
            <v>FI-Other</v>
          </cell>
          <cell r="H2160" t="str">
            <v>RATES</v>
          </cell>
          <cell r="I2160" t="str">
            <v>Govt Emerging Markets</v>
          </cell>
        </row>
        <row r="2161">
          <cell r="A2161" t="str">
            <v>NOK_3m</v>
          </cell>
          <cell r="B2161" t="str">
            <v>NOK 3M</v>
          </cell>
          <cell r="C2161" t="str">
            <v>BRS_GOLD__2_RATES:BRS_GOLD__1_OtherIR-HUF_IR-PLN-CZK_IR:BRS_GOLD__1_NOKIR:NOK_3m</v>
          </cell>
          <cell r="D2161" t="str">
            <v>KRD</v>
          </cell>
          <cell r="E2161" t="str">
            <v>Yield</v>
          </cell>
          <cell r="F2161" t="str">
            <v>FI-Govt Developed Other (AU, GB, JP, ...)</v>
          </cell>
          <cell r="G2161" t="str">
            <v>FI-Other</v>
          </cell>
          <cell r="H2161" t="str">
            <v>RATES</v>
          </cell>
          <cell r="I2161" t="str">
            <v>Govt Developed Other (AU, GB, JP, ...)</v>
          </cell>
        </row>
        <row r="2162">
          <cell r="A2162" t="str">
            <v>NOK_1yr</v>
          </cell>
          <cell r="B2162" t="str">
            <v>NOK 1Y</v>
          </cell>
          <cell r="C2162" t="str">
            <v>BRS_GOLD__2_RATES:BRS_GOLD__1_OtherIR-HUF_IR-PLN-CZK_IR:BRS_GOLD__1_NOKIR:NOK_1yr</v>
          </cell>
          <cell r="D2162" t="str">
            <v>KRD</v>
          </cell>
          <cell r="E2162" t="str">
            <v>Yield</v>
          </cell>
          <cell r="F2162" t="str">
            <v>FI-Govt Developed Other (AU, GB, JP, ...)</v>
          </cell>
          <cell r="G2162" t="str">
            <v>FI-Other</v>
          </cell>
          <cell r="H2162" t="str">
            <v>RATES</v>
          </cell>
          <cell r="I2162" t="str">
            <v>Govt Developed Other (AU, GB, JP, ...)</v>
          </cell>
        </row>
        <row r="2163">
          <cell r="A2163" t="str">
            <v>NOK_2yr</v>
          </cell>
          <cell r="B2163" t="str">
            <v>NOK 2Y</v>
          </cell>
          <cell r="C2163" t="str">
            <v>BRS_GOLD__2_RATES:BRS_GOLD__1_OtherIR-HUF_IR-PLN-CZK_IR:BRS_GOLD__1_NOKIR:NOK_2yr</v>
          </cell>
          <cell r="D2163" t="str">
            <v>KRD</v>
          </cell>
          <cell r="E2163" t="str">
            <v>Yield</v>
          </cell>
          <cell r="F2163" t="str">
            <v>FI-Govt Developed Other (AU, GB, JP, ...)</v>
          </cell>
          <cell r="G2163" t="str">
            <v>FI-Other</v>
          </cell>
          <cell r="H2163" t="str">
            <v>RATES</v>
          </cell>
          <cell r="I2163" t="str">
            <v>Govt Developed Other (AU, GB, JP, ...)</v>
          </cell>
        </row>
        <row r="2164">
          <cell r="A2164" t="str">
            <v>NOK_3yr</v>
          </cell>
          <cell r="B2164" t="str">
            <v>NOK 3Y</v>
          </cell>
          <cell r="C2164" t="str">
            <v>BRS_GOLD__2_RATES:BRS_GOLD__1_OtherIR-HUF_IR-PLN-CZK_IR:BRS_GOLD__1_NOKIR:NOK_3yr</v>
          </cell>
          <cell r="D2164" t="str">
            <v>KRD</v>
          </cell>
          <cell r="E2164" t="str">
            <v>Yield</v>
          </cell>
          <cell r="F2164" t="str">
            <v>FI-Govt Developed Other (AU, GB, JP, ...)</v>
          </cell>
          <cell r="G2164" t="str">
            <v>FI-Other</v>
          </cell>
          <cell r="H2164" t="str">
            <v>RATES</v>
          </cell>
          <cell r="I2164" t="str">
            <v>Govt Developed Other (AU, GB, JP, ...)</v>
          </cell>
        </row>
        <row r="2165">
          <cell r="A2165" t="str">
            <v>NOK_5yr</v>
          </cell>
          <cell r="B2165" t="str">
            <v>NOK 5Y</v>
          </cell>
          <cell r="C2165" t="str">
            <v>BRS_GOLD__2_RATES:BRS_GOLD__1_OtherIR-HUF_IR-PLN-CZK_IR:BRS_GOLD__1_NOKIR:NOK_5yr</v>
          </cell>
          <cell r="D2165" t="str">
            <v>KRD</v>
          </cell>
          <cell r="E2165" t="str">
            <v>Yield</v>
          </cell>
          <cell r="F2165" t="str">
            <v>FI-Govt Developed Other (AU, GB, JP, ...)</v>
          </cell>
          <cell r="G2165" t="str">
            <v>FI-Other</v>
          </cell>
          <cell r="H2165" t="str">
            <v>RATES</v>
          </cell>
          <cell r="I2165" t="str">
            <v>Govt Developed Other (AU, GB, JP, ...)</v>
          </cell>
        </row>
        <row r="2166">
          <cell r="A2166" t="str">
            <v>NOK_7yr</v>
          </cell>
          <cell r="B2166" t="str">
            <v>NOK 7Y</v>
          </cell>
          <cell r="C2166" t="str">
            <v>BRS_GOLD__2_RATES:BRS_GOLD__1_OtherIR-HUF_IR-PLN-CZK_IR:BRS_GOLD__1_NOKIR:NOK_7yr</v>
          </cell>
          <cell r="D2166" t="str">
            <v>KRD</v>
          </cell>
          <cell r="E2166" t="str">
            <v>Yield</v>
          </cell>
          <cell r="F2166" t="str">
            <v>FI-Govt Developed Other (AU, GB, JP, ...)</v>
          </cell>
          <cell r="G2166" t="str">
            <v>FI-Other</v>
          </cell>
          <cell r="H2166" t="str">
            <v>RATES</v>
          </cell>
          <cell r="I2166" t="str">
            <v>Govt Developed Other (AU, GB, JP, ...)</v>
          </cell>
        </row>
        <row r="2167">
          <cell r="A2167" t="str">
            <v>NOK_10yr</v>
          </cell>
          <cell r="B2167" t="str">
            <v>NOK 10Y</v>
          </cell>
          <cell r="C2167" t="str">
            <v>BRS_GOLD__2_RATES:BRS_GOLD__1_OtherIR-HUF_IR-PLN-CZK_IR:BRS_GOLD__1_NOKIR:NOK_10yr</v>
          </cell>
          <cell r="D2167" t="str">
            <v>KRD</v>
          </cell>
          <cell r="E2167" t="str">
            <v>Yield</v>
          </cell>
          <cell r="F2167" t="str">
            <v>FI-Govt Developed Other (AU, GB, JP, ...)</v>
          </cell>
          <cell r="G2167" t="str">
            <v>FI-Other</v>
          </cell>
          <cell r="H2167" t="str">
            <v>RATES</v>
          </cell>
          <cell r="I2167" t="str">
            <v>Govt Developed Other (AU, GB, JP, ...)</v>
          </cell>
        </row>
        <row r="2168">
          <cell r="A2168" t="str">
            <v>NOK_15yr</v>
          </cell>
          <cell r="B2168" t="str">
            <v>NOK 15Y</v>
          </cell>
          <cell r="C2168" t="str">
            <v>BRS_GOLD__2_RATES:BRS_GOLD__1_OtherIR-HUF_IR-PLN-CZK_IR:BRS_GOLD__1_NOKIR:NOK_15yr</v>
          </cell>
          <cell r="D2168" t="str">
            <v>KRD</v>
          </cell>
          <cell r="E2168" t="str">
            <v>Yield</v>
          </cell>
          <cell r="F2168" t="str">
            <v>FI-Govt Developed Other (AU, GB, JP, ...)</v>
          </cell>
          <cell r="G2168" t="str">
            <v>FI-Other</v>
          </cell>
          <cell r="H2168" t="str">
            <v>RATES</v>
          </cell>
          <cell r="I2168" t="str">
            <v>Govt Developed Other (AU, GB, JP, ...)</v>
          </cell>
        </row>
        <row r="2169">
          <cell r="A2169" t="str">
            <v>NOK_20yr</v>
          </cell>
          <cell r="B2169" t="str">
            <v>NOK 20Y</v>
          </cell>
          <cell r="C2169" t="str">
            <v>BRS_GOLD__2_RATES:BRS_GOLD__1_OtherIR-HUF_IR-PLN-CZK_IR:BRS_GOLD__1_NOKIR:NOK_20yr</v>
          </cell>
          <cell r="D2169" t="str">
            <v>KRD</v>
          </cell>
          <cell r="E2169" t="str">
            <v>Yield</v>
          </cell>
          <cell r="F2169" t="str">
            <v>FI-Govt Developed Other (AU, GB, JP, ...)</v>
          </cell>
          <cell r="G2169" t="str">
            <v>FI-Other</v>
          </cell>
          <cell r="H2169" t="str">
            <v>RATES</v>
          </cell>
          <cell r="I2169" t="str">
            <v>Govt Developed Other (AU, GB, JP, ...)</v>
          </cell>
        </row>
        <row r="2170">
          <cell r="A2170" t="str">
            <v>NOK_25yr</v>
          </cell>
          <cell r="B2170" t="str">
            <v>NOK 25Y</v>
          </cell>
          <cell r="C2170" t="str">
            <v>BRS_GOLD__2_RATES:BRS_GOLD__1_OtherIR-HUF_IR-PLN-CZK_IR:BRS_GOLD__1_NOKIR:NOK_25yr</v>
          </cell>
          <cell r="D2170" t="str">
            <v>KRD</v>
          </cell>
          <cell r="E2170" t="str">
            <v>Yield</v>
          </cell>
          <cell r="F2170" t="str">
            <v>FI-Govt Developed Other (AU, GB, JP, ...)</v>
          </cell>
          <cell r="G2170" t="str">
            <v>FI-Other</v>
          </cell>
          <cell r="H2170" t="str">
            <v>RATES</v>
          </cell>
          <cell r="I2170" t="str">
            <v>Govt Developed Other (AU, GB, JP, ...)</v>
          </cell>
        </row>
        <row r="2171">
          <cell r="A2171" t="str">
            <v>NOK_30yr</v>
          </cell>
          <cell r="B2171" t="str">
            <v>NOK 30Y</v>
          </cell>
          <cell r="C2171" t="str">
            <v>BRS_GOLD__2_RATES:BRS_GOLD__1_OtherIR-HUF_IR-PLN-CZK_IR:BRS_GOLD__1_NOKIR:NOK_30yr</v>
          </cell>
          <cell r="D2171" t="str">
            <v>KRD</v>
          </cell>
          <cell r="E2171" t="str">
            <v>Yield</v>
          </cell>
          <cell r="F2171" t="str">
            <v>FI-Govt Developed Other (AU, GB, JP, ...)</v>
          </cell>
          <cell r="G2171" t="str">
            <v>FI-Other</v>
          </cell>
          <cell r="H2171" t="str">
            <v>RATES</v>
          </cell>
          <cell r="I2171" t="str">
            <v>Govt Developed Other (AU, GB, JP, ...)</v>
          </cell>
        </row>
        <row r="2172">
          <cell r="A2172" t="str">
            <v>NZD_3m</v>
          </cell>
          <cell r="B2172" t="str">
            <v>NZD 3M</v>
          </cell>
          <cell r="C2172" t="str">
            <v>BRS_GOLD__2_RATES:BRS_GOLD__1_OtherIR-HUF_IR-PLN-CZK_IR:BRS_GOLD__1_NZDIR:NZD_3m</v>
          </cell>
          <cell r="D2172" t="str">
            <v>KRD</v>
          </cell>
          <cell r="E2172" t="str">
            <v>Yield</v>
          </cell>
          <cell r="F2172" t="str">
            <v>FI-Govt Developed Other (AU, GB, JP, ...)</v>
          </cell>
          <cell r="G2172" t="str">
            <v>FI-Other</v>
          </cell>
          <cell r="H2172" t="str">
            <v>RATES</v>
          </cell>
          <cell r="I2172" t="str">
            <v>Govt Developed Other (AU, GB, JP, ...)</v>
          </cell>
        </row>
        <row r="2173">
          <cell r="A2173" t="str">
            <v>NZD_1yr</v>
          </cell>
          <cell r="B2173" t="str">
            <v>NZD 1Y</v>
          </cell>
          <cell r="C2173" t="str">
            <v>BRS_GOLD__2_RATES:BRS_GOLD__1_OtherIR-HUF_IR-PLN-CZK_IR:BRS_GOLD__1_NZDIR:NZD_1yr</v>
          </cell>
          <cell r="D2173" t="str">
            <v>KRD</v>
          </cell>
          <cell r="E2173" t="str">
            <v>Yield</v>
          </cell>
          <cell r="F2173" t="str">
            <v>FI-Govt Developed Other (AU, GB, JP, ...)</v>
          </cell>
          <cell r="G2173" t="str">
            <v>FI-Other</v>
          </cell>
          <cell r="H2173" t="str">
            <v>RATES</v>
          </cell>
          <cell r="I2173" t="str">
            <v>Govt Developed Other (AU, GB, JP, ...)</v>
          </cell>
        </row>
        <row r="2174">
          <cell r="A2174" t="str">
            <v>NZD_2yr</v>
          </cell>
          <cell r="B2174" t="str">
            <v>NZD 2Y</v>
          </cell>
          <cell r="C2174" t="str">
            <v>BRS_GOLD__2_RATES:BRS_GOLD__1_OtherIR-HUF_IR-PLN-CZK_IR:BRS_GOLD__1_NZDIR:NZD_2yr</v>
          </cell>
          <cell r="D2174" t="str">
            <v>KRD</v>
          </cell>
          <cell r="E2174" t="str">
            <v>Yield</v>
          </cell>
          <cell r="F2174" t="str">
            <v>FI-Govt Developed Other (AU, GB, JP, ...)</v>
          </cell>
          <cell r="G2174" t="str">
            <v>FI-Other</v>
          </cell>
          <cell r="H2174" t="str">
            <v>RATES</v>
          </cell>
          <cell r="I2174" t="str">
            <v>Govt Developed Other (AU, GB, JP, ...)</v>
          </cell>
        </row>
        <row r="2175">
          <cell r="A2175" t="str">
            <v>NZD_3yr</v>
          </cell>
          <cell r="B2175" t="str">
            <v>NZD 3Y</v>
          </cell>
          <cell r="C2175" t="str">
            <v>BRS_GOLD__2_RATES:BRS_GOLD__1_OtherIR-HUF_IR-PLN-CZK_IR:BRS_GOLD__1_NZDIR:NZD_3yr</v>
          </cell>
          <cell r="D2175" t="str">
            <v>KRD</v>
          </cell>
          <cell r="E2175" t="str">
            <v>Yield</v>
          </cell>
          <cell r="F2175" t="str">
            <v>FI-Govt Developed Other (AU, GB, JP, ...)</v>
          </cell>
          <cell r="G2175" t="str">
            <v>FI-Other</v>
          </cell>
          <cell r="H2175" t="str">
            <v>RATES</v>
          </cell>
          <cell r="I2175" t="str">
            <v>Govt Developed Other (AU, GB, JP, ...)</v>
          </cell>
        </row>
        <row r="2176">
          <cell r="A2176" t="str">
            <v>NZD_5yr</v>
          </cell>
          <cell r="B2176" t="str">
            <v>NZD 5Y</v>
          </cell>
          <cell r="C2176" t="str">
            <v>BRS_GOLD__2_RATES:BRS_GOLD__1_OtherIR-HUF_IR-PLN-CZK_IR:BRS_GOLD__1_NZDIR:NZD_5yr</v>
          </cell>
          <cell r="D2176" t="str">
            <v>KRD</v>
          </cell>
          <cell r="E2176" t="str">
            <v>Yield</v>
          </cell>
          <cell r="F2176" t="str">
            <v>FI-Govt Developed Other (AU, GB, JP, ...)</v>
          </cell>
          <cell r="G2176" t="str">
            <v>FI-Other</v>
          </cell>
          <cell r="H2176" t="str">
            <v>RATES</v>
          </cell>
          <cell r="I2176" t="str">
            <v>Govt Developed Other (AU, GB, JP, ...)</v>
          </cell>
        </row>
        <row r="2177">
          <cell r="A2177" t="str">
            <v>NZD_7yr</v>
          </cell>
          <cell r="B2177" t="str">
            <v>NZD 7Y</v>
          </cell>
          <cell r="C2177" t="str">
            <v>BRS_GOLD__2_RATES:BRS_GOLD__1_OtherIR-HUF_IR-PLN-CZK_IR:BRS_GOLD__1_NZDIR:NZD_7yr</v>
          </cell>
          <cell r="D2177" t="str">
            <v>KRD</v>
          </cell>
          <cell r="E2177" t="str">
            <v>Yield</v>
          </cell>
          <cell r="F2177" t="str">
            <v>FI-Govt Developed Other (AU, GB, JP, ...)</v>
          </cell>
          <cell r="G2177" t="str">
            <v>FI-Other</v>
          </cell>
          <cell r="H2177" t="str">
            <v>RATES</v>
          </cell>
          <cell r="I2177" t="str">
            <v>Govt Developed Other (AU, GB, JP, ...)</v>
          </cell>
        </row>
        <row r="2178">
          <cell r="A2178" t="str">
            <v>NZD_10yr</v>
          </cell>
          <cell r="B2178" t="str">
            <v>NZD 10Y</v>
          </cell>
          <cell r="C2178" t="str">
            <v>BRS_GOLD__2_RATES:BRS_GOLD__1_OtherIR-HUF_IR-PLN-CZK_IR:BRS_GOLD__1_NZDIR:NZD_10yr</v>
          </cell>
          <cell r="D2178" t="str">
            <v>KRD</v>
          </cell>
          <cell r="E2178" t="str">
            <v>Yield</v>
          </cell>
          <cell r="F2178" t="str">
            <v>FI-Govt Developed Other (AU, GB, JP, ...)</v>
          </cell>
          <cell r="G2178" t="str">
            <v>FI-Other</v>
          </cell>
          <cell r="H2178" t="str">
            <v>RATES</v>
          </cell>
          <cell r="I2178" t="str">
            <v>Govt Developed Other (AU, GB, JP, ...)</v>
          </cell>
        </row>
        <row r="2179">
          <cell r="A2179" t="str">
            <v>NZD_15yr</v>
          </cell>
          <cell r="B2179" t="str">
            <v>NZD 15Y</v>
          </cell>
          <cell r="C2179" t="str">
            <v>BRS_GOLD__2_RATES:BRS_GOLD__1_OtherIR-HUF_IR-PLN-CZK_IR:BRS_GOLD__1_NZDIR:NZD_15yr</v>
          </cell>
          <cell r="D2179" t="str">
            <v>KRD</v>
          </cell>
          <cell r="E2179" t="str">
            <v>Yield</v>
          </cell>
          <cell r="F2179" t="str">
            <v>FI-Govt Developed Other (AU, GB, JP, ...)</v>
          </cell>
          <cell r="G2179" t="str">
            <v>FI-Other</v>
          </cell>
          <cell r="H2179" t="str">
            <v>RATES</v>
          </cell>
          <cell r="I2179" t="str">
            <v>Govt Developed Other (AU, GB, JP, ...)</v>
          </cell>
        </row>
        <row r="2180">
          <cell r="A2180" t="str">
            <v>NZD_20yr</v>
          </cell>
          <cell r="B2180" t="str">
            <v>NZD 20Y</v>
          </cell>
          <cell r="C2180" t="str">
            <v>BRS_GOLD__2_RATES:BRS_GOLD__1_OtherIR-HUF_IR-PLN-CZK_IR:BRS_GOLD__1_NZDIR:NZD_20yr</v>
          </cell>
          <cell r="D2180" t="str">
            <v>KRD</v>
          </cell>
          <cell r="E2180" t="str">
            <v>Yield</v>
          </cell>
          <cell r="F2180" t="str">
            <v>FI-Govt Developed Other (AU, GB, JP, ...)</v>
          </cell>
          <cell r="G2180" t="str">
            <v>FI-Other</v>
          </cell>
          <cell r="H2180" t="str">
            <v>RATES</v>
          </cell>
          <cell r="I2180" t="str">
            <v>Govt Developed Other (AU, GB, JP, ...)</v>
          </cell>
        </row>
        <row r="2181">
          <cell r="A2181" t="str">
            <v>NZD_25yr</v>
          </cell>
          <cell r="B2181" t="str">
            <v>NZD 25Y</v>
          </cell>
          <cell r="C2181" t="str">
            <v>BRS_GOLD__2_RATES:BRS_GOLD__1_OtherIR-HUF_IR-PLN-CZK_IR:BRS_GOLD__1_NZDIR:NZD_25yr</v>
          </cell>
          <cell r="D2181" t="str">
            <v>KRD</v>
          </cell>
          <cell r="E2181" t="str">
            <v>Yield</v>
          </cell>
          <cell r="F2181" t="str">
            <v>FI-Govt Developed Other (AU, GB, JP, ...)</v>
          </cell>
          <cell r="G2181" t="str">
            <v>FI-Other</v>
          </cell>
          <cell r="H2181" t="str">
            <v>RATES</v>
          </cell>
          <cell r="I2181" t="str">
            <v>Govt Developed Other (AU, GB, JP, ...)</v>
          </cell>
        </row>
        <row r="2182">
          <cell r="A2182" t="str">
            <v>NZD_30yr</v>
          </cell>
          <cell r="B2182" t="str">
            <v>NZD 30Y</v>
          </cell>
          <cell r="C2182" t="str">
            <v>BRS_GOLD__2_RATES:BRS_GOLD__1_OtherIR-HUF_IR-PLN-CZK_IR:BRS_GOLD__1_NZDIR:NZD_30yr</v>
          </cell>
          <cell r="D2182" t="str">
            <v>KRD</v>
          </cell>
          <cell r="E2182" t="str">
            <v>Yield</v>
          </cell>
          <cell r="F2182" t="str">
            <v>FI-Govt Developed Other (AU, GB, JP, ...)</v>
          </cell>
          <cell r="G2182" t="str">
            <v>FI-Other</v>
          </cell>
          <cell r="H2182" t="str">
            <v>RATES</v>
          </cell>
          <cell r="I2182" t="str">
            <v>Govt Developed Other (AU, GB, JP, ...)</v>
          </cell>
        </row>
        <row r="2183">
          <cell r="A2183" t="str">
            <v>PEN_3m</v>
          </cell>
          <cell r="B2183" t="str">
            <v>PEN 3M</v>
          </cell>
          <cell r="C2183" t="str">
            <v>BRS_GOLD__2_RATES:BRS_GOLD__1_OtherIR-HUF_IR-PLN-CZK_IR:PEN_IR:PEN_3m</v>
          </cell>
          <cell r="D2183" t="str">
            <v>KRD</v>
          </cell>
          <cell r="E2183" t="str">
            <v>Yield</v>
          </cell>
          <cell r="F2183" t="str">
            <v>FI-Govt Emerging Markets</v>
          </cell>
          <cell r="G2183" t="str">
            <v>FI-Other</v>
          </cell>
          <cell r="H2183" t="str">
            <v>RATES</v>
          </cell>
          <cell r="I2183" t="str">
            <v>Govt Emerging Markets</v>
          </cell>
        </row>
        <row r="2184">
          <cell r="A2184" t="str">
            <v>PEN_1yr</v>
          </cell>
          <cell r="B2184" t="str">
            <v>PEN 1Y</v>
          </cell>
          <cell r="C2184" t="str">
            <v>BRS_GOLD__2_RATES:BRS_GOLD__1_OtherIR-HUF_IR-PLN-CZK_IR:PEN_IR:PEN_1yr</v>
          </cell>
          <cell r="D2184" t="str">
            <v>KRD</v>
          </cell>
          <cell r="E2184" t="str">
            <v>Yield</v>
          </cell>
          <cell r="F2184" t="str">
            <v>FI-Govt Emerging Markets</v>
          </cell>
          <cell r="G2184" t="str">
            <v>FI-Other</v>
          </cell>
          <cell r="H2184" t="str">
            <v>RATES</v>
          </cell>
          <cell r="I2184" t="str">
            <v>Govt Emerging Markets</v>
          </cell>
        </row>
        <row r="2185">
          <cell r="A2185" t="str">
            <v>PEN_2yr</v>
          </cell>
          <cell r="B2185" t="str">
            <v>PEN 2Y</v>
          </cell>
          <cell r="C2185" t="str">
            <v>BRS_GOLD__2_RATES:BRS_GOLD__1_OtherIR-HUF_IR-PLN-CZK_IR:PEN_IR:PEN_2yr</v>
          </cell>
          <cell r="D2185" t="str">
            <v>KRD</v>
          </cell>
          <cell r="E2185" t="str">
            <v>Yield</v>
          </cell>
          <cell r="F2185" t="str">
            <v>FI-Govt Emerging Markets</v>
          </cell>
          <cell r="G2185" t="str">
            <v>FI-Other</v>
          </cell>
          <cell r="H2185" t="str">
            <v>RATES</v>
          </cell>
          <cell r="I2185" t="str">
            <v>Govt Emerging Markets</v>
          </cell>
        </row>
        <row r="2186">
          <cell r="A2186" t="str">
            <v>PEN_3yr</v>
          </cell>
          <cell r="B2186" t="str">
            <v>PEN 3Y</v>
          </cell>
          <cell r="C2186" t="str">
            <v>BRS_GOLD__2_RATES:BRS_GOLD__1_OtherIR-HUF_IR-PLN-CZK_IR:PEN_IR:PEN_3yr</v>
          </cell>
          <cell r="D2186" t="str">
            <v>KRD</v>
          </cell>
          <cell r="E2186" t="str">
            <v>Yield</v>
          </cell>
          <cell r="F2186" t="str">
            <v>FI-Govt Emerging Markets</v>
          </cell>
          <cell r="G2186" t="str">
            <v>FI-Other</v>
          </cell>
          <cell r="H2186" t="str">
            <v>RATES</v>
          </cell>
          <cell r="I2186" t="str">
            <v>Govt Emerging Markets</v>
          </cell>
        </row>
        <row r="2187">
          <cell r="A2187" t="str">
            <v>PEN_5yr</v>
          </cell>
          <cell r="B2187" t="str">
            <v>PEN 5Y</v>
          </cell>
          <cell r="C2187" t="str">
            <v>BRS_GOLD__2_RATES:BRS_GOLD__1_OtherIR-HUF_IR-PLN-CZK_IR:PEN_IR:PEN_5yr</v>
          </cell>
          <cell r="D2187" t="str">
            <v>KRD</v>
          </cell>
          <cell r="E2187" t="str">
            <v>Yield</v>
          </cell>
          <cell r="F2187" t="str">
            <v>FI-Govt Emerging Markets</v>
          </cell>
          <cell r="G2187" t="str">
            <v>FI-Other</v>
          </cell>
          <cell r="H2187" t="str">
            <v>RATES</v>
          </cell>
          <cell r="I2187" t="str">
            <v>Govt Emerging Markets</v>
          </cell>
        </row>
        <row r="2188">
          <cell r="A2188" t="str">
            <v>PEN_7yr</v>
          </cell>
          <cell r="B2188" t="str">
            <v>PEN 7Y</v>
          </cell>
          <cell r="C2188" t="str">
            <v>BRS_GOLD__2_RATES:BRS_GOLD__1_OtherIR-HUF_IR-PLN-CZK_IR:PEN_IR:PEN_7yr</v>
          </cell>
          <cell r="D2188" t="str">
            <v>KRD</v>
          </cell>
          <cell r="E2188" t="str">
            <v>Yield</v>
          </cell>
          <cell r="F2188" t="str">
            <v>FI-Govt Emerging Markets</v>
          </cell>
          <cell r="G2188" t="str">
            <v>FI-Other</v>
          </cell>
          <cell r="H2188" t="str">
            <v>RATES</v>
          </cell>
          <cell r="I2188" t="str">
            <v>Govt Emerging Markets</v>
          </cell>
        </row>
        <row r="2189">
          <cell r="A2189" t="str">
            <v>PEN_10yr</v>
          </cell>
          <cell r="B2189" t="str">
            <v>PEN 10Y</v>
          </cell>
          <cell r="C2189" t="str">
            <v>BRS_GOLD__2_RATES:BRS_GOLD__1_OtherIR-HUF_IR-PLN-CZK_IR:PEN_IR:PEN_10yr</v>
          </cell>
          <cell r="D2189" t="str">
            <v>KRD</v>
          </cell>
          <cell r="E2189" t="str">
            <v>Yield</v>
          </cell>
          <cell r="F2189" t="str">
            <v>FI-Govt Emerging Markets</v>
          </cell>
          <cell r="G2189" t="str">
            <v>FI-Other</v>
          </cell>
          <cell r="H2189" t="str">
            <v>RATES</v>
          </cell>
          <cell r="I2189" t="str">
            <v>Govt Emerging Markets</v>
          </cell>
        </row>
        <row r="2190">
          <cell r="A2190" t="str">
            <v>PEN_15yr</v>
          </cell>
          <cell r="B2190" t="str">
            <v>PEN 15Y</v>
          </cell>
          <cell r="C2190" t="str">
            <v>BRS_GOLD__2_RATES:BRS_GOLD__1_OtherIR-HUF_IR-PLN-CZK_IR:PEN_IR:PEN_15yr</v>
          </cell>
          <cell r="D2190" t="str">
            <v>KRD</v>
          </cell>
          <cell r="E2190" t="str">
            <v>Yield</v>
          </cell>
          <cell r="F2190" t="str">
            <v>FI-Govt Emerging Markets</v>
          </cell>
          <cell r="G2190" t="str">
            <v>FI-Other</v>
          </cell>
          <cell r="H2190" t="str">
            <v>RATES</v>
          </cell>
          <cell r="I2190" t="str">
            <v>Govt Emerging Markets</v>
          </cell>
        </row>
        <row r="2191">
          <cell r="A2191" t="str">
            <v>PEN_20yr</v>
          </cell>
          <cell r="B2191" t="str">
            <v>PEN 20Y</v>
          </cell>
          <cell r="C2191" t="str">
            <v>BRS_GOLD__2_RATES:BRS_GOLD__1_OtherIR-HUF_IR-PLN-CZK_IR:PEN_IR:PEN_20yr</v>
          </cell>
          <cell r="D2191" t="str">
            <v>KRD</v>
          </cell>
          <cell r="E2191" t="str">
            <v>Yield</v>
          </cell>
          <cell r="F2191" t="str">
            <v>FI-Govt Emerging Markets</v>
          </cell>
          <cell r="G2191" t="str">
            <v>FI-Other</v>
          </cell>
          <cell r="H2191" t="str">
            <v>RATES</v>
          </cell>
          <cell r="I2191" t="str">
            <v>Govt Emerging Markets</v>
          </cell>
        </row>
        <row r="2192">
          <cell r="A2192" t="str">
            <v>PEN_25yr</v>
          </cell>
          <cell r="B2192" t="str">
            <v>PEN 25Y</v>
          </cell>
          <cell r="C2192" t="str">
            <v>BRS_GOLD__2_RATES:BRS_GOLD__1_OtherIR-HUF_IR-PLN-CZK_IR:PEN_IR:PEN_25yr</v>
          </cell>
          <cell r="D2192" t="str">
            <v>KRD</v>
          </cell>
          <cell r="E2192" t="str">
            <v>Yield</v>
          </cell>
          <cell r="F2192" t="str">
            <v>FI-Govt Emerging Markets</v>
          </cell>
          <cell r="G2192" t="str">
            <v>FI-Other</v>
          </cell>
          <cell r="H2192" t="str">
            <v>RATES</v>
          </cell>
          <cell r="I2192" t="str">
            <v>Govt Emerging Markets</v>
          </cell>
        </row>
        <row r="2193">
          <cell r="A2193" t="str">
            <v>PEN_30yr</v>
          </cell>
          <cell r="B2193" t="str">
            <v>PEN 30Y</v>
          </cell>
          <cell r="C2193" t="str">
            <v>BRS_GOLD__2_RATES:BRS_GOLD__1_OtherIR-HUF_IR-PLN-CZK_IR:PEN_IR:PEN_30yr</v>
          </cell>
          <cell r="D2193" t="str">
            <v>KRD</v>
          </cell>
          <cell r="E2193" t="str">
            <v>Yield</v>
          </cell>
          <cell r="F2193" t="str">
            <v>FI-Govt Emerging Markets</v>
          </cell>
          <cell r="G2193" t="str">
            <v>FI-Other</v>
          </cell>
          <cell r="H2193" t="str">
            <v>RATES</v>
          </cell>
          <cell r="I2193" t="str">
            <v>Govt Emerging Markets</v>
          </cell>
        </row>
        <row r="2194">
          <cell r="A2194" t="str">
            <v>PHP_3m</v>
          </cell>
          <cell r="B2194" t="str">
            <v>PHP 3M</v>
          </cell>
          <cell r="C2194" t="str">
            <v>BRS_GOLD__2_RATES:BRS_GOLD__1_OtherIR-HUF_IR-PLN-CZK_IR:PHP_IR:PHP_3m</v>
          </cell>
          <cell r="D2194" t="str">
            <v>KRD</v>
          </cell>
          <cell r="E2194" t="str">
            <v>Yield</v>
          </cell>
          <cell r="F2194" t="str">
            <v>FI-Govt Emerging Markets</v>
          </cell>
          <cell r="G2194" t="str">
            <v>FI-Other</v>
          </cell>
          <cell r="H2194" t="str">
            <v>RATES</v>
          </cell>
          <cell r="I2194" t="str">
            <v>Govt Emerging Markets</v>
          </cell>
        </row>
        <row r="2195">
          <cell r="A2195" t="str">
            <v>PHP_1yr</v>
          </cell>
          <cell r="B2195" t="str">
            <v>PHP 1Y</v>
          </cell>
          <cell r="C2195" t="str">
            <v>BRS_GOLD__2_RATES:BRS_GOLD__1_OtherIR-HUF_IR-PLN-CZK_IR:PHP_IR:PHP_1yr</v>
          </cell>
          <cell r="D2195" t="str">
            <v>KRD</v>
          </cell>
          <cell r="E2195" t="str">
            <v>Yield</v>
          </cell>
          <cell r="F2195" t="str">
            <v>FI-Govt Emerging Markets</v>
          </cell>
          <cell r="G2195" t="str">
            <v>FI-Other</v>
          </cell>
          <cell r="H2195" t="str">
            <v>RATES</v>
          </cell>
          <cell r="I2195" t="str">
            <v>Govt Emerging Markets</v>
          </cell>
        </row>
        <row r="2196">
          <cell r="A2196" t="str">
            <v>PHP_2yr</v>
          </cell>
          <cell r="B2196" t="str">
            <v>PHP 2Y</v>
          </cell>
          <cell r="C2196" t="str">
            <v>BRS_GOLD__2_RATES:BRS_GOLD__1_OtherIR-HUF_IR-PLN-CZK_IR:PHP_IR:PHP_2yr</v>
          </cell>
          <cell r="D2196" t="str">
            <v>KRD</v>
          </cell>
          <cell r="E2196" t="str">
            <v>Yield</v>
          </cell>
          <cell r="F2196" t="str">
            <v>FI-Govt Emerging Markets</v>
          </cell>
          <cell r="G2196" t="str">
            <v>FI-Other</v>
          </cell>
          <cell r="H2196" t="str">
            <v>RATES</v>
          </cell>
          <cell r="I2196" t="str">
            <v>Govt Emerging Markets</v>
          </cell>
        </row>
        <row r="2197">
          <cell r="A2197" t="str">
            <v>PHP_3yr</v>
          </cell>
          <cell r="B2197" t="str">
            <v>PHP 3Y</v>
          </cell>
          <cell r="C2197" t="str">
            <v>BRS_GOLD__2_RATES:BRS_GOLD__1_OtherIR-HUF_IR-PLN-CZK_IR:PHP_IR:PHP_3yr</v>
          </cell>
          <cell r="D2197" t="str">
            <v>KRD</v>
          </cell>
          <cell r="E2197" t="str">
            <v>Yield</v>
          </cell>
          <cell r="F2197" t="str">
            <v>FI-Govt Emerging Markets</v>
          </cell>
          <cell r="G2197" t="str">
            <v>FI-Other</v>
          </cell>
          <cell r="H2197" t="str">
            <v>RATES</v>
          </cell>
          <cell r="I2197" t="str">
            <v>Govt Emerging Markets</v>
          </cell>
        </row>
        <row r="2198">
          <cell r="A2198" t="str">
            <v>PHP_5yr</v>
          </cell>
          <cell r="B2198" t="str">
            <v>PHP 5Y</v>
          </cell>
          <cell r="C2198" t="str">
            <v>BRS_GOLD__2_RATES:BRS_GOLD__1_OtherIR-HUF_IR-PLN-CZK_IR:PHP_IR:PHP_5yr</v>
          </cell>
          <cell r="D2198" t="str">
            <v>KRD</v>
          </cell>
          <cell r="E2198" t="str">
            <v>Yield</v>
          </cell>
          <cell r="F2198" t="str">
            <v>FI-Govt Emerging Markets</v>
          </cell>
          <cell r="G2198" t="str">
            <v>FI-Other</v>
          </cell>
          <cell r="H2198" t="str">
            <v>RATES</v>
          </cell>
          <cell r="I2198" t="str">
            <v>Govt Emerging Markets</v>
          </cell>
        </row>
        <row r="2199">
          <cell r="A2199" t="str">
            <v>PHP_7yr</v>
          </cell>
          <cell r="B2199" t="str">
            <v>PHP 7Y</v>
          </cell>
          <cell r="C2199" t="str">
            <v>BRS_GOLD__2_RATES:BRS_GOLD__1_OtherIR-HUF_IR-PLN-CZK_IR:PHP_IR:PHP_7yr</v>
          </cell>
          <cell r="D2199" t="str">
            <v>KRD</v>
          </cell>
          <cell r="E2199" t="str">
            <v>Yield</v>
          </cell>
          <cell r="F2199" t="str">
            <v>FI-Govt Emerging Markets</v>
          </cell>
          <cell r="G2199" t="str">
            <v>FI-Other</v>
          </cell>
          <cell r="H2199" t="str">
            <v>RATES</v>
          </cell>
          <cell r="I2199" t="str">
            <v>Govt Emerging Markets</v>
          </cell>
        </row>
        <row r="2200">
          <cell r="A2200" t="str">
            <v>PHP_10yr</v>
          </cell>
          <cell r="B2200" t="str">
            <v>PHP 10Y</v>
          </cell>
          <cell r="C2200" t="str">
            <v>BRS_GOLD__2_RATES:BRS_GOLD__1_OtherIR-HUF_IR-PLN-CZK_IR:PHP_IR:PHP_10yr</v>
          </cell>
          <cell r="D2200" t="str">
            <v>KRD</v>
          </cell>
          <cell r="E2200" t="str">
            <v>Yield</v>
          </cell>
          <cell r="F2200" t="str">
            <v>FI-Govt Emerging Markets</v>
          </cell>
          <cell r="G2200" t="str">
            <v>FI-Other</v>
          </cell>
          <cell r="H2200" t="str">
            <v>RATES</v>
          </cell>
          <cell r="I2200" t="str">
            <v>Govt Emerging Markets</v>
          </cell>
        </row>
        <row r="2201">
          <cell r="A2201" t="str">
            <v>PHP_15yr</v>
          </cell>
          <cell r="B2201" t="str">
            <v>PHP 15Y</v>
          </cell>
          <cell r="C2201" t="str">
            <v>BRS_GOLD__2_RATES:BRS_GOLD__1_OtherIR-HUF_IR-PLN-CZK_IR:PHP_IR:PHP_15yr</v>
          </cell>
          <cell r="D2201" t="str">
            <v>KRD</v>
          </cell>
          <cell r="E2201" t="str">
            <v>Yield</v>
          </cell>
          <cell r="F2201" t="str">
            <v>FI-Govt Emerging Markets</v>
          </cell>
          <cell r="G2201" t="str">
            <v>FI-Other</v>
          </cell>
          <cell r="H2201" t="str">
            <v>RATES</v>
          </cell>
          <cell r="I2201" t="str">
            <v>Govt Emerging Markets</v>
          </cell>
        </row>
        <row r="2202">
          <cell r="A2202" t="str">
            <v>PHP_20yr</v>
          </cell>
          <cell r="B2202" t="str">
            <v>PHP 20Y</v>
          </cell>
          <cell r="C2202" t="str">
            <v>BRS_GOLD__2_RATES:BRS_GOLD__1_OtherIR-HUF_IR-PLN-CZK_IR:PHP_IR:PHP_20yr</v>
          </cell>
          <cell r="D2202" t="str">
            <v>KRD</v>
          </cell>
          <cell r="E2202" t="str">
            <v>Yield</v>
          </cell>
          <cell r="F2202" t="str">
            <v>FI-Govt Emerging Markets</v>
          </cell>
          <cell r="G2202" t="str">
            <v>FI-Other</v>
          </cell>
          <cell r="H2202" t="str">
            <v>RATES</v>
          </cell>
          <cell r="I2202" t="str">
            <v>Govt Emerging Markets</v>
          </cell>
        </row>
        <row r="2203">
          <cell r="A2203" t="str">
            <v>PHP_25yr</v>
          </cell>
          <cell r="B2203" t="str">
            <v>PHP 25Y</v>
          </cell>
          <cell r="C2203" t="str">
            <v>BRS_GOLD__2_RATES:BRS_GOLD__1_OtherIR-HUF_IR-PLN-CZK_IR:PHP_IR:PHP_25yr</v>
          </cell>
          <cell r="D2203" t="str">
            <v>KRD</v>
          </cell>
          <cell r="E2203" t="str">
            <v>Yield</v>
          </cell>
          <cell r="F2203" t="str">
            <v>FI-Govt Emerging Markets</v>
          </cell>
          <cell r="G2203" t="str">
            <v>FI-Other</v>
          </cell>
          <cell r="H2203" t="str">
            <v>RATES</v>
          </cell>
          <cell r="I2203" t="str">
            <v>Govt Emerging Markets</v>
          </cell>
        </row>
        <row r="2204">
          <cell r="A2204" t="str">
            <v>PHP_30yr</v>
          </cell>
          <cell r="B2204" t="str">
            <v>PHP 30Y</v>
          </cell>
          <cell r="C2204" t="str">
            <v>BRS_GOLD__2_RATES:BRS_GOLD__1_OtherIR-HUF_IR-PLN-CZK_IR:PHP_IR:PHP_30yr</v>
          </cell>
          <cell r="D2204" t="str">
            <v>KRD</v>
          </cell>
          <cell r="E2204" t="str">
            <v>Yield</v>
          </cell>
          <cell r="F2204" t="str">
            <v>FI-Govt Emerging Markets</v>
          </cell>
          <cell r="G2204" t="str">
            <v>FI-Other</v>
          </cell>
          <cell r="H2204" t="str">
            <v>RATES</v>
          </cell>
          <cell r="I2204" t="str">
            <v>Govt Emerging Markets</v>
          </cell>
        </row>
        <row r="2205">
          <cell r="A2205" t="str">
            <v>SEK_3m</v>
          </cell>
          <cell r="B2205" t="str">
            <v>SEK 3M</v>
          </cell>
          <cell r="C2205" t="str">
            <v>BRS_GOLD__2_RATES:BRS_GOLD__1_OtherIR-HUF_IR-PLN-CZK_IR:BRS_GOLD__1_SEKIR:SEK_3m</v>
          </cell>
          <cell r="D2205" t="str">
            <v>KRD</v>
          </cell>
          <cell r="E2205" t="str">
            <v>Yield</v>
          </cell>
          <cell r="F2205" t="str">
            <v>FI-Govt Developed Other (AU, GB, JP, ...)</v>
          </cell>
          <cell r="G2205" t="str">
            <v>FI-Other</v>
          </cell>
          <cell r="H2205" t="str">
            <v>RATES</v>
          </cell>
          <cell r="I2205" t="str">
            <v>Govt Developed Other (AU, GB, JP, ...)</v>
          </cell>
        </row>
        <row r="2206">
          <cell r="A2206" t="str">
            <v>SEK_1yr</v>
          </cell>
          <cell r="B2206" t="str">
            <v>SEK 1Y</v>
          </cell>
          <cell r="C2206" t="str">
            <v>BRS_GOLD__2_RATES:BRS_GOLD__1_OtherIR-HUF_IR-PLN-CZK_IR:BRS_GOLD__1_SEKIR:SEK_1yr</v>
          </cell>
          <cell r="D2206" t="str">
            <v>KRD</v>
          </cell>
          <cell r="E2206" t="str">
            <v>Yield</v>
          </cell>
          <cell r="F2206" t="str">
            <v>FI-Govt Developed Other (AU, GB, JP, ...)</v>
          </cell>
          <cell r="G2206" t="str">
            <v>FI-Other</v>
          </cell>
          <cell r="H2206" t="str">
            <v>RATES</v>
          </cell>
          <cell r="I2206" t="str">
            <v>Govt Developed Other (AU, GB, JP, ...)</v>
          </cell>
        </row>
        <row r="2207">
          <cell r="A2207" t="str">
            <v>SEK_2yr</v>
          </cell>
          <cell r="B2207" t="str">
            <v>SEK 2Y</v>
          </cell>
          <cell r="C2207" t="str">
            <v>BRS_GOLD__2_RATES:BRS_GOLD__1_OtherIR-HUF_IR-PLN-CZK_IR:BRS_GOLD__1_SEKIR:SEK_2yr</v>
          </cell>
          <cell r="D2207" t="str">
            <v>KRD</v>
          </cell>
          <cell r="E2207" t="str">
            <v>Yield</v>
          </cell>
          <cell r="F2207" t="str">
            <v>FI-Govt Developed Other (AU, GB, JP, ...)</v>
          </cell>
          <cell r="G2207" t="str">
            <v>FI-Other</v>
          </cell>
          <cell r="H2207" t="str">
            <v>RATES</v>
          </cell>
          <cell r="I2207" t="str">
            <v>Govt Developed Other (AU, GB, JP, ...)</v>
          </cell>
        </row>
        <row r="2208">
          <cell r="A2208" t="str">
            <v>SEK_3yr</v>
          </cell>
          <cell r="B2208" t="str">
            <v>SEK 3Y</v>
          </cell>
          <cell r="C2208" t="str">
            <v>BRS_GOLD__2_RATES:BRS_GOLD__1_OtherIR-HUF_IR-PLN-CZK_IR:BRS_GOLD__1_SEKIR:SEK_3yr</v>
          </cell>
          <cell r="D2208" t="str">
            <v>KRD</v>
          </cell>
          <cell r="E2208" t="str">
            <v>Yield</v>
          </cell>
          <cell r="F2208" t="str">
            <v>FI-Govt Developed Other (AU, GB, JP, ...)</v>
          </cell>
          <cell r="G2208" t="str">
            <v>FI-Other</v>
          </cell>
          <cell r="H2208" t="str">
            <v>RATES</v>
          </cell>
          <cell r="I2208" t="str">
            <v>Govt Developed Other (AU, GB, JP, ...)</v>
          </cell>
        </row>
        <row r="2209">
          <cell r="A2209" t="str">
            <v>SEK_5yr</v>
          </cell>
          <cell r="B2209" t="str">
            <v>SEK 5Y</v>
          </cell>
          <cell r="C2209" t="str">
            <v>BRS_GOLD__2_RATES:BRS_GOLD__1_OtherIR-HUF_IR-PLN-CZK_IR:BRS_GOLD__1_SEKIR:SEK_5yr</v>
          </cell>
          <cell r="D2209" t="str">
            <v>KRD</v>
          </cell>
          <cell r="E2209" t="str">
            <v>Yield</v>
          </cell>
          <cell r="F2209" t="str">
            <v>FI-Govt Developed Other (AU, GB, JP, ...)</v>
          </cell>
          <cell r="G2209" t="str">
            <v>FI-Other</v>
          </cell>
          <cell r="H2209" t="str">
            <v>RATES</v>
          </cell>
          <cell r="I2209" t="str">
            <v>Govt Developed Other (AU, GB, JP, ...)</v>
          </cell>
        </row>
        <row r="2210">
          <cell r="A2210" t="str">
            <v>SEK_7yr</v>
          </cell>
          <cell r="B2210" t="str">
            <v>SEK 7Y</v>
          </cell>
          <cell r="C2210" t="str">
            <v>BRS_GOLD__2_RATES:BRS_GOLD__1_OtherIR-HUF_IR-PLN-CZK_IR:BRS_GOLD__1_SEKIR:SEK_7yr</v>
          </cell>
          <cell r="D2210" t="str">
            <v>KRD</v>
          </cell>
          <cell r="E2210" t="str">
            <v>Yield</v>
          </cell>
          <cell r="F2210" t="str">
            <v>FI-Govt Developed Other (AU, GB, JP, ...)</v>
          </cell>
          <cell r="G2210" t="str">
            <v>FI-Other</v>
          </cell>
          <cell r="H2210" t="str">
            <v>RATES</v>
          </cell>
          <cell r="I2210" t="str">
            <v>Govt Developed Other (AU, GB, JP, ...)</v>
          </cell>
        </row>
        <row r="2211">
          <cell r="A2211" t="str">
            <v>SEK_10yr</v>
          </cell>
          <cell r="B2211" t="str">
            <v>SEK 10Y</v>
          </cell>
          <cell r="C2211" t="str">
            <v>BRS_GOLD__2_RATES:BRS_GOLD__1_OtherIR-HUF_IR-PLN-CZK_IR:BRS_GOLD__1_SEKIR:SEK_10yr</v>
          </cell>
          <cell r="D2211" t="str">
            <v>KRD</v>
          </cell>
          <cell r="E2211" t="str">
            <v>Yield</v>
          </cell>
          <cell r="F2211" t="str">
            <v>FI-Govt Developed Other (AU, GB, JP, ...)</v>
          </cell>
          <cell r="G2211" t="str">
            <v>FI-Other</v>
          </cell>
          <cell r="H2211" t="str">
            <v>RATES</v>
          </cell>
          <cell r="I2211" t="str">
            <v>Govt Developed Other (AU, GB, JP, ...)</v>
          </cell>
        </row>
        <row r="2212">
          <cell r="A2212" t="str">
            <v>SEK_15yr</v>
          </cell>
          <cell r="B2212" t="str">
            <v>SEK 15Y</v>
          </cell>
          <cell r="C2212" t="str">
            <v>BRS_GOLD__2_RATES:BRS_GOLD__1_OtherIR-HUF_IR-PLN-CZK_IR:BRS_GOLD__1_SEKIR:SEK_15yr</v>
          </cell>
          <cell r="D2212" t="str">
            <v>KRD</v>
          </cell>
          <cell r="E2212" t="str">
            <v>Yield</v>
          </cell>
          <cell r="F2212" t="str">
            <v>FI-Govt Developed Other (AU, GB, JP, ...)</v>
          </cell>
          <cell r="G2212" t="str">
            <v>FI-Other</v>
          </cell>
          <cell r="H2212" t="str">
            <v>RATES</v>
          </cell>
          <cell r="I2212" t="str">
            <v>Govt Developed Other (AU, GB, JP, ...)</v>
          </cell>
        </row>
        <row r="2213">
          <cell r="A2213" t="str">
            <v>SEK_20yr</v>
          </cell>
          <cell r="B2213" t="str">
            <v>SEK 20Y</v>
          </cell>
          <cell r="C2213" t="str">
            <v>BRS_GOLD__2_RATES:BRS_GOLD__1_OtherIR-HUF_IR-PLN-CZK_IR:BRS_GOLD__1_SEKIR:SEK_20yr</v>
          </cell>
          <cell r="D2213" t="str">
            <v>KRD</v>
          </cell>
          <cell r="E2213" t="str">
            <v>Yield</v>
          </cell>
          <cell r="F2213" t="str">
            <v>FI-Govt Developed Other (AU, GB, JP, ...)</v>
          </cell>
          <cell r="G2213" t="str">
            <v>FI-Other</v>
          </cell>
          <cell r="H2213" t="str">
            <v>RATES</v>
          </cell>
          <cell r="I2213" t="str">
            <v>Govt Developed Other (AU, GB, JP, ...)</v>
          </cell>
        </row>
        <row r="2214">
          <cell r="A2214" t="str">
            <v>SEK_25yr</v>
          </cell>
          <cell r="B2214" t="str">
            <v>SEK 25Y</v>
          </cell>
          <cell r="C2214" t="str">
            <v>BRS_GOLD__2_RATES:BRS_GOLD__1_OtherIR-HUF_IR-PLN-CZK_IR:BRS_GOLD__1_SEKIR:SEK_25yr</v>
          </cell>
          <cell r="D2214" t="str">
            <v>KRD</v>
          </cell>
          <cell r="E2214" t="str">
            <v>Yield</v>
          </cell>
          <cell r="F2214" t="str">
            <v>FI-Govt Developed Other (AU, GB, JP, ...)</v>
          </cell>
          <cell r="G2214" t="str">
            <v>FI-Other</v>
          </cell>
          <cell r="H2214" t="str">
            <v>RATES</v>
          </cell>
          <cell r="I2214" t="str">
            <v>Govt Developed Other (AU, GB, JP, ...)</v>
          </cell>
        </row>
        <row r="2215">
          <cell r="A2215" t="str">
            <v>SEK_30yr</v>
          </cell>
          <cell r="B2215" t="str">
            <v>SEK 30Y</v>
          </cell>
          <cell r="C2215" t="str">
            <v>BRS_GOLD__2_RATES:BRS_GOLD__1_OtherIR-HUF_IR-PLN-CZK_IR:BRS_GOLD__1_SEKIR:SEK_30yr</v>
          </cell>
          <cell r="D2215" t="str">
            <v>KRD</v>
          </cell>
          <cell r="E2215" t="str">
            <v>Yield</v>
          </cell>
          <cell r="F2215" t="str">
            <v>FI-Govt Developed Other (AU, GB, JP, ...)</v>
          </cell>
          <cell r="G2215" t="str">
            <v>FI-Other</v>
          </cell>
          <cell r="H2215" t="str">
            <v>RATES</v>
          </cell>
          <cell r="I2215" t="str">
            <v>Govt Developed Other (AU, GB, JP, ...)</v>
          </cell>
        </row>
        <row r="2216">
          <cell r="A2216" t="str">
            <v>NGN_3m</v>
          </cell>
          <cell r="B2216" t="str">
            <v>NGN 3M</v>
          </cell>
          <cell r="C2216" t="str">
            <v>BRS_GOLD__2_RATES:BRS_GOLD__1_OtherIR-HUF_IR-PLN-CZK_IR:BRS_GOLD__1_NGNIR:NGN_3m</v>
          </cell>
          <cell r="D2216" t="str">
            <v>KRD</v>
          </cell>
          <cell r="E2216" t="str">
            <v>Yield</v>
          </cell>
          <cell r="F2216" t="str">
            <v>FI-Govt Emerging Markets</v>
          </cell>
          <cell r="G2216" t="str">
            <v>FI-Other</v>
          </cell>
          <cell r="H2216" t="str">
            <v>RATES</v>
          </cell>
          <cell r="I2216" t="str">
            <v>Govt Emerging Markets</v>
          </cell>
        </row>
        <row r="2217">
          <cell r="A2217" t="str">
            <v>NGN_1yr</v>
          </cell>
          <cell r="B2217" t="str">
            <v>NGN 1Y</v>
          </cell>
          <cell r="C2217" t="str">
            <v>BRS_GOLD__2_RATES:BRS_GOLD__1_OtherIR-HUF_IR-PLN-CZK_IR:BRS_GOLD__1_NGNIR:NGN_1yr</v>
          </cell>
          <cell r="D2217" t="str">
            <v>KRD</v>
          </cell>
          <cell r="E2217" t="str">
            <v>Yield</v>
          </cell>
          <cell r="F2217" t="str">
            <v>FI-Govt Emerging Markets</v>
          </cell>
          <cell r="G2217" t="str">
            <v>FI-Other</v>
          </cell>
          <cell r="H2217" t="str">
            <v>RATES</v>
          </cell>
          <cell r="I2217" t="str">
            <v>Govt Emerging Markets</v>
          </cell>
        </row>
        <row r="2218">
          <cell r="A2218" t="str">
            <v>NGN_2yr</v>
          </cell>
          <cell r="B2218" t="str">
            <v>NGN 2Y</v>
          </cell>
          <cell r="C2218" t="str">
            <v>BRS_GOLD__2_RATES:BRS_GOLD__1_OtherIR-HUF_IR-PLN-CZK_IR:BRS_GOLD__1_NGNIR:NGN_2yr</v>
          </cell>
          <cell r="D2218" t="str">
            <v>KRD</v>
          </cell>
          <cell r="E2218" t="str">
            <v>Yield</v>
          </cell>
          <cell r="F2218" t="str">
            <v>FI-Govt Emerging Markets</v>
          </cell>
          <cell r="G2218" t="str">
            <v>FI-Other</v>
          </cell>
          <cell r="H2218" t="str">
            <v>RATES</v>
          </cell>
          <cell r="I2218" t="str">
            <v>Govt Emerging Markets</v>
          </cell>
        </row>
        <row r="2219">
          <cell r="A2219" t="str">
            <v>NGN_3yr</v>
          </cell>
          <cell r="B2219" t="str">
            <v>NGN 3Y</v>
          </cell>
          <cell r="C2219" t="str">
            <v>BRS_GOLD__2_RATES:BRS_GOLD__1_OtherIR-HUF_IR-PLN-CZK_IR:BRS_GOLD__1_NGNIR:NGN_3yr</v>
          </cell>
          <cell r="D2219" t="str">
            <v>KRD</v>
          </cell>
          <cell r="E2219" t="str">
            <v>Yield</v>
          </cell>
          <cell r="F2219" t="str">
            <v>FI-Govt Emerging Markets</v>
          </cell>
          <cell r="G2219" t="str">
            <v>FI-Other</v>
          </cell>
          <cell r="H2219" t="str">
            <v>RATES</v>
          </cell>
          <cell r="I2219" t="str">
            <v>Govt Emerging Markets</v>
          </cell>
        </row>
        <row r="2220">
          <cell r="A2220" t="str">
            <v>NGN_5yr</v>
          </cell>
          <cell r="B2220" t="str">
            <v>NGN 5Y</v>
          </cell>
          <cell r="C2220" t="str">
            <v>BRS_GOLD__2_RATES:BRS_GOLD__1_OtherIR-HUF_IR-PLN-CZK_IR:BRS_GOLD__1_NGNIR:NGN_5yr</v>
          </cell>
          <cell r="D2220" t="str">
            <v>KRD</v>
          </cell>
          <cell r="E2220" t="str">
            <v>Yield</v>
          </cell>
          <cell r="F2220" t="str">
            <v>FI-Govt Emerging Markets</v>
          </cell>
          <cell r="G2220" t="str">
            <v>FI-Other</v>
          </cell>
          <cell r="H2220" t="str">
            <v>RATES</v>
          </cell>
          <cell r="I2220" t="str">
            <v>Govt Emerging Markets</v>
          </cell>
        </row>
        <row r="2221">
          <cell r="A2221" t="str">
            <v>NGN_7yr</v>
          </cell>
          <cell r="B2221" t="str">
            <v>NGN 7Y</v>
          </cell>
          <cell r="C2221" t="str">
            <v>BRS_GOLD__2_RATES:BRS_GOLD__1_OtherIR-HUF_IR-PLN-CZK_IR:BRS_GOLD__1_NGNIR:NGN_7yr</v>
          </cell>
          <cell r="D2221" t="str">
            <v>KRD</v>
          </cell>
          <cell r="E2221" t="str">
            <v>Yield</v>
          </cell>
          <cell r="F2221" t="str">
            <v>FI-Govt Emerging Markets</v>
          </cell>
          <cell r="G2221" t="str">
            <v>FI-Other</v>
          </cell>
          <cell r="H2221" t="str">
            <v>RATES</v>
          </cell>
          <cell r="I2221" t="str">
            <v>Govt Emerging Markets</v>
          </cell>
        </row>
        <row r="2222">
          <cell r="A2222" t="str">
            <v>NGN_10yr</v>
          </cell>
          <cell r="B2222" t="str">
            <v>NGN 10Y</v>
          </cell>
          <cell r="C2222" t="str">
            <v>BRS_GOLD__2_RATES:BRS_GOLD__1_OtherIR-HUF_IR-PLN-CZK_IR:BRS_GOLD__1_NGNIR:NGN_10yr</v>
          </cell>
          <cell r="D2222" t="str">
            <v>KRD</v>
          </cell>
          <cell r="E2222" t="str">
            <v>Yield</v>
          </cell>
          <cell r="F2222" t="str">
            <v>FI-Govt Emerging Markets</v>
          </cell>
          <cell r="G2222" t="str">
            <v>FI-Other</v>
          </cell>
          <cell r="H2222" t="str">
            <v>RATES</v>
          </cell>
          <cell r="I2222" t="str">
            <v>Govt Emerging Markets</v>
          </cell>
        </row>
        <row r="2223">
          <cell r="A2223" t="str">
            <v>NGN_15yr</v>
          </cell>
          <cell r="B2223" t="str">
            <v>NGN 15Y</v>
          </cell>
          <cell r="C2223" t="str">
            <v>BRS_GOLD__2_RATES:BRS_GOLD__1_OtherIR-HUF_IR-PLN-CZK_IR:BRS_GOLD__1_NGNIR:NGN_15yr</v>
          </cell>
          <cell r="D2223" t="str">
            <v>KRD</v>
          </cell>
          <cell r="E2223" t="str">
            <v>Yield</v>
          </cell>
          <cell r="F2223" t="str">
            <v>FI-Govt Emerging Markets</v>
          </cell>
          <cell r="G2223" t="str">
            <v>FI-Other</v>
          </cell>
          <cell r="H2223" t="str">
            <v>RATES</v>
          </cell>
          <cell r="I2223" t="str">
            <v>Govt Emerging Markets</v>
          </cell>
        </row>
        <row r="2224">
          <cell r="A2224" t="str">
            <v>NGN_20yr</v>
          </cell>
          <cell r="B2224" t="str">
            <v>NGN 20Y</v>
          </cell>
          <cell r="C2224" t="str">
            <v>BRS_GOLD__2_RATES:BRS_GOLD__1_OtherIR-HUF_IR-PLN-CZK_IR:BRS_GOLD__1_NGNIR:NGN_20yr</v>
          </cell>
          <cell r="D2224" t="str">
            <v>KRD</v>
          </cell>
          <cell r="E2224" t="str">
            <v>Yield</v>
          </cell>
          <cell r="F2224" t="str">
            <v>FI-Govt Emerging Markets</v>
          </cell>
          <cell r="G2224" t="str">
            <v>FI-Other</v>
          </cell>
          <cell r="H2224" t="str">
            <v>RATES</v>
          </cell>
          <cell r="I2224" t="str">
            <v>Govt Emerging Markets</v>
          </cell>
        </row>
        <row r="2225">
          <cell r="A2225" t="str">
            <v>NGN_25yr</v>
          </cell>
          <cell r="B2225" t="str">
            <v>NGN 25Y</v>
          </cell>
          <cell r="C2225" t="str">
            <v>BRS_GOLD__2_RATES:BRS_GOLD__1_OtherIR-HUF_IR-PLN-CZK_IR:BRS_GOLD__1_NGNIR:NGN_25yr</v>
          </cell>
          <cell r="D2225" t="str">
            <v>KRD</v>
          </cell>
          <cell r="E2225" t="str">
            <v>Yield</v>
          </cell>
          <cell r="F2225" t="str">
            <v>FI-Govt Emerging Markets</v>
          </cell>
          <cell r="G2225" t="str">
            <v>FI-Other</v>
          </cell>
          <cell r="H2225" t="str">
            <v>RATES</v>
          </cell>
          <cell r="I2225" t="str">
            <v>Govt Emerging Markets</v>
          </cell>
        </row>
        <row r="2226">
          <cell r="A2226" t="str">
            <v>NGN_30yr</v>
          </cell>
          <cell r="B2226" t="str">
            <v>NGN 30Y</v>
          </cell>
          <cell r="C2226" t="str">
            <v>BRS_GOLD__2_RATES:BRS_GOLD__1_OtherIR-HUF_IR-PLN-CZK_IR:BRS_GOLD__1_NGNIR:NGN_30yr</v>
          </cell>
          <cell r="D2226" t="str">
            <v>KRD</v>
          </cell>
          <cell r="E2226" t="str">
            <v>Yield</v>
          </cell>
          <cell r="F2226" t="str">
            <v>FI-Govt Emerging Markets</v>
          </cell>
          <cell r="G2226" t="str">
            <v>FI-Other</v>
          </cell>
          <cell r="H2226" t="str">
            <v>RATES</v>
          </cell>
          <cell r="I2226" t="str">
            <v>Govt Emerging Markets</v>
          </cell>
        </row>
        <row r="2227">
          <cell r="A2227" t="str">
            <v>RON_3m</v>
          </cell>
          <cell r="B2227" t="str">
            <v>RON 3M</v>
          </cell>
          <cell r="C2227" t="str">
            <v>BRS_GOLD__2_RATES:BRS_GOLD__1_OtherIR-HUF_IR-PLN-CZK_IR:BRS_GOLD__1_RONIR:RON_3m</v>
          </cell>
          <cell r="D2227" t="str">
            <v>KRD</v>
          </cell>
          <cell r="E2227" t="str">
            <v>Yield</v>
          </cell>
          <cell r="F2227" t="str">
            <v>FI-Govt Emerging Markets</v>
          </cell>
          <cell r="G2227" t="str">
            <v>FI-Other</v>
          </cell>
          <cell r="H2227" t="str">
            <v>RATES</v>
          </cell>
          <cell r="I2227" t="str">
            <v>Govt Emerging Markets</v>
          </cell>
        </row>
        <row r="2228">
          <cell r="A2228" t="str">
            <v>RON_1yr</v>
          </cell>
          <cell r="B2228" t="str">
            <v>RON 1Y</v>
          </cell>
          <cell r="C2228" t="str">
            <v>BRS_GOLD__2_RATES:BRS_GOLD__1_OtherIR-HUF_IR-PLN-CZK_IR:BRS_GOLD__1_RONIR:RON_1yr</v>
          </cell>
          <cell r="D2228" t="str">
            <v>KRD</v>
          </cell>
          <cell r="E2228" t="str">
            <v>Yield</v>
          </cell>
          <cell r="F2228" t="str">
            <v>FI-Govt Emerging Markets</v>
          </cell>
          <cell r="G2228" t="str">
            <v>FI-Other</v>
          </cell>
          <cell r="H2228" t="str">
            <v>RATES</v>
          </cell>
          <cell r="I2228" t="str">
            <v>Govt Emerging Markets</v>
          </cell>
        </row>
        <row r="2229">
          <cell r="A2229" t="str">
            <v>RON_2yr</v>
          </cell>
          <cell r="B2229" t="str">
            <v>RON 2Y</v>
          </cell>
          <cell r="C2229" t="str">
            <v>BRS_GOLD__2_RATES:BRS_GOLD__1_OtherIR-HUF_IR-PLN-CZK_IR:BRS_GOLD__1_RONIR:RON_2yr</v>
          </cell>
          <cell r="D2229" t="str">
            <v>KRD</v>
          </cell>
          <cell r="E2229" t="str">
            <v>Yield</v>
          </cell>
          <cell r="F2229" t="str">
            <v>FI-Govt Emerging Markets</v>
          </cell>
          <cell r="G2229" t="str">
            <v>FI-Other</v>
          </cell>
          <cell r="H2229" t="str">
            <v>RATES</v>
          </cell>
          <cell r="I2229" t="str">
            <v>Govt Emerging Markets</v>
          </cell>
        </row>
        <row r="2230">
          <cell r="A2230" t="str">
            <v>RON_3yr</v>
          </cell>
          <cell r="B2230" t="str">
            <v>RON 3Y</v>
          </cell>
          <cell r="C2230" t="str">
            <v>BRS_GOLD__2_RATES:BRS_GOLD__1_OtherIR-HUF_IR-PLN-CZK_IR:BRS_GOLD__1_RONIR:RON_3yr</v>
          </cell>
          <cell r="D2230" t="str">
            <v>KRD</v>
          </cell>
          <cell r="E2230" t="str">
            <v>Yield</v>
          </cell>
          <cell r="F2230" t="str">
            <v>FI-Govt Emerging Markets</v>
          </cell>
          <cell r="G2230" t="str">
            <v>FI-Other</v>
          </cell>
          <cell r="H2230" t="str">
            <v>RATES</v>
          </cell>
          <cell r="I2230" t="str">
            <v>Govt Emerging Markets</v>
          </cell>
        </row>
        <row r="2231">
          <cell r="A2231" t="str">
            <v>RON_5yr</v>
          </cell>
          <cell r="B2231" t="str">
            <v>RON 5Y</v>
          </cell>
          <cell r="C2231" t="str">
            <v>BRS_GOLD__2_RATES:BRS_GOLD__1_OtherIR-HUF_IR-PLN-CZK_IR:BRS_GOLD__1_RONIR:RON_5yr</v>
          </cell>
          <cell r="D2231" t="str">
            <v>KRD</v>
          </cell>
          <cell r="E2231" t="str">
            <v>Yield</v>
          </cell>
          <cell r="F2231" t="str">
            <v>FI-Govt Emerging Markets</v>
          </cell>
          <cell r="G2231" t="str">
            <v>FI-Other</v>
          </cell>
          <cell r="H2231" t="str">
            <v>RATES</v>
          </cell>
          <cell r="I2231" t="str">
            <v>Govt Emerging Markets</v>
          </cell>
        </row>
        <row r="2232">
          <cell r="A2232" t="str">
            <v>RON_7yr</v>
          </cell>
          <cell r="B2232" t="str">
            <v>RON 7Y</v>
          </cell>
          <cell r="C2232" t="str">
            <v>BRS_GOLD__2_RATES:BRS_GOLD__1_OtherIR-HUF_IR-PLN-CZK_IR:BRS_GOLD__1_RONIR:RON_7yr</v>
          </cell>
          <cell r="D2232" t="str">
            <v>KRD</v>
          </cell>
          <cell r="E2232" t="str">
            <v>Yield</v>
          </cell>
          <cell r="F2232" t="str">
            <v>FI-Govt Emerging Markets</v>
          </cell>
          <cell r="G2232" t="str">
            <v>FI-Other</v>
          </cell>
          <cell r="H2232" t="str">
            <v>RATES</v>
          </cell>
          <cell r="I2232" t="str">
            <v>Govt Emerging Markets</v>
          </cell>
        </row>
        <row r="2233">
          <cell r="A2233" t="str">
            <v>RON_10yr</v>
          </cell>
          <cell r="B2233" t="str">
            <v>RON 10Y</v>
          </cell>
          <cell r="C2233" t="str">
            <v>BRS_GOLD__2_RATES:BRS_GOLD__1_OtherIR-HUF_IR-PLN-CZK_IR:BRS_GOLD__1_RONIR:RON_10yr</v>
          </cell>
          <cell r="D2233" t="str">
            <v>KRD</v>
          </cell>
          <cell r="E2233" t="str">
            <v>Yield</v>
          </cell>
          <cell r="F2233" t="str">
            <v>FI-Govt Emerging Markets</v>
          </cell>
          <cell r="G2233" t="str">
            <v>FI-Other</v>
          </cell>
          <cell r="H2233" t="str">
            <v>RATES</v>
          </cell>
          <cell r="I2233" t="str">
            <v>Govt Emerging Markets</v>
          </cell>
        </row>
        <row r="2234">
          <cell r="A2234" t="str">
            <v>RON_15yr</v>
          </cell>
          <cell r="B2234" t="str">
            <v>RON 15Y</v>
          </cell>
          <cell r="C2234" t="str">
            <v>BRS_GOLD__2_RATES:BRS_GOLD__1_OtherIR-HUF_IR-PLN-CZK_IR:BRS_GOLD__1_RONIR:RON_15yr</v>
          </cell>
          <cell r="D2234" t="str">
            <v>KRD</v>
          </cell>
          <cell r="E2234" t="str">
            <v>Yield</v>
          </cell>
          <cell r="F2234" t="str">
            <v>FI-Govt Emerging Markets</v>
          </cell>
          <cell r="G2234" t="str">
            <v>FI-Other</v>
          </cell>
          <cell r="H2234" t="str">
            <v>RATES</v>
          </cell>
          <cell r="I2234" t="str">
            <v>Govt Emerging Markets</v>
          </cell>
        </row>
        <row r="2235">
          <cell r="A2235" t="str">
            <v>RON_20yr</v>
          </cell>
          <cell r="B2235" t="str">
            <v>RON 20Y</v>
          </cell>
          <cell r="C2235" t="str">
            <v>BRS_GOLD__2_RATES:BRS_GOLD__1_OtherIR-HUF_IR-PLN-CZK_IR:BRS_GOLD__1_RONIR:RON_20yr</v>
          </cell>
          <cell r="D2235" t="str">
            <v>KRD</v>
          </cell>
          <cell r="E2235" t="str">
            <v>Yield</v>
          </cell>
          <cell r="F2235" t="str">
            <v>FI-Govt Emerging Markets</v>
          </cell>
          <cell r="G2235" t="str">
            <v>FI-Other</v>
          </cell>
          <cell r="H2235" t="str">
            <v>RATES</v>
          </cell>
          <cell r="I2235" t="str">
            <v>Govt Emerging Markets</v>
          </cell>
        </row>
        <row r="2236">
          <cell r="A2236" t="str">
            <v>RON_25yr</v>
          </cell>
          <cell r="B2236" t="str">
            <v>RON 25Y</v>
          </cell>
          <cell r="C2236" t="str">
            <v>BRS_GOLD__2_RATES:BRS_GOLD__1_OtherIR-HUF_IR-PLN-CZK_IR:BRS_GOLD__1_RONIR:RON_25yr</v>
          </cell>
          <cell r="D2236" t="str">
            <v>KRD</v>
          </cell>
          <cell r="E2236" t="str">
            <v>Yield</v>
          </cell>
          <cell r="F2236" t="str">
            <v>FI-Govt Emerging Markets</v>
          </cell>
          <cell r="G2236" t="str">
            <v>FI-Other</v>
          </cell>
          <cell r="H2236" t="str">
            <v>RATES</v>
          </cell>
          <cell r="I2236" t="str">
            <v>Govt Emerging Markets</v>
          </cell>
        </row>
        <row r="2237">
          <cell r="A2237" t="str">
            <v>RON_30yr</v>
          </cell>
          <cell r="B2237" t="str">
            <v>RON 30Y</v>
          </cell>
          <cell r="C2237" t="str">
            <v>BRS_GOLD__2_RATES:BRS_GOLD__1_OtherIR-HUF_IR-PLN-CZK_IR:BRS_GOLD__1_RONIR:RON_30yr</v>
          </cell>
          <cell r="D2237" t="str">
            <v>KRD</v>
          </cell>
          <cell r="E2237" t="str">
            <v>Yield</v>
          </cell>
          <cell r="F2237" t="str">
            <v>FI-Govt Emerging Markets</v>
          </cell>
          <cell r="G2237" t="str">
            <v>FI-Other</v>
          </cell>
          <cell r="H2237" t="str">
            <v>RATES</v>
          </cell>
          <cell r="I2237" t="str">
            <v>Govt Emerging Markets</v>
          </cell>
        </row>
        <row r="2238">
          <cell r="A2238" t="str">
            <v>RUB_3m</v>
          </cell>
          <cell r="B2238" t="str">
            <v>RUB 3M</v>
          </cell>
          <cell r="C2238" t="str">
            <v>BRS_GOLD__2_RATES:BRS_GOLD__1_OtherIR-HUF_IR-PLN-CZK_IR:RUB_IR:RUB_3m</v>
          </cell>
          <cell r="D2238" t="str">
            <v>KRD</v>
          </cell>
          <cell r="E2238" t="str">
            <v>Yield</v>
          </cell>
          <cell r="F2238" t="str">
            <v>FI-Govt Emerging Markets</v>
          </cell>
          <cell r="G2238" t="str">
            <v>FI-Other</v>
          </cell>
          <cell r="H2238" t="str">
            <v>RATES</v>
          </cell>
          <cell r="I2238" t="str">
            <v>Govt Emerging Markets</v>
          </cell>
        </row>
        <row r="2239">
          <cell r="A2239" t="str">
            <v>RUB_1yr</v>
          </cell>
          <cell r="B2239" t="str">
            <v>RUB 1Y</v>
          </cell>
          <cell r="C2239" t="str">
            <v>BRS_GOLD__2_RATES:BRS_GOLD__1_OtherIR-HUF_IR-PLN-CZK_IR:RUB_IR:RUB_1yr</v>
          </cell>
          <cell r="D2239" t="str">
            <v>KRD</v>
          </cell>
          <cell r="E2239" t="str">
            <v>Yield</v>
          </cell>
          <cell r="F2239" t="str">
            <v>FI-Govt Emerging Markets</v>
          </cell>
          <cell r="G2239" t="str">
            <v>FI-Other</v>
          </cell>
          <cell r="H2239" t="str">
            <v>RATES</v>
          </cell>
          <cell r="I2239" t="str">
            <v>Govt Emerging Markets</v>
          </cell>
        </row>
        <row r="2240">
          <cell r="A2240" t="str">
            <v>RUB_2yr</v>
          </cell>
          <cell r="B2240" t="str">
            <v>RUB 2Y</v>
          </cell>
          <cell r="C2240" t="str">
            <v>BRS_GOLD__2_RATES:BRS_GOLD__1_OtherIR-HUF_IR-PLN-CZK_IR:RUB_IR:RUB_2yr</v>
          </cell>
          <cell r="D2240" t="str">
            <v>KRD</v>
          </cell>
          <cell r="E2240" t="str">
            <v>Yield</v>
          </cell>
          <cell r="F2240" t="str">
            <v>FI-Govt Emerging Markets</v>
          </cell>
          <cell r="G2240" t="str">
            <v>FI-Other</v>
          </cell>
          <cell r="H2240" t="str">
            <v>RATES</v>
          </cell>
          <cell r="I2240" t="str">
            <v>Govt Emerging Markets</v>
          </cell>
        </row>
        <row r="2241">
          <cell r="A2241" t="str">
            <v>RUB_3yr</v>
          </cell>
          <cell r="B2241" t="str">
            <v>RUB 3Y</v>
          </cell>
          <cell r="C2241" t="str">
            <v>BRS_GOLD__2_RATES:BRS_GOLD__1_OtherIR-HUF_IR-PLN-CZK_IR:RUB_IR:RUB_3yr</v>
          </cell>
          <cell r="D2241" t="str">
            <v>KRD</v>
          </cell>
          <cell r="E2241" t="str">
            <v>Yield</v>
          </cell>
          <cell r="F2241" t="str">
            <v>FI-Govt Emerging Markets</v>
          </cell>
          <cell r="G2241" t="str">
            <v>FI-Other</v>
          </cell>
          <cell r="H2241" t="str">
            <v>RATES</v>
          </cell>
          <cell r="I2241" t="str">
            <v>Govt Emerging Markets</v>
          </cell>
        </row>
        <row r="2242">
          <cell r="A2242" t="str">
            <v>RUB_5yr</v>
          </cell>
          <cell r="B2242" t="str">
            <v>RUB 5Y</v>
          </cell>
          <cell r="C2242" t="str">
            <v>BRS_GOLD__2_RATES:BRS_GOLD__1_OtherIR-HUF_IR-PLN-CZK_IR:RUB_IR:RUB_5yr</v>
          </cell>
          <cell r="D2242" t="str">
            <v>KRD</v>
          </cell>
          <cell r="E2242" t="str">
            <v>Yield</v>
          </cell>
          <cell r="F2242" t="str">
            <v>FI-Govt Emerging Markets</v>
          </cell>
          <cell r="G2242" t="str">
            <v>FI-Other</v>
          </cell>
          <cell r="H2242" t="str">
            <v>RATES</v>
          </cell>
          <cell r="I2242" t="str">
            <v>Govt Emerging Markets</v>
          </cell>
        </row>
        <row r="2243">
          <cell r="A2243" t="str">
            <v>RUB_7yr</v>
          </cell>
          <cell r="B2243" t="str">
            <v>RUB 7Y</v>
          </cell>
          <cell r="C2243" t="str">
            <v>BRS_GOLD__2_RATES:BRS_GOLD__1_OtherIR-HUF_IR-PLN-CZK_IR:RUB_IR:RUB_7yr</v>
          </cell>
          <cell r="D2243" t="str">
            <v>KRD</v>
          </cell>
          <cell r="E2243" t="str">
            <v>Yield</v>
          </cell>
          <cell r="F2243" t="str">
            <v>FI-Govt Emerging Markets</v>
          </cell>
          <cell r="G2243" t="str">
            <v>FI-Other</v>
          </cell>
          <cell r="H2243" t="str">
            <v>RATES</v>
          </cell>
          <cell r="I2243" t="str">
            <v>Govt Emerging Markets</v>
          </cell>
        </row>
        <row r="2244">
          <cell r="A2244" t="str">
            <v>RUB_10yr</v>
          </cell>
          <cell r="B2244" t="str">
            <v>RUB 10Y</v>
          </cell>
          <cell r="C2244" t="str">
            <v>BRS_GOLD__2_RATES:BRS_GOLD__1_OtherIR-HUF_IR-PLN-CZK_IR:RUB_IR:RUB_10yr</v>
          </cell>
          <cell r="D2244" t="str">
            <v>KRD</v>
          </cell>
          <cell r="E2244" t="str">
            <v>Yield</v>
          </cell>
          <cell r="F2244" t="str">
            <v>FI-Govt Emerging Markets</v>
          </cell>
          <cell r="G2244" t="str">
            <v>FI-Other</v>
          </cell>
          <cell r="H2244" t="str">
            <v>RATES</v>
          </cell>
          <cell r="I2244" t="str">
            <v>Govt Emerging Markets</v>
          </cell>
        </row>
        <row r="2245">
          <cell r="A2245" t="str">
            <v>RUB_15yr</v>
          </cell>
          <cell r="B2245" t="str">
            <v>RUB 15Y</v>
          </cell>
          <cell r="C2245" t="str">
            <v>BRS_GOLD__2_RATES:BRS_GOLD__1_OtherIR-HUF_IR-PLN-CZK_IR:RUB_IR:RUB_15yr</v>
          </cell>
          <cell r="D2245" t="str">
            <v>KRD</v>
          </cell>
          <cell r="E2245" t="str">
            <v>Yield</v>
          </cell>
          <cell r="F2245" t="str">
            <v>FI-Govt Emerging Markets</v>
          </cell>
          <cell r="G2245" t="str">
            <v>FI-Other</v>
          </cell>
          <cell r="H2245" t="str">
            <v>RATES</v>
          </cell>
          <cell r="I2245" t="str">
            <v>Govt Emerging Markets</v>
          </cell>
        </row>
        <row r="2246">
          <cell r="A2246" t="str">
            <v>RUB_20yr</v>
          </cell>
          <cell r="B2246" t="str">
            <v>RUB 20Y</v>
          </cell>
          <cell r="C2246" t="str">
            <v>BRS_GOLD__2_RATES:BRS_GOLD__1_OtherIR-HUF_IR-PLN-CZK_IR:RUB_IR:RUB_20yr</v>
          </cell>
          <cell r="D2246" t="str">
            <v>KRD</v>
          </cell>
          <cell r="E2246" t="str">
            <v>Yield</v>
          </cell>
          <cell r="F2246" t="str">
            <v>FI-Govt Emerging Markets</v>
          </cell>
          <cell r="G2246" t="str">
            <v>FI-Other</v>
          </cell>
          <cell r="H2246" t="str">
            <v>RATES</v>
          </cell>
          <cell r="I2246" t="str">
            <v>Govt Emerging Markets</v>
          </cell>
        </row>
        <row r="2247">
          <cell r="A2247" t="str">
            <v>RUB_25yr</v>
          </cell>
          <cell r="B2247" t="str">
            <v>RUB 25Y</v>
          </cell>
          <cell r="C2247" t="str">
            <v>BRS_GOLD__2_RATES:BRS_GOLD__1_OtherIR-HUF_IR-PLN-CZK_IR:RUB_IR:RUB_25yr</v>
          </cell>
          <cell r="D2247" t="str">
            <v>KRD</v>
          </cell>
          <cell r="E2247" t="str">
            <v>Yield</v>
          </cell>
          <cell r="F2247" t="str">
            <v>FI-Govt Emerging Markets</v>
          </cell>
          <cell r="G2247" t="str">
            <v>FI-Other</v>
          </cell>
          <cell r="H2247" t="str">
            <v>RATES</v>
          </cell>
          <cell r="I2247" t="str">
            <v>Govt Emerging Markets</v>
          </cell>
        </row>
        <row r="2248">
          <cell r="A2248" t="str">
            <v>RUB_30yr</v>
          </cell>
          <cell r="B2248" t="str">
            <v>RUB 30Y</v>
          </cell>
          <cell r="C2248" t="str">
            <v>BRS_GOLD__2_RATES:BRS_GOLD__1_OtherIR-HUF_IR-PLN-CZK_IR:RUB_IR:RUB_30yr</v>
          </cell>
          <cell r="D2248" t="str">
            <v>KRD</v>
          </cell>
          <cell r="E2248" t="str">
            <v>Yield</v>
          </cell>
          <cell r="F2248" t="str">
            <v>FI-Govt Emerging Markets</v>
          </cell>
          <cell r="G2248" t="str">
            <v>FI-Other</v>
          </cell>
          <cell r="H2248" t="str">
            <v>RATES</v>
          </cell>
          <cell r="I2248" t="str">
            <v>Govt Emerging Markets</v>
          </cell>
        </row>
        <row r="2249">
          <cell r="A2249" t="str">
            <v>SGD_3m</v>
          </cell>
          <cell r="B2249" t="str">
            <v>SGD 3M</v>
          </cell>
          <cell r="C2249" t="str">
            <v>BRS_GOLD__2_RATES:BRS_GOLD__1_OtherIR-HUF_IR-PLN-CZK_IR:BRS_GOLD__1_SGDIR:SGD_3m</v>
          </cell>
          <cell r="D2249" t="str">
            <v>KRD</v>
          </cell>
          <cell r="E2249" t="str">
            <v>Yield</v>
          </cell>
          <cell r="F2249" t="str">
            <v>FI-Govt Developed Other (AU, GB, JP, ...)</v>
          </cell>
          <cell r="G2249" t="str">
            <v>FI-Other</v>
          </cell>
          <cell r="H2249" t="str">
            <v>RATES</v>
          </cell>
          <cell r="I2249" t="str">
            <v>Govt Developed Other (AU, GB, JP, ...)</v>
          </cell>
        </row>
        <row r="2250">
          <cell r="A2250" t="str">
            <v>SGD_1yr</v>
          </cell>
          <cell r="B2250" t="str">
            <v>SGD 1Y</v>
          </cell>
          <cell r="C2250" t="str">
            <v>BRS_GOLD__2_RATES:BRS_GOLD__1_OtherIR-HUF_IR-PLN-CZK_IR:BRS_GOLD__1_SGDIR:SGD_1yr</v>
          </cell>
          <cell r="D2250" t="str">
            <v>KRD</v>
          </cell>
          <cell r="E2250" t="str">
            <v>Yield</v>
          </cell>
          <cell r="F2250" t="str">
            <v>FI-Govt Developed Other (AU, GB, JP, ...)</v>
          </cell>
          <cell r="G2250" t="str">
            <v>FI-Other</v>
          </cell>
          <cell r="H2250" t="str">
            <v>RATES</v>
          </cell>
          <cell r="I2250" t="str">
            <v>Govt Developed Other (AU, GB, JP, ...)</v>
          </cell>
        </row>
        <row r="2251">
          <cell r="A2251" t="str">
            <v>SGD_2yr</v>
          </cell>
          <cell r="B2251" t="str">
            <v>SGD 2Y</v>
          </cell>
          <cell r="C2251" t="str">
            <v>BRS_GOLD__2_RATES:BRS_GOLD__1_OtherIR-HUF_IR-PLN-CZK_IR:BRS_GOLD__1_SGDIR:SGD_2yr</v>
          </cell>
          <cell r="D2251" t="str">
            <v>KRD</v>
          </cell>
          <cell r="E2251" t="str">
            <v>Yield</v>
          </cell>
          <cell r="F2251" t="str">
            <v>FI-Govt Developed Other (AU, GB, JP, ...)</v>
          </cell>
          <cell r="G2251" t="str">
            <v>FI-Other</v>
          </cell>
          <cell r="H2251" t="str">
            <v>RATES</v>
          </cell>
          <cell r="I2251" t="str">
            <v>Govt Developed Other (AU, GB, JP, ...)</v>
          </cell>
        </row>
        <row r="2252">
          <cell r="A2252" t="str">
            <v>SGD_3yr</v>
          </cell>
          <cell r="B2252" t="str">
            <v>SGD 3Y</v>
          </cell>
          <cell r="C2252" t="str">
            <v>BRS_GOLD__2_RATES:BRS_GOLD__1_OtherIR-HUF_IR-PLN-CZK_IR:BRS_GOLD__1_SGDIR:SGD_3yr</v>
          </cell>
          <cell r="D2252" t="str">
            <v>KRD</v>
          </cell>
          <cell r="E2252" t="str">
            <v>Yield</v>
          </cell>
          <cell r="F2252" t="str">
            <v>FI-Govt Developed Other (AU, GB, JP, ...)</v>
          </cell>
          <cell r="G2252" t="str">
            <v>FI-Other</v>
          </cell>
          <cell r="H2252" t="str">
            <v>RATES</v>
          </cell>
          <cell r="I2252" t="str">
            <v>Govt Developed Other (AU, GB, JP, ...)</v>
          </cell>
        </row>
        <row r="2253">
          <cell r="A2253" t="str">
            <v>SGD_5yr</v>
          </cell>
          <cell r="B2253" t="str">
            <v>SGD 5Y</v>
          </cell>
          <cell r="C2253" t="str">
            <v>BRS_GOLD__2_RATES:BRS_GOLD__1_OtherIR-HUF_IR-PLN-CZK_IR:BRS_GOLD__1_SGDIR:SGD_5yr</v>
          </cell>
          <cell r="D2253" t="str">
            <v>KRD</v>
          </cell>
          <cell r="E2253" t="str">
            <v>Yield</v>
          </cell>
          <cell r="F2253" t="str">
            <v>FI-Govt Developed Other (AU, GB, JP, ...)</v>
          </cell>
          <cell r="G2253" t="str">
            <v>FI-Other</v>
          </cell>
          <cell r="H2253" t="str">
            <v>RATES</v>
          </cell>
          <cell r="I2253" t="str">
            <v>Govt Developed Other (AU, GB, JP, ...)</v>
          </cell>
        </row>
        <row r="2254">
          <cell r="A2254" t="str">
            <v>SGD_7yr</v>
          </cell>
          <cell r="B2254" t="str">
            <v>SGD 7Y</v>
          </cell>
          <cell r="C2254" t="str">
            <v>BRS_GOLD__2_RATES:BRS_GOLD__1_OtherIR-HUF_IR-PLN-CZK_IR:BRS_GOLD__1_SGDIR:SGD_7yr</v>
          </cell>
          <cell r="D2254" t="str">
            <v>KRD</v>
          </cell>
          <cell r="E2254" t="str">
            <v>Yield</v>
          </cell>
          <cell r="F2254" t="str">
            <v>FI-Govt Developed Other (AU, GB, JP, ...)</v>
          </cell>
          <cell r="G2254" t="str">
            <v>FI-Other</v>
          </cell>
          <cell r="H2254" t="str">
            <v>RATES</v>
          </cell>
          <cell r="I2254" t="str">
            <v>Govt Developed Other (AU, GB, JP, ...)</v>
          </cell>
        </row>
        <row r="2255">
          <cell r="A2255" t="str">
            <v>SGD_10yr</v>
          </cell>
          <cell r="B2255" t="str">
            <v>SGD 10Y</v>
          </cell>
          <cell r="C2255" t="str">
            <v>BRS_GOLD__2_RATES:BRS_GOLD__1_OtherIR-HUF_IR-PLN-CZK_IR:BRS_GOLD__1_SGDIR:SGD_10yr</v>
          </cell>
          <cell r="D2255" t="str">
            <v>KRD</v>
          </cell>
          <cell r="E2255" t="str">
            <v>Yield</v>
          </cell>
          <cell r="F2255" t="str">
            <v>FI-Govt Developed Other (AU, GB, JP, ...)</v>
          </cell>
          <cell r="G2255" t="str">
            <v>FI-Other</v>
          </cell>
          <cell r="H2255" t="str">
            <v>RATES</v>
          </cell>
          <cell r="I2255" t="str">
            <v>Govt Developed Other (AU, GB, JP, ...)</v>
          </cell>
        </row>
        <row r="2256">
          <cell r="A2256" t="str">
            <v>SGD_15yr</v>
          </cell>
          <cell r="B2256" t="str">
            <v>SGD 15Y</v>
          </cell>
          <cell r="C2256" t="str">
            <v>BRS_GOLD__2_RATES:BRS_GOLD__1_OtherIR-HUF_IR-PLN-CZK_IR:BRS_GOLD__1_SGDIR:SGD_15yr</v>
          </cell>
          <cell r="D2256" t="str">
            <v>KRD</v>
          </cell>
          <cell r="E2256" t="str">
            <v>Yield</v>
          </cell>
          <cell r="F2256" t="str">
            <v>FI-Govt Developed Other (AU, GB, JP, ...)</v>
          </cell>
          <cell r="G2256" t="str">
            <v>FI-Other</v>
          </cell>
          <cell r="H2256" t="str">
            <v>RATES</v>
          </cell>
          <cell r="I2256" t="str">
            <v>Govt Developed Other (AU, GB, JP, ...)</v>
          </cell>
        </row>
        <row r="2257">
          <cell r="A2257" t="str">
            <v>SGD_20yr</v>
          </cell>
          <cell r="B2257" t="str">
            <v>SGD 20Y</v>
          </cell>
          <cell r="C2257" t="str">
            <v>BRS_GOLD__2_RATES:BRS_GOLD__1_OtherIR-HUF_IR-PLN-CZK_IR:BRS_GOLD__1_SGDIR:SGD_20yr</v>
          </cell>
          <cell r="D2257" t="str">
            <v>KRD</v>
          </cell>
          <cell r="E2257" t="str">
            <v>Yield</v>
          </cell>
          <cell r="F2257" t="str">
            <v>FI-Govt Developed Other (AU, GB, JP, ...)</v>
          </cell>
          <cell r="G2257" t="str">
            <v>FI-Other</v>
          </cell>
          <cell r="H2257" t="str">
            <v>RATES</v>
          </cell>
          <cell r="I2257" t="str">
            <v>Govt Developed Other (AU, GB, JP, ...)</v>
          </cell>
        </row>
        <row r="2258">
          <cell r="A2258" t="str">
            <v>SGD_25yr</v>
          </cell>
          <cell r="B2258" t="str">
            <v>SGD 25Y</v>
          </cell>
          <cell r="C2258" t="str">
            <v>BRS_GOLD__2_RATES:BRS_GOLD__1_OtherIR-HUF_IR-PLN-CZK_IR:BRS_GOLD__1_SGDIR:SGD_25yr</v>
          </cell>
          <cell r="D2258" t="str">
            <v>KRD</v>
          </cell>
          <cell r="E2258" t="str">
            <v>Yield</v>
          </cell>
          <cell r="F2258" t="str">
            <v>FI-Govt Developed Other (AU, GB, JP, ...)</v>
          </cell>
          <cell r="G2258" t="str">
            <v>FI-Other</v>
          </cell>
          <cell r="H2258" t="str">
            <v>RATES</v>
          </cell>
          <cell r="I2258" t="str">
            <v>Govt Developed Other (AU, GB, JP, ...)</v>
          </cell>
        </row>
        <row r="2259">
          <cell r="A2259" t="str">
            <v>SGD_30yr</v>
          </cell>
          <cell r="B2259" t="str">
            <v>SGD 30Y</v>
          </cell>
          <cell r="C2259" t="str">
            <v>BRS_GOLD__2_RATES:BRS_GOLD__1_OtherIR-HUF_IR-PLN-CZK_IR:BRS_GOLD__1_SGDIR:SGD_30yr</v>
          </cell>
          <cell r="D2259" t="str">
            <v>KRD</v>
          </cell>
          <cell r="E2259" t="str">
            <v>Yield</v>
          </cell>
          <cell r="F2259" t="str">
            <v>FI-Govt Developed Other (AU, GB, JP, ...)</v>
          </cell>
          <cell r="G2259" t="str">
            <v>FI-Other</v>
          </cell>
          <cell r="H2259" t="str">
            <v>RATES</v>
          </cell>
          <cell r="I2259" t="str">
            <v>Govt Developed Other (AU, GB, JP, ...)</v>
          </cell>
        </row>
        <row r="2260">
          <cell r="A2260" t="str">
            <v>THB_3m</v>
          </cell>
          <cell r="B2260" t="str">
            <v>THB 3M</v>
          </cell>
          <cell r="C2260" t="str">
            <v>BRS_GOLD__2_RATES:BRS_GOLD__1_OtherIR-HUF_IR-PLN-CZK_IR:THB_IR:THB_3m</v>
          </cell>
          <cell r="D2260" t="str">
            <v>KRD</v>
          </cell>
          <cell r="E2260" t="str">
            <v>Yield</v>
          </cell>
          <cell r="F2260" t="str">
            <v>FI-Govt Emerging Markets</v>
          </cell>
          <cell r="G2260" t="str">
            <v>FI-Other</v>
          </cell>
          <cell r="H2260" t="str">
            <v>RATES</v>
          </cell>
          <cell r="I2260" t="str">
            <v>Govt Emerging Markets</v>
          </cell>
        </row>
        <row r="2261">
          <cell r="A2261" t="str">
            <v>THB_1yr</v>
          </cell>
          <cell r="B2261" t="str">
            <v>THB 1Y</v>
          </cell>
          <cell r="C2261" t="str">
            <v>BRS_GOLD__2_RATES:BRS_GOLD__1_OtherIR-HUF_IR-PLN-CZK_IR:THB_IR:THB_1yr</v>
          </cell>
          <cell r="D2261" t="str">
            <v>KRD</v>
          </cell>
          <cell r="E2261" t="str">
            <v>Yield</v>
          </cell>
          <cell r="F2261" t="str">
            <v>FI-Govt Emerging Markets</v>
          </cell>
          <cell r="G2261" t="str">
            <v>FI-Other</v>
          </cell>
          <cell r="H2261" t="str">
            <v>RATES</v>
          </cell>
          <cell r="I2261" t="str">
            <v>Govt Emerging Markets</v>
          </cell>
        </row>
        <row r="2262">
          <cell r="A2262" t="str">
            <v>THB_2yr</v>
          </cell>
          <cell r="B2262" t="str">
            <v>THB 2Y</v>
          </cell>
          <cell r="C2262" t="str">
            <v>BRS_GOLD__2_RATES:BRS_GOLD__1_OtherIR-HUF_IR-PLN-CZK_IR:THB_IR:THB_2yr</v>
          </cell>
          <cell r="D2262" t="str">
            <v>KRD</v>
          </cell>
          <cell r="E2262" t="str">
            <v>Yield</v>
          </cell>
          <cell r="F2262" t="str">
            <v>FI-Govt Emerging Markets</v>
          </cell>
          <cell r="G2262" t="str">
            <v>FI-Other</v>
          </cell>
          <cell r="H2262" t="str">
            <v>RATES</v>
          </cell>
          <cell r="I2262" t="str">
            <v>Govt Emerging Markets</v>
          </cell>
        </row>
        <row r="2263">
          <cell r="A2263" t="str">
            <v>THB_3yr</v>
          </cell>
          <cell r="B2263" t="str">
            <v>THB 3Y</v>
          </cell>
          <cell r="C2263" t="str">
            <v>BRS_GOLD__2_RATES:BRS_GOLD__1_OtherIR-HUF_IR-PLN-CZK_IR:THB_IR:THB_3yr</v>
          </cell>
          <cell r="D2263" t="str">
            <v>KRD</v>
          </cell>
          <cell r="E2263" t="str">
            <v>Yield</v>
          </cell>
          <cell r="F2263" t="str">
            <v>FI-Govt Emerging Markets</v>
          </cell>
          <cell r="G2263" t="str">
            <v>FI-Other</v>
          </cell>
          <cell r="H2263" t="str">
            <v>RATES</v>
          </cell>
          <cell r="I2263" t="str">
            <v>Govt Emerging Markets</v>
          </cell>
        </row>
        <row r="2264">
          <cell r="A2264" t="str">
            <v>THB_5yr</v>
          </cell>
          <cell r="B2264" t="str">
            <v>THB 5Y</v>
          </cell>
          <cell r="C2264" t="str">
            <v>BRS_GOLD__2_RATES:BRS_GOLD__1_OtherIR-HUF_IR-PLN-CZK_IR:THB_IR:THB_5yr</v>
          </cell>
          <cell r="D2264" t="str">
            <v>KRD</v>
          </cell>
          <cell r="E2264" t="str">
            <v>Yield</v>
          </cell>
          <cell r="F2264" t="str">
            <v>FI-Govt Emerging Markets</v>
          </cell>
          <cell r="G2264" t="str">
            <v>FI-Other</v>
          </cell>
          <cell r="H2264" t="str">
            <v>RATES</v>
          </cell>
          <cell r="I2264" t="str">
            <v>Govt Emerging Markets</v>
          </cell>
        </row>
        <row r="2265">
          <cell r="A2265" t="str">
            <v>THB_7yr</v>
          </cell>
          <cell r="B2265" t="str">
            <v>THB 7Y</v>
          </cell>
          <cell r="C2265" t="str">
            <v>BRS_GOLD__2_RATES:BRS_GOLD__1_OtherIR-HUF_IR-PLN-CZK_IR:THB_IR:THB_7yr</v>
          </cell>
          <cell r="D2265" t="str">
            <v>KRD</v>
          </cell>
          <cell r="E2265" t="str">
            <v>Yield</v>
          </cell>
          <cell r="F2265" t="str">
            <v>FI-Govt Emerging Markets</v>
          </cell>
          <cell r="G2265" t="str">
            <v>FI-Other</v>
          </cell>
          <cell r="H2265" t="str">
            <v>RATES</v>
          </cell>
          <cell r="I2265" t="str">
            <v>Govt Emerging Markets</v>
          </cell>
        </row>
        <row r="2266">
          <cell r="A2266" t="str">
            <v>THB_10yr</v>
          </cell>
          <cell r="B2266" t="str">
            <v>THB 10Y</v>
          </cell>
          <cell r="C2266" t="str">
            <v>BRS_GOLD__2_RATES:BRS_GOLD__1_OtherIR-HUF_IR-PLN-CZK_IR:THB_IR:THB_10yr</v>
          </cell>
          <cell r="D2266" t="str">
            <v>KRD</v>
          </cell>
          <cell r="E2266" t="str">
            <v>Yield</v>
          </cell>
          <cell r="F2266" t="str">
            <v>FI-Govt Emerging Markets</v>
          </cell>
          <cell r="G2266" t="str">
            <v>FI-Other</v>
          </cell>
          <cell r="H2266" t="str">
            <v>RATES</v>
          </cell>
          <cell r="I2266" t="str">
            <v>Govt Emerging Markets</v>
          </cell>
        </row>
        <row r="2267">
          <cell r="A2267" t="str">
            <v>THB_15yr</v>
          </cell>
          <cell r="B2267" t="str">
            <v>THB 15Y</v>
          </cell>
          <cell r="C2267" t="str">
            <v>BRS_GOLD__2_RATES:BRS_GOLD__1_OtherIR-HUF_IR-PLN-CZK_IR:THB_IR:THB_15yr</v>
          </cell>
          <cell r="D2267" t="str">
            <v>KRD</v>
          </cell>
          <cell r="E2267" t="str">
            <v>Yield</v>
          </cell>
          <cell r="F2267" t="str">
            <v>FI-Govt Emerging Markets</v>
          </cell>
          <cell r="G2267" t="str">
            <v>FI-Other</v>
          </cell>
          <cell r="H2267" t="str">
            <v>RATES</v>
          </cell>
          <cell r="I2267" t="str">
            <v>Govt Emerging Markets</v>
          </cell>
        </row>
        <row r="2268">
          <cell r="A2268" t="str">
            <v>THB_20yr</v>
          </cell>
          <cell r="B2268" t="str">
            <v>THB 20Y</v>
          </cell>
          <cell r="C2268" t="str">
            <v>BRS_GOLD__2_RATES:BRS_GOLD__1_OtherIR-HUF_IR-PLN-CZK_IR:THB_IR:THB_20yr</v>
          </cell>
          <cell r="D2268" t="str">
            <v>KRD</v>
          </cell>
          <cell r="E2268" t="str">
            <v>Yield</v>
          </cell>
          <cell r="F2268" t="str">
            <v>FI-Govt Emerging Markets</v>
          </cell>
          <cell r="G2268" t="str">
            <v>FI-Other</v>
          </cell>
          <cell r="H2268" t="str">
            <v>RATES</v>
          </cell>
          <cell r="I2268" t="str">
            <v>Govt Emerging Markets</v>
          </cell>
        </row>
        <row r="2269">
          <cell r="A2269" t="str">
            <v>THB_25yr</v>
          </cell>
          <cell r="B2269" t="str">
            <v>THB 25Y</v>
          </cell>
          <cell r="C2269" t="str">
            <v>BRS_GOLD__2_RATES:BRS_GOLD__1_OtherIR-HUF_IR-PLN-CZK_IR:THB_IR:THB_25yr</v>
          </cell>
          <cell r="D2269" t="str">
            <v>KRD</v>
          </cell>
          <cell r="E2269" t="str">
            <v>Yield</v>
          </cell>
          <cell r="F2269" t="str">
            <v>FI-Govt Emerging Markets</v>
          </cell>
          <cell r="G2269" t="str">
            <v>FI-Other</v>
          </cell>
          <cell r="H2269" t="str">
            <v>RATES</v>
          </cell>
          <cell r="I2269" t="str">
            <v>Govt Emerging Markets</v>
          </cell>
        </row>
        <row r="2270">
          <cell r="A2270" t="str">
            <v>THB_30yr</v>
          </cell>
          <cell r="B2270" t="str">
            <v>THB 30Y</v>
          </cell>
          <cell r="C2270" t="str">
            <v>BRS_GOLD__2_RATES:BRS_GOLD__1_OtherIR-HUF_IR-PLN-CZK_IR:THB_IR:THB_30yr</v>
          </cell>
          <cell r="D2270" t="str">
            <v>KRD</v>
          </cell>
          <cell r="E2270" t="str">
            <v>Yield</v>
          </cell>
          <cell r="F2270" t="str">
            <v>FI-Govt Emerging Markets</v>
          </cell>
          <cell r="G2270" t="str">
            <v>FI-Other</v>
          </cell>
          <cell r="H2270" t="str">
            <v>RATES</v>
          </cell>
          <cell r="I2270" t="str">
            <v>Govt Emerging Markets</v>
          </cell>
        </row>
        <row r="2271">
          <cell r="A2271" t="str">
            <v>TRY_3m</v>
          </cell>
          <cell r="B2271" t="str">
            <v>TRY 3M</v>
          </cell>
          <cell r="C2271" t="str">
            <v>BRS_GOLD__2_RATES:BRS_GOLD__1_OtherIR-HUF_IR-PLN-CZK_IR:TRY_IR:TRY_3m</v>
          </cell>
          <cell r="D2271" t="str">
            <v>KRD</v>
          </cell>
          <cell r="E2271" t="str">
            <v>Yield</v>
          </cell>
          <cell r="F2271" t="str">
            <v>FI-Govt Emerging Markets</v>
          </cell>
          <cell r="G2271" t="str">
            <v>FI-Other</v>
          </cell>
          <cell r="H2271" t="str">
            <v>RATES</v>
          </cell>
          <cell r="I2271" t="str">
            <v>Govt Emerging Markets</v>
          </cell>
        </row>
        <row r="2272">
          <cell r="A2272" t="str">
            <v>TRY_1yr</v>
          </cell>
          <cell r="B2272" t="str">
            <v>TRY 1Y</v>
          </cell>
          <cell r="C2272" t="str">
            <v>BRS_GOLD__2_RATES:BRS_GOLD__1_OtherIR-HUF_IR-PLN-CZK_IR:TRY_IR:TRY_1yr</v>
          </cell>
          <cell r="D2272" t="str">
            <v>KRD</v>
          </cell>
          <cell r="E2272" t="str">
            <v>Yield</v>
          </cell>
          <cell r="F2272" t="str">
            <v>FI-Govt Emerging Markets</v>
          </cell>
          <cell r="G2272" t="str">
            <v>FI-Other</v>
          </cell>
          <cell r="H2272" t="str">
            <v>RATES</v>
          </cell>
          <cell r="I2272" t="str">
            <v>Govt Emerging Markets</v>
          </cell>
        </row>
        <row r="2273">
          <cell r="A2273" t="str">
            <v>TRY_2yr</v>
          </cell>
          <cell r="B2273" t="str">
            <v>TRY 2Y</v>
          </cell>
          <cell r="C2273" t="str">
            <v>BRS_GOLD__2_RATES:BRS_GOLD__1_OtherIR-HUF_IR-PLN-CZK_IR:TRY_IR:TRY_2yr</v>
          </cell>
          <cell r="D2273" t="str">
            <v>KRD</v>
          </cell>
          <cell r="E2273" t="str">
            <v>Yield</v>
          </cell>
          <cell r="F2273" t="str">
            <v>FI-Govt Emerging Markets</v>
          </cell>
          <cell r="G2273" t="str">
            <v>FI-Other</v>
          </cell>
          <cell r="H2273" t="str">
            <v>RATES</v>
          </cell>
          <cell r="I2273" t="str">
            <v>Govt Emerging Markets</v>
          </cell>
        </row>
        <row r="2274">
          <cell r="A2274" t="str">
            <v>TRY_3yr</v>
          </cell>
          <cell r="B2274" t="str">
            <v>TRY 3Y</v>
          </cell>
          <cell r="C2274" t="str">
            <v>BRS_GOLD__2_RATES:BRS_GOLD__1_OtherIR-HUF_IR-PLN-CZK_IR:TRY_IR:TRY_3yr</v>
          </cell>
          <cell r="D2274" t="str">
            <v>KRD</v>
          </cell>
          <cell r="E2274" t="str">
            <v>Yield</v>
          </cell>
          <cell r="F2274" t="str">
            <v>FI-Govt Emerging Markets</v>
          </cell>
          <cell r="G2274" t="str">
            <v>FI-Other</v>
          </cell>
          <cell r="H2274" t="str">
            <v>RATES</v>
          </cell>
          <cell r="I2274" t="str">
            <v>Govt Emerging Markets</v>
          </cell>
        </row>
        <row r="2275">
          <cell r="A2275" t="str">
            <v>TRY_5yr</v>
          </cell>
          <cell r="B2275" t="str">
            <v>TRY 5Y</v>
          </cell>
          <cell r="C2275" t="str">
            <v>BRS_GOLD__2_RATES:BRS_GOLD__1_OtherIR-HUF_IR-PLN-CZK_IR:TRY_IR:TRY_5yr</v>
          </cell>
          <cell r="D2275" t="str">
            <v>KRD</v>
          </cell>
          <cell r="E2275" t="str">
            <v>Yield</v>
          </cell>
          <cell r="F2275" t="str">
            <v>FI-Govt Emerging Markets</v>
          </cell>
          <cell r="G2275" t="str">
            <v>FI-Other</v>
          </cell>
          <cell r="H2275" t="str">
            <v>RATES</v>
          </cell>
          <cell r="I2275" t="str">
            <v>Govt Emerging Markets</v>
          </cell>
        </row>
        <row r="2276">
          <cell r="A2276" t="str">
            <v>TRY_7yr</v>
          </cell>
          <cell r="B2276" t="str">
            <v>TRY 7Y</v>
          </cell>
          <cell r="C2276" t="str">
            <v>BRS_GOLD__2_RATES:BRS_GOLD__1_OtherIR-HUF_IR-PLN-CZK_IR:TRY_IR:TRY_7yr</v>
          </cell>
          <cell r="D2276" t="str">
            <v>KRD</v>
          </cell>
          <cell r="E2276" t="str">
            <v>Yield</v>
          </cell>
          <cell r="F2276" t="str">
            <v>FI-Govt Emerging Markets</v>
          </cell>
          <cell r="G2276" t="str">
            <v>FI-Other</v>
          </cell>
          <cell r="H2276" t="str">
            <v>RATES</v>
          </cell>
          <cell r="I2276" t="str">
            <v>Govt Emerging Markets</v>
          </cell>
        </row>
        <row r="2277">
          <cell r="A2277" t="str">
            <v>TRY_10yr</v>
          </cell>
          <cell r="B2277" t="str">
            <v>TRY 10Y</v>
          </cell>
          <cell r="C2277" t="str">
            <v>BRS_GOLD__2_RATES:BRS_GOLD__1_OtherIR-HUF_IR-PLN-CZK_IR:TRY_IR:TRY_10yr</v>
          </cell>
          <cell r="D2277" t="str">
            <v>KRD</v>
          </cell>
          <cell r="E2277" t="str">
            <v>Yield</v>
          </cell>
          <cell r="F2277" t="str">
            <v>FI-Govt Emerging Markets</v>
          </cell>
          <cell r="G2277" t="str">
            <v>FI-Other</v>
          </cell>
          <cell r="H2277" t="str">
            <v>RATES</v>
          </cell>
          <cell r="I2277" t="str">
            <v>Govt Emerging Markets</v>
          </cell>
        </row>
        <row r="2278">
          <cell r="A2278" t="str">
            <v>TRY_15yr</v>
          </cell>
          <cell r="B2278" t="str">
            <v>TRY 15Y</v>
          </cell>
          <cell r="C2278" t="str">
            <v>BRS_GOLD__2_RATES:BRS_GOLD__1_OtherIR-HUF_IR-PLN-CZK_IR:TRY_IR:TRY_15yr</v>
          </cell>
          <cell r="D2278" t="str">
            <v>KRD</v>
          </cell>
          <cell r="E2278" t="str">
            <v>Yield</v>
          </cell>
          <cell r="F2278" t="str">
            <v>FI-Govt Emerging Markets</v>
          </cell>
          <cell r="G2278" t="str">
            <v>FI-Other</v>
          </cell>
          <cell r="H2278" t="str">
            <v>RATES</v>
          </cell>
          <cell r="I2278" t="str">
            <v>Govt Emerging Markets</v>
          </cell>
        </row>
        <row r="2279">
          <cell r="A2279" t="str">
            <v>TRY_20yr</v>
          </cell>
          <cell r="B2279" t="str">
            <v>TRY 20Y</v>
          </cell>
          <cell r="C2279" t="str">
            <v>BRS_GOLD__2_RATES:BRS_GOLD__1_OtherIR-HUF_IR-PLN-CZK_IR:TRY_IR:TRY_20yr</v>
          </cell>
          <cell r="D2279" t="str">
            <v>KRD</v>
          </cell>
          <cell r="E2279" t="str">
            <v>Yield</v>
          </cell>
          <cell r="F2279" t="str">
            <v>FI-Govt Emerging Markets</v>
          </cell>
          <cell r="G2279" t="str">
            <v>FI-Other</v>
          </cell>
          <cell r="H2279" t="str">
            <v>RATES</v>
          </cell>
          <cell r="I2279" t="str">
            <v>Govt Emerging Markets</v>
          </cell>
        </row>
        <row r="2280">
          <cell r="A2280" t="str">
            <v>TRY_25yr</v>
          </cell>
          <cell r="B2280" t="str">
            <v>TRY 25Y</v>
          </cell>
          <cell r="C2280" t="str">
            <v>BRS_GOLD__2_RATES:BRS_GOLD__1_OtherIR-HUF_IR-PLN-CZK_IR:TRY_IR:TRY_25yr</v>
          </cell>
          <cell r="D2280" t="str">
            <v>KRD</v>
          </cell>
          <cell r="E2280" t="str">
            <v>Yield</v>
          </cell>
          <cell r="F2280" t="str">
            <v>FI-Govt Emerging Markets</v>
          </cell>
          <cell r="G2280" t="str">
            <v>FI-Other</v>
          </cell>
          <cell r="H2280" t="str">
            <v>RATES</v>
          </cell>
          <cell r="I2280" t="str">
            <v>Govt Emerging Markets</v>
          </cell>
        </row>
        <row r="2281">
          <cell r="A2281" t="str">
            <v>TRY_30yr</v>
          </cell>
          <cell r="B2281" t="str">
            <v>TRY 30Y</v>
          </cell>
          <cell r="C2281" t="str">
            <v>BRS_GOLD__2_RATES:BRS_GOLD__1_OtherIR-HUF_IR-PLN-CZK_IR:TRY_IR:TRY_30yr</v>
          </cell>
          <cell r="D2281" t="str">
            <v>KRD</v>
          </cell>
          <cell r="E2281" t="str">
            <v>Yield</v>
          </cell>
          <cell r="F2281" t="str">
            <v>FI-Govt Emerging Markets</v>
          </cell>
          <cell r="G2281" t="str">
            <v>FI-Other</v>
          </cell>
          <cell r="H2281" t="str">
            <v>RATES</v>
          </cell>
          <cell r="I2281" t="str">
            <v>Govt Emerging Markets</v>
          </cell>
        </row>
        <row r="2282">
          <cell r="A2282" t="str">
            <v>TWD_3m</v>
          </cell>
          <cell r="B2282" t="str">
            <v>TWD 3M</v>
          </cell>
          <cell r="C2282" t="str">
            <v>BRS_GOLD__2_RATES:BRS_GOLD__1_OtherIR-HUF_IR-PLN-CZK_IR:TWD_IR:TWD_3m</v>
          </cell>
          <cell r="D2282" t="str">
            <v>KRD</v>
          </cell>
          <cell r="E2282" t="str">
            <v>Yield</v>
          </cell>
          <cell r="F2282" t="str">
            <v>FI-Govt Emerging Markets</v>
          </cell>
          <cell r="G2282" t="str">
            <v>FI-Other</v>
          </cell>
          <cell r="H2282" t="str">
            <v>RATES</v>
          </cell>
          <cell r="I2282" t="str">
            <v>Govt Emerging Markets</v>
          </cell>
        </row>
        <row r="2283">
          <cell r="A2283" t="str">
            <v>TWD_1yr</v>
          </cell>
          <cell r="B2283" t="str">
            <v>TWD 1Y</v>
          </cell>
          <cell r="C2283" t="str">
            <v>BRS_GOLD__2_RATES:BRS_GOLD__1_OtherIR-HUF_IR-PLN-CZK_IR:TWD_IR:TWD_1yr</v>
          </cell>
          <cell r="D2283" t="str">
            <v>KRD</v>
          </cell>
          <cell r="E2283" t="str">
            <v>Yield</v>
          </cell>
          <cell r="F2283" t="str">
            <v>FI-Govt Emerging Markets</v>
          </cell>
          <cell r="G2283" t="str">
            <v>FI-Other</v>
          </cell>
          <cell r="H2283" t="str">
            <v>RATES</v>
          </cell>
          <cell r="I2283" t="str">
            <v>Govt Emerging Markets</v>
          </cell>
        </row>
        <row r="2284">
          <cell r="A2284" t="str">
            <v>TWD_2yr</v>
          </cell>
          <cell r="B2284" t="str">
            <v>TWD 2Y</v>
          </cell>
          <cell r="C2284" t="str">
            <v>BRS_GOLD__2_RATES:BRS_GOLD__1_OtherIR-HUF_IR-PLN-CZK_IR:TWD_IR:TWD_2yr</v>
          </cell>
          <cell r="D2284" t="str">
            <v>KRD</v>
          </cell>
          <cell r="E2284" t="str">
            <v>Yield</v>
          </cell>
          <cell r="F2284" t="str">
            <v>FI-Govt Emerging Markets</v>
          </cell>
          <cell r="G2284" t="str">
            <v>FI-Other</v>
          </cell>
          <cell r="H2284" t="str">
            <v>RATES</v>
          </cell>
          <cell r="I2284" t="str">
            <v>Govt Emerging Markets</v>
          </cell>
        </row>
        <row r="2285">
          <cell r="A2285" t="str">
            <v>TWD_3yr</v>
          </cell>
          <cell r="B2285" t="str">
            <v>TWD 3Y</v>
          </cell>
          <cell r="C2285" t="str">
            <v>BRS_GOLD__2_RATES:BRS_GOLD__1_OtherIR-HUF_IR-PLN-CZK_IR:TWD_IR:TWD_3yr</v>
          </cell>
          <cell r="D2285" t="str">
            <v>KRD</v>
          </cell>
          <cell r="E2285" t="str">
            <v>Yield</v>
          </cell>
          <cell r="F2285" t="str">
            <v>FI-Govt Emerging Markets</v>
          </cell>
          <cell r="G2285" t="str">
            <v>FI-Other</v>
          </cell>
          <cell r="H2285" t="str">
            <v>RATES</v>
          </cell>
          <cell r="I2285" t="str">
            <v>Govt Emerging Markets</v>
          </cell>
        </row>
        <row r="2286">
          <cell r="A2286" t="str">
            <v>TWD_5yr</v>
          </cell>
          <cell r="B2286" t="str">
            <v>TWD 5Y</v>
          </cell>
          <cell r="C2286" t="str">
            <v>BRS_GOLD__2_RATES:BRS_GOLD__1_OtherIR-HUF_IR-PLN-CZK_IR:TWD_IR:TWD_5yr</v>
          </cell>
          <cell r="D2286" t="str">
            <v>KRD</v>
          </cell>
          <cell r="E2286" t="str">
            <v>Yield</v>
          </cell>
          <cell r="F2286" t="str">
            <v>FI-Govt Emerging Markets</v>
          </cell>
          <cell r="G2286" t="str">
            <v>FI-Other</v>
          </cell>
          <cell r="H2286" t="str">
            <v>RATES</v>
          </cell>
          <cell r="I2286" t="str">
            <v>Govt Emerging Markets</v>
          </cell>
        </row>
        <row r="2287">
          <cell r="A2287" t="str">
            <v>TWD_7yr</v>
          </cell>
          <cell r="B2287" t="str">
            <v>TWD 7Y</v>
          </cell>
          <cell r="C2287" t="str">
            <v>BRS_GOLD__2_RATES:BRS_GOLD__1_OtherIR-HUF_IR-PLN-CZK_IR:TWD_IR:TWD_7yr</v>
          </cell>
          <cell r="D2287" t="str">
            <v>KRD</v>
          </cell>
          <cell r="E2287" t="str">
            <v>Yield</v>
          </cell>
          <cell r="F2287" t="str">
            <v>FI-Govt Emerging Markets</v>
          </cell>
          <cell r="G2287" t="str">
            <v>FI-Other</v>
          </cell>
          <cell r="H2287" t="str">
            <v>RATES</v>
          </cell>
          <cell r="I2287" t="str">
            <v>Govt Emerging Markets</v>
          </cell>
        </row>
        <row r="2288">
          <cell r="A2288" t="str">
            <v>TWD_10yr</v>
          </cell>
          <cell r="B2288" t="str">
            <v>TWD 10Y</v>
          </cell>
          <cell r="C2288" t="str">
            <v>BRS_GOLD__2_RATES:BRS_GOLD__1_OtherIR-HUF_IR-PLN-CZK_IR:TWD_IR:TWD_10yr</v>
          </cell>
          <cell r="D2288" t="str">
            <v>KRD</v>
          </cell>
          <cell r="E2288" t="str">
            <v>Yield</v>
          </cell>
          <cell r="F2288" t="str">
            <v>FI-Govt Emerging Markets</v>
          </cell>
          <cell r="G2288" t="str">
            <v>FI-Other</v>
          </cell>
          <cell r="H2288" t="str">
            <v>RATES</v>
          </cell>
          <cell r="I2288" t="str">
            <v>Govt Emerging Markets</v>
          </cell>
        </row>
        <row r="2289">
          <cell r="A2289" t="str">
            <v>TWD_15yr</v>
          </cell>
          <cell r="B2289" t="str">
            <v>TWD 15Y</v>
          </cell>
          <cell r="C2289" t="str">
            <v>BRS_GOLD__2_RATES:BRS_GOLD__1_OtherIR-HUF_IR-PLN-CZK_IR:TWD_IR:TWD_15yr</v>
          </cell>
          <cell r="D2289" t="str">
            <v>KRD</v>
          </cell>
          <cell r="E2289" t="str">
            <v>Yield</v>
          </cell>
          <cell r="F2289" t="str">
            <v>FI-Govt Emerging Markets</v>
          </cell>
          <cell r="G2289" t="str">
            <v>FI-Other</v>
          </cell>
          <cell r="H2289" t="str">
            <v>RATES</v>
          </cell>
          <cell r="I2289" t="str">
            <v>Govt Emerging Markets</v>
          </cell>
        </row>
        <row r="2290">
          <cell r="A2290" t="str">
            <v>TWD_20yr</v>
          </cell>
          <cell r="B2290" t="str">
            <v>TWD 20Y</v>
          </cell>
          <cell r="C2290" t="str">
            <v>BRS_GOLD__2_RATES:BRS_GOLD__1_OtherIR-HUF_IR-PLN-CZK_IR:TWD_IR:TWD_20yr</v>
          </cell>
          <cell r="D2290" t="str">
            <v>KRD</v>
          </cell>
          <cell r="E2290" t="str">
            <v>Yield</v>
          </cell>
          <cell r="F2290" t="str">
            <v>FI-Govt Emerging Markets</v>
          </cell>
          <cell r="G2290" t="str">
            <v>FI-Other</v>
          </cell>
          <cell r="H2290" t="str">
            <v>RATES</v>
          </cell>
          <cell r="I2290" t="str">
            <v>Govt Emerging Markets</v>
          </cell>
        </row>
        <row r="2291">
          <cell r="A2291" t="str">
            <v>TWD_25yr</v>
          </cell>
          <cell r="B2291" t="str">
            <v>TWD 25Y</v>
          </cell>
          <cell r="C2291" t="str">
            <v>BRS_GOLD__2_RATES:BRS_GOLD__1_OtherIR-HUF_IR-PLN-CZK_IR:TWD_IR:TWD_25yr</v>
          </cell>
          <cell r="D2291" t="str">
            <v>KRD</v>
          </cell>
          <cell r="E2291" t="str">
            <v>Yield</v>
          </cell>
          <cell r="F2291" t="str">
            <v>FI-Govt Emerging Markets</v>
          </cell>
          <cell r="G2291" t="str">
            <v>FI-Other</v>
          </cell>
          <cell r="H2291" t="str">
            <v>RATES</v>
          </cell>
          <cell r="I2291" t="str">
            <v>Govt Emerging Markets</v>
          </cell>
        </row>
        <row r="2292">
          <cell r="A2292" t="str">
            <v>TWD_30yr</v>
          </cell>
          <cell r="B2292" t="str">
            <v>TWD 30Y</v>
          </cell>
          <cell r="C2292" t="str">
            <v>BRS_GOLD__2_RATES:BRS_GOLD__1_OtherIR-HUF_IR-PLN-CZK_IR:TWD_IR:TWD_30yr</v>
          </cell>
          <cell r="D2292" t="str">
            <v>KRD</v>
          </cell>
          <cell r="E2292" t="str">
            <v>Yield</v>
          </cell>
          <cell r="F2292" t="str">
            <v>FI-Govt Emerging Markets</v>
          </cell>
          <cell r="G2292" t="str">
            <v>FI-Other</v>
          </cell>
          <cell r="H2292" t="str">
            <v>RATES</v>
          </cell>
          <cell r="I2292" t="str">
            <v>Govt Emerging Markets</v>
          </cell>
        </row>
        <row r="2293">
          <cell r="A2293" t="str">
            <v>UYU_3m</v>
          </cell>
          <cell r="B2293" t="str">
            <v>UYU 3M</v>
          </cell>
          <cell r="C2293" t="str">
            <v>BRS_GOLD__2_RATES:BRS_GOLD__1_OtherIR-HUF_IR-PLN-CZK_IR:UYU_IR:UYU_3m</v>
          </cell>
          <cell r="D2293" t="str">
            <v>KRD</v>
          </cell>
          <cell r="E2293" t="str">
            <v>Yield</v>
          </cell>
          <cell r="F2293" t="str">
            <v>FI-Govt Emerging Markets</v>
          </cell>
          <cell r="G2293" t="str">
            <v>FI-Other</v>
          </cell>
          <cell r="H2293" t="str">
            <v>RATES</v>
          </cell>
          <cell r="I2293" t="str">
            <v>Govt Emerging Markets</v>
          </cell>
        </row>
        <row r="2294">
          <cell r="A2294" t="str">
            <v>UYU_1yr</v>
          </cell>
          <cell r="B2294" t="str">
            <v>UYU 1Y</v>
          </cell>
          <cell r="C2294" t="str">
            <v>BRS_GOLD__2_RATES:BRS_GOLD__1_OtherIR-HUF_IR-PLN-CZK_IR:UYU_IR:UYU_1yr</v>
          </cell>
          <cell r="D2294" t="str">
            <v>KRD</v>
          </cell>
          <cell r="E2294" t="str">
            <v>Yield</v>
          </cell>
          <cell r="F2294" t="str">
            <v>FI-Govt Emerging Markets</v>
          </cell>
          <cell r="G2294" t="str">
            <v>FI-Other</v>
          </cell>
          <cell r="H2294" t="str">
            <v>RATES</v>
          </cell>
          <cell r="I2294" t="str">
            <v>Govt Emerging Markets</v>
          </cell>
        </row>
        <row r="2295">
          <cell r="A2295" t="str">
            <v>UYU_2yr</v>
          </cell>
          <cell r="B2295" t="str">
            <v>UYU 2Y</v>
          </cell>
          <cell r="C2295" t="str">
            <v>BRS_GOLD__2_RATES:BRS_GOLD__1_OtherIR-HUF_IR-PLN-CZK_IR:UYU_IR:UYU_2yr</v>
          </cell>
          <cell r="D2295" t="str">
            <v>KRD</v>
          </cell>
          <cell r="E2295" t="str">
            <v>Yield</v>
          </cell>
          <cell r="F2295" t="str">
            <v>FI-Govt Emerging Markets</v>
          </cell>
          <cell r="G2295" t="str">
            <v>FI-Other</v>
          </cell>
          <cell r="H2295" t="str">
            <v>RATES</v>
          </cell>
          <cell r="I2295" t="str">
            <v>Govt Emerging Markets</v>
          </cell>
        </row>
        <row r="2296">
          <cell r="A2296" t="str">
            <v>UYU_3yr</v>
          </cell>
          <cell r="B2296" t="str">
            <v>UYU 3Y</v>
          </cell>
          <cell r="C2296" t="str">
            <v>BRS_GOLD__2_RATES:BRS_GOLD__1_OtherIR-HUF_IR-PLN-CZK_IR:UYU_IR:UYU_3yr</v>
          </cell>
          <cell r="D2296" t="str">
            <v>KRD</v>
          </cell>
          <cell r="E2296" t="str">
            <v>Yield</v>
          </cell>
          <cell r="F2296" t="str">
            <v>FI-Govt Emerging Markets</v>
          </cell>
          <cell r="G2296" t="str">
            <v>FI-Other</v>
          </cell>
          <cell r="H2296" t="str">
            <v>RATES</v>
          </cell>
          <cell r="I2296" t="str">
            <v>Govt Emerging Markets</v>
          </cell>
        </row>
        <row r="2297">
          <cell r="A2297" t="str">
            <v>UYU_5yr</v>
          </cell>
          <cell r="B2297" t="str">
            <v>UYU 5Y</v>
          </cell>
          <cell r="C2297" t="str">
            <v>BRS_GOLD__2_RATES:BRS_GOLD__1_OtherIR-HUF_IR-PLN-CZK_IR:UYU_IR:UYU_5yr</v>
          </cell>
          <cell r="D2297" t="str">
            <v>KRD</v>
          </cell>
          <cell r="E2297" t="str">
            <v>Yield</v>
          </cell>
          <cell r="F2297" t="str">
            <v>FI-Govt Emerging Markets</v>
          </cell>
          <cell r="G2297" t="str">
            <v>FI-Other</v>
          </cell>
          <cell r="H2297" t="str">
            <v>RATES</v>
          </cell>
          <cell r="I2297" t="str">
            <v>Govt Emerging Markets</v>
          </cell>
        </row>
        <row r="2298">
          <cell r="A2298" t="str">
            <v>UYU_7yr</v>
          </cell>
          <cell r="B2298" t="str">
            <v>UYU 7Y</v>
          </cell>
          <cell r="C2298" t="str">
            <v>BRS_GOLD__2_RATES:BRS_GOLD__1_OtherIR-HUF_IR-PLN-CZK_IR:UYU_IR:UYU_7yr</v>
          </cell>
          <cell r="D2298" t="str">
            <v>KRD</v>
          </cell>
          <cell r="E2298" t="str">
            <v>Yield</v>
          </cell>
          <cell r="F2298" t="str">
            <v>FI-Govt Emerging Markets</v>
          </cell>
          <cell r="G2298" t="str">
            <v>FI-Other</v>
          </cell>
          <cell r="H2298" t="str">
            <v>RATES</v>
          </cell>
          <cell r="I2298" t="str">
            <v>Govt Emerging Markets</v>
          </cell>
        </row>
        <row r="2299">
          <cell r="A2299" t="str">
            <v>UYU_10yr</v>
          </cell>
          <cell r="B2299" t="str">
            <v>UYU 10Y</v>
          </cell>
          <cell r="C2299" t="str">
            <v>BRS_GOLD__2_RATES:BRS_GOLD__1_OtherIR-HUF_IR-PLN-CZK_IR:UYU_IR:UYU_10yr</v>
          </cell>
          <cell r="D2299" t="str">
            <v>KRD</v>
          </cell>
          <cell r="E2299" t="str">
            <v>Yield</v>
          </cell>
          <cell r="F2299" t="str">
            <v>FI-Govt Emerging Markets</v>
          </cell>
          <cell r="G2299" t="str">
            <v>FI-Other</v>
          </cell>
          <cell r="H2299" t="str">
            <v>RATES</v>
          </cell>
          <cell r="I2299" t="str">
            <v>Govt Emerging Markets</v>
          </cell>
        </row>
        <row r="2300">
          <cell r="A2300" t="str">
            <v>UYU_15yr</v>
          </cell>
          <cell r="B2300" t="str">
            <v>UYU 15Y</v>
          </cell>
          <cell r="C2300" t="str">
            <v>BRS_GOLD__2_RATES:BRS_GOLD__1_OtherIR-HUF_IR-PLN-CZK_IR:UYU_IR:UYU_15yr</v>
          </cell>
          <cell r="D2300" t="str">
            <v>KRD</v>
          </cell>
          <cell r="E2300" t="str">
            <v>Yield</v>
          </cell>
          <cell r="F2300" t="str">
            <v>FI-Govt Emerging Markets</v>
          </cell>
          <cell r="G2300" t="str">
            <v>FI-Other</v>
          </cell>
          <cell r="H2300" t="str">
            <v>RATES</v>
          </cell>
          <cell r="I2300" t="str">
            <v>Govt Emerging Markets</v>
          </cell>
        </row>
        <row r="2301">
          <cell r="A2301" t="str">
            <v>UYU_20yr</v>
          </cell>
          <cell r="B2301" t="str">
            <v>UYU 20Y</v>
          </cell>
          <cell r="C2301" t="str">
            <v>BRS_GOLD__2_RATES:BRS_GOLD__1_OtherIR-HUF_IR-PLN-CZK_IR:UYU_IR:UYU_20yr</v>
          </cell>
          <cell r="D2301" t="str">
            <v>KRD</v>
          </cell>
          <cell r="E2301" t="str">
            <v>Yield</v>
          </cell>
          <cell r="F2301" t="str">
            <v>FI-Govt Emerging Markets</v>
          </cell>
          <cell r="G2301" t="str">
            <v>FI-Other</v>
          </cell>
          <cell r="H2301" t="str">
            <v>RATES</v>
          </cell>
          <cell r="I2301" t="str">
            <v>Govt Emerging Markets</v>
          </cell>
        </row>
        <row r="2302">
          <cell r="A2302" t="str">
            <v>UYU_25yr</v>
          </cell>
          <cell r="B2302" t="str">
            <v>UYU 25Y</v>
          </cell>
          <cell r="C2302" t="str">
            <v>BRS_GOLD__2_RATES:BRS_GOLD__1_OtherIR-HUF_IR-PLN-CZK_IR:UYU_IR:UYU_25yr</v>
          </cell>
          <cell r="D2302" t="str">
            <v>KRD</v>
          </cell>
          <cell r="E2302" t="str">
            <v>Yield</v>
          </cell>
          <cell r="F2302" t="str">
            <v>FI-Govt Emerging Markets</v>
          </cell>
          <cell r="G2302" t="str">
            <v>FI-Other</v>
          </cell>
          <cell r="H2302" t="str">
            <v>RATES</v>
          </cell>
          <cell r="I2302" t="str">
            <v>Govt Emerging Markets</v>
          </cell>
        </row>
        <row r="2303">
          <cell r="A2303" t="str">
            <v>UYU_30yr</v>
          </cell>
          <cell r="B2303" t="str">
            <v>UYU 30Y</v>
          </cell>
          <cell r="C2303" t="str">
            <v>BRS_GOLD__2_RATES:BRS_GOLD__1_OtherIR-HUF_IR-PLN-CZK_IR:UYU_IR:UYU_30yr</v>
          </cell>
          <cell r="D2303" t="str">
            <v>KRD</v>
          </cell>
          <cell r="E2303" t="str">
            <v>Yield</v>
          </cell>
          <cell r="F2303" t="str">
            <v>FI-Govt Emerging Markets</v>
          </cell>
          <cell r="G2303" t="str">
            <v>FI-Other</v>
          </cell>
          <cell r="H2303" t="str">
            <v>RATES</v>
          </cell>
          <cell r="I2303" t="str">
            <v>Govt Emerging Markets</v>
          </cell>
        </row>
        <row r="2304">
          <cell r="A2304" t="str">
            <v>VND_3m</v>
          </cell>
          <cell r="B2304" t="str">
            <v>VND 3M</v>
          </cell>
          <cell r="C2304" t="str">
            <v>BRS_GOLD__2_RATES:BRS_GOLD__1_OtherIR-HUF_IR-PLN-CZK_IR:VND_IR:VND_3m</v>
          </cell>
          <cell r="D2304" t="str">
            <v>KRD</v>
          </cell>
          <cell r="E2304" t="str">
            <v>Yield</v>
          </cell>
          <cell r="F2304" t="str">
            <v>FI-Govt Emerging Markets</v>
          </cell>
          <cell r="G2304" t="str">
            <v>FI-Other</v>
          </cell>
          <cell r="H2304" t="str">
            <v>RATES</v>
          </cell>
          <cell r="I2304" t="str">
            <v>Govt Emerging Markets</v>
          </cell>
        </row>
        <row r="2305">
          <cell r="A2305" t="str">
            <v>VND_1yr</v>
          </cell>
          <cell r="B2305" t="str">
            <v>VND 1Y</v>
          </cell>
          <cell r="C2305" t="str">
            <v>BRS_GOLD__2_RATES:BRS_GOLD__1_OtherIR-HUF_IR-PLN-CZK_IR:VND_IR:VND_1yr</v>
          </cell>
          <cell r="D2305" t="str">
            <v>KRD</v>
          </cell>
          <cell r="E2305" t="str">
            <v>Yield</v>
          </cell>
          <cell r="F2305" t="str">
            <v>FI-Govt Emerging Markets</v>
          </cell>
          <cell r="G2305" t="str">
            <v>FI-Other</v>
          </cell>
          <cell r="H2305" t="str">
            <v>RATES</v>
          </cell>
          <cell r="I2305" t="str">
            <v>Govt Emerging Markets</v>
          </cell>
        </row>
        <row r="2306">
          <cell r="A2306" t="str">
            <v>VND_2yr</v>
          </cell>
          <cell r="B2306" t="str">
            <v>VND 2Y</v>
          </cell>
          <cell r="C2306" t="str">
            <v>BRS_GOLD__2_RATES:BRS_GOLD__1_OtherIR-HUF_IR-PLN-CZK_IR:VND_IR:VND_2yr</v>
          </cell>
          <cell r="D2306" t="str">
            <v>KRD</v>
          </cell>
          <cell r="E2306" t="str">
            <v>Yield</v>
          </cell>
          <cell r="F2306" t="str">
            <v>FI-Govt Emerging Markets</v>
          </cell>
          <cell r="G2306" t="str">
            <v>FI-Other</v>
          </cell>
          <cell r="H2306" t="str">
            <v>RATES</v>
          </cell>
          <cell r="I2306" t="str">
            <v>Govt Emerging Markets</v>
          </cell>
        </row>
        <row r="2307">
          <cell r="A2307" t="str">
            <v>VND_3yr</v>
          </cell>
          <cell r="B2307" t="str">
            <v>VND 3Y</v>
          </cell>
          <cell r="C2307" t="str">
            <v>BRS_GOLD__2_RATES:BRS_GOLD__1_OtherIR-HUF_IR-PLN-CZK_IR:VND_IR:VND_3yr</v>
          </cell>
          <cell r="D2307" t="str">
            <v>KRD</v>
          </cell>
          <cell r="E2307" t="str">
            <v>Yield</v>
          </cell>
          <cell r="F2307" t="str">
            <v>FI-Govt Emerging Markets</v>
          </cell>
          <cell r="G2307" t="str">
            <v>FI-Other</v>
          </cell>
          <cell r="H2307" t="str">
            <v>RATES</v>
          </cell>
          <cell r="I2307" t="str">
            <v>Govt Emerging Markets</v>
          </cell>
        </row>
        <row r="2308">
          <cell r="A2308" t="str">
            <v>VND_5yr</v>
          </cell>
          <cell r="B2308" t="str">
            <v>VND 5Y</v>
          </cell>
          <cell r="C2308" t="str">
            <v>BRS_GOLD__2_RATES:BRS_GOLD__1_OtherIR-HUF_IR-PLN-CZK_IR:VND_IR:VND_5yr</v>
          </cell>
          <cell r="D2308" t="str">
            <v>KRD</v>
          </cell>
          <cell r="E2308" t="str">
            <v>Yield</v>
          </cell>
          <cell r="F2308" t="str">
            <v>FI-Govt Emerging Markets</v>
          </cell>
          <cell r="G2308" t="str">
            <v>FI-Other</v>
          </cell>
          <cell r="H2308" t="str">
            <v>RATES</v>
          </cell>
          <cell r="I2308" t="str">
            <v>Govt Emerging Markets</v>
          </cell>
        </row>
        <row r="2309">
          <cell r="A2309" t="str">
            <v>VND_7yr</v>
          </cell>
          <cell r="B2309" t="str">
            <v>VND 7Y</v>
          </cell>
          <cell r="C2309" t="str">
            <v>BRS_GOLD__2_RATES:BRS_GOLD__1_OtherIR-HUF_IR-PLN-CZK_IR:VND_IR:VND_7yr</v>
          </cell>
          <cell r="D2309" t="str">
            <v>KRD</v>
          </cell>
          <cell r="E2309" t="str">
            <v>Yield</v>
          </cell>
          <cell r="F2309" t="str">
            <v>FI-Govt Emerging Markets</v>
          </cell>
          <cell r="G2309" t="str">
            <v>FI-Other</v>
          </cell>
          <cell r="H2309" t="str">
            <v>RATES</v>
          </cell>
          <cell r="I2309" t="str">
            <v>Govt Emerging Markets</v>
          </cell>
        </row>
        <row r="2310">
          <cell r="A2310" t="str">
            <v>VND_10yr</v>
          </cell>
          <cell r="B2310" t="str">
            <v>VND 10Y</v>
          </cell>
          <cell r="C2310" t="str">
            <v>BRS_GOLD__2_RATES:BRS_GOLD__1_OtherIR-HUF_IR-PLN-CZK_IR:VND_IR:VND_10yr</v>
          </cell>
          <cell r="D2310" t="str">
            <v>KRD</v>
          </cell>
          <cell r="E2310" t="str">
            <v>Yield</v>
          </cell>
          <cell r="F2310" t="str">
            <v>FI-Govt Emerging Markets</v>
          </cell>
          <cell r="G2310" t="str">
            <v>FI-Other</v>
          </cell>
          <cell r="H2310" t="str">
            <v>RATES</v>
          </cell>
          <cell r="I2310" t="str">
            <v>Govt Emerging Markets</v>
          </cell>
        </row>
        <row r="2311">
          <cell r="A2311" t="str">
            <v>VND_15yr</v>
          </cell>
          <cell r="B2311" t="str">
            <v>VND 15Y</v>
          </cell>
          <cell r="C2311" t="str">
            <v>BRS_GOLD__2_RATES:BRS_GOLD__1_OtherIR-HUF_IR-PLN-CZK_IR:VND_IR:VND_15yr</v>
          </cell>
          <cell r="D2311" t="str">
            <v>KRD</v>
          </cell>
          <cell r="E2311" t="str">
            <v>Yield</v>
          </cell>
          <cell r="F2311" t="str">
            <v>FI-Govt Emerging Markets</v>
          </cell>
          <cell r="G2311" t="str">
            <v>FI-Other</v>
          </cell>
          <cell r="H2311" t="str">
            <v>RATES</v>
          </cell>
          <cell r="I2311" t="str">
            <v>Govt Emerging Markets</v>
          </cell>
        </row>
        <row r="2312">
          <cell r="A2312" t="str">
            <v>VND_20yr</v>
          </cell>
          <cell r="B2312" t="str">
            <v>VND 20Y</v>
          </cell>
          <cell r="C2312" t="str">
            <v>BRS_GOLD__2_RATES:BRS_GOLD__1_OtherIR-HUF_IR-PLN-CZK_IR:VND_IR:VND_20yr</v>
          </cell>
          <cell r="D2312" t="str">
            <v>KRD</v>
          </cell>
          <cell r="E2312" t="str">
            <v>Yield</v>
          </cell>
          <cell r="F2312" t="str">
            <v>FI-Govt Emerging Markets</v>
          </cell>
          <cell r="G2312" t="str">
            <v>FI-Other</v>
          </cell>
          <cell r="H2312" t="str">
            <v>RATES</v>
          </cell>
          <cell r="I2312" t="str">
            <v>Govt Emerging Markets</v>
          </cell>
        </row>
        <row r="2313">
          <cell r="A2313" t="str">
            <v>VND_25yr</v>
          </cell>
          <cell r="B2313" t="str">
            <v>VND 25Y</v>
          </cell>
          <cell r="C2313" t="str">
            <v>BRS_GOLD__2_RATES:BRS_GOLD__1_OtherIR-HUF_IR-PLN-CZK_IR:VND_IR:VND_25yr</v>
          </cell>
          <cell r="D2313" t="str">
            <v>KRD</v>
          </cell>
          <cell r="E2313" t="str">
            <v>Yield</v>
          </cell>
          <cell r="F2313" t="str">
            <v>FI-Govt Emerging Markets</v>
          </cell>
          <cell r="G2313" t="str">
            <v>FI-Other</v>
          </cell>
          <cell r="H2313" t="str">
            <v>RATES</v>
          </cell>
          <cell r="I2313" t="str">
            <v>Govt Emerging Markets</v>
          </cell>
        </row>
        <row r="2314">
          <cell r="A2314" t="str">
            <v>VND_30yr</v>
          </cell>
          <cell r="B2314" t="str">
            <v>VND 30Y</v>
          </cell>
          <cell r="C2314" t="str">
            <v>BRS_GOLD__2_RATES:BRS_GOLD__1_OtherIR-HUF_IR-PLN-CZK_IR:VND_IR:VND_30yr</v>
          </cell>
          <cell r="D2314" t="str">
            <v>KRD</v>
          </cell>
          <cell r="E2314" t="str">
            <v>Yield</v>
          </cell>
          <cell r="F2314" t="str">
            <v>FI-Govt Emerging Markets</v>
          </cell>
          <cell r="G2314" t="str">
            <v>FI-Other</v>
          </cell>
          <cell r="H2314" t="str">
            <v>RATES</v>
          </cell>
          <cell r="I2314" t="str">
            <v>Govt Emerging Markets</v>
          </cell>
        </row>
        <row r="2315">
          <cell r="A2315" t="str">
            <v>ZAR_3m</v>
          </cell>
          <cell r="B2315" t="str">
            <v>ZAR 3M</v>
          </cell>
          <cell r="C2315" t="str">
            <v>BRS_GOLD__2_RATES:BRS_GOLD__1_OtherIR-HUF_IR-PLN-CZK_IR:ZAR_IR:ZAR_3m</v>
          </cell>
          <cell r="D2315" t="str">
            <v>KRD</v>
          </cell>
          <cell r="E2315" t="str">
            <v>Yield</v>
          </cell>
          <cell r="F2315" t="str">
            <v>FI-Govt Emerging Markets</v>
          </cell>
          <cell r="G2315" t="str">
            <v>FI-Other</v>
          </cell>
          <cell r="H2315" t="str">
            <v>RATES</v>
          </cell>
          <cell r="I2315" t="str">
            <v>Govt Emerging Markets</v>
          </cell>
        </row>
        <row r="2316">
          <cell r="A2316" t="str">
            <v>ZAR_1yr</v>
          </cell>
          <cell r="B2316" t="str">
            <v>ZAR 1Y</v>
          </cell>
          <cell r="C2316" t="str">
            <v>BRS_GOLD__2_RATES:BRS_GOLD__1_OtherIR-HUF_IR-PLN-CZK_IR:ZAR_IR:ZAR_1yr</v>
          </cell>
          <cell r="D2316" t="str">
            <v>KRD</v>
          </cell>
          <cell r="E2316" t="str">
            <v>Yield</v>
          </cell>
          <cell r="F2316" t="str">
            <v>FI-Govt Emerging Markets</v>
          </cell>
          <cell r="G2316" t="str">
            <v>FI-Other</v>
          </cell>
          <cell r="H2316" t="str">
            <v>RATES</v>
          </cell>
          <cell r="I2316" t="str">
            <v>Govt Emerging Markets</v>
          </cell>
        </row>
        <row r="2317">
          <cell r="A2317" t="str">
            <v>ZAR_2yr</v>
          </cell>
          <cell r="B2317" t="str">
            <v>ZAR 2Y</v>
          </cell>
          <cell r="C2317" t="str">
            <v>BRS_GOLD__2_RATES:BRS_GOLD__1_OtherIR-HUF_IR-PLN-CZK_IR:ZAR_IR:ZAR_2yr</v>
          </cell>
          <cell r="D2317" t="str">
            <v>KRD</v>
          </cell>
          <cell r="E2317" t="str">
            <v>Yield</v>
          </cell>
          <cell r="F2317" t="str">
            <v>FI-Govt Emerging Markets</v>
          </cell>
          <cell r="G2317" t="str">
            <v>FI-Other</v>
          </cell>
          <cell r="H2317" t="str">
            <v>RATES</v>
          </cell>
          <cell r="I2317" t="str">
            <v>Govt Emerging Markets</v>
          </cell>
        </row>
        <row r="2318">
          <cell r="A2318" t="str">
            <v>ZAR_3yr</v>
          </cell>
          <cell r="B2318" t="str">
            <v>ZAR 3Y</v>
          </cell>
          <cell r="C2318" t="str">
            <v>BRS_GOLD__2_RATES:BRS_GOLD__1_OtherIR-HUF_IR-PLN-CZK_IR:ZAR_IR:ZAR_3yr</v>
          </cell>
          <cell r="D2318" t="str">
            <v>KRD</v>
          </cell>
          <cell r="E2318" t="str">
            <v>Yield</v>
          </cell>
          <cell r="F2318" t="str">
            <v>FI-Govt Emerging Markets</v>
          </cell>
          <cell r="G2318" t="str">
            <v>FI-Other</v>
          </cell>
          <cell r="H2318" t="str">
            <v>RATES</v>
          </cell>
          <cell r="I2318" t="str">
            <v>Govt Emerging Markets</v>
          </cell>
        </row>
        <row r="2319">
          <cell r="A2319" t="str">
            <v>ZAR_5yr</v>
          </cell>
          <cell r="B2319" t="str">
            <v>ZAR 5Y</v>
          </cell>
          <cell r="C2319" t="str">
            <v>BRS_GOLD__2_RATES:BRS_GOLD__1_OtherIR-HUF_IR-PLN-CZK_IR:ZAR_IR:ZAR_5yr</v>
          </cell>
          <cell r="D2319" t="str">
            <v>KRD</v>
          </cell>
          <cell r="E2319" t="str">
            <v>Yield</v>
          </cell>
          <cell r="F2319" t="str">
            <v>FI-Govt Emerging Markets</v>
          </cell>
          <cell r="G2319" t="str">
            <v>FI-Other</v>
          </cell>
          <cell r="H2319" t="str">
            <v>RATES</v>
          </cell>
          <cell r="I2319" t="str">
            <v>Govt Emerging Markets</v>
          </cell>
        </row>
        <row r="2320">
          <cell r="A2320" t="str">
            <v>ZAR_7yr</v>
          </cell>
          <cell r="B2320" t="str">
            <v>ZAR 7Y</v>
          </cell>
          <cell r="C2320" t="str">
            <v>BRS_GOLD__2_RATES:BRS_GOLD__1_OtherIR-HUF_IR-PLN-CZK_IR:ZAR_IR:ZAR_7yr</v>
          </cell>
          <cell r="D2320" t="str">
            <v>KRD</v>
          </cell>
          <cell r="E2320" t="str">
            <v>Yield</v>
          </cell>
          <cell r="F2320" t="str">
            <v>FI-Govt Emerging Markets</v>
          </cell>
          <cell r="G2320" t="str">
            <v>FI-Other</v>
          </cell>
          <cell r="H2320" t="str">
            <v>RATES</v>
          </cell>
          <cell r="I2320" t="str">
            <v>Govt Emerging Markets</v>
          </cell>
        </row>
        <row r="2321">
          <cell r="A2321" t="str">
            <v>ZAR_10yr</v>
          </cell>
          <cell r="B2321" t="str">
            <v>ZAR 10Y</v>
          </cell>
          <cell r="C2321" t="str">
            <v>BRS_GOLD__2_RATES:BRS_GOLD__1_OtherIR-HUF_IR-PLN-CZK_IR:ZAR_IR:ZAR_10yr</v>
          </cell>
          <cell r="D2321" t="str">
            <v>KRD</v>
          </cell>
          <cell r="E2321" t="str">
            <v>Yield</v>
          </cell>
          <cell r="F2321" t="str">
            <v>FI-Govt Emerging Markets</v>
          </cell>
          <cell r="G2321" t="str">
            <v>FI-Other</v>
          </cell>
          <cell r="H2321" t="str">
            <v>RATES</v>
          </cell>
          <cell r="I2321" t="str">
            <v>Govt Emerging Markets</v>
          </cell>
        </row>
        <row r="2322">
          <cell r="A2322" t="str">
            <v>ZAR_15yr</v>
          </cell>
          <cell r="B2322" t="str">
            <v>ZAR 15Y</v>
          </cell>
          <cell r="C2322" t="str">
            <v>BRS_GOLD__2_RATES:BRS_GOLD__1_OtherIR-HUF_IR-PLN-CZK_IR:ZAR_IR:ZAR_15yr</v>
          </cell>
          <cell r="D2322" t="str">
            <v>KRD</v>
          </cell>
          <cell r="E2322" t="str">
            <v>Yield</v>
          </cell>
          <cell r="F2322" t="str">
            <v>FI-Govt Emerging Markets</v>
          </cell>
          <cell r="G2322" t="str">
            <v>FI-Other</v>
          </cell>
          <cell r="H2322" t="str">
            <v>RATES</v>
          </cell>
          <cell r="I2322" t="str">
            <v>Govt Emerging Markets</v>
          </cell>
        </row>
        <row r="2323">
          <cell r="A2323" t="str">
            <v>ZAR_20yr</v>
          </cell>
          <cell r="B2323" t="str">
            <v>ZAR 20Y</v>
          </cell>
          <cell r="C2323" t="str">
            <v>BRS_GOLD__2_RATES:BRS_GOLD__1_OtherIR-HUF_IR-PLN-CZK_IR:ZAR_IR:ZAR_20yr</v>
          </cell>
          <cell r="D2323" t="str">
            <v>KRD</v>
          </cell>
          <cell r="E2323" t="str">
            <v>Yield</v>
          </cell>
          <cell r="F2323" t="str">
            <v>FI-Govt Emerging Markets</v>
          </cell>
          <cell r="G2323" t="str">
            <v>FI-Other</v>
          </cell>
          <cell r="H2323" t="str">
            <v>RATES</v>
          </cell>
          <cell r="I2323" t="str">
            <v>Govt Emerging Markets</v>
          </cell>
        </row>
        <row r="2324">
          <cell r="A2324" t="str">
            <v>ZAR_25yr</v>
          </cell>
          <cell r="B2324" t="str">
            <v>ZAR 25Y</v>
          </cell>
          <cell r="C2324" t="str">
            <v>BRS_GOLD__2_RATES:BRS_GOLD__1_OtherIR-HUF_IR-PLN-CZK_IR:ZAR_IR:ZAR_25yr</v>
          </cell>
          <cell r="D2324" t="str">
            <v>KRD</v>
          </cell>
          <cell r="E2324" t="str">
            <v>Yield</v>
          </cell>
          <cell r="F2324" t="str">
            <v>FI-Govt Emerging Markets</v>
          </cell>
          <cell r="G2324" t="str">
            <v>FI-Other</v>
          </cell>
          <cell r="H2324" t="str">
            <v>RATES</v>
          </cell>
          <cell r="I2324" t="str">
            <v>Govt Emerging Markets</v>
          </cell>
        </row>
        <row r="2325">
          <cell r="A2325" t="str">
            <v>ZAR_30yr</v>
          </cell>
          <cell r="B2325" t="str">
            <v>ZAR 30Y</v>
          </cell>
          <cell r="C2325" t="str">
            <v>BRS_GOLD__2_RATES:BRS_GOLD__1_OtherIR-HUF_IR-PLN-CZK_IR:ZAR_IR:ZAR_30yr</v>
          </cell>
          <cell r="D2325" t="str">
            <v>KRD</v>
          </cell>
          <cell r="E2325" t="str">
            <v>Yield</v>
          </cell>
          <cell r="F2325" t="str">
            <v>FI-Govt Emerging Markets</v>
          </cell>
          <cell r="G2325" t="str">
            <v>FI-Other</v>
          </cell>
          <cell r="H2325" t="str">
            <v>RATES</v>
          </cell>
          <cell r="I2325" t="str">
            <v>Govt Emerging Markets</v>
          </cell>
        </row>
        <row r="2326">
          <cell r="A2326" t="str">
            <v>ALL_3m</v>
          </cell>
          <cell r="B2326" t="str">
            <v>other ccy 3M</v>
          </cell>
          <cell r="C2326" t="str">
            <v>BRS_GOLD__2_RATES:BRS_GOLD__1_OtherIR-HUF_IR-PLN-CZK_IR:ALL_GOV:ALL_3m</v>
          </cell>
          <cell r="D2326" t="str">
            <v>KRD</v>
          </cell>
          <cell r="E2326" t="str">
            <v>Yield</v>
          </cell>
          <cell r="F2326" t="str">
            <v>FI-Govt Emerging Markets</v>
          </cell>
          <cell r="G2326" t="str">
            <v>FI-Other</v>
          </cell>
          <cell r="H2326" t="str">
            <v>RATES</v>
          </cell>
          <cell r="I2326" t="str">
            <v>Govt Emerging Markets</v>
          </cell>
        </row>
        <row r="2327">
          <cell r="A2327" t="str">
            <v>ALL_1yr</v>
          </cell>
          <cell r="B2327" t="str">
            <v>other ccy 1Y</v>
          </cell>
          <cell r="C2327" t="str">
            <v>BRS_GOLD__2_RATES:BRS_GOLD__1_OtherIR-HUF_IR-PLN-CZK_IR:ALL_GOV:ALL_1yr</v>
          </cell>
          <cell r="D2327" t="str">
            <v>KRD</v>
          </cell>
          <cell r="E2327" t="str">
            <v>Yield</v>
          </cell>
          <cell r="F2327" t="str">
            <v>FI-Govt Emerging Markets</v>
          </cell>
          <cell r="G2327" t="str">
            <v>FI-Other</v>
          </cell>
          <cell r="H2327" t="str">
            <v>RATES</v>
          </cell>
          <cell r="I2327" t="str">
            <v>Govt Emerging Markets</v>
          </cell>
        </row>
        <row r="2328">
          <cell r="A2328" t="str">
            <v>ALL_2yr</v>
          </cell>
          <cell r="B2328" t="str">
            <v>other ccy 2Y</v>
          </cell>
          <cell r="C2328" t="str">
            <v>BRS_GOLD__2_RATES:BRS_GOLD__1_OtherIR-HUF_IR-PLN-CZK_IR:ALL_GOV:ALL_2yr</v>
          </cell>
          <cell r="D2328" t="str">
            <v>KRD</v>
          </cell>
          <cell r="E2328" t="str">
            <v>Yield</v>
          </cell>
          <cell r="F2328" t="str">
            <v>FI-Govt Emerging Markets</v>
          </cell>
          <cell r="G2328" t="str">
            <v>FI-Other</v>
          </cell>
          <cell r="H2328" t="str">
            <v>RATES</v>
          </cell>
          <cell r="I2328" t="str">
            <v>Govt Emerging Markets</v>
          </cell>
        </row>
        <row r="2329">
          <cell r="A2329" t="str">
            <v>ALL_3yr</v>
          </cell>
          <cell r="B2329" t="str">
            <v>other ccy 3Y</v>
          </cell>
          <cell r="C2329" t="str">
            <v>BRS_GOLD__2_RATES:BRS_GOLD__1_OtherIR-HUF_IR-PLN-CZK_IR:ALL_GOV:ALL_3yr</v>
          </cell>
          <cell r="D2329" t="str">
            <v>KRD</v>
          </cell>
          <cell r="E2329" t="str">
            <v>Yield</v>
          </cell>
          <cell r="F2329" t="str">
            <v>FI-Govt Emerging Markets</v>
          </cell>
          <cell r="G2329" t="str">
            <v>FI-Other</v>
          </cell>
          <cell r="H2329" t="str">
            <v>RATES</v>
          </cell>
          <cell r="I2329" t="str">
            <v>Govt Emerging Markets</v>
          </cell>
        </row>
        <row r="2330">
          <cell r="A2330" t="str">
            <v>ALL_5yr</v>
          </cell>
          <cell r="B2330" t="str">
            <v>other ccy 5Y</v>
          </cell>
          <cell r="C2330" t="str">
            <v>BRS_GOLD__2_RATES:BRS_GOLD__1_OtherIR-HUF_IR-PLN-CZK_IR:ALL_GOV:ALL_5yr</v>
          </cell>
          <cell r="D2330" t="str">
            <v>KRD</v>
          </cell>
          <cell r="E2330" t="str">
            <v>Yield</v>
          </cell>
          <cell r="F2330" t="str">
            <v>FI-Govt Emerging Markets</v>
          </cell>
          <cell r="G2330" t="str">
            <v>FI-Other</v>
          </cell>
          <cell r="H2330" t="str">
            <v>RATES</v>
          </cell>
          <cell r="I2330" t="str">
            <v>Govt Emerging Markets</v>
          </cell>
        </row>
        <row r="2331">
          <cell r="A2331" t="str">
            <v>ALL_7yr</v>
          </cell>
          <cell r="B2331" t="str">
            <v>other ccy 7Y</v>
          </cell>
          <cell r="C2331" t="str">
            <v>BRS_GOLD__2_RATES:BRS_GOLD__1_OtherIR-HUF_IR-PLN-CZK_IR:ALL_GOV:ALL_7yr</v>
          </cell>
          <cell r="D2331" t="str">
            <v>KRD</v>
          </cell>
          <cell r="E2331" t="str">
            <v>Yield</v>
          </cell>
          <cell r="F2331" t="str">
            <v>FI-Govt Emerging Markets</v>
          </cell>
          <cell r="G2331" t="str">
            <v>FI-Other</v>
          </cell>
          <cell r="H2331" t="str">
            <v>RATES</v>
          </cell>
          <cell r="I2331" t="str">
            <v>Govt Emerging Markets</v>
          </cell>
        </row>
        <row r="2332">
          <cell r="A2332" t="str">
            <v>ALL_10yr</v>
          </cell>
          <cell r="B2332" t="str">
            <v>other ccy 10Y</v>
          </cell>
          <cell r="C2332" t="str">
            <v>BRS_GOLD__2_RATES:BRS_GOLD__1_OtherIR-HUF_IR-PLN-CZK_IR:ALL_GOV:ALL_10yr</v>
          </cell>
          <cell r="D2332" t="str">
            <v>KRD</v>
          </cell>
          <cell r="E2332" t="str">
            <v>Yield</v>
          </cell>
          <cell r="F2332" t="str">
            <v>FI-Govt Emerging Markets</v>
          </cell>
          <cell r="G2332" t="str">
            <v>FI-Other</v>
          </cell>
          <cell r="H2332" t="str">
            <v>RATES</v>
          </cell>
          <cell r="I2332" t="str">
            <v>Govt Emerging Markets</v>
          </cell>
        </row>
        <row r="2333">
          <cell r="A2333" t="str">
            <v>ALL_15yr</v>
          </cell>
          <cell r="B2333" t="str">
            <v>other ccy 15Y</v>
          </cell>
          <cell r="C2333" t="str">
            <v>BRS_GOLD__2_RATES:BRS_GOLD__1_OtherIR-HUF_IR-PLN-CZK_IR:ALL_GOV:ALL_15yr</v>
          </cell>
          <cell r="D2333" t="str">
            <v>KRD</v>
          </cell>
          <cell r="E2333" t="str">
            <v>Yield</v>
          </cell>
          <cell r="F2333" t="str">
            <v>FI-Govt Emerging Markets</v>
          </cell>
          <cell r="G2333" t="str">
            <v>FI-Other</v>
          </cell>
          <cell r="H2333" t="str">
            <v>RATES</v>
          </cell>
          <cell r="I2333" t="str">
            <v>Govt Emerging Markets</v>
          </cell>
        </row>
        <row r="2334">
          <cell r="A2334" t="str">
            <v>ALL_20yr</v>
          </cell>
          <cell r="B2334" t="str">
            <v>other ccy 20Y</v>
          </cell>
          <cell r="C2334" t="str">
            <v>BRS_GOLD__2_RATES:BRS_GOLD__1_OtherIR-HUF_IR-PLN-CZK_IR:ALL_GOV:ALL_20yr</v>
          </cell>
          <cell r="D2334" t="str">
            <v>KRD</v>
          </cell>
          <cell r="E2334" t="str">
            <v>Yield</v>
          </cell>
          <cell r="F2334" t="str">
            <v>FI-Govt Emerging Markets</v>
          </cell>
          <cell r="G2334" t="str">
            <v>FI-Other</v>
          </cell>
          <cell r="H2334" t="str">
            <v>RATES</v>
          </cell>
          <cell r="I2334" t="str">
            <v>Govt Emerging Markets</v>
          </cell>
        </row>
        <row r="2335">
          <cell r="A2335" t="str">
            <v>ALL_25yr</v>
          </cell>
          <cell r="B2335" t="str">
            <v>other ccy 25Y</v>
          </cell>
          <cell r="C2335" t="str">
            <v>BRS_GOLD__2_RATES:BRS_GOLD__1_OtherIR-HUF_IR-PLN-CZK_IR:ALL_GOV:ALL_25yr</v>
          </cell>
          <cell r="D2335" t="str">
            <v>KRD</v>
          </cell>
          <cell r="E2335" t="str">
            <v>Yield</v>
          </cell>
          <cell r="F2335" t="str">
            <v>FI-Govt Emerging Markets</v>
          </cell>
          <cell r="G2335" t="str">
            <v>FI-Other</v>
          </cell>
          <cell r="H2335" t="str">
            <v>RATES</v>
          </cell>
          <cell r="I2335" t="str">
            <v>Govt Emerging Markets</v>
          </cell>
        </row>
        <row r="2336">
          <cell r="A2336" t="str">
            <v>ALL_30yr</v>
          </cell>
          <cell r="B2336" t="str">
            <v>other ccy 30Y</v>
          </cell>
          <cell r="C2336" t="str">
            <v>BRS_GOLD__2_RATES:BRS_GOLD__1_OtherIR-HUF_IR-PLN-CZK_IR:ALL_GOV:ALL_30yr</v>
          </cell>
          <cell r="D2336" t="str">
            <v>KRD</v>
          </cell>
          <cell r="E2336" t="str">
            <v>Yield</v>
          </cell>
          <cell r="F2336" t="str">
            <v>FI-Govt Emerging Markets</v>
          </cell>
          <cell r="G2336" t="str">
            <v>FI-Other</v>
          </cell>
          <cell r="H2336" t="str">
            <v>RATES</v>
          </cell>
          <cell r="I2336" t="str">
            <v>Govt Emerging Markets</v>
          </cell>
        </row>
        <row r="2337">
          <cell r="A2337" t="str">
            <v>MXV_3m</v>
          </cell>
          <cell r="B2337" t="str">
            <v>MXV 3M</v>
          </cell>
          <cell r="C2337" t="str">
            <v>BRS_GOLD__2_RATES:BRS_GOLD__1_OtherIR-HUF_IR-PLN-CZK_IR:BRS_GOLD__1_MXVIR:MXV_3m</v>
          </cell>
          <cell r="D2337" t="str">
            <v>KRD</v>
          </cell>
          <cell r="E2337" t="str">
            <v>Yield</v>
          </cell>
          <cell r="F2337" t="str">
            <v>FI-Govt Emerging Markets</v>
          </cell>
          <cell r="G2337" t="str">
            <v>FI-Other</v>
          </cell>
          <cell r="H2337" t="str">
            <v>RATES</v>
          </cell>
          <cell r="I2337" t="str">
            <v>Govt Emerging Markets</v>
          </cell>
        </row>
        <row r="2338">
          <cell r="A2338" t="str">
            <v>MXV_1yr</v>
          </cell>
          <cell r="B2338" t="str">
            <v>MXV 1Y</v>
          </cell>
          <cell r="C2338" t="str">
            <v>BRS_GOLD__2_RATES:BRS_GOLD__1_OtherIR-HUF_IR-PLN-CZK_IR:BRS_GOLD__1_MXVIR:MXV_1yr</v>
          </cell>
          <cell r="D2338" t="str">
            <v>KRD</v>
          </cell>
          <cell r="E2338" t="str">
            <v>Yield</v>
          </cell>
          <cell r="F2338" t="str">
            <v>FI-Govt Emerging Markets</v>
          </cell>
          <cell r="G2338" t="str">
            <v>FI-Other</v>
          </cell>
          <cell r="H2338" t="str">
            <v>RATES</v>
          </cell>
          <cell r="I2338" t="str">
            <v>Govt Emerging Markets</v>
          </cell>
        </row>
        <row r="2339">
          <cell r="A2339" t="str">
            <v>MXV_2yr</v>
          </cell>
          <cell r="B2339" t="str">
            <v>MXV 2Y</v>
          </cell>
          <cell r="C2339" t="str">
            <v>BRS_GOLD__2_RATES:BRS_GOLD__1_OtherIR-HUF_IR-PLN-CZK_IR:BRS_GOLD__1_MXVIR:MXV_2yr</v>
          </cell>
          <cell r="D2339" t="str">
            <v>KRD</v>
          </cell>
          <cell r="E2339" t="str">
            <v>Yield</v>
          </cell>
          <cell r="F2339" t="str">
            <v>FI-Govt Emerging Markets</v>
          </cell>
          <cell r="G2339" t="str">
            <v>FI-Other</v>
          </cell>
          <cell r="H2339" t="str">
            <v>RATES</v>
          </cell>
          <cell r="I2339" t="str">
            <v>Govt Emerging Markets</v>
          </cell>
        </row>
        <row r="2340">
          <cell r="A2340" t="str">
            <v>MXV_3yr</v>
          </cell>
          <cell r="B2340" t="str">
            <v>MXV 3Y</v>
          </cell>
          <cell r="C2340" t="str">
            <v>BRS_GOLD__2_RATES:BRS_GOLD__1_OtherIR-HUF_IR-PLN-CZK_IR:BRS_GOLD__1_MXVIR:MXV_3yr</v>
          </cell>
          <cell r="D2340" t="str">
            <v>KRD</v>
          </cell>
          <cell r="E2340" t="str">
            <v>Yield</v>
          </cell>
          <cell r="F2340" t="str">
            <v>FI-Govt Emerging Markets</v>
          </cell>
          <cell r="G2340" t="str">
            <v>FI-Other</v>
          </cell>
          <cell r="H2340" t="str">
            <v>RATES</v>
          </cell>
          <cell r="I2340" t="str">
            <v>Govt Emerging Markets</v>
          </cell>
        </row>
        <row r="2341">
          <cell r="A2341" t="str">
            <v>MXV_5yr</v>
          </cell>
          <cell r="B2341" t="str">
            <v>MXV 5Y</v>
          </cell>
          <cell r="C2341" t="str">
            <v>BRS_GOLD__2_RATES:BRS_GOLD__1_OtherIR-HUF_IR-PLN-CZK_IR:BRS_GOLD__1_MXVIR:MXV_5yr</v>
          </cell>
          <cell r="D2341" t="str">
            <v>KRD</v>
          </cell>
          <cell r="E2341" t="str">
            <v>Yield</v>
          </cell>
          <cell r="F2341" t="str">
            <v>FI-Govt Emerging Markets</v>
          </cell>
          <cell r="G2341" t="str">
            <v>FI-Other</v>
          </cell>
          <cell r="H2341" t="str">
            <v>RATES</v>
          </cell>
          <cell r="I2341" t="str">
            <v>Govt Emerging Markets</v>
          </cell>
        </row>
        <row r="2342">
          <cell r="A2342" t="str">
            <v>MXV_7yr</v>
          </cell>
          <cell r="B2342" t="str">
            <v>MXV 7Y</v>
          </cell>
          <cell r="C2342" t="str">
            <v>BRS_GOLD__2_RATES:BRS_GOLD__1_OtherIR-HUF_IR-PLN-CZK_IR:BRS_GOLD__1_MXVIR:MXV_7yr</v>
          </cell>
          <cell r="D2342" t="str">
            <v>KRD</v>
          </cell>
          <cell r="E2342" t="str">
            <v>Yield</v>
          </cell>
          <cell r="F2342" t="str">
            <v>FI-Govt Emerging Markets</v>
          </cell>
          <cell r="G2342" t="str">
            <v>FI-Other</v>
          </cell>
          <cell r="H2342" t="str">
            <v>RATES</v>
          </cell>
          <cell r="I2342" t="str">
            <v>Govt Emerging Markets</v>
          </cell>
        </row>
        <row r="2343">
          <cell r="A2343" t="str">
            <v>MXV_10yr</v>
          </cell>
          <cell r="B2343" t="str">
            <v>MXV 10Y</v>
          </cell>
          <cell r="C2343" t="str">
            <v>BRS_GOLD__2_RATES:BRS_GOLD__1_OtherIR-HUF_IR-PLN-CZK_IR:BRS_GOLD__1_MXVIR:MXV_10yr</v>
          </cell>
          <cell r="D2343" t="str">
            <v>KRD</v>
          </cell>
          <cell r="E2343" t="str">
            <v>Yield</v>
          </cell>
          <cell r="F2343" t="str">
            <v>FI-Govt Emerging Markets</v>
          </cell>
          <cell r="G2343" t="str">
            <v>FI-Other</v>
          </cell>
          <cell r="H2343" t="str">
            <v>RATES</v>
          </cell>
          <cell r="I2343" t="str">
            <v>Govt Emerging Markets</v>
          </cell>
        </row>
        <row r="2344">
          <cell r="A2344" t="str">
            <v>MXV_15yr</v>
          </cell>
          <cell r="B2344" t="str">
            <v>MXV 15Y</v>
          </cell>
          <cell r="C2344" t="str">
            <v>BRS_GOLD__2_RATES:BRS_GOLD__1_OtherIR-HUF_IR-PLN-CZK_IR:BRS_GOLD__1_MXVIR:MXV_15yr</v>
          </cell>
          <cell r="D2344" t="str">
            <v>KRD</v>
          </cell>
          <cell r="E2344" t="str">
            <v>Yield</v>
          </cell>
          <cell r="F2344" t="str">
            <v>FI-Govt Emerging Markets</v>
          </cell>
          <cell r="G2344" t="str">
            <v>FI-Other</v>
          </cell>
          <cell r="H2344" t="str">
            <v>RATES</v>
          </cell>
          <cell r="I2344" t="str">
            <v>Govt Emerging Markets</v>
          </cell>
        </row>
        <row r="2345">
          <cell r="A2345" t="str">
            <v>MXV_20yr</v>
          </cell>
          <cell r="B2345" t="str">
            <v>MXV 20Y</v>
          </cell>
          <cell r="C2345" t="str">
            <v>BRS_GOLD__2_RATES:BRS_GOLD__1_OtherIR-HUF_IR-PLN-CZK_IR:BRS_GOLD__1_MXVIR:MXV_20yr</v>
          </cell>
          <cell r="D2345" t="str">
            <v>KRD</v>
          </cell>
          <cell r="E2345" t="str">
            <v>Yield</v>
          </cell>
          <cell r="F2345" t="str">
            <v>FI-Govt Emerging Markets</v>
          </cell>
          <cell r="G2345" t="str">
            <v>FI-Other</v>
          </cell>
          <cell r="H2345" t="str">
            <v>RATES</v>
          </cell>
          <cell r="I2345" t="str">
            <v>Govt Emerging Markets</v>
          </cell>
        </row>
        <row r="2346">
          <cell r="A2346" t="str">
            <v>MXV_25yr</v>
          </cell>
          <cell r="B2346" t="str">
            <v>MXV 25Y</v>
          </cell>
          <cell r="C2346" t="str">
            <v>BRS_GOLD__2_RATES:BRS_GOLD__1_OtherIR-HUF_IR-PLN-CZK_IR:BRS_GOLD__1_MXVIR:MXV_25yr</v>
          </cell>
          <cell r="D2346" t="str">
            <v>KRD</v>
          </cell>
          <cell r="E2346" t="str">
            <v>Yield</v>
          </cell>
          <cell r="F2346" t="str">
            <v>FI-Govt Emerging Markets</v>
          </cell>
          <cell r="G2346" t="str">
            <v>FI-Other</v>
          </cell>
          <cell r="H2346" t="str">
            <v>RATES</v>
          </cell>
          <cell r="I2346" t="str">
            <v>Govt Emerging Markets</v>
          </cell>
        </row>
        <row r="2347">
          <cell r="A2347" t="str">
            <v>MXV_30yr</v>
          </cell>
          <cell r="B2347" t="str">
            <v>MXV 30Y</v>
          </cell>
          <cell r="C2347" t="str">
            <v>BRS_GOLD__2_RATES:BRS_GOLD__1_OtherIR-HUF_IR-PLN-CZK_IR:BRS_GOLD__1_MXVIR:MXV_30yr</v>
          </cell>
          <cell r="D2347" t="str">
            <v>KRD</v>
          </cell>
          <cell r="E2347" t="str">
            <v>Yield</v>
          </cell>
          <cell r="F2347" t="str">
            <v>FI-Govt Emerging Markets</v>
          </cell>
          <cell r="G2347" t="str">
            <v>FI-Other</v>
          </cell>
          <cell r="H2347" t="str">
            <v>RATES</v>
          </cell>
          <cell r="I2347" t="str">
            <v>Govt Emerging Markets</v>
          </cell>
        </row>
        <row r="2348">
          <cell r="A2348" t="str">
            <v>GOVT_EUR_IDIO</v>
          </cell>
          <cell r="B2348" t="str">
            <v>EUR Govt Idio</v>
          </cell>
          <cell r="C2348" t="str">
            <v>BRS_GOLD__2_RATES:GOVT_IDIO:GOVT_EUR_IDIO</v>
          </cell>
          <cell r="D2348" t="str">
            <v>Duration</v>
          </cell>
          <cell r="E2348" t="str">
            <v>Other Yield</v>
          </cell>
          <cell r="F2348" t="str">
            <v>Idiosyncratic</v>
          </cell>
          <cell r="G2348" t="str">
            <v>Other</v>
          </cell>
          <cell r="H2348" t="str">
            <v>RATES_SPECIFIC</v>
          </cell>
          <cell r="I2348" t="str">
            <v>Rates - Idiosyncratic</v>
          </cell>
        </row>
        <row r="2349">
          <cell r="A2349" t="str">
            <v>GOVT_EUR2_IDIO</v>
          </cell>
          <cell r="B2349" t="str">
            <v>EUR Peripherals Govt Idio</v>
          </cell>
          <cell r="C2349" t="str">
            <v>BRS_GOLD__2_RATES:GOVT_IDIO:GOVT_EUR2_IDIO</v>
          </cell>
          <cell r="D2349" t="str">
            <v>Duration</v>
          </cell>
          <cell r="E2349" t="str">
            <v>Other Yield</v>
          </cell>
          <cell r="F2349" t="str">
            <v>Idiosyncratic</v>
          </cell>
          <cell r="G2349" t="str">
            <v>Other</v>
          </cell>
          <cell r="H2349" t="str">
            <v>RATES_SPECIFIC</v>
          </cell>
          <cell r="I2349" t="str">
            <v>Rates - Idiosyncratic</v>
          </cell>
        </row>
        <row r="2350">
          <cell r="A2350" t="str">
            <v>GOVT_GBP_IDIO</v>
          </cell>
          <cell r="B2350" t="str">
            <v>GBP Govt Idio</v>
          </cell>
          <cell r="C2350" t="str">
            <v>BRS_GOLD__2_RATES:GOVT_IDIO:GOVT_GBP_IDIO</v>
          </cell>
          <cell r="D2350" t="str">
            <v>Duration</v>
          </cell>
          <cell r="E2350" t="str">
            <v>Other Yield</v>
          </cell>
          <cell r="F2350" t="str">
            <v>Idiosyncratic</v>
          </cell>
          <cell r="G2350" t="str">
            <v>Other</v>
          </cell>
          <cell r="H2350" t="str">
            <v>RATES_SPECIFIC</v>
          </cell>
          <cell r="I2350" t="str">
            <v>Rates - Idiosyncratic</v>
          </cell>
        </row>
        <row r="2351">
          <cell r="A2351" t="str">
            <v>GOVT_JPY_IDIO</v>
          </cell>
          <cell r="B2351" t="str">
            <v>JPY Govt Idio</v>
          </cell>
          <cell r="C2351" t="str">
            <v>BRS_GOLD__2_RATES:GOVT_IDIO:GOVT_JPY_IDIO</v>
          </cell>
          <cell r="D2351" t="str">
            <v>Duration</v>
          </cell>
          <cell r="E2351" t="str">
            <v>Other Yield</v>
          </cell>
          <cell r="F2351" t="str">
            <v>Idiosyncratic</v>
          </cell>
          <cell r="G2351" t="str">
            <v>Other</v>
          </cell>
          <cell r="H2351" t="str">
            <v>RATES_SPECIFIC</v>
          </cell>
          <cell r="I2351" t="str">
            <v>Rates - Idiosyncratic</v>
          </cell>
        </row>
        <row r="2352">
          <cell r="A2352" t="str">
            <v>GOVT_USD_IDIO</v>
          </cell>
          <cell r="B2352" t="str">
            <v>USD Govt Idio</v>
          </cell>
          <cell r="C2352" t="str">
            <v>BRS_GOLD__2_RATES:GOVT_IDIO:GOVT_USD_IDIO</v>
          </cell>
          <cell r="D2352" t="str">
            <v>Duration</v>
          </cell>
          <cell r="E2352" t="str">
            <v>Other Yield</v>
          </cell>
          <cell r="F2352" t="str">
            <v>Idiosyncratic</v>
          </cell>
          <cell r="G2352" t="str">
            <v>Other</v>
          </cell>
          <cell r="H2352" t="str">
            <v>RATES_SPECIFIC</v>
          </cell>
          <cell r="I2352" t="str">
            <v>Rates - Idiosyncratic</v>
          </cell>
        </row>
        <row r="2353">
          <cell r="A2353" t="str">
            <v>GOVT_OTH_IDIO</v>
          </cell>
          <cell r="B2353" t="str">
            <v>Other Govt Idio</v>
          </cell>
          <cell r="C2353" t="str">
            <v>BRS_GOLD__2_RATES:GOVT_IDIO:GOVT_OTH_IDIO</v>
          </cell>
          <cell r="D2353" t="str">
            <v>Duration</v>
          </cell>
          <cell r="E2353" t="str">
            <v>Other Yield</v>
          </cell>
          <cell r="F2353" t="str">
            <v>Idiosyncratic</v>
          </cell>
          <cell r="G2353" t="str">
            <v>Other</v>
          </cell>
          <cell r="H2353" t="str">
            <v>RATES_SPECIFIC</v>
          </cell>
          <cell r="I2353" t="str">
            <v>Rates - Idiosyncratic</v>
          </cell>
        </row>
        <row r="2354">
          <cell r="A2354" t="str">
            <v>USD_CDS_AT_2Y</v>
          </cell>
          <cell r="B2354" t="str">
            <v>Austria CDS 2y</v>
          </cell>
          <cell r="C2354" t="str">
            <v>BRS_GOLD__2_RATES:BRS_GOLD__1_EURSPRD:ATS,USD_CDS_AT_2Y,USD_CDS_AT_5Y:USD_CDS_AT_2Y,USD_CDS_AT_5Y:USD_CDS_AT_2Y</v>
          </cell>
          <cell r="E2354" t="str">
            <v>Spread Yield (DxS)</v>
          </cell>
          <cell r="F2354" t="str">
            <v>SP-Other</v>
          </cell>
          <cell r="G2354" t="str">
            <v>SP-Other</v>
          </cell>
          <cell r="H2354" t="str">
            <v>RATES</v>
          </cell>
          <cell r="I2354" t="str">
            <v>Sovereign Spreads - CDS</v>
          </cell>
        </row>
        <row r="2355">
          <cell r="A2355" t="str">
            <v>USD_CDS_AT_5Y</v>
          </cell>
          <cell r="B2355" t="str">
            <v>Austria CDS 5y</v>
          </cell>
          <cell r="C2355" t="str">
            <v>BRS_GOLD__2_RATES:BRS_GOLD__1_EURSPRD:ATS,USD_CDS_AT_2Y,USD_CDS_AT_5Y:USD_CDS_AT_2Y,USD_CDS_AT_5Y:USD_CDS_AT_5Y</v>
          </cell>
          <cell r="E2355" t="str">
            <v>Spread Yield (DxS)</v>
          </cell>
          <cell r="F2355" t="str">
            <v>SP-Other</v>
          </cell>
          <cell r="G2355" t="str">
            <v>SP-Other</v>
          </cell>
          <cell r="H2355" t="str">
            <v>RATES</v>
          </cell>
          <cell r="I2355" t="str">
            <v>Sovereign Spreads - CDS</v>
          </cell>
        </row>
        <row r="2356">
          <cell r="A2356" t="str">
            <v>USD_CDS_BE_2Y</v>
          </cell>
          <cell r="B2356" t="str">
            <v>Belgium CDS 2y</v>
          </cell>
          <cell r="C2356" t="str">
            <v>BRS_GOLD__2_RATES:BRS_GOLD__1_EURSPRD:BRS_GOLD__1_BEFIR:USD_CDS_BE_2Y,USD_CDS_BE_5Y:USD_CDS_BE_2Y</v>
          </cell>
          <cell r="E2356" t="str">
            <v>Spread Yield (DxS)</v>
          </cell>
          <cell r="F2356" t="str">
            <v>SP-Other</v>
          </cell>
          <cell r="G2356" t="str">
            <v>SP-Other</v>
          </cell>
          <cell r="H2356" t="str">
            <v>RATES</v>
          </cell>
          <cell r="I2356" t="str">
            <v>Sovereign Spreads - CDS</v>
          </cell>
        </row>
        <row r="2357">
          <cell r="A2357" t="str">
            <v>USD_CDS_BE_5Y</v>
          </cell>
          <cell r="B2357" t="str">
            <v>Belgium CDS 5y</v>
          </cell>
          <cell r="C2357" t="str">
            <v>BRS_GOLD__2_RATES:BRS_GOLD__1_EURSPRD:BRS_GOLD__1_BEFIR:USD_CDS_BE_2Y,USD_CDS_BE_5Y:USD_CDS_BE_5Y</v>
          </cell>
          <cell r="E2357" t="str">
            <v>Spread Yield (DxS)</v>
          </cell>
          <cell r="F2357" t="str">
            <v>SP-Other</v>
          </cell>
          <cell r="G2357" t="str">
            <v>SP-Other</v>
          </cell>
          <cell r="H2357" t="str">
            <v>RATES</v>
          </cell>
          <cell r="I2357" t="str">
            <v>Sovereign Spreads - CDS</v>
          </cell>
        </row>
        <row r="2358">
          <cell r="A2358" t="str">
            <v>USD_CDS_FI_2Y</v>
          </cell>
          <cell r="B2358" t="str">
            <v>Finland CDS 2y</v>
          </cell>
          <cell r="C2358" t="str">
            <v>BRS_GOLD__2_RATES:BRS_GOLD__1_EURSPRD:FIM,USD_CDS_FI_2Y,USD_CDS_FI_5Y:USD_CDS_FI_2Y,USD_CDS_FI_5Y:USD_CDS_FI_2Y</v>
          </cell>
          <cell r="E2358" t="str">
            <v>Spread Yield (DxS)</v>
          </cell>
          <cell r="F2358" t="str">
            <v>SP-Other</v>
          </cell>
          <cell r="G2358" t="str">
            <v>SP-Other</v>
          </cell>
          <cell r="H2358" t="str">
            <v>RATES</v>
          </cell>
          <cell r="I2358" t="str">
            <v>Sovereign Spreads - CDS</v>
          </cell>
        </row>
        <row r="2359">
          <cell r="A2359" t="str">
            <v>USD_CDS_FI_5Y</v>
          </cell>
          <cell r="B2359" t="str">
            <v>Finland CDS 5y</v>
          </cell>
          <cell r="C2359" t="str">
            <v>BRS_GOLD__2_RATES:BRS_GOLD__1_EURSPRD:FIM,USD_CDS_FI_2Y,USD_CDS_FI_5Y:USD_CDS_FI_2Y,USD_CDS_FI_5Y:USD_CDS_FI_5Y</v>
          </cell>
          <cell r="E2359" t="str">
            <v>Spread Yield (DxS)</v>
          </cell>
          <cell r="F2359" t="str">
            <v>SP-Other</v>
          </cell>
          <cell r="G2359" t="str">
            <v>SP-Other</v>
          </cell>
          <cell r="H2359" t="str">
            <v>RATES</v>
          </cell>
          <cell r="I2359" t="str">
            <v>Sovereign Spreads - CDS</v>
          </cell>
        </row>
        <row r="2360">
          <cell r="A2360" t="str">
            <v>USD_CDS_FR_2Y</v>
          </cell>
          <cell r="B2360" t="str">
            <v>France CDS 2y</v>
          </cell>
          <cell r="C2360" t="str">
            <v>BRS_GOLD__2_RATES:BRS_GOLD__1_EURSPRD:BRS_GOLD__1_FRFIR:USD_CDS_FR_2Y,USD_CDS_FR_5Y:USD_CDS_FR_2Y</v>
          </cell>
          <cell r="E2360" t="str">
            <v>Spread Yield (DxS)</v>
          </cell>
          <cell r="F2360" t="str">
            <v>SP-Other</v>
          </cell>
          <cell r="G2360" t="str">
            <v>SP-Other</v>
          </cell>
          <cell r="H2360" t="str">
            <v>RATES</v>
          </cell>
          <cell r="I2360" t="str">
            <v>Sovereign Spreads - CDS</v>
          </cell>
        </row>
        <row r="2361">
          <cell r="A2361" t="str">
            <v>USD_CDS_FR_5Y</v>
          </cell>
          <cell r="B2361" t="str">
            <v>France CDS 5y</v>
          </cell>
          <cell r="C2361" t="str">
            <v>BRS_GOLD__2_RATES:BRS_GOLD__1_EURSPRD:BRS_GOLD__1_FRFIR:USD_CDS_FR_2Y,USD_CDS_FR_5Y:USD_CDS_FR_5Y</v>
          </cell>
          <cell r="E2361" t="str">
            <v>Spread Yield (DxS)</v>
          </cell>
          <cell r="F2361" t="str">
            <v>SP-Other</v>
          </cell>
          <cell r="G2361" t="str">
            <v>SP-Other</v>
          </cell>
          <cell r="H2361" t="str">
            <v>RATES</v>
          </cell>
          <cell r="I2361" t="str">
            <v>Sovereign Spreads - CDS</v>
          </cell>
        </row>
        <row r="2362">
          <cell r="A2362" t="str">
            <v>USD_CDS_GR_2Y</v>
          </cell>
          <cell r="B2362" t="str">
            <v>Greece CDS 2y</v>
          </cell>
          <cell r="C2362" t="str">
            <v>BRS_GOLD__2_RATES:BRS_GOLD__1_EURSPRD:GRD,USD_CDS_GR_2Y,USD_CDS_GR_5Y:USD_CDS_GR_2Y,USD_CDS_GR_5Y:USD_CDS_GR_2Y</v>
          </cell>
          <cell r="E2362" t="str">
            <v>Spread Yield (DxS)</v>
          </cell>
          <cell r="F2362" t="str">
            <v>SP-Other</v>
          </cell>
          <cell r="G2362" t="str">
            <v>SP-Other</v>
          </cell>
          <cell r="H2362" t="str">
            <v>RATES</v>
          </cell>
          <cell r="I2362" t="str">
            <v>Sovereign Spreads - CDS</v>
          </cell>
        </row>
        <row r="2363">
          <cell r="A2363" t="str">
            <v>USD_CDS_GR_5Y</v>
          </cell>
          <cell r="B2363" t="str">
            <v>Greece CDS 5y</v>
          </cell>
          <cell r="C2363" t="str">
            <v>BRS_GOLD__2_RATES:BRS_GOLD__1_EURSPRD:GRD,USD_CDS_GR_2Y,USD_CDS_GR_5Y:USD_CDS_GR_2Y,USD_CDS_GR_5Y:USD_CDS_GR_5Y</v>
          </cell>
          <cell r="E2363" t="str">
            <v>Spread Yield (DxS)</v>
          </cell>
          <cell r="F2363" t="str">
            <v>SP-Other</v>
          </cell>
          <cell r="G2363" t="str">
            <v>SP-Other</v>
          </cell>
          <cell r="H2363" t="str">
            <v>RATES</v>
          </cell>
          <cell r="I2363" t="str">
            <v>Sovereign Spreads - CDS</v>
          </cell>
        </row>
        <row r="2364">
          <cell r="A2364" t="str">
            <v>USD_CDS_IE_2Y</v>
          </cell>
          <cell r="B2364" t="str">
            <v>Ireland CDS 2y</v>
          </cell>
          <cell r="C2364" t="str">
            <v>BRS_GOLD__2_RATES:BRS_GOLD__1_EURSPRD:BRS_GOLD__1_IEPIR:USD_CDS_IE_2Y,USD_CDS_IE_5Y:USD_CDS_IE_2Y</v>
          </cell>
          <cell r="E2364" t="str">
            <v>Spread Yield (DxS)</v>
          </cell>
          <cell r="F2364" t="str">
            <v>SP-Other</v>
          </cell>
          <cell r="G2364" t="str">
            <v>SP-Other</v>
          </cell>
          <cell r="H2364" t="str">
            <v>RATES</v>
          </cell>
          <cell r="I2364" t="str">
            <v>Sovereign Spreads - CDS</v>
          </cell>
        </row>
        <row r="2365">
          <cell r="A2365" t="str">
            <v>USD_CDS_IE_5Y</v>
          </cell>
          <cell r="B2365" t="str">
            <v>Ireland CDS 5y</v>
          </cell>
          <cell r="C2365" t="str">
            <v>BRS_GOLD__2_RATES:BRS_GOLD__1_EURSPRD:BRS_GOLD__1_IEPIR:USD_CDS_IE_2Y,USD_CDS_IE_5Y:USD_CDS_IE_5Y</v>
          </cell>
          <cell r="E2365" t="str">
            <v>Spread Yield (DxS)</v>
          </cell>
          <cell r="F2365" t="str">
            <v>SP-Other</v>
          </cell>
          <cell r="G2365" t="str">
            <v>SP-Other</v>
          </cell>
          <cell r="H2365" t="str">
            <v>RATES</v>
          </cell>
          <cell r="I2365" t="str">
            <v>Sovereign Spreads - CDS</v>
          </cell>
        </row>
        <row r="2366">
          <cell r="A2366" t="str">
            <v>USD_CDS_IT_2Y</v>
          </cell>
          <cell r="B2366" t="str">
            <v>Italy CDS 2y</v>
          </cell>
          <cell r="C2366" t="str">
            <v>BRS_GOLD__2_RATES:BRS_GOLD__1_EURSPRD:BRS_GOLD__1_ITLIR:USD_CDS_IT_2Y,USD_CDS_IT_5Y:USD_CDS_IT_2Y</v>
          </cell>
          <cell r="E2366" t="str">
            <v>Spread Yield (DxS)</v>
          </cell>
          <cell r="F2366" t="str">
            <v>SP-Other</v>
          </cell>
          <cell r="G2366" t="str">
            <v>SP-Other</v>
          </cell>
          <cell r="H2366" t="str">
            <v>RATES</v>
          </cell>
          <cell r="I2366" t="str">
            <v>Sovereign Spreads - CDS</v>
          </cell>
        </row>
        <row r="2367">
          <cell r="A2367" t="str">
            <v>USD_CDS_IT_5Y</v>
          </cell>
          <cell r="B2367" t="str">
            <v>Italy CDS 5y</v>
          </cell>
          <cell r="C2367" t="str">
            <v>BRS_GOLD__2_RATES:BRS_GOLD__1_EURSPRD:BRS_GOLD__1_ITLIR:USD_CDS_IT_2Y,USD_CDS_IT_5Y:USD_CDS_IT_5Y</v>
          </cell>
          <cell r="E2367" t="str">
            <v>Spread Yield (DxS)</v>
          </cell>
          <cell r="F2367" t="str">
            <v>SP-Other</v>
          </cell>
          <cell r="G2367" t="str">
            <v>SP-Other</v>
          </cell>
          <cell r="H2367" t="str">
            <v>RATES</v>
          </cell>
          <cell r="I2367" t="str">
            <v>Sovereign Spreads - CDS</v>
          </cell>
        </row>
        <row r="2368">
          <cell r="A2368" t="str">
            <v>USD_CDS_NL_2Y</v>
          </cell>
          <cell r="B2368" t="str">
            <v>Netherlands CDS 2y</v>
          </cell>
          <cell r="C2368" t="str">
            <v>BRS_GOLD__2_RATES:BRS_GOLD__1_EURSPRD:BRS_GOLD__1_NLGIR:USD_CDS_NL_2Y,USD_CDS_NL_5Y:USD_CDS_NL_2Y</v>
          </cell>
          <cell r="E2368" t="str">
            <v>Spread Yield (DxS)</v>
          </cell>
          <cell r="F2368" t="str">
            <v>SP-Other</v>
          </cell>
          <cell r="G2368" t="str">
            <v>SP-Other</v>
          </cell>
          <cell r="H2368" t="str">
            <v>RATES</v>
          </cell>
          <cell r="I2368" t="str">
            <v>Sovereign Spreads - CDS</v>
          </cell>
        </row>
        <row r="2369">
          <cell r="A2369" t="str">
            <v>USD_CDS_NL_5Y</v>
          </cell>
          <cell r="B2369" t="str">
            <v>Netherlands CDS 5y</v>
          </cell>
          <cell r="C2369" t="str">
            <v>BRS_GOLD__2_RATES:BRS_GOLD__1_EURSPRD:BRS_GOLD__1_NLGIR:USD_CDS_NL_2Y,USD_CDS_NL_5Y:USD_CDS_NL_5Y</v>
          </cell>
          <cell r="E2369" t="str">
            <v>Spread Yield (DxS)</v>
          </cell>
          <cell r="F2369" t="str">
            <v>SP-Other</v>
          </cell>
          <cell r="G2369" t="str">
            <v>SP-Other</v>
          </cell>
          <cell r="H2369" t="str">
            <v>RATES</v>
          </cell>
          <cell r="I2369" t="str">
            <v>Sovereign Spreads - CDS</v>
          </cell>
        </row>
        <row r="2370">
          <cell r="A2370" t="str">
            <v>USD_CDS_PT_2Y</v>
          </cell>
          <cell r="B2370" t="str">
            <v>Portugal CDS 2y</v>
          </cell>
          <cell r="C2370" t="str">
            <v>BRS_GOLD__2_RATES:BRS_GOLD__1_EURSPRD:BRS_GOLD__1_PTEIR:USD_CDS_PT_2Y,USD_CDS_PT_5Y:USD_CDS_PT_2Y</v>
          </cell>
          <cell r="E2370" t="str">
            <v>Spread Yield (DxS)</v>
          </cell>
          <cell r="F2370" t="str">
            <v>SP-Other</v>
          </cell>
          <cell r="G2370" t="str">
            <v>SP-Other</v>
          </cell>
          <cell r="H2370" t="str">
            <v>RATES</v>
          </cell>
          <cell r="I2370" t="str">
            <v>Sovereign Spreads - CDS</v>
          </cell>
        </row>
        <row r="2371">
          <cell r="A2371" t="str">
            <v>USD_CDS_PT_5Y</v>
          </cell>
          <cell r="B2371" t="str">
            <v>Portugal CDS 5y</v>
          </cell>
          <cell r="C2371" t="str">
            <v>BRS_GOLD__2_RATES:BRS_GOLD__1_EURSPRD:BRS_GOLD__1_PTEIR:USD_CDS_PT_2Y,USD_CDS_PT_5Y:USD_CDS_PT_5Y</v>
          </cell>
          <cell r="E2371" t="str">
            <v>Spread Yield (DxS)</v>
          </cell>
          <cell r="F2371" t="str">
            <v>SP-Other</v>
          </cell>
          <cell r="G2371" t="str">
            <v>SP-Other</v>
          </cell>
          <cell r="H2371" t="str">
            <v>RATES</v>
          </cell>
          <cell r="I2371" t="str">
            <v>Sovereign Spreads - CDS</v>
          </cell>
        </row>
        <row r="2372">
          <cell r="A2372" t="str">
            <v>USD_CDS_ES_2Y</v>
          </cell>
          <cell r="B2372" t="str">
            <v>Spain CDS 2y</v>
          </cell>
          <cell r="C2372" t="str">
            <v>BRS_GOLD__2_RATES:BRS_GOLD__1_EURSPRD:BRS_GOLD__1_ESPIR:USD_CDS_ES_2Y,USD_CDS_ES_5Y:USD_CDS_ES_2Y</v>
          </cell>
          <cell r="E2372" t="str">
            <v>Spread Yield (DxS)</v>
          </cell>
          <cell r="F2372" t="str">
            <v>SP-Other</v>
          </cell>
          <cell r="G2372" t="str">
            <v>SP-Other</v>
          </cell>
          <cell r="H2372" t="str">
            <v>RATES</v>
          </cell>
          <cell r="I2372" t="str">
            <v>Sovereign Spreads - CDS</v>
          </cell>
        </row>
        <row r="2373">
          <cell r="A2373" t="str">
            <v>USD_CDS_ES_5Y</v>
          </cell>
          <cell r="B2373" t="str">
            <v>Spain CDS 5y</v>
          </cell>
          <cell r="C2373" t="str">
            <v>BRS_GOLD__2_RATES:BRS_GOLD__1_EURSPRD:BRS_GOLD__1_ESPIR:USD_CDS_ES_2Y,USD_CDS_ES_5Y:USD_CDS_ES_5Y</v>
          </cell>
          <cell r="E2373" t="str">
            <v>Spread Yield (DxS)</v>
          </cell>
          <cell r="F2373" t="str">
            <v>SP-Other</v>
          </cell>
          <cell r="G2373" t="str">
            <v>SP-Other</v>
          </cell>
          <cell r="H2373" t="str">
            <v>RATES</v>
          </cell>
          <cell r="I2373" t="str">
            <v>Sovereign Spreads - CDS</v>
          </cell>
        </row>
        <row r="2374">
          <cell r="A2374" t="str">
            <v>USD_ITWE_5Y</v>
          </cell>
          <cell r="B2374" t="str">
            <v>ITRAXX.SOV.WE.5</v>
          </cell>
          <cell r="C2374" t="str">
            <v>BRS_GOLD__2_RATES:SOVX:USD_ITWE_5Y</v>
          </cell>
          <cell r="D2374" t="str">
            <v>Spread Duration</v>
          </cell>
          <cell r="E2374" t="str">
            <v>Spread Yield (DxS)</v>
          </cell>
          <cell r="F2374" t="str">
            <v>SP-Other</v>
          </cell>
          <cell r="G2374" t="str">
            <v>SP-Other</v>
          </cell>
          <cell r="H2374" t="str">
            <v>RATES</v>
          </cell>
          <cell r="I2374" t="str">
            <v>Sovereign Spreads - CDS</v>
          </cell>
        </row>
        <row r="2375">
          <cell r="A2375" t="str">
            <v>USD_ITWE_10Y</v>
          </cell>
          <cell r="B2375" t="str">
            <v>ITRAXX.SOV.WE.10</v>
          </cell>
          <cell r="C2375" t="str">
            <v>BRS_GOLD__2_RATES:SOVX:USD_ITWE_10Y</v>
          </cell>
          <cell r="D2375" t="str">
            <v>Spread Duration</v>
          </cell>
          <cell r="E2375" t="str">
            <v>Spread Yield (DxS)</v>
          </cell>
          <cell r="F2375" t="str">
            <v>SP-Other</v>
          </cell>
          <cell r="G2375" t="str">
            <v>SP-Other</v>
          </cell>
          <cell r="H2375" t="str">
            <v>RATES</v>
          </cell>
          <cell r="I2375" t="str">
            <v>Sovereign Spreads - CDS</v>
          </cell>
        </row>
        <row r="2376">
          <cell r="A2376" t="str">
            <v>USD_ITAP_5Y</v>
          </cell>
          <cell r="B2376" t="str">
            <v>ITRAXX.SOV.ASIA.5</v>
          </cell>
          <cell r="C2376" t="str">
            <v>BRS_GOLD__2_RATES:SOVX:USD_ITAP_5Y</v>
          </cell>
          <cell r="D2376" t="str">
            <v>Spread Duration</v>
          </cell>
          <cell r="E2376" t="str">
            <v>Spread Yield (DxS)</v>
          </cell>
          <cell r="F2376" t="str">
            <v>SP-Other</v>
          </cell>
          <cell r="G2376" t="str">
            <v>SP-Other</v>
          </cell>
          <cell r="H2376" t="str">
            <v>RATES</v>
          </cell>
          <cell r="I2376" t="str">
            <v>Sovereign Spreads - CDS</v>
          </cell>
        </row>
        <row r="2377">
          <cell r="A2377" t="str">
            <v>USD_ITAP_10Y</v>
          </cell>
          <cell r="B2377" t="str">
            <v>ITRAXX.SOV.ASIA.10</v>
          </cell>
          <cell r="C2377" t="str">
            <v>BRS_GOLD__2_RATES:SOVX:USD_ITAP_10Y</v>
          </cell>
          <cell r="D2377" t="str">
            <v>Spread Duration</v>
          </cell>
          <cell r="E2377" t="str">
            <v>Spread Yield (DxS)</v>
          </cell>
          <cell r="F2377" t="str">
            <v>SP-Other</v>
          </cell>
          <cell r="G2377" t="str">
            <v>SP-Other</v>
          </cell>
          <cell r="H2377" t="str">
            <v>RATES</v>
          </cell>
          <cell r="I2377" t="str">
            <v>Sovereign Spreads - CDS</v>
          </cell>
        </row>
        <row r="2378">
          <cell r="A2378" t="str">
            <v>AUCRD_FIN_IDIO</v>
          </cell>
          <cell r="B2378" t="str">
            <v>AU Credit Idio Financial</v>
          </cell>
          <cell r="C2378" t="str">
            <v>BRS_GOLD__5_SPREADS:BRS_GOLD__4_CORP:BRS_GOLD__3_CSIG:CASH_IG_IDIO:AUCRD_FIN_IDIO</v>
          </cell>
          <cell r="D2378" t="str">
            <v>Spread Duration</v>
          </cell>
          <cell r="E2378" t="str">
            <v>Spread Yield (DxS)</v>
          </cell>
          <cell r="F2378" t="str">
            <v>Idiosyncratic</v>
          </cell>
          <cell r="G2378" t="str">
            <v>Other</v>
          </cell>
          <cell r="H2378" t="str">
            <v>SPREADS_SPECIFIC</v>
          </cell>
          <cell r="I2378" t="str">
            <v>Corporate IG - Idiosyncratic</v>
          </cell>
        </row>
        <row r="2379">
          <cell r="A2379" t="str">
            <v>AUCRD_IND_IDIO</v>
          </cell>
          <cell r="B2379" t="str">
            <v>AU Credit Idio Industrial</v>
          </cell>
          <cell r="C2379" t="str">
            <v>BRS_GOLD__5_SPREADS:BRS_GOLD__4_CORP:BRS_GOLD__3_CSIG:CASH_IG_IDIO:AUCRD_IND_IDIO</v>
          </cell>
          <cell r="D2379" t="str">
            <v>Spread Duration</v>
          </cell>
          <cell r="E2379" t="str">
            <v>Spread Yield (DxS)</v>
          </cell>
          <cell r="F2379" t="str">
            <v>Idiosyncratic</v>
          </cell>
          <cell r="G2379" t="str">
            <v>Other</v>
          </cell>
          <cell r="H2379" t="str">
            <v>SPREADS_SPECIFIC</v>
          </cell>
          <cell r="I2379" t="str">
            <v>Corporate IG - Idiosyncratic</v>
          </cell>
        </row>
        <row r="2380">
          <cell r="A2380" t="str">
            <v>EUR_FINIG_IDIO</v>
          </cell>
          <cell r="B2380" t="str">
            <v>EU Credit Idio Financial IG</v>
          </cell>
          <cell r="C2380" t="str">
            <v>BRS_GOLD__5_SPREADS:BRS_GOLD__4_CORP:BRS_GOLD__3_CSIG:CASH_IG_IDIO:EUR_FINIG_IDIO</v>
          </cell>
          <cell r="D2380" t="str">
            <v>Spread Duration</v>
          </cell>
          <cell r="E2380" t="str">
            <v>Spread Yield (DxS)</v>
          </cell>
          <cell r="F2380" t="str">
            <v>Idiosyncratic</v>
          </cell>
          <cell r="G2380" t="str">
            <v>Other</v>
          </cell>
          <cell r="H2380" t="str">
            <v>SPREADS_SPECIFIC</v>
          </cell>
          <cell r="I2380" t="str">
            <v>Corporate IG - Idiosyncratic</v>
          </cell>
        </row>
        <row r="2381">
          <cell r="A2381" t="str">
            <v>EUR_INDIG_IDIO</v>
          </cell>
          <cell r="B2381" t="str">
            <v>EU Credit Idio Industrial IG</v>
          </cell>
          <cell r="C2381" t="str">
            <v>BRS_GOLD__5_SPREADS:BRS_GOLD__4_CORP:BRS_GOLD__3_CSIG:CASH_IG_IDIO:EUR_INDIG_IDIO</v>
          </cell>
          <cell r="D2381" t="str">
            <v>Spread Duration</v>
          </cell>
          <cell r="E2381" t="str">
            <v>Spread Yield (DxS)</v>
          </cell>
          <cell r="F2381" t="str">
            <v>Idiosyncratic</v>
          </cell>
          <cell r="G2381" t="str">
            <v>Other</v>
          </cell>
          <cell r="H2381" t="str">
            <v>SPREADS_SPECIFIC</v>
          </cell>
          <cell r="I2381" t="str">
            <v>Corporate IG - Idiosyncratic</v>
          </cell>
        </row>
        <row r="2382">
          <cell r="A2382" t="str">
            <v>GBP_FINIG_IDIO</v>
          </cell>
          <cell r="B2382" t="str">
            <v>UK Credit Idio Financial IG</v>
          </cell>
          <cell r="C2382" t="str">
            <v>BRS_GOLD__5_SPREADS:BRS_GOLD__4_CORP:BRS_GOLD__3_CSIG:CASH_IG_IDIO:GBP_FINIG_IDIO</v>
          </cell>
          <cell r="D2382" t="str">
            <v>Spread Duration</v>
          </cell>
          <cell r="E2382" t="str">
            <v>Spread Yield (DxS)</v>
          </cell>
          <cell r="F2382" t="str">
            <v>Idiosyncratic</v>
          </cell>
          <cell r="G2382" t="str">
            <v>Other</v>
          </cell>
          <cell r="H2382" t="str">
            <v>SPREADS_SPECIFIC</v>
          </cell>
          <cell r="I2382" t="str">
            <v>Corporate IG - Idiosyncratic</v>
          </cell>
        </row>
        <row r="2383">
          <cell r="A2383" t="str">
            <v>GBP_INDIG_IDIO</v>
          </cell>
          <cell r="B2383" t="str">
            <v>UK Credit Idio Industrial IG</v>
          </cell>
          <cell r="C2383" t="str">
            <v>BRS_GOLD__5_SPREADS:BRS_GOLD__4_CORP:BRS_GOLD__3_CSIG:CASH_IG_IDIO:GBP_INDIG_IDIO</v>
          </cell>
          <cell r="D2383" t="str">
            <v>Spread Duration</v>
          </cell>
          <cell r="E2383" t="str">
            <v>Spread Yield (DxS)</v>
          </cell>
          <cell r="F2383" t="str">
            <v>Idiosyncratic</v>
          </cell>
          <cell r="G2383" t="str">
            <v>Other</v>
          </cell>
          <cell r="H2383" t="str">
            <v>SPREADS_SPECIFIC</v>
          </cell>
          <cell r="I2383" t="str">
            <v>Corporate IG - Idiosyncratic</v>
          </cell>
        </row>
        <row r="2384">
          <cell r="A2384" t="str">
            <v>JPCRD_FIN_IDIO</v>
          </cell>
          <cell r="B2384" t="str">
            <v>JP Credit Idio Financial</v>
          </cell>
          <cell r="C2384" t="str">
            <v>BRS_GOLD__5_SPREADS:BRS_GOLD__4_CORP:BRS_GOLD__3_CSIG:CASH_IG_IDIO:JPCRD_FIN_IDIO</v>
          </cell>
          <cell r="D2384" t="str">
            <v>Spread Duration</v>
          </cell>
          <cell r="E2384" t="str">
            <v>Spread Yield (DxS)</v>
          </cell>
          <cell r="F2384" t="str">
            <v>Idiosyncratic</v>
          </cell>
          <cell r="G2384" t="str">
            <v>Other</v>
          </cell>
          <cell r="H2384" t="str">
            <v>SPREADS_SPECIFIC</v>
          </cell>
          <cell r="I2384" t="str">
            <v>Corporate IG - Idiosyncratic</v>
          </cell>
        </row>
        <row r="2385">
          <cell r="A2385" t="str">
            <v>JPCRD_IND_IDIO</v>
          </cell>
          <cell r="B2385" t="str">
            <v>JP Credit Idio Industrial</v>
          </cell>
          <cell r="C2385" t="str">
            <v>BRS_GOLD__5_SPREADS:BRS_GOLD__4_CORP:BRS_GOLD__3_CSIG:CASH_IG_IDIO:JPCRD_IND_IDIO</v>
          </cell>
          <cell r="D2385" t="str">
            <v>Spread Duration</v>
          </cell>
          <cell r="E2385" t="str">
            <v>Spread Yield (DxS)</v>
          </cell>
          <cell r="F2385" t="str">
            <v>Idiosyncratic</v>
          </cell>
          <cell r="G2385" t="str">
            <v>Other</v>
          </cell>
          <cell r="H2385" t="str">
            <v>SPREADS_SPECIFIC</v>
          </cell>
          <cell r="I2385" t="str">
            <v>Corporate IG - Idiosyncratic</v>
          </cell>
        </row>
        <row r="2386">
          <cell r="A2386" t="str">
            <v>JPCRD_UTI_IDIO</v>
          </cell>
          <cell r="B2386" t="str">
            <v>JP Credit Idio Utility</v>
          </cell>
          <cell r="C2386" t="str">
            <v>BRS_GOLD__5_SPREADS:BRS_GOLD__4_CORP:BRS_GOLD__3_CSIG:CASH_IG_IDIO:JPCRD_UTI_IDIO</v>
          </cell>
          <cell r="D2386" t="str">
            <v>Spread Duration</v>
          </cell>
          <cell r="E2386" t="str">
            <v>Spread Yield (DxS)</v>
          </cell>
          <cell r="F2386" t="str">
            <v>Idiosyncratic</v>
          </cell>
          <cell r="G2386" t="str">
            <v>Other</v>
          </cell>
          <cell r="H2386" t="str">
            <v>SPREADS_SPECIFIC</v>
          </cell>
          <cell r="I2386" t="str">
            <v>Corporate IG - Idiosyncratic</v>
          </cell>
        </row>
        <row r="2387">
          <cell r="A2387" t="str">
            <v>USCRD_FINIG_IDIO</v>
          </cell>
          <cell r="B2387" t="str">
            <v>US Credit Idio Financial IG</v>
          </cell>
          <cell r="C2387" t="str">
            <v>BRS_GOLD__5_SPREADS:BRS_GOLD__4_CORP:BRS_GOLD__3_CSIG:CASH_IG_IDIO:USCRD_FINIG_IDIO</v>
          </cell>
          <cell r="D2387" t="str">
            <v>Spread Duration</v>
          </cell>
          <cell r="E2387" t="str">
            <v>Spread Yield (DxS)</v>
          </cell>
          <cell r="F2387" t="str">
            <v>Idiosyncratic</v>
          </cell>
          <cell r="G2387" t="str">
            <v>Other</v>
          </cell>
          <cell r="H2387" t="str">
            <v>SPREADS_SPECIFIC</v>
          </cell>
          <cell r="I2387" t="str">
            <v>Corporate IG - Idiosyncratic</v>
          </cell>
        </row>
        <row r="2388">
          <cell r="A2388" t="str">
            <v>USCRD_INDIG_IDIO</v>
          </cell>
          <cell r="B2388" t="str">
            <v>US Credit Idio Industrial IG</v>
          </cell>
          <cell r="C2388" t="str">
            <v>BRS_GOLD__5_SPREADS:BRS_GOLD__4_CORP:BRS_GOLD__3_CSIG:CASH_IG_IDIO:USCRD_INDIG_IDIO</v>
          </cell>
          <cell r="D2388" t="str">
            <v>Spread Duration</v>
          </cell>
          <cell r="E2388" t="str">
            <v>Spread Yield (DxS)</v>
          </cell>
          <cell r="F2388" t="str">
            <v>Idiosyncratic</v>
          </cell>
          <cell r="G2388" t="str">
            <v>Other</v>
          </cell>
          <cell r="H2388" t="str">
            <v>SPREADS_SPECIFIC</v>
          </cell>
          <cell r="I2388" t="str">
            <v>Corporate IG - Idiosyncratic</v>
          </cell>
        </row>
        <row r="2389">
          <cell r="A2389" t="str">
            <v>USCRD_UTIIG_IDIO</v>
          </cell>
          <cell r="B2389" t="str">
            <v>US Credit Idio Utility IG</v>
          </cell>
          <cell r="C2389" t="str">
            <v>BRS_GOLD__5_SPREADS:BRS_GOLD__4_CORP:BRS_GOLD__3_CSIG:CASH_IG_IDIO:USCRD_UTIIG_IDIO</v>
          </cell>
          <cell r="D2389" t="str">
            <v>Spread Duration</v>
          </cell>
          <cell r="E2389" t="str">
            <v>Spread Yield (DxS)</v>
          </cell>
          <cell r="F2389" t="str">
            <v>Idiosyncratic</v>
          </cell>
          <cell r="G2389" t="str">
            <v>Other</v>
          </cell>
          <cell r="H2389" t="str">
            <v>SPREADS_SPECIFIC</v>
          </cell>
          <cell r="I2389" t="str">
            <v>Corporate IG - Idiosyncratic</v>
          </cell>
        </row>
        <row r="2390">
          <cell r="A2390" t="str">
            <v>CACRD_FINA_IDIO</v>
          </cell>
          <cell r="B2390" t="str">
            <v>CA Credit Idio Financial</v>
          </cell>
          <cell r="C2390" t="str">
            <v>BRS_GOLD__5_SPREADS:BRS_GOLD__4_CORP:BRS_GOLD__3_CSIG:CASH_IG_IDIO:CACRD_FINA_IDIO</v>
          </cell>
          <cell r="D2390" t="str">
            <v>Spread Duration</v>
          </cell>
          <cell r="E2390" t="str">
            <v>Spread Yield (DxS)</v>
          </cell>
          <cell r="F2390" t="str">
            <v>Idiosyncratic</v>
          </cell>
          <cell r="G2390" t="str">
            <v>Other</v>
          </cell>
          <cell r="H2390" t="str">
            <v>SPREADS_SPECIFIC</v>
          </cell>
          <cell r="I2390" t="str">
            <v>Corporate IG - Idiosyncratic</v>
          </cell>
        </row>
        <row r="2391">
          <cell r="A2391" t="str">
            <v>CACRD_INDU_IDIO</v>
          </cell>
          <cell r="B2391" t="str">
            <v>CA Credit Idio Industrial</v>
          </cell>
          <cell r="C2391" t="str">
            <v>BRS_GOLD__5_SPREADS:BRS_GOLD__4_CORP:BRS_GOLD__3_CSIG:CASH_IG_IDIO:CACRD_INDU_IDIO</v>
          </cell>
          <cell r="D2391" t="str">
            <v>Spread Duration</v>
          </cell>
          <cell r="E2391" t="str">
            <v>Spread Yield (DxS)</v>
          </cell>
          <cell r="F2391" t="str">
            <v>Idiosyncratic</v>
          </cell>
          <cell r="G2391" t="str">
            <v>Other</v>
          </cell>
          <cell r="H2391" t="str">
            <v>SPREADS_SPECIFIC</v>
          </cell>
          <cell r="I2391" t="str">
            <v>Corporate IG - Idiosyncratic</v>
          </cell>
        </row>
        <row r="2392">
          <cell r="A2392" t="str">
            <v>CACRD_UTIL_IDIO</v>
          </cell>
          <cell r="B2392" t="str">
            <v>CA Credit Idio Utility</v>
          </cell>
          <cell r="C2392" t="str">
            <v>BRS_GOLD__5_SPREADS:BRS_GOLD__4_CORP:BRS_GOLD__3_CSIG:CASH_IG_IDIO:CACRD_UTIL_IDIO</v>
          </cell>
          <cell r="D2392" t="str">
            <v>Spread Duration</v>
          </cell>
          <cell r="E2392" t="str">
            <v>Spread Yield (DxS)</v>
          </cell>
          <cell r="F2392" t="str">
            <v>Idiosyncratic</v>
          </cell>
          <cell r="G2392" t="str">
            <v>Other</v>
          </cell>
          <cell r="H2392" t="str">
            <v>SPREADS_SPECIFIC</v>
          </cell>
          <cell r="I2392" t="str">
            <v>Corporate IG - Idiosyncratic</v>
          </cell>
        </row>
        <row r="2393">
          <cell r="A2393" t="str">
            <v>AUCDS_FIN_IDIO</v>
          </cell>
          <cell r="B2393" t="str">
            <v>AU CDS Idio Financial</v>
          </cell>
          <cell r="C2393" t="str">
            <v>BRS_GOLD__5_SPREADS:BRS_GOLD__4_CORP:BRS_GOLD__3_CSIG:CDS_IG_IDIO:AUCDS_FIN_IDIO</v>
          </cell>
          <cell r="D2393" t="str">
            <v>Spread Duration</v>
          </cell>
          <cell r="E2393" t="str">
            <v>Spread Yield (DxS)</v>
          </cell>
          <cell r="F2393" t="str">
            <v>Idiosyncratic</v>
          </cell>
          <cell r="G2393" t="str">
            <v>Other</v>
          </cell>
          <cell r="H2393" t="str">
            <v>SPREADS_SPECIFIC</v>
          </cell>
          <cell r="I2393" t="str">
            <v>Corporate IG - Idiosyncratic</v>
          </cell>
        </row>
        <row r="2394">
          <cell r="A2394" t="str">
            <v>AUCDS_IND_IDIO</v>
          </cell>
          <cell r="B2394" t="str">
            <v>AU CDS Idio Industrial</v>
          </cell>
          <cell r="C2394" t="str">
            <v>BRS_GOLD__5_SPREADS:BRS_GOLD__4_CORP:BRS_GOLD__3_CSIG:CDS_IG_IDIO:AUCDS_IND_IDIO</v>
          </cell>
          <cell r="D2394" t="str">
            <v>Spread Duration</v>
          </cell>
          <cell r="E2394" t="str">
            <v>Spread Yield (DxS)</v>
          </cell>
          <cell r="F2394" t="str">
            <v>Idiosyncratic</v>
          </cell>
          <cell r="G2394" t="str">
            <v>Other</v>
          </cell>
          <cell r="H2394" t="str">
            <v>SPREADS_SPECIFIC</v>
          </cell>
          <cell r="I2394" t="str">
            <v>Corporate IG - Idiosyncratic</v>
          </cell>
        </row>
        <row r="2395">
          <cell r="A2395" t="str">
            <v>EUCDS_CON_IDIO</v>
          </cell>
          <cell r="B2395" t="str">
            <v>EU CDS Idio Consumer IG</v>
          </cell>
          <cell r="C2395" t="str">
            <v>BRS_GOLD__5_SPREADS:BRS_GOLD__4_CORP:BRS_GOLD__3_CSIG:CDS_IG_IDIO:EUCDS_CON_IDIO</v>
          </cell>
          <cell r="D2395" t="str">
            <v>Spread Duration</v>
          </cell>
          <cell r="E2395" t="str">
            <v>Spread Yield (DxS)</v>
          </cell>
          <cell r="F2395" t="str">
            <v>Idiosyncratic</v>
          </cell>
          <cell r="G2395" t="str">
            <v>Other</v>
          </cell>
          <cell r="H2395" t="str">
            <v>SPREADS_SPECIFIC</v>
          </cell>
          <cell r="I2395" t="str">
            <v>Corporate IG - Idiosyncratic</v>
          </cell>
        </row>
        <row r="2396">
          <cell r="A2396" t="str">
            <v>EUCDS_FIN_IDIO</v>
          </cell>
          <cell r="B2396" t="str">
            <v>EU CDS Idio Financial IG</v>
          </cell>
          <cell r="C2396" t="str">
            <v>BRS_GOLD__5_SPREADS:BRS_GOLD__4_CORP:BRS_GOLD__3_CSIG:CDS_IG_IDIO:EUCDS_FIN_IDIO</v>
          </cell>
          <cell r="D2396" t="str">
            <v>Spread Duration</v>
          </cell>
          <cell r="E2396" t="str">
            <v>Spread Yield (DxS)</v>
          </cell>
          <cell r="F2396" t="str">
            <v>Idiosyncratic</v>
          </cell>
          <cell r="G2396" t="str">
            <v>Other</v>
          </cell>
          <cell r="H2396" t="str">
            <v>SPREADS_SPECIFIC</v>
          </cell>
          <cell r="I2396" t="str">
            <v>Corporate IG - Idiosyncratic</v>
          </cell>
        </row>
        <row r="2397">
          <cell r="A2397" t="str">
            <v>EUCDS_IND_IDIO</v>
          </cell>
          <cell r="B2397" t="str">
            <v>EU CDS Idio Industrial IG</v>
          </cell>
          <cell r="C2397" t="str">
            <v>BRS_GOLD__5_SPREADS:BRS_GOLD__4_CORP:BRS_GOLD__3_CSIG:CDS_IG_IDIO:EUCDS_IND_IDIO</v>
          </cell>
          <cell r="D2397" t="str">
            <v>Spread Duration</v>
          </cell>
          <cell r="E2397" t="str">
            <v>Spread Yield (DxS)</v>
          </cell>
          <cell r="F2397" t="str">
            <v>Idiosyncratic</v>
          </cell>
          <cell r="G2397" t="str">
            <v>Other</v>
          </cell>
          <cell r="H2397" t="str">
            <v>SPREADS_SPECIFIC</v>
          </cell>
          <cell r="I2397" t="str">
            <v>Corporate IG - Idiosyncratic</v>
          </cell>
        </row>
        <row r="2398">
          <cell r="A2398" t="str">
            <v>JPCDS_CON_IDIO</v>
          </cell>
          <cell r="B2398" t="str">
            <v>JP CDS Idio Consumer</v>
          </cell>
          <cell r="C2398" t="str">
            <v>BRS_GOLD__5_SPREADS:BRS_GOLD__4_CORP:BRS_GOLD__3_CSIG:CDS_IG_IDIO:JPCDS_CON_IDIO</v>
          </cell>
          <cell r="D2398" t="str">
            <v>Spread Duration</v>
          </cell>
          <cell r="E2398" t="str">
            <v>Spread Yield (DxS)</v>
          </cell>
          <cell r="F2398" t="str">
            <v>Idiosyncratic</v>
          </cell>
          <cell r="G2398" t="str">
            <v>Other</v>
          </cell>
          <cell r="H2398" t="str">
            <v>SPREADS_SPECIFIC</v>
          </cell>
          <cell r="I2398" t="str">
            <v>Corporate IG - Idiosyncratic</v>
          </cell>
        </row>
        <row r="2399">
          <cell r="A2399" t="str">
            <v>JPCDS_FIN_IDIO</v>
          </cell>
          <cell r="B2399" t="str">
            <v>JP CDS Idio Financial</v>
          </cell>
          <cell r="C2399" t="str">
            <v>BRS_GOLD__5_SPREADS:BRS_GOLD__4_CORP:BRS_GOLD__3_CSIG:CDS_IG_IDIO:JPCDS_FIN_IDIO</v>
          </cell>
          <cell r="D2399" t="str">
            <v>Spread Duration</v>
          </cell>
          <cell r="E2399" t="str">
            <v>Spread Yield (DxS)</v>
          </cell>
          <cell r="F2399" t="str">
            <v>Idiosyncratic</v>
          </cell>
          <cell r="G2399" t="str">
            <v>Other</v>
          </cell>
          <cell r="H2399" t="str">
            <v>SPREADS_SPECIFIC</v>
          </cell>
          <cell r="I2399" t="str">
            <v>Corporate IG - Idiosyncratic</v>
          </cell>
        </row>
        <row r="2400">
          <cell r="A2400" t="str">
            <v>JPCDS_IND_IDIO</v>
          </cell>
          <cell r="B2400" t="str">
            <v>JP CDS Idio Industrial</v>
          </cell>
          <cell r="C2400" t="str">
            <v>BRS_GOLD__5_SPREADS:BRS_GOLD__4_CORP:BRS_GOLD__3_CSIG:CDS_IG_IDIO:JPCDS_IND_IDIO</v>
          </cell>
          <cell r="D2400" t="str">
            <v>Spread Duration</v>
          </cell>
          <cell r="E2400" t="str">
            <v>Spread Yield (DxS)</v>
          </cell>
          <cell r="F2400" t="str">
            <v>Idiosyncratic</v>
          </cell>
          <cell r="G2400" t="str">
            <v>Other</v>
          </cell>
          <cell r="H2400" t="str">
            <v>SPREADS_SPECIFIC</v>
          </cell>
          <cell r="I2400" t="str">
            <v>Corporate IG - Idiosyncratic</v>
          </cell>
        </row>
        <row r="2401">
          <cell r="A2401" t="str">
            <v>USCDS_FIN_IDIO</v>
          </cell>
          <cell r="B2401" t="str">
            <v>US CDS Idio Financial IG</v>
          </cell>
          <cell r="C2401" t="str">
            <v>BRS_GOLD__5_SPREADS:BRS_GOLD__4_CORP:BRS_GOLD__3_CSIG:CDS_IG_IDIO:USCDS_FIN_IDIO</v>
          </cell>
          <cell r="D2401" t="str">
            <v>Spread Duration</v>
          </cell>
          <cell r="E2401" t="str">
            <v>Spread Yield (DxS)</v>
          </cell>
          <cell r="F2401" t="str">
            <v>Idiosyncratic</v>
          </cell>
          <cell r="G2401" t="str">
            <v>Other</v>
          </cell>
          <cell r="H2401" t="str">
            <v>SPREADS_SPECIFIC</v>
          </cell>
          <cell r="I2401" t="str">
            <v>Corporate IG - Idiosyncratic</v>
          </cell>
        </row>
        <row r="2402">
          <cell r="A2402" t="str">
            <v>USCDS_IND_IDIO</v>
          </cell>
          <cell r="B2402" t="str">
            <v>US CDS Idio Industrial IG</v>
          </cell>
          <cell r="C2402" t="str">
            <v>BRS_GOLD__5_SPREADS:BRS_GOLD__4_CORP:BRS_GOLD__3_CSIG:CDS_IG_IDIO:USCDS_IND_IDIO</v>
          </cell>
          <cell r="D2402" t="str">
            <v>Spread Duration</v>
          </cell>
          <cell r="E2402" t="str">
            <v>Spread Yield (DxS)</v>
          </cell>
          <cell r="F2402" t="str">
            <v>Idiosyncratic</v>
          </cell>
          <cell r="G2402" t="str">
            <v>Other</v>
          </cell>
          <cell r="H2402" t="str">
            <v>SPREADS_SPECIFIC</v>
          </cell>
          <cell r="I2402" t="str">
            <v>Corporate IG - Idiosyncratic</v>
          </cell>
        </row>
        <row r="2403">
          <cell r="A2403" t="str">
            <v>USCDS_UTI_IDIO</v>
          </cell>
          <cell r="B2403" t="str">
            <v>US CDS Idio Utility IG</v>
          </cell>
          <cell r="C2403" t="str">
            <v>BRS_GOLD__5_SPREADS:BRS_GOLD__4_CORP:BRS_GOLD__3_CSIG:CDS_IG_IDIO:USCDS_UTI_IDIO</v>
          </cell>
          <cell r="D2403" t="str">
            <v>Spread Duration</v>
          </cell>
          <cell r="E2403" t="str">
            <v>Spread Yield (DxS)</v>
          </cell>
          <cell r="F2403" t="str">
            <v>Idiosyncratic</v>
          </cell>
          <cell r="G2403" t="str">
            <v>Other</v>
          </cell>
          <cell r="H2403" t="str">
            <v>SPREADS_SPECIFIC</v>
          </cell>
          <cell r="I2403" t="str">
            <v>Corporate IG - Idiosyncratic</v>
          </cell>
        </row>
        <row r="2404">
          <cell r="A2404" t="str">
            <v>EUR_FINHY_IDIO</v>
          </cell>
          <cell r="B2404" t="str">
            <v>EU Credit Idio Financial HY</v>
          </cell>
          <cell r="C2404" t="str">
            <v>BRS_GOLD__5_SPREADS:BRS_GOLD__4_CORP:BRS_GOLD__3_CSHY:CASH_HY_IDIO:EUR_FINHY_IDIO</v>
          </cell>
          <cell r="D2404" t="str">
            <v>Spread Duration</v>
          </cell>
          <cell r="E2404" t="str">
            <v>Spread Yield (DxS)</v>
          </cell>
          <cell r="F2404" t="str">
            <v>Idiosyncratic</v>
          </cell>
          <cell r="G2404" t="str">
            <v>Other</v>
          </cell>
          <cell r="H2404" t="str">
            <v>SPREADS_SPECIFIC</v>
          </cell>
          <cell r="I2404" t="str">
            <v>Corporate HY - Idiosyncratic</v>
          </cell>
        </row>
        <row r="2405">
          <cell r="A2405" t="str">
            <v>EUR_INDHY_IDIO</v>
          </cell>
          <cell r="B2405" t="str">
            <v>EU Credit Idio Industrial HY</v>
          </cell>
          <cell r="C2405" t="str">
            <v>BRS_GOLD__5_SPREADS:BRS_GOLD__4_CORP:BRS_GOLD__3_CSHY:CASH_HY_IDIO:EUR_INDHY_IDIO</v>
          </cell>
          <cell r="D2405" t="str">
            <v>Spread Duration</v>
          </cell>
          <cell r="E2405" t="str">
            <v>Spread Yield (DxS)</v>
          </cell>
          <cell r="F2405" t="str">
            <v>Idiosyncratic</v>
          </cell>
          <cell r="G2405" t="str">
            <v>Other</v>
          </cell>
          <cell r="H2405" t="str">
            <v>SPREADS_SPECIFIC</v>
          </cell>
          <cell r="I2405" t="str">
            <v>Corporate HY - Idiosyncratic</v>
          </cell>
        </row>
        <row r="2406">
          <cell r="A2406" t="str">
            <v>USCRD_FINHY_IDIO</v>
          </cell>
          <cell r="B2406" t="str">
            <v>US Credit Idio Financial HY</v>
          </cell>
          <cell r="C2406" t="str">
            <v>BRS_GOLD__5_SPREADS:BRS_GOLD__4_CORP:BRS_GOLD__3_CSHY:CASH_HY_IDIO:USCRD_FINHY_IDIO</v>
          </cell>
          <cell r="D2406" t="str">
            <v>Spread Duration</v>
          </cell>
          <cell r="E2406" t="str">
            <v>Spread Yield (DxS)</v>
          </cell>
          <cell r="F2406" t="str">
            <v>Idiosyncratic</v>
          </cell>
          <cell r="G2406" t="str">
            <v>Other</v>
          </cell>
          <cell r="H2406" t="str">
            <v>SPREADS_SPECIFIC</v>
          </cell>
          <cell r="I2406" t="str">
            <v>Corporate HY - Idiosyncratic</v>
          </cell>
        </row>
        <row r="2407">
          <cell r="A2407" t="str">
            <v>USCRD_INDHY_IDIO</v>
          </cell>
          <cell r="B2407" t="str">
            <v>US Credit Idio Industrial HY</v>
          </cell>
          <cell r="C2407" t="str">
            <v>BRS_GOLD__5_SPREADS:BRS_GOLD__4_CORP:BRS_GOLD__3_CSHY:CASH_HY_IDIO:USCRD_INDHY_IDIO</v>
          </cell>
          <cell r="D2407" t="str">
            <v>Spread Duration</v>
          </cell>
          <cell r="E2407" t="str">
            <v>Spread Yield (DxS)</v>
          </cell>
          <cell r="F2407" t="str">
            <v>Idiosyncratic</v>
          </cell>
          <cell r="G2407" t="str">
            <v>Other</v>
          </cell>
          <cell r="H2407" t="str">
            <v>SPREADS_SPECIFIC</v>
          </cell>
          <cell r="I2407" t="str">
            <v>Corporate HY - Idiosyncratic</v>
          </cell>
        </row>
        <row r="2408">
          <cell r="A2408" t="str">
            <v>USCRD_UTIHY_IDIO</v>
          </cell>
          <cell r="B2408" t="str">
            <v>US Credit Idio Utility HY</v>
          </cell>
          <cell r="C2408" t="str">
            <v>BRS_GOLD__5_SPREADS:BRS_GOLD__4_CORP:BRS_GOLD__3_CSHY:CASH_HY_IDIO:USCRD_UTIHY_IDIO</v>
          </cell>
          <cell r="D2408" t="str">
            <v>Spread Duration</v>
          </cell>
          <cell r="E2408" t="str">
            <v>Spread Yield (DxS)</v>
          </cell>
          <cell r="F2408" t="str">
            <v>Idiosyncratic</v>
          </cell>
          <cell r="G2408" t="str">
            <v>Other</v>
          </cell>
          <cell r="H2408" t="str">
            <v>SPREADS_SPECIFIC</v>
          </cell>
          <cell r="I2408" t="str">
            <v>Corporate HY - Idiosyncratic</v>
          </cell>
        </row>
        <row r="2409">
          <cell r="A2409" t="str">
            <v>EUCDS_FINHY_IDIO</v>
          </cell>
          <cell r="B2409" t="str">
            <v>EU CDS Idio Financial HY</v>
          </cell>
          <cell r="C2409" t="str">
            <v>BRS_GOLD__5_SPREADS:BRS_GOLD__4_CORP:BRS_GOLD__3_CSHY:CDS_HY_IDIO:EUCDS_FINHY_IDIO</v>
          </cell>
          <cell r="D2409" t="str">
            <v>Spread Duration</v>
          </cell>
          <cell r="E2409" t="str">
            <v>Spread Yield (DxS)</v>
          </cell>
          <cell r="F2409" t="str">
            <v>Idiosyncratic</v>
          </cell>
          <cell r="G2409" t="str">
            <v>Other</v>
          </cell>
          <cell r="H2409" t="str">
            <v>SPREADS_SPECIFIC</v>
          </cell>
          <cell r="I2409" t="str">
            <v>Corporate HY - Idiosyncratic</v>
          </cell>
        </row>
        <row r="2410">
          <cell r="A2410" t="str">
            <v>EUCDS_CONHY_IDIO</v>
          </cell>
          <cell r="B2410" t="str">
            <v>EU CDS Idio Consumer HY</v>
          </cell>
          <cell r="C2410" t="str">
            <v>BRS_GOLD__5_SPREADS:BRS_GOLD__4_CORP:BRS_GOLD__3_CSHY:CDS_HY_IDIO:EUCDS_CONHY_IDIO</v>
          </cell>
          <cell r="D2410" t="str">
            <v>Spread Duration</v>
          </cell>
          <cell r="E2410" t="str">
            <v>Spread Yield (DxS)</v>
          </cell>
          <cell r="F2410" t="str">
            <v>Idiosyncratic</v>
          </cell>
          <cell r="G2410" t="str">
            <v>Other</v>
          </cell>
          <cell r="H2410" t="str">
            <v>SPREADS_SPECIFIC</v>
          </cell>
          <cell r="I2410" t="str">
            <v>Corporate HY - Idiosyncratic</v>
          </cell>
        </row>
        <row r="2411">
          <cell r="A2411" t="str">
            <v>EUCDS_INDHY_IDIO</v>
          </cell>
          <cell r="B2411" t="str">
            <v>EU CDS Idio Industrial HY</v>
          </cell>
          <cell r="C2411" t="str">
            <v>BRS_GOLD__5_SPREADS:BRS_GOLD__4_CORP:BRS_GOLD__3_CSHY:CDS_HY_IDIO:EUCDS_INDHY_IDIO</v>
          </cell>
          <cell r="D2411" t="str">
            <v>Spread Duration</v>
          </cell>
          <cell r="E2411" t="str">
            <v>Spread Yield (DxS)</v>
          </cell>
          <cell r="F2411" t="str">
            <v>Idiosyncratic</v>
          </cell>
          <cell r="G2411" t="str">
            <v>Other</v>
          </cell>
          <cell r="H2411" t="str">
            <v>SPREADS_SPECIFIC</v>
          </cell>
          <cell r="I2411" t="str">
            <v>Corporate HY - Idiosyncratic</v>
          </cell>
        </row>
        <row r="2412">
          <cell r="A2412" t="str">
            <v>USCDS_FINHY_IDIO</v>
          </cell>
          <cell r="B2412" t="str">
            <v>US CDS Idio Financial HY</v>
          </cell>
          <cell r="C2412" t="str">
            <v>BRS_GOLD__5_SPREADS:BRS_GOLD__4_CORP:BRS_GOLD__3_CSHY:CDS_HY_IDIO:USCDS_FINHY_IDIO</v>
          </cell>
          <cell r="D2412" t="str">
            <v>Spread Duration</v>
          </cell>
          <cell r="E2412" t="str">
            <v>Spread Yield (DxS)</v>
          </cell>
          <cell r="F2412" t="str">
            <v>Idiosyncratic</v>
          </cell>
          <cell r="G2412" t="str">
            <v>Other</v>
          </cell>
          <cell r="H2412" t="str">
            <v>SPREADS_SPECIFIC</v>
          </cell>
          <cell r="I2412" t="str">
            <v>Corporate HY - Idiosyncratic</v>
          </cell>
        </row>
        <row r="2413">
          <cell r="A2413" t="str">
            <v>USCDS_INDHY_IDIO</v>
          </cell>
          <cell r="B2413" t="str">
            <v>US CDS Idio Industrial HY</v>
          </cell>
          <cell r="C2413" t="str">
            <v>BRS_GOLD__5_SPREADS:BRS_GOLD__4_CORP:BRS_GOLD__3_CSHY:CDS_HY_IDIO:USCDS_INDHY_IDIO</v>
          </cell>
          <cell r="D2413" t="str">
            <v>Spread Duration</v>
          </cell>
          <cell r="E2413" t="str">
            <v>Spread Yield (DxS)</v>
          </cell>
          <cell r="F2413" t="str">
            <v>Idiosyncratic</v>
          </cell>
          <cell r="G2413" t="str">
            <v>Other</v>
          </cell>
          <cell r="H2413" t="str">
            <v>SPREADS_SPECIFIC</v>
          </cell>
          <cell r="I2413" t="str">
            <v>Corporate HY - Idiosyncratic</v>
          </cell>
        </row>
        <row r="2414">
          <cell r="A2414" t="str">
            <v>USCDS_UTIHY_IDIO</v>
          </cell>
          <cell r="B2414" t="str">
            <v>US CDS Idio Utility HY</v>
          </cell>
          <cell r="C2414" t="str">
            <v>BRS_GOLD__5_SPREADS:BRS_GOLD__4_CORP:BRS_GOLD__3_CSHY:CDS_HY_IDIO:USCDS_UTIHY_IDIO</v>
          </cell>
          <cell r="D2414" t="str">
            <v>Spread Duration</v>
          </cell>
          <cell r="E2414" t="str">
            <v>Spread Yield (DxS)</v>
          </cell>
          <cell r="F2414" t="str">
            <v>Idiosyncratic</v>
          </cell>
          <cell r="G2414" t="str">
            <v>Other</v>
          </cell>
          <cell r="H2414" t="str">
            <v>SPREADS_SPECIFIC</v>
          </cell>
          <cell r="I2414" t="str">
            <v>Corporate HY - Idiosyncratic</v>
          </cell>
        </row>
        <row r="2415">
          <cell r="A2415" t="str">
            <v>DIST_SP_RISK</v>
          </cell>
          <cell r="B2415" t="str">
            <v>Distressed Idiosyncratic</v>
          </cell>
          <cell r="C2415" t="str">
            <v>BRS_GOLD__5_SPREADS:BRS_GOLD__4_CORP:BRS_GOLD__1_DIST:DIST_SP_RISK</v>
          </cell>
          <cell r="D2415" t="str">
            <v>Specific Risk</v>
          </cell>
          <cell r="E2415" t="str">
            <v>Specific Risk</v>
          </cell>
          <cell r="F2415" t="str">
            <v>Idiosyncratic</v>
          </cell>
          <cell r="G2415" t="str">
            <v>Other</v>
          </cell>
          <cell r="H2415" t="str">
            <v>SPREADS_SPECIFIC</v>
          </cell>
          <cell r="I2415" t="str">
            <v>Distressed - Idiosyncratic</v>
          </cell>
        </row>
        <row r="2416">
          <cell r="A2416" t="str">
            <v>EUR_DSTSS_IDIO</v>
          </cell>
          <cell r="B2416" t="str">
            <v>EU Credit Idio Distressed</v>
          </cell>
          <cell r="C2416" t="str">
            <v>BRS_GOLD__5_SPREADS:BRS_GOLD__4_CORP:BRS_GOLD__1_DIST:EUR_DSTSS_IDIO</v>
          </cell>
          <cell r="D2416" t="str">
            <v>Price</v>
          </cell>
          <cell r="E2416" t="str">
            <v>Price Level</v>
          </cell>
          <cell r="F2416" t="str">
            <v>Idiosyncratic</v>
          </cell>
          <cell r="G2416" t="str">
            <v>Other</v>
          </cell>
          <cell r="H2416" t="str">
            <v>SPREADS_SPECIFIC</v>
          </cell>
          <cell r="I2416" t="str">
            <v>Distressed - Idiosyncratic</v>
          </cell>
        </row>
        <row r="2417">
          <cell r="A2417" t="str">
            <v>USCRD_DSTSS_IDIO</v>
          </cell>
          <cell r="B2417" t="str">
            <v>US Credit Idio Distressed</v>
          </cell>
          <cell r="C2417" t="str">
            <v>BRS_GOLD__5_SPREADS:BRS_GOLD__4_CORP:BRS_GOLD__1_DIST:USCRD_DSTSS_IDIO</v>
          </cell>
          <cell r="D2417" t="str">
            <v>Price</v>
          </cell>
          <cell r="E2417" t="str">
            <v>Price Level</v>
          </cell>
          <cell r="F2417" t="str">
            <v>Idiosyncratic</v>
          </cell>
          <cell r="G2417" t="str">
            <v>Other</v>
          </cell>
          <cell r="H2417" t="str">
            <v>SPREADS_SPECIFIC</v>
          </cell>
          <cell r="I2417" t="str">
            <v>Distressed - Idiosyncratic</v>
          </cell>
        </row>
        <row r="2418">
          <cell r="A2418" t="str">
            <v>USD_DISTRESS</v>
          </cell>
          <cell r="B2418" t="str">
            <v>US Distressed</v>
          </cell>
          <cell r="C2418" t="str">
            <v>BRS_GOLD__5_SPREADS:BRS_GOLD__4_CORP:BRS_GOLD__1_DIST:USD_DISTRESS</v>
          </cell>
          <cell r="D2418" t="str">
            <v>Price</v>
          </cell>
          <cell r="E2418" t="str">
            <v>Price Level</v>
          </cell>
          <cell r="F2418" t="str">
            <v>SP-Other</v>
          </cell>
          <cell r="G2418" t="str">
            <v>SP-Other</v>
          </cell>
          <cell r="H2418" t="str">
            <v>SPREADS</v>
          </cell>
          <cell r="I2418" t="str">
            <v>Corporate Distressed</v>
          </cell>
        </row>
        <row r="2419">
          <cell r="A2419" t="str">
            <v>USD_DISTRESS3</v>
          </cell>
          <cell r="B2419" t="str">
            <v>US Distressed Cash Bonds</v>
          </cell>
          <cell r="C2419" t="str">
            <v>BRS_GOLD__5_SPREADS:BRS_GOLD__4_CORP:BRS_GOLD__1_DIST:USD_DISTRESS3</v>
          </cell>
          <cell r="D2419" t="str">
            <v>Price</v>
          </cell>
          <cell r="E2419" t="str">
            <v>Price Level</v>
          </cell>
          <cell r="F2419" t="str">
            <v>SP-Other</v>
          </cell>
          <cell r="G2419" t="str">
            <v>SP-Other</v>
          </cell>
          <cell r="H2419" t="str">
            <v>SPREADS</v>
          </cell>
          <cell r="I2419" t="str">
            <v>Corporate Distressed</v>
          </cell>
        </row>
        <row r="2420">
          <cell r="A2420" t="str">
            <v>EUR_DISTRESS</v>
          </cell>
          <cell r="B2420" t="str">
            <v>EU Distressed CDS</v>
          </cell>
          <cell r="C2420" t="str">
            <v>BRS_GOLD__5_SPREADS:BRS_GOLD__4_CORP:BRS_GOLD__1_DIST:EUR_DISTRESS</v>
          </cell>
          <cell r="D2420" t="str">
            <v>Price</v>
          </cell>
          <cell r="E2420" t="str">
            <v>Price Level</v>
          </cell>
          <cell r="F2420" t="str">
            <v>SP-Other</v>
          </cell>
          <cell r="G2420" t="str">
            <v>SP-Other</v>
          </cell>
          <cell r="H2420" t="str">
            <v>SPREADS</v>
          </cell>
          <cell r="I2420" t="str">
            <v>Corporate Distressed</v>
          </cell>
        </row>
        <row r="2421">
          <cell r="A2421" t="str">
            <v>ALL_DISTRESS</v>
          </cell>
          <cell r="B2421" t="str">
            <v>Non $ Distressed</v>
          </cell>
          <cell r="C2421" t="str">
            <v>BRS_GOLD__5_SPREADS:BRS_GOLD__4_CORP:BRS_GOLD__1_DIST:ALL_DISTRESS</v>
          </cell>
          <cell r="D2421" t="str">
            <v>Price</v>
          </cell>
          <cell r="E2421" t="str">
            <v>Price Level</v>
          </cell>
          <cell r="F2421" t="str">
            <v>SP-Other</v>
          </cell>
          <cell r="G2421" t="str">
            <v>SP-Other</v>
          </cell>
          <cell r="H2421" t="str">
            <v>SPREADS</v>
          </cell>
          <cell r="I2421" t="str">
            <v>Corporate Distressed</v>
          </cell>
        </row>
        <row r="2422">
          <cell r="A2422" t="str">
            <v>EUR_DSTRSS</v>
          </cell>
          <cell r="B2422" t="str">
            <v>Pan Euro Distressed</v>
          </cell>
          <cell r="C2422" t="str">
            <v>BRS_GOLD__5_SPREADS:BRS_GOLD__4_CORP:BRS_GOLD__1_DIST:EUR_DSTRSS</v>
          </cell>
          <cell r="D2422" t="str">
            <v>Price</v>
          </cell>
          <cell r="E2422" t="str">
            <v>Price Level</v>
          </cell>
          <cell r="F2422" t="str">
            <v>SP-Other</v>
          </cell>
          <cell r="G2422" t="str">
            <v>SP-Other</v>
          </cell>
          <cell r="H2422" t="str">
            <v>SPREADS</v>
          </cell>
          <cell r="I2422" t="str">
            <v>Corporate Distressed</v>
          </cell>
        </row>
        <row r="2423">
          <cell r="A2423" t="str">
            <v>USD_DISTRESSN</v>
          </cell>
          <cell r="B2423" t="str">
            <v>US Distressed Bonds</v>
          </cell>
          <cell r="C2423" t="str">
            <v>BRS_GOLD__5_SPREADS:BRS_GOLD__4_CORP:BRS_GOLD__1_DIST:USD_DISTRESSN</v>
          </cell>
          <cell r="D2423" t="str">
            <v>Price</v>
          </cell>
          <cell r="E2423" t="str">
            <v>Price Level</v>
          </cell>
          <cell r="F2423" t="str">
            <v>SP-Other</v>
          </cell>
          <cell r="G2423" t="str">
            <v>SP-Other</v>
          </cell>
          <cell r="H2423" t="str">
            <v>SPREADS</v>
          </cell>
          <cell r="I2423" t="str">
            <v>Corporate Distressed</v>
          </cell>
        </row>
        <row r="2424">
          <cell r="A2424" t="str">
            <v>EUR_DSTRSS_SF</v>
          </cell>
          <cell r="B2424" t="str">
            <v>Pan Euro Distressed</v>
          </cell>
          <cell r="C2424" t="str">
            <v>BRS_GOLD__5_SPREADS:BRS_GOLD__4_CORP:BRS_GOLD__1_DIST:EUR_DSTRSS_SF</v>
          </cell>
          <cell r="D2424" t="str">
            <v>Price</v>
          </cell>
          <cell r="E2424" t="str">
            <v>Price Level</v>
          </cell>
          <cell r="F2424" t="str">
            <v>SP-Other</v>
          </cell>
          <cell r="G2424" t="str">
            <v>SP-Other</v>
          </cell>
          <cell r="H2424" t="str">
            <v>SPREADS</v>
          </cell>
          <cell r="I2424" t="str">
            <v>Corporate Distressed</v>
          </cell>
        </row>
        <row r="2425">
          <cell r="A2425" t="str">
            <v>USD_DISTRESSN_SF</v>
          </cell>
          <cell r="B2425" t="str">
            <v>US Distressed Bonds</v>
          </cell>
          <cell r="C2425" t="str">
            <v>BRS_GOLD__5_SPREADS:BRS_GOLD__4_CORP:BRS_GOLD__1_DIST:USD_DISTRESSN_SF</v>
          </cell>
          <cell r="D2425" t="str">
            <v>Price</v>
          </cell>
          <cell r="E2425" t="str">
            <v>Price Level</v>
          </cell>
          <cell r="F2425" t="str">
            <v>SP-Other</v>
          </cell>
          <cell r="G2425" t="str">
            <v>SP-Other</v>
          </cell>
          <cell r="H2425" t="str">
            <v>SPREADS</v>
          </cell>
          <cell r="I2425" t="str">
            <v>Corporate Distressed</v>
          </cell>
        </row>
        <row r="2426">
          <cell r="A2426" t="str">
            <v>ALL_CORP_AUTO_2</v>
          </cell>
          <cell r="B2426" t="str">
            <v>ALL CORP AUTO 2</v>
          </cell>
          <cell r="C2426" t="str">
            <v>BRS_GOLD__5_SPREADS:BRS_GOLD__4_CORP:BRS_GOLD__1_CORP:ALL_CORP_AUTO_2</v>
          </cell>
          <cell r="D2426" t="str">
            <v>Spread Duration</v>
          </cell>
          <cell r="E2426" t="str">
            <v>Spread Yield</v>
          </cell>
          <cell r="F2426" t="str">
            <v>Other</v>
          </cell>
          <cell r="G2426" t="str">
            <v>Other</v>
          </cell>
          <cell r="H2426" t="str">
            <v>SPREADS</v>
          </cell>
          <cell r="I2426" t="str">
            <v>Corporate Other</v>
          </cell>
        </row>
        <row r="2427">
          <cell r="A2427" t="str">
            <v>ALL_CORP_AUTO_5</v>
          </cell>
          <cell r="B2427" t="str">
            <v>ALL CORP AUTO 5</v>
          </cell>
          <cell r="C2427" t="str">
            <v>BRS_GOLD__5_SPREADS:BRS_GOLD__4_CORP:BRS_GOLD__1_CORP:ALL_CORP_AUTO_5</v>
          </cell>
          <cell r="D2427" t="str">
            <v>Spread Duration</v>
          </cell>
          <cell r="E2427" t="str">
            <v>Spread Yield</v>
          </cell>
          <cell r="F2427" t="str">
            <v>Other</v>
          </cell>
          <cell r="G2427" t="str">
            <v>Other</v>
          </cell>
          <cell r="H2427" t="str">
            <v>SPREADS</v>
          </cell>
          <cell r="I2427" t="str">
            <v>Corporate Other</v>
          </cell>
        </row>
        <row r="2428">
          <cell r="A2428" t="str">
            <v>ALL_CORP_AUTO_10</v>
          </cell>
          <cell r="B2428" t="str">
            <v>ALL CORP AUTO 10</v>
          </cell>
          <cell r="C2428" t="str">
            <v>BRS_GOLD__5_SPREADS:BRS_GOLD__4_CORP:BRS_GOLD__1_CORP:ALL_CORP_AUTO_10</v>
          </cell>
          <cell r="D2428" t="str">
            <v>Spread Duration</v>
          </cell>
          <cell r="E2428" t="str">
            <v>Spread Yield</v>
          </cell>
          <cell r="F2428" t="str">
            <v>Other</v>
          </cell>
          <cell r="G2428" t="str">
            <v>Other</v>
          </cell>
          <cell r="H2428" t="str">
            <v>SPREADS</v>
          </cell>
          <cell r="I2428" t="str">
            <v>Corporate Other</v>
          </cell>
        </row>
        <row r="2429">
          <cell r="A2429" t="str">
            <v>ALL_CORP_AUTO_30</v>
          </cell>
          <cell r="B2429" t="str">
            <v>ALL CORP AUTO 30</v>
          </cell>
          <cell r="C2429" t="str">
            <v>BRS_GOLD__5_SPREADS:BRS_GOLD__4_CORP:BRS_GOLD__1_CORP:ALL_CORP_AUTO_30</v>
          </cell>
          <cell r="D2429" t="str">
            <v>Spread Duration</v>
          </cell>
          <cell r="E2429" t="str">
            <v>Spread Yield</v>
          </cell>
          <cell r="F2429" t="str">
            <v>Other</v>
          </cell>
          <cell r="G2429" t="str">
            <v>Other</v>
          </cell>
          <cell r="H2429" t="str">
            <v>SPREADS</v>
          </cell>
          <cell r="I2429" t="str">
            <v>Corporate Other</v>
          </cell>
        </row>
        <row r="2430">
          <cell r="A2430" t="str">
            <v>USD_CORP_AUTO_2</v>
          </cell>
          <cell r="B2430" t="str">
            <v>USD CORP AUTO 2</v>
          </cell>
          <cell r="C2430" t="str">
            <v>BRS_GOLD__5_SPREADS:BRS_GOLD__4_CORP:BRS_GOLD__1_CORP:USD_CORP_AUTO_2</v>
          </cell>
          <cell r="D2430" t="str">
            <v>Spread Duration</v>
          </cell>
          <cell r="E2430" t="str">
            <v>Other Spread Yield</v>
          </cell>
          <cell r="F2430" t="str">
            <v>Other</v>
          </cell>
          <cell r="G2430" t="str">
            <v>Other</v>
          </cell>
          <cell r="H2430" t="str">
            <v>SPREADS</v>
          </cell>
          <cell r="I2430" t="str">
            <v>Corporate Other</v>
          </cell>
        </row>
        <row r="2431">
          <cell r="A2431" t="str">
            <v>USD_CORP_AUTO_5</v>
          </cell>
          <cell r="B2431" t="str">
            <v>USD CORP AUTO 5</v>
          </cell>
          <cell r="C2431" t="str">
            <v>BRS_GOLD__5_SPREADS:BRS_GOLD__4_CORP:BRS_GOLD__1_CORP:USD_CORP_AUTO_5</v>
          </cell>
          <cell r="D2431" t="str">
            <v>Spread Duration</v>
          </cell>
          <cell r="E2431" t="str">
            <v>Other Spread Yield</v>
          </cell>
          <cell r="F2431" t="str">
            <v>Other</v>
          </cell>
          <cell r="G2431" t="str">
            <v>Other</v>
          </cell>
          <cell r="H2431" t="str">
            <v>SPREADS</v>
          </cell>
          <cell r="I2431" t="str">
            <v>Corporate Other</v>
          </cell>
        </row>
        <row r="2432">
          <cell r="A2432" t="str">
            <v>USD_CORP_AUTO_10</v>
          </cell>
          <cell r="B2432" t="str">
            <v>USD CORP AUTO 10</v>
          </cell>
          <cell r="C2432" t="str">
            <v>BRS_GOLD__5_SPREADS:BRS_GOLD__4_CORP:BRS_GOLD__1_CORP:USD_CORP_AUTO_10</v>
          </cell>
          <cell r="D2432" t="str">
            <v>Spread Duration</v>
          </cell>
          <cell r="E2432" t="str">
            <v>Other Spread Yield</v>
          </cell>
          <cell r="F2432" t="str">
            <v>Other</v>
          </cell>
          <cell r="G2432" t="str">
            <v>Other</v>
          </cell>
          <cell r="H2432" t="str">
            <v>SPREADS</v>
          </cell>
          <cell r="I2432" t="str">
            <v>Corporate Other</v>
          </cell>
        </row>
        <row r="2433">
          <cell r="A2433" t="str">
            <v>USD_CORP_AUTO_30</v>
          </cell>
          <cell r="B2433" t="str">
            <v>USD CORP AUTO 30</v>
          </cell>
          <cell r="C2433" t="str">
            <v>BRS_GOLD__5_SPREADS:BRS_GOLD__4_CORP:BRS_GOLD__1_CORP:USD_CORP_AUTO_30</v>
          </cell>
          <cell r="D2433" t="str">
            <v>Spread Duration</v>
          </cell>
          <cell r="E2433" t="str">
            <v>Other Spread Yield</v>
          </cell>
          <cell r="F2433" t="str">
            <v>Other</v>
          </cell>
          <cell r="G2433" t="str">
            <v>Other</v>
          </cell>
          <cell r="H2433" t="str">
            <v>SPREADS</v>
          </cell>
          <cell r="I2433" t="str">
            <v>Corporate Other</v>
          </cell>
        </row>
        <row r="2434">
          <cell r="A2434" t="str">
            <v>USD_LEH_CREDIT</v>
          </cell>
          <cell r="B2434" t="str">
            <v>Lehman Credit OAS</v>
          </cell>
          <cell r="C2434" t="str">
            <v>BRS_GOLD__5_SPREADS:BRS_GOLD__4_CORP:BRS_GOLD__1_CORP:USD_LEH_CREDIT</v>
          </cell>
          <cell r="D2434" t="str">
            <v>Spread Duration</v>
          </cell>
          <cell r="E2434" t="str">
            <v>Other Spread Yield</v>
          </cell>
          <cell r="F2434" t="str">
            <v>Other</v>
          </cell>
          <cell r="G2434" t="str">
            <v>Other</v>
          </cell>
          <cell r="H2434" t="str">
            <v>SPREADS</v>
          </cell>
          <cell r="I2434" t="str">
            <v>Corporate Other</v>
          </cell>
        </row>
        <row r="2435">
          <cell r="A2435" t="str">
            <v>USD_muni_3m</v>
          </cell>
          <cell r="B2435" t="str">
            <v>Muni Spread 3M</v>
          </cell>
          <cell r="C2435" t="str">
            <v>BRS_GOLD__5_SPREADS:BRS_GOLD__3_OTHER_SPREADS:BRS_GOLD__2_OSMUNI:MUNI_IR:USD_MUNI-USD_MUNI_SWAP:USD_muni_3m</v>
          </cell>
          <cell r="D2435" t="str">
            <v>Spread Duration</v>
          </cell>
          <cell r="E2435" t="str">
            <v>Other Spread Yield</v>
          </cell>
          <cell r="F2435" t="str">
            <v>Other</v>
          </cell>
          <cell r="G2435" t="str">
            <v>Other</v>
          </cell>
          <cell r="H2435" t="str">
            <v>OTHER</v>
          </cell>
          <cell r="I2435" t="str">
            <v>Spread - Municipals</v>
          </cell>
        </row>
        <row r="2436">
          <cell r="A2436" t="str">
            <v>USD_muni_1yr</v>
          </cell>
          <cell r="B2436" t="str">
            <v>Muni Spread 1Y</v>
          </cell>
          <cell r="C2436" t="str">
            <v>BRS_GOLD__5_SPREADS:BRS_GOLD__3_OTHER_SPREADS:BRS_GOLD__2_OSMUNI:MUNI_IR:USD_MUNI-USD_MUNI_SWAP:USD_muni_1yr</v>
          </cell>
          <cell r="D2436" t="str">
            <v>Spread Duration</v>
          </cell>
          <cell r="E2436" t="str">
            <v>Other Spread Yield</v>
          </cell>
          <cell r="F2436" t="str">
            <v>Other</v>
          </cell>
          <cell r="G2436" t="str">
            <v>Other</v>
          </cell>
          <cell r="H2436" t="str">
            <v>OTHER</v>
          </cell>
          <cell r="I2436" t="str">
            <v>Spread - Municipals</v>
          </cell>
        </row>
        <row r="2437">
          <cell r="A2437" t="str">
            <v>USD_muni_2yr</v>
          </cell>
          <cell r="B2437" t="str">
            <v>Muni Spread 2Y</v>
          </cell>
          <cell r="C2437" t="str">
            <v>BRS_GOLD__5_SPREADS:BRS_GOLD__3_OTHER_SPREADS:BRS_GOLD__2_OSMUNI:MUNI_IR:USD_MUNI-USD_MUNI_SWAP:USD_muni_2yr</v>
          </cell>
          <cell r="D2437" t="str">
            <v>Spread Duration</v>
          </cell>
          <cell r="E2437" t="str">
            <v>Other Spread Yield</v>
          </cell>
          <cell r="F2437" t="str">
            <v>Other</v>
          </cell>
          <cell r="G2437" t="str">
            <v>Other</v>
          </cell>
          <cell r="H2437" t="str">
            <v>OTHER</v>
          </cell>
          <cell r="I2437" t="str">
            <v>Spread - Municipals</v>
          </cell>
        </row>
        <row r="2438">
          <cell r="A2438" t="str">
            <v>USD_muni_3yr</v>
          </cell>
          <cell r="B2438" t="str">
            <v>Muni Spread 3Y</v>
          </cell>
          <cell r="C2438" t="str">
            <v>BRS_GOLD__5_SPREADS:BRS_GOLD__3_OTHER_SPREADS:BRS_GOLD__2_OSMUNI:MUNI_IR:USD_MUNI-USD_MUNI_SWAP:USD_muni_3yr</v>
          </cell>
          <cell r="D2438" t="str">
            <v>Spread Duration</v>
          </cell>
          <cell r="E2438" t="str">
            <v>Other Spread Yield</v>
          </cell>
          <cell r="F2438" t="str">
            <v>Other</v>
          </cell>
          <cell r="G2438" t="str">
            <v>Other</v>
          </cell>
          <cell r="H2438" t="str">
            <v>OTHER</v>
          </cell>
          <cell r="I2438" t="str">
            <v>Spread - Municipals</v>
          </cell>
        </row>
        <row r="2439">
          <cell r="A2439" t="str">
            <v>USD_muni_5yr</v>
          </cell>
          <cell r="B2439" t="str">
            <v>Muni Spread 5Y</v>
          </cell>
          <cell r="C2439" t="str">
            <v>BRS_GOLD__5_SPREADS:BRS_GOLD__3_OTHER_SPREADS:BRS_GOLD__2_OSMUNI:MUNI_IR:USD_MUNI-USD_MUNI_SWAP:USD_muni_5yr</v>
          </cell>
          <cell r="D2439" t="str">
            <v>Spread Duration</v>
          </cell>
          <cell r="E2439" t="str">
            <v>Other Spread Yield</v>
          </cell>
          <cell r="F2439" t="str">
            <v>Other</v>
          </cell>
          <cell r="G2439" t="str">
            <v>Other</v>
          </cell>
          <cell r="H2439" t="str">
            <v>OTHER</v>
          </cell>
          <cell r="I2439" t="str">
            <v>Spread - Municipals</v>
          </cell>
        </row>
        <row r="2440">
          <cell r="A2440" t="str">
            <v>USD_muni_7yr</v>
          </cell>
          <cell r="B2440" t="str">
            <v>Muni Spread 7Y</v>
          </cell>
          <cell r="C2440" t="str">
            <v>BRS_GOLD__5_SPREADS:BRS_GOLD__3_OTHER_SPREADS:BRS_GOLD__2_OSMUNI:MUNI_IR:USD_MUNI-USD_MUNI_SWAP:USD_muni_7yr</v>
          </cell>
          <cell r="D2440" t="str">
            <v>Spread Duration</v>
          </cell>
          <cell r="E2440" t="str">
            <v>Other Spread Yield</v>
          </cell>
          <cell r="F2440" t="str">
            <v>Other</v>
          </cell>
          <cell r="G2440" t="str">
            <v>Other</v>
          </cell>
          <cell r="H2440" t="str">
            <v>OTHER</v>
          </cell>
          <cell r="I2440" t="str">
            <v>Spread - Municipals</v>
          </cell>
        </row>
        <row r="2441">
          <cell r="A2441" t="str">
            <v>USD_muni_10yr</v>
          </cell>
          <cell r="B2441" t="str">
            <v>Muni Spread 10Y</v>
          </cell>
          <cell r="C2441" t="str">
            <v>BRS_GOLD__5_SPREADS:BRS_GOLD__3_OTHER_SPREADS:BRS_GOLD__2_OSMUNI:MUNI_IR:USD_MUNI-USD_MUNI_SWAP:USD_muni_10yr</v>
          </cell>
          <cell r="D2441" t="str">
            <v>Spread Duration</v>
          </cell>
          <cell r="E2441" t="str">
            <v>Other Spread Yield</v>
          </cell>
          <cell r="F2441" t="str">
            <v>Other</v>
          </cell>
          <cell r="G2441" t="str">
            <v>Other</v>
          </cell>
          <cell r="H2441" t="str">
            <v>OTHER</v>
          </cell>
          <cell r="I2441" t="str">
            <v>Spread - Municipals</v>
          </cell>
        </row>
        <row r="2442">
          <cell r="A2442" t="str">
            <v>USD_muni_15yr</v>
          </cell>
          <cell r="B2442" t="str">
            <v>Muni Spread 15Y</v>
          </cell>
          <cell r="C2442" t="str">
            <v>BRS_GOLD__5_SPREADS:BRS_GOLD__3_OTHER_SPREADS:BRS_GOLD__2_OSMUNI:MUNI_IR:USD_MUNI-USD_MUNI_SWAP:USD_muni_15yr</v>
          </cell>
          <cell r="D2442" t="str">
            <v>Spread Duration</v>
          </cell>
          <cell r="E2442" t="str">
            <v>Other Spread Yield</v>
          </cell>
          <cell r="F2442" t="str">
            <v>Other</v>
          </cell>
          <cell r="G2442" t="str">
            <v>Other</v>
          </cell>
          <cell r="H2442" t="str">
            <v>OTHER</v>
          </cell>
          <cell r="I2442" t="str">
            <v>Spread - Municipals</v>
          </cell>
        </row>
        <row r="2443">
          <cell r="A2443" t="str">
            <v>USD_muni_20yr</v>
          </cell>
          <cell r="B2443" t="str">
            <v>Muni Spread 20Y</v>
          </cell>
          <cell r="C2443" t="str">
            <v>BRS_GOLD__5_SPREADS:BRS_GOLD__3_OTHER_SPREADS:BRS_GOLD__2_OSMUNI:MUNI_IR:USD_MUNI-USD_MUNI_SWAP:USD_muni_20yr</v>
          </cell>
          <cell r="D2443" t="str">
            <v>Spread Duration</v>
          </cell>
          <cell r="E2443" t="str">
            <v>Other Spread Yield</v>
          </cell>
          <cell r="F2443" t="str">
            <v>Other</v>
          </cell>
          <cell r="G2443" t="str">
            <v>Other</v>
          </cell>
          <cell r="H2443" t="str">
            <v>OTHER</v>
          </cell>
          <cell r="I2443" t="str">
            <v>Spread - Municipals</v>
          </cell>
        </row>
        <row r="2444">
          <cell r="A2444" t="str">
            <v>USD_muni_25yr</v>
          </cell>
          <cell r="B2444" t="str">
            <v>Muni Spread 25Y</v>
          </cell>
          <cell r="C2444" t="str">
            <v>BRS_GOLD__5_SPREADS:BRS_GOLD__3_OTHER_SPREADS:BRS_GOLD__2_OSMUNI:MUNI_IR:USD_MUNI-USD_MUNI_SWAP:USD_muni_25yr</v>
          </cell>
          <cell r="D2444" t="str">
            <v>Spread Duration</v>
          </cell>
          <cell r="E2444" t="str">
            <v>Other Spread Yield</v>
          </cell>
          <cell r="F2444" t="str">
            <v>Other</v>
          </cell>
          <cell r="G2444" t="str">
            <v>Other</v>
          </cell>
          <cell r="H2444" t="str">
            <v>OTHER</v>
          </cell>
          <cell r="I2444" t="str">
            <v>Spread - Municipals</v>
          </cell>
        </row>
        <row r="2445">
          <cell r="A2445" t="str">
            <v>USD_muni_30yr</v>
          </cell>
          <cell r="B2445" t="str">
            <v>Muni Spread 30Y</v>
          </cell>
          <cell r="C2445" t="str">
            <v>BRS_GOLD__5_SPREADS:BRS_GOLD__3_OTHER_SPREADS:BRS_GOLD__2_OSMUNI:MUNI_IR:USD_MUNI-USD_MUNI_SWAP:USD_muni_30yr</v>
          </cell>
          <cell r="D2445" t="str">
            <v>Spread Duration</v>
          </cell>
          <cell r="E2445" t="str">
            <v>Other Spread Yield</v>
          </cell>
          <cell r="F2445" t="str">
            <v>Other</v>
          </cell>
          <cell r="G2445" t="str">
            <v>Other</v>
          </cell>
          <cell r="H2445" t="str">
            <v>OTHER</v>
          </cell>
          <cell r="I2445" t="str">
            <v>Spread - Municipals</v>
          </cell>
        </row>
        <row r="2446">
          <cell r="A2446" t="str">
            <v>ALL_muni_3m</v>
          </cell>
          <cell r="B2446" t="str">
            <v>Non$ Muni Sprd 3M</v>
          </cell>
          <cell r="C2446" t="str">
            <v>BRS_GOLD__5_SPREADS:BRS_GOLD__3_OTHER_SPREADS:BRS_GOLD__2_OSMUNI:MUNI_IR:ALL_MUNI-ALL_MUNI_SWAP:ALL_muni_3m</v>
          </cell>
          <cell r="D2446" t="str">
            <v>Spread Duration</v>
          </cell>
          <cell r="E2446" t="str">
            <v>Other Spread Yield</v>
          </cell>
          <cell r="F2446" t="str">
            <v>Other</v>
          </cell>
          <cell r="G2446" t="str">
            <v>Other</v>
          </cell>
          <cell r="H2446" t="str">
            <v>OTHER</v>
          </cell>
          <cell r="I2446" t="str">
            <v>Spread - Municipals</v>
          </cell>
        </row>
        <row r="2447">
          <cell r="A2447" t="str">
            <v>ALL_muni_1yr</v>
          </cell>
          <cell r="B2447" t="str">
            <v>Non$ Muni Sprd 1Y</v>
          </cell>
          <cell r="C2447" t="str">
            <v>BRS_GOLD__5_SPREADS:BRS_GOLD__3_OTHER_SPREADS:BRS_GOLD__2_OSMUNI:MUNI_IR:ALL_MUNI-ALL_MUNI_SWAP:ALL_muni_1yr</v>
          </cell>
          <cell r="D2447" t="str">
            <v>Spread Duration</v>
          </cell>
          <cell r="E2447" t="str">
            <v>Other Spread Yield</v>
          </cell>
          <cell r="F2447" t="str">
            <v>Other</v>
          </cell>
          <cell r="G2447" t="str">
            <v>Other</v>
          </cell>
          <cell r="H2447" t="str">
            <v>OTHER</v>
          </cell>
          <cell r="I2447" t="str">
            <v>Spread - Municipals</v>
          </cell>
        </row>
        <row r="2448">
          <cell r="A2448" t="str">
            <v>ALL_muni_2yr</v>
          </cell>
          <cell r="B2448" t="str">
            <v>Non$ Muni Sprd 2Y</v>
          </cell>
          <cell r="C2448" t="str">
            <v>BRS_GOLD__5_SPREADS:BRS_GOLD__3_OTHER_SPREADS:BRS_GOLD__2_OSMUNI:MUNI_IR:ALL_MUNI-ALL_MUNI_SWAP:ALL_muni_2yr</v>
          </cell>
          <cell r="D2448" t="str">
            <v>Spread Duration</v>
          </cell>
          <cell r="E2448" t="str">
            <v>Other Spread Yield</v>
          </cell>
          <cell r="F2448" t="str">
            <v>Other</v>
          </cell>
          <cell r="G2448" t="str">
            <v>Other</v>
          </cell>
          <cell r="H2448" t="str">
            <v>OTHER</v>
          </cell>
          <cell r="I2448" t="str">
            <v>Spread - Municipals</v>
          </cell>
        </row>
        <row r="2449">
          <cell r="A2449" t="str">
            <v>ALL_muni_3yr</v>
          </cell>
          <cell r="B2449" t="str">
            <v>Non$ Muni Sprd 3Y</v>
          </cell>
          <cell r="C2449" t="str">
            <v>BRS_GOLD__5_SPREADS:BRS_GOLD__3_OTHER_SPREADS:BRS_GOLD__2_OSMUNI:MUNI_IR:ALL_MUNI-ALL_MUNI_SWAP:ALL_muni_3yr</v>
          </cell>
          <cell r="D2449" t="str">
            <v>Spread Duration</v>
          </cell>
          <cell r="E2449" t="str">
            <v>Other Spread Yield</v>
          </cell>
          <cell r="F2449" t="str">
            <v>Other</v>
          </cell>
          <cell r="G2449" t="str">
            <v>Other</v>
          </cell>
          <cell r="H2449" t="str">
            <v>OTHER</v>
          </cell>
          <cell r="I2449" t="str">
            <v>Spread - Municipals</v>
          </cell>
        </row>
        <row r="2450">
          <cell r="A2450" t="str">
            <v>ALL_muni_5yr</v>
          </cell>
          <cell r="B2450" t="str">
            <v>Non$ Muni Sprd 5Y</v>
          </cell>
          <cell r="C2450" t="str">
            <v>BRS_GOLD__5_SPREADS:BRS_GOLD__3_OTHER_SPREADS:BRS_GOLD__2_OSMUNI:MUNI_IR:ALL_MUNI-ALL_MUNI_SWAP:ALL_muni_5yr</v>
          </cell>
          <cell r="D2450" t="str">
            <v>Spread Duration</v>
          </cell>
          <cell r="E2450" t="str">
            <v>Other Spread Yield</v>
          </cell>
          <cell r="F2450" t="str">
            <v>Other</v>
          </cell>
          <cell r="G2450" t="str">
            <v>Other</v>
          </cell>
          <cell r="H2450" t="str">
            <v>OTHER</v>
          </cell>
          <cell r="I2450" t="str">
            <v>Spread - Municipals</v>
          </cell>
        </row>
        <row r="2451">
          <cell r="A2451" t="str">
            <v>ALL_muni_7yr</v>
          </cell>
          <cell r="B2451" t="str">
            <v>Non$ Muni Sprd 7Y</v>
          </cell>
          <cell r="C2451" t="str">
            <v>BRS_GOLD__5_SPREADS:BRS_GOLD__3_OTHER_SPREADS:BRS_GOLD__2_OSMUNI:MUNI_IR:ALL_MUNI-ALL_MUNI_SWAP:ALL_muni_7yr</v>
          </cell>
          <cell r="D2451" t="str">
            <v>Spread Duration</v>
          </cell>
          <cell r="E2451" t="str">
            <v>Other Spread Yield</v>
          </cell>
          <cell r="F2451" t="str">
            <v>Other</v>
          </cell>
          <cell r="G2451" t="str">
            <v>Other</v>
          </cell>
          <cell r="H2451" t="str">
            <v>OTHER</v>
          </cell>
          <cell r="I2451" t="str">
            <v>Spread - Municipals</v>
          </cell>
        </row>
        <row r="2452">
          <cell r="A2452" t="str">
            <v>ALL_muni_10yr</v>
          </cell>
          <cell r="B2452" t="str">
            <v>Non$ Muni Sprd 10Y</v>
          </cell>
          <cell r="C2452" t="str">
            <v>BRS_GOLD__5_SPREADS:BRS_GOLD__3_OTHER_SPREADS:BRS_GOLD__2_OSMUNI:MUNI_IR:ALL_MUNI-ALL_MUNI_SWAP:ALL_muni_10yr</v>
          </cell>
          <cell r="D2452" t="str">
            <v>Spread Duration</v>
          </cell>
          <cell r="E2452" t="str">
            <v>Other Spread Yield</v>
          </cell>
          <cell r="F2452" t="str">
            <v>Other</v>
          </cell>
          <cell r="G2452" t="str">
            <v>Other</v>
          </cell>
          <cell r="H2452" t="str">
            <v>OTHER</v>
          </cell>
          <cell r="I2452" t="str">
            <v>Spread - Municipals</v>
          </cell>
        </row>
        <row r="2453">
          <cell r="A2453" t="str">
            <v>ALL_muni_15yr</v>
          </cell>
          <cell r="B2453" t="str">
            <v>Non$ Muni Sprd 15Y</v>
          </cell>
          <cell r="C2453" t="str">
            <v>BRS_GOLD__5_SPREADS:BRS_GOLD__3_OTHER_SPREADS:BRS_GOLD__2_OSMUNI:MUNI_IR:ALL_MUNI-ALL_MUNI_SWAP:ALL_muni_15yr</v>
          </cell>
          <cell r="D2453" t="str">
            <v>Spread Duration</v>
          </cell>
          <cell r="E2453" t="str">
            <v>Other Spread Yield</v>
          </cell>
          <cell r="F2453" t="str">
            <v>Other</v>
          </cell>
          <cell r="G2453" t="str">
            <v>Other</v>
          </cell>
          <cell r="H2453" t="str">
            <v>OTHER</v>
          </cell>
          <cell r="I2453" t="str">
            <v>Spread - Municipals</v>
          </cell>
        </row>
        <row r="2454">
          <cell r="A2454" t="str">
            <v>ALL_muni_20yr</v>
          </cell>
          <cell r="B2454" t="str">
            <v>Non$ Muni Sprd 20Y</v>
          </cell>
          <cell r="C2454" t="str">
            <v>BRS_GOLD__5_SPREADS:BRS_GOLD__3_OTHER_SPREADS:BRS_GOLD__2_OSMUNI:MUNI_IR:ALL_MUNI-ALL_MUNI_SWAP:ALL_muni_20yr</v>
          </cell>
          <cell r="D2454" t="str">
            <v>Spread Duration</v>
          </cell>
          <cell r="E2454" t="str">
            <v>Other Spread Yield</v>
          </cell>
          <cell r="F2454" t="str">
            <v>Other</v>
          </cell>
          <cell r="G2454" t="str">
            <v>Other</v>
          </cell>
          <cell r="H2454" t="str">
            <v>OTHER</v>
          </cell>
          <cell r="I2454" t="str">
            <v>Spread - Municipals</v>
          </cell>
        </row>
        <row r="2455">
          <cell r="A2455" t="str">
            <v>ALL_muni_25yr</v>
          </cell>
          <cell r="B2455" t="str">
            <v>Non$ Muni Sprd 25Y</v>
          </cell>
          <cell r="C2455" t="str">
            <v>BRS_GOLD__5_SPREADS:BRS_GOLD__3_OTHER_SPREADS:BRS_GOLD__2_OSMUNI:MUNI_IR:ALL_MUNI-ALL_MUNI_SWAP:ALL_muni_25yr</v>
          </cell>
          <cell r="D2455" t="str">
            <v>Spread Duration</v>
          </cell>
          <cell r="E2455" t="str">
            <v>Other Spread Yield</v>
          </cell>
          <cell r="F2455" t="str">
            <v>Other</v>
          </cell>
          <cell r="G2455" t="str">
            <v>Other</v>
          </cell>
          <cell r="H2455" t="str">
            <v>OTHER</v>
          </cell>
          <cell r="I2455" t="str">
            <v>Spread - Municipals</v>
          </cell>
        </row>
        <row r="2456">
          <cell r="A2456" t="str">
            <v>ALL_muni_30yr</v>
          </cell>
          <cell r="B2456" t="str">
            <v>Non$ Muni Sprd 30Y</v>
          </cell>
          <cell r="C2456" t="str">
            <v>BRS_GOLD__5_SPREADS:BRS_GOLD__3_OTHER_SPREADS:BRS_GOLD__2_OSMUNI:MUNI_IR:ALL_MUNI-ALL_MUNI_SWAP:ALL_muni_30yr</v>
          </cell>
          <cell r="D2456" t="str">
            <v>Spread Duration</v>
          </cell>
          <cell r="E2456" t="str">
            <v>Other Spread Yield</v>
          </cell>
          <cell r="F2456" t="str">
            <v>Other</v>
          </cell>
          <cell r="G2456" t="str">
            <v>Other</v>
          </cell>
          <cell r="H2456" t="str">
            <v>OTHER</v>
          </cell>
          <cell r="I2456" t="str">
            <v>Spread - Municipals</v>
          </cell>
        </row>
        <row r="2457">
          <cell r="A2457" t="str">
            <v>USD_MUNI_FARWEST</v>
          </cell>
          <cell r="B2457" t="str">
            <v>GO Far West</v>
          </cell>
          <cell r="C2457" t="str">
            <v>BRS_GOLD__5_SPREADS:BRS_GOLD__3_OTHER_SPREADS:BRS_GOLD__2_OSMUNI:MUNICREDIT:MUNIGO:USD_MUNI_FARWEST</v>
          </cell>
          <cell r="D2457" t="str">
            <v>Spread Duration</v>
          </cell>
          <cell r="E2457" t="str">
            <v>Spread Yield (DxS)</v>
          </cell>
          <cell r="F2457" t="str">
            <v>Other</v>
          </cell>
          <cell r="G2457" t="str">
            <v>Other</v>
          </cell>
          <cell r="H2457" t="str">
            <v>OTHER</v>
          </cell>
          <cell r="I2457" t="str">
            <v>Spread - Municipals</v>
          </cell>
        </row>
        <row r="2458">
          <cell r="A2458" t="str">
            <v>USD_MUNI_GREATL</v>
          </cell>
          <cell r="B2458" t="str">
            <v>GO Great Lakes</v>
          </cell>
          <cell r="C2458" t="str">
            <v>BRS_GOLD__5_SPREADS:BRS_GOLD__3_OTHER_SPREADS:BRS_GOLD__2_OSMUNI:MUNICREDIT:MUNIGO:USD_MUNI_GREATL</v>
          </cell>
          <cell r="D2458" t="str">
            <v>Spread Duration</v>
          </cell>
          <cell r="E2458" t="str">
            <v>Spread Yield (DxS)</v>
          </cell>
          <cell r="F2458" t="str">
            <v>Other</v>
          </cell>
          <cell r="G2458" t="str">
            <v>Other</v>
          </cell>
          <cell r="H2458" t="str">
            <v>OTHER</v>
          </cell>
          <cell r="I2458" t="str">
            <v>Spread - Municipals</v>
          </cell>
        </row>
        <row r="2459">
          <cell r="A2459" t="str">
            <v>USD_MUNI_MIDA</v>
          </cell>
          <cell r="B2459" t="str">
            <v>GO Mid Atlantic</v>
          </cell>
          <cell r="C2459" t="str">
            <v>BRS_GOLD__5_SPREADS:BRS_GOLD__3_OTHER_SPREADS:BRS_GOLD__2_OSMUNI:MUNICREDIT:MUNIGO:USD_MUNI_MIDA</v>
          </cell>
          <cell r="D2459" t="str">
            <v>Spread Duration</v>
          </cell>
          <cell r="E2459" t="str">
            <v>Spread Yield (DxS)</v>
          </cell>
          <cell r="F2459" t="str">
            <v>Other</v>
          </cell>
          <cell r="G2459" t="str">
            <v>Other</v>
          </cell>
          <cell r="H2459" t="str">
            <v>OTHER</v>
          </cell>
          <cell r="I2459" t="str">
            <v>Spread - Municipals</v>
          </cell>
        </row>
        <row r="2460">
          <cell r="A2460" t="str">
            <v>USD_MUNI_MOUNTP</v>
          </cell>
          <cell r="B2460" t="str">
            <v>GO Mountain / Plains</v>
          </cell>
          <cell r="C2460" t="str">
            <v>BRS_GOLD__5_SPREADS:BRS_GOLD__3_OTHER_SPREADS:BRS_GOLD__2_OSMUNI:MUNICREDIT:MUNIGO:USD_MUNI_MOUNTP</v>
          </cell>
          <cell r="D2460" t="str">
            <v>Spread Duration</v>
          </cell>
          <cell r="E2460" t="str">
            <v>Spread Yield (DxS)</v>
          </cell>
          <cell r="F2460" t="str">
            <v>Other</v>
          </cell>
          <cell r="G2460" t="str">
            <v>Other</v>
          </cell>
          <cell r="H2460" t="str">
            <v>OTHER</v>
          </cell>
          <cell r="I2460" t="str">
            <v>Spread - Municipals</v>
          </cell>
        </row>
        <row r="2461">
          <cell r="A2461" t="str">
            <v>USD_MUNI_NEWE</v>
          </cell>
          <cell r="B2461" t="str">
            <v>GO New England</v>
          </cell>
          <cell r="C2461" t="str">
            <v>BRS_GOLD__5_SPREADS:BRS_GOLD__3_OTHER_SPREADS:BRS_GOLD__2_OSMUNI:MUNICREDIT:MUNIGO:USD_MUNI_NEWE</v>
          </cell>
          <cell r="D2461" t="str">
            <v>Spread Duration</v>
          </cell>
          <cell r="E2461" t="str">
            <v>Spread Yield (DxS)</v>
          </cell>
          <cell r="F2461" t="str">
            <v>Other</v>
          </cell>
          <cell r="G2461" t="str">
            <v>Other</v>
          </cell>
          <cell r="H2461" t="str">
            <v>OTHER</v>
          </cell>
          <cell r="I2461" t="str">
            <v>Spread - Municipals</v>
          </cell>
        </row>
        <row r="2462">
          <cell r="A2462" t="str">
            <v>USD_MUNI_SOUTHE</v>
          </cell>
          <cell r="B2462" t="str">
            <v>GO South East</v>
          </cell>
          <cell r="C2462" t="str">
            <v>BRS_GOLD__5_SPREADS:BRS_GOLD__3_OTHER_SPREADS:BRS_GOLD__2_OSMUNI:MUNICREDIT:MUNIGO:USD_MUNI_SOUTHE</v>
          </cell>
          <cell r="D2462" t="str">
            <v>Spread Duration</v>
          </cell>
          <cell r="E2462" t="str">
            <v>Spread Yield (DxS)</v>
          </cell>
          <cell r="F2462" t="str">
            <v>Other</v>
          </cell>
          <cell r="G2462" t="str">
            <v>Other</v>
          </cell>
          <cell r="H2462" t="str">
            <v>OTHER</v>
          </cell>
          <cell r="I2462" t="str">
            <v>Spread - Municipals</v>
          </cell>
        </row>
        <row r="2463">
          <cell r="A2463" t="str">
            <v>USD_MUNI_SOUTHW</v>
          </cell>
          <cell r="B2463" t="str">
            <v>GO South West</v>
          </cell>
          <cell r="C2463" t="str">
            <v>BRS_GOLD__5_SPREADS:BRS_GOLD__3_OTHER_SPREADS:BRS_GOLD__2_OSMUNI:MUNICREDIT:MUNIGO:USD_MUNI_SOUTHW</v>
          </cell>
          <cell r="D2463" t="str">
            <v>Spread Duration</v>
          </cell>
          <cell r="E2463" t="str">
            <v>Spread Yield (DxS)</v>
          </cell>
          <cell r="F2463" t="str">
            <v>Other</v>
          </cell>
          <cell r="G2463" t="str">
            <v>Other</v>
          </cell>
          <cell r="H2463" t="str">
            <v>OTHER</v>
          </cell>
          <cell r="I2463" t="str">
            <v>Spread - Municipals</v>
          </cell>
        </row>
        <row r="2464">
          <cell r="A2464" t="str">
            <v>USD_MUNI_TERRI</v>
          </cell>
          <cell r="B2464" t="str">
            <v>GO Territories</v>
          </cell>
          <cell r="C2464" t="str">
            <v>BRS_GOLD__5_SPREADS:BRS_GOLD__3_OTHER_SPREADS:BRS_GOLD__2_OSMUNI:MUNICREDIT:MUNIGO:USD_MUNI_TERRI</v>
          </cell>
          <cell r="D2464" t="str">
            <v>Spread Duration</v>
          </cell>
          <cell r="E2464" t="str">
            <v>Spread Yield (DxS)</v>
          </cell>
          <cell r="F2464" t="str">
            <v>Other</v>
          </cell>
          <cell r="G2464" t="str">
            <v>Other</v>
          </cell>
          <cell r="H2464" t="str">
            <v>OTHER</v>
          </cell>
          <cell r="I2464" t="str">
            <v>Spread - Municipals</v>
          </cell>
        </row>
        <row r="2465">
          <cell r="A2465" t="str">
            <v>USD_MUNI_GO</v>
          </cell>
          <cell r="B2465" t="str">
            <v>GO</v>
          </cell>
          <cell r="C2465" t="str">
            <v>BRS_GOLD__5_SPREADS:BRS_GOLD__3_OTHER_SPREADS:BRS_GOLD__2_OSMUNI:MUNICREDIT:MUNIGO:USD_MUNI_GO</v>
          </cell>
          <cell r="D2465" t="str">
            <v>Spread Duration</v>
          </cell>
          <cell r="E2465" t="str">
            <v>Spread Yield (DxS)</v>
          </cell>
          <cell r="F2465" t="str">
            <v>Other</v>
          </cell>
          <cell r="G2465" t="str">
            <v>Other</v>
          </cell>
          <cell r="H2465" t="str">
            <v>OTHER</v>
          </cell>
          <cell r="I2465" t="str">
            <v>Spread - Municipals</v>
          </cell>
        </row>
        <row r="2466">
          <cell r="A2466" t="str">
            <v>USD_MUNI_ESSENTIAL</v>
          </cell>
          <cell r="B2466" t="str">
            <v>Essential Services</v>
          </cell>
          <cell r="C2466" t="str">
            <v>BRS_GOLD__5_SPREADS:BRS_GOLD__3_OTHER_SPREADS:BRS_GOLD__2_OSMUNI:MUNICREDIT:MUNIREV:USD_MUNI_ESSENTIAL</v>
          </cell>
          <cell r="D2466" t="str">
            <v>Spread Duration</v>
          </cell>
          <cell r="E2466" t="str">
            <v>Spread Yield (DxS)</v>
          </cell>
          <cell r="F2466" t="str">
            <v>Other</v>
          </cell>
          <cell r="G2466" t="str">
            <v>Other</v>
          </cell>
          <cell r="H2466" t="str">
            <v>OTHER</v>
          </cell>
          <cell r="I2466" t="str">
            <v>Spread - Municipals</v>
          </cell>
        </row>
        <row r="2467">
          <cell r="A2467" t="str">
            <v>USD_MUNI_UTIL</v>
          </cell>
          <cell r="B2467" t="str">
            <v>Public Utilities</v>
          </cell>
          <cell r="C2467" t="str">
            <v>BRS_GOLD__5_SPREADS:BRS_GOLD__3_OTHER_SPREADS:BRS_GOLD__2_OSMUNI:MUNICREDIT:MUNIREV:USD_MUNI_UTIL</v>
          </cell>
          <cell r="D2467" t="str">
            <v>Spread Duration</v>
          </cell>
          <cell r="E2467" t="str">
            <v>Spread Yield (DxS)</v>
          </cell>
          <cell r="F2467" t="str">
            <v>Other</v>
          </cell>
          <cell r="G2467" t="str">
            <v>Other</v>
          </cell>
          <cell r="H2467" t="str">
            <v>OTHER</v>
          </cell>
          <cell r="I2467" t="str">
            <v>Spread - Municipals</v>
          </cell>
        </row>
        <row r="2468">
          <cell r="A2468" t="str">
            <v>USD_MUNI_EDUC</v>
          </cell>
          <cell r="B2468" t="str">
            <v>Education</v>
          </cell>
          <cell r="C2468" t="str">
            <v>BRS_GOLD__5_SPREADS:BRS_GOLD__3_OTHER_SPREADS:BRS_GOLD__2_OSMUNI:MUNICREDIT:MUNIREV:USD_MUNI_EDUC</v>
          </cell>
          <cell r="D2468" t="str">
            <v>Spread Duration</v>
          </cell>
          <cell r="E2468" t="str">
            <v>Spread Yield (DxS)</v>
          </cell>
          <cell r="F2468" t="str">
            <v>Other</v>
          </cell>
          <cell r="G2468" t="str">
            <v>Other</v>
          </cell>
          <cell r="H2468" t="str">
            <v>OTHER</v>
          </cell>
          <cell r="I2468" t="str">
            <v>Spread - Municipals</v>
          </cell>
        </row>
        <row r="2469">
          <cell r="A2469" t="str">
            <v>USD_MUNI_HOSP</v>
          </cell>
          <cell r="B2469" t="str">
            <v>Hospital</v>
          </cell>
          <cell r="C2469" t="str">
            <v>BRS_GOLD__5_SPREADS:BRS_GOLD__3_OTHER_SPREADS:BRS_GOLD__2_OSMUNI:MUNICREDIT:MUNIREV:USD_MUNI_HOSP</v>
          </cell>
          <cell r="D2469" t="str">
            <v>Spread Duration</v>
          </cell>
          <cell r="E2469" t="str">
            <v>Spread Yield (DxS)</v>
          </cell>
          <cell r="F2469" t="str">
            <v>Other</v>
          </cell>
          <cell r="G2469" t="str">
            <v>Other</v>
          </cell>
          <cell r="H2469" t="str">
            <v>OTHER</v>
          </cell>
          <cell r="I2469" t="str">
            <v>Spread - Municipals</v>
          </cell>
        </row>
        <row r="2470">
          <cell r="A2470" t="str">
            <v>USD_MUNI_LTCARE</v>
          </cell>
          <cell r="B2470" t="str">
            <v>LT-Care</v>
          </cell>
          <cell r="C2470" t="str">
            <v>BRS_GOLD__5_SPREADS:BRS_GOLD__3_OTHER_SPREADS:BRS_GOLD__2_OSMUNI:MUNICREDIT:MUNIREV:USD_MUNI_LTCARE</v>
          </cell>
          <cell r="D2470" t="str">
            <v>Spread Duration</v>
          </cell>
          <cell r="E2470" t="str">
            <v>Spread Yield (DxS)</v>
          </cell>
          <cell r="F2470" t="str">
            <v>Other</v>
          </cell>
          <cell r="G2470" t="str">
            <v>Other</v>
          </cell>
          <cell r="H2470" t="str">
            <v>OTHER</v>
          </cell>
          <cell r="I2470" t="str">
            <v>Spread - Municipals</v>
          </cell>
        </row>
        <row r="2471">
          <cell r="A2471" t="str">
            <v>USD_MUNI_CORP</v>
          </cell>
          <cell r="B2471" t="str">
            <v>Corporate Munis</v>
          </cell>
          <cell r="C2471" t="str">
            <v>BRS_GOLD__5_SPREADS:BRS_GOLD__3_OTHER_SPREADS:BRS_GOLD__2_OSMUNI:MUNICREDIT:MUNIREV:USD_MUNI_CORP</v>
          </cell>
          <cell r="D2471" t="str">
            <v>Spread Duration</v>
          </cell>
          <cell r="E2471" t="str">
            <v>Spread Yield (DxS)</v>
          </cell>
          <cell r="F2471" t="str">
            <v>Other</v>
          </cell>
          <cell r="G2471" t="str">
            <v>Other</v>
          </cell>
          <cell r="H2471" t="str">
            <v>OTHER</v>
          </cell>
          <cell r="I2471" t="str">
            <v>Spread - Municipals</v>
          </cell>
        </row>
        <row r="2472">
          <cell r="A2472" t="str">
            <v>USD_MUNI_HSG</v>
          </cell>
          <cell r="B2472" t="str">
            <v>Housing</v>
          </cell>
          <cell r="C2472" t="str">
            <v>BRS_GOLD__5_SPREADS:BRS_GOLD__3_OTHER_SPREADS:BRS_GOLD__2_OSMUNI:MUNICREDIT:MUNIREV:USD_MUNI_HSG</v>
          </cell>
          <cell r="D2472" t="str">
            <v>Spread Duration</v>
          </cell>
          <cell r="E2472" t="str">
            <v>Spread Yield (DxS)</v>
          </cell>
          <cell r="F2472" t="str">
            <v>Other</v>
          </cell>
          <cell r="G2472" t="str">
            <v>Other</v>
          </cell>
          <cell r="H2472" t="str">
            <v>OTHER</v>
          </cell>
          <cell r="I2472" t="str">
            <v>Spread - Municipals</v>
          </cell>
        </row>
        <row r="2473">
          <cell r="A2473" t="str">
            <v>USD_MUNI_TOBACCO</v>
          </cell>
          <cell r="B2473" t="str">
            <v>Tobacco</v>
          </cell>
          <cell r="C2473" t="str">
            <v>BRS_GOLD__5_SPREADS:BRS_GOLD__3_OTHER_SPREADS:BRS_GOLD__2_OSMUNI:MUNICREDIT:MUNIREV:USD_MUNI_TOBACCO</v>
          </cell>
          <cell r="D2473" t="str">
            <v>Spread Duration</v>
          </cell>
          <cell r="E2473" t="str">
            <v>Spread Yield (DxS)</v>
          </cell>
          <cell r="F2473" t="str">
            <v>Other</v>
          </cell>
          <cell r="G2473" t="str">
            <v>Other</v>
          </cell>
          <cell r="H2473" t="str">
            <v>OTHER</v>
          </cell>
          <cell r="I2473" t="str">
            <v>Spread - Municipals</v>
          </cell>
        </row>
        <row r="2474">
          <cell r="A2474" t="str">
            <v>USD_MUNI_TRANS</v>
          </cell>
          <cell r="B2474" t="str">
            <v>Transportation</v>
          </cell>
          <cell r="C2474" t="str">
            <v>BRS_GOLD__5_SPREADS:BRS_GOLD__3_OTHER_SPREADS:BRS_GOLD__2_OSMUNI:MUNICREDIT:MUNIREV:USD_MUNI_TRANS</v>
          </cell>
          <cell r="D2474" t="str">
            <v>Spread Duration</v>
          </cell>
          <cell r="E2474" t="str">
            <v>Spread Yield (DxS)</v>
          </cell>
          <cell r="F2474" t="str">
            <v>Other</v>
          </cell>
          <cell r="G2474" t="str">
            <v>Other</v>
          </cell>
          <cell r="H2474" t="str">
            <v>OTHER</v>
          </cell>
          <cell r="I2474" t="str">
            <v>Spread - Municipals</v>
          </cell>
        </row>
        <row r="2475">
          <cell r="A2475" t="str">
            <v>USD_MUNI_DEVDIST</v>
          </cell>
          <cell r="B2475" t="str">
            <v>Dev. Dist.</v>
          </cell>
          <cell r="C2475" t="str">
            <v>BRS_GOLD__5_SPREADS:BRS_GOLD__3_OTHER_SPREADS:BRS_GOLD__2_OSMUNI:MUNICREDIT:MUNIREV:USD_MUNI_DEVDIST</v>
          </cell>
          <cell r="D2475" t="str">
            <v>Spread Duration</v>
          </cell>
          <cell r="E2475" t="str">
            <v>Spread Yield (DxS)</v>
          </cell>
          <cell r="F2475" t="str">
            <v>Other</v>
          </cell>
          <cell r="G2475" t="str">
            <v>Other</v>
          </cell>
          <cell r="H2475" t="str">
            <v>OTHER</v>
          </cell>
          <cell r="I2475" t="str">
            <v>Spread - Municipals</v>
          </cell>
        </row>
        <row r="2476">
          <cell r="A2476" t="str">
            <v>USD_MUNI_OTHER</v>
          </cell>
          <cell r="B2476" t="str">
            <v>Misc Rev</v>
          </cell>
          <cell r="C2476" t="str">
            <v>BRS_GOLD__5_SPREADS:BRS_GOLD__3_OTHER_SPREADS:BRS_GOLD__2_OSMUNI:MUNICREDIT:MUNIREV:USD_MUNI_OTHER</v>
          </cell>
          <cell r="D2476" t="str">
            <v>Spread Duration</v>
          </cell>
          <cell r="E2476" t="str">
            <v>Spread Yield (DxS)</v>
          </cell>
          <cell r="F2476" t="str">
            <v>Other</v>
          </cell>
          <cell r="G2476" t="str">
            <v>Other</v>
          </cell>
          <cell r="H2476" t="str">
            <v>OTHER</v>
          </cell>
          <cell r="I2476" t="str">
            <v>Spread - Municipals</v>
          </cell>
        </row>
        <row r="2477">
          <cell r="A2477" t="str">
            <v>USD_MUNI_REV</v>
          </cell>
          <cell r="B2477" t="str">
            <v>REV</v>
          </cell>
          <cell r="C2477" t="str">
            <v>BRS_GOLD__5_SPREADS:BRS_GOLD__3_OTHER_SPREADS:BRS_GOLD__2_OSMUNI:MUNICREDIT:MUNIREV:USD_MUNI_REV</v>
          </cell>
          <cell r="D2477" t="str">
            <v>Spread Duration</v>
          </cell>
          <cell r="E2477" t="str">
            <v>Spread Yield (DxS)</v>
          </cell>
          <cell r="F2477" t="str">
            <v>Other</v>
          </cell>
          <cell r="G2477" t="str">
            <v>Other</v>
          </cell>
          <cell r="H2477" t="str">
            <v>OTHER</v>
          </cell>
          <cell r="I2477" t="str">
            <v>Spread - Municipals</v>
          </cell>
        </row>
        <row r="2478">
          <cell r="A2478" t="str">
            <v>USD_MUNI_FARWEST2</v>
          </cell>
          <cell r="B2478" t="str">
            <v>GO Far West</v>
          </cell>
          <cell r="C2478" t="str">
            <v>BRS_GOLD__5_SPREADS:BRS_GOLD__3_OTHER_SPREADS:BRS_GOLD__2_OSMUNI:MUNICREDIT_DS:MUNIGO_DS:USD_MUNI_FARWEST2</v>
          </cell>
          <cell r="D2478" t="str">
            <v>Spread Duration</v>
          </cell>
          <cell r="E2478" t="str">
            <v>Spread Yield (DxS)</v>
          </cell>
          <cell r="F2478" t="str">
            <v>Other</v>
          </cell>
          <cell r="G2478" t="str">
            <v>Other</v>
          </cell>
          <cell r="H2478" t="str">
            <v>OTHER</v>
          </cell>
          <cell r="I2478" t="str">
            <v>Spread - Municipals</v>
          </cell>
        </row>
        <row r="2479">
          <cell r="A2479" t="str">
            <v>USD_MUNI_GREATL2</v>
          </cell>
          <cell r="B2479" t="str">
            <v>GO Great Lakes</v>
          </cell>
          <cell r="C2479" t="str">
            <v>BRS_GOLD__5_SPREADS:BRS_GOLD__3_OTHER_SPREADS:BRS_GOLD__2_OSMUNI:MUNICREDIT_DS:MUNIGO_DS:USD_MUNI_GREATL2</v>
          </cell>
          <cell r="D2479" t="str">
            <v>Spread Duration</v>
          </cell>
          <cell r="E2479" t="str">
            <v>Spread Yield (DxS)</v>
          </cell>
          <cell r="F2479" t="str">
            <v>Other</v>
          </cell>
          <cell r="G2479" t="str">
            <v>Other</v>
          </cell>
          <cell r="H2479" t="str">
            <v>OTHER</v>
          </cell>
          <cell r="I2479" t="str">
            <v>Spread - Municipals</v>
          </cell>
        </row>
        <row r="2480">
          <cell r="A2480" t="str">
            <v>USD_MUNI_MIDA2</v>
          </cell>
          <cell r="B2480" t="str">
            <v>GO Mid Atlantic</v>
          </cell>
          <cell r="C2480" t="str">
            <v>BRS_GOLD__5_SPREADS:BRS_GOLD__3_OTHER_SPREADS:BRS_GOLD__2_OSMUNI:MUNICREDIT_DS:MUNIGO_DS:USD_MUNI_MIDA2</v>
          </cell>
          <cell r="D2480" t="str">
            <v>Spread Duration</v>
          </cell>
          <cell r="E2480" t="str">
            <v>Spread Yield (DxS)</v>
          </cell>
          <cell r="F2480" t="str">
            <v>Other</v>
          </cell>
          <cell r="G2480" t="str">
            <v>Other</v>
          </cell>
          <cell r="H2480" t="str">
            <v>OTHER</v>
          </cell>
          <cell r="I2480" t="str">
            <v>Spread - Municipals</v>
          </cell>
        </row>
        <row r="2481">
          <cell r="A2481" t="str">
            <v>USD_MUNI_MOUNTP2</v>
          </cell>
          <cell r="B2481" t="str">
            <v>GO Mountain / Plains</v>
          </cell>
          <cell r="C2481" t="str">
            <v>BRS_GOLD__5_SPREADS:BRS_GOLD__3_OTHER_SPREADS:BRS_GOLD__2_OSMUNI:MUNICREDIT_DS:MUNIGO_DS:USD_MUNI_MOUNTP2</v>
          </cell>
          <cell r="D2481" t="str">
            <v>Spread Duration</v>
          </cell>
          <cell r="E2481" t="str">
            <v>Spread Yield (DxS)</v>
          </cell>
          <cell r="F2481" t="str">
            <v>Other</v>
          </cell>
          <cell r="G2481" t="str">
            <v>Other</v>
          </cell>
          <cell r="H2481" t="str">
            <v>OTHER</v>
          </cell>
          <cell r="I2481" t="str">
            <v>Spread - Municipals</v>
          </cell>
        </row>
        <row r="2482">
          <cell r="A2482" t="str">
            <v>USD_MUNI_NEWE2</v>
          </cell>
          <cell r="B2482" t="str">
            <v>GO New England</v>
          </cell>
          <cell r="C2482" t="str">
            <v>BRS_GOLD__5_SPREADS:BRS_GOLD__3_OTHER_SPREADS:BRS_GOLD__2_OSMUNI:MUNICREDIT_DS:MUNIGO_DS:USD_MUNI_NEWE2</v>
          </cell>
          <cell r="D2482" t="str">
            <v>Spread Duration</v>
          </cell>
          <cell r="E2482" t="str">
            <v>Spread Yield (DxS)</v>
          </cell>
          <cell r="F2482" t="str">
            <v>Other</v>
          </cell>
          <cell r="G2482" t="str">
            <v>Other</v>
          </cell>
          <cell r="H2482" t="str">
            <v>OTHER</v>
          </cell>
          <cell r="I2482" t="str">
            <v>Spread - Municipals</v>
          </cell>
        </row>
        <row r="2483">
          <cell r="A2483" t="str">
            <v>USD_MUNI_SOUTHE2</v>
          </cell>
          <cell r="B2483" t="str">
            <v>GO South East</v>
          </cell>
          <cell r="C2483" t="str">
            <v>BRS_GOLD__5_SPREADS:BRS_GOLD__3_OTHER_SPREADS:BRS_GOLD__2_OSMUNI:MUNICREDIT_DS:MUNIGO_DS:USD_MUNI_SOUTHE2</v>
          </cell>
          <cell r="D2483" t="str">
            <v>Spread Duration</v>
          </cell>
          <cell r="E2483" t="str">
            <v>Spread Yield (DxS)</v>
          </cell>
          <cell r="F2483" t="str">
            <v>Other</v>
          </cell>
          <cell r="G2483" t="str">
            <v>Other</v>
          </cell>
          <cell r="H2483" t="str">
            <v>OTHER</v>
          </cell>
          <cell r="I2483" t="str">
            <v>Spread - Municipals</v>
          </cell>
        </row>
        <row r="2484">
          <cell r="A2484" t="str">
            <v>USD_MUNI_SOUTHW2</v>
          </cell>
          <cell r="B2484" t="str">
            <v>GO South West</v>
          </cell>
          <cell r="C2484" t="str">
            <v>BRS_GOLD__5_SPREADS:BRS_GOLD__3_OTHER_SPREADS:BRS_GOLD__2_OSMUNI:MUNICREDIT_DS:MUNIGO_DS:USD_MUNI_SOUTHW2</v>
          </cell>
          <cell r="D2484" t="str">
            <v>Spread Duration</v>
          </cell>
          <cell r="E2484" t="str">
            <v>Spread Yield (DxS)</v>
          </cell>
          <cell r="F2484" t="str">
            <v>Other</v>
          </cell>
          <cell r="G2484" t="str">
            <v>Other</v>
          </cell>
          <cell r="H2484" t="str">
            <v>OTHER</v>
          </cell>
          <cell r="I2484" t="str">
            <v>Spread - Municipals</v>
          </cell>
        </row>
        <row r="2485">
          <cell r="A2485" t="str">
            <v>USD_MUNI_TERRI2</v>
          </cell>
          <cell r="B2485" t="str">
            <v>GO Territories</v>
          </cell>
          <cell r="C2485" t="str">
            <v>BRS_GOLD__5_SPREADS:BRS_GOLD__3_OTHER_SPREADS:BRS_GOLD__2_OSMUNI:MUNICREDIT_DS:MUNIGO_DS:USD_MUNI_TERRI2</v>
          </cell>
          <cell r="D2485" t="str">
            <v>Spread Duration</v>
          </cell>
          <cell r="E2485" t="str">
            <v>Spread Yield (DxS)</v>
          </cell>
          <cell r="F2485" t="str">
            <v>Other</v>
          </cell>
          <cell r="G2485" t="str">
            <v>Other</v>
          </cell>
          <cell r="H2485" t="str">
            <v>OTHER</v>
          </cell>
          <cell r="I2485" t="str">
            <v>Spread - Municipals</v>
          </cell>
        </row>
        <row r="2486">
          <cell r="A2486" t="str">
            <v>USD_MUNI_GO2</v>
          </cell>
          <cell r="B2486" t="str">
            <v>GO</v>
          </cell>
          <cell r="C2486" t="str">
            <v>BRS_GOLD__5_SPREADS:BRS_GOLD__3_OTHER_SPREADS:BRS_GOLD__2_OSMUNI:MUNICREDIT_DS:MUNIGO_DS:USD_MUNI_GO2</v>
          </cell>
          <cell r="D2486" t="str">
            <v>Spread Duration</v>
          </cell>
          <cell r="E2486" t="str">
            <v>Spread Yield (DxS)</v>
          </cell>
          <cell r="F2486" t="str">
            <v>Other</v>
          </cell>
          <cell r="G2486" t="str">
            <v>Other</v>
          </cell>
          <cell r="H2486" t="str">
            <v>OTHER</v>
          </cell>
          <cell r="I2486" t="str">
            <v>Spread - Municipals</v>
          </cell>
        </row>
        <row r="2487">
          <cell r="A2487" t="str">
            <v>USD_MUNI_ESSENTIAL2</v>
          </cell>
          <cell r="B2487" t="str">
            <v>Essential Services</v>
          </cell>
          <cell r="C2487" t="str">
            <v>BRS_GOLD__5_SPREADS:BRS_GOLD__3_OTHER_SPREADS:BRS_GOLD__2_OSMUNI:MUNICREDIT_DS:MUNIREV_DS:USD_MUNI_ESSENTIAL2</v>
          </cell>
          <cell r="D2487" t="str">
            <v>Spread Duration</v>
          </cell>
          <cell r="E2487" t="str">
            <v>Spread Yield (DxS)</v>
          </cell>
          <cell r="F2487" t="str">
            <v>Other</v>
          </cell>
          <cell r="G2487" t="str">
            <v>Other</v>
          </cell>
          <cell r="H2487" t="str">
            <v>OTHER</v>
          </cell>
          <cell r="I2487" t="str">
            <v>Spread - Municipals</v>
          </cell>
        </row>
        <row r="2488">
          <cell r="A2488" t="str">
            <v>USD_MUNI_UTIL2</v>
          </cell>
          <cell r="B2488" t="str">
            <v>Public Utilities</v>
          </cell>
          <cell r="C2488" t="str">
            <v>BRS_GOLD__5_SPREADS:BRS_GOLD__3_OTHER_SPREADS:BRS_GOLD__2_OSMUNI:MUNICREDIT_DS:MUNIREV_DS:USD_MUNI_UTIL2</v>
          </cell>
          <cell r="D2488" t="str">
            <v>Spread Duration</v>
          </cell>
          <cell r="E2488" t="str">
            <v>Spread Yield (DxS)</v>
          </cell>
          <cell r="F2488" t="str">
            <v>Other</v>
          </cell>
          <cell r="G2488" t="str">
            <v>Other</v>
          </cell>
          <cell r="H2488" t="str">
            <v>OTHER</v>
          </cell>
          <cell r="I2488" t="str">
            <v>Spread - Municipals</v>
          </cell>
        </row>
        <row r="2489">
          <cell r="A2489" t="str">
            <v>USD_MUNI_EDUC2</v>
          </cell>
          <cell r="B2489" t="str">
            <v>Education</v>
          </cell>
          <cell r="C2489" t="str">
            <v>BRS_GOLD__5_SPREADS:BRS_GOLD__3_OTHER_SPREADS:BRS_GOLD__2_OSMUNI:MUNICREDIT_DS:MUNIREV_DS:USD_MUNI_EDUC2</v>
          </cell>
          <cell r="D2489" t="str">
            <v>Spread Duration</v>
          </cell>
          <cell r="E2489" t="str">
            <v>Spread Yield (DxS)</v>
          </cell>
          <cell r="F2489" t="str">
            <v>Other</v>
          </cell>
          <cell r="G2489" t="str">
            <v>Other</v>
          </cell>
          <cell r="H2489" t="str">
            <v>OTHER</v>
          </cell>
          <cell r="I2489" t="str">
            <v>Spread - Municipals</v>
          </cell>
        </row>
        <row r="2490">
          <cell r="A2490" t="str">
            <v>USD_MUNI_HOSP2</v>
          </cell>
          <cell r="B2490" t="str">
            <v>Hospital</v>
          </cell>
          <cell r="C2490" t="str">
            <v>BRS_GOLD__5_SPREADS:BRS_GOLD__3_OTHER_SPREADS:BRS_GOLD__2_OSMUNI:MUNICREDIT_DS:MUNIREV_DS:USD_MUNI_HOSP2</v>
          </cell>
          <cell r="D2490" t="str">
            <v>Spread Duration</v>
          </cell>
          <cell r="E2490" t="str">
            <v>Spread Yield (DxS)</v>
          </cell>
          <cell r="F2490" t="str">
            <v>Other</v>
          </cell>
          <cell r="G2490" t="str">
            <v>Other</v>
          </cell>
          <cell r="H2490" t="str">
            <v>OTHER</v>
          </cell>
          <cell r="I2490" t="str">
            <v>Spread - Municipals</v>
          </cell>
        </row>
        <row r="2491">
          <cell r="A2491" t="str">
            <v>USD_MUNI_LTCARE2</v>
          </cell>
          <cell r="B2491" t="str">
            <v>LT-Care</v>
          </cell>
          <cell r="C2491" t="str">
            <v>BRS_GOLD__5_SPREADS:BRS_GOLD__3_OTHER_SPREADS:BRS_GOLD__2_OSMUNI:MUNICREDIT_DS:MUNIREV_DS:USD_MUNI_LTCARE2</v>
          </cell>
          <cell r="D2491" t="str">
            <v>Spread Duration</v>
          </cell>
          <cell r="E2491" t="str">
            <v>Spread Yield (DxS)</v>
          </cell>
          <cell r="F2491" t="str">
            <v>Other</v>
          </cell>
          <cell r="G2491" t="str">
            <v>Other</v>
          </cell>
          <cell r="H2491" t="str">
            <v>OTHER</v>
          </cell>
          <cell r="I2491" t="str">
            <v>Spread - Municipals</v>
          </cell>
        </row>
        <row r="2492">
          <cell r="A2492" t="str">
            <v>USD_MUNI_CORP2</v>
          </cell>
          <cell r="B2492" t="str">
            <v>Corporate Munis</v>
          </cell>
          <cell r="C2492" t="str">
            <v>BRS_GOLD__5_SPREADS:BRS_GOLD__3_OTHER_SPREADS:BRS_GOLD__2_OSMUNI:MUNICREDIT_DS:MUNIREV_DS:USD_MUNI_CORP2</v>
          </cell>
          <cell r="D2492" t="str">
            <v>Spread Duration</v>
          </cell>
          <cell r="E2492" t="str">
            <v>Spread Yield (DxS)</v>
          </cell>
          <cell r="F2492" t="str">
            <v>Other</v>
          </cell>
          <cell r="G2492" t="str">
            <v>Other</v>
          </cell>
          <cell r="H2492" t="str">
            <v>OTHER</v>
          </cell>
          <cell r="I2492" t="str">
            <v>Spread - Municipals</v>
          </cell>
        </row>
        <row r="2493">
          <cell r="A2493" t="str">
            <v>USD_MUNI_HSG2</v>
          </cell>
          <cell r="B2493" t="str">
            <v>Housing</v>
          </cell>
          <cell r="C2493" t="str">
            <v>BRS_GOLD__5_SPREADS:BRS_GOLD__3_OTHER_SPREADS:BRS_GOLD__2_OSMUNI:MUNICREDIT_DS:MUNIREV_DS:USD_MUNI_HSG2</v>
          </cell>
          <cell r="D2493" t="str">
            <v>Spread Duration</v>
          </cell>
          <cell r="E2493" t="str">
            <v>Spread Yield (DxS)</v>
          </cell>
          <cell r="F2493" t="str">
            <v>Other</v>
          </cell>
          <cell r="G2493" t="str">
            <v>Other</v>
          </cell>
          <cell r="H2493" t="str">
            <v>OTHER</v>
          </cell>
          <cell r="I2493" t="str">
            <v>Spread - Municipals</v>
          </cell>
        </row>
        <row r="2494">
          <cell r="A2494" t="str">
            <v>USD_MUNI_TOBACCO2</v>
          </cell>
          <cell r="B2494" t="str">
            <v>Tobacco</v>
          </cell>
          <cell r="C2494" t="str">
            <v>BRS_GOLD__5_SPREADS:BRS_GOLD__3_OTHER_SPREADS:BRS_GOLD__2_OSMUNI:MUNICREDIT_DS:MUNIREV_DS:USD_MUNI_TOBACCO2</v>
          </cell>
          <cell r="D2494" t="str">
            <v>Spread Duration</v>
          </cell>
          <cell r="E2494" t="str">
            <v>Spread Yield (DxS)</v>
          </cell>
          <cell r="F2494" t="str">
            <v>Other</v>
          </cell>
          <cell r="G2494" t="str">
            <v>Other</v>
          </cell>
          <cell r="H2494" t="str">
            <v>OTHER</v>
          </cell>
          <cell r="I2494" t="str">
            <v>Spread - Municipals</v>
          </cell>
        </row>
        <row r="2495">
          <cell r="A2495" t="str">
            <v>USD_MUNI_TRANS2</v>
          </cell>
          <cell r="B2495" t="str">
            <v>Transportation</v>
          </cell>
          <cell r="C2495" t="str">
            <v>BRS_GOLD__5_SPREADS:BRS_GOLD__3_OTHER_SPREADS:BRS_GOLD__2_OSMUNI:MUNICREDIT_DS:MUNIREV_DS:USD_MUNI_TRANS2</v>
          </cell>
          <cell r="D2495" t="str">
            <v>Spread Duration</v>
          </cell>
          <cell r="E2495" t="str">
            <v>Spread Yield (DxS)</v>
          </cell>
          <cell r="F2495" t="str">
            <v>Other</v>
          </cell>
          <cell r="G2495" t="str">
            <v>Other</v>
          </cell>
          <cell r="H2495" t="str">
            <v>OTHER</v>
          </cell>
          <cell r="I2495" t="str">
            <v>Spread - Municipals</v>
          </cell>
        </row>
        <row r="2496">
          <cell r="A2496" t="str">
            <v>USD_MUNI_DEVDIST2</v>
          </cell>
          <cell r="B2496" t="str">
            <v>Dev. Dist.</v>
          </cell>
          <cell r="C2496" t="str">
            <v>BRS_GOLD__5_SPREADS:BRS_GOLD__3_OTHER_SPREADS:BRS_GOLD__2_OSMUNI:MUNICREDIT_DS:MUNIREV_DS:USD_MUNI_DEVDIST2</v>
          </cell>
          <cell r="D2496" t="str">
            <v>Spread Duration</v>
          </cell>
          <cell r="E2496" t="str">
            <v>Spread Yield (DxS)</v>
          </cell>
          <cell r="F2496" t="str">
            <v>Other</v>
          </cell>
          <cell r="G2496" t="str">
            <v>Other</v>
          </cell>
          <cell r="H2496" t="str">
            <v>OTHER</v>
          </cell>
          <cell r="I2496" t="str">
            <v>Spread - Municipals</v>
          </cell>
        </row>
        <row r="2497">
          <cell r="A2497" t="str">
            <v>USD_MUNI_OTHER2</v>
          </cell>
          <cell r="B2497" t="str">
            <v>Misc Rev</v>
          </cell>
          <cell r="C2497" t="str">
            <v>BRS_GOLD__5_SPREADS:BRS_GOLD__3_OTHER_SPREADS:BRS_GOLD__2_OSMUNI:MUNICREDIT_DS:MUNIREV_DS:USD_MUNI_OTHER2</v>
          </cell>
          <cell r="D2497" t="str">
            <v>Spread Duration</v>
          </cell>
          <cell r="E2497" t="str">
            <v>Spread Yield (DxS)</v>
          </cell>
          <cell r="F2497" t="str">
            <v>Other</v>
          </cell>
          <cell r="G2497" t="str">
            <v>Other</v>
          </cell>
          <cell r="H2497" t="str">
            <v>OTHER</v>
          </cell>
          <cell r="I2497" t="str">
            <v>Spread - Municipals</v>
          </cell>
        </row>
        <row r="2498">
          <cell r="A2498" t="str">
            <v>USD_MUNI_REV2</v>
          </cell>
          <cell r="B2498" t="str">
            <v>REV</v>
          </cell>
          <cell r="C2498" t="str">
            <v>BRS_GOLD__5_SPREADS:BRS_GOLD__3_OTHER_SPREADS:BRS_GOLD__2_OSMUNI:MUNICREDIT_DS:MUNIREV_DS:USD_MUNI_REV2</v>
          </cell>
          <cell r="D2498" t="str">
            <v>Spread Duration</v>
          </cell>
          <cell r="E2498" t="str">
            <v>Spread Yield (DxS)</v>
          </cell>
          <cell r="F2498" t="str">
            <v>Other</v>
          </cell>
          <cell r="G2498" t="str">
            <v>Other</v>
          </cell>
          <cell r="H2498" t="str">
            <v>OTHER</v>
          </cell>
          <cell r="I2498" t="str">
            <v>Spread - Municipals</v>
          </cell>
        </row>
        <row r="2499">
          <cell r="A2499" t="str">
            <v>USD_taxed_muni_5yr</v>
          </cell>
          <cell r="B2499" t="str">
            <v>Tax Muni 5Y</v>
          </cell>
          <cell r="C2499" t="str">
            <v>BRS_GOLD__5_SPREADS:BRS_GOLD__3_OTHER_SPREADS:BRS_GOLD__2_OSMUNI:ALL_TAX_MUNI,USCRD_MUNI_IDIO,FA_TAX_MUNI:USD_taxed_muni_5yr</v>
          </cell>
          <cell r="D2499" t="str">
            <v>Spread Duration</v>
          </cell>
          <cell r="E2499" t="str">
            <v>Other Spread Yield</v>
          </cell>
          <cell r="F2499" t="str">
            <v>Other</v>
          </cell>
          <cell r="G2499" t="str">
            <v>Other</v>
          </cell>
          <cell r="H2499" t="str">
            <v>OTHER</v>
          </cell>
          <cell r="I2499" t="str">
            <v>Spread - Municipals</v>
          </cell>
        </row>
        <row r="2500">
          <cell r="A2500" t="str">
            <v>USD_taxed_muni_10yr</v>
          </cell>
          <cell r="B2500" t="str">
            <v>Tax Muni 10Y</v>
          </cell>
          <cell r="C2500" t="str">
            <v>BRS_GOLD__5_SPREADS:BRS_GOLD__3_OTHER_SPREADS:BRS_GOLD__2_OSMUNI:ALL_TAX_MUNI,USCRD_MUNI_IDIO,FA_TAX_MUNI:USD_taxed_muni_10yr</v>
          </cell>
          <cell r="D2500" t="str">
            <v>Spread Duration</v>
          </cell>
          <cell r="E2500" t="str">
            <v>Other Spread Yield</v>
          </cell>
          <cell r="F2500" t="str">
            <v>Other</v>
          </cell>
          <cell r="G2500" t="str">
            <v>Other</v>
          </cell>
          <cell r="H2500" t="str">
            <v>OTHER</v>
          </cell>
          <cell r="I2500" t="str">
            <v>Spread - Municipals</v>
          </cell>
        </row>
        <row r="2501">
          <cell r="A2501" t="str">
            <v>USD_taxed_muni_30yr</v>
          </cell>
          <cell r="B2501" t="str">
            <v>Tax Muni 30Y</v>
          </cell>
          <cell r="C2501" t="str">
            <v>BRS_GOLD__5_SPREADS:BRS_GOLD__3_OTHER_SPREADS:BRS_GOLD__2_OSMUNI:ALL_TAX_MUNI,USCRD_MUNI_IDIO,FA_TAX_MUNI:USD_taxed_muni_30yr</v>
          </cell>
          <cell r="D2501" t="str">
            <v>Spread Duration</v>
          </cell>
          <cell r="E2501" t="str">
            <v>Other Spread Yield</v>
          </cell>
          <cell r="F2501" t="str">
            <v>Other</v>
          </cell>
          <cell r="G2501" t="str">
            <v>Other</v>
          </cell>
          <cell r="H2501" t="str">
            <v>OTHER</v>
          </cell>
          <cell r="I2501" t="str">
            <v>Spread - Municipals</v>
          </cell>
        </row>
        <row r="2502">
          <cell r="A2502" t="str">
            <v>ALL_taxed_muni_5yr</v>
          </cell>
          <cell r="B2502" t="str">
            <v>Non$ Tax Muni 5Y</v>
          </cell>
          <cell r="C2502" t="str">
            <v>BRS_GOLD__5_SPREADS:BRS_GOLD__3_OTHER_SPREADS:BRS_GOLD__2_OSMUNI:ALL_TAX_MUNI,USCRD_MUNI_IDIO,FA_TAX_MUNI:ALL_taxed_muni_5yr</v>
          </cell>
          <cell r="D2502" t="str">
            <v>Spread Duration</v>
          </cell>
          <cell r="E2502" t="str">
            <v>Spread Yield</v>
          </cell>
          <cell r="F2502" t="str">
            <v>Other</v>
          </cell>
          <cell r="G2502" t="str">
            <v>Other</v>
          </cell>
          <cell r="H2502" t="str">
            <v>OTHER</v>
          </cell>
          <cell r="I2502" t="str">
            <v>Spread - Municipals</v>
          </cell>
        </row>
        <row r="2503">
          <cell r="A2503" t="str">
            <v>ALL_taxed_muni_10yr</v>
          </cell>
          <cell r="B2503" t="str">
            <v>Non$ Tax Muni 10Y</v>
          </cell>
          <cell r="C2503" t="str">
            <v>BRS_GOLD__5_SPREADS:BRS_GOLD__3_OTHER_SPREADS:BRS_GOLD__2_OSMUNI:ALL_TAX_MUNI,USCRD_MUNI_IDIO,FA_TAX_MUNI:ALL_taxed_muni_10yr</v>
          </cell>
          <cell r="D2503" t="str">
            <v>Spread Duration</v>
          </cell>
          <cell r="E2503" t="str">
            <v>Spread Yield</v>
          </cell>
          <cell r="F2503" t="str">
            <v>Other</v>
          </cell>
          <cell r="G2503" t="str">
            <v>Other</v>
          </cell>
          <cell r="H2503" t="str">
            <v>OTHER</v>
          </cell>
          <cell r="I2503" t="str">
            <v>Spread - Municipals</v>
          </cell>
        </row>
        <row r="2504">
          <cell r="A2504" t="str">
            <v>ALL_taxed_muni_30yr</v>
          </cell>
          <cell r="B2504" t="str">
            <v>Non$ Tax Muni 30Y</v>
          </cell>
          <cell r="C2504" t="str">
            <v>BRS_GOLD__5_SPREADS:BRS_GOLD__3_OTHER_SPREADS:BRS_GOLD__2_OSMUNI:ALL_TAX_MUNI,USCRD_MUNI_IDIO,FA_TAX_MUNI:ALL_taxed_muni_30yr</v>
          </cell>
          <cell r="D2504" t="str">
            <v>Spread Duration</v>
          </cell>
          <cell r="E2504" t="str">
            <v>Spread Yield</v>
          </cell>
          <cell r="F2504" t="str">
            <v>Other</v>
          </cell>
          <cell r="G2504" t="str">
            <v>Other</v>
          </cell>
          <cell r="H2504" t="str">
            <v>OTHER</v>
          </cell>
          <cell r="I2504" t="str">
            <v>Spread - Municipals</v>
          </cell>
        </row>
        <row r="2505">
          <cell r="A2505" t="str">
            <v>USCRD_MUNI_IDIO</v>
          </cell>
          <cell r="B2505" t="str">
            <v>US Credit Idio MuniTax</v>
          </cell>
          <cell r="C2505" t="str">
            <v>BRS_GOLD__5_SPREADS:BRS_GOLD__3_OTHER_SPREADS:BRS_GOLD__2_OSMUNI:ALL_TAX_MUNI,USCRD_MUNI_IDIO,FA_TAX_MUNI:USCRD_MUNI_IDIO</v>
          </cell>
          <cell r="D2505" t="str">
            <v>Spread Duration</v>
          </cell>
          <cell r="E2505" t="str">
            <v>Other Spread Yield</v>
          </cell>
          <cell r="F2505" t="str">
            <v>Idiosyncratic</v>
          </cell>
          <cell r="G2505" t="str">
            <v>Other</v>
          </cell>
          <cell r="H2505" t="str">
            <v>SPREADS_SPECIFIC</v>
          </cell>
          <cell r="I2505" t="str">
            <v>Municipal - Idiosyncratic</v>
          </cell>
        </row>
        <row r="2506">
          <cell r="A2506" t="str">
            <v>USD_taxed_muni_5yr_SF</v>
          </cell>
          <cell r="B2506" t="str">
            <v>Tax Muni 5Y</v>
          </cell>
          <cell r="C2506" t="str">
            <v>BRS_GOLD__5_SPREADS:BRS_GOLD__3_OTHER_SPREADS:BRS_GOLD__2_OSMUNI:ALL_TAX_MUNI,USCRD_MUNI_IDIO,FA_TAX_MUNI:USD_taxed_muni_5yr_SF</v>
          </cell>
          <cell r="D2506" t="str">
            <v>Spread Duration</v>
          </cell>
          <cell r="E2506" t="str">
            <v>Other Spread Yield</v>
          </cell>
          <cell r="F2506" t="str">
            <v>Other</v>
          </cell>
          <cell r="G2506" t="str">
            <v>Other</v>
          </cell>
          <cell r="H2506" t="str">
            <v>OTHER</v>
          </cell>
          <cell r="I2506" t="str">
            <v>Spread - Municipals</v>
          </cell>
        </row>
        <row r="2507">
          <cell r="A2507" t="str">
            <v>USD_taxed_muni_10yr_SF</v>
          </cell>
          <cell r="B2507" t="str">
            <v>Tax Muni 10Y</v>
          </cell>
          <cell r="C2507" t="str">
            <v>BRS_GOLD__5_SPREADS:BRS_GOLD__3_OTHER_SPREADS:BRS_GOLD__2_OSMUNI:ALL_TAX_MUNI,USCRD_MUNI_IDIO,FA_TAX_MUNI:USD_taxed_muni_10yr_SF</v>
          </cell>
          <cell r="D2507" t="str">
            <v>Spread Duration</v>
          </cell>
          <cell r="E2507" t="str">
            <v>Other Spread Yield</v>
          </cell>
          <cell r="F2507" t="str">
            <v>Other</v>
          </cell>
          <cell r="G2507" t="str">
            <v>Other</v>
          </cell>
          <cell r="H2507" t="str">
            <v>OTHER</v>
          </cell>
          <cell r="I2507" t="str">
            <v>Spread - Municipals</v>
          </cell>
        </row>
        <row r="2508">
          <cell r="A2508" t="str">
            <v>USD_taxed_muni_30yr_SF</v>
          </cell>
          <cell r="B2508" t="str">
            <v>Tax Muni 30Y</v>
          </cell>
          <cell r="C2508" t="str">
            <v>BRS_GOLD__5_SPREADS:BRS_GOLD__3_OTHER_SPREADS:BRS_GOLD__2_OSMUNI:ALL_TAX_MUNI,USCRD_MUNI_IDIO,FA_TAX_MUNI:USD_taxed_muni_30yr_SF</v>
          </cell>
          <cell r="D2508" t="str">
            <v>Spread Duration</v>
          </cell>
          <cell r="E2508" t="str">
            <v>Other Spread Yield</v>
          </cell>
          <cell r="F2508" t="str">
            <v>Other</v>
          </cell>
          <cell r="G2508" t="str">
            <v>Other</v>
          </cell>
          <cell r="H2508" t="str">
            <v>OTHER</v>
          </cell>
          <cell r="I2508" t="str">
            <v>Spread - Municipals</v>
          </cell>
        </row>
        <row r="2509">
          <cell r="A2509" t="str">
            <v>USD_MUNI_ESCROWED_IDIO</v>
          </cell>
          <cell r="B2509" t="str">
            <v>Muni Escrowed</v>
          </cell>
          <cell r="C2509" t="str">
            <v>BRS_GOLD__5_SPREADS:BRS_GOLD__3_OTHER_SPREADS:BRS_GOLD__2_OSMUNI:MUNI_IDIO_D,MUNI_IDIO_DS:USD_MUNI_ESCROWED_IDIO</v>
          </cell>
          <cell r="D2509" t="str">
            <v>Spread Duration</v>
          </cell>
          <cell r="E2509" t="str">
            <v>Other Spread Yield</v>
          </cell>
          <cell r="F2509" t="str">
            <v>Idiosyncratic</v>
          </cell>
          <cell r="G2509" t="str">
            <v>Other</v>
          </cell>
          <cell r="H2509" t="str">
            <v>SPREADS_SPECIFIC</v>
          </cell>
          <cell r="I2509" t="str">
            <v>Municipal - Idiosyncratic</v>
          </cell>
        </row>
        <row r="2510">
          <cell r="A2510" t="str">
            <v>USD_MUNI_GO_IDIO</v>
          </cell>
          <cell r="B2510" t="str">
            <v>Muni General Obligation</v>
          </cell>
          <cell r="C2510" t="str">
            <v>BRS_GOLD__5_SPREADS:BRS_GOLD__3_OTHER_SPREADS:BRS_GOLD__2_OSMUNI:MUNI_IDIO_D,MUNI_IDIO_DS:USD_MUNI_GO_IDIO</v>
          </cell>
          <cell r="D2510" t="str">
            <v>Spread Duration</v>
          </cell>
          <cell r="E2510" t="str">
            <v>Spread Yield (DxS)</v>
          </cell>
          <cell r="F2510" t="str">
            <v>Idiosyncratic</v>
          </cell>
          <cell r="G2510" t="str">
            <v>Other</v>
          </cell>
          <cell r="H2510" t="str">
            <v>SPREADS_SPECIFIC</v>
          </cell>
          <cell r="I2510" t="str">
            <v>Municipal - Idiosyncratic</v>
          </cell>
        </row>
        <row r="2511">
          <cell r="A2511" t="str">
            <v>USD_MUNI_REV_IDIO</v>
          </cell>
          <cell r="B2511" t="str">
            <v>Muni Revenue</v>
          </cell>
          <cell r="C2511" t="str">
            <v>BRS_GOLD__5_SPREADS:BRS_GOLD__3_OTHER_SPREADS:BRS_GOLD__2_OSMUNI:MUNI_IDIO_D,MUNI_IDIO_DS:USD_MUNI_REV_IDIO</v>
          </cell>
          <cell r="D2511" t="str">
            <v>Spread Duration</v>
          </cell>
          <cell r="E2511" t="str">
            <v>Spread Yield (DxS)</v>
          </cell>
          <cell r="F2511" t="str">
            <v>Idiosyncratic</v>
          </cell>
          <cell r="G2511" t="str">
            <v>Other</v>
          </cell>
          <cell r="H2511" t="str">
            <v>SPREADS_SPECIFIC</v>
          </cell>
          <cell r="I2511" t="str">
            <v>Municipal - Idiosyncratic</v>
          </cell>
        </row>
        <row r="2512">
          <cell r="A2512" t="str">
            <v>USD_DS_HONGKONG</v>
          </cell>
          <cell r="B2512" t="str">
            <v>Hong Kong</v>
          </cell>
          <cell r="C2512" t="str">
            <v>BRS_GOLD__5_SPREADS:BRS_GOLD__3_OTHER_SPREADS:ASIA_CREDIT:USD_DS_HONGKONG,USD_DS_SINGAPORE:USD_DS_HONGKONG</v>
          </cell>
          <cell r="D2512" t="str">
            <v>Spread Duration</v>
          </cell>
          <cell r="E2512" t="str">
            <v>Spread Yield (DxS)</v>
          </cell>
          <cell r="F2512" t="str">
            <v>SP-Other</v>
          </cell>
          <cell r="G2512" t="str">
            <v>SP-Other</v>
          </cell>
          <cell r="H2512" t="str">
            <v>SPREADS</v>
          </cell>
          <cell r="I2512" t="str">
            <v>Swap Spread - Emerging</v>
          </cell>
        </row>
        <row r="2513">
          <cell r="A2513" t="str">
            <v>USD_DS_SINGAPORE</v>
          </cell>
          <cell r="B2513" t="str">
            <v>Singapore</v>
          </cell>
          <cell r="C2513" t="str">
            <v>BRS_GOLD__5_SPREADS:BRS_GOLD__3_OTHER_SPREADS:ASIA_CREDIT:USD_DS_HONGKONG,USD_DS_SINGAPORE:USD_DS_SINGAPORE</v>
          </cell>
          <cell r="D2513" t="str">
            <v>Spread Duration</v>
          </cell>
          <cell r="E2513" t="str">
            <v>Spread Yield (DxS)</v>
          </cell>
          <cell r="F2513" t="str">
            <v>SP-Other</v>
          </cell>
          <cell r="G2513" t="str">
            <v>SP-Other</v>
          </cell>
          <cell r="H2513" t="str">
            <v>SPREADS</v>
          </cell>
          <cell r="I2513" t="str">
            <v>Swap Spread - Emerging</v>
          </cell>
        </row>
        <row r="2514">
          <cell r="A2514" t="str">
            <v>ALL_DS_HONGKONG</v>
          </cell>
          <cell r="B2514" t="str">
            <v>Non$ Hong Kong</v>
          </cell>
          <cell r="C2514" t="str">
            <v>BRS_GOLD__5_SPREADS:BRS_GOLD__3_OTHER_SPREADS:ASIA_CREDIT:ALL_DS_HONGKONG,ALL_DS_SINGAPORE:ALL_DS_HONGKONG</v>
          </cell>
          <cell r="D2514" t="str">
            <v>Spread Duration</v>
          </cell>
          <cell r="E2514" t="str">
            <v>Spread Yield (DxS)</v>
          </cell>
          <cell r="F2514" t="str">
            <v>SP-Other</v>
          </cell>
          <cell r="G2514" t="str">
            <v>SP-Other</v>
          </cell>
          <cell r="H2514" t="str">
            <v>SPREADS</v>
          </cell>
          <cell r="I2514" t="str">
            <v>Swap Spread - Emerging</v>
          </cell>
        </row>
        <row r="2515">
          <cell r="A2515" t="str">
            <v>ALL_DS_SINGAPORE</v>
          </cell>
          <cell r="B2515" t="str">
            <v>Non$ Singapore</v>
          </cell>
          <cell r="C2515" t="str">
            <v>BRS_GOLD__5_SPREADS:BRS_GOLD__3_OTHER_SPREADS:ASIA_CREDIT:ALL_DS_HONGKONG,ALL_DS_SINGAPORE:ALL_DS_SINGAPORE</v>
          </cell>
          <cell r="D2515" t="str">
            <v>Spread Duration</v>
          </cell>
          <cell r="E2515" t="str">
            <v>Spread Yield (DxS)</v>
          </cell>
          <cell r="F2515" t="str">
            <v>SP-Other</v>
          </cell>
          <cell r="G2515" t="str">
            <v>SP-Other</v>
          </cell>
          <cell r="H2515" t="str">
            <v>SPREADS</v>
          </cell>
          <cell r="I2515" t="str">
            <v>Swap Spread - Emerging</v>
          </cell>
        </row>
        <row r="2516">
          <cell r="A2516" t="str">
            <v>USD_EM_ALGERIA</v>
          </cell>
          <cell r="B2516" t="str">
            <v>Algeria</v>
          </cell>
          <cell r="C2516" t="str">
            <v>BRS_GOLD__5_SPREADS:BRS_GOLD__3_OTHER_SPREADS:EM-EM_DS:USD_EM-USD_EM_DS:USD_EM_ALGERIA</v>
          </cell>
          <cell r="D2516" t="str">
            <v>Spread Duration</v>
          </cell>
          <cell r="E2516" t="str">
            <v>Spread Yield (DxS)</v>
          </cell>
          <cell r="F2516" t="str">
            <v>SP-Other</v>
          </cell>
          <cell r="G2516" t="str">
            <v>SP-Other</v>
          </cell>
          <cell r="H2516" t="str">
            <v>SPREADS</v>
          </cell>
          <cell r="I2516" t="str">
            <v>Swap Spread - Emerging</v>
          </cell>
        </row>
        <row r="2517">
          <cell r="A2517" t="str">
            <v>USD_EM_ARGENTINA</v>
          </cell>
          <cell r="B2517" t="str">
            <v>Argentina</v>
          </cell>
          <cell r="C2517" t="str">
            <v>BRS_GOLD__5_SPREADS:BRS_GOLD__3_OTHER_SPREADS:EM-EM_DS:USD_EM-USD_EM_DS:USD_EM_ARGENTINA</v>
          </cell>
          <cell r="D2517" t="str">
            <v>Spread Duration</v>
          </cell>
          <cell r="E2517" t="str">
            <v>Spread Yield (DxS)</v>
          </cell>
          <cell r="F2517" t="str">
            <v>SP-Other</v>
          </cell>
          <cell r="G2517" t="str">
            <v>SP-Other</v>
          </cell>
          <cell r="H2517" t="str">
            <v>SPREADS</v>
          </cell>
          <cell r="I2517" t="str">
            <v>Swap Spread - Emerging</v>
          </cell>
        </row>
        <row r="2518">
          <cell r="A2518" t="str">
            <v>USD_EM_BELIZE</v>
          </cell>
          <cell r="B2518" t="str">
            <v>Belize</v>
          </cell>
          <cell r="C2518" t="str">
            <v>BRS_GOLD__5_SPREADS:BRS_GOLD__3_OTHER_SPREADS:EM-EM_DS:USD_EM-USD_EM_DS:USD_EM_BELIZE</v>
          </cell>
          <cell r="D2518" t="str">
            <v>Spread Duration</v>
          </cell>
          <cell r="E2518" t="str">
            <v>Spread Yield (DxS)</v>
          </cell>
          <cell r="F2518" t="str">
            <v>SP-Other</v>
          </cell>
          <cell r="G2518" t="str">
            <v>SP-Other</v>
          </cell>
          <cell r="H2518" t="str">
            <v>SPREADS</v>
          </cell>
          <cell r="I2518" t="str">
            <v>Swap Spread - Emerging</v>
          </cell>
        </row>
        <row r="2519">
          <cell r="A2519" t="str">
            <v>USD_EM_BRAZIL</v>
          </cell>
          <cell r="B2519" t="str">
            <v>Brazil</v>
          </cell>
          <cell r="C2519" t="str">
            <v>BRS_GOLD__5_SPREADS:BRS_GOLD__3_OTHER_SPREADS:EM-EM_DS:USD_EM-USD_EM_DS:USD_EM_BRAZIL</v>
          </cell>
          <cell r="D2519" t="str">
            <v>Spread Duration</v>
          </cell>
          <cell r="E2519" t="str">
            <v>Spread Yield (DxS)</v>
          </cell>
          <cell r="F2519" t="str">
            <v>SP-Other</v>
          </cell>
          <cell r="G2519" t="str">
            <v>SP-Other</v>
          </cell>
          <cell r="H2519" t="str">
            <v>SPREADS</v>
          </cell>
          <cell r="I2519" t="str">
            <v>Swap Spread - Emerging</v>
          </cell>
        </row>
        <row r="2520">
          <cell r="A2520" t="str">
            <v>USD_EM_BULGARIA</v>
          </cell>
          <cell r="B2520" t="str">
            <v>Bulgaria</v>
          </cell>
          <cell r="C2520" t="str">
            <v>BRS_GOLD__5_SPREADS:BRS_GOLD__3_OTHER_SPREADS:EM-EM_DS:USD_EM-USD_EM_DS:USD_EM_BULGARIA</v>
          </cell>
          <cell r="D2520" t="str">
            <v>Spread Duration</v>
          </cell>
          <cell r="E2520" t="str">
            <v>Spread Yield (DxS)</v>
          </cell>
          <cell r="F2520" t="str">
            <v>SP-Other</v>
          </cell>
          <cell r="G2520" t="str">
            <v>SP-Other</v>
          </cell>
          <cell r="H2520" t="str">
            <v>SPREADS</v>
          </cell>
          <cell r="I2520" t="str">
            <v>Swap Spread - Emerging</v>
          </cell>
        </row>
        <row r="2521">
          <cell r="A2521" t="str">
            <v>USD_EM_CHILE</v>
          </cell>
          <cell r="B2521" t="str">
            <v>Chile</v>
          </cell>
          <cell r="C2521" t="str">
            <v>BRS_GOLD__5_SPREADS:BRS_GOLD__3_OTHER_SPREADS:EM-EM_DS:USD_EM-USD_EM_DS:USD_EM_CHILE</v>
          </cell>
          <cell r="D2521" t="str">
            <v>Spread Duration</v>
          </cell>
          <cell r="E2521" t="str">
            <v>Spread Yield (DxS)</v>
          </cell>
          <cell r="F2521" t="str">
            <v>SP-Other</v>
          </cell>
          <cell r="G2521" t="str">
            <v>SP-Other</v>
          </cell>
          <cell r="H2521" t="str">
            <v>SPREADS</v>
          </cell>
          <cell r="I2521" t="str">
            <v>Swap Spread - Emerging</v>
          </cell>
        </row>
        <row r="2522">
          <cell r="A2522" t="str">
            <v>USD_EM_CHINA</v>
          </cell>
          <cell r="B2522" t="str">
            <v>China</v>
          </cell>
          <cell r="C2522" t="str">
            <v>BRS_GOLD__5_SPREADS:BRS_GOLD__3_OTHER_SPREADS:EM-EM_DS:USD_EM-USD_EM_DS:USD_EM_CHINA</v>
          </cell>
          <cell r="D2522" t="str">
            <v>Spread Duration</v>
          </cell>
          <cell r="E2522" t="str">
            <v>Spread Yield (DxS)</v>
          </cell>
          <cell r="F2522" t="str">
            <v>SP-Other</v>
          </cell>
          <cell r="G2522" t="str">
            <v>SP-Other</v>
          </cell>
          <cell r="H2522" t="str">
            <v>SPREADS</v>
          </cell>
          <cell r="I2522" t="str">
            <v>Swap Spread - Emerging</v>
          </cell>
        </row>
        <row r="2523">
          <cell r="A2523" t="str">
            <v>USD_EM_COLOMBIA</v>
          </cell>
          <cell r="B2523" t="str">
            <v>Colombia</v>
          </cell>
          <cell r="C2523" t="str">
            <v>BRS_GOLD__5_SPREADS:BRS_GOLD__3_OTHER_SPREADS:EM-EM_DS:USD_EM-USD_EM_DS:USD_EM_COLOMBIA</v>
          </cell>
          <cell r="D2523" t="str">
            <v>Spread Duration</v>
          </cell>
          <cell r="E2523" t="str">
            <v>Spread Yield (DxS)</v>
          </cell>
          <cell r="F2523" t="str">
            <v>SP-Other</v>
          </cell>
          <cell r="G2523" t="str">
            <v>SP-Other</v>
          </cell>
          <cell r="H2523" t="str">
            <v>SPREADS</v>
          </cell>
          <cell r="I2523" t="str">
            <v>Swap Spread - Emerging</v>
          </cell>
        </row>
        <row r="2524">
          <cell r="A2524" t="str">
            <v>USD_EM_IVOIRE</v>
          </cell>
          <cell r="B2524" t="str">
            <v>Cote dIvoire</v>
          </cell>
          <cell r="C2524" t="str">
            <v>BRS_GOLD__5_SPREADS:BRS_GOLD__3_OTHER_SPREADS:EM-EM_DS:USD_EM-USD_EM_DS:USD_EM_IVOIRE</v>
          </cell>
          <cell r="D2524" t="str">
            <v>Spread Duration</v>
          </cell>
          <cell r="E2524" t="str">
            <v>Spread Yield (DxS)</v>
          </cell>
          <cell r="F2524" t="str">
            <v>SP-Other</v>
          </cell>
          <cell r="G2524" t="str">
            <v>SP-Other</v>
          </cell>
          <cell r="H2524" t="str">
            <v>SPREADS</v>
          </cell>
          <cell r="I2524" t="str">
            <v>Swap Spread - Emerging</v>
          </cell>
        </row>
        <row r="2525">
          <cell r="A2525" t="str">
            <v>USD_EM_CROATIA</v>
          </cell>
          <cell r="B2525" t="str">
            <v>Croatia</v>
          </cell>
          <cell r="C2525" t="str">
            <v>BRS_GOLD__5_SPREADS:BRS_GOLD__3_OTHER_SPREADS:EM-EM_DS:USD_EM-USD_EM_DS:USD_EM_CROATIA</v>
          </cell>
          <cell r="D2525" t="str">
            <v>Spread Duration</v>
          </cell>
          <cell r="E2525" t="str">
            <v>Spread Yield (DxS)</v>
          </cell>
          <cell r="F2525" t="str">
            <v>SP-Other</v>
          </cell>
          <cell r="G2525" t="str">
            <v>SP-Other</v>
          </cell>
          <cell r="H2525" t="str">
            <v>SPREADS</v>
          </cell>
          <cell r="I2525" t="str">
            <v>Swap Spread - Emerging</v>
          </cell>
        </row>
        <row r="2526">
          <cell r="A2526" t="str">
            <v>USD_EM_DOMINICA</v>
          </cell>
          <cell r="B2526" t="str">
            <v>Dominican Republic</v>
          </cell>
          <cell r="C2526" t="str">
            <v>BRS_GOLD__5_SPREADS:BRS_GOLD__3_OTHER_SPREADS:EM-EM_DS:USD_EM-USD_EM_DS:USD_EM_DOMINICA</v>
          </cell>
          <cell r="D2526" t="str">
            <v>Spread Duration</v>
          </cell>
          <cell r="E2526" t="str">
            <v>Spread Yield (DxS)</v>
          </cell>
          <cell r="F2526" t="str">
            <v>SP-Other</v>
          </cell>
          <cell r="G2526" t="str">
            <v>SP-Other</v>
          </cell>
          <cell r="H2526" t="str">
            <v>SPREADS</v>
          </cell>
          <cell r="I2526" t="str">
            <v>Swap Spread - Emerging</v>
          </cell>
        </row>
        <row r="2527">
          <cell r="A2527" t="str">
            <v>USD_EM_ECUADOR</v>
          </cell>
          <cell r="B2527" t="str">
            <v>Ecuador</v>
          </cell>
          <cell r="C2527" t="str">
            <v>BRS_GOLD__5_SPREADS:BRS_GOLD__3_OTHER_SPREADS:EM-EM_DS:USD_EM-USD_EM_DS:USD_EM_ECUADOR</v>
          </cell>
          <cell r="D2527" t="str">
            <v>Spread Duration</v>
          </cell>
          <cell r="E2527" t="str">
            <v>Spread Yield (DxS)</v>
          </cell>
          <cell r="F2527" t="str">
            <v>SP-Other</v>
          </cell>
          <cell r="G2527" t="str">
            <v>SP-Other</v>
          </cell>
          <cell r="H2527" t="str">
            <v>SPREADS</v>
          </cell>
          <cell r="I2527" t="str">
            <v>Swap Spread - Emerging</v>
          </cell>
        </row>
        <row r="2528">
          <cell r="A2528" t="str">
            <v>USD_EM_EGYPT</v>
          </cell>
          <cell r="B2528" t="str">
            <v>Egypt</v>
          </cell>
          <cell r="C2528" t="str">
            <v>BRS_GOLD__5_SPREADS:BRS_GOLD__3_OTHER_SPREADS:EM-EM_DS:USD_EM-USD_EM_DS:USD_EM_EGYPT</v>
          </cell>
          <cell r="D2528" t="str">
            <v>Spread Duration</v>
          </cell>
          <cell r="E2528" t="str">
            <v>Spread Yield (DxS)</v>
          </cell>
          <cell r="F2528" t="str">
            <v>SP-Other</v>
          </cell>
          <cell r="G2528" t="str">
            <v>SP-Other</v>
          </cell>
          <cell r="H2528" t="str">
            <v>SPREADS</v>
          </cell>
          <cell r="I2528" t="str">
            <v>Swap Spread - Emerging</v>
          </cell>
        </row>
        <row r="2529">
          <cell r="A2529" t="str">
            <v>USD_EM_SALVADOR</v>
          </cell>
          <cell r="B2529" t="str">
            <v>El Salvador</v>
          </cell>
          <cell r="C2529" t="str">
            <v>BRS_GOLD__5_SPREADS:BRS_GOLD__3_OTHER_SPREADS:EM-EM_DS:USD_EM-USD_EM_DS:USD_EM_SALVADOR</v>
          </cell>
          <cell r="D2529" t="str">
            <v>Spread Duration</v>
          </cell>
          <cell r="E2529" t="str">
            <v>Spread Yield (DxS)</v>
          </cell>
          <cell r="F2529" t="str">
            <v>SP-Other</v>
          </cell>
          <cell r="G2529" t="str">
            <v>SP-Other</v>
          </cell>
          <cell r="H2529" t="str">
            <v>SPREADS</v>
          </cell>
          <cell r="I2529" t="str">
            <v>Swap Spread - Emerging</v>
          </cell>
        </row>
        <row r="2530">
          <cell r="A2530" t="str">
            <v>USD_EM_GABON</v>
          </cell>
          <cell r="B2530" t="str">
            <v>Gabon</v>
          </cell>
          <cell r="C2530" t="str">
            <v>BRS_GOLD__5_SPREADS:BRS_GOLD__3_OTHER_SPREADS:EM-EM_DS:USD_EM-USD_EM_DS:USD_EM_GABON</v>
          </cell>
          <cell r="D2530" t="str">
            <v>Spread Duration</v>
          </cell>
          <cell r="E2530" t="str">
            <v>Spread Yield (DxS)</v>
          </cell>
          <cell r="F2530" t="str">
            <v>SP-Other</v>
          </cell>
          <cell r="G2530" t="str">
            <v>SP-Other</v>
          </cell>
          <cell r="H2530" t="str">
            <v>SPREADS</v>
          </cell>
          <cell r="I2530" t="str">
            <v>Swap Spread - Emerging</v>
          </cell>
        </row>
        <row r="2531">
          <cell r="A2531" t="str">
            <v>USD_EM_GEORGIA</v>
          </cell>
          <cell r="B2531" t="str">
            <v>Georgia</v>
          </cell>
          <cell r="C2531" t="str">
            <v>BRS_GOLD__5_SPREADS:BRS_GOLD__3_OTHER_SPREADS:EM-EM_DS:USD_EM-USD_EM_DS:USD_EM_GEORGIA</v>
          </cell>
          <cell r="D2531" t="str">
            <v>Spread Duration</v>
          </cell>
          <cell r="E2531" t="str">
            <v>Spread Yield (DxS)</v>
          </cell>
          <cell r="F2531" t="str">
            <v>SP-Other</v>
          </cell>
          <cell r="G2531" t="str">
            <v>SP-Other</v>
          </cell>
          <cell r="H2531" t="str">
            <v>SPREADS</v>
          </cell>
          <cell r="I2531" t="str">
            <v>Swap Spread - Emerging</v>
          </cell>
        </row>
        <row r="2532">
          <cell r="A2532" t="str">
            <v>USD_EM_GHANA</v>
          </cell>
          <cell r="B2532" t="str">
            <v>Ghana</v>
          </cell>
          <cell r="C2532" t="str">
            <v>BRS_GOLD__5_SPREADS:BRS_GOLD__3_OTHER_SPREADS:EM-EM_DS:USD_EM-USD_EM_DS:USD_EM_GHANA</v>
          </cell>
          <cell r="D2532" t="str">
            <v>Spread Duration</v>
          </cell>
          <cell r="E2532" t="str">
            <v>Spread Yield (DxS)</v>
          </cell>
          <cell r="F2532" t="str">
            <v>SP-Other</v>
          </cell>
          <cell r="G2532" t="str">
            <v>SP-Other</v>
          </cell>
          <cell r="H2532" t="str">
            <v>SPREADS</v>
          </cell>
          <cell r="I2532" t="str">
            <v>Swap Spread - Emerging</v>
          </cell>
        </row>
        <row r="2533">
          <cell r="A2533" t="str">
            <v>USD_EM_HUNGARY</v>
          </cell>
          <cell r="B2533" t="str">
            <v>Hungary</v>
          </cell>
          <cell r="C2533" t="str">
            <v>BRS_GOLD__5_SPREADS:BRS_GOLD__3_OTHER_SPREADS:EM-EM_DS:USD_EM-USD_EM_DS:USD_EM_HUNGARY</v>
          </cell>
          <cell r="D2533" t="str">
            <v>Spread Duration</v>
          </cell>
          <cell r="E2533" t="str">
            <v>Spread Yield (DxS)</v>
          </cell>
          <cell r="F2533" t="str">
            <v>SP-Other</v>
          </cell>
          <cell r="G2533" t="str">
            <v>SP-Other</v>
          </cell>
          <cell r="H2533" t="str">
            <v>SPREADS</v>
          </cell>
          <cell r="I2533" t="str">
            <v>Swap Spread - Emerging</v>
          </cell>
        </row>
        <row r="2534">
          <cell r="A2534" t="str">
            <v>USD_EM_INDONESIA</v>
          </cell>
          <cell r="B2534" t="str">
            <v>Indonesia</v>
          </cell>
          <cell r="C2534" t="str">
            <v>BRS_GOLD__5_SPREADS:BRS_GOLD__3_OTHER_SPREADS:EM-EM_DS:USD_EM-USD_EM_DS:USD_EM_INDONESIA</v>
          </cell>
          <cell r="D2534" t="str">
            <v>Spread Duration</v>
          </cell>
          <cell r="E2534" t="str">
            <v>Spread Yield (DxS)</v>
          </cell>
          <cell r="F2534" t="str">
            <v>SP-Other</v>
          </cell>
          <cell r="G2534" t="str">
            <v>SP-Other</v>
          </cell>
          <cell r="H2534" t="str">
            <v>SPREADS</v>
          </cell>
          <cell r="I2534" t="str">
            <v>Swap Spread - Emerging</v>
          </cell>
        </row>
        <row r="2535">
          <cell r="A2535" t="str">
            <v>USD_EM_IRAQ</v>
          </cell>
          <cell r="B2535" t="str">
            <v>Iraq</v>
          </cell>
          <cell r="C2535" t="str">
            <v>BRS_GOLD__5_SPREADS:BRS_GOLD__3_OTHER_SPREADS:EM-EM_DS:USD_EM-USD_EM_DS:USD_EM_IRAQ</v>
          </cell>
          <cell r="D2535" t="str">
            <v>Spread Duration</v>
          </cell>
          <cell r="E2535" t="str">
            <v>Spread Yield (DxS)</v>
          </cell>
          <cell r="F2535" t="str">
            <v>SP-Other</v>
          </cell>
          <cell r="G2535" t="str">
            <v>SP-Other</v>
          </cell>
          <cell r="H2535" t="str">
            <v>SPREADS</v>
          </cell>
          <cell r="I2535" t="str">
            <v>Swap Spread - Emerging</v>
          </cell>
        </row>
        <row r="2536">
          <cell r="A2536" t="str">
            <v>USD_EM_JAMAICA</v>
          </cell>
          <cell r="B2536" t="str">
            <v>Jamaica</v>
          </cell>
          <cell r="C2536" t="str">
            <v>BRS_GOLD__5_SPREADS:BRS_GOLD__3_OTHER_SPREADS:EM-EM_DS:USD_EM-USD_EM_DS:USD_EM_JAMAICA</v>
          </cell>
          <cell r="D2536" t="str">
            <v>Spread Duration</v>
          </cell>
          <cell r="E2536" t="str">
            <v>Spread Yield (DxS)</v>
          </cell>
          <cell r="F2536" t="str">
            <v>SP-Other</v>
          </cell>
          <cell r="G2536" t="str">
            <v>SP-Other</v>
          </cell>
          <cell r="H2536" t="str">
            <v>SPREADS</v>
          </cell>
          <cell r="I2536" t="str">
            <v>Swap Spread - Emerging</v>
          </cell>
        </row>
        <row r="2537">
          <cell r="A2537" t="str">
            <v>USD_EM_KAZAKHSTAN</v>
          </cell>
          <cell r="B2537" t="str">
            <v>Kazakhstan</v>
          </cell>
          <cell r="C2537" t="str">
            <v>BRS_GOLD__5_SPREADS:BRS_GOLD__3_OTHER_SPREADS:EM-EM_DS:USD_EM-USD_EM_DS:USD_EM_KAZAKHSTAN</v>
          </cell>
          <cell r="D2537" t="str">
            <v>Spread Duration</v>
          </cell>
          <cell r="E2537" t="str">
            <v>Spread Yield (DxS)</v>
          </cell>
          <cell r="F2537" t="str">
            <v>SP-Other</v>
          </cell>
          <cell r="G2537" t="str">
            <v>SP-Other</v>
          </cell>
          <cell r="H2537" t="str">
            <v>SPREADS</v>
          </cell>
          <cell r="I2537" t="str">
            <v>Swap Spread - Emerging</v>
          </cell>
        </row>
        <row r="2538">
          <cell r="A2538" t="str">
            <v>USD_EM_KOREA</v>
          </cell>
          <cell r="B2538" t="str">
            <v>Korea</v>
          </cell>
          <cell r="C2538" t="str">
            <v>BRS_GOLD__5_SPREADS:BRS_GOLD__3_OTHER_SPREADS:EM-EM_DS:USD_EM-USD_EM_DS:USD_EM_KOREA</v>
          </cell>
          <cell r="D2538" t="str">
            <v>Spread Duration</v>
          </cell>
          <cell r="E2538" t="str">
            <v>Spread Yield (DxS)</v>
          </cell>
          <cell r="F2538" t="str">
            <v>SP-Other</v>
          </cell>
          <cell r="G2538" t="str">
            <v>SP-Other</v>
          </cell>
          <cell r="H2538" t="str">
            <v>SPREADS</v>
          </cell>
          <cell r="I2538" t="str">
            <v>Swap Spread - Emerging</v>
          </cell>
        </row>
        <row r="2539">
          <cell r="A2539" t="str">
            <v>USD_EM_LEBANON</v>
          </cell>
          <cell r="B2539" t="str">
            <v>Lebanon</v>
          </cell>
          <cell r="C2539" t="str">
            <v>BRS_GOLD__5_SPREADS:BRS_GOLD__3_OTHER_SPREADS:EM-EM_DS:USD_EM-USD_EM_DS:USD_EM_LEBANON</v>
          </cell>
          <cell r="D2539" t="str">
            <v>Spread Duration</v>
          </cell>
          <cell r="E2539" t="str">
            <v>Spread Yield (DxS)</v>
          </cell>
          <cell r="F2539" t="str">
            <v>SP-Other</v>
          </cell>
          <cell r="G2539" t="str">
            <v>SP-Other</v>
          </cell>
          <cell r="H2539" t="str">
            <v>SPREADS</v>
          </cell>
          <cell r="I2539" t="str">
            <v>Swap Spread - Emerging</v>
          </cell>
        </row>
        <row r="2540">
          <cell r="A2540" t="str">
            <v>USD_EM_MALAYSIA</v>
          </cell>
          <cell r="B2540" t="str">
            <v>Malaysia</v>
          </cell>
          <cell r="C2540" t="str">
            <v>BRS_GOLD__5_SPREADS:BRS_GOLD__3_OTHER_SPREADS:EM-EM_DS:USD_EM-USD_EM_DS:USD_EM_MALAYSIA</v>
          </cell>
          <cell r="D2540" t="str">
            <v>Spread Duration</v>
          </cell>
          <cell r="E2540" t="str">
            <v>Spread Yield (DxS)</v>
          </cell>
          <cell r="F2540" t="str">
            <v>SP-Other</v>
          </cell>
          <cell r="G2540" t="str">
            <v>SP-Other</v>
          </cell>
          <cell r="H2540" t="str">
            <v>SPREADS</v>
          </cell>
          <cell r="I2540" t="str">
            <v>Swap Spread - Emerging</v>
          </cell>
        </row>
        <row r="2541">
          <cell r="A2541" t="str">
            <v>USD_EM_MEXICO</v>
          </cell>
          <cell r="B2541" t="str">
            <v>Mexico</v>
          </cell>
          <cell r="C2541" t="str">
            <v>BRS_GOLD__5_SPREADS:BRS_GOLD__3_OTHER_SPREADS:EM-EM_DS:USD_EM-USD_EM_DS:USD_EM_MEXICO</v>
          </cell>
          <cell r="D2541" t="str">
            <v>Spread Duration</v>
          </cell>
          <cell r="E2541" t="str">
            <v>Spread Yield (DxS)</v>
          </cell>
          <cell r="F2541" t="str">
            <v>SP-Other</v>
          </cell>
          <cell r="G2541" t="str">
            <v>SP-Other</v>
          </cell>
          <cell r="H2541" t="str">
            <v>SPREADS</v>
          </cell>
          <cell r="I2541" t="str">
            <v>Swap Spread - Emerging</v>
          </cell>
        </row>
        <row r="2542">
          <cell r="A2542" t="str">
            <v>USD_EM_MOROCCO</v>
          </cell>
          <cell r="B2542" t="str">
            <v>Morocco</v>
          </cell>
          <cell r="C2542" t="str">
            <v>BRS_GOLD__5_SPREADS:BRS_GOLD__3_OTHER_SPREADS:EM-EM_DS:USD_EM-USD_EM_DS:USD_EM_MOROCCO</v>
          </cell>
          <cell r="D2542" t="str">
            <v>Spread Duration</v>
          </cell>
          <cell r="E2542" t="str">
            <v>Spread Yield (DxS)</v>
          </cell>
          <cell r="F2542" t="str">
            <v>SP-Other</v>
          </cell>
          <cell r="G2542" t="str">
            <v>SP-Other</v>
          </cell>
          <cell r="H2542" t="str">
            <v>SPREADS</v>
          </cell>
          <cell r="I2542" t="str">
            <v>Swap Spread - Emerging</v>
          </cell>
        </row>
        <row r="2543">
          <cell r="A2543" t="str">
            <v>USD_EM_NIGERIA</v>
          </cell>
          <cell r="B2543" t="str">
            <v>Nigeria</v>
          </cell>
          <cell r="C2543" t="str">
            <v>BRS_GOLD__5_SPREADS:BRS_GOLD__3_OTHER_SPREADS:EM-EM_DS:USD_EM-USD_EM_DS:USD_EM_NIGERIA</v>
          </cell>
          <cell r="D2543" t="str">
            <v>Spread Duration</v>
          </cell>
          <cell r="E2543" t="str">
            <v>Spread Yield (DxS)</v>
          </cell>
          <cell r="F2543" t="str">
            <v>SP-Other</v>
          </cell>
          <cell r="G2543" t="str">
            <v>SP-Other</v>
          </cell>
          <cell r="H2543" t="str">
            <v>SPREADS</v>
          </cell>
          <cell r="I2543" t="str">
            <v>Swap Spread - Emerging</v>
          </cell>
        </row>
        <row r="2544">
          <cell r="A2544" t="str">
            <v>USD_EM_PAKISTAN</v>
          </cell>
          <cell r="B2544" t="str">
            <v>Pakistan</v>
          </cell>
          <cell r="C2544" t="str">
            <v>BRS_GOLD__5_SPREADS:BRS_GOLD__3_OTHER_SPREADS:EM-EM_DS:USD_EM-USD_EM_DS:USD_EM_PAKISTAN</v>
          </cell>
          <cell r="D2544" t="str">
            <v>Spread Duration</v>
          </cell>
          <cell r="E2544" t="str">
            <v>Spread Yield (DxS)</v>
          </cell>
          <cell r="F2544" t="str">
            <v>SP-Other</v>
          </cell>
          <cell r="G2544" t="str">
            <v>SP-Other</v>
          </cell>
          <cell r="H2544" t="str">
            <v>SPREADS</v>
          </cell>
          <cell r="I2544" t="str">
            <v>Swap Spread - Emerging</v>
          </cell>
        </row>
        <row r="2545">
          <cell r="A2545" t="str">
            <v>USD_EM_PANAMA</v>
          </cell>
          <cell r="B2545" t="str">
            <v>Panama</v>
          </cell>
          <cell r="C2545" t="str">
            <v>BRS_GOLD__5_SPREADS:BRS_GOLD__3_OTHER_SPREADS:EM-EM_DS:USD_EM-USD_EM_DS:USD_EM_PANAMA</v>
          </cell>
          <cell r="D2545" t="str">
            <v>Spread Duration</v>
          </cell>
          <cell r="E2545" t="str">
            <v>Spread Yield (DxS)</v>
          </cell>
          <cell r="F2545" t="str">
            <v>SP-Other</v>
          </cell>
          <cell r="G2545" t="str">
            <v>SP-Other</v>
          </cell>
          <cell r="H2545" t="str">
            <v>SPREADS</v>
          </cell>
          <cell r="I2545" t="str">
            <v>Swap Spread - Emerging</v>
          </cell>
        </row>
        <row r="2546">
          <cell r="A2546" t="str">
            <v>USD_EM_PERU</v>
          </cell>
          <cell r="B2546" t="str">
            <v>Peru</v>
          </cell>
          <cell r="C2546" t="str">
            <v>BRS_GOLD__5_SPREADS:BRS_GOLD__3_OTHER_SPREADS:EM-EM_DS:USD_EM-USD_EM_DS:USD_EM_PERU</v>
          </cell>
          <cell r="D2546" t="str">
            <v>Spread Duration</v>
          </cell>
          <cell r="E2546" t="str">
            <v>Spread Yield (DxS)</v>
          </cell>
          <cell r="F2546" t="str">
            <v>SP-Other</v>
          </cell>
          <cell r="G2546" t="str">
            <v>SP-Other</v>
          </cell>
          <cell r="H2546" t="str">
            <v>SPREADS</v>
          </cell>
          <cell r="I2546" t="str">
            <v>Swap Spread - Emerging</v>
          </cell>
        </row>
        <row r="2547">
          <cell r="A2547" t="str">
            <v>USD_EM_PHILIPPINES</v>
          </cell>
          <cell r="B2547" t="str">
            <v>Philippines</v>
          </cell>
          <cell r="C2547" t="str">
            <v>BRS_GOLD__5_SPREADS:BRS_GOLD__3_OTHER_SPREADS:EM-EM_DS:USD_EM-USD_EM_DS:USD_EM_PHILIPPINES</v>
          </cell>
          <cell r="D2547" t="str">
            <v>Spread Duration</v>
          </cell>
          <cell r="E2547" t="str">
            <v>Spread Yield (DxS)</v>
          </cell>
          <cell r="F2547" t="str">
            <v>SP-Other</v>
          </cell>
          <cell r="G2547" t="str">
            <v>SP-Other</v>
          </cell>
          <cell r="H2547" t="str">
            <v>SPREADS</v>
          </cell>
          <cell r="I2547" t="str">
            <v>Swap Spread - Emerging</v>
          </cell>
        </row>
        <row r="2548">
          <cell r="A2548" t="str">
            <v>USD_EM_POLAND</v>
          </cell>
          <cell r="B2548" t="str">
            <v>Poland</v>
          </cell>
          <cell r="C2548" t="str">
            <v>BRS_GOLD__5_SPREADS:BRS_GOLD__3_OTHER_SPREADS:EM-EM_DS:USD_EM-USD_EM_DS:USD_EM_POLAND</v>
          </cell>
          <cell r="D2548" t="str">
            <v>Spread Duration</v>
          </cell>
          <cell r="E2548" t="str">
            <v>Spread Yield (DxS)</v>
          </cell>
          <cell r="F2548" t="str">
            <v>SP-Other</v>
          </cell>
          <cell r="G2548" t="str">
            <v>SP-Other</v>
          </cell>
          <cell r="H2548" t="str">
            <v>SPREADS</v>
          </cell>
          <cell r="I2548" t="str">
            <v>Swap Spread - Emerging</v>
          </cell>
        </row>
        <row r="2549">
          <cell r="A2549" t="str">
            <v>USD_EM_RUSSIA</v>
          </cell>
          <cell r="B2549" t="str">
            <v>Russia</v>
          </cell>
          <cell r="C2549" t="str">
            <v>BRS_GOLD__5_SPREADS:BRS_GOLD__3_OTHER_SPREADS:EM-EM_DS:USD_EM-USD_EM_DS:USD_EM_RUSSIA</v>
          </cell>
          <cell r="D2549" t="str">
            <v>Spread Duration</v>
          </cell>
          <cell r="E2549" t="str">
            <v>Spread Yield (DxS)</v>
          </cell>
          <cell r="F2549" t="str">
            <v>SP-Other</v>
          </cell>
          <cell r="G2549" t="str">
            <v>SP-Other</v>
          </cell>
          <cell r="H2549" t="str">
            <v>SPREADS</v>
          </cell>
          <cell r="I2549" t="str">
            <v>Swap Spread - Emerging</v>
          </cell>
        </row>
        <row r="2550">
          <cell r="A2550" t="str">
            <v>USD_EM_SERBIA</v>
          </cell>
          <cell r="B2550" t="str">
            <v>Serbia</v>
          </cell>
          <cell r="C2550" t="str">
            <v>BRS_GOLD__5_SPREADS:BRS_GOLD__3_OTHER_SPREADS:EM-EM_DS:USD_EM-USD_EM_DS:USD_EM_SERBIA</v>
          </cell>
          <cell r="D2550" t="str">
            <v>Spread Duration</v>
          </cell>
          <cell r="E2550" t="str">
            <v>Spread Yield (DxS)</v>
          </cell>
          <cell r="F2550" t="str">
            <v>SP-Other</v>
          </cell>
          <cell r="G2550" t="str">
            <v>SP-Other</v>
          </cell>
          <cell r="H2550" t="str">
            <v>SPREADS</v>
          </cell>
          <cell r="I2550" t="str">
            <v>Swap Spread - Emerging</v>
          </cell>
        </row>
        <row r="2551">
          <cell r="A2551" t="str">
            <v>USD_EM_SAFRICA</v>
          </cell>
          <cell r="B2551" t="str">
            <v>South Africa</v>
          </cell>
          <cell r="C2551" t="str">
            <v>BRS_GOLD__5_SPREADS:BRS_GOLD__3_OTHER_SPREADS:EM-EM_DS:USD_EM-USD_EM_DS:USD_EM_SAFRICA</v>
          </cell>
          <cell r="D2551" t="str">
            <v>Spread Duration</v>
          </cell>
          <cell r="E2551" t="str">
            <v>Spread Yield (DxS)</v>
          </cell>
          <cell r="F2551" t="str">
            <v>SP-Other</v>
          </cell>
          <cell r="G2551" t="str">
            <v>SP-Other</v>
          </cell>
          <cell r="H2551" t="str">
            <v>SPREADS</v>
          </cell>
          <cell r="I2551" t="str">
            <v>Swap Spread - Emerging</v>
          </cell>
        </row>
        <row r="2552">
          <cell r="A2552" t="str">
            <v>USD_EM_SRILANKA</v>
          </cell>
          <cell r="B2552" t="str">
            <v>Sri Lanka</v>
          </cell>
          <cell r="C2552" t="str">
            <v>BRS_GOLD__5_SPREADS:BRS_GOLD__3_OTHER_SPREADS:EM-EM_DS:USD_EM-USD_EM_DS:USD_EM_SRILANKA</v>
          </cell>
          <cell r="D2552" t="str">
            <v>Spread Duration</v>
          </cell>
          <cell r="E2552" t="str">
            <v>Spread Yield (DxS)</v>
          </cell>
          <cell r="F2552" t="str">
            <v>SP-Other</v>
          </cell>
          <cell r="G2552" t="str">
            <v>SP-Other</v>
          </cell>
          <cell r="H2552" t="str">
            <v>SPREADS</v>
          </cell>
          <cell r="I2552" t="str">
            <v>Swap Spread - Emerging</v>
          </cell>
        </row>
        <row r="2553">
          <cell r="A2553" t="str">
            <v>USD_EM_THAILAND</v>
          </cell>
          <cell r="B2553" t="str">
            <v>Thailand</v>
          </cell>
          <cell r="C2553" t="str">
            <v>BRS_GOLD__5_SPREADS:BRS_GOLD__3_OTHER_SPREADS:EM-EM_DS:USD_EM-USD_EM_DS:USD_EM_THAILAND</v>
          </cell>
          <cell r="D2553" t="str">
            <v>Spread Duration</v>
          </cell>
          <cell r="E2553" t="str">
            <v>Spread Yield (DxS)</v>
          </cell>
          <cell r="F2553" t="str">
            <v>SP-Other</v>
          </cell>
          <cell r="G2553" t="str">
            <v>SP-Other</v>
          </cell>
          <cell r="H2553" t="str">
            <v>SPREADS</v>
          </cell>
          <cell r="I2553" t="str">
            <v>Swap Spread - Emerging</v>
          </cell>
        </row>
        <row r="2554">
          <cell r="A2554" t="str">
            <v>USD_EM_TRINTOBAGO</v>
          </cell>
          <cell r="B2554" t="str">
            <v>Trinidad and Tobago</v>
          </cell>
          <cell r="C2554" t="str">
            <v>BRS_GOLD__5_SPREADS:BRS_GOLD__3_OTHER_SPREADS:EM-EM_DS:USD_EM-USD_EM_DS:USD_EM_TRINTOBAGO</v>
          </cell>
          <cell r="D2554" t="str">
            <v>Spread Duration</v>
          </cell>
          <cell r="E2554" t="str">
            <v>Spread Yield (DxS)</v>
          </cell>
          <cell r="F2554" t="str">
            <v>SP-Other</v>
          </cell>
          <cell r="G2554" t="str">
            <v>SP-Other</v>
          </cell>
          <cell r="H2554" t="str">
            <v>SPREADS</v>
          </cell>
          <cell r="I2554" t="str">
            <v>Swap Spread - Emerging</v>
          </cell>
        </row>
        <row r="2555">
          <cell r="A2555" t="str">
            <v>USD_EM_TUNISIA</v>
          </cell>
          <cell r="B2555" t="str">
            <v>Tunisia</v>
          </cell>
          <cell r="C2555" t="str">
            <v>BRS_GOLD__5_SPREADS:BRS_GOLD__3_OTHER_SPREADS:EM-EM_DS:USD_EM-USD_EM_DS:USD_EM_TUNISIA</v>
          </cell>
          <cell r="D2555" t="str">
            <v>Spread Duration</v>
          </cell>
          <cell r="E2555" t="str">
            <v>Spread Yield (DxS)</v>
          </cell>
          <cell r="F2555" t="str">
            <v>SP-Other</v>
          </cell>
          <cell r="G2555" t="str">
            <v>SP-Other</v>
          </cell>
          <cell r="H2555" t="str">
            <v>SPREADS</v>
          </cell>
          <cell r="I2555" t="str">
            <v>Swap Spread - Emerging</v>
          </cell>
        </row>
        <row r="2556">
          <cell r="A2556" t="str">
            <v>USD_EM_TURKEY</v>
          </cell>
          <cell r="B2556" t="str">
            <v>Turkey</v>
          </cell>
          <cell r="C2556" t="str">
            <v>BRS_GOLD__5_SPREADS:BRS_GOLD__3_OTHER_SPREADS:EM-EM_DS:USD_EM-USD_EM_DS:USD_EM_TURKEY</v>
          </cell>
          <cell r="D2556" t="str">
            <v>Spread Duration</v>
          </cell>
          <cell r="E2556" t="str">
            <v>Spread Yield (DxS)</v>
          </cell>
          <cell r="F2556" t="str">
            <v>SP-Other</v>
          </cell>
          <cell r="G2556" t="str">
            <v>SP-Other</v>
          </cell>
          <cell r="H2556" t="str">
            <v>SPREADS</v>
          </cell>
          <cell r="I2556" t="str">
            <v>Swap Spread - Emerging</v>
          </cell>
        </row>
        <row r="2557">
          <cell r="A2557" t="str">
            <v>USD_EM_UKRAINE</v>
          </cell>
          <cell r="B2557" t="str">
            <v>Ukraine</v>
          </cell>
          <cell r="C2557" t="str">
            <v>BRS_GOLD__5_SPREADS:BRS_GOLD__3_OTHER_SPREADS:EM-EM_DS:USD_EM-USD_EM_DS:USD_EM_UKRAINE</v>
          </cell>
          <cell r="D2557" t="str">
            <v>Spread Duration</v>
          </cell>
          <cell r="E2557" t="str">
            <v>Spread Yield (DxS)</v>
          </cell>
          <cell r="F2557" t="str">
            <v>SP-Other</v>
          </cell>
          <cell r="G2557" t="str">
            <v>SP-Other</v>
          </cell>
          <cell r="H2557" t="str">
            <v>SPREADS</v>
          </cell>
          <cell r="I2557" t="str">
            <v>Swap Spread - Emerging</v>
          </cell>
        </row>
        <row r="2558">
          <cell r="A2558" t="str">
            <v>USD_EM_URUGUAY</v>
          </cell>
          <cell r="B2558" t="str">
            <v>Uruguay</v>
          </cell>
          <cell r="C2558" t="str">
            <v>BRS_GOLD__5_SPREADS:BRS_GOLD__3_OTHER_SPREADS:EM-EM_DS:USD_EM-USD_EM_DS:USD_EM_URUGUAY</v>
          </cell>
          <cell r="D2558" t="str">
            <v>Spread Duration</v>
          </cell>
          <cell r="E2558" t="str">
            <v>Spread Yield (DxS)</v>
          </cell>
          <cell r="F2558" t="str">
            <v>SP-Other</v>
          </cell>
          <cell r="G2558" t="str">
            <v>SP-Other</v>
          </cell>
          <cell r="H2558" t="str">
            <v>SPREADS</v>
          </cell>
          <cell r="I2558" t="str">
            <v>Swap Spread - Emerging</v>
          </cell>
        </row>
        <row r="2559">
          <cell r="A2559" t="str">
            <v>USD_EM_VENEZUELA</v>
          </cell>
          <cell r="B2559" t="str">
            <v>Venezuela</v>
          </cell>
          <cell r="C2559" t="str">
            <v>BRS_GOLD__5_SPREADS:BRS_GOLD__3_OTHER_SPREADS:EM-EM_DS:USD_EM-USD_EM_DS:USD_EM_VENEZUELA</v>
          </cell>
          <cell r="D2559" t="str">
            <v>Spread Duration</v>
          </cell>
          <cell r="E2559" t="str">
            <v>Spread Yield (DxS)</v>
          </cell>
          <cell r="F2559" t="str">
            <v>SP-Other</v>
          </cell>
          <cell r="G2559" t="str">
            <v>SP-Other</v>
          </cell>
          <cell r="H2559" t="str">
            <v>SPREADS</v>
          </cell>
          <cell r="I2559" t="str">
            <v>Swap Spread - Emerging</v>
          </cell>
        </row>
        <row r="2560">
          <cell r="A2560" t="str">
            <v>USD_EM_VIETNAM</v>
          </cell>
          <cell r="B2560" t="str">
            <v>Vietnam</v>
          </cell>
          <cell r="C2560" t="str">
            <v>BRS_GOLD__5_SPREADS:BRS_GOLD__3_OTHER_SPREADS:EM-EM_DS:USD_EM-USD_EM_DS:USD_EM_VIETNAM</v>
          </cell>
          <cell r="D2560" t="str">
            <v>Spread Duration</v>
          </cell>
          <cell r="E2560" t="str">
            <v>Spread Yield (DxS)</v>
          </cell>
          <cell r="F2560" t="str">
            <v>SP-Other</v>
          </cell>
          <cell r="G2560" t="str">
            <v>SP-Other</v>
          </cell>
          <cell r="H2560" t="str">
            <v>SPREADS</v>
          </cell>
          <cell r="I2560" t="str">
            <v>Swap Spread - Emerging</v>
          </cell>
        </row>
        <row r="2561">
          <cell r="A2561" t="str">
            <v>USD_EM_G</v>
          </cell>
          <cell r="B2561" t="str">
            <v>EMBIG</v>
          </cell>
          <cell r="C2561" t="str">
            <v>BRS_GOLD__5_SPREADS:BRS_GOLD__3_OTHER_SPREADS:EM-EM_DS:USD_EM-USD_EM_DS:USD_EM_G</v>
          </cell>
          <cell r="D2561" t="str">
            <v>Spread Duration</v>
          </cell>
          <cell r="E2561" t="str">
            <v>Spread Yield (DxS)</v>
          </cell>
          <cell r="F2561" t="str">
            <v>SP-Other</v>
          </cell>
          <cell r="G2561" t="str">
            <v>SP-Other</v>
          </cell>
          <cell r="H2561" t="str">
            <v>SPREADS</v>
          </cell>
          <cell r="I2561" t="str">
            <v>Swap Spread - Emerging</v>
          </cell>
        </row>
        <row r="2562">
          <cell r="A2562" t="str">
            <v>USD_EM_EE</v>
          </cell>
          <cell r="B2562" t="str">
            <v>Emerg Mkt E Europe</v>
          </cell>
          <cell r="C2562" t="str">
            <v>BRS_GOLD__5_SPREADS:BRS_GOLD__3_OTHER_SPREADS:EM-EM_DS:USD_EM-USD_EM_DS:USD_EM_EE</v>
          </cell>
          <cell r="D2562" t="str">
            <v>Spread Duration</v>
          </cell>
          <cell r="E2562" t="str">
            <v>Spread Yield (DxS)</v>
          </cell>
          <cell r="F2562" t="str">
            <v>SP-Other</v>
          </cell>
          <cell r="G2562" t="str">
            <v>SP-Other</v>
          </cell>
          <cell r="H2562" t="str">
            <v>SPREADS</v>
          </cell>
          <cell r="I2562" t="str">
            <v>Swap Spread - Emerging</v>
          </cell>
        </row>
        <row r="2563">
          <cell r="A2563" t="str">
            <v>USD_EM_SA</v>
          </cell>
          <cell r="B2563" t="str">
            <v>Emerg Mkt S America</v>
          </cell>
          <cell r="C2563" t="str">
            <v>BRS_GOLD__5_SPREADS:BRS_GOLD__3_OTHER_SPREADS:EM-EM_DS:USD_EM-USD_EM_DS:USD_EM_SA</v>
          </cell>
          <cell r="D2563" t="str">
            <v>Spread Duration</v>
          </cell>
          <cell r="E2563" t="str">
            <v>Spread Yield (DxS)</v>
          </cell>
          <cell r="F2563" t="str">
            <v>SP-Other</v>
          </cell>
          <cell r="G2563" t="str">
            <v>SP-Other</v>
          </cell>
          <cell r="H2563" t="str">
            <v>SPREADS</v>
          </cell>
          <cell r="I2563" t="str">
            <v>Swap Spread - Emerging</v>
          </cell>
        </row>
        <row r="2564">
          <cell r="A2564" t="str">
            <v>USD_EM_SEA</v>
          </cell>
          <cell r="B2564" t="str">
            <v>Emerg Mkt SE Asia</v>
          </cell>
          <cell r="C2564" t="str">
            <v>BRS_GOLD__5_SPREADS:BRS_GOLD__3_OTHER_SPREADS:EM-EM_DS:USD_EM-USD_EM_DS:USD_EM_SEA</v>
          </cell>
          <cell r="D2564" t="str">
            <v>Spread Duration</v>
          </cell>
          <cell r="E2564" t="str">
            <v>Spread Yield (DxS)</v>
          </cell>
          <cell r="F2564" t="str">
            <v>SP-Other</v>
          </cell>
          <cell r="G2564" t="str">
            <v>SP-Other</v>
          </cell>
          <cell r="H2564" t="str">
            <v>SPREADS</v>
          </cell>
          <cell r="I2564" t="str">
            <v>Swap Spread - Emerging</v>
          </cell>
        </row>
        <row r="2565">
          <cell r="A2565" t="str">
            <v>ALL_EM_ALGERIA</v>
          </cell>
          <cell r="B2565" t="str">
            <v>Non$ Algeria</v>
          </cell>
          <cell r="C2565" t="str">
            <v>BRS_GOLD__5_SPREADS:BRS_GOLD__3_OTHER_SPREADS:EM-EM_DS:EM-USD_EM-EM_DS:ALL_EM_ALGERIA</v>
          </cell>
          <cell r="D2565" t="str">
            <v>Spread Duration</v>
          </cell>
          <cell r="E2565" t="str">
            <v>Spread Yield (DxS)</v>
          </cell>
          <cell r="F2565" t="str">
            <v>SP-Other</v>
          </cell>
          <cell r="G2565" t="str">
            <v>SP-Other</v>
          </cell>
          <cell r="H2565" t="str">
            <v>SPREADS</v>
          </cell>
          <cell r="I2565" t="str">
            <v>Swap Spread - Emerging</v>
          </cell>
        </row>
        <row r="2566">
          <cell r="A2566" t="str">
            <v>ALL_EM_ARGENTINA</v>
          </cell>
          <cell r="B2566" t="str">
            <v>Non$ Argentina</v>
          </cell>
          <cell r="C2566" t="str">
            <v>BRS_GOLD__5_SPREADS:BRS_GOLD__3_OTHER_SPREADS:EM-EM_DS:EM-USD_EM-EM_DS:ALL_EM_ARGENTINA</v>
          </cell>
          <cell r="D2566" t="str">
            <v>Spread Duration</v>
          </cell>
          <cell r="E2566" t="str">
            <v>Spread Yield (DxS)</v>
          </cell>
          <cell r="F2566" t="str">
            <v>SP-Other</v>
          </cell>
          <cell r="G2566" t="str">
            <v>SP-Other</v>
          </cell>
          <cell r="H2566" t="str">
            <v>SPREADS</v>
          </cell>
          <cell r="I2566" t="str">
            <v>Swap Spread - Emerging</v>
          </cell>
        </row>
        <row r="2567">
          <cell r="A2567" t="str">
            <v>ALL_EM_BRAZIL</v>
          </cell>
          <cell r="B2567" t="str">
            <v>Non$ Brazil</v>
          </cell>
          <cell r="C2567" t="str">
            <v>BRS_GOLD__5_SPREADS:BRS_GOLD__3_OTHER_SPREADS:EM-EM_DS:EM-USD_EM-EM_DS:ALL_EM_BRAZIL</v>
          </cell>
          <cell r="D2567" t="str">
            <v>Spread Duration</v>
          </cell>
          <cell r="E2567" t="str">
            <v>Spread Yield (DxS)</v>
          </cell>
          <cell r="F2567" t="str">
            <v>SP-Other</v>
          </cell>
          <cell r="G2567" t="str">
            <v>SP-Other</v>
          </cell>
          <cell r="H2567" t="str">
            <v>SPREADS</v>
          </cell>
          <cell r="I2567" t="str">
            <v>Swap Spread - Emerging</v>
          </cell>
        </row>
        <row r="2568">
          <cell r="A2568" t="str">
            <v>ALL_EM_BULGARIA</v>
          </cell>
          <cell r="B2568" t="str">
            <v>Non$ Bulgaria</v>
          </cell>
          <cell r="C2568" t="str">
            <v>BRS_GOLD__5_SPREADS:BRS_GOLD__3_OTHER_SPREADS:EM-EM_DS:EM-USD_EM-EM_DS:ALL_EM_BULGARIA</v>
          </cell>
          <cell r="D2568" t="str">
            <v>Spread Duration</v>
          </cell>
          <cell r="E2568" t="str">
            <v>Spread Yield (DxS)</v>
          </cell>
          <cell r="F2568" t="str">
            <v>SP-Other</v>
          </cell>
          <cell r="G2568" t="str">
            <v>SP-Other</v>
          </cell>
          <cell r="H2568" t="str">
            <v>SPREADS</v>
          </cell>
          <cell r="I2568" t="str">
            <v>Swap Spread - Emerging</v>
          </cell>
        </row>
        <row r="2569">
          <cell r="A2569" t="str">
            <v>ALL_EM_CHILE</v>
          </cell>
          <cell r="B2569" t="str">
            <v>Non$ Chile</v>
          </cell>
          <cell r="C2569" t="str">
            <v>BRS_GOLD__5_SPREADS:BRS_GOLD__3_OTHER_SPREADS:EM-EM_DS:EM-USD_EM-EM_DS:ALL_EM_CHILE</v>
          </cell>
          <cell r="D2569" t="str">
            <v>Spread Duration</v>
          </cell>
          <cell r="E2569" t="str">
            <v>Spread Yield (DxS)</v>
          </cell>
          <cell r="F2569" t="str">
            <v>SP-Other</v>
          </cell>
          <cell r="G2569" t="str">
            <v>SP-Other</v>
          </cell>
          <cell r="H2569" t="str">
            <v>SPREADS</v>
          </cell>
          <cell r="I2569" t="str">
            <v>Swap Spread - Emerging</v>
          </cell>
        </row>
        <row r="2570">
          <cell r="A2570" t="str">
            <v>ALL_EM_CHINA</v>
          </cell>
          <cell r="B2570" t="str">
            <v>Non$ China</v>
          </cell>
          <cell r="C2570" t="str">
            <v>BRS_GOLD__5_SPREADS:BRS_GOLD__3_OTHER_SPREADS:EM-EM_DS:EM-USD_EM-EM_DS:ALL_EM_CHINA</v>
          </cell>
          <cell r="D2570" t="str">
            <v>Spread Duration</v>
          </cell>
          <cell r="E2570" t="str">
            <v>Spread Yield (DxS)</v>
          </cell>
          <cell r="F2570" t="str">
            <v>SP-Other</v>
          </cell>
          <cell r="G2570" t="str">
            <v>SP-Other</v>
          </cell>
          <cell r="H2570" t="str">
            <v>SPREADS</v>
          </cell>
          <cell r="I2570" t="str">
            <v>Swap Spread - Emerging</v>
          </cell>
        </row>
        <row r="2571">
          <cell r="A2571" t="str">
            <v>ALL_EM_COLOMBIA</v>
          </cell>
          <cell r="B2571" t="str">
            <v>Non$ Colombia</v>
          </cell>
          <cell r="C2571" t="str">
            <v>BRS_GOLD__5_SPREADS:BRS_GOLD__3_OTHER_SPREADS:EM-EM_DS:EM-USD_EM-EM_DS:ALL_EM_COLOMBIA</v>
          </cell>
          <cell r="D2571" t="str">
            <v>Spread Duration</v>
          </cell>
          <cell r="E2571" t="str">
            <v>Spread Yield (DxS)</v>
          </cell>
          <cell r="F2571" t="str">
            <v>SP-Other</v>
          </cell>
          <cell r="G2571" t="str">
            <v>SP-Other</v>
          </cell>
          <cell r="H2571" t="str">
            <v>SPREADS</v>
          </cell>
          <cell r="I2571" t="str">
            <v>Swap Spread - Emerging</v>
          </cell>
        </row>
        <row r="2572">
          <cell r="A2572" t="str">
            <v>ALL_EM_IVOIRE</v>
          </cell>
          <cell r="B2572" t="str">
            <v>Non$ Cote d'Ivoire</v>
          </cell>
          <cell r="C2572" t="str">
            <v>BRS_GOLD__5_SPREADS:BRS_GOLD__3_OTHER_SPREADS:EM-EM_DS:EM-USD_EM-EM_DS:ALL_EM_IVOIRE</v>
          </cell>
          <cell r="D2572" t="str">
            <v>Spread Duration</v>
          </cell>
          <cell r="E2572" t="str">
            <v>Spread Yield (DxS)</v>
          </cell>
          <cell r="F2572" t="str">
            <v>SP-Other</v>
          </cell>
          <cell r="G2572" t="str">
            <v>SP-Other</v>
          </cell>
          <cell r="H2572" t="str">
            <v>SPREADS</v>
          </cell>
          <cell r="I2572" t="str">
            <v>Swap Spread - Emerging</v>
          </cell>
        </row>
        <row r="2573">
          <cell r="A2573" t="str">
            <v>ALL_EM_CROATIA</v>
          </cell>
          <cell r="B2573" t="str">
            <v>Non$ Croatia</v>
          </cell>
          <cell r="C2573" t="str">
            <v>BRS_GOLD__5_SPREADS:BRS_GOLD__3_OTHER_SPREADS:EM-EM_DS:EM-USD_EM-EM_DS:ALL_EM_CROATIA</v>
          </cell>
          <cell r="D2573" t="str">
            <v>Spread Duration</v>
          </cell>
          <cell r="E2573" t="str">
            <v>Spread Yield (DxS)</v>
          </cell>
          <cell r="F2573" t="str">
            <v>SP-Other</v>
          </cell>
          <cell r="G2573" t="str">
            <v>SP-Other</v>
          </cell>
          <cell r="H2573" t="str">
            <v>SPREADS</v>
          </cell>
          <cell r="I2573" t="str">
            <v>Swap Spread - Emerging</v>
          </cell>
        </row>
        <row r="2574">
          <cell r="A2574" t="str">
            <v>ALL_EM_DOMINICA</v>
          </cell>
          <cell r="B2574" t="str">
            <v>Non$ Dominican Republic</v>
          </cell>
          <cell r="C2574" t="str">
            <v>BRS_GOLD__5_SPREADS:BRS_GOLD__3_OTHER_SPREADS:EM-EM_DS:EM-USD_EM-EM_DS:ALL_EM_DOMINICA</v>
          </cell>
          <cell r="D2574" t="str">
            <v>Spread Duration</v>
          </cell>
          <cell r="E2574" t="str">
            <v>Spread Yield (DxS)</v>
          </cell>
          <cell r="F2574" t="str">
            <v>SP-Other</v>
          </cell>
          <cell r="G2574" t="str">
            <v>SP-Other</v>
          </cell>
          <cell r="H2574" t="str">
            <v>SPREADS</v>
          </cell>
          <cell r="I2574" t="str">
            <v>Swap Spread - Emerging</v>
          </cell>
        </row>
        <row r="2575">
          <cell r="A2575" t="str">
            <v>ALL_EM_ECUADOR</v>
          </cell>
          <cell r="B2575" t="str">
            <v>Non$ Ecuador</v>
          </cell>
          <cell r="C2575" t="str">
            <v>BRS_GOLD__5_SPREADS:BRS_GOLD__3_OTHER_SPREADS:EM-EM_DS:EM-USD_EM-EM_DS:ALL_EM_ECUADOR</v>
          </cell>
          <cell r="D2575" t="str">
            <v>Spread Duration</v>
          </cell>
          <cell r="E2575" t="str">
            <v>Spread Yield (DxS)</v>
          </cell>
          <cell r="F2575" t="str">
            <v>SP-Other</v>
          </cell>
          <cell r="G2575" t="str">
            <v>SP-Other</v>
          </cell>
          <cell r="H2575" t="str">
            <v>SPREADS</v>
          </cell>
          <cell r="I2575" t="str">
            <v>Swap Spread - Emerging</v>
          </cell>
        </row>
        <row r="2576">
          <cell r="A2576" t="str">
            <v>ALL_EM_EGYPT</v>
          </cell>
          <cell r="B2576" t="str">
            <v>Non$ Egypt</v>
          </cell>
          <cell r="C2576" t="str">
            <v>BRS_GOLD__5_SPREADS:BRS_GOLD__3_OTHER_SPREADS:EM-EM_DS:EM-USD_EM-EM_DS:ALL_EM_EGYPT</v>
          </cell>
          <cell r="D2576" t="str">
            <v>Spread Duration</v>
          </cell>
          <cell r="E2576" t="str">
            <v>Spread Yield (DxS)</v>
          </cell>
          <cell r="F2576" t="str">
            <v>SP-Other</v>
          </cell>
          <cell r="G2576" t="str">
            <v>SP-Other</v>
          </cell>
          <cell r="H2576" t="str">
            <v>SPREADS</v>
          </cell>
          <cell r="I2576" t="str">
            <v>Swap Spread - Emerging</v>
          </cell>
        </row>
        <row r="2577">
          <cell r="A2577" t="str">
            <v>ALL_EM_SALVADOR</v>
          </cell>
          <cell r="B2577" t="str">
            <v>Non$ El Salvador</v>
          </cell>
          <cell r="C2577" t="str">
            <v>BRS_GOLD__5_SPREADS:BRS_GOLD__3_OTHER_SPREADS:EM-EM_DS:EM-USD_EM-EM_DS:ALL_EM_SALVADOR</v>
          </cell>
          <cell r="D2577" t="str">
            <v>Spread Duration</v>
          </cell>
          <cell r="E2577" t="str">
            <v>Spread Yield (DxS)</v>
          </cell>
          <cell r="F2577" t="str">
            <v>SP-Other</v>
          </cell>
          <cell r="G2577" t="str">
            <v>SP-Other</v>
          </cell>
          <cell r="H2577" t="str">
            <v>SPREADS</v>
          </cell>
          <cell r="I2577" t="str">
            <v>Swap Spread - Emerging</v>
          </cell>
        </row>
        <row r="2578">
          <cell r="A2578" t="str">
            <v>ALL_EM_HUNGARY</v>
          </cell>
          <cell r="B2578" t="str">
            <v>Non$ Hungary</v>
          </cell>
          <cell r="C2578" t="str">
            <v>BRS_GOLD__5_SPREADS:BRS_GOLD__3_OTHER_SPREADS:EM-EM_DS:EM-USD_EM-EM_DS:ALL_EM_HUNGARY</v>
          </cell>
          <cell r="D2578" t="str">
            <v>Spread Duration</v>
          </cell>
          <cell r="E2578" t="str">
            <v>Spread Yield (DxS)</v>
          </cell>
          <cell r="F2578" t="str">
            <v>SP-Other</v>
          </cell>
          <cell r="G2578" t="str">
            <v>SP-Other</v>
          </cell>
          <cell r="H2578" t="str">
            <v>SPREADS</v>
          </cell>
          <cell r="I2578" t="str">
            <v>Swap Spread - Emerging</v>
          </cell>
        </row>
        <row r="2579">
          <cell r="A2579" t="str">
            <v>ALL_EM_INDONESIA</v>
          </cell>
          <cell r="B2579" t="str">
            <v>Non$ Indonesia</v>
          </cell>
          <cell r="C2579" t="str">
            <v>BRS_GOLD__5_SPREADS:BRS_GOLD__3_OTHER_SPREADS:EM-EM_DS:EM-USD_EM-EM_DS:ALL_EM_INDONESIA</v>
          </cell>
          <cell r="D2579" t="str">
            <v>Spread Duration</v>
          </cell>
          <cell r="E2579" t="str">
            <v>Spread Yield (DxS)</v>
          </cell>
          <cell r="F2579" t="str">
            <v>SP-Other</v>
          </cell>
          <cell r="G2579" t="str">
            <v>SP-Other</v>
          </cell>
          <cell r="H2579" t="str">
            <v>SPREADS</v>
          </cell>
          <cell r="I2579" t="str">
            <v>Swap Spread - Emerging</v>
          </cell>
        </row>
        <row r="2580">
          <cell r="A2580" t="str">
            <v>ALL_EM_KOREA</v>
          </cell>
          <cell r="B2580" t="str">
            <v>Non$ Korea</v>
          </cell>
          <cell r="C2580" t="str">
            <v>BRS_GOLD__5_SPREADS:BRS_GOLD__3_OTHER_SPREADS:EM-EM_DS:EM-USD_EM-EM_DS:ALL_EM_KOREA</v>
          </cell>
          <cell r="D2580" t="str">
            <v>Spread Duration</v>
          </cell>
          <cell r="E2580" t="str">
            <v>Spread Yield (DxS)</v>
          </cell>
          <cell r="F2580" t="str">
            <v>SP-Other</v>
          </cell>
          <cell r="G2580" t="str">
            <v>SP-Other</v>
          </cell>
          <cell r="H2580" t="str">
            <v>SPREADS</v>
          </cell>
          <cell r="I2580" t="str">
            <v>Swap Spread - Emerging</v>
          </cell>
        </row>
        <row r="2581">
          <cell r="A2581" t="str">
            <v>ALL_EM_LEBANON</v>
          </cell>
          <cell r="B2581" t="str">
            <v>Non$ Lebanon</v>
          </cell>
          <cell r="C2581" t="str">
            <v>BRS_GOLD__5_SPREADS:BRS_GOLD__3_OTHER_SPREADS:EM-EM_DS:EM-USD_EM-EM_DS:ALL_EM_LEBANON</v>
          </cell>
          <cell r="D2581" t="str">
            <v>Spread Duration</v>
          </cell>
          <cell r="E2581" t="str">
            <v>Spread Yield (DxS)</v>
          </cell>
          <cell r="F2581" t="str">
            <v>SP-Other</v>
          </cell>
          <cell r="G2581" t="str">
            <v>SP-Other</v>
          </cell>
          <cell r="H2581" t="str">
            <v>SPREADS</v>
          </cell>
          <cell r="I2581" t="str">
            <v>Swap Spread - Emerging</v>
          </cell>
        </row>
        <row r="2582">
          <cell r="A2582" t="str">
            <v>ALL_EM_MALAYSIA</v>
          </cell>
          <cell r="B2582" t="str">
            <v>Non$ Malaysia</v>
          </cell>
          <cell r="C2582" t="str">
            <v>BRS_GOLD__5_SPREADS:BRS_GOLD__3_OTHER_SPREADS:EM-EM_DS:EM-USD_EM-EM_DS:ALL_EM_MALAYSIA</v>
          </cell>
          <cell r="D2582" t="str">
            <v>Spread Duration</v>
          </cell>
          <cell r="E2582" t="str">
            <v>Spread Yield (DxS)</v>
          </cell>
          <cell r="F2582" t="str">
            <v>SP-Other</v>
          </cell>
          <cell r="G2582" t="str">
            <v>SP-Other</v>
          </cell>
          <cell r="H2582" t="str">
            <v>SPREADS</v>
          </cell>
          <cell r="I2582" t="str">
            <v>Swap Spread - Emerging</v>
          </cell>
        </row>
        <row r="2583">
          <cell r="A2583" t="str">
            <v>ALL_EM_MEXICO</v>
          </cell>
          <cell r="B2583" t="str">
            <v>Non$ Mexico</v>
          </cell>
          <cell r="C2583" t="str">
            <v>BRS_GOLD__5_SPREADS:BRS_GOLD__3_OTHER_SPREADS:EM-EM_DS:EM-USD_EM-EM_DS:ALL_EM_MEXICO</v>
          </cell>
          <cell r="D2583" t="str">
            <v>Spread Duration</v>
          </cell>
          <cell r="E2583" t="str">
            <v>Spread Yield (DxS)</v>
          </cell>
          <cell r="F2583" t="str">
            <v>SP-Other</v>
          </cell>
          <cell r="G2583" t="str">
            <v>SP-Other</v>
          </cell>
          <cell r="H2583" t="str">
            <v>SPREADS</v>
          </cell>
          <cell r="I2583" t="str">
            <v>Swap Spread - Emerging</v>
          </cell>
        </row>
        <row r="2584">
          <cell r="A2584" t="str">
            <v>ALL_EM_MOROCCO</v>
          </cell>
          <cell r="B2584" t="str">
            <v>Non$ Morocco</v>
          </cell>
          <cell r="C2584" t="str">
            <v>BRS_GOLD__5_SPREADS:BRS_GOLD__3_OTHER_SPREADS:EM-EM_DS:EM-USD_EM-EM_DS:ALL_EM_MOROCCO</v>
          </cell>
          <cell r="D2584" t="str">
            <v>Spread Duration</v>
          </cell>
          <cell r="E2584" t="str">
            <v>Spread Yield (DxS)</v>
          </cell>
          <cell r="F2584" t="str">
            <v>SP-Other</v>
          </cell>
          <cell r="G2584" t="str">
            <v>SP-Other</v>
          </cell>
          <cell r="H2584" t="str">
            <v>SPREADS</v>
          </cell>
          <cell r="I2584" t="str">
            <v>Swap Spread - Emerging</v>
          </cell>
        </row>
        <row r="2585">
          <cell r="A2585" t="str">
            <v>ALL_EM_NIGERIA</v>
          </cell>
          <cell r="B2585" t="str">
            <v>Non$ Nigeria</v>
          </cell>
          <cell r="C2585" t="str">
            <v>BRS_GOLD__5_SPREADS:BRS_GOLD__3_OTHER_SPREADS:EM-EM_DS:EM-USD_EM-EM_DS:ALL_EM_NIGERIA</v>
          </cell>
          <cell r="D2585" t="str">
            <v>Spread Duration</v>
          </cell>
          <cell r="E2585" t="str">
            <v>Spread Yield (DxS)</v>
          </cell>
          <cell r="F2585" t="str">
            <v>SP-Other</v>
          </cell>
          <cell r="G2585" t="str">
            <v>SP-Other</v>
          </cell>
          <cell r="H2585" t="str">
            <v>SPREADS</v>
          </cell>
          <cell r="I2585" t="str">
            <v>Swap Spread - Emerging</v>
          </cell>
        </row>
        <row r="2586">
          <cell r="A2586" t="str">
            <v>ALL_EM_PANAMA</v>
          </cell>
          <cell r="B2586" t="str">
            <v>Non$ Panama</v>
          </cell>
          <cell r="C2586" t="str">
            <v>BRS_GOLD__5_SPREADS:BRS_GOLD__3_OTHER_SPREADS:EM-EM_DS:EM-USD_EM-EM_DS:ALL_EM_PANAMA</v>
          </cell>
          <cell r="D2586" t="str">
            <v>Spread Duration</v>
          </cell>
          <cell r="E2586" t="str">
            <v>Spread Yield (DxS)</v>
          </cell>
          <cell r="F2586" t="str">
            <v>SP-Other</v>
          </cell>
          <cell r="G2586" t="str">
            <v>SP-Other</v>
          </cell>
          <cell r="H2586" t="str">
            <v>SPREADS</v>
          </cell>
          <cell r="I2586" t="str">
            <v>Swap Spread - Emerging</v>
          </cell>
        </row>
        <row r="2587">
          <cell r="A2587" t="str">
            <v>ALL_EM_PERU</v>
          </cell>
          <cell r="B2587" t="str">
            <v>Non$ Peru</v>
          </cell>
          <cell r="C2587" t="str">
            <v>BRS_GOLD__5_SPREADS:BRS_GOLD__3_OTHER_SPREADS:EM-EM_DS:EM-USD_EM-EM_DS:ALL_EM_PERU</v>
          </cell>
          <cell r="D2587" t="str">
            <v>Spread Duration</v>
          </cell>
          <cell r="E2587" t="str">
            <v>Spread Yield (DxS)</v>
          </cell>
          <cell r="F2587" t="str">
            <v>SP-Other</v>
          </cell>
          <cell r="G2587" t="str">
            <v>SP-Other</v>
          </cell>
          <cell r="H2587" t="str">
            <v>SPREADS</v>
          </cell>
          <cell r="I2587" t="str">
            <v>Swap Spread - Emerging</v>
          </cell>
        </row>
        <row r="2588">
          <cell r="A2588" t="str">
            <v>ALL_EM_PHILIPPINES</v>
          </cell>
          <cell r="B2588" t="str">
            <v>Non$ Philippines</v>
          </cell>
          <cell r="C2588" t="str">
            <v>BRS_GOLD__5_SPREADS:BRS_GOLD__3_OTHER_SPREADS:EM-EM_DS:EM-USD_EM-EM_DS:ALL_EM_PHILIPPINES</v>
          </cell>
          <cell r="D2588" t="str">
            <v>Spread Duration</v>
          </cell>
          <cell r="E2588" t="str">
            <v>Spread Yield (DxS)</v>
          </cell>
          <cell r="F2588" t="str">
            <v>SP-Other</v>
          </cell>
          <cell r="G2588" t="str">
            <v>SP-Other</v>
          </cell>
          <cell r="H2588" t="str">
            <v>SPREADS</v>
          </cell>
          <cell r="I2588" t="str">
            <v>Swap Spread - Emerging</v>
          </cell>
        </row>
        <row r="2589">
          <cell r="A2589" t="str">
            <v>ALL_EM_POLAND</v>
          </cell>
          <cell r="B2589" t="str">
            <v>Non$ Poland</v>
          </cell>
          <cell r="C2589" t="str">
            <v>BRS_GOLD__5_SPREADS:BRS_GOLD__3_OTHER_SPREADS:EM-EM_DS:EM-USD_EM-EM_DS:ALL_EM_POLAND</v>
          </cell>
          <cell r="D2589" t="str">
            <v>Spread Duration</v>
          </cell>
          <cell r="E2589" t="str">
            <v>Spread Yield (DxS)</v>
          </cell>
          <cell r="F2589" t="str">
            <v>SP-Other</v>
          </cell>
          <cell r="G2589" t="str">
            <v>SP-Other</v>
          </cell>
          <cell r="H2589" t="str">
            <v>SPREADS</v>
          </cell>
          <cell r="I2589" t="str">
            <v>Swap Spread - Emerging</v>
          </cell>
        </row>
        <row r="2590">
          <cell r="A2590" t="str">
            <v>ALL_EM_RUSSIA</v>
          </cell>
          <cell r="B2590" t="str">
            <v>Non$ Russia</v>
          </cell>
          <cell r="C2590" t="str">
            <v>BRS_GOLD__5_SPREADS:BRS_GOLD__3_OTHER_SPREADS:EM-EM_DS:EM-USD_EM-EM_DS:ALL_EM_RUSSIA</v>
          </cell>
          <cell r="D2590" t="str">
            <v>Spread Duration</v>
          </cell>
          <cell r="E2590" t="str">
            <v>Spread Yield (DxS)</v>
          </cell>
          <cell r="F2590" t="str">
            <v>SP-Other</v>
          </cell>
          <cell r="G2590" t="str">
            <v>SP-Other</v>
          </cell>
          <cell r="H2590" t="str">
            <v>SPREADS</v>
          </cell>
          <cell r="I2590" t="str">
            <v>Swap Spread - Emerging</v>
          </cell>
        </row>
        <row r="2591">
          <cell r="A2591" t="str">
            <v>ALL_EM_SAFRICA</v>
          </cell>
          <cell r="B2591" t="str">
            <v>Non$ South Africa</v>
          </cell>
          <cell r="C2591" t="str">
            <v>BRS_GOLD__5_SPREADS:BRS_GOLD__3_OTHER_SPREADS:EM-EM_DS:EM-USD_EM-EM_DS:ALL_EM_SAFRICA</v>
          </cell>
          <cell r="D2591" t="str">
            <v>Spread Duration</v>
          </cell>
          <cell r="E2591" t="str">
            <v>Spread Yield (DxS)</v>
          </cell>
          <cell r="F2591" t="str">
            <v>SP-Other</v>
          </cell>
          <cell r="G2591" t="str">
            <v>SP-Other</v>
          </cell>
          <cell r="H2591" t="str">
            <v>SPREADS</v>
          </cell>
          <cell r="I2591" t="str">
            <v>Swap Spread - Emerging</v>
          </cell>
        </row>
        <row r="2592">
          <cell r="A2592" t="str">
            <v>ALL_EM_THAILAND</v>
          </cell>
          <cell r="B2592" t="str">
            <v>Non$ Thailand</v>
          </cell>
          <cell r="C2592" t="str">
            <v>BRS_GOLD__5_SPREADS:BRS_GOLD__3_OTHER_SPREADS:EM-EM_DS:EM-USD_EM-EM_DS:ALL_EM_THAILAND</v>
          </cell>
          <cell r="D2592" t="str">
            <v>Spread Duration</v>
          </cell>
          <cell r="E2592" t="str">
            <v>Spread Yield (DxS)</v>
          </cell>
          <cell r="F2592" t="str">
            <v>SP-Other</v>
          </cell>
          <cell r="G2592" t="str">
            <v>SP-Other</v>
          </cell>
          <cell r="H2592" t="str">
            <v>SPREADS</v>
          </cell>
          <cell r="I2592" t="str">
            <v>Swap Spread - Emerging</v>
          </cell>
        </row>
        <row r="2593">
          <cell r="A2593" t="str">
            <v>ALL_EM_TUNISIA</v>
          </cell>
          <cell r="B2593" t="str">
            <v>Non$ Tunisia</v>
          </cell>
          <cell r="C2593" t="str">
            <v>BRS_GOLD__5_SPREADS:BRS_GOLD__3_OTHER_SPREADS:EM-EM_DS:EM-USD_EM-EM_DS:ALL_EM_TUNISIA</v>
          </cell>
          <cell r="D2593" t="str">
            <v>Spread Duration</v>
          </cell>
          <cell r="E2593" t="str">
            <v>Spread Yield (DxS)</v>
          </cell>
          <cell r="F2593" t="str">
            <v>SP-Other</v>
          </cell>
          <cell r="G2593" t="str">
            <v>SP-Other</v>
          </cell>
          <cell r="H2593" t="str">
            <v>SPREADS</v>
          </cell>
          <cell r="I2593" t="str">
            <v>Swap Spread - Emerging</v>
          </cell>
        </row>
        <row r="2594">
          <cell r="A2594" t="str">
            <v>ALL_EM_TURKEY</v>
          </cell>
          <cell r="B2594" t="str">
            <v>Non$ Turkey</v>
          </cell>
          <cell r="C2594" t="str">
            <v>BRS_GOLD__5_SPREADS:BRS_GOLD__3_OTHER_SPREADS:EM-EM_DS:EM-USD_EM-EM_DS:ALL_EM_TURKEY</v>
          </cell>
          <cell r="D2594" t="str">
            <v>Spread Duration</v>
          </cell>
          <cell r="E2594" t="str">
            <v>Spread Yield (DxS)</v>
          </cell>
          <cell r="F2594" t="str">
            <v>SP-Other</v>
          </cell>
          <cell r="G2594" t="str">
            <v>SP-Other</v>
          </cell>
          <cell r="H2594" t="str">
            <v>SPREADS</v>
          </cell>
          <cell r="I2594" t="str">
            <v>Swap Spread - Emerging</v>
          </cell>
        </row>
        <row r="2595">
          <cell r="A2595" t="str">
            <v>ALL_EM_UKRAINE</v>
          </cell>
          <cell r="B2595" t="str">
            <v>Non$ Ukraine</v>
          </cell>
          <cell r="C2595" t="str">
            <v>BRS_GOLD__5_SPREADS:BRS_GOLD__3_OTHER_SPREADS:EM-EM_DS:EM-USD_EM-EM_DS:ALL_EM_UKRAINE</v>
          </cell>
          <cell r="D2595" t="str">
            <v>Spread Duration</v>
          </cell>
          <cell r="E2595" t="str">
            <v>Spread Yield (DxS)</v>
          </cell>
          <cell r="F2595" t="str">
            <v>SP-Other</v>
          </cell>
          <cell r="G2595" t="str">
            <v>SP-Other</v>
          </cell>
          <cell r="H2595" t="str">
            <v>SPREADS</v>
          </cell>
          <cell r="I2595" t="str">
            <v>Swap Spread - Emerging</v>
          </cell>
        </row>
        <row r="2596">
          <cell r="A2596" t="str">
            <v>ALL_EM_URUGUAY</v>
          </cell>
          <cell r="B2596" t="str">
            <v>Non$ Uruguay</v>
          </cell>
          <cell r="C2596" t="str">
            <v>BRS_GOLD__5_SPREADS:BRS_GOLD__3_OTHER_SPREADS:EM-EM_DS:EM-USD_EM-EM_DS:ALL_EM_URUGUAY</v>
          </cell>
          <cell r="D2596" t="str">
            <v>Spread Duration</v>
          </cell>
          <cell r="E2596" t="str">
            <v>Spread Yield (DxS)</v>
          </cell>
          <cell r="F2596" t="str">
            <v>SP-Other</v>
          </cell>
          <cell r="G2596" t="str">
            <v>SP-Other</v>
          </cell>
          <cell r="H2596" t="str">
            <v>SPREADS</v>
          </cell>
          <cell r="I2596" t="str">
            <v>Swap Spread - Emerging</v>
          </cell>
        </row>
        <row r="2597">
          <cell r="A2597" t="str">
            <v>ALL_EM_VENEZUELA</v>
          </cell>
          <cell r="B2597" t="str">
            <v>Non$ Venezuela</v>
          </cell>
          <cell r="C2597" t="str">
            <v>BRS_GOLD__5_SPREADS:BRS_GOLD__3_OTHER_SPREADS:EM-EM_DS:EM-USD_EM-EM_DS:ALL_EM_VENEZUELA</v>
          </cell>
          <cell r="D2597" t="str">
            <v>Spread Duration</v>
          </cell>
          <cell r="E2597" t="str">
            <v>Spread Yield (DxS)</v>
          </cell>
          <cell r="F2597" t="str">
            <v>SP-Other</v>
          </cell>
          <cell r="G2597" t="str">
            <v>SP-Other</v>
          </cell>
          <cell r="H2597" t="str">
            <v>SPREADS</v>
          </cell>
          <cell r="I2597" t="str">
            <v>Swap Spread - Emerging</v>
          </cell>
        </row>
        <row r="2598">
          <cell r="A2598" t="str">
            <v>ALL_EM_G</v>
          </cell>
          <cell r="B2598" t="str">
            <v>Emerg Mkts General</v>
          </cell>
          <cell r="C2598" t="str">
            <v>BRS_GOLD__5_SPREADS:BRS_GOLD__3_OTHER_SPREADS:EM-EM_DS:EM-USD_EM-EM_DS:ALL_EM_G</v>
          </cell>
          <cell r="D2598" t="str">
            <v>Spread Duration</v>
          </cell>
          <cell r="E2598" t="str">
            <v>Spread Yield (DxS)</v>
          </cell>
          <cell r="F2598" t="str">
            <v>SP-Other</v>
          </cell>
          <cell r="G2598" t="str">
            <v>SP-Other</v>
          </cell>
          <cell r="H2598" t="str">
            <v>SPREADS</v>
          </cell>
          <cell r="I2598" t="str">
            <v>Swap Spread - Emerging</v>
          </cell>
        </row>
        <row r="2599">
          <cell r="A2599" t="str">
            <v>ALL_EM_SA</v>
          </cell>
          <cell r="B2599" t="str">
            <v>Emerg Mkts South America</v>
          </cell>
          <cell r="C2599" t="str">
            <v>BRS_GOLD__5_SPREADS:BRS_GOLD__3_OTHER_SPREADS:EM-EM_DS:EM-USD_EM-EM_DS:ALL_EM_SA</v>
          </cell>
          <cell r="D2599" t="str">
            <v>Spread Duration</v>
          </cell>
          <cell r="E2599" t="str">
            <v>Spread Yield (DxS)</v>
          </cell>
          <cell r="F2599" t="str">
            <v>SP-Other</v>
          </cell>
          <cell r="G2599" t="str">
            <v>SP-Other</v>
          </cell>
          <cell r="H2599" t="str">
            <v>SPREADS</v>
          </cell>
          <cell r="I2599" t="str">
            <v>Swap Spread - Emerging</v>
          </cell>
        </row>
        <row r="2600">
          <cell r="A2600" t="str">
            <v>ALL_EM_EE</v>
          </cell>
          <cell r="B2600" t="str">
            <v>Emerg Mkt E Europe</v>
          </cell>
          <cell r="C2600" t="str">
            <v>BRS_GOLD__5_SPREADS:BRS_GOLD__3_OTHER_SPREADS:EM-EM_DS:EM-USD_EM-EM_DS:ALL_EM_EE</v>
          </cell>
          <cell r="D2600" t="str">
            <v>Spread Duration</v>
          </cell>
          <cell r="E2600" t="str">
            <v>Spread Yield (DxS)</v>
          </cell>
          <cell r="F2600" t="str">
            <v>SP-Other</v>
          </cell>
          <cell r="G2600" t="str">
            <v>SP-Other</v>
          </cell>
          <cell r="H2600" t="str">
            <v>SPREADS</v>
          </cell>
          <cell r="I2600" t="str">
            <v>Swap Spread - Emerging</v>
          </cell>
        </row>
        <row r="2601">
          <cell r="A2601" t="str">
            <v>ALL_EM_SEA</v>
          </cell>
          <cell r="B2601" t="str">
            <v>Emerg Mkts South-East Asia</v>
          </cell>
          <cell r="C2601" t="str">
            <v>BRS_GOLD__5_SPREADS:BRS_GOLD__3_OTHER_SPREADS:EM-EM_DS:EM-USD_EM-EM_DS:ALL_EM_SEA</v>
          </cell>
          <cell r="D2601" t="str">
            <v>Spread Duration</v>
          </cell>
          <cell r="E2601" t="str">
            <v>Spread Yield (DxS)</v>
          </cell>
          <cell r="F2601" t="str">
            <v>SP-Other</v>
          </cell>
          <cell r="G2601" t="str">
            <v>SP-Other</v>
          </cell>
          <cell r="H2601" t="str">
            <v>SPREADS</v>
          </cell>
          <cell r="I2601" t="str">
            <v>Swap Spread - Emerging</v>
          </cell>
        </row>
        <row r="2602">
          <cell r="A2602" t="str">
            <v>ALL_EM_KAZAKHSTAN</v>
          </cell>
          <cell r="B2602" t="str">
            <v>Non$ Kazakhstan</v>
          </cell>
          <cell r="C2602" t="str">
            <v>BRS_GOLD__5_SPREADS:BRS_GOLD__3_OTHER_SPREADS:EM-EM_DS:EM-USD_EM-EM_DS:ALL_EM_KAZAKHSTAN</v>
          </cell>
          <cell r="D2602" t="str">
            <v>Spread Duration</v>
          </cell>
          <cell r="E2602" t="str">
            <v>Spread Yield (DxS)</v>
          </cell>
          <cell r="F2602" t="str">
            <v>SP-Other</v>
          </cell>
          <cell r="G2602" t="str">
            <v>SP-Other</v>
          </cell>
          <cell r="H2602" t="str">
            <v>SPREADS</v>
          </cell>
          <cell r="I2602" t="str">
            <v>Swap Spread - Emerging</v>
          </cell>
        </row>
        <row r="2603">
          <cell r="A2603" t="str">
            <v>ALL_EM_IRAQ</v>
          </cell>
          <cell r="B2603" t="str">
            <v>Non$ Iraq</v>
          </cell>
          <cell r="C2603" t="str">
            <v>BRS_GOLD__5_SPREADS:BRS_GOLD__3_OTHER_SPREADS:EM-EM_DS:EM-USD_EM-EM_DS:ALL_EM_IRAQ</v>
          </cell>
          <cell r="D2603" t="str">
            <v>Spread Duration</v>
          </cell>
          <cell r="E2603" t="str">
            <v>Spread Yield (DxS)</v>
          </cell>
          <cell r="F2603" t="str">
            <v>SP-Other</v>
          </cell>
          <cell r="G2603" t="str">
            <v>SP-Other</v>
          </cell>
          <cell r="H2603" t="str">
            <v>SPREADS</v>
          </cell>
          <cell r="I2603" t="str">
            <v>Swap Spread - Emerging</v>
          </cell>
        </row>
        <row r="2604">
          <cell r="A2604" t="str">
            <v>ALL_EM_GABON</v>
          </cell>
          <cell r="B2604" t="str">
            <v>Non$ Gabon</v>
          </cell>
          <cell r="C2604" t="str">
            <v>BRS_GOLD__5_SPREADS:BRS_GOLD__3_OTHER_SPREADS:EM-EM_DS:EM-USD_EM-EM_DS:ALL_EM_GABON</v>
          </cell>
          <cell r="D2604" t="str">
            <v>Spread Duration</v>
          </cell>
          <cell r="E2604" t="str">
            <v>Spread Yield (DxS)</v>
          </cell>
          <cell r="F2604" t="str">
            <v>SP-Other</v>
          </cell>
          <cell r="G2604" t="str">
            <v>SP-Other</v>
          </cell>
          <cell r="H2604" t="str">
            <v>SPREADS</v>
          </cell>
          <cell r="I2604" t="str">
            <v>Swap Spread - Emerging</v>
          </cell>
        </row>
        <row r="2605">
          <cell r="A2605" t="str">
            <v>ALL_EM_VIETNAM</v>
          </cell>
          <cell r="B2605" t="str">
            <v>Non$ Vietnam</v>
          </cell>
          <cell r="C2605" t="str">
            <v>BRS_GOLD__5_SPREADS:BRS_GOLD__3_OTHER_SPREADS:EM-EM_DS:EM-USD_EM-EM_DS:ALL_EM_VIETNAM</v>
          </cell>
          <cell r="D2605" t="str">
            <v>Spread Duration</v>
          </cell>
          <cell r="E2605" t="str">
            <v>Spread Yield (DxS)</v>
          </cell>
          <cell r="F2605" t="str">
            <v>SP-Other</v>
          </cell>
          <cell r="G2605" t="str">
            <v>SP-Other</v>
          </cell>
          <cell r="H2605" t="str">
            <v>SPREADS</v>
          </cell>
          <cell r="I2605" t="str">
            <v>Swap Spread - Emerging</v>
          </cell>
        </row>
        <row r="2606">
          <cell r="A2606" t="str">
            <v>ALL_EM_SERBIA</v>
          </cell>
          <cell r="B2606" t="str">
            <v>Non$ Serbia</v>
          </cell>
          <cell r="C2606" t="str">
            <v>BRS_GOLD__5_SPREADS:BRS_GOLD__3_OTHER_SPREADS:EM-EM_DS:EM-USD_EM-EM_DS:ALL_EM_SERBIA</v>
          </cell>
          <cell r="D2606" t="str">
            <v>Spread Duration</v>
          </cell>
          <cell r="E2606" t="str">
            <v>Spread Yield (DxS)</v>
          </cell>
          <cell r="F2606" t="str">
            <v>SP-Other</v>
          </cell>
          <cell r="G2606" t="str">
            <v>SP-Other</v>
          </cell>
          <cell r="H2606" t="str">
            <v>SPREADS</v>
          </cell>
          <cell r="I2606" t="str">
            <v>Swap Spread - Emerging</v>
          </cell>
        </row>
        <row r="2607">
          <cell r="A2607" t="str">
            <v>ALL_EM_TRINTOBAGO</v>
          </cell>
          <cell r="B2607" t="str">
            <v>Non$ Trinidad and Tobago</v>
          </cell>
          <cell r="C2607" t="str">
            <v>BRS_GOLD__5_SPREADS:BRS_GOLD__3_OTHER_SPREADS:EM-EM_DS:EM-USD_EM-EM_DS:ALL_EM_TRINTOBAGO</v>
          </cell>
          <cell r="D2607" t="str">
            <v>Spread Duration</v>
          </cell>
          <cell r="E2607" t="str">
            <v>Spread Yield (DxS)</v>
          </cell>
          <cell r="F2607" t="str">
            <v>SP-Other</v>
          </cell>
          <cell r="G2607" t="str">
            <v>SP-Other</v>
          </cell>
          <cell r="H2607" t="str">
            <v>SPREADS</v>
          </cell>
          <cell r="I2607" t="str">
            <v>Swap Spread - Emerging</v>
          </cell>
        </row>
        <row r="2608">
          <cell r="A2608" t="str">
            <v>ALL_EM_PAKISTAN</v>
          </cell>
          <cell r="B2608" t="str">
            <v>Non$ Pakistan</v>
          </cell>
          <cell r="C2608" t="str">
            <v>BRS_GOLD__5_SPREADS:BRS_GOLD__3_OTHER_SPREADS:EM-EM_DS:EM-USD_EM-EM_DS:ALL_EM_PAKISTAN</v>
          </cell>
          <cell r="D2608" t="str">
            <v>Spread Duration</v>
          </cell>
          <cell r="E2608" t="str">
            <v>Spread Yield (DxS)</v>
          </cell>
          <cell r="F2608" t="str">
            <v>SP-Other</v>
          </cell>
          <cell r="G2608" t="str">
            <v>SP-Other</v>
          </cell>
          <cell r="H2608" t="str">
            <v>SPREADS</v>
          </cell>
          <cell r="I2608" t="str">
            <v>Swap Spread - Emerging</v>
          </cell>
        </row>
        <row r="2609">
          <cell r="A2609" t="str">
            <v>ALL_EM_GHANA</v>
          </cell>
          <cell r="B2609" t="str">
            <v>Non$ Ghana</v>
          </cell>
          <cell r="C2609" t="str">
            <v>BRS_GOLD__5_SPREADS:BRS_GOLD__3_OTHER_SPREADS:EM-EM_DS:EM-USD_EM-EM_DS:ALL_EM_GHANA</v>
          </cell>
          <cell r="D2609" t="str">
            <v>Spread Duration</v>
          </cell>
          <cell r="E2609" t="str">
            <v>Spread Yield (DxS)</v>
          </cell>
          <cell r="F2609" t="str">
            <v>SP-Other</v>
          </cell>
          <cell r="G2609" t="str">
            <v>SP-Other</v>
          </cell>
          <cell r="H2609" t="str">
            <v>SPREADS</v>
          </cell>
          <cell r="I2609" t="str">
            <v>Swap Spread - Emerging</v>
          </cell>
        </row>
        <row r="2610">
          <cell r="A2610" t="str">
            <v>ALL_EM_SRILANKA</v>
          </cell>
          <cell r="B2610" t="str">
            <v>Non$ Sri Lanka</v>
          </cell>
          <cell r="C2610" t="str">
            <v>BRS_GOLD__5_SPREADS:BRS_GOLD__3_OTHER_SPREADS:EM-EM_DS:EM-USD_EM-EM_DS:ALL_EM_SRILANKA</v>
          </cell>
          <cell r="D2610" t="str">
            <v>Spread Duration</v>
          </cell>
          <cell r="E2610" t="str">
            <v>Spread Yield (DxS)</v>
          </cell>
          <cell r="F2610" t="str">
            <v>SP-Other</v>
          </cell>
          <cell r="G2610" t="str">
            <v>SP-Other</v>
          </cell>
          <cell r="H2610" t="str">
            <v>SPREADS</v>
          </cell>
          <cell r="I2610" t="str">
            <v>Swap Spread - Emerging</v>
          </cell>
        </row>
        <row r="2611">
          <cell r="A2611" t="str">
            <v>ALL_EM_GEORGIA</v>
          </cell>
          <cell r="B2611" t="str">
            <v>Non$ Georgia</v>
          </cell>
          <cell r="C2611" t="str">
            <v>BRS_GOLD__5_SPREADS:BRS_GOLD__3_OTHER_SPREADS:EM-EM_DS:EM-USD_EM-EM_DS:ALL_EM_GEORGIA</v>
          </cell>
          <cell r="D2611" t="str">
            <v>Spread Duration</v>
          </cell>
          <cell r="E2611" t="str">
            <v>Spread Yield (DxS)</v>
          </cell>
          <cell r="F2611" t="str">
            <v>SP-Other</v>
          </cell>
          <cell r="G2611" t="str">
            <v>SP-Other</v>
          </cell>
          <cell r="H2611" t="str">
            <v>SPREADS</v>
          </cell>
          <cell r="I2611" t="str">
            <v>Swap Spread - Emerging</v>
          </cell>
        </row>
        <row r="2612">
          <cell r="A2612" t="str">
            <v>ALL_EM_JAMAICA</v>
          </cell>
          <cell r="B2612" t="str">
            <v>Non$ Jamaica</v>
          </cell>
          <cell r="C2612" t="str">
            <v>BRS_GOLD__5_SPREADS:BRS_GOLD__3_OTHER_SPREADS:EM-EM_DS:EM-USD_EM-EM_DS:ALL_EM_JAMAICA</v>
          </cell>
          <cell r="D2612" t="str">
            <v>Spread Duration</v>
          </cell>
          <cell r="E2612" t="str">
            <v>Spread Yield (DxS)</v>
          </cell>
          <cell r="F2612" t="str">
            <v>SP-Other</v>
          </cell>
          <cell r="G2612" t="str">
            <v>SP-Other</v>
          </cell>
          <cell r="H2612" t="str">
            <v>SPREADS</v>
          </cell>
          <cell r="I2612" t="str">
            <v>Swap Spread - Emerging</v>
          </cell>
        </row>
        <row r="2613">
          <cell r="A2613" t="str">
            <v>ALL_EM_BELIZE</v>
          </cell>
          <cell r="B2613" t="str">
            <v>Non$ Belize</v>
          </cell>
          <cell r="C2613" t="str">
            <v>BRS_GOLD__5_SPREADS:BRS_GOLD__3_OTHER_SPREADS:EM-EM_DS:EM-USD_EM-EM_DS:ALL_EM_BELIZE</v>
          </cell>
          <cell r="D2613" t="str">
            <v>Spread Duration</v>
          </cell>
          <cell r="E2613" t="str">
            <v>Spread Yield (DxS)</v>
          </cell>
          <cell r="F2613" t="str">
            <v>SP-Other</v>
          </cell>
          <cell r="G2613" t="str">
            <v>SP-Other</v>
          </cell>
          <cell r="H2613" t="str">
            <v>SPREADS</v>
          </cell>
          <cell r="I2613" t="str">
            <v>Swap Spread - Emerging</v>
          </cell>
        </row>
        <row r="2614">
          <cell r="A2614" t="str">
            <v>USD_ABS_AUTO_AVG_2</v>
          </cell>
          <cell r="B2614" t="str">
            <v>ABS Auto 2Y</v>
          </cell>
          <cell r="C2614" t="str">
            <v>BRS_GOLD__5_SPREADS:BRS_GOLD__3_OTHER_SPREADS:BRS_GOLD__2_OSABS:USD_ABS:USD_ABS_AUTO_AVG_2</v>
          </cell>
          <cell r="D2614" t="str">
            <v>Spread Duration</v>
          </cell>
          <cell r="E2614" t="str">
            <v>Spread Yield (DxS)</v>
          </cell>
          <cell r="F2614" t="str">
            <v>Alternative</v>
          </cell>
          <cell r="G2614" t="str">
            <v>Other</v>
          </cell>
          <cell r="H2614" t="str">
            <v>ALTS</v>
          </cell>
          <cell r="I2614" t="str">
            <v>ABS - Swap Spread</v>
          </cell>
        </row>
        <row r="2615">
          <cell r="A2615" t="str">
            <v>USD_ABS_CREDITC_AAA_2</v>
          </cell>
          <cell r="B2615" t="str">
            <v>Cred Card AAA-P 2Y</v>
          </cell>
          <cell r="C2615" t="str">
            <v>BRS_GOLD__5_SPREADS:BRS_GOLD__3_OTHER_SPREADS:BRS_GOLD__2_OSABS:USD_ABS:USD_ABS_CREDITC_AAA_2</v>
          </cell>
          <cell r="D2615" t="str">
            <v>Spread Duration</v>
          </cell>
          <cell r="E2615" t="str">
            <v>Spread Yield (DxS)</v>
          </cell>
          <cell r="F2615" t="str">
            <v>Alternative</v>
          </cell>
          <cell r="G2615" t="str">
            <v>Other</v>
          </cell>
          <cell r="H2615" t="str">
            <v>ALTS</v>
          </cell>
          <cell r="I2615" t="str">
            <v>ABS - Swap Spread</v>
          </cell>
        </row>
        <row r="2616">
          <cell r="A2616" t="str">
            <v>USD_ABS_CREDITC_AAA_5</v>
          </cell>
          <cell r="B2616" t="str">
            <v>Cred Card AAA-P 5Y</v>
          </cell>
          <cell r="C2616" t="str">
            <v>BRS_GOLD__5_SPREADS:BRS_GOLD__3_OTHER_SPREADS:BRS_GOLD__2_OSABS:USD_ABS:USD_ABS_CREDITC_AAA_5</v>
          </cell>
          <cell r="D2616" t="str">
            <v>Spread Duration</v>
          </cell>
          <cell r="E2616" t="str">
            <v>Spread Yield (DxS)</v>
          </cell>
          <cell r="F2616" t="str">
            <v>Alternative</v>
          </cell>
          <cell r="G2616" t="str">
            <v>Other</v>
          </cell>
          <cell r="H2616" t="str">
            <v>ALTS</v>
          </cell>
          <cell r="I2616" t="str">
            <v>ABS - Swap Spread</v>
          </cell>
        </row>
        <row r="2617">
          <cell r="A2617" t="str">
            <v>USD_ABS_CREDITC_AAA_10</v>
          </cell>
          <cell r="B2617" t="str">
            <v>Cred Card AAA-P 10Y</v>
          </cell>
          <cell r="C2617" t="str">
            <v>BRS_GOLD__5_SPREADS:BRS_GOLD__3_OTHER_SPREADS:BRS_GOLD__2_OSABS:USD_ABS:USD_ABS_CREDITC_AAA_10</v>
          </cell>
          <cell r="D2617" t="str">
            <v>Spread Duration</v>
          </cell>
          <cell r="E2617" t="str">
            <v>Spread Yield (DxS)</v>
          </cell>
          <cell r="F2617" t="str">
            <v>Alternative</v>
          </cell>
          <cell r="G2617" t="str">
            <v>Other</v>
          </cell>
          <cell r="H2617" t="str">
            <v>ALTS</v>
          </cell>
          <cell r="I2617" t="str">
            <v>ABS - Swap Spread</v>
          </cell>
        </row>
        <row r="2618">
          <cell r="A2618" t="str">
            <v>USD_ABS_HOMEEQ_AAA_2</v>
          </cell>
          <cell r="B2618" t="str">
            <v>Home Eq AAA 2Y</v>
          </cell>
          <cell r="C2618" t="str">
            <v>BRS_GOLD__5_SPREADS:BRS_GOLD__3_OTHER_SPREADS:BRS_GOLD__2_OSABS:USD_ABS:USD_ABS_HOMEEQ_AAA_2</v>
          </cell>
          <cell r="D2618" t="str">
            <v>Spread Duration</v>
          </cell>
          <cell r="E2618" t="str">
            <v>Spread Yield (DxS)</v>
          </cell>
          <cell r="F2618" t="str">
            <v>Alternative</v>
          </cell>
          <cell r="G2618" t="str">
            <v>Other</v>
          </cell>
          <cell r="H2618" t="str">
            <v>ALTS</v>
          </cell>
          <cell r="I2618" t="str">
            <v>ABS - Swap Spread</v>
          </cell>
        </row>
        <row r="2619">
          <cell r="A2619" t="str">
            <v>USD_ABS_HOMEEQ_AAA_5</v>
          </cell>
          <cell r="B2619" t="str">
            <v>Home Eq AAA 5Y</v>
          </cell>
          <cell r="C2619" t="str">
            <v>BRS_GOLD__5_SPREADS:BRS_GOLD__3_OTHER_SPREADS:BRS_GOLD__2_OSABS:USD_ABS:USD_ABS_HOMEEQ_AAA_5</v>
          </cell>
          <cell r="D2619" t="str">
            <v>Spread Duration</v>
          </cell>
          <cell r="E2619" t="str">
            <v>Spread Yield (DxS)</v>
          </cell>
          <cell r="F2619" t="str">
            <v>Alternative</v>
          </cell>
          <cell r="G2619" t="str">
            <v>Other</v>
          </cell>
          <cell r="H2619" t="str">
            <v>ALTS</v>
          </cell>
          <cell r="I2619" t="str">
            <v>ABS - Swap Spread</v>
          </cell>
        </row>
        <row r="2620">
          <cell r="A2620" t="str">
            <v>USD_ABS_HOMEEQ_AAA_10</v>
          </cell>
          <cell r="B2620" t="str">
            <v>Home Eq AAA 10Y</v>
          </cell>
          <cell r="C2620" t="str">
            <v>BRS_GOLD__5_SPREADS:BRS_GOLD__3_OTHER_SPREADS:BRS_GOLD__2_OSABS:USD_ABS:USD_ABS_HOMEEQ_AAA_10</v>
          </cell>
          <cell r="D2620" t="str">
            <v>Spread Duration</v>
          </cell>
          <cell r="E2620" t="str">
            <v>Spread Yield (DxS)</v>
          </cell>
          <cell r="F2620" t="str">
            <v>Alternative</v>
          </cell>
          <cell r="G2620" t="str">
            <v>Other</v>
          </cell>
          <cell r="H2620" t="str">
            <v>ALTS</v>
          </cell>
          <cell r="I2620" t="str">
            <v>ABS - Swap Spread</v>
          </cell>
        </row>
        <row r="2621">
          <cell r="A2621" t="str">
            <v>USD_ABS_MANUF_AAA_2</v>
          </cell>
          <cell r="B2621" t="str">
            <v>Mfg Hous AAA 2Y</v>
          </cell>
          <cell r="C2621" t="str">
            <v>BRS_GOLD__5_SPREADS:BRS_GOLD__3_OTHER_SPREADS:BRS_GOLD__2_OSABS:USD_ABS:USD_ABS_MANUF_AAA_2</v>
          </cell>
          <cell r="D2621" t="str">
            <v>Spread Duration</v>
          </cell>
          <cell r="E2621" t="str">
            <v>Spread Yield (DxS)</v>
          </cell>
          <cell r="F2621" t="str">
            <v>Alternative</v>
          </cell>
          <cell r="G2621" t="str">
            <v>Other</v>
          </cell>
          <cell r="H2621" t="str">
            <v>ALTS</v>
          </cell>
          <cell r="I2621" t="str">
            <v>ABS - Swap Spread</v>
          </cell>
        </row>
        <row r="2622">
          <cell r="A2622" t="str">
            <v>USD_ABS_MANUF_AAA_5</v>
          </cell>
          <cell r="B2622" t="str">
            <v>Mfg Hous AAA 5Y</v>
          </cell>
          <cell r="C2622" t="str">
            <v>BRS_GOLD__5_SPREADS:BRS_GOLD__3_OTHER_SPREADS:BRS_GOLD__2_OSABS:USD_ABS:USD_ABS_MANUF_AAA_5</v>
          </cell>
          <cell r="D2622" t="str">
            <v>Spread Duration</v>
          </cell>
          <cell r="E2622" t="str">
            <v>Spread Yield (DxS)</v>
          </cell>
          <cell r="F2622" t="str">
            <v>Alternative</v>
          </cell>
          <cell r="G2622" t="str">
            <v>Other</v>
          </cell>
          <cell r="H2622" t="str">
            <v>ALTS</v>
          </cell>
          <cell r="I2622" t="str">
            <v>ABS - Swap Spread</v>
          </cell>
        </row>
        <row r="2623">
          <cell r="A2623" t="str">
            <v>USD_ABS_MANUF_AAA_10</v>
          </cell>
          <cell r="B2623" t="str">
            <v>Mfg Hous AAA 10Y</v>
          </cell>
          <cell r="C2623" t="str">
            <v>BRS_GOLD__5_SPREADS:BRS_GOLD__3_OTHER_SPREADS:BRS_GOLD__2_OSABS:USD_ABS:USD_ABS_MANUF_AAA_10</v>
          </cell>
          <cell r="D2623" t="str">
            <v>Spread Duration</v>
          </cell>
          <cell r="E2623" t="str">
            <v>Spread Yield (DxS)</v>
          </cell>
          <cell r="F2623" t="str">
            <v>Alternative</v>
          </cell>
          <cell r="G2623" t="str">
            <v>Other</v>
          </cell>
          <cell r="H2623" t="str">
            <v>ALTS</v>
          </cell>
          <cell r="I2623" t="str">
            <v>ABS - Swap Spread</v>
          </cell>
        </row>
        <row r="2624">
          <cell r="A2624" t="str">
            <v>USD_ABS_CARD_FLT_AAA_2</v>
          </cell>
          <cell r="B2624" t="str">
            <v>Flt Cr Card AAA 2Y</v>
          </cell>
          <cell r="C2624" t="str">
            <v>BRS_GOLD__5_SPREADS:BRS_GOLD__3_OTHER_SPREADS:BRS_GOLD__2_OSABS:USD_ABS:USD_ABS_CARD_FLT_AAA_2</v>
          </cell>
          <cell r="D2624" t="str">
            <v>Spread Duration</v>
          </cell>
          <cell r="E2624" t="str">
            <v>Spread Yield (DxS)</v>
          </cell>
          <cell r="F2624" t="str">
            <v>Alternative</v>
          </cell>
          <cell r="G2624" t="str">
            <v>Other</v>
          </cell>
          <cell r="H2624" t="str">
            <v>ALTS</v>
          </cell>
          <cell r="I2624" t="str">
            <v>ABS - Swap Spread</v>
          </cell>
        </row>
        <row r="2625">
          <cell r="A2625" t="str">
            <v>USD_ABS_CARD_FLT_AAA_5</v>
          </cell>
          <cell r="B2625" t="str">
            <v>Flt Cr Card AAA 5Y</v>
          </cell>
          <cell r="C2625" t="str">
            <v>BRS_GOLD__5_SPREADS:BRS_GOLD__3_OTHER_SPREADS:BRS_GOLD__2_OSABS:USD_ABS:USD_ABS_CARD_FLT_AAA_5</v>
          </cell>
          <cell r="D2625" t="str">
            <v>Spread Duration</v>
          </cell>
          <cell r="E2625" t="str">
            <v>Spread Yield (DxS)</v>
          </cell>
          <cell r="F2625" t="str">
            <v>Alternative</v>
          </cell>
          <cell r="G2625" t="str">
            <v>Other</v>
          </cell>
          <cell r="H2625" t="str">
            <v>ALTS</v>
          </cell>
          <cell r="I2625" t="str">
            <v>ABS - Swap Spread</v>
          </cell>
        </row>
        <row r="2626">
          <cell r="A2626" t="str">
            <v>USD_ABS_CARD_FLT_AAA_10</v>
          </cell>
          <cell r="B2626" t="str">
            <v>Flt Cr Card AAA 10Y</v>
          </cell>
          <cell r="C2626" t="str">
            <v>BRS_GOLD__5_SPREADS:BRS_GOLD__3_OTHER_SPREADS:BRS_GOLD__2_OSABS:USD_ABS:USD_ABS_CARD_FLT_AAA_10</v>
          </cell>
          <cell r="D2626" t="str">
            <v>Spread Duration</v>
          </cell>
          <cell r="E2626" t="str">
            <v>Spread Yield (DxS)</v>
          </cell>
          <cell r="F2626" t="str">
            <v>Alternative</v>
          </cell>
          <cell r="G2626" t="str">
            <v>Other</v>
          </cell>
          <cell r="H2626" t="str">
            <v>ALTS</v>
          </cell>
          <cell r="I2626" t="str">
            <v>ABS - Swap Spread</v>
          </cell>
        </row>
        <row r="2627">
          <cell r="A2627" t="str">
            <v>USD_ABS_CARD_FLT_A_2</v>
          </cell>
          <cell r="B2627" t="str">
            <v>Flt Cr Card A 2Y</v>
          </cell>
          <cell r="C2627" t="str">
            <v>BRS_GOLD__5_SPREADS:BRS_GOLD__3_OTHER_SPREADS:BRS_GOLD__2_OSABS:USD_ABS:USD_ABS_CARD_FLT_A_2</v>
          </cell>
          <cell r="D2627" t="str">
            <v>Spread Duration</v>
          </cell>
          <cell r="E2627" t="str">
            <v>Spread Yield (DxS)</v>
          </cell>
          <cell r="F2627" t="str">
            <v>Alternative</v>
          </cell>
          <cell r="G2627" t="str">
            <v>Other</v>
          </cell>
          <cell r="H2627" t="str">
            <v>ALTS</v>
          </cell>
          <cell r="I2627" t="str">
            <v>ABS - Swap Spread</v>
          </cell>
        </row>
        <row r="2628">
          <cell r="A2628" t="str">
            <v>USD_ABS_CARD_FLT_A_5</v>
          </cell>
          <cell r="B2628" t="str">
            <v>Flt Cr Card A 5Y</v>
          </cell>
          <cell r="C2628" t="str">
            <v>BRS_GOLD__5_SPREADS:BRS_GOLD__3_OTHER_SPREADS:BRS_GOLD__2_OSABS:USD_ABS:USD_ABS_CARD_FLT_A_5</v>
          </cell>
          <cell r="D2628" t="str">
            <v>Spread Duration</v>
          </cell>
          <cell r="E2628" t="str">
            <v>Spread Yield (DxS)</v>
          </cell>
          <cell r="F2628" t="str">
            <v>Alternative</v>
          </cell>
          <cell r="G2628" t="str">
            <v>Other</v>
          </cell>
          <cell r="H2628" t="str">
            <v>ALTS</v>
          </cell>
          <cell r="I2628" t="str">
            <v>ABS - Swap Spread</v>
          </cell>
        </row>
        <row r="2629">
          <cell r="A2629" t="str">
            <v>USD_ABS_CARD_FLT_A_10</v>
          </cell>
          <cell r="B2629" t="str">
            <v>Flt Cr Card A 10Y</v>
          </cell>
          <cell r="C2629" t="str">
            <v>BRS_GOLD__5_SPREADS:BRS_GOLD__3_OTHER_SPREADS:BRS_GOLD__2_OSABS:USD_ABS:USD_ABS_CARD_FLT_A_10</v>
          </cell>
          <cell r="D2629" t="str">
            <v>Spread Duration</v>
          </cell>
          <cell r="E2629" t="str">
            <v>Spread Yield (DxS)</v>
          </cell>
          <cell r="F2629" t="str">
            <v>Alternative</v>
          </cell>
          <cell r="G2629" t="str">
            <v>Other</v>
          </cell>
          <cell r="H2629" t="str">
            <v>ALTS</v>
          </cell>
          <cell r="I2629" t="str">
            <v>ABS - Swap Spread</v>
          </cell>
        </row>
        <row r="2630">
          <cell r="A2630" t="str">
            <v>USD_ABS_CARD_FLT_BBB_2</v>
          </cell>
          <cell r="B2630" t="str">
            <v>Flt Cr Card BBB 2Y</v>
          </cell>
          <cell r="C2630" t="str">
            <v>BRS_GOLD__5_SPREADS:BRS_GOLD__3_OTHER_SPREADS:BRS_GOLD__2_OSABS:USD_ABS:USD_ABS_CARD_FLT_BBB_2</v>
          </cell>
          <cell r="D2630" t="str">
            <v>Spread Duration</v>
          </cell>
          <cell r="E2630" t="str">
            <v>Spread Yield (DxS)</v>
          </cell>
          <cell r="F2630" t="str">
            <v>Alternative</v>
          </cell>
          <cell r="G2630" t="str">
            <v>Other</v>
          </cell>
          <cell r="H2630" t="str">
            <v>ALTS</v>
          </cell>
          <cell r="I2630" t="str">
            <v>ABS - Swap Spread</v>
          </cell>
        </row>
        <row r="2631">
          <cell r="A2631" t="str">
            <v>USD_ABS_CARD_FLT_BBB_5</v>
          </cell>
          <cell r="B2631" t="str">
            <v>Flt Cr Card BBB 5Y</v>
          </cell>
          <cell r="C2631" t="str">
            <v>BRS_GOLD__5_SPREADS:BRS_GOLD__3_OTHER_SPREADS:BRS_GOLD__2_OSABS:USD_ABS:USD_ABS_CARD_FLT_BBB_5</v>
          </cell>
          <cell r="D2631" t="str">
            <v>Spread Duration</v>
          </cell>
          <cell r="E2631" t="str">
            <v>Spread Yield (DxS)</v>
          </cell>
          <cell r="F2631" t="str">
            <v>Alternative</v>
          </cell>
          <cell r="G2631" t="str">
            <v>Other</v>
          </cell>
          <cell r="H2631" t="str">
            <v>ALTS</v>
          </cell>
          <cell r="I2631" t="str">
            <v>ABS - Swap Spread</v>
          </cell>
        </row>
        <row r="2632">
          <cell r="A2632" t="str">
            <v>USD_ABS_CARD_FLT_BBB_10</v>
          </cell>
          <cell r="B2632" t="str">
            <v>Flt Cr Card BBB 10Y</v>
          </cell>
          <cell r="C2632" t="str">
            <v>BRS_GOLD__5_SPREADS:BRS_GOLD__3_OTHER_SPREADS:BRS_GOLD__2_OSABS:USD_ABS:USD_ABS_CARD_FLT_BBB_10</v>
          </cell>
          <cell r="D2632" t="str">
            <v>Spread Duration</v>
          </cell>
          <cell r="E2632" t="str">
            <v>Spread Yield (DxS)</v>
          </cell>
          <cell r="F2632" t="str">
            <v>Alternative</v>
          </cell>
          <cell r="G2632" t="str">
            <v>Other</v>
          </cell>
          <cell r="H2632" t="str">
            <v>ALTS</v>
          </cell>
          <cell r="I2632" t="str">
            <v>ABS - Swap Spread</v>
          </cell>
        </row>
        <row r="2633">
          <cell r="A2633" t="str">
            <v>USD_ABS_HE_FLT_AAA_3</v>
          </cell>
          <cell r="B2633" t="str">
            <v>Flt Home Eq AAA 3yr</v>
          </cell>
          <cell r="C2633" t="str">
            <v>BRS_GOLD__5_SPREADS:BRS_GOLD__3_OTHER_SPREADS:BRS_GOLD__2_OSABS:USD_ABS:USD_ABS_HE_FLT_AAA_3</v>
          </cell>
          <cell r="D2633" t="str">
            <v>Spread Duration</v>
          </cell>
          <cell r="E2633" t="str">
            <v>Spread Yield (DxS)</v>
          </cell>
          <cell r="F2633" t="str">
            <v>Alternative</v>
          </cell>
          <cell r="G2633" t="str">
            <v>Other</v>
          </cell>
          <cell r="H2633" t="str">
            <v>ALTS</v>
          </cell>
          <cell r="I2633" t="str">
            <v>ABS - Swap Spread</v>
          </cell>
        </row>
        <row r="2634">
          <cell r="A2634" t="str">
            <v>USD_ABS_HE_FLT_AAA_5</v>
          </cell>
          <cell r="B2634" t="str">
            <v>Flt Home Eq AAA 5yr</v>
          </cell>
          <cell r="C2634" t="str">
            <v>BRS_GOLD__5_SPREADS:BRS_GOLD__3_OTHER_SPREADS:BRS_GOLD__2_OSABS:USD_ABS:USD_ABS_HE_FLT_AAA_5</v>
          </cell>
          <cell r="D2634" t="str">
            <v>Spread Duration</v>
          </cell>
          <cell r="E2634" t="str">
            <v>Spread Yield (DxS)</v>
          </cell>
          <cell r="F2634" t="str">
            <v>Alternative</v>
          </cell>
          <cell r="G2634" t="str">
            <v>Other</v>
          </cell>
          <cell r="H2634" t="str">
            <v>ALTS</v>
          </cell>
          <cell r="I2634" t="str">
            <v>ABS - Swap Spread</v>
          </cell>
        </row>
        <row r="2635">
          <cell r="A2635" t="str">
            <v>USD_ABS_HE_FLT_AA_5</v>
          </cell>
          <cell r="B2635" t="str">
            <v>Flt Home Eq AA 5yr</v>
          </cell>
          <cell r="C2635" t="str">
            <v>BRS_GOLD__5_SPREADS:BRS_GOLD__3_OTHER_SPREADS:BRS_GOLD__2_OSABS:USD_ABS:USD_ABS_HE_FLT_AA_5</v>
          </cell>
          <cell r="D2635" t="str">
            <v>Spread Duration</v>
          </cell>
          <cell r="E2635" t="str">
            <v>Spread Yield (DxS)</v>
          </cell>
          <cell r="F2635" t="str">
            <v>Alternative</v>
          </cell>
          <cell r="G2635" t="str">
            <v>Other</v>
          </cell>
          <cell r="H2635" t="str">
            <v>ALTS</v>
          </cell>
          <cell r="I2635" t="str">
            <v>ABS - Swap Spread</v>
          </cell>
        </row>
        <row r="2636">
          <cell r="A2636" t="str">
            <v>USD_ABS_HE_FLT_A_5p</v>
          </cell>
          <cell r="B2636" t="str">
            <v>Flt Home Eq A+ 5yr</v>
          </cell>
          <cell r="C2636" t="str">
            <v>BRS_GOLD__5_SPREADS:BRS_GOLD__3_OTHER_SPREADS:BRS_GOLD__2_OSABS:USD_ABS:USD_ABS_HE_FLT_A_5p</v>
          </cell>
          <cell r="D2636" t="str">
            <v>Spread Duration</v>
          </cell>
          <cell r="E2636" t="str">
            <v>Spread Yield (DxS)</v>
          </cell>
          <cell r="F2636" t="str">
            <v>Alternative</v>
          </cell>
          <cell r="G2636" t="str">
            <v>Other</v>
          </cell>
          <cell r="H2636" t="str">
            <v>ALTS</v>
          </cell>
          <cell r="I2636" t="str">
            <v>ABS - Swap Spread</v>
          </cell>
        </row>
        <row r="2637">
          <cell r="A2637" t="str">
            <v>USD_ABS_HE_FLT_A_5</v>
          </cell>
          <cell r="B2637" t="str">
            <v>Flt Home Eq A 5yr</v>
          </cell>
          <cell r="C2637" t="str">
            <v>BRS_GOLD__5_SPREADS:BRS_GOLD__3_OTHER_SPREADS:BRS_GOLD__2_OSABS:USD_ABS:USD_ABS_HE_FLT_A_5</v>
          </cell>
          <cell r="D2637" t="str">
            <v>Spread Duration</v>
          </cell>
          <cell r="E2637" t="str">
            <v>Spread Yield (DxS)</v>
          </cell>
          <cell r="F2637" t="str">
            <v>Alternative</v>
          </cell>
          <cell r="G2637" t="str">
            <v>Other</v>
          </cell>
          <cell r="H2637" t="str">
            <v>ALTS</v>
          </cell>
          <cell r="I2637" t="str">
            <v>ABS - Swap Spread</v>
          </cell>
        </row>
        <row r="2638">
          <cell r="A2638" t="str">
            <v>USD_ABS_HE_FLT_A_5m</v>
          </cell>
          <cell r="B2638" t="str">
            <v>Flt Home Eq A- 5yr</v>
          </cell>
          <cell r="C2638" t="str">
            <v>BRS_GOLD__5_SPREADS:BRS_GOLD__3_OTHER_SPREADS:BRS_GOLD__2_OSABS:USD_ABS:USD_ABS_HE_FLT_A_5m</v>
          </cell>
          <cell r="D2638" t="str">
            <v>Spread Duration</v>
          </cell>
          <cell r="E2638" t="str">
            <v>Spread Yield (DxS)</v>
          </cell>
          <cell r="F2638" t="str">
            <v>Alternative</v>
          </cell>
          <cell r="G2638" t="str">
            <v>Other</v>
          </cell>
          <cell r="H2638" t="str">
            <v>ALTS</v>
          </cell>
          <cell r="I2638" t="str">
            <v>ABS - Swap Spread</v>
          </cell>
        </row>
        <row r="2639">
          <cell r="A2639" t="str">
            <v>USD_ABS_HE_FLT_BBB_5p</v>
          </cell>
          <cell r="B2639" t="str">
            <v>Flt Home Eq BBB+ 5yr</v>
          </cell>
          <cell r="C2639" t="str">
            <v>BRS_GOLD__5_SPREADS:BRS_GOLD__3_OTHER_SPREADS:BRS_GOLD__2_OSABS:USD_ABS:USD_ABS_HE_FLT_BBB_5p</v>
          </cell>
          <cell r="D2639" t="str">
            <v>Spread Duration</v>
          </cell>
          <cell r="E2639" t="str">
            <v>Spread Yield (DxS)</v>
          </cell>
          <cell r="F2639" t="str">
            <v>Alternative</v>
          </cell>
          <cell r="G2639" t="str">
            <v>Other</v>
          </cell>
          <cell r="H2639" t="str">
            <v>ALTS</v>
          </cell>
          <cell r="I2639" t="str">
            <v>ABS - Swap Spread</v>
          </cell>
        </row>
        <row r="2640">
          <cell r="A2640" t="str">
            <v>USD_ABS_HE_FLT_BBB_5</v>
          </cell>
          <cell r="B2640" t="str">
            <v>Flt Home Eq BBB 5yr</v>
          </cell>
          <cell r="C2640" t="str">
            <v>BRS_GOLD__5_SPREADS:BRS_GOLD__3_OTHER_SPREADS:BRS_GOLD__2_OSABS:USD_ABS:USD_ABS_HE_FLT_BBB_5</v>
          </cell>
          <cell r="D2640" t="str">
            <v>Spread Duration</v>
          </cell>
          <cell r="E2640" t="str">
            <v>Spread Yield (DxS)</v>
          </cell>
          <cell r="F2640" t="str">
            <v>Alternative</v>
          </cell>
          <cell r="G2640" t="str">
            <v>Other</v>
          </cell>
          <cell r="H2640" t="str">
            <v>ALTS</v>
          </cell>
          <cell r="I2640" t="str">
            <v>ABS - Swap Spread</v>
          </cell>
        </row>
        <row r="2641">
          <cell r="A2641" t="str">
            <v>USD_ABS_HE_FLT_BBB_5m</v>
          </cell>
          <cell r="B2641" t="str">
            <v>Flt Home Eq BBB- 5yr</v>
          </cell>
          <cell r="C2641" t="str">
            <v>BRS_GOLD__5_SPREADS:BRS_GOLD__3_OTHER_SPREADS:BRS_GOLD__2_OSABS:USD_ABS:USD_ABS_HE_FLT_BBB_5m</v>
          </cell>
          <cell r="D2641" t="str">
            <v>Spread Duration</v>
          </cell>
          <cell r="E2641" t="str">
            <v>Spread Yield (DxS)</v>
          </cell>
          <cell r="F2641" t="str">
            <v>Alternative</v>
          </cell>
          <cell r="G2641" t="str">
            <v>Other</v>
          </cell>
          <cell r="H2641" t="str">
            <v>ALTS</v>
          </cell>
          <cell r="I2641" t="str">
            <v>ABS - Swap Spread</v>
          </cell>
        </row>
        <row r="2642">
          <cell r="A2642" t="str">
            <v>USD_ABS_HE_FLT_BB_5p</v>
          </cell>
          <cell r="B2642" t="str">
            <v>Flt Home Eq BB+ 5yr</v>
          </cell>
          <cell r="C2642" t="str">
            <v>BRS_GOLD__5_SPREADS:BRS_GOLD__3_OTHER_SPREADS:BRS_GOLD__2_OSABS:USD_ABS:USD_ABS_HE_FLT_BB_5p</v>
          </cell>
          <cell r="D2642" t="str">
            <v>Spread Duration</v>
          </cell>
          <cell r="E2642" t="str">
            <v>Spread Yield (DxS)</v>
          </cell>
          <cell r="F2642" t="str">
            <v>Alternative</v>
          </cell>
          <cell r="G2642" t="str">
            <v>Other</v>
          </cell>
          <cell r="H2642" t="str">
            <v>ALTS</v>
          </cell>
          <cell r="I2642" t="str">
            <v>ABS - Swap Spread</v>
          </cell>
        </row>
        <row r="2643">
          <cell r="A2643" t="str">
            <v>USD_ABS_HE_FLT_BB_5</v>
          </cell>
          <cell r="B2643" t="str">
            <v>Flt Home Eq BB 5yr</v>
          </cell>
          <cell r="C2643" t="str">
            <v>BRS_GOLD__5_SPREADS:BRS_GOLD__3_OTHER_SPREADS:BRS_GOLD__2_OSABS:USD_ABS:USD_ABS_HE_FLT_BB_5</v>
          </cell>
          <cell r="D2643" t="str">
            <v>Spread Duration</v>
          </cell>
          <cell r="E2643" t="str">
            <v>Spread Yield (DxS)</v>
          </cell>
          <cell r="F2643" t="str">
            <v>Alternative</v>
          </cell>
          <cell r="G2643" t="str">
            <v>Other</v>
          </cell>
          <cell r="H2643" t="str">
            <v>ALTS</v>
          </cell>
          <cell r="I2643" t="str">
            <v>ABS - Swap Spread</v>
          </cell>
        </row>
        <row r="2644">
          <cell r="A2644" t="str">
            <v>USD_ABS_HE_FLT_BB_5m</v>
          </cell>
          <cell r="B2644" t="str">
            <v>Flt Home Eq BB- 5yr</v>
          </cell>
          <cell r="C2644" t="str">
            <v>BRS_GOLD__5_SPREADS:BRS_GOLD__3_OTHER_SPREADS:BRS_GOLD__2_OSABS:USD_ABS:USD_ABS_HE_FLT_BB_5m</v>
          </cell>
          <cell r="D2644" t="str">
            <v>Spread Duration</v>
          </cell>
          <cell r="E2644" t="str">
            <v>Spread Yield (DxS)</v>
          </cell>
          <cell r="F2644" t="str">
            <v>Alternative</v>
          </cell>
          <cell r="G2644" t="str">
            <v>Other</v>
          </cell>
          <cell r="H2644" t="str">
            <v>ALTS</v>
          </cell>
          <cell r="I2644" t="str">
            <v>ABS - Swap Spread</v>
          </cell>
        </row>
        <row r="2645">
          <cell r="A2645" t="str">
            <v>USD_ABS_SLOAN_FLT_AAA_1</v>
          </cell>
          <cell r="B2645" t="str">
            <v>Flt S Loan AAA 1Y</v>
          </cell>
          <cell r="C2645" t="str">
            <v>BRS_GOLD__5_SPREADS:BRS_GOLD__3_OTHER_SPREADS:BRS_GOLD__2_OSABS:USD_ABS:USD_ABS_SLOAN_FLT_AAA_1</v>
          </cell>
          <cell r="D2645" t="str">
            <v>Spread Duration</v>
          </cell>
          <cell r="E2645" t="str">
            <v>Spread Yield (DxS)</v>
          </cell>
          <cell r="F2645" t="str">
            <v>Alternative</v>
          </cell>
          <cell r="G2645" t="str">
            <v>Other</v>
          </cell>
          <cell r="H2645" t="str">
            <v>ALTS</v>
          </cell>
          <cell r="I2645" t="str">
            <v>ABS - Swap Spread</v>
          </cell>
        </row>
        <row r="2646">
          <cell r="A2646" t="str">
            <v>USD_ABS_SLOAN_FLT_AAA_3</v>
          </cell>
          <cell r="B2646" t="str">
            <v>Flt S Loan AAA 3Y</v>
          </cell>
          <cell r="C2646" t="str">
            <v>BRS_GOLD__5_SPREADS:BRS_GOLD__3_OTHER_SPREADS:BRS_GOLD__2_OSABS:USD_ABS:USD_ABS_SLOAN_FLT_AAA_3</v>
          </cell>
          <cell r="D2646" t="str">
            <v>Spread Duration</v>
          </cell>
          <cell r="E2646" t="str">
            <v>Spread Yield (DxS)</v>
          </cell>
          <cell r="F2646" t="str">
            <v>Alternative</v>
          </cell>
          <cell r="G2646" t="str">
            <v>Other</v>
          </cell>
          <cell r="H2646" t="str">
            <v>ALTS</v>
          </cell>
          <cell r="I2646" t="str">
            <v>ABS - Swap Spread</v>
          </cell>
        </row>
        <row r="2647">
          <cell r="A2647" t="str">
            <v>USD_ABS_SLOAN_FLT_AAA_5</v>
          </cell>
          <cell r="B2647" t="str">
            <v>Flt S Loan AAA 5Y</v>
          </cell>
          <cell r="C2647" t="str">
            <v>BRS_GOLD__5_SPREADS:BRS_GOLD__3_OTHER_SPREADS:BRS_GOLD__2_OSABS:USD_ABS:USD_ABS_SLOAN_FLT_AAA_5</v>
          </cell>
          <cell r="D2647" t="str">
            <v>Spread Duration</v>
          </cell>
          <cell r="E2647" t="str">
            <v>Spread Yield (DxS)</v>
          </cell>
          <cell r="F2647" t="str">
            <v>Alternative</v>
          </cell>
          <cell r="G2647" t="str">
            <v>Other</v>
          </cell>
          <cell r="H2647" t="str">
            <v>ALTS</v>
          </cell>
          <cell r="I2647" t="str">
            <v>ABS - Swap Spread</v>
          </cell>
        </row>
        <row r="2648">
          <cell r="A2648" t="str">
            <v>USD_ABS_SLOAN_FLT_AAA_10</v>
          </cell>
          <cell r="B2648" t="str">
            <v>Flt S Loan AAA 10Y</v>
          </cell>
          <cell r="C2648" t="str">
            <v>BRS_GOLD__5_SPREADS:BRS_GOLD__3_OTHER_SPREADS:BRS_GOLD__2_OSABS:USD_ABS:USD_ABS_SLOAN_FLT_AAA_10</v>
          </cell>
          <cell r="D2648" t="str">
            <v>Spread Duration</v>
          </cell>
          <cell r="E2648" t="str">
            <v>Spread Yield (DxS)</v>
          </cell>
          <cell r="F2648" t="str">
            <v>Alternative</v>
          </cell>
          <cell r="G2648" t="str">
            <v>Other</v>
          </cell>
          <cell r="H2648" t="str">
            <v>ALTS</v>
          </cell>
          <cell r="I2648" t="str">
            <v>ABS - Swap Spread</v>
          </cell>
        </row>
        <row r="2649">
          <cell r="A2649" t="str">
            <v>USD_ABS_SLOAN_FLT_AA_10</v>
          </cell>
          <cell r="B2649" t="str">
            <v>Flt S Loan AA 10Y</v>
          </cell>
          <cell r="C2649" t="str">
            <v>BRS_GOLD__5_SPREADS:BRS_GOLD__3_OTHER_SPREADS:BRS_GOLD__2_OSABS:USD_ABS:USD_ABS_SLOAN_FLT_AA_10</v>
          </cell>
          <cell r="D2649" t="str">
            <v>Spread Duration</v>
          </cell>
          <cell r="E2649" t="str">
            <v>Spread Yield (DxS)</v>
          </cell>
          <cell r="F2649" t="str">
            <v>Alternative</v>
          </cell>
          <cell r="G2649" t="str">
            <v>Other</v>
          </cell>
          <cell r="H2649" t="str">
            <v>ALTS</v>
          </cell>
          <cell r="I2649" t="str">
            <v>ABS - Swap Spread</v>
          </cell>
        </row>
        <row r="2650">
          <cell r="A2650" t="str">
            <v>USD_ABS_AUS_MBS_AAA_3</v>
          </cell>
          <cell r="B2650" t="str">
            <v>Aus MBS Flt 3Y</v>
          </cell>
          <cell r="C2650" t="str">
            <v>BRS_GOLD__5_SPREADS:BRS_GOLD__3_OTHER_SPREADS:BRS_GOLD__2_OSABS:USD_ABS:USD_ABS_AUS_MBS_AAA_3</v>
          </cell>
          <cell r="D2650" t="str">
            <v>Spread Duration</v>
          </cell>
          <cell r="E2650" t="str">
            <v>Spread Yield (DxS)</v>
          </cell>
          <cell r="F2650" t="str">
            <v>Alternative</v>
          </cell>
          <cell r="G2650" t="str">
            <v>Other</v>
          </cell>
          <cell r="H2650" t="str">
            <v>ALTS</v>
          </cell>
          <cell r="I2650" t="str">
            <v>ABS - Swap Spread</v>
          </cell>
        </row>
        <row r="2651">
          <cell r="A2651" t="str">
            <v>USD_ABS_UK_MBS_AA_5</v>
          </cell>
          <cell r="B2651" t="str">
            <v>UK MBS Flt AA 5Y</v>
          </cell>
          <cell r="C2651" t="str">
            <v>BRS_GOLD__5_SPREADS:BRS_GOLD__3_OTHER_SPREADS:BRS_GOLD__2_OSABS:USD_ABS:USD_ABS_UK_MBS_AA_5</v>
          </cell>
          <cell r="D2651" t="str">
            <v>Spread Duration</v>
          </cell>
          <cell r="E2651" t="str">
            <v>Spread Yield (DxS)</v>
          </cell>
          <cell r="F2651" t="str">
            <v>Alternative</v>
          </cell>
          <cell r="G2651" t="str">
            <v>Other</v>
          </cell>
          <cell r="H2651" t="str">
            <v>ALTS</v>
          </cell>
          <cell r="I2651" t="str">
            <v>ABS - Swap Spread</v>
          </cell>
        </row>
        <row r="2652">
          <cell r="A2652" t="str">
            <v>USD_ABS_UK_MBS_AAA_3</v>
          </cell>
          <cell r="B2652" t="str">
            <v>UK MBS Flt AAA 3Y</v>
          </cell>
          <cell r="C2652" t="str">
            <v>BRS_GOLD__5_SPREADS:BRS_GOLD__3_OTHER_SPREADS:BRS_GOLD__2_OSABS:USD_ABS:USD_ABS_UK_MBS_AAA_3</v>
          </cell>
          <cell r="D2652" t="str">
            <v>Spread Duration</v>
          </cell>
          <cell r="E2652" t="str">
            <v>Spread Yield (DxS)</v>
          </cell>
          <cell r="F2652" t="str">
            <v>Alternative</v>
          </cell>
          <cell r="G2652" t="str">
            <v>Other</v>
          </cell>
          <cell r="H2652" t="str">
            <v>ALTS</v>
          </cell>
          <cell r="I2652" t="str">
            <v>ABS - Swap Spread</v>
          </cell>
        </row>
        <row r="2653">
          <cell r="A2653" t="str">
            <v>USD_ABS_UK_MBS_AAA_5</v>
          </cell>
          <cell r="B2653" t="str">
            <v>UK MBS Flt AAA 5Y</v>
          </cell>
          <cell r="C2653" t="str">
            <v>BRS_GOLD__5_SPREADS:BRS_GOLD__3_OTHER_SPREADS:BRS_GOLD__2_OSABS:USD_ABS:USD_ABS_UK_MBS_AAA_5</v>
          </cell>
          <cell r="D2653" t="str">
            <v>Spread Duration</v>
          </cell>
          <cell r="E2653" t="str">
            <v>Spread Yield (DxS)</v>
          </cell>
          <cell r="F2653" t="str">
            <v>Alternative</v>
          </cell>
          <cell r="G2653" t="str">
            <v>Other</v>
          </cell>
          <cell r="H2653" t="str">
            <v>ALTS</v>
          </cell>
          <cell r="I2653" t="str">
            <v>ABS - Swap Spread</v>
          </cell>
        </row>
        <row r="2654">
          <cell r="A2654" t="str">
            <v>USD_ABS_UK_MBS_BBB_5</v>
          </cell>
          <cell r="B2654" t="str">
            <v>UK MBS Flt BBB 5Y</v>
          </cell>
          <cell r="C2654" t="str">
            <v>BRS_GOLD__5_SPREADS:BRS_GOLD__3_OTHER_SPREADS:BRS_GOLD__2_OSABS:USD_ABS:USD_ABS_UK_MBS_BBB_5</v>
          </cell>
          <cell r="D2654" t="str">
            <v>Spread Duration</v>
          </cell>
          <cell r="E2654" t="str">
            <v>Spread Yield (DxS)</v>
          </cell>
          <cell r="F2654" t="str">
            <v>Alternative</v>
          </cell>
          <cell r="G2654" t="str">
            <v>Other</v>
          </cell>
          <cell r="H2654" t="str">
            <v>ALTS</v>
          </cell>
          <cell r="I2654" t="str">
            <v>ABS - Swap Spread</v>
          </cell>
        </row>
        <row r="2655">
          <cell r="A2655" t="str">
            <v>USD_ABS_HOMEEQ_AA_10</v>
          </cell>
          <cell r="B2655" t="str">
            <v>Home Eq AA 10Y</v>
          </cell>
          <cell r="C2655" t="str">
            <v>BRS_GOLD__5_SPREADS:BRS_GOLD__3_OTHER_SPREADS:BRS_GOLD__2_OSABS:USD_ABS:USD_ABS_HOMEEQ_AA_10</v>
          </cell>
          <cell r="D2655" t="str">
            <v>Spread Duration</v>
          </cell>
          <cell r="E2655" t="str">
            <v>Spread Yield (DxS)</v>
          </cell>
          <cell r="F2655" t="str">
            <v>Alternative</v>
          </cell>
          <cell r="G2655" t="str">
            <v>Other</v>
          </cell>
          <cell r="H2655" t="str">
            <v>ALTS</v>
          </cell>
          <cell r="I2655" t="str">
            <v>ABS - Swap Spread</v>
          </cell>
        </row>
        <row r="2656">
          <cell r="A2656" t="str">
            <v>USD_ABS_HOMEEQ_AA_2</v>
          </cell>
          <cell r="B2656" t="str">
            <v>Home Eq AA 2Y</v>
          </cell>
          <cell r="C2656" t="str">
            <v>BRS_GOLD__5_SPREADS:BRS_GOLD__3_OTHER_SPREADS:BRS_GOLD__2_OSABS:USD_ABS:USD_ABS_HOMEEQ_AA_2</v>
          </cell>
          <cell r="D2656" t="str">
            <v>Spread Duration</v>
          </cell>
          <cell r="E2656" t="str">
            <v>Spread Yield (DxS)</v>
          </cell>
          <cell r="F2656" t="str">
            <v>Alternative</v>
          </cell>
          <cell r="G2656" t="str">
            <v>Other</v>
          </cell>
          <cell r="H2656" t="str">
            <v>ALTS</v>
          </cell>
          <cell r="I2656" t="str">
            <v>ABS - Swap Spread</v>
          </cell>
        </row>
        <row r="2657">
          <cell r="A2657" t="str">
            <v>USD_ABS_HOMEEQ_AA_5</v>
          </cell>
          <cell r="B2657" t="str">
            <v>Home Eq AA 5Y</v>
          </cell>
          <cell r="C2657" t="str">
            <v>BRS_GOLD__5_SPREADS:BRS_GOLD__3_OTHER_SPREADS:BRS_GOLD__2_OSABS:USD_ABS:USD_ABS_HOMEEQ_AA_5</v>
          </cell>
          <cell r="D2657" t="str">
            <v>Spread Duration</v>
          </cell>
          <cell r="E2657" t="str">
            <v>Spread Yield (DxS)</v>
          </cell>
          <cell r="F2657" t="str">
            <v>Alternative</v>
          </cell>
          <cell r="G2657" t="str">
            <v>Other</v>
          </cell>
          <cell r="H2657" t="str">
            <v>ALTS</v>
          </cell>
          <cell r="I2657" t="str">
            <v>ABS - Swap Spread</v>
          </cell>
        </row>
        <row r="2658">
          <cell r="A2658" t="str">
            <v>USD_ABS_HOMEEQ_A_10</v>
          </cell>
          <cell r="B2658" t="str">
            <v>Home Eq A 10Y</v>
          </cell>
          <cell r="C2658" t="str">
            <v>BRS_GOLD__5_SPREADS:BRS_GOLD__3_OTHER_SPREADS:BRS_GOLD__2_OSABS:USD_ABS:USD_ABS_HOMEEQ_A_10</v>
          </cell>
          <cell r="D2658" t="str">
            <v>Spread Duration</v>
          </cell>
          <cell r="E2658" t="str">
            <v>Spread Yield (DxS)</v>
          </cell>
          <cell r="F2658" t="str">
            <v>Alternative</v>
          </cell>
          <cell r="G2658" t="str">
            <v>Other</v>
          </cell>
          <cell r="H2658" t="str">
            <v>ALTS</v>
          </cell>
          <cell r="I2658" t="str">
            <v>ABS - Swap Spread</v>
          </cell>
        </row>
        <row r="2659">
          <cell r="A2659" t="str">
            <v>USD_ABS_HOMEEQ_A_2</v>
          </cell>
          <cell r="B2659" t="str">
            <v>Home Eq A 2Y</v>
          </cell>
          <cell r="C2659" t="str">
            <v>BRS_GOLD__5_SPREADS:BRS_GOLD__3_OTHER_SPREADS:BRS_GOLD__2_OSABS:USD_ABS:USD_ABS_HOMEEQ_A_2</v>
          </cell>
          <cell r="D2659" t="str">
            <v>Spread Duration</v>
          </cell>
          <cell r="E2659" t="str">
            <v>Spread Yield (DxS)</v>
          </cell>
          <cell r="F2659" t="str">
            <v>Alternative</v>
          </cell>
          <cell r="G2659" t="str">
            <v>Other</v>
          </cell>
          <cell r="H2659" t="str">
            <v>ALTS</v>
          </cell>
          <cell r="I2659" t="str">
            <v>ABS - Swap Spread</v>
          </cell>
        </row>
        <row r="2660">
          <cell r="A2660" t="str">
            <v>USD_ABS_HOMEEQ_A_5</v>
          </cell>
          <cell r="B2660" t="str">
            <v>Home Eq A 5Y</v>
          </cell>
          <cell r="C2660" t="str">
            <v>BRS_GOLD__5_SPREADS:BRS_GOLD__3_OTHER_SPREADS:BRS_GOLD__2_OSABS:USD_ABS:USD_ABS_HOMEEQ_A_5</v>
          </cell>
          <cell r="D2660" t="str">
            <v>Spread Duration</v>
          </cell>
          <cell r="E2660" t="str">
            <v>Spread Yield (DxS)</v>
          </cell>
          <cell r="F2660" t="str">
            <v>Alternative</v>
          </cell>
          <cell r="G2660" t="str">
            <v>Other</v>
          </cell>
          <cell r="H2660" t="str">
            <v>ALTS</v>
          </cell>
          <cell r="I2660" t="str">
            <v>ABS - Swap Spread</v>
          </cell>
        </row>
        <row r="2661">
          <cell r="A2661" t="str">
            <v>USD_ABS_HOMEEQ_BBB_10</v>
          </cell>
          <cell r="B2661" t="str">
            <v>Home Eq BBB 10Y</v>
          </cell>
          <cell r="C2661" t="str">
            <v>BRS_GOLD__5_SPREADS:BRS_GOLD__3_OTHER_SPREADS:BRS_GOLD__2_OSABS:USD_ABS:USD_ABS_HOMEEQ_BBB_10</v>
          </cell>
          <cell r="D2661" t="str">
            <v>Spread Duration</v>
          </cell>
          <cell r="E2661" t="str">
            <v>Spread Yield (DxS)</v>
          </cell>
          <cell r="F2661" t="str">
            <v>Alternative</v>
          </cell>
          <cell r="G2661" t="str">
            <v>Other</v>
          </cell>
          <cell r="H2661" t="str">
            <v>ALTS</v>
          </cell>
          <cell r="I2661" t="str">
            <v>ABS - Swap Spread</v>
          </cell>
        </row>
        <row r="2662">
          <cell r="A2662" t="str">
            <v>USD_ABS_HOMEEQ_BBB_10m</v>
          </cell>
          <cell r="B2662" t="str">
            <v>Home Eq BBB- 10Y</v>
          </cell>
          <cell r="C2662" t="str">
            <v>BRS_GOLD__5_SPREADS:BRS_GOLD__3_OTHER_SPREADS:BRS_GOLD__2_OSABS:USD_ABS:USD_ABS_HOMEEQ_BBB_10m</v>
          </cell>
          <cell r="D2662" t="str">
            <v>Spread Duration</v>
          </cell>
          <cell r="E2662" t="str">
            <v>Spread Yield (DxS)</v>
          </cell>
          <cell r="F2662" t="str">
            <v>Alternative</v>
          </cell>
          <cell r="G2662" t="str">
            <v>Other</v>
          </cell>
          <cell r="H2662" t="str">
            <v>ALTS</v>
          </cell>
          <cell r="I2662" t="str">
            <v>ABS - Swap Spread</v>
          </cell>
        </row>
        <row r="2663">
          <cell r="A2663" t="str">
            <v>USD_ABS_HOMEEQ_BBB_10p</v>
          </cell>
          <cell r="B2663" t="str">
            <v>Home Eq BBB+ 10Y</v>
          </cell>
          <cell r="C2663" t="str">
            <v>BRS_GOLD__5_SPREADS:BRS_GOLD__3_OTHER_SPREADS:BRS_GOLD__2_OSABS:USD_ABS:USD_ABS_HOMEEQ_BBB_10p</v>
          </cell>
          <cell r="D2663" t="str">
            <v>Spread Duration</v>
          </cell>
          <cell r="E2663" t="str">
            <v>Spread Yield (DxS)</v>
          </cell>
          <cell r="F2663" t="str">
            <v>Alternative</v>
          </cell>
          <cell r="G2663" t="str">
            <v>Other</v>
          </cell>
          <cell r="H2663" t="str">
            <v>ALTS</v>
          </cell>
          <cell r="I2663" t="str">
            <v>ABS - Swap Spread</v>
          </cell>
        </row>
        <row r="2664">
          <cell r="A2664" t="str">
            <v>USD_ABS_HOMEEQ_BBB_2</v>
          </cell>
          <cell r="B2664" t="str">
            <v>Home Eq BBB 2Y</v>
          </cell>
          <cell r="C2664" t="str">
            <v>BRS_GOLD__5_SPREADS:BRS_GOLD__3_OTHER_SPREADS:BRS_GOLD__2_OSABS:USD_ABS:USD_ABS_HOMEEQ_BBB_2</v>
          </cell>
          <cell r="D2664" t="str">
            <v>Spread Duration</v>
          </cell>
          <cell r="E2664" t="str">
            <v>Spread Yield (DxS)</v>
          </cell>
          <cell r="F2664" t="str">
            <v>Alternative</v>
          </cell>
          <cell r="G2664" t="str">
            <v>Other</v>
          </cell>
          <cell r="H2664" t="str">
            <v>ALTS</v>
          </cell>
          <cell r="I2664" t="str">
            <v>ABS - Swap Spread</v>
          </cell>
        </row>
        <row r="2665">
          <cell r="A2665" t="str">
            <v>USD_ABS_HOMEEQ_BBB_2m</v>
          </cell>
          <cell r="B2665" t="str">
            <v>Home Eq BBB- 2Y</v>
          </cell>
          <cell r="C2665" t="str">
            <v>BRS_GOLD__5_SPREADS:BRS_GOLD__3_OTHER_SPREADS:BRS_GOLD__2_OSABS:USD_ABS:USD_ABS_HOMEEQ_BBB_2m</v>
          </cell>
          <cell r="D2665" t="str">
            <v>Spread Duration</v>
          </cell>
          <cell r="E2665" t="str">
            <v>Spread Yield (DxS)</v>
          </cell>
          <cell r="F2665" t="str">
            <v>Alternative</v>
          </cell>
          <cell r="G2665" t="str">
            <v>Other</v>
          </cell>
          <cell r="H2665" t="str">
            <v>ALTS</v>
          </cell>
          <cell r="I2665" t="str">
            <v>ABS - Swap Spread</v>
          </cell>
        </row>
        <row r="2666">
          <cell r="A2666" t="str">
            <v>USD_ABS_HOMEEQ_BBB_2p</v>
          </cell>
          <cell r="B2666" t="str">
            <v>Home Eq BBB+ 2Y</v>
          </cell>
          <cell r="C2666" t="str">
            <v>BRS_GOLD__5_SPREADS:BRS_GOLD__3_OTHER_SPREADS:BRS_GOLD__2_OSABS:USD_ABS:USD_ABS_HOMEEQ_BBB_2p</v>
          </cell>
          <cell r="D2666" t="str">
            <v>Spread Duration</v>
          </cell>
          <cell r="E2666" t="str">
            <v>Spread Yield (DxS)</v>
          </cell>
          <cell r="F2666" t="str">
            <v>Alternative</v>
          </cell>
          <cell r="G2666" t="str">
            <v>Other</v>
          </cell>
          <cell r="H2666" t="str">
            <v>ALTS</v>
          </cell>
          <cell r="I2666" t="str">
            <v>ABS - Swap Spread</v>
          </cell>
        </row>
        <row r="2667">
          <cell r="A2667" t="str">
            <v>USD_ABS_HOMEEQ_BBB_5</v>
          </cell>
          <cell r="B2667" t="str">
            <v>Home Eq BBB 5Y</v>
          </cell>
          <cell r="C2667" t="str">
            <v>BRS_GOLD__5_SPREADS:BRS_GOLD__3_OTHER_SPREADS:BRS_GOLD__2_OSABS:USD_ABS:USD_ABS_HOMEEQ_BBB_5</v>
          </cell>
          <cell r="D2667" t="str">
            <v>Spread Duration</v>
          </cell>
          <cell r="E2667" t="str">
            <v>Spread Yield (DxS)</v>
          </cell>
          <cell r="F2667" t="str">
            <v>Alternative</v>
          </cell>
          <cell r="G2667" t="str">
            <v>Other</v>
          </cell>
          <cell r="H2667" t="str">
            <v>ALTS</v>
          </cell>
          <cell r="I2667" t="str">
            <v>ABS - Swap Spread</v>
          </cell>
        </row>
        <row r="2668">
          <cell r="A2668" t="str">
            <v>USD_ABS_HOMEEQ_BBB_5m</v>
          </cell>
          <cell r="B2668" t="str">
            <v>Home Eq BBB- 5Y</v>
          </cell>
          <cell r="C2668" t="str">
            <v>BRS_GOLD__5_SPREADS:BRS_GOLD__3_OTHER_SPREADS:BRS_GOLD__2_OSABS:USD_ABS:USD_ABS_HOMEEQ_BBB_5m</v>
          </cell>
          <cell r="D2668" t="str">
            <v>Spread Duration</v>
          </cell>
          <cell r="E2668" t="str">
            <v>Spread Yield (DxS)</v>
          </cell>
          <cell r="F2668" t="str">
            <v>Alternative</v>
          </cell>
          <cell r="G2668" t="str">
            <v>Other</v>
          </cell>
          <cell r="H2668" t="str">
            <v>ALTS</v>
          </cell>
          <cell r="I2668" t="str">
            <v>ABS - Swap Spread</v>
          </cell>
        </row>
        <row r="2669">
          <cell r="A2669" t="str">
            <v>USD_ABS_HOMEEQ_BBB_5p</v>
          </cell>
          <cell r="B2669" t="str">
            <v>Home Eq BBB+ 5Y</v>
          </cell>
          <cell r="C2669" t="str">
            <v>BRS_GOLD__5_SPREADS:BRS_GOLD__3_OTHER_SPREADS:BRS_GOLD__2_OSABS:USD_ABS:USD_ABS_HOMEEQ_BBB_5p</v>
          </cell>
          <cell r="D2669" t="str">
            <v>Spread Duration</v>
          </cell>
          <cell r="E2669" t="str">
            <v>Spread Yield (DxS)</v>
          </cell>
          <cell r="F2669" t="str">
            <v>Alternative</v>
          </cell>
          <cell r="G2669" t="str">
            <v>Other</v>
          </cell>
          <cell r="H2669" t="str">
            <v>ALTS</v>
          </cell>
          <cell r="I2669" t="str">
            <v>ABS - Swap Spread</v>
          </cell>
        </row>
        <row r="2670">
          <cell r="A2670" t="str">
            <v>USD_ABS_HOMEEQ_BB_10</v>
          </cell>
          <cell r="B2670" t="str">
            <v>Home Eq BB 10Y</v>
          </cell>
          <cell r="C2670" t="str">
            <v>BRS_GOLD__5_SPREADS:BRS_GOLD__3_OTHER_SPREADS:BRS_GOLD__2_OSABS:USD_ABS:USD_ABS_HOMEEQ_BB_10</v>
          </cell>
          <cell r="D2670" t="str">
            <v>Spread Duration</v>
          </cell>
          <cell r="E2670" t="str">
            <v>Spread Yield (DxS)</v>
          </cell>
          <cell r="F2670" t="str">
            <v>Alternative</v>
          </cell>
          <cell r="G2670" t="str">
            <v>Other</v>
          </cell>
          <cell r="H2670" t="str">
            <v>ALTS</v>
          </cell>
          <cell r="I2670" t="str">
            <v>ABS - Swap Spread</v>
          </cell>
        </row>
        <row r="2671">
          <cell r="A2671" t="str">
            <v>USD_ABS_HOMEEQ_BB_2</v>
          </cell>
          <cell r="B2671" t="str">
            <v>Home Eq BB 2Y</v>
          </cell>
          <cell r="C2671" t="str">
            <v>BRS_GOLD__5_SPREADS:BRS_GOLD__3_OTHER_SPREADS:BRS_GOLD__2_OSABS:USD_ABS:USD_ABS_HOMEEQ_BB_2</v>
          </cell>
          <cell r="D2671" t="str">
            <v>Spread Duration</v>
          </cell>
          <cell r="E2671" t="str">
            <v>Spread Yield (DxS)</v>
          </cell>
          <cell r="F2671" t="str">
            <v>Alternative</v>
          </cell>
          <cell r="G2671" t="str">
            <v>Other</v>
          </cell>
          <cell r="H2671" t="str">
            <v>ALTS</v>
          </cell>
          <cell r="I2671" t="str">
            <v>ABS - Swap Spread</v>
          </cell>
        </row>
        <row r="2672">
          <cell r="A2672" t="str">
            <v>USD_ABS_HOMEEQ_BB_5</v>
          </cell>
          <cell r="B2672" t="str">
            <v>Home Eq BB 5Y</v>
          </cell>
          <cell r="C2672" t="str">
            <v>BRS_GOLD__5_SPREADS:BRS_GOLD__3_OTHER_SPREADS:BRS_GOLD__2_OSABS:USD_ABS:USD_ABS_HOMEEQ_BB_5</v>
          </cell>
          <cell r="D2672" t="str">
            <v>Spread Duration</v>
          </cell>
          <cell r="E2672" t="str">
            <v>Spread Yield (DxS)</v>
          </cell>
          <cell r="F2672" t="str">
            <v>Alternative</v>
          </cell>
          <cell r="G2672" t="str">
            <v>Other</v>
          </cell>
          <cell r="H2672" t="str">
            <v>ALTS</v>
          </cell>
          <cell r="I2672" t="str">
            <v>ABS - Swap Spread</v>
          </cell>
        </row>
        <row r="2673">
          <cell r="A2673" t="str">
            <v>USD_ABS_HOMEEQ_NR_10</v>
          </cell>
          <cell r="B2673" t="str">
            <v>Home Eq NR 10Y</v>
          </cell>
          <cell r="C2673" t="str">
            <v>BRS_GOLD__5_SPREADS:BRS_GOLD__3_OTHER_SPREADS:BRS_GOLD__2_OSABS:USD_ABS:USD_ABS_HOMEEQ_NR_10</v>
          </cell>
          <cell r="D2673" t="str">
            <v>Spread Duration</v>
          </cell>
          <cell r="E2673" t="str">
            <v>Spread Yield (DxS)</v>
          </cell>
          <cell r="F2673" t="str">
            <v>Alternative</v>
          </cell>
          <cell r="G2673" t="str">
            <v>Other</v>
          </cell>
          <cell r="H2673" t="str">
            <v>ALTS</v>
          </cell>
          <cell r="I2673" t="str">
            <v>ABS - Swap Spread</v>
          </cell>
        </row>
        <row r="2674">
          <cell r="A2674" t="str">
            <v>USD_ABS_HOMEEQ_NR_2</v>
          </cell>
          <cell r="B2674" t="str">
            <v>Home Eq NR 2Y</v>
          </cell>
          <cell r="C2674" t="str">
            <v>BRS_GOLD__5_SPREADS:BRS_GOLD__3_OTHER_SPREADS:BRS_GOLD__2_OSABS:USD_ABS:USD_ABS_HOMEEQ_NR_2</v>
          </cell>
          <cell r="D2674" t="str">
            <v>Spread Duration</v>
          </cell>
          <cell r="E2674" t="str">
            <v>Spread Yield (DxS)</v>
          </cell>
          <cell r="F2674" t="str">
            <v>Alternative</v>
          </cell>
          <cell r="G2674" t="str">
            <v>Other</v>
          </cell>
          <cell r="H2674" t="str">
            <v>ALTS</v>
          </cell>
          <cell r="I2674" t="str">
            <v>ABS - Swap Spread</v>
          </cell>
        </row>
        <row r="2675">
          <cell r="A2675" t="str">
            <v>USD_ABS_HOMEEQ_NR_5</v>
          </cell>
          <cell r="B2675" t="str">
            <v>Home Eq NR 5Y</v>
          </cell>
          <cell r="C2675" t="str">
            <v>BRS_GOLD__5_SPREADS:BRS_GOLD__3_OTHER_SPREADS:BRS_GOLD__2_OSABS:USD_ABS:USD_ABS_HOMEEQ_NR_5</v>
          </cell>
          <cell r="D2675" t="str">
            <v>Spread Duration</v>
          </cell>
          <cell r="E2675" t="str">
            <v>Spread Yield (DxS)</v>
          </cell>
          <cell r="F2675" t="str">
            <v>Alternative</v>
          </cell>
          <cell r="G2675" t="str">
            <v>Other</v>
          </cell>
          <cell r="H2675" t="str">
            <v>ALTS</v>
          </cell>
          <cell r="I2675" t="str">
            <v>ABS - Swap Spread</v>
          </cell>
        </row>
        <row r="2676">
          <cell r="A2676" t="str">
            <v>USD_ABS_MANUF_AA_10</v>
          </cell>
          <cell r="B2676" t="str">
            <v>Mfg Hous AA 10Y</v>
          </cell>
          <cell r="C2676" t="str">
            <v>BRS_GOLD__5_SPREADS:BRS_GOLD__3_OTHER_SPREADS:BRS_GOLD__2_OSABS:USD_ABS:USD_ABS_MANUF_AA_10</v>
          </cell>
          <cell r="D2676" t="str">
            <v>Spread Duration</v>
          </cell>
          <cell r="E2676" t="str">
            <v>Spread Yield (DxS)</v>
          </cell>
          <cell r="F2676" t="str">
            <v>Alternative</v>
          </cell>
          <cell r="G2676" t="str">
            <v>Other</v>
          </cell>
          <cell r="H2676" t="str">
            <v>ALTS</v>
          </cell>
          <cell r="I2676" t="str">
            <v>ABS - Swap Spread</v>
          </cell>
        </row>
        <row r="2677">
          <cell r="A2677" t="str">
            <v>USD_ABS_MANUF_AA_2</v>
          </cell>
          <cell r="B2677" t="str">
            <v>Mfg Hous AA 2Y</v>
          </cell>
          <cell r="C2677" t="str">
            <v>BRS_GOLD__5_SPREADS:BRS_GOLD__3_OTHER_SPREADS:BRS_GOLD__2_OSABS:USD_ABS:USD_ABS_MANUF_AA_2</v>
          </cell>
          <cell r="D2677" t="str">
            <v>Spread Duration</v>
          </cell>
          <cell r="E2677" t="str">
            <v>Spread Yield (DxS)</v>
          </cell>
          <cell r="F2677" t="str">
            <v>Alternative</v>
          </cell>
          <cell r="G2677" t="str">
            <v>Other</v>
          </cell>
          <cell r="H2677" t="str">
            <v>ALTS</v>
          </cell>
          <cell r="I2677" t="str">
            <v>ABS - Swap Spread</v>
          </cell>
        </row>
        <row r="2678">
          <cell r="A2678" t="str">
            <v>USD_ABS_MANUF_AA_5</v>
          </cell>
          <cell r="B2678" t="str">
            <v>Mfg Hous AA 5Y</v>
          </cell>
          <cell r="C2678" t="str">
            <v>BRS_GOLD__5_SPREADS:BRS_GOLD__3_OTHER_SPREADS:BRS_GOLD__2_OSABS:USD_ABS:USD_ABS_MANUF_AA_5</v>
          </cell>
          <cell r="D2678" t="str">
            <v>Spread Duration</v>
          </cell>
          <cell r="E2678" t="str">
            <v>Spread Yield (DxS)</v>
          </cell>
          <cell r="F2678" t="str">
            <v>Alternative</v>
          </cell>
          <cell r="G2678" t="str">
            <v>Other</v>
          </cell>
          <cell r="H2678" t="str">
            <v>ALTS</v>
          </cell>
          <cell r="I2678" t="str">
            <v>ABS - Swap Spread</v>
          </cell>
        </row>
        <row r="2679">
          <cell r="A2679" t="str">
            <v>USD_ABS_MANUF_A_10</v>
          </cell>
          <cell r="B2679" t="str">
            <v>Mfg Hous A 10Y</v>
          </cell>
          <cell r="C2679" t="str">
            <v>BRS_GOLD__5_SPREADS:BRS_GOLD__3_OTHER_SPREADS:BRS_GOLD__2_OSABS:USD_ABS:USD_ABS_MANUF_A_10</v>
          </cell>
          <cell r="D2679" t="str">
            <v>Spread Duration</v>
          </cell>
          <cell r="E2679" t="str">
            <v>Spread Yield (DxS)</v>
          </cell>
          <cell r="F2679" t="str">
            <v>Alternative</v>
          </cell>
          <cell r="G2679" t="str">
            <v>Other</v>
          </cell>
          <cell r="H2679" t="str">
            <v>ALTS</v>
          </cell>
          <cell r="I2679" t="str">
            <v>ABS - Swap Spread</v>
          </cell>
        </row>
        <row r="2680">
          <cell r="A2680" t="str">
            <v>USD_ABS_MANUF_A_2</v>
          </cell>
          <cell r="B2680" t="str">
            <v>Mfg Hous A 2Y</v>
          </cell>
          <cell r="C2680" t="str">
            <v>BRS_GOLD__5_SPREADS:BRS_GOLD__3_OTHER_SPREADS:BRS_GOLD__2_OSABS:USD_ABS:USD_ABS_MANUF_A_2</v>
          </cell>
          <cell r="D2680" t="str">
            <v>Spread Duration</v>
          </cell>
          <cell r="E2680" t="str">
            <v>Spread Yield (DxS)</v>
          </cell>
          <cell r="F2680" t="str">
            <v>Alternative</v>
          </cell>
          <cell r="G2680" t="str">
            <v>Other</v>
          </cell>
          <cell r="H2680" t="str">
            <v>ALTS</v>
          </cell>
          <cell r="I2680" t="str">
            <v>ABS - Swap Spread</v>
          </cell>
        </row>
        <row r="2681">
          <cell r="A2681" t="str">
            <v>USD_ABS_MANUF_A_5</v>
          </cell>
          <cell r="B2681" t="str">
            <v>Mfg Hous A 5Y</v>
          </cell>
          <cell r="C2681" t="str">
            <v>BRS_GOLD__5_SPREADS:BRS_GOLD__3_OTHER_SPREADS:BRS_GOLD__2_OSABS:USD_ABS:USD_ABS_MANUF_A_5</v>
          </cell>
          <cell r="D2681" t="str">
            <v>Spread Duration</v>
          </cell>
          <cell r="E2681" t="str">
            <v>Spread Yield (DxS)</v>
          </cell>
          <cell r="F2681" t="str">
            <v>Alternative</v>
          </cell>
          <cell r="G2681" t="str">
            <v>Other</v>
          </cell>
          <cell r="H2681" t="str">
            <v>ALTS</v>
          </cell>
          <cell r="I2681" t="str">
            <v>ABS - Swap Spread</v>
          </cell>
        </row>
        <row r="2682">
          <cell r="A2682" t="str">
            <v>USD_ABS_MANUF_BBB_10</v>
          </cell>
          <cell r="B2682" t="str">
            <v>Mfg Hous BBB 10Y</v>
          </cell>
          <cell r="C2682" t="str">
            <v>BRS_GOLD__5_SPREADS:BRS_GOLD__3_OTHER_SPREADS:BRS_GOLD__2_OSABS:USD_ABS:USD_ABS_MANUF_BBB_10</v>
          </cell>
          <cell r="D2682" t="str">
            <v>Spread Duration</v>
          </cell>
          <cell r="E2682" t="str">
            <v>Spread Yield (DxS)</v>
          </cell>
          <cell r="F2682" t="str">
            <v>Alternative</v>
          </cell>
          <cell r="G2682" t="str">
            <v>Other</v>
          </cell>
          <cell r="H2682" t="str">
            <v>ALTS</v>
          </cell>
          <cell r="I2682" t="str">
            <v>ABS - Swap Spread</v>
          </cell>
        </row>
        <row r="2683">
          <cell r="A2683" t="str">
            <v>USD_ABS_MANUF_BBB_10m</v>
          </cell>
          <cell r="B2683" t="str">
            <v>Mfg Hous BBB- 10Y</v>
          </cell>
          <cell r="C2683" t="str">
            <v>BRS_GOLD__5_SPREADS:BRS_GOLD__3_OTHER_SPREADS:BRS_GOLD__2_OSABS:USD_ABS:USD_ABS_MANUF_BBB_10m</v>
          </cell>
          <cell r="D2683" t="str">
            <v>Spread Duration</v>
          </cell>
          <cell r="E2683" t="str">
            <v>Spread Yield (DxS)</v>
          </cell>
          <cell r="F2683" t="str">
            <v>Alternative</v>
          </cell>
          <cell r="G2683" t="str">
            <v>Other</v>
          </cell>
          <cell r="H2683" t="str">
            <v>ALTS</v>
          </cell>
          <cell r="I2683" t="str">
            <v>ABS - Swap Spread</v>
          </cell>
        </row>
        <row r="2684">
          <cell r="A2684" t="str">
            <v>USD_ABS_MANUF_BBB_10p</v>
          </cell>
          <cell r="B2684" t="str">
            <v>Mfg Hous BBB+ 10Y</v>
          </cell>
          <cell r="C2684" t="str">
            <v>BRS_GOLD__5_SPREADS:BRS_GOLD__3_OTHER_SPREADS:BRS_GOLD__2_OSABS:USD_ABS:USD_ABS_MANUF_BBB_10p</v>
          </cell>
          <cell r="D2684" t="str">
            <v>Spread Duration</v>
          </cell>
          <cell r="E2684" t="str">
            <v>Spread Yield (DxS)</v>
          </cell>
          <cell r="F2684" t="str">
            <v>Alternative</v>
          </cell>
          <cell r="G2684" t="str">
            <v>Other</v>
          </cell>
          <cell r="H2684" t="str">
            <v>ALTS</v>
          </cell>
          <cell r="I2684" t="str">
            <v>ABS - Swap Spread</v>
          </cell>
        </row>
        <row r="2685">
          <cell r="A2685" t="str">
            <v>USD_ABS_MANUF_BBB_2</v>
          </cell>
          <cell r="B2685" t="str">
            <v>Mfg Hous BBB 2Y</v>
          </cell>
          <cell r="C2685" t="str">
            <v>BRS_GOLD__5_SPREADS:BRS_GOLD__3_OTHER_SPREADS:BRS_GOLD__2_OSABS:USD_ABS:USD_ABS_MANUF_BBB_2</v>
          </cell>
          <cell r="D2685" t="str">
            <v>Spread Duration</v>
          </cell>
          <cell r="E2685" t="str">
            <v>Spread Yield (DxS)</v>
          </cell>
          <cell r="F2685" t="str">
            <v>Alternative</v>
          </cell>
          <cell r="G2685" t="str">
            <v>Other</v>
          </cell>
          <cell r="H2685" t="str">
            <v>ALTS</v>
          </cell>
          <cell r="I2685" t="str">
            <v>ABS - Swap Spread</v>
          </cell>
        </row>
        <row r="2686">
          <cell r="A2686" t="str">
            <v>USD_ABS_MANUF_BBB_2m</v>
          </cell>
          <cell r="B2686" t="str">
            <v>Mfg Hous BBB- 2Y</v>
          </cell>
          <cell r="C2686" t="str">
            <v>BRS_GOLD__5_SPREADS:BRS_GOLD__3_OTHER_SPREADS:BRS_GOLD__2_OSABS:USD_ABS:USD_ABS_MANUF_BBB_2m</v>
          </cell>
          <cell r="D2686" t="str">
            <v>Spread Duration</v>
          </cell>
          <cell r="E2686" t="str">
            <v>Spread Yield (DxS)</v>
          </cell>
          <cell r="F2686" t="str">
            <v>Alternative</v>
          </cell>
          <cell r="G2686" t="str">
            <v>Other</v>
          </cell>
          <cell r="H2686" t="str">
            <v>ALTS</v>
          </cell>
          <cell r="I2686" t="str">
            <v>ABS - Swap Spread</v>
          </cell>
        </row>
        <row r="2687">
          <cell r="A2687" t="str">
            <v>USD_ABS_MANUF_BBB_2p</v>
          </cell>
          <cell r="B2687" t="str">
            <v>Mfg Hous BBB+ 2Y</v>
          </cell>
          <cell r="C2687" t="str">
            <v>BRS_GOLD__5_SPREADS:BRS_GOLD__3_OTHER_SPREADS:BRS_GOLD__2_OSABS:USD_ABS:USD_ABS_MANUF_BBB_2p</v>
          </cell>
          <cell r="D2687" t="str">
            <v>Spread Duration</v>
          </cell>
          <cell r="E2687" t="str">
            <v>Spread Yield (DxS)</v>
          </cell>
          <cell r="F2687" t="str">
            <v>Alternative</v>
          </cell>
          <cell r="G2687" t="str">
            <v>Other</v>
          </cell>
          <cell r="H2687" t="str">
            <v>ALTS</v>
          </cell>
          <cell r="I2687" t="str">
            <v>ABS - Swap Spread</v>
          </cell>
        </row>
        <row r="2688">
          <cell r="A2688" t="str">
            <v>USD_ABS_MANUF_BBB_5</v>
          </cell>
          <cell r="B2688" t="str">
            <v>Mfg Hous BBB 5Y</v>
          </cell>
          <cell r="C2688" t="str">
            <v>BRS_GOLD__5_SPREADS:BRS_GOLD__3_OTHER_SPREADS:BRS_GOLD__2_OSABS:USD_ABS:USD_ABS_MANUF_BBB_5</v>
          </cell>
          <cell r="D2688" t="str">
            <v>Spread Duration</v>
          </cell>
          <cell r="E2688" t="str">
            <v>Spread Yield (DxS)</v>
          </cell>
          <cell r="F2688" t="str">
            <v>Alternative</v>
          </cell>
          <cell r="G2688" t="str">
            <v>Other</v>
          </cell>
          <cell r="H2688" t="str">
            <v>ALTS</v>
          </cell>
          <cell r="I2688" t="str">
            <v>ABS - Swap Spread</v>
          </cell>
        </row>
        <row r="2689">
          <cell r="A2689" t="str">
            <v>USD_ABS_MANUF_BBB_5m</v>
          </cell>
          <cell r="B2689" t="str">
            <v>Mfg Hous BBB- 5Y</v>
          </cell>
          <cell r="C2689" t="str">
            <v>BRS_GOLD__5_SPREADS:BRS_GOLD__3_OTHER_SPREADS:BRS_GOLD__2_OSABS:USD_ABS:USD_ABS_MANUF_BBB_5m</v>
          </cell>
          <cell r="D2689" t="str">
            <v>Spread Duration</v>
          </cell>
          <cell r="E2689" t="str">
            <v>Spread Yield (DxS)</v>
          </cell>
          <cell r="F2689" t="str">
            <v>Alternative</v>
          </cell>
          <cell r="G2689" t="str">
            <v>Other</v>
          </cell>
          <cell r="H2689" t="str">
            <v>ALTS</v>
          </cell>
          <cell r="I2689" t="str">
            <v>ABS - Swap Spread</v>
          </cell>
        </row>
        <row r="2690">
          <cell r="A2690" t="str">
            <v>USD_ABS_MANUF_BBB_5p</v>
          </cell>
          <cell r="B2690" t="str">
            <v>Mfg Hous BBB+ 5Y</v>
          </cell>
          <cell r="C2690" t="str">
            <v>BRS_GOLD__5_SPREADS:BRS_GOLD__3_OTHER_SPREADS:BRS_GOLD__2_OSABS:USD_ABS:USD_ABS_MANUF_BBB_5p</v>
          </cell>
          <cell r="D2690" t="str">
            <v>Spread Duration</v>
          </cell>
          <cell r="E2690" t="str">
            <v>Spread Yield (DxS)</v>
          </cell>
          <cell r="F2690" t="str">
            <v>Alternative</v>
          </cell>
          <cell r="G2690" t="str">
            <v>Other</v>
          </cell>
          <cell r="H2690" t="str">
            <v>ALTS</v>
          </cell>
          <cell r="I2690" t="str">
            <v>ABS - Swap Spread</v>
          </cell>
        </row>
        <row r="2691">
          <cell r="A2691" t="str">
            <v>USD_ABS_MANUF_BB_10</v>
          </cell>
          <cell r="B2691" t="str">
            <v>Mfg Hous BB 10Y</v>
          </cell>
          <cell r="C2691" t="str">
            <v>BRS_GOLD__5_SPREADS:BRS_GOLD__3_OTHER_SPREADS:BRS_GOLD__2_OSABS:USD_ABS:USD_ABS_MANUF_BB_10</v>
          </cell>
          <cell r="D2691" t="str">
            <v>Spread Duration</v>
          </cell>
          <cell r="E2691" t="str">
            <v>Spread Yield (DxS)</v>
          </cell>
          <cell r="F2691" t="str">
            <v>Alternative</v>
          </cell>
          <cell r="G2691" t="str">
            <v>Other</v>
          </cell>
          <cell r="H2691" t="str">
            <v>ALTS</v>
          </cell>
          <cell r="I2691" t="str">
            <v>ABS - Swap Spread</v>
          </cell>
        </row>
        <row r="2692">
          <cell r="A2692" t="str">
            <v>USD_ABS_MANUF_BB_2</v>
          </cell>
          <cell r="B2692" t="str">
            <v>Mfg Hous BB 2Y</v>
          </cell>
          <cell r="C2692" t="str">
            <v>BRS_GOLD__5_SPREADS:BRS_GOLD__3_OTHER_SPREADS:BRS_GOLD__2_OSABS:USD_ABS:USD_ABS_MANUF_BB_2</v>
          </cell>
          <cell r="D2692" t="str">
            <v>Spread Duration</v>
          </cell>
          <cell r="E2692" t="str">
            <v>Spread Yield (DxS)</v>
          </cell>
          <cell r="F2692" t="str">
            <v>Alternative</v>
          </cell>
          <cell r="G2692" t="str">
            <v>Other</v>
          </cell>
          <cell r="H2692" t="str">
            <v>ALTS</v>
          </cell>
          <cell r="I2692" t="str">
            <v>ABS - Swap Spread</v>
          </cell>
        </row>
        <row r="2693">
          <cell r="A2693" t="str">
            <v>USD_ABS_MANUF_BB_5</v>
          </cell>
          <cell r="B2693" t="str">
            <v>Mfg Hous BB 5Y</v>
          </cell>
          <cell r="C2693" t="str">
            <v>BRS_GOLD__5_SPREADS:BRS_GOLD__3_OTHER_SPREADS:BRS_GOLD__2_OSABS:USD_ABS:USD_ABS_MANUF_BB_5</v>
          </cell>
          <cell r="D2693" t="str">
            <v>Spread Duration</v>
          </cell>
          <cell r="E2693" t="str">
            <v>Spread Yield (DxS)</v>
          </cell>
          <cell r="F2693" t="str">
            <v>Alternative</v>
          </cell>
          <cell r="G2693" t="str">
            <v>Other</v>
          </cell>
          <cell r="H2693" t="str">
            <v>ALTS</v>
          </cell>
          <cell r="I2693" t="str">
            <v>ABS - Swap Spread</v>
          </cell>
        </row>
        <row r="2694">
          <cell r="A2694" t="str">
            <v>USD_ABS_MANUF_NR_10</v>
          </cell>
          <cell r="B2694" t="str">
            <v>Mfg Hous NR 10Y</v>
          </cell>
          <cell r="C2694" t="str">
            <v>BRS_GOLD__5_SPREADS:BRS_GOLD__3_OTHER_SPREADS:BRS_GOLD__2_OSABS:USD_ABS:USD_ABS_MANUF_NR_10</v>
          </cell>
          <cell r="D2694" t="str">
            <v>Spread Duration</v>
          </cell>
          <cell r="E2694" t="str">
            <v>Spread Yield (DxS)</v>
          </cell>
          <cell r="F2694" t="str">
            <v>Alternative</v>
          </cell>
          <cell r="G2694" t="str">
            <v>Other</v>
          </cell>
          <cell r="H2694" t="str">
            <v>ALTS</v>
          </cell>
          <cell r="I2694" t="str">
            <v>ABS - Swap Spread</v>
          </cell>
        </row>
        <row r="2695">
          <cell r="A2695" t="str">
            <v>USD_ABS_MANUF_NR_2</v>
          </cell>
          <cell r="B2695" t="str">
            <v>Mfg Hous NR 2Y</v>
          </cell>
          <cell r="C2695" t="str">
            <v>BRS_GOLD__5_SPREADS:BRS_GOLD__3_OTHER_SPREADS:BRS_GOLD__2_OSABS:USD_ABS:USD_ABS_MANUF_NR_2</v>
          </cell>
          <cell r="D2695" t="str">
            <v>Spread Duration</v>
          </cell>
          <cell r="E2695" t="str">
            <v>Spread Yield (DxS)</v>
          </cell>
          <cell r="F2695" t="str">
            <v>Alternative</v>
          </cell>
          <cell r="G2695" t="str">
            <v>Other</v>
          </cell>
          <cell r="H2695" t="str">
            <v>ALTS</v>
          </cell>
          <cell r="I2695" t="str">
            <v>ABS - Swap Spread</v>
          </cell>
        </row>
        <row r="2696">
          <cell r="A2696" t="str">
            <v>USD_ABS_MANUF_NR_5</v>
          </cell>
          <cell r="B2696" t="str">
            <v>Mfg Hous NR 5Y</v>
          </cell>
          <cell r="C2696" t="str">
            <v>BRS_GOLD__5_SPREADS:BRS_GOLD__3_OTHER_SPREADS:BRS_GOLD__2_OSABS:USD_ABS:USD_ABS_MANUF_NR_5</v>
          </cell>
          <cell r="D2696" t="str">
            <v>Spread Duration</v>
          </cell>
          <cell r="E2696" t="str">
            <v>Spread Yield (DxS)</v>
          </cell>
          <cell r="F2696" t="str">
            <v>Alternative</v>
          </cell>
          <cell r="G2696" t="str">
            <v>Other</v>
          </cell>
          <cell r="H2696" t="str">
            <v>ALTS</v>
          </cell>
          <cell r="I2696" t="str">
            <v>ABS - Swap Spread</v>
          </cell>
        </row>
        <row r="2697">
          <cell r="A2697" t="str">
            <v>USD_ABS_SLOAN_FLT_AA_2</v>
          </cell>
          <cell r="B2697" t="str">
            <v>Flt S Loan AA 2Y</v>
          </cell>
          <cell r="C2697" t="str">
            <v>BRS_GOLD__5_SPREADS:BRS_GOLD__3_OTHER_SPREADS:BRS_GOLD__2_OSABS:USD_ABS:USD_ABS_SLOAN_FLT_AA_2</v>
          </cell>
          <cell r="D2697" t="str">
            <v>Spread Duration</v>
          </cell>
          <cell r="E2697" t="str">
            <v>Spread Yield (DxS)</v>
          </cell>
          <cell r="F2697" t="str">
            <v>Alternative</v>
          </cell>
          <cell r="G2697" t="str">
            <v>Other</v>
          </cell>
          <cell r="H2697" t="str">
            <v>ALTS</v>
          </cell>
          <cell r="I2697" t="str">
            <v>ABS - Swap Spread</v>
          </cell>
        </row>
        <row r="2698">
          <cell r="A2698" t="str">
            <v>USD_ABS_SLOAN_FLT_AA_5</v>
          </cell>
          <cell r="B2698" t="str">
            <v>Flt S Loan AA 5Y</v>
          </cell>
          <cell r="C2698" t="str">
            <v>BRS_GOLD__5_SPREADS:BRS_GOLD__3_OTHER_SPREADS:BRS_GOLD__2_OSABS:USD_ABS:USD_ABS_SLOAN_FLT_AA_5</v>
          </cell>
          <cell r="D2698" t="str">
            <v>Spread Duration</v>
          </cell>
          <cell r="E2698" t="str">
            <v>Spread Yield (DxS)</v>
          </cell>
          <cell r="F2698" t="str">
            <v>Alternative</v>
          </cell>
          <cell r="G2698" t="str">
            <v>Other</v>
          </cell>
          <cell r="H2698" t="str">
            <v>ALTS</v>
          </cell>
          <cell r="I2698" t="str">
            <v>ABS - Swap Spread</v>
          </cell>
        </row>
        <row r="2699">
          <cell r="A2699" t="str">
            <v>USD_ABS_SLOAN_FLT_A_10</v>
          </cell>
          <cell r="B2699" t="str">
            <v>Flt S Loan A 10Y</v>
          </cell>
          <cell r="C2699" t="str">
            <v>BRS_GOLD__5_SPREADS:BRS_GOLD__3_OTHER_SPREADS:BRS_GOLD__2_OSABS:USD_ABS:USD_ABS_SLOAN_FLT_A_10</v>
          </cell>
          <cell r="D2699" t="str">
            <v>Spread Duration</v>
          </cell>
          <cell r="E2699" t="str">
            <v>Spread Yield (DxS)</v>
          </cell>
          <cell r="F2699" t="str">
            <v>Alternative</v>
          </cell>
          <cell r="G2699" t="str">
            <v>Other</v>
          </cell>
          <cell r="H2699" t="str">
            <v>ALTS</v>
          </cell>
          <cell r="I2699" t="str">
            <v>ABS - Swap Spread</v>
          </cell>
        </row>
        <row r="2700">
          <cell r="A2700" t="str">
            <v>USD_ABS_SLOAN_FLT_A_2</v>
          </cell>
          <cell r="B2700" t="str">
            <v>Flt S Loan A 2Y</v>
          </cell>
          <cell r="C2700" t="str">
            <v>BRS_GOLD__5_SPREADS:BRS_GOLD__3_OTHER_SPREADS:BRS_GOLD__2_OSABS:USD_ABS:USD_ABS_SLOAN_FLT_A_2</v>
          </cell>
          <cell r="D2700" t="str">
            <v>Spread Duration</v>
          </cell>
          <cell r="E2700" t="str">
            <v>Spread Yield (DxS)</v>
          </cell>
          <cell r="F2700" t="str">
            <v>Alternative</v>
          </cell>
          <cell r="G2700" t="str">
            <v>Other</v>
          </cell>
          <cell r="H2700" t="str">
            <v>ALTS</v>
          </cell>
          <cell r="I2700" t="str">
            <v>ABS - Swap Spread</v>
          </cell>
        </row>
        <row r="2701">
          <cell r="A2701" t="str">
            <v>USD_ABS_SLOAN_FLT_A_5</v>
          </cell>
          <cell r="B2701" t="str">
            <v>Flt S Loan A 5Y</v>
          </cell>
          <cell r="C2701" t="str">
            <v>BRS_GOLD__5_SPREADS:BRS_GOLD__3_OTHER_SPREADS:BRS_GOLD__2_OSABS:USD_ABS:USD_ABS_SLOAN_FLT_A_5</v>
          </cell>
          <cell r="D2701" t="str">
            <v>Spread Duration</v>
          </cell>
          <cell r="E2701" t="str">
            <v>Spread Yield (DxS)</v>
          </cell>
          <cell r="F2701" t="str">
            <v>Alternative</v>
          </cell>
          <cell r="G2701" t="str">
            <v>Other</v>
          </cell>
          <cell r="H2701" t="str">
            <v>ALTS</v>
          </cell>
          <cell r="I2701" t="str">
            <v>ABS - Swap Spread</v>
          </cell>
        </row>
        <row r="2702">
          <cell r="A2702" t="str">
            <v>USD_ABS_SLOAN_FLT_BBB_10</v>
          </cell>
          <cell r="B2702" t="str">
            <v>Flt S Loan BBB 10Y</v>
          </cell>
          <cell r="C2702" t="str">
            <v>BRS_GOLD__5_SPREADS:BRS_GOLD__3_OTHER_SPREADS:BRS_GOLD__2_OSABS:USD_ABS:USD_ABS_SLOAN_FLT_BBB_10</v>
          </cell>
          <cell r="D2702" t="str">
            <v>Spread Duration</v>
          </cell>
          <cell r="E2702" t="str">
            <v>Spread Yield (DxS)</v>
          </cell>
          <cell r="F2702" t="str">
            <v>Alternative</v>
          </cell>
          <cell r="G2702" t="str">
            <v>Other</v>
          </cell>
          <cell r="H2702" t="str">
            <v>ALTS</v>
          </cell>
          <cell r="I2702" t="str">
            <v>ABS - Swap Spread</v>
          </cell>
        </row>
        <row r="2703">
          <cell r="A2703" t="str">
            <v>USD_ABS_SLOAN_FLT_BBB_10m</v>
          </cell>
          <cell r="B2703" t="str">
            <v>Flt S Loan BBB- 10Y</v>
          </cell>
          <cell r="C2703" t="str">
            <v>BRS_GOLD__5_SPREADS:BRS_GOLD__3_OTHER_SPREADS:BRS_GOLD__2_OSABS:USD_ABS:USD_ABS_SLOAN_FLT_BBB_10m</v>
          </cell>
          <cell r="D2703" t="str">
            <v>Spread Duration</v>
          </cell>
          <cell r="E2703" t="str">
            <v>Spread Yield (DxS)</v>
          </cell>
          <cell r="F2703" t="str">
            <v>Alternative</v>
          </cell>
          <cell r="G2703" t="str">
            <v>Other</v>
          </cell>
          <cell r="H2703" t="str">
            <v>ALTS</v>
          </cell>
          <cell r="I2703" t="str">
            <v>ABS - Swap Spread</v>
          </cell>
        </row>
        <row r="2704">
          <cell r="A2704" t="str">
            <v>USD_ABS_SLOAN_FLT_BBB_10p</v>
          </cell>
          <cell r="B2704" t="str">
            <v>Flt S Loan BBB+ 10Y</v>
          </cell>
          <cell r="C2704" t="str">
            <v>BRS_GOLD__5_SPREADS:BRS_GOLD__3_OTHER_SPREADS:BRS_GOLD__2_OSABS:USD_ABS:USD_ABS_SLOAN_FLT_BBB_10p</v>
          </cell>
          <cell r="D2704" t="str">
            <v>Spread Duration</v>
          </cell>
          <cell r="E2704" t="str">
            <v>Spread Yield (DxS)</v>
          </cell>
          <cell r="F2704" t="str">
            <v>Alternative</v>
          </cell>
          <cell r="G2704" t="str">
            <v>Other</v>
          </cell>
          <cell r="H2704" t="str">
            <v>ALTS</v>
          </cell>
          <cell r="I2704" t="str">
            <v>ABS - Swap Spread</v>
          </cell>
        </row>
        <row r="2705">
          <cell r="A2705" t="str">
            <v>USD_ABS_SLOAN_FLT_BBB_2</v>
          </cell>
          <cell r="B2705" t="str">
            <v>Flt S Loan BBB 2Y</v>
          </cell>
          <cell r="C2705" t="str">
            <v>BRS_GOLD__5_SPREADS:BRS_GOLD__3_OTHER_SPREADS:BRS_GOLD__2_OSABS:USD_ABS:USD_ABS_SLOAN_FLT_BBB_2</v>
          </cell>
          <cell r="D2705" t="str">
            <v>Spread Duration</v>
          </cell>
          <cell r="E2705" t="str">
            <v>Spread Yield (DxS)</v>
          </cell>
          <cell r="F2705" t="str">
            <v>Alternative</v>
          </cell>
          <cell r="G2705" t="str">
            <v>Other</v>
          </cell>
          <cell r="H2705" t="str">
            <v>ALTS</v>
          </cell>
          <cell r="I2705" t="str">
            <v>ABS - Swap Spread</v>
          </cell>
        </row>
        <row r="2706">
          <cell r="A2706" t="str">
            <v>USD_ABS_SLOAN_FLT_BBB_2m</v>
          </cell>
          <cell r="B2706" t="str">
            <v>Flt S Loan BBB- 2Y</v>
          </cell>
          <cell r="C2706" t="str">
            <v>BRS_GOLD__5_SPREADS:BRS_GOLD__3_OTHER_SPREADS:BRS_GOLD__2_OSABS:USD_ABS:USD_ABS_SLOAN_FLT_BBB_2m</v>
          </cell>
          <cell r="D2706" t="str">
            <v>Spread Duration</v>
          </cell>
          <cell r="E2706" t="str">
            <v>Spread Yield (DxS)</v>
          </cell>
          <cell r="F2706" t="str">
            <v>Alternative</v>
          </cell>
          <cell r="G2706" t="str">
            <v>Other</v>
          </cell>
          <cell r="H2706" t="str">
            <v>ALTS</v>
          </cell>
          <cell r="I2706" t="str">
            <v>ABS - Swap Spread</v>
          </cell>
        </row>
        <row r="2707">
          <cell r="A2707" t="str">
            <v>USD_ABS_SLOAN_FLT_BBB_2p</v>
          </cell>
          <cell r="B2707" t="str">
            <v>Flt S Loan BBB+ 2Y</v>
          </cell>
          <cell r="C2707" t="str">
            <v>BRS_GOLD__5_SPREADS:BRS_GOLD__3_OTHER_SPREADS:BRS_GOLD__2_OSABS:USD_ABS:USD_ABS_SLOAN_FLT_BBB_2p</v>
          </cell>
          <cell r="D2707" t="str">
            <v>Spread Duration</v>
          </cell>
          <cell r="E2707" t="str">
            <v>Spread Yield (DxS)</v>
          </cell>
          <cell r="F2707" t="str">
            <v>Alternative</v>
          </cell>
          <cell r="G2707" t="str">
            <v>Other</v>
          </cell>
          <cell r="H2707" t="str">
            <v>ALTS</v>
          </cell>
          <cell r="I2707" t="str">
            <v>ABS - Swap Spread</v>
          </cell>
        </row>
        <row r="2708">
          <cell r="A2708" t="str">
            <v>USD_ABS_SLOAN_FLT_BBB_5</v>
          </cell>
          <cell r="B2708" t="str">
            <v>Flt S Loan BBB 5Y</v>
          </cell>
          <cell r="C2708" t="str">
            <v>BRS_GOLD__5_SPREADS:BRS_GOLD__3_OTHER_SPREADS:BRS_GOLD__2_OSABS:USD_ABS:USD_ABS_SLOAN_FLT_BBB_5</v>
          </cell>
          <cell r="D2708" t="str">
            <v>Spread Duration</v>
          </cell>
          <cell r="E2708" t="str">
            <v>Spread Yield (DxS)</v>
          </cell>
          <cell r="F2708" t="str">
            <v>Alternative</v>
          </cell>
          <cell r="G2708" t="str">
            <v>Other</v>
          </cell>
          <cell r="H2708" t="str">
            <v>ALTS</v>
          </cell>
          <cell r="I2708" t="str">
            <v>ABS - Swap Spread</v>
          </cell>
        </row>
        <row r="2709">
          <cell r="A2709" t="str">
            <v>USD_ABS_SLOAN_FLT_BBB_5m</v>
          </cell>
          <cell r="B2709" t="str">
            <v>Flt S Loan BBB- 5Y</v>
          </cell>
          <cell r="C2709" t="str">
            <v>BRS_GOLD__5_SPREADS:BRS_GOLD__3_OTHER_SPREADS:BRS_GOLD__2_OSABS:USD_ABS:USD_ABS_SLOAN_FLT_BBB_5m</v>
          </cell>
          <cell r="D2709" t="str">
            <v>Spread Duration</v>
          </cell>
          <cell r="E2709" t="str">
            <v>Spread Yield (DxS)</v>
          </cell>
          <cell r="F2709" t="str">
            <v>Alternative</v>
          </cell>
          <cell r="G2709" t="str">
            <v>Other</v>
          </cell>
          <cell r="H2709" t="str">
            <v>ALTS</v>
          </cell>
          <cell r="I2709" t="str">
            <v>ABS - Swap Spread</v>
          </cell>
        </row>
        <row r="2710">
          <cell r="A2710" t="str">
            <v>USD_ABS_SLOAN_FLT_BBB_5p</v>
          </cell>
          <cell r="B2710" t="str">
            <v>Flt S Loan BBB+ 5Y</v>
          </cell>
          <cell r="C2710" t="str">
            <v>BRS_GOLD__5_SPREADS:BRS_GOLD__3_OTHER_SPREADS:BRS_GOLD__2_OSABS:USD_ABS:USD_ABS_SLOAN_FLT_BBB_5p</v>
          </cell>
          <cell r="D2710" t="str">
            <v>Spread Duration</v>
          </cell>
          <cell r="E2710" t="str">
            <v>Spread Yield (DxS)</v>
          </cell>
          <cell r="F2710" t="str">
            <v>Alternative</v>
          </cell>
          <cell r="G2710" t="str">
            <v>Other</v>
          </cell>
          <cell r="H2710" t="str">
            <v>ALTS</v>
          </cell>
          <cell r="I2710" t="str">
            <v>ABS - Swap Spread</v>
          </cell>
        </row>
        <row r="2711">
          <cell r="A2711" t="str">
            <v>USD_ABS_SLOAN_FLT_BB_10</v>
          </cell>
          <cell r="B2711" t="str">
            <v>Flt S Loan BB 10Y</v>
          </cell>
          <cell r="C2711" t="str">
            <v>BRS_GOLD__5_SPREADS:BRS_GOLD__3_OTHER_SPREADS:BRS_GOLD__2_OSABS:USD_ABS:USD_ABS_SLOAN_FLT_BB_10</v>
          </cell>
          <cell r="D2711" t="str">
            <v>Spread Duration</v>
          </cell>
          <cell r="E2711" t="str">
            <v>Spread Yield (DxS)</v>
          </cell>
          <cell r="F2711" t="str">
            <v>Alternative</v>
          </cell>
          <cell r="G2711" t="str">
            <v>Other</v>
          </cell>
          <cell r="H2711" t="str">
            <v>ALTS</v>
          </cell>
          <cell r="I2711" t="str">
            <v>ABS - Swap Spread</v>
          </cell>
        </row>
        <row r="2712">
          <cell r="A2712" t="str">
            <v>USD_ABS_SLOAN_FLT_BB_2</v>
          </cell>
          <cell r="B2712" t="str">
            <v>Flt S Loan BB 2Y</v>
          </cell>
          <cell r="C2712" t="str">
            <v>BRS_GOLD__5_SPREADS:BRS_GOLD__3_OTHER_SPREADS:BRS_GOLD__2_OSABS:USD_ABS:USD_ABS_SLOAN_FLT_BB_2</v>
          </cell>
          <cell r="D2712" t="str">
            <v>Spread Duration</v>
          </cell>
          <cell r="E2712" t="str">
            <v>Spread Yield (DxS)</v>
          </cell>
          <cell r="F2712" t="str">
            <v>Alternative</v>
          </cell>
          <cell r="G2712" t="str">
            <v>Other</v>
          </cell>
          <cell r="H2712" t="str">
            <v>ALTS</v>
          </cell>
          <cell r="I2712" t="str">
            <v>ABS - Swap Spread</v>
          </cell>
        </row>
        <row r="2713">
          <cell r="A2713" t="str">
            <v>USD_ABS_SLOAN_FLT_BB_5</v>
          </cell>
          <cell r="B2713" t="str">
            <v>Flt S Loan BB 5Y</v>
          </cell>
          <cell r="C2713" t="str">
            <v>BRS_GOLD__5_SPREADS:BRS_GOLD__3_OTHER_SPREADS:BRS_GOLD__2_OSABS:USD_ABS:USD_ABS_SLOAN_FLT_BB_5</v>
          </cell>
          <cell r="D2713" t="str">
            <v>Spread Duration</v>
          </cell>
          <cell r="E2713" t="str">
            <v>Spread Yield (DxS)</v>
          </cell>
          <cell r="F2713" t="str">
            <v>Alternative</v>
          </cell>
          <cell r="G2713" t="str">
            <v>Other</v>
          </cell>
          <cell r="H2713" t="str">
            <v>ALTS</v>
          </cell>
          <cell r="I2713" t="str">
            <v>ABS - Swap Spread</v>
          </cell>
        </row>
        <row r="2714">
          <cell r="A2714" t="str">
            <v>USD_ABS_SLOAN_FLT_NR_10</v>
          </cell>
          <cell r="B2714" t="str">
            <v>Flt S Loan NR 10Y</v>
          </cell>
          <cell r="C2714" t="str">
            <v>BRS_GOLD__5_SPREADS:BRS_GOLD__3_OTHER_SPREADS:BRS_GOLD__2_OSABS:USD_ABS:USD_ABS_SLOAN_FLT_NR_10</v>
          </cell>
          <cell r="D2714" t="str">
            <v>Spread Duration</v>
          </cell>
          <cell r="E2714" t="str">
            <v>Spread Yield (DxS)</v>
          </cell>
          <cell r="F2714" t="str">
            <v>Alternative</v>
          </cell>
          <cell r="G2714" t="str">
            <v>Other</v>
          </cell>
          <cell r="H2714" t="str">
            <v>ALTS</v>
          </cell>
          <cell r="I2714" t="str">
            <v>ABS - Swap Spread</v>
          </cell>
        </row>
        <row r="2715">
          <cell r="A2715" t="str">
            <v>USD_ABS_SLOAN_FLT_NR_2</v>
          </cell>
          <cell r="B2715" t="str">
            <v>Flt S Loan NR 2Y</v>
          </cell>
          <cell r="C2715" t="str">
            <v>BRS_GOLD__5_SPREADS:BRS_GOLD__3_OTHER_SPREADS:BRS_GOLD__2_OSABS:USD_ABS:USD_ABS_SLOAN_FLT_NR_2</v>
          </cell>
          <cell r="D2715" t="str">
            <v>Spread Duration</v>
          </cell>
          <cell r="E2715" t="str">
            <v>Spread Yield (DxS)</v>
          </cell>
          <cell r="F2715" t="str">
            <v>Alternative</v>
          </cell>
          <cell r="G2715" t="str">
            <v>Other</v>
          </cell>
          <cell r="H2715" t="str">
            <v>ALTS</v>
          </cell>
          <cell r="I2715" t="str">
            <v>ABS - Swap Spread</v>
          </cell>
        </row>
        <row r="2716">
          <cell r="A2716" t="str">
            <v>USD_ABS_SLOAN_FLT_NR_5</v>
          </cell>
          <cell r="B2716" t="str">
            <v>Flt S Loan NR 5Y</v>
          </cell>
          <cell r="C2716" t="str">
            <v>BRS_GOLD__5_SPREADS:BRS_GOLD__3_OTHER_SPREADS:BRS_GOLD__2_OSABS:USD_ABS:USD_ABS_SLOAN_FLT_NR_5</v>
          </cell>
          <cell r="D2716" t="str">
            <v>Spread Duration</v>
          </cell>
          <cell r="E2716" t="str">
            <v>Spread Yield (DxS)</v>
          </cell>
          <cell r="F2716" t="str">
            <v>Alternative</v>
          </cell>
          <cell r="G2716" t="str">
            <v>Other</v>
          </cell>
          <cell r="H2716" t="str">
            <v>ALTS</v>
          </cell>
          <cell r="I2716" t="str">
            <v>ABS - Swap Spread</v>
          </cell>
        </row>
        <row r="2717">
          <cell r="A2717" t="str">
            <v>LEH_ABS</v>
          </cell>
          <cell r="B2717" t="str">
            <v>Lehman ABS OAS</v>
          </cell>
          <cell r="C2717" t="str">
            <v>BRS_GOLD__5_SPREADS:BRS_GOLD__3_OTHER_SPREADS:BRS_GOLD__2_OSABS:USD_ABS:LEH_ABS</v>
          </cell>
          <cell r="D2717" t="str">
            <v>Spread Duration</v>
          </cell>
          <cell r="E2717" t="str">
            <v>Spread Yield (DxS)</v>
          </cell>
          <cell r="F2717" t="str">
            <v>Alternative</v>
          </cell>
          <cell r="G2717" t="str">
            <v>Other</v>
          </cell>
          <cell r="H2717" t="str">
            <v>ALTS</v>
          </cell>
          <cell r="I2717" t="str">
            <v>ABS - Swap Spread</v>
          </cell>
        </row>
        <row r="2718">
          <cell r="A2718" t="str">
            <v>ABX_HE_06_1_AAA</v>
          </cell>
          <cell r="B2718" t="str">
            <v>ABX.HE.06-1.AAA</v>
          </cell>
          <cell r="C2718" t="str">
            <v>BRS_GOLD__5_SPREADS:BRS_GOLD__3_OTHER_SPREADS:BRS_GOLD__2_OSABS:USD_ABS:ABX_HE_06_1_AAA</v>
          </cell>
          <cell r="D2718" t="str">
            <v>Spread Duration</v>
          </cell>
          <cell r="E2718" t="str">
            <v>Spread Yield (DxS)</v>
          </cell>
          <cell r="F2718" t="str">
            <v>Alternative</v>
          </cell>
          <cell r="G2718" t="str">
            <v>Other</v>
          </cell>
          <cell r="H2718" t="str">
            <v>ALTS</v>
          </cell>
          <cell r="I2718" t="str">
            <v>ABS - Swap Spread</v>
          </cell>
        </row>
        <row r="2719">
          <cell r="A2719" t="str">
            <v>ABX_HE_06_1_AA</v>
          </cell>
          <cell r="B2719" t="str">
            <v>ABX.HE.06-1.AA</v>
          </cell>
          <cell r="C2719" t="str">
            <v>BRS_GOLD__5_SPREADS:BRS_GOLD__3_OTHER_SPREADS:BRS_GOLD__2_OSABS:USD_ABS:ABX_HE_06_1_AA</v>
          </cell>
          <cell r="D2719" t="str">
            <v>Spread Duration</v>
          </cell>
          <cell r="E2719" t="str">
            <v>Spread Yield (DxS)</v>
          </cell>
          <cell r="F2719" t="str">
            <v>Alternative</v>
          </cell>
          <cell r="G2719" t="str">
            <v>Other</v>
          </cell>
          <cell r="H2719" t="str">
            <v>ALTS</v>
          </cell>
          <cell r="I2719" t="str">
            <v>ABS - Swap Spread</v>
          </cell>
        </row>
        <row r="2720">
          <cell r="A2720" t="str">
            <v>ABX_HE_06_1_A</v>
          </cell>
          <cell r="B2720" t="str">
            <v>ABX.HE.06-1.A</v>
          </cell>
          <cell r="C2720" t="str">
            <v>BRS_GOLD__5_SPREADS:BRS_GOLD__3_OTHER_SPREADS:BRS_GOLD__2_OSABS:USD_ABS:ABX_HE_06_1_A</v>
          </cell>
          <cell r="D2720" t="str">
            <v>Spread Duration</v>
          </cell>
          <cell r="E2720" t="str">
            <v>Spread Yield (DxS)</v>
          </cell>
          <cell r="F2720" t="str">
            <v>Alternative</v>
          </cell>
          <cell r="G2720" t="str">
            <v>Other</v>
          </cell>
          <cell r="H2720" t="str">
            <v>ALTS</v>
          </cell>
          <cell r="I2720" t="str">
            <v>ABS - Swap Spread</v>
          </cell>
        </row>
        <row r="2721">
          <cell r="A2721" t="str">
            <v>ABX_HE_06_1_BBB</v>
          </cell>
          <cell r="B2721" t="str">
            <v>ABX.HE.06-1.BBB</v>
          </cell>
          <cell r="C2721" t="str">
            <v>BRS_GOLD__5_SPREADS:BRS_GOLD__3_OTHER_SPREADS:BRS_GOLD__2_OSABS:USD_ABS:ABX_HE_06_1_BBB</v>
          </cell>
          <cell r="D2721" t="str">
            <v>Spread Duration</v>
          </cell>
          <cell r="E2721" t="str">
            <v>Spread Yield (DxS)</v>
          </cell>
          <cell r="F2721" t="str">
            <v>Alternative</v>
          </cell>
          <cell r="G2721" t="str">
            <v>Other</v>
          </cell>
          <cell r="H2721" t="str">
            <v>ALTS</v>
          </cell>
          <cell r="I2721" t="str">
            <v>ABS - Swap Spread</v>
          </cell>
        </row>
        <row r="2722">
          <cell r="A2722" t="str">
            <v>ABX_HE_06_1_BBBm</v>
          </cell>
          <cell r="B2722" t="str">
            <v>ABX.HE.06-1.BBB-</v>
          </cell>
          <cell r="C2722" t="str">
            <v>BRS_GOLD__5_SPREADS:BRS_GOLD__3_OTHER_SPREADS:BRS_GOLD__2_OSABS:USD_ABS:ABX_HE_06_1_BBBm</v>
          </cell>
          <cell r="D2722" t="str">
            <v>Spread Duration</v>
          </cell>
          <cell r="E2722" t="str">
            <v>Spread Yield (DxS)</v>
          </cell>
          <cell r="F2722" t="str">
            <v>Alternative</v>
          </cell>
          <cell r="G2722" t="str">
            <v>Other</v>
          </cell>
          <cell r="H2722" t="str">
            <v>ALTS</v>
          </cell>
          <cell r="I2722" t="str">
            <v>ABS - Swap Spread</v>
          </cell>
        </row>
        <row r="2723">
          <cell r="A2723" t="str">
            <v>ABX_HE_06_2_AAA</v>
          </cell>
          <cell r="B2723" t="str">
            <v>ABX.HE.06-2.AAA</v>
          </cell>
          <cell r="C2723" t="str">
            <v>BRS_GOLD__5_SPREADS:BRS_GOLD__3_OTHER_SPREADS:BRS_GOLD__2_OSABS:USD_ABS:ABX_HE_06_2_AAA</v>
          </cell>
          <cell r="D2723" t="str">
            <v>Spread Duration</v>
          </cell>
          <cell r="E2723" t="str">
            <v>Spread Yield (DxS)</v>
          </cell>
          <cell r="F2723" t="str">
            <v>Alternative</v>
          </cell>
          <cell r="G2723" t="str">
            <v>Other</v>
          </cell>
          <cell r="H2723" t="str">
            <v>ALTS</v>
          </cell>
          <cell r="I2723" t="str">
            <v>ABS - Swap Spread</v>
          </cell>
        </row>
        <row r="2724">
          <cell r="A2724" t="str">
            <v>ABX_HE_06_2_AA</v>
          </cell>
          <cell r="B2724" t="str">
            <v>ABX.HE.06-2.AA</v>
          </cell>
          <cell r="C2724" t="str">
            <v>BRS_GOLD__5_SPREADS:BRS_GOLD__3_OTHER_SPREADS:BRS_GOLD__2_OSABS:USD_ABS:ABX_HE_06_2_AA</v>
          </cell>
          <cell r="D2724" t="str">
            <v>Spread Duration</v>
          </cell>
          <cell r="E2724" t="str">
            <v>Spread Yield (DxS)</v>
          </cell>
          <cell r="F2724" t="str">
            <v>Alternative</v>
          </cell>
          <cell r="G2724" t="str">
            <v>Other</v>
          </cell>
          <cell r="H2724" t="str">
            <v>ALTS</v>
          </cell>
          <cell r="I2724" t="str">
            <v>ABS - Swap Spread</v>
          </cell>
        </row>
        <row r="2725">
          <cell r="A2725" t="str">
            <v>ABX_HE_06_2_A</v>
          </cell>
          <cell r="B2725" t="str">
            <v>ABX.HE.06-2.A</v>
          </cell>
          <cell r="C2725" t="str">
            <v>BRS_GOLD__5_SPREADS:BRS_GOLD__3_OTHER_SPREADS:BRS_GOLD__2_OSABS:USD_ABS:ABX_HE_06_2_A</v>
          </cell>
          <cell r="D2725" t="str">
            <v>Spread Duration</v>
          </cell>
          <cell r="E2725" t="str">
            <v>Spread Yield (DxS)</v>
          </cell>
          <cell r="F2725" t="str">
            <v>Alternative</v>
          </cell>
          <cell r="G2725" t="str">
            <v>Other</v>
          </cell>
          <cell r="H2725" t="str">
            <v>ALTS</v>
          </cell>
          <cell r="I2725" t="str">
            <v>ABS - Swap Spread</v>
          </cell>
        </row>
        <row r="2726">
          <cell r="A2726" t="str">
            <v>ABX_HE_06_2_BBB</v>
          </cell>
          <cell r="B2726" t="str">
            <v>ABX.HE.06-2.BBB</v>
          </cell>
          <cell r="C2726" t="str">
            <v>BRS_GOLD__5_SPREADS:BRS_GOLD__3_OTHER_SPREADS:BRS_GOLD__2_OSABS:USD_ABS:ABX_HE_06_2_BBB</v>
          </cell>
          <cell r="D2726" t="str">
            <v>Spread Duration</v>
          </cell>
          <cell r="E2726" t="str">
            <v>Spread Yield (DxS)</v>
          </cell>
          <cell r="F2726" t="str">
            <v>Alternative</v>
          </cell>
          <cell r="G2726" t="str">
            <v>Other</v>
          </cell>
          <cell r="H2726" t="str">
            <v>ALTS</v>
          </cell>
          <cell r="I2726" t="str">
            <v>ABS - Swap Spread</v>
          </cell>
        </row>
        <row r="2727">
          <cell r="A2727" t="str">
            <v>ABX_HE_06_2_BBBm</v>
          </cell>
          <cell r="B2727" t="str">
            <v>ABX.HE.06-2.BBB-</v>
          </cell>
          <cell r="C2727" t="str">
            <v>BRS_GOLD__5_SPREADS:BRS_GOLD__3_OTHER_SPREADS:BRS_GOLD__2_OSABS:USD_ABS:ABX_HE_06_2_BBBm</v>
          </cell>
          <cell r="D2727" t="str">
            <v>Spread Duration</v>
          </cell>
          <cell r="E2727" t="str">
            <v>Spread Yield (DxS)</v>
          </cell>
          <cell r="F2727" t="str">
            <v>Alternative</v>
          </cell>
          <cell r="G2727" t="str">
            <v>Other</v>
          </cell>
          <cell r="H2727" t="str">
            <v>ALTS</v>
          </cell>
          <cell r="I2727" t="str">
            <v>ABS - Swap Spread</v>
          </cell>
        </row>
        <row r="2728">
          <cell r="A2728" t="str">
            <v>ABX_HE_07_1_AAA</v>
          </cell>
          <cell r="B2728" t="str">
            <v>ABX.HE.07-1.AAA</v>
          </cell>
          <cell r="C2728" t="str">
            <v>BRS_GOLD__5_SPREADS:BRS_GOLD__3_OTHER_SPREADS:BRS_GOLD__2_OSABS:USD_ABS:ABX_HE_07_1_AAA</v>
          </cell>
          <cell r="D2728" t="str">
            <v>Spread Duration</v>
          </cell>
          <cell r="E2728" t="str">
            <v>Spread Yield (DxS)</v>
          </cell>
          <cell r="F2728" t="str">
            <v>Alternative</v>
          </cell>
          <cell r="G2728" t="str">
            <v>Other</v>
          </cell>
          <cell r="H2728" t="str">
            <v>ALTS</v>
          </cell>
          <cell r="I2728" t="str">
            <v>ABS - Swap Spread</v>
          </cell>
        </row>
        <row r="2729">
          <cell r="A2729" t="str">
            <v>ABX_HE_07_1_AA</v>
          </cell>
          <cell r="B2729" t="str">
            <v>ABX.HE.07-1.AA</v>
          </cell>
          <cell r="C2729" t="str">
            <v>BRS_GOLD__5_SPREADS:BRS_GOLD__3_OTHER_SPREADS:BRS_GOLD__2_OSABS:USD_ABS:ABX_HE_07_1_AA</v>
          </cell>
          <cell r="D2729" t="str">
            <v>Spread Duration</v>
          </cell>
          <cell r="E2729" t="str">
            <v>Spread Yield (DxS)</v>
          </cell>
          <cell r="F2729" t="str">
            <v>Alternative</v>
          </cell>
          <cell r="G2729" t="str">
            <v>Other</v>
          </cell>
          <cell r="H2729" t="str">
            <v>ALTS</v>
          </cell>
          <cell r="I2729" t="str">
            <v>ABS - Swap Spread</v>
          </cell>
        </row>
        <row r="2730">
          <cell r="A2730" t="str">
            <v>ABX_HE_07_1_A</v>
          </cell>
          <cell r="B2730" t="str">
            <v>ABX.HE.07-1.A</v>
          </cell>
          <cell r="C2730" t="str">
            <v>BRS_GOLD__5_SPREADS:BRS_GOLD__3_OTHER_SPREADS:BRS_GOLD__2_OSABS:USD_ABS:ABX_HE_07_1_A</v>
          </cell>
          <cell r="D2730" t="str">
            <v>Spread Duration</v>
          </cell>
          <cell r="E2730" t="str">
            <v>Spread Yield (DxS)</v>
          </cell>
          <cell r="F2730" t="str">
            <v>Alternative</v>
          </cell>
          <cell r="G2730" t="str">
            <v>Other</v>
          </cell>
          <cell r="H2730" t="str">
            <v>ALTS</v>
          </cell>
          <cell r="I2730" t="str">
            <v>ABS - Swap Spread</v>
          </cell>
        </row>
        <row r="2731">
          <cell r="A2731" t="str">
            <v>ABX_HE_07_1_BBB</v>
          </cell>
          <cell r="B2731" t="str">
            <v>ABX.HE.07-1.BBB</v>
          </cell>
          <cell r="C2731" t="str">
            <v>BRS_GOLD__5_SPREADS:BRS_GOLD__3_OTHER_SPREADS:BRS_GOLD__2_OSABS:USD_ABS:ABX_HE_07_1_BBB</v>
          </cell>
          <cell r="D2731" t="str">
            <v>Spread Duration</v>
          </cell>
          <cell r="E2731" t="str">
            <v>Spread Yield (DxS)</v>
          </cell>
          <cell r="F2731" t="str">
            <v>Alternative</v>
          </cell>
          <cell r="G2731" t="str">
            <v>Other</v>
          </cell>
          <cell r="H2731" t="str">
            <v>ALTS</v>
          </cell>
          <cell r="I2731" t="str">
            <v>ABS - Swap Spread</v>
          </cell>
        </row>
        <row r="2732">
          <cell r="A2732" t="str">
            <v>ABX_HE_07_1_BBBm</v>
          </cell>
          <cell r="B2732" t="str">
            <v>ABX.HE.07-1.BBB-</v>
          </cell>
          <cell r="C2732" t="str">
            <v>BRS_GOLD__5_SPREADS:BRS_GOLD__3_OTHER_SPREADS:BRS_GOLD__2_OSABS:USD_ABS:ABX_HE_07_1_BBBm</v>
          </cell>
          <cell r="D2732" t="str">
            <v>Spread Duration</v>
          </cell>
          <cell r="E2732" t="str">
            <v>Spread Yield (DxS)</v>
          </cell>
          <cell r="F2732" t="str">
            <v>Alternative</v>
          </cell>
          <cell r="G2732" t="str">
            <v>Other</v>
          </cell>
          <cell r="H2732" t="str">
            <v>ALTS</v>
          </cell>
          <cell r="I2732" t="str">
            <v>ABS - Swap Spread</v>
          </cell>
        </row>
        <row r="2733">
          <cell r="A2733" t="str">
            <v>ABX_HE_07_2_AAA</v>
          </cell>
          <cell r="B2733" t="str">
            <v>ABX.HE.07-2.AAA</v>
          </cell>
          <cell r="C2733" t="str">
            <v>BRS_GOLD__5_SPREADS:BRS_GOLD__3_OTHER_SPREADS:BRS_GOLD__2_OSABS:USD_ABS:ABX_HE_07_2_AAA</v>
          </cell>
          <cell r="D2733" t="str">
            <v>Spread Duration</v>
          </cell>
          <cell r="E2733" t="str">
            <v>Spread Yield (DxS)</v>
          </cell>
          <cell r="F2733" t="str">
            <v>Alternative</v>
          </cell>
          <cell r="G2733" t="str">
            <v>Other</v>
          </cell>
          <cell r="H2733" t="str">
            <v>ALTS</v>
          </cell>
          <cell r="I2733" t="str">
            <v>ABS - Swap Spread</v>
          </cell>
        </row>
        <row r="2734">
          <cell r="A2734" t="str">
            <v>ABX_HE_07_2_AA</v>
          </cell>
          <cell r="B2734" t="str">
            <v>ABX.HE.07-2.AA</v>
          </cell>
          <cell r="C2734" t="str">
            <v>BRS_GOLD__5_SPREADS:BRS_GOLD__3_OTHER_SPREADS:BRS_GOLD__2_OSABS:USD_ABS:ABX_HE_07_2_AA</v>
          </cell>
          <cell r="D2734" t="str">
            <v>Spread Duration</v>
          </cell>
          <cell r="E2734" t="str">
            <v>Spread Yield (DxS)</v>
          </cell>
          <cell r="F2734" t="str">
            <v>Alternative</v>
          </cell>
          <cell r="G2734" t="str">
            <v>Other</v>
          </cell>
          <cell r="H2734" t="str">
            <v>ALTS</v>
          </cell>
          <cell r="I2734" t="str">
            <v>ABS - Swap Spread</v>
          </cell>
        </row>
        <row r="2735">
          <cell r="A2735" t="str">
            <v>ABX_HE_07_2_A</v>
          </cell>
          <cell r="B2735" t="str">
            <v>ABX.HE.07-2.A</v>
          </cell>
          <cell r="C2735" t="str">
            <v>BRS_GOLD__5_SPREADS:BRS_GOLD__3_OTHER_SPREADS:BRS_GOLD__2_OSABS:USD_ABS:ABX_HE_07_2_A</v>
          </cell>
          <cell r="D2735" t="str">
            <v>Spread Duration</v>
          </cell>
          <cell r="E2735" t="str">
            <v>Spread Yield (DxS)</v>
          </cell>
          <cell r="F2735" t="str">
            <v>Alternative</v>
          </cell>
          <cell r="G2735" t="str">
            <v>Other</v>
          </cell>
          <cell r="H2735" t="str">
            <v>ALTS</v>
          </cell>
          <cell r="I2735" t="str">
            <v>ABS - Swap Spread</v>
          </cell>
        </row>
        <row r="2736">
          <cell r="A2736" t="str">
            <v>ABX_HE_07_2_BBB</v>
          </cell>
          <cell r="B2736" t="str">
            <v>ABX.HE.07-2.BBB</v>
          </cell>
          <cell r="C2736" t="str">
            <v>BRS_GOLD__5_SPREADS:BRS_GOLD__3_OTHER_SPREADS:BRS_GOLD__2_OSABS:USD_ABS:ABX_HE_07_2_BBB</v>
          </cell>
          <cell r="D2736" t="str">
            <v>Spread Duration</v>
          </cell>
          <cell r="E2736" t="str">
            <v>Spread Yield (DxS)</v>
          </cell>
          <cell r="F2736" t="str">
            <v>Alternative</v>
          </cell>
          <cell r="G2736" t="str">
            <v>Other</v>
          </cell>
          <cell r="H2736" t="str">
            <v>ALTS</v>
          </cell>
          <cell r="I2736" t="str">
            <v>ABS - Swap Spread</v>
          </cell>
        </row>
        <row r="2737">
          <cell r="A2737" t="str">
            <v>ABX_HE_07_2_BBBm</v>
          </cell>
          <cell r="B2737" t="str">
            <v>ABX.HE.07-2.BBB-</v>
          </cell>
          <cell r="C2737" t="str">
            <v>BRS_GOLD__5_SPREADS:BRS_GOLD__3_OTHER_SPREADS:BRS_GOLD__2_OSABS:USD_ABS:ABX_HE_07_2_BBBm</v>
          </cell>
          <cell r="D2737" t="str">
            <v>Spread Duration</v>
          </cell>
          <cell r="E2737" t="str">
            <v>Spread Yield (DxS)</v>
          </cell>
          <cell r="F2737" t="str">
            <v>Alternative</v>
          </cell>
          <cell r="G2737" t="str">
            <v>Other</v>
          </cell>
          <cell r="H2737" t="str">
            <v>ALTS</v>
          </cell>
          <cell r="I2737" t="str">
            <v>ABS - Swap Spread</v>
          </cell>
        </row>
        <row r="2738">
          <cell r="A2738" t="str">
            <v>WL_ABX_HE_06_2_A</v>
          </cell>
          <cell r="B2738" t="str">
            <v>WL ABX.HE.06-2.A</v>
          </cell>
          <cell r="C2738" t="str">
            <v>BRS_GOLD__5_SPREADS:BRS_GOLD__3_OTHER_SPREADS:BRS_GOLD__2_OSABS:USD_ABS:WL_ABX_HE_06_2_A</v>
          </cell>
          <cell r="D2738" t="str">
            <v>Spread Duration</v>
          </cell>
          <cell r="E2738" t="str">
            <v>Spread Yield (DxS)</v>
          </cell>
          <cell r="F2738" t="str">
            <v>Alternative</v>
          </cell>
          <cell r="G2738" t="str">
            <v>Other</v>
          </cell>
          <cell r="H2738" t="str">
            <v>ALTS</v>
          </cell>
          <cell r="I2738" t="str">
            <v>ABS - Swap Spread</v>
          </cell>
        </row>
        <row r="2739">
          <cell r="A2739" t="str">
            <v>WL_ABX_HE_06_2_AA</v>
          </cell>
          <cell r="B2739" t="str">
            <v>WL ABX.HE.06-2.AA</v>
          </cell>
          <cell r="C2739" t="str">
            <v>BRS_GOLD__5_SPREADS:BRS_GOLD__3_OTHER_SPREADS:BRS_GOLD__2_OSABS:USD_ABS:WL_ABX_HE_06_2_AA</v>
          </cell>
          <cell r="D2739" t="str">
            <v>Spread Duration</v>
          </cell>
          <cell r="E2739" t="str">
            <v>Spread Yield (DxS)</v>
          </cell>
          <cell r="F2739" t="str">
            <v>Alternative</v>
          </cell>
          <cell r="G2739" t="str">
            <v>Other</v>
          </cell>
          <cell r="H2739" t="str">
            <v>ALTS</v>
          </cell>
          <cell r="I2739" t="str">
            <v>ABS - Swap Spread</v>
          </cell>
        </row>
        <row r="2740">
          <cell r="A2740" t="str">
            <v>WL_ABX_HE_06_2_AAA</v>
          </cell>
          <cell r="B2740" t="str">
            <v>WL ABX.HE.06-2.AAA</v>
          </cell>
          <cell r="C2740" t="str">
            <v>BRS_GOLD__5_SPREADS:BRS_GOLD__3_OTHER_SPREADS:BRS_GOLD__2_OSABS:USD_ABS:WL_ABX_HE_06_2_AAA</v>
          </cell>
          <cell r="D2740" t="str">
            <v>Spread Duration</v>
          </cell>
          <cell r="E2740" t="str">
            <v>Spread Yield (DxS)</v>
          </cell>
          <cell r="F2740" t="str">
            <v>Alternative</v>
          </cell>
          <cell r="G2740" t="str">
            <v>Other</v>
          </cell>
          <cell r="H2740" t="str">
            <v>ALTS</v>
          </cell>
          <cell r="I2740" t="str">
            <v>ABS - Swap Spread</v>
          </cell>
        </row>
        <row r="2741">
          <cell r="A2741" t="str">
            <v>WL_ABX_HE_06_2_BBB</v>
          </cell>
          <cell r="B2741" t="str">
            <v>WL ABX.HE.06-2.BBB</v>
          </cell>
          <cell r="C2741" t="str">
            <v>BRS_GOLD__5_SPREADS:BRS_GOLD__3_OTHER_SPREADS:BRS_GOLD__2_OSABS:USD_ABS:WL_ABX_HE_06_2_BBB</v>
          </cell>
          <cell r="D2741" t="str">
            <v>Spread Duration</v>
          </cell>
          <cell r="E2741" t="str">
            <v>Spread Yield (DxS)</v>
          </cell>
          <cell r="F2741" t="str">
            <v>Alternative</v>
          </cell>
          <cell r="G2741" t="str">
            <v>Other</v>
          </cell>
          <cell r="H2741" t="str">
            <v>ALTS</v>
          </cell>
          <cell r="I2741" t="str">
            <v>ABS - Swap Spread</v>
          </cell>
        </row>
        <row r="2742">
          <cell r="A2742" t="str">
            <v>WL_ABX_HE_06_2_BBBm</v>
          </cell>
          <cell r="B2742" t="str">
            <v>WL ABX.HE.06-2.BBB-</v>
          </cell>
          <cell r="C2742" t="str">
            <v>BRS_GOLD__5_SPREADS:BRS_GOLD__3_OTHER_SPREADS:BRS_GOLD__2_OSABS:USD_ABS:WL_ABX_HE_06_2_BBBm</v>
          </cell>
          <cell r="D2742" t="str">
            <v>Spread Duration</v>
          </cell>
          <cell r="E2742" t="str">
            <v>Spread Yield (DxS)</v>
          </cell>
          <cell r="F2742" t="str">
            <v>Alternative</v>
          </cell>
          <cell r="G2742" t="str">
            <v>Other</v>
          </cell>
          <cell r="H2742" t="str">
            <v>ALTS</v>
          </cell>
          <cell r="I2742" t="str">
            <v>ABS - Swap Spread</v>
          </cell>
        </row>
        <row r="2743">
          <cell r="A2743" t="str">
            <v>USD_ABS_AUTO_FIX</v>
          </cell>
          <cell r="B2743" t="str">
            <v>Auto Fixed</v>
          </cell>
          <cell r="C2743" t="str">
            <v>BRS_GOLD__5_SPREADS:BRS_GOLD__3_OTHER_SPREADS:BRS_GOLD__2_OSABS:USD_ABS_DS:USD_ABS_DS_SEC:USD_ABS_AUTO_FIX</v>
          </cell>
          <cell r="D2743" t="str">
            <v>Spread Duration</v>
          </cell>
          <cell r="E2743" t="str">
            <v>Spread Yield (DxS)</v>
          </cell>
          <cell r="F2743" t="str">
            <v>Alternative</v>
          </cell>
          <cell r="G2743" t="str">
            <v>Other</v>
          </cell>
          <cell r="H2743" t="str">
            <v>ALTS</v>
          </cell>
          <cell r="I2743" t="str">
            <v>ABS - Swap Spread</v>
          </cell>
        </row>
        <row r="2744">
          <cell r="A2744" t="str">
            <v>USD_ABS_AUTO_FLT</v>
          </cell>
          <cell r="B2744" t="str">
            <v>Auto Float</v>
          </cell>
          <cell r="C2744" t="str">
            <v>BRS_GOLD__5_SPREADS:BRS_GOLD__3_OTHER_SPREADS:BRS_GOLD__2_OSABS:USD_ABS_DS:USD_ABS_DS_SEC:USD_ABS_AUTO_FLT</v>
          </cell>
          <cell r="D2744" t="str">
            <v>Spread Duration</v>
          </cell>
          <cell r="E2744" t="str">
            <v>Spread Yield (DxS)</v>
          </cell>
          <cell r="F2744" t="str">
            <v>Alternative</v>
          </cell>
          <cell r="G2744" t="str">
            <v>Other</v>
          </cell>
          <cell r="H2744" t="str">
            <v>ALTS</v>
          </cell>
          <cell r="I2744" t="str">
            <v>ABS - Swap Spread</v>
          </cell>
        </row>
        <row r="2745">
          <cell r="A2745" t="str">
            <v>USD_ABS_CARD_FIX</v>
          </cell>
          <cell r="B2745" t="str">
            <v>Cred Card Fixed</v>
          </cell>
          <cell r="C2745" t="str">
            <v>BRS_GOLD__5_SPREADS:BRS_GOLD__3_OTHER_SPREADS:BRS_GOLD__2_OSABS:USD_ABS_DS:USD_ABS_DS_SEC:USD_ABS_CARD_FIX</v>
          </cell>
          <cell r="D2745" t="str">
            <v>Spread Duration</v>
          </cell>
          <cell r="E2745" t="str">
            <v>Spread Yield (DxS)</v>
          </cell>
          <cell r="F2745" t="str">
            <v>Alternative</v>
          </cell>
          <cell r="G2745" t="str">
            <v>Other</v>
          </cell>
          <cell r="H2745" t="str">
            <v>ALTS</v>
          </cell>
          <cell r="I2745" t="str">
            <v>ABS - Swap Spread</v>
          </cell>
        </row>
        <row r="2746">
          <cell r="A2746" t="str">
            <v>USD_ABS_CARD_FLT</v>
          </cell>
          <cell r="B2746" t="str">
            <v>Cred Card Float</v>
          </cell>
          <cell r="C2746" t="str">
            <v>BRS_GOLD__5_SPREADS:BRS_GOLD__3_OTHER_SPREADS:BRS_GOLD__2_OSABS:USD_ABS_DS:USD_ABS_DS_SEC:USD_ABS_CARD_FLT</v>
          </cell>
          <cell r="D2746" t="str">
            <v>Spread Duration</v>
          </cell>
          <cell r="E2746" t="str">
            <v>Spread Yield (DxS)</v>
          </cell>
          <cell r="F2746" t="str">
            <v>Alternative</v>
          </cell>
          <cell r="G2746" t="str">
            <v>Other</v>
          </cell>
          <cell r="H2746" t="str">
            <v>ALTS</v>
          </cell>
          <cell r="I2746" t="str">
            <v>ABS - Swap Spread</v>
          </cell>
        </row>
        <row r="2747">
          <cell r="A2747" t="str">
            <v>USD_ABS_OTH_FIX</v>
          </cell>
          <cell r="B2747" t="str">
            <v>Other ABS Fixed</v>
          </cell>
          <cell r="C2747" t="str">
            <v>BRS_GOLD__5_SPREADS:BRS_GOLD__3_OTHER_SPREADS:BRS_GOLD__2_OSABS:USD_ABS_DS:USD_ABS_DS_SEC:USD_ABS_OTH_FIX</v>
          </cell>
          <cell r="D2747" t="str">
            <v>Spread Duration</v>
          </cell>
          <cell r="E2747" t="str">
            <v>Spread Yield (DxS)</v>
          </cell>
          <cell r="F2747" t="str">
            <v>Alternative</v>
          </cell>
          <cell r="G2747" t="str">
            <v>Other</v>
          </cell>
          <cell r="H2747" t="str">
            <v>ALTS</v>
          </cell>
          <cell r="I2747" t="str">
            <v>ABS - Swap Spread</v>
          </cell>
        </row>
        <row r="2748">
          <cell r="A2748" t="str">
            <v>USD_ABS_OTH_FLT</v>
          </cell>
          <cell r="B2748" t="str">
            <v>Other ABS Float</v>
          </cell>
          <cell r="C2748" t="str">
            <v>BRS_GOLD__5_SPREADS:BRS_GOLD__3_OTHER_SPREADS:BRS_GOLD__2_OSABS:USD_ABS_DS:USD_ABS_DS_SEC:USD_ABS_OTH_FLT</v>
          </cell>
          <cell r="D2748" t="str">
            <v>Spread Duration</v>
          </cell>
          <cell r="E2748" t="str">
            <v>Spread Yield (DxS)</v>
          </cell>
          <cell r="F2748" t="str">
            <v>Alternative</v>
          </cell>
          <cell r="G2748" t="str">
            <v>Other</v>
          </cell>
          <cell r="H2748" t="str">
            <v>ALTS</v>
          </cell>
          <cell r="I2748" t="str">
            <v>ABS - Swap Spread</v>
          </cell>
        </row>
        <row r="2749">
          <cell r="A2749" t="str">
            <v>USD_ABS_STUD_FLT</v>
          </cell>
          <cell r="B2749" t="str">
            <v>Student Loan Float</v>
          </cell>
          <cell r="C2749" t="str">
            <v>BRS_GOLD__5_SPREADS:BRS_GOLD__3_OTHER_SPREADS:BRS_GOLD__2_OSABS:USD_ABS_DS:USD_ABS_DS_SEC:USD_ABS_STUD_FLT</v>
          </cell>
          <cell r="D2749" t="str">
            <v>Spread Duration</v>
          </cell>
          <cell r="E2749" t="str">
            <v>Spread Yield (DxS)</v>
          </cell>
          <cell r="F2749" t="str">
            <v>Alternative</v>
          </cell>
          <cell r="G2749" t="str">
            <v>Other</v>
          </cell>
          <cell r="H2749" t="str">
            <v>ALTS</v>
          </cell>
          <cell r="I2749" t="str">
            <v>ABS - Swap Spread</v>
          </cell>
        </row>
        <row r="2750">
          <cell r="A2750" t="str">
            <v>USD_ABS_STRA_FIX</v>
          </cell>
          <cell r="B2750" t="str">
            <v>Utility Fixed</v>
          </cell>
          <cell r="C2750" t="str">
            <v>BRS_GOLD__5_SPREADS:BRS_GOLD__3_OTHER_SPREADS:BRS_GOLD__2_OSABS:USD_ABS_DS:USD_ABS_DS_SEC:USD_ABS_STRA_FIX</v>
          </cell>
          <cell r="D2750" t="str">
            <v>Spread Duration</v>
          </cell>
          <cell r="E2750" t="str">
            <v>Spread Yield (DxS)</v>
          </cell>
          <cell r="F2750" t="str">
            <v>Alternative</v>
          </cell>
          <cell r="G2750" t="str">
            <v>Other</v>
          </cell>
          <cell r="H2750" t="str">
            <v>ALTS</v>
          </cell>
          <cell r="I2750" t="str">
            <v>ABS - Swap Spread</v>
          </cell>
        </row>
        <row r="2751">
          <cell r="A2751" t="str">
            <v>USD_ABS_SHT</v>
          </cell>
          <cell r="B2751" t="str">
            <v>ABS Maturity&lt;3</v>
          </cell>
          <cell r="C2751" t="str">
            <v>BRS_GOLD__5_SPREADS:BRS_GOLD__3_OTHER_SPREADS:BRS_GOLD__2_OSABS:USD_ABS_DS:USD_ABS_DS_MAT:USD_ABS_SHT</v>
          </cell>
          <cell r="D2751" t="str">
            <v>Spread Duration</v>
          </cell>
          <cell r="E2751" t="str">
            <v>Spread Yield (DxS)</v>
          </cell>
          <cell r="F2751" t="str">
            <v>Alternative</v>
          </cell>
          <cell r="G2751" t="str">
            <v>Other</v>
          </cell>
          <cell r="H2751" t="str">
            <v>ALTS</v>
          </cell>
          <cell r="I2751" t="str">
            <v>ABS - Swap Spread</v>
          </cell>
        </row>
        <row r="2752">
          <cell r="A2752" t="str">
            <v>USD_ABS_LNG</v>
          </cell>
          <cell r="B2752" t="str">
            <v>ABS Maturity&gt;7</v>
          </cell>
          <cell r="C2752" t="str">
            <v>BRS_GOLD__5_SPREADS:BRS_GOLD__3_OTHER_SPREADS:BRS_GOLD__2_OSABS:USD_ABS_DS:USD_ABS_DS_MAT:USD_ABS_LNG</v>
          </cell>
          <cell r="D2752" t="str">
            <v>Spread Duration</v>
          </cell>
          <cell r="E2752" t="str">
            <v>Spread Yield (DxS)</v>
          </cell>
          <cell r="F2752" t="str">
            <v>Alternative</v>
          </cell>
          <cell r="G2752" t="str">
            <v>Other</v>
          </cell>
          <cell r="H2752" t="str">
            <v>ALTS</v>
          </cell>
          <cell r="I2752" t="str">
            <v>ABS - Swap Spread</v>
          </cell>
        </row>
        <row r="2753">
          <cell r="A2753" t="str">
            <v>USD_ABS_AA</v>
          </cell>
          <cell r="B2753" t="str">
            <v>ABS Rating AA/A</v>
          </cell>
          <cell r="C2753" t="str">
            <v>BRS_GOLD__5_SPREADS:BRS_GOLD__3_OTHER_SPREADS:BRS_GOLD__2_OSABS:USD_ABS_DS:USD_ABS_DS_RATE:USD_ABS_AA</v>
          </cell>
          <cell r="D2753" t="str">
            <v>Spread Duration</v>
          </cell>
          <cell r="E2753" t="str">
            <v>Spread Yield (DxS)</v>
          </cell>
          <cell r="F2753" t="str">
            <v>Alternative</v>
          </cell>
          <cell r="G2753" t="str">
            <v>Other</v>
          </cell>
          <cell r="H2753" t="str">
            <v>ALTS</v>
          </cell>
          <cell r="I2753" t="str">
            <v>ABS - Swap Spread</v>
          </cell>
        </row>
        <row r="2754">
          <cell r="A2754" t="str">
            <v>USD_ABS_BBB</v>
          </cell>
          <cell r="B2754" t="str">
            <v>ABS Rating BBB below</v>
          </cell>
          <cell r="C2754" t="str">
            <v>BRS_GOLD__5_SPREADS:BRS_GOLD__3_OTHER_SPREADS:BRS_GOLD__2_OSABS:USD_ABS_DS:USD_ABS_DS_RATE:USD_ABS_BBB</v>
          </cell>
          <cell r="D2754" t="str">
            <v>Spread Duration</v>
          </cell>
          <cell r="E2754" t="str">
            <v>Spread Yield (DxS)</v>
          </cell>
          <cell r="F2754" t="str">
            <v>Alternative</v>
          </cell>
          <cell r="G2754" t="str">
            <v>Other</v>
          </cell>
          <cell r="H2754" t="str">
            <v>ALTS</v>
          </cell>
          <cell r="I2754" t="str">
            <v>ABS - Swap Spread</v>
          </cell>
        </row>
        <row r="2755">
          <cell r="A2755" t="str">
            <v>ALL_ABS_HOMEEQ_AAA_10</v>
          </cell>
          <cell r="B2755" t="str">
            <v>Non$ Home Eq AAA 10Y</v>
          </cell>
          <cell r="C2755" t="str">
            <v>BRS_GOLD__5_SPREADS:BRS_GOLD__3_OTHER_SPREADS:BRS_GOLD__2_OSABS:NUS_ABS:ALL_ABS_HOMEEQ_AAA_10</v>
          </cell>
          <cell r="D2755" t="str">
            <v>Spread Duration</v>
          </cell>
          <cell r="E2755" t="str">
            <v>Spread Yield (DxS)</v>
          </cell>
          <cell r="F2755" t="str">
            <v>Alternative</v>
          </cell>
          <cell r="G2755" t="str">
            <v>Other</v>
          </cell>
          <cell r="H2755" t="str">
            <v>ALTS</v>
          </cell>
          <cell r="I2755" t="str">
            <v>ABS - Swap Spread</v>
          </cell>
        </row>
        <row r="2756">
          <cell r="A2756" t="str">
            <v>ALL_ABS_HOMEEQ_AAA_2</v>
          </cell>
          <cell r="B2756" t="str">
            <v>Non$ Home Eq AAA 2Y</v>
          </cell>
          <cell r="C2756" t="str">
            <v>BRS_GOLD__5_SPREADS:BRS_GOLD__3_OTHER_SPREADS:BRS_GOLD__2_OSABS:NUS_ABS:ALL_ABS_HOMEEQ_AAA_2</v>
          </cell>
          <cell r="D2756" t="str">
            <v>Spread Duration</v>
          </cell>
          <cell r="E2756" t="str">
            <v>Spread Yield (DxS)</v>
          </cell>
          <cell r="F2756" t="str">
            <v>Alternative</v>
          </cell>
          <cell r="G2756" t="str">
            <v>Other</v>
          </cell>
          <cell r="H2756" t="str">
            <v>ALTS</v>
          </cell>
          <cell r="I2756" t="str">
            <v>ABS - Swap Spread</v>
          </cell>
        </row>
        <row r="2757">
          <cell r="A2757" t="str">
            <v>ALL_ABS_HOMEEQ_AAA_5</v>
          </cell>
          <cell r="B2757" t="str">
            <v>Non$ Home Eq AAA 5Y</v>
          </cell>
          <cell r="C2757" t="str">
            <v>BRS_GOLD__5_SPREADS:BRS_GOLD__3_OTHER_SPREADS:BRS_GOLD__2_OSABS:NUS_ABS:ALL_ABS_HOMEEQ_AAA_5</v>
          </cell>
          <cell r="D2757" t="str">
            <v>Spread Duration</v>
          </cell>
          <cell r="E2757" t="str">
            <v>Spread Yield (DxS)</v>
          </cell>
          <cell r="F2757" t="str">
            <v>Alternative</v>
          </cell>
          <cell r="G2757" t="str">
            <v>Other</v>
          </cell>
          <cell r="H2757" t="str">
            <v>ALTS</v>
          </cell>
          <cell r="I2757" t="str">
            <v>ABS - Swap Spread</v>
          </cell>
        </row>
        <row r="2758">
          <cell r="A2758" t="str">
            <v>ALL_ABS_MANUF_AAA_10</v>
          </cell>
          <cell r="B2758" t="str">
            <v>Non$ Mfg Hous AAA 10Y</v>
          </cell>
          <cell r="C2758" t="str">
            <v>BRS_GOLD__5_SPREADS:BRS_GOLD__3_OTHER_SPREADS:BRS_GOLD__2_OSABS:NUS_ABS:ALL_ABS_MANUF_AAA_10</v>
          </cell>
          <cell r="D2758" t="str">
            <v>Spread Duration</v>
          </cell>
          <cell r="E2758" t="str">
            <v>Spread Yield (DxS)</v>
          </cell>
          <cell r="F2758" t="str">
            <v>Alternative</v>
          </cell>
          <cell r="G2758" t="str">
            <v>Other</v>
          </cell>
          <cell r="H2758" t="str">
            <v>ALTS</v>
          </cell>
          <cell r="I2758" t="str">
            <v>ABS - Swap Spread</v>
          </cell>
        </row>
        <row r="2759">
          <cell r="A2759" t="str">
            <v>ALL_ABS_MANUF_AAA_2</v>
          </cell>
          <cell r="B2759" t="str">
            <v>Non$ Mfg Hous AAA 2Y</v>
          </cell>
          <cell r="C2759" t="str">
            <v>BRS_GOLD__5_SPREADS:BRS_GOLD__3_OTHER_SPREADS:BRS_GOLD__2_OSABS:NUS_ABS:ALL_ABS_MANUF_AAA_2</v>
          </cell>
          <cell r="D2759" t="str">
            <v>Spread Duration</v>
          </cell>
          <cell r="E2759" t="str">
            <v>Spread Yield (DxS)</v>
          </cell>
          <cell r="F2759" t="str">
            <v>Alternative</v>
          </cell>
          <cell r="G2759" t="str">
            <v>Other</v>
          </cell>
          <cell r="H2759" t="str">
            <v>ALTS</v>
          </cell>
          <cell r="I2759" t="str">
            <v>ABS - Swap Spread</v>
          </cell>
        </row>
        <row r="2760">
          <cell r="A2760" t="str">
            <v>ALL_ABS_MANUF_AAA_5</v>
          </cell>
          <cell r="B2760" t="str">
            <v>Non$ Mfg Hous AAA 5Y</v>
          </cell>
          <cell r="C2760" t="str">
            <v>BRS_GOLD__5_SPREADS:BRS_GOLD__3_OTHER_SPREADS:BRS_GOLD__2_OSABS:NUS_ABS:ALL_ABS_MANUF_AAA_5</v>
          </cell>
          <cell r="D2760" t="str">
            <v>Spread Duration</v>
          </cell>
          <cell r="E2760" t="str">
            <v>Spread Yield (DxS)</v>
          </cell>
          <cell r="F2760" t="str">
            <v>Alternative</v>
          </cell>
          <cell r="G2760" t="str">
            <v>Other</v>
          </cell>
          <cell r="H2760" t="str">
            <v>ALTS</v>
          </cell>
          <cell r="I2760" t="str">
            <v>ABS - Swap Spread</v>
          </cell>
        </row>
        <row r="2761">
          <cell r="A2761" t="str">
            <v>ALL_ABS_AUS_MBS_AAA_3</v>
          </cell>
          <cell r="B2761" t="str">
            <v>Aus MBS Flt 3Y</v>
          </cell>
          <cell r="C2761" t="str">
            <v>BRS_GOLD__5_SPREADS:BRS_GOLD__3_OTHER_SPREADS:BRS_GOLD__2_OSABS:NUS_ABS:ALL_ABS_AUS_MBS_AAA_3</v>
          </cell>
          <cell r="D2761" t="str">
            <v>Spread Duration</v>
          </cell>
          <cell r="E2761" t="str">
            <v>Spread Yield (DxS)</v>
          </cell>
          <cell r="F2761" t="str">
            <v>Alternative</v>
          </cell>
          <cell r="G2761" t="str">
            <v>Other</v>
          </cell>
          <cell r="H2761" t="str">
            <v>ALTS</v>
          </cell>
          <cell r="I2761" t="str">
            <v>ABS - Swap Spread</v>
          </cell>
        </row>
        <row r="2762">
          <cell r="A2762" t="str">
            <v>ALL_ABS_CARD_FLT_AAA_10</v>
          </cell>
          <cell r="B2762" t="str">
            <v>Non$ Flt Cr Card AAA 10Y</v>
          </cell>
          <cell r="C2762" t="str">
            <v>BRS_GOLD__5_SPREADS:BRS_GOLD__3_OTHER_SPREADS:BRS_GOLD__2_OSABS:NUS_ABS:ALL_ABS_CARD_FLT_AAA_10</v>
          </cell>
          <cell r="D2762" t="str">
            <v>Spread Duration</v>
          </cell>
          <cell r="E2762" t="str">
            <v>Spread Yield (DxS)</v>
          </cell>
          <cell r="F2762" t="str">
            <v>Alternative</v>
          </cell>
          <cell r="G2762" t="str">
            <v>Other</v>
          </cell>
          <cell r="H2762" t="str">
            <v>ALTS</v>
          </cell>
          <cell r="I2762" t="str">
            <v>ABS - Swap Spread</v>
          </cell>
        </row>
        <row r="2763">
          <cell r="A2763" t="str">
            <v>ALL_ABS_CARD_FLT_AAA_2</v>
          </cell>
          <cell r="B2763" t="str">
            <v>Non$ Flt Cr Card AAA 2Y</v>
          </cell>
          <cell r="C2763" t="str">
            <v>BRS_GOLD__5_SPREADS:BRS_GOLD__3_OTHER_SPREADS:BRS_GOLD__2_OSABS:NUS_ABS:ALL_ABS_CARD_FLT_AAA_2</v>
          </cell>
          <cell r="D2763" t="str">
            <v>Spread Duration</v>
          </cell>
          <cell r="E2763" t="str">
            <v>Spread Yield (DxS)</v>
          </cell>
          <cell r="F2763" t="str">
            <v>Alternative</v>
          </cell>
          <cell r="G2763" t="str">
            <v>Other</v>
          </cell>
          <cell r="H2763" t="str">
            <v>ALTS</v>
          </cell>
          <cell r="I2763" t="str">
            <v>ABS - Swap Spread</v>
          </cell>
        </row>
        <row r="2764">
          <cell r="A2764" t="str">
            <v>ALL_ABS_CARD_FLT_AAA_5</v>
          </cell>
          <cell r="B2764" t="str">
            <v>Non$ Flt Cr Card AAA 5Y</v>
          </cell>
          <cell r="C2764" t="str">
            <v>BRS_GOLD__5_SPREADS:BRS_GOLD__3_OTHER_SPREADS:BRS_GOLD__2_OSABS:NUS_ABS:ALL_ABS_CARD_FLT_AAA_5</v>
          </cell>
          <cell r="D2764" t="str">
            <v>Spread Duration</v>
          </cell>
          <cell r="E2764" t="str">
            <v>Spread Yield (DxS)</v>
          </cell>
          <cell r="F2764" t="str">
            <v>Alternative</v>
          </cell>
          <cell r="G2764" t="str">
            <v>Other</v>
          </cell>
          <cell r="H2764" t="str">
            <v>ALTS</v>
          </cell>
          <cell r="I2764" t="str">
            <v>ABS - Swap Spread</v>
          </cell>
        </row>
        <row r="2765">
          <cell r="A2765" t="str">
            <v>ALL_ABS_CARD_FLT_A_10</v>
          </cell>
          <cell r="B2765" t="str">
            <v>Non$ Flt Cr Card A 10Y</v>
          </cell>
          <cell r="C2765" t="str">
            <v>BRS_GOLD__5_SPREADS:BRS_GOLD__3_OTHER_SPREADS:BRS_GOLD__2_OSABS:NUS_ABS:ALL_ABS_CARD_FLT_A_10</v>
          </cell>
          <cell r="D2765" t="str">
            <v>Spread Duration</v>
          </cell>
          <cell r="E2765" t="str">
            <v>Spread Yield (DxS)</v>
          </cell>
          <cell r="F2765" t="str">
            <v>Alternative</v>
          </cell>
          <cell r="G2765" t="str">
            <v>Other</v>
          </cell>
          <cell r="H2765" t="str">
            <v>ALTS</v>
          </cell>
          <cell r="I2765" t="str">
            <v>ABS - Swap Spread</v>
          </cell>
        </row>
        <row r="2766">
          <cell r="A2766" t="str">
            <v>ALL_ABS_CARD_FLT_A_2</v>
          </cell>
          <cell r="B2766" t="str">
            <v>Non$ Flt Cr Card A 2Y</v>
          </cell>
          <cell r="C2766" t="str">
            <v>BRS_GOLD__5_SPREADS:BRS_GOLD__3_OTHER_SPREADS:BRS_GOLD__2_OSABS:NUS_ABS:ALL_ABS_CARD_FLT_A_2</v>
          </cell>
          <cell r="D2766" t="str">
            <v>Spread Duration</v>
          </cell>
          <cell r="E2766" t="str">
            <v>Spread Yield (DxS)</v>
          </cell>
          <cell r="F2766" t="str">
            <v>Alternative</v>
          </cell>
          <cell r="G2766" t="str">
            <v>Other</v>
          </cell>
          <cell r="H2766" t="str">
            <v>ALTS</v>
          </cell>
          <cell r="I2766" t="str">
            <v>ABS - Swap Spread</v>
          </cell>
        </row>
        <row r="2767">
          <cell r="A2767" t="str">
            <v>ALL_ABS_CARD_FLT_A_5</v>
          </cell>
          <cell r="B2767" t="str">
            <v>Non$ Flt Cr Card A 5Y</v>
          </cell>
          <cell r="C2767" t="str">
            <v>BRS_GOLD__5_SPREADS:BRS_GOLD__3_OTHER_SPREADS:BRS_GOLD__2_OSABS:NUS_ABS:ALL_ABS_CARD_FLT_A_5</v>
          </cell>
          <cell r="D2767" t="str">
            <v>Spread Duration</v>
          </cell>
          <cell r="E2767" t="str">
            <v>Spread Yield (DxS)</v>
          </cell>
          <cell r="F2767" t="str">
            <v>Alternative</v>
          </cell>
          <cell r="G2767" t="str">
            <v>Other</v>
          </cell>
          <cell r="H2767" t="str">
            <v>ALTS</v>
          </cell>
          <cell r="I2767" t="str">
            <v>ABS - Swap Spread</v>
          </cell>
        </row>
        <row r="2768">
          <cell r="A2768" t="str">
            <v>ALL_ABS_CARD_FLT_BBB_10</v>
          </cell>
          <cell r="B2768" t="str">
            <v>Non$ Flt Cr Card BBB 10Y</v>
          </cell>
          <cell r="C2768" t="str">
            <v>BRS_GOLD__5_SPREADS:BRS_GOLD__3_OTHER_SPREADS:BRS_GOLD__2_OSABS:NUS_ABS:ALL_ABS_CARD_FLT_BBB_10</v>
          </cell>
          <cell r="D2768" t="str">
            <v>Spread Duration</v>
          </cell>
          <cell r="E2768" t="str">
            <v>Spread Yield (DxS)</v>
          </cell>
          <cell r="F2768" t="str">
            <v>Alternative</v>
          </cell>
          <cell r="G2768" t="str">
            <v>Other</v>
          </cell>
          <cell r="H2768" t="str">
            <v>ALTS</v>
          </cell>
          <cell r="I2768" t="str">
            <v>ABS - Swap Spread</v>
          </cell>
        </row>
        <row r="2769">
          <cell r="A2769" t="str">
            <v>ALL_ABS_CARD_FLT_BBB_2</v>
          </cell>
          <cell r="B2769" t="str">
            <v>Non$ Flt Cr Card BBB 2Y</v>
          </cell>
          <cell r="C2769" t="str">
            <v>BRS_GOLD__5_SPREADS:BRS_GOLD__3_OTHER_SPREADS:BRS_GOLD__2_OSABS:NUS_ABS:ALL_ABS_CARD_FLT_BBB_2</v>
          </cell>
          <cell r="D2769" t="str">
            <v>Spread Duration</v>
          </cell>
          <cell r="E2769" t="str">
            <v>Spread Yield (DxS)</v>
          </cell>
          <cell r="F2769" t="str">
            <v>Alternative</v>
          </cell>
          <cell r="G2769" t="str">
            <v>Other</v>
          </cell>
          <cell r="H2769" t="str">
            <v>ALTS</v>
          </cell>
          <cell r="I2769" t="str">
            <v>ABS - Swap Spread</v>
          </cell>
        </row>
        <row r="2770">
          <cell r="A2770" t="str">
            <v>ALL_ABS_CARD_FLT_BBB_5</v>
          </cell>
          <cell r="B2770" t="str">
            <v>Non$ Flt Cr Card BBB 5Y</v>
          </cell>
          <cell r="C2770" t="str">
            <v>BRS_GOLD__5_SPREADS:BRS_GOLD__3_OTHER_SPREADS:BRS_GOLD__2_OSABS:NUS_ABS:ALL_ABS_CARD_FLT_BBB_5</v>
          </cell>
          <cell r="D2770" t="str">
            <v>Spread Duration</v>
          </cell>
          <cell r="E2770" t="str">
            <v>Spread Yield (DxS)</v>
          </cell>
          <cell r="F2770" t="str">
            <v>Alternative</v>
          </cell>
          <cell r="G2770" t="str">
            <v>Other</v>
          </cell>
          <cell r="H2770" t="str">
            <v>ALTS</v>
          </cell>
          <cell r="I2770" t="str">
            <v>ABS - Swap Spread</v>
          </cell>
        </row>
        <row r="2771">
          <cell r="A2771" t="str">
            <v>ALL_ABS_HE_FLT_AAA_3</v>
          </cell>
          <cell r="B2771" t="str">
            <v>Non$ Flt Home Eq AAA 3yr</v>
          </cell>
          <cell r="C2771" t="str">
            <v>BRS_GOLD__5_SPREADS:BRS_GOLD__3_OTHER_SPREADS:BRS_GOLD__2_OSABS:NUS_ABS:ALL_ABS_HE_FLT_AAA_3</v>
          </cell>
          <cell r="D2771" t="str">
            <v>Spread Duration</v>
          </cell>
          <cell r="E2771" t="str">
            <v>Spread Yield (DxS)</v>
          </cell>
          <cell r="F2771" t="str">
            <v>Alternative</v>
          </cell>
          <cell r="G2771" t="str">
            <v>Other</v>
          </cell>
          <cell r="H2771" t="str">
            <v>ALTS</v>
          </cell>
          <cell r="I2771" t="str">
            <v>ABS - Swap Spread</v>
          </cell>
        </row>
        <row r="2772">
          <cell r="A2772" t="str">
            <v>ALL_ABS_HE_FLT_AAA_5</v>
          </cell>
          <cell r="B2772" t="str">
            <v>Non$ Flt Home Eq AAA 5yr</v>
          </cell>
          <cell r="C2772" t="str">
            <v>BRS_GOLD__5_SPREADS:BRS_GOLD__3_OTHER_SPREADS:BRS_GOLD__2_OSABS:NUS_ABS:ALL_ABS_HE_FLT_AAA_5</v>
          </cell>
          <cell r="D2772" t="str">
            <v>Spread Duration</v>
          </cell>
          <cell r="E2772" t="str">
            <v>Spread Yield (DxS)</v>
          </cell>
          <cell r="F2772" t="str">
            <v>Alternative</v>
          </cell>
          <cell r="G2772" t="str">
            <v>Other</v>
          </cell>
          <cell r="H2772" t="str">
            <v>ALTS</v>
          </cell>
          <cell r="I2772" t="str">
            <v>ABS - Swap Spread</v>
          </cell>
        </row>
        <row r="2773">
          <cell r="A2773" t="str">
            <v>ALL_ABS_HE_FLT_A_5</v>
          </cell>
          <cell r="B2773" t="str">
            <v>Non$ Flt Home Eq A 5yr</v>
          </cell>
          <cell r="C2773" t="str">
            <v>BRS_GOLD__5_SPREADS:BRS_GOLD__3_OTHER_SPREADS:BRS_GOLD__2_OSABS:NUS_ABS:ALL_ABS_HE_FLT_A_5</v>
          </cell>
          <cell r="D2773" t="str">
            <v>Spread Duration</v>
          </cell>
          <cell r="E2773" t="str">
            <v>Spread Yield (DxS)</v>
          </cell>
          <cell r="F2773" t="str">
            <v>Alternative</v>
          </cell>
          <cell r="G2773" t="str">
            <v>Other</v>
          </cell>
          <cell r="H2773" t="str">
            <v>ALTS</v>
          </cell>
          <cell r="I2773" t="str">
            <v>ABS - Swap Spread</v>
          </cell>
        </row>
        <row r="2774">
          <cell r="A2774" t="str">
            <v>ALL_ABS_HE_FLT_BBB_5</v>
          </cell>
          <cell r="B2774" t="str">
            <v>Non$ Flt Home Eq BBB 5yr</v>
          </cell>
          <cell r="C2774" t="str">
            <v>BRS_GOLD__5_SPREADS:BRS_GOLD__3_OTHER_SPREADS:BRS_GOLD__2_OSABS:NUS_ABS:ALL_ABS_HE_FLT_BBB_5</v>
          </cell>
          <cell r="D2774" t="str">
            <v>Spread Duration</v>
          </cell>
          <cell r="E2774" t="str">
            <v>Spread Yield (DxS)</v>
          </cell>
          <cell r="F2774" t="str">
            <v>Alternative</v>
          </cell>
          <cell r="G2774" t="str">
            <v>Other</v>
          </cell>
          <cell r="H2774" t="str">
            <v>ALTS</v>
          </cell>
          <cell r="I2774" t="str">
            <v>ABS - Swap Spread</v>
          </cell>
        </row>
        <row r="2775">
          <cell r="A2775" t="str">
            <v>ALL_ABS_SLOAN_FLT_AAA_1</v>
          </cell>
          <cell r="B2775" t="str">
            <v>Non$ Flt S Loan AAA 1Y</v>
          </cell>
          <cell r="C2775" t="str">
            <v>BRS_GOLD__5_SPREADS:BRS_GOLD__3_OTHER_SPREADS:BRS_GOLD__2_OSABS:NUS_ABS:ALL_ABS_SLOAN_FLT_AAA_1</v>
          </cell>
          <cell r="D2775" t="str">
            <v>Spread Duration</v>
          </cell>
          <cell r="E2775" t="str">
            <v>Spread Yield (DxS)</v>
          </cell>
          <cell r="F2775" t="str">
            <v>Alternative</v>
          </cell>
          <cell r="G2775" t="str">
            <v>Other</v>
          </cell>
          <cell r="H2775" t="str">
            <v>ALTS</v>
          </cell>
          <cell r="I2775" t="str">
            <v>ABS - Swap Spread</v>
          </cell>
        </row>
        <row r="2776">
          <cell r="A2776" t="str">
            <v>ALL_ABS_SLOAN_FLT_AAA_10</v>
          </cell>
          <cell r="B2776" t="str">
            <v>Non$ Flt S Loan AAA 10Y</v>
          </cell>
          <cell r="C2776" t="str">
            <v>BRS_GOLD__5_SPREADS:BRS_GOLD__3_OTHER_SPREADS:BRS_GOLD__2_OSABS:NUS_ABS:ALL_ABS_SLOAN_FLT_AAA_10</v>
          </cell>
          <cell r="D2776" t="str">
            <v>Spread Duration</v>
          </cell>
          <cell r="E2776" t="str">
            <v>Spread Yield (DxS)</v>
          </cell>
          <cell r="F2776" t="str">
            <v>Alternative</v>
          </cell>
          <cell r="G2776" t="str">
            <v>Other</v>
          </cell>
          <cell r="H2776" t="str">
            <v>ALTS</v>
          </cell>
          <cell r="I2776" t="str">
            <v>ABS - Swap Spread</v>
          </cell>
        </row>
        <row r="2777">
          <cell r="A2777" t="str">
            <v>ALL_ABS_SLOAN_FLT_AAA_3</v>
          </cell>
          <cell r="B2777" t="str">
            <v>Non$ Flt S Loan AAA 3Y</v>
          </cell>
          <cell r="C2777" t="str">
            <v>BRS_GOLD__5_SPREADS:BRS_GOLD__3_OTHER_SPREADS:BRS_GOLD__2_OSABS:NUS_ABS:ALL_ABS_SLOAN_FLT_AAA_3</v>
          </cell>
          <cell r="D2777" t="str">
            <v>Spread Duration</v>
          </cell>
          <cell r="E2777" t="str">
            <v>Spread Yield (DxS)</v>
          </cell>
          <cell r="F2777" t="str">
            <v>Alternative</v>
          </cell>
          <cell r="G2777" t="str">
            <v>Other</v>
          </cell>
          <cell r="H2777" t="str">
            <v>ALTS</v>
          </cell>
          <cell r="I2777" t="str">
            <v>ABS - Swap Spread</v>
          </cell>
        </row>
        <row r="2778">
          <cell r="A2778" t="str">
            <v>ALL_ABS_SLOAN_FLT_AAA_5</v>
          </cell>
          <cell r="B2778" t="str">
            <v>Non$ Flt S Loan AAA 5Y</v>
          </cell>
          <cell r="C2778" t="str">
            <v>BRS_GOLD__5_SPREADS:BRS_GOLD__3_OTHER_SPREADS:BRS_GOLD__2_OSABS:NUS_ABS:ALL_ABS_SLOAN_FLT_AAA_5</v>
          </cell>
          <cell r="D2778" t="str">
            <v>Spread Duration</v>
          </cell>
          <cell r="E2778" t="str">
            <v>Spread Yield (DxS)</v>
          </cell>
          <cell r="F2778" t="str">
            <v>Alternative</v>
          </cell>
          <cell r="G2778" t="str">
            <v>Other</v>
          </cell>
          <cell r="H2778" t="str">
            <v>ALTS</v>
          </cell>
          <cell r="I2778" t="str">
            <v>ABS - Swap Spread</v>
          </cell>
        </row>
        <row r="2779">
          <cell r="A2779" t="str">
            <v>ALL_ABS_SLOAN_FLT_AA_10</v>
          </cell>
          <cell r="B2779" t="str">
            <v>Non$ Flt S Loan AA 10Y</v>
          </cell>
          <cell r="C2779" t="str">
            <v>BRS_GOLD__5_SPREADS:BRS_GOLD__3_OTHER_SPREADS:BRS_GOLD__2_OSABS:NUS_ABS:ALL_ABS_SLOAN_FLT_AA_10</v>
          </cell>
          <cell r="D2779" t="str">
            <v>Spread Duration</v>
          </cell>
          <cell r="E2779" t="str">
            <v>Spread Yield (DxS)</v>
          </cell>
          <cell r="F2779" t="str">
            <v>Alternative</v>
          </cell>
          <cell r="G2779" t="str">
            <v>Other</v>
          </cell>
          <cell r="H2779" t="str">
            <v>ALTS</v>
          </cell>
          <cell r="I2779" t="str">
            <v>ABS - Swap Spread</v>
          </cell>
        </row>
        <row r="2780">
          <cell r="A2780" t="str">
            <v>ALL_ABS_UK_MBS_AAA_3</v>
          </cell>
          <cell r="B2780" t="str">
            <v>UK MBS Flt AAA 3Y</v>
          </cell>
          <cell r="C2780" t="str">
            <v>BRS_GOLD__5_SPREADS:BRS_GOLD__3_OTHER_SPREADS:BRS_GOLD__2_OSABS:NUS_ABS:ALL_ABS_UK_MBS_AAA_3</v>
          </cell>
          <cell r="D2780" t="str">
            <v>Spread Duration</v>
          </cell>
          <cell r="E2780" t="str">
            <v>Spread Yield (DxS)</v>
          </cell>
          <cell r="F2780" t="str">
            <v>Alternative</v>
          </cell>
          <cell r="G2780" t="str">
            <v>Other</v>
          </cell>
          <cell r="H2780" t="str">
            <v>ALTS</v>
          </cell>
          <cell r="I2780" t="str">
            <v>ABS - Swap Spread</v>
          </cell>
        </row>
        <row r="2781">
          <cell r="A2781" t="str">
            <v>ALL_ABS_UK_MBS_AAA_5</v>
          </cell>
          <cell r="B2781" t="str">
            <v>UK MBS Flt AAA 5Y</v>
          </cell>
          <cell r="C2781" t="str">
            <v>BRS_GOLD__5_SPREADS:BRS_GOLD__3_OTHER_SPREADS:BRS_GOLD__2_OSABS:NUS_ABS:ALL_ABS_UK_MBS_AAA_5</v>
          </cell>
          <cell r="D2781" t="str">
            <v>Spread Duration</v>
          </cell>
          <cell r="E2781" t="str">
            <v>Spread Yield (DxS)</v>
          </cell>
          <cell r="F2781" t="str">
            <v>Alternative</v>
          </cell>
          <cell r="G2781" t="str">
            <v>Other</v>
          </cell>
          <cell r="H2781" t="str">
            <v>ALTS</v>
          </cell>
          <cell r="I2781" t="str">
            <v>ABS - Swap Spread</v>
          </cell>
        </row>
        <row r="2782">
          <cell r="A2782" t="str">
            <v>ALL_ABS_UK_MBS_AA_5</v>
          </cell>
          <cell r="B2782" t="str">
            <v>UK MBS Flt AA 5Y</v>
          </cell>
          <cell r="C2782" t="str">
            <v>BRS_GOLD__5_SPREADS:BRS_GOLD__3_OTHER_SPREADS:BRS_GOLD__2_OSABS:NUS_ABS:ALL_ABS_UK_MBS_AA_5</v>
          </cell>
          <cell r="D2782" t="str">
            <v>Spread Duration</v>
          </cell>
          <cell r="E2782" t="str">
            <v>Spread Yield (DxS)</v>
          </cell>
          <cell r="F2782" t="str">
            <v>Alternative</v>
          </cell>
          <cell r="G2782" t="str">
            <v>Other</v>
          </cell>
          <cell r="H2782" t="str">
            <v>ALTS</v>
          </cell>
          <cell r="I2782" t="str">
            <v>ABS - Swap Spread</v>
          </cell>
        </row>
        <row r="2783">
          <cell r="A2783" t="str">
            <v>ALL_ABS_UK_MBS_BBB_5</v>
          </cell>
          <cell r="B2783" t="str">
            <v>UK MBS Flt BBB 5Y</v>
          </cell>
          <cell r="C2783" t="str">
            <v>BRS_GOLD__5_SPREADS:BRS_GOLD__3_OTHER_SPREADS:BRS_GOLD__2_OSABS:NUS_ABS:ALL_ABS_UK_MBS_BBB_5</v>
          </cell>
          <cell r="D2783" t="str">
            <v>Spread Duration</v>
          </cell>
          <cell r="E2783" t="str">
            <v>Spread Yield (DxS)</v>
          </cell>
          <cell r="F2783" t="str">
            <v>Alternative</v>
          </cell>
          <cell r="G2783" t="str">
            <v>Other</v>
          </cell>
          <cell r="H2783" t="str">
            <v>ALTS</v>
          </cell>
          <cell r="I2783" t="str">
            <v>ABS - Swap Spread</v>
          </cell>
        </row>
        <row r="2784">
          <cell r="A2784" t="str">
            <v>ALL_UK_RMBS_B_A</v>
          </cell>
          <cell r="B2784" t="str">
            <v>UK BTL A</v>
          </cell>
          <cell r="C2784" t="str">
            <v>BRS_GOLD__5_SPREADS:BRS_GOLD__3_OTHER_SPREADS:BRS_GOLD__2_OSABS:NUS_ABS:ALL_UK_RMBS_B_A</v>
          </cell>
          <cell r="D2784" t="str">
            <v>Spread Duration</v>
          </cell>
          <cell r="E2784" t="str">
            <v>Spread Yield (DxS)</v>
          </cell>
          <cell r="F2784" t="str">
            <v>Alternative</v>
          </cell>
          <cell r="G2784" t="str">
            <v>Other</v>
          </cell>
          <cell r="H2784" t="str">
            <v>ALTS</v>
          </cell>
          <cell r="I2784" t="str">
            <v>ABS - Swap Spread</v>
          </cell>
        </row>
        <row r="2785">
          <cell r="A2785" t="str">
            <v>ALL_UK_RMBS_B_AAA</v>
          </cell>
          <cell r="B2785" t="str">
            <v>UK BTL AAA</v>
          </cell>
          <cell r="C2785" t="str">
            <v>BRS_GOLD__5_SPREADS:BRS_GOLD__3_OTHER_SPREADS:BRS_GOLD__2_OSABS:NUS_ABS:ALL_UK_RMBS_B_AAA</v>
          </cell>
          <cell r="D2785" t="str">
            <v>Spread Duration</v>
          </cell>
          <cell r="E2785" t="str">
            <v>Spread Yield (DxS)</v>
          </cell>
          <cell r="F2785" t="str">
            <v>Alternative</v>
          </cell>
          <cell r="G2785" t="str">
            <v>Other</v>
          </cell>
          <cell r="H2785" t="str">
            <v>ALTS</v>
          </cell>
          <cell r="I2785" t="str">
            <v>ABS - Swap Spread</v>
          </cell>
        </row>
        <row r="2786">
          <cell r="A2786" t="str">
            <v>ALL_UK_RMBS_B_BBB</v>
          </cell>
          <cell r="B2786" t="str">
            <v>UK BTL BBB</v>
          </cell>
          <cell r="C2786" t="str">
            <v>BRS_GOLD__5_SPREADS:BRS_GOLD__3_OTHER_SPREADS:BRS_GOLD__2_OSABS:NUS_ABS:ALL_UK_RMBS_B_BBB</v>
          </cell>
          <cell r="D2786" t="str">
            <v>Spread Duration</v>
          </cell>
          <cell r="E2786" t="str">
            <v>Spread Yield (DxS)</v>
          </cell>
          <cell r="F2786" t="str">
            <v>Alternative</v>
          </cell>
          <cell r="G2786" t="str">
            <v>Other</v>
          </cell>
          <cell r="H2786" t="str">
            <v>ALTS</v>
          </cell>
          <cell r="I2786" t="str">
            <v>ABS - Swap Spread</v>
          </cell>
        </row>
        <row r="2787">
          <cell r="A2787" t="str">
            <v>ALL_UK_RMBS_P_A</v>
          </cell>
          <cell r="B2787" t="str">
            <v>UK Prime A</v>
          </cell>
          <cell r="C2787" t="str">
            <v>BRS_GOLD__5_SPREADS:BRS_GOLD__3_OTHER_SPREADS:BRS_GOLD__2_OSABS:NUS_ABS:ALL_UK_RMBS_P_A</v>
          </cell>
          <cell r="D2787" t="str">
            <v>Spread Duration</v>
          </cell>
          <cell r="E2787" t="str">
            <v>Spread Yield (DxS)</v>
          </cell>
          <cell r="F2787" t="str">
            <v>Alternative</v>
          </cell>
          <cell r="G2787" t="str">
            <v>Other</v>
          </cell>
          <cell r="H2787" t="str">
            <v>ALTS</v>
          </cell>
          <cell r="I2787" t="str">
            <v>ABS - Swap Spread</v>
          </cell>
        </row>
        <row r="2788">
          <cell r="A2788" t="str">
            <v>ALL_UK_RMBS_P_AA</v>
          </cell>
          <cell r="B2788" t="str">
            <v>UK Prime AA</v>
          </cell>
          <cell r="C2788" t="str">
            <v>BRS_GOLD__5_SPREADS:BRS_GOLD__3_OTHER_SPREADS:BRS_GOLD__2_OSABS:NUS_ABS:ALL_UK_RMBS_P_AA</v>
          </cell>
          <cell r="D2788" t="str">
            <v>Spread Duration</v>
          </cell>
          <cell r="E2788" t="str">
            <v>Spread Yield (DxS)</v>
          </cell>
          <cell r="F2788" t="str">
            <v>Alternative</v>
          </cell>
          <cell r="G2788" t="str">
            <v>Other</v>
          </cell>
          <cell r="H2788" t="str">
            <v>ALTS</v>
          </cell>
          <cell r="I2788" t="str">
            <v>ABS - Swap Spread</v>
          </cell>
        </row>
        <row r="2789">
          <cell r="A2789" t="str">
            <v>ALL_UK_RMBS_P_AAA</v>
          </cell>
          <cell r="B2789" t="str">
            <v>UK Prime AAA</v>
          </cell>
          <cell r="C2789" t="str">
            <v>BRS_GOLD__5_SPREADS:BRS_GOLD__3_OTHER_SPREADS:BRS_GOLD__2_OSABS:NUS_ABS:ALL_UK_RMBS_P_AAA</v>
          </cell>
          <cell r="D2789" t="str">
            <v>Spread Duration</v>
          </cell>
          <cell r="E2789" t="str">
            <v>Spread Yield (DxS)</v>
          </cell>
          <cell r="F2789" t="str">
            <v>Alternative</v>
          </cell>
          <cell r="G2789" t="str">
            <v>Other</v>
          </cell>
          <cell r="H2789" t="str">
            <v>ALTS</v>
          </cell>
          <cell r="I2789" t="str">
            <v>ABS - Swap Spread</v>
          </cell>
        </row>
        <row r="2790">
          <cell r="A2790" t="str">
            <v>ALL_UK_RMBS_P_BBB</v>
          </cell>
          <cell r="B2790" t="str">
            <v>UK Prime BBB</v>
          </cell>
          <cell r="C2790" t="str">
            <v>BRS_GOLD__5_SPREADS:BRS_GOLD__3_OTHER_SPREADS:BRS_GOLD__2_OSABS:NUS_ABS:ALL_UK_RMBS_P_BBB</v>
          </cell>
          <cell r="D2790" t="str">
            <v>Spread Duration</v>
          </cell>
          <cell r="E2790" t="str">
            <v>Spread Yield (DxS)</v>
          </cell>
          <cell r="F2790" t="str">
            <v>Alternative</v>
          </cell>
          <cell r="G2790" t="str">
            <v>Other</v>
          </cell>
          <cell r="H2790" t="str">
            <v>ALTS</v>
          </cell>
          <cell r="I2790" t="str">
            <v>ABS - Swap Spread</v>
          </cell>
        </row>
        <row r="2791">
          <cell r="A2791" t="str">
            <v>ALL_UK_RMBS_S_A</v>
          </cell>
          <cell r="B2791" t="str">
            <v>UK NonConf A</v>
          </cell>
          <cell r="C2791" t="str">
            <v>BRS_GOLD__5_SPREADS:BRS_GOLD__3_OTHER_SPREADS:BRS_GOLD__2_OSABS:NUS_ABS:ALL_UK_RMBS_S_A</v>
          </cell>
          <cell r="D2791" t="str">
            <v>Spread Duration</v>
          </cell>
          <cell r="E2791" t="str">
            <v>Spread Yield (DxS)</v>
          </cell>
          <cell r="F2791" t="str">
            <v>Alternative</v>
          </cell>
          <cell r="G2791" t="str">
            <v>Other</v>
          </cell>
          <cell r="H2791" t="str">
            <v>ALTS</v>
          </cell>
          <cell r="I2791" t="str">
            <v>ABS - Swap Spread</v>
          </cell>
        </row>
        <row r="2792">
          <cell r="A2792" t="str">
            <v>ALL_UK_RMBS_S_AAA</v>
          </cell>
          <cell r="B2792" t="str">
            <v>UK NonConf AAA</v>
          </cell>
          <cell r="C2792" t="str">
            <v>BRS_GOLD__5_SPREADS:BRS_GOLD__3_OTHER_SPREADS:BRS_GOLD__2_OSABS:NUS_ABS:ALL_UK_RMBS_S_AAA</v>
          </cell>
          <cell r="D2792" t="str">
            <v>Spread Duration</v>
          </cell>
          <cell r="E2792" t="str">
            <v>Spread Yield (DxS)</v>
          </cell>
          <cell r="F2792" t="str">
            <v>Alternative</v>
          </cell>
          <cell r="G2792" t="str">
            <v>Other</v>
          </cell>
          <cell r="H2792" t="str">
            <v>ALTS</v>
          </cell>
          <cell r="I2792" t="str">
            <v>ABS - Swap Spread</v>
          </cell>
        </row>
        <row r="2793">
          <cell r="A2793" t="str">
            <v>ALL_UK_RMBS_S_BBB</v>
          </cell>
          <cell r="B2793" t="str">
            <v>UK NonConf BBB</v>
          </cell>
          <cell r="C2793" t="str">
            <v>BRS_GOLD__5_SPREADS:BRS_GOLD__3_OTHER_SPREADS:BRS_GOLD__2_OSABS:NUS_ABS:ALL_UK_RMBS_S_BBB</v>
          </cell>
          <cell r="D2793" t="str">
            <v>Spread Duration</v>
          </cell>
          <cell r="E2793" t="str">
            <v>Spread Yield (DxS)</v>
          </cell>
          <cell r="F2793" t="str">
            <v>Alternative</v>
          </cell>
          <cell r="G2793" t="str">
            <v>Other</v>
          </cell>
          <cell r="H2793" t="str">
            <v>ALTS</v>
          </cell>
          <cell r="I2793" t="str">
            <v>ABS - Swap Spread</v>
          </cell>
        </row>
        <row r="2794">
          <cell r="A2794" t="str">
            <v>EUR_UK_RMBS_B_A</v>
          </cell>
          <cell r="B2794" t="str">
            <v>EUR UK BTL A</v>
          </cell>
          <cell r="C2794" t="str">
            <v>BRS_GOLD__5_SPREADS:BRS_GOLD__3_OTHER_SPREADS:BRS_GOLD__2_OSABS:NUS_ABS:EUR_UK_RMBS_B_A</v>
          </cell>
          <cell r="D2794" t="str">
            <v>Spread Duration</v>
          </cell>
          <cell r="E2794" t="str">
            <v>Spread Yield (DxS)</v>
          </cell>
          <cell r="F2794" t="str">
            <v>Alternative</v>
          </cell>
          <cell r="G2794" t="str">
            <v>Other</v>
          </cell>
          <cell r="H2794" t="str">
            <v>ALTS</v>
          </cell>
          <cell r="I2794" t="str">
            <v>ABS - Swap Spread</v>
          </cell>
        </row>
        <row r="2795">
          <cell r="A2795" t="str">
            <v>EUR_UK_RMBS_B_AAA</v>
          </cell>
          <cell r="B2795" t="str">
            <v>EUR UK BTL AAA</v>
          </cell>
          <cell r="C2795" t="str">
            <v>BRS_GOLD__5_SPREADS:BRS_GOLD__3_OTHER_SPREADS:BRS_GOLD__2_OSABS:NUS_ABS:EUR_UK_RMBS_B_AAA</v>
          </cell>
          <cell r="D2795" t="str">
            <v>Spread Duration</v>
          </cell>
          <cell r="E2795" t="str">
            <v>Spread Yield (DxS)</v>
          </cell>
          <cell r="F2795" t="str">
            <v>Alternative</v>
          </cell>
          <cell r="G2795" t="str">
            <v>Other</v>
          </cell>
          <cell r="H2795" t="str">
            <v>ALTS</v>
          </cell>
          <cell r="I2795" t="str">
            <v>ABS - Swap Spread</v>
          </cell>
        </row>
        <row r="2796">
          <cell r="A2796" t="str">
            <v>EUR_UK_RMBS_G</v>
          </cell>
          <cell r="B2796" t="str">
            <v>Euro UK RMBS</v>
          </cell>
          <cell r="C2796" t="str">
            <v>BRS_GOLD__5_SPREADS:BRS_GOLD__3_OTHER_SPREADS:BRS_GOLD__2_OSABS:NUS_ABS:EUR_UK_RMBS_G</v>
          </cell>
          <cell r="D2796" t="str">
            <v>Spread Duration</v>
          </cell>
          <cell r="E2796" t="str">
            <v>Spread Yield (DxS)</v>
          </cell>
          <cell r="F2796" t="str">
            <v>Alternative</v>
          </cell>
          <cell r="G2796" t="str">
            <v>Other</v>
          </cell>
          <cell r="H2796" t="str">
            <v>ALTS</v>
          </cell>
          <cell r="I2796" t="str">
            <v>ABS - Swap Spread</v>
          </cell>
        </row>
        <row r="2797">
          <cell r="A2797" t="str">
            <v>EUR_UK_RMBS_B_BBB</v>
          </cell>
          <cell r="B2797" t="str">
            <v>EUR UK BTL BBB</v>
          </cell>
          <cell r="C2797" t="str">
            <v>BRS_GOLD__5_SPREADS:BRS_GOLD__3_OTHER_SPREADS:BRS_GOLD__2_OSABS:NUS_ABS:EUR_UK_RMBS_B_BBB</v>
          </cell>
          <cell r="D2797" t="str">
            <v>Spread Duration</v>
          </cell>
          <cell r="E2797" t="str">
            <v>Spread Yield (DxS)</v>
          </cell>
          <cell r="F2797" t="str">
            <v>Alternative</v>
          </cell>
          <cell r="G2797" t="str">
            <v>Other</v>
          </cell>
          <cell r="H2797" t="str">
            <v>ALTS</v>
          </cell>
          <cell r="I2797" t="str">
            <v>ABS - Swap Spread</v>
          </cell>
        </row>
        <row r="2798">
          <cell r="A2798" t="str">
            <v>EUR_UK_RMBS_P_A</v>
          </cell>
          <cell r="B2798" t="str">
            <v>EUR UK Prime A</v>
          </cell>
          <cell r="C2798" t="str">
            <v>BRS_GOLD__5_SPREADS:BRS_GOLD__3_OTHER_SPREADS:BRS_GOLD__2_OSABS:NUS_ABS:EUR_UK_RMBS_P_A</v>
          </cell>
          <cell r="D2798" t="str">
            <v>Spread Duration</v>
          </cell>
          <cell r="E2798" t="str">
            <v>Spread Yield (DxS)</v>
          </cell>
          <cell r="F2798" t="str">
            <v>Alternative</v>
          </cell>
          <cell r="G2798" t="str">
            <v>Other</v>
          </cell>
          <cell r="H2798" t="str">
            <v>ALTS</v>
          </cell>
          <cell r="I2798" t="str">
            <v>ABS - Swap Spread</v>
          </cell>
        </row>
        <row r="2799">
          <cell r="A2799" t="str">
            <v>EUR_UK_RMBS_P_AA</v>
          </cell>
          <cell r="B2799" t="str">
            <v>EUR UK Prime AA</v>
          </cell>
          <cell r="C2799" t="str">
            <v>BRS_GOLD__5_SPREADS:BRS_GOLD__3_OTHER_SPREADS:BRS_GOLD__2_OSABS:NUS_ABS:EUR_UK_RMBS_P_AA</v>
          </cell>
          <cell r="D2799" t="str">
            <v>Spread Duration</v>
          </cell>
          <cell r="E2799" t="str">
            <v>Spread Yield (DxS)</v>
          </cell>
          <cell r="F2799" t="str">
            <v>Alternative</v>
          </cell>
          <cell r="G2799" t="str">
            <v>Other</v>
          </cell>
          <cell r="H2799" t="str">
            <v>ALTS</v>
          </cell>
          <cell r="I2799" t="str">
            <v>ABS - Swap Spread</v>
          </cell>
        </row>
        <row r="2800">
          <cell r="A2800" t="str">
            <v>EUR_UK_RMBS_P_AAA</v>
          </cell>
          <cell r="B2800" t="str">
            <v>EUR UK Prime AAA</v>
          </cell>
          <cell r="C2800" t="str">
            <v>BRS_GOLD__5_SPREADS:BRS_GOLD__3_OTHER_SPREADS:BRS_GOLD__2_OSABS:NUS_ABS:EUR_UK_RMBS_P_AAA</v>
          </cell>
          <cell r="D2800" t="str">
            <v>Spread Duration</v>
          </cell>
          <cell r="E2800" t="str">
            <v>Spread Yield (DxS)</v>
          </cell>
          <cell r="F2800" t="str">
            <v>Alternative</v>
          </cell>
          <cell r="G2800" t="str">
            <v>Other</v>
          </cell>
          <cell r="H2800" t="str">
            <v>ALTS</v>
          </cell>
          <cell r="I2800" t="str">
            <v>ABS - Swap Spread</v>
          </cell>
        </row>
        <row r="2801">
          <cell r="A2801" t="str">
            <v>EUR_UK_RMBS_P_BBB</v>
          </cell>
          <cell r="B2801" t="str">
            <v>EUR UK Prime BBB</v>
          </cell>
          <cell r="C2801" t="str">
            <v>BRS_GOLD__5_SPREADS:BRS_GOLD__3_OTHER_SPREADS:BRS_GOLD__2_OSABS:NUS_ABS:EUR_UK_RMBS_P_BBB</v>
          </cell>
          <cell r="D2801" t="str">
            <v>Spread Duration</v>
          </cell>
          <cell r="E2801" t="str">
            <v>Spread Yield (DxS)</v>
          </cell>
          <cell r="F2801" t="str">
            <v>Alternative</v>
          </cell>
          <cell r="G2801" t="str">
            <v>Other</v>
          </cell>
          <cell r="H2801" t="str">
            <v>ALTS</v>
          </cell>
          <cell r="I2801" t="str">
            <v>ABS - Swap Spread</v>
          </cell>
        </row>
        <row r="2802">
          <cell r="A2802" t="str">
            <v>EUR_UK_RMBS_S_A</v>
          </cell>
          <cell r="B2802" t="str">
            <v>EUR UK NonConf A</v>
          </cell>
          <cell r="C2802" t="str">
            <v>BRS_GOLD__5_SPREADS:BRS_GOLD__3_OTHER_SPREADS:BRS_GOLD__2_OSABS:NUS_ABS:EUR_UK_RMBS_S_A</v>
          </cell>
          <cell r="D2802" t="str">
            <v>Spread Duration</v>
          </cell>
          <cell r="E2802" t="str">
            <v>Spread Yield (DxS)</v>
          </cell>
          <cell r="F2802" t="str">
            <v>Alternative</v>
          </cell>
          <cell r="G2802" t="str">
            <v>Other</v>
          </cell>
          <cell r="H2802" t="str">
            <v>ALTS</v>
          </cell>
          <cell r="I2802" t="str">
            <v>ABS - Swap Spread</v>
          </cell>
        </row>
        <row r="2803">
          <cell r="A2803" t="str">
            <v>EUR_UK_RMBS_S_AAA</v>
          </cell>
          <cell r="B2803" t="str">
            <v>EUR UK NonConf AAA</v>
          </cell>
          <cell r="C2803" t="str">
            <v>BRS_GOLD__5_SPREADS:BRS_GOLD__3_OTHER_SPREADS:BRS_GOLD__2_OSABS:NUS_ABS:EUR_UK_RMBS_S_AAA</v>
          </cell>
          <cell r="D2803" t="str">
            <v>Spread Duration</v>
          </cell>
          <cell r="E2803" t="str">
            <v>Spread Yield (DxS)</v>
          </cell>
          <cell r="F2803" t="str">
            <v>Alternative</v>
          </cell>
          <cell r="G2803" t="str">
            <v>Other</v>
          </cell>
          <cell r="H2803" t="str">
            <v>ALTS</v>
          </cell>
          <cell r="I2803" t="str">
            <v>ABS - Swap Spread</v>
          </cell>
        </row>
        <row r="2804">
          <cell r="A2804" t="str">
            <v>EUR_UK_RMBS_S_BBB</v>
          </cell>
          <cell r="B2804" t="str">
            <v>EUR UK NonConf BBB</v>
          </cell>
          <cell r="C2804" t="str">
            <v>BRS_GOLD__5_SPREADS:BRS_GOLD__3_OTHER_SPREADS:BRS_GOLD__2_OSABS:NUS_ABS:EUR_UK_RMBS_S_BBB</v>
          </cell>
          <cell r="D2804" t="str">
            <v>Spread Duration</v>
          </cell>
          <cell r="E2804" t="str">
            <v>Spread Yield (DxS)</v>
          </cell>
          <cell r="F2804" t="str">
            <v>Alternative</v>
          </cell>
          <cell r="G2804" t="str">
            <v>Other</v>
          </cell>
          <cell r="H2804" t="str">
            <v>ALTS</v>
          </cell>
          <cell r="I2804" t="str">
            <v>ABS - Swap Spread</v>
          </cell>
        </row>
        <row r="2805">
          <cell r="A2805" t="str">
            <v>EUR_EAUTO_AAA</v>
          </cell>
          <cell r="B2805" t="str">
            <v>Euro AUTO AAA</v>
          </cell>
          <cell r="C2805" t="str">
            <v>BRS_GOLD__5_SPREADS:BRS_GOLD__3_OTHER_SPREADS:BRS_GOLD__2_OSABS:NUS_ABS:EUR_EAUTO_AAA</v>
          </cell>
          <cell r="D2805" t="str">
            <v>Spread Duration</v>
          </cell>
          <cell r="E2805" t="str">
            <v>Spread Yield (DxS)</v>
          </cell>
          <cell r="F2805" t="str">
            <v>Alternative</v>
          </cell>
          <cell r="G2805" t="str">
            <v>Other</v>
          </cell>
          <cell r="H2805" t="str">
            <v>ALTS</v>
          </cell>
          <cell r="I2805" t="str">
            <v>ABS - Swap Spread</v>
          </cell>
        </row>
        <row r="2806">
          <cell r="A2806" t="str">
            <v>EUR_EABS_G</v>
          </cell>
          <cell r="B2806" t="str">
            <v>Euro ABS</v>
          </cell>
          <cell r="C2806" t="str">
            <v>BRS_GOLD__5_SPREADS:BRS_GOLD__3_OTHER_SPREADS:BRS_GOLD__2_OSABS:NUS_ABS:EUR_EABS_G</v>
          </cell>
          <cell r="D2806" t="str">
            <v>Spread Duration</v>
          </cell>
          <cell r="E2806" t="str">
            <v>Spread Yield (DxS)</v>
          </cell>
          <cell r="F2806" t="str">
            <v>Alternative</v>
          </cell>
          <cell r="G2806" t="str">
            <v>Other</v>
          </cell>
          <cell r="H2806" t="str">
            <v>ALTS</v>
          </cell>
          <cell r="I2806" t="str">
            <v>ABS - Swap Spread</v>
          </cell>
        </row>
        <row r="2807">
          <cell r="A2807" t="str">
            <v>EUR_EAUTO_A</v>
          </cell>
          <cell r="B2807" t="str">
            <v>Euro AUTO A</v>
          </cell>
          <cell r="C2807" t="str">
            <v>BRS_GOLD__5_SPREADS:BRS_GOLD__3_OTHER_SPREADS:BRS_GOLD__2_OSABS:NUS_ABS:EUR_EAUTO_A</v>
          </cell>
          <cell r="D2807" t="str">
            <v>Spread Duration</v>
          </cell>
          <cell r="E2807" t="str">
            <v>Spread Yield (DxS)</v>
          </cell>
          <cell r="F2807" t="str">
            <v>Alternative</v>
          </cell>
          <cell r="G2807" t="str">
            <v>Other</v>
          </cell>
          <cell r="H2807" t="str">
            <v>ALTS</v>
          </cell>
          <cell r="I2807" t="str">
            <v>ABS - Swap Spread</v>
          </cell>
        </row>
        <row r="2808">
          <cell r="A2808" t="str">
            <v>EUR_ECARDS_AAA</v>
          </cell>
          <cell r="B2808" t="str">
            <v>Euro CARDS AAA</v>
          </cell>
          <cell r="C2808" t="str">
            <v>BRS_GOLD__5_SPREADS:BRS_GOLD__3_OTHER_SPREADS:BRS_GOLD__2_OSABS:NUS_ABS:EUR_ECARDS_AAA</v>
          </cell>
          <cell r="D2808" t="str">
            <v>Spread Duration</v>
          </cell>
          <cell r="E2808" t="str">
            <v>Spread Yield (DxS)</v>
          </cell>
          <cell r="F2808" t="str">
            <v>Alternative</v>
          </cell>
          <cell r="G2808" t="str">
            <v>Other</v>
          </cell>
          <cell r="H2808" t="str">
            <v>ALTS</v>
          </cell>
          <cell r="I2808" t="str">
            <v>ABS - Swap Spread</v>
          </cell>
        </row>
        <row r="2809">
          <cell r="A2809" t="str">
            <v>EUR_ECARDS_A</v>
          </cell>
          <cell r="B2809" t="str">
            <v>Euro CARDS A</v>
          </cell>
          <cell r="C2809" t="str">
            <v>BRS_GOLD__5_SPREADS:BRS_GOLD__3_OTHER_SPREADS:BRS_GOLD__2_OSABS:NUS_ABS:EUR_ECARDS_A</v>
          </cell>
          <cell r="D2809" t="str">
            <v>Spread Duration</v>
          </cell>
          <cell r="E2809" t="str">
            <v>Spread Yield (DxS)</v>
          </cell>
          <cell r="F2809" t="str">
            <v>Alternative</v>
          </cell>
          <cell r="G2809" t="str">
            <v>Other</v>
          </cell>
          <cell r="H2809" t="str">
            <v>ALTS</v>
          </cell>
          <cell r="I2809" t="str">
            <v>ABS - Swap Spread</v>
          </cell>
        </row>
        <row r="2810">
          <cell r="A2810" t="str">
            <v>EUR_ECARDS_BBB</v>
          </cell>
          <cell r="B2810" t="str">
            <v>Euro CARDS BBB</v>
          </cell>
          <cell r="C2810" t="str">
            <v>BRS_GOLD__5_SPREADS:BRS_GOLD__3_OTHER_SPREADS:BRS_GOLD__2_OSABS:NUS_ABS:EUR_ECARDS_BBB</v>
          </cell>
          <cell r="D2810" t="str">
            <v>Spread Duration</v>
          </cell>
          <cell r="E2810" t="str">
            <v>Spread Yield (DxS)</v>
          </cell>
          <cell r="F2810" t="str">
            <v>Alternative</v>
          </cell>
          <cell r="G2810" t="str">
            <v>Other</v>
          </cell>
          <cell r="H2810" t="str">
            <v>ALTS</v>
          </cell>
          <cell r="I2810" t="str">
            <v>ABS - Swap Spread</v>
          </cell>
        </row>
        <row r="2811">
          <cell r="A2811" t="str">
            <v>EUR_ECMBS_FLOAT_AAA</v>
          </cell>
          <cell r="B2811" t="str">
            <v>Euro CMBS FL AAA</v>
          </cell>
          <cell r="C2811" t="str">
            <v>BRS_GOLD__5_SPREADS:BRS_GOLD__3_OTHER_SPREADS:BRS_GOLD__2_OSABS:NUS_ABS:EUR_ECMBS_FLOAT_AAA</v>
          </cell>
          <cell r="D2811" t="str">
            <v>Spread Duration</v>
          </cell>
          <cell r="E2811" t="str">
            <v>Spread Yield (DxS)</v>
          </cell>
          <cell r="F2811" t="str">
            <v>Alternative</v>
          </cell>
          <cell r="G2811" t="str">
            <v>Other</v>
          </cell>
          <cell r="H2811" t="str">
            <v>ALTS</v>
          </cell>
          <cell r="I2811" t="str">
            <v>ABS - Swap Spread</v>
          </cell>
        </row>
        <row r="2812">
          <cell r="A2812" t="str">
            <v>EUR_ECMBS_FIXED_AAA</v>
          </cell>
          <cell r="B2812" t="str">
            <v>Euro CMBS Fixed AAA</v>
          </cell>
          <cell r="C2812" t="str">
            <v>BRS_GOLD__5_SPREADS:BRS_GOLD__3_OTHER_SPREADS:BRS_GOLD__2_OSABS:NUS_ABS:EUR_ECMBS_FIXED_AAA</v>
          </cell>
          <cell r="D2812" t="str">
            <v>Spread Duration</v>
          </cell>
          <cell r="E2812" t="str">
            <v>Spread Yield (DxS)</v>
          </cell>
          <cell r="F2812" t="str">
            <v>Alternative</v>
          </cell>
          <cell r="G2812" t="str">
            <v>Other</v>
          </cell>
          <cell r="H2812" t="str">
            <v>ALTS</v>
          </cell>
          <cell r="I2812" t="str">
            <v>ABS - Swap Spread</v>
          </cell>
        </row>
        <row r="2813">
          <cell r="A2813" t="str">
            <v>EUR_ECMBS_FIXED_AA</v>
          </cell>
          <cell r="B2813" t="str">
            <v>Euro CMBS Fixed AA</v>
          </cell>
          <cell r="C2813" t="str">
            <v>BRS_GOLD__5_SPREADS:BRS_GOLD__3_OTHER_SPREADS:BRS_GOLD__2_OSABS:NUS_ABS:EUR_ECMBS_FIXED_AA</v>
          </cell>
          <cell r="D2813" t="str">
            <v>Spread Duration</v>
          </cell>
          <cell r="E2813" t="str">
            <v>Spread Yield (DxS)</v>
          </cell>
          <cell r="F2813" t="str">
            <v>Alternative</v>
          </cell>
          <cell r="G2813" t="str">
            <v>Other</v>
          </cell>
          <cell r="H2813" t="str">
            <v>ALTS</v>
          </cell>
          <cell r="I2813" t="str">
            <v>ABS - Swap Spread</v>
          </cell>
        </row>
        <row r="2814">
          <cell r="A2814" t="str">
            <v>EUR_ECMBS_FIXED_A</v>
          </cell>
          <cell r="B2814" t="str">
            <v>Euro CMBS Fixed A</v>
          </cell>
          <cell r="C2814" t="str">
            <v>BRS_GOLD__5_SPREADS:BRS_GOLD__3_OTHER_SPREADS:BRS_GOLD__2_OSABS:NUS_ABS:EUR_ECMBS_FIXED_A</v>
          </cell>
          <cell r="D2814" t="str">
            <v>Spread Duration</v>
          </cell>
          <cell r="E2814" t="str">
            <v>Spread Yield (DxS)</v>
          </cell>
          <cell r="F2814" t="str">
            <v>Alternative</v>
          </cell>
          <cell r="G2814" t="str">
            <v>Other</v>
          </cell>
          <cell r="H2814" t="str">
            <v>ALTS</v>
          </cell>
          <cell r="I2814" t="str">
            <v>ABS - Swap Spread</v>
          </cell>
        </row>
        <row r="2815">
          <cell r="A2815" t="str">
            <v>EUR_ECMBS_FIXED_BBB</v>
          </cell>
          <cell r="B2815" t="str">
            <v>Euro CMBS Fixed BBB</v>
          </cell>
          <cell r="C2815" t="str">
            <v>BRS_GOLD__5_SPREADS:BRS_GOLD__3_OTHER_SPREADS:BRS_GOLD__2_OSABS:NUS_ABS:EUR_ECMBS_FIXED_BBB</v>
          </cell>
          <cell r="D2815" t="str">
            <v>Spread Duration</v>
          </cell>
          <cell r="E2815" t="str">
            <v>Spread Yield (DxS)</v>
          </cell>
          <cell r="F2815" t="str">
            <v>Alternative</v>
          </cell>
          <cell r="G2815" t="str">
            <v>Other</v>
          </cell>
          <cell r="H2815" t="str">
            <v>ALTS</v>
          </cell>
          <cell r="I2815" t="str">
            <v>ABS - Swap Spread</v>
          </cell>
        </row>
        <row r="2816">
          <cell r="A2816" t="str">
            <v>EUR_ECONSUMER_AAA</v>
          </cell>
          <cell r="B2816" t="str">
            <v>Euro Consumer AAA</v>
          </cell>
          <cell r="C2816" t="str">
            <v>BRS_GOLD__5_SPREADS:BRS_GOLD__3_OTHER_SPREADS:BRS_GOLD__2_OSABS:NUS_ABS:EUR_ECONSUMER_AAA</v>
          </cell>
          <cell r="D2816" t="str">
            <v>Spread Duration</v>
          </cell>
          <cell r="E2816" t="str">
            <v>Spread Yield (DxS)</v>
          </cell>
          <cell r="F2816" t="str">
            <v>Alternative</v>
          </cell>
          <cell r="G2816" t="str">
            <v>Other</v>
          </cell>
          <cell r="H2816" t="str">
            <v>ALTS</v>
          </cell>
          <cell r="I2816" t="str">
            <v>ABS - Swap Spread</v>
          </cell>
        </row>
        <row r="2817">
          <cell r="A2817" t="str">
            <v>EUR_EIT_LEASING_AAA</v>
          </cell>
          <cell r="B2817" t="str">
            <v>Euro IT Leasing AAA</v>
          </cell>
          <cell r="C2817" t="str">
            <v>BRS_GOLD__5_SPREADS:BRS_GOLD__3_OTHER_SPREADS:BRS_GOLD__2_OSABS:NUS_ABS:EUR_EIT_LEASING_AAA</v>
          </cell>
          <cell r="D2817" t="str">
            <v>Spread Duration</v>
          </cell>
          <cell r="E2817" t="str">
            <v>Spread Yield (DxS)</v>
          </cell>
          <cell r="F2817" t="str">
            <v>Alternative</v>
          </cell>
          <cell r="G2817" t="str">
            <v>Other</v>
          </cell>
          <cell r="H2817" t="str">
            <v>ALTS</v>
          </cell>
          <cell r="I2817" t="str">
            <v>ABS - Swap Spread</v>
          </cell>
        </row>
        <row r="2818">
          <cell r="A2818" t="str">
            <v>EUR_ERMBS_ES_AAA</v>
          </cell>
          <cell r="B2818" t="str">
            <v>Euro ES RMBS AAA</v>
          </cell>
          <cell r="C2818" t="str">
            <v>BRS_GOLD__5_SPREADS:BRS_GOLD__3_OTHER_SPREADS:BRS_GOLD__2_OSABS:NUS_ABS:EUR_ERMBS_ES_AAA</v>
          </cell>
          <cell r="D2818" t="str">
            <v>Spread Duration</v>
          </cell>
          <cell r="E2818" t="str">
            <v>Spread Yield (DxS)</v>
          </cell>
          <cell r="F2818" t="str">
            <v>Alternative</v>
          </cell>
          <cell r="G2818" t="str">
            <v>Other</v>
          </cell>
          <cell r="H2818" t="str">
            <v>ALTS</v>
          </cell>
          <cell r="I2818" t="str">
            <v>ABS - Swap Spread</v>
          </cell>
        </row>
        <row r="2819">
          <cell r="A2819" t="str">
            <v>EUR_ERMBS_GR_AAA</v>
          </cell>
          <cell r="B2819" t="str">
            <v>Euro GR RMBS AAA</v>
          </cell>
          <cell r="C2819" t="str">
            <v>BRS_GOLD__5_SPREADS:BRS_GOLD__3_OTHER_SPREADS:BRS_GOLD__2_OSABS:NUS_ABS:EUR_ERMBS_GR_AAA</v>
          </cell>
          <cell r="D2819" t="str">
            <v>Spread Duration</v>
          </cell>
          <cell r="E2819" t="str">
            <v>Spread Yield (DxS)</v>
          </cell>
          <cell r="F2819" t="str">
            <v>Alternative</v>
          </cell>
          <cell r="G2819" t="str">
            <v>Other</v>
          </cell>
          <cell r="H2819" t="str">
            <v>ALTS</v>
          </cell>
          <cell r="I2819" t="str">
            <v>ABS - Swap Spread</v>
          </cell>
        </row>
        <row r="2820">
          <cell r="A2820" t="str">
            <v>EUR_ERMBS_G</v>
          </cell>
          <cell r="B2820" t="str">
            <v>Euro RMBS</v>
          </cell>
          <cell r="C2820" t="str">
            <v>BRS_GOLD__5_SPREADS:BRS_GOLD__3_OTHER_SPREADS:BRS_GOLD__2_OSABS:NUS_ABS:EUR_ERMBS_G</v>
          </cell>
          <cell r="D2820" t="str">
            <v>Spread Duration</v>
          </cell>
          <cell r="E2820" t="str">
            <v>Spread Yield (DxS)</v>
          </cell>
          <cell r="F2820" t="str">
            <v>Alternative</v>
          </cell>
          <cell r="G2820" t="str">
            <v>Other</v>
          </cell>
          <cell r="H2820" t="str">
            <v>ALTS</v>
          </cell>
          <cell r="I2820" t="str">
            <v>ABS - Swap Spread</v>
          </cell>
        </row>
        <row r="2821">
          <cell r="A2821" t="str">
            <v>EUR_ERMBS_IE_AAA</v>
          </cell>
          <cell r="B2821" t="str">
            <v>Euro IE RMBS AAA</v>
          </cell>
          <cell r="C2821" t="str">
            <v>BRS_GOLD__5_SPREADS:BRS_GOLD__3_OTHER_SPREADS:BRS_GOLD__2_OSABS:NUS_ABS:EUR_ERMBS_IE_AAA</v>
          </cell>
          <cell r="D2821" t="str">
            <v>Spread Duration</v>
          </cell>
          <cell r="E2821" t="str">
            <v>Spread Yield (DxS)</v>
          </cell>
          <cell r="F2821" t="str">
            <v>Alternative</v>
          </cell>
          <cell r="G2821" t="str">
            <v>Other</v>
          </cell>
          <cell r="H2821" t="str">
            <v>ALTS</v>
          </cell>
          <cell r="I2821" t="str">
            <v>ABS - Swap Spread</v>
          </cell>
        </row>
        <row r="2822">
          <cell r="A2822" t="str">
            <v>EUR_ERMBS_IT_AAA</v>
          </cell>
          <cell r="B2822" t="str">
            <v>Euro IT RMBS AAA</v>
          </cell>
          <cell r="C2822" t="str">
            <v>BRS_GOLD__5_SPREADS:BRS_GOLD__3_OTHER_SPREADS:BRS_GOLD__2_OSABS:NUS_ABS:EUR_ERMBS_IT_AAA</v>
          </cell>
          <cell r="D2822" t="str">
            <v>Spread Duration</v>
          </cell>
          <cell r="E2822" t="str">
            <v>Spread Yield (DxS)</v>
          </cell>
          <cell r="F2822" t="str">
            <v>Alternative</v>
          </cell>
          <cell r="G2822" t="str">
            <v>Other</v>
          </cell>
          <cell r="H2822" t="str">
            <v>ALTS</v>
          </cell>
          <cell r="I2822" t="str">
            <v>ABS - Swap Spread</v>
          </cell>
        </row>
        <row r="2823">
          <cell r="A2823" t="str">
            <v>EUR_ERMBS_NL_AAA</v>
          </cell>
          <cell r="B2823" t="str">
            <v>Euro NL RMBS AAA</v>
          </cell>
          <cell r="C2823" t="str">
            <v>BRS_GOLD__5_SPREADS:BRS_GOLD__3_OTHER_SPREADS:BRS_GOLD__2_OSABS:NUS_ABS:EUR_ERMBS_NL_AAA</v>
          </cell>
          <cell r="D2823" t="str">
            <v>Spread Duration</v>
          </cell>
          <cell r="E2823" t="str">
            <v>Spread Yield (DxS)</v>
          </cell>
          <cell r="F2823" t="str">
            <v>Alternative</v>
          </cell>
          <cell r="G2823" t="str">
            <v>Other</v>
          </cell>
          <cell r="H2823" t="str">
            <v>ALTS</v>
          </cell>
          <cell r="I2823" t="str">
            <v>ABS - Swap Spread</v>
          </cell>
        </row>
        <row r="2824">
          <cell r="A2824" t="str">
            <v>EUR_ERMBS_NL_A</v>
          </cell>
          <cell r="B2824" t="str">
            <v>Euro NL RMBS A</v>
          </cell>
          <cell r="C2824" t="str">
            <v>BRS_GOLD__5_SPREADS:BRS_GOLD__3_OTHER_SPREADS:BRS_GOLD__2_OSABS:NUS_ABS:EUR_ERMBS_NL_A</v>
          </cell>
          <cell r="D2824" t="str">
            <v>Spread Duration</v>
          </cell>
          <cell r="E2824" t="str">
            <v>Spread Yield (DxS)</v>
          </cell>
          <cell r="F2824" t="str">
            <v>Alternative</v>
          </cell>
          <cell r="G2824" t="str">
            <v>Other</v>
          </cell>
          <cell r="H2824" t="str">
            <v>ALTS</v>
          </cell>
          <cell r="I2824" t="str">
            <v>ABS - Swap Spread</v>
          </cell>
        </row>
        <row r="2825">
          <cell r="A2825" t="str">
            <v>EUR_ERMBS_NL_BBB</v>
          </cell>
          <cell r="B2825" t="str">
            <v>Euro NL RMBS BBB</v>
          </cell>
          <cell r="C2825" t="str">
            <v>BRS_GOLD__5_SPREADS:BRS_GOLD__3_OTHER_SPREADS:BRS_GOLD__2_OSABS:NUS_ABS:EUR_ERMBS_NL_BBB</v>
          </cell>
          <cell r="D2825" t="str">
            <v>Spread Duration</v>
          </cell>
          <cell r="E2825" t="str">
            <v>Spread Yield (DxS)</v>
          </cell>
          <cell r="F2825" t="str">
            <v>Alternative</v>
          </cell>
          <cell r="G2825" t="str">
            <v>Other</v>
          </cell>
          <cell r="H2825" t="str">
            <v>ALTS</v>
          </cell>
          <cell r="I2825" t="str">
            <v>ABS - Swap Spread</v>
          </cell>
        </row>
        <row r="2826">
          <cell r="A2826" t="str">
            <v>EUR_ERMBS_PT_AAA</v>
          </cell>
          <cell r="B2826" t="str">
            <v>Euro PT RMBS AAA</v>
          </cell>
          <cell r="C2826" t="str">
            <v>BRS_GOLD__5_SPREADS:BRS_GOLD__3_OTHER_SPREADS:BRS_GOLD__2_OSABS:NUS_ABS:EUR_ERMBS_PT_AAA</v>
          </cell>
          <cell r="D2826" t="str">
            <v>Spread Duration</v>
          </cell>
          <cell r="E2826" t="str">
            <v>Spread Yield (DxS)</v>
          </cell>
          <cell r="F2826" t="str">
            <v>Alternative</v>
          </cell>
          <cell r="G2826" t="str">
            <v>Other</v>
          </cell>
          <cell r="H2826" t="str">
            <v>ALTS</v>
          </cell>
          <cell r="I2826" t="str">
            <v>ABS - Swap Spread</v>
          </cell>
        </row>
        <row r="2827">
          <cell r="A2827" t="str">
            <v>GBP_ABS_WL</v>
          </cell>
          <cell r="B2827" t="str">
            <v>Sterling Whole Loan ABS</v>
          </cell>
          <cell r="C2827" t="str">
            <v>BRS_GOLD__5_SPREADS:BRS_GOLD__3_OTHER_SPREADS:BRS_GOLD__2_OSABS:NUS_ABS:GBP_ABS_WL</v>
          </cell>
          <cell r="D2827" t="str">
            <v>Spread Duration</v>
          </cell>
          <cell r="E2827" t="str">
            <v>Spread Yield (DxS)</v>
          </cell>
          <cell r="F2827" t="str">
            <v>Alternative</v>
          </cell>
          <cell r="G2827" t="str">
            <v>Other</v>
          </cell>
          <cell r="H2827" t="str">
            <v>ALTS</v>
          </cell>
          <cell r="I2827" t="str">
            <v>ABS - Swap Spread</v>
          </cell>
        </row>
        <row r="2828">
          <cell r="A2828" t="str">
            <v>EUR_EABS_WL_NPUB</v>
          </cell>
          <cell r="B2828" t="str">
            <v>Pan Euro WL ABS excl. Pub</v>
          </cell>
          <cell r="C2828" t="str">
            <v>BRS_GOLD__5_SPREADS:BRS_GOLD__3_OTHER_SPREADS:BRS_GOLD__2_OSABS:NUS_ABS:EUR_EABS_WL_NPUB</v>
          </cell>
          <cell r="D2828" t="str">
            <v>Spread Duration</v>
          </cell>
          <cell r="E2828" t="str">
            <v>Spread Yield (DxS)</v>
          </cell>
          <cell r="F2828" t="str">
            <v>Alternative</v>
          </cell>
          <cell r="G2828" t="str">
            <v>Other</v>
          </cell>
          <cell r="H2828" t="str">
            <v>ALTS</v>
          </cell>
          <cell r="I2828" t="str">
            <v>ABS - Swap Spread</v>
          </cell>
        </row>
        <row r="2829">
          <cell r="A2829" t="str">
            <v>EUR_EABS_WL_PUB</v>
          </cell>
          <cell r="B2829" t="str">
            <v>Pan Euro WL ABS Pub</v>
          </cell>
          <cell r="C2829" t="str">
            <v>BRS_GOLD__5_SPREADS:BRS_GOLD__3_OTHER_SPREADS:BRS_GOLD__2_OSABS:NUS_ABS:EUR_EABS_WL_PUB</v>
          </cell>
          <cell r="D2829" t="str">
            <v>Spread Duration</v>
          </cell>
          <cell r="E2829" t="str">
            <v>Spread Yield (DxS)</v>
          </cell>
          <cell r="F2829" t="str">
            <v>Alternative</v>
          </cell>
          <cell r="G2829" t="str">
            <v>Other</v>
          </cell>
          <cell r="H2829" t="str">
            <v>ALTS</v>
          </cell>
          <cell r="I2829" t="str">
            <v>ABS - Swap Spread</v>
          </cell>
        </row>
        <row r="2830">
          <cell r="A2830" t="str">
            <v>EUR_ECLO_SME</v>
          </cell>
          <cell r="B2830" t="str">
            <v>Pan Euro CLO SME</v>
          </cell>
          <cell r="C2830" t="str">
            <v>BRS_GOLD__5_SPREADS:BRS_GOLD__3_OTHER_SPREADS:BRS_GOLD__2_OSABS:NUS_ABS:EUR_ECLO_SME</v>
          </cell>
          <cell r="D2830" t="str">
            <v>Spread Duration</v>
          </cell>
          <cell r="E2830" t="str">
            <v>Spread Yield (DxS)</v>
          </cell>
          <cell r="F2830" t="str">
            <v>Alternative</v>
          </cell>
          <cell r="G2830" t="str">
            <v>Other</v>
          </cell>
          <cell r="H2830" t="str">
            <v>ALTS</v>
          </cell>
          <cell r="I2830" t="str">
            <v>ABS - Swap Spread</v>
          </cell>
        </row>
        <row r="2831">
          <cell r="A2831" t="str">
            <v>EUR_ECMBS_FIX</v>
          </cell>
          <cell r="B2831" t="str">
            <v>Pan Euro CMBS Fix</v>
          </cell>
          <cell r="C2831" t="str">
            <v>BRS_GOLD__5_SPREADS:BRS_GOLD__3_OTHER_SPREADS:BRS_GOLD__2_OSABS:NUS_ABS:EUR_ECMBS_FIX</v>
          </cell>
          <cell r="D2831" t="str">
            <v>Spread Duration</v>
          </cell>
          <cell r="E2831" t="str">
            <v>Spread Yield (DxS)</v>
          </cell>
          <cell r="F2831" t="str">
            <v>Alternative</v>
          </cell>
          <cell r="G2831" t="str">
            <v>Other</v>
          </cell>
          <cell r="H2831" t="str">
            <v>ALTS</v>
          </cell>
          <cell r="I2831" t="str">
            <v>ABS - Swap Spread</v>
          </cell>
        </row>
        <row r="2832">
          <cell r="A2832" t="str">
            <v>EUR_ECMBS_FLT</v>
          </cell>
          <cell r="B2832" t="str">
            <v>Pan Euro CMBS Flt</v>
          </cell>
          <cell r="C2832" t="str">
            <v>BRS_GOLD__5_SPREADS:BRS_GOLD__3_OTHER_SPREADS:BRS_GOLD__2_OSABS:NUS_ABS:EUR_ECMBS_FLT</v>
          </cell>
          <cell r="D2832" t="str">
            <v>Spread Duration</v>
          </cell>
          <cell r="E2832" t="str">
            <v>Spread Yield (DxS)</v>
          </cell>
          <cell r="F2832" t="str">
            <v>Alternative</v>
          </cell>
          <cell r="G2832" t="str">
            <v>Other</v>
          </cell>
          <cell r="H2832" t="str">
            <v>ALTS</v>
          </cell>
          <cell r="I2832" t="str">
            <v>ABS - Swap Spread</v>
          </cell>
        </row>
        <row r="2833">
          <cell r="A2833" t="str">
            <v>EUR_EAUTO</v>
          </cell>
          <cell r="B2833" t="str">
            <v>Pan Euro AUTO</v>
          </cell>
          <cell r="C2833" t="str">
            <v>BRS_GOLD__5_SPREADS:BRS_GOLD__3_OTHER_SPREADS:BRS_GOLD__2_OSABS:NUS_ABS:EUR_EAUTO</v>
          </cell>
          <cell r="D2833" t="str">
            <v>Spread Duration</v>
          </cell>
          <cell r="E2833" t="str">
            <v>Spread Yield (DxS)</v>
          </cell>
          <cell r="F2833" t="str">
            <v>Alternative</v>
          </cell>
          <cell r="G2833" t="str">
            <v>Other</v>
          </cell>
          <cell r="H2833" t="str">
            <v>ALTS</v>
          </cell>
          <cell r="I2833" t="str">
            <v>ABS - Swap Spread</v>
          </cell>
        </row>
        <row r="2834">
          <cell r="A2834" t="str">
            <v>EUR_ECONSUMER</v>
          </cell>
          <cell r="B2834" t="str">
            <v>Pan Euro Consumer</v>
          </cell>
          <cell r="C2834" t="str">
            <v>BRS_GOLD__5_SPREADS:BRS_GOLD__3_OTHER_SPREADS:BRS_GOLD__2_OSABS:NUS_ABS:EUR_ECONSUMER</v>
          </cell>
          <cell r="D2834" t="str">
            <v>Spread Duration</v>
          </cell>
          <cell r="E2834" t="str">
            <v>Spread Yield (DxS)</v>
          </cell>
          <cell r="F2834" t="str">
            <v>Alternative</v>
          </cell>
          <cell r="G2834" t="str">
            <v>Other</v>
          </cell>
          <cell r="H2834" t="str">
            <v>ALTS</v>
          </cell>
          <cell r="I2834" t="str">
            <v>ABS - Swap Spread</v>
          </cell>
        </row>
        <row r="2835">
          <cell r="A2835" t="str">
            <v>EUR_ERMBS_IE</v>
          </cell>
          <cell r="B2835" t="str">
            <v>Pan Euro RMBS Ireland</v>
          </cell>
          <cell r="C2835" t="str">
            <v>BRS_GOLD__5_SPREADS:BRS_GOLD__3_OTHER_SPREADS:BRS_GOLD__2_OSABS:NUS_ABS:EUR_ERMBS_IE</v>
          </cell>
          <cell r="D2835" t="str">
            <v>Spread Duration</v>
          </cell>
          <cell r="E2835" t="str">
            <v>Spread Yield (DxS)</v>
          </cell>
          <cell r="F2835" t="str">
            <v>Alternative</v>
          </cell>
          <cell r="G2835" t="str">
            <v>Other</v>
          </cell>
          <cell r="H2835" t="str">
            <v>ALTS</v>
          </cell>
          <cell r="I2835" t="str">
            <v>ABS - Swap Spread</v>
          </cell>
        </row>
        <row r="2836">
          <cell r="A2836" t="str">
            <v>EUR_ERMBS_ES</v>
          </cell>
          <cell r="B2836" t="str">
            <v>Pan Euro RMBS Spain</v>
          </cell>
          <cell r="C2836" t="str">
            <v>BRS_GOLD__5_SPREADS:BRS_GOLD__3_OTHER_SPREADS:BRS_GOLD__2_OSABS:NUS_ABS:EUR_ERMBS_ES</v>
          </cell>
          <cell r="D2836" t="str">
            <v>Spread Duration</v>
          </cell>
          <cell r="E2836" t="str">
            <v>Spread Yield (DxS)</v>
          </cell>
          <cell r="F2836" t="str">
            <v>Alternative</v>
          </cell>
          <cell r="G2836" t="str">
            <v>Other</v>
          </cell>
          <cell r="H2836" t="str">
            <v>ALTS</v>
          </cell>
          <cell r="I2836" t="str">
            <v>ABS - Swap Spread</v>
          </cell>
        </row>
        <row r="2837">
          <cell r="A2837" t="str">
            <v>EUR_ERMBS_IT</v>
          </cell>
          <cell r="B2837" t="str">
            <v>Pan Euro RMBS Italy</v>
          </cell>
          <cell r="C2837" t="str">
            <v>BRS_GOLD__5_SPREADS:BRS_GOLD__3_OTHER_SPREADS:BRS_GOLD__2_OSABS:NUS_ABS:EUR_ERMBS_IT</v>
          </cell>
          <cell r="D2837" t="str">
            <v>Spread Duration</v>
          </cell>
          <cell r="E2837" t="str">
            <v>Spread Yield (DxS)</v>
          </cell>
          <cell r="F2837" t="str">
            <v>Alternative</v>
          </cell>
          <cell r="G2837" t="str">
            <v>Other</v>
          </cell>
          <cell r="H2837" t="str">
            <v>ALTS</v>
          </cell>
          <cell r="I2837" t="str">
            <v>ABS - Swap Spread</v>
          </cell>
        </row>
        <row r="2838">
          <cell r="A2838" t="str">
            <v>EUR_ERMBS_PT</v>
          </cell>
          <cell r="B2838" t="str">
            <v>Pan Euro RMBS Portugal</v>
          </cell>
          <cell r="C2838" t="str">
            <v>BRS_GOLD__5_SPREADS:BRS_GOLD__3_OTHER_SPREADS:BRS_GOLD__2_OSABS:NUS_ABS:EUR_ERMBS_PT</v>
          </cell>
          <cell r="D2838" t="str">
            <v>Spread Duration</v>
          </cell>
          <cell r="E2838" t="str">
            <v>Spread Yield (DxS)</v>
          </cell>
          <cell r="F2838" t="str">
            <v>Alternative</v>
          </cell>
          <cell r="G2838" t="str">
            <v>Other</v>
          </cell>
          <cell r="H2838" t="str">
            <v>ALTS</v>
          </cell>
          <cell r="I2838" t="str">
            <v>ABS - Swap Spread</v>
          </cell>
        </row>
        <row r="2839">
          <cell r="A2839" t="str">
            <v>EUR_ERMBS_NL</v>
          </cell>
          <cell r="B2839" t="str">
            <v>Pan Euro RMBS Netherland</v>
          </cell>
          <cell r="C2839" t="str">
            <v>BRS_GOLD__5_SPREADS:BRS_GOLD__3_OTHER_SPREADS:BRS_GOLD__2_OSABS:NUS_ABS:EUR_ERMBS_NL</v>
          </cell>
          <cell r="D2839" t="str">
            <v>Spread Duration</v>
          </cell>
          <cell r="E2839" t="str">
            <v>Spread Yield (DxS)</v>
          </cell>
          <cell r="F2839" t="str">
            <v>Alternative</v>
          </cell>
          <cell r="G2839" t="str">
            <v>Other</v>
          </cell>
          <cell r="H2839" t="str">
            <v>ALTS</v>
          </cell>
          <cell r="I2839" t="str">
            <v>ABS - Swap Spread</v>
          </cell>
        </row>
        <row r="2840">
          <cell r="A2840" t="str">
            <v>EUR_ERMBS_GB_B</v>
          </cell>
          <cell r="B2840" t="str">
            <v>Pan Euro RMBS UK Buy to let</v>
          </cell>
          <cell r="C2840" t="str">
            <v>BRS_GOLD__5_SPREADS:BRS_GOLD__3_OTHER_SPREADS:BRS_GOLD__2_OSABS:NUS_ABS:EUR_ERMBS_GB_B</v>
          </cell>
          <cell r="D2840" t="str">
            <v>Spread Duration</v>
          </cell>
          <cell r="E2840" t="str">
            <v>Spread Yield (DxS)</v>
          </cell>
          <cell r="F2840" t="str">
            <v>Alternative</v>
          </cell>
          <cell r="G2840" t="str">
            <v>Other</v>
          </cell>
          <cell r="H2840" t="str">
            <v>ALTS</v>
          </cell>
          <cell r="I2840" t="str">
            <v>ABS - Swap Spread</v>
          </cell>
        </row>
        <row r="2841">
          <cell r="A2841" t="str">
            <v>EUR_ERMBS_GB_P</v>
          </cell>
          <cell r="B2841" t="str">
            <v>Pan Euro RMBS UK Prime</v>
          </cell>
          <cell r="C2841" t="str">
            <v>BRS_GOLD__5_SPREADS:BRS_GOLD__3_OTHER_SPREADS:BRS_GOLD__2_OSABS:NUS_ABS:EUR_ERMBS_GB_P</v>
          </cell>
          <cell r="D2841" t="str">
            <v>Spread Duration</v>
          </cell>
          <cell r="E2841" t="str">
            <v>Spread Yield (DxS)</v>
          </cell>
          <cell r="F2841" t="str">
            <v>Alternative</v>
          </cell>
          <cell r="G2841" t="str">
            <v>Other</v>
          </cell>
          <cell r="H2841" t="str">
            <v>ALTS</v>
          </cell>
          <cell r="I2841" t="str">
            <v>ABS - Swap Spread</v>
          </cell>
        </row>
        <row r="2842">
          <cell r="A2842" t="str">
            <v>EUR_ERMBS_GB_S</v>
          </cell>
          <cell r="B2842" t="str">
            <v>Pan Euro RMBS UK SubPrime</v>
          </cell>
          <cell r="C2842" t="str">
            <v>BRS_GOLD__5_SPREADS:BRS_GOLD__3_OTHER_SPREADS:BRS_GOLD__2_OSABS:NUS_ABS:EUR_ERMBS_GB_S</v>
          </cell>
          <cell r="D2842" t="str">
            <v>Spread Duration</v>
          </cell>
          <cell r="E2842" t="str">
            <v>Spread Yield (DxS)</v>
          </cell>
          <cell r="F2842" t="str">
            <v>Alternative</v>
          </cell>
          <cell r="G2842" t="str">
            <v>Other</v>
          </cell>
          <cell r="H2842" t="str">
            <v>ALTS</v>
          </cell>
          <cell r="I2842" t="str">
            <v>ABS - Swap Spread</v>
          </cell>
        </row>
        <row r="2843">
          <cell r="A2843" t="str">
            <v>EUR_ERMBS_OTHR</v>
          </cell>
          <cell r="B2843" t="str">
            <v>Pan Euro RMBS Core excl. UK/NL</v>
          </cell>
          <cell r="C2843" t="str">
            <v>BRS_GOLD__5_SPREADS:BRS_GOLD__3_OTHER_SPREADS:BRS_GOLD__2_OSABS:NUS_ABS:EUR_ERMBS_OTHR</v>
          </cell>
          <cell r="D2843" t="str">
            <v>Spread Duration</v>
          </cell>
          <cell r="E2843" t="str">
            <v>Spread Yield (DxS)</v>
          </cell>
          <cell r="F2843" t="str">
            <v>Alternative</v>
          </cell>
          <cell r="G2843" t="str">
            <v>Other</v>
          </cell>
          <cell r="H2843" t="str">
            <v>ALTS</v>
          </cell>
          <cell r="I2843" t="str">
            <v>ABS - Swap Spread</v>
          </cell>
        </row>
        <row r="2844">
          <cell r="A2844" t="str">
            <v>EUR_EABS_FIX</v>
          </cell>
          <cell r="B2844" t="str">
            <v>Pan Euro ABS Fix</v>
          </cell>
          <cell r="C2844" t="str">
            <v>BRS_GOLD__5_SPREADS:BRS_GOLD__3_OTHER_SPREADS:BRS_GOLD__2_OSABS:NUS_ABS:EUR_EABS_FIX</v>
          </cell>
          <cell r="D2844" t="str">
            <v>Spread Duration</v>
          </cell>
          <cell r="E2844" t="str">
            <v>Spread Yield (DxS)</v>
          </cell>
          <cell r="F2844" t="str">
            <v>Alternative</v>
          </cell>
          <cell r="G2844" t="str">
            <v>Other</v>
          </cell>
          <cell r="H2844" t="str">
            <v>ALTS</v>
          </cell>
          <cell r="I2844" t="str">
            <v>ABS - Swap Spread</v>
          </cell>
        </row>
        <row r="2845">
          <cell r="A2845" t="str">
            <v>EUR_EABS_FLT</v>
          </cell>
          <cell r="B2845" t="str">
            <v>Pan Euro ABS Flt</v>
          </cell>
          <cell r="C2845" t="str">
            <v>BRS_GOLD__5_SPREADS:BRS_GOLD__3_OTHER_SPREADS:BRS_GOLD__2_OSABS:NUS_ABS:EUR_EABS_FLT</v>
          </cell>
          <cell r="D2845" t="str">
            <v>Spread Duration</v>
          </cell>
          <cell r="E2845" t="str">
            <v>Spread Yield (DxS)</v>
          </cell>
          <cell r="F2845" t="str">
            <v>Alternative</v>
          </cell>
          <cell r="G2845" t="str">
            <v>Other</v>
          </cell>
          <cell r="H2845" t="str">
            <v>ALTS</v>
          </cell>
          <cell r="I2845" t="str">
            <v>ABS - Swap Spread</v>
          </cell>
        </row>
        <row r="2846">
          <cell r="A2846" t="str">
            <v>EUR_EABS_WL_NPUB_SF</v>
          </cell>
          <cell r="B2846" t="str">
            <v>Pan Euro WL ABS excl. Pub</v>
          </cell>
          <cell r="C2846" t="str">
            <v>BRS_GOLD__5_SPREADS:BRS_GOLD__3_OTHER_SPREADS:BRS_GOLD__2_OSABS:NUS_ABS:EUR_EABS_WL_NPUB_SF</v>
          </cell>
          <cell r="D2846" t="str">
            <v>Spread Duration</v>
          </cell>
          <cell r="E2846" t="str">
            <v>Spread Yield (DxS)</v>
          </cell>
          <cell r="F2846" t="str">
            <v>Alternative</v>
          </cell>
          <cell r="G2846" t="str">
            <v>Other</v>
          </cell>
          <cell r="H2846" t="str">
            <v>ALTS</v>
          </cell>
          <cell r="I2846" t="str">
            <v>ABS - Swap Spread</v>
          </cell>
        </row>
        <row r="2847">
          <cell r="A2847" t="str">
            <v>EUR_EABS_WL_PUB_SF</v>
          </cell>
          <cell r="B2847" t="str">
            <v>Pan Euro WL ABS Pub</v>
          </cell>
          <cell r="C2847" t="str">
            <v>BRS_GOLD__5_SPREADS:BRS_GOLD__3_OTHER_SPREADS:BRS_GOLD__2_OSABS:NUS_ABS:EUR_EABS_WL_PUB_SF</v>
          </cell>
          <cell r="D2847" t="str">
            <v>Spread Duration</v>
          </cell>
          <cell r="E2847" t="str">
            <v>Spread Yield (DxS)</v>
          </cell>
          <cell r="F2847" t="str">
            <v>Alternative</v>
          </cell>
          <cell r="G2847" t="str">
            <v>Other</v>
          </cell>
          <cell r="H2847" t="str">
            <v>ALTS</v>
          </cell>
          <cell r="I2847" t="str">
            <v>ABS - Swap Spread</v>
          </cell>
        </row>
        <row r="2848">
          <cell r="A2848" t="str">
            <v>EUR_ECLO_SME_SF</v>
          </cell>
          <cell r="B2848" t="str">
            <v>Pan Euro CLO SME</v>
          </cell>
          <cell r="C2848" t="str">
            <v>BRS_GOLD__5_SPREADS:BRS_GOLD__3_OTHER_SPREADS:BRS_GOLD__2_OSABS:NUS_ABS:EUR_ECLO_SME_SF</v>
          </cell>
          <cell r="D2848" t="str">
            <v>Spread Duration</v>
          </cell>
          <cell r="E2848" t="str">
            <v>Spread Yield (DxS)</v>
          </cell>
          <cell r="F2848" t="str">
            <v>Alternative</v>
          </cell>
          <cell r="G2848" t="str">
            <v>Other</v>
          </cell>
          <cell r="H2848" t="str">
            <v>ALTS</v>
          </cell>
          <cell r="I2848" t="str">
            <v>ABS - Swap Spread</v>
          </cell>
        </row>
        <row r="2849">
          <cell r="A2849" t="str">
            <v>EUR_ECMBS_FIX_SF</v>
          </cell>
          <cell r="B2849" t="str">
            <v>Pan Euro CMBS Fix</v>
          </cell>
          <cell r="C2849" t="str">
            <v>BRS_GOLD__5_SPREADS:BRS_GOLD__3_OTHER_SPREADS:BRS_GOLD__2_OSABS:NUS_ABS:EUR_ECMBS_FIX_SF</v>
          </cell>
          <cell r="D2849" t="str">
            <v>Spread Duration</v>
          </cell>
          <cell r="E2849" t="str">
            <v>Spread Yield (DxS)</v>
          </cell>
          <cell r="F2849" t="str">
            <v>Alternative</v>
          </cell>
          <cell r="G2849" t="str">
            <v>Other</v>
          </cell>
          <cell r="H2849" t="str">
            <v>ALTS</v>
          </cell>
          <cell r="I2849" t="str">
            <v>ABS - Swap Spread</v>
          </cell>
        </row>
        <row r="2850">
          <cell r="A2850" t="str">
            <v>EUR_ECMBS_FLT_SF</v>
          </cell>
          <cell r="B2850" t="str">
            <v>Pan Euro CMBS Flt</v>
          </cell>
          <cell r="C2850" t="str">
            <v>BRS_GOLD__5_SPREADS:BRS_GOLD__3_OTHER_SPREADS:BRS_GOLD__2_OSABS:NUS_ABS:EUR_ECMBS_FLT_SF</v>
          </cell>
          <cell r="D2850" t="str">
            <v>Spread Duration</v>
          </cell>
          <cell r="E2850" t="str">
            <v>Spread Yield (DxS)</v>
          </cell>
          <cell r="F2850" t="str">
            <v>Alternative</v>
          </cell>
          <cell r="G2850" t="str">
            <v>Other</v>
          </cell>
          <cell r="H2850" t="str">
            <v>ALTS</v>
          </cell>
          <cell r="I2850" t="str">
            <v>ABS - Swap Spread</v>
          </cell>
        </row>
        <row r="2851">
          <cell r="A2851" t="str">
            <v>EUR_EAUTO_SF</v>
          </cell>
          <cell r="B2851" t="str">
            <v>Pan Euro AUTO</v>
          </cell>
          <cell r="C2851" t="str">
            <v>BRS_GOLD__5_SPREADS:BRS_GOLD__3_OTHER_SPREADS:BRS_GOLD__2_OSABS:NUS_ABS:EUR_EAUTO_SF</v>
          </cell>
          <cell r="D2851" t="str">
            <v>Spread Duration</v>
          </cell>
          <cell r="E2851" t="str">
            <v>Spread Yield (DxS)</v>
          </cell>
          <cell r="F2851" t="str">
            <v>Alternative</v>
          </cell>
          <cell r="G2851" t="str">
            <v>Other</v>
          </cell>
          <cell r="H2851" t="str">
            <v>ALTS</v>
          </cell>
          <cell r="I2851" t="str">
            <v>ABS - Swap Spread</v>
          </cell>
        </row>
        <row r="2852">
          <cell r="A2852" t="str">
            <v>EUR_ECONSUMER_SF</v>
          </cell>
          <cell r="B2852" t="str">
            <v>Pan Euro Consumer</v>
          </cell>
          <cell r="C2852" t="str">
            <v>BRS_GOLD__5_SPREADS:BRS_GOLD__3_OTHER_SPREADS:BRS_GOLD__2_OSABS:NUS_ABS:EUR_ECONSUMER_SF</v>
          </cell>
          <cell r="D2852" t="str">
            <v>Spread Duration</v>
          </cell>
          <cell r="E2852" t="str">
            <v>Spread Yield (DxS)</v>
          </cell>
          <cell r="F2852" t="str">
            <v>Alternative</v>
          </cell>
          <cell r="G2852" t="str">
            <v>Other</v>
          </cell>
          <cell r="H2852" t="str">
            <v>ALTS</v>
          </cell>
          <cell r="I2852" t="str">
            <v>ABS - Swap Spread</v>
          </cell>
        </row>
        <row r="2853">
          <cell r="A2853" t="str">
            <v>EUR_ERMBS_IE_SF</v>
          </cell>
          <cell r="B2853" t="str">
            <v>Pan Euro RMBS Ireland</v>
          </cell>
          <cell r="C2853" t="str">
            <v>BRS_GOLD__5_SPREADS:BRS_GOLD__3_OTHER_SPREADS:BRS_GOLD__2_OSABS:NUS_ABS:EUR_ERMBS_IE_SF</v>
          </cell>
          <cell r="D2853" t="str">
            <v>Spread Duration</v>
          </cell>
          <cell r="E2853" t="str">
            <v>Spread Yield (DxS)</v>
          </cell>
          <cell r="F2853" t="str">
            <v>Alternative</v>
          </cell>
          <cell r="G2853" t="str">
            <v>Other</v>
          </cell>
          <cell r="H2853" t="str">
            <v>ALTS</v>
          </cell>
          <cell r="I2853" t="str">
            <v>ABS - Swap Spread</v>
          </cell>
        </row>
        <row r="2854">
          <cell r="A2854" t="str">
            <v>EUR_ERMBS_ES_SF</v>
          </cell>
          <cell r="B2854" t="str">
            <v>Pan Euro RMBS Spain</v>
          </cell>
          <cell r="C2854" t="str">
            <v>BRS_GOLD__5_SPREADS:BRS_GOLD__3_OTHER_SPREADS:BRS_GOLD__2_OSABS:NUS_ABS:EUR_ERMBS_ES_SF</v>
          </cell>
          <cell r="D2854" t="str">
            <v>Spread Duration</v>
          </cell>
          <cell r="E2854" t="str">
            <v>Spread Yield (DxS)</v>
          </cell>
          <cell r="F2854" t="str">
            <v>Alternative</v>
          </cell>
          <cell r="G2854" t="str">
            <v>Other</v>
          </cell>
          <cell r="H2854" t="str">
            <v>ALTS</v>
          </cell>
          <cell r="I2854" t="str">
            <v>ABS - Swap Spread</v>
          </cell>
        </row>
        <row r="2855">
          <cell r="A2855" t="str">
            <v>EUR_ERMBS_IT_SF</v>
          </cell>
          <cell r="B2855" t="str">
            <v>Pan Euro RMBS Italy</v>
          </cell>
          <cell r="C2855" t="str">
            <v>BRS_GOLD__5_SPREADS:BRS_GOLD__3_OTHER_SPREADS:BRS_GOLD__2_OSABS:NUS_ABS:EUR_ERMBS_IT_SF</v>
          </cell>
          <cell r="D2855" t="str">
            <v>Spread Duration</v>
          </cell>
          <cell r="E2855" t="str">
            <v>Spread Yield (DxS)</v>
          </cell>
          <cell r="F2855" t="str">
            <v>Alternative</v>
          </cell>
          <cell r="G2855" t="str">
            <v>Other</v>
          </cell>
          <cell r="H2855" t="str">
            <v>ALTS</v>
          </cell>
          <cell r="I2855" t="str">
            <v>ABS - Swap Spread</v>
          </cell>
        </row>
        <row r="2856">
          <cell r="A2856" t="str">
            <v>EUR_ERMBS_PT_SF</v>
          </cell>
          <cell r="B2856" t="str">
            <v>Pan Euro RMBS Portugal</v>
          </cell>
          <cell r="C2856" t="str">
            <v>BRS_GOLD__5_SPREADS:BRS_GOLD__3_OTHER_SPREADS:BRS_GOLD__2_OSABS:NUS_ABS:EUR_ERMBS_PT_SF</v>
          </cell>
          <cell r="D2856" t="str">
            <v>Spread Duration</v>
          </cell>
          <cell r="E2856" t="str">
            <v>Spread Yield (DxS)</v>
          </cell>
          <cell r="F2856" t="str">
            <v>Alternative</v>
          </cell>
          <cell r="G2856" t="str">
            <v>Other</v>
          </cell>
          <cell r="H2856" t="str">
            <v>ALTS</v>
          </cell>
          <cell r="I2856" t="str">
            <v>ABS - Swap Spread</v>
          </cell>
        </row>
        <row r="2857">
          <cell r="A2857" t="str">
            <v>EUR_ERMBS_NL_SF</v>
          </cell>
          <cell r="B2857" t="str">
            <v>Pan Euro RMBS Netherland</v>
          </cell>
          <cell r="C2857" t="str">
            <v>BRS_GOLD__5_SPREADS:BRS_GOLD__3_OTHER_SPREADS:BRS_GOLD__2_OSABS:NUS_ABS:EUR_ERMBS_NL_SF</v>
          </cell>
          <cell r="D2857" t="str">
            <v>Spread Duration</v>
          </cell>
          <cell r="E2857" t="str">
            <v>Spread Yield (DxS)</v>
          </cell>
          <cell r="F2857" t="str">
            <v>Alternative</v>
          </cell>
          <cell r="G2857" t="str">
            <v>Other</v>
          </cell>
          <cell r="H2857" t="str">
            <v>ALTS</v>
          </cell>
          <cell r="I2857" t="str">
            <v>ABS - Swap Spread</v>
          </cell>
        </row>
        <row r="2858">
          <cell r="A2858" t="str">
            <v>EUR_ERMBS_GB_B_SF</v>
          </cell>
          <cell r="B2858" t="str">
            <v>Pan Euro RMBS UK Buy to let</v>
          </cell>
          <cell r="C2858" t="str">
            <v>BRS_GOLD__5_SPREADS:BRS_GOLD__3_OTHER_SPREADS:BRS_GOLD__2_OSABS:NUS_ABS:EUR_ERMBS_GB_B_SF</v>
          </cell>
          <cell r="D2858" t="str">
            <v>Spread Duration</v>
          </cell>
          <cell r="E2858" t="str">
            <v>Spread Yield (DxS)</v>
          </cell>
          <cell r="F2858" t="str">
            <v>Alternative</v>
          </cell>
          <cell r="G2858" t="str">
            <v>Other</v>
          </cell>
          <cell r="H2858" t="str">
            <v>ALTS</v>
          </cell>
          <cell r="I2858" t="str">
            <v>ABS - Swap Spread</v>
          </cell>
        </row>
        <row r="2859">
          <cell r="A2859" t="str">
            <v>EUR_ERMBS_GB_P_SF</v>
          </cell>
          <cell r="B2859" t="str">
            <v>Pan Euro RMBS UK Prime</v>
          </cell>
          <cell r="C2859" t="str">
            <v>BRS_GOLD__5_SPREADS:BRS_GOLD__3_OTHER_SPREADS:BRS_GOLD__2_OSABS:NUS_ABS:EUR_ERMBS_GB_P_SF</v>
          </cell>
          <cell r="D2859" t="str">
            <v>Spread Duration</v>
          </cell>
          <cell r="E2859" t="str">
            <v>Spread Yield (DxS)</v>
          </cell>
          <cell r="F2859" t="str">
            <v>Alternative</v>
          </cell>
          <cell r="G2859" t="str">
            <v>Other</v>
          </cell>
          <cell r="H2859" t="str">
            <v>ALTS</v>
          </cell>
          <cell r="I2859" t="str">
            <v>ABS - Swap Spread</v>
          </cell>
        </row>
        <row r="2860">
          <cell r="A2860" t="str">
            <v>EUR_ERMBS_GB_S_SF</v>
          </cell>
          <cell r="B2860" t="str">
            <v>Pan Euro RMBS UK SubPrime</v>
          </cell>
          <cell r="C2860" t="str">
            <v>BRS_GOLD__5_SPREADS:BRS_GOLD__3_OTHER_SPREADS:BRS_GOLD__2_OSABS:NUS_ABS:EUR_ERMBS_GB_S_SF</v>
          </cell>
          <cell r="D2860" t="str">
            <v>Spread Duration</v>
          </cell>
          <cell r="E2860" t="str">
            <v>Spread Yield (DxS)</v>
          </cell>
          <cell r="F2860" t="str">
            <v>Alternative</v>
          </cell>
          <cell r="G2860" t="str">
            <v>Other</v>
          </cell>
          <cell r="H2860" t="str">
            <v>ALTS</v>
          </cell>
          <cell r="I2860" t="str">
            <v>ABS - Swap Spread</v>
          </cell>
        </row>
        <row r="2861">
          <cell r="A2861" t="str">
            <v>EUR_ERMBS_OTHR_SF</v>
          </cell>
          <cell r="B2861" t="str">
            <v>Pan Euro RMBS Core excl. UK/NL</v>
          </cell>
          <cell r="C2861" t="str">
            <v>BRS_GOLD__5_SPREADS:BRS_GOLD__3_OTHER_SPREADS:BRS_GOLD__2_OSABS:NUS_ABS:EUR_ERMBS_OTHR_SF</v>
          </cell>
          <cell r="D2861" t="str">
            <v>Spread Duration</v>
          </cell>
          <cell r="E2861" t="str">
            <v>Spread Yield (DxS)</v>
          </cell>
          <cell r="F2861" t="str">
            <v>Alternative</v>
          </cell>
          <cell r="G2861" t="str">
            <v>Other</v>
          </cell>
          <cell r="H2861" t="str">
            <v>ALTS</v>
          </cell>
          <cell r="I2861" t="str">
            <v>ABS - Swap Spread</v>
          </cell>
        </row>
        <row r="2862">
          <cell r="A2862" t="str">
            <v>EUR_EABS_FIX_SF</v>
          </cell>
          <cell r="B2862" t="str">
            <v>Pan Euro ABS Fix</v>
          </cell>
          <cell r="C2862" t="str">
            <v>BRS_GOLD__5_SPREADS:BRS_GOLD__3_OTHER_SPREADS:BRS_GOLD__2_OSABS:NUS_ABS:EUR_EABS_FIX_SF</v>
          </cell>
          <cell r="D2862" t="str">
            <v>Spread Duration</v>
          </cell>
          <cell r="E2862" t="str">
            <v>Spread Yield (DxS)</v>
          </cell>
          <cell r="F2862" t="str">
            <v>Alternative</v>
          </cell>
          <cell r="G2862" t="str">
            <v>Other</v>
          </cell>
          <cell r="H2862" t="str">
            <v>ALTS</v>
          </cell>
          <cell r="I2862" t="str">
            <v>ABS - Swap Spread</v>
          </cell>
        </row>
        <row r="2863">
          <cell r="A2863" t="str">
            <v>EUR_EABS_FLT_SF</v>
          </cell>
          <cell r="B2863" t="str">
            <v>Pan Euro ABS Flt</v>
          </cell>
          <cell r="C2863" t="str">
            <v>BRS_GOLD__5_SPREADS:BRS_GOLD__3_OTHER_SPREADS:BRS_GOLD__2_OSABS:NUS_ABS:EUR_EABS_FLT_SF</v>
          </cell>
          <cell r="D2863" t="str">
            <v>Spread Duration</v>
          </cell>
          <cell r="E2863" t="str">
            <v>Spread Yield (DxS)</v>
          </cell>
          <cell r="F2863" t="str">
            <v>Alternative</v>
          </cell>
          <cell r="G2863" t="str">
            <v>Other</v>
          </cell>
          <cell r="H2863" t="str">
            <v>ALTS</v>
          </cell>
          <cell r="I2863" t="str">
            <v>ABS - Swap Spread</v>
          </cell>
        </row>
        <row r="2864">
          <cell r="A2864" t="str">
            <v>USD_ABS_AUTOLEASE</v>
          </cell>
          <cell r="B2864" t="str">
            <v>ABS Auto Lease</v>
          </cell>
          <cell r="C2864" t="str">
            <v>BRS_GOLD__5_SPREADS:BRS_GOLD__3_OTHER_SPREADS:BRS_GOLD__2_OSABS:ABS_NEW_SEC,ABS_NEW_MAT:ABS_NEW_SEC:USD_ABS_AUTOLEASE</v>
          </cell>
          <cell r="D2864" t="str">
            <v>Spread Duration</v>
          </cell>
          <cell r="E2864" t="str">
            <v>Spread Yield (DxS)</v>
          </cell>
          <cell r="F2864" t="str">
            <v>Alternative</v>
          </cell>
          <cell r="G2864" t="str">
            <v>Other</v>
          </cell>
          <cell r="H2864" t="str">
            <v>ALTS</v>
          </cell>
          <cell r="I2864" t="str">
            <v>ABS - Swap Spread</v>
          </cell>
        </row>
        <row r="2865">
          <cell r="A2865" t="str">
            <v>USD_ABS_AUTOPRIME</v>
          </cell>
          <cell r="B2865" t="str">
            <v>ABS Auto Prime</v>
          </cell>
          <cell r="C2865" t="str">
            <v>BRS_GOLD__5_SPREADS:BRS_GOLD__3_OTHER_SPREADS:BRS_GOLD__2_OSABS:ABS_NEW_SEC,ABS_NEW_MAT:ABS_NEW_SEC:USD_ABS_AUTOPRIME</v>
          </cell>
          <cell r="D2865" t="str">
            <v>Spread Duration</v>
          </cell>
          <cell r="E2865" t="str">
            <v>Spread Yield (DxS)</v>
          </cell>
          <cell r="F2865" t="str">
            <v>Alternative</v>
          </cell>
          <cell r="G2865" t="str">
            <v>Other</v>
          </cell>
          <cell r="H2865" t="str">
            <v>ALTS</v>
          </cell>
          <cell r="I2865" t="str">
            <v>ABS - Swap Spread</v>
          </cell>
        </row>
        <row r="2866">
          <cell r="A2866" t="str">
            <v>USD_ABS_AUTOSBPRM</v>
          </cell>
          <cell r="B2866" t="str">
            <v>ABS Auto Subprime</v>
          </cell>
          <cell r="C2866" t="str">
            <v>BRS_GOLD__5_SPREADS:BRS_GOLD__3_OTHER_SPREADS:BRS_GOLD__2_OSABS:ABS_NEW_SEC,ABS_NEW_MAT:ABS_NEW_SEC:USD_ABS_AUTOSBPRM</v>
          </cell>
          <cell r="D2866" t="str">
            <v>Spread Duration</v>
          </cell>
          <cell r="E2866" t="str">
            <v>Spread Yield (DxS)</v>
          </cell>
          <cell r="F2866" t="str">
            <v>Alternative</v>
          </cell>
          <cell r="G2866" t="str">
            <v>Other</v>
          </cell>
          <cell r="H2866" t="str">
            <v>ALTS</v>
          </cell>
          <cell r="I2866" t="str">
            <v>ABS - Swap Spread</v>
          </cell>
        </row>
        <row r="2867">
          <cell r="A2867" t="str">
            <v>USD_ABS_BANKCARD</v>
          </cell>
          <cell r="B2867" t="str">
            <v>ABS Credit Bank Card</v>
          </cell>
          <cell r="C2867" t="str">
            <v>BRS_GOLD__5_SPREADS:BRS_GOLD__3_OTHER_SPREADS:BRS_GOLD__2_OSABS:ABS_NEW_SEC,ABS_NEW_MAT:ABS_NEW_SEC:USD_ABS_BANKCARD</v>
          </cell>
          <cell r="D2867" t="str">
            <v>Spread Duration</v>
          </cell>
          <cell r="E2867" t="str">
            <v>Spread Yield (DxS)</v>
          </cell>
          <cell r="F2867" t="str">
            <v>Alternative</v>
          </cell>
          <cell r="G2867" t="str">
            <v>Other</v>
          </cell>
          <cell r="H2867" t="str">
            <v>ALTS</v>
          </cell>
          <cell r="I2867" t="str">
            <v>ABS - Swap Spread</v>
          </cell>
        </row>
        <row r="2868">
          <cell r="A2868" t="str">
            <v>USD_ABS_RETAILCARD</v>
          </cell>
          <cell r="B2868" t="str">
            <v>ABS Credit Retail Card</v>
          </cell>
          <cell r="C2868" t="str">
            <v>BRS_GOLD__5_SPREADS:BRS_GOLD__3_OTHER_SPREADS:BRS_GOLD__2_OSABS:ABS_NEW_SEC,ABS_NEW_MAT:ABS_NEW_SEC:USD_ABS_RETAILCARD</v>
          </cell>
          <cell r="D2868" t="str">
            <v>Spread Duration</v>
          </cell>
          <cell r="E2868" t="str">
            <v>Spread Yield (DxS)</v>
          </cell>
          <cell r="F2868" t="str">
            <v>Alternative</v>
          </cell>
          <cell r="G2868" t="str">
            <v>Other</v>
          </cell>
          <cell r="H2868" t="str">
            <v>ALTS</v>
          </cell>
          <cell r="I2868" t="str">
            <v>ABS - Swap Spread</v>
          </cell>
        </row>
        <row r="2869">
          <cell r="A2869" t="str">
            <v>USD_ABS_STDNLNGG</v>
          </cell>
          <cell r="B2869" t="str">
            <v>ABS Student Loans Govt Gtd</v>
          </cell>
          <cell r="C2869" t="str">
            <v>BRS_GOLD__5_SPREADS:BRS_GOLD__3_OTHER_SPREADS:BRS_GOLD__2_OSABS:ABS_NEW_SEC,ABS_NEW_MAT:ABS_NEW_SEC:USD_ABS_STDNLNGG</v>
          </cell>
          <cell r="D2869" t="str">
            <v>Spread Duration</v>
          </cell>
          <cell r="E2869" t="str">
            <v>Spread Yield (DxS)</v>
          </cell>
          <cell r="F2869" t="str">
            <v>Alternative</v>
          </cell>
          <cell r="G2869" t="str">
            <v>Other</v>
          </cell>
          <cell r="H2869" t="str">
            <v>ALTS</v>
          </cell>
          <cell r="I2869" t="str">
            <v>ABS - Swap Spread</v>
          </cell>
        </row>
        <row r="2870">
          <cell r="A2870" t="str">
            <v>USD_ABS_STDNLNPRVT</v>
          </cell>
          <cell r="B2870" t="str">
            <v>ABS Student Loans Private</v>
          </cell>
          <cell r="C2870" t="str">
            <v>BRS_GOLD__5_SPREADS:BRS_GOLD__3_OTHER_SPREADS:BRS_GOLD__2_OSABS:ABS_NEW_SEC,ABS_NEW_MAT:ABS_NEW_SEC:USD_ABS_STDNLNPRVT</v>
          </cell>
          <cell r="D2870" t="str">
            <v>Spread Duration</v>
          </cell>
          <cell r="E2870" t="str">
            <v>Spread Yield (DxS)</v>
          </cell>
          <cell r="F2870" t="str">
            <v>Alternative</v>
          </cell>
          <cell r="G2870" t="str">
            <v>Other</v>
          </cell>
          <cell r="H2870" t="str">
            <v>ALTS</v>
          </cell>
          <cell r="I2870" t="str">
            <v>ABS - Swap Spread</v>
          </cell>
        </row>
        <row r="2871">
          <cell r="A2871" t="str">
            <v>USD_ABS_CONSUMER</v>
          </cell>
          <cell r="B2871" t="str">
            <v>ABS Consumer</v>
          </cell>
          <cell r="C2871" t="str">
            <v>BRS_GOLD__5_SPREADS:BRS_GOLD__3_OTHER_SPREADS:BRS_GOLD__2_OSABS:ABS_NEW_SEC,ABS_NEW_MAT:ABS_NEW_SEC:USD_ABS_CONSUMER</v>
          </cell>
          <cell r="D2871" t="str">
            <v>Spread Duration</v>
          </cell>
          <cell r="E2871" t="str">
            <v>Spread Yield (DxS)</v>
          </cell>
          <cell r="F2871" t="str">
            <v>Alternative</v>
          </cell>
          <cell r="G2871" t="str">
            <v>Other</v>
          </cell>
          <cell r="H2871" t="str">
            <v>ALTS</v>
          </cell>
          <cell r="I2871" t="str">
            <v>ABS - Swap Spread</v>
          </cell>
        </row>
        <row r="2872">
          <cell r="A2872" t="str">
            <v>USD_ABS_EQUIPMENT</v>
          </cell>
          <cell r="B2872" t="str">
            <v>ABS Equipment</v>
          </cell>
          <cell r="C2872" t="str">
            <v>BRS_GOLD__5_SPREADS:BRS_GOLD__3_OTHER_SPREADS:BRS_GOLD__2_OSABS:ABS_NEW_SEC,ABS_NEW_MAT:ABS_NEW_SEC:USD_ABS_EQUIPMENT</v>
          </cell>
          <cell r="D2872" t="str">
            <v>Spread Duration</v>
          </cell>
          <cell r="E2872" t="str">
            <v>Spread Yield (DxS)</v>
          </cell>
          <cell r="F2872" t="str">
            <v>Alternative</v>
          </cell>
          <cell r="G2872" t="str">
            <v>Other</v>
          </cell>
          <cell r="H2872" t="str">
            <v>ALTS</v>
          </cell>
          <cell r="I2872" t="str">
            <v>ABS - Swap Spread</v>
          </cell>
        </row>
        <row r="2873">
          <cell r="A2873" t="str">
            <v>USD_ABS_FLOORPLAN</v>
          </cell>
          <cell r="B2873" t="str">
            <v>ABS Floorplan</v>
          </cell>
          <cell r="C2873" t="str">
            <v>BRS_GOLD__5_SPREADS:BRS_GOLD__3_OTHER_SPREADS:BRS_GOLD__2_OSABS:ABS_NEW_SEC,ABS_NEW_MAT:ABS_NEW_SEC:USD_ABS_FLOORPLAN</v>
          </cell>
          <cell r="D2873" t="str">
            <v>Spread Duration</v>
          </cell>
          <cell r="E2873" t="str">
            <v>Spread Yield (DxS)</v>
          </cell>
          <cell r="F2873" t="str">
            <v>Alternative</v>
          </cell>
          <cell r="G2873" t="str">
            <v>Other</v>
          </cell>
          <cell r="H2873" t="str">
            <v>ALTS</v>
          </cell>
          <cell r="I2873" t="str">
            <v>ABS - Swap Spread</v>
          </cell>
        </row>
        <row r="2874">
          <cell r="A2874" t="str">
            <v>USD_ABS_OTHER</v>
          </cell>
          <cell r="B2874" t="str">
            <v>ABS Other</v>
          </cell>
          <cell r="C2874" t="str">
            <v>BRS_GOLD__5_SPREADS:BRS_GOLD__3_OTHER_SPREADS:BRS_GOLD__2_OSABS:ABS_NEW_SEC,ABS_NEW_MAT:ABS_NEW_SEC:USD_ABS_OTHER</v>
          </cell>
          <cell r="D2874" t="str">
            <v>Spread Duration</v>
          </cell>
          <cell r="E2874" t="str">
            <v>Spread Yield (DxS)</v>
          </cell>
          <cell r="F2874" t="str">
            <v>Alternative</v>
          </cell>
          <cell r="G2874" t="str">
            <v>Other</v>
          </cell>
          <cell r="H2874" t="str">
            <v>ALTS</v>
          </cell>
          <cell r="I2874" t="str">
            <v>ABS - Swap Spread</v>
          </cell>
        </row>
        <row r="2875">
          <cell r="A2875" t="str">
            <v>USD_ABS_MKT</v>
          </cell>
          <cell r="B2875" t="str">
            <v>ABS Market</v>
          </cell>
          <cell r="C2875" t="str">
            <v>BRS_GOLD__5_SPREADS:BRS_GOLD__3_OTHER_SPREADS:BRS_GOLD__2_OSABS:ABS_NEW_SEC,ABS_NEW_MAT:ABS_NEW_SEC:USD_ABS_MKT</v>
          </cell>
          <cell r="D2875" t="str">
            <v>Spread Duration</v>
          </cell>
          <cell r="E2875" t="str">
            <v>Spread Yield (DxS)</v>
          </cell>
          <cell r="F2875" t="str">
            <v>Alternative</v>
          </cell>
          <cell r="G2875" t="str">
            <v>Other</v>
          </cell>
          <cell r="H2875" t="str">
            <v>ALTS</v>
          </cell>
          <cell r="I2875" t="str">
            <v>ABS - Swap Spread</v>
          </cell>
        </row>
        <row r="2876">
          <cell r="A2876" t="str">
            <v>USD_ABS_SBALOAN</v>
          </cell>
          <cell r="B2876" t="str">
            <v>ABS SBA Loans</v>
          </cell>
          <cell r="C2876" t="str">
            <v>BRS_GOLD__5_SPREADS:BRS_GOLD__3_OTHER_SPREADS:BRS_GOLD__2_OSABS:ABS_NEW_SEC,ABS_NEW_MAT:ABS_NEW_SEC:USD_ABS_SBALOAN</v>
          </cell>
          <cell r="D2876" t="str">
            <v>Spread Duration</v>
          </cell>
          <cell r="E2876" t="str">
            <v>Spread Yield (DxS)</v>
          </cell>
          <cell r="F2876" t="str">
            <v>Alternative</v>
          </cell>
          <cell r="G2876" t="str">
            <v>Other</v>
          </cell>
          <cell r="H2876" t="str">
            <v>ALTS</v>
          </cell>
          <cell r="I2876" t="str">
            <v>ABS - Swap Spread</v>
          </cell>
        </row>
        <row r="2877">
          <cell r="A2877" t="str">
            <v>USD_ABS_SHORT</v>
          </cell>
          <cell r="B2877" t="str">
            <v>ABS Maturity 1</v>
          </cell>
          <cell r="C2877" t="str">
            <v>BRS_GOLD__5_SPREADS:BRS_GOLD__3_OTHER_SPREADS:BRS_GOLD__2_OSABS:ABS_NEW_SEC,ABS_NEW_MAT:ABS_NEW_MAT:USD_ABS_SHORT</v>
          </cell>
          <cell r="D2877" t="str">
            <v>Spread Duration</v>
          </cell>
          <cell r="E2877" t="str">
            <v>Spread Yield (DxS)</v>
          </cell>
          <cell r="F2877" t="str">
            <v>Alternative</v>
          </cell>
          <cell r="G2877" t="str">
            <v>Other</v>
          </cell>
          <cell r="H2877" t="str">
            <v>ALTS</v>
          </cell>
          <cell r="I2877" t="str">
            <v>ABS - Swap Spread</v>
          </cell>
        </row>
        <row r="2878">
          <cell r="A2878" t="str">
            <v>USD_ABS_MEDIUM</v>
          </cell>
          <cell r="B2878" t="str">
            <v>ABS Maturity 3</v>
          </cell>
          <cell r="C2878" t="str">
            <v>BRS_GOLD__5_SPREADS:BRS_GOLD__3_OTHER_SPREADS:BRS_GOLD__2_OSABS:ABS_NEW_SEC,ABS_NEW_MAT:ABS_NEW_MAT:USD_ABS_MEDIUM</v>
          </cell>
          <cell r="D2878" t="str">
            <v>Spread Duration</v>
          </cell>
          <cell r="E2878" t="str">
            <v>Spread Yield (DxS)</v>
          </cell>
          <cell r="F2878" t="str">
            <v>Alternative</v>
          </cell>
          <cell r="G2878" t="str">
            <v>Other</v>
          </cell>
          <cell r="H2878" t="str">
            <v>ALTS</v>
          </cell>
          <cell r="I2878" t="str">
            <v>ABS - Swap Spread</v>
          </cell>
        </row>
        <row r="2879">
          <cell r="A2879" t="str">
            <v>USD_ABS_LONG</v>
          </cell>
          <cell r="B2879" t="str">
            <v>ABS Maturity 7</v>
          </cell>
          <cell r="C2879" t="str">
            <v>BRS_GOLD__5_SPREADS:BRS_GOLD__3_OTHER_SPREADS:BRS_GOLD__2_OSABS:ABS_NEW_SEC,ABS_NEW_MAT:ABS_NEW_MAT:USD_ABS_LONG</v>
          </cell>
          <cell r="D2879" t="str">
            <v>Spread Duration</v>
          </cell>
          <cell r="E2879" t="str">
            <v>Spread Yield (DxS)</v>
          </cell>
          <cell r="F2879" t="str">
            <v>Alternative</v>
          </cell>
          <cell r="G2879" t="str">
            <v>Other</v>
          </cell>
          <cell r="H2879" t="str">
            <v>ALTS</v>
          </cell>
          <cell r="I2879" t="str">
            <v>ABS - Swap Spread</v>
          </cell>
        </row>
        <row r="2880">
          <cell r="A2880" t="str">
            <v>USABS_AUTO_IDIO</v>
          </cell>
          <cell r="B2880" t="str">
            <v>ABS Auto Idio</v>
          </cell>
          <cell r="C2880" t="str">
            <v>BRS_GOLD__5_SPREADS:BRS_GOLD__3_OTHER_SPREADS:BRS_GOLD__2_OSABS:USABS_IDIO:USABS_AUTO_IDIO</v>
          </cell>
          <cell r="D2880" t="str">
            <v>Spread Duration</v>
          </cell>
          <cell r="E2880" t="str">
            <v>Spread Yield (DxS)</v>
          </cell>
          <cell r="F2880" t="str">
            <v>Idiosyncratic</v>
          </cell>
          <cell r="G2880" t="str">
            <v>Other</v>
          </cell>
          <cell r="H2880" t="str">
            <v>SPREADS_SPECIFIC</v>
          </cell>
          <cell r="I2880" t="str">
            <v>ABS - Idiosyncratic</v>
          </cell>
        </row>
        <row r="2881">
          <cell r="A2881" t="str">
            <v>USABS_CRDCARD_IDIO</v>
          </cell>
          <cell r="B2881" t="str">
            <v>ABS Credit Card Idio</v>
          </cell>
          <cell r="C2881" t="str">
            <v>BRS_GOLD__5_SPREADS:BRS_GOLD__3_OTHER_SPREADS:BRS_GOLD__2_OSABS:USABS_IDIO:USABS_CRDCARD_IDIO</v>
          </cell>
          <cell r="D2881" t="str">
            <v>Spread Duration</v>
          </cell>
          <cell r="E2881" t="str">
            <v>Spread Yield (DxS)</v>
          </cell>
          <cell r="F2881" t="str">
            <v>Idiosyncratic</v>
          </cell>
          <cell r="G2881" t="str">
            <v>Other</v>
          </cell>
          <cell r="H2881" t="str">
            <v>SPREADS_SPECIFIC</v>
          </cell>
          <cell r="I2881" t="str">
            <v>ABS - Idiosyncratic</v>
          </cell>
        </row>
        <row r="2882">
          <cell r="A2882" t="str">
            <v>USABS_STDNLN_IDIO</v>
          </cell>
          <cell r="B2882" t="str">
            <v>ABS Student Loans Idio</v>
          </cell>
          <cell r="C2882" t="str">
            <v>BRS_GOLD__5_SPREADS:BRS_GOLD__3_OTHER_SPREADS:BRS_GOLD__2_OSABS:USABS_IDIO:USABS_STDNLN_IDIO</v>
          </cell>
          <cell r="D2882" t="str">
            <v>Spread Duration</v>
          </cell>
          <cell r="E2882" t="str">
            <v>Spread Yield (DxS)</v>
          </cell>
          <cell r="F2882" t="str">
            <v>Idiosyncratic</v>
          </cell>
          <cell r="G2882" t="str">
            <v>Other</v>
          </cell>
          <cell r="H2882" t="str">
            <v>SPREADS_SPECIFIC</v>
          </cell>
          <cell r="I2882" t="str">
            <v>ABS - Idiosyncratic</v>
          </cell>
        </row>
        <row r="2883">
          <cell r="A2883" t="str">
            <v>USABS_OTHER_IDIO</v>
          </cell>
          <cell r="B2883" t="str">
            <v>ABS Other Idio</v>
          </cell>
          <cell r="C2883" t="str">
            <v>BRS_GOLD__5_SPREADS:BRS_GOLD__3_OTHER_SPREADS:BRS_GOLD__2_OSABS:USABS_IDIO:USABS_OTHER_IDIO</v>
          </cell>
          <cell r="D2883" t="str">
            <v>Spread Duration</v>
          </cell>
          <cell r="E2883" t="str">
            <v>Spread Yield (DxS)</v>
          </cell>
          <cell r="F2883" t="str">
            <v>Idiosyncratic</v>
          </cell>
          <cell r="G2883" t="str">
            <v>Other</v>
          </cell>
          <cell r="H2883" t="str">
            <v>SPREADS_SPECIFIC</v>
          </cell>
          <cell r="I2883" t="str">
            <v>ABS - Idiosyncratic</v>
          </cell>
        </row>
        <row r="2884">
          <cell r="A2884" t="str">
            <v>USD_AGENCY_2yN</v>
          </cell>
          <cell r="B2884" t="str">
            <v>Agency 2Y</v>
          </cell>
          <cell r="C2884" t="str">
            <v>BRS_GOLD__5_SPREADS:BRS_GOLD__3_OTHER_SPREADS:BRS_GOLD__2_OSAGY:USD_AGENCY,USD_CORP_ACY:USD_AGENCY:USD_AGENCY_2yN</v>
          </cell>
          <cell r="D2884" t="str">
            <v>Spread Duration</v>
          </cell>
          <cell r="E2884" t="str">
            <v>Other Spread Yield</v>
          </cell>
          <cell r="F2884" t="str">
            <v>SP-Other</v>
          </cell>
          <cell r="G2884" t="str">
            <v>SP-Other</v>
          </cell>
          <cell r="H2884" t="str">
            <v>SPREADS</v>
          </cell>
          <cell r="I2884" t="str">
            <v>Agency / Supranational</v>
          </cell>
        </row>
        <row r="2885">
          <cell r="A2885" t="str">
            <v>USD_AGENCY_2yN_SF</v>
          </cell>
          <cell r="B2885" t="str">
            <v>Agency 2Y</v>
          </cell>
          <cell r="C2885" t="str">
            <v>BRS_GOLD__5_SPREADS:BRS_GOLD__3_OTHER_SPREADS:BRS_GOLD__2_OSAGY:USD_AGENCY,USD_CORP_ACY:USD_AGENCY:USD_AGENCY_2yN_SF</v>
          </cell>
          <cell r="D2885" t="str">
            <v>Spread Duration</v>
          </cell>
          <cell r="E2885" t="str">
            <v>Other Spread Yield</v>
          </cell>
          <cell r="F2885" t="str">
            <v>SP-Other</v>
          </cell>
          <cell r="G2885" t="str">
            <v>SP-Other</v>
          </cell>
          <cell r="H2885" t="str">
            <v>SPREADS</v>
          </cell>
          <cell r="I2885" t="str">
            <v>Agency / Supranational</v>
          </cell>
        </row>
        <row r="2886">
          <cell r="A2886" t="str">
            <v>USD_AGENCY_5yN</v>
          </cell>
          <cell r="B2886" t="str">
            <v>Agency 5Y</v>
          </cell>
          <cell r="C2886" t="str">
            <v>BRS_GOLD__5_SPREADS:BRS_GOLD__3_OTHER_SPREADS:BRS_GOLD__2_OSAGY:USD_AGENCY,USD_CORP_ACY:USD_AGENCY:USD_AGENCY_5yN</v>
          </cell>
          <cell r="D2886" t="str">
            <v>Spread Duration</v>
          </cell>
          <cell r="E2886" t="str">
            <v>Other Spread Yield</v>
          </cell>
          <cell r="F2886" t="str">
            <v>SP-Other</v>
          </cell>
          <cell r="G2886" t="str">
            <v>SP-Other</v>
          </cell>
          <cell r="H2886" t="str">
            <v>SPREADS</v>
          </cell>
          <cell r="I2886" t="str">
            <v>Agency / Supranational</v>
          </cell>
        </row>
        <row r="2887">
          <cell r="A2887" t="str">
            <v>USD_AGENCY_5yN_SF</v>
          </cell>
          <cell r="B2887" t="str">
            <v>Agency 5Y</v>
          </cell>
          <cell r="C2887" t="str">
            <v>BRS_GOLD__5_SPREADS:BRS_GOLD__3_OTHER_SPREADS:BRS_GOLD__2_OSAGY:USD_AGENCY,USD_CORP_ACY:USD_AGENCY:USD_AGENCY_5yN_SF</v>
          </cell>
          <cell r="D2887" t="str">
            <v>Spread Duration</v>
          </cell>
          <cell r="E2887" t="str">
            <v>Other Spread Yield</v>
          </cell>
          <cell r="F2887" t="str">
            <v>SP-Other</v>
          </cell>
          <cell r="G2887" t="str">
            <v>SP-Other</v>
          </cell>
          <cell r="H2887" t="str">
            <v>SPREADS</v>
          </cell>
          <cell r="I2887" t="str">
            <v>Agency / Supranational</v>
          </cell>
        </row>
        <row r="2888">
          <cell r="A2888" t="str">
            <v>USD_AGENCY_10yN</v>
          </cell>
          <cell r="B2888" t="str">
            <v>Agency 10Y</v>
          </cell>
          <cell r="C2888" t="str">
            <v>BRS_GOLD__5_SPREADS:BRS_GOLD__3_OTHER_SPREADS:BRS_GOLD__2_OSAGY:USD_AGENCY,USD_CORP_ACY:USD_AGENCY:USD_AGENCY_10yN</v>
          </cell>
          <cell r="D2888" t="str">
            <v>Spread Duration</v>
          </cell>
          <cell r="E2888" t="str">
            <v>Other Spread Yield</v>
          </cell>
          <cell r="F2888" t="str">
            <v>SP-Other</v>
          </cell>
          <cell r="G2888" t="str">
            <v>SP-Other</v>
          </cell>
          <cell r="H2888" t="str">
            <v>SPREADS</v>
          </cell>
          <cell r="I2888" t="str">
            <v>Agency / Supranational</v>
          </cell>
        </row>
        <row r="2889">
          <cell r="A2889" t="str">
            <v>USD_AGENCY_10yN_SF</v>
          </cell>
          <cell r="B2889" t="str">
            <v>Agency 10Y</v>
          </cell>
          <cell r="C2889" t="str">
            <v>BRS_GOLD__5_SPREADS:BRS_GOLD__3_OTHER_SPREADS:BRS_GOLD__2_OSAGY:USD_AGENCY,USD_CORP_ACY:USD_AGENCY:USD_AGENCY_10yN_SF</v>
          </cell>
          <cell r="D2889" t="str">
            <v>Spread Duration</v>
          </cell>
          <cell r="E2889" t="str">
            <v>Other Spread Yield</v>
          </cell>
          <cell r="F2889" t="str">
            <v>SP-Other</v>
          </cell>
          <cell r="G2889" t="str">
            <v>SP-Other</v>
          </cell>
          <cell r="H2889" t="str">
            <v>SPREADS</v>
          </cell>
          <cell r="I2889" t="str">
            <v>Agency / Supranational</v>
          </cell>
        </row>
        <row r="2890">
          <cell r="A2890" t="str">
            <v>USD_AGENCY_30yN</v>
          </cell>
          <cell r="B2890" t="str">
            <v>Agency 30Y</v>
          </cell>
          <cell r="C2890" t="str">
            <v>BRS_GOLD__5_SPREADS:BRS_GOLD__3_OTHER_SPREADS:BRS_GOLD__2_OSAGY:USD_AGENCY,USD_CORP_ACY:USD_AGENCY:USD_AGENCY_30yN</v>
          </cell>
          <cell r="D2890" t="str">
            <v>Spread Duration</v>
          </cell>
          <cell r="E2890" t="str">
            <v>Other Spread Yield</v>
          </cell>
          <cell r="F2890" t="str">
            <v>SP-Other</v>
          </cell>
          <cell r="G2890" t="str">
            <v>SP-Other</v>
          </cell>
          <cell r="H2890" t="str">
            <v>SPREADS</v>
          </cell>
          <cell r="I2890" t="str">
            <v>Agency / Supranational</v>
          </cell>
        </row>
        <row r="2891">
          <cell r="A2891" t="str">
            <v>USD_AGENCY_30yN_SF</v>
          </cell>
          <cell r="B2891" t="str">
            <v>Agency 30Y</v>
          </cell>
          <cell r="C2891" t="str">
            <v>BRS_GOLD__5_SPREADS:BRS_GOLD__3_OTHER_SPREADS:BRS_GOLD__2_OSAGY:USD_AGENCY,USD_CORP_ACY:USD_AGENCY:USD_AGENCY_30yN_SF</v>
          </cell>
          <cell r="D2891" t="str">
            <v>Spread Duration</v>
          </cell>
          <cell r="E2891" t="str">
            <v>Other Spread Yield</v>
          </cell>
          <cell r="F2891" t="str">
            <v>SP-Other</v>
          </cell>
          <cell r="G2891" t="str">
            <v>SP-Other</v>
          </cell>
          <cell r="H2891" t="str">
            <v>SPREADS</v>
          </cell>
          <cell r="I2891" t="str">
            <v>Agency / Supranational</v>
          </cell>
        </row>
        <row r="2892">
          <cell r="A2892" t="str">
            <v>USD_agency_2yr</v>
          </cell>
          <cell r="B2892" t="str">
            <v>Agency 2Y</v>
          </cell>
          <cell r="C2892" t="str">
            <v>BRS_GOLD__5_SPREADS:BRS_GOLD__3_OTHER_SPREADS:BRS_GOLD__2_OSAGY:USD_AGENCY,USD_CORP_ACY:USD_AGENCY:USD_agency_2yr</v>
          </cell>
          <cell r="D2892" t="str">
            <v>Spread Duration</v>
          </cell>
          <cell r="E2892" t="str">
            <v>Other Spread Yield</v>
          </cell>
          <cell r="F2892" t="str">
            <v>SP-Other</v>
          </cell>
          <cell r="G2892" t="str">
            <v>SP-Other</v>
          </cell>
          <cell r="H2892" t="str">
            <v>SPREADS</v>
          </cell>
          <cell r="I2892" t="str">
            <v>Agency / Supranational</v>
          </cell>
        </row>
        <row r="2893">
          <cell r="A2893" t="str">
            <v>USD_agency_5yr</v>
          </cell>
          <cell r="B2893" t="str">
            <v>Agency 5Y</v>
          </cell>
          <cell r="C2893" t="str">
            <v>BRS_GOLD__5_SPREADS:BRS_GOLD__3_OTHER_SPREADS:BRS_GOLD__2_OSAGY:USD_AGENCY,USD_CORP_ACY:USD_AGENCY:USD_agency_5yr</v>
          </cell>
          <cell r="D2893" t="str">
            <v>Spread Duration</v>
          </cell>
          <cell r="E2893" t="str">
            <v>Other Spread Yield</v>
          </cell>
          <cell r="F2893" t="str">
            <v>SP-Other</v>
          </cell>
          <cell r="G2893" t="str">
            <v>SP-Other</v>
          </cell>
          <cell r="H2893" t="str">
            <v>SPREADS</v>
          </cell>
          <cell r="I2893" t="str">
            <v>Agency / Supranational</v>
          </cell>
        </row>
        <row r="2894">
          <cell r="A2894" t="str">
            <v>USD_agency_10yr</v>
          </cell>
          <cell r="B2894" t="str">
            <v>Agency 10Y</v>
          </cell>
          <cell r="C2894" t="str">
            <v>BRS_GOLD__5_SPREADS:BRS_GOLD__3_OTHER_SPREADS:BRS_GOLD__2_OSAGY:USD_AGENCY,USD_CORP_ACY:USD_AGENCY:USD_agency_10yr</v>
          </cell>
          <cell r="D2894" t="str">
            <v>Spread Duration</v>
          </cell>
          <cell r="E2894" t="str">
            <v>Other Spread Yield</v>
          </cell>
          <cell r="F2894" t="str">
            <v>SP-Other</v>
          </cell>
          <cell r="G2894" t="str">
            <v>SP-Other</v>
          </cell>
          <cell r="H2894" t="str">
            <v>SPREADS</v>
          </cell>
          <cell r="I2894" t="str">
            <v>Agency / Supranational</v>
          </cell>
        </row>
        <row r="2895">
          <cell r="A2895" t="str">
            <v>USD_agency_30yr</v>
          </cell>
          <cell r="B2895" t="str">
            <v>Agency 30Y</v>
          </cell>
          <cell r="C2895" t="str">
            <v>BRS_GOLD__5_SPREADS:BRS_GOLD__3_OTHER_SPREADS:BRS_GOLD__2_OSAGY:USD_AGENCY,USD_CORP_ACY:USD_AGENCY:USD_agency_30yr</v>
          </cell>
          <cell r="D2895" t="str">
            <v>Spread Duration</v>
          </cell>
          <cell r="E2895" t="str">
            <v>Other Spread Yield</v>
          </cell>
          <cell r="F2895" t="str">
            <v>SP-Other</v>
          </cell>
          <cell r="G2895" t="str">
            <v>SP-Other</v>
          </cell>
          <cell r="H2895" t="str">
            <v>SPREADS</v>
          </cell>
          <cell r="I2895" t="str">
            <v>Agency / Supranational</v>
          </cell>
        </row>
        <row r="2896">
          <cell r="A2896" t="str">
            <v>LEH_AGENCY</v>
          </cell>
          <cell r="B2896" t="str">
            <v>Lehman Agency OAS</v>
          </cell>
          <cell r="C2896" t="str">
            <v>BRS_GOLD__5_SPREADS:BRS_GOLD__3_OTHER_SPREADS:BRS_GOLD__2_OSAGY:USD_AGENCY,USD_CORP_ACY:USD_AGENCY:LEH_AGENCY</v>
          </cell>
          <cell r="D2896" t="str">
            <v>Spread Duration</v>
          </cell>
          <cell r="E2896" t="str">
            <v>Other Spread Yield</v>
          </cell>
          <cell r="F2896" t="str">
            <v>SP-Other</v>
          </cell>
          <cell r="G2896" t="str">
            <v>SP-Other</v>
          </cell>
          <cell r="H2896" t="str">
            <v>SPREADS</v>
          </cell>
          <cell r="I2896" t="str">
            <v>Agency / Supranational</v>
          </cell>
        </row>
        <row r="2897">
          <cell r="A2897" t="str">
            <v>USD_AGENCY_AAA</v>
          </cell>
          <cell r="B2897" t="str">
            <v>US Agency AAA</v>
          </cell>
          <cell r="C2897" t="str">
            <v>BRS_GOLD__5_SPREADS:BRS_GOLD__3_OTHER_SPREADS:BRS_GOLD__2_OSAGY:USD_AGENCY,USD_CORP_ACY:USD_AGENCY_AAA,USD_NON_CORPORATE_AAA,USD_AGENCY_AAA_SF,USD_NON_CORPORATE_AAA_SF:USD_AGENCY_AAA</v>
          </cell>
          <cell r="D2897" t="str">
            <v>Spread Duration</v>
          </cell>
          <cell r="E2897" t="str">
            <v>Other Spread Yield</v>
          </cell>
          <cell r="F2897" t="str">
            <v>SP-Other</v>
          </cell>
          <cell r="G2897" t="str">
            <v>SP-Other</v>
          </cell>
          <cell r="H2897" t="str">
            <v>SPREADS</v>
          </cell>
          <cell r="I2897" t="str">
            <v>Agency / Supranational</v>
          </cell>
        </row>
        <row r="2898">
          <cell r="A2898" t="str">
            <v>USD_NON_CORPORATE_AAA</v>
          </cell>
          <cell r="B2898" t="str">
            <v>US Non Corp AAA</v>
          </cell>
          <cell r="C2898" t="str">
            <v>BRS_GOLD__5_SPREADS:BRS_GOLD__3_OTHER_SPREADS:BRS_GOLD__2_OSAGY:USD_AGENCY,USD_CORP_ACY:USD_AGENCY_AAA,USD_NON_CORPORATE_AAA,USD_AGENCY_AAA_SF,USD_NON_CORPORATE_AAA_SF:USD_NON_CORPORATE_AAA</v>
          </cell>
          <cell r="D2898" t="str">
            <v>Spread Duration</v>
          </cell>
          <cell r="E2898" t="str">
            <v>Other Spread Yield</v>
          </cell>
          <cell r="F2898" t="str">
            <v>SP-Other</v>
          </cell>
          <cell r="G2898" t="str">
            <v>SP-Other</v>
          </cell>
          <cell r="H2898" t="str">
            <v>SPREADS</v>
          </cell>
          <cell r="I2898" t="str">
            <v>Agency / Supranational</v>
          </cell>
        </row>
        <row r="2899">
          <cell r="A2899" t="str">
            <v>USD_AGENCY_AAA_SF</v>
          </cell>
          <cell r="B2899" t="str">
            <v>US Agency AAA</v>
          </cell>
          <cell r="C2899" t="str">
            <v>BRS_GOLD__5_SPREADS:BRS_GOLD__3_OTHER_SPREADS:BRS_GOLD__2_OSAGY:USD_AGENCY,USD_CORP_ACY:USD_AGENCY_AAA,USD_NON_CORPORATE_AAA,USD_AGENCY_AAA_SF,USD_NON_CORPORATE_AAA_SF:USD_AGENCY_AAA_SF</v>
          </cell>
          <cell r="D2899" t="str">
            <v>Spread Duration</v>
          </cell>
          <cell r="E2899" t="str">
            <v>Other Spread Yield</v>
          </cell>
          <cell r="F2899" t="str">
            <v>SP-Other</v>
          </cell>
          <cell r="G2899" t="str">
            <v>SP-Other</v>
          </cell>
          <cell r="H2899" t="str">
            <v>SPREADS</v>
          </cell>
          <cell r="I2899" t="str">
            <v>Agency / Supranational</v>
          </cell>
        </row>
        <row r="2900">
          <cell r="A2900" t="str">
            <v>USD_NON_CORPORATE_AAA_SF</v>
          </cell>
          <cell r="B2900" t="str">
            <v>US Non Corp AAA</v>
          </cell>
          <cell r="C2900" t="str">
            <v>BRS_GOLD__5_SPREADS:BRS_GOLD__3_OTHER_SPREADS:BRS_GOLD__2_OSAGY:USD_AGENCY,USD_CORP_ACY:USD_AGENCY_AAA,USD_NON_CORPORATE_AAA,USD_AGENCY_AAA_SF,USD_NON_CORPORATE_AAA_SF:USD_NON_CORPORATE_AAA_SF</v>
          </cell>
          <cell r="D2900" t="str">
            <v>Spread Duration</v>
          </cell>
          <cell r="E2900" t="str">
            <v>Other Spread Yield</v>
          </cell>
          <cell r="F2900" t="str">
            <v>SP-Other</v>
          </cell>
          <cell r="G2900" t="str">
            <v>SP-Other</v>
          </cell>
          <cell r="H2900" t="str">
            <v>SPREADS</v>
          </cell>
          <cell r="I2900" t="str">
            <v>Agency / Supranational</v>
          </cell>
        </row>
        <row r="2901">
          <cell r="A2901" t="str">
            <v>USD_AGENCY_IG</v>
          </cell>
          <cell r="B2901" t="str">
            <v>US Agency</v>
          </cell>
          <cell r="C2901" t="str">
            <v>BRS_GOLD__5_SPREADS:BRS_GOLD__3_OTHER_SPREADS:BRS_GOLD__2_OSAGY:USD_AGENCY,USD_CORP_ACY:USD_AGENCY_IG,USD_NON_CORPORATE_IG,USD_AGENCY_IG_SF,USD_NON_CORPORATE_IG_SF:USD_AGENCY_IG</v>
          </cell>
          <cell r="D2901" t="str">
            <v>Spread Duration</v>
          </cell>
          <cell r="E2901" t="str">
            <v>Spread Yield (DxS)</v>
          </cell>
          <cell r="F2901" t="str">
            <v>SP-Other</v>
          </cell>
          <cell r="G2901" t="str">
            <v>SP-Other</v>
          </cell>
          <cell r="H2901" t="str">
            <v>SPREADS</v>
          </cell>
          <cell r="I2901" t="str">
            <v>Agency / Supranational</v>
          </cell>
        </row>
        <row r="2902">
          <cell r="A2902" t="str">
            <v>USD_NON_CORPORATE_IG</v>
          </cell>
          <cell r="B2902" t="str">
            <v>US Non Corp</v>
          </cell>
          <cell r="C2902" t="str">
            <v>BRS_GOLD__5_SPREADS:BRS_GOLD__3_OTHER_SPREADS:BRS_GOLD__2_OSAGY:USD_AGENCY,USD_CORP_ACY:USD_AGENCY_IG,USD_NON_CORPORATE_IG,USD_AGENCY_IG_SF,USD_NON_CORPORATE_IG_SF:USD_NON_CORPORATE_IG</v>
          </cell>
          <cell r="D2902" t="str">
            <v>Spread Duration</v>
          </cell>
          <cell r="E2902" t="str">
            <v>Spread Yield (DxS)</v>
          </cell>
          <cell r="F2902" t="str">
            <v>SP-Other</v>
          </cell>
          <cell r="G2902" t="str">
            <v>SP-Other</v>
          </cell>
          <cell r="H2902" t="str">
            <v>SPREADS</v>
          </cell>
          <cell r="I2902" t="str">
            <v>Agency / Supranational</v>
          </cell>
        </row>
        <row r="2903">
          <cell r="A2903" t="str">
            <v>USD_AGENCY_IG_SF</v>
          </cell>
          <cell r="B2903" t="str">
            <v>US Agency</v>
          </cell>
          <cell r="C2903" t="str">
            <v>BRS_GOLD__5_SPREADS:BRS_GOLD__3_OTHER_SPREADS:BRS_GOLD__2_OSAGY:USD_AGENCY,USD_CORP_ACY:USD_AGENCY_IG,USD_NON_CORPORATE_IG,USD_AGENCY_IG_SF,USD_NON_CORPORATE_IG_SF:USD_AGENCY_IG_SF</v>
          </cell>
          <cell r="D2903" t="str">
            <v>Spread Duration</v>
          </cell>
          <cell r="E2903" t="str">
            <v>Spread Yield (DxS)</v>
          </cell>
          <cell r="F2903" t="str">
            <v>SP-Other</v>
          </cell>
          <cell r="G2903" t="str">
            <v>SP-Other</v>
          </cell>
          <cell r="H2903" t="str">
            <v>SPREADS</v>
          </cell>
          <cell r="I2903" t="str">
            <v>Agency / Supranational</v>
          </cell>
        </row>
        <row r="2904">
          <cell r="A2904" t="str">
            <v>USD_NON_CORPORATE_IG_SF</v>
          </cell>
          <cell r="B2904" t="str">
            <v>US Non Corp</v>
          </cell>
          <cell r="C2904" t="str">
            <v>BRS_GOLD__5_SPREADS:BRS_GOLD__3_OTHER_SPREADS:BRS_GOLD__2_OSAGY:USD_AGENCY,USD_CORP_ACY:USD_AGENCY_IG,USD_NON_CORPORATE_IG,USD_AGENCY_IG_SF,USD_NON_CORPORATE_IG_SF:USD_NON_CORPORATE_IG_SF</v>
          </cell>
          <cell r="D2904" t="str">
            <v>Spread Duration</v>
          </cell>
          <cell r="E2904" t="str">
            <v>Spread Yield (DxS)</v>
          </cell>
          <cell r="F2904" t="str">
            <v>SP-Other</v>
          </cell>
          <cell r="G2904" t="str">
            <v>SP-Other</v>
          </cell>
          <cell r="H2904" t="str">
            <v>SPREADS</v>
          </cell>
          <cell r="I2904" t="str">
            <v>Agency / Supranational</v>
          </cell>
        </row>
        <row r="2905">
          <cell r="A2905" t="str">
            <v>EUR_NON_CORPORATE_AAA</v>
          </cell>
          <cell r="B2905" t="str">
            <v>EU Non Corp AAA</v>
          </cell>
          <cell r="C2905" t="str">
            <v>BRS_GOLD__5_SPREADS:BRS_GOLD__3_OTHER_SPREADS:BRS_GOLD__2_OSAGY:EUR_GOVT_RELATED:EUR_GOVT_REL_AAA:EUR_NON_CORPORATE_AAA</v>
          </cell>
          <cell r="D2905" t="str">
            <v>Spread Duration</v>
          </cell>
          <cell r="E2905" t="str">
            <v>Other Spread Yield</v>
          </cell>
          <cell r="F2905" t="str">
            <v>SP-Other</v>
          </cell>
          <cell r="G2905" t="str">
            <v>SP-Other</v>
          </cell>
          <cell r="H2905" t="str">
            <v>SPREADS</v>
          </cell>
          <cell r="I2905" t="str">
            <v>Agency / Supranational</v>
          </cell>
        </row>
        <row r="2906">
          <cell r="A2906" t="str">
            <v>EUR_AGENCY_AAA</v>
          </cell>
          <cell r="B2906" t="str">
            <v>EU Agency AAA</v>
          </cell>
          <cell r="C2906" t="str">
            <v>BRS_GOLD__5_SPREADS:BRS_GOLD__3_OTHER_SPREADS:BRS_GOLD__2_OSAGY:EUR_GOVT_RELATED:EUR_GOVT_REL_AAA:EUR_AGENCY_AAA</v>
          </cell>
          <cell r="D2906" t="str">
            <v>Spread Duration</v>
          </cell>
          <cell r="E2906" t="str">
            <v>Other Spread Yield</v>
          </cell>
          <cell r="F2906" t="str">
            <v>SP-Other</v>
          </cell>
          <cell r="G2906" t="str">
            <v>SP-Other</v>
          </cell>
          <cell r="H2906" t="str">
            <v>SPREADS</v>
          </cell>
          <cell r="I2906" t="str">
            <v>Agency / Supranational</v>
          </cell>
        </row>
        <row r="2907">
          <cell r="A2907" t="str">
            <v>EUR_COLLAT_PFAND</v>
          </cell>
          <cell r="B2907" t="str">
            <v>EU Collateralized Pfand</v>
          </cell>
          <cell r="C2907" t="str">
            <v>BRS_GOLD__5_SPREADS:BRS_GOLD__3_OTHER_SPREADS:BRS_GOLD__2_OSAGY:EUR_GOVT_RELATED:EUR_GOVT_REL_AAA:EUR_COLLAT_PFAND</v>
          </cell>
          <cell r="D2907" t="str">
            <v>Spread Duration</v>
          </cell>
          <cell r="E2907" t="str">
            <v>Other Spread Yield</v>
          </cell>
          <cell r="F2907" t="str">
            <v>SP-Other</v>
          </cell>
          <cell r="G2907" t="str">
            <v>SP-Other</v>
          </cell>
          <cell r="H2907" t="str">
            <v>SPREADS</v>
          </cell>
          <cell r="I2907" t="str">
            <v>Agency / Supranational</v>
          </cell>
        </row>
        <row r="2908">
          <cell r="A2908" t="str">
            <v>EUR_NON_CORPORATE_AAA_SF</v>
          </cell>
          <cell r="B2908" t="str">
            <v>EU Non Corp AAA</v>
          </cell>
          <cell r="C2908" t="str">
            <v>BRS_GOLD__5_SPREADS:BRS_GOLD__3_OTHER_SPREADS:BRS_GOLD__2_OSAGY:EUR_GOVT_RELATED:EUR_GOVT_REL_AAA:EUR_NON_CORPORATE_AAA_SF</v>
          </cell>
          <cell r="D2908" t="str">
            <v>Spread Duration</v>
          </cell>
          <cell r="E2908" t="str">
            <v>Other Spread Yield</v>
          </cell>
          <cell r="F2908" t="str">
            <v>SP-Other</v>
          </cell>
          <cell r="G2908" t="str">
            <v>SP-Other</v>
          </cell>
          <cell r="H2908" t="str">
            <v>SPREADS</v>
          </cell>
          <cell r="I2908" t="str">
            <v>Agency / Supranational</v>
          </cell>
        </row>
        <row r="2909">
          <cell r="A2909" t="str">
            <v>EUR_AGENCY_AAA_SF</v>
          </cell>
          <cell r="B2909" t="str">
            <v>EU Agency AAA</v>
          </cell>
          <cell r="C2909" t="str">
            <v>BRS_GOLD__5_SPREADS:BRS_GOLD__3_OTHER_SPREADS:BRS_GOLD__2_OSAGY:EUR_GOVT_RELATED:EUR_GOVT_REL_AAA:EUR_AGENCY_AAA_SF</v>
          </cell>
          <cell r="D2909" t="str">
            <v>Spread Duration</v>
          </cell>
          <cell r="E2909" t="str">
            <v>Other Spread Yield</v>
          </cell>
          <cell r="F2909" t="str">
            <v>SP-Other</v>
          </cell>
          <cell r="G2909" t="str">
            <v>SP-Other</v>
          </cell>
          <cell r="H2909" t="str">
            <v>SPREADS</v>
          </cell>
          <cell r="I2909" t="str">
            <v>Agency / Supranational</v>
          </cell>
        </row>
        <row r="2910">
          <cell r="A2910" t="str">
            <v>EUR_COLLAT_PFAND_SF</v>
          </cell>
          <cell r="B2910" t="str">
            <v>EU Collateralized Pfand</v>
          </cell>
          <cell r="C2910" t="str">
            <v>BRS_GOLD__5_SPREADS:BRS_GOLD__3_OTHER_SPREADS:BRS_GOLD__2_OSAGY:EUR_GOVT_RELATED:EUR_GOVT_REL_AAA:EUR_COLLAT_PFAND_SF</v>
          </cell>
          <cell r="D2910" t="str">
            <v>Spread Duration</v>
          </cell>
          <cell r="E2910" t="str">
            <v>Other Spread Yield</v>
          </cell>
          <cell r="F2910" t="str">
            <v>SP-Other</v>
          </cell>
          <cell r="G2910" t="str">
            <v>SP-Other</v>
          </cell>
          <cell r="H2910" t="str">
            <v>SPREADS</v>
          </cell>
          <cell r="I2910" t="str">
            <v>Agency / Supranational</v>
          </cell>
        </row>
        <row r="2911">
          <cell r="A2911" t="str">
            <v>EUR_NON_CORPORATE</v>
          </cell>
          <cell r="B2911" t="str">
            <v>EU Non Corp</v>
          </cell>
          <cell r="C2911" t="str">
            <v>BRS_GOLD__5_SPREADS:BRS_GOLD__3_OTHER_SPREADS:BRS_GOLD__2_OSAGY:EUR_GOVT_RELATED:EUR_GOVT_REL_IG:EUR_NON_CORPORATE</v>
          </cell>
          <cell r="D2911" t="str">
            <v>Spread Duration</v>
          </cell>
          <cell r="E2911" t="str">
            <v>Spread Yield (DxS)</v>
          </cell>
          <cell r="F2911" t="str">
            <v>SP-Other</v>
          </cell>
          <cell r="G2911" t="str">
            <v>SP-Other</v>
          </cell>
          <cell r="H2911" t="str">
            <v>SPREADS</v>
          </cell>
          <cell r="I2911" t="str">
            <v>Agency / Supranational</v>
          </cell>
        </row>
        <row r="2912">
          <cell r="A2912" t="str">
            <v>EUR_COLLATERALIZED</v>
          </cell>
          <cell r="B2912" t="str">
            <v>EU Collateralized</v>
          </cell>
          <cell r="C2912" t="str">
            <v>BRS_GOLD__5_SPREADS:BRS_GOLD__3_OTHER_SPREADS:BRS_GOLD__2_OSAGY:EUR_GOVT_RELATED:EUR_GOVT_REL_IG:EUR_COLLATERALIZED</v>
          </cell>
          <cell r="D2912" t="str">
            <v>Spread Duration</v>
          </cell>
          <cell r="E2912" t="str">
            <v>Spread Yield (DxS)</v>
          </cell>
          <cell r="F2912" t="str">
            <v>SP-Other</v>
          </cell>
          <cell r="G2912" t="str">
            <v>SP-Other</v>
          </cell>
          <cell r="H2912" t="str">
            <v>SPREADS</v>
          </cell>
          <cell r="I2912" t="str">
            <v>Agency / Supranational</v>
          </cell>
        </row>
        <row r="2913">
          <cell r="A2913" t="str">
            <v>EUR_AGENCY</v>
          </cell>
          <cell r="B2913" t="str">
            <v>EU Agency</v>
          </cell>
          <cell r="C2913" t="str">
            <v>BRS_GOLD__5_SPREADS:BRS_GOLD__3_OTHER_SPREADS:BRS_GOLD__2_OSAGY:EUR_GOVT_RELATED:EUR_GOVT_REL_IG:EUR_AGENCY</v>
          </cell>
          <cell r="D2913" t="str">
            <v>Spread Duration</v>
          </cell>
          <cell r="E2913" t="str">
            <v>Spread Yield (DxS)</v>
          </cell>
          <cell r="F2913" t="str">
            <v>SP-Other</v>
          </cell>
          <cell r="G2913" t="str">
            <v>SP-Other</v>
          </cell>
          <cell r="H2913" t="str">
            <v>SPREADS</v>
          </cell>
          <cell r="I2913" t="str">
            <v>Agency / Supranational</v>
          </cell>
        </row>
        <row r="2914">
          <cell r="A2914" t="str">
            <v>EUR_COV_CORE</v>
          </cell>
          <cell r="B2914" t="str">
            <v>EUR Covered Core</v>
          </cell>
          <cell r="C2914" t="str">
            <v>BRS_GOLD__5_SPREADS:BRS_GOLD__3_OTHER_SPREADS:BRS_GOLD__2_OSAGY:EUR_GOVT_RELATED:EUR_GOVT_REL_IG:EUR_COV_CORE</v>
          </cell>
          <cell r="D2914" t="str">
            <v>Spread Duration</v>
          </cell>
          <cell r="E2914" t="str">
            <v>Spread Yield (DxS)</v>
          </cell>
          <cell r="F2914" t="str">
            <v>SP-Other</v>
          </cell>
          <cell r="G2914" t="str">
            <v>SP-Other</v>
          </cell>
          <cell r="H2914" t="str">
            <v>SPREADS</v>
          </cell>
          <cell r="I2914" t="str">
            <v>Agency / Supranational</v>
          </cell>
        </row>
        <row r="2915">
          <cell r="A2915" t="str">
            <v>EUR_COV_YANK</v>
          </cell>
          <cell r="B2915" t="str">
            <v>EUR Covered Non-Europe</v>
          </cell>
          <cell r="C2915" t="str">
            <v>BRS_GOLD__5_SPREADS:BRS_GOLD__3_OTHER_SPREADS:BRS_GOLD__2_OSAGY:EUR_GOVT_RELATED:EUR_GOVT_REL_IG:EUR_COV_YANK</v>
          </cell>
          <cell r="D2915" t="str">
            <v>Spread Duration</v>
          </cell>
          <cell r="E2915" t="str">
            <v>Spread Yield (DxS)</v>
          </cell>
          <cell r="F2915" t="str">
            <v>SP-Other</v>
          </cell>
          <cell r="G2915" t="str">
            <v>SP-Other</v>
          </cell>
          <cell r="H2915" t="str">
            <v>SPREADS</v>
          </cell>
          <cell r="I2915" t="str">
            <v>Agency / Supranational</v>
          </cell>
        </row>
        <row r="2916">
          <cell r="A2916" t="str">
            <v>EUR_COV_ES</v>
          </cell>
          <cell r="B2916" t="str">
            <v>EUR Covered Spain</v>
          </cell>
          <cell r="C2916" t="str">
            <v>BRS_GOLD__5_SPREADS:BRS_GOLD__3_OTHER_SPREADS:BRS_GOLD__2_OSAGY:EUR_GOVT_RELATED:EUR_GOVT_REL_IG:EUR_COV_ES</v>
          </cell>
          <cell r="D2916" t="str">
            <v>Spread Duration</v>
          </cell>
          <cell r="E2916" t="str">
            <v>Spread Yield (DxS)</v>
          </cell>
          <cell r="F2916" t="str">
            <v>SP-Other</v>
          </cell>
          <cell r="G2916" t="str">
            <v>SP-Other</v>
          </cell>
          <cell r="H2916" t="str">
            <v>SPREADS</v>
          </cell>
          <cell r="I2916" t="str">
            <v>Agency / Supranational</v>
          </cell>
        </row>
        <row r="2917">
          <cell r="A2917" t="str">
            <v>EUR_COV_IE</v>
          </cell>
          <cell r="B2917" t="str">
            <v>EUR Covered Ireland</v>
          </cell>
          <cell r="C2917" t="str">
            <v>BRS_GOLD__5_SPREADS:BRS_GOLD__3_OTHER_SPREADS:BRS_GOLD__2_OSAGY:EUR_GOVT_RELATED:EUR_GOVT_REL_IG:EUR_COV_IE</v>
          </cell>
          <cell r="D2917" t="str">
            <v>Spread Duration</v>
          </cell>
          <cell r="E2917" t="str">
            <v>Spread Yield (DxS)</v>
          </cell>
          <cell r="F2917" t="str">
            <v>SP-Other</v>
          </cell>
          <cell r="G2917" t="str">
            <v>SP-Other</v>
          </cell>
          <cell r="H2917" t="str">
            <v>SPREADS</v>
          </cell>
          <cell r="I2917" t="str">
            <v>Agency / Supranational</v>
          </cell>
        </row>
        <row r="2918">
          <cell r="A2918" t="str">
            <v>EUR_COV_IT</v>
          </cell>
          <cell r="B2918" t="str">
            <v>EUR Covered Italy</v>
          </cell>
          <cell r="C2918" t="str">
            <v>BRS_GOLD__5_SPREADS:BRS_GOLD__3_OTHER_SPREADS:BRS_GOLD__2_OSAGY:EUR_GOVT_RELATED:EUR_GOVT_REL_IG:EUR_COV_IT</v>
          </cell>
          <cell r="D2918" t="str">
            <v>Spread Duration</v>
          </cell>
          <cell r="E2918" t="str">
            <v>Spread Yield (DxS)</v>
          </cell>
          <cell r="F2918" t="str">
            <v>SP-Other</v>
          </cell>
          <cell r="G2918" t="str">
            <v>SP-Other</v>
          </cell>
          <cell r="H2918" t="str">
            <v>SPREADS</v>
          </cell>
          <cell r="I2918" t="str">
            <v>Agency / Supranational</v>
          </cell>
        </row>
        <row r="2919">
          <cell r="A2919" t="str">
            <v>EUR_COV_PT</v>
          </cell>
          <cell r="B2919" t="str">
            <v>EUR Covered Portugal</v>
          </cell>
          <cell r="C2919" t="str">
            <v>BRS_GOLD__5_SPREADS:BRS_GOLD__3_OTHER_SPREADS:BRS_GOLD__2_OSAGY:EUR_GOVT_RELATED:EUR_GOVT_REL_IG:EUR_COV_PT</v>
          </cell>
          <cell r="D2919" t="str">
            <v>Spread Duration</v>
          </cell>
          <cell r="E2919" t="str">
            <v>Spread Yield (DxS)</v>
          </cell>
          <cell r="F2919" t="str">
            <v>SP-Other</v>
          </cell>
          <cell r="G2919" t="str">
            <v>SP-Other</v>
          </cell>
          <cell r="H2919" t="str">
            <v>SPREADS</v>
          </cell>
          <cell r="I2919" t="str">
            <v>Agency / Supranational</v>
          </cell>
        </row>
        <row r="2920">
          <cell r="A2920" t="str">
            <v>EUR_NON_CORPORATE_SF</v>
          </cell>
          <cell r="B2920" t="str">
            <v>EU Non Corp</v>
          </cell>
          <cell r="C2920" t="str">
            <v>BRS_GOLD__5_SPREADS:BRS_GOLD__3_OTHER_SPREADS:BRS_GOLD__2_OSAGY:EUR_GOVT_RELATED:EUR_GOVT_REL_IG:EUR_NON_CORPORATE_SF</v>
          </cell>
          <cell r="D2920" t="str">
            <v>Spread Duration</v>
          </cell>
          <cell r="E2920" t="str">
            <v>Spread Yield (DxS)</v>
          </cell>
          <cell r="F2920" t="str">
            <v>SP-Other</v>
          </cell>
          <cell r="G2920" t="str">
            <v>SP-Other</v>
          </cell>
          <cell r="H2920" t="str">
            <v>SPREADS</v>
          </cell>
          <cell r="I2920" t="str">
            <v>Agency / Supranational</v>
          </cell>
        </row>
        <row r="2921">
          <cell r="A2921" t="str">
            <v>EUR_AGENCY_SF</v>
          </cell>
          <cell r="B2921" t="str">
            <v>EU Agency</v>
          </cell>
          <cell r="C2921" t="str">
            <v>BRS_GOLD__5_SPREADS:BRS_GOLD__3_OTHER_SPREADS:BRS_GOLD__2_OSAGY:EUR_GOVT_RELATED:EUR_GOVT_REL_IG:EUR_AGENCY_SF</v>
          </cell>
          <cell r="D2921" t="str">
            <v>Spread Duration</v>
          </cell>
          <cell r="E2921" t="str">
            <v>Spread Yield (DxS)</v>
          </cell>
          <cell r="F2921" t="str">
            <v>SP-Other</v>
          </cell>
          <cell r="G2921" t="str">
            <v>SP-Other</v>
          </cell>
          <cell r="H2921" t="str">
            <v>SPREADS</v>
          </cell>
          <cell r="I2921" t="str">
            <v>Agency / Supranational</v>
          </cell>
        </row>
        <row r="2922">
          <cell r="A2922" t="str">
            <v>EUR_COV_CORE_SF</v>
          </cell>
          <cell r="B2922" t="str">
            <v>EUR Covered Core</v>
          </cell>
          <cell r="C2922" t="str">
            <v>BRS_GOLD__5_SPREADS:BRS_GOLD__3_OTHER_SPREADS:BRS_GOLD__2_OSAGY:EUR_GOVT_RELATED:EUR_GOVT_REL_IG:EUR_COV_CORE_SF</v>
          </cell>
          <cell r="D2922" t="str">
            <v>Spread Duration</v>
          </cell>
          <cell r="E2922" t="str">
            <v>Spread Yield (DxS)</v>
          </cell>
          <cell r="F2922" t="str">
            <v>SP-Other</v>
          </cell>
          <cell r="G2922" t="str">
            <v>SP-Other</v>
          </cell>
          <cell r="H2922" t="str">
            <v>SPREADS</v>
          </cell>
          <cell r="I2922" t="str">
            <v>Agency / Supranational</v>
          </cell>
        </row>
        <row r="2923">
          <cell r="A2923" t="str">
            <v>EUR_COV_YANK_SF</v>
          </cell>
          <cell r="B2923" t="str">
            <v>EUR Covered Non-Europe</v>
          </cell>
          <cell r="C2923" t="str">
            <v>BRS_GOLD__5_SPREADS:BRS_GOLD__3_OTHER_SPREADS:BRS_GOLD__2_OSAGY:EUR_GOVT_RELATED:EUR_GOVT_REL_IG:EUR_COV_YANK_SF</v>
          </cell>
          <cell r="D2923" t="str">
            <v>Spread Duration</v>
          </cell>
          <cell r="E2923" t="str">
            <v>Spread Yield (DxS)</v>
          </cell>
          <cell r="F2923" t="str">
            <v>SP-Other</v>
          </cell>
          <cell r="G2923" t="str">
            <v>SP-Other</v>
          </cell>
          <cell r="H2923" t="str">
            <v>SPREADS</v>
          </cell>
          <cell r="I2923" t="str">
            <v>Agency / Supranational</v>
          </cell>
        </row>
        <row r="2924">
          <cell r="A2924" t="str">
            <v>EUR_COV_ES_SF</v>
          </cell>
          <cell r="B2924" t="str">
            <v>EUR Covered Spain</v>
          </cell>
          <cell r="C2924" t="str">
            <v>BRS_GOLD__5_SPREADS:BRS_GOLD__3_OTHER_SPREADS:BRS_GOLD__2_OSAGY:EUR_GOVT_RELATED:EUR_GOVT_REL_IG:EUR_COV_ES_SF</v>
          </cell>
          <cell r="D2924" t="str">
            <v>Spread Duration</v>
          </cell>
          <cell r="E2924" t="str">
            <v>Spread Yield (DxS)</v>
          </cell>
          <cell r="F2924" t="str">
            <v>SP-Other</v>
          </cell>
          <cell r="G2924" t="str">
            <v>SP-Other</v>
          </cell>
          <cell r="H2924" t="str">
            <v>SPREADS</v>
          </cell>
          <cell r="I2924" t="str">
            <v>Agency / Supranational</v>
          </cell>
        </row>
        <row r="2925">
          <cell r="A2925" t="str">
            <v>EUR_COV_IE_SF</v>
          </cell>
          <cell r="B2925" t="str">
            <v>EUR Covered Ireland</v>
          </cell>
          <cell r="C2925" t="str">
            <v>BRS_GOLD__5_SPREADS:BRS_GOLD__3_OTHER_SPREADS:BRS_GOLD__2_OSAGY:EUR_GOVT_RELATED:EUR_GOVT_REL_IG:EUR_COV_IE_SF</v>
          </cell>
          <cell r="D2925" t="str">
            <v>Spread Duration</v>
          </cell>
          <cell r="E2925" t="str">
            <v>Spread Yield (DxS)</v>
          </cell>
          <cell r="F2925" t="str">
            <v>SP-Other</v>
          </cell>
          <cell r="G2925" t="str">
            <v>SP-Other</v>
          </cell>
          <cell r="H2925" t="str">
            <v>SPREADS</v>
          </cell>
          <cell r="I2925" t="str">
            <v>Agency / Supranational</v>
          </cell>
        </row>
        <row r="2926">
          <cell r="A2926" t="str">
            <v>EUR_COV_IT_SF</v>
          </cell>
          <cell r="B2926" t="str">
            <v>EUR Covered Italy</v>
          </cell>
          <cell r="C2926" t="str">
            <v>BRS_GOLD__5_SPREADS:BRS_GOLD__3_OTHER_SPREADS:BRS_GOLD__2_OSAGY:EUR_GOVT_RELATED:EUR_GOVT_REL_IG:EUR_COV_IT_SF</v>
          </cell>
          <cell r="D2926" t="str">
            <v>Spread Duration</v>
          </cell>
          <cell r="E2926" t="str">
            <v>Spread Yield (DxS)</v>
          </cell>
          <cell r="F2926" t="str">
            <v>SP-Other</v>
          </cell>
          <cell r="G2926" t="str">
            <v>SP-Other</v>
          </cell>
          <cell r="H2926" t="str">
            <v>SPREADS</v>
          </cell>
          <cell r="I2926" t="str">
            <v>Agency / Supranational</v>
          </cell>
        </row>
        <row r="2927">
          <cell r="A2927" t="str">
            <v>EUR_COV_PT_SF</v>
          </cell>
          <cell r="B2927" t="str">
            <v>EUR Covered Portugal</v>
          </cell>
          <cell r="C2927" t="str">
            <v>BRS_GOLD__5_SPREADS:BRS_GOLD__3_OTHER_SPREADS:BRS_GOLD__2_OSAGY:EUR_GOVT_RELATED:EUR_GOVT_REL_IG:EUR_COV_PT_SF</v>
          </cell>
          <cell r="D2927" t="str">
            <v>Spread Duration</v>
          </cell>
          <cell r="E2927" t="str">
            <v>Spread Yield (DxS)</v>
          </cell>
          <cell r="F2927" t="str">
            <v>SP-Other</v>
          </cell>
          <cell r="G2927" t="str">
            <v>SP-Other</v>
          </cell>
          <cell r="H2927" t="str">
            <v>SPREADS</v>
          </cell>
          <cell r="I2927" t="str">
            <v>Agency / Supranational</v>
          </cell>
        </row>
        <row r="2928">
          <cell r="A2928" t="str">
            <v>GBP_NON_CORPORATE_AAA</v>
          </cell>
          <cell r="B2928" t="str">
            <v>UK Non Corp AAA</v>
          </cell>
          <cell r="C2928" t="str">
            <v>BRS_GOLD__5_SPREADS:BRS_GOLD__3_OTHER_SPREADS:BRS_GOLD__2_OSAGY:GBP_GOVT_RELATED:GBP_GOVT_REL_AAA:GBP_NON_CORPORATE_AAA</v>
          </cell>
          <cell r="D2928" t="str">
            <v>Spread Duration</v>
          </cell>
          <cell r="E2928" t="str">
            <v>Other Spread Yield</v>
          </cell>
          <cell r="F2928" t="str">
            <v>SP-Other</v>
          </cell>
          <cell r="G2928" t="str">
            <v>SP-Other</v>
          </cell>
          <cell r="H2928" t="str">
            <v>SPREADS</v>
          </cell>
          <cell r="I2928" t="str">
            <v>Agency / Supranational</v>
          </cell>
        </row>
        <row r="2929">
          <cell r="A2929" t="str">
            <v>GBP_AGENCY_AAA</v>
          </cell>
          <cell r="B2929" t="str">
            <v>UK Agencies AAA</v>
          </cell>
          <cell r="C2929" t="str">
            <v>BRS_GOLD__5_SPREADS:BRS_GOLD__3_OTHER_SPREADS:BRS_GOLD__2_OSAGY:GBP_GOVT_RELATED:GBP_GOVT_REL_AAA:GBP_AGENCY_AAA</v>
          </cell>
          <cell r="D2929" t="str">
            <v>Spread Duration</v>
          </cell>
          <cell r="E2929" t="str">
            <v>Other Spread Yield</v>
          </cell>
          <cell r="F2929" t="str">
            <v>SP-Other</v>
          </cell>
          <cell r="G2929" t="str">
            <v>SP-Other</v>
          </cell>
          <cell r="H2929" t="str">
            <v>SPREADS</v>
          </cell>
          <cell r="I2929" t="str">
            <v>Agency / Supranational</v>
          </cell>
        </row>
        <row r="2930">
          <cell r="A2930" t="str">
            <v>GBP_COLLAT_PFAND</v>
          </cell>
          <cell r="B2930" t="str">
            <v>UK Collateralized Pfand</v>
          </cell>
          <cell r="C2930" t="str">
            <v>BRS_GOLD__5_SPREADS:BRS_GOLD__3_OTHER_SPREADS:BRS_GOLD__2_OSAGY:GBP_GOVT_RELATED:GBP_GOVT_REL_AAA:GBP_COLLAT_PFAND</v>
          </cell>
          <cell r="D2930" t="str">
            <v>Spread Duration</v>
          </cell>
          <cell r="E2930" t="str">
            <v>Other Spread Yield</v>
          </cell>
          <cell r="F2930" t="str">
            <v>SP-Other</v>
          </cell>
          <cell r="G2930" t="str">
            <v>SP-Other</v>
          </cell>
          <cell r="H2930" t="str">
            <v>SPREADS</v>
          </cell>
          <cell r="I2930" t="str">
            <v>Agency / Supranational</v>
          </cell>
        </row>
        <row r="2931">
          <cell r="A2931" t="str">
            <v>GBP_AGENCY</v>
          </cell>
          <cell r="B2931" t="str">
            <v>UK Agencies</v>
          </cell>
          <cell r="C2931" t="str">
            <v>BRS_GOLD__5_SPREADS:BRS_GOLD__3_OTHER_SPREADS:BRS_GOLD__2_OSAGY:GBP_GOVT_RELATED:GBP_GOVT_REL_IG:GBP_AGENCY</v>
          </cell>
          <cell r="D2931" t="str">
            <v>Spread Duration</v>
          </cell>
          <cell r="E2931" t="str">
            <v>Spread Yield (DxS)</v>
          </cell>
          <cell r="F2931" t="str">
            <v>SP-Other</v>
          </cell>
          <cell r="G2931" t="str">
            <v>SP-Other</v>
          </cell>
          <cell r="H2931" t="str">
            <v>SPREADS</v>
          </cell>
          <cell r="I2931" t="str">
            <v>Agency / Supranational</v>
          </cell>
        </row>
        <row r="2932">
          <cell r="A2932" t="str">
            <v>GBP_COLLATERALIZED</v>
          </cell>
          <cell r="B2932" t="str">
            <v>UK Collateralized</v>
          </cell>
          <cell r="C2932" t="str">
            <v>BRS_GOLD__5_SPREADS:BRS_GOLD__3_OTHER_SPREADS:BRS_GOLD__2_OSAGY:GBP_GOVT_RELATED:GBP_GOVT_REL_IG:GBP_COLLATERALIZED</v>
          </cell>
          <cell r="D2932" t="str">
            <v>Spread Duration</v>
          </cell>
          <cell r="E2932" t="str">
            <v>Spread Yield (DxS)</v>
          </cell>
          <cell r="F2932" t="str">
            <v>SP-Other</v>
          </cell>
          <cell r="G2932" t="str">
            <v>SP-Other</v>
          </cell>
          <cell r="H2932" t="str">
            <v>SPREADS</v>
          </cell>
          <cell r="I2932" t="str">
            <v>Agency / Supranational</v>
          </cell>
        </row>
        <row r="2933">
          <cell r="A2933" t="str">
            <v>GBP_NON_CORPORATE</v>
          </cell>
          <cell r="B2933" t="str">
            <v>UK Non Corp</v>
          </cell>
          <cell r="C2933" t="str">
            <v>BRS_GOLD__5_SPREADS:BRS_GOLD__3_OTHER_SPREADS:BRS_GOLD__2_OSAGY:GBP_GOVT_RELATED:GBP_GOVT_REL_IG:GBP_NON_CORPORATE</v>
          </cell>
          <cell r="D2933" t="str">
            <v>Spread Duration</v>
          </cell>
          <cell r="E2933" t="str">
            <v>Spread Yield (DxS)</v>
          </cell>
          <cell r="F2933" t="str">
            <v>SP-Other</v>
          </cell>
          <cell r="G2933" t="str">
            <v>SP-Other</v>
          </cell>
          <cell r="H2933" t="str">
            <v>SPREADS</v>
          </cell>
          <cell r="I2933" t="str">
            <v>Agency / Supranational</v>
          </cell>
        </row>
        <row r="2934">
          <cell r="A2934" t="str">
            <v>ALL_agency_2yr</v>
          </cell>
          <cell r="B2934" t="str">
            <v>Non$ Agency 2Y</v>
          </cell>
          <cell r="C2934" t="str">
            <v>BRS_GOLD__5_SPREADS:BRS_GOLD__3_OTHER_SPREADS:BRS_GOLD__2_OSAGY:BRS_GOLD_AGENCY-USD_AGENCY-EU_UK_GOVT_RELATED-USD_CORP_ACY-JPY_AGENCY:ALL_agency_2yr</v>
          </cell>
          <cell r="D2934" t="str">
            <v>Spread Duration</v>
          </cell>
          <cell r="E2934" t="str">
            <v>Other Spread Yield</v>
          </cell>
          <cell r="F2934" t="str">
            <v>SP-Other</v>
          </cell>
          <cell r="G2934" t="str">
            <v>SP-Other</v>
          </cell>
          <cell r="H2934" t="str">
            <v>SPREADS</v>
          </cell>
          <cell r="I2934" t="str">
            <v>Agency / Supranational</v>
          </cell>
        </row>
        <row r="2935">
          <cell r="A2935" t="str">
            <v>ALL_agency_5yr</v>
          </cell>
          <cell r="B2935" t="str">
            <v>Non$ Agency 5Y</v>
          </cell>
          <cell r="C2935" t="str">
            <v>BRS_GOLD__5_SPREADS:BRS_GOLD__3_OTHER_SPREADS:BRS_GOLD__2_OSAGY:BRS_GOLD_AGENCY-USD_AGENCY-EU_UK_GOVT_RELATED-USD_CORP_ACY-JPY_AGENCY:ALL_agency_5yr</v>
          </cell>
          <cell r="D2935" t="str">
            <v>Spread Duration</v>
          </cell>
          <cell r="E2935" t="str">
            <v>Other Spread Yield</v>
          </cell>
          <cell r="F2935" t="str">
            <v>SP-Other</v>
          </cell>
          <cell r="G2935" t="str">
            <v>SP-Other</v>
          </cell>
          <cell r="H2935" t="str">
            <v>SPREADS</v>
          </cell>
          <cell r="I2935" t="str">
            <v>Agency / Supranational</v>
          </cell>
        </row>
        <row r="2936">
          <cell r="A2936" t="str">
            <v>ALL_agency_10yr</v>
          </cell>
          <cell r="B2936" t="str">
            <v>Non$ Agency 10Y</v>
          </cell>
          <cell r="C2936" t="str">
            <v>BRS_GOLD__5_SPREADS:BRS_GOLD__3_OTHER_SPREADS:BRS_GOLD__2_OSAGY:BRS_GOLD_AGENCY-USD_AGENCY-EU_UK_GOVT_RELATED-USD_CORP_ACY-JPY_AGENCY:ALL_agency_10yr</v>
          </cell>
          <cell r="D2936" t="str">
            <v>Spread Duration</v>
          </cell>
          <cell r="E2936" t="str">
            <v>Other Spread Yield</v>
          </cell>
          <cell r="F2936" t="str">
            <v>SP-Other</v>
          </cell>
          <cell r="G2936" t="str">
            <v>SP-Other</v>
          </cell>
          <cell r="H2936" t="str">
            <v>SPREADS</v>
          </cell>
          <cell r="I2936" t="str">
            <v>Agency / Supranational</v>
          </cell>
        </row>
        <row r="2937">
          <cell r="A2937" t="str">
            <v>ALL_agency_30yr</v>
          </cell>
          <cell r="B2937" t="str">
            <v>Non$ Agency 30Y</v>
          </cell>
          <cell r="C2937" t="str">
            <v>BRS_GOLD__5_SPREADS:BRS_GOLD__3_OTHER_SPREADS:BRS_GOLD__2_OSAGY:BRS_GOLD_AGENCY-USD_AGENCY-EU_UK_GOVT_RELATED-USD_CORP_ACY-JPY_AGENCY:ALL_agency_30yr</v>
          </cell>
          <cell r="D2937" t="str">
            <v>Spread Duration</v>
          </cell>
          <cell r="E2937" t="str">
            <v>Other Spread Yield</v>
          </cell>
          <cell r="F2937" t="str">
            <v>SP-Other</v>
          </cell>
          <cell r="G2937" t="str">
            <v>SP-Other</v>
          </cell>
          <cell r="H2937" t="str">
            <v>SPREADS</v>
          </cell>
          <cell r="I2937" t="str">
            <v>Agency / Supranational</v>
          </cell>
        </row>
        <row r="2938">
          <cell r="A2938" t="str">
            <v>ALL_AGENCY_2yN</v>
          </cell>
          <cell r="B2938" t="str">
            <v>Non$ Agency 2Y</v>
          </cell>
          <cell r="C2938" t="str">
            <v>BRS_GOLD__5_SPREADS:BRS_GOLD__3_OTHER_SPREADS:BRS_GOLD__2_OSAGY:BRS_GOLD_AGENCY-USD_AGENCY-EU_UK_GOVT_RELATED-USD_CORP_ACY-JPY_AGENCY:ALL_AGENCY_2yN</v>
          </cell>
          <cell r="D2938" t="str">
            <v>Spread Duration</v>
          </cell>
          <cell r="E2938" t="str">
            <v>Other Spread Yield</v>
          </cell>
          <cell r="F2938" t="str">
            <v>SP-Other</v>
          </cell>
          <cell r="G2938" t="str">
            <v>SP-Other</v>
          </cell>
          <cell r="H2938" t="str">
            <v>SPREADS</v>
          </cell>
          <cell r="I2938" t="str">
            <v>Agency / Supranational</v>
          </cell>
        </row>
        <row r="2939">
          <cell r="A2939" t="str">
            <v>ALL_AGENCY_5yN</v>
          </cell>
          <cell r="B2939" t="str">
            <v>Non$ Agency 5Y</v>
          </cell>
          <cell r="C2939" t="str">
            <v>BRS_GOLD__5_SPREADS:BRS_GOLD__3_OTHER_SPREADS:BRS_GOLD__2_OSAGY:BRS_GOLD_AGENCY-USD_AGENCY-EU_UK_GOVT_RELATED-USD_CORP_ACY-JPY_AGENCY:ALL_AGENCY_5yN</v>
          </cell>
          <cell r="D2939" t="str">
            <v>Spread Duration</v>
          </cell>
          <cell r="E2939" t="str">
            <v>Other Spread Yield</v>
          </cell>
          <cell r="F2939" t="str">
            <v>SP-Other</v>
          </cell>
          <cell r="G2939" t="str">
            <v>SP-Other</v>
          </cell>
          <cell r="H2939" t="str">
            <v>SPREADS</v>
          </cell>
          <cell r="I2939" t="str">
            <v>Agency / Supranational</v>
          </cell>
        </row>
        <row r="2940">
          <cell r="A2940" t="str">
            <v>ALL_AGENCY_10yN</v>
          </cell>
          <cell r="B2940" t="str">
            <v>Non$ Agency 10Y</v>
          </cell>
          <cell r="C2940" t="str">
            <v>BRS_GOLD__5_SPREADS:BRS_GOLD__3_OTHER_SPREADS:BRS_GOLD__2_OSAGY:BRS_GOLD_AGENCY-USD_AGENCY-EU_UK_GOVT_RELATED-USD_CORP_ACY-JPY_AGENCY:ALL_AGENCY_10yN</v>
          </cell>
          <cell r="D2940" t="str">
            <v>Spread Duration</v>
          </cell>
          <cell r="E2940" t="str">
            <v>Other Spread Yield</v>
          </cell>
          <cell r="F2940" t="str">
            <v>SP-Other</v>
          </cell>
          <cell r="G2940" t="str">
            <v>SP-Other</v>
          </cell>
          <cell r="H2940" t="str">
            <v>SPREADS</v>
          </cell>
          <cell r="I2940" t="str">
            <v>Agency / Supranational</v>
          </cell>
        </row>
        <row r="2941">
          <cell r="A2941" t="str">
            <v>ALL_AGENCY_30yN</v>
          </cell>
          <cell r="B2941" t="str">
            <v>Non$ Agency 30Y</v>
          </cell>
          <cell r="C2941" t="str">
            <v>BRS_GOLD__5_SPREADS:BRS_GOLD__3_OTHER_SPREADS:BRS_GOLD__2_OSAGY:BRS_GOLD_AGENCY-USD_AGENCY-EU_UK_GOVT_RELATED-USD_CORP_ACY-JPY_AGENCY:ALL_AGENCY_30yN</v>
          </cell>
          <cell r="D2941" t="str">
            <v>Spread Duration</v>
          </cell>
          <cell r="E2941" t="str">
            <v>Other Spread Yield</v>
          </cell>
          <cell r="F2941" t="str">
            <v>SP-Other</v>
          </cell>
          <cell r="G2941" t="str">
            <v>SP-Other</v>
          </cell>
          <cell r="H2941" t="str">
            <v>SPREADS</v>
          </cell>
          <cell r="I2941" t="str">
            <v>Agency / Supranational</v>
          </cell>
        </row>
        <row r="2942">
          <cell r="A2942" t="str">
            <v>AUCRD_GOVGU_IDIO</v>
          </cell>
          <cell r="B2942" t="str">
            <v>AU Credit Govt Guaranteed</v>
          </cell>
          <cell r="C2942" t="str">
            <v>BRS_GOLD__5_SPREADS:BRS_GOLD__3_OTHER_SPREADS:BRS_GOLD__2_OSAGY:GOVT_RELATED_IDIO:AUCRD_GOVGU_IDIO</v>
          </cell>
          <cell r="D2942" t="str">
            <v>Spread Duration</v>
          </cell>
          <cell r="E2942" t="str">
            <v>Other Spread Yield</v>
          </cell>
          <cell r="F2942" t="str">
            <v>Idiosyncratic</v>
          </cell>
          <cell r="G2942" t="str">
            <v>Other</v>
          </cell>
          <cell r="H2942" t="str">
            <v>SPREADS_SPECIFIC</v>
          </cell>
          <cell r="I2942" t="str">
            <v>Agency / Supranational - Idiosyncratic</v>
          </cell>
        </row>
        <row r="2943">
          <cell r="A2943" t="str">
            <v>CACRD_AGENCY_IDIO</v>
          </cell>
          <cell r="B2943" t="str">
            <v>CA Credit Idio Agency</v>
          </cell>
          <cell r="C2943" t="str">
            <v>BRS_GOLD__5_SPREADS:BRS_GOLD__3_OTHER_SPREADS:BRS_GOLD__2_OSAGY:GOVT_RELATED_IDIO:CACRD_AGENCY_IDIO</v>
          </cell>
          <cell r="D2943" t="str">
            <v>Spread Duration</v>
          </cell>
          <cell r="E2943" t="str">
            <v>Spread Yield (DxS)</v>
          </cell>
          <cell r="F2943" t="str">
            <v>Idiosyncratic</v>
          </cell>
          <cell r="G2943" t="str">
            <v>Other</v>
          </cell>
          <cell r="H2943" t="str">
            <v>SPREADS_SPECIFIC</v>
          </cell>
          <cell r="I2943" t="str">
            <v>Agency / Supranational - Idiosyncratic</v>
          </cell>
        </row>
        <row r="2944">
          <cell r="A2944" t="str">
            <v>EUR_AGAAA_IDIO</v>
          </cell>
          <cell r="B2944" t="str">
            <v>EU Credit Idio Agency AAA</v>
          </cell>
          <cell r="C2944" t="str">
            <v>BRS_GOLD__5_SPREADS:BRS_GOLD__3_OTHER_SPREADS:BRS_GOLD__2_OSAGY:GOVT_RELATED_IDIO:EUR_AGAAA_IDIO</v>
          </cell>
          <cell r="D2944" t="str">
            <v>Spread Duration</v>
          </cell>
          <cell r="E2944" t="str">
            <v>Other Spread Yield</v>
          </cell>
          <cell r="F2944" t="str">
            <v>Idiosyncratic</v>
          </cell>
          <cell r="G2944" t="str">
            <v>Other</v>
          </cell>
          <cell r="H2944" t="str">
            <v>SPREADS_SPECIFIC</v>
          </cell>
          <cell r="I2944" t="str">
            <v>Agency / Supranational - Idiosyncratic</v>
          </cell>
        </row>
        <row r="2945">
          <cell r="A2945" t="str">
            <v>EUR_AGIG_IDIO</v>
          </cell>
          <cell r="B2945" t="str">
            <v>EU Credit Idio Agency</v>
          </cell>
          <cell r="C2945" t="str">
            <v>BRS_GOLD__5_SPREADS:BRS_GOLD__3_OTHER_SPREADS:BRS_GOLD__2_OSAGY:GOVT_RELATED_IDIO:EUR_AGIG_IDIO</v>
          </cell>
          <cell r="D2945" t="str">
            <v>Spread Duration</v>
          </cell>
          <cell r="E2945" t="str">
            <v>Spread Yield (DxS)</v>
          </cell>
          <cell r="F2945" t="str">
            <v>Idiosyncratic</v>
          </cell>
          <cell r="G2945" t="str">
            <v>Other</v>
          </cell>
          <cell r="H2945" t="str">
            <v>SPREADS_SPECIFIC</v>
          </cell>
          <cell r="I2945" t="str">
            <v>Agency / Supranational - Idiosyncratic</v>
          </cell>
        </row>
        <row r="2946">
          <cell r="A2946" t="str">
            <v>EUR_COVCL_IDIO</v>
          </cell>
          <cell r="B2946" t="str">
            <v>EU Credit Idio Covered</v>
          </cell>
          <cell r="C2946" t="str">
            <v>BRS_GOLD__5_SPREADS:BRS_GOLD__3_OTHER_SPREADS:BRS_GOLD__2_OSAGY:GOVT_RELATED_IDIO:EUR_COVCL_IDIO</v>
          </cell>
          <cell r="D2946" t="str">
            <v>Spread Duration</v>
          </cell>
          <cell r="E2946" t="str">
            <v>Spread Yield (DxS)</v>
          </cell>
          <cell r="F2946" t="str">
            <v>Idiosyncratic</v>
          </cell>
          <cell r="G2946" t="str">
            <v>Other</v>
          </cell>
          <cell r="H2946" t="str">
            <v>SPREADS_SPECIFIC</v>
          </cell>
          <cell r="I2946" t="str">
            <v>Agency / Supranational - Idiosyncratic</v>
          </cell>
        </row>
        <row r="2947">
          <cell r="A2947" t="str">
            <v>EUR_COVPF_IDIO</v>
          </cell>
          <cell r="B2947" t="str">
            <v>EU Credit Idio Pfandbriefes</v>
          </cell>
          <cell r="C2947" t="str">
            <v>BRS_GOLD__5_SPREADS:BRS_GOLD__3_OTHER_SPREADS:BRS_GOLD__2_OSAGY:GOVT_RELATED_IDIO:EUR_COVPF_IDIO</v>
          </cell>
          <cell r="D2947" t="str">
            <v>Spread Duration</v>
          </cell>
          <cell r="E2947" t="str">
            <v>Other Spread Yield</v>
          </cell>
          <cell r="F2947" t="str">
            <v>Idiosyncratic</v>
          </cell>
          <cell r="G2947" t="str">
            <v>Other</v>
          </cell>
          <cell r="H2947" t="str">
            <v>SPREADS_SPECIFIC</v>
          </cell>
          <cell r="I2947" t="str">
            <v>Agency / Supranational - Idiosyncratic</v>
          </cell>
        </row>
        <row r="2948">
          <cell r="A2948" t="str">
            <v>JPCRD_LOC_IDIO</v>
          </cell>
          <cell r="B2948" t="str">
            <v>JP Credit Idio Govt Guaranteed</v>
          </cell>
          <cell r="C2948" t="str">
            <v>BRS_GOLD__5_SPREADS:BRS_GOLD__3_OTHER_SPREADS:BRS_GOLD__2_OSAGY:GOVT_RELATED_IDIO:JPCRD_LOC_IDIO</v>
          </cell>
          <cell r="D2948" t="str">
            <v>Spread Duration</v>
          </cell>
          <cell r="E2948" t="str">
            <v>Other Spread Yield</v>
          </cell>
          <cell r="F2948" t="str">
            <v>Idiosyncratic</v>
          </cell>
          <cell r="G2948" t="str">
            <v>Other</v>
          </cell>
          <cell r="H2948" t="str">
            <v>SPREADS_SPECIFIC</v>
          </cell>
          <cell r="I2948" t="str">
            <v>Agency / Supranational - Idiosyncratic</v>
          </cell>
        </row>
        <row r="2949">
          <cell r="A2949" t="str">
            <v>USCRD_AGAAA_IDIO</v>
          </cell>
          <cell r="B2949" t="str">
            <v>US Credit Idio Agency AAA</v>
          </cell>
          <cell r="C2949" t="str">
            <v>BRS_GOLD__5_SPREADS:BRS_GOLD__3_OTHER_SPREADS:BRS_GOLD__2_OSAGY:GOVT_RELATED_IDIO:USCRD_AGAAA_IDIO</v>
          </cell>
          <cell r="D2949" t="str">
            <v>Spread Duration</v>
          </cell>
          <cell r="E2949" t="str">
            <v>Other Spread Yield</v>
          </cell>
          <cell r="F2949" t="str">
            <v>Idiosyncratic</v>
          </cell>
          <cell r="G2949" t="str">
            <v>Other</v>
          </cell>
          <cell r="H2949" t="str">
            <v>SPREADS_SPECIFIC</v>
          </cell>
          <cell r="I2949" t="str">
            <v>Agency / Supranational - Idiosyncratic</v>
          </cell>
        </row>
        <row r="2950">
          <cell r="A2950" t="str">
            <v>USCRD_AGIG_IDIO</v>
          </cell>
          <cell r="B2950" t="str">
            <v>US Credit Idio Agency IG</v>
          </cell>
          <cell r="C2950" t="str">
            <v>BRS_GOLD__5_SPREADS:BRS_GOLD__3_OTHER_SPREADS:BRS_GOLD__2_OSAGY:GOVT_RELATED_IDIO:USCRD_AGIG_IDIO</v>
          </cell>
          <cell r="D2950" t="str">
            <v>Spread Duration</v>
          </cell>
          <cell r="E2950" t="str">
            <v>Spread Yield (DxS)</v>
          </cell>
          <cell r="F2950" t="str">
            <v>Idiosyncratic</v>
          </cell>
          <cell r="G2950" t="str">
            <v>Other</v>
          </cell>
          <cell r="H2950" t="str">
            <v>SPREADS_SPECIFIC</v>
          </cell>
          <cell r="I2950" t="str">
            <v>Agency / Supranational - Idiosyncratic</v>
          </cell>
        </row>
        <row r="2951">
          <cell r="A2951" t="str">
            <v>AUD_SGOV</v>
          </cell>
          <cell r="B2951" t="str">
            <v>AUD Semi Government</v>
          </cell>
          <cell r="C2951" t="str">
            <v>BRS_GOLD__5_SPREADS:BRS_GOLD__3_OTHER_SPREADS:BRS_GOLD__2_OSAGY:NONCORP_GOV_AUD:AUD_SGOV</v>
          </cell>
          <cell r="D2951" t="str">
            <v>Spread Duration</v>
          </cell>
          <cell r="E2951" t="str">
            <v>Spread Yield</v>
          </cell>
          <cell r="F2951" t="str">
            <v>SP-Other</v>
          </cell>
          <cell r="G2951" t="str">
            <v>SP-Other</v>
          </cell>
          <cell r="H2951" t="str">
            <v>SPREADS</v>
          </cell>
          <cell r="I2951" t="str">
            <v>Agency / Supranational</v>
          </cell>
        </row>
        <row r="2952">
          <cell r="A2952" t="str">
            <v>AUD_SGOV_SF</v>
          </cell>
          <cell r="B2952" t="str">
            <v>AUD Semi Government</v>
          </cell>
          <cell r="C2952" t="str">
            <v>BRS_GOLD__5_SPREADS:BRS_GOLD__3_OTHER_SPREADS:BRS_GOLD__2_OSAGY:NONCORP_GOV_AUD:AUD_SGOV_SF</v>
          </cell>
          <cell r="D2952" t="str">
            <v>Spread Duration</v>
          </cell>
          <cell r="E2952" t="str">
            <v>Spread Yield</v>
          </cell>
          <cell r="F2952" t="str">
            <v>SP-Other</v>
          </cell>
          <cell r="G2952" t="str">
            <v>SP-Other</v>
          </cell>
          <cell r="H2952" t="str">
            <v>SPREADS</v>
          </cell>
          <cell r="I2952" t="str">
            <v>Agency / Supranational</v>
          </cell>
        </row>
        <row r="2953">
          <cell r="A2953" t="str">
            <v>AUD_SUPR</v>
          </cell>
          <cell r="B2953" t="str">
            <v>AUD Supranational</v>
          </cell>
          <cell r="C2953" t="str">
            <v>BRS_GOLD__5_SPREADS:BRS_GOLD__3_OTHER_SPREADS:BRS_GOLD__2_OSAGY:NONCORP_GOV_AUD:AUD_SUPR</v>
          </cell>
          <cell r="D2953" t="str">
            <v>Spread Duration</v>
          </cell>
          <cell r="E2953" t="str">
            <v>Spread Yield</v>
          </cell>
          <cell r="F2953" t="str">
            <v>SP-Other</v>
          </cell>
          <cell r="G2953" t="str">
            <v>SP-Other</v>
          </cell>
          <cell r="H2953" t="str">
            <v>SPREADS</v>
          </cell>
          <cell r="I2953" t="str">
            <v>Agency / Supranational</v>
          </cell>
        </row>
        <row r="2954">
          <cell r="A2954" t="str">
            <v>AUD_SUPR_SF</v>
          </cell>
          <cell r="B2954" t="str">
            <v>AUD Supranational</v>
          </cell>
          <cell r="C2954" t="str">
            <v>BRS_GOLD__5_SPREADS:BRS_GOLD__3_OTHER_SPREADS:BRS_GOLD__2_OSAGY:NONCORP_GOV_AUD:AUD_SUPR_SF</v>
          </cell>
          <cell r="D2954" t="str">
            <v>Spread Duration</v>
          </cell>
          <cell r="E2954" t="str">
            <v>Spread Yield</v>
          </cell>
          <cell r="F2954" t="str">
            <v>SP-Other</v>
          </cell>
          <cell r="G2954" t="str">
            <v>SP-Other</v>
          </cell>
          <cell r="H2954" t="str">
            <v>SPREADS</v>
          </cell>
          <cell r="I2954" t="str">
            <v>Agency / Supranational</v>
          </cell>
        </row>
        <row r="2955">
          <cell r="A2955" t="str">
            <v>AUD_ABS_COV</v>
          </cell>
          <cell r="B2955" t="str">
            <v>AUD ABS and Covered</v>
          </cell>
          <cell r="C2955" t="str">
            <v>BRS_GOLD__5_SPREADS:BRS_GOLD__3_OTHER_SPREADS:BRS_GOLD__2_OSAGY:NONCORP_COV_AUD:AUD_ABS_COV</v>
          </cell>
          <cell r="D2955" t="str">
            <v>Spread Duration</v>
          </cell>
          <cell r="E2955" t="str">
            <v>Spread Yield (DxS)</v>
          </cell>
          <cell r="F2955" t="str">
            <v>SP-Other</v>
          </cell>
          <cell r="G2955" t="str">
            <v>SP-Other</v>
          </cell>
          <cell r="H2955" t="str">
            <v>SPREADS</v>
          </cell>
          <cell r="I2955" t="str">
            <v>Agency / Supranational</v>
          </cell>
        </row>
        <row r="2956">
          <cell r="A2956" t="str">
            <v>AUD_ABS_COV_SF</v>
          </cell>
          <cell r="B2956" t="str">
            <v>AUD ABS and Covered</v>
          </cell>
          <cell r="C2956" t="str">
            <v>BRS_GOLD__5_SPREADS:BRS_GOLD__3_OTHER_SPREADS:BRS_GOLD__2_OSAGY:NONCORP_COV_AUD:AUD_ABS_COV_SF</v>
          </cell>
          <cell r="D2956" t="str">
            <v>Spread Duration</v>
          </cell>
          <cell r="E2956" t="str">
            <v>Spread Yield (DxS)</v>
          </cell>
          <cell r="F2956" t="str">
            <v>SP-Other</v>
          </cell>
          <cell r="G2956" t="str">
            <v>SP-Other</v>
          </cell>
          <cell r="H2956" t="str">
            <v>SPREADS</v>
          </cell>
          <cell r="I2956" t="str">
            <v>Agency / Supranational</v>
          </cell>
        </row>
        <row r="2957">
          <cell r="A2957" t="str">
            <v>CAD_PROV_SHT</v>
          </cell>
          <cell r="B2957" t="str">
            <v>CAD Provincial Short</v>
          </cell>
          <cell r="C2957" t="str">
            <v>BRS_GOLD__5_SPREADS:BRS_GOLD__3_OTHER_SPREADS:BRS_GOLD__2_OSAGY:CAD_PROV,ALL_PROV,CACRD_PROV_IDIO:CAD_PROV_SHT</v>
          </cell>
          <cell r="D2957" t="str">
            <v>Spread Duration</v>
          </cell>
          <cell r="E2957" t="str">
            <v>Other Spread Yield</v>
          </cell>
          <cell r="F2957" t="str">
            <v>SP-Other</v>
          </cell>
          <cell r="G2957" t="str">
            <v>SP-Other</v>
          </cell>
          <cell r="H2957" t="str">
            <v>SPREADS</v>
          </cell>
          <cell r="I2957" t="str">
            <v>Agency / Supranational</v>
          </cell>
        </row>
        <row r="2958">
          <cell r="A2958" t="str">
            <v>CAD_PROV_INT</v>
          </cell>
          <cell r="B2958" t="str">
            <v>CAD Provincial Intermediate</v>
          </cell>
          <cell r="C2958" t="str">
            <v>BRS_GOLD__5_SPREADS:BRS_GOLD__3_OTHER_SPREADS:BRS_GOLD__2_OSAGY:CAD_PROV,ALL_PROV,CACRD_PROV_IDIO:CAD_PROV_INT</v>
          </cell>
          <cell r="D2958" t="str">
            <v>Spread Duration</v>
          </cell>
          <cell r="E2958" t="str">
            <v>Other Spread Yield</v>
          </cell>
          <cell r="F2958" t="str">
            <v>SP-Other</v>
          </cell>
          <cell r="G2958" t="str">
            <v>SP-Other</v>
          </cell>
          <cell r="H2958" t="str">
            <v>SPREADS</v>
          </cell>
          <cell r="I2958" t="str">
            <v>Agency / Supranational</v>
          </cell>
        </row>
        <row r="2959">
          <cell r="A2959" t="str">
            <v>CAD_PROV_LNG</v>
          </cell>
          <cell r="B2959" t="str">
            <v>CAD Provincial Long</v>
          </cell>
          <cell r="C2959" t="str">
            <v>BRS_GOLD__5_SPREADS:BRS_GOLD__3_OTHER_SPREADS:BRS_GOLD__2_OSAGY:CAD_PROV,ALL_PROV,CACRD_PROV_IDIO:CAD_PROV_LNG</v>
          </cell>
          <cell r="D2959" t="str">
            <v>Spread Duration</v>
          </cell>
          <cell r="E2959" t="str">
            <v>Other Spread Yield</v>
          </cell>
          <cell r="F2959" t="str">
            <v>SP-Other</v>
          </cell>
          <cell r="G2959" t="str">
            <v>SP-Other</v>
          </cell>
          <cell r="H2959" t="str">
            <v>SPREADS</v>
          </cell>
          <cell r="I2959" t="str">
            <v>Agency / Supranational</v>
          </cell>
        </row>
        <row r="2960">
          <cell r="A2960" t="str">
            <v>ALL_PROV_SHT</v>
          </cell>
          <cell r="B2960" t="str">
            <v>Non CAD Provincial Short</v>
          </cell>
          <cell r="C2960" t="str">
            <v>BRS_GOLD__5_SPREADS:BRS_GOLD__3_OTHER_SPREADS:BRS_GOLD__2_OSAGY:CAD_PROV,ALL_PROV,CACRD_PROV_IDIO:ALL_PROV_SHT</v>
          </cell>
          <cell r="D2960" t="str">
            <v>Spread Duration</v>
          </cell>
          <cell r="E2960" t="str">
            <v>Other Spread Yield</v>
          </cell>
          <cell r="F2960" t="str">
            <v>SP-Other</v>
          </cell>
          <cell r="G2960" t="str">
            <v>SP-Other</v>
          </cell>
          <cell r="H2960" t="str">
            <v>SPREADS</v>
          </cell>
          <cell r="I2960" t="str">
            <v>Agency / Supranational</v>
          </cell>
        </row>
        <row r="2961">
          <cell r="A2961" t="str">
            <v>ALL_PROV_INT</v>
          </cell>
          <cell r="B2961" t="str">
            <v>Non CAD Provincial Mid</v>
          </cell>
          <cell r="C2961" t="str">
            <v>BRS_GOLD__5_SPREADS:BRS_GOLD__3_OTHER_SPREADS:BRS_GOLD__2_OSAGY:CAD_PROV,ALL_PROV,CACRD_PROV_IDIO:ALL_PROV_INT</v>
          </cell>
          <cell r="D2961" t="str">
            <v>Spread Duration</v>
          </cell>
          <cell r="E2961" t="str">
            <v>Other Spread Yield</v>
          </cell>
          <cell r="F2961" t="str">
            <v>SP-Other</v>
          </cell>
          <cell r="G2961" t="str">
            <v>SP-Other</v>
          </cell>
          <cell r="H2961" t="str">
            <v>SPREADS</v>
          </cell>
          <cell r="I2961" t="str">
            <v>Agency / Supranational</v>
          </cell>
        </row>
        <row r="2962">
          <cell r="A2962" t="str">
            <v>ALL_PROV_LNG</v>
          </cell>
          <cell r="B2962" t="str">
            <v>Non CAD Provincial Long</v>
          </cell>
          <cell r="C2962" t="str">
            <v>BRS_GOLD__5_SPREADS:BRS_GOLD__3_OTHER_SPREADS:BRS_GOLD__2_OSAGY:CAD_PROV,ALL_PROV,CACRD_PROV_IDIO:ALL_PROV_LNG</v>
          </cell>
          <cell r="D2962" t="str">
            <v>Spread Duration</v>
          </cell>
          <cell r="E2962" t="str">
            <v>Other Spread Yield</v>
          </cell>
          <cell r="F2962" t="str">
            <v>SP-Other</v>
          </cell>
          <cell r="G2962" t="str">
            <v>SP-Other</v>
          </cell>
          <cell r="H2962" t="str">
            <v>SPREADS</v>
          </cell>
          <cell r="I2962" t="str">
            <v>Agency / Supranational</v>
          </cell>
        </row>
        <row r="2963">
          <cell r="A2963" t="str">
            <v>CACRD_PROV_IDIO</v>
          </cell>
          <cell r="B2963" t="str">
            <v>CA Credit Idio Provincial</v>
          </cell>
          <cell r="C2963" t="str">
            <v>BRS_GOLD__5_SPREADS:BRS_GOLD__3_OTHER_SPREADS:BRS_GOLD__2_OSAGY:CAD_PROV,ALL_PROV,CACRD_PROV_IDIO:CACRD_PROV_IDIO</v>
          </cell>
          <cell r="D2963" t="str">
            <v>Spread Duration</v>
          </cell>
          <cell r="E2963" t="str">
            <v>Other Spread Yield</v>
          </cell>
          <cell r="F2963" t="str">
            <v>Idiosyncratic</v>
          </cell>
          <cell r="G2963" t="str">
            <v>Other</v>
          </cell>
          <cell r="H2963" t="str">
            <v>SPREADS_SPECIFIC</v>
          </cell>
          <cell r="I2963" t="str">
            <v>Agency / Supranational - Idiosyncratic</v>
          </cell>
        </row>
        <row r="2964">
          <cell r="A2964" t="str">
            <v>USD_CMBS_AAA_05</v>
          </cell>
          <cell r="B2964" t="str">
            <v>CMBS AAA 05</v>
          </cell>
          <cell r="C2964" t="str">
            <v>BRS_GOLD__5_SPREADS:BRS_GOLD__3_OTHER_SPREADS:CMBS:USD_CMBS-USD_CMBS_IG_AT-CMBS_SP_RISK-CMBSNEW:USD_CMBS_AAA_05</v>
          </cell>
          <cell r="D2964" t="str">
            <v>Spread Duration</v>
          </cell>
          <cell r="E2964" t="str">
            <v>Spread Yield (DxS)</v>
          </cell>
          <cell r="F2964" t="str">
            <v>SP-Other</v>
          </cell>
          <cell r="G2964" t="str">
            <v>SP-Other</v>
          </cell>
          <cell r="H2964" t="str">
            <v>SPREADS</v>
          </cell>
          <cell r="I2964" t="str">
            <v>Agency / Supranational</v>
          </cell>
        </row>
        <row r="2965">
          <cell r="A2965" t="str">
            <v>USD_CMBS_AAA_07</v>
          </cell>
          <cell r="B2965" t="str">
            <v>CMBS AAA 07</v>
          </cell>
          <cell r="C2965" t="str">
            <v>BRS_GOLD__5_SPREADS:BRS_GOLD__3_OTHER_SPREADS:CMBS:USD_CMBS-USD_CMBS_IG_AT-CMBS_SP_RISK-CMBSNEW:USD_CMBS_AAA_07</v>
          </cell>
          <cell r="D2965" t="str">
            <v>Spread Duration</v>
          </cell>
          <cell r="E2965" t="str">
            <v>Spread Yield (DxS)</v>
          </cell>
          <cell r="F2965" t="str">
            <v>SP-Other</v>
          </cell>
          <cell r="G2965" t="str">
            <v>SP-Other</v>
          </cell>
          <cell r="H2965" t="str">
            <v>SPREADS</v>
          </cell>
          <cell r="I2965" t="str">
            <v>Agency / Supranational</v>
          </cell>
        </row>
        <row r="2966">
          <cell r="A2966" t="str">
            <v>USD_CMBS_AAA_10</v>
          </cell>
          <cell r="B2966" t="str">
            <v>CMBS AAA 10</v>
          </cell>
          <cell r="C2966" t="str">
            <v>BRS_GOLD__5_SPREADS:BRS_GOLD__3_OTHER_SPREADS:CMBS:USD_CMBS-USD_CMBS_IG_AT-CMBS_SP_RISK-CMBSNEW:USD_CMBS_AAA_10</v>
          </cell>
          <cell r="D2966" t="str">
            <v>Spread Duration</v>
          </cell>
          <cell r="E2966" t="str">
            <v>Spread Yield (DxS)</v>
          </cell>
          <cell r="F2966" t="str">
            <v>SP-Other</v>
          </cell>
          <cell r="G2966" t="str">
            <v>SP-Other</v>
          </cell>
          <cell r="H2966" t="str">
            <v>SPREADS</v>
          </cell>
          <cell r="I2966" t="str">
            <v>Agency / Supranational</v>
          </cell>
        </row>
        <row r="2967">
          <cell r="A2967" t="str">
            <v>USD_CMBS_AA_10</v>
          </cell>
          <cell r="B2967" t="str">
            <v>CMBS AA 10</v>
          </cell>
          <cell r="C2967" t="str">
            <v>BRS_GOLD__5_SPREADS:BRS_GOLD__3_OTHER_SPREADS:CMBS:USD_CMBS-USD_CMBS_IG_AT-CMBS_SP_RISK-CMBSNEW:USD_CMBS_AA_10</v>
          </cell>
          <cell r="D2967" t="str">
            <v>Spread Duration</v>
          </cell>
          <cell r="E2967" t="str">
            <v>Spread Yield (DxS)</v>
          </cell>
          <cell r="F2967" t="str">
            <v>SP-Other</v>
          </cell>
          <cell r="G2967" t="str">
            <v>SP-Other</v>
          </cell>
          <cell r="H2967" t="str">
            <v>SPREADS</v>
          </cell>
          <cell r="I2967" t="str">
            <v>Agency / Supranational</v>
          </cell>
        </row>
        <row r="2968">
          <cell r="A2968" t="str">
            <v>USD_CMBS_A_10</v>
          </cell>
          <cell r="B2968" t="str">
            <v>CMBS A 10</v>
          </cell>
          <cell r="C2968" t="str">
            <v>BRS_GOLD__5_SPREADS:BRS_GOLD__3_OTHER_SPREADS:CMBS:USD_CMBS-USD_CMBS_IG_AT-CMBS_SP_RISK-CMBSNEW:USD_CMBS_A_10</v>
          </cell>
          <cell r="D2968" t="str">
            <v>Spread Duration</v>
          </cell>
          <cell r="E2968" t="str">
            <v>Spread Yield (DxS)</v>
          </cell>
          <cell r="F2968" t="str">
            <v>SP-Other</v>
          </cell>
          <cell r="G2968" t="str">
            <v>SP-Other</v>
          </cell>
          <cell r="H2968" t="str">
            <v>SPREADS</v>
          </cell>
          <cell r="I2968" t="str">
            <v>Agency / Supranational</v>
          </cell>
        </row>
        <row r="2969">
          <cell r="A2969" t="str">
            <v>USD_CMBS_BBB_10</v>
          </cell>
          <cell r="B2969" t="str">
            <v>CMBS BBB 10</v>
          </cell>
          <cell r="C2969" t="str">
            <v>BRS_GOLD__5_SPREADS:BRS_GOLD__3_OTHER_SPREADS:CMBS:USD_CMBS-USD_CMBS_IG_AT-CMBS_SP_RISK-CMBSNEW:USD_CMBS_BBB_10</v>
          </cell>
          <cell r="D2969" t="str">
            <v>Spread Duration</v>
          </cell>
          <cell r="E2969" t="str">
            <v>Spread Yield (DxS)</v>
          </cell>
          <cell r="F2969" t="str">
            <v>SP-Other</v>
          </cell>
          <cell r="G2969" t="str">
            <v>SP-Other</v>
          </cell>
          <cell r="H2969" t="str">
            <v>SPREADS</v>
          </cell>
          <cell r="I2969" t="str">
            <v>Agency / Supranational</v>
          </cell>
        </row>
        <row r="2970">
          <cell r="A2970" t="str">
            <v>USD_CMBS_BB_10</v>
          </cell>
          <cell r="B2970" t="str">
            <v>CMBS BB 10</v>
          </cell>
          <cell r="C2970" t="str">
            <v>BRS_GOLD__5_SPREADS:BRS_GOLD__3_OTHER_SPREADS:CMBS:USD_CMBS-USD_CMBS_IG_AT-CMBS_SP_RISK-CMBSNEW:USD_CMBS_BB_10</v>
          </cell>
          <cell r="D2970" t="str">
            <v>Spread Duration</v>
          </cell>
          <cell r="E2970" t="str">
            <v>Spread Yield (DxS)</v>
          </cell>
          <cell r="F2970" t="str">
            <v>SP-Other</v>
          </cell>
          <cell r="G2970" t="str">
            <v>SP-Other</v>
          </cell>
          <cell r="H2970" t="str">
            <v>SPREADS</v>
          </cell>
          <cell r="I2970" t="str">
            <v>Agency / Supranational</v>
          </cell>
        </row>
        <row r="2971">
          <cell r="A2971" t="str">
            <v>USD_CMBS_B_10</v>
          </cell>
          <cell r="B2971" t="str">
            <v>CMBS B 10</v>
          </cell>
          <cell r="C2971" t="str">
            <v>BRS_GOLD__5_SPREADS:BRS_GOLD__3_OTHER_SPREADS:CMBS:USD_CMBS-USD_CMBS_IG_AT-CMBS_SP_RISK-CMBSNEW:USD_CMBS_B_10</v>
          </cell>
          <cell r="D2971" t="str">
            <v>Spread Duration</v>
          </cell>
          <cell r="E2971" t="str">
            <v>Spread Yield (DxS)</v>
          </cell>
          <cell r="F2971" t="str">
            <v>SP-Other</v>
          </cell>
          <cell r="G2971" t="str">
            <v>SP-Other</v>
          </cell>
          <cell r="H2971" t="str">
            <v>SPREADS</v>
          </cell>
          <cell r="I2971" t="str">
            <v>Agency / Supranational</v>
          </cell>
        </row>
        <row r="2972">
          <cell r="A2972" t="str">
            <v>LEHCMBSAGG</v>
          </cell>
          <cell r="B2972" t="str">
            <v>Lehman CMBS OAS</v>
          </cell>
          <cell r="C2972" t="str">
            <v>BRS_GOLD__5_SPREADS:BRS_GOLD__3_OTHER_SPREADS:CMBS:USD_CMBS-USD_CMBS_IG_AT-CMBS_SP_RISK-CMBSNEW:LEHCMBSAGG</v>
          </cell>
          <cell r="D2972" t="str">
            <v>Spread Duration</v>
          </cell>
          <cell r="E2972" t="str">
            <v>Spread Yield (DxS)</v>
          </cell>
          <cell r="F2972" t="str">
            <v>SP-Other</v>
          </cell>
          <cell r="G2972" t="str">
            <v>SP-Other</v>
          </cell>
          <cell r="H2972" t="str">
            <v>SPREADS</v>
          </cell>
          <cell r="I2972" t="str">
            <v>Agency / Supranational</v>
          </cell>
        </row>
        <row r="2973">
          <cell r="A2973" t="str">
            <v>USD_LEHCMBSINV_AAA_1_35</v>
          </cell>
          <cell r="B2973" t="str">
            <v>CMBS AAA &lt; 3.5 yr</v>
          </cell>
          <cell r="C2973" t="str">
            <v>BRS_GOLD__5_SPREADS:BRS_GOLD__3_OTHER_SPREADS:CMBS:USD_CMBS-USD_CMBS_IG_AT-CMBS_SP_RISK-CMBSNEW:USD_LEHCMBSINV_AAA_1_35</v>
          </cell>
          <cell r="D2973" t="str">
            <v>Spread Duration</v>
          </cell>
          <cell r="E2973" t="str">
            <v>Spread Yield (DxS)</v>
          </cell>
          <cell r="F2973" t="str">
            <v>SP-Other</v>
          </cell>
          <cell r="G2973" t="str">
            <v>SP-Other</v>
          </cell>
          <cell r="H2973" t="str">
            <v>SPREADS</v>
          </cell>
          <cell r="I2973" t="str">
            <v>Agency / Supranational</v>
          </cell>
        </row>
        <row r="2974">
          <cell r="A2974" t="str">
            <v>USD_LEHCMBSINV_AAA_35_6</v>
          </cell>
          <cell r="B2974" t="str">
            <v>CMBS AAA 3.5-6 yr</v>
          </cell>
          <cell r="C2974" t="str">
            <v>BRS_GOLD__5_SPREADS:BRS_GOLD__3_OTHER_SPREADS:CMBS:USD_CMBS-USD_CMBS_IG_AT-CMBS_SP_RISK-CMBSNEW:USD_LEHCMBSINV_AAA_35_6</v>
          </cell>
          <cell r="D2974" t="str">
            <v>Spread Duration</v>
          </cell>
          <cell r="E2974" t="str">
            <v>Spread Yield (DxS)</v>
          </cell>
          <cell r="F2974" t="str">
            <v>SP-Other</v>
          </cell>
          <cell r="G2974" t="str">
            <v>SP-Other</v>
          </cell>
          <cell r="H2974" t="str">
            <v>SPREADS</v>
          </cell>
          <cell r="I2974" t="str">
            <v>Agency / Supranational</v>
          </cell>
        </row>
        <row r="2975">
          <cell r="A2975" t="str">
            <v>USD_LEHCMBSINV_AAA_6_85</v>
          </cell>
          <cell r="B2975" t="str">
            <v>CMBS AAA 6-8.5 yr</v>
          </cell>
          <cell r="C2975" t="str">
            <v>BRS_GOLD__5_SPREADS:BRS_GOLD__3_OTHER_SPREADS:CMBS:USD_CMBS-USD_CMBS_IG_AT-CMBS_SP_RISK-CMBSNEW:USD_LEHCMBSINV_AAA_6_85</v>
          </cell>
          <cell r="D2975" t="str">
            <v>Spread Duration</v>
          </cell>
          <cell r="E2975" t="str">
            <v>Spread Yield (DxS)</v>
          </cell>
          <cell r="F2975" t="str">
            <v>SP-Other</v>
          </cell>
          <cell r="G2975" t="str">
            <v>SP-Other</v>
          </cell>
          <cell r="H2975" t="str">
            <v>SPREADS</v>
          </cell>
          <cell r="I2975" t="str">
            <v>Agency / Supranational</v>
          </cell>
        </row>
        <row r="2976">
          <cell r="A2976" t="str">
            <v>USD_LEHCMBSINV_AAA_85P</v>
          </cell>
          <cell r="B2976" t="str">
            <v>CMBS AAA &gt; 8.5 yr</v>
          </cell>
          <cell r="C2976" t="str">
            <v>BRS_GOLD__5_SPREADS:BRS_GOLD__3_OTHER_SPREADS:CMBS:USD_CMBS-USD_CMBS_IG_AT-CMBS_SP_RISK-CMBSNEW:USD_LEHCMBSINV_AAA_85P</v>
          </cell>
          <cell r="D2976" t="str">
            <v>Spread Duration</v>
          </cell>
          <cell r="E2976" t="str">
            <v>Spread Yield (DxS)</v>
          </cell>
          <cell r="F2976" t="str">
            <v>SP-Other</v>
          </cell>
          <cell r="G2976" t="str">
            <v>SP-Other</v>
          </cell>
          <cell r="H2976" t="str">
            <v>SPREADS</v>
          </cell>
          <cell r="I2976" t="str">
            <v>Agency / Supranational</v>
          </cell>
        </row>
        <row r="2977">
          <cell r="A2977" t="str">
            <v>USD_LEHCMBSINV_AA</v>
          </cell>
          <cell r="B2977" t="str">
            <v>CMBS AA.old</v>
          </cell>
          <cell r="C2977" t="str">
            <v>BRS_GOLD__5_SPREADS:BRS_GOLD__3_OTHER_SPREADS:CMBS:USD_CMBS-USD_CMBS_IG_AT-CMBS_SP_RISK-CMBSNEW:USD_LEHCMBSINV_AA</v>
          </cell>
          <cell r="D2977" t="str">
            <v>Spread Duration</v>
          </cell>
          <cell r="E2977" t="str">
            <v>Spread Yield (DxS)</v>
          </cell>
          <cell r="F2977" t="str">
            <v>SP-Other</v>
          </cell>
          <cell r="G2977" t="str">
            <v>SP-Other</v>
          </cell>
          <cell r="H2977" t="str">
            <v>SPREADS</v>
          </cell>
          <cell r="I2977" t="str">
            <v>Agency / Supranational</v>
          </cell>
        </row>
        <row r="2978">
          <cell r="A2978" t="str">
            <v>USD_LEHCMBSINV_A</v>
          </cell>
          <cell r="B2978" t="str">
            <v>CMBS A.old</v>
          </cell>
          <cell r="C2978" t="str">
            <v>BRS_GOLD__5_SPREADS:BRS_GOLD__3_OTHER_SPREADS:CMBS:USD_CMBS-USD_CMBS_IG_AT-CMBS_SP_RISK-CMBSNEW:USD_LEHCMBSINV_A</v>
          </cell>
          <cell r="D2978" t="str">
            <v>Spread Duration</v>
          </cell>
          <cell r="E2978" t="str">
            <v>Spread Yield (DxS)</v>
          </cell>
          <cell r="F2978" t="str">
            <v>SP-Other</v>
          </cell>
          <cell r="G2978" t="str">
            <v>SP-Other</v>
          </cell>
          <cell r="H2978" t="str">
            <v>SPREADS</v>
          </cell>
          <cell r="I2978" t="str">
            <v>Agency / Supranational</v>
          </cell>
        </row>
        <row r="2979">
          <cell r="A2979" t="str">
            <v>USD_LEHCMBSINV_BBB</v>
          </cell>
          <cell r="B2979" t="str">
            <v>CMBS BBB.old</v>
          </cell>
          <cell r="C2979" t="str">
            <v>BRS_GOLD__5_SPREADS:BRS_GOLD__3_OTHER_SPREADS:CMBS:USD_CMBS-USD_CMBS_IG_AT-CMBS_SP_RISK-CMBSNEW:USD_LEHCMBSINV_BBB</v>
          </cell>
          <cell r="D2979" t="str">
            <v>Spread Duration</v>
          </cell>
          <cell r="E2979" t="str">
            <v>Spread Yield (DxS)</v>
          </cell>
          <cell r="F2979" t="str">
            <v>SP-Other</v>
          </cell>
          <cell r="G2979" t="str">
            <v>SP-Other</v>
          </cell>
          <cell r="H2979" t="str">
            <v>SPREADS</v>
          </cell>
          <cell r="I2979" t="str">
            <v>Agency / Supranational</v>
          </cell>
        </row>
        <row r="2980">
          <cell r="A2980" t="str">
            <v>USD_LEHCMBSHY</v>
          </cell>
          <cell r="B2980" t="str">
            <v>CMBS HY.old</v>
          </cell>
          <cell r="C2980" t="str">
            <v>BRS_GOLD__5_SPREADS:BRS_GOLD__3_OTHER_SPREADS:CMBS:USD_CMBS-USD_CMBS_IG_AT-CMBS_SP_RISK-CMBSNEW:USD_LEHCMBSHY</v>
          </cell>
          <cell r="D2980" t="str">
            <v>Spread Duration</v>
          </cell>
          <cell r="E2980" t="str">
            <v>Spread Yield (DxS)</v>
          </cell>
          <cell r="F2980" t="str">
            <v>SP-Other</v>
          </cell>
          <cell r="G2980" t="str">
            <v>SP-Other</v>
          </cell>
          <cell r="H2980" t="str">
            <v>SPREADS</v>
          </cell>
          <cell r="I2980" t="str">
            <v>Agency / Supranational</v>
          </cell>
        </row>
        <row r="2981">
          <cell r="A2981" t="str">
            <v>USD_CMBS_AAA_1_35</v>
          </cell>
          <cell r="B2981" t="str">
            <v>CMBS AAA 1-3.5 yr</v>
          </cell>
          <cell r="C2981" t="str">
            <v>BRS_GOLD__5_SPREADS:BRS_GOLD__3_OTHER_SPREADS:CMBS:USD_CMBS-USD_CMBS_IG_AT-CMBS_SP_RISK-CMBSNEW:USD_CMBS_AAA_1_35</v>
          </cell>
          <cell r="D2981" t="str">
            <v>Spread Duration</v>
          </cell>
          <cell r="E2981" t="str">
            <v>Spread Yield (DxS)</v>
          </cell>
          <cell r="F2981" t="str">
            <v>SP-Other</v>
          </cell>
          <cell r="G2981" t="str">
            <v>SP-Other</v>
          </cell>
          <cell r="H2981" t="str">
            <v>SPREADS</v>
          </cell>
          <cell r="I2981" t="str">
            <v>Agency / Supranational</v>
          </cell>
        </row>
        <row r="2982">
          <cell r="A2982" t="str">
            <v>USD_CMBS_AAA_35_6</v>
          </cell>
          <cell r="B2982" t="str">
            <v>CMBS AAA 3.5-6 yr</v>
          </cell>
          <cell r="C2982" t="str">
            <v>BRS_GOLD__5_SPREADS:BRS_GOLD__3_OTHER_SPREADS:CMBS:USD_CMBS-USD_CMBS_IG_AT-CMBS_SP_RISK-CMBSNEW:USD_CMBS_AAA_35_6</v>
          </cell>
          <cell r="D2982" t="str">
            <v>Spread Duration</v>
          </cell>
          <cell r="E2982" t="str">
            <v>Spread Yield (DxS)</v>
          </cell>
          <cell r="F2982" t="str">
            <v>SP-Other</v>
          </cell>
          <cell r="G2982" t="str">
            <v>SP-Other</v>
          </cell>
          <cell r="H2982" t="str">
            <v>SPREADS</v>
          </cell>
          <cell r="I2982" t="str">
            <v>Agency / Supranational</v>
          </cell>
        </row>
        <row r="2983">
          <cell r="A2983" t="str">
            <v>USD_CMBS_AAA_6P</v>
          </cell>
          <cell r="B2983" t="str">
            <v>CMBS AAA &gt; 6 yr</v>
          </cell>
          <cell r="C2983" t="str">
            <v>BRS_GOLD__5_SPREADS:BRS_GOLD__3_OTHER_SPREADS:CMBS:USD_CMBS-USD_CMBS_IG_AT-CMBS_SP_RISK-CMBSNEW:USD_CMBS_AAA_6P</v>
          </cell>
          <cell r="D2983" t="str">
            <v>Spread Duration</v>
          </cell>
          <cell r="E2983" t="str">
            <v>Spread Yield (DxS)</v>
          </cell>
          <cell r="F2983" t="str">
            <v>SP-Other</v>
          </cell>
          <cell r="G2983" t="str">
            <v>SP-Other</v>
          </cell>
          <cell r="H2983" t="str">
            <v>SPREADS</v>
          </cell>
          <cell r="I2983" t="str">
            <v>Agency / Supranational</v>
          </cell>
        </row>
        <row r="2984">
          <cell r="A2984" t="str">
            <v>USD_CMBS_CURRENT</v>
          </cell>
          <cell r="B2984" t="str">
            <v>Current Pay</v>
          </cell>
          <cell r="C2984" t="str">
            <v>BRS_GOLD__5_SPREADS:BRS_GOLD__3_OTHER_SPREADS:CMBS:USD_CMBS_IG_AT-CMBS_SP_RISK:USD_CMBS_CURRENT</v>
          </cell>
          <cell r="D2984" t="str">
            <v>Spread Duration</v>
          </cell>
          <cell r="E2984" t="str">
            <v>Spread Yield (DxS)</v>
          </cell>
          <cell r="F2984" t="str">
            <v>SP-Other</v>
          </cell>
          <cell r="G2984" t="str">
            <v>SP-Other</v>
          </cell>
          <cell r="H2984" t="str">
            <v>SPREADS</v>
          </cell>
          <cell r="I2984" t="str">
            <v>Agency / Supranational</v>
          </cell>
        </row>
        <row r="2985">
          <cell r="A2985" t="str">
            <v>USD_CMBS_QUALITY</v>
          </cell>
          <cell r="B2985" t="str">
            <v>Quality</v>
          </cell>
          <cell r="C2985" t="str">
            <v>BRS_GOLD__5_SPREADS:BRS_GOLD__3_OTHER_SPREADS:CMBS:USD_CMBS_IG_AT-CMBS_SP_RISK:USD_CMBS_QUALITY</v>
          </cell>
          <cell r="D2985" t="str">
            <v>Spread Duration</v>
          </cell>
          <cell r="E2985" t="str">
            <v>Spread Yield (DxS)</v>
          </cell>
          <cell r="F2985" t="str">
            <v>SP-Other</v>
          </cell>
          <cell r="G2985" t="str">
            <v>SP-Other</v>
          </cell>
          <cell r="H2985" t="str">
            <v>SPREADS</v>
          </cell>
          <cell r="I2985" t="str">
            <v>Agency / Supranational</v>
          </cell>
        </row>
        <row r="2986">
          <cell r="A2986" t="str">
            <v>USD_CMBS_SUPSENIOR</v>
          </cell>
          <cell r="B2986" t="str">
            <v>Older Vintage</v>
          </cell>
          <cell r="C2986" t="str">
            <v>BRS_GOLD__5_SPREADS:BRS_GOLD__3_OTHER_SPREADS:CMBS:USD_CMBS_IG_AT-CMBS_SP_RISK:USD_CMBS_SUPSENIOR</v>
          </cell>
          <cell r="D2986" t="str">
            <v>Spread Duration</v>
          </cell>
          <cell r="E2986" t="str">
            <v>Spread Yield (DxS)</v>
          </cell>
          <cell r="F2986" t="str">
            <v>SP-Other</v>
          </cell>
          <cell r="G2986" t="str">
            <v>SP-Other</v>
          </cell>
          <cell r="H2986" t="str">
            <v>SPREADS</v>
          </cell>
          <cell r="I2986" t="str">
            <v>Agency / Supranational</v>
          </cell>
        </row>
        <row r="2987">
          <cell r="A2987" t="str">
            <v>USD_CMBS_IO</v>
          </cell>
          <cell r="B2987" t="str">
            <v>CMBS IO</v>
          </cell>
          <cell r="C2987" t="str">
            <v>BRS_GOLD__5_SPREADS:BRS_GOLD__3_OTHER_SPREADS:CMBS:USD_CMBS_IG_AT-CMBS_SP_RISK:USD_CMBS_IO</v>
          </cell>
          <cell r="D2987" t="str">
            <v>Spread Duration</v>
          </cell>
          <cell r="E2987" t="str">
            <v>Spread Yield (DxS)</v>
          </cell>
          <cell r="F2987" t="str">
            <v>SP-Other</v>
          </cell>
          <cell r="G2987" t="str">
            <v>SP-Other</v>
          </cell>
          <cell r="H2987" t="str">
            <v>SPREADS</v>
          </cell>
          <cell r="I2987" t="str">
            <v>Agency / Supranational</v>
          </cell>
        </row>
        <row r="2988">
          <cell r="A2988" t="str">
            <v>USD_CMBS_AM_DS</v>
          </cell>
          <cell r="B2988" t="str">
            <v>CMBS AM</v>
          </cell>
          <cell r="C2988" t="str">
            <v>BRS_GOLD__5_SPREADS:BRS_GOLD__3_OTHER_SPREADS:CMBS:USD_CMBS_DS-CMBS_SP_RISK:USD_CMBS_AM_DS</v>
          </cell>
          <cell r="D2988" t="str">
            <v>Price</v>
          </cell>
          <cell r="E2988" t="str">
            <v>Price Level</v>
          </cell>
          <cell r="F2988" t="str">
            <v>SP-Other</v>
          </cell>
          <cell r="G2988" t="str">
            <v>SP-Other</v>
          </cell>
          <cell r="H2988" t="str">
            <v>SPREADS</v>
          </cell>
          <cell r="I2988" t="str">
            <v>Agency / Supranational - Distressed</v>
          </cell>
        </row>
        <row r="2989">
          <cell r="A2989" t="str">
            <v>USD_CMBS_AJ_DS</v>
          </cell>
          <cell r="B2989" t="str">
            <v>CMBS AJ</v>
          </cell>
          <cell r="C2989" t="str">
            <v>BRS_GOLD__5_SPREADS:BRS_GOLD__3_OTHER_SPREADS:CMBS:USD_CMBS_DS-CMBS_SP_RISK:USD_CMBS_AJ_DS</v>
          </cell>
          <cell r="D2989" t="str">
            <v>Price</v>
          </cell>
          <cell r="E2989" t="str">
            <v>Price Level</v>
          </cell>
          <cell r="F2989" t="str">
            <v>SP-Other</v>
          </cell>
          <cell r="G2989" t="str">
            <v>SP-Other</v>
          </cell>
          <cell r="H2989" t="str">
            <v>SPREADS</v>
          </cell>
          <cell r="I2989" t="str">
            <v>Agency / Supranational - Distressed</v>
          </cell>
        </row>
        <row r="2990">
          <cell r="A2990" t="str">
            <v>USD_CMBS_AA_DS</v>
          </cell>
          <cell r="B2990" t="str">
            <v>CMBS AA</v>
          </cell>
          <cell r="C2990" t="str">
            <v>BRS_GOLD__5_SPREADS:BRS_GOLD__3_OTHER_SPREADS:CMBS:USD_CMBS_DS-CMBS_SP_RISK:USD_CMBS_AA_DS</v>
          </cell>
          <cell r="D2990" t="str">
            <v>Price</v>
          </cell>
          <cell r="E2990" t="str">
            <v>Price Level</v>
          </cell>
          <cell r="F2990" t="str">
            <v>SP-Other</v>
          </cell>
          <cell r="G2990" t="str">
            <v>SP-Other</v>
          </cell>
          <cell r="H2990" t="str">
            <v>SPREADS</v>
          </cell>
          <cell r="I2990" t="str">
            <v>Agency / Supranational - Distressed</v>
          </cell>
        </row>
        <row r="2991">
          <cell r="A2991" t="str">
            <v>USD_CMBS_A_DS</v>
          </cell>
          <cell r="B2991" t="str">
            <v>CMBS A</v>
          </cell>
          <cell r="C2991" t="str">
            <v>BRS_GOLD__5_SPREADS:BRS_GOLD__3_OTHER_SPREADS:CMBS:USD_CMBS_DS-CMBS_SP_RISK:USD_CMBS_A_DS</v>
          </cell>
          <cell r="D2991" t="str">
            <v>Price</v>
          </cell>
          <cell r="E2991" t="str">
            <v>Price Level</v>
          </cell>
          <cell r="F2991" t="str">
            <v>SP-Other</v>
          </cell>
          <cell r="G2991" t="str">
            <v>SP-Other</v>
          </cell>
          <cell r="H2991" t="str">
            <v>SPREADS</v>
          </cell>
          <cell r="I2991" t="str">
            <v>Agency / Supranational - Distressed</v>
          </cell>
        </row>
        <row r="2992">
          <cell r="A2992" t="str">
            <v>USD_CMBS_BBB_DS</v>
          </cell>
          <cell r="B2992" t="str">
            <v>CMBS BBB</v>
          </cell>
          <cell r="C2992" t="str">
            <v>BRS_GOLD__5_SPREADS:BRS_GOLD__3_OTHER_SPREADS:CMBS:USD_CMBS_DS-CMBS_SP_RISK:USD_CMBS_BBB_DS</v>
          </cell>
          <cell r="D2992" t="str">
            <v>Price</v>
          </cell>
          <cell r="E2992" t="str">
            <v>Price Level</v>
          </cell>
          <cell r="F2992" t="str">
            <v>SP-Other</v>
          </cell>
          <cell r="G2992" t="str">
            <v>SP-Other</v>
          </cell>
          <cell r="H2992" t="str">
            <v>SPREADS</v>
          </cell>
          <cell r="I2992" t="str">
            <v>Agency / Supranational - Distressed</v>
          </cell>
        </row>
        <row r="2993">
          <cell r="A2993" t="str">
            <v>USD_CMBS_HY_DS</v>
          </cell>
          <cell r="B2993" t="str">
            <v>CMBS HY</v>
          </cell>
          <cell r="C2993" t="str">
            <v>BRS_GOLD__5_SPREADS:BRS_GOLD__3_OTHER_SPREADS:CMBS:USD_CMBS_DS-CMBS_SP_RISK:USD_CMBS_HY_DS</v>
          </cell>
          <cell r="D2993" t="str">
            <v>Price</v>
          </cell>
          <cell r="E2993" t="str">
            <v>Price Level</v>
          </cell>
          <cell r="F2993" t="str">
            <v>SP-Other</v>
          </cell>
          <cell r="G2993" t="str">
            <v>SP-Other</v>
          </cell>
          <cell r="H2993" t="str">
            <v>SPREADS</v>
          </cell>
          <cell r="I2993" t="str">
            <v>Agency / Supranational - Distressed</v>
          </cell>
        </row>
        <row r="2994">
          <cell r="A2994" t="str">
            <v>ALL_CMBS_AAA_05</v>
          </cell>
          <cell r="B2994" t="str">
            <v>Non$ CMBS AAA 05</v>
          </cell>
          <cell r="C2994" t="str">
            <v>BRS_GOLD__5_SPREADS:BRS_GOLD__3_OTHER_SPREADS:CMBS:CMBS-USD_CMBS-USD_CMBS_DS-USD_CMBS_IG-USD_CMBS_IG_AT-CMBS_SP_RISK-CMBSNEW-CMBS_IDIO:ALL_CMBS_AAA_05</v>
          </cell>
          <cell r="D2994" t="str">
            <v>Spread Duration</v>
          </cell>
          <cell r="E2994" t="str">
            <v>Spread Yield (DxS)</v>
          </cell>
          <cell r="F2994" t="str">
            <v>SP-Other</v>
          </cell>
          <cell r="G2994" t="str">
            <v>SP-Other</v>
          </cell>
          <cell r="H2994" t="str">
            <v>SPREADS</v>
          </cell>
          <cell r="I2994" t="str">
            <v>Agency / Supranational</v>
          </cell>
        </row>
        <row r="2995">
          <cell r="A2995" t="str">
            <v>ALL_CMBS_AAA_07</v>
          </cell>
          <cell r="B2995" t="str">
            <v>Non$ CMBS AAA 07</v>
          </cell>
          <cell r="C2995" t="str">
            <v>BRS_GOLD__5_SPREADS:BRS_GOLD__3_OTHER_SPREADS:CMBS:CMBS-USD_CMBS-USD_CMBS_DS-USD_CMBS_IG-USD_CMBS_IG_AT-CMBS_SP_RISK-CMBSNEW-CMBS_IDIO:ALL_CMBS_AAA_07</v>
          </cell>
          <cell r="D2995" t="str">
            <v>Spread Duration</v>
          </cell>
          <cell r="E2995" t="str">
            <v>Spread Yield (DxS)</v>
          </cell>
          <cell r="F2995" t="str">
            <v>SP-Other</v>
          </cell>
          <cell r="G2995" t="str">
            <v>SP-Other</v>
          </cell>
          <cell r="H2995" t="str">
            <v>SPREADS</v>
          </cell>
          <cell r="I2995" t="str">
            <v>Agency / Supranational</v>
          </cell>
        </row>
        <row r="2996">
          <cell r="A2996" t="str">
            <v>ALL_CMBS_AAA_10</v>
          </cell>
          <cell r="B2996" t="str">
            <v>Non$ CMBS AAA 10</v>
          </cell>
          <cell r="C2996" t="str">
            <v>BRS_GOLD__5_SPREADS:BRS_GOLD__3_OTHER_SPREADS:CMBS:CMBS-USD_CMBS-USD_CMBS_DS-USD_CMBS_IG-USD_CMBS_IG_AT-CMBS_SP_RISK-CMBSNEW-CMBS_IDIO:ALL_CMBS_AAA_10</v>
          </cell>
          <cell r="D2996" t="str">
            <v>Spread Duration</v>
          </cell>
          <cell r="E2996" t="str">
            <v>Spread Yield (DxS)</v>
          </cell>
          <cell r="F2996" t="str">
            <v>SP-Other</v>
          </cell>
          <cell r="G2996" t="str">
            <v>SP-Other</v>
          </cell>
          <cell r="H2996" t="str">
            <v>SPREADS</v>
          </cell>
          <cell r="I2996" t="str">
            <v>Agency / Supranational</v>
          </cell>
        </row>
        <row r="2997">
          <cell r="A2997" t="str">
            <v>ALL_CMBS_AA_10</v>
          </cell>
          <cell r="B2997" t="str">
            <v>Non$ CMBS AA 10</v>
          </cell>
          <cell r="C2997" t="str">
            <v>BRS_GOLD__5_SPREADS:BRS_GOLD__3_OTHER_SPREADS:CMBS:CMBS-USD_CMBS-USD_CMBS_DS-USD_CMBS_IG-USD_CMBS_IG_AT-CMBS_SP_RISK-CMBSNEW-CMBS_IDIO:ALL_CMBS_AA_10</v>
          </cell>
          <cell r="D2997" t="str">
            <v>Spread Duration</v>
          </cell>
          <cell r="E2997" t="str">
            <v>Spread Yield (DxS)</v>
          </cell>
          <cell r="F2997" t="str">
            <v>SP-Other</v>
          </cell>
          <cell r="G2997" t="str">
            <v>SP-Other</v>
          </cell>
          <cell r="H2997" t="str">
            <v>SPREADS</v>
          </cell>
          <cell r="I2997" t="str">
            <v>Agency / Supranational</v>
          </cell>
        </row>
        <row r="2998">
          <cell r="A2998" t="str">
            <v>ALL_CMBS_A_10</v>
          </cell>
          <cell r="B2998" t="str">
            <v>Non$ CMBS A 10</v>
          </cell>
          <cell r="C2998" t="str">
            <v>BRS_GOLD__5_SPREADS:BRS_GOLD__3_OTHER_SPREADS:CMBS:CMBS-USD_CMBS-USD_CMBS_DS-USD_CMBS_IG-USD_CMBS_IG_AT-CMBS_SP_RISK-CMBSNEW-CMBS_IDIO:ALL_CMBS_A_10</v>
          </cell>
          <cell r="D2998" t="str">
            <v>Spread Duration</v>
          </cell>
          <cell r="E2998" t="str">
            <v>Spread Yield (DxS)</v>
          </cell>
          <cell r="F2998" t="str">
            <v>SP-Other</v>
          </cell>
          <cell r="G2998" t="str">
            <v>SP-Other</v>
          </cell>
          <cell r="H2998" t="str">
            <v>SPREADS</v>
          </cell>
          <cell r="I2998" t="str">
            <v>Agency / Supranational</v>
          </cell>
        </row>
        <row r="2999">
          <cell r="A2999" t="str">
            <v>ALL_CMBS_BBB_10</v>
          </cell>
          <cell r="B2999" t="str">
            <v>Non$ CMBS BBB 10</v>
          </cell>
          <cell r="C2999" t="str">
            <v>BRS_GOLD__5_SPREADS:BRS_GOLD__3_OTHER_SPREADS:CMBS:CMBS-USD_CMBS-USD_CMBS_DS-USD_CMBS_IG-USD_CMBS_IG_AT-CMBS_SP_RISK-CMBSNEW-CMBS_IDIO:ALL_CMBS_BBB_10</v>
          </cell>
          <cell r="D2999" t="str">
            <v>Spread Duration</v>
          </cell>
          <cell r="E2999" t="str">
            <v>Spread Yield (DxS)</v>
          </cell>
          <cell r="F2999" t="str">
            <v>SP-Other</v>
          </cell>
          <cell r="G2999" t="str">
            <v>SP-Other</v>
          </cell>
          <cell r="H2999" t="str">
            <v>SPREADS</v>
          </cell>
          <cell r="I2999" t="str">
            <v>Agency / Supranational</v>
          </cell>
        </row>
        <row r="3000">
          <cell r="A3000" t="str">
            <v>ALL_CMBS_BB_10</v>
          </cell>
          <cell r="B3000" t="str">
            <v>Non$ CMBS BB 10</v>
          </cell>
          <cell r="C3000" t="str">
            <v>BRS_GOLD__5_SPREADS:BRS_GOLD__3_OTHER_SPREADS:CMBS:CMBS-USD_CMBS-USD_CMBS_DS-USD_CMBS_IG-USD_CMBS_IG_AT-CMBS_SP_RISK-CMBSNEW-CMBS_IDIO:ALL_CMBS_BB_10</v>
          </cell>
          <cell r="D3000" t="str">
            <v>Spread Duration</v>
          </cell>
          <cell r="E3000" t="str">
            <v>Spread Yield (DxS)</v>
          </cell>
          <cell r="F3000" t="str">
            <v>SP-Other</v>
          </cell>
          <cell r="G3000" t="str">
            <v>SP-Other</v>
          </cell>
          <cell r="H3000" t="str">
            <v>SPREADS</v>
          </cell>
          <cell r="I3000" t="str">
            <v>Agency / Supranational</v>
          </cell>
        </row>
        <row r="3001">
          <cell r="A3001" t="str">
            <v>ALL_CMBS_B_10</v>
          </cell>
          <cell r="B3001" t="str">
            <v>Non$ CMBS B 10</v>
          </cell>
          <cell r="C3001" t="str">
            <v>BRS_GOLD__5_SPREADS:BRS_GOLD__3_OTHER_SPREADS:CMBS:CMBS-USD_CMBS-USD_CMBS_DS-USD_CMBS_IG-USD_CMBS_IG_AT-CMBS_SP_RISK-CMBSNEW-CMBS_IDIO:ALL_CMBS_B_10</v>
          </cell>
          <cell r="D3001" t="str">
            <v>Spread Duration</v>
          </cell>
          <cell r="E3001" t="str">
            <v>Spread Yield (DxS)</v>
          </cell>
          <cell r="F3001" t="str">
            <v>SP-Other</v>
          </cell>
          <cell r="G3001" t="str">
            <v>SP-Other</v>
          </cell>
          <cell r="H3001" t="str">
            <v>SPREADS</v>
          </cell>
          <cell r="I3001" t="str">
            <v>Agency / Supranational</v>
          </cell>
        </row>
        <row r="3002">
          <cell r="A3002" t="str">
            <v>ALL_CMBS_AAA_1_35</v>
          </cell>
          <cell r="B3002" t="str">
            <v>Non $ CMBS AAA 1-3.5 yr</v>
          </cell>
          <cell r="C3002" t="str">
            <v>BRS_GOLD__5_SPREADS:BRS_GOLD__3_OTHER_SPREADS:CMBS:CMBS-USD_CMBS-USD_CMBS_DS-USD_CMBS_IG-USD_CMBS_IG_AT-CMBS_SP_RISK-CMBSNEW-CMBS_IDIO:ALL_CMBS_AAA_1_35</v>
          </cell>
          <cell r="D3002" t="str">
            <v>Spread Duration</v>
          </cell>
          <cell r="E3002" t="str">
            <v>Spread Yield (DxS)</v>
          </cell>
          <cell r="F3002" t="str">
            <v>SP-Other</v>
          </cell>
          <cell r="G3002" t="str">
            <v>SP-Other</v>
          </cell>
          <cell r="H3002" t="str">
            <v>SPREADS</v>
          </cell>
          <cell r="I3002" t="str">
            <v>Agency / Supranational</v>
          </cell>
        </row>
        <row r="3003">
          <cell r="A3003" t="str">
            <v>ALL_CMBS_AAA_35_6</v>
          </cell>
          <cell r="B3003" t="str">
            <v>Non $ CMBS AAA 3.5-6 yr</v>
          </cell>
          <cell r="C3003" t="str">
            <v>BRS_GOLD__5_SPREADS:BRS_GOLD__3_OTHER_SPREADS:CMBS:CMBS-USD_CMBS-USD_CMBS_DS-USD_CMBS_IG-USD_CMBS_IG_AT-CMBS_SP_RISK-CMBSNEW-CMBS_IDIO:ALL_CMBS_AAA_35_6</v>
          </cell>
          <cell r="D3003" t="str">
            <v>Spread Duration</v>
          </cell>
          <cell r="E3003" t="str">
            <v>Spread Yield (DxS)</v>
          </cell>
          <cell r="F3003" t="str">
            <v>SP-Other</v>
          </cell>
          <cell r="G3003" t="str">
            <v>SP-Other</v>
          </cell>
          <cell r="H3003" t="str">
            <v>SPREADS</v>
          </cell>
          <cell r="I3003" t="str">
            <v>Agency / Supranational</v>
          </cell>
        </row>
        <row r="3004">
          <cell r="A3004" t="str">
            <v>ALL_CMBS_AAA_6P</v>
          </cell>
          <cell r="B3004" t="str">
            <v>Non $ CMBS AAA &gt; 6 yr</v>
          </cell>
          <cell r="C3004" t="str">
            <v>BRS_GOLD__5_SPREADS:BRS_GOLD__3_OTHER_SPREADS:CMBS:CMBS-USD_CMBS-USD_CMBS_DS-USD_CMBS_IG-USD_CMBS_IG_AT-CMBS_SP_RISK-CMBSNEW-CMBS_IDIO:ALL_CMBS_AAA_6P</v>
          </cell>
          <cell r="D3004" t="str">
            <v>Spread Duration</v>
          </cell>
          <cell r="E3004" t="str">
            <v>Spread Yield (DxS)</v>
          </cell>
          <cell r="F3004" t="str">
            <v>SP-Other</v>
          </cell>
          <cell r="G3004" t="str">
            <v>SP-Other</v>
          </cell>
          <cell r="H3004" t="str">
            <v>SPREADS</v>
          </cell>
          <cell r="I3004" t="str">
            <v>Agency / Supranational</v>
          </cell>
        </row>
        <row r="3005">
          <cell r="A3005" t="str">
            <v>USD_CMBS_MEZZOLD</v>
          </cell>
          <cell r="B3005" t="str">
            <v>CMBS Distressed</v>
          </cell>
          <cell r="C3005" t="str">
            <v>BRS_GOLD__5_SPREADS:BRS_GOLD__3_OTHER_SPREADS:CMBS:USD_CMBS_MEZZOLD,USD_CMBS_MEZZOLD_SF,CMBS_MEZZOLD_IDIO:USD_CMBS_MEZZOLD</v>
          </cell>
          <cell r="D3005" t="str">
            <v>Price</v>
          </cell>
          <cell r="E3005" t="str">
            <v>Price Level</v>
          </cell>
          <cell r="F3005" t="str">
            <v>SP-Other</v>
          </cell>
          <cell r="G3005" t="str">
            <v>SP-Other</v>
          </cell>
          <cell r="H3005" t="str">
            <v>SPREADS</v>
          </cell>
          <cell r="I3005" t="str">
            <v>Agency / Supranational - Distressed</v>
          </cell>
        </row>
        <row r="3006">
          <cell r="A3006" t="str">
            <v>USD_CMBS_MEZZOLD_SF</v>
          </cell>
          <cell r="B3006" t="str">
            <v>CMBS Distressed</v>
          </cell>
          <cell r="C3006" t="str">
            <v>BRS_GOLD__5_SPREADS:BRS_GOLD__3_OTHER_SPREADS:CMBS:USD_CMBS_MEZZOLD,USD_CMBS_MEZZOLD_SF,CMBS_MEZZOLD_IDIO:USD_CMBS_MEZZOLD_SF</v>
          </cell>
          <cell r="D3006" t="str">
            <v>Price</v>
          </cell>
          <cell r="E3006" t="str">
            <v>Price Level</v>
          </cell>
          <cell r="F3006" t="str">
            <v>SP-Other</v>
          </cell>
          <cell r="G3006" t="str">
            <v>SP-Other</v>
          </cell>
          <cell r="H3006" t="str">
            <v>SPREADS</v>
          </cell>
          <cell r="I3006" t="str">
            <v>Agency / Supranational - Distressed</v>
          </cell>
        </row>
        <row r="3007">
          <cell r="A3007" t="str">
            <v>CMBS_MEZZOLD_IDIO</v>
          </cell>
          <cell r="B3007" t="str">
            <v>CMBS Idio Distressed</v>
          </cell>
          <cell r="C3007" t="str">
            <v>BRS_GOLD__5_SPREADS:BRS_GOLD__3_OTHER_SPREADS:CMBS:USD_CMBS_MEZZOLD,USD_CMBS_MEZZOLD_SF,CMBS_MEZZOLD_IDIO:CMBS_MEZZOLD_IDIO</v>
          </cell>
          <cell r="D3007" t="str">
            <v>Price</v>
          </cell>
          <cell r="E3007" t="str">
            <v>Price Level</v>
          </cell>
          <cell r="F3007" t="str">
            <v>Idiosyncratic</v>
          </cell>
          <cell r="G3007" t="str">
            <v>Other</v>
          </cell>
          <cell r="H3007" t="str">
            <v>SPREADS_SPECIFIC</v>
          </cell>
          <cell r="I3007" t="str">
            <v>Agency / Supranational - Idiosyncratic</v>
          </cell>
        </row>
        <row r="3008">
          <cell r="A3008" t="str">
            <v>USD_CMBS_AJ05</v>
          </cell>
          <cell r="B3008" t="str">
            <v>CMBS AJ pre2005</v>
          </cell>
          <cell r="C3008" t="str">
            <v>BRS_GOLD__5_SPREADS:BRS_GOLD__3_OTHER_SPREADS:CMBS:BRS_GOLD__2_CMBS_LEGACY:USD_CMBS_AJ05,USD_CMBS_AM05,USD_CMBS_LCF05,USD_CMBS_PLCF05,USD_CMBS_PLCF05_SF,USD_CMBS_IO05,USD_CMBS_IO05_SF,USD_CMBS_LCF05_SF,USD_CMBS_AJ05_SF,USD_CMBS_AM05_SF:USD_CMBS_AJ05</v>
          </cell>
          <cell r="D3008" t="str">
            <v>Spread Duration</v>
          </cell>
          <cell r="E3008" t="str">
            <v>Spread Yield (DxS)</v>
          </cell>
          <cell r="F3008" t="str">
            <v>SP-Other</v>
          </cell>
          <cell r="G3008" t="str">
            <v>SP-Other</v>
          </cell>
          <cell r="H3008" t="str">
            <v>SPREADS</v>
          </cell>
          <cell r="I3008" t="str">
            <v>Agency / Supranational</v>
          </cell>
        </row>
        <row r="3009">
          <cell r="A3009" t="str">
            <v>USD_CMBS_AM05</v>
          </cell>
          <cell r="B3009" t="str">
            <v>CMBS AM pre2005</v>
          </cell>
          <cell r="C3009" t="str">
            <v>BRS_GOLD__5_SPREADS:BRS_GOLD__3_OTHER_SPREADS:CMBS:BRS_GOLD__2_CMBS_LEGACY:USD_CMBS_AJ05,USD_CMBS_AM05,USD_CMBS_LCF05,USD_CMBS_PLCF05,USD_CMBS_PLCF05_SF,USD_CMBS_IO05,USD_CMBS_IO05_SF,USD_CMBS_LCF05_SF,USD_CMBS_AJ05_SF,USD_CMBS_AM05_SF:USD_CMBS_AM05</v>
          </cell>
          <cell r="D3009" t="str">
            <v>Spread Duration</v>
          </cell>
          <cell r="E3009" t="str">
            <v>Spread Yield (DxS)</v>
          </cell>
          <cell r="F3009" t="str">
            <v>SP-Other</v>
          </cell>
          <cell r="G3009" t="str">
            <v>SP-Other</v>
          </cell>
          <cell r="H3009" t="str">
            <v>SPREADS</v>
          </cell>
          <cell r="I3009" t="str">
            <v>Agency / Supranational</v>
          </cell>
        </row>
        <row r="3010">
          <cell r="A3010" t="str">
            <v>USD_CMBS_LCF05</v>
          </cell>
          <cell r="B3010" t="str">
            <v>CMBS LCF pre2005</v>
          </cell>
          <cell r="C3010" t="str">
            <v>BRS_GOLD__5_SPREADS:BRS_GOLD__3_OTHER_SPREADS:CMBS:BRS_GOLD__2_CMBS_LEGACY:USD_CMBS_AJ05,USD_CMBS_AM05,USD_CMBS_LCF05,USD_CMBS_PLCF05,USD_CMBS_PLCF05_SF,USD_CMBS_IO05,USD_CMBS_IO05_SF,USD_CMBS_LCF05_SF,USD_CMBS_AJ05_SF,USD_CMBS_AM05_SF:USD_CMBS_LCF05</v>
          </cell>
          <cell r="D3010" t="str">
            <v>Spread Duration</v>
          </cell>
          <cell r="E3010" t="str">
            <v>Spread Yield (DxS)</v>
          </cell>
          <cell r="F3010" t="str">
            <v>SP-Other</v>
          </cell>
          <cell r="G3010" t="str">
            <v>SP-Other</v>
          </cell>
          <cell r="H3010" t="str">
            <v>SPREADS</v>
          </cell>
          <cell r="I3010" t="str">
            <v>Agency / Supranational</v>
          </cell>
        </row>
        <row r="3011">
          <cell r="A3011" t="str">
            <v>USD_CMBS_PLCF05</v>
          </cell>
          <cell r="B3011" t="str">
            <v>CMBS PreLCF pre2005</v>
          </cell>
          <cell r="C3011" t="str">
            <v>BRS_GOLD__5_SPREADS:BRS_GOLD__3_OTHER_SPREADS:CMBS:BRS_GOLD__2_CMBS_LEGACY:USD_CMBS_AJ05,USD_CMBS_AM05,USD_CMBS_LCF05,USD_CMBS_PLCF05,USD_CMBS_PLCF05_SF,USD_CMBS_IO05,USD_CMBS_IO05_SF,USD_CMBS_LCF05_SF,USD_CMBS_AJ05_SF,USD_CMBS_AM05_SF:USD_CMBS_PLCF05</v>
          </cell>
          <cell r="D3011" t="str">
            <v>Spread Duration</v>
          </cell>
          <cell r="E3011" t="str">
            <v>Spread Yield (DxS)</v>
          </cell>
          <cell r="F3011" t="str">
            <v>SP-Other</v>
          </cell>
          <cell r="G3011" t="str">
            <v>SP-Other</v>
          </cell>
          <cell r="H3011" t="str">
            <v>SPREADS</v>
          </cell>
          <cell r="I3011" t="str">
            <v>Agency / Supranational</v>
          </cell>
        </row>
        <row r="3012">
          <cell r="A3012" t="str">
            <v>USD_CMBS_PLCF05_SF</v>
          </cell>
          <cell r="B3012" t="str">
            <v>CMBS PreLCF pre2005</v>
          </cell>
          <cell r="C3012" t="str">
            <v>BRS_GOLD__5_SPREADS:BRS_GOLD__3_OTHER_SPREADS:CMBS:BRS_GOLD__2_CMBS_LEGACY:USD_CMBS_AJ05,USD_CMBS_AM05,USD_CMBS_LCF05,USD_CMBS_PLCF05,USD_CMBS_PLCF05_SF,USD_CMBS_IO05,USD_CMBS_IO05_SF,USD_CMBS_LCF05_SF,USD_CMBS_AJ05_SF,USD_CMBS_AM05_SF:USD_CMBS_PLCF05_SF</v>
          </cell>
          <cell r="D3012" t="str">
            <v>Spread Duration</v>
          </cell>
          <cell r="E3012" t="str">
            <v>Spread Yield (DxS)</v>
          </cell>
          <cell r="F3012" t="str">
            <v>SP-Other</v>
          </cell>
          <cell r="G3012" t="str">
            <v>SP-Other</v>
          </cell>
          <cell r="H3012" t="str">
            <v>SPREADS</v>
          </cell>
          <cell r="I3012" t="str">
            <v>Agency / Supranational</v>
          </cell>
        </row>
        <row r="3013">
          <cell r="A3013" t="str">
            <v>USD_CMBS_IO05</v>
          </cell>
          <cell r="B3013" t="str">
            <v>CMBS IO pre2005</v>
          </cell>
          <cell r="C3013" t="str">
            <v>BRS_GOLD__5_SPREADS:BRS_GOLD__3_OTHER_SPREADS:CMBS:BRS_GOLD__2_CMBS_LEGACY:USD_CMBS_AJ05,USD_CMBS_AM05,USD_CMBS_LCF05,USD_CMBS_PLCF05,USD_CMBS_PLCF05_SF,USD_CMBS_IO05,USD_CMBS_IO05_SF,USD_CMBS_LCF05_SF,USD_CMBS_AJ05_SF,USD_CMBS_AM05_SF:USD_CMBS_IO05</v>
          </cell>
          <cell r="D3013" t="str">
            <v>Spread Duration</v>
          </cell>
          <cell r="E3013" t="str">
            <v>Spread Yield (DxS)</v>
          </cell>
          <cell r="F3013" t="str">
            <v>SP-Other</v>
          </cell>
          <cell r="G3013" t="str">
            <v>SP-Other</v>
          </cell>
          <cell r="H3013" t="str">
            <v>SPREADS</v>
          </cell>
          <cell r="I3013" t="str">
            <v>Agency / Supranational</v>
          </cell>
        </row>
        <row r="3014">
          <cell r="A3014" t="str">
            <v>USD_CMBS_IO05_SF</v>
          </cell>
          <cell r="B3014" t="str">
            <v>CMBS IO pre2005</v>
          </cell>
          <cell r="C3014" t="str">
            <v>BRS_GOLD__5_SPREADS:BRS_GOLD__3_OTHER_SPREADS:CMBS:BRS_GOLD__2_CMBS_LEGACY:USD_CMBS_AJ05,USD_CMBS_AM05,USD_CMBS_LCF05,USD_CMBS_PLCF05,USD_CMBS_PLCF05_SF,USD_CMBS_IO05,USD_CMBS_IO05_SF,USD_CMBS_LCF05_SF,USD_CMBS_AJ05_SF,USD_CMBS_AM05_SF:USD_CMBS_IO05_SF</v>
          </cell>
          <cell r="D3014" t="str">
            <v>Spread Duration</v>
          </cell>
          <cell r="E3014" t="str">
            <v>Spread Yield (DxS)</v>
          </cell>
          <cell r="F3014" t="str">
            <v>SP-Other</v>
          </cell>
          <cell r="G3014" t="str">
            <v>SP-Other</v>
          </cell>
          <cell r="H3014" t="str">
            <v>SPREADS</v>
          </cell>
          <cell r="I3014" t="str">
            <v>Agency / Supranational</v>
          </cell>
        </row>
        <row r="3015">
          <cell r="A3015" t="str">
            <v>USD_CMBS_LCF05_SF</v>
          </cell>
          <cell r="B3015" t="str">
            <v>CMBS LCF pre2005</v>
          </cell>
          <cell r="C3015" t="str">
            <v>BRS_GOLD__5_SPREADS:BRS_GOLD__3_OTHER_SPREADS:CMBS:BRS_GOLD__2_CMBS_LEGACY:USD_CMBS_AJ05,USD_CMBS_AM05,USD_CMBS_LCF05,USD_CMBS_PLCF05,USD_CMBS_PLCF05_SF,USD_CMBS_IO05,USD_CMBS_IO05_SF,USD_CMBS_LCF05_SF,USD_CMBS_AJ05_SF,USD_CMBS_AM05_SF:USD_CMBS_LCF05_SF</v>
          </cell>
          <cell r="D3015" t="str">
            <v>Spread Duration</v>
          </cell>
          <cell r="E3015" t="str">
            <v>Spread Yield (DxS)</v>
          </cell>
          <cell r="F3015" t="str">
            <v>SP-Other</v>
          </cell>
          <cell r="G3015" t="str">
            <v>SP-Other</v>
          </cell>
          <cell r="H3015" t="str">
            <v>SPREADS</v>
          </cell>
          <cell r="I3015" t="str">
            <v>Agency / Supranational</v>
          </cell>
        </row>
        <row r="3016">
          <cell r="A3016" t="str">
            <v>USD_CMBS_AJ05_SF</v>
          </cell>
          <cell r="B3016" t="str">
            <v>CMBS AJ pre2005</v>
          </cell>
          <cell r="C3016" t="str">
            <v>BRS_GOLD__5_SPREADS:BRS_GOLD__3_OTHER_SPREADS:CMBS:BRS_GOLD__2_CMBS_LEGACY:USD_CMBS_AJ05,USD_CMBS_AM05,USD_CMBS_LCF05,USD_CMBS_PLCF05,USD_CMBS_PLCF05_SF,USD_CMBS_IO05,USD_CMBS_IO05_SF,USD_CMBS_LCF05_SF,USD_CMBS_AJ05_SF,USD_CMBS_AM05_SF:USD_CMBS_AJ05_SF</v>
          </cell>
          <cell r="D3016" t="str">
            <v>Spread Duration</v>
          </cell>
          <cell r="E3016" t="str">
            <v>Spread Yield (DxS)</v>
          </cell>
          <cell r="F3016" t="str">
            <v>SP-Other</v>
          </cell>
          <cell r="G3016" t="str">
            <v>SP-Other</v>
          </cell>
          <cell r="H3016" t="str">
            <v>SPREADS</v>
          </cell>
          <cell r="I3016" t="str">
            <v>Agency / Supranational</v>
          </cell>
        </row>
        <row r="3017">
          <cell r="A3017" t="str">
            <v>USD_CMBS_AM05_SF</v>
          </cell>
          <cell r="B3017" t="str">
            <v>CMBS AM pre2005</v>
          </cell>
          <cell r="C3017" t="str">
            <v>BRS_GOLD__5_SPREADS:BRS_GOLD__3_OTHER_SPREADS:CMBS:BRS_GOLD__2_CMBS_LEGACY:USD_CMBS_AJ05,USD_CMBS_AM05,USD_CMBS_LCF05,USD_CMBS_PLCF05,USD_CMBS_PLCF05_SF,USD_CMBS_IO05,USD_CMBS_IO05_SF,USD_CMBS_LCF05_SF,USD_CMBS_AJ05_SF,USD_CMBS_AM05_SF:USD_CMBS_AM05_SF</v>
          </cell>
          <cell r="D3017" t="str">
            <v>Spread Duration</v>
          </cell>
          <cell r="E3017" t="str">
            <v>Spread Yield (DxS)</v>
          </cell>
          <cell r="F3017" t="str">
            <v>SP-Other</v>
          </cell>
          <cell r="G3017" t="str">
            <v>SP-Other</v>
          </cell>
          <cell r="H3017" t="str">
            <v>SPREADS</v>
          </cell>
          <cell r="I3017" t="str">
            <v>Agency / Supranational</v>
          </cell>
        </row>
        <row r="3018">
          <cell r="A3018" t="str">
            <v>USD_CMBS_AJ0607</v>
          </cell>
          <cell r="B3018" t="str">
            <v>CMBS AJ 06-08</v>
          </cell>
          <cell r="C3018" t="str">
            <v>BRS_GOLD__5_SPREADS:BRS_GOLD__3_OTHER_SPREADS:CMBS:BRS_GOLD__2_CMBS_LEGACY:USD_CMBS_AJ0607,USD_CMBS_AM0607,USD_CMBS_LCF0607,USD_CMBS_PLCF0607,USD_CMBS_PLCF0607_SF,USD_CMBS_IO0607,USD_CMBS_IO0607_SF,USD_CMBS_LCF0607_SF,USD_CMBS_AJ0607_SF,USD_CMBS_AM0607_SF:USD_CMBS_AJ0607</v>
          </cell>
          <cell r="D3018" t="str">
            <v>Spread Duration</v>
          </cell>
          <cell r="E3018" t="str">
            <v>Spread Yield (DxS)</v>
          </cell>
          <cell r="F3018" t="str">
            <v>SP-Other</v>
          </cell>
          <cell r="G3018" t="str">
            <v>SP-Other</v>
          </cell>
          <cell r="H3018" t="str">
            <v>SPREADS</v>
          </cell>
          <cell r="I3018" t="str">
            <v>Agency / Supranational</v>
          </cell>
        </row>
        <row r="3019">
          <cell r="A3019" t="str">
            <v>USD_CMBS_AM0607</v>
          </cell>
          <cell r="B3019" t="str">
            <v>CMBS AM 06-08</v>
          </cell>
          <cell r="C3019" t="str">
            <v>BRS_GOLD__5_SPREADS:BRS_GOLD__3_OTHER_SPREADS:CMBS:BRS_GOLD__2_CMBS_LEGACY:USD_CMBS_AJ0607,USD_CMBS_AM0607,USD_CMBS_LCF0607,USD_CMBS_PLCF0607,USD_CMBS_PLCF0607_SF,USD_CMBS_IO0607,USD_CMBS_IO0607_SF,USD_CMBS_LCF0607_SF,USD_CMBS_AJ0607_SF,USD_CMBS_AM0607_SF:USD_CMBS_AM0607</v>
          </cell>
          <cell r="D3019" t="str">
            <v>Spread Duration</v>
          </cell>
          <cell r="E3019" t="str">
            <v>Spread Yield (DxS)</v>
          </cell>
          <cell r="F3019" t="str">
            <v>SP-Other</v>
          </cell>
          <cell r="G3019" t="str">
            <v>SP-Other</v>
          </cell>
          <cell r="H3019" t="str">
            <v>SPREADS</v>
          </cell>
          <cell r="I3019" t="str">
            <v>Agency / Supranational</v>
          </cell>
        </row>
        <row r="3020">
          <cell r="A3020" t="str">
            <v>USD_CMBS_LCF0607</v>
          </cell>
          <cell r="B3020" t="str">
            <v>CMBS LCF 06-08</v>
          </cell>
          <cell r="C3020" t="str">
            <v>BRS_GOLD__5_SPREADS:BRS_GOLD__3_OTHER_SPREADS:CMBS:BRS_GOLD__2_CMBS_LEGACY:USD_CMBS_AJ0607,USD_CMBS_AM0607,USD_CMBS_LCF0607,USD_CMBS_PLCF0607,USD_CMBS_PLCF0607_SF,USD_CMBS_IO0607,USD_CMBS_IO0607_SF,USD_CMBS_LCF0607_SF,USD_CMBS_AJ0607_SF,USD_CMBS_AM0607_SF:USD_CMBS_LCF0607</v>
          </cell>
          <cell r="D3020" t="str">
            <v>Spread Duration</v>
          </cell>
          <cell r="E3020" t="str">
            <v>Spread Yield (DxS)</v>
          </cell>
          <cell r="F3020" t="str">
            <v>SP-Other</v>
          </cell>
          <cell r="G3020" t="str">
            <v>SP-Other</v>
          </cell>
          <cell r="H3020" t="str">
            <v>SPREADS</v>
          </cell>
          <cell r="I3020" t="str">
            <v>Agency / Supranational</v>
          </cell>
        </row>
        <row r="3021">
          <cell r="A3021" t="str">
            <v>USD_CMBS_PLCF0607</v>
          </cell>
          <cell r="B3021" t="str">
            <v>CMBS PreLCF 06-08</v>
          </cell>
          <cell r="C3021" t="str">
            <v>BRS_GOLD__5_SPREADS:BRS_GOLD__3_OTHER_SPREADS:CMBS:BRS_GOLD__2_CMBS_LEGACY:USD_CMBS_AJ0607,USD_CMBS_AM0607,USD_CMBS_LCF0607,USD_CMBS_PLCF0607,USD_CMBS_PLCF0607_SF,USD_CMBS_IO0607,USD_CMBS_IO0607_SF,USD_CMBS_LCF0607_SF,USD_CMBS_AJ0607_SF,USD_CMBS_AM0607_SF:USD_CMBS_PLCF0607</v>
          </cell>
          <cell r="D3021" t="str">
            <v>Spread Duration</v>
          </cell>
          <cell r="E3021" t="str">
            <v>Spread Yield (DxS)</v>
          </cell>
          <cell r="F3021" t="str">
            <v>SP-Other</v>
          </cell>
          <cell r="G3021" t="str">
            <v>SP-Other</v>
          </cell>
          <cell r="H3021" t="str">
            <v>SPREADS</v>
          </cell>
          <cell r="I3021" t="str">
            <v>Agency / Supranational</v>
          </cell>
        </row>
        <row r="3022">
          <cell r="A3022" t="str">
            <v>USD_CMBS_PLCF0607_SF</v>
          </cell>
          <cell r="B3022" t="str">
            <v>CMBS PreLCF 06-08</v>
          </cell>
          <cell r="C3022" t="str">
            <v>BRS_GOLD__5_SPREADS:BRS_GOLD__3_OTHER_SPREADS:CMBS:BRS_GOLD__2_CMBS_LEGACY:USD_CMBS_AJ0607,USD_CMBS_AM0607,USD_CMBS_LCF0607,USD_CMBS_PLCF0607,USD_CMBS_PLCF0607_SF,USD_CMBS_IO0607,USD_CMBS_IO0607_SF,USD_CMBS_LCF0607_SF,USD_CMBS_AJ0607_SF,USD_CMBS_AM0607_SF:USD_CMBS_PLCF0607_SF</v>
          </cell>
          <cell r="D3022" t="str">
            <v>Spread Duration</v>
          </cell>
          <cell r="E3022" t="str">
            <v>Spread Yield (DxS)</v>
          </cell>
          <cell r="F3022" t="str">
            <v>SP-Other</v>
          </cell>
          <cell r="G3022" t="str">
            <v>SP-Other</v>
          </cell>
          <cell r="H3022" t="str">
            <v>SPREADS</v>
          </cell>
          <cell r="I3022" t="str">
            <v>Agency / Supranational</v>
          </cell>
        </row>
        <row r="3023">
          <cell r="A3023" t="str">
            <v>USD_CMBS_IO0607</v>
          </cell>
          <cell r="B3023" t="str">
            <v>CMBS IO 06-08</v>
          </cell>
          <cell r="C3023" t="str">
            <v>BRS_GOLD__5_SPREADS:BRS_GOLD__3_OTHER_SPREADS:CMBS:BRS_GOLD__2_CMBS_LEGACY:USD_CMBS_AJ0607,USD_CMBS_AM0607,USD_CMBS_LCF0607,USD_CMBS_PLCF0607,USD_CMBS_PLCF0607_SF,USD_CMBS_IO0607,USD_CMBS_IO0607_SF,USD_CMBS_LCF0607_SF,USD_CMBS_AJ0607_SF,USD_CMBS_AM0607_SF:USD_CMBS_IO0607</v>
          </cell>
          <cell r="D3023" t="str">
            <v>Spread Duration</v>
          </cell>
          <cell r="E3023" t="str">
            <v>Spread Yield (DxS)</v>
          </cell>
          <cell r="F3023" t="str">
            <v>SP-Other</v>
          </cell>
          <cell r="G3023" t="str">
            <v>SP-Other</v>
          </cell>
          <cell r="H3023" t="str">
            <v>SPREADS</v>
          </cell>
          <cell r="I3023" t="str">
            <v>Agency / Supranational</v>
          </cell>
        </row>
        <row r="3024">
          <cell r="A3024" t="str">
            <v>USD_CMBS_IO0607_SF</v>
          </cell>
          <cell r="B3024" t="str">
            <v>CMBS IO 06-08</v>
          </cell>
          <cell r="C3024" t="str">
            <v>BRS_GOLD__5_SPREADS:BRS_GOLD__3_OTHER_SPREADS:CMBS:BRS_GOLD__2_CMBS_LEGACY:USD_CMBS_AJ0607,USD_CMBS_AM0607,USD_CMBS_LCF0607,USD_CMBS_PLCF0607,USD_CMBS_PLCF0607_SF,USD_CMBS_IO0607,USD_CMBS_IO0607_SF,USD_CMBS_LCF0607_SF,USD_CMBS_AJ0607_SF,USD_CMBS_AM0607_SF:USD_CMBS_IO0607_SF</v>
          </cell>
          <cell r="D3024" t="str">
            <v>Spread Duration</v>
          </cell>
          <cell r="E3024" t="str">
            <v>Spread Yield (DxS)</v>
          </cell>
          <cell r="F3024" t="str">
            <v>SP-Other</v>
          </cell>
          <cell r="G3024" t="str">
            <v>SP-Other</v>
          </cell>
          <cell r="H3024" t="str">
            <v>SPREADS</v>
          </cell>
          <cell r="I3024" t="str">
            <v>Agency / Supranational</v>
          </cell>
        </row>
        <row r="3025">
          <cell r="A3025" t="str">
            <v>USD_CMBS_LCF0607_SF</v>
          </cell>
          <cell r="B3025" t="str">
            <v>CMBS LCF 06-08</v>
          </cell>
          <cell r="C3025" t="str">
            <v>BRS_GOLD__5_SPREADS:BRS_GOLD__3_OTHER_SPREADS:CMBS:BRS_GOLD__2_CMBS_LEGACY:USD_CMBS_AJ0607,USD_CMBS_AM0607,USD_CMBS_LCF0607,USD_CMBS_PLCF0607,USD_CMBS_PLCF0607_SF,USD_CMBS_IO0607,USD_CMBS_IO0607_SF,USD_CMBS_LCF0607_SF,USD_CMBS_AJ0607_SF,USD_CMBS_AM0607_SF:USD_CMBS_LCF0607_SF</v>
          </cell>
          <cell r="D3025" t="str">
            <v>Spread Duration</v>
          </cell>
          <cell r="E3025" t="str">
            <v>Spread Yield (DxS)</v>
          </cell>
          <cell r="F3025" t="str">
            <v>SP-Other</v>
          </cell>
          <cell r="G3025" t="str">
            <v>SP-Other</v>
          </cell>
          <cell r="H3025" t="str">
            <v>SPREADS</v>
          </cell>
          <cell r="I3025" t="str">
            <v>Agency / Supranational</v>
          </cell>
        </row>
        <row r="3026">
          <cell r="A3026" t="str">
            <v>USD_CMBS_AJ0607_SF</v>
          </cell>
          <cell r="B3026" t="str">
            <v>CMBS AJ 06-08</v>
          </cell>
          <cell r="C3026" t="str">
            <v>BRS_GOLD__5_SPREADS:BRS_GOLD__3_OTHER_SPREADS:CMBS:BRS_GOLD__2_CMBS_LEGACY:USD_CMBS_AJ0607,USD_CMBS_AM0607,USD_CMBS_LCF0607,USD_CMBS_PLCF0607,USD_CMBS_PLCF0607_SF,USD_CMBS_IO0607,USD_CMBS_IO0607_SF,USD_CMBS_LCF0607_SF,USD_CMBS_AJ0607_SF,USD_CMBS_AM0607_SF:USD_CMBS_AJ0607_SF</v>
          </cell>
          <cell r="D3026" t="str">
            <v>Spread Duration</v>
          </cell>
          <cell r="E3026" t="str">
            <v>Spread Yield (DxS)</v>
          </cell>
          <cell r="F3026" t="str">
            <v>SP-Other</v>
          </cell>
          <cell r="G3026" t="str">
            <v>SP-Other</v>
          </cell>
          <cell r="H3026" t="str">
            <v>SPREADS</v>
          </cell>
          <cell r="I3026" t="str">
            <v>Agency / Supranational</v>
          </cell>
        </row>
        <row r="3027">
          <cell r="A3027" t="str">
            <v>USD_CMBS_AM0607_SF</v>
          </cell>
          <cell r="B3027" t="str">
            <v>CMBS AM 06-08</v>
          </cell>
          <cell r="C3027" t="str">
            <v>BRS_GOLD__5_SPREADS:BRS_GOLD__3_OTHER_SPREADS:CMBS:BRS_GOLD__2_CMBS_LEGACY:USD_CMBS_AJ0607,USD_CMBS_AM0607,USD_CMBS_LCF0607,USD_CMBS_PLCF0607,USD_CMBS_PLCF0607_SF,USD_CMBS_IO0607,USD_CMBS_IO0607_SF,USD_CMBS_LCF0607_SF,USD_CMBS_AJ0607_SF,USD_CMBS_AM0607_SF:USD_CMBS_AM0607_SF</v>
          </cell>
          <cell r="D3027" t="str">
            <v>Spread Duration</v>
          </cell>
          <cell r="E3027" t="str">
            <v>Spread Yield (DxS)</v>
          </cell>
          <cell r="F3027" t="str">
            <v>SP-Other</v>
          </cell>
          <cell r="G3027" t="str">
            <v>SP-Other</v>
          </cell>
          <cell r="H3027" t="str">
            <v>SPREADS</v>
          </cell>
          <cell r="I3027" t="str">
            <v>Agency / Supranational</v>
          </cell>
        </row>
        <row r="3028">
          <cell r="A3028" t="str">
            <v>CMBS_SUPOLD_IDIO</v>
          </cell>
          <cell r="B3028" t="str">
            <v>CMBS Idio Legacy SupSenior</v>
          </cell>
          <cell r="C3028" t="str">
            <v>BRS_GOLD__5_SPREADS:BRS_GOLD__3_OTHER_SPREADS:CMBS:BRS_GOLD__2_CMBS_LEGACY:CMBS_SUPOLD_IDIO,CMBS_AMOLD_IDIO:CMBS_SUPOLD_IDIO</v>
          </cell>
          <cell r="D3028" t="str">
            <v>Spread Duration</v>
          </cell>
          <cell r="E3028" t="str">
            <v>Spread Yield (DxS)</v>
          </cell>
          <cell r="F3028" t="str">
            <v>Idiosyncratic</v>
          </cell>
          <cell r="G3028" t="str">
            <v>Other</v>
          </cell>
          <cell r="H3028" t="str">
            <v>SPREADS_SPECIFIC</v>
          </cell>
          <cell r="I3028" t="str">
            <v>Agency / Supranational - Idiosyncratic</v>
          </cell>
        </row>
        <row r="3029">
          <cell r="A3029" t="str">
            <v>CMBS_AMOLD_IDIO</v>
          </cell>
          <cell r="B3029" t="str">
            <v>CMBS Idio Legacy AM/AJ</v>
          </cell>
          <cell r="C3029" t="str">
            <v>BRS_GOLD__5_SPREADS:BRS_GOLD__3_OTHER_SPREADS:CMBS:BRS_GOLD__2_CMBS_LEGACY:CMBS_SUPOLD_IDIO,CMBS_AMOLD_IDIO:CMBS_AMOLD_IDIO</v>
          </cell>
          <cell r="D3029" t="str">
            <v>Spread Duration</v>
          </cell>
          <cell r="E3029" t="str">
            <v>Spread Yield (DxS)</v>
          </cell>
          <cell r="F3029" t="str">
            <v>Idiosyncratic</v>
          </cell>
          <cell r="G3029" t="str">
            <v>Other</v>
          </cell>
          <cell r="H3029" t="str">
            <v>SPREADS_SPECIFIC</v>
          </cell>
          <cell r="I3029" t="str">
            <v>Agency / Supranational - Idiosyncratic</v>
          </cell>
        </row>
        <row r="3030">
          <cell r="A3030" t="str">
            <v>USD_CMBS_PLCFNEW</v>
          </cell>
          <cell r="B3030" t="str">
            <v>CMBS PreLCF post09</v>
          </cell>
          <cell r="C3030" t="str">
            <v>BRS_GOLD__5_SPREADS:BRS_GOLD__3_OTHER_SPREADS:CMBS:BRS_GOLD__2_CMBS_post09:BRS_GOLD__1_CMBS_post09:USD_CMBS_PLCFNEW</v>
          </cell>
          <cell r="D3030" t="str">
            <v>Spread Duration</v>
          </cell>
          <cell r="E3030" t="str">
            <v>Spread Yield (DxS)</v>
          </cell>
          <cell r="F3030" t="str">
            <v>SP-Other</v>
          </cell>
          <cell r="G3030" t="str">
            <v>SP-Other</v>
          </cell>
          <cell r="H3030" t="str">
            <v>SPREADS</v>
          </cell>
          <cell r="I3030" t="str">
            <v>Agency / Supranational</v>
          </cell>
        </row>
        <row r="3031">
          <cell r="A3031" t="str">
            <v>USD_CMBS_PLCFNEW_SF</v>
          </cell>
          <cell r="B3031" t="str">
            <v>CMBS PreLCF post09</v>
          </cell>
          <cell r="C3031" t="str">
            <v>BRS_GOLD__5_SPREADS:BRS_GOLD__3_OTHER_SPREADS:CMBS:BRS_GOLD__2_CMBS_post09:BRS_GOLD__1_CMBS_post09:USD_CMBS_PLCFNEW_SF</v>
          </cell>
          <cell r="D3031" t="str">
            <v>Spread Duration</v>
          </cell>
          <cell r="E3031" t="str">
            <v>Spread Yield (DxS)</v>
          </cell>
          <cell r="F3031" t="str">
            <v>SP-Other</v>
          </cell>
          <cell r="G3031" t="str">
            <v>SP-Other</v>
          </cell>
          <cell r="H3031" t="str">
            <v>SPREADS</v>
          </cell>
          <cell r="I3031" t="str">
            <v>Agency / Supranational</v>
          </cell>
        </row>
        <row r="3032">
          <cell r="A3032" t="str">
            <v>USD_CMBS_LCFNEW3</v>
          </cell>
          <cell r="B3032" t="str">
            <v>CMBS LCF post09 &lt;3 yr</v>
          </cell>
          <cell r="C3032" t="str">
            <v>BRS_GOLD__5_SPREADS:BRS_GOLD__3_OTHER_SPREADS:CMBS:BRS_GOLD__2_CMBS_post09:BRS_GOLD__1_CMBS_post09:USD_CMBS_LCFNEW3</v>
          </cell>
          <cell r="D3032" t="str">
            <v>Spread Duration</v>
          </cell>
          <cell r="E3032" t="str">
            <v>Spread Yield (DxS)</v>
          </cell>
          <cell r="F3032" t="str">
            <v>SP-Other</v>
          </cell>
          <cell r="G3032" t="str">
            <v>SP-Other</v>
          </cell>
          <cell r="H3032" t="str">
            <v>SPREADS</v>
          </cell>
          <cell r="I3032" t="str">
            <v>Agency / Supranational</v>
          </cell>
        </row>
        <row r="3033">
          <cell r="A3033" t="str">
            <v>USD_CMBS_LCFNEW35</v>
          </cell>
          <cell r="B3033" t="str">
            <v>CMBS LCF post09 3-5 yr</v>
          </cell>
          <cell r="C3033" t="str">
            <v>BRS_GOLD__5_SPREADS:BRS_GOLD__3_OTHER_SPREADS:CMBS:BRS_GOLD__2_CMBS_post09:BRS_GOLD__1_CMBS_post09:USD_CMBS_LCFNEW35</v>
          </cell>
          <cell r="D3033" t="str">
            <v>Spread Duration</v>
          </cell>
          <cell r="E3033" t="str">
            <v>Spread Yield (DxS)</v>
          </cell>
          <cell r="F3033" t="str">
            <v>SP-Other</v>
          </cell>
          <cell r="G3033" t="str">
            <v>SP-Other</v>
          </cell>
          <cell r="H3033" t="str">
            <v>SPREADS</v>
          </cell>
          <cell r="I3033" t="str">
            <v>Agency / Supranational</v>
          </cell>
        </row>
        <row r="3034">
          <cell r="A3034" t="str">
            <v>USD_CMBS_LCFNEW57</v>
          </cell>
          <cell r="B3034" t="str">
            <v>CMBS LCF post09 5-7 yr</v>
          </cell>
          <cell r="C3034" t="str">
            <v>BRS_GOLD__5_SPREADS:BRS_GOLD__3_OTHER_SPREADS:CMBS:BRS_GOLD__2_CMBS_post09:BRS_GOLD__1_CMBS_post09:USD_CMBS_LCFNEW57</v>
          </cell>
          <cell r="D3034" t="str">
            <v>Spread Duration</v>
          </cell>
          <cell r="E3034" t="str">
            <v>Spread Yield (DxS)</v>
          </cell>
          <cell r="F3034" t="str">
            <v>SP-Other</v>
          </cell>
          <cell r="G3034" t="str">
            <v>SP-Other</v>
          </cell>
          <cell r="H3034" t="str">
            <v>SPREADS</v>
          </cell>
          <cell r="I3034" t="str">
            <v>Agency / Supranational</v>
          </cell>
        </row>
        <row r="3035">
          <cell r="A3035" t="str">
            <v>USD_CMBS_LCFNEW7</v>
          </cell>
          <cell r="B3035" t="str">
            <v>CMBS LCF post09 &gt;7 yr</v>
          </cell>
          <cell r="C3035" t="str">
            <v>BRS_GOLD__5_SPREADS:BRS_GOLD__3_OTHER_SPREADS:CMBS:BRS_GOLD__2_CMBS_post09:BRS_GOLD__1_CMBS_post09:USD_CMBS_LCFNEW7</v>
          </cell>
          <cell r="D3035" t="str">
            <v>Spread Duration</v>
          </cell>
          <cell r="E3035" t="str">
            <v>Spread Yield (DxS)</v>
          </cell>
          <cell r="F3035" t="str">
            <v>SP-Other</v>
          </cell>
          <cell r="G3035" t="str">
            <v>SP-Other</v>
          </cell>
          <cell r="H3035" t="str">
            <v>SPREADS</v>
          </cell>
          <cell r="I3035" t="str">
            <v>Agency / Supranational</v>
          </cell>
        </row>
        <row r="3036">
          <cell r="A3036" t="str">
            <v>USD_CMBS_LCFNEW3_SF</v>
          </cell>
          <cell r="B3036" t="str">
            <v>CMBS LCF post09 &lt;3 yr</v>
          </cell>
          <cell r="C3036" t="str">
            <v>BRS_GOLD__5_SPREADS:BRS_GOLD__3_OTHER_SPREADS:CMBS:BRS_GOLD__2_CMBS_post09:BRS_GOLD__1_CMBS_post09:USD_CMBS_LCFNEW3_SF</v>
          </cell>
          <cell r="D3036" t="str">
            <v>Spread Duration</v>
          </cell>
          <cell r="E3036" t="str">
            <v>Spread Yield (DxS)</v>
          </cell>
          <cell r="F3036" t="str">
            <v>SP-Other</v>
          </cell>
          <cell r="G3036" t="str">
            <v>SP-Other</v>
          </cell>
          <cell r="H3036" t="str">
            <v>SPREADS</v>
          </cell>
          <cell r="I3036" t="str">
            <v>Agency / Supranational</v>
          </cell>
        </row>
        <row r="3037">
          <cell r="A3037" t="str">
            <v>USD_CMBS_LCFNEW35_SF</v>
          </cell>
          <cell r="B3037" t="str">
            <v>CMBS LCF post09 3-5 yr</v>
          </cell>
          <cell r="C3037" t="str">
            <v>BRS_GOLD__5_SPREADS:BRS_GOLD__3_OTHER_SPREADS:CMBS:BRS_GOLD__2_CMBS_post09:BRS_GOLD__1_CMBS_post09:USD_CMBS_LCFNEW35_SF</v>
          </cell>
          <cell r="D3037" t="str">
            <v>Spread Duration</v>
          </cell>
          <cell r="E3037" t="str">
            <v>Spread Yield (DxS)</v>
          </cell>
          <cell r="F3037" t="str">
            <v>SP-Other</v>
          </cell>
          <cell r="G3037" t="str">
            <v>SP-Other</v>
          </cell>
          <cell r="H3037" t="str">
            <v>SPREADS</v>
          </cell>
          <cell r="I3037" t="str">
            <v>Agency / Supranational</v>
          </cell>
        </row>
        <row r="3038">
          <cell r="A3038" t="str">
            <v>USD_CMBS_LCFNEW57_SF</v>
          </cell>
          <cell r="B3038" t="str">
            <v>CMBS LCF post09 5-7 yr</v>
          </cell>
          <cell r="C3038" t="str">
            <v>BRS_GOLD__5_SPREADS:BRS_GOLD__3_OTHER_SPREADS:CMBS:BRS_GOLD__2_CMBS_post09:BRS_GOLD__1_CMBS_post09:USD_CMBS_LCFNEW57_SF</v>
          </cell>
          <cell r="D3038" t="str">
            <v>Spread Duration</v>
          </cell>
          <cell r="E3038" t="str">
            <v>Spread Yield (DxS)</v>
          </cell>
          <cell r="F3038" t="str">
            <v>SP-Other</v>
          </cell>
          <cell r="G3038" t="str">
            <v>SP-Other</v>
          </cell>
          <cell r="H3038" t="str">
            <v>SPREADS</v>
          </cell>
          <cell r="I3038" t="str">
            <v>Agency / Supranational</v>
          </cell>
        </row>
        <row r="3039">
          <cell r="A3039" t="str">
            <v>USD_CMBS_LCFNEW7_SF</v>
          </cell>
          <cell r="B3039" t="str">
            <v>CMBS LCF post09 &gt;7 yr</v>
          </cell>
          <cell r="C3039" t="str">
            <v>BRS_GOLD__5_SPREADS:BRS_GOLD__3_OTHER_SPREADS:CMBS:BRS_GOLD__2_CMBS_post09:BRS_GOLD__1_CMBS_post09:USD_CMBS_LCFNEW7_SF</v>
          </cell>
          <cell r="D3039" t="str">
            <v>Spread Duration</v>
          </cell>
          <cell r="E3039" t="str">
            <v>Spread Yield (DxS)</v>
          </cell>
          <cell r="F3039" t="str">
            <v>SP-Other</v>
          </cell>
          <cell r="G3039" t="str">
            <v>SP-Other</v>
          </cell>
          <cell r="H3039" t="str">
            <v>SPREADS</v>
          </cell>
          <cell r="I3039" t="str">
            <v>Agency / Supranational</v>
          </cell>
        </row>
        <row r="3040">
          <cell r="A3040" t="str">
            <v>USD_CMBS_AMNEW</v>
          </cell>
          <cell r="B3040" t="str">
            <v>CMBS AS post09</v>
          </cell>
          <cell r="C3040" t="str">
            <v>BRS_GOLD__5_SPREADS:BRS_GOLD__3_OTHER_SPREADS:CMBS:BRS_GOLD__2_CMBS_post09:BRS_GOLD__1_CMBS_post09:USD_CMBS_AMNEW</v>
          </cell>
          <cell r="D3040" t="str">
            <v>Spread Duration</v>
          </cell>
          <cell r="E3040" t="str">
            <v>Spread Yield (DxS)</v>
          </cell>
          <cell r="F3040" t="str">
            <v>SP-Other</v>
          </cell>
          <cell r="G3040" t="str">
            <v>SP-Other</v>
          </cell>
          <cell r="H3040" t="str">
            <v>SPREADS</v>
          </cell>
          <cell r="I3040" t="str">
            <v>Agency / Supranational</v>
          </cell>
        </row>
        <row r="3041">
          <cell r="A3041" t="str">
            <v>USD_CMBS_AMNEW_SF</v>
          </cell>
          <cell r="B3041" t="str">
            <v>CMBS AS post09</v>
          </cell>
          <cell r="C3041" t="str">
            <v>BRS_GOLD__5_SPREADS:BRS_GOLD__3_OTHER_SPREADS:CMBS:BRS_GOLD__2_CMBS_post09:BRS_GOLD__1_CMBS_post09:USD_CMBS_AMNEW_SF</v>
          </cell>
          <cell r="D3041" t="str">
            <v>Spread Duration</v>
          </cell>
          <cell r="E3041" t="str">
            <v>Spread Yield (DxS)</v>
          </cell>
          <cell r="F3041" t="str">
            <v>SP-Other</v>
          </cell>
          <cell r="G3041" t="str">
            <v>SP-Other</v>
          </cell>
          <cell r="H3041" t="str">
            <v>SPREADS</v>
          </cell>
          <cell r="I3041" t="str">
            <v>Agency / Supranational</v>
          </cell>
        </row>
        <row r="3042">
          <cell r="A3042" t="str">
            <v>USD_CMBS_MEZZNEW</v>
          </cell>
          <cell r="B3042" t="str">
            <v>CMBS MEZZ post09</v>
          </cell>
          <cell r="C3042" t="str">
            <v>BRS_GOLD__5_SPREADS:BRS_GOLD__3_OTHER_SPREADS:CMBS:BRS_GOLD__2_CMBS_post09:BRS_GOLD__1_CMBS_post09:USD_CMBS_MEZZNEW</v>
          </cell>
          <cell r="D3042" t="str">
            <v>Spread Duration</v>
          </cell>
          <cell r="E3042" t="str">
            <v>Spread Yield (DxS)</v>
          </cell>
          <cell r="F3042" t="str">
            <v>SP-Other</v>
          </cell>
          <cell r="G3042" t="str">
            <v>SP-Other</v>
          </cell>
          <cell r="H3042" t="str">
            <v>SPREADS</v>
          </cell>
          <cell r="I3042" t="str">
            <v>Agency / Supranational</v>
          </cell>
        </row>
        <row r="3043">
          <cell r="A3043" t="str">
            <v>USD_CMBS_MEZZNEW_SF</v>
          </cell>
          <cell r="B3043" t="str">
            <v>CMBS MEZZ post09</v>
          </cell>
          <cell r="C3043" t="str">
            <v>BRS_GOLD__5_SPREADS:BRS_GOLD__3_OTHER_SPREADS:CMBS:BRS_GOLD__2_CMBS_post09:BRS_GOLD__1_CMBS_post09:USD_CMBS_MEZZNEW_SF</v>
          </cell>
          <cell r="D3043" t="str">
            <v>Spread Duration</v>
          </cell>
          <cell r="E3043" t="str">
            <v>Spread Yield (DxS)</v>
          </cell>
          <cell r="F3043" t="str">
            <v>SP-Other</v>
          </cell>
          <cell r="G3043" t="str">
            <v>SP-Other</v>
          </cell>
          <cell r="H3043" t="str">
            <v>SPREADS</v>
          </cell>
          <cell r="I3043" t="str">
            <v>Agency / Supranational</v>
          </cell>
        </row>
        <row r="3044">
          <cell r="A3044" t="str">
            <v>USD_CMBS_IONEW</v>
          </cell>
          <cell r="B3044" t="str">
            <v>CMBS IO post09</v>
          </cell>
          <cell r="C3044" t="str">
            <v>BRS_GOLD__5_SPREADS:BRS_GOLD__3_OTHER_SPREADS:CMBS:BRS_GOLD__2_CMBS_post09:BRS_GOLD__1_CMBS_post09:USD_CMBS_IONEW</v>
          </cell>
          <cell r="D3044" t="str">
            <v>Spread Duration</v>
          </cell>
          <cell r="E3044" t="str">
            <v>Spread Yield (DxS)</v>
          </cell>
          <cell r="F3044" t="str">
            <v>SP-Other</v>
          </cell>
          <cell r="G3044" t="str">
            <v>SP-Other</v>
          </cell>
          <cell r="H3044" t="str">
            <v>SPREADS</v>
          </cell>
          <cell r="I3044" t="str">
            <v>Agency / Supranational</v>
          </cell>
        </row>
        <row r="3045">
          <cell r="A3045" t="str">
            <v>USD_CMBS_IONEW_SF</v>
          </cell>
          <cell r="B3045" t="str">
            <v>CMBS IO post09</v>
          </cell>
          <cell r="C3045" t="str">
            <v>BRS_GOLD__5_SPREADS:BRS_GOLD__3_OTHER_SPREADS:CMBS:BRS_GOLD__2_CMBS_post09:BRS_GOLD__1_CMBS_post09:USD_CMBS_IONEW_SF</v>
          </cell>
          <cell r="D3045" t="str">
            <v>Spread Duration</v>
          </cell>
          <cell r="E3045" t="str">
            <v>Spread Yield (DxS)</v>
          </cell>
          <cell r="F3045" t="str">
            <v>SP-Other</v>
          </cell>
          <cell r="G3045" t="str">
            <v>SP-Other</v>
          </cell>
          <cell r="H3045" t="str">
            <v>SPREADS</v>
          </cell>
          <cell r="I3045" t="str">
            <v>Agency / Supranational</v>
          </cell>
        </row>
        <row r="3046">
          <cell r="A3046" t="str">
            <v>CMBS_SUPNEW_IDIO</v>
          </cell>
          <cell r="B3046" t="str">
            <v>CMBS Idio New Issue SupSenior</v>
          </cell>
          <cell r="C3046" t="str">
            <v>BRS_GOLD__5_SPREADS:BRS_GOLD__3_OTHER_SPREADS:CMBS:BRS_GOLD__2_CMBS_post09:CMBS_SUPNEW_IDIO,CMBS_AMNEW_IDIO,CMBS_MEZZNEW_IDIO:CMBS_SUPNEW_IDIO</v>
          </cell>
          <cell r="D3046" t="str">
            <v>Spread Duration</v>
          </cell>
          <cell r="E3046" t="str">
            <v>Spread Yield (DxS)</v>
          </cell>
          <cell r="F3046" t="str">
            <v>Idiosyncratic</v>
          </cell>
          <cell r="G3046" t="str">
            <v>Other</v>
          </cell>
          <cell r="H3046" t="str">
            <v>SPREADS_SPECIFIC</v>
          </cell>
          <cell r="I3046" t="str">
            <v>Agency / Supranational - Idiosyncratic</v>
          </cell>
        </row>
        <row r="3047">
          <cell r="A3047" t="str">
            <v>CMBS_AMNEW_IDIO</v>
          </cell>
          <cell r="B3047" t="str">
            <v>CMBS Idio New Issue AS</v>
          </cell>
          <cell r="C3047" t="str">
            <v>BRS_GOLD__5_SPREADS:BRS_GOLD__3_OTHER_SPREADS:CMBS:BRS_GOLD__2_CMBS_post09:CMBS_SUPNEW_IDIO,CMBS_AMNEW_IDIO,CMBS_MEZZNEW_IDIO:CMBS_AMNEW_IDIO</v>
          </cell>
          <cell r="D3047" t="str">
            <v>Spread Duration</v>
          </cell>
          <cell r="E3047" t="str">
            <v>Spread Yield (DxS)</v>
          </cell>
          <cell r="F3047" t="str">
            <v>Idiosyncratic</v>
          </cell>
          <cell r="G3047" t="str">
            <v>Other</v>
          </cell>
          <cell r="H3047" t="str">
            <v>SPREADS_SPECIFIC</v>
          </cell>
          <cell r="I3047" t="str">
            <v>Agency / Supranational - Idiosyncratic</v>
          </cell>
        </row>
        <row r="3048">
          <cell r="A3048" t="str">
            <v>CMBS_MEZZNEW_IDIO</v>
          </cell>
          <cell r="B3048" t="str">
            <v>CMBS Idio New Issue MEZZ</v>
          </cell>
          <cell r="C3048" t="str">
            <v>BRS_GOLD__5_SPREADS:BRS_GOLD__3_OTHER_SPREADS:CMBS:BRS_GOLD__2_CMBS_post09:CMBS_SUPNEW_IDIO,CMBS_AMNEW_IDIO,CMBS_MEZZNEW_IDIO:CMBS_MEZZNEW_IDIO</v>
          </cell>
          <cell r="D3048" t="str">
            <v>Spread Duration</v>
          </cell>
          <cell r="E3048" t="str">
            <v>Spread Yield (DxS)</v>
          </cell>
          <cell r="F3048" t="str">
            <v>Idiosyncratic</v>
          </cell>
          <cell r="G3048" t="str">
            <v>Other</v>
          </cell>
          <cell r="H3048" t="str">
            <v>SPREADS_SPECIFIC</v>
          </cell>
          <cell r="I3048" t="str">
            <v>Agency / Supranational - Idiosyncratic</v>
          </cell>
        </row>
        <row r="3049">
          <cell r="A3049" t="str">
            <v>USD_CMBS_AGENCY</v>
          </cell>
          <cell r="B3049" t="str">
            <v>Agency CMBS</v>
          </cell>
          <cell r="C3049" t="str">
            <v>BRS_GOLD__5_SPREADS:BRS_GOLD__3_OTHER_SPREADS:CMBS:USD_CMBS_AGENCY,USD_CMBS_AGENCY_SF:USD_CMBS_AGENCY</v>
          </cell>
          <cell r="D3049" t="str">
            <v>Spread Duration</v>
          </cell>
          <cell r="E3049" t="str">
            <v>Spread Yield (DxS)</v>
          </cell>
          <cell r="F3049" t="str">
            <v>SP-Other</v>
          </cell>
          <cell r="G3049" t="str">
            <v>SP-Other</v>
          </cell>
          <cell r="H3049" t="str">
            <v>SPREADS</v>
          </cell>
          <cell r="I3049" t="str">
            <v>Agency / Supranational</v>
          </cell>
        </row>
        <row r="3050">
          <cell r="A3050" t="str">
            <v>USD_CMBS_AGENCY_SF</v>
          </cell>
          <cell r="B3050" t="str">
            <v>Agency CMBS</v>
          </cell>
          <cell r="C3050" t="str">
            <v>BRS_GOLD__5_SPREADS:BRS_GOLD__3_OTHER_SPREADS:CMBS:USD_CMBS_AGENCY,USD_CMBS_AGENCY_SF:USD_CMBS_AGENCY_SF</v>
          </cell>
          <cell r="D3050" t="str">
            <v>Spread Duration</v>
          </cell>
          <cell r="E3050" t="str">
            <v>Spread Yield (DxS)</v>
          </cell>
          <cell r="F3050" t="str">
            <v>SP-Other</v>
          </cell>
          <cell r="G3050" t="str">
            <v>SP-Other</v>
          </cell>
          <cell r="H3050" t="str">
            <v>SPREADS</v>
          </cell>
          <cell r="I3050" t="str">
            <v>Agency / Supranational</v>
          </cell>
        </row>
        <row r="3051">
          <cell r="A3051" t="str">
            <v>EM_ASIA_IDIO</v>
          </cell>
          <cell r="B3051" t="str">
            <v>USD EM Idio Asia</v>
          </cell>
          <cell r="C3051" t="str">
            <v>BRS_GOLD__5_SPREADS:USD_EM_DS,EM_IDIO,US_CDX_EM,EM_CORP_EE,EM_CORP_MIDAF,EM_CORP_SA:EM_IDIO:EM_ASIA_IDIO</v>
          </cell>
          <cell r="D3051" t="str">
            <v>Spread Duration</v>
          </cell>
          <cell r="E3051" t="str">
            <v>Spread Yield (DxS)</v>
          </cell>
          <cell r="F3051" t="str">
            <v>Idiosyncratic</v>
          </cell>
          <cell r="G3051" t="str">
            <v>Other</v>
          </cell>
          <cell r="H3051" t="str">
            <v>SPREADS_SPECIFIC</v>
          </cell>
          <cell r="I3051" t="str">
            <v>Corporate USD - Idiosyncratic</v>
          </cell>
        </row>
        <row r="3052">
          <cell r="A3052" t="str">
            <v>EM_CEEUR_IDIO</v>
          </cell>
          <cell r="B3052" t="str">
            <v>USD EM Idio Europe</v>
          </cell>
          <cell r="C3052" t="str">
            <v>BRS_GOLD__5_SPREADS:USD_EM_DS,EM_IDIO,US_CDX_EM,EM_CORP_EE,EM_CORP_MIDAF,EM_CORP_SA:EM_IDIO:EM_CEEUR_IDIO</v>
          </cell>
          <cell r="D3052" t="str">
            <v>Spread Duration</v>
          </cell>
          <cell r="E3052" t="str">
            <v>Spread Yield (DxS)</v>
          </cell>
          <cell r="F3052" t="str">
            <v>Idiosyncratic</v>
          </cell>
          <cell r="G3052" t="str">
            <v>Other</v>
          </cell>
          <cell r="H3052" t="str">
            <v>SPREADS_SPECIFIC</v>
          </cell>
          <cell r="I3052" t="str">
            <v>Corporate USD - Idiosyncratic</v>
          </cell>
        </row>
        <row r="3053">
          <cell r="A3053" t="str">
            <v>EM_LATAM_IDIO</v>
          </cell>
          <cell r="B3053" t="str">
            <v>USD EM Idio Latin America</v>
          </cell>
          <cell r="C3053" t="str">
            <v>BRS_GOLD__5_SPREADS:USD_EM_DS,EM_IDIO,US_CDX_EM,EM_CORP_EE,EM_CORP_MIDAF,EM_CORP_SA:EM_IDIO:EM_LATAM_IDIO</v>
          </cell>
          <cell r="D3053" t="str">
            <v>Spread Duration</v>
          </cell>
          <cell r="E3053" t="str">
            <v>Spread Yield (DxS)</v>
          </cell>
          <cell r="F3053" t="str">
            <v>Idiosyncratic</v>
          </cell>
          <cell r="G3053" t="str">
            <v>Other</v>
          </cell>
          <cell r="H3053" t="str">
            <v>SPREADS_SPECIFIC</v>
          </cell>
          <cell r="I3053" t="str">
            <v>Corporate USD - Idiosyncratic</v>
          </cell>
        </row>
        <row r="3054">
          <cell r="A3054" t="str">
            <v>EM_MIDAF_IDIO</v>
          </cell>
          <cell r="B3054" t="str">
            <v>USD EM Idio Mid. East &amp; Africa</v>
          </cell>
          <cell r="C3054" t="str">
            <v>BRS_GOLD__5_SPREADS:USD_EM_DS,EM_IDIO,US_CDX_EM,EM_CORP_EE,EM_CORP_MIDAF,EM_CORP_SA:EM_IDIO:EM_MIDAF_IDIO</v>
          </cell>
          <cell r="D3054" t="str">
            <v>Spread Duration</v>
          </cell>
          <cell r="E3054" t="str">
            <v>Spread Yield (DxS)</v>
          </cell>
          <cell r="F3054" t="str">
            <v>Idiosyncratic</v>
          </cell>
          <cell r="G3054" t="str">
            <v>Other</v>
          </cell>
          <cell r="H3054" t="str">
            <v>SPREADS_SPECIFIC</v>
          </cell>
          <cell r="I3054" t="str">
            <v>Corporate USD - Idiosyncratic</v>
          </cell>
        </row>
        <row r="3055">
          <cell r="A3055" t="str">
            <v>EM_OTH_IDIO</v>
          </cell>
          <cell r="B3055" t="str">
            <v>USD EM Idio Other</v>
          </cell>
          <cell r="C3055" t="str">
            <v>BRS_GOLD__5_SPREADS:USD_EM_DS,EM_IDIO,US_CDX_EM,EM_CORP_EE,EM_CORP_MIDAF,EM_CORP_SA:EM_IDIO:EM_OTH_IDIO</v>
          </cell>
          <cell r="D3055" t="str">
            <v>Spread Duration</v>
          </cell>
          <cell r="E3055" t="str">
            <v>Spread Yield (DxS)</v>
          </cell>
          <cell r="F3055" t="str">
            <v>Idiosyncratic</v>
          </cell>
          <cell r="G3055" t="str">
            <v>Other</v>
          </cell>
          <cell r="H3055" t="str">
            <v>SPREADS_SPECIFIC</v>
          </cell>
          <cell r="I3055" t="str">
            <v>Corporate USD - Idiosyncratic</v>
          </cell>
        </row>
        <row r="3056">
          <cell r="A3056" t="str">
            <v>LEV_LOAN_SP_RISK</v>
          </cell>
          <cell r="B3056" t="str">
            <v>Leveraged Loan Idiosyncratic</v>
          </cell>
          <cell r="C3056" t="str">
            <v>BRS_GOLD__5_SPREADS:BRS_GOLD__3_OTHER_SPREADS:LEV_LOANS,US_LOANS,LEV_LOAN_SP_RISK,LEVL_IDIO,LEVL_IDION,CLO:LEV_LOAN_SP_RISK,LEVL_IDIO,LEVL_IDION:LEV_LOAN_SP_RISK</v>
          </cell>
          <cell r="D3056" t="str">
            <v>Specific Risk</v>
          </cell>
          <cell r="E3056" t="str">
            <v>Specific Risk</v>
          </cell>
          <cell r="F3056" t="str">
            <v>Idiosyncratic</v>
          </cell>
          <cell r="G3056" t="str">
            <v>Other</v>
          </cell>
          <cell r="H3056" t="str">
            <v>SPREADS_SPECIFIC</v>
          </cell>
          <cell r="I3056" t="str">
            <v>Leveraged Loans - Idiosyncratic</v>
          </cell>
        </row>
        <row r="3057">
          <cell r="A3057" t="str">
            <v>LEVL_DSTSS_IDIO</v>
          </cell>
          <cell r="B3057" t="str">
            <v>Loan Idio Distressed</v>
          </cell>
          <cell r="C3057" t="str">
            <v>BRS_GOLD__5_SPREADS:BRS_GOLD__3_OTHER_SPREADS:LEV_LOANS,US_LOANS,LEV_LOAN_SP_RISK,LEVL_IDIO,LEVL_IDION,CLO:LEV_LOAN_SP_RISK,LEVL_IDIO,LEVL_IDION:LEVL_DSTSS_IDIO</v>
          </cell>
          <cell r="D3057" t="str">
            <v>Price</v>
          </cell>
          <cell r="E3057" t="str">
            <v>Price Level</v>
          </cell>
          <cell r="F3057" t="str">
            <v>Idiosyncratic</v>
          </cell>
          <cell r="G3057" t="str">
            <v>Other</v>
          </cell>
          <cell r="H3057" t="str">
            <v>SPREADS_SPECIFIC</v>
          </cell>
          <cell r="I3057" t="str">
            <v>Leveraged Loans - Idiosyncratic</v>
          </cell>
        </row>
        <row r="3058">
          <cell r="A3058" t="str">
            <v>LEVLN_DSTSS_IDIO</v>
          </cell>
          <cell r="B3058" t="str">
            <v>US Loans Idio Distressed</v>
          </cell>
          <cell r="C3058" t="str">
            <v>BRS_GOLD__5_SPREADS:BRS_GOLD__3_OTHER_SPREADS:LEV_LOANS,US_LOANS,LEV_LOAN_SP_RISK,LEVL_IDIO,LEVL_IDION,CLO:LEV_LOAN_SP_RISK,LEVL_IDIO,LEVL_IDION:LEVLN_DSTSS_IDIO</v>
          </cell>
          <cell r="D3058" t="str">
            <v>Price</v>
          </cell>
          <cell r="E3058" t="str">
            <v>Price Level</v>
          </cell>
          <cell r="F3058" t="str">
            <v>Idiosyncratic</v>
          </cell>
          <cell r="G3058" t="str">
            <v>Other</v>
          </cell>
          <cell r="H3058" t="str">
            <v>SPREADS_SPECIFIC</v>
          </cell>
          <cell r="I3058" t="str">
            <v>Leveraged Loans - Idiosyncratic</v>
          </cell>
        </row>
        <row r="3059">
          <cell r="A3059" t="str">
            <v>USD_LOAN_SPREAD</v>
          </cell>
          <cell r="B3059" t="str">
            <v>Leveraged Loans</v>
          </cell>
          <cell r="C3059" t="str">
            <v>BRS_GOLD__5_SPREADS:BRS_GOLD__3_OTHER_SPREADS:LEV_LOANS,US_LOANS,LEV_LOAN_SP_RISK,LEVL_IDIO,LEVL_IDION,CLO:USD_LOAN_SPREAD,ALL_LOAN_SPREAD,USD_LOAN_SPREADN,ALL_LOAN_SPREADN,US_LOANS_ND:USD_LOAN_SPREAD</v>
          </cell>
          <cell r="D3059" t="str">
            <v>Spread Duration</v>
          </cell>
          <cell r="E3059" t="str">
            <v>Spread Yield (DxS)</v>
          </cell>
          <cell r="F3059" t="str">
            <v>Alternative</v>
          </cell>
          <cell r="G3059" t="str">
            <v>Other</v>
          </cell>
          <cell r="H3059" t="str">
            <v>ALTS</v>
          </cell>
          <cell r="I3059" t="str">
            <v>Leveraged Loans</v>
          </cell>
        </row>
        <row r="3060">
          <cell r="A3060" t="str">
            <v>ALL_LOAN_SPREAD</v>
          </cell>
          <cell r="B3060" t="str">
            <v>Non$ Leveraged Loans</v>
          </cell>
          <cell r="C3060" t="str">
            <v>BRS_GOLD__5_SPREADS:BRS_GOLD__3_OTHER_SPREADS:LEV_LOANS,US_LOANS,LEV_LOAN_SP_RISK,LEVL_IDIO,LEVL_IDION,CLO:USD_LOAN_SPREAD,ALL_LOAN_SPREAD,USD_LOAN_SPREADN,ALL_LOAN_SPREADN,US_LOANS_ND:ALL_LOAN_SPREAD</v>
          </cell>
          <cell r="D3060" t="str">
            <v>Spread Duration</v>
          </cell>
          <cell r="E3060" t="str">
            <v>Spread Yield (DxS)</v>
          </cell>
          <cell r="F3060" t="str">
            <v>Alternative</v>
          </cell>
          <cell r="G3060" t="str">
            <v>Other</v>
          </cell>
          <cell r="H3060" t="str">
            <v>ALTS</v>
          </cell>
          <cell r="I3060" t="str">
            <v>Leveraged Loans</v>
          </cell>
        </row>
        <row r="3061">
          <cell r="A3061" t="str">
            <v>USD_LOAN_SPREADN</v>
          </cell>
          <cell r="B3061" t="str">
            <v>Leveraged Loans</v>
          </cell>
          <cell r="C3061" t="str">
            <v>BRS_GOLD__5_SPREADS:BRS_GOLD__3_OTHER_SPREADS:LEV_LOANS,US_LOANS,LEV_LOAN_SP_RISK,LEVL_IDIO,LEVL_IDION,CLO:USD_LOAN_SPREAD,ALL_LOAN_SPREAD,USD_LOAN_SPREADN,ALL_LOAN_SPREADN,US_LOANS_ND:USD_LOAN_SPREADN</v>
          </cell>
          <cell r="D3061" t="str">
            <v>Spread Duration</v>
          </cell>
          <cell r="E3061" t="str">
            <v>Spread Yield (DxS)</v>
          </cell>
          <cell r="F3061" t="str">
            <v>Alternative</v>
          </cell>
          <cell r="G3061" t="str">
            <v>Other</v>
          </cell>
          <cell r="H3061" t="str">
            <v>ALTS</v>
          </cell>
          <cell r="I3061" t="str">
            <v>Leveraged Loans</v>
          </cell>
        </row>
        <row r="3062">
          <cell r="A3062" t="str">
            <v>ALL_LOAN_SPREADN</v>
          </cell>
          <cell r="B3062" t="str">
            <v>Non$ Leveraged Loans</v>
          </cell>
          <cell r="C3062" t="str">
            <v>BRS_GOLD__5_SPREADS:BRS_GOLD__3_OTHER_SPREADS:LEV_LOANS,US_LOANS,LEV_LOAN_SP_RISK,LEVL_IDIO,LEVL_IDION,CLO:USD_LOAN_SPREAD,ALL_LOAN_SPREAD,USD_LOAN_SPREADN,ALL_LOAN_SPREADN,US_LOANS_ND:ALL_LOAN_SPREADN</v>
          </cell>
          <cell r="D3062" t="str">
            <v>Spread Duration</v>
          </cell>
          <cell r="E3062" t="str">
            <v>Spread Yield (DxS)</v>
          </cell>
          <cell r="F3062" t="str">
            <v>Alternative</v>
          </cell>
          <cell r="G3062" t="str">
            <v>Other</v>
          </cell>
          <cell r="H3062" t="str">
            <v>ALTS</v>
          </cell>
          <cell r="I3062" t="str">
            <v>Leveraged Loans</v>
          </cell>
        </row>
        <row r="3063">
          <cell r="A3063" t="str">
            <v>USD_LOAN_AUTO</v>
          </cell>
          <cell r="B3063" t="str">
            <v>US Auto Loans</v>
          </cell>
          <cell r="C3063" t="str">
            <v>BRS_GOLD__5_SPREADS:BRS_GOLD__3_OTHER_SPREADS:LEV_LOANS,US_LOANS,LEV_LOAN_SP_RISK,LEVL_IDIO,LEVL_IDION,CLO:USD_LOAN_SPREAD,ALL_LOAN_SPREAD,USD_LOAN_SPREADN,ALL_LOAN_SPREADN,US_LOANS_ND:USD_LOAN_AUTO</v>
          </cell>
          <cell r="D3063" t="str">
            <v>Spread Duration</v>
          </cell>
          <cell r="E3063" t="str">
            <v>Spread Yield (DxS)</v>
          </cell>
          <cell r="F3063" t="str">
            <v>Alternative</v>
          </cell>
          <cell r="G3063" t="str">
            <v>Other</v>
          </cell>
          <cell r="H3063" t="str">
            <v>ALTS</v>
          </cell>
          <cell r="I3063" t="str">
            <v>Leveraged Loans</v>
          </cell>
        </row>
        <row r="3064">
          <cell r="A3064" t="str">
            <v>USD_LOAN_CONSERV</v>
          </cell>
          <cell r="B3064" t="str">
            <v>US Consumer Cyclical Services</v>
          </cell>
          <cell r="C3064" t="str">
            <v>BRS_GOLD__5_SPREADS:BRS_GOLD__3_OTHER_SPREADS:LEV_LOANS,US_LOANS,LEV_LOAN_SP_RISK,LEVL_IDIO,LEVL_IDION,CLO:USD_LOAN_SPREAD,ALL_LOAN_SPREAD,USD_LOAN_SPREADN,ALL_LOAN_SPREADN,US_LOANS_ND:USD_LOAN_CONSERV</v>
          </cell>
          <cell r="D3064" t="str">
            <v>Spread Duration</v>
          </cell>
          <cell r="E3064" t="str">
            <v>Spread Yield (DxS)</v>
          </cell>
          <cell r="F3064" t="str">
            <v>Alternative</v>
          </cell>
          <cell r="G3064" t="str">
            <v>Other</v>
          </cell>
          <cell r="H3064" t="str">
            <v>ALTS</v>
          </cell>
          <cell r="I3064" t="str">
            <v>Leveraged Loans</v>
          </cell>
        </row>
        <row r="3065">
          <cell r="A3065" t="str">
            <v>USD_LOAN_ENTER</v>
          </cell>
          <cell r="B3065" t="str">
            <v>US Entertainment Loans</v>
          </cell>
          <cell r="C3065" t="str">
            <v>BRS_GOLD__5_SPREADS:BRS_GOLD__3_OTHER_SPREADS:LEV_LOANS,US_LOANS,LEV_LOAN_SP_RISK,LEVL_IDIO,LEVL_IDION,CLO:USD_LOAN_SPREAD,ALL_LOAN_SPREAD,USD_LOAN_SPREADN,ALL_LOAN_SPREADN,US_LOANS_ND:USD_LOAN_ENTER</v>
          </cell>
          <cell r="D3065" t="str">
            <v>Spread Duration</v>
          </cell>
          <cell r="E3065" t="str">
            <v>Spread Yield (DxS)</v>
          </cell>
          <cell r="F3065" t="str">
            <v>Alternative</v>
          </cell>
          <cell r="G3065" t="str">
            <v>Other</v>
          </cell>
          <cell r="H3065" t="str">
            <v>ALTS</v>
          </cell>
          <cell r="I3065" t="str">
            <v>Leveraged Loans</v>
          </cell>
        </row>
        <row r="3066">
          <cell r="A3066" t="str">
            <v>USD_LOAN_GAME</v>
          </cell>
          <cell r="B3066" t="str">
            <v>US Gaming Loans</v>
          </cell>
          <cell r="C3066" t="str">
            <v>BRS_GOLD__5_SPREADS:BRS_GOLD__3_OTHER_SPREADS:LEV_LOANS,US_LOANS,LEV_LOAN_SP_RISK,LEVL_IDIO,LEVL_IDION,CLO:USD_LOAN_SPREAD,ALL_LOAN_SPREAD,USD_LOAN_SPREADN,ALL_LOAN_SPREADN,US_LOANS_ND:USD_LOAN_GAME</v>
          </cell>
          <cell r="D3066" t="str">
            <v>Spread Duration</v>
          </cell>
          <cell r="E3066" t="str">
            <v>Spread Yield (DxS)</v>
          </cell>
          <cell r="F3066" t="str">
            <v>Alternative</v>
          </cell>
          <cell r="G3066" t="str">
            <v>Other</v>
          </cell>
          <cell r="H3066" t="str">
            <v>ALTS</v>
          </cell>
          <cell r="I3066" t="str">
            <v>Leveraged Loans</v>
          </cell>
        </row>
        <row r="3067">
          <cell r="A3067" t="str">
            <v>USD_LOAN_CYCLOTHR</v>
          </cell>
          <cell r="B3067" t="str">
            <v>US Other Cyclical Loans</v>
          </cell>
          <cell r="C3067" t="str">
            <v>BRS_GOLD__5_SPREADS:BRS_GOLD__3_OTHER_SPREADS:LEV_LOANS,US_LOANS,LEV_LOAN_SP_RISK,LEVL_IDIO,LEVL_IDION,CLO:USD_LOAN_SPREAD,ALL_LOAN_SPREAD,USD_LOAN_SPREADN,ALL_LOAN_SPREADN,US_LOANS_ND:USD_LOAN_CYCLOTHR</v>
          </cell>
          <cell r="D3067" t="str">
            <v>Spread Duration</v>
          </cell>
          <cell r="E3067" t="str">
            <v>Spread Yield (DxS)</v>
          </cell>
          <cell r="F3067" t="str">
            <v>Alternative</v>
          </cell>
          <cell r="G3067" t="str">
            <v>Other</v>
          </cell>
          <cell r="H3067" t="str">
            <v>ALTS</v>
          </cell>
          <cell r="I3067" t="str">
            <v>Leveraged Loans</v>
          </cell>
        </row>
        <row r="3068">
          <cell r="A3068" t="str">
            <v>USD_LOAN_RETAIL</v>
          </cell>
          <cell r="B3068" t="str">
            <v>US Retail Loans</v>
          </cell>
          <cell r="C3068" t="str">
            <v>BRS_GOLD__5_SPREADS:BRS_GOLD__3_OTHER_SPREADS:LEV_LOANS,US_LOANS,LEV_LOAN_SP_RISK,LEVL_IDIO,LEVL_IDION,CLO:USD_LOAN_SPREAD,ALL_LOAN_SPREAD,USD_LOAN_SPREADN,ALL_LOAN_SPREADN,US_LOANS_ND:USD_LOAN_RETAIL</v>
          </cell>
          <cell r="D3068" t="str">
            <v>Spread Duration</v>
          </cell>
          <cell r="E3068" t="str">
            <v>Spread Yield (DxS)</v>
          </cell>
          <cell r="F3068" t="str">
            <v>Alternative</v>
          </cell>
          <cell r="G3068" t="str">
            <v>Other</v>
          </cell>
          <cell r="H3068" t="str">
            <v>ALTS</v>
          </cell>
          <cell r="I3068" t="str">
            <v>Leveraged Loans</v>
          </cell>
        </row>
        <row r="3069">
          <cell r="A3069" t="str">
            <v>USD_LOAN_METAL</v>
          </cell>
          <cell r="B3069" t="str">
            <v>US Metal Loans</v>
          </cell>
          <cell r="C3069" t="str">
            <v>BRS_GOLD__5_SPREADS:BRS_GOLD__3_OTHER_SPREADS:LEV_LOANS,US_LOANS,LEV_LOAN_SP_RISK,LEVL_IDIO,LEVL_IDION,CLO:USD_LOAN_SPREAD,ALL_LOAN_SPREAD,USD_LOAN_SPREADN,ALL_LOAN_SPREADN,US_LOANS_ND:USD_LOAN_METAL</v>
          </cell>
          <cell r="D3069" t="str">
            <v>Spread Duration</v>
          </cell>
          <cell r="E3069" t="str">
            <v>Spread Yield (DxS)</v>
          </cell>
          <cell r="F3069" t="str">
            <v>Alternative</v>
          </cell>
          <cell r="G3069" t="str">
            <v>Other</v>
          </cell>
          <cell r="H3069" t="str">
            <v>ALTS</v>
          </cell>
          <cell r="I3069" t="str">
            <v>Leveraged Loans</v>
          </cell>
        </row>
        <row r="3070">
          <cell r="A3070" t="str">
            <v>USD_LOAN_BASICOTHR</v>
          </cell>
          <cell r="B3070" t="str">
            <v>US Other Basic Industry Loans</v>
          </cell>
          <cell r="C3070" t="str">
            <v>BRS_GOLD__5_SPREADS:BRS_GOLD__3_OTHER_SPREADS:LEV_LOANS,US_LOANS,LEV_LOAN_SP_RISK,LEVL_IDIO,LEVL_IDION,CLO:USD_LOAN_SPREAD,ALL_LOAN_SPREAD,USD_LOAN_SPREADN,ALL_LOAN_SPREADN,US_LOANS_ND:USD_LOAN_BASICOTHR</v>
          </cell>
          <cell r="D3070" t="str">
            <v>Spread Duration</v>
          </cell>
          <cell r="E3070" t="str">
            <v>Spread Yield (DxS)</v>
          </cell>
          <cell r="F3070" t="str">
            <v>Alternative</v>
          </cell>
          <cell r="G3070" t="str">
            <v>Other</v>
          </cell>
          <cell r="H3070" t="str">
            <v>ALTS</v>
          </cell>
          <cell r="I3070" t="str">
            <v>Leveraged Loans</v>
          </cell>
        </row>
        <row r="3071">
          <cell r="A3071" t="str">
            <v>USD_LOAN_CAPG</v>
          </cell>
          <cell r="B3071" t="str">
            <v>US Capital Goods Loans</v>
          </cell>
          <cell r="C3071" t="str">
            <v>BRS_GOLD__5_SPREADS:BRS_GOLD__3_OTHER_SPREADS:LEV_LOANS,US_LOANS,LEV_LOAN_SP_RISK,LEVL_IDIO,LEVL_IDION,CLO:USD_LOAN_SPREAD,ALL_LOAN_SPREAD,USD_LOAN_SPREADN,ALL_LOAN_SPREADN,US_LOANS_ND:USD_LOAN_CAPG</v>
          </cell>
          <cell r="D3071" t="str">
            <v>Spread Duration</v>
          </cell>
          <cell r="E3071" t="str">
            <v>Spread Yield (DxS)</v>
          </cell>
          <cell r="F3071" t="str">
            <v>Alternative</v>
          </cell>
          <cell r="G3071" t="str">
            <v>Other</v>
          </cell>
          <cell r="H3071" t="str">
            <v>ALTS</v>
          </cell>
          <cell r="I3071" t="str">
            <v>Leveraged Loans</v>
          </cell>
        </row>
        <row r="3072">
          <cell r="A3072" t="str">
            <v>USD_LOAN_CABLEMED</v>
          </cell>
          <cell r="B3072" t="str">
            <v>US Cable &amp; Media Loans</v>
          </cell>
          <cell r="C3072" t="str">
            <v>BRS_GOLD__5_SPREADS:BRS_GOLD__3_OTHER_SPREADS:LEV_LOANS,US_LOANS,LEV_LOAN_SP_RISK,LEVL_IDIO,LEVL_IDION,CLO:USD_LOAN_SPREAD,ALL_LOAN_SPREAD,USD_LOAN_SPREADN,ALL_LOAN_SPREADN,US_LOANS_ND:USD_LOAN_CABLEMED</v>
          </cell>
          <cell r="D3072" t="str">
            <v>Spread Duration</v>
          </cell>
          <cell r="E3072" t="str">
            <v>Spread Yield (DxS)</v>
          </cell>
          <cell r="F3072" t="str">
            <v>Alternative</v>
          </cell>
          <cell r="G3072" t="str">
            <v>Other</v>
          </cell>
          <cell r="H3072" t="str">
            <v>ALTS</v>
          </cell>
          <cell r="I3072" t="str">
            <v>Leveraged Loans</v>
          </cell>
        </row>
        <row r="3073">
          <cell r="A3073" t="str">
            <v>USD_LOAN_COMMOTHR</v>
          </cell>
          <cell r="B3073" t="str">
            <v>US Other Communications Loans</v>
          </cell>
          <cell r="C3073" t="str">
            <v>BRS_GOLD__5_SPREADS:BRS_GOLD__3_OTHER_SPREADS:LEV_LOANS,US_LOANS,LEV_LOAN_SP_RISK,LEVL_IDIO,LEVL_IDION,CLO:USD_LOAN_SPREAD,ALL_LOAN_SPREAD,USD_LOAN_SPREADN,ALL_LOAN_SPREADN,US_LOANS_ND:USD_LOAN_COMMOTHR</v>
          </cell>
          <cell r="D3073" t="str">
            <v>Spread Duration</v>
          </cell>
          <cell r="E3073" t="str">
            <v>Spread Yield (DxS)</v>
          </cell>
          <cell r="F3073" t="str">
            <v>Alternative</v>
          </cell>
          <cell r="G3073" t="str">
            <v>Other</v>
          </cell>
          <cell r="H3073" t="str">
            <v>ALTS</v>
          </cell>
          <cell r="I3073" t="str">
            <v>Leveraged Loans</v>
          </cell>
        </row>
        <row r="3074">
          <cell r="A3074" t="str">
            <v>USD_LOAN_OTHRIND</v>
          </cell>
          <cell r="B3074" t="str">
            <v>US Other Industry Loans</v>
          </cell>
          <cell r="C3074" t="str">
            <v>BRS_GOLD__5_SPREADS:BRS_GOLD__3_OTHER_SPREADS:LEV_LOANS,US_LOANS,LEV_LOAN_SP_RISK,LEVL_IDIO,LEVL_IDION,CLO:USD_LOAN_SPREAD,ALL_LOAN_SPREAD,USD_LOAN_SPREADN,ALL_LOAN_SPREADN,US_LOANS_ND:USD_LOAN_OTHRIND</v>
          </cell>
          <cell r="D3074" t="str">
            <v>Spread Duration</v>
          </cell>
          <cell r="E3074" t="str">
            <v>Spread Yield (DxS)</v>
          </cell>
          <cell r="F3074" t="str">
            <v>Alternative</v>
          </cell>
          <cell r="G3074" t="str">
            <v>Other</v>
          </cell>
          <cell r="H3074" t="str">
            <v>ALTS</v>
          </cell>
          <cell r="I3074" t="str">
            <v>Leveraged Loans</v>
          </cell>
        </row>
        <row r="3075">
          <cell r="A3075" t="str">
            <v>USD_LOAN_TECHSERV</v>
          </cell>
          <cell r="B3075" t="str">
            <v>US Tech Services Loans</v>
          </cell>
          <cell r="C3075" t="str">
            <v>BRS_GOLD__5_SPREADS:BRS_GOLD__3_OTHER_SPREADS:LEV_LOANS,US_LOANS,LEV_LOAN_SP_RISK,LEVL_IDIO,LEVL_IDION,CLO:USD_LOAN_SPREAD,ALL_LOAN_SPREAD,USD_LOAN_SPREADN,ALL_LOAN_SPREADN,US_LOANS_ND:USD_LOAN_TECHSERV</v>
          </cell>
          <cell r="D3075" t="str">
            <v>Spread Duration</v>
          </cell>
          <cell r="E3075" t="str">
            <v>Spread Yield (DxS)</v>
          </cell>
          <cell r="F3075" t="str">
            <v>Alternative</v>
          </cell>
          <cell r="G3075" t="str">
            <v>Other</v>
          </cell>
          <cell r="H3075" t="str">
            <v>ALTS</v>
          </cell>
          <cell r="I3075" t="str">
            <v>Leveraged Loans</v>
          </cell>
        </row>
        <row r="3076">
          <cell r="A3076" t="str">
            <v>USD_LOAN_SOFTWARE</v>
          </cell>
          <cell r="B3076" t="str">
            <v>US Software &amp; Internet Loans</v>
          </cell>
          <cell r="C3076" t="str">
            <v>BRS_GOLD__5_SPREADS:BRS_GOLD__3_OTHER_SPREADS:LEV_LOANS,US_LOANS,LEV_LOAN_SP_RISK,LEVL_IDIO,LEVL_IDION,CLO:USD_LOAN_SPREAD,ALL_LOAN_SPREAD,USD_LOAN_SPREADN,ALL_LOAN_SPREADN,US_LOANS_ND:USD_LOAN_SOFTWARE</v>
          </cell>
          <cell r="D3076" t="str">
            <v>Spread Duration</v>
          </cell>
          <cell r="E3076" t="str">
            <v>Spread Yield (DxS)</v>
          </cell>
          <cell r="F3076" t="str">
            <v>Alternative</v>
          </cell>
          <cell r="G3076" t="str">
            <v>Other</v>
          </cell>
          <cell r="H3076" t="str">
            <v>ALTS</v>
          </cell>
          <cell r="I3076" t="str">
            <v>Leveraged Loans</v>
          </cell>
        </row>
        <row r="3077">
          <cell r="A3077" t="str">
            <v>USD_LOAN_TECHOTHR</v>
          </cell>
          <cell r="B3077" t="str">
            <v>US Other Tech Loans</v>
          </cell>
          <cell r="C3077" t="str">
            <v>BRS_GOLD__5_SPREADS:BRS_GOLD__3_OTHER_SPREADS:LEV_LOANS,US_LOANS,LEV_LOAN_SP_RISK,LEVL_IDIO,LEVL_IDION,CLO:USD_LOAN_SPREAD,ALL_LOAN_SPREAD,USD_LOAN_SPREADN,ALL_LOAN_SPREADN,US_LOANS_ND:USD_LOAN_TECHOTHR</v>
          </cell>
          <cell r="D3077" t="str">
            <v>Spread Duration</v>
          </cell>
          <cell r="E3077" t="str">
            <v>Spread Yield (DxS)</v>
          </cell>
          <cell r="F3077" t="str">
            <v>Alternative</v>
          </cell>
          <cell r="G3077" t="str">
            <v>Other</v>
          </cell>
          <cell r="H3077" t="str">
            <v>ALTS</v>
          </cell>
          <cell r="I3077" t="str">
            <v>Leveraged Loans</v>
          </cell>
        </row>
        <row r="3078">
          <cell r="A3078" t="str">
            <v>USD_LOAN_ENERGY</v>
          </cell>
          <cell r="B3078" t="str">
            <v>US Energy Loans</v>
          </cell>
          <cell r="C3078" t="str">
            <v>BRS_GOLD__5_SPREADS:BRS_GOLD__3_OTHER_SPREADS:LEV_LOANS,US_LOANS,LEV_LOAN_SP_RISK,LEVL_IDIO,LEVL_IDION,CLO:USD_LOAN_SPREAD,ALL_LOAN_SPREAD,USD_LOAN_SPREADN,ALL_LOAN_SPREADN,US_LOANS_ND:USD_LOAN_ENERGY</v>
          </cell>
          <cell r="D3078" t="str">
            <v>Spread Duration</v>
          </cell>
          <cell r="E3078" t="str">
            <v>Spread Yield (DxS)</v>
          </cell>
          <cell r="F3078" t="str">
            <v>Alternative</v>
          </cell>
          <cell r="G3078" t="str">
            <v>Other</v>
          </cell>
          <cell r="H3078" t="str">
            <v>ALTS</v>
          </cell>
          <cell r="I3078" t="str">
            <v>Leveraged Loans</v>
          </cell>
        </row>
        <row r="3079">
          <cell r="A3079" t="str">
            <v>USD_LOAN_UTILITY</v>
          </cell>
          <cell r="B3079" t="str">
            <v>US Utility Loans</v>
          </cell>
          <cell r="C3079" t="str">
            <v>BRS_GOLD__5_SPREADS:BRS_GOLD__3_OTHER_SPREADS:LEV_LOANS,US_LOANS,LEV_LOAN_SP_RISK,LEVL_IDIO,LEVL_IDION,CLO:USD_LOAN_SPREAD,ALL_LOAN_SPREAD,USD_LOAN_SPREADN,ALL_LOAN_SPREADN,US_LOANS_ND:USD_LOAN_UTILITY</v>
          </cell>
          <cell r="D3079" t="str">
            <v>Spread Duration</v>
          </cell>
          <cell r="E3079" t="str">
            <v>Spread Yield (DxS)</v>
          </cell>
          <cell r="F3079" t="str">
            <v>Alternative</v>
          </cell>
          <cell r="G3079" t="str">
            <v>Other</v>
          </cell>
          <cell r="H3079" t="str">
            <v>ALTS</v>
          </cell>
          <cell r="I3079" t="str">
            <v>Leveraged Loans</v>
          </cell>
        </row>
        <row r="3080">
          <cell r="A3080" t="str">
            <v>USD_LOAN_OTHRFIN</v>
          </cell>
          <cell r="B3080" t="str">
            <v>US Other Financials Loans</v>
          </cell>
          <cell r="C3080" t="str">
            <v>BRS_GOLD__5_SPREADS:BRS_GOLD__3_OTHER_SPREADS:LEV_LOANS,US_LOANS,LEV_LOAN_SP_RISK,LEVL_IDIO,LEVL_IDION,CLO:USD_LOAN_SPREAD,ALL_LOAN_SPREAD,USD_LOAN_SPREADN,ALL_LOAN_SPREADN,US_LOANS_ND:USD_LOAN_OTHRFIN</v>
          </cell>
          <cell r="D3080" t="str">
            <v>Spread Duration</v>
          </cell>
          <cell r="E3080" t="str">
            <v>Spread Yield (DxS)</v>
          </cell>
          <cell r="F3080" t="str">
            <v>Alternative</v>
          </cell>
          <cell r="G3080" t="str">
            <v>Other</v>
          </cell>
          <cell r="H3080" t="str">
            <v>ALTS</v>
          </cell>
          <cell r="I3080" t="str">
            <v>Leveraged Loans</v>
          </cell>
        </row>
        <row r="3081">
          <cell r="A3081" t="str">
            <v>USD_LOAN_BANK</v>
          </cell>
          <cell r="B3081" t="str">
            <v>US Banking Loans</v>
          </cell>
          <cell r="C3081" t="str">
            <v>BRS_GOLD__5_SPREADS:BRS_GOLD__3_OTHER_SPREADS:LEV_LOANS,US_LOANS,LEV_LOAN_SP_RISK,LEVL_IDIO,LEVL_IDION,CLO:USD_LOAN_SPREAD,ALL_LOAN_SPREAD,USD_LOAN_SPREADN,ALL_LOAN_SPREADN,US_LOANS_ND:USD_LOAN_BANK</v>
          </cell>
          <cell r="D3081" t="str">
            <v>Spread Duration</v>
          </cell>
          <cell r="E3081" t="str">
            <v>Spread Yield (DxS)</v>
          </cell>
          <cell r="F3081" t="str">
            <v>Alternative</v>
          </cell>
          <cell r="G3081" t="str">
            <v>Other</v>
          </cell>
          <cell r="H3081" t="str">
            <v>ALTS</v>
          </cell>
          <cell r="I3081" t="str">
            <v>Leveraged Loans</v>
          </cell>
        </row>
        <row r="3082">
          <cell r="A3082" t="str">
            <v>USD_LOAN_INSURANCE</v>
          </cell>
          <cell r="B3082" t="str">
            <v>US Insurance Loans</v>
          </cell>
          <cell r="C3082" t="str">
            <v>BRS_GOLD__5_SPREADS:BRS_GOLD__3_OTHER_SPREADS:LEV_LOANS,US_LOANS,LEV_LOAN_SP_RISK,LEVL_IDIO,LEVL_IDION,CLO:USD_LOAN_SPREAD,ALL_LOAN_SPREAD,USD_LOAN_SPREADN,ALL_LOAN_SPREADN,US_LOANS_ND:USD_LOAN_INSURANCE</v>
          </cell>
          <cell r="D3082" t="str">
            <v>Spread Duration</v>
          </cell>
          <cell r="E3082" t="str">
            <v>Spread Yield (DxS)</v>
          </cell>
          <cell r="F3082" t="str">
            <v>Alternative</v>
          </cell>
          <cell r="G3082" t="str">
            <v>Other</v>
          </cell>
          <cell r="H3082" t="str">
            <v>ALTS</v>
          </cell>
          <cell r="I3082" t="str">
            <v>Leveraged Loans</v>
          </cell>
        </row>
        <row r="3083">
          <cell r="A3083" t="str">
            <v>USD_LOAN_PHARM</v>
          </cell>
          <cell r="B3083" t="str">
            <v>US Pharmaceuticals Loans</v>
          </cell>
          <cell r="C3083" t="str">
            <v>BRS_GOLD__5_SPREADS:BRS_GOLD__3_OTHER_SPREADS:LEV_LOANS,US_LOANS,LEV_LOAN_SP_RISK,LEVL_IDIO,LEVL_IDION,CLO:USD_LOAN_SPREAD,ALL_LOAN_SPREAD,USD_LOAN_SPREADN,ALL_LOAN_SPREADN,US_LOANS_ND:USD_LOAN_PHARM</v>
          </cell>
          <cell r="D3083" t="str">
            <v>Spread Duration</v>
          </cell>
          <cell r="E3083" t="str">
            <v>Spread Yield (DxS)</v>
          </cell>
          <cell r="F3083" t="str">
            <v>Alternative</v>
          </cell>
          <cell r="G3083" t="str">
            <v>Other</v>
          </cell>
          <cell r="H3083" t="str">
            <v>ALTS</v>
          </cell>
          <cell r="I3083" t="str">
            <v>Leveraged Loans</v>
          </cell>
        </row>
        <row r="3084">
          <cell r="A3084" t="str">
            <v>USD_LOAN_HEALTHCARE</v>
          </cell>
          <cell r="B3084" t="str">
            <v>US Healthcare Loans</v>
          </cell>
          <cell r="C3084" t="str">
            <v>BRS_GOLD__5_SPREADS:BRS_GOLD__3_OTHER_SPREADS:LEV_LOANS,US_LOANS,LEV_LOAN_SP_RISK,LEVL_IDIO,LEVL_IDION,CLO:USD_LOAN_SPREAD,ALL_LOAN_SPREAD,USD_LOAN_SPREADN,ALL_LOAN_SPREADN,US_LOANS_ND:USD_LOAN_HEALTHCARE</v>
          </cell>
          <cell r="D3084" t="str">
            <v>Spread Duration</v>
          </cell>
          <cell r="E3084" t="str">
            <v>Spread Yield (DxS)</v>
          </cell>
          <cell r="F3084" t="str">
            <v>Alternative</v>
          </cell>
          <cell r="G3084" t="str">
            <v>Other</v>
          </cell>
          <cell r="H3084" t="str">
            <v>ALTS</v>
          </cell>
          <cell r="I3084" t="str">
            <v>Leveraged Loans</v>
          </cell>
        </row>
        <row r="3085">
          <cell r="A3085" t="str">
            <v>USD_LOAN_NONCYCLOTHR</v>
          </cell>
          <cell r="B3085" t="str">
            <v>US Other Noncyclical Loans</v>
          </cell>
          <cell r="C3085" t="str">
            <v>BRS_GOLD__5_SPREADS:BRS_GOLD__3_OTHER_SPREADS:LEV_LOANS,US_LOANS,LEV_LOAN_SP_RISK,LEVL_IDIO,LEVL_IDION,CLO:USD_LOAN_SPREAD,ALL_LOAN_SPREAD,USD_LOAN_SPREADN,ALL_LOAN_SPREADN,US_LOANS_ND:USD_LOAN_NONCYCLOTHR</v>
          </cell>
          <cell r="D3085" t="str">
            <v>Spread Duration</v>
          </cell>
          <cell r="E3085" t="str">
            <v>Spread Yield (DxS)</v>
          </cell>
          <cell r="F3085" t="str">
            <v>Alternative</v>
          </cell>
          <cell r="G3085" t="str">
            <v>Other</v>
          </cell>
          <cell r="H3085" t="str">
            <v>ALTS</v>
          </cell>
          <cell r="I3085" t="str">
            <v>Leveraged Loans</v>
          </cell>
        </row>
        <row r="3086">
          <cell r="A3086" t="str">
            <v>USD_LOAN_LIEN2</v>
          </cell>
          <cell r="B3086" t="str">
            <v>US Loans Second Lien</v>
          </cell>
          <cell r="C3086" t="str">
            <v>BRS_GOLD__5_SPREADS:BRS_GOLD__3_OTHER_SPREADS:LEV_LOANS,US_LOANS,LEV_LOAN_SP_RISK,LEVL_IDIO,LEVL_IDION,CLO:USD_LOAN_SPREAD,ALL_LOAN_SPREAD,USD_LOAN_SPREADN,ALL_LOAN_SPREADN,US_LOANS_ND:USD_LOAN_LIEN2</v>
          </cell>
          <cell r="D3086" t="str">
            <v>Spread Duration</v>
          </cell>
          <cell r="E3086" t="str">
            <v>Spread Yield (DxS)</v>
          </cell>
          <cell r="F3086" t="str">
            <v>Alternative</v>
          </cell>
          <cell r="G3086" t="str">
            <v>Other</v>
          </cell>
          <cell r="H3086" t="str">
            <v>ALTS</v>
          </cell>
          <cell r="I3086" t="str">
            <v>Leveraged Loans</v>
          </cell>
        </row>
        <row r="3087">
          <cell r="A3087" t="str">
            <v>USD_LOAN_MKTSPRD</v>
          </cell>
          <cell r="B3087" t="str">
            <v>US Loans Market</v>
          </cell>
          <cell r="C3087" t="str">
            <v>BRS_GOLD__5_SPREADS:BRS_GOLD__3_OTHER_SPREADS:LEV_LOANS,US_LOANS,LEV_LOAN_SP_RISK,LEVL_IDIO,LEVL_IDION,CLO:USD_LOAN_SPREAD,ALL_LOAN_SPREAD,USD_LOAN_SPREADN,ALL_LOAN_SPREADN,US_LOANS_ND:USD_LOAN_MKTSPRD</v>
          </cell>
          <cell r="D3087" t="str">
            <v>Spread Duration</v>
          </cell>
          <cell r="E3087" t="str">
            <v>Spread Yield (DxS)</v>
          </cell>
          <cell r="F3087" t="str">
            <v>Alternative</v>
          </cell>
          <cell r="G3087" t="str">
            <v>Other</v>
          </cell>
          <cell r="H3087" t="str">
            <v>ALTS</v>
          </cell>
          <cell r="I3087" t="str">
            <v>Leveraged Loans</v>
          </cell>
        </row>
        <row r="3088">
          <cell r="A3088" t="str">
            <v>USD_LOAN_TECH</v>
          </cell>
          <cell r="B3088" t="str">
            <v>US Technology Loans</v>
          </cell>
          <cell r="C3088" t="str">
            <v>BRS_GOLD__5_SPREADS:BRS_GOLD__3_OTHER_SPREADS:LEV_LOANS,US_LOANS,LEV_LOAN_SP_RISK,LEVL_IDIO,LEVL_IDION,CLO:USD_LOAN_SPREAD,ALL_LOAN_SPREAD,USD_LOAN_SPREADN,ALL_LOAN_SPREADN,US_LOANS_ND:USD_LOAN_TECH</v>
          </cell>
          <cell r="D3088" t="str">
            <v>Spread Duration</v>
          </cell>
          <cell r="E3088" t="str">
            <v>Spread Yield (DxS)</v>
          </cell>
          <cell r="F3088" t="str">
            <v>Alternative</v>
          </cell>
          <cell r="G3088" t="str">
            <v>Other</v>
          </cell>
          <cell r="H3088" t="str">
            <v>ALTS</v>
          </cell>
          <cell r="I3088" t="str">
            <v>Leveraged Loans</v>
          </cell>
        </row>
        <row r="3089">
          <cell r="A3089" t="str">
            <v>USD_LOAN_PRICE</v>
          </cell>
          <cell r="B3089" t="str">
            <v>Distressed Loans</v>
          </cell>
          <cell r="C3089" t="str">
            <v>BRS_GOLD__5_SPREADS:BRS_GOLD__3_OTHER_SPREADS:LEV_LOANS,US_LOANS,LEV_LOAN_SP_RISK,LEVL_IDIO,LEVL_IDION,CLO:USD_LOAN_PRICE,ALL_LOAN_PRICE,USD_LOAN_PRICEN,ALL_LOAN_PRICEN,USD_LOAN_DISTRESS:USD_LOAN_PRICE</v>
          </cell>
          <cell r="D3089" t="str">
            <v>Price</v>
          </cell>
          <cell r="E3089" t="str">
            <v>Price Level</v>
          </cell>
          <cell r="F3089" t="str">
            <v>Alternative</v>
          </cell>
          <cell r="G3089" t="str">
            <v>Other</v>
          </cell>
          <cell r="H3089" t="str">
            <v>ALTS</v>
          </cell>
          <cell r="I3089" t="str">
            <v>Leveraged Loans - Distressed</v>
          </cell>
        </row>
        <row r="3090">
          <cell r="A3090" t="str">
            <v>ALL_LOAN_PRICE</v>
          </cell>
          <cell r="B3090" t="str">
            <v>Non$ Distressed Loans</v>
          </cell>
          <cell r="C3090" t="str">
            <v>BRS_GOLD__5_SPREADS:BRS_GOLD__3_OTHER_SPREADS:LEV_LOANS,US_LOANS,LEV_LOAN_SP_RISK,LEVL_IDIO,LEVL_IDION,CLO:USD_LOAN_PRICE,ALL_LOAN_PRICE,USD_LOAN_PRICEN,ALL_LOAN_PRICEN,USD_LOAN_DISTRESS:ALL_LOAN_PRICE</v>
          </cell>
          <cell r="D3090" t="str">
            <v>Price</v>
          </cell>
          <cell r="E3090" t="str">
            <v>Price Level</v>
          </cell>
          <cell r="F3090" t="str">
            <v>Alternative</v>
          </cell>
          <cell r="G3090" t="str">
            <v>Other</v>
          </cell>
          <cell r="H3090" t="str">
            <v>ALTS</v>
          </cell>
          <cell r="I3090" t="str">
            <v>Leveraged Loans - Distressed</v>
          </cell>
        </row>
        <row r="3091">
          <cell r="A3091" t="str">
            <v>USD_LOAN_PRICEN</v>
          </cell>
          <cell r="B3091" t="str">
            <v>Distressed Loans</v>
          </cell>
          <cell r="C3091" t="str">
            <v>BRS_GOLD__5_SPREADS:BRS_GOLD__3_OTHER_SPREADS:LEV_LOANS,US_LOANS,LEV_LOAN_SP_RISK,LEVL_IDIO,LEVL_IDION,CLO:USD_LOAN_PRICE,ALL_LOAN_PRICE,USD_LOAN_PRICEN,ALL_LOAN_PRICEN,USD_LOAN_DISTRESS:USD_LOAN_PRICEN</v>
          </cell>
          <cell r="D3091" t="str">
            <v>Price</v>
          </cell>
          <cell r="E3091" t="str">
            <v>Price Level</v>
          </cell>
          <cell r="F3091" t="str">
            <v>Alternative</v>
          </cell>
          <cell r="G3091" t="str">
            <v>Other</v>
          </cell>
          <cell r="H3091" t="str">
            <v>ALTS</v>
          </cell>
          <cell r="I3091" t="str">
            <v>Leveraged Loans - Distressed</v>
          </cell>
        </row>
        <row r="3092">
          <cell r="A3092" t="str">
            <v>ALL_LOAN_PRICEN</v>
          </cell>
          <cell r="B3092" t="str">
            <v>Non$ Distressed Loans</v>
          </cell>
          <cell r="C3092" t="str">
            <v>BRS_GOLD__5_SPREADS:BRS_GOLD__3_OTHER_SPREADS:LEV_LOANS,US_LOANS,LEV_LOAN_SP_RISK,LEVL_IDIO,LEVL_IDION,CLO:USD_LOAN_PRICE,ALL_LOAN_PRICE,USD_LOAN_PRICEN,ALL_LOAN_PRICEN,USD_LOAN_DISTRESS:ALL_LOAN_PRICEN</v>
          </cell>
          <cell r="D3092" t="str">
            <v>Price</v>
          </cell>
          <cell r="E3092" t="str">
            <v>Price Level</v>
          </cell>
          <cell r="F3092" t="str">
            <v>Alternative</v>
          </cell>
          <cell r="G3092" t="str">
            <v>Other</v>
          </cell>
          <cell r="H3092" t="str">
            <v>ALTS</v>
          </cell>
          <cell r="I3092" t="str">
            <v>Leveraged Loans - Distressed</v>
          </cell>
        </row>
        <row r="3093">
          <cell r="A3093" t="str">
            <v>USD_LOAN_DISTRESS</v>
          </cell>
          <cell r="B3093" t="str">
            <v>US Distressed Loans</v>
          </cell>
          <cell r="C3093" t="str">
            <v>BRS_GOLD__5_SPREADS:BRS_GOLD__3_OTHER_SPREADS:LEV_LOANS,US_LOANS,LEV_LOAN_SP_RISK,LEVL_IDIO,LEVL_IDION,CLO:USD_LOAN_PRICE,ALL_LOAN_PRICE,USD_LOAN_PRICEN,ALL_LOAN_PRICEN,USD_LOAN_DISTRESS:USD_LOAN_DISTRESS</v>
          </cell>
          <cell r="D3093" t="str">
            <v>Price</v>
          </cell>
          <cell r="E3093" t="str">
            <v>Price Level</v>
          </cell>
          <cell r="F3093" t="str">
            <v>Alternative</v>
          </cell>
          <cell r="G3093" t="str">
            <v>Other</v>
          </cell>
          <cell r="H3093" t="str">
            <v>ALTS</v>
          </cell>
          <cell r="I3093" t="str">
            <v>Leveraged Loans - Distressed</v>
          </cell>
        </row>
        <row r="3094">
          <cell r="A3094" t="str">
            <v>LEVL_HY_IDIO</v>
          </cell>
          <cell r="B3094" t="str">
            <v>Loan Idio</v>
          </cell>
          <cell r="C3094" t="str">
            <v>BRS_GOLD__5_SPREADS:BRS_GOLD__3_OTHER_SPREADS:LEV_LOANS,US_LOANS,LEV_LOAN_SP_RISK,LEVL_IDIO,LEVL_IDION,CLO:LEV_LOAN_SP_RISK,LEVL_IDIO,LEVL_IDION:LEVL_HY_IDIO</v>
          </cell>
          <cell r="D3094" t="str">
            <v>Spread Duration</v>
          </cell>
          <cell r="E3094" t="str">
            <v>Spread Yield (DxS)</v>
          </cell>
          <cell r="F3094" t="str">
            <v>Idiosyncratic</v>
          </cell>
          <cell r="G3094" t="str">
            <v>Other</v>
          </cell>
          <cell r="H3094" t="str">
            <v>SPREADS_SPECIFIC</v>
          </cell>
          <cell r="I3094" t="str">
            <v>Leveraged Loans - Idiosyncratic</v>
          </cell>
        </row>
        <row r="3095">
          <cell r="A3095" t="str">
            <v>LEVLN_HY_IDIO</v>
          </cell>
          <cell r="B3095" t="str">
            <v>US Loans Idio</v>
          </cell>
          <cell r="C3095" t="str">
            <v>BRS_GOLD__5_SPREADS:BRS_GOLD__3_OTHER_SPREADS:LEV_LOANS,US_LOANS,LEV_LOAN_SP_RISK,LEVL_IDIO,LEVL_IDION,CLO:LEV_LOAN_SP_RISK,LEVL_IDIO,LEVL_IDION:LEVLN_HY_IDIO</v>
          </cell>
          <cell r="D3095" t="str">
            <v>Spread Duration</v>
          </cell>
          <cell r="E3095" t="str">
            <v>Spread Yield (DxS)</v>
          </cell>
          <cell r="F3095" t="str">
            <v>Idiosyncratic</v>
          </cell>
          <cell r="G3095" t="str">
            <v>Other</v>
          </cell>
          <cell r="H3095" t="str">
            <v>SPREADS_SPECIFIC</v>
          </cell>
          <cell r="I3095" t="str">
            <v>Leveraged Loans - Idiosyncratic</v>
          </cell>
        </row>
        <row r="3096">
          <cell r="A3096" t="str">
            <v>USD_CLO_AAA</v>
          </cell>
          <cell r="B3096" t="str">
            <v>USD CLO AAA</v>
          </cell>
          <cell r="C3096" t="str">
            <v>BRS_GOLD__5_SPREADS:BRS_GOLD__3_OTHER_SPREADS:LEV_LOANS,US_LOANS,LEV_LOAN_SP_RISK,LEVL_IDIO,LEVL_IDION,CLO:CLO:USD_CLO_AAA</v>
          </cell>
          <cell r="D3096" t="str">
            <v>Spread Duration</v>
          </cell>
          <cell r="E3096" t="str">
            <v>Other Spread Yield</v>
          </cell>
          <cell r="F3096" t="str">
            <v>Alternative</v>
          </cell>
          <cell r="G3096" t="str">
            <v>Other</v>
          </cell>
          <cell r="H3096" t="str">
            <v>ALTS</v>
          </cell>
          <cell r="I3096" t="str">
            <v>Leveraged Loans</v>
          </cell>
        </row>
        <row r="3097">
          <cell r="A3097" t="str">
            <v>USD_CLO_AA</v>
          </cell>
          <cell r="B3097" t="str">
            <v>USD CLO AA</v>
          </cell>
          <cell r="C3097" t="str">
            <v>BRS_GOLD__5_SPREADS:BRS_GOLD__3_OTHER_SPREADS:LEV_LOANS,US_LOANS,LEV_LOAN_SP_RISK,LEVL_IDIO,LEVL_IDION,CLO:CLO:USD_CLO_AA</v>
          </cell>
          <cell r="D3097" t="str">
            <v>Price</v>
          </cell>
          <cell r="E3097" t="str">
            <v>Price Level</v>
          </cell>
          <cell r="F3097" t="str">
            <v>Alternative</v>
          </cell>
          <cell r="G3097" t="str">
            <v>Other</v>
          </cell>
          <cell r="H3097" t="str">
            <v>ALTS</v>
          </cell>
          <cell r="I3097" t="str">
            <v>Leveraged Loans - Distressed</v>
          </cell>
        </row>
        <row r="3098">
          <cell r="A3098" t="str">
            <v>USD_CLO_A</v>
          </cell>
          <cell r="B3098" t="str">
            <v>USD CLO A</v>
          </cell>
          <cell r="C3098" t="str">
            <v>BRS_GOLD__5_SPREADS:BRS_GOLD__3_OTHER_SPREADS:LEV_LOANS,US_LOANS,LEV_LOAN_SP_RISK,LEVL_IDIO,LEVL_IDION,CLO:CLO:USD_CLO_A</v>
          </cell>
          <cell r="D3098" t="str">
            <v>Price</v>
          </cell>
          <cell r="E3098" t="str">
            <v>Price Level</v>
          </cell>
          <cell r="F3098" t="str">
            <v>Alternative</v>
          </cell>
          <cell r="G3098" t="str">
            <v>Other</v>
          </cell>
          <cell r="H3098" t="str">
            <v>ALTS</v>
          </cell>
          <cell r="I3098" t="str">
            <v>Leveraged Loans - Distressed</v>
          </cell>
        </row>
        <row r="3099">
          <cell r="A3099" t="str">
            <v>USD_CLO_BBB</v>
          </cell>
          <cell r="B3099" t="str">
            <v>USD CLO BBB</v>
          </cell>
          <cell r="C3099" t="str">
            <v>BRS_GOLD__5_SPREADS:BRS_GOLD__3_OTHER_SPREADS:LEV_LOANS,US_LOANS,LEV_LOAN_SP_RISK,LEVL_IDIO,LEVL_IDION,CLO:CLO:USD_CLO_BBB</v>
          </cell>
          <cell r="D3099" t="str">
            <v>Price</v>
          </cell>
          <cell r="E3099" t="str">
            <v>Price Level</v>
          </cell>
          <cell r="F3099" t="str">
            <v>Alternative</v>
          </cell>
          <cell r="G3099" t="str">
            <v>Other</v>
          </cell>
          <cell r="H3099" t="str">
            <v>ALTS</v>
          </cell>
          <cell r="I3099" t="str">
            <v>Leveraged Loans - Distressed</v>
          </cell>
        </row>
        <row r="3100">
          <cell r="A3100" t="str">
            <v>USD_CLO_BB</v>
          </cell>
          <cell r="B3100" t="str">
            <v>USD CLO BB</v>
          </cell>
          <cell r="C3100" t="str">
            <v>BRS_GOLD__5_SPREADS:BRS_GOLD__3_OTHER_SPREADS:LEV_LOANS,US_LOANS,LEV_LOAN_SP_RISK,LEVL_IDIO,LEVL_IDION,CLO:CLO:USD_CLO_BB</v>
          </cell>
          <cell r="D3100" t="str">
            <v>Price</v>
          </cell>
          <cell r="E3100" t="str">
            <v>Price Level</v>
          </cell>
          <cell r="F3100" t="str">
            <v>Alternative</v>
          </cell>
          <cell r="G3100" t="str">
            <v>Other</v>
          </cell>
          <cell r="H3100" t="str">
            <v>ALTS</v>
          </cell>
          <cell r="I3100" t="str">
            <v>Leveraged Loans - Distressed</v>
          </cell>
        </row>
        <row r="3101">
          <cell r="A3101" t="str">
            <v>EUR_CLO_AAA</v>
          </cell>
          <cell r="B3101" t="str">
            <v>EUR CLO AAA</v>
          </cell>
          <cell r="C3101" t="str">
            <v>BRS_GOLD__5_SPREADS:BRS_GOLD__3_OTHER_SPREADS:LEV_LOANS,US_LOANS,LEV_LOAN_SP_RISK,LEVL_IDIO,LEVL_IDION,CLO:CLO:EUR_CLO_AAA</v>
          </cell>
          <cell r="D3101" t="str">
            <v>Spread Duration</v>
          </cell>
          <cell r="E3101" t="str">
            <v>Other Spread Yield</v>
          </cell>
          <cell r="F3101" t="str">
            <v>Alternative</v>
          </cell>
          <cell r="G3101" t="str">
            <v>Other</v>
          </cell>
          <cell r="H3101" t="str">
            <v>ALTS</v>
          </cell>
          <cell r="I3101" t="str">
            <v>Leveraged Loans</v>
          </cell>
        </row>
        <row r="3102">
          <cell r="A3102" t="str">
            <v>EUR_CLO_AA</v>
          </cell>
          <cell r="B3102" t="str">
            <v>EUR CLO AA</v>
          </cell>
          <cell r="C3102" t="str">
            <v>BRS_GOLD__5_SPREADS:BRS_GOLD__3_OTHER_SPREADS:LEV_LOANS,US_LOANS,LEV_LOAN_SP_RISK,LEVL_IDIO,LEVL_IDION,CLO:CLO:EUR_CLO_AA</v>
          </cell>
          <cell r="D3102" t="str">
            <v>Price</v>
          </cell>
          <cell r="E3102" t="str">
            <v>Price Level</v>
          </cell>
          <cell r="F3102" t="str">
            <v>Alternative</v>
          </cell>
          <cell r="G3102" t="str">
            <v>Other</v>
          </cell>
          <cell r="H3102" t="str">
            <v>ALTS</v>
          </cell>
          <cell r="I3102" t="str">
            <v>Leveraged Loans - Distressed</v>
          </cell>
        </row>
        <row r="3103">
          <cell r="A3103" t="str">
            <v>EUR_CLO_A</v>
          </cell>
          <cell r="B3103" t="str">
            <v>EUR CLO A</v>
          </cell>
          <cell r="C3103" t="str">
            <v>BRS_GOLD__5_SPREADS:BRS_GOLD__3_OTHER_SPREADS:LEV_LOANS,US_LOANS,LEV_LOAN_SP_RISK,LEVL_IDIO,LEVL_IDION,CLO:CLO:EUR_CLO_A</v>
          </cell>
          <cell r="D3103" t="str">
            <v>Price</v>
          </cell>
          <cell r="E3103" t="str">
            <v>Price Level</v>
          </cell>
          <cell r="F3103" t="str">
            <v>Alternative</v>
          </cell>
          <cell r="G3103" t="str">
            <v>Other</v>
          </cell>
          <cell r="H3103" t="str">
            <v>ALTS</v>
          </cell>
          <cell r="I3103" t="str">
            <v>Leveraged Loans - Distressed</v>
          </cell>
        </row>
        <row r="3104">
          <cell r="A3104" t="str">
            <v>EUR_CLO_BBB</v>
          </cell>
          <cell r="B3104" t="str">
            <v>EUR CLO BBB</v>
          </cell>
          <cell r="C3104" t="str">
            <v>BRS_GOLD__5_SPREADS:BRS_GOLD__3_OTHER_SPREADS:LEV_LOANS,US_LOANS,LEV_LOAN_SP_RISK,LEVL_IDIO,LEVL_IDION,CLO:CLO:EUR_CLO_BBB</v>
          </cell>
          <cell r="D3104" t="str">
            <v>Price</v>
          </cell>
          <cell r="E3104" t="str">
            <v>Price Level</v>
          </cell>
          <cell r="F3104" t="str">
            <v>Alternative</v>
          </cell>
          <cell r="G3104" t="str">
            <v>Other</v>
          </cell>
          <cell r="H3104" t="str">
            <v>ALTS</v>
          </cell>
          <cell r="I3104" t="str">
            <v>Leveraged Loans - Distressed</v>
          </cell>
        </row>
        <row r="3105">
          <cell r="A3105" t="str">
            <v>EUR_CLO_BB</v>
          </cell>
          <cell r="B3105" t="str">
            <v>EUR CLO BB</v>
          </cell>
          <cell r="C3105" t="str">
            <v>BRS_GOLD__5_SPREADS:BRS_GOLD__3_OTHER_SPREADS:LEV_LOANS,US_LOANS,LEV_LOAN_SP_RISK,LEVL_IDIO,LEVL_IDION,CLO:CLO:EUR_CLO_BB</v>
          </cell>
          <cell r="D3105" t="str">
            <v>Price</v>
          </cell>
          <cell r="E3105" t="str">
            <v>Price Level</v>
          </cell>
          <cell r="F3105" t="str">
            <v>Alternative</v>
          </cell>
          <cell r="G3105" t="str">
            <v>Other</v>
          </cell>
          <cell r="H3105" t="str">
            <v>ALTS</v>
          </cell>
          <cell r="I3105" t="str">
            <v>Leveraged Loans - Distressed</v>
          </cell>
        </row>
        <row r="3106">
          <cell r="A3106" t="str">
            <v>ALL_CLO_AAA</v>
          </cell>
          <cell r="B3106" t="str">
            <v>Non $ CLO AAA</v>
          </cell>
          <cell r="C3106" t="str">
            <v>BRS_GOLD__5_SPREADS:BRS_GOLD__3_OTHER_SPREADS:LEV_LOANS,US_LOANS,LEV_LOAN_SP_RISK,LEVL_IDIO,LEVL_IDION,CLO:CLO:ALL_CLO_AAA</v>
          </cell>
          <cell r="D3106" t="str">
            <v>Spread Duration</v>
          </cell>
          <cell r="E3106" t="str">
            <v>Other Spread Yield</v>
          </cell>
          <cell r="F3106" t="str">
            <v>Alternative</v>
          </cell>
          <cell r="G3106" t="str">
            <v>Other</v>
          </cell>
          <cell r="H3106" t="str">
            <v>ALTS</v>
          </cell>
          <cell r="I3106" t="str">
            <v>Leveraged Loans</v>
          </cell>
        </row>
        <row r="3107">
          <cell r="A3107" t="str">
            <v>ALL_CLO_AA</v>
          </cell>
          <cell r="B3107" t="str">
            <v>Non $ CLO AA</v>
          </cell>
          <cell r="C3107" t="str">
            <v>BRS_GOLD__5_SPREADS:BRS_GOLD__3_OTHER_SPREADS:LEV_LOANS,US_LOANS,LEV_LOAN_SP_RISK,LEVL_IDIO,LEVL_IDION,CLO:CLO:ALL_CLO_AA</v>
          </cell>
          <cell r="D3107" t="str">
            <v>Price</v>
          </cell>
          <cell r="E3107" t="str">
            <v>Price Level</v>
          </cell>
          <cell r="F3107" t="str">
            <v>Alternative</v>
          </cell>
          <cell r="G3107" t="str">
            <v>Other</v>
          </cell>
          <cell r="H3107" t="str">
            <v>ALTS</v>
          </cell>
          <cell r="I3107" t="str">
            <v>Leveraged Loans - Distressed</v>
          </cell>
        </row>
        <row r="3108">
          <cell r="A3108" t="str">
            <v>ALL_CLO_A</v>
          </cell>
          <cell r="B3108" t="str">
            <v>Non $ CLO A</v>
          </cell>
          <cell r="C3108" t="str">
            <v>BRS_GOLD__5_SPREADS:BRS_GOLD__3_OTHER_SPREADS:LEV_LOANS,US_LOANS,LEV_LOAN_SP_RISK,LEVL_IDIO,LEVL_IDION,CLO:CLO:ALL_CLO_A</v>
          </cell>
          <cell r="D3108" t="str">
            <v>Price</v>
          </cell>
          <cell r="E3108" t="str">
            <v>Price Level</v>
          </cell>
          <cell r="F3108" t="str">
            <v>Alternative</v>
          </cell>
          <cell r="G3108" t="str">
            <v>Other</v>
          </cell>
          <cell r="H3108" t="str">
            <v>ALTS</v>
          </cell>
          <cell r="I3108" t="str">
            <v>Leveraged Loans - Distressed</v>
          </cell>
        </row>
        <row r="3109">
          <cell r="A3109" t="str">
            <v>ALL_CLO_BBB</v>
          </cell>
          <cell r="B3109" t="str">
            <v>Non $ CLO BBB</v>
          </cell>
          <cell r="C3109" t="str">
            <v>BRS_GOLD__5_SPREADS:BRS_GOLD__3_OTHER_SPREADS:LEV_LOANS,US_LOANS,LEV_LOAN_SP_RISK,LEVL_IDIO,LEVL_IDION,CLO:CLO:ALL_CLO_BBB</v>
          </cell>
          <cell r="D3109" t="str">
            <v>Price</v>
          </cell>
          <cell r="E3109" t="str">
            <v>Price Level</v>
          </cell>
          <cell r="F3109" t="str">
            <v>Alternative</v>
          </cell>
          <cell r="G3109" t="str">
            <v>Other</v>
          </cell>
          <cell r="H3109" t="str">
            <v>ALTS</v>
          </cell>
          <cell r="I3109" t="str">
            <v>Leveraged Loans - Distressed</v>
          </cell>
        </row>
        <row r="3110">
          <cell r="A3110" t="str">
            <v>ALL_CLO_BB</v>
          </cell>
          <cell r="B3110" t="str">
            <v>Non $ CLO BB</v>
          </cell>
          <cell r="C3110" t="str">
            <v>BRS_GOLD__5_SPREADS:BRS_GOLD__3_OTHER_SPREADS:LEV_LOANS,US_LOANS,LEV_LOAN_SP_RISK,LEVL_IDIO,LEVL_IDION,CLO:CLO:ALL_CLO_BB</v>
          </cell>
          <cell r="D3110" t="str">
            <v>Price</v>
          </cell>
          <cell r="E3110" t="str">
            <v>Price Level</v>
          </cell>
          <cell r="F3110" t="str">
            <v>Alternative</v>
          </cell>
          <cell r="G3110" t="str">
            <v>Other</v>
          </cell>
          <cell r="H3110" t="str">
            <v>ALTS</v>
          </cell>
          <cell r="I3110" t="str">
            <v>Leveraged Loans - Distressed</v>
          </cell>
        </row>
        <row r="3111">
          <cell r="A3111" t="str">
            <v>USD_CLO_GENERIC</v>
          </cell>
          <cell r="B3111" t="str">
            <v>USD CLO</v>
          </cell>
          <cell r="C3111" t="str">
            <v>BRS_GOLD__5_SPREADS:BRS_GOLD__3_OTHER_SPREADS:LEV_LOANS,US_LOANS,LEV_LOAN_SP_RISK,LEVL_IDIO,LEVL_IDION,CLO:CLO:USD_CLO_GENERIC</v>
          </cell>
          <cell r="D3111" t="str">
            <v>Spread Duration</v>
          </cell>
          <cell r="E3111" t="str">
            <v>Spread Yield (DxS)</v>
          </cell>
          <cell r="F3111" t="str">
            <v>Alternative</v>
          </cell>
          <cell r="G3111" t="str">
            <v>Other</v>
          </cell>
          <cell r="H3111" t="str">
            <v>ALTS</v>
          </cell>
          <cell r="I3111" t="str">
            <v>Leveraged Loans</v>
          </cell>
        </row>
        <row r="3112">
          <cell r="A3112" t="str">
            <v>USD_CLO_AAA_S</v>
          </cell>
          <cell r="B3112" t="str">
            <v>USD CLO AAA Spread</v>
          </cell>
          <cell r="C3112" t="str">
            <v>BRS_GOLD__5_SPREADS:BRS_GOLD__3_OTHER_SPREADS:LEV_LOANS,US_LOANS,LEV_LOAN_SP_RISK,LEVL_IDIO,LEVL_IDION,CLO:CLO:USD_CLO_AAA_S</v>
          </cell>
          <cell r="D3112" t="str">
            <v>Spread Duration</v>
          </cell>
          <cell r="E3112" t="str">
            <v>Other Spread Yield</v>
          </cell>
          <cell r="F3112" t="str">
            <v>Alternative</v>
          </cell>
          <cell r="G3112" t="str">
            <v>Other</v>
          </cell>
          <cell r="H3112" t="str">
            <v>ALTS</v>
          </cell>
          <cell r="I3112" t="str">
            <v>Leveraged Loans</v>
          </cell>
        </row>
        <row r="3113">
          <cell r="A3113" t="str">
            <v>USD_CLO_AA_S</v>
          </cell>
          <cell r="B3113" t="str">
            <v>USD CLO AA Spread</v>
          </cell>
          <cell r="C3113" t="str">
            <v>BRS_GOLD__5_SPREADS:BRS_GOLD__3_OTHER_SPREADS:LEV_LOANS,US_LOANS,LEV_LOAN_SP_RISK,LEVL_IDIO,LEVL_IDION,CLO:CLO:USD_CLO_AA_S</v>
          </cell>
          <cell r="D3113" t="str">
            <v>Spread Duration</v>
          </cell>
          <cell r="E3113" t="str">
            <v>Other Spread Yield</v>
          </cell>
          <cell r="F3113" t="str">
            <v>Alternative</v>
          </cell>
          <cell r="G3113" t="str">
            <v>Other</v>
          </cell>
          <cell r="H3113" t="str">
            <v>ALTS</v>
          </cell>
          <cell r="I3113" t="str">
            <v>Leveraged Loans</v>
          </cell>
        </row>
        <row r="3114">
          <cell r="A3114" t="str">
            <v>USD_CLO_A_S</v>
          </cell>
          <cell r="B3114" t="str">
            <v>USD CLO A Spread</v>
          </cell>
          <cell r="C3114" t="str">
            <v>BRS_GOLD__5_SPREADS:BRS_GOLD__3_OTHER_SPREADS:LEV_LOANS,US_LOANS,LEV_LOAN_SP_RISK,LEVL_IDIO,LEVL_IDION,CLO:CLO:USD_CLO_A_S</v>
          </cell>
          <cell r="D3114" t="str">
            <v>Spread Duration</v>
          </cell>
          <cell r="E3114" t="str">
            <v>Other Spread Yield</v>
          </cell>
          <cell r="F3114" t="str">
            <v>Alternative</v>
          </cell>
          <cell r="G3114" t="str">
            <v>Other</v>
          </cell>
          <cell r="H3114" t="str">
            <v>ALTS</v>
          </cell>
          <cell r="I3114" t="str">
            <v>Leveraged Loans</v>
          </cell>
        </row>
        <row r="3115">
          <cell r="A3115" t="str">
            <v>USD_CLO_BBB_S</v>
          </cell>
          <cell r="B3115" t="str">
            <v>USD CLO BBB Spread</v>
          </cell>
          <cell r="C3115" t="str">
            <v>BRS_GOLD__5_SPREADS:BRS_GOLD__3_OTHER_SPREADS:LEV_LOANS,US_LOANS,LEV_LOAN_SP_RISK,LEVL_IDIO,LEVL_IDION,CLO:CLO:USD_CLO_BBB_S</v>
          </cell>
          <cell r="D3115" t="str">
            <v>Spread Duration</v>
          </cell>
          <cell r="E3115" t="str">
            <v>Other Spread Yield</v>
          </cell>
          <cell r="F3115" t="str">
            <v>Alternative</v>
          </cell>
          <cell r="G3115" t="str">
            <v>Other</v>
          </cell>
          <cell r="H3115" t="str">
            <v>ALTS</v>
          </cell>
          <cell r="I3115" t="str">
            <v>Leveraged Loans</v>
          </cell>
        </row>
        <row r="3116">
          <cell r="A3116" t="str">
            <v>USD_CLO_BB_S</v>
          </cell>
          <cell r="B3116" t="str">
            <v>USD CLO BB Spread</v>
          </cell>
          <cell r="C3116" t="str">
            <v>BRS_GOLD__5_SPREADS:BRS_GOLD__3_OTHER_SPREADS:LEV_LOANS,US_LOANS,LEV_LOAN_SP_RISK,LEVL_IDIO,LEVL_IDION,CLO:CLO:USD_CLO_BB_S</v>
          </cell>
          <cell r="D3116" t="str">
            <v>Spread Duration</v>
          </cell>
          <cell r="E3116" t="str">
            <v>Other Spread Yield</v>
          </cell>
          <cell r="F3116" t="str">
            <v>Alternative</v>
          </cell>
          <cell r="G3116" t="str">
            <v>Other</v>
          </cell>
          <cell r="H3116" t="str">
            <v>ALTS</v>
          </cell>
          <cell r="I3116" t="str">
            <v>Leveraged Loans</v>
          </cell>
        </row>
        <row r="3117">
          <cell r="A3117" t="str">
            <v>USD_CLO_AAA_S06</v>
          </cell>
          <cell r="B3117" t="str">
            <v>USD CLO AAA Spread 06-07</v>
          </cell>
          <cell r="C3117" t="str">
            <v>BRS_GOLD__5_SPREADS:BRS_GOLD__3_OTHER_SPREADS:LEV_LOANS,US_LOANS,LEV_LOAN_SP_RISK,LEVL_IDIO,LEVL_IDION,CLO:CLO:USD_CLO_AAA_S06</v>
          </cell>
          <cell r="D3117" t="str">
            <v>Spread Duration</v>
          </cell>
          <cell r="E3117" t="str">
            <v>Other Spread Yield</v>
          </cell>
          <cell r="F3117" t="str">
            <v>Alternative</v>
          </cell>
          <cell r="G3117" t="str">
            <v>Other</v>
          </cell>
          <cell r="H3117" t="str">
            <v>ALTS</v>
          </cell>
          <cell r="I3117" t="str">
            <v>Leveraged Loans</v>
          </cell>
        </row>
        <row r="3118">
          <cell r="A3118" t="str">
            <v>USD_CLO_AA_S06</v>
          </cell>
          <cell r="B3118" t="str">
            <v>USD CLO AA Spread 06-07</v>
          </cell>
          <cell r="C3118" t="str">
            <v>BRS_GOLD__5_SPREADS:BRS_GOLD__3_OTHER_SPREADS:LEV_LOANS,US_LOANS,LEV_LOAN_SP_RISK,LEVL_IDIO,LEVL_IDION,CLO:CLO:USD_CLO_AA_S06</v>
          </cell>
          <cell r="D3118" t="str">
            <v>Spread Duration</v>
          </cell>
          <cell r="E3118" t="str">
            <v>Other Spread Yield</v>
          </cell>
          <cell r="F3118" t="str">
            <v>Alternative</v>
          </cell>
          <cell r="G3118" t="str">
            <v>Other</v>
          </cell>
          <cell r="H3118" t="str">
            <v>ALTS</v>
          </cell>
          <cell r="I3118" t="str">
            <v>Leveraged Loans</v>
          </cell>
        </row>
        <row r="3119">
          <cell r="A3119" t="str">
            <v>USD_CLO_A_S06</v>
          </cell>
          <cell r="B3119" t="str">
            <v>USD CLO A Spread 06-07</v>
          </cell>
          <cell r="C3119" t="str">
            <v>BRS_GOLD__5_SPREADS:BRS_GOLD__3_OTHER_SPREADS:LEV_LOANS,US_LOANS,LEV_LOAN_SP_RISK,LEVL_IDIO,LEVL_IDION,CLO:CLO:USD_CLO_A_S06</v>
          </cell>
          <cell r="D3119" t="str">
            <v>Spread Duration</v>
          </cell>
          <cell r="E3119" t="str">
            <v>Other Spread Yield</v>
          </cell>
          <cell r="F3119" t="str">
            <v>Alternative</v>
          </cell>
          <cell r="G3119" t="str">
            <v>Other</v>
          </cell>
          <cell r="H3119" t="str">
            <v>ALTS</v>
          </cell>
          <cell r="I3119" t="str">
            <v>Leveraged Loans</v>
          </cell>
        </row>
        <row r="3120">
          <cell r="A3120" t="str">
            <v>USD_CLO_BBB_S06</v>
          </cell>
          <cell r="B3120" t="str">
            <v>USD CLO BBB Spread 06-07</v>
          </cell>
          <cell r="C3120" t="str">
            <v>BRS_GOLD__5_SPREADS:BRS_GOLD__3_OTHER_SPREADS:LEV_LOANS,US_LOANS,LEV_LOAN_SP_RISK,LEVL_IDIO,LEVL_IDION,CLO:CLO:USD_CLO_BBB_S06</v>
          </cell>
          <cell r="D3120" t="str">
            <v>Spread Duration</v>
          </cell>
          <cell r="E3120" t="str">
            <v>Other Spread Yield</v>
          </cell>
          <cell r="F3120" t="str">
            <v>Alternative</v>
          </cell>
          <cell r="G3120" t="str">
            <v>Other</v>
          </cell>
          <cell r="H3120" t="str">
            <v>ALTS</v>
          </cell>
          <cell r="I3120" t="str">
            <v>Leveraged Loans</v>
          </cell>
        </row>
        <row r="3121">
          <cell r="A3121" t="str">
            <v>USD_CLO_BB_S06</v>
          </cell>
          <cell r="B3121" t="str">
            <v>USD CLO BB Spread 06-07</v>
          </cell>
          <cell r="C3121" t="str">
            <v>BRS_GOLD__5_SPREADS:BRS_GOLD__3_OTHER_SPREADS:LEV_LOANS,US_LOANS,LEV_LOAN_SP_RISK,LEVL_IDIO,LEVL_IDION,CLO:CLO:USD_CLO_BB_S06</v>
          </cell>
          <cell r="D3121" t="str">
            <v>Spread Duration</v>
          </cell>
          <cell r="E3121" t="str">
            <v>Other Spread Yield</v>
          </cell>
          <cell r="F3121" t="str">
            <v>Alternative</v>
          </cell>
          <cell r="G3121" t="str">
            <v>Other</v>
          </cell>
          <cell r="H3121" t="str">
            <v>ALTS</v>
          </cell>
          <cell r="I3121" t="str">
            <v>Leveraged Loans</v>
          </cell>
        </row>
        <row r="3122">
          <cell r="A3122" t="str">
            <v>EUR_CLO_GENERIC</v>
          </cell>
          <cell r="B3122" t="str">
            <v>EUR CLO</v>
          </cell>
          <cell r="C3122" t="str">
            <v>BRS_GOLD__5_SPREADS:BRS_GOLD__3_OTHER_SPREADS:LEV_LOANS,US_LOANS,LEV_LOAN_SP_RISK,LEVL_IDIO,LEVL_IDION,CLO:CLO:EUR_CLO_GENERIC</v>
          </cell>
          <cell r="D3122" t="str">
            <v>Spread Duration</v>
          </cell>
          <cell r="E3122" t="str">
            <v>Spread Yield (DxS)</v>
          </cell>
          <cell r="F3122" t="str">
            <v>Alternative</v>
          </cell>
          <cell r="G3122" t="str">
            <v>Other</v>
          </cell>
          <cell r="H3122" t="str">
            <v>ALTS</v>
          </cell>
          <cell r="I3122" t="str">
            <v>Leveraged Loans</v>
          </cell>
        </row>
        <row r="3123">
          <cell r="A3123" t="str">
            <v>ALL_CLO_GENERIC</v>
          </cell>
          <cell r="B3123" t="str">
            <v>Other CLO</v>
          </cell>
          <cell r="C3123" t="str">
            <v>BRS_GOLD__5_SPREADS:BRS_GOLD__3_OTHER_SPREADS:LEV_LOANS,US_LOANS,LEV_LOAN_SP_RISK,LEVL_IDIO,LEVL_IDION,CLO:CLO:ALL_CLO_GENERIC</v>
          </cell>
          <cell r="D3123" t="str">
            <v>Spread Duration</v>
          </cell>
          <cell r="E3123" t="str">
            <v>Spread Yield (DxS)</v>
          </cell>
          <cell r="F3123" t="str">
            <v>Alternative</v>
          </cell>
          <cell r="G3123" t="str">
            <v>Other</v>
          </cell>
          <cell r="H3123" t="str">
            <v>ALTS</v>
          </cell>
          <cell r="I3123" t="str">
            <v>Leveraged Loans</v>
          </cell>
        </row>
        <row r="3124">
          <cell r="A3124" t="str">
            <v>EUR_ECLO_IG</v>
          </cell>
          <cell r="B3124" t="str">
            <v>Pan Euro CLO IG</v>
          </cell>
          <cell r="C3124" t="str">
            <v>BRS_GOLD__5_SPREADS:BRS_GOLD__3_OTHER_SPREADS:LEV_LOANS,US_LOANS,LEV_LOAN_SP_RISK,LEVL_IDIO,LEVL_IDION,CLO:CLO:EUR_ECLO_IG</v>
          </cell>
          <cell r="D3124" t="str">
            <v>Spread Duration</v>
          </cell>
          <cell r="E3124" t="str">
            <v>Spread Yield (DxS)</v>
          </cell>
          <cell r="F3124" t="str">
            <v>Alternative</v>
          </cell>
          <cell r="G3124" t="str">
            <v>Other</v>
          </cell>
          <cell r="H3124" t="str">
            <v>ALTS</v>
          </cell>
          <cell r="I3124" t="str">
            <v>Leveraged Loans</v>
          </cell>
        </row>
        <row r="3125">
          <cell r="A3125" t="str">
            <v>EUR_ECLO_HY</v>
          </cell>
          <cell r="B3125" t="str">
            <v>Pan Euro CLO HY</v>
          </cell>
          <cell r="C3125" t="str">
            <v>BRS_GOLD__5_SPREADS:BRS_GOLD__3_OTHER_SPREADS:LEV_LOANS,US_LOANS,LEV_LOAN_SP_RISK,LEVL_IDIO,LEVL_IDION,CLO:CLO:EUR_ECLO_HY</v>
          </cell>
          <cell r="D3125" t="str">
            <v>Spread Duration</v>
          </cell>
          <cell r="E3125" t="str">
            <v>Spread Yield (DxS)</v>
          </cell>
          <cell r="F3125" t="str">
            <v>Alternative</v>
          </cell>
          <cell r="G3125" t="str">
            <v>Other</v>
          </cell>
          <cell r="H3125" t="str">
            <v>ALTS</v>
          </cell>
          <cell r="I3125" t="str">
            <v>Leveraged Loans</v>
          </cell>
        </row>
        <row r="3126">
          <cell r="A3126" t="str">
            <v>EUR_ECLO_IG_SF</v>
          </cell>
          <cell r="B3126" t="str">
            <v>Pan Euro CLO IG</v>
          </cell>
          <cell r="C3126" t="str">
            <v>BRS_GOLD__5_SPREADS:BRS_GOLD__3_OTHER_SPREADS:LEV_LOANS,US_LOANS,LEV_LOAN_SP_RISK,LEVL_IDIO,LEVL_IDION,CLO:CLO:EUR_ECLO_IG_SF</v>
          </cell>
          <cell r="D3126" t="str">
            <v>Spread Duration</v>
          </cell>
          <cell r="E3126" t="str">
            <v>Spread Yield (DxS)</v>
          </cell>
          <cell r="F3126" t="str">
            <v>Alternative</v>
          </cell>
          <cell r="G3126" t="str">
            <v>Other</v>
          </cell>
          <cell r="H3126" t="str">
            <v>ALTS</v>
          </cell>
          <cell r="I3126" t="str">
            <v>Leveraged Loans</v>
          </cell>
        </row>
        <row r="3127">
          <cell r="A3127" t="str">
            <v>EUR_ECLO_HY_SF</v>
          </cell>
          <cell r="B3127" t="str">
            <v>Pan Euro CLO HY</v>
          </cell>
          <cell r="C3127" t="str">
            <v>BRS_GOLD__5_SPREADS:BRS_GOLD__3_OTHER_SPREADS:LEV_LOANS,US_LOANS,LEV_LOAN_SP_RISK,LEVL_IDIO,LEVL_IDION,CLO:CLO:EUR_ECLO_HY_SF</v>
          </cell>
          <cell r="D3127" t="str">
            <v>Spread Duration</v>
          </cell>
          <cell r="E3127" t="str">
            <v>Spread Yield (DxS)</v>
          </cell>
          <cell r="F3127" t="str">
            <v>Alternative</v>
          </cell>
          <cell r="G3127" t="str">
            <v>Other</v>
          </cell>
          <cell r="H3127" t="str">
            <v>ALTS</v>
          </cell>
          <cell r="I3127" t="str">
            <v>Leveraged Loans</v>
          </cell>
        </row>
        <row r="3128">
          <cell r="A3128" t="str">
            <v>CML_SP_RISK</v>
          </cell>
          <cell r="B3128" t="str">
            <v>CML Idiosyncratic</v>
          </cell>
          <cell r="C3128" t="str">
            <v>BRS_GOLD__5_SPREADS:BRS_GOLD__3_OTHER_SPREADS:ALL_CML:CML_SP_RISK</v>
          </cell>
          <cell r="D3128" t="str">
            <v>Specific Risk</v>
          </cell>
          <cell r="E3128" t="str">
            <v>Specific Risk</v>
          </cell>
          <cell r="F3128" t="str">
            <v>Idiosyncratic</v>
          </cell>
          <cell r="G3128" t="str">
            <v>Other</v>
          </cell>
          <cell r="H3128" t="str">
            <v>OTHER_SPECIFIC</v>
          </cell>
          <cell r="I3128" t="str">
            <v>Money Market - Idiosyncratic</v>
          </cell>
        </row>
        <row r="3129">
          <cell r="A3129" t="str">
            <v>USD_DEPO_Sprd_2w</v>
          </cell>
          <cell r="B3129" t="str">
            <v>DEPO Sprd 2w</v>
          </cell>
          <cell r="C3129" t="str">
            <v>BRS_GOLD__5_SPREADS:BRS_GOLD__3_OTHER_SPREADS:USD_DEPO_SPRD,USD_CP_A1P1_SPRD,USD_CP_A2P2_SPRD,USD_BMA_SWAP_SPRD:USD_DEPO_SPRD:USD_DEPO_Sprd_2w</v>
          </cell>
          <cell r="D3129" t="str">
            <v>Spread Duration</v>
          </cell>
          <cell r="E3129" t="str">
            <v>Spread Yield</v>
          </cell>
          <cell r="F3129" t="str">
            <v>Other</v>
          </cell>
          <cell r="G3129" t="str">
            <v>Other</v>
          </cell>
          <cell r="H3129" t="str">
            <v>SPREADS</v>
          </cell>
          <cell r="I3129" t="str">
            <v>Money Market</v>
          </cell>
        </row>
        <row r="3130">
          <cell r="A3130" t="str">
            <v>USD_DEPO_Sprd_1m</v>
          </cell>
          <cell r="B3130" t="str">
            <v>DEPO Sprd 1m</v>
          </cell>
          <cell r="C3130" t="str">
            <v>BRS_GOLD__5_SPREADS:BRS_GOLD__3_OTHER_SPREADS:USD_DEPO_SPRD,USD_CP_A1P1_SPRD,USD_CP_A2P2_SPRD,USD_BMA_SWAP_SPRD:USD_DEPO_SPRD:USD_DEPO_Sprd_1m</v>
          </cell>
          <cell r="D3130" t="str">
            <v>Spread Duration</v>
          </cell>
          <cell r="E3130" t="str">
            <v>Spread Yield</v>
          </cell>
          <cell r="F3130" t="str">
            <v>Other</v>
          </cell>
          <cell r="G3130" t="str">
            <v>Other</v>
          </cell>
          <cell r="H3130" t="str">
            <v>SPREADS</v>
          </cell>
          <cell r="I3130" t="str">
            <v>Money Market</v>
          </cell>
        </row>
        <row r="3131">
          <cell r="A3131" t="str">
            <v>USD_DEPO_Sprd_2m</v>
          </cell>
          <cell r="B3131" t="str">
            <v>DEPO Sprd 2m</v>
          </cell>
          <cell r="C3131" t="str">
            <v>BRS_GOLD__5_SPREADS:BRS_GOLD__3_OTHER_SPREADS:USD_DEPO_SPRD,USD_CP_A1P1_SPRD,USD_CP_A2P2_SPRD,USD_BMA_SWAP_SPRD:USD_DEPO_SPRD:USD_DEPO_Sprd_2m</v>
          </cell>
          <cell r="D3131" t="str">
            <v>Spread Duration</v>
          </cell>
          <cell r="E3131" t="str">
            <v>Spread Yield</v>
          </cell>
          <cell r="F3131" t="str">
            <v>Other</v>
          </cell>
          <cell r="G3131" t="str">
            <v>Other</v>
          </cell>
          <cell r="H3131" t="str">
            <v>SPREADS</v>
          </cell>
          <cell r="I3131" t="str">
            <v>Money Market</v>
          </cell>
        </row>
        <row r="3132">
          <cell r="A3132" t="str">
            <v>USD_DEPO_Sprd_3m</v>
          </cell>
          <cell r="B3132" t="str">
            <v>DEPO Sprd 3m</v>
          </cell>
          <cell r="C3132" t="str">
            <v>BRS_GOLD__5_SPREADS:BRS_GOLD__3_OTHER_SPREADS:USD_DEPO_SPRD,USD_CP_A1P1_SPRD,USD_CP_A2P2_SPRD,USD_BMA_SWAP_SPRD:USD_DEPO_SPRD:USD_DEPO_Sprd_3m</v>
          </cell>
          <cell r="D3132" t="str">
            <v>Spread Duration</v>
          </cell>
          <cell r="E3132" t="str">
            <v>Spread Yield</v>
          </cell>
          <cell r="F3132" t="str">
            <v>Other</v>
          </cell>
          <cell r="G3132" t="str">
            <v>Other</v>
          </cell>
          <cell r="H3132" t="str">
            <v>SPREADS</v>
          </cell>
          <cell r="I3132" t="str">
            <v>Money Market</v>
          </cell>
        </row>
        <row r="3133">
          <cell r="A3133" t="str">
            <v>USD_DEPO_Sprd_6m</v>
          </cell>
          <cell r="B3133" t="str">
            <v>DEPO Sprd 6m</v>
          </cell>
          <cell r="C3133" t="str">
            <v>BRS_GOLD__5_SPREADS:BRS_GOLD__3_OTHER_SPREADS:USD_DEPO_SPRD,USD_CP_A1P1_SPRD,USD_CP_A2P2_SPRD,USD_BMA_SWAP_SPRD:USD_DEPO_SPRD:USD_DEPO_Sprd_6m</v>
          </cell>
          <cell r="D3133" t="str">
            <v>Spread Duration</v>
          </cell>
          <cell r="E3133" t="str">
            <v>Spread Yield</v>
          </cell>
          <cell r="F3133" t="str">
            <v>Other</v>
          </cell>
          <cell r="G3133" t="str">
            <v>Other</v>
          </cell>
          <cell r="H3133" t="str">
            <v>SPREADS</v>
          </cell>
          <cell r="I3133" t="str">
            <v>Money Market</v>
          </cell>
        </row>
        <row r="3134">
          <cell r="A3134" t="str">
            <v>USD_DEPO_Sprd_12m</v>
          </cell>
          <cell r="B3134" t="str">
            <v>DEPO Sprd 12m</v>
          </cell>
          <cell r="C3134" t="str">
            <v>BRS_GOLD__5_SPREADS:BRS_GOLD__3_OTHER_SPREADS:USD_DEPO_SPRD,USD_CP_A1P1_SPRD,USD_CP_A2P2_SPRD,USD_BMA_SWAP_SPRD:USD_DEPO_SPRD:USD_DEPO_Sprd_12m</v>
          </cell>
          <cell r="D3134" t="str">
            <v>Spread Duration</v>
          </cell>
          <cell r="E3134" t="str">
            <v>Spread Yield</v>
          </cell>
          <cell r="F3134" t="str">
            <v>Other</v>
          </cell>
          <cell r="G3134" t="str">
            <v>Other</v>
          </cell>
          <cell r="H3134" t="str">
            <v>SPREADS</v>
          </cell>
          <cell r="I3134" t="str">
            <v>Money Market</v>
          </cell>
        </row>
        <row r="3135">
          <cell r="A3135" t="str">
            <v>USD_CP_A1P1_Sprd_2w</v>
          </cell>
          <cell r="B3135" t="str">
            <v>CP A1P1 Sprd 2w</v>
          </cell>
          <cell r="C3135" t="str">
            <v>BRS_GOLD__5_SPREADS:BRS_GOLD__3_OTHER_SPREADS:USD_DEPO_SPRD,USD_CP_A1P1_SPRD,USD_CP_A2P2_SPRD,USD_BMA_SWAP_SPRD:USD_CP_A1P1_SPRD,USD_CP_A2P2_SPRD:USD_CP_A1P1_SPRD:USD_CP_A1P1_Sprd_2w</v>
          </cell>
          <cell r="D3135" t="str">
            <v>Spread Duration</v>
          </cell>
          <cell r="E3135" t="str">
            <v>Spread Yield</v>
          </cell>
          <cell r="F3135" t="str">
            <v>Other</v>
          </cell>
          <cell r="G3135" t="str">
            <v>Other</v>
          </cell>
          <cell r="H3135" t="str">
            <v>SPREADS</v>
          </cell>
          <cell r="I3135" t="str">
            <v>Money Market</v>
          </cell>
        </row>
        <row r="3136">
          <cell r="A3136" t="str">
            <v>USD_CP_A1P1_Sprd_1m</v>
          </cell>
          <cell r="B3136" t="str">
            <v>CP A1P1 Sprd 1m</v>
          </cell>
          <cell r="C3136" t="str">
            <v>BRS_GOLD__5_SPREADS:BRS_GOLD__3_OTHER_SPREADS:USD_DEPO_SPRD,USD_CP_A1P1_SPRD,USD_CP_A2P2_SPRD,USD_BMA_SWAP_SPRD:USD_CP_A1P1_SPRD,USD_CP_A2P2_SPRD:USD_CP_A1P1_SPRD:USD_CP_A1P1_Sprd_1m</v>
          </cell>
          <cell r="D3136" t="str">
            <v>Spread Duration</v>
          </cell>
          <cell r="E3136" t="str">
            <v>Spread Yield</v>
          </cell>
          <cell r="F3136" t="str">
            <v>Other</v>
          </cell>
          <cell r="G3136" t="str">
            <v>Other</v>
          </cell>
          <cell r="H3136" t="str">
            <v>SPREADS</v>
          </cell>
          <cell r="I3136" t="str">
            <v>Money Market</v>
          </cell>
        </row>
        <row r="3137">
          <cell r="A3137" t="str">
            <v>USD_CP_A1P1_Sprd_2m</v>
          </cell>
          <cell r="B3137" t="str">
            <v>CP A1P1 Sprd 2m</v>
          </cell>
          <cell r="C3137" t="str">
            <v>BRS_GOLD__5_SPREADS:BRS_GOLD__3_OTHER_SPREADS:USD_DEPO_SPRD,USD_CP_A1P1_SPRD,USD_CP_A2P2_SPRD,USD_BMA_SWAP_SPRD:USD_CP_A1P1_SPRD,USD_CP_A2P2_SPRD:USD_CP_A1P1_SPRD:USD_CP_A1P1_Sprd_2m</v>
          </cell>
          <cell r="D3137" t="str">
            <v>Spread Duration</v>
          </cell>
          <cell r="E3137" t="str">
            <v>Spread Yield</v>
          </cell>
          <cell r="F3137" t="str">
            <v>Other</v>
          </cell>
          <cell r="G3137" t="str">
            <v>Other</v>
          </cell>
          <cell r="H3137" t="str">
            <v>SPREADS</v>
          </cell>
          <cell r="I3137" t="str">
            <v>Money Market</v>
          </cell>
        </row>
        <row r="3138">
          <cell r="A3138" t="str">
            <v>USD_CP_A1P1_Sprd_3m</v>
          </cell>
          <cell r="B3138" t="str">
            <v>CP A1P1 Sprd 3m</v>
          </cell>
          <cell r="C3138" t="str">
            <v>BRS_GOLD__5_SPREADS:BRS_GOLD__3_OTHER_SPREADS:USD_DEPO_SPRD,USD_CP_A1P1_SPRD,USD_CP_A2P2_SPRD,USD_BMA_SWAP_SPRD:USD_CP_A1P1_SPRD,USD_CP_A2P2_SPRD:USD_CP_A1P1_SPRD:USD_CP_A1P1_Sprd_3m</v>
          </cell>
          <cell r="D3138" t="str">
            <v>Spread Duration</v>
          </cell>
          <cell r="E3138" t="str">
            <v>Spread Yield</v>
          </cell>
          <cell r="F3138" t="str">
            <v>Other</v>
          </cell>
          <cell r="G3138" t="str">
            <v>Other</v>
          </cell>
          <cell r="H3138" t="str">
            <v>SPREADS</v>
          </cell>
          <cell r="I3138" t="str">
            <v>Money Market</v>
          </cell>
        </row>
        <row r="3139">
          <cell r="A3139" t="str">
            <v>USD_CP_A1P1_Sprd_6m</v>
          </cell>
          <cell r="B3139" t="str">
            <v>CP A1P1 Sprd 6m</v>
          </cell>
          <cell r="C3139" t="str">
            <v>BRS_GOLD__5_SPREADS:BRS_GOLD__3_OTHER_SPREADS:USD_DEPO_SPRD,USD_CP_A1P1_SPRD,USD_CP_A2P2_SPRD,USD_BMA_SWAP_SPRD:USD_CP_A1P1_SPRD,USD_CP_A2P2_SPRD:USD_CP_A1P1_SPRD:USD_CP_A1P1_Sprd_6m</v>
          </cell>
          <cell r="D3139" t="str">
            <v>Spread Duration</v>
          </cell>
          <cell r="E3139" t="str">
            <v>Spread Yield</v>
          </cell>
          <cell r="F3139" t="str">
            <v>Other</v>
          </cell>
          <cell r="G3139" t="str">
            <v>Other</v>
          </cell>
          <cell r="H3139" t="str">
            <v>SPREADS</v>
          </cell>
          <cell r="I3139" t="str">
            <v>Money Market</v>
          </cell>
        </row>
        <row r="3140">
          <cell r="A3140" t="str">
            <v>USD_CP_A1P1_Sprd_12m</v>
          </cell>
          <cell r="B3140" t="str">
            <v>CP A1P1 Sprd 12m</v>
          </cell>
          <cell r="C3140" t="str">
            <v>BRS_GOLD__5_SPREADS:BRS_GOLD__3_OTHER_SPREADS:USD_DEPO_SPRD,USD_CP_A1P1_SPRD,USD_CP_A2P2_SPRD,USD_BMA_SWAP_SPRD:USD_CP_A1P1_SPRD,USD_CP_A2P2_SPRD:USD_CP_A1P1_SPRD:USD_CP_A1P1_Sprd_12m</v>
          </cell>
          <cell r="D3140" t="str">
            <v>Spread Duration</v>
          </cell>
          <cell r="E3140" t="str">
            <v>Spread Yield</v>
          </cell>
          <cell r="F3140" t="str">
            <v>Other</v>
          </cell>
          <cell r="G3140" t="str">
            <v>Other</v>
          </cell>
          <cell r="H3140" t="str">
            <v>SPREADS</v>
          </cell>
          <cell r="I3140" t="str">
            <v>Money Market</v>
          </cell>
        </row>
        <row r="3141">
          <cell r="A3141" t="str">
            <v>USD_CP_A2P2_Sprd_2w</v>
          </cell>
          <cell r="B3141" t="str">
            <v>CP A2P2 Sprd 2w</v>
          </cell>
          <cell r="C3141" t="str">
            <v>BRS_GOLD__5_SPREADS:BRS_GOLD__3_OTHER_SPREADS:USD_DEPO_SPRD,USD_CP_A1P1_SPRD,USD_CP_A2P2_SPRD,USD_BMA_SWAP_SPRD:USD_CP_A1P1_SPRD,USD_CP_A2P2_SPRD:USD_CP_A2P2_SPRD:USD_CP_A2P2_Sprd_2w</v>
          </cell>
          <cell r="D3141" t="str">
            <v>Spread Duration</v>
          </cell>
          <cell r="E3141" t="str">
            <v>Spread Yield</v>
          </cell>
          <cell r="F3141" t="str">
            <v>Other</v>
          </cell>
          <cell r="G3141" t="str">
            <v>Other</v>
          </cell>
          <cell r="H3141" t="str">
            <v>SPREADS</v>
          </cell>
          <cell r="I3141" t="str">
            <v>Money Market</v>
          </cell>
        </row>
        <row r="3142">
          <cell r="A3142" t="str">
            <v>USD_CP_A2P2_Sprd_1m</v>
          </cell>
          <cell r="B3142" t="str">
            <v>CP A2P2 Sprd 1m</v>
          </cell>
          <cell r="C3142" t="str">
            <v>BRS_GOLD__5_SPREADS:BRS_GOLD__3_OTHER_SPREADS:USD_DEPO_SPRD,USD_CP_A1P1_SPRD,USD_CP_A2P2_SPRD,USD_BMA_SWAP_SPRD:USD_CP_A1P1_SPRD,USD_CP_A2P2_SPRD:USD_CP_A2P2_SPRD:USD_CP_A2P2_Sprd_1m</v>
          </cell>
          <cell r="D3142" t="str">
            <v>Spread Duration</v>
          </cell>
          <cell r="E3142" t="str">
            <v>Spread Yield</v>
          </cell>
          <cell r="F3142" t="str">
            <v>Other</v>
          </cell>
          <cell r="G3142" t="str">
            <v>Other</v>
          </cell>
          <cell r="H3142" t="str">
            <v>SPREADS</v>
          </cell>
          <cell r="I3142" t="str">
            <v>Money Market</v>
          </cell>
        </row>
        <row r="3143">
          <cell r="A3143" t="str">
            <v>USD_CP_A2P2_Sprd_2m</v>
          </cell>
          <cell r="B3143" t="str">
            <v>CP A2P2 Sprd 2m</v>
          </cell>
          <cell r="C3143" t="str">
            <v>BRS_GOLD__5_SPREADS:BRS_GOLD__3_OTHER_SPREADS:USD_DEPO_SPRD,USD_CP_A1P1_SPRD,USD_CP_A2P2_SPRD,USD_BMA_SWAP_SPRD:USD_CP_A1P1_SPRD,USD_CP_A2P2_SPRD:USD_CP_A2P2_SPRD:USD_CP_A2P2_Sprd_2m</v>
          </cell>
          <cell r="D3143" t="str">
            <v>Spread Duration</v>
          </cell>
          <cell r="E3143" t="str">
            <v>Spread Yield</v>
          </cell>
          <cell r="F3143" t="str">
            <v>Other</v>
          </cell>
          <cell r="G3143" t="str">
            <v>Other</v>
          </cell>
          <cell r="H3143" t="str">
            <v>SPREADS</v>
          </cell>
          <cell r="I3143" t="str">
            <v>Money Market</v>
          </cell>
        </row>
        <row r="3144">
          <cell r="A3144" t="str">
            <v>USD_CP_A2P2_Sprd_3m</v>
          </cell>
          <cell r="B3144" t="str">
            <v>CP A2P2 Sprd 3m</v>
          </cell>
          <cell r="C3144" t="str">
            <v>BRS_GOLD__5_SPREADS:BRS_GOLD__3_OTHER_SPREADS:USD_DEPO_SPRD,USD_CP_A1P1_SPRD,USD_CP_A2P2_SPRD,USD_BMA_SWAP_SPRD:USD_CP_A1P1_SPRD,USD_CP_A2P2_SPRD:USD_CP_A2P2_SPRD:USD_CP_A2P2_Sprd_3m</v>
          </cell>
          <cell r="D3144" t="str">
            <v>Spread Duration</v>
          </cell>
          <cell r="E3144" t="str">
            <v>Spread Yield</v>
          </cell>
          <cell r="F3144" t="str">
            <v>Other</v>
          </cell>
          <cell r="G3144" t="str">
            <v>Other</v>
          </cell>
          <cell r="H3144" t="str">
            <v>SPREADS</v>
          </cell>
          <cell r="I3144" t="str">
            <v>Money Market</v>
          </cell>
        </row>
        <row r="3145">
          <cell r="A3145" t="str">
            <v>USD_CP_A2P2_Sprd_6m</v>
          </cell>
          <cell r="B3145" t="str">
            <v>CP A2P2 Sprd 6m</v>
          </cell>
          <cell r="C3145" t="str">
            <v>BRS_GOLD__5_SPREADS:BRS_GOLD__3_OTHER_SPREADS:USD_DEPO_SPRD,USD_CP_A1P1_SPRD,USD_CP_A2P2_SPRD,USD_BMA_SWAP_SPRD:USD_CP_A1P1_SPRD,USD_CP_A2P2_SPRD:USD_CP_A2P2_SPRD:USD_CP_A2P2_Sprd_6m</v>
          </cell>
          <cell r="D3145" t="str">
            <v>Spread Duration</v>
          </cell>
          <cell r="E3145" t="str">
            <v>Spread Yield</v>
          </cell>
          <cell r="F3145" t="str">
            <v>Other</v>
          </cell>
          <cell r="G3145" t="str">
            <v>Other</v>
          </cell>
          <cell r="H3145" t="str">
            <v>SPREADS</v>
          </cell>
          <cell r="I3145" t="str">
            <v>Money Market</v>
          </cell>
        </row>
        <row r="3146">
          <cell r="A3146" t="str">
            <v>USD_CP_A2P2_Sprd_12m</v>
          </cell>
          <cell r="B3146" t="str">
            <v>CP A2P2 Sprd 12m</v>
          </cell>
          <cell r="C3146" t="str">
            <v>BRS_GOLD__5_SPREADS:BRS_GOLD__3_OTHER_SPREADS:USD_DEPO_SPRD,USD_CP_A1P1_SPRD,USD_CP_A2P2_SPRD,USD_BMA_SWAP_SPRD:USD_CP_A1P1_SPRD,USD_CP_A2P2_SPRD:USD_CP_A2P2_SPRD:USD_CP_A2P2_Sprd_12m</v>
          </cell>
          <cell r="D3146" t="str">
            <v>Spread Duration</v>
          </cell>
          <cell r="E3146" t="str">
            <v>Spread Yield</v>
          </cell>
          <cell r="F3146" t="str">
            <v>Other</v>
          </cell>
          <cell r="G3146" t="str">
            <v>Other</v>
          </cell>
          <cell r="H3146" t="str">
            <v>SPREADS</v>
          </cell>
          <cell r="I3146" t="str">
            <v>Money Market</v>
          </cell>
        </row>
        <row r="3147">
          <cell r="A3147" t="str">
            <v>GBP_DEPO_Sprd_2w</v>
          </cell>
          <cell r="B3147" t="str">
            <v>GBP DEPO Sprd 2w</v>
          </cell>
          <cell r="C3147" t="str">
            <v>BRS_GOLD__5_SPREADS:BRS_GOLD__3_OTHER_SPREADS:GBP_DEPO_SPRD,GBP_CP_A1P1_SPRD,GBP_CP_A2P2_SPRD:GBP_DEPO_SPRD:GBP_DEPO_Sprd_2w</v>
          </cell>
          <cell r="D3147" t="str">
            <v>Spread Duration</v>
          </cell>
          <cell r="E3147" t="str">
            <v>Spread Yield</v>
          </cell>
          <cell r="F3147" t="str">
            <v>Other</v>
          </cell>
          <cell r="G3147" t="str">
            <v>Other</v>
          </cell>
          <cell r="H3147" t="str">
            <v>SPREADS</v>
          </cell>
          <cell r="I3147" t="str">
            <v>Money Market</v>
          </cell>
        </row>
        <row r="3148">
          <cell r="A3148" t="str">
            <v>GBP_DEPO_Sprd_1m</v>
          </cell>
          <cell r="B3148" t="str">
            <v>GBP DEPO Sprd 1m</v>
          </cell>
          <cell r="C3148" t="str">
            <v>BRS_GOLD__5_SPREADS:BRS_GOLD__3_OTHER_SPREADS:GBP_DEPO_SPRD,GBP_CP_A1P1_SPRD,GBP_CP_A2P2_SPRD:GBP_DEPO_SPRD:GBP_DEPO_Sprd_1m</v>
          </cell>
          <cell r="D3148" t="str">
            <v>Spread Duration</v>
          </cell>
          <cell r="E3148" t="str">
            <v>Spread Yield</v>
          </cell>
          <cell r="F3148" t="str">
            <v>Other</v>
          </cell>
          <cell r="G3148" t="str">
            <v>Other</v>
          </cell>
          <cell r="H3148" t="str">
            <v>SPREADS</v>
          </cell>
          <cell r="I3148" t="str">
            <v>Money Market</v>
          </cell>
        </row>
        <row r="3149">
          <cell r="A3149" t="str">
            <v>GBP_DEPO_Sprd_2m</v>
          </cell>
          <cell r="B3149" t="str">
            <v>GBP DEPO Sprd 2m</v>
          </cell>
          <cell r="C3149" t="str">
            <v>BRS_GOLD__5_SPREADS:BRS_GOLD__3_OTHER_SPREADS:GBP_DEPO_SPRD,GBP_CP_A1P1_SPRD,GBP_CP_A2P2_SPRD:GBP_DEPO_SPRD:GBP_DEPO_Sprd_2m</v>
          </cell>
          <cell r="D3149" t="str">
            <v>Spread Duration</v>
          </cell>
          <cell r="E3149" t="str">
            <v>Spread Yield</v>
          </cell>
          <cell r="F3149" t="str">
            <v>Other</v>
          </cell>
          <cell r="G3149" t="str">
            <v>Other</v>
          </cell>
          <cell r="H3149" t="str">
            <v>SPREADS</v>
          </cell>
          <cell r="I3149" t="str">
            <v>Money Market</v>
          </cell>
        </row>
        <row r="3150">
          <cell r="A3150" t="str">
            <v>GBP_DEPO_Sprd_3m</v>
          </cell>
          <cell r="B3150" t="str">
            <v>GBP DEPO Sprd 3m</v>
          </cell>
          <cell r="C3150" t="str">
            <v>BRS_GOLD__5_SPREADS:BRS_GOLD__3_OTHER_SPREADS:GBP_DEPO_SPRD,GBP_CP_A1P1_SPRD,GBP_CP_A2P2_SPRD:GBP_DEPO_SPRD:GBP_DEPO_Sprd_3m</v>
          </cell>
          <cell r="D3150" t="str">
            <v>Spread Duration</v>
          </cell>
          <cell r="E3150" t="str">
            <v>Spread Yield</v>
          </cell>
          <cell r="F3150" t="str">
            <v>Other</v>
          </cell>
          <cell r="G3150" t="str">
            <v>Other</v>
          </cell>
          <cell r="H3150" t="str">
            <v>SPREADS</v>
          </cell>
          <cell r="I3150" t="str">
            <v>Money Market</v>
          </cell>
        </row>
        <row r="3151">
          <cell r="A3151" t="str">
            <v>GBP_DEPO_Sprd_6m</v>
          </cell>
          <cell r="B3151" t="str">
            <v>GBP DEPO Sprd 6m</v>
          </cell>
          <cell r="C3151" t="str">
            <v>BRS_GOLD__5_SPREADS:BRS_GOLD__3_OTHER_SPREADS:GBP_DEPO_SPRD,GBP_CP_A1P1_SPRD,GBP_CP_A2P2_SPRD:GBP_DEPO_SPRD:GBP_DEPO_Sprd_6m</v>
          </cell>
          <cell r="D3151" t="str">
            <v>Spread Duration</v>
          </cell>
          <cell r="E3151" t="str">
            <v>Spread Yield</v>
          </cell>
          <cell r="F3151" t="str">
            <v>Other</v>
          </cell>
          <cell r="G3151" t="str">
            <v>Other</v>
          </cell>
          <cell r="H3151" t="str">
            <v>SPREADS</v>
          </cell>
          <cell r="I3151" t="str">
            <v>Money Market</v>
          </cell>
        </row>
        <row r="3152">
          <cell r="A3152" t="str">
            <v>GBP_DEPO_Sprd_12m</v>
          </cell>
          <cell r="B3152" t="str">
            <v>GBP DEPO Sprd 12m</v>
          </cell>
          <cell r="C3152" t="str">
            <v>BRS_GOLD__5_SPREADS:BRS_GOLD__3_OTHER_SPREADS:GBP_DEPO_SPRD,GBP_CP_A1P1_SPRD,GBP_CP_A2P2_SPRD:GBP_DEPO_SPRD:GBP_DEPO_Sprd_12m</v>
          </cell>
          <cell r="D3152" t="str">
            <v>Spread Duration</v>
          </cell>
          <cell r="E3152" t="str">
            <v>Spread Yield</v>
          </cell>
          <cell r="F3152" t="str">
            <v>Other</v>
          </cell>
          <cell r="G3152" t="str">
            <v>Other</v>
          </cell>
          <cell r="H3152" t="str">
            <v>SPREADS</v>
          </cell>
          <cell r="I3152" t="str">
            <v>Money Market</v>
          </cell>
        </row>
        <row r="3153">
          <cell r="A3153" t="str">
            <v>GBP_CP_A1P1_Sprd_2w</v>
          </cell>
          <cell r="B3153" t="str">
            <v>GBP CP A1P1 Sprd 2w</v>
          </cell>
          <cell r="C3153" t="str">
            <v>BRS_GOLD__5_SPREADS:BRS_GOLD__3_OTHER_SPREADS:GBP_DEPO_SPRD,GBP_CP_A1P1_SPRD,GBP_CP_A2P2_SPRD:GBP_CP_A1P1_SPRD,GBP_CP_A2P2_SPRD:GBP_CP_A1P1_SPRD:GBP_CP_A1P1_Sprd_2w</v>
          </cell>
          <cell r="D3153" t="str">
            <v>Spread Duration</v>
          </cell>
          <cell r="E3153" t="str">
            <v>Spread Yield</v>
          </cell>
          <cell r="F3153" t="str">
            <v>Other</v>
          </cell>
          <cell r="G3153" t="str">
            <v>Other</v>
          </cell>
          <cell r="H3153" t="str">
            <v>SPREADS</v>
          </cell>
          <cell r="I3153" t="str">
            <v>Money Market</v>
          </cell>
        </row>
        <row r="3154">
          <cell r="A3154" t="str">
            <v>GBP_CP_A1P1_Sprd_1m</v>
          </cell>
          <cell r="B3154" t="str">
            <v>GBP CP A1P1 Sprd 1m</v>
          </cell>
          <cell r="C3154" t="str">
            <v>BRS_GOLD__5_SPREADS:BRS_GOLD__3_OTHER_SPREADS:GBP_DEPO_SPRD,GBP_CP_A1P1_SPRD,GBP_CP_A2P2_SPRD:GBP_CP_A1P1_SPRD,GBP_CP_A2P2_SPRD:GBP_CP_A1P1_SPRD:GBP_CP_A1P1_Sprd_1m</v>
          </cell>
          <cell r="D3154" t="str">
            <v>Spread Duration</v>
          </cell>
          <cell r="E3154" t="str">
            <v>Spread Yield</v>
          </cell>
          <cell r="F3154" t="str">
            <v>Other</v>
          </cell>
          <cell r="G3154" t="str">
            <v>Other</v>
          </cell>
          <cell r="H3154" t="str">
            <v>SPREADS</v>
          </cell>
          <cell r="I3154" t="str">
            <v>Money Market</v>
          </cell>
        </row>
        <row r="3155">
          <cell r="A3155" t="str">
            <v>GBP_CP_A1P1_Sprd_2m</v>
          </cell>
          <cell r="B3155" t="str">
            <v>GBP CP A1P1 Sprd 2m</v>
          </cell>
          <cell r="C3155" t="str">
            <v>BRS_GOLD__5_SPREADS:BRS_GOLD__3_OTHER_SPREADS:GBP_DEPO_SPRD,GBP_CP_A1P1_SPRD,GBP_CP_A2P2_SPRD:GBP_CP_A1P1_SPRD,GBP_CP_A2P2_SPRD:GBP_CP_A1P1_SPRD:GBP_CP_A1P1_Sprd_2m</v>
          </cell>
          <cell r="D3155" t="str">
            <v>Spread Duration</v>
          </cell>
          <cell r="E3155" t="str">
            <v>Spread Yield</v>
          </cell>
          <cell r="F3155" t="str">
            <v>Other</v>
          </cell>
          <cell r="G3155" t="str">
            <v>Other</v>
          </cell>
          <cell r="H3155" t="str">
            <v>SPREADS</v>
          </cell>
          <cell r="I3155" t="str">
            <v>Money Market</v>
          </cell>
        </row>
        <row r="3156">
          <cell r="A3156" t="str">
            <v>GBP_CP_A1P1_Sprd_3m</v>
          </cell>
          <cell r="B3156" t="str">
            <v>GBP CP A1P1 Sprd 3m</v>
          </cell>
          <cell r="C3156" t="str">
            <v>BRS_GOLD__5_SPREADS:BRS_GOLD__3_OTHER_SPREADS:GBP_DEPO_SPRD,GBP_CP_A1P1_SPRD,GBP_CP_A2P2_SPRD:GBP_CP_A1P1_SPRD,GBP_CP_A2P2_SPRD:GBP_CP_A1P1_SPRD:GBP_CP_A1P1_Sprd_3m</v>
          </cell>
          <cell r="D3156" t="str">
            <v>Spread Duration</v>
          </cell>
          <cell r="E3156" t="str">
            <v>Spread Yield</v>
          </cell>
          <cell r="F3156" t="str">
            <v>Other</v>
          </cell>
          <cell r="G3156" t="str">
            <v>Other</v>
          </cell>
          <cell r="H3156" t="str">
            <v>SPREADS</v>
          </cell>
          <cell r="I3156" t="str">
            <v>Money Market</v>
          </cell>
        </row>
        <row r="3157">
          <cell r="A3157" t="str">
            <v>GBP_CP_A1P1_Sprd_6m</v>
          </cell>
          <cell r="B3157" t="str">
            <v>GBP CP A1P1 Sprd 6m</v>
          </cell>
          <cell r="C3157" t="str">
            <v>BRS_GOLD__5_SPREADS:BRS_GOLD__3_OTHER_SPREADS:GBP_DEPO_SPRD,GBP_CP_A1P1_SPRD,GBP_CP_A2P2_SPRD:GBP_CP_A1P1_SPRD,GBP_CP_A2P2_SPRD:GBP_CP_A1P1_SPRD:GBP_CP_A1P1_Sprd_6m</v>
          </cell>
          <cell r="D3157" t="str">
            <v>Spread Duration</v>
          </cell>
          <cell r="E3157" t="str">
            <v>Spread Yield</v>
          </cell>
          <cell r="F3157" t="str">
            <v>Other</v>
          </cell>
          <cell r="G3157" t="str">
            <v>Other</v>
          </cell>
          <cell r="H3157" t="str">
            <v>SPREADS</v>
          </cell>
          <cell r="I3157" t="str">
            <v>Money Market</v>
          </cell>
        </row>
        <row r="3158">
          <cell r="A3158" t="str">
            <v>GBP_CP_A1P1_Sprd_12m</v>
          </cell>
          <cell r="B3158" t="str">
            <v>GBP CP A1P1 Sprd 12m</v>
          </cell>
          <cell r="C3158" t="str">
            <v>BRS_GOLD__5_SPREADS:BRS_GOLD__3_OTHER_SPREADS:GBP_DEPO_SPRD,GBP_CP_A1P1_SPRD,GBP_CP_A2P2_SPRD:GBP_CP_A1P1_SPRD,GBP_CP_A2P2_SPRD:GBP_CP_A1P1_SPRD:GBP_CP_A1P1_Sprd_12m</v>
          </cell>
          <cell r="D3158" t="str">
            <v>Spread Duration</v>
          </cell>
          <cell r="E3158" t="str">
            <v>Spread Yield</v>
          </cell>
          <cell r="F3158" t="str">
            <v>Other</v>
          </cell>
          <cell r="G3158" t="str">
            <v>Other</v>
          </cell>
          <cell r="H3158" t="str">
            <v>SPREADS</v>
          </cell>
          <cell r="I3158" t="str">
            <v>Money Market</v>
          </cell>
        </row>
        <row r="3159">
          <cell r="A3159" t="str">
            <v>GBP_CP_A2P2_Sprd_2w</v>
          </cell>
          <cell r="B3159" t="str">
            <v>GBP CP A2P2 Sprd 2w</v>
          </cell>
          <cell r="C3159" t="str">
            <v>BRS_GOLD__5_SPREADS:BRS_GOLD__3_OTHER_SPREADS:GBP_DEPO_SPRD,GBP_CP_A1P1_SPRD,GBP_CP_A2P2_SPRD:GBP_CP_A1P1_SPRD,GBP_CP_A2P2_SPRD:GBP_CP_A2P2_SPRD:GBP_CP_A2P2_Sprd_2w</v>
          </cell>
          <cell r="D3159" t="str">
            <v>Spread Duration</v>
          </cell>
          <cell r="E3159" t="str">
            <v>Spread Yield</v>
          </cell>
          <cell r="F3159" t="str">
            <v>Other</v>
          </cell>
          <cell r="G3159" t="str">
            <v>Other</v>
          </cell>
          <cell r="H3159" t="str">
            <v>SPREADS</v>
          </cell>
          <cell r="I3159" t="str">
            <v>Money Market</v>
          </cell>
        </row>
        <row r="3160">
          <cell r="A3160" t="str">
            <v>GBP_CP_A2P2_Sprd_1m</v>
          </cell>
          <cell r="B3160" t="str">
            <v>GBP CP A2P2 Sprd 1m</v>
          </cell>
          <cell r="C3160" t="str">
            <v>BRS_GOLD__5_SPREADS:BRS_GOLD__3_OTHER_SPREADS:GBP_DEPO_SPRD,GBP_CP_A1P1_SPRD,GBP_CP_A2P2_SPRD:GBP_CP_A1P1_SPRD,GBP_CP_A2P2_SPRD:GBP_CP_A2P2_SPRD:GBP_CP_A2P2_Sprd_1m</v>
          </cell>
          <cell r="D3160" t="str">
            <v>Spread Duration</v>
          </cell>
          <cell r="E3160" t="str">
            <v>Spread Yield</v>
          </cell>
          <cell r="F3160" t="str">
            <v>Other</v>
          </cell>
          <cell r="G3160" t="str">
            <v>Other</v>
          </cell>
          <cell r="H3160" t="str">
            <v>SPREADS</v>
          </cell>
          <cell r="I3160" t="str">
            <v>Money Market</v>
          </cell>
        </row>
        <row r="3161">
          <cell r="A3161" t="str">
            <v>GBP_CP_A2P2_Sprd_2m</v>
          </cell>
          <cell r="B3161" t="str">
            <v>GBP CP A2P2 Sprd 2m</v>
          </cell>
          <cell r="C3161" t="str">
            <v>BRS_GOLD__5_SPREADS:BRS_GOLD__3_OTHER_SPREADS:GBP_DEPO_SPRD,GBP_CP_A1P1_SPRD,GBP_CP_A2P2_SPRD:GBP_CP_A1P1_SPRD,GBP_CP_A2P2_SPRD:GBP_CP_A2P2_SPRD:GBP_CP_A2P2_Sprd_2m</v>
          </cell>
          <cell r="D3161" t="str">
            <v>Spread Duration</v>
          </cell>
          <cell r="E3161" t="str">
            <v>Spread Yield</v>
          </cell>
          <cell r="F3161" t="str">
            <v>Other</v>
          </cell>
          <cell r="G3161" t="str">
            <v>Other</v>
          </cell>
          <cell r="H3161" t="str">
            <v>SPREADS</v>
          </cell>
          <cell r="I3161" t="str">
            <v>Money Market</v>
          </cell>
        </row>
        <row r="3162">
          <cell r="A3162" t="str">
            <v>GBP_CP_A2P2_Sprd_3m</v>
          </cell>
          <cell r="B3162" t="str">
            <v>GBP CP A2P2 Sprd 3m</v>
          </cell>
          <cell r="C3162" t="str">
            <v>BRS_GOLD__5_SPREADS:BRS_GOLD__3_OTHER_SPREADS:GBP_DEPO_SPRD,GBP_CP_A1P1_SPRD,GBP_CP_A2P2_SPRD:GBP_CP_A1P1_SPRD,GBP_CP_A2P2_SPRD:GBP_CP_A2P2_SPRD:GBP_CP_A2P2_Sprd_3m</v>
          </cell>
          <cell r="D3162" t="str">
            <v>Spread Duration</v>
          </cell>
          <cell r="E3162" t="str">
            <v>Spread Yield</v>
          </cell>
          <cell r="F3162" t="str">
            <v>Other</v>
          </cell>
          <cell r="G3162" t="str">
            <v>Other</v>
          </cell>
          <cell r="H3162" t="str">
            <v>SPREADS</v>
          </cell>
          <cell r="I3162" t="str">
            <v>Money Market</v>
          </cell>
        </row>
        <row r="3163">
          <cell r="A3163" t="str">
            <v>GBP_CP_A2P2_Sprd_6m</v>
          </cell>
          <cell r="B3163" t="str">
            <v>GBP CP A2P2 Sprd 6m</v>
          </cell>
          <cell r="C3163" t="str">
            <v>BRS_GOLD__5_SPREADS:BRS_GOLD__3_OTHER_SPREADS:GBP_DEPO_SPRD,GBP_CP_A1P1_SPRD,GBP_CP_A2P2_SPRD:GBP_CP_A1P1_SPRD,GBP_CP_A2P2_SPRD:GBP_CP_A2P2_SPRD:GBP_CP_A2P2_Sprd_6m</v>
          </cell>
          <cell r="D3163" t="str">
            <v>Spread Duration</v>
          </cell>
          <cell r="E3163" t="str">
            <v>Spread Yield</v>
          </cell>
          <cell r="F3163" t="str">
            <v>Other</v>
          </cell>
          <cell r="G3163" t="str">
            <v>Other</v>
          </cell>
          <cell r="H3163" t="str">
            <v>SPREADS</v>
          </cell>
          <cell r="I3163" t="str">
            <v>Money Market</v>
          </cell>
        </row>
        <row r="3164">
          <cell r="A3164" t="str">
            <v>GBP_CP_A2P2_Sprd_12m</v>
          </cell>
          <cell r="B3164" t="str">
            <v>GBP CP A2P2 Sprd 12m</v>
          </cell>
          <cell r="C3164" t="str">
            <v>BRS_GOLD__5_SPREADS:BRS_GOLD__3_OTHER_SPREADS:GBP_DEPO_SPRD,GBP_CP_A1P1_SPRD,GBP_CP_A2P2_SPRD:GBP_CP_A1P1_SPRD,GBP_CP_A2P2_SPRD:GBP_CP_A2P2_SPRD:GBP_CP_A2P2_Sprd_12m</v>
          </cell>
          <cell r="D3164" t="str">
            <v>Spread Duration</v>
          </cell>
          <cell r="E3164" t="str">
            <v>Spread Yield</v>
          </cell>
          <cell r="F3164" t="str">
            <v>Other</v>
          </cell>
          <cell r="G3164" t="str">
            <v>Other</v>
          </cell>
          <cell r="H3164" t="str">
            <v>SPREADS</v>
          </cell>
          <cell r="I3164" t="str">
            <v>Money Market</v>
          </cell>
        </row>
        <row r="3165">
          <cell r="A3165" t="str">
            <v>EUR_DEPO_Sprd_2w</v>
          </cell>
          <cell r="B3165" t="str">
            <v>EUR DEPO Sprd 2w</v>
          </cell>
          <cell r="C3165" t="str">
            <v>BRS_GOLD__5_SPREADS:BRS_GOLD__3_OTHER_SPREADS:EUR_DEPO_SPRD,EUR_CP_A1P1_SPRD,EUR_CP_A2P2_SPRD:EUR_DEPO_SPRD:EUR_DEPO_Sprd_2w</v>
          </cell>
          <cell r="D3165" t="str">
            <v>Spread Duration</v>
          </cell>
          <cell r="E3165" t="str">
            <v>Spread Yield</v>
          </cell>
          <cell r="F3165" t="str">
            <v>Other</v>
          </cell>
          <cell r="G3165" t="str">
            <v>Other</v>
          </cell>
          <cell r="H3165" t="str">
            <v>SPREADS</v>
          </cell>
          <cell r="I3165" t="str">
            <v>Money Market</v>
          </cell>
        </row>
        <row r="3166">
          <cell r="A3166" t="str">
            <v>EUR_DEPO_Sprd_1m</v>
          </cell>
          <cell r="B3166" t="str">
            <v>EUR DEPO Sprd 1m</v>
          </cell>
          <cell r="C3166" t="str">
            <v>BRS_GOLD__5_SPREADS:BRS_GOLD__3_OTHER_SPREADS:EUR_DEPO_SPRD,EUR_CP_A1P1_SPRD,EUR_CP_A2P2_SPRD:EUR_DEPO_SPRD:EUR_DEPO_Sprd_1m</v>
          </cell>
          <cell r="D3166" t="str">
            <v>Spread Duration</v>
          </cell>
          <cell r="E3166" t="str">
            <v>Spread Yield</v>
          </cell>
          <cell r="F3166" t="str">
            <v>Other</v>
          </cell>
          <cell r="G3166" t="str">
            <v>Other</v>
          </cell>
          <cell r="H3166" t="str">
            <v>SPREADS</v>
          </cell>
          <cell r="I3166" t="str">
            <v>Money Market</v>
          </cell>
        </row>
        <row r="3167">
          <cell r="A3167" t="str">
            <v>EUR_DEPO_Sprd_2m</v>
          </cell>
          <cell r="B3167" t="str">
            <v>EUR DEPO Sprd 2m</v>
          </cell>
          <cell r="C3167" t="str">
            <v>BRS_GOLD__5_SPREADS:BRS_GOLD__3_OTHER_SPREADS:EUR_DEPO_SPRD,EUR_CP_A1P1_SPRD,EUR_CP_A2P2_SPRD:EUR_DEPO_SPRD:EUR_DEPO_Sprd_2m</v>
          </cell>
          <cell r="D3167" t="str">
            <v>Spread Duration</v>
          </cell>
          <cell r="E3167" t="str">
            <v>Spread Yield</v>
          </cell>
          <cell r="F3167" t="str">
            <v>Other</v>
          </cell>
          <cell r="G3167" t="str">
            <v>Other</v>
          </cell>
          <cell r="H3167" t="str">
            <v>SPREADS</v>
          </cell>
          <cell r="I3167" t="str">
            <v>Money Market</v>
          </cell>
        </row>
        <row r="3168">
          <cell r="A3168" t="str">
            <v>EUR_DEPO_Sprd_3m</v>
          </cell>
          <cell r="B3168" t="str">
            <v>EUR DEPO Sprd 3m</v>
          </cell>
          <cell r="C3168" t="str">
            <v>BRS_GOLD__5_SPREADS:BRS_GOLD__3_OTHER_SPREADS:EUR_DEPO_SPRD,EUR_CP_A1P1_SPRD,EUR_CP_A2P2_SPRD:EUR_DEPO_SPRD:EUR_DEPO_Sprd_3m</v>
          </cell>
          <cell r="D3168" t="str">
            <v>Spread Duration</v>
          </cell>
          <cell r="E3168" t="str">
            <v>Spread Yield</v>
          </cell>
          <cell r="F3168" t="str">
            <v>Other</v>
          </cell>
          <cell r="G3168" t="str">
            <v>Other</v>
          </cell>
          <cell r="H3168" t="str">
            <v>SPREADS</v>
          </cell>
          <cell r="I3168" t="str">
            <v>Money Market</v>
          </cell>
        </row>
        <row r="3169">
          <cell r="A3169" t="str">
            <v>EUR_DEPO_Sprd_6m</v>
          </cell>
          <cell r="B3169" t="str">
            <v>EUR DEPO Sprd 6m</v>
          </cell>
          <cell r="C3169" t="str">
            <v>BRS_GOLD__5_SPREADS:BRS_GOLD__3_OTHER_SPREADS:EUR_DEPO_SPRD,EUR_CP_A1P1_SPRD,EUR_CP_A2P2_SPRD:EUR_DEPO_SPRD:EUR_DEPO_Sprd_6m</v>
          </cell>
          <cell r="D3169" t="str">
            <v>Spread Duration</v>
          </cell>
          <cell r="E3169" t="str">
            <v>Spread Yield</v>
          </cell>
          <cell r="F3169" t="str">
            <v>Other</v>
          </cell>
          <cell r="G3169" t="str">
            <v>Other</v>
          </cell>
          <cell r="H3169" t="str">
            <v>SPREADS</v>
          </cell>
          <cell r="I3169" t="str">
            <v>Money Market</v>
          </cell>
        </row>
        <row r="3170">
          <cell r="A3170" t="str">
            <v>EUR_DEPO_Sprd_12m</v>
          </cell>
          <cell r="B3170" t="str">
            <v>EUR DEPO Sprd 12m</v>
          </cell>
          <cell r="C3170" t="str">
            <v>BRS_GOLD__5_SPREADS:BRS_GOLD__3_OTHER_SPREADS:EUR_DEPO_SPRD,EUR_CP_A1P1_SPRD,EUR_CP_A2P2_SPRD:EUR_DEPO_SPRD:EUR_DEPO_Sprd_12m</v>
          </cell>
          <cell r="D3170" t="str">
            <v>Spread Duration</v>
          </cell>
          <cell r="E3170" t="str">
            <v>Spread Yield</v>
          </cell>
          <cell r="F3170" t="str">
            <v>Other</v>
          </cell>
          <cell r="G3170" t="str">
            <v>Other</v>
          </cell>
          <cell r="H3170" t="str">
            <v>SPREADS</v>
          </cell>
          <cell r="I3170" t="str">
            <v>Money Market</v>
          </cell>
        </row>
        <row r="3171">
          <cell r="A3171" t="str">
            <v>EUR_CP_A1P1_Sprd_2w</v>
          </cell>
          <cell r="B3171" t="str">
            <v>EUR CP A1P1 Sprd 2w</v>
          </cell>
          <cell r="C3171" t="str">
            <v>BRS_GOLD__5_SPREADS:BRS_GOLD__3_OTHER_SPREADS:EUR_DEPO_SPRD,EUR_CP_A1P1_SPRD,EUR_CP_A2P2_SPRD:EUR_CP_A1P1_SPRD,EUR_CP_A2P2_SPRD:EUR_CP_A1P1_SPRD:EUR_CP_A1P1_Sprd_2w</v>
          </cell>
          <cell r="D3171" t="str">
            <v>Spread Duration</v>
          </cell>
          <cell r="E3171" t="str">
            <v>Spread Yield</v>
          </cell>
          <cell r="F3171" t="str">
            <v>Other</v>
          </cell>
          <cell r="G3171" t="str">
            <v>Other</v>
          </cell>
          <cell r="H3171" t="str">
            <v>SPREADS</v>
          </cell>
          <cell r="I3171" t="str">
            <v>Money Market</v>
          </cell>
        </row>
        <row r="3172">
          <cell r="A3172" t="str">
            <v>EUR_CP_A1P1_Sprd_1m</v>
          </cell>
          <cell r="B3172" t="str">
            <v>EUR CP A1P1 Sprd 1m</v>
          </cell>
          <cell r="C3172" t="str">
            <v>BRS_GOLD__5_SPREADS:BRS_GOLD__3_OTHER_SPREADS:EUR_DEPO_SPRD,EUR_CP_A1P1_SPRD,EUR_CP_A2P2_SPRD:EUR_CP_A1P1_SPRD,EUR_CP_A2P2_SPRD:EUR_CP_A1P1_SPRD:EUR_CP_A1P1_Sprd_1m</v>
          </cell>
          <cell r="D3172" t="str">
            <v>Spread Duration</v>
          </cell>
          <cell r="E3172" t="str">
            <v>Spread Yield</v>
          </cell>
          <cell r="F3172" t="str">
            <v>Other</v>
          </cell>
          <cell r="G3172" t="str">
            <v>Other</v>
          </cell>
          <cell r="H3172" t="str">
            <v>SPREADS</v>
          </cell>
          <cell r="I3172" t="str">
            <v>Money Market</v>
          </cell>
        </row>
        <row r="3173">
          <cell r="A3173" t="str">
            <v>EUR_CP_A1P1_Sprd_2m</v>
          </cell>
          <cell r="B3173" t="str">
            <v>EUR CP A1P1 Sprd 2m</v>
          </cell>
          <cell r="C3173" t="str">
            <v>BRS_GOLD__5_SPREADS:BRS_GOLD__3_OTHER_SPREADS:EUR_DEPO_SPRD,EUR_CP_A1P1_SPRD,EUR_CP_A2P2_SPRD:EUR_CP_A1P1_SPRD,EUR_CP_A2P2_SPRD:EUR_CP_A1P1_SPRD:EUR_CP_A1P1_Sprd_2m</v>
          </cell>
          <cell r="D3173" t="str">
            <v>Spread Duration</v>
          </cell>
          <cell r="E3173" t="str">
            <v>Spread Yield</v>
          </cell>
          <cell r="F3173" t="str">
            <v>Other</v>
          </cell>
          <cell r="G3173" t="str">
            <v>Other</v>
          </cell>
          <cell r="H3173" t="str">
            <v>SPREADS</v>
          </cell>
          <cell r="I3173" t="str">
            <v>Money Market</v>
          </cell>
        </row>
        <row r="3174">
          <cell r="A3174" t="str">
            <v>EUR_CP_A1P1_Sprd_3m</v>
          </cell>
          <cell r="B3174" t="str">
            <v>EUR CP A1P1 Sprd 3m</v>
          </cell>
          <cell r="C3174" t="str">
            <v>BRS_GOLD__5_SPREADS:BRS_GOLD__3_OTHER_SPREADS:EUR_DEPO_SPRD,EUR_CP_A1P1_SPRD,EUR_CP_A2P2_SPRD:EUR_CP_A1P1_SPRD,EUR_CP_A2P2_SPRD:EUR_CP_A1P1_SPRD:EUR_CP_A1P1_Sprd_3m</v>
          </cell>
          <cell r="D3174" t="str">
            <v>Spread Duration</v>
          </cell>
          <cell r="E3174" t="str">
            <v>Spread Yield</v>
          </cell>
          <cell r="F3174" t="str">
            <v>Other</v>
          </cell>
          <cell r="G3174" t="str">
            <v>Other</v>
          </cell>
          <cell r="H3174" t="str">
            <v>SPREADS</v>
          </cell>
          <cell r="I3174" t="str">
            <v>Money Market</v>
          </cell>
        </row>
        <row r="3175">
          <cell r="A3175" t="str">
            <v>EUR_CP_A1P1_Sprd_6m</v>
          </cell>
          <cell r="B3175" t="str">
            <v>EUR CP A1P1 Sprd 6m</v>
          </cell>
          <cell r="C3175" t="str">
            <v>BRS_GOLD__5_SPREADS:BRS_GOLD__3_OTHER_SPREADS:EUR_DEPO_SPRD,EUR_CP_A1P1_SPRD,EUR_CP_A2P2_SPRD:EUR_CP_A1P1_SPRD,EUR_CP_A2P2_SPRD:EUR_CP_A1P1_SPRD:EUR_CP_A1P1_Sprd_6m</v>
          </cell>
          <cell r="D3175" t="str">
            <v>Spread Duration</v>
          </cell>
          <cell r="E3175" t="str">
            <v>Spread Yield</v>
          </cell>
          <cell r="F3175" t="str">
            <v>Other</v>
          </cell>
          <cell r="G3175" t="str">
            <v>Other</v>
          </cell>
          <cell r="H3175" t="str">
            <v>SPREADS</v>
          </cell>
          <cell r="I3175" t="str">
            <v>Money Market</v>
          </cell>
        </row>
        <row r="3176">
          <cell r="A3176" t="str">
            <v>EUR_CP_A1P1_Sprd_12m</v>
          </cell>
          <cell r="B3176" t="str">
            <v>EUR CP A1P1 Sprd 12m</v>
          </cell>
          <cell r="C3176" t="str">
            <v>BRS_GOLD__5_SPREADS:BRS_GOLD__3_OTHER_SPREADS:EUR_DEPO_SPRD,EUR_CP_A1P1_SPRD,EUR_CP_A2P2_SPRD:EUR_CP_A1P1_SPRD,EUR_CP_A2P2_SPRD:EUR_CP_A1P1_SPRD:EUR_CP_A1P1_Sprd_12m</v>
          </cell>
          <cell r="D3176" t="str">
            <v>Spread Duration</v>
          </cell>
          <cell r="E3176" t="str">
            <v>Spread Yield</v>
          </cell>
          <cell r="F3176" t="str">
            <v>Other</v>
          </cell>
          <cell r="G3176" t="str">
            <v>Other</v>
          </cell>
          <cell r="H3176" t="str">
            <v>SPREADS</v>
          </cell>
          <cell r="I3176" t="str">
            <v>Money Market</v>
          </cell>
        </row>
        <row r="3177">
          <cell r="A3177" t="str">
            <v>EUR_CP_A2P2_Sprd_2w</v>
          </cell>
          <cell r="B3177" t="str">
            <v>EUR CP A2P2 Sprd 2w</v>
          </cell>
          <cell r="C3177" t="str">
            <v>BRS_GOLD__5_SPREADS:BRS_GOLD__3_OTHER_SPREADS:EUR_DEPO_SPRD,EUR_CP_A1P1_SPRD,EUR_CP_A2P2_SPRD:EUR_CP_A1P1_SPRD,EUR_CP_A2P2_SPRD:EUR_CP_A2P2_SPRD:EUR_CP_A2P2_Sprd_2w</v>
          </cell>
          <cell r="D3177" t="str">
            <v>Spread Duration</v>
          </cell>
          <cell r="E3177" t="str">
            <v>Spread Yield</v>
          </cell>
          <cell r="F3177" t="str">
            <v>Other</v>
          </cell>
          <cell r="G3177" t="str">
            <v>Other</v>
          </cell>
          <cell r="H3177" t="str">
            <v>SPREADS</v>
          </cell>
          <cell r="I3177" t="str">
            <v>Money Market</v>
          </cell>
        </row>
        <row r="3178">
          <cell r="A3178" t="str">
            <v>EUR_CP_A2P2_Sprd_1m</v>
          </cell>
          <cell r="B3178" t="str">
            <v>EUR CP A2P2 Sprd 1m</v>
          </cell>
          <cell r="C3178" t="str">
            <v>BRS_GOLD__5_SPREADS:BRS_GOLD__3_OTHER_SPREADS:EUR_DEPO_SPRD,EUR_CP_A1P1_SPRD,EUR_CP_A2P2_SPRD:EUR_CP_A1P1_SPRD,EUR_CP_A2P2_SPRD:EUR_CP_A2P2_SPRD:EUR_CP_A2P2_Sprd_1m</v>
          </cell>
          <cell r="D3178" t="str">
            <v>Spread Duration</v>
          </cell>
          <cell r="E3178" t="str">
            <v>Spread Yield</v>
          </cell>
          <cell r="F3178" t="str">
            <v>Other</v>
          </cell>
          <cell r="G3178" t="str">
            <v>Other</v>
          </cell>
          <cell r="H3178" t="str">
            <v>SPREADS</v>
          </cell>
          <cell r="I3178" t="str">
            <v>Money Market</v>
          </cell>
        </row>
        <row r="3179">
          <cell r="A3179" t="str">
            <v>EUR_CP_A2P2_Sprd_2m</v>
          </cell>
          <cell r="B3179" t="str">
            <v>EUR CP A2P2 Sprd 2m</v>
          </cell>
          <cell r="C3179" t="str">
            <v>BRS_GOLD__5_SPREADS:BRS_GOLD__3_OTHER_SPREADS:EUR_DEPO_SPRD,EUR_CP_A1P1_SPRD,EUR_CP_A2P2_SPRD:EUR_CP_A1P1_SPRD,EUR_CP_A2P2_SPRD:EUR_CP_A2P2_SPRD:EUR_CP_A2P2_Sprd_2m</v>
          </cell>
          <cell r="D3179" t="str">
            <v>Spread Duration</v>
          </cell>
          <cell r="E3179" t="str">
            <v>Spread Yield</v>
          </cell>
          <cell r="F3179" t="str">
            <v>Other</v>
          </cell>
          <cell r="G3179" t="str">
            <v>Other</v>
          </cell>
          <cell r="H3179" t="str">
            <v>SPREADS</v>
          </cell>
          <cell r="I3179" t="str">
            <v>Money Market</v>
          </cell>
        </row>
        <row r="3180">
          <cell r="A3180" t="str">
            <v>EUR_CP_A2P2_Sprd_3m</v>
          </cell>
          <cell r="B3180" t="str">
            <v>EUR CP A2P2 Sprd 3m</v>
          </cell>
          <cell r="C3180" t="str">
            <v>BRS_GOLD__5_SPREADS:BRS_GOLD__3_OTHER_SPREADS:EUR_DEPO_SPRD,EUR_CP_A1P1_SPRD,EUR_CP_A2P2_SPRD:EUR_CP_A1P1_SPRD,EUR_CP_A2P2_SPRD:EUR_CP_A2P2_SPRD:EUR_CP_A2P2_Sprd_3m</v>
          </cell>
          <cell r="D3180" t="str">
            <v>Spread Duration</v>
          </cell>
          <cell r="E3180" t="str">
            <v>Spread Yield</v>
          </cell>
          <cell r="F3180" t="str">
            <v>Other</v>
          </cell>
          <cell r="G3180" t="str">
            <v>Other</v>
          </cell>
          <cell r="H3180" t="str">
            <v>SPREADS</v>
          </cell>
          <cell r="I3180" t="str">
            <v>Money Market</v>
          </cell>
        </row>
        <row r="3181">
          <cell r="A3181" t="str">
            <v>EUR_CP_A2P2_Sprd_6m</v>
          </cell>
          <cell r="B3181" t="str">
            <v>EUR CP A2P2 Sprd 6m</v>
          </cell>
          <cell r="C3181" t="str">
            <v>BRS_GOLD__5_SPREADS:BRS_GOLD__3_OTHER_SPREADS:EUR_DEPO_SPRD,EUR_CP_A1P1_SPRD,EUR_CP_A2P2_SPRD:EUR_CP_A1P1_SPRD,EUR_CP_A2P2_SPRD:EUR_CP_A2P2_SPRD:EUR_CP_A2P2_Sprd_6m</v>
          </cell>
          <cell r="D3181" t="str">
            <v>Spread Duration</v>
          </cell>
          <cell r="E3181" t="str">
            <v>Spread Yield</v>
          </cell>
          <cell r="F3181" t="str">
            <v>Other</v>
          </cell>
          <cell r="G3181" t="str">
            <v>Other</v>
          </cell>
          <cell r="H3181" t="str">
            <v>SPREADS</v>
          </cell>
          <cell r="I3181" t="str">
            <v>Money Market</v>
          </cell>
        </row>
        <row r="3182">
          <cell r="A3182" t="str">
            <v>EUR_CP_A2P2_Sprd_12m</v>
          </cell>
          <cell r="B3182" t="str">
            <v>EUR CP A2P2 Sprd 12m</v>
          </cell>
          <cell r="C3182" t="str">
            <v>BRS_GOLD__5_SPREADS:BRS_GOLD__3_OTHER_SPREADS:EUR_DEPO_SPRD,EUR_CP_A1P1_SPRD,EUR_CP_A2P2_SPRD:EUR_CP_A1P1_SPRD,EUR_CP_A2P2_SPRD:EUR_CP_A2P2_SPRD:EUR_CP_A2P2_Sprd_12m</v>
          </cell>
          <cell r="D3182" t="str">
            <v>Spread Duration</v>
          </cell>
          <cell r="E3182" t="str">
            <v>Spread Yield</v>
          </cell>
          <cell r="F3182" t="str">
            <v>Other</v>
          </cell>
          <cell r="G3182" t="str">
            <v>Other</v>
          </cell>
          <cell r="H3182" t="str">
            <v>SPREADS</v>
          </cell>
          <cell r="I3182" t="str">
            <v>Money Market</v>
          </cell>
        </row>
        <row r="3183">
          <cell r="A3183" t="str">
            <v>AUD_MMKT_Sprd_2w</v>
          </cell>
          <cell r="B3183" t="str">
            <v>AUD Money Market Sprd 2w</v>
          </cell>
          <cell r="C3183" t="str">
            <v>BRS_GOLD__5_SPREADS:BRS_GOLD__3_OTHER_SPREADS:AUD_MONEY_MARKET_SPRD:AUD_MMKT_Sprd_2w</v>
          </cell>
          <cell r="D3183" t="str">
            <v>Spread Duration</v>
          </cell>
          <cell r="E3183" t="str">
            <v>Spread Yield</v>
          </cell>
          <cell r="F3183" t="str">
            <v>Other</v>
          </cell>
          <cell r="G3183" t="str">
            <v>Other</v>
          </cell>
          <cell r="H3183" t="str">
            <v>OTHER</v>
          </cell>
          <cell r="I3183" t="str">
            <v>Money Market</v>
          </cell>
        </row>
        <row r="3184">
          <cell r="A3184" t="str">
            <v>AUD_MMKT_Sprd_1m</v>
          </cell>
          <cell r="B3184" t="str">
            <v>AUD Money Market Sprd 1m</v>
          </cell>
          <cell r="C3184" t="str">
            <v>BRS_GOLD__5_SPREADS:BRS_GOLD__3_OTHER_SPREADS:AUD_MONEY_MARKET_SPRD:AUD_MMKT_Sprd_1m</v>
          </cell>
          <cell r="D3184" t="str">
            <v>Spread Duration</v>
          </cell>
          <cell r="E3184" t="str">
            <v>Spread Yield</v>
          </cell>
          <cell r="F3184" t="str">
            <v>Other</v>
          </cell>
          <cell r="G3184" t="str">
            <v>Other</v>
          </cell>
          <cell r="H3184" t="str">
            <v>OTHER</v>
          </cell>
          <cell r="I3184" t="str">
            <v>Money Market</v>
          </cell>
        </row>
        <row r="3185">
          <cell r="A3185" t="str">
            <v>AUD_MMKT_Sprd_2m</v>
          </cell>
          <cell r="B3185" t="str">
            <v>AUD Money Market Sprd 2m</v>
          </cell>
          <cell r="C3185" t="str">
            <v>BRS_GOLD__5_SPREADS:BRS_GOLD__3_OTHER_SPREADS:AUD_MONEY_MARKET_SPRD:AUD_MMKT_Sprd_2m</v>
          </cell>
          <cell r="D3185" t="str">
            <v>Spread Duration</v>
          </cell>
          <cell r="E3185" t="str">
            <v>Spread Yield</v>
          </cell>
          <cell r="F3185" t="str">
            <v>Other</v>
          </cell>
          <cell r="G3185" t="str">
            <v>Other</v>
          </cell>
          <cell r="H3185" t="str">
            <v>OTHER</v>
          </cell>
          <cell r="I3185" t="str">
            <v>Money Market</v>
          </cell>
        </row>
        <row r="3186">
          <cell r="A3186" t="str">
            <v>AUD_MMKT_Sprd_3m</v>
          </cell>
          <cell r="B3186" t="str">
            <v>AUD Money Market Sprd 3m</v>
          </cell>
          <cell r="C3186" t="str">
            <v>BRS_GOLD__5_SPREADS:BRS_GOLD__3_OTHER_SPREADS:AUD_MONEY_MARKET_SPRD:AUD_MMKT_Sprd_3m</v>
          </cell>
          <cell r="D3186" t="str">
            <v>Spread Duration</v>
          </cell>
          <cell r="E3186" t="str">
            <v>Spread Yield</v>
          </cell>
          <cell r="F3186" t="str">
            <v>Other</v>
          </cell>
          <cell r="G3186" t="str">
            <v>Other</v>
          </cell>
          <cell r="H3186" t="str">
            <v>OTHER</v>
          </cell>
          <cell r="I3186" t="str">
            <v>Money Market</v>
          </cell>
        </row>
        <row r="3187">
          <cell r="A3187" t="str">
            <v>AUD_MMKT_Sprd_6m</v>
          </cell>
          <cell r="B3187" t="str">
            <v>AUD Money Market Sprd 6m</v>
          </cell>
          <cell r="C3187" t="str">
            <v>BRS_GOLD__5_SPREADS:BRS_GOLD__3_OTHER_SPREADS:AUD_MONEY_MARKET_SPRD:AUD_MMKT_Sprd_6m</v>
          </cell>
          <cell r="D3187" t="str">
            <v>Spread Duration</v>
          </cell>
          <cell r="E3187" t="str">
            <v>Spread Yield</v>
          </cell>
          <cell r="F3187" t="str">
            <v>Other</v>
          </cell>
          <cell r="G3187" t="str">
            <v>Other</v>
          </cell>
          <cell r="H3187" t="str">
            <v>OTHER</v>
          </cell>
          <cell r="I3187" t="str">
            <v>Money Market</v>
          </cell>
        </row>
        <row r="3188">
          <cell r="A3188" t="str">
            <v>AUD_MMKT_Sprd_12m</v>
          </cell>
          <cell r="B3188" t="str">
            <v>AUD Money Market Sprd 12m</v>
          </cell>
          <cell r="C3188" t="str">
            <v>BRS_GOLD__5_SPREADS:BRS_GOLD__3_OTHER_SPREADS:AUD_MONEY_MARKET_SPRD:AUD_MMKT_Sprd_12m</v>
          </cell>
          <cell r="D3188" t="str">
            <v>Spread Duration</v>
          </cell>
          <cell r="E3188" t="str">
            <v>Spread Yield</v>
          </cell>
          <cell r="F3188" t="str">
            <v>Other</v>
          </cell>
          <cell r="G3188" t="str">
            <v>Other</v>
          </cell>
          <cell r="H3188" t="str">
            <v>OTHER</v>
          </cell>
          <cell r="I3188" t="str">
            <v>Money Market</v>
          </cell>
        </row>
        <row r="3189">
          <cell r="A3189" t="str">
            <v>CAD_MMKT_Sprd_2w</v>
          </cell>
          <cell r="B3189" t="str">
            <v>CAD Money Market Sprd 2w</v>
          </cell>
          <cell r="C3189" t="str">
            <v>BRS_GOLD__5_SPREADS:BRS_GOLD__3_OTHER_SPREADS:CAD_MONEY_MARKET_SPRD:CAD_MMKT_Sprd_2w</v>
          </cell>
          <cell r="D3189" t="str">
            <v>Spread Duration</v>
          </cell>
          <cell r="E3189" t="str">
            <v>Spread Yield</v>
          </cell>
          <cell r="F3189" t="str">
            <v>Other</v>
          </cell>
          <cell r="G3189" t="str">
            <v>Other</v>
          </cell>
          <cell r="H3189" t="str">
            <v>OTHER</v>
          </cell>
          <cell r="I3189" t="str">
            <v>Money Market</v>
          </cell>
        </row>
        <row r="3190">
          <cell r="A3190" t="str">
            <v>CAD_MMKT_Sprd_1m</v>
          </cell>
          <cell r="B3190" t="str">
            <v>CAD Money Market Sprd 1m</v>
          </cell>
          <cell r="C3190" t="str">
            <v>BRS_GOLD__5_SPREADS:BRS_GOLD__3_OTHER_SPREADS:CAD_MONEY_MARKET_SPRD:CAD_MMKT_Sprd_1m</v>
          </cell>
          <cell r="D3190" t="str">
            <v>Spread Duration</v>
          </cell>
          <cell r="E3190" t="str">
            <v>Spread Yield</v>
          </cell>
          <cell r="F3190" t="str">
            <v>Other</v>
          </cell>
          <cell r="G3190" t="str">
            <v>Other</v>
          </cell>
          <cell r="H3190" t="str">
            <v>OTHER</v>
          </cell>
          <cell r="I3190" t="str">
            <v>Money Market</v>
          </cell>
        </row>
        <row r="3191">
          <cell r="A3191" t="str">
            <v>CAD_MMKT_Sprd_2m</v>
          </cell>
          <cell r="B3191" t="str">
            <v>CAD Money Market Sprd 2m</v>
          </cell>
          <cell r="C3191" t="str">
            <v>BRS_GOLD__5_SPREADS:BRS_GOLD__3_OTHER_SPREADS:CAD_MONEY_MARKET_SPRD:CAD_MMKT_Sprd_2m</v>
          </cell>
          <cell r="D3191" t="str">
            <v>Spread Duration</v>
          </cell>
          <cell r="E3191" t="str">
            <v>Spread Yield</v>
          </cell>
          <cell r="F3191" t="str">
            <v>Other</v>
          </cell>
          <cell r="G3191" t="str">
            <v>Other</v>
          </cell>
          <cell r="H3191" t="str">
            <v>OTHER</v>
          </cell>
          <cell r="I3191" t="str">
            <v>Money Market</v>
          </cell>
        </row>
        <row r="3192">
          <cell r="A3192" t="str">
            <v>CAD_MMKT_Sprd_3m</v>
          </cell>
          <cell r="B3192" t="str">
            <v>CAD Money Market Sprd 3m</v>
          </cell>
          <cell r="C3192" t="str">
            <v>BRS_GOLD__5_SPREADS:BRS_GOLD__3_OTHER_SPREADS:CAD_MONEY_MARKET_SPRD:CAD_MMKT_Sprd_3m</v>
          </cell>
          <cell r="D3192" t="str">
            <v>Spread Duration</v>
          </cell>
          <cell r="E3192" t="str">
            <v>Spread Yield</v>
          </cell>
          <cell r="F3192" t="str">
            <v>Other</v>
          </cell>
          <cell r="G3192" t="str">
            <v>Other</v>
          </cell>
          <cell r="H3192" t="str">
            <v>OTHER</v>
          </cell>
          <cell r="I3192" t="str">
            <v>Money Market</v>
          </cell>
        </row>
        <row r="3193">
          <cell r="A3193" t="str">
            <v>CAD_MMKT_Sprd_6m</v>
          </cell>
          <cell r="B3193" t="str">
            <v>CAD Money Market Sprd 6m</v>
          </cell>
          <cell r="C3193" t="str">
            <v>BRS_GOLD__5_SPREADS:BRS_GOLD__3_OTHER_SPREADS:CAD_MONEY_MARKET_SPRD:CAD_MMKT_Sprd_6m</v>
          </cell>
          <cell r="D3193" t="str">
            <v>Spread Duration</v>
          </cell>
          <cell r="E3193" t="str">
            <v>Spread Yield</v>
          </cell>
          <cell r="F3193" t="str">
            <v>Other</v>
          </cell>
          <cell r="G3193" t="str">
            <v>Other</v>
          </cell>
          <cell r="H3193" t="str">
            <v>OTHER</v>
          </cell>
          <cell r="I3193" t="str">
            <v>Money Market</v>
          </cell>
        </row>
        <row r="3194">
          <cell r="A3194" t="str">
            <v>CAD_MMKT_Sprd_12m</v>
          </cell>
          <cell r="B3194" t="str">
            <v>CAD Money Market Sprd 12m</v>
          </cell>
          <cell r="C3194" t="str">
            <v>BRS_GOLD__5_SPREADS:BRS_GOLD__3_OTHER_SPREADS:CAD_MONEY_MARKET_SPRD:CAD_MMKT_Sprd_12m</v>
          </cell>
          <cell r="D3194" t="str">
            <v>Spread Duration</v>
          </cell>
          <cell r="E3194" t="str">
            <v>Spread Yield</v>
          </cell>
          <cell r="F3194" t="str">
            <v>Other</v>
          </cell>
          <cell r="G3194" t="str">
            <v>Other</v>
          </cell>
          <cell r="H3194" t="str">
            <v>OTHER</v>
          </cell>
          <cell r="I3194" t="str">
            <v>Money Market</v>
          </cell>
        </row>
        <row r="3195">
          <cell r="A3195" t="str">
            <v>USD_CML_HOTEL</v>
          </cell>
          <cell r="B3195" t="str">
            <v>USD CML Hotel</v>
          </cell>
          <cell r="C3195" t="str">
            <v>BRS_GOLD__5_SPREADS:BRS_GOLD__3_OTHER_SPREADS:ALL_CML:USD_CML_HOTEL</v>
          </cell>
          <cell r="D3195" t="str">
            <v>Spread Duration</v>
          </cell>
          <cell r="E3195" t="str">
            <v>Spread Yield (DxS)</v>
          </cell>
          <cell r="F3195" t="str">
            <v>Other</v>
          </cell>
          <cell r="G3195" t="str">
            <v>Other</v>
          </cell>
          <cell r="H3195" t="str">
            <v>OTHER</v>
          </cell>
          <cell r="I3195" t="str">
            <v>Money Market</v>
          </cell>
        </row>
        <row r="3196">
          <cell r="A3196" t="str">
            <v>USD_CML_CORE</v>
          </cell>
          <cell r="B3196" t="str">
            <v>USD CML Commercial</v>
          </cell>
          <cell r="C3196" t="str">
            <v>BRS_GOLD__5_SPREADS:BRS_GOLD__3_OTHER_SPREADS:ALL_CML:USD_CML_CORE</v>
          </cell>
          <cell r="D3196" t="str">
            <v>Spread Duration</v>
          </cell>
          <cell r="E3196" t="str">
            <v>Spread Yield (DxS)</v>
          </cell>
          <cell r="F3196" t="str">
            <v>Other</v>
          </cell>
          <cell r="G3196" t="str">
            <v>Other</v>
          </cell>
          <cell r="H3196" t="str">
            <v>OTHER</v>
          </cell>
          <cell r="I3196" t="str">
            <v>Money Market</v>
          </cell>
        </row>
        <row r="3197">
          <cell r="A3197" t="str">
            <v>USD_CML_MKT</v>
          </cell>
          <cell r="B3197" t="str">
            <v>USD CML Market</v>
          </cell>
          <cell r="C3197" t="str">
            <v>BRS_GOLD__5_SPREADS:BRS_GOLD__3_OTHER_SPREADS:ALL_CML:USD_CML_MKT</v>
          </cell>
          <cell r="D3197" t="str">
            <v>Spread Duration</v>
          </cell>
          <cell r="E3197" t="str">
            <v>Spread Yield (DxS)</v>
          </cell>
          <cell r="F3197" t="str">
            <v>Other</v>
          </cell>
          <cell r="G3197" t="str">
            <v>Other</v>
          </cell>
          <cell r="H3197" t="str">
            <v>OTHER</v>
          </cell>
          <cell r="I3197" t="str">
            <v>Money Market</v>
          </cell>
        </row>
        <row r="3198">
          <cell r="A3198" t="str">
            <v>ALL_CML_MKT</v>
          </cell>
          <cell r="B3198" t="str">
            <v>Non$ CML</v>
          </cell>
          <cell r="C3198" t="str">
            <v>BRS_GOLD__5_SPREADS:BRS_GOLD__3_OTHER_SPREADS:ALL_CML:ALL_CML_MKT</v>
          </cell>
          <cell r="D3198" t="str">
            <v>Spread Duration</v>
          </cell>
          <cell r="E3198" t="str">
            <v>Spread Yield (DxS)</v>
          </cell>
          <cell r="F3198" t="str">
            <v>Other</v>
          </cell>
          <cell r="G3198" t="str">
            <v>Other</v>
          </cell>
          <cell r="H3198" t="str">
            <v>OTHER</v>
          </cell>
          <cell r="I3198" t="str">
            <v>Money Market</v>
          </cell>
        </row>
        <row r="3199">
          <cell r="A3199" t="str">
            <v>USD_PRIME_1012</v>
          </cell>
          <cell r="B3199" t="str">
            <v>Prime 2.0</v>
          </cell>
          <cell r="C3199" t="str">
            <v>BRS_GOLD__5_SPREADS:BRS_GOLD__3_OTHER_SPREADS:BRS_GOLD__1_MTG,TBA_ALL,PAYUP,NONAGENCY,MORT_IDIO,CRT,CRT_SP_RISK:NONAGENCY:USD_PRIME_1012</v>
          </cell>
          <cell r="D3199" t="str">
            <v>Price</v>
          </cell>
          <cell r="E3199" t="str">
            <v>Price Level</v>
          </cell>
          <cell r="F3199" t="str">
            <v>Alternative</v>
          </cell>
          <cell r="G3199" t="str">
            <v>Other</v>
          </cell>
          <cell r="H3199" t="str">
            <v>ALTS</v>
          </cell>
          <cell r="I3199" t="str">
            <v>Mortgage</v>
          </cell>
        </row>
        <row r="3200">
          <cell r="A3200" t="str">
            <v>USD_PRIME_FRM</v>
          </cell>
          <cell r="B3200" t="str">
            <v>Prime Fixed</v>
          </cell>
          <cell r="C3200" t="str">
            <v>BRS_GOLD__5_SPREADS:BRS_GOLD__3_OTHER_SPREADS:BRS_GOLD__1_MTG,TBA_ALL,PAYUP,NONAGENCY,MORT_IDIO,CRT,CRT_SP_RISK:NONAGENCY:USD_PRIME_FRM</v>
          </cell>
          <cell r="D3200" t="str">
            <v>Price</v>
          </cell>
          <cell r="E3200" t="str">
            <v>Price Level</v>
          </cell>
          <cell r="F3200" t="str">
            <v>Alternative</v>
          </cell>
          <cell r="G3200" t="str">
            <v>Other</v>
          </cell>
          <cell r="H3200" t="str">
            <v>ALTS</v>
          </cell>
          <cell r="I3200" t="str">
            <v>Mortgage</v>
          </cell>
        </row>
        <row r="3201">
          <cell r="A3201" t="str">
            <v>USD_PRIME_ARM</v>
          </cell>
          <cell r="B3201" t="str">
            <v>Prime ARM</v>
          </cell>
          <cell r="C3201" t="str">
            <v>BRS_GOLD__5_SPREADS:BRS_GOLD__3_OTHER_SPREADS:BRS_GOLD__1_MTG,TBA_ALL,PAYUP,NONAGENCY,MORT_IDIO,CRT,CRT_SP_RISK:NONAGENCY:USD_PRIME_ARM</v>
          </cell>
          <cell r="D3201" t="str">
            <v>Price</v>
          </cell>
          <cell r="E3201" t="str">
            <v>Price Level</v>
          </cell>
          <cell r="F3201" t="str">
            <v>Alternative</v>
          </cell>
          <cell r="G3201" t="str">
            <v>Other</v>
          </cell>
          <cell r="H3201" t="str">
            <v>ALTS</v>
          </cell>
          <cell r="I3201" t="str">
            <v>Mortgage</v>
          </cell>
        </row>
        <row r="3202">
          <cell r="A3202" t="str">
            <v>USD_ALTA_FRM</v>
          </cell>
          <cell r="B3202" t="str">
            <v>Alt-A Fixed</v>
          </cell>
          <cell r="C3202" t="str">
            <v>BRS_GOLD__5_SPREADS:BRS_GOLD__3_OTHER_SPREADS:BRS_GOLD__1_MTG,TBA_ALL,PAYUP,NONAGENCY,MORT_IDIO,CRT,CRT_SP_RISK:NONAGENCY:USD_ALTA_FRM</v>
          </cell>
          <cell r="D3202" t="str">
            <v>Price</v>
          </cell>
          <cell r="E3202" t="str">
            <v>Price Level</v>
          </cell>
          <cell r="F3202" t="str">
            <v>Alternative</v>
          </cell>
          <cell r="G3202" t="str">
            <v>Other</v>
          </cell>
          <cell r="H3202" t="str">
            <v>ALTS</v>
          </cell>
          <cell r="I3202" t="str">
            <v>Mortgage</v>
          </cell>
        </row>
        <row r="3203">
          <cell r="A3203" t="str">
            <v>USD_ALTA_ARM</v>
          </cell>
          <cell r="B3203" t="str">
            <v>Alt-A ARM</v>
          </cell>
          <cell r="C3203" t="str">
            <v>BRS_GOLD__5_SPREADS:BRS_GOLD__3_OTHER_SPREADS:BRS_GOLD__1_MTG,TBA_ALL,PAYUP,NONAGENCY,MORT_IDIO,CRT,CRT_SP_RISK:NONAGENCY:USD_ALTA_ARM</v>
          </cell>
          <cell r="D3203" t="str">
            <v>Price</v>
          </cell>
          <cell r="E3203" t="str">
            <v>Price Level</v>
          </cell>
          <cell r="F3203" t="str">
            <v>Alternative</v>
          </cell>
          <cell r="G3203" t="str">
            <v>Other</v>
          </cell>
          <cell r="H3203" t="str">
            <v>ALTS</v>
          </cell>
          <cell r="I3203" t="str">
            <v>Mortgage</v>
          </cell>
        </row>
        <row r="3204">
          <cell r="A3204" t="str">
            <v>USD_OPTIONARM</v>
          </cell>
          <cell r="B3204" t="str">
            <v>Option ARM</v>
          </cell>
          <cell r="C3204" t="str">
            <v>BRS_GOLD__5_SPREADS:BRS_GOLD__3_OTHER_SPREADS:BRS_GOLD__1_MTG,TBA_ALL,PAYUP,NONAGENCY,MORT_IDIO,CRT,CRT_SP_RISK:NONAGENCY:USD_OPTIONARM</v>
          </cell>
          <cell r="D3204" t="str">
            <v>Price</v>
          </cell>
          <cell r="E3204" t="str">
            <v>Price Level</v>
          </cell>
          <cell r="F3204" t="str">
            <v>Alternative</v>
          </cell>
          <cell r="G3204" t="str">
            <v>Other</v>
          </cell>
          <cell r="H3204" t="str">
            <v>ALTS</v>
          </cell>
          <cell r="I3204" t="str">
            <v>Mortgage</v>
          </cell>
        </row>
        <row r="3205">
          <cell r="A3205" t="str">
            <v>USD_SUBPRIME</v>
          </cell>
          <cell r="B3205" t="str">
            <v>Subprime</v>
          </cell>
          <cell r="C3205" t="str">
            <v>BRS_GOLD__5_SPREADS:BRS_GOLD__3_OTHER_SPREADS:BRS_GOLD__1_MTG,TBA_ALL,PAYUP,NONAGENCY,MORT_IDIO,CRT,CRT_SP_RISK:NONAGENCY:USD_SUBPRIME</v>
          </cell>
          <cell r="D3205" t="str">
            <v>Price</v>
          </cell>
          <cell r="E3205" t="str">
            <v>Price Level</v>
          </cell>
          <cell r="F3205" t="str">
            <v>Alternative</v>
          </cell>
          <cell r="G3205" t="str">
            <v>Other</v>
          </cell>
          <cell r="H3205" t="str">
            <v>ALTS</v>
          </cell>
          <cell r="I3205" t="str">
            <v>Mortgage</v>
          </cell>
        </row>
        <row r="3206">
          <cell r="A3206" t="str">
            <v>USD_PAYUP_OTM35</v>
          </cell>
          <cell r="B3206" t="str">
            <v>Payup OTM350</v>
          </cell>
          <cell r="C3206" t="str">
            <v>BRS_GOLD__5_SPREADS:BRS_GOLD__3_OTHER_SPREADS:BRS_GOLD__1_MTG,TBA_ALL,PAYUP,NONAGENCY,MORT_IDIO,CRT,CRT_SP_RISK:PAYUP:PUMON:USD_PAYUP_OTM35</v>
          </cell>
          <cell r="D3206" t="str">
            <v>Price</v>
          </cell>
          <cell r="E3206" t="str">
            <v>Price Level</v>
          </cell>
          <cell r="F3206" t="str">
            <v>Alternative</v>
          </cell>
          <cell r="G3206" t="str">
            <v>Other</v>
          </cell>
          <cell r="H3206" t="str">
            <v>ALTS</v>
          </cell>
          <cell r="I3206" t="str">
            <v>Mortgage</v>
          </cell>
        </row>
        <row r="3207">
          <cell r="A3207" t="str">
            <v>USD_PAYUP_OTM30</v>
          </cell>
          <cell r="B3207" t="str">
            <v>Payup OTM300</v>
          </cell>
          <cell r="C3207" t="str">
            <v>BRS_GOLD__5_SPREADS:BRS_GOLD__3_OTHER_SPREADS:BRS_GOLD__1_MTG,TBA_ALL,PAYUP,NONAGENCY,MORT_IDIO,CRT,CRT_SP_RISK:PAYUP:PUMON:USD_PAYUP_OTM30</v>
          </cell>
          <cell r="D3207" t="str">
            <v>Price</v>
          </cell>
          <cell r="E3207" t="str">
            <v>Price Level</v>
          </cell>
          <cell r="F3207" t="str">
            <v>Alternative</v>
          </cell>
          <cell r="G3207" t="str">
            <v>Other</v>
          </cell>
          <cell r="H3207" t="str">
            <v>ALTS</v>
          </cell>
          <cell r="I3207" t="str">
            <v>Mortgage</v>
          </cell>
        </row>
        <row r="3208">
          <cell r="A3208" t="str">
            <v>USD_PAYUP_OTM25</v>
          </cell>
          <cell r="B3208" t="str">
            <v>Payup OTM250</v>
          </cell>
          <cell r="C3208" t="str">
            <v>BRS_GOLD__5_SPREADS:BRS_GOLD__3_OTHER_SPREADS:BRS_GOLD__1_MTG,TBA_ALL,PAYUP,NONAGENCY,MORT_IDIO,CRT,CRT_SP_RISK:PAYUP:PUMON:USD_PAYUP_OTM25</v>
          </cell>
          <cell r="D3208" t="str">
            <v>Price</v>
          </cell>
          <cell r="E3208" t="str">
            <v>Price Level</v>
          </cell>
          <cell r="F3208" t="str">
            <v>Alternative</v>
          </cell>
          <cell r="G3208" t="str">
            <v>Other</v>
          </cell>
          <cell r="H3208" t="str">
            <v>ALTS</v>
          </cell>
          <cell r="I3208" t="str">
            <v>Mortgage</v>
          </cell>
        </row>
        <row r="3209">
          <cell r="A3209" t="str">
            <v>USD_PAYUP_OTM20</v>
          </cell>
          <cell r="B3209" t="str">
            <v>Payup OTM200</v>
          </cell>
          <cell r="C3209" t="str">
            <v>BRS_GOLD__5_SPREADS:BRS_GOLD__3_OTHER_SPREADS:BRS_GOLD__1_MTG,TBA_ALL,PAYUP,NONAGENCY,MORT_IDIO,CRT,CRT_SP_RISK:PAYUP:PUMON:USD_PAYUP_OTM20</v>
          </cell>
          <cell r="D3209" t="str">
            <v>Price</v>
          </cell>
          <cell r="E3209" t="str">
            <v>Price Level</v>
          </cell>
          <cell r="F3209" t="str">
            <v>Alternative</v>
          </cell>
          <cell r="G3209" t="str">
            <v>Other</v>
          </cell>
          <cell r="H3209" t="str">
            <v>ALTS</v>
          </cell>
          <cell r="I3209" t="str">
            <v>Mortgage</v>
          </cell>
        </row>
        <row r="3210">
          <cell r="A3210" t="str">
            <v>USD_PAYUP_OTM15</v>
          </cell>
          <cell r="B3210" t="str">
            <v>Payup OTM150</v>
          </cell>
          <cell r="C3210" t="str">
            <v>BRS_GOLD__5_SPREADS:BRS_GOLD__3_OTHER_SPREADS:BRS_GOLD__1_MTG,TBA_ALL,PAYUP,NONAGENCY,MORT_IDIO,CRT,CRT_SP_RISK:PAYUP:PUMON:USD_PAYUP_OTM15</v>
          </cell>
          <cell r="D3210" t="str">
            <v>Price</v>
          </cell>
          <cell r="E3210" t="str">
            <v>Price Level</v>
          </cell>
          <cell r="F3210" t="str">
            <v>Alternative</v>
          </cell>
          <cell r="G3210" t="str">
            <v>Other</v>
          </cell>
          <cell r="H3210" t="str">
            <v>ALTS</v>
          </cell>
          <cell r="I3210" t="str">
            <v>Mortgage</v>
          </cell>
        </row>
        <row r="3211">
          <cell r="A3211" t="str">
            <v>USD_PAYUP_OTM10</v>
          </cell>
          <cell r="B3211" t="str">
            <v>Payup OTM100</v>
          </cell>
          <cell r="C3211" t="str">
            <v>BRS_GOLD__5_SPREADS:BRS_GOLD__3_OTHER_SPREADS:BRS_GOLD__1_MTG,TBA_ALL,PAYUP,NONAGENCY,MORT_IDIO,CRT,CRT_SP_RISK:PAYUP:PUMON:USD_PAYUP_OTM10</v>
          </cell>
          <cell r="D3211" t="str">
            <v>Price</v>
          </cell>
          <cell r="E3211" t="str">
            <v>Price Level</v>
          </cell>
          <cell r="F3211" t="str">
            <v>Alternative</v>
          </cell>
          <cell r="G3211" t="str">
            <v>Other</v>
          </cell>
          <cell r="H3211" t="str">
            <v>ALTS</v>
          </cell>
          <cell r="I3211" t="str">
            <v>Mortgage</v>
          </cell>
        </row>
        <row r="3212">
          <cell r="A3212" t="str">
            <v>USD_PAYUP_OTM5</v>
          </cell>
          <cell r="B3212" t="str">
            <v>Payup OTM50</v>
          </cell>
          <cell r="C3212" t="str">
            <v>BRS_GOLD__5_SPREADS:BRS_GOLD__3_OTHER_SPREADS:BRS_GOLD__1_MTG,TBA_ALL,PAYUP,NONAGENCY,MORT_IDIO,CRT,CRT_SP_RISK:PAYUP:PUMON:USD_PAYUP_OTM5</v>
          </cell>
          <cell r="D3212" t="str">
            <v>Price</v>
          </cell>
          <cell r="E3212" t="str">
            <v>Price Level</v>
          </cell>
          <cell r="F3212" t="str">
            <v>Alternative</v>
          </cell>
          <cell r="G3212" t="str">
            <v>Other</v>
          </cell>
          <cell r="H3212" t="str">
            <v>ALTS</v>
          </cell>
          <cell r="I3212" t="str">
            <v>Mortgage</v>
          </cell>
        </row>
        <row r="3213">
          <cell r="A3213" t="str">
            <v>USD_PAYUP_ATM</v>
          </cell>
          <cell r="B3213" t="str">
            <v>Payup ATM</v>
          </cell>
          <cell r="C3213" t="str">
            <v>BRS_GOLD__5_SPREADS:BRS_GOLD__3_OTHER_SPREADS:BRS_GOLD__1_MTG,TBA_ALL,PAYUP,NONAGENCY,MORT_IDIO,CRT,CRT_SP_RISK:PAYUP:PUMON:USD_PAYUP_ATM</v>
          </cell>
          <cell r="D3213" t="str">
            <v>Price</v>
          </cell>
          <cell r="E3213" t="str">
            <v>Price Level</v>
          </cell>
          <cell r="F3213" t="str">
            <v>Alternative</v>
          </cell>
          <cell r="G3213" t="str">
            <v>Other</v>
          </cell>
          <cell r="H3213" t="str">
            <v>ALTS</v>
          </cell>
          <cell r="I3213" t="str">
            <v>Mortgage</v>
          </cell>
        </row>
        <row r="3214">
          <cell r="A3214" t="str">
            <v>USD_PAYUP_ITM5</v>
          </cell>
          <cell r="B3214" t="str">
            <v>Payup ITM50</v>
          </cell>
          <cell r="C3214" t="str">
            <v>BRS_GOLD__5_SPREADS:BRS_GOLD__3_OTHER_SPREADS:BRS_GOLD__1_MTG,TBA_ALL,PAYUP,NONAGENCY,MORT_IDIO,CRT,CRT_SP_RISK:PAYUP:PUMON:USD_PAYUP_ITM5</v>
          </cell>
          <cell r="D3214" t="str">
            <v>Price</v>
          </cell>
          <cell r="E3214" t="str">
            <v>Price Level</v>
          </cell>
          <cell r="F3214" t="str">
            <v>Alternative</v>
          </cell>
          <cell r="G3214" t="str">
            <v>Other</v>
          </cell>
          <cell r="H3214" t="str">
            <v>ALTS</v>
          </cell>
          <cell r="I3214" t="str">
            <v>Mortgage</v>
          </cell>
        </row>
        <row r="3215">
          <cell r="A3215" t="str">
            <v>USD_PAYUP_ITM10</v>
          </cell>
          <cell r="B3215" t="str">
            <v>Payup ITM100</v>
          </cell>
          <cell r="C3215" t="str">
            <v>BRS_GOLD__5_SPREADS:BRS_GOLD__3_OTHER_SPREADS:BRS_GOLD__1_MTG,TBA_ALL,PAYUP,NONAGENCY,MORT_IDIO,CRT,CRT_SP_RISK:PAYUP:PUMON:USD_PAYUP_ITM10</v>
          </cell>
          <cell r="D3215" t="str">
            <v>Price</v>
          </cell>
          <cell r="E3215" t="str">
            <v>Price Level</v>
          </cell>
          <cell r="F3215" t="str">
            <v>Alternative</v>
          </cell>
          <cell r="G3215" t="str">
            <v>Other</v>
          </cell>
          <cell r="H3215" t="str">
            <v>ALTS</v>
          </cell>
          <cell r="I3215" t="str">
            <v>Mortgage</v>
          </cell>
        </row>
        <row r="3216">
          <cell r="A3216" t="str">
            <v>USD_PAYUP_ITM15</v>
          </cell>
          <cell r="B3216" t="str">
            <v>Payup ITM150</v>
          </cell>
          <cell r="C3216" t="str">
            <v>BRS_GOLD__5_SPREADS:BRS_GOLD__3_OTHER_SPREADS:BRS_GOLD__1_MTG,TBA_ALL,PAYUP,NONAGENCY,MORT_IDIO,CRT,CRT_SP_RISK:PAYUP:PUMON:USD_PAYUP_ITM15</v>
          </cell>
          <cell r="D3216" t="str">
            <v>Price</v>
          </cell>
          <cell r="E3216" t="str">
            <v>Price Level</v>
          </cell>
          <cell r="F3216" t="str">
            <v>Alternative</v>
          </cell>
          <cell r="G3216" t="str">
            <v>Other</v>
          </cell>
          <cell r="H3216" t="str">
            <v>ALTS</v>
          </cell>
          <cell r="I3216" t="str">
            <v>Mortgage</v>
          </cell>
        </row>
        <row r="3217">
          <cell r="A3217" t="str">
            <v>USD_PAYUP_ITM20</v>
          </cell>
          <cell r="B3217" t="str">
            <v>Payup ITM200</v>
          </cell>
          <cell r="C3217" t="str">
            <v>BRS_GOLD__5_SPREADS:BRS_GOLD__3_OTHER_SPREADS:BRS_GOLD__1_MTG,TBA_ALL,PAYUP,NONAGENCY,MORT_IDIO,CRT,CRT_SP_RISK:PAYUP:PUMON:USD_PAYUP_ITM20</v>
          </cell>
          <cell r="D3217" t="str">
            <v>Price</v>
          </cell>
          <cell r="E3217" t="str">
            <v>Price Level</v>
          </cell>
          <cell r="F3217" t="str">
            <v>Alternative</v>
          </cell>
          <cell r="G3217" t="str">
            <v>Other</v>
          </cell>
          <cell r="H3217" t="str">
            <v>ALTS</v>
          </cell>
          <cell r="I3217" t="str">
            <v>Mortgage</v>
          </cell>
        </row>
        <row r="3218">
          <cell r="A3218" t="str">
            <v>USD_PAYUP_ITM25</v>
          </cell>
          <cell r="B3218" t="str">
            <v>Payup ITM250</v>
          </cell>
          <cell r="C3218" t="str">
            <v>BRS_GOLD__5_SPREADS:BRS_GOLD__3_OTHER_SPREADS:BRS_GOLD__1_MTG,TBA_ALL,PAYUP,NONAGENCY,MORT_IDIO,CRT,CRT_SP_RISK:PAYUP:PUMON:USD_PAYUP_ITM25</v>
          </cell>
          <cell r="D3218" t="str">
            <v>Price</v>
          </cell>
          <cell r="E3218" t="str">
            <v>Price Level</v>
          </cell>
          <cell r="F3218" t="str">
            <v>Alternative</v>
          </cell>
          <cell r="G3218" t="str">
            <v>Other</v>
          </cell>
          <cell r="H3218" t="str">
            <v>ALTS</v>
          </cell>
          <cell r="I3218" t="str">
            <v>Mortgage</v>
          </cell>
        </row>
        <row r="3219">
          <cell r="A3219" t="str">
            <v>USD_PAYUP_ITM30</v>
          </cell>
          <cell r="B3219" t="str">
            <v>Payup ITM300</v>
          </cell>
          <cell r="C3219" t="str">
            <v>BRS_GOLD__5_SPREADS:BRS_GOLD__3_OTHER_SPREADS:BRS_GOLD__1_MTG,TBA_ALL,PAYUP,NONAGENCY,MORT_IDIO,CRT,CRT_SP_RISK:PAYUP:PUMON:USD_PAYUP_ITM30</v>
          </cell>
          <cell r="D3219" t="str">
            <v>Price</v>
          </cell>
          <cell r="E3219" t="str">
            <v>Price Level</v>
          </cell>
          <cell r="F3219" t="str">
            <v>Alternative</v>
          </cell>
          <cell r="G3219" t="str">
            <v>Other</v>
          </cell>
          <cell r="H3219" t="str">
            <v>ALTS</v>
          </cell>
          <cell r="I3219" t="str">
            <v>Mortgage</v>
          </cell>
        </row>
        <row r="3220">
          <cell r="A3220" t="str">
            <v>USD_PAYUP_ITM35</v>
          </cell>
          <cell r="B3220" t="str">
            <v>Payup ITM350</v>
          </cell>
          <cell r="C3220" t="str">
            <v>BRS_GOLD__5_SPREADS:BRS_GOLD__3_OTHER_SPREADS:BRS_GOLD__1_MTG,TBA_ALL,PAYUP,NONAGENCY,MORT_IDIO,CRT,CRT_SP_RISK:PAYUP:PUMON:USD_PAYUP_ITM35</v>
          </cell>
          <cell r="D3220" t="str">
            <v>Price</v>
          </cell>
          <cell r="E3220" t="str">
            <v>Price Level</v>
          </cell>
          <cell r="F3220" t="str">
            <v>Alternative</v>
          </cell>
          <cell r="G3220" t="str">
            <v>Other</v>
          </cell>
          <cell r="H3220" t="str">
            <v>ALTS</v>
          </cell>
          <cell r="I3220" t="str">
            <v>Mortgage</v>
          </cell>
        </row>
        <row r="3221">
          <cell r="A3221" t="str">
            <v>USD_PAYUP_LBAL</v>
          </cell>
          <cell r="B3221" t="str">
            <v>Payup Low Loan Balance</v>
          </cell>
          <cell r="C3221" t="str">
            <v>BRS_GOLD__5_SPREADS:BRS_GOLD__3_OTHER_SPREADS:BRS_GOLD__1_MTG,TBA_ALL,PAYUP,NONAGENCY,MORT_IDIO,CRT,CRT_SP_RISK:PAYUP:PUSTORY-USD_PAYUP_10-USD_PAYUP_20:USD_PAYUP_LBAL</v>
          </cell>
          <cell r="D3221" t="str">
            <v>Price</v>
          </cell>
          <cell r="E3221" t="str">
            <v>Price Level</v>
          </cell>
          <cell r="F3221" t="str">
            <v>Alternative</v>
          </cell>
          <cell r="G3221" t="str">
            <v>Other</v>
          </cell>
          <cell r="H3221" t="str">
            <v>ALTS</v>
          </cell>
          <cell r="I3221" t="str">
            <v>Mortgage</v>
          </cell>
        </row>
        <row r="3222">
          <cell r="A3222" t="str">
            <v>USD_PAYUP_FICO</v>
          </cell>
          <cell r="B3222" t="str">
            <v>Payup Low FICO</v>
          </cell>
          <cell r="C3222" t="str">
            <v>BRS_GOLD__5_SPREADS:BRS_GOLD__3_OTHER_SPREADS:BRS_GOLD__1_MTG,TBA_ALL,PAYUP,NONAGENCY,MORT_IDIO,CRT,CRT_SP_RISK:PAYUP:PUSTORY-USD_PAYUP_10-USD_PAYUP_20:USD_PAYUP_FICO</v>
          </cell>
          <cell r="D3222" t="str">
            <v>Price</v>
          </cell>
          <cell r="E3222" t="str">
            <v>Price Level</v>
          </cell>
          <cell r="F3222" t="str">
            <v>Alternative</v>
          </cell>
          <cell r="G3222" t="str">
            <v>Other</v>
          </cell>
          <cell r="H3222" t="str">
            <v>ALTS</v>
          </cell>
          <cell r="I3222" t="str">
            <v>Mortgage</v>
          </cell>
        </row>
        <row r="3223">
          <cell r="A3223" t="str">
            <v>USD_PAYUP_GEO</v>
          </cell>
          <cell r="B3223" t="str">
            <v>Payup GEO (FL,NY,PR,TX)</v>
          </cell>
          <cell r="C3223" t="str">
            <v>BRS_GOLD__5_SPREADS:BRS_GOLD__3_OTHER_SPREADS:BRS_GOLD__1_MTG,TBA_ALL,PAYUP,NONAGENCY,MORT_IDIO,CRT,CRT_SP_RISK:PAYUP:PUSTORY-USD_PAYUP_10-USD_PAYUP_20:USD_PAYUP_GEO</v>
          </cell>
          <cell r="D3223" t="str">
            <v>Price</v>
          </cell>
          <cell r="E3223" t="str">
            <v>Price Level</v>
          </cell>
          <cell r="F3223" t="str">
            <v>Alternative</v>
          </cell>
          <cell r="G3223" t="str">
            <v>Other</v>
          </cell>
          <cell r="H3223" t="str">
            <v>ALTS</v>
          </cell>
          <cell r="I3223" t="str">
            <v>Mortgage</v>
          </cell>
        </row>
        <row r="3224">
          <cell r="A3224" t="str">
            <v>USD_PAYUP_Investor</v>
          </cell>
          <cell r="B3224" t="str">
            <v>Payup Investor</v>
          </cell>
          <cell r="C3224" t="str">
            <v>BRS_GOLD__5_SPREADS:BRS_GOLD__3_OTHER_SPREADS:BRS_GOLD__1_MTG,TBA_ALL,PAYUP,NONAGENCY,MORT_IDIO,CRT,CRT_SP_RISK:PAYUP:PUSTORY-USD_PAYUP_10-USD_PAYUP_20:USD_PAYUP_Investor</v>
          </cell>
          <cell r="D3224" t="str">
            <v>Price</v>
          </cell>
          <cell r="E3224" t="str">
            <v>Price Level</v>
          </cell>
          <cell r="F3224" t="str">
            <v>Alternative</v>
          </cell>
          <cell r="G3224" t="str">
            <v>Other</v>
          </cell>
          <cell r="H3224" t="str">
            <v>ALTS</v>
          </cell>
          <cell r="I3224" t="str">
            <v>Mortgage</v>
          </cell>
        </row>
        <row r="3225">
          <cell r="A3225" t="str">
            <v>USD_PAYUP_LTV</v>
          </cell>
          <cell r="B3225" t="str">
            <v>Payup High LTV</v>
          </cell>
          <cell r="C3225" t="str">
            <v>BRS_GOLD__5_SPREADS:BRS_GOLD__3_OTHER_SPREADS:BRS_GOLD__1_MTG,TBA_ALL,PAYUP,NONAGENCY,MORT_IDIO,CRT,CRT_SP_RISK:PAYUP:PUSTORY-USD_PAYUP_10-USD_PAYUP_20:USD_PAYUP_LTV</v>
          </cell>
          <cell r="D3225" t="str">
            <v>Price</v>
          </cell>
          <cell r="E3225" t="str">
            <v>Price Level</v>
          </cell>
          <cell r="F3225" t="str">
            <v>Alternative</v>
          </cell>
          <cell r="G3225" t="str">
            <v>Other</v>
          </cell>
          <cell r="H3225" t="str">
            <v>ALTS</v>
          </cell>
          <cell r="I3225" t="str">
            <v>Mortgage</v>
          </cell>
        </row>
        <row r="3226">
          <cell r="A3226" t="str">
            <v>USD_PAYUP_MHAN</v>
          </cell>
          <cell r="B3226" t="str">
            <v>Payup MHA (TBA-ineligible)</v>
          </cell>
          <cell r="C3226" t="str">
            <v>BRS_GOLD__5_SPREADS:BRS_GOLD__3_OTHER_SPREADS:BRS_GOLD__1_MTG,TBA_ALL,PAYUP,NONAGENCY,MORT_IDIO,CRT,CRT_SP_RISK:PAYUP:PUSTORY-USD_PAYUP_10-USD_PAYUP_20:USD_PAYUP_MHAN</v>
          </cell>
          <cell r="D3226" t="str">
            <v>Price</v>
          </cell>
          <cell r="E3226" t="str">
            <v>Price Level</v>
          </cell>
          <cell r="F3226" t="str">
            <v>Alternative</v>
          </cell>
          <cell r="G3226" t="str">
            <v>Other</v>
          </cell>
          <cell r="H3226" t="str">
            <v>ALTS</v>
          </cell>
          <cell r="I3226" t="str">
            <v>Mortgage</v>
          </cell>
        </row>
        <row r="3227">
          <cell r="A3227" t="str">
            <v>USD_PAYUP_MHA</v>
          </cell>
          <cell r="B3227" t="str">
            <v>Payup MHA</v>
          </cell>
          <cell r="C3227" t="str">
            <v>BRS_GOLD__5_SPREADS:BRS_GOLD__3_OTHER_SPREADS:BRS_GOLD__1_MTG,TBA_ALL,PAYUP,NONAGENCY,MORT_IDIO,CRT,CRT_SP_RISK:PAYUP:PUSTORY-USD_PAYUP_10-USD_PAYUP_20:USD_PAYUP_MHA</v>
          </cell>
          <cell r="D3227" t="str">
            <v>Price</v>
          </cell>
          <cell r="E3227" t="str">
            <v>Price Level</v>
          </cell>
          <cell r="F3227" t="str">
            <v>Alternative</v>
          </cell>
          <cell r="G3227" t="str">
            <v>Other</v>
          </cell>
          <cell r="H3227" t="str">
            <v>ALTS</v>
          </cell>
          <cell r="I3227" t="str">
            <v>Mortgage</v>
          </cell>
        </row>
        <row r="3228">
          <cell r="A3228" t="str">
            <v>USD_PAYUP_Jumbo</v>
          </cell>
          <cell r="B3228" t="str">
            <v>Payup Jumbo</v>
          </cell>
          <cell r="C3228" t="str">
            <v>BRS_GOLD__5_SPREADS:BRS_GOLD__3_OTHER_SPREADS:BRS_GOLD__1_MTG,TBA_ALL,PAYUP,NONAGENCY,MORT_IDIO,CRT,CRT_SP_RISK:PAYUP:PUSTORY-USD_PAYUP_10-USD_PAYUP_20:USD_PAYUP_Jumbo</v>
          </cell>
          <cell r="D3228" t="str">
            <v>Price</v>
          </cell>
          <cell r="E3228" t="str">
            <v>Price Level</v>
          </cell>
          <cell r="F3228" t="str">
            <v>Alternative</v>
          </cell>
          <cell r="G3228" t="str">
            <v>Other</v>
          </cell>
          <cell r="H3228" t="str">
            <v>ALTS</v>
          </cell>
          <cell r="I3228" t="str">
            <v>Mortgage</v>
          </cell>
        </row>
        <row r="3229">
          <cell r="A3229" t="str">
            <v>USD_PAYUP_10</v>
          </cell>
          <cell r="B3229" t="str">
            <v>Payup 10year Mat</v>
          </cell>
          <cell r="C3229" t="str">
            <v>BRS_GOLD__5_SPREADS:BRS_GOLD__3_OTHER_SPREADS:BRS_GOLD__1_MTG,TBA_ALL,PAYUP,NONAGENCY,MORT_IDIO,CRT,CRT_SP_RISK:PAYUP:USD_PAYUP_10,USD_PAYUP_20:USD_PAYUP_10</v>
          </cell>
          <cell r="D3229" t="str">
            <v>Price</v>
          </cell>
          <cell r="E3229" t="str">
            <v>Price Level</v>
          </cell>
          <cell r="F3229" t="str">
            <v>Alternative</v>
          </cell>
          <cell r="G3229" t="str">
            <v>Other</v>
          </cell>
          <cell r="H3229" t="str">
            <v>ALTS</v>
          </cell>
          <cell r="I3229" t="str">
            <v>Mortgage</v>
          </cell>
        </row>
        <row r="3230">
          <cell r="A3230" t="str">
            <v>USD_PAYUP_20</v>
          </cell>
          <cell r="B3230" t="str">
            <v>Payup 20year Mat</v>
          </cell>
          <cell r="C3230" t="str">
            <v>BRS_GOLD__5_SPREADS:BRS_GOLD__3_OTHER_SPREADS:BRS_GOLD__1_MTG,TBA_ALL,PAYUP,NONAGENCY,MORT_IDIO,CRT,CRT_SP_RISK:PAYUP:USD_PAYUP_10,USD_PAYUP_20:USD_PAYUP_20</v>
          </cell>
          <cell r="D3230" t="str">
            <v>Price</v>
          </cell>
          <cell r="E3230" t="str">
            <v>Price Level</v>
          </cell>
          <cell r="F3230" t="str">
            <v>Alternative</v>
          </cell>
          <cell r="G3230" t="str">
            <v>Other</v>
          </cell>
          <cell r="H3230" t="str">
            <v>ALTS</v>
          </cell>
          <cell r="I3230" t="str">
            <v>Mortgage</v>
          </cell>
        </row>
        <row r="3231">
          <cell r="A3231" t="str">
            <v>USD_TBA_ATM_V521</v>
          </cell>
          <cell r="B3231" t="str">
            <v>TBA30 ATM</v>
          </cell>
          <cell r="C3231" t="str">
            <v>BRS_GOLD__5_SPREADS:BRS_GOLD__3_OTHER_SPREADS:BRS_GOLD__1_MTG,TBA_ALL,PAYUP,NONAGENCY,MORT_IDIO,CRT,CRT_SP_RISK:TBA_ALL:TBA_30YR:USD_TBA_ATM_V521</v>
          </cell>
          <cell r="D3231" t="str">
            <v>Spread Duration</v>
          </cell>
          <cell r="E3231" t="str">
            <v>Spread Yield</v>
          </cell>
          <cell r="F3231" t="str">
            <v>Alternative</v>
          </cell>
          <cell r="G3231" t="str">
            <v>Other</v>
          </cell>
          <cell r="H3231" t="str">
            <v>ALTS</v>
          </cell>
          <cell r="I3231" t="str">
            <v>Mortgage - Moneyness</v>
          </cell>
        </row>
        <row r="3232">
          <cell r="A3232" t="str">
            <v>USD_TBA_ATM_V530</v>
          </cell>
          <cell r="B3232" t="str">
            <v>TBA30 ATM v530</v>
          </cell>
          <cell r="C3232" t="str">
            <v>BRS_GOLD__5_SPREADS:BRS_GOLD__3_OTHER_SPREADS:BRS_GOLD__1_MTG,TBA_ALL,PAYUP,NONAGENCY,MORT_IDIO,CRT,CRT_SP_RISK:TBA_ALL:TBA_30YR:USD_TBA_ATM_V530</v>
          </cell>
          <cell r="D3232" t="str">
            <v>Spread Duration</v>
          </cell>
          <cell r="E3232" t="str">
            <v>Spread Yield</v>
          </cell>
          <cell r="F3232" t="str">
            <v>Alternative</v>
          </cell>
          <cell r="G3232" t="str">
            <v>Other</v>
          </cell>
          <cell r="H3232" t="str">
            <v>ALTS</v>
          </cell>
          <cell r="I3232" t="str">
            <v>Mortgage - Moneyness</v>
          </cell>
        </row>
        <row r="3233">
          <cell r="A3233" t="str">
            <v>USD_TBA_ITM5_V521</v>
          </cell>
          <cell r="B3233" t="str">
            <v>TBA30 ITM50</v>
          </cell>
          <cell r="C3233" t="str">
            <v>BRS_GOLD__5_SPREADS:BRS_GOLD__3_OTHER_SPREADS:BRS_GOLD__1_MTG,TBA_ALL,PAYUP,NONAGENCY,MORT_IDIO,CRT,CRT_SP_RISK:TBA_ALL:TBA_30YR:USD_TBA_ITM5_V521</v>
          </cell>
          <cell r="D3233" t="str">
            <v>Spread Duration</v>
          </cell>
          <cell r="E3233" t="str">
            <v>Spread Yield</v>
          </cell>
          <cell r="F3233" t="str">
            <v>Alternative</v>
          </cell>
          <cell r="G3233" t="str">
            <v>Other</v>
          </cell>
          <cell r="H3233" t="str">
            <v>ALTS</v>
          </cell>
          <cell r="I3233" t="str">
            <v>Mortgage - Moneyness</v>
          </cell>
        </row>
        <row r="3234">
          <cell r="A3234" t="str">
            <v>USD_TBA_ITM5_V530</v>
          </cell>
          <cell r="B3234" t="str">
            <v>TBA30 ITM50 v530</v>
          </cell>
          <cell r="C3234" t="str">
            <v>BRS_GOLD__5_SPREADS:BRS_GOLD__3_OTHER_SPREADS:BRS_GOLD__1_MTG,TBA_ALL,PAYUP,NONAGENCY,MORT_IDIO,CRT,CRT_SP_RISK:TBA_ALL:TBA_30YR:USD_TBA_ITM5_V530</v>
          </cell>
          <cell r="D3234" t="str">
            <v>Spread Duration</v>
          </cell>
          <cell r="E3234" t="str">
            <v>Spread Yield</v>
          </cell>
          <cell r="F3234" t="str">
            <v>Alternative</v>
          </cell>
          <cell r="G3234" t="str">
            <v>Other</v>
          </cell>
          <cell r="H3234" t="str">
            <v>ALTS</v>
          </cell>
          <cell r="I3234" t="str">
            <v>Mortgage - Moneyness</v>
          </cell>
        </row>
        <row r="3235">
          <cell r="A3235" t="str">
            <v>USD_TBA_ITM10_V521</v>
          </cell>
          <cell r="B3235" t="str">
            <v>TBA30 ITM100</v>
          </cell>
          <cell r="C3235" t="str">
            <v>BRS_GOLD__5_SPREADS:BRS_GOLD__3_OTHER_SPREADS:BRS_GOLD__1_MTG,TBA_ALL,PAYUP,NONAGENCY,MORT_IDIO,CRT,CRT_SP_RISK:TBA_ALL:TBA_30YR:USD_TBA_ITM10_V521</v>
          </cell>
          <cell r="D3235" t="str">
            <v>Spread Duration</v>
          </cell>
          <cell r="E3235" t="str">
            <v>Spread Yield</v>
          </cell>
          <cell r="F3235" t="str">
            <v>Alternative</v>
          </cell>
          <cell r="G3235" t="str">
            <v>Other</v>
          </cell>
          <cell r="H3235" t="str">
            <v>ALTS</v>
          </cell>
          <cell r="I3235" t="str">
            <v>Mortgage - Moneyness</v>
          </cell>
        </row>
        <row r="3236">
          <cell r="A3236" t="str">
            <v>USD_TBA_ITM10_V530</v>
          </cell>
          <cell r="B3236" t="str">
            <v>TBA30 ITM100 v530</v>
          </cell>
          <cell r="C3236" t="str">
            <v>BRS_GOLD__5_SPREADS:BRS_GOLD__3_OTHER_SPREADS:BRS_GOLD__1_MTG,TBA_ALL,PAYUP,NONAGENCY,MORT_IDIO,CRT,CRT_SP_RISK:TBA_ALL:TBA_30YR:USD_TBA_ITM10_V530</v>
          </cell>
          <cell r="D3236" t="str">
            <v>Spread Duration</v>
          </cell>
          <cell r="E3236" t="str">
            <v>Spread Yield</v>
          </cell>
          <cell r="F3236" t="str">
            <v>Alternative</v>
          </cell>
          <cell r="G3236" t="str">
            <v>Other</v>
          </cell>
          <cell r="H3236" t="str">
            <v>ALTS</v>
          </cell>
          <cell r="I3236" t="str">
            <v>Mortgage - Moneyness</v>
          </cell>
        </row>
        <row r="3237">
          <cell r="A3237" t="str">
            <v>USD_TBA_ITM15_V521</v>
          </cell>
          <cell r="B3237" t="str">
            <v>TBA30 ITM150</v>
          </cell>
          <cell r="C3237" t="str">
            <v>BRS_GOLD__5_SPREADS:BRS_GOLD__3_OTHER_SPREADS:BRS_GOLD__1_MTG,TBA_ALL,PAYUP,NONAGENCY,MORT_IDIO,CRT,CRT_SP_RISK:TBA_ALL:TBA_30YR:USD_TBA_ITM15_V521</v>
          </cell>
          <cell r="D3237" t="str">
            <v>Spread Duration</v>
          </cell>
          <cell r="E3237" t="str">
            <v>Spread Yield</v>
          </cell>
          <cell r="F3237" t="str">
            <v>Alternative</v>
          </cell>
          <cell r="G3237" t="str">
            <v>Other</v>
          </cell>
          <cell r="H3237" t="str">
            <v>ALTS</v>
          </cell>
          <cell r="I3237" t="str">
            <v>Mortgage - Moneyness</v>
          </cell>
        </row>
        <row r="3238">
          <cell r="A3238" t="str">
            <v>USD_TBA_ITM15_V530</v>
          </cell>
          <cell r="B3238" t="str">
            <v>TBA30 ITM150 v530</v>
          </cell>
          <cell r="C3238" t="str">
            <v>BRS_GOLD__5_SPREADS:BRS_GOLD__3_OTHER_SPREADS:BRS_GOLD__1_MTG,TBA_ALL,PAYUP,NONAGENCY,MORT_IDIO,CRT,CRT_SP_RISK:TBA_ALL:TBA_30YR:USD_TBA_ITM15_V530</v>
          </cell>
          <cell r="D3238" t="str">
            <v>Spread Duration</v>
          </cell>
          <cell r="E3238" t="str">
            <v>Spread Yield</v>
          </cell>
          <cell r="F3238" t="str">
            <v>Alternative</v>
          </cell>
          <cell r="G3238" t="str">
            <v>Other</v>
          </cell>
          <cell r="H3238" t="str">
            <v>ALTS</v>
          </cell>
          <cell r="I3238" t="str">
            <v>Mortgage - Moneyness</v>
          </cell>
        </row>
        <row r="3239">
          <cell r="A3239" t="str">
            <v>USD_TBA_ITM20_V521</v>
          </cell>
          <cell r="B3239" t="str">
            <v>TBA30 ITM200</v>
          </cell>
          <cell r="C3239" t="str">
            <v>BRS_GOLD__5_SPREADS:BRS_GOLD__3_OTHER_SPREADS:BRS_GOLD__1_MTG,TBA_ALL,PAYUP,NONAGENCY,MORT_IDIO,CRT,CRT_SP_RISK:TBA_ALL:TBA_30YR:USD_TBA_ITM20_V521</v>
          </cell>
          <cell r="D3239" t="str">
            <v>Spread Duration</v>
          </cell>
          <cell r="E3239" t="str">
            <v>Spread Yield</v>
          </cell>
          <cell r="F3239" t="str">
            <v>Alternative</v>
          </cell>
          <cell r="G3239" t="str">
            <v>Other</v>
          </cell>
          <cell r="H3239" t="str">
            <v>ALTS</v>
          </cell>
          <cell r="I3239" t="str">
            <v>Mortgage - Moneyness</v>
          </cell>
        </row>
        <row r="3240">
          <cell r="A3240" t="str">
            <v>USD_TBA_ITM20_V530</v>
          </cell>
          <cell r="B3240" t="str">
            <v>TBA30 ITM200 v530</v>
          </cell>
          <cell r="C3240" t="str">
            <v>BRS_GOLD__5_SPREADS:BRS_GOLD__3_OTHER_SPREADS:BRS_GOLD__1_MTG,TBA_ALL,PAYUP,NONAGENCY,MORT_IDIO,CRT,CRT_SP_RISK:TBA_ALL:TBA_30YR:USD_TBA_ITM20_V530</v>
          </cell>
          <cell r="D3240" t="str">
            <v>Spread Duration</v>
          </cell>
          <cell r="E3240" t="str">
            <v>Spread Yield</v>
          </cell>
          <cell r="F3240" t="str">
            <v>Alternative</v>
          </cell>
          <cell r="G3240" t="str">
            <v>Other</v>
          </cell>
          <cell r="H3240" t="str">
            <v>ALTS</v>
          </cell>
          <cell r="I3240" t="str">
            <v>Mortgage - Moneyness</v>
          </cell>
        </row>
        <row r="3241">
          <cell r="A3241" t="str">
            <v>USD_TBA_ITM25_V521</v>
          </cell>
          <cell r="B3241" t="str">
            <v>TBA30 ITM250</v>
          </cell>
          <cell r="C3241" t="str">
            <v>BRS_GOLD__5_SPREADS:BRS_GOLD__3_OTHER_SPREADS:BRS_GOLD__1_MTG,TBA_ALL,PAYUP,NONAGENCY,MORT_IDIO,CRT,CRT_SP_RISK:TBA_ALL:TBA_30YR:USD_TBA_ITM25_V521</v>
          </cell>
          <cell r="D3241" t="str">
            <v>Spread Duration</v>
          </cell>
          <cell r="E3241" t="str">
            <v>Spread Yield</v>
          </cell>
          <cell r="F3241" t="str">
            <v>Alternative</v>
          </cell>
          <cell r="G3241" t="str">
            <v>Other</v>
          </cell>
          <cell r="H3241" t="str">
            <v>ALTS</v>
          </cell>
          <cell r="I3241" t="str">
            <v>Mortgage - Moneyness</v>
          </cell>
        </row>
        <row r="3242">
          <cell r="A3242" t="str">
            <v>USD_TBA_ITM25_V530</v>
          </cell>
          <cell r="B3242" t="str">
            <v>TBA30 ITM250 v530</v>
          </cell>
          <cell r="C3242" t="str">
            <v>BRS_GOLD__5_SPREADS:BRS_GOLD__3_OTHER_SPREADS:BRS_GOLD__1_MTG,TBA_ALL,PAYUP,NONAGENCY,MORT_IDIO,CRT,CRT_SP_RISK:TBA_ALL:TBA_30YR:USD_TBA_ITM25_V530</v>
          </cell>
          <cell r="D3242" t="str">
            <v>Spread Duration</v>
          </cell>
          <cell r="E3242" t="str">
            <v>Spread Yield</v>
          </cell>
          <cell r="F3242" t="str">
            <v>Alternative</v>
          </cell>
          <cell r="G3242" t="str">
            <v>Other</v>
          </cell>
          <cell r="H3242" t="str">
            <v>ALTS</v>
          </cell>
          <cell r="I3242" t="str">
            <v>Mortgage - Moneyness</v>
          </cell>
        </row>
        <row r="3243">
          <cell r="A3243" t="str">
            <v>USD_TBA_ITM30_V521</v>
          </cell>
          <cell r="B3243" t="str">
            <v>TBA30 ITM300</v>
          </cell>
          <cell r="C3243" t="str">
            <v>BRS_GOLD__5_SPREADS:BRS_GOLD__3_OTHER_SPREADS:BRS_GOLD__1_MTG,TBA_ALL,PAYUP,NONAGENCY,MORT_IDIO,CRT,CRT_SP_RISK:TBA_ALL:TBA_30YR:USD_TBA_ITM30_V521</v>
          </cell>
          <cell r="D3243" t="str">
            <v>Spread Duration</v>
          </cell>
          <cell r="E3243" t="str">
            <v>Spread Yield</v>
          </cell>
          <cell r="F3243" t="str">
            <v>Alternative</v>
          </cell>
          <cell r="G3243" t="str">
            <v>Other</v>
          </cell>
          <cell r="H3243" t="str">
            <v>ALTS</v>
          </cell>
          <cell r="I3243" t="str">
            <v>Mortgage - Moneyness</v>
          </cell>
        </row>
        <row r="3244">
          <cell r="A3244" t="str">
            <v>USD_TBA_ITM30_V530</v>
          </cell>
          <cell r="B3244" t="str">
            <v>TBA30 ITM300 v530</v>
          </cell>
          <cell r="C3244" t="str">
            <v>BRS_GOLD__5_SPREADS:BRS_GOLD__3_OTHER_SPREADS:BRS_GOLD__1_MTG,TBA_ALL,PAYUP,NONAGENCY,MORT_IDIO,CRT,CRT_SP_RISK:TBA_ALL:TBA_30YR:USD_TBA_ITM30_V530</v>
          </cell>
          <cell r="D3244" t="str">
            <v>Spread Duration</v>
          </cell>
          <cell r="E3244" t="str">
            <v>Spread Yield</v>
          </cell>
          <cell r="F3244" t="str">
            <v>Alternative</v>
          </cell>
          <cell r="G3244" t="str">
            <v>Other</v>
          </cell>
          <cell r="H3244" t="str">
            <v>ALTS</v>
          </cell>
          <cell r="I3244" t="str">
            <v>Mortgage - Moneyness</v>
          </cell>
        </row>
        <row r="3245">
          <cell r="A3245" t="str">
            <v>USD_TBA_ITM35_V521</v>
          </cell>
          <cell r="B3245" t="str">
            <v>TBA30 ITM350</v>
          </cell>
          <cell r="C3245" t="str">
            <v>BRS_GOLD__5_SPREADS:BRS_GOLD__3_OTHER_SPREADS:BRS_GOLD__1_MTG,TBA_ALL,PAYUP,NONAGENCY,MORT_IDIO,CRT,CRT_SP_RISK:TBA_ALL:TBA_30YR:USD_TBA_ITM35_V521</v>
          </cell>
          <cell r="D3245" t="str">
            <v>Spread Duration</v>
          </cell>
          <cell r="E3245" t="str">
            <v>Spread Yield</v>
          </cell>
          <cell r="F3245" t="str">
            <v>Alternative</v>
          </cell>
          <cell r="G3245" t="str">
            <v>Other</v>
          </cell>
          <cell r="H3245" t="str">
            <v>ALTS</v>
          </cell>
          <cell r="I3245" t="str">
            <v>Mortgage - Moneyness</v>
          </cell>
        </row>
        <row r="3246">
          <cell r="A3246" t="str">
            <v>USD_TBA_ITM35_V530</v>
          </cell>
          <cell r="B3246" t="str">
            <v>TBA30 ITM350 v530</v>
          </cell>
          <cell r="C3246" t="str">
            <v>BRS_GOLD__5_SPREADS:BRS_GOLD__3_OTHER_SPREADS:BRS_GOLD__1_MTG,TBA_ALL,PAYUP,NONAGENCY,MORT_IDIO,CRT,CRT_SP_RISK:TBA_ALL:TBA_30YR:USD_TBA_ITM35_V530</v>
          </cell>
          <cell r="D3246" t="str">
            <v>Spread Duration</v>
          </cell>
          <cell r="E3246" t="str">
            <v>Spread Yield</v>
          </cell>
          <cell r="F3246" t="str">
            <v>Alternative</v>
          </cell>
          <cell r="G3246" t="str">
            <v>Other</v>
          </cell>
          <cell r="H3246" t="str">
            <v>ALTS</v>
          </cell>
          <cell r="I3246" t="str">
            <v>Mortgage - Moneyness</v>
          </cell>
        </row>
        <row r="3247">
          <cell r="A3247" t="str">
            <v>USD_TBA_OTM5_V521</v>
          </cell>
          <cell r="B3247" t="str">
            <v>TBA30 OTM50</v>
          </cell>
          <cell r="C3247" t="str">
            <v>BRS_GOLD__5_SPREADS:BRS_GOLD__3_OTHER_SPREADS:BRS_GOLD__1_MTG,TBA_ALL,PAYUP,NONAGENCY,MORT_IDIO,CRT,CRT_SP_RISK:TBA_ALL:TBA_30YR:USD_TBA_OTM5_V521</v>
          </cell>
          <cell r="D3247" t="str">
            <v>Spread Duration</v>
          </cell>
          <cell r="E3247" t="str">
            <v>Spread Yield</v>
          </cell>
          <cell r="F3247" t="str">
            <v>Alternative</v>
          </cell>
          <cell r="G3247" t="str">
            <v>Other</v>
          </cell>
          <cell r="H3247" t="str">
            <v>ALTS</v>
          </cell>
          <cell r="I3247" t="str">
            <v>Mortgage - Moneyness</v>
          </cell>
        </row>
        <row r="3248">
          <cell r="A3248" t="str">
            <v>USD_TBA_OTM5_V530</v>
          </cell>
          <cell r="B3248" t="str">
            <v>TBA30 OTM50 v530</v>
          </cell>
          <cell r="C3248" t="str">
            <v>BRS_GOLD__5_SPREADS:BRS_GOLD__3_OTHER_SPREADS:BRS_GOLD__1_MTG,TBA_ALL,PAYUP,NONAGENCY,MORT_IDIO,CRT,CRT_SP_RISK:TBA_ALL:TBA_30YR:USD_TBA_OTM5_V530</v>
          </cell>
          <cell r="D3248" t="str">
            <v>Spread Duration</v>
          </cell>
          <cell r="E3248" t="str">
            <v>Spread Yield</v>
          </cell>
          <cell r="F3248" t="str">
            <v>Alternative</v>
          </cell>
          <cell r="G3248" t="str">
            <v>Other</v>
          </cell>
          <cell r="H3248" t="str">
            <v>ALTS</v>
          </cell>
          <cell r="I3248" t="str">
            <v>Mortgage - Moneyness</v>
          </cell>
        </row>
        <row r="3249">
          <cell r="A3249" t="str">
            <v>USD_TBA_OTM10_V521</v>
          </cell>
          <cell r="B3249" t="str">
            <v>TBA30 OTM100</v>
          </cell>
          <cell r="C3249" t="str">
            <v>BRS_GOLD__5_SPREADS:BRS_GOLD__3_OTHER_SPREADS:BRS_GOLD__1_MTG,TBA_ALL,PAYUP,NONAGENCY,MORT_IDIO,CRT,CRT_SP_RISK:TBA_ALL:TBA_30YR:USD_TBA_OTM10_V521</v>
          </cell>
          <cell r="D3249" t="str">
            <v>Spread Duration</v>
          </cell>
          <cell r="E3249" t="str">
            <v>Spread Yield</v>
          </cell>
          <cell r="F3249" t="str">
            <v>Alternative</v>
          </cell>
          <cell r="G3249" t="str">
            <v>Other</v>
          </cell>
          <cell r="H3249" t="str">
            <v>ALTS</v>
          </cell>
          <cell r="I3249" t="str">
            <v>Mortgage - Moneyness</v>
          </cell>
        </row>
        <row r="3250">
          <cell r="A3250" t="str">
            <v>USD_TBA_OTM10_V530</v>
          </cell>
          <cell r="B3250" t="str">
            <v>TBA30 OTM100 v530</v>
          </cell>
          <cell r="C3250" t="str">
            <v>BRS_GOLD__5_SPREADS:BRS_GOLD__3_OTHER_SPREADS:BRS_GOLD__1_MTG,TBA_ALL,PAYUP,NONAGENCY,MORT_IDIO,CRT,CRT_SP_RISK:TBA_ALL:TBA_30YR:USD_TBA_OTM10_V530</v>
          </cell>
          <cell r="D3250" t="str">
            <v>Spread Duration</v>
          </cell>
          <cell r="E3250" t="str">
            <v>Spread Yield</v>
          </cell>
          <cell r="F3250" t="str">
            <v>Alternative</v>
          </cell>
          <cell r="G3250" t="str">
            <v>Other</v>
          </cell>
          <cell r="H3250" t="str">
            <v>ALTS</v>
          </cell>
          <cell r="I3250" t="str">
            <v>Mortgage - Moneyness</v>
          </cell>
        </row>
        <row r="3251">
          <cell r="A3251" t="str">
            <v>USD_TBA_OTM15_V521</v>
          </cell>
          <cell r="B3251" t="str">
            <v>TBA30 OTM150</v>
          </cell>
          <cell r="C3251" t="str">
            <v>BRS_GOLD__5_SPREADS:BRS_GOLD__3_OTHER_SPREADS:BRS_GOLD__1_MTG,TBA_ALL,PAYUP,NONAGENCY,MORT_IDIO,CRT,CRT_SP_RISK:TBA_ALL:TBA_30YR:USD_TBA_OTM15_V521</v>
          </cell>
          <cell r="D3251" t="str">
            <v>Spread Duration</v>
          </cell>
          <cell r="E3251" t="str">
            <v>Spread Yield</v>
          </cell>
          <cell r="F3251" t="str">
            <v>Alternative</v>
          </cell>
          <cell r="G3251" t="str">
            <v>Other</v>
          </cell>
          <cell r="H3251" t="str">
            <v>ALTS</v>
          </cell>
          <cell r="I3251" t="str">
            <v>Mortgage - Moneyness</v>
          </cell>
        </row>
        <row r="3252">
          <cell r="A3252" t="str">
            <v>USD_TBA_OTM15_V530</v>
          </cell>
          <cell r="B3252" t="str">
            <v>TBA30 OTM150 v530</v>
          </cell>
          <cell r="C3252" t="str">
            <v>BRS_GOLD__5_SPREADS:BRS_GOLD__3_OTHER_SPREADS:BRS_GOLD__1_MTG,TBA_ALL,PAYUP,NONAGENCY,MORT_IDIO,CRT,CRT_SP_RISK:TBA_ALL:TBA_30YR:USD_TBA_OTM15_V530</v>
          </cell>
          <cell r="D3252" t="str">
            <v>Spread Duration</v>
          </cell>
          <cell r="E3252" t="str">
            <v>Spread Yield</v>
          </cell>
          <cell r="F3252" t="str">
            <v>Alternative</v>
          </cell>
          <cell r="G3252" t="str">
            <v>Other</v>
          </cell>
          <cell r="H3252" t="str">
            <v>ALTS</v>
          </cell>
          <cell r="I3252" t="str">
            <v>Mortgage - Moneyness</v>
          </cell>
        </row>
        <row r="3253">
          <cell r="A3253" t="str">
            <v>USD_TBA_OTM20_V521</v>
          </cell>
          <cell r="B3253" t="str">
            <v>TBA30 OTM200</v>
          </cell>
          <cell r="C3253" t="str">
            <v>BRS_GOLD__5_SPREADS:BRS_GOLD__3_OTHER_SPREADS:BRS_GOLD__1_MTG,TBA_ALL,PAYUP,NONAGENCY,MORT_IDIO,CRT,CRT_SP_RISK:TBA_ALL:TBA_30YR:USD_TBA_OTM20_V521</v>
          </cell>
          <cell r="D3253" t="str">
            <v>Spread Duration</v>
          </cell>
          <cell r="E3253" t="str">
            <v>Spread Yield</v>
          </cell>
          <cell r="F3253" t="str">
            <v>Alternative</v>
          </cell>
          <cell r="G3253" t="str">
            <v>Other</v>
          </cell>
          <cell r="H3253" t="str">
            <v>ALTS</v>
          </cell>
          <cell r="I3253" t="str">
            <v>Mortgage - Moneyness</v>
          </cell>
        </row>
        <row r="3254">
          <cell r="A3254" t="str">
            <v>USD_TBA_OTM20_V530</v>
          </cell>
          <cell r="B3254" t="str">
            <v>TBA30 OTM200 v530</v>
          </cell>
          <cell r="C3254" t="str">
            <v>BRS_GOLD__5_SPREADS:BRS_GOLD__3_OTHER_SPREADS:BRS_GOLD__1_MTG,TBA_ALL,PAYUP,NONAGENCY,MORT_IDIO,CRT,CRT_SP_RISK:TBA_ALL:TBA_30YR:USD_TBA_OTM20_V530</v>
          </cell>
          <cell r="D3254" t="str">
            <v>Spread Duration</v>
          </cell>
          <cell r="E3254" t="str">
            <v>Spread Yield</v>
          </cell>
          <cell r="F3254" t="str">
            <v>Alternative</v>
          </cell>
          <cell r="G3254" t="str">
            <v>Other</v>
          </cell>
          <cell r="H3254" t="str">
            <v>ALTS</v>
          </cell>
          <cell r="I3254" t="str">
            <v>Mortgage - Moneyness</v>
          </cell>
        </row>
        <row r="3255">
          <cell r="A3255" t="str">
            <v>USD_TBA_OTM25_V521</v>
          </cell>
          <cell r="B3255" t="str">
            <v>TBA30 OTM250</v>
          </cell>
          <cell r="C3255" t="str">
            <v>BRS_GOLD__5_SPREADS:BRS_GOLD__3_OTHER_SPREADS:BRS_GOLD__1_MTG,TBA_ALL,PAYUP,NONAGENCY,MORT_IDIO,CRT,CRT_SP_RISK:TBA_ALL:TBA_30YR:USD_TBA_OTM25_V521</v>
          </cell>
          <cell r="D3255" t="str">
            <v>Spread Duration</v>
          </cell>
          <cell r="E3255" t="str">
            <v>Spread Yield</v>
          </cell>
          <cell r="F3255" t="str">
            <v>Alternative</v>
          </cell>
          <cell r="G3255" t="str">
            <v>Other</v>
          </cell>
          <cell r="H3255" t="str">
            <v>ALTS</v>
          </cell>
          <cell r="I3255" t="str">
            <v>Mortgage - Moneyness</v>
          </cell>
        </row>
        <row r="3256">
          <cell r="A3256" t="str">
            <v>USD_TBA_OTM25_V530</v>
          </cell>
          <cell r="B3256" t="str">
            <v>TBA30 OTM250 v530</v>
          </cell>
          <cell r="C3256" t="str">
            <v>BRS_GOLD__5_SPREADS:BRS_GOLD__3_OTHER_SPREADS:BRS_GOLD__1_MTG,TBA_ALL,PAYUP,NONAGENCY,MORT_IDIO,CRT,CRT_SP_RISK:TBA_ALL:TBA_30YR:USD_TBA_OTM25_V530</v>
          </cell>
          <cell r="D3256" t="str">
            <v>Spread Duration</v>
          </cell>
          <cell r="E3256" t="str">
            <v>Spread Yield</v>
          </cell>
          <cell r="F3256" t="str">
            <v>Alternative</v>
          </cell>
          <cell r="G3256" t="str">
            <v>Other</v>
          </cell>
          <cell r="H3256" t="str">
            <v>ALTS</v>
          </cell>
          <cell r="I3256" t="str">
            <v>Mortgage - Moneyness</v>
          </cell>
        </row>
        <row r="3257">
          <cell r="A3257" t="str">
            <v>USD_TBA_OTM30_V521</v>
          </cell>
          <cell r="B3257" t="str">
            <v>TBA30 OTM300</v>
          </cell>
          <cell r="C3257" t="str">
            <v>BRS_GOLD__5_SPREADS:BRS_GOLD__3_OTHER_SPREADS:BRS_GOLD__1_MTG,TBA_ALL,PAYUP,NONAGENCY,MORT_IDIO,CRT,CRT_SP_RISK:TBA_ALL:TBA_30YR:USD_TBA_OTM30_V521</v>
          </cell>
          <cell r="D3257" t="str">
            <v>Spread Duration</v>
          </cell>
          <cell r="E3257" t="str">
            <v>Spread Yield</v>
          </cell>
          <cell r="F3257" t="str">
            <v>Alternative</v>
          </cell>
          <cell r="G3257" t="str">
            <v>Other</v>
          </cell>
          <cell r="H3257" t="str">
            <v>ALTS</v>
          </cell>
          <cell r="I3257" t="str">
            <v>Mortgage - Moneyness</v>
          </cell>
        </row>
        <row r="3258">
          <cell r="A3258" t="str">
            <v>USD_TBA_OTM30_V530</v>
          </cell>
          <cell r="B3258" t="str">
            <v>TBA30 OTM300 v530</v>
          </cell>
          <cell r="C3258" t="str">
            <v>BRS_GOLD__5_SPREADS:BRS_GOLD__3_OTHER_SPREADS:BRS_GOLD__1_MTG,TBA_ALL,PAYUP,NONAGENCY,MORT_IDIO,CRT,CRT_SP_RISK:TBA_ALL:TBA_30YR:USD_TBA_OTM30_V530</v>
          </cell>
          <cell r="D3258" t="str">
            <v>Spread Duration</v>
          </cell>
          <cell r="E3258" t="str">
            <v>Spread Yield</v>
          </cell>
          <cell r="F3258" t="str">
            <v>Alternative</v>
          </cell>
          <cell r="G3258" t="str">
            <v>Other</v>
          </cell>
          <cell r="H3258" t="str">
            <v>ALTS</v>
          </cell>
          <cell r="I3258" t="str">
            <v>Mortgage - Moneyness</v>
          </cell>
        </row>
        <row r="3259">
          <cell r="A3259" t="str">
            <v>USD_TBA_OTM35_V521</v>
          </cell>
          <cell r="B3259" t="str">
            <v>TBA30 OTM350</v>
          </cell>
          <cell r="C3259" t="str">
            <v>BRS_GOLD__5_SPREADS:BRS_GOLD__3_OTHER_SPREADS:BRS_GOLD__1_MTG,TBA_ALL,PAYUP,NONAGENCY,MORT_IDIO,CRT,CRT_SP_RISK:TBA_ALL:TBA_30YR:USD_TBA_OTM35_V521</v>
          </cell>
          <cell r="D3259" t="str">
            <v>Spread Duration</v>
          </cell>
          <cell r="E3259" t="str">
            <v>Spread Yield</v>
          </cell>
          <cell r="F3259" t="str">
            <v>Alternative</v>
          </cell>
          <cell r="G3259" t="str">
            <v>Other</v>
          </cell>
          <cell r="H3259" t="str">
            <v>ALTS</v>
          </cell>
          <cell r="I3259" t="str">
            <v>Mortgage - Moneyness</v>
          </cell>
        </row>
        <row r="3260">
          <cell r="A3260" t="str">
            <v>USD_TBA_OTM35_V530</v>
          </cell>
          <cell r="B3260" t="str">
            <v>TBA30 OTM350 v530</v>
          </cell>
          <cell r="C3260" t="str">
            <v>BRS_GOLD__5_SPREADS:BRS_GOLD__3_OTHER_SPREADS:BRS_GOLD__1_MTG,TBA_ALL,PAYUP,NONAGENCY,MORT_IDIO,CRT,CRT_SP_RISK:TBA_ALL:TBA_30YR:USD_TBA_OTM35_V530</v>
          </cell>
          <cell r="D3260" t="str">
            <v>Spread Duration</v>
          </cell>
          <cell r="E3260" t="str">
            <v>Spread Yield</v>
          </cell>
          <cell r="F3260" t="str">
            <v>Alternative</v>
          </cell>
          <cell r="G3260" t="str">
            <v>Other</v>
          </cell>
          <cell r="H3260" t="str">
            <v>ALTS</v>
          </cell>
          <cell r="I3260" t="str">
            <v>Mortgage - Moneyness</v>
          </cell>
        </row>
        <row r="3261">
          <cell r="A3261" t="str">
            <v>USD_TBA_ATM_V540</v>
          </cell>
          <cell r="B3261" t="str">
            <v>TBA30 ATM v540</v>
          </cell>
          <cell r="C3261" t="str">
            <v>BRS_GOLD__5_SPREADS:BRS_GOLD__3_OTHER_SPREADS:BRS_GOLD__1_MTG,TBA_ALL,PAYUP,NONAGENCY,MORT_IDIO,CRT,CRT_SP_RISK:TBA_ALL:TBA_30YR:USD_TBA_ATM_V540</v>
          </cell>
          <cell r="D3261" t="str">
            <v>Spread Duration</v>
          </cell>
          <cell r="E3261" t="str">
            <v>Spread Yield</v>
          </cell>
          <cell r="F3261" t="str">
            <v>Alternative</v>
          </cell>
          <cell r="G3261" t="str">
            <v>Other</v>
          </cell>
          <cell r="H3261" t="str">
            <v>ALTS</v>
          </cell>
          <cell r="I3261" t="str">
            <v>Mortgage - Moneyness</v>
          </cell>
        </row>
        <row r="3262">
          <cell r="A3262" t="str">
            <v>USD_TBA_ITM10_V540</v>
          </cell>
          <cell r="B3262" t="str">
            <v>TBA30 ITM100 v540</v>
          </cell>
          <cell r="C3262" t="str">
            <v>BRS_GOLD__5_SPREADS:BRS_GOLD__3_OTHER_SPREADS:BRS_GOLD__1_MTG,TBA_ALL,PAYUP,NONAGENCY,MORT_IDIO,CRT,CRT_SP_RISK:TBA_ALL:TBA_30YR:USD_TBA_ITM10_V540</v>
          </cell>
          <cell r="D3262" t="str">
            <v>Spread Duration</v>
          </cell>
          <cell r="E3262" t="str">
            <v>Spread Yield</v>
          </cell>
          <cell r="F3262" t="str">
            <v>Alternative</v>
          </cell>
          <cell r="G3262" t="str">
            <v>Other</v>
          </cell>
          <cell r="H3262" t="str">
            <v>ALTS</v>
          </cell>
          <cell r="I3262" t="str">
            <v>Mortgage - Moneyness</v>
          </cell>
        </row>
        <row r="3263">
          <cell r="A3263" t="str">
            <v>USD_TBA_ITM15_V540</v>
          </cell>
          <cell r="B3263" t="str">
            <v>TBA30 ITM150 v540</v>
          </cell>
          <cell r="C3263" t="str">
            <v>BRS_GOLD__5_SPREADS:BRS_GOLD__3_OTHER_SPREADS:BRS_GOLD__1_MTG,TBA_ALL,PAYUP,NONAGENCY,MORT_IDIO,CRT,CRT_SP_RISK:TBA_ALL:TBA_30YR:USD_TBA_ITM15_V540</v>
          </cell>
          <cell r="D3263" t="str">
            <v>Spread Duration</v>
          </cell>
          <cell r="E3263" t="str">
            <v>Spread Yield</v>
          </cell>
          <cell r="F3263" t="str">
            <v>Alternative</v>
          </cell>
          <cell r="G3263" t="str">
            <v>Other</v>
          </cell>
          <cell r="H3263" t="str">
            <v>ALTS</v>
          </cell>
          <cell r="I3263" t="str">
            <v>Mortgage - Moneyness</v>
          </cell>
        </row>
        <row r="3264">
          <cell r="A3264" t="str">
            <v>USD_TBA_ITM20_V540</v>
          </cell>
          <cell r="B3264" t="str">
            <v>TBA30 ITM200 v540</v>
          </cell>
          <cell r="C3264" t="str">
            <v>BRS_GOLD__5_SPREADS:BRS_GOLD__3_OTHER_SPREADS:BRS_GOLD__1_MTG,TBA_ALL,PAYUP,NONAGENCY,MORT_IDIO,CRT,CRT_SP_RISK:TBA_ALL:TBA_30YR:USD_TBA_ITM20_V540</v>
          </cell>
          <cell r="D3264" t="str">
            <v>Spread Duration</v>
          </cell>
          <cell r="E3264" t="str">
            <v>Spread Yield</v>
          </cell>
          <cell r="F3264" t="str">
            <v>Alternative</v>
          </cell>
          <cell r="G3264" t="str">
            <v>Other</v>
          </cell>
          <cell r="H3264" t="str">
            <v>ALTS</v>
          </cell>
          <cell r="I3264" t="str">
            <v>Mortgage - Moneyness</v>
          </cell>
        </row>
        <row r="3265">
          <cell r="A3265" t="str">
            <v>USD_TBA_ITM25_V540</v>
          </cell>
          <cell r="B3265" t="str">
            <v>TBA30 ITM250 v540</v>
          </cell>
          <cell r="C3265" t="str">
            <v>BRS_GOLD__5_SPREADS:BRS_GOLD__3_OTHER_SPREADS:BRS_GOLD__1_MTG,TBA_ALL,PAYUP,NONAGENCY,MORT_IDIO,CRT,CRT_SP_RISK:TBA_ALL:TBA_30YR:USD_TBA_ITM25_V540</v>
          </cell>
          <cell r="D3265" t="str">
            <v>Spread Duration</v>
          </cell>
          <cell r="E3265" t="str">
            <v>Spread Yield</v>
          </cell>
          <cell r="F3265" t="str">
            <v>Alternative</v>
          </cell>
          <cell r="G3265" t="str">
            <v>Other</v>
          </cell>
          <cell r="H3265" t="str">
            <v>ALTS</v>
          </cell>
          <cell r="I3265" t="str">
            <v>Mortgage - Moneyness</v>
          </cell>
        </row>
        <row r="3266">
          <cell r="A3266" t="str">
            <v>USD_TBA_ITM30_V540</v>
          </cell>
          <cell r="B3266" t="str">
            <v>TBA30 ITM300 v540</v>
          </cell>
          <cell r="C3266" t="str">
            <v>BRS_GOLD__5_SPREADS:BRS_GOLD__3_OTHER_SPREADS:BRS_GOLD__1_MTG,TBA_ALL,PAYUP,NONAGENCY,MORT_IDIO,CRT,CRT_SP_RISK:TBA_ALL:TBA_30YR:USD_TBA_ITM30_V540</v>
          </cell>
          <cell r="D3266" t="str">
            <v>Spread Duration</v>
          </cell>
          <cell r="E3266" t="str">
            <v>Spread Yield</v>
          </cell>
          <cell r="F3266" t="str">
            <v>Alternative</v>
          </cell>
          <cell r="G3266" t="str">
            <v>Other</v>
          </cell>
          <cell r="H3266" t="str">
            <v>ALTS</v>
          </cell>
          <cell r="I3266" t="str">
            <v>Mortgage - Moneyness</v>
          </cell>
        </row>
        <row r="3267">
          <cell r="A3267" t="str">
            <v>USD_TBA_ITM35_V540</v>
          </cell>
          <cell r="B3267" t="str">
            <v>TBA30 ITM350 v540</v>
          </cell>
          <cell r="C3267" t="str">
            <v>BRS_GOLD__5_SPREADS:BRS_GOLD__3_OTHER_SPREADS:BRS_GOLD__1_MTG,TBA_ALL,PAYUP,NONAGENCY,MORT_IDIO,CRT,CRT_SP_RISK:TBA_ALL:TBA_30YR:USD_TBA_ITM35_V540</v>
          </cell>
          <cell r="D3267" t="str">
            <v>Spread Duration</v>
          </cell>
          <cell r="E3267" t="str">
            <v>Spread Yield</v>
          </cell>
          <cell r="F3267" t="str">
            <v>Alternative</v>
          </cell>
          <cell r="G3267" t="str">
            <v>Other</v>
          </cell>
          <cell r="H3267" t="str">
            <v>ALTS</v>
          </cell>
          <cell r="I3267" t="str">
            <v>Mortgage - Moneyness</v>
          </cell>
        </row>
        <row r="3268">
          <cell r="A3268" t="str">
            <v>USD_TBA_ITM5_V540</v>
          </cell>
          <cell r="B3268" t="str">
            <v>TBA30 ITM50 v540</v>
          </cell>
          <cell r="C3268" t="str">
            <v>BRS_GOLD__5_SPREADS:BRS_GOLD__3_OTHER_SPREADS:BRS_GOLD__1_MTG,TBA_ALL,PAYUP,NONAGENCY,MORT_IDIO,CRT,CRT_SP_RISK:TBA_ALL:TBA_30YR:USD_TBA_ITM5_V540</v>
          </cell>
          <cell r="D3268" t="str">
            <v>Spread Duration</v>
          </cell>
          <cell r="E3268" t="str">
            <v>Spread Yield</v>
          </cell>
          <cell r="F3268" t="str">
            <v>Alternative</v>
          </cell>
          <cell r="G3268" t="str">
            <v>Other</v>
          </cell>
          <cell r="H3268" t="str">
            <v>ALTS</v>
          </cell>
          <cell r="I3268" t="str">
            <v>Mortgage - Moneyness</v>
          </cell>
        </row>
        <row r="3269">
          <cell r="A3269" t="str">
            <v>USD_TBA_OTM10_V540</v>
          </cell>
          <cell r="B3269" t="str">
            <v>TBA30 OTM100 v540</v>
          </cell>
          <cell r="C3269" t="str">
            <v>BRS_GOLD__5_SPREADS:BRS_GOLD__3_OTHER_SPREADS:BRS_GOLD__1_MTG,TBA_ALL,PAYUP,NONAGENCY,MORT_IDIO,CRT,CRT_SP_RISK:TBA_ALL:TBA_30YR:USD_TBA_OTM10_V540</v>
          </cell>
          <cell r="D3269" t="str">
            <v>Spread Duration</v>
          </cell>
          <cell r="E3269" t="str">
            <v>Spread Yield</v>
          </cell>
          <cell r="F3269" t="str">
            <v>Alternative</v>
          </cell>
          <cell r="G3269" t="str">
            <v>Other</v>
          </cell>
          <cell r="H3269" t="str">
            <v>ALTS</v>
          </cell>
          <cell r="I3269" t="str">
            <v>Mortgage - Moneyness</v>
          </cell>
        </row>
        <row r="3270">
          <cell r="A3270" t="str">
            <v>USD_TBA_OTM15_V540</v>
          </cell>
          <cell r="B3270" t="str">
            <v>TBA30 OTM150 v540</v>
          </cell>
          <cell r="C3270" t="str">
            <v>BRS_GOLD__5_SPREADS:BRS_GOLD__3_OTHER_SPREADS:BRS_GOLD__1_MTG,TBA_ALL,PAYUP,NONAGENCY,MORT_IDIO,CRT,CRT_SP_RISK:TBA_ALL:TBA_30YR:USD_TBA_OTM15_V540</v>
          </cell>
          <cell r="D3270" t="str">
            <v>Spread Duration</v>
          </cell>
          <cell r="E3270" t="str">
            <v>Spread Yield</v>
          </cell>
          <cell r="F3270" t="str">
            <v>Alternative</v>
          </cell>
          <cell r="G3270" t="str">
            <v>Other</v>
          </cell>
          <cell r="H3270" t="str">
            <v>ALTS</v>
          </cell>
          <cell r="I3270" t="str">
            <v>Mortgage - Moneyness</v>
          </cell>
        </row>
        <row r="3271">
          <cell r="A3271" t="str">
            <v>USD_TBA_OTM20_V540</v>
          </cell>
          <cell r="B3271" t="str">
            <v>TBA30 OTM200 v540</v>
          </cell>
          <cell r="C3271" t="str">
            <v>BRS_GOLD__5_SPREADS:BRS_GOLD__3_OTHER_SPREADS:BRS_GOLD__1_MTG,TBA_ALL,PAYUP,NONAGENCY,MORT_IDIO,CRT,CRT_SP_RISK:TBA_ALL:TBA_30YR:USD_TBA_OTM20_V540</v>
          </cell>
          <cell r="D3271" t="str">
            <v>Spread Duration</v>
          </cell>
          <cell r="E3271" t="str">
            <v>Spread Yield</v>
          </cell>
          <cell r="F3271" t="str">
            <v>Alternative</v>
          </cell>
          <cell r="G3271" t="str">
            <v>Other</v>
          </cell>
          <cell r="H3271" t="str">
            <v>ALTS</v>
          </cell>
          <cell r="I3271" t="str">
            <v>Mortgage - Moneyness</v>
          </cell>
        </row>
        <row r="3272">
          <cell r="A3272" t="str">
            <v>USD_TBA_OTM25_V540</v>
          </cell>
          <cell r="B3272" t="str">
            <v>TBA30 OTM250 v540</v>
          </cell>
          <cell r="C3272" t="str">
            <v>BRS_GOLD__5_SPREADS:BRS_GOLD__3_OTHER_SPREADS:BRS_GOLD__1_MTG,TBA_ALL,PAYUP,NONAGENCY,MORT_IDIO,CRT,CRT_SP_RISK:TBA_ALL:TBA_30YR:USD_TBA_OTM25_V540</v>
          </cell>
          <cell r="D3272" t="str">
            <v>Spread Duration</v>
          </cell>
          <cell r="E3272" t="str">
            <v>Spread Yield</v>
          </cell>
          <cell r="F3272" t="str">
            <v>Alternative</v>
          </cell>
          <cell r="G3272" t="str">
            <v>Other</v>
          </cell>
          <cell r="H3272" t="str">
            <v>ALTS</v>
          </cell>
          <cell r="I3272" t="str">
            <v>Mortgage - Moneyness</v>
          </cell>
        </row>
        <row r="3273">
          <cell r="A3273" t="str">
            <v>USD_TBA_OTM30_V540</v>
          </cell>
          <cell r="B3273" t="str">
            <v>TBA30 OTM300 v540</v>
          </cell>
          <cell r="C3273" t="str">
            <v>BRS_GOLD__5_SPREADS:BRS_GOLD__3_OTHER_SPREADS:BRS_GOLD__1_MTG,TBA_ALL,PAYUP,NONAGENCY,MORT_IDIO,CRT,CRT_SP_RISK:TBA_ALL:TBA_30YR:USD_TBA_OTM30_V540</v>
          </cell>
          <cell r="D3273" t="str">
            <v>Spread Duration</v>
          </cell>
          <cell r="E3273" t="str">
            <v>Spread Yield</v>
          </cell>
          <cell r="F3273" t="str">
            <v>Alternative</v>
          </cell>
          <cell r="G3273" t="str">
            <v>Other</v>
          </cell>
          <cell r="H3273" t="str">
            <v>ALTS</v>
          </cell>
          <cell r="I3273" t="str">
            <v>Mortgage - Moneyness</v>
          </cell>
        </row>
        <row r="3274">
          <cell r="A3274" t="str">
            <v>USD_TBA_OTM35_V540</v>
          </cell>
          <cell r="B3274" t="str">
            <v>TBA30 OTM350 v540</v>
          </cell>
          <cell r="C3274" t="str">
            <v>BRS_GOLD__5_SPREADS:BRS_GOLD__3_OTHER_SPREADS:BRS_GOLD__1_MTG,TBA_ALL,PAYUP,NONAGENCY,MORT_IDIO,CRT,CRT_SP_RISK:TBA_ALL:TBA_30YR:USD_TBA_OTM35_V540</v>
          </cell>
          <cell r="D3274" t="str">
            <v>Spread Duration</v>
          </cell>
          <cell r="E3274" t="str">
            <v>Spread Yield</v>
          </cell>
          <cell r="F3274" t="str">
            <v>Alternative</v>
          </cell>
          <cell r="G3274" t="str">
            <v>Other</v>
          </cell>
          <cell r="H3274" t="str">
            <v>ALTS</v>
          </cell>
          <cell r="I3274" t="str">
            <v>Mortgage - Moneyness</v>
          </cell>
        </row>
        <row r="3275">
          <cell r="A3275" t="str">
            <v>USD_TBA_OTM5_V540</v>
          </cell>
          <cell r="B3275" t="str">
            <v>TBA30 OTM50 v540</v>
          </cell>
          <cell r="C3275" t="str">
            <v>BRS_GOLD__5_SPREADS:BRS_GOLD__3_OTHER_SPREADS:BRS_GOLD__1_MTG,TBA_ALL,PAYUP,NONAGENCY,MORT_IDIO,CRT,CRT_SP_RISK:TBA_ALL:TBA_30YR:USD_TBA_OTM5_V540</v>
          </cell>
          <cell r="D3275" t="str">
            <v>Spread Duration</v>
          </cell>
          <cell r="E3275" t="str">
            <v>Spread Yield</v>
          </cell>
          <cell r="F3275" t="str">
            <v>Alternative</v>
          </cell>
          <cell r="G3275" t="str">
            <v>Other</v>
          </cell>
          <cell r="H3275" t="str">
            <v>ALTS</v>
          </cell>
          <cell r="I3275" t="str">
            <v>Mortgage - Moneyness</v>
          </cell>
        </row>
        <row r="3276">
          <cell r="A3276" t="str">
            <v>USD_TBA_ATM_V545</v>
          </cell>
          <cell r="B3276" t="str">
            <v>TBA30 ATM v545</v>
          </cell>
          <cell r="C3276" t="str">
            <v>BRS_GOLD__5_SPREADS:BRS_GOLD__3_OTHER_SPREADS:BRS_GOLD__1_MTG,TBA_ALL,PAYUP,NONAGENCY,MORT_IDIO,CRT,CRT_SP_RISK:TBA_ALL:TBA_30YR:USD_TBA_ATM_V545</v>
          </cell>
          <cell r="D3276" t="str">
            <v>Spread Duration</v>
          </cell>
          <cell r="E3276" t="str">
            <v>Spread Yield</v>
          </cell>
          <cell r="F3276" t="str">
            <v>Alternative</v>
          </cell>
          <cell r="G3276" t="str">
            <v>Other</v>
          </cell>
          <cell r="H3276" t="str">
            <v>ALTS</v>
          </cell>
          <cell r="I3276" t="str">
            <v>Mortgage - Moneyness</v>
          </cell>
        </row>
        <row r="3277">
          <cell r="A3277" t="str">
            <v>USD_TBA_ITM10_V545</v>
          </cell>
          <cell r="B3277" t="str">
            <v>TBA30 ITM100 v545</v>
          </cell>
          <cell r="C3277" t="str">
            <v>BRS_GOLD__5_SPREADS:BRS_GOLD__3_OTHER_SPREADS:BRS_GOLD__1_MTG,TBA_ALL,PAYUP,NONAGENCY,MORT_IDIO,CRT,CRT_SP_RISK:TBA_ALL:TBA_30YR:USD_TBA_ITM10_V545</v>
          </cell>
          <cell r="D3277" t="str">
            <v>Spread Duration</v>
          </cell>
          <cell r="E3277" t="str">
            <v>Spread Yield</v>
          </cell>
          <cell r="F3277" t="str">
            <v>Alternative</v>
          </cell>
          <cell r="G3277" t="str">
            <v>Other</v>
          </cell>
          <cell r="H3277" t="str">
            <v>ALTS</v>
          </cell>
          <cell r="I3277" t="str">
            <v>Mortgage - Moneyness</v>
          </cell>
        </row>
        <row r="3278">
          <cell r="A3278" t="str">
            <v>USD_TBA_ITM15_V545</v>
          </cell>
          <cell r="B3278" t="str">
            <v>TBA30 ITM150 v545</v>
          </cell>
          <cell r="C3278" t="str">
            <v>BRS_GOLD__5_SPREADS:BRS_GOLD__3_OTHER_SPREADS:BRS_GOLD__1_MTG,TBA_ALL,PAYUP,NONAGENCY,MORT_IDIO,CRT,CRT_SP_RISK:TBA_ALL:TBA_30YR:USD_TBA_ITM15_V545</v>
          </cell>
          <cell r="D3278" t="str">
            <v>Spread Duration</v>
          </cell>
          <cell r="E3278" t="str">
            <v>Spread Yield</v>
          </cell>
          <cell r="F3278" t="str">
            <v>Alternative</v>
          </cell>
          <cell r="G3278" t="str">
            <v>Other</v>
          </cell>
          <cell r="H3278" t="str">
            <v>ALTS</v>
          </cell>
          <cell r="I3278" t="str">
            <v>Mortgage - Moneyness</v>
          </cell>
        </row>
        <row r="3279">
          <cell r="A3279" t="str">
            <v>USD_TBA_ITM20_V545</v>
          </cell>
          <cell r="B3279" t="str">
            <v>TBA30 ITM200 v545</v>
          </cell>
          <cell r="C3279" t="str">
            <v>BRS_GOLD__5_SPREADS:BRS_GOLD__3_OTHER_SPREADS:BRS_GOLD__1_MTG,TBA_ALL,PAYUP,NONAGENCY,MORT_IDIO,CRT,CRT_SP_RISK:TBA_ALL:TBA_30YR:USD_TBA_ITM20_V545</v>
          </cell>
          <cell r="D3279" t="str">
            <v>Spread Duration</v>
          </cell>
          <cell r="E3279" t="str">
            <v>Spread Yield</v>
          </cell>
          <cell r="F3279" t="str">
            <v>Alternative</v>
          </cell>
          <cell r="G3279" t="str">
            <v>Other</v>
          </cell>
          <cell r="H3279" t="str">
            <v>ALTS</v>
          </cell>
          <cell r="I3279" t="str">
            <v>Mortgage - Moneyness</v>
          </cell>
        </row>
        <row r="3280">
          <cell r="A3280" t="str">
            <v>USD_TBA_ITM25_V545</v>
          </cell>
          <cell r="B3280" t="str">
            <v>TBA30 ITM250 v545</v>
          </cell>
          <cell r="C3280" t="str">
            <v>BRS_GOLD__5_SPREADS:BRS_GOLD__3_OTHER_SPREADS:BRS_GOLD__1_MTG,TBA_ALL,PAYUP,NONAGENCY,MORT_IDIO,CRT,CRT_SP_RISK:TBA_ALL:TBA_30YR:USD_TBA_ITM25_V545</v>
          </cell>
          <cell r="D3280" t="str">
            <v>Spread Duration</v>
          </cell>
          <cell r="E3280" t="str">
            <v>Spread Yield</v>
          </cell>
          <cell r="F3280" t="str">
            <v>Alternative</v>
          </cell>
          <cell r="G3280" t="str">
            <v>Other</v>
          </cell>
          <cell r="H3280" t="str">
            <v>ALTS</v>
          </cell>
          <cell r="I3280" t="str">
            <v>Mortgage - Moneyness</v>
          </cell>
        </row>
        <row r="3281">
          <cell r="A3281" t="str">
            <v>USD_TBA_ITM30_V545</v>
          </cell>
          <cell r="B3281" t="str">
            <v>TBA30 ITM300 v545</v>
          </cell>
          <cell r="C3281" t="str">
            <v>BRS_GOLD__5_SPREADS:BRS_GOLD__3_OTHER_SPREADS:BRS_GOLD__1_MTG,TBA_ALL,PAYUP,NONAGENCY,MORT_IDIO,CRT,CRT_SP_RISK:TBA_ALL:TBA_30YR:USD_TBA_ITM30_V545</v>
          </cell>
          <cell r="D3281" t="str">
            <v>Spread Duration</v>
          </cell>
          <cell r="E3281" t="str">
            <v>Spread Yield</v>
          </cell>
          <cell r="F3281" t="str">
            <v>Alternative</v>
          </cell>
          <cell r="G3281" t="str">
            <v>Other</v>
          </cell>
          <cell r="H3281" t="str">
            <v>ALTS</v>
          </cell>
          <cell r="I3281" t="str">
            <v>Mortgage - Moneyness</v>
          </cell>
        </row>
        <row r="3282">
          <cell r="A3282" t="str">
            <v>USD_TBA_ITM35_V545</v>
          </cell>
          <cell r="B3282" t="str">
            <v>TBA30 ITM350 v545</v>
          </cell>
          <cell r="C3282" t="str">
            <v>BRS_GOLD__5_SPREADS:BRS_GOLD__3_OTHER_SPREADS:BRS_GOLD__1_MTG,TBA_ALL,PAYUP,NONAGENCY,MORT_IDIO,CRT,CRT_SP_RISK:TBA_ALL:TBA_30YR:USD_TBA_ITM35_V545</v>
          </cell>
          <cell r="D3282" t="str">
            <v>Spread Duration</v>
          </cell>
          <cell r="E3282" t="str">
            <v>Spread Yield</v>
          </cell>
          <cell r="F3282" t="str">
            <v>Alternative</v>
          </cell>
          <cell r="G3282" t="str">
            <v>Other</v>
          </cell>
          <cell r="H3282" t="str">
            <v>ALTS</v>
          </cell>
          <cell r="I3282" t="str">
            <v>Mortgage - Moneyness</v>
          </cell>
        </row>
        <row r="3283">
          <cell r="A3283" t="str">
            <v>USD_TBA_ITM5_V545</v>
          </cell>
          <cell r="B3283" t="str">
            <v>TBA30 ITM50 v545</v>
          </cell>
          <cell r="C3283" t="str">
            <v>BRS_GOLD__5_SPREADS:BRS_GOLD__3_OTHER_SPREADS:BRS_GOLD__1_MTG,TBA_ALL,PAYUP,NONAGENCY,MORT_IDIO,CRT,CRT_SP_RISK:TBA_ALL:TBA_30YR:USD_TBA_ITM5_V545</v>
          </cell>
          <cell r="D3283" t="str">
            <v>Spread Duration</v>
          </cell>
          <cell r="E3283" t="str">
            <v>Spread Yield</v>
          </cell>
          <cell r="F3283" t="str">
            <v>Alternative</v>
          </cell>
          <cell r="G3283" t="str">
            <v>Other</v>
          </cell>
          <cell r="H3283" t="str">
            <v>ALTS</v>
          </cell>
          <cell r="I3283" t="str">
            <v>Mortgage - Moneyness</v>
          </cell>
        </row>
        <row r="3284">
          <cell r="A3284" t="str">
            <v>USD_TBA_OTM10_V545</v>
          </cell>
          <cell r="B3284" t="str">
            <v>TBA30 OTM100 v545</v>
          </cell>
          <cell r="C3284" t="str">
            <v>BRS_GOLD__5_SPREADS:BRS_GOLD__3_OTHER_SPREADS:BRS_GOLD__1_MTG,TBA_ALL,PAYUP,NONAGENCY,MORT_IDIO,CRT,CRT_SP_RISK:TBA_ALL:TBA_30YR:USD_TBA_OTM10_V545</v>
          </cell>
          <cell r="D3284" t="str">
            <v>Spread Duration</v>
          </cell>
          <cell r="E3284" t="str">
            <v>Spread Yield</v>
          </cell>
          <cell r="F3284" t="str">
            <v>Alternative</v>
          </cell>
          <cell r="G3284" t="str">
            <v>Other</v>
          </cell>
          <cell r="H3284" t="str">
            <v>ALTS</v>
          </cell>
          <cell r="I3284" t="str">
            <v>Mortgage - Moneyness</v>
          </cell>
        </row>
        <row r="3285">
          <cell r="A3285" t="str">
            <v>USD_TBA_OTM15_V545</v>
          </cell>
          <cell r="B3285" t="str">
            <v>TBA30 OTM150 v545</v>
          </cell>
          <cell r="C3285" t="str">
            <v>BRS_GOLD__5_SPREADS:BRS_GOLD__3_OTHER_SPREADS:BRS_GOLD__1_MTG,TBA_ALL,PAYUP,NONAGENCY,MORT_IDIO,CRT,CRT_SP_RISK:TBA_ALL:TBA_30YR:USD_TBA_OTM15_V545</v>
          </cell>
          <cell r="D3285" t="str">
            <v>Spread Duration</v>
          </cell>
          <cell r="E3285" t="str">
            <v>Spread Yield</v>
          </cell>
          <cell r="F3285" t="str">
            <v>Alternative</v>
          </cell>
          <cell r="G3285" t="str">
            <v>Other</v>
          </cell>
          <cell r="H3285" t="str">
            <v>ALTS</v>
          </cell>
          <cell r="I3285" t="str">
            <v>Mortgage - Moneyness</v>
          </cell>
        </row>
        <row r="3286">
          <cell r="A3286" t="str">
            <v>USD_TBA_OTM20_V545</v>
          </cell>
          <cell r="B3286" t="str">
            <v>TBA30 OTM200 v545</v>
          </cell>
          <cell r="C3286" t="str">
            <v>BRS_GOLD__5_SPREADS:BRS_GOLD__3_OTHER_SPREADS:BRS_GOLD__1_MTG,TBA_ALL,PAYUP,NONAGENCY,MORT_IDIO,CRT,CRT_SP_RISK:TBA_ALL:TBA_30YR:USD_TBA_OTM20_V545</v>
          </cell>
          <cell r="D3286" t="str">
            <v>Spread Duration</v>
          </cell>
          <cell r="E3286" t="str">
            <v>Spread Yield</v>
          </cell>
          <cell r="F3286" t="str">
            <v>Alternative</v>
          </cell>
          <cell r="G3286" t="str">
            <v>Other</v>
          </cell>
          <cell r="H3286" t="str">
            <v>ALTS</v>
          </cell>
          <cell r="I3286" t="str">
            <v>Mortgage - Moneyness</v>
          </cell>
        </row>
        <row r="3287">
          <cell r="A3287" t="str">
            <v>USD_TBA_OTM25_V545</v>
          </cell>
          <cell r="B3287" t="str">
            <v>TBA30 OTM250 v545</v>
          </cell>
          <cell r="C3287" t="str">
            <v>BRS_GOLD__5_SPREADS:BRS_GOLD__3_OTHER_SPREADS:BRS_GOLD__1_MTG,TBA_ALL,PAYUP,NONAGENCY,MORT_IDIO,CRT,CRT_SP_RISK:TBA_ALL:TBA_30YR:USD_TBA_OTM25_V545</v>
          </cell>
          <cell r="D3287" t="str">
            <v>Spread Duration</v>
          </cell>
          <cell r="E3287" t="str">
            <v>Spread Yield</v>
          </cell>
          <cell r="F3287" t="str">
            <v>Alternative</v>
          </cell>
          <cell r="G3287" t="str">
            <v>Other</v>
          </cell>
          <cell r="H3287" t="str">
            <v>ALTS</v>
          </cell>
          <cell r="I3287" t="str">
            <v>Mortgage - Moneyness</v>
          </cell>
        </row>
        <row r="3288">
          <cell r="A3288" t="str">
            <v>USD_TBA_OTM30_V545</v>
          </cell>
          <cell r="B3288" t="str">
            <v>TBA30 OTM300 v545</v>
          </cell>
          <cell r="C3288" t="str">
            <v>BRS_GOLD__5_SPREADS:BRS_GOLD__3_OTHER_SPREADS:BRS_GOLD__1_MTG,TBA_ALL,PAYUP,NONAGENCY,MORT_IDIO,CRT,CRT_SP_RISK:TBA_ALL:TBA_30YR:USD_TBA_OTM30_V545</v>
          </cell>
          <cell r="D3288" t="str">
            <v>Spread Duration</v>
          </cell>
          <cell r="E3288" t="str">
            <v>Spread Yield</v>
          </cell>
          <cell r="F3288" t="str">
            <v>Alternative</v>
          </cell>
          <cell r="G3288" t="str">
            <v>Other</v>
          </cell>
          <cell r="H3288" t="str">
            <v>ALTS</v>
          </cell>
          <cell r="I3288" t="str">
            <v>Mortgage - Moneyness</v>
          </cell>
        </row>
        <row r="3289">
          <cell r="A3289" t="str">
            <v>USD_TBA_OTM35_V545</v>
          </cell>
          <cell r="B3289" t="str">
            <v>TBA30 OTM350 v545</v>
          </cell>
          <cell r="C3289" t="str">
            <v>BRS_GOLD__5_SPREADS:BRS_GOLD__3_OTHER_SPREADS:BRS_GOLD__1_MTG,TBA_ALL,PAYUP,NONAGENCY,MORT_IDIO,CRT,CRT_SP_RISK:TBA_ALL:TBA_30YR:USD_TBA_OTM35_V545</v>
          </cell>
          <cell r="D3289" t="str">
            <v>Spread Duration</v>
          </cell>
          <cell r="E3289" t="str">
            <v>Spread Yield</v>
          </cell>
          <cell r="F3289" t="str">
            <v>Alternative</v>
          </cell>
          <cell r="G3289" t="str">
            <v>Other</v>
          </cell>
          <cell r="H3289" t="str">
            <v>ALTS</v>
          </cell>
          <cell r="I3289" t="str">
            <v>Mortgage - Moneyness</v>
          </cell>
        </row>
        <row r="3290">
          <cell r="A3290" t="str">
            <v>USD_TBA_OTM5_V545</v>
          </cell>
          <cell r="B3290" t="str">
            <v>TBA30 OTM50 v545</v>
          </cell>
          <cell r="C3290" t="str">
            <v>BRS_GOLD__5_SPREADS:BRS_GOLD__3_OTHER_SPREADS:BRS_GOLD__1_MTG,TBA_ALL,PAYUP,NONAGENCY,MORT_IDIO,CRT,CRT_SP_RISK:TBA_ALL:TBA_30YR:USD_TBA_OTM5_V545</v>
          </cell>
          <cell r="D3290" t="str">
            <v>Spread Duration</v>
          </cell>
          <cell r="E3290" t="str">
            <v>Spread Yield</v>
          </cell>
          <cell r="F3290" t="str">
            <v>Alternative</v>
          </cell>
          <cell r="G3290" t="str">
            <v>Other</v>
          </cell>
          <cell r="H3290" t="str">
            <v>ALTS</v>
          </cell>
          <cell r="I3290" t="str">
            <v>Mortgage - Moneyness</v>
          </cell>
        </row>
        <row r="3291">
          <cell r="A3291" t="str">
            <v>USD_TBA_ATM_V546</v>
          </cell>
          <cell r="B3291" t="str">
            <v>TBA30 ATM v546</v>
          </cell>
          <cell r="C3291" t="str">
            <v>BRS_GOLD__5_SPREADS:BRS_GOLD__3_OTHER_SPREADS:BRS_GOLD__1_MTG,TBA_ALL,PAYUP,NONAGENCY,MORT_IDIO,CRT,CRT_SP_RISK:TBA_ALL:TBA_30YR:USD_TBA_ATM_V546</v>
          </cell>
          <cell r="D3291" t="str">
            <v>Spread Duration</v>
          </cell>
          <cell r="E3291" t="str">
            <v>Spread Yield</v>
          </cell>
          <cell r="F3291" t="str">
            <v>Alternative</v>
          </cell>
          <cell r="G3291" t="str">
            <v>Other</v>
          </cell>
          <cell r="H3291" t="str">
            <v>ALTS</v>
          </cell>
          <cell r="I3291" t="str">
            <v>Mortgage - Moneyness</v>
          </cell>
        </row>
        <row r="3292">
          <cell r="A3292" t="str">
            <v>USD_TBA_ITM10_V546</v>
          </cell>
          <cell r="B3292" t="str">
            <v>TBA30 ITM100 v546</v>
          </cell>
          <cell r="C3292" t="str">
            <v>BRS_GOLD__5_SPREADS:BRS_GOLD__3_OTHER_SPREADS:BRS_GOLD__1_MTG,TBA_ALL,PAYUP,NONAGENCY,MORT_IDIO,CRT,CRT_SP_RISK:TBA_ALL:TBA_30YR:USD_TBA_ITM10_V546</v>
          </cell>
          <cell r="D3292" t="str">
            <v>Spread Duration</v>
          </cell>
          <cell r="E3292" t="str">
            <v>Spread Yield</v>
          </cell>
          <cell r="F3292" t="str">
            <v>Alternative</v>
          </cell>
          <cell r="G3292" t="str">
            <v>Other</v>
          </cell>
          <cell r="H3292" t="str">
            <v>ALTS</v>
          </cell>
          <cell r="I3292" t="str">
            <v>Mortgage - Moneyness</v>
          </cell>
        </row>
        <row r="3293">
          <cell r="A3293" t="str">
            <v>USD_TBA_ITM15_V546</v>
          </cell>
          <cell r="B3293" t="str">
            <v>TBA30 ITM150 v546</v>
          </cell>
          <cell r="C3293" t="str">
            <v>BRS_GOLD__5_SPREADS:BRS_GOLD__3_OTHER_SPREADS:BRS_GOLD__1_MTG,TBA_ALL,PAYUP,NONAGENCY,MORT_IDIO,CRT,CRT_SP_RISK:TBA_ALL:TBA_30YR:USD_TBA_ITM15_V546</v>
          </cell>
          <cell r="D3293" t="str">
            <v>Spread Duration</v>
          </cell>
          <cell r="E3293" t="str">
            <v>Spread Yield</v>
          </cell>
          <cell r="F3293" t="str">
            <v>Alternative</v>
          </cell>
          <cell r="G3293" t="str">
            <v>Other</v>
          </cell>
          <cell r="H3293" t="str">
            <v>ALTS</v>
          </cell>
          <cell r="I3293" t="str">
            <v>Mortgage - Moneyness</v>
          </cell>
        </row>
        <row r="3294">
          <cell r="A3294" t="str">
            <v>USD_TBA_ITM20_V546</v>
          </cell>
          <cell r="B3294" t="str">
            <v>TBA30 ITM200 v546</v>
          </cell>
          <cell r="C3294" t="str">
            <v>BRS_GOLD__5_SPREADS:BRS_GOLD__3_OTHER_SPREADS:BRS_GOLD__1_MTG,TBA_ALL,PAYUP,NONAGENCY,MORT_IDIO,CRT,CRT_SP_RISK:TBA_ALL:TBA_30YR:USD_TBA_ITM20_V546</v>
          </cell>
          <cell r="D3294" t="str">
            <v>Spread Duration</v>
          </cell>
          <cell r="E3294" t="str">
            <v>Spread Yield</v>
          </cell>
          <cell r="F3294" t="str">
            <v>Alternative</v>
          </cell>
          <cell r="G3294" t="str">
            <v>Other</v>
          </cell>
          <cell r="H3294" t="str">
            <v>ALTS</v>
          </cell>
          <cell r="I3294" t="str">
            <v>Mortgage - Moneyness</v>
          </cell>
        </row>
        <row r="3295">
          <cell r="A3295" t="str">
            <v>USD_TBA_ITM25_V546</v>
          </cell>
          <cell r="B3295" t="str">
            <v>TBA30 ITM250 v546</v>
          </cell>
          <cell r="C3295" t="str">
            <v>BRS_GOLD__5_SPREADS:BRS_GOLD__3_OTHER_SPREADS:BRS_GOLD__1_MTG,TBA_ALL,PAYUP,NONAGENCY,MORT_IDIO,CRT,CRT_SP_RISK:TBA_ALL:TBA_30YR:USD_TBA_ITM25_V546</v>
          </cell>
          <cell r="D3295" t="str">
            <v>Spread Duration</v>
          </cell>
          <cell r="E3295" t="str">
            <v>Spread Yield</v>
          </cell>
          <cell r="F3295" t="str">
            <v>Alternative</v>
          </cell>
          <cell r="G3295" t="str">
            <v>Other</v>
          </cell>
          <cell r="H3295" t="str">
            <v>ALTS</v>
          </cell>
          <cell r="I3295" t="str">
            <v>Mortgage - Moneyness</v>
          </cell>
        </row>
        <row r="3296">
          <cell r="A3296" t="str">
            <v>USD_TBA_ITM30_V546</v>
          </cell>
          <cell r="B3296" t="str">
            <v>TBA30 ITM300 v546</v>
          </cell>
          <cell r="C3296" t="str">
            <v>BRS_GOLD__5_SPREADS:BRS_GOLD__3_OTHER_SPREADS:BRS_GOLD__1_MTG,TBA_ALL,PAYUP,NONAGENCY,MORT_IDIO,CRT,CRT_SP_RISK:TBA_ALL:TBA_30YR:USD_TBA_ITM30_V546</v>
          </cell>
          <cell r="D3296" t="str">
            <v>Spread Duration</v>
          </cell>
          <cell r="E3296" t="str">
            <v>Spread Yield</v>
          </cell>
          <cell r="F3296" t="str">
            <v>Alternative</v>
          </cell>
          <cell r="G3296" t="str">
            <v>Other</v>
          </cell>
          <cell r="H3296" t="str">
            <v>ALTS</v>
          </cell>
          <cell r="I3296" t="str">
            <v>Mortgage - Moneyness</v>
          </cell>
        </row>
        <row r="3297">
          <cell r="A3297" t="str">
            <v>USD_TBA_ITM35_V546</v>
          </cell>
          <cell r="B3297" t="str">
            <v>TBA30 ITM350 v546</v>
          </cell>
          <cell r="C3297" t="str">
            <v>BRS_GOLD__5_SPREADS:BRS_GOLD__3_OTHER_SPREADS:BRS_GOLD__1_MTG,TBA_ALL,PAYUP,NONAGENCY,MORT_IDIO,CRT,CRT_SP_RISK:TBA_ALL:TBA_30YR:USD_TBA_ITM35_V546</v>
          </cell>
          <cell r="D3297" t="str">
            <v>Spread Duration</v>
          </cell>
          <cell r="E3297" t="str">
            <v>Spread Yield</v>
          </cell>
          <cell r="F3297" t="str">
            <v>Alternative</v>
          </cell>
          <cell r="G3297" t="str">
            <v>Other</v>
          </cell>
          <cell r="H3297" t="str">
            <v>ALTS</v>
          </cell>
          <cell r="I3297" t="str">
            <v>Mortgage - Moneyness</v>
          </cell>
        </row>
        <row r="3298">
          <cell r="A3298" t="str">
            <v>USD_TBA_ITM5_V546</v>
          </cell>
          <cell r="B3298" t="str">
            <v>TBA30 ITM50 v546</v>
          </cell>
          <cell r="C3298" t="str">
            <v>BRS_GOLD__5_SPREADS:BRS_GOLD__3_OTHER_SPREADS:BRS_GOLD__1_MTG,TBA_ALL,PAYUP,NONAGENCY,MORT_IDIO,CRT,CRT_SP_RISK:TBA_ALL:TBA_30YR:USD_TBA_ITM5_V546</v>
          </cell>
          <cell r="D3298" t="str">
            <v>Spread Duration</v>
          </cell>
          <cell r="E3298" t="str">
            <v>Spread Yield</v>
          </cell>
          <cell r="F3298" t="str">
            <v>Alternative</v>
          </cell>
          <cell r="G3298" t="str">
            <v>Other</v>
          </cell>
          <cell r="H3298" t="str">
            <v>ALTS</v>
          </cell>
          <cell r="I3298" t="str">
            <v>Mortgage - Moneyness</v>
          </cell>
        </row>
        <row r="3299">
          <cell r="A3299" t="str">
            <v>USD_TBA_OTM10_V546</v>
          </cell>
          <cell r="B3299" t="str">
            <v>TBA30 OTM100 v546</v>
          </cell>
          <cell r="C3299" t="str">
            <v>BRS_GOLD__5_SPREADS:BRS_GOLD__3_OTHER_SPREADS:BRS_GOLD__1_MTG,TBA_ALL,PAYUP,NONAGENCY,MORT_IDIO,CRT,CRT_SP_RISK:TBA_ALL:TBA_30YR:USD_TBA_OTM10_V546</v>
          </cell>
          <cell r="D3299" t="str">
            <v>Spread Duration</v>
          </cell>
          <cell r="E3299" t="str">
            <v>Spread Yield</v>
          </cell>
          <cell r="F3299" t="str">
            <v>Alternative</v>
          </cell>
          <cell r="G3299" t="str">
            <v>Other</v>
          </cell>
          <cell r="H3299" t="str">
            <v>ALTS</v>
          </cell>
          <cell r="I3299" t="str">
            <v>Mortgage - Moneyness</v>
          </cell>
        </row>
        <row r="3300">
          <cell r="A3300" t="str">
            <v>USD_TBA_OTM15_V546</v>
          </cell>
          <cell r="B3300" t="str">
            <v>TBA30 OTM150 v546</v>
          </cell>
          <cell r="C3300" t="str">
            <v>BRS_GOLD__5_SPREADS:BRS_GOLD__3_OTHER_SPREADS:BRS_GOLD__1_MTG,TBA_ALL,PAYUP,NONAGENCY,MORT_IDIO,CRT,CRT_SP_RISK:TBA_ALL:TBA_30YR:USD_TBA_OTM15_V546</v>
          </cell>
          <cell r="D3300" t="str">
            <v>Spread Duration</v>
          </cell>
          <cell r="E3300" t="str">
            <v>Spread Yield</v>
          </cell>
          <cell r="F3300" t="str">
            <v>Alternative</v>
          </cell>
          <cell r="G3300" t="str">
            <v>Other</v>
          </cell>
          <cell r="H3300" t="str">
            <v>ALTS</v>
          </cell>
          <cell r="I3300" t="str">
            <v>Mortgage - Moneyness</v>
          </cell>
        </row>
        <row r="3301">
          <cell r="A3301" t="str">
            <v>USD_TBA_OTM20_V546</v>
          </cell>
          <cell r="B3301" t="str">
            <v>TBA30 OTM200 v546</v>
          </cell>
          <cell r="C3301" t="str">
            <v>BRS_GOLD__5_SPREADS:BRS_GOLD__3_OTHER_SPREADS:BRS_GOLD__1_MTG,TBA_ALL,PAYUP,NONAGENCY,MORT_IDIO,CRT,CRT_SP_RISK:TBA_ALL:TBA_30YR:USD_TBA_OTM20_V546</v>
          </cell>
          <cell r="D3301" t="str">
            <v>Spread Duration</v>
          </cell>
          <cell r="E3301" t="str">
            <v>Spread Yield</v>
          </cell>
          <cell r="F3301" t="str">
            <v>Alternative</v>
          </cell>
          <cell r="G3301" t="str">
            <v>Other</v>
          </cell>
          <cell r="H3301" t="str">
            <v>ALTS</v>
          </cell>
          <cell r="I3301" t="str">
            <v>Mortgage - Moneyness</v>
          </cell>
        </row>
        <row r="3302">
          <cell r="A3302" t="str">
            <v>USD_TBA_OTM25_V546</v>
          </cell>
          <cell r="B3302" t="str">
            <v>TBA30 OTM250 v546</v>
          </cell>
          <cell r="C3302" t="str">
            <v>BRS_GOLD__5_SPREADS:BRS_GOLD__3_OTHER_SPREADS:BRS_GOLD__1_MTG,TBA_ALL,PAYUP,NONAGENCY,MORT_IDIO,CRT,CRT_SP_RISK:TBA_ALL:TBA_30YR:USD_TBA_OTM25_V546</v>
          </cell>
          <cell r="D3302" t="str">
            <v>Spread Duration</v>
          </cell>
          <cell r="E3302" t="str">
            <v>Spread Yield</v>
          </cell>
          <cell r="F3302" t="str">
            <v>Alternative</v>
          </cell>
          <cell r="G3302" t="str">
            <v>Other</v>
          </cell>
          <cell r="H3302" t="str">
            <v>ALTS</v>
          </cell>
          <cell r="I3302" t="str">
            <v>Mortgage - Moneyness</v>
          </cell>
        </row>
        <row r="3303">
          <cell r="A3303" t="str">
            <v>USD_TBA_OTM30_V546</v>
          </cell>
          <cell r="B3303" t="str">
            <v>TBA30 OTM300 v546</v>
          </cell>
          <cell r="C3303" t="str">
            <v>BRS_GOLD__5_SPREADS:BRS_GOLD__3_OTHER_SPREADS:BRS_GOLD__1_MTG,TBA_ALL,PAYUP,NONAGENCY,MORT_IDIO,CRT,CRT_SP_RISK:TBA_ALL:TBA_30YR:USD_TBA_OTM30_V546</v>
          </cell>
          <cell r="D3303" t="str">
            <v>Spread Duration</v>
          </cell>
          <cell r="E3303" t="str">
            <v>Spread Yield</v>
          </cell>
          <cell r="F3303" t="str">
            <v>Alternative</v>
          </cell>
          <cell r="G3303" t="str">
            <v>Other</v>
          </cell>
          <cell r="H3303" t="str">
            <v>ALTS</v>
          </cell>
          <cell r="I3303" t="str">
            <v>Mortgage - Moneyness</v>
          </cell>
        </row>
        <row r="3304">
          <cell r="A3304" t="str">
            <v>USD_TBA_OTM35_V546</v>
          </cell>
          <cell r="B3304" t="str">
            <v>TBA30 OTM350 v546</v>
          </cell>
          <cell r="C3304" t="str">
            <v>BRS_GOLD__5_SPREADS:BRS_GOLD__3_OTHER_SPREADS:BRS_GOLD__1_MTG,TBA_ALL,PAYUP,NONAGENCY,MORT_IDIO,CRT,CRT_SP_RISK:TBA_ALL:TBA_30YR:USD_TBA_OTM35_V546</v>
          </cell>
          <cell r="D3304" t="str">
            <v>Spread Duration</v>
          </cell>
          <cell r="E3304" t="str">
            <v>Spread Yield</v>
          </cell>
          <cell r="F3304" t="str">
            <v>Alternative</v>
          </cell>
          <cell r="G3304" t="str">
            <v>Other</v>
          </cell>
          <cell r="H3304" t="str">
            <v>ALTS</v>
          </cell>
          <cell r="I3304" t="str">
            <v>Mortgage - Moneyness</v>
          </cell>
        </row>
        <row r="3305">
          <cell r="A3305" t="str">
            <v>USD_TBA_OTM5_V546</v>
          </cell>
          <cell r="B3305" t="str">
            <v>TBA30 OTM50 v546</v>
          </cell>
          <cell r="C3305" t="str">
            <v>BRS_GOLD__5_SPREADS:BRS_GOLD__3_OTHER_SPREADS:BRS_GOLD__1_MTG,TBA_ALL,PAYUP,NONAGENCY,MORT_IDIO,CRT,CRT_SP_RISK:TBA_ALL:TBA_30YR:USD_TBA_OTM5_V546</v>
          </cell>
          <cell r="D3305" t="str">
            <v>Spread Duration</v>
          </cell>
          <cell r="E3305" t="str">
            <v>Spread Yield</v>
          </cell>
          <cell r="F3305" t="str">
            <v>Alternative</v>
          </cell>
          <cell r="G3305" t="str">
            <v>Other</v>
          </cell>
          <cell r="H3305" t="str">
            <v>ALTS</v>
          </cell>
          <cell r="I3305" t="str">
            <v>Mortgage - Moneyness</v>
          </cell>
        </row>
        <row r="3306">
          <cell r="A3306" t="str">
            <v>USD_TBA_ATM_V600</v>
          </cell>
          <cell r="B3306" t="str">
            <v>TBA30 ATM V600</v>
          </cell>
          <cell r="C3306" t="str">
            <v>BRS_GOLD__5_SPREADS:BRS_GOLD__3_OTHER_SPREADS:BRS_GOLD__1_MTG,TBA_ALL,PAYUP,NONAGENCY,MORT_IDIO,CRT,CRT_SP_RISK:TBA_ALL:TBA_30YR:USD_TBA_ATM_V600</v>
          </cell>
          <cell r="D3306" t="str">
            <v>Spread Duration</v>
          </cell>
          <cell r="E3306" t="str">
            <v>Spread Yield</v>
          </cell>
          <cell r="F3306" t="str">
            <v>Alternative</v>
          </cell>
          <cell r="G3306" t="str">
            <v>Other</v>
          </cell>
          <cell r="H3306" t="str">
            <v>ALTS</v>
          </cell>
          <cell r="I3306" t="str">
            <v>Mortgage - Moneyness</v>
          </cell>
        </row>
        <row r="3307">
          <cell r="A3307" t="str">
            <v>USD_TBA_ITM10_V600</v>
          </cell>
          <cell r="B3307" t="str">
            <v>TBA30 ITM100 V600</v>
          </cell>
          <cell r="C3307" t="str">
            <v>BRS_GOLD__5_SPREADS:BRS_GOLD__3_OTHER_SPREADS:BRS_GOLD__1_MTG,TBA_ALL,PAYUP,NONAGENCY,MORT_IDIO,CRT,CRT_SP_RISK:TBA_ALL:TBA_30YR:USD_TBA_ITM10_V600</v>
          </cell>
          <cell r="D3307" t="str">
            <v>Spread Duration</v>
          </cell>
          <cell r="E3307" t="str">
            <v>Spread Yield</v>
          </cell>
          <cell r="F3307" t="str">
            <v>Alternative</v>
          </cell>
          <cell r="G3307" t="str">
            <v>Other</v>
          </cell>
          <cell r="H3307" t="str">
            <v>ALTS</v>
          </cell>
          <cell r="I3307" t="str">
            <v>Mortgage - Moneyness</v>
          </cell>
        </row>
        <row r="3308">
          <cell r="A3308" t="str">
            <v>USD_TBA_ITM15_V600</v>
          </cell>
          <cell r="B3308" t="str">
            <v>TBA30 ITM150 V600</v>
          </cell>
          <cell r="C3308" t="str">
            <v>BRS_GOLD__5_SPREADS:BRS_GOLD__3_OTHER_SPREADS:BRS_GOLD__1_MTG,TBA_ALL,PAYUP,NONAGENCY,MORT_IDIO,CRT,CRT_SP_RISK:TBA_ALL:TBA_30YR:USD_TBA_ITM15_V600</v>
          </cell>
          <cell r="D3308" t="str">
            <v>Spread Duration</v>
          </cell>
          <cell r="E3308" t="str">
            <v>Spread Yield</v>
          </cell>
          <cell r="F3308" t="str">
            <v>Alternative</v>
          </cell>
          <cell r="G3308" t="str">
            <v>Other</v>
          </cell>
          <cell r="H3308" t="str">
            <v>ALTS</v>
          </cell>
          <cell r="I3308" t="str">
            <v>Mortgage - Moneyness</v>
          </cell>
        </row>
        <row r="3309">
          <cell r="A3309" t="str">
            <v>USD_TBA_ITM20_V600</v>
          </cell>
          <cell r="B3309" t="str">
            <v>TBA30 ITM200 V600</v>
          </cell>
          <cell r="C3309" t="str">
            <v>BRS_GOLD__5_SPREADS:BRS_GOLD__3_OTHER_SPREADS:BRS_GOLD__1_MTG,TBA_ALL,PAYUP,NONAGENCY,MORT_IDIO,CRT,CRT_SP_RISK:TBA_ALL:TBA_30YR:USD_TBA_ITM20_V600</v>
          </cell>
          <cell r="D3309" t="str">
            <v>Spread Duration</v>
          </cell>
          <cell r="E3309" t="str">
            <v>Spread Yield</v>
          </cell>
          <cell r="F3309" t="str">
            <v>Alternative</v>
          </cell>
          <cell r="G3309" t="str">
            <v>Other</v>
          </cell>
          <cell r="H3309" t="str">
            <v>ALTS</v>
          </cell>
          <cell r="I3309" t="str">
            <v>Mortgage - Moneyness</v>
          </cell>
        </row>
        <row r="3310">
          <cell r="A3310" t="str">
            <v>USD_TBA_ITM25_V600</v>
          </cell>
          <cell r="B3310" t="str">
            <v>TBA30 ITM250 V600</v>
          </cell>
          <cell r="C3310" t="str">
            <v>BRS_GOLD__5_SPREADS:BRS_GOLD__3_OTHER_SPREADS:BRS_GOLD__1_MTG,TBA_ALL,PAYUP,NONAGENCY,MORT_IDIO,CRT,CRT_SP_RISK:TBA_ALL:TBA_30YR:USD_TBA_ITM25_V600</v>
          </cell>
          <cell r="D3310" t="str">
            <v>Spread Duration</v>
          </cell>
          <cell r="E3310" t="str">
            <v>Spread Yield</v>
          </cell>
          <cell r="F3310" t="str">
            <v>Alternative</v>
          </cell>
          <cell r="G3310" t="str">
            <v>Other</v>
          </cell>
          <cell r="H3310" t="str">
            <v>ALTS</v>
          </cell>
          <cell r="I3310" t="str">
            <v>Mortgage - Moneyness</v>
          </cell>
        </row>
        <row r="3311">
          <cell r="A3311" t="str">
            <v>USD_TBA_ITM30_V600</v>
          </cell>
          <cell r="B3311" t="str">
            <v>TBA30 ITM300 V600</v>
          </cell>
          <cell r="C3311" t="str">
            <v>BRS_GOLD__5_SPREADS:BRS_GOLD__3_OTHER_SPREADS:BRS_GOLD__1_MTG,TBA_ALL,PAYUP,NONAGENCY,MORT_IDIO,CRT,CRT_SP_RISK:TBA_ALL:TBA_30YR:USD_TBA_ITM30_V600</v>
          </cell>
          <cell r="D3311" t="str">
            <v>Spread Duration</v>
          </cell>
          <cell r="E3311" t="str">
            <v>Spread Yield</v>
          </cell>
          <cell r="F3311" t="str">
            <v>Alternative</v>
          </cell>
          <cell r="G3311" t="str">
            <v>Other</v>
          </cell>
          <cell r="H3311" t="str">
            <v>ALTS</v>
          </cell>
          <cell r="I3311" t="str">
            <v>Mortgage - Moneyness</v>
          </cell>
        </row>
        <row r="3312">
          <cell r="A3312" t="str">
            <v>USD_TBA_ITM35_V600</v>
          </cell>
          <cell r="B3312" t="str">
            <v>TBA30 ITM350 V600</v>
          </cell>
          <cell r="C3312" t="str">
            <v>BRS_GOLD__5_SPREADS:BRS_GOLD__3_OTHER_SPREADS:BRS_GOLD__1_MTG,TBA_ALL,PAYUP,NONAGENCY,MORT_IDIO,CRT,CRT_SP_RISK:TBA_ALL:TBA_30YR:USD_TBA_ITM35_V600</v>
          </cell>
          <cell r="D3312" t="str">
            <v>Spread Duration</v>
          </cell>
          <cell r="E3312" t="str">
            <v>Spread Yield</v>
          </cell>
          <cell r="F3312" t="str">
            <v>Alternative</v>
          </cell>
          <cell r="G3312" t="str">
            <v>Other</v>
          </cell>
          <cell r="H3312" t="str">
            <v>ALTS</v>
          </cell>
          <cell r="I3312" t="str">
            <v>Mortgage - Moneyness</v>
          </cell>
        </row>
        <row r="3313">
          <cell r="A3313" t="str">
            <v>USD_TBA_ITM5_V600</v>
          </cell>
          <cell r="B3313" t="str">
            <v>TBA30 ITM50 V600</v>
          </cell>
          <cell r="C3313" t="str">
            <v>BRS_GOLD__5_SPREADS:BRS_GOLD__3_OTHER_SPREADS:BRS_GOLD__1_MTG,TBA_ALL,PAYUP,NONAGENCY,MORT_IDIO,CRT,CRT_SP_RISK:TBA_ALL:TBA_30YR:USD_TBA_ITM5_V600</v>
          </cell>
          <cell r="D3313" t="str">
            <v>Spread Duration</v>
          </cell>
          <cell r="E3313" t="str">
            <v>Spread Yield</v>
          </cell>
          <cell r="F3313" t="str">
            <v>Alternative</v>
          </cell>
          <cell r="G3313" t="str">
            <v>Other</v>
          </cell>
          <cell r="H3313" t="str">
            <v>ALTS</v>
          </cell>
          <cell r="I3313" t="str">
            <v>Mortgage - Moneyness</v>
          </cell>
        </row>
        <row r="3314">
          <cell r="A3314" t="str">
            <v>USD_TBA_OTM10_V600</v>
          </cell>
          <cell r="B3314" t="str">
            <v>TBA30 OTM100 V600</v>
          </cell>
          <cell r="C3314" t="str">
            <v>BRS_GOLD__5_SPREADS:BRS_GOLD__3_OTHER_SPREADS:BRS_GOLD__1_MTG,TBA_ALL,PAYUP,NONAGENCY,MORT_IDIO,CRT,CRT_SP_RISK:TBA_ALL:TBA_30YR:USD_TBA_OTM10_V600</v>
          </cell>
          <cell r="D3314" t="str">
            <v>Spread Duration</v>
          </cell>
          <cell r="E3314" t="str">
            <v>Spread Yield</v>
          </cell>
          <cell r="F3314" t="str">
            <v>Alternative</v>
          </cell>
          <cell r="G3314" t="str">
            <v>Other</v>
          </cell>
          <cell r="H3314" t="str">
            <v>ALTS</v>
          </cell>
          <cell r="I3314" t="str">
            <v>Mortgage - Moneyness</v>
          </cell>
        </row>
        <row r="3315">
          <cell r="A3315" t="str">
            <v>USD_TBA_OTM15_V600</v>
          </cell>
          <cell r="B3315" t="str">
            <v>TBA30 OTM150 V600</v>
          </cell>
          <cell r="C3315" t="str">
            <v>BRS_GOLD__5_SPREADS:BRS_GOLD__3_OTHER_SPREADS:BRS_GOLD__1_MTG,TBA_ALL,PAYUP,NONAGENCY,MORT_IDIO,CRT,CRT_SP_RISK:TBA_ALL:TBA_30YR:USD_TBA_OTM15_V600</v>
          </cell>
          <cell r="D3315" t="str">
            <v>Spread Duration</v>
          </cell>
          <cell r="E3315" t="str">
            <v>Spread Yield</v>
          </cell>
          <cell r="F3315" t="str">
            <v>Alternative</v>
          </cell>
          <cell r="G3315" t="str">
            <v>Other</v>
          </cell>
          <cell r="H3315" t="str">
            <v>ALTS</v>
          </cell>
          <cell r="I3315" t="str">
            <v>Mortgage - Moneyness</v>
          </cell>
        </row>
        <row r="3316">
          <cell r="A3316" t="str">
            <v>USD_TBA_OTM20_V600</v>
          </cell>
          <cell r="B3316" t="str">
            <v>TBA30 OTM200 V600</v>
          </cell>
          <cell r="C3316" t="str">
            <v>BRS_GOLD__5_SPREADS:BRS_GOLD__3_OTHER_SPREADS:BRS_GOLD__1_MTG,TBA_ALL,PAYUP,NONAGENCY,MORT_IDIO,CRT,CRT_SP_RISK:TBA_ALL:TBA_30YR:USD_TBA_OTM20_V600</v>
          </cell>
          <cell r="D3316" t="str">
            <v>Spread Duration</v>
          </cell>
          <cell r="E3316" t="str">
            <v>Spread Yield</v>
          </cell>
          <cell r="F3316" t="str">
            <v>Alternative</v>
          </cell>
          <cell r="G3316" t="str">
            <v>Other</v>
          </cell>
          <cell r="H3316" t="str">
            <v>ALTS</v>
          </cell>
          <cell r="I3316" t="str">
            <v>Mortgage - Moneyness</v>
          </cell>
        </row>
        <row r="3317">
          <cell r="A3317" t="str">
            <v>USD_TBA_OTM25_V600</v>
          </cell>
          <cell r="B3317" t="str">
            <v>TBA30 OTM250 V600</v>
          </cell>
          <cell r="C3317" t="str">
            <v>BRS_GOLD__5_SPREADS:BRS_GOLD__3_OTHER_SPREADS:BRS_GOLD__1_MTG,TBA_ALL,PAYUP,NONAGENCY,MORT_IDIO,CRT,CRT_SP_RISK:TBA_ALL:TBA_30YR:USD_TBA_OTM25_V600</v>
          </cell>
          <cell r="D3317" t="str">
            <v>Spread Duration</v>
          </cell>
          <cell r="E3317" t="str">
            <v>Spread Yield</v>
          </cell>
          <cell r="F3317" t="str">
            <v>Alternative</v>
          </cell>
          <cell r="G3317" t="str">
            <v>Other</v>
          </cell>
          <cell r="H3317" t="str">
            <v>ALTS</v>
          </cell>
          <cell r="I3317" t="str">
            <v>Mortgage - Moneyness</v>
          </cell>
        </row>
        <row r="3318">
          <cell r="A3318" t="str">
            <v>USD_TBA_OTM30_V600</v>
          </cell>
          <cell r="B3318" t="str">
            <v>TBA30 OTM300 V600</v>
          </cell>
          <cell r="C3318" t="str">
            <v>BRS_GOLD__5_SPREADS:BRS_GOLD__3_OTHER_SPREADS:BRS_GOLD__1_MTG,TBA_ALL,PAYUP,NONAGENCY,MORT_IDIO,CRT,CRT_SP_RISK:TBA_ALL:TBA_30YR:USD_TBA_OTM30_V600</v>
          </cell>
          <cell r="D3318" t="str">
            <v>Spread Duration</v>
          </cell>
          <cell r="E3318" t="str">
            <v>Spread Yield</v>
          </cell>
          <cell r="F3318" t="str">
            <v>Alternative</v>
          </cell>
          <cell r="G3318" t="str">
            <v>Other</v>
          </cell>
          <cell r="H3318" t="str">
            <v>ALTS</v>
          </cell>
          <cell r="I3318" t="str">
            <v>Mortgage - Moneyness</v>
          </cell>
        </row>
        <row r="3319">
          <cell r="A3319" t="str">
            <v>USD_TBA_OTM35_V600</v>
          </cell>
          <cell r="B3319" t="str">
            <v>TBA30 OTM350 V600</v>
          </cell>
          <cell r="C3319" t="str">
            <v>BRS_GOLD__5_SPREADS:BRS_GOLD__3_OTHER_SPREADS:BRS_GOLD__1_MTG,TBA_ALL,PAYUP,NONAGENCY,MORT_IDIO,CRT,CRT_SP_RISK:TBA_ALL:TBA_30YR:USD_TBA_OTM35_V600</v>
          </cell>
          <cell r="D3319" t="str">
            <v>Spread Duration</v>
          </cell>
          <cell r="E3319" t="str">
            <v>Spread Yield</v>
          </cell>
          <cell r="F3319" t="str">
            <v>Alternative</v>
          </cell>
          <cell r="G3319" t="str">
            <v>Other</v>
          </cell>
          <cell r="H3319" t="str">
            <v>ALTS</v>
          </cell>
          <cell r="I3319" t="str">
            <v>Mortgage - Moneyness</v>
          </cell>
        </row>
        <row r="3320">
          <cell r="A3320" t="str">
            <v>USD_TBA_OTM5_V600</v>
          </cell>
          <cell r="B3320" t="str">
            <v>TBA30 OTM50 V600</v>
          </cell>
          <cell r="C3320" t="str">
            <v>BRS_GOLD__5_SPREADS:BRS_GOLD__3_OTHER_SPREADS:BRS_GOLD__1_MTG,TBA_ALL,PAYUP,NONAGENCY,MORT_IDIO,CRT,CRT_SP_RISK:TBA_ALL:TBA_30YR:USD_TBA_OTM5_V600</v>
          </cell>
          <cell r="D3320" t="str">
            <v>Spread Duration</v>
          </cell>
          <cell r="E3320" t="str">
            <v>Spread Yield</v>
          </cell>
          <cell r="F3320" t="str">
            <v>Alternative</v>
          </cell>
          <cell r="G3320" t="str">
            <v>Other</v>
          </cell>
          <cell r="H3320" t="str">
            <v>ALTS</v>
          </cell>
          <cell r="I3320" t="str">
            <v>Mortgage - Moneyness</v>
          </cell>
        </row>
        <row r="3321">
          <cell r="A3321" t="str">
            <v>USD_TBA_ATM_V604</v>
          </cell>
          <cell r="B3321" t="str">
            <v>TBA30 ATM V604</v>
          </cell>
          <cell r="C3321" t="str">
            <v>BRS_GOLD__5_SPREADS:BRS_GOLD__3_OTHER_SPREADS:BRS_GOLD__1_MTG,TBA_ALL,PAYUP,NONAGENCY,MORT_IDIO,CRT,CRT_SP_RISK:TBA_ALL:TBA_30YR:USD_TBA_ATM_V604</v>
          </cell>
          <cell r="D3321" t="str">
            <v>Spread Duration</v>
          </cell>
          <cell r="E3321" t="str">
            <v>Spread Yield</v>
          </cell>
          <cell r="F3321" t="str">
            <v>Alternative</v>
          </cell>
          <cell r="G3321" t="str">
            <v>Other</v>
          </cell>
          <cell r="H3321" t="str">
            <v>ALTS</v>
          </cell>
          <cell r="I3321" t="str">
            <v>Mortgage - Moneyness</v>
          </cell>
        </row>
        <row r="3322">
          <cell r="A3322" t="str">
            <v>USD_TBA_ITM10_V604</v>
          </cell>
          <cell r="B3322" t="str">
            <v>TBA30 ITM100 V604</v>
          </cell>
          <cell r="C3322" t="str">
            <v>BRS_GOLD__5_SPREADS:BRS_GOLD__3_OTHER_SPREADS:BRS_GOLD__1_MTG,TBA_ALL,PAYUP,NONAGENCY,MORT_IDIO,CRT,CRT_SP_RISK:TBA_ALL:TBA_30YR:USD_TBA_ITM10_V604</v>
          </cell>
          <cell r="D3322" t="str">
            <v>Spread Duration</v>
          </cell>
          <cell r="E3322" t="str">
            <v>Spread Yield</v>
          </cell>
          <cell r="F3322" t="str">
            <v>Alternative</v>
          </cell>
          <cell r="G3322" t="str">
            <v>Other</v>
          </cell>
          <cell r="H3322" t="str">
            <v>ALTS</v>
          </cell>
          <cell r="I3322" t="str">
            <v>Mortgage - Moneyness</v>
          </cell>
        </row>
        <row r="3323">
          <cell r="A3323" t="str">
            <v>USD_TBA_ITM15_V604</v>
          </cell>
          <cell r="B3323" t="str">
            <v>TBA30 ITM150 V604</v>
          </cell>
          <cell r="C3323" t="str">
            <v>BRS_GOLD__5_SPREADS:BRS_GOLD__3_OTHER_SPREADS:BRS_GOLD__1_MTG,TBA_ALL,PAYUP,NONAGENCY,MORT_IDIO,CRT,CRT_SP_RISK:TBA_ALL:TBA_30YR:USD_TBA_ITM15_V604</v>
          </cell>
          <cell r="D3323" t="str">
            <v>Spread Duration</v>
          </cell>
          <cell r="E3323" t="str">
            <v>Spread Yield</v>
          </cell>
          <cell r="F3323" t="str">
            <v>Alternative</v>
          </cell>
          <cell r="G3323" t="str">
            <v>Other</v>
          </cell>
          <cell r="H3323" t="str">
            <v>ALTS</v>
          </cell>
          <cell r="I3323" t="str">
            <v>Mortgage - Moneyness</v>
          </cell>
        </row>
        <row r="3324">
          <cell r="A3324" t="str">
            <v>USD_TBA_ITM20_V604</v>
          </cell>
          <cell r="B3324" t="str">
            <v>TBA30 ITM200 V604</v>
          </cell>
          <cell r="C3324" t="str">
            <v>BRS_GOLD__5_SPREADS:BRS_GOLD__3_OTHER_SPREADS:BRS_GOLD__1_MTG,TBA_ALL,PAYUP,NONAGENCY,MORT_IDIO,CRT,CRT_SP_RISK:TBA_ALL:TBA_30YR:USD_TBA_ITM20_V604</v>
          </cell>
          <cell r="D3324" t="str">
            <v>Spread Duration</v>
          </cell>
          <cell r="E3324" t="str">
            <v>Spread Yield</v>
          </cell>
          <cell r="F3324" t="str">
            <v>Alternative</v>
          </cell>
          <cell r="G3324" t="str">
            <v>Other</v>
          </cell>
          <cell r="H3324" t="str">
            <v>ALTS</v>
          </cell>
          <cell r="I3324" t="str">
            <v>Mortgage - Moneyness</v>
          </cell>
        </row>
        <row r="3325">
          <cell r="A3325" t="str">
            <v>USD_TBA_ITM25_V604</v>
          </cell>
          <cell r="B3325" t="str">
            <v>TBA30 ITM250 V604</v>
          </cell>
          <cell r="C3325" t="str">
            <v>BRS_GOLD__5_SPREADS:BRS_GOLD__3_OTHER_SPREADS:BRS_GOLD__1_MTG,TBA_ALL,PAYUP,NONAGENCY,MORT_IDIO,CRT,CRT_SP_RISK:TBA_ALL:TBA_30YR:USD_TBA_ITM25_V604</v>
          </cell>
          <cell r="D3325" t="str">
            <v>Spread Duration</v>
          </cell>
          <cell r="E3325" t="str">
            <v>Spread Yield</v>
          </cell>
          <cell r="F3325" t="str">
            <v>Alternative</v>
          </cell>
          <cell r="G3325" t="str">
            <v>Other</v>
          </cell>
          <cell r="H3325" t="str">
            <v>ALTS</v>
          </cell>
          <cell r="I3325" t="str">
            <v>Mortgage - Moneyness</v>
          </cell>
        </row>
        <row r="3326">
          <cell r="A3326" t="str">
            <v>USD_TBA_ITM30_V604</v>
          </cell>
          <cell r="B3326" t="str">
            <v>TBA30 ITM300 V604</v>
          </cell>
          <cell r="C3326" t="str">
            <v>BRS_GOLD__5_SPREADS:BRS_GOLD__3_OTHER_SPREADS:BRS_GOLD__1_MTG,TBA_ALL,PAYUP,NONAGENCY,MORT_IDIO,CRT,CRT_SP_RISK:TBA_ALL:TBA_30YR:USD_TBA_ITM30_V604</v>
          </cell>
          <cell r="D3326" t="str">
            <v>Spread Duration</v>
          </cell>
          <cell r="E3326" t="str">
            <v>Spread Yield</v>
          </cell>
          <cell r="F3326" t="str">
            <v>Alternative</v>
          </cell>
          <cell r="G3326" t="str">
            <v>Other</v>
          </cell>
          <cell r="H3326" t="str">
            <v>ALTS</v>
          </cell>
          <cell r="I3326" t="str">
            <v>Mortgage - Moneyness</v>
          </cell>
        </row>
        <row r="3327">
          <cell r="A3327" t="str">
            <v>USD_TBA_ITM35_V604</v>
          </cell>
          <cell r="B3327" t="str">
            <v>TBA30 ITM350 V604</v>
          </cell>
          <cell r="C3327" t="str">
            <v>BRS_GOLD__5_SPREADS:BRS_GOLD__3_OTHER_SPREADS:BRS_GOLD__1_MTG,TBA_ALL,PAYUP,NONAGENCY,MORT_IDIO,CRT,CRT_SP_RISK:TBA_ALL:TBA_30YR:USD_TBA_ITM35_V604</v>
          </cell>
          <cell r="D3327" t="str">
            <v>Spread Duration</v>
          </cell>
          <cell r="E3327" t="str">
            <v>Spread Yield</v>
          </cell>
          <cell r="F3327" t="str">
            <v>Alternative</v>
          </cell>
          <cell r="G3327" t="str">
            <v>Other</v>
          </cell>
          <cell r="H3327" t="str">
            <v>ALTS</v>
          </cell>
          <cell r="I3327" t="str">
            <v>Mortgage - Moneyness</v>
          </cell>
        </row>
        <row r="3328">
          <cell r="A3328" t="str">
            <v>USD_TBA_ITM5_V604</v>
          </cell>
          <cell r="B3328" t="str">
            <v>TBA30 ITM50 V604</v>
          </cell>
          <cell r="C3328" t="str">
            <v>BRS_GOLD__5_SPREADS:BRS_GOLD__3_OTHER_SPREADS:BRS_GOLD__1_MTG,TBA_ALL,PAYUP,NONAGENCY,MORT_IDIO,CRT,CRT_SP_RISK:TBA_ALL:TBA_30YR:USD_TBA_ITM5_V604</v>
          </cell>
          <cell r="D3328" t="str">
            <v>Spread Duration</v>
          </cell>
          <cell r="E3328" t="str">
            <v>Spread Yield</v>
          </cell>
          <cell r="F3328" t="str">
            <v>Alternative</v>
          </cell>
          <cell r="G3328" t="str">
            <v>Other</v>
          </cell>
          <cell r="H3328" t="str">
            <v>ALTS</v>
          </cell>
          <cell r="I3328" t="str">
            <v>Mortgage - Moneyness</v>
          </cell>
        </row>
        <row r="3329">
          <cell r="A3329" t="str">
            <v>USD_TBA_OTM10_V604</v>
          </cell>
          <cell r="B3329" t="str">
            <v>TBA30 OTM100 V604</v>
          </cell>
          <cell r="C3329" t="str">
            <v>BRS_GOLD__5_SPREADS:BRS_GOLD__3_OTHER_SPREADS:BRS_GOLD__1_MTG,TBA_ALL,PAYUP,NONAGENCY,MORT_IDIO,CRT,CRT_SP_RISK:TBA_ALL:TBA_30YR:USD_TBA_OTM10_V604</v>
          </cell>
          <cell r="D3329" t="str">
            <v>Spread Duration</v>
          </cell>
          <cell r="E3329" t="str">
            <v>Spread Yield</v>
          </cell>
          <cell r="F3329" t="str">
            <v>Alternative</v>
          </cell>
          <cell r="G3329" t="str">
            <v>Other</v>
          </cell>
          <cell r="H3329" t="str">
            <v>ALTS</v>
          </cell>
          <cell r="I3329" t="str">
            <v>Mortgage - Moneyness</v>
          </cell>
        </row>
        <row r="3330">
          <cell r="A3330" t="str">
            <v>USD_TBA_OTM15_V604</v>
          </cell>
          <cell r="B3330" t="str">
            <v>TBA30 OTM150 V604</v>
          </cell>
          <cell r="C3330" t="str">
            <v>BRS_GOLD__5_SPREADS:BRS_GOLD__3_OTHER_SPREADS:BRS_GOLD__1_MTG,TBA_ALL,PAYUP,NONAGENCY,MORT_IDIO,CRT,CRT_SP_RISK:TBA_ALL:TBA_30YR:USD_TBA_OTM15_V604</v>
          </cell>
          <cell r="D3330" t="str">
            <v>Spread Duration</v>
          </cell>
          <cell r="E3330" t="str">
            <v>Spread Yield</v>
          </cell>
          <cell r="F3330" t="str">
            <v>Alternative</v>
          </cell>
          <cell r="G3330" t="str">
            <v>Other</v>
          </cell>
          <cell r="H3330" t="str">
            <v>ALTS</v>
          </cell>
          <cell r="I3330" t="str">
            <v>Mortgage - Moneyness</v>
          </cell>
        </row>
        <row r="3331">
          <cell r="A3331" t="str">
            <v>USD_TBA_OTM20_V604</v>
          </cell>
          <cell r="B3331" t="str">
            <v>TBA30 OTM200 V604</v>
          </cell>
          <cell r="C3331" t="str">
            <v>BRS_GOLD__5_SPREADS:BRS_GOLD__3_OTHER_SPREADS:BRS_GOLD__1_MTG,TBA_ALL,PAYUP,NONAGENCY,MORT_IDIO,CRT,CRT_SP_RISK:TBA_ALL:TBA_30YR:USD_TBA_OTM20_V604</v>
          </cell>
          <cell r="D3331" t="str">
            <v>Spread Duration</v>
          </cell>
          <cell r="E3331" t="str">
            <v>Spread Yield</v>
          </cell>
          <cell r="F3331" t="str">
            <v>Alternative</v>
          </cell>
          <cell r="G3331" t="str">
            <v>Other</v>
          </cell>
          <cell r="H3331" t="str">
            <v>ALTS</v>
          </cell>
          <cell r="I3331" t="str">
            <v>Mortgage - Moneyness</v>
          </cell>
        </row>
        <row r="3332">
          <cell r="A3332" t="str">
            <v>USD_TBA_OTM25_V604</v>
          </cell>
          <cell r="B3332" t="str">
            <v>TBA30 OTM250 V604</v>
          </cell>
          <cell r="C3332" t="str">
            <v>BRS_GOLD__5_SPREADS:BRS_GOLD__3_OTHER_SPREADS:BRS_GOLD__1_MTG,TBA_ALL,PAYUP,NONAGENCY,MORT_IDIO,CRT,CRT_SP_RISK:TBA_ALL:TBA_30YR:USD_TBA_OTM25_V604</v>
          </cell>
          <cell r="D3332" t="str">
            <v>Spread Duration</v>
          </cell>
          <cell r="E3332" t="str">
            <v>Spread Yield</v>
          </cell>
          <cell r="F3332" t="str">
            <v>Alternative</v>
          </cell>
          <cell r="G3332" t="str">
            <v>Other</v>
          </cell>
          <cell r="H3332" t="str">
            <v>ALTS</v>
          </cell>
          <cell r="I3332" t="str">
            <v>Mortgage - Moneyness</v>
          </cell>
        </row>
        <row r="3333">
          <cell r="A3333" t="str">
            <v>USD_TBA_OTM30_V604</v>
          </cell>
          <cell r="B3333" t="str">
            <v>TBA30 OTM300 V604</v>
          </cell>
          <cell r="C3333" t="str">
            <v>BRS_GOLD__5_SPREADS:BRS_GOLD__3_OTHER_SPREADS:BRS_GOLD__1_MTG,TBA_ALL,PAYUP,NONAGENCY,MORT_IDIO,CRT,CRT_SP_RISK:TBA_ALL:TBA_30YR:USD_TBA_OTM30_V604</v>
          </cell>
          <cell r="D3333" t="str">
            <v>Spread Duration</v>
          </cell>
          <cell r="E3333" t="str">
            <v>Spread Yield</v>
          </cell>
          <cell r="F3333" t="str">
            <v>Alternative</v>
          </cell>
          <cell r="G3333" t="str">
            <v>Other</v>
          </cell>
          <cell r="H3333" t="str">
            <v>ALTS</v>
          </cell>
          <cell r="I3333" t="str">
            <v>Mortgage - Moneyness</v>
          </cell>
        </row>
        <row r="3334">
          <cell r="A3334" t="str">
            <v>USD_TBA_OTM35_V604</v>
          </cell>
          <cell r="B3334" t="str">
            <v>TBA30 OTM350 V604</v>
          </cell>
          <cell r="C3334" t="str">
            <v>BRS_GOLD__5_SPREADS:BRS_GOLD__3_OTHER_SPREADS:BRS_GOLD__1_MTG,TBA_ALL,PAYUP,NONAGENCY,MORT_IDIO,CRT,CRT_SP_RISK:TBA_ALL:TBA_30YR:USD_TBA_OTM35_V604</v>
          </cell>
          <cell r="D3334" t="str">
            <v>Spread Duration</v>
          </cell>
          <cell r="E3334" t="str">
            <v>Spread Yield</v>
          </cell>
          <cell r="F3334" t="str">
            <v>Alternative</v>
          </cell>
          <cell r="G3334" t="str">
            <v>Other</v>
          </cell>
          <cell r="H3334" t="str">
            <v>ALTS</v>
          </cell>
          <cell r="I3334" t="str">
            <v>Mortgage - Moneyness</v>
          </cell>
        </row>
        <row r="3335">
          <cell r="A3335" t="str">
            <v>USD_TBA_OTM5_V604</v>
          </cell>
          <cell r="B3335" t="str">
            <v>TBA30 OTM50 V604</v>
          </cell>
          <cell r="C3335" t="str">
            <v>BRS_GOLD__5_SPREADS:BRS_GOLD__3_OTHER_SPREADS:BRS_GOLD__1_MTG,TBA_ALL,PAYUP,NONAGENCY,MORT_IDIO,CRT,CRT_SP_RISK:TBA_ALL:TBA_30YR:USD_TBA_OTM5_V604</v>
          </cell>
          <cell r="D3335" t="str">
            <v>Spread Duration</v>
          </cell>
          <cell r="E3335" t="str">
            <v>Spread Yield</v>
          </cell>
          <cell r="F3335" t="str">
            <v>Alternative</v>
          </cell>
          <cell r="G3335" t="str">
            <v>Other</v>
          </cell>
          <cell r="H3335" t="str">
            <v>ALTS</v>
          </cell>
          <cell r="I3335" t="str">
            <v>Mortgage - Moneyness</v>
          </cell>
        </row>
        <row r="3336">
          <cell r="A3336" t="str">
            <v>USD_TBA_OTM35_V610</v>
          </cell>
          <cell r="B3336" t="str">
            <v>TBA30 OTM350 V610</v>
          </cell>
          <cell r="C3336" t="str">
            <v>BRS_GOLD__5_SPREADS:BRS_GOLD__3_OTHER_SPREADS:BRS_GOLD__1_MTG,TBA_ALL,PAYUP,NONAGENCY,MORT_IDIO,CRT,CRT_SP_RISK:TBA_ALL:TBA_30YR:USD_TBA_OTM35_V610</v>
          </cell>
          <cell r="D3336" t="str">
            <v>Spread Duration</v>
          </cell>
          <cell r="E3336" t="str">
            <v>Spread Yield</v>
          </cell>
          <cell r="F3336" t="str">
            <v>Alternative</v>
          </cell>
          <cell r="G3336" t="str">
            <v>Other</v>
          </cell>
          <cell r="H3336" t="str">
            <v>ALTS</v>
          </cell>
          <cell r="I3336" t="str">
            <v>Mortgage - Moneyness</v>
          </cell>
        </row>
        <row r="3337">
          <cell r="A3337" t="str">
            <v>USD_TBA_OTM30_V610</v>
          </cell>
          <cell r="B3337" t="str">
            <v>TBA30 OTM300 V610</v>
          </cell>
          <cell r="C3337" t="str">
            <v>BRS_GOLD__5_SPREADS:BRS_GOLD__3_OTHER_SPREADS:BRS_GOLD__1_MTG,TBA_ALL,PAYUP,NONAGENCY,MORT_IDIO,CRT,CRT_SP_RISK:TBA_ALL:TBA_30YR:USD_TBA_OTM30_V610</v>
          </cell>
          <cell r="D3337" t="str">
            <v>Spread Duration</v>
          </cell>
          <cell r="E3337" t="str">
            <v>Spread Yield</v>
          </cell>
          <cell r="F3337" t="str">
            <v>Alternative</v>
          </cell>
          <cell r="G3337" t="str">
            <v>Other</v>
          </cell>
          <cell r="H3337" t="str">
            <v>ALTS</v>
          </cell>
          <cell r="I3337" t="str">
            <v>Mortgage - Moneyness</v>
          </cell>
        </row>
        <row r="3338">
          <cell r="A3338" t="str">
            <v>USD_TBA_OTM25_V610</v>
          </cell>
          <cell r="B3338" t="str">
            <v>TBA30 OTM250 V610</v>
          </cell>
          <cell r="C3338" t="str">
            <v>BRS_GOLD__5_SPREADS:BRS_GOLD__3_OTHER_SPREADS:BRS_GOLD__1_MTG,TBA_ALL,PAYUP,NONAGENCY,MORT_IDIO,CRT,CRT_SP_RISK:TBA_ALL:TBA_30YR:USD_TBA_OTM25_V610</v>
          </cell>
          <cell r="D3338" t="str">
            <v>Spread Duration</v>
          </cell>
          <cell r="E3338" t="str">
            <v>Spread Yield</v>
          </cell>
          <cell r="F3338" t="str">
            <v>Alternative</v>
          </cell>
          <cell r="G3338" t="str">
            <v>Other</v>
          </cell>
          <cell r="H3338" t="str">
            <v>ALTS</v>
          </cell>
          <cell r="I3338" t="str">
            <v>Mortgage - Moneyness</v>
          </cell>
        </row>
        <row r="3339">
          <cell r="A3339" t="str">
            <v>USD_TBA_OTM20_V610</v>
          </cell>
          <cell r="B3339" t="str">
            <v>TBA30 OTM200 V610</v>
          </cell>
          <cell r="C3339" t="str">
            <v>BRS_GOLD__5_SPREADS:BRS_GOLD__3_OTHER_SPREADS:BRS_GOLD__1_MTG,TBA_ALL,PAYUP,NONAGENCY,MORT_IDIO,CRT,CRT_SP_RISK:TBA_ALL:TBA_30YR:USD_TBA_OTM20_V610</v>
          </cell>
          <cell r="D3339" t="str">
            <v>Spread Duration</v>
          </cell>
          <cell r="E3339" t="str">
            <v>Spread Yield</v>
          </cell>
          <cell r="F3339" t="str">
            <v>Alternative</v>
          </cell>
          <cell r="G3339" t="str">
            <v>Other</v>
          </cell>
          <cell r="H3339" t="str">
            <v>ALTS</v>
          </cell>
          <cell r="I3339" t="str">
            <v>Mortgage - Moneyness</v>
          </cell>
        </row>
        <row r="3340">
          <cell r="A3340" t="str">
            <v>USD_TBA_OTM15_V610</v>
          </cell>
          <cell r="B3340" t="str">
            <v>TBA30 OTM150 V610</v>
          </cell>
          <cell r="C3340" t="str">
            <v>BRS_GOLD__5_SPREADS:BRS_GOLD__3_OTHER_SPREADS:BRS_GOLD__1_MTG,TBA_ALL,PAYUP,NONAGENCY,MORT_IDIO,CRT,CRT_SP_RISK:TBA_ALL:TBA_30YR:USD_TBA_OTM15_V610</v>
          </cell>
          <cell r="D3340" t="str">
            <v>Spread Duration</v>
          </cell>
          <cell r="E3340" t="str">
            <v>Spread Yield</v>
          </cell>
          <cell r="F3340" t="str">
            <v>Alternative</v>
          </cell>
          <cell r="G3340" t="str">
            <v>Other</v>
          </cell>
          <cell r="H3340" t="str">
            <v>ALTS</v>
          </cell>
          <cell r="I3340" t="str">
            <v>Mortgage - Moneyness</v>
          </cell>
        </row>
        <row r="3341">
          <cell r="A3341" t="str">
            <v>USD_TBA_OTM10_V610</v>
          </cell>
          <cell r="B3341" t="str">
            <v>TBA30 OTM100 V610</v>
          </cell>
          <cell r="C3341" t="str">
            <v>BRS_GOLD__5_SPREADS:BRS_GOLD__3_OTHER_SPREADS:BRS_GOLD__1_MTG,TBA_ALL,PAYUP,NONAGENCY,MORT_IDIO,CRT,CRT_SP_RISK:TBA_ALL:TBA_30YR:USD_TBA_OTM10_V610</v>
          </cell>
          <cell r="D3341" t="str">
            <v>Spread Duration</v>
          </cell>
          <cell r="E3341" t="str">
            <v>Spread Yield</v>
          </cell>
          <cell r="F3341" t="str">
            <v>Alternative</v>
          </cell>
          <cell r="G3341" t="str">
            <v>Other</v>
          </cell>
          <cell r="H3341" t="str">
            <v>ALTS</v>
          </cell>
          <cell r="I3341" t="str">
            <v>Mortgage - Moneyness</v>
          </cell>
        </row>
        <row r="3342">
          <cell r="A3342" t="str">
            <v>USD_TBA_OTM5_V610</v>
          </cell>
          <cell r="B3342" t="str">
            <v>TBA30 OTM50 V610</v>
          </cell>
          <cell r="C3342" t="str">
            <v>BRS_GOLD__5_SPREADS:BRS_GOLD__3_OTHER_SPREADS:BRS_GOLD__1_MTG,TBA_ALL,PAYUP,NONAGENCY,MORT_IDIO,CRT,CRT_SP_RISK:TBA_ALL:TBA_30YR:USD_TBA_OTM5_V610</v>
          </cell>
          <cell r="D3342" t="str">
            <v>Spread Duration</v>
          </cell>
          <cell r="E3342" t="str">
            <v>Spread Yield</v>
          </cell>
          <cell r="F3342" t="str">
            <v>Alternative</v>
          </cell>
          <cell r="G3342" t="str">
            <v>Other</v>
          </cell>
          <cell r="H3342" t="str">
            <v>ALTS</v>
          </cell>
          <cell r="I3342" t="str">
            <v>Mortgage - Moneyness</v>
          </cell>
        </row>
        <row r="3343">
          <cell r="A3343" t="str">
            <v>USD_TBA_ATM_V610</v>
          </cell>
          <cell r="B3343" t="str">
            <v>TBA30 ATM V610</v>
          </cell>
          <cell r="C3343" t="str">
            <v>BRS_GOLD__5_SPREADS:BRS_GOLD__3_OTHER_SPREADS:BRS_GOLD__1_MTG,TBA_ALL,PAYUP,NONAGENCY,MORT_IDIO,CRT,CRT_SP_RISK:TBA_ALL:TBA_30YR:USD_TBA_ATM_V610</v>
          </cell>
          <cell r="D3343" t="str">
            <v>Spread Duration</v>
          </cell>
          <cell r="E3343" t="str">
            <v>Spread Yield</v>
          </cell>
          <cell r="F3343" t="str">
            <v>Alternative</v>
          </cell>
          <cell r="G3343" t="str">
            <v>Other</v>
          </cell>
          <cell r="H3343" t="str">
            <v>ALTS</v>
          </cell>
          <cell r="I3343" t="str">
            <v>Mortgage - Moneyness</v>
          </cell>
        </row>
        <row r="3344">
          <cell r="A3344" t="str">
            <v>USD_TBA_ITM5_V610</v>
          </cell>
          <cell r="B3344" t="str">
            <v>TBA30 ITM50 V610</v>
          </cell>
          <cell r="C3344" t="str">
            <v>BRS_GOLD__5_SPREADS:BRS_GOLD__3_OTHER_SPREADS:BRS_GOLD__1_MTG,TBA_ALL,PAYUP,NONAGENCY,MORT_IDIO,CRT,CRT_SP_RISK:TBA_ALL:TBA_30YR:USD_TBA_ITM5_V610</v>
          </cell>
          <cell r="D3344" t="str">
            <v>Spread Duration</v>
          </cell>
          <cell r="E3344" t="str">
            <v>Spread Yield</v>
          </cell>
          <cell r="F3344" t="str">
            <v>Alternative</v>
          </cell>
          <cell r="G3344" t="str">
            <v>Other</v>
          </cell>
          <cell r="H3344" t="str">
            <v>ALTS</v>
          </cell>
          <cell r="I3344" t="str">
            <v>Mortgage - Moneyness</v>
          </cell>
        </row>
        <row r="3345">
          <cell r="A3345" t="str">
            <v>USD_TBA_ITM10_V610</v>
          </cell>
          <cell r="B3345" t="str">
            <v>TBA30 ITM100 V610</v>
          </cell>
          <cell r="C3345" t="str">
            <v>BRS_GOLD__5_SPREADS:BRS_GOLD__3_OTHER_SPREADS:BRS_GOLD__1_MTG,TBA_ALL,PAYUP,NONAGENCY,MORT_IDIO,CRT,CRT_SP_RISK:TBA_ALL:TBA_30YR:USD_TBA_ITM10_V610</v>
          </cell>
          <cell r="D3345" t="str">
            <v>Spread Duration</v>
          </cell>
          <cell r="E3345" t="str">
            <v>Spread Yield</v>
          </cell>
          <cell r="F3345" t="str">
            <v>Alternative</v>
          </cell>
          <cell r="G3345" t="str">
            <v>Other</v>
          </cell>
          <cell r="H3345" t="str">
            <v>ALTS</v>
          </cell>
          <cell r="I3345" t="str">
            <v>Mortgage - Moneyness</v>
          </cell>
        </row>
        <row r="3346">
          <cell r="A3346" t="str">
            <v>USD_TBA_ITM15_V610</v>
          </cell>
          <cell r="B3346" t="str">
            <v>TBA30 ITM150 V610</v>
          </cell>
          <cell r="C3346" t="str">
            <v>BRS_GOLD__5_SPREADS:BRS_GOLD__3_OTHER_SPREADS:BRS_GOLD__1_MTG,TBA_ALL,PAYUP,NONAGENCY,MORT_IDIO,CRT,CRT_SP_RISK:TBA_ALL:TBA_30YR:USD_TBA_ITM15_V610</v>
          </cell>
          <cell r="D3346" t="str">
            <v>Spread Duration</v>
          </cell>
          <cell r="E3346" t="str">
            <v>Spread Yield</v>
          </cell>
          <cell r="F3346" t="str">
            <v>Alternative</v>
          </cell>
          <cell r="G3346" t="str">
            <v>Other</v>
          </cell>
          <cell r="H3346" t="str">
            <v>ALTS</v>
          </cell>
          <cell r="I3346" t="str">
            <v>Mortgage - Moneyness</v>
          </cell>
        </row>
        <row r="3347">
          <cell r="A3347" t="str">
            <v>USD_TBA_ITM20_V610</v>
          </cell>
          <cell r="B3347" t="str">
            <v>TBA30 ITM200 V610</v>
          </cell>
          <cell r="C3347" t="str">
            <v>BRS_GOLD__5_SPREADS:BRS_GOLD__3_OTHER_SPREADS:BRS_GOLD__1_MTG,TBA_ALL,PAYUP,NONAGENCY,MORT_IDIO,CRT,CRT_SP_RISK:TBA_ALL:TBA_30YR:USD_TBA_ITM20_V610</v>
          </cell>
          <cell r="D3347" t="str">
            <v>Spread Duration</v>
          </cell>
          <cell r="E3347" t="str">
            <v>Spread Yield</v>
          </cell>
          <cell r="F3347" t="str">
            <v>Alternative</v>
          </cell>
          <cell r="G3347" t="str">
            <v>Other</v>
          </cell>
          <cell r="H3347" t="str">
            <v>ALTS</v>
          </cell>
          <cell r="I3347" t="str">
            <v>Mortgage - Moneyness</v>
          </cell>
        </row>
        <row r="3348">
          <cell r="A3348" t="str">
            <v>USD_TBA_ITM25_V610</v>
          </cell>
          <cell r="B3348" t="str">
            <v>TBA30 ITM250 V610</v>
          </cell>
          <cell r="C3348" t="str">
            <v>BRS_GOLD__5_SPREADS:BRS_GOLD__3_OTHER_SPREADS:BRS_GOLD__1_MTG,TBA_ALL,PAYUP,NONAGENCY,MORT_IDIO,CRT,CRT_SP_RISK:TBA_ALL:TBA_30YR:USD_TBA_ITM25_V610</v>
          </cell>
          <cell r="D3348" t="str">
            <v>Spread Duration</v>
          </cell>
          <cell r="E3348" t="str">
            <v>Spread Yield</v>
          </cell>
          <cell r="F3348" t="str">
            <v>Alternative</v>
          </cell>
          <cell r="G3348" t="str">
            <v>Other</v>
          </cell>
          <cell r="H3348" t="str">
            <v>ALTS</v>
          </cell>
          <cell r="I3348" t="str">
            <v>Mortgage - Moneyness</v>
          </cell>
        </row>
        <row r="3349">
          <cell r="A3349" t="str">
            <v>USD_TBA_ITM30_V610</v>
          </cell>
          <cell r="B3349" t="str">
            <v>TBA30 ITM300 V610</v>
          </cell>
          <cell r="C3349" t="str">
            <v>BRS_GOLD__5_SPREADS:BRS_GOLD__3_OTHER_SPREADS:BRS_GOLD__1_MTG,TBA_ALL,PAYUP,NONAGENCY,MORT_IDIO,CRT,CRT_SP_RISK:TBA_ALL:TBA_30YR:USD_TBA_ITM30_V610</v>
          </cell>
          <cell r="D3349" t="str">
            <v>Spread Duration</v>
          </cell>
          <cell r="E3349" t="str">
            <v>Spread Yield</v>
          </cell>
          <cell r="F3349" t="str">
            <v>Alternative</v>
          </cell>
          <cell r="G3349" t="str">
            <v>Other</v>
          </cell>
          <cell r="H3349" t="str">
            <v>ALTS</v>
          </cell>
          <cell r="I3349" t="str">
            <v>Mortgage - Moneyness</v>
          </cell>
        </row>
        <row r="3350">
          <cell r="A3350" t="str">
            <v>USD_TBA_ITM35_V610</v>
          </cell>
          <cell r="B3350" t="str">
            <v>TBA30 ITM350 V610</v>
          </cell>
          <cell r="C3350" t="str">
            <v>BRS_GOLD__5_SPREADS:BRS_GOLD__3_OTHER_SPREADS:BRS_GOLD__1_MTG,TBA_ALL,PAYUP,NONAGENCY,MORT_IDIO,CRT,CRT_SP_RISK:TBA_ALL:TBA_30YR:USD_TBA_ITM35_V610</v>
          </cell>
          <cell r="D3350" t="str">
            <v>Spread Duration</v>
          </cell>
          <cell r="E3350" t="str">
            <v>Spread Yield</v>
          </cell>
          <cell r="F3350" t="str">
            <v>Alternative</v>
          </cell>
          <cell r="G3350" t="str">
            <v>Other</v>
          </cell>
          <cell r="H3350" t="str">
            <v>ALTS</v>
          </cell>
          <cell r="I3350" t="str">
            <v>Mortgage - Moneyness</v>
          </cell>
        </row>
        <row r="3351">
          <cell r="A3351" t="str">
            <v>USD_TBA_OTM35_V604_E</v>
          </cell>
          <cell r="B3351" t="str">
            <v>TBA30 OTM350 V604</v>
          </cell>
          <cell r="C3351" t="str">
            <v>BRS_GOLD__5_SPREADS:BRS_GOLD__3_OTHER_SPREADS:BRS_GOLD__1_MTG,TBA_ALL,PAYUP,NONAGENCY,MORT_IDIO,CRT,CRT_SP_RISK:TBA_ALL:TBA_30YR:USD_TBA_OTM35_V604_E</v>
          </cell>
          <cell r="D3351" t="str">
            <v>Spread Duration</v>
          </cell>
          <cell r="E3351" t="str">
            <v>Spread Yield</v>
          </cell>
          <cell r="F3351" t="str">
            <v>Alternative</v>
          </cell>
          <cell r="G3351" t="str">
            <v>Other</v>
          </cell>
          <cell r="H3351" t="str">
            <v>ALTS</v>
          </cell>
          <cell r="I3351" t="str">
            <v>Mortgage - Moneyness</v>
          </cell>
        </row>
        <row r="3352">
          <cell r="A3352" t="str">
            <v>USD_TBA_OTM30_V604_E</v>
          </cell>
          <cell r="B3352" t="str">
            <v>TBA30 OTM300 V604</v>
          </cell>
          <cell r="C3352" t="str">
            <v>BRS_GOLD__5_SPREADS:BRS_GOLD__3_OTHER_SPREADS:BRS_GOLD__1_MTG,TBA_ALL,PAYUP,NONAGENCY,MORT_IDIO,CRT,CRT_SP_RISK:TBA_ALL:TBA_30YR:USD_TBA_OTM30_V604_E</v>
          </cell>
          <cell r="D3352" t="str">
            <v>Spread Duration</v>
          </cell>
          <cell r="E3352" t="str">
            <v>Spread Yield</v>
          </cell>
          <cell r="F3352" t="str">
            <v>Alternative</v>
          </cell>
          <cell r="G3352" t="str">
            <v>Other</v>
          </cell>
          <cell r="H3352" t="str">
            <v>ALTS</v>
          </cell>
          <cell r="I3352" t="str">
            <v>Mortgage - Moneyness</v>
          </cell>
        </row>
        <row r="3353">
          <cell r="A3353" t="str">
            <v>USD_TBA_OTM25_V604_E</v>
          </cell>
          <cell r="B3353" t="str">
            <v>TBA30 OTM250 V604</v>
          </cell>
          <cell r="C3353" t="str">
            <v>BRS_GOLD__5_SPREADS:BRS_GOLD__3_OTHER_SPREADS:BRS_GOLD__1_MTG,TBA_ALL,PAYUP,NONAGENCY,MORT_IDIO,CRT,CRT_SP_RISK:TBA_ALL:TBA_30YR:USD_TBA_OTM25_V604_E</v>
          </cell>
          <cell r="D3353" t="str">
            <v>Spread Duration</v>
          </cell>
          <cell r="E3353" t="str">
            <v>Spread Yield</v>
          </cell>
          <cell r="F3353" t="str">
            <v>Alternative</v>
          </cell>
          <cell r="G3353" t="str">
            <v>Other</v>
          </cell>
          <cell r="H3353" t="str">
            <v>ALTS</v>
          </cell>
          <cell r="I3353" t="str">
            <v>Mortgage - Moneyness</v>
          </cell>
        </row>
        <row r="3354">
          <cell r="A3354" t="str">
            <v>USD_TBA_OTM20_V604_E</v>
          </cell>
          <cell r="B3354" t="str">
            <v>TBA30 OTM200 V604</v>
          </cell>
          <cell r="C3354" t="str">
            <v>BRS_GOLD__5_SPREADS:BRS_GOLD__3_OTHER_SPREADS:BRS_GOLD__1_MTG,TBA_ALL,PAYUP,NONAGENCY,MORT_IDIO,CRT,CRT_SP_RISK:TBA_ALL:TBA_30YR:USD_TBA_OTM20_V604_E</v>
          </cell>
          <cell r="D3354" t="str">
            <v>Spread Duration</v>
          </cell>
          <cell r="E3354" t="str">
            <v>Spread Yield</v>
          </cell>
          <cell r="F3354" t="str">
            <v>Alternative</v>
          </cell>
          <cell r="G3354" t="str">
            <v>Other</v>
          </cell>
          <cell r="H3354" t="str">
            <v>ALTS</v>
          </cell>
          <cell r="I3354" t="str">
            <v>Mortgage - Moneyness</v>
          </cell>
        </row>
        <row r="3355">
          <cell r="A3355" t="str">
            <v>USD_TBA_OTM15_V604_E</v>
          </cell>
          <cell r="B3355" t="str">
            <v>TBA30 OTM150 V604</v>
          </cell>
          <cell r="C3355" t="str">
            <v>BRS_GOLD__5_SPREADS:BRS_GOLD__3_OTHER_SPREADS:BRS_GOLD__1_MTG,TBA_ALL,PAYUP,NONAGENCY,MORT_IDIO,CRT,CRT_SP_RISK:TBA_ALL:TBA_30YR:USD_TBA_OTM15_V604_E</v>
          </cell>
          <cell r="D3355" t="str">
            <v>Spread Duration</v>
          </cell>
          <cell r="E3355" t="str">
            <v>Spread Yield</v>
          </cell>
          <cell r="F3355" t="str">
            <v>Alternative</v>
          </cell>
          <cell r="G3355" t="str">
            <v>Other</v>
          </cell>
          <cell r="H3355" t="str">
            <v>ALTS</v>
          </cell>
          <cell r="I3355" t="str">
            <v>Mortgage - Moneyness</v>
          </cell>
        </row>
        <row r="3356">
          <cell r="A3356" t="str">
            <v>USD_TBA_OTM10_V604_E</v>
          </cell>
          <cell r="B3356" t="str">
            <v>TBA30 OTM100 V604</v>
          </cell>
          <cell r="C3356" t="str">
            <v>BRS_GOLD__5_SPREADS:BRS_GOLD__3_OTHER_SPREADS:BRS_GOLD__1_MTG,TBA_ALL,PAYUP,NONAGENCY,MORT_IDIO,CRT,CRT_SP_RISK:TBA_ALL:TBA_30YR:USD_TBA_OTM10_V604_E</v>
          </cell>
          <cell r="D3356" t="str">
            <v>Spread Duration</v>
          </cell>
          <cell r="E3356" t="str">
            <v>Spread Yield</v>
          </cell>
          <cell r="F3356" t="str">
            <v>Alternative</v>
          </cell>
          <cell r="G3356" t="str">
            <v>Other</v>
          </cell>
          <cell r="H3356" t="str">
            <v>ALTS</v>
          </cell>
          <cell r="I3356" t="str">
            <v>Mortgage - Moneyness</v>
          </cell>
        </row>
        <row r="3357">
          <cell r="A3357" t="str">
            <v>USD_TBA_OTM5_V604_E</v>
          </cell>
          <cell r="B3357" t="str">
            <v>TBA30 OTM50 V604</v>
          </cell>
          <cell r="C3357" t="str">
            <v>BRS_GOLD__5_SPREADS:BRS_GOLD__3_OTHER_SPREADS:BRS_GOLD__1_MTG,TBA_ALL,PAYUP,NONAGENCY,MORT_IDIO,CRT,CRT_SP_RISK:TBA_ALL:TBA_30YR:USD_TBA_OTM5_V604_E</v>
          </cell>
          <cell r="D3357" t="str">
            <v>Spread Duration</v>
          </cell>
          <cell r="E3357" t="str">
            <v>Spread Yield</v>
          </cell>
          <cell r="F3357" t="str">
            <v>Alternative</v>
          </cell>
          <cell r="G3357" t="str">
            <v>Other</v>
          </cell>
          <cell r="H3357" t="str">
            <v>ALTS</v>
          </cell>
          <cell r="I3357" t="str">
            <v>Mortgage - Moneyness</v>
          </cell>
        </row>
        <row r="3358">
          <cell r="A3358" t="str">
            <v>USD_TBA_ATM_V604_E</v>
          </cell>
          <cell r="B3358" t="str">
            <v>TBA30 ATM V604</v>
          </cell>
          <cell r="C3358" t="str">
            <v>BRS_GOLD__5_SPREADS:BRS_GOLD__3_OTHER_SPREADS:BRS_GOLD__1_MTG,TBA_ALL,PAYUP,NONAGENCY,MORT_IDIO,CRT,CRT_SP_RISK:TBA_ALL:TBA_30YR:USD_TBA_ATM_V604_E</v>
          </cell>
          <cell r="D3358" t="str">
            <v>Spread Duration</v>
          </cell>
          <cell r="E3358" t="str">
            <v>Spread Yield</v>
          </cell>
          <cell r="F3358" t="str">
            <v>Alternative</v>
          </cell>
          <cell r="G3358" t="str">
            <v>Other</v>
          </cell>
          <cell r="H3358" t="str">
            <v>ALTS</v>
          </cell>
          <cell r="I3358" t="str">
            <v>Mortgage - Moneyness</v>
          </cell>
        </row>
        <row r="3359">
          <cell r="A3359" t="str">
            <v>USD_TBA_ITM5_V604_E</v>
          </cell>
          <cell r="B3359" t="str">
            <v>TBA30 ITM50 V604</v>
          </cell>
          <cell r="C3359" t="str">
            <v>BRS_GOLD__5_SPREADS:BRS_GOLD__3_OTHER_SPREADS:BRS_GOLD__1_MTG,TBA_ALL,PAYUP,NONAGENCY,MORT_IDIO,CRT,CRT_SP_RISK:TBA_ALL:TBA_30YR:USD_TBA_ITM5_V604_E</v>
          </cell>
          <cell r="D3359" t="str">
            <v>Spread Duration</v>
          </cell>
          <cell r="E3359" t="str">
            <v>Spread Yield</v>
          </cell>
          <cell r="F3359" t="str">
            <v>Alternative</v>
          </cell>
          <cell r="G3359" t="str">
            <v>Other</v>
          </cell>
          <cell r="H3359" t="str">
            <v>ALTS</v>
          </cell>
          <cell r="I3359" t="str">
            <v>Mortgage - Moneyness</v>
          </cell>
        </row>
        <row r="3360">
          <cell r="A3360" t="str">
            <v>USD_TBA_ITM10_V604_E</v>
          </cell>
          <cell r="B3360" t="str">
            <v>TBA30 ITM100 V604</v>
          </cell>
          <cell r="C3360" t="str">
            <v>BRS_GOLD__5_SPREADS:BRS_GOLD__3_OTHER_SPREADS:BRS_GOLD__1_MTG,TBA_ALL,PAYUP,NONAGENCY,MORT_IDIO,CRT,CRT_SP_RISK:TBA_ALL:TBA_30YR:USD_TBA_ITM10_V604_E</v>
          </cell>
          <cell r="D3360" t="str">
            <v>Spread Duration</v>
          </cell>
          <cell r="E3360" t="str">
            <v>Spread Yield</v>
          </cell>
          <cell r="F3360" t="str">
            <v>Alternative</v>
          </cell>
          <cell r="G3360" t="str">
            <v>Other</v>
          </cell>
          <cell r="H3360" t="str">
            <v>ALTS</v>
          </cell>
          <cell r="I3360" t="str">
            <v>Mortgage - Moneyness</v>
          </cell>
        </row>
        <row r="3361">
          <cell r="A3361" t="str">
            <v>USD_TBA_ITM15_V604_E</v>
          </cell>
          <cell r="B3361" t="str">
            <v>TBA30 ITM150 V604</v>
          </cell>
          <cell r="C3361" t="str">
            <v>BRS_GOLD__5_SPREADS:BRS_GOLD__3_OTHER_SPREADS:BRS_GOLD__1_MTG,TBA_ALL,PAYUP,NONAGENCY,MORT_IDIO,CRT,CRT_SP_RISK:TBA_ALL:TBA_30YR:USD_TBA_ITM15_V604_E</v>
          </cell>
          <cell r="D3361" t="str">
            <v>Spread Duration</v>
          </cell>
          <cell r="E3361" t="str">
            <v>Spread Yield</v>
          </cell>
          <cell r="F3361" t="str">
            <v>Alternative</v>
          </cell>
          <cell r="G3361" t="str">
            <v>Other</v>
          </cell>
          <cell r="H3361" t="str">
            <v>ALTS</v>
          </cell>
          <cell r="I3361" t="str">
            <v>Mortgage - Moneyness</v>
          </cell>
        </row>
        <row r="3362">
          <cell r="A3362" t="str">
            <v>USD_TBA_ITM20_V604_E</v>
          </cell>
          <cell r="B3362" t="str">
            <v>TBA30 ITM200 V604</v>
          </cell>
          <cell r="C3362" t="str">
            <v>BRS_GOLD__5_SPREADS:BRS_GOLD__3_OTHER_SPREADS:BRS_GOLD__1_MTG,TBA_ALL,PAYUP,NONAGENCY,MORT_IDIO,CRT,CRT_SP_RISK:TBA_ALL:TBA_30YR:USD_TBA_ITM20_V604_E</v>
          </cell>
          <cell r="D3362" t="str">
            <v>Spread Duration</v>
          </cell>
          <cell r="E3362" t="str">
            <v>Spread Yield</v>
          </cell>
          <cell r="F3362" t="str">
            <v>Alternative</v>
          </cell>
          <cell r="G3362" t="str">
            <v>Other</v>
          </cell>
          <cell r="H3362" t="str">
            <v>ALTS</v>
          </cell>
          <cell r="I3362" t="str">
            <v>Mortgage - Moneyness</v>
          </cell>
        </row>
        <row r="3363">
          <cell r="A3363" t="str">
            <v>USD_TBA_ITM25_V604_E</v>
          </cell>
          <cell r="B3363" t="str">
            <v>TBA30 ITM250 V604</v>
          </cell>
          <cell r="C3363" t="str">
            <v>BRS_GOLD__5_SPREADS:BRS_GOLD__3_OTHER_SPREADS:BRS_GOLD__1_MTG,TBA_ALL,PAYUP,NONAGENCY,MORT_IDIO,CRT,CRT_SP_RISK:TBA_ALL:TBA_30YR:USD_TBA_ITM25_V604_E</v>
          </cell>
          <cell r="D3363" t="str">
            <v>Spread Duration</v>
          </cell>
          <cell r="E3363" t="str">
            <v>Spread Yield</v>
          </cell>
          <cell r="F3363" t="str">
            <v>Alternative</v>
          </cell>
          <cell r="G3363" t="str">
            <v>Other</v>
          </cell>
          <cell r="H3363" t="str">
            <v>ALTS</v>
          </cell>
          <cell r="I3363" t="str">
            <v>Mortgage - Moneyness</v>
          </cell>
        </row>
        <row r="3364">
          <cell r="A3364" t="str">
            <v>USD_TBA_ITM30_V604_E</v>
          </cell>
          <cell r="B3364" t="str">
            <v>TBA30 ITM300 V604</v>
          </cell>
          <cell r="C3364" t="str">
            <v>BRS_GOLD__5_SPREADS:BRS_GOLD__3_OTHER_SPREADS:BRS_GOLD__1_MTG,TBA_ALL,PAYUP,NONAGENCY,MORT_IDIO,CRT,CRT_SP_RISK:TBA_ALL:TBA_30YR:USD_TBA_ITM30_V604_E</v>
          </cell>
          <cell r="D3364" t="str">
            <v>Spread Duration</v>
          </cell>
          <cell r="E3364" t="str">
            <v>Spread Yield</v>
          </cell>
          <cell r="F3364" t="str">
            <v>Alternative</v>
          </cell>
          <cell r="G3364" t="str">
            <v>Other</v>
          </cell>
          <cell r="H3364" t="str">
            <v>ALTS</v>
          </cell>
          <cell r="I3364" t="str">
            <v>Mortgage - Moneyness</v>
          </cell>
        </row>
        <row r="3365">
          <cell r="A3365" t="str">
            <v>USD_TBA_ITM35_V604_E</v>
          </cell>
          <cell r="B3365" t="str">
            <v>TBA30 ITM350 V604</v>
          </cell>
          <cell r="C3365" t="str">
            <v>BRS_GOLD__5_SPREADS:BRS_GOLD__3_OTHER_SPREADS:BRS_GOLD__1_MTG,TBA_ALL,PAYUP,NONAGENCY,MORT_IDIO,CRT,CRT_SP_RISK:TBA_ALL:TBA_30YR:USD_TBA_ITM35_V604_E</v>
          </cell>
          <cell r="D3365" t="str">
            <v>Spread Duration</v>
          </cell>
          <cell r="E3365" t="str">
            <v>Spread Yield</v>
          </cell>
          <cell r="F3365" t="str">
            <v>Alternative</v>
          </cell>
          <cell r="G3365" t="str">
            <v>Other</v>
          </cell>
          <cell r="H3365" t="str">
            <v>ALTS</v>
          </cell>
          <cell r="I3365" t="str">
            <v>Mortgage - Moneyness</v>
          </cell>
        </row>
        <row r="3366">
          <cell r="A3366" t="str">
            <v>USD_TBA_OTM35_V610_E</v>
          </cell>
          <cell r="B3366" t="str">
            <v>TBA30 OTM350 V610</v>
          </cell>
          <cell r="C3366" t="str">
            <v>BRS_GOLD__5_SPREADS:BRS_GOLD__3_OTHER_SPREADS:BRS_GOLD__1_MTG,TBA_ALL,PAYUP,NONAGENCY,MORT_IDIO,CRT,CRT_SP_RISK:TBA_ALL:TBA_30YR:USD_TBA_OTM35_V610_E</v>
          </cell>
          <cell r="D3366" t="str">
            <v>Spread Duration</v>
          </cell>
          <cell r="E3366" t="str">
            <v>Spread Yield</v>
          </cell>
          <cell r="F3366" t="str">
            <v>Alternative</v>
          </cell>
          <cell r="G3366" t="str">
            <v>Other</v>
          </cell>
          <cell r="H3366" t="str">
            <v>ALTS</v>
          </cell>
          <cell r="I3366" t="str">
            <v>Mortgage - Moneyness</v>
          </cell>
        </row>
        <row r="3367">
          <cell r="A3367" t="str">
            <v>USD_TBA_OTM30_V610_E</v>
          </cell>
          <cell r="B3367" t="str">
            <v>TBA30 OTM300 V610</v>
          </cell>
          <cell r="C3367" t="str">
            <v>BRS_GOLD__5_SPREADS:BRS_GOLD__3_OTHER_SPREADS:BRS_GOLD__1_MTG,TBA_ALL,PAYUP,NONAGENCY,MORT_IDIO,CRT,CRT_SP_RISK:TBA_ALL:TBA_30YR:USD_TBA_OTM30_V610_E</v>
          </cell>
          <cell r="D3367" t="str">
            <v>Spread Duration</v>
          </cell>
          <cell r="E3367" t="str">
            <v>Spread Yield</v>
          </cell>
          <cell r="F3367" t="str">
            <v>Alternative</v>
          </cell>
          <cell r="G3367" t="str">
            <v>Other</v>
          </cell>
          <cell r="H3367" t="str">
            <v>ALTS</v>
          </cell>
          <cell r="I3367" t="str">
            <v>Mortgage - Moneyness</v>
          </cell>
        </row>
        <row r="3368">
          <cell r="A3368" t="str">
            <v>USD_TBA_OTM25_V610_E</v>
          </cell>
          <cell r="B3368" t="str">
            <v>TBA30 OTM250 V610</v>
          </cell>
          <cell r="C3368" t="str">
            <v>BRS_GOLD__5_SPREADS:BRS_GOLD__3_OTHER_SPREADS:BRS_GOLD__1_MTG,TBA_ALL,PAYUP,NONAGENCY,MORT_IDIO,CRT,CRT_SP_RISK:TBA_ALL:TBA_30YR:USD_TBA_OTM25_V610_E</v>
          </cell>
          <cell r="D3368" t="str">
            <v>Spread Duration</v>
          </cell>
          <cell r="E3368" t="str">
            <v>Spread Yield</v>
          </cell>
          <cell r="F3368" t="str">
            <v>Alternative</v>
          </cell>
          <cell r="G3368" t="str">
            <v>Other</v>
          </cell>
          <cell r="H3368" t="str">
            <v>ALTS</v>
          </cell>
          <cell r="I3368" t="str">
            <v>Mortgage - Moneyness</v>
          </cell>
        </row>
        <row r="3369">
          <cell r="A3369" t="str">
            <v>USD_TBA_OTM20_V610_E</v>
          </cell>
          <cell r="B3369" t="str">
            <v>TBA30 OTM200 V610</v>
          </cell>
          <cell r="C3369" t="str">
            <v>BRS_GOLD__5_SPREADS:BRS_GOLD__3_OTHER_SPREADS:BRS_GOLD__1_MTG,TBA_ALL,PAYUP,NONAGENCY,MORT_IDIO,CRT,CRT_SP_RISK:TBA_ALL:TBA_30YR:USD_TBA_OTM20_V610_E</v>
          </cell>
          <cell r="D3369" t="str">
            <v>Spread Duration</v>
          </cell>
          <cell r="E3369" t="str">
            <v>Spread Yield</v>
          </cell>
          <cell r="F3369" t="str">
            <v>Alternative</v>
          </cell>
          <cell r="G3369" t="str">
            <v>Other</v>
          </cell>
          <cell r="H3369" t="str">
            <v>ALTS</v>
          </cell>
          <cell r="I3369" t="str">
            <v>Mortgage - Moneyness</v>
          </cell>
        </row>
        <row r="3370">
          <cell r="A3370" t="str">
            <v>USD_TBA_OTM15_V610_E</v>
          </cell>
          <cell r="B3370" t="str">
            <v>TBA30 OTM150 V610</v>
          </cell>
          <cell r="C3370" t="str">
            <v>BRS_GOLD__5_SPREADS:BRS_GOLD__3_OTHER_SPREADS:BRS_GOLD__1_MTG,TBA_ALL,PAYUP,NONAGENCY,MORT_IDIO,CRT,CRT_SP_RISK:TBA_ALL:TBA_30YR:USD_TBA_OTM15_V610_E</v>
          </cell>
          <cell r="D3370" t="str">
            <v>Spread Duration</v>
          </cell>
          <cell r="E3370" t="str">
            <v>Spread Yield</v>
          </cell>
          <cell r="F3370" t="str">
            <v>Alternative</v>
          </cell>
          <cell r="G3370" t="str">
            <v>Other</v>
          </cell>
          <cell r="H3370" t="str">
            <v>ALTS</v>
          </cell>
          <cell r="I3370" t="str">
            <v>Mortgage - Moneyness</v>
          </cell>
        </row>
        <row r="3371">
          <cell r="A3371" t="str">
            <v>USD_TBA_OTM10_V610_E</v>
          </cell>
          <cell r="B3371" t="str">
            <v>TBA30 OTM100 V610</v>
          </cell>
          <cell r="C3371" t="str">
            <v>BRS_GOLD__5_SPREADS:BRS_GOLD__3_OTHER_SPREADS:BRS_GOLD__1_MTG,TBA_ALL,PAYUP,NONAGENCY,MORT_IDIO,CRT,CRT_SP_RISK:TBA_ALL:TBA_30YR:USD_TBA_OTM10_V610_E</v>
          </cell>
          <cell r="D3371" t="str">
            <v>Spread Duration</v>
          </cell>
          <cell r="E3371" t="str">
            <v>Spread Yield</v>
          </cell>
          <cell r="F3371" t="str">
            <v>Alternative</v>
          </cell>
          <cell r="G3371" t="str">
            <v>Other</v>
          </cell>
          <cell r="H3371" t="str">
            <v>ALTS</v>
          </cell>
          <cell r="I3371" t="str">
            <v>Mortgage - Moneyness</v>
          </cell>
        </row>
        <row r="3372">
          <cell r="A3372" t="str">
            <v>USD_TBA_OTM5_V610_E</v>
          </cell>
          <cell r="B3372" t="str">
            <v>TBA30 OTM50 V610</v>
          </cell>
          <cell r="C3372" t="str">
            <v>BRS_GOLD__5_SPREADS:BRS_GOLD__3_OTHER_SPREADS:BRS_GOLD__1_MTG,TBA_ALL,PAYUP,NONAGENCY,MORT_IDIO,CRT,CRT_SP_RISK:TBA_ALL:TBA_30YR:USD_TBA_OTM5_V610_E</v>
          </cell>
          <cell r="D3372" t="str">
            <v>Spread Duration</v>
          </cell>
          <cell r="E3372" t="str">
            <v>Spread Yield</v>
          </cell>
          <cell r="F3372" t="str">
            <v>Alternative</v>
          </cell>
          <cell r="G3372" t="str">
            <v>Other</v>
          </cell>
          <cell r="H3372" t="str">
            <v>ALTS</v>
          </cell>
          <cell r="I3372" t="str">
            <v>Mortgage - Moneyness</v>
          </cell>
        </row>
        <row r="3373">
          <cell r="A3373" t="str">
            <v>USD_TBA_ATM_V610_E</v>
          </cell>
          <cell r="B3373" t="str">
            <v>TBA30 ATM V610</v>
          </cell>
          <cell r="C3373" t="str">
            <v>BRS_GOLD__5_SPREADS:BRS_GOLD__3_OTHER_SPREADS:BRS_GOLD__1_MTG,TBA_ALL,PAYUP,NONAGENCY,MORT_IDIO,CRT,CRT_SP_RISK:TBA_ALL:TBA_30YR:USD_TBA_ATM_V610_E</v>
          </cell>
          <cell r="D3373" t="str">
            <v>Spread Duration</v>
          </cell>
          <cell r="E3373" t="str">
            <v>Spread Yield</v>
          </cell>
          <cell r="F3373" t="str">
            <v>Alternative</v>
          </cell>
          <cell r="G3373" t="str">
            <v>Other</v>
          </cell>
          <cell r="H3373" t="str">
            <v>ALTS</v>
          </cell>
          <cell r="I3373" t="str">
            <v>Mortgage - Moneyness</v>
          </cell>
        </row>
        <row r="3374">
          <cell r="A3374" t="str">
            <v>USD_TBA_ITM5_V610_E</v>
          </cell>
          <cell r="B3374" t="str">
            <v>TBA30 ITM50 V610</v>
          </cell>
          <cell r="C3374" t="str">
            <v>BRS_GOLD__5_SPREADS:BRS_GOLD__3_OTHER_SPREADS:BRS_GOLD__1_MTG,TBA_ALL,PAYUP,NONAGENCY,MORT_IDIO,CRT,CRT_SP_RISK:TBA_ALL:TBA_30YR:USD_TBA_ITM5_V610_E</v>
          </cell>
          <cell r="D3374" t="str">
            <v>Spread Duration</v>
          </cell>
          <cell r="E3374" t="str">
            <v>Spread Yield</v>
          </cell>
          <cell r="F3374" t="str">
            <v>Alternative</v>
          </cell>
          <cell r="G3374" t="str">
            <v>Other</v>
          </cell>
          <cell r="H3374" t="str">
            <v>ALTS</v>
          </cell>
          <cell r="I3374" t="str">
            <v>Mortgage - Moneyness</v>
          </cell>
        </row>
        <row r="3375">
          <cell r="A3375" t="str">
            <v>USD_TBA_ITM10_V610_E</v>
          </cell>
          <cell r="B3375" t="str">
            <v>TBA30 ITM100 V610</v>
          </cell>
          <cell r="C3375" t="str">
            <v>BRS_GOLD__5_SPREADS:BRS_GOLD__3_OTHER_SPREADS:BRS_GOLD__1_MTG,TBA_ALL,PAYUP,NONAGENCY,MORT_IDIO,CRT,CRT_SP_RISK:TBA_ALL:TBA_30YR:USD_TBA_ITM10_V610_E</v>
          </cell>
          <cell r="D3375" t="str">
            <v>Spread Duration</v>
          </cell>
          <cell r="E3375" t="str">
            <v>Spread Yield</v>
          </cell>
          <cell r="F3375" t="str">
            <v>Alternative</v>
          </cell>
          <cell r="G3375" t="str">
            <v>Other</v>
          </cell>
          <cell r="H3375" t="str">
            <v>ALTS</v>
          </cell>
          <cell r="I3375" t="str">
            <v>Mortgage - Moneyness</v>
          </cell>
        </row>
        <row r="3376">
          <cell r="A3376" t="str">
            <v>USD_TBA_ITM15_V610_E</v>
          </cell>
          <cell r="B3376" t="str">
            <v>TBA30 ITM150 V610</v>
          </cell>
          <cell r="C3376" t="str">
            <v>BRS_GOLD__5_SPREADS:BRS_GOLD__3_OTHER_SPREADS:BRS_GOLD__1_MTG,TBA_ALL,PAYUP,NONAGENCY,MORT_IDIO,CRT,CRT_SP_RISK:TBA_ALL:TBA_30YR:USD_TBA_ITM15_V610_E</v>
          </cell>
          <cell r="D3376" t="str">
            <v>Spread Duration</v>
          </cell>
          <cell r="E3376" t="str">
            <v>Spread Yield</v>
          </cell>
          <cell r="F3376" t="str">
            <v>Alternative</v>
          </cell>
          <cell r="G3376" t="str">
            <v>Other</v>
          </cell>
          <cell r="H3376" t="str">
            <v>ALTS</v>
          </cell>
          <cell r="I3376" t="str">
            <v>Mortgage - Moneyness</v>
          </cell>
        </row>
        <row r="3377">
          <cell r="A3377" t="str">
            <v>USD_TBA_ITM20_V610_E</v>
          </cell>
          <cell r="B3377" t="str">
            <v>TBA30 ITM200 V610</v>
          </cell>
          <cell r="C3377" t="str">
            <v>BRS_GOLD__5_SPREADS:BRS_GOLD__3_OTHER_SPREADS:BRS_GOLD__1_MTG,TBA_ALL,PAYUP,NONAGENCY,MORT_IDIO,CRT,CRT_SP_RISK:TBA_ALL:TBA_30YR:USD_TBA_ITM20_V610_E</v>
          </cell>
          <cell r="D3377" t="str">
            <v>Spread Duration</v>
          </cell>
          <cell r="E3377" t="str">
            <v>Spread Yield</v>
          </cell>
          <cell r="F3377" t="str">
            <v>Alternative</v>
          </cell>
          <cell r="G3377" t="str">
            <v>Other</v>
          </cell>
          <cell r="H3377" t="str">
            <v>ALTS</v>
          </cell>
          <cell r="I3377" t="str">
            <v>Mortgage - Moneyness</v>
          </cell>
        </row>
        <row r="3378">
          <cell r="A3378" t="str">
            <v>USD_TBA_ITM25_V610_E</v>
          </cell>
          <cell r="B3378" t="str">
            <v>TBA30 ITM250 V610</v>
          </cell>
          <cell r="C3378" t="str">
            <v>BRS_GOLD__5_SPREADS:BRS_GOLD__3_OTHER_SPREADS:BRS_GOLD__1_MTG,TBA_ALL,PAYUP,NONAGENCY,MORT_IDIO,CRT,CRT_SP_RISK:TBA_ALL:TBA_30YR:USD_TBA_ITM25_V610_E</v>
          </cell>
          <cell r="D3378" t="str">
            <v>Spread Duration</v>
          </cell>
          <cell r="E3378" t="str">
            <v>Spread Yield</v>
          </cell>
          <cell r="F3378" t="str">
            <v>Alternative</v>
          </cell>
          <cell r="G3378" t="str">
            <v>Other</v>
          </cell>
          <cell r="H3378" t="str">
            <v>ALTS</v>
          </cell>
          <cell r="I3378" t="str">
            <v>Mortgage - Moneyness</v>
          </cell>
        </row>
        <row r="3379">
          <cell r="A3379" t="str">
            <v>USD_TBA_ITM30_V610_E</v>
          </cell>
          <cell r="B3379" t="str">
            <v>TBA30 ITM300 V610</v>
          </cell>
          <cell r="C3379" t="str">
            <v>BRS_GOLD__5_SPREADS:BRS_GOLD__3_OTHER_SPREADS:BRS_GOLD__1_MTG,TBA_ALL,PAYUP,NONAGENCY,MORT_IDIO,CRT,CRT_SP_RISK:TBA_ALL:TBA_30YR:USD_TBA_ITM30_V610_E</v>
          </cell>
          <cell r="D3379" t="str">
            <v>Spread Duration</v>
          </cell>
          <cell r="E3379" t="str">
            <v>Spread Yield</v>
          </cell>
          <cell r="F3379" t="str">
            <v>Alternative</v>
          </cell>
          <cell r="G3379" t="str">
            <v>Other</v>
          </cell>
          <cell r="H3379" t="str">
            <v>ALTS</v>
          </cell>
          <cell r="I3379" t="str">
            <v>Mortgage - Moneyness</v>
          </cell>
        </row>
        <row r="3380">
          <cell r="A3380" t="str">
            <v>USD_TBA_ITM35_V610_E</v>
          </cell>
          <cell r="B3380" t="str">
            <v>TBA30 ITM350 V610</v>
          </cell>
          <cell r="C3380" t="str">
            <v>BRS_GOLD__5_SPREADS:BRS_GOLD__3_OTHER_SPREADS:BRS_GOLD__1_MTG,TBA_ALL,PAYUP,NONAGENCY,MORT_IDIO,CRT,CRT_SP_RISK:TBA_ALL:TBA_30YR:USD_TBA_ITM35_V610_E</v>
          </cell>
          <cell r="D3380" t="str">
            <v>Spread Duration</v>
          </cell>
          <cell r="E3380" t="str">
            <v>Spread Yield</v>
          </cell>
          <cell r="F3380" t="str">
            <v>Alternative</v>
          </cell>
          <cell r="G3380" t="str">
            <v>Other</v>
          </cell>
          <cell r="H3380" t="str">
            <v>ALTS</v>
          </cell>
          <cell r="I3380" t="str">
            <v>Mortgage - Moneyness</v>
          </cell>
        </row>
        <row r="3381">
          <cell r="A3381" t="str">
            <v>USD_TBA_OTM35_V620</v>
          </cell>
          <cell r="B3381" t="str">
            <v>TBA30 OTM350 V620</v>
          </cell>
          <cell r="C3381" t="str">
            <v>BRS_GOLD__5_SPREADS:BRS_GOLD__3_OTHER_SPREADS:BRS_GOLD__1_MTG,TBA_ALL,PAYUP,NONAGENCY,MORT_IDIO,CRT,CRT_SP_RISK:TBA_ALL:TBA_30YR:USD_TBA_OTM35_V620</v>
          </cell>
          <cell r="D3381" t="str">
            <v>Spread Duration</v>
          </cell>
          <cell r="E3381" t="str">
            <v>Spread Yield</v>
          </cell>
          <cell r="F3381" t="str">
            <v>Alternative</v>
          </cell>
          <cell r="G3381" t="str">
            <v>Other</v>
          </cell>
          <cell r="H3381" t="str">
            <v>ALTS</v>
          </cell>
          <cell r="I3381" t="str">
            <v>Mortgage - Moneyness</v>
          </cell>
        </row>
        <row r="3382">
          <cell r="A3382" t="str">
            <v>USD_TBA_OTM30_V620</v>
          </cell>
          <cell r="B3382" t="str">
            <v>TBA30 OTM300 V620</v>
          </cell>
          <cell r="C3382" t="str">
            <v>BRS_GOLD__5_SPREADS:BRS_GOLD__3_OTHER_SPREADS:BRS_GOLD__1_MTG,TBA_ALL,PAYUP,NONAGENCY,MORT_IDIO,CRT,CRT_SP_RISK:TBA_ALL:TBA_30YR:USD_TBA_OTM30_V620</v>
          </cell>
          <cell r="D3382" t="str">
            <v>Spread Duration</v>
          </cell>
          <cell r="E3382" t="str">
            <v>Spread Yield</v>
          </cell>
          <cell r="F3382" t="str">
            <v>Alternative</v>
          </cell>
          <cell r="G3382" t="str">
            <v>Other</v>
          </cell>
          <cell r="H3382" t="str">
            <v>ALTS</v>
          </cell>
          <cell r="I3382" t="str">
            <v>Mortgage - Moneyness</v>
          </cell>
        </row>
        <row r="3383">
          <cell r="A3383" t="str">
            <v>USD_TBA_OTM25_V620</v>
          </cell>
          <cell r="B3383" t="str">
            <v>TBA30 OTM250 V620</v>
          </cell>
          <cell r="C3383" t="str">
            <v>BRS_GOLD__5_SPREADS:BRS_GOLD__3_OTHER_SPREADS:BRS_GOLD__1_MTG,TBA_ALL,PAYUP,NONAGENCY,MORT_IDIO,CRT,CRT_SP_RISK:TBA_ALL:TBA_30YR:USD_TBA_OTM25_V620</v>
          </cell>
          <cell r="D3383" t="str">
            <v>Spread Duration</v>
          </cell>
          <cell r="E3383" t="str">
            <v>Spread Yield</v>
          </cell>
          <cell r="F3383" t="str">
            <v>Alternative</v>
          </cell>
          <cell r="G3383" t="str">
            <v>Other</v>
          </cell>
          <cell r="H3383" t="str">
            <v>ALTS</v>
          </cell>
          <cell r="I3383" t="str">
            <v>Mortgage - Moneyness</v>
          </cell>
        </row>
        <row r="3384">
          <cell r="A3384" t="str">
            <v>USD_TBA_OTM20_V620</v>
          </cell>
          <cell r="B3384" t="str">
            <v>TBA30 OTM200 V620</v>
          </cell>
          <cell r="C3384" t="str">
            <v>BRS_GOLD__5_SPREADS:BRS_GOLD__3_OTHER_SPREADS:BRS_GOLD__1_MTG,TBA_ALL,PAYUP,NONAGENCY,MORT_IDIO,CRT,CRT_SP_RISK:TBA_ALL:TBA_30YR:USD_TBA_OTM20_V620</v>
          </cell>
          <cell r="D3384" t="str">
            <v>Spread Duration</v>
          </cell>
          <cell r="E3384" t="str">
            <v>Spread Yield</v>
          </cell>
          <cell r="F3384" t="str">
            <v>Alternative</v>
          </cell>
          <cell r="G3384" t="str">
            <v>Other</v>
          </cell>
          <cell r="H3384" t="str">
            <v>ALTS</v>
          </cell>
          <cell r="I3384" t="str">
            <v>Mortgage - Moneyness</v>
          </cell>
        </row>
        <row r="3385">
          <cell r="A3385" t="str">
            <v>USD_TBA_OTM15_V620</v>
          </cell>
          <cell r="B3385" t="str">
            <v>TBA30 OTM150 V620</v>
          </cell>
          <cell r="C3385" t="str">
            <v>BRS_GOLD__5_SPREADS:BRS_GOLD__3_OTHER_SPREADS:BRS_GOLD__1_MTG,TBA_ALL,PAYUP,NONAGENCY,MORT_IDIO,CRT,CRT_SP_RISK:TBA_ALL:TBA_30YR:USD_TBA_OTM15_V620</v>
          </cell>
          <cell r="D3385" t="str">
            <v>Spread Duration</v>
          </cell>
          <cell r="E3385" t="str">
            <v>Spread Yield</v>
          </cell>
          <cell r="F3385" t="str">
            <v>Alternative</v>
          </cell>
          <cell r="G3385" t="str">
            <v>Other</v>
          </cell>
          <cell r="H3385" t="str">
            <v>ALTS</v>
          </cell>
          <cell r="I3385" t="str">
            <v>Mortgage - Moneyness</v>
          </cell>
        </row>
        <row r="3386">
          <cell r="A3386" t="str">
            <v>USD_TBA_OTM10_V620</v>
          </cell>
          <cell r="B3386" t="str">
            <v>TBA30 OTM100 V620</v>
          </cell>
          <cell r="C3386" t="str">
            <v>BRS_GOLD__5_SPREADS:BRS_GOLD__3_OTHER_SPREADS:BRS_GOLD__1_MTG,TBA_ALL,PAYUP,NONAGENCY,MORT_IDIO,CRT,CRT_SP_RISK:TBA_ALL:TBA_30YR:USD_TBA_OTM10_V620</v>
          </cell>
          <cell r="D3386" t="str">
            <v>Spread Duration</v>
          </cell>
          <cell r="E3386" t="str">
            <v>Spread Yield</v>
          </cell>
          <cell r="F3386" t="str">
            <v>Alternative</v>
          </cell>
          <cell r="G3386" t="str">
            <v>Other</v>
          </cell>
          <cell r="H3386" t="str">
            <v>ALTS</v>
          </cell>
          <cell r="I3386" t="str">
            <v>Mortgage - Moneyness</v>
          </cell>
        </row>
        <row r="3387">
          <cell r="A3387" t="str">
            <v>USD_TBA_OTM5_V620</v>
          </cell>
          <cell r="B3387" t="str">
            <v>TBA30 OTM50 V620</v>
          </cell>
          <cell r="C3387" t="str">
            <v>BRS_GOLD__5_SPREADS:BRS_GOLD__3_OTHER_SPREADS:BRS_GOLD__1_MTG,TBA_ALL,PAYUP,NONAGENCY,MORT_IDIO,CRT,CRT_SP_RISK:TBA_ALL:TBA_30YR:USD_TBA_OTM5_V620</v>
          </cell>
          <cell r="D3387" t="str">
            <v>Spread Duration</v>
          </cell>
          <cell r="E3387" t="str">
            <v>Spread Yield</v>
          </cell>
          <cell r="F3387" t="str">
            <v>Alternative</v>
          </cell>
          <cell r="G3387" t="str">
            <v>Other</v>
          </cell>
          <cell r="H3387" t="str">
            <v>ALTS</v>
          </cell>
          <cell r="I3387" t="str">
            <v>Mortgage - Moneyness</v>
          </cell>
        </row>
        <row r="3388">
          <cell r="A3388" t="str">
            <v>USD_TBA_ATM_V620</v>
          </cell>
          <cell r="B3388" t="str">
            <v>TBA30 ATM V620</v>
          </cell>
          <cell r="C3388" t="str">
            <v>BRS_GOLD__5_SPREADS:BRS_GOLD__3_OTHER_SPREADS:BRS_GOLD__1_MTG,TBA_ALL,PAYUP,NONAGENCY,MORT_IDIO,CRT,CRT_SP_RISK:TBA_ALL:TBA_30YR:USD_TBA_ATM_V620</v>
          </cell>
          <cell r="D3388" t="str">
            <v>Spread Duration</v>
          </cell>
          <cell r="E3388" t="str">
            <v>Spread Yield</v>
          </cell>
          <cell r="F3388" t="str">
            <v>Alternative</v>
          </cell>
          <cell r="G3388" t="str">
            <v>Other</v>
          </cell>
          <cell r="H3388" t="str">
            <v>ALTS</v>
          </cell>
          <cell r="I3388" t="str">
            <v>Mortgage - Moneyness</v>
          </cell>
        </row>
        <row r="3389">
          <cell r="A3389" t="str">
            <v>USD_TBA_ITM5_V620</v>
          </cell>
          <cell r="B3389" t="str">
            <v>TBA30 ITM50 V620</v>
          </cell>
          <cell r="C3389" t="str">
            <v>BRS_GOLD__5_SPREADS:BRS_GOLD__3_OTHER_SPREADS:BRS_GOLD__1_MTG,TBA_ALL,PAYUP,NONAGENCY,MORT_IDIO,CRT,CRT_SP_RISK:TBA_ALL:TBA_30YR:USD_TBA_ITM5_V620</v>
          </cell>
          <cell r="D3389" t="str">
            <v>Spread Duration</v>
          </cell>
          <cell r="E3389" t="str">
            <v>Spread Yield</v>
          </cell>
          <cell r="F3389" t="str">
            <v>Alternative</v>
          </cell>
          <cell r="G3389" t="str">
            <v>Other</v>
          </cell>
          <cell r="H3389" t="str">
            <v>ALTS</v>
          </cell>
          <cell r="I3389" t="str">
            <v>Mortgage - Moneyness</v>
          </cell>
        </row>
        <row r="3390">
          <cell r="A3390" t="str">
            <v>USD_TBA_ITM10_V620</v>
          </cell>
          <cell r="B3390" t="str">
            <v>TBA30 ITM100 V620</v>
          </cell>
          <cell r="C3390" t="str">
            <v>BRS_GOLD__5_SPREADS:BRS_GOLD__3_OTHER_SPREADS:BRS_GOLD__1_MTG,TBA_ALL,PAYUP,NONAGENCY,MORT_IDIO,CRT,CRT_SP_RISK:TBA_ALL:TBA_30YR:USD_TBA_ITM10_V620</v>
          </cell>
          <cell r="D3390" t="str">
            <v>Spread Duration</v>
          </cell>
          <cell r="E3390" t="str">
            <v>Spread Yield</v>
          </cell>
          <cell r="F3390" t="str">
            <v>Alternative</v>
          </cell>
          <cell r="G3390" t="str">
            <v>Other</v>
          </cell>
          <cell r="H3390" t="str">
            <v>ALTS</v>
          </cell>
          <cell r="I3390" t="str">
            <v>Mortgage - Moneyness</v>
          </cell>
        </row>
        <row r="3391">
          <cell r="A3391" t="str">
            <v>USD_TBA_ITM15_V620</v>
          </cell>
          <cell r="B3391" t="str">
            <v>TBA30 ITM150 V620</v>
          </cell>
          <cell r="C3391" t="str">
            <v>BRS_GOLD__5_SPREADS:BRS_GOLD__3_OTHER_SPREADS:BRS_GOLD__1_MTG,TBA_ALL,PAYUP,NONAGENCY,MORT_IDIO,CRT,CRT_SP_RISK:TBA_ALL:TBA_30YR:USD_TBA_ITM15_V620</v>
          </cell>
          <cell r="D3391" t="str">
            <v>Spread Duration</v>
          </cell>
          <cell r="E3391" t="str">
            <v>Spread Yield</v>
          </cell>
          <cell r="F3391" t="str">
            <v>Alternative</v>
          </cell>
          <cell r="G3391" t="str">
            <v>Other</v>
          </cell>
          <cell r="H3391" t="str">
            <v>ALTS</v>
          </cell>
          <cell r="I3391" t="str">
            <v>Mortgage - Moneyness</v>
          </cell>
        </row>
        <row r="3392">
          <cell r="A3392" t="str">
            <v>USD_TBA_ITM20_V620</v>
          </cell>
          <cell r="B3392" t="str">
            <v>TBA30 ITM200 V620</v>
          </cell>
          <cell r="C3392" t="str">
            <v>BRS_GOLD__5_SPREADS:BRS_GOLD__3_OTHER_SPREADS:BRS_GOLD__1_MTG,TBA_ALL,PAYUP,NONAGENCY,MORT_IDIO,CRT,CRT_SP_RISK:TBA_ALL:TBA_30YR:USD_TBA_ITM20_V620</v>
          </cell>
          <cell r="D3392" t="str">
            <v>Spread Duration</v>
          </cell>
          <cell r="E3392" t="str">
            <v>Spread Yield</v>
          </cell>
          <cell r="F3392" t="str">
            <v>Alternative</v>
          </cell>
          <cell r="G3392" t="str">
            <v>Other</v>
          </cell>
          <cell r="H3392" t="str">
            <v>ALTS</v>
          </cell>
          <cell r="I3392" t="str">
            <v>Mortgage - Moneyness</v>
          </cell>
        </row>
        <row r="3393">
          <cell r="A3393" t="str">
            <v>USD_TBA_ITM25_V620</v>
          </cell>
          <cell r="B3393" t="str">
            <v>TBA30 ITM250 V620</v>
          </cell>
          <cell r="C3393" t="str">
            <v>BRS_GOLD__5_SPREADS:BRS_GOLD__3_OTHER_SPREADS:BRS_GOLD__1_MTG,TBA_ALL,PAYUP,NONAGENCY,MORT_IDIO,CRT,CRT_SP_RISK:TBA_ALL:TBA_30YR:USD_TBA_ITM25_V620</v>
          </cell>
          <cell r="D3393" t="str">
            <v>Spread Duration</v>
          </cell>
          <cell r="E3393" t="str">
            <v>Spread Yield</v>
          </cell>
          <cell r="F3393" t="str">
            <v>Alternative</v>
          </cell>
          <cell r="G3393" t="str">
            <v>Other</v>
          </cell>
          <cell r="H3393" t="str">
            <v>ALTS</v>
          </cell>
          <cell r="I3393" t="str">
            <v>Mortgage - Moneyness</v>
          </cell>
        </row>
        <row r="3394">
          <cell r="A3394" t="str">
            <v>USD_TBA_ITM30_V620</v>
          </cell>
          <cell r="B3394" t="str">
            <v>TBA30 ITM300 V620</v>
          </cell>
          <cell r="C3394" t="str">
            <v>BRS_GOLD__5_SPREADS:BRS_GOLD__3_OTHER_SPREADS:BRS_GOLD__1_MTG,TBA_ALL,PAYUP,NONAGENCY,MORT_IDIO,CRT,CRT_SP_RISK:TBA_ALL:TBA_30YR:USD_TBA_ITM30_V620</v>
          </cell>
          <cell r="D3394" t="str">
            <v>Spread Duration</v>
          </cell>
          <cell r="E3394" t="str">
            <v>Spread Yield</v>
          </cell>
          <cell r="F3394" t="str">
            <v>Alternative</v>
          </cell>
          <cell r="G3394" t="str">
            <v>Other</v>
          </cell>
          <cell r="H3394" t="str">
            <v>ALTS</v>
          </cell>
          <cell r="I3394" t="str">
            <v>Mortgage - Moneyness</v>
          </cell>
        </row>
        <row r="3395">
          <cell r="A3395" t="str">
            <v>USD_TBA_ITM35_V620</v>
          </cell>
          <cell r="B3395" t="str">
            <v>TBA30 ITM350 V620</v>
          </cell>
          <cell r="C3395" t="str">
            <v>BRS_GOLD__5_SPREADS:BRS_GOLD__3_OTHER_SPREADS:BRS_GOLD__1_MTG,TBA_ALL,PAYUP,NONAGENCY,MORT_IDIO,CRT,CRT_SP_RISK:TBA_ALL:TBA_30YR:USD_TBA_ITM35_V620</v>
          </cell>
          <cell r="D3395" t="str">
            <v>Spread Duration</v>
          </cell>
          <cell r="E3395" t="str">
            <v>Spread Yield</v>
          </cell>
          <cell r="F3395" t="str">
            <v>Alternative</v>
          </cell>
          <cell r="G3395" t="str">
            <v>Other</v>
          </cell>
          <cell r="H3395" t="str">
            <v>ALTS</v>
          </cell>
          <cell r="I3395" t="str">
            <v>Mortgage - Moneyness</v>
          </cell>
        </row>
        <row r="3396">
          <cell r="A3396" t="str">
            <v>USD_TBA_OTM35_V620_E</v>
          </cell>
          <cell r="B3396" t="str">
            <v>TBA30 OTM350 V620</v>
          </cell>
          <cell r="C3396" t="str">
            <v>BRS_GOLD__5_SPREADS:BRS_GOLD__3_OTHER_SPREADS:BRS_GOLD__1_MTG,TBA_ALL,PAYUP,NONAGENCY,MORT_IDIO,CRT,CRT_SP_RISK:TBA_ALL:TBA_30YR:USD_TBA_OTM35_V620_E</v>
          </cell>
          <cell r="D3396" t="str">
            <v>Spread Duration</v>
          </cell>
          <cell r="E3396" t="str">
            <v>Spread Yield</v>
          </cell>
          <cell r="F3396" t="str">
            <v>Alternative</v>
          </cell>
          <cell r="G3396" t="str">
            <v>Other</v>
          </cell>
          <cell r="H3396" t="str">
            <v>ALTS</v>
          </cell>
          <cell r="I3396" t="str">
            <v>Mortgage - Moneyness</v>
          </cell>
        </row>
        <row r="3397">
          <cell r="A3397" t="str">
            <v>USD_TBA_OTM30_V620_E</v>
          </cell>
          <cell r="B3397" t="str">
            <v>TBA30 OTM300 V620</v>
          </cell>
          <cell r="C3397" t="str">
            <v>BRS_GOLD__5_SPREADS:BRS_GOLD__3_OTHER_SPREADS:BRS_GOLD__1_MTG,TBA_ALL,PAYUP,NONAGENCY,MORT_IDIO,CRT,CRT_SP_RISK:TBA_ALL:TBA_30YR:USD_TBA_OTM30_V620_E</v>
          </cell>
          <cell r="D3397" t="str">
            <v>Spread Duration</v>
          </cell>
          <cell r="E3397" t="str">
            <v>Spread Yield</v>
          </cell>
          <cell r="F3397" t="str">
            <v>Alternative</v>
          </cell>
          <cell r="G3397" t="str">
            <v>Other</v>
          </cell>
          <cell r="H3397" t="str">
            <v>ALTS</v>
          </cell>
          <cell r="I3397" t="str">
            <v>Mortgage - Moneyness</v>
          </cell>
        </row>
        <row r="3398">
          <cell r="A3398" t="str">
            <v>USD_TBA_OTM25_V620_E</v>
          </cell>
          <cell r="B3398" t="str">
            <v>TBA30 OTM250 V620</v>
          </cell>
          <cell r="C3398" t="str">
            <v>BRS_GOLD__5_SPREADS:BRS_GOLD__3_OTHER_SPREADS:BRS_GOLD__1_MTG,TBA_ALL,PAYUP,NONAGENCY,MORT_IDIO,CRT,CRT_SP_RISK:TBA_ALL:TBA_30YR:USD_TBA_OTM25_V620_E</v>
          </cell>
          <cell r="D3398" t="str">
            <v>Spread Duration</v>
          </cell>
          <cell r="E3398" t="str">
            <v>Spread Yield</v>
          </cell>
          <cell r="F3398" t="str">
            <v>Alternative</v>
          </cell>
          <cell r="G3398" t="str">
            <v>Other</v>
          </cell>
          <cell r="H3398" t="str">
            <v>ALTS</v>
          </cell>
          <cell r="I3398" t="str">
            <v>Mortgage - Moneyness</v>
          </cell>
        </row>
        <row r="3399">
          <cell r="A3399" t="str">
            <v>USD_TBA_OTM20_V620_E</v>
          </cell>
          <cell r="B3399" t="str">
            <v>TBA30 OTM200 V620</v>
          </cell>
          <cell r="C3399" t="str">
            <v>BRS_GOLD__5_SPREADS:BRS_GOLD__3_OTHER_SPREADS:BRS_GOLD__1_MTG,TBA_ALL,PAYUP,NONAGENCY,MORT_IDIO,CRT,CRT_SP_RISK:TBA_ALL:TBA_30YR:USD_TBA_OTM20_V620_E</v>
          </cell>
          <cell r="D3399" t="str">
            <v>Spread Duration</v>
          </cell>
          <cell r="E3399" t="str">
            <v>Spread Yield</v>
          </cell>
          <cell r="F3399" t="str">
            <v>Alternative</v>
          </cell>
          <cell r="G3399" t="str">
            <v>Other</v>
          </cell>
          <cell r="H3399" t="str">
            <v>ALTS</v>
          </cell>
          <cell r="I3399" t="str">
            <v>Mortgage - Moneyness</v>
          </cell>
        </row>
        <row r="3400">
          <cell r="A3400" t="str">
            <v>USD_TBA_OTM15_V620_E</v>
          </cell>
          <cell r="B3400" t="str">
            <v>TBA30 OTM150 V620</v>
          </cell>
          <cell r="C3400" t="str">
            <v>BRS_GOLD__5_SPREADS:BRS_GOLD__3_OTHER_SPREADS:BRS_GOLD__1_MTG,TBA_ALL,PAYUP,NONAGENCY,MORT_IDIO,CRT,CRT_SP_RISK:TBA_ALL:TBA_30YR:USD_TBA_OTM15_V620_E</v>
          </cell>
          <cell r="D3400" t="str">
            <v>Spread Duration</v>
          </cell>
          <cell r="E3400" t="str">
            <v>Spread Yield</v>
          </cell>
          <cell r="F3400" t="str">
            <v>Alternative</v>
          </cell>
          <cell r="G3400" t="str">
            <v>Other</v>
          </cell>
          <cell r="H3400" t="str">
            <v>ALTS</v>
          </cell>
          <cell r="I3400" t="str">
            <v>Mortgage - Moneyness</v>
          </cell>
        </row>
        <row r="3401">
          <cell r="A3401" t="str">
            <v>USD_TBA_OTM10_V620_E</v>
          </cell>
          <cell r="B3401" t="str">
            <v>TBA30 OTM100 V620</v>
          </cell>
          <cell r="C3401" t="str">
            <v>BRS_GOLD__5_SPREADS:BRS_GOLD__3_OTHER_SPREADS:BRS_GOLD__1_MTG,TBA_ALL,PAYUP,NONAGENCY,MORT_IDIO,CRT,CRT_SP_RISK:TBA_ALL:TBA_30YR:USD_TBA_OTM10_V620_E</v>
          </cell>
          <cell r="D3401" t="str">
            <v>Spread Duration</v>
          </cell>
          <cell r="E3401" t="str">
            <v>Spread Yield</v>
          </cell>
          <cell r="F3401" t="str">
            <v>Alternative</v>
          </cell>
          <cell r="G3401" t="str">
            <v>Other</v>
          </cell>
          <cell r="H3401" t="str">
            <v>ALTS</v>
          </cell>
          <cell r="I3401" t="str">
            <v>Mortgage - Moneyness</v>
          </cell>
        </row>
        <row r="3402">
          <cell r="A3402" t="str">
            <v>USD_TBA_OTM5_V620_E</v>
          </cell>
          <cell r="B3402" t="str">
            <v>TBA30 OTM50 V620</v>
          </cell>
          <cell r="C3402" t="str">
            <v>BRS_GOLD__5_SPREADS:BRS_GOLD__3_OTHER_SPREADS:BRS_GOLD__1_MTG,TBA_ALL,PAYUP,NONAGENCY,MORT_IDIO,CRT,CRT_SP_RISK:TBA_ALL:TBA_30YR:USD_TBA_OTM5_V620_E</v>
          </cell>
          <cell r="D3402" t="str">
            <v>Spread Duration</v>
          </cell>
          <cell r="E3402" t="str">
            <v>Spread Yield</v>
          </cell>
          <cell r="F3402" t="str">
            <v>Alternative</v>
          </cell>
          <cell r="G3402" t="str">
            <v>Other</v>
          </cell>
          <cell r="H3402" t="str">
            <v>ALTS</v>
          </cell>
          <cell r="I3402" t="str">
            <v>Mortgage - Moneyness</v>
          </cell>
        </row>
        <row r="3403">
          <cell r="A3403" t="str">
            <v>USD_TBA_ATM_V620_E</v>
          </cell>
          <cell r="B3403" t="str">
            <v>TBA30 ATM V620</v>
          </cell>
          <cell r="C3403" t="str">
            <v>BRS_GOLD__5_SPREADS:BRS_GOLD__3_OTHER_SPREADS:BRS_GOLD__1_MTG,TBA_ALL,PAYUP,NONAGENCY,MORT_IDIO,CRT,CRT_SP_RISK:TBA_ALL:TBA_30YR:USD_TBA_ATM_V620_E</v>
          </cell>
          <cell r="D3403" t="str">
            <v>Spread Duration</v>
          </cell>
          <cell r="E3403" t="str">
            <v>Spread Yield</v>
          </cell>
          <cell r="F3403" t="str">
            <v>Alternative</v>
          </cell>
          <cell r="G3403" t="str">
            <v>Other</v>
          </cell>
          <cell r="H3403" t="str">
            <v>ALTS</v>
          </cell>
          <cell r="I3403" t="str">
            <v>Mortgage - Moneyness</v>
          </cell>
        </row>
        <row r="3404">
          <cell r="A3404" t="str">
            <v>USD_TBA_ITM5_V620_E</v>
          </cell>
          <cell r="B3404" t="str">
            <v>TBA30 ITM50 V620</v>
          </cell>
          <cell r="C3404" t="str">
            <v>BRS_GOLD__5_SPREADS:BRS_GOLD__3_OTHER_SPREADS:BRS_GOLD__1_MTG,TBA_ALL,PAYUP,NONAGENCY,MORT_IDIO,CRT,CRT_SP_RISK:TBA_ALL:TBA_30YR:USD_TBA_ITM5_V620_E</v>
          </cell>
          <cell r="D3404" t="str">
            <v>Spread Duration</v>
          </cell>
          <cell r="E3404" t="str">
            <v>Spread Yield</v>
          </cell>
          <cell r="F3404" t="str">
            <v>Alternative</v>
          </cell>
          <cell r="G3404" t="str">
            <v>Other</v>
          </cell>
          <cell r="H3404" t="str">
            <v>ALTS</v>
          </cell>
          <cell r="I3404" t="str">
            <v>Mortgage - Moneyness</v>
          </cell>
        </row>
        <row r="3405">
          <cell r="A3405" t="str">
            <v>USD_TBA_ITM10_V620_E</v>
          </cell>
          <cell r="B3405" t="str">
            <v>TBA30 ITM100 V620</v>
          </cell>
          <cell r="C3405" t="str">
            <v>BRS_GOLD__5_SPREADS:BRS_GOLD__3_OTHER_SPREADS:BRS_GOLD__1_MTG,TBA_ALL,PAYUP,NONAGENCY,MORT_IDIO,CRT,CRT_SP_RISK:TBA_ALL:TBA_30YR:USD_TBA_ITM10_V620_E</v>
          </cell>
          <cell r="D3405" t="str">
            <v>Spread Duration</v>
          </cell>
          <cell r="E3405" t="str">
            <v>Spread Yield</v>
          </cell>
          <cell r="F3405" t="str">
            <v>Alternative</v>
          </cell>
          <cell r="G3405" t="str">
            <v>Other</v>
          </cell>
          <cell r="H3405" t="str">
            <v>ALTS</v>
          </cell>
          <cell r="I3405" t="str">
            <v>Mortgage - Moneyness</v>
          </cell>
        </row>
        <row r="3406">
          <cell r="A3406" t="str">
            <v>USD_TBA_ITM15_V620_E</v>
          </cell>
          <cell r="B3406" t="str">
            <v>TBA30 ITM150 V620</v>
          </cell>
          <cell r="C3406" t="str">
            <v>BRS_GOLD__5_SPREADS:BRS_GOLD__3_OTHER_SPREADS:BRS_GOLD__1_MTG,TBA_ALL,PAYUP,NONAGENCY,MORT_IDIO,CRT,CRT_SP_RISK:TBA_ALL:TBA_30YR:USD_TBA_ITM15_V620_E</v>
          </cell>
          <cell r="D3406" t="str">
            <v>Spread Duration</v>
          </cell>
          <cell r="E3406" t="str">
            <v>Spread Yield</v>
          </cell>
          <cell r="F3406" t="str">
            <v>Alternative</v>
          </cell>
          <cell r="G3406" t="str">
            <v>Other</v>
          </cell>
          <cell r="H3406" t="str">
            <v>ALTS</v>
          </cell>
          <cell r="I3406" t="str">
            <v>Mortgage - Moneyness</v>
          </cell>
        </row>
        <row r="3407">
          <cell r="A3407" t="str">
            <v>USD_TBA_ITM20_V620_E</v>
          </cell>
          <cell r="B3407" t="str">
            <v>TBA30 ITM200 V620</v>
          </cell>
          <cell r="C3407" t="str">
            <v>BRS_GOLD__5_SPREADS:BRS_GOLD__3_OTHER_SPREADS:BRS_GOLD__1_MTG,TBA_ALL,PAYUP,NONAGENCY,MORT_IDIO,CRT,CRT_SP_RISK:TBA_ALL:TBA_30YR:USD_TBA_ITM20_V620_E</v>
          </cell>
          <cell r="D3407" t="str">
            <v>Spread Duration</v>
          </cell>
          <cell r="E3407" t="str">
            <v>Spread Yield</v>
          </cell>
          <cell r="F3407" t="str">
            <v>Alternative</v>
          </cell>
          <cell r="G3407" t="str">
            <v>Other</v>
          </cell>
          <cell r="H3407" t="str">
            <v>ALTS</v>
          </cell>
          <cell r="I3407" t="str">
            <v>Mortgage - Moneyness</v>
          </cell>
        </row>
        <row r="3408">
          <cell r="A3408" t="str">
            <v>USD_TBA_ITM25_V620_E</v>
          </cell>
          <cell r="B3408" t="str">
            <v>TBA30 ITM250 V620</v>
          </cell>
          <cell r="C3408" t="str">
            <v>BRS_GOLD__5_SPREADS:BRS_GOLD__3_OTHER_SPREADS:BRS_GOLD__1_MTG,TBA_ALL,PAYUP,NONAGENCY,MORT_IDIO,CRT,CRT_SP_RISK:TBA_ALL:TBA_30YR:USD_TBA_ITM25_V620_E</v>
          </cell>
          <cell r="D3408" t="str">
            <v>Spread Duration</v>
          </cell>
          <cell r="E3408" t="str">
            <v>Spread Yield</v>
          </cell>
          <cell r="F3408" t="str">
            <v>Alternative</v>
          </cell>
          <cell r="G3408" t="str">
            <v>Other</v>
          </cell>
          <cell r="H3408" t="str">
            <v>ALTS</v>
          </cell>
          <cell r="I3408" t="str">
            <v>Mortgage - Moneyness</v>
          </cell>
        </row>
        <row r="3409">
          <cell r="A3409" t="str">
            <v>USD_TBA_ITM30_V620_E</v>
          </cell>
          <cell r="B3409" t="str">
            <v>TBA30 ITM300 V620</v>
          </cell>
          <cell r="C3409" t="str">
            <v>BRS_GOLD__5_SPREADS:BRS_GOLD__3_OTHER_SPREADS:BRS_GOLD__1_MTG,TBA_ALL,PAYUP,NONAGENCY,MORT_IDIO,CRT,CRT_SP_RISK:TBA_ALL:TBA_30YR:USD_TBA_ITM30_V620_E</v>
          </cell>
          <cell r="D3409" t="str">
            <v>Spread Duration</v>
          </cell>
          <cell r="E3409" t="str">
            <v>Spread Yield</v>
          </cell>
          <cell r="F3409" t="str">
            <v>Alternative</v>
          </cell>
          <cell r="G3409" t="str">
            <v>Other</v>
          </cell>
          <cell r="H3409" t="str">
            <v>ALTS</v>
          </cell>
          <cell r="I3409" t="str">
            <v>Mortgage - Moneyness</v>
          </cell>
        </row>
        <row r="3410">
          <cell r="A3410" t="str">
            <v>USD_TBA_ITM35_V620_E</v>
          </cell>
          <cell r="B3410" t="str">
            <v>TBA30 ITM350 V620</v>
          </cell>
          <cell r="C3410" t="str">
            <v>BRS_GOLD__5_SPREADS:BRS_GOLD__3_OTHER_SPREADS:BRS_GOLD__1_MTG,TBA_ALL,PAYUP,NONAGENCY,MORT_IDIO,CRT,CRT_SP_RISK:TBA_ALL:TBA_30YR:USD_TBA_ITM35_V620_E</v>
          </cell>
          <cell r="D3410" t="str">
            <v>Spread Duration</v>
          </cell>
          <cell r="E3410" t="str">
            <v>Spread Yield</v>
          </cell>
          <cell r="F3410" t="str">
            <v>Alternative</v>
          </cell>
          <cell r="G3410" t="str">
            <v>Other</v>
          </cell>
          <cell r="H3410" t="str">
            <v>ALTS</v>
          </cell>
          <cell r="I3410" t="str">
            <v>Mortgage - Moneyness</v>
          </cell>
        </row>
        <row r="3411">
          <cell r="A3411" t="str">
            <v>USD_TBA_GN_OTM35_V610</v>
          </cell>
          <cell r="B3411" t="str">
            <v>TBA GN OTM350 V610</v>
          </cell>
          <cell r="C3411" t="str">
            <v>BRS_GOLD__5_SPREADS:BRS_GOLD__3_OTHER_SPREADS:BRS_GOLD__1_MTG,TBA_ALL,PAYUP,NONAGENCY,MORT_IDIO,CRT,CRT_SP_RISK:TBA_ALL:TBA_30YR:USD_TBA_GN_OTM35_V610</v>
          </cell>
          <cell r="D3411" t="str">
            <v>Spread Duration</v>
          </cell>
          <cell r="E3411" t="str">
            <v>Spread Yield</v>
          </cell>
          <cell r="F3411" t="str">
            <v>Alternative</v>
          </cell>
          <cell r="G3411" t="str">
            <v>Other</v>
          </cell>
          <cell r="H3411" t="str">
            <v>ALTS</v>
          </cell>
          <cell r="I3411" t="str">
            <v>Mortgage - Moneyness</v>
          </cell>
        </row>
        <row r="3412">
          <cell r="A3412" t="str">
            <v>USD_TBA_GN_OTM30_V610</v>
          </cell>
          <cell r="B3412" t="str">
            <v>TBA GN OTM300 V610</v>
          </cell>
          <cell r="C3412" t="str">
            <v>BRS_GOLD__5_SPREADS:BRS_GOLD__3_OTHER_SPREADS:BRS_GOLD__1_MTG,TBA_ALL,PAYUP,NONAGENCY,MORT_IDIO,CRT,CRT_SP_RISK:TBA_ALL:TBA_30YR:USD_TBA_GN_OTM30_V610</v>
          </cell>
          <cell r="D3412" t="str">
            <v>Spread Duration</v>
          </cell>
          <cell r="E3412" t="str">
            <v>Spread Yield</v>
          </cell>
          <cell r="F3412" t="str">
            <v>Alternative</v>
          </cell>
          <cell r="G3412" t="str">
            <v>Other</v>
          </cell>
          <cell r="H3412" t="str">
            <v>ALTS</v>
          </cell>
          <cell r="I3412" t="str">
            <v>Mortgage - Moneyness</v>
          </cell>
        </row>
        <row r="3413">
          <cell r="A3413" t="str">
            <v>USD_TBA_GN_OTM25_V610</v>
          </cell>
          <cell r="B3413" t="str">
            <v>TBA GN OTM250 V610</v>
          </cell>
          <cell r="C3413" t="str">
            <v>BRS_GOLD__5_SPREADS:BRS_GOLD__3_OTHER_SPREADS:BRS_GOLD__1_MTG,TBA_ALL,PAYUP,NONAGENCY,MORT_IDIO,CRT,CRT_SP_RISK:TBA_ALL:TBA_30YR:USD_TBA_GN_OTM25_V610</v>
          </cell>
          <cell r="D3413" t="str">
            <v>Spread Duration</v>
          </cell>
          <cell r="E3413" t="str">
            <v>Spread Yield</v>
          </cell>
          <cell r="F3413" t="str">
            <v>Alternative</v>
          </cell>
          <cell r="G3413" t="str">
            <v>Other</v>
          </cell>
          <cell r="H3413" t="str">
            <v>ALTS</v>
          </cell>
          <cell r="I3413" t="str">
            <v>Mortgage - Moneyness</v>
          </cell>
        </row>
        <row r="3414">
          <cell r="A3414" t="str">
            <v>USD_TBA_GN_OTM20_V610</v>
          </cell>
          <cell r="B3414" t="str">
            <v>TBA GN OTM200 V610</v>
          </cell>
          <cell r="C3414" t="str">
            <v>BRS_GOLD__5_SPREADS:BRS_GOLD__3_OTHER_SPREADS:BRS_GOLD__1_MTG,TBA_ALL,PAYUP,NONAGENCY,MORT_IDIO,CRT,CRT_SP_RISK:TBA_ALL:TBA_30YR:USD_TBA_GN_OTM20_V610</v>
          </cell>
          <cell r="D3414" t="str">
            <v>Spread Duration</v>
          </cell>
          <cell r="E3414" t="str">
            <v>Spread Yield</v>
          </cell>
          <cell r="F3414" t="str">
            <v>Alternative</v>
          </cell>
          <cell r="G3414" t="str">
            <v>Other</v>
          </cell>
          <cell r="H3414" t="str">
            <v>ALTS</v>
          </cell>
          <cell r="I3414" t="str">
            <v>Mortgage - Moneyness</v>
          </cell>
        </row>
        <row r="3415">
          <cell r="A3415" t="str">
            <v>USD_TBA_GN_OTM15_V610</v>
          </cell>
          <cell r="B3415" t="str">
            <v>TBA GN OTM150 V610</v>
          </cell>
          <cell r="C3415" t="str">
            <v>BRS_GOLD__5_SPREADS:BRS_GOLD__3_OTHER_SPREADS:BRS_GOLD__1_MTG,TBA_ALL,PAYUP,NONAGENCY,MORT_IDIO,CRT,CRT_SP_RISK:TBA_ALL:TBA_30YR:USD_TBA_GN_OTM15_V610</v>
          </cell>
          <cell r="D3415" t="str">
            <v>Spread Duration</v>
          </cell>
          <cell r="E3415" t="str">
            <v>Spread Yield</v>
          </cell>
          <cell r="F3415" t="str">
            <v>Alternative</v>
          </cell>
          <cell r="G3415" t="str">
            <v>Other</v>
          </cell>
          <cell r="H3415" t="str">
            <v>ALTS</v>
          </cell>
          <cell r="I3415" t="str">
            <v>Mortgage - Moneyness</v>
          </cell>
        </row>
        <row r="3416">
          <cell r="A3416" t="str">
            <v>USD_TBA_GN_OTM10_V610</v>
          </cell>
          <cell r="B3416" t="str">
            <v>TBA GN OTM100 V610</v>
          </cell>
          <cell r="C3416" t="str">
            <v>BRS_GOLD__5_SPREADS:BRS_GOLD__3_OTHER_SPREADS:BRS_GOLD__1_MTG,TBA_ALL,PAYUP,NONAGENCY,MORT_IDIO,CRT,CRT_SP_RISK:TBA_ALL:TBA_30YR:USD_TBA_GN_OTM10_V610</v>
          </cell>
          <cell r="D3416" t="str">
            <v>Spread Duration</v>
          </cell>
          <cell r="E3416" t="str">
            <v>Spread Yield</v>
          </cell>
          <cell r="F3416" t="str">
            <v>Alternative</v>
          </cell>
          <cell r="G3416" t="str">
            <v>Other</v>
          </cell>
          <cell r="H3416" t="str">
            <v>ALTS</v>
          </cell>
          <cell r="I3416" t="str">
            <v>Mortgage - Moneyness</v>
          </cell>
        </row>
        <row r="3417">
          <cell r="A3417" t="str">
            <v>USD_TBA_GN_OTM5_V610</v>
          </cell>
          <cell r="B3417" t="str">
            <v>TBA GN OTM50 V610</v>
          </cell>
          <cell r="C3417" t="str">
            <v>BRS_GOLD__5_SPREADS:BRS_GOLD__3_OTHER_SPREADS:BRS_GOLD__1_MTG,TBA_ALL,PAYUP,NONAGENCY,MORT_IDIO,CRT,CRT_SP_RISK:TBA_ALL:TBA_30YR:USD_TBA_GN_OTM5_V610</v>
          </cell>
          <cell r="D3417" t="str">
            <v>Spread Duration</v>
          </cell>
          <cell r="E3417" t="str">
            <v>Spread Yield</v>
          </cell>
          <cell r="F3417" t="str">
            <v>Alternative</v>
          </cell>
          <cell r="G3417" t="str">
            <v>Other</v>
          </cell>
          <cell r="H3417" t="str">
            <v>ALTS</v>
          </cell>
          <cell r="I3417" t="str">
            <v>Mortgage - Moneyness</v>
          </cell>
        </row>
        <row r="3418">
          <cell r="A3418" t="str">
            <v>USD_TBA_GN_ATM_V610</v>
          </cell>
          <cell r="B3418" t="str">
            <v>TBA GN ATM V610</v>
          </cell>
          <cell r="C3418" t="str">
            <v>BRS_GOLD__5_SPREADS:BRS_GOLD__3_OTHER_SPREADS:BRS_GOLD__1_MTG,TBA_ALL,PAYUP,NONAGENCY,MORT_IDIO,CRT,CRT_SP_RISK:TBA_ALL:TBA_30YR:USD_TBA_GN_ATM_V610</v>
          </cell>
          <cell r="D3418" t="str">
            <v>Spread Duration</v>
          </cell>
          <cell r="E3418" t="str">
            <v>Spread Yield</v>
          </cell>
          <cell r="F3418" t="str">
            <v>Alternative</v>
          </cell>
          <cell r="G3418" t="str">
            <v>Other</v>
          </cell>
          <cell r="H3418" t="str">
            <v>ALTS</v>
          </cell>
          <cell r="I3418" t="str">
            <v>Mortgage - Moneyness</v>
          </cell>
        </row>
        <row r="3419">
          <cell r="A3419" t="str">
            <v>USD_TBA_GN_ITM5_V610</v>
          </cell>
          <cell r="B3419" t="str">
            <v>TBA GN ITM50 V610</v>
          </cell>
          <cell r="C3419" t="str">
            <v>BRS_GOLD__5_SPREADS:BRS_GOLD__3_OTHER_SPREADS:BRS_GOLD__1_MTG,TBA_ALL,PAYUP,NONAGENCY,MORT_IDIO,CRT,CRT_SP_RISK:TBA_ALL:TBA_30YR:USD_TBA_GN_ITM5_V610</v>
          </cell>
          <cell r="D3419" t="str">
            <v>Spread Duration</v>
          </cell>
          <cell r="E3419" t="str">
            <v>Spread Yield</v>
          </cell>
          <cell r="F3419" t="str">
            <v>Alternative</v>
          </cell>
          <cell r="G3419" t="str">
            <v>Other</v>
          </cell>
          <cell r="H3419" t="str">
            <v>ALTS</v>
          </cell>
          <cell r="I3419" t="str">
            <v>Mortgage - Moneyness</v>
          </cell>
        </row>
        <row r="3420">
          <cell r="A3420" t="str">
            <v>USD_TBA_GN_ITM10_V610</v>
          </cell>
          <cell r="B3420" t="str">
            <v>TBA GN ITM100 V610</v>
          </cell>
          <cell r="C3420" t="str">
            <v>BRS_GOLD__5_SPREADS:BRS_GOLD__3_OTHER_SPREADS:BRS_GOLD__1_MTG,TBA_ALL,PAYUP,NONAGENCY,MORT_IDIO,CRT,CRT_SP_RISK:TBA_ALL:TBA_30YR:USD_TBA_GN_ITM10_V610</v>
          </cell>
          <cell r="D3420" t="str">
            <v>Spread Duration</v>
          </cell>
          <cell r="E3420" t="str">
            <v>Spread Yield</v>
          </cell>
          <cell r="F3420" t="str">
            <v>Alternative</v>
          </cell>
          <cell r="G3420" t="str">
            <v>Other</v>
          </cell>
          <cell r="H3420" t="str">
            <v>ALTS</v>
          </cell>
          <cell r="I3420" t="str">
            <v>Mortgage - Moneyness</v>
          </cell>
        </row>
        <row r="3421">
          <cell r="A3421" t="str">
            <v>USD_TBA_GN_ITM15_V610</v>
          </cell>
          <cell r="B3421" t="str">
            <v>TBA GN ITM150 V610</v>
          </cell>
          <cell r="C3421" t="str">
            <v>BRS_GOLD__5_SPREADS:BRS_GOLD__3_OTHER_SPREADS:BRS_GOLD__1_MTG,TBA_ALL,PAYUP,NONAGENCY,MORT_IDIO,CRT,CRT_SP_RISK:TBA_ALL:TBA_30YR:USD_TBA_GN_ITM15_V610</v>
          </cell>
          <cell r="D3421" t="str">
            <v>Spread Duration</v>
          </cell>
          <cell r="E3421" t="str">
            <v>Spread Yield</v>
          </cell>
          <cell r="F3421" t="str">
            <v>Alternative</v>
          </cell>
          <cell r="G3421" t="str">
            <v>Other</v>
          </cell>
          <cell r="H3421" t="str">
            <v>ALTS</v>
          </cell>
          <cell r="I3421" t="str">
            <v>Mortgage - Moneyness</v>
          </cell>
        </row>
        <row r="3422">
          <cell r="A3422" t="str">
            <v>USD_TBA_GN_ITM20_V610</v>
          </cell>
          <cell r="B3422" t="str">
            <v>TBA GN ITM200 V610</v>
          </cell>
          <cell r="C3422" t="str">
            <v>BRS_GOLD__5_SPREADS:BRS_GOLD__3_OTHER_SPREADS:BRS_GOLD__1_MTG,TBA_ALL,PAYUP,NONAGENCY,MORT_IDIO,CRT,CRT_SP_RISK:TBA_ALL:TBA_30YR:USD_TBA_GN_ITM20_V610</v>
          </cell>
          <cell r="D3422" t="str">
            <v>Spread Duration</v>
          </cell>
          <cell r="E3422" t="str">
            <v>Spread Yield</v>
          </cell>
          <cell r="F3422" t="str">
            <v>Alternative</v>
          </cell>
          <cell r="G3422" t="str">
            <v>Other</v>
          </cell>
          <cell r="H3422" t="str">
            <v>ALTS</v>
          </cell>
          <cell r="I3422" t="str">
            <v>Mortgage - Moneyness</v>
          </cell>
        </row>
        <row r="3423">
          <cell r="A3423" t="str">
            <v>USD_TBA_GN_ITM25_V610</v>
          </cell>
          <cell r="B3423" t="str">
            <v>TBA GN ITM250 V610</v>
          </cell>
          <cell r="C3423" t="str">
            <v>BRS_GOLD__5_SPREADS:BRS_GOLD__3_OTHER_SPREADS:BRS_GOLD__1_MTG,TBA_ALL,PAYUP,NONAGENCY,MORT_IDIO,CRT,CRT_SP_RISK:TBA_ALL:TBA_30YR:USD_TBA_GN_ITM25_V610</v>
          </cell>
          <cell r="D3423" t="str">
            <v>Spread Duration</v>
          </cell>
          <cell r="E3423" t="str">
            <v>Spread Yield</v>
          </cell>
          <cell r="F3423" t="str">
            <v>Alternative</v>
          </cell>
          <cell r="G3423" t="str">
            <v>Other</v>
          </cell>
          <cell r="H3423" t="str">
            <v>ALTS</v>
          </cell>
          <cell r="I3423" t="str">
            <v>Mortgage - Moneyness</v>
          </cell>
        </row>
        <row r="3424">
          <cell r="A3424" t="str">
            <v>USD_TBA_GN_ITM30_V610</v>
          </cell>
          <cell r="B3424" t="str">
            <v>TBA GN ITM300 V610</v>
          </cell>
          <cell r="C3424" t="str">
            <v>BRS_GOLD__5_SPREADS:BRS_GOLD__3_OTHER_SPREADS:BRS_GOLD__1_MTG,TBA_ALL,PAYUP,NONAGENCY,MORT_IDIO,CRT,CRT_SP_RISK:TBA_ALL:TBA_30YR:USD_TBA_GN_ITM30_V610</v>
          </cell>
          <cell r="D3424" t="str">
            <v>Spread Duration</v>
          </cell>
          <cell r="E3424" t="str">
            <v>Spread Yield</v>
          </cell>
          <cell r="F3424" t="str">
            <v>Alternative</v>
          </cell>
          <cell r="G3424" t="str">
            <v>Other</v>
          </cell>
          <cell r="H3424" t="str">
            <v>ALTS</v>
          </cell>
          <cell r="I3424" t="str">
            <v>Mortgage - Moneyness</v>
          </cell>
        </row>
        <row r="3425">
          <cell r="A3425" t="str">
            <v>USD_TBA_GN_ITM35_V610</v>
          </cell>
          <cell r="B3425" t="str">
            <v>TBA GN ITM350 V610</v>
          </cell>
          <cell r="C3425" t="str">
            <v>BRS_GOLD__5_SPREADS:BRS_GOLD__3_OTHER_SPREADS:BRS_GOLD__1_MTG,TBA_ALL,PAYUP,NONAGENCY,MORT_IDIO,CRT,CRT_SP_RISK:TBA_ALL:TBA_30YR:USD_TBA_GN_ITM35_V610</v>
          </cell>
          <cell r="D3425" t="str">
            <v>Spread Duration</v>
          </cell>
          <cell r="E3425" t="str">
            <v>Spread Yield</v>
          </cell>
          <cell r="F3425" t="str">
            <v>Alternative</v>
          </cell>
          <cell r="G3425" t="str">
            <v>Other</v>
          </cell>
          <cell r="H3425" t="str">
            <v>ALTS</v>
          </cell>
          <cell r="I3425" t="str">
            <v>Mortgage - Moneyness</v>
          </cell>
        </row>
        <row r="3426">
          <cell r="A3426" t="str">
            <v>USD_TBA_GN_OTM35_V610_E</v>
          </cell>
          <cell r="B3426" t="str">
            <v>TBA GN OTM350 V610</v>
          </cell>
          <cell r="C3426" t="str">
            <v>BRS_GOLD__5_SPREADS:BRS_GOLD__3_OTHER_SPREADS:BRS_GOLD__1_MTG,TBA_ALL,PAYUP,NONAGENCY,MORT_IDIO,CRT,CRT_SP_RISK:TBA_ALL:TBA_30YR:USD_TBA_GN_OTM35_V610_E</v>
          </cell>
          <cell r="D3426" t="str">
            <v>Spread Duration</v>
          </cell>
          <cell r="E3426" t="str">
            <v>Spread Yield</v>
          </cell>
          <cell r="F3426" t="str">
            <v>Alternative</v>
          </cell>
          <cell r="G3426" t="str">
            <v>Other</v>
          </cell>
          <cell r="H3426" t="str">
            <v>ALTS</v>
          </cell>
          <cell r="I3426" t="str">
            <v>Mortgage - Moneyness</v>
          </cell>
        </row>
        <row r="3427">
          <cell r="A3427" t="str">
            <v>USD_TBA_GN_OTM30_V610_E</v>
          </cell>
          <cell r="B3427" t="str">
            <v>TBA GN OTM300 V610</v>
          </cell>
          <cell r="C3427" t="str">
            <v>BRS_GOLD__5_SPREADS:BRS_GOLD__3_OTHER_SPREADS:BRS_GOLD__1_MTG,TBA_ALL,PAYUP,NONAGENCY,MORT_IDIO,CRT,CRT_SP_RISK:TBA_ALL:TBA_30YR:USD_TBA_GN_OTM30_V610_E</v>
          </cell>
          <cell r="D3427" t="str">
            <v>Spread Duration</v>
          </cell>
          <cell r="E3427" t="str">
            <v>Spread Yield</v>
          </cell>
          <cell r="F3427" t="str">
            <v>Alternative</v>
          </cell>
          <cell r="G3427" t="str">
            <v>Other</v>
          </cell>
          <cell r="H3427" t="str">
            <v>ALTS</v>
          </cell>
          <cell r="I3427" t="str">
            <v>Mortgage - Moneyness</v>
          </cell>
        </row>
        <row r="3428">
          <cell r="A3428" t="str">
            <v>USD_TBA_GN_OTM25_V610_E</v>
          </cell>
          <cell r="B3428" t="str">
            <v>TBA GN OTM250 V610</v>
          </cell>
          <cell r="C3428" t="str">
            <v>BRS_GOLD__5_SPREADS:BRS_GOLD__3_OTHER_SPREADS:BRS_GOLD__1_MTG,TBA_ALL,PAYUP,NONAGENCY,MORT_IDIO,CRT,CRT_SP_RISK:TBA_ALL:TBA_30YR:USD_TBA_GN_OTM25_V610_E</v>
          </cell>
          <cell r="D3428" t="str">
            <v>Spread Duration</v>
          </cell>
          <cell r="E3428" t="str">
            <v>Spread Yield</v>
          </cell>
          <cell r="F3428" t="str">
            <v>Alternative</v>
          </cell>
          <cell r="G3428" t="str">
            <v>Other</v>
          </cell>
          <cell r="H3428" t="str">
            <v>ALTS</v>
          </cell>
          <cell r="I3428" t="str">
            <v>Mortgage - Moneyness</v>
          </cell>
        </row>
        <row r="3429">
          <cell r="A3429" t="str">
            <v>USD_TBA_GN_OTM20_V610_E</v>
          </cell>
          <cell r="B3429" t="str">
            <v>TBA GN OTM200 V610</v>
          </cell>
          <cell r="C3429" t="str">
            <v>BRS_GOLD__5_SPREADS:BRS_GOLD__3_OTHER_SPREADS:BRS_GOLD__1_MTG,TBA_ALL,PAYUP,NONAGENCY,MORT_IDIO,CRT,CRT_SP_RISK:TBA_ALL:TBA_30YR:USD_TBA_GN_OTM20_V610_E</v>
          </cell>
          <cell r="D3429" t="str">
            <v>Spread Duration</v>
          </cell>
          <cell r="E3429" t="str">
            <v>Spread Yield</v>
          </cell>
          <cell r="F3429" t="str">
            <v>Alternative</v>
          </cell>
          <cell r="G3429" t="str">
            <v>Other</v>
          </cell>
          <cell r="H3429" t="str">
            <v>ALTS</v>
          </cell>
          <cell r="I3429" t="str">
            <v>Mortgage - Moneyness</v>
          </cell>
        </row>
        <row r="3430">
          <cell r="A3430" t="str">
            <v>USD_TBA_GN_OTM15_V610_E</v>
          </cell>
          <cell r="B3430" t="str">
            <v>TBA GN OTM150 V610</v>
          </cell>
          <cell r="C3430" t="str">
            <v>BRS_GOLD__5_SPREADS:BRS_GOLD__3_OTHER_SPREADS:BRS_GOLD__1_MTG,TBA_ALL,PAYUP,NONAGENCY,MORT_IDIO,CRT,CRT_SP_RISK:TBA_ALL:TBA_30YR:USD_TBA_GN_OTM15_V610_E</v>
          </cell>
          <cell r="D3430" t="str">
            <v>Spread Duration</v>
          </cell>
          <cell r="E3430" t="str">
            <v>Spread Yield</v>
          </cell>
          <cell r="F3430" t="str">
            <v>Alternative</v>
          </cell>
          <cell r="G3430" t="str">
            <v>Other</v>
          </cell>
          <cell r="H3430" t="str">
            <v>ALTS</v>
          </cell>
          <cell r="I3430" t="str">
            <v>Mortgage - Moneyness</v>
          </cell>
        </row>
        <row r="3431">
          <cell r="A3431" t="str">
            <v>USD_TBA_GN_OTM10_V610_E</v>
          </cell>
          <cell r="B3431" t="str">
            <v>TBA GN OTM100 V610</v>
          </cell>
          <cell r="C3431" t="str">
            <v>BRS_GOLD__5_SPREADS:BRS_GOLD__3_OTHER_SPREADS:BRS_GOLD__1_MTG,TBA_ALL,PAYUP,NONAGENCY,MORT_IDIO,CRT,CRT_SP_RISK:TBA_ALL:TBA_30YR:USD_TBA_GN_OTM10_V610_E</v>
          </cell>
          <cell r="D3431" t="str">
            <v>Spread Duration</v>
          </cell>
          <cell r="E3431" t="str">
            <v>Spread Yield</v>
          </cell>
          <cell r="F3431" t="str">
            <v>Alternative</v>
          </cell>
          <cell r="G3431" t="str">
            <v>Other</v>
          </cell>
          <cell r="H3431" t="str">
            <v>ALTS</v>
          </cell>
          <cell r="I3431" t="str">
            <v>Mortgage - Moneyness</v>
          </cell>
        </row>
        <row r="3432">
          <cell r="A3432" t="str">
            <v>USD_TBA_GN_OTM5_V610_E</v>
          </cell>
          <cell r="B3432" t="str">
            <v>TBA GN OTM50 V610</v>
          </cell>
          <cell r="C3432" t="str">
            <v>BRS_GOLD__5_SPREADS:BRS_GOLD__3_OTHER_SPREADS:BRS_GOLD__1_MTG,TBA_ALL,PAYUP,NONAGENCY,MORT_IDIO,CRT,CRT_SP_RISK:TBA_ALL:TBA_30YR:USD_TBA_GN_OTM5_V610_E</v>
          </cell>
          <cell r="D3432" t="str">
            <v>Spread Duration</v>
          </cell>
          <cell r="E3432" t="str">
            <v>Spread Yield</v>
          </cell>
          <cell r="F3432" t="str">
            <v>Alternative</v>
          </cell>
          <cell r="G3432" t="str">
            <v>Other</v>
          </cell>
          <cell r="H3432" t="str">
            <v>ALTS</v>
          </cell>
          <cell r="I3432" t="str">
            <v>Mortgage - Moneyness</v>
          </cell>
        </row>
        <row r="3433">
          <cell r="A3433" t="str">
            <v>USD_TBA_GN_ATM_V610_E</v>
          </cell>
          <cell r="B3433" t="str">
            <v>TBA GN ATM V610</v>
          </cell>
          <cell r="C3433" t="str">
            <v>BRS_GOLD__5_SPREADS:BRS_GOLD__3_OTHER_SPREADS:BRS_GOLD__1_MTG,TBA_ALL,PAYUP,NONAGENCY,MORT_IDIO,CRT,CRT_SP_RISK:TBA_ALL:TBA_30YR:USD_TBA_GN_ATM_V610_E</v>
          </cell>
          <cell r="D3433" t="str">
            <v>Spread Duration</v>
          </cell>
          <cell r="E3433" t="str">
            <v>Spread Yield</v>
          </cell>
          <cell r="F3433" t="str">
            <v>Alternative</v>
          </cell>
          <cell r="G3433" t="str">
            <v>Other</v>
          </cell>
          <cell r="H3433" t="str">
            <v>ALTS</v>
          </cell>
          <cell r="I3433" t="str">
            <v>Mortgage - Moneyness</v>
          </cell>
        </row>
        <row r="3434">
          <cell r="A3434" t="str">
            <v>USD_TBA_GN_ITM5_V610_E</v>
          </cell>
          <cell r="B3434" t="str">
            <v>TBA GN ITM50 V610</v>
          </cell>
          <cell r="C3434" t="str">
            <v>BRS_GOLD__5_SPREADS:BRS_GOLD__3_OTHER_SPREADS:BRS_GOLD__1_MTG,TBA_ALL,PAYUP,NONAGENCY,MORT_IDIO,CRT,CRT_SP_RISK:TBA_ALL:TBA_30YR:USD_TBA_GN_ITM5_V610_E</v>
          </cell>
          <cell r="D3434" t="str">
            <v>Spread Duration</v>
          </cell>
          <cell r="E3434" t="str">
            <v>Spread Yield</v>
          </cell>
          <cell r="F3434" t="str">
            <v>Alternative</v>
          </cell>
          <cell r="G3434" t="str">
            <v>Other</v>
          </cell>
          <cell r="H3434" t="str">
            <v>ALTS</v>
          </cell>
          <cell r="I3434" t="str">
            <v>Mortgage - Moneyness</v>
          </cell>
        </row>
        <row r="3435">
          <cell r="A3435" t="str">
            <v>USD_TBA_GN_ITM10_V610_E</v>
          </cell>
          <cell r="B3435" t="str">
            <v>TBA GN ITM100 V610</v>
          </cell>
          <cell r="C3435" t="str">
            <v>BRS_GOLD__5_SPREADS:BRS_GOLD__3_OTHER_SPREADS:BRS_GOLD__1_MTG,TBA_ALL,PAYUP,NONAGENCY,MORT_IDIO,CRT,CRT_SP_RISK:TBA_ALL:TBA_30YR:USD_TBA_GN_ITM10_V610_E</v>
          </cell>
          <cell r="D3435" t="str">
            <v>Spread Duration</v>
          </cell>
          <cell r="E3435" t="str">
            <v>Spread Yield</v>
          </cell>
          <cell r="F3435" t="str">
            <v>Alternative</v>
          </cell>
          <cell r="G3435" t="str">
            <v>Other</v>
          </cell>
          <cell r="H3435" t="str">
            <v>ALTS</v>
          </cell>
          <cell r="I3435" t="str">
            <v>Mortgage - Moneyness</v>
          </cell>
        </row>
        <row r="3436">
          <cell r="A3436" t="str">
            <v>USD_TBA_GN_ITM15_V610_E</v>
          </cell>
          <cell r="B3436" t="str">
            <v>TBA GN ITM150 V610</v>
          </cell>
          <cell r="C3436" t="str">
            <v>BRS_GOLD__5_SPREADS:BRS_GOLD__3_OTHER_SPREADS:BRS_GOLD__1_MTG,TBA_ALL,PAYUP,NONAGENCY,MORT_IDIO,CRT,CRT_SP_RISK:TBA_ALL:TBA_30YR:USD_TBA_GN_ITM15_V610_E</v>
          </cell>
          <cell r="D3436" t="str">
            <v>Spread Duration</v>
          </cell>
          <cell r="E3436" t="str">
            <v>Spread Yield</v>
          </cell>
          <cell r="F3436" t="str">
            <v>Alternative</v>
          </cell>
          <cell r="G3436" t="str">
            <v>Other</v>
          </cell>
          <cell r="H3436" t="str">
            <v>ALTS</v>
          </cell>
          <cell r="I3436" t="str">
            <v>Mortgage - Moneyness</v>
          </cell>
        </row>
        <row r="3437">
          <cell r="A3437" t="str">
            <v>USD_TBA_GN_ITM20_V610_E</v>
          </cell>
          <cell r="B3437" t="str">
            <v>TBA GN ITM200 V610</v>
          </cell>
          <cell r="C3437" t="str">
            <v>BRS_GOLD__5_SPREADS:BRS_GOLD__3_OTHER_SPREADS:BRS_GOLD__1_MTG,TBA_ALL,PAYUP,NONAGENCY,MORT_IDIO,CRT,CRT_SP_RISK:TBA_ALL:TBA_30YR:USD_TBA_GN_ITM20_V610_E</v>
          </cell>
          <cell r="D3437" t="str">
            <v>Spread Duration</v>
          </cell>
          <cell r="E3437" t="str">
            <v>Spread Yield</v>
          </cell>
          <cell r="F3437" t="str">
            <v>Alternative</v>
          </cell>
          <cell r="G3437" t="str">
            <v>Other</v>
          </cell>
          <cell r="H3437" t="str">
            <v>ALTS</v>
          </cell>
          <cell r="I3437" t="str">
            <v>Mortgage - Moneyness</v>
          </cell>
        </row>
        <row r="3438">
          <cell r="A3438" t="str">
            <v>USD_TBA_GN_ITM25_V610_E</v>
          </cell>
          <cell r="B3438" t="str">
            <v>TBA GN ITM250 V610</v>
          </cell>
          <cell r="C3438" t="str">
            <v>BRS_GOLD__5_SPREADS:BRS_GOLD__3_OTHER_SPREADS:BRS_GOLD__1_MTG,TBA_ALL,PAYUP,NONAGENCY,MORT_IDIO,CRT,CRT_SP_RISK:TBA_ALL:TBA_30YR:USD_TBA_GN_ITM25_V610_E</v>
          </cell>
          <cell r="D3438" t="str">
            <v>Spread Duration</v>
          </cell>
          <cell r="E3438" t="str">
            <v>Spread Yield</v>
          </cell>
          <cell r="F3438" t="str">
            <v>Alternative</v>
          </cell>
          <cell r="G3438" t="str">
            <v>Other</v>
          </cell>
          <cell r="H3438" t="str">
            <v>ALTS</v>
          </cell>
          <cell r="I3438" t="str">
            <v>Mortgage - Moneyness</v>
          </cell>
        </row>
        <row r="3439">
          <cell r="A3439" t="str">
            <v>USD_TBA_GN_ITM30_V610_E</v>
          </cell>
          <cell r="B3439" t="str">
            <v>TBA GN ITM300 V610</v>
          </cell>
          <cell r="C3439" t="str">
            <v>BRS_GOLD__5_SPREADS:BRS_GOLD__3_OTHER_SPREADS:BRS_GOLD__1_MTG,TBA_ALL,PAYUP,NONAGENCY,MORT_IDIO,CRT,CRT_SP_RISK:TBA_ALL:TBA_30YR:USD_TBA_GN_ITM30_V610_E</v>
          </cell>
          <cell r="D3439" t="str">
            <v>Spread Duration</v>
          </cell>
          <cell r="E3439" t="str">
            <v>Spread Yield</v>
          </cell>
          <cell r="F3439" t="str">
            <v>Alternative</v>
          </cell>
          <cell r="G3439" t="str">
            <v>Other</v>
          </cell>
          <cell r="H3439" t="str">
            <v>ALTS</v>
          </cell>
          <cell r="I3439" t="str">
            <v>Mortgage - Moneyness</v>
          </cell>
        </row>
        <row r="3440">
          <cell r="A3440" t="str">
            <v>USD_TBA_GN_ITM35_V610_E</v>
          </cell>
          <cell r="B3440" t="str">
            <v>TBA GN ITM350 V610</v>
          </cell>
          <cell r="C3440" t="str">
            <v>BRS_GOLD__5_SPREADS:BRS_GOLD__3_OTHER_SPREADS:BRS_GOLD__1_MTG,TBA_ALL,PAYUP,NONAGENCY,MORT_IDIO,CRT,CRT_SP_RISK:TBA_ALL:TBA_30YR:USD_TBA_GN_ITM35_V610_E</v>
          </cell>
          <cell r="D3440" t="str">
            <v>Spread Duration</v>
          </cell>
          <cell r="E3440" t="str">
            <v>Spread Yield</v>
          </cell>
          <cell r="F3440" t="str">
            <v>Alternative</v>
          </cell>
          <cell r="G3440" t="str">
            <v>Other</v>
          </cell>
          <cell r="H3440" t="str">
            <v>ALTS</v>
          </cell>
          <cell r="I3440" t="str">
            <v>Mortgage - Moneyness</v>
          </cell>
        </row>
        <row r="3441">
          <cell r="A3441" t="str">
            <v>USD_TBA_GN_OTM25_V620</v>
          </cell>
          <cell r="B3441" t="str">
            <v>TBA GN OTM350 V620</v>
          </cell>
          <cell r="C3441" t="str">
            <v>BRS_GOLD__5_SPREADS:BRS_GOLD__3_OTHER_SPREADS:BRS_GOLD__1_MTG,TBA_ALL,PAYUP,NONAGENCY,MORT_IDIO,CRT,CRT_SP_RISK:TBA_ALL:TBA_30YR:USD_TBA_GN_OTM25_V620</v>
          </cell>
          <cell r="D3441" t="str">
            <v>Spread Duration</v>
          </cell>
          <cell r="E3441" t="str">
            <v>Spread Yield</v>
          </cell>
          <cell r="F3441" t="str">
            <v>Alternative</v>
          </cell>
          <cell r="G3441" t="str">
            <v>Other</v>
          </cell>
          <cell r="H3441" t="str">
            <v>ALTS</v>
          </cell>
          <cell r="I3441" t="str">
            <v>Mortgage - Moneyness</v>
          </cell>
        </row>
        <row r="3442">
          <cell r="A3442" t="str">
            <v>USD_TBA_GN_OTM35_V620</v>
          </cell>
          <cell r="B3442" t="str">
            <v>TBA GN OTM300 V620</v>
          </cell>
          <cell r="C3442" t="str">
            <v>BRS_GOLD__5_SPREADS:BRS_GOLD__3_OTHER_SPREADS:BRS_GOLD__1_MTG,TBA_ALL,PAYUP,NONAGENCY,MORT_IDIO,CRT,CRT_SP_RISK:TBA_ALL:TBA_30YR:USD_TBA_GN_OTM35_V620</v>
          </cell>
          <cell r="D3442" t="str">
            <v>Spread Duration</v>
          </cell>
          <cell r="E3442" t="str">
            <v>Spread Yield</v>
          </cell>
          <cell r="F3442" t="str">
            <v>Alternative</v>
          </cell>
          <cell r="G3442" t="str">
            <v>Other</v>
          </cell>
          <cell r="H3442" t="str">
            <v>ALTS</v>
          </cell>
          <cell r="I3442" t="str">
            <v>Mortgage - Moneyness</v>
          </cell>
        </row>
        <row r="3443">
          <cell r="A3443" t="str">
            <v>USD_TBA_GN_OTM30_V620</v>
          </cell>
          <cell r="B3443" t="str">
            <v>TBA GN OTM250 V620</v>
          </cell>
          <cell r="C3443" t="str">
            <v>BRS_GOLD__5_SPREADS:BRS_GOLD__3_OTHER_SPREADS:BRS_GOLD__1_MTG,TBA_ALL,PAYUP,NONAGENCY,MORT_IDIO,CRT,CRT_SP_RISK:TBA_ALL:TBA_30YR:USD_TBA_GN_OTM30_V620</v>
          </cell>
          <cell r="D3443" t="str">
            <v>Spread Duration</v>
          </cell>
          <cell r="E3443" t="str">
            <v>Spread Yield</v>
          </cell>
          <cell r="F3443" t="str">
            <v>Alternative</v>
          </cell>
          <cell r="G3443" t="str">
            <v>Other</v>
          </cell>
          <cell r="H3443" t="str">
            <v>ALTS</v>
          </cell>
          <cell r="I3443" t="str">
            <v>Mortgage - Moneyness</v>
          </cell>
        </row>
        <row r="3444">
          <cell r="A3444" t="str">
            <v>USD_TBA_GN_OTM20_V620</v>
          </cell>
          <cell r="B3444" t="str">
            <v>TBA GN OTM200 V620</v>
          </cell>
          <cell r="C3444" t="str">
            <v>BRS_GOLD__5_SPREADS:BRS_GOLD__3_OTHER_SPREADS:BRS_GOLD__1_MTG,TBA_ALL,PAYUP,NONAGENCY,MORT_IDIO,CRT,CRT_SP_RISK:TBA_ALL:TBA_30YR:USD_TBA_GN_OTM20_V620</v>
          </cell>
          <cell r="D3444" t="str">
            <v>Spread Duration</v>
          </cell>
          <cell r="E3444" t="str">
            <v>Spread Yield</v>
          </cell>
          <cell r="F3444" t="str">
            <v>Alternative</v>
          </cell>
          <cell r="G3444" t="str">
            <v>Other</v>
          </cell>
          <cell r="H3444" t="str">
            <v>ALTS</v>
          </cell>
          <cell r="I3444" t="str">
            <v>Mortgage - Moneyness</v>
          </cell>
        </row>
        <row r="3445">
          <cell r="A3445" t="str">
            <v>USD_TBA_GN_OTM15_V620</v>
          </cell>
          <cell r="B3445" t="str">
            <v>TBA GN OTM150 V620</v>
          </cell>
          <cell r="C3445" t="str">
            <v>BRS_GOLD__5_SPREADS:BRS_GOLD__3_OTHER_SPREADS:BRS_GOLD__1_MTG,TBA_ALL,PAYUP,NONAGENCY,MORT_IDIO,CRT,CRT_SP_RISK:TBA_ALL:TBA_30YR:USD_TBA_GN_OTM15_V620</v>
          </cell>
          <cell r="D3445" t="str">
            <v>Spread Duration</v>
          </cell>
          <cell r="E3445" t="str">
            <v>Spread Yield</v>
          </cell>
          <cell r="F3445" t="str">
            <v>Alternative</v>
          </cell>
          <cell r="G3445" t="str">
            <v>Other</v>
          </cell>
          <cell r="H3445" t="str">
            <v>ALTS</v>
          </cell>
          <cell r="I3445" t="str">
            <v>Mortgage - Moneyness</v>
          </cell>
        </row>
        <row r="3446">
          <cell r="A3446" t="str">
            <v>USD_TBA_GN_OTM10_V620</v>
          </cell>
          <cell r="B3446" t="str">
            <v>TBA GN OTM100 V620</v>
          </cell>
          <cell r="C3446" t="str">
            <v>BRS_GOLD__5_SPREADS:BRS_GOLD__3_OTHER_SPREADS:BRS_GOLD__1_MTG,TBA_ALL,PAYUP,NONAGENCY,MORT_IDIO,CRT,CRT_SP_RISK:TBA_ALL:TBA_30YR:USD_TBA_GN_OTM10_V620</v>
          </cell>
          <cell r="D3446" t="str">
            <v>Spread Duration</v>
          </cell>
          <cell r="E3446" t="str">
            <v>Spread Yield</v>
          </cell>
          <cell r="F3446" t="str">
            <v>Alternative</v>
          </cell>
          <cell r="G3446" t="str">
            <v>Other</v>
          </cell>
          <cell r="H3446" t="str">
            <v>ALTS</v>
          </cell>
          <cell r="I3446" t="str">
            <v>Mortgage - Moneyness</v>
          </cell>
        </row>
        <row r="3447">
          <cell r="A3447" t="str">
            <v>USD_TBA_GN_OTM5_V620</v>
          </cell>
          <cell r="B3447" t="str">
            <v>TBA GN OTM50 V620</v>
          </cell>
          <cell r="C3447" t="str">
            <v>BRS_GOLD__5_SPREADS:BRS_GOLD__3_OTHER_SPREADS:BRS_GOLD__1_MTG,TBA_ALL,PAYUP,NONAGENCY,MORT_IDIO,CRT,CRT_SP_RISK:TBA_ALL:TBA_30YR:USD_TBA_GN_OTM5_V620</v>
          </cell>
          <cell r="D3447" t="str">
            <v>Spread Duration</v>
          </cell>
          <cell r="E3447" t="str">
            <v>Spread Yield</v>
          </cell>
          <cell r="F3447" t="str">
            <v>Alternative</v>
          </cell>
          <cell r="G3447" t="str">
            <v>Other</v>
          </cell>
          <cell r="H3447" t="str">
            <v>ALTS</v>
          </cell>
          <cell r="I3447" t="str">
            <v>Mortgage - Moneyness</v>
          </cell>
        </row>
        <row r="3448">
          <cell r="A3448" t="str">
            <v>USD_TBA_GN_ATM_V620</v>
          </cell>
          <cell r="B3448" t="str">
            <v>TBA GN ATM V620</v>
          </cell>
          <cell r="C3448" t="str">
            <v>BRS_GOLD__5_SPREADS:BRS_GOLD__3_OTHER_SPREADS:BRS_GOLD__1_MTG,TBA_ALL,PAYUP,NONAGENCY,MORT_IDIO,CRT,CRT_SP_RISK:TBA_ALL:TBA_30YR:USD_TBA_GN_ATM_V620</v>
          </cell>
          <cell r="D3448" t="str">
            <v>Spread Duration</v>
          </cell>
          <cell r="E3448" t="str">
            <v>Spread Yield</v>
          </cell>
          <cell r="F3448" t="str">
            <v>Alternative</v>
          </cell>
          <cell r="G3448" t="str">
            <v>Other</v>
          </cell>
          <cell r="H3448" t="str">
            <v>ALTS</v>
          </cell>
          <cell r="I3448" t="str">
            <v>Mortgage - Moneyness</v>
          </cell>
        </row>
        <row r="3449">
          <cell r="A3449" t="str">
            <v>USD_TBA_GN_ITM5_V620</v>
          </cell>
          <cell r="B3449" t="str">
            <v>TBA GN ITM50 V620</v>
          </cell>
          <cell r="C3449" t="str">
            <v>BRS_GOLD__5_SPREADS:BRS_GOLD__3_OTHER_SPREADS:BRS_GOLD__1_MTG,TBA_ALL,PAYUP,NONAGENCY,MORT_IDIO,CRT,CRT_SP_RISK:TBA_ALL:TBA_30YR:USD_TBA_GN_ITM5_V620</v>
          </cell>
          <cell r="D3449" t="str">
            <v>Spread Duration</v>
          </cell>
          <cell r="E3449" t="str">
            <v>Spread Yield</v>
          </cell>
          <cell r="F3449" t="str">
            <v>Alternative</v>
          </cell>
          <cell r="G3449" t="str">
            <v>Other</v>
          </cell>
          <cell r="H3449" t="str">
            <v>ALTS</v>
          </cell>
          <cell r="I3449" t="str">
            <v>Mortgage - Moneyness</v>
          </cell>
        </row>
        <row r="3450">
          <cell r="A3450" t="str">
            <v>USD_TBA_GN_ITM10_V620</v>
          </cell>
          <cell r="B3450" t="str">
            <v>TBA GN ITM100 V620</v>
          </cell>
          <cell r="C3450" t="str">
            <v>BRS_GOLD__5_SPREADS:BRS_GOLD__3_OTHER_SPREADS:BRS_GOLD__1_MTG,TBA_ALL,PAYUP,NONAGENCY,MORT_IDIO,CRT,CRT_SP_RISK:TBA_ALL:TBA_30YR:USD_TBA_GN_ITM10_V620</v>
          </cell>
          <cell r="D3450" t="str">
            <v>Spread Duration</v>
          </cell>
          <cell r="E3450" t="str">
            <v>Spread Yield</v>
          </cell>
          <cell r="F3450" t="str">
            <v>Alternative</v>
          </cell>
          <cell r="G3450" t="str">
            <v>Other</v>
          </cell>
          <cell r="H3450" t="str">
            <v>ALTS</v>
          </cell>
          <cell r="I3450" t="str">
            <v>Mortgage - Moneyness</v>
          </cell>
        </row>
        <row r="3451">
          <cell r="A3451" t="str">
            <v>USD_TBA_GN_ITM15_V620</v>
          </cell>
          <cell r="B3451" t="str">
            <v>TBA GN ITM150 V620</v>
          </cell>
          <cell r="C3451" t="str">
            <v>BRS_GOLD__5_SPREADS:BRS_GOLD__3_OTHER_SPREADS:BRS_GOLD__1_MTG,TBA_ALL,PAYUP,NONAGENCY,MORT_IDIO,CRT,CRT_SP_RISK:TBA_ALL:TBA_30YR:USD_TBA_GN_ITM15_V620</v>
          </cell>
          <cell r="D3451" t="str">
            <v>Spread Duration</v>
          </cell>
          <cell r="E3451" t="str">
            <v>Spread Yield</v>
          </cell>
          <cell r="F3451" t="str">
            <v>Alternative</v>
          </cell>
          <cell r="G3451" t="str">
            <v>Other</v>
          </cell>
          <cell r="H3451" t="str">
            <v>ALTS</v>
          </cell>
          <cell r="I3451" t="str">
            <v>Mortgage - Moneyness</v>
          </cell>
        </row>
        <row r="3452">
          <cell r="A3452" t="str">
            <v>USD_TBA_GN_ITM20_V620</v>
          </cell>
          <cell r="B3452" t="str">
            <v>TBA GN ITM200 V620</v>
          </cell>
          <cell r="C3452" t="str">
            <v>BRS_GOLD__5_SPREADS:BRS_GOLD__3_OTHER_SPREADS:BRS_GOLD__1_MTG,TBA_ALL,PAYUP,NONAGENCY,MORT_IDIO,CRT,CRT_SP_RISK:TBA_ALL:TBA_30YR:USD_TBA_GN_ITM20_V620</v>
          </cell>
          <cell r="D3452" t="str">
            <v>Spread Duration</v>
          </cell>
          <cell r="E3452" t="str">
            <v>Spread Yield</v>
          </cell>
          <cell r="F3452" t="str">
            <v>Alternative</v>
          </cell>
          <cell r="G3452" t="str">
            <v>Other</v>
          </cell>
          <cell r="H3452" t="str">
            <v>ALTS</v>
          </cell>
          <cell r="I3452" t="str">
            <v>Mortgage - Moneyness</v>
          </cell>
        </row>
        <row r="3453">
          <cell r="A3453" t="str">
            <v>USD_TBA_GN_ITM25_V620</v>
          </cell>
          <cell r="B3453" t="str">
            <v>TBA GN ITM250 V620</v>
          </cell>
          <cell r="C3453" t="str">
            <v>BRS_GOLD__5_SPREADS:BRS_GOLD__3_OTHER_SPREADS:BRS_GOLD__1_MTG,TBA_ALL,PAYUP,NONAGENCY,MORT_IDIO,CRT,CRT_SP_RISK:TBA_ALL:TBA_30YR:USD_TBA_GN_ITM25_V620</v>
          </cell>
          <cell r="D3453" t="str">
            <v>Spread Duration</v>
          </cell>
          <cell r="E3453" t="str">
            <v>Spread Yield</v>
          </cell>
          <cell r="F3453" t="str">
            <v>Alternative</v>
          </cell>
          <cell r="G3453" t="str">
            <v>Other</v>
          </cell>
          <cell r="H3453" t="str">
            <v>ALTS</v>
          </cell>
          <cell r="I3453" t="str">
            <v>Mortgage - Moneyness</v>
          </cell>
        </row>
        <row r="3454">
          <cell r="A3454" t="str">
            <v>USD_TBA_GN_ITM30_V620</v>
          </cell>
          <cell r="B3454" t="str">
            <v>TBA GN ITM300 V620</v>
          </cell>
          <cell r="C3454" t="str">
            <v>BRS_GOLD__5_SPREADS:BRS_GOLD__3_OTHER_SPREADS:BRS_GOLD__1_MTG,TBA_ALL,PAYUP,NONAGENCY,MORT_IDIO,CRT,CRT_SP_RISK:TBA_ALL:TBA_30YR:USD_TBA_GN_ITM30_V620</v>
          </cell>
          <cell r="D3454" t="str">
            <v>Spread Duration</v>
          </cell>
          <cell r="E3454" t="str">
            <v>Spread Yield</v>
          </cell>
          <cell r="F3454" t="str">
            <v>Alternative</v>
          </cell>
          <cell r="G3454" t="str">
            <v>Other</v>
          </cell>
          <cell r="H3454" t="str">
            <v>ALTS</v>
          </cell>
          <cell r="I3454" t="str">
            <v>Mortgage - Moneyness</v>
          </cell>
        </row>
        <row r="3455">
          <cell r="A3455" t="str">
            <v>USD_TBA_GN_ITM35_V620</v>
          </cell>
          <cell r="B3455" t="str">
            <v>TBA GN ITM350 V620</v>
          </cell>
          <cell r="C3455" t="str">
            <v>BRS_GOLD__5_SPREADS:BRS_GOLD__3_OTHER_SPREADS:BRS_GOLD__1_MTG,TBA_ALL,PAYUP,NONAGENCY,MORT_IDIO,CRT,CRT_SP_RISK:TBA_ALL:TBA_30YR:USD_TBA_GN_ITM35_V620</v>
          </cell>
          <cell r="D3455" t="str">
            <v>Spread Duration</v>
          </cell>
          <cell r="E3455" t="str">
            <v>Spread Yield</v>
          </cell>
          <cell r="F3455" t="str">
            <v>Alternative</v>
          </cell>
          <cell r="G3455" t="str">
            <v>Other</v>
          </cell>
          <cell r="H3455" t="str">
            <v>ALTS</v>
          </cell>
          <cell r="I3455" t="str">
            <v>Mortgage - Moneyness</v>
          </cell>
        </row>
        <row r="3456">
          <cell r="A3456" t="str">
            <v>USD_TBA_GN_OTM25_V620_E</v>
          </cell>
          <cell r="B3456" t="str">
            <v>TBA GN OTM350 V620</v>
          </cell>
          <cell r="C3456" t="str">
            <v>BRS_GOLD__5_SPREADS:BRS_GOLD__3_OTHER_SPREADS:BRS_GOLD__1_MTG,TBA_ALL,PAYUP,NONAGENCY,MORT_IDIO,CRT,CRT_SP_RISK:TBA_ALL:TBA_30YR:USD_TBA_GN_OTM25_V620_E</v>
          </cell>
          <cell r="D3456" t="str">
            <v>Spread Duration</v>
          </cell>
          <cell r="E3456" t="str">
            <v>Spread Yield</v>
          </cell>
          <cell r="F3456" t="str">
            <v>Alternative</v>
          </cell>
          <cell r="G3456" t="str">
            <v>Other</v>
          </cell>
          <cell r="H3456" t="str">
            <v>ALTS</v>
          </cell>
          <cell r="I3456" t="str">
            <v>Mortgage - Moneyness</v>
          </cell>
        </row>
        <row r="3457">
          <cell r="A3457" t="str">
            <v>USD_TBA_GN_OTM35_V620_E</v>
          </cell>
          <cell r="B3457" t="str">
            <v>TBA GN OTM300 V620</v>
          </cell>
          <cell r="C3457" t="str">
            <v>BRS_GOLD__5_SPREADS:BRS_GOLD__3_OTHER_SPREADS:BRS_GOLD__1_MTG,TBA_ALL,PAYUP,NONAGENCY,MORT_IDIO,CRT,CRT_SP_RISK:TBA_ALL:TBA_30YR:USD_TBA_GN_OTM35_V620_E</v>
          </cell>
          <cell r="D3457" t="str">
            <v>Spread Duration</v>
          </cell>
          <cell r="E3457" t="str">
            <v>Spread Yield</v>
          </cell>
          <cell r="F3457" t="str">
            <v>Alternative</v>
          </cell>
          <cell r="G3457" t="str">
            <v>Other</v>
          </cell>
          <cell r="H3457" t="str">
            <v>ALTS</v>
          </cell>
          <cell r="I3457" t="str">
            <v>Mortgage - Moneyness</v>
          </cell>
        </row>
        <row r="3458">
          <cell r="A3458" t="str">
            <v>USD_TBA_GN_OTM30_V620_E</v>
          </cell>
          <cell r="B3458" t="str">
            <v>TBA GN OTM250 V620</v>
          </cell>
          <cell r="C3458" t="str">
            <v>BRS_GOLD__5_SPREADS:BRS_GOLD__3_OTHER_SPREADS:BRS_GOLD__1_MTG,TBA_ALL,PAYUP,NONAGENCY,MORT_IDIO,CRT,CRT_SP_RISK:TBA_ALL:TBA_30YR:USD_TBA_GN_OTM30_V620_E</v>
          </cell>
          <cell r="D3458" t="str">
            <v>Spread Duration</v>
          </cell>
          <cell r="E3458" t="str">
            <v>Spread Yield</v>
          </cell>
          <cell r="F3458" t="str">
            <v>Alternative</v>
          </cell>
          <cell r="G3458" t="str">
            <v>Other</v>
          </cell>
          <cell r="H3458" t="str">
            <v>ALTS</v>
          </cell>
          <cell r="I3458" t="str">
            <v>Mortgage - Moneyness</v>
          </cell>
        </row>
        <row r="3459">
          <cell r="A3459" t="str">
            <v>USD_TBA_GN_OTM20_V620_E</v>
          </cell>
          <cell r="B3459" t="str">
            <v>TBA GN OTM200 V620</v>
          </cell>
          <cell r="C3459" t="str">
            <v>BRS_GOLD__5_SPREADS:BRS_GOLD__3_OTHER_SPREADS:BRS_GOLD__1_MTG,TBA_ALL,PAYUP,NONAGENCY,MORT_IDIO,CRT,CRT_SP_RISK:TBA_ALL:TBA_30YR:USD_TBA_GN_OTM20_V620_E</v>
          </cell>
          <cell r="D3459" t="str">
            <v>Spread Duration</v>
          </cell>
          <cell r="E3459" t="str">
            <v>Spread Yield</v>
          </cell>
          <cell r="F3459" t="str">
            <v>Alternative</v>
          </cell>
          <cell r="G3459" t="str">
            <v>Other</v>
          </cell>
          <cell r="H3459" t="str">
            <v>ALTS</v>
          </cell>
          <cell r="I3459" t="str">
            <v>Mortgage - Moneyness</v>
          </cell>
        </row>
        <row r="3460">
          <cell r="A3460" t="str">
            <v>USD_TBA_GN_OTM15_V620_E</v>
          </cell>
          <cell r="B3460" t="str">
            <v>TBA GN OTM150 V620</v>
          </cell>
          <cell r="C3460" t="str">
            <v>BRS_GOLD__5_SPREADS:BRS_GOLD__3_OTHER_SPREADS:BRS_GOLD__1_MTG,TBA_ALL,PAYUP,NONAGENCY,MORT_IDIO,CRT,CRT_SP_RISK:TBA_ALL:TBA_30YR:USD_TBA_GN_OTM15_V620_E</v>
          </cell>
          <cell r="D3460" t="str">
            <v>Spread Duration</v>
          </cell>
          <cell r="E3460" t="str">
            <v>Spread Yield</v>
          </cell>
          <cell r="F3460" t="str">
            <v>Alternative</v>
          </cell>
          <cell r="G3460" t="str">
            <v>Other</v>
          </cell>
          <cell r="H3460" t="str">
            <v>ALTS</v>
          </cell>
          <cell r="I3460" t="str">
            <v>Mortgage - Moneyness</v>
          </cell>
        </row>
        <row r="3461">
          <cell r="A3461" t="str">
            <v>USD_TBA_GN_OTM10_V620_E</v>
          </cell>
          <cell r="B3461" t="str">
            <v>TBA GN OTM100 V620</v>
          </cell>
          <cell r="C3461" t="str">
            <v>BRS_GOLD__5_SPREADS:BRS_GOLD__3_OTHER_SPREADS:BRS_GOLD__1_MTG,TBA_ALL,PAYUP,NONAGENCY,MORT_IDIO,CRT,CRT_SP_RISK:TBA_ALL:TBA_30YR:USD_TBA_GN_OTM10_V620_E</v>
          </cell>
          <cell r="D3461" t="str">
            <v>Spread Duration</v>
          </cell>
          <cell r="E3461" t="str">
            <v>Spread Yield</v>
          </cell>
          <cell r="F3461" t="str">
            <v>Alternative</v>
          </cell>
          <cell r="G3461" t="str">
            <v>Other</v>
          </cell>
          <cell r="H3461" t="str">
            <v>ALTS</v>
          </cell>
          <cell r="I3461" t="str">
            <v>Mortgage - Moneyness</v>
          </cell>
        </row>
        <row r="3462">
          <cell r="A3462" t="str">
            <v>USD_TBA_GN_OTM5_V620_E</v>
          </cell>
          <cell r="B3462" t="str">
            <v>TBA GN OTM50 V620</v>
          </cell>
          <cell r="C3462" t="str">
            <v>BRS_GOLD__5_SPREADS:BRS_GOLD__3_OTHER_SPREADS:BRS_GOLD__1_MTG,TBA_ALL,PAYUP,NONAGENCY,MORT_IDIO,CRT,CRT_SP_RISK:TBA_ALL:TBA_30YR:USD_TBA_GN_OTM5_V620_E</v>
          </cell>
          <cell r="D3462" t="str">
            <v>Spread Duration</v>
          </cell>
          <cell r="E3462" t="str">
            <v>Spread Yield</v>
          </cell>
          <cell r="F3462" t="str">
            <v>Alternative</v>
          </cell>
          <cell r="G3462" t="str">
            <v>Other</v>
          </cell>
          <cell r="H3462" t="str">
            <v>ALTS</v>
          </cell>
          <cell r="I3462" t="str">
            <v>Mortgage - Moneyness</v>
          </cell>
        </row>
        <row r="3463">
          <cell r="A3463" t="str">
            <v>USD_TBA_GN_ATM_V620_E</v>
          </cell>
          <cell r="B3463" t="str">
            <v>TBA GN ATM V620</v>
          </cell>
          <cell r="C3463" t="str">
            <v>BRS_GOLD__5_SPREADS:BRS_GOLD__3_OTHER_SPREADS:BRS_GOLD__1_MTG,TBA_ALL,PAYUP,NONAGENCY,MORT_IDIO,CRT,CRT_SP_RISK:TBA_ALL:TBA_30YR:USD_TBA_GN_ATM_V620_E</v>
          </cell>
          <cell r="D3463" t="str">
            <v>Spread Duration</v>
          </cell>
          <cell r="E3463" t="str">
            <v>Spread Yield</v>
          </cell>
          <cell r="F3463" t="str">
            <v>Alternative</v>
          </cell>
          <cell r="G3463" t="str">
            <v>Other</v>
          </cell>
          <cell r="H3463" t="str">
            <v>ALTS</v>
          </cell>
          <cell r="I3463" t="str">
            <v>Mortgage - Moneyness</v>
          </cell>
        </row>
        <row r="3464">
          <cell r="A3464" t="str">
            <v>USD_TBA_GN_ITM5_V620_E</v>
          </cell>
          <cell r="B3464" t="str">
            <v>TBA GN ITM50 V620</v>
          </cell>
          <cell r="C3464" t="str">
            <v>BRS_GOLD__5_SPREADS:BRS_GOLD__3_OTHER_SPREADS:BRS_GOLD__1_MTG,TBA_ALL,PAYUP,NONAGENCY,MORT_IDIO,CRT,CRT_SP_RISK:TBA_ALL:TBA_30YR:USD_TBA_GN_ITM5_V620_E</v>
          </cell>
          <cell r="D3464" t="str">
            <v>Spread Duration</v>
          </cell>
          <cell r="E3464" t="str">
            <v>Spread Yield</v>
          </cell>
          <cell r="F3464" t="str">
            <v>Alternative</v>
          </cell>
          <cell r="G3464" t="str">
            <v>Other</v>
          </cell>
          <cell r="H3464" t="str">
            <v>ALTS</v>
          </cell>
          <cell r="I3464" t="str">
            <v>Mortgage - Moneyness</v>
          </cell>
        </row>
        <row r="3465">
          <cell r="A3465" t="str">
            <v>USD_TBA_GN_ITM10_V620_E</v>
          </cell>
          <cell r="B3465" t="str">
            <v>TBA GN ITM100 V620</v>
          </cell>
          <cell r="C3465" t="str">
            <v>BRS_GOLD__5_SPREADS:BRS_GOLD__3_OTHER_SPREADS:BRS_GOLD__1_MTG,TBA_ALL,PAYUP,NONAGENCY,MORT_IDIO,CRT,CRT_SP_RISK:TBA_ALL:TBA_30YR:USD_TBA_GN_ITM10_V620_E</v>
          </cell>
          <cell r="D3465" t="str">
            <v>Spread Duration</v>
          </cell>
          <cell r="E3465" t="str">
            <v>Spread Yield</v>
          </cell>
          <cell r="F3465" t="str">
            <v>Alternative</v>
          </cell>
          <cell r="G3465" t="str">
            <v>Other</v>
          </cell>
          <cell r="H3465" t="str">
            <v>ALTS</v>
          </cell>
          <cell r="I3465" t="str">
            <v>Mortgage - Moneyness</v>
          </cell>
        </row>
        <row r="3466">
          <cell r="A3466" t="str">
            <v>USD_TBA_GN_ITM15_V620_E</v>
          </cell>
          <cell r="B3466" t="str">
            <v>TBA GN ITM150 V620</v>
          </cell>
          <cell r="C3466" t="str">
            <v>BRS_GOLD__5_SPREADS:BRS_GOLD__3_OTHER_SPREADS:BRS_GOLD__1_MTG,TBA_ALL,PAYUP,NONAGENCY,MORT_IDIO,CRT,CRT_SP_RISK:TBA_ALL:TBA_30YR:USD_TBA_GN_ITM15_V620_E</v>
          </cell>
          <cell r="D3466" t="str">
            <v>Spread Duration</v>
          </cell>
          <cell r="E3466" t="str">
            <v>Spread Yield</v>
          </cell>
          <cell r="F3466" t="str">
            <v>Alternative</v>
          </cell>
          <cell r="G3466" t="str">
            <v>Other</v>
          </cell>
          <cell r="H3466" t="str">
            <v>ALTS</v>
          </cell>
          <cell r="I3466" t="str">
            <v>Mortgage - Moneyness</v>
          </cell>
        </row>
        <row r="3467">
          <cell r="A3467" t="str">
            <v>USD_TBA_GN_ITM20_V620_E</v>
          </cell>
          <cell r="B3467" t="str">
            <v>TBA GN ITM200 V620</v>
          </cell>
          <cell r="C3467" t="str">
            <v>BRS_GOLD__5_SPREADS:BRS_GOLD__3_OTHER_SPREADS:BRS_GOLD__1_MTG,TBA_ALL,PAYUP,NONAGENCY,MORT_IDIO,CRT,CRT_SP_RISK:TBA_ALL:TBA_30YR:USD_TBA_GN_ITM20_V620_E</v>
          </cell>
          <cell r="D3467" t="str">
            <v>Spread Duration</v>
          </cell>
          <cell r="E3467" t="str">
            <v>Spread Yield</v>
          </cell>
          <cell r="F3467" t="str">
            <v>Alternative</v>
          </cell>
          <cell r="G3467" t="str">
            <v>Other</v>
          </cell>
          <cell r="H3467" t="str">
            <v>ALTS</v>
          </cell>
          <cell r="I3467" t="str">
            <v>Mortgage - Moneyness</v>
          </cell>
        </row>
        <row r="3468">
          <cell r="A3468" t="str">
            <v>USD_TBA_GN_ITM25_V620_E</v>
          </cell>
          <cell r="B3468" t="str">
            <v>TBA GN ITM250 V620</v>
          </cell>
          <cell r="C3468" t="str">
            <v>BRS_GOLD__5_SPREADS:BRS_GOLD__3_OTHER_SPREADS:BRS_GOLD__1_MTG,TBA_ALL,PAYUP,NONAGENCY,MORT_IDIO,CRT,CRT_SP_RISK:TBA_ALL:TBA_30YR:USD_TBA_GN_ITM25_V620_E</v>
          </cell>
          <cell r="D3468" t="str">
            <v>Spread Duration</v>
          </cell>
          <cell r="E3468" t="str">
            <v>Spread Yield</v>
          </cell>
          <cell r="F3468" t="str">
            <v>Alternative</v>
          </cell>
          <cell r="G3468" t="str">
            <v>Other</v>
          </cell>
          <cell r="H3468" t="str">
            <v>ALTS</v>
          </cell>
          <cell r="I3468" t="str">
            <v>Mortgage - Moneyness</v>
          </cell>
        </row>
        <row r="3469">
          <cell r="A3469" t="str">
            <v>USD_TBA_GN_ITM30_V620_E</v>
          </cell>
          <cell r="B3469" t="str">
            <v>TBA GN ITM300 V620</v>
          </cell>
          <cell r="C3469" t="str">
            <v>BRS_GOLD__5_SPREADS:BRS_GOLD__3_OTHER_SPREADS:BRS_GOLD__1_MTG,TBA_ALL,PAYUP,NONAGENCY,MORT_IDIO,CRT,CRT_SP_RISK:TBA_ALL:TBA_30YR:USD_TBA_GN_ITM30_V620_E</v>
          </cell>
          <cell r="D3469" t="str">
            <v>Spread Duration</v>
          </cell>
          <cell r="E3469" t="str">
            <v>Spread Yield</v>
          </cell>
          <cell r="F3469" t="str">
            <v>Alternative</v>
          </cell>
          <cell r="G3469" t="str">
            <v>Other</v>
          </cell>
          <cell r="H3469" t="str">
            <v>ALTS</v>
          </cell>
          <cell r="I3469" t="str">
            <v>Mortgage - Moneyness</v>
          </cell>
        </row>
        <row r="3470">
          <cell r="A3470" t="str">
            <v>USD_TBA_GN_ITM35_V620_E</v>
          </cell>
          <cell r="B3470" t="str">
            <v>TBA GN ITM350 V620</v>
          </cell>
          <cell r="C3470" t="str">
            <v>BRS_GOLD__5_SPREADS:BRS_GOLD__3_OTHER_SPREADS:BRS_GOLD__1_MTG,TBA_ALL,PAYUP,NONAGENCY,MORT_IDIO,CRT,CRT_SP_RISK:TBA_ALL:TBA_30YR:USD_TBA_GN_ITM35_V620_E</v>
          </cell>
          <cell r="D3470" t="str">
            <v>Spread Duration</v>
          </cell>
          <cell r="E3470" t="str">
            <v>Spread Yield</v>
          </cell>
          <cell r="F3470" t="str">
            <v>Alternative</v>
          </cell>
          <cell r="G3470" t="str">
            <v>Other</v>
          </cell>
          <cell r="H3470" t="str">
            <v>ALTS</v>
          </cell>
          <cell r="I3470" t="str">
            <v>Mortgage - Moneyness</v>
          </cell>
        </row>
        <row r="3471">
          <cell r="A3471" t="str">
            <v>USD_TBA_FN30_PSS_V610</v>
          </cell>
          <cell r="B3471" t="str">
            <v>30yr FN PSS V610</v>
          </cell>
          <cell r="C3471" t="str">
            <v>BRS_GOLD__5_SPREADS:BRS_GOLD__3_OTHER_SPREADS:BRS_GOLD__1_MTG,TBA_ALL,PAYUP,NONAGENCY,MORT_IDIO,CRT,CRT_SP_RISK:TBA_ALL:TBA_30YR:USD_TBA_FN30_PSS_V610</v>
          </cell>
          <cell r="D3471" t="str">
            <v>Spread Duration</v>
          </cell>
          <cell r="E3471" t="str">
            <v>Spread Yield</v>
          </cell>
          <cell r="F3471" t="str">
            <v>Alternative</v>
          </cell>
          <cell r="G3471" t="str">
            <v>Other</v>
          </cell>
          <cell r="H3471" t="str">
            <v>ALTS</v>
          </cell>
          <cell r="I3471" t="str">
            <v>Mortgage - Moneyness</v>
          </cell>
        </row>
        <row r="3472">
          <cell r="A3472" t="str">
            <v>USD_TBA_GN_PSS_V610</v>
          </cell>
          <cell r="B3472" t="str">
            <v>GN PSS V610</v>
          </cell>
          <cell r="C3472" t="str">
            <v>BRS_GOLD__5_SPREADS:BRS_GOLD__3_OTHER_SPREADS:BRS_GOLD__1_MTG,TBA_ALL,PAYUP,NONAGENCY,MORT_IDIO,CRT,CRT_SP_RISK:TBA_ALL:TBA_30YR:USD_TBA_GN_PSS_V610</v>
          </cell>
          <cell r="D3472" t="str">
            <v>Spread Duration</v>
          </cell>
          <cell r="E3472" t="str">
            <v>Spread Yield</v>
          </cell>
          <cell r="F3472" t="str">
            <v>Alternative</v>
          </cell>
          <cell r="G3472" t="str">
            <v>Other</v>
          </cell>
          <cell r="H3472" t="str">
            <v>ALTS</v>
          </cell>
          <cell r="I3472" t="str">
            <v>Mortgage - Moneyness</v>
          </cell>
        </row>
        <row r="3473">
          <cell r="A3473" t="str">
            <v>USD_TBA_FN30_PSS_V620</v>
          </cell>
          <cell r="B3473" t="str">
            <v>30yr FN PSS V620</v>
          </cell>
          <cell r="C3473" t="str">
            <v>BRS_GOLD__5_SPREADS:BRS_GOLD__3_OTHER_SPREADS:BRS_GOLD__1_MTG,TBA_ALL,PAYUP,NONAGENCY,MORT_IDIO,CRT,CRT_SP_RISK:TBA_ALL:TBA_30YR:USD_TBA_FN30_PSS_V620</v>
          </cell>
          <cell r="D3473" t="str">
            <v>Spread Duration</v>
          </cell>
          <cell r="E3473" t="str">
            <v>Spread Yield</v>
          </cell>
          <cell r="F3473" t="str">
            <v>Alternative</v>
          </cell>
          <cell r="G3473" t="str">
            <v>Other</v>
          </cell>
          <cell r="H3473" t="str">
            <v>ALTS</v>
          </cell>
          <cell r="I3473" t="str">
            <v>Mortgage - Moneyness</v>
          </cell>
        </row>
        <row r="3474">
          <cell r="A3474" t="str">
            <v>USD_TBA_GN_PSS_V620</v>
          </cell>
          <cell r="B3474" t="str">
            <v>GN PSS V620</v>
          </cell>
          <cell r="C3474" t="str">
            <v>BRS_GOLD__5_SPREADS:BRS_GOLD__3_OTHER_SPREADS:BRS_GOLD__1_MTG,TBA_ALL,PAYUP,NONAGENCY,MORT_IDIO,CRT,CRT_SP_RISK:TBA_ALL:TBA_30YR:USD_TBA_GN_PSS_V620</v>
          </cell>
          <cell r="D3474" t="str">
            <v>Spread Duration</v>
          </cell>
          <cell r="E3474" t="str">
            <v>Spread Yield</v>
          </cell>
          <cell r="F3474" t="str">
            <v>Alternative</v>
          </cell>
          <cell r="G3474" t="str">
            <v>Other</v>
          </cell>
          <cell r="H3474" t="str">
            <v>ALTS</v>
          </cell>
          <cell r="I3474" t="str">
            <v>Mortgage - Moneyness</v>
          </cell>
        </row>
        <row r="3475">
          <cell r="A3475" t="str">
            <v>USD_TBA15_ATM_V521</v>
          </cell>
          <cell r="B3475" t="str">
            <v>TBA15 ATM</v>
          </cell>
          <cell r="C3475" t="str">
            <v>BRS_GOLD__5_SPREADS:BRS_GOLD__3_OTHER_SPREADS:BRS_GOLD__1_MTG,TBA_ALL,PAYUP,NONAGENCY,MORT_IDIO,CRT,CRT_SP_RISK:TBA_ALL:TBA_15YR:USD_TBA15_ATM_V521</v>
          </cell>
          <cell r="D3475" t="str">
            <v>Spread Duration</v>
          </cell>
          <cell r="E3475" t="str">
            <v>Spread Yield</v>
          </cell>
          <cell r="F3475" t="str">
            <v>Alternative</v>
          </cell>
          <cell r="G3475" t="str">
            <v>Other</v>
          </cell>
          <cell r="H3475" t="str">
            <v>ALTS</v>
          </cell>
          <cell r="I3475" t="str">
            <v>Mortgage - Moneyness</v>
          </cell>
        </row>
        <row r="3476">
          <cell r="A3476" t="str">
            <v>USD_TBA15_ATM_V530</v>
          </cell>
          <cell r="B3476" t="str">
            <v>TBA15 ATM v530</v>
          </cell>
          <cell r="C3476" t="str">
            <v>BRS_GOLD__5_SPREADS:BRS_GOLD__3_OTHER_SPREADS:BRS_GOLD__1_MTG,TBA_ALL,PAYUP,NONAGENCY,MORT_IDIO,CRT,CRT_SP_RISK:TBA_ALL:TBA_15YR:USD_TBA15_ATM_V530</v>
          </cell>
          <cell r="D3476" t="str">
            <v>Spread Duration</v>
          </cell>
          <cell r="E3476" t="str">
            <v>Spread Yield</v>
          </cell>
          <cell r="F3476" t="str">
            <v>Alternative</v>
          </cell>
          <cell r="G3476" t="str">
            <v>Other</v>
          </cell>
          <cell r="H3476" t="str">
            <v>ALTS</v>
          </cell>
          <cell r="I3476" t="str">
            <v>Mortgage - Moneyness</v>
          </cell>
        </row>
        <row r="3477">
          <cell r="A3477" t="str">
            <v>USD_TBA15_ITM5_V521</v>
          </cell>
          <cell r="B3477" t="str">
            <v>TBA15 ITM50</v>
          </cell>
          <cell r="C3477" t="str">
            <v>BRS_GOLD__5_SPREADS:BRS_GOLD__3_OTHER_SPREADS:BRS_GOLD__1_MTG,TBA_ALL,PAYUP,NONAGENCY,MORT_IDIO,CRT,CRT_SP_RISK:TBA_ALL:TBA_15YR:USD_TBA15_ITM5_V521</v>
          </cell>
          <cell r="D3477" t="str">
            <v>Spread Duration</v>
          </cell>
          <cell r="E3477" t="str">
            <v>Spread Yield</v>
          </cell>
          <cell r="F3477" t="str">
            <v>Alternative</v>
          </cell>
          <cell r="G3477" t="str">
            <v>Other</v>
          </cell>
          <cell r="H3477" t="str">
            <v>ALTS</v>
          </cell>
          <cell r="I3477" t="str">
            <v>Mortgage - Moneyness</v>
          </cell>
        </row>
        <row r="3478">
          <cell r="A3478" t="str">
            <v>USD_TBA15_ITM5_V530</v>
          </cell>
          <cell r="B3478" t="str">
            <v>TBA15 ITM50 v530</v>
          </cell>
          <cell r="C3478" t="str">
            <v>BRS_GOLD__5_SPREADS:BRS_GOLD__3_OTHER_SPREADS:BRS_GOLD__1_MTG,TBA_ALL,PAYUP,NONAGENCY,MORT_IDIO,CRT,CRT_SP_RISK:TBA_ALL:TBA_15YR:USD_TBA15_ITM5_V530</v>
          </cell>
          <cell r="D3478" t="str">
            <v>Spread Duration</v>
          </cell>
          <cell r="E3478" t="str">
            <v>Spread Yield</v>
          </cell>
          <cell r="F3478" t="str">
            <v>Alternative</v>
          </cell>
          <cell r="G3478" t="str">
            <v>Other</v>
          </cell>
          <cell r="H3478" t="str">
            <v>ALTS</v>
          </cell>
          <cell r="I3478" t="str">
            <v>Mortgage - Moneyness</v>
          </cell>
        </row>
        <row r="3479">
          <cell r="A3479" t="str">
            <v>USD_TBA15_ITM10_V521</v>
          </cell>
          <cell r="B3479" t="str">
            <v>TBA15 ITM100</v>
          </cell>
          <cell r="C3479" t="str">
            <v>BRS_GOLD__5_SPREADS:BRS_GOLD__3_OTHER_SPREADS:BRS_GOLD__1_MTG,TBA_ALL,PAYUP,NONAGENCY,MORT_IDIO,CRT,CRT_SP_RISK:TBA_ALL:TBA_15YR:USD_TBA15_ITM10_V521</v>
          </cell>
          <cell r="D3479" t="str">
            <v>Spread Duration</v>
          </cell>
          <cell r="E3479" t="str">
            <v>Spread Yield</v>
          </cell>
          <cell r="F3479" t="str">
            <v>Alternative</v>
          </cell>
          <cell r="G3479" t="str">
            <v>Other</v>
          </cell>
          <cell r="H3479" t="str">
            <v>ALTS</v>
          </cell>
          <cell r="I3479" t="str">
            <v>Mortgage - Moneyness</v>
          </cell>
        </row>
        <row r="3480">
          <cell r="A3480" t="str">
            <v>USD_TBA15_ITM10_V530</v>
          </cell>
          <cell r="B3480" t="str">
            <v>TBA15 ITM100 v530</v>
          </cell>
          <cell r="C3480" t="str">
            <v>BRS_GOLD__5_SPREADS:BRS_GOLD__3_OTHER_SPREADS:BRS_GOLD__1_MTG,TBA_ALL,PAYUP,NONAGENCY,MORT_IDIO,CRT,CRT_SP_RISK:TBA_ALL:TBA_15YR:USD_TBA15_ITM10_V530</v>
          </cell>
          <cell r="D3480" t="str">
            <v>Spread Duration</v>
          </cell>
          <cell r="E3480" t="str">
            <v>Spread Yield</v>
          </cell>
          <cell r="F3480" t="str">
            <v>Alternative</v>
          </cell>
          <cell r="G3480" t="str">
            <v>Other</v>
          </cell>
          <cell r="H3480" t="str">
            <v>ALTS</v>
          </cell>
          <cell r="I3480" t="str">
            <v>Mortgage - Moneyness</v>
          </cell>
        </row>
        <row r="3481">
          <cell r="A3481" t="str">
            <v>USD_TBA15_ITM15_V521</v>
          </cell>
          <cell r="B3481" t="str">
            <v>TBA15 ITM150</v>
          </cell>
          <cell r="C3481" t="str">
            <v>BRS_GOLD__5_SPREADS:BRS_GOLD__3_OTHER_SPREADS:BRS_GOLD__1_MTG,TBA_ALL,PAYUP,NONAGENCY,MORT_IDIO,CRT,CRT_SP_RISK:TBA_ALL:TBA_15YR:USD_TBA15_ITM15_V521</v>
          </cell>
          <cell r="D3481" t="str">
            <v>Spread Duration</v>
          </cell>
          <cell r="E3481" t="str">
            <v>Spread Yield</v>
          </cell>
          <cell r="F3481" t="str">
            <v>Alternative</v>
          </cell>
          <cell r="G3481" t="str">
            <v>Other</v>
          </cell>
          <cell r="H3481" t="str">
            <v>ALTS</v>
          </cell>
          <cell r="I3481" t="str">
            <v>Mortgage - Moneyness</v>
          </cell>
        </row>
        <row r="3482">
          <cell r="A3482" t="str">
            <v>USD_TBA15_ITM15_V530</v>
          </cell>
          <cell r="B3482" t="str">
            <v>TBA15 ITM150 v530</v>
          </cell>
          <cell r="C3482" t="str">
            <v>BRS_GOLD__5_SPREADS:BRS_GOLD__3_OTHER_SPREADS:BRS_GOLD__1_MTG,TBA_ALL,PAYUP,NONAGENCY,MORT_IDIO,CRT,CRT_SP_RISK:TBA_ALL:TBA_15YR:USD_TBA15_ITM15_V530</v>
          </cell>
          <cell r="D3482" t="str">
            <v>Spread Duration</v>
          </cell>
          <cell r="E3482" t="str">
            <v>Spread Yield</v>
          </cell>
          <cell r="F3482" t="str">
            <v>Alternative</v>
          </cell>
          <cell r="G3482" t="str">
            <v>Other</v>
          </cell>
          <cell r="H3482" t="str">
            <v>ALTS</v>
          </cell>
          <cell r="I3482" t="str">
            <v>Mortgage - Moneyness</v>
          </cell>
        </row>
        <row r="3483">
          <cell r="A3483" t="str">
            <v>USD_TBA15_ITM20_V521</v>
          </cell>
          <cell r="B3483" t="str">
            <v>TBA15 ITM200</v>
          </cell>
          <cell r="C3483" t="str">
            <v>BRS_GOLD__5_SPREADS:BRS_GOLD__3_OTHER_SPREADS:BRS_GOLD__1_MTG,TBA_ALL,PAYUP,NONAGENCY,MORT_IDIO,CRT,CRT_SP_RISK:TBA_ALL:TBA_15YR:USD_TBA15_ITM20_V521</v>
          </cell>
          <cell r="D3483" t="str">
            <v>Spread Duration</v>
          </cell>
          <cell r="E3483" t="str">
            <v>Spread Yield</v>
          </cell>
          <cell r="F3483" t="str">
            <v>Alternative</v>
          </cell>
          <cell r="G3483" t="str">
            <v>Other</v>
          </cell>
          <cell r="H3483" t="str">
            <v>ALTS</v>
          </cell>
          <cell r="I3483" t="str">
            <v>Mortgage - Moneyness</v>
          </cell>
        </row>
        <row r="3484">
          <cell r="A3484" t="str">
            <v>USD_TBA15_ITM20_V530</v>
          </cell>
          <cell r="B3484" t="str">
            <v>TBA15 ITM200 v530</v>
          </cell>
          <cell r="C3484" t="str">
            <v>BRS_GOLD__5_SPREADS:BRS_GOLD__3_OTHER_SPREADS:BRS_GOLD__1_MTG,TBA_ALL,PAYUP,NONAGENCY,MORT_IDIO,CRT,CRT_SP_RISK:TBA_ALL:TBA_15YR:USD_TBA15_ITM20_V530</v>
          </cell>
          <cell r="D3484" t="str">
            <v>Spread Duration</v>
          </cell>
          <cell r="E3484" t="str">
            <v>Spread Yield</v>
          </cell>
          <cell r="F3484" t="str">
            <v>Alternative</v>
          </cell>
          <cell r="G3484" t="str">
            <v>Other</v>
          </cell>
          <cell r="H3484" t="str">
            <v>ALTS</v>
          </cell>
          <cell r="I3484" t="str">
            <v>Mortgage - Moneyness</v>
          </cell>
        </row>
        <row r="3485">
          <cell r="A3485" t="str">
            <v>USD_TBA15_ITM25_V521</v>
          </cell>
          <cell r="B3485" t="str">
            <v>TBA15 ITM250</v>
          </cell>
          <cell r="C3485" t="str">
            <v>BRS_GOLD__5_SPREADS:BRS_GOLD__3_OTHER_SPREADS:BRS_GOLD__1_MTG,TBA_ALL,PAYUP,NONAGENCY,MORT_IDIO,CRT,CRT_SP_RISK:TBA_ALL:TBA_15YR:USD_TBA15_ITM25_V521</v>
          </cell>
          <cell r="D3485" t="str">
            <v>Spread Duration</v>
          </cell>
          <cell r="E3485" t="str">
            <v>Spread Yield</v>
          </cell>
          <cell r="F3485" t="str">
            <v>Alternative</v>
          </cell>
          <cell r="G3485" t="str">
            <v>Other</v>
          </cell>
          <cell r="H3485" t="str">
            <v>ALTS</v>
          </cell>
          <cell r="I3485" t="str">
            <v>Mortgage - Moneyness</v>
          </cell>
        </row>
        <row r="3486">
          <cell r="A3486" t="str">
            <v>USD_TBA15_ITM25_V530</v>
          </cell>
          <cell r="B3486" t="str">
            <v>TBA15 ITM250 v530</v>
          </cell>
          <cell r="C3486" t="str">
            <v>BRS_GOLD__5_SPREADS:BRS_GOLD__3_OTHER_SPREADS:BRS_GOLD__1_MTG,TBA_ALL,PAYUP,NONAGENCY,MORT_IDIO,CRT,CRT_SP_RISK:TBA_ALL:TBA_15YR:USD_TBA15_ITM25_V530</v>
          </cell>
          <cell r="D3486" t="str">
            <v>Spread Duration</v>
          </cell>
          <cell r="E3486" t="str">
            <v>Spread Yield</v>
          </cell>
          <cell r="F3486" t="str">
            <v>Alternative</v>
          </cell>
          <cell r="G3486" t="str">
            <v>Other</v>
          </cell>
          <cell r="H3486" t="str">
            <v>ALTS</v>
          </cell>
          <cell r="I3486" t="str">
            <v>Mortgage - Moneyness</v>
          </cell>
        </row>
        <row r="3487">
          <cell r="A3487" t="str">
            <v>USD_TBA15_ITM30_V521</v>
          </cell>
          <cell r="B3487" t="str">
            <v>TBA15 ITM300</v>
          </cell>
          <cell r="C3487" t="str">
            <v>BRS_GOLD__5_SPREADS:BRS_GOLD__3_OTHER_SPREADS:BRS_GOLD__1_MTG,TBA_ALL,PAYUP,NONAGENCY,MORT_IDIO,CRT,CRT_SP_RISK:TBA_ALL:TBA_15YR:USD_TBA15_ITM30_V521</v>
          </cell>
          <cell r="D3487" t="str">
            <v>Spread Duration</v>
          </cell>
          <cell r="E3487" t="str">
            <v>Spread Yield</v>
          </cell>
          <cell r="F3487" t="str">
            <v>Alternative</v>
          </cell>
          <cell r="G3487" t="str">
            <v>Other</v>
          </cell>
          <cell r="H3487" t="str">
            <v>ALTS</v>
          </cell>
          <cell r="I3487" t="str">
            <v>Mortgage - Moneyness</v>
          </cell>
        </row>
        <row r="3488">
          <cell r="A3488" t="str">
            <v>USD_TBA15_ITM30_V530</v>
          </cell>
          <cell r="B3488" t="str">
            <v>TBA15 ITM300 v530</v>
          </cell>
          <cell r="C3488" t="str">
            <v>BRS_GOLD__5_SPREADS:BRS_GOLD__3_OTHER_SPREADS:BRS_GOLD__1_MTG,TBA_ALL,PAYUP,NONAGENCY,MORT_IDIO,CRT,CRT_SP_RISK:TBA_ALL:TBA_15YR:USD_TBA15_ITM30_V530</v>
          </cell>
          <cell r="D3488" t="str">
            <v>Spread Duration</v>
          </cell>
          <cell r="E3488" t="str">
            <v>Spread Yield</v>
          </cell>
          <cell r="F3488" t="str">
            <v>Alternative</v>
          </cell>
          <cell r="G3488" t="str">
            <v>Other</v>
          </cell>
          <cell r="H3488" t="str">
            <v>ALTS</v>
          </cell>
          <cell r="I3488" t="str">
            <v>Mortgage - Moneyness</v>
          </cell>
        </row>
        <row r="3489">
          <cell r="A3489" t="str">
            <v>USD_TBA15_ITM35_V521</v>
          </cell>
          <cell r="B3489" t="str">
            <v>TBA15 ITM350</v>
          </cell>
          <cell r="C3489" t="str">
            <v>BRS_GOLD__5_SPREADS:BRS_GOLD__3_OTHER_SPREADS:BRS_GOLD__1_MTG,TBA_ALL,PAYUP,NONAGENCY,MORT_IDIO,CRT,CRT_SP_RISK:TBA_ALL:TBA_15YR:USD_TBA15_ITM35_V521</v>
          </cell>
          <cell r="D3489" t="str">
            <v>Spread Duration</v>
          </cell>
          <cell r="E3489" t="str">
            <v>Spread Yield</v>
          </cell>
          <cell r="F3489" t="str">
            <v>Alternative</v>
          </cell>
          <cell r="G3489" t="str">
            <v>Other</v>
          </cell>
          <cell r="H3489" t="str">
            <v>ALTS</v>
          </cell>
          <cell r="I3489" t="str">
            <v>Mortgage - Moneyness</v>
          </cell>
        </row>
        <row r="3490">
          <cell r="A3490" t="str">
            <v>USD_TBA15_ITM35_V530</v>
          </cell>
          <cell r="B3490" t="str">
            <v>TBA15 ITM350 v530</v>
          </cell>
          <cell r="C3490" t="str">
            <v>BRS_GOLD__5_SPREADS:BRS_GOLD__3_OTHER_SPREADS:BRS_GOLD__1_MTG,TBA_ALL,PAYUP,NONAGENCY,MORT_IDIO,CRT,CRT_SP_RISK:TBA_ALL:TBA_15YR:USD_TBA15_ITM35_V530</v>
          </cell>
          <cell r="D3490" t="str">
            <v>Spread Duration</v>
          </cell>
          <cell r="E3490" t="str">
            <v>Spread Yield</v>
          </cell>
          <cell r="F3490" t="str">
            <v>Alternative</v>
          </cell>
          <cell r="G3490" t="str">
            <v>Other</v>
          </cell>
          <cell r="H3490" t="str">
            <v>ALTS</v>
          </cell>
          <cell r="I3490" t="str">
            <v>Mortgage - Moneyness</v>
          </cell>
        </row>
        <row r="3491">
          <cell r="A3491" t="str">
            <v>USD_TBA15_OTM5_V521</v>
          </cell>
          <cell r="B3491" t="str">
            <v>TBA15 OTM50</v>
          </cell>
          <cell r="C3491" t="str">
            <v>BRS_GOLD__5_SPREADS:BRS_GOLD__3_OTHER_SPREADS:BRS_GOLD__1_MTG,TBA_ALL,PAYUP,NONAGENCY,MORT_IDIO,CRT,CRT_SP_RISK:TBA_ALL:TBA_15YR:USD_TBA15_OTM5_V521</v>
          </cell>
          <cell r="D3491" t="str">
            <v>Spread Duration</v>
          </cell>
          <cell r="E3491" t="str">
            <v>Spread Yield</v>
          </cell>
          <cell r="F3491" t="str">
            <v>Alternative</v>
          </cell>
          <cell r="G3491" t="str">
            <v>Other</v>
          </cell>
          <cell r="H3491" t="str">
            <v>ALTS</v>
          </cell>
          <cell r="I3491" t="str">
            <v>Mortgage - Moneyness</v>
          </cell>
        </row>
        <row r="3492">
          <cell r="A3492" t="str">
            <v>USD_TBA15_OTM5_V530</v>
          </cell>
          <cell r="B3492" t="str">
            <v>TBA15 OTM50 v530</v>
          </cell>
          <cell r="C3492" t="str">
            <v>BRS_GOLD__5_SPREADS:BRS_GOLD__3_OTHER_SPREADS:BRS_GOLD__1_MTG,TBA_ALL,PAYUP,NONAGENCY,MORT_IDIO,CRT,CRT_SP_RISK:TBA_ALL:TBA_15YR:USD_TBA15_OTM5_V530</v>
          </cell>
          <cell r="D3492" t="str">
            <v>Spread Duration</v>
          </cell>
          <cell r="E3492" t="str">
            <v>Spread Yield</v>
          </cell>
          <cell r="F3492" t="str">
            <v>Alternative</v>
          </cell>
          <cell r="G3492" t="str">
            <v>Other</v>
          </cell>
          <cell r="H3492" t="str">
            <v>ALTS</v>
          </cell>
          <cell r="I3492" t="str">
            <v>Mortgage - Moneyness</v>
          </cell>
        </row>
        <row r="3493">
          <cell r="A3493" t="str">
            <v>USD_TBA15_OTM10_V521</v>
          </cell>
          <cell r="B3493" t="str">
            <v>TBA15 OTM100</v>
          </cell>
          <cell r="C3493" t="str">
            <v>BRS_GOLD__5_SPREADS:BRS_GOLD__3_OTHER_SPREADS:BRS_GOLD__1_MTG,TBA_ALL,PAYUP,NONAGENCY,MORT_IDIO,CRT,CRT_SP_RISK:TBA_ALL:TBA_15YR:USD_TBA15_OTM10_V521</v>
          </cell>
          <cell r="D3493" t="str">
            <v>Spread Duration</v>
          </cell>
          <cell r="E3493" t="str">
            <v>Spread Yield</v>
          </cell>
          <cell r="F3493" t="str">
            <v>Alternative</v>
          </cell>
          <cell r="G3493" t="str">
            <v>Other</v>
          </cell>
          <cell r="H3493" t="str">
            <v>ALTS</v>
          </cell>
          <cell r="I3493" t="str">
            <v>Mortgage - Moneyness</v>
          </cell>
        </row>
        <row r="3494">
          <cell r="A3494" t="str">
            <v>USD_TBA15_OTM10_V530</v>
          </cell>
          <cell r="B3494" t="str">
            <v>TBA15 OTM100 v530</v>
          </cell>
          <cell r="C3494" t="str">
            <v>BRS_GOLD__5_SPREADS:BRS_GOLD__3_OTHER_SPREADS:BRS_GOLD__1_MTG,TBA_ALL,PAYUP,NONAGENCY,MORT_IDIO,CRT,CRT_SP_RISK:TBA_ALL:TBA_15YR:USD_TBA15_OTM10_V530</v>
          </cell>
          <cell r="D3494" t="str">
            <v>Spread Duration</v>
          </cell>
          <cell r="E3494" t="str">
            <v>Spread Yield</v>
          </cell>
          <cell r="F3494" t="str">
            <v>Alternative</v>
          </cell>
          <cell r="G3494" t="str">
            <v>Other</v>
          </cell>
          <cell r="H3494" t="str">
            <v>ALTS</v>
          </cell>
          <cell r="I3494" t="str">
            <v>Mortgage - Moneyness</v>
          </cell>
        </row>
        <row r="3495">
          <cell r="A3495" t="str">
            <v>USD_TBA15_OTM15_V521</v>
          </cell>
          <cell r="B3495" t="str">
            <v>TBA15 OTM150</v>
          </cell>
          <cell r="C3495" t="str">
            <v>BRS_GOLD__5_SPREADS:BRS_GOLD__3_OTHER_SPREADS:BRS_GOLD__1_MTG,TBA_ALL,PAYUP,NONAGENCY,MORT_IDIO,CRT,CRT_SP_RISK:TBA_ALL:TBA_15YR:USD_TBA15_OTM15_V521</v>
          </cell>
          <cell r="D3495" t="str">
            <v>Spread Duration</v>
          </cell>
          <cell r="E3495" t="str">
            <v>Spread Yield</v>
          </cell>
          <cell r="F3495" t="str">
            <v>Alternative</v>
          </cell>
          <cell r="G3495" t="str">
            <v>Other</v>
          </cell>
          <cell r="H3495" t="str">
            <v>ALTS</v>
          </cell>
          <cell r="I3495" t="str">
            <v>Mortgage - Moneyness</v>
          </cell>
        </row>
        <row r="3496">
          <cell r="A3496" t="str">
            <v>USD_TBA15_OTM15_V530</v>
          </cell>
          <cell r="B3496" t="str">
            <v>TBA15 OTM150 v530</v>
          </cell>
          <cell r="C3496" t="str">
            <v>BRS_GOLD__5_SPREADS:BRS_GOLD__3_OTHER_SPREADS:BRS_GOLD__1_MTG,TBA_ALL,PAYUP,NONAGENCY,MORT_IDIO,CRT,CRT_SP_RISK:TBA_ALL:TBA_15YR:USD_TBA15_OTM15_V530</v>
          </cell>
          <cell r="D3496" t="str">
            <v>Spread Duration</v>
          </cell>
          <cell r="E3496" t="str">
            <v>Spread Yield</v>
          </cell>
          <cell r="F3496" t="str">
            <v>Alternative</v>
          </cell>
          <cell r="G3496" t="str">
            <v>Other</v>
          </cell>
          <cell r="H3496" t="str">
            <v>ALTS</v>
          </cell>
          <cell r="I3496" t="str">
            <v>Mortgage - Moneyness</v>
          </cell>
        </row>
        <row r="3497">
          <cell r="A3497" t="str">
            <v>USD_TBA15_OTM20_V521</v>
          </cell>
          <cell r="B3497" t="str">
            <v>TBA15 OTM200</v>
          </cell>
          <cell r="C3497" t="str">
            <v>BRS_GOLD__5_SPREADS:BRS_GOLD__3_OTHER_SPREADS:BRS_GOLD__1_MTG,TBA_ALL,PAYUP,NONAGENCY,MORT_IDIO,CRT,CRT_SP_RISK:TBA_ALL:TBA_15YR:USD_TBA15_OTM20_V521</v>
          </cell>
          <cell r="D3497" t="str">
            <v>Spread Duration</v>
          </cell>
          <cell r="E3497" t="str">
            <v>Spread Yield</v>
          </cell>
          <cell r="F3497" t="str">
            <v>Alternative</v>
          </cell>
          <cell r="G3497" t="str">
            <v>Other</v>
          </cell>
          <cell r="H3497" t="str">
            <v>ALTS</v>
          </cell>
          <cell r="I3497" t="str">
            <v>Mortgage - Moneyness</v>
          </cell>
        </row>
        <row r="3498">
          <cell r="A3498" t="str">
            <v>USD_TBA15_OTM20_V530</v>
          </cell>
          <cell r="B3498" t="str">
            <v>TBA15 OTM200 v530</v>
          </cell>
          <cell r="C3498" t="str">
            <v>BRS_GOLD__5_SPREADS:BRS_GOLD__3_OTHER_SPREADS:BRS_GOLD__1_MTG,TBA_ALL,PAYUP,NONAGENCY,MORT_IDIO,CRT,CRT_SP_RISK:TBA_ALL:TBA_15YR:USD_TBA15_OTM20_V530</v>
          </cell>
          <cell r="D3498" t="str">
            <v>Spread Duration</v>
          </cell>
          <cell r="E3498" t="str">
            <v>Spread Yield</v>
          </cell>
          <cell r="F3498" t="str">
            <v>Alternative</v>
          </cell>
          <cell r="G3498" t="str">
            <v>Other</v>
          </cell>
          <cell r="H3498" t="str">
            <v>ALTS</v>
          </cell>
          <cell r="I3498" t="str">
            <v>Mortgage - Moneyness</v>
          </cell>
        </row>
        <row r="3499">
          <cell r="A3499" t="str">
            <v>USD_TBA15_OTM25_V521</v>
          </cell>
          <cell r="B3499" t="str">
            <v>TBA15 OTM250</v>
          </cell>
          <cell r="C3499" t="str">
            <v>BRS_GOLD__5_SPREADS:BRS_GOLD__3_OTHER_SPREADS:BRS_GOLD__1_MTG,TBA_ALL,PAYUP,NONAGENCY,MORT_IDIO,CRT,CRT_SP_RISK:TBA_ALL:TBA_15YR:USD_TBA15_OTM25_V521</v>
          </cell>
          <cell r="D3499" t="str">
            <v>Spread Duration</v>
          </cell>
          <cell r="E3499" t="str">
            <v>Spread Yield</v>
          </cell>
          <cell r="F3499" t="str">
            <v>Alternative</v>
          </cell>
          <cell r="G3499" t="str">
            <v>Other</v>
          </cell>
          <cell r="H3499" t="str">
            <v>ALTS</v>
          </cell>
          <cell r="I3499" t="str">
            <v>Mortgage - Moneyness</v>
          </cell>
        </row>
        <row r="3500">
          <cell r="A3500" t="str">
            <v>USD_TBA15_OTM25_V530</v>
          </cell>
          <cell r="B3500" t="str">
            <v>TBA15 OTM250 v530</v>
          </cell>
          <cell r="C3500" t="str">
            <v>BRS_GOLD__5_SPREADS:BRS_GOLD__3_OTHER_SPREADS:BRS_GOLD__1_MTG,TBA_ALL,PAYUP,NONAGENCY,MORT_IDIO,CRT,CRT_SP_RISK:TBA_ALL:TBA_15YR:USD_TBA15_OTM25_V530</v>
          </cell>
          <cell r="D3500" t="str">
            <v>Spread Duration</v>
          </cell>
          <cell r="E3500" t="str">
            <v>Spread Yield</v>
          </cell>
          <cell r="F3500" t="str">
            <v>Alternative</v>
          </cell>
          <cell r="G3500" t="str">
            <v>Other</v>
          </cell>
          <cell r="H3500" t="str">
            <v>ALTS</v>
          </cell>
          <cell r="I3500" t="str">
            <v>Mortgage - Moneyness</v>
          </cell>
        </row>
        <row r="3501">
          <cell r="A3501" t="str">
            <v>USD_TBA15_OTM30_V521</v>
          </cell>
          <cell r="B3501" t="str">
            <v>TBA15 OTM300</v>
          </cell>
          <cell r="C3501" t="str">
            <v>BRS_GOLD__5_SPREADS:BRS_GOLD__3_OTHER_SPREADS:BRS_GOLD__1_MTG,TBA_ALL,PAYUP,NONAGENCY,MORT_IDIO,CRT,CRT_SP_RISK:TBA_ALL:TBA_15YR:USD_TBA15_OTM30_V521</v>
          </cell>
          <cell r="D3501" t="str">
            <v>Spread Duration</v>
          </cell>
          <cell r="E3501" t="str">
            <v>Spread Yield</v>
          </cell>
          <cell r="F3501" t="str">
            <v>Alternative</v>
          </cell>
          <cell r="G3501" t="str">
            <v>Other</v>
          </cell>
          <cell r="H3501" t="str">
            <v>ALTS</v>
          </cell>
          <cell r="I3501" t="str">
            <v>Mortgage - Moneyness</v>
          </cell>
        </row>
        <row r="3502">
          <cell r="A3502" t="str">
            <v>USD_TBA15_OTM30_V530</v>
          </cell>
          <cell r="B3502" t="str">
            <v>TBA15 OTM300 v530</v>
          </cell>
          <cell r="C3502" t="str">
            <v>BRS_GOLD__5_SPREADS:BRS_GOLD__3_OTHER_SPREADS:BRS_GOLD__1_MTG,TBA_ALL,PAYUP,NONAGENCY,MORT_IDIO,CRT,CRT_SP_RISK:TBA_ALL:TBA_15YR:USD_TBA15_OTM30_V530</v>
          </cell>
          <cell r="D3502" t="str">
            <v>Spread Duration</v>
          </cell>
          <cell r="E3502" t="str">
            <v>Spread Yield</v>
          </cell>
          <cell r="F3502" t="str">
            <v>Alternative</v>
          </cell>
          <cell r="G3502" t="str">
            <v>Other</v>
          </cell>
          <cell r="H3502" t="str">
            <v>ALTS</v>
          </cell>
          <cell r="I3502" t="str">
            <v>Mortgage - Moneyness</v>
          </cell>
        </row>
        <row r="3503">
          <cell r="A3503" t="str">
            <v>USD_TBA15_OTM35_V521</v>
          </cell>
          <cell r="B3503" t="str">
            <v>TBA15 OTM350</v>
          </cell>
          <cell r="C3503" t="str">
            <v>BRS_GOLD__5_SPREADS:BRS_GOLD__3_OTHER_SPREADS:BRS_GOLD__1_MTG,TBA_ALL,PAYUP,NONAGENCY,MORT_IDIO,CRT,CRT_SP_RISK:TBA_ALL:TBA_15YR:USD_TBA15_OTM35_V521</v>
          </cell>
          <cell r="D3503" t="str">
            <v>Spread Duration</v>
          </cell>
          <cell r="E3503" t="str">
            <v>Spread Yield</v>
          </cell>
          <cell r="F3503" t="str">
            <v>Alternative</v>
          </cell>
          <cell r="G3503" t="str">
            <v>Other</v>
          </cell>
          <cell r="H3503" t="str">
            <v>ALTS</v>
          </cell>
          <cell r="I3503" t="str">
            <v>Mortgage - Moneyness</v>
          </cell>
        </row>
        <row r="3504">
          <cell r="A3504" t="str">
            <v>USD_TBA15_OTM35_V530</v>
          </cell>
          <cell r="B3504" t="str">
            <v>TBA15 OTM350 v530</v>
          </cell>
          <cell r="C3504" t="str">
            <v>BRS_GOLD__5_SPREADS:BRS_GOLD__3_OTHER_SPREADS:BRS_GOLD__1_MTG,TBA_ALL,PAYUP,NONAGENCY,MORT_IDIO,CRT,CRT_SP_RISK:TBA_ALL:TBA_15YR:USD_TBA15_OTM35_V530</v>
          </cell>
          <cell r="D3504" t="str">
            <v>Spread Duration</v>
          </cell>
          <cell r="E3504" t="str">
            <v>Spread Yield</v>
          </cell>
          <cell r="F3504" t="str">
            <v>Alternative</v>
          </cell>
          <cell r="G3504" t="str">
            <v>Other</v>
          </cell>
          <cell r="H3504" t="str">
            <v>ALTS</v>
          </cell>
          <cell r="I3504" t="str">
            <v>Mortgage - Moneyness</v>
          </cell>
        </row>
        <row r="3505">
          <cell r="A3505" t="str">
            <v>USD_TBA15_ATM_V540</v>
          </cell>
          <cell r="B3505" t="str">
            <v>TBA15 ATM v540</v>
          </cell>
          <cell r="C3505" t="str">
            <v>BRS_GOLD__5_SPREADS:BRS_GOLD__3_OTHER_SPREADS:BRS_GOLD__1_MTG,TBA_ALL,PAYUP,NONAGENCY,MORT_IDIO,CRT,CRT_SP_RISK:TBA_ALL:TBA_15YR:USD_TBA15_ATM_V540</v>
          </cell>
          <cell r="D3505" t="str">
            <v>Spread Duration</v>
          </cell>
          <cell r="E3505" t="str">
            <v>Spread Yield</v>
          </cell>
          <cell r="F3505" t="str">
            <v>Alternative</v>
          </cell>
          <cell r="G3505" t="str">
            <v>Other</v>
          </cell>
          <cell r="H3505" t="str">
            <v>ALTS</v>
          </cell>
          <cell r="I3505" t="str">
            <v>Mortgage - Moneyness</v>
          </cell>
        </row>
        <row r="3506">
          <cell r="A3506" t="str">
            <v>USD_TBA15_ITM10_V540</v>
          </cell>
          <cell r="B3506" t="str">
            <v>TBA15 ITM100 v540</v>
          </cell>
          <cell r="C3506" t="str">
            <v>BRS_GOLD__5_SPREADS:BRS_GOLD__3_OTHER_SPREADS:BRS_GOLD__1_MTG,TBA_ALL,PAYUP,NONAGENCY,MORT_IDIO,CRT,CRT_SP_RISK:TBA_ALL:TBA_15YR:USD_TBA15_ITM10_V540</v>
          </cell>
          <cell r="D3506" t="str">
            <v>Spread Duration</v>
          </cell>
          <cell r="E3506" t="str">
            <v>Spread Yield</v>
          </cell>
          <cell r="F3506" t="str">
            <v>Alternative</v>
          </cell>
          <cell r="G3506" t="str">
            <v>Other</v>
          </cell>
          <cell r="H3506" t="str">
            <v>ALTS</v>
          </cell>
          <cell r="I3506" t="str">
            <v>Mortgage - Moneyness</v>
          </cell>
        </row>
        <row r="3507">
          <cell r="A3507" t="str">
            <v>USD_TBA15_ITM15_V540</v>
          </cell>
          <cell r="B3507" t="str">
            <v>TBA15 ITM150 v540</v>
          </cell>
          <cell r="C3507" t="str">
            <v>BRS_GOLD__5_SPREADS:BRS_GOLD__3_OTHER_SPREADS:BRS_GOLD__1_MTG,TBA_ALL,PAYUP,NONAGENCY,MORT_IDIO,CRT,CRT_SP_RISK:TBA_ALL:TBA_15YR:USD_TBA15_ITM15_V540</v>
          </cell>
          <cell r="D3507" t="str">
            <v>Spread Duration</v>
          </cell>
          <cell r="E3507" t="str">
            <v>Spread Yield</v>
          </cell>
          <cell r="F3507" t="str">
            <v>Alternative</v>
          </cell>
          <cell r="G3507" t="str">
            <v>Other</v>
          </cell>
          <cell r="H3507" t="str">
            <v>ALTS</v>
          </cell>
          <cell r="I3507" t="str">
            <v>Mortgage - Moneyness</v>
          </cell>
        </row>
        <row r="3508">
          <cell r="A3508" t="str">
            <v>USD_TBA15_ITM20_V540</v>
          </cell>
          <cell r="B3508" t="str">
            <v>TBA15 ITM200 v540</v>
          </cell>
          <cell r="C3508" t="str">
            <v>BRS_GOLD__5_SPREADS:BRS_GOLD__3_OTHER_SPREADS:BRS_GOLD__1_MTG,TBA_ALL,PAYUP,NONAGENCY,MORT_IDIO,CRT,CRT_SP_RISK:TBA_ALL:TBA_15YR:USD_TBA15_ITM20_V540</v>
          </cell>
          <cell r="D3508" t="str">
            <v>Spread Duration</v>
          </cell>
          <cell r="E3508" t="str">
            <v>Spread Yield</v>
          </cell>
          <cell r="F3508" t="str">
            <v>Alternative</v>
          </cell>
          <cell r="G3508" t="str">
            <v>Other</v>
          </cell>
          <cell r="H3508" t="str">
            <v>ALTS</v>
          </cell>
          <cell r="I3508" t="str">
            <v>Mortgage - Moneyness</v>
          </cell>
        </row>
        <row r="3509">
          <cell r="A3509" t="str">
            <v>USD_TBA15_ITM25_V540</v>
          </cell>
          <cell r="B3509" t="str">
            <v>TBA15 ITM250 v540</v>
          </cell>
          <cell r="C3509" t="str">
            <v>BRS_GOLD__5_SPREADS:BRS_GOLD__3_OTHER_SPREADS:BRS_GOLD__1_MTG,TBA_ALL,PAYUP,NONAGENCY,MORT_IDIO,CRT,CRT_SP_RISK:TBA_ALL:TBA_15YR:USD_TBA15_ITM25_V540</v>
          </cell>
          <cell r="D3509" t="str">
            <v>Spread Duration</v>
          </cell>
          <cell r="E3509" t="str">
            <v>Spread Yield</v>
          </cell>
          <cell r="F3509" t="str">
            <v>Alternative</v>
          </cell>
          <cell r="G3509" t="str">
            <v>Other</v>
          </cell>
          <cell r="H3509" t="str">
            <v>ALTS</v>
          </cell>
          <cell r="I3509" t="str">
            <v>Mortgage - Moneyness</v>
          </cell>
        </row>
        <row r="3510">
          <cell r="A3510" t="str">
            <v>USD_TBA15_ITM30_V540</v>
          </cell>
          <cell r="B3510" t="str">
            <v>TBA15 ITM300 v540</v>
          </cell>
          <cell r="C3510" t="str">
            <v>BRS_GOLD__5_SPREADS:BRS_GOLD__3_OTHER_SPREADS:BRS_GOLD__1_MTG,TBA_ALL,PAYUP,NONAGENCY,MORT_IDIO,CRT,CRT_SP_RISK:TBA_ALL:TBA_15YR:USD_TBA15_ITM30_V540</v>
          </cell>
          <cell r="D3510" t="str">
            <v>Spread Duration</v>
          </cell>
          <cell r="E3510" t="str">
            <v>Spread Yield</v>
          </cell>
          <cell r="F3510" t="str">
            <v>Alternative</v>
          </cell>
          <cell r="G3510" t="str">
            <v>Other</v>
          </cell>
          <cell r="H3510" t="str">
            <v>ALTS</v>
          </cell>
          <cell r="I3510" t="str">
            <v>Mortgage - Moneyness</v>
          </cell>
        </row>
        <row r="3511">
          <cell r="A3511" t="str">
            <v>USD_TBA15_ITM35_V540</v>
          </cell>
          <cell r="B3511" t="str">
            <v>TBA15 ITM350 v540</v>
          </cell>
          <cell r="C3511" t="str">
            <v>BRS_GOLD__5_SPREADS:BRS_GOLD__3_OTHER_SPREADS:BRS_GOLD__1_MTG,TBA_ALL,PAYUP,NONAGENCY,MORT_IDIO,CRT,CRT_SP_RISK:TBA_ALL:TBA_15YR:USD_TBA15_ITM35_V540</v>
          </cell>
          <cell r="D3511" t="str">
            <v>Spread Duration</v>
          </cell>
          <cell r="E3511" t="str">
            <v>Spread Yield</v>
          </cell>
          <cell r="F3511" t="str">
            <v>Alternative</v>
          </cell>
          <cell r="G3511" t="str">
            <v>Other</v>
          </cell>
          <cell r="H3511" t="str">
            <v>ALTS</v>
          </cell>
          <cell r="I3511" t="str">
            <v>Mortgage - Moneyness</v>
          </cell>
        </row>
        <row r="3512">
          <cell r="A3512" t="str">
            <v>USD_TBA15_ITM5_V540</v>
          </cell>
          <cell r="B3512" t="str">
            <v>TBA15 ITM50 v540</v>
          </cell>
          <cell r="C3512" t="str">
            <v>BRS_GOLD__5_SPREADS:BRS_GOLD__3_OTHER_SPREADS:BRS_GOLD__1_MTG,TBA_ALL,PAYUP,NONAGENCY,MORT_IDIO,CRT,CRT_SP_RISK:TBA_ALL:TBA_15YR:USD_TBA15_ITM5_V540</v>
          </cell>
          <cell r="D3512" t="str">
            <v>Spread Duration</v>
          </cell>
          <cell r="E3512" t="str">
            <v>Spread Yield</v>
          </cell>
          <cell r="F3512" t="str">
            <v>Alternative</v>
          </cell>
          <cell r="G3512" t="str">
            <v>Other</v>
          </cell>
          <cell r="H3512" t="str">
            <v>ALTS</v>
          </cell>
          <cell r="I3512" t="str">
            <v>Mortgage - Moneyness</v>
          </cell>
        </row>
        <row r="3513">
          <cell r="A3513" t="str">
            <v>USD_TBA15_OTM10_V540</v>
          </cell>
          <cell r="B3513" t="str">
            <v>TBA15 OTM100 v540</v>
          </cell>
          <cell r="C3513" t="str">
            <v>BRS_GOLD__5_SPREADS:BRS_GOLD__3_OTHER_SPREADS:BRS_GOLD__1_MTG,TBA_ALL,PAYUP,NONAGENCY,MORT_IDIO,CRT,CRT_SP_RISK:TBA_ALL:TBA_15YR:USD_TBA15_OTM10_V540</v>
          </cell>
          <cell r="D3513" t="str">
            <v>Spread Duration</v>
          </cell>
          <cell r="E3513" t="str">
            <v>Spread Yield</v>
          </cell>
          <cell r="F3513" t="str">
            <v>Alternative</v>
          </cell>
          <cell r="G3513" t="str">
            <v>Other</v>
          </cell>
          <cell r="H3513" t="str">
            <v>ALTS</v>
          </cell>
          <cell r="I3513" t="str">
            <v>Mortgage - Moneyness</v>
          </cell>
        </row>
        <row r="3514">
          <cell r="A3514" t="str">
            <v>USD_TBA15_OTM15_V540</v>
          </cell>
          <cell r="B3514" t="str">
            <v>TBA15 OTM150 v540</v>
          </cell>
          <cell r="C3514" t="str">
            <v>BRS_GOLD__5_SPREADS:BRS_GOLD__3_OTHER_SPREADS:BRS_GOLD__1_MTG,TBA_ALL,PAYUP,NONAGENCY,MORT_IDIO,CRT,CRT_SP_RISK:TBA_ALL:TBA_15YR:USD_TBA15_OTM15_V540</v>
          </cell>
          <cell r="D3514" t="str">
            <v>Spread Duration</v>
          </cell>
          <cell r="E3514" t="str">
            <v>Spread Yield</v>
          </cell>
          <cell r="F3514" t="str">
            <v>Alternative</v>
          </cell>
          <cell r="G3514" t="str">
            <v>Other</v>
          </cell>
          <cell r="H3514" t="str">
            <v>ALTS</v>
          </cell>
          <cell r="I3514" t="str">
            <v>Mortgage - Moneyness</v>
          </cell>
        </row>
        <row r="3515">
          <cell r="A3515" t="str">
            <v>USD_TBA15_OTM20_V540</v>
          </cell>
          <cell r="B3515" t="str">
            <v>TBA15 OTM200 v540</v>
          </cell>
          <cell r="C3515" t="str">
            <v>BRS_GOLD__5_SPREADS:BRS_GOLD__3_OTHER_SPREADS:BRS_GOLD__1_MTG,TBA_ALL,PAYUP,NONAGENCY,MORT_IDIO,CRT,CRT_SP_RISK:TBA_ALL:TBA_15YR:USD_TBA15_OTM20_V540</v>
          </cell>
          <cell r="D3515" t="str">
            <v>Spread Duration</v>
          </cell>
          <cell r="E3515" t="str">
            <v>Spread Yield</v>
          </cell>
          <cell r="F3515" t="str">
            <v>Alternative</v>
          </cell>
          <cell r="G3515" t="str">
            <v>Other</v>
          </cell>
          <cell r="H3515" t="str">
            <v>ALTS</v>
          </cell>
          <cell r="I3515" t="str">
            <v>Mortgage - Moneyness</v>
          </cell>
        </row>
        <row r="3516">
          <cell r="A3516" t="str">
            <v>USD_TBA15_OTM25_V540</v>
          </cell>
          <cell r="B3516" t="str">
            <v>TBA15 OTM250 v540</v>
          </cell>
          <cell r="C3516" t="str">
            <v>BRS_GOLD__5_SPREADS:BRS_GOLD__3_OTHER_SPREADS:BRS_GOLD__1_MTG,TBA_ALL,PAYUP,NONAGENCY,MORT_IDIO,CRT,CRT_SP_RISK:TBA_ALL:TBA_15YR:USD_TBA15_OTM25_V540</v>
          </cell>
          <cell r="D3516" t="str">
            <v>Spread Duration</v>
          </cell>
          <cell r="E3516" t="str">
            <v>Spread Yield</v>
          </cell>
          <cell r="F3516" t="str">
            <v>Alternative</v>
          </cell>
          <cell r="G3516" t="str">
            <v>Other</v>
          </cell>
          <cell r="H3516" t="str">
            <v>ALTS</v>
          </cell>
          <cell r="I3516" t="str">
            <v>Mortgage - Moneyness</v>
          </cell>
        </row>
        <row r="3517">
          <cell r="A3517" t="str">
            <v>USD_TBA15_OTM30_V540</v>
          </cell>
          <cell r="B3517" t="str">
            <v>TBA15 OTM300 v540</v>
          </cell>
          <cell r="C3517" t="str">
            <v>BRS_GOLD__5_SPREADS:BRS_GOLD__3_OTHER_SPREADS:BRS_GOLD__1_MTG,TBA_ALL,PAYUP,NONAGENCY,MORT_IDIO,CRT,CRT_SP_RISK:TBA_ALL:TBA_15YR:USD_TBA15_OTM30_V540</v>
          </cell>
          <cell r="D3517" t="str">
            <v>Spread Duration</v>
          </cell>
          <cell r="E3517" t="str">
            <v>Spread Yield</v>
          </cell>
          <cell r="F3517" t="str">
            <v>Alternative</v>
          </cell>
          <cell r="G3517" t="str">
            <v>Other</v>
          </cell>
          <cell r="H3517" t="str">
            <v>ALTS</v>
          </cell>
          <cell r="I3517" t="str">
            <v>Mortgage - Moneyness</v>
          </cell>
        </row>
        <row r="3518">
          <cell r="A3518" t="str">
            <v>USD_TBA15_OTM35_V540</v>
          </cell>
          <cell r="B3518" t="str">
            <v>TBA15 OTM350 v540</v>
          </cell>
          <cell r="C3518" t="str">
            <v>BRS_GOLD__5_SPREADS:BRS_GOLD__3_OTHER_SPREADS:BRS_GOLD__1_MTG,TBA_ALL,PAYUP,NONAGENCY,MORT_IDIO,CRT,CRT_SP_RISK:TBA_ALL:TBA_15YR:USD_TBA15_OTM35_V540</v>
          </cell>
          <cell r="D3518" t="str">
            <v>Spread Duration</v>
          </cell>
          <cell r="E3518" t="str">
            <v>Spread Yield</v>
          </cell>
          <cell r="F3518" t="str">
            <v>Alternative</v>
          </cell>
          <cell r="G3518" t="str">
            <v>Other</v>
          </cell>
          <cell r="H3518" t="str">
            <v>ALTS</v>
          </cell>
          <cell r="I3518" t="str">
            <v>Mortgage - Moneyness</v>
          </cell>
        </row>
        <row r="3519">
          <cell r="A3519" t="str">
            <v>USD_TBA15_OTM5_V540</v>
          </cell>
          <cell r="B3519" t="str">
            <v>TBA15 OTM50 v540</v>
          </cell>
          <cell r="C3519" t="str">
            <v>BRS_GOLD__5_SPREADS:BRS_GOLD__3_OTHER_SPREADS:BRS_GOLD__1_MTG,TBA_ALL,PAYUP,NONAGENCY,MORT_IDIO,CRT,CRT_SP_RISK:TBA_ALL:TBA_15YR:USD_TBA15_OTM5_V540</v>
          </cell>
          <cell r="D3519" t="str">
            <v>Spread Duration</v>
          </cell>
          <cell r="E3519" t="str">
            <v>Spread Yield</v>
          </cell>
          <cell r="F3519" t="str">
            <v>Alternative</v>
          </cell>
          <cell r="G3519" t="str">
            <v>Other</v>
          </cell>
          <cell r="H3519" t="str">
            <v>ALTS</v>
          </cell>
          <cell r="I3519" t="str">
            <v>Mortgage - Moneyness</v>
          </cell>
        </row>
        <row r="3520">
          <cell r="A3520" t="str">
            <v>USD_TBA15_ATM_V545</v>
          </cell>
          <cell r="B3520" t="str">
            <v>TBA15 ATM v545</v>
          </cell>
          <cell r="C3520" t="str">
            <v>BRS_GOLD__5_SPREADS:BRS_GOLD__3_OTHER_SPREADS:BRS_GOLD__1_MTG,TBA_ALL,PAYUP,NONAGENCY,MORT_IDIO,CRT,CRT_SP_RISK:TBA_ALL:TBA_15YR:USD_TBA15_ATM_V545</v>
          </cell>
          <cell r="D3520" t="str">
            <v>Spread Duration</v>
          </cell>
          <cell r="E3520" t="str">
            <v>Spread Yield</v>
          </cell>
          <cell r="F3520" t="str">
            <v>Alternative</v>
          </cell>
          <cell r="G3520" t="str">
            <v>Other</v>
          </cell>
          <cell r="H3520" t="str">
            <v>ALTS</v>
          </cell>
          <cell r="I3520" t="str">
            <v>Mortgage - Moneyness</v>
          </cell>
        </row>
        <row r="3521">
          <cell r="A3521" t="str">
            <v>USD_TBA15_ITM10_V545</v>
          </cell>
          <cell r="B3521" t="str">
            <v>TBA15 ITM100 v545</v>
          </cell>
          <cell r="C3521" t="str">
            <v>BRS_GOLD__5_SPREADS:BRS_GOLD__3_OTHER_SPREADS:BRS_GOLD__1_MTG,TBA_ALL,PAYUP,NONAGENCY,MORT_IDIO,CRT,CRT_SP_RISK:TBA_ALL:TBA_15YR:USD_TBA15_ITM10_V545</v>
          </cell>
          <cell r="D3521" t="str">
            <v>Spread Duration</v>
          </cell>
          <cell r="E3521" t="str">
            <v>Spread Yield</v>
          </cell>
          <cell r="F3521" t="str">
            <v>Alternative</v>
          </cell>
          <cell r="G3521" t="str">
            <v>Other</v>
          </cell>
          <cell r="H3521" t="str">
            <v>ALTS</v>
          </cell>
          <cell r="I3521" t="str">
            <v>Mortgage - Moneyness</v>
          </cell>
        </row>
        <row r="3522">
          <cell r="A3522" t="str">
            <v>USD_TBA15_ITM15_V545</v>
          </cell>
          <cell r="B3522" t="str">
            <v>TBA15 ITM150 v545</v>
          </cell>
          <cell r="C3522" t="str">
            <v>BRS_GOLD__5_SPREADS:BRS_GOLD__3_OTHER_SPREADS:BRS_GOLD__1_MTG,TBA_ALL,PAYUP,NONAGENCY,MORT_IDIO,CRT,CRT_SP_RISK:TBA_ALL:TBA_15YR:USD_TBA15_ITM15_V545</v>
          </cell>
          <cell r="D3522" t="str">
            <v>Spread Duration</v>
          </cell>
          <cell r="E3522" t="str">
            <v>Spread Yield</v>
          </cell>
          <cell r="F3522" t="str">
            <v>Alternative</v>
          </cell>
          <cell r="G3522" t="str">
            <v>Other</v>
          </cell>
          <cell r="H3522" t="str">
            <v>ALTS</v>
          </cell>
          <cell r="I3522" t="str">
            <v>Mortgage - Moneyness</v>
          </cell>
        </row>
        <row r="3523">
          <cell r="A3523" t="str">
            <v>USD_TBA15_ITM20_V545</v>
          </cell>
          <cell r="B3523" t="str">
            <v>TBA15 ITM200 v545</v>
          </cell>
          <cell r="C3523" t="str">
            <v>BRS_GOLD__5_SPREADS:BRS_GOLD__3_OTHER_SPREADS:BRS_GOLD__1_MTG,TBA_ALL,PAYUP,NONAGENCY,MORT_IDIO,CRT,CRT_SP_RISK:TBA_ALL:TBA_15YR:USD_TBA15_ITM20_V545</v>
          </cell>
          <cell r="D3523" t="str">
            <v>Spread Duration</v>
          </cell>
          <cell r="E3523" t="str">
            <v>Spread Yield</v>
          </cell>
          <cell r="F3523" t="str">
            <v>Alternative</v>
          </cell>
          <cell r="G3523" t="str">
            <v>Other</v>
          </cell>
          <cell r="H3523" t="str">
            <v>ALTS</v>
          </cell>
          <cell r="I3523" t="str">
            <v>Mortgage - Moneyness</v>
          </cell>
        </row>
        <row r="3524">
          <cell r="A3524" t="str">
            <v>USD_TBA15_ITM25_V545</v>
          </cell>
          <cell r="B3524" t="str">
            <v>TBA15 ITM250 v545</v>
          </cell>
          <cell r="C3524" t="str">
            <v>BRS_GOLD__5_SPREADS:BRS_GOLD__3_OTHER_SPREADS:BRS_GOLD__1_MTG,TBA_ALL,PAYUP,NONAGENCY,MORT_IDIO,CRT,CRT_SP_RISK:TBA_ALL:TBA_15YR:USD_TBA15_ITM25_V545</v>
          </cell>
          <cell r="D3524" t="str">
            <v>Spread Duration</v>
          </cell>
          <cell r="E3524" t="str">
            <v>Spread Yield</v>
          </cell>
          <cell r="F3524" t="str">
            <v>Alternative</v>
          </cell>
          <cell r="G3524" t="str">
            <v>Other</v>
          </cell>
          <cell r="H3524" t="str">
            <v>ALTS</v>
          </cell>
          <cell r="I3524" t="str">
            <v>Mortgage - Moneyness</v>
          </cell>
        </row>
        <row r="3525">
          <cell r="A3525" t="str">
            <v>USD_TBA15_ITM30_V545</v>
          </cell>
          <cell r="B3525" t="str">
            <v>TBA15 ITM300 v545</v>
          </cell>
          <cell r="C3525" t="str">
            <v>BRS_GOLD__5_SPREADS:BRS_GOLD__3_OTHER_SPREADS:BRS_GOLD__1_MTG,TBA_ALL,PAYUP,NONAGENCY,MORT_IDIO,CRT,CRT_SP_RISK:TBA_ALL:TBA_15YR:USD_TBA15_ITM30_V545</v>
          </cell>
          <cell r="D3525" t="str">
            <v>Spread Duration</v>
          </cell>
          <cell r="E3525" t="str">
            <v>Spread Yield</v>
          </cell>
          <cell r="F3525" t="str">
            <v>Alternative</v>
          </cell>
          <cell r="G3525" t="str">
            <v>Other</v>
          </cell>
          <cell r="H3525" t="str">
            <v>ALTS</v>
          </cell>
          <cell r="I3525" t="str">
            <v>Mortgage - Moneyness</v>
          </cell>
        </row>
        <row r="3526">
          <cell r="A3526" t="str">
            <v>USD_TBA15_ITM35_V545</v>
          </cell>
          <cell r="B3526" t="str">
            <v>TBA15 ITM350 v545</v>
          </cell>
          <cell r="C3526" t="str">
            <v>BRS_GOLD__5_SPREADS:BRS_GOLD__3_OTHER_SPREADS:BRS_GOLD__1_MTG,TBA_ALL,PAYUP,NONAGENCY,MORT_IDIO,CRT,CRT_SP_RISK:TBA_ALL:TBA_15YR:USD_TBA15_ITM35_V545</v>
          </cell>
          <cell r="D3526" t="str">
            <v>Spread Duration</v>
          </cell>
          <cell r="E3526" t="str">
            <v>Spread Yield</v>
          </cell>
          <cell r="F3526" t="str">
            <v>Alternative</v>
          </cell>
          <cell r="G3526" t="str">
            <v>Other</v>
          </cell>
          <cell r="H3526" t="str">
            <v>ALTS</v>
          </cell>
          <cell r="I3526" t="str">
            <v>Mortgage - Moneyness</v>
          </cell>
        </row>
        <row r="3527">
          <cell r="A3527" t="str">
            <v>USD_TBA15_ITM5_V545</v>
          </cell>
          <cell r="B3527" t="str">
            <v>TBA15 ITM50 v545</v>
          </cell>
          <cell r="C3527" t="str">
            <v>BRS_GOLD__5_SPREADS:BRS_GOLD__3_OTHER_SPREADS:BRS_GOLD__1_MTG,TBA_ALL,PAYUP,NONAGENCY,MORT_IDIO,CRT,CRT_SP_RISK:TBA_ALL:TBA_15YR:USD_TBA15_ITM5_V545</v>
          </cell>
          <cell r="D3527" t="str">
            <v>Spread Duration</v>
          </cell>
          <cell r="E3527" t="str">
            <v>Spread Yield</v>
          </cell>
          <cell r="F3527" t="str">
            <v>Alternative</v>
          </cell>
          <cell r="G3527" t="str">
            <v>Other</v>
          </cell>
          <cell r="H3527" t="str">
            <v>ALTS</v>
          </cell>
          <cell r="I3527" t="str">
            <v>Mortgage - Moneyness</v>
          </cell>
        </row>
        <row r="3528">
          <cell r="A3528" t="str">
            <v>USD_TBA15_OTM10_V545</v>
          </cell>
          <cell r="B3528" t="str">
            <v>TBA15 OTM100 v545</v>
          </cell>
          <cell r="C3528" t="str">
            <v>BRS_GOLD__5_SPREADS:BRS_GOLD__3_OTHER_SPREADS:BRS_GOLD__1_MTG,TBA_ALL,PAYUP,NONAGENCY,MORT_IDIO,CRT,CRT_SP_RISK:TBA_ALL:TBA_15YR:USD_TBA15_OTM10_V545</v>
          </cell>
          <cell r="D3528" t="str">
            <v>Spread Duration</v>
          </cell>
          <cell r="E3528" t="str">
            <v>Spread Yield</v>
          </cell>
          <cell r="F3528" t="str">
            <v>Alternative</v>
          </cell>
          <cell r="G3528" t="str">
            <v>Other</v>
          </cell>
          <cell r="H3528" t="str">
            <v>ALTS</v>
          </cell>
          <cell r="I3528" t="str">
            <v>Mortgage - Moneyness</v>
          </cell>
        </row>
        <row r="3529">
          <cell r="A3529" t="str">
            <v>USD_TBA15_OTM15_V545</v>
          </cell>
          <cell r="B3529" t="str">
            <v>TBA15 OTM150 v545</v>
          </cell>
          <cell r="C3529" t="str">
            <v>BRS_GOLD__5_SPREADS:BRS_GOLD__3_OTHER_SPREADS:BRS_GOLD__1_MTG,TBA_ALL,PAYUP,NONAGENCY,MORT_IDIO,CRT,CRT_SP_RISK:TBA_ALL:TBA_15YR:USD_TBA15_OTM15_V545</v>
          </cell>
          <cell r="D3529" t="str">
            <v>Spread Duration</v>
          </cell>
          <cell r="E3529" t="str">
            <v>Spread Yield</v>
          </cell>
          <cell r="F3529" t="str">
            <v>Alternative</v>
          </cell>
          <cell r="G3529" t="str">
            <v>Other</v>
          </cell>
          <cell r="H3529" t="str">
            <v>ALTS</v>
          </cell>
          <cell r="I3529" t="str">
            <v>Mortgage - Moneyness</v>
          </cell>
        </row>
        <row r="3530">
          <cell r="A3530" t="str">
            <v>USD_TBA15_OTM20_V545</v>
          </cell>
          <cell r="B3530" t="str">
            <v>TBA15 OTM200 v545</v>
          </cell>
          <cell r="C3530" t="str">
            <v>BRS_GOLD__5_SPREADS:BRS_GOLD__3_OTHER_SPREADS:BRS_GOLD__1_MTG,TBA_ALL,PAYUP,NONAGENCY,MORT_IDIO,CRT,CRT_SP_RISK:TBA_ALL:TBA_15YR:USD_TBA15_OTM20_V545</v>
          </cell>
          <cell r="D3530" t="str">
            <v>Spread Duration</v>
          </cell>
          <cell r="E3530" t="str">
            <v>Spread Yield</v>
          </cell>
          <cell r="F3530" t="str">
            <v>Alternative</v>
          </cell>
          <cell r="G3530" t="str">
            <v>Other</v>
          </cell>
          <cell r="H3530" t="str">
            <v>ALTS</v>
          </cell>
          <cell r="I3530" t="str">
            <v>Mortgage - Moneyness</v>
          </cell>
        </row>
        <row r="3531">
          <cell r="A3531" t="str">
            <v>USD_TBA15_OTM25_V545</v>
          </cell>
          <cell r="B3531" t="str">
            <v>TBA15 OTM250 v545</v>
          </cell>
          <cell r="C3531" t="str">
            <v>BRS_GOLD__5_SPREADS:BRS_GOLD__3_OTHER_SPREADS:BRS_GOLD__1_MTG,TBA_ALL,PAYUP,NONAGENCY,MORT_IDIO,CRT,CRT_SP_RISK:TBA_ALL:TBA_15YR:USD_TBA15_OTM25_V545</v>
          </cell>
          <cell r="D3531" t="str">
            <v>Spread Duration</v>
          </cell>
          <cell r="E3531" t="str">
            <v>Spread Yield</v>
          </cell>
          <cell r="F3531" t="str">
            <v>Alternative</v>
          </cell>
          <cell r="G3531" t="str">
            <v>Other</v>
          </cell>
          <cell r="H3531" t="str">
            <v>ALTS</v>
          </cell>
          <cell r="I3531" t="str">
            <v>Mortgage - Moneyness</v>
          </cell>
        </row>
        <row r="3532">
          <cell r="A3532" t="str">
            <v>USD_TBA15_OTM30_V545</v>
          </cell>
          <cell r="B3532" t="str">
            <v>TBA15 OTM300 v545</v>
          </cell>
          <cell r="C3532" t="str">
            <v>BRS_GOLD__5_SPREADS:BRS_GOLD__3_OTHER_SPREADS:BRS_GOLD__1_MTG,TBA_ALL,PAYUP,NONAGENCY,MORT_IDIO,CRT,CRT_SP_RISK:TBA_ALL:TBA_15YR:USD_TBA15_OTM30_V545</v>
          </cell>
          <cell r="D3532" t="str">
            <v>Spread Duration</v>
          </cell>
          <cell r="E3532" t="str">
            <v>Spread Yield</v>
          </cell>
          <cell r="F3532" t="str">
            <v>Alternative</v>
          </cell>
          <cell r="G3532" t="str">
            <v>Other</v>
          </cell>
          <cell r="H3532" t="str">
            <v>ALTS</v>
          </cell>
          <cell r="I3532" t="str">
            <v>Mortgage - Moneyness</v>
          </cell>
        </row>
        <row r="3533">
          <cell r="A3533" t="str">
            <v>USD_TBA15_OTM35_V545</v>
          </cell>
          <cell r="B3533" t="str">
            <v>TBA15 OTM350 v545</v>
          </cell>
          <cell r="C3533" t="str">
            <v>BRS_GOLD__5_SPREADS:BRS_GOLD__3_OTHER_SPREADS:BRS_GOLD__1_MTG,TBA_ALL,PAYUP,NONAGENCY,MORT_IDIO,CRT,CRT_SP_RISK:TBA_ALL:TBA_15YR:USD_TBA15_OTM35_V545</v>
          </cell>
          <cell r="D3533" t="str">
            <v>Spread Duration</v>
          </cell>
          <cell r="E3533" t="str">
            <v>Spread Yield</v>
          </cell>
          <cell r="F3533" t="str">
            <v>Alternative</v>
          </cell>
          <cell r="G3533" t="str">
            <v>Other</v>
          </cell>
          <cell r="H3533" t="str">
            <v>ALTS</v>
          </cell>
          <cell r="I3533" t="str">
            <v>Mortgage - Moneyness</v>
          </cell>
        </row>
        <row r="3534">
          <cell r="A3534" t="str">
            <v>USD_TBA15_OTM5_V545</v>
          </cell>
          <cell r="B3534" t="str">
            <v>TBA15 OTM50 v545</v>
          </cell>
          <cell r="C3534" t="str">
            <v>BRS_GOLD__5_SPREADS:BRS_GOLD__3_OTHER_SPREADS:BRS_GOLD__1_MTG,TBA_ALL,PAYUP,NONAGENCY,MORT_IDIO,CRT,CRT_SP_RISK:TBA_ALL:TBA_15YR:USD_TBA15_OTM5_V545</v>
          </cell>
          <cell r="D3534" t="str">
            <v>Spread Duration</v>
          </cell>
          <cell r="E3534" t="str">
            <v>Spread Yield</v>
          </cell>
          <cell r="F3534" t="str">
            <v>Alternative</v>
          </cell>
          <cell r="G3534" t="str">
            <v>Other</v>
          </cell>
          <cell r="H3534" t="str">
            <v>ALTS</v>
          </cell>
          <cell r="I3534" t="str">
            <v>Mortgage - Moneyness</v>
          </cell>
        </row>
        <row r="3535">
          <cell r="A3535" t="str">
            <v>USD_TBA15_ATM_V546</v>
          </cell>
          <cell r="B3535" t="str">
            <v>TBA15 ATM v546</v>
          </cell>
          <cell r="C3535" t="str">
            <v>BRS_GOLD__5_SPREADS:BRS_GOLD__3_OTHER_SPREADS:BRS_GOLD__1_MTG,TBA_ALL,PAYUP,NONAGENCY,MORT_IDIO,CRT,CRT_SP_RISK:TBA_ALL:TBA_15YR:USD_TBA15_ATM_V546</v>
          </cell>
          <cell r="D3535" t="str">
            <v>Spread Duration</v>
          </cell>
          <cell r="E3535" t="str">
            <v>Spread Yield</v>
          </cell>
          <cell r="F3535" t="str">
            <v>Alternative</v>
          </cell>
          <cell r="G3535" t="str">
            <v>Other</v>
          </cell>
          <cell r="H3535" t="str">
            <v>ALTS</v>
          </cell>
          <cell r="I3535" t="str">
            <v>Mortgage - Moneyness</v>
          </cell>
        </row>
        <row r="3536">
          <cell r="A3536" t="str">
            <v>USD_TBA15_ITM10_V546</v>
          </cell>
          <cell r="B3536" t="str">
            <v>TBA15 ITM100 v546</v>
          </cell>
          <cell r="C3536" t="str">
            <v>BRS_GOLD__5_SPREADS:BRS_GOLD__3_OTHER_SPREADS:BRS_GOLD__1_MTG,TBA_ALL,PAYUP,NONAGENCY,MORT_IDIO,CRT,CRT_SP_RISK:TBA_ALL:TBA_15YR:USD_TBA15_ITM10_V546</v>
          </cell>
          <cell r="D3536" t="str">
            <v>Spread Duration</v>
          </cell>
          <cell r="E3536" t="str">
            <v>Spread Yield</v>
          </cell>
          <cell r="F3536" t="str">
            <v>Alternative</v>
          </cell>
          <cell r="G3536" t="str">
            <v>Other</v>
          </cell>
          <cell r="H3536" t="str">
            <v>ALTS</v>
          </cell>
          <cell r="I3536" t="str">
            <v>Mortgage - Moneyness</v>
          </cell>
        </row>
        <row r="3537">
          <cell r="A3537" t="str">
            <v>USD_TBA15_ITM15_V546</v>
          </cell>
          <cell r="B3537" t="str">
            <v>TBA15 ITM150 v546</v>
          </cell>
          <cell r="C3537" t="str">
            <v>BRS_GOLD__5_SPREADS:BRS_GOLD__3_OTHER_SPREADS:BRS_GOLD__1_MTG,TBA_ALL,PAYUP,NONAGENCY,MORT_IDIO,CRT,CRT_SP_RISK:TBA_ALL:TBA_15YR:USD_TBA15_ITM15_V546</v>
          </cell>
          <cell r="D3537" t="str">
            <v>Spread Duration</v>
          </cell>
          <cell r="E3537" t="str">
            <v>Spread Yield</v>
          </cell>
          <cell r="F3537" t="str">
            <v>Alternative</v>
          </cell>
          <cell r="G3537" t="str">
            <v>Other</v>
          </cell>
          <cell r="H3537" t="str">
            <v>ALTS</v>
          </cell>
          <cell r="I3537" t="str">
            <v>Mortgage - Moneyness</v>
          </cell>
        </row>
        <row r="3538">
          <cell r="A3538" t="str">
            <v>USD_TBA15_ITM20_V546</v>
          </cell>
          <cell r="B3538" t="str">
            <v>TBA15 ITM200 v546</v>
          </cell>
          <cell r="C3538" t="str">
            <v>BRS_GOLD__5_SPREADS:BRS_GOLD__3_OTHER_SPREADS:BRS_GOLD__1_MTG,TBA_ALL,PAYUP,NONAGENCY,MORT_IDIO,CRT,CRT_SP_RISK:TBA_ALL:TBA_15YR:USD_TBA15_ITM20_V546</v>
          </cell>
          <cell r="D3538" t="str">
            <v>Spread Duration</v>
          </cell>
          <cell r="E3538" t="str">
            <v>Spread Yield</v>
          </cell>
          <cell r="F3538" t="str">
            <v>Alternative</v>
          </cell>
          <cell r="G3538" t="str">
            <v>Other</v>
          </cell>
          <cell r="H3538" t="str">
            <v>ALTS</v>
          </cell>
          <cell r="I3538" t="str">
            <v>Mortgage - Moneyness</v>
          </cell>
        </row>
        <row r="3539">
          <cell r="A3539" t="str">
            <v>USD_TBA15_ITM25_V546</v>
          </cell>
          <cell r="B3539" t="str">
            <v>TBA15 ITM250 v546</v>
          </cell>
          <cell r="C3539" t="str">
            <v>BRS_GOLD__5_SPREADS:BRS_GOLD__3_OTHER_SPREADS:BRS_GOLD__1_MTG,TBA_ALL,PAYUP,NONAGENCY,MORT_IDIO,CRT,CRT_SP_RISK:TBA_ALL:TBA_15YR:USD_TBA15_ITM25_V546</v>
          </cell>
          <cell r="D3539" t="str">
            <v>Spread Duration</v>
          </cell>
          <cell r="E3539" t="str">
            <v>Spread Yield</v>
          </cell>
          <cell r="F3539" t="str">
            <v>Alternative</v>
          </cell>
          <cell r="G3539" t="str">
            <v>Other</v>
          </cell>
          <cell r="H3539" t="str">
            <v>ALTS</v>
          </cell>
          <cell r="I3539" t="str">
            <v>Mortgage - Moneyness</v>
          </cell>
        </row>
        <row r="3540">
          <cell r="A3540" t="str">
            <v>USD_TBA15_ITM30_V546</v>
          </cell>
          <cell r="B3540" t="str">
            <v>TBA15 ITM300 v546</v>
          </cell>
          <cell r="C3540" t="str">
            <v>BRS_GOLD__5_SPREADS:BRS_GOLD__3_OTHER_SPREADS:BRS_GOLD__1_MTG,TBA_ALL,PAYUP,NONAGENCY,MORT_IDIO,CRT,CRT_SP_RISK:TBA_ALL:TBA_15YR:USD_TBA15_ITM30_V546</v>
          </cell>
          <cell r="D3540" t="str">
            <v>Spread Duration</v>
          </cell>
          <cell r="E3540" t="str">
            <v>Spread Yield</v>
          </cell>
          <cell r="F3540" t="str">
            <v>Alternative</v>
          </cell>
          <cell r="G3540" t="str">
            <v>Other</v>
          </cell>
          <cell r="H3540" t="str">
            <v>ALTS</v>
          </cell>
          <cell r="I3540" t="str">
            <v>Mortgage - Moneyness</v>
          </cell>
        </row>
        <row r="3541">
          <cell r="A3541" t="str">
            <v>USD_TBA15_ITM35_V546</v>
          </cell>
          <cell r="B3541" t="str">
            <v>TBA15 ITM350 v546</v>
          </cell>
          <cell r="C3541" t="str">
            <v>BRS_GOLD__5_SPREADS:BRS_GOLD__3_OTHER_SPREADS:BRS_GOLD__1_MTG,TBA_ALL,PAYUP,NONAGENCY,MORT_IDIO,CRT,CRT_SP_RISK:TBA_ALL:TBA_15YR:USD_TBA15_ITM35_V546</v>
          </cell>
          <cell r="D3541" t="str">
            <v>Spread Duration</v>
          </cell>
          <cell r="E3541" t="str">
            <v>Spread Yield</v>
          </cell>
          <cell r="F3541" t="str">
            <v>Alternative</v>
          </cell>
          <cell r="G3541" t="str">
            <v>Other</v>
          </cell>
          <cell r="H3541" t="str">
            <v>ALTS</v>
          </cell>
          <cell r="I3541" t="str">
            <v>Mortgage - Moneyness</v>
          </cell>
        </row>
        <row r="3542">
          <cell r="A3542" t="str">
            <v>USD_TBA15_ITM5_V546</v>
          </cell>
          <cell r="B3542" t="str">
            <v>TBA15 ITM50 v546</v>
          </cell>
          <cell r="C3542" t="str">
            <v>BRS_GOLD__5_SPREADS:BRS_GOLD__3_OTHER_SPREADS:BRS_GOLD__1_MTG,TBA_ALL,PAYUP,NONAGENCY,MORT_IDIO,CRT,CRT_SP_RISK:TBA_ALL:TBA_15YR:USD_TBA15_ITM5_V546</v>
          </cell>
          <cell r="D3542" t="str">
            <v>Spread Duration</v>
          </cell>
          <cell r="E3542" t="str">
            <v>Spread Yield</v>
          </cell>
          <cell r="F3542" t="str">
            <v>Alternative</v>
          </cell>
          <cell r="G3542" t="str">
            <v>Other</v>
          </cell>
          <cell r="H3542" t="str">
            <v>ALTS</v>
          </cell>
          <cell r="I3542" t="str">
            <v>Mortgage - Moneyness</v>
          </cell>
        </row>
        <row r="3543">
          <cell r="A3543" t="str">
            <v>USD_TBA15_OTM10_V546</v>
          </cell>
          <cell r="B3543" t="str">
            <v>TBA15 OTM100 v546</v>
          </cell>
          <cell r="C3543" t="str">
            <v>BRS_GOLD__5_SPREADS:BRS_GOLD__3_OTHER_SPREADS:BRS_GOLD__1_MTG,TBA_ALL,PAYUP,NONAGENCY,MORT_IDIO,CRT,CRT_SP_RISK:TBA_ALL:TBA_15YR:USD_TBA15_OTM10_V546</v>
          </cell>
          <cell r="D3543" t="str">
            <v>Spread Duration</v>
          </cell>
          <cell r="E3543" t="str">
            <v>Spread Yield</v>
          </cell>
          <cell r="F3543" t="str">
            <v>Alternative</v>
          </cell>
          <cell r="G3543" t="str">
            <v>Other</v>
          </cell>
          <cell r="H3543" t="str">
            <v>ALTS</v>
          </cell>
          <cell r="I3543" t="str">
            <v>Mortgage - Moneyness</v>
          </cell>
        </row>
        <row r="3544">
          <cell r="A3544" t="str">
            <v>USD_TBA15_OTM15_V546</v>
          </cell>
          <cell r="B3544" t="str">
            <v>TBA15 OTM150 v546</v>
          </cell>
          <cell r="C3544" t="str">
            <v>BRS_GOLD__5_SPREADS:BRS_GOLD__3_OTHER_SPREADS:BRS_GOLD__1_MTG,TBA_ALL,PAYUP,NONAGENCY,MORT_IDIO,CRT,CRT_SP_RISK:TBA_ALL:TBA_15YR:USD_TBA15_OTM15_V546</v>
          </cell>
          <cell r="D3544" t="str">
            <v>Spread Duration</v>
          </cell>
          <cell r="E3544" t="str">
            <v>Spread Yield</v>
          </cell>
          <cell r="F3544" t="str">
            <v>Alternative</v>
          </cell>
          <cell r="G3544" t="str">
            <v>Other</v>
          </cell>
          <cell r="H3544" t="str">
            <v>ALTS</v>
          </cell>
          <cell r="I3544" t="str">
            <v>Mortgage - Moneyness</v>
          </cell>
        </row>
        <row r="3545">
          <cell r="A3545" t="str">
            <v>USD_TBA15_OTM20_V546</v>
          </cell>
          <cell r="B3545" t="str">
            <v>TBA15 OTM200 v546</v>
          </cell>
          <cell r="C3545" t="str">
            <v>BRS_GOLD__5_SPREADS:BRS_GOLD__3_OTHER_SPREADS:BRS_GOLD__1_MTG,TBA_ALL,PAYUP,NONAGENCY,MORT_IDIO,CRT,CRT_SP_RISK:TBA_ALL:TBA_15YR:USD_TBA15_OTM20_V546</v>
          </cell>
          <cell r="D3545" t="str">
            <v>Spread Duration</v>
          </cell>
          <cell r="E3545" t="str">
            <v>Spread Yield</v>
          </cell>
          <cell r="F3545" t="str">
            <v>Alternative</v>
          </cell>
          <cell r="G3545" t="str">
            <v>Other</v>
          </cell>
          <cell r="H3545" t="str">
            <v>ALTS</v>
          </cell>
          <cell r="I3545" t="str">
            <v>Mortgage - Moneyness</v>
          </cell>
        </row>
        <row r="3546">
          <cell r="A3546" t="str">
            <v>USD_TBA15_OTM25_V546</v>
          </cell>
          <cell r="B3546" t="str">
            <v>TBA15 OTM250 v546</v>
          </cell>
          <cell r="C3546" t="str">
            <v>BRS_GOLD__5_SPREADS:BRS_GOLD__3_OTHER_SPREADS:BRS_GOLD__1_MTG,TBA_ALL,PAYUP,NONAGENCY,MORT_IDIO,CRT,CRT_SP_RISK:TBA_ALL:TBA_15YR:USD_TBA15_OTM25_V546</v>
          </cell>
          <cell r="D3546" t="str">
            <v>Spread Duration</v>
          </cell>
          <cell r="E3546" t="str">
            <v>Spread Yield</v>
          </cell>
          <cell r="F3546" t="str">
            <v>Alternative</v>
          </cell>
          <cell r="G3546" t="str">
            <v>Other</v>
          </cell>
          <cell r="H3546" t="str">
            <v>ALTS</v>
          </cell>
          <cell r="I3546" t="str">
            <v>Mortgage - Moneyness</v>
          </cell>
        </row>
        <row r="3547">
          <cell r="A3547" t="str">
            <v>USD_TBA15_OTM30_V546</v>
          </cell>
          <cell r="B3547" t="str">
            <v>TBA15 OTM300 v546</v>
          </cell>
          <cell r="C3547" t="str">
            <v>BRS_GOLD__5_SPREADS:BRS_GOLD__3_OTHER_SPREADS:BRS_GOLD__1_MTG,TBA_ALL,PAYUP,NONAGENCY,MORT_IDIO,CRT,CRT_SP_RISK:TBA_ALL:TBA_15YR:USD_TBA15_OTM30_V546</v>
          </cell>
          <cell r="D3547" t="str">
            <v>Spread Duration</v>
          </cell>
          <cell r="E3547" t="str">
            <v>Spread Yield</v>
          </cell>
          <cell r="F3547" t="str">
            <v>Alternative</v>
          </cell>
          <cell r="G3547" t="str">
            <v>Other</v>
          </cell>
          <cell r="H3547" t="str">
            <v>ALTS</v>
          </cell>
          <cell r="I3547" t="str">
            <v>Mortgage - Moneyness</v>
          </cell>
        </row>
        <row r="3548">
          <cell r="A3548" t="str">
            <v>USD_TBA15_OTM35_V546</v>
          </cell>
          <cell r="B3548" t="str">
            <v>TBA15 OTM350 v546</v>
          </cell>
          <cell r="C3548" t="str">
            <v>BRS_GOLD__5_SPREADS:BRS_GOLD__3_OTHER_SPREADS:BRS_GOLD__1_MTG,TBA_ALL,PAYUP,NONAGENCY,MORT_IDIO,CRT,CRT_SP_RISK:TBA_ALL:TBA_15YR:USD_TBA15_OTM35_V546</v>
          </cell>
          <cell r="D3548" t="str">
            <v>Spread Duration</v>
          </cell>
          <cell r="E3548" t="str">
            <v>Spread Yield</v>
          </cell>
          <cell r="F3548" t="str">
            <v>Alternative</v>
          </cell>
          <cell r="G3548" t="str">
            <v>Other</v>
          </cell>
          <cell r="H3548" t="str">
            <v>ALTS</v>
          </cell>
          <cell r="I3548" t="str">
            <v>Mortgage - Moneyness</v>
          </cell>
        </row>
        <row r="3549">
          <cell r="A3549" t="str">
            <v>USD_TBA15_OTM5_V546</v>
          </cell>
          <cell r="B3549" t="str">
            <v>TBA15 OTM50 v546</v>
          </cell>
          <cell r="C3549" t="str">
            <v>BRS_GOLD__5_SPREADS:BRS_GOLD__3_OTHER_SPREADS:BRS_GOLD__1_MTG,TBA_ALL,PAYUP,NONAGENCY,MORT_IDIO,CRT,CRT_SP_RISK:TBA_ALL:TBA_15YR:USD_TBA15_OTM5_V546</v>
          </cell>
          <cell r="D3549" t="str">
            <v>Spread Duration</v>
          </cell>
          <cell r="E3549" t="str">
            <v>Spread Yield</v>
          </cell>
          <cell r="F3549" t="str">
            <v>Alternative</v>
          </cell>
          <cell r="G3549" t="str">
            <v>Other</v>
          </cell>
          <cell r="H3549" t="str">
            <v>ALTS</v>
          </cell>
          <cell r="I3549" t="str">
            <v>Mortgage - Moneyness</v>
          </cell>
        </row>
        <row r="3550">
          <cell r="A3550" t="str">
            <v>USD_TBA15_ATM_V600</v>
          </cell>
          <cell r="B3550" t="str">
            <v>TBA15 ATM V600</v>
          </cell>
          <cell r="C3550" t="str">
            <v>BRS_GOLD__5_SPREADS:BRS_GOLD__3_OTHER_SPREADS:BRS_GOLD__1_MTG,TBA_ALL,PAYUP,NONAGENCY,MORT_IDIO,CRT,CRT_SP_RISK:TBA_ALL:TBA_15YR:USD_TBA15_ATM_V600</v>
          </cell>
          <cell r="D3550" t="str">
            <v>Spread Duration</v>
          </cell>
          <cell r="E3550" t="str">
            <v>Spread Yield</v>
          </cell>
          <cell r="F3550" t="str">
            <v>Alternative</v>
          </cell>
          <cell r="G3550" t="str">
            <v>Other</v>
          </cell>
          <cell r="H3550" t="str">
            <v>ALTS</v>
          </cell>
          <cell r="I3550" t="str">
            <v>Mortgage - Moneyness</v>
          </cell>
        </row>
        <row r="3551">
          <cell r="A3551" t="str">
            <v>USD_TBA15_ITM10_V600</v>
          </cell>
          <cell r="B3551" t="str">
            <v>TBA15 ITM100 V600</v>
          </cell>
          <cell r="C3551" t="str">
            <v>BRS_GOLD__5_SPREADS:BRS_GOLD__3_OTHER_SPREADS:BRS_GOLD__1_MTG,TBA_ALL,PAYUP,NONAGENCY,MORT_IDIO,CRT,CRT_SP_RISK:TBA_ALL:TBA_15YR:USD_TBA15_ITM10_V600</v>
          </cell>
          <cell r="D3551" t="str">
            <v>Spread Duration</v>
          </cell>
          <cell r="E3551" t="str">
            <v>Spread Yield</v>
          </cell>
          <cell r="F3551" t="str">
            <v>Alternative</v>
          </cell>
          <cell r="G3551" t="str">
            <v>Other</v>
          </cell>
          <cell r="H3551" t="str">
            <v>ALTS</v>
          </cell>
          <cell r="I3551" t="str">
            <v>Mortgage - Moneyness</v>
          </cell>
        </row>
        <row r="3552">
          <cell r="A3552" t="str">
            <v>USD_TBA15_ITM15_V600</v>
          </cell>
          <cell r="B3552" t="str">
            <v>TBA15 ITM150 V600</v>
          </cell>
          <cell r="C3552" t="str">
            <v>BRS_GOLD__5_SPREADS:BRS_GOLD__3_OTHER_SPREADS:BRS_GOLD__1_MTG,TBA_ALL,PAYUP,NONAGENCY,MORT_IDIO,CRT,CRT_SP_RISK:TBA_ALL:TBA_15YR:USD_TBA15_ITM15_V600</v>
          </cell>
          <cell r="D3552" t="str">
            <v>Spread Duration</v>
          </cell>
          <cell r="E3552" t="str">
            <v>Spread Yield</v>
          </cell>
          <cell r="F3552" t="str">
            <v>Alternative</v>
          </cell>
          <cell r="G3552" t="str">
            <v>Other</v>
          </cell>
          <cell r="H3552" t="str">
            <v>ALTS</v>
          </cell>
          <cell r="I3552" t="str">
            <v>Mortgage - Moneyness</v>
          </cell>
        </row>
        <row r="3553">
          <cell r="A3553" t="str">
            <v>USD_TBA15_ITM20_V600</v>
          </cell>
          <cell r="B3553" t="str">
            <v>TBA15 ITM200 V600</v>
          </cell>
          <cell r="C3553" t="str">
            <v>BRS_GOLD__5_SPREADS:BRS_GOLD__3_OTHER_SPREADS:BRS_GOLD__1_MTG,TBA_ALL,PAYUP,NONAGENCY,MORT_IDIO,CRT,CRT_SP_RISK:TBA_ALL:TBA_15YR:USD_TBA15_ITM20_V600</v>
          </cell>
          <cell r="D3553" t="str">
            <v>Spread Duration</v>
          </cell>
          <cell r="E3553" t="str">
            <v>Spread Yield</v>
          </cell>
          <cell r="F3553" t="str">
            <v>Alternative</v>
          </cell>
          <cell r="G3553" t="str">
            <v>Other</v>
          </cell>
          <cell r="H3553" t="str">
            <v>ALTS</v>
          </cell>
          <cell r="I3553" t="str">
            <v>Mortgage - Moneyness</v>
          </cell>
        </row>
        <row r="3554">
          <cell r="A3554" t="str">
            <v>USD_TBA15_ITM25_V600</v>
          </cell>
          <cell r="B3554" t="str">
            <v>TBA15 ITM250 V600</v>
          </cell>
          <cell r="C3554" t="str">
            <v>BRS_GOLD__5_SPREADS:BRS_GOLD__3_OTHER_SPREADS:BRS_GOLD__1_MTG,TBA_ALL,PAYUP,NONAGENCY,MORT_IDIO,CRT,CRT_SP_RISK:TBA_ALL:TBA_15YR:USD_TBA15_ITM25_V600</v>
          </cell>
          <cell r="D3554" t="str">
            <v>Spread Duration</v>
          </cell>
          <cell r="E3554" t="str">
            <v>Spread Yield</v>
          </cell>
          <cell r="F3554" t="str">
            <v>Alternative</v>
          </cell>
          <cell r="G3554" t="str">
            <v>Other</v>
          </cell>
          <cell r="H3554" t="str">
            <v>ALTS</v>
          </cell>
          <cell r="I3554" t="str">
            <v>Mortgage - Moneyness</v>
          </cell>
        </row>
        <row r="3555">
          <cell r="A3555" t="str">
            <v>USD_TBA15_ITM30_V600</v>
          </cell>
          <cell r="B3555" t="str">
            <v>TBA15 ITM300 V600</v>
          </cell>
          <cell r="C3555" t="str">
            <v>BRS_GOLD__5_SPREADS:BRS_GOLD__3_OTHER_SPREADS:BRS_GOLD__1_MTG,TBA_ALL,PAYUP,NONAGENCY,MORT_IDIO,CRT,CRT_SP_RISK:TBA_ALL:TBA_15YR:USD_TBA15_ITM30_V600</v>
          </cell>
          <cell r="D3555" t="str">
            <v>Spread Duration</v>
          </cell>
          <cell r="E3555" t="str">
            <v>Spread Yield</v>
          </cell>
          <cell r="F3555" t="str">
            <v>Alternative</v>
          </cell>
          <cell r="G3555" t="str">
            <v>Other</v>
          </cell>
          <cell r="H3555" t="str">
            <v>ALTS</v>
          </cell>
          <cell r="I3555" t="str">
            <v>Mortgage - Moneyness</v>
          </cell>
        </row>
        <row r="3556">
          <cell r="A3556" t="str">
            <v>USD_TBA15_ITM35_V600</v>
          </cell>
          <cell r="B3556" t="str">
            <v>TBA15 ITM350 V600</v>
          </cell>
          <cell r="C3556" t="str">
            <v>BRS_GOLD__5_SPREADS:BRS_GOLD__3_OTHER_SPREADS:BRS_GOLD__1_MTG,TBA_ALL,PAYUP,NONAGENCY,MORT_IDIO,CRT,CRT_SP_RISK:TBA_ALL:TBA_15YR:USD_TBA15_ITM35_V600</v>
          </cell>
          <cell r="D3556" t="str">
            <v>Spread Duration</v>
          </cell>
          <cell r="E3556" t="str">
            <v>Spread Yield</v>
          </cell>
          <cell r="F3556" t="str">
            <v>Alternative</v>
          </cell>
          <cell r="G3556" t="str">
            <v>Other</v>
          </cell>
          <cell r="H3556" t="str">
            <v>ALTS</v>
          </cell>
          <cell r="I3556" t="str">
            <v>Mortgage - Moneyness</v>
          </cell>
        </row>
        <row r="3557">
          <cell r="A3557" t="str">
            <v>USD_TBA15_ITM5_V600</v>
          </cell>
          <cell r="B3557" t="str">
            <v>TBA15 ITM50 V600</v>
          </cell>
          <cell r="C3557" t="str">
            <v>BRS_GOLD__5_SPREADS:BRS_GOLD__3_OTHER_SPREADS:BRS_GOLD__1_MTG,TBA_ALL,PAYUP,NONAGENCY,MORT_IDIO,CRT,CRT_SP_RISK:TBA_ALL:TBA_15YR:USD_TBA15_ITM5_V600</v>
          </cell>
          <cell r="D3557" t="str">
            <v>Spread Duration</v>
          </cell>
          <cell r="E3557" t="str">
            <v>Spread Yield</v>
          </cell>
          <cell r="F3557" t="str">
            <v>Alternative</v>
          </cell>
          <cell r="G3557" t="str">
            <v>Other</v>
          </cell>
          <cell r="H3557" t="str">
            <v>ALTS</v>
          </cell>
          <cell r="I3557" t="str">
            <v>Mortgage - Moneyness</v>
          </cell>
        </row>
        <row r="3558">
          <cell r="A3558" t="str">
            <v>USD_TBA15_OTM10_V600</v>
          </cell>
          <cell r="B3558" t="str">
            <v>TBA15 OTM100 V600</v>
          </cell>
          <cell r="C3558" t="str">
            <v>BRS_GOLD__5_SPREADS:BRS_GOLD__3_OTHER_SPREADS:BRS_GOLD__1_MTG,TBA_ALL,PAYUP,NONAGENCY,MORT_IDIO,CRT,CRT_SP_RISK:TBA_ALL:TBA_15YR:USD_TBA15_OTM10_V600</v>
          </cell>
          <cell r="D3558" t="str">
            <v>Spread Duration</v>
          </cell>
          <cell r="E3558" t="str">
            <v>Spread Yield</v>
          </cell>
          <cell r="F3558" t="str">
            <v>Alternative</v>
          </cell>
          <cell r="G3558" t="str">
            <v>Other</v>
          </cell>
          <cell r="H3558" t="str">
            <v>ALTS</v>
          </cell>
          <cell r="I3558" t="str">
            <v>Mortgage - Moneyness</v>
          </cell>
        </row>
        <row r="3559">
          <cell r="A3559" t="str">
            <v>USD_TBA15_OTM15_V600</v>
          </cell>
          <cell r="B3559" t="str">
            <v>TBA15 OTM150 V600</v>
          </cell>
          <cell r="C3559" t="str">
            <v>BRS_GOLD__5_SPREADS:BRS_GOLD__3_OTHER_SPREADS:BRS_GOLD__1_MTG,TBA_ALL,PAYUP,NONAGENCY,MORT_IDIO,CRT,CRT_SP_RISK:TBA_ALL:TBA_15YR:USD_TBA15_OTM15_V600</v>
          </cell>
          <cell r="D3559" t="str">
            <v>Spread Duration</v>
          </cell>
          <cell r="E3559" t="str">
            <v>Spread Yield</v>
          </cell>
          <cell r="F3559" t="str">
            <v>Alternative</v>
          </cell>
          <cell r="G3559" t="str">
            <v>Other</v>
          </cell>
          <cell r="H3559" t="str">
            <v>ALTS</v>
          </cell>
          <cell r="I3559" t="str">
            <v>Mortgage - Moneyness</v>
          </cell>
        </row>
        <row r="3560">
          <cell r="A3560" t="str">
            <v>USD_TBA15_OTM20_V600</v>
          </cell>
          <cell r="B3560" t="str">
            <v>TBA15 OTM200 V600</v>
          </cell>
          <cell r="C3560" t="str">
            <v>BRS_GOLD__5_SPREADS:BRS_GOLD__3_OTHER_SPREADS:BRS_GOLD__1_MTG,TBA_ALL,PAYUP,NONAGENCY,MORT_IDIO,CRT,CRT_SP_RISK:TBA_ALL:TBA_15YR:USD_TBA15_OTM20_V600</v>
          </cell>
          <cell r="D3560" t="str">
            <v>Spread Duration</v>
          </cell>
          <cell r="E3560" t="str">
            <v>Spread Yield</v>
          </cell>
          <cell r="F3560" t="str">
            <v>Alternative</v>
          </cell>
          <cell r="G3560" t="str">
            <v>Other</v>
          </cell>
          <cell r="H3560" t="str">
            <v>ALTS</v>
          </cell>
          <cell r="I3560" t="str">
            <v>Mortgage - Moneyness</v>
          </cell>
        </row>
        <row r="3561">
          <cell r="A3561" t="str">
            <v>USD_TBA15_OTM25_V600</v>
          </cell>
          <cell r="B3561" t="str">
            <v>TBA15 OTM250 V600</v>
          </cell>
          <cell r="C3561" t="str">
            <v>BRS_GOLD__5_SPREADS:BRS_GOLD__3_OTHER_SPREADS:BRS_GOLD__1_MTG,TBA_ALL,PAYUP,NONAGENCY,MORT_IDIO,CRT,CRT_SP_RISK:TBA_ALL:TBA_15YR:USD_TBA15_OTM25_V600</v>
          </cell>
          <cell r="D3561" t="str">
            <v>Spread Duration</v>
          </cell>
          <cell r="E3561" t="str">
            <v>Spread Yield</v>
          </cell>
          <cell r="F3561" t="str">
            <v>Alternative</v>
          </cell>
          <cell r="G3561" t="str">
            <v>Other</v>
          </cell>
          <cell r="H3561" t="str">
            <v>ALTS</v>
          </cell>
          <cell r="I3561" t="str">
            <v>Mortgage - Moneyness</v>
          </cell>
        </row>
        <row r="3562">
          <cell r="A3562" t="str">
            <v>USD_TBA15_OTM30_V600</v>
          </cell>
          <cell r="B3562" t="str">
            <v>TBA15 OTM300 V600</v>
          </cell>
          <cell r="C3562" t="str">
            <v>BRS_GOLD__5_SPREADS:BRS_GOLD__3_OTHER_SPREADS:BRS_GOLD__1_MTG,TBA_ALL,PAYUP,NONAGENCY,MORT_IDIO,CRT,CRT_SP_RISK:TBA_ALL:TBA_15YR:USD_TBA15_OTM30_V600</v>
          </cell>
          <cell r="D3562" t="str">
            <v>Spread Duration</v>
          </cell>
          <cell r="E3562" t="str">
            <v>Spread Yield</v>
          </cell>
          <cell r="F3562" t="str">
            <v>Alternative</v>
          </cell>
          <cell r="G3562" t="str">
            <v>Other</v>
          </cell>
          <cell r="H3562" t="str">
            <v>ALTS</v>
          </cell>
          <cell r="I3562" t="str">
            <v>Mortgage - Moneyness</v>
          </cell>
        </row>
        <row r="3563">
          <cell r="A3563" t="str">
            <v>USD_TBA15_OTM35_V600</v>
          </cell>
          <cell r="B3563" t="str">
            <v>TBA15 OTM350 V600</v>
          </cell>
          <cell r="C3563" t="str">
            <v>BRS_GOLD__5_SPREADS:BRS_GOLD__3_OTHER_SPREADS:BRS_GOLD__1_MTG,TBA_ALL,PAYUP,NONAGENCY,MORT_IDIO,CRT,CRT_SP_RISK:TBA_ALL:TBA_15YR:USD_TBA15_OTM35_V600</v>
          </cell>
          <cell r="D3563" t="str">
            <v>Spread Duration</v>
          </cell>
          <cell r="E3563" t="str">
            <v>Spread Yield</v>
          </cell>
          <cell r="F3563" t="str">
            <v>Alternative</v>
          </cell>
          <cell r="G3563" t="str">
            <v>Other</v>
          </cell>
          <cell r="H3563" t="str">
            <v>ALTS</v>
          </cell>
          <cell r="I3563" t="str">
            <v>Mortgage - Moneyness</v>
          </cell>
        </row>
        <row r="3564">
          <cell r="A3564" t="str">
            <v>USD_TBA15_OTM5_V600</v>
          </cell>
          <cell r="B3564" t="str">
            <v>TBA15 OTM50 V600</v>
          </cell>
          <cell r="C3564" t="str">
            <v>BRS_GOLD__5_SPREADS:BRS_GOLD__3_OTHER_SPREADS:BRS_GOLD__1_MTG,TBA_ALL,PAYUP,NONAGENCY,MORT_IDIO,CRT,CRT_SP_RISK:TBA_ALL:TBA_15YR:USD_TBA15_OTM5_V600</v>
          </cell>
          <cell r="D3564" t="str">
            <v>Spread Duration</v>
          </cell>
          <cell r="E3564" t="str">
            <v>Spread Yield</v>
          </cell>
          <cell r="F3564" t="str">
            <v>Alternative</v>
          </cell>
          <cell r="G3564" t="str">
            <v>Other</v>
          </cell>
          <cell r="H3564" t="str">
            <v>ALTS</v>
          </cell>
          <cell r="I3564" t="str">
            <v>Mortgage - Moneyness</v>
          </cell>
        </row>
        <row r="3565">
          <cell r="A3565" t="str">
            <v>USD_TBA15_ATM_V604</v>
          </cell>
          <cell r="B3565" t="str">
            <v>TBA15 ATM V604</v>
          </cell>
          <cell r="C3565" t="str">
            <v>BRS_GOLD__5_SPREADS:BRS_GOLD__3_OTHER_SPREADS:BRS_GOLD__1_MTG,TBA_ALL,PAYUP,NONAGENCY,MORT_IDIO,CRT,CRT_SP_RISK:TBA_ALL:TBA_15YR:USD_TBA15_ATM_V604</v>
          </cell>
          <cell r="D3565" t="str">
            <v>Spread Duration</v>
          </cell>
          <cell r="E3565" t="str">
            <v>Spread Yield</v>
          </cell>
          <cell r="F3565" t="str">
            <v>Alternative</v>
          </cell>
          <cell r="G3565" t="str">
            <v>Other</v>
          </cell>
          <cell r="H3565" t="str">
            <v>ALTS</v>
          </cell>
          <cell r="I3565" t="str">
            <v>Mortgage - Moneyness</v>
          </cell>
        </row>
        <row r="3566">
          <cell r="A3566" t="str">
            <v>USD_TBA15_ITM10_V604</v>
          </cell>
          <cell r="B3566" t="str">
            <v>TBA15 ITM100 V604</v>
          </cell>
          <cell r="C3566" t="str">
            <v>BRS_GOLD__5_SPREADS:BRS_GOLD__3_OTHER_SPREADS:BRS_GOLD__1_MTG,TBA_ALL,PAYUP,NONAGENCY,MORT_IDIO,CRT,CRT_SP_RISK:TBA_ALL:TBA_15YR:USD_TBA15_ITM10_V604</v>
          </cell>
          <cell r="D3566" t="str">
            <v>Spread Duration</v>
          </cell>
          <cell r="E3566" t="str">
            <v>Spread Yield</v>
          </cell>
          <cell r="F3566" t="str">
            <v>Alternative</v>
          </cell>
          <cell r="G3566" t="str">
            <v>Other</v>
          </cell>
          <cell r="H3566" t="str">
            <v>ALTS</v>
          </cell>
          <cell r="I3566" t="str">
            <v>Mortgage - Moneyness</v>
          </cell>
        </row>
        <row r="3567">
          <cell r="A3567" t="str">
            <v>USD_TBA15_ITM15_V604</v>
          </cell>
          <cell r="B3567" t="str">
            <v>TBA15 ITM150 V604</v>
          </cell>
          <cell r="C3567" t="str">
            <v>BRS_GOLD__5_SPREADS:BRS_GOLD__3_OTHER_SPREADS:BRS_GOLD__1_MTG,TBA_ALL,PAYUP,NONAGENCY,MORT_IDIO,CRT,CRT_SP_RISK:TBA_ALL:TBA_15YR:USD_TBA15_ITM15_V604</v>
          </cell>
          <cell r="D3567" t="str">
            <v>Spread Duration</v>
          </cell>
          <cell r="E3567" t="str">
            <v>Spread Yield</v>
          </cell>
          <cell r="F3567" t="str">
            <v>Alternative</v>
          </cell>
          <cell r="G3567" t="str">
            <v>Other</v>
          </cell>
          <cell r="H3567" t="str">
            <v>ALTS</v>
          </cell>
          <cell r="I3567" t="str">
            <v>Mortgage - Moneyness</v>
          </cell>
        </row>
        <row r="3568">
          <cell r="A3568" t="str">
            <v>USD_TBA15_ITM20_V604</v>
          </cell>
          <cell r="B3568" t="str">
            <v>TBA15 ITM200 V604</v>
          </cell>
          <cell r="C3568" t="str">
            <v>BRS_GOLD__5_SPREADS:BRS_GOLD__3_OTHER_SPREADS:BRS_GOLD__1_MTG,TBA_ALL,PAYUP,NONAGENCY,MORT_IDIO,CRT,CRT_SP_RISK:TBA_ALL:TBA_15YR:USD_TBA15_ITM20_V604</v>
          </cell>
          <cell r="D3568" t="str">
            <v>Spread Duration</v>
          </cell>
          <cell r="E3568" t="str">
            <v>Spread Yield</v>
          </cell>
          <cell r="F3568" t="str">
            <v>Alternative</v>
          </cell>
          <cell r="G3568" t="str">
            <v>Other</v>
          </cell>
          <cell r="H3568" t="str">
            <v>ALTS</v>
          </cell>
          <cell r="I3568" t="str">
            <v>Mortgage - Moneyness</v>
          </cell>
        </row>
        <row r="3569">
          <cell r="A3569" t="str">
            <v>USD_TBA15_ITM25_V604</v>
          </cell>
          <cell r="B3569" t="str">
            <v>TBA15 ITM250 V604</v>
          </cell>
          <cell r="C3569" t="str">
            <v>BRS_GOLD__5_SPREADS:BRS_GOLD__3_OTHER_SPREADS:BRS_GOLD__1_MTG,TBA_ALL,PAYUP,NONAGENCY,MORT_IDIO,CRT,CRT_SP_RISK:TBA_ALL:TBA_15YR:USD_TBA15_ITM25_V604</v>
          </cell>
          <cell r="D3569" t="str">
            <v>Spread Duration</v>
          </cell>
          <cell r="E3569" t="str">
            <v>Spread Yield</v>
          </cell>
          <cell r="F3569" t="str">
            <v>Alternative</v>
          </cell>
          <cell r="G3569" t="str">
            <v>Other</v>
          </cell>
          <cell r="H3569" t="str">
            <v>ALTS</v>
          </cell>
          <cell r="I3569" t="str">
            <v>Mortgage - Moneyness</v>
          </cell>
        </row>
        <row r="3570">
          <cell r="A3570" t="str">
            <v>USD_TBA15_ITM30_V604</v>
          </cell>
          <cell r="B3570" t="str">
            <v>TBA15 ITM300 V604</v>
          </cell>
          <cell r="C3570" t="str">
            <v>BRS_GOLD__5_SPREADS:BRS_GOLD__3_OTHER_SPREADS:BRS_GOLD__1_MTG,TBA_ALL,PAYUP,NONAGENCY,MORT_IDIO,CRT,CRT_SP_RISK:TBA_ALL:TBA_15YR:USD_TBA15_ITM30_V604</v>
          </cell>
          <cell r="D3570" t="str">
            <v>Spread Duration</v>
          </cell>
          <cell r="E3570" t="str">
            <v>Spread Yield</v>
          </cell>
          <cell r="F3570" t="str">
            <v>Alternative</v>
          </cell>
          <cell r="G3570" t="str">
            <v>Other</v>
          </cell>
          <cell r="H3570" t="str">
            <v>ALTS</v>
          </cell>
          <cell r="I3570" t="str">
            <v>Mortgage - Moneyness</v>
          </cell>
        </row>
        <row r="3571">
          <cell r="A3571" t="str">
            <v>USD_TBA15_ITM35_V604</v>
          </cell>
          <cell r="B3571" t="str">
            <v>TBA15 ITM350 V604</v>
          </cell>
          <cell r="C3571" t="str">
            <v>BRS_GOLD__5_SPREADS:BRS_GOLD__3_OTHER_SPREADS:BRS_GOLD__1_MTG,TBA_ALL,PAYUP,NONAGENCY,MORT_IDIO,CRT,CRT_SP_RISK:TBA_ALL:TBA_15YR:USD_TBA15_ITM35_V604</v>
          </cell>
          <cell r="D3571" t="str">
            <v>Spread Duration</v>
          </cell>
          <cell r="E3571" t="str">
            <v>Spread Yield</v>
          </cell>
          <cell r="F3571" t="str">
            <v>Alternative</v>
          </cell>
          <cell r="G3571" t="str">
            <v>Other</v>
          </cell>
          <cell r="H3571" t="str">
            <v>ALTS</v>
          </cell>
          <cell r="I3571" t="str">
            <v>Mortgage - Moneyness</v>
          </cell>
        </row>
        <row r="3572">
          <cell r="A3572" t="str">
            <v>USD_TBA15_ITM5_V604</v>
          </cell>
          <cell r="B3572" t="str">
            <v>TBA15 ITM50 V604</v>
          </cell>
          <cell r="C3572" t="str">
            <v>BRS_GOLD__5_SPREADS:BRS_GOLD__3_OTHER_SPREADS:BRS_GOLD__1_MTG,TBA_ALL,PAYUP,NONAGENCY,MORT_IDIO,CRT,CRT_SP_RISK:TBA_ALL:TBA_15YR:USD_TBA15_ITM5_V604</v>
          </cell>
          <cell r="D3572" t="str">
            <v>Spread Duration</v>
          </cell>
          <cell r="E3572" t="str">
            <v>Spread Yield</v>
          </cell>
          <cell r="F3572" t="str">
            <v>Alternative</v>
          </cell>
          <cell r="G3572" t="str">
            <v>Other</v>
          </cell>
          <cell r="H3572" t="str">
            <v>ALTS</v>
          </cell>
          <cell r="I3572" t="str">
            <v>Mortgage - Moneyness</v>
          </cell>
        </row>
        <row r="3573">
          <cell r="A3573" t="str">
            <v>USD_TBA15_OTM10_V604</v>
          </cell>
          <cell r="B3573" t="str">
            <v>TBA15 OTM100 V604</v>
          </cell>
          <cell r="C3573" t="str">
            <v>BRS_GOLD__5_SPREADS:BRS_GOLD__3_OTHER_SPREADS:BRS_GOLD__1_MTG,TBA_ALL,PAYUP,NONAGENCY,MORT_IDIO,CRT,CRT_SP_RISK:TBA_ALL:TBA_15YR:USD_TBA15_OTM10_V604</v>
          </cell>
          <cell r="D3573" t="str">
            <v>Spread Duration</v>
          </cell>
          <cell r="E3573" t="str">
            <v>Spread Yield</v>
          </cell>
          <cell r="F3573" t="str">
            <v>Alternative</v>
          </cell>
          <cell r="G3573" t="str">
            <v>Other</v>
          </cell>
          <cell r="H3573" t="str">
            <v>ALTS</v>
          </cell>
          <cell r="I3573" t="str">
            <v>Mortgage - Moneyness</v>
          </cell>
        </row>
        <row r="3574">
          <cell r="A3574" t="str">
            <v>USD_TBA15_OTM15_V604</v>
          </cell>
          <cell r="B3574" t="str">
            <v>TBA15 OTM150 V604</v>
          </cell>
          <cell r="C3574" t="str">
            <v>BRS_GOLD__5_SPREADS:BRS_GOLD__3_OTHER_SPREADS:BRS_GOLD__1_MTG,TBA_ALL,PAYUP,NONAGENCY,MORT_IDIO,CRT,CRT_SP_RISK:TBA_ALL:TBA_15YR:USD_TBA15_OTM15_V604</v>
          </cell>
          <cell r="D3574" t="str">
            <v>Spread Duration</v>
          </cell>
          <cell r="E3574" t="str">
            <v>Spread Yield</v>
          </cell>
          <cell r="F3574" t="str">
            <v>Alternative</v>
          </cell>
          <cell r="G3574" t="str">
            <v>Other</v>
          </cell>
          <cell r="H3574" t="str">
            <v>ALTS</v>
          </cell>
          <cell r="I3574" t="str">
            <v>Mortgage - Moneyness</v>
          </cell>
        </row>
        <row r="3575">
          <cell r="A3575" t="str">
            <v>USD_TBA15_OTM20_V604</v>
          </cell>
          <cell r="B3575" t="str">
            <v>TBA15 OTM200 V604</v>
          </cell>
          <cell r="C3575" t="str">
            <v>BRS_GOLD__5_SPREADS:BRS_GOLD__3_OTHER_SPREADS:BRS_GOLD__1_MTG,TBA_ALL,PAYUP,NONAGENCY,MORT_IDIO,CRT,CRT_SP_RISK:TBA_ALL:TBA_15YR:USD_TBA15_OTM20_V604</v>
          </cell>
          <cell r="D3575" t="str">
            <v>Spread Duration</v>
          </cell>
          <cell r="E3575" t="str">
            <v>Spread Yield</v>
          </cell>
          <cell r="F3575" t="str">
            <v>Alternative</v>
          </cell>
          <cell r="G3575" t="str">
            <v>Other</v>
          </cell>
          <cell r="H3575" t="str">
            <v>ALTS</v>
          </cell>
          <cell r="I3575" t="str">
            <v>Mortgage - Moneyness</v>
          </cell>
        </row>
        <row r="3576">
          <cell r="A3576" t="str">
            <v>USD_TBA15_OTM25_V604</v>
          </cell>
          <cell r="B3576" t="str">
            <v>TBA15 OTM250 V604</v>
          </cell>
          <cell r="C3576" t="str">
            <v>BRS_GOLD__5_SPREADS:BRS_GOLD__3_OTHER_SPREADS:BRS_GOLD__1_MTG,TBA_ALL,PAYUP,NONAGENCY,MORT_IDIO,CRT,CRT_SP_RISK:TBA_ALL:TBA_15YR:USD_TBA15_OTM25_V604</v>
          </cell>
          <cell r="D3576" t="str">
            <v>Spread Duration</v>
          </cell>
          <cell r="E3576" t="str">
            <v>Spread Yield</v>
          </cell>
          <cell r="F3576" t="str">
            <v>Alternative</v>
          </cell>
          <cell r="G3576" t="str">
            <v>Other</v>
          </cell>
          <cell r="H3576" t="str">
            <v>ALTS</v>
          </cell>
          <cell r="I3576" t="str">
            <v>Mortgage - Moneyness</v>
          </cell>
        </row>
        <row r="3577">
          <cell r="A3577" t="str">
            <v>USD_TBA15_OTM30_V604</v>
          </cell>
          <cell r="B3577" t="str">
            <v>TBA15 OTM300 V604</v>
          </cell>
          <cell r="C3577" t="str">
            <v>BRS_GOLD__5_SPREADS:BRS_GOLD__3_OTHER_SPREADS:BRS_GOLD__1_MTG,TBA_ALL,PAYUP,NONAGENCY,MORT_IDIO,CRT,CRT_SP_RISK:TBA_ALL:TBA_15YR:USD_TBA15_OTM30_V604</v>
          </cell>
          <cell r="D3577" t="str">
            <v>Spread Duration</v>
          </cell>
          <cell r="E3577" t="str">
            <v>Spread Yield</v>
          </cell>
          <cell r="F3577" t="str">
            <v>Alternative</v>
          </cell>
          <cell r="G3577" t="str">
            <v>Other</v>
          </cell>
          <cell r="H3577" t="str">
            <v>ALTS</v>
          </cell>
          <cell r="I3577" t="str">
            <v>Mortgage - Moneyness</v>
          </cell>
        </row>
        <row r="3578">
          <cell r="A3578" t="str">
            <v>USD_TBA15_OTM35_V604</v>
          </cell>
          <cell r="B3578" t="str">
            <v>TBA15 OTM350 V604</v>
          </cell>
          <cell r="C3578" t="str">
            <v>BRS_GOLD__5_SPREADS:BRS_GOLD__3_OTHER_SPREADS:BRS_GOLD__1_MTG,TBA_ALL,PAYUP,NONAGENCY,MORT_IDIO,CRT,CRT_SP_RISK:TBA_ALL:TBA_15YR:USD_TBA15_OTM35_V604</v>
          </cell>
          <cell r="D3578" t="str">
            <v>Spread Duration</v>
          </cell>
          <cell r="E3578" t="str">
            <v>Spread Yield</v>
          </cell>
          <cell r="F3578" t="str">
            <v>Alternative</v>
          </cell>
          <cell r="G3578" t="str">
            <v>Other</v>
          </cell>
          <cell r="H3578" t="str">
            <v>ALTS</v>
          </cell>
          <cell r="I3578" t="str">
            <v>Mortgage - Moneyness</v>
          </cell>
        </row>
        <row r="3579">
          <cell r="A3579" t="str">
            <v>USD_TBA15_OTM5_V604</v>
          </cell>
          <cell r="B3579" t="str">
            <v>TBA15 OTM50 V604</v>
          </cell>
          <cell r="C3579" t="str">
            <v>BRS_GOLD__5_SPREADS:BRS_GOLD__3_OTHER_SPREADS:BRS_GOLD__1_MTG,TBA_ALL,PAYUP,NONAGENCY,MORT_IDIO,CRT,CRT_SP_RISK:TBA_ALL:TBA_15YR:USD_TBA15_OTM5_V604</v>
          </cell>
          <cell r="D3579" t="str">
            <v>Spread Duration</v>
          </cell>
          <cell r="E3579" t="str">
            <v>Spread Yield</v>
          </cell>
          <cell r="F3579" t="str">
            <v>Alternative</v>
          </cell>
          <cell r="G3579" t="str">
            <v>Other</v>
          </cell>
          <cell r="H3579" t="str">
            <v>ALTS</v>
          </cell>
          <cell r="I3579" t="str">
            <v>Mortgage - Moneyness</v>
          </cell>
        </row>
        <row r="3580">
          <cell r="A3580" t="str">
            <v>USD_TBA15_OTM35_V610</v>
          </cell>
          <cell r="B3580" t="str">
            <v>TBA15 OTM350 V610</v>
          </cell>
          <cell r="C3580" t="str">
            <v>BRS_GOLD__5_SPREADS:BRS_GOLD__3_OTHER_SPREADS:BRS_GOLD__1_MTG,TBA_ALL,PAYUP,NONAGENCY,MORT_IDIO,CRT,CRT_SP_RISK:TBA_ALL:TBA_15YR:USD_TBA15_OTM35_V610</v>
          </cell>
          <cell r="D3580" t="str">
            <v>Spread Duration</v>
          </cell>
          <cell r="E3580" t="str">
            <v>Spread Yield</v>
          </cell>
          <cell r="F3580" t="str">
            <v>Alternative</v>
          </cell>
          <cell r="G3580" t="str">
            <v>Other</v>
          </cell>
          <cell r="H3580" t="str">
            <v>ALTS</v>
          </cell>
          <cell r="I3580" t="str">
            <v>Mortgage - Moneyness</v>
          </cell>
        </row>
        <row r="3581">
          <cell r="A3581" t="str">
            <v>USD_TBA15_OTM30_V610</v>
          </cell>
          <cell r="B3581" t="str">
            <v>TBA15 OTM300 V610</v>
          </cell>
          <cell r="C3581" t="str">
            <v>BRS_GOLD__5_SPREADS:BRS_GOLD__3_OTHER_SPREADS:BRS_GOLD__1_MTG,TBA_ALL,PAYUP,NONAGENCY,MORT_IDIO,CRT,CRT_SP_RISK:TBA_ALL:TBA_15YR:USD_TBA15_OTM30_V610</v>
          </cell>
          <cell r="D3581" t="str">
            <v>Spread Duration</v>
          </cell>
          <cell r="E3581" t="str">
            <v>Spread Yield</v>
          </cell>
          <cell r="F3581" t="str">
            <v>Alternative</v>
          </cell>
          <cell r="G3581" t="str">
            <v>Other</v>
          </cell>
          <cell r="H3581" t="str">
            <v>ALTS</v>
          </cell>
          <cell r="I3581" t="str">
            <v>Mortgage - Moneyness</v>
          </cell>
        </row>
        <row r="3582">
          <cell r="A3582" t="str">
            <v>USD_TBA15_OTM25_V610</v>
          </cell>
          <cell r="B3582" t="str">
            <v>TBA15 OTM250 V610</v>
          </cell>
          <cell r="C3582" t="str">
            <v>BRS_GOLD__5_SPREADS:BRS_GOLD__3_OTHER_SPREADS:BRS_GOLD__1_MTG,TBA_ALL,PAYUP,NONAGENCY,MORT_IDIO,CRT,CRT_SP_RISK:TBA_ALL:TBA_15YR:USD_TBA15_OTM25_V610</v>
          </cell>
          <cell r="D3582" t="str">
            <v>Spread Duration</v>
          </cell>
          <cell r="E3582" t="str">
            <v>Spread Yield</v>
          </cell>
          <cell r="F3582" t="str">
            <v>Alternative</v>
          </cell>
          <cell r="G3582" t="str">
            <v>Other</v>
          </cell>
          <cell r="H3582" t="str">
            <v>ALTS</v>
          </cell>
          <cell r="I3582" t="str">
            <v>Mortgage - Moneyness</v>
          </cell>
        </row>
        <row r="3583">
          <cell r="A3583" t="str">
            <v>USD_TBA15_OTM20_V610</v>
          </cell>
          <cell r="B3583" t="str">
            <v>TBA15 OTM200 V610</v>
          </cell>
          <cell r="C3583" t="str">
            <v>BRS_GOLD__5_SPREADS:BRS_GOLD__3_OTHER_SPREADS:BRS_GOLD__1_MTG,TBA_ALL,PAYUP,NONAGENCY,MORT_IDIO,CRT,CRT_SP_RISK:TBA_ALL:TBA_15YR:USD_TBA15_OTM20_V610</v>
          </cell>
          <cell r="D3583" t="str">
            <v>Spread Duration</v>
          </cell>
          <cell r="E3583" t="str">
            <v>Spread Yield</v>
          </cell>
          <cell r="F3583" t="str">
            <v>Alternative</v>
          </cell>
          <cell r="G3583" t="str">
            <v>Other</v>
          </cell>
          <cell r="H3583" t="str">
            <v>ALTS</v>
          </cell>
          <cell r="I3583" t="str">
            <v>Mortgage - Moneyness</v>
          </cell>
        </row>
        <row r="3584">
          <cell r="A3584" t="str">
            <v>USD_TBA15_OTM15_V610</v>
          </cell>
          <cell r="B3584" t="str">
            <v>TBA15 OTM150 V610</v>
          </cell>
          <cell r="C3584" t="str">
            <v>BRS_GOLD__5_SPREADS:BRS_GOLD__3_OTHER_SPREADS:BRS_GOLD__1_MTG,TBA_ALL,PAYUP,NONAGENCY,MORT_IDIO,CRT,CRT_SP_RISK:TBA_ALL:TBA_15YR:USD_TBA15_OTM15_V610</v>
          </cell>
          <cell r="D3584" t="str">
            <v>Spread Duration</v>
          </cell>
          <cell r="E3584" t="str">
            <v>Spread Yield</v>
          </cell>
          <cell r="F3584" t="str">
            <v>Alternative</v>
          </cell>
          <cell r="G3584" t="str">
            <v>Other</v>
          </cell>
          <cell r="H3584" t="str">
            <v>ALTS</v>
          </cell>
          <cell r="I3584" t="str">
            <v>Mortgage - Moneyness</v>
          </cell>
        </row>
        <row r="3585">
          <cell r="A3585" t="str">
            <v>USD_TBA15_OTM10_V610</v>
          </cell>
          <cell r="B3585" t="str">
            <v>TBA15 OTM100 V610</v>
          </cell>
          <cell r="C3585" t="str">
            <v>BRS_GOLD__5_SPREADS:BRS_GOLD__3_OTHER_SPREADS:BRS_GOLD__1_MTG,TBA_ALL,PAYUP,NONAGENCY,MORT_IDIO,CRT,CRT_SP_RISK:TBA_ALL:TBA_15YR:USD_TBA15_OTM10_V610</v>
          </cell>
          <cell r="D3585" t="str">
            <v>Spread Duration</v>
          </cell>
          <cell r="E3585" t="str">
            <v>Spread Yield</v>
          </cell>
          <cell r="F3585" t="str">
            <v>Alternative</v>
          </cell>
          <cell r="G3585" t="str">
            <v>Other</v>
          </cell>
          <cell r="H3585" t="str">
            <v>ALTS</v>
          </cell>
          <cell r="I3585" t="str">
            <v>Mortgage - Moneyness</v>
          </cell>
        </row>
        <row r="3586">
          <cell r="A3586" t="str">
            <v>USD_TBA15_OTM5_V610</v>
          </cell>
          <cell r="B3586" t="str">
            <v>TBA15 OTM50 V610</v>
          </cell>
          <cell r="C3586" t="str">
            <v>BRS_GOLD__5_SPREADS:BRS_GOLD__3_OTHER_SPREADS:BRS_GOLD__1_MTG,TBA_ALL,PAYUP,NONAGENCY,MORT_IDIO,CRT,CRT_SP_RISK:TBA_ALL:TBA_15YR:USD_TBA15_OTM5_V610</v>
          </cell>
          <cell r="D3586" t="str">
            <v>Spread Duration</v>
          </cell>
          <cell r="E3586" t="str">
            <v>Spread Yield</v>
          </cell>
          <cell r="F3586" t="str">
            <v>Alternative</v>
          </cell>
          <cell r="G3586" t="str">
            <v>Other</v>
          </cell>
          <cell r="H3586" t="str">
            <v>ALTS</v>
          </cell>
          <cell r="I3586" t="str">
            <v>Mortgage - Moneyness</v>
          </cell>
        </row>
        <row r="3587">
          <cell r="A3587" t="str">
            <v>USD_TBA15_ATM_V610</v>
          </cell>
          <cell r="B3587" t="str">
            <v>TBA15 ATM V610</v>
          </cell>
          <cell r="C3587" t="str">
            <v>BRS_GOLD__5_SPREADS:BRS_GOLD__3_OTHER_SPREADS:BRS_GOLD__1_MTG,TBA_ALL,PAYUP,NONAGENCY,MORT_IDIO,CRT,CRT_SP_RISK:TBA_ALL:TBA_15YR:USD_TBA15_ATM_V610</v>
          </cell>
          <cell r="D3587" t="str">
            <v>Spread Duration</v>
          </cell>
          <cell r="E3587" t="str">
            <v>Spread Yield</v>
          </cell>
          <cell r="F3587" t="str">
            <v>Alternative</v>
          </cell>
          <cell r="G3587" t="str">
            <v>Other</v>
          </cell>
          <cell r="H3587" t="str">
            <v>ALTS</v>
          </cell>
          <cell r="I3587" t="str">
            <v>Mortgage - Moneyness</v>
          </cell>
        </row>
        <row r="3588">
          <cell r="A3588" t="str">
            <v>USD_TBA15_ITM5_V610</v>
          </cell>
          <cell r="B3588" t="str">
            <v>TBA15 ITM50 V610</v>
          </cell>
          <cell r="C3588" t="str">
            <v>BRS_GOLD__5_SPREADS:BRS_GOLD__3_OTHER_SPREADS:BRS_GOLD__1_MTG,TBA_ALL,PAYUP,NONAGENCY,MORT_IDIO,CRT,CRT_SP_RISK:TBA_ALL:TBA_15YR:USD_TBA15_ITM5_V610</v>
          </cell>
          <cell r="D3588" t="str">
            <v>Spread Duration</v>
          </cell>
          <cell r="E3588" t="str">
            <v>Spread Yield</v>
          </cell>
          <cell r="F3588" t="str">
            <v>Alternative</v>
          </cell>
          <cell r="G3588" t="str">
            <v>Other</v>
          </cell>
          <cell r="H3588" t="str">
            <v>ALTS</v>
          </cell>
          <cell r="I3588" t="str">
            <v>Mortgage - Moneyness</v>
          </cell>
        </row>
        <row r="3589">
          <cell r="A3589" t="str">
            <v>USD_TBA15_ITM10_V610</v>
          </cell>
          <cell r="B3589" t="str">
            <v>TBA15 ITM100 V610</v>
          </cell>
          <cell r="C3589" t="str">
            <v>BRS_GOLD__5_SPREADS:BRS_GOLD__3_OTHER_SPREADS:BRS_GOLD__1_MTG,TBA_ALL,PAYUP,NONAGENCY,MORT_IDIO,CRT,CRT_SP_RISK:TBA_ALL:TBA_15YR:USD_TBA15_ITM10_V610</v>
          </cell>
          <cell r="D3589" t="str">
            <v>Spread Duration</v>
          </cell>
          <cell r="E3589" t="str">
            <v>Spread Yield</v>
          </cell>
          <cell r="F3589" t="str">
            <v>Alternative</v>
          </cell>
          <cell r="G3589" t="str">
            <v>Other</v>
          </cell>
          <cell r="H3589" t="str">
            <v>ALTS</v>
          </cell>
          <cell r="I3589" t="str">
            <v>Mortgage - Moneyness</v>
          </cell>
        </row>
        <row r="3590">
          <cell r="A3590" t="str">
            <v>USD_TBA15_ITM15_V610</v>
          </cell>
          <cell r="B3590" t="str">
            <v>TBA15 ITM150 V610</v>
          </cell>
          <cell r="C3590" t="str">
            <v>BRS_GOLD__5_SPREADS:BRS_GOLD__3_OTHER_SPREADS:BRS_GOLD__1_MTG,TBA_ALL,PAYUP,NONAGENCY,MORT_IDIO,CRT,CRT_SP_RISK:TBA_ALL:TBA_15YR:USD_TBA15_ITM15_V610</v>
          </cell>
          <cell r="D3590" t="str">
            <v>Spread Duration</v>
          </cell>
          <cell r="E3590" t="str">
            <v>Spread Yield</v>
          </cell>
          <cell r="F3590" t="str">
            <v>Alternative</v>
          </cell>
          <cell r="G3590" t="str">
            <v>Other</v>
          </cell>
          <cell r="H3590" t="str">
            <v>ALTS</v>
          </cell>
          <cell r="I3590" t="str">
            <v>Mortgage - Moneyness</v>
          </cell>
        </row>
        <row r="3591">
          <cell r="A3591" t="str">
            <v>USD_TBA15_ITM20_V610</v>
          </cell>
          <cell r="B3591" t="str">
            <v>TBA15 ITM200 V610</v>
          </cell>
          <cell r="C3591" t="str">
            <v>BRS_GOLD__5_SPREADS:BRS_GOLD__3_OTHER_SPREADS:BRS_GOLD__1_MTG,TBA_ALL,PAYUP,NONAGENCY,MORT_IDIO,CRT,CRT_SP_RISK:TBA_ALL:TBA_15YR:USD_TBA15_ITM20_V610</v>
          </cell>
          <cell r="D3591" t="str">
            <v>Spread Duration</v>
          </cell>
          <cell r="E3591" t="str">
            <v>Spread Yield</v>
          </cell>
          <cell r="F3591" t="str">
            <v>Alternative</v>
          </cell>
          <cell r="G3591" t="str">
            <v>Other</v>
          </cell>
          <cell r="H3591" t="str">
            <v>ALTS</v>
          </cell>
          <cell r="I3591" t="str">
            <v>Mortgage - Moneyness</v>
          </cell>
        </row>
        <row r="3592">
          <cell r="A3592" t="str">
            <v>USD_TBA15_ITM25_V610</v>
          </cell>
          <cell r="B3592" t="str">
            <v>TBA15 ITM250 V610</v>
          </cell>
          <cell r="C3592" t="str">
            <v>BRS_GOLD__5_SPREADS:BRS_GOLD__3_OTHER_SPREADS:BRS_GOLD__1_MTG,TBA_ALL,PAYUP,NONAGENCY,MORT_IDIO,CRT,CRT_SP_RISK:TBA_ALL:TBA_15YR:USD_TBA15_ITM25_V610</v>
          </cell>
          <cell r="D3592" t="str">
            <v>Spread Duration</v>
          </cell>
          <cell r="E3592" t="str">
            <v>Spread Yield</v>
          </cell>
          <cell r="F3592" t="str">
            <v>Alternative</v>
          </cell>
          <cell r="G3592" t="str">
            <v>Other</v>
          </cell>
          <cell r="H3592" t="str">
            <v>ALTS</v>
          </cell>
          <cell r="I3592" t="str">
            <v>Mortgage - Moneyness</v>
          </cell>
        </row>
        <row r="3593">
          <cell r="A3593" t="str">
            <v>USD_TBA15_ITM30_V610</v>
          </cell>
          <cell r="B3593" t="str">
            <v>TBA15 ITM300 V610</v>
          </cell>
          <cell r="C3593" t="str">
            <v>BRS_GOLD__5_SPREADS:BRS_GOLD__3_OTHER_SPREADS:BRS_GOLD__1_MTG,TBA_ALL,PAYUP,NONAGENCY,MORT_IDIO,CRT,CRT_SP_RISK:TBA_ALL:TBA_15YR:USD_TBA15_ITM30_V610</v>
          </cell>
          <cell r="D3593" t="str">
            <v>Spread Duration</v>
          </cell>
          <cell r="E3593" t="str">
            <v>Spread Yield</v>
          </cell>
          <cell r="F3593" t="str">
            <v>Alternative</v>
          </cell>
          <cell r="G3593" t="str">
            <v>Other</v>
          </cell>
          <cell r="H3593" t="str">
            <v>ALTS</v>
          </cell>
          <cell r="I3593" t="str">
            <v>Mortgage - Moneyness</v>
          </cell>
        </row>
        <row r="3594">
          <cell r="A3594" t="str">
            <v>USD_TBA15_ITM35_V610</v>
          </cell>
          <cell r="B3594" t="str">
            <v>TBA15 ITM350 V610</v>
          </cell>
          <cell r="C3594" t="str">
            <v>BRS_GOLD__5_SPREADS:BRS_GOLD__3_OTHER_SPREADS:BRS_GOLD__1_MTG,TBA_ALL,PAYUP,NONAGENCY,MORT_IDIO,CRT,CRT_SP_RISK:TBA_ALL:TBA_15YR:USD_TBA15_ITM35_V610</v>
          </cell>
          <cell r="D3594" t="str">
            <v>Spread Duration</v>
          </cell>
          <cell r="E3594" t="str">
            <v>Spread Yield</v>
          </cell>
          <cell r="F3594" t="str">
            <v>Alternative</v>
          </cell>
          <cell r="G3594" t="str">
            <v>Other</v>
          </cell>
          <cell r="H3594" t="str">
            <v>ALTS</v>
          </cell>
          <cell r="I3594" t="str">
            <v>Mortgage - Moneyness</v>
          </cell>
        </row>
        <row r="3595">
          <cell r="A3595" t="str">
            <v>USD_TBA15_OTM35_V604_E</v>
          </cell>
          <cell r="B3595" t="str">
            <v>TBA15 OTM350 V604</v>
          </cell>
          <cell r="C3595" t="str">
            <v>BRS_GOLD__5_SPREADS:BRS_GOLD__3_OTHER_SPREADS:BRS_GOLD__1_MTG,TBA_ALL,PAYUP,NONAGENCY,MORT_IDIO,CRT,CRT_SP_RISK:TBA_ALL:TBA_15YR:USD_TBA15_OTM35_V604_E</v>
          </cell>
          <cell r="D3595" t="str">
            <v>Spread Duration</v>
          </cell>
          <cell r="E3595" t="str">
            <v>Spread Yield</v>
          </cell>
          <cell r="F3595" t="str">
            <v>Alternative</v>
          </cell>
          <cell r="G3595" t="str">
            <v>Other</v>
          </cell>
          <cell r="H3595" t="str">
            <v>ALTS</v>
          </cell>
          <cell r="I3595" t="str">
            <v>Mortgage - Moneyness</v>
          </cell>
        </row>
        <row r="3596">
          <cell r="A3596" t="str">
            <v>USD_TBA15_OTM30_V604_E</v>
          </cell>
          <cell r="B3596" t="str">
            <v>TBA15 OTM300 V604</v>
          </cell>
          <cell r="C3596" t="str">
            <v>BRS_GOLD__5_SPREADS:BRS_GOLD__3_OTHER_SPREADS:BRS_GOLD__1_MTG,TBA_ALL,PAYUP,NONAGENCY,MORT_IDIO,CRT,CRT_SP_RISK:TBA_ALL:TBA_15YR:USD_TBA15_OTM30_V604_E</v>
          </cell>
          <cell r="D3596" t="str">
            <v>Spread Duration</v>
          </cell>
          <cell r="E3596" t="str">
            <v>Spread Yield</v>
          </cell>
          <cell r="F3596" t="str">
            <v>Alternative</v>
          </cell>
          <cell r="G3596" t="str">
            <v>Other</v>
          </cell>
          <cell r="H3596" t="str">
            <v>ALTS</v>
          </cell>
          <cell r="I3596" t="str">
            <v>Mortgage - Moneyness</v>
          </cell>
        </row>
        <row r="3597">
          <cell r="A3597" t="str">
            <v>USD_TBA15_OTM25_V604_E</v>
          </cell>
          <cell r="B3597" t="str">
            <v>TBA15 OTM250 V604</v>
          </cell>
          <cell r="C3597" t="str">
            <v>BRS_GOLD__5_SPREADS:BRS_GOLD__3_OTHER_SPREADS:BRS_GOLD__1_MTG,TBA_ALL,PAYUP,NONAGENCY,MORT_IDIO,CRT,CRT_SP_RISK:TBA_ALL:TBA_15YR:USD_TBA15_OTM25_V604_E</v>
          </cell>
          <cell r="D3597" t="str">
            <v>Spread Duration</v>
          </cell>
          <cell r="E3597" t="str">
            <v>Spread Yield</v>
          </cell>
          <cell r="F3597" t="str">
            <v>Alternative</v>
          </cell>
          <cell r="G3597" t="str">
            <v>Other</v>
          </cell>
          <cell r="H3597" t="str">
            <v>ALTS</v>
          </cell>
          <cell r="I3597" t="str">
            <v>Mortgage - Moneyness</v>
          </cell>
        </row>
        <row r="3598">
          <cell r="A3598" t="str">
            <v>USD_TBA15_OTM20_V604_E</v>
          </cell>
          <cell r="B3598" t="str">
            <v>TBA15 OTM200 V604</v>
          </cell>
          <cell r="C3598" t="str">
            <v>BRS_GOLD__5_SPREADS:BRS_GOLD__3_OTHER_SPREADS:BRS_GOLD__1_MTG,TBA_ALL,PAYUP,NONAGENCY,MORT_IDIO,CRT,CRT_SP_RISK:TBA_ALL:TBA_15YR:USD_TBA15_OTM20_V604_E</v>
          </cell>
          <cell r="D3598" t="str">
            <v>Spread Duration</v>
          </cell>
          <cell r="E3598" t="str">
            <v>Spread Yield</v>
          </cell>
          <cell r="F3598" t="str">
            <v>Alternative</v>
          </cell>
          <cell r="G3598" t="str">
            <v>Other</v>
          </cell>
          <cell r="H3598" t="str">
            <v>ALTS</v>
          </cell>
          <cell r="I3598" t="str">
            <v>Mortgage - Moneyness</v>
          </cell>
        </row>
        <row r="3599">
          <cell r="A3599" t="str">
            <v>USD_TBA15_OTM15_V604_E</v>
          </cell>
          <cell r="B3599" t="str">
            <v>TBA15 OTM150 V604</v>
          </cell>
          <cell r="C3599" t="str">
            <v>BRS_GOLD__5_SPREADS:BRS_GOLD__3_OTHER_SPREADS:BRS_GOLD__1_MTG,TBA_ALL,PAYUP,NONAGENCY,MORT_IDIO,CRT,CRT_SP_RISK:TBA_ALL:TBA_15YR:USD_TBA15_OTM15_V604_E</v>
          </cell>
          <cell r="D3599" t="str">
            <v>Spread Duration</v>
          </cell>
          <cell r="E3599" t="str">
            <v>Spread Yield</v>
          </cell>
          <cell r="F3599" t="str">
            <v>Alternative</v>
          </cell>
          <cell r="G3599" t="str">
            <v>Other</v>
          </cell>
          <cell r="H3599" t="str">
            <v>ALTS</v>
          </cell>
          <cell r="I3599" t="str">
            <v>Mortgage - Moneyness</v>
          </cell>
        </row>
        <row r="3600">
          <cell r="A3600" t="str">
            <v>USD_TBA15_OTM10_V604_E</v>
          </cell>
          <cell r="B3600" t="str">
            <v>TBA15 OTM100 V604</v>
          </cell>
          <cell r="C3600" t="str">
            <v>BRS_GOLD__5_SPREADS:BRS_GOLD__3_OTHER_SPREADS:BRS_GOLD__1_MTG,TBA_ALL,PAYUP,NONAGENCY,MORT_IDIO,CRT,CRT_SP_RISK:TBA_ALL:TBA_15YR:USD_TBA15_OTM10_V604_E</v>
          </cell>
          <cell r="D3600" t="str">
            <v>Spread Duration</v>
          </cell>
          <cell r="E3600" t="str">
            <v>Spread Yield</v>
          </cell>
          <cell r="F3600" t="str">
            <v>Alternative</v>
          </cell>
          <cell r="G3600" t="str">
            <v>Other</v>
          </cell>
          <cell r="H3600" t="str">
            <v>ALTS</v>
          </cell>
          <cell r="I3600" t="str">
            <v>Mortgage - Moneyness</v>
          </cell>
        </row>
        <row r="3601">
          <cell r="A3601" t="str">
            <v>USD_TBA15_OTM5_V604_E</v>
          </cell>
          <cell r="B3601" t="str">
            <v>TBA15 OTM50 V604</v>
          </cell>
          <cell r="C3601" t="str">
            <v>BRS_GOLD__5_SPREADS:BRS_GOLD__3_OTHER_SPREADS:BRS_GOLD__1_MTG,TBA_ALL,PAYUP,NONAGENCY,MORT_IDIO,CRT,CRT_SP_RISK:TBA_ALL:TBA_15YR:USD_TBA15_OTM5_V604_E</v>
          </cell>
          <cell r="D3601" t="str">
            <v>Spread Duration</v>
          </cell>
          <cell r="E3601" t="str">
            <v>Spread Yield</v>
          </cell>
          <cell r="F3601" t="str">
            <v>Alternative</v>
          </cell>
          <cell r="G3601" t="str">
            <v>Other</v>
          </cell>
          <cell r="H3601" t="str">
            <v>ALTS</v>
          </cell>
          <cell r="I3601" t="str">
            <v>Mortgage - Moneyness</v>
          </cell>
        </row>
        <row r="3602">
          <cell r="A3602" t="str">
            <v>USD_TBA15_ATM_V604_E</v>
          </cell>
          <cell r="B3602" t="str">
            <v>TBA15 ATM V604</v>
          </cell>
          <cell r="C3602" t="str">
            <v>BRS_GOLD__5_SPREADS:BRS_GOLD__3_OTHER_SPREADS:BRS_GOLD__1_MTG,TBA_ALL,PAYUP,NONAGENCY,MORT_IDIO,CRT,CRT_SP_RISK:TBA_ALL:TBA_15YR:USD_TBA15_ATM_V604_E</v>
          </cell>
          <cell r="D3602" t="str">
            <v>Spread Duration</v>
          </cell>
          <cell r="E3602" t="str">
            <v>Spread Yield</v>
          </cell>
          <cell r="F3602" t="str">
            <v>Alternative</v>
          </cell>
          <cell r="G3602" t="str">
            <v>Other</v>
          </cell>
          <cell r="H3602" t="str">
            <v>ALTS</v>
          </cell>
          <cell r="I3602" t="str">
            <v>Mortgage - Moneyness</v>
          </cell>
        </row>
        <row r="3603">
          <cell r="A3603" t="str">
            <v>USD_TBA15_ITM5_V604_E</v>
          </cell>
          <cell r="B3603" t="str">
            <v>TBA15 ITM50 V604</v>
          </cell>
          <cell r="C3603" t="str">
            <v>BRS_GOLD__5_SPREADS:BRS_GOLD__3_OTHER_SPREADS:BRS_GOLD__1_MTG,TBA_ALL,PAYUP,NONAGENCY,MORT_IDIO,CRT,CRT_SP_RISK:TBA_ALL:TBA_15YR:USD_TBA15_ITM5_V604_E</v>
          </cell>
          <cell r="D3603" t="str">
            <v>Spread Duration</v>
          </cell>
          <cell r="E3603" t="str">
            <v>Spread Yield</v>
          </cell>
          <cell r="F3603" t="str">
            <v>Alternative</v>
          </cell>
          <cell r="G3603" t="str">
            <v>Other</v>
          </cell>
          <cell r="H3603" t="str">
            <v>ALTS</v>
          </cell>
          <cell r="I3603" t="str">
            <v>Mortgage - Moneyness</v>
          </cell>
        </row>
        <row r="3604">
          <cell r="A3604" t="str">
            <v>USD_TBA15_ITM10_V604_E</v>
          </cell>
          <cell r="B3604" t="str">
            <v>TBA15 ITM100 V604</v>
          </cell>
          <cell r="C3604" t="str">
            <v>BRS_GOLD__5_SPREADS:BRS_GOLD__3_OTHER_SPREADS:BRS_GOLD__1_MTG,TBA_ALL,PAYUP,NONAGENCY,MORT_IDIO,CRT,CRT_SP_RISK:TBA_ALL:TBA_15YR:USD_TBA15_ITM10_V604_E</v>
          </cell>
          <cell r="D3604" t="str">
            <v>Spread Duration</v>
          </cell>
          <cell r="E3604" t="str">
            <v>Spread Yield</v>
          </cell>
          <cell r="F3604" t="str">
            <v>Alternative</v>
          </cell>
          <cell r="G3604" t="str">
            <v>Other</v>
          </cell>
          <cell r="H3604" t="str">
            <v>ALTS</v>
          </cell>
          <cell r="I3604" t="str">
            <v>Mortgage - Moneyness</v>
          </cell>
        </row>
        <row r="3605">
          <cell r="A3605" t="str">
            <v>USD_TBA15_ITM15_V604_E</v>
          </cell>
          <cell r="B3605" t="str">
            <v>TBA15 ITM150 V604</v>
          </cell>
          <cell r="C3605" t="str">
            <v>BRS_GOLD__5_SPREADS:BRS_GOLD__3_OTHER_SPREADS:BRS_GOLD__1_MTG,TBA_ALL,PAYUP,NONAGENCY,MORT_IDIO,CRT,CRT_SP_RISK:TBA_ALL:TBA_15YR:USD_TBA15_ITM15_V604_E</v>
          </cell>
          <cell r="D3605" t="str">
            <v>Spread Duration</v>
          </cell>
          <cell r="E3605" t="str">
            <v>Spread Yield</v>
          </cell>
          <cell r="F3605" t="str">
            <v>Alternative</v>
          </cell>
          <cell r="G3605" t="str">
            <v>Other</v>
          </cell>
          <cell r="H3605" t="str">
            <v>ALTS</v>
          </cell>
          <cell r="I3605" t="str">
            <v>Mortgage - Moneyness</v>
          </cell>
        </row>
        <row r="3606">
          <cell r="A3606" t="str">
            <v>USD_TBA15_ITM20_V604_E</v>
          </cell>
          <cell r="B3606" t="str">
            <v>TBA15 ITM200 V604</v>
          </cell>
          <cell r="C3606" t="str">
            <v>BRS_GOLD__5_SPREADS:BRS_GOLD__3_OTHER_SPREADS:BRS_GOLD__1_MTG,TBA_ALL,PAYUP,NONAGENCY,MORT_IDIO,CRT,CRT_SP_RISK:TBA_ALL:TBA_15YR:USD_TBA15_ITM20_V604_E</v>
          </cell>
          <cell r="D3606" t="str">
            <v>Spread Duration</v>
          </cell>
          <cell r="E3606" t="str">
            <v>Spread Yield</v>
          </cell>
          <cell r="F3606" t="str">
            <v>Alternative</v>
          </cell>
          <cell r="G3606" t="str">
            <v>Other</v>
          </cell>
          <cell r="H3606" t="str">
            <v>ALTS</v>
          </cell>
          <cell r="I3606" t="str">
            <v>Mortgage - Moneyness</v>
          </cell>
        </row>
        <row r="3607">
          <cell r="A3607" t="str">
            <v>USD_TBA15_ITM25_V604_E</v>
          </cell>
          <cell r="B3607" t="str">
            <v>TBA15 ITM250 V604</v>
          </cell>
          <cell r="C3607" t="str">
            <v>BRS_GOLD__5_SPREADS:BRS_GOLD__3_OTHER_SPREADS:BRS_GOLD__1_MTG,TBA_ALL,PAYUP,NONAGENCY,MORT_IDIO,CRT,CRT_SP_RISK:TBA_ALL:TBA_15YR:USD_TBA15_ITM25_V604_E</v>
          </cell>
          <cell r="D3607" t="str">
            <v>Spread Duration</v>
          </cell>
          <cell r="E3607" t="str">
            <v>Spread Yield</v>
          </cell>
          <cell r="F3607" t="str">
            <v>Alternative</v>
          </cell>
          <cell r="G3607" t="str">
            <v>Other</v>
          </cell>
          <cell r="H3607" t="str">
            <v>ALTS</v>
          </cell>
          <cell r="I3607" t="str">
            <v>Mortgage - Moneyness</v>
          </cell>
        </row>
        <row r="3608">
          <cell r="A3608" t="str">
            <v>USD_TBA15_ITM30_V604_E</v>
          </cell>
          <cell r="B3608" t="str">
            <v>TBA15 ITM300 V604</v>
          </cell>
          <cell r="C3608" t="str">
            <v>BRS_GOLD__5_SPREADS:BRS_GOLD__3_OTHER_SPREADS:BRS_GOLD__1_MTG,TBA_ALL,PAYUP,NONAGENCY,MORT_IDIO,CRT,CRT_SP_RISK:TBA_ALL:TBA_15YR:USD_TBA15_ITM30_V604_E</v>
          </cell>
          <cell r="D3608" t="str">
            <v>Spread Duration</v>
          </cell>
          <cell r="E3608" t="str">
            <v>Spread Yield</v>
          </cell>
          <cell r="F3608" t="str">
            <v>Alternative</v>
          </cell>
          <cell r="G3608" t="str">
            <v>Other</v>
          </cell>
          <cell r="H3608" t="str">
            <v>ALTS</v>
          </cell>
          <cell r="I3608" t="str">
            <v>Mortgage - Moneyness</v>
          </cell>
        </row>
        <row r="3609">
          <cell r="A3609" t="str">
            <v>USD_TBA15_ITM35_V604_E</v>
          </cell>
          <cell r="B3609" t="str">
            <v>TBA15 ITM350 V604</v>
          </cell>
          <cell r="C3609" t="str">
            <v>BRS_GOLD__5_SPREADS:BRS_GOLD__3_OTHER_SPREADS:BRS_GOLD__1_MTG,TBA_ALL,PAYUP,NONAGENCY,MORT_IDIO,CRT,CRT_SP_RISK:TBA_ALL:TBA_15YR:USD_TBA15_ITM35_V604_E</v>
          </cell>
          <cell r="D3609" t="str">
            <v>Spread Duration</v>
          </cell>
          <cell r="E3609" t="str">
            <v>Spread Yield</v>
          </cell>
          <cell r="F3609" t="str">
            <v>Alternative</v>
          </cell>
          <cell r="G3609" t="str">
            <v>Other</v>
          </cell>
          <cell r="H3609" t="str">
            <v>ALTS</v>
          </cell>
          <cell r="I3609" t="str">
            <v>Mortgage - Moneyness</v>
          </cell>
        </row>
        <row r="3610">
          <cell r="A3610" t="str">
            <v>USD_TBA15_OTM35_V610_E</v>
          </cell>
          <cell r="B3610" t="str">
            <v>TBA15 OTM350 V610</v>
          </cell>
          <cell r="C3610" t="str">
            <v>BRS_GOLD__5_SPREADS:BRS_GOLD__3_OTHER_SPREADS:BRS_GOLD__1_MTG,TBA_ALL,PAYUP,NONAGENCY,MORT_IDIO,CRT,CRT_SP_RISK:TBA_ALL:TBA_15YR:USD_TBA15_OTM35_V610_E</v>
          </cell>
          <cell r="D3610" t="str">
            <v>Spread Duration</v>
          </cell>
          <cell r="E3610" t="str">
            <v>Spread Yield</v>
          </cell>
          <cell r="F3610" t="str">
            <v>Alternative</v>
          </cell>
          <cell r="G3610" t="str">
            <v>Other</v>
          </cell>
          <cell r="H3610" t="str">
            <v>ALTS</v>
          </cell>
          <cell r="I3610" t="str">
            <v>Mortgage - Moneyness</v>
          </cell>
        </row>
        <row r="3611">
          <cell r="A3611" t="str">
            <v>USD_TBA15_OTM30_V610_E</v>
          </cell>
          <cell r="B3611" t="str">
            <v>TBA15 OTM300 V610</v>
          </cell>
          <cell r="C3611" t="str">
            <v>BRS_GOLD__5_SPREADS:BRS_GOLD__3_OTHER_SPREADS:BRS_GOLD__1_MTG,TBA_ALL,PAYUP,NONAGENCY,MORT_IDIO,CRT,CRT_SP_RISK:TBA_ALL:TBA_15YR:USD_TBA15_OTM30_V610_E</v>
          </cell>
          <cell r="D3611" t="str">
            <v>Spread Duration</v>
          </cell>
          <cell r="E3611" t="str">
            <v>Spread Yield</v>
          </cell>
          <cell r="F3611" t="str">
            <v>Alternative</v>
          </cell>
          <cell r="G3611" t="str">
            <v>Other</v>
          </cell>
          <cell r="H3611" t="str">
            <v>ALTS</v>
          </cell>
          <cell r="I3611" t="str">
            <v>Mortgage - Moneyness</v>
          </cell>
        </row>
        <row r="3612">
          <cell r="A3612" t="str">
            <v>USD_TBA15_OTM25_V610_E</v>
          </cell>
          <cell r="B3612" t="str">
            <v>TBA15 OTM250 V610</v>
          </cell>
          <cell r="C3612" t="str">
            <v>BRS_GOLD__5_SPREADS:BRS_GOLD__3_OTHER_SPREADS:BRS_GOLD__1_MTG,TBA_ALL,PAYUP,NONAGENCY,MORT_IDIO,CRT,CRT_SP_RISK:TBA_ALL:TBA_15YR:USD_TBA15_OTM25_V610_E</v>
          </cell>
          <cell r="D3612" t="str">
            <v>Spread Duration</v>
          </cell>
          <cell r="E3612" t="str">
            <v>Spread Yield</v>
          </cell>
          <cell r="F3612" t="str">
            <v>Alternative</v>
          </cell>
          <cell r="G3612" t="str">
            <v>Other</v>
          </cell>
          <cell r="H3612" t="str">
            <v>ALTS</v>
          </cell>
          <cell r="I3612" t="str">
            <v>Mortgage - Moneyness</v>
          </cell>
        </row>
        <row r="3613">
          <cell r="A3613" t="str">
            <v>USD_TBA15_OTM20_V610_E</v>
          </cell>
          <cell r="B3613" t="str">
            <v>TBA15 OTM200 V610</v>
          </cell>
          <cell r="C3613" t="str">
            <v>BRS_GOLD__5_SPREADS:BRS_GOLD__3_OTHER_SPREADS:BRS_GOLD__1_MTG,TBA_ALL,PAYUP,NONAGENCY,MORT_IDIO,CRT,CRT_SP_RISK:TBA_ALL:TBA_15YR:USD_TBA15_OTM20_V610_E</v>
          </cell>
          <cell r="D3613" t="str">
            <v>Spread Duration</v>
          </cell>
          <cell r="E3613" t="str">
            <v>Spread Yield</v>
          </cell>
          <cell r="F3613" t="str">
            <v>Alternative</v>
          </cell>
          <cell r="G3613" t="str">
            <v>Other</v>
          </cell>
          <cell r="H3613" t="str">
            <v>ALTS</v>
          </cell>
          <cell r="I3613" t="str">
            <v>Mortgage - Moneyness</v>
          </cell>
        </row>
        <row r="3614">
          <cell r="A3614" t="str">
            <v>USD_TBA15_OTM15_V610_E</v>
          </cell>
          <cell r="B3614" t="str">
            <v>TBA15 OTM150 V610</v>
          </cell>
          <cell r="C3614" t="str">
            <v>BRS_GOLD__5_SPREADS:BRS_GOLD__3_OTHER_SPREADS:BRS_GOLD__1_MTG,TBA_ALL,PAYUP,NONAGENCY,MORT_IDIO,CRT,CRT_SP_RISK:TBA_ALL:TBA_15YR:USD_TBA15_OTM15_V610_E</v>
          </cell>
          <cell r="D3614" t="str">
            <v>Spread Duration</v>
          </cell>
          <cell r="E3614" t="str">
            <v>Spread Yield</v>
          </cell>
          <cell r="F3614" t="str">
            <v>Alternative</v>
          </cell>
          <cell r="G3614" t="str">
            <v>Other</v>
          </cell>
          <cell r="H3614" t="str">
            <v>ALTS</v>
          </cell>
          <cell r="I3614" t="str">
            <v>Mortgage - Moneyness</v>
          </cell>
        </row>
        <row r="3615">
          <cell r="A3615" t="str">
            <v>USD_TBA15_OTM10_V610_E</v>
          </cell>
          <cell r="B3615" t="str">
            <v>TBA15 OTM100 V610</v>
          </cell>
          <cell r="C3615" t="str">
            <v>BRS_GOLD__5_SPREADS:BRS_GOLD__3_OTHER_SPREADS:BRS_GOLD__1_MTG,TBA_ALL,PAYUP,NONAGENCY,MORT_IDIO,CRT,CRT_SP_RISK:TBA_ALL:TBA_15YR:USD_TBA15_OTM10_V610_E</v>
          </cell>
          <cell r="D3615" t="str">
            <v>Spread Duration</v>
          </cell>
          <cell r="E3615" t="str">
            <v>Spread Yield</v>
          </cell>
          <cell r="F3615" t="str">
            <v>Alternative</v>
          </cell>
          <cell r="G3615" t="str">
            <v>Other</v>
          </cell>
          <cell r="H3615" t="str">
            <v>ALTS</v>
          </cell>
          <cell r="I3615" t="str">
            <v>Mortgage - Moneyness</v>
          </cell>
        </row>
        <row r="3616">
          <cell r="A3616" t="str">
            <v>USD_TBA15_OTM5_V610_E</v>
          </cell>
          <cell r="B3616" t="str">
            <v>TBA15 OTM50 V610</v>
          </cell>
          <cell r="C3616" t="str">
            <v>BRS_GOLD__5_SPREADS:BRS_GOLD__3_OTHER_SPREADS:BRS_GOLD__1_MTG,TBA_ALL,PAYUP,NONAGENCY,MORT_IDIO,CRT,CRT_SP_RISK:TBA_ALL:TBA_15YR:USD_TBA15_OTM5_V610_E</v>
          </cell>
          <cell r="D3616" t="str">
            <v>Spread Duration</v>
          </cell>
          <cell r="E3616" t="str">
            <v>Spread Yield</v>
          </cell>
          <cell r="F3616" t="str">
            <v>Alternative</v>
          </cell>
          <cell r="G3616" t="str">
            <v>Other</v>
          </cell>
          <cell r="H3616" t="str">
            <v>ALTS</v>
          </cell>
          <cell r="I3616" t="str">
            <v>Mortgage - Moneyness</v>
          </cell>
        </row>
        <row r="3617">
          <cell r="A3617" t="str">
            <v>USD_TBA15_ATM_V610_E</v>
          </cell>
          <cell r="B3617" t="str">
            <v>TBA15 ATM V610</v>
          </cell>
          <cell r="C3617" t="str">
            <v>BRS_GOLD__5_SPREADS:BRS_GOLD__3_OTHER_SPREADS:BRS_GOLD__1_MTG,TBA_ALL,PAYUP,NONAGENCY,MORT_IDIO,CRT,CRT_SP_RISK:TBA_ALL:TBA_15YR:USD_TBA15_ATM_V610_E</v>
          </cell>
          <cell r="D3617" t="str">
            <v>Spread Duration</v>
          </cell>
          <cell r="E3617" t="str">
            <v>Spread Yield</v>
          </cell>
          <cell r="F3617" t="str">
            <v>Alternative</v>
          </cell>
          <cell r="G3617" t="str">
            <v>Other</v>
          </cell>
          <cell r="H3617" t="str">
            <v>ALTS</v>
          </cell>
          <cell r="I3617" t="str">
            <v>Mortgage - Moneyness</v>
          </cell>
        </row>
        <row r="3618">
          <cell r="A3618" t="str">
            <v>USD_TBA15_ITM5_V610_E</v>
          </cell>
          <cell r="B3618" t="str">
            <v>TBA15 ITM50 V610</v>
          </cell>
          <cell r="C3618" t="str">
            <v>BRS_GOLD__5_SPREADS:BRS_GOLD__3_OTHER_SPREADS:BRS_GOLD__1_MTG,TBA_ALL,PAYUP,NONAGENCY,MORT_IDIO,CRT,CRT_SP_RISK:TBA_ALL:TBA_15YR:USD_TBA15_ITM5_V610_E</v>
          </cell>
          <cell r="D3618" t="str">
            <v>Spread Duration</v>
          </cell>
          <cell r="E3618" t="str">
            <v>Spread Yield</v>
          </cell>
          <cell r="F3618" t="str">
            <v>Alternative</v>
          </cell>
          <cell r="G3618" t="str">
            <v>Other</v>
          </cell>
          <cell r="H3618" t="str">
            <v>ALTS</v>
          </cell>
          <cell r="I3618" t="str">
            <v>Mortgage - Moneyness</v>
          </cell>
        </row>
        <row r="3619">
          <cell r="A3619" t="str">
            <v>USD_TBA15_ITM10_V610_E</v>
          </cell>
          <cell r="B3619" t="str">
            <v>TBA15 ITM100 V610</v>
          </cell>
          <cell r="C3619" t="str">
            <v>BRS_GOLD__5_SPREADS:BRS_GOLD__3_OTHER_SPREADS:BRS_GOLD__1_MTG,TBA_ALL,PAYUP,NONAGENCY,MORT_IDIO,CRT,CRT_SP_RISK:TBA_ALL:TBA_15YR:USD_TBA15_ITM10_V610_E</v>
          </cell>
          <cell r="D3619" t="str">
            <v>Spread Duration</v>
          </cell>
          <cell r="E3619" t="str">
            <v>Spread Yield</v>
          </cell>
          <cell r="F3619" t="str">
            <v>Alternative</v>
          </cell>
          <cell r="G3619" t="str">
            <v>Other</v>
          </cell>
          <cell r="H3619" t="str">
            <v>ALTS</v>
          </cell>
          <cell r="I3619" t="str">
            <v>Mortgage - Moneyness</v>
          </cell>
        </row>
        <row r="3620">
          <cell r="A3620" t="str">
            <v>USD_TBA15_ITM15_V610_E</v>
          </cell>
          <cell r="B3620" t="str">
            <v>TBA15 ITM150 V610</v>
          </cell>
          <cell r="C3620" t="str">
            <v>BRS_GOLD__5_SPREADS:BRS_GOLD__3_OTHER_SPREADS:BRS_GOLD__1_MTG,TBA_ALL,PAYUP,NONAGENCY,MORT_IDIO,CRT,CRT_SP_RISK:TBA_ALL:TBA_15YR:USD_TBA15_ITM15_V610_E</v>
          </cell>
          <cell r="D3620" t="str">
            <v>Spread Duration</v>
          </cell>
          <cell r="E3620" t="str">
            <v>Spread Yield</v>
          </cell>
          <cell r="F3620" t="str">
            <v>Alternative</v>
          </cell>
          <cell r="G3620" t="str">
            <v>Other</v>
          </cell>
          <cell r="H3620" t="str">
            <v>ALTS</v>
          </cell>
          <cell r="I3620" t="str">
            <v>Mortgage - Moneyness</v>
          </cell>
        </row>
        <row r="3621">
          <cell r="A3621" t="str">
            <v>USD_TBA15_ITM20_V610_E</v>
          </cell>
          <cell r="B3621" t="str">
            <v>TBA15 ITM200 V610</v>
          </cell>
          <cell r="C3621" t="str">
            <v>BRS_GOLD__5_SPREADS:BRS_GOLD__3_OTHER_SPREADS:BRS_GOLD__1_MTG,TBA_ALL,PAYUP,NONAGENCY,MORT_IDIO,CRT,CRT_SP_RISK:TBA_ALL:TBA_15YR:USD_TBA15_ITM20_V610_E</v>
          </cell>
          <cell r="D3621" t="str">
            <v>Spread Duration</v>
          </cell>
          <cell r="E3621" t="str">
            <v>Spread Yield</v>
          </cell>
          <cell r="F3621" t="str">
            <v>Alternative</v>
          </cell>
          <cell r="G3621" t="str">
            <v>Other</v>
          </cell>
          <cell r="H3621" t="str">
            <v>ALTS</v>
          </cell>
          <cell r="I3621" t="str">
            <v>Mortgage - Moneyness</v>
          </cell>
        </row>
        <row r="3622">
          <cell r="A3622" t="str">
            <v>USD_TBA15_ITM25_V610_E</v>
          </cell>
          <cell r="B3622" t="str">
            <v>TBA15 ITM250 V610</v>
          </cell>
          <cell r="C3622" t="str">
            <v>BRS_GOLD__5_SPREADS:BRS_GOLD__3_OTHER_SPREADS:BRS_GOLD__1_MTG,TBA_ALL,PAYUP,NONAGENCY,MORT_IDIO,CRT,CRT_SP_RISK:TBA_ALL:TBA_15YR:USD_TBA15_ITM25_V610_E</v>
          </cell>
          <cell r="D3622" t="str">
            <v>Spread Duration</v>
          </cell>
          <cell r="E3622" t="str">
            <v>Spread Yield</v>
          </cell>
          <cell r="F3622" t="str">
            <v>Alternative</v>
          </cell>
          <cell r="G3622" t="str">
            <v>Other</v>
          </cell>
          <cell r="H3622" t="str">
            <v>ALTS</v>
          </cell>
          <cell r="I3622" t="str">
            <v>Mortgage - Moneyness</v>
          </cell>
        </row>
        <row r="3623">
          <cell r="A3623" t="str">
            <v>USD_TBA15_ITM30_V610_E</v>
          </cell>
          <cell r="B3623" t="str">
            <v>TBA15 ITM300 V610</v>
          </cell>
          <cell r="C3623" t="str">
            <v>BRS_GOLD__5_SPREADS:BRS_GOLD__3_OTHER_SPREADS:BRS_GOLD__1_MTG,TBA_ALL,PAYUP,NONAGENCY,MORT_IDIO,CRT,CRT_SP_RISK:TBA_ALL:TBA_15YR:USD_TBA15_ITM30_V610_E</v>
          </cell>
          <cell r="D3623" t="str">
            <v>Spread Duration</v>
          </cell>
          <cell r="E3623" t="str">
            <v>Spread Yield</v>
          </cell>
          <cell r="F3623" t="str">
            <v>Alternative</v>
          </cell>
          <cell r="G3623" t="str">
            <v>Other</v>
          </cell>
          <cell r="H3623" t="str">
            <v>ALTS</v>
          </cell>
          <cell r="I3623" t="str">
            <v>Mortgage - Moneyness</v>
          </cell>
        </row>
        <row r="3624">
          <cell r="A3624" t="str">
            <v>USD_TBA15_ITM35_V610_E</v>
          </cell>
          <cell r="B3624" t="str">
            <v>TBA15 ITM350 V610</v>
          </cell>
          <cell r="C3624" t="str">
            <v>BRS_GOLD__5_SPREADS:BRS_GOLD__3_OTHER_SPREADS:BRS_GOLD__1_MTG,TBA_ALL,PAYUP,NONAGENCY,MORT_IDIO,CRT,CRT_SP_RISK:TBA_ALL:TBA_15YR:USD_TBA15_ITM35_V610_E</v>
          </cell>
          <cell r="D3624" t="str">
            <v>Spread Duration</v>
          </cell>
          <cell r="E3624" t="str">
            <v>Spread Yield</v>
          </cell>
          <cell r="F3624" t="str">
            <v>Alternative</v>
          </cell>
          <cell r="G3624" t="str">
            <v>Other</v>
          </cell>
          <cell r="H3624" t="str">
            <v>ALTS</v>
          </cell>
          <cell r="I3624" t="str">
            <v>Mortgage - Moneyness</v>
          </cell>
        </row>
        <row r="3625">
          <cell r="A3625" t="str">
            <v>USD_TBA15_OTM35_V620</v>
          </cell>
          <cell r="B3625" t="str">
            <v>TBA15 OTM350 V620</v>
          </cell>
          <cell r="C3625" t="str">
            <v>BRS_GOLD__5_SPREADS:BRS_GOLD__3_OTHER_SPREADS:BRS_GOLD__1_MTG,TBA_ALL,PAYUP,NONAGENCY,MORT_IDIO,CRT,CRT_SP_RISK:TBA_ALL:TBA_15YR:USD_TBA15_OTM35_V620</v>
          </cell>
          <cell r="D3625" t="str">
            <v>Spread Duration</v>
          </cell>
          <cell r="E3625" t="str">
            <v>Spread Yield</v>
          </cell>
          <cell r="F3625" t="str">
            <v>Alternative</v>
          </cell>
          <cell r="G3625" t="str">
            <v>Other</v>
          </cell>
          <cell r="H3625" t="str">
            <v>ALTS</v>
          </cell>
          <cell r="I3625" t="str">
            <v>Mortgage - Moneyness</v>
          </cell>
        </row>
        <row r="3626">
          <cell r="A3626" t="str">
            <v>USD_TBA15_OTM30_V620</v>
          </cell>
          <cell r="B3626" t="str">
            <v>TBA15 OTM300 V620</v>
          </cell>
          <cell r="C3626" t="str">
            <v>BRS_GOLD__5_SPREADS:BRS_GOLD__3_OTHER_SPREADS:BRS_GOLD__1_MTG,TBA_ALL,PAYUP,NONAGENCY,MORT_IDIO,CRT,CRT_SP_RISK:TBA_ALL:TBA_15YR:USD_TBA15_OTM30_V620</v>
          </cell>
          <cell r="D3626" t="str">
            <v>Spread Duration</v>
          </cell>
          <cell r="E3626" t="str">
            <v>Spread Yield</v>
          </cell>
          <cell r="F3626" t="str">
            <v>Alternative</v>
          </cell>
          <cell r="G3626" t="str">
            <v>Other</v>
          </cell>
          <cell r="H3626" t="str">
            <v>ALTS</v>
          </cell>
          <cell r="I3626" t="str">
            <v>Mortgage - Moneyness</v>
          </cell>
        </row>
        <row r="3627">
          <cell r="A3627" t="str">
            <v>USD_TBA15_OTM25_V620</v>
          </cell>
          <cell r="B3627" t="str">
            <v>TBA15 OTM250 V620</v>
          </cell>
          <cell r="C3627" t="str">
            <v>BRS_GOLD__5_SPREADS:BRS_GOLD__3_OTHER_SPREADS:BRS_GOLD__1_MTG,TBA_ALL,PAYUP,NONAGENCY,MORT_IDIO,CRT,CRT_SP_RISK:TBA_ALL:TBA_15YR:USD_TBA15_OTM25_V620</v>
          </cell>
          <cell r="D3627" t="str">
            <v>Spread Duration</v>
          </cell>
          <cell r="E3627" t="str">
            <v>Spread Yield</v>
          </cell>
          <cell r="F3627" t="str">
            <v>Alternative</v>
          </cell>
          <cell r="G3627" t="str">
            <v>Other</v>
          </cell>
          <cell r="H3627" t="str">
            <v>ALTS</v>
          </cell>
          <cell r="I3627" t="str">
            <v>Mortgage - Moneyness</v>
          </cell>
        </row>
        <row r="3628">
          <cell r="A3628" t="str">
            <v>USD_TBA15_OTM20_V620</v>
          </cell>
          <cell r="B3628" t="str">
            <v>TBA15 OTM200 V620</v>
          </cell>
          <cell r="C3628" t="str">
            <v>BRS_GOLD__5_SPREADS:BRS_GOLD__3_OTHER_SPREADS:BRS_GOLD__1_MTG,TBA_ALL,PAYUP,NONAGENCY,MORT_IDIO,CRT,CRT_SP_RISK:TBA_ALL:TBA_15YR:USD_TBA15_OTM20_V620</v>
          </cell>
          <cell r="D3628" t="str">
            <v>Spread Duration</v>
          </cell>
          <cell r="E3628" t="str">
            <v>Spread Yield</v>
          </cell>
          <cell r="F3628" t="str">
            <v>Alternative</v>
          </cell>
          <cell r="G3628" t="str">
            <v>Other</v>
          </cell>
          <cell r="H3628" t="str">
            <v>ALTS</v>
          </cell>
          <cell r="I3628" t="str">
            <v>Mortgage - Moneyness</v>
          </cell>
        </row>
        <row r="3629">
          <cell r="A3629" t="str">
            <v>USD_TBA15_OTM15_V620</v>
          </cell>
          <cell r="B3629" t="str">
            <v>TBA15 OTM150 V620</v>
          </cell>
          <cell r="C3629" t="str">
            <v>BRS_GOLD__5_SPREADS:BRS_GOLD__3_OTHER_SPREADS:BRS_GOLD__1_MTG,TBA_ALL,PAYUP,NONAGENCY,MORT_IDIO,CRT,CRT_SP_RISK:TBA_ALL:TBA_15YR:USD_TBA15_OTM15_V620</v>
          </cell>
          <cell r="D3629" t="str">
            <v>Spread Duration</v>
          </cell>
          <cell r="E3629" t="str">
            <v>Spread Yield</v>
          </cell>
          <cell r="F3629" t="str">
            <v>Alternative</v>
          </cell>
          <cell r="G3629" t="str">
            <v>Other</v>
          </cell>
          <cell r="H3629" t="str">
            <v>ALTS</v>
          </cell>
          <cell r="I3629" t="str">
            <v>Mortgage - Moneyness</v>
          </cell>
        </row>
        <row r="3630">
          <cell r="A3630" t="str">
            <v>USD_TBA15_OTM10_V620</v>
          </cell>
          <cell r="B3630" t="str">
            <v>TBA15 OTM100 V620</v>
          </cell>
          <cell r="C3630" t="str">
            <v>BRS_GOLD__5_SPREADS:BRS_GOLD__3_OTHER_SPREADS:BRS_GOLD__1_MTG,TBA_ALL,PAYUP,NONAGENCY,MORT_IDIO,CRT,CRT_SP_RISK:TBA_ALL:TBA_15YR:USD_TBA15_OTM10_V620</v>
          </cell>
          <cell r="D3630" t="str">
            <v>Spread Duration</v>
          </cell>
          <cell r="E3630" t="str">
            <v>Spread Yield</v>
          </cell>
          <cell r="F3630" t="str">
            <v>Alternative</v>
          </cell>
          <cell r="G3630" t="str">
            <v>Other</v>
          </cell>
          <cell r="H3630" t="str">
            <v>ALTS</v>
          </cell>
          <cell r="I3630" t="str">
            <v>Mortgage - Moneyness</v>
          </cell>
        </row>
        <row r="3631">
          <cell r="A3631" t="str">
            <v>USD_TBA15_OTM5_V620</v>
          </cell>
          <cell r="B3631" t="str">
            <v>TBA15 OTM50 V620</v>
          </cell>
          <cell r="C3631" t="str">
            <v>BRS_GOLD__5_SPREADS:BRS_GOLD__3_OTHER_SPREADS:BRS_GOLD__1_MTG,TBA_ALL,PAYUP,NONAGENCY,MORT_IDIO,CRT,CRT_SP_RISK:TBA_ALL:TBA_15YR:USD_TBA15_OTM5_V620</v>
          </cell>
          <cell r="D3631" t="str">
            <v>Spread Duration</v>
          </cell>
          <cell r="E3631" t="str">
            <v>Spread Yield</v>
          </cell>
          <cell r="F3631" t="str">
            <v>Alternative</v>
          </cell>
          <cell r="G3631" t="str">
            <v>Other</v>
          </cell>
          <cell r="H3631" t="str">
            <v>ALTS</v>
          </cell>
          <cell r="I3631" t="str">
            <v>Mortgage - Moneyness</v>
          </cell>
        </row>
        <row r="3632">
          <cell r="A3632" t="str">
            <v>USD_TBA15_ATM_V620</v>
          </cell>
          <cell r="B3632" t="str">
            <v>TBA15 ATM V620</v>
          </cell>
          <cell r="C3632" t="str">
            <v>BRS_GOLD__5_SPREADS:BRS_GOLD__3_OTHER_SPREADS:BRS_GOLD__1_MTG,TBA_ALL,PAYUP,NONAGENCY,MORT_IDIO,CRT,CRT_SP_RISK:TBA_ALL:TBA_15YR:USD_TBA15_ATM_V620</v>
          </cell>
          <cell r="D3632" t="str">
            <v>Spread Duration</v>
          </cell>
          <cell r="E3632" t="str">
            <v>Spread Yield</v>
          </cell>
          <cell r="F3632" t="str">
            <v>Alternative</v>
          </cell>
          <cell r="G3632" t="str">
            <v>Other</v>
          </cell>
          <cell r="H3632" t="str">
            <v>ALTS</v>
          </cell>
          <cell r="I3632" t="str">
            <v>Mortgage - Moneyness</v>
          </cell>
        </row>
        <row r="3633">
          <cell r="A3633" t="str">
            <v>USD_TBA15_ITM5_V620</v>
          </cell>
          <cell r="B3633" t="str">
            <v>TBA15 ITM50 V620</v>
          </cell>
          <cell r="C3633" t="str">
            <v>BRS_GOLD__5_SPREADS:BRS_GOLD__3_OTHER_SPREADS:BRS_GOLD__1_MTG,TBA_ALL,PAYUP,NONAGENCY,MORT_IDIO,CRT,CRT_SP_RISK:TBA_ALL:TBA_15YR:USD_TBA15_ITM5_V620</v>
          </cell>
          <cell r="D3633" t="str">
            <v>Spread Duration</v>
          </cell>
          <cell r="E3633" t="str">
            <v>Spread Yield</v>
          </cell>
          <cell r="F3633" t="str">
            <v>Alternative</v>
          </cell>
          <cell r="G3633" t="str">
            <v>Other</v>
          </cell>
          <cell r="H3633" t="str">
            <v>ALTS</v>
          </cell>
          <cell r="I3633" t="str">
            <v>Mortgage - Moneyness</v>
          </cell>
        </row>
        <row r="3634">
          <cell r="A3634" t="str">
            <v>USD_TBA15_ITM10_V620</v>
          </cell>
          <cell r="B3634" t="str">
            <v>TBA15 ITM100 V620</v>
          </cell>
          <cell r="C3634" t="str">
            <v>BRS_GOLD__5_SPREADS:BRS_GOLD__3_OTHER_SPREADS:BRS_GOLD__1_MTG,TBA_ALL,PAYUP,NONAGENCY,MORT_IDIO,CRT,CRT_SP_RISK:TBA_ALL:TBA_15YR:USD_TBA15_ITM10_V620</v>
          </cell>
          <cell r="D3634" t="str">
            <v>Spread Duration</v>
          </cell>
          <cell r="E3634" t="str">
            <v>Spread Yield</v>
          </cell>
          <cell r="F3634" t="str">
            <v>Alternative</v>
          </cell>
          <cell r="G3634" t="str">
            <v>Other</v>
          </cell>
          <cell r="H3634" t="str">
            <v>ALTS</v>
          </cell>
          <cell r="I3634" t="str">
            <v>Mortgage - Moneyness</v>
          </cell>
        </row>
        <row r="3635">
          <cell r="A3635" t="str">
            <v>USD_TBA15_ITM15_V620</v>
          </cell>
          <cell r="B3635" t="str">
            <v>TBA15 ITM150 V620</v>
          </cell>
          <cell r="C3635" t="str">
            <v>BRS_GOLD__5_SPREADS:BRS_GOLD__3_OTHER_SPREADS:BRS_GOLD__1_MTG,TBA_ALL,PAYUP,NONAGENCY,MORT_IDIO,CRT,CRT_SP_RISK:TBA_ALL:TBA_15YR:USD_TBA15_ITM15_V620</v>
          </cell>
          <cell r="D3635" t="str">
            <v>Spread Duration</v>
          </cell>
          <cell r="E3635" t="str">
            <v>Spread Yield</v>
          </cell>
          <cell r="F3635" t="str">
            <v>Alternative</v>
          </cell>
          <cell r="G3635" t="str">
            <v>Other</v>
          </cell>
          <cell r="H3635" t="str">
            <v>ALTS</v>
          </cell>
          <cell r="I3635" t="str">
            <v>Mortgage - Moneyness</v>
          </cell>
        </row>
        <row r="3636">
          <cell r="A3636" t="str">
            <v>USD_TBA15_ITM20_V620</v>
          </cell>
          <cell r="B3636" t="str">
            <v>TBA15 ITM200 V620</v>
          </cell>
          <cell r="C3636" t="str">
            <v>BRS_GOLD__5_SPREADS:BRS_GOLD__3_OTHER_SPREADS:BRS_GOLD__1_MTG,TBA_ALL,PAYUP,NONAGENCY,MORT_IDIO,CRT,CRT_SP_RISK:TBA_ALL:TBA_15YR:USD_TBA15_ITM20_V620</v>
          </cell>
          <cell r="D3636" t="str">
            <v>Spread Duration</v>
          </cell>
          <cell r="E3636" t="str">
            <v>Spread Yield</v>
          </cell>
          <cell r="F3636" t="str">
            <v>Alternative</v>
          </cell>
          <cell r="G3636" t="str">
            <v>Other</v>
          </cell>
          <cell r="H3636" t="str">
            <v>ALTS</v>
          </cell>
          <cell r="I3636" t="str">
            <v>Mortgage - Moneyness</v>
          </cell>
        </row>
        <row r="3637">
          <cell r="A3637" t="str">
            <v>USD_TBA15_ITM25_V620</v>
          </cell>
          <cell r="B3637" t="str">
            <v>TBA15 ITM250 V620</v>
          </cell>
          <cell r="C3637" t="str">
            <v>BRS_GOLD__5_SPREADS:BRS_GOLD__3_OTHER_SPREADS:BRS_GOLD__1_MTG,TBA_ALL,PAYUP,NONAGENCY,MORT_IDIO,CRT,CRT_SP_RISK:TBA_ALL:TBA_15YR:USD_TBA15_ITM25_V620</v>
          </cell>
          <cell r="D3637" t="str">
            <v>Spread Duration</v>
          </cell>
          <cell r="E3637" t="str">
            <v>Spread Yield</v>
          </cell>
          <cell r="F3637" t="str">
            <v>Alternative</v>
          </cell>
          <cell r="G3637" t="str">
            <v>Other</v>
          </cell>
          <cell r="H3637" t="str">
            <v>ALTS</v>
          </cell>
          <cell r="I3637" t="str">
            <v>Mortgage - Moneyness</v>
          </cell>
        </row>
        <row r="3638">
          <cell r="A3638" t="str">
            <v>USD_TBA15_ITM30_V620</v>
          </cell>
          <cell r="B3638" t="str">
            <v>TBA15 ITM300 V620</v>
          </cell>
          <cell r="C3638" t="str">
            <v>BRS_GOLD__5_SPREADS:BRS_GOLD__3_OTHER_SPREADS:BRS_GOLD__1_MTG,TBA_ALL,PAYUP,NONAGENCY,MORT_IDIO,CRT,CRT_SP_RISK:TBA_ALL:TBA_15YR:USD_TBA15_ITM30_V620</v>
          </cell>
          <cell r="D3638" t="str">
            <v>Spread Duration</v>
          </cell>
          <cell r="E3638" t="str">
            <v>Spread Yield</v>
          </cell>
          <cell r="F3638" t="str">
            <v>Alternative</v>
          </cell>
          <cell r="G3638" t="str">
            <v>Other</v>
          </cell>
          <cell r="H3638" t="str">
            <v>ALTS</v>
          </cell>
          <cell r="I3638" t="str">
            <v>Mortgage - Moneyness</v>
          </cell>
        </row>
        <row r="3639">
          <cell r="A3639" t="str">
            <v>USD_TBA15_ITM35_V620</v>
          </cell>
          <cell r="B3639" t="str">
            <v>TBA15 ITM350 V620</v>
          </cell>
          <cell r="C3639" t="str">
            <v>BRS_GOLD__5_SPREADS:BRS_GOLD__3_OTHER_SPREADS:BRS_GOLD__1_MTG,TBA_ALL,PAYUP,NONAGENCY,MORT_IDIO,CRT,CRT_SP_RISK:TBA_ALL:TBA_15YR:USD_TBA15_ITM35_V620</v>
          </cell>
          <cell r="D3639" t="str">
            <v>Spread Duration</v>
          </cell>
          <cell r="E3639" t="str">
            <v>Spread Yield</v>
          </cell>
          <cell r="F3639" t="str">
            <v>Alternative</v>
          </cell>
          <cell r="G3639" t="str">
            <v>Other</v>
          </cell>
          <cell r="H3639" t="str">
            <v>ALTS</v>
          </cell>
          <cell r="I3639" t="str">
            <v>Mortgage - Moneyness</v>
          </cell>
        </row>
        <row r="3640">
          <cell r="A3640" t="str">
            <v>USD_TBA15_OTM35_V620_E</v>
          </cell>
          <cell r="B3640" t="str">
            <v>TBA15 OTM350 V620</v>
          </cell>
          <cell r="C3640" t="str">
            <v>BRS_GOLD__5_SPREADS:BRS_GOLD__3_OTHER_SPREADS:BRS_GOLD__1_MTG,TBA_ALL,PAYUP,NONAGENCY,MORT_IDIO,CRT,CRT_SP_RISK:TBA_ALL:TBA_15YR:USD_TBA15_OTM35_V620_E</v>
          </cell>
          <cell r="D3640" t="str">
            <v>Spread Duration</v>
          </cell>
          <cell r="E3640" t="str">
            <v>Spread Yield</v>
          </cell>
          <cell r="F3640" t="str">
            <v>Alternative</v>
          </cell>
          <cell r="G3640" t="str">
            <v>Other</v>
          </cell>
          <cell r="H3640" t="str">
            <v>ALTS</v>
          </cell>
          <cell r="I3640" t="str">
            <v>Mortgage - Moneyness</v>
          </cell>
        </row>
        <row r="3641">
          <cell r="A3641" t="str">
            <v>USD_TBA15_OTM30_V620_E</v>
          </cell>
          <cell r="B3641" t="str">
            <v>TBA15 OTM300 V620</v>
          </cell>
          <cell r="C3641" t="str">
            <v>BRS_GOLD__5_SPREADS:BRS_GOLD__3_OTHER_SPREADS:BRS_GOLD__1_MTG,TBA_ALL,PAYUP,NONAGENCY,MORT_IDIO,CRT,CRT_SP_RISK:TBA_ALL:TBA_15YR:USD_TBA15_OTM30_V620_E</v>
          </cell>
          <cell r="D3641" t="str">
            <v>Spread Duration</v>
          </cell>
          <cell r="E3641" t="str">
            <v>Spread Yield</v>
          </cell>
          <cell r="F3641" t="str">
            <v>Alternative</v>
          </cell>
          <cell r="G3641" t="str">
            <v>Other</v>
          </cell>
          <cell r="H3641" t="str">
            <v>ALTS</v>
          </cell>
          <cell r="I3641" t="str">
            <v>Mortgage - Moneyness</v>
          </cell>
        </row>
        <row r="3642">
          <cell r="A3642" t="str">
            <v>USD_TBA15_OTM25_V620_E</v>
          </cell>
          <cell r="B3642" t="str">
            <v>TBA15 OTM250 V620</v>
          </cell>
          <cell r="C3642" t="str">
            <v>BRS_GOLD__5_SPREADS:BRS_GOLD__3_OTHER_SPREADS:BRS_GOLD__1_MTG,TBA_ALL,PAYUP,NONAGENCY,MORT_IDIO,CRT,CRT_SP_RISK:TBA_ALL:TBA_15YR:USD_TBA15_OTM25_V620_E</v>
          </cell>
          <cell r="D3642" t="str">
            <v>Spread Duration</v>
          </cell>
          <cell r="E3642" t="str">
            <v>Spread Yield</v>
          </cell>
          <cell r="F3642" t="str">
            <v>Alternative</v>
          </cell>
          <cell r="G3642" t="str">
            <v>Other</v>
          </cell>
          <cell r="H3642" t="str">
            <v>ALTS</v>
          </cell>
          <cell r="I3642" t="str">
            <v>Mortgage - Moneyness</v>
          </cell>
        </row>
        <row r="3643">
          <cell r="A3643" t="str">
            <v>USD_TBA15_OTM20_V620_E</v>
          </cell>
          <cell r="B3643" t="str">
            <v>TBA15 OTM200 V620</v>
          </cell>
          <cell r="C3643" t="str">
            <v>BRS_GOLD__5_SPREADS:BRS_GOLD__3_OTHER_SPREADS:BRS_GOLD__1_MTG,TBA_ALL,PAYUP,NONAGENCY,MORT_IDIO,CRT,CRT_SP_RISK:TBA_ALL:TBA_15YR:USD_TBA15_OTM20_V620_E</v>
          </cell>
          <cell r="D3643" t="str">
            <v>Spread Duration</v>
          </cell>
          <cell r="E3643" t="str">
            <v>Spread Yield</v>
          </cell>
          <cell r="F3643" t="str">
            <v>Alternative</v>
          </cell>
          <cell r="G3643" t="str">
            <v>Other</v>
          </cell>
          <cell r="H3643" t="str">
            <v>ALTS</v>
          </cell>
          <cell r="I3643" t="str">
            <v>Mortgage - Moneyness</v>
          </cell>
        </row>
        <row r="3644">
          <cell r="A3644" t="str">
            <v>USD_TBA15_OTM15_V620_E</v>
          </cell>
          <cell r="B3644" t="str">
            <v>TBA15 OTM150 V620</v>
          </cell>
          <cell r="C3644" t="str">
            <v>BRS_GOLD__5_SPREADS:BRS_GOLD__3_OTHER_SPREADS:BRS_GOLD__1_MTG,TBA_ALL,PAYUP,NONAGENCY,MORT_IDIO,CRT,CRT_SP_RISK:TBA_ALL:TBA_15YR:USD_TBA15_OTM15_V620_E</v>
          </cell>
          <cell r="D3644" t="str">
            <v>Spread Duration</v>
          </cell>
          <cell r="E3644" t="str">
            <v>Spread Yield</v>
          </cell>
          <cell r="F3644" t="str">
            <v>Alternative</v>
          </cell>
          <cell r="G3644" t="str">
            <v>Other</v>
          </cell>
          <cell r="H3644" t="str">
            <v>ALTS</v>
          </cell>
          <cell r="I3644" t="str">
            <v>Mortgage - Moneyness</v>
          </cell>
        </row>
        <row r="3645">
          <cell r="A3645" t="str">
            <v>USD_TBA15_OTM10_V620_E</v>
          </cell>
          <cell r="B3645" t="str">
            <v>TBA15 OTM100 V620</v>
          </cell>
          <cell r="C3645" t="str">
            <v>BRS_GOLD__5_SPREADS:BRS_GOLD__3_OTHER_SPREADS:BRS_GOLD__1_MTG,TBA_ALL,PAYUP,NONAGENCY,MORT_IDIO,CRT,CRT_SP_RISK:TBA_ALL:TBA_15YR:USD_TBA15_OTM10_V620_E</v>
          </cell>
          <cell r="D3645" t="str">
            <v>Spread Duration</v>
          </cell>
          <cell r="E3645" t="str">
            <v>Spread Yield</v>
          </cell>
          <cell r="F3645" t="str">
            <v>Alternative</v>
          </cell>
          <cell r="G3645" t="str">
            <v>Other</v>
          </cell>
          <cell r="H3645" t="str">
            <v>ALTS</v>
          </cell>
          <cell r="I3645" t="str">
            <v>Mortgage - Moneyness</v>
          </cell>
        </row>
        <row r="3646">
          <cell r="A3646" t="str">
            <v>USD_TBA15_OTM5_V620_E</v>
          </cell>
          <cell r="B3646" t="str">
            <v>TBA15 OTM50 V620</v>
          </cell>
          <cell r="C3646" t="str">
            <v>BRS_GOLD__5_SPREADS:BRS_GOLD__3_OTHER_SPREADS:BRS_GOLD__1_MTG,TBA_ALL,PAYUP,NONAGENCY,MORT_IDIO,CRT,CRT_SP_RISK:TBA_ALL:TBA_15YR:USD_TBA15_OTM5_V620_E</v>
          </cell>
          <cell r="D3646" t="str">
            <v>Spread Duration</v>
          </cell>
          <cell r="E3646" t="str">
            <v>Spread Yield</v>
          </cell>
          <cell r="F3646" t="str">
            <v>Alternative</v>
          </cell>
          <cell r="G3646" t="str">
            <v>Other</v>
          </cell>
          <cell r="H3646" t="str">
            <v>ALTS</v>
          </cell>
          <cell r="I3646" t="str">
            <v>Mortgage - Moneyness</v>
          </cell>
        </row>
        <row r="3647">
          <cell r="A3647" t="str">
            <v>USD_TBA15_ATM_V620_E</v>
          </cell>
          <cell r="B3647" t="str">
            <v>TBA15 ATM V620</v>
          </cell>
          <cell r="C3647" t="str">
            <v>BRS_GOLD__5_SPREADS:BRS_GOLD__3_OTHER_SPREADS:BRS_GOLD__1_MTG,TBA_ALL,PAYUP,NONAGENCY,MORT_IDIO,CRT,CRT_SP_RISK:TBA_ALL:TBA_15YR:USD_TBA15_ATM_V620_E</v>
          </cell>
          <cell r="D3647" t="str">
            <v>Spread Duration</v>
          </cell>
          <cell r="E3647" t="str">
            <v>Spread Yield</v>
          </cell>
          <cell r="F3647" t="str">
            <v>Alternative</v>
          </cell>
          <cell r="G3647" t="str">
            <v>Other</v>
          </cell>
          <cell r="H3647" t="str">
            <v>ALTS</v>
          </cell>
          <cell r="I3647" t="str">
            <v>Mortgage - Moneyness</v>
          </cell>
        </row>
        <row r="3648">
          <cell r="A3648" t="str">
            <v>USD_TBA15_ITM5_V620_E</v>
          </cell>
          <cell r="B3648" t="str">
            <v>TBA15 ITM50 V620</v>
          </cell>
          <cell r="C3648" t="str">
            <v>BRS_GOLD__5_SPREADS:BRS_GOLD__3_OTHER_SPREADS:BRS_GOLD__1_MTG,TBA_ALL,PAYUP,NONAGENCY,MORT_IDIO,CRT,CRT_SP_RISK:TBA_ALL:TBA_15YR:USD_TBA15_ITM5_V620_E</v>
          </cell>
          <cell r="D3648" t="str">
            <v>Spread Duration</v>
          </cell>
          <cell r="E3648" t="str">
            <v>Spread Yield</v>
          </cell>
          <cell r="F3648" t="str">
            <v>Alternative</v>
          </cell>
          <cell r="G3648" t="str">
            <v>Other</v>
          </cell>
          <cell r="H3648" t="str">
            <v>ALTS</v>
          </cell>
          <cell r="I3648" t="str">
            <v>Mortgage - Moneyness</v>
          </cell>
        </row>
        <row r="3649">
          <cell r="A3649" t="str">
            <v>USD_TBA15_ITM10_V620_E</v>
          </cell>
          <cell r="B3649" t="str">
            <v>TBA15 ITM100 V620</v>
          </cell>
          <cell r="C3649" t="str">
            <v>BRS_GOLD__5_SPREADS:BRS_GOLD__3_OTHER_SPREADS:BRS_GOLD__1_MTG,TBA_ALL,PAYUP,NONAGENCY,MORT_IDIO,CRT,CRT_SP_RISK:TBA_ALL:TBA_15YR:USD_TBA15_ITM10_V620_E</v>
          </cell>
          <cell r="D3649" t="str">
            <v>Spread Duration</v>
          </cell>
          <cell r="E3649" t="str">
            <v>Spread Yield</v>
          </cell>
          <cell r="F3649" t="str">
            <v>Alternative</v>
          </cell>
          <cell r="G3649" t="str">
            <v>Other</v>
          </cell>
          <cell r="H3649" t="str">
            <v>ALTS</v>
          </cell>
          <cell r="I3649" t="str">
            <v>Mortgage - Moneyness</v>
          </cell>
        </row>
        <row r="3650">
          <cell r="A3650" t="str">
            <v>USD_TBA15_ITM15_V620_E</v>
          </cell>
          <cell r="B3650" t="str">
            <v>TBA15 ITM150 V620</v>
          </cell>
          <cell r="C3650" t="str">
            <v>BRS_GOLD__5_SPREADS:BRS_GOLD__3_OTHER_SPREADS:BRS_GOLD__1_MTG,TBA_ALL,PAYUP,NONAGENCY,MORT_IDIO,CRT,CRT_SP_RISK:TBA_ALL:TBA_15YR:USD_TBA15_ITM15_V620_E</v>
          </cell>
          <cell r="D3650" t="str">
            <v>Spread Duration</v>
          </cell>
          <cell r="E3650" t="str">
            <v>Spread Yield</v>
          </cell>
          <cell r="F3650" t="str">
            <v>Alternative</v>
          </cell>
          <cell r="G3650" t="str">
            <v>Other</v>
          </cell>
          <cell r="H3650" t="str">
            <v>ALTS</v>
          </cell>
          <cell r="I3650" t="str">
            <v>Mortgage - Moneyness</v>
          </cell>
        </row>
        <row r="3651">
          <cell r="A3651" t="str">
            <v>USD_TBA15_ITM20_V620_E</v>
          </cell>
          <cell r="B3651" t="str">
            <v>TBA15 ITM200 V620</v>
          </cell>
          <cell r="C3651" t="str">
            <v>BRS_GOLD__5_SPREADS:BRS_GOLD__3_OTHER_SPREADS:BRS_GOLD__1_MTG,TBA_ALL,PAYUP,NONAGENCY,MORT_IDIO,CRT,CRT_SP_RISK:TBA_ALL:TBA_15YR:USD_TBA15_ITM20_V620_E</v>
          </cell>
          <cell r="D3651" t="str">
            <v>Spread Duration</v>
          </cell>
          <cell r="E3651" t="str">
            <v>Spread Yield</v>
          </cell>
          <cell r="F3651" t="str">
            <v>Alternative</v>
          </cell>
          <cell r="G3651" t="str">
            <v>Other</v>
          </cell>
          <cell r="H3651" t="str">
            <v>ALTS</v>
          </cell>
          <cell r="I3651" t="str">
            <v>Mortgage - Moneyness</v>
          </cell>
        </row>
        <row r="3652">
          <cell r="A3652" t="str">
            <v>USD_TBA15_ITM25_V620_E</v>
          </cell>
          <cell r="B3652" t="str">
            <v>TBA15 ITM250 V620</v>
          </cell>
          <cell r="C3652" t="str">
            <v>BRS_GOLD__5_SPREADS:BRS_GOLD__3_OTHER_SPREADS:BRS_GOLD__1_MTG,TBA_ALL,PAYUP,NONAGENCY,MORT_IDIO,CRT,CRT_SP_RISK:TBA_ALL:TBA_15YR:USD_TBA15_ITM25_V620_E</v>
          </cell>
          <cell r="D3652" t="str">
            <v>Spread Duration</v>
          </cell>
          <cell r="E3652" t="str">
            <v>Spread Yield</v>
          </cell>
          <cell r="F3652" t="str">
            <v>Alternative</v>
          </cell>
          <cell r="G3652" t="str">
            <v>Other</v>
          </cell>
          <cell r="H3652" t="str">
            <v>ALTS</v>
          </cell>
          <cell r="I3652" t="str">
            <v>Mortgage - Moneyness</v>
          </cell>
        </row>
        <row r="3653">
          <cell r="A3653" t="str">
            <v>USD_TBA15_ITM30_V620_E</v>
          </cell>
          <cell r="B3653" t="str">
            <v>TBA15 ITM300 V620</v>
          </cell>
          <cell r="C3653" t="str">
            <v>BRS_GOLD__5_SPREADS:BRS_GOLD__3_OTHER_SPREADS:BRS_GOLD__1_MTG,TBA_ALL,PAYUP,NONAGENCY,MORT_IDIO,CRT,CRT_SP_RISK:TBA_ALL:TBA_15YR:USD_TBA15_ITM30_V620_E</v>
          </cell>
          <cell r="D3653" t="str">
            <v>Spread Duration</v>
          </cell>
          <cell r="E3653" t="str">
            <v>Spread Yield</v>
          </cell>
          <cell r="F3653" t="str">
            <v>Alternative</v>
          </cell>
          <cell r="G3653" t="str">
            <v>Other</v>
          </cell>
          <cell r="H3653" t="str">
            <v>ALTS</v>
          </cell>
          <cell r="I3653" t="str">
            <v>Mortgage - Moneyness</v>
          </cell>
        </row>
        <row r="3654">
          <cell r="A3654" t="str">
            <v>USD_TBA15_ITM35_V620_E</v>
          </cell>
          <cell r="B3654" t="str">
            <v>TBA15 ITM350 V620</v>
          </cell>
          <cell r="C3654" t="str">
            <v>BRS_GOLD__5_SPREADS:BRS_GOLD__3_OTHER_SPREADS:BRS_GOLD__1_MTG,TBA_ALL,PAYUP,NONAGENCY,MORT_IDIO,CRT,CRT_SP_RISK:TBA_ALL:TBA_15YR:USD_TBA15_ITM35_V620_E</v>
          </cell>
          <cell r="D3654" t="str">
            <v>Spread Duration</v>
          </cell>
          <cell r="E3654" t="str">
            <v>Spread Yield</v>
          </cell>
          <cell r="F3654" t="str">
            <v>Alternative</v>
          </cell>
          <cell r="G3654" t="str">
            <v>Other</v>
          </cell>
          <cell r="H3654" t="str">
            <v>ALTS</v>
          </cell>
          <cell r="I3654" t="str">
            <v>Mortgage - Moneyness</v>
          </cell>
        </row>
        <row r="3655">
          <cell r="A3655" t="str">
            <v>USD_TBA_FN15_PSS_V610</v>
          </cell>
          <cell r="B3655" t="str">
            <v>15yr FN PSS V610</v>
          </cell>
          <cell r="C3655" t="str">
            <v>BRS_GOLD__5_SPREADS:BRS_GOLD__3_OTHER_SPREADS:BRS_GOLD__1_MTG,TBA_ALL,PAYUP,NONAGENCY,MORT_IDIO,CRT,CRT_SP_RISK:TBA_ALL:TBA_15YR:USD_TBA_FN15_PSS_V610</v>
          </cell>
          <cell r="D3655" t="str">
            <v>Spread Duration</v>
          </cell>
          <cell r="E3655" t="str">
            <v>Spread Yield</v>
          </cell>
          <cell r="F3655" t="str">
            <v>Alternative</v>
          </cell>
          <cell r="G3655" t="str">
            <v>Other</v>
          </cell>
          <cell r="H3655" t="str">
            <v>ALTS</v>
          </cell>
          <cell r="I3655" t="str">
            <v>Mortgage - Moneyness</v>
          </cell>
        </row>
        <row r="3656">
          <cell r="A3656" t="str">
            <v>USD_TBA_FN15_PSS_V620</v>
          </cell>
          <cell r="B3656" t="str">
            <v>15yr FN PSS V620</v>
          </cell>
          <cell r="C3656" t="str">
            <v>BRS_GOLD__5_SPREADS:BRS_GOLD__3_OTHER_SPREADS:BRS_GOLD__1_MTG,TBA_ALL,PAYUP,NONAGENCY,MORT_IDIO,CRT,CRT_SP_RISK:TBA_ALL:TBA_15YR:USD_TBA_FN15_PSS_V620</v>
          </cell>
          <cell r="D3656" t="str">
            <v>Spread Duration</v>
          </cell>
          <cell r="E3656" t="str">
            <v>Spread Yield</v>
          </cell>
          <cell r="F3656" t="str">
            <v>Alternative</v>
          </cell>
          <cell r="G3656" t="str">
            <v>Other</v>
          </cell>
          <cell r="H3656" t="str">
            <v>ALTS</v>
          </cell>
          <cell r="I3656" t="str">
            <v>Mortgage - Moneyness</v>
          </cell>
        </row>
        <row r="3657">
          <cell r="A3657" t="str">
            <v>USD_TBA_GN_V521</v>
          </cell>
          <cell r="B3657" t="str">
            <v>TBA GNvsFN</v>
          </cell>
          <cell r="C3657" t="str">
            <v>BRS_GOLD__5_SPREADS:BRS_GOLD__3_OTHER_SPREADS:BRS_GOLD__1_MTG,TBA_ALL,PAYUP,NONAGENCY,MORT_IDIO,CRT,CRT_SP_RISK:TBA_ALL:TBA_GNvsFN:USD_TBA_GN_V521</v>
          </cell>
          <cell r="D3657" t="str">
            <v>Spread Duration</v>
          </cell>
          <cell r="E3657" t="str">
            <v>Other Spread Yield</v>
          </cell>
          <cell r="F3657" t="str">
            <v>Alternative</v>
          </cell>
          <cell r="G3657" t="str">
            <v>Other</v>
          </cell>
          <cell r="H3657" t="str">
            <v>ALTS</v>
          </cell>
          <cell r="I3657" t="str">
            <v>Mortgage - Moneyness</v>
          </cell>
        </row>
        <row r="3658">
          <cell r="A3658" t="str">
            <v>USD_TBA_GN_V530</v>
          </cell>
          <cell r="B3658" t="str">
            <v>TBA GNvsFN v530</v>
          </cell>
          <cell r="C3658" t="str">
            <v>BRS_GOLD__5_SPREADS:BRS_GOLD__3_OTHER_SPREADS:BRS_GOLD__1_MTG,TBA_ALL,PAYUP,NONAGENCY,MORT_IDIO,CRT,CRT_SP_RISK:TBA_ALL:TBA_GNvsFN:USD_TBA_GN_V530</v>
          </cell>
          <cell r="D3658" t="str">
            <v>Spread Duration</v>
          </cell>
          <cell r="E3658" t="str">
            <v>Other Spread Yield</v>
          </cell>
          <cell r="F3658" t="str">
            <v>Alternative</v>
          </cell>
          <cell r="G3658" t="str">
            <v>Other</v>
          </cell>
          <cell r="H3658" t="str">
            <v>ALTS</v>
          </cell>
          <cell r="I3658" t="str">
            <v>Mortgage - Moneyness</v>
          </cell>
        </row>
        <row r="3659">
          <cell r="A3659" t="str">
            <v>USD_TBA_GN_V540</v>
          </cell>
          <cell r="B3659" t="str">
            <v>TBA GNvsFN v540</v>
          </cell>
          <cell r="C3659" t="str">
            <v>BRS_GOLD__5_SPREADS:BRS_GOLD__3_OTHER_SPREADS:BRS_GOLD__1_MTG,TBA_ALL,PAYUP,NONAGENCY,MORT_IDIO,CRT,CRT_SP_RISK:TBA_ALL:TBA_GNvsFN:USD_TBA_GN_V540</v>
          </cell>
          <cell r="D3659" t="str">
            <v>Spread Duration</v>
          </cell>
          <cell r="E3659" t="str">
            <v>Other Spread Yield</v>
          </cell>
          <cell r="F3659" t="str">
            <v>Alternative</v>
          </cell>
          <cell r="G3659" t="str">
            <v>Other</v>
          </cell>
          <cell r="H3659" t="str">
            <v>ALTS</v>
          </cell>
          <cell r="I3659" t="str">
            <v>Mortgage - Moneyness</v>
          </cell>
        </row>
        <row r="3660">
          <cell r="A3660" t="str">
            <v>USD_TBA_GN_V545</v>
          </cell>
          <cell r="B3660" t="str">
            <v>TBA GNvsFN v545</v>
          </cell>
          <cell r="C3660" t="str">
            <v>BRS_GOLD__5_SPREADS:BRS_GOLD__3_OTHER_SPREADS:BRS_GOLD__1_MTG,TBA_ALL,PAYUP,NONAGENCY,MORT_IDIO,CRT,CRT_SP_RISK:TBA_ALL:TBA_GNvsFN:USD_TBA_GN_V545</v>
          </cell>
          <cell r="D3660" t="str">
            <v>Spread Duration</v>
          </cell>
          <cell r="E3660" t="str">
            <v>Other Spread Yield</v>
          </cell>
          <cell r="F3660" t="str">
            <v>Alternative</v>
          </cell>
          <cell r="G3660" t="str">
            <v>Other</v>
          </cell>
          <cell r="H3660" t="str">
            <v>ALTS</v>
          </cell>
          <cell r="I3660" t="str">
            <v>Mortgage - Moneyness</v>
          </cell>
        </row>
        <row r="3661">
          <cell r="A3661" t="str">
            <v>USD_TBA_GN_V546</v>
          </cell>
          <cell r="B3661" t="str">
            <v>TBA GNvsFN v546</v>
          </cell>
          <cell r="C3661" t="str">
            <v>BRS_GOLD__5_SPREADS:BRS_GOLD__3_OTHER_SPREADS:BRS_GOLD__1_MTG,TBA_ALL,PAYUP,NONAGENCY,MORT_IDIO,CRT,CRT_SP_RISK:TBA_ALL:TBA_GNvsFN:USD_TBA_GN_V546</v>
          </cell>
          <cell r="D3661" t="str">
            <v>Spread Duration</v>
          </cell>
          <cell r="E3661" t="str">
            <v>Other Spread Yield</v>
          </cell>
          <cell r="F3661" t="str">
            <v>Alternative</v>
          </cell>
          <cell r="G3661" t="str">
            <v>Other</v>
          </cell>
          <cell r="H3661" t="str">
            <v>ALTS</v>
          </cell>
          <cell r="I3661" t="str">
            <v>Mortgage - Moneyness</v>
          </cell>
        </row>
        <row r="3662">
          <cell r="A3662" t="str">
            <v>USD_TBA_GN_V600</v>
          </cell>
          <cell r="B3662" t="str">
            <v>TBA GNvsFN V600</v>
          </cell>
          <cell r="C3662" t="str">
            <v>BRS_GOLD__5_SPREADS:BRS_GOLD__3_OTHER_SPREADS:BRS_GOLD__1_MTG,TBA_ALL,PAYUP,NONAGENCY,MORT_IDIO,CRT,CRT_SP_RISK:TBA_ALL:TBA_GNvsFN:USD_TBA_GN_V600</v>
          </cell>
          <cell r="D3662" t="str">
            <v>Spread Duration</v>
          </cell>
          <cell r="E3662" t="str">
            <v>Other Spread Yield</v>
          </cell>
          <cell r="F3662" t="str">
            <v>Alternative</v>
          </cell>
          <cell r="G3662" t="str">
            <v>Other</v>
          </cell>
          <cell r="H3662" t="str">
            <v>ALTS</v>
          </cell>
          <cell r="I3662" t="str">
            <v>Mortgage - Moneyness</v>
          </cell>
        </row>
        <row r="3663">
          <cell r="A3663" t="str">
            <v>USD_TBA_GN_V604</v>
          </cell>
          <cell r="B3663" t="str">
            <v>TBA GNvsFN V604</v>
          </cell>
          <cell r="C3663" t="str">
            <v>BRS_GOLD__5_SPREADS:BRS_GOLD__3_OTHER_SPREADS:BRS_GOLD__1_MTG,TBA_ALL,PAYUP,NONAGENCY,MORT_IDIO,CRT,CRT_SP_RISK:TBA_ALL:TBA_GNvsFN:USD_TBA_GN_V604</v>
          </cell>
          <cell r="D3663" t="str">
            <v>Spread Duration</v>
          </cell>
          <cell r="E3663" t="str">
            <v>Other Spread Yield</v>
          </cell>
          <cell r="F3663" t="str">
            <v>Alternative</v>
          </cell>
          <cell r="G3663" t="str">
            <v>Other</v>
          </cell>
          <cell r="H3663" t="str">
            <v>ALTS</v>
          </cell>
          <cell r="I3663" t="str">
            <v>Mortgage - Moneyness</v>
          </cell>
        </row>
        <row r="3664">
          <cell r="A3664" t="str">
            <v>USD_TBA_GN_V604_E</v>
          </cell>
          <cell r="B3664" t="str">
            <v>TBA GNvsFN V604</v>
          </cell>
          <cell r="C3664" t="str">
            <v>BRS_GOLD__5_SPREADS:BRS_GOLD__3_OTHER_SPREADS:BRS_GOLD__1_MTG,TBA_ALL,PAYUP,NONAGENCY,MORT_IDIO,CRT,CRT_SP_RISK:TBA_ALL:TBA_GNvsFN:USD_TBA_GN_V604_E</v>
          </cell>
          <cell r="D3664" t="str">
            <v>Spread Duration</v>
          </cell>
          <cell r="E3664" t="str">
            <v>Other Spread Yield</v>
          </cell>
          <cell r="F3664" t="str">
            <v>Alternative</v>
          </cell>
          <cell r="G3664" t="str">
            <v>Other</v>
          </cell>
          <cell r="H3664" t="str">
            <v>ALTS</v>
          </cell>
          <cell r="I3664" t="str">
            <v>Mortgage - Moneyness</v>
          </cell>
        </row>
        <row r="3665">
          <cell r="A3665" t="str">
            <v>USD_TBA_GN_V610</v>
          </cell>
          <cell r="B3665" t="str">
            <v>TBA GNvsFN V610</v>
          </cell>
          <cell r="C3665" t="str">
            <v>BRS_GOLD__5_SPREADS:BRS_GOLD__3_OTHER_SPREADS:BRS_GOLD__1_MTG,TBA_ALL,PAYUP,NONAGENCY,MORT_IDIO,CRT,CRT_SP_RISK:TBA_ALL:TBA_GNvsFN:USD_TBA_GN_V610</v>
          </cell>
          <cell r="D3665" t="str">
            <v>Spread Duration</v>
          </cell>
          <cell r="E3665" t="str">
            <v>Other Spread Yield</v>
          </cell>
          <cell r="F3665" t="str">
            <v>Alternative</v>
          </cell>
          <cell r="G3665" t="str">
            <v>Other</v>
          </cell>
          <cell r="H3665" t="str">
            <v>ALTS</v>
          </cell>
          <cell r="I3665" t="str">
            <v>Mortgage - Moneyness</v>
          </cell>
        </row>
        <row r="3666">
          <cell r="A3666" t="str">
            <v>USD_TBA_GN_V610_E</v>
          </cell>
          <cell r="B3666" t="str">
            <v>TBA GNvsFN V610</v>
          </cell>
          <cell r="C3666" t="str">
            <v>BRS_GOLD__5_SPREADS:BRS_GOLD__3_OTHER_SPREADS:BRS_GOLD__1_MTG,TBA_ALL,PAYUP,NONAGENCY,MORT_IDIO,CRT,CRT_SP_RISK:TBA_ALL:TBA_GNvsFN:USD_TBA_GN_V610_E</v>
          </cell>
          <cell r="D3666" t="str">
            <v>Spread Duration</v>
          </cell>
          <cell r="E3666" t="str">
            <v>Other Spread Yield</v>
          </cell>
          <cell r="F3666" t="str">
            <v>Alternative</v>
          </cell>
          <cell r="G3666" t="str">
            <v>Other</v>
          </cell>
          <cell r="H3666" t="str">
            <v>ALTS</v>
          </cell>
          <cell r="I3666" t="str">
            <v>Mortgage - Moneyness</v>
          </cell>
        </row>
        <row r="3667">
          <cell r="A3667" t="str">
            <v>USD_TBA_GN_V620</v>
          </cell>
          <cell r="B3667" t="str">
            <v>TBA GNvsFN V620</v>
          </cell>
          <cell r="C3667" t="str">
            <v>BRS_GOLD__5_SPREADS:BRS_GOLD__3_OTHER_SPREADS:BRS_GOLD__1_MTG,TBA_ALL,PAYUP,NONAGENCY,MORT_IDIO,CRT,CRT_SP_RISK:TBA_ALL:TBA_GNvsFN:USD_TBA_GN_V620</v>
          </cell>
          <cell r="D3667" t="str">
            <v>Spread Duration</v>
          </cell>
          <cell r="E3667" t="str">
            <v>Other Spread Yield</v>
          </cell>
          <cell r="F3667" t="str">
            <v>Alternative</v>
          </cell>
          <cell r="G3667" t="str">
            <v>Other</v>
          </cell>
          <cell r="H3667" t="str">
            <v>ALTS</v>
          </cell>
          <cell r="I3667" t="str">
            <v>Mortgage - Moneyness</v>
          </cell>
        </row>
        <row r="3668">
          <cell r="A3668" t="str">
            <v>USD_TBA_GN_V620_E</v>
          </cell>
          <cell r="B3668" t="str">
            <v>TBA GNvsFN V620</v>
          </cell>
          <cell r="C3668" t="str">
            <v>BRS_GOLD__5_SPREADS:BRS_GOLD__3_OTHER_SPREADS:BRS_GOLD__1_MTG,TBA_ALL,PAYUP,NONAGENCY,MORT_IDIO,CRT,CRT_SP_RISK:TBA_ALL:TBA_GNvsFN:USD_TBA_GN_V620_E</v>
          </cell>
          <cell r="D3668" t="str">
            <v>Spread Duration</v>
          </cell>
          <cell r="E3668" t="str">
            <v>Other Spread Yield</v>
          </cell>
          <cell r="F3668" t="str">
            <v>Alternative</v>
          </cell>
          <cell r="G3668" t="str">
            <v>Other</v>
          </cell>
          <cell r="H3668" t="str">
            <v>ALTS</v>
          </cell>
          <cell r="I3668" t="str">
            <v>Mortgage - Moneyness</v>
          </cell>
        </row>
        <row r="3669">
          <cell r="A3669" t="str">
            <v>USD_TBA_15_V521</v>
          </cell>
          <cell r="B3669" t="str">
            <v>TBA 15vs30</v>
          </cell>
          <cell r="C3669" t="str">
            <v>BRS_GOLD__5_SPREADS:BRS_GOLD__3_OTHER_SPREADS:BRS_GOLD__1_MTG,TBA_ALL,PAYUP,NONAGENCY,MORT_IDIO,CRT,CRT_SP_RISK:TBA_ALL:TBA_15vs30:USD_TBA_15_V521</v>
          </cell>
          <cell r="D3669" t="str">
            <v>Spread Duration</v>
          </cell>
          <cell r="E3669" t="str">
            <v>Spread Yield</v>
          </cell>
          <cell r="F3669" t="str">
            <v>Alternative</v>
          </cell>
          <cell r="G3669" t="str">
            <v>Other</v>
          </cell>
          <cell r="H3669" t="str">
            <v>ALTS</v>
          </cell>
          <cell r="I3669" t="str">
            <v>Mortgage - Moneyness</v>
          </cell>
        </row>
        <row r="3670">
          <cell r="A3670" t="str">
            <v>USD_TBA_15_V530</v>
          </cell>
          <cell r="B3670" t="str">
            <v>TBA 15vs30 v530</v>
          </cell>
          <cell r="C3670" t="str">
            <v>BRS_GOLD__5_SPREADS:BRS_GOLD__3_OTHER_SPREADS:BRS_GOLD__1_MTG,TBA_ALL,PAYUP,NONAGENCY,MORT_IDIO,CRT,CRT_SP_RISK:TBA_ALL:TBA_15vs30:USD_TBA_15_V530</v>
          </cell>
          <cell r="D3670" t="str">
            <v>Spread Duration</v>
          </cell>
          <cell r="E3670" t="str">
            <v>Spread Yield</v>
          </cell>
          <cell r="F3670" t="str">
            <v>Alternative</v>
          </cell>
          <cell r="G3670" t="str">
            <v>Other</v>
          </cell>
          <cell r="H3670" t="str">
            <v>ALTS</v>
          </cell>
          <cell r="I3670" t="str">
            <v>Mortgage - Moneyness</v>
          </cell>
        </row>
        <row r="3671">
          <cell r="A3671" t="str">
            <v>USD_TBA_15_V540</v>
          </cell>
          <cell r="B3671" t="str">
            <v>TBA 15vs30 v540</v>
          </cell>
          <cell r="C3671" t="str">
            <v>BRS_GOLD__5_SPREADS:BRS_GOLD__3_OTHER_SPREADS:BRS_GOLD__1_MTG,TBA_ALL,PAYUP,NONAGENCY,MORT_IDIO,CRT,CRT_SP_RISK:TBA_ALL:TBA_15vs30:USD_TBA_15_V540</v>
          </cell>
          <cell r="D3671" t="str">
            <v>Spread Duration</v>
          </cell>
          <cell r="E3671" t="str">
            <v>Spread Yield</v>
          </cell>
          <cell r="F3671" t="str">
            <v>Alternative</v>
          </cell>
          <cell r="G3671" t="str">
            <v>Other</v>
          </cell>
          <cell r="H3671" t="str">
            <v>ALTS</v>
          </cell>
          <cell r="I3671" t="str">
            <v>Mortgage - Moneyness</v>
          </cell>
        </row>
        <row r="3672">
          <cell r="A3672" t="str">
            <v>USD_TBA_15_V545</v>
          </cell>
          <cell r="B3672" t="str">
            <v>TBA 15vs30 v545</v>
          </cell>
          <cell r="C3672" t="str">
            <v>BRS_GOLD__5_SPREADS:BRS_GOLD__3_OTHER_SPREADS:BRS_GOLD__1_MTG,TBA_ALL,PAYUP,NONAGENCY,MORT_IDIO,CRT,CRT_SP_RISK:TBA_ALL:TBA_15vs30:USD_TBA_15_V545</v>
          </cell>
          <cell r="D3672" t="str">
            <v>Spread Duration</v>
          </cell>
          <cell r="E3672" t="str">
            <v>Spread Yield</v>
          </cell>
          <cell r="F3672" t="str">
            <v>Alternative</v>
          </cell>
          <cell r="G3672" t="str">
            <v>Other</v>
          </cell>
          <cell r="H3672" t="str">
            <v>ALTS</v>
          </cell>
          <cell r="I3672" t="str">
            <v>Mortgage - Moneyness</v>
          </cell>
        </row>
        <row r="3673">
          <cell r="A3673" t="str">
            <v>USD_TBA_15_V546</v>
          </cell>
          <cell r="B3673" t="str">
            <v>TBA 15vs30 v546</v>
          </cell>
          <cell r="C3673" t="str">
            <v>BRS_GOLD__5_SPREADS:BRS_GOLD__3_OTHER_SPREADS:BRS_GOLD__1_MTG,TBA_ALL,PAYUP,NONAGENCY,MORT_IDIO,CRT,CRT_SP_RISK:TBA_ALL:TBA_15vs30:USD_TBA_15_V546</v>
          </cell>
          <cell r="D3673" t="str">
            <v>Spread Duration</v>
          </cell>
          <cell r="E3673" t="str">
            <v>Spread Yield</v>
          </cell>
          <cell r="F3673" t="str">
            <v>Alternative</v>
          </cell>
          <cell r="G3673" t="str">
            <v>Other</v>
          </cell>
          <cell r="H3673" t="str">
            <v>ALTS</v>
          </cell>
          <cell r="I3673" t="str">
            <v>Mortgage - Moneyness</v>
          </cell>
        </row>
        <row r="3674">
          <cell r="A3674" t="str">
            <v>USD_TBA_15_V600</v>
          </cell>
          <cell r="B3674" t="str">
            <v>TBA 15vs30 V600</v>
          </cell>
          <cell r="C3674" t="str">
            <v>BRS_GOLD__5_SPREADS:BRS_GOLD__3_OTHER_SPREADS:BRS_GOLD__1_MTG,TBA_ALL,PAYUP,NONAGENCY,MORT_IDIO,CRT,CRT_SP_RISK:TBA_ALL:TBA_15vs30:USD_TBA_15_V600</v>
          </cell>
          <cell r="D3674" t="str">
            <v>Spread Duration</v>
          </cell>
          <cell r="E3674" t="str">
            <v>Spread Yield</v>
          </cell>
          <cell r="F3674" t="str">
            <v>Alternative</v>
          </cell>
          <cell r="G3674" t="str">
            <v>Other</v>
          </cell>
          <cell r="H3674" t="str">
            <v>ALTS</v>
          </cell>
          <cell r="I3674" t="str">
            <v>Mortgage - Moneyness</v>
          </cell>
        </row>
        <row r="3675">
          <cell r="A3675" t="str">
            <v>USD_TBA_15_V604</v>
          </cell>
          <cell r="B3675" t="str">
            <v>TBA 15vs30 V604</v>
          </cell>
          <cell r="C3675" t="str">
            <v>BRS_GOLD__5_SPREADS:BRS_GOLD__3_OTHER_SPREADS:BRS_GOLD__1_MTG,TBA_ALL,PAYUP,NONAGENCY,MORT_IDIO,CRT,CRT_SP_RISK:TBA_ALL:TBA_15vs30:USD_TBA_15_V604</v>
          </cell>
          <cell r="D3675" t="str">
            <v>Spread Duration</v>
          </cell>
          <cell r="E3675" t="str">
            <v>Spread Yield</v>
          </cell>
          <cell r="F3675" t="str">
            <v>Alternative</v>
          </cell>
          <cell r="G3675" t="str">
            <v>Other</v>
          </cell>
          <cell r="H3675" t="str">
            <v>ALTS</v>
          </cell>
          <cell r="I3675" t="str">
            <v>Mortgage - Moneyness</v>
          </cell>
        </row>
        <row r="3676">
          <cell r="A3676" t="str">
            <v>USD_TBA_15_V610</v>
          </cell>
          <cell r="B3676" t="str">
            <v>TBA 15vs30 V610</v>
          </cell>
          <cell r="C3676" t="str">
            <v>BRS_GOLD__5_SPREADS:BRS_GOLD__3_OTHER_SPREADS:BRS_GOLD__1_MTG,TBA_ALL,PAYUP,NONAGENCY,MORT_IDIO,CRT,CRT_SP_RISK:TBA_ALL:TBA_15vs30:USD_TBA_15_V610</v>
          </cell>
          <cell r="D3676" t="str">
            <v>Spread Duration</v>
          </cell>
          <cell r="E3676" t="str">
            <v>Spread Yield</v>
          </cell>
          <cell r="F3676" t="str">
            <v>Alternative</v>
          </cell>
          <cell r="G3676" t="str">
            <v>Other</v>
          </cell>
          <cell r="H3676" t="str">
            <v>ALTS</v>
          </cell>
          <cell r="I3676" t="str">
            <v>Mortgage - Moneyness</v>
          </cell>
        </row>
        <row r="3677">
          <cell r="A3677" t="str">
            <v>USD_TBA_15_V604_E</v>
          </cell>
          <cell r="B3677" t="str">
            <v>TBA 15vs30 V604</v>
          </cell>
          <cell r="C3677" t="str">
            <v>BRS_GOLD__5_SPREADS:BRS_GOLD__3_OTHER_SPREADS:BRS_GOLD__1_MTG,TBA_ALL,PAYUP,NONAGENCY,MORT_IDIO,CRT,CRT_SP_RISK:TBA_ALL:TBA_15vs30:USD_TBA_15_V604_E</v>
          </cell>
          <cell r="D3677" t="str">
            <v>Spread Duration</v>
          </cell>
          <cell r="E3677" t="str">
            <v>Spread Yield</v>
          </cell>
          <cell r="F3677" t="str">
            <v>Alternative</v>
          </cell>
          <cell r="G3677" t="str">
            <v>Other</v>
          </cell>
          <cell r="H3677" t="str">
            <v>ALTS</v>
          </cell>
          <cell r="I3677" t="str">
            <v>Mortgage - Moneyness</v>
          </cell>
        </row>
        <row r="3678">
          <cell r="A3678" t="str">
            <v>USD_TBA_15_V610_E</v>
          </cell>
          <cell r="B3678" t="str">
            <v>TBA 15vs30 V610</v>
          </cell>
          <cell r="C3678" t="str">
            <v>BRS_GOLD__5_SPREADS:BRS_GOLD__3_OTHER_SPREADS:BRS_GOLD__1_MTG,TBA_ALL,PAYUP,NONAGENCY,MORT_IDIO,CRT,CRT_SP_RISK:TBA_ALL:TBA_15vs30:USD_TBA_15_V610_E</v>
          </cell>
          <cell r="D3678" t="str">
            <v>Spread Duration</v>
          </cell>
          <cell r="E3678" t="str">
            <v>Spread Yield</v>
          </cell>
          <cell r="F3678" t="str">
            <v>Alternative</v>
          </cell>
          <cell r="G3678" t="str">
            <v>Other</v>
          </cell>
          <cell r="H3678" t="str">
            <v>ALTS</v>
          </cell>
          <cell r="I3678" t="str">
            <v>Mortgage - Moneyness</v>
          </cell>
        </row>
        <row r="3679">
          <cell r="A3679" t="str">
            <v>USD_TBA_15_V620</v>
          </cell>
          <cell r="B3679" t="str">
            <v>TBA 15vs30 V620</v>
          </cell>
          <cell r="C3679" t="str">
            <v>BRS_GOLD__5_SPREADS:BRS_GOLD__3_OTHER_SPREADS:BRS_GOLD__1_MTG,TBA_ALL,PAYUP,NONAGENCY,MORT_IDIO,CRT,CRT_SP_RISK:TBA_ALL:TBA_15vs30:USD_TBA_15_V620</v>
          </cell>
          <cell r="D3679" t="str">
            <v>Spread Duration</v>
          </cell>
          <cell r="E3679" t="str">
            <v>Spread Yield</v>
          </cell>
          <cell r="F3679" t="str">
            <v>Alternative</v>
          </cell>
          <cell r="G3679" t="str">
            <v>Other</v>
          </cell>
          <cell r="H3679" t="str">
            <v>ALTS</v>
          </cell>
          <cell r="I3679" t="str">
            <v>Mortgage - Moneyness</v>
          </cell>
        </row>
        <row r="3680">
          <cell r="A3680" t="str">
            <v>USD_TBA_15_V620_E</v>
          </cell>
          <cell r="B3680" t="str">
            <v>TBA 15vs30 V620</v>
          </cell>
          <cell r="C3680" t="str">
            <v>BRS_GOLD__5_SPREADS:BRS_GOLD__3_OTHER_SPREADS:BRS_GOLD__1_MTG,TBA_ALL,PAYUP,NONAGENCY,MORT_IDIO,CRT,CRT_SP_RISK:TBA_ALL:TBA_15vs30:USD_TBA_15_V620_E</v>
          </cell>
          <cell r="D3680" t="str">
            <v>Spread Duration</v>
          </cell>
          <cell r="E3680" t="str">
            <v>Spread Yield</v>
          </cell>
          <cell r="F3680" t="str">
            <v>Alternative</v>
          </cell>
          <cell r="G3680" t="str">
            <v>Other</v>
          </cell>
          <cell r="H3680" t="str">
            <v>ALTS</v>
          </cell>
          <cell r="I3680" t="str">
            <v>Mortgage - Moneyness</v>
          </cell>
        </row>
        <row r="3681">
          <cell r="A3681" t="str">
            <v>USD_mtg15_lib</v>
          </cell>
          <cell r="B3681" t="str">
            <v>15yr Mtg Lib Basis</v>
          </cell>
          <cell r="C3681" t="str">
            <v>BRS_GOLD__5_SPREADS:BRS_GOLD__3_OTHER_SPREADS:BRS_GOLD__1_MTG,TBA_ALL,PAYUP,NONAGENCY,MORT_IDIO,CRT,CRT_SP_RISK:BASIS:USD_mtg15_lib</v>
          </cell>
          <cell r="D3681" t="str">
            <v>Mortgage Basis Duration</v>
          </cell>
          <cell r="E3681" t="str">
            <v>Mortgage Basis</v>
          </cell>
          <cell r="F3681" t="str">
            <v>Alternative</v>
          </cell>
          <cell r="G3681" t="str">
            <v>Other</v>
          </cell>
          <cell r="H3681" t="str">
            <v>ALTS</v>
          </cell>
          <cell r="I3681" t="str">
            <v>Mortgage Basis</v>
          </cell>
        </row>
        <row r="3682">
          <cell r="A3682" t="str">
            <v>USD_mtg15_lib_new</v>
          </cell>
          <cell r="B3682" t="str">
            <v>15yr Mtg Libor Basis</v>
          </cell>
          <cell r="C3682" t="str">
            <v>BRS_GOLD__5_SPREADS:BRS_GOLD__3_OTHER_SPREADS:BRS_GOLD__1_MTG,TBA_ALL,PAYUP,NONAGENCY,MORT_IDIO,CRT,CRT_SP_RISK:BASIS:USD_mtg15_lib_new</v>
          </cell>
          <cell r="D3682" t="str">
            <v>Mortgage Basis Duration</v>
          </cell>
          <cell r="E3682" t="str">
            <v>Mortgage Basis</v>
          </cell>
          <cell r="F3682" t="str">
            <v>Alternative</v>
          </cell>
          <cell r="G3682" t="str">
            <v>Other</v>
          </cell>
          <cell r="H3682" t="str">
            <v>ALTS</v>
          </cell>
          <cell r="I3682" t="str">
            <v>Mortgage Basis</v>
          </cell>
        </row>
        <row r="3683">
          <cell r="A3683" t="str">
            <v>USD_mtg15_tsy</v>
          </cell>
          <cell r="B3683" t="str">
            <v>15yr Mtg Tsy Basis</v>
          </cell>
          <cell r="C3683" t="str">
            <v>BRS_GOLD__5_SPREADS:BRS_GOLD__3_OTHER_SPREADS:BRS_GOLD__1_MTG,TBA_ALL,PAYUP,NONAGENCY,MORT_IDIO,CRT,CRT_SP_RISK:BASIS:USD_mtg15_tsy</v>
          </cell>
          <cell r="D3683" t="str">
            <v>Mortgage Basis Duration</v>
          </cell>
          <cell r="E3683" t="str">
            <v>Mortgage Basis</v>
          </cell>
          <cell r="F3683" t="str">
            <v>Alternative</v>
          </cell>
          <cell r="G3683" t="str">
            <v>Other</v>
          </cell>
          <cell r="H3683" t="str">
            <v>ALTS</v>
          </cell>
          <cell r="I3683" t="str">
            <v>Mortgage Basis</v>
          </cell>
        </row>
        <row r="3684">
          <cell r="A3684" t="str">
            <v>USD_mtg_lib</v>
          </cell>
          <cell r="B3684" t="str">
            <v>Mtg Lib Basis</v>
          </cell>
          <cell r="C3684" t="str">
            <v>BRS_GOLD__5_SPREADS:BRS_GOLD__3_OTHER_SPREADS:BRS_GOLD__1_MTG,TBA_ALL,PAYUP,NONAGENCY,MORT_IDIO,CRT,CRT_SP_RISK:BASIS:USD_mtg_lib</v>
          </cell>
          <cell r="D3684" t="str">
            <v>Mortgage Basis Duration</v>
          </cell>
          <cell r="E3684" t="str">
            <v>Mortgage Basis</v>
          </cell>
          <cell r="F3684" t="str">
            <v>Alternative</v>
          </cell>
          <cell r="G3684" t="str">
            <v>Other</v>
          </cell>
          <cell r="H3684" t="str">
            <v>ALTS</v>
          </cell>
          <cell r="I3684" t="str">
            <v>Mortgage Basis</v>
          </cell>
        </row>
        <row r="3685">
          <cell r="A3685" t="str">
            <v>USD_mtg_lib_new</v>
          </cell>
          <cell r="B3685" t="str">
            <v>30yr Mtg Libor Basis</v>
          </cell>
          <cell r="C3685" t="str">
            <v>BRS_GOLD__5_SPREADS:BRS_GOLD__3_OTHER_SPREADS:BRS_GOLD__1_MTG,TBA_ALL,PAYUP,NONAGENCY,MORT_IDIO,CRT,CRT_SP_RISK:BASIS:USD_mtg_lib_new</v>
          </cell>
          <cell r="D3685" t="str">
            <v>Mortgage Basis Duration</v>
          </cell>
          <cell r="E3685" t="str">
            <v>Mortgage Basis</v>
          </cell>
          <cell r="F3685" t="str">
            <v>Alternative</v>
          </cell>
          <cell r="G3685" t="str">
            <v>Other</v>
          </cell>
          <cell r="H3685" t="str">
            <v>ALTS</v>
          </cell>
          <cell r="I3685" t="str">
            <v>Mortgage Basis</v>
          </cell>
        </row>
        <row r="3686">
          <cell r="A3686" t="str">
            <v>USD_mtg_tsy</v>
          </cell>
          <cell r="B3686" t="str">
            <v>30yr Mtg Tsy Basis</v>
          </cell>
          <cell r="C3686" t="str">
            <v>BRS_GOLD__5_SPREADS:BRS_GOLD__3_OTHER_SPREADS:BRS_GOLD__1_MTG,TBA_ALL,PAYUP,NONAGENCY,MORT_IDIO,CRT,CRT_SP_RISK:BASIS:USD_mtg_tsy</v>
          </cell>
          <cell r="D3686" t="str">
            <v>Mortgage Basis Duration</v>
          </cell>
          <cell r="E3686" t="str">
            <v>Mortgage Basis</v>
          </cell>
          <cell r="F3686" t="str">
            <v>Alternative</v>
          </cell>
          <cell r="G3686" t="str">
            <v>Other</v>
          </cell>
          <cell r="H3686" t="str">
            <v>ALTS</v>
          </cell>
          <cell r="I3686" t="str">
            <v>Mortgage Basis</v>
          </cell>
        </row>
        <row r="3687">
          <cell r="A3687" t="str">
            <v>USD_mtgb_lib</v>
          </cell>
          <cell r="B3687" t="str">
            <v>30yr Mtg Libor Basis</v>
          </cell>
          <cell r="C3687" t="str">
            <v>BRS_GOLD__5_SPREADS:BRS_GOLD__3_OTHER_SPREADS:BRS_GOLD__1_MTG,TBA_ALL,PAYUP,NONAGENCY,MORT_IDIO,CRT,CRT_SP_RISK:BASIS:USD_mtgb_lib</v>
          </cell>
          <cell r="D3687" t="str">
            <v>Mortgage Basis Duration</v>
          </cell>
          <cell r="E3687" t="str">
            <v>Mortgage Basis</v>
          </cell>
          <cell r="F3687" t="str">
            <v>Alternative</v>
          </cell>
          <cell r="G3687" t="str">
            <v>Other</v>
          </cell>
          <cell r="H3687" t="str">
            <v>ALTS</v>
          </cell>
          <cell r="I3687" t="str">
            <v>Mortgage Basis</v>
          </cell>
        </row>
        <row r="3688">
          <cell r="A3688" t="str">
            <v>USD_mtgb15_lib</v>
          </cell>
          <cell r="B3688" t="str">
            <v>15yr Mtg Libor Basis</v>
          </cell>
          <cell r="C3688" t="str">
            <v>BRS_GOLD__5_SPREADS:BRS_GOLD__3_OTHER_SPREADS:BRS_GOLD__1_MTG,TBA_ALL,PAYUP,NONAGENCY,MORT_IDIO,CRT,CRT_SP_RISK:BASIS:USD_mtgb15_lib</v>
          </cell>
          <cell r="D3688" t="str">
            <v>Mortgage Basis Duration</v>
          </cell>
          <cell r="E3688" t="str">
            <v>Mortgage Basis</v>
          </cell>
          <cell r="F3688" t="str">
            <v>Alternative</v>
          </cell>
          <cell r="G3688" t="str">
            <v>Other</v>
          </cell>
          <cell r="H3688" t="str">
            <v>ALTS</v>
          </cell>
          <cell r="I3688" t="str">
            <v>Mortgage Basis</v>
          </cell>
        </row>
        <row r="3689">
          <cell r="A3689" t="str">
            <v>USD_mtg15_tsy_V600</v>
          </cell>
          <cell r="B3689" t="str">
            <v>15yr Mtg Tsy Basis V600</v>
          </cell>
          <cell r="C3689" t="str">
            <v>BRS_GOLD__5_SPREADS:BRS_GOLD__3_OTHER_SPREADS:BRS_GOLD__1_MTG,TBA_ALL,PAYUP,NONAGENCY,MORT_IDIO,CRT,CRT_SP_RISK:BASIS:USD_mtg15_tsy_V600</v>
          </cell>
          <cell r="D3689" t="str">
            <v>Mortgage Basis Duration</v>
          </cell>
          <cell r="E3689" t="str">
            <v>Mortgage Basis</v>
          </cell>
          <cell r="F3689" t="str">
            <v>Alternative</v>
          </cell>
          <cell r="G3689" t="str">
            <v>Other</v>
          </cell>
          <cell r="H3689" t="str">
            <v>ALTS</v>
          </cell>
          <cell r="I3689" t="str">
            <v>Mortgage Basis</v>
          </cell>
        </row>
        <row r="3690">
          <cell r="A3690" t="str">
            <v>USD_mtg30_tsy_V600</v>
          </cell>
          <cell r="B3690" t="str">
            <v>30yr Mtg Tsy Basis V600</v>
          </cell>
          <cell r="C3690" t="str">
            <v>BRS_GOLD__5_SPREADS:BRS_GOLD__3_OTHER_SPREADS:BRS_GOLD__1_MTG,TBA_ALL,PAYUP,NONAGENCY,MORT_IDIO,CRT,CRT_SP_RISK:BASIS:USD_mtg30_tsy_V600</v>
          </cell>
          <cell r="D3690" t="str">
            <v>Mortgage Basis Duration</v>
          </cell>
          <cell r="E3690" t="str">
            <v>Mortgage Basis</v>
          </cell>
          <cell r="F3690" t="str">
            <v>Alternative</v>
          </cell>
          <cell r="G3690" t="str">
            <v>Other</v>
          </cell>
          <cell r="H3690" t="str">
            <v>ALTS</v>
          </cell>
          <cell r="I3690" t="str">
            <v>Mortgage Basis</v>
          </cell>
        </row>
        <row r="3691">
          <cell r="A3691" t="str">
            <v>USD_mtg15_tsy_V604</v>
          </cell>
          <cell r="B3691" t="str">
            <v>15yr Mtg Tsy Basis V604</v>
          </cell>
          <cell r="C3691" t="str">
            <v>BRS_GOLD__5_SPREADS:BRS_GOLD__3_OTHER_SPREADS:BRS_GOLD__1_MTG,TBA_ALL,PAYUP,NONAGENCY,MORT_IDIO,CRT,CRT_SP_RISK:BASIS:USD_mtg15_tsy_V604</v>
          </cell>
          <cell r="D3691" t="str">
            <v>Mortgage Basis Duration</v>
          </cell>
          <cell r="E3691" t="str">
            <v>Mortgage Basis</v>
          </cell>
          <cell r="F3691" t="str">
            <v>Alternative</v>
          </cell>
          <cell r="G3691" t="str">
            <v>Other</v>
          </cell>
          <cell r="H3691" t="str">
            <v>ALTS</v>
          </cell>
          <cell r="I3691" t="str">
            <v>Mortgage Basis</v>
          </cell>
        </row>
        <row r="3692">
          <cell r="A3692" t="str">
            <v>USD_mtg30_tsy_V604</v>
          </cell>
          <cell r="B3692" t="str">
            <v>30yr Mtg Tsy Basis V604</v>
          </cell>
          <cell r="C3692" t="str">
            <v>BRS_GOLD__5_SPREADS:BRS_GOLD__3_OTHER_SPREADS:BRS_GOLD__1_MTG,TBA_ALL,PAYUP,NONAGENCY,MORT_IDIO,CRT,CRT_SP_RISK:BASIS:USD_mtg30_tsy_V604</v>
          </cell>
          <cell r="D3692" t="str">
            <v>Mortgage Basis Duration</v>
          </cell>
          <cell r="E3692" t="str">
            <v>Mortgage Basis</v>
          </cell>
          <cell r="F3692" t="str">
            <v>Alternative</v>
          </cell>
          <cell r="G3692" t="str">
            <v>Other</v>
          </cell>
          <cell r="H3692" t="str">
            <v>ALTS</v>
          </cell>
          <cell r="I3692" t="str">
            <v>Mortgage Basis</v>
          </cell>
        </row>
        <row r="3693">
          <cell r="A3693" t="str">
            <v>USD_mtg15_tsy_V610</v>
          </cell>
          <cell r="B3693" t="str">
            <v>15yr Mtg Tsy Basis V610</v>
          </cell>
          <cell r="C3693" t="str">
            <v>BRS_GOLD__5_SPREADS:BRS_GOLD__3_OTHER_SPREADS:BRS_GOLD__1_MTG,TBA_ALL,PAYUP,NONAGENCY,MORT_IDIO,CRT,CRT_SP_RISK:BASIS:USD_mtg15_tsy_V610</v>
          </cell>
          <cell r="D3693" t="str">
            <v>Mortgage Basis Duration</v>
          </cell>
          <cell r="E3693" t="str">
            <v>Mortgage Basis</v>
          </cell>
          <cell r="F3693" t="str">
            <v>Alternative</v>
          </cell>
          <cell r="G3693" t="str">
            <v>Other</v>
          </cell>
          <cell r="H3693" t="str">
            <v>ALTS</v>
          </cell>
          <cell r="I3693" t="str">
            <v>Mortgage Basis</v>
          </cell>
        </row>
        <row r="3694">
          <cell r="A3694" t="str">
            <v>USD_mtg30_tsy_V610</v>
          </cell>
          <cell r="B3694" t="str">
            <v>30yr Mtg Tsy Basis V610</v>
          </cell>
          <cell r="C3694" t="str">
            <v>BRS_GOLD__5_SPREADS:BRS_GOLD__3_OTHER_SPREADS:BRS_GOLD__1_MTG,TBA_ALL,PAYUP,NONAGENCY,MORT_IDIO,CRT,CRT_SP_RISK:BASIS:USD_mtg30_tsy_V610</v>
          </cell>
          <cell r="D3694" t="str">
            <v>Mortgage Basis Duration</v>
          </cell>
          <cell r="E3694" t="str">
            <v>Mortgage Basis</v>
          </cell>
          <cell r="F3694" t="str">
            <v>Alternative</v>
          </cell>
          <cell r="G3694" t="str">
            <v>Other</v>
          </cell>
          <cell r="H3694" t="str">
            <v>ALTS</v>
          </cell>
          <cell r="I3694" t="str">
            <v>Mortgage Basis</v>
          </cell>
        </row>
        <row r="3695">
          <cell r="A3695" t="str">
            <v>USD_mtg15_tsy_V620</v>
          </cell>
          <cell r="B3695" t="str">
            <v>15yr Mtg Tsy Basis V620</v>
          </cell>
          <cell r="C3695" t="str">
            <v>BRS_GOLD__5_SPREADS:BRS_GOLD__3_OTHER_SPREADS:BRS_GOLD__1_MTG,TBA_ALL,PAYUP,NONAGENCY,MORT_IDIO,CRT,CRT_SP_RISK:BASIS:USD_mtg15_tsy_V620</v>
          </cell>
          <cell r="D3695" t="str">
            <v>Mortgage Basis Duration</v>
          </cell>
          <cell r="E3695" t="str">
            <v>Mortgage Basis</v>
          </cell>
          <cell r="F3695" t="str">
            <v>Alternative</v>
          </cell>
          <cell r="G3695" t="str">
            <v>Other</v>
          </cell>
          <cell r="H3695" t="str">
            <v>ALTS</v>
          </cell>
          <cell r="I3695" t="str">
            <v>Mortgage Basis</v>
          </cell>
        </row>
        <row r="3696">
          <cell r="A3696" t="str">
            <v>USD_mtg30_tsy_V620</v>
          </cell>
          <cell r="B3696" t="str">
            <v>30yr Mtg Tsy Basis V620</v>
          </cell>
          <cell r="C3696" t="str">
            <v>BRS_GOLD__5_SPREADS:BRS_GOLD__3_OTHER_SPREADS:BRS_GOLD__1_MTG,TBA_ALL,PAYUP,NONAGENCY,MORT_IDIO,CRT,CRT_SP_RISK:BASIS:USD_mtg30_tsy_V620</v>
          </cell>
          <cell r="D3696" t="str">
            <v>Mortgage Basis Duration</v>
          </cell>
          <cell r="E3696" t="str">
            <v>Mortgage Basis</v>
          </cell>
          <cell r="F3696" t="str">
            <v>Alternative</v>
          </cell>
          <cell r="G3696" t="str">
            <v>Other</v>
          </cell>
          <cell r="H3696" t="str">
            <v>ALTS</v>
          </cell>
          <cell r="I3696" t="str">
            <v>Mortgage Basis</v>
          </cell>
        </row>
        <row r="3697">
          <cell r="A3697" t="str">
            <v>USD_mbs_otm_100</v>
          </cell>
          <cell r="B3697" t="str">
            <v>MBS OTM 100</v>
          </cell>
          <cell r="C3697" t="str">
            <v>BRS_GOLD__5_SPREADS:BRS_GOLD__3_OTHER_SPREADS:BRS_GOLD__1_MTG,TBA_ALL,PAYUP,NONAGENCY,MORT_IDIO,CRT,CRT_SP_RISK:BRS_GOLD__1_MTG-BASIS:USD_mbs_otm_100</v>
          </cell>
          <cell r="D3697" t="str">
            <v>Spread Duration</v>
          </cell>
          <cell r="E3697" t="str">
            <v>Spread Yield</v>
          </cell>
          <cell r="F3697" t="str">
            <v>Alternative</v>
          </cell>
          <cell r="G3697" t="str">
            <v>Other</v>
          </cell>
          <cell r="H3697" t="str">
            <v>ALTS</v>
          </cell>
          <cell r="I3697" t="str">
            <v>Mortgage - Moneyness</v>
          </cell>
        </row>
        <row r="3698">
          <cell r="A3698" t="str">
            <v>USD_mbs_otm_50</v>
          </cell>
          <cell r="B3698" t="str">
            <v>MBS OTM 50</v>
          </cell>
          <cell r="C3698" t="str">
            <v>BRS_GOLD__5_SPREADS:BRS_GOLD__3_OTHER_SPREADS:BRS_GOLD__1_MTG,TBA_ALL,PAYUP,NONAGENCY,MORT_IDIO,CRT,CRT_SP_RISK:BRS_GOLD__1_MTG-BASIS:USD_mbs_otm_50</v>
          </cell>
          <cell r="D3698" t="str">
            <v>Spread Duration</v>
          </cell>
          <cell r="E3698" t="str">
            <v>Spread Yield</v>
          </cell>
          <cell r="F3698" t="str">
            <v>Alternative</v>
          </cell>
          <cell r="G3698" t="str">
            <v>Other</v>
          </cell>
          <cell r="H3698" t="str">
            <v>ALTS</v>
          </cell>
          <cell r="I3698" t="str">
            <v>Mortgage - Moneyness</v>
          </cell>
        </row>
        <row r="3699">
          <cell r="A3699" t="str">
            <v>USD_mbs_atm</v>
          </cell>
          <cell r="B3699" t="str">
            <v>MBS ATM</v>
          </cell>
          <cell r="C3699" t="str">
            <v>BRS_GOLD__5_SPREADS:BRS_GOLD__3_OTHER_SPREADS:BRS_GOLD__1_MTG,TBA_ALL,PAYUP,NONAGENCY,MORT_IDIO,CRT,CRT_SP_RISK:BRS_GOLD__1_MTG-BASIS:USD_mbs_atm</v>
          </cell>
          <cell r="D3699" t="str">
            <v>Spread Duration</v>
          </cell>
          <cell r="E3699" t="str">
            <v>Spread Yield</v>
          </cell>
          <cell r="F3699" t="str">
            <v>Alternative</v>
          </cell>
          <cell r="G3699" t="str">
            <v>Other</v>
          </cell>
          <cell r="H3699" t="str">
            <v>ALTS</v>
          </cell>
          <cell r="I3699" t="str">
            <v>Mortgage - Moneyness</v>
          </cell>
        </row>
        <row r="3700">
          <cell r="A3700" t="str">
            <v>USD_mbs_itm_50</v>
          </cell>
          <cell r="B3700" t="str">
            <v>MBS ITM 50</v>
          </cell>
          <cell r="C3700" t="str">
            <v>BRS_GOLD__5_SPREADS:BRS_GOLD__3_OTHER_SPREADS:BRS_GOLD__1_MTG,TBA_ALL,PAYUP,NONAGENCY,MORT_IDIO,CRT,CRT_SP_RISK:BRS_GOLD__1_MTG-BASIS:USD_mbs_itm_50</v>
          </cell>
          <cell r="D3700" t="str">
            <v>Spread Duration</v>
          </cell>
          <cell r="E3700" t="str">
            <v>Spread Yield</v>
          </cell>
          <cell r="F3700" t="str">
            <v>Alternative</v>
          </cell>
          <cell r="G3700" t="str">
            <v>Other</v>
          </cell>
          <cell r="H3700" t="str">
            <v>ALTS</v>
          </cell>
          <cell r="I3700" t="str">
            <v>Mortgage - Moneyness</v>
          </cell>
        </row>
        <row r="3701">
          <cell r="A3701" t="str">
            <v>USD_mbs_itm_100</v>
          </cell>
          <cell r="B3701" t="str">
            <v>MBS ITM 100</v>
          </cell>
          <cell r="C3701" t="str">
            <v>BRS_GOLD__5_SPREADS:BRS_GOLD__3_OTHER_SPREADS:BRS_GOLD__1_MTG,TBA_ALL,PAYUP,NONAGENCY,MORT_IDIO,CRT,CRT_SP_RISK:BRS_GOLD__1_MTG-BASIS:USD_mbs_itm_100</v>
          </cell>
          <cell r="D3701" t="str">
            <v>Spread Duration</v>
          </cell>
          <cell r="E3701" t="str">
            <v>Spread Yield</v>
          </cell>
          <cell r="F3701" t="str">
            <v>Alternative</v>
          </cell>
          <cell r="G3701" t="str">
            <v>Other</v>
          </cell>
          <cell r="H3701" t="str">
            <v>ALTS</v>
          </cell>
          <cell r="I3701" t="str">
            <v>Mortgage - Moneyness</v>
          </cell>
        </row>
        <row r="3702">
          <cell r="A3702" t="str">
            <v>USD_mbs15_otm_100</v>
          </cell>
          <cell r="B3702" t="str">
            <v>MBS 15 OTM 100</v>
          </cell>
          <cell r="C3702" t="str">
            <v>BRS_GOLD__5_SPREADS:BRS_GOLD__3_OTHER_SPREADS:BRS_GOLD__1_MTG,TBA_ALL,PAYUP,NONAGENCY,MORT_IDIO,CRT,CRT_SP_RISK:BRS_GOLD__1_MTG-BASIS:USD_mbs15_otm_100</v>
          </cell>
          <cell r="D3702" t="str">
            <v>Spread Duration</v>
          </cell>
          <cell r="E3702" t="str">
            <v>Spread Yield</v>
          </cell>
          <cell r="F3702" t="str">
            <v>Alternative</v>
          </cell>
          <cell r="G3702" t="str">
            <v>Other</v>
          </cell>
          <cell r="H3702" t="str">
            <v>ALTS</v>
          </cell>
          <cell r="I3702" t="str">
            <v>Mortgage - Moneyness</v>
          </cell>
        </row>
        <row r="3703">
          <cell r="A3703" t="str">
            <v>USD_mbs15_otm_50</v>
          </cell>
          <cell r="B3703" t="str">
            <v>MBS 15 OTM 50</v>
          </cell>
          <cell r="C3703" t="str">
            <v>BRS_GOLD__5_SPREADS:BRS_GOLD__3_OTHER_SPREADS:BRS_GOLD__1_MTG,TBA_ALL,PAYUP,NONAGENCY,MORT_IDIO,CRT,CRT_SP_RISK:BRS_GOLD__1_MTG-BASIS:USD_mbs15_otm_50</v>
          </cell>
          <cell r="D3703" t="str">
            <v>Spread Duration</v>
          </cell>
          <cell r="E3703" t="str">
            <v>Spread Yield</v>
          </cell>
          <cell r="F3703" t="str">
            <v>Alternative</v>
          </cell>
          <cell r="G3703" t="str">
            <v>Other</v>
          </cell>
          <cell r="H3703" t="str">
            <v>ALTS</v>
          </cell>
          <cell r="I3703" t="str">
            <v>Mortgage - Moneyness</v>
          </cell>
        </row>
        <row r="3704">
          <cell r="A3704" t="str">
            <v>USD_mbs15_atm</v>
          </cell>
          <cell r="B3704" t="str">
            <v>MBS 15 ATM</v>
          </cell>
          <cell r="C3704" t="str">
            <v>BRS_GOLD__5_SPREADS:BRS_GOLD__3_OTHER_SPREADS:BRS_GOLD__1_MTG,TBA_ALL,PAYUP,NONAGENCY,MORT_IDIO,CRT,CRT_SP_RISK:BRS_GOLD__1_MTG-BASIS:USD_mbs15_atm</v>
          </cell>
          <cell r="D3704" t="str">
            <v>Spread Duration</v>
          </cell>
          <cell r="E3704" t="str">
            <v>Spread Yield</v>
          </cell>
          <cell r="F3704" t="str">
            <v>Alternative</v>
          </cell>
          <cell r="G3704" t="str">
            <v>Other</v>
          </cell>
          <cell r="H3704" t="str">
            <v>ALTS</v>
          </cell>
          <cell r="I3704" t="str">
            <v>Mortgage - Moneyness</v>
          </cell>
        </row>
        <row r="3705">
          <cell r="A3705" t="str">
            <v>USD_mbs15_itm_50</v>
          </cell>
          <cell r="B3705" t="str">
            <v>MBS 15 ITM 50</v>
          </cell>
          <cell r="C3705" t="str">
            <v>BRS_GOLD__5_SPREADS:BRS_GOLD__3_OTHER_SPREADS:BRS_GOLD__1_MTG,TBA_ALL,PAYUP,NONAGENCY,MORT_IDIO,CRT,CRT_SP_RISK:BRS_GOLD__1_MTG-BASIS:USD_mbs15_itm_50</v>
          </cell>
          <cell r="D3705" t="str">
            <v>Spread Duration</v>
          </cell>
          <cell r="E3705" t="str">
            <v>Spread Yield</v>
          </cell>
          <cell r="F3705" t="str">
            <v>Alternative</v>
          </cell>
          <cell r="G3705" t="str">
            <v>Other</v>
          </cell>
          <cell r="H3705" t="str">
            <v>ALTS</v>
          </cell>
          <cell r="I3705" t="str">
            <v>Mortgage - Moneyness</v>
          </cell>
        </row>
        <row r="3706">
          <cell r="A3706" t="str">
            <v>USD_mbs15_itm_100</v>
          </cell>
          <cell r="B3706" t="str">
            <v>MBS 15 ITM 100</v>
          </cell>
          <cell r="C3706" t="str">
            <v>BRS_GOLD__5_SPREADS:BRS_GOLD__3_OTHER_SPREADS:BRS_GOLD__1_MTG,TBA_ALL,PAYUP,NONAGENCY,MORT_IDIO,CRT,CRT_SP_RISK:BRS_GOLD__1_MTG-BASIS:USD_mbs15_itm_100</v>
          </cell>
          <cell r="D3706" t="str">
            <v>Spread Duration</v>
          </cell>
          <cell r="E3706" t="str">
            <v>Spread Yield</v>
          </cell>
          <cell r="F3706" t="str">
            <v>Alternative</v>
          </cell>
          <cell r="G3706" t="str">
            <v>Other</v>
          </cell>
          <cell r="H3706" t="str">
            <v>ALTS</v>
          </cell>
          <cell r="I3706" t="str">
            <v>Mortgage - Moneyness</v>
          </cell>
        </row>
        <row r="3707">
          <cell r="A3707" t="str">
            <v>USD_po_otm_50</v>
          </cell>
          <cell r="B3707" t="str">
            <v>PO OTM 50</v>
          </cell>
          <cell r="C3707" t="str">
            <v>BRS_GOLD__5_SPREADS:BRS_GOLD__3_OTHER_SPREADS:BRS_GOLD__1_MTG,TBA_ALL,PAYUP,NONAGENCY,MORT_IDIO,CRT,CRT_SP_RISK:BRS_GOLD__1_MTG-BASIS:USD_po_otm_50</v>
          </cell>
          <cell r="D3707" t="str">
            <v>Spread Duration</v>
          </cell>
          <cell r="E3707" t="str">
            <v>Spread Yield</v>
          </cell>
          <cell r="F3707" t="str">
            <v>Alternative</v>
          </cell>
          <cell r="G3707" t="str">
            <v>Other</v>
          </cell>
          <cell r="H3707" t="str">
            <v>ALTS</v>
          </cell>
          <cell r="I3707" t="str">
            <v>Mortgage - Moneyness</v>
          </cell>
        </row>
        <row r="3708">
          <cell r="A3708" t="str">
            <v>USD_po_atm</v>
          </cell>
          <cell r="B3708" t="str">
            <v>PO ATM</v>
          </cell>
          <cell r="C3708" t="str">
            <v>BRS_GOLD__5_SPREADS:BRS_GOLD__3_OTHER_SPREADS:BRS_GOLD__1_MTG,TBA_ALL,PAYUP,NONAGENCY,MORT_IDIO,CRT,CRT_SP_RISK:BRS_GOLD__1_MTG-BASIS:USD_po_atm</v>
          </cell>
          <cell r="D3708" t="str">
            <v>Spread Duration</v>
          </cell>
          <cell r="E3708" t="str">
            <v>Spread Yield</v>
          </cell>
          <cell r="F3708" t="str">
            <v>Alternative</v>
          </cell>
          <cell r="G3708" t="str">
            <v>Other</v>
          </cell>
          <cell r="H3708" t="str">
            <v>ALTS</v>
          </cell>
          <cell r="I3708" t="str">
            <v>Mortgage - Moneyness</v>
          </cell>
        </row>
        <row r="3709">
          <cell r="A3709" t="str">
            <v>USD_po_itm_50</v>
          </cell>
          <cell r="B3709" t="str">
            <v>PO ITM 50</v>
          </cell>
          <cell r="C3709" t="str">
            <v>BRS_GOLD__5_SPREADS:BRS_GOLD__3_OTHER_SPREADS:BRS_GOLD__1_MTG,TBA_ALL,PAYUP,NONAGENCY,MORT_IDIO,CRT,CRT_SP_RISK:BRS_GOLD__1_MTG-BASIS:USD_po_itm_50</v>
          </cell>
          <cell r="D3709" t="str">
            <v>Spread Duration</v>
          </cell>
          <cell r="E3709" t="str">
            <v>Spread Yield</v>
          </cell>
          <cell r="F3709" t="str">
            <v>Alternative</v>
          </cell>
          <cell r="G3709" t="str">
            <v>Other</v>
          </cell>
          <cell r="H3709" t="str">
            <v>ALTS</v>
          </cell>
          <cell r="I3709" t="str">
            <v>Mortgage - Moneyness</v>
          </cell>
        </row>
        <row r="3710">
          <cell r="A3710" t="str">
            <v>USD_io_otm_50</v>
          </cell>
          <cell r="B3710" t="str">
            <v>IO OTM 50</v>
          </cell>
          <cell r="C3710" t="str">
            <v>BRS_GOLD__5_SPREADS:BRS_GOLD__3_OTHER_SPREADS:BRS_GOLD__1_MTG,TBA_ALL,PAYUP,NONAGENCY,MORT_IDIO,CRT,CRT_SP_RISK:BRS_GOLD__1_MTG-BASIS:USD_io_otm_50</v>
          </cell>
          <cell r="D3710" t="str">
            <v>Spread Duration</v>
          </cell>
          <cell r="E3710" t="str">
            <v>Spread Yield</v>
          </cell>
          <cell r="F3710" t="str">
            <v>Alternative</v>
          </cell>
          <cell r="G3710" t="str">
            <v>Other</v>
          </cell>
          <cell r="H3710" t="str">
            <v>ALTS</v>
          </cell>
          <cell r="I3710" t="str">
            <v>Mortgage - Moneyness</v>
          </cell>
        </row>
        <row r="3711">
          <cell r="A3711" t="str">
            <v>USD_io_atm</v>
          </cell>
          <cell r="B3711" t="str">
            <v>IO ATM</v>
          </cell>
          <cell r="C3711" t="str">
            <v>BRS_GOLD__5_SPREADS:BRS_GOLD__3_OTHER_SPREADS:BRS_GOLD__1_MTG,TBA_ALL,PAYUP,NONAGENCY,MORT_IDIO,CRT,CRT_SP_RISK:BRS_GOLD__1_MTG-BASIS:USD_io_atm</v>
          </cell>
          <cell r="D3711" t="str">
            <v>Spread Duration</v>
          </cell>
          <cell r="E3711" t="str">
            <v>Spread Yield</v>
          </cell>
          <cell r="F3711" t="str">
            <v>Alternative</v>
          </cell>
          <cell r="G3711" t="str">
            <v>Other</v>
          </cell>
          <cell r="H3711" t="str">
            <v>ALTS</v>
          </cell>
          <cell r="I3711" t="str">
            <v>Mortgage - Moneyness</v>
          </cell>
        </row>
        <row r="3712">
          <cell r="A3712" t="str">
            <v>USD_io_itm_50</v>
          </cell>
          <cell r="B3712" t="str">
            <v>IO ITM 50</v>
          </cell>
          <cell r="C3712" t="str">
            <v>BRS_GOLD__5_SPREADS:BRS_GOLD__3_OTHER_SPREADS:BRS_GOLD__1_MTG,TBA_ALL,PAYUP,NONAGENCY,MORT_IDIO,CRT,CRT_SP_RISK:BRS_GOLD__1_MTG-BASIS:USD_io_itm_50</v>
          </cell>
          <cell r="D3712" t="str">
            <v>Spread Duration</v>
          </cell>
          <cell r="E3712" t="str">
            <v>Spread Yield</v>
          </cell>
          <cell r="F3712" t="str">
            <v>Alternative</v>
          </cell>
          <cell r="G3712" t="str">
            <v>Other</v>
          </cell>
          <cell r="H3712" t="str">
            <v>ALTS</v>
          </cell>
          <cell r="I3712" t="str">
            <v>Mortgage - Moneyness</v>
          </cell>
        </row>
        <row r="3713">
          <cell r="A3713" t="str">
            <v>USD_mbs_CMO</v>
          </cell>
          <cell r="B3713" t="str">
            <v>CMO</v>
          </cell>
          <cell r="C3713" t="str">
            <v>BRS_GOLD__5_SPREADS:BRS_GOLD__3_OTHER_SPREADS:BRS_GOLD__1_MTG,TBA_ALL,PAYUP,NONAGENCY,MORT_IDIO,CRT,CRT_SP_RISK:BRS_GOLD__1_MTG-BASIS:USD_mbs_CMO</v>
          </cell>
          <cell r="D3713" t="str">
            <v>Spread Duration</v>
          </cell>
          <cell r="E3713" t="str">
            <v>Spread Yield</v>
          </cell>
          <cell r="F3713" t="str">
            <v>Alternative</v>
          </cell>
          <cell r="G3713" t="str">
            <v>Other</v>
          </cell>
          <cell r="H3713" t="str">
            <v>ALTS</v>
          </cell>
          <cell r="I3713" t="str">
            <v>Mortgage - Moneyness</v>
          </cell>
        </row>
        <row r="3714">
          <cell r="A3714" t="str">
            <v>ALL_mbs_CMO</v>
          </cell>
          <cell r="B3714" t="str">
            <v>Non$ CMO</v>
          </cell>
          <cell r="C3714" t="str">
            <v>BRS_GOLD__5_SPREADS:BRS_GOLD__3_OTHER_SPREADS:BRS_GOLD__1_MTG,TBA_ALL,PAYUP,NONAGENCY,MORT_IDIO,CRT,CRT_SP_RISK:BRS_GOLD__1_MTG-BASIS:ALL_mbs_CMO</v>
          </cell>
          <cell r="D3714" t="str">
            <v>Spread Duration</v>
          </cell>
          <cell r="E3714" t="str">
            <v>Spread Yield</v>
          </cell>
          <cell r="F3714" t="str">
            <v>Alternative</v>
          </cell>
          <cell r="G3714" t="str">
            <v>Other</v>
          </cell>
          <cell r="H3714" t="str">
            <v>ALTS</v>
          </cell>
          <cell r="I3714" t="str">
            <v>Mortgage - Moneyness</v>
          </cell>
        </row>
        <row r="3715">
          <cell r="A3715" t="str">
            <v>USD_mbs_PAC</v>
          </cell>
          <cell r="B3715" t="str">
            <v>CMO PAC</v>
          </cell>
          <cell r="C3715" t="str">
            <v>BRS_GOLD__5_SPREADS:BRS_GOLD__3_OTHER_SPREADS:BRS_GOLD__1_MTG,TBA_ALL,PAYUP,NONAGENCY,MORT_IDIO,CRT,CRT_SP_RISK:BRS_GOLD__1_MTG-BASIS:USD_mbs_PAC</v>
          </cell>
          <cell r="D3715" t="str">
            <v>Spread Duration</v>
          </cell>
          <cell r="E3715" t="str">
            <v>Spread Yield</v>
          </cell>
          <cell r="F3715" t="str">
            <v>Alternative</v>
          </cell>
          <cell r="G3715" t="str">
            <v>Other</v>
          </cell>
          <cell r="H3715" t="str">
            <v>ALTS</v>
          </cell>
          <cell r="I3715" t="str">
            <v>Mortgage - Moneyness</v>
          </cell>
        </row>
        <row r="3716">
          <cell r="A3716" t="str">
            <v>ALL_mbs_PAC</v>
          </cell>
          <cell r="B3716" t="str">
            <v>Non$ CMO PAC</v>
          </cell>
          <cell r="C3716" t="str">
            <v>BRS_GOLD__5_SPREADS:BRS_GOLD__3_OTHER_SPREADS:BRS_GOLD__1_MTG,TBA_ALL,PAYUP,NONAGENCY,MORT_IDIO,CRT,CRT_SP_RISK:BRS_GOLD__1_MTG-BASIS:ALL_mbs_PAC</v>
          </cell>
          <cell r="D3716" t="str">
            <v>Spread Duration</v>
          </cell>
          <cell r="E3716" t="str">
            <v>Spread Yield</v>
          </cell>
          <cell r="F3716" t="str">
            <v>Alternative</v>
          </cell>
          <cell r="G3716" t="str">
            <v>Other</v>
          </cell>
          <cell r="H3716" t="str">
            <v>ALTS</v>
          </cell>
          <cell r="I3716" t="str">
            <v>Mortgage - Moneyness</v>
          </cell>
        </row>
        <row r="3717">
          <cell r="A3717" t="str">
            <v>USD_MSR_MBS</v>
          </cell>
          <cell r="B3717" t="str">
            <v>MBS Mtg Serv Right</v>
          </cell>
          <cell r="C3717" t="str">
            <v>BRS_GOLD__5_SPREADS:BRS_GOLD__3_OTHER_SPREADS:BRS_GOLD__1_MTG,TBA_ALL,PAYUP,NONAGENCY,MORT_IDIO,CRT,CRT_SP_RISK:BRS_GOLD__1_MTG-BASIS:USD_MSR_MBS</v>
          </cell>
          <cell r="D3717" t="str">
            <v>Spread Duration</v>
          </cell>
          <cell r="E3717" t="str">
            <v>Spread Yield</v>
          </cell>
          <cell r="F3717" t="str">
            <v>Alternative</v>
          </cell>
          <cell r="G3717" t="str">
            <v>Other</v>
          </cell>
          <cell r="H3717" t="str">
            <v>ALTS</v>
          </cell>
          <cell r="I3717" t="str">
            <v>Mortgage - Moneyness</v>
          </cell>
        </row>
        <row r="3718">
          <cell r="A3718" t="str">
            <v>USD_MSR_ARM</v>
          </cell>
          <cell r="B3718" t="str">
            <v>ARM Mtg Serv Right</v>
          </cell>
          <cell r="C3718" t="str">
            <v>BRS_GOLD__5_SPREADS:BRS_GOLD__3_OTHER_SPREADS:BRS_GOLD__1_MTG,TBA_ALL,PAYUP,NONAGENCY,MORT_IDIO,CRT,CRT_SP_RISK:BRS_GOLD__1_MTG-BASIS:USD_MSR_ARM</v>
          </cell>
          <cell r="D3718" t="str">
            <v>Spread Duration</v>
          </cell>
          <cell r="E3718" t="str">
            <v>Spread Yield</v>
          </cell>
          <cell r="F3718" t="str">
            <v>Alternative</v>
          </cell>
          <cell r="G3718" t="str">
            <v>Other</v>
          </cell>
          <cell r="H3718" t="str">
            <v>ALTS</v>
          </cell>
          <cell r="I3718" t="str">
            <v>Mortgage - Moneyness</v>
          </cell>
        </row>
        <row r="3719">
          <cell r="A3719" t="str">
            <v>ALL_mtg_tsy</v>
          </cell>
          <cell r="B3719" t="str">
            <v>Non$ Mtg Tsy Sprd</v>
          </cell>
          <cell r="C3719" t="str">
            <v>BRS_GOLD__5_SPREADS:BRS_GOLD__3_OTHER_SPREADS:BRS_GOLD__1_MTG,TBA_ALL,PAYUP,NONAGENCY,MORT_IDIO,CRT,CRT_SP_RISK:BRS_GOLD__1_MTG-BASIS:ALL_mtg_tsy</v>
          </cell>
          <cell r="D3719" t="str">
            <v>Spread Duration</v>
          </cell>
          <cell r="E3719" t="str">
            <v>Spread Yield</v>
          </cell>
          <cell r="F3719" t="str">
            <v>Alternative</v>
          </cell>
          <cell r="G3719" t="str">
            <v>Other</v>
          </cell>
          <cell r="H3719" t="str">
            <v>ALTS</v>
          </cell>
          <cell r="I3719" t="str">
            <v>Mortgage - Moneyness</v>
          </cell>
        </row>
        <row r="3720">
          <cell r="A3720" t="str">
            <v>ALL_mtg15_tsy</v>
          </cell>
          <cell r="B3720" t="str">
            <v>Non$ Mtg15 Tsy Sprd</v>
          </cell>
          <cell r="C3720" t="str">
            <v>BRS_GOLD__5_SPREADS:BRS_GOLD__3_OTHER_SPREADS:BRS_GOLD__1_MTG,TBA_ALL,PAYUP,NONAGENCY,MORT_IDIO,CRT,CRT_SP_RISK:BRS_GOLD__1_MTG-BASIS:ALL_mtg15_tsy</v>
          </cell>
          <cell r="D3720" t="str">
            <v>Spread Duration</v>
          </cell>
          <cell r="E3720" t="str">
            <v>Spread Yield</v>
          </cell>
          <cell r="F3720" t="str">
            <v>Alternative</v>
          </cell>
          <cell r="G3720" t="str">
            <v>Other</v>
          </cell>
          <cell r="H3720" t="str">
            <v>ALTS</v>
          </cell>
          <cell r="I3720" t="str">
            <v>Mortgage - Moneyness</v>
          </cell>
        </row>
        <row r="3721">
          <cell r="A3721" t="str">
            <v>ALL_mbs_otm_100</v>
          </cell>
          <cell r="B3721" t="str">
            <v>Non$ MBS OTM 100</v>
          </cell>
          <cell r="C3721" t="str">
            <v>BRS_GOLD__5_SPREADS:BRS_GOLD__3_OTHER_SPREADS:BRS_GOLD__1_MTG,TBA_ALL,PAYUP,NONAGENCY,MORT_IDIO,CRT,CRT_SP_RISK:BRS_GOLD__1_MTG-BASIS:ALL_mbs_otm_100</v>
          </cell>
          <cell r="D3721" t="str">
            <v>Spread Duration</v>
          </cell>
          <cell r="E3721" t="str">
            <v>Spread Yield</v>
          </cell>
          <cell r="F3721" t="str">
            <v>Alternative</v>
          </cell>
          <cell r="G3721" t="str">
            <v>Other</v>
          </cell>
          <cell r="H3721" t="str">
            <v>ALTS</v>
          </cell>
          <cell r="I3721" t="str">
            <v>Mortgage - Moneyness</v>
          </cell>
        </row>
        <row r="3722">
          <cell r="A3722" t="str">
            <v>ALL_mbs_otm_50</v>
          </cell>
          <cell r="B3722" t="str">
            <v>Non$ MBS OTM 50</v>
          </cell>
          <cell r="C3722" t="str">
            <v>BRS_GOLD__5_SPREADS:BRS_GOLD__3_OTHER_SPREADS:BRS_GOLD__1_MTG,TBA_ALL,PAYUP,NONAGENCY,MORT_IDIO,CRT,CRT_SP_RISK:BRS_GOLD__1_MTG-BASIS:ALL_mbs_otm_50</v>
          </cell>
          <cell r="D3722" t="str">
            <v>Spread Duration</v>
          </cell>
          <cell r="E3722" t="str">
            <v>Spread Yield</v>
          </cell>
          <cell r="F3722" t="str">
            <v>Alternative</v>
          </cell>
          <cell r="G3722" t="str">
            <v>Other</v>
          </cell>
          <cell r="H3722" t="str">
            <v>ALTS</v>
          </cell>
          <cell r="I3722" t="str">
            <v>Mortgage - Moneyness</v>
          </cell>
        </row>
        <row r="3723">
          <cell r="A3723" t="str">
            <v>ALL_mbs_atm</v>
          </cell>
          <cell r="B3723" t="str">
            <v>Non$ MBS ATM</v>
          </cell>
          <cell r="C3723" t="str">
            <v>BRS_GOLD__5_SPREADS:BRS_GOLD__3_OTHER_SPREADS:BRS_GOLD__1_MTG,TBA_ALL,PAYUP,NONAGENCY,MORT_IDIO,CRT,CRT_SP_RISK:BRS_GOLD__1_MTG-BASIS:ALL_mbs_atm</v>
          </cell>
          <cell r="D3723" t="str">
            <v>Spread Duration</v>
          </cell>
          <cell r="E3723" t="str">
            <v>Spread Yield</v>
          </cell>
          <cell r="F3723" t="str">
            <v>Alternative</v>
          </cell>
          <cell r="G3723" t="str">
            <v>Other</v>
          </cell>
          <cell r="H3723" t="str">
            <v>ALTS</v>
          </cell>
          <cell r="I3723" t="str">
            <v>Mortgage - Moneyness</v>
          </cell>
        </row>
        <row r="3724">
          <cell r="A3724" t="str">
            <v>ALL_mbs_itm_50</v>
          </cell>
          <cell r="B3724" t="str">
            <v>Non$ MBS ITM 50</v>
          </cell>
          <cell r="C3724" t="str">
            <v>BRS_GOLD__5_SPREADS:BRS_GOLD__3_OTHER_SPREADS:BRS_GOLD__1_MTG,TBA_ALL,PAYUP,NONAGENCY,MORT_IDIO,CRT,CRT_SP_RISK:BRS_GOLD__1_MTG-BASIS:ALL_mbs_itm_50</v>
          </cell>
          <cell r="D3724" t="str">
            <v>Spread Duration</v>
          </cell>
          <cell r="E3724" t="str">
            <v>Spread Yield</v>
          </cell>
          <cell r="F3724" t="str">
            <v>Alternative</v>
          </cell>
          <cell r="G3724" t="str">
            <v>Other</v>
          </cell>
          <cell r="H3724" t="str">
            <v>ALTS</v>
          </cell>
          <cell r="I3724" t="str">
            <v>Mortgage - Moneyness</v>
          </cell>
        </row>
        <row r="3725">
          <cell r="A3725" t="str">
            <v>ALL_mbs_itm_100</v>
          </cell>
          <cell r="B3725" t="str">
            <v>Non$ MBS ITM 100</v>
          </cell>
          <cell r="C3725" t="str">
            <v>BRS_GOLD__5_SPREADS:BRS_GOLD__3_OTHER_SPREADS:BRS_GOLD__1_MTG,TBA_ALL,PAYUP,NONAGENCY,MORT_IDIO,CRT,CRT_SP_RISK:BRS_GOLD__1_MTG-BASIS:ALL_mbs_itm_100</v>
          </cell>
          <cell r="D3725" t="str">
            <v>Spread Duration</v>
          </cell>
          <cell r="E3725" t="str">
            <v>Spread Yield</v>
          </cell>
          <cell r="F3725" t="str">
            <v>Alternative</v>
          </cell>
          <cell r="G3725" t="str">
            <v>Other</v>
          </cell>
          <cell r="H3725" t="str">
            <v>ALTS</v>
          </cell>
          <cell r="I3725" t="str">
            <v>Mortgage - Moneyness</v>
          </cell>
        </row>
        <row r="3726">
          <cell r="A3726" t="str">
            <v>ALL_mbs15_otm_100</v>
          </cell>
          <cell r="B3726" t="str">
            <v>Non$ MBS 15 OTM 100</v>
          </cell>
          <cell r="C3726" t="str">
            <v>BRS_GOLD__5_SPREADS:BRS_GOLD__3_OTHER_SPREADS:BRS_GOLD__1_MTG,TBA_ALL,PAYUP,NONAGENCY,MORT_IDIO,CRT,CRT_SP_RISK:BRS_GOLD__1_MTG-BASIS:ALL_mbs15_otm_100</v>
          </cell>
          <cell r="D3726" t="str">
            <v>Spread Duration</v>
          </cell>
          <cell r="E3726" t="str">
            <v>Spread Yield</v>
          </cell>
          <cell r="F3726" t="str">
            <v>Alternative</v>
          </cell>
          <cell r="G3726" t="str">
            <v>Other</v>
          </cell>
          <cell r="H3726" t="str">
            <v>ALTS</v>
          </cell>
          <cell r="I3726" t="str">
            <v>Mortgage - Moneyness</v>
          </cell>
        </row>
        <row r="3727">
          <cell r="A3727" t="str">
            <v>ALL_mbs15_otm_50</v>
          </cell>
          <cell r="B3727" t="str">
            <v>Non$ MBS 15 OTM 50</v>
          </cell>
          <cell r="C3727" t="str">
            <v>BRS_GOLD__5_SPREADS:BRS_GOLD__3_OTHER_SPREADS:BRS_GOLD__1_MTG,TBA_ALL,PAYUP,NONAGENCY,MORT_IDIO,CRT,CRT_SP_RISK:BRS_GOLD__1_MTG-BASIS:ALL_mbs15_otm_50</v>
          </cell>
          <cell r="D3727" t="str">
            <v>Spread Duration</v>
          </cell>
          <cell r="E3727" t="str">
            <v>Spread Yield</v>
          </cell>
          <cell r="F3727" t="str">
            <v>Alternative</v>
          </cell>
          <cell r="G3727" t="str">
            <v>Other</v>
          </cell>
          <cell r="H3727" t="str">
            <v>ALTS</v>
          </cell>
          <cell r="I3727" t="str">
            <v>Mortgage - Moneyness</v>
          </cell>
        </row>
        <row r="3728">
          <cell r="A3728" t="str">
            <v>ALL_mbs15_atm</v>
          </cell>
          <cell r="B3728" t="str">
            <v>Non$ MBS 15 ATM</v>
          </cell>
          <cell r="C3728" t="str">
            <v>BRS_GOLD__5_SPREADS:BRS_GOLD__3_OTHER_SPREADS:BRS_GOLD__1_MTG,TBA_ALL,PAYUP,NONAGENCY,MORT_IDIO,CRT,CRT_SP_RISK:BRS_GOLD__1_MTG-BASIS:ALL_mbs15_atm</v>
          </cell>
          <cell r="D3728" t="str">
            <v>Spread Duration</v>
          </cell>
          <cell r="E3728" t="str">
            <v>Spread Yield</v>
          </cell>
          <cell r="F3728" t="str">
            <v>Alternative</v>
          </cell>
          <cell r="G3728" t="str">
            <v>Other</v>
          </cell>
          <cell r="H3728" t="str">
            <v>ALTS</v>
          </cell>
          <cell r="I3728" t="str">
            <v>Mortgage - Moneyness</v>
          </cell>
        </row>
        <row r="3729">
          <cell r="A3729" t="str">
            <v>ALL_mbs15_itm_50</v>
          </cell>
          <cell r="B3729" t="str">
            <v>Non$ MBS 15 ITM 50</v>
          </cell>
          <cell r="C3729" t="str">
            <v>BRS_GOLD__5_SPREADS:BRS_GOLD__3_OTHER_SPREADS:BRS_GOLD__1_MTG,TBA_ALL,PAYUP,NONAGENCY,MORT_IDIO,CRT,CRT_SP_RISK:BRS_GOLD__1_MTG-BASIS:ALL_mbs15_itm_50</v>
          </cell>
          <cell r="D3729" t="str">
            <v>Spread Duration</v>
          </cell>
          <cell r="E3729" t="str">
            <v>Spread Yield</v>
          </cell>
          <cell r="F3729" t="str">
            <v>Alternative</v>
          </cell>
          <cell r="G3729" t="str">
            <v>Other</v>
          </cell>
          <cell r="H3729" t="str">
            <v>ALTS</v>
          </cell>
          <cell r="I3729" t="str">
            <v>Mortgage - Moneyness</v>
          </cell>
        </row>
        <row r="3730">
          <cell r="A3730" t="str">
            <v>ALL_mbs15_itm_100</v>
          </cell>
          <cell r="B3730" t="str">
            <v>Non$ MBS 15 ITM 100</v>
          </cell>
          <cell r="C3730" t="str">
            <v>BRS_GOLD__5_SPREADS:BRS_GOLD__3_OTHER_SPREADS:BRS_GOLD__1_MTG,TBA_ALL,PAYUP,NONAGENCY,MORT_IDIO,CRT,CRT_SP_RISK:BRS_GOLD__1_MTG-BASIS:ALL_mbs15_itm_100</v>
          </cell>
          <cell r="D3730" t="str">
            <v>Spread Duration</v>
          </cell>
          <cell r="E3730" t="str">
            <v>Spread Yield</v>
          </cell>
          <cell r="F3730" t="str">
            <v>Alternative</v>
          </cell>
          <cell r="G3730" t="str">
            <v>Other</v>
          </cell>
          <cell r="H3730" t="str">
            <v>ALTS</v>
          </cell>
          <cell r="I3730" t="str">
            <v>Mortgage - Moneyness</v>
          </cell>
        </row>
        <row r="3731">
          <cell r="A3731" t="str">
            <v>ALL_po_otm_50</v>
          </cell>
          <cell r="B3731" t="str">
            <v>Non$ PO OTM 50</v>
          </cell>
          <cell r="C3731" t="str">
            <v>BRS_GOLD__5_SPREADS:BRS_GOLD__3_OTHER_SPREADS:BRS_GOLD__1_MTG,TBA_ALL,PAYUP,NONAGENCY,MORT_IDIO,CRT,CRT_SP_RISK:BRS_GOLD__1_MTG-BASIS:ALL_po_otm_50</v>
          </cell>
          <cell r="D3731" t="str">
            <v>Spread Duration</v>
          </cell>
          <cell r="E3731" t="str">
            <v>Spread Yield</v>
          </cell>
          <cell r="F3731" t="str">
            <v>Alternative</v>
          </cell>
          <cell r="G3731" t="str">
            <v>Other</v>
          </cell>
          <cell r="H3731" t="str">
            <v>ALTS</v>
          </cell>
          <cell r="I3731" t="str">
            <v>Mortgage - Moneyness</v>
          </cell>
        </row>
        <row r="3732">
          <cell r="A3732" t="str">
            <v>ALL_po_atm</v>
          </cell>
          <cell r="B3732" t="str">
            <v>Non$ PO ATM</v>
          </cell>
          <cell r="C3732" t="str">
            <v>BRS_GOLD__5_SPREADS:BRS_GOLD__3_OTHER_SPREADS:BRS_GOLD__1_MTG,TBA_ALL,PAYUP,NONAGENCY,MORT_IDIO,CRT,CRT_SP_RISK:BRS_GOLD__1_MTG-BASIS:ALL_po_atm</v>
          </cell>
          <cell r="D3732" t="str">
            <v>Spread Duration</v>
          </cell>
          <cell r="E3732" t="str">
            <v>Spread Yield</v>
          </cell>
          <cell r="F3732" t="str">
            <v>Alternative</v>
          </cell>
          <cell r="G3732" t="str">
            <v>Other</v>
          </cell>
          <cell r="H3732" t="str">
            <v>ALTS</v>
          </cell>
          <cell r="I3732" t="str">
            <v>Mortgage - Moneyness</v>
          </cell>
        </row>
        <row r="3733">
          <cell r="A3733" t="str">
            <v>ALL_po_itm_50</v>
          </cell>
          <cell r="B3733" t="str">
            <v>Non$ PO ITM 50</v>
          </cell>
          <cell r="C3733" t="str">
            <v>BRS_GOLD__5_SPREADS:BRS_GOLD__3_OTHER_SPREADS:BRS_GOLD__1_MTG,TBA_ALL,PAYUP,NONAGENCY,MORT_IDIO,CRT,CRT_SP_RISK:BRS_GOLD__1_MTG-BASIS:ALL_po_itm_50</v>
          </cell>
          <cell r="D3733" t="str">
            <v>Spread Duration</v>
          </cell>
          <cell r="E3733" t="str">
            <v>Spread Yield</v>
          </cell>
          <cell r="F3733" t="str">
            <v>Alternative</v>
          </cell>
          <cell r="G3733" t="str">
            <v>Other</v>
          </cell>
          <cell r="H3733" t="str">
            <v>ALTS</v>
          </cell>
          <cell r="I3733" t="str">
            <v>Mortgage - Moneyness</v>
          </cell>
        </row>
        <row r="3734">
          <cell r="A3734" t="str">
            <v>ALL_io_otm_50</v>
          </cell>
          <cell r="B3734" t="str">
            <v>Non$ IO OTM 50</v>
          </cell>
          <cell r="C3734" t="str">
            <v>BRS_GOLD__5_SPREADS:BRS_GOLD__3_OTHER_SPREADS:BRS_GOLD__1_MTG,TBA_ALL,PAYUP,NONAGENCY,MORT_IDIO,CRT,CRT_SP_RISK:BRS_GOLD__1_MTG-BASIS:ALL_io_otm_50</v>
          </cell>
          <cell r="D3734" t="str">
            <v>Spread Duration</v>
          </cell>
          <cell r="E3734" t="str">
            <v>Other Spread Yield</v>
          </cell>
          <cell r="F3734" t="str">
            <v>Alternative</v>
          </cell>
          <cell r="G3734" t="str">
            <v>Other</v>
          </cell>
          <cell r="H3734" t="str">
            <v>ALTS</v>
          </cell>
          <cell r="I3734" t="str">
            <v>Mortgage - Moneyness</v>
          </cell>
        </row>
        <row r="3735">
          <cell r="A3735" t="str">
            <v>ALL_io_atm</v>
          </cell>
          <cell r="B3735" t="str">
            <v>Non$ IO ATM</v>
          </cell>
          <cell r="C3735" t="str">
            <v>BRS_GOLD__5_SPREADS:BRS_GOLD__3_OTHER_SPREADS:BRS_GOLD__1_MTG,TBA_ALL,PAYUP,NONAGENCY,MORT_IDIO,CRT,CRT_SP_RISK:BRS_GOLD__1_MTG-BASIS:ALL_io_atm</v>
          </cell>
          <cell r="D3735" t="str">
            <v>Spread Duration</v>
          </cell>
          <cell r="E3735" t="str">
            <v>Other Spread Yield</v>
          </cell>
          <cell r="F3735" t="str">
            <v>Alternative</v>
          </cell>
          <cell r="G3735" t="str">
            <v>Other</v>
          </cell>
          <cell r="H3735" t="str">
            <v>ALTS</v>
          </cell>
          <cell r="I3735" t="str">
            <v>Mortgage - Moneyness</v>
          </cell>
        </row>
        <row r="3736">
          <cell r="A3736" t="str">
            <v>ALL_io_itm_50</v>
          </cell>
          <cell r="B3736" t="str">
            <v>Non$ IO ITM 50</v>
          </cell>
          <cell r="C3736" t="str">
            <v>BRS_GOLD__5_SPREADS:BRS_GOLD__3_OTHER_SPREADS:BRS_GOLD__1_MTG,TBA_ALL,PAYUP,NONAGENCY,MORT_IDIO,CRT,CRT_SP_RISK:BRS_GOLD__1_MTG-BASIS:ALL_io_itm_50</v>
          </cell>
          <cell r="D3736" t="str">
            <v>Spread Duration</v>
          </cell>
          <cell r="E3736" t="str">
            <v>Other Spread Yield</v>
          </cell>
          <cell r="F3736" t="str">
            <v>Alternative</v>
          </cell>
          <cell r="G3736" t="str">
            <v>Other</v>
          </cell>
          <cell r="H3736" t="str">
            <v>ALTS</v>
          </cell>
          <cell r="I3736" t="str">
            <v>Mortgage - Moneyness</v>
          </cell>
        </row>
        <row r="3737">
          <cell r="A3737" t="str">
            <v>USD_MBS_ATM_C</v>
          </cell>
          <cell r="B3737" t="str">
            <v>MBS30 ATM</v>
          </cell>
          <cell r="C3737" t="str">
            <v>BRS_GOLD__5_SPREADS:BRS_GOLD__3_OTHER_SPREADS:BRS_GOLD__1_MTG,TBA_ALL,PAYUP,NONAGENCY,MORT_IDIO,CRT,CRT_SP_RISK:BRS_GOLD__1_MTG-BASIS:USD_MBS_ATM_C</v>
          </cell>
          <cell r="D3737" t="str">
            <v>Spread Duration</v>
          </cell>
          <cell r="E3737" t="str">
            <v>Spread Yield</v>
          </cell>
          <cell r="F3737" t="str">
            <v>Alternative</v>
          </cell>
          <cell r="G3737" t="str">
            <v>Other</v>
          </cell>
          <cell r="H3737" t="str">
            <v>ALTS</v>
          </cell>
          <cell r="I3737" t="str">
            <v>Mortgage - Moneyness</v>
          </cell>
        </row>
        <row r="3738">
          <cell r="A3738" t="str">
            <v>USD_MBS_ITM100_C</v>
          </cell>
          <cell r="B3738" t="str">
            <v>MBS30 ITM 100</v>
          </cell>
          <cell r="C3738" t="str">
            <v>BRS_GOLD__5_SPREADS:BRS_GOLD__3_OTHER_SPREADS:BRS_GOLD__1_MTG,TBA_ALL,PAYUP,NONAGENCY,MORT_IDIO,CRT,CRT_SP_RISK:BRS_GOLD__1_MTG-BASIS:USD_MBS_ITM100_C</v>
          </cell>
          <cell r="D3738" t="str">
            <v>Spread Duration</v>
          </cell>
          <cell r="E3738" t="str">
            <v>Spread Yield</v>
          </cell>
          <cell r="F3738" t="str">
            <v>Alternative</v>
          </cell>
          <cell r="G3738" t="str">
            <v>Other</v>
          </cell>
          <cell r="H3738" t="str">
            <v>ALTS</v>
          </cell>
          <cell r="I3738" t="str">
            <v>Mortgage - Moneyness</v>
          </cell>
        </row>
        <row r="3739">
          <cell r="A3739" t="str">
            <v>USD_MBS_ITM50_C</v>
          </cell>
          <cell r="B3739" t="str">
            <v>MBS30 ITM 50</v>
          </cell>
          <cell r="C3739" t="str">
            <v>BRS_GOLD__5_SPREADS:BRS_GOLD__3_OTHER_SPREADS:BRS_GOLD__1_MTG,TBA_ALL,PAYUP,NONAGENCY,MORT_IDIO,CRT,CRT_SP_RISK:BRS_GOLD__1_MTG-BASIS:USD_MBS_ITM50_C</v>
          </cell>
          <cell r="D3739" t="str">
            <v>Spread Duration</v>
          </cell>
          <cell r="E3739" t="str">
            <v>Spread Yield</v>
          </cell>
          <cell r="F3739" t="str">
            <v>Alternative</v>
          </cell>
          <cell r="G3739" t="str">
            <v>Other</v>
          </cell>
          <cell r="H3739" t="str">
            <v>ALTS</v>
          </cell>
          <cell r="I3739" t="str">
            <v>Mortgage - Moneyness</v>
          </cell>
        </row>
        <row r="3740">
          <cell r="A3740" t="str">
            <v>USD_MBS_OTM100_C</v>
          </cell>
          <cell r="B3740" t="str">
            <v>MBS30 OTM 100</v>
          </cell>
          <cell r="C3740" t="str">
            <v>BRS_GOLD__5_SPREADS:BRS_GOLD__3_OTHER_SPREADS:BRS_GOLD__1_MTG,TBA_ALL,PAYUP,NONAGENCY,MORT_IDIO,CRT,CRT_SP_RISK:BRS_GOLD__1_MTG-BASIS:USD_MBS_OTM100_C</v>
          </cell>
          <cell r="D3740" t="str">
            <v>Spread Duration</v>
          </cell>
          <cell r="E3740" t="str">
            <v>Spread Yield</v>
          </cell>
          <cell r="F3740" t="str">
            <v>Alternative</v>
          </cell>
          <cell r="G3740" t="str">
            <v>Other</v>
          </cell>
          <cell r="H3740" t="str">
            <v>ALTS</v>
          </cell>
          <cell r="I3740" t="str">
            <v>Mortgage - Moneyness</v>
          </cell>
        </row>
        <row r="3741">
          <cell r="A3741" t="str">
            <v>USD_MBS_OTM50_C</v>
          </cell>
          <cell r="B3741" t="str">
            <v>MBS30 OTM 50</v>
          </cell>
          <cell r="C3741" t="str">
            <v>BRS_GOLD__5_SPREADS:BRS_GOLD__3_OTHER_SPREADS:BRS_GOLD__1_MTG,TBA_ALL,PAYUP,NONAGENCY,MORT_IDIO,CRT,CRT_SP_RISK:BRS_GOLD__1_MTG-BASIS:USD_MBS_OTM50_C</v>
          </cell>
          <cell r="D3741" t="str">
            <v>Spread Duration</v>
          </cell>
          <cell r="E3741" t="str">
            <v>Spread Yield</v>
          </cell>
          <cell r="F3741" t="str">
            <v>Alternative</v>
          </cell>
          <cell r="G3741" t="str">
            <v>Other</v>
          </cell>
          <cell r="H3741" t="str">
            <v>ALTS</v>
          </cell>
          <cell r="I3741" t="str">
            <v>Mortgage - Moneyness</v>
          </cell>
        </row>
        <row r="3742">
          <cell r="A3742" t="str">
            <v>USD_MBS15_ATM_C</v>
          </cell>
          <cell r="B3742" t="str">
            <v>MBS15 ATM</v>
          </cell>
          <cell r="C3742" t="str">
            <v>BRS_GOLD__5_SPREADS:BRS_GOLD__3_OTHER_SPREADS:BRS_GOLD__1_MTG,TBA_ALL,PAYUP,NONAGENCY,MORT_IDIO,CRT,CRT_SP_RISK:BRS_GOLD__1_MTG-BASIS:USD_MBS15_ATM_C</v>
          </cell>
          <cell r="D3742" t="str">
            <v>Spread Duration</v>
          </cell>
          <cell r="E3742" t="str">
            <v>Spread Yield</v>
          </cell>
          <cell r="F3742" t="str">
            <v>Alternative</v>
          </cell>
          <cell r="G3742" t="str">
            <v>Other</v>
          </cell>
          <cell r="H3742" t="str">
            <v>ALTS</v>
          </cell>
          <cell r="I3742" t="str">
            <v>Mortgage - Moneyness</v>
          </cell>
        </row>
        <row r="3743">
          <cell r="A3743" t="str">
            <v>USD_MBS15_ITM100_C</v>
          </cell>
          <cell r="B3743" t="str">
            <v>MBS15 ITM 100</v>
          </cell>
          <cell r="C3743" t="str">
            <v>BRS_GOLD__5_SPREADS:BRS_GOLD__3_OTHER_SPREADS:BRS_GOLD__1_MTG,TBA_ALL,PAYUP,NONAGENCY,MORT_IDIO,CRT,CRT_SP_RISK:BRS_GOLD__1_MTG-BASIS:USD_MBS15_ITM100_C</v>
          </cell>
          <cell r="D3743" t="str">
            <v>Spread Duration</v>
          </cell>
          <cell r="E3743" t="str">
            <v>Spread Yield</v>
          </cell>
          <cell r="F3743" t="str">
            <v>Alternative</v>
          </cell>
          <cell r="G3743" t="str">
            <v>Other</v>
          </cell>
          <cell r="H3743" t="str">
            <v>ALTS</v>
          </cell>
          <cell r="I3743" t="str">
            <v>Mortgage - Moneyness</v>
          </cell>
        </row>
        <row r="3744">
          <cell r="A3744" t="str">
            <v>USD_MBS15_ITM50_C</v>
          </cell>
          <cell r="B3744" t="str">
            <v>MBS15 ITM 50</v>
          </cell>
          <cell r="C3744" t="str">
            <v>BRS_GOLD__5_SPREADS:BRS_GOLD__3_OTHER_SPREADS:BRS_GOLD__1_MTG,TBA_ALL,PAYUP,NONAGENCY,MORT_IDIO,CRT,CRT_SP_RISK:BRS_GOLD__1_MTG-BASIS:USD_MBS15_ITM50_C</v>
          </cell>
          <cell r="D3744" t="str">
            <v>Spread Duration</v>
          </cell>
          <cell r="E3744" t="str">
            <v>Spread Yield</v>
          </cell>
          <cell r="F3744" t="str">
            <v>Alternative</v>
          </cell>
          <cell r="G3744" t="str">
            <v>Other</v>
          </cell>
          <cell r="H3744" t="str">
            <v>ALTS</v>
          </cell>
          <cell r="I3744" t="str">
            <v>Mortgage - Moneyness</v>
          </cell>
        </row>
        <row r="3745">
          <cell r="A3745" t="str">
            <v>USD_MBS15_OTM100_C</v>
          </cell>
          <cell r="B3745" t="str">
            <v>MBS15 OTM 100</v>
          </cell>
          <cell r="C3745" t="str">
            <v>BRS_GOLD__5_SPREADS:BRS_GOLD__3_OTHER_SPREADS:BRS_GOLD__1_MTG,TBA_ALL,PAYUP,NONAGENCY,MORT_IDIO,CRT,CRT_SP_RISK:BRS_GOLD__1_MTG-BASIS:USD_MBS15_OTM100_C</v>
          </cell>
          <cell r="D3745" t="str">
            <v>Spread Duration</v>
          </cell>
          <cell r="E3745" t="str">
            <v>Spread Yield</v>
          </cell>
          <cell r="F3745" t="str">
            <v>Alternative</v>
          </cell>
          <cell r="G3745" t="str">
            <v>Other</v>
          </cell>
          <cell r="H3745" t="str">
            <v>ALTS</v>
          </cell>
          <cell r="I3745" t="str">
            <v>Mortgage - Moneyness</v>
          </cell>
        </row>
        <row r="3746">
          <cell r="A3746" t="str">
            <v>USD_MBS15_OTM50_C</v>
          </cell>
          <cell r="B3746" t="str">
            <v>MBS15 OTM 50</v>
          </cell>
          <cell r="C3746" t="str">
            <v>BRS_GOLD__5_SPREADS:BRS_GOLD__3_OTHER_SPREADS:BRS_GOLD__1_MTG,TBA_ALL,PAYUP,NONAGENCY,MORT_IDIO,CRT,CRT_SP_RISK:BRS_GOLD__1_MTG-BASIS:USD_MBS15_OTM50_C</v>
          </cell>
          <cell r="D3746" t="str">
            <v>Spread Duration</v>
          </cell>
          <cell r="E3746" t="str">
            <v>Spread Yield</v>
          </cell>
          <cell r="F3746" t="str">
            <v>Alternative</v>
          </cell>
          <cell r="G3746" t="str">
            <v>Other</v>
          </cell>
          <cell r="H3746" t="str">
            <v>ALTS</v>
          </cell>
          <cell r="I3746" t="str">
            <v>Mortgage - Moneyness</v>
          </cell>
        </row>
        <row r="3747">
          <cell r="A3747" t="str">
            <v>USD_WL_CMO_N</v>
          </cell>
          <cell r="B3747" t="str">
            <v>WL CMO</v>
          </cell>
          <cell r="C3747" t="str">
            <v>BRS_GOLD__5_SPREADS:BRS_GOLD__3_OTHER_SPREADS:BRS_GOLD__1_MTG,TBA_ALL,PAYUP,NONAGENCY,MORT_IDIO,CRT,CRT_SP_RISK:BRS_GOLD__1_MTG-BASIS:USD_WL_CMO_N</v>
          </cell>
          <cell r="D3747" t="str">
            <v>Spread Duration</v>
          </cell>
          <cell r="E3747" t="str">
            <v>Spread Yield</v>
          </cell>
          <cell r="F3747" t="str">
            <v>Alternative</v>
          </cell>
          <cell r="G3747" t="str">
            <v>Other</v>
          </cell>
          <cell r="H3747" t="str">
            <v>ALTS</v>
          </cell>
          <cell r="I3747" t="str">
            <v>Mortgage - Moneyness</v>
          </cell>
        </row>
        <row r="3748">
          <cell r="A3748" t="str">
            <v>USD_mbs_CMO_N</v>
          </cell>
          <cell r="B3748" t="str">
            <v>CMO</v>
          </cell>
          <cell r="C3748" t="str">
            <v>BRS_GOLD__5_SPREADS:BRS_GOLD__3_OTHER_SPREADS:BRS_GOLD__1_MTG,TBA_ALL,PAYUP,NONAGENCY,MORT_IDIO,CRT,CRT_SP_RISK:BRS_GOLD__1_MTG-BASIS:USD_mbs_CMO_N</v>
          </cell>
          <cell r="D3748" t="str">
            <v>Spread Duration</v>
          </cell>
          <cell r="E3748" t="str">
            <v>Spread Yield</v>
          </cell>
          <cell r="F3748" t="str">
            <v>Alternative</v>
          </cell>
          <cell r="G3748" t="str">
            <v>Other</v>
          </cell>
          <cell r="H3748" t="str">
            <v>ALTS</v>
          </cell>
          <cell r="I3748" t="str">
            <v>Mortgage - Moneyness</v>
          </cell>
        </row>
        <row r="3749">
          <cell r="A3749" t="str">
            <v>USD_mbs_PAC_N</v>
          </cell>
          <cell r="B3749" t="str">
            <v>CMO PAC</v>
          </cell>
          <cell r="C3749" t="str">
            <v>BRS_GOLD__5_SPREADS:BRS_GOLD__3_OTHER_SPREADS:BRS_GOLD__1_MTG,TBA_ALL,PAYUP,NONAGENCY,MORT_IDIO,CRT,CRT_SP_RISK:BRS_GOLD__1_MTG-BASIS:USD_mbs_PAC_N</v>
          </cell>
          <cell r="D3749" t="str">
            <v>Spread Duration</v>
          </cell>
          <cell r="E3749" t="str">
            <v>Spread Yield</v>
          </cell>
          <cell r="F3749" t="str">
            <v>Alternative</v>
          </cell>
          <cell r="G3749" t="str">
            <v>Other</v>
          </cell>
          <cell r="H3749" t="str">
            <v>ALTS</v>
          </cell>
          <cell r="I3749" t="str">
            <v>Mortgage - Moneyness</v>
          </cell>
        </row>
        <row r="3750">
          <cell r="A3750" t="str">
            <v>USD_mbs_PAC_SHT</v>
          </cell>
          <cell r="B3750" t="str">
            <v>CMO PAC Short</v>
          </cell>
          <cell r="C3750" t="str">
            <v>BRS_GOLD__5_SPREADS:BRS_GOLD__3_OTHER_SPREADS:BRS_GOLD__1_MTG,TBA_ALL,PAYUP,NONAGENCY,MORT_IDIO,CRT,CRT_SP_RISK:BRS_GOLD__1_MTG-BASIS:USD_mbs_PAC_SHT</v>
          </cell>
          <cell r="D3750" t="str">
            <v>Spread Duration</v>
          </cell>
          <cell r="E3750" t="str">
            <v>Spread Yield</v>
          </cell>
          <cell r="F3750" t="str">
            <v>Alternative</v>
          </cell>
          <cell r="G3750" t="str">
            <v>Other</v>
          </cell>
          <cell r="H3750" t="str">
            <v>ALTS</v>
          </cell>
          <cell r="I3750" t="str">
            <v>Mortgage - Moneyness</v>
          </cell>
        </row>
        <row r="3751">
          <cell r="A3751" t="str">
            <v>USD_mbs_PAC_LNG</v>
          </cell>
          <cell r="B3751" t="str">
            <v>CMO PAC Long</v>
          </cell>
          <cell r="C3751" t="str">
            <v>BRS_GOLD__5_SPREADS:BRS_GOLD__3_OTHER_SPREADS:BRS_GOLD__1_MTG,TBA_ALL,PAYUP,NONAGENCY,MORT_IDIO,CRT,CRT_SP_RISK:BRS_GOLD__1_MTG-BASIS:USD_mbs_PAC_LNG</v>
          </cell>
          <cell r="D3751" t="str">
            <v>Spread Duration</v>
          </cell>
          <cell r="E3751" t="str">
            <v>Spread Yield</v>
          </cell>
          <cell r="F3751" t="str">
            <v>Alternative</v>
          </cell>
          <cell r="G3751" t="str">
            <v>Other</v>
          </cell>
          <cell r="H3751" t="str">
            <v>ALTS</v>
          </cell>
          <cell r="I3751" t="str">
            <v>Mortgage - Moneyness</v>
          </cell>
        </row>
        <row r="3752">
          <cell r="A3752" t="str">
            <v>USD_mbs_SEQ_SHT</v>
          </cell>
          <cell r="B3752" t="str">
            <v>CMO Seq Short</v>
          </cell>
          <cell r="C3752" t="str">
            <v>BRS_GOLD__5_SPREADS:BRS_GOLD__3_OTHER_SPREADS:BRS_GOLD__1_MTG,TBA_ALL,PAYUP,NONAGENCY,MORT_IDIO,CRT,CRT_SP_RISK:BRS_GOLD__1_MTG-BASIS:USD_mbs_SEQ_SHT</v>
          </cell>
          <cell r="D3752" t="str">
            <v>Spread Duration</v>
          </cell>
          <cell r="E3752" t="str">
            <v>Spread Yield</v>
          </cell>
          <cell r="F3752" t="str">
            <v>Alternative</v>
          </cell>
          <cell r="G3752" t="str">
            <v>Other</v>
          </cell>
          <cell r="H3752" t="str">
            <v>ALTS</v>
          </cell>
          <cell r="I3752" t="str">
            <v>Mortgage - Moneyness</v>
          </cell>
        </row>
        <row r="3753">
          <cell r="A3753" t="str">
            <v>USD_mbs_SEQ_LNG</v>
          </cell>
          <cell r="B3753" t="str">
            <v>CMO Seq Long</v>
          </cell>
          <cell r="C3753" t="str">
            <v>BRS_GOLD__5_SPREADS:BRS_GOLD__3_OTHER_SPREADS:BRS_GOLD__1_MTG,TBA_ALL,PAYUP,NONAGENCY,MORT_IDIO,CRT,CRT_SP_RISK:BRS_GOLD__1_MTG-BASIS:USD_mbs_SEQ_LNG</v>
          </cell>
          <cell r="D3753" t="str">
            <v>Spread Duration</v>
          </cell>
          <cell r="E3753" t="str">
            <v>Spread Yield</v>
          </cell>
          <cell r="F3753" t="str">
            <v>Alternative</v>
          </cell>
          <cell r="G3753" t="str">
            <v>Other</v>
          </cell>
          <cell r="H3753" t="str">
            <v>ALTS</v>
          </cell>
          <cell r="I3753" t="str">
            <v>Mortgage - Moneyness</v>
          </cell>
        </row>
        <row r="3754">
          <cell r="A3754" t="str">
            <v>USD_mbs_CMO_FLT</v>
          </cell>
          <cell r="B3754" t="str">
            <v>CMO Floater</v>
          </cell>
          <cell r="C3754" t="str">
            <v>BRS_GOLD__5_SPREADS:BRS_GOLD__3_OTHER_SPREADS:BRS_GOLD__1_MTG,TBA_ALL,PAYUP,NONAGENCY,MORT_IDIO,CRT,CRT_SP_RISK:BRS_GOLD__1_MTG-BASIS:USD_mbs_CMO_FLT</v>
          </cell>
          <cell r="D3754" t="str">
            <v>Spread Duration</v>
          </cell>
          <cell r="E3754" t="str">
            <v>Spread Yield</v>
          </cell>
          <cell r="F3754" t="str">
            <v>Alternative</v>
          </cell>
          <cell r="G3754" t="str">
            <v>Other</v>
          </cell>
          <cell r="H3754" t="str">
            <v>ALTS</v>
          </cell>
          <cell r="I3754" t="str">
            <v>Mortgage - Moneyness</v>
          </cell>
        </row>
        <row r="3755">
          <cell r="A3755" t="str">
            <v>USD_AGED_C</v>
          </cell>
          <cell r="B3755" t="str">
            <v>Seasoning</v>
          </cell>
          <cell r="C3755" t="str">
            <v>BRS_GOLD__5_SPREADS:BRS_GOLD__3_OTHER_SPREADS:BRS_GOLD__1_MTG,TBA_ALL,PAYUP,NONAGENCY,MORT_IDIO,CRT,CRT_SP_RISK:BRS_GOLD__1_MTG-BASIS:USD_AGED_C</v>
          </cell>
          <cell r="D3755" t="str">
            <v>Spread Duration</v>
          </cell>
          <cell r="E3755" t="str">
            <v>Spread Yield</v>
          </cell>
          <cell r="F3755" t="str">
            <v>Alternative</v>
          </cell>
          <cell r="G3755" t="str">
            <v>Other</v>
          </cell>
          <cell r="H3755" t="str">
            <v>ALTS</v>
          </cell>
          <cell r="I3755" t="str">
            <v>Mortgage - Moneyness</v>
          </cell>
        </row>
        <row r="3756">
          <cell r="A3756" t="str">
            <v>USD_FN_GN_C</v>
          </cell>
          <cell r="B3756" t="str">
            <v>GN FN Spread</v>
          </cell>
          <cell r="C3756" t="str">
            <v>BRS_GOLD__5_SPREADS:BRS_GOLD__3_OTHER_SPREADS:BRS_GOLD__1_MTG,TBA_ALL,PAYUP,NONAGENCY,MORT_IDIO,CRT,CRT_SP_RISK:BRS_GOLD__1_MTG-BASIS:USD_FN_GN_C</v>
          </cell>
          <cell r="D3756" t="str">
            <v>Spread Duration</v>
          </cell>
          <cell r="E3756" t="str">
            <v>Spread Yield</v>
          </cell>
          <cell r="F3756" t="str">
            <v>Alternative</v>
          </cell>
          <cell r="G3756" t="str">
            <v>Other</v>
          </cell>
          <cell r="H3756" t="str">
            <v>ALTS</v>
          </cell>
          <cell r="I3756" t="str">
            <v>Mortgage - Moneyness</v>
          </cell>
        </row>
        <row r="3757">
          <cell r="A3757" t="str">
            <v>USD_FN_15_C</v>
          </cell>
          <cell r="B3757" t="str">
            <v>FN15 30 Spread</v>
          </cell>
          <cell r="C3757" t="str">
            <v>BRS_GOLD__5_SPREADS:BRS_GOLD__3_OTHER_SPREADS:BRS_GOLD__1_MTG,TBA_ALL,PAYUP,NONAGENCY,MORT_IDIO,CRT,CRT_SP_RISK:BRS_GOLD__1_MTG-BASIS:USD_FN_15_C</v>
          </cell>
          <cell r="D3757" t="str">
            <v>Spread Duration</v>
          </cell>
          <cell r="E3757" t="str">
            <v>Spread Yield</v>
          </cell>
          <cell r="F3757" t="str">
            <v>Alternative</v>
          </cell>
          <cell r="G3757" t="str">
            <v>Other</v>
          </cell>
          <cell r="H3757" t="str">
            <v>ALTS</v>
          </cell>
          <cell r="I3757" t="str">
            <v>Mortgage - Moneyness</v>
          </cell>
        </row>
        <row r="3758">
          <cell r="A3758" t="str">
            <v>ALL_MBS_ATM_C</v>
          </cell>
          <cell r="B3758" t="str">
            <v>Non$ MBS ATM</v>
          </cell>
          <cell r="C3758" t="str">
            <v>BRS_GOLD__5_SPREADS:BRS_GOLD__3_OTHER_SPREADS:BRS_GOLD__1_MTG,TBA_ALL,PAYUP,NONAGENCY,MORT_IDIO,CRT,CRT_SP_RISK:BRS_GOLD__1_MTG-BASIS:ALL_MBS_ATM_C</v>
          </cell>
          <cell r="D3758" t="str">
            <v>Spread Duration</v>
          </cell>
          <cell r="E3758" t="str">
            <v>Spread Yield</v>
          </cell>
          <cell r="F3758" t="str">
            <v>Alternative</v>
          </cell>
          <cell r="G3758" t="str">
            <v>Other</v>
          </cell>
          <cell r="H3758" t="str">
            <v>ALTS</v>
          </cell>
          <cell r="I3758" t="str">
            <v>Mortgage - Moneyness</v>
          </cell>
        </row>
        <row r="3759">
          <cell r="A3759" t="str">
            <v>ALL_MBS_ITM100_C</v>
          </cell>
          <cell r="B3759" t="str">
            <v>Non$ MBS ITM 100</v>
          </cell>
          <cell r="C3759" t="str">
            <v>BRS_GOLD__5_SPREADS:BRS_GOLD__3_OTHER_SPREADS:BRS_GOLD__1_MTG,TBA_ALL,PAYUP,NONAGENCY,MORT_IDIO,CRT,CRT_SP_RISK:BRS_GOLD__1_MTG-BASIS:ALL_MBS_ITM100_C</v>
          </cell>
          <cell r="D3759" t="str">
            <v>Spread Duration</v>
          </cell>
          <cell r="E3759" t="str">
            <v>Spread Yield</v>
          </cell>
          <cell r="F3759" t="str">
            <v>Alternative</v>
          </cell>
          <cell r="G3759" t="str">
            <v>Other</v>
          </cell>
          <cell r="H3759" t="str">
            <v>ALTS</v>
          </cell>
          <cell r="I3759" t="str">
            <v>Mortgage - Moneyness</v>
          </cell>
        </row>
        <row r="3760">
          <cell r="A3760" t="str">
            <v>ALL_MBS_ITM50_C</v>
          </cell>
          <cell r="B3760" t="str">
            <v>Non$ MBS ITM 50</v>
          </cell>
          <cell r="C3760" t="str">
            <v>BRS_GOLD__5_SPREADS:BRS_GOLD__3_OTHER_SPREADS:BRS_GOLD__1_MTG,TBA_ALL,PAYUP,NONAGENCY,MORT_IDIO,CRT,CRT_SP_RISK:BRS_GOLD__1_MTG-BASIS:ALL_MBS_ITM50_C</v>
          </cell>
          <cell r="D3760" t="str">
            <v>Spread Duration</v>
          </cell>
          <cell r="E3760" t="str">
            <v>Spread Yield</v>
          </cell>
          <cell r="F3760" t="str">
            <v>Alternative</v>
          </cell>
          <cell r="G3760" t="str">
            <v>Other</v>
          </cell>
          <cell r="H3760" t="str">
            <v>ALTS</v>
          </cell>
          <cell r="I3760" t="str">
            <v>Mortgage - Moneyness</v>
          </cell>
        </row>
        <row r="3761">
          <cell r="A3761" t="str">
            <v>ALL_MBS_OTM100_C</v>
          </cell>
          <cell r="B3761" t="str">
            <v>Non$ MBS OTM 100</v>
          </cell>
          <cell r="C3761" t="str">
            <v>BRS_GOLD__5_SPREADS:BRS_GOLD__3_OTHER_SPREADS:BRS_GOLD__1_MTG,TBA_ALL,PAYUP,NONAGENCY,MORT_IDIO,CRT,CRT_SP_RISK:BRS_GOLD__1_MTG-BASIS:ALL_MBS_OTM100_C</v>
          </cell>
          <cell r="D3761" t="str">
            <v>Spread Duration</v>
          </cell>
          <cell r="E3761" t="str">
            <v>Spread Yield</v>
          </cell>
          <cell r="F3761" t="str">
            <v>Alternative</v>
          </cell>
          <cell r="G3761" t="str">
            <v>Other</v>
          </cell>
          <cell r="H3761" t="str">
            <v>ALTS</v>
          </cell>
          <cell r="I3761" t="str">
            <v>Mortgage - Moneyness</v>
          </cell>
        </row>
        <row r="3762">
          <cell r="A3762" t="str">
            <v>ALL_MBS_OTM50_C</v>
          </cell>
          <cell r="B3762" t="str">
            <v>Non$ MBS OTM 50</v>
          </cell>
          <cell r="C3762" t="str">
            <v>BRS_GOLD__5_SPREADS:BRS_GOLD__3_OTHER_SPREADS:BRS_GOLD__1_MTG,TBA_ALL,PAYUP,NONAGENCY,MORT_IDIO,CRT,CRT_SP_RISK:BRS_GOLD__1_MTG-BASIS:ALL_MBS_OTM50_C</v>
          </cell>
          <cell r="D3762" t="str">
            <v>Spread Duration</v>
          </cell>
          <cell r="E3762" t="str">
            <v>Spread Yield</v>
          </cell>
          <cell r="F3762" t="str">
            <v>Alternative</v>
          </cell>
          <cell r="G3762" t="str">
            <v>Other</v>
          </cell>
          <cell r="H3762" t="str">
            <v>ALTS</v>
          </cell>
          <cell r="I3762" t="str">
            <v>Mortgage - Moneyness</v>
          </cell>
        </row>
        <row r="3763">
          <cell r="A3763" t="str">
            <v>ALL_MBS15_ATM_C</v>
          </cell>
          <cell r="B3763" t="str">
            <v>Non$ MBS15 ATM</v>
          </cell>
          <cell r="C3763" t="str">
            <v>BRS_GOLD__5_SPREADS:BRS_GOLD__3_OTHER_SPREADS:BRS_GOLD__1_MTG,TBA_ALL,PAYUP,NONAGENCY,MORT_IDIO,CRT,CRT_SP_RISK:BRS_GOLD__1_MTG-BASIS:ALL_MBS15_ATM_C</v>
          </cell>
          <cell r="D3763" t="str">
            <v>Spread Duration</v>
          </cell>
          <cell r="E3763" t="str">
            <v>Spread Yield</v>
          </cell>
          <cell r="F3763" t="str">
            <v>Alternative</v>
          </cell>
          <cell r="G3763" t="str">
            <v>Other</v>
          </cell>
          <cell r="H3763" t="str">
            <v>ALTS</v>
          </cell>
          <cell r="I3763" t="str">
            <v>Mortgage - Moneyness</v>
          </cell>
        </row>
        <row r="3764">
          <cell r="A3764" t="str">
            <v>ALL_MBS15_ITM100_C</v>
          </cell>
          <cell r="B3764" t="str">
            <v>Non$ MBS15 ITM 100</v>
          </cell>
          <cell r="C3764" t="str">
            <v>BRS_GOLD__5_SPREADS:BRS_GOLD__3_OTHER_SPREADS:BRS_GOLD__1_MTG,TBA_ALL,PAYUP,NONAGENCY,MORT_IDIO,CRT,CRT_SP_RISK:BRS_GOLD__1_MTG-BASIS:ALL_MBS15_ITM100_C</v>
          </cell>
          <cell r="D3764" t="str">
            <v>Spread Duration</v>
          </cell>
          <cell r="E3764" t="str">
            <v>Spread Yield</v>
          </cell>
          <cell r="F3764" t="str">
            <v>Alternative</v>
          </cell>
          <cell r="G3764" t="str">
            <v>Other</v>
          </cell>
          <cell r="H3764" t="str">
            <v>ALTS</v>
          </cell>
          <cell r="I3764" t="str">
            <v>Mortgage - Moneyness</v>
          </cell>
        </row>
        <row r="3765">
          <cell r="A3765" t="str">
            <v>ALL_MBS15_ITM50_C</v>
          </cell>
          <cell r="B3765" t="str">
            <v>Non$ MBS15 ITM 50</v>
          </cell>
          <cell r="C3765" t="str">
            <v>BRS_GOLD__5_SPREADS:BRS_GOLD__3_OTHER_SPREADS:BRS_GOLD__1_MTG,TBA_ALL,PAYUP,NONAGENCY,MORT_IDIO,CRT,CRT_SP_RISK:BRS_GOLD__1_MTG-BASIS:ALL_MBS15_ITM50_C</v>
          </cell>
          <cell r="D3765" t="str">
            <v>Spread Duration</v>
          </cell>
          <cell r="E3765" t="str">
            <v>Spread Yield</v>
          </cell>
          <cell r="F3765" t="str">
            <v>Alternative</v>
          </cell>
          <cell r="G3765" t="str">
            <v>Other</v>
          </cell>
          <cell r="H3765" t="str">
            <v>ALTS</v>
          </cell>
          <cell r="I3765" t="str">
            <v>Mortgage - Moneyness</v>
          </cell>
        </row>
        <row r="3766">
          <cell r="A3766" t="str">
            <v>ALL_MBS15_OTM100_C</v>
          </cell>
          <cell r="B3766" t="str">
            <v>Non$ MBS15 OTM 100</v>
          </cell>
          <cell r="C3766" t="str">
            <v>BRS_GOLD__5_SPREADS:BRS_GOLD__3_OTHER_SPREADS:BRS_GOLD__1_MTG,TBA_ALL,PAYUP,NONAGENCY,MORT_IDIO,CRT,CRT_SP_RISK:BRS_GOLD__1_MTG-BASIS:ALL_MBS15_OTM100_C</v>
          </cell>
          <cell r="D3766" t="str">
            <v>Spread Duration</v>
          </cell>
          <cell r="E3766" t="str">
            <v>Spread Yield</v>
          </cell>
          <cell r="F3766" t="str">
            <v>Alternative</v>
          </cell>
          <cell r="G3766" t="str">
            <v>Other</v>
          </cell>
          <cell r="H3766" t="str">
            <v>ALTS</v>
          </cell>
          <cell r="I3766" t="str">
            <v>Mortgage - Moneyness</v>
          </cell>
        </row>
        <row r="3767">
          <cell r="A3767" t="str">
            <v>ALL_MBS15_OTM50_C</v>
          </cell>
          <cell r="B3767" t="str">
            <v>Non$ MBS15 OTM 50</v>
          </cell>
          <cell r="C3767" t="str">
            <v>BRS_GOLD__5_SPREADS:BRS_GOLD__3_OTHER_SPREADS:BRS_GOLD__1_MTG,TBA_ALL,PAYUP,NONAGENCY,MORT_IDIO,CRT,CRT_SP_RISK:BRS_GOLD__1_MTG-BASIS:ALL_MBS15_OTM50_C</v>
          </cell>
          <cell r="D3767" t="str">
            <v>Spread Duration</v>
          </cell>
          <cell r="E3767" t="str">
            <v>Spread Yield</v>
          </cell>
          <cell r="F3767" t="str">
            <v>Alternative</v>
          </cell>
          <cell r="G3767" t="str">
            <v>Other</v>
          </cell>
          <cell r="H3767" t="str">
            <v>ALTS</v>
          </cell>
          <cell r="I3767" t="str">
            <v>Mortgage - Moneyness</v>
          </cell>
        </row>
        <row r="3768">
          <cell r="A3768" t="str">
            <v>ALL_WL_CMO_N</v>
          </cell>
          <cell r="B3768" t="str">
            <v>Non$ WL CMO</v>
          </cell>
          <cell r="C3768" t="str">
            <v>BRS_GOLD__5_SPREADS:BRS_GOLD__3_OTHER_SPREADS:BRS_GOLD__1_MTG,TBA_ALL,PAYUP,NONAGENCY,MORT_IDIO,CRT,CRT_SP_RISK:BRS_GOLD__1_MTG-BASIS:ALL_WL_CMO_N</v>
          </cell>
          <cell r="D3768" t="str">
            <v>Spread Duration</v>
          </cell>
          <cell r="E3768" t="str">
            <v>Spread Yield</v>
          </cell>
          <cell r="F3768" t="str">
            <v>Alternative</v>
          </cell>
          <cell r="G3768" t="str">
            <v>Other</v>
          </cell>
          <cell r="H3768" t="str">
            <v>ALTS</v>
          </cell>
          <cell r="I3768" t="str">
            <v>Mortgage - Moneyness</v>
          </cell>
        </row>
        <row r="3769">
          <cell r="A3769" t="str">
            <v>ALL_mbs_CMO_N</v>
          </cell>
          <cell r="B3769" t="str">
            <v>Non$ CMO</v>
          </cell>
          <cell r="C3769" t="str">
            <v>BRS_GOLD__5_SPREADS:BRS_GOLD__3_OTHER_SPREADS:BRS_GOLD__1_MTG,TBA_ALL,PAYUP,NONAGENCY,MORT_IDIO,CRT,CRT_SP_RISK:BRS_GOLD__1_MTG-BASIS:ALL_mbs_CMO_N</v>
          </cell>
          <cell r="D3769" t="str">
            <v>Spread Duration</v>
          </cell>
          <cell r="E3769" t="str">
            <v>Spread Yield</v>
          </cell>
          <cell r="F3769" t="str">
            <v>Alternative</v>
          </cell>
          <cell r="G3769" t="str">
            <v>Other</v>
          </cell>
          <cell r="H3769" t="str">
            <v>ALTS</v>
          </cell>
          <cell r="I3769" t="str">
            <v>Mortgage - Moneyness</v>
          </cell>
        </row>
        <row r="3770">
          <cell r="A3770" t="str">
            <v>ALL_mbs_PAC_N</v>
          </cell>
          <cell r="B3770" t="str">
            <v>Non$ CMO PAC</v>
          </cell>
          <cell r="C3770" t="str">
            <v>BRS_GOLD__5_SPREADS:BRS_GOLD__3_OTHER_SPREADS:BRS_GOLD__1_MTG,TBA_ALL,PAYUP,NONAGENCY,MORT_IDIO,CRT,CRT_SP_RISK:BRS_GOLD__1_MTG-BASIS:ALL_mbs_PAC_N</v>
          </cell>
          <cell r="D3770" t="str">
            <v>Spread Duration</v>
          </cell>
          <cell r="E3770" t="str">
            <v>Spread Yield</v>
          </cell>
          <cell r="F3770" t="str">
            <v>Alternative</v>
          </cell>
          <cell r="G3770" t="str">
            <v>Other</v>
          </cell>
          <cell r="H3770" t="str">
            <v>ALTS</v>
          </cell>
          <cell r="I3770" t="str">
            <v>Mortgage - Moneyness</v>
          </cell>
        </row>
        <row r="3771">
          <cell r="A3771" t="str">
            <v>ALL_AGED_C</v>
          </cell>
          <cell r="B3771" t="str">
            <v>Non$ Seasoning</v>
          </cell>
          <cell r="C3771" t="str">
            <v>BRS_GOLD__5_SPREADS:BRS_GOLD__3_OTHER_SPREADS:BRS_GOLD__1_MTG,TBA_ALL,PAYUP,NONAGENCY,MORT_IDIO,CRT,CRT_SP_RISK:BRS_GOLD__1_MTG-BASIS:ALL_AGED_C</v>
          </cell>
          <cell r="D3771" t="str">
            <v>Spread Duration</v>
          </cell>
          <cell r="E3771" t="str">
            <v>Spread Yield</v>
          </cell>
          <cell r="F3771" t="str">
            <v>Alternative</v>
          </cell>
          <cell r="G3771" t="str">
            <v>Other</v>
          </cell>
          <cell r="H3771" t="str">
            <v>ALTS</v>
          </cell>
          <cell r="I3771" t="str">
            <v>Mortgage - Moneyness</v>
          </cell>
        </row>
        <row r="3772">
          <cell r="A3772" t="str">
            <v>ALL_FN_GN_C</v>
          </cell>
          <cell r="B3772" t="str">
            <v>Non$ GN FN Spread</v>
          </cell>
          <cell r="C3772" t="str">
            <v>BRS_GOLD__5_SPREADS:BRS_GOLD__3_OTHER_SPREADS:BRS_GOLD__1_MTG,TBA_ALL,PAYUP,NONAGENCY,MORT_IDIO,CRT,CRT_SP_RISK:BRS_GOLD__1_MTG-BASIS:ALL_FN_GN_C</v>
          </cell>
          <cell r="D3772" t="str">
            <v>Spread Duration</v>
          </cell>
          <cell r="E3772" t="str">
            <v>Spread Yield</v>
          </cell>
          <cell r="F3772" t="str">
            <v>Alternative</v>
          </cell>
          <cell r="G3772" t="str">
            <v>Other</v>
          </cell>
          <cell r="H3772" t="str">
            <v>ALTS</v>
          </cell>
          <cell r="I3772" t="str">
            <v>Mortgage - Moneyness</v>
          </cell>
        </row>
        <row r="3773">
          <cell r="A3773" t="str">
            <v>ALL_FN_15_C</v>
          </cell>
          <cell r="B3773" t="str">
            <v>Non$ FN15 30 Spread</v>
          </cell>
          <cell r="C3773" t="str">
            <v>BRS_GOLD__5_SPREADS:BRS_GOLD__3_OTHER_SPREADS:BRS_GOLD__1_MTG,TBA_ALL,PAYUP,NONAGENCY,MORT_IDIO,CRT,CRT_SP_RISK:BRS_GOLD__1_MTG-BASIS:ALL_FN_15_C</v>
          </cell>
          <cell r="D3773" t="str">
            <v>Spread Duration</v>
          </cell>
          <cell r="E3773" t="str">
            <v>Spread Yield</v>
          </cell>
          <cell r="F3773" t="str">
            <v>Alternative</v>
          </cell>
          <cell r="G3773" t="str">
            <v>Other</v>
          </cell>
          <cell r="H3773" t="str">
            <v>ALTS</v>
          </cell>
          <cell r="I3773" t="str">
            <v>Mortgage - Moneyness</v>
          </cell>
        </row>
        <row r="3774">
          <cell r="A3774" t="str">
            <v>USD_ARM_AGY_1_1</v>
          </cell>
          <cell r="B3774" t="str">
            <v>1/1 Conventional Hybrid ARM</v>
          </cell>
          <cell r="C3774" t="str">
            <v>BRS_GOLD__5_SPREADS:BRS_GOLD__3_OTHER_SPREADS:BRS_GOLD__1_MTG,TBA_ALL,PAYUP,NONAGENCY,MORT_IDIO,CRT,CRT_SP_RISK:BRS_GOLD__1_MTG-BASIS:USD_ARM_AGY_1_1</v>
          </cell>
          <cell r="D3774" t="str">
            <v>Spread Duration</v>
          </cell>
          <cell r="E3774" t="str">
            <v>Spread Yield</v>
          </cell>
          <cell r="F3774" t="str">
            <v>Alternative</v>
          </cell>
          <cell r="G3774" t="str">
            <v>Other</v>
          </cell>
          <cell r="H3774" t="str">
            <v>ALTS</v>
          </cell>
          <cell r="I3774" t="str">
            <v>Mortgage - Moneyness</v>
          </cell>
        </row>
        <row r="3775">
          <cell r="A3775" t="str">
            <v>USD_ARM_AGY_3_1</v>
          </cell>
          <cell r="B3775" t="str">
            <v>3/1 Conventional Hybrid ARM</v>
          </cell>
          <cell r="C3775" t="str">
            <v>BRS_GOLD__5_SPREADS:BRS_GOLD__3_OTHER_SPREADS:BRS_GOLD__1_MTG,TBA_ALL,PAYUP,NONAGENCY,MORT_IDIO,CRT,CRT_SP_RISK:BRS_GOLD__1_MTG-BASIS:USD_ARM_AGY_3_1</v>
          </cell>
          <cell r="D3775" t="str">
            <v>Spread Duration</v>
          </cell>
          <cell r="E3775" t="str">
            <v>Spread Yield</v>
          </cell>
          <cell r="F3775" t="str">
            <v>Alternative</v>
          </cell>
          <cell r="G3775" t="str">
            <v>Other</v>
          </cell>
          <cell r="H3775" t="str">
            <v>ALTS</v>
          </cell>
          <cell r="I3775" t="str">
            <v>Mortgage - Moneyness</v>
          </cell>
        </row>
        <row r="3776">
          <cell r="A3776" t="str">
            <v>USD_ARM_AGY_5_1</v>
          </cell>
          <cell r="B3776" t="str">
            <v>5/1 Conventional Hybrid ARM</v>
          </cell>
          <cell r="C3776" t="str">
            <v>BRS_GOLD__5_SPREADS:BRS_GOLD__3_OTHER_SPREADS:BRS_GOLD__1_MTG,TBA_ALL,PAYUP,NONAGENCY,MORT_IDIO,CRT,CRT_SP_RISK:BRS_GOLD__1_MTG-BASIS:USD_ARM_AGY_5_1</v>
          </cell>
          <cell r="D3776" t="str">
            <v>Spread Duration</v>
          </cell>
          <cell r="E3776" t="str">
            <v>Spread Yield</v>
          </cell>
          <cell r="F3776" t="str">
            <v>Alternative</v>
          </cell>
          <cell r="G3776" t="str">
            <v>Other</v>
          </cell>
          <cell r="H3776" t="str">
            <v>ALTS</v>
          </cell>
          <cell r="I3776" t="str">
            <v>Mortgage - Moneyness</v>
          </cell>
        </row>
        <row r="3777">
          <cell r="A3777" t="str">
            <v>USD_ARM_AGY_7_1</v>
          </cell>
          <cell r="B3777" t="str">
            <v>7/1 Conventional Hybrid ARM</v>
          </cell>
          <cell r="C3777" t="str">
            <v>BRS_GOLD__5_SPREADS:BRS_GOLD__3_OTHER_SPREADS:BRS_GOLD__1_MTG,TBA_ALL,PAYUP,NONAGENCY,MORT_IDIO,CRT,CRT_SP_RISK:BRS_GOLD__1_MTG-BASIS:USD_ARM_AGY_7_1</v>
          </cell>
          <cell r="D3777" t="str">
            <v>Spread Duration</v>
          </cell>
          <cell r="E3777" t="str">
            <v>Spread Yield</v>
          </cell>
          <cell r="F3777" t="str">
            <v>Alternative</v>
          </cell>
          <cell r="G3777" t="str">
            <v>Other</v>
          </cell>
          <cell r="H3777" t="str">
            <v>ALTS</v>
          </cell>
          <cell r="I3777" t="str">
            <v>Mortgage - Moneyness</v>
          </cell>
        </row>
        <row r="3778">
          <cell r="A3778" t="str">
            <v>USD_ARM_AGY_10_1</v>
          </cell>
          <cell r="B3778" t="str">
            <v>10/1 Conventional Hybrid ARM</v>
          </cell>
          <cell r="C3778" t="str">
            <v>BRS_GOLD__5_SPREADS:BRS_GOLD__3_OTHER_SPREADS:BRS_GOLD__1_MTG,TBA_ALL,PAYUP,NONAGENCY,MORT_IDIO,CRT,CRT_SP_RISK:BRS_GOLD__1_MTG-BASIS:USD_ARM_AGY_10_1</v>
          </cell>
          <cell r="D3778" t="str">
            <v>Spread Duration</v>
          </cell>
          <cell r="E3778" t="str">
            <v>Spread Yield</v>
          </cell>
          <cell r="F3778" t="str">
            <v>Alternative</v>
          </cell>
          <cell r="G3778" t="str">
            <v>Other</v>
          </cell>
          <cell r="H3778" t="str">
            <v>ALTS</v>
          </cell>
          <cell r="I3778" t="str">
            <v>Mortgage - Moneyness</v>
          </cell>
        </row>
        <row r="3779">
          <cell r="A3779" t="str">
            <v>USD_ARM_JMB_1_1</v>
          </cell>
          <cell r="B3779" t="str">
            <v>1/1 Ginnie Mae Hybrid ARM</v>
          </cell>
          <cell r="C3779" t="str">
            <v>BRS_GOLD__5_SPREADS:BRS_GOLD__3_OTHER_SPREADS:BRS_GOLD__1_MTG,TBA_ALL,PAYUP,NONAGENCY,MORT_IDIO,CRT,CRT_SP_RISK:BRS_GOLD__1_MTG-BASIS:USD_ARM_JMB_1_1</v>
          </cell>
          <cell r="D3779" t="str">
            <v>Spread Duration</v>
          </cell>
          <cell r="E3779" t="str">
            <v>Spread Yield</v>
          </cell>
          <cell r="F3779" t="str">
            <v>Alternative</v>
          </cell>
          <cell r="G3779" t="str">
            <v>Other</v>
          </cell>
          <cell r="H3779" t="str">
            <v>ALTS</v>
          </cell>
          <cell r="I3779" t="str">
            <v>Mortgage - Moneyness</v>
          </cell>
        </row>
        <row r="3780">
          <cell r="A3780" t="str">
            <v>USD_ARM_JMB_3_1</v>
          </cell>
          <cell r="B3780" t="str">
            <v>3/1 Ginnie Mae Hybrid ARM</v>
          </cell>
          <cell r="C3780" t="str">
            <v>BRS_GOLD__5_SPREADS:BRS_GOLD__3_OTHER_SPREADS:BRS_GOLD__1_MTG,TBA_ALL,PAYUP,NONAGENCY,MORT_IDIO,CRT,CRT_SP_RISK:BRS_GOLD__1_MTG-BASIS:USD_ARM_JMB_3_1</v>
          </cell>
          <cell r="D3780" t="str">
            <v>Spread Duration</v>
          </cell>
          <cell r="E3780" t="str">
            <v>Spread Yield</v>
          </cell>
          <cell r="F3780" t="str">
            <v>Alternative</v>
          </cell>
          <cell r="G3780" t="str">
            <v>Other</v>
          </cell>
          <cell r="H3780" t="str">
            <v>ALTS</v>
          </cell>
          <cell r="I3780" t="str">
            <v>Mortgage - Moneyness</v>
          </cell>
        </row>
        <row r="3781">
          <cell r="A3781" t="str">
            <v>USD_ARM_JMB_5_1</v>
          </cell>
          <cell r="B3781" t="str">
            <v>5/1 Ginnie Mae Hybrid ARM</v>
          </cell>
          <cell r="C3781" t="str">
            <v>BRS_GOLD__5_SPREADS:BRS_GOLD__3_OTHER_SPREADS:BRS_GOLD__1_MTG,TBA_ALL,PAYUP,NONAGENCY,MORT_IDIO,CRT,CRT_SP_RISK:BRS_GOLD__1_MTG-BASIS:USD_ARM_JMB_5_1</v>
          </cell>
          <cell r="D3781" t="str">
            <v>Spread Duration</v>
          </cell>
          <cell r="E3781" t="str">
            <v>Spread Yield</v>
          </cell>
          <cell r="F3781" t="str">
            <v>Alternative</v>
          </cell>
          <cell r="G3781" t="str">
            <v>Other</v>
          </cell>
          <cell r="H3781" t="str">
            <v>ALTS</v>
          </cell>
          <cell r="I3781" t="str">
            <v>Mortgage - Moneyness</v>
          </cell>
        </row>
        <row r="3782">
          <cell r="A3782" t="str">
            <v>USD_ARM_JMB_7_1</v>
          </cell>
          <cell r="B3782" t="str">
            <v>7/1 Ginnie Mae Hybrid ARM</v>
          </cell>
          <cell r="C3782" t="str">
            <v>BRS_GOLD__5_SPREADS:BRS_GOLD__3_OTHER_SPREADS:BRS_GOLD__1_MTG,TBA_ALL,PAYUP,NONAGENCY,MORT_IDIO,CRT,CRT_SP_RISK:BRS_GOLD__1_MTG-BASIS:USD_ARM_JMB_7_1</v>
          </cell>
          <cell r="D3782" t="str">
            <v>Spread Duration</v>
          </cell>
          <cell r="E3782" t="str">
            <v>Spread Yield</v>
          </cell>
          <cell r="F3782" t="str">
            <v>Alternative</v>
          </cell>
          <cell r="G3782" t="str">
            <v>Other</v>
          </cell>
          <cell r="H3782" t="str">
            <v>ALTS</v>
          </cell>
          <cell r="I3782" t="str">
            <v>Mortgage - Moneyness</v>
          </cell>
        </row>
        <row r="3783">
          <cell r="A3783" t="str">
            <v>USD_ARM_JMB_10_1</v>
          </cell>
          <cell r="B3783" t="str">
            <v>10/1 Ginnie Mae Hybrid ARM</v>
          </cell>
          <cell r="C3783" t="str">
            <v>BRS_GOLD__5_SPREADS:BRS_GOLD__3_OTHER_SPREADS:BRS_GOLD__1_MTG,TBA_ALL,PAYUP,NONAGENCY,MORT_IDIO,CRT,CRT_SP_RISK:BRS_GOLD__1_MTG-BASIS:USD_ARM_JMB_10_1</v>
          </cell>
          <cell r="D3783" t="str">
            <v>Spread Duration</v>
          </cell>
          <cell r="E3783" t="str">
            <v>Spread Yield</v>
          </cell>
          <cell r="F3783" t="str">
            <v>Alternative</v>
          </cell>
          <cell r="G3783" t="str">
            <v>Other</v>
          </cell>
          <cell r="H3783" t="str">
            <v>ALTS</v>
          </cell>
          <cell r="I3783" t="str">
            <v>Mortgage - Moneyness</v>
          </cell>
        </row>
        <row r="3784">
          <cell r="A3784" t="str">
            <v>USD_WL_15</v>
          </cell>
          <cell r="B3784" t="str">
            <v>Whole Loan 15</v>
          </cell>
          <cell r="C3784" t="str">
            <v>BRS_GOLD__5_SPREADS:BRS_GOLD__3_OTHER_SPREADS:BRS_GOLD__1_MTG,TBA_ALL,PAYUP,NONAGENCY,MORT_IDIO,CRT,CRT_SP_RISK:BRS_GOLD__1_MTG-BASIS:USD_WL_15</v>
          </cell>
          <cell r="D3784" t="str">
            <v>Spread Duration</v>
          </cell>
          <cell r="E3784" t="str">
            <v>Spread Yield</v>
          </cell>
          <cell r="F3784" t="str">
            <v>Alternative</v>
          </cell>
          <cell r="G3784" t="str">
            <v>Other</v>
          </cell>
          <cell r="H3784" t="str">
            <v>ALTS</v>
          </cell>
          <cell r="I3784" t="str">
            <v>Mortgage - Moneyness</v>
          </cell>
        </row>
        <row r="3785">
          <cell r="A3785" t="str">
            <v>USD_WL_30</v>
          </cell>
          <cell r="B3785" t="str">
            <v>Whole Loan 30</v>
          </cell>
          <cell r="C3785" t="str">
            <v>BRS_GOLD__5_SPREADS:BRS_GOLD__3_OTHER_SPREADS:BRS_GOLD__1_MTG,TBA_ALL,PAYUP,NONAGENCY,MORT_IDIO,CRT,CRT_SP_RISK:BRS_GOLD__1_MTG-BASIS:USD_WL_30</v>
          </cell>
          <cell r="D3785" t="str">
            <v>Spread Duration</v>
          </cell>
          <cell r="E3785" t="str">
            <v>Spread Yield</v>
          </cell>
          <cell r="F3785" t="str">
            <v>Alternative</v>
          </cell>
          <cell r="G3785" t="str">
            <v>Other</v>
          </cell>
          <cell r="H3785" t="str">
            <v>ALTS</v>
          </cell>
          <cell r="I3785" t="str">
            <v>Mortgage - Moneyness</v>
          </cell>
        </row>
        <row r="3786">
          <cell r="A3786" t="str">
            <v>USD_WL_CMO</v>
          </cell>
          <cell r="B3786" t="str">
            <v>Whole Loan CMO</v>
          </cell>
          <cell r="C3786" t="str">
            <v>BRS_GOLD__5_SPREADS:BRS_GOLD__3_OTHER_SPREADS:BRS_GOLD__1_MTG,TBA_ALL,PAYUP,NONAGENCY,MORT_IDIO,CRT,CRT_SP_RISK:BRS_GOLD__1_MTG-BASIS:USD_WL_CMO</v>
          </cell>
          <cell r="D3786" t="str">
            <v>Spread Duration</v>
          </cell>
          <cell r="E3786" t="str">
            <v>Spread Yield</v>
          </cell>
          <cell r="F3786" t="str">
            <v>Alternative</v>
          </cell>
          <cell r="G3786" t="str">
            <v>Other</v>
          </cell>
          <cell r="H3786" t="str">
            <v>ALTS</v>
          </cell>
          <cell r="I3786" t="str">
            <v>Mortgage - Moneyness</v>
          </cell>
        </row>
        <row r="3787">
          <cell r="A3787" t="str">
            <v>ALL_mtg30_tsy_V600</v>
          </cell>
          <cell r="B3787" t="str">
            <v>30yr Mtg Tsy Basis V600</v>
          </cell>
          <cell r="C3787" t="str">
            <v>BRS_GOLD__5_SPREADS:BRS_GOLD__3_OTHER_SPREADS:BRS_GOLD__1_MTG,TBA_ALL,PAYUP,NONAGENCY,MORT_IDIO,CRT,CRT_SP_RISK:BRS_GOLD__1_MTG-BASIS:ALL_mtg30_tsy_V600</v>
          </cell>
          <cell r="D3787" t="str">
            <v>Mortgage Basis Duration</v>
          </cell>
          <cell r="E3787" t="str">
            <v>Mortgage Basis</v>
          </cell>
          <cell r="F3787" t="str">
            <v>Alternative</v>
          </cell>
          <cell r="G3787" t="str">
            <v>Other</v>
          </cell>
          <cell r="H3787" t="str">
            <v>ALTS</v>
          </cell>
          <cell r="I3787" t="str">
            <v>Mortgage Basis</v>
          </cell>
        </row>
        <row r="3788">
          <cell r="A3788" t="str">
            <v>ALL_mtg15_tsy_V600</v>
          </cell>
          <cell r="B3788" t="str">
            <v>15yr Mtg Tsy Basis V600</v>
          </cell>
          <cell r="C3788" t="str">
            <v>BRS_GOLD__5_SPREADS:BRS_GOLD__3_OTHER_SPREADS:BRS_GOLD__1_MTG,TBA_ALL,PAYUP,NONAGENCY,MORT_IDIO,CRT,CRT_SP_RISK:BRS_GOLD__1_MTG-BASIS:ALL_mtg15_tsy_V600</v>
          </cell>
          <cell r="D3788" t="str">
            <v>Mortgage Basis Duration</v>
          </cell>
          <cell r="E3788" t="str">
            <v>Mortgage Basis</v>
          </cell>
          <cell r="F3788" t="str">
            <v>Alternative</v>
          </cell>
          <cell r="G3788" t="str">
            <v>Other</v>
          </cell>
          <cell r="H3788" t="str">
            <v>ALTS</v>
          </cell>
          <cell r="I3788" t="str">
            <v>Mortgage Basis</v>
          </cell>
        </row>
        <row r="3789">
          <cell r="A3789" t="str">
            <v>USD_AGED_C520</v>
          </cell>
          <cell r="B3789" t="str">
            <v>Seasoning v520</v>
          </cell>
          <cell r="C3789" t="str">
            <v>BRS_GOLD__5_SPREADS:BRS_GOLD__3_OTHER_SPREADS:BRS_GOLD__1_MTG,TBA_ALL,PAYUP,NONAGENCY,MORT_IDIO,CRT,CRT_SP_RISK:BRS_GOLD__1_MTG-BASIS:USD_AGED_C520</v>
          </cell>
          <cell r="D3789" t="str">
            <v>Spread Duration</v>
          </cell>
          <cell r="E3789" t="str">
            <v>Spread Yield</v>
          </cell>
          <cell r="F3789" t="str">
            <v>Alternative</v>
          </cell>
          <cell r="G3789" t="str">
            <v>Other</v>
          </cell>
          <cell r="H3789" t="str">
            <v>ALTS</v>
          </cell>
          <cell r="I3789" t="str">
            <v>Mortgage - Moneyness</v>
          </cell>
        </row>
        <row r="3790">
          <cell r="A3790" t="str">
            <v>USD_FN_15_C520</v>
          </cell>
          <cell r="B3790" t="str">
            <v>FN15 30 Spread v520</v>
          </cell>
          <cell r="C3790" t="str">
            <v>BRS_GOLD__5_SPREADS:BRS_GOLD__3_OTHER_SPREADS:BRS_GOLD__1_MTG,TBA_ALL,PAYUP,NONAGENCY,MORT_IDIO,CRT,CRT_SP_RISK:BRS_GOLD__1_MTG-BASIS:USD_FN_15_C520</v>
          </cell>
          <cell r="D3790" t="str">
            <v>Spread Duration</v>
          </cell>
          <cell r="E3790" t="str">
            <v>Spread Yield</v>
          </cell>
          <cell r="F3790" t="str">
            <v>Alternative</v>
          </cell>
          <cell r="G3790" t="str">
            <v>Other</v>
          </cell>
          <cell r="H3790" t="str">
            <v>ALTS</v>
          </cell>
          <cell r="I3790" t="str">
            <v>Mortgage - Moneyness</v>
          </cell>
        </row>
        <row r="3791">
          <cell r="A3791" t="str">
            <v>USD_FN_GN_C520</v>
          </cell>
          <cell r="B3791" t="str">
            <v>GN FN Spread v520</v>
          </cell>
          <cell r="C3791" t="str">
            <v>BRS_GOLD__5_SPREADS:BRS_GOLD__3_OTHER_SPREADS:BRS_GOLD__1_MTG,TBA_ALL,PAYUP,NONAGENCY,MORT_IDIO,CRT,CRT_SP_RISK:BRS_GOLD__1_MTG-BASIS:USD_FN_GN_C520</v>
          </cell>
          <cell r="D3791" t="str">
            <v>Spread Duration</v>
          </cell>
          <cell r="E3791" t="str">
            <v>Spread Yield</v>
          </cell>
          <cell r="F3791" t="str">
            <v>Alternative</v>
          </cell>
          <cell r="G3791" t="str">
            <v>Other</v>
          </cell>
          <cell r="H3791" t="str">
            <v>ALTS</v>
          </cell>
          <cell r="I3791" t="str">
            <v>Mortgage - Moneyness</v>
          </cell>
        </row>
        <row r="3792">
          <cell r="A3792" t="str">
            <v>USD_IO_C_ATM520</v>
          </cell>
          <cell r="B3792" t="str">
            <v>IO ATM v520</v>
          </cell>
          <cell r="C3792" t="str">
            <v>BRS_GOLD__5_SPREADS:BRS_GOLD__3_OTHER_SPREADS:BRS_GOLD__1_MTG,TBA_ALL,PAYUP,NONAGENCY,MORT_IDIO,CRT,CRT_SP_RISK:BRS_GOLD__1_MTG-BASIS:USD_IO_C_ATM520</v>
          </cell>
          <cell r="D3792" t="str">
            <v>Spread Duration</v>
          </cell>
          <cell r="E3792" t="str">
            <v>Spread Yield</v>
          </cell>
          <cell r="F3792" t="str">
            <v>Alternative</v>
          </cell>
          <cell r="G3792" t="str">
            <v>Other</v>
          </cell>
          <cell r="H3792" t="str">
            <v>ALTS</v>
          </cell>
          <cell r="I3792" t="str">
            <v>Mortgage - Moneyness</v>
          </cell>
        </row>
        <row r="3793">
          <cell r="A3793" t="str">
            <v>USD_IO_C_ITM50520</v>
          </cell>
          <cell r="B3793" t="str">
            <v>IO ITM v520</v>
          </cell>
          <cell r="C3793" t="str">
            <v>BRS_GOLD__5_SPREADS:BRS_GOLD__3_OTHER_SPREADS:BRS_GOLD__1_MTG,TBA_ALL,PAYUP,NONAGENCY,MORT_IDIO,CRT,CRT_SP_RISK:BRS_GOLD__1_MTG-BASIS:USD_IO_C_ITM50520</v>
          </cell>
          <cell r="D3793" t="str">
            <v>Spread Duration</v>
          </cell>
          <cell r="E3793" t="str">
            <v>Spread Yield</v>
          </cell>
          <cell r="F3793" t="str">
            <v>Alternative</v>
          </cell>
          <cell r="G3793" t="str">
            <v>Other</v>
          </cell>
          <cell r="H3793" t="str">
            <v>ALTS</v>
          </cell>
          <cell r="I3793" t="str">
            <v>Mortgage - Moneyness</v>
          </cell>
        </row>
        <row r="3794">
          <cell r="A3794" t="str">
            <v>USD_IO_C_OTM520</v>
          </cell>
          <cell r="B3794" t="str">
            <v>IO OTM v520</v>
          </cell>
          <cell r="C3794" t="str">
            <v>BRS_GOLD__5_SPREADS:BRS_GOLD__3_OTHER_SPREADS:BRS_GOLD__1_MTG,TBA_ALL,PAYUP,NONAGENCY,MORT_IDIO,CRT,CRT_SP_RISK:BRS_GOLD__1_MTG-BASIS:USD_IO_C_OTM520</v>
          </cell>
          <cell r="D3794" t="str">
            <v>Spread Duration</v>
          </cell>
          <cell r="E3794" t="str">
            <v>Spread Yield</v>
          </cell>
          <cell r="F3794" t="str">
            <v>Alternative</v>
          </cell>
          <cell r="G3794" t="str">
            <v>Other</v>
          </cell>
          <cell r="H3794" t="str">
            <v>ALTS</v>
          </cell>
          <cell r="I3794" t="str">
            <v>Mortgage - Moneyness</v>
          </cell>
        </row>
        <row r="3795">
          <cell r="A3795" t="str">
            <v>USD_MBS15_ATM_C520</v>
          </cell>
          <cell r="B3795" t="str">
            <v>MBS15 ATM v520</v>
          </cell>
          <cell r="C3795" t="str">
            <v>BRS_GOLD__5_SPREADS:BRS_GOLD__3_OTHER_SPREADS:BRS_GOLD__1_MTG,TBA_ALL,PAYUP,NONAGENCY,MORT_IDIO,CRT,CRT_SP_RISK:BRS_GOLD__1_MTG-BASIS:USD_MBS15_ATM_C520</v>
          </cell>
          <cell r="D3795" t="str">
            <v>Spread Duration</v>
          </cell>
          <cell r="E3795" t="str">
            <v>Spread Yield</v>
          </cell>
          <cell r="F3795" t="str">
            <v>Alternative</v>
          </cell>
          <cell r="G3795" t="str">
            <v>Other</v>
          </cell>
          <cell r="H3795" t="str">
            <v>ALTS</v>
          </cell>
          <cell r="I3795" t="str">
            <v>Mortgage - Moneyness</v>
          </cell>
        </row>
        <row r="3796">
          <cell r="A3796" t="str">
            <v>USD_MBS15_ITM100_C520</v>
          </cell>
          <cell r="B3796" t="str">
            <v>MBS15 ITM 100 v520</v>
          </cell>
          <cell r="C3796" t="str">
            <v>BRS_GOLD__5_SPREADS:BRS_GOLD__3_OTHER_SPREADS:BRS_GOLD__1_MTG,TBA_ALL,PAYUP,NONAGENCY,MORT_IDIO,CRT,CRT_SP_RISK:BRS_GOLD__1_MTG-BASIS:USD_MBS15_ITM100_C520</v>
          </cell>
          <cell r="D3796" t="str">
            <v>Spread Duration</v>
          </cell>
          <cell r="E3796" t="str">
            <v>Spread Yield</v>
          </cell>
          <cell r="F3796" t="str">
            <v>Alternative</v>
          </cell>
          <cell r="G3796" t="str">
            <v>Other</v>
          </cell>
          <cell r="H3796" t="str">
            <v>ALTS</v>
          </cell>
          <cell r="I3796" t="str">
            <v>Mortgage - Moneyness</v>
          </cell>
        </row>
        <row r="3797">
          <cell r="A3797" t="str">
            <v>USD_MBS15_ITM50_C520</v>
          </cell>
          <cell r="B3797" t="str">
            <v>MBS15 ITM 50 v520</v>
          </cell>
          <cell r="C3797" t="str">
            <v>BRS_GOLD__5_SPREADS:BRS_GOLD__3_OTHER_SPREADS:BRS_GOLD__1_MTG,TBA_ALL,PAYUP,NONAGENCY,MORT_IDIO,CRT,CRT_SP_RISK:BRS_GOLD__1_MTG-BASIS:USD_MBS15_ITM50_C520</v>
          </cell>
          <cell r="D3797" t="str">
            <v>Spread Duration</v>
          </cell>
          <cell r="E3797" t="str">
            <v>Spread Yield</v>
          </cell>
          <cell r="F3797" t="str">
            <v>Alternative</v>
          </cell>
          <cell r="G3797" t="str">
            <v>Other</v>
          </cell>
          <cell r="H3797" t="str">
            <v>ALTS</v>
          </cell>
          <cell r="I3797" t="str">
            <v>Mortgage - Moneyness</v>
          </cell>
        </row>
        <row r="3798">
          <cell r="A3798" t="str">
            <v>USD_MBS15_OTM100_C520</v>
          </cell>
          <cell r="B3798" t="str">
            <v>MBS15 OTM 100 v520</v>
          </cell>
          <cell r="C3798" t="str">
            <v>BRS_GOLD__5_SPREADS:BRS_GOLD__3_OTHER_SPREADS:BRS_GOLD__1_MTG,TBA_ALL,PAYUP,NONAGENCY,MORT_IDIO,CRT,CRT_SP_RISK:BRS_GOLD__1_MTG-BASIS:USD_MBS15_OTM100_C520</v>
          </cell>
          <cell r="D3798" t="str">
            <v>Spread Duration</v>
          </cell>
          <cell r="E3798" t="str">
            <v>Spread Yield</v>
          </cell>
          <cell r="F3798" t="str">
            <v>Alternative</v>
          </cell>
          <cell r="G3798" t="str">
            <v>Other</v>
          </cell>
          <cell r="H3798" t="str">
            <v>ALTS</v>
          </cell>
          <cell r="I3798" t="str">
            <v>Mortgage - Moneyness</v>
          </cell>
        </row>
        <row r="3799">
          <cell r="A3799" t="str">
            <v>USD_MBS15_OTM50_C520</v>
          </cell>
          <cell r="B3799" t="str">
            <v>MBS15 OTM 50 v520</v>
          </cell>
          <cell r="C3799" t="str">
            <v>BRS_GOLD__5_SPREADS:BRS_GOLD__3_OTHER_SPREADS:BRS_GOLD__1_MTG,TBA_ALL,PAYUP,NONAGENCY,MORT_IDIO,CRT,CRT_SP_RISK:BRS_GOLD__1_MTG-BASIS:USD_MBS15_OTM50_C520</v>
          </cell>
          <cell r="D3799" t="str">
            <v>Spread Duration</v>
          </cell>
          <cell r="E3799" t="str">
            <v>Spread Yield</v>
          </cell>
          <cell r="F3799" t="str">
            <v>Alternative</v>
          </cell>
          <cell r="G3799" t="str">
            <v>Other</v>
          </cell>
          <cell r="H3799" t="str">
            <v>ALTS</v>
          </cell>
          <cell r="I3799" t="str">
            <v>Mortgage - Moneyness</v>
          </cell>
        </row>
        <row r="3800">
          <cell r="A3800" t="str">
            <v>USD_MBS_ATM_C520</v>
          </cell>
          <cell r="B3800" t="str">
            <v>MBS30 ATM v520</v>
          </cell>
          <cell r="C3800" t="str">
            <v>BRS_GOLD__5_SPREADS:BRS_GOLD__3_OTHER_SPREADS:BRS_GOLD__1_MTG,TBA_ALL,PAYUP,NONAGENCY,MORT_IDIO,CRT,CRT_SP_RISK:BRS_GOLD__1_MTG-BASIS:USD_MBS_ATM_C520</v>
          </cell>
          <cell r="D3800" t="str">
            <v>Spread Duration</v>
          </cell>
          <cell r="E3800" t="str">
            <v>Spread Yield</v>
          </cell>
          <cell r="F3800" t="str">
            <v>Alternative</v>
          </cell>
          <cell r="G3800" t="str">
            <v>Other</v>
          </cell>
          <cell r="H3800" t="str">
            <v>ALTS</v>
          </cell>
          <cell r="I3800" t="str">
            <v>Mortgage - Moneyness</v>
          </cell>
        </row>
        <row r="3801">
          <cell r="A3801" t="str">
            <v>USD_MBS_ITM100_C520</v>
          </cell>
          <cell r="B3801" t="str">
            <v>MBS30 ITM 100 v520</v>
          </cell>
          <cell r="C3801" t="str">
            <v>BRS_GOLD__5_SPREADS:BRS_GOLD__3_OTHER_SPREADS:BRS_GOLD__1_MTG,TBA_ALL,PAYUP,NONAGENCY,MORT_IDIO,CRT,CRT_SP_RISK:BRS_GOLD__1_MTG-BASIS:USD_MBS_ITM100_C520</v>
          </cell>
          <cell r="D3801" t="str">
            <v>Spread Duration</v>
          </cell>
          <cell r="E3801" t="str">
            <v>Spread Yield</v>
          </cell>
          <cell r="F3801" t="str">
            <v>Alternative</v>
          </cell>
          <cell r="G3801" t="str">
            <v>Other</v>
          </cell>
          <cell r="H3801" t="str">
            <v>ALTS</v>
          </cell>
          <cell r="I3801" t="str">
            <v>Mortgage - Moneyness</v>
          </cell>
        </row>
        <row r="3802">
          <cell r="A3802" t="str">
            <v>USD_MBS_ITM50_C520</v>
          </cell>
          <cell r="B3802" t="str">
            <v>MBS30 ITM 50 v520</v>
          </cell>
          <cell r="C3802" t="str">
            <v>BRS_GOLD__5_SPREADS:BRS_GOLD__3_OTHER_SPREADS:BRS_GOLD__1_MTG,TBA_ALL,PAYUP,NONAGENCY,MORT_IDIO,CRT,CRT_SP_RISK:BRS_GOLD__1_MTG-BASIS:USD_MBS_ITM50_C520</v>
          </cell>
          <cell r="D3802" t="str">
            <v>Spread Duration</v>
          </cell>
          <cell r="E3802" t="str">
            <v>Spread Yield</v>
          </cell>
          <cell r="F3802" t="str">
            <v>Alternative</v>
          </cell>
          <cell r="G3802" t="str">
            <v>Other</v>
          </cell>
          <cell r="H3802" t="str">
            <v>ALTS</v>
          </cell>
          <cell r="I3802" t="str">
            <v>Mortgage - Moneyness</v>
          </cell>
        </row>
        <row r="3803">
          <cell r="A3803" t="str">
            <v>USD_MBS_OTM100_C520</v>
          </cell>
          <cell r="B3803" t="str">
            <v>MBS30 OTM 100 v520</v>
          </cell>
          <cell r="C3803" t="str">
            <v>BRS_GOLD__5_SPREADS:BRS_GOLD__3_OTHER_SPREADS:BRS_GOLD__1_MTG,TBA_ALL,PAYUP,NONAGENCY,MORT_IDIO,CRT,CRT_SP_RISK:BRS_GOLD__1_MTG-BASIS:USD_MBS_OTM100_C520</v>
          </cell>
          <cell r="D3803" t="str">
            <v>Spread Duration</v>
          </cell>
          <cell r="E3803" t="str">
            <v>Spread Yield</v>
          </cell>
          <cell r="F3803" t="str">
            <v>Alternative</v>
          </cell>
          <cell r="G3803" t="str">
            <v>Other</v>
          </cell>
          <cell r="H3803" t="str">
            <v>ALTS</v>
          </cell>
          <cell r="I3803" t="str">
            <v>Mortgage - Moneyness</v>
          </cell>
        </row>
        <row r="3804">
          <cell r="A3804" t="str">
            <v>USD_MBS_OTM50_C520</v>
          </cell>
          <cell r="B3804" t="str">
            <v>MBS30 OTM 50 v520</v>
          </cell>
          <cell r="C3804" t="str">
            <v>BRS_GOLD__5_SPREADS:BRS_GOLD__3_OTHER_SPREADS:BRS_GOLD__1_MTG,TBA_ALL,PAYUP,NONAGENCY,MORT_IDIO,CRT,CRT_SP_RISK:BRS_GOLD__1_MTG-BASIS:USD_MBS_OTM50_C520</v>
          </cell>
          <cell r="D3804" t="str">
            <v>Spread Duration</v>
          </cell>
          <cell r="E3804" t="str">
            <v>Spread Yield</v>
          </cell>
          <cell r="F3804" t="str">
            <v>Alternative</v>
          </cell>
          <cell r="G3804" t="str">
            <v>Other</v>
          </cell>
          <cell r="H3804" t="str">
            <v>ALTS</v>
          </cell>
          <cell r="I3804" t="str">
            <v>Mortgage - Moneyness</v>
          </cell>
        </row>
        <row r="3805">
          <cell r="A3805" t="str">
            <v>USD_MSR_ARM520</v>
          </cell>
          <cell r="B3805" t="str">
            <v>ARM Mtg Serv Right v520</v>
          </cell>
          <cell r="C3805" t="str">
            <v>BRS_GOLD__5_SPREADS:BRS_GOLD__3_OTHER_SPREADS:BRS_GOLD__1_MTG,TBA_ALL,PAYUP,NONAGENCY,MORT_IDIO,CRT,CRT_SP_RISK:BRS_GOLD__1_MTG-BASIS:USD_MSR_ARM520</v>
          </cell>
          <cell r="D3805" t="str">
            <v>Spread Duration</v>
          </cell>
          <cell r="E3805" t="str">
            <v>Spread Yield</v>
          </cell>
          <cell r="F3805" t="str">
            <v>Alternative</v>
          </cell>
          <cell r="G3805" t="str">
            <v>Other</v>
          </cell>
          <cell r="H3805" t="str">
            <v>ALTS</v>
          </cell>
          <cell r="I3805" t="str">
            <v>Mortgage - Moneyness</v>
          </cell>
        </row>
        <row r="3806">
          <cell r="A3806" t="str">
            <v>USD_MSR_MBS520</v>
          </cell>
          <cell r="B3806" t="str">
            <v>MBS Mtg Serv Right v520</v>
          </cell>
          <cell r="C3806" t="str">
            <v>BRS_GOLD__5_SPREADS:BRS_GOLD__3_OTHER_SPREADS:BRS_GOLD__1_MTG,TBA_ALL,PAYUP,NONAGENCY,MORT_IDIO,CRT,CRT_SP_RISK:BRS_GOLD__1_MTG-BASIS:USD_MSR_MBS520</v>
          </cell>
          <cell r="D3806" t="str">
            <v>Spread Duration</v>
          </cell>
          <cell r="E3806" t="str">
            <v>Spread Yield</v>
          </cell>
          <cell r="F3806" t="str">
            <v>Alternative</v>
          </cell>
          <cell r="G3806" t="str">
            <v>Other</v>
          </cell>
          <cell r="H3806" t="str">
            <v>ALTS</v>
          </cell>
          <cell r="I3806" t="str">
            <v>Mortgage - Moneyness</v>
          </cell>
        </row>
        <row r="3807">
          <cell r="A3807" t="str">
            <v>USD_PO_C_ATM520</v>
          </cell>
          <cell r="B3807" t="str">
            <v>PO ATM v520</v>
          </cell>
          <cell r="C3807" t="str">
            <v>BRS_GOLD__5_SPREADS:BRS_GOLD__3_OTHER_SPREADS:BRS_GOLD__1_MTG,TBA_ALL,PAYUP,NONAGENCY,MORT_IDIO,CRT,CRT_SP_RISK:BRS_GOLD__1_MTG-BASIS:USD_PO_C_ATM520</v>
          </cell>
          <cell r="D3807" t="str">
            <v>Spread Duration</v>
          </cell>
          <cell r="E3807" t="str">
            <v>Spread Yield</v>
          </cell>
          <cell r="F3807" t="str">
            <v>Alternative</v>
          </cell>
          <cell r="G3807" t="str">
            <v>Other</v>
          </cell>
          <cell r="H3807" t="str">
            <v>ALTS</v>
          </cell>
          <cell r="I3807" t="str">
            <v>Mortgage - Moneyness</v>
          </cell>
        </row>
        <row r="3808">
          <cell r="A3808" t="str">
            <v>USD_PO_C_ITM50520</v>
          </cell>
          <cell r="B3808" t="str">
            <v>PO ITM v520</v>
          </cell>
          <cell r="C3808" t="str">
            <v>BRS_GOLD__5_SPREADS:BRS_GOLD__3_OTHER_SPREADS:BRS_GOLD__1_MTG,TBA_ALL,PAYUP,NONAGENCY,MORT_IDIO,CRT,CRT_SP_RISK:BRS_GOLD__1_MTG-BASIS:USD_PO_C_ITM50520</v>
          </cell>
          <cell r="D3808" t="str">
            <v>Spread Duration</v>
          </cell>
          <cell r="E3808" t="str">
            <v>Spread Yield</v>
          </cell>
          <cell r="F3808" t="str">
            <v>Alternative</v>
          </cell>
          <cell r="G3808" t="str">
            <v>Other</v>
          </cell>
          <cell r="H3808" t="str">
            <v>ALTS</v>
          </cell>
          <cell r="I3808" t="str">
            <v>Mortgage - Moneyness</v>
          </cell>
        </row>
        <row r="3809">
          <cell r="A3809" t="str">
            <v>USD_PO_C_OTM520</v>
          </cell>
          <cell r="B3809" t="str">
            <v>PO OTM v520</v>
          </cell>
          <cell r="C3809" t="str">
            <v>BRS_GOLD__5_SPREADS:BRS_GOLD__3_OTHER_SPREADS:BRS_GOLD__1_MTG,TBA_ALL,PAYUP,NONAGENCY,MORT_IDIO,CRT,CRT_SP_RISK:BRS_GOLD__1_MTG-BASIS:USD_PO_C_OTM520</v>
          </cell>
          <cell r="D3809" t="str">
            <v>Spread Duration</v>
          </cell>
          <cell r="E3809" t="str">
            <v>Spread Yield</v>
          </cell>
          <cell r="F3809" t="str">
            <v>Alternative</v>
          </cell>
          <cell r="G3809" t="str">
            <v>Other</v>
          </cell>
          <cell r="H3809" t="str">
            <v>ALTS</v>
          </cell>
          <cell r="I3809" t="str">
            <v>Mortgage - Moneyness</v>
          </cell>
        </row>
        <row r="3810">
          <cell r="A3810" t="str">
            <v>USD_WL_CMO_N520</v>
          </cell>
          <cell r="B3810" t="str">
            <v>WL CMO v520</v>
          </cell>
          <cell r="C3810" t="str">
            <v>BRS_GOLD__5_SPREADS:BRS_GOLD__3_OTHER_SPREADS:BRS_GOLD__1_MTG,TBA_ALL,PAYUP,NONAGENCY,MORT_IDIO,CRT,CRT_SP_RISK:BRS_GOLD__1_MTG-BASIS:USD_WL_CMO_N520</v>
          </cell>
          <cell r="D3810" t="str">
            <v>Spread Duration</v>
          </cell>
          <cell r="E3810" t="str">
            <v>Spread Yield</v>
          </cell>
          <cell r="F3810" t="str">
            <v>Alternative</v>
          </cell>
          <cell r="G3810" t="str">
            <v>Other</v>
          </cell>
          <cell r="H3810" t="str">
            <v>ALTS</v>
          </cell>
          <cell r="I3810" t="str">
            <v>Mortgage - Moneyness</v>
          </cell>
        </row>
        <row r="3811">
          <cell r="A3811" t="str">
            <v>USD_mbs_CMO_N520</v>
          </cell>
          <cell r="B3811" t="str">
            <v>CMO v520</v>
          </cell>
          <cell r="C3811" t="str">
            <v>BRS_GOLD__5_SPREADS:BRS_GOLD__3_OTHER_SPREADS:BRS_GOLD__1_MTG,TBA_ALL,PAYUP,NONAGENCY,MORT_IDIO,CRT,CRT_SP_RISK:BRS_GOLD__1_MTG-BASIS:USD_mbs_CMO_N520</v>
          </cell>
          <cell r="D3811" t="str">
            <v>Spread Duration</v>
          </cell>
          <cell r="E3811" t="str">
            <v>Spread Yield</v>
          </cell>
          <cell r="F3811" t="str">
            <v>Alternative</v>
          </cell>
          <cell r="G3811" t="str">
            <v>Other</v>
          </cell>
          <cell r="H3811" t="str">
            <v>ALTS</v>
          </cell>
          <cell r="I3811" t="str">
            <v>Mortgage - Moneyness</v>
          </cell>
        </row>
        <row r="3812">
          <cell r="A3812" t="str">
            <v>USD_mbs_PAC_N520</v>
          </cell>
          <cell r="B3812" t="str">
            <v>CMO PAC v520</v>
          </cell>
          <cell r="C3812" t="str">
            <v>BRS_GOLD__5_SPREADS:BRS_GOLD__3_OTHER_SPREADS:BRS_GOLD__1_MTG,TBA_ALL,PAYUP,NONAGENCY,MORT_IDIO,CRT,CRT_SP_RISK:BRS_GOLD__1_MTG-BASIS:USD_mbs_PAC_N520</v>
          </cell>
          <cell r="D3812" t="str">
            <v>Spread Duration</v>
          </cell>
          <cell r="E3812" t="str">
            <v>Spread Yield</v>
          </cell>
          <cell r="F3812" t="str">
            <v>Alternative</v>
          </cell>
          <cell r="G3812" t="str">
            <v>Other</v>
          </cell>
          <cell r="H3812" t="str">
            <v>ALTS</v>
          </cell>
          <cell r="I3812" t="str">
            <v>Mortgage - Moneyness</v>
          </cell>
        </row>
        <row r="3813">
          <cell r="A3813" t="str">
            <v>ALL_WL_CMO_N520</v>
          </cell>
          <cell r="B3813" t="str">
            <v>Non$ WL CMO v520</v>
          </cell>
          <cell r="C3813" t="str">
            <v>BRS_GOLD__5_SPREADS:BRS_GOLD__3_OTHER_SPREADS:BRS_GOLD__1_MTG,TBA_ALL,PAYUP,NONAGENCY,MORT_IDIO,CRT,CRT_SP_RISK:BRS_GOLD__1_MTG-BASIS:ALL_WL_CMO_N520</v>
          </cell>
          <cell r="D3813" t="str">
            <v>Spread Duration</v>
          </cell>
          <cell r="E3813" t="str">
            <v>Spread Yield</v>
          </cell>
          <cell r="F3813" t="str">
            <v>Alternative</v>
          </cell>
          <cell r="G3813" t="str">
            <v>Other</v>
          </cell>
          <cell r="H3813" t="str">
            <v>ALTS</v>
          </cell>
          <cell r="I3813" t="str">
            <v>Mortgage - Moneyness</v>
          </cell>
        </row>
        <row r="3814">
          <cell r="A3814" t="str">
            <v>ALL_mbs_CMO_N520</v>
          </cell>
          <cell r="B3814" t="str">
            <v>Non$ CMO v520</v>
          </cell>
          <cell r="C3814" t="str">
            <v>BRS_GOLD__5_SPREADS:BRS_GOLD__3_OTHER_SPREADS:BRS_GOLD__1_MTG,TBA_ALL,PAYUP,NONAGENCY,MORT_IDIO,CRT,CRT_SP_RISK:BRS_GOLD__1_MTG-BASIS:ALL_mbs_CMO_N520</v>
          </cell>
          <cell r="D3814" t="str">
            <v>Spread Duration</v>
          </cell>
          <cell r="E3814" t="str">
            <v>Spread Yield</v>
          </cell>
          <cell r="F3814" t="str">
            <v>Alternative</v>
          </cell>
          <cell r="G3814" t="str">
            <v>Other</v>
          </cell>
          <cell r="H3814" t="str">
            <v>ALTS</v>
          </cell>
          <cell r="I3814" t="str">
            <v>Mortgage - Moneyness</v>
          </cell>
        </row>
        <row r="3815">
          <cell r="A3815" t="str">
            <v>USD_AGED_C520SLN2</v>
          </cell>
          <cell r="B3815" t="str">
            <v>Seasoning v520SLN2</v>
          </cell>
          <cell r="C3815" t="str">
            <v>BRS_GOLD__5_SPREADS:BRS_GOLD__3_OTHER_SPREADS:BRS_GOLD__1_MTG,TBA_ALL,PAYUP,NONAGENCY,MORT_IDIO,CRT,CRT_SP_RISK:BRS_GOLD__1_MTG-BASIS:USD_AGED_C520SLN2</v>
          </cell>
          <cell r="D3815" t="str">
            <v>Spread Duration</v>
          </cell>
          <cell r="E3815" t="str">
            <v>Spread Yield</v>
          </cell>
          <cell r="F3815" t="str">
            <v>Alternative</v>
          </cell>
          <cell r="G3815" t="str">
            <v>Other</v>
          </cell>
          <cell r="H3815" t="str">
            <v>ALTS</v>
          </cell>
          <cell r="I3815" t="str">
            <v>Mortgage - Moneyness</v>
          </cell>
        </row>
        <row r="3816">
          <cell r="A3816" t="str">
            <v>USD_AGED_C521HW2</v>
          </cell>
          <cell r="B3816" t="str">
            <v>Seasoning v521HW2</v>
          </cell>
          <cell r="C3816" t="str">
            <v>BRS_GOLD__5_SPREADS:BRS_GOLD__3_OTHER_SPREADS:BRS_GOLD__1_MTG,TBA_ALL,PAYUP,NONAGENCY,MORT_IDIO,CRT,CRT_SP_RISK:BRS_GOLD__1_MTG-BASIS:USD_AGED_C521HW2</v>
          </cell>
          <cell r="D3816" t="str">
            <v>Spread Duration</v>
          </cell>
          <cell r="E3816" t="str">
            <v>Spread Yield</v>
          </cell>
          <cell r="F3816" t="str">
            <v>Alternative</v>
          </cell>
          <cell r="G3816" t="str">
            <v>Other</v>
          </cell>
          <cell r="H3816" t="str">
            <v>ALTS</v>
          </cell>
          <cell r="I3816" t="str">
            <v>Mortgage - Moneyness</v>
          </cell>
        </row>
        <row r="3817">
          <cell r="A3817" t="str">
            <v>USD_AGED_C521SLN2</v>
          </cell>
          <cell r="B3817" t="str">
            <v>Seasoning v521SLN2</v>
          </cell>
          <cell r="C3817" t="str">
            <v>BRS_GOLD__5_SPREADS:BRS_GOLD__3_OTHER_SPREADS:BRS_GOLD__1_MTG,TBA_ALL,PAYUP,NONAGENCY,MORT_IDIO,CRT,CRT_SP_RISK:BRS_GOLD__1_MTG-BASIS:USD_AGED_C521SLN2</v>
          </cell>
          <cell r="D3817" t="str">
            <v>Spread Duration</v>
          </cell>
          <cell r="E3817" t="str">
            <v>Spread Yield</v>
          </cell>
          <cell r="F3817" t="str">
            <v>Alternative</v>
          </cell>
          <cell r="G3817" t="str">
            <v>Other</v>
          </cell>
          <cell r="H3817" t="str">
            <v>ALTS</v>
          </cell>
          <cell r="I3817" t="str">
            <v>Mortgage - Moneyness</v>
          </cell>
        </row>
        <row r="3818">
          <cell r="A3818" t="str">
            <v>USD_FN_15_C520SLN2</v>
          </cell>
          <cell r="B3818" t="str">
            <v>FN15 30 Spread v520SLN2</v>
          </cell>
          <cell r="C3818" t="str">
            <v>BRS_GOLD__5_SPREADS:BRS_GOLD__3_OTHER_SPREADS:BRS_GOLD__1_MTG,TBA_ALL,PAYUP,NONAGENCY,MORT_IDIO,CRT,CRT_SP_RISK:BRS_GOLD__1_MTG-BASIS:USD_FN_15_C520SLN2</v>
          </cell>
          <cell r="D3818" t="str">
            <v>Spread Duration</v>
          </cell>
          <cell r="E3818" t="str">
            <v>Spread Yield</v>
          </cell>
          <cell r="F3818" t="str">
            <v>Alternative</v>
          </cell>
          <cell r="G3818" t="str">
            <v>Other</v>
          </cell>
          <cell r="H3818" t="str">
            <v>ALTS</v>
          </cell>
          <cell r="I3818" t="str">
            <v>Mortgage - Moneyness</v>
          </cell>
        </row>
        <row r="3819">
          <cell r="A3819" t="str">
            <v>USD_FN_15_C521HW2</v>
          </cell>
          <cell r="B3819" t="str">
            <v>FN15 30 Spread v521HW2</v>
          </cell>
          <cell r="C3819" t="str">
            <v>BRS_GOLD__5_SPREADS:BRS_GOLD__3_OTHER_SPREADS:BRS_GOLD__1_MTG,TBA_ALL,PAYUP,NONAGENCY,MORT_IDIO,CRT,CRT_SP_RISK:BRS_GOLD__1_MTG-BASIS:USD_FN_15_C521HW2</v>
          </cell>
          <cell r="D3819" t="str">
            <v>Spread Duration</v>
          </cell>
          <cell r="E3819" t="str">
            <v>Spread Yield</v>
          </cell>
          <cell r="F3819" t="str">
            <v>Alternative</v>
          </cell>
          <cell r="G3819" t="str">
            <v>Other</v>
          </cell>
          <cell r="H3819" t="str">
            <v>ALTS</v>
          </cell>
          <cell r="I3819" t="str">
            <v>Mortgage - Moneyness</v>
          </cell>
        </row>
        <row r="3820">
          <cell r="A3820" t="str">
            <v>USD_FN_15_C521SLN2</v>
          </cell>
          <cell r="B3820" t="str">
            <v>FN15 30 Spread v521SLN2</v>
          </cell>
          <cell r="C3820" t="str">
            <v>BRS_GOLD__5_SPREADS:BRS_GOLD__3_OTHER_SPREADS:BRS_GOLD__1_MTG,TBA_ALL,PAYUP,NONAGENCY,MORT_IDIO,CRT,CRT_SP_RISK:BRS_GOLD__1_MTG-BASIS:USD_FN_15_C521SLN2</v>
          </cell>
          <cell r="D3820" t="str">
            <v>Spread Duration</v>
          </cell>
          <cell r="E3820" t="str">
            <v>Spread Yield</v>
          </cell>
          <cell r="F3820" t="str">
            <v>Alternative</v>
          </cell>
          <cell r="G3820" t="str">
            <v>Other</v>
          </cell>
          <cell r="H3820" t="str">
            <v>ALTS</v>
          </cell>
          <cell r="I3820" t="str">
            <v>Mortgage - Moneyness</v>
          </cell>
        </row>
        <row r="3821">
          <cell r="A3821" t="str">
            <v>USD_FN_GN_C520SLN2</v>
          </cell>
          <cell r="B3821" t="str">
            <v>GN FN Spread v520SLN2</v>
          </cell>
          <cell r="C3821" t="str">
            <v>BRS_GOLD__5_SPREADS:BRS_GOLD__3_OTHER_SPREADS:BRS_GOLD__1_MTG,TBA_ALL,PAYUP,NONAGENCY,MORT_IDIO,CRT,CRT_SP_RISK:BRS_GOLD__1_MTG-BASIS:USD_FN_GN_C520SLN2</v>
          </cell>
          <cell r="D3821" t="str">
            <v>Spread Duration</v>
          </cell>
          <cell r="E3821" t="str">
            <v>Spread Yield</v>
          </cell>
          <cell r="F3821" t="str">
            <v>Alternative</v>
          </cell>
          <cell r="G3821" t="str">
            <v>Other</v>
          </cell>
          <cell r="H3821" t="str">
            <v>ALTS</v>
          </cell>
          <cell r="I3821" t="str">
            <v>Mortgage - Moneyness</v>
          </cell>
        </row>
        <row r="3822">
          <cell r="A3822" t="str">
            <v>USD_FN_GN_C521HW2</v>
          </cell>
          <cell r="B3822" t="str">
            <v>GN FN Spread v521HW2</v>
          </cell>
          <cell r="C3822" t="str">
            <v>BRS_GOLD__5_SPREADS:BRS_GOLD__3_OTHER_SPREADS:BRS_GOLD__1_MTG,TBA_ALL,PAYUP,NONAGENCY,MORT_IDIO,CRT,CRT_SP_RISK:BRS_GOLD__1_MTG-BASIS:USD_FN_GN_C521HW2</v>
          </cell>
          <cell r="D3822" t="str">
            <v>Spread Duration</v>
          </cell>
          <cell r="E3822" t="str">
            <v>Spread Yield</v>
          </cell>
          <cell r="F3822" t="str">
            <v>Alternative</v>
          </cell>
          <cell r="G3822" t="str">
            <v>Other</v>
          </cell>
          <cell r="H3822" t="str">
            <v>ALTS</v>
          </cell>
          <cell r="I3822" t="str">
            <v>Mortgage - Moneyness</v>
          </cell>
        </row>
        <row r="3823">
          <cell r="A3823" t="str">
            <v>USD_FN_GN_C521SLN2</v>
          </cell>
          <cell r="B3823" t="str">
            <v>GN FN Spread v521SLN2</v>
          </cell>
          <cell r="C3823" t="str">
            <v>BRS_GOLD__5_SPREADS:BRS_GOLD__3_OTHER_SPREADS:BRS_GOLD__1_MTG,TBA_ALL,PAYUP,NONAGENCY,MORT_IDIO,CRT,CRT_SP_RISK:BRS_GOLD__1_MTG-BASIS:USD_FN_GN_C521SLN2</v>
          </cell>
          <cell r="D3823" t="str">
            <v>Spread Duration</v>
          </cell>
          <cell r="E3823" t="str">
            <v>Spread Yield</v>
          </cell>
          <cell r="F3823" t="str">
            <v>Alternative</v>
          </cell>
          <cell r="G3823" t="str">
            <v>Other</v>
          </cell>
          <cell r="H3823" t="str">
            <v>ALTS</v>
          </cell>
          <cell r="I3823" t="str">
            <v>Mortgage - Moneyness</v>
          </cell>
        </row>
        <row r="3824">
          <cell r="A3824" t="str">
            <v>USD_IO_C_ATM520SLN2</v>
          </cell>
          <cell r="B3824" t="str">
            <v>IO ATM v520SLN2</v>
          </cell>
          <cell r="C3824" t="str">
            <v>BRS_GOLD__5_SPREADS:BRS_GOLD__3_OTHER_SPREADS:BRS_GOLD__1_MTG,TBA_ALL,PAYUP,NONAGENCY,MORT_IDIO,CRT,CRT_SP_RISK:BRS_GOLD__1_MTG-BASIS:USD_IO_C_ATM520SLN2</v>
          </cell>
          <cell r="D3824" t="str">
            <v>Spread Duration</v>
          </cell>
          <cell r="E3824" t="str">
            <v>Spread Yield</v>
          </cell>
          <cell r="F3824" t="str">
            <v>Alternative</v>
          </cell>
          <cell r="G3824" t="str">
            <v>Other</v>
          </cell>
          <cell r="H3824" t="str">
            <v>ALTS</v>
          </cell>
          <cell r="I3824" t="str">
            <v>Mortgage - Moneyness</v>
          </cell>
        </row>
        <row r="3825">
          <cell r="A3825" t="str">
            <v>USD_IO_C_ATM521HW2</v>
          </cell>
          <cell r="B3825" t="str">
            <v>IO ATM v521HW2</v>
          </cell>
          <cell r="C3825" t="str">
            <v>BRS_GOLD__5_SPREADS:BRS_GOLD__3_OTHER_SPREADS:BRS_GOLD__1_MTG,TBA_ALL,PAYUP,NONAGENCY,MORT_IDIO,CRT,CRT_SP_RISK:BRS_GOLD__1_MTG-BASIS:USD_IO_C_ATM521HW2</v>
          </cell>
          <cell r="D3825" t="str">
            <v>Spread Duration</v>
          </cell>
          <cell r="E3825" t="str">
            <v>Spread Yield</v>
          </cell>
          <cell r="F3825" t="str">
            <v>Alternative</v>
          </cell>
          <cell r="G3825" t="str">
            <v>Other</v>
          </cell>
          <cell r="H3825" t="str">
            <v>ALTS</v>
          </cell>
          <cell r="I3825" t="str">
            <v>Mortgage - Moneyness</v>
          </cell>
        </row>
        <row r="3826">
          <cell r="A3826" t="str">
            <v>USD_IO_C_ATM521SLN2</v>
          </cell>
          <cell r="B3826" t="str">
            <v>IO ATM v521SLN2</v>
          </cell>
          <cell r="C3826" t="str">
            <v>BRS_GOLD__5_SPREADS:BRS_GOLD__3_OTHER_SPREADS:BRS_GOLD__1_MTG,TBA_ALL,PAYUP,NONAGENCY,MORT_IDIO,CRT,CRT_SP_RISK:BRS_GOLD__1_MTG-BASIS:USD_IO_C_ATM521SLN2</v>
          </cell>
          <cell r="D3826" t="str">
            <v>Spread Duration</v>
          </cell>
          <cell r="E3826" t="str">
            <v>Spread Yield</v>
          </cell>
          <cell r="F3826" t="str">
            <v>Alternative</v>
          </cell>
          <cell r="G3826" t="str">
            <v>Other</v>
          </cell>
          <cell r="H3826" t="str">
            <v>ALTS</v>
          </cell>
          <cell r="I3826" t="str">
            <v>Mortgage - Moneyness</v>
          </cell>
        </row>
        <row r="3827">
          <cell r="A3827" t="str">
            <v>USD_IO_C_ITM50520SLN2</v>
          </cell>
          <cell r="B3827" t="str">
            <v>IO ITM v520SLN2</v>
          </cell>
          <cell r="C3827" t="str">
            <v>BRS_GOLD__5_SPREADS:BRS_GOLD__3_OTHER_SPREADS:BRS_GOLD__1_MTG,TBA_ALL,PAYUP,NONAGENCY,MORT_IDIO,CRT,CRT_SP_RISK:BRS_GOLD__1_MTG-BASIS:USD_IO_C_ITM50520SLN2</v>
          </cell>
          <cell r="D3827" t="str">
            <v>Spread Duration</v>
          </cell>
          <cell r="E3827" t="str">
            <v>Spread Yield</v>
          </cell>
          <cell r="F3827" t="str">
            <v>Alternative</v>
          </cell>
          <cell r="G3827" t="str">
            <v>Other</v>
          </cell>
          <cell r="H3827" t="str">
            <v>ALTS</v>
          </cell>
          <cell r="I3827" t="str">
            <v>Mortgage - Moneyness</v>
          </cell>
        </row>
        <row r="3828">
          <cell r="A3828" t="str">
            <v>USD_IO_C_ITM50521HW2</v>
          </cell>
          <cell r="B3828" t="str">
            <v>IO ITM v521HW2</v>
          </cell>
          <cell r="C3828" t="str">
            <v>BRS_GOLD__5_SPREADS:BRS_GOLD__3_OTHER_SPREADS:BRS_GOLD__1_MTG,TBA_ALL,PAYUP,NONAGENCY,MORT_IDIO,CRT,CRT_SP_RISK:BRS_GOLD__1_MTG-BASIS:USD_IO_C_ITM50521HW2</v>
          </cell>
          <cell r="D3828" t="str">
            <v>Spread Duration</v>
          </cell>
          <cell r="E3828" t="str">
            <v>Spread Yield</v>
          </cell>
          <cell r="F3828" t="str">
            <v>Alternative</v>
          </cell>
          <cell r="G3828" t="str">
            <v>Other</v>
          </cell>
          <cell r="H3828" t="str">
            <v>ALTS</v>
          </cell>
          <cell r="I3828" t="str">
            <v>Mortgage - Moneyness</v>
          </cell>
        </row>
        <row r="3829">
          <cell r="A3829" t="str">
            <v>USD_IO_C_ITM50521SLN2</v>
          </cell>
          <cell r="B3829" t="str">
            <v>IO ITM v521SLN2</v>
          </cell>
          <cell r="C3829" t="str">
            <v>BRS_GOLD__5_SPREADS:BRS_GOLD__3_OTHER_SPREADS:BRS_GOLD__1_MTG,TBA_ALL,PAYUP,NONAGENCY,MORT_IDIO,CRT,CRT_SP_RISK:BRS_GOLD__1_MTG-BASIS:USD_IO_C_ITM50521SLN2</v>
          </cell>
          <cell r="D3829" t="str">
            <v>Spread Duration</v>
          </cell>
          <cell r="E3829" t="str">
            <v>Spread Yield</v>
          </cell>
          <cell r="F3829" t="str">
            <v>Alternative</v>
          </cell>
          <cell r="G3829" t="str">
            <v>Other</v>
          </cell>
          <cell r="H3829" t="str">
            <v>ALTS</v>
          </cell>
          <cell r="I3829" t="str">
            <v>Mortgage - Moneyness</v>
          </cell>
        </row>
        <row r="3830">
          <cell r="A3830" t="str">
            <v>USD_IO_C_OTM520SLN2</v>
          </cell>
          <cell r="B3830" t="str">
            <v>IO OTM v520SLN2</v>
          </cell>
          <cell r="C3830" t="str">
            <v>BRS_GOLD__5_SPREADS:BRS_GOLD__3_OTHER_SPREADS:BRS_GOLD__1_MTG,TBA_ALL,PAYUP,NONAGENCY,MORT_IDIO,CRT,CRT_SP_RISK:BRS_GOLD__1_MTG-BASIS:USD_IO_C_OTM520SLN2</v>
          </cell>
          <cell r="D3830" t="str">
            <v>Spread Duration</v>
          </cell>
          <cell r="E3830" t="str">
            <v>Spread Yield</v>
          </cell>
          <cell r="F3830" t="str">
            <v>Alternative</v>
          </cell>
          <cell r="G3830" t="str">
            <v>Other</v>
          </cell>
          <cell r="H3830" t="str">
            <v>ALTS</v>
          </cell>
          <cell r="I3830" t="str">
            <v>Mortgage - Moneyness</v>
          </cell>
        </row>
        <row r="3831">
          <cell r="A3831" t="str">
            <v>USD_IO_C_OTM521HW2</v>
          </cell>
          <cell r="B3831" t="str">
            <v>IO OTM v521HW2</v>
          </cell>
          <cell r="C3831" t="str">
            <v>BRS_GOLD__5_SPREADS:BRS_GOLD__3_OTHER_SPREADS:BRS_GOLD__1_MTG,TBA_ALL,PAYUP,NONAGENCY,MORT_IDIO,CRT,CRT_SP_RISK:BRS_GOLD__1_MTG-BASIS:USD_IO_C_OTM521HW2</v>
          </cell>
          <cell r="D3831" t="str">
            <v>Spread Duration</v>
          </cell>
          <cell r="E3831" t="str">
            <v>Spread Yield</v>
          </cell>
          <cell r="F3831" t="str">
            <v>Alternative</v>
          </cell>
          <cell r="G3831" t="str">
            <v>Other</v>
          </cell>
          <cell r="H3831" t="str">
            <v>ALTS</v>
          </cell>
          <cell r="I3831" t="str">
            <v>Mortgage - Moneyness</v>
          </cell>
        </row>
        <row r="3832">
          <cell r="A3832" t="str">
            <v>USD_IO_C_OTM521SLN2</v>
          </cell>
          <cell r="B3832" t="str">
            <v>IO OTM v521SLN2</v>
          </cell>
          <cell r="C3832" t="str">
            <v>BRS_GOLD__5_SPREADS:BRS_GOLD__3_OTHER_SPREADS:BRS_GOLD__1_MTG,TBA_ALL,PAYUP,NONAGENCY,MORT_IDIO,CRT,CRT_SP_RISK:BRS_GOLD__1_MTG-BASIS:USD_IO_C_OTM521SLN2</v>
          </cell>
          <cell r="D3832" t="str">
            <v>Spread Duration</v>
          </cell>
          <cell r="E3832" t="str">
            <v>Spread Yield</v>
          </cell>
          <cell r="F3832" t="str">
            <v>Alternative</v>
          </cell>
          <cell r="G3832" t="str">
            <v>Other</v>
          </cell>
          <cell r="H3832" t="str">
            <v>ALTS</v>
          </cell>
          <cell r="I3832" t="str">
            <v>Mortgage - Moneyness</v>
          </cell>
        </row>
        <row r="3833">
          <cell r="A3833" t="str">
            <v>USD_MBS_ATM_C520SLN2</v>
          </cell>
          <cell r="B3833" t="str">
            <v>MBS30 ATM v520SLN2</v>
          </cell>
          <cell r="C3833" t="str">
            <v>BRS_GOLD__5_SPREADS:BRS_GOLD__3_OTHER_SPREADS:BRS_GOLD__1_MTG,TBA_ALL,PAYUP,NONAGENCY,MORT_IDIO,CRT,CRT_SP_RISK:BRS_GOLD__1_MTG-BASIS:USD_MBS_ATM_C520SLN2</v>
          </cell>
          <cell r="D3833" t="str">
            <v>Spread Duration</v>
          </cell>
          <cell r="E3833" t="str">
            <v>Spread Yield</v>
          </cell>
          <cell r="F3833" t="str">
            <v>Alternative</v>
          </cell>
          <cell r="G3833" t="str">
            <v>Other</v>
          </cell>
          <cell r="H3833" t="str">
            <v>ALTS</v>
          </cell>
          <cell r="I3833" t="str">
            <v>Mortgage - Moneyness</v>
          </cell>
        </row>
        <row r="3834">
          <cell r="A3834" t="str">
            <v>USD_MBS_ATM_C521HW2</v>
          </cell>
          <cell r="B3834" t="str">
            <v>MBS30 ATM v521HW2</v>
          </cell>
          <cell r="C3834" t="str">
            <v>BRS_GOLD__5_SPREADS:BRS_GOLD__3_OTHER_SPREADS:BRS_GOLD__1_MTG,TBA_ALL,PAYUP,NONAGENCY,MORT_IDIO,CRT,CRT_SP_RISK:BRS_GOLD__1_MTG-BASIS:USD_MBS_ATM_C521HW2</v>
          </cell>
          <cell r="D3834" t="str">
            <v>Spread Duration</v>
          </cell>
          <cell r="E3834" t="str">
            <v>Spread Yield</v>
          </cell>
          <cell r="F3834" t="str">
            <v>Alternative</v>
          </cell>
          <cell r="G3834" t="str">
            <v>Other</v>
          </cell>
          <cell r="H3834" t="str">
            <v>ALTS</v>
          </cell>
          <cell r="I3834" t="str">
            <v>Mortgage - Moneyness</v>
          </cell>
        </row>
        <row r="3835">
          <cell r="A3835" t="str">
            <v>USD_MBS_ATM_C521SLN2</v>
          </cell>
          <cell r="B3835" t="str">
            <v>MBS30 ATM v521SLN2</v>
          </cell>
          <cell r="C3835" t="str">
            <v>BRS_GOLD__5_SPREADS:BRS_GOLD__3_OTHER_SPREADS:BRS_GOLD__1_MTG,TBA_ALL,PAYUP,NONAGENCY,MORT_IDIO,CRT,CRT_SP_RISK:BRS_GOLD__1_MTG-BASIS:USD_MBS_ATM_C521SLN2</v>
          </cell>
          <cell r="D3835" t="str">
            <v>Spread Duration</v>
          </cell>
          <cell r="E3835" t="str">
            <v>Spread Yield</v>
          </cell>
          <cell r="F3835" t="str">
            <v>Alternative</v>
          </cell>
          <cell r="G3835" t="str">
            <v>Other</v>
          </cell>
          <cell r="H3835" t="str">
            <v>ALTS</v>
          </cell>
          <cell r="I3835" t="str">
            <v>Mortgage - Moneyness</v>
          </cell>
        </row>
        <row r="3836">
          <cell r="A3836" t="str">
            <v>USD_mbs_CMO_N520SLN2</v>
          </cell>
          <cell r="B3836" t="str">
            <v>CMO v520SLN2</v>
          </cell>
          <cell r="C3836" t="str">
            <v>BRS_GOLD__5_SPREADS:BRS_GOLD__3_OTHER_SPREADS:BRS_GOLD__1_MTG,TBA_ALL,PAYUP,NONAGENCY,MORT_IDIO,CRT,CRT_SP_RISK:BRS_GOLD__1_MTG-BASIS:USD_mbs_CMO_N520SLN2</v>
          </cell>
          <cell r="D3836" t="str">
            <v>Spread Duration</v>
          </cell>
          <cell r="E3836" t="str">
            <v>Spread Yield</v>
          </cell>
          <cell r="F3836" t="str">
            <v>Alternative</v>
          </cell>
          <cell r="G3836" t="str">
            <v>Other</v>
          </cell>
          <cell r="H3836" t="str">
            <v>ALTS</v>
          </cell>
          <cell r="I3836" t="str">
            <v>Mortgage - Moneyness</v>
          </cell>
        </row>
        <row r="3837">
          <cell r="A3837" t="str">
            <v>USD_mbs_CMO_N521HW2</v>
          </cell>
          <cell r="B3837" t="str">
            <v>CMO v521HW2</v>
          </cell>
          <cell r="C3837" t="str">
            <v>BRS_GOLD__5_SPREADS:BRS_GOLD__3_OTHER_SPREADS:BRS_GOLD__1_MTG,TBA_ALL,PAYUP,NONAGENCY,MORT_IDIO,CRT,CRT_SP_RISK:BRS_GOLD__1_MTG-BASIS:USD_mbs_CMO_N521HW2</v>
          </cell>
          <cell r="D3837" t="str">
            <v>Spread Duration</v>
          </cell>
          <cell r="E3837" t="str">
            <v>Spread Yield</v>
          </cell>
          <cell r="F3837" t="str">
            <v>Alternative</v>
          </cell>
          <cell r="G3837" t="str">
            <v>Other</v>
          </cell>
          <cell r="H3837" t="str">
            <v>ALTS</v>
          </cell>
          <cell r="I3837" t="str">
            <v>Mortgage - Moneyness</v>
          </cell>
        </row>
        <row r="3838">
          <cell r="A3838" t="str">
            <v>USD_mbs_CMO_N521SLN2</v>
          </cell>
          <cell r="B3838" t="str">
            <v>CMO v521SLN2</v>
          </cell>
          <cell r="C3838" t="str">
            <v>BRS_GOLD__5_SPREADS:BRS_GOLD__3_OTHER_SPREADS:BRS_GOLD__1_MTG,TBA_ALL,PAYUP,NONAGENCY,MORT_IDIO,CRT,CRT_SP_RISK:BRS_GOLD__1_MTG-BASIS:USD_mbs_CMO_N521SLN2</v>
          </cell>
          <cell r="D3838" t="str">
            <v>Spread Duration</v>
          </cell>
          <cell r="E3838" t="str">
            <v>Spread Yield</v>
          </cell>
          <cell r="F3838" t="str">
            <v>Alternative</v>
          </cell>
          <cell r="G3838" t="str">
            <v>Other</v>
          </cell>
          <cell r="H3838" t="str">
            <v>ALTS</v>
          </cell>
          <cell r="I3838" t="str">
            <v>Mortgage - Moneyness</v>
          </cell>
        </row>
        <row r="3839">
          <cell r="A3839" t="str">
            <v>USD_MBS_ITM100_C520SLN2</v>
          </cell>
          <cell r="B3839" t="str">
            <v>MBS30 ITM 100 v520SLN2</v>
          </cell>
          <cell r="C3839" t="str">
            <v>BRS_GOLD__5_SPREADS:BRS_GOLD__3_OTHER_SPREADS:BRS_GOLD__1_MTG,TBA_ALL,PAYUP,NONAGENCY,MORT_IDIO,CRT,CRT_SP_RISK:BRS_GOLD__1_MTG-BASIS:USD_MBS_ITM100_C520SLN2</v>
          </cell>
          <cell r="D3839" t="str">
            <v>Spread Duration</v>
          </cell>
          <cell r="E3839" t="str">
            <v>Spread Yield</v>
          </cell>
          <cell r="F3839" t="str">
            <v>Alternative</v>
          </cell>
          <cell r="G3839" t="str">
            <v>Other</v>
          </cell>
          <cell r="H3839" t="str">
            <v>ALTS</v>
          </cell>
          <cell r="I3839" t="str">
            <v>Mortgage - Moneyness</v>
          </cell>
        </row>
        <row r="3840">
          <cell r="A3840" t="str">
            <v>USD_MBS_ITM100_C521HW2</v>
          </cell>
          <cell r="B3840" t="str">
            <v>MBS30 ITM 100 v521HW2</v>
          </cell>
          <cell r="C3840" t="str">
            <v>BRS_GOLD__5_SPREADS:BRS_GOLD__3_OTHER_SPREADS:BRS_GOLD__1_MTG,TBA_ALL,PAYUP,NONAGENCY,MORT_IDIO,CRT,CRT_SP_RISK:BRS_GOLD__1_MTG-BASIS:USD_MBS_ITM100_C521HW2</v>
          </cell>
          <cell r="D3840" t="str">
            <v>Spread Duration</v>
          </cell>
          <cell r="E3840" t="str">
            <v>Spread Yield</v>
          </cell>
          <cell r="F3840" t="str">
            <v>Alternative</v>
          </cell>
          <cell r="G3840" t="str">
            <v>Other</v>
          </cell>
          <cell r="H3840" t="str">
            <v>ALTS</v>
          </cell>
          <cell r="I3840" t="str">
            <v>Mortgage - Moneyness</v>
          </cell>
        </row>
        <row r="3841">
          <cell r="A3841" t="str">
            <v>USD_MBS_ITM100_C521SLN2</v>
          </cell>
          <cell r="B3841" t="str">
            <v>MBS30 ITM 100 v521SLN2</v>
          </cell>
          <cell r="C3841" t="str">
            <v>BRS_GOLD__5_SPREADS:BRS_GOLD__3_OTHER_SPREADS:BRS_GOLD__1_MTG,TBA_ALL,PAYUP,NONAGENCY,MORT_IDIO,CRT,CRT_SP_RISK:BRS_GOLD__1_MTG-BASIS:USD_MBS_ITM100_C521SLN2</v>
          </cell>
          <cell r="D3841" t="str">
            <v>Spread Duration</v>
          </cell>
          <cell r="E3841" t="str">
            <v>Spread Yield</v>
          </cell>
          <cell r="F3841" t="str">
            <v>Alternative</v>
          </cell>
          <cell r="G3841" t="str">
            <v>Other</v>
          </cell>
          <cell r="H3841" t="str">
            <v>ALTS</v>
          </cell>
          <cell r="I3841" t="str">
            <v>Mortgage - Moneyness</v>
          </cell>
        </row>
        <row r="3842">
          <cell r="A3842" t="str">
            <v>USD_MBS_ITM50_C520SLN2</v>
          </cell>
          <cell r="B3842" t="str">
            <v>MBS30 ITM 50 v520SLN2</v>
          </cell>
          <cell r="C3842" t="str">
            <v>BRS_GOLD__5_SPREADS:BRS_GOLD__3_OTHER_SPREADS:BRS_GOLD__1_MTG,TBA_ALL,PAYUP,NONAGENCY,MORT_IDIO,CRT,CRT_SP_RISK:BRS_GOLD__1_MTG-BASIS:USD_MBS_ITM50_C520SLN2</v>
          </cell>
          <cell r="D3842" t="str">
            <v>Spread Duration</v>
          </cell>
          <cell r="E3842" t="str">
            <v>Spread Yield</v>
          </cell>
          <cell r="F3842" t="str">
            <v>Alternative</v>
          </cell>
          <cell r="G3842" t="str">
            <v>Other</v>
          </cell>
          <cell r="H3842" t="str">
            <v>ALTS</v>
          </cell>
          <cell r="I3842" t="str">
            <v>Mortgage - Moneyness</v>
          </cell>
        </row>
        <row r="3843">
          <cell r="A3843" t="str">
            <v>USD_MBS_ITM50_C521HW2</v>
          </cell>
          <cell r="B3843" t="str">
            <v>MBS30 ITM 50 v521HW2</v>
          </cell>
          <cell r="C3843" t="str">
            <v>BRS_GOLD__5_SPREADS:BRS_GOLD__3_OTHER_SPREADS:BRS_GOLD__1_MTG,TBA_ALL,PAYUP,NONAGENCY,MORT_IDIO,CRT,CRT_SP_RISK:BRS_GOLD__1_MTG-BASIS:USD_MBS_ITM50_C521HW2</v>
          </cell>
          <cell r="D3843" t="str">
            <v>Spread Duration</v>
          </cell>
          <cell r="E3843" t="str">
            <v>Spread Yield</v>
          </cell>
          <cell r="F3843" t="str">
            <v>Alternative</v>
          </cell>
          <cell r="G3843" t="str">
            <v>Other</v>
          </cell>
          <cell r="H3843" t="str">
            <v>ALTS</v>
          </cell>
          <cell r="I3843" t="str">
            <v>Mortgage - Moneyness</v>
          </cell>
        </row>
        <row r="3844">
          <cell r="A3844" t="str">
            <v>USD_MBS_ITM50_C521SLN2</v>
          </cell>
          <cell r="B3844" t="str">
            <v>MBS30 ITM 50 v521SLN2</v>
          </cell>
          <cell r="C3844" t="str">
            <v>BRS_GOLD__5_SPREADS:BRS_GOLD__3_OTHER_SPREADS:BRS_GOLD__1_MTG,TBA_ALL,PAYUP,NONAGENCY,MORT_IDIO,CRT,CRT_SP_RISK:BRS_GOLD__1_MTG-BASIS:USD_MBS_ITM50_C521SLN2</v>
          </cell>
          <cell r="D3844" t="str">
            <v>Spread Duration</v>
          </cell>
          <cell r="E3844" t="str">
            <v>Spread Yield</v>
          </cell>
          <cell r="F3844" t="str">
            <v>Alternative</v>
          </cell>
          <cell r="G3844" t="str">
            <v>Other</v>
          </cell>
          <cell r="H3844" t="str">
            <v>ALTS</v>
          </cell>
          <cell r="I3844" t="str">
            <v>Mortgage - Moneyness</v>
          </cell>
        </row>
        <row r="3845">
          <cell r="A3845" t="str">
            <v>USD_MBS_OTM100_C520SLN2</v>
          </cell>
          <cell r="B3845" t="str">
            <v>MBS30 OTM 100 v520SLN2</v>
          </cell>
          <cell r="C3845" t="str">
            <v>BRS_GOLD__5_SPREADS:BRS_GOLD__3_OTHER_SPREADS:BRS_GOLD__1_MTG,TBA_ALL,PAYUP,NONAGENCY,MORT_IDIO,CRT,CRT_SP_RISK:BRS_GOLD__1_MTG-BASIS:USD_MBS_OTM100_C520SLN2</v>
          </cell>
          <cell r="D3845" t="str">
            <v>Spread Duration</v>
          </cell>
          <cell r="E3845" t="str">
            <v>Spread Yield</v>
          </cell>
          <cell r="F3845" t="str">
            <v>Alternative</v>
          </cell>
          <cell r="G3845" t="str">
            <v>Other</v>
          </cell>
          <cell r="H3845" t="str">
            <v>ALTS</v>
          </cell>
          <cell r="I3845" t="str">
            <v>Mortgage - Moneyness</v>
          </cell>
        </row>
        <row r="3846">
          <cell r="A3846" t="str">
            <v>USD_MBS_OTM100_C521HW2</v>
          </cell>
          <cell r="B3846" t="str">
            <v>MBS30 OTM 100 v521HW2</v>
          </cell>
          <cell r="C3846" t="str">
            <v>BRS_GOLD__5_SPREADS:BRS_GOLD__3_OTHER_SPREADS:BRS_GOLD__1_MTG,TBA_ALL,PAYUP,NONAGENCY,MORT_IDIO,CRT,CRT_SP_RISK:BRS_GOLD__1_MTG-BASIS:USD_MBS_OTM100_C521HW2</v>
          </cell>
          <cell r="D3846" t="str">
            <v>Spread Duration</v>
          </cell>
          <cell r="E3846" t="str">
            <v>Spread Yield</v>
          </cell>
          <cell r="F3846" t="str">
            <v>Alternative</v>
          </cell>
          <cell r="G3846" t="str">
            <v>Other</v>
          </cell>
          <cell r="H3846" t="str">
            <v>ALTS</v>
          </cell>
          <cell r="I3846" t="str">
            <v>Mortgage - Moneyness</v>
          </cell>
        </row>
        <row r="3847">
          <cell r="A3847" t="str">
            <v>USD_MBS_OTM100_C521SLN2</v>
          </cell>
          <cell r="B3847" t="str">
            <v>MBS30 OTM 100 v521SLN2</v>
          </cell>
          <cell r="C3847" t="str">
            <v>BRS_GOLD__5_SPREADS:BRS_GOLD__3_OTHER_SPREADS:BRS_GOLD__1_MTG,TBA_ALL,PAYUP,NONAGENCY,MORT_IDIO,CRT,CRT_SP_RISK:BRS_GOLD__1_MTG-BASIS:USD_MBS_OTM100_C521SLN2</v>
          </cell>
          <cell r="D3847" t="str">
            <v>Spread Duration</v>
          </cell>
          <cell r="E3847" t="str">
            <v>Spread Yield</v>
          </cell>
          <cell r="F3847" t="str">
            <v>Alternative</v>
          </cell>
          <cell r="G3847" t="str">
            <v>Other</v>
          </cell>
          <cell r="H3847" t="str">
            <v>ALTS</v>
          </cell>
          <cell r="I3847" t="str">
            <v>Mortgage - Moneyness</v>
          </cell>
        </row>
        <row r="3848">
          <cell r="A3848" t="str">
            <v>USD_MBS_OTM50_C520SLN2</v>
          </cell>
          <cell r="B3848" t="str">
            <v>MBS30 OTM 50 v520SLN2</v>
          </cell>
          <cell r="C3848" t="str">
            <v>BRS_GOLD__5_SPREADS:BRS_GOLD__3_OTHER_SPREADS:BRS_GOLD__1_MTG,TBA_ALL,PAYUP,NONAGENCY,MORT_IDIO,CRT,CRT_SP_RISK:BRS_GOLD__1_MTG-BASIS:USD_MBS_OTM50_C520SLN2</v>
          </cell>
          <cell r="D3848" t="str">
            <v>Spread Duration</v>
          </cell>
          <cell r="E3848" t="str">
            <v>Spread Yield</v>
          </cell>
          <cell r="F3848" t="str">
            <v>Alternative</v>
          </cell>
          <cell r="G3848" t="str">
            <v>Other</v>
          </cell>
          <cell r="H3848" t="str">
            <v>ALTS</v>
          </cell>
          <cell r="I3848" t="str">
            <v>Mortgage - Moneyness</v>
          </cell>
        </row>
        <row r="3849">
          <cell r="A3849" t="str">
            <v>USD_MBS_OTM50_C521HW2</v>
          </cell>
          <cell r="B3849" t="str">
            <v>MBS30 OTM 50 v521HW2</v>
          </cell>
          <cell r="C3849" t="str">
            <v>BRS_GOLD__5_SPREADS:BRS_GOLD__3_OTHER_SPREADS:BRS_GOLD__1_MTG,TBA_ALL,PAYUP,NONAGENCY,MORT_IDIO,CRT,CRT_SP_RISK:BRS_GOLD__1_MTG-BASIS:USD_MBS_OTM50_C521HW2</v>
          </cell>
          <cell r="D3849" t="str">
            <v>Spread Duration</v>
          </cell>
          <cell r="E3849" t="str">
            <v>Spread Yield</v>
          </cell>
          <cell r="F3849" t="str">
            <v>Alternative</v>
          </cell>
          <cell r="G3849" t="str">
            <v>Other</v>
          </cell>
          <cell r="H3849" t="str">
            <v>ALTS</v>
          </cell>
          <cell r="I3849" t="str">
            <v>Mortgage - Moneyness</v>
          </cell>
        </row>
        <row r="3850">
          <cell r="A3850" t="str">
            <v>USD_MBS_OTM50_C521SLN2</v>
          </cell>
          <cell r="B3850" t="str">
            <v>MBS30 OTM 50 v521SLN2</v>
          </cell>
          <cell r="C3850" t="str">
            <v>BRS_GOLD__5_SPREADS:BRS_GOLD__3_OTHER_SPREADS:BRS_GOLD__1_MTG,TBA_ALL,PAYUP,NONAGENCY,MORT_IDIO,CRT,CRT_SP_RISK:BRS_GOLD__1_MTG-BASIS:USD_MBS_OTM50_C521SLN2</v>
          </cell>
          <cell r="D3850" t="str">
            <v>Spread Duration</v>
          </cell>
          <cell r="E3850" t="str">
            <v>Spread Yield</v>
          </cell>
          <cell r="F3850" t="str">
            <v>Alternative</v>
          </cell>
          <cell r="G3850" t="str">
            <v>Other</v>
          </cell>
          <cell r="H3850" t="str">
            <v>ALTS</v>
          </cell>
          <cell r="I3850" t="str">
            <v>Mortgage - Moneyness</v>
          </cell>
        </row>
        <row r="3851">
          <cell r="A3851" t="str">
            <v>USD_mbs_PAC_N520SLN2</v>
          </cell>
          <cell r="B3851" t="str">
            <v>CMO PAC v520SLN2</v>
          </cell>
          <cell r="C3851" t="str">
            <v>BRS_GOLD__5_SPREADS:BRS_GOLD__3_OTHER_SPREADS:BRS_GOLD__1_MTG,TBA_ALL,PAYUP,NONAGENCY,MORT_IDIO,CRT,CRT_SP_RISK:BRS_GOLD__1_MTG-BASIS:USD_mbs_PAC_N520SLN2</v>
          </cell>
          <cell r="D3851" t="str">
            <v>Spread Duration</v>
          </cell>
          <cell r="E3851" t="str">
            <v>Spread Yield</v>
          </cell>
          <cell r="F3851" t="str">
            <v>Alternative</v>
          </cell>
          <cell r="G3851" t="str">
            <v>Other</v>
          </cell>
          <cell r="H3851" t="str">
            <v>ALTS</v>
          </cell>
          <cell r="I3851" t="str">
            <v>Mortgage - Moneyness</v>
          </cell>
        </row>
        <row r="3852">
          <cell r="A3852" t="str">
            <v>USD_mbs_PAC_N521HW2</v>
          </cell>
          <cell r="B3852" t="str">
            <v>CMO PAC v521HW2</v>
          </cell>
          <cell r="C3852" t="str">
            <v>BRS_GOLD__5_SPREADS:BRS_GOLD__3_OTHER_SPREADS:BRS_GOLD__1_MTG,TBA_ALL,PAYUP,NONAGENCY,MORT_IDIO,CRT,CRT_SP_RISK:BRS_GOLD__1_MTG-BASIS:USD_mbs_PAC_N521HW2</v>
          </cell>
          <cell r="D3852" t="str">
            <v>Spread Duration</v>
          </cell>
          <cell r="E3852" t="str">
            <v>Spread Yield</v>
          </cell>
          <cell r="F3852" t="str">
            <v>Alternative</v>
          </cell>
          <cell r="G3852" t="str">
            <v>Other</v>
          </cell>
          <cell r="H3852" t="str">
            <v>ALTS</v>
          </cell>
          <cell r="I3852" t="str">
            <v>Mortgage - Moneyness</v>
          </cell>
        </row>
        <row r="3853">
          <cell r="A3853" t="str">
            <v>USD_mbs_PAC_N521SLN2</v>
          </cell>
          <cell r="B3853" t="str">
            <v>CMO PAC v521SLN2</v>
          </cell>
          <cell r="C3853" t="str">
            <v>BRS_GOLD__5_SPREADS:BRS_GOLD__3_OTHER_SPREADS:BRS_GOLD__1_MTG,TBA_ALL,PAYUP,NONAGENCY,MORT_IDIO,CRT,CRT_SP_RISK:BRS_GOLD__1_MTG-BASIS:USD_mbs_PAC_N521SLN2</v>
          </cell>
          <cell r="D3853" t="str">
            <v>Spread Duration</v>
          </cell>
          <cell r="E3853" t="str">
            <v>Spread Yield</v>
          </cell>
          <cell r="F3853" t="str">
            <v>Alternative</v>
          </cell>
          <cell r="G3853" t="str">
            <v>Other</v>
          </cell>
          <cell r="H3853" t="str">
            <v>ALTS</v>
          </cell>
          <cell r="I3853" t="str">
            <v>Mortgage - Moneyness</v>
          </cell>
        </row>
        <row r="3854">
          <cell r="A3854" t="str">
            <v>USD_MBS15_ATM_C520SLN2</v>
          </cell>
          <cell r="B3854" t="str">
            <v>MBS15 ATM v520SLN2</v>
          </cell>
          <cell r="C3854" t="str">
            <v>BRS_GOLD__5_SPREADS:BRS_GOLD__3_OTHER_SPREADS:BRS_GOLD__1_MTG,TBA_ALL,PAYUP,NONAGENCY,MORT_IDIO,CRT,CRT_SP_RISK:BRS_GOLD__1_MTG-BASIS:USD_MBS15_ATM_C520SLN2</v>
          </cell>
          <cell r="D3854" t="str">
            <v>Spread Duration</v>
          </cell>
          <cell r="E3854" t="str">
            <v>Spread Yield</v>
          </cell>
          <cell r="F3854" t="str">
            <v>Alternative</v>
          </cell>
          <cell r="G3854" t="str">
            <v>Other</v>
          </cell>
          <cell r="H3854" t="str">
            <v>ALTS</v>
          </cell>
          <cell r="I3854" t="str">
            <v>Mortgage - Moneyness</v>
          </cell>
        </row>
        <row r="3855">
          <cell r="A3855" t="str">
            <v>USD_MBS15_ATM_C521HW2</v>
          </cell>
          <cell r="B3855" t="str">
            <v>MBS15 ATM v521HW2</v>
          </cell>
          <cell r="C3855" t="str">
            <v>BRS_GOLD__5_SPREADS:BRS_GOLD__3_OTHER_SPREADS:BRS_GOLD__1_MTG,TBA_ALL,PAYUP,NONAGENCY,MORT_IDIO,CRT,CRT_SP_RISK:BRS_GOLD__1_MTG-BASIS:USD_MBS15_ATM_C521HW2</v>
          </cell>
          <cell r="D3855" t="str">
            <v>Spread Duration</v>
          </cell>
          <cell r="E3855" t="str">
            <v>Spread Yield</v>
          </cell>
          <cell r="F3855" t="str">
            <v>Alternative</v>
          </cell>
          <cell r="G3855" t="str">
            <v>Other</v>
          </cell>
          <cell r="H3855" t="str">
            <v>ALTS</v>
          </cell>
          <cell r="I3855" t="str">
            <v>Mortgage - Moneyness</v>
          </cell>
        </row>
        <row r="3856">
          <cell r="A3856" t="str">
            <v>USD_MBS15_ATM_C521SLN2</v>
          </cell>
          <cell r="B3856" t="str">
            <v>MBS15 ATM v521SLN2</v>
          </cell>
          <cell r="C3856" t="str">
            <v>BRS_GOLD__5_SPREADS:BRS_GOLD__3_OTHER_SPREADS:BRS_GOLD__1_MTG,TBA_ALL,PAYUP,NONAGENCY,MORT_IDIO,CRT,CRT_SP_RISK:BRS_GOLD__1_MTG-BASIS:USD_MBS15_ATM_C521SLN2</v>
          </cell>
          <cell r="D3856" t="str">
            <v>Spread Duration</v>
          </cell>
          <cell r="E3856" t="str">
            <v>Spread Yield</v>
          </cell>
          <cell r="F3856" t="str">
            <v>Alternative</v>
          </cell>
          <cell r="G3856" t="str">
            <v>Other</v>
          </cell>
          <cell r="H3856" t="str">
            <v>ALTS</v>
          </cell>
          <cell r="I3856" t="str">
            <v>Mortgage - Moneyness</v>
          </cell>
        </row>
        <row r="3857">
          <cell r="A3857" t="str">
            <v>USD_MBS15_ITM100_C520SLN2</v>
          </cell>
          <cell r="B3857" t="str">
            <v>MBS15 ITM 100 v520SLN2</v>
          </cell>
          <cell r="C3857" t="str">
            <v>BRS_GOLD__5_SPREADS:BRS_GOLD__3_OTHER_SPREADS:BRS_GOLD__1_MTG,TBA_ALL,PAYUP,NONAGENCY,MORT_IDIO,CRT,CRT_SP_RISK:BRS_GOLD__1_MTG-BASIS:USD_MBS15_ITM100_C520SLN2</v>
          </cell>
          <cell r="D3857" t="str">
            <v>Spread Duration</v>
          </cell>
          <cell r="E3857" t="str">
            <v>Spread Yield</v>
          </cell>
          <cell r="F3857" t="str">
            <v>Alternative</v>
          </cell>
          <cell r="G3857" t="str">
            <v>Other</v>
          </cell>
          <cell r="H3857" t="str">
            <v>ALTS</v>
          </cell>
          <cell r="I3857" t="str">
            <v>Mortgage - Moneyness</v>
          </cell>
        </row>
        <row r="3858">
          <cell r="A3858" t="str">
            <v>USD_MBS15_ITM100_C521HW2</v>
          </cell>
          <cell r="B3858" t="str">
            <v>MBS15 ITM 100 v521HW2</v>
          </cell>
          <cell r="C3858" t="str">
            <v>BRS_GOLD__5_SPREADS:BRS_GOLD__3_OTHER_SPREADS:BRS_GOLD__1_MTG,TBA_ALL,PAYUP,NONAGENCY,MORT_IDIO,CRT,CRT_SP_RISK:BRS_GOLD__1_MTG-BASIS:USD_MBS15_ITM100_C521HW2</v>
          </cell>
          <cell r="D3858" t="str">
            <v>Spread Duration</v>
          </cell>
          <cell r="E3858" t="str">
            <v>Spread Yield</v>
          </cell>
          <cell r="F3858" t="str">
            <v>Alternative</v>
          </cell>
          <cell r="G3858" t="str">
            <v>Other</v>
          </cell>
          <cell r="H3858" t="str">
            <v>ALTS</v>
          </cell>
          <cell r="I3858" t="str">
            <v>Mortgage - Moneyness</v>
          </cell>
        </row>
        <row r="3859">
          <cell r="A3859" t="str">
            <v>USD_MBS15_ITM100_C521SLN2</v>
          </cell>
          <cell r="B3859" t="str">
            <v>MBS15 ITM 100 v521SLN2</v>
          </cell>
          <cell r="C3859" t="str">
            <v>BRS_GOLD__5_SPREADS:BRS_GOLD__3_OTHER_SPREADS:BRS_GOLD__1_MTG,TBA_ALL,PAYUP,NONAGENCY,MORT_IDIO,CRT,CRT_SP_RISK:BRS_GOLD__1_MTG-BASIS:USD_MBS15_ITM100_C521SLN2</v>
          </cell>
          <cell r="D3859" t="str">
            <v>Spread Duration</v>
          </cell>
          <cell r="E3859" t="str">
            <v>Spread Yield</v>
          </cell>
          <cell r="F3859" t="str">
            <v>Alternative</v>
          </cell>
          <cell r="G3859" t="str">
            <v>Other</v>
          </cell>
          <cell r="H3859" t="str">
            <v>ALTS</v>
          </cell>
          <cell r="I3859" t="str">
            <v>Mortgage - Moneyness</v>
          </cell>
        </row>
        <row r="3860">
          <cell r="A3860" t="str">
            <v>USD_MBS15_ITM50_C520SLN2</v>
          </cell>
          <cell r="B3860" t="str">
            <v>MBS15 ITM 50 v520SLN2</v>
          </cell>
          <cell r="C3860" t="str">
            <v>BRS_GOLD__5_SPREADS:BRS_GOLD__3_OTHER_SPREADS:BRS_GOLD__1_MTG,TBA_ALL,PAYUP,NONAGENCY,MORT_IDIO,CRT,CRT_SP_RISK:BRS_GOLD__1_MTG-BASIS:USD_MBS15_ITM50_C520SLN2</v>
          </cell>
          <cell r="D3860" t="str">
            <v>Spread Duration</v>
          </cell>
          <cell r="E3860" t="str">
            <v>Spread Yield</v>
          </cell>
          <cell r="F3860" t="str">
            <v>Alternative</v>
          </cell>
          <cell r="G3860" t="str">
            <v>Other</v>
          </cell>
          <cell r="H3860" t="str">
            <v>ALTS</v>
          </cell>
          <cell r="I3860" t="str">
            <v>Mortgage - Moneyness</v>
          </cell>
        </row>
        <row r="3861">
          <cell r="A3861" t="str">
            <v>USD_MBS15_ITM50_C521HW2</v>
          </cell>
          <cell r="B3861" t="str">
            <v>MBS15 ITM 50 v521HW2</v>
          </cell>
          <cell r="C3861" t="str">
            <v>BRS_GOLD__5_SPREADS:BRS_GOLD__3_OTHER_SPREADS:BRS_GOLD__1_MTG,TBA_ALL,PAYUP,NONAGENCY,MORT_IDIO,CRT,CRT_SP_RISK:BRS_GOLD__1_MTG-BASIS:USD_MBS15_ITM50_C521HW2</v>
          </cell>
          <cell r="D3861" t="str">
            <v>Spread Duration</v>
          </cell>
          <cell r="E3861" t="str">
            <v>Spread Yield</v>
          </cell>
          <cell r="F3861" t="str">
            <v>Alternative</v>
          </cell>
          <cell r="G3861" t="str">
            <v>Other</v>
          </cell>
          <cell r="H3861" t="str">
            <v>ALTS</v>
          </cell>
          <cell r="I3861" t="str">
            <v>Mortgage - Moneyness</v>
          </cell>
        </row>
        <row r="3862">
          <cell r="A3862" t="str">
            <v>USD_MBS15_ITM50_C521SLN2</v>
          </cell>
          <cell r="B3862" t="str">
            <v>MBS15 ITM 50 v521SLN2</v>
          </cell>
          <cell r="C3862" t="str">
            <v>BRS_GOLD__5_SPREADS:BRS_GOLD__3_OTHER_SPREADS:BRS_GOLD__1_MTG,TBA_ALL,PAYUP,NONAGENCY,MORT_IDIO,CRT,CRT_SP_RISK:BRS_GOLD__1_MTG-BASIS:USD_MBS15_ITM50_C521SLN2</v>
          </cell>
          <cell r="D3862" t="str">
            <v>Spread Duration</v>
          </cell>
          <cell r="E3862" t="str">
            <v>Spread Yield</v>
          </cell>
          <cell r="F3862" t="str">
            <v>Alternative</v>
          </cell>
          <cell r="G3862" t="str">
            <v>Other</v>
          </cell>
          <cell r="H3862" t="str">
            <v>ALTS</v>
          </cell>
          <cell r="I3862" t="str">
            <v>Mortgage - Moneyness</v>
          </cell>
        </row>
        <row r="3863">
          <cell r="A3863" t="str">
            <v>USD_MBS15_OTM100_C520SLN2</v>
          </cell>
          <cell r="B3863" t="str">
            <v>MBS15 OTM 100 v520SLN2</v>
          </cell>
          <cell r="C3863" t="str">
            <v>BRS_GOLD__5_SPREADS:BRS_GOLD__3_OTHER_SPREADS:BRS_GOLD__1_MTG,TBA_ALL,PAYUP,NONAGENCY,MORT_IDIO,CRT,CRT_SP_RISK:BRS_GOLD__1_MTG-BASIS:USD_MBS15_OTM100_C520SLN2</v>
          </cell>
          <cell r="D3863" t="str">
            <v>Spread Duration</v>
          </cell>
          <cell r="E3863" t="str">
            <v>Spread Yield</v>
          </cell>
          <cell r="F3863" t="str">
            <v>Alternative</v>
          </cell>
          <cell r="G3863" t="str">
            <v>Other</v>
          </cell>
          <cell r="H3863" t="str">
            <v>ALTS</v>
          </cell>
          <cell r="I3863" t="str">
            <v>Mortgage - Moneyness</v>
          </cell>
        </row>
        <row r="3864">
          <cell r="A3864" t="str">
            <v>USD_MBS15_OTM100_C521HW2</v>
          </cell>
          <cell r="B3864" t="str">
            <v>MBS15 OTM 100 v521HW2</v>
          </cell>
          <cell r="C3864" t="str">
            <v>BRS_GOLD__5_SPREADS:BRS_GOLD__3_OTHER_SPREADS:BRS_GOLD__1_MTG,TBA_ALL,PAYUP,NONAGENCY,MORT_IDIO,CRT,CRT_SP_RISK:BRS_GOLD__1_MTG-BASIS:USD_MBS15_OTM100_C521HW2</v>
          </cell>
          <cell r="D3864" t="str">
            <v>Spread Duration</v>
          </cell>
          <cell r="E3864" t="str">
            <v>Spread Yield</v>
          </cell>
          <cell r="F3864" t="str">
            <v>Alternative</v>
          </cell>
          <cell r="G3864" t="str">
            <v>Other</v>
          </cell>
          <cell r="H3864" t="str">
            <v>ALTS</v>
          </cell>
          <cell r="I3864" t="str">
            <v>Mortgage - Moneyness</v>
          </cell>
        </row>
        <row r="3865">
          <cell r="A3865" t="str">
            <v>USD_MBS15_OTM100_C521SLN2</v>
          </cell>
          <cell r="B3865" t="str">
            <v>MBS15 OTM 100 v521SLN2</v>
          </cell>
          <cell r="C3865" t="str">
            <v>BRS_GOLD__5_SPREADS:BRS_GOLD__3_OTHER_SPREADS:BRS_GOLD__1_MTG,TBA_ALL,PAYUP,NONAGENCY,MORT_IDIO,CRT,CRT_SP_RISK:BRS_GOLD__1_MTG-BASIS:USD_MBS15_OTM100_C521SLN2</v>
          </cell>
          <cell r="D3865" t="str">
            <v>Spread Duration</v>
          </cell>
          <cell r="E3865" t="str">
            <v>Spread Yield</v>
          </cell>
          <cell r="F3865" t="str">
            <v>Alternative</v>
          </cell>
          <cell r="G3865" t="str">
            <v>Other</v>
          </cell>
          <cell r="H3865" t="str">
            <v>ALTS</v>
          </cell>
          <cell r="I3865" t="str">
            <v>Mortgage - Moneyness</v>
          </cell>
        </row>
        <row r="3866">
          <cell r="A3866" t="str">
            <v>USD_MBS15_OTM50_C520SLN2</v>
          </cell>
          <cell r="B3866" t="str">
            <v>MBS15 OTM 50 v520SLN2</v>
          </cell>
          <cell r="C3866" t="str">
            <v>BRS_GOLD__5_SPREADS:BRS_GOLD__3_OTHER_SPREADS:BRS_GOLD__1_MTG,TBA_ALL,PAYUP,NONAGENCY,MORT_IDIO,CRT,CRT_SP_RISK:BRS_GOLD__1_MTG-BASIS:USD_MBS15_OTM50_C520SLN2</v>
          </cell>
          <cell r="D3866" t="str">
            <v>Spread Duration</v>
          </cell>
          <cell r="E3866" t="str">
            <v>Spread Yield</v>
          </cell>
          <cell r="F3866" t="str">
            <v>Alternative</v>
          </cell>
          <cell r="G3866" t="str">
            <v>Other</v>
          </cell>
          <cell r="H3866" t="str">
            <v>ALTS</v>
          </cell>
          <cell r="I3866" t="str">
            <v>Mortgage - Moneyness</v>
          </cell>
        </row>
        <row r="3867">
          <cell r="A3867" t="str">
            <v>USD_MBS15_OTM50_C521HW2</v>
          </cell>
          <cell r="B3867" t="str">
            <v>MBS15 OTM 50 v521HW2</v>
          </cell>
          <cell r="C3867" t="str">
            <v>BRS_GOLD__5_SPREADS:BRS_GOLD__3_OTHER_SPREADS:BRS_GOLD__1_MTG,TBA_ALL,PAYUP,NONAGENCY,MORT_IDIO,CRT,CRT_SP_RISK:BRS_GOLD__1_MTG-BASIS:USD_MBS15_OTM50_C521HW2</v>
          </cell>
          <cell r="D3867" t="str">
            <v>Spread Duration</v>
          </cell>
          <cell r="E3867" t="str">
            <v>Spread Yield</v>
          </cell>
          <cell r="F3867" t="str">
            <v>Alternative</v>
          </cell>
          <cell r="G3867" t="str">
            <v>Other</v>
          </cell>
          <cell r="H3867" t="str">
            <v>ALTS</v>
          </cell>
          <cell r="I3867" t="str">
            <v>Mortgage - Moneyness</v>
          </cell>
        </row>
        <row r="3868">
          <cell r="A3868" t="str">
            <v>USD_MBS15_OTM50_C521SLN2</v>
          </cell>
          <cell r="B3868" t="str">
            <v>MBS15 OTM 50 v521SLN2</v>
          </cell>
          <cell r="C3868" t="str">
            <v>BRS_GOLD__5_SPREADS:BRS_GOLD__3_OTHER_SPREADS:BRS_GOLD__1_MTG,TBA_ALL,PAYUP,NONAGENCY,MORT_IDIO,CRT,CRT_SP_RISK:BRS_GOLD__1_MTG-BASIS:USD_MBS15_OTM50_C521SLN2</v>
          </cell>
          <cell r="D3868" t="str">
            <v>Spread Duration</v>
          </cell>
          <cell r="E3868" t="str">
            <v>Spread Yield</v>
          </cell>
          <cell r="F3868" t="str">
            <v>Alternative</v>
          </cell>
          <cell r="G3868" t="str">
            <v>Other</v>
          </cell>
          <cell r="H3868" t="str">
            <v>ALTS</v>
          </cell>
          <cell r="I3868" t="str">
            <v>Mortgage - Moneyness</v>
          </cell>
        </row>
        <row r="3869">
          <cell r="A3869" t="str">
            <v>USD_MSR_ARM520SLN2</v>
          </cell>
          <cell r="B3869" t="str">
            <v>ARM Mtg Serv Right v520SLN2</v>
          </cell>
          <cell r="C3869" t="str">
            <v>BRS_GOLD__5_SPREADS:BRS_GOLD__3_OTHER_SPREADS:BRS_GOLD__1_MTG,TBA_ALL,PAYUP,NONAGENCY,MORT_IDIO,CRT,CRT_SP_RISK:BRS_GOLD__1_MTG-BASIS:USD_MSR_ARM520SLN2</v>
          </cell>
          <cell r="D3869" t="str">
            <v>Spread Duration</v>
          </cell>
          <cell r="E3869" t="str">
            <v>Spread Yield</v>
          </cell>
          <cell r="F3869" t="str">
            <v>Alternative</v>
          </cell>
          <cell r="G3869" t="str">
            <v>Other</v>
          </cell>
          <cell r="H3869" t="str">
            <v>ALTS</v>
          </cell>
          <cell r="I3869" t="str">
            <v>Mortgage - Moneyness</v>
          </cell>
        </row>
        <row r="3870">
          <cell r="A3870" t="str">
            <v>USD_MSR_ARM521HW2</v>
          </cell>
          <cell r="B3870" t="str">
            <v>ARM Mtg Serv Right v521HW2</v>
          </cell>
          <cell r="C3870" t="str">
            <v>BRS_GOLD__5_SPREADS:BRS_GOLD__3_OTHER_SPREADS:BRS_GOLD__1_MTG,TBA_ALL,PAYUP,NONAGENCY,MORT_IDIO,CRT,CRT_SP_RISK:BRS_GOLD__1_MTG-BASIS:USD_MSR_ARM521HW2</v>
          </cell>
          <cell r="D3870" t="str">
            <v>Spread Duration</v>
          </cell>
          <cell r="E3870" t="str">
            <v>Spread Yield</v>
          </cell>
          <cell r="F3870" t="str">
            <v>Alternative</v>
          </cell>
          <cell r="G3870" t="str">
            <v>Other</v>
          </cell>
          <cell r="H3870" t="str">
            <v>ALTS</v>
          </cell>
          <cell r="I3870" t="str">
            <v>Mortgage - Moneyness</v>
          </cell>
        </row>
        <row r="3871">
          <cell r="A3871" t="str">
            <v>USD_MSR_ARM521SLN2</v>
          </cell>
          <cell r="B3871" t="str">
            <v>ARM Mtg Serv Right v521SLN2</v>
          </cell>
          <cell r="C3871" t="str">
            <v>BRS_GOLD__5_SPREADS:BRS_GOLD__3_OTHER_SPREADS:BRS_GOLD__1_MTG,TBA_ALL,PAYUP,NONAGENCY,MORT_IDIO,CRT,CRT_SP_RISK:BRS_GOLD__1_MTG-BASIS:USD_MSR_ARM521SLN2</v>
          </cell>
          <cell r="D3871" t="str">
            <v>Spread Duration</v>
          </cell>
          <cell r="E3871" t="str">
            <v>Spread Yield</v>
          </cell>
          <cell r="F3871" t="str">
            <v>Alternative</v>
          </cell>
          <cell r="G3871" t="str">
            <v>Other</v>
          </cell>
          <cell r="H3871" t="str">
            <v>ALTS</v>
          </cell>
          <cell r="I3871" t="str">
            <v>Mortgage - Moneyness</v>
          </cell>
        </row>
        <row r="3872">
          <cell r="A3872" t="str">
            <v>USD_MSR_MBS520SLN2</v>
          </cell>
          <cell r="B3872" t="str">
            <v>MBS Mtg Serv Right v520SLN2</v>
          </cell>
          <cell r="C3872" t="str">
            <v>BRS_GOLD__5_SPREADS:BRS_GOLD__3_OTHER_SPREADS:BRS_GOLD__1_MTG,TBA_ALL,PAYUP,NONAGENCY,MORT_IDIO,CRT,CRT_SP_RISK:BRS_GOLD__1_MTG-BASIS:USD_MSR_MBS520SLN2</v>
          </cell>
          <cell r="D3872" t="str">
            <v>Spread Duration</v>
          </cell>
          <cell r="E3872" t="str">
            <v>Spread Yield</v>
          </cell>
          <cell r="F3872" t="str">
            <v>Alternative</v>
          </cell>
          <cell r="G3872" t="str">
            <v>Other</v>
          </cell>
          <cell r="H3872" t="str">
            <v>ALTS</v>
          </cell>
          <cell r="I3872" t="str">
            <v>Mortgage - Moneyness</v>
          </cell>
        </row>
        <row r="3873">
          <cell r="A3873" t="str">
            <v>USD_MSR_MBS521HW2</v>
          </cell>
          <cell r="B3873" t="str">
            <v>MBS Mtg Serv Right v521HW2</v>
          </cell>
          <cell r="C3873" t="str">
            <v>BRS_GOLD__5_SPREADS:BRS_GOLD__3_OTHER_SPREADS:BRS_GOLD__1_MTG,TBA_ALL,PAYUP,NONAGENCY,MORT_IDIO,CRT,CRT_SP_RISK:BRS_GOLD__1_MTG-BASIS:USD_MSR_MBS521HW2</v>
          </cell>
          <cell r="D3873" t="str">
            <v>Spread Duration</v>
          </cell>
          <cell r="E3873" t="str">
            <v>Spread Yield</v>
          </cell>
          <cell r="F3873" t="str">
            <v>Alternative</v>
          </cell>
          <cell r="G3873" t="str">
            <v>Other</v>
          </cell>
          <cell r="H3873" t="str">
            <v>ALTS</v>
          </cell>
          <cell r="I3873" t="str">
            <v>Mortgage - Moneyness</v>
          </cell>
        </row>
        <row r="3874">
          <cell r="A3874" t="str">
            <v>USD_MSR_MBS521SLN2</v>
          </cell>
          <cell r="B3874" t="str">
            <v>MBS Mtg Serv Right v521SLN2</v>
          </cell>
          <cell r="C3874" t="str">
            <v>BRS_GOLD__5_SPREADS:BRS_GOLD__3_OTHER_SPREADS:BRS_GOLD__1_MTG,TBA_ALL,PAYUP,NONAGENCY,MORT_IDIO,CRT,CRT_SP_RISK:BRS_GOLD__1_MTG-BASIS:USD_MSR_MBS521SLN2</v>
          </cell>
          <cell r="D3874" t="str">
            <v>Spread Duration</v>
          </cell>
          <cell r="E3874" t="str">
            <v>Spread Yield</v>
          </cell>
          <cell r="F3874" t="str">
            <v>Alternative</v>
          </cell>
          <cell r="G3874" t="str">
            <v>Other</v>
          </cell>
          <cell r="H3874" t="str">
            <v>ALTS</v>
          </cell>
          <cell r="I3874" t="str">
            <v>Mortgage - Moneyness</v>
          </cell>
        </row>
        <row r="3875">
          <cell r="A3875" t="str">
            <v>USD_PO_C_ATM520SLN2</v>
          </cell>
          <cell r="B3875" t="str">
            <v>PO ATM v520SLN2</v>
          </cell>
          <cell r="C3875" t="str">
            <v>BRS_GOLD__5_SPREADS:BRS_GOLD__3_OTHER_SPREADS:BRS_GOLD__1_MTG,TBA_ALL,PAYUP,NONAGENCY,MORT_IDIO,CRT,CRT_SP_RISK:BRS_GOLD__1_MTG-BASIS:USD_PO_C_ATM520SLN2</v>
          </cell>
          <cell r="D3875" t="str">
            <v>Spread Duration</v>
          </cell>
          <cell r="E3875" t="str">
            <v>Spread Yield</v>
          </cell>
          <cell r="F3875" t="str">
            <v>Alternative</v>
          </cell>
          <cell r="G3875" t="str">
            <v>Other</v>
          </cell>
          <cell r="H3875" t="str">
            <v>ALTS</v>
          </cell>
          <cell r="I3875" t="str">
            <v>Mortgage - Moneyness</v>
          </cell>
        </row>
        <row r="3876">
          <cell r="A3876" t="str">
            <v>USD_PO_C_ATM521HW2</v>
          </cell>
          <cell r="B3876" t="str">
            <v>PO ATM v521HW2</v>
          </cell>
          <cell r="C3876" t="str">
            <v>BRS_GOLD__5_SPREADS:BRS_GOLD__3_OTHER_SPREADS:BRS_GOLD__1_MTG,TBA_ALL,PAYUP,NONAGENCY,MORT_IDIO,CRT,CRT_SP_RISK:BRS_GOLD__1_MTG-BASIS:USD_PO_C_ATM521HW2</v>
          </cell>
          <cell r="D3876" t="str">
            <v>Spread Duration</v>
          </cell>
          <cell r="E3876" t="str">
            <v>Spread Yield</v>
          </cell>
          <cell r="F3876" t="str">
            <v>Alternative</v>
          </cell>
          <cell r="G3876" t="str">
            <v>Other</v>
          </cell>
          <cell r="H3876" t="str">
            <v>ALTS</v>
          </cell>
          <cell r="I3876" t="str">
            <v>Mortgage - Moneyness</v>
          </cell>
        </row>
        <row r="3877">
          <cell r="A3877" t="str">
            <v>USD_PO_C_ATM521SLN2</v>
          </cell>
          <cell r="B3877" t="str">
            <v>PO ATM v521SLN2</v>
          </cell>
          <cell r="C3877" t="str">
            <v>BRS_GOLD__5_SPREADS:BRS_GOLD__3_OTHER_SPREADS:BRS_GOLD__1_MTG,TBA_ALL,PAYUP,NONAGENCY,MORT_IDIO,CRT,CRT_SP_RISK:BRS_GOLD__1_MTG-BASIS:USD_PO_C_ATM521SLN2</v>
          </cell>
          <cell r="D3877" t="str">
            <v>Spread Duration</v>
          </cell>
          <cell r="E3877" t="str">
            <v>Spread Yield</v>
          </cell>
          <cell r="F3877" t="str">
            <v>Alternative</v>
          </cell>
          <cell r="G3877" t="str">
            <v>Other</v>
          </cell>
          <cell r="H3877" t="str">
            <v>ALTS</v>
          </cell>
          <cell r="I3877" t="str">
            <v>Mortgage - Moneyness</v>
          </cell>
        </row>
        <row r="3878">
          <cell r="A3878" t="str">
            <v>USD_PO_C_ITM50520SLN2</v>
          </cell>
          <cell r="B3878" t="str">
            <v>PO ITM v520SLN2</v>
          </cell>
          <cell r="C3878" t="str">
            <v>BRS_GOLD__5_SPREADS:BRS_GOLD__3_OTHER_SPREADS:BRS_GOLD__1_MTG,TBA_ALL,PAYUP,NONAGENCY,MORT_IDIO,CRT,CRT_SP_RISK:BRS_GOLD__1_MTG-BASIS:USD_PO_C_ITM50520SLN2</v>
          </cell>
          <cell r="D3878" t="str">
            <v>Spread Duration</v>
          </cell>
          <cell r="E3878" t="str">
            <v>Spread Yield</v>
          </cell>
          <cell r="F3878" t="str">
            <v>Alternative</v>
          </cell>
          <cell r="G3878" t="str">
            <v>Other</v>
          </cell>
          <cell r="H3878" t="str">
            <v>ALTS</v>
          </cell>
          <cell r="I3878" t="str">
            <v>Mortgage - Moneyness</v>
          </cell>
        </row>
        <row r="3879">
          <cell r="A3879" t="str">
            <v>USD_PO_C_ITM50521HW2</v>
          </cell>
          <cell r="B3879" t="str">
            <v>PO ITM v521HW2</v>
          </cell>
          <cell r="C3879" t="str">
            <v>BRS_GOLD__5_SPREADS:BRS_GOLD__3_OTHER_SPREADS:BRS_GOLD__1_MTG,TBA_ALL,PAYUP,NONAGENCY,MORT_IDIO,CRT,CRT_SP_RISK:BRS_GOLD__1_MTG-BASIS:USD_PO_C_ITM50521HW2</v>
          </cell>
          <cell r="D3879" t="str">
            <v>Spread Duration</v>
          </cell>
          <cell r="E3879" t="str">
            <v>Spread Yield</v>
          </cell>
          <cell r="F3879" t="str">
            <v>Alternative</v>
          </cell>
          <cell r="G3879" t="str">
            <v>Other</v>
          </cell>
          <cell r="H3879" t="str">
            <v>ALTS</v>
          </cell>
          <cell r="I3879" t="str">
            <v>Mortgage - Moneyness</v>
          </cell>
        </row>
        <row r="3880">
          <cell r="A3880" t="str">
            <v>USD_PO_C_ITM50521SLN2</v>
          </cell>
          <cell r="B3880" t="str">
            <v>PO ITM v521SLN2</v>
          </cell>
          <cell r="C3880" t="str">
            <v>BRS_GOLD__5_SPREADS:BRS_GOLD__3_OTHER_SPREADS:BRS_GOLD__1_MTG,TBA_ALL,PAYUP,NONAGENCY,MORT_IDIO,CRT,CRT_SP_RISK:BRS_GOLD__1_MTG-BASIS:USD_PO_C_ITM50521SLN2</v>
          </cell>
          <cell r="D3880" t="str">
            <v>Spread Duration</v>
          </cell>
          <cell r="E3880" t="str">
            <v>Spread Yield</v>
          </cell>
          <cell r="F3880" t="str">
            <v>Alternative</v>
          </cell>
          <cell r="G3880" t="str">
            <v>Other</v>
          </cell>
          <cell r="H3880" t="str">
            <v>ALTS</v>
          </cell>
          <cell r="I3880" t="str">
            <v>Mortgage - Moneyness</v>
          </cell>
        </row>
        <row r="3881">
          <cell r="A3881" t="str">
            <v>USD_PO_C_OTM520SLN2</v>
          </cell>
          <cell r="B3881" t="str">
            <v>PO OTM v520SLN2</v>
          </cell>
          <cell r="C3881" t="str">
            <v>BRS_GOLD__5_SPREADS:BRS_GOLD__3_OTHER_SPREADS:BRS_GOLD__1_MTG,TBA_ALL,PAYUP,NONAGENCY,MORT_IDIO,CRT,CRT_SP_RISK:BRS_GOLD__1_MTG-BASIS:USD_PO_C_OTM520SLN2</v>
          </cell>
          <cell r="D3881" t="str">
            <v>Spread Duration</v>
          </cell>
          <cell r="E3881" t="str">
            <v>Spread Yield</v>
          </cell>
          <cell r="F3881" t="str">
            <v>Alternative</v>
          </cell>
          <cell r="G3881" t="str">
            <v>Other</v>
          </cell>
          <cell r="H3881" t="str">
            <v>ALTS</v>
          </cell>
          <cell r="I3881" t="str">
            <v>Mortgage - Moneyness</v>
          </cell>
        </row>
        <row r="3882">
          <cell r="A3882" t="str">
            <v>USD_PO_C_OTM521HW2</v>
          </cell>
          <cell r="B3882" t="str">
            <v>PO OTM v521HW2</v>
          </cell>
          <cell r="C3882" t="str">
            <v>BRS_GOLD__5_SPREADS:BRS_GOLD__3_OTHER_SPREADS:BRS_GOLD__1_MTG,TBA_ALL,PAYUP,NONAGENCY,MORT_IDIO,CRT,CRT_SP_RISK:BRS_GOLD__1_MTG-BASIS:USD_PO_C_OTM521HW2</v>
          </cell>
          <cell r="D3882" t="str">
            <v>Spread Duration</v>
          </cell>
          <cell r="E3882" t="str">
            <v>Spread Yield</v>
          </cell>
          <cell r="F3882" t="str">
            <v>Alternative</v>
          </cell>
          <cell r="G3882" t="str">
            <v>Other</v>
          </cell>
          <cell r="H3882" t="str">
            <v>ALTS</v>
          </cell>
          <cell r="I3882" t="str">
            <v>Mortgage - Moneyness</v>
          </cell>
        </row>
        <row r="3883">
          <cell r="A3883" t="str">
            <v>USD_PO_C_OTM521SLN2</v>
          </cell>
          <cell r="B3883" t="str">
            <v>PO OTM v521SLN2</v>
          </cell>
          <cell r="C3883" t="str">
            <v>BRS_GOLD__5_SPREADS:BRS_GOLD__3_OTHER_SPREADS:BRS_GOLD__1_MTG,TBA_ALL,PAYUP,NONAGENCY,MORT_IDIO,CRT,CRT_SP_RISK:BRS_GOLD__1_MTG-BASIS:USD_PO_C_OTM521SLN2</v>
          </cell>
          <cell r="D3883" t="str">
            <v>Spread Duration</v>
          </cell>
          <cell r="E3883" t="str">
            <v>Spread Yield</v>
          </cell>
          <cell r="F3883" t="str">
            <v>Alternative</v>
          </cell>
          <cell r="G3883" t="str">
            <v>Other</v>
          </cell>
          <cell r="H3883" t="str">
            <v>ALTS</v>
          </cell>
          <cell r="I3883" t="str">
            <v>Mortgage - Moneyness</v>
          </cell>
        </row>
        <row r="3884">
          <cell r="A3884" t="str">
            <v>USD_WL_CMO_N520SLN2</v>
          </cell>
          <cell r="B3884" t="str">
            <v>WL CMO v520SLN2</v>
          </cell>
          <cell r="C3884" t="str">
            <v>BRS_GOLD__5_SPREADS:BRS_GOLD__3_OTHER_SPREADS:BRS_GOLD__1_MTG,TBA_ALL,PAYUP,NONAGENCY,MORT_IDIO,CRT,CRT_SP_RISK:BRS_GOLD__1_MTG-BASIS:USD_WL_CMO_N520SLN2</v>
          </cell>
          <cell r="D3884" t="str">
            <v>Spread Duration</v>
          </cell>
          <cell r="E3884" t="str">
            <v>Spread Yield</v>
          </cell>
          <cell r="F3884" t="str">
            <v>Alternative</v>
          </cell>
          <cell r="G3884" t="str">
            <v>Other</v>
          </cell>
          <cell r="H3884" t="str">
            <v>ALTS</v>
          </cell>
          <cell r="I3884" t="str">
            <v>Mortgage - Moneyness</v>
          </cell>
        </row>
        <row r="3885">
          <cell r="A3885" t="str">
            <v>USD_WL_CMO_N521HW2</v>
          </cell>
          <cell r="B3885" t="str">
            <v>WL CMO v521HW2</v>
          </cell>
          <cell r="C3885" t="str">
            <v>BRS_GOLD__5_SPREADS:BRS_GOLD__3_OTHER_SPREADS:BRS_GOLD__1_MTG,TBA_ALL,PAYUP,NONAGENCY,MORT_IDIO,CRT,CRT_SP_RISK:BRS_GOLD__1_MTG-BASIS:USD_WL_CMO_N521HW2</v>
          </cell>
          <cell r="D3885" t="str">
            <v>Spread Duration</v>
          </cell>
          <cell r="E3885" t="str">
            <v>Spread Yield</v>
          </cell>
          <cell r="F3885" t="str">
            <v>Alternative</v>
          </cell>
          <cell r="G3885" t="str">
            <v>Other</v>
          </cell>
          <cell r="H3885" t="str">
            <v>ALTS</v>
          </cell>
          <cell r="I3885" t="str">
            <v>Mortgage - Moneyness</v>
          </cell>
        </row>
        <row r="3886">
          <cell r="A3886" t="str">
            <v>USD_WL_CMO_N521SLN2</v>
          </cell>
          <cell r="B3886" t="str">
            <v>WL CMO v521SLN2</v>
          </cell>
          <cell r="C3886" t="str">
            <v>BRS_GOLD__5_SPREADS:BRS_GOLD__3_OTHER_SPREADS:BRS_GOLD__1_MTG,TBA_ALL,PAYUP,NONAGENCY,MORT_IDIO,CRT,CRT_SP_RISK:BRS_GOLD__1_MTG-BASIS:USD_WL_CMO_N521SLN2</v>
          </cell>
          <cell r="D3886" t="str">
            <v>Spread Duration</v>
          </cell>
          <cell r="E3886" t="str">
            <v>Spread Yield</v>
          </cell>
          <cell r="F3886" t="str">
            <v>Alternative</v>
          </cell>
          <cell r="G3886" t="str">
            <v>Other</v>
          </cell>
          <cell r="H3886" t="str">
            <v>ALTS</v>
          </cell>
          <cell r="I3886" t="str">
            <v>Mortgage - Moneyness</v>
          </cell>
        </row>
        <row r="3887">
          <cell r="A3887" t="str">
            <v>ALL_mbs_CMO_N520SLN2</v>
          </cell>
          <cell r="B3887" t="str">
            <v>Non$ CMO v520SLN2</v>
          </cell>
          <cell r="C3887" t="str">
            <v>BRS_GOLD__5_SPREADS:BRS_GOLD__3_OTHER_SPREADS:BRS_GOLD__1_MTG,TBA_ALL,PAYUP,NONAGENCY,MORT_IDIO,CRT,CRT_SP_RISK:BRS_GOLD__1_MTG-BASIS:ALL_mbs_CMO_N520SLN2</v>
          </cell>
          <cell r="D3887" t="str">
            <v>Spread Duration</v>
          </cell>
          <cell r="E3887" t="str">
            <v>Spread Yield</v>
          </cell>
          <cell r="F3887" t="str">
            <v>Alternative</v>
          </cell>
          <cell r="G3887" t="str">
            <v>Other</v>
          </cell>
          <cell r="H3887" t="str">
            <v>ALTS</v>
          </cell>
          <cell r="I3887" t="str">
            <v>Mortgage - Moneyness</v>
          </cell>
        </row>
        <row r="3888">
          <cell r="A3888" t="str">
            <v>ALL_mbs_CMO_N521HW2</v>
          </cell>
          <cell r="B3888" t="str">
            <v>Non$ CMO v521HW2</v>
          </cell>
          <cell r="C3888" t="str">
            <v>BRS_GOLD__5_SPREADS:BRS_GOLD__3_OTHER_SPREADS:BRS_GOLD__1_MTG,TBA_ALL,PAYUP,NONAGENCY,MORT_IDIO,CRT,CRT_SP_RISK:BRS_GOLD__1_MTG-BASIS:ALL_mbs_CMO_N521HW2</v>
          </cell>
          <cell r="D3888" t="str">
            <v>Spread Duration</v>
          </cell>
          <cell r="E3888" t="str">
            <v>Spread Yield</v>
          </cell>
          <cell r="F3888" t="str">
            <v>Alternative</v>
          </cell>
          <cell r="G3888" t="str">
            <v>Other</v>
          </cell>
          <cell r="H3888" t="str">
            <v>ALTS</v>
          </cell>
          <cell r="I3888" t="str">
            <v>Mortgage - Moneyness</v>
          </cell>
        </row>
        <row r="3889">
          <cell r="A3889" t="str">
            <v>ALL_mbs_CMO_N521SLN2</v>
          </cell>
          <cell r="B3889" t="str">
            <v>Non$ CMO v521SLN2</v>
          </cell>
          <cell r="C3889" t="str">
            <v>BRS_GOLD__5_SPREADS:BRS_GOLD__3_OTHER_SPREADS:BRS_GOLD__1_MTG,TBA_ALL,PAYUP,NONAGENCY,MORT_IDIO,CRT,CRT_SP_RISK:BRS_GOLD__1_MTG-BASIS:ALL_mbs_CMO_N521SLN2</v>
          </cell>
          <cell r="D3889" t="str">
            <v>Spread Duration</v>
          </cell>
          <cell r="E3889" t="str">
            <v>Spread Yield</v>
          </cell>
          <cell r="F3889" t="str">
            <v>Alternative</v>
          </cell>
          <cell r="G3889" t="str">
            <v>Other</v>
          </cell>
          <cell r="H3889" t="str">
            <v>ALTS</v>
          </cell>
          <cell r="I3889" t="str">
            <v>Mortgage - Moneyness</v>
          </cell>
        </row>
        <row r="3890">
          <cell r="A3890" t="str">
            <v>ALL_WL_CMO_N520SLN2</v>
          </cell>
          <cell r="B3890" t="str">
            <v>Non$ WL CMO v520SLN2</v>
          </cell>
          <cell r="C3890" t="str">
            <v>BRS_GOLD__5_SPREADS:BRS_GOLD__3_OTHER_SPREADS:BRS_GOLD__1_MTG,TBA_ALL,PAYUP,NONAGENCY,MORT_IDIO,CRT,CRT_SP_RISK:BRS_GOLD__1_MTG-BASIS:ALL_WL_CMO_N520SLN2</v>
          </cell>
          <cell r="D3890" t="str">
            <v>Spread Duration</v>
          </cell>
          <cell r="E3890" t="str">
            <v>Spread Yield</v>
          </cell>
          <cell r="F3890" t="str">
            <v>Alternative</v>
          </cell>
          <cell r="G3890" t="str">
            <v>Other</v>
          </cell>
          <cell r="H3890" t="str">
            <v>ALTS</v>
          </cell>
          <cell r="I3890" t="str">
            <v>Mortgage - Moneyness</v>
          </cell>
        </row>
        <row r="3891">
          <cell r="A3891" t="str">
            <v>ALL_WL_CMO_N521HW2</v>
          </cell>
          <cell r="B3891" t="str">
            <v>Non$ WL CMO v521HW2</v>
          </cell>
          <cell r="C3891" t="str">
            <v>BRS_GOLD__5_SPREADS:BRS_GOLD__3_OTHER_SPREADS:BRS_GOLD__1_MTG,TBA_ALL,PAYUP,NONAGENCY,MORT_IDIO,CRT,CRT_SP_RISK:BRS_GOLD__1_MTG-BASIS:ALL_WL_CMO_N521HW2</v>
          </cell>
          <cell r="D3891" t="str">
            <v>Spread Duration</v>
          </cell>
          <cell r="E3891" t="str">
            <v>Spread Yield</v>
          </cell>
          <cell r="F3891" t="str">
            <v>Alternative</v>
          </cell>
          <cell r="G3891" t="str">
            <v>Other</v>
          </cell>
          <cell r="H3891" t="str">
            <v>ALTS</v>
          </cell>
          <cell r="I3891" t="str">
            <v>Mortgage - Moneyness</v>
          </cell>
        </row>
        <row r="3892">
          <cell r="A3892" t="str">
            <v>ALL_WL_CMO_N521SLN2</v>
          </cell>
          <cell r="B3892" t="str">
            <v>Non$ WL CMO v521SLN2</v>
          </cell>
          <cell r="C3892" t="str">
            <v>BRS_GOLD__5_SPREADS:BRS_GOLD__3_OTHER_SPREADS:BRS_GOLD__1_MTG,TBA_ALL,PAYUP,NONAGENCY,MORT_IDIO,CRT,CRT_SP_RISK:BRS_GOLD__1_MTG-BASIS:ALL_WL_CMO_N521SLN2</v>
          </cell>
          <cell r="D3892" t="str">
            <v>Spread Duration</v>
          </cell>
          <cell r="E3892" t="str">
            <v>Spread Yield</v>
          </cell>
          <cell r="F3892" t="str">
            <v>Alternative</v>
          </cell>
          <cell r="G3892" t="str">
            <v>Other</v>
          </cell>
          <cell r="H3892" t="str">
            <v>ALTS</v>
          </cell>
          <cell r="I3892" t="str">
            <v>Mortgage - Moneyness</v>
          </cell>
        </row>
        <row r="3893">
          <cell r="A3893" t="str">
            <v>USD_IO_C_OTM</v>
          </cell>
          <cell r="B3893" t="str">
            <v>IO OTM</v>
          </cell>
          <cell r="C3893" t="str">
            <v>BRS_GOLD__5_SPREADS:BRS_GOLD__3_OTHER_SPREADS:BRS_GOLD__1_MTG,TBA_ALL,PAYUP,NONAGENCY,MORT_IDIO,CRT,CRT_SP_RISK:BRS_GOLD__1_MTG-BASIS:USD_IO_C_OTM</v>
          </cell>
          <cell r="D3893" t="str">
            <v>Spread Duration</v>
          </cell>
          <cell r="E3893" t="str">
            <v>Spread Yield</v>
          </cell>
          <cell r="F3893" t="str">
            <v>Alternative</v>
          </cell>
          <cell r="G3893" t="str">
            <v>Other</v>
          </cell>
          <cell r="H3893" t="str">
            <v>ALTS</v>
          </cell>
          <cell r="I3893" t="str">
            <v>Mortgage - Moneyness</v>
          </cell>
        </row>
        <row r="3894">
          <cell r="A3894" t="str">
            <v>USD_IO_C_ATM</v>
          </cell>
          <cell r="B3894" t="str">
            <v>IO ATM</v>
          </cell>
          <cell r="C3894" t="str">
            <v>BRS_GOLD__5_SPREADS:BRS_GOLD__3_OTHER_SPREADS:BRS_GOLD__1_MTG,TBA_ALL,PAYUP,NONAGENCY,MORT_IDIO,CRT,CRT_SP_RISK:BRS_GOLD__1_MTG-BASIS:USD_IO_C_ATM</v>
          </cell>
          <cell r="D3894" t="str">
            <v>Spread Duration</v>
          </cell>
          <cell r="E3894" t="str">
            <v>Spread Yield</v>
          </cell>
          <cell r="F3894" t="str">
            <v>Alternative</v>
          </cell>
          <cell r="G3894" t="str">
            <v>Other</v>
          </cell>
          <cell r="H3894" t="str">
            <v>ALTS</v>
          </cell>
          <cell r="I3894" t="str">
            <v>Mortgage - Moneyness</v>
          </cell>
        </row>
        <row r="3895">
          <cell r="A3895" t="str">
            <v>USD_IO_C_ITM50</v>
          </cell>
          <cell r="B3895" t="str">
            <v>IO ITM</v>
          </cell>
          <cell r="C3895" t="str">
            <v>BRS_GOLD__5_SPREADS:BRS_GOLD__3_OTHER_SPREADS:BRS_GOLD__1_MTG,TBA_ALL,PAYUP,NONAGENCY,MORT_IDIO,CRT,CRT_SP_RISK:BRS_GOLD__1_MTG-BASIS:USD_IO_C_ITM50</v>
          </cell>
          <cell r="D3895" t="str">
            <v>Spread Duration</v>
          </cell>
          <cell r="E3895" t="str">
            <v>Spread Yield</v>
          </cell>
          <cell r="F3895" t="str">
            <v>Alternative</v>
          </cell>
          <cell r="G3895" t="str">
            <v>Other</v>
          </cell>
          <cell r="H3895" t="str">
            <v>ALTS</v>
          </cell>
          <cell r="I3895" t="str">
            <v>Mortgage - Moneyness</v>
          </cell>
        </row>
        <row r="3896">
          <cell r="A3896" t="str">
            <v>USD_PO_C_OTM</v>
          </cell>
          <cell r="B3896" t="str">
            <v>PO OTM</v>
          </cell>
          <cell r="C3896" t="str">
            <v>BRS_GOLD__5_SPREADS:BRS_GOLD__3_OTHER_SPREADS:BRS_GOLD__1_MTG,TBA_ALL,PAYUP,NONAGENCY,MORT_IDIO,CRT,CRT_SP_RISK:BRS_GOLD__1_MTG-BASIS:USD_PO_C_OTM</v>
          </cell>
          <cell r="D3896" t="str">
            <v>Spread Duration</v>
          </cell>
          <cell r="E3896" t="str">
            <v>Spread Yield</v>
          </cell>
          <cell r="F3896" t="str">
            <v>Alternative</v>
          </cell>
          <cell r="G3896" t="str">
            <v>Other</v>
          </cell>
          <cell r="H3896" t="str">
            <v>ALTS</v>
          </cell>
          <cell r="I3896" t="str">
            <v>Mortgage - Moneyness</v>
          </cell>
        </row>
        <row r="3897">
          <cell r="A3897" t="str">
            <v>USD_PO_C_ATM</v>
          </cell>
          <cell r="B3897" t="str">
            <v>PO ATM</v>
          </cell>
          <cell r="C3897" t="str">
            <v>BRS_GOLD__5_SPREADS:BRS_GOLD__3_OTHER_SPREADS:BRS_GOLD__1_MTG,TBA_ALL,PAYUP,NONAGENCY,MORT_IDIO,CRT,CRT_SP_RISK:BRS_GOLD__1_MTG-BASIS:USD_PO_C_ATM</v>
          </cell>
          <cell r="D3897" t="str">
            <v>Spread Duration</v>
          </cell>
          <cell r="E3897" t="str">
            <v>Spread Yield</v>
          </cell>
          <cell r="F3897" t="str">
            <v>Alternative</v>
          </cell>
          <cell r="G3897" t="str">
            <v>Other</v>
          </cell>
          <cell r="H3897" t="str">
            <v>ALTS</v>
          </cell>
          <cell r="I3897" t="str">
            <v>Mortgage - Moneyness</v>
          </cell>
        </row>
        <row r="3898">
          <cell r="A3898" t="str">
            <v>USD_PO_C_ITM50</v>
          </cell>
          <cell r="B3898" t="str">
            <v>PO ITM</v>
          </cell>
          <cell r="C3898" t="str">
            <v>BRS_GOLD__5_SPREADS:BRS_GOLD__3_OTHER_SPREADS:BRS_GOLD__1_MTG,TBA_ALL,PAYUP,NONAGENCY,MORT_IDIO,CRT,CRT_SP_RISK:BRS_GOLD__1_MTG-BASIS:USD_PO_C_ITM50</v>
          </cell>
          <cell r="D3898" t="str">
            <v>Spread Duration</v>
          </cell>
          <cell r="E3898" t="str">
            <v>Spread Yield</v>
          </cell>
          <cell r="F3898" t="str">
            <v>Alternative</v>
          </cell>
          <cell r="G3898" t="str">
            <v>Other</v>
          </cell>
          <cell r="H3898" t="str">
            <v>ALTS</v>
          </cell>
          <cell r="I3898" t="str">
            <v>Mortgage - Moneyness</v>
          </cell>
        </row>
        <row r="3899">
          <cell r="A3899" t="str">
            <v>ALL_WL_CMO_N530SLN2</v>
          </cell>
          <cell r="B3899" t="str">
            <v>Non$ WL CMO v530SLN2</v>
          </cell>
          <cell r="C3899" t="str">
            <v>BRS_GOLD__5_SPREADS:BRS_GOLD__3_OTHER_SPREADS:BRS_GOLD__1_MTG,TBA_ALL,PAYUP,NONAGENCY,MORT_IDIO,CRT,CRT_SP_RISK:BRS_GOLD__1_MTG-BASIS:ALL_WL_CMO_N530SLN2</v>
          </cell>
          <cell r="D3899" t="str">
            <v>Spread Duration</v>
          </cell>
          <cell r="E3899" t="str">
            <v>Spread Yield</v>
          </cell>
          <cell r="F3899" t="str">
            <v>Alternative</v>
          </cell>
          <cell r="G3899" t="str">
            <v>Other</v>
          </cell>
          <cell r="H3899" t="str">
            <v>ALTS</v>
          </cell>
          <cell r="I3899" t="str">
            <v>Mortgage - Moneyness</v>
          </cell>
        </row>
        <row r="3900">
          <cell r="A3900" t="str">
            <v>ALL_mbs_CMO_N530SLN2</v>
          </cell>
          <cell r="B3900" t="str">
            <v>Non$ CMO v530SLN2</v>
          </cell>
          <cell r="C3900" t="str">
            <v>BRS_GOLD__5_SPREADS:BRS_GOLD__3_OTHER_SPREADS:BRS_GOLD__1_MTG,TBA_ALL,PAYUP,NONAGENCY,MORT_IDIO,CRT,CRT_SP_RISK:BRS_GOLD__1_MTG-BASIS:ALL_mbs_CMO_N530SLN2</v>
          </cell>
          <cell r="D3900" t="str">
            <v>Spread Duration</v>
          </cell>
          <cell r="E3900" t="str">
            <v>Spread Yield</v>
          </cell>
          <cell r="F3900" t="str">
            <v>Alternative</v>
          </cell>
          <cell r="G3900" t="str">
            <v>Other</v>
          </cell>
          <cell r="H3900" t="str">
            <v>ALTS</v>
          </cell>
          <cell r="I3900" t="str">
            <v>Mortgage - Moneyness</v>
          </cell>
        </row>
        <row r="3901">
          <cell r="A3901" t="str">
            <v>USD_IO_C_ATM530SLN2</v>
          </cell>
          <cell r="B3901" t="str">
            <v>IO ATM v530SLN2</v>
          </cell>
          <cell r="C3901" t="str">
            <v>BRS_GOLD__5_SPREADS:BRS_GOLD__3_OTHER_SPREADS:BRS_GOLD__1_MTG,TBA_ALL,PAYUP,NONAGENCY,MORT_IDIO,CRT,CRT_SP_RISK:BRS_GOLD__1_MTG-BASIS:USD_IO_C_ATM530SLN2</v>
          </cell>
          <cell r="D3901" t="str">
            <v>Spread Duration</v>
          </cell>
          <cell r="E3901" t="str">
            <v>Spread Yield</v>
          </cell>
          <cell r="F3901" t="str">
            <v>Alternative</v>
          </cell>
          <cell r="G3901" t="str">
            <v>Other</v>
          </cell>
          <cell r="H3901" t="str">
            <v>ALTS</v>
          </cell>
          <cell r="I3901" t="str">
            <v>Mortgage - Moneyness</v>
          </cell>
        </row>
        <row r="3902">
          <cell r="A3902" t="str">
            <v>USD_IO_C_ITM50530SLN2</v>
          </cell>
          <cell r="B3902" t="str">
            <v>IO ITM v530SLN2</v>
          </cell>
          <cell r="C3902" t="str">
            <v>BRS_GOLD__5_SPREADS:BRS_GOLD__3_OTHER_SPREADS:BRS_GOLD__1_MTG,TBA_ALL,PAYUP,NONAGENCY,MORT_IDIO,CRT,CRT_SP_RISK:BRS_GOLD__1_MTG-BASIS:USD_IO_C_ITM50530SLN2</v>
          </cell>
          <cell r="D3902" t="str">
            <v>Spread Duration</v>
          </cell>
          <cell r="E3902" t="str">
            <v>Spread Yield</v>
          </cell>
          <cell r="F3902" t="str">
            <v>Alternative</v>
          </cell>
          <cell r="G3902" t="str">
            <v>Other</v>
          </cell>
          <cell r="H3902" t="str">
            <v>ALTS</v>
          </cell>
          <cell r="I3902" t="str">
            <v>Mortgage - Moneyness</v>
          </cell>
        </row>
        <row r="3903">
          <cell r="A3903" t="str">
            <v>USD_IO_C_OTM530SLN2</v>
          </cell>
          <cell r="B3903" t="str">
            <v>IO OTM v530SLN2</v>
          </cell>
          <cell r="C3903" t="str">
            <v>BRS_GOLD__5_SPREADS:BRS_GOLD__3_OTHER_SPREADS:BRS_GOLD__1_MTG,TBA_ALL,PAYUP,NONAGENCY,MORT_IDIO,CRT,CRT_SP_RISK:BRS_GOLD__1_MTG-BASIS:USD_IO_C_OTM530SLN2</v>
          </cell>
          <cell r="D3903" t="str">
            <v>Spread Duration</v>
          </cell>
          <cell r="E3903" t="str">
            <v>Spread Yield</v>
          </cell>
          <cell r="F3903" t="str">
            <v>Alternative</v>
          </cell>
          <cell r="G3903" t="str">
            <v>Other</v>
          </cell>
          <cell r="H3903" t="str">
            <v>ALTS</v>
          </cell>
          <cell r="I3903" t="str">
            <v>Mortgage - Moneyness</v>
          </cell>
        </row>
        <row r="3904">
          <cell r="A3904" t="str">
            <v>USD_MSR_ARM530SLN2</v>
          </cell>
          <cell r="B3904" t="str">
            <v>ARM Mtg Serv Right v530SLN2</v>
          </cell>
          <cell r="C3904" t="str">
            <v>BRS_GOLD__5_SPREADS:BRS_GOLD__3_OTHER_SPREADS:BRS_GOLD__1_MTG,TBA_ALL,PAYUP,NONAGENCY,MORT_IDIO,CRT,CRT_SP_RISK:BRS_GOLD__1_MTG-BASIS:USD_MSR_ARM530SLN2</v>
          </cell>
          <cell r="D3904" t="str">
            <v>Spread Duration</v>
          </cell>
          <cell r="E3904" t="str">
            <v>Spread Yield</v>
          </cell>
          <cell r="F3904" t="str">
            <v>Alternative</v>
          </cell>
          <cell r="G3904" t="str">
            <v>Other</v>
          </cell>
          <cell r="H3904" t="str">
            <v>ALTS</v>
          </cell>
          <cell r="I3904" t="str">
            <v>Mortgage - Moneyness</v>
          </cell>
        </row>
        <row r="3905">
          <cell r="A3905" t="str">
            <v>USD_MSR_MBS530SLN2</v>
          </cell>
          <cell r="B3905" t="str">
            <v>MBS Mtg Serv Right v530SLN2</v>
          </cell>
          <cell r="C3905" t="str">
            <v>BRS_GOLD__5_SPREADS:BRS_GOLD__3_OTHER_SPREADS:BRS_GOLD__1_MTG,TBA_ALL,PAYUP,NONAGENCY,MORT_IDIO,CRT,CRT_SP_RISK:BRS_GOLD__1_MTG-BASIS:USD_MSR_MBS530SLN2</v>
          </cell>
          <cell r="D3905" t="str">
            <v>Spread Duration</v>
          </cell>
          <cell r="E3905" t="str">
            <v>Spread Yield</v>
          </cell>
          <cell r="F3905" t="str">
            <v>Alternative</v>
          </cell>
          <cell r="G3905" t="str">
            <v>Other</v>
          </cell>
          <cell r="H3905" t="str">
            <v>ALTS</v>
          </cell>
          <cell r="I3905" t="str">
            <v>Mortgage - Moneyness</v>
          </cell>
        </row>
        <row r="3906">
          <cell r="A3906" t="str">
            <v>USD_PO_C_ATM530SLN2</v>
          </cell>
          <cell r="B3906" t="str">
            <v>PO ATM v530SLN2</v>
          </cell>
          <cell r="C3906" t="str">
            <v>BRS_GOLD__5_SPREADS:BRS_GOLD__3_OTHER_SPREADS:BRS_GOLD__1_MTG,TBA_ALL,PAYUP,NONAGENCY,MORT_IDIO,CRT,CRT_SP_RISK:BRS_GOLD__1_MTG-BASIS:USD_PO_C_ATM530SLN2</v>
          </cell>
          <cell r="D3906" t="str">
            <v>Spread Duration</v>
          </cell>
          <cell r="E3906" t="str">
            <v>Spread Yield</v>
          </cell>
          <cell r="F3906" t="str">
            <v>Alternative</v>
          </cell>
          <cell r="G3906" t="str">
            <v>Other</v>
          </cell>
          <cell r="H3906" t="str">
            <v>ALTS</v>
          </cell>
          <cell r="I3906" t="str">
            <v>Mortgage - Moneyness</v>
          </cell>
        </row>
        <row r="3907">
          <cell r="A3907" t="str">
            <v>USD_PO_C_ITM50530SLN2</v>
          </cell>
          <cell r="B3907" t="str">
            <v>PO ITM v530SLN2</v>
          </cell>
          <cell r="C3907" t="str">
            <v>BRS_GOLD__5_SPREADS:BRS_GOLD__3_OTHER_SPREADS:BRS_GOLD__1_MTG,TBA_ALL,PAYUP,NONAGENCY,MORT_IDIO,CRT,CRT_SP_RISK:BRS_GOLD__1_MTG-BASIS:USD_PO_C_ITM50530SLN2</v>
          </cell>
          <cell r="D3907" t="str">
            <v>Spread Duration</v>
          </cell>
          <cell r="E3907" t="str">
            <v>Spread Yield</v>
          </cell>
          <cell r="F3907" t="str">
            <v>Alternative</v>
          </cell>
          <cell r="G3907" t="str">
            <v>Other</v>
          </cell>
          <cell r="H3907" t="str">
            <v>ALTS</v>
          </cell>
          <cell r="I3907" t="str">
            <v>Mortgage - Moneyness</v>
          </cell>
        </row>
        <row r="3908">
          <cell r="A3908" t="str">
            <v>USD_PO_C_OTM530SLN2</v>
          </cell>
          <cell r="B3908" t="str">
            <v>PO OTM v530SLN2</v>
          </cell>
          <cell r="C3908" t="str">
            <v>BRS_GOLD__5_SPREADS:BRS_GOLD__3_OTHER_SPREADS:BRS_GOLD__1_MTG,TBA_ALL,PAYUP,NONAGENCY,MORT_IDIO,CRT,CRT_SP_RISK:BRS_GOLD__1_MTG-BASIS:USD_PO_C_OTM530SLN2</v>
          </cell>
          <cell r="D3908" t="str">
            <v>Spread Duration</v>
          </cell>
          <cell r="E3908" t="str">
            <v>Spread Yield</v>
          </cell>
          <cell r="F3908" t="str">
            <v>Alternative</v>
          </cell>
          <cell r="G3908" t="str">
            <v>Other</v>
          </cell>
          <cell r="H3908" t="str">
            <v>ALTS</v>
          </cell>
          <cell r="I3908" t="str">
            <v>Mortgage - Moneyness</v>
          </cell>
        </row>
        <row r="3909">
          <cell r="A3909" t="str">
            <v>USD_WL_CMO_N530SLN2</v>
          </cell>
          <cell r="B3909" t="str">
            <v>WL CMO v530SLN2</v>
          </cell>
          <cell r="C3909" t="str">
            <v>BRS_GOLD__5_SPREADS:BRS_GOLD__3_OTHER_SPREADS:BRS_GOLD__1_MTG,TBA_ALL,PAYUP,NONAGENCY,MORT_IDIO,CRT,CRT_SP_RISK:BRS_GOLD__1_MTG-BASIS:USD_WL_CMO_N530SLN2</v>
          </cell>
          <cell r="D3909" t="str">
            <v>Spread Duration</v>
          </cell>
          <cell r="E3909" t="str">
            <v>Spread Yield</v>
          </cell>
          <cell r="F3909" t="str">
            <v>Alternative</v>
          </cell>
          <cell r="G3909" t="str">
            <v>Other</v>
          </cell>
          <cell r="H3909" t="str">
            <v>ALTS</v>
          </cell>
          <cell r="I3909" t="str">
            <v>Mortgage - Moneyness</v>
          </cell>
        </row>
        <row r="3910">
          <cell r="A3910" t="str">
            <v>USD_mbs_CMO_N530SLN2</v>
          </cell>
          <cell r="B3910" t="str">
            <v>CMO v530SLN2</v>
          </cell>
          <cell r="C3910" t="str">
            <v>BRS_GOLD__5_SPREADS:BRS_GOLD__3_OTHER_SPREADS:BRS_GOLD__1_MTG,TBA_ALL,PAYUP,NONAGENCY,MORT_IDIO,CRT,CRT_SP_RISK:BRS_GOLD__1_MTG-BASIS:USD_mbs_CMO_N530SLN2</v>
          </cell>
          <cell r="D3910" t="str">
            <v>Spread Duration</v>
          </cell>
          <cell r="E3910" t="str">
            <v>Spread Yield</v>
          </cell>
          <cell r="F3910" t="str">
            <v>Alternative</v>
          </cell>
          <cell r="G3910" t="str">
            <v>Other</v>
          </cell>
          <cell r="H3910" t="str">
            <v>ALTS</v>
          </cell>
          <cell r="I3910" t="str">
            <v>Mortgage - Moneyness</v>
          </cell>
        </row>
        <row r="3911">
          <cell r="A3911" t="str">
            <v>USD_mbs_PAC_N530SLN2</v>
          </cell>
          <cell r="B3911" t="str">
            <v>CMO PAC v530SLN2</v>
          </cell>
          <cell r="C3911" t="str">
            <v>BRS_GOLD__5_SPREADS:BRS_GOLD__3_OTHER_SPREADS:BRS_GOLD__1_MTG,TBA_ALL,PAYUP,NONAGENCY,MORT_IDIO,CRT,CRT_SP_RISK:BRS_GOLD__1_MTG-BASIS:USD_mbs_PAC_N530SLN2</v>
          </cell>
          <cell r="D3911" t="str">
            <v>Spread Duration</v>
          </cell>
          <cell r="E3911" t="str">
            <v>Spread Yield</v>
          </cell>
          <cell r="F3911" t="str">
            <v>Alternative</v>
          </cell>
          <cell r="G3911" t="str">
            <v>Other</v>
          </cell>
          <cell r="H3911" t="str">
            <v>ALTS</v>
          </cell>
          <cell r="I3911" t="str">
            <v>Mortgage - Moneyness</v>
          </cell>
        </row>
        <row r="3912">
          <cell r="A3912" t="str">
            <v>ALL_WL_CMO_N540SLN2</v>
          </cell>
          <cell r="B3912" t="str">
            <v>Non$ WL CMO v540SLN2</v>
          </cell>
          <cell r="C3912" t="str">
            <v>BRS_GOLD__5_SPREADS:BRS_GOLD__3_OTHER_SPREADS:BRS_GOLD__1_MTG,TBA_ALL,PAYUP,NONAGENCY,MORT_IDIO,CRT,CRT_SP_RISK:BRS_GOLD__1_MTG-BASIS:ALL_WL_CMO_N540SLN2</v>
          </cell>
          <cell r="D3912" t="str">
            <v>Spread Duration</v>
          </cell>
          <cell r="E3912" t="str">
            <v>Spread Yield</v>
          </cell>
          <cell r="F3912" t="str">
            <v>Alternative</v>
          </cell>
          <cell r="G3912" t="str">
            <v>Other</v>
          </cell>
          <cell r="H3912" t="str">
            <v>ALTS</v>
          </cell>
          <cell r="I3912" t="str">
            <v>Mortgage - Moneyness</v>
          </cell>
        </row>
        <row r="3913">
          <cell r="A3913" t="str">
            <v>ALL_mbs_CMO_N540SLN2</v>
          </cell>
          <cell r="B3913" t="str">
            <v>Non$ CMO v540SLN2</v>
          </cell>
          <cell r="C3913" t="str">
            <v>BRS_GOLD__5_SPREADS:BRS_GOLD__3_OTHER_SPREADS:BRS_GOLD__1_MTG,TBA_ALL,PAYUP,NONAGENCY,MORT_IDIO,CRT,CRT_SP_RISK:BRS_GOLD__1_MTG-BASIS:ALL_mbs_CMO_N540SLN2</v>
          </cell>
          <cell r="D3913" t="str">
            <v>Spread Duration</v>
          </cell>
          <cell r="E3913" t="str">
            <v>Spread Yield</v>
          </cell>
          <cell r="F3913" t="str">
            <v>Alternative</v>
          </cell>
          <cell r="G3913" t="str">
            <v>Other</v>
          </cell>
          <cell r="H3913" t="str">
            <v>ALTS</v>
          </cell>
          <cell r="I3913" t="str">
            <v>Mortgage - Moneyness</v>
          </cell>
        </row>
        <row r="3914">
          <cell r="A3914" t="str">
            <v>USD_IO_C_ATM540SLN2</v>
          </cell>
          <cell r="B3914" t="str">
            <v>IO ATM v540SLN2</v>
          </cell>
          <cell r="C3914" t="str">
            <v>BRS_GOLD__5_SPREADS:BRS_GOLD__3_OTHER_SPREADS:BRS_GOLD__1_MTG,TBA_ALL,PAYUP,NONAGENCY,MORT_IDIO,CRT,CRT_SP_RISK:BRS_GOLD__1_MTG-BASIS:USD_IO_C_ATM540SLN2</v>
          </cell>
          <cell r="D3914" t="str">
            <v>Spread Duration</v>
          </cell>
          <cell r="E3914" t="str">
            <v>Spread Yield</v>
          </cell>
          <cell r="F3914" t="str">
            <v>Alternative</v>
          </cell>
          <cell r="G3914" t="str">
            <v>Other</v>
          </cell>
          <cell r="H3914" t="str">
            <v>ALTS</v>
          </cell>
          <cell r="I3914" t="str">
            <v>Mortgage - Moneyness</v>
          </cell>
        </row>
        <row r="3915">
          <cell r="A3915" t="str">
            <v>USD_IO_C_ITM50540SLN2</v>
          </cell>
          <cell r="B3915" t="str">
            <v>IO ITM v540SLN2</v>
          </cell>
          <cell r="C3915" t="str">
            <v>BRS_GOLD__5_SPREADS:BRS_GOLD__3_OTHER_SPREADS:BRS_GOLD__1_MTG,TBA_ALL,PAYUP,NONAGENCY,MORT_IDIO,CRT,CRT_SP_RISK:BRS_GOLD__1_MTG-BASIS:USD_IO_C_ITM50540SLN2</v>
          </cell>
          <cell r="D3915" t="str">
            <v>Spread Duration</v>
          </cell>
          <cell r="E3915" t="str">
            <v>Spread Yield</v>
          </cell>
          <cell r="F3915" t="str">
            <v>Alternative</v>
          </cell>
          <cell r="G3915" t="str">
            <v>Other</v>
          </cell>
          <cell r="H3915" t="str">
            <v>ALTS</v>
          </cell>
          <cell r="I3915" t="str">
            <v>Mortgage - Moneyness</v>
          </cell>
        </row>
        <row r="3916">
          <cell r="A3916" t="str">
            <v>USD_IO_C_OTM540SLN2</v>
          </cell>
          <cell r="B3916" t="str">
            <v>IO OTM v540SLN2</v>
          </cell>
          <cell r="C3916" t="str">
            <v>BRS_GOLD__5_SPREADS:BRS_GOLD__3_OTHER_SPREADS:BRS_GOLD__1_MTG,TBA_ALL,PAYUP,NONAGENCY,MORT_IDIO,CRT,CRT_SP_RISK:BRS_GOLD__1_MTG-BASIS:USD_IO_C_OTM540SLN2</v>
          </cell>
          <cell r="D3916" t="str">
            <v>Spread Duration</v>
          </cell>
          <cell r="E3916" t="str">
            <v>Spread Yield</v>
          </cell>
          <cell r="F3916" t="str">
            <v>Alternative</v>
          </cell>
          <cell r="G3916" t="str">
            <v>Other</v>
          </cell>
          <cell r="H3916" t="str">
            <v>ALTS</v>
          </cell>
          <cell r="I3916" t="str">
            <v>Mortgage - Moneyness</v>
          </cell>
        </row>
        <row r="3917">
          <cell r="A3917" t="str">
            <v>USD_MSR_ARM540SLN2</v>
          </cell>
          <cell r="B3917" t="str">
            <v>ARM Mtg Serv Right v540SLN2</v>
          </cell>
          <cell r="C3917" t="str">
            <v>BRS_GOLD__5_SPREADS:BRS_GOLD__3_OTHER_SPREADS:BRS_GOLD__1_MTG,TBA_ALL,PAYUP,NONAGENCY,MORT_IDIO,CRT,CRT_SP_RISK:BRS_GOLD__1_MTG-BASIS:USD_MSR_ARM540SLN2</v>
          </cell>
          <cell r="D3917" t="str">
            <v>Spread Duration</v>
          </cell>
          <cell r="E3917" t="str">
            <v>Spread Yield</v>
          </cell>
          <cell r="F3917" t="str">
            <v>Alternative</v>
          </cell>
          <cell r="G3917" t="str">
            <v>Other</v>
          </cell>
          <cell r="H3917" t="str">
            <v>ALTS</v>
          </cell>
          <cell r="I3917" t="str">
            <v>Mortgage - Moneyness</v>
          </cell>
        </row>
        <row r="3918">
          <cell r="A3918" t="str">
            <v>USD_MSR_MBS540SLN2</v>
          </cell>
          <cell r="B3918" t="str">
            <v>MBS Mtg Serv Right v540SLN2</v>
          </cell>
          <cell r="C3918" t="str">
            <v>BRS_GOLD__5_SPREADS:BRS_GOLD__3_OTHER_SPREADS:BRS_GOLD__1_MTG,TBA_ALL,PAYUP,NONAGENCY,MORT_IDIO,CRT,CRT_SP_RISK:BRS_GOLD__1_MTG-BASIS:USD_MSR_MBS540SLN2</v>
          </cell>
          <cell r="D3918" t="str">
            <v>Spread Duration</v>
          </cell>
          <cell r="E3918" t="str">
            <v>Spread Yield</v>
          </cell>
          <cell r="F3918" t="str">
            <v>Alternative</v>
          </cell>
          <cell r="G3918" t="str">
            <v>Other</v>
          </cell>
          <cell r="H3918" t="str">
            <v>ALTS</v>
          </cell>
          <cell r="I3918" t="str">
            <v>Mortgage - Moneyness</v>
          </cell>
        </row>
        <row r="3919">
          <cell r="A3919" t="str">
            <v>USD_PO_C_ATM540SLN2</v>
          </cell>
          <cell r="B3919" t="str">
            <v>PO ATM v540SLN2</v>
          </cell>
          <cell r="C3919" t="str">
            <v>BRS_GOLD__5_SPREADS:BRS_GOLD__3_OTHER_SPREADS:BRS_GOLD__1_MTG,TBA_ALL,PAYUP,NONAGENCY,MORT_IDIO,CRT,CRT_SP_RISK:BRS_GOLD__1_MTG-BASIS:USD_PO_C_ATM540SLN2</v>
          </cell>
          <cell r="D3919" t="str">
            <v>Spread Duration</v>
          </cell>
          <cell r="E3919" t="str">
            <v>Spread Yield</v>
          </cell>
          <cell r="F3919" t="str">
            <v>Alternative</v>
          </cell>
          <cell r="G3919" t="str">
            <v>Other</v>
          </cell>
          <cell r="H3919" t="str">
            <v>ALTS</v>
          </cell>
          <cell r="I3919" t="str">
            <v>Mortgage - Moneyness</v>
          </cell>
        </row>
        <row r="3920">
          <cell r="A3920" t="str">
            <v>USD_PO_C_ITM50540SLN2</v>
          </cell>
          <cell r="B3920" t="str">
            <v>PO ITM v540SLN2</v>
          </cell>
          <cell r="C3920" t="str">
            <v>BRS_GOLD__5_SPREADS:BRS_GOLD__3_OTHER_SPREADS:BRS_GOLD__1_MTG,TBA_ALL,PAYUP,NONAGENCY,MORT_IDIO,CRT,CRT_SP_RISK:BRS_GOLD__1_MTG-BASIS:USD_PO_C_ITM50540SLN2</v>
          </cell>
          <cell r="D3920" t="str">
            <v>Spread Duration</v>
          </cell>
          <cell r="E3920" t="str">
            <v>Spread Yield</v>
          </cell>
          <cell r="F3920" t="str">
            <v>Alternative</v>
          </cell>
          <cell r="G3920" t="str">
            <v>Other</v>
          </cell>
          <cell r="H3920" t="str">
            <v>ALTS</v>
          </cell>
          <cell r="I3920" t="str">
            <v>Mortgage - Moneyness</v>
          </cell>
        </row>
        <row r="3921">
          <cell r="A3921" t="str">
            <v>USD_PO_C_OTM540SLN2</v>
          </cell>
          <cell r="B3921" t="str">
            <v>PO OTM v540SLN2</v>
          </cell>
          <cell r="C3921" t="str">
            <v>BRS_GOLD__5_SPREADS:BRS_GOLD__3_OTHER_SPREADS:BRS_GOLD__1_MTG,TBA_ALL,PAYUP,NONAGENCY,MORT_IDIO,CRT,CRT_SP_RISK:BRS_GOLD__1_MTG-BASIS:USD_PO_C_OTM540SLN2</v>
          </cell>
          <cell r="D3921" t="str">
            <v>Spread Duration</v>
          </cell>
          <cell r="E3921" t="str">
            <v>Spread Yield</v>
          </cell>
          <cell r="F3921" t="str">
            <v>Alternative</v>
          </cell>
          <cell r="G3921" t="str">
            <v>Other</v>
          </cell>
          <cell r="H3921" t="str">
            <v>ALTS</v>
          </cell>
          <cell r="I3921" t="str">
            <v>Mortgage - Moneyness</v>
          </cell>
        </row>
        <row r="3922">
          <cell r="A3922" t="str">
            <v>USD_WL_CMO_N540SLN2</v>
          </cell>
          <cell r="B3922" t="str">
            <v>WL CMO v540SLN2</v>
          </cell>
          <cell r="C3922" t="str">
            <v>BRS_GOLD__5_SPREADS:BRS_GOLD__3_OTHER_SPREADS:BRS_GOLD__1_MTG,TBA_ALL,PAYUP,NONAGENCY,MORT_IDIO,CRT,CRT_SP_RISK:BRS_GOLD__1_MTG-BASIS:USD_WL_CMO_N540SLN2</v>
          </cell>
          <cell r="D3922" t="str">
            <v>Spread Duration</v>
          </cell>
          <cell r="E3922" t="str">
            <v>Spread Yield</v>
          </cell>
          <cell r="F3922" t="str">
            <v>Alternative</v>
          </cell>
          <cell r="G3922" t="str">
            <v>Other</v>
          </cell>
          <cell r="H3922" t="str">
            <v>ALTS</v>
          </cell>
          <cell r="I3922" t="str">
            <v>Mortgage - Moneyness</v>
          </cell>
        </row>
        <row r="3923">
          <cell r="A3923" t="str">
            <v>USD_mbs_CMO_N540SLN2</v>
          </cell>
          <cell r="B3923" t="str">
            <v>CMO v540SLN2</v>
          </cell>
          <cell r="C3923" t="str">
            <v>BRS_GOLD__5_SPREADS:BRS_GOLD__3_OTHER_SPREADS:BRS_GOLD__1_MTG,TBA_ALL,PAYUP,NONAGENCY,MORT_IDIO,CRT,CRT_SP_RISK:BRS_GOLD__1_MTG-BASIS:USD_mbs_CMO_N540SLN2</v>
          </cell>
          <cell r="D3923" t="str">
            <v>Spread Duration</v>
          </cell>
          <cell r="E3923" t="str">
            <v>Spread Yield</v>
          </cell>
          <cell r="F3923" t="str">
            <v>Alternative</v>
          </cell>
          <cell r="G3923" t="str">
            <v>Other</v>
          </cell>
          <cell r="H3923" t="str">
            <v>ALTS</v>
          </cell>
          <cell r="I3923" t="str">
            <v>Mortgage - Moneyness</v>
          </cell>
        </row>
        <row r="3924">
          <cell r="A3924" t="str">
            <v>USD_mbs_PAC_N540SLN2</v>
          </cell>
          <cell r="B3924" t="str">
            <v>CMO PAC v540SLN2</v>
          </cell>
          <cell r="C3924" t="str">
            <v>BRS_GOLD__5_SPREADS:BRS_GOLD__3_OTHER_SPREADS:BRS_GOLD__1_MTG,TBA_ALL,PAYUP,NONAGENCY,MORT_IDIO,CRT,CRT_SP_RISK:BRS_GOLD__1_MTG-BASIS:USD_mbs_PAC_N540SLN2</v>
          </cell>
          <cell r="D3924" t="str">
            <v>Spread Duration</v>
          </cell>
          <cell r="E3924" t="str">
            <v>Spread Yield</v>
          </cell>
          <cell r="F3924" t="str">
            <v>Alternative</v>
          </cell>
          <cell r="G3924" t="str">
            <v>Other</v>
          </cell>
          <cell r="H3924" t="str">
            <v>ALTS</v>
          </cell>
          <cell r="I3924" t="str">
            <v>Mortgage - Moneyness</v>
          </cell>
        </row>
        <row r="3925">
          <cell r="A3925" t="str">
            <v>ALL_WL_CMO_N545SLN2</v>
          </cell>
          <cell r="B3925" t="str">
            <v>Non$ WL CMO v545SLN2</v>
          </cell>
          <cell r="C3925" t="str">
            <v>BRS_GOLD__5_SPREADS:BRS_GOLD__3_OTHER_SPREADS:BRS_GOLD__1_MTG,TBA_ALL,PAYUP,NONAGENCY,MORT_IDIO,CRT,CRT_SP_RISK:BRS_GOLD__1_MTG-BASIS:ALL_WL_CMO_N545SLN2</v>
          </cell>
          <cell r="D3925" t="str">
            <v>Spread Duration</v>
          </cell>
          <cell r="E3925" t="str">
            <v>Spread Yield</v>
          </cell>
          <cell r="F3925" t="str">
            <v>Alternative</v>
          </cell>
          <cell r="G3925" t="str">
            <v>Other</v>
          </cell>
          <cell r="H3925" t="str">
            <v>ALTS</v>
          </cell>
          <cell r="I3925" t="str">
            <v>Mortgage - Moneyness</v>
          </cell>
        </row>
        <row r="3926">
          <cell r="A3926" t="str">
            <v>ALL_mbs_CMO_N545SLN2</v>
          </cell>
          <cell r="B3926" t="str">
            <v>Non$ CMO v545SLN2</v>
          </cell>
          <cell r="C3926" t="str">
            <v>BRS_GOLD__5_SPREADS:BRS_GOLD__3_OTHER_SPREADS:BRS_GOLD__1_MTG,TBA_ALL,PAYUP,NONAGENCY,MORT_IDIO,CRT,CRT_SP_RISK:BRS_GOLD__1_MTG-BASIS:ALL_mbs_CMO_N545SLN2</v>
          </cell>
          <cell r="D3926" t="str">
            <v>Spread Duration</v>
          </cell>
          <cell r="E3926" t="str">
            <v>Spread Yield</v>
          </cell>
          <cell r="F3926" t="str">
            <v>Alternative</v>
          </cell>
          <cell r="G3926" t="str">
            <v>Other</v>
          </cell>
          <cell r="H3926" t="str">
            <v>ALTS</v>
          </cell>
          <cell r="I3926" t="str">
            <v>Mortgage - Moneyness</v>
          </cell>
        </row>
        <row r="3927">
          <cell r="A3927" t="str">
            <v>USD_IO_C_ATM545SLN2</v>
          </cell>
          <cell r="B3927" t="str">
            <v>IO ATM v545SLN2</v>
          </cell>
          <cell r="C3927" t="str">
            <v>BRS_GOLD__5_SPREADS:BRS_GOLD__3_OTHER_SPREADS:BRS_GOLD__1_MTG,TBA_ALL,PAYUP,NONAGENCY,MORT_IDIO,CRT,CRT_SP_RISK:BRS_GOLD__1_MTG-BASIS:USD_IO_C_ATM545SLN2</v>
          </cell>
          <cell r="D3927" t="str">
            <v>Spread Duration</v>
          </cell>
          <cell r="E3927" t="str">
            <v>Spread Yield</v>
          </cell>
          <cell r="F3927" t="str">
            <v>Alternative</v>
          </cell>
          <cell r="G3927" t="str">
            <v>Other</v>
          </cell>
          <cell r="H3927" t="str">
            <v>ALTS</v>
          </cell>
          <cell r="I3927" t="str">
            <v>Mortgage - Moneyness</v>
          </cell>
        </row>
        <row r="3928">
          <cell r="A3928" t="str">
            <v>USD_IO_C_ITM50545SLN2</v>
          </cell>
          <cell r="B3928" t="str">
            <v>IO ITM v545SLN2</v>
          </cell>
          <cell r="C3928" t="str">
            <v>BRS_GOLD__5_SPREADS:BRS_GOLD__3_OTHER_SPREADS:BRS_GOLD__1_MTG,TBA_ALL,PAYUP,NONAGENCY,MORT_IDIO,CRT,CRT_SP_RISK:BRS_GOLD__1_MTG-BASIS:USD_IO_C_ITM50545SLN2</v>
          </cell>
          <cell r="D3928" t="str">
            <v>Spread Duration</v>
          </cell>
          <cell r="E3928" t="str">
            <v>Spread Yield</v>
          </cell>
          <cell r="F3928" t="str">
            <v>Alternative</v>
          </cell>
          <cell r="G3928" t="str">
            <v>Other</v>
          </cell>
          <cell r="H3928" t="str">
            <v>ALTS</v>
          </cell>
          <cell r="I3928" t="str">
            <v>Mortgage - Moneyness</v>
          </cell>
        </row>
        <row r="3929">
          <cell r="A3929" t="str">
            <v>USD_IO_C_OTM545SLN2</v>
          </cell>
          <cell r="B3929" t="str">
            <v>IO OTM v545SLN2</v>
          </cell>
          <cell r="C3929" t="str">
            <v>BRS_GOLD__5_SPREADS:BRS_GOLD__3_OTHER_SPREADS:BRS_GOLD__1_MTG,TBA_ALL,PAYUP,NONAGENCY,MORT_IDIO,CRT,CRT_SP_RISK:BRS_GOLD__1_MTG-BASIS:USD_IO_C_OTM545SLN2</v>
          </cell>
          <cell r="D3929" t="str">
            <v>Spread Duration</v>
          </cell>
          <cell r="E3929" t="str">
            <v>Spread Yield</v>
          </cell>
          <cell r="F3929" t="str">
            <v>Alternative</v>
          </cell>
          <cell r="G3929" t="str">
            <v>Other</v>
          </cell>
          <cell r="H3929" t="str">
            <v>ALTS</v>
          </cell>
          <cell r="I3929" t="str">
            <v>Mortgage - Moneyness</v>
          </cell>
        </row>
        <row r="3930">
          <cell r="A3930" t="str">
            <v>USD_MSR_ARM545SLN2</v>
          </cell>
          <cell r="B3930" t="str">
            <v>ARM Mtg Serv Right v545SLN2</v>
          </cell>
          <cell r="C3930" t="str">
            <v>BRS_GOLD__5_SPREADS:BRS_GOLD__3_OTHER_SPREADS:BRS_GOLD__1_MTG,TBA_ALL,PAYUP,NONAGENCY,MORT_IDIO,CRT,CRT_SP_RISK:BRS_GOLD__1_MTG-BASIS:USD_MSR_ARM545SLN2</v>
          </cell>
          <cell r="D3930" t="str">
            <v>Spread Duration</v>
          </cell>
          <cell r="E3930" t="str">
            <v>Spread Yield</v>
          </cell>
          <cell r="F3930" t="str">
            <v>Alternative</v>
          </cell>
          <cell r="G3930" t="str">
            <v>Other</v>
          </cell>
          <cell r="H3930" t="str">
            <v>ALTS</v>
          </cell>
          <cell r="I3930" t="str">
            <v>Mortgage - Moneyness</v>
          </cell>
        </row>
        <row r="3931">
          <cell r="A3931" t="str">
            <v>USD_MSR_MBS545SLN2</v>
          </cell>
          <cell r="B3931" t="str">
            <v>MBS Mtg Serv Right v545SLN2</v>
          </cell>
          <cell r="C3931" t="str">
            <v>BRS_GOLD__5_SPREADS:BRS_GOLD__3_OTHER_SPREADS:BRS_GOLD__1_MTG,TBA_ALL,PAYUP,NONAGENCY,MORT_IDIO,CRT,CRT_SP_RISK:BRS_GOLD__1_MTG-BASIS:USD_MSR_MBS545SLN2</v>
          </cell>
          <cell r="D3931" t="str">
            <v>Spread Duration</v>
          </cell>
          <cell r="E3931" t="str">
            <v>Spread Yield</v>
          </cell>
          <cell r="F3931" t="str">
            <v>Alternative</v>
          </cell>
          <cell r="G3931" t="str">
            <v>Other</v>
          </cell>
          <cell r="H3931" t="str">
            <v>ALTS</v>
          </cell>
          <cell r="I3931" t="str">
            <v>Mortgage - Moneyness</v>
          </cell>
        </row>
        <row r="3932">
          <cell r="A3932" t="str">
            <v>USD_PO_C_ATM545SLN2</v>
          </cell>
          <cell r="B3932" t="str">
            <v>PO ATM v545SLN2</v>
          </cell>
          <cell r="C3932" t="str">
            <v>BRS_GOLD__5_SPREADS:BRS_GOLD__3_OTHER_SPREADS:BRS_GOLD__1_MTG,TBA_ALL,PAYUP,NONAGENCY,MORT_IDIO,CRT,CRT_SP_RISK:BRS_GOLD__1_MTG-BASIS:USD_PO_C_ATM545SLN2</v>
          </cell>
          <cell r="D3932" t="str">
            <v>Spread Duration</v>
          </cell>
          <cell r="E3932" t="str">
            <v>Spread Yield</v>
          </cell>
          <cell r="F3932" t="str">
            <v>Alternative</v>
          </cell>
          <cell r="G3932" t="str">
            <v>Other</v>
          </cell>
          <cell r="H3932" t="str">
            <v>ALTS</v>
          </cell>
          <cell r="I3932" t="str">
            <v>Mortgage - Moneyness</v>
          </cell>
        </row>
        <row r="3933">
          <cell r="A3933" t="str">
            <v>USD_PO_C_ITM50545SLN2</v>
          </cell>
          <cell r="B3933" t="str">
            <v>PO ITM v545SLN2</v>
          </cell>
          <cell r="C3933" t="str">
            <v>BRS_GOLD__5_SPREADS:BRS_GOLD__3_OTHER_SPREADS:BRS_GOLD__1_MTG,TBA_ALL,PAYUP,NONAGENCY,MORT_IDIO,CRT,CRT_SP_RISK:BRS_GOLD__1_MTG-BASIS:USD_PO_C_ITM50545SLN2</v>
          </cell>
          <cell r="D3933" t="str">
            <v>Spread Duration</v>
          </cell>
          <cell r="E3933" t="str">
            <v>Spread Yield</v>
          </cell>
          <cell r="F3933" t="str">
            <v>Alternative</v>
          </cell>
          <cell r="G3933" t="str">
            <v>Other</v>
          </cell>
          <cell r="H3933" t="str">
            <v>ALTS</v>
          </cell>
          <cell r="I3933" t="str">
            <v>Mortgage - Moneyness</v>
          </cell>
        </row>
        <row r="3934">
          <cell r="A3934" t="str">
            <v>USD_PO_C_OTM545SLN2</v>
          </cell>
          <cell r="B3934" t="str">
            <v>PO OTM v545SLN2</v>
          </cell>
          <cell r="C3934" t="str">
            <v>BRS_GOLD__5_SPREADS:BRS_GOLD__3_OTHER_SPREADS:BRS_GOLD__1_MTG,TBA_ALL,PAYUP,NONAGENCY,MORT_IDIO,CRT,CRT_SP_RISK:BRS_GOLD__1_MTG-BASIS:USD_PO_C_OTM545SLN2</v>
          </cell>
          <cell r="D3934" t="str">
            <v>Spread Duration</v>
          </cell>
          <cell r="E3934" t="str">
            <v>Spread Yield</v>
          </cell>
          <cell r="F3934" t="str">
            <v>Alternative</v>
          </cell>
          <cell r="G3934" t="str">
            <v>Other</v>
          </cell>
          <cell r="H3934" t="str">
            <v>ALTS</v>
          </cell>
          <cell r="I3934" t="str">
            <v>Mortgage - Moneyness</v>
          </cell>
        </row>
        <row r="3935">
          <cell r="A3935" t="str">
            <v>USD_WL_CMO_N545SLN2</v>
          </cell>
          <cell r="B3935" t="str">
            <v>WL CMO v545SLN2</v>
          </cell>
          <cell r="C3935" t="str">
            <v>BRS_GOLD__5_SPREADS:BRS_GOLD__3_OTHER_SPREADS:BRS_GOLD__1_MTG,TBA_ALL,PAYUP,NONAGENCY,MORT_IDIO,CRT,CRT_SP_RISK:BRS_GOLD__1_MTG-BASIS:USD_WL_CMO_N545SLN2</v>
          </cell>
          <cell r="D3935" t="str">
            <v>Spread Duration</v>
          </cell>
          <cell r="E3935" t="str">
            <v>Spread Yield</v>
          </cell>
          <cell r="F3935" t="str">
            <v>Alternative</v>
          </cell>
          <cell r="G3935" t="str">
            <v>Other</v>
          </cell>
          <cell r="H3935" t="str">
            <v>ALTS</v>
          </cell>
          <cell r="I3935" t="str">
            <v>Mortgage - Moneyness</v>
          </cell>
        </row>
        <row r="3936">
          <cell r="A3936" t="str">
            <v>USD_mbs_CMO_N545SLN2</v>
          </cell>
          <cell r="B3936" t="str">
            <v>CMO v545SLN2</v>
          </cell>
          <cell r="C3936" t="str">
            <v>BRS_GOLD__5_SPREADS:BRS_GOLD__3_OTHER_SPREADS:BRS_GOLD__1_MTG,TBA_ALL,PAYUP,NONAGENCY,MORT_IDIO,CRT,CRT_SP_RISK:BRS_GOLD__1_MTG-BASIS:USD_mbs_CMO_N545SLN2</v>
          </cell>
          <cell r="D3936" t="str">
            <v>Spread Duration</v>
          </cell>
          <cell r="E3936" t="str">
            <v>Spread Yield</v>
          </cell>
          <cell r="F3936" t="str">
            <v>Alternative</v>
          </cell>
          <cell r="G3936" t="str">
            <v>Other</v>
          </cell>
          <cell r="H3936" t="str">
            <v>ALTS</v>
          </cell>
          <cell r="I3936" t="str">
            <v>Mortgage - Moneyness</v>
          </cell>
        </row>
        <row r="3937">
          <cell r="A3937" t="str">
            <v>USD_mbs_PAC_N545SLN2</v>
          </cell>
          <cell r="B3937" t="str">
            <v>CMO PAC v545SLN2</v>
          </cell>
          <cell r="C3937" t="str">
            <v>BRS_GOLD__5_SPREADS:BRS_GOLD__3_OTHER_SPREADS:BRS_GOLD__1_MTG,TBA_ALL,PAYUP,NONAGENCY,MORT_IDIO,CRT,CRT_SP_RISK:BRS_GOLD__1_MTG-BASIS:USD_mbs_PAC_N545SLN2</v>
          </cell>
          <cell r="D3937" t="str">
            <v>Spread Duration</v>
          </cell>
          <cell r="E3937" t="str">
            <v>Spread Yield</v>
          </cell>
          <cell r="F3937" t="str">
            <v>Alternative</v>
          </cell>
          <cell r="G3937" t="str">
            <v>Other</v>
          </cell>
          <cell r="H3937" t="str">
            <v>ALTS</v>
          </cell>
          <cell r="I3937" t="str">
            <v>Mortgage - Moneyness</v>
          </cell>
        </row>
        <row r="3938">
          <cell r="A3938" t="str">
            <v>ALL_WL_CMO_N546SLN2</v>
          </cell>
          <cell r="B3938" t="str">
            <v>Non$ WL CMO v546SLN2</v>
          </cell>
          <cell r="C3938" t="str">
            <v>BRS_GOLD__5_SPREADS:BRS_GOLD__3_OTHER_SPREADS:BRS_GOLD__1_MTG,TBA_ALL,PAYUP,NONAGENCY,MORT_IDIO,CRT,CRT_SP_RISK:BRS_GOLD__1_MTG-BASIS:ALL_WL_CMO_N546SLN2</v>
          </cell>
          <cell r="D3938" t="str">
            <v>Spread Duration</v>
          </cell>
          <cell r="E3938" t="str">
            <v>Spread Yield</v>
          </cell>
          <cell r="F3938" t="str">
            <v>Alternative</v>
          </cell>
          <cell r="G3938" t="str">
            <v>Other</v>
          </cell>
          <cell r="H3938" t="str">
            <v>ALTS</v>
          </cell>
          <cell r="I3938" t="str">
            <v>Mortgage - Moneyness</v>
          </cell>
        </row>
        <row r="3939">
          <cell r="A3939" t="str">
            <v>ALL_mbs_CMO_N546SLN2</v>
          </cell>
          <cell r="B3939" t="str">
            <v>Non$ CMO v546SLN2</v>
          </cell>
          <cell r="C3939" t="str">
            <v>BRS_GOLD__5_SPREADS:BRS_GOLD__3_OTHER_SPREADS:BRS_GOLD__1_MTG,TBA_ALL,PAYUP,NONAGENCY,MORT_IDIO,CRT,CRT_SP_RISK:BRS_GOLD__1_MTG-BASIS:ALL_mbs_CMO_N546SLN2</v>
          </cell>
          <cell r="D3939" t="str">
            <v>Spread Duration</v>
          </cell>
          <cell r="E3939" t="str">
            <v>Spread Yield</v>
          </cell>
          <cell r="F3939" t="str">
            <v>Alternative</v>
          </cell>
          <cell r="G3939" t="str">
            <v>Other</v>
          </cell>
          <cell r="H3939" t="str">
            <v>ALTS</v>
          </cell>
          <cell r="I3939" t="str">
            <v>Mortgage - Moneyness</v>
          </cell>
        </row>
        <row r="3940">
          <cell r="A3940" t="str">
            <v>USD_IO_C_ATM546SLN2</v>
          </cell>
          <cell r="B3940" t="str">
            <v>IO ATM v546SLN2</v>
          </cell>
          <cell r="C3940" t="str">
            <v>BRS_GOLD__5_SPREADS:BRS_GOLD__3_OTHER_SPREADS:BRS_GOLD__1_MTG,TBA_ALL,PAYUP,NONAGENCY,MORT_IDIO,CRT,CRT_SP_RISK:BRS_GOLD__1_MTG-BASIS:USD_IO_C_ATM546SLN2</v>
          </cell>
          <cell r="D3940" t="str">
            <v>Spread Duration</v>
          </cell>
          <cell r="E3940" t="str">
            <v>Spread Yield</v>
          </cell>
          <cell r="F3940" t="str">
            <v>Alternative</v>
          </cell>
          <cell r="G3940" t="str">
            <v>Other</v>
          </cell>
          <cell r="H3940" t="str">
            <v>ALTS</v>
          </cell>
          <cell r="I3940" t="str">
            <v>Mortgage - Moneyness</v>
          </cell>
        </row>
        <row r="3941">
          <cell r="A3941" t="str">
            <v>USD_IO_C_ITM50546SLN2</v>
          </cell>
          <cell r="B3941" t="str">
            <v>IO ITM v546SLN2</v>
          </cell>
          <cell r="C3941" t="str">
            <v>BRS_GOLD__5_SPREADS:BRS_GOLD__3_OTHER_SPREADS:BRS_GOLD__1_MTG,TBA_ALL,PAYUP,NONAGENCY,MORT_IDIO,CRT,CRT_SP_RISK:BRS_GOLD__1_MTG-BASIS:USD_IO_C_ITM50546SLN2</v>
          </cell>
          <cell r="D3941" t="str">
            <v>Spread Duration</v>
          </cell>
          <cell r="E3941" t="str">
            <v>Spread Yield</v>
          </cell>
          <cell r="F3941" t="str">
            <v>Alternative</v>
          </cell>
          <cell r="G3941" t="str">
            <v>Other</v>
          </cell>
          <cell r="H3941" t="str">
            <v>ALTS</v>
          </cell>
          <cell r="I3941" t="str">
            <v>Mortgage - Moneyness</v>
          </cell>
        </row>
        <row r="3942">
          <cell r="A3942" t="str">
            <v>USD_IO_C_OTM546SLN2</v>
          </cell>
          <cell r="B3942" t="str">
            <v>IO OTM v546SLN2</v>
          </cell>
          <cell r="C3942" t="str">
            <v>BRS_GOLD__5_SPREADS:BRS_GOLD__3_OTHER_SPREADS:BRS_GOLD__1_MTG,TBA_ALL,PAYUP,NONAGENCY,MORT_IDIO,CRT,CRT_SP_RISK:BRS_GOLD__1_MTG-BASIS:USD_IO_C_OTM546SLN2</v>
          </cell>
          <cell r="D3942" t="str">
            <v>Spread Duration</v>
          </cell>
          <cell r="E3942" t="str">
            <v>Spread Yield</v>
          </cell>
          <cell r="F3942" t="str">
            <v>Alternative</v>
          </cell>
          <cell r="G3942" t="str">
            <v>Other</v>
          </cell>
          <cell r="H3942" t="str">
            <v>ALTS</v>
          </cell>
          <cell r="I3942" t="str">
            <v>Mortgage - Moneyness</v>
          </cell>
        </row>
        <row r="3943">
          <cell r="A3943" t="str">
            <v>USD_MSR_ARM546SLN2</v>
          </cell>
          <cell r="B3943" t="str">
            <v>ARM Mtg Serv Right v546SLN2</v>
          </cell>
          <cell r="C3943" t="str">
            <v>BRS_GOLD__5_SPREADS:BRS_GOLD__3_OTHER_SPREADS:BRS_GOLD__1_MTG,TBA_ALL,PAYUP,NONAGENCY,MORT_IDIO,CRT,CRT_SP_RISK:BRS_GOLD__1_MTG-BASIS:USD_MSR_ARM546SLN2</v>
          </cell>
          <cell r="D3943" t="str">
            <v>Spread Duration</v>
          </cell>
          <cell r="E3943" t="str">
            <v>Spread Yield</v>
          </cell>
          <cell r="F3943" t="str">
            <v>Alternative</v>
          </cell>
          <cell r="G3943" t="str">
            <v>Other</v>
          </cell>
          <cell r="H3943" t="str">
            <v>ALTS</v>
          </cell>
          <cell r="I3943" t="str">
            <v>Mortgage - Moneyness</v>
          </cell>
        </row>
        <row r="3944">
          <cell r="A3944" t="str">
            <v>USD_MSR_MBS546SLN2</v>
          </cell>
          <cell r="B3944" t="str">
            <v>MBS Mtg Serv Right v546SLN2</v>
          </cell>
          <cell r="C3944" t="str">
            <v>BRS_GOLD__5_SPREADS:BRS_GOLD__3_OTHER_SPREADS:BRS_GOLD__1_MTG,TBA_ALL,PAYUP,NONAGENCY,MORT_IDIO,CRT,CRT_SP_RISK:BRS_GOLD__1_MTG-BASIS:USD_MSR_MBS546SLN2</v>
          </cell>
          <cell r="D3944" t="str">
            <v>Spread Duration</v>
          </cell>
          <cell r="E3944" t="str">
            <v>Spread Yield</v>
          </cell>
          <cell r="F3944" t="str">
            <v>Alternative</v>
          </cell>
          <cell r="G3944" t="str">
            <v>Other</v>
          </cell>
          <cell r="H3944" t="str">
            <v>ALTS</v>
          </cell>
          <cell r="I3944" t="str">
            <v>Mortgage - Moneyness</v>
          </cell>
        </row>
        <row r="3945">
          <cell r="A3945" t="str">
            <v>USD_PO_C_ATM546SLN2</v>
          </cell>
          <cell r="B3945" t="str">
            <v>PO ATM v546SLN2</v>
          </cell>
          <cell r="C3945" t="str">
            <v>BRS_GOLD__5_SPREADS:BRS_GOLD__3_OTHER_SPREADS:BRS_GOLD__1_MTG,TBA_ALL,PAYUP,NONAGENCY,MORT_IDIO,CRT,CRT_SP_RISK:BRS_GOLD__1_MTG-BASIS:USD_PO_C_ATM546SLN2</v>
          </cell>
          <cell r="D3945" t="str">
            <v>Spread Duration</v>
          </cell>
          <cell r="E3945" t="str">
            <v>Spread Yield</v>
          </cell>
          <cell r="F3945" t="str">
            <v>Alternative</v>
          </cell>
          <cell r="G3945" t="str">
            <v>Other</v>
          </cell>
          <cell r="H3945" t="str">
            <v>ALTS</v>
          </cell>
          <cell r="I3945" t="str">
            <v>Mortgage - Moneyness</v>
          </cell>
        </row>
        <row r="3946">
          <cell r="A3946" t="str">
            <v>USD_PO_C_ITM50546SLN2</v>
          </cell>
          <cell r="B3946" t="str">
            <v>PO ITM v546SLN2</v>
          </cell>
          <cell r="C3946" t="str">
            <v>BRS_GOLD__5_SPREADS:BRS_GOLD__3_OTHER_SPREADS:BRS_GOLD__1_MTG,TBA_ALL,PAYUP,NONAGENCY,MORT_IDIO,CRT,CRT_SP_RISK:BRS_GOLD__1_MTG-BASIS:USD_PO_C_ITM50546SLN2</v>
          </cell>
          <cell r="D3946" t="str">
            <v>Spread Duration</v>
          </cell>
          <cell r="E3946" t="str">
            <v>Spread Yield</v>
          </cell>
          <cell r="F3946" t="str">
            <v>Alternative</v>
          </cell>
          <cell r="G3946" t="str">
            <v>Other</v>
          </cell>
          <cell r="H3946" t="str">
            <v>ALTS</v>
          </cell>
          <cell r="I3946" t="str">
            <v>Mortgage - Moneyness</v>
          </cell>
        </row>
        <row r="3947">
          <cell r="A3947" t="str">
            <v>USD_PO_C_OTM546SLN2</v>
          </cell>
          <cell r="B3947" t="str">
            <v>PO OTM v546SLN2</v>
          </cell>
          <cell r="C3947" t="str">
            <v>BRS_GOLD__5_SPREADS:BRS_GOLD__3_OTHER_SPREADS:BRS_GOLD__1_MTG,TBA_ALL,PAYUP,NONAGENCY,MORT_IDIO,CRT,CRT_SP_RISK:BRS_GOLD__1_MTG-BASIS:USD_PO_C_OTM546SLN2</v>
          </cell>
          <cell r="D3947" t="str">
            <v>Spread Duration</v>
          </cell>
          <cell r="E3947" t="str">
            <v>Spread Yield</v>
          </cell>
          <cell r="F3947" t="str">
            <v>Alternative</v>
          </cell>
          <cell r="G3947" t="str">
            <v>Other</v>
          </cell>
          <cell r="H3947" t="str">
            <v>ALTS</v>
          </cell>
          <cell r="I3947" t="str">
            <v>Mortgage - Moneyness</v>
          </cell>
        </row>
        <row r="3948">
          <cell r="A3948" t="str">
            <v>USD_WL_CMO_N546SLN2</v>
          </cell>
          <cell r="B3948" t="str">
            <v>WL CMO v546SLN2</v>
          </cell>
          <cell r="C3948" t="str">
            <v>BRS_GOLD__5_SPREADS:BRS_GOLD__3_OTHER_SPREADS:BRS_GOLD__1_MTG,TBA_ALL,PAYUP,NONAGENCY,MORT_IDIO,CRT,CRT_SP_RISK:BRS_GOLD__1_MTG-BASIS:USD_WL_CMO_N546SLN2</v>
          </cell>
          <cell r="D3948" t="str">
            <v>Spread Duration</v>
          </cell>
          <cell r="E3948" t="str">
            <v>Spread Yield</v>
          </cell>
          <cell r="F3948" t="str">
            <v>Alternative</v>
          </cell>
          <cell r="G3948" t="str">
            <v>Other</v>
          </cell>
          <cell r="H3948" t="str">
            <v>ALTS</v>
          </cell>
          <cell r="I3948" t="str">
            <v>Mortgage - Moneyness</v>
          </cell>
        </row>
        <row r="3949">
          <cell r="A3949" t="str">
            <v>USD_mbs_CMO_N546SLN2</v>
          </cell>
          <cell r="B3949" t="str">
            <v>CMO v546SLN2</v>
          </cell>
          <cell r="C3949" t="str">
            <v>BRS_GOLD__5_SPREADS:BRS_GOLD__3_OTHER_SPREADS:BRS_GOLD__1_MTG,TBA_ALL,PAYUP,NONAGENCY,MORT_IDIO,CRT,CRT_SP_RISK:BRS_GOLD__1_MTG-BASIS:USD_mbs_CMO_N546SLN2</v>
          </cell>
          <cell r="D3949" t="str">
            <v>Spread Duration</v>
          </cell>
          <cell r="E3949" t="str">
            <v>Spread Yield</v>
          </cell>
          <cell r="F3949" t="str">
            <v>Alternative</v>
          </cell>
          <cell r="G3949" t="str">
            <v>Other</v>
          </cell>
          <cell r="H3949" t="str">
            <v>ALTS</v>
          </cell>
          <cell r="I3949" t="str">
            <v>Mortgage - Moneyness</v>
          </cell>
        </row>
        <row r="3950">
          <cell r="A3950" t="str">
            <v>USD_mbs_PAC_N546SLN2</v>
          </cell>
          <cell r="B3950" t="str">
            <v>CMO PAC v546SLN2</v>
          </cell>
          <cell r="C3950" t="str">
            <v>BRS_GOLD__5_SPREADS:BRS_GOLD__3_OTHER_SPREADS:BRS_GOLD__1_MTG,TBA_ALL,PAYUP,NONAGENCY,MORT_IDIO,CRT,CRT_SP_RISK:BRS_GOLD__1_MTG-BASIS:USD_mbs_PAC_N546SLN2</v>
          </cell>
          <cell r="D3950" t="str">
            <v>Spread Duration</v>
          </cell>
          <cell r="E3950" t="str">
            <v>Spread Yield</v>
          </cell>
          <cell r="F3950" t="str">
            <v>Alternative</v>
          </cell>
          <cell r="G3950" t="str">
            <v>Other</v>
          </cell>
          <cell r="H3950" t="str">
            <v>ALTS</v>
          </cell>
          <cell r="I3950" t="str">
            <v>Mortgage - Moneyness</v>
          </cell>
        </row>
        <row r="3951">
          <cell r="A3951" t="str">
            <v>ALL_WL_CMO_N600</v>
          </cell>
          <cell r="B3951" t="str">
            <v>Non$ WL CMO V600</v>
          </cell>
          <cell r="C3951" t="str">
            <v>BRS_GOLD__5_SPREADS:BRS_GOLD__3_OTHER_SPREADS:BRS_GOLD__1_MTG,TBA_ALL,PAYUP,NONAGENCY,MORT_IDIO,CRT,CRT_SP_RISK:BRS_GOLD__1_MTG-BASIS:ALL_WL_CMO_N600</v>
          </cell>
          <cell r="D3951" t="str">
            <v>Spread Duration</v>
          </cell>
          <cell r="E3951" t="str">
            <v>Spread Yield</v>
          </cell>
          <cell r="F3951" t="str">
            <v>Alternative</v>
          </cell>
          <cell r="G3951" t="str">
            <v>Other</v>
          </cell>
          <cell r="H3951" t="str">
            <v>ALTS</v>
          </cell>
          <cell r="I3951" t="str">
            <v>Mortgage - Moneyness</v>
          </cell>
        </row>
        <row r="3952">
          <cell r="A3952" t="str">
            <v>ALL_mbs_CMO_N600</v>
          </cell>
          <cell r="B3952" t="str">
            <v>Non$ CMO V600</v>
          </cell>
          <cell r="C3952" t="str">
            <v>BRS_GOLD__5_SPREADS:BRS_GOLD__3_OTHER_SPREADS:BRS_GOLD__1_MTG,TBA_ALL,PAYUP,NONAGENCY,MORT_IDIO,CRT,CRT_SP_RISK:BRS_GOLD__1_MTG-BASIS:ALL_mbs_CMO_N600</v>
          </cell>
          <cell r="D3952" t="str">
            <v>Spread Duration</v>
          </cell>
          <cell r="E3952" t="str">
            <v>Spread Yield</v>
          </cell>
          <cell r="F3952" t="str">
            <v>Alternative</v>
          </cell>
          <cell r="G3952" t="str">
            <v>Other</v>
          </cell>
          <cell r="H3952" t="str">
            <v>ALTS</v>
          </cell>
          <cell r="I3952" t="str">
            <v>Mortgage - Moneyness</v>
          </cell>
        </row>
        <row r="3953">
          <cell r="A3953" t="str">
            <v>USD_MSR_ARM600</v>
          </cell>
          <cell r="B3953" t="str">
            <v>ARM Mtg Serv Right V600</v>
          </cell>
          <cell r="C3953" t="str">
            <v>BRS_GOLD__5_SPREADS:BRS_GOLD__3_OTHER_SPREADS:BRS_GOLD__1_MTG,TBA_ALL,PAYUP,NONAGENCY,MORT_IDIO,CRT,CRT_SP_RISK:BRS_GOLD__1_MTG-BASIS:USD_MSR_ARM600</v>
          </cell>
          <cell r="D3953" t="str">
            <v>Spread Duration</v>
          </cell>
          <cell r="E3953" t="str">
            <v>Spread Yield</v>
          </cell>
          <cell r="F3953" t="str">
            <v>Alternative</v>
          </cell>
          <cell r="G3953" t="str">
            <v>Other</v>
          </cell>
          <cell r="H3953" t="str">
            <v>ALTS</v>
          </cell>
          <cell r="I3953" t="str">
            <v>Mortgage - Moneyness</v>
          </cell>
        </row>
        <row r="3954">
          <cell r="A3954" t="str">
            <v>USD_MSR_MBS600</v>
          </cell>
          <cell r="B3954" t="str">
            <v>MBS Mtg Serv Right V600</v>
          </cell>
          <cell r="C3954" t="str">
            <v>BRS_GOLD__5_SPREADS:BRS_GOLD__3_OTHER_SPREADS:BRS_GOLD__1_MTG,TBA_ALL,PAYUP,NONAGENCY,MORT_IDIO,CRT,CRT_SP_RISK:BRS_GOLD__1_MTG-BASIS:USD_MSR_MBS600</v>
          </cell>
          <cell r="D3954" t="str">
            <v>Spread Duration</v>
          </cell>
          <cell r="E3954" t="str">
            <v>Spread Yield</v>
          </cell>
          <cell r="F3954" t="str">
            <v>Alternative</v>
          </cell>
          <cell r="G3954" t="str">
            <v>Other</v>
          </cell>
          <cell r="H3954" t="str">
            <v>ALTS</v>
          </cell>
          <cell r="I3954" t="str">
            <v>Mortgage - Moneyness</v>
          </cell>
        </row>
        <row r="3955">
          <cell r="A3955" t="str">
            <v>USD_WL_CMO_N600</v>
          </cell>
          <cell r="B3955" t="str">
            <v>WL CMO V600</v>
          </cell>
          <cell r="C3955" t="str">
            <v>BRS_GOLD__5_SPREADS:BRS_GOLD__3_OTHER_SPREADS:BRS_GOLD__1_MTG,TBA_ALL,PAYUP,NONAGENCY,MORT_IDIO,CRT,CRT_SP_RISK:BRS_GOLD__1_MTG-BASIS:USD_WL_CMO_N600</v>
          </cell>
          <cell r="D3955" t="str">
            <v>Spread Duration</v>
          </cell>
          <cell r="E3955" t="str">
            <v>Spread Yield</v>
          </cell>
          <cell r="F3955" t="str">
            <v>Alternative</v>
          </cell>
          <cell r="G3955" t="str">
            <v>Other</v>
          </cell>
          <cell r="H3955" t="str">
            <v>ALTS</v>
          </cell>
          <cell r="I3955" t="str">
            <v>Mortgage - Moneyness</v>
          </cell>
        </row>
        <row r="3956">
          <cell r="A3956" t="str">
            <v>USD_mbs_CMO_N600</v>
          </cell>
          <cell r="B3956" t="str">
            <v>CMO V600</v>
          </cell>
          <cell r="C3956" t="str">
            <v>BRS_GOLD__5_SPREADS:BRS_GOLD__3_OTHER_SPREADS:BRS_GOLD__1_MTG,TBA_ALL,PAYUP,NONAGENCY,MORT_IDIO,CRT,CRT_SP_RISK:BRS_GOLD__1_MTG-BASIS:USD_mbs_CMO_N600</v>
          </cell>
          <cell r="D3956" t="str">
            <v>Spread Duration</v>
          </cell>
          <cell r="E3956" t="str">
            <v>Spread Yield</v>
          </cell>
          <cell r="F3956" t="str">
            <v>Alternative</v>
          </cell>
          <cell r="G3956" t="str">
            <v>Other</v>
          </cell>
          <cell r="H3956" t="str">
            <v>ALTS</v>
          </cell>
          <cell r="I3956" t="str">
            <v>Mortgage - Moneyness</v>
          </cell>
        </row>
        <row r="3957">
          <cell r="A3957" t="str">
            <v>USD_mbs_PAC_N600</v>
          </cell>
          <cell r="B3957" t="str">
            <v>CMO PAC V600</v>
          </cell>
          <cell r="C3957" t="str">
            <v>BRS_GOLD__5_SPREADS:BRS_GOLD__3_OTHER_SPREADS:BRS_GOLD__1_MTG,TBA_ALL,PAYUP,NONAGENCY,MORT_IDIO,CRT,CRT_SP_RISK:BRS_GOLD__1_MTG-BASIS:USD_mbs_PAC_N600</v>
          </cell>
          <cell r="D3957" t="str">
            <v>Spread Duration</v>
          </cell>
          <cell r="E3957" t="str">
            <v>Spread Yield</v>
          </cell>
          <cell r="F3957" t="str">
            <v>Alternative</v>
          </cell>
          <cell r="G3957" t="str">
            <v>Other</v>
          </cell>
          <cell r="H3957" t="str">
            <v>ALTS</v>
          </cell>
          <cell r="I3957" t="str">
            <v>Mortgage - Moneyness</v>
          </cell>
        </row>
        <row r="3958">
          <cell r="A3958" t="str">
            <v>USD_PO_ATM_V600</v>
          </cell>
          <cell r="B3958" t="str">
            <v>PO ATM V600</v>
          </cell>
          <cell r="C3958" t="str">
            <v>BRS_GOLD__5_SPREADS:BRS_GOLD__3_OTHER_SPREADS:BRS_GOLD__1_MTG,TBA_ALL,PAYUP,NONAGENCY,MORT_IDIO,CRT,CRT_SP_RISK:BRS_GOLD__1_MTG-BASIS:USD_PO_ATM_V600</v>
          </cell>
          <cell r="D3958" t="str">
            <v>Spread Duration</v>
          </cell>
          <cell r="E3958" t="str">
            <v>Spread Yield</v>
          </cell>
          <cell r="F3958" t="str">
            <v>Alternative</v>
          </cell>
          <cell r="G3958" t="str">
            <v>Other</v>
          </cell>
          <cell r="H3958" t="str">
            <v>ALTS</v>
          </cell>
          <cell r="I3958" t="str">
            <v>Mortgage - Moneyness</v>
          </cell>
        </row>
        <row r="3959">
          <cell r="A3959" t="str">
            <v>USD_PO_ITM5_V600</v>
          </cell>
          <cell r="B3959" t="str">
            <v>PO ITM50 V600</v>
          </cell>
          <cell r="C3959" t="str">
            <v>BRS_GOLD__5_SPREADS:BRS_GOLD__3_OTHER_SPREADS:BRS_GOLD__1_MTG,TBA_ALL,PAYUP,NONAGENCY,MORT_IDIO,CRT,CRT_SP_RISK:BRS_GOLD__1_MTG-BASIS:USD_PO_ITM5_V600</v>
          </cell>
          <cell r="D3959" t="str">
            <v>Spread Duration</v>
          </cell>
          <cell r="E3959" t="str">
            <v>Spread Yield</v>
          </cell>
          <cell r="F3959" t="str">
            <v>Alternative</v>
          </cell>
          <cell r="G3959" t="str">
            <v>Other</v>
          </cell>
          <cell r="H3959" t="str">
            <v>ALTS</v>
          </cell>
          <cell r="I3959" t="str">
            <v>Mortgage - Moneyness</v>
          </cell>
        </row>
        <row r="3960">
          <cell r="A3960" t="str">
            <v>USD_PO_ITM10_V600</v>
          </cell>
          <cell r="B3960" t="str">
            <v>PO ITM100 V600</v>
          </cell>
          <cell r="C3960" t="str">
            <v>BRS_GOLD__5_SPREADS:BRS_GOLD__3_OTHER_SPREADS:BRS_GOLD__1_MTG,TBA_ALL,PAYUP,NONAGENCY,MORT_IDIO,CRT,CRT_SP_RISK:BRS_GOLD__1_MTG-BASIS:USD_PO_ITM10_V600</v>
          </cell>
          <cell r="D3960" t="str">
            <v>Spread Duration</v>
          </cell>
          <cell r="E3960" t="str">
            <v>Spread Yield</v>
          </cell>
          <cell r="F3960" t="str">
            <v>Alternative</v>
          </cell>
          <cell r="G3960" t="str">
            <v>Other</v>
          </cell>
          <cell r="H3960" t="str">
            <v>ALTS</v>
          </cell>
          <cell r="I3960" t="str">
            <v>Mortgage - Moneyness</v>
          </cell>
        </row>
        <row r="3961">
          <cell r="A3961" t="str">
            <v>USD_PO_ITM15_V600</v>
          </cell>
          <cell r="B3961" t="str">
            <v>PO ITM150 V600</v>
          </cell>
          <cell r="C3961" t="str">
            <v>BRS_GOLD__5_SPREADS:BRS_GOLD__3_OTHER_SPREADS:BRS_GOLD__1_MTG,TBA_ALL,PAYUP,NONAGENCY,MORT_IDIO,CRT,CRT_SP_RISK:BRS_GOLD__1_MTG-BASIS:USD_PO_ITM15_V600</v>
          </cell>
          <cell r="D3961" t="str">
            <v>Spread Duration</v>
          </cell>
          <cell r="E3961" t="str">
            <v>Spread Yield</v>
          </cell>
          <cell r="F3961" t="str">
            <v>Alternative</v>
          </cell>
          <cell r="G3961" t="str">
            <v>Other</v>
          </cell>
          <cell r="H3961" t="str">
            <v>ALTS</v>
          </cell>
          <cell r="I3961" t="str">
            <v>Mortgage - Moneyness</v>
          </cell>
        </row>
        <row r="3962">
          <cell r="A3962" t="str">
            <v>USD_PO_ITM20_V600</v>
          </cell>
          <cell r="B3962" t="str">
            <v>PO ITM200 V600</v>
          </cell>
          <cell r="C3962" t="str">
            <v>BRS_GOLD__5_SPREADS:BRS_GOLD__3_OTHER_SPREADS:BRS_GOLD__1_MTG,TBA_ALL,PAYUP,NONAGENCY,MORT_IDIO,CRT,CRT_SP_RISK:BRS_GOLD__1_MTG-BASIS:USD_PO_ITM20_V600</v>
          </cell>
          <cell r="D3962" t="str">
            <v>Spread Duration</v>
          </cell>
          <cell r="E3962" t="str">
            <v>Spread Yield</v>
          </cell>
          <cell r="F3962" t="str">
            <v>Alternative</v>
          </cell>
          <cell r="G3962" t="str">
            <v>Other</v>
          </cell>
          <cell r="H3962" t="str">
            <v>ALTS</v>
          </cell>
          <cell r="I3962" t="str">
            <v>Mortgage - Moneyness</v>
          </cell>
        </row>
        <row r="3963">
          <cell r="A3963" t="str">
            <v>USD_PO_ITM25_V600</v>
          </cell>
          <cell r="B3963" t="str">
            <v>PO ITM250 V600</v>
          </cell>
          <cell r="C3963" t="str">
            <v>BRS_GOLD__5_SPREADS:BRS_GOLD__3_OTHER_SPREADS:BRS_GOLD__1_MTG,TBA_ALL,PAYUP,NONAGENCY,MORT_IDIO,CRT,CRT_SP_RISK:BRS_GOLD__1_MTG-BASIS:USD_PO_ITM25_V600</v>
          </cell>
          <cell r="D3963" t="str">
            <v>Spread Duration</v>
          </cell>
          <cell r="E3963" t="str">
            <v>Spread Yield</v>
          </cell>
          <cell r="F3963" t="str">
            <v>Alternative</v>
          </cell>
          <cell r="G3963" t="str">
            <v>Other</v>
          </cell>
          <cell r="H3963" t="str">
            <v>ALTS</v>
          </cell>
          <cell r="I3963" t="str">
            <v>Mortgage - Moneyness</v>
          </cell>
        </row>
        <row r="3964">
          <cell r="A3964" t="str">
            <v>USD_PO_ITM30_V600</v>
          </cell>
          <cell r="B3964" t="str">
            <v>PO ITM300 V600</v>
          </cell>
          <cell r="C3964" t="str">
            <v>BRS_GOLD__5_SPREADS:BRS_GOLD__3_OTHER_SPREADS:BRS_GOLD__1_MTG,TBA_ALL,PAYUP,NONAGENCY,MORT_IDIO,CRT,CRT_SP_RISK:BRS_GOLD__1_MTG-BASIS:USD_PO_ITM30_V600</v>
          </cell>
          <cell r="D3964" t="str">
            <v>Spread Duration</v>
          </cell>
          <cell r="E3964" t="str">
            <v>Spread Yield</v>
          </cell>
          <cell r="F3964" t="str">
            <v>Alternative</v>
          </cell>
          <cell r="G3964" t="str">
            <v>Other</v>
          </cell>
          <cell r="H3964" t="str">
            <v>ALTS</v>
          </cell>
          <cell r="I3964" t="str">
            <v>Mortgage - Moneyness</v>
          </cell>
        </row>
        <row r="3965">
          <cell r="A3965" t="str">
            <v>USD_PO_ITM35_V600</v>
          </cell>
          <cell r="B3965" t="str">
            <v>PO ITM350 V600</v>
          </cell>
          <cell r="C3965" t="str">
            <v>BRS_GOLD__5_SPREADS:BRS_GOLD__3_OTHER_SPREADS:BRS_GOLD__1_MTG,TBA_ALL,PAYUP,NONAGENCY,MORT_IDIO,CRT,CRT_SP_RISK:BRS_GOLD__1_MTG-BASIS:USD_PO_ITM35_V600</v>
          </cell>
          <cell r="D3965" t="str">
            <v>Spread Duration</v>
          </cell>
          <cell r="E3965" t="str">
            <v>Spread Yield</v>
          </cell>
          <cell r="F3965" t="str">
            <v>Alternative</v>
          </cell>
          <cell r="G3965" t="str">
            <v>Other</v>
          </cell>
          <cell r="H3965" t="str">
            <v>ALTS</v>
          </cell>
          <cell r="I3965" t="str">
            <v>Mortgage - Moneyness</v>
          </cell>
        </row>
        <row r="3966">
          <cell r="A3966" t="str">
            <v>USD_PO_OTM5_V600</v>
          </cell>
          <cell r="B3966" t="str">
            <v>PO OTM50 V600</v>
          </cell>
          <cell r="C3966" t="str">
            <v>BRS_GOLD__5_SPREADS:BRS_GOLD__3_OTHER_SPREADS:BRS_GOLD__1_MTG,TBA_ALL,PAYUP,NONAGENCY,MORT_IDIO,CRT,CRT_SP_RISK:BRS_GOLD__1_MTG-BASIS:USD_PO_OTM5_V600</v>
          </cell>
          <cell r="D3966" t="str">
            <v>Spread Duration</v>
          </cell>
          <cell r="E3966" t="str">
            <v>Spread Yield</v>
          </cell>
          <cell r="F3966" t="str">
            <v>Alternative</v>
          </cell>
          <cell r="G3966" t="str">
            <v>Other</v>
          </cell>
          <cell r="H3966" t="str">
            <v>ALTS</v>
          </cell>
          <cell r="I3966" t="str">
            <v>Mortgage - Moneyness</v>
          </cell>
        </row>
        <row r="3967">
          <cell r="A3967" t="str">
            <v>USD_PO_OTM10_V600</v>
          </cell>
          <cell r="B3967" t="str">
            <v>PO OTM100 V600</v>
          </cell>
          <cell r="C3967" t="str">
            <v>BRS_GOLD__5_SPREADS:BRS_GOLD__3_OTHER_SPREADS:BRS_GOLD__1_MTG,TBA_ALL,PAYUP,NONAGENCY,MORT_IDIO,CRT,CRT_SP_RISK:BRS_GOLD__1_MTG-BASIS:USD_PO_OTM10_V600</v>
          </cell>
          <cell r="D3967" t="str">
            <v>Spread Duration</v>
          </cell>
          <cell r="E3967" t="str">
            <v>Spread Yield</v>
          </cell>
          <cell r="F3967" t="str">
            <v>Alternative</v>
          </cell>
          <cell r="G3967" t="str">
            <v>Other</v>
          </cell>
          <cell r="H3967" t="str">
            <v>ALTS</v>
          </cell>
          <cell r="I3967" t="str">
            <v>Mortgage - Moneyness</v>
          </cell>
        </row>
        <row r="3968">
          <cell r="A3968" t="str">
            <v>USD_PO_OTM15_V600</v>
          </cell>
          <cell r="B3968" t="str">
            <v>PO OTM150 V600</v>
          </cell>
          <cell r="C3968" t="str">
            <v>BRS_GOLD__5_SPREADS:BRS_GOLD__3_OTHER_SPREADS:BRS_GOLD__1_MTG,TBA_ALL,PAYUP,NONAGENCY,MORT_IDIO,CRT,CRT_SP_RISK:BRS_GOLD__1_MTG-BASIS:USD_PO_OTM15_V600</v>
          </cell>
          <cell r="D3968" t="str">
            <v>Spread Duration</v>
          </cell>
          <cell r="E3968" t="str">
            <v>Spread Yield</v>
          </cell>
          <cell r="F3968" t="str">
            <v>Alternative</v>
          </cell>
          <cell r="G3968" t="str">
            <v>Other</v>
          </cell>
          <cell r="H3968" t="str">
            <v>ALTS</v>
          </cell>
          <cell r="I3968" t="str">
            <v>Mortgage - Moneyness</v>
          </cell>
        </row>
        <row r="3969">
          <cell r="A3969" t="str">
            <v>USD_PO_OTM20_V600</v>
          </cell>
          <cell r="B3969" t="str">
            <v>PO OTM200 V600</v>
          </cell>
          <cell r="C3969" t="str">
            <v>BRS_GOLD__5_SPREADS:BRS_GOLD__3_OTHER_SPREADS:BRS_GOLD__1_MTG,TBA_ALL,PAYUP,NONAGENCY,MORT_IDIO,CRT,CRT_SP_RISK:BRS_GOLD__1_MTG-BASIS:USD_PO_OTM20_V600</v>
          </cell>
          <cell r="D3969" t="str">
            <v>Spread Duration</v>
          </cell>
          <cell r="E3969" t="str">
            <v>Spread Yield</v>
          </cell>
          <cell r="F3969" t="str">
            <v>Alternative</v>
          </cell>
          <cell r="G3969" t="str">
            <v>Other</v>
          </cell>
          <cell r="H3969" t="str">
            <v>ALTS</v>
          </cell>
          <cell r="I3969" t="str">
            <v>Mortgage - Moneyness</v>
          </cell>
        </row>
        <row r="3970">
          <cell r="A3970" t="str">
            <v>USD_PO_OTM25_V600</v>
          </cell>
          <cell r="B3970" t="str">
            <v>PO OTM250 V600</v>
          </cell>
          <cell r="C3970" t="str">
            <v>BRS_GOLD__5_SPREADS:BRS_GOLD__3_OTHER_SPREADS:BRS_GOLD__1_MTG,TBA_ALL,PAYUP,NONAGENCY,MORT_IDIO,CRT,CRT_SP_RISK:BRS_GOLD__1_MTG-BASIS:USD_PO_OTM25_V600</v>
          </cell>
          <cell r="D3970" t="str">
            <v>Spread Duration</v>
          </cell>
          <cell r="E3970" t="str">
            <v>Spread Yield</v>
          </cell>
          <cell r="F3970" t="str">
            <v>Alternative</v>
          </cell>
          <cell r="G3970" t="str">
            <v>Other</v>
          </cell>
          <cell r="H3970" t="str">
            <v>ALTS</v>
          </cell>
          <cell r="I3970" t="str">
            <v>Mortgage - Moneyness</v>
          </cell>
        </row>
        <row r="3971">
          <cell r="A3971" t="str">
            <v>USD_PO_OTM30_V600</v>
          </cell>
          <cell r="B3971" t="str">
            <v>PO OTM300 V600</v>
          </cell>
          <cell r="C3971" t="str">
            <v>BRS_GOLD__5_SPREADS:BRS_GOLD__3_OTHER_SPREADS:BRS_GOLD__1_MTG,TBA_ALL,PAYUP,NONAGENCY,MORT_IDIO,CRT,CRT_SP_RISK:BRS_GOLD__1_MTG-BASIS:USD_PO_OTM30_V600</v>
          </cell>
          <cell r="D3971" t="str">
            <v>Spread Duration</v>
          </cell>
          <cell r="E3971" t="str">
            <v>Spread Yield</v>
          </cell>
          <cell r="F3971" t="str">
            <v>Alternative</v>
          </cell>
          <cell r="G3971" t="str">
            <v>Other</v>
          </cell>
          <cell r="H3971" t="str">
            <v>ALTS</v>
          </cell>
          <cell r="I3971" t="str">
            <v>Mortgage - Moneyness</v>
          </cell>
        </row>
        <row r="3972">
          <cell r="A3972" t="str">
            <v>USD_PO_OTM35_V600</v>
          </cell>
          <cell r="B3972" t="str">
            <v>PO OTM350 V600</v>
          </cell>
          <cell r="C3972" t="str">
            <v>BRS_GOLD__5_SPREADS:BRS_GOLD__3_OTHER_SPREADS:BRS_GOLD__1_MTG,TBA_ALL,PAYUP,NONAGENCY,MORT_IDIO,CRT,CRT_SP_RISK:BRS_GOLD__1_MTG-BASIS:USD_PO_OTM35_V600</v>
          </cell>
          <cell r="D3972" t="str">
            <v>Spread Duration</v>
          </cell>
          <cell r="E3972" t="str">
            <v>Spread Yield</v>
          </cell>
          <cell r="F3972" t="str">
            <v>Alternative</v>
          </cell>
          <cell r="G3972" t="str">
            <v>Other</v>
          </cell>
          <cell r="H3972" t="str">
            <v>ALTS</v>
          </cell>
          <cell r="I3972" t="str">
            <v>Mortgage - Moneyness</v>
          </cell>
        </row>
        <row r="3973">
          <cell r="A3973" t="str">
            <v>USD_IO_ATM_V600</v>
          </cell>
          <cell r="B3973" t="str">
            <v>IO ATM V600</v>
          </cell>
          <cell r="C3973" t="str">
            <v>BRS_GOLD__5_SPREADS:BRS_GOLD__3_OTHER_SPREADS:BRS_GOLD__1_MTG,TBA_ALL,PAYUP,NONAGENCY,MORT_IDIO,CRT,CRT_SP_RISK:BRS_GOLD__1_MTG-BASIS:USD_IO_ATM_V600</v>
          </cell>
          <cell r="D3973" t="str">
            <v>Spread Duration</v>
          </cell>
          <cell r="E3973" t="str">
            <v>Spread Yield</v>
          </cell>
          <cell r="F3973" t="str">
            <v>Alternative</v>
          </cell>
          <cell r="G3973" t="str">
            <v>Other</v>
          </cell>
          <cell r="H3973" t="str">
            <v>ALTS</v>
          </cell>
          <cell r="I3973" t="str">
            <v>Mortgage - Moneyness</v>
          </cell>
        </row>
        <row r="3974">
          <cell r="A3974" t="str">
            <v>USD_IO_ITM5_V600</v>
          </cell>
          <cell r="B3974" t="str">
            <v>IO ITM50 V600</v>
          </cell>
          <cell r="C3974" t="str">
            <v>BRS_GOLD__5_SPREADS:BRS_GOLD__3_OTHER_SPREADS:BRS_GOLD__1_MTG,TBA_ALL,PAYUP,NONAGENCY,MORT_IDIO,CRT,CRT_SP_RISK:BRS_GOLD__1_MTG-BASIS:USD_IO_ITM5_V600</v>
          </cell>
          <cell r="D3974" t="str">
            <v>Spread Duration</v>
          </cell>
          <cell r="E3974" t="str">
            <v>Spread Yield</v>
          </cell>
          <cell r="F3974" t="str">
            <v>Alternative</v>
          </cell>
          <cell r="G3974" t="str">
            <v>Other</v>
          </cell>
          <cell r="H3974" t="str">
            <v>ALTS</v>
          </cell>
          <cell r="I3974" t="str">
            <v>Mortgage - Moneyness</v>
          </cell>
        </row>
        <row r="3975">
          <cell r="A3975" t="str">
            <v>USD_IO_ITM10_V600</v>
          </cell>
          <cell r="B3975" t="str">
            <v>IO ITM100 V600</v>
          </cell>
          <cell r="C3975" t="str">
            <v>BRS_GOLD__5_SPREADS:BRS_GOLD__3_OTHER_SPREADS:BRS_GOLD__1_MTG,TBA_ALL,PAYUP,NONAGENCY,MORT_IDIO,CRT,CRT_SP_RISK:BRS_GOLD__1_MTG-BASIS:USD_IO_ITM10_V600</v>
          </cell>
          <cell r="D3975" t="str">
            <v>Spread Duration</v>
          </cell>
          <cell r="E3975" t="str">
            <v>Spread Yield</v>
          </cell>
          <cell r="F3975" t="str">
            <v>Alternative</v>
          </cell>
          <cell r="G3975" t="str">
            <v>Other</v>
          </cell>
          <cell r="H3975" t="str">
            <v>ALTS</v>
          </cell>
          <cell r="I3975" t="str">
            <v>Mortgage - Moneyness</v>
          </cell>
        </row>
        <row r="3976">
          <cell r="A3976" t="str">
            <v>USD_IO_ITM15_V600</v>
          </cell>
          <cell r="B3976" t="str">
            <v>IO ITM150 V600</v>
          </cell>
          <cell r="C3976" t="str">
            <v>BRS_GOLD__5_SPREADS:BRS_GOLD__3_OTHER_SPREADS:BRS_GOLD__1_MTG,TBA_ALL,PAYUP,NONAGENCY,MORT_IDIO,CRT,CRT_SP_RISK:BRS_GOLD__1_MTG-BASIS:USD_IO_ITM15_V600</v>
          </cell>
          <cell r="D3976" t="str">
            <v>Spread Duration</v>
          </cell>
          <cell r="E3976" t="str">
            <v>Spread Yield</v>
          </cell>
          <cell r="F3976" t="str">
            <v>Alternative</v>
          </cell>
          <cell r="G3976" t="str">
            <v>Other</v>
          </cell>
          <cell r="H3976" t="str">
            <v>ALTS</v>
          </cell>
          <cell r="I3976" t="str">
            <v>Mortgage - Moneyness</v>
          </cell>
        </row>
        <row r="3977">
          <cell r="A3977" t="str">
            <v>USD_IO_ITM20_V600</v>
          </cell>
          <cell r="B3977" t="str">
            <v>IO ITM200 V600</v>
          </cell>
          <cell r="C3977" t="str">
            <v>BRS_GOLD__5_SPREADS:BRS_GOLD__3_OTHER_SPREADS:BRS_GOLD__1_MTG,TBA_ALL,PAYUP,NONAGENCY,MORT_IDIO,CRT,CRT_SP_RISK:BRS_GOLD__1_MTG-BASIS:USD_IO_ITM20_V600</v>
          </cell>
          <cell r="D3977" t="str">
            <v>Spread Duration</v>
          </cell>
          <cell r="E3977" t="str">
            <v>Spread Yield</v>
          </cell>
          <cell r="F3977" t="str">
            <v>Alternative</v>
          </cell>
          <cell r="G3977" t="str">
            <v>Other</v>
          </cell>
          <cell r="H3977" t="str">
            <v>ALTS</v>
          </cell>
          <cell r="I3977" t="str">
            <v>Mortgage - Moneyness</v>
          </cell>
        </row>
        <row r="3978">
          <cell r="A3978" t="str">
            <v>USD_IO_ITM25_V600</v>
          </cell>
          <cell r="B3978" t="str">
            <v>IO ITM250 V600</v>
          </cell>
          <cell r="C3978" t="str">
            <v>BRS_GOLD__5_SPREADS:BRS_GOLD__3_OTHER_SPREADS:BRS_GOLD__1_MTG,TBA_ALL,PAYUP,NONAGENCY,MORT_IDIO,CRT,CRT_SP_RISK:BRS_GOLD__1_MTG-BASIS:USD_IO_ITM25_V600</v>
          </cell>
          <cell r="D3978" t="str">
            <v>Spread Duration</v>
          </cell>
          <cell r="E3978" t="str">
            <v>Spread Yield</v>
          </cell>
          <cell r="F3978" t="str">
            <v>Alternative</v>
          </cell>
          <cell r="G3978" t="str">
            <v>Other</v>
          </cell>
          <cell r="H3978" t="str">
            <v>ALTS</v>
          </cell>
          <cell r="I3978" t="str">
            <v>Mortgage - Moneyness</v>
          </cell>
        </row>
        <row r="3979">
          <cell r="A3979" t="str">
            <v>USD_IO_ITM30_V600</v>
          </cell>
          <cell r="B3979" t="str">
            <v>IO ITM300 V600</v>
          </cell>
          <cell r="C3979" t="str">
            <v>BRS_GOLD__5_SPREADS:BRS_GOLD__3_OTHER_SPREADS:BRS_GOLD__1_MTG,TBA_ALL,PAYUP,NONAGENCY,MORT_IDIO,CRT,CRT_SP_RISK:BRS_GOLD__1_MTG-BASIS:USD_IO_ITM30_V600</v>
          </cell>
          <cell r="D3979" t="str">
            <v>Spread Duration</v>
          </cell>
          <cell r="E3979" t="str">
            <v>Spread Yield</v>
          </cell>
          <cell r="F3979" t="str">
            <v>Alternative</v>
          </cell>
          <cell r="G3979" t="str">
            <v>Other</v>
          </cell>
          <cell r="H3979" t="str">
            <v>ALTS</v>
          </cell>
          <cell r="I3979" t="str">
            <v>Mortgage - Moneyness</v>
          </cell>
        </row>
        <row r="3980">
          <cell r="A3980" t="str">
            <v>USD_IO_ITM35_V600</v>
          </cell>
          <cell r="B3980" t="str">
            <v>IO ITM350 V600</v>
          </cell>
          <cell r="C3980" t="str">
            <v>BRS_GOLD__5_SPREADS:BRS_GOLD__3_OTHER_SPREADS:BRS_GOLD__1_MTG,TBA_ALL,PAYUP,NONAGENCY,MORT_IDIO,CRT,CRT_SP_RISK:BRS_GOLD__1_MTG-BASIS:USD_IO_ITM35_V600</v>
          </cell>
          <cell r="D3980" t="str">
            <v>Spread Duration</v>
          </cell>
          <cell r="E3980" t="str">
            <v>Spread Yield</v>
          </cell>
          <cell r="F3980" t="str">
            <v>Alternative</v>
          </cell>
          <cell r="G3980" t="str">
            <v>Other</v>
          </cell>
          <cell r="H3980" t="str">
            <v>ALTS</v>
          </cell>
          <cell r="I3980" t="str">
            <v>Mortgage - Moneyness</v>
          </cell>
        </row>
        <row r="3981">
          <cell r="A3981" t="str">
            <v>USD_IO_OTM5_V600</v>
          </cell>
          <cell r="B3981" t="str">
            <v>IO OTM50 V600</v>
          </cell>
          <cell r="C3981" t="str">
            <v>BRS_GOLD__5_SPREADS:BRS_GOLD__3_OTHER_SPREADS:BRS_GOLD__1_MTG,TBA_ALL,PAYUP,NONAGENCY,MORT_IDIO,CRT,CRT_SP_RISK:BRS_GOLD__1_MTG-BASIS:USD_IO_OTM5_V600</v>
          </cell>
          <cell r="D3981" t="str">
            <v>Spread Duration</v>
          </cell>
          <cell r="E3981" t="str">
            <v>Spread Yield</v>
          </cell>
          <cell r="F3981" t="str">
            <v>Alternative</v>
          </cell>
          <cell r="G3981" t="str">
            <v>Other</v>
          </cell>
          <cell r="H3981" t="str">
            <v>ALTS</v>
          </cell>
          <cell r="I3981" t="str">
            <v>Mortgage - Moneyness</v>
          </cell>
        </row>
        <row r="3982">
          <cell r="A3982" t="str">
            <v>USD_IO_OTM10_V600</v>
          </cell>
          <cell r="B3982" t="str">
            <v>IO OTM100 V600</v>
          </cell>
          <cell r="C3982" t="str">
            <v>BRS_GOLD__5_SPREADS:BRS_GOLD__3_OTHER_SPREADS:BRS_GOLD__1_MTG,TBA_ALL,PAYUP,NONAGENCY,MORT_IDIO,CRT,CRT_SP_RISK:BRS_GOLD__1_MTG-BASIS:USD_IO_OTM10_V600</v>
          </cell>
          <cell r="D3982" t="str">
            <v>Spread Duration</v>
          </cell>
          <cell r="E3982" t="str">
            <v>Spread Yield</v>
          </cell>
          <cell r="F3982" t="str">
            <v>Alternative</v>
          </cell>
          <cell r="G3982" t="str">
            <v>Other</v>
          </cell>
          <cell r="H3982" t="str">
            <v>ALTS</v>
          </cell>
          <cell r="I3982" t="str">
            <v>Mortgage - Moneyness</v>
          </cell>
        </row>
        <row r="3983">
          <cell r="A3983" t="str">
            <v>USD_IO_OTM15_V600</v>
          </cell>
          <cell r="B3983" t="str">
            <v>IO OTM150 V600</v>
          </cell>
          <cell r="C3983" t="str">
            <v>BRS_GOLD__5_SPREADS:BRS_GOLD__3_OTHER_SPREADS:BRS_GOLD__1_MTG,TBA_ALL,PAYUP,NONAGENCY,MORT_IDIO,CRT,CRT_SP_RISK:BRS_GOLD__1_MTG-BASIS:USD_IO_OTM15_V600</v>
          </cell>
          <cell r="D3983" t="str">
            <v>Spread Duration</v>
          </cell>
          <cell r="E3983" t="str">
            <v>Spread Yield</v>
          </cell>
          <cell r="F3983" t="str">
            <v>Alternative</v>
          </cell>
          <cell r="G3983" t="str">
            <v>Other</v>
          </cell>
          <cell r="H3983" t="str">
            <v>ALTS</v>
          </cell>
          <cell r="I3983" t="str">
            <v>Mortgage - Moneyness</v>
          </cell>
        </row>
        <row r="3984">
          <cell r="A3984" t="str">
            <v>USD_IO_OTM20_V600</v>
          </cell>
          <cell r="B3984" t="str">
            <v>IO OTM200 V600</v>
          </cell>
          <cell r="C3984" t="str">
            <v>BRS_GOLD__5_SPREADS:BRS_GOLD__3_OTHER_SPREADS:BRS_GOLD__1_MTG,TBA_ALL,PAYUP,NONAGENCY,MORT_IDIO,CRT,CRT_SP_RISK:BRS_GOLD__1_MTG-BASIS:USD_IO_OTM20_V600</v>
          </cell>
          <cell r="D3984" t="str">
            <v>Spread Duration</v>
          </cell>
          <cell r="E3984" t="str">
            <v>Spread Yield</v>
          </cell>
          <cell r="F3984" t="str">
            <v>Alternative</v>
          </cell>
          <cell r="G3984" t="str">
            <v>Other</v>
          </cell>
          <cell r="H3984" t="str">
            <v>ALTS</v>
          </cell>
          <cell r="I3984" t="str">
            <v>Mortgage - Moneyness</v>
          </cell>
        </row>
        <row r="3985">
          <cell r="A3985" t="str">
            <v>USD_IO_OTM25_V600</v>
          </cell>
          <cell r="B3985" t="str">
            <v>IO OTM250 V600</v>
          </cell>
          <cell r="C3985" t="str">
            <v>BRS_GOLD__5_SPREADS:BRS_GOLD__3_OTHER_SPREADS:BRS_GOLD__1_MTG,TBA_ALL,PAYUP,NONAGENCY,MORT_IDIO,CRT,CRT_SP_RISK:BRS_GOLD__1_MTG-BASIS:USD_IO_OTM25_V600</v>
          </cell>
          <cell r="D3985" t="str">
            <v>Spread Duration</v>
          </cell>
          <cell r="E3985" t="str">
            <v>Spread Yield</v>
          </cell>
          <cell r="F3985" t="str">
            <v>Alternative</v>
          </cell>
          <cell r="G3985" t="str">
            <v>Other</v>
          </cell>
          <cell r="H3985" t="str">
            <v>ALTS</v>
          </cell>
          <cell r="I3985" t="str">
            <v>Mortgage - Moneyness</v>
          </cell>
        </row>
        <row r="3986">
          <cell r="A3986" t="str">
            <v>USD_IO_OTM30_V600</v>
          </cell>
          <cell r="B3986" t="str">
            <v>IO OTM300 V600</v>
          </cell>
          <cell r="C3986" t="str">
            <v>BRS_GOLD__5_SPREADS:BRS_GOLD__3_OTHER_SPREADS:BRS_GOLD__1_MTG,TBA_ALL,PAYUP,NONAGENCY,MORT_IDIO,CRT,CRT_SP_RISK:BRS_GOLD__1_MTG-BASIS:USD_IO_OTM30_V600</v>
          </cell>
          <cell r="D3986" t="str">
            <v>Spread Duration</v>
          </cell>
          <cell r="E3986" t="str">
            <v>Spread Yield</v>
          </cell>
          <cell r="F3986" t="str">
            <v>Alternative</v>
          </cell>
          <cell r="G3986" t="str">
            <v>Other</v>
          </cell>
          <cell r="H3986" t="str">
            <v>ALTS</v>
          </cell>
          <cell r="I3986" t="str">
            <v>Mortgage - Moneyness</v>
          </cell>
        </row>
        <row r="3987">
          <cell r="A3987" t="str">
            <v>USD_IO_OTM35_V600</v>
          </cell>
          <cell r="B3987" t="str">
            <v>IO OTM350 V600</v>
          </cell>
          <cell r="C3987" t="str">
            <v>BRS_GOLD__5_SPREADS:BRS_GOLD__3_OTHER_SPREADS:BRS_GOLD__1_MTG,TBA_ALL,PAYUP,NONAGENCY,MORT_IDIO,CRT,CRT_SP_RISK:BRS_GOLD__1_MTG-BASIS:USD_IO_OTM35_V600</v>
          </cell>
          <cell r="D3987" t="str">
            <v>Spread Duration</v>
          </cell>
          <cell r="E3987" t="str">
            <v>Spread Yield</v>
          </cell>
          <cell r="F3987" t="str">
            <v>Alternative</v>
          </cell>
          <cell r="G3987" t="str">
            <v>Other</v>
          </cell>
          <cell r="H3987" t="str">
            <v>ALTS</v>
          </cell>
          <cell r="I3987" t="str">
            <v>Mortgage - Moneyness</v>
          </cell>
        </row>
        <row r="3988">
          <cell r="A3988" t="str">
            <v>USD_IO_ATM_V540</v>
          </cell>
          <cell r="B3988" t="str">
            <v>IO ATM V540</v>
          </cell>
          <cell r="C3988" t="str">
            <v>BRS_GOLD__5_SPREADS:BRS_GOLD__3_OTHER_SPREADS:BRS_GOLD__1_MTG,TBA_ALL,PAYUP,NONAGENCY,MORT_IDIO,CRT,CRT_SP_RISK:BRS_GOLD__1_MTG-BASIS:USD_IO_ATM_V540</v>
          </cell>
          <cell r="D3988" t="str">
            <v>Spread Duration</v>
          </cell>
          <cell r="E3988" t="str">
            <v>Spread Yield</v>
          </cell>
          <cell r="F3988" t="str">
            <v>Alternative</v>
          </cell>
          <cell r="G3988" t="str">
            <v>Other</v>
          </cell>
          <cell r="H3988" t="str">
            <v>ALTS</v>
          </cell>
          <cell r="I3988" t="str">
            <v>Mortgage - Moneyness</v>
          </cell>
        </row>
        <row r="3989">
          <cell r="A3989" t="str">
            <v>USD_PO_ATM_V540</v>
          </cell>
          <cell r="B3989" t="str">
            <v>PO ATM V540</v>
          </cell>
          <cell r="C3989" t="str">
            <v>BRS_GOLD__5_SPREADS:BRS_GOLD__3_OTHER_SPREADS:BRS_GOLD__1_MTG,TBA_ALL,PAYUP,NONAGENCY,MORT_IDIO,CRT,CRT_SP_RISK:BRS_GOLD__1_MTG-BASIS:USD_PO_ATM_V540</v>
          </cell>
          <cell r="D3989" t="str">
            <v>Spread Duration</v>
          </cell>
          <cell r="E3989" t="str">
            <v>Spread Yield</v>
          </cell>
          <cell r="F3989" t="str">
            <v>Alternative</v>
          </cell>
          <cell r="G3989" t="str">
            <v>Other</v>
          </cell>
          <cell r="H3989" t="str">
            <v>ALTS</v>
          </cell>
          <cell r="I3989" t="str">
            <v>Mortgage - Moneyness</v>
          </cell>
        </row>
        <row r="3990">
          <cell r="A3990" t="str">
            <v>USD_IO_ATM_V545</v>
          </cell>
          <cell r="B3990" t="str">
            <v>IO ATM V545</v>
          </cell>
          <cell r="C3990" t="str">
            <v>BRS_GOLD__5_SPREADS:BRS_GOLD__3_OTHER_SPREADS:BRS_GOLD__1_MTG,TBA_ALL,PAYUP,NONAGENCY,MORT_IDIO,CRT,CRT_SP_RISK:BRS_GOLD__1_MTG-BASIS:USD_IO_ATM_V545</v>
          </cell>
          <cell r="D3990" t="str">
            <v>Spread Duration</v>
          </cell>
          <cell r="E3990" t="str">
            <v>Spread Yield</v>
          </cell>
          <cell r="F3990" t="str">
            <v>Alternative</v>
          </cell>
          <cell r="G3990" t="str">
            <v>Other</v>
          </cell>
          <cell r="H3990" t="str">
            <v>ALTS</v>
          </cell>
          <cell r="I3990" t="str">
            <v>Mortgage - Moneyness</v>
          </cell>
        </row>
        <row r="3991">
          <cell r="A3991" t="str">
            <v>USD_PO_ATM_V545</v>
          </cell>
          <cell r="B3991" t="str">
            <v>PO ATM V545</v>
          </cell>
          <cell r="C3991" t="str">
            <v>BRS_GOLD__5_SPREADS:BRS_GOLD__3_OTHER_SPREADS:BRS_GOLD__1_MTG,TBA_ALL,PAYUP,NONAGENCY,MORT_IDIO,CRT,CRT_SP_RISK:BRS_GOLD__1_MTG-BASIS:USD_PO_ATM_V545</v>
          </cell>
          <cell r="D3991" t="str">
            <v>Spread Duration</v>
          </cell>
          <cell r="E3991" t="str">
            <v>Spread Yield</v>
          </cell>
          <cell r="F3991" t="str">
            <v>Alternative</v>
          </cell>
          <cell r="G3991" t="str">
            <v>Other</v>
          </cell>
          <cell r="H3991" t="str">
            <v>ALTS</v>
          </cell>
          <cell r="I3991" t="str">
            <v>Mortgage - Moneyness</v>
          </cell>
        </row>
        <row r="3992">
          <cell r="A3992" t="str">
            <v>USD_IO_ATM_V546</v>
          </cell>
          <cell r="B3992" t="str">
            <v>IO ATM V546</v>
          </cell>
          <cell r="C3992" t="str">
            <v>BRS_GOLD__5_SPREADS:BRS_GOLD__3_OTHER_SPREADS:BRS_GOLD__1_MTG,TBA_ALL,PAYUP,NONAGENCY,MORT_IDIO,CRT,CRT_SP_RISK:BRS_GOLD__1_MTG-BASIS:USD_IO_ATM_V546</v>
          </cell>
          <cell r="D3992" t="str">
            <v>Spread Duration</v>
          </cell>
          <cell r="E3992" t="str">
            <v>Spread Yield</v>
          </cell>
          <cell r="F3992" t="str">
            <v>Alternative</v>
          </cell>
          <cell r="G3992" t="str">
            <v>Other</v>
          </cell>
          <cell r="H3992" t="str">
            <v>ALTS</v>
          </cell>
          <cell r="I3992" t="str">
            <v>Mortgage - Moneyness</v>
          </cell>
        </row>
        <row r="3993">
          <cell r="A3993" t="str">
            <v>USD_PO_ATM_V546</v>
          </cell>
          <cell r="B3993" t="str">
            <v>PO ATM V546</v>
          </cell>
          <cell r="C3993" t="str">
            <v>BRS_GOLD__5_SPREADS:BRS_GOLD__3_OTHER_SPREADS:BRS_GOLD__1_MTG,TBA_ALL,PAYUP,NONAGENCY,MORT_IDIO,CRT,CRT_SP_RISK:BRS_GOLD__1_MTG-BASIS:USD_PO_ATM_V546</v>
          </cell>
          <cell r="D3993" t="str">
            <v>Spread Duration</v>
          </cell>
          <cell r="E3993" t="str">
            <v>Spread Yield</v>
          </cell>
          <cell r="F3993" t="str">
            <v>Alternative</v>
          </cell>
          <cell r="G3993" t="str">
            <v>Other</v>
          </cell>
          <cell r="H3993" t="str">
            <v>ALTS</v>
          </cell>
          <cell r="I3993" t="str">
            <v>Mortgage - Moneyness</v>
          </cell>
        </row>
        <row r="3994">
          <cell r="A3994" t="str">
            <v>USD_IO_ATM_V604</v>
          </cell>
          <cell r="B3994" t="str">
            <v>IO ATM V604</v>
          </cell>
          <cell r="C3994" t="str">
            <v>BRS_GOLD__5_SPREADS:BRS_GOLD__3_OTHER_SPREADS:BRS_GOLD__1_MTG,TBA_ALL,PAYUP,NONAGENCY,MORT_IDIO,CRT,CRT_SP_RISK:BRS_GOLD__1_MTG-BASIS:USD_IO_ATM_V604</v>
          </cell>
          <cell r="D3994" t="str">
            <v>Spread Duration</v>
          </cell>
          <cell r="E3994" t="str">
            <v>Spread Yield</v>
          </cell>
          <cell r="F3994" t="str">
            <v>Alternative</v>
          </cell>
          <cell r="G3994" t="str">
            <v>Other</v>
          </cell>
          <cell r="H3994" t="str">
            <v>ALTS</v>
          </cell>
          <cell r="I3994" t="str">
            <v>Mortgage - Moneyness</v>
          </cell>
        </row>
        <row r="3995">
          <cell r="A3995" t="str">
            <v>USD_IO_ITM5_V604</v>
          </cell>
          <cell r="B3995" t="str">
            <v>IO ITM50 V604</v>
          </cell>
          <cell r="C3995" t="str">
            <v>BRS_GOLD__5_SPREADS:BRS_GOLD__3_OTHER_SPREADS:BRS_GOLD__1_MTG,TBA_ALL,PAYUP,NONAGENCY,MORT_IDIO,CRT,CRT_SP_RISK:BRS_GOLD__1_MTG-BASIS:USD_IO_ITM5_V604</v>
          </cell>
          <cell r="D3995" t="str">
            <v>Spread Duration</v>
          </cell>
          <cell r="E3995" t="str">
            <v>Spread Yield</v>
          </cell>
          <cell r="F3995" t="str">
            <v>Alternative</v>
          </cell>
          <cell r="G3995" t="str">
            <v>Other</v>
          </cell>
          <cell r="H3995" t="str">
            <v>ALTS</v>
          </cell>
          <cell r="I3995" t="str">
            <v>Mortgage - Moneyness</v>
          </cell>
        </row>
        <row r="3996">
          <cell r="A3996" t="str">
            <v>USD_IO_ITM10_V604</v>
          </cell>
          <cell r="B3996" t="str">
            <v>IO ITM100 V604</v>
          </cell>
          <cell r="C3996" t="str">
            <v>BRS_GOLD__5_SPREADS:BRS_GOLD__3_OTHER_SPREADS:BRS_GOLD__1_MTG,TBA_ALL,PAYUP,NONAGENCY,MORT_IDIO,CRT,CRT_SP_RISK:BRS_GOLD__1_MTG-BASIS:USD_IO_ITM10_V604</v>
          </cell>
          <cell r="D3996" t="str">
            <v>Spread Duration</v>
          </cell>
          <cell r="E3996" t="str">
            <v>Spread Yield</v>
          </cell>
          <cell r="F3996" t="str">
            <v>Alternative</v>
          </cell>
          <cell r="G3996" t="str">
            <v>Other</v>
          </cell>
          <cell r="H3996" t="str">
            <v>ALTS</v>
          </cell>
          <cell r="I3996" t="str">
            <v>Mortgage - Moneyness</v>
          </cell>
        </row>
        <row r="3997">
          <cell r="A3997" t="str">
            <v>USD_IO_ITM15_V604</v>
          </cell>
          <cell r="B3997" t="str">
            <v>IO ITM150 V604</v>
          </cell>
          <cell r="C3997" t="str">
            <v>BRS_GOLD__5_SPREADS:BRS_GOLD__3_OTHER_SPREADS:BRS_GOLD__1_MTG,TBA_ALL,PAYUP,NONAGENCY,MORT_IDIO,CRT,CRT_SP_RISK:BRS_GOLD__1_MTG-BASIS:USD_IO_ITM15_V604</v>
          </cell>
          <cell r="D3997" t="str">
            <v>Spread Duration</v>
          </cell>
          <cell r="E3997" t="str">
            <v>Spread Yield</v>
          </cell>
          <cell r="F3997" t="str">
            <v>Alternative</v>
          </cell>
          <cell r="G3997" t="str">
            <v>Other</v>
          </cell>
          <cell r="H3997" t="str">
            <v>ALTS</v>
          </cell>
          <cell r="I3997" t="str">
            <v>Mortgage - Moneyness</v>
          </cell>
        </row>
        <row r="3998">
          <cell r="A3998" t="str">
            <v>USD_IO_ITM20_V604</v>
          </cell>
          <cell r="B3998" t="str">
            <v>IO ITM200 V604</v>
          </cell>
          <cell r="C3998" t="str">
            <v>BRS_GOLD__5_SPREADS:BRS_GOLD__3_OTHER_SPREADS:BRS_GOLD__1_MTG,TBA_ALL,PAYUP,NONAGENCY,MORT_IDIO,CRT,CRT_SP_RISK:BRS_GOLD__1_MTG-BASIS:USD_IO_ITM20_V604</v>
          </cell>
          <cell r="D3998" t="str">
            <v>Spread Duration</v>
          </cell>
          <cell r="E3998" t="str">
            <v>Spread Yield</v>
          </cell>
          <cell r="F3998" t="str">
            <v>Alternative</v>
          </cell>
          <cell r="G3998" t="str">
            <v>Other</v>
          </cell>
          <cell r="H3998" t="str">
            <v>ALTS</v>
          </cell>
          <cell r="I3998" t="str">
            <v>Mortgage - Moneyness</v>
          </cell>
        </row>
        <row r="3999">
          <cell r="A3999" t="str">
            <v>USD_IO_ITM25_V604</v>
          </cell>
          <cell r="B3999" t="str">
            <v>IO ITM250 V604</v>
          </cell>
          <cell r="C3999" t="str">
            <v>BRS_GOLD__5_SPREADS:BRS_GOLD__3_OTHER_SPREADS:BRS_GOLD__1_MTG,TBA_ALL,PAYUP,NONAGENCY,MORT_IDIO,CRT,CRT_SP_RISK:BRS_GOLD__1_MTG-BASIS:USD_IO_ITM25_V604</v>
          </cell>
          <cell r="D3999" t="str">
            <v>Spread Duration</v>
          </cell>
          <cell r="E3999" t="str">
            <v>Spread Yield</v>
          </cell>
          <cell r="F3999" t="str">
            <v>Alternative</v>
          </cell>
          <cell r="G3999" t="str">
            <v>Other</v>
          </cell>
          <cell r="H3999" t="str">
            <v>ALTS</v>
          </cell>
          <cell r="I3999" t="str">
            <v>Mortgage - Moneyness</v>
          </cell>
        </row>
        <row r="4000">
          <cell r="A4000" t="str">
            <v>USD_IO_ITM30_V604</v>
          </cell>
          <cell r="B4000" t="str">
            <v>IO ITM300 V604</v>
          </cell>
          <cell r="C4000" t="str">
            <v>BRS_GOLD__5_SPREADS:BRS_GOLD__3_OTHER_SPREADS:BRS_GOLD__1_MTG,TBA_ALL,PAYUP,NONAGENCY,MORT_IDIO,CRT,CRT_SP_RISK:BRS_GOLD__1_MTG-BASIS:USD_IO_ITM30_V604</v>
          </cell>
          <cell r="D4000" t="str">
            <v>Spread Duration</v>
          </cell>
          <cell r="E4000" t="str">
            <v>Spread Yield</v>
          </cell>
          <cell r="F4000" t="str">
            <v>Alternative</v>
          </cell>
          <cell r="G4000" t="str">
            <v>Other</v>
          </cell>
          <cell r="H4000" t="str">
            <v>ALTS</v>
          </cell>
          <cell r="I4000" t="str">
            <v>Mortgage - Moneyness</v>
          </cell>
        </row>
        <row r="4001">
          <cell r="A4001" t="str">
            <v>USD_IO_ITM35_V604</v>
          </cell>
          <cell r="B4001" t="str">
            <v>IO ITM350 V604</v>
          </cell>
          <cell r="C4001" t="str">
            <v>BRS_GOLD__5_SPREADS:BRS_GOLD__3_OTHER_SPREADS:BRS_GOLD__1_MTG,TBA_ALL,PAYUP,NONAGENCY,MORT_IDIO,CRT,CRT_SP_RISK:BRS_GOLD__1_MTG-BASIS:USD_IO_ITM35_V604</v>
          </cell>
          <cell r="D4001" t="str">
            <v>Spread Duration</v>
          </cell>
          <cell r="E4001" t="str">
            <v>Spread Yield</v>
          </cell>
          <cell r="F4001" t="str">
            <v>Alternative</v>
          </cell>
          <cell r="G4001" t="str">
            <v>Other</v>
          </cell>
          <cell r="H4001" t="str">
            <v>ALTS</v>
          </cell>
          <cell r="I4001" t="str">
            <v>Mortgage - Moneyness</v>
          </cell>
        </row>
        <row r="4002">
          <cell r="A4002" t="str">
            <v>USD_IO_OTM5_V604</v>
          </cell>
          <cell r="B4002" t="str">
            <v>IO OTM50 V604</v>
          </cell>
          <cell r="C4002" t="str">
            <v>BRS_GOLD__5_SPREADS:BRS_GOLD__3_OTHER_SPREADS:BRS_GOLD__1_MTG,TBA_ALL,PAYUP,NONAGENCY,MORT_IDIO,CRT,CRT_SP_RISK:BRS_GOLD__1_MTG-BASIS:USD_IO_OTM5_V604</v>
          </cell>
          <cell r="D4002" t="str">
            <v>Spread Duration</v>
          </cell>
          <cell r="E4002" t="str">
            <v>Spread Yield</v>
          </cell>
          <cell r="F4002" t="str">
            <v>Alternative</v>
          </cell>
          <cell r="G4002" t="str">
            <v>Other</v>
          </cell>
          <cell r="H4002" t="str">
            <v>ALTS</v>
          </cell>
          <cell r="I4002" t="str">
            <v>Mortgage - Moneyness</v>
          </cell>
        </row>
        <row r="4003">
          <cell r="A4003" t="str">
            <v>USD_IO_OTM10_V604</v>
          </cell>
          <cell r="B4003" t="str">
            <v>IO OTM100 V604</v>
          </cell>
          <cell r="C4003" t="str">
            <v>BRS_GOLD__5_SPREADS:BRS_GOLD__3_OTHER_SPREADS:BRS_GOLD__1_MTG,TBA_ALL,PAYUP,NONAGENCY,MORT_IDIO,CRT,CRT_SP_RISK:BRS_GOLD__1_MTG-BASIS:USD_IO_OTM10_V604</v>
          </cell>
          <cell r="D4003" t="str">
            <v>Spread Duration</v>
          </cell>
          <cell r="E4003" t="str">
            <v>Spread Yield</v>
          </cell>
          <cell r="F4003" t="str">
            <v>Alternative</v>
          </cell>
          <cell r="G4003" t="str">
            <v>Other</v>
          </cell>
          <cell r="H4003" t="str">
            <v>ALTS</v>
          </cell>
          <cell r="I4003" t="str">
            <v>Mortgage - Moneyness</v>
          </cell>
        </row>
        <row r="4004">
          <cell r="A4004" t="str">
            <v>USD_IO_OTM15_V604</v>
          </cell>
          <cell r="B4004" t="str">
            <v>IO OTM150 V604</v>
          </cell>
          <cell r="C4004" t="str">
            <v>BRS_GOLD__5_SPREADS:BRS_GOLD__3_OTHER_SPREADS:BRS_GOLD__1_MTG,TBA_ALL,PAYUP,NONAGENCY,MORT_IDIO,CRT,CRT_SP_RISK:BRS_GOLD__1_MTG-BASIS:USD_IO_OTM15_V604</v>
          </cell>
          <cell r="D4004" t="str">
            <v>Spread Duration</v>
          </cell>
          <cell r="E4004" t="str">
            <v>Spread Yield</v>
          </cell>
          <cell r="F4004" t="str">
            <v>Alternative</v>
          </cell>
          <cell r="G4004" t="str">
            <v>Other</v>
          </cell>
          <cell r="H4004" t="str">
            <v>ALTS</v>
          </cell>
          <cell r="I4004" t="str">
            <v>Mortgage - Moneyness</v>
          </cell>
        </row>
        <row r="4005">
          <cell r="A4005" t="str">
            <v>USD_IO_OTM20_V604</v>
          </cell>
          <cell r="B4005" t="str">
            <v>IO OTM200 V604</v>
          </cell>
          <cell r="C4005" t="str">
            <v>BRS_GOLD__5_SPREADS:BRS_GOLD__3_OTHER_SPREADS:BRS_GOLD__1_MTG,TBA_ALL,PAYUP,NONAGENCY,MORT_IDIO,CRT,CRT_SP_RISK:BRS_GOLD__1_MTG-BASIS:USD_IO_OTM20_V604</v>
          </cell>
          <cell r="D4005" t="str">
            <v>Spread Duration</v>
          </cell>
          <cell r="E4005" t="str">
            <v>Spread Yield</v>
          </cell>
          <cell r="F4005" t="str">
            <v>Alternative</v>
          </cell>
          <cell r="G4005" t="str">
            <v>Other</v>
          </cell>
          <cell r="H4005" t="str">
            <v>ALTS</v>
          </cell>
          <cell r="I4005" t="str">
            <v>Mortgage - Moneyness</v>
          </cell>
        </row>
        <row r="4006">
          <cell r="A4006" t="str">
            <v>USD_IO_OTM25_V604</v>
          </cell>
          <cell r="B4006" t="str">
            <v>IO OTM250 V604</v>
          </cell>
          <cell r="C4006" t="str">
            <v>BRS_GOLD__5_SPREADS:BRS_GOLD__3_OTHER_SPREADS:BRS_GOLD__1_MTG,TBA_ALL,PAYUP,NONAGENCY,MORT_IDIO,CRT,CRT_SP_RISK:BRS_GOLD__1_MTG-BASIS:USD_IO_OTM25_V604</v>
          </cell>
          <cell r="D4006" t="str">
            <v>Spread Duration</v>
          </cell>
          <cell r="E4006" t="str">
            <v>Spread Yield</v>
          </cell>
          <cell r="F4006" t="str">
            <v>Alternative</v>
          </cell>
          <cell r="G4006" t="str">
            <v>Other</v>
          </cell>
          <cell r="H4006" t="str">
            <v>ALTS</v>
          </cell>
          <cell r="I4006" t="str">
            <v>Mortgage - Moneyness</v>
          </cell>
        </row>
        <row r="4007">
          <cell r="A4007" t="str">
            <v>USD_IO_OTM30_V604</v>
          </cell>
          <cell r="B4007" t="str">
            <v>IO OTM300 V604</v>
          </cell>
          <cell r="C4007" t="str">
            <v>BRS_GOLD__5_SPREADS:BRS_GOLD__3_OTHER_SPREADS:BRS_GOLD__1_MTG,TBA_ALL,PAYUP,NONAGENCY,MORT_IDIO,CRT,CRT_SP_RISK:BRS_GOLD__1_MTG-BASIS:USD_IO_OTM30_V604</v>
          </cell>
          <cell r="D4007" t="str">
            <v>Spread Duration</v>
          </cell>
          <cell r="E4007" t="str">
            <v>Spread Yield</v>
          </cell>
          <cell r="F4007" t="str">
            <v>Alternative</v>
          </cell>
          <cell r="G4007" t="str">
            <v>Other</v>
          </cell>
          <cell r="H4007" t="str">
            <v>ALTS</v>
          </cell>
          <cell r="I4007" t="str">
            <v>Mortgage - Moneyness</v>
          </cell>
        </row>
        <row r="4008">
          <cell r="A4008" t="str">
            <v>USD_IO_OTM35_V604</v>
          </cell>
          <cell r="B4008" t="str">
            <v>IO OTM350 V604</v>
          </cell>
          <cell r="C4008" t="str">
            <v>BRS_GOLD__5_SPREADS:BRS_GOLD__3_OTHER_SPREADS:BRS_GOLD__1_MTG,TBA_ALL,PAYUP,NONAGENCY,MORT_IDIO,CRT,CRT_SP_RISK:BRS_GOLD__1_MTG-BASIS:USD_IO_OTM35_V604</v>
          </cell>
          <cell r="D4008" t="str">
            <v>Spread Duration</v>
          </cell>
          <cell r="E4008" t="str">
            <v>Spread Yield</v>
          </cell>
          <cell r="F4008" t="str">
            <v>Alternative</v>
          </cell>
          <cell r="G4008" t="str">
            <v>Other</v>
          </cell>
          <cell r="H4008" t="str">
            <v>ALTS</v>
          </cell>
          <cell r="I4008" t="str">
            <v>Mortgage - Moneyness</v>
          </cell>
        </row>
        <row r="4009">
          <cell r="A4009" t="str">
            <v>USD_PO_ATM_V604</v>
          </cell>
          <cell r="B4009" t="str">
            <v>PO ATM V604</v>
          </cell>
          <cell r="C4009" t="str">
            <v>BRS_GOLD__5_SPREADS:BRS_GOLD__3_OTHER_SPREADS:BRS_GOLD__1_MTG,TBA_ALL,PAYUP,NONAGENCY,MORT_IDIO,CRT,CRT_SP_RISK:BRS_GOLD__1_MTG-BASIS:USD_PO_ATM_V604</v>
          </cell>
          <cell r="D4009" t="str">
            <v>Spread Duration</v>
          </cell>
          <cell r="E4009" t="str">
            <v>Spread Yield</v>
          </cell>
          <cell r="F4009" t="str">
            <v>Alternative</v>
          </cell>
          <cell r="G4009" t="str">
            <v>Other</v>
          </cell>
          <cell r="H4009" t="str">
            <v>ALTS</v>
          </cell>
          <cell r="I4009" t="str">
            <v>Mortgage - Moneyness</v>
          </cell>
        </row>
        <row r="4010">
          <cell r="A4010" t="str">
            <v>USD_PO_ITM5_V604</v>
          </cell>
          <cell r="B4010" t="str">
            <v>PO ITM50 V604</v>
          </cell>
          <cell r="C4010" t="str">
            <v>BRS_GOLD__5_SPREADS:BRS_GOLD__3_OTHER_SPREADS:BRS_GOLD__1_MTG,TBA_ALL,PAYUP,NONAGENCY,MORT_IDIO,CRT,CRT_SP_RISK:BRS_GOLD__1_MTG-BASIS:USD_PO_ITM5_V604</v>
          </cell>
          <cell r="D4010" t="str">
            <v>Spread Duration</v>
          </cell>
          <cell r="E4010" t="str">
            <v>Spread Yield</v>
          </cell>
          <cell r="F4010" t="str">
            <v>Alternative</v>
          </cell>
          <cell r="G4010" t="str">
            <v>Other</v>
          </cell>
          <cell r="H4010" t="str">
            <v>ALTS</v>
          </cell>
          <cell r="I4010" t="str">
            <v>Mortgage - Moneyness</v>
          </cell>
        </row>
        <row r="4011">
          <cell r="A4011" t="str">
            <v>USD_PO_ITM10_V604</v>
          </cell>
          <cell r="B4011" t="str">
            <v>PO ITM100 V604</v>
          </cell>
          <cell r="C4011" t="str">
            <v>BRS_GOLD__5_SPREADS:BRS_GOLD__3_OTHER_SPREADS:BRS_GOLD__1_MTG,TBA_ALL,PAYUP,NONAGENCY,MORT_IDIO,CRT,CRT_SP_RISK:BRS_GOLD__1_MTG-BASIS:USD_PO_ITM10_V604</v>
          </cell>
          <cell r="D4011" t="str">
            <v>Spread Duration</v>
          </cell>
          <cell r="E4011" t="str">
            <v>Spread Yield</v>
          </cell>
          <cell r="F4011" t="str">
            <v>Alternative</v>
          </cell>
          <cell r="G4011" t="str">
            <v>Other</v>
          </cell>
          <cell r="H4011" t="str">
            <v>ALTS</v>
          </cell>
          <cell r="I4011" t="str">
            <v>Mortgage - Moneyness</v>
          </cell>
        </row>
        <row r="4012">
          <cell r="A4012" t="str">
            <v>USD_PO_ITM15_V604</v>
          </cell>
          <cell r="B4012" t="str">
            <v>PO ITM150 V604</v>
          </cell>
          <cell r="C4012" t="str">
            <v>BRS_GOLD__5_SPREADS:BRS_GOLD__3_OTHER_SPREADS:BRS_GOLD__1_MTG,TBA_ALL,PAYUP,NONAGENCY,MORT_IDIO,CRT,CRT_SP_RISK:BRS_GOLD__1_MTG-BASIS:USD_PO_ITM15_V604</v>
          </cell>
          <cell r="D4012" t="str">
            <v>Spread Duration</v>
          </cell>
          <cell r="E4012" t="str">
            <v>Spread Yield</v>
          </cell>
          <cell r="F4012" t="str">
            <v>Alternative</v>
          </cell>
          <cell r="G4012" t="str">
            <v>Other</v>
          </cell>
          <cell r="H4012" t="str">
            <v>ALTS</v>
          </cell>
          <cell r="I4012" t="str">
            <v>Mortgage - Moneyness</v>
          </cell>
        </row>
        <row r="4013">
          <cell r="A4013" t="str">
            <v>USD_PO_ITM20_V604</v>
          </cell>
          <cell r="B4013" t="str">
            <v>PO ITM200 V604</v>
          </cell>
          <cell r="C4013" t="str">
            <v>BRS_GOLD__5_SPREADS:BRS_GOLD__3_OTHER_SPREADS:BRS_GOLD__1_MTG,TBA_ALL,PAYUP,NONAGENCY,MORT_IDIO,CRT,CRT_SP_RISK:BRS_GOLD__1_MTG-BASIS:USD_PO_ITM20_V604</v>
          </cell>
          <cell r="D4013" t="str">
            <v>Spread Duration</v>
          </cell>
          <cell r="E4013" t="str">
            <v>Spread Yield</v>
          </cell>
          <cell r="F4013" t="str">
            <v>Alternative</v>
          </cell>
          <cell r="G4013" t="str">
            <v>Other</v>
          </cell>
          <cell r="H4013" t="str">
            <v>ALTS</v>
          </cell>
          <cell r="I4013" t="str">
            <v>Mortgage - Moneyness</v>
          </cell>
        </row>
        <row r="4014">
          <cell r="A4014" t="str">
            <v>USD_PO_ITM25_V604</v>
          </cell>
          <cell r="B4014" t="str">
            <v>PO ITM250 V604</v>
          </cell>
          <cell r="C4014" t="str">
            <v>BRS_GOLD__5_SPREADS:BRS_GOLD__3_OTHER_SPREADS:BRS_GOLD__1_MTG,TBA_ALL,PAYUP,NONAGENCY,MORT_IDIO,CRT,CRT_SP_RISK:BRS_GOLD__1_MTG-BASIS:USD_PO_ITM25_V604</v>
          </cell>
          <cell r="D4014" t="str">
            <v>Spread Duration</v>
          </cell>
          <cell r="E4014" t="str">
            <v>Spread Yield</v>
          </cell>
          <cell r="F4014" t="str">
            <v>Alternative</v>
          </cell>
          <cell r="G4014" t="str">
            <v>Other</v>
          </cell>
          <cell r="H4014" t="str">
            <v>ALTS</v>
          </cell>
          <cell r="I4014" t="str">
            <v>Mortgage - Moneyness</v>
          </cell>
        </row>
        <row r="4015">
          <cell r="A4015" t="str">
            <v>USD_PO_ITM30_V604</v>
          </cell>
          <cell r="B4015" t="str">
            <v>PO ITM300 V604</v>
          </cell>
          <cell r="C4015" t="str">
            <v>BRS_GOLD__5_SPREADS:BRS_GOLD__3_OTHER_SPREADS:BRS_GOLD__1_MTG,TBA_ALL,PAYUP,NONAGENCY,MORT_IDIO,CRT,CRT_SP_RISK:BRS_GOLD__1_MTG-BASIS:USD_PO_ITM30_V604</v>
          </cell>
          <cell r="D4015" t="str">
            <v>Spread Duration</v>
          </cell>
          <cell r="E4015" t="str">
            <v>Spread Yield</v>
          </cell>
          <cell r="F4015" t="str">
            <v>Alternative</v>
          </cell>
          <cell r="G4015" t="str">
            <v>Other</v>
          </cell>
          <cell r="H4015" t="str">
            <v>ALTS</v>
          </cell>
          <cell r="I4015" t="str">
            <v>Mortgage - Moneyness</v>
          </cell>
        </row>
        <row r="4016">
          <cell r="A4016" t="str">
            <v>USD_PO_ITM35_V604</v>
          </cell>
          <cell r="B4016" t="str">
            <v>PO ITM350 V604</v>
          </cell>
          <cell r="C4016" t="str">
            <v>BRS_GOLD__5_SPREADS:BRS_GOLD__3_OTHER_SPREADS:BRS_GOLD__1_MTG,TBA_ALL,PAYUP,NONAGENCY,MORT_IDIO,CRT,CRT_SP_RISK:BRS_GOLD__1_MTG-BASIS:USD_PO_ITM35_V604</v>
          </cell>
          <cell r="D4016" t="str">
            <v>Spread Duration</v>
          </cell>
          <cell r="E4016" t="str">
            <v>Spread Yield</v>
          </cell>
          <cell r="F4016" t="str">
            <v>Alternative</v>
          </cell>
          <cell r="G4016" t="str">
            <v>Other</v>
          </cell>
          <cell r="H4016" t="str">
            <v>ALTS</v>
          </cell>
          <cell r="I4016" t="str">
            <v>Mortgage - Moneyness</v>
          </cell>
        </row>
        <row r="4017">
          <cell r="A4017" t="str">
            <v>USD_PO_OTM5_V604</v>
          </cell>
          <cell r="B4017" t="str">
            <v>PO OTM50 V604</v>
          </cell>
          <cell r="C4017" t="str">
            <v>BRS_GOLD__5_SPREADS:BRS_GOLD__3_OTHER_SPREADS:BRS_GOLD__1_MTG,TBA_ALL,PAYUP,NONAGENCY,MORT_IDIO,CRT,CRT_SP_RISK:BRS_GOLD__1_MTG-BASIS:USD_PO_OTM5_V604</v>
          </cell>
          <cell r="D4017" t="str">
            <v>Spread Duration</v>
          </cell>
          <cell r="E4017" t="str">
            <v>Spread Yield</v>
          </cell>
          <cell r="F4017" t="str">
            <v>Alternative</v>
          </cell>
          <cell r="G4017" t="str">
            <v>Other</v>
          </cell>
          <cell r="H4017" t="str">
            <v>ALTS</v>
          </cell>
          <cell r="I4017" t="str">
            <v>Mortgage - Moneyness</v>
          </cell>
        </row>
        <row r="4018">
          <cell r="A4018" t="str">
            <v>USD_PO_OTM10_V604</v>
          </cell>
          <cell r="B4018" t="str">
            <v>PO OTM100 V604</v>
          </cell>
          <cell r="C4018" t="str">
            <v>BRS_GOLD__5_SPREADS:BRS_GOLD__3_OTHER_SPREADS:BRS_GOLD__1_MTG,TBA_ALL,PAYUP,NONAGENCY,MORT_IDIO,CRT,CRT_SP_RISK:BRS_GOLD__1_MTG-BASIS:USD_PO_OTM10_V604</v>
          </cell>
          <cell r="D4018" t="str">
            <v>Spread Duration</v>
          </cell>
          <cell r="E4018" t="str">
            <v>Spread Yield</v>
          </cell>
          <cell r="F4018" t="str">
            <v>Alternative</v>
          </cell>
          <cell r="G4018" t="str">
            <v>Other</v>
          </cell>
          <cell r="H4018" t="str">
            <v>ALTS</v>
          </cell>
          <cell r="I4018" t="str">
            <v>Mortgage - Moneyness</v>
          </cell>
        </row>
        <row r="4019">
          <cell r="A4019" t="str">
            <v>USD_PO_OTM15_V604</v>
          </cell>
          <cell r="B4019" t="str">
            <v>PO OTM150 V604</v>
          </cell>
          <cell r="C4019" t="str">
            <v>BRS_GOLD__5_SPREADS:BRS_GOLD__3_OTHER_SPREADS:BRS_GOLD__1_MTG,TBA_ALL,PAYUP,NONAGENCY,MORT_IDIO,CRT,CRT_SP_RISK:BRS_GOLD__1_MTG-BASIS:USD_PO_OTM15_V604</v>
          </cell>
          <cell r="D4019" t="str">
            <v>Spread Duration</v>
          </cell>
          <cell r="E4019" t="str">
            <v>Spread Yield</v>
          </cell>
          <cell r="F4019" t="str">
            <v>Alternative</v>
          </cell>
          <cell r="G4019" t="str">
            <v>Other</v>
          </cell>
          <cell r="H4019" t="str">
            <v>ALTS</v>
          </cell>
          <cell r="I4019" t="str">
            <v>Mortgage - Moneyness</v>
          </cell>
        </row>
        <row r="4020">
          <cell r="A4020" t="str">
            <v>USD_PO_OTM20_V604</v>
          </cell>
          <cell r="B4020" t="str">
            <v>PO OTM200 V604</v>
          </cell>
          <cell r="C4020" t="str">
            <v>BRS_GOLD__5_SPREADS:BRS_GOLD__3_OTHER_SPREADS:BRS_GOLD__1_MTG,TBA_ALL,PAYUP,NONAGENCY,MORT_IDIO,CRT,CRT_SP_RISK:BRS_GOLD__1_MTG-BASIS:USD_PO_OTM20_V604</v>
          </cell>
          <cell r="D4020" t="str">
            <v>Spread Duration</v>
          </cell>
          <cell r="E4020" t="str">
            <v>Spread Yield</v>
          </cell>
          <cell r="F4020" t="str">
            <v>Alternative</v>
          </cell>
          <cell r="G4020" t="str">
            <v>Other</v>
          </cell>
          <cell r="H4020" t="str">
            <v>ALTS</v>
          </cell>
          <cell r="I4020" t="str">
            <v>Mortgage - Moneyness</v>
          </cell>
        </row>
        <row r="4021">
          <cell r="A4021" t="str">
            <v>USD_PO_OTM25_V604</v>
          </cell>
          <cell r="B4021" t="str">
            <v>PO OTM250 V604</v>
          </cell>
          <cell r="C4021" t="str">
            <v>BRS_GOLD__5_SPREADS:BRS_GOLD__3_OTHER_SPREADS:BRS_GOLD__1_MTG,TBA_ALL,PAYUP,NONAGENCY,MORT_IDIO,CRT,CRT_SP_RISK:BRS_GOLD__1_MTG-BASIS:USD_PO_OTM25_V604</v>
          </cell>
          <cell r="D4021" t="str">
            <v>Spread Duration</v>
          </cell>
          <cell r="E4021" t="str">
            <v>Spread Yield</v>
          </cell>
          <cell r="F4021" t="str">
            <v>Alternative</v>
          </cell>
          <cell r="G4021" t="str">
            <v>Other</v>
          </cell>
          <cell r="H4021" t="str">
            <v>ALTS</v>
          </cell>
          <cell r="I4021" t="str">
            <v>Mortgage - Moneyness</v>
          </cell>
        </row>
        <row r="4022">
          <cell r="A4022" t="str">
            <v>USD_PO_OTM30_V604</v>
          </cell>
          <cell r="B4022" t="str">
            <v>PO OTM300 V604</v>
          </cell>
          <cell r="C4022" t="str">
            <v>BRS_GOLD__5_SPREADS:BRS_GOLD__3_OTHER_SPREADS:BRS_GOLD__1_MTG,TBA_ALL,PAYUP,NONAGENCY,MORT_IDIO,CRT,CRT_SP_RISK:BRS_GOLD__1_MTG-BASIS:USD_PO_OTM30_V604</v>
          </cell>
          <cell r="D4022" t="str">
            <v>Spread Duration</v>
          </cell>
          <cell r="E4022" t="str">
            <v>Spread Yield</v>
          </cell>
          <cell r="F4022" t="str">
            <v>Alternative</v>
          </cell>
          <cell r="G4022" t="str">
            <v>Other</v>
          </cell>
          <cell r="H4022" t="str">
            <v>ALTS</v>
          </cell>
          <cell r="I4022" t="str">
            <v>Mortgage - Moneyness</v>
          </cell>
        </row>
        <row r="4023">
          <cell r="A4023" t="str">
            <v>USD_PO_OTM35_V604</v>
          </cell>
          <cell r="B4023" t="str">
            <v>PO OTM350 V604</v>
          </cell>
          <cell r="C4023" t="str">
            <v>BRS_GOLD__5_SPREADS:BRS_GOLD__3_OTHER_SPREADS:BRS_GOLD__1_MTG,TBA_ALL,PAYUP,NONAGENCY,MORT_IDIO,CRT,CRT_SP_RISK:BRS_GOLD__1_MTG-BASIS:USD_PO_OTM35_V604</v>
          </cell>
          <cell r="D4023" t="str">
            <v>Spread Duration</v>
          </cell>
          <cell r="E4023" t="str">
            <v>Spread Yield</v>
          </cell>
          <cell r="F4023" t="str">
            <v>Alternative</v>
          </cell>
          <cell r="G4023" t="str">
            <v>Other</v>
          </cell>
          <cell r="H4023" t="str">
            <v>ALTS</v>
          </cell>
          <cell r="I4023" t="str">
            <v>Mortgage - Moneyness</v>
          </cell>
        </row>
        <row r="4024">
          <cell r="A4024" t="str">
            <v>ALL_mtg30_tsy_V604</v>
          </cell>
          <cell r="B4024" t="str">
            <v>30yr Mtg Tsy Basis V604</v>
          </cell>
          <cell r="C4024" t="str">
            <v>BRS_GOLD__5_SPREADS:BRS_GOLD__3_OTHER_SPREADS:BRS_GOLD__1_MTG,TBA_ALL,PAYUP,NONAGENCY,MORT_IDIO,CRT,CRT_SP_RISK:BRS_GOLD__1_MTG-BASIS:ALL_mtg30_tsy_V604</v>
          </cell>
          <cell r="D4024" t="str">
            <v>Mortgage Basis Duration</v>
          </cell>
          <cell r="E4024" t="str">
            <v>Mortgage Basis</v>
          </cell>
          <cell r="F4024" t="str">
            <v>Alternative</v>
          </cell>
          <cell r="G4024" t="str">
            <v>Other</v>
          </cell>
          <cell r="H4024" t="str">
            <v>ALTS</v>
          </cell>
          <cell r="I4024" t="str">
            <v>Mortgage Basis</v>
          </cell>
        </row>
        <row r="4025">
          <cell r="A4025" t="str">
            <v>ALL_mtg15_tsy_V604</v>
          </cell>
          <cell r="B4025" t="str">
            <v>15yr Mtg Tsy Basis V604</v>
          </cell>
          <cell r="C4025" t="str">
            <v>BRS_GOLD__5_SPREADS:BRS_GOLD__3_OTHER_SPREADS:BRS_GOLD__1_MTG,TBA_ALL,PAYUP,NONAGENCY,MORT_IDIO,CRT,CRT_SP_RISK:BRS_GOLD__1_MTG-BASIS:ALL_mtg15_tsy_V604</v>
          </cell>
          <cell r="D4025" t="str">
            <v>Mortgage Basis Duration</v>
          </cell>
          <cell r="E4025" t="str">
            <v>Mortgage Basis</v>
          </cell>
          <cell r="F4025" t="str">
            <v>Alternative</v>
          </cell>
          <cell r="G4025" t="str">
            <v>Other</v>
          </cell>
          <cell r="H4025" t="str">
            <v>ALTS</v>
          </cell>
          <cell r="I4025" t="str">
            <v>Mortgage Basis</v>
          </cell>
        </row>
        <row r="4026">
          <cell r="A4026" t="str">
            <v>ALL_WL_CMO_N604</v>
          </cell>
          <cell r="B4026" t="str">
            <v>Non$ WL CMO V604</v>
          </cell>
          <cell r="C4026" t="str">
            <v>BRS_GOLD__5_SPREADS:BRS_GOLD__3_OTHER_SPREADS:BRS_GOLD__1_MTG,TBA_ALL,PAYUP,NONAGENCY,MORT_IDIO,CRT,CRT_SP_RISK:BRS_GOLD__1_MTG-BASIS:ALL_WL_CMO_N604</v>
          </cell>
          <cell r="D4026" t="str">
            <v>Spread Duration</v>
          </cell>
          <cell r="E4026" t="str">
            <v>Spread Yield</v>
          </cell>
          <cell r="F4026" t="str">
            <v>Alternative</v>
          </cell>
          <cell r="G4026" t="str">
            <v>Other</v>
          </cell>
          <cell r="H4026" t="str">
            <v>ALTS</v>
          </cell>
          <cell r="I4026" t="str">
            <v>Mortgage - Moneyness</v>
          </cell>
        </row>
        <row r="4027">
          <cell r="A4027" t="str">
            <v>ALL_mbs_CMO_N604</v>
          </cell>
          <cell r="B4027" t="str">
            <v>Non$ CMO V604</v>
          </cell>
          <cell r="C4027" t="str">
            <v>BRS_GOLD__5_SPREADS:BRS_GOLD__3_OTHER_SPREADS:BRS_GOLD__1_MTG,TBA_ALL,PAYUP,NONAGENCY,MORT_IDIO,CRT,CRT_SP_RISK:BRS_GOLD__1_MTG-BASIS:ALL_mbs_CMO_N604</v>
          </cell>
          <cell r="D4027" t="str">
            <v>Spread Duration</v>
          </cell>
          <cell r="E4027" t="str">
            <v>Spread Yield</v>
          </cell>
          <cell r="F4027" t="str">
            <v>Alternative</v>
          </cell>
          <cell r="G4027" t="str">
            <v>Other</v>
          </cell>
          <cell r="H4027" t="str">
            <v>ALTS</v>
          </cell>
          <cell r="I4027" t="str">
            <v>Mortgage - Moneyness</v>
          </cell>
        </row>
        <row r="4028">
          <cell r="A4028" t="str">
            <v>USD_MSR_ARM604</v>
          </cell>
          <cell r="B4028" t="str">
            <v>ARM Mtg Serv Right V604</v>
          </cell>
          <cell r="C4028" t="str">
            <v>BRS_GOLD__5_SPREADS:BRS_GOLD__3_OTHER_SPREADS:BRS_GOLD__1_MTG,TBA_ALL,PAYUP,NONAGENCY,MORT_IDIO,CRT,CRT_SP_RISK:BRS_GOLD__1_MTG-BASIS:USD_MSR_ARM604</v>
          </cell>
          <cell r="D4028" t="str">
            <v>Spread Duration</v>
          </cell>
          <cell r="E4028" t="str">
            <v>Spread Yield</v>
          </cell>
          <cell r="F4028" t="str">
            <v>Alternative</v>
          </cell>
          <cell r="G4028" t="str">
            <v>Other</v>
          </cell>
          <cell r="H4028" t="str">
            <v>ALTS</v>
          </cell>
          <cell r="I4028" t="str">
            <v>Mortgage - Moneyness</v>
          </cell>
        </row>
        <row r="4029">
          <cell r="A4029" t="str">
            <v>USD_MSR_MBS604</v>
          </cell>
          <cell r="B4029" t="str">
            <v>MBS Mtg Serv Right V604</v>
          </cell>
          <cell r="C4029" t="str">
            <v>BRS_GOLD__5_SPREADS:BRS_GOLD__3_OTHER_SPREADS:BRS_GOLD__1_MTG,TBA_ALL,PAYUP,NONAGENCY,MORT_IDIO,CRT,CRT_SP_RISK:BRS_GOLD__1_MTG-BASIS:USD_MSR_MBS604</v>
          </cell>
          <cell r="D4029" t="str">
            <v>Spread Duration</v>
          </cell>
          <cell r="E4029" t="str">
            <v>Spread Yield</v>
          </cell>
          <cell r="F4029" t="str">
            <v>Alternative</v>
          </cell>
          <cell r="G4029" t="str">
            <v>Other</v>
          </cell>
          <cell r="H4029" t="str">
            <v>ALTS</v>
          </cell>
          <cell r="I4029" t="str">
            <v>Mortgage - Moneyness</v>
          </cell>
        </row>
        <row r="4030">
          <cell r="A4030" t="str">
            <v>USD_WL_CMO_N604</v>
          </cell>
          <cell r="B4030" t="str">
            <v>WL CMO V604</v>
          </cell>
          <cell r="C4030" t="str">
            <v>BRS_GOLD__5_SPREADS:BRS_GOLD__3_OTHER_SPREADS:BRS_GOLD__1_MTG,TBA_ALL,PAYUP,NONAGENCY,MORT_IDIO,CRT,CRT_SP_RISK:BRS_GOLD__1_MTG-BASIS:USD_WL_CMO_N604</v>
          </cell>
          <cell r="D4030" t="str">
            <v>Spread Duration</v>
          </cell>
          <cell r="E4030" t="str">
            <v>Spread Yield</v>
          </cell>
          <cell r="F4030" t="str">
            <v>Alternative</v>
          </cell>
          <cell r="G4030" t="str">
            <v>Other</v>
          </cell>
          <cell r="H4030" t="str">
            <v>ALTS</v>
          </cell>
          <cell r="I4030" t="str">
            <v>Mortgage - Moneyness</v>
          </cell>
        </row>
        <row r="4031">
          <cell r="A4031" t="str">
            <v>USD_mbs_CMO_N604</v>
          </cell>
          <cell r="B4031" t="str">
            <v>CMO V604</v>
          </cell>
          <cell r="C4031" t="str">
            <v>BRS_GOLD__5_SPREADS:BRS_GOLD__3_OTHER_SPREADS:BRS_GOLD__1_MTG,TBA_ALL,PAYUP,NONAGENCY,MORT_IDIO,CRT,CRT_SP_RISK:BRS_GOLD__1_MTG-BASIS:USD_mbs_CMO_N604</v>
          </cell>
          <cell r="D4031" t="str">
            <v>Spread Duration</v>
          </cell>
          <cell r="E4031" t="str">
            <v>Spread Yield</v>
          </cell>
          <cell r="F4031" t="str">
            <v>Alternative</v>
          </cell>
          <cell r="G4031" t="str">
            <v>Other</v>
          </cell>
          <cell r="H4031" t="str">
            <v>ALTS</v>
          </cell>
          <cell r="I4031" t="str">
            <v>Mortgage - Moneyness</v>
          </cell>
        </row>
        <row r="4032">
          <cell r="A4032" t="str">
            <v>USD_mbs_PAC_N604</v>
          </cell>
          <cell r="B4032" t="str">
            <v>CMO PAC V604</v>
          </cell>
          <cell r="C4032" t="str">
            <v>BRS_GOLD__5_SPREADS:BRS_GOLD__3_OTHER_SPREADS:BRS_GOLD__1_MTG,TBA_ALL,PAYUP,NONAGENCY,MORT_IDIO,CRT,CRT_SP_RISK:BRS_GOLD__1_MTG-BASIS:USD_mbs_PAC_N604</v>
          </cell>
          <cell r="D4032" t="str">
            <v>Spread Duration</v>
          </cell>
          <cell r="E4032" t="str">
            <v>Spread Yield</v>
          </cell>
          <cell r="F4032" t="str">
            <v>Alternative</v>
          </cell>
          <cell r="G4032" t="str">
            <v>Other</v>
          </cell>
          <cell r="H4032" t="str">
            <v>ALTS</v>
          </cell>
          <cell r="I4032" t="str">
            <v>Mortgage - Moneyness</v>
          </cell>
        </row>
        <row r="4033">
          <cell r="A4033" t="str">
            <v>USD_ARM_AGY_1_1_V600</v>
          </cell>
          <cell r="B4033" t="str">
            <v>1/1 Conventional Hybrid ARM V6</v>
          </cell>
          <cell r="C4033" t="str">
            <v>BRS_GOLD__5_SPREADS:BRS_GOLD__3_OTHER_SPREADS:BRS_GOLD__1_MTG,TBA_ALL,PAYUP,NONAGENCY,MORT_IDIO,CRT,CRT_SP_RISK:BRS_GOLD__1_MTG-BASIS:USD_ARM_AGY_1_1_V600</v>
          </cell>
          <cell r="D4033" t="str">
            <v>Spread Duration</v>
          </cell>
          <cell r="E4033" t="str">
            <v>Spread Yield</v>
          </cell>
          <cell r="F4033" t="str">
            <v>Alternative</v>
          </cell>
          <cell r="G4033" t="str">
            <v>Other</v>
          </cell>
          <cell r="H4033" t="str">
            <v>ALTS</v>
          </cell>
          <cell r="I4033" t="str">
            <v>Mortgage - Moneyness</v>
          </cell>
        </row>
        <row r="4034">
          <cell r="A4034" t="str">
            <v>USD_ARM_AGY_3_1_V600</v>
          </cell>
          <cell r="B4034" t="str">
            <v>3/1 Conventional Hybrid ARM V6</v>
          </cell>
          <cell r="C4034" t="str">
            <v>BRS_GOLD__5_SPREADS:BRS_GOLD__3_OTHER_SPREADS:BRS_GOLD__1_MTG,TBA_ALL,PAYUP,NONAGENCY,MORT_IDIO,CRT,CRT_SP_RISK:BRS_GOLD__1_MTG-BASIS:USD_ARM_AGY_3_1_V600</v>
          </cell>
          <cell r="D4034" t="str">
            <v>Spread Duration</v>
          </cell>
          <cell r="E4034" t="str">
            <v>Spread Yield</v>
          </cell>
          <cell r="F4034" t="str">
            <v>Alternative</v>
          </cell>
          <cell r="G4034" t="str">
            <v>Other</v>
          </cell>
          <cell r="H4034" t="str">
            <v>ALTS</v>
          </cell>
          <cell r="I4034" t="str">
            <v>Mortgage - Moneyness</v>
          </cell>
        </row>
        <row r="4035">
          <cell r="A4035" t="str">
            <v>USD_ARM_AGY_5_1_V600</v>
          </cell>
          <cell r="B4035" t="str">
            <v>5/1 Conventional Hybrid ARM V6</v>
          </cell>
          <cell r="C4035" t="str">
            <v>BRS_GOLD__5_SPREADS:BRS_GOLD__3_OTHER_SPREADS:BRS_GOLD__1_MTG,TBA_ALL,PAYUP,NONAGENCY,MORT_IDIO,CRT,CRT_SP_RISK:BRS_GOLD__1_MTG-BASIS:USD_ARM_AGY_5_1_V600</v>
          </cell>
          <cell r="D4035" t="str">
            <v>Spread Duration</v>
          </cell>
          <cell r="E4035" t="str">
            <v>Spread Yield</v>
          </cell>
          <cell r="F4035" t="str">
            <v>Alternative</v>
          </cell>
          <cell r="G4035" t="str">
            <v>Other</v>
          </cell>
          <cell r="H4035" t="str">
            <v>ALTS</v>
          </cell>
          <cell r="I4035" t="str">
            <v>Mortgage - Moneyness</v>
          </cell>
        </row>
        <row r="4036">
          <cell r="A4036" t="str">
            <v>USD_ARM_AGY_7_1_V600</v>
          </cell>
          <cell r="B4036" t="str">
            <v>7/1 Conventional Hybrid ARM V6</v>
          </cell>
          <cell r="C4036" t="str">
            <v>BRS_GOLD__5_SPREADS:BRS_GOLD__3_OTHER_SPREADS:BRS_GOLD__1_MTG,TBA_ALL,PAYUP,NONAGENCY,MORT_IDIO,CRT,CRT_SP_RISK:BRS_GOLD__1_MTG-BASIS:USD_ARM_AGY_7_1_V600</v>
          </cell>
          <cell r="D4036" t="str">
            <v>Spread Duration</v>
          </cell>
          <cell r="E4036" t="str">
            <v>Spread Yield</v>
          </cell>
          <cell r="F4036" t="str">
            <v>Alternative</v>
          </cell>
          <cell r="G4036" t="str">
            <v>Other</v>
          </cell>
          <cell r="H4036" t="str">
            <v>ALTS</v>
          </cell>
          <cell r="I4036" t="str">
            <v>Mortgage - Moneyness</v>
          </cell>
        </row>
        <row r="4037">
          <cell r="A4037" t="str">
            <v>USD_ARM_AGY_10_1_V600</v>
          </cell>
          <cell r="B4037" t="str">
            <v>10/1 Conventional Hybrid ARM V</v>
          </cell>
          <cell r="C4037" t="str">
            <v>BRS_GOLD__5_SPREADS:BRS_GOLD__3_OTHER_SPREADS:BRS_GOLD__1_MTG,TBA_ALL,PAYUP,NONAGENCY,MORT_IDIO,CRT,CRT_SP_RISK:BRS_GOLD__1_MTG-BASIS:USD_ARM_AGY_10_1_V600</v>
          </cell>
          <cell r="D4037" t="str">
            <v>Spread Duration</v>
          </cell>
          <cell r="E4037" t="str">
            <v>Spread Yield</v>
          </cell>
          <cell r="F4037" t="str">
            <v>Alternative</v>
          </cell>
          <cell r="G4037" t="str">
            <v>Other</v>
          </cell>
          <cell r="H4037" t="str">
            <v>ALTS</v>
          </cell>
          <cell r="I4037" t="str">
            <v>Mortgage - Moneyness</v>
          </cell>
        </row>
        <row r="4038">
          <cell r="A4038" t="str">
            <v>USD_ARM_JMB_1_1_V600</v>
          </cell>
          <cell r="B4038" t="str">
            <v>1/1 Ginnie Mae Hybrid ARM V600</v>
          </cell>
          <cell r="C4038" t="str">
            <v>BRS_GOLD__5_SPREADS:BRS_GOLD__3_OTHER_SPREADS:BRS_GOLD__1_MTG,TBA_ALL,PAYUP,NONAGENCY,MORT_IDIO,CRT,CRT_SP_RISK:BRS_GOLD__1_MTG-BASIS:USD_ARM_JMB_1_1_V600</v>
          </cell>
          <cell r="D4038" t="str">
            <v>Spread Duration</v>
          </cell>
          <cell r="E4038" t="str">
            <v>Spread Yield</v>
          </cell>
          <cell r="F4038" t="str">
            <v>Alternative</v>
          </cell>
          <cell r="G4038" t="str">
            <v>Other</v>
          </cell>
          <cell r="H4038" t="str">
            <v>ALTS</v>
          </cell>
          <cell r="I4038" t="str">
            <v>Mortgage - Moneyness</v>
          </cell>
        </row>
        <row r="4039">
          <cell r="A4039" t="str">
            <v>USD_ARM_JMB_3_1_V600</v>
          </cell>
          <cell r="B4039" t="str">
            <v>3/1 Ginnie Mae Hybrid ARM V600</v>
          </cell>
          <cell r="C4039" t="str">
            <v>BRS_GOLD__5_SPREADS:BRS_GOLD__3_OTHER_SPREADS:BRS_GOLD__1_MTG,TBA_ALL,PAYUP,NONAGENCY,MORT_IDIO,CRT,CRT_SP_RISK:BRS_GOLD__1_MTG-BASIS:USD_ARM_JMB_3_1_V600</v>
          </cell>
          <cell r="D4039" t="str">
            <v>Spread Duration</v>
          </cell>
          <cell r="E4039" t="str">
            <v>Spread Yield</v>
          </cell>
          <cell r="F4039" t="str">
            <v>Alternative</v>
          </cell>
          <cell r="G4039" t="str">
            <v>Other</v>
          </cell>
          <cell r="H4039" t="str">
            <v>ALTS</v>
          </cell>
          <cell r="I4039" t="str">
            <v>Mortgage - Moneyness</v>
          </cell>
        </row>
        <row r="4040">
          <cell r="A4040" t="str">
            <v>USD_ARM_JMB_5_1_V600</v>
          </cell>
          <cell r="B4040" t="str">
            <v>5/1 Ginnie Mae Hybrid ARM V600</v>
          </cell>
          <cell r="C4040" t="str">
            <v>BRS_GOLD__5_SPREADS:BRS_GOLD__3_OTHER_SPREADS:BRS_GOLD__1_MTG,TBA_ALL,PAYUP,NONAGENCY,MORT_IDIO,CRT,CRT_SP_RISK:BRS_GOLD__1_MTG-BASIS:USD_ARM_JMB_5_1_V600</v>
          </cell>
          <cell r="D4040" t="str">
            <v>Spread Duration</v>
          </cell>
          <cell r="E4040" t="str">
            <v>Spread Yield</v>
          </cell>
          <cell r="F4040" t="str">
            <v>Alternative</v>
          </cell>
          <cell r="G4040" t="str">
            <v>Other</v>
          </cell>
          <cell r="H4040" t="str">
            <v>ALTS</v>
          </cell>
          <cell r="I4040" t="str">
            <v>Mortgage - Moneyness</v>
          </cell>
        </row>
        <row r="4041">
          <cell r="A4041" t="str">
            <v>USD_ARM_JMB_7_1_V600</v>
          </cell>
          <cell r="B4041" t="str">
            <v>7/1 Ginnie Mae Hybrid ARM V600</v>
          </cell>
          <cell r="C4041" t="str">
            <v>BRS_GOLD__5_SPREADS:BRS_GOLD__3_OTHER_SPREADS:BRS_GOLD__1_MTG,TBA_ALL,PAYUP,NONAGENCY,MORT_IDIO,CRT,CRT_SP_RISK:BRS_GOLD__1_MTG-BASIS:USD_ARM_JMB_7_1_V600</v>
          </cell>
          <cell r="D4041" t="str">
            <v>Spread Duration</v>
          </cell>
          <cell r="E4041" t="str">
            <v>Spread Yield</v>
          </cell>
          <cell r="F4041" t="str">
            <v>Alternative</v>
          </cell>
          <cell r="G4041" t="str">
            <v>Other</v>
          </cell>
          <cell r="H4041" t="str">
            <v>ALTS</v>
          </cell>
          <cell r="I4041" t="str">
            <v>Mortgage - Moneyness</v>
          </cell>
        </row>
        <row r="4042">
          <cell r="A4042" t="str">
            <v>USD_ARM_JMB_10_1_V600</v>
          </cell>
          <cell r="B4042" t="str">
            <v>10/1 Ginnie Mae Hybrid ARM V60</v>
          </cell>
          <cell r="C4042" t="str">
            <v>BRS_GOLD__5_SPREADS:BRS_GOLD__3_OTHER_SPREADS:BRS_GOLD__1_MTG,TBA_ALL,PAYUP,NONAGENCY,MORT_IDIO,CRT,CRT_SP_RISK:BRS_GOLD__1_MTG-BASIS:USD_ARM_JMB_10_1_V600</v>
          </cell>
          <cell r="D4042" t="str">
            <v>Spread Duration</v>
          </cell>
          <cell r="E4042" t="str">
            <v>Spread Yield</v>
          </cell>
          <cell r="F4042" t="str">
            <v>Alternative</v>
          </cell>
          <cell r="G4042" t="str">
            <v>Other</v>
          </cell>
          <cell r="H4042" t="str">
            <v>ALTS</v>
          </cell>
          <cell r="I4042" t="str">
            <v>Mortgage - Moneyness</v>
          </cell>
        </row>
        <row r="4043">
          <cell r="A4043" t="str">
            <v>USD_ARM_AGY_1_1_V604</v>
          </cell>
          <cell r="B4043" t="str">
            <v>1/1 Conventional Hyb ARM V604</v>
          </cell>
          <cell r="C4043" t="str">
            <v>BRS_GOLD__5_SPREADS:BRS_GOLD__3_OTHER_SPREADS:BRS_GOLD__1_MTG,TBA_ALL,PAYUP,NONAGENCY,MORT_IDIO,CRT,CRT_SP_RISK:BRS_GOLD__1_MTG-BASIS:USD_ARM_AGY_1_1_V604</v>
          </cell>
          <cell r="D4043" t="str">
            <v>Spread Duration</v>
          </cell>
          <cell r="E4043" t="str">
            <v>Spread Yield</v>
          </cell>
          <cell r="F4043" t="str">
            <v>Alternative</v>
          </cell>
          <cell r="G4043" t="str">
            <v>Other</v>
          </cell>
          <cell r="H4043" t="str">
            <v>ALTS</v>
          </cell>
          <cell r="I4043" t="str">
            <v>Mortgage - Moneyness</v>
          </cell>
        </row>
        <row r="4044">
          <cell r="A4044" t="str">
            <v>USD_ARM_AGY_3_1_V604</v>
          </cell>
          <cell r="B4044" t="str">
            <v>3/1 Conventional Hyb ARM V604</v>
          </cell>
          <cell r="C4044" t="str">
            <v>BRS_GOLD__5_SPREADS:BRS_GOLD__3_OTHER_SPREADS:BRS_GOLD__1_MTG,TBA_ALL,PAYUP,NONAGENCY,MORT_IDIO,CRT,CRT_SP_RISK:BRS_GOLD__1_MTG-BASIS:USD_ARM_AGY_3_1_V604</v>
          </cell>
          <cell r="D4044" t="str">
            <v>Spread Duration</v>
          </cell>
          <cell r="E4044" t="str">
            <v>Spread Yield</v>
          </cell>
          <cell r="F4044" t="str">
            <v>Alternative</v>
          </cell>
          <cell r="G4044" t="str">
            <v>Other</v>
          </cell>
          <cell r="H4044" t="str">
            <v>ALTS</v>
          </cell>
          <cell r="I4044" t="str">
            <v>Mortgage - Moneyness</v>
          </cell>
        </row>
        <row r="4045">
          <cell r="A4045" t="str">
            <v>USD_ARM_AGY_5_1_V604</v>
          </cell>
          <cell r="B4045" t="str">
            <v>5/1 Conventional Hyb ARM V604</v>
          </cell>
          <cell r="C4045" t="str">
            <v>BRS_GOLD__5_SPREADS:BRS_GOLD__3_OTHER_SPREADS:BRS_GOLD__1_MTG,TBA_ALL,PAYUP,NONAGENCY,MORT_IDIO,CRT,CRT_SP_RISK:BRS_GOLD__1_MTG-BASIS:USD_ARM_AGY_5_1_V604</v>
          </cell>
          <cell r="D4045" t="str">
            <v>Spread Duration</v>
          </cell>
          <cell r="E4045" t="str">
            <v>Spread Yield</v>
          </cell>
          <cell r="F4045" t="str">
            <v>Alternative</v>
          </cell>
          <cell r="G4045" t="str">
            <v>Other</v>
          </cell>
          <cell r="H4045" t="str">
            <v>ALTS</v>
          </cell>
          <cell r="I4045" t="str">
            <v>Mortgage - Moneyness</v>
          </cell>
        </row>
        <row r="4046">
          <cell r="A4046" t="str">
            <v>USD_ARM_AGY_7_1_V604</v>
          </cell>
          <cell r="B4046" t="str">
            <v>7/1 Conventional Hyb ARM V604</v>
          </cell>
          <cell r="C4046" t="str">
            <v>BRS_GOLD__5_SPREADS:BRS_GOLD__3_OTHER_SPREADS:BRS_GOLD__1_MTG,TBA_ALL,PAYUP,NONAGENCY,MORT_IDIO,CRT,CRT_SP_RISK:BRS_GOLD__1_MTG-BASIS:USD_ARM_AGY_7_1_V604</v>
          </cell>
          <cell r="D4046" t="str">
            <v>Spread Duration</v>
          </cell>
          <cell r="E4046" t="str">
            <v>Spread Yield</v>
          </cell>
          <cell r="F4046" t="str">
            <v>Alternative</v>
          </cell>
          <cell r="G4046" t="str">
            <v>Other</v>
          </cell>
          <cell r="H4046" t="str">
            <v>ALTS</v>
          </cell>
          <cell r="I4046" t="str">
            <v>Mortgage - Moneyness</v>
          </cell>
        </row>
        <row r="4047">
          <cell r="A4047" t="str">
            <v>USD_ARM_AGY_10_1_V604</v>
          </cell>
          <cell r="B4047" t="str">
            <v>10/1 Conventional Hyb ARM V604</v>
          </cell>
          <cell r="C4047" t="str">
            <v>BRS_GOLD__5_SPREADS:BRS_GOLD__3_OTHER_SPREADS:BRS_GOLD__1_MTG,TBA_ALL,PAYUP,NONAGENCY,MORT_IDIO,CRT,CRT_SP_RISK:BRS_GOLD__1_MTG-BASIS:USD_ARM_AGY_10_1_V604</v>
          </cell>
          <cell r="D4047" t="str">
            <v>Spread Duration</v>
          </cell>
          <cell r="E4047" t="str">
            <v>Spread Yield</v>
          </cell>
          <cell r="F4047" t="str">
            <v>Alternative</v>
          </cell>
          <cell r="G4047" t="str">
            <v>Other</v>
          </cell>
          <cell r="H4047" t="str">
            <v>ALTS</v>
          </cell>
          <cell r="I4047" t="str">
            <v>Mortgage - Moneyness</v>
          </cell>
        </row>
        <row r="4048">
          <cell r="A4048" t="str">
            <v>USD_ARM_JMB_1_1_V604</v>
          </cell>
          <cell r="B4048" t="str">
            <v>1/1 Ginnie Mae Hybrid ARM V604</v>
          </cell>
          <cell r="C4048" t="str">
            <v>BRS_GOLD__5_SPREADS:BRS_GOLD__3_OTHER_SPREADS:BRS_GOLD__1_MTG,TBA_ALL,PAYUP,NONAGENCY,MORT_IDIO,CRT,CRT_SP_RISK:BRS_GOLD__1_MTG-BASIS:USD_ARM_JMB_1_1_V604</v>
          </cell>
          <cell r="D4048" t="str">
            <v>Spread Duration</v>
          </cell>
          <cell r="E4048" t="str">
            <v>Spread Yield</v>
          </cell>
          <cell r="F4048" t="str">
            <v>Alternative</v>
          </cell>
          <cell r="G4048" t="str">
            <v>Other</v>
          </cell>
          <cell r="H4048" t="str">
            <v>ALTS</v>
          </cell>
          <cell r="I4048" t="str">
            <v>Mortgage - Moneyness</v>
          </cell>
        </row>
        <row r="4049">
          <cell r="A4049" t="str">
            <v>USD_ARM_JMB_3_1_V604</v>
          </cell>
          <cell r="B4049" t="str">
            <v>3/1 Ginnie Mae Hybrid ARM V604</v>
          </cell>
          <cell r="C4049" t="str">
            <v>BRS_GOLD__5_SPREADS:BRS_GOLD__3_OTHER_SPREADS:BRS_GOLD__1_MTG,TBA_ALL,PAYUP,NONAGENCY,MORT_IDIO,CRT,CRT_SP_RISK:BRS_GOLD__1_MTG-BASIS:USD_ARM_JMB_3_1_V604</v>
          </cell>
          <cell r="D4049" t="str">
            <v>Spread Duration</v>
          </cell>
          <cell r="E4049" t="str">
            <v>Spread Yield</v>
          </cell>
          <cell r="F4049" t="str">
            <v>Alternative</v>
          </cell>
          <cell r="G4049" t="str">
            <v>Other</v>
          </cell>
          <cell r="H4049" t="str">
            <v>ALTS</v>
          </cell>
          <cell r="I4049" t="str">
            <v>Mortgage - Moneyness</v>
          </cell>
        </row>
        <row r="4050">
          <cell r="A4050" t="str">
            <v>USD_ARM_JMB_5_1_V604</v>
          </cell>
          <cell r="B4050" t="str">
            <v>5/1 Ginnie Mae Hybrid ARM V604</v>
          </cell>
          <cell r="C4050" t="str">
            <v>BRS_GOLD__5_SPREADS:BRS_GOLD__3_OTHER_SPREADS:BRS_GOLD__1_MTG,TBA_ALL,PAYUP,NONAGENCY,MORT_IDIO,CRT,CRT_SP_RISK:BRS_GOLD__1_MTG-BASIS:USD_ARM_JMB_5_1_V604</v>
          </cell>
          <cell r="D4050" t="str">
            <v>Spread Duration</v>
          </cell>
          <cell r="E4050" t="str">
            <v>Spread Yield</v>
          </cell>
          <cell r="F4050" t="str">
            <v>Alternative</v>
          </cell>
          <cell r="G4050" t="str">
            <v>Other</v>
          </cell>
          <cell r="H4050" t="str">
            <v>ALTS</v>
          </cell>
          <cell r="I4050" t="str">
            <v>Mortgage - Moneyness</v>
          </cell>
        </row>
        <row r="4051">
          <cell r="A4051" t="str">
            <v>USD_ARM_JMB_7_1_V604</v>
          </cell>
          <cell r="B4051" t="str">
            <v>7/1 Ginnie Mae Hybrid ARM V604</v>
          </cell>
          <cell r="C4051" t="str">
            <v>BRS_GOLD__5_SPREADS:BRS_GOLD__3_OTHER_SPREADS:BRS_GOLD__1_MTG,TBA_ALL,PAYUP,NONAGENCY,MORT_IDIO,CRT,CRT_SP_RISK:BRS_GOLD__1_MTG-BASIS:USD_ARM_JMB_7_1_V604</v>
          </cell>
          <cell r="D4051" t="str">
            <v>Spread Duration</v>
          </cell>
          <cell r="E4051" t="str">
            <v>Spread Yield</v>
          </cell>
          <cell r="F4051" t="str">
            <v>Alternative</v>
          </cell>
          <cell r="G4051" t="str">
            <v>Other</v>
          </cell>
          <cell r="H4051" t="str">
            <v>ALTS</v>
          </cell>
          <cell r="I4051" t="str">
            <v>Mortgage - Moneyness</v>
          </cell>
        </row>
        <row r="4052">
          <cell r="A4052" t="str">
            <v>USD_ARM_JMB_10_1_V604</v>
          </cell>
          <cell r="B4052" t="str">
            <v>10/1 Ginnie Mae Hyb ARM V604</v>
          </cell>
          <cell r="C4052" t="str">
            <v>BRS_GOLD__5_SPREADS:BRS_GOLD__3_OTHER_SPREADS:BRS_GOLD__1_MTG,TBA_ALL,PAYUP,NONAGENCY,MORT_IDIO,CRT,CRT_SP_RISK:BRS_GOLD__1_MTG-BASIS:USD_ARM_JMB_10_1_V604</v>
          </cell>
          <cell r="D4052" t="str">
            <v>Spread Duration</v>
          </cell>
          <cell r="E4052" t="str">
            <v>Spread Yield</v>
          </cell>
          <cell r="F4052" t="str">
            <v>Alternative</v>
          </cell>
          <cell r="G4052" t="str">
            <v>Other</v>
          </cell>
          <cell r="H4052" t="str">
            <v>ALTS</v>
          </cell>
          <cell r="I4052" t="str">
            <v>Mortgage - Moneyness</v>
          </cell>
        </row>
        <row r="4053">
          <cell r="A4053" t="str">
            <v>USD_ARM_AGY_1_1_V610</v>
          </cell>
          <cell r="B4053" t="str">
            <v>1/1 Conventional Hyb ARM V610</v>
          </cell>
          <cell r="C4053" t="str">
            <v>BRS_GOLD__5_SPREADS:BRS_GOLD__3_OTHER_SPREADS:BRS_GOLD__1_MTG,TBA_ALL,PAYUP,NONAGENCY,MORT_IDIO,CRT,CRT_SP_RISK:BRS_GOLD__1_MTG-BASIS:USD_ARM_AGY_1_1_V610</v>
          </cell>
          <cell r="D4053" t="str">
            <v>Spread Duration</v>
          </cell>
          <cell r="E4053" t="str">
            <v>Spread Yield</v>
          </cell>
          <cell r="F4053" t="str">
            <v>Alternative</v>
          </cell>
          <cell r="G4053" t="str">
            <v>Other</v>
          </cell>
          <cell r="H4053" t="str">
            <v>ALTS</v>
          </cell>
          <cell r="I4053" t="str">
            <v>Mortgage - Moneyness</v>
          </cell>
        </row>
        <row r="4054">
          <cell r="A4054" t="str">
            <v>USD_ARM_AGY_3_1_V610</v>
          </cell>
          <cell r="B4054" t="str">
            <v>3/1 Conventional Hyb ARM V610</v>
          </cell>
          <cell r="C4054" t="str">
            <v>BRS_GOLD__5_SPREADS:BRS_GOLD__3_OTHER_SPREADS:BRS_GOLD__1_MTG,TBA_ALL,PAYUP,NONAGENCY,MORT_IDIO,CRT,CRT_SP_RISK:BRS_GOLD__1_MTG-BASIS:USD_ARM_AGY_3_1_V610</v>
          </cell>
          <cell r="D4054" t="str">
            <v>Spread Duration</v>
          </cell>
          <cell r="E4054" t="str">
            <v>Spread Yield</v>
          </cell>
          <cell r="F4054" t="str">
            <v>Alternative</v>
          </cell>
          <cell r="G4054" t="str">
            <v>Other</v>
          </cell>
          <cell r="H4054" t="str">
            <v>ALTS</v>
          </cell>
          <cell r="I4054" t="str">
            <v>Mortgage - Moneyness</v>
          </cell>
        </row>
        <row r="4055">
          <cell r="A4055" t="str">
            <v>USD_ARM_AGY_5_1_V610</v>
          </cell>
          <cell r="B4055" t="str">
            <v>5/1 Conventional Hyb ARM V610</v>
          </cell>
          <cell r="C4055" t="str">
            <v>BRS_GOLD__5_SPREADS:BRS_GOLD__3_OTHER_SPREADS:BRS_GOLD__1_MTG,TBA_ALL,PAYUP,NONAGENCY,MORT_IDIO,CRT,CRT_SP_RISK:BRS_GOLD__1_MTG-BASIS:USD_ARM_AGY_5_1_V610</v>
          </cell>
          <cell r="D4055" t="str">
            <v>Spread Duration</v>
          </cell>
          <cell r="E4055" t="str">
            <v>Spread Yield</v>
          </cell>
          <cell r="F4055" t="str">
            <v>Alternative</v>
          </cell>
          <cell r="G4055" t="str">
            <v>Other</v>
          </cell>
          <cell r="H4055" t="str">
            <v>ALTS</v>
          </cell>
          <cell r="I4055" t="str">
            <v>Mortgage - Moneyness</v>
          </cell>
        </row>
        <row r="4056">
          <cell r="A4056" t="str">
            <v>USD_ARM_AGY_7_1_V610</v>
          </cell>
          <cell r="B4056" t="str">
            <v>7/1 Conventional Hyb ARM V610</v>
          </cell>
          <cell r="C4056" t="str">
            <v>BRS_GOLD__5_SPREADS:BRS_GOLD__3_OTHER_SPREADS:BRS_GOLD__1_MTG,TBA_ALL,PAYUP,NONAGENCY,MORT_IDIO,CRT,CRT_SP_RISK:BRS_GOLD__1_MTG-BASIS:USD_ARM_AGY_7_1_V610</v>
          </cell>
          <cell r="D4056" t="str">
            <v>Spread Duration</v>
          </cell>
          <cell r="E4056" t="str">
            <v>Spread Yield</v>
          </cell>
          <cell r="F4056" t="str">
            <v>Alternative</v>
          </cell>
          <cell r="G4056" t="str">
            <v>Other</v>
          </cell>
          <cell r="H4056" t="str">
            <v>ALTS</v>
          </cell>
          <cell r="I4056" t="str">
            <v>Mortgage - Moneyness</v>
          </cell>
        </row>
        <row r="4057">
          <cell r="A4057" t="str">
            <v>USD_ARM_AGY_10_1_V610</v>
          </cell>
          <cell r="B4057" t="str">
            <v>10/1 Conventional Hyb ARM V610</v>
          </cell>
          <cell r="C4057" t="str">
            <v>BRS_GOLD__5_SPREADS:BRS_GOLD__3_OTHER_SPREADS:BRS_GOLD__1_MTG,TBA_ALL,PAYUP,NONAGENCY,MORT_IDIO,CRT,CRT_SP_RISK:BRS_GOLD__1_MTG-BASIS:USD_ARM_AGY_10_1_V610</v>
          </cell>
          <cell r="D4057" t="str">
            <v>Spread Duration</v>
          </cell>
          <cell r="E4057" t="str">
            <v>Spread Yield</v>
          </cell>
          <cell r="F4057" t="str">
            <v>Alternative</v>
          </cell>
          <cell r="G4057" t="str">
            <v>Other</v>
          </cell>
          <cell r="H4057" t="str">
            <v>ALTS</v>
          </cell>
          <cell r="I4057" t="str">
            <v>Mortgage - Moneyness</v>
          </cell>
        </row>
        <row r="4058">
          <cell r="A4058" t="str">
            <v>USD_ARM_JMB_1_1_V610</v>
          </cell>
          <cell r="B4058" t="str">
            <v>1/1 Ginnie Mae Hybrid ARM V610</v>
          </cell>
          <cell r="C4058" t="str">
            <v>BRS_GOLD__5_SPREADS:BRS_GOLD__3_OTHER_SPREADS:BRS_GOLD__1_MTG,TBA_ALL,PAYUP,NONAGENCY,MORT_IDIO,CRT,CRT_SP_RISK:BRS_GOLD__1_MTG-BASIS:USD_ARM_JMB_1_1_V610</v>
          </cell>
          <cell r="D4058" t="str">
            <v>Spread Duration</v>
          </cell>
          <cell r="E4058" t="str">
            <v>Spread Yield</v>
          </cell>
          <cell r="F4058" t="str">
            <v>Alternative</v>
          </cell>
          <cell r="G4058" t="str">
            <v>Other</v>
          </cell>
          <cell r="H4058" t="str">
            <v>ALTS</v>
          </cell>
          <cell r="I4058" t="str">
            <v>Mortgage - Moneyness</v>
          </cell>
        </row>
        <row r="4059">
          <cell r="A4059" t="str">
            <v>USD_ARM_JMB_3_1_V610</v>
          </cell>
          <cell r="B4059" t="str">
            <v>3/1 Ginnie Mae Hybrid ARM V610</v>
          </cell>
          <cell r="C4059" t="str">
            <v>BRS_GOLD__5_SPREADS:BRS_GOLD__3_OTHER_SPREADS:BRS_GOLD__1_MTG,TBA_ALL,PAYUP,NONAGENCY,MORT_IDIO,CRT,CRT_SP_RISK:BRS_GOLD__1_MTG-BASIS:USD_ARM_JMB_3_1_V610</v>
          </cell>
          <cell r="D4059" t="str">
            <v>Spread Duration</v>
          </cell>
          <cell r="E4059" t="str">
            <v>Spread Yield</v>
          </cell>
          <cell r="F4059" t="str">
            <v>Alternative</v>
          </cell>
          <cell r="G4059" t="str">
            <v>Other</v>
          </cell>
          <cell r="H4059" t="str">
            <v>ALTS</v>
          </cell>
          <cell r="I4059" t="str">
            <v>Mortgage - Moneyness</v>
          </cell>
        </row>
        <row r="4060">
          <cell r="A4060" t="str">
            <v>USD_ARM_JMB_5_1_V610</v>
          </cell>
          <cell r="B4060" t="str">
            <v>5/1 Ginnie Mae Hybrid ARM V610</v>
          </cell>
          <cell r="C4060" t="str">
            <v>BRS_GOLD__5_SPREADS:BRS_GOLD__3_OTHER_SPREADS:BRS_GOLD__1_MTG,TBA_ALL,PAYUP,NONAGENCY,MORT_IDIO,CRT,CRT_SP_RISK:BRS_GOLD__1_MTG-BASIS:USD_ARM_JMB_5_1_V610</v>
          </cell>
          <cell r="D4060" t="str">
            <v>Spread Duration</v>
          </cell>
          <cell r="E4060" t="str">
            <v>Spread Yield</v>
          </cell>
          <cell r="F4060" t="str">
            <v>Alternative</v>
          </cell>
          <cell r="G4060" t="str">
            <v>Other</v>
          </cell>
          <cell r="H4060" t="str">
            <v>ALTS</v>
          </cell>
          <cell r="I4060" t="str">
            <v>Mortgage - Moneyness</v>
          </cell>
        </row>
        <row r="4061">
          <cell r="A4061" t="str">
            <v>USD_ARM_JMB_7_1_V610</v>
          </cell>
          <cell r="B4061" t="str">
            <v>7/1 Ginnie Mae Hybrid ARM V610</v>
          </cell>
          <cell r="C4061" t="str">
            <v>BRS_GOLD__5_SPREADS:BRS_GOLD__3_OTHER_SPREADS:BRS_GOLD__1_MTG,TBA_ALL,PAYUP,NONAGENCY,MORT_IDIO,CRT,CRT_SP_RISK:BRS_GOLD__1_MTG-BASIS:USD_ARM_JMB_7_1_V610</v>
          </cell>
          <cell r="D4061" t="str">
            <v>Spread Duration</v>
          </cell>
          <cell r="E4061" t="str">
            <v>Spread Yield</v>
          </cell>
          <cell r="F4061" t="str">
            <v>Alternative</v>
          </cell>
          <cell r="G4061" t="str">
            <v>Other</v>
          </cell>
          <cell r="H4061" t="str">
            <v>ALTS</v>
          </cell>
          <cell r="I4061" t="str">
            <v>Mortgage - Moneyness</v>
          </cell>
        </row>
        <row r="4062">
          <cell r="A4062" t="str">
            <v>USD_ARM_JMB_10_1_V610</v>
          </cell>
          <cell r="B4062" t="str">
            <v>10/1 Ginnie Mae Hyb ARM V610</v>
          </cell>
          <cell r="C4062" t="str">
            <v>BRS_GOLD__5_SPREADS:BRS_GOLD__3_OTHER_SPREADS:BRS_GOLD__1_MTG,TBA_ALL,PAYUP,NONAGENCY,MORT_IDIO,CRT,CRT_SP_RISK:BRS_GOLD__1_MTG-BASIS:USD_ARM_JMB_10_1_V610</v>
          </cell>
          <cell r="D4062" t="str">
            <v>Spread Duration</v>
          </cell>
          <cell r="E4062" t="str">
            <v>Spread Yield</v>
          </cell>
          <cell r="F4062" t="str">
            <v>Alternative</v>
          </cell>
          <cell r="G4062" t="str">
            <v>Other</v>
          </cell>
          <cell r="H4062" t="str">
            <v>ALTS</v>
          </cell>
          <cell r="I4062" t="str">
            <v>Mortgage - Moneyness</v>
          </cell>
        </row>
        <row r="4063">
          <cell r="A4063" t="str">
            <v>USD_ARM_AGY_1_1_V604_E</v>
          </cell>
          <cell r="B4063" t="str">
            <v>1/1 Conventional Hyb ARM V604</v>
          </cell>
          <cell r="C4063" t="str">
            <v>BRS_GOLD__5_SPREADS:BRS_GOLD__3_OTHER_SPREADS:BRS_GOLD__1_MTG,TBA_ALL,PAYUP,NONAGENCY,MORT_IDIO,CRT,CRT_SP_RISK:BRS_GOLD__1_MTG-BASIS:USD_ARM_AGY_1_1_V604_E</v>
          </cell>
          <cell r="D4063" t="str">
            <v>Spread Duration</v>
          </cell>
          <cell r="E4063" t="str">
            <v>Spread Yield</v>
          </cell>
          <cell r="F4063" t="str">
            <v>Alternative</v>
          </cell>
          <cell r="G4063" t="str">
            <v>Other</v>
          </cell>
          <cell r="H4063" t="str">
            <v>ALTS</v>
          </cell>
          <cell r="I4063" t="str">
            <v>Mortgage - Moneyness</v>
          </cell>
        </row>
        <row r="4064">
          <cell r="A4064" t="str">
            <v>USD_ARM_AGY_3_1_V604_E</v>
          </cell>
          <cell r="B4064" t="str">
            <v>3/1 Conventional Hyb ARM V604</v>
          </cell>
          <cell r="C4064" t="str">
            <v>BRS_GOLD__5_SPREADS:BRS_GOLD__3_OTHER_SPREADS:BRS_GOLD__1_MTG,TBA_ALL,PAYUP,NONAGENCY,MORT_IDIO,CRT,CRT_SP_RISK:BRS_GOLD__1_MTG-BASIS:USD_ARM_AGY_3_1_V604_E</v>
          </cell>
          <cell r="D4064" t="str">
            <v>Spread Duration</v>
          </cell>
          <cell r="E4064" t="str">
            <v>Spread Yield</v>
          </cell>
          <cell r="F4064" t="str">
            <v>Alternative</v>
          </cell>
          <cell r="G4064" t="str">
            <v>Other</v>
          </cell>
          <cell r="H4064" t="str">
            <v>ALTS</v>
          </cell>
          <cell r="I4064" t="str">
            <v>Mortgage - Moneyness</v>
          </cell>
        </row>
        <row r="4065">
          <cell r="A4065" t="str">
            <v>USD_ARM_AGY_5_1_V604_E</v>
          </cell>
          <cell r="B4065" t="str">
            <v>5/1 Conventional Hyb ARM V604</v>
          </cell>
          <cell r="C4065" t="str">
            <v>BRS_GOLD__5_SPREADS:BRS_GOLD__3_OTHER_SPREADS:BRS_GOLD__1_MTG,TBA_ALL,PAYUP,NONAGENCY,MORT_IDIO,CRT,CRT_SP_RISK:BRS_GOLD__1_MTG-BASIS:USD_ARM_AGY_5_1_V604_E</v>
          </cell>
          <cell r="D4065" t="str">
            <v>Spread Duration</v>
          </cell>
          <cell r="E4065" t="str">
            <v>Spread Yield</v>
          </cell>
          <cell r="F4065" t="str">
            <v>Alternative</v>
          </cell>
          <cell r="G4065" t="str">
            <v>Other</v>
          </cell>
          <cell r="H4065" t="str">
            <v>ALTS</v>
          </cell>
          <cell r="I4065" t="str">
            <v>Mortgage - Moneyness</v>
          </cell>
        </row>
        <row r="4066">
          <cell r="A4066" t="str">
            <v>USD_ARM_AGY_7_1_V604_E</v>
          </cell>
          <cell r="B4066" t="str">
            <v>7/1 Conventional Hyb ARM V604</v>
          </cell>
          <cell r="C4066" t="str">
            <v>BRS_GOLD__5_SPREADS:BRS_GOLD__3_OTHER_SPREADS:BRS_GOLD__1_MTG,TBA_ALL,PAYUP,NONAGENCY,MORT_IDIO,CRT,CRT_SP_RISK:BRS_GOLD__1_MTG-BASIS:USD_ARM_AGY_7_1_V604_E</v>
          </cell>
          <cell r="D4066" t="str">
            <v>Spread Duration</v>
          </cell>
          <cell r="E4066" t="str">
            <v>Spread Yield</v>
          </cell>
          <cell r="F4066" t="str">
            <v>Alternative</v>
          </cell>
          <cell r="G4066" t="str">
            <v>Other</v>
          </cell>
          <cell r="H4066" t="str">
            <v>ALTS</v>
          </cell>
          <cell r="I4066" t="str">
            <v>Mortgage - Moneyness</v>
          </cell>
        </row>
        <row r="4067">
          <cell r="A4067" t="str">
            <v>USD_ARM_AGY_10_1_V604_E</v>
          </cell>
          <cell r="B4067" t="str">
            <v>10/1 Conventional Hyb ARM V604</v>
          </cell>
          <cell r="C4067" t="str">
            <v>BRS_GOLD__5_SPREADS:BRS_GOLD__3_OTHER_SPREADS:BRS_GOLD__1_MTG,TBA_ALL,PAYUP,NONAGENCY,MORT_IDIO,CRT,CRT_SP_RISK:BRS_GOLD__1_MTG-BASIS:USD_ARM_AGY_10_1_V604_E</v>
          </cell>
          <cell r="D4067" t="str">
            <v>Spread Duration</v>
          </cell>
          <cell r="E4067" t="str">
            <v>Spread Yield</v>
          </cell>
          <cell r="F4067" t="str">
            <v>Alternative</v>
          </cell>
          <cell r="G4067" t="str">
            <v>Other</v>
          </cell>
          <cell r="H4067" t="str">
            <v>ALTS</v>
          </cell>
          <cell r="I4067" t="str">
            <v>Mortgage - Moneyness</v>
          </cell>
        </row>
        <row r="4068">
          <cell r="A4068" t="str">
            <v>USD_ARM_JMB_1_1_V604_E</v>
          </cell>
          <cell r="B4068" t="str">
            <v>1/1 Ginnie Mae Hybrid ARM V604</v>
          </cell>
          <cell r="C4068" t="str">
            <v>BRS_GOLD__5_SPREADS:BRS_GOLD__3_OTHER_SPREADS:BRS_GOLD__1_MTG,TBA_ALL,PAYUP,NONAGENCY,MORT_IDIO,CRT,CRT_SP_RISK:BRS_GOLD__1_MTG-BASIS:USD_ARM_JMB_1_1_V604_E</v>
          </cell>
          <cell r="D4068" t="str">
            <v>Spread Duration</v>
          </cell>
          <cell r="E4068" t="str">
            <v>Spread Yield</v>
          </cell>
          <cell r="F4068" t="str">
            <v>Alternative</v>
          </cell>
          <cell r="G4068" t="str">
            <v>Other</v>
          </cell>
          <cell r="H4068" t="str">
            <v>ALTS</v>
          </cell>
          <cell r="I4068" t="str">
            <v>Mortgage - Moneyness</v>
          </cell>
        </row>
        <row r="4069">
          <cell r="A4069" t="str">
            <v>USD_ARM_JMB_3_1_V604_E</v>
          </cell>
          <cell r="B4069" t="str">
            <v>3/1 Ginnie Mae Hybrid ARM V604</v>
          </cell>
          <cell r="C4069" t="str">
            <v>BRS_GOLD__5_SPREADS:BRS_GOLD__3_OTHER_SPREADS:BRS_GOLD__1_MTG,TBA_ALL,PAYUP,NONAGENCY,MORT_IDIO,CRT,CRT_SP_RISK:BRS_GOLD__1_MTG-BASIS:USD_ARM_JMB_3_1_V604_E</v>
          </cell>
          <cell r="D4069" t="str">
            <v>Spread Duration</v>
          </cell>
          <cell r="E4069" t="str">
            <v>Spread Yield</v>
          </cell>
          <cell r="F4069" t="str">
            <v>Alternative</v>
          </cell>
          <cell r="G4069" t="str">
            <v>Other</v>
          </cell>
          <cell r="H4069" t="str">
            <v>ALTS</v>
          </cell>
          <cell r="I4069" t="str">
            <v>Mortgage - Moneyness</v>
          </cell>
        </row>
        <row r="4070">
          <cell r="A4070" t="str">
            <v>USD_ARM_JMB_5_1_V604_E</v>
          </cell>
          <cell r="B4070" t="str">
            <v>5/1 Ginnie Mae Hybrid ARM V604</v>
          </cell>
          <cell r="C4070" t="str">
            <v>BRS_GOLD__5_SPREADS:BRS_GOLD__3_OTHER_SPREADS:BRS_GOLD__1_MTG,TBA_ALL,PAYUP,NONAGENCY,MORT_IDIO,CRT,CRT_SP_RISK:BRS_GOLD__1_MTG-BASIS:USD_ARM_JMB_5_1_V604_E</v>
          </cell>
          <cell r="D4070" t="str">
            <v>Spread Duration</v>
          </cell>
          <cell r="E4070" t="str">
            <v>Spread Yield</v>
          </cell>
          <cell r="F4070" t="str">
            <v>Alternative</v>
          </cell>
          <cell r="G4070" t="str">
            <v>Other</v>
          </cell>
          <cell r="H4070" t="str">
            <v>ALTS</v>
          </cell>
          <cell r="I4070" t="str">
            <v>Mortgage - Moneyness</v>
          </cell>
        </row>
        <row r="4071">
          <cell r="A4071" t="str">
            <v>USD_ARM_JMB_7_1_V604_E</v>
          </cell>
          <cell r="B4071" t="str">
            <v>7/1 Ginnie Mae Hybrid ARM V604</v>
          </cell>
          <cell r="C4071" t="str">
            <v>BRS_GOLD__5_SPREADS:BRS_GOLD__3_OTHER_SPREADS:BRS_GOLD__1_MTG,TBA_ALL,PAYUP,NONAGENCY,MORT_IDIO,CRT,CRT_SP_RISK:BRS_GOLD__1_MTG-BASIS:USD_ARM_JMB_7_1_V604_E</v>
          </cell>
          <cell r="D4071" t="str">
            <v>Spread Duration</v>
          </cell>
          <cell r="E4071" t="str">
            <v>Spread Yield</v>
          </cell>
          <cell r="F4071" t="str">
            <v>Alternative</v>
          </cell>
          <cell r="G4071" t="str">
            <v>Other</v>
          </cell>
          <cell r="H4071" t="str">
            <v>ALTS</v>
          </cell>
          <cell r="I4071" t="str">
            <v>Mortgage - Moneyness</v>
          </cell>
        </row>
        <row r="4072">
          <cell r="A4072" t="str">
            <v>USD_ARM_JMB_10_1_V604_E</v>
          </cell>
          <cell r="B4072" t="str">
            <v>10/1 Ginnie Mae Hyb ARM V604</v>
          </cell>
          <cell r="C4072" t="str">
            <v>BRS_GOLD__5_SPREADS:BRS_GOLD__3_OTHER_SPREADS:BRS_GOLD__1_MTG,TBA_ALL,PAYUP,NONAGENCY,MORT_IDIO,CRT,CRT_SP_RISK:BRS_GOLD__1_MTG-BASIS:USD_ARM_JMB_10_1_V604_E</v>
          </cell>
          <cell r="D4072" t="str">
            <v>Spread Duration</v>
          </cell>
          <cell r="E4072" t="str">
            <v>Spread Yield</v>
          </cell>
          <cell r="F4072" t="str">
            <v>Alternative</v>
          </cell>
          <cell r="G4072" t="str">
            <v>Other</v>
          </cell>
          <cell r="H4072" t="str">
            <v>ALTS</v>
          </cell>
          <cell r="I4072" t="str">
            <v>Mortgage - Moneyness</v>
          </cell>
        </row>
        <row r="4073">
          <cell r="A4073" t="str">
            <v>USD_ARM_AGY_1_1_V610_E</v>
          </cell>
          <cell r="B4073" t="str">
            <v>1/1 Conventional Hyb ARM V610</v>
          </cell>
          <cell r="C4073" t="str">
            <v>BRS_GOLD__5_SPREADS:BRS_GOLD__3_OTHER_SPREADS:BRS_GOLD__1_MTG,TBA_ALL,PAYUP,NONAGENCY,MORT_IDIO,CRT,CRT_SP_RISK:BRS_GOLD__1_MTG-BASIS:USD_ARM_AGY_1_1_V610_E</v>
          </cell>
          <cell r="D4073" t="str">
            <v>Spread Duration</v>
          </cell>
          <cell r="E4073" t="str">
            <v>Spread Yield</v>
          </cell>
          <cell r="F4073" t="str">
            <v>Alternative</v>
          </cell>
          <cell r="G4073" t="str">
            <v>Other</v>
          </cell>
          <cell r="H4073" t="str">
            <v>ALTS</v>
          </cell>
          <cell r="I4073" t="str">
            <v>Mortgage - Moneyness</v>
          </cell>
        </row>
        <row r="4074">
          <cell r="A4074" t="str">
            <v>USD_ARM_AGY_3_1_V610_E</v>
          </cell>
          <cell r="B4074" t="str">
            <v>3/1 Conventional Hyb ARM V610</v>
          </cell>
          <cell r="C4074" t="str">
            <v>BRS_GOLD__5_SPREADS:BRS_GOLD__3_OTHER_SPREADS:BRS_GOLD__1_MTG,TBA_ALL,PAYUP,NONAGENCY,MORT_IDIO,CRT,CRT_SP_RISK:BRS_GOLD__1_MTG-BASIS:USD_ARM_AGY_3_1_V610_E</v>
          </cell>
          <cell r="D4074" t="str">
            <v>Spread Duration</v>
          </cell>
          <cell r="E4074" t="str">
            <v>Spread Yield</v>
          </cell>
          <cell r="F4074" t="str">
            <v>Alternative</v>
          </cell>
          <cell r="G4074" t="str">
            <v>Other</v>
          </cell>
          <cell r="H4074" t="str">
            <v>ALTS</v>
          </cell>
          <cell r="I4074" t="str">
            <v>Mortgage - Moneyness</v>
          </cell>
        </row>
        <row r="4075">
          <cell r="A4075" t="str">
            <v>USD_ARM_AGY_5_1_V610_E</v>
          </cell>
          <cell r="B4075" t="str">
            <v>5/1 Conventional Hyb ARM V610</v>
          </cell>
          <cell r="C4075" t="str">
            <v>BRS_GOLD__5_SPREADS:BRS_GOLD__3_OTHER_SPREADS:BRS_GOLD__1_MTG,TBA_ALL,PAYUP,NONAGENCY,MORT_IDIO,CRT,CRT_SP_RISK:BRS_GOLD__1_MTG-BASIS:USD_ARM_AGY_5_1_V610_E</v>
          </cell>
          <cell r="D4075" t="str">
            <v>Spread Duration</v>
          </cell>
          <cell r="E4075" t="str">
            <v>Spread Yield</v>
          </cell>
          <cell r="F4075" t="str">
            <v>Alternative</v>
          </cell>
          <cell r="G4075" t="str">
            <v>Other</v>
          </cell>
          <cell r="H4075" t="str">
            <v>ALTS</v>
          </cell>
          <cell r="I4075" t="str">
            <v>Mortgage - Moneyness</v>
          </cell>
        </row>
        <row r="4076">
          <cell r="A4076" t="str">
            <v>USD_ARM_AGY_7_1_V610_E</v>
          </cell>
          <cell r="B4076" t="str">
            <v>7/1 Conventional Hyb ARM V610</v>
          </cell>
          <cell r="C4076" t="str">
            <v>BRS_GOLD__5_SPREADS:BRS_GOLD__3_OTHER_SPREADS:BRS_GOLD__1_MTG,TBA_ALL,PAYUP,NONAGENCY,MORT_IDIO,CRT,CRT_SP_RISK:BRS_GOLD__1_MTG-BASIS:USD_ARM_AGY_7_1_V610_E</v>
          </cell>
          <cell r="D4076" t="str">
            <v>Spread Duration</v>
          </cell>
          <cell r="E4076" t="str">
            <v>Spread Yield</v>
          </cell>
          <cell r="F4076" t="str">
            <v>Alternative</v>
          </cell>
          <cell r="G4076" t="str">
            <v>Other</v>
          </cell>
          <cell r="H4076" t="str">
            <v>ALTS</v>
          </cell>
          <cell r="I4076" t="str">
            <v>Mortgage - Moneyness</v>
          </cell>
        </row>
        <row r="4077">
          <cell r="A4077" t="str">
            <v>USD_ARM_AGY_10_1_V610_E</v>
          </cell>
          <cell r="B4077" t="str">
            <v>10/1 Conventional Hyb ARM V610</v>
          </cell>
          <cell r="C4077" t="str">
            <v>BRS_GOLD__5_SPREADS:BRS_GOLD__3_OTHER_SPREADS:BRS_GOLD__1_MTG,TBA_ALL,PAYUP,NONAGENCY,MORT_IDIO,CRT,CRT_SP_RISK:BRS_GOLD__1_MTG-BASIS:USD_ARM_AGY_10_1_V610_E</v>
          </cell>
          <cell r="D4077" t="str">
            <v>Spread Duration</v>
          </cell>
          <cell r="E4077" t="str">
            <v>Spread Yield</v>
          </cell>
          <cell r="F4077" t="str">
            <v>Alternative</v>
          </cell>
          <cell r="G4077" t="str">
            <v>Other</v>
          </cell>
          <cell r="H4077" t="str">
            <v>ALTS</v>
          </cell>
          <cell r="I4077" t="str">
            <v>Mortgage - Moneyness</v>
          </cell>
        </row>
        <row r="4078">
          <cell r="A4078" t="str">
            <v>USD_ARM_JMB_1_1_V610_E</v>
          </cell>
          <cell r="B4078" t="str">
            <v>1/1 Ginnie Mae Hybrid ARM V610</v>
          </cell>
          <cell r="C4078" t="str">
            <v>BRS_GOLD__5_SPREADS:BRS_GOLD__3_OTHER_SPREADS:BRS_GOLD__1_MTG,TBA_ALL,PAYUP,NONAGENCY,MORT_IDIO,CRT,CRT_SP_RISK:BRS_GOLD__1_MTG-BASIS:USD_ARM_JMB_1_1_V610_E</v>
          </cell>
          <cell r="D4078" t="str">
            <v>Spread Duration</v>
          </cell>
          <cell r="E4078" t="str">
            <v>Spread Yield</v>
          </cell>
          <cell r="F4078" t="str">
            <v>Alternative</v>
          </cell>
          <cell r="G4078" t="str">
            <v>Other</v>
          </cell>
          <cell r="H4078" t="str">
            <v>ALTS</v>
          </cell>
          <cell r="I4078" t="str">
            <v>Mortgage - Moneyness</v>
          </cell>
        </row>
        <row r="4079">
          <cell r="A4079" t="str">
            <v>USD_ARM_JMB_3_1_V610_E</v>
          </cell>
          <cell r="B4079" t="str">
            <v>3/1 Ginnie Mae Hybrid ARM V610</v>
          </cell>
          <cell r="C4079" t="str">
            <v>BRS_GOLD__5_SPREADS:BRS_GOLD__3_OTHER_SPREADS:BRS_GOLD__1_MTG,TBA_ALL,PAYUP,NONAGENCY,MORT_IDIO,CRT,CRT_SP_RISK:BRS_GOLD__1_MTG-BASIS:USD_ARM_JMB_3_1_V610_E</v>
          </cell>
          <cell r="D4079" t="str">
            <v>Spread Duration</v>
          </cell>
          <cell r="E4079" t="str">
            <v>Spread Yield</v>
          </cell>
          <cell r="F4079" t="str">
            <v>Alternative</v>
          </cell>
          <cell r="G4079" t="str">
            <v>Other</v>
          </cell>
          <cell r="H4079" t="str">
            <v>ALTS</v>
          </cell>
          <cell r="I4079" t="str">
            <v>Mortgage - Moneyness</v>
          </cell>
        </row>
        <row r="4080">
          <cell r="A4080" t="str">
            <v>USD_ARM_JMB_5_1_V610_E</v>
          </cell>
          <cell r="B4080" t="str">
            <v>5/1 Ginnie Mae Hybrid ARM V610</v>
          </cell>
          <cell r="C4080" t="str">
            <v>BRS_GOLD__5_SPREADS:BRS_GOLD__3_OTHER_SPREADS:BRS_GOLD__1_MTG,TBA_ALL,PAYUP,NONAGENCY,MORT_IDIO,CRT,CRT_SP_RISK:BRS_GOLD__1_MTG-BASIS:USD_ARM_JMB_5_1_V610_E</v>
          </cell>
          <cell r="D4080" t="str">
            <v>Spread Duration</v>
          </cell>
          <cell r="E4080" t="str">
            <v>Spread Yield</v>
          </cell>
          <cell r="F4080" t="str">
            <v>Alternative</v>
          </cell>
          <cell r="G4080" t="str">
            <v>Other</v>
          </cell>
          <cell r="H4080" t="str">
            <v>ALTS</v>
          </cell>
          <cell r="I4080" t="str">
            <v>Mortgage - Moneyness</v>
          </cell>
        </row>
        <row r="4081">
          <cell r="A4081" t="str">
            <v>USD_ARM_JMB_7_1_V610_E</v>
          </cell>
          <cell r="B4081" t="str">
            <v>7/1 Ginnie Mae Hybrid ARM V610</v>
          </cell>
          <cell r="C4081" t="str">
            <v>BRS_GOLD__5_SPREADS:BRS_GOLD__3_OTHER_SPREADS:BRS_GOLD__1_MTG,TBA_ALL,PAYUP,NONAGENCY,MORT_IDIO,CRT,CRT_SP_RISK:BRS_GOLD__1_MTG-BASIS:USD_ARM_JMB_7_1_V610_E</v>
          </cell>
          <cell r="D4081" t="str">
            <v>Spread Duration</v>
          </cell>
          <cell r="E4081" t="str">
            <v>Spread Yield</v>
          </cell>
          <cell r="F4081" t="str">
            <v>Alternative</v>
          </cell>
          <cell r="G4081" t="str">
            <v>Other</v>
          </cell>
          <cell r="H4081" t="str">
            <v>ALTS</v>
          </cell>
          <cell r="I4081" t="str">
            <v>Mortgage - Moneyness</v>
          </cell>
        </row>
        <row r="4082">
          <cell r="A4082" t="str">
            <v>USD_ARM_JMB_10_1_V610_E</v>
          </cell>
          <cell r="B4082" t="str">
            <v>10/1 Ginnie Mae Hyb ARM V610</v>
          </cell>
          <cell r="C4082" t="str">
            <v>BRS_GOLD__5_SPREADS:BRS_GOLD__3_OTHER_SPREADS:BRS_GOLD__1_MTG,TBA_ALL,PAYUP,NONAGENCY,MORT_IDIO,CRT,CRT_SP_RISK:BRS_GOLD__1_MTG-BASIS:USD_ARM_JMB_10_1_V610_E</v>
          </cell>
          <cell r="D4082" t="str">
            <v>Spread Duration</v>
          </cell>
          <cell r="E4082" t="str">
            <v>Spread Yield</v>
          </cell>
          <cell r="F4082" t="str">
            <v>Alternative</v>
          </cell>
          <cell r="G4082" t="str">
            <v>Other</v>
          </cell>
          <cell r="H4082" t="str">
            <v>ALTS</v>
          </cell>
          <cell r="I4082" t="str">
            <v>Mortgage - Moneyness</v>
          </cell>
        </row>
        <row r="4083">
          <cell r="A4083" t="str">
            <v>USD_ARM_AGY_1_1_V620</v>
          </cell>
          <cell r="B4083" t="str">
            <v>1/1 Conventional Hybrid ARM V6</v>
          </cell>
          <cell r="C4083" t="str">
            <v>BRS_GOLD__5_SPREADS:BRS_GOLD__3_OTHER_SPREADS:BRS_GOLD__1_MTG,TBA_ALL,PAYUP,NONAGENCY,MORT_IDIO,CRT,CRT_SP_RISK:BRS_GOLD__1_MTG-BASIS:USD_ARM_AGY_1_1_V620</v>
          </cell>
          <cell r="D4083" t="str">
            <v>Spread Duration</v>
          </cell>
          <cell r="E4083" t="str">
            <v>Spread Yield</v>
          </cell>
          <cell r="F4083" t="str">
            <v>Alternative</v>
          </cell>
          <cell r="G4083" t="str">
            <v>Other</v>
          </cell>
          <cell r="H4083" t="str">
            <v>ALTS</v>
          </cell>
          <cell r="I4083" t="str">
            <v>Mortgage - Moneyness</v>
          </cell>
        </row>
        <row r="4084">
          <cell r="A4084" t="str">
            <v>USD_ARM_AGY_3_1_V620</v>
          </cell>
          <cell r="B4084" t="str">
            <v>3/1 Conventional Hybrid ARM V6</v>
          </cell>
          <cell r="C4084" t="str">
            <v>BRS_GOLD__5_SPREADS:BRS_GOLD__3_OTHER_SPREADS:BRS_GOLD__1_MTG,TBA_ALL,PAYUP,NONAGENCY,MORT_IDIO,CRT,CRT_SP_RISK:BRS_GOLD__1_MTG-BASIS:USD_ARM_AGY_3_1_V620</v>
          </cell>
          <cell r="D4084" t="str">
            <v>Spread Duration</v>
          </cell>
          <cell r="E4084" t="str">
            <v>Spread Yield</v>
          </cell>
          <cell r="F4084" t="str">
            <v>Alternative</v>
          </cell>
          <cell r="G4084" t="str">
            <v>Other</v>
          </cell>
          <cell r="H4084" t="str">
            <v>ALTS</v>
          </cell>
          <cell r="I4084" t="str">
            <v>Mortgage - Moneyness</v>
          </cell>
        </row>
        <row r="4085">
          <cell r="A4085" t="str">
            <v>USD_ARM_AGY_5_1_V620</v>
          </cell>
          <cell r="B4085" t="str">
            <v>5/1 Conventional Hybrid ARM V6</v>
          </cell>
          <cell r="C4085" t="str">
            <v>BRS_GOLD__5_SPREADS:BRS_GOLD__3_OTHER_SPREADS:BRS_GOLD__1_MTG,TBA_ALL,PAYUP,NONAGENCY,MORT_IDIO,CRT,CRT_SP_RISK:BRS_GOLD__1_MTG-BASIS:USD_ARM_AGY_5_1_V620</v>
          </cell>
          <cell r="D4085" t="str">
            <v>Spread Duration</v>
          </cell>
          <cell r="E4085" t="str">
            <v>Spread Yield</v>
          </cell>
          <cell r="F4085" t="str">
            <v>Alternative</v>
          </cell>
          <cell r="G4085" t="str">
            <v>Other</v>
          </cell>
          <cell r="H4085" t="str">
            <v>ALTS</v>
          </cell>
          <cell r="I4085" t="str">
            <v>Mortgage - Moneyness</v>
          </cell>
        </row>
        <row r="4086">
          <cell r="A4086" t="str">
            <v>USD_ARM_AGY_7_1_V620</v>
          </cell>
          <cell r="B4086" t="str">
            <v>7/1 Conventional Hybrid ARM V6</v>
          </cell>
          <cell r="C4086" t="str">
            <v>BRS_GOLD__5_SPREADS:BRS_GOLD__3_OTHER_SPREADS:BRS_GOLD__1_MTG,TBA_ALL,PAYUP,NONAGENCY,MORT_IDIO,CRT,CRT_SP_RISK:BRS_GOLD__1_MTG-BASIS:USD_ARM_AGY_7_1_V620</v>
          </cell>
          <cell r="D4086" t="str">
            <v>Spread Duration</v>
          </cell>
          <cell r="E4086" t="str">
            <v>Spread Yield</v>
          </cell>
          <cell r="F4086" t="str">
            <v>Alternative</v>
          </cell>
          <cell r="G4086" t="str">
            <v>Other</v>
          </cell>
          <cell r="H4086" t="str">
            <v>ALTS</v>
          </cell>
          <cell r="I4086" t="str">
            <v>Mortgage - Moneyness</v>
          </cell>
        </row>
        <row r="4087">
          <cell r="A4087" t="str">
            <v>USD_ARM_AGY_10_1_V620</v>
          </cell>
          <cell r="B4087" t="str">
            <v>10/1 Conventional Hybrid ARM V</v>
          </cell>
          <cell r="C4087" t="str">
            <v>BRS_GOLD__5_SPREADS:BRS_GOLD__3_OTHER_SPREADS:BRS_GOLD__1_MTG,TBA_ALL,PAYUP,NONAGENCY,MORT_IDIO,CRT,CRT_SP_RISK:BRS_GOLD__1_MTG-BASIS:USD_ARM_AGY_10_1_V620</v>
          </cell>
          <cell r="D4087" t="str">
            <v>Spread Duration</v>
          </cell>
          <cell r="E4087" t="str">
            <v>Spread Yield</v>
          </cell>
          <cell r="F4087" t="str">
            <v>Alternative</v>
          </cell>
          <cell r="G4087" t="str">
            <v>Other</v>
          </cell>
          <cell r="H4087" t="str">
            <v>ALTS</v>
          </cell>
          <cell r="I4087" t="str">
            <v>Mortgage - Moneyness</v>
          </cell>
        </row>
        <row r="4088">
          <cell r="A4088" t="str">
            <v>USD_ARM_JMB_1_1_V620</v>
          </cell>
          <cell r="B4088" t="str">
            <v>1/1 Ginnie Mae Hybrid ARM V620</v>
          </cell>
          <cell r="C4088" t="str">
            <v>BRS_GOLD__5_SPREADS:BRS_GOLD__3_OTHER_SPREADS:BRS_GOLD__1_MTG,TBA_ALL,PAYUP,NONAGENCY,MORT_IDIO,CRT,CRT_SP_RISK:BRS_GOLD__1_MTG-BASIS:USD_ARM_JMB_1_1_V620</v>
          </cell>
          <cell r="D4088" t="str">
            <v>Spread Duration</v>
          </cell>
          <cell r="E4088" t="str">
            <v>Spread Yield</v>
          </cell>
          <cell r="F4088" t="str">
            <v>Alternative</v>
          </cell>
          <cell r="G4088" t="str">
            <v>Other</v>
          </cell>
          <cell r="H4088" t="str">
            <v>ALTS</v>
          </cell>
          <cell r="I4088" t="str">
            <v>Mortgage - Moneyness</v>
          </cell>
        </row>
        <row r="4089">
          <cell r="A4089" t="str">
            <v>USD_ARM_JMB_3_1_V620</v>
          </cell>
          <cell r="B4089" t="str">
            <v>3/1 Ginnie Mae Hybrid ARM V620</v>
          </cell>
          <cell r="C4089" t="str">
            <v>BRS_GOLD__5_SPREADS:BRS_GOLD__3_OTHER_SPREADS:BRS_GOLD__1_MTG,TBA_ALL,PAYUP,NONAGENCY,MORT_IDIO,CRT,CRT_SP_RISK:BRS_GOLD__1_MTG-BASIS:USD_ARM_JMB_3_1_V620</v>
          </cell>
          <cell r="D4089" t="str">
            <v>Spread Duration</v>
          </cell>
          <cell r="E4089" t="str">
            <v>Spread Yield</v>
          </cell>
          <cell r="F4089" t="str">
            <v>Alternative</v>
          </cell>
          <cell r="G4089" t="str">
            <v>Other</v>
          </cell>
          <cell r="H4089" t="str">
            <v>ALTS</v>
          </cell>
          <cell r="I4089" t="str">
            <v>Mortgage - Moneyness</v>
          </cell>
        </row>
        <row r="4090">
          <cell r="A4090" t="str">
            <v>USD_ARM_JMB_5_1_V620</v>
          </cell>
          <cell r="B4090" t="str">
            <v>5/1 Ginnie Mae Hybrid ARM V620</v>
          </cell>
          <cell r="C4090" t="str">
            <v>BRS_GOLD__5_SPREADS:BRS_GOLD__3_OTHER_SPREADS:BRS_GOLD__1_MTG,TBA_ALL,PAYUP,NONAGENCY,MORT_IDIO,CRT,CRT_SP_RISK:BRS_GOLD__1_MTG-BASIS:USD_ARM_JMB_5_1_V620</v>
          </cell>
          <cell r="D4090" t="str">
            <v>Spread Duration</v>
          </cell>
          <cell r="E4090" t="str">
            <v>Spread Yield</v>
          </cell>
          <cell r="F4090" t="str">
            <v>Alternative</v>
          </cell>
          <cell r="G4090" t="str">
            <v>Other</v>
          </cell>
          <cell r="H4090" t="str">
            <v>ALTS</v>
          </cell>
          <cell r="I4090" t="str">
            <v>Mortgage - Moneyness</v>
          </cell>
        </row>
        <row r="4091">
          <cell r="A4091" t="str">
            <v>USD_ARM_JMB_7_1_V620</v>
          </cell>
          <cell r="B4091" t="str">
            <v>7/1 Ginnie Mae Hybrid ARM V620</v>
          </cell>
          <cell r="C4091" t="str">
            <v>BRS_GOLD__5_SPREADS:BRS_GOLD__3_OTHER_SPREADS:BRS_GOLD__1_MTG,TBA_ALL,PAYUP,NONAGENCY,MORT_IDIO,CRT,CRT_SP_RISK:BRS_GOLD__1_MTG-BASIS:USD_ARM_JMB_7_1_V620</v>
          </cell>
          <cell r="D4091" t="str">
            <v>Spread Duration</v>
          </cell>
          <cell r="E4091" t="str">
            <v>Spread Yield</v>
          </cell>
          <cell r="F4091" t="str">
            <v>Alternative</v>
          </cell>
          <cell r="G4091" t="str">
            <v>Other</v>
          </cell>
          <cell r="H4091" t="str">
            <v>ALTS</v>
          </cell>
          <cell r="I4091" t="str">
            <v>Mortgage - Moneyness</v>
          </cell>
        </row>
        <row r="4092">
          <cell r="A4092" t="str">
            <v>USD_ARM_JMB_10_1_V620</v>
          </cell>
          <cell r="B4092" t="str">
            <v>10/1 Ginnie Mae Hybrid ARM V62</v>
          </cell>
          <cell r="C4092" t="str">
            <v>BRS_GOLD__5_SPREADS:BRS_GOLD__3_OTHER_SPREADS:BRS_GOLD__1_MTG,TBA_ALL,PAYUP,NONAGENCY,MORT_IDIO,CRT,CRT_SP_RISK:BRS_GOLD__1_MTG-BASIS:USD_ARM_JMB_10_1_V620</v>
          </cell>
          <cell r="D4092" t="str">
            <v>Spread Duration</v>
          </cell>
          <cell r="E4092" t="str">
            <v>Spread Yield</v>
          </cell>
          <cell r="F4092" t="str">
            <v>Alternative</v>
          </cell>
          <cell r="G4092" t="str">
            <v>Other</v>
          </cell>
          <cell r="H4092" t="str">
            <v>ALTS</v>
          </cell>
          <cell r="I4092" t="str">
            <v>Mortgage - Moneyness</v>
          </cell>
        </row>
        <row r="4093">
          <cell r="A4093" t="str">
            <v>USD_ARM_AGY_1_1_V620_E</v>
          </cell>
          <cell r="B4093" t="str">
            <v>1/1 Conventional Hybrid ARM V6</v>
          </cell>
          <cell r="C4093" t="str">
            <v>BRS_GOLD__5_SPREADS:BRS_GOLD__3_OTHER_SPREADS:BRS_GOLD__1_MTG,TBA_ALL,PAYUP,NONAGENCY,MORT_IDIO,CRT,CRT_SP_RISK:BRS_GOLD__1_MTG-BASIS:USD_ARM_AGY_1_1_V620_E</v>
          </cell>
          <cell r="D4093" t="str">
            <v>Spread Duration</v>
          </cell>
          <cell r="E4093" t="str">
            <v>Spread Yield</v>
          </cell>
          <cell r="F4093" t="str">
            <v>Alternative</v>
          </cell>
          <cell r="G4093" t="str">
            <v>Other</v>
          </cell>
          <cell r="H4093" t="str">
            <v>ALTS</v>
          </cell>
          <cell r="I4093" t="str">
            <v>Mortgage - Moneyness</v>
          </cell>
        </row>
        <row r="4094">
          <cell r="A4094" t="str">
            <v>USD_ARM_AGY_3_1_V620_E</v>
          </cell>
          <cell r="B4094" t="str">
            <v>3/1 Conventional Hybrid ARM V6</v>
          </cell>
          <cell r="C4094" t="str">
            <v>BRS_GOLD__5_SPREADS:BRS_GOLD__3_OTHER_SPREADS:BRS_GOLD__1_MTG,TBA_ALL,PAYUP,NONAGENCY,MORT_IDIO,CRT,CRT_SP_RISK:BRS_GOLD__1_MTG-BASIS:USD_ARM_AGY_3_1_V620_E</v>
          </cell>
          <cell r="D4094" t="str">
            <v>Spread Duration</v>
          </cell>
          <cell r="E4094" t="str">
            <v>Spread Yield</v>
          </cell>
          <cell r="F4094" t="str">
            <v>Alternative</v>
          </cell>
          <cell r="G4094" t="str">
            <v>Other</v>
          </cell>
          <cell r="H4094" t="str">
            <v>ALTS</v>
          </cell>
          <cell r="I4094" t="str">
            <v>Mortgage - Moneyness</v>
          </cell>
        </row>
        <row r="4095">
          <cell r="A4095" t="str">
            <v>USD_ARM_AGY_5_1_V620_E</v>
          </cell>
          <cell r="B4095" t="str">
            <v>5/1 Conventional Hybrid ARM V6</v>
          </cell>
          <cell r="C4095" t="str">
            <v>BRS_GOLD__5_SPREADS:BRS_GOLD__3_OTHER_SPREADS:BRS_GOLD__1_MTG,TBA_ALL,PAYUP,NONAGENCY,MORT_IDIO,CRT,CRT_SP_RISK:BRS_GOLD__1_MTG-BASIS:USD_ARM_AGY_5_1_V620_E</v>
          </cell>
          <cell r="D4095" t="str">
            <v>Spread Duration</v>
          </cell>
          <cell r="E4095" t="str">
            <v>Spread Yield</v>
          </cell>
          <cell r="F4095" t="str">
            <v>Alternative</v>
          </cell>
          <cell r="G4095" t="str">
            <v>Other</v>
          </cell>
          <cell r="H4095" t="str">
            <v>ALTS</v>
          </cell>
          <cell r="I4095" t="str">
            <v>Mortgage - Moneyness</v>
          </cell>
        </row>
        <row r="4096">
          <cell r="A4096" t="str">
            <v>USD_ARM_AGY_7_1_V620_E</v>
          </cell>
          <cell r="B4096" t="str">
            <v>7/1 Conventional Hybrid ARM V6</v>
          </cell>
          <cell r="C4096" t="str">
            <v>BRS_GOLD__5_SPREADS:BRS_GOLD__3_OTHER_SPREADS:BRS_GOLD__1_MTG,TBA_ALL,PAYUP,NONAGENCY,MORT_IDIO,CRT,CRT_SP_RISK:BRS_GOLD__1_MTG-BASIS:USD_ARM_AGY_7_1_V620_E</v>
          </cell>
          <cell r="D4096" t="str">
            <v>Spread Duration</v>
          </cell>
          <cell r="E4096" t="str">
            <v>Spread Yield</v>
          </cell>
          <cell r="F4096" t="str">
            <v>Alternative</v>
          </cell>
          <cell r="G4096" t="str">
            <v>Other</v>
          </cell>
          <cell r="H4096" t="str">
            <v>ALTS</v>
          </cell>
          <cell r="I4096" t="str">
            <v>Mortgage - Moneyness</v>
          </cell>
        </row>
        <row r="4097">
          <cell r="A4097" t="str">
            <v>USD_ARM_AGY_10_1_V620_E</v>
          </cell>
          <cell r="B4097" t="str">
            <v>10/1 Conventional Hybrid ARM V</v>
          </cell>
          <cell r="C4097" t="str">
            <v>BRS_GOLD__5_SPREADS:BRS_GOLD__3_OTHER_SPREADS:BRS_GOLD__1_MTG,TBA_ALL,PAYUP,NONAGENCY,MORT_IDIO,CRT,CRT_SP_RISK:BRS_GOLD__1_MTG-BASIS:USD_ARM_AGY_10_1_V620_E</v>
          </cell>
          <cell r="D4097" t="str">
            <v>Spread Duration</v>
          </cell>
          <cell r="E4097" t="str">
            <v>Spread Yield</v>
          </cell>
          <cell r="F4097" t="str">
            <v>Alternative</v>
          </cell>
          <cell r="G4097" t="str">
            <v>Other</v>
          </cell>
          <cell r="H4097" t="str">
            <v>ALTS</v>
          </cell>
          <cell r="I4097" t="str">
            <v>Mortgage - Moneyness</v>
          </cell>
        </row>
        <row r="4098">
          <cell r="A4098" t="str">
            <v>USD_ARM_JMB_1_1_V620_E</v>
          </cell>
          <cell r="B4098" t="str">
            <v>1/1 Ginnie Mae Hybrid ARM V620</v>
          </cell>
          <cell r="C4098" t="str">
            <v>BRS_GOLD__5_SPREADS:BRS_GOLD__3_OTHER_SPREADS:BRS_GOLD__1_MTG,TBA_ALL,PAYUP,NONAGENCY,MORT_IDIO,CRT,CRT_SP_RISK:BRS_GOLD__1_MTG-BASIS:USD_ARM_JMB_1_1_V620_E</v>
          </cell>
          <cell r="D4098" t="str">
            <v>Spread Duration</v>
          </cell>
          <cell r="E4098" t="str">
            <v>Spread Yield</v>
          </cell>
          <cell r="F4098" t="str">
            <v>Alternative</v>
          </cell>
          <cell r="G4098" t="str">
            <v>Other</v>
          </cell>
          <cell r="H4098" t="str">
            <v>ALTS</v>
          </cell>
          <cell r="I4098" t="str">
            <v>Mortgage - Moneyness</v>
          </cell>
        </row>
        <row r="4099">
          <cell r="A4099" t="str">
            <v>USD_ARM_JMB_3_1_V620_E</v>
          </cell>
          <cell r="B4099" t="str">
            <v>3/1 Ginnie Mae Hybrid ARM V620</v>
          </cell>
          <cell r="C4099" t="str">
            <v>BRS_GOLD__5_SPREADS:BRS_GOLD__3_OTHER_SPREADS:BRS_GOLD__1_MTG,TBA_ALL,PAYUP,NONAGENCY,MORT_IDIO,CRT,CRT_SP_RISK:BRS_GOLD__1_MTG-BASIS:USD_ARM_JMB_3_1_V620_E</v>
          </cell>
          <cell r="D4099" t="str">
            <v>Spread Duration</v>
          </cell>
          <cell r="E4099" t="str">
            <v>Spread Yield</v>
          </cell>
          <cell r="F4099" t="str">
            <v>Alternative</v>
          </cell>
          <cell r="G4099" t="str">
            <v>Other</v>
          </cell>
          <cell r="H4099" t="str">
            <v>ALTS</v>
          </cell>
          <cell r="I4099" t="str">
            <v>Mortgage - Moneyness</v>
          </cell>
        </row>
        <row r="4100">
          <cell r="A4100" t="str">
            <v>USD_ARM_JMB_5_1_V620_E</v>
          </cell>
          <cell r="B4100" t="str">
            <v>5/1 Ginnie Mae Hybrid ARM V620</v>
          </cell>
          <cell r="C4100" t="str">
            <v>BRS_GOLD__5_SPREADS:BRS_GOLD__3_OTHER_SPREADS:BRS_GOLD__1_MTG,TBA_ALL,PAYUP,NONAGENCY,MORT_IDIO,CRT,CRT_SP_RISK:BRS_GOLD__1_MTG-BASIS:USD_ARM_JMB_5_1_V620_E</v>
          </cell>
          <cell r="D4100" t="str">
            <v>Spread Duration</v>
          </cell>
          <cell r="E4100" t="str">
            <v>Spread Yield</v>
          </cell>
          <cell r="F4100" t="str">
            <v>Alternative</v>
          </cell>
          <cell r="G4100" t="str">
            <v>Other</v>
          </cell>
          <cell r="H4100" t="str">
            <v>ALTS</v>
          </cell>
          <cell r="I4100" t="str">
            <v>Mortgage - Moneyness</v>
          </cell>
        </row>
        <row r="4101">
          <cell r="A4101" t="str">
            <v>USD_ARM_JMB_7_1_V620_E</v>
          </cell>
          <cell r="B4101" t="str">
            <v>7/1 Ginnie Mae Hybrid ARM V620</v>
          </cell>
          <cell r="C4101" t="str">
            <v>BRS_GOLD__5_SPREADS:BRS_GOLD__3_OTHER_SPREADS:BRS_GOLD__1_MTG,TBA_ALL,PAYUP,NONAGENCY,MORT_IDIO,CRT,CRT_SP_RISK:BRS_GOLD__1_MTG-BASIS:USD_ARM_JMB_7_1_V620_E</v>
          </cell>
          <cell r="D4101" t="str">
            <v>Spread Duration</v>
          </cell>
          <cell r="E4101" t="str">
            <v>Spread Yield</v>
          </cell>
          <cell r="F4101" t="str">
            <v>Alternative</v>
          </cell>
          <cell r="G4101" t="str">
            <v>Other</v>
          </cell>
          <cell r="H4101" t="str">
            <v>ALTS</v>
          </cell>
          <cell r="I4101" t="str">
            <v>Mortgage - Moneyness</v>
          </cell>
        </row>
        <row r="4102">
          <cell r="A4102" t="str">
            <v>USD_ARM_JMB_10_1_V620_E</v>
          </cell>
          <cell r="B4102" t="str">
            <v>10/1 Ginnie Mae Hybrid ARM V62</v>
          </cell>
          <cell r="C4102" t="str">
            <v>BRS_GOLD__5_SPREADS:BRS_GOLD__3_OTHER_SPREADS:BRS_GOLD__1_MTG,TBA_ALL,PAYUP,NONAGENCY,MORT_IDIO,CRT,CRT_SP_RISK:BRS_GOLD__1_MTG-BASIS:USD_ARM_JMB_10_1_V620_E</v>
          </cell>
          <cell r="D4102" t="str">
            <v>Spread Duration</v>
          </cell>
          <cell r="E4102" t="str">
            <v>Spread Yield</v>
          </cell>
          <cell r="F4102" t="str">
            <v>Alternative</v>
          </cell>
          <cell r="G4102" t="str">
            <v>Other</v>
          </cell>
          <cell r="H4102" t="str">
            <v>ALTS</v>
          </cell>
          <cell r="I4102" t="str">
            <v>Mortgage - Moneyness</v>
          </cell>
        </row>
        <row r="4103">
          <cell r="A4103" t="str">
            <v>USD_CMO_PAC_SHT_V600</v>
          </cell>
          <cell r="B4103" t="str">
            <v>CMO PAC Short V600</v>
          </cell>
          <cell r="C4103" t="str">
            <v>BRS_GOLD__5_SPREADS:BRS_GOLD__3_OTHER_SPREADS:BRS_GOLD__1_MTG,TBA_ALL,PAYUP,NONAGENCY,MORT_IDIO,CRT,CRT_SP_RISK:BRS_GOLD__1_MTG-BASIS:USD_CMO_PAC_SHT_V600</v>
          </cell>
          <cell r="D4103" t="str">
            <v>Spread Duration</v>
          </cell>
          <cell r="E4103" t="str">
            <v>Spread Yield</v>
          </cell>
          <cell r="F4103" t="str">
            <v>Alternative</v>
          </cell>
          <cell r="G4103" t="str">
            <v>Other</v>
          </cell>
          <cell r="H4103" t="str">
            <v>ALTS</v>
          </cell>
          <cell r="I4103" t="str">
            <v>Mortgage - Moneyness</v>
          </cell>
        </row>
        <row r="4104">
          <cell r="A4104" t="str">
            <v>USD_CMO_PAC_LNG_V600</v>
          </cell>
          <cell r="B4104" t="str">
            <v>CMO PAC Long V600</v>
          </cell>
          <cell r="C4104" t="str">
            <v>BRS_GOLD__5_SPREADS:BRS_GOLD__3_OTHER_SPREADS:BRS_GOLD__1_MTG,TBA_ALL,PAYUP,NONAGENCY,MORT_IDIO,CRT,CRT_SP_RISK:BRS_GOLD__1_MTG-BASIS:USD_CMO_PAC_LNG_V600</v>
          </cell>
          <cell r="D4104" t="str">
            <v>Spread Duration</v>
          </cell>
          <cell r="E4104" t="str">
            <v>Spread Yield</v>
          </cell>
          <cell r="F4104" t="str">
            <v>Alternative</v>
          </cell>
          <cell r="G4104" t="str">
            <v>Other</v>
          </cell>
          <cell r="H4104" t="str">
            <v>ALTS</v>
          </cell>
          <cell r="I4104" t="str">
            <v>Mortgage - Moneyness</v>
          </cell>
        </row>
        <row r="4105">
          <cell r="A4105" t="str">
            <v>USD_CMO_SEQ_SHT_V600</v>
          </cell>
          <cell r="B4105" t="str">
            <v>CMO Seq Short V600</v>
          </cell>
          <cell r="C4105" t="str">
            <v>BRS_GOLD__5_SPREADS:BRS_GOLD__3_OTHER_SPREADS:BRS_GOLD__1_MTG,TBA_ALL,PAYUP,NONAGENCY,MORT_IDIO,CRT,CRT_SP_RISK:BRS_GOLD__1_MTG-BASIS:USD_CMO_SEQ_SHT_V600</v>
          </cell>
          <cell r="D4105" t="str">
            <v>Spread Duration</v>
          </cell>
          <cell r="E4105" t="str">
            <v>Spread Yield</v>
          </cell>
          <cell r="F4105" t="str">
            <v>Alternative</v>
          </cell>
          <cell r="G4105" t="str">
            <v>Other</v>
          </cell>
          <cell r="H4105" t="str">
            <v>ALTS</v>
          </cell>
          <cell r="I4105" t="str">
            <v>Mortgage - Moneyness</v>
          </cell>
        </row>
        <row r="4106">
          <cell r="A4106" t="str">
            <v>USD_CMO_SEQ_LNG_V600</v>
          </cell>
          <cell r="B4106" t="str">
            <v>CMO Seq Long V600</v>
          </cell>
          <cell r="C4106" t="str">
            <v>BRS_GOLD__5_SPREADS:BRS_GOLD__3_OTHER_SPREADS:BRS_GOLD__1_MTG,TBA_ALL,PAYUP,NONAGENCY,MORT_IDIO,CRT,CRT_SP_RISK:BRS_GOLD__1_MTG-BASIS:USD_CMO_SEQ_LNG_V600</v>
          </cell>
          <cell r="D4106" t="str">
            <v>Spread Duration</v>
          </cell>
          <cell r="E4106" t="str">
            <v>Spread Yield</v>
          </cell>
          <cell r="F4106" t="str">
            <v>Alternative</v>
          </cell>
          <cell r="G4106" t="str">
            <v>Other</v>
          </cell>
          <cell r="H4106" t="str">
            <v>ALTS</v>
          </cell>
          <cell r="I4106" t="str">
            <v>Mortgage - Moneyness</v>
          </cell>
        </row>
        <row r="4107">
          <cell r="A4107" t="str">
            <v>USD_CMO_PAC_SHT_V604</v>
          </cell>
          <cell r="B4107" t="str">
            <v>CMO PAC Short V604</v>
          </cell>
          <cell r="C4107" t="str">
            <v>BRS_GOLD__5_SPREADS:BRS_GOLD__3_OTHER_SPREADS:BRS_GOLD__1_MTG,TBA_ALL,PAYUP,NONAGENCY,MORT_IDIO,CRT,CRT_SP_RISK:BRS_GOLD__1_MTG-BASIS:USD_CMO_PAC_SHT_V604</v>
          </cell>
          <cell r="D4107" t="str">
            <v>Spread Duration</v>
          </cell>
          <cell r="E4107" t="str">
            <v>Spread Yield</v>
          </cell>
          <cell r="F4107" t="str">
            <v>Alternative</v>
          </cell>
          <cell r="G4107" t="str">
            <v>Other</v>
          </cell>
          <cell r="H4107" t="str">
            <v>ALTS</v>
          </cell>
          <cell r="I4107" t="str">
            <v>Mortgage - Moneyness</v>
          </cell>
        </row>
        <row r="4108">
          <cell r="A4108" t="str">
            <v>USD_CMO_PAC_LNG_V604</v>
          </cell>
          <cell r="B4108" t="str">
            <v>CMO PAC Long V604</v>
          </cell>
          <cell r="C4108" t="str">
            <v>BRS_GOLD__5_SPREADS:BRS_GOLD__3_OTHER_SPREADS:BRS_GOLD__1_MTG,TBA_ALL,PAYUP,NONAGENCY,MORT_IDIO,CRT,CRT_SP_RISK:BRS_GOLD__1_MTG-BASIS:USD_CMO_PAC_LNG_V604</v>
          </cell>
          <cell r="D4108" t="str">
            <v>Spread Duration</v>
          </cell>
          <cell r="E4108" t="str">
            <v>Spread Yield</v>
          </cell>
          <cell r="F4108" t="str">
            <v>Alternative</v>
          </cell>
          <cell r="G4108" t="str">
            <v>Other</v>
          </cell>
          <cell r="H4108" t="str">
            <v>ALTS</v>
          </cell>
          <cell r="I4108" t="str">
            <v>Mortgage - Moneyness</v>
          </cell>
        </row>
        <row r="4109">
          <cell r="A4109" t="str">
            <v>USD_CMO_SEQ_SHT_V604</v>
          </cell>
          <cell r="B4109" t="str">
            <v>CMO Seq Short V604</v>
          </cell>
          <cell r="C4109" t="str">
            <v>BRS_GOLD__5_SPREADS:BRS_GOLD__3_OTHER_SPREADS:BRS_GOLD__1_MTG,TBA_ALL,PAYUP,NONAGENCY,MORT_IDIO,CRT,CRT_SP_RISK:BRS_GOLD__1_MTG-BASIS:USD_CMO_SEQ_SHT_V604</v>
          </cell>
          <cell r="D4109" t="str">
            <v>Spread Duration</v>
          </cell>
          <cell r="E4109" t="str">
            <v>Spread Yield</v>
          </cell>
          <cell r="F4109" t="str">
            <v>Alternative</v>
          </cell>
          <cell r="G4109" t="str">
            <v>Other</v>
          </cell>
          <cell r="H4109" t="str">
            <v>ALTS</v>
          </cell>
          <cell r="I4109" t="str">
            <v>Mortgage - Moneyness</v>
          </cell>
        </row>
        <row r="4110">
          <cell r="A4110" t="str">
            <v>USD_CMO_SEQ_LNG_V604</v>
          </cell>
          <cell r="B4110" t="str">
            <v>CMO Seq Long V604</v>
          </cell>
          <cell r="C4110" t="str">
            <v>BRS_GOLD__5_SPREADS:BRS_GOLD__3_OTHER_SPREADS:BRS_GOLD__1_MTG,TBA_ALL,PAYUP,NONAGENCY,MORT_IDIO,CRT,CRT_SP_RISK:BRS_GOLD__1_MTG-BASIS:USD_CMO_SEQ_LNG_V604</v>
          </cell>
          <cell r="D4110" t="str">
            <v>Spread Duration</v>
          </cell>
          <cell r="E4110" t="str">
            <v>Spread Yield</v>
          </cell>
          <cell r="F4110" t="str">
            <v>Alternative</v>
          </cell>
          <cell r="G4110" t="str">
            <v>Other</v>
          </cell>
          <cell r="H4110" t="str">
            <v>ALTS</v>
          </cell>
          <cell r="I4110" t="str">
            <v>Mortgage - Moneyness</v>
          </cell>
        </row>
        <row r="4111">
          <cell r="A4111" t="str">
            <v>USD_CMO_PAC_SHT_V610</v>
          </cell>
          <cell r="B4111" t="str">
            <v>CMO PAC Short V610</v>
          </cell>
          <cell r="C4111" t="str">
            <v>BRS_GOLD__5_SPREADS:BRS_GOLD__3_OTHER_SPREADS:BRS_GOLD__1_MTG,TBA_ALL,PAYUP,NONAGENCY,MORT_IDIO,CRT,CRT_SP_RISK:BRS_GOLD__1_MTG-BASIS:USD_CMO_PAC_SHT_V610</v>
          </cell>
          <cell r="D4111" t="str">
            <v>Spread Duration</v>
          </cell>
          <cell r="E4111" t="str">
            <v>Spread Yield</v>
          </cell>
          <cell r="F4111" t="str">
            <v>Alternative</v>
          </cell>
          <cell r="G4111" t="str">
            <v>Other</v>
          </cell>
          <cell r="H4111" t="str">
            <v>ALTS</v>
          </cell>
          <cell r="I4111" t="str">
            <v>Mortgage - Moneyness</v>
          </cell>
        </row>
        <row r="4112">
          <cell r="A4112" t="str">
            <v>USD_CMO_PAC_LNG_V610</v>
          </cell>
          <cell r="B4112" t="str">
            <v>CMO PAC Long V610</v>
          </cell>
          <cell r="C4112" t="str">
            <v>BRS_GOLD__5_SPREADS:BRS_GOLD__3_OTHER_SPREADS:BRS_GOLD__1_MTG,TBA_ALL,PAYUP,NONAGENCY,MORT_IDIO,CRT,CRT_SP_RISK:BRS_GOLD__1_MTG-BASIS:USD_CMO_PAC_LNG_V610</v>
          </cell>
          <cell r="D4112" t="str">
            <v>Spread Duration</v>
          </cell>
          <cell r="E4112" t="str">
            <v>Spread Yield</v>
          </cell>
          <cell r="F4112" t="str">
            <v>Alternative</v>
          </cell>
          <cell r="G4112" t="str">
            <v>Other</v>
          </cell>
          <cell r="H4112" t="str">
            <v>ALTS</v>
          </cell>
          <cell r="I4112" t="str">
            <v>Mortgage - Moneyness</v>
          </cell>
        </row>
        <row r="4113">
          <cell r="A4113" t="str">
            <v>USD_CMO_SEQ_SHT_V610</v>
          </cell>
          <cell r="B4113" t="str">
            <v>CMO Seq Short V610</v>
          </cell>
          <cell r="C4113" t="str">
            <v>BRS_GOLD__5_SPREADS:BRS_GOLD__3_OTHER_SPREADS:BRS_GOLD__1_MTG,TBA_ALL,PAYUP,NONAGENCY,MORT_IDIO,CRT,CRT_SP_RISK:BRS_GOLD__1_MTG-BASIS:USD_CMO_SEQ_SHT_V610</v>
          </cell>
          <cell r="D4113" t="str">
            <v>Spread Duration</v>
          </cell>
          <cell r="E4113" t="str">
            <v>Spread Yield</v>
          </cell>
          <cell r="F4113" t="str">
            <v>Alternative</v>
          </cell>
          <cell r="G4113" t="str">
            <v>Other</v>
          </cell>
          <cell r="H4113" t="str">
            <v>ALTS</v>
          </cell>
          <cell r="I4113" t="str">
            <v>Mortgage - Moneyness</v>
          </cell>
        </row>
        <row r="4114">
          <cell r="A4114" t="str">
            <v>USD_CMO_SEQ_LNG_V610</v>
          </cell>
          <cell r="B4114" t="str">
            <v>CMO Seq Long V610</v>
          </cell>
          <cell r="C4114" t="str">
            <v>BRS_GOLD__5_SPREADS:BRS_GOLD__3_OTHER_SPREADS:BRS_GOLD__1_MTG,TBA_ALL,PAYUP,NONAGENCY,MORT_IDIO,CRT,CRT_SP_RISK:BRS_GOLD__1_MTG-BASIS:USD_CMO_SEQ_LNG_V610</v>
          </cell>
          <cell r="D4114" t="str">
            <v>Spread Duration</v>
          </cell>
          <cell r="E4114" t="str">
            <v>Spread Yield</v>
          </cell>
          <cell r="F4114" t="str">
            <v>Alternative</v>
          </cell>
          <cell r="G4114" t="str">
            <v>Other</v>
          </cell>
          <cell r="H4114" t="str">
            <v>ALTS</v>
          </cell>
          <cell r="I4114" t="str">
            <v>Mortgage - Moneyness</v>
          </cell>
        </row>
        <row r="4115">
          <cell r="A4115" t="str">
            <v>USD_CMO_PAC_SHT_V604_E</v>
          </cell>
          <cell r="B4115" t="str">
            <v>CMO PAC Short V604</v>
          </cell>
          <cell r="C4115" t="str">
            <v>BRS_GOLD__5_SPREADS:BRS_GOLD__3_OTHER_SPREADS:BRS_GOLD__1_MTG,TBA_ALL,PAYUP,NONAGENCY,MORT_IDIO,CRT,CRT_SP_RISK:BRS_GOLD__1_MTG-BASIS:USD_CMO_PAC_SHT_V604_E</v>
          </cell>
          <cell r="D4115" t="str">
            <v>Spread Duration</v>
          </cell>
          <cell r="E4115" t="str">
            <v>Spread Yield</v>
          </cell>
          <cell r="F4115" t="str">
            <v>Alternative</v>
          </cell>
          <cell r="G4115" t="str">
            <v>Other</v>
          </cell>
          <cell r="H4115" t="str">
            <v>ALTS</v>
          </cell>
          <cell r="I4115" t="str">
            <v>Mortgage - Moneyness</v>
          </cell>
        </row>
        <row r="4116">
          <cell r="A4116" t="str">
            <v>USD_CMO_PAC_LNG_V604_E</v>
          </cell>
          <cell r="B4116" t="str">
            <v>CMO PAC Long V604</v>
          </cell>
          <cell r="C4116" t="str">
            <v>BRS_GOLD__5_SPREADS:BRS_GOLD__3_OTHER_SPREADS:BRS_GOLD__1_MTG,TBA_ALL,PAYUP,NONAGENCY,MORT_IDIO,CRT,CRT_SP_RISK:BRS_GOLD__1_MTG-BASIS:USD_CMO_PAC_LNG_V604_E</v>
          </cell>
          <cell r="D4116" t="str">
            <v>Spread Duration</v>
          </cell>
          <cell r="E4116" t="str">
            <v>Spread Yield</v>
          </cell>
          <cell r="F4116" t="str">
            <v>Alternative</v>
          </cell>
          <cell r="G4116" t="str">
            <v>Other</v>
          </cell>
          <cell r="H4116" t="str">
            <v>ALTS</v>
          </cell>
          <cell r="I4116" t="str">
            <v>Mortgage - Moneyness</v>
          </cell>
        </row>
        <row r="4117">
          <cell r="A4117" t="str">
            <v>USD_CMO_SEQ_SHT_V604_E</v>
          </cell>
          <cell r="B4117" t="str">
            <v>CMO Seq Short V604</v>
          </cell>
          <cell r="C4117" t="str">
            <v>BRS_GOLD__5_SPREADS:BRS_GOLD__3_OTHER_SPREADS:BRS_GOLD__1_MTG,TBA_ALL,PAYUP,NONAGENCY,MORT_IDIO,CRT,CRT_SP_RISK:BRS_GOLD__1_MTG-BASIS:USD_CMO_SEQ_SHT_V604_E</v>
          </cell>
          <cell r="D4117" t="str">
            <v>Spread Duration</v>
          </cell>
          <cell r="E4117" t="str">
            <v>Spread Yield</v>
          </cell>
          <cell r="F4117" t="str">
            <v>Alternative</v>
          </cell>
          <cell r="G4117" t="str">
            <v>Other</v>
          </cell>
          <cell r="H4117" t="str">
            <v>ALTS</v>
          </cell>
          <cell r="I4117" t="str">
            <v>Mortgage - Moneyness</v>
          </cell>
        </row>
        <row r="4118">
          <cell r="A4118" t="str">
            <v>USD_CMO_SEQ_LNG_V604_E</v>
          </cell>
          <cell r="B4118" t="str">
            <v>CMO Seq Long V604</v>
          </cell>
          <cell r="C4118" t="str">
            <v>BRS_GOLD__5_SPREADS:BRS_GOLD__3_OTHER_SPREADS:BRS_GOLD__1_MTG,TBA_ALL,PAYUP,NONAGENCY,MORT_IDIO,CRT,CRT_SP_RISK:BRS_GOLD__1_MTG-BASIS:USD_CMO_SEQ_LNG_V604_E</v>
          </cell>
          <cell r="D4118" t="str">
            <v>Spread Duration</v>
          </cell>
          <cell r="E4118" t="str">
            <v>Spread Yield</v>
          </cell>
          <cell r="F4118" t="str">
            <v>Alternative</v>
          </cell>
          <cell r="G4118" t="str">
            <v>Other</v>
          </cell>
          <cell r="H4118" t="str">
            <v>ALTS</v>
          </cell>
          <cell r="I4118" t="str">
            <v>Mortgage - Moneyness</v>
          </cell>
        </row>
        <row r="4119">
          <cell r="A4119" t="str">
            <v>USD_CMO_PAC_SHT_V610_E</v>
          </cell>
          <cell r="B4119" t="str">
            <v>CMO PAC Short V610</v>
          </cell>
          <cell r="C4119" t="str">
            <v>BRS_GOLD__5_SPREADS:BRS_GOLD__3_OTHER_SPREADS:BRS_GOLD__1_MTG,TBA_ALL,PAYUP,NONAGENCY,MORT_IDIO,CRT,CRT_SP_RISK:BRS_GOLD__1_MTG-BASIS:USD_CMO_PAC_SHT_V610_E</v>
          </cell>
          <cell r="D4119" t="str">
            <v>Spread Duration</v>
          </cell>
          <cell r="E4119" t="str">
            <v>Spread Yield</v>
          </cell>
          <cell r="F4119" t="str">
            <v>Alternative</v>
          </cell>
          <cell r="G4119" t="str">
            <v>Other</v>
          </cell>
          <cell r="H4119" t="str">
            <v>ALTS</v>
          </cell>
          <cell r="I4119" t="str">
            <v>Mortgage - Moneyness</v>
          </cell>
        </row>
        <row r="4120">
          <cell r="A4120" t="str">
            <v>USD_CMO_PAC_LNG_V610_E</v>
          </cell>
          <cell r="B4120" t="str">
            <v>CMO PAC Long V610</v>
          </cell>
          <cell r="C4120" t="str">
            <v>BRS_GOLD__5_SPREADS:BRS_GOLD__3_OTHER_SPREADS:BRS_GOLD__1_MTG,TBA_ALL,PAYUP,NONAGENCY,MORT_IDIO,CRT,CRT_SP_RISK:BRS_GOLD__1_MTG-BASIS:USD_CMO_PAC_LNG_V610_E</v>
          </cell>
          <cell r="D4120" t="str">
            <v>Spread Duration</v>
          </cell>
          <cell r="E4120" t="str">
            <v>Spread Yield</v>
          </cell>
          <cell r="F4120" t="str">
            <v>Alternative</v>
          </cell>
          <cell r="G4120" t="str">
            <v>Other</v>
          </cell>
          <cell r="H4120" t="str">
            <v>ALTS</v>
          </cell>
          <cell r="I4120" t="str">
            <v>Mortgage - Moneyness</v>
          </cell>
        </row>
        <row r="4121">
          <cell r="A4121" t="str">
            <v>USD_CMO_SEQ_SHT_V610_E</v>
          </cell>
          <cell r="B4121" t="str">
            <v>CMO Seq Short V610</v>
          </cell>
          <cell r="C4121" t="str">
            <v>BRS_GOLD__5_SPREADS:BRS_GOLD__3_OTHER_SPREADS:BRS_GOLD__1_MTG,TBA_ALL,PAYUP,NONAGENCY,MORT_IDIO,CRT,CRT_SP_RISK:BRS_GOLD__1_MTG-BASIS:USD_CMO_SEQ_SHT_V610_E</v>
          </cell>
          <cell r="D4121" t="str">
            <v>Spread Duration</v>
          </cell>
          <cell r="E4121" t="str">
            <v>Spread Yield</v>
          </cell>
          <cell r="F4121" t="str">
            <v>Alternative</v>
          </cell>
          <cell r="G4121" t="str">
            <v>Other</v>
          </cell>
          <cell r="H4121" t="str">
            <v>ALTS</v>
          </cell>
          <cell r="I4121" t="str">
            <v>Mortgage - Moneyness</v>
          </cell>
        </row>
        <row r="4122">
          <cell r="A4122" t="str">
            <v>USD_CMO_SEQ_LNG_V610_E</v>
          </cell>
          <cell r="B4122" t="str">
            <v>CMO Seq Long V610</v>
          </cell>
          <cell r="C4122" t="str">
            <v>BRS_GOLD__5_SPREADS:BRS_GOLD__3_OTHER_SPREADS:BRS_GOLD__1_MTG,TBA_ALL,PAYUP,NONAGENCY,MORT_IDIO,CRT,CRT_SP_RISK:BRS_GOLD__1_MTG-BASIS:USD_CMO_SEQ_LNG_V610_E</v>
          </cell>
          <cell r="D4122" t="str">
            <v>Spread Duration</v>
          </cell>
          <cell r="E4122" t="str">
            <v>Spread Yield</v>
          </cell>
          <cell r="F4122" t="str">
            <v>Alternative</v>
          </cell>
          <cell r="G4122" t="str">
            <v>Other</v>
          </cell>
          <cell r="H4122" t="str">
            <v>ALTS</v>
          </cell>
          <cell r="I4122" t="str">
            <v>Mortgage - Moneyness</v>
          </cell>
        </row>
        <row r="4123">
          <cell r="A4123" t="str">
            <v>USD_CMO_PAC_SHT_V620</v>
          </cell>
          <cell r="B4123" t="str">
            <v>CMO PAC Short V620</v>
          </cell>
          <cell r="C4123" t="str">
            <v>BRS_GOLD__5_SPREADS:BRS_GOLD__3_OTHER_SPREADS:BRS_GOLD__1_MTG,TBA_ALL,PAYUP,NONAGENCY,MORT_IDIO,CRT,CRT_SP_RISK:BRS_GOLD__1_MTG-BASIS:USD_CMO_PAC_SHT_V620</v>
          </cell>
          <cell r="D4123" t="str">
            <v>Spread Duration</v>
          </cell>
          <cell r="E4123" t="str">
            <v>Spread Yield</v>
          </cell>
          <cell r="F4123" t="str">
            <v>Alternative</v>
          </cell>
          <cell r="G4123" t="str">
            <v>Other</v>
          </cell>
          <cell r="H4123" t="str">
            <v>ALTS</v>
          </cell>
          <cell r="I4123" t="str">
            <v>Mortgage - Moneyness</v>
          </cell>
        </row>
        <row r="4124">
          <cell r="A4124" t="str">
            <v>USD_CMO_PAC_LNG_V620</v>
          </cell>
          <cell r="B4124" t="str">
            <v>CMO PAC Long V620</v>
          </cell>
          <cell r="C4124" t="str">
            <v>BRS_GOLD__5_SPREADS:BRS_GOLD__3_OTHER_SPREADS:BRS_GOLD__1_MTG,TBA_ALL,PAYUP,NONAGENCY,MORT_IDIO,CRT,CRT_SP_RISK:BRS_GOLD__1_MTG-BASIS:USD_CMO_PAC_LNG_V620</v>
          </cell>
          <cell r="D4124" t="str">
            <v>Spread Duration</v>
          </cell>
          <cell r="E4124" t="str">
            <v>Spread Yield</v>
          </cell>
          <cell r="F4124" t="str">
            <v>Alternative</v>
          </cell>
          <cell r="G4124" t="str">
            <v>Other</v>
          </cell>
          <cell r="H4124" t="str">
            <v>ALTS</v>
          </cell>
          <cell r="I4124" t="str">
            <v>Mortgage - Moneyness</v>
          </cell>
        </row>
        <row r="4125">
          <cell r="A4125" t="str">
            <v>USD_CMO_SEQ_SHT_V620</v>
          </cell>
          <cell r="B4125" t="str">
            <v>CMO Seq Short V620</v>
          </cell>
          <cell r="C4125" t="str">
            <v>BRS_GOLD__5_SPREADS:BRS_GOLD__3_OTHER_SPREADS:BRS_GOLD__1_MTG,TBA_ALL,PAYUP,NONAGENCY,MORT_IDIO,CRT,CRT_SP_RISK:BRS_GOLD__1_MTG-BASIS:USD_CMO_SEQ_SHT_V620</v>
          </cell>
          <cell r="D4125" t="str">
            <v>Spread Duration</v>
          </cell>
          <cell r="E4125" t="str">
            <v>Spread Yield</v>
          </cell>
          <cell r="F4125" t="str">
            <v>Alternative</v>
          </cell>
          <cell r="G4125" t="str">
            <v>Other</v>
          </cell>
          <cell r="H4125" t="str">
            <v>ALTS</v>
          </cell>
          <cell r="I4125" t="str">
            <v>Mortgage - Moneyness</v>
          </cell>
        </row>
        <row r="4126">
          <cell r="A4126" t="str">
            <v>USD_CMO_SEQ_LNG_V620</v>
          </cell>
          <cell r="B4126" t="str">
            <v>CMO Seq Long V620</v>
          </cell>
          <cell r="C4126" t="str">
            <v>BRS_GOLD__5_SPREADS:BRS_GOLD__3_OTHER_SPREADS:BRS_GOLD__1_MTG,TBA_ALL,PAYUP,NONAGENCY,MORT_IDIO,CRT,CRT_SP_RISK:BRS_GOLD__1_MTG-BASIS:USD_CMO_SEQ_LNG_V620</v>
          </cell>
          <cell r="D4126" t="str">
            <v>Spread Duration</v>
          </cell>
          <cell r="E4126" t="str">
            <v>Spread Yield</v>
          </cell>
          <cell r="F4126" t="str">
            <v>Alternative</v>
          </cell>
          <cell r="G4126" t="str">
            <v>Other</v>
          </cell>
          <cell r="H4126" t="str">
            <v>ALTS</v>
          </cell>
          <cell r="I4126" t="str">
            <v>Mortgage - Moneyness</v>
          </cell>
        </row>
        <row r="4127">
          <cell r="A4127" t="str">
            <v>USD_CMO_PAC_SHT_V620_E</v>
          </cell>
          <cell r="B4127" t="str">
            <v>CMO PAC Short V620</v>
          </cell>
          <cell r="C4127" t="str">
            <v>BRS_GOLD__5_SPREADS:BRS_GOLD__3_OTHER_SPREADS:BRS_GOLD__1_MTG,TBA_ALL,PAYUP,NONAGENCY,MORT_IDIO,CRT,CRT_SP_RISK:BRS_GOLD__1_MTG-BASIS:USD_CMO_PAC_SHT_V620_E</v>
          </cell>
          <cell r="D4127" t="str">
            <v>Spread Duration</v>
          </cell>
          <cell r="E4127" t="str">
            <v>Spread Yield</v>
          </cell>
          <cell r="F4127" t="str">
            <v>Alternative</v>
          </cell>
          <cell r="G4127" t="str">
            <v>Other</v>
          </cell>
          <cell r="H4127" t="str">
            <v>ALTS</v>
          </cell>
          <cell r="I4127" t="str">
            <v>Mortgage - Moneyness</v>
          </cell>
        </row>
        <row r="4128">
          <cell r="A4128" t="str">
            <v>USD_CMO_PAC_LNG_V620_E</v>
          </cell>
          <cell r="B4128" t="str">
            <v>CMO PAC Long V620</v>
          </cell>
          <cell r="C4128" t="str">
            <v>BRS_GOLD__5_SPREADS:BRS_GOLD__3_OTHER_SPREADS:BRS_GOLD__1_MTG,TBA_ALL,PAYUP,NONAGENCY,MORT_IDIO,CRT,CRT_SP_RISK:BRS_GOLD__1_MTG-BASIS:USD_CMO_PAC_LNG_V620_E</v>
          </cell>
          <cell r="D4128" t="str">
            <v>Spread Duration</v>
          </cell>
          <cell r="E4128" t="str">
            <v>Spread Yield</v>
          </cell>
          <cell r="F4128" t="str">
            <v>Alternative</v>
          </cell>
          <cell r="G4128" t="str">
            <v>Other</v>
          </cell>
          <cell r="H4128" t="str">
            <v>ALTS</v>
          </cell>
          <cell r="I4128" t="str">
            <v>Mortgage - Moneyness</v>
          </cell>
        </row>
        <row r="4129">
          <cell r="A4129" t="str">
            <v>USD_CMO_SEQ_SHT_V620_E</v>
          </cell>
          <cell r="B4129" t="str">
            <v>CMO Seq Short V620</v>
          </cell>
          <cell r="C4129" t="str">
            <v>BRS_GOLD__5_SPREADS:BRS_GOLD__3_OTHER_SPREADS:BRS_GOLD__1_MTG,TBA_ALL,PAYUP,NONAGENCY,MORT_IDIO,CRT,CRT_SP_RISK:BRS_GOLD__1_MTG-BASIS:USD_CMO_SEQ_SHT_V620_E</v>
          </cell>
          <cell r="D4129" t="str">
            <v>Spread Duration</v>
          </cell>
          <cell r="E4129" t="str">
            <v>Spread Yield</v>
          </cell>
          <cell r="F4129" t="str">
            <v>Alternative</v>
          </cell>
          <cell r="G4129" t="str">
            <v>Other</v>
          </cell>
          <cell r="H4129" t="str">
            <v>ALTS</v>
          </cell>
          <cell r="I4129" t="str">
            <v>Mortgage - Moneyness</v>
          </cell>
        </row>
        <row r="4130">
          <cell r="A4130" t="str">
            <v>USD_CMO_SEQ_LNG_V620_E</v>
          </cell>
          <cell r="B4130" t="str">
            <v>CMO Seq Long V620</v>
          </cell>
          <cell r="C4130" t="str">
            <v>BRS_GOLD__5_SPREADS:BRS_GOLD__3_OTHER_SPREADS:BRS_GOLD__1_MTG,TBA_ALL,PAYUP,NONAGENCY,MORT_IDIO,CRT,CRT_SP_RISK:BRS_GOLD__1_MTG-BASIS:USD_CMO_SEQ_LNG_V620_E</v>
          </cell>
          <cell r="D4130" t="str">
            <v>Spread Duration</v>
          </cell>
          <cell r="E4130" t="str">
            <v>Spread Yield</v>
          </cell>
          <cell r="F4130" t="str">
            <v>Alternative</v>
          </cell>
          <cell r="G4130" t="str">
            <v>Other</v>
          </cell>
          <cell r="H4130" t="str">
            <v>ALTS</v>
          </cell>
          <cell r="I4130" t="str">
            <v>Mortgage - Moneyness</v>
          </cell>
        </row>
        <row r="4131">
          <cell r="A4131" t="str">
            <v>USD_CMO_V600</v>
          </cell>
          <cell r="B4131" t="str">
            <v>CMO V600</v>
          </cell>
          <cell r="C4131" t="str">
            <v>BRS_GOLD__5_SPREADS:BRS_GOLD__3_OTHER_SPREADS:BRS_GOLD__1_MTG,TBA_ALL,PAYUP,NONAGENCY,MORT_IDIO,CRT,CRT_SP_RISK:BRS_GOLD__1_MTG-BASIS:USD_CMO_V600</v>
          </cell>
          <cell r="D4131" t="str">
            <v>Spread Duration</v>
          </cell>
          <cell r="E4131" t="str">
            <v>Spread Yield</v>
          </cell>
          <cell r="F4131" t="str">
            <v>Alternative</v>
          </cell>
          <cell r="G4131" t="str">
            <v>Other</v>
          </cell>
          <cell r="H4131" t="str">
            <v>ALTS</v>
          </cell>
          <cell r="I4131" t="str">
            <v>Mortgage - Moneyness</v>
          </cell>
        </row>
        <row r="4132">
          <cell r="A4132" t="str">
            <v>ALL_CMO_V600</v>
          </cell>
          <cell r="B4132" t="str">
            <v>Non$ CMO V600</v>
          </cell>
          <cell r="C4132" t="str">
            <v>BRS_GOLD__5_SPREADS:BRS_GOLD__3_OTHER_SPREADS:BRS_GOLD__1_MTG,TBA_ALL,PAYUP,NONAGENCY,MORT_IDIO,CRT,CRT_SP_RISK:BRS_GOLD__1_MTG-BASIS:ALL_CMO_V600</v>
          </cell>
          <cell r="D4132" t="str">
            <v>Spread Duration</v>
          </cell>
          <cell r="E4132" t="str">
            <v>Spread Yield</v>
          </cell>
          <cell r="F4132" t="str">
            <v>Alternative</v>
          </cell>
          <cell r="G4132" t="str">
            <v>Other</v>
          </cell>
          <cell r="H4132" t="str">
            <v>ALTS</v>
          </cell>
          <cell r="I4132" t="str">
            <v>Mortgage - Moneyness</v>
          </cell>
        </row>
        <row r="4133">
          <cell r="A4133" t="str">
            <v>USD_CMO_V604</v>
          </cell>
          <cell r="B4133" t="str">
            <v>CMO V604</v>
          </cell>
          <cell r="C4133" t="str">
            <v>BRS_GOLD__5_SPREADS:BRS_GOLD__3_OTHER_SPREADS:BRS_GOLD__1_MTG,TBA_ALL,PAYUP,NONAGENCY,MORT_IDIO,CRT,CRT_SP_RISK:BRS_GOLD__1_MTG-BASIS:USD_CMO_V604</v>
          </cell>
          <cell r="D4133" t="str">
            <v>Spread Duration</v>
          </cell>
          <cell r="E4133" t="str">
            <v>Spread Yield</v>
          </cell>
          <cell r="F4133" t="str">
            <v>Alternative</v>
          </cell>
          <cell r="G4133" t="str">
            <v>Other</v>
          </cell>
          <cell r="H4133" t="str">
            <v>ALTS</v>
          </cell>
          <cell r="I4133" t="str">
            <v>Mortgage - Moneyness</v>
          </cell>
        </row>
        <row r="4134">
          <cell r="A4134" t="str">
            <v>ALL_CMO_V604</v>
          </cell>
          <cell r="B4134" t="str">
            <v>Non$ CMO V604</v>
          </cell>
          <cell r="C4134" t="str">
            <v>BRS_GOLD__5_SPREADS:BRS_GOLD__3_OTHER_SPREADS:BRS_GOLD__1_MTG,TBA_ALL,PAYUP,NONAGENCY,MORT_IDIO,CRT,CRT_SP_RISK:BRS_GOLD__1_MTG-BASIS:ALL_CMO_V604</v>
          </cell>
          <cell r="D4134" t="str">
            <v>Spread Duration</v>
          </cell>
          <cell r="E4134" t="str">
            <v>Spread Yield</v>
          </cell>
          <cell r="F4134" t="str">
            <v>Alternative</v>
          </cell>
          <cell r="G4134" t="str">
            <v>Other</v>
          </cell>
          <cell r="H4134" t="str">
            <v>ALTS</v>
          </cell>
          <cell r="I4134" t="str">
            <v>Mortgage - Moneyness</v>
          </cell>
        </row>
        <row r="4135">
          <cell r="A4135" t="str">
            <v>USD_CMO_V610</v>
          </cell>
          <cell r="B4135" t="str">
            <v>CMO V610</v>
          </cell>
          <cell r="C4135" t="str">
            <v>BRS_GOLD__5_SPREADS:BRS_GOLD__3_OTHER_SPREADS:BRS_GOLD__1_MTG,TBA_ALL,PAYUP,NONAGENCY,MORT_IDIO,CRT,CRT_SP_RISK:BRS_GOLD__1_MTG-BASIS:USD_CMO_V610</v>
          </cell>
          <cell r="D4135" t="str">
            <v>Spread Duration</v>
          </cell>
          <cell r="E4135" t="str">
            <v>Spread Yield</v>
          </cell>
          <cell r="F4135" t="str">
            <v>Alternative</v>
          </cell>
          <cell r="G4135" t="str">
            <v>Other</v>
          </cell>
          <cell r="H4135" t="str">
            <v>ALTS</v>
          </cell>
          <cell r="I4135" t="str">
            <v>Mortgage - Moneyness</v>
          </cell>
        </row>
        <row r="4136">
          <cell r="A4136" t="str">
            <v>ALL_CMO_V610</v>
          </cell>
          <cell r="B4136" t="str">
            <v>Non$ CMO V610</v>
          </cell>
          <cell r="C4136" t="str">
            <v>BRS_GOLD__5_SPREADS:BRS_GOLD__3_OTHER_SPREADS:BRS_GOLD__1_MTG,TBA_ALL,PAYUP,NONAGENCY,MORT_IDIO,CRT,CRT_SP_RISK:BRS_GOLD__1_MTG-BASIS:ALL_CMO_V610</v>
          </cell>
          <cell r="D4136" t="str">
            <v>Spread Duration</v>
          </cell>
          <cell r="E4136" t="str">
            <v>Spread Yield</v>
          </cell>
          <cell r="F4136" t="str">
            <v>Alternative</v>
          </cell>
          <cell r="G4136" t="str">
            <v>Other</v>
          </cell>
          <cell r="H4136" t="str">
            <v>ALTS</v>
          </cell>
          <cell r="I4136" t="str">
            <v>Mortgage - Moneyness</v>
          </cell>
        </row>
        <row r="4137">
          <cell r="A4137" t="str">
            <v>USD_CMO_V604_E</v>
          </cell>
          <cell r="B4137" t="str">
            <v>CMO V604</v>
          </cell>
          <cell r="C4137" t="str">
            <v>BRS_GOLD__5_SPREADS:BRS_GOLD__3_OTHER_SPREADS:BRS_GOLD__1_MTG,TBA_ALL,PAYUP,NONAGENCY,MORT_IDIO,CRT,CRT_SP_RISK:BRS_GOLD__1_MTG-BASIS:USD_CMO_V604_E</v>
          </cell>
          <cell r="D4137" t="str">
            <v>Spread Duration</v>
          </cell>
          <cell r="E4137" t="str">
            <v>Spread Yield</v>
          </cell>
          <cell r="F4137" t="str">
            <v>Alternative</v>
          </cell>
          <cell r="G4137" t="str">
            <v>Other</v>
          </cell>
          <cell r="H4137" t="str">
            <v>ALTS</v>
          </cell>
          <cell r="I4137" t="str">
            <v>Mortgage - Moneyness</v>
          </cell>
        </row>
        <row r="4138">
          <cell r="A4138" t="str">
            <v>ALL_CMO_V604_E</v>
          </cell>
          <cell r="B4138" t="str">
            <v>Non$ CMO V604</v>
          </cell>
          <cell r="C4138" t="str">
            <v>BRS_GOLD__5_SPREADS:BRS_GOLD__3_OTHER_SPREADS:BRS_GOLD__1_MTG,TBA_ALL,PAYUP,NONAGENCY,MORT_IDIO,CRT,CRT_SP_RISK:BRS_GOLD__1_MTG-BASIS:ALL_CMO_V604_E</v>
          </cell>
          <cell r="D4138" t="str">
            <v>Spread Duration</v>
          </cell>
          <cell r="E4138" t="str">
            <v>Spread Yield</v>
          </cell>
          <cell r="F4138" t="str">
            <v>Alternative</v>
          </cell>
          <cell r="G4138" t="str">
            <v>Other</v>
          </cell>
          <cell r="H4138" t="str">
            <v>ALTS</v>
          </cell>
          <cell r="I4138" t="str">
            <v>Mortgage - Moneyness</v>
          </cell>
        </row>
        <row r="4139">
          <cell r="A4139" t="str">
            <v>USD_CMO_V610_E</v>
          </cell>
          <cell r="B4139" t="str">
            <v>CMO V610</v>
          </cell>
          <cell r="C4139" t="str">
            <v>BRS_GOLD__5_SPREADS:BRS_GOLD__3_OTHER_SPREADS:BRS_GOLD__1_MTG,TBA_ALL,PAYUP,NONAGENCY,MORT_IDIO,CRT,CRT_SP_RISK:BRS_GOLD__1_MTG-BASIS:USD_CMO_V610_E</v>
          </cell>
          <cell r="D4139" t="str">
            <v>Spread Duration</v>
          </cell>
          <cell r="E4139" t="str">
            <v>Spread Yield</v>
          </cell>
          <cell r="F4139" t="str">
            <v>Alternative</v>
          </cell>
          <cell r="G4139" t="str">
            <v>Other</v>
          </cell>
          <cell r="H4139" t="str">
            <v>ALTS</v>
          </cell>
          <cell r="I4139" t="str">
            <v>Mortgage - Moneyness</v>
          </cell>
        </row>
        <row r="4140">
          <cell r="A4140" t="str">
            <v>ALL_CMO_V610_E</v>
          </cell>
          <cell r="B4140" t="str">
            <v>Non$ CMO V610</v>
          </cell>
          <cell r="C4140" t="str">
            <v>BRS_GOLD__5_SPREADS:BRS_GOLD__3_OTHER_SPREADS:BRS_GOLD__1_MTG,TBA_ALL,PAYUP,NONAGENCY,MORT_IDIO,CRT,CRT_SP_RISK:BRS_GOLD__1_MTG-BASIS:ALL_CMO_V610_E</v>
          </cell>
          <cell r="D4140" t="str">
            <v>Spread Duration</v>
          </cell>
          <cell r="E4140" t="str">
            <v>Spread Yield</v>
          </cell>
          <cell r="F4140" t="str">
            <v>Alternative</v>
          </cell>
          <cell r="G4140" t="str">
            <v>Other</v>
          </cell>
          <cell r="H4140" t="str">
            <v>ALTS</v>
          </cell>
          <cell r="I4140" t="str">
            <v>Mortgage - Moneyness</v>
          </cell>
        </row>
        <row r="4141">
          <cell r="A4141" t="str">
            <v>USD_IO_OTM35_V610</v>
          </cell>
          <cell r="B4141" t="str">
            <v>IO OTM350 V610</v>
          </cell>
          <cell r="C4141" t="str">
            <v>BRS_GOLD__5_SPREADS:BRS_GOLD__3_OTHER_SPREADS:BRS_GOLD__1_MTG,TBA_ALL,PAYUP,NONAGENCY,MORT_IDIO,CRT,CRT_SP_RISK:BRS_GOLD__1_MTG-BASIS:USD_IO_OTM35_V610</v>
          </cell>
          <cell r="D4141" t="str">
            <v>Spread Duration</v>
          </cell>
          <cell r="E4141" t="str">
            <v>Spread Yield</v>
          </cell>
          <cell r="F4141" t="str">
            <v>Alternative</v>
          </cell>
          <cell r="G4141" t="str">
            <v>Other</v>
          </cell>
          <cell r="H4141" t="str">
            <v>ALTS</v>
          </cell>
          <cell r="I4141" t="str">
            <v>Mortgage - Moneyness</v>
          </cell>
        </row>
        <row r="4142">
          <cell r="A4142" t="str">
            <v>USD_IO_OTM30_V610</v>
          </cell>
          <cell r="B4142" t="str">
            <v>IO OTM300 V610</v>
          </cell>
          <cell r="C4142" t="str">
            <v>BRS_GOLD__5_SPREADS:BRS_GOLD__3_OTHER_SPREADS:BRS_GOLD__1_MTG,TBA_ALL,PAYUP,NONAGENCY,MORT_IDIO,CRT,CRT_SP_RISK:BRS_GOLD__1_MTG-BASIS:USD_IO_OTM30_V610</v>
          </cell>
          <cell r="D4142" t="str">
            <v>Spread Duration</v>
          </cell>
          <cell r="E4142" t="str">
            <v>Spread Yield</v>
          </cell>
          <cell r="F4142" t="str">
            <v>Alternative</v>
          </cell>
          <cell r="G4142" t="str">
            <v>Other</v>
          </cell>
          <cell r="H4142" t="str">
            <v>ALTS</v>
          </cell>
          <cell r="I4142" t="str">
            <v>Mortgage - Moneyness</v>
          </cell>
        </row>
        <row r="4143">
          <cell r="A4143" t="str">
            <v>USD_IO_OTM25_V610</v>
          </cell>
          <cell r="B4143" t="str">
            <v>IO OTM250 V610</v>
          </cell>
          <cell r="C4143" t="str">
            <v>BRS_GOLD__5_SPREADS:BRS_GOLD__3_OTHER_SPREADS:BRS_GOLD__1_MTG,TBA_ALL,PAYUP,NONAGENCY,MORT_IDIO,CRT,CRT_SP_RISK:BRS_GOLD__1_MTG-BASIS:USD_IO_OTM25_V610</v>
          </cell>
          <cell r="D4143" t="str">
            <v>Spread Duration</v>
          </cell>
          <cell r="E4143" t="str">
            <v>Spread Yield</v>
          </cell>
          <cell r="F4143" t="str">
            <v>Alternative</v>
          </cell>
          <cell r="G4143" t="str">
            <v>Other</v>
          </cell>
          <cell r="H4143" t="str">
            <v>ALTS</v>
          </cell>
          <cell r="I4143" t="str">
            <v>Mortgage - Moneyness</v>
          </cell>
        </row>
        <row r="4144">
          <cell r="A4144" t="str">
            <v>USD_IO_OTM20_V610</v>
          </cell>
          <cell r="B4144" t="str">
            <v>IO OTM200 V610</v>
          </cell>
          <cell r="C4144" t="str">
            <v>BRS_GOLD__5_SPREADS:BRS_GOLD__3_OTHER_SPREADS:BRS_GOLD__1_MTG,TBA_ALL,PAYUP,NONAGENCY,MORT_IDIO,CRT,CRT_SP_RISK:BRS_GOLD__1_MTG-BASIS:USD_IO_OTM20_V610</v>
          </cell>
          <cell r="D4144" t="str">
            <v>Spread Duration</v>
          </cell>
          <cell r="E4144" t="str">
            <v>Spread Yield</v>
          </cell>
          <cell r="F4144" t="str">
            <v>Alternative</v>
          </cell>
          <cell r="G4144" t="str">
            <v>Other</v>
          </cell>
          <cell r="H4144" t="str">
            <v>ALTS</v>
          </cell>
          <cell r="I4144" t="str">
            <v>Mortgage - Moneyness</v>
          </cell>
        </row>
        <row r="4145">
          <cell r="A4145" t="str">
            <v>USD_IO_OTM15_V610</v>
          </cell>
          <cell r="B4145" t="str">
            <v>IO OTM150 V610</v>
          </cell>
          <cell r="C4145" t="str">
            <v>BRS_GOLD__5_SPREADS:BRS_GOLD__3_OTHER_SPREADS:BRS_GOLD__1_MTG,TBA_ALL,PAYUP,NONAGENCY,MORT_IDIO,CRT,CRT_SP_RISK:BRS_GOLD__1_MTG-BASIS:USD_IO_OTM15_V610</v>
          </cell>
          <cell r="D4145" t="str">
            <v>Spread Duration</v>
          </cell>
          <cell r="E4145" t="str">
            <v>Spread Yield</v>
          </cell>
          <cell r="F4145" t="str">
            <v>Alternative</v>
          </cell>
          <cell r="G4145" t="str">
            <v>Other</v>
          </cell>
          <cell r="H4145" t="str">
            <v>ALTS</v>
          </cell>
          <cell r="I4145" t="str">
            <v>Mortgage - Moneyness</v>
          </cell>
        </row>
        <row r="4146">
          <cell r="A4146" t="str">
            <v>USD_IO_OTM10_V610</v>
          </cell>
          <cell r="B4146" t="str">
            <v>IO OTM100 V610</v>
          </cell>
          <cell r="C4146" t="str">
            <v>BRS_GOLD__5_SPREADS:BRS_GOLD__3_OTHER_SPREADS:BRS_GOLD__1_MTG,TBA_ALL,PAYUP,NONAGENCY,MORT_IDIO,CRT,CRT_SP_RISK:BRS_GOLD__1_MTG-BASIS:USD_IO_OTM10_V610</v>
          </cell>
          <cell r="D4146" t="str">
            <v>Spread Duration</v>
          </cell>
          <cell r="E4146" t="str">
            <v>Spread Yield</v>
          </cell>
          <cell r="F4146" t="str">
            <v>Alternative</v>
          </cell>
          <cell r="G4146" t="str">
            <v>Other</v>
          </cell>
          <cell r="H4146" t="str">
            <v>ALTS</v>
          </cell>
          <cell r="I4146" t="str">
            <v>Mortgage - Moneyness</v>
          </cell>
        </row>
        <row r="4147">
          <cell r="A4147" t="str">
            <v>USD_IO_OTM5_V610</v>
          </cell>
          <cell r="B4147" t="str">
            <v>IO OTM50 V610</v>
          </cell>
          <cell r="C4147" t="str">
            <v>BRS_GOLD__5_SPREADS:BRS_GOLD__3_OTHER_SPREADS:BRS_GOLD__1_MTG,TBA_ALL,PAYUP,NONAGENCY,MORT_IDIO,CRT,CRT_SP_RISK:BRS_GOLD__1_MTG-BASIS:USD_IO_OTM5_V610</v>
          </cell>
          <cell r="D4147" t="str">
            <v>Spread Duration</v>
          </cell>
          <cell r="E4147" t="str">
            <v>Spread Yield</v>
          </cell>
          <cell r="F4147" t="str">
            <v>Alternative</v>
          </cell>
          <cell r="G4147" t="str">
            <v>Other</v>
          </cell>
          <cell r="H4147" t="str">
            <v>ALTS</v>
          </cell>
          <cell r="I4147" t="str">
            <v>Mortgage - Moneyness</v>
          </cell>
        </row>
        <row r="4148">
          <cell r="A4148" t="str">
            <v>USD_IO_ATM_V610</v>
          </cell>
          <cell r="B4148" t="str">
            <v>IO ATM V610</v>
          </cell>
          <cell r="C4148" t="str">
            <v>BRS_GOLD__5_SPREADS:BRS_GOLD__3_OTHER_SPREADS:BRS_GOLD__1_MTG,TBA_ALL,PAYUP,NONAGENCY,MORT_IDIO,CRT,CRT_SP_RISK:BRS_GOLD__1_MTG-BASIS:USD_IO_ATM_V610</v>
          </cell>
          <cell r="D4148" t="str">
            <v>Spread Duration</v>
          </cell>
          <cell r="E4148" t="str">
            <v>Spread Yield</v>
          </cell>
          <cell r="F4148" t="str">
            <v>Alternative</v>
          </cell>
          <cell r="G4148" t="str">
            <v>Other</v>
          </cell>
          <cell r="H4148" t="str">
            <v>ALTS</v>
          </cell>
          <cell r="I4148" t="str">
            <v>Mortgage - Moneyness</v>
          </cell>
        </row>
        <row r="4149">
          <cell r="A4149" t="str">
            <v>USD_IO_ITM5_V610</v>
          </cell>
          <cell r="B4149" t="str">
            <v>IO ITM50 V610</v>
          </cell>
          <cell r="C4149" t="str">
            <v>BRS_GOLD__5_SPREADS:BRS_GOLD__3_OTHER_SPREADS:BRS_GOLD__1_MTG,TBA_ALL,PAYUP,NONAGENCY,MORT_IDIO,CRT,CRT_SP_RISK:BRS_GOLD__1_MTG-BASIS:USD_IO_ITM5_V610</v>
          </cell>
          <cell r="D4149" t="str">
            <v>Spread Duration</v>
          </cell>
          <cell r="E4149" t="str">
            <v>Spread Yield</v>
          </cell>
          <cell r="F4149" t="str">
            <v>Alternative</v>
          </cell>
          <cell r="G4149" t="str">
            <v>Other</v>
          </cell>
          <cell r="H4149" t="str">
            <v>ALTS</v>
          </cell>
          <cell r="I4149" t="str">
            <v>Mortgage - Moneyness</v>
          </cell>
        </row>
        <row r="4150">
          <cell r="A4150" t="str">
            <v>USD_IO_ITM10_V610</v>
          </cell>
          <cell r="B4150" t="str">
            <v>IO ITM100 V610</v>
          </cell>
          <cell r="C4150" t="str">
            <v>BRS_GOLD__5_SPREADS:BRS_GOLD__3_OTHER_SPREADS:BRS_GOLD__1_MTG,TBA_ALL,PAYUP,NONAGENCY,MORT_IDIO,CRT,CRT_SP_RISK:BRS_GOLD__1_MTG-BASIS:USD_IO_ITM10_V610</v>
          </cell>
          <cell r="D4150" t="str">
            <v>Spread Duration</v>
          </cell>
          <cell r="E4150" t="str">
            <v>Spread Yield</v>
          </cell>
          <cell r="F4150" t="str">
            <v>Alternative</v>
          </cell>
          <cell r="G4150" t="str">
            <v>Other</v>
          </cell>
          <cell r="H4150" t="str">
            <v>ALTS</v>
          </cell>
          <cell r="I4150" t="str">
            <v>Mortgage - Moneyness</v>
          </cell>
        </row>
        <row r="4151">
          <cell r="A4151" t="str">
            <v>USD_IO_ITM15_V610</v>
          </cell>
          <cell r="B4151" t="str">
            <v>IO ITM150 V610</v>
          </cell>
          <cell r="C4151" t="str">
            <v>BRS_GOLD__5_SPREADS:BRS_GOLD__3_OTHER_SPREADS:BRS_GOLD__1_MTG,TBA_ALL,PAYUP,NONAGENCY,MORT_IDIO,CRT,CRT_SP_RISK:BRS_GOLD__1_MTG-BASIS:USD_IO_ITM15_V610</v>
          </cell>
          <cell r="D4151" t="str">
            <v>Spread Duration</v>
          </cell>
          <cell r="E4151" t="str">
            <v>Spread Yield</v>
          </cell>
          <cell r="F4151" t="str">
            <v>Alternative</v>
          </cell>
          <cell r="G4151" t="str">
            <v>Other</v>
          </cell>
          <cell r="H4151" t="str">
            <v>ALTS</v>
          </cell>
          <cell r="I4151" t="str">
            <v>Mortgage - Moneyness</v>
          </cell>
        </row>
        <row r="4152">
          <cell r="A4152" t="str">
            <v>USD_IO_ITM20_V610</v>
          </cell>
          <cell r="B4152" t="str">
            <v>IO ITM200 V610</v>
          </cell>
          <cell r="C4152" t="str">
            <v>BRS_GOLD__5_SPREADS:BRS_GOLD__3_OTHER_SPREADS:BRS_GOLD__1_MTG,TBA_ALL,PAYUP,NONAGENCY,MORT_IDIO,CRT,CRT_SP_RISK:BRS_GOLD__1_MTG-BASIS:USD_IO_ITM20_V610</v>
          </cell>
          <cell r="D4152" t="str">
            <v>Spread Duration</v>
          </cell>
          <cell r="E4152" t="str">
            <v>Spread Yield</v>
          </cell>
          <cell r="F4152" t="str">
            <v>Alternative</v>
          </cell>
          <cell r="G4152" t="str">
            <v>Other</v>
          </cell>
          <cell r="H4152" t="str">
            <v>ALTS</v>
          </cell>
          <cell r="I4152" t="str">
            <v>Mortgage - Moneyness</v>
          </cell>
        </row>
        <row r="4153">
          <cell r="A4153" t="str">
            <v>USD_IO_ITM25_V610</v>
          </cell>
          <cell r="B4153" t="str">
            <v>IO ITM250 V610</v>
          </cell>
          <cell r="C4153" t="str">
            <v>BRS_GOLD__5_SPREADS:BRS_GOLD__3_OTHER_SPREADS:BRS_GOLD__1_MTG,TBA_ALL,PAYUP,NONAGENCY,MORT_IDIO,CRT,CRT_SP_RISK:BRS_GOLD__1_MTG-BASIS:USD_IO_ITM25_V610</v>
          </cell>
          <cell r="D4153" t="str">
            <v>Spread Duration</v>
          </cell>
          <cell r="E4153" t="str">
            <v>Spread Yield</v>
          </cell>
          <cell r="F4153" t="str">
            <v>Alternative</v>
          </cell>
          <cell r="G4153" t="str">
            <v>Other</v>
          </cell>
          <cell r="H4153" t="str">
            <v>ALTS</v>
          </cell>
          <cell r="I4153" t="str">
            <v>Mortgage - Moneyness</v>
          </cell>
        </row>
        <row r="4154">
          <cell r="A4154" t="str">
            <v>USD_IO_ITM30_V610</v>
          </cell>
          <cell r="B4154" t="str">
            <v>IO ITM300 V610</v>
          </cell>
          <cell r="C4154" t="str">
            <v>BRS_GOLD__5_SPREADS:BRS_GOLD__3_OTHER_SPREADS:BRS_GOLD__1_MTG,TBA_ALL,PAYUP,NONAGENCY,MORT_IDIO,CRT,CRT_SP_RISK:BRS_GOLD__1_MTG-BASIS:USD_IO_ITM30_V610</v>
          </cell>
          <cell r="D4154" t="str">
            <v>Spread Duration</v>
          </cell>
          <cell r="E4154" t="str">
            <v>Spread Yield</v>
          </cell>
          <cell r="F4154" t="str">
            <v>Alternative</v>
          </cell>
          <cell r="G4154" t="str">
            <v>Other</v>
          </cell>
          <cell r="H4154" t="str">
            <v>ALTS</v>
          </cell>
          <cell r="I4154" t="str">
            <v>Mortgage - Moneyness</v>
          </cell>
        </row>
        <row r="4155">
          <cell r="A4155" t="str">
            <v>USD_IO_ITM35_V610</v>
          </cell>
          <cell r="B4155" t="str">
            <v>IO ITM350 V610</v>
          </cell>
          <cell r="C4155" t="str">
            <v>BRS_GOLD__5_SPREADS:BRS_GOLD__3_OTHER_SPREADS:BRS_GOLD__1_MTG,TBA_ALL,PAYUP,NONAGENCY,MORT_IDIO,CRT,CRT_SP_RISK:BRS_GOLD__1_MTG-BASIS:USD_IO_ITM35_V610</v>
          </cell>
          <cell r="D4155" t="str">
            <v>Spread Duration</v>
          </cell>
          <cell r="E4155" t="str">
            <v>Spread Yield</v>
          </cell>
          <cell r="F4155" t="str">
            <v>Alternative</v>
          </cell>
          <cell r="G4155" t="str">
            <v>Other</v>
          </cell>
          <cell r="H4155" t="str">
            <v>ALTS</v>
          </cell>
          <cell r="I4155" t="str">
            <v>Mortgage - Moneyness</v>
          </cell>
        </row>
        <row r="4156">
          <cell r="A4156" t="str">
            <v>USD_PO_OTM35_V610</v>
          </cell>
          <cell r="B4156" t="str">
            <v>PO OTM350 V610</v>
          </cell>
          <cell r="C4156" t="str">
            <v>BRS_GOLD__5_SPREADS:BRS_GOLD__3_OTHER_SPREADS:BRS_GOLD__1_MTG,TBA_ALL,PAYUP,NONAGENCY,MORT_IDIO,CRT,CRT_SP_RISK:BRS_GOLD__1_MTG-BASIS:USD_PO_OTM35_V610</v>
          </cell>
          <cell r="D4156" t="str">
            <v>Spread Duration</v>
          </cell>
          <cell r="E4156" t="str">
            <v>Spread Yield</v>
          </cell>
          <cell r="F4156" t="str">
            <v>Alternative</v>
          </cell>
          <cell r="G4156" t="str">
            <v>Other</v>
          </cell>
          <cell r="H4156" t="str">
            <v>ALTS</v>
          </cell>
          <cell r="I4156" t="str">
            <v>Mortgage - Moneyness</v>
          </cell>
        </row>
        <row r="4157">
          <cell r="A4157" t="str">
            <v>USD_PO_OTM30_V610</v>
          </cell>
          <cell r="B4157" t="str">
            <v>PO OTM300 V610</v>
          </cell>
          <cell r="C4157" t="str">
            <v>BRS_GOLD__5_SPREADS:BRS_GOLD__3_OTHER_SPREADS:BRS_GOLD__1_MTG,TBA_ALL,PAYUP,NONAGENCY,MORT_IDIO,CRT,CRT_SP_RISK:BRS_GOLD__1_MTG-BASIS:USD_PO_OTM30_V610</v>
          </cell>
          <cell r="D4157" t="str">
            <v>Spread Duration</v>
          </cell>
          <cell r="E4157" t="str">
            <v>Spread Yield</v>
          </cell>
          <cell r="F4157" t="str">
            <v>Alternative</v>
          </cell>
          <cell r="G4157" t="str">
            <v>Other</v>
          </cell>
          <cell r="H4157" t="str">
            <v>ALTS</v>
          </cell>
          <cell r="I4157" t="str">
            <v>Mortgage - Moneyness</v>
          </cell>
        </row>
        <row r="4158">
          <cell r="A4158" t="str">
            <v>USD_PO_OTM25_V610</v>
          </cell>
          <cell r="B4158" t="str">
            <v>PO OTM250 V610</v>
          </cell>
          <cell r="C4158" t="str">
            <v>BRS_GOLD__5_SPREADS:BRS_GOLD__3_OTHER_SPREADS:BRS_GOLD__1_MTG,TBA_ALL,PAYUP,NONAGENCY,MORT_IDIO,CRT,CRT_SP_RISK:BRS_GOLD__1_MTG-BASIS:USD_PO_OTM25_V610</v>
          </cell>
          <cell r="D4158" t="str">
            <v>Spread Duration</v>
          </cell>
          <cell r="E4158" t="str">
            <v>Spread Yield</v>
          </cell>
          <cell r="F4158" t="str">
            <v>Alternative</v>
          </cell>
          <cell r="G4158" t="str">
            <v>Other</v>
          </cell>
          <cell r="H4158" t="str">
            <v>ALTS</v>
          </cell>
          <cell r="I4158" t="str">
            <v>Mortgage - Moneyness</v>
          </cell>
        </row>
        <row r="4159">
          <cell r="A4159" t="str">
            <v>USD_PO_OTM20_V610</v>
          </cell>
          <cell r="B4159" t="str">
            <v>PO OTM200 V610</v>
          </cell>
          <cell r="C4159" t="str">
            <v>BRS_GOLD__5_SPREADS:BRS_GOLD__3_OTHER_SPREADS:BRS_GOLD__1_MTG,TBA_ALL,PAYUP,NONAGENCY,MORT_IDIO,CRT,CRT_SP_RISK:BRS_GOLD__1_MTG-BASIS:USD_PO_OTM20_V610</v>
          </cell>
          <cell r="D4159" t="str">
            <v>Spread Duration</v>
          </cell>
          <cell r="E4159" t="str">
            <v>Spread Yield</v>
          </cell>
          <cell r="F4159" t="str">
            <v>Alternative</v>
          </cell>
          <cell r="G4159" t="str">
            <v>Other</v>
          </cell>
          <cell r="H4159" t="str">
            <v>ALTS</v>
          </cell>
          <cell r="I4159" t="str">
            <v>Mortgage - Moneyness</v>
          </cell>
        </row>
        <row r="4160">
          <cell r="A4160" t="str">
            <v>USD_PO_OTM15_V610</v>
          </cell>
          <cell r="B4160" t="str">
            <v>PO OTM150 V610</v>
          </cell>
          <cell r="C4160" t="str">
            <v>BRS_GOLD__5_SPREADS:BRS_GOLD__3_OTHER_SPREADS:BRS_GOLD__1_MTG,TBA_ALL,PAYUP,NONAGENCY,MORT_IDIO,CRT,CRT_SP_RISK:BRS_GOLD__1_MTG-BASIS:USD_PO_OTM15_V610</v>
          </cell>
          <cell r="D4160" t="str">
            <v>Spread Duration</v>
          </cell>
          <cell r="E4160" t="str">
            <v>Spread Yield</v>
          </cell>
          <cell r="F4160" t="str">
            <v>Alternative</v>
          </cell>
          <cell r="G4160" t="str">
            <v>Other</v>
          </cell>
          <cell r="H4160" t="str">
            <v>ALTS</v>
          </cell>
          <cell r="I4160" t="str">
            <v>Mortgage - Moneyness</v>
          </cell>
        </row>
        <row r="4161">
          <cell r="A4161" t="str">
            <v>USD_PO_OTM10_V610</v>
          </cell>
          <cell r="B4161" t="str">
            <v>PO OTM100 V610</v>
          </cell>
          <cell r="C4161" t="str">
            <v>BRS_GOLD__5_SPREADS:BRS_GOLD__3_OTHER_SPREADS:BRS_GOLD__1_MTG,TBA_ALL,PAYUP,NONAGENCY,MORT_IDIO,CRT,CRT_SP_RISK:BRS_GOLD__1_MTG-BASIS:USD_PO_OTM10_V610</v>
          </cell>
          <cell r="D4161" t="str">
            <v>Spread Duration</v>
          </cell>
          <cell r="E4161" t="str">
            <v>Spread Yield</v>
          </cell>
          <cell r="F4161" t="str">
            <v>Alternative</v>
          </cell>
          <cell r="G4161" t="str">
            <v>Other</v>
          </cell>
          <cell r="H4161" t="str">
            <v>ALTS</v>
          </cell>
          <cell r="I4161" t="str">
            <v>Mortgage - Moneyness</v>
          </cell>
        </row>
        <row r="4162">
          <cell r="A4162" t="str">
            <v>USD_PO_OTM5_V610</v>
          </cell>
          <cell r="B4162" t="str">
            <v>PO OTM50 V610</v>
          </cell>
          <cell r="C4162" t="str">
            <v>BRS_GOLD__5_SPREADS:BRS_GOLD__3_OTHER_SPREADS:BRS_GOLD__1_MTG,TBA_ALL,PAYUP,NONAGENCY,MORT_IDIO,CRT,CRT_SP_RISK:BRS_GOLD__1_MTG-BASIS:USD_PO_OTM5_V610</v>
          </cell>
          <cell r="D4162" t="str">
            <v>Spread Duration</v>
          </cell>
          <cell r="E4162" t="str">
            <v>Spread Yield</v>
          </cell>
          <cell r="F4162" t="str">
            <v>Alternative</v>
          </cell>
          <cell r="G4162" t="str">
            <v>Other</v>
          </cell>
          <cell r="H4162" t="str">
            <v>ALTS</v>
          </cell>
          <cell r="I4162" t="str">
            <v>Mortgage - Moneyness</v>
          </cell>
        </row>
        <row r="4163">
          <cell r="A4163" t="str">
            <v>USD_PO_ATM_V610</v>
          </cell>
          <cell r="B4163" t="str">
            <v>PO ATM V610</v>
          </cell>
          <cell r="C4163" t="str">
            <v>BRS_GOLD__5_SPREADS:BRS_GOLD__3_OTHER_SPREADS:BRS_GOLD__1_MTG,TBA_ALL,PAYUP,NONAGENCY,MORT_IDIO,CRT,CRT_SP_RISK:BRS_GOLD__1_MTG-BASIS:USD_PO_ATM_V610</v>
          </cell>
          <cell r="D4163" t="str">
            <v>Spread Duration</v>
          </cell>
          <cell r="E4163" t="str">
            <v>Spread Yield</v>
          </cell>
          <cell r="F4163" t="str">
            <v>Alternative</v>
          </cell>
          <cell r="G4163" t="str">
            <v>Other</v>
          </cell>
          <cell r="H4163" t="str">
            <v>ALTS</v>
          </cell>
          <cell r="I4163" t="str">
            <v>Mortgage - Moneyness</v>
          </cell>
        </row>
        <row r="4164">
          <cell r="A4164" t="str">
            <v>USD_PO_ITM5_V610</v>
          </cell>
          <cell r="B4164" t="str">
            <v>PO ITM50 V610</v>
          </cell>
          <cell r="C4164" t="str">
            <v>BRS_GOLD__5_SPREADS:BRS_GOLD__3_OTHER_SPREADS:BRS_GOLD__1_MTG,TBA_ALL,PAYUP,NONAGENCY,MORT_IDIO,CRT,CRT_SP_RISK:BRS_GOLD__1_MTG-BASIS:USD_PO_ITM5_V610</v>
          </cell>
          <cell r="D4164" t="str">
            <v>Spread Duration</v>
          </cell>
          <cell r="E4164" t="str">
            <v>Spread Yield</v>
          </cell>
          <cell r="F4164" t="str">
            <v>Alternative</v>
          </cell>
          <cell r="G4164" t="str">
            <v>Other</v>
          </cell>
          <cell r="H4164" t="str">
            <v>ALTS</v>
          </cell>
          <cell r="I4164" t="str">
            <v>Mortgage - Moneyness</v>
          </cell>
        </row>
        <row r="4165">
          <cell r="A4165" t="str">
            <v>USD_PO_ITM10_V610</v>
          </cell>
          <cell r="B4165" t="str">
            <v>PO ITM100 V610</v>
          </cell>
          <cell r="C4165" t="str">
            <v>BRS_GOLD__5_SPREADS:BRS_GOLD__3_OTHER_SPREADS:BRS_GOLD__1_MTG,TBA_ALL,PAYUP,NONAGENCY,MORT_IDIO,CRT,CRT_SP_RISK:BRS_GOLD__1_MTG-BASIS:USD_PO_ITM10_V610</v>
          </cell>
          <cell r="D4165" t="str">
            <v>Spread Duration</v>
          </cell>
          <cell r="E4165" t="str">
            <v>Spread Yield</v>
          </cell>
          <cell r="F4165" t="str">
            <v>Alternative</v>
          </cell>
          <cell r="G4165" t="str">
            <v>Other</v>
          </cell>
          <cell r="H4165" t="str">
            <v>ALTS</v>
          </cell>
          <cell r="I4165" t="str">
            <v>Mortgage - Moneyness</v>
          </cell>
        </row>
        <row r="4166">
          <cell r="A4166" t="str">
            <v>USD_PO_ITM15_V610</v>
          </cell>
          <cell r="B4166" t="str">
            <v>PO ITM150 V610</v>
          </cell>
          <cell r="C4166" t="str">
            <v>BRS_GOLD__5_SPREADS:BRS_GOLD__3_OTHER_SPREADS:BRS_GOLD__1_MTG,TBA_ALL,PAYUP,NONAGENCY,MORT_IDIO,CRT,CRT_SP_RISK:BRS_GOLD__1_MTG-BASIS:USD_PO_ITM15_V610</v>
          </cell>
          <cell r="D4166" t="str">
            <v>Spread Duration</v>
          </cell>
          <cell r="E4166" t="str">
            <v>Spread Yield</v>
          </cell>
          <cell r="F4166" t="str">
            <v>Alternative</v>
          </cell>
          <cell r="G4166" t="str">
            <v>Other</v>
          </cell>
          <cell r="H4166" t="str">
            <v>ALTS</v>
          </cell>
          <cell r="I4166" t="str">
            <v>Mortgage - Moneyness</v>
          </cell>
        </row>
        <row r="4167">
          <cell r="A4167" t="str">
            <v>USD_PO_ITM20_V610</v>
          </cell>
          <cell r="B4167" t="str">
            <v>PO ITM200 V610</v>
          </cell>
          <cell r="C4167" t="str">
            <v>BRS_GOLD__5_SPREADS:BRS_GOLD__3_OTHER_SPREADS:BRS_GOLD__1_MTG,TBA_ALL,PAYUP,NONAGENCY,MORT_IDIO,CRT,CRT_SP_RISK:BRS_GOLD__1_MTG-BASIS:USD_PO_ITM20_V610</v>
          </cell>
          <cell r="D4167" t="str">
            <v>Spread Duration</v>
          </cell>
          <cell r="E4167" t="str">
            <v>Spread Yield</v>
          </cell>
          <cell r="F4167" t="str">
            <v>Alternative</v>
          </cell>
          <cell r="G4167" t="str">
            <v>Other</v>
          </cell>
          <cell r="H4167" t="str">
            <v>ALTS</v>
          </cell>
          <cell r="I4167" t="str">
            <v>Mortgage - Moneyness</v>
          </cell>
        </row>
        <row r="4168">
          <cell r="A4168" t="str">
            <v>USD_PO_ITM25_V610</v>
          </cell>
          <cell r="B4168" t="str">
            <v>PO ITM250 V610</v>
          </cell>
          <cell r="C4168" t="str">
            <v>BRS_GOLD__5_SPREADS:BRS_GOLD__3_OTHER_SPREADS:BRS_GOLD__1_MTG,TBA_ALL,PAYUP,NONAGENCY,MORT_IDIO,CRT,CRT_SP_RISK:BRS_GOLD__1_MTG-BASIS:USD_PO_ITM25_V610</v>
          </cell>
          <cell r="D4168" t="str">
            <v>Spread Duration</v>
          </cell>
          <cell r="E4168" t="str">
            <v>Spread Yield</v>
          </cell>
          <cell r="F4168" t="str">
            <v>Alternative</v>
          </cell>
          <cell r="G4168" t="str">
            <v>Other</v>
          </cell>
          <cell r="H4168" t="str">
            <v>ALTS</v>
          </cell>
          <cell r="I4168" t="str">
            <v>Mortgage - Moneyness</v>
          </cell>
        </row>
        <row r="4169">
          <cell r="A4169" t="str">
            <v>USD_PO_ITM30_V610</v>
          </cell>
          <cell r="B4169" t="str">
            <v>PO ITM300 V610</v>
          </cell>
          <cell r="C4169" t="str">
            <v>BRS_GOLD__5_SPREADS:BRS_GOLD__3_OTHER_SPREADS:BRS_GOLD__1_MTG,TBA_ALL,PAYUP,NONAGENCY,MORT_IDIO,CRT,CRT_SP_RISK:BRS_GOLD__1_MTG-BASIS:USD_PO_ITM30_V610</v>
          </cell>
          <cell r="D4169" t="str">
            <v>Spread Duration</v>
          </cell>
          <cell r="E4169" t="str">
            <v>Spread Yield</v>
          </cell>
          <cell r="F4169" t="str">
            <v>Alternative</v>
          </cell>
          <cell r="G4169" t="str">
            <v>Other</v>
          </cell>
          <cell r="H4169" t="str">
            <v>ALTS</v>
          </cell>
          <cell r="I4169" t="str">
            <v>Mortgage - Moneyness</v>
          </cell>
        </row>
        <row r="4170">
          <cell r="A4170" t="str">
            <v>USD_PO_ITM35_V610</v>
          </cell>
          <cell r="B4170" t="str">
            <v>PO ITM350 V610</v>
          </cell>
          <cell r="C4170" t="str">
            <v>BRS_GOLD__5_SPREADS:BRS_GOLD__3_OTHER_SPREADS:BRS_GOLD__1_MTG,TBA_ALL,PAYUP,NONAGENCY,MORT_IDIO,CRT,CRT_SP_RISK:BRS_GOLD__1_MTG-BASIS:USD_PO_ITM35_V610</v>
          </cell>
          <cell r="D4170" t="str">
            <v>Spread Duration</v>
          </cell>
          <cell r="E4170" t="str">
            <v>Spread Yield</v>
          </cell>
          <cell r="F4170" t="str">
            <v>Alternative</v>
          </cell>
          <cell r="G4170" t="str">
            <v>Other</v>
          </cell>
          <cell r="H4170" t="str">
            <v>ALTS</v>
          </cell>
          <cell r="I4170" t="str">
            <v>Mortgage - Moneyness</v>
          </cell>
        </row>
        <row r="4171">
          <cell r="A4171" t="str">
            <v>USD_IO_OTM35_V604_E</v>
          </cell>
          <cell r="B4171" t="str">
            <v>IO OTM350 V604</v>
          </cell>
          <cell r="C4171" t="str">
            <v>BRS_GOLD__5_SPREADS:BRS_GOLD__3_OTHER_SPREADS:BRS_GOLD__1_MTG,TBA_ALL,PAYUP,NONAGENCY,MORT_IDIO,CRT,CRT_SP_RISK:BRS_GOLD__1_MTG-BASIS:USD_IO_OTM35_V604_E</v>
          </cell>
          <cell r="D4171" t="str">
            <v>Spread Duration</v>
          </cell>
          <cell r="E4171" t="str">
            <v>Spread Yield</v>
          </cell>
          <cell r="F4171" t="str">
            <v>Alternative</v>
          </cell>
          <cell r="G4171" t="str">
            <v>Other</v>
          </cell>
          <cell r="H4171" t="str">
            <v>ALTS</v>
          </cell>
          <cell r="I4171" t="str">
            <v>Mortgage - Moneyness</v>
          </cell>
        </row>
        <row r="4172">
          <cell r="A4172" t="str">
            <v>USD_IO_OTM30_V604_E</v>
          </cell>
          <cell r="B4172" t="str">
            <v>IO OTM300 V604</v>
          </cell>
          <cell r="C4172" t="str">
            <v>BRS_GOLD__5_SPREADS:BRS_GOLD__3_OTHER_SPREADS:BRS_GOLD__1_MTG,TBA_ALL,PAYUP,NONAGENCY,MORT_IDIO,CRT,CRT_SP_RISK:BRS_GOLD__1_MTG-BASIS:USD_IO_OTM30_V604_E</v>
          </cell>
          <cell r="D4172" t="str">
            <v>Spread Duration</v>
          </cell>
          <cell r="E4172" t="str">
            <v>Spread Yield</v>
          </cell>
          <cell r="F4172" t="str">
            <v>Alternative</v>
          </cell>
          <cell r="G4172" t="str">
            <v>Other</v>
          </cell>
          <cell r="H4172" t="str">
            <v>ALTS</v>
          </cell>
          <cell r="I4172" t="str">
            <v>Mortgage - Moneyness</v>
          </cell>
        </row>
        <row r="4173">
          <cell r="A4173" t="str">
            <v>USD_IO_OTM25_V604_E</v>
          </cell>
          <cell r="B4173" t="str">
            <v>IO OTM250 V604</v>
          </cell>
          <cell r="C4173" t="str">
            <v>BRS_GOLD__5_SPREADS:BRS_GOLD__3_OTHER_SPREADS:BRS_GOLD__1_MTG,TBA_ALL,PAYUP,NONAGENCY,MORT_IDIO,CRT,CRT_SP_RISK:BRS_GOLD__1_MTG-BASIS:USD_IO_OTM25_V604_E</v>
          </cell>
          <cell r="D4173" t="str">
            <v>Spread Duration</v>
          </cell>
          <cell r="E4173" t="str">
            <v>Spread Yield</v>
          </cell>
          <cell r="F4173" t="str">
            <v>Alternative</v>
          </cell>
          <cell r="G4173" t="str">
            <v>Other</v>
          </cell>
          <cell r="H4173" t="str">
            <v>ALTS</v>
          </cell>
          <cell r="I4173" t="str">
            <v>Mortgage - Moneyness</v>
          </cell>
        </row>
        <row r="4174">
          <cell r="A4174" t="str">
            <v>USD_IO_OTM20_V604_E</v>
          </cell>
          <cell r="B4174" t="str">
            <v>IO OTM200 V604</v>
          </cell>
          <cell r="C4174" t="str">
            <v>BRS_GOLD__5_SPREADS:BRS_GOLD__3_OTHER_SPREADS:BRS_GOLD__1_MTG,TBA_ALL,PAYUP,NONAGENCY,MORT_IDIO,CRT,CRT_SP_RISK:BRS_GOLD__1_MTG-BASIS:USD_IO_OTM20_V604_E</v>
          </cell>
          <cell r="D4174" t="str">
            <v>Spread Duration</v>
          </cell>
          <cell r="E4174" t="str">
            <v>Spread Yield</v>
          </cell>
          <cell r="F4174" t="str">
            <v>Alternative</v>
          </cell>
          <cell r="G4174" t="str">
            <v>Other</v>
          </cell>
          <cell r="H4174" t="str">
            <v>ALTS</v>
          </cell>
          <cell r="I4174" t="str">
            <v>Mortgage - Moneyness</v>
          </cell>
        </row>
        <row r="4175">
          <cell r="A4175" t="str">
            <v>USD_IO_OTM15_V604_E</v>
          </cell>
          <cell r="B4175" t="str">
            <v>IO OTM150 V604</v>
          </cell>
          <cell r="C4175" t="str">
            <v>BRS_GOLD__5_SPREADS:BRS_GOLD__3_OTHER_SPREADS:BRS_GOLD__1_MTG,TBA_ALL,PAYUP,NONAGENCY,MORT_IDIO,CRT,CRT_SP_RISK:BRS_GOLD__1_MTG-BASIS:USD_IO_OTM15_V604_E</v>
          </cell>
          <cell r="D4175" t="str">
            <v>Spread Duration</v>
          </cell>
          <cell r="E4175" t="str">
            <v>Spread Yield</v>
          </cell>
          <cell r="F4175" t="str">
            <v>Alternative</v>
          </cell>
          <cell r="G4175" t="str">
            <v>Other</v>
          </cell>
          <cell r="H4175" t="str">
            <v>ALTS</v>
          </cell>
          <cell r="I4175" t="str">
            <v>Mortgage - Moneyness</v>
          </cell>
        </row>
        <row r="4176">
          <cell r="A4176" t="str">
            <v>USD_IO_OTM10_V604_E</v>
          </cell>
          <cell r="B4176" t="str">
            <v>IO OTM100 V604</v>
          </cell>
          <cell r="C4176" t="str">
            <v>BRS_GOLD__5_SPREADS:BRS_GOLD__3_OTHER_SPREADS:BRS_GOLD__1_MTG,TBA_ALL,PAYUP,NONAGENCY,MORT_IDIO,CRT,CRT_SP_RISK:BRS_GOLD__1_MTG-BASIS:USD_IO_OTM10_V604_E</v>
          </cell>
          <cell r="D4176" t="str">
            <v>Spread Duration</v>
          </cell>
          <cell r="E4176" t="str">
            <v>Spread Yield</v>
          </cell>
          <cell r="F4176" t="str">
            <v>Alternative</v>
          </cell>
          <cell r="G4176" t="str">
            <v>Other</v>
          </cell>
          <cell r="H4176" t="str">
            <v>ALTS</v>
          </cell>
          <cell r="I4176" t="str">
            <v>Mortgage - Moneyness</v>
          </cell>
        </row>
        <row r="4177">
          <cell r="A4177" t="str">
            <v>USD_IO_OTM5_V604_E</v>
          </cell>
          <cell r="B4177" t="str">
            <v>IO OTM50 V604</v>
          </cell>
          <cell r="C4177" t="str">
            <v>BRS_GOLD__5_SPREADS:BRS_GOLD__3_OTHER_SPREADS:BRS_GOLD__1_MTG,TBA_ALL,PAYUP,NONAGENCY,MORT_IDIO,CRT,CRT_SP_RISK:BRS_GOLD__1_MTG-BASIS:USD_IO_OTM5_V604_E</v>
          </cell>
          <cell r="D4177" t="str">
            <v>Spread Duration</v>
          </cell>
          <cell r="E4177" t="str">
            <v>Spread Yield</v>
          </cell>
          <cell r="F4177" t="str">
            <v>Alternative</v>
          </cell>
          <cell r="G4177" t="str">
            <v>Other</v>
          </cell>
          <cell r="H4177" t="str">
            <v>ALTS</v>
          </cell>
          <cell r="I4177" t="str">
            <v>Mortgage - Moneyness</v>
          </cell>
        </row>
        <row r="4178">
          <cell r="A4178" t="str">
            <v>USD_IO_ATM_V604_E</v>
          </cell>
          <cell r="B4178" t="str">
            <v>IO ATM V604</v>
          </cell>
          <cell r="C4178" t="str">
            <v>BRS_GOLD__5_SPREADS:BRS_GOLD__3_OTHER_SPREADS:BRS_GOLD__1_MTG,TBA_ALL,PAYUP,NONAGENCY,MORT_IDIO,CRT,CRT_SP_RISK:BRS_GOLD__1_MTG-BASIS:USD_IO_ATM_V604_E</v>
          </cell>
          <cell r="D4178" t="str">
            <v>Spread Duration</v>
          </cell>
          <cell r="E4178" t="str">
            <v>Spread Yield</v>
          </cell>
          <cell r="F4178" t="str">
            <v>Alternative</v>
          </cell>
          <cell r="G4178" t="str">
            <v>Other</v>
          </cell>
          <cell r="H4178" t="str">
            <v>ALTS</v>
          </cell>
          <cell r="I4178" t="str">
            <v>Mortgage - Moneyness</v>
          </cell>
        </row>
        <row r="4179">
          <cell r="A4179" t="str">
            <v>USD_IO_ITM5_V604_E</v>
          </cell>
          <cell r="B4179" t="str">
            <v>IO ITM50 V604</v>
          </cell>
          <cell r="C4179" t="str">
            <v>BRS_GOLD__5_SPREADS:BRS_GOLD__3_OTHER_SPREADS:BRS_GOLD__1_MTG,TBA_ALL,PAYUP,NONAGENCY,MORT_IDIO,CRT,CRT_SP_RISK:BRS_GOLD__1_MTG-BASIS:USD_IO_ITM5_V604_E</v>
          </cell>
          <cell r="D4179" t="str">
            <v>Spread Duration</v>
          </cell>
          <cell r="E4179" t="str">
            <v>Spread Yield</v>
          </cell>
          <cell r="F4179" t="str">
            <v>Alternative</v>
          </cell>
          <cell r="G4179" t="str">
            <v>Other</v>
          </cell>
          <cell r="H4179" t="str">
            <v>ALTS</v>
          </cell>
          <cell r="I4179" t="str">
            <v>Mortgage - Moneyness</v>
          </cell>
        </row>
        <row r="4180">
          <cell r="A4180" t="str">
            <v>USD_IO_ITM10_V604_E</v>
          </cell>
          <cell r="B4180" t="str">
            <v>IO ITM100 V604</v>
          </cell>
          <cell r="C4180" t="str">
            <v>BRS_GOLD__5_SPREADS:BRS_GOLD__3_OTHER_SPREADS:BRS_GOLD__1_MTG,TBA_ALL,PAYUP,NONAGENCY,MORT_IDIO,CRT,CRT_SP_RISK:BRS_GOLD__1_MTG-BASIS:USD_IO_ITM10_V604_E</v>
          </cell>
          <cell r="D4180" t="str">
            <v>Spread Duration</v>
          </cell>
          <cell r="E4180" t="str">
            <v>Spread Yield</v>
          </cell>
          <cell r="F4180" t="str">
            <v>Alternative</v>
          </cell>
          <cell r="G4180" t="str">
            <v>Other</v>
          </cell>
          <cell r="H4180" t="str">
            <v>ALTS</v>
          </cell>
          <cell r="I4180" t="str">
            <v>Mortgage - Moneyness</v>
          </cell>
        </row>
        <row r="4181">
          <cell r="A4181" t="str">
            <v>USD_IO_ITM15_V604_E</v>
          </cell>
          <cell r="B4181" t="str">
            <v>IO ITM150 V604</v>
          </cell>
          <cell r="C4181" t="str">
            <v>BRS_GOLD__5_SPREADS:BRS_GOLD__3_OTHER_SPREADS:BRS_GOLD__1_MTG,TBA_ALL,PAYUP,NONAGENCY,MORT_IDIO,CRT,CRT_SP_RISK:BRS_GOLD__1_MTG-BASIS:USD_IO_ITM15_V604_E</v>
          </cell>
          <cell r="D4181" t="str">
            <v>Spread Duration</v>
          </cell>
          <cell r="E4181" t="str">
            <v>Spread Yield</v>
          </cell>
          <cell r="F4181" t="str">
            <v>Alternative</v>
          </cell>
          <cell r="G4181" t="str">
            <v>Other</v>
          </cell>
          <cell r="H4181" t="str">
            <v>ALTS</v>
          </cell>
          <cell r="I4181" t="str">
            <v>Mortgage - Moneyness</v>
          </cell>
        </row>
        <row r="4182">
          <cell r="A4182" t="str">
            <v>USD_IO_ITM20_V604_E</v>
          </cell>
          <cell r="B4182" t="str">
            <v>IO ITM200 V604</v>
          </cell>
          <cell r="C4182" t="str">
            <v>BRS_GOLD__5_SPREADS:BRS_GOLD__3_OTHER_SPREADS:BRS_GOLD__1_MTG,TBA_ALL,PAYUP,NONAGENCY,MORT_IDIO,CRT,CRT_SP_RISK:BRS_GOLD__1_MTG-BASIS:USD_IO_ITM20_V604_E</v>
          </cell>
          <cell r="D4182" t="str">
            <v>Spread Duration</v>
          </cell>
          <cell r="E4182" t="str">
            <v>Spread Yield</v>
          </cell>
          <cell r="F4182" t="str">
            <v>Alternative</v>
          </cell>
          <cell r="G4182" t="str">
            <v>Other</v>
          </cell>
          <cell r="H4182" t="str">
            <v>ALTS</v>
          </cell>
          <cell r="I4182" t="str">
            <v>Mortgage - Moneyness</v>
          </cell>
        </row>
        <row r="4183">
          <cell r="A4183" t="str">
            <v>USD_IO_ITM25_V604_E</v>
          </cell>
          <cell r="B4183" t="str">
            <v>IO ITM250 V604</v>
          </cell>
          <cell r="C4183" t="str">
            <v>BRS_GOLD__5_SPREADS:BRS_GOLD__3_OTHER_SPREADS:BRS_GOLD__1_MTG,TBA_ALL,PAYUP,NONAGENCY,MORT_IDIO,CRT,CRT_SP_RISK:BRS_GOLD__1_MTG-BASIS:USD_IO_ITM25_V604_E</v>
          </cell>
          <cell r="D4183" t="str">
            <v>Spread Duration</v>
          </cell>
          <cell r="E4183" t="str">
            <v>Spread Yield</v>
          </cell>
          <cell r="F4183" t="str">
            <v>Alternative</v>
          </cell>
          <cell r="G4183" t="str">
            <v>Other</v>
          </cell>
          <cell r="H4183" t="str">
            <v>ALTS</v>
          </cell>
          <cell r="I4183" t="str">
            <v>Mortgage - Moneyness</v>
          </cell>
        </row>
        <row r="4184">
          <cell r="A4184" t="str">
            <v>USD_IO_ITM30_V604_E</v>
          </cell>
          <cell r="B4184" t="str">
            <v>IO ITM300 V604</v>
          </cell>
          <cell r="C4184" t="str">
            <v>BRS_GOLD__5_SPREADS:BRS_GOLD__3_OTHER_SPREADS:BRS_GOLD__1_MTG,TBA_ALL,PAYUP,NONAGENCY,MORT_IDIO,CRT,CRT_SP_RISK:BRS_GOLD__1_MTG-BASIS:USD_IO_ITM30_V604_E</v>
          </cell>
          <cell r="D4184" t="str">
            <v>Spread Duration</v>
          </cell>
          <cell r="E4184" t="str">
            <v>Spread Yield</v>
          </cell>
          <cell r="F4184" t="str">
            <v>Alternative</v>
          </cell>
          <cell r="G4184" t="str">
            <v>Other</v>
          </cell>
          <cell r="H4184" t="str">
            <v>ALTS</v>
          </cell>
          <cell r="I4184" t="str">
            <v>Mortgage - Moneyness</v>
          </cell>
        </row>
        <row r="4185">
          <cell r="A4185" t="str">
            <v>USD_IO_ITM35_V604_E</v>
          </cell>
          <cell r="B4185" t="str">
            <v>IO ITM350 V604</v>
          </cell>
          <cell r="C4185" t="str">
            <v>BRS_GOLD__5_SPREADS:BRS_GOLD__3_OTHER_SPREADS:BRS_GOLD__1_MTG,TBA_ALL,PAYUP,NONAGENCY,MORT_IDIO,CRT,CRT_SP_RISK:BRS_GOLD__1_MTG-BASIS:USD_IO_ITM35_V604_E</v>
          </cell>
          <cell r="D4185" t="str">
            <v>Spread Duration</v>
          </cell>
          <cell r="E4185" t="str">
            <v>Spread Yield</v>
          </cell>
          <cell r="F4185" t="str">
            <v>Alternative</v>
          </cell>
          <cell r="G4185" t="str">
            <v>Other</v>
          </cell>
          <cell r="H4185" t="str">
            <v>ALTS</v>
          </cell>
          <cell r="I4185" t="str">
            <v>Mortgage - Moneyness</v>
          </cell>
        </row>
        <row r="4186">
          <cell r="A4186" t="str">
            <v>USD_PO_OTM35_V604_E</v>
          </cell>
          <cell r="B4186" t="str">
            <v>PO OTM350 V604</v>
          </cell>
          <cell r="C4186" t="str">
            <v>BRS_GOLD__5_SPREADS:BRS_GOLD__3_OTHER_SPREADS:BRS_GOLD__1_MTG,TBA_ALL,PAYUP,NONAGENCY,MORT_IDIO,CRT,CRT_SP_RISK:BRS_GOLD__1_MTG-BASIS:USD_PO_OTM35_V604_E</v>
          </cell>
          <cell r="D4186" t="str">
            <v>Spread Duration</v>
          </cell>
          <cell r="E4186" t="str">
            <v>Spread Yield</v>
          </cell>
          <cell r="F4186" t="str">
            <v>Alternative</v>
          </cell>
          <cell r="G4186" t="str">
            <v>Other</v>
          </cell>
          <cell r="H4186" t="str">
            <v>ALTS</v>
          </cell>
          <cell r="I4186" t="str">
            <v>Mortgage - Moneyness</v>
          </cell>
        </row>
        <row r="4187">
          <cell r="A4187" t="str">
            <v>USD_PO_OTM30_V604_E</v>
          </cell>
          <cell r="B4187" t="str">
            <v>PO OTM300 V604</v>
          </cell>
          <cell r="C4187" t="str">
            <v>BRS_GOLD__5_SPREADS:BRS_GOLD__3_OTHER_SPREADS:BRS_GOLD__1_MTG,TBA_ALL,PAYUP,NONAGENCY,MORT_IDIO,CRT,CRT_SP_RISK:BRS_GOLD__1_MTG-BASIS:USD_PO_OTM30_V604_E</v>
          </cell>
          <cell r="D4187" t="str">
            <v>Spread Duration</v>
          </cell>
          <cell r="E4187" t="str">
            <v>Spread Yield</v>
          </cell>
          <cell r="F4187" t="str">
            <v>Alternative</v>
          </cell>
          <cell r="G4187" t="str">
            <v>Other</v>
          </cell>
          <cell r="H4187" t="str">
            <v>ALTS</v>
          </cell>
          <cell r="I4187" t="str">
            <v>Mortgage - Moneyness</v>
          </cell>
        </row>
        <row r="4188">
          <cell r="A4188" t="str">
            <v>USD_PO_OTM25_V604_E</v>
          </cell>
          <cell r="B4188" t="str">
            <v>PO OTM250 V604</v>
          </cell>
          <cell r="C4188" t="str">
            <v>BRS_GOLD__5_SPREADS:BRS_GOLD__3_OTHER_SPREADS:BRS_GOLD__1_MTG,TBA_ALL,PAYUP,NONAGENCY,MORT_IDIO,CRT,CRT_SP_RISK:BRS_GOLD__1_MTG-BASIS:USD_PO_OTM25_V604_E</v>
          </cell>
          <cell r="D4188" t="str">
            <v>Spread Duration</v>
          </cell>
          <cell r="E4188" t="str">
            <v>Spread Yield</v>
          </cell>
          <cell r="F4188" t="str">
            <v>Alternative</v>
          </cell>
          <cell r="G4188" t="str">
            <v>Other</v>
          </cell>
          <cell r="H4188" t="str">
            <v>ALTS</v>
          </cell>
          <cell r="I4188" t="str">
            <v>Mortgage - Moneyness</v>
          </cell>
        </row>
        <row r="4189">
          <cell r="A4189" t="str">
            <v>USD_PO_OTM20_V604_E</v>
          </cell>
          <cell r="B4189" t="str">
            <v>PO OTM200 V604</v>
          </cell>
          <cell r="C4189" t="str">
            <v>BRS_GOLD__5_SPREADS:BRS_GOLD__3_OTHER_SPREADS:BRS_GOLD__1_MTG,TBA_ALL,PAYUP,NONAGENCY,MORT_IDIO,CRT,CRT_SP_RISK:BRS_GOLD__1_MTG-BASIS:USD_PO_OTM20_V604_E</v>
          </cell>
          <cell r="D4189" t="str">
            <v>Spread Duration</v>
          </cell>
          <cell r="E4189" t="str">
            <v>Spread Yield</v>
          </cell>
          <cell r="F4189" t="str">
            <v>Alternative</v>
          </cell>
          <cell r="G4189" t="str">
            <v>Other</v>
          </cell>
          <cell r="H4189" t="str">
            <v>ALTS</v>
          </cell>
          <cell r="I4189" t="str">
            <v>Mortgage - Moneyness</v>
          </cell>
        </row>
        <row r="4190">
          <cell r="A4190" t="str">
            <v>USD_PO_OTM15_V604_E</v>
          </cell>
          <cell r="B4190" t="str">
            <v>PO OTM150 V604</v>
          </cell>
          <cell r="C4190" t="str">
            <v>BRS_GOLD__5_SPREADS:BRS_GOLD__3_OTHER_SPREADS:BRS_GOLD__1_MTG,TBA_ALL,PAYUP,NONAGENCY,MORT_IDIO,CRT,CRT_SP_RISK:BRS_GOLD__1_MTG-BASIS:USD_PO_OTM15_V604_E</v>
          </cell>
          <cell r="D4190" t="str">
            <v>Spread Duration</v>
          </cell>
          <cell r="E4190" t="str">
            <v>Spread Yield</v>
          </cell>
          <cell r="F4190" t="str">
            <v>Alternative</v>
          </cell>
          <cell r="G4190" t="str">
            <v>Other</v>
          </cell>
          <cell r="H4190" t="str">
            <v>ALTS</v>
          </cell>
          <cell r="I4190" t="str">
            <v>Mortgage - Moneyness</v>
          </cell>
        </row>
        <row r="4191">
          <cell r="A4191" t="str">
            <v>USD_PO_OTM10_V604_E</v>
          </cell>
          <cell r="B4191" t="str">
            <v>PO OTM100 V604</v>
          </cell>
          <cell r="C4191" t="str">
            <v>BRS_GOLD__5_SPREADS:BRS_GOLD__3_OTHER_SPREADS:BRS_GOLD__1_MTG,TBA_ALL,PAYUP,NONAGENCY,MORT_IDIO,CRT,CRT_SP_RISK:BRS_GOLD__1_MTG-BASIS:USD_PO_OTM10_V604_E</v>
          </cell>
          <cell r="D4191" t="str">
            <v>Spread Duration</v>
          </cell>
          <cell r="E4191" t="str">
            <v>Spread Yield</v>
          </cell>
          <cell r="F4191" t="str">
            <v>Alternative</v>
          </cell>
          <cell r="G4191" t="str">
            <v>Other</v>
          </cell>
          <cell r="H4191" t="str">
            <v>ALTS</v>
          </cell>
          <cell r="I4191" t="str">
            <v>Mortgage - Moneyness</v>
          </cell>
        </row>
        <row r="4192">
          <cell r="A4192" t="str">
            <v>USD_PO_OTM5_V604_E</v>
          </cell>
          <cell r="B4192" t="str">
            <v>PO OTM50 V604</v>
          </cell>
          <cell r="C4192" t="str">
            <v>BRS_GOLD__5_SPREADS:BRS_GOLD__3_OTHER_SPREADS:BRS_GOLD__1_MTG,TBA_ALL,PAYUP,NONAGENCY,MORT_IDIO,CRT,CRT_SP_RISK:BRS_GOLD__1_MTG-BASIS:USD_PO_OTM5_V604_E</v>
          </cell>
          <cell r="D4192" t="str">
            <v>Spread Duration</v>
          </cell>
          <cell r="E4192" t="str">
            <v>Spread Yield</v>
          </cell>
          <cell r="F4192" t="str">
            <v>Alternative</v>
          </cell>
          <cell r="G4192" t="str">
            <v>Other</v>
          </cell>
          <cell r="H4192" t="str">
            <v>ALTS</v>
          </cell>
          <cell r="I4192" t="str">
            <v>Mortgage - Moneyness</v>
          </cell>
        </row>
        <row r="4193">
          <cell r="A4193" t="str">
            <v>USD_PO_ATM_V604_E</v>
          </cell>
          <cell r="B4193" t="str">
            <v>PO ATM V604</v>
          </cell>
          <cell r="C4193" t="str">
            <v>BRS_GOLD__5_SPREADS:BRS_GOLD__3_OTHER_SPREADS:BRS_GOLD__1_MTG,TBA_ALL,PAYUP,NONAGENCY,MORT_IDIO,CRT,CRT_SP_RISK:BRS_GOLD__1_MTG-BASIS:USD_PO_ATM_V604_E</v>
          </cell>
          <cell r="D4193" t="str">
            <v>Spread Duration</v>
          </cell>
          <cell r="E4193" t="str">
            <v>Spread Yield</v>
          </cell>
          <cell r="F4193" t="str">
            <v>Alternative</v>
          </cell>
          <cell r="G4193" t="str">
            <v>Other</v>
          </cell>
          <cell r="H4193" t="str">
            <v>ALTS</v>
          </cell>
          <cell r="I4193" t="str">
            <v>Mortgage - Moneyness</v>
          </cell>
        </row>
        <row r="4194">
          <cell r="A4194" t="str">
            <v>USD_PO_ITM5_V604_E</v>
          </cell>
          <cell r="B4194" t="str">
            <v>PO ITM50 V604</v>
          </cell>
          <cell r="C4194" t="str">
            <v>BRS_GOLD__5_SPREADS:BRS_GOLD__3_OTHER_SPREADS:BRS_GOLD__1_MTG,TBA_ALL,PAYUP,NONAGENCY,MORT_IDIO,CRT,CRT_SP_RISK:BRS_GOLD__1_MTG-BASIS:USD_PO_ITM5_V604_E</v>
          </cell>
          <cell r="D4194" t="str">
            <v>Spread Duration</v>
          </cell>
          <cell r="E4194" t="str">
            <v>Spread Yield</v>
          </cell>
          <cell r="F4194" t="str">
            <v>Alternative</v>
          </cell>
          <cell r="G4194" t="str">
            <v>Other</v>
          </cell>
          <cell r="H4194" t="str">
            <v>ALTS</v>
          </cell>
          <cell r="I4194" t="str">
            <v>Mortgage - Moneyness</v>
          </cell>
        </row>
        <row r="4195">
          <cell r="A4195" t="str">
            <v>USD_PO_ITM10_V604_E</v>
          </cell>
          <cell r="B4195" t="str">
            <v>PO ITM100 V604</v>
          </cell>
          <cell r="C4195" t="str">
            <v>BRS_GOLD__5_SPREADS:BRS_GOLD__3_OTHER_SPREADS:BRS_GOLD__1_MTG,TBA_ALL,PAYUP,NONAGENCY,MORT_IDIO,CRT,CRT_SP_RISK:BRS_GOLD__1_MTG-BASIS:USD_PO_ITM10_V604_E</v>
          </cell>
          <cell r="D4195" t="str">
            <v>Spread Duration</v>
          </cell>
          <cell r="E4195" t="str">
            <v>Spread Yield</v>
          </cell>
          <cell r="F4195" t="str">
            <v>Alternative</v>
          </cell>
          <cell r="G4195" t="str">
            <v>Other</v>
          </cell>
          <cell r="H4195" t="str">
            <v>ALTS</v>
          </cell>
          <cell r="I4195" t="str">
            <v>Mortgage - Moneyness</v>
          </cell>
        </row>
        <row r="4196">
          <cell r="A4196" t="str">
            <v>USD_PO_ITM15_V604_E</v>
          </cell>
          <cell r="B4196" t="str">
            <v>PO ITM150 V604</v>
          </cell>
          <cell r="C4196" t="str">
            <v>BRS_GOLD__5_SPREADS:BRS_GOLD__3_OTHER_SPREADS:BRS_GOLD__1_MTG,TBA_ALL,PAYUP,NONAGENCY,MORT_IDIO,CRT,CRT_SP_RISK:BRS_GOLD__1_MTG-BASIS:USD_PO_ITM15_V604_E</v>
          </cell>
          <cell r="D4196" t="str">
            <v>Spread Duration</v>
          </cell>
          <cell r="E4196" t="str">
            <v>Spread Yield</v>
          </cell>
          <cell r="F4196" t="str">
            <v>Alternative</v>
          </cell>
          <cell r="G4196" t="str">
            <v>Other</v>
          </cell>
          <cell r="H4196" t="str">
            <v>ALTS</v>
          </cell>
          <cell r="I4196" t="str">
            <v>Mortgage - Moneyness</v>
          </cell>
        </row>
        <row r="4197">
          <cell r="A4197" t="str">
            <v>USD_PO_ITM20_V604_E</v>
          </cell>
          <cell r="B4197" t="str">
            <v>PO ITM200 V604</v>
          </cell>
          <cell r="C4197" t="str">
            <v>BRS_GOLD__5_SPREADS:BRS_GOLD__3_OTHER_SPREADS:BRS_GOLD__1_MTG,TBA_ALL,PAYUP,NONAGENCY,MORT_IDIO,CRT,CRT_SP_RISK:BRS_GOLD__1_MTG-BASIS:USD_PO_ITM20_V604_E</v>
          </cell>
          <cell r="D4197" t="str">
            <v>Spread Duration</v>
          </cell>
          <cell r="E4197" t="str">
            <v>Spread Yield</v>
          </cell>
          <cell r="F4197" t="str">
            <v>Alternative</v>
          </cell>
          <cell r="G4197" t="str">
            <v>Other</v>
          </cell>
          <cell r="H4197" t="str">
            <v>ALTS</v>
          </cell>
          <cell r="I4197" t="str">
            <v>Mortgage - Moneyness</v>
          </cell>
        </row>
        <row r="4198">
          <cell r="A4198" t="str">
            <v>USD_PO_ITM25_V604_E</v>
          </cell>
          <cell r="B4198" t="str">
            <v>PO ITM250 V604</v>
          </cell>
          <cell r="C4198" t="str">
            <v>BRS_GOLD__5_SPREADS:BRS_GOLD__3_OTHER_SPREADS:BRS_GOLD__1_MTG,TBA_ALL,PAYUP,NONAGENCY,MORT_IDIO,CRT,CRT_SP_RISK:BRS_GOLD__1_MTG-BASIS:USD_PO_ITM25_V604_E</v>
          </cell>
          <cell r="D4198" t="str">
            <v>Spread Duration</v>
          </cell>
          <cell r="E4198" t="str">
            <v>Spread Yield</v>
          </cell>
          <cell r="F4198" t="str">
            <v>Alternative</v>
          </cell>
          <cell r="G4198" t="str">
            <v>Other</v>
          </cell>
          <cell r="H4198" t="str">
            <v>ALTS</v>
          </cell>
          <cell r="I4198" t="str">
            <v>Mortgage - Moneyness</v>
          </cell>
        </row>
        <row r="4199">
          <cell r="A4199" t="str">
            <v>USD_PO_ITM30_V604_E</v>
          </cell>
          <cell r="B4199" t="str">
            <v>PO ITM300 V604</v>
          </cell>
          <cell r="C4199" t="str">
            <v>BRS_GOLD__5_SPREADS:BRS_GOLD__3_OTHER_SPREADS:BRS_GOLD__1_MTG,TBA_ALL,PAYUP,NONAGENCY,MORT_IDIO,CRT,CRT_SP_RISK:BRS_GOLD__1_MTG-BASIS:USD_PO_ITM30_V604_E</v>
          </cell>
          <cell r="D4199" t="str">
            <v>Spread Duration</v>
          </cell>
          <cell r="E4199" t="str">
            <v>Spread Yield</v>
          </cell>
          <cell r="F4199" t="str">
            <v>Alternative</v>
          </cell>
          <cell r="G4199" t="str">
            <v>Other</v>
          </cell>
          <cell r="H4199" t="str">
            <v>ALTS</v>
          </cell>
          <cell r="I4199" t="str">
            <v>Mortgage - Moneyness</v>
          </cell>
        </row>
        <row r="4200">
          <cell r="A4200" t="str">
            <v>USD_PO_ITM35_V604_E</v>
          </cell>
          <cell r="B4200" t="str">
            <v>PO ITM350 V604</v>
          </cell>
          <cell r="C4200" t="str">
            <v>BRS_GOLD__5_SPREADS:BRS_GOLD__3_OTHER_SPREADS:BRS_GOLD__1_MTG,TBA_ALL,PAYUP,NONAGENCY,MORT_IDIO,CRT,CRT_SP_RISK:BRS_GOLD__1_MTG-BASIS:USD_PO_ITM35_V604_E</v>
          </cell>
          <cell r="D4200" t="str">
            <v>Spread Duration</v>
          </cell>
          <cell r="E4200" t="str">
            <v>Spread Yield</v>
          </cell>
          <cell r="F4200" t="str">
            <v>Alternative</v>
          </cell>
          <cell r="G4200" t="str">
            <v>Other</v>
          </cell>
          <cell r="H4200" t="str">
            <v>ALTS</v>
          </cell>
          <cell r="I4200" t="str">
            <v>Mortgage - Moneyness</v>
          </cell>
        </row>
        <row r="4201">
          <cell r="A4201" t="str">
            <v>USD_IO_OTM35_V610_E</v>
          </cell>
          <cell r="B4201" t="str">
            <v>IO OTM350 V610</v>
          </cell>
          <cell r="C4201" t="str">
            <v>BRS_GOLD__5_SPREADS:BRS_GOLD__3_OTHER_SPREADS:BRS_GOLD__1_MTG,TBA_ALL,PAYUP,NONAGENCY,MORT_IDIO,CRT,CRT_SP_RISK:BRS_GOLD__1_MTG-BASIS:USD_IO_OTM35_V610_E</v>
          </cell>
          <cell r="D4201" t="str">
            <v>Spread Duration</v>
          </cell>
          <cell r="E4201" t="str">
            <v>Spread Yield</v>
          </cell>
          <cell r="F4201" t="str">
            <v>Alternative</v>
          </cell>
          <cell r="G4201" t="str">
            <v>Other</v>
          </cell>
          <cell r="H4201" t="str">
            <v>ALTS</v>
          </cell>
          <cell r="I4201" t="str">
            <v>Mortgage - Moneyness</v>
          </cell>
        </row>
        <row r="4202">
          <cell r="A4202" t="str">
            <v>USD_IO_OTM30_V610_E</v>
          </cell>
          <cell r="B4202" t="str">
            <v>IO OTM300 V610</v>
          </cell>
          <cell r="C4202" t="str">
            <v>BRS_GOLD__5_SPREADS:BRS_GOLD__3_OTHER_SPREADS:BRS_GOLD__1_MTG,TBA_ALL,PAYUP,NONAGENCY,MORT_IDIO,CRT,CRT_SP_RISK:BRS_GOLD__1_MTG-BASIS:USD_IO_OTM30_V610_E</v>
          </cell>
          <cell r="D4202" t="str">
            <v>Spread Duration</v>
          </cell>
          <cell r="E4202" t="str">
            <v>Spread Yield</v>
          </cell>
          <cell r="F4202" t="str">
            <v>Alternative</v>
          </cell>
          <cell r="G4202" t="str">
            <v>Other</v>
          </cell>
          <cell r="H4202" t="str">
            <v>ALTS</v>
          </cell>
          <cell r="I4202" t="str">
            <v>Mortgage - Moneyness</v>
          </cell>
        </row>
        <row r="4203">
          <cell r="A4203" t="str">
            <v>USD_IO_OTM25_V610_E</v>
          </cell>
          <cell r="B4203" t="str">
            <v>IO OTM250 V610</v>
          </cell>
          <cell r="C4203" t="str">
            <v>BRS_GOLD__5_SPREADS:BRS_GOLD__3_OTHER_SPREADS:BRS_GOLD__1_MTG,TBA_ALL,PAYUP,NONAGENCY,MORT_IDIO,CRT,CRT_SP_RISK:BRS_GOLD__1_MTG-BASIS:USD_IO_OTM25_V610_E</v>
          </cell>
          <cell r="D4203" t="str">
            <v>Spread Duration</v>
          </cell>
          <cell r="E4203" t="str">
            <v>Spread Yield</v>
          </cell>
          <cell r="F4203" t="str">
            <v>Alternative</v>
          </cell>
          <cell r="G4203" t="str">
            <v>Other</v>
          </cell>
          <cell r="H4203" t="str">
            <v>ALTS</v>
          </cell>
          <cell r="I4203" t="str">
            <v>Mortgage - Moneyness</v>
          </cell>
        </row>
        <row r="4204">
          <cell r="A4204" t="str">
            <v>USD_IO_OTM20_V610_E</v>
          </cell>
          <cell r="B4204" t="str">
            <v>IO OTM200 V610</v>
          </cell>
          <cell r="C4204" t="str">
            <v>BRS_GOLD__5_SPREADS:BRS_GOLD__3_OTHER_SPREADS:BRS_GOLD__1_MTG,TBA_ALL,PAYUP,NONAGENCY,MORT_IDIO,CRT,CRT_SP_RISK:BRS_GOLD__1_MTG-BASIS:USD_IO_OTM20_V610_E</v>
          </cell>
          <cell r="D4204" t="str">
            <v>Spread Duration</v>
          </cell>
          <cell r="E4204" t="str">
            <v>Spread Yield</v>
          </cell>
          <cell r="F4204" t="str">
            <v>Alternative</v>
          </cell>
          <cell r="G4204" t="str">
            <v>Other</v>
          </cell>
          <cell r="H4204" t="str">
            <v>ALTS</v>
          </cell>
          <cell r="I4204" t="str">
            <v>Mortgage - Moneyness</v>
          </cell>
        </row>
        <row r="4205">
          <cell r="A4205" t="str">
            <v>USD_IO_OTM15_V610_E</v>
          </cell>
          <cell r="B4205" t="str">
            <v>IO OTM150 V610</v>
          </cell>
          <cell r="C4205" t="str">
            <v>BRS_GOLD__5_SPREADS:BRS_GOLD__3_OTHER_SPREADS:BRS_GOLD__1_MTG,TBA_ALL,PAYUP,NONAGENCY,MORT_IDIO,CRT,CRT_SP_RISK:BRS_GOLD__1_MTG-BASIS:USD_IO_OTM15_V610_E</v>
          </cell>
          <cell r="D4205" t="str">
            <v>Spread Duration</v>
          </cell>
          <cell r="E4205" t="str">
            <v>Spread Yield</v>
          </cell>
          <cell r="F4205" t="str">
            <v>Alternative</v>
          </cell>
          <cell r="G4205" t="str">
            <v>Other</v>
          </cell>
          <cell r="H4205" t="str">
            <v>ALTS</v>
          </cell>
          <cell r="I4205" t="str">
            <v>Mortgage - Moneyness</v>
          </cell>
        </row>
        <row r="4206">
          <cell r="A4206" t="str">
            <v>USD_IO_OTM10_V610_E</v>
          </cell>
          <cell r="B4206" t="str">
            <v>IO OTM100 V610</v>
          </cell>
          <cell r="C4206" t="str">
            <v>BRS_GOLD__5_SPREADS:BRS_GOLD__3_OTHER_SPREADS:BRS_GOLD__1_MTG,TBA_ALL,PAYUP,NONAGENCY,MORT_IDIO,CRT,CRT_SP_RISK:BRS_GOLD__1_MTG-BASIS:USD_IO_OTM10_V610_E</v>
          </cell>
          <cell r="D4206" t="str">
            <v>Spread Duration</v>
          </cell>
          <cell r="E4206" t="str">
            <v>Spread Yield</v>
          </cell>
          <cell r="F4206" t="str">
            <v>Alternative</v>
          </cell>
          <cell r="G4206" t="str">
            <v>Other</v>
          </cell>
          <cell r="H4206" t="str">
            <v>ALTS</v>
          </cell>
          <cell r="I4206" t="str">
            <v>Mortgage - Moneyness</v>
          </cell>
        </row>
        <row r="4207">
          <cell r="A4207" t="str">
            <v>USD_IO_OTM5_V610_E</v>
          </cell>
          <cell r="B4207" t="str">
            <v>IO OTM50 V610</v>
          </cell>
          <cell r="C4207" t="str">
            <v>BRS_GOLD__5_SPREADS:BRS_GOLD__3_OTHER_SPREADS:BRS_GOLD__1_MTG,TBA_ALL,PAYUP,NONAGENCY,MORT_IDIO,CRT,CRT_SP_RISK:BRS_GOLD__1_MTG-BASIS:USD_IO_OTM5_V610_E</v>
          </cell>
          <cell r="D4207" t="str">
            <v>Spread Duration</v>
          </cell>
          <cell r="E4207" t="str">
            <v>Spread Yield</v>
          </cell>
          <cell r="F4207" t="str">
            <v>Alternative</v>
          </cell>
          <cell r="G4207" t="str">
            <v>Other</v>
          </cell>
          <cell r="H4207" t="str">
            <v>ALTS</v>
          </cell>
          <cell r="I4207" t="str">
            <v>Mortgage - Moneyness</v>
          </cell>
        </row>
        <row r="4208">
          <cell r="A4208" t="str">
            <v>USD_IO_ATM_V610_E</v>
          </cell>
          <cell r="B4208" t="str">
            <v>IO ATM V610</v>
          </cell>
          <cell r="C4208" t="str">
            <v>BRS_GOLD__5_SPREADS:BRS_GOLD__3_OTHER_SPREADS:BRS_GOLD__1_MTG,TBA_ALL,PAYUP,NONAGENCY,MORT_IDIO,CRT,CRT_SP_RISK:BRS_GOLD__1_MTG-BASIS:USD_IO_ATM_V610_E</v>
          </cell>
          <cell r="D4208" t="str">
            <v>Spread Duration</v>
          </cell>
          <cell r="E4208" t="str">
            <v>Spread Yield</v>
          </cell>
          <cell r="F4208" t="str">
            <v>Alternative</v>
          </cell>
          <cell r="G4208" t="str">
            <v>Other</v>
          </cell>
          <cell r="H4208" t="str">
            <v>ALTS</v>
          </cell>
          <cell r="I4208" t="str">
            <v>Mortgage - Moneyness</v>
          </cell>
        </row>
        <row r="4209">
          <cell r="A4209" t="str">
            <v>USD_IO_ITM5_V610_E</v>
          </cell>
          <cell r="B4209" t="str">
            <v>IO ITM50 V610</v>
          </cell>
          <cell r="C4209" t="str">
            <v>BRS_GOLD__5_SPREADS:BRS_GOLD__3_OTHER_SPREADS:BRS_GOLD__1_MTG,TBA_ALL,PAYUP,NONAGENCY,MORT_IDIO,CRT,CRT_SP_RISK:BRS_GOLD__1_MTG-BASIS:USD_IO_ITM5_V610_E</v>
          </cell>
          <cell r="D4209" t="str">
            <v>Spread Duration</v>
          </cell>
          <cell r="E4209" t="str">
            <v>Spread Yield</v>
          </cell>
          <cell r="F4209" t="str">
            <v>Alternative</v>
          </cell>
          <cell r="G4209" t="str">
            <v>Other</v>
          </cell>
          <cell r="H4209" t="str">
            <v>ALTS</v>
          </cell>
          <cell r="I4209" t="str">
            <v>Mortgage - Moneyness</v>
          </cell>
        </row>
        <row r="4210">
          <cell r="A4210" t="str">
            <v>USD_IO_ITM10_V610_E</v>
          </cell>
          <cell r="B4210" t="str">
            <v>IO ITM100 V610</v>
          </cell>
          <cell r="C4210" t="str">
            <v>BRS_GOLD__5_SPREADS:BRS_GOLD__3_OTHER_SPREADS:BRS_GOLD__1_MTG,TBA_ALL,PAYUP,NONAGENCY,MORT_IDIO,CRT,CRT_SP_RISK:BRS_GOLD__1_MTG-BASIS:USD_IO_ITM10_V610_E</v>
          </cell>
          <cell r="D4210" t="str">
            <v>Spread Duration</v>
          </cell>
          <cell r="E4210" t="str">
            <v>Spread Yield</v>
          </cell>
          <cell r="F4210" t="str">
            <v>Alternative</v>
          </cell>
          <cell r="G4210" t="str">
            <v>Other</v>
          </cell>
          <cell r="H4210" t="str">
            <v>ALTS</v>
          </cell>
          <cell r="I4210" t="str">
            <v>Mortgage - Moneyness</v>
          </cell>
        </row>
        <row r="4211">
          <cell r="A4211" t="str">
            <v>USD_IO_ITM15_V610_E</v>
          </cell>
          <cell r="B4211" t="str">
            <v>IO ITM150 V610</v>
          </cell>
          <cell r="C4211" t="str">
            <v>BRS_GOLD__5_SPREADS:BRS_GOLD__3_OTHER_SPREADS:BRS_GOLD__1_MTG,TBA_ALL,PAYUP,NONAGENCY,MORT_IDIO,CRT,CRT_SP_RISK:BRS_GOLD__1_MTG-BASIS:USD_IO_ITM15_V610_E</v>
          </cell>
          <cell r="D4211" t="str">
            <v>Spread Duration</v>
          </cell>
          <cell r="E4211" t="str">
            <v>Spread Yield</v>
          </cell>
          <cell r="F4211" t="str">
            <v>Alternative</v>
          </cell>
          <cell r="G4211" t="str">
            <v>Other</v>
          </cell>
          <cell r="H4211" t="str">
            <v>ALTS</v>
          </cell>
          <cell r="I4211" t="str">
            <v>Mortgage - Moneyness</v>
          </cell>
        </row>
        <row r="4212">
          <cell r="A4212" t="str">
            <v>USD_IO_ITM20_V610_E</v>
          </cell>
          <cell r="B4212" t="str">
            <v>IO ITM200 V610</v>
          </cell>
          <cell r="C4212" t="str">
            <v>BRS_GOLD__5_SPREADS:BRS_GOLD__3_OTHER_SPREADS:BRS_GOLD__1_MTG,TBA_ALL,PAYUP,NONAGENCY,MORT_IDIO,CRT,CRT_SP_RISK:BRS_GOLD__1_MTG-BASIS:USD_IO_ITM20_V610_E</v>
          </cell>
          <cell r="D4212" t="str">
            <v>Spread Duration</v>
          </cell>
          <cell r="E4212" t="str">
            <v>Spread Yield</v>
          </cell>
          <cell r="F4212" t="str">
            <v>Alternative</v>
          </cell>
          <cell r="G4212" t="str">
            <v>Other</v>
          </cell>
          <cell r="H4212" t="str">
            <v>ALTS</v>
          </cell>
          <cell r="I4212" t="str">
            <v>Mortgage - Moneyness</v>
          </cell>
        </row>
        <row r="4213">
          <cell r="A4213" t="str">
            <v>USD_IO_ITM25_V610_E</v>
          </cell>
          <cell r="B4213" t="str">
            <v>IO ITM250 V610</v>
          </cell>
          <cell r="C4213" t="str">
            <v>BRS_GOLD__5_SPREADS:BRS_GOLD__3_OTHER_SPREADS:BRS_GOLD__1_MTG,TBA_ALL,PAYUP,NONAGENCY,MORT_IDIO,CRT,CRT_SP_RISK:BRS_GOLD__1_MTG-BASIS:USD_IO_ITM25_V610_E</v>
          </cell>
          <cell r="D4213" t="str">
            <v>Spread Duration</v>
          </cell>
          <cell r="E4213" t="str">
            <v>Spread Yield</v>
          </cell>
          <cell r="F4213" t="str">
            <v>Alternative</v>
          </cell>
          <cell r="G4213" t="str">
            <v>Other</v>
          </cell>
          <cell r="H4213" t="str">
            <v>ALTS</v>
          </cell>
          <cell r="I4213" t="str">
            <v>Mortgage - Moneyness</v>
          </cell>
        </row>
        <row r="4214">
          <cell r="A4214" t="str">
            <v>USD_IO_ITM30_V610_E</v>
          </cell>
          <cell r="B4214" t="str">
            <v>IO ITM300 V610</v>
          </cell>
          <cell r="C4214" t="str">
            <v>BRS_GOLD__5_SPREADS:BRS_GOLD__3_OTHER_SPREADS:BRS_GOLD__1_MTG,TBA_ALL,PAYUP,NONAGENCY,MORT_IDIO,CRT,CRT_SP_RISK:BRS_GOLD__1_MTG-BASIS:USD_IO_ITM30_V610_E</v>
          </cell>
          <cell r="D4214" t="str">
            <v>Spread Duration</v>
          </cell>
          <cell r="E4214" t="str">
            <v>Spread Yield</v>
          </cell>
          <cell r="F4214" t="str">
            <v>Alternative</v>
          </cell>
          <cell r="G4214" t="str">
            <v>Other</v>
          </cell>
          <cell r="H4214" t="str">
            <v>ALTS</v>
          </cell>
          <cell r="I4214" t="str">
            <v>Mortgage - Moneyness</v>
          </cell>
        </row>
        <row r="4215">
          <cell r="A4215" t="str">
            <v>USD_IO_ITM35_V610_E</v>
          </cell>
          <cell r="B4215" t="str">
            <v>IO ITM350 V610</v>
          </cell>
          <cell r="C4215" t="str">
            <v>BRS_GOLD__5_SPREADS:BRS_GOLD__3_OTHER_SPREADS:BRS_GOLD__1_MTG,TBA_ALL,PAYUP,NONAGENCY,MORT_IDIO,CRT,CRT_SP_RISK:BRS_GOLD__1_MTG-BASIS:USD_IO_ITM35_V610_E</v>
          </cell>
          <cell r="D4215" t="str">
            <v>Spread Duration</v>
          </cell>
          <cell r="E4215" t="str">
            <v>Spread Yield</v>
          </cell>
          <cell r="F4215" t="str">
            <v>Alternative</v>
          </cell>
          <cell r="G4215" t="str">
            <v>Other</v>
          </cell>
          <cell r="H4215" t="str">
            <v>ALTS</v>
          </cell>
          <cell r="I4215" t="str">
            <v>Mortgage - Moneyness</v>
          </cell>
        </row>
        <row r="4216">
          <cell r="A4216" t="str">
            <v>USD_PO_OTM35_V610_E</v>
          </cell>
          <cell r="B4216" t="str">
            <v>PO OTM350 V610</v>
          </cell>
          <cell r="C4216" t="str">
            <v>BRS_GOLD__5_SPREADS:BRS_GOLD__3_OTHER_SPREADS:BRS_GOLD__1_MTG,TBA_ALL,PAYUP,NONAGENCY,MORT_IDIO,CRT,CRT_SP_RISK:BRS_GOLD__1_MTG-BASIS:USD_PO_OTM35_V610_E</v>
          </cell>
          <cell r="D4216" t="str">
            <v>Spread Duration</v>
          </cell>
          <cell r="E4216" t="str">
            <v>Spread Yield</v>
          </cell>
          <cell r="F4216" t="str">
            <v>Alternative</v>
          </cell>
          <cell r="G4216" t="str">
            <v>Other</v>
          </cell>
          <cell r="H4216" t="str">
            <v>ALTS</v>
          </cell>
          <cell r="I4216" t="str">
            <v>Mortgage - Moneyness</v>
          </cell>
        </row>
        <row r="4217">
          <cell r="A4217" t="str">
            <v>USD_PO_OTM30_V610_E</v>
          </cell>
          <cell r="B4217" t="str">
            <v>PO OTM300 V610</v>
          </cell>
          <cell r="C4217" t="str">
            <v>BRS_GOLD__5_SPREADS:BRS_GOLD__3_OTHER_SPREADS:BRS_GOLD__1_MTG,TBA_ALL,PAYUP,NONAGENCY,MORT_IDIO,CRT,CRT_SP_RISK:BRS_GOLD__1_MTG-BASIS:USD_PO_OTM30_V610_E</v>
          </cell>
          <cell r="D4217" t="str">
            <v>Spread Duration</v>
          </cell>
          <cell r="E4217" t="str">
            <v>Spread Yield</v>
          </cell>
          <cell r="F4217" t="str">
            <v>Alternative</v>
          </cell>
          <cell r="G4217" t="str">
            <v>Other</v>
          </cell>
          <cell r="H4217" t="str">
            <v>ALTS</v>
          </cell>
          <cell r="I4217" t="str">
            <v>Mortgage - Moneyness</v>
          </cell>
        </row>
        <row r="4218">
          <cell r="A4218" t="str">
            <v>USD_PO_OTM25_V610_E</v>
          </cell>
          <cell r="B4218" t="str">
            <v>PO OTM250 V610</v>
          </cell>
          <cell r="C4218" t="str">
            <v>BRS_GOLD__5_SPREADS:BRS_GOLD__3_OTHER_SPREADS:BRS_GOLD__1_MTG,TBA_ALL,PAYUP,NONAGENCY,MORT_IDIO,CRT,CRT_SP_RISK:BRS_GOLD__1_MTG-BASIS:USD_PO_OTM25_V610_E</v>
          </cell>
          <cell r="D4218" t="str">
            <v>Spread Duration</v>
          </cell>
          <cell r="E4218" t="str">
            <v>Spread Yield</v>
          </cell>
          <cell r="F4218" t="str">
            <v>Alternative</v>
          </cell>
          <cell r="G4218" t="str">
            <v>Other</v>
          </cell>
          <cell r="H4218" t="str">
            <v>ALTS</v>
          </cell>
          <cell r="I4218" t="str">
            <v>Mortgage - Moneyness</v>
          </cell>
        </row>
        <row r="4219">
          <cell r="A4219" t="str">
            <v>USD_PO_OTM20_V610_E</v>
          </cell>
          <cell r="B4219" t="str">
            <v>PO OTM200 V610</v>
          </cell>
          <cell r="C4219" t="str">
            <v>BRS_GOLD__5_SPREADS:BRS_GOLD__3_OTHER_SPREADS:BRS_GOLD__1_MTG,TBA_ALL,PAYUP,NONAGENCY,MORT_IDIO,CRT,CRT_SP_RISK:BRS_GOLD__1_MTG-BASIS:USD_PO_OTM20_V610_E</v>
          </cell>
          <cell r="D4219" t="str">
            <v>Spread Duration</v>
          </cell>
          <cell r="E4219" t="str">
            <v>Spread Yield</v>
          </cell>
          <cell r="F4219" t="str">
            <v>Alternative</v>
          </cell>
          <cell r="G4219" t="str">
            <v>Other</v>
          </cell>
          <cell r="H4219" t="str">
            <v>ALTS</v>
          </cell>
          <cell r="I4219" t="str">
            <v>Mortgage - Moneyness</v>
          </cell>
        </row>
        <row r="4220">
          <cell r="A4220" t="str">
            <v>USD_PO_OTM15_V610_E</v>
          </cell>
          <cell r="B4220" t="str">
            <v>PO OTM150 V610</v>
          </cell>
          <cell r="C4220" t="str">
            <v>BRS_GOLD__5_SPREADS:BRS_GOLD__3_OTHER_SPREADS:BRS_GOLD__1_MTG,TBA_ALL,PAYUP,NONAGENCY,MORT_IDIO,CRT,CRT_SP_RISK:BRS_GOLD__1_MTG-BASIS:USD_PO_OTM15_V610_E</v>
          </cell>
          <cell r="D4220" t="str">
            <v>Spread Duration</v>
          </cell>
          <cell r="E4220" t="str">
            <v>Spread Yield</v>
          </cell>
          <cell r="F4220" t="str">
            <v>Alternative</v>
          </cell>
          <cell r="G4220" t="str">
            <v>Other</v>
          </cell>
          <cell r="H4220" t="str">
            <v>ALTS</v>
          </cell>
          <cell r="I4220" t="str">
            <v>Mortgage - Moneyness</v>
          </cell>
        </row>
        <row r="4221">
          <cell r="A4221" t="str">
            <v>USD_PO_OTM10_V610_E</v>
          </cell>
          <cell r="B4221" t="str">
            <v>PO OTM100 V610</v>
          </cell>
          <cell r="C4221" t="str">
            <v>BRS_GOLD__5_SPREADS:BRS_GOLD__3_OTHER_SPREADS:BRS_GOLD__1_MTG,TBA_ALL,PAYUP,NONAGENCY,MORT_IDIO,CRT,CRT_SP_RISK:BRS_GOLD__1_MTG-BASIS:USD_PO_OTM10_V610_E</v>
          </cell>
          <cell r="D4221" t="str">
            <v>Spread Duration</v>
          </cell>
          <cell r="E4221" t="str">
            <v>Spread Yield</v>
          </cell>
          <cell r="F4221" t="str">
            <v>Alternative</v>
          </cell>
          <cell r="G4221" t="str">
            <v>Other</v>
          </cell>
          <cell r="H4221" t="str">
            <v>ALTS</v>
          </cell>
          <cell r="I4221" t="str">
            <v>Mortgage - Moneyness</v>
          </cell>
        </row>
        <row r="4222">
          <cell r="A4222" t="str">
            <v>USD_PO_OTM5_V610_E</v>
          </cell>
          <cell r="B4222" t="str">
            <v>PO OTM50 V610</v>
          </cell>
          <cell r="C4222" t="str">
            <v>BRS_GOLD__5_SPREADS:BRS_GOLD__3_OTHER_SPREADS:BRS_GOLD__1_MTG,TBA_ALL,PAYUP,NONAGENCY,MORT_IDIO,CRT,CRT_SP_RISK:BRS_GOLD__1_MTG-BASIS:USD_PO_OTM5_V610_E</v>
          </cell>
          <cell r="D4222" t="str">
            <v>Spread Duration</v>
          </cell>
          <cell r="E4222" t="str">
            <v>Spread Yield</v>
          </cell>
          <cell r="F4222" t="str">
            <v>Alternative</v>
          </cell>
          <cell r="G4222" t="str">
            <v>Other</v>
          </cell>
          <cell r="H4222" t="str">
            <v>ALTS</v>
          </cell>
          <cell r="I4222" t="str">
            <v>Mortgage - Moneyness</v>
          </cell>
        </row>
        <row r="4223">
          <cell r="A4223" t="str">
            <v>USD_PO_ATM_V610_E</v>
          </cell>
          <cell r="B4223" t="str">
            <v>PO ATM V610</v>
          </cell>
          <cell r="C4223" t="str">
            <v>BRS_GOLD__5_SPREADS:BRS_GOLD__3_OTHER_SPREADS:BRS_GOLD__1_MTG,TBA_ALL,PAYUP,NONAGENCY,MORT_IDIO,CRT,CRT_SP_RISK:BRS_GOLD__1_MTG-BASIS:USD_PO_ATM_V610_E</v>
          </cell>
          <cell r="D4223" t="str">
            <v>Spread Duration</v>
          </cell>
          <cell r="E4223" t="str">
            <v>Spread Yield</v>
          </cell>
          <cell r="F4223" t="str">
            <v>Alternative</v>
          </cell>
          <cell r="G4223" t="str">
            <v>Other</v>
          </cell>
          <cell r="H4223" t="str">
            <v>ALTS</v>
          </cell>
          <cell r="I4223" t="str">
            <v>Mortgage - Moneyness</v>
          </cell>
        </row>
        <row r="4224">
          <cell r="A4224" t="str">
            <v>USD_PO_ITM5_V610_E</v>
          </cell>
          <cell r="B4224" t="str">
            <v>PO ITM50 V610</v>
          </cell>
          <cell r="C4224" t="str">
            <v>BRS_GOLD__5_SPREADS:BRS_GOLD__3_OTHER_SPREADS:BRS_GOLD__1_MTG,TBA_ALL,PAYUP,NONAGENCY,MORT_IDIO,CRT,CRT_SP_RISK:BRS_GOLD__1_MTG-BASIS:USD_PO_ITM5_V610_E</v>
          </cell>
          <cell r="D4224" t="str">
            <v>Spread Duration</v>
          </cell>
          <cell r="E4224" t="str">
            <v>Spread Yield</v>
          </cell>
          <cell r="F4224" t="str">
            <v>Alternative</v>
          </cell>
          <cell r="G4224" t="str">
            <v>Other</v>
          </cell>
          <cell r="H4224" t="str">
            <v>ALTS</v>
          </cell>
          <cell r="I4224" t="str">
            <v>Mortgage - Moneyness</v>
          </cell>
        </row>
        <row r="4225">
          <cell r="A4225" t="str">
            <v>USD_PO_ITM10_V610_E</v>
          </cell>
          <cell r="B4225" t="str">
            <v>PO ITM100 V610</v>
          </cell>
          <cell r="C4225" t="str">
            <v>BRS_GOLD__5_SPREADS:BRS_GOLD__3_OTHER_SPREADS:BRS_GOLD__1_MTG,TBA_ALL,PAYUP,NONAGENCY,MORT_IDIO,CRT,CRT_SP_RISK:BRS_GOLD__1_MTG-BASIS:USD_PO_ITM10_V610_E</v>
          </cell>
          <cell r="D4225" t="str">
            <v>Spread Duration</v>
          </cell>
          <cell r="E4225" t="str">
            <v>Spread Yield</v>
          </cell>
          <cell r="F4225" t="str">
            <v>Alternative</v>
          </cell>
          <cell r="G4225" t="str">
            <v>Other</v>
          </cell>
          <cell r="H4225" t="str">
            <v>ALTS</v>
          </cell>
          <cell r="I4225" t="str">
            <v>Mortgage - Moneyness</v>
          </cell>
        </row>
        <row r="4226">
          <cell r="A4226" t="str">
            <v>USD_PO_ITM15_V610_E</v>
          </cell>
          <cell r="B4226" t="str">
            <v>PO ITM150 V610</v>
          </cell>
          <cell r="C4226" t="str">
            <v>BRS_GOLD__5_SPREADS:BRS_GOLD__3_OTHER_SPREADS:BRS_GOLD__1_MTG,TBA_ALL,PAYUP,NONAGENCY,MORT_IDIO,CRT,CRT_SP_RISK:BRS_GOLD__1_MTG-BASIS:USD_PO_ITM15_V610_E</v>
          </cell>
          <cell r="D4226" t="str">
            <v>Spread Duration</v>
          </cell>
          <cell r="E4226" t="str">
            <v>Spread Yield</v>
          </cell>
          <cell r="F4226" t="str">
            <v>Alternative</v>
          </cell>
          <cell r="G4226" t="str">
            <v>Other</v>
          </cell>
          <cell r="H4226" t="str">
            <v>ALTS</v>
          </cell>
          <cell r="I4226" t="str">
            <v>Mortgage - Moneyness</v>
          </cell>
        </row>
        <row r="4227">
          <cell r="A4227" t="str">
            <v>USD_PO_ITM20_V610_E</v>
          </cell>
          <cell r="B4227" t="str">
            <v>PO ITM200 V610</v>
          </cell>
          <cell r="C4227" t="str">
            <v>BRS_GOLD__5_SPREADS:BRS_GOLD__3_OTHER_SPREADS:BRS_GOLD__1_MTG,TBA_ALL,PAYUP,NONAGENCY,MORT_IDIO,CRT,CRT_SP_RISK:BRS_GOLD__1_MTG-BASIS:USD_PO_ITM20_V610_E</v>
          </cell>
          <cell r="D4227" t="str">
            <v>Spread Duration</v>
          </cell>
          <cell r="E4227" t="str">
            <v>Spread Yield</v>
          </cell>
          <cell r="F4227" t="str">
            <v>Alternative</v>
          </cell>
          <cell r="G4227" t="str">
            <v>Other</v>
          </cell>
          <cell r="H4227" t="str">
            <v>ALTS</v>
          </cell>
          <cell r="I4227" t="str">
            <v>Mortgage - Moneyness</v>
          </cell>
        </row>
        <row r="4228">
          <cell r="A4228" t="str">
            <v>USD_PO_ITM25_V610_E</v>
          </cell>
          <cell r="B4228" t="str">
            <v>PO ITM250 V610</v>
          </cell>
          <cell r="C4228" t="str">
            <v>BRS_GOLD__5_SPREADS:BRS_GOLD__3_OTHER_SPREADS:BRS_GOLD__1_MTG,TBA_ALL,PAYUP,NONAGENCY,MORT_IDIO,CRT,CRT_SP_RISK:BRS_GOLD__1_MTG-BASIS:USD_PO_ITM25_V610_E</v>
          </cell>
          <cell r="D4228" t="str">
            <v>Spread Duration</v>
          </cell>
          <cell r="E4228" t="str">
            <v>Spread Yield</v>
          </cell>
          <cell r="F4228" t="str">
            <v>Alternative</v>
          </cell>
          <cell r="G4228" t="str">
            <v>Other</v>
          </cell>
          <cell r="H4228" t="str">
            <v>ALTS</v>
          </cell>
          <cell r="I4228" t="str">
            <v>Mortgage - Moneyness</v>
          </cell>
        </row>
        <row r="4229">
          <cell r="A4229" t="str">
            <v>USD_PO_ITM30_V610_E</v>
          </cell>
          <cell r="B4229" t="str">
            <v>PO ITM300 V610</v>
          </cell>
          <cell r="C4229" t="str">
            <v>BRS_GOLD__5_SPREADS:BRS_GOLD__3_OTHER_SPREADS:BRS_GOLD__1_MTG,TBA_ALL,PAYUP,NONAGENCY,MORT_IDIO,CRT,CRT_SP_RISK:BRS_GOLD__1_MTG-BASIS:USD_PO_ITM30_V610_E</v>
          </cell>
          <cell r="D4229" t="str">
            <v>Spread Duration</v>
          </cell>
          <cell r="E4229" t="str">
            <v>Spread Yield</v>
          </cell>
          <cell r="F4229" t="str">
            <v>Alternative</v>
          </cell>
          <cell r="G4229" t="str">
            <v>Other</v>
          </cell>
          <cell r="H4229" t="str">
            <v>ALTS</v>
          </cell>
          <cell r="I4229" t="str">
            <v>Mortgage - Moneyness</v>
          </cell>
        </row>
        <row r="4230">
          <cell r="A4230" t="str">
            <v>USD_PO_ITM35_V610_E</v>
          </cell>
          <cell r="B4230" t="str">
            <v>PO ITM350 V610</v>
          </cell>
          <cell r="C4230" t="str">
            <v>BRS_GOLD__5_SPREADS:BRS_GOLD__3_OTHER_SPREADS:BRS_GOLD__1_MTG,TBA_ALL,PAYUP,NONAGENCY,MORT_IDIO,CRT,CRT_SP_RISK:BRS_GOLD__1_MTG-BASIS:USD_PO_ITM35_V610_E</v>
          </cell>
          <cell r="D4230" t="str">
            <v>Spread Duration</v>
          </cell>
          <cell r="E4230" t="str">
            <v>Spread Yield</v>
          </cell>
          <cell r="F4230" t="str">
            <v>Alternative</v>
          </cell>
          <cell r="G4230" t="str">
            <v>Other</v>
          </cell>
          <cell r="H4230" t="str">
            <v>ALTS</v>
          </cell>
          <cell r="I4230" t="str">
            <v>Mortgage - Moneyness</v>
          </cell>
        </row>
        <row r="4231">
          <cell r="A4231" t="str">
            <v>USD_MSR_ARM_V540</v>
          </cell>
          <cell r="B4231" t="str">
            <v>ARM Mtg Serv Right v540</v>
          </cell>
          <cell r="C4231" t="str">
            <v>BRS_GOLD__5_SPREADS:BRS_GOLD__3_OTHER_SPREADS:BRS_GOLD__1_MTG,TBA_ALL,PAYUP,NONAGENCY,MORT_IDIO,CRT,CRT_SP_RISK:BRS_GOLD__1_MTG-BASIS:USD_MSR_ARM_V540</v>
          </cell>
          <cell r="D4231" t="str">
            <v>Spread Duration</v>
          </cell>
          <cell r="E4231" t="str">
            <v>Spread Yield</v>
          </cell>
          <cell r="F4231" t="str">
            <v>Alternative</v>
          </cell>
          <cell r="G4231" t="str">
            <v>Other</v>
          </cell>
          <cell r="H4231" t="str">
            <v>ALTS</v>
          </cell>
          <cell r="I4231" t="str">
            <v>Mortgage - Moneyness</v>
          </cell>
        </row>
        <row r="4232">
          <cell r="A4232" t="str">
            <v>USD_MSR_ARM_V545</v>
          </cell>
          <cell r="B4232" t="str">
            <v>ARM Mtg Serv Right v545</v>
          </cell>
          <cell r="C4232" t="str">
            <v>BRS_GOLD__5_SPREADS:BRS_GOLD__3_OTHER_SPREADS:BRS_GOLD__1_MTG,TBA_ALL,PAYUP,NONAGENCY,MORT_IDIO,CRT,CRT_SP_RISK:BRS_GOLD__1_MTG-BASIS:USD_MSR_ARM_V545</v>
          </cell>
          <cell r="D4232" t="str">
            <v>Spread Duration</v>
          </cell>
          <cell r="E4232" t="str">
            <v>Spread Yield</v>
          </cell>
          <cell r="F4232" t="str">
            <v>Alternative</v>
          </cell>
          <cell r="G4232" t="str">
            <v>Other</v>
          </cell>
          <cell r="H4232" t="str">
            <v>ALTS</v>
          </cell>
          <cell r="I4232" t="str">
            <v>Mortgage - Moneyness</v>
          </cell>
        </row>
        <row r="4233">
          <cell r="A4233" t="str">
            <v>USD_MSR_ARM_V546</v>
          </cell>
          <cell r="B4233" t="str">
            <v>ARM Mtg Serv Right v546</v>
          </cell>
          <cell r="C4233" t="str">
            <v>BRS_GOLD__5_SPREADS:BRS_GOLD__3_OTHER_SPREADS:BRS_GOLD__1_MTG,TBA_ALL,PAYUP,NONAGENCY,MORT_IDIO,CRT,CRT_SP_RISK:BRS_GOLD__1_MTG-BASIS:USD_MSR_ARM_V546</v>
          </cell>
          <cell r="D4233" t="str">
            <v>Spread Duration</v>
          </cell>
          <cell r="E4233" t="str">
            <v>Spread Yield</v>
          </cell>
          <cell r="F4233" t="str">
            <v>Alternative</v>
          </cell>
          <cell r="G4233" t="str">
            <v>Other</v>
          </cell>
          <cell r="H4233" t="str">
            <v>ALTS</v>
          </cell>
          <cell r="I4233" t="str">
            <v>Mortgage - Moneyness</v>
          </cell>
        </row>
        <row r="4234">
          <cell r="A4234" t="str">
            <v>USD_MSR_ARM_V600</v>
          </cell>
          <cell r="B4234" t="str">
            <v>ARM Mtg Serv Right V600</v>
          </cell>
          <cell r="C4234" t="str">
            <v>BRS_GOLD__5_SPREADS:BRS_GOLD__3_OTHER_SPREADS:BRS_GOLD__1_MTG,TBA_ALL,PAYUP,NONAGENCY,MORT_IDIO,CRT,CRT_SP_RISK:BRS_GOLD__1_MTG-BASIS:USD_MSR_ARM_V600</v>
          </cell>
          <cell r="D4234" t="str">
            <v>Spread Duration</v>
          </cell>
          <cell r="E4234" t="str">
            <v>Spread Yield</v>
          </cell>
          <cell r="F4234" t="str">
            <v>Alternative</v>
          </cell>
          <cell r="G4234" t="str">
            <v>Other</v>
          </cell>
          <cell r="H4234" t="str">
            <v>ALTS</v>
          </cell>
          <cell r="I4234" t="str">
            <v>Mortgage - Moneyness</v>
          </cell>
        </row>
        <row r="4235">
          <cell r="A4235" t="str">
            <v>USD_MSR_ARM_V604</v>
          </cell>
          <cell r="B4235" t="str">
            <v>ARM Mtg Serv Right V604</v>
          </cell>
          <cell r="C4235" t="str">
            <v>BRS_GOLD__5_SPREADS:BRS_GOLD__3_OTHER_SPREADS:BRS_GOLD__1_MTG,TBA_ALL,PAYUP,NONAGENCY,MORT_IDIO,CRT,CRT_SP_RISK:BRS_GOLD__1_MTG-BASIS:USD_MSR_ARM_V604</v>
          </cell>
          <cell r="D4235" t="str">
            <v>Spread Duration</v>
          </cell>
          <cell r="E4235" t="str">
            <v>Spread Yield</v>
          </cell>
          <cell r="F4235" t="str">
            <v>Alternative</v>
          </cell>
          <cell r="G4235" t="str">
            <v>Other</v>
          </cell>
          <cell r="H4235" t="str">
            <v>ALTS</v>
          </cell>
          <cell r="I4235" t="str">
            <v>Mortgage - Moneyness</v>
          </cell>
        </row>
        <row r="4236">
          <cell r="A4236" t="str">
            <v>USD_MSR_ARM_V610</v>
          </cell>
          <cell r="B4236" t="str">
            <v>ARM Mtg Serv Right V610</v>
          </cell>
          <cell r="C4236" t="str">
            <v>BRS_GOLD__5_SPREADS:BRS_GOLD__3_OTHER_SPREADS:BRS_GOLD__1_MTG,TBA_ALL,PAYUP,NONAGENCY,MORT_IDIO,CRT,CRT_SP_RISK:BRS_GOLD__1_MTG-BASIS:USD_MSR_ARM_V610</v>
          </cell>
          <cell r="D4236" t="str">
            <v>Spread Duration</v>
          </cell>
          <cell r="E4236" t="str">
            <v>Spread Yield</v>
          </cell>
          <cell r="F4236" t="str">
            <v>Alternative</v>
          </cell>
          <cell r="G4236" t="str">
            <v>Other</v>
          </cell>
          <cell r="H4236" t="str">
            <v>ALTS</v>
          </cell>
          <cell r="I4236" t="str">
            <v>Mortgage - Moneyness</v>
          </cell>
        </row>
        <row r="4237">
          <cell r="A4237" t="str">
            <v>USD_MSR_MBS_V540</v>
          </cell>
          <cell r="B4237" t="str">
            <v>MBS Mtg Serv Right v540</v>
          </cell>
          <cell r="C4237" t="str">
            <v>BRS_GOLD__5_SPREADS:BRS_GOLD__3_OTHER_SPREADS:BRS_GOLD__1_MTG,TBA_ALL,PAYUP,NONAGENCY,MORT_IDIO,CRT,CRT_SP_RISK:BRS_GOLD__1_MTG-BASIS:USD_MSR_MBS_V540</v>
          </cell>
          <cell r="D4237" t="str">
            <v>Spread Duration</v>
          </cell>
          <cell r="E4237" t="str">
            <v>Spread Yield</v>
          </cell>
          <cell r="F4237" t="str">
            <v>Alternative</v>
          </cell>
          <cell r="G4237" t="str">
            <v>Other</v>
          </cell>
          <cell r="H4237" t="str">
            <v>ALTS</v>
          </cell>
          <cell r="I4237" t="str">
            <v>Mortgage - Moneyness</v>
          </cell>
        </row>
        <row r="4238">
          <cell r="A4238" t="str">
            <v>USD_MSR_MBS_V545</v>
          </cell>
          <cell r="B4238" t="str">
            <v>MBS Mtg Serv Right v545</v>
          </cell>
          <cell r="C4238" t="str">
            <v>BRS_GOLD__5_SPREADS:BRS_GOLD__3_OTHER_SPREADS:BRS_GOLD__1_MTG,TBA_ALL,PAYUP,NONAGENCY,MORT_IDIO,CRT,CRT_SP_RISK:BRS_GOLD__1_MTG-BASIS:USD_MSR_MBS_V545</v>
          </cell>
          <cell r="D4238" t="str">
            <v>Spread Duration</v>
          </cell>
          <cell r="E4238" t="str">
            <v>Spread Yield</v>
          </cell>
          <cell r="F4238" t="str">
            <v>Alternative</v>
          </cell>
          <cell r="G4238" t="str">
            <v>Other</v>
          </cell>
          <cell r="H4238" t="str">
            <v>ALTS</v>
          </cell>
          <cell r="I4238" t="str">
            <v>Mortgage - Moneyness</v>
          </cell>
        </row>
        <row r="4239">
          <cell r="A4239" t="str">
            <v>USD_MSR_MBS_V546</v>
          </cell>
          <cell r="B4239" t="str">
            <v>MBS Mtg Serv Right v546</v>
          </cell>
          <cell r="C4239" t="str">
            <v>BRS_GOLD__5_SPREADS:BRS_GOLD__3_OTHER_SPREADS:BRS_GOLD__1_MTG,TBA_ALL,PAYUP,NONAGENCY,MORT_IDIO,CRT,CRT_SP_RISK:BRS_GOLD__1_MTG-BASIS:USD_MSR_MBS_V546</v>
          </cell>
          <cell r="D4239" t="str">
            <v>Spread Duration</v>
          </cell>
          <cell r="E4239" t="str">
            <v>Spread Yield</v>
          </cell>
          <cell r="F4239" t="str">
            <v>Alternative</v>
          </cell>
          <cell r="G4239" t="str">
            <v>Other</v>
          </cell>
          <cell r="H4239" t="str">
            <v>ALTS</v>
          </cell>
          <cell r="I4239" t="str">
            <v>Mortgage - Moneyness</v>
          </cell>
        </row>
        <row r="4240">
          <cell r="A4240" t="str">
            <v>USD_MSR_MBS_V600</v>
          </cell>
          <cell r="B4240" t="str">
            <v>MBS Mtg Serv Right V600</v>
          </cell>
          <cell r="C4240" t="str">
            <v>BRS_GOLD__5_SPREADS:BRS_GOLD__3_OTHER_SPREADS:BRS_GOLD__1_MTG,TBA_ALL,PAYUP,NONAGENCY,MORT_IDIO,CRT,CRT_SP_RISK:BRS_GOLD__1_MTG-BASIS:USD_MSR_MBS_V600</v>
          </cell>
          <cell r="D4240" t="str">
            <v>Spread Duration</v>
          </cell>
          <cell r="E4240" t="str">
            <v>Spread Yield</v>
          </cell>
          <cell r="F4240" t="str">
            <v>Alternative</v>
          </cell>
          <cell r="G4240" t="str">
            <v>Other</v>
          </cell>
          <cell r="H4240" t="str">
            <v>ALTS</v>
          </cell>
          <cell r="I4240" t="str">
            <v>Mortgage - Moneyness</v>
          </cell>
        </row>
        <row r="4241">
          <cell r="A4241" t="str">
            <v>USD_MSR_MBS_V604</v>
          </cell>
          <cell r="B4241" t="str">
            <v>MBS Mtg Serv Right V604</v>
          </cell>
          <cell r="C4241" t="str">
            <v>BRS_GOLD__5_SPREADS:BRS_GOLD__3_OTHER_SPREADS:BRS_GOLD__1_MTG,TBA_ALL,PAYUP,NONAGENCY,MORT_IDIO,CRT,CRT_SP_RISK:BRS_GOLD__1_MTG-BASIS:USD_MSR_MBS_V604</v>
          </cell>
          <cell r="D4241" t="str">
            <v>Spread Duration</v>
          </cell>
          <cell r="E4241" t="str">
            <v>Spread Yield</v>
          </cell>
          <cell r="F4241" t="str">
            <v>Alternative</v>
          </cell>
          <cell r="G4241" t="str">
            <v>Other</v>
          </cell>
          <cell r="H4241" t="str">
            <v>ALTS</v>
          </cell>
          <cell r="I4241" t="str">
            <v>Mortgage - Moneyness</v>
          </cell>
        </row>
        <row r="4242">
          <cell r="A4242" t="str">
            <v>USD_MSR_MBS_V610</v>
          </cell>
          <cell r="B4242" t="str">
            <v>MBS Mtg Serv Right V610</v>
          </cell>
          <cell r="C4242" t="str">
            <v>BRS_GOLD__5_SPREADS:BRS_GOLD__3_OTHER_SPREADS:BRS_GOLD__1_MTG,TBA_ALL,PAYUP,NONAGENCY,MORT_IDIO,CRT,CRT_SP_RISK:BRS_GOLD__1_MTG-BASIS:USD_MSR_MBS_V610</v>
          </cell>
          <cell r="D4242" t="str">
            <v>Spread Duration</v>
          </cell>
          <cell r="E4242" t="str">
            <v>Spread Yield</v>
          </cell>
          <cell r="F4242" t="str">
            <v>Alternative</v>
          </cell>
          <cell r="G4242" t="str">
            <v>Other</v>
          </cell>
          <cell r="H4242" t="str">
            <v>ALTS</v>
          </cell>
          <cell r="I4242" t="str">
            <v>Mortgage - Moneyness</v>
          </cell>
        </row>
        <row r="4243">
          <cell r="A4243" t="str">
            <v>USD_CMO_V620</v>
          </cell>
          <cell r="B4243" t="str">
            <v>CMO V620</v>
          </cell>
          <cell r="C4243" t="str">
            <v>BRS_GOLD__5_SPREADS:BRS_GOLD__3_OTHER_SPREADS:BRS_GOLD__1_MTG,TBA_ALL,PAYUP,NONAGENCY,MORT_IDIO,CRT,CRT_SP_RISK:BRS_GOLD__1_MTG-BASIS:USD_CMO_V620</v>
          </cell>
          <cell r="D4243" t="str">
            <v>Spread Duration</v>
          </cell>
          <cell r="E4243" t="str">
            <v>Spread Yield</v>
          </cell>
          <cell r="F4243" t="str">
            <v>Alternative</v>
          </cell>
          <cell r="G4243" t="str">
            <v>Other</v>
          </cell>
          <cell r="H4243" t="str">
            <v>ALTS</v>
          </cell>
          <cell r="I4243" t="str">
            <v>Mortgage - Moneyness</v>
          </cell>
        </row>
        <row r="4244">
          <cell r="A4244" t="str">
            <v>ALL_CMO_V620</v>
          </cell>
          <cell r="B4244" t="str">
            <v>Non$ CMO V620</v>
          </cell>
          <cell r="C4244" t="str">
            <v>BRS_GOLD__5_SPREADS:BRS_GOLD__3_OTHER_SPREADS:BRS_GOLD__1_MTG,TBA_ALL,PAYUP,NONAGENCY,MORT_IDIO,CRT,CRT_SP_RISK:BRS_GOLD__1_MTG-BASIS:ALL_CMO_V620</v>
          </cell>
          <cell r="D4244" t="str">
            <v>Spread Duration</v>
          </cell>
          <cell r="E4244" t="str">
            <v>Spread Yield</v>
          </cell>
          <cell r="F4244" t="str">
            <v>Alternative</v>
          </cell>
          <cell r="G4244" t="str">
            <v>Other</v>
          </cell>
          <cell r="H4244" t="str">
            <v>ALTS</v>
          </cell>
          <cell r="I4244" t="str">
            <v>Mortgage - Moneyness</v>
          </cell>
        </row>
        <row r="4245">
          <cell r="A4245" t="str">
            <v>USD_CMO_V620_E</v>
          </cell>
          <cell r="B4245" t="str">
            <v>CMO V620</v>
          </cell>
          <cell r="C4245" t="str">
            <v>BRS_GOLD__5_SPREADS:BRS_GOLD__3_OTHER_SPREADS:BRS_GOLD__1_MTG,TBA_ALL,PAYUP,NONAGENCY,MORT_IDIO,CRT,CRT_SP_RISK:BRS_GOLD__1_MTG-BASIS:USD_CMO_V620_E</v>
          </cell>
          <cell r="D4245" t="str">
            <v>Spread Duration</v>
          </cell>
          <cell r="E4245" t="str">
            <v>Spread Yield</v>
          </cell>
          <cell r="F4245" t="str">
            <v>Alternative</v>
          </cell>
          <cell r="G4245" t="str">
            <v>Other</v>
          </cell>
          <cell r="H4245" t="str">
            <v>ALTS</v>
          </cell>
          <cell r="I4245" t="str">
            <v>Mortgage - Moneyness</v>
          </cell>
        </row>
        <row r="4246">
          <cell r="A4246" t="str">
            <v>ALL_CMO_V620_E</v>
          </cell>
          <cell r="B4246" t="str">
            <v>Non$ CMO V620</v>
          </cell>
          <cell r="C4246" t="str">
            <v>BRS_GOLD__5_SPREADS:BRS_GOLD__3_OTHER_SPREADS:BRS_GOLD__1_MTG,TBA_ALL,PAYUP,NONAGENCY,MORT_IDIO,CRT,CRT_SP_RISK:BRS_GOLD__1_MTG-BASIS:ALL_CMO_V620_E</v>
          </cell>
          <cell r="D4246" t="str">
            <v>Spread Duration</v>
          </cell>
          <cell r="E4246" t="str">
            <v>Spread Yield</v>
          </cell>
          <cell r="F4246" t="str">
            <v>Alternative</v>
          </cell>
          <cell r="G4246" t="str">
            <v>Other</v>
          </cell>
          <cell r="H4246" t="str">
            <v>ALTS</v>
          </cell>
          <cell r="I4246" t="str">
            <v>Mortgage - Moneyness</v>
          </cell>
        </row>
        <row r="4247">
          <cell r="A4247" t="str">
            <v>USD_IO_OTM35_V620</v>
          </cell>
          <cell r="B4247" t="str">
            <v>IO OTM350 V620</v>
          </cell>
          <cell r="C4247" t="str">
            <v>BRS_GOLD__5_SPREADS:BRS_GOLD__3_OTHER_SPREADS:BRS_GOLD__1_MTG,TBA_ALL,PAYUP,NONAGENCY,MORT_IDIO,CRT,CRT_SP_RISK:BRS_GOLD__1_MTG-BASIS:USD_IO_OTM35_V620</v>
          </cell>
          <cell r="D4247" t="str">
            <v>Spread Duration</v>
          </cell>
          <cell r="E4247" t="str">
            <v>Spread Yield</v>
          </cell>
          <cell r="F4247" t="str">
            <v>Alternative</v>
          </cell>
          <cell r="G4247" t="str">
            <v>Other</v>
          </cell>
          <cell r="H4247" t="str">
            <v>ALTS</v>
          </cell>
          <cell r="I4247" t="str">
            <v>Mortgage - Moneyness</v>
          </cell>
        </row>
        <row r="4248">
          <cell r="A4248" t="str">
            <v>USD_IO_OTM30_V620</v>
          </cell>
          <cell r="B4248" t="str">
            <v>IO OTM300 V620</v>
          </cell>
          <cell r="C4248" t="str">
            <v>BRS_GOLD__5_SPREADS:BRS_GOLD__3_OTHER_SPREADS:BRS_GOLD__1_MTG,TBA_ALL,PAYUP,NONAGENCY,MORT_IDIO,CRT,CRT_SP_RISK:BRS_GOLD__1_MTG-BASIS:USD_IO_OTM30_V620</v>
          </cell>
          <cell r="D4248" t="str">
            <v>Spread Duration</v>
          </cell>
          <cell r="E4248" t="str">
            <v>Spread Yield</v>
          </cell>
          <cell r="F4248" t="str">
            <v>Alternative</v>
          </cell>
          <cell r="G4248" t="str">
            <v>Other</v>
          </cell>
          <cell r="H4248" t="str">
            <v>ALTS</v>
          </cell>
          <cell r="I4248" t="str">
            <v>Mortgage - Moneyness</v>
          </cell>
        </row>
        <row r="4249">
          <cell r="A4249" t="str">
            <v>USD_IO_OTM25_V620</v>
          </cell>
          <cell r="B4249" t="str">
            <v>IO OTM250 V620</v>
          </cell>
          <cell r="C4249" t="str">
            <v>BRS_GOLD__5_SPREADS:BRS_GOLD__3_OTHER_SPREADS:BRS_GOLD__1_MTG,TBA_ALL,PAYUP,NONAGENCY,MORT_IDIO,CRT,CRT_SP_RISK:BRS_GOLD__1_MTG-BASIS:USD_IO_OTM25_V620</v>
          </cell>
          <cell r="D4249" t="str">
            <v>Spread Duration</v>
          </cell>
          <cell r="E4249" t="str">
            <v>Spread Yield</v>
          </cell>
          <cell r="F4249" t="str">
            <v>Alternative</v>
          </cell>
          <cell r="G4249" t="str">
            <v>Other</v>
          </cell>
          <cell r="H4249" t="str">
            <v>ALTS</v>
          </cell>
          <cell r="I4249" t="str">
            <v>Mortgage - Moneyness</v>
          </cell>
        </row>
        <row r="4250">
          <cell r="A4250" t="str">
            <v>USD_IO_OTM20_V620</v>
          </cell>
          <cell r="B4250" t="str">
            <v>IO OTM200 V620</v>
          </cell>
          <cell r="C4250" t="str">
            <v>BRS_GOLD__5_SPREADS:BRS_GOLD__3_OTHER_SPREADS:BRS_GOLD__1_MTG,TBA_ALL,PAYUP,NONAGENCY,MORT_IDIO,CRT,CRT_SP_RISK:BRS_GOLD__1_MTG-BASIS:USD_IO_OTM20_V620</v>
          </cell>
          <cell r="D4250" t="str">
            <v>Spread Duration</v>
          </cell>
          <cell r="E4250" t="str">
            <v>Spread Yield</v>
          </cell>
          <cell r="F4250" t="str">
            <v>Alternative</v>
          </cell>
          <cell r="G4250" t="str">
            <v>Other</v>
          </cell>
          <cell r="H4250" t="str">
            <v>ALTS</v>
          </cell>
          <cell r="I4250" t="str">
            <v>Mortgage - Moneyness</v>
          </cell>
        </row>
        <row r="4251">
          <cell r="A4251" t="str">
            <v>USD_IO_OTM15_V620</v>
          </cell>
          <cell r="B4251" t="str">
            <v>IO OTM150 V620</v>
          </cell>
          <cell r="C4251" t="str">
            <v>BRS_GOLD__5_SPREADS:BRS_GOLD__3_OTHER_SPREADS:BRS_GOLD__1_MTG,TBA_ALL,PAYUP,NONAGENCY,MORT_IDIO,CRT,CRT_SP_RISK:BRS_GOLD__1_MTG-BASIS:USD_IO_OTM15_V620</v>
          </cell>
          <cell r="D4251" t="str">
            <v>Spread Duration</v>
          </cell>
          <cell r="E4251" t="str">
            <v>Spread Yield</v>
          </cell>
          <cell r="F4251" t="str">
            <v>Alternative</v>
          </cell>
          <cell r="G4251" t="str">
            <v>Other</v>
          </cell>
          <cell r="H4251" t="str">
            <v>ALTS</v>
          </cell>
          <cell r="I4251" t="str">
            <v>Mortgage - Moneyness</v>
          </cell>
        </row>
        <row r="4252">
          <cell r="A4252" t="str">
            <v>USD_IO_OTM10_V620</v>
          </cell>
          <cell r="B4252" t="str">
            <v>IO OTM100 V620</v>
          </cell>
          <cell r="C4252" t="str">
            <v>BRS_GOLD__5_SPREADS:BRS_GOLD__3_OTHER_SPREADS:BRS_GOLD__1_MTG,TBA_ALL,PAYUP,NONAGENCY,MORT_IDIO,CRT,CRT_SP_RISK:BRS_GOLD__1_MTG-BASIS:USD_IO_OTM10_V620</v>
          </cell>
          <cell r="D4252" t="str">
            <v>Spread Duration</v>
          </cell>
          <cell r="E4252" t="str">
            <v>Spread Yield</v>
          </cell>
          <cell r="F4252" t="str">
            <v>Alternative</v>
          </cell>
          <cell r="G4252" t="str">
            <v>Other</v>
          </cell>
          <cell r="H4252" t="str">
            <v>ALTS</v>
          </cell>
          <cell r="I4252" t="str">
            <v>Mortgage - Moneyness</v>
          </cell>
        </row>
        <row r="4253">
          <cell r="A4253" t="str">
            <v>USD_IO_OTM5_V620</v>
          </cell>
          <cell r="B4253" t="str">
            <v>IO OTM50 V620</v>
          </cell>
          <cell r="C4253" t="str">
            <v>BRS_GOLD__5_SPREADS:BRS_GOLD__3_OTHER_SPREADS:BRS_GOLD__1_MTG,TBA_ALL,PAYUP,NONAGENCY,MORT_IDIO,CRT,CRT_SP_RISK:BRS_GOLD__1_MTG-BASIS:USD_IO_OTM5_V620</v>
          </cell>
          <cell r="D4253" t="str">
            <v>Spread Duration</v>
          </cell>
          <cell r="E4253" t="str">
            <v>Spread Yield</v>
          </cell>
          <cell r="F4253" t="str">
            <v>Alternative</v>
          </cell>
          <cell r="G4253" t="str">
            <v>Other</v>
          </cell>
          <cell r="H4253" t="str">
            <v>ALTS</v>
          </cell>
          <cell r="I4253" t="str">
            <v>Mortgage - Moneyness</v>
          </cell>
        </row>
        <row r="4254">
          <cell r="A4254" t="str">
            <v>USD_IO_ATM_V620</v>
          </cell>
          <cell r="B4254" t="str">
            <v>IO ATM V620</v>
          </cell>
          <cell r="C4254" t="str">
            <v>BRS_GOLD__5_SPREADS:BRS_GOLD__3_OTHER_SPREADS:BRS_GOLD__1_MTG,TBA_ALL,PAYUP,NONAGENCY,MORT_IDIO,CRT,CRT_SP_RISK:BRS_GOLD__1_MTG-BASIS:USD_IO_ATM_V620</v>
          </cell>
          <cell r="D4254" t="str">
            <v>Spread Duration</v>
          </cell>
          <cell r="E4254" t="str">
            <v>Spread Yield</v>
          </cell>
          <cell r="F4254" t="str">
            <v>Alternative</v>
          </cell>
          <cell r="G4254" t="str">
            <v>Other</v>
          </cell>
          <cell r="H4254" t="str">
            <v>ALTS</v>
          </cell>
          <cell r="I4254" t="str">
            <v>Mortgage - Moneyness</v>
          </cell>
        </row>
        <row r="4255">
          <cell r="A4255" t="str">
            <v>USD_IO_ITM5_V620</v>
          </cell>
          <cell r="B4255" t="str">
            <v>IO ITM50 V620</v>
          </cell>
          <cell r="C4255" t="str">
            <v>BRS_GOLD__5_SPREADS:BRS_GOLD__3_OTHER_SPREADS:BRS_GOLD__1_MTG,TBA_ALL,PAYUP,NONAGENCY,MORT_IDIO,CRT,CRT_SP_RISK:BRS_GOLD__1_MTG-BASIS:USD_IO_ITM5_V620</v>
          </cell>
          <cell r="D4255" t="str">
            <v>Spread Duration</v>
          </cell>
          <cell r="E4255" t="str">
            <v>Spread Yield</v>
          </cell>
          <cell r="F4255" t="str">
            <v>Alternative</v>
          </cell>
          <cell r="G4255" t="str">
            <v>Other</v>
          </cell>
          <cell r="H4255" t="str">
            <v>ALTS</v>
          </cell>
          <cell r="I4255" t="str">
            <v>Mortgage - Moneyness</v>
          </cell>
        </row>
        <row r="4256">
          <cell r="A4256" t="str">
            <v>USD_IO_ITM10_V620</v>
          </cell>
          <cell r="B4256" t="str">
            <v>IO ITM100 V620</v>
          </cell>
          <cell r="C4256" t="str">
            <v>BRS_GOLD__5_SPREADS:BRS_GOLD__3_OTHER_SPREADS:BRS_GOLD__1_MTG,TBA_ALL,PAYUP,NONAGENCY,MORT_IDIO,CRT,CRT_SP_RISK:BRS_GOLD__1_MTG-BASIS:USD_IO_ITM10_V620</v>
          </cell>
          <cell r="D4256" t="str">
            <v>Spread Duration</v>
          </cell>
          <cell r="E4256" t="str">
            <v>Spread Yield</v>
          </cell>
          <cell r="F4256" t="str">
            <v>Alternative</v>
          </cell>
          <cell r="G4256" t="str">
            <v>Other</v>
          </cell>
          <cell r="H4256" t="str">
            <v>ALTS</v>
          </cell>
          <cell r="I4256" t="str">
            <v>Mortgage - Moneyness</v>
          </cell>
        </row>
        <row r="4257">
          <cell r="A4257" t="str">
            <v>USD_IO_ITM15_V620</v>
          </cell>
          <cell r="B4257" t="str">
            <v>IO ITM150 V620</v>
          </cell>
          <cell r="C4257" t="str">
            <v>BRS_GOLD__5_SPREADS:BRS_GOLD__3_OTHER_SPREADS:BRS_GOLD__1_MTG,TBA_ALL,PAYUP,NONAGENCY,MORT_IDIO,CRT,CRT_SP_RISK:BRS_GOLD__1_MTG-BASIS:USD_IO_ITM15_V620</v>
          </cell>
          <cell r="D4257" t="str">
            <v>Spread Duration</v>
          </cell>
          <cell r="E4257" t="str">
            <v>Spread Yield</v>
          </cell>
          <cell r="F4257" t="str">
            <v>Alternative</v>
          </cell>
          <cell r="G4257" t="str">
            <v>Other</v>
          </cell>
          <cell r="H4257" t="str">
            <v>ALTS</v>
          </cell>
          <cell r="I4257" t="str">
            <v>Mortgage - Moneyness</v>
          </cell>
        </row>
        <row r="4258">
          <cell r="A4258" t="str">
            <v>USD_IO_ITM20_V620</v>
          </cell>
          <cell r="B4258" t="str">
            <v>IO ITM200 V620</v>
          </cell>
          <cell r="C4258" t="str">
            <v>BRS_GOLD__5_SPREADS:BRS_GOLD__3_OTHER_SPREADS:BRS_GOLD__1_MTG,TBA_ALL,PAYUP,NONAGENCY,MORT_IDIO,CRT,CRT_SP_RISK:BRS_GOLD__1_MTG-BASIS:USD_IO_ITM20_V620</v>
          </cell>
          <cell r="D4258" t="str">
            <v>Spread Duration</v>
          </cell>
          <cell r="E4258" t="str">
            <v>Spread Yield</v>
          </cell>
          <cell r="F4258" t="str">
            <v>Alternative</v>
          </cell>
          <cell r="G4258" t="str">
            <v>Other</v>
          </cell>
          <cell r="H4258" t="str">
            <v>ALTS</v>
          </cell>
          <cell r="I4258" t="str">
            <v>Mortgage - Moneyness</v>
          </cell>
        </row>
        <row r="4259">
          <cell r="A4259" t="str">
            <v>USD_IO_ITM25_V620</v>
          </cell>
          <cell r="B4259" t="str">
            <v>IO ITM250 V620</v>
          </cell>
          <cell r="C4259" t="str">
            <v>BRS_GOLD__5_SPREADS:BRS_GOLD__3_OTHER_SPREADS:BRS_GOLD__1_MTG,TBA_ALL,PAYUP,NONAGENCY,MORT_IDIO,CRT,CRT_SP_RISK:BRS_GOLD__1_MTG-BASIS:USD_IO_ITM25_V620</v>
          </cell>
          <cell r="D4259" t="str">
            <v>Spread Duration</v>
          </cell>
          <cell r="E4259" t="str">
            <v>Spread Yield</v>
          </cell>
          <cell r="F4259" t="str">
            <v>Alternative</v>
          </cell>
          <cell r="G4259" t="str">
            <v>Other</v>
          </cell>
          <cell r="H4259" t="str">
            <v>ALTS</v>
          </cell>
          <cell r="I4259" t="str">
            <v>Mortgage - Moneyness</v>
          </cell>
        </row>
        <row r="4260">
          <cell r="A4260" t="str">
            <v>USD_IO_ITM30_V620</v>
          </cell>
          <cell r="B4260" t="str">
            <v>IO ITM300 V620</v>
          </cell>
          <cell r="C4260" t="str">
            <v>BRS_GOLD__5_SPREADS:BRS_GOLD__3_OTHER_SPREADS:BRS_GOLD__1_MTG,TBA_ALL,PAYUP,NONAGENCY,MORT_IDIO,CRT,CRT_SP_RISK:BRS_GOLD__1_MTG-BASIS:USD_IO_ITM30_V620</v>
          </cell>
          <cell r="D4260" t="str">
            <v>Spread Duration</v>
          </cell>
          <cell r="E4260" t="str">
            <v>Spread Yield</v>
          </cell>
          <cell r="F4260" t="str">
            <v>Alternative</v>
          </cell>
          <cell r="G4260" t="str">
            <v>Other</v>
          </cell>
          <cell r="H4260" t="str">
            <v>ALTS</v>
          </cell>
          <cell r="I4260" t="str">
            <v>Mortgage - Moneyness</v>
          </cell>
        </row>
        <row r="4261">
          <cell r="A4261" t="str">
            <v>USD_IO_ITM35_V620</v>
          </cell>
          <cell r="B4261" t="str">
            <v>IO ITM350 V620</v>
          </cell>
          <cell r="C4261" t="str">
            <v>BRS_GOLD__5_SPREADS:BRS_GOLD__3_OTHER_SPREADS:BRS_GOLD__1_MTG,TBA_ALL,PAYUP,NONAGENCY,MORT_IDIO,CRT,CRT_SP_RISK:BRS_GOLD__1_MTG-BASIS:USD_IO_ITM35_V620</v>
          </cell>
          <cell r="D4261" t="str">
            <v>Spread Duration</v>
          </cell>
          <cell r="E4261" t="str">
            <v>Spread Yield</v>
          </cell>
          <cell r="F4261" t="str">
            <v>Alternative</v>
          </cell>
          <cell r="G4261" t="str">
            <v>Other</v>
          </cell>
          <cell r="H4261" t="str">
            <v>ALTS</v>
          </cell>
          <cell r="I4261" t="str">
            <v>Mortgage - Moneyness</v>
          </cell>
        </row>
        <row r="4262">
          <cell r="A4262" t="str">
            <v>USD_PO_OTM35_V620</v>
          </cell>
          <cell r="B4262" t="str">
            <v>PO OTM350 V620</v>
          </cell>
          <cell r="C4262" t="str">
            <v>BRS_GOLD__5_SPREADS:BRS_GOLD__3_OTHER_SPREADS:BRS_GOLD__1_MTG,TBA_ALL,PAYUP,NONAGENCY,MORT_IDIO,CRT,CRT_SP_RISK:BRS_GOLD__1_MTG-BASIS:USD_PO_OTM35_V620</v>
          </cell>
          <cell r="D4262" t="str">
            <v>Spread Duration</v>
          </cell>
          <cell r="E4262" t="str">
            <v>Spread Yield</v>
          </cell>
          <cell r="F4262" t="str">
            <v>Alternative</v>
          </cell>
          <cell r="G4262" t="str">
            <v>Other</v>
          </cell>
          <cell r="H4262" t="str">
            <v>ALTS</v>
          </cell>
          <cell r="I4262" t="str">
            <v>Mortgage - Moneyness</v>
          </cell>
        </row>
        <row r="4263">
          <cell r="A4263" t="str">
            <v>USD_PO_OTM30_V620</v>
          </cell>
          <cell r="B4263" t="str">
            <v>PO OTM300 V620</v>
          </cell>
          <cell r="C4263" t="str">
            <v>BRS_GOLD__5_SPREADS:BRS_GOLD__3_OTHER_SPREADS:BRS_GOLD__1_MTG,TBA_ALL,PAYUP,NONAGENCY,MORT_IDIO,CRT,CRT_SP_RISK:BRS_GOLD__1_MTG-BASIS:USD_PO_OTM30_V620</v>
          </cell>
          <cell r="D4263" t="str">
            <v>Spread Duration</v>
          </cell>
          <cell r="E4263" t="str">
            <v>Spread Yield</v>
          </cell>
          <cell r="F4263" t="str">
            <v>Alternative</v>
          </cell>
          <cell r="G4263" t="str">
            <v>Other</v>
          </cell>
          <cell r="H4263" t="str">
            <v>ALTS</v>
          </cell>
          <cell r="I4263" t="str">
            <v>Mortgage - Moneyness</v>
          </cell>
        </row>
        <row r="4264">
          <cell r="A4264" t="str">
            <v>USD_PO_OTM25_V620</v>
          </cell>
          <cell r="B4264" t="str">
            <v>PO OTM250 V620</v>
          </cell>
          <cell r="C4264" t="str">
            <v>BRS_GOLD__5_SPREADS:BRS_GOLD__3_OTHER_SPREADS:BRS_GOLD__1_MTG,TBA_ALL,PAYUP,NONAGENCY,MORT_IDIO,CRT,CRT_SP_RISK:BRS_GOLD__1_MTG-BASIS:USD_PO_OTM25_V620</v>
          </cell>
          <cell r="D4264" t="str">
            <v>Spread Duration</v>
          </cell>
          <cell r="E4264" t="str">
            <v>Spread Yield</v>
          </cell>
          <cell r="F4264" t="str">
            <v>Alternative</v>
          </cell>
          <cell r="G4264" t="str">
            <v>Other</v>
          </cell>
          <cell r="H4264" t="str">
            <v>ALTS</v>
          </cell>
          <cell r="I4264" t="str">
            <v>Mortgage - Moneyness</v>
          </cell>
        </row>
        <row r="4265">
          <cell r="A4265" t="str">
            <v>USD_PO_OTM20_V620</v>
          </cell>
          <cell r="B4265" t="str">
            <v>PO OTM200 V620</v>
          </cell>
          <cell r="C4265" t="str">
            <v>BRS_GOLD__5_SPREADS:BRS_GOLD__3_OTHER_SPREADS:BRS_GOLD__1_MTG,TBA_ALL,PAYUP,NONAGENCY,MORT_IDIO,CRT,CRT_SP_RISK:BRS_GOLD__1_MTG-BASIS:USD_PO_OTM20_V620</v>
          </cell>
          <cell r="D4265" t="str">
            <v>Spread Duration</v>
          </cell>
          <cell r="E4265" t="str">
            <v>Spread Yield</v>
          </cell>
          <cell r="F4265" t="str">
            <v>Alternative</v>
          </cell>
          <cell r="G4265" t="str">
            <v>Other</v>
          </cell>
          <cell r="H4265" t="str">
            <v>ALTS</v>
          </cell>
          <cell r="I4265" t="str">
            <v>Mortgage - Moneyness</v>
          </cell>
        </row>
        <row r="4266">
          <cell r="A4266" t="str">
            <v>USD_PO_OTM15_V620</v>
          </cell>
          <cell r="B4266" t="str">
            <v>PO OTM150 V620</v>
          </cell>
          <cell r="C4266" t="str">
            <v>BRS_GOLD__5_SPREADS:BRS_GOLD__3_OTHER_SPREADS:BRS_GOLD__1_MTG,TBA_ALL,PAYUP,NONAGENCY,MORT_IDIO,CRT,CRT_SP_RISK:BRS_GOLD__1_MTG-BASIS:USD_PO_OTM15_V620</v>
          </cell>
          <cell r="D4266" t="str">
            <v>Spread Duration</v>
          </cell>
          <cell r="E4266" t="str">
            <v>Spread Yield</v>
          </cell>
          <cell r="F4266" t="str">
            <v>Alternative</v>
          </cell>
          <cell r="G4266" t="str">
            <v>Other</v>
          </cell>
          <cell r="H4266" t="str">
            <v>ALTS</v>
          </cell>
          <cell r="I4266" t="str">
            <v>Mortgage - Moneyness</v>
          </cell>
        </row>
        <row r="4267">
          <cell r="A4267" t="str">
            <v>USD_PO_OTM10_V620</v>
          </cell>
          <cell r="B4267" t="str">
            <v>PO OTM100 V620</v>
          </cell>
          <cell r="C4267" t="str">
            <v>BRS_GOLD__5_SPREADS:BRS_GOLD__3_OTHER_SPREADS:BRS_GOLD__1_MTG,TBA_ALL,PAYUP,NONAGENCY,MORT_IDIO,CRT,CRT_SP_RISK:BRS_GOLD__1_MTG-BASIS:USD_PO_OTM10_V620</v>
          </cell>
          <cell r="D4267" t="str">
            <v>Spread Duration</v>
          </cell>
          <cell r="E4267" t="str">
            <v>Spread Yield</v>
          </cell>
          <cell r="F4267" t="str">
            <v>Alternative</v>
          </cell>
          <cell r="G4267" t="str">
            <v>Other</v>
          </cell>
          <cell r="H4267" t="str">
            <v>ALTS</v>
          </cell>
          <cell r="I4267" t="str">
            <v>Mortgage - Moneyness</v>
          </cell>
        </row>
        <row r="4268">
          <cell r="A4268" t="str">
            <v>USD_PO_OTM5_V620</v>
          </cell>
          <cell r="B4268" t="str">
            <v>PO OTM50 V620</v>
          </cell>
          <cell r="C4268" t="str">
            <v>BRS_GOLD__5_SPREADS:BRS_GOLD__3_OTHER_SPREADS:BRS_GOLD__1_MTG,TBA_ALL,PAYUP,NONAGENCY,MORT_IDIO,CRT,CRT_SP_RISK:BRS_GOLD__1_MTG-BASIS:USD_PO_OTM5_V620</v>
          </cell>
          <cell r="D4268" t="str">
            <v>Spread Duration</v>
          </cell>
          <cell r="E4268" t="str">
            <v>Spread Yield</v>
          </cell>
          <cell r="F4268" t="str">
            <v>Alternative</v>
          </cell>
          <cell r="G4268" t="str">
            <v>Other</v>
          </cell>
          <cell r="H4268" t="str">
            <v>ALTS</v>
          </cell>
          <cell r="I4268" t="str">
            <v>Mortgage - Moneyness</v>
          </cell>
        </row>
        <row r="4269">
          <cell r="A4269" t="str">
            <v>USD_PO_ATM_V620</v>
          </cell>
          <cell r="B4269" t="str">
            <v>PO ATM V620</v>
          </cell>
          <cell r="C4269" t="str">
            <v>BRS_GOLD__5_SPREADS:BRS_GOLD__3_OTHER_SPREADS:BRS_GOLD__1_MTG,TBA_ALL,PAYUP,NONAGENCY,MORT_IDIO,CRT,CRT_SP_RISK:BRS_GOLD__1_MTG-BASIS:USD_PO_ATM_V620</v>
          </cell>
          <cell r="D4269" t="str">
            <v>Spread Duration</v>
          </cell>
          <cell r="E4269" t="str">
            <v>Spread Yield</v>
          </cell>
          <cell r="F4269" t="str">
            <v>Alternative</v>
          </cell>
          <cell r="G4269" t="str">
            <v>Other</v>
          </cell>
          <cell r="H4269" t="str">
            <v>ALTS</v>
          </cell>
          <cell r="I4269" t="str">
            <v>Mortgage - Moneyness</v>
          </cell>
        </row>
        <row r="4270">
          <cell r="A4270" t="str">
            <v>USD_PO_ITM5_V620</v>
          </cell>
          <cell r="B4270" t="str">
            <v>PO ITM50 V620</v>
          </cell>
          <cell r="C4270" t="str">
            <v>BRS_GOLD__5_SPREADS:BRS_GOLD__3_OTHER_SPREADS:BRS_GOLD__1_MTG,TBA_ALL,PAYUP,NONAGENCY,MORT_IDIO,CRT,CRT_SP_RISK:BRS_GOLD__1_MTG-BASIS:USD_PO_ITM5_V620</v>
          </cell>
          <cell r="D4270" t="str">
            <v>Spread Duration</v>
          </cell>
          <cell r="E4270" t="str">
            <v>Spread Yield</v>
          </cell>
          <cell r="F4270" t="str">
            <v>Alternative</v>
          </cell>
          <cell r="G4270" t="str">
            <v>Other</v>
          </cell>
          <cell r="H4270" t="str">
            <v>ALTS</v>
          </cell>
          <cell r="I4270" t="str">
            <v>Mortgage - Moneyness</v>
          </cell>
        </row>
        <row r="4271">
          <cell r="A4271" t="str">
            <v>USD_PO_ITM10_V620</v>
          </cell>
          <cell r="B4271" t="str">
            <v>PO ITM100 V620</v>
          </cell>
          <cell r="C4271" t="str">
            <v>BRS_GOLD__5_SPREADS:BRS_GOLD__3_OTHER_SPREADS:BRS_GOLD__1_MTG,TBA_ALL,PAYUP,NONAGENCY,MORT_IDIO,CRT,CRT_SP_RISK:BRS_GOLD__1_MTG-BASIS:USD_PO_ITM10_V620</v>
          </cell>
          <cell r="D4271" t="str">
            <v>Spread Duration</v>
          </cell>
          <cell r="E4271" t="str">
            <v>Spread Yield</v>
          </cell>
          <cell r="F4271" t="str">
            <v>Alternative</v>
          </cell>
          <cell r="G4271" t="str">
            <v>Other</v>
          </cell>
          <cell r="H4271" t="str">
            <v>ALTS</v>
          </cell>
          <cell r="I4271" t="str">
            <v>Mortgage - Moneyness</v>
          </cell>
        </row>
        <row r="4272">
          <cell r="A4272" t="str">
            <v>USD_PO_ITM15_V620</v>
          </cell>
          <cell r="B4272" t="str">
            <v>PO ITM150 V620</v>
          </cell>
          <cell r="C4272" t="str">
            <v>BRS_GOLD__5_SPREADS:BRS_GOLD__3_OTHER_SPREADS:BRS_GOLD__1_MTG,TBA_ALL,PAYUP,NONAGENCY,MORT_IDIO,CRT,CRT_SP_RISK:BRS_GOLD__1_MTG-BASIS:USD_PO_ITM15_V620</v>
          </cell>
          <cell r="D4272" t="str">
            <v>Spread Duration</v>
          </cell>
          <cell r="E4272" t="str">
            <v>Spread Yield</v>
          </cell>
          <cell r="F4272" t="str">
            <v>Alternative</v>
          </cell>
          <cell r="G4272" t="str">
            <v>Other</v>
          </cell>
          <cell r="H4272" t="str">
            <v>ALTS</v>
          </cell>
          <cell r="I4272" t="str">
            <v>Mortgage - Moneyness</v>
          </cell>
        </row>
        <row r="4273">
          <cell r="A4273" t="str">
            <v>USD_PO_ITM20_V620</v>
          </cell>
          <cell r="B4273" t="str">
            <v>PO ITM200 V620</v>
          </cell>
          <cell r="C4273" t="str">
            <v>BRS_GOLD__5_SPREADS:BRS_GOLD__3_OTHER_SPREADS:BRS_GOLD__1_MTG,TBA_ALL,PAYUP,NONAGENCY,MORT_IDIO,CRT,CRT_SP_RISK:BRS_GOLD__1_MTG-BASIS:USD_PO_ITM20_V620</v>
          </cell>
          <cell r="D4273" t="str">
            <v>Spread Duration</v>
          </cell>
          <cell r="E4273" t="str">
            <v>Spread Yield</v>
          </cell>
          <cell r="F4273" t="str">
            <v>Alternative</v>
          </cell>
          <cell r="G4273" t="str">
            <v>Other</v>
          </cell>
          <cell r="H4273" t="str">
            <v>ALTS</v>
          </cell>
          <cell r="I4273" t="str">
            <v>Mortgage - Moneyness</v>
          </cell>
        </row>
        <row r="4274">
          <cell r="A4274" t="str">
            <v>USD_PO_ITM25_V620</v>
          </cell>
          <cell r="B4274" t="str">
            <v>PO ITM250 V620</v>
          </cell>
          <cell r="C4274" t="str">
            <v>BRS_GOLD__5_SPREADS:BRS_GOLD__3_OTHER_SPREADS:BRS_GOLD__1_MTG,TBA_ALL,PAYUP,NONAGENCY,MORT_IDIO,CRT,CRT_SP_RISK:BRS_GOLD__1_MTG-BASIS:USD_PO_ITM25_V620</v>
          </cell>
          <cell r="D4274" t="str">
            <v>Spread Duration</v>
          </cell>
          <cell r="E4274" t="str">
            <v>Spread Yield</v>
          </cell>
          <cell r="F4274" t="str">
            <v>Alternative</v>
          </cell>
          <cell r="G4274" t="str">
            <v>Other</v>
          </cell>
          <cell r="H4274" t="str">
            <v>ALTS</v>
          </cell>
          <cell r="I4274" t="str">
            <v>Mortgage - Moneyness</v>
          </cell>
        </row>
        <row r="4275">
          <cell r="A4275" t="str">
            <v>USD_PO_ITM30_V620</v>
          </cell>
          <cell r="B4275" t="str">
            <v>PO ITM300 V620</v>
          </cell>
          <cell r="C4275" t="str">
            <v>BRS_GOLD__5_SPREADS:BRS_GOLD__3_OTHER_SPREADS:BRS_GOLD__1_MTG,TBA_ALL,PAYUP,NONAGENCY,MORT_IDIO,CRT,CRT_SP_RISK:BRS_GOLD__1_MTG-BASIS:USD_PO_ITM30_V620</v>
          </cell>
          <cell r="D4275" t="str">
            <v>Spread Duration</v>
          </cell>
          <cell r="E4275" t="str">
            <v>Spread Yield</v>
          </cell>
          <cell r="F4275" t="str">
            <v>Alternative</v>
          </cell>
          <cell r="G4275" t="str">
            <v>Other</v>
          </cell>
          <cell r="H4275" t="str">
            <v>ALTS</v>
          </cell>
          <cell r="I4275" t="str">
            <v>Mortgage - Moneyness</v>
          </cell>
        </row>
        <row r="4276">
          <cell r="A4276" t="str">
            <v>USD_PO_ITM35_V620</v>
          </cell>
          <cell r="B4276" t="str">
            <v>PO ITM350 V620</v>
          </cell>
          <cell r="C4276" t="str">
            <v>BRS_GOLD__5_SPREADS:BRS_GOLD__3_OTHER_SPREADS:BRS_GOLD__1_MTG,TBA_ALL,PAYUP,NONAGENCY,MORT_IDIO,CRT,CRT_SP_RISK:BRS_GOLD__1_MTG-BASIS:USD_PO_ITM35_V620</v>
          </cell>
          <cell r="D4276" t="str">
            <v>Spread Duration</v>
          </cell>
          <cell r="E4276" t="str">
            <v>Spread Yield</v>
          </cell>
          <cell r="F4276" t="str">
            <v>Alternative</v>
          </cell>
          <cell r="G4276" t="str">
            <v>Other</v>
          </cell>
          <cell r="H4276" t="str">
            <v>ALTS</v>
          </cell>
          <cell r="I4276" t="str">
            <v>Mortgage - Moneyness</v>
          </cell>
        </row>
        <row r="4277">
          <cell r="A4277" t="str">
            <v>USD_IO_OTM35_V620_E</v>
          </cell>
          <cell r="B4277" t="str">
            <v>IO OTM350 V620</v>
          </cell>
          <cell r="C4277" t="str">
            <v>BRS_GOLD__5_SPREADS:BRS_GOLD__3_OTHER_SPREADS:BRS_GOLD__1_MTG,TBA_ALL,PAYUP,NONAGENCY,MORT_IDIO,CRT,CRT_SP_RISK:BRS_GOLD__1_MTG-BASIS:USD_IO_OTM35_V620_E</v>
          </cell>
          <cell r="D4277" t="str">
            <v>Spread Duration</v>
          </cell>
          <cell r="E4277" t="str">
            <v>Spread Yield</v>
          </cell>
          <cell r="F4277" t="str">
            <v>Alternative</v>
          </cell>
          <cell r="G4277" t="str">
            <v>Other</v>
          </cell>
          <cell r="H4277" t="str">
            <v>ALTS</v>
          </cell>
          <cell r="I4277" t="str">
            <v>Mortgage - Moneyness</v>
          </cell>
        </row>
        <row r="4278">
          <cell r="A4278" t="str">
            <v>USD_IO_OTM30_V620_E</v>
          </cell>
          <cell r="B4278" t="str">
            <v>IO OTM300 V620</v>
          </cell>
          <cell r="C4278" t="str">
            <v>BRS_GOLD__5_SPREADS:BRS_GOLD__3_OTHER_SPREADS:BRS_GOLD__1_MTG,TBA_ALL,PAYUP,NONAGENCY,MORT_IDIO,CRT,CRT_SP_RISK:BRS_GOLD__1_MTG-BASIS:USD_IO_OTM30_V620_E</v>
          </cell>
          <cell r="D4278" t="str">
            <v>Spread Duration</v>
          </cell>
          <cell r="E4278" t="str">
            <v>Spread Yield</v>
          </cell>
          <cell r="F4278" t="str">
            <v>Alternative</v>
          </cell>
          <cell r="G4278" t="str">
            <v>Other</v>
          </cell>
          <cell r="H4278" t="str">
            <v>ALTS</v>
          </cell>
          <cell r="I4278" t="str">
            <v>Mortgage - Moneyness</v>
          </cell>
        </row>
        <row r="4279">
          <cell r="A4279" t="str">
            <v>USD_IO_OTM25_V620_E</v>
          </cell>
          <cell r="B4279" t="str">
            <v>IO OTM250 V620</v>
          </cell>
          <cell r="C4279" t="str">
            <v>BRS_GOLD__5_SPREADS:BRS_GOLD__3_OTHER_SPREADS:BRS_GOLD__1_MTG,TBA_ALL,PAYUP,NONAGENCY,MORT_IDIO,CRT,CRT_SP_RISK:BRS_GOLD__1_MTG-BASIS:USD_IO_OTM25_V620_E</v>
          </cell>
          <cell r="D4279" t="str">
            <v>Spread Duration</v>
          </cell>
          <cell r="E4279" t="str">
            <v>Spread Yield</v>
          </cell>
          <cell r="F4279" t="str">
            <v>Alternative</v>
          </cell>
          <cell r="G4279" t="str">
            <v>Other</v>
          </cell>
          <cell r="H4279" t="str">
            <v>ALTS</v>
          </cell>
          <cell r="I4279" t="str">
            <v>Mortgage - Moneyness</v>
          </cell>
        </row>
        <row r="4280">
          <cell r="A4280" t="str">
            <v>USD_IO_OTM20_V620_E</v>
          </cell>
          <cell r="B4280" t="str">
            <v>IO OTM200 V620</v>
          </cell>
          <cell r="C4280" t="str">
            <v>BRS_GOLD__5_SPREADS:BRS_GOLD__3_OTHER_SPREADS:BRS_GOLD__1_MTG,TBA_ALL,PAYUP,NONAGENCY,MORT_IDIO,CRT,CRT_SP_RISK:BRS_GOLD__1_MTG-BASIS:USD_IO_OTM20_V620_E</v>
          </cell>
          <cell r="D4280" t="str">
            <v>Spread Duration</v>
          </cell>
          <cell r="E4280" t="str">
            <v>Spread Yield</v>
          </cell>
          <cell r="F4280" t="str">
            <v>Alternative</v>
          </cell>
          <cell r="G4280" t="str">
            <v>Other</v>
          </cell>
          <cell r="H4280" t="str">
            <v>ALTS</v>
          </cell>
          <cell r="I4280" t="str">
            <v>Mortgage - Moneyness</v>
          </cell>
        </row>
        <row r="4281">
          <cell r="A4281" t="str">
            <v>USD_IO_OTM15_V620_E</v>
          </cell>
          <cell r="B4281" t="str">
            <v>IO OTM150 V620</v>
          </cell>
          <cell r="C4281" t="str">
            <v>BRS_GOLD__5_SPREADS:BRS_GOLD__3_OTHER_SPREADS:BRS_GOLD__1_MTG,TBA_ALL,PAYUP,NONAGENCY,MORT_IDIO,CRT,CRT_SP_RISK:BRS_GOLD__1_MTG-BASIS:USD_IO_OTM15_V620_E</v>
          </cell>
          <cell r="D4281" t="str">
            <v>Spread Duration</v>
          </cell>
          <cell r="E4281" t="str">
            <v>Spread Yield</v>
          </cell>
          <cell r="F4281" t="str">
            <v>Alternative</v>
          </cell>
          <cell r="G4281" t="str">
            <v>Other</v>
          </cell>
          <cell r="H4281" t="str">
            <v>ALTS</v>
          </cell>
          <cell r="I4281" t="str">
            <v>Mortgage - Moneyness</v>
          </cell>
        </row>
        <row r="4282">
          <cell r="A4282" t="str">
            <v>USD_IO_OTM10_V620_E</v>
          </cell>
          <cell r="B4282" t="str">
            <v>IO OTM100 V620</v>
          </cell>
          <cell r="C4282" t="str">
            <v>BRS_GOLD__5_SPREADS:BRS_GOLD__3_OTHER_SPREADS:BRS_GOLD__1_MTG,TBA_ALL,PAYUP,NONAGENCY,MORT_IDIO,CRT,CRT_SP_RISK:BRS_GOLD__1_MTG-BASIS:USD_IO_OTM10_V620_E</v>
          </cell>
          <cell r="D4282" t="str">
            <v>Spread Duration</v>
          </cell>
          <cell r="E4282" t="str">
            <v>Spread Yield</v>
          </cell>
          <cell r="F4282" t="str">
            <v>Alternative</v>
          </cell>
          <cell r="G4282" t="str">
            <v>Other</v>
          </cell>
          <cell r="H4282" t="str">
            <v>ALTS</v>
          </cell>
          <cell r="I4282" t="str">
            <v>Mortgage - Moneyness</v>
          </cell>
        </row>
        <row r="4283">
          <cell r="A4283" t="str">
            <v>USD_IO_OTM5_V620_E</v>
          </cell>
          <cell r="B4283" t="str">
            <v>IO OTM50 V620</v>
          </cell>
          <cell r="C4283" t="str">
            <v>BRS_GOLD__5_SPREADS:BRS_GOLD__3_OTHER_SPREADS:BRS_GOLD__1_MTG,TBA_ALL,PAYUP,NONAGENCY,MORT_IDIO,CRT,CRT_SP_RISK:BRS_GOLD__1_MTG-BASIS:USD_IO_OTM5_V620_E</v>
          </cell>
          <cell r="D4283" t="str">
            <v>Spread Duration</v>
          </cell>
          <cell r="E4283" t="str">
            <v>Spread Yield</v>
          </cell>
          <cell r="F4283" t="str">
            <v>Alternative</v>
          </cell>
          <cell r="G4283" t="str">
            <v>Other</v>
          </cell>
          <cell r="H4283" t="str">
            <v>ALTS</v>
          </cell>
          <cell r="I4283" t="str">
            <v>Mortgage - Moneyness</v>
          </cell>
        </row>
        <row r="4284">
          <cell r="A4284" t="str">
            <v>USD_IO_ATM_V620_E</v>
          </cell>
          <cell r="B4284" t="str">
            <v>IO ATM V620</v>
          </cell>
          <cell r="C4284" t="str">
            <v>BRS_GOLD__5_SPREADS:BRS_GOLD__3_OTHER_SPREADS:BRS_GOLD__1_MTG,TBA_ALL,PAYUP,NONAGENCY,MORT_IDIO,CRT,CRT_SP_RISK:BRS_GOLD__1_MTG-BASIS:USD_IO_ATM_V620_E</v>
          </cell>
          <cell r="D4284" t="str">
            <v>Spread Duration</v>
          </cell>
          <cell r="E4284" t="str">
            <v>Spread Yield</v>
          </cell>
          <cell r="F4284" t="str">
            <v>Alternative</v>
          </cell>
          <cell r="G4284" t="str">
            <v>Other</v>
          </cell>
          <cell r="H4284" t="str">
            <v>ALTS</v>
          </cell>
          <cell r="I4284" t="str">
            <v>Mortgage - Moneyness</v>
          </cell>
        </row>
        <row r="4285">
          <cell r="A4285" t="str">
            <v>USD_IO_ITM5_V620_E</v>
          </cell>
          <cell r="B4285" t="str">
            <v>IO ITM50 V620</v>
          </cell>
          <cell r="C4285" t="str">
            <v>BRS_GOLD__5_SPREADS:BRS_GOLD__3_OTHER_SPREADS:BRS_GOLD__1_MTG,TBA_ALL,PAYUP,NONAGENCY,MORT_IDIO,CRT,CRT_SP_RISK:BRS_GOLD__1_MTG-BASIS:USD_IO_ITM5_V620_E</v>
          </cell>
          <cell r="D4285" t="str">
            <v>Spread Duration</v>
          </cell>
          <cell r="E4285" t="str">
            <v>Spread Yield</v>
          </cell>
          <cell r="F4285" t="str">
            <v>Alternative</v>
          </cell>
          <cell r="G4285" t="str">
            <v>Other</v>
          </cell>
          <cell r="H4285" t="str">
            <v>ALTS</v>
          </cell>
          <cell r="I4285" t="str">
            <v>Mortgage - Moneyness</v>
          </cell>
        </row>
        <row r="4286">
          <cell r="A4286" t="str">
            <v>USD_IO_ITM10_V620_E</v>
          </cell>
          <cell r="B4286" t="str">
            <v>IO ITM100 V620</v>
          </cell>
          <cell r="C4286" t="str">
            <v>BRS_GOLD__5_SPREADS:BRS_GOLD__3_OTHER_SPREADS:BRS_GOLD__1_MTG,TBA_ALL,PAYUP,NONAGENCY,MORT_IDIO,CRT,CRT_SP_RISK:BRS_GOLD__1_MTG-BASIS:USD_IO_ITM10_V620_E</v>
          </cell>
          <cell r="D4286" t="str">
            <v>Spread Duration</v>
          </cell>
          <cell r="E4286" t="str">
            <v>Spread Yield</v>
          </cell>
          <cell r="F4286" t="str">
            <v>Alternative</v>
          </cell>
          <cell r="G4286" t="str">
            <v>Other</v>
          </cell>
          <cell r="H4286" t="str">
            <v>ALTS</v>
          </cell>
          <cell r="I4286" t="str">
            <v>Mortgage - Moneyness</v>
          </cell>
        </row>
        <row r="4287">
          <cell r="A4287" t="str">
            <v>USD_IO_ITM15_V620_E</v>
          </cell>
          <cell r="B4287" t="str">
            <v>IO ITM150 V620</v>
          </cell>
          <cell r="C4287" t="str">
            <v>BRS_GOLD__5_SPREADS:BRS_GOLD__3_OTHER_SPREADS:BRS_GOLD__1_MTG,TBA_ALL,PAYUP,NONAGENCY,MORT_IDIO,CRT,CRT_SP_RISK:BRS_GOLD__1_MTG-BASIS:USD_IO_ITM15_V620_E</v>
          </cell>
          <cell r="D4287" t="str">
            <v>Spread Duration</v>
          </cell>
          <cell r="E4287" t="str">
            <v>Spread Yield</v>
          </cell>
          <cell r="F4287" t="str">
            <v>Alternative</v>
          </cell>
          <cell r="G4287" t="str">
            <v>Other</v>
          </cell>
          <cell r="H4287" t="str">
            <v>ALTS</v>
          </cell>
          <cell r="I4287" t="str">
            <v>Mortgage - Moneyness</v>
          </cell>
        </row>
        <row r="4288">
          <cell r="A4288" t="str">
            <v>USD_IO_ITM20_V620_E</v>
          </cell>
          <cell r="B4288" t="str">
            <v>IO ITM200 V620</v>
          </cell>
          <cell r="C4288" t="str">
            <v>BRS_GOLD__5_SPREADS:BRS_GOLD__3_OTHER_SPREADS:BRS_GOLD__1_MTG,TBA_ALL,PAYUP,NONAGENCY,MORT_IDIO,CRT,CRT_SP_RISK:BRS_GOLD__1_MTG-BASIS:USD_IO_ITM20_V620_E</v>
          </cell>
          <cell r="D4288" t="str">
            <v>Spread Duration</v>
          </cell>
          <cell r="E4288" t="str">
            <v>Spread Yield</v>
          </cell>
          <cell r="F4288" t="str">
            <v>Alternative</v>
          </cell>
          <cell r="G4288" t="str">
            <v>Other</v>
          </cell>
          <cell r="H4288" t="str">
            <v>ALTS</v>
          </cell>
          <cell r="I4288" t="str">
            <v>Mortgage - Moneyness</v>
          </cell>
        </row>
        <row r="4289">
          <cell r="A4289" t="str">
            <v>USD_IO_ITM25_V620_E</v>
          </cell>
          <cell r="B4289" t="str">
            <v>IO ITM250 V620</v>
          </cell>
          <cell r="C4289" t="str">
            <v>BRS_GOLD__5_SPREADS:BRS_GOLD__3_OTHER_SPREADS:BRS_GOLD__1_MTG,TBA_ALL,PAYUP,NONAGENCY,MORT_IDIO,CRT,CRT_SP_RISK:BRS_GOLD__1_MTG-BASIS:USD_IO_ITM25_V620_E</v>
          </cell>
          <cell r="D4289" t="str">
            <v>Spread Duration</v>
          </cell>
          <cell r="E4289" t="str">
            <v>Spread Yield</v>
          </cell>
          <cell r="F4289" t="str">
            <v>Alternative</v>
          </cell>
          <cell r="G4289" t="str">
            <v>Other</v>
          </cell>
          <cell r="H4289" t="str">
            <v>ALTS</v>
          </cell>
          <cell r="I4289" t="str">
            <v>Mortgage - Moneyness</v>
          </cell>
        </row>
        <row r="4290">
          <cell r="A4290" t="str">
            <v>USD_IO_ITM30_V620_E</v>
          </cell>
          <cell r="B4290" t="str">
            <v>IO ITM300 V620</v>
          </cell>
          <cell r="C4290" t="str">
            <v>BRS_GOLD__5_SPREADS:BRS_GOLD__3_OTHER_SPREADS:BRS_GOLD__1_MTG,TBA_ALL,PAYUP,NONAGENCY,MORT_IDIO,CRT,CRT_SP_RISK:BRS_GOLD__1_MTG-BASIS:USD_IO_ITM30_V620_E</v>
          </cell>
          <cell r="D4290" t="str">
            <v>Spread Duration</v>
          </cell>
          <cell r="E4290" t="str">
            <v>Spread Yield</v>
          </cell>
          <cell r="F4290" t="str">
            <v>Alternative</v>
          </cell>
          <cell r="G4290" t="str">
            <v>Other</v>
          </cell>
          <cell r="H4290" t="str">
            <v>ALTS</v>
          </cell>
          <cell r="I4290" t="str">
            <v>Mortgage - Moneyness</v>
          </cell>
        </row>
        <row r="4291">
          <cell r="A4291" t="str">
            <v>USD_IO_ITM35_V620_E</v>
          </cell>
          <cell r="B4291" t="str">
            <v>IO ITM350 V620</v>
          </cell>
          <cell r="C4291" t="str">
            <v>BRS_GOLD__5_SPREADS:BRS_GOLD__3_OTHER_SPREADS:BRS_GOLD__1_MTG,TBA_ALL,PAYUP,NONAGENCY,MORT_IDIO,CRT,CRT_SP_RISK:BRS_GOLD__1_MTG-BASIS:USD_IO_ITM35_V620_E</v>
          </cell>
          <cell r="D4291" t="str">
            <v>Spread Duration</v>
          </cell>
          <cell r="E4291" t="str">
            <v>Spread Yield</v>
          </cell>
          <cell r="F4291" t="str">
            <v>Alternative</v>
          </cell>
          <cell r="G4291" t="str">
            <v>Other</v>
          </cell>
          <cell r="H4291" t="str">
            <v>ALTS</v>
          </cell>
          <cell r="I4291" t="str">
            <v>Mortgage - Moneyness</v>
          </cell>
        </row>
        <row r="4292">
          <cell r="A4292" t="str">
            <v>USD_PO_OTM35_V620_E</v>
          </cell>
          <cell r="B4292" t="str">
            <v>PO OTM350 V620</v>
          </cell>
          <cell r="C4292" t="str">
            <v>BRS_GOLD__5_SPREADS:BRS_GOLD__3_OTHER_SPREADS:BRS_GOLD__1_MTG,TBA_ALL,PAYUP,NONAGENCY,MORT_IDIO,CRT,CRT_SP_RISK:BRS_GOLD__1_MTG-BASIS:USD_PO_OTM35_V620_E</v>
          </cell>
          <cell r="D4292" t="str">
            <v>Spread Duration</v>
          </cell>
          <cell r="E4292" t="str">
            <v>Spread Yield</v>
          </cell>
          <cell r="F4292" t="str">
            <v>Alternative</v>
          </cell>
          <cell r="G4292" t="str">
            <v>Other</v>
          </cell>
          <cell r="H4292" t="str">
            <v>ALTS</v>
          </cell>
          <cell r="I4292" t="str">
            <v>Mortgage - Moneyness</v>
          </cell>
        </row>
        <row r="4293">
          <cell r="A4293" t="str">
            <v>USD_PO_OTM30_V620_E</v>
          </cell>
          <cell r="B4293" t="str">
            <v>PO OTM300 V620</v>
          </cell>
          <cell r="C4293" t="str">
            <v>BRS_GOLD__5_SPREADS:BRS_GOLD__3_OTHER_SPREADS:BRS_GOLD__1_MTG,TBA_ALL,PAYUP,NONAGENCY,MORT_IDIO,CRT,CRT_SP_RISK:BRS_GOLD__1_MTG-BASIS:USD_PO_OTM30_V620_E</v>
          </cell>
          <cell r="D4293" t="str">
            <v>Spread Duration</v>
          </cell>
          <cell r="E4293" t="str">
            <v>Spread Yield</v>
          </cell>
          <cell r="F4293" t="str">
            <v>Alternative</v>
          </cell>
          <cell r="G4293" t="str">
            <v>Other</v>
          </cell>
          <cell r="H4293" t="str">
            <v>ALTS</v>
          </cell>
          <cell r="I4293" t="str">
            <v>Mortgage - Moneyness</v>
          </cell>
        </row>
        <row r="4294">
          <cell r="A4294" t="str">
            <v>USD_PO_OTM25_V620_E</v>
          </cell>
          <cell r="B4294" t="str">
            <v>PO OTM250 V620</v>
          </cell>
          <cell r="C4294" t="str">
            <v>BRS_GOLD__5_SPREADS:BRS_GOLD__3_OTHER_SPREADS:BRS_GOLD__1_MTG,TBA_ALL,PAYUP,NONAGENCY,MORT_IDIO,CRT,CRT_SP_RISK:BRS_GOLD__1_MTG-BASIS:USD_PO_OTM25_V620_E</v>
          </cell>
          <cell r="D4294" t="str">
            <v>Spread Duration</v>
          </cell>
          <cell r="E4294" t="str">
            <v>Spread Yield</v>
          </cell>
          <cell r="F4294" t="str">
            <v>Alternative</v>
          </cell>
          <cell r="G4294" t="str">
            <v>Other</v>
          </cell>
          <cell r="H4294" t="str">
            <v>ALTS</v>
          </cell>
          <cell r="I4294" t="str">
            <v>Mortgage - Moneyness</v>
          </cell>
        </row>
        <row r="4295">
          <cell r="A4295" t="str">
            <v>USD_PO_OTM20_V620_E</v>
          </cell>
          <cell r="B4295" t="str">
            <v>PO OTM200 V620</v>
          </cell>
          <cell r="C4295" t="str">
            <v>BRS_GOLD__5_SPREADS:BRS_GOLD__3_OTHER_SPREADS:BRS_GOLD__1_MTG,TBA_ALL,PAYUP,NONAGENCY,MORT_IDIO,CRT,CRT_SP_RISK:BRS_GOLD__1_MTG-BASIS:USD_PO_OTM20_V620_E</v>
          </cell>
          <cell r="D4295" t="str">
            <v>Spread Duration</v>
          </cell>
          <cell r="E4295" t="str">
            <v>Spread Yield</v>
          </cell>
          <cell r="F4295" t="str">
            <v>Alternative</v>
          </cell>
          <cell r="G4295" t="str">
            <v>Other</v>
          </cell>
          <cell r="H4295" t="str">
            <v>ALTS</v>
          </cell>
          <cell r="I4295" t="str">
            <v>Mortgage - Moneyness</v>
          </cell>
        </row>
        <row r="4296">
          <cell r="A4296" t="str">
            <v>USD_PO_OTM15_V620_E</v>
          </cell>
          <cell r="B4296" t="str">
            <v>PO OTM150 V620</v>
          </cell>
          <cell r="C4296" t="str">
            <v>BRS_GOLD__5_SPREADS:BRS_GOLD__3_OTHER_SPREADS:BRS_GOLD__1_MTG,TBA_ALL,PAYUP,NONAGENCY,MORT_IDIO,CRT,CRT_SP_RISK:BRS_GOLD__1_MTG-BASIS:USD_PO_OTM15_V620_E</v>
          </cell>
          <cell r="D4296" t="str">
            <v>Spread Duration</v>
          </cell>
          <cell r="E4296" t="str">
            <v>Spread Yield</v>
          </cell>
          <cell r="F4296" t="str">
            <v>Alternative</v>
          </cell>
          <cell r="G4296" t="str">
            <v>Other</v>
          </cell>
          <cell r="H4296" t="str">
            <v>ALTS</v>
          </cell>
          <cell r="I4296" t="str">
            <v>Mortgage - Moneyness</v>
          </cell>
        </row>
        <row r="4297">
          <cell r="A4297" t="str">
            <v>USD_PO_OTM10_V620_E</v>
          </cell>
          <cell r="B4297" t="str">
            <v>PO OTM100 V620</v>
          </cell>
          <cell r="C4297" t="str">
            <v>BRS_GOLD__5_SPREADS:BRS_GOLD__3_OTHER_SPREADS:BRS_GOLD__1_MTG,TBA_ALL,PAYUP,NONAGENCY,MORT_IDIO,CRT,CRT_SP_RISK:BRS_GOLD__1_MTG-BASIS:USD_PO_OTM10_V620_E</v>
          </cell>
          <cell r="D4297" t="str">
            <v>Spread Duration</v>
          </cell>
          <cell r="E4297" t="str">
            <v>Spread Yield</v>
          </cell>
          <cell r="F4297" t="str">
            <v>Alternative</v>
          </cell>
          <cell r="G4297" t="str">
            <v>Other</v>
          </cell>
          <cell r="H4297" t="str">
            <v>ALTS</v>
          </cell>
          <cell r="I4297" t="str">
            <v>Mortgage - Moneyness</v>
          </cell>
        </row>
        <row r="4298">
          <cell r="A4298" t="str">
            <v>USD_PO_OTM5_V620_E</v>
          </cell>
          <cell r="B4298" t="str">
            <v>PO OTM50 V620</v>
          </cell>
          <cell r="C4298" t="str">
            <v>BRS_GOLD__5_SPREADS:BRS_GOLD__3_OTHER_SPREADS:BRS_GOLD__1_MTG,TBA_ALL,PAYUP,NONAGENCY,MORT_IDIO,CRT,CRT_SP_RISK:BRS_GOLD__1_MTG-BASIS:USD_PO_OTM5_V620_E</v>
          </cell>
          <cell r="D4298" t="str">
            <v>Spread Duration</v>
          </cell>
          <cell r="E4298" t="str">
            <v>Spread Yield</v>
          </cell>
          <cell r="F4298" t="str">
            <v>Alternative</v>
          </cell>
          <cell r="G4298" t="str">
            <v>Other</v>
          </cell>
          <cell r="H4298" t="str">
            <v>ALTS</v>
          </cell>
          <cell r="I4298" t="str">
            <v>Mortgage - Moneyness</v>
          </cell>
        </row>
        <row r="4299">
          <cell r="A4299" t="str">
            <v>USD_PO_ATM_V620_E</v>
          </cell>
          <cell r="B4299" t="str">
            <v>PO ATM V620</v>
          </cell>
          <cell r="C4299" t="str">
            <v>BRS_GOLD__5_SPREADS:BRS_GOLD__3_OTHER_SPREADS:BRS_GOLD__1_MTG,TBA_ALL,PAYUP,NONAGENCY,MORT_IDIO,CRT,CRT_SP_RISK:BRS_GOLD__1_MTG-BASIS:USD_PO_ATM_V620_E</v>
          </cell>
          <cell r="D4299" t="str">
            <v>Spread Duration</v>
          </cell>
          <cell r="E4299" t="str">
            <v>Spread Yield</v>
          </cell>
          <cell r="F4299" t="str">
            <v>Alternative</v>
          </cell>
          <cell r="G4299" t="str">
            <v>Other</v>
          </cell>
          <cell r="H4299" t="str">
            <v>ALTS</v>
          </cell>
          <cell r="I4299" t="str">
            <v>Mortgage - Moneyness</v>
          </cell>
        </row>
        <row r="4300">
          <cell r="A4300" t="str">
            <v>USD_PO_ITM5_V620_E</v>
          </cell>
          <cell r="B4300" t="str">
            <v>PO ITM50 V620</v>
          </cell>
          <cell r="C4300" t="str">
            <v>BRS_GOLD__5_SPREADS:BRS_GOLD__3_OTHER_SPREADS:BRS_GOLD__1_MTG,TBA_ALL,PAYUP,NONAGENCY,MORT_IDIO,CRT,CRT_SP_RISK:BRS_GOLD__1_MTG-BASIS:USD_PO_ITM5_V620_E</v>
          </cell>
          <cell r="D4300" t="str">
            <v>Spread Duration</v>
          </cell>
          <cell r="E4300" t="str">
            <v>Spread Yield</v>
          </cell>
          <cell r="F4300" t="str">
            <v>Alternative</v>
          </cell>
          <cell r="G4300" t="str">
            <v>Other</v>
          </cell>
          <cell r="H4300" t="str">
            <v>ALTS</v>
          </cell>
          <cell r="I4300" t="str">
            <v>Mortgage - Moneyness</v>
          </cell>
        </row>
        <row r="4301">
          <cell r="A4301" t="str">
            <v>USD_PO_ITM10_V620_E</v>
          </cell>
          <cell r="B4301" t="str">
            <v>PO ITM100 V620</v>
          </cell>
          <cell r="C4301" t="str">
            <v>BRS_GOLD__5_SPREADS:BRS_GOLD__3_OTHER_SPREADS:BRS_GOLD__1_MTG,TBA_ALL,PAYUP,NONAGENCY,MORT_IDIO,CRT,CRT_SP_RISK:BRS_GOLD__1_MTG-BASIS:USD_PO_ITM10_V620_E</v>
          </cell>
          <cell r="D4301" t="str">
            <v>Spread Duration</v>
          </cell>
          <cell r="E4301" t="str">
            <v>Spread Yield</v>
          </cell>
          <cell r="F4301" t="str">
            <v>Alternative</v>
          </cell>
          <cell r="G4301" t="str">
            <v>Other</v>
          </cell>
          <cell r="H4301" t="str">
            <v>ALTS</v>
          </cell>
          <cell r="I4301" t="str">
            <v>Mortgage - Moneyness</v>
          </cell>
        </row>
        <row r="4302">
          <cell r="A4302" t="str">
            <v>USD_PO_ITM15_V620_E</v>
          </cell>
          <cell r="B4302" t="str">
            <v>PO ITM150 V620</v>
          </cell>
          <cell r="C4302" t="str">
            <v>BRS_GOLD__5_SPREADS:BRS_GOLD__3_OTHER_SPREADS:BRS_GOLD__1_MTG,TBA_ALL,PAYUP,NONAGENCY,MORT_IDIO,CRT,CRT_SP_RISK:BRS_GOLD__1_MTG-BASIS:USD_PO_ITM15_V620_E</v>
          </cell>
          <cell r="D4302" t="str">
            <v>Spread Duration</v>
          </cell>
          <cell r="E4302" t="str">
            <v>Spread Yield</v>
          </cell>
          <cell r="F4302" t="str">
            <v>Alternative</v>
          </cell>
          <cell r="G4302" t="str">
            <v>Other</v>
          </cell>
          <cell r="H4302" t="str">
            <v>ALTS</v>
          </cell>
          <cell r="I4302" t="str">
            <v>Mortgage - Moneyness</v>
          </cell>
        </row>
        <row r="4303">
          <cell r="A4303" t="str">
            <v>USD_PO_ITM20_V620_E</v>
          </cell>
          <cell r="B4303" t="str">
            <v>PO ITM200 V620</v>
          </cell>
          <cell r="C4303" t="str">
            <v>BRS_GOLD__5_SPREADS:BRS_GOLD__3_OTHER_SPREADS:BRS_GOLD__1_MTG,TBA_ALL,PAYUP,NONAGENCY,MORT_IDIO,CRT,CRT_SP_RISK:BRS_GOLD__1_MTG-BASIS:USD_PO_ITM20_V620_E</v>
          </cell>
          <cell r="D4303" t="str">
            <v>Spread Duration</v>
          </cell>
          <cell r="E4303" t="str">
            <v>Spread Yield</v>
          </cell>
          <cell r="F4303" t="str">
            <v>Alternative</v>
          </cell>
          <cell r="G4303" t="str">
            <v>Other</v>
          </cell>
          <cell r="H4303" t="str">
            <v>ALTS</v>
          </cell>
          <cell r="I4303" t="str">
            <v>Mortgage - Moneyness</v>
          </cell>
        </row>
        <row r="4304">
          <cell r="A4304" t="str">
            <v>USD_PO_ITM25_V620_E</v>
          </cell>
          <cell r="B4304" t="str">
            <v>PO ITM250 V620</v>
          </cell>
          <cell r="C4304" t="str">
            <v>BRS_GOLD__5_SPREADS:BRS_GOLD__3_OTHER_SPREADS:BRS_GOLD__1_MTG,TBA_ALL,PAYUP,NONAGENCY,MORT_IDIO,CRT,CRT_SP_RISK:BRS_GOLD__1_MTG-BASIS:USD_PO_ITM25_V620_E</v>
          </cell>
          <cell r="D4304" t="str">
            <v>Spread Duration</v>
          </cell>
          <cell r="E4304" t="str">
            <v>Spread Yield</v>
          </cell>
          <cell r="F4304" t="str">
            <v>Alternative</v>
          </cell>
          <cell r="G4304" t="str">
            <v>Other</v>
          </cell>
          <cell r="H4304" t="str">
            <v>ALTS</v>
          </cell>
          <cell r="I4304" t="str">
            <v>Mortgage - Moneyness</v>
          </cell>
        </row>
        <row r="4305">
          <cell r="A4305" t="str">
            <v>USD_PO_ITM30_V620_E</v>
          </cell>
          <cell r="B4305" t="str">
            <v>PO ITM300 V620</v>
          </cell>
          <cell r="C4305" t="str">
            <v>BRS_GOLD__5_SPREADS:BRS_GOLD__3_OTHER_SPREADS:BRS_GOLD__1_MTG,TBA_ALL,PAYUP,NONAGENCY,MORT_IDIO,CRT,CRT_SP_RISK:BRS_GOLD__1_MTG-BASIS:USD_PO_ITM30_V620_E</v>
          </cell>
          <cell r="D4305" t="str">
            <v>Spread Duration</v>
          </cell>
          <cell r="E4305" t="str">
            <v>Spread Yield</v>
          </cell>
          <cell r="F4305" t="str">
            <v>Alternative</v>
          </cell>
          <cell r="G4305" t="str">
            <v>Other</v>
          </cell>
          <cell r="H4305" t="str">
            <v>ALTS</v>
          </cell>
          <cell r="I4305" t="str">
            <v>Mortgage - Moneyness</v>
          </cell>
        </row>
        <row r="4306">
          <cell r="A4306" t="str">
            <v>USD_PO_ITM35_V620_E</v>
          </cell>
          <cell r="B4306" t="str">
            <v>PO ITM350 V620</v>
          </cell>
          <cell r="C4306" t="str">
            <v>BRS_GOLD__5_SPREADS:BRS_GOLD__3_OTHER_SPREADS:BRS_GOLD__1_MTG,TBA_ALL,PAYUP,NONAGENCY,MORT_IDIO,CRT,CRT_SP_RISK:BRS_GOLD__1_MTG-BASIS:USD_PO_ITM35_V620_E</v>
          </cell>
          <cell r="D4306" t="str">
            <v>Spread Duration</v>
          </cell>
          <cell r="E4306" t="str">
            <v>Spread Yield</v>
          </cell>
          <cell r="F4306" t="str">
            <v>Alternative</v>
          </cell>
          <cell r="G4306" t="str">
            <v>Other</v>
          </cell>
          <cell r="H4306" t="str">
            <v>ALTS</v>
          </cell>
          <cell r="I4306" t="str">
            <v>Mortgage - Moneyness</v>
          </cell>
        </row>
        <row r="4307">
          <cell r="A4307" t="str">
            <v>USD_MSR_ARM_V620</v>
          </cell>
          <cell r="B4307" t="str">
            <v>ARM Mtg Serv Right V620</v>
          </cell>
          <cell r="C4307" t="str">
            <v>BRS_GOLD__5_SPREADS:BRS_GOLD__3_OTHER_SPREADS:BRS_GOLD__1_MTG,TBA_ALL,PAYUP,NONAGENCY,MORT_IDIO,CRT,CRT_SP_RISK:BRS_GOLD__1_MTG-BASIS:USD_MSR_ARM_V620</v>
          </cell>
          <cell r="D4307" t="str">
            <v>Spread Duration</v>
          </cell>
          <cell r="E4307" t="str">
            <v>Spread Yield</v>
          </cell>
          <cell r="F4307" t="str">
            <v>Alternative</v>
          </cell>
          <cell r="G4307" t="str">
            <v>Other</v>
          </cell>
          <cell r="H4307" t="str">
            <v>ALTS</v>
          </cell>
          <cell r="I4307" t="str">
            <v>Mortgage - Moneyness</v>
          </cell>
        </row>
        <row r="4308">
          <cell r="A4308" t="str">
            <v>USD_MSR_MBS_V620</v>
          </cell>
          <cell r="B4308" t="str">
            <v>MBS Mtg Serv Right V620</v>
          </cell>
          <cell r="C4308" t="str">
            <v>BRS_GOLD__5_SPREADS:BRS_GOLD__3_OTHER_SPREADS:BRS_GOLD__1_MTG,TBA_ALL,PAYUP,NONAGENCY,MORT_IDIO,CRT,CRT_SP_RISK:BRS_GOLD__1_MTG-BASIS:USD_MSR_MBS_V620</v>
          </cell>
          <cell r="D4308" t="str">
            <v>Spread Duration</v>
          </cell>
          <cell r="E4308" t="str">
            <v>Spread Yield</v>
          </cell>
          <cell r="F4308" t="str">
            <v>Alternative</v>
          </cell>
          <cell r="G4308" t="str">
            <v>Other</v>
          </cell>
          <cell r="H4308" t="str">
            <v>ALTS</v>
          </cell>
          <cell r="I4308" t="str">
            <v>Mortgage - Moneyness</v>
          </cell>
        </row>
        <row r="4309">
          <cell r="A4309" t="str">
            <v>ALL_mtg15_tsy_V610</v>
          </cell>
          <cell r="B4309" t="str">
            <v>15yr Mtg Tsy Basis V610</v>
          </cell>
          <cell r="C4309" t="str">
            <v>BRS_GOLD__5_SPREADS:BRS_GOLD__3_OTHER_SPREADS:BRS_GOLD__1_MTG,TBA_ALL,PAYUP,NONAGENCY,MORT_IDIO,CRT,CRT_SP_RISK:BRS_GOLD__1_MTG-BASIS:ALL_mtg15_tsy_V610</v>
          </cell>
          <cell r="D4309" t="str">
            <v>Mortgage Basis Duration</v>
          </cell>
          <cell r="E4309" t="str">
            <v>Mortgage Basis</v>
          </cell>
          <cell r="F4309" t="str">
            <v>Alternative</v>
          </cell>
          <cell r="G4309" t="str">
            <v>Other</v>
          </cell>
          <cell r="H4309" t="str">
            <v>ALTS</v>
          </cell>
          <cell r="I4309" t="str">
            <v>Mortgage Basis</v>
          </cell>
        </row>
        <row r="4310">
          <cell r="A4310" t="str">
            <v>ALL_mtg30_tsy_V610</v>
          </cell>
          <cell r="B4310" t="str">
            <v>30yr Mtg Tsy Basis V610</v>
          </cell>
          <cell r="C4310" t="str">
            <v>BRS_GOLD__5_SPREADS:BRS_GOLD__3_OTHER_SPREADS:BRS_GOLD__1_MTG,TBA_ALL,PAYUP,NONAGENCY,MORT_IDIO,CRT,CRT_SP_RISK:BRS_GOLD__1_MTG-BASIS:ALL_mtg30_tsy_V610</v>
          </cell>
          <cell r="D4310" t="str">
            <v>Mortgage Basis Duration</v>
          </cell>
          <cell r="E4310" t="str">
            <v>Mortgage Basis</v>
          </cell>
          <cell r="F4310" t="str">
            <v>Alternative</v>
          </cell>
          <cell r="G4310" t="str">
            <v>Other</v>
          </cell>
          <cell r="H4310" t="str">
            <v>ALTS</v>
          </cell>
          <cell r="I4310" t="str">
            <v>Mortgage Basis</v>
          </cell>
        </row>
        <row r="4311">
          <cell r="A4311" t="str">
            <v>ALL_mtg15_tsy_V620</v>
          </cell>
          <cell r="B4311" t="str">
            <v>15yr Mtg Tsy Basis V620</v>
          </cell>
          <cell r="C4311" t="str">
            <v>BRS_GOLD__5_SPREADS:BRS_GOLD__3_OTHER_SPREADS:BRS_GOLD__1_MTG,TBA_ALL,PAYUP,NONAGENCY,MORT_IDIO,CRT,CRT_SP_RISK:BRS_GOLD__1_MTG-BASIS:ALL_mtg15_tsy_V620</v>
          </cell>
          <cell r="D4311" t="str">
            <v>Mortgage Basis Duration</v>
          </cell>
          <cell r="E4311" t="str">
            <v>Mortgage Basis</v>
          </cell>
          <cell r="F4311" t="str">
            <v>Alternative</v>
          </cell>
          <cell r="G4311" t="str">
            <v>Other</v>
          </cell>
          <cell r="H4311" t="str">
            <v>ALTS</v>
          </cell>
          <cell r="I4311" t="str">
            <v>Mortgage Basis</v>
          </cell>
        </row>
        <row r="4312">
          <cell r="A4312" t="str">
            <v>ALL_mtg30_tsy_V620</v>
          </cell>
          <cell r="B4312" t="str">
            <v>30yr Mtg Tsy Basis V620</v>
          </cell>
          <cell r="C4312" t="str">
            <v>BRS_GOLD__5_SPREADS:BRS_GOLD__3_OTHER_SPREADS:BRS_GOLD__1_MTG,TBA_ALL,PAYUP,NONAGENCY,MORT_IDIO,CRT,CRT_SP_RISK:BRS_GOLD__1_MTG-BASIS:ALL_mtg30_tsy_V620</v>
          </cell>
          <cell r="D4312" t="str">
            <v>Mortgage Basis Duration</v>
          </cell>
          <cell r="E4312" t="str">
            <v>Mortgage Basis</v>
          </cell>
          <cell r="F4312" t="str">
            <v>Alternative</v>
          </cell>
          <cell r="G4312" t="str">
            <v>Other</v>
          </cell>
          <cell r="H4312" t="str">
            <v>ALTS</v>
          </cell>
          <cell r="I4312" t="str">
            <v>Mortgage Basis</v>
          </cell>
        </row>
        <row r="4313">
          <cell r="A4313" t="str">
            <v>PRIME_MTG</v>
          </cell>
          <cell r="B4313" t="str">
            <v>Prime</v>
          </cell>
          <cell r="C4313" t="str">
            <v>BRS_GOLD__5_SPREADS:BRS_GOLD__3_OTHER_SPREADS:BRS_GOLD__1_MTG,TBA_ALL,PAYUP,NONAGENCY,MORT_IDIO,CRT,CRT_SP_RISK:BRS_GOLD__1_MTG-BASIS:PRIME_MTG</v>
          </cell>
          <cell r="D4313" t="str">
            <v>Price</v>
          </cell>
          <cell r="E4313" t="str">
            <v>Price Level</v>
          </cell>
          <cell r="F4313" t="str">
            <v>Alternative</v>
          </cell>
          <cell r="G4313" t="str">
            <v>Other</v>
          </cell>
          <cell r="H4313" t="str">
            <v>ALTS</v>
          </cell>
          <cell r="I4313" t="str">
            <v>Mortgage</v>
          </cell>
        </row>
        <row r="4314">
          <cell r="A4314" t="str">
            <v>ALTA_MTG</v>
          </cell>
          <cell r="B4314" t="str">
            <v>Alt-A</v>
          </cell>
          <cell r="C4314" t="str">
            <v>BRS_GOLD__5_SPREADS:BRS_GOLD__3_OTHER_SPREADS:BRS_GOLD__1_MTG,TBA_ALL,PAYUP,NONAGENCY,MORT_IDIO,CRT,CRT_SP_RISK:BRS_GOLD__1_MTG-BASIS:ALTA_MTG</v>
          </cell>
          <cell r="D4314" t="str">
            <v>Price</v>
          </cell>
          <cell r="E4314" t="str">
            <v>Price Level</v>
          </cell>
          <cell r="F4314" t="str">
            <v>Alternative</v>
          </cell>
          <cell r="G4314" t="str">
            <v>Other</v>
          </cell>
          <cell r="H4314" t="str">
            <v>ALTS</v>
          </cell>
          <cell r="I4314" t="str">
            <v>Mortgage</v>
          </cell>
        </row>
        <row r="4315">
          <cell r="A4315" t="str">
            <v>AA_FIXED</v>
          </cell>
          <cell r="B4315" t="str">
            <v>Alt-A Fixed</v>
          </cell>
          <cell r="C4315" t="str">
            <v>BRS_GOLD__5_SPREADS:BRS_GOLD__3_OTHER_SPREADS:BRS_GOLD__1_MTG,TBA_ALL,PAYUP,NONAGENCY,MORT_IDIO,CRT,CRT_SP_RISK:BRS_GOLD__1_MTG-BASIS:AA_FIXED</v>
          </cell>
          <cell r="D4315" t="str">
            <v>Price</v>
          </cell>
          <cell r="E4315" t="str">
            <v>Price Level</v>
          </cell>
          <cell r="F4315" t="str">
            <v>Alternative</v>
          </cell>
          <cell r="G4315" t="str">
            <v>Other</v>
          </cell>
          <cell r="H4315" t="str">
            <v>ALTS</v>
          </cell>
          <cell r="I4315" t="str">
            <v>Mortgage</v>
          </cell>
        </row>
        <row r="4316">
          <cell r="A4316" t="str">
            <v>AA_FLOAT</v>
          </cell>
          <cell r="B4316" t="str">
            <v>Alt-A Floating</v>
          </cell>
          <cell r="C4316" t="str">
            <v>BRS_GOLD__5_SPREADS:BRS_GOLD__3_OTHER_SPREADS:BRS_GOLD__1_MTG,TBA_ALL,PAYUP,NONAGENCY,MORT_IDIO,CRT,CRT_SP_RISK:BRS_GOLD__1_MTG-BASIS:AA_FLOAT</v>
          </cell>
          <cell r="D4316" t="str">
            <v>Price</v>
          </cell>
          <cell r="E4316" t="str">
            <v>Price Level</v>
          </cell>
          <cell r="F4316" t="str">
            <v>Alternative</v>
          </cell>
          <cell r="G4316" t="str">
            <v>Other</v>
          </cell>
          <cell r="H4316" t="str">
            <v>ALTS</v>
          </cell>
          <cell r="I4316" t="str">
            <v>Mortgage</v>
          </cell>
        </row>
        <row r="4317">
          <cell r="A4317" t="str">
            <v>OARM_MTG</v>
          </cell>
          <cell r="B4317" t="str">
            <v>Option-ARM</v>
          </cell>
          <cell r="C4317" t="str">
            <v>BRS_GOLD__5_SPREADS:BRS_GOLD__3_OTHER_SPREADS:BRS_GOLD__1_MTG,TBA_ALL,PAYUP,NONAGENCY,MORT_IDIO,CRT,CRT_SP_RISK:BRS_GOLD__1_MTG-BASIS:OARM_MTG</v>
          </cell>
          <cell r="D4317" t="str">
            <v>Price</v>
          </cell>
          <cell r="E4317" t="str">
            <v>Price Level</v>
          </cell>
          <cell r="F4317" t="str">
            <v>Alternative</v>
          </cell>
          <cell r="G4317" t="str">
            <v>Other</v>
          </cell>
          <cell r="H4317" t="str">
            <v>ALTS</v>
          </cell>
          <cell r="I4317" t="str">
            <v>Mortgage</v>
          </cell>
        </row>
        <row r="4318">
          <cell r="A4318" t="str">
            <v>SUBPRIME_MTG</v>
          </cell>
          <cell r="B4318" t="str">
            <v>Subprime</v>
          </cell>
          <cell r="C4318" t="str">
            <v>BRS_GOLD__5_SPREADS:BRS_GOLD__3_OTHER_SPREADS:BRS_GOLD__1_MTG,TBA_ALL,PAYUP,NONAGENCY,MORT_IDIO,CRT,CRT_SP_RISK:BRS_GOLD__1_MTG-BASIS:SUBPRIME_MTG</v>
          </cell>
          <cell r="D4318" t="str">
            <v>Price</v>
          </cell>
          <cell r="E4318" t="str">
            <v>Price Level</v>
          </cell>
          <cell r="F4318" t="str">
            <v>Alternative</v>
          </cell>
          <cell r="G4318" t="str">
            <v>Other</v>
          </cell>
          <cell r="H4318" t="str">
            <v>ALTS</v>
          </cell>
          <cell r="I4318" t="str">
            <v>Mortgage</v>
          </cell>
        </row>
        <row r="4319">
          <cell r="A4319" t="str">
            <v>USD_SUBPRIME_MTG</v>
          </cell>
          <cell r="B4319" t="str">
            <v>Subprime</v>
          </cell>
          <cell r="C4319" t="str">
            <v>BRS_GOLD__5_SPREADS:BRS_GOLD__3_OTHER_SPREADS:BRS_GOLD__1_MTG,TBA_ALL,PAYUP,NONAGENCY,MORT_IDIO,CRT,CRT_SP_RISK:BRS_GOLD__1_MTG-BASIS:USD_SUBPRIME_MTG</v>
          </cell>
          <cell r="D4319" t="str">
            <v>Price</v>
          </cell>
          <cell r="E4319" t="str">
            <v>Price Level</v>
          </cell>
          <cell r="F4319" t="str">
            <v>Alternative</v>
          </cell>
          <cell r="G4319" t="str">
            <v>Other</v>
          </cell>
          <cell r="H4319" t="str">
            <v>ALTS</v>
          </cell>
          <cell r="I4319" t="str">
            <v>Mortgage</v>
          </cell>
        </row>
        <row r="4320">
          <cell r="A4320" t="str">
            <v>USD_PRIME_FIXED</v>
          </cell>
          <cell r="B4320" t="str">
            <v>Prime Fixed</v>
          </cell>
          <cell r="C4320" t="str">
            <v>BRS_GOLD__5_SPREADS:BRS_GOLD__3_OTHER_SPREADS:BRS_GOLD__1_MTG,TBA_ALL,PAYUP,NONAGENCY,MORT_IDIO,CRT,CRT_SP_RISK:BRS_GOLD__1_MTG-BASIS:USD_PRIME_FIXED</v>
          </cell>
          <cell r="D4320" t="str">
            <v>Price</v>
          </cell>
          <cell r="E4320" t="str">
            <v>Price Level</v>
          </cell>
          <cell r="F4320" t="str">
            <v>Alternative</v>
          </cell>
          <cell r="G4320" t="str">
            <v>Other</v>
          </cell>
          <cell r="H4320" t="str">
            <v>ALTS</v>
          </cell>
          <cell r="I4320" t="str">
            <v>Mortgage</v>
          </cell>
        </row>
        <row r="4321">
          <cell r="A4321" t="str">
            <v>USD_ALTA_FIXED</v>
          </cell>
          <cell r="B4321" t="str">
            <v>Alt-A Fixed</v>
          </cell>
          <cell r="C4321" t="str">
            <v>BRS_GOLD__5_SPREADS:BRS_GOLD__3_OTHER_SPREADS:BRS_GOLD__1_MTG,TBA_ALL,PAYUP,NONAGENCY,MORT_IDIO,CRT,CRT_SP_RISK:BRS_GOLD__1_MTG-BASIS:USD_ALTA_FIXED</v>
          </cell>
          <cell r="D4321" t="str">
            <v>Price</v>
          </cell>
          <cell r="E4321" t="str">
            <v>Price Level</v>
          </cell>
          <cell r="F4321" t="str">
            <v>Alternative</v>
          </cell>
          <cell r="G4321" t="str">
            <v>Other</v>
          </cell>
          <cell r="H4321" t="str">
            <v>ALTS</v>
          </cell>
          <cell r="I4321" t="str">
            <v>Mortgage</v>
          </cell>
        </row>
        <row r="4322">
          <cell r="A4322" t="str">
            <v>USD_CRT_A</v>
          </cell>
          <cell r="B4322" t="str">
            <v>CRT A</v>
          </cell>
          <cell r="C4322" t="str">
            <v>BRS_GOLD__5_SPREADS:BRS_GOLD__3_OTHER_SPREADS:BRS_GOLD__1_MTG,TBA_ALL,PAYUP,NONAGENCY,MORT_IDIO,CRT,CRT_SP_RISK:CRT:USD_CRT_A</v>
          </cell>
          <cell r="D4322" t="str">
            <v>Price</v>
          </cell>
          <cell r="E4322" t="str">
            <v>Price Level</v>
          </cell>
          <cell r="F4322" t="str">
            <v>Alternative</v>
          </cell>
          <cell r="G4322" t="str">
            <v>Other</v>
          </cell>
          <cell r="H4322" t="str">
            <v>ALTS</v>
          </cell>
          <cell r="I4322" t="str">
            <v>Mortgage</v>
          </cell>
        </row>
        <row r="4323">
          <cell r="A4323" t="str">
            <v>USD_CRT_BBB</v>
          </cell>
          <cell r="B4323" t="str">
            <v>CRT BBB</v>
          </cell>
          <cell r="C4323" t="str">
            <v>BRS_GOLD__5_SPREADS:BRS_GOLD__3_OTHER_SPREADS:BRS_GOLD__1_MTG,TBA_ALL,PAYUP,NONAGENCY,MORT_IDIO,CRT,CRT_SP_RISK:CRT:USD_CRT_BBB</v>
          </cell>
          <cell r="D4323" t="str">
            <v>Price</v>
          </cell>
          <cell r="E4323" t="str">
            <v>Price Level</v>
          </cell>
          <cell r="F4323" t="str">
            <v>Alternative</v>
          </cell>
          <cell r="G4323" t="str">
            <v>Other</v>
          </cell>
          <cell r="H4323" t="str">
            <v>ALTS</v>
          </cell>
          <cell r="I4323" t="str">
            <v>Mortgage</v>
          </cell>
        </row>
        <row r="4324">
          <cell r="A4324" t="str">
            <v>USD_CRT_BB</v>
          </cell>
          <cell r="B4324" t="str">
            <v>CRT BB</v>
          </cell>
          <cell r="C4324" t="str">
            <v>BRS_GOLD__5_SPREADS:BRS_GOLD__3_OTHER_SPREADS:BRS_GOLD__1_MTG,TBA_ALL,PAYUP,NONAGENCY,MORT_IDIO,CRT,CRT_SP_RISK:CRT:USD_CRT_BB</v>
          </cell>
          <cell r="D4324" t="str">
            <v>Price</v>
          </cell>
          <cell r="E4324" t="str">
            <v>Price Level</v>
          </cell>
          <cell r="F4324" t="str">
            <v>Alternative</v>
          </cell>
          <cell r="G4324" t="str">
            <v>Other</v>
          </cell>
          <cell r="H4324" t="str">
            <v>ALTS</v>
          </cell>
          <cell r="I4324" t="str">
            <v>Mortgage</v>
          </cell>
        </row>
        <row r="4325">
          <cell r="A4325" t="str">
            <v>USD_CRT_NR</v>
          </cell>
          <cell r="B4325" t="str">
            <v>CRT NR</v>
          </cell>
          <cell r="C4325" t="str">
            <v>BRS_GOLD__5_SPREADS:BRS_GOLD__3_OTHER_SPREADS:BRS_GOLD__1_MTG,TBA_ALL,PAYUP,NONAGENCY,MORT_IDIO,CRT,CRT_SP_RISK:CRT:USD_CRT_NR</v>
          </cell>
          <cell r="D4325" t="str">
            <v>Price</v>
          </cell>
          <cell r="E4325" t="str">
            <v>Price Level</v>
          </cell>
          <cell r="F4325" t="str">
            <v>Alternative</v>
          </cell>
          <cell r="G4325" t="str">
            <v>Other</v>
          </cell>
          <cell r="H4325" t="str">
            <v>ALTS</v>
          </cell>
          <cell r="I4325" t="str">
            <v>Mortgage</v>
          </cell>
        </row>
        <row r="4326">
          <cell r="A4326" t="str">
            <v>USD_CN_SOE</v>
          </cell>
          <cell r="B4326" t="str">
            <v>China State Owned</v>
          </cell>
          <cell r="C4326" t="str">
            <v>BRS_GOLD__5_SPREADS:USD_EM_DS,EM_IDIO,US_CDX_EM,EM_CORP_EE,EM_CORP_MIDAF,EM_CORP_SA:EM_CORP-NUSD_EM,EM_CORP_EE,EM_CORP_MIDAF,EM_CORP_SA:EM_ASIA-NUSD_EM:EM_ASIA_CN-NUSD_EM:USD_CN_SOE</v>
          </cell>
          <cell r="D4326" t="str">
            <v>Spread Duration</v>
          </cell>
          <cell r="E4326" t="str">
            <v>Spread Yield (DxS)</v>
          </cell>
          <cell r="F4326" t="str">
            <v>SP-Other</v>
          </cell>
          <cell r="G4326" t="str">
            <v>SP-Other</v>
          </cell>
          <cell r="H4326" t="str">
            <v>SPREADS</v>
          </cell>
          <cell r="I4326" t="str">
            <v>Corporate HY USD - Industry</v>
          </cell>
        </row>
        <row r="4327">
          <cell r="A4327" t="str">
            <v>USD_IN_SOE</v>
          </cell>
          <cell r="B4327" t="str">
            <v>India State Owned</v>
          </cell>
          <cell r="C4327" t="str">
            <v>BRS_GOLD__5_SPREADS:USD_EM_DS,EM_IDIO,US_CDX_EM,EM_CORP_EE,EM_CORP_MIDAF,EM_CORP_SA:EM_CORP-NUSD_EM,EM_CORP_EE,EM_CORP_MIDAF,EM_CORP_SA:EM_ASIA-NUSD_EM:EM_ASIA_IN-NUSD_EM:USD_IN_SOE</v>
          </cell>
          <cell r="D4327" t="str">
            <v>Spread Duration</v>
          </cell>
          <cell r="E4327" t="str">
            <v>Spread Yield (DxS)</v>
          </cell>
          <cell r="F4327" t="str">
            <v>SP-Other</v>
          </cell>
          <cell r="G4327" t="str">
            <v>SP-Other</v>
          </cell>
          <cell r="H4327" t="str">
            <v>SPREADS</v>
          </cell>
          <cell r="I4327" t="str">
            <v>Corporate HY USD - Industry</v>
          </cell>
        </row>
        <row r="4328">
          <cell r="A4328" t="str">
            <v>USD_KR_SOE</v>
          </cell>
          <cell r="B4328" t="str">
            <v>Korea State Owned</v>
          </cell>
          <cell r="C4328" t="str">
            <v>BRS_GOLD__5_SPREADS:USD_EM_DS,EM_IDIO,US_CDX_EM,EM_CORP_EE,EM_CORP_MIDAF,EM_CORP_SA:EM_CORP-NUSD_EM,EM_CORP_EE,EM_CORP_MIDAF,EM_CORP_SA:EM_ASIA-NUSD_EM:EM_ASIA_KR-NUSD_EM:USD_KR_SOE</v>
          </cell>
          <cell r="D4328" t="str">
            <v>Spread Duration</v>
          </cell>
          <cell r="E4328" t="str">
            <v>Spread Yield (DxS)</v>
          </cell>
          <cell r="F4328" t="str">
            <v>SP-Other</v>
          </cell>
          <cell r="G4328" t="str">
            <v>SP-Other</v>
          </cell>
          <cell r="H4328" t="str">
            <v>SPREADS</v>
          </cell>
          <cell r="I4328" t="str">
            <v>Corporate HY USD - Industry</v>
          </cell>
        </row>
        <row r="4329">
          <cell r="A4329" t="str">
            <v>GSCIINDX</v>
          </cell>
          <cell r="B4329" t="str">
            <v>GSCI</v>
          </cell>
          <cell r="C4329" t="str">
            <v>ALTERNATIVE:COMD:GSCIINDX</v>
          </cell>
          <cell r="D4329" t="str">
            <v>Commodity</v>
          </cell>
          <cell r="E4329" t="str">
            <v>Price Level</v>
          </cell>
          <cell r="F4329" t="str">
            <v>Alternative</v>
          </cell>
          <cell r="G4329" t="str">
            <v>Other</v>
          </cell>
          <cell r="H4329" t="str">
            <v>ALTS</v>
          </cell>
          <cell r="I4329" t="str">
            <v>Alternative - Commodity</v>
          </cell>
        </row>
        <row r="4330">
          <cell r="A4330" t="str">
            <v>GSENSPOT</v>
          </cell>
          <cell r="B4330" t="str">
            <v>GSCI ENERGY</v>
          </cell>
          <cell r="C4330" t="str">
            <v>ALTERNATIVE:COMD:GSENSPOT</v>
          </cell>
          <cell r="D4330" t="str">
            <v>Commodity</v>
          </cell>
          <cell r="E4330" t="str">
            <v>Price Level</v>
          </cell>
          <cell r="F4330" t="str">
            <v>Alternative</v>
          </cell>
          <cell r="G4330" t="str">
            <v>Other</v>
          </cell>
          <cell r="H4330" t="str">
            <v>ALTS</v>
          </cell>
          <cell r="I4330" t="str">
            <v>Alternative - Commodity</v>
          </cell>
        </row>
        <row r="4331">
          <cell r="A4331" t="str">
            <v>GSINSPOT</v>
          </cell>
          <cell r="B4331" t="str">
            <v>GSCI INDUSTRIAL METALS</v>
          </cell>
          <cell r="C4331" t="str">
            <v>ALTERNATIVE:COMD:GSINSPOT</v>
          </cell>
          <cell r="D4331" t="str">
            <v>Commodity</v>
          </cell>
          <cell r="E4331" t="str">
            <v>Price Level</v>
          </cell>
          <cell r="F4331" t="str">
            <v>Alternative</v>
          </cell>
          <cell r="G4331" t="str">
            <v>Other</v>
          </cell>
          <cell r="H4331" t="str">
            <v>ALTS</v>
          </cell>
          <cell r="I4331" t="str">
            <v>Alternative - Commodity</v>
          </cell>
        </row>
        <row r="4332">
          <cell r="A4332" t="str">
            <v>GSPMSPOT</v>
          </cell>
          <cell r="B4332" t="str">
            <v>GSCI PRECIOUS METALS</v>
          </cell>
          <cell r="C4332" t="str">
            <v>ALTERNATIVE:COMD:GSPMSPOT</v>
          </cell>
          <cell r="D4332" t="str">
            <v>Commodity</v>
          </cell>
          <cell r="E4332" t="str">
            <v>Price Level</v>
          </cell>
          <cell r="F4332" t="str">
            <v>Alternative</v>
          </cell>
          <cell r="G4332" t="str">
            <v>Other</v>
          </cell>
          <cell r="H4332" t="str">
            <v>ALTS</v>
          </cell>
          <cell r="I4332" t="str">
            <v>Alternative - Commodity</v>
          </cell>
        </row>
        <row r="4333">
          <cell r="A4333" t="str">
            <v>GSSASPOT</v>
          </cell>
          <cell r="B4333" t="str">
            <v>GSCI AGRICULTURE</v>
          </cell>
          <cell r="C4333" t="str">
            <v>ALTERNATIVE:COMD:GSSASPOT</v>
          </cell>
          <cell r="D4333" t="str">
            <v>Commodity</v>
          </cell>
          <cell r="E4333" t="str">
            <v>Price Level</v>
          </cell>
          <cell r="F4333" t="str">
            <v>Alternative</v>
          </cell>
          <cell r="G4333" t="str">
            <v>Other</v>
          </cell>
          <cell r="H4333" t="str">
            <v>ALTS</v>
          </cell>
          <cell r="I4333" t="str">
            <v>Alternative - Commodity</v>
          </cell>
        </row>
        <row r="4334">
          <cell r="A4334" t="str">
            <v>GSLVSPOT</v>
          </cell>
          <cell r="B4334" t="str">
            <v>GSCI LIVESTOCK</v>
          </cell>
          <cell r="C4334" t="str">
            <v>ALTERNATIVE:COMD:GSLVSPOT</v>
          </cell>
          <cell r="D4334" t="str">
            <v>Commodity</v>
          </cell>
          <cell r="E4334" t="str">
            <v>Price Level</v>
          </cell>
          <cell r="F4334" t="str">
            <v>Alternative</v>
          </cell>
          <cell r="G4334" t="str">
            <v>Other</v>
          </cell>
          <cell r="H4334" t="str">
            <v>ALTS</v>
          </cell>
          <cell r="I4334" t="str">
            <v>Alternative - Commodity</v>
          </cell>
        </row>
        <row r="4335">
          <cell r="A4335" t="str">
            <v>USD_COMD_AL_1</v>
          </cell>
          <cell r="B4335" t="str">
            <v>Aluminum CMX 1</v>
          </cell>
          <cell r="C4335" t="str">
            <v>ALTERNATIVE:COMD:USD_COMD_AL_1</v>
          </cell>
          <cell r="D4335" t="str">
            <v>Commodity</v>
          </cell>
          <cell r="E4335" t="str">
            <v>Price Level</v>
          </cell>
          <cell r="F4335" t="str">
            <v>Alternative</v>
          </cell>
          <cell r="G4335" t="str">
            <v>Other</v>
          </cell>
          <cell r="H4335" t="str">
            <v>ALTS</v>
          </cell>
          <cell r="I4335" t="str">
            <v>Alternative - Commodity</v>
          </cell>
        </row>
        <row r="4336">
          <cell r="A4336" t="str">
            <v>USD_COMD_BO_1</v>
          </cell>
          <cell r="B4336" t="str">
            <v>Soybean Oil CBOT 1</v>
          </cell>
          <cell r="C4336" t="str">
            <v>ALTERNATIVE:COMD:USD_COMD_BO_1</v>
          </cell>
          <cell r="D4336" t="str">
            <v>Commodity</v>
          </cell>
          <cell r="E4336" t="str">
            <v>Price Level</v>
          </cell>
          <cell r="F4336" t="str">
            <v>Alternative</v>
          </cell>
          <cell r="G4336" t="str">
            <v>Other</v>
          </cell>
          <cell r="H4336" t="str">
            <v>ALTS</v>
          </cell>
          <cell r="I4336" t="str">
            <v>Alternative - Commodity</v>
          </cell>
        </row>
        <row r="4337">
          <cell r="A4337" t="str">
            <v>USD_COMD_C_1</v>
          </cell>
          <cell r="B4337" t="str">
            <v>Corn CBOT 1</v>
          </cell>
          <cell r="C4337" t="str">
            <v>ALTERNATIVE:COMD:USD_COMD_C_1</v>
          </cell>
          <cell r="D4337" t="str">
            <v>Commodity</v>
          </cell>
          <cell r="E4337" t="str">
            <v>Price Level</v>
          </cell>
          <cell r="F4337" t="str">
            <v>Alternative</v>
          </cell>
          <cell r="G4337" t="str">
            <v>Other</v>
          </cell>
          <cell r="H4337" t="str">
            <v>ALTS</v>
          </cell>
          <cell r="I4337" t="str">
            <v>Alternative - Commodity</v>
          </cell>
        </row>
        <row r="4338">
          <cell r="A4338" t="str">
            <v>USD_COMD_CC_1</v>
          </cell>
          <cell r="B4338" t="str">
            <v>Cocoa NYBOT 1</v>
          </cell>
          <cell r="C4338" t="str">
            <v>ALTERNATIVE:COMD:USD_COMD_CC_1</v>
          </cell>
          <cell r="D4338" t="str">
            <v>Commodity</v>
          </cell>
          <cell r="E4338" t="str">
            <v>Price Level</v>
          </cell>
          <cell r="F4338" t="str">
            <v>Alternative</v>
          </cell>
          <cell r="G4338" t="str">
            <v>Other</v>
          </cell>
          <cell r="H4338" t="str">
            <v>ALTS</v>
          </cell>
          <cell r="I4338" t="str">
            <v>Alternative - Commodity</v>
          </cell>
        </row>
        <row r="4339">
          <cell r="A4339" t="str">
            <v>USD_COMD_CL_1</v>
          </cell>
          <cell r="B4339" t="str">
            <v>Crude Oil NYME 1</v>
          </cell>
          <cell r="C4339" t="str">
            <v>ALTERNATIVE:COMD:USD_COMD_CL_1</v>
          </cell>
          <cell r="D4339" t="str">
            <v>Commodity</v>
          </cell>
          <cell r="E4339" t="str">
            <v>Price Level</v>
          </cell>
          <cell r="F4339" t="str">
            <v>Alternative</v>
          </cell>
          <cell r="G4339" t="str">
            <v>Other</v>
          </cell>
          <cell r="H4339" t="str">
            <v>ALTS</v>
          </cell>
          <cell r="I4339" t="str">
            <v>Alternative - Commodity</v>
          </cell>
        </row>
        <row r="4340">
          <cell r="A4340" t="str">
            <v>USD_COMD_CO_1</v>
          </cell>
          <cell r="B4340" t="str">
            <v>Brent Crude ICE 1</v>
          </cell>
          <cell r="C4340" t="str">
            <v>ALTERNATIVE:COMD:USD_COMD_CO_1</v>
          </cell>
          <cell r="D4340" t="str">
            <v>Commodity</v>
          </cell>
          <cell r="E4340" t="str">
            <v>Price Level</v>
          </cell>
          <cell r="F4340" t="str">
            <v>Alternative</v>
          </cell>
          <cell r="G4340" t="str">
            <v>Other</v>
          </cell>
          <cell r="H4340" t="str">
            <v>ALTS</v>
          </cell>
          <cell r="I4340" t="str">
            <v>Alternative - Commodity</v>
          </cell>
        </row>
        <row r="4341">
          <cell r="A4341" t="str">
            <v>USD_COMD_CT_1</v>
          </cell>
          <cell r="B4341" t="str">
            <v>Cotton NYBOT 1</v>
          </cell>
          <cell r="C4341" t="str">
            <v>ALTERNATIVE:COMD:USD_COMD_CT_1</v>
          </cell>
          <cell r="D4341" t="str">
            <v>Commodity</v>
          </cell>
          <cell r="E4341" t="str">
            <v>Price Level</v>
          </cell>
          <cell r="F4341" t="str">
            <v>Alternative</v>
          </cell>
          <cell r="G4341" t="str">
            <v>Other</v>
          </cell>
          <cell r="H4341" t="str">
            <v>ALTS</v>
          </cell>
          <cell r="I4341" t="str">
            <v>Alternative - Commodity</v>
          </cell>
        </row>
        <row r="4342">
          <cell r="A4342" t="str">
            <v>USD_COMD_DA_1</v>
          </cell>
          <cell r="B4342" t="str">
            <v>Milk CME 1</v>
          </cell>
          <cell r="C4342" t="str">
            <v>ALTERNATIVE:COMD:USD_COMD_DA_1</v>
          </cell>
          <cell r="D4342" t="str">
            <v>Commodity</v>
          </cell>
          <cell r="E4342" t="str">
            <v>Price Level</v>
          </cell>
          <cell r="F4342" t="str">
            <v>Alternative</v>
          </cell>
          <cell r="G4342" t="str">
            <v>Other</v>
          </cell>
          <cell r="H4342" t="str">
            <v>ALTS</v>
          </cell>
          <cell r="I4342" t="str">
            <v>Alternative - Commodity</v>
          </cell>
        </row>
        <row r="4343">
          <cell r="A4343" t="str">
            <v>USD_COMD_FC_1</v>
          </cell>
          <cell r="B4343" t="str">
            <v>Feeder Cattle CME 1</v>
          </cell>
          <cell r="C4343" t="str">
            <v>ALTERNATIVE:COMD:USD_COMD_FC_1</v>
          </cell>
          <cell r="D4343" t="str">
            <v>Commodity</v>
          </cell>
          <cell r="E4343" t="str">
            <v>Price Level</v>
          </cell>
          <cell r="F4343" t="str">
            <v>Alternative</v>
          </cell>
          <cell r="G4343" t="str">
            <v>Other</v>
          </cell>
          <cell r="H4343" t="str">
            <v>ALTS</v>
          </cell>
          <cell r="I4343" t="str">
            <v>Alternative - Commodity</v>
          </cell>
        </row>
        <row r="4344">
          <cell r="A4344" t="str">
            <v>USD_COMD_GC_1</v>
          </cell>
          <cell r="B4344" t="str">
            <v>Gold COMEX 1</v>
          </cell>
          <cell r="C4344" t="str">
            <v>ALTERNATIVE:COMD:USD_COMD_GC_1</v>
          </cell>
          <cell r="D4344" t="str">
            <v>Commodity</v>
          </cell>
          <cell r="E4344" t="str">
            <v>Price Level</v>
          </cell>
          <cell r="F4344" t="str">
            <v>Alternative</v>
          </cell>
          <cell r="G4344" t="str">
            <v>Other</v>
          </cell>
          <cell r="H4344" t="str">
            <v>ALTS</v>
          </cell>
          <cell r="I4344" t="str">
            <v>Alternative - Commodity</v>
          </cell>
        </row>
        <row r="4345">
          <cell r="A4345" t="str">
            <v>USD_COMD_HG_1</v>
          </cell>
          <cell r="B4345" t="str">
            <v>Copper CMX 1</v>
          </cell>
          <cell r="C4345" t="str">
            <v>ALTERNATIVE:COMD:USD_COMD_HG_1</v>
          </cell>
          <cell r="D4345" t="str">
            <v>Commodity</v>
          </cell>
          <cell r="E4345" t="str">
            <v>Price Level</v>
          </cell>
          <cell r="F4345" t="str">
            <v>Alternative</v>
          </cell>
          <cell r="G4345" t="str">
            <v>Other</v>
          </cell>
          <cell r="H4345" t="str">
            <v>ALTS</v>
          </cell>
          <cell r="I4345" t="str">
            <v>Alternative - Commodity</v>
          </cell>
        </row>
        <row r="4346">
          <cell r="A4346" t="str">
            <v>USD_COMD_HO_1</v>
          </cell>
          <cell r="B4346" t="str">
            <v>Heating Oil NYME 1</v>
          </cell>
          <cell r="C4346" t="str">
            <v>ALTERNATIVE:COMD:USD_COMD_HO_1</v>
          </cell>
          <cell r="D4346" t="str">
            <v>Commodity</v>
          </cell>
          <cell r="E4346" t="str">
            <v>Price Level</v>
          </cell>
          <cell r="F4346" t="str">
            <v>Alternative</v>
          </cell>
          <cell r="G4346" t="str">
            <v>Other</v>
          </cell>
          <cell r="H4346" t="str">
            <v>ALTS</v>
          </cell>
          <cell r="I4346" t="str">
            <v>Alternative - Commodity</v>
          </cell>
        </row>
        <row r="4347">
          <cell r="A4347" t="str">
            <v>USD_COMD_HU_1</v>
          </cell>
          <cell r="B4347" t="str">
            <v>Unleaded Gas NYME 1</v>
          </cell>
          <cell r="C4347" t="str">
            <v>ALTERNATIVE:COMD:USD_COMD_HU_1</v>
          </cell>
          <cell r="D4347" t="str">
            <v>Commodity</v>
          </cell>
          <cell r="E4347" t="str">
            <v>Price Level</v>
          </cell>
          <cell r="F4347" t="str">
            <v>Alternative</v>
          </cell>
          <cell r="G4347" t="str">
            <v>Other</v>
          </cell>
          <cell r="H4347" t="str">
            <v>ALTS</v>
          </cell>
          <cell r="I4347" t="str">
            <v>Alternative - Commodity</v>
          </cell>
        </row>
        <row r="4348">
          <cell r="A4348" t="str">
            <v>USD_COMD_KC_1</v>
          </cell>
          <cell r="B4348" t="str">
            <v>Coffee NYBOT 1</v>
          </cell>
          <cell r="C4348" t="str">
            <v>ALTERNATIVE:COMD:USD_COMD_KC_1</v>
          </cell>
          <cell r="D4348" t="str">
            <v>Commodity</v>
          </cell>
          <cell r="E4348" t="str">
            <v>Price Level</v>
          </cell>
          <cell r="F4348" t="str">
            <v>Alternative</v>
          </cell>
          <cell r="G4348" t="str">
            <v>Other</v>
          </cell>
          <cell r="H4348" t="str">
            <v>ALTS</v>
          </cell>
          <cell r="I4348" t="str">
            <v>Alternative - Commodity</v>
          </cell>
        </row>
        <row r="4349">
          <cell r="A4349" t="str">
            <v>USD_COMD_KW_1</v>
          </cell>
          <cell r="B4349" t="str">
            <v>Wheat KCBT 1</v>
          </cell>
          <cell r="C4349" t="str">
            <v>ALTERNATIVE:COMD:USD_COMD_KW_1</v>
          </cell>
          <cell r="D4349" t="str">
            <v>Commodity</v>
          </cell>
          <cell r="E4349" t="str">
            <v>Price Level</v>
          </cell>
          <cell r="F4349" t="str">
            <v>Alternative</v>
          </cell>
          <cell r="G4349" t="str">
            <v>Other</v>
          </cell>
          <cell r="H4349" t="str">
            <v>ALTS</v>
          </cell>
          <cell r="I4349" t="str">
            <v>Alternative - Commodity</v>
          </cell>
        </row>
        <row r="4350">
          <cell r="A4350" t="str">
            <v>USD_COMD_LA_1</v>
          </cell>
          <cell r="B4350" t="str">
            <v>Aluminum LME 1</v>
          </cell>
          <cell r="C4350" t="str">
            <v>ALTERNATIVE:COMD:USD_COMD_LA_1</v>
          </cell>
          <cell r="D4350" t="str">
            <v>Commodity</v>
          </cell>
          <cell r="E4350" t="str">
            <v>Price Level</v>
          </cell>
          <cell r="F4350" t="str">
            <v>Alternative</v>
          </cell>
          <cell r="G4350" t="str">
            <v>Other</v>
          </cell>
          <cell r="H4350" t="str">
            <v>ALTS</v>
          </cell>
          <cell r="I4350" t="str">
            <v>Alternative - Commodity</v>
          </cell>
        </row>
        <row r="4351">
          <cell r="A4351" t="str">
            <v>USD_COMD_LB_1</v>
          </cell>
          <cell r="B4351" t="str">
            <v>Lumber CME 1</v>
          </cell>
          <cell r="C4351" t="str">
            <v>ALTERNATIVE:COMD:USD_COMD_LB_1</v>
          </cell>
          <cell r="D4351" t="str">
            <v>Commodity</v>
          </cell>
          <cell r="E4351" t="str">
            <v>Price Level</v>
          </cell>
          <cell r="F4351" t="str">
            <v>Alternative</v>
          </cell>
          <cell r="G4351" t="str">
            <v>Other</v>
          </cell>
          <cell r="H4351" t="str">
            <v>ALTS</v>
          </cell>
          <cell r="I4351" t="str">
            <v>Alternative - Commodity</v>
          </cell>
        </row>
        <row r="4352">
          <cell r="A4352" t="str">
            <v>USD_COMD_LC_1</v>
          </cell>
          <cell r="B4352" t="str">
            <v>Live Cattle CME 1</v>
          </cell>
          <cell r="C4352" t="str">
            <v>ALTERNATIVE:COMD:USD_COMD_LC_1</v>
          </cell>
          <cell r="D4352" t="str">
            <v>Commodity</v>
          </cell>
          <cell r="E4352" t="str">
            <v>Price Level</v>
          </cell>
          <cell r="F4352" t="str">
            <v>Alternative</v>
          </cell>
          <cell r="G4352" t="str">
            <v>Other</v>
          </cell>
          <cell r="H4352" t="str">
            <v>ALTS</v>
          </cell>
          <cell r="I4352" t="str">
            <v>Alternative - Commodity</v>
          </cell>
        </row>
        <row r="4353">
          <cell r="A4353" t="str">
            <v>USD_COMD_LH_1</v>
          </cell>
          <cell r="B4353" t="str">
            <v>Lean Hogs CME 1</v>
          </cell>
          <cell r="C4353" t="str">
            <v>ALTERNATIVE:COMD:USD_COMD_LH_1</v>
          </cell>
          <cell r="D4353" t="str">
            <v>Commodity</v>
          </cell>
          <cell r="E4353" t="str">
            <v>Price Level</v>
          </cell>
          <cell r="F4353" t="str">
            <v>Alternative</v>
          </cell>
          <cell r="G4353" t="str">
            <v>Other</v>
          </cell>
          <cell r="H4353" t="str">
            <v>ALTS</v>
          </cell>
          <cell r="I4353" t="str">
            <v>Alternative - Commodity</v>
          </cell>
        </row>
        <row r="4354">
          <cell r="A4354" t="str">
            <v>USD_COMD_LL_1</v>
          </cell>
          <cell r="B4354" t="str">
            <v>Lead LME 1</v>
          </cell>
          <cell r="C4354" t="str">
            <v>ALTERNATIVE:COMD:USD_COMD_LL_1</v>
          </cell>
          <cell r="D4354" t="str">
            <v>Commodity</v>
          </cell>
          <cell r="E4354" t="str">
            <v>Price Level</v>
          </cell>
          <cell r="F4354" t="str">
            <v>Alternative</v>
          </cell>
          <cell r="G4354" t="str">
            <v>Other</v>
          </cell>
          <cell r="H4354" t="str">
            <v>ALTS</v>
          </cell>
          <cell r="I4354" t="str">
            <v>Alternative - Commodity</v>
          </cell>
        </row>
        <row r="4355">
          <cell r="A4355" t="str">
            <v>USD_COMD_LN_1</v>
          </cell>
          <cell r="B4355" t="str">
            <v>Nickel LME 1</v>
          </cell>
          <cell r="C4355" t="str">
            <v>ALTERNATIVE:COMD:USD_COMD_LN_1</v>
          </cell>
          <cell r="D4355" t="str">
            <v>Commodity</v>
          </cell>
          <cell r="E4355" t="str">
            <v>Price Level</v>
          </cell>
          <cell r="F4355" t="str">
            <v>Alternative</v>
          </cell>
          <cell r="G4355" t="str">
            <v>Other</v>
          </cell>
          <cell r="H4355" t="str">
            <v>ALTS</v>
          </cell>
          <cell r="I4355" t="str">
            <v>Alternative - Commodity</v>
          </cell>
        </row>
        <row r="4356">
          <cell r="A4356" t="str">
            <v>USD_COMD_LP_1</v>
          </cell>
          <cell r="B4356" t="str">
            <v>Copper LME 1</v>
          </cell>
          <cell r="C4356" t="str">
            <v>ALTERNATIVE:COMD:USD_COMD_LP_1</v>
          </cell>
          <cell r="D4356" t="str">
            <v>Commodity</v>
          </cell>
          <cell r="E4356" t="str">
            <v>Price Level</v>
          </cell>
          <cell r="F4356" t="str">
            <v>Alternative</v>
          </cell>
          <cell r="G4356" t="str">
            <v>Other</v>
          </cell>
          <cell r="H4356" t="str">
            <v>ALTS</v>
          </cell>
          <cell r="I4356" t="str">
            <v>Alternative - Commodity</v>
          </cell>
        </row>
        <row r="4357">
          <cell r="A4357" t="str">
            <v>USD_COMD_LX_1</v>
          </cell>
          <cell r="B4357" t="str">
            <v>Zinc LME 1</v>
          </cell>
          <cell r="C4357" t="str">
            <v>ALTERNATIVE:COMD:USD_COMD_LX_1</v>
          </cell>
          <cell r="D4357" t="str">
            <v>Commodity</v>
          </cell>
          <cell r="E4357" t="str">
            <v>Price Level</v>
          </cell>
          <cell r="F4357" t="str">
            <v>Alternative</v>
          </cell>
          <cell r="G4357" t="str">
            <v>Other</v>
          </cell>
          <cell r="H4357" t="str">
            <v>ALTS</v>
          </cell>
          <cell r="I4357" t="str">
            <v>Alternative - Commodity</v>
          </cell>
        </row>
        <row r="4358">
          <cell r="A4358" t="str">
            <v>USD_COMD_NG_1</v>
          </cell>
          <cell r="B4358" t="str">
            <v>Natural gas NYME 1</v>
          </cell>
          <cell r="C4358" t="str">
            <v>ALTERNATIVE:COMD:USD_COMD_NG_1</v>
          </cell>
          <cell r="D4358" t="str">
            <v>Commodity</v>
          </cell>
          <cell r="E4358" t="str">
            <v>Price Level</v>
          </cell>
          <cell r="F4358" t="str">
            <v>Alternative</v>
          </cell>
          <cell r="G4358" t="str">
            <v>Other</v>
          </cell>
          <cell r="H4358" t="str">
            <v>ALTS</v>
          </cell>
          <cell r="I4358" t="str">
            <v>Alternative - Commodity</v>
          </cell>
        </row>
        <row r="4359">
          <cell r="A4359" t="str">
            <v>USD_COMD_O_1</v>
          </cell>
          <cell r="B4359" t="str">
            <v>Oat CBOT 1</v>
          </cell>
          <cell r="C4359" t="str">
            <v>ALTERNATIVE:COMD:USD_COMD_O_1</v>
          </cell>
          <cell r="D4359" t="str">
            <v>Commodity</v>
          </cell>
          <cell r="E4359" t="str">
            <v>Price Level</v>
          </cell>
          <cell r="F4359" t="str">
            <v>Alternative</v>
          </cell>
          <cell r="G4359" t="str">
            <v>Other</v>
          </cell>
          <cell r="H4359" t="str">
            <v>ALTS</v>
          </cell>
          <cell r="I4359" t="str">
            <v>Alternative - Commodity</v>
          </cell>
        </row>
        <row r="4360">
          <cell r="A4360" t="str">
            <v>USD_COMD_PA_1</v>
          </cell>
          <cell r="B4360" t="str">
            <v>Palladium NYMEX 1</v>
          </cell>
          <cell r="C4360" t="str">
            <v>ALTERNATIVE:COMD:USD_COMD_PA_1</v>
          </cell>
          <cell r="D4360" t="str">
            <v>Commodity</v>
          </cell>
          <cell r="E4360" t="str">
            <v>Price Level</v>
          </cell>
          <cell r="F4360" t="str">
            <v>Alternative</v>
          </cell>
          <cell r="G4360" t="str">
            <v>Other</v>
          </cell>
          <cell r="H4360" t="str">
            <v>ALTS</v>
          </cell>
          <cell r="I4360" t="str">
            <v>Alternative - Commodity</v>
          </cell>
        </row>
        <row r="4361">
          <cell r="A4361" t="str">
            <v>USD_COMD_PL_1</v>
          </cell>
          <cell r="B4361" t="str">
            <v>Platinum NYMEX 1</v>
          </cell>
          <cell r="C4361" t="str">
            <v>ALTERNATIVE:COMD:USD_COMD_PL_1</v>
          </cell>
          <cell r="D4361" t="str">
            <v>Commodity</v>
          </cell>
          <cell r="E4361" t="str">
            <v>Price Level</v>
          </cell>
          <cell r="F4361" t="str">
            <v>Alternative</v>
          </cell>
          <cell r="G4361" t="str">
            <v>Other</v>
          </cell>
          <cell r="H4361" t="str">
            <v>ALTS</v>
          </cell>
          <cell r="I4361" t="str">
            <v>Alternative - Commodity</v>
          </cell>
        </row>
        <row r="4362">
          <cell r="A4362" t="str">
            <v>USD_COMD_QS_1</v>
          </cell>
          <cell r="B4362" t="str">
            <v>Gas Oil IE 1</v>
          </cell>
          <cell r="C4362" t="str">
            <v>ALTERNATIVE:COMD:USD_COMD_QS_1</v>
          </cell>
          <cell r="D4362" t="str">
            <v>Commodity</v>
          </cell>
          <cell r="E4362" t="str">
            <v>Price Level</v>
          </cell>
          <cell r="F4362" t="str">
            <v>Alternative</v>
          </cell>
          <cell r="G4362" t="str">
            <v>Other</v>
          </cell>
          <cell r="H4362" t="str">
            <v>ALTS</v>
          </cell>
          <cell r="I4362" t="str">
            <v>Alternative - Commodity</v>
          </cell>
        </row>
        <row r="4363">
          <cell r="A4363" t="str">
            <v>USD_COMD_RI_1</v>
          </cell>
          <cell r="B4363" t="str">
            <v>Rough Rice CBOT 1</v>
          </cell>
          <cell r="C4363" t="str">
            <v>ALTERNATIVE:COMD:USD_COMD_RI_1</v>
          </cell>
          <cell r="D4363" t="str">
            <v>Commodity</v>
          </cell>
          <cell r="E4363" t="str">
            <v>Price Level</v>
          </cell>
          <cell r="F4363" t="str">
            <v>Alternative</v>
          </cell>
          <cell r="G4363" t="str">
            <v>Other</v>
          </cell>
          <cell r="H4363" t="str">
            <v>ALTS</v>
          </cell>
          <cell r="I4363" t="str">
            <v>Alternative - Commodity</v>
          </cell>
        </row>
        <row r="4364">
          <cell r="A4364" t="str">
            <v>USD_COMD_S_1</v>
          </cell>
          <cell r="B4364" t="str">
            <v>Soybeans CBOT 1</v>
          </cell>
          <cell r="C4364" t="str">
            <v>ALTERNATIVE:COMD:USD_COMD_S_1</v>
          </cell>
          <cell r="D4364" t="str">
            <v>Commodity</v>
          </cell>
          <cell r="E4364" t="str">
            <v>Price Level</v>
          </cell>
          <cell r="F4364" t="str">
            <v>Alternative</v>
          </cell>
          <cell r="G4364" t="str">
            <v>Other</v>
          </cell>
          <cell r="H4364" t="str">
            <v>ALTS</v>
          </cell>
          <cell r="I4364" t="str">
            <v>Alternative - Commodity</v>
          </cell>
        </row>
        <row r="4365">
          <cell r="A4365" t="str">
            <v>USD_COMD_SB_1</v>
          </cell>
          <cell r="B4365" t="str">
            <v>Sugar NYBOT 1</v>
          </cell>
          <cell r="C4365" t="str">
            <v>ALTERNATIVE:COMD:USD_COMD_SB_1</v>
          </cell>
          <cell r="D4365" t="str">
            <v>Commodity</v>
          </cell>
          <cell r="E4365" t="str">
            <v>Price Level</v>
          </cell>
          <cell r="F4365" t="str">
            <v>Alternative</v>
          </cell>
          <cell r="G4365" t="str">
            <v>Other</v>
          </cell>
          <cell r="H4365" t="str">
            <v>ALTS</v>
          </cell>
          <cell r="I4365" t="str">
            <v>Alternative - Commodity</v>
          </cell>
        </row>
        <row r="4366">
          <cell r="A4366" t="str">
            <v>USD_COMD_SI_1</v>
          </cell>
          <cell r="B4366" t="str">
            <v>Silver COMEX 1</v>
          </cell>
          <cell r="C4366" t="str">
            <v>ALTERNATIVE:COMD:USD_COMD_SI_1</v>
          </cell>
          <cell r="D4366" t="str">
            <v>Commodity</v>
          </cell>
          <cell r="E4366" t="str">
            <v>Price Level</v>
          </cell>
          <cell r="F4366" t="str">
            <v>Alternative</v>
          </cell>
          <cell r="G4366" t="str">
            <v>Other</v>
          </cell>
          <cell r="H4366" t="str">
            <v>ALTS</v>
          </cell>
          <cell r="I4366" t="str">
            <v>Alternative - Commodity</v>
          </cell>
        </row>
        <row r="4367">
          <cell r="A4367" t="str">
            <v>USD_COMD_W_1</v>
          </cell>
          <cell r="B4367" t="str">
            <v>Wheat CBOT 1</v>
          </cell>
          <cell r="C4367" t="str">
            <v>ALTERNATIVE:COMD:USD_COMD_W_1</v>
          </cell>
          <cell r="D4367" t="str">
            <v>Commodity</v>
          </cell>
          <cell r="E4367" t="str">
            <v>Price Level</v>
          </cell>
          <cell r="F4367" t="str">
            <v>Alternative</v>
          </cell>
          <cell r="G4367" t="str">
            <v>Other</v>
          </cell>
          <cell r="H4367" t="str">
            <v>ALTS</v>
          </cell>
          <cell r="I4367" t="str">
            <v>Alternative - Commodity</v>
          </cell>
        </row>
        <row r="4368">
          <cell r="A4368" t="str">
            <v>USD_COMD_XB_1</v>
          </cell>
          <cell r="B4368" t="str">
            <v>Gasoline RBOB 1</v>
          </cell>
          <cell r="C4368" t="str">
            <v>ALTERNATIVE:COMD:USD_COMD_XB_1</v>
          </cell>
          <cell r="D4368" t="str">
            <v>Commodity</v>
          </cell>
          <cell r="E4368" t="str">
            <v>Price Level</v>
          </cell>
          <cell r="F4368" t="str">
            <v>Alternative</v>
          </cell>
          <cell r="G4368" t="str">
            <v>Other</v>
          </cell>
          <cell r="H4368" t="str">
            <v>ALTS</v>
          </cell>
          <cell r="I4368" t="str">
            <v>Alternative - Commodity</v>
          </cell>
        </row>
        <row r="4369">
          <cell r="A4369" t="str">
            <v>USD_COMD_AL_3</v>
          </cell>
          <cell r="B4369" t="str">
            <v>Aluminum CMX 3</v>
          </cell>
          <cell r="C4369" t="str">
            <v>ALTERNATIVE:COMD:USD_COMD_AL_3</v>
          </cell>
          <cell r="D4369" t="str">
            <v>Commodity</v>
          </cell>
          <cell r="E4369" t="str">
            <v>Price Level</v>
          </cell>
          <cell r="F4369" t="str">
            <v>Alternative</v>
          </cell>
          <cell r="G4369" t="str">
            <v>Other</v>
          </cell>
          <cell r="H4369" t="str">
            <v>ALTS</v>
          </cell>
          <cell r="I4369" t="str">
            <v>Alternative - Commodity</v>
          </cell>
        </row>
        <row r="4370">
          <cell r="A4370" t="str">
            <v>USD_COMD_BO_3</v>
          </cell>
          <cell r="B4370" t="str">
            <v>Soybean Oil CBOT 3</v>
          </cell>
          <cell r="C4370" t="str">
            <v>ALTERNATIVE:COMD:USD_COMD_BO_3</v>
          </cell>
          <cell r="D4370" t="str">
            <v>Commodity</v>
          </cell>
          <cell r="E4370" t="str">
            <v>Price Level</v>
          </cell>
          <cell r="F4370" t="str">
            <v>Alternative</v>
          </cell>
          <cell r="G4370" t="str">
            <v>Other</v>
          </cell>
          <cell r="H4370" t="str">
            <v>ALTS</v>
          </cell>
          <cell r="I4370" t="str">
            <v>Alternative - Commodity</v>
          </cell>
        </row>
        <row r="4371">
          <cell r="A4371" t="str">
            <v>USD_COMD_C_3</v>
          </cell>
          <cell r="B4371" t="str">
            <v>Corn CBOT 3</v>
          </cell>
          <cell r="C4371" t="str">
            <v>ALTERNATIVE:COMD:USD_COMD_C_3</v>
          </cell>
          <cell r="D4371" t="str">
            <v>Commodity</v>
          </cell>
          <cell r="E4371" t="str">
            <v>Price Level</v>
          </cell>
          <cell r="F4371" t="str">
            <v>Alternative</v>
          </cell>
          <cell r="G4371" t="str">
            <v>Other</v>
          </cell>
          <cell r="H4371" t="str">
            <v>ALTS</v>
          </cell>
          <cell r="I4371" t="str">
            <v>Alternative - Commodity</v>
          </cell>
        </row>
        <row r="4372">
          <cell r="A4372" t="str">
            <v>USD_COMD_CC_3</v>
          </cell>
          <cell r="B4372" t="str">
            <v>Cocoa NYBOT 3</v>
          </cell>
          <cell r="C4372" t="str">
            <v>ALTERNATIVE:COMD:USD_COMD_CC_3</v>
          </cell>
          <cell r="D4372" t="str">
            <v>Commodity</v>
          </cell>
          <cell r="E4372" t="str">
            <v>Price Level</v>
          </cell>
          <cell r="F4372" t="str">
            <v>Alternative</v>
          </cell>
          <cell r="G4372" t="str">
            <v>Other</v>
          </cell>
          <cell r="H4372" t="str">
            <v>ALTS</v>
          </cell>
          <cell r="I4372" t="str">
            <v>Alternative - Commodity</v>
          </cell>
        </row>
        <row r="4373">
          <cell r="A4373" t="str">
            <v>USD_COMD_CL_3</v>
          </cell>
          <cell r="B4373" t="str">
            <v>Crude Oil NYME 3</v>
          </cell>
          <cell r="C4373" t="str">
            <v>ALTERNATIVE:COMD:USD_COMD_CL_3</v>
          </cell>
          <cell r="D4373" t="str">
            <v>Commodity</v>
          </cell>
          <cell r="E4373" t="str">
            <v>Price Level</v>
          </cell>
          <cell r="F4373" t="str">
            <v>Alternative</v>
          </cell>
          <cell r="G4373" t="str">
            <v>Other</v>
          </cell>
          <cell r="H4373" t="str">
            <v>ALTS</v>
          </cell>
          <cell r="I4373" t="str">
            <v>Alternative - Commodity</v>
          </cell>
        </row>
        <row r="4374">
          <cell r="A4374" t="str">
            <v>USD_COMD_CO_3</v>
          </cell>
          <cell r="B4374" t="str">
            <v>Brent Crude ICE 3</v>
          </cell>
          <cell r="C4374" t="str">
            <v>ALTERNATIVE:COMD:USD_COMD_CO_3</v>
          </cell>
          <cell r="D4374" t="str">
            <v>Commodity</v>
          </cell>
          <cell r="E4374" t="str">
            <v>Price Level</v>
          </cell>
          <cell r="F4374" t="str">
            <v>Alternative</v>
          </cell>
          <cell r="G4374" t="str">
            <v>Other</v>
          </cell>
          <cell r="H4374" t="str">
            <v>ALTS</v>
          </cell>
          <cell r="I4374" t="str">
            <v>Alternative - Commodity</v>
          </cell>
        </row>
        <row r="4375">
          <cell r="A4375" t="str">
            <v>USD_COMD_CT_3</v>
          </cell>
          <cell r="B4375" t="str">
            <v>Cotton NYBOT 3</v>
          </cell>
          <cell r="C4375" t="str">
            <v>ALTERNATIVE:COMD:USD_COMD_CT_3</v>
          </cell>
          <cell r="D4375" t="str">
            <v>Commodity</v>
          </cell>
          <cell r="E4375" t="str">
            <v>Price Level</v>
          </cell>
          <cell r="F4375" t="str">
            <v>Alternative</v>
          </cell>
          <cell r="G4375" t="str">
            <v>Other</v>
          </cell>
          <cell r="H4375" t="str">
            <v>ALTS</v>
          </cell>
          <cell r="I4375" t="str">
            <v>Alternative - Commodity</v>
          </cell>
        </row>
        <row r="4376">
          <cell r="A4376" t="str">
            <v>USD_COMD_DA_3</v>
          </cell>
          <cell r="B4376" t="str">
            <v>Milk CME 3</v>
          </cell>
          <cell r="C4376" t="str">
            <v>ALTERNATIVE:COMD:USD_COMD_DA_3</v>
          </cell>
          <cell r="D4376" t="str">
            <v>Commodity</v>
          </cell>
          <cell r="E4376" t="str">
            <v>Price Level</v>
          </cell>
          <cell r="F4376" t="str">
            <v>Alternative</v>
          </cell>
          <cell r="G4376" t="str">
            <v>Other</v>
          </cell>
          <cell r="H4376" t="str">
            <v>ALTS</v>
          </cell>
          <cell r="I4376" t="str">
            <v>Alternative - Commodity</v>
          </cell>
        </row>
        <row r="4377">
          <cell r="A4377" t="str">
            <v>USD_COMD_FC_3</v>
          </cell>
          <cell r="B4377" t="str">
            <v>Feeder Cattle CME 3</v>
          </cell>
          <cell r="C4377" t="str">
            <v>ALTERNATIVE:COMD:USD_COMD_FC_3</v>
          </cell>
          <cell r="D4377" t="str">
            <v>Commodity</v>
          </cell>
          <cell r="E4377" t="str">
            <v>Price Level</v>
          </cell>
          <cell r="F4377" t="str">
            <v>Alternative</v>
          </cell>
          <cell r="G4377" t="str">
            <v>Other</v>
          </cell>
          <cell r="H4377" t="str">
            <v>ALTS</v>
          </cell>
          <cell r="I4377" t="str">
            <v>Alternative - Commodity</v>
          </cell>
        </row>
        <row r="4378">
          <cell r="A4378" t="str">
            <v>USD_COMD_GC_3</v>
          </cell>
          <cell r="B4378" t="str">
            <v>Gold COMEX 3</v>
          </cell>
          <cell r="C4378" t="str">
            <v>ALTERNATIVE:COMD:USD_COMD_GC_3</v>
          </cell>
          <cell r="D4378" t="str">
            <v>Commodity</v>
          </cell>
          <cell r="E4378" t="str">
            <v>Price Level</v>
          </cell>
          <cell r="F4378" t="str">
            <v>Alternative</v>
          </cell>
          <cell r="G4378" t="str">
            <v>Other</v>
          </cell>
          <cell r="H4378" t="str">
            <v>ALTS</v>
          </cell>
          <cell r="I4378" t="str">
            <v>Alternative - Commodity</v>
          </cell>
        </row>
        <row r="4379">
          <cell r="A4379" t="str">
            <v>USD_COMD_HG_3</v>
          </cell>
          <cell r="B4379" t="str">
            <v>Copper CMX 3</v>
          </cell>
          <cell r="C4379" t="str">
            <v>ALTERNATIVE:COMD:USD_COMD_HG_3</v>
          </cell>
          <cell r="D4379" t="str">
            <v>Commodity</v>
          </cell>
          <cell r="E4379" t="str">
            <v>Price Level</v>
          </cell>
          <cell r="F4379" t="str">
            <v>Alternative</v>
          </cell>
          <cell r="G4379" t="str">
            <v>Other</v>
          </cell>
          <cell r="H4379" t="str">
            <v>ALTS</v>
          </cell>
          <cell r="I4379" t="str">
            <v>Alternative - Commodity</v>
          </cell>
        </row>
        <row r="4380">
          <cell r="A4380" t="str">
            <v>USD_COMD_HO_3</v>
          </cell>
          <cell r="B4380" t="str">
            <v>Heating Oil NYME 3</v>
          </cell>
          <cell r="C4380" t="str">
            <v>ALTERNATIVE:COMD:USD_COMD_HO_3</v>
          </cell>
          <cell r="D4380" t="str">
            <v>Commodity</v>
          </cell>
          <cell r="E4380" t="str">
            <v>Price Level</v>
          </cell>
          <cell r="F4380" t="str">
            <v>Alternative</v>
          </cell>
          <cell r="G4380" t="str">
            <v>Other</v>
          </cell>
          <cell r="H4380" t="str">
            <v>ALTS</v>
          </cell>
          <cell r="I4380" t="str">
            <v>Alternative - Commodity</v>
          </cell>
        </row>
        <row r="4381">
          <cell r="A4381" t="str">
            <v>USD_COMD_HU_3</v>
          </cell>
          <cell r="B4381" t="str">
            <v>Unleaded Gas NYME 3</v>
          </cell>
          <cell r="C4381" t="str">
            <v>ALTERNATIVE:COMD:USD_COMD_HU_3</v>
          </cell>
          <cell r="D4381" t="str">
            <v>Commodity</v>
          </cell>
          <cell r="E4381" t="str">
            <v>Price Level</v>
          </cell>
          <cell r="F4381" t="str">
            <v>Alternative</v>
          </cell>
          <cell r="G4381" t="str">
            <v>Other</v>
          </cell>
          <cell r="H4381" t="str">
            <v>ALTS</v>
          </cell>
          <cell r="I4381" t="str">
            <v>Alternative - Commodity</v>
          </cell>
        </row>
        <row r="4382">
          <cell r="A4382" t="str">
            <v>USD_COMD_KC_3</v>
          </cell>
          <cell r="B4382" t="str">
            <v>Coffee NYBOT 3</v>
          </cell>
          <cell r="C4382" t="str">
            <v>ALTERNATIVE:COMD:USD_COMD_KC_3</v>
          </cell>
          <cell r="D4382" t="str">
            <v>Commodity</v>
          </cell>
          <cell r="E4382" t="str">
            <v>Price Level</v>
          </cell>
          <cell r="F4382" t="str">
            <v>Alternative</v>
          </cell>
          <cell r="G4382" t="str">
            <v>Other</v>
          </cell>
          <cell r="H4382" t="str">
            <v>ALTS</v>
          </cell>
          <cell r="I4382" t="str">
            <v>Alternative - Commodity</v>
          </cell>
        </row>
        <row r="4383">
          <cell r="A4383" t="str">
            <v>USD_COMD_KW_3</v>
          </cell>
          <cell r="B4383" t="str">
            <v>Wheat KCBT 3</v>
          </cell>
          <cell r="C4383" t="str">
            <v>ALTERNATIVE:COMD:USD_COMD_KW_3</v>
          </cell>
          <cell r="D4383" t="str">
            <v>Commodity</v>
          </cell>
          <cell r="E4383" t="str">
            <v>Price Level</v>
          </cell>
          <cell r="F4383" t="str">
            <v>Alternative</v>
          </cell>
          <cell r="G4383" t="str">
            <v>Other</v>
          </cell>
          <cell r="H4383" t="str">
            <v>ALTS</v>
          </cell>
          <cell r="I4383" t="str">
            <v>Alternative - Commodity</v>
          </cell>
        </row>
        <row r="4384">
          <cell r="A4384" t="str">
            <v>USD_COMD_LA_3</v>
          </cell>
          <cell r="B4384" t="str">
            <v>Aluminum LME 3</v>
          </cell>
          <cell r="C4384" t="str">
            <v>ALTERNATIVE:COMD:USD_COMD_LA_3</v>
          </cell>
          <cell r="D4384" t="str">
            <v>Commodity</v>
          </cell>
          <cell r="E4384" t="str">
            <v>Price Level</v>
          </cell>
          <cell r="F4384" t="str">
            <v>Alternative</v>
          </cell>
          <cell r="G4384" t="str">
            <v>Other</v>
          </cell>
          <cell r="H4384" t="str">
            <v>ALTS</v>
          </cell>
          <cell r="I4384" t="str">
            <v>Alternative - Commodity</v>
          </cell>
        </row>
        <row r="4385">
          <cell r="A4385" t="str">
            <v>USD_COMD_LB_3</v>
          </cell>
          <cell r="B4385" t="str">
            <v>Lumber CME 3</v>
          </cell>
          <cell r="C4385" t="str">
            <v>ALTERNATIVE:COMD:USD_COMD_LB_3</v>
          </cell>
          <cell r="D4385" t="str">
            <v>Commodity</v>
          </cell>
          <cell r="E4385" t="str">
            <v>Price Level</v>
          </cell>
          <cell r="F4385" t="str">
            <v>Alternative</v>
          </cell>
          <cell r="G4385" t="str">
            <v>Other</v>
          </cell>
          <cell r="H4385" t="str">
            <v>ALTS</v>
          </cell>
          <cell r="I4385" t="str">
            <v>Alternative - Commodity</v>
          </cell>
        </row>
        <row r="4386">
          <cell r="A4386" t="str">
            <v>USD_COMD_LC_3</v>
          </cell>
          <cell r="B4386" t="str">
            <v>Live Cattle CME 3</v>
          </cell>
          <cell r="C4386" t="str">
            <v>ALTERNATIVE:COMD:USD_COMD_LC_3</v>
          </cell>
          <cell r="D4386" t="str">
            <v>Commodity</v>
          </cell>
          <cell r="E4386" t="str">
            <v>Price Level</v>
          </cell>
          <cell r="F4386" t="str">
            <v>Alternative</v>
          </cell>
          <cell r="G4386" t="str">
            <v>Other</v>
          </cell>
          <cell r="H4386" t="str">
            <v>ALTS</v>
          </cell>
          <cell r="I4386" t="str">
            <v>Alternative - Commodity</v>
          </cell>
        </row>
        <row r="4387">
          <cell r="A4387" t="str">
            <v>USD_COMD_LH_3</v>
          </cell>
          <cell r="B4387" t="str">
            <v>Lean Hogs CME 3</v>
          </cell>
          <cell r="C4387" t="str">
            <v>ALTERNATIVE:COMD:USD_COMD_LH_3</v>
          </cell>
          <cell r="D4387" t="str">
            <v>Commodity</v>
          </cell>
          <cell r="E4387" t="str">
            <v>Price Level</v>
          </cell>
          <cell r="F4387" t="str">
            <v>Alternative</v>
          </cell>
          <cell r="G4387" t="str">
            <v>Other</v>
          </cell>
          <cell r="H4387" t="str">
            <v>ALTS</v>
          </cell>
          <cell r="I4387" t="str">
            <v>Alternative - Commodity</v>
          </cell>
        </row>
        <row r="4388">
          <cell r="A4388" t="str">
            <v>USD_COMD_LL_3</v>
          </cell>
          <cell r="B4388" t="str">
            <v>Lead LME 3</v>
          </cell>
          <cell r="C4388" t="str">
            <v>ALTERNATIVE:COMD:USD_COMD_LL_3</v>
          </cell>
          <cell r="D4388" t="str">
            <v>Commodity</v>
          </cell>
          <cell r="E4388" t="str">
            <v>Price Level</v>
          </cell>
          <cell r="F4388" t="str">
            <v>Alternative</v>
          </cell>
          <cell r="G4388" t="str">
            <v>Other</v>
          </cell>
          <cell r="H4388" t="str">
            <v>ALTS</v>
          </cell>
          <cell r="I4388" t="str">
            <v>Alternative - Commodity</v>
          </cell>
        </row>
        <row r="4389">
          <cell r="A4389" t="str">
            <v>USD_COMD_LN_3</v>
          </cell>
          <cell r="B4389" t="str">
            <v>Nickel LME 3</v>
          </cell>
          <cell r="C4389" t="str">
            <v>ALTERNATIVE:COMD:USD_COMD_LN_3</v>
          </cell>
          <cell r="D4389" t="str">
            <v>Commodity</v>
          </cell>
          <cell r="E4389" t="str">
            <v>Price Level</v>
          </cell>
          <cell r="F4389" t="str">
            <v>Alternative</v>
          </cell>
          <cell r="G4389" t="str">
            <v>Other</v>
          </cell>
          <cell r="H4389" t="str">
            <v>ALTS</v>
          </cell>
          <cell r="I4389" t="str">
            <v>Alternative - Commodity</v>
          </cell>
        </row>
        <row r="4390">
          <cell r="A4390" t="str">
            <v>USD_COMD_LP_3</v>
          </cell>
          <cell r="B4390" t="str">
            <v>Copper LME 3</v>
          </cell>
          <cell r="C4390" t="str">
            <v>ALTERNATIVE:COMD:USD_COMD_LP_3</v>
          </cell>
          <cell r="D4390" t="str">
            <v>Commodity</v>
          </cell>
          <cell r="E4390" t="str">
            <v>Price Level</v>
          </cell>
          <cell r="F4390" t="str">
            <v>Alternative</v>
          </cell>
          <cell r="G4390" t="str">
            <v>Other</v>
          </cell>
          <cell r="H4390" t="str">
            <v>ALTS</v>
          </cell>
          <cell r="I4390" t="str">
            <v>Alternative - Commodity</v>
          </cell>
        </row>
        <row r="4391">
          <cell r="A4391" t="str">
            <v>USD_COMD_LX_3</v>
          </cell>
          <cell r="B4391" t="str">
            <v>Zinc LME 3</v>
          </cell>
          <cell r="C4391" t="str">
            <v>ALTERNATIVE:COMD:USD_COMD_LX_3</v>
          </cell>
          <cell r="D4391" t="str">
            <v>Commodity</v>
          </cell>
          <cell r="E4391" t="str">
            <v>Price Level</v>
          </cell>
          <cell r="F4391" t="str">
            <v>Alternative</v>
          </cell>
          <cell r="G4391" t="str">
            <v>Other</v>
          </cell>
          <cell r="H4391" t="str">
            <v>ALTS</v>
          </cell>
          <cell r="I4391" t="str">
            <v>Alternative - Commodity</v>
          </cell>
        </row>
        <row r="4392">
          <cell r="A4392" t="str">
            <v>USD_COMD_NG_3</v>
          </cell>
          <cell r="B4392" t="str">
            <v>Natural gas NYME 3</v>
          </cell>
          <cell r="C4392" t="str">
            <v>ALTERNATIVE:COMD:USD_COMD_NG_3</v>
          </cell>
          <cell r="D4392" t="str">
            <v>Commodity</v>
          </cell>
          <cell r="E4392" t="str">
            <v>Price Level</v>
          </cell>
          <cell r="F4392" t="str">
            <v>Alternative</v>
          </cell>
          <cell r="G4392" t="str">
            <v>Other</v>
          </cell>
          <cell r="H4392" t="str">
            <v>ALTS</v>
          </cell>
          <cell r="I4392" t="str">
            <v>Alternative - Commodity</v>
          </cell>
        </row>
        <row r="4393">
          <cell r="A4393" t="str">
            <v>USD_COMD_O_3</v>
          </cell>
          <cell r="B4393" t="str">
            <v>Oat CBOT 3</v>
          </cell>
          <cell r="C4393" t="str">
            <v>ALTERNATIVE:COMD:USD_COMD_O_3</v>
          </cell>
          <cell r="D4393" t="str">
            <v>Commodity</v>
          </cell>
          <cell r="E4393" t="str">
            <v>Price Level</v>
          </cell>
          <cell r="F4393" t="str">
            <v>Alternative</v>
          </cell>
          <cell r="G4393" t="str">
            <v>Other</v>
          </cell>
          <cell r="H4393" t="str">
            <v>ALTS</v>
          </cell>
          <cell r="I4393" t="str">
            <v>Alternative - Commodity</v>
          </cell>
        </row>
        <row r="4394">
          <cell r="A4394" t="str">
            <v>USD_COMD_PA_3</v>
          </cell>
          <cell r="B4394" t="str">
            <v>Palladium NYMEX 3</v>
          </cell>
          <cell r="C4394" t="str">
            <v>ALTERNATIVE:COMD:USD_COMD_PA_3</v>
          </cell>
          <cell r="D4394" t="str">
            <v>Commodity</v>
          </cell>
          <cell r="E4394" t="str">
            <v>Price Level</v>
          </cell>
          <cell r="F4394" t="str">
            <v>Alternative</v>
          </cell>
          <cell r="G4394" t="str">
            <v>Other</v>
          </cell>
          <cell r="H4394" t="str">
            <v>ALTS</v>
          </cell>
          <cell r="I4394" t="str">
            <v>Alternative - Commodity</v>
          </cell>
        </row>
        <row r="4395">
          <cell r="A4395" t="str">
            <v>USD_COMD_PL_3</v>
          </cell>
          <cell r="B4395" t="str">
            <v>Platinum NYMEX 3</v>
          </cell>
          <cell r="C4395" t="str">
            <v>ALTERNATIVE:COMD:USD_COMD_PL_3</v>
          </cell>
          <cell r="D4395" t="str">
            <v>Commodity</v>
          </cell>
          <cell r="E4395" t="str">
            <v>Price Level</v>
          </cell>
          <cell r="F4395" t="str">
            <v>Alternative</v>
          </cell>
          <cell r="G4395" t="str">
            <v>Other</v>
          </cell>
          <cell r="H4395" t="str">
            <v>ALTS</v>
          </cell>
          <cell r="I4395" t="str">
            <v>Alternative - Commodity</v>
          </cell>
        </row>
        <row r="4396">
          <cell r="A4396" t="str">
            <v>USD_COMD_QS_3</v>
          </cell>
          <cell r="B4396" t="str">
            <v>Gas Oil IE 3</v>
          </cell>
          <cell r="C4396" t="str">
            <v>ALTERNATIVE:COMD:USD_COMD_QS_3</v>
          </cell>
          <cell r="D4396" t="str">
            <v>Commodity</v>
          </cell>
          <cell r="E4396" t="str">
            <v>Price Level</v>
          </cell>
          <cell r="F4396" t="str">
            <v>Alternative</v>
          </cell>
          <cell r="G4396" t="str">
            <v>Other</v>
          </cell>
          <cell r="H4396" t="str">
            <v>ALTS</v>
          </cell>
          <cell r="I4396" t="str">
            <v>Alternative - Commodity</v>
          </cell>
        </row>
        <row r="4397">
          <cell r="A4397" t="str">
            <v>USD_COMD_RI_3</v>
          </cell>
          <cell r="B4397" t="str">
            <v>Rough Rice CBOT 3</v>
          </cell>
          <cell r="C4397" t="str">
            <v>ALTERNATIVE:COMD:USD_COMD_RI_3</v>
          </cell>
          <cell r="D4397" t="str">
            <v>Commodity</v>
          </cell>
          <cell r="E4397" t="str">
            <v>Price Level</v>
          </cell>
          <cell r="F4397" t="str">
            <v>Alternative</v>
          </cell>
          <cell r="G4397" t="str">
            <v>Other</v>
          </cell>
          <cell r="H4397" t="str">
            <v>ALTS</v>
          </cell>
          <cell r="I4397" t="str">
            <v>Alternative - Commodity</v>
          </cell>
        </row>
        <row r="4398">
          <cell r="A4398" t="str">
            <v>USD_COMD_S_3</v>
          </cell>
          <cell r="B4398" t="str">
            <v>Soybeans CBOT 3</v>
          </cell>
          <cell r="C4398" t="str">
            <v>ALTERNATIVE:COMD:USD_COMD_S_3</v>
          </cell>
          <cell r="D4398" t="str">
            <v>Commodity</v>
          </cell>
          <cell r="E4398" t="str">
            <v>Price Level</v>
          </cell>
          <cell r="F4398" t="str">
            <v>Alternative</v>
          </cell>
          <cell r="G4398" t="str">
            <v>Other</v>
          </cell>
          <cell r="H4398" t="str">
            <v>ALTS</v>
          </cell>
          <cell r="I4398" t="str">
            <v>Alternative - Commodity</v>
          </cell>
        </row>
        <row r="4399">
          <cell r="A4399" t="str">
            <v>USD_COMD_SB_3</v>
          </cell>
          <cell r="B4399" t="str">
            <v>Sugar NYBOT 3</v>
          </cell>
          <cell r="C4399" t="str">
            <v>ALTERNATIVE:COMD:USD_COMD_SB_3</v>
          </cell>
          <cell r="D4399" t="str">
            <v>Commodity</v>
          </cell>
          <cell r="E4399" t="str">
            <v>Price Level</v>
          </cell>
          <cell r="F4399" t="str">
            <v>Alternative</v>
          </cell>
          <cell r="G4399" t="str">
            <v>Other</v>
          </cell>
          <cell r="H4399" t="str">
            <v>ALTS</v>
          </cell>
          <cell r="I4399" t="str">
            <v>Alternative - Commodity</v>
          </cell>
        </row>
        <row r="4400">
          <cell r="A4400" t="str">
            <v>USD_COMD_SI_3</v>
          </cell>
          <cell r="B4400" t="str">
            <v>Silver COMEX 3</v>
          </cell>
          <cell r="C4400" t="str">
            <v>ALTERNATIVE:COMD:USD_COMD_SI_3</v>
          </cell>
          <cell r="D4400" t="str">
            <v>Commodity</v>
          </cell>
          <cell r="E4400" t="str">
            <v>Price Level</v>
          </cell>
          <cell r="F4400" t="str">
            <v>Alternative</v>
          </cell>
          <cell r="G4400" t="str">
            <v>Other</v>
          </cell>
          <cell r="H4400" t="str">
            <v>ALTS</v>
          </cell>
          <cell r="I4400" t="str">
            <v>Alternative - Commodity</v>
          </cell>
        </row>
        <row r="4401">
          <cell r="A4401" t="str">
            <v>USD_COMD_W_3</v>
          </cell>
          <cell r="B4401" t="str">
            <v>Wheat CBOT 3</v>
          </cell>
          <cell r="C4401" t="str">
            <v>ALTERNATIVE:COMD:USD_COMD_W_3</v>
          </cell>
          <cell r="D4401" t="str">
            <v>Commodity</v>
          </cell>
          <cell r="E4401" t="str">
            <v>Price Level</v>
          </cell>
          <cell r="F4401" t="str">
            <v>Alternative</v>
          </cell>
          <cell r="G4401" t="str">
            <v>Other</v>
          </cell>
          <cell r="H4401" t="str">
            <v>ALTS</v>
          </cell>
          <cell r="I4401" t="str">
            <v>Alternative - Commodity</v>
          </cell>
        </row>
        <row r="4402">
          <cell r="A4402" t="str">
            <v>USD_COMD_XB_3</v>
          </cell>
          <cell r="B4402" t="str">
            <v>Gasoline RBOB 3</v>
          </cell>
          <cell r="C4402" t="str">
            <v>ALTERNATIVE:COMD:USD_COMD_XB_3</v>
          </cell>
          <cell r="D4402" t="str">
            <v>Commodity</v>
          </cell>
          <cell r="E4402" t="str">
            <v>Price Level</v>
          </cell>
          <cell r="F4402" t="str">
            <v>Alternative</v>
          </cell>
          <cell r="G4402" t="str">
            <v>Other</v>
          </cell>
          <cell r="H4402" t="str">
            <v>ALTS</v>
          </cell>
          <cell r="I4402" t="str">
            <v>Alternative - Commodity</v>
          </cell>
        </row>
        <row r="4403">
          <cell r="A4403" t="str">
            <v>USD_COMD_AL_5</v>
          </cell>
          <cell r="B4403" t="str">
            <v>Aluminum CMX 5</v>
          </cell>
          <cell r="C4403" t="str">
            <v>ALTERNATIVE:COMD:USD_COMD_AL_5</v>
          </cell>
          <cell r="D4403" t="str">
            <v>Commodity</v>
          </cell>
          <cell r="E4403" t="str">
            <v>Price Level</v>
          </cell>
          <cell r="F4403" t="str">
            <v>Alternative</v>
          </cell>
          <cell r="G4403" t="str">
            <v>Other</v>
          </cell>
          <cell r="H4403" t="str">
            <v>ALTS</v>
          </cell>
          <cell r="I4403" t="str">
            <v>Alternative - Commodity</v>
          </cell>
        </row>
        <row r="4404">
          <cell r="A4404" t="str">
            <v>USD_COMD_BO_5</v>
          </cell>
          <cell r="B4404" t="str">
            <v>Soybean Oil CBOT 5</v>
          </cell>
          <cell r="C4404" t="str">
            <v>ALTERNATIVE:COMD:USD_COMD_BO_5</v>
          </cell>
          <cell r="D4404" t="str">
            <v>Commodity</v>
          </cell>
          <cell r="E4404" t="str">
            <v>Price Level</v>
          </cell>
          <cell r="F4404" t="str">
            <v>Alternative</v>
          </cell>
          <cell r="G4404" t="str">
            <v>Other</v>
          </cell>
          <cell r="H4404" t="str">
            <v>ALTS</v>
          </cell>
          <cell r="I4404" t="str">
            <v>Alternative - Commodity</v>
          </cell>
        </row>
        <row r="4405">
          <cell r="A4405" t="str">
            <v>USD_COMD_C_5</v>
          </cell>
          <cell r="B4405" t="str">
            <v>Corn CBOT 5</v>
          </cell>
          <cell r="C4405" t="str">
            <v>ALTERNATIVE:COMD:USD_COMD_C_5</v>
          </cell>
          <cell r="D4405" t="str">
            <v>Commodity</v>
          </cell>
          <cell r="E4405" t="str">
            <v>Price Level</v>
          </cell>
          <cell r="F4405" t="str">
            <v>Alternative</v>
          </cell>
          <cell r="G4405" t="str">
            <v>Other</v>
          </cell>
          <cell r="H4405" t="str">
            <v>ALTS</v>
          </cell>
          <cell r="I4405" t="str">
            <v>Alternative - Commodity</v>
          </cell>
        </row>
        <row r="4406">
          <cell r="A4406" t="str">
            <v>USD_COMD_CC_5</v>
          </cell>
          <cell r="B4406" t="str">
            <v>Cocoa NYBOT 5</v>
          </cell>
          <cell r="C4406" t="str">
            <v>ALTERNATIVE:COMD:USD_COMD_CC_5</v>
          </cell>
          <cell r="D4406" t="str">
            <v>Commodity</v>
          </cell>
          <cell r="E4406" t="str">
            <v>Price Level</v>
          </cell>
          <cell r="F4406" t="str">
            <v>Alternative</v>
          </cell>
          <cell r="G4406" t="str">
            <v>Other</v>
          </cell>
          <cell r="H4406" t="str">
            <v>ALTS</v>
          </cell>
          <cell r="I4406" t="str">
            <v>Alternative - Commodity</v>
          </cell>
        </row>
        <row r="4407">
          <cell r="A4407" t="str">
            <v>USD_COMD_CL_5</v>
          </cell>
          <cell r="B4407" t="str">
            <v>Crude Oil NYME 5</v>
          </cell>
          <cell r="C4407" t="str">
            <v>ALTERNATIVE:COMD:USD_COMD_CL_5</v>
          </cell>
          <cell r="D4407" t="str">
            <v>Commodity</v>
          </cell>
          <cell r="E4407" t="str">
            <v>Price Level</v>
          </cell>
          <cell r="F4407" t="str">
            <v>Alternative</v>
          </cell>
          <cell r="G4407" t="str">
            <v>Other</v>
          </cell>
          <cell r="H4407" t="str">
            <v>ALTS</v>
          </cell>
          <cell r="I4407" t="str">
            <v>Alternative - Commodity</v>
          </cell>
        </row>
        <row r="4408">
          <cell r="A4408" t="str">
            <v>USD_COMD_CO_5</v>
          </cell>
          <cell r="B4408" t="str">
            <v>Brent Crude ICE 5</v>
          </cell>
          <cell r="C4408" t="str">
            <v>ALTERNATIVE:COMD:USD_COMD_CO_5</v>
          </cell>
          <cell r="D4408" t="str">
            <v>Commodity</v>
          </cell>
          <cell r="E4408" t="str">
            <v>Price Level</v>
          </cell>
          <cell r="F4408" t="str">
            <v>Alternative</v>
          </cell>
          <cell r="G4408" t="str">
            <v>Other</v>
          </cell>
          <cell r="H4408" t="str">
            <v>ALTS</v>
          </cell>
          <cell r="I4408" t="str">
            <v>Alternative - Commodity</v>
          </cell>
        </row>
        <row r="4409">
          <cell r="A4409" t="str">
            <v>USD_COMD_CT_5</v>
          </cell>
          <cell r="B4409" t="str">
            <v>Cotton NYBOT 5</v>
          </cell>
          <cell r="C4409" t="str">
            <v>ALTERNATIVE:COMD:USD_COMD_CT_5</v>
          </cell>
          <cell r="D4409" t="str">
            <v>Commodity</v>
          </cell>
          <cell r="E4409" t="str">
            <v>Price Level</v>
          </cell>
          <cell r="F4409" t="str">
            <v>Alternative</v>
          </cell>
          <cell r="G4409" t="str">
            <v>Other</v>
          </cell>
          <cell r="H4409" t="str">
            <v>ALTS</v>
          </cell>
          <cell r="I4409" t="str">
            <v>Alternative - Commodity</v>
          </cell>
        </row>
        <row r="4410">
          <cell r="A4410" t="str">
            <v>USD_COMD_DA_5</v>
          </cell>
          <cell r="B4410" t="str">
            <v>Milk CME 5</v>
          </cell>
          <cell r="C4410" t="str">
            <v>ALTERNATIVE:COMD:USD_COMD_DA_5</v>
          </cell>
          <cell r="D4410" t="str">
            <v>Commodity</v>
          </cell>
          <cell r="E4410" t="str">
            <v>Price Level</v>
          </cell>
          <cell r="F4410" t="str">
            <v>Alternative</v>
          </cell>
          <cell r="G4410" t="str">
            <v>Other</v>
          </cell>
          <cell r="H4410" t="str">
            <v>ALTS</v>
          </cell>
          <cell r="I4410" t="str">
            <v>Alternative - Commodity</v>
          </cell>
        </row>
        <row r="4411">
          <cell r="A4411" t="str">
            <v>USD_COMD_FC_5</v>
          </cell>
          <cell r="B4411" t="str">
            <v>Feeder Cattle CME 5</v>
          </cell>
          <cell r="C4411" t="str">
            <v>ALTERNATIVE:COMD:USD_COMD_FC_5</v>
          </cell>
          <cell r="D4411" t="str">
            <v>Commodity</v>
          </cell>
          <cell r="E4411" t="str">
            <v>Price Level</v>
          </cell>
          <cell r="F4411" t="str">
            <v>Alternative</v>
          </cell>
          <cell r="G4411" t="str">
            <v>Other</v>
          </cell>
          <cell r="H4411" t="str">
            <v>ALTS</v>
          </cell>
          <cell r="I4411" t="str">
            <v>Alternative - Commodity</v>
          </cell>
        </row>
        <row r="4412">
          <cell r="A4412" t="str">
            <v>USD_COMD_GC_5</v>
          </cell>
          <cell r="B4412" t="str">
            <v>Gold COMEX 5</v>
          </cell>
          <cell r="C4412" t="str">
            <v>ALTERNATIVE:COMD:USD_COMD_GC_5</v>
          </cell>
          <cell r="D4412" t="str">
            <v>Commodity</v>
          </cell>
          <cell r="E4412" t="str">
            <v>Price Level</v>
          </cell>
          <cell r="F4412" t="str">
            <v>Alternative</v>
          </cell>
          <cell r="G4412" t="str">
            <v>Other</v>
          </cell>
          <cell r="H4412" t="str">
            <v>ALTS</v>
          </cell>
          <cell r="I4412" t="str">
            <v>Alternative - Commodity</v>
          </cell>
        </row>
        <row r="4413">
          <cell r="A4413" t="str">
            <v>USD_COMD_HG_5</v>
          </cell>
          <cell r="B4413" t="str">
            <v>Copper CMX 5</v>
          </cell>
          <cell r="C4413" t="str">
            <v>ALTERNATIVE:COMD:USD_COMD_HG_5</v>
          </cell>
          <cell r="D4413" t="str">
            <v>Commodity</v>
          </cell>
          <cell r="E4413" t="str">
            <v>Price Level</v>
          </cell>
          <cell r="F4413" t="str">
            <v>Alternative</v>
          </cell>
          <cell r="G4413" t="str">
            <v>Other</v>
          </cell>
          <cell r="H4413" t="str">
            <v>ALTS</v>
          </cell>
          <cell r="I4413" t="str">
            <v>Alternative - Commodity</v>
          </cell>
        </row>
        <row r="4414">
          <cell r="A4414" t="str">
            <v>USD_COMD_HO_5</v>
          </cell>
          <cell r="B4414" t="str">
            <v>Heating Oil NYME 5</v>
          </cell>
          <cell r="C4414" t="str">
            <v>ALTERNATIVE:COMD:USD_COMD_HO_5</v>
          </cell>
          <cell r="D4414" t="str">
            <v>Commodity</v>
          </cell>
          <cell r="E4414" t="str">
            <v>Price Level</v>
          </cell>
          <cell r="F4414" t="str">
            <v>Alternative</v>
          </cell>
          <cell r="G4414" t="str">
            <v>Other</v>
          </cell>
          <cell r="H4414" t="str">
            <v>ALTS</v>
          </cell>
          <cell r="I4414" t="str">
            <v>Alternative - Commodity</v>
          </cell>
        </row>
        <row r="4415">
          <cell r="A4415" t="str">
            <v>USD_COMD_HU_5</v>
          </cell>
          <cell r="B4415" t="str">
            <v>Unleaded Gas NYME 5</v>
          </cell>
          <cell r="C4415" t="str">
            <v>ALTERNATIVE:COMD:USD_COMD_HU_5</v>
          </cell>
          <cell r="D4415" t="str">
            <v>Commodity</v>
          </cell>
          <cell r="E4415" t="str">
            <v>Price Level</v>
          </cell>
          <cell r="F4415" t="str">
            <v>Alternative</v>
          </cell>
          <cell r="G4415" t="str">
            <v>Other</v>
          </cell>
          <cell r="H4415" t="str">
            <v>ALTS</v>
          </cell>
          <cell r="I4415" t="str">
            <v>Alternative - Commodity</v>
          </cell>
        </row>
        <row r="4416">
          <cell r="A4416" t="str">
            <v>USD_COMD_KC_5</v>
          </cell>
          <cell r="B4416" t="str">
            <v>Coffee NYBOT 5</v>
          </cell>
          <cell r="C4416" t="str">
            <v>ALTERNATIVE:COMD:USD_COMD_KC_5</v>
          </cell>
          <cell r="D4416" t="str">
            <v>Commodity</v>
          </cell>
          <cell r="E4416" t="str">
            <v>Price Level</v>
          </cell>
          <cell r="F4416" t="str">
            <v>Alternative</v>
          </cell>
          <cell r="G4416" t="str">
            <v>Other</v>
          </cell>
          <cell r="H4416" t="str">
            <v>ALTS</v>
          </cell>
          <cell r="I4416" t="str">
            <v>Alternative - Commodity</v>
          </cell>
        </row>
        <row r="4417">
          <cell r="A4417" t="str">
            <v>USD_COMD_KW_5</v>
          </cell>
          <cell r="B4417" t="str">
            <v>Wheat KCBT 5</v>
          </cell>
          <cell r="C4417" t="str">
            <v>ALTERNATIVE:COMD:USD_COMD_KW_5</v>
          </cell>
          <cell r="D4417" t="str">
            <v>Commodity</v>
          </cell>
          <cell r="E4417" t="str">
            <v>Price Level</v>
          </cell>
          <cell r="F4417" t="str">
            <v>Alternative</v>
          </cell>
          <cell r="G4417" t="str">
            <v>Other</v>
          </cell>
          <cell r="H4417" t="str">
            <v>ALTS</v>
          </cell>
          <cell r="I4417" t="str">
            <v>Alternative - Commodity</v>
          </cell>
        </row>
        <row r="4418">
          <cell r="A4418" t="str">
            <v>USD_COMD_LA_5</v>
          </cell>
          <cell r="B4418" t="str">
            <v>Aluminum LME 5</v>
          </cell>
          <cell r="C4418" t="str">
            <v>ALTERNATIVE:COMD:USD_COMD_LA_5</v>
          </cell>
          <cell r="D4418" t="str">
            <v>Commodity</v>
          </cell>
          <cell r="E4418" t="str">
            <v>Price Level</v>
          </cell>
          <cell r="F4418" t="str">
            <v>Alternative</v>
          </cell>
          <cell r="G4418" t="str">
            <v>Other</v>
          </cell>
          <cell r="H4418" t="str">
            <v>ALTS</v>
          </cell>
          <cell r="I4418" t="str">
            <v>Alternative - Commodity</v>
          </cell>
        </row>
        <row r="4419">
          <cell r="A4419" t="str">
            <v>USD_COMD_LB_5</v>
          </cell>
          <cell r="B4419" t="str">
            <v>Lumber CME 5</v>
          </cell>
          <cell r="C4419" t="str">
            <v>ALTERNATIVE:COMD:USD_COMD_LB_5</v>
          </cell>
          <cell r="D4419" t="str">
            <v>Commodity</v>
          </cell>
          <cell r="E4419" t="str">
            <v>Price Level</v>
          </cell>
          <cell r="F4419" t="str">
            <v>Alternative</v>
          </cell>
          <cell r="G4419" t="str">
            <v>Other</v>
          </cell>
          <cell r="H4419" t="str">
            <v>ALTS</v>
          </cell>
          <cell r="I4419" t="str">
            <v>Alternative - Commodity</v>
          </cell>
        </row>
        <row r="4420">
          <cell r="A4420" t="str">
            <v>USD_COMD_LC_5</v>
          </cell>
          <cell r="B4420" t="str">
            <v>Live Cattle CME 5</v>
          </cell>
          <cell r="C4420" t="str">
            <v>ALTERNATIVE:COMD:USD_COMD_LC_5</v>
          </cell>
          <cell r="D4420" t="str">
            <v>Commodity</v>
          </cell>
          <cell r="E4420" t="str">
            <v>Price Level</v>
          </cell>
          <cell r="F4420" t="str">
            <v>Alternative</v>
          </cell>
          <cell r="G4420" t="str">
            <v>Other</v>
          </cell>
          <cell r="H4420" t="str">
            <v>ALTS</v>
          </cell>
          <cell r="I4420" t="str">
            <v>Alternative - Commodity</v>
          </cell>
        </row>
        <row r="4421">
          <cell r="A4421" t="str">
            <v>USD_COMD_LH_5</v>
          </cell>
          <cell r="B4421" t="str">
            <v>Lean Hogs CME 5</v>
          </cell>
          <cell r="C4421" t="str">
            <v>ALTERNATIVE:COMD:USD_COMD_LH_5</v>
          </cell>
          <cell r="D4421" t="str">
            <v>Commodity</v>
          </cell>
          <cell r="E4421" t="str">
            <v>Price Level</v>
          </cell>
          <cell r="F4421" t="str">
            <v>Alternative</v>
          </cell>
          <cell r="G4421" t="str">
            <v>Other</v>
          </cell>
          <cell r="H4421" t="str">
            <v>ALTS</v>
          </cell>
          <cell r="I4421" t="str">
            <v>Alternative - Commodity</v>
          </cell>
        </row>
        <row r="4422">
          <cell r="A4422" t="str">
            <v>USD_COMD_LL_5</v>
          </cell>
          <cell r="B4422" t="str">
            <v>Lead LME 5</v>
          </cell>
          <cell r="C4422" t="str">
            <v>ALTERNATIVE:COMD:USD_COMD_LL_5</v>
          </cell>
          <cell r="D4422" t="str">
            <v>Commodity</v>
          </cell>
          <cell r="E4422" t="str">
            <v>Price Level</v>
          </cell>
          <cell r="F4422" t="str">
            <v>Alternative</v>
          </cell>
          <cell r="G4422" t="str">
            <v>Other</v>
          </cell>
          <cell r="H4422" t="str">
            <v>ALTS</v>
          </cell>
          <cell r="I4422" t="str">
            <v>Alternative - Commodity</v>
          </cell>
        </row>
        <row r="4423">
          <cell r="A4423" t="str">
            <v>USD_COMD_LN_5</v>
          </cell>
          <cell r="B4423" t="str">
            <v>Nickel LME 5</v>
          </cell>
          <cell r="C4423" t="str">
            <v>ALTERNATIVE:COMD:USD_COMD_LN_5</v>
          </cell>
          <cell r="D4423" t="str">
            <v>Commodity</v>
          </cell>
          <cell r="E4423" t="str">
            <v>Price Level</v>
          </cell>
          <cell r="F4423" t="str">
            <v>Alternative</v>
          </cell>
          <cell r="G4423" t="str">
            <v>Other</v>
          </cell>
          <cell r="H4423" t="str">
            <v>ALTS</v>
          </cell>
          <cell r="I4423" t="str">
            <v>Alternative - Commodity</v>
          </cell>
        </row>
        <row r="4424">
          <cell r="A4424" t="str">
            <v>USD_COMD_LP_5</v>
          </cell>
          <cell r="B4424" t="str">
            <v>Copper LME 5</v>
          </cell>
          <cell r="C4424" t="str">
            <v>ALTERNATIVE:COMD:USD_COMD_LP_5</v>
          </cell>
          <cell r="D4424" t="str">
            <v>Commodity</v>
          </cell>
          <cell r="E4424" t="str">
            <v>Price Level</v>
          </cell>
          <cell r="F4424" t="str">
            <v>Alternative</v>
          </cell>
          <cell r="G4424" t="str">
            <v>Other</v>
          </cell>
          <cell r="H4424" t="str">
            <v>ALTS</v>
          </cell>
          <cell r="I4424" t="str">
            <v>Alternative - Commodity</v>
          </cell>
        </row>
        <row r="4425">
          <cell r="A4425" t="str">
            <v>USD_COMD_LX_5</v>
          </cell>
          <cell r="B4425" t="str">
            <v>Zinc LME 5</v>
          </cell>
          <cell r="C4425" t="str">
            <v>ALTERNATIVE:COMD:USD_COMD_LX_5</v>
          </cell>
          <cell r="D4425" t="str">
            <v>Commodity</v>
          </cell>
          <cell r="E4425" t="str">
            <v>Price Level</v>
          </cell>
          <cell r="F4425" t="str">
            <v>Alternative</v>
          </cell>
          <cell r="G4425" t="str">
            <v>Other</v>
          </cell>
          <cell r="H4425" t="str">
            <v>ALTS</v>
          </cell>
          <cell r="I4425" t="str">
            <v>Alternative - Commodity</v>
          </cell>
        </row>
        <row r="4426">
          <cell r="A4426" t="str">
            <v>USD_COMD_NG_5</v>
          </cell>
          <cell r="B4426" t="str">
            <v>Natural gas NYME 5</v>
          </cell>
          <cell r="C4426" t="str">
            <v>ALTERNATIVE:COMD:USD_COMD_NG_5</v>
          </cell>
          <cell r="D4426" t="str">
            <v>Commodity</v>
          </cell>
          <cell r="E4426" t="str">
            <v>Price Level</v>
          </cell>
          <cell r="F4426" t="str">
            <v>Alternative</v>
          </cell>
          <cell r="G4426" t="str">
            <v>Other</v>
          </cell>
          <cell r="H4426" t="str">
            <v>ALTS</v>
          </cell>
          <cell r="I4426" t="str">
            <v>Alternative - Commodity</v>
          </cell>
        </row>
        <row r="4427">
          <cell r="A4427" t="str">
            <v>USD_COMD_O_5</v>
          </cell>
          <cell r="B4427" t="str">
            <v>Oat CBOT 5</v>
          </cell>
          <cell r="C4427" t="str">
            <v>ALTERNATIVE:COMD:USD_COMD_O_5</v>
          </cell>
          <cell r="D4427" t="str">
            <v>Commodity</v>
          </cell>
          <cell r="E4427" t="str">
            <v>Price Level</v>
          </cell>
          <cell r="F4427" t="str">
            <v>Alternative</v>
          </cell>
          <cell r="G4427" t="str">
            <v>Other</v>
          </cell>
          <cell r="H4427" t="str">
            <v>ALTS</v>
          </cell>
          <cell r="I4427" t="str">
            <v>Alternative - Commodity</v>
          </cell>
        </row>
        <row r="4428">
          <cell r="A4428" t="str">
            <v>USD_COMD_PA_5</v>
          </cell>
          <cell r="B4428" t="str">
            <v>Palladium NYMEX 5</v>
          </cell>
          <cell r="C4428" t="str">
            <v>ALTERNATIVE:COMD:USD_COMD_PA_5</v>
          </cell>
          <cell r="D4428" t="str">
            <v>Commodity</v>
          </cell>
          <cell r="E4428" t="str">
            <v>Price Level</v>
          </cell>
          <cell r="F4428" t="str">
            <v>Alternative</v>
          </cell>
          <cell r="G4428" t="str">
            <v>Other</v>
          </cell>
          <cell r="H4428" t="str">
            <v>ALTS</v>
          </cell>
          <cell r="I4428" t="str">
            <v>Alternative - Commodity</v>
          </cell>
        </row>
        <row r="4429">
          <cell r="A4429" t="str">
            <v>USD_COMD_PL_5</v>
          </cell>
          <cell r="B4429" t="str">
            <v>Platinum NYMEX 5</v>
          </cell>
          <cell r="C4429" t="str">
            <v>ALTERNATIVE:COMD:USD_COMD_PL_5</v>
          </cell>
          <cell r="D4429" t="str">
            <v>Commodity</v>
          </cell>
          <cell r="E4429" t="str">
            <v>Price Level</v>
          </cell>
          <cell r="F4429" t="str">
            <v>Alternative</v>
          </cell>
          <cell r="G4429" t="str">
            <v>Other</v>
          </cell>
          <cell r="H4429" t="str">
            <v>ALTS</v>
          </cell>
          <cell r="I4429" t="str">
            <v>Alternative - Commodity</v>
          </cell>
        </row>
        <row r="4430">
          <cell r="A4430" t="str">
            <v>USD_COMD_QS_5</v>
          </cell>
          <cell r="B4430" t="str">
            <v>Gas Oil IE 5</v>
          </cell>
          <cell r="C4430" t="str">
            <v>ALTERNATIVE:COMD:USD_COMD_QS_5</v>
          </cell>
          <cell r="D4430" t="str">
            <v>Commodity</v>
          </cell>
          <cell r="E4430" t="str">
            <v>Price Level</v>
          </cell>
          <cell r="F4430" t="str">
            <v>Alternative</v>
          </cell>
          <cell r="G4430" t="str">
            <v>Other</v>
          </cell>
          <cell r="H4430" t="str">
            <v>ALTS</v>
          </cell>
          <cell r="I4430" t="str">
            <v>Alternative - Commodity</v>
          </cell>
        </row>
        <row r="4431">
          <cell r="A4431" t="str">
            <v>USD_COMD_RI_5</v>
          </cell>
          <cell r="B4431" t="str">
            <v>Rough Rice CBOT 5</v>
          </cell>
          <cell r="C4431" t="str">
            <v>ALTERNATIVE:COMD:USD_COMD_RI_5</v>
          </cell>
          <cell r="D4431" t="str">
            <v>Commodity</v>
          </cell>
          <cell r="E4431" t="str">
            <v>Price Level</v>
          </cell>
          <cell r="F4431" t="str">
            <v>Alternative</v>
          </cell>
          <cell r="G4431" t="str">
            <v>Other</v>
          </cell>
          <cell r="H4431" t="str">
            <v>ALTS</v>
          </cell>
          <cell r="I4431" t="str">
            <v>Alternative - Commodity</v>
          </cell>
        </row>
        <row r="4432">
          <cell r="A4432" t="str">
            <v>USD_COMD_S_5</v>
          </cell>
          <cell r="B4432" t="str">
            <v>Soybeans CBOT 5</v>
          </cell>
          <cell r="C4432" t="str">
            <v>ALTERNATIVE:COMD:USD_COMD_S_5</v>
          </cell>
          <cell r="D4432" t="str">
            <v>Commodity</v>
          </cell>
          <cell r="E4432" t="str">
            <v>Price Level</v>
          </cell>
          <cell r="F4432" t="str">
            <v>Alternative</v>
          </cell>
          <cell r="G4432" t="str">
            <v>Other</v>
          </cell>
          <cell r="H4432" t="str">
            <v>ALTS</v>
          </cell>
          <cell r="I4432" t="str">
            <v>Alternative - Commodity</v>
          </cell>
        </row>
        <row r="4433">
          <cell r="A4433" t="str">
            <v>USD_COMD_SB_5</v>
          </cell>
          <cell r="B4433" t="str">
            <v>Sugar NYBOT 5</v>
          </cell>
          <cell r="C4433" t="str">
            <v>ALTERNATIVE:COMD:USD_COMD_SB_5</v>
          </cell>
          <cell r="D4433" t="str">
            <v>Commodity</v>
          </cell>
          <cell r="E4433" t="str">
            <v>Price Level</v>
          </cell>
          <cell r="F4433" t="str">
            <v>Alternative</v>
          </cell>
          <cell r="G4433" t="str">
            <v>Other</v>
          </cell>
          <cell r="H4433" t="str">
            <v>ALTS</v>
          </cell>
          <cell r="I4433" t="str">
            <v>Alternative - Commodity</v>
          </cell>
        </row>
        <row r="4434">
          <cell r="A4434" t="str">
            <v>USD_COMD_SI_5</v>
          </cell>
          <cell r="B4434" t="str">
            <v>Silver COMEX 5</v>
          </cell>
          <cell r="C4434" t="str">
            <v>ALTERNATIVE:COMD:USD_COMD_SI_5</v>
          </cell>
          <cell r="D4434" t="str">
            <v>Commodity</v>
          </cell>
          <cell r="E4434" t="str">
            <v>Price Level</v>
          </cell>
          <cell r="F4434" t="str">
            <v>Alternative</v>
          </cell>
          <cell r="G4434" t="str">
            <v>Other</v>
          </cell>
          <cell r="H4434" t="str">
            <v>ALTS</v>
          </cell>
          <cell r="I4434" t="str">
            <v>Alternative - Commodity</v>
          </cell>
        </row>
        <row r="4435">
          <cell r="A4435" t="str">
            <v>USD_COMD_W_5</v>
          </cell>
          <cell r="B4435" t="str">
            <v>Wheat CBOT 5</v>
          </cell>
          <cell r="C4435" t="str">
            <v>ALTERNATIVE:COMD:USD_COMD_W_5</v>
          </cell>
          <cell r="D4435" t="str">
            <v>Commodity</v>
          </cell>
          <cell r="E4435" t="str">
            <v>Price Level</v>
          </cell>
          <cell r="F4435" t="str">
            <v>Alternative</v>
          </cell>
          <cell r="G4435" t="str">
            <v>Other</v>
          </cell>
          <cell r="H4435" t="str">
            <v>ALTS</v>
          </cell>
          <cell r="I4435" t="str">
            <v>Alternative - Commodity</v>
          </cell>
        </row>
        <row r="4436">
          <cell r="A4436" t="str">
            <v>USD_COMD_XB_5</v>
          </cell>
          <cell r="B4436" t="str">
            <v>Gasoline RBOB 5</v>
          </cell>
          <cell r="C4436" t="str">
            <v>ALTERNATIVE:COMD:USD_COMD_XB_5</v>
          </cell>
          <cell r="D4436" t="str">
            <v>Commodity</v>
          </cell>
          <cell r="E4436" t="str">
            <v>Price Level</v>
          </cell>
          <cell r="F4436" t="str">
            <v>Alternative</v>
          </cell>
          <cell r="G4436" t="str">
            <v>Other</v>
          </cell>
          <cell r="H4436" t="str">
            <v>ALTS</v>
          </cell>
          <cell r="I4436" t="str">
            <v>Alternative - Commodity</v>
          </cell>
        </row>
        <row r="4437">
          <cell r="A4437" t="str">
            <v>SPGSENTR</v>
          </cell>
          <cell r="B4437" t="str">
            <v>GSCI Energy TR</v>
          </cell>
          <cell r="C4437" t="str">
            <v>ALTERNATIVE:COMD:SPGSENTR</v>
          </cell>
          <cell r="D4437" t="str">
            <v>Commodity</v>
          </cell>
          <cell r="E4437" t="str">
            <v>Price Level</v>
          </cell>
          <cell r="F4437" t="str">
            <v>Alternative</v>
          </cell>
          <cell r="G4437" t="str">
            <v>Other</v>
          </cell>
          <cell r="H4437" t="str">
            <v>ALTS</v>
          </cell>
          <cell r="I4437" t="str">
            <v>Alternative - Commodity</v>
          </cell>
        </row>
        <row r="4438">
          <cell r="A4438" t="str">
            <v>SPGSINTR</v>
          </cell>
          <cell r="B4438" t="str">
            <v>GSCI Industrial Metals TR</v>
          </cell>
          <cell r="C4438" t="str">
            <v>ALTERNATIVE:COMD:SPGSINTR</v>
          </cell>
          <cell r="D4438" t="str">
            <v>Commodity</v>
          </cell>
          <cell r="E4438" t="str">
            <v>Price Level</v>
          </cell>
          <cell r="F4438" t="str">
            <v>Alternative</v>
          </cell>
          <cell r="G4438" t="str">
            <v>Other</v>
          </cell>
          <cell r="H4438" t="str">
            <v>ALTS</v>
          </cell>
          <cell r="I4438" t="str">
            <v>Alternative - Commodity</v>
          </cell>
        </row>
        <row r="4439">
          <cell r="A4439" t="str">
            <v>SPGSPMTR</v>
          </cell>
          <cell r="B4439" t="str">
            <v>GSCI Precious Metals TR</v>
          </cell>
          <cell r="C4439" t="str">
            <v>ALTERNATIVE:COMD:SPGSPMTR</v>
          </cell>
          <cell r="D4439" t="str">
            <v>Commodity</v>
          </cell>
          <cell r="E4439" t="str">
            <v>Price Level</v>
          </cell>
          <cell r="F4439" t="str">
            <v>Alternative</v>
          </cell>
          <cell r="G4439" t="str">
            <v>Other</v>
          </cell>
          <cell r="H4439" t="str">
            <v>ALTS</v>
          </cell>
          <cell r="I4439" t="str">
            <v>Alternative - Commodity</v>
          </cell>
        </row>
        <row r="4440">
          <cell r="A4440" t="str">
            <v>SPGSALTR</v>
          </cell>
          <cell r="B4440" t="str">
            <v>GSCI Agri Livestock TR</v>
          </cell>
          <cell r="C4440" t="str">
            <v>ALTERNATIVE:COMD:SPGSALTR</v>
          </cell>
          <cell r="D4440" t="str">
            <v>Commodity</v>
          </cell>
          <cell r="E4440" t="str">
            <v>Price Level</v>
          </cell>
          <cell r="F4440" t="str">
            <v>Alternative</v>
          </cell>
          <cell r="G4440" t="str">
            <v>Other</v>
          </cell>
          <cell r="H4440" t="str">
            <v>ALTS</v>
          </cell>
          <cell r="I4440" t="str">
            <v>Alternative - Commodity</v>
          </cell>
        </row>
        <row r="4441">
          <cell r="A4441" t="str">
            <v>DJAIGTR</v>
          </cell>
          <cell r="B4441" t="str">
            <v>DJ-UBS Commodity TR</v>
          </cell>
          <cell r="C4441" t="str">
            <v>ALTERNATIVE:COMD:DJAIGTR</v>
          </cell>
          <cell r="D4441" t="str">
            <v>Commodity</v>
          </cell>
          <cell r="E4441" t="str">
            <v>Price Level</v>
          </cell>
          <cell r="F4441" t="str">
            <v>Alternative</v>
          </cell>
          <cell r="G4441" t="str">
            <v>Other</v>
          </cell>
          <cell r="H4441" t="str">
            <v>ALTS</v>
          </cell>
          <cell r="I4441" t="str">
            <v>Alternative - Commodity</v>
          </cell>
        </row>
        <row r="4442">
          <cell r="A4442" t="str">
            <v>EUR_COMD_IJ_1</v>
          </cell>
          <cell r="B4442" t="str">
            <v>Rapeseed LIFFE 1</v>
          </cell>
          <cell r="C4442" t="str">
            <v>ALTERNATIVE:COMD:EUR_COMD_IJ_1</v>
          </cell>
          <cell r="D4442" t="str">
            <v>Commodity</v>
          </cell>
          <cell r="E4442" t="str">
            <v>Price Level</v>
          </cell>
          <cell r="F4442" t="str">
            <v>Alternative</v>
          </cell>
          <cell r="G4442" t="str">
            <v>Other</v>
          </cell>
          <cell r="H4442" t="str">
            <v>ALTS</v>
          </cell>
          <cell r="I4442" t="str">
            <v>Alternative - Commodity</v>
          </cell>
        </row>
        <row r="4443">
          <cell r="A4443" t="str">
            <v>EUR_COMD_IJ_3</v>
          </cell>
          <cell r="B4443" t="str">
            <v>Rapeseed LIFFE 3</v>
          </cell>
          <cell r="C4443" t="str">
            <v>ALTERNATIVE:COMD:EUR_COMD_IJ_3</v>
          </cell>
          <cell r="D4443" t="str">
            <v>Commodity</v>
          </cell>
          <cell r="E4443" t="str">
            <v>Price Level</v>
          </cell>
          <cell r="F4443" t="str">
            <v>Alternative</v>
          </cell>
          <cell r="G4443" t="str">
            <v>Other</v>
          </cell>
          <cell r="H4443" t="str">
            <v>ALTS</v>
          </cell>
          <cell r="I4443" t="str">
            <v>Alternative - Commodity</v>
          </cell>
        </row>
        <row r="4444">
          <cell r="A4444" t="str">
            <v>EUR_COMD_IJ_5</v>
          </cell>
          <cell r="B4444" t="str">
            <v>Rapeseed LIFFE 5</v>
          </cell>
          <cell r="C4444" t="str">
            <v>ALTERNATIVE:COMD:EUR_COMD_IJ_5</v>
          </cell>
          <cell r="D4444" t="str">
            <v>Commodity</v>
          </cell>
          <cell r="E4444" t="str">
            <v>Price Level</v>
          </cell>
          <cell r="F4444" t="str">
            <v>Alternative</v>
          </cell>
          <cell r="G4444" t="str">
            <v>Other</v>
          </cell>
          <cell r="H4444" t="str">
            <v>ALTS</v>
          </cell>
          <cell r="I4444" t="str">
            <v>Alternative - Commodity</v>
          </cell>
        </row>
        <row r="4445">
          <cell r="A4445" t="str">
            <v>CAD_COMD_R1_1</v>
          </cell>
          <cell r="B4445" t="str">
            <v>Canola WCE 1</v>
          </cell>
          <cell r="C4445" t="str">
            <v>ALTERNATIVE:COMD:CAD_COMD_R1_1</v>
          </cell>
          <cell r="D4445" t="str">
            <v>Commodity</v>
          </cell>
          <cell r="E4445" t="str">
            <v>Price Level</v>
          </cell>
          <cell r="F4445" t="str">
            <v>Alternative</v>
          </cell>
          <cell r="G4445" t="str">
            <v>Other</v>
          </cell>
          <cell r="H4445" t="str">
            <v>ALTS</v>
          </cell>
          <cell r="I4445" t="str">
            <v>Alternative - Commodity</v>
          </cell>
        </row>
        <row r="4446">
          <cell r="A4446" t="str">
            <v>CAD_COMD_R1_3</v>
          </cell>
          <cell r="B4446" t="str">
            <v>Canola WCE 3</v>
          </cell>
          <cell r="C4446" t="str">
            <v>ALTERNATIVE:COMD:CAD_COMD_R1_3</v>
          </cell>
          <cell r="D4446" t="str">
            <v>Commodity</v>
          </cell>
          <cell r="E4446" t="str">
            <v>Price Level</v>
          </cell>
          <cell r="F4446" t="str">
            <v>Alternative</v>
          </cell>
          <cell r="G4446" t="str">
            <v>Other</v>
          </cell>
          <cell r="H4446" t="str">
            <v>ALTS</v>
          </cell>
          <cell r="I4446" t="str">
            <v>Alternative - Commodity</v>
          </cell>
        </row>
        <row r="4447">
          <cell r="A4447" t="str">
            <v>CAD_COMD_R1_5</v>
          </cell>
          <cell r="B4447" t="str">
            <v>Canola WCE 5</v>
          </cell>
          <cell r="C4447" t="str">
            <v>ALTERNATIVE:COMD:CAD_COMD_R1_5</v>
          </cell>
          <cell r="D4447" t="str">
            <v>Commodity</v>
          </cell>
          <cell r="E4447" t="str">
            <v>Price Level</v>
          </cell>
          <cell r="F4447" t="str">
            <v>Alternative</v>
          </cell>
          <cell r="G4447" t="str">
            <v>Other</v>
          </cell>
          <cell r="H4447" t="str">
            <v>ALTS</v>
          </cell>
          <cell r="I4447" t="str">
            <v>Alternative - Commodity</v>
          </cell>
        </row>
        <row r="4448">
          <cell r="A4448" t="str">
            <v>DAPNOLAINX</v>
          </cell>
          <cell r="B4448" t="str">
            <v>DAP (NOLA)</v>
          </cell>
          <cell r="C4448" t="str">
            <v>ALTERNATIVE:COMD:DAPNOLAINX</v>
          </cell>
          <cell r="D4448" t="str">
            <v>Index</v>
          </cell>
          <cell r="E4448" t="str">
            <v>Index Level</v>
          </cell>
          <cell r="F4448" t="str">
            <v>Alternative</v>
          </cell>
          <cell r="G4448" t="str">
            <v>Other</v>
          </cell>
          <cell r="H4448" t="str">
            <v>ALTS</v>
          </cell>
          <cell r="I4448" t="str">
            <v>Alternative - Commodity</v>
          </cell>
        </row>
        <row r="4449">
          <cell r="A4449" t="str">
            <v>UREAYUZINX</v>
          </cell>
          <cell r="B4449" t="str">
            <v>Urea (Yuzhnyy)</v>
          </cell>
          <cell r="C4449" t="str">
            <v>ALTERNATIVE:COMD:UREAYUZINX</v>
          </cell>
          <cell r="D4449" t="str">
            <v>Index</v>
          </cell>
          <cell r="E4449" t="str">
            <v>Index Level</v>
          </cell>
          <cell r="F4449" t="str">
            <v>Alternative</v>
          </cell>
          <cell r="G4449" t="str">
            <v>Other</v>
          </cell>
          <cell r="H4449" t="str">
            <v>ALTS</v>
          </cell>
          <cell r="I4449" t="str">
            <v>Alternative - Commodity</v>
          </cell>
        </row>
        <row r="4450">
          <cell r="A4450" t="str">
            <v>USD_COMD_AL_2</v>
          </cell>
          <cell r="B4450" t="str">
            <v>Aluminum CMX 2</v>
          </cell>
          <cell r="C4450" t="str">
            <v>ALTERNATIVE:COMD:USD_COMD_AL_2</v>
          </cell>
          <cell r="D4450" t="str">
            <v>Commodity</v>
          </cell>
          <cell r="E4450" t="str">
            <v>Price Level</v>
          </cell>
          <cell r="F4450" t="str">
            <v>Alternative</v>
          </cell>
          <cell r="G4450" t="str">
            <v>Other</v>
          </cell>
          <cell r="H4450" t="str">
            <v>ALTS</v>
          </cell>
          <cell r="I4450" t="str">
            <v>Alternative - Commodity</v>
          </cell>
        </row>
        <row r="4451">
          <cell r="A4451" t="str">
            <v>USD_COMD_AL_4</v>
          </cell>
          <cell r="B4451" t="str">
            <v>Aluminum CMX 4</v>
          </cell>
          <cell r="C4451" t="str">
            <v>ALTERNATIVE:COMD:USD_COMD_AL_4</v>
          </cell>
          <cell r="D4451" t="str">
            <v>Commodity</v>
          </cell>
          <cell r="E4451" t="str">
            <v>Price Level</v>
          </cell>
          <cell r="F4451" t="str">
            <v>Alternative</v>
          </cell>
          <cell r="G4451" t="str">
            <v>Other</v>
          </cell>
          <cell r="H4451" t="str">
            <v>ALTS</v>
          </cell>
          <cell r="I4451" t="str">
            <v>Alternative - Commodity</v>
          </cell>
        </row>
        <row r="4452">
          <cell r="A4452" t="str">
            <v>USD_COMD_AL_6</v>
          </cell>
          <cell r="B4452" t="str">
            <v>Aluminum CMX 6</v>
          </cell>
          <cell r="C4452" t="str">
            <v>ALTERNATIVE:COMD:USD_COMD_AL_6</v>
          </cell>
          <cell r="D4452" t="str">
            <v>Commodity</v>
          </cell>
          <cell r="E4452" t="str">
            <v>Price Level</v>
          </cell>
          <cell r="F4452" t="str">
            <v>Alternative</v>
          </cell>
          <cell r="G4452" t="str">
            <v>Other</v>
          </cell>
          <cell r="H4452" t="str">
            <v>ALTS</v>
          </cell>
          <cell r="I4452" t="str">
            <v>Alternative - Commodity</v>
          </cell>
        </row>
        <row r="4453">
          <cell r="A4453" t="str">
            <v>USD_COMD_AL_7</v>
          </cell>
          <cell r="B4453" t="str">
            <v>Aluminum CMX 7</v>
          </cell>
          <cell r="C4453" t="str">
            <v>ALTERNATIVE:COMD:USD_COMD_AL_7</v>
          </cell>
          <cell r="D4453" t="str">
            <v>Commodity</v>
          </cell>
          <cell r="E4453" t="str">
            <v>Price Level</v>
          </cell>
          <cell r="F4453" t="str">
            <v>Alternative</v>
          </cell>
          <cell r="G4453" t="str">
            <v>Other</v>
          </cell>
          <cell r="H4453" t="str">
            <v>ALTS</v>
          </cell>
          <cell r="I4453" t="str">
            <v>Alternative - Commodity</v>
          </cell>
        </row>
        <row r="4454">
          <cell r="A4454" t="str">
            <v>USD_COMD_AL_8</v>
          </cell>
          <cell r="B4454" t="str">
            <v>Aluminum CMX 8</v>
          </cell>
          <cell r="C4454" t="str">
            <v>ALTERNATIVE:COMD:USD_COMD_AL_8</v>
          </cell>
          <cell r="D4454" t="str">
            <v>Commodity</v>
          </cell>
          <cell r="E4454" t="str">
            <v>Price Level</v>
          </cell>
          <cell r="F4454" t="str">
            <v>Alternative</v>
          </cell>
          <cell r="G4454" t="str">
            <v>Other</v>
          </cell>
          <cell r="H4454" t="str">
            <v>ALTS</v>
          </cell>
          <cell r="I4454" t="str">
            <v>Alternative - Commodity</v>
          </cell>
        </row>
        <row r="4455">
          <cell r="A4455" t="str">
            <v>USD_COMD_AL_9</v>
          </cell>
          <cell r="B4455" t="str">
            <v>Aluminum CMX 9</v>
          </cell>
          <cell r="C4455" t="str">
            <v>ALTERNATIVE:COMD:USD_COMD_AL_9</v>
          </cell>
          <cell r="D4455" t="str">
            <v>Commodity</v>
          </cell>
          <cell r="E4455" t="str">
            <v>Price Level</v>
          </cell>
          <cell r="F4455" t="str">
            <v>Alternative</v>
          </cell>
          <cell r="G4455" t="str">
            <v>Other</v>
          </cell>
          <cell r="H4455" t="str">
            <v>ALTS</v>
          </cell>
          <cell r="I4455" t="str">
            <v>Alternative - Commodity</v>
          </cell>
        </row>
        <row r="4456">
          <cell r="A4456" t="str">
            <v>USD_COMD_AL_10</v>
          </cell>
          <cell r="B4456" t="str">
            <v>Aluminum CMX 10</v>
          </cell>
          <cell r="C4456" t="str">
            <v>ALTERNATIVE:COMD:USD_COMD_AL_10</v>
          </cell>
          <cell r="D4456" t="str">
            <v>Commodity</v>
          </cell>
          <cell r="E4456" t="str">
            <v>Price Level</v>
          </cell>
          <cell r="F4456" t="str">
            <v>Alternative</v>
          </cell>
          <cell r="G4456" t="str">
            <v>Other</v>
          </cell>
          <cell r="H4456" t="str">
            <v>ALTS</v>
          </cell>
          <cell r="I4456" t="str">
            <v>Alternative - Commodity</v>
          </cell>
        </row>
        <row r="4457">
          <cell r="A4457" t="str">
            <v>USD_COMD_AL_11</v>
          </cell>
          <cell r="B4457" t="str">
            <v>Aluminum CMX 11</v>
          </cell>
          <cell r="C4457" t="str">
            <v>ALTERNATIVE:COMD:USD_COMD_AL_11</v>
          </cell>
          <cell r="D4457" t="str">
            <v>Commodity</v>
          </cell>
          <cell r="E4457" t="str">
            <v>Price Level</v>
          </cell>
          <cell r="F4457" t="str">
            <v>Alternative</v>
          </cell>
          <cell r="G4457" t="str">
            <v>Other</v>
          </cell>
          <cell r="H4457" t="str">
            <v>ALTS</v>
          </cell>
          <cell r="I4457" t="str">
            <v>Alternative - Commodity</v>
          </cell>
        </row>
        <row r="4458">
          <cell r="A4458" t="str">
            <v>USD_COMD_AL_12</v>
          </cell>
          <cell r="B4458" t="str">
            <v>Aluminum CMX 12</v>
          </cell>
          <cell r="C4458" t="str">
            <v>ALTERNATIVE:COMD:USD_COMD_AL_12</v>
          </cell>
          <cell r="D4458" t="str">
            <v>Commodity</v>
          </cell>
          <cell r="E4458" t="str">
            <v>Price Level</v>
          </cell>
          <cell r="F4458" t="str">
            <v>Alternative</v>
          </cell>
          <cell r="G4458" t="str">
            <v>Other</v>
          </cell>
          <cell r="H4458" t="str">
            <v>ALTS</v>
          </cell>
          <cell r="I4458" t="str">
            <v>Alternative - Commodity</v>
          </cell>
        </row>
        <row r="4459">
          <cell r="A4459" t="str">
            <v>USD_COMD_BO_2</v>
          </cell>
          <cell r="B4459" t="str">
            <v>Soybean Oil CBOT 2</v>
          </cell>
          <cell r="C4459" t="str">
            <v>ALTERNATIVE:COMD:USD_COMD_BO_2</v>
          </cell>
          <cell r="D4459" t="str">
            <v>Commodity</v>
          </cell>
          <cell r="E4459" t="str">
            <v>Price Level</v>
          </cell>
          <cell r="F4459" t="str">
            <v>Alternative</v>
          </cell>
          <cell r="G4459" t="str">
            <v>Other</v>
          </cell>
          <cell r="H4459" t="str">
            <v>ALTS</v>
          </cell>
          <cell r="I4459" t="str">
            <v>Alternative - Commodity</v>
          </cell>
        </row>
        <row r="4460">
          <cell r="A4460" t="str">
            <v>USD_COMD_BO_4</v>
          </cell>
          <cell r="B4460" t="str">
            <v>Soybean Oil CBOT 4</v>
          </cell>
          <cell r="C4460" t="str">
            <v>ALTERNATIVE:COMD:USD_COMD_BO_4</v>
          </cell>
          <cell r="D4460" t="str">
            <v>Commodity</v>
          </cell>
          <cell r="E4460" t="str">
            <v>Price Level</v>
          </cell>
          <cell r="F4460" t="str">
            <v>Alternative</v>
          </cell>
          <cell r="G4460" t="str">
            <v>Other</v>
          </cell>
          <cell r="H4460" t="str">
            <v>ALTS</v>
          </cell>
          <cell r="I4460" t="str">
            <v>Alternative - Commodity</v>
          </cell>
        </row>
        <row r="4461">
          <cell r="A4461" t="str">
            <v>USD_COMD_BO_6</v>
          </cell>
          <cell r="B4461" t="str">
            <v>Soybean Oil CBOT 6</v>
          </cell>
          <cell r="C4461" t="str">
            <v>ALTERNATIVE:COMD:USD_COMD_BO_6</v>
          </cell>
          <cell r="D4461" t="str">
            <v>Commodity</v>
          </cell>
          <cell r="E4461" t="str">
            <v>Price Level</v>
          </cell>
          <cell r="F4461" t="str">
            <v>Alternative</v>
          </cell>
          <cell r="G4461" t="str">
            <v>Other</v>
          </cell>
          <cell r="H4461" t="str">
            <v>ALTS</v>
          </cell>
          <cell r="I4461" t="str">
            <v>Alternative - Commodity</v>
          </cell>
        </row>
        <row r="4462">
          <cell r="A4462" t="str">
            <v>USD_COMD_BO_7</v>
          </cell>
          <cell r="B4462" t="str">
            <v>Soybean Oil CBOT 7</v>
          </cell>
          <cell r="C4462" t="str">
            <v>ALTERNATIVE:COMD:USD_COMD_BO_7</v>
          </cell>
          <cell r="D4462" t="str">
            <v>Commodity</v>
          </cell>
          <cell r="E4462" t="str">
            <v>Price Level</v>
          </cell>
          <cell r="F4462" t="str">
            <v>Alternative</v>
          </cell>
          <cell r="G4462" t="str">
            <v>Other</v>
          </cell>
          <cell r="H4462" t="str">
            <v>ALTS</v>
          </cell>
          <cell r="I4462" t="str">
            <v>Alternative - Commodity</v>
          </cell>
        </row>
        <row r="4463">
          <cell r="A4463" t="str">
            <v>USD_COMD_BO_8</v>
          </cell>
          <cell r="B4463" t="str">
            <v>Soybean Oil CBOT 8</v>
          </cell>
          <cell r="C4463" t="str">
            <v>ALTERNATIVE:COMD:USD_COMD_BO_8</v>
          </cell>
          <cell r="D4463" t="str">
            <v>Commodity</v>
          </cell>
          <cell r="E4463" t="str">
            <v>Price Level</v>
          </cell>
          <cell r="F4463" t="str">
            <v>Alternative</v>
          </cell>
          <cell r="G4463" t="str">
            <v>Other</v>
          </cell>
          <cell r="H4463" t="str">
            <v>ALTS</v>
          </cell>
          <cell r="I4463" t="str">
            <v>Alternative - Commodity</v>
          </cell>
        </row>
        <row r="4464">
          <cell r="A4464" t="str">
            <v>USD_COMD_BO_9</v>
          </cell>
          <cell r="B4464" t="str">
            <v>Soybean Oil CBOT 9</v>
          </cell>
          <cell r="C4464" t="str">
            <v>ALTERNATIVE:COMD:USD_COMD_BO_9</v>
          </cell>
          <cell r="D4464" t="str">
            <v>Commodity</v>
          </cell>
          <cell r="E4464" t="str">
            <v>Price Level</v>
          </cell>
          <cell r="F4464" t="str">
            <v>Alternative</v>
          </cell>
          <cell r="G4464" t="str">
            <v>Other</v>
          </cell>
          <cell r="H4464" t="str">
            <v>ALTS</v>
          </cell>
          <cell r="I4464" t="str">
            <v>Alternative - Commodity</v>
          </cell>
        </row>
        <row r="4465">
          <cell r="A4465" t="str">
            <v>USD_COMD_BO_10</v>
          </cell>
          <cell r="B4465" t="str">
            <v>Soybean Oil CBOT 10</v>
          </cell>
          <cell r="C4465" t="str">
            <v>ALTERNATIVE:COMD:USD_COMD_BO_10</v>
          </cell>
          <cell r="D4465" t="str">
            <v>Commodity</v>
          </cell>
          <cell r="E4465" t="str">
            <v>Price Level</v>
          </cell>
          <cell r="F4465" t="str">
            <v>Alternative</v>
          </cell>
          <cell r="G4465" t="str">
            <v>Other</v>
          </cell>
          <cell r="H4465" t="str">
            <v>ALTS</v>
          </cell>
          <cell r="I4465" t="str">
            <v>Alternative - Commodity</v>
          </cell>
        </row>
        <row r="4466">
          <cell r="A4466" t="str">
            <v>USD_COMD_BO_11</v>
          </cell>
          <cell r="B4466" t="str">
            <v>Soybean Oil CBOT 11</v>
          </cell>
          <cell r="C4466" t="str">
            <v>ALTERNATIVE:COMD:USD_COMD_BO_11</v>
          </cell>
          <cell r="D4466" t="str">
            <v>Commodity</v>
          </cell>
          <cell r="E4466" t="str">
            <v>Price Level</v>
          </cell>
          <cell r="F4466" t="str">
            <v>Alternative</v>
          </cell>
          <cell r="G4466" t="str">
            <v>Other</v>
          </cell>
          <cell r="H4466" t="str">
            <v>ALTS</v>
          </cell>
          <cell r="I4466" t="str">
            <v>Alternative - Commodity</v>
          </cell>
        </row>
        <row r="4467">
          <cell r="A4467" t="str">
            <v>USD_COMD_BO_12</v>
          </cell>
          <cell r="B4467" t="str">
            <v>Soybean Oil CBOT 12</v>
          </cell>
          <cell r="C4467" t="str">
            <v>ALTERNATIVE:COMD:USD_COMD_BO_12</v>
          </cell>
          <cell r="D4467" t="str">
            <v>Commodity</v>
          </cell>
          <cell r="E4467" t="str">
            <v>Price Level</v>
          </cell>
          <cell r="F4467" t="str">
            <v>Alternative</v>
          </cell>
          <cell r="G4467" t="str">
            <v>Other</v>
          </cell>
          <cell r="H4467" t="str">
            <v>ALTS</v>
          </cell>
          <cell r="I4467" t="str">
            <v>Alternative - Commodity</v>
          </cell>
        </row>
        <row r="4468">
          <cell r="A4468" t="str">
            <v>USD_COMD_C_2</v>
          </cell>
          <cell r="B4468" t="str">
            <v>Corn CBOT 2</v>
          </cell>
          <cell r="C4468" t="str">
            <v>ALTERNATIVE:COMD:USD_COMD_C_2</v>
          </cell>
          <cell r="D4468" t="str">
            <v>Commodity</v>
          </cell>
          <cell r="E4468" t="str">
            <v>Price Level</v>
          </cell>
          <cell r="F4468" t="str">
            <v>Alternative</v>
          </cell>
          <cell r="G4468" t="str">
            <v>Other</v>
          </cell>
          <cell r="H4468" t="str">
            <v>ALTS</v>
          </cell>
          <cell r="I4468" t="str">
            <v>Alternative - Commodity</v>
          </cell>
        </row>
        <row r="4469">
          <cell r="A4469" t="str">
            <v>USD_COMD_C_4</v>
          </cell>
          <cell r="B4469" t="str">
            <v>Corn CBOT 4</v>
          </cell>
          <cell r="C4469" t="str">
            <v>ALTERNATIVE:COMD:USD_COMD_C_4</v>
          </cell>
          <cell r="D4469" t="str">
            <v>Commodity</v>
          </cell>
          <cell r="E4469" t="str">
            <v>Price Level</v>
          </cell>
          <cell r="F4469" t="str">
            <v>Alternative</v>
          </cell>
          <cell r="G4469" t="str">
            <v>Other</v>
          </cell>
          <cell r="H4469" t="str">
            <v>ALTS</v>
          </cell>
          <cell r="I4469" t="str">
            <v>Alternative - Commodity</v>
          </cell>
        </row>
        <row r="4470">
          <cell r="A4470" t="str">
            <v>USD_COMD_C_6</v>
          </cell>
          <cell r="B4470" t="str">
            <v>Corn CBOT 6</v>
          </cell>
          <cell r="C4470" t="str">
            <v>ALTERNATIVE:COMD:USD_COMD_C_6</v>
          </cell>
          <cell r="D4470" t="str">
            <v>Commodity</v>
          </cell>
          <cell r="E4470" t="str">
            <v>Price Level</v>
          </cell>
          <cell r="F4470" t="str">
            <v>Alternative</v>
          </cell>
          <cell r="G4470" t="str">
            <v>Other</v>
          </cell>
          <cell r="H4470" t="str">
            <v>ALTS</v>
          </cell>
          <cell r="I4470" t="str">
            <v>Alternative - Commodity</v>
          </cell>
        </row>
        <row r="4471">
          <cell r="A4471" t="str">
            <v>USD_COMD_C_7</v>
          </cell>
          <cell r="B4471" t="str">
            <v>Corn CBOT 7</v>
          </cell>
          <cell r="C4471" t="str">
            <v>ALTERNATIVE:COMD:USD_COMD_C_7</v>
          </cell>
          <cell r="D4471" t="str">
            <v>Commodity</v>
          </cell>
          <cell r="E4471" t="str">
            <v>Price Level</v>
          </cell>
          <cell r="F4471" t="str">
            <v>Alternative</v>
          </cell>
          <cell r="G4471" t="str">
            <v>Other</v>
          </cell>
          <cell r="H4471" t="str">
            <v>ALTS</v>
          </cell>
          <cell r="I4471" t="str">
            <v>Alternative - Commodity</v>
          </cell>
        </row>
        <row r="4472">
          <cell r="A4472" t="str">
            <v>USD_COMD_C_8</v>
          </cell>
          <cell r="B4472" t="str">
            <v>Corn CBOT 8</v>
          </cell>
          <cell r="C4472" t="str">
            <v>ALTERNATIVE:COMD:USD_COMD_C_8</v>
          </cell>
          <cell r="D4472" t="str">
            <v>Commodity</v>
          </cell>
          <cell r="E4472" t="str">
            <v>Price Level</v>
          </cell>
          <cell r="F4472" t="str">
            <v>Alternative</v>
          </cell>
          <cell r="G4472" t="str">
            <v>Other</v>
          </cell>
          <cell r="H4472" t="str">
            <v>ALTS</v>
          </cell>
          <cell r="I4472" t="str">
            <v>Alternative - Commodity</v>
          </cell>
        </row>
        <row r="4473">
          <cell r="A4473" t="str">
            <v>USD_COMD_C_9</v>
          </cell>
          <cell r="B4473" t="str">
            <v>Corn CBOT 9</v>
          </cell>
          <cell r="C4473" t="str">
            <v>ALTERNATIVE:COMD:USD_COMD_C_9</v>
          </cell>
          <cell r="D4473" t="str">
            <v>Commodity</v>
          </cell>
          <cell r="E4473" t="str">
            <v>Price Level</v>
          </cell>
          <cell r="F4473" t="str">
            <v>Alternative</v>
          </cell>
          <cell r="G4473" t="str">
            <v>Other</v>
          </cell>
          <cell r="H4473" t="str">
            <v>ALTS</v>
          </cell>
          <cell r="I4473" t="str">
            <v>Alternative - Commodity</v>
          </cell>
        </row>
        <row r="4474">
          <cell r="A4474" t="str">
            <v>USD_COMD_C_10</v>
          </cell>
          <cell r="B4474" t="str">
            <v>Corn CBOT 10</v>
          </cell>
          <cell r="C4474" t="str">
            <v>ALTERNATIVE:COMD:USD_COMD_C_10</v>
          </cell>
          <cell r="D4474" t="str">
            <v>Commodity</v>
          </cell>
          <cell r="E4474" t="str">
            <v>Price Level</v>
          </cell>
          <cell r="F4474" t="str">
            <v>Alternative</v>
          </cell>
          <cell r="G4474" t="str">
            <v>Other</v>
          </cell>
          <cell r="H4474" t="str">
            <v>ALTS</v>
          </cell>
          <cell r="I4474" t="str">
            <v>Alternative - Commodity</v>
          </cell>
        </row>
        <row r="4475">
          <cell r="A4475" t="str">
            <v>USD_COMD_C_11</v>
          </cell>
          <cell r="B4475" t="str">
            <v>Corn CBOT 11</v>
          </cell>
          <cell r="C4475" t="str">
            <v>ALTERNATIVE:COMD:USD_COMD_C_11</v>
          </cell>
          <cell r="D4475" t="str">
            <v>Commodity</v>
          </cell>
          <cell r="E4475" t="str">
            <v>Price Level</v>
          </cell>
          <cell r="F4475" t="str">
            <v>Alternative</v>
          </cell>
          <cell r="G4475" t="str">
            <v>Other</v>
          </cell>
          <cell r="H4475" t="str">
            <v>ALTS</v>
          </cell>
          <cell r="I4475" t="str">
            <v>Alternative - Commodity</v>
          </cell>
        </row>
        <row r="4476">
          <cell r="A4476" t="str">
            <v>USD_COMD_C_12</v>
          </cell>
          <cell r="B4476" t="str">
            <v>Corn CBOT 12</v>
          </cell>
          <cell r="C4476" t="str">
            <v>ALTERNATIVE:COMD:USD_COMD_C_12</v>
          </cell>
          <cell r="D4476" t="str">
            <v>Commodity</v>
          </cell>
          <cell r="E4476" t="str">
            <v>Price Level</v>
          </cell>
          <cell r="F4476" t="str">
            <v>Alternative</v>
          </cell>
          <cell r="G4476" t="str">
            <v>Other</v>
          </cell>
          <cell r="H4476" t="str">
            <v>ALTS</v>
          </cell>
          <cell r="I4476" t="str">
            <v>Alternative - Commodity</v>
          </cell>
        </row>
        <row r="4477">
          <cell r="A4477" t="str">
            <v>USD_COMD_CC_2</v>
          </cell>
          <cell r="B4477" t="str">
            <v>Cocoa NYBOT 2</v>
          </cell>
          <cell r="C4477" t="str">
            <v>ALTERNATIVE:COMD:USD_COMD_CC_2</v>
          </cell>
          <cell r="D4477" t="str">
            <v>Commodity</v>
          </cell>
          <cell r="E4477" t="str">
            <v>Price Level</v>
          </cell>
          <cell r="F4477" t="str">
            <v>Alternative</v>
          </cell>
          <cell r="G4477" t="str">
            <v>Other</v>
          </cell>
          <cell r="H4477" t="str">
            <v>ALTS</v>
          </cell>
          <cell r="I4477" t="str">
            <v>Alternative - Commodity</v>
          </cell>
        </row>
        <row r="4478">
          <cell r="A4478" t="str">
            <v>USD_COMD_CC_4</v>
          </cell>
          <cell r="B4478" t="str">
            <v>Cocoa NYBOT 4</v>
          </cell>
          <cell r="C4478" t="str">
            <v>ALTERNATIVE:COMD:USD_COMD_CC_4</v>
          </cell>
          <cell r="D4478" t="str">
            <v>Commodity</v>
          </cell>
          <cell r="E4478" t="str">
            <v>Price Level</v>
          </cell>
          <cell r="F4478" t="str">
            <v>Alternative</v>
          </cell>
          <cell r="G4478" t="str">
            <v>Other</v>
          </cell>
          <cell r="H4478" t="str">
            <v>ALTS</v>
          </cell>
          <cell r="I4478" t="str">
            <v>Alternative - Commodity</v>
          </cell>
        </row>
        <row r="4479">
          <cell r="A4479" t="str">
            <v>USD_COMD_CC_6</v>
          </cell>
          <cell r="B4479" t="str">
            <v>Cocoa NYBOT 6</v>
          </cell>
          <cell r="C4479" t="str">
            <v>ALTERNATIVE:COMD:USD_COMD_CC_6</v>
          </cell>
          <cell r="D4479" t="str">
            <v>Commodity</v>
          </cell>
          <cell r="E4479" t="str">
            <v>Price Level</v>
          </cell>
          <cell r="F4479" t="str">
            <v>Alternative</v>
          </cell>
          <cell r="G4479" t="str">
            <v>Other</v>
          </cell>
          <cell r="H4479" t="str">
            <v>ALTS</v>
          </cell>
          <cell r="I4479" t="str">
            <v>Alternative - Commodity</v>
          </cell>
        </row>
        <row r="4480">
          <cell r="A4480" t="str">
            <v>USD_COMD_CC_7</v>
          </cell>
          <cell r="B4480" t="str">
            <v>Cocoa NYBOT 7</v>
          </cell>
          <cell r="C4480" t="str">
            <v>ALTERNATIVE:COMD:USD_COMD_CC_7</v>
          </cell>
          <cell r="D4480" t="str">
            <v>Commodity</v>
          </cell>
          <cell r="E4480" t="str">
            <v>Price Level</v>
          </cell>
          <cell r="F4480" t="str">
            <v>Alternative</v>
          </cell>
          <cell r="G4480" t="str">
            <v>Other</v>
          </cell>
          <cell r="H4480" t="str">
            <v>ALTS</v>
          </cell>
          <cell r="I4480" t="str">
            <v>Alternative - Commodity</v>
          </cell>
        </row>
        <row r="4481">
          <cell r="A4481" t="str">
            <v>USD_COMD_CC_8</v>
          </cell>
          <cell r="B4481" t="str">
            <v>Cocoa NYBOT 8</v>
          </cell>
          <cell r="C4481" t="str">
            <v>ALTERNATIVE:COMD:USD_COMD_CC_8</v>
          </cell>
          <cell r="D4481" t="str">
            <v>Commodity</v>
          </cell>
          <cell r="E4481" t="str">
            <v>Price Level</v>
          </cell>
          <cell r="F4481" t="str">
            <v>Alternative</v>
          </cell>
          <cell r="G4481" t="str">
            <v>Other</v>
          </cell>
          <cell r="H4481" t="str">
            <v>ALTS</v>
          </cell>
          <cell r="I4481" t="str">
            <v>Alternative - Commodity</v>
          </cell>
        </row>
        <row r="4482">
          <cell r="A4482" t="str">
            <v>USD_COMD_CC_9</v>
          </cell>
          <cell r="B4482" t="str">
            <v>Cocoa NYBOT 9</v>
          </cell>
          <cell r="C4482" t="str">
            <v>ALTERNATIVE:COMD:USD_COMD_CC_9</v>
          </cell>
          <cell r="D4482" t="str">
            <v>Commodity</v>
          </cell>
          <cell r="E4482" t="str">
            <v>Price Level</v>
          </cell>
          <cell r="F4482" t="str">
            <v>Alternative</v>
          </cell>
          <cell r="G4482" t="str">
            <v>Other</v>
          </cell>
          <cell r="H4482" t="str">
            <v>ALTS</v>
          </cell>
          <cell r="I4482" t="str">
            <v>Alternative - Commodity</v>
          </cell>
        </row>
        <row r="4483">
          <cell r="A4483" t="str">
            <v>USD_COMD_CC_10</v>
          </cell>
          <cell r="B4483" t="str">
            <v>Cocoa NYBOT 10</v>
          </cell>
          <cell r="C4483" t="str">
            <v>ALTERNATIVE:COMD:USD_COMD_CC_10</v>
          </cell>
          <cell r="D4483" t="str">
            <v>Commodity</v>
          </cell>
          <cell r="E4483" t="str">
            <v>Price Level</v>
          </cell>
          <cell r="F4483" t="str">
            <v>Alternative</v>
          </cell>
          <cell r="G4483" t="str">
            <v>Other</v>
          </cell>
          <cell r="H4483" t="str">
            <v>ALTS</v>
          </cell>
          <cell r="I4483" t="str">
            <v>Alternative - Commodity</v>
          </cell>
        </row>
        <row r="4484">
          <cell r="A4484" t="str">
            <v>USD_COMD_CC_11</v>
          </cell>
          <cell r="B4484" t="str">
            <v>Cocoa NYBOT 11</v>
          </cell>
          <cell r="C4484" t="str">
            <v>ALTERNATIVE:COMD:USD_COMD_CC_11</v>
          </cell>
          <cell r="D4484" t="str">
            <v>Commodity</v>
          </cell>
          <cell r="E4484" t="str">
            <v>Price Level</v>
          </cell>
          <cell r="F4484" t="str">
            <v>Alternative</v>
          </cell>
          <cell r="G4484" t="str">
            <v>Other</v>
          </cell>
          <cell r="H4484" t="str">
            <v>ALTS</v>
          </cell>
          <cell r="I4484" t="str">
            <v>Alternative - Commodity</v>
          </cell>
        </row>
        <row r="4485">
          <cell r="A4485" t="str">
            <v>USD_COMD_CC_12</v>
          </cell>
          <cell r="B4485" t="str">
            <v>Cocoa NYBOT 12</v>
          </cell>
          <cell r="C4485" t="str">
            <v>ALTERNATIVE:COMD:USD_COMD_CC_12</v>
          </cell>
          <cell r="D4485" t="str">
            <v>Commodity</v>
          </cell>
          <cell r="E4485" t="str">
            <v>Price Level</v>
          </cell>
          <cell r="F4485" t="str">
            <v>Alternative</v>
          </cell>
          <cell r="G4485" t="str">
            <v>Other</v>
          </cell>
          <cell r="H4485" t="str">
            <v>ALTS</v>
          </cell>
          <cell r="I4485" t="str">
            <v>Alternative - Commodity</v>
          </cell>
        </row>
        <row r="4486">
          <cell r="A4486" t="str">
            <v>USD_COMD_CL_2</v>
          </cell>
          <cell r="B4486" t="str">
            <v>Crude Oil NYME 2</v>
          </cell>
          <cell r="C4486" t="str">
            <v>ALTERNATIVE:COMD:USD_COMD_CL_2</v>
          </cell>
          <cell r="D4486" t="str">
            <v>Commodity</v>
          </cell>
          <cell r="E4486" t="str">
            <v>Price Level</v>
          </cell>
          <cell r="F4486" t="str">
            <v>Alternative</v>
          </cell>
          <cell r="G4486" t="str">
            <v>Other</v>
          </cell>
          <cell r="H4486" t="str">
            <v>ALTS</v>
          </cell>
          <cell r="I4486" t="str">
            <v>Alternative - Commodity</v>
          </cell>
        </row>
        <row r="4487">
          <cell r="A4487" t="str">
            <v>USD_COMD_CL_4</v>
          </cell>
          <cell r="B4487" t="str">
            <v>Crude Oil NYME 4</v>
          </cell>
          <cell r="C4487" t="str">
            <v>ALTERNATIVE:COMD:USD_COMD_CL_4</v>
          </cell>
          <cell r="D4487" t="str">
            <v>Commodity</v>
          </cell>
          <cell r="E4487" t="str">
            <v>Price Level</v>
          </cell>
          <cell r="F4487" t="str">
            <v>Alternative</v>
          </cell>
          <cell r="G4487" t="str">
            <v>Other</v>
          </cell>
          <cell r="H4487" t="str">
            <v>ALTS</v>
          </cell>
          <cell r="I4487" t="str">
            <v>Alternative - Commodity</v>
          </cell>
        </row>
        <row r="4488">
          <cell r="A4488" t="str">
            <v>USD_COMD_CL_6</v>
          </cell>
          <cell r="B4488" t="str">
            <v>Crude Oil NYME 6</v>
          </cell>
          <cell r="C4488" t="str">
            <v>ALTERNATIVE:COMD:USD_COMD_CL_6</v>
          </cell>
          <cell r="D4488" t="str">
            <v>Commodity</v>
          </cell>
          <cell r="E4488" t="str">
            <v>Price Level</v>
          </cell>
          <cell r="F4488" t="str">
            <v>Alternative</v>
          </cell>
          <cell r="G4488" t="str">
            <v>Other</v>
          </cell>
          <cell r="H4488" t="str">
            <v>ALTS</v>
          </cell>
          <cell r="I4488" t="str">
            <v>Alternative - Commodity</v>
          </cell>
        </row>
        <row r="4489">
          <cell r="A4489" t="str">
            <v>USD_COMD_CL_7</v>
          </cell>
          <cell r="B4489" t="str">
            <v>Crude Oil NYME 7</v>
          </cell>
          <cell r="C4489" t="str">
            <v>ALTERNATIVE:COMD:USD_COMD_CL_7</v>
          </cell>
          <cell r="D4489" t="str">
            <v>Commodity</v>
          </cell>
          <cell r="E4489" t="str">
            <v>Price Level</v>
          </cell>
          <cell r="F4489" t="str">
            <v>Alternative</v>
          </cell>
          <cell r="G4489" t="str">
            <v>Other</v>
          </cell>
          <cell r="H4489" t="str">
            <v>ALTS</v>
          </cell>
          <cell r="I4489" t="str">
            <v>Alternative - Commodity</v>
          </cell>
        </row>
        <row r="4490">
          <cell r="A4490" t="str">
            <v>USD_COMD_CL_8</v>
          </cell>
          <cell r="B4490" t="str">
            <v>Crude Oil NYME 8</v>
          </cell>
          <cell r="C4490" t="str">
            <v>ALTERNATIVE:COMD:USD_COMD_CL_8</v>
          </cell>
          <cell r="D4490" t="str">
            <v>Commodity</v>
          </cell>
          <cell r="E4490" t="str">
            <v>Price Level</v>
          </cell>
          <cell r="F4490" t="str">
            <v>Alternative</v>
          </cell>
          <cell r="G4490" t="str">
            <v>Other</v>
          </cell>
          <cell r="H4490" t="str">
            <v>ALTS</v>
          </cell>
          <cell r="I4490" t="str">
            <v>Alternative - Commodity</v>
          </cell>
        </row>
        <row r="4491">
          <cell r="A4491" t="str">
            <v>USD_COMD_CL_9</v>
          </cell>
          <cell r="B4491" t="str">
            <v>Crude Oil NYME 9</v>
          </cell>
          <cell r="C4491" t="str">
            <v>ALTERNATIVE:COMD:USD_COMD_CL_9</v>
          </cell>
          <cell r="D4491" t="str">
            <v>Commodity</v>
          </cell>
          <cell r="E4491" t="str">
            <v>Price Level</v>
          </cell>
          <cell r="F4491" t="str">
            <v>Alternative</v>
          </cell>
          <cell r="G4491" t="str">
            <v>Other</v>
          </cell>
          <cell r="H4491" t="str">
            <v>ALTS</v>
          </cell>
          <cell r="I4491" t="str">
            <v>Alternative - Commodity</v>
          </cell>
        </row>
        <row r="4492">
          <cell r="A4492" t="str">
            <v>USD_COMD_CL_10</v>
          </cell>
          <cell r="B4492" t="str">
            <v>Crude Oil NYME 10</v>
          </cell>
          <cell r="C4492" t="str">
            <v>ALTERNATIVE:COMD:USD_COMD_CL_10</v>
          </cell>
          <cell r="D4492" t="str">
            <v>Commodity</v>
          </cell>
          <cell r="E4492" t="str">
            <v>Price Level</v>
          </cell>
          <cell r="F4492" t="str">
            <v>Alternative</v>
          </cell>
          <cell r="G4492" t="str">
            <v>Other</v>
          </cell>
          <cell r="H4492" t="str">
            <v>ALTS</v>
          </cell>
          <cell r="I4492" t="str">
            <v>Alternative - Commodity</v>
          </cell>
        </row>
        <row r="4493">
          <cell r="A4493" t="str">
            <v>USD_COMD_CL_11</v>
          </cell>
          <cell r="B4493" t="str">
            <v>Crude Oil NYME 11</v>
          </cell>
          <cell r="C4493" t="str">
            <v>ALTERNATIVE:COMD:USD_COMD_CL_11</v>
          </cell>
          <cell r="D4493" t="str">
            <v>Commodity</v>
          </cell>
          <cell r="E4493" t="str">
            <v>Price Level</v>
          </cell>
          <cell r="F4493" t="str">
            <v>Alternative</v>
          </cell>
          <cell r="G4493" t="str">
            <v>Other</v>
          </cell>
          <cell r="H4493" t="str">
            <v>ALTS</v>
          </cell>
          <cell r="I4493" t="str">
            <v>Alternative - Commodity</v>
          </cell>
        </row>
        <row r="4494">
          <cell r="A4494" t="str">
            <v>USD_COMD_CL_12</v>
          </cell>
          <cell r="B4494" t="str">
            <v>Crude Oil NYME 12</v>
          </cell>
          <cell r="C4494" t="str">
            <v>ALTERNATIVE:COMD:USD_COMD_CL_12</v>
          </cell>
          <cell r="D4494" t="str">
            <v>Commodity</v>
          </cell>
          <cell r="E4494" t="str">
            <v>Price Level</v>
          </cell>
          <cell r="F4494" t="str">
            <v>Alternative</v>
          </cell>
          <cell r="G4494" t="str">
            <v>Other</v>
          </cell>
          <cell r="H4494" t="str">
            <v>ALTS</v>
          </cell>
          <cell r="I4494" t="str">
            <v>Alternative - Commodity</v>
          </cell>
        </row>
        <row r="4495">
          <cell r="A4495" t="str">
            <v>USD_COMD_CO_2</v>
          </cell>
          <cell r="B4495" t="str">
            <v>Brent Crude ICE 2</v>
          </cell>
          <cell r="C4495" t="str">
            <v>ALTERNATIVE:COMD:USD_COMD_CO_2</v>
          </cell>
          <cell r="D4495" t="str">
            <v>Commodity</v>
          </cell>
          <cell r="E4495" t="str">
            <v>Price Level</v>
          </cell>
          <cell r="F4495" t="str">
            <v>Alternative</v>
          </cell>
          <cell r="G4495" t="str">
            <v>Other</v>
          </cell>
          <cell r="H4495" t="str">
            <v>ALTS</v>
          </cell>
          <cell r="I4495" t="str">
            <v>Alternative - Commodity</v>
          </cell>
        </row>
        <row r="4496">
          <cell r="A4496" t="str">
            <v>USD_COMD_CO_4</v>
          </cell>
          <cell r="B4496" t="str">
            <v>Brent Crude ICE 4</v>
          </cell>
          <cell r="C4496" t="str">
            <v>ALTERNATIVE:COMD:USD_COMD_CO_4</v>
          </cell>
          <cell r="D4496" t="str">
            <v>Commodity</v>
          </cell>
          <cell r="E4496" t="str">
            <v>Price Level</v>
          </cell>
          <cell r="F4496" t="str">
            <v>Alternative</v>
          </cell>
          <cell r="G4496" t="str">
            <v>Other</v>
          </cell>
          <cell r="H4496" t="str">
            <v>ALTS</v>
          </cell>
          <cell r="I4496" t="str">
            <v>Alternative - Commodity</v>
          </cell>
        </row>
        <row r="4497">
          <cell r="A4497" t="str">
            <v>USD_COMD_CO_6</v>
          </cell>
          <cell r="B4497" t="str">
            <v>Brent Crude ICE 6</v>
          </cell>
          <cell r="C4497" t="str">
            <v>ALTERNATIVE:COMD:USD_COMD_CO_6</v>
          </cell>
          <cell r="D4497" t="str">
            <v>Commodity</v>
          </cell>
          <cell r="E4497" t="str">
            <v>Price Level</v>
          </cell>
          <cell r="F4497" t="str">
            <v>Alternative</v>
          </cell>
          <cell r="G4497" t="str">
            <v>Other</v>
          </cell>
          <cell r="H4497" t="str">
            <v>ALTS</v>
          </cell>
          <cell r="I4497" t="str">
            <v>Alternative - Commodity</v>
          </cell>
        </row>
        <row r="4498">
          <cell r="A4498" t="str">
            <v>USD_COMD_CO_7</v>
          </cell>
          <cell r="B4498" t="str">
            <v>Brent Crude ICE 7</v>
          </cell>
          <cell r="C4498" t="str">
            <v>ALTERNATIVE:COMD:USD_COMD_CO_7</v>
          </cell>
          <cell r="D4498" t="str">
            <v>Commodity</v>
          </cell>
          <cell r="E4498" t="str">
            <v>Price Level</v>
          </cell>
          <cell r="F4498" t="str">
            <v>Alternative</v>
          </cell>
          <cell r="G4498" t="str">
            <v>Other</v>
          </cell>
          <cell r="H4498" t="str">
            <v>ALTS</v>
          </cell>
          <cell r="I4498" t="str">
            <v>Alternative - Commodity</v>
          </cell>
        </row>
        <row r="4499">
          <cell r="A4499" t="str">
            <v>USD_COMD_CO_8</v>
          </cell>
          <cell r="B4499" t="str">
            <v>Brent Crude ICE 8</v>
          </cell>
          <cell r="C4499" t="str">
            <v>ALTERNATIVE:COMD:USD_COMD_CO_8</v>
          </cell>
          <cell r="D4499" t="str">
            <v>Commodity</v>
          </cell>
          <cell r="E4499" t="str">
            <v>Price Level</v>
          </cell>
          <cell r="F4499" t="str">
            <v>Alternative</v>
          </cell>
          <cell r="G4499" t="str">
            <v>Other</v>
          </cell>
          <cell r="H4499" t="str">
            <v>ALTS</v>
          </cell>
          <cell r="I4499" t="str">
            <v>Alternative - Commodity</v>
          </cell>
        </row>
        <row r="4500">
          <cell r="A4500" t="str">
            <v>USD_COMD_CO_9</v>
          </cell>
          <cell r="B4500" t="str">
            <v>Brent Crude ICE 9</v>
          </cell>
          <cell r="C4500" t="str">
            <v>ALTERNATIVE:COMD:USD_COMD_CO_9</v>
          </cell>
          <cell r="D4500" t="str">
            <v>Commodity</v>
          </cell>
          <cell r="E4500" t="str">
            <v>Price Level</v>
          </cell>
          <cell r="F4500" t="str">
            <v>Alternative</v>
          </cell>
          <cell r="G4500" t="str">
            <v>Other</v>
          </cell>
          <cell r="H4500" t="str">
            <v>ALTS</v>
          </cell>
          <cell r="I4500" t="str">
            <v>Alternative - Commodity</v>
          </cell>
        </row>
        <row r="4501">
          <cell r="A4501" t="str">
            <v>USD_COMD_CO_10</v>
          </cell>
          <cell r="B4501" t="str">
            <v>Brent Crude ICE 10</v>
          </cell>
          <cell r="C4501" t="str">
            <v>ALTERNATIVE:COMD:USD_COMD_CO_10</v>
          </cell>
          <cell r="D4501" t="str">
            <v>Commodity</v>
          </cell>
          <cell r="E4501" t="str">
            <v>Price Level</v>
          </cell>
          <cell r="F4501" t="str">
            <v>Alternative</v>
          </cell>
          <cell r="G4501" t="str">
            <v>Other</v>
          </cell>
          <cell r="H4501" t="str">
            <v>ALTS</v>
          </cell>
          <cell r="I4501" t="str">
            <v>Alternative - Commodity</v>
          </cell>
        </row>
        <row r="4502">
          <cell r="A4502" t="str">
            <v>USD_COMD_CO_11</v>
          </cell>
          <cell r="B4502" t="str">
            <v>Brent Crude ICE 11</v>
          </cell>
          <cell r="C4502" t="str">
            <v>ALTERNATIVE:COMD:USD_COMD_CO_11</v>
          </cell>
          <cell r="D4502" t="str">
            <v>Commodity</v>
          </cell>
          <cell r="E4502" t="str">
            <v>Price Level</v>
          </cell>
          <cell r="F4502" t="str">
            <v>Alternative</v>
          </cell>
          <cell r="G4502" t="str">
            <v>Other</v>
          </cell>
          <cell r="H4502" t="str">
            <v>ALTS</v>
          </cell>
          <cell r="I4502" t="str">
            <v>Alternative - Commodity</v>
          </cell>
        </row>
        <row r="4503">
          <cell r="A4503" t="str">
            <v>USD_COMD_CO_12</v>
          </cell>
          <cell r="B4503" t="str">
            <v>Brent Crude ICE 12</v>
          </cell>
          <cell r="C4503" t="str">
            <v>ALTERNATIVE:COMD:USD_COMD_CO_12</v>
          </cell>
          <cell r="D4503" t="str">
            <v>Commodity</v>
          </cell>
          <cell r="E4503" t="str">
            <v>Price Level</v>
          </cell>
          <cell r="F4503" t="str">
            <v>Alternative</v>
          </cell>
          <cell r="G4503" t="str">
            <v>Other</v>
          </cell>
          <cell r="H4503" t="str">
            <v>ALTS</v>
          </cell>
          <cell r="I4503" t="str">
            <v>Alternative - Commodity</v>
          </cell>
        </row>
        <row r="4504">
          <cell r="A4504" t="str">
            <v>USD_COMD_CT_2</v>
          </cell>
          <cell r="B4504" t="str">
            <v>Cotton NYBOT 2</v>
          </cell>
          <cell r="C4504" t="str">
            <v>ALTERNATIVE:COMD:USD_COMD_CT_2</v>
          </cell>
          <cell r="D4504" t="str">
            <v>Commodity</v>
          </cell>
          <cell r="E4504" t="str">
            <v>Price Level</v>
          </cell>
          <cell r="F4504" t="str">
            <v>Alternative</v>
          </cell>
          <cell r="G4504" t="str">
            <v>Other</v>
          </cell>
          <cell r="H4504" t="str">
            <v>ALTS</v>
          </cell>
          <cell r="I4504" t="str">
            <v>Alternative - Commodity</v>
          </cell>
        </row>
        <row r="4505">
          <cell r="A4505" t="str">
            <v>USD_COMD_CT_4</v>
          </cell>
          <cell r="B4505" t="str">
            <v>Cotton NYBOT 4</v>
          </cell>
          <cell r="C4505" t="str">
            <v>ALTERNATIVE:COMD:USD_COMD_CT_4</v>
          </cell>
          <cell r="D4505" t="str">
            <v>Commodity</v>
          </cell>
          <cell r="E4505" t="str">
            <v>Price Level</v>
          </cell>
          <cell r="F4505" t="str">
            <v>Alternative</v>
          </cell>
          <cell r="G4505" t="str">
            <v>Other</v>
          </cell>
          <cell r="H4505" t="str">
            <v>ALTS</v>
          </cell>
          <cell r="I4505" t="str">
            <v>Alternative - Commodity</v>
          </cell>
        </row>
        <row r="4506">
          <cell r="A4506" t="str">
            <v>USD_COMD_CT_6</v>
          </cell>
          <cell r="B4506" t="str">
            <v>Cotton NYBOT 6</v>
          </cell>
          <cell r="C4506" t="str">
            <v>ALTERNATIVE:COMD:USD_COMD_CT_6</v>
          </cell>
          <cell r="D4506" t="str">
            <v>Commodity</v>
          </cell>
          <cell r="E4506" t="str">
            <v>Price Level</v>
          </cell>
          <cell r="F4506" t="str">
            <v>Alternative</v>
          </cell>
          <cell r="G4506" t="str">
            <v>Other</v>
          </cell>
          <cell r="H4506" t="str">
            <v>ALTS</v>
          </cell>
          <cell r="I4506" t="str">
            <v>Alternative - Commodity</v>
          </cell>
        </row>
        <row r="4507">
          <cell r="A4507" t="str">
            <v>USD_COMD_CT_7</v>
          </cell>
          <cell r="B4507" t="str">
            <v>Cotton NYBOT 7</v>
          </cell>
          <cell r="C4507" t="str">
            <v>ALTERNATIVE:COMD:USD_COMD_CT_7</v>
          </cell>
          <cell r="D4507" t="str">
            <v>Commodity</v>
          </cell>
          <cell r="E4507" t="str">
            <v>Price Level</v>
          </cell>
          <cell r="F4507" t="str">
            <v>Alternative</v>
          </cell>
          <cell r="G4507" t="str">
            <v>Other</v>
          </cell>
          <cell r="H4507" t="str">
            <v>ALTS</v>
          </cell>
          <cell r="I4507" t="str">
            <v>Alternative - Commodity</v>
          </cell>
        </row>
        <row r="4508">
          <cell r="A4508" t="str">
            <v>USD_COMD_CT_8</v>
          </cell>
          <cell r="B4508" t="str">
            <v>Cotton NYBOT 8</v>
          </cell>
          <cell r="C4508" t="str">
            <v>ALTERNATIVE:COMD:USD_COMD_CT_8</v>
          </cell>
          <cell r="D4508" t="str">
            <v>Commodity</v>
          </cell>
          <cell r="E4508" t="str">
            <v>Price Level</v>
          </cell>
          <cell r="F4508" t="str">
            <v>Alternative</v>
          </cell>
          <cell r="G4508" t="str">
            <v>Other</v>
          </cell>
          <cell r="H4508" t="str">
            <v>ALTS</v>
          </cell>
          <cell r="I4508" t="str">
            <v>Alternative - Commodity</v>
          </cell>
        </row>
        <row r="4509">
          <cell r="A4509" t="str">
            <v>USD_COMD_CT_9</v>
          </cell>
          <cell r="B4509" t="str">
            <v>Cotton NYBOT 9</v>
          </cell>
          <cell r="C4509" t="str">
            <v>ALTERNATIVE:COMD:USD_COMD_CT_9</v>
          </cell>
          <cell r="D4509" t="str">
            <v>Commodity</v>
          </cell>
          <cell r="E4509" t="str">
            <v>Price Level</v>
          </cell>
          <cell r="F4509" t="str">
            <v>Alternative</v>
          </cell>
          <cell r="G4509" t="str">
            <v>Other</v>
          </cell>
          <cell r="H4509" t="str">
            <v>ALTS</v>
          </cell>
          <cell r="I4509" t="str">
            <v>Alternative - Commodity</v>
          </cell>
        </row>
        <row r="4510">
          <cell r="A4510" t="str">
            <v>USD_COMD_CT_10</v>
          </cell>
          <cell r="B4510" t="str">
            <v>Cotton NYBOT 10</v>
          </cell>
          <cell r="C4510" t="str">
            <v>ALTERNATIVE:COMD:USD_COMD_CT_10</v>
          </cell>
          <cell r="D4510" t="str">
            <v>Commodity</v>
          </cell>
          <cell r="E4510" t="str">
            <v>Price Level</v>
          </cell>
          <cell r="F4510" t="str">
            <v>Alternative</v>
          </cell>
          <cell r="G4510" t="str">
            <v>Other</v>
          </cell>
          <cell r="H4510" t="str">
            <v>ALTS</v>
          </cell>
          <cell r="I4510" t="str">
            <v>Alternative - Commodity</v>
          </cell>
        </row>
        <row r="4511">
          <cell r="A4511" t="str">
            <v>USD_COMD_CT_11</v>
          </cell>
          <cell r="B4511" t="str">
            <v>Cotton NYBOT 11</v>
          </cell>
          <cell r="C4511" t="str">
            <v>ALTERNATIVE:COMD:USD_COMD_CT_11</v>
          </cell>
          <cell r="D4511" t="str">
            <v>Commodity</v>
          </cell>
          <cell r="E4511" t="str">
            <v>Price Level</v>
          </cell>
          <cell r="F4511" t="str">
            <v>Alternative</v>
          </cell>
          <cell r="G4511" t="str">
            <v>Other</v>
          </cell>
          <cell r="H4511" t="str">
            <v>ALTS</v>
          </cell>
          <cell r="I4511" t="str">
            <v>Alternative - Commodity</v>
          </cell>
        </row>
        <row r="4512">
          <cell r="A4512" t="str">
            <v>USD_COMD_CT_12</v>
          </cell>
          <cell r="B4512" t="str">
            <v>Cotton NYBOT 12</v>
          </cell>
          <cell r="C4512" t="str">
            <v>ALTERNATIVE:COMD:USD_COMD_CT_12</v>
          </cell>
          <cell r="D4512" t="str">
            <v>Commodity</v>
          </cell>
          <cell r="E4512" t="str">
            <v>Price Level</v>
          </cell>
          <cell r="F4512" t="str">
            <v>Alternative</v>
          </cell>
          <cell r="G4512" t="str">
            <v>Other</v>
          </cell>
          <cell r="H4512" t="str">
            <v>ALTS</v>
          </cell>
          <cell r="I4512" t="str">
            <v>Alternative - Commodity</v>
          </cell>
        </row>
        <row r="4513">
          <cell r="A4513" t="str">
            <v>USD_COMD_DA_2</v>
          </cell>
          <cell r="B4513" t="str">
            <v>Milk CME 2</v>
          </cell>
          <cell r="C4513" t="str">
            <v>ALTERNATIVE:COMD:USD_COMD_DA_2</v>
          </cell>
          <cell r="D4513" t="str">
            <v>Commodity</v>
          </cell>
          <cell r="E4513" t="str">
            <v>Price Level</v>
          </cell>
          <cell r="F4513" t="str">
            <v>Alternative</v>
          </cell>
          <cell r="G4513" t="str">
            <v>Other</v>
          </cell>
          <cell r="H4513" t="str">
            <v>ALTS</v>
          </cell>
          <cell r="I4513" t="str">
            <v>Alternative - Commodity</v>
          </cell>
        </row>
        <row r="4514">
          <cell r="A4514" t="str">
            <v>USD_COMD_DA_4</v>
          </cell>
          <cell r="B4514" t="str">
            <v>Milk CME 4</v>
          </cell>
          <cell r="C4514" t="str">
            <v>ALTERNATIVE:COMD:USD_COMD_DA_4</v>
          </cell>
          <cell r="D4514" t="str">
            <v>Commodity</v>
          </cell>
          <cell r="E4514" t="str">
            <v>Price Level</v>
          </cell>
          <cell r="F4514" t="str">
            <v>Alternative</v>
          </cell>
          <cell r="G4514" t="str">
            <v>Other</v>
          </cell>
          <cell r="H4514" t="str">
            <v>ALTS</v>
          </cell>
          <cell r="I4514" t="str">
            <v>Alternative - Commodity</v>
          </cell>
        </row>
        <row r="4515">
          <cell r="A4515" t="str">
            <v>USD_COMD_DA_6</v>
          </cell>
          <cell r="B4515" t="str">
            <v>Milk CME 6</v>
          </cell>
          <cell r="C4515" t="str">
            <v>ALTERNATIVE:COMD:USD_COMD_DA_6</v>
          </cell>
          <cell r="D4515" t="str">
            <v>Commodity</v>
          </cell>
          <cell r="E4515" t="str">
            <v>Price Level</v>
          </cell>
          <cell r="F4515" t="str">
            <v>Alternative</v>
          </cell>
          <cell r="G4515" t="str">
            <v>Other</v>
          </cell>
          <cell r="H4515" t="str">
            <v>ALTS</v>
          </cell>
          <cell r="I4515" t="str">
            <v>Alternative - Commodity</v>
          </cell>
        </row>
        <row r="4516">
          <cell r="A4516" t="str">
            <v>USD_COMD_DA_7</v>
          </cell>
          <cell r="B4516" t="str">
            <v>Milk CME 7</v>
          </cell>
          <cell r="C4516" t="str">
            <v>ALTERNATIVE:COMD:USD_COMD_DA_7</v>
          </cell>
          <cell r="D4516" t="str">
            <v>Commodity</v>
          </cell>
          <cell r="E4516" t="str">
            <v>Price Level</v>
          </cell>
          <cell r="F4516" t="str">
            <v>Alternative</v>
          </cell>
          <cell r="G4516" t="str">
            <v>Other</v>
          </cell>
          <cell r="H4516" t="str">
            <v>ALTS</v>
          </cell>
          <cell r="I4516" t="str">
            <v>Alternative - Commodity</v>
          </cell>
        </row>
        <row r="4517">
          <cell r="A4517" t="str">
            <v>USD_COMD_DA_8</v>
          </cell>
          <cell r="B4517" t="str">
            <v>Milk CME 8</v>
          </cell>
          <cell r="C4517" t="str">
            <v>ALTERNATIVE:COMD:USD_COMD_DA_8</v>
          </cell>
          <cell r="D4517" t="str">
            <v>Commodity</v>
          </cell>
          <cell r="E4517" t="str">
            <v>Price Level</v>
          </cell>
          <cell r="F4517" t="str">
            <v>Alternative</v>
          </cell>
          <cell r="G4517" t="str">
            <v>Other</v>
          </cell>
          <cell r="H4517" t="str">
            <v>ALTS</v>
          </cell>
          <cell r="I4517" t="str">
            <v>Alternative - Commodity</v>
          </cell>
        </row>
        <row r="4518">
          <cell r="A4518" t="str">
            <v>USD_COMD_DA_9</v>
          </cell>
          <cell r="B4518" t="str">
            <v>Milk CME 9</v>
          </cell>
          <cell r="C4518" t="str">
            <v>ALTERNATIVE:COMD:USD_COMD_DA_9</v>
          </cell>
          <cell r="D4518" t="str">
            <v>Commodity</v>
          </cell>
          <cell r="E4518" t="str">
            <v>Price Level</v>
          </cell>
          <cell r="F4518" t="str">
            <v>Alternative</v>
          </cell>
          <cell r="G4518" t="str">
            <v>Other</v>
          </cell>
          <cell r="H4518" t="str">
            <v>ALTS</v>
          </cell>
          <cell r="I4518" t="str">
            <v>Alternative - Commodity</v>
          </cell>
        </row>
        <row r="4519">
          <cell r="A4519" t="str">
            <v>USD_COMD_DA_10</v>
          </cell>
          <cell r="B4519" t="str">
            <v>Milk CME 10</v>
          </cell>
          <cell r="C4519" t="str">
            <v>ALTERNATIVE:COMD:USD_COMD_DA_10</v>
          </cell>
          <cell r="D4519" t="str">
            <v>Commodity</v>
          </cell>
          <cell r="E4519" t="str">
            <v>Price Level</v>
          </cell>
          <cell r="F4519" t="str">
            <v>Alternative</v>
          </cell>
          <cell r="G4519" t="str">
            <v>Other</v>
          </cell>
          <cell r="H4519" t="str">
            <v>ALTS</v>
          </cell>
          <cell r="I4519" t="str">
            <v>Alternative - Commodity</v>
          </cell>
        </row>
        <row r="4520">
          <cell r="A4520" t="str">
            <v>USD_COMD_DA_11</v>
          </cell>
          <cell r="B4520" t="str">
            <v>Milk CME 11</v>
          </cell>
          <cell r="C4520" t="str">
            <v>ALTERNATIVE:COMD:USD_COMD_DA_11</v>
          </cell>
          <cell r="D4520" t="str">
            <v>Commodity</v>
          </cell>
          <cell r="E4520" t="str">
            <v>Price Level</v>
          </cell>
          <cell r="F4520" t="str">
            <v>Alternative</v>
          </cell>
          <cell r="G4520" t="str">
            <v>Other</v>
          </cell>
          <cell r="H4520" t="str">
            <v>ALTS</v>
          </cell>
          <cell r="I4520" t="str">
            <v>Alternative - Commodity</v>
          </cell>
        </row>
        <row r="4521">
          <cell r="A4521" t="str">
            <v>USD_COMD_DA_12</v>
          </cell>
          <cell r="B4521" t="str">
            <v>Milk CME 12</v>
          </cell>
          <cell r="C4521" t="str">
            <v>ALTERNATIVE:COMD:USD_COMD_DA_12</v>
          </cell>
          <cell r="D4521" t="str">
            <v>Commodity</v>
          </cell>
          <cell r="E4521" t="str">
            <v>Price Level</v>
          </cell>
          <cell r="F4521" t="str">
            <v>Alternative</v>
          </cell>
          <cell r="G4521" t="str">
            <v>Other</v>
          </cell>
          <cell r="H4521" t="str">
            <v>ALTS</v>
          </cell>
          <cell r="I4521" t="str">
            <v>Alternative - Commodity</v>
          </cell>
        </row>
        <row r="4522">
          <cell r="A4522" t="str">
            <v>USD_COMD_FC_2</v>
          </cell>
          <cell r="B4522" t="str">
            <v>Feeder Cattle CME 2</v>
          </cell>
          <cell r="C4522" t="str">
            <v>ALTERNATIVE:COMD:USD_COMD_FC_2</v>
          </cell>
          <cell r="D4522" t="str">
            <v>Commodity</v>
          </cell>
          <cell r="E4522" t="str">
            <v>Price Level</v>
          </cell>
          <cell r="F4522" t="str">
            <v>Alternative</v>
          </cell>
          <cell r="G4522" t="str">
            <v>Other</v>
          </cell>
          <cell r="H4522" t="str">
            <v>ALTS</v>
          </cell>
          <cell r="I4522" t="str">
            <v>Alternative - Commodity</v>
          </cell>
        </row>
        <row r="4523">
          <cell r="A4523" t="str">
            <v>USD_COMD_FC_4</v>
          </cell>
          <cell r="B4523" t="str">
            <v>Feeder Cattle CME 4</v>
          </cell>
          <cell r="C4523" t="str">
            <v>ALTERNATIVE:COMD:USD_COMD_FC_4</v>
          </cell>
          <cell r="D4523" t="str">
            <v>Commodity</v>
          </cell>
          <cell r="E4523" t="str">
            <v>Price Level</v>
          </cell>
          <cell r="F4523" t="str">
            <v>Alternative</v>
          </cell>
          <cell r="G4523" t="str">
            <v>Other</v>
          </cell>
          <cell r="H4523" t="str">
            <v>ALTS</v>
          </cell>
          <cell r="I4523" t="str">
            <v>Alternative - Commodity</v>
          </cell>
        </row>
        <row r="4524">
          <cell r="A4524" t="str">
            <v>USD_COMD_FC_6</v>
          </cell>
          <cell r="B4524" t="str">
            <v>Feeder Cattle CME 6</v>
          </cell>
          <cell r="C4524" t="str">
            <v>ALTERNATIVE:COMD:USD_COMD_FC_6</v>
          </cell>
          <cell r="D4524" t="str">
            <v>Commodity</v>
          </cell>
          <cell r="E4524" t="str">
            <v>Price Level</v>
          </cell>
          <cell r="F4524" t="str">
            <v>Alternative</v>
          </cell>
          <cell r="G4524" t="str">
            <v>Other</v>
          </cell>
          <cell r="H4524" t="str">
            <v>ALTS</v>
          </cell>
          <cell r="I4524" t="str">
            <v>Alternative - Commodity</v>
          </cell>
        </row>
        <row r="4525">
          <cell r="A4525" t="str">
            <v>USD_COMD_FC_7</v>
          </cell>
          <cell r="B4525" t="str">
            <v>Feeder Cattle CME 7</v>
          </cell>
          <cell r="C4525" t="str">
            <v>ALTERNATIVE:COMD:USD_COMD_FC_7</v>
          </cell>
          <cell r="D4525" t="str">
            <v>Commodity</v>
          </cell>
          <cell r="E4525" t="str">
            <v>Price Level</v>
          </cell>
          <cell r="F4525" t="str">
            <v>Alternative</v>
          </cell>
          <cell r="G4525" t="str">
            <v>Other</v>
          </cell>
          <cell r="H4525" t="str">
            <v>ALTS</v>
          </cell>
          <cell r="I4525" t="str">
            <v>Alternative - Commodity</v>
          </cell>
        </row>
        <row r="4526">
          <cell r="A4526" t="str">
            <v>USD_COMD_FC_8</v>
          </cell>
          <cell r="B4526" t="str">
            <v>Feeder Cattle CME 8</v>
          </cell>
          <cell r="C4526" t="str">
            <v>ALTERNATIVE:COMD:USD_COMD_FC_8</v>
          </cell>
          <cell r="D4526" t="str">
            <v>Commodity</v>
          </cell>
          <cell r="E4526" t="str">
            <v>Price Level</v>
          </cell>
          <cell r="F4526" t="str">
            <v>Alternative</v>
          </cell>
          <cell r="G4526" t="str">
            <v>Other</v>
          </cell>
          <cell r="H4526" t="str">
            <v>ALTS</v>
          </cell>
          <cell r="I4526" t="str">
            <v>Alternative - Commodity</v>
          </cell>
        </row>
        <row r="4527">
          <cell r="A4527" t="str">
            <v>USD_COMD_FC_9</v>
          </cell>
          <cell r="B4527" t="str">
            <v>Feeder Cattle CME 9</v>
          </cell>
          <cell r="C4527" t="str">
            <v>ALTERNATIVE:COMD:USD_COMD_FC_9</v>
          </cell>
          <cell r="D4527" t="str">
            <v>Commodity</v>
          </cell>
          <cell r="E4527" t="str">
            <v>Price Level</v>
          </cell>
          <cell r="F4527" t="str">
            <v>Alternative</v>
          </cell>
          <cell r="G4527" t="str">
            <v>Other</v>
          </cell>
          <cell r="H4527" t="str">
            <v>ALTS</v>
          </cell>
          <cell r="I4527" t="str">
            <v>Alternative - Commodity</v>
          </cell>
        </row>
        <row r="4528">
          <cell r="A4528" t="str">
            <v>USD_COMD_FC_10</v>
          </cell>
          <cell r="B4528" t="str">
            <v>Feeder Cattle CME 10</v>
          </cell>
          <cell r="C4528" t="str">
            <v>ALTERNATIVE:COMD:USD_COMD_FC_10</v>
          </cell>
          <cell r="D4528" t="str">
            <v>Commodity</v>
          </cell>
          <cell r="E4528" t="str">
            <v>Price Level</v>
          </cell>
          <cell r="F4528" t="str">
            <v>Alternative</v>
          </cell>
          <cell r="G4528" t="str">
            <v>Other</v>
          </cell>
          <cell r="H4528" t="str">
            <v>ALTS</v>
          </cell>
          <cell r="I4528" t="str">
            <v>Alternative - Commodity</v>
          </cell>
        </row>
        <row r="4529">
          <cell r="A4529" t="str">
            <v>USD_COMD_FC_11</v>
          </cell>
          <cell r="B4529" t="str">
            <v>Feeder Cattle CME 11</v>
          </cell>
          <cell r="C4529" t="str">
            <v>ALTERNATIVE:COMD:USD_COMD_FC_11</v>
          </cell>
          <cell r="D4529" t="str">
            <v>Commodity</v>
          </cell>
          <cell r="E4529" t="str">
            <v>Price Level</v>
          </cell>
          <cell r="F4529" t="str">
            <v>Alternative</v>
          </cell>
          <cell r="G4529" t="str">
            <v>Other</v>
          </cell>
          <cell r="H4529" t="str">
            <v>ALTS</v>
          </cell>
          <cell r="I4529" t="str">
            <v>Alternative - Commodity</v>
          </cell>
        </row>
        <row r="4530">
          <cell r="A4530" t="str">
            <v>USD_COMD_FC_12</v>
          </cell>
          <cell r="B4530" t="str">
            <v>Feeder Cattle CME 12</v>
          </cell>
          <cell r="C4530" t="str">
            <v>ALTERNATIVE:COMD:USD_COMD_FC_12</v>
          </cell>
          <cell r="D4530" t="str">
            <v>Commodity</v>
          </cell>
          <cell r="E4530" t="str">
            <v>Price Level</v>
          </cell>
          <cell r="F4530" t="str">
            <v>Alternative</v>
          </cell>
          <cell r="G4530" t="str">
            <v>Other</v>
          </cell>
          <cell r="H4530" t="str">
            <v>ALTS</v>
          </cell>
          <cell r="I4530" t="str">
            <v>Alternative - Commodity</v>
          </cell>
        </row>
        <row r="4531">
          <cell r="A4531" t="str">
            <v>USD_COMD_GC_2</v>
          </cell>
          <cell r="B4531" t="str">
            <v>Gold COMEX 2</v>
          </cell>
          <cell r="C4531" t="str">
            <v>ALTERNATIVE:COMD:USD_COMD_GC_2</v>
          </cell>
          <cell r="D4531" t="str">
            <v>Commodity</v>
          </cell>
          <cell r="E4531" t="str">
            <v>Price Level</v>
          </cell>
          <cell r="F4531" t="str">
            <v>Alternative</v>
          </cell>
          <cell r="G4531" t="str">
            <v>Other</v>
          </cell>
          <cell r="H4531" t="str">
            <v>ALTS</v>
          </cell>
          <cell r="I4531" t="str">
            <v>Alternative - Commodity</v>
          </cell>
        </row>
        <row r="4532">
          <cell r="A4532" t="str">
            <v>USD_COMD_GC_4</v>
          </cell>
          <cell r="B4532" t="str">
            <v>Gold COMEX 4</v>
          </cell>
          <cell r="C4532" t="str">
            <v>ALTERNATIVE:COMD:USD_COMD_GC_4</v>
          </cell>
          <cell r="D4532" t="str">
            <v>Commodity</v>
          </cell>
          <cell r="E4532" t="str">
            <v>Price Level</v>
          </cell>
          <cell r="F4532" t="str">
            <v>Alternative</v>
          </cell>
          <cell r="G4532" t="str">
            <v>Other</v>
          </cell>
          <cell r="H4532" t="str">
            <v>ALTS</v>
          </cell>
          <cell r="I4532" t="str">
            <v>Alternative - Commodity</v>
          </cell>
        </row>
        <row r="4533">
          <cell r="A4533" t="str">
            <v>USD_COMD_GC_6</v>
          </cell>
          <cell r="B4533" t="str">
            <v>Gold COMEX 6</v>
          </cell>
          <cell r="C4533" t="str">
            <v>ALTERNATIVE:COMD:USD_COMD_GC_6</v>
          </cell>
          <cell r="D4533" t="str">
            <v>Commodity</v>
          </cell>
          <cell r="E4533" t="str">
            <v>Price Level</v>
          </cell>
          <cell r="F4533" t="str">
            <v>Alternative</v>
          </cell>
          <cell r="G4533" t="str">
            <v>Other</v>
          </cell>
          <cell r="H4533" t="str">
            <v>ALTS</v>
          </cell>
          <cell r="I4533" t="str">
            <v>Alternative - Commodity</v>
          </cell>
        </row>
        <row r="4534">
          <cell r="A4534" t="str">
            <v>USD_COMD_GC_7</v>
          </cell>
          <cell r="B4534" t="str">
            <v>Gold COMEX 7</v>
          </cell>
          <cell r="C4534" t="str">
            <v>ALTERNATIVE:COMD:USD_COMD_GC_7</v>
          </cell>
          <cell r="D4534" t="str">
            <v>Commodity</v>
          </cell>
          <cell r="E4534" t="str">
            <v>Price Level</v>
          </cell>
          <cell r="F4534" t="str">
            <v>Alternative</v>
          </cell>
          <cell r="G4534" t="str">
            <v>Other</v>
          </cell>
          <cell r="H4534" t="str">
            <v>ALTS</v>
          </cell>
          <cell r="I4534" t="str">
            <v>Alternative - Commodity</v>
          </cell>
        </row>
        <row r="4535">
          <cell r="A4535" t="str">
            <v>USD_COMD_GC_8</v>
          </cell>
          <cell r="B4535" t="str">
            <v>Gold COMEX 8</v>
          </cell>
          <cell r="C4535" t="str">
            <v>ALTERNATIVE:COMD:USD_COMD_GC_8</v>
          </cell>
          <cell r="D4535" t="str">
            <v>Commodity</v>
          </cell>
          <cell r="E4535" t="str">
            <v>Price Level</v>
          </cell>
          <cell r="F4535" t="str">
            <v>Alternative</v>
          </cell>
          <cell r="G4535" t="str">
            <v>Other</v>
          </cell>
          <cell r="H4535" t="str">
            <v>ALTS</v>
          </cell>
          <cell r="I4535" t="str">
            <v>Alternative - Commodity</v>
          </cell>
        </row>
        <row r="4536">
          <cell r="A4536" t="str">
            <v>USD_COMD_GC_9</v>
          </cell>
          <cell r="B4536" t="str">
            <v>Gold COMEX 9</v>
          </cell>
          <cell r="C4536" t="str">
            <v>ALTERNATIVE:COMD:USD_COMD_GC_9</v>
          </cell>
          <cell r="D4536" t="str">
            <v>Commodity</v>
          </cell>
          <cell r="E4536" t="str">
            <v>Price Level</v>
          </cell>
          <cell r="F4536" t="str">
            <v>Alternative</v>
          </cell>
          <cell r="G4536" t="str">
            <v>Other</v>
          </cell>
          <cell r="H4536" t="str">
            <v>ALTS</v>
          </cell>
          <cell r="I4536" t="str">
            <v>Alternative - Commodity</v>
          </cell>
        </row>
        <row r="4537">
          <cell r="A4537" t="str">
            <v>USD_COMD_GC_10</v>
          </cell>
          <cell r="B4537" t="str">
            <v>Gold COMEX 10</v>
          </cell>
          <cell r="C4537" t="str">
            <v>ALTERNATIVE:COMD:USD_COMD_GC_10</v>
          </cell>
          <cell r="D4537" t="str">
            <v>Commodity</v>
          </cell>
          <cell r="E4537" t="str">
            <v>Price Level</v>
          </cell>
          <cell r="F4537" t="str">
            <v>Alternative</v>
          </cell>
          <cell r="G4537" t="str">
            <v>Other</v>
          </cell>
          <cell r="H4537" t="str">
            <v>ALTS</v>
          </cell>
          <cell r="I4537" t="str">
            <v>Alternative - Commodity</v>
          </cell>
        </row>
        <row r="4538">
          <cell r="A4538" t="str">
            <v>USD_COMD_GC_11</v>
          </cell>
          <cell r="B4538" t="str">
            <v>Gold COMEX 11</v>
          </cell>
          <cell r="C4538" t="str">
            <v>ALTERNATIVE:COMD:USD_COMD_GC_11</v>
          </cell>
          <cell r="D4538" t="str">
            <v>Commodity</v>
          </cell>
          <cell r="E4538" t="str">
            <v>Price Level</v>
          </cell>
          <cell r="F4538" t="str">
            <v>Alternative</v>
          </cell>
          <cell r="G4538" t="str">
            <v>Other</v>
          </cell>
          <cell r="H4538" t="str">
            <v>ALTS</v>
          </cell>
          <cell r="I4538" t="str">
            <v>Alternative - Commodity</v>
          </cell>
        </row>
        <row r="4539">
          <cell r="A4539" t="str">
            <v>USD_COMD_GC_12</v>
          </cell>
          <cell r="B4539" t="str">
            <v>Gold COMEX 12</v>
          </cell>
          <cell r="C4539" t="str">
            <v>ALTERNATIVE:COMD:USD_COMD_GC_12</v>
          </cell>
          <cell r="D4539" t="str">
            <v>Commodity</v>
          </cell>
          <cell r="E4539" t="str">
            <v>Price Level</v>
          </cell>
          <cell r="F4539" t="str">
            <v>Alternative</v>
          </cell>
          <cell r="G4539" t="str">
            <v>Other</v>
          </cell>
          <cell r="H4539" t="str">
            <v>ALTS</v>
          </cell>
          <cell r="I4539" t="str">
            <v>Alternative - Commodity</v>
          </cell>
        </row>
        <row r="4540">
          <cell r="A4540" t="str">
            <v>USD_COMD_HG_2</v>
          </cell>
          <cell r="B4540" t="str">
            <v>Copper CMX 2</v>
          </cell>
          <cell r="C4540" t="str">
            <v>ALTERNATIVE:COMD:USD_COMD_HG_2</v>
          </cell>
          <cell r="D4540" t="str">
            <v>Commodity</v>
          </cell>
          <cell r="E4540" t="str">
            <v>Price Level</v>
          </cell>
          <cell r="F4540" t="str">
            <v>Alternative</v>
          </cell>
          <cell r="G4540" t="str">
            <v>Other</v>
          </cell>
          <cell r="H4540" t="str">
            <v>ALTS</v>
          </cell>
          <cell r="I4540" t="str">
            <v>Alternative - Commodity</v>
          </cell>
        </row>
        <row r="4541">
          <cell r="A4541" t="str">
            <v>USD_COMD_HG_4</v>
          </cell>
          <cell r="B4541" t="str">
            <v>Copper CMX 4</v>
          </cell>
          <cell r="C4541" t="str">
            <v>ALTERNATIVE:COMD:USD_COMD_HG_4</v>
          </cell>
          <cell r="D4541" t="str">
            <v>Commodity</v>
          </cell>
          <cell r="E4541" t="str">
            <v>Price Level</v>
          </cell>
          <cell r="F4541" t="str">
            <v>Alternative</v>
          </cell>
          <cell r="G4541" t="str">
            <v>Other</v>
          </cell>
          <cell r="H4541" t="str">
            <v>ALTS</v>
          </cell>
          <cell r="I4541" t="str">
            <v>Alternative - Commodity</v>
          </cell>
        </row>
        <row r="4542">
          <cell r="A4542" t="str">
            <v>USD_COMD_HG_6</v>
          </cell>
          <cell r="B4542" t="str">
            <v>Copper CMX 6</v>
          </cell>
          <cell r="C4542" t="str">
            <v>ALTERNATIVE:COMD:USD_COMD_HG_6</v>
          </cell>
          <cell r="D4542" t="str">
            <v>Commodity</v>
          </cell>
          <cell r="E4542" t="str">
            <v>Price Level</v>
          </cell>
          <cell r="F4542" t="str">
            <v>Alternative</v>
          </cell>
          <cell r="G4542" t="str">
            <v>Other</v>
          </cell>
          <cell r="H4542" t="str">
            <v>ALTS</v>
          </cell>
          <cell r="I4542" t="str">
            <v>Alternative - Commodity</v>
          </cell>
        </row>
        <row r="4543">
          <cell r="A4543" t="str">
            <v>USD_COMD_HG_7</v>
          </cell>
          <cell r="B4543" t="str">
            <v>Copper CMX 7</v>
          </cell>
          <cell r="C4543" t="str">
            <v>ALTERNATIVE:COMD:USD_COMD_HG_7</v>
          </cell>
          <cell r="D4543" t="str">
            <v>Commodity</v>
          </cell>
          <cell r="E4543" t="str">
            <v>Price Level</v>
          </cell>
          <cell r="F4543" t="str">
            <v>Alternative</v>
          </cell>
          <cell r="G4543" t="str">
            <v>Other</v>
          </cell>
          <cell r="H4543" t="str">
            <v>ALTS</v>
          </cell>
          <cell r="I4543" t="str">
            <v>Alternative - Commodity</v>
          </cell>
        </row>
        <row r="4544">
          <cell r="A4544" t="str">
            <v>USD_COMD_HG_8</v>
          </cell>
          <cell r="B4544" t="str">
            <v>Copper CMX 8</v>
          </cell>
          <cell r="C4544" t="str">
            <v>ALTERNATIVE:COMD:USD_COMD_HG_8</v>
          </cell>
          <cell r="D4544" t="str">
            <v>Commodity</v>
          </cell>
          <cell r="E4544" t="str">
            <v>Price Level</v>
          </cell>
          <cell r="F4544" t="str">
            <v>Alternative</v>
          </cell>
          <cell r="G4544" t="str">
            <v>Other</v>
          </cell>
          <cell r="H4544" t="str">
            <v>ALTS</v>
          </cell>
          <cell r="I4544" t="str">
            <v>Alternative - Commodity</v>
          </cell>
        </row>
        <row r="4545">
          <cell r="A4545" t="str">
            <v>USD_COMD_HG_9</v>
          </cell>
          <cell r="B4545" t="str">
            <v>Copper CMX 9</v>
          </cell>
          <cell r="C4545" t="str">
            <v>ALTERNATIVE:COMD:USD_COMD_HG_9</v>
          </cell>
          <cell r="D4545" t="str">
            <v>Commodity</v>
          </cell>
          <cell r="E4545" t="str">
            <v>Price Level</v>
          </cell>
          <cell r="F4545" t="str">
            <v>Alternative</v>
          </cell>
          <cell r="G4545" t="str">
            <v>Other</v>
          </cell>
          <cell r="H4545" t="str">
            <v>ALTS</v>
          </cell>
          <cell r="I4545" t="str">
            <v>Alternative - Commodity</v>
          </cell>
        </row>
        <row r="4546">
          <cell r="A4546" t="str">
            <v>USD_COMD_HG_10</v>
          </cell>
          <cell r="B4546" t="str">
            <v>Copper CMX 10</v>
          </cell>
          <cell r="C4546" t="str">
            <v>ALTERNATIVE:COMD:USD_COMD_HG_10</v>
          </cell>
          <cell r="D4546" t="str">
            <v>Commodity</v>
          </cell>
          <cell r="E4546" t="str">
            <v>Price Level</v>
          </cell>
          <cell r="F4546" t="str">
            <v>Alternative</v>
          </cell>
          <cell r="G4546" t="str">
            <v>Other</v>
          </cell>
          <cell r="H4546" t="str">
            <v>ALTS</v>
          </cell>
          <cell r="I4546" t="str">
            <v>Alternative - Commodity</v>
          </cell>
        </row>
        <row r="4547">
          <cell r="A4547" t="str">
            <v>USD_COMD_HG_11</v>
          </cell>
          <cell r="B4547" t="str">
            <v>Copper CMX 11</v>
          </cell>
          <cell r="C4547" t="str">
            <v>ALTERNATIVE:COMD:USD_COMD_HG_11</v>
          </cell>
          <cell r="D4547" t="str">
            <v>Commodity</v>
          </cell>
          <cell r="E4547" t="str">
            <v>Price Level</v>
          </cell>
          <cell r="F4547" t="str">
            <v>Alternative</v>
          </cell>
          <cell r="G4547" t="str">
            <v>Other</v>
          </cell>
          <cell r="H4547" t="str">
            <v>ALTS</v>
          </cell>
          <cell r="I4547" t="str">
            <v>Alternative - Commodity</v>
          </cell>
        </row>
        <row r="4548">
          <cell r="A4548" t="str">
            <v>USD_COMD_HG_12</v>
          </cell>
          <cell r="B4548" t="str">
            <v>Copper CMX 12</v>
          </cell>
          <cell r="C4548" t="str">
            <v>ALTERNATIVE:COMD:USD_COMD_HG_12</v>
          </cell>
          <cell r="D4548" t="str">
            <v>Commodity</v>
          </cell>
          <cell r="E4548" t="str">
            <v>Price Level</v>
          </cell>
          <cell r="F4548" t="str">
            <v>Alternative</v>
          </cell>
          <cell r="G4548" t="str">
            <v>Other</v>
          </cell>
          <cell r="H4548" t="str">
            <v>ALTS</v>
          </cell>
          <cell r="I4548" t="str">
            <v>Alternative - Commodity</v>
          </cell>
        </row>
        <row r="4549">
          <cell r="A4549" t="str">
            <v>USD_COMD_HO_2</v>
          </cell>
          <cell r="B4549" t="str">
            <v>Heating Oil NYME 2</v>
          </cell>
          <cell r="C4549" t="str">
            <v>ALTERNATIVE:COMD:USD_COMD_HO_2</v>
          </cell>
          <cell r="D4549" t="str">
            <v>Commodity</v>
          </cell>
          <cell r="E4549" t="str">
            <v>Price Level</v>
          </cell>
          <cell r="F4549" t="str">
            <v>Alternative</v>
          </cell>
          <cell r="G4549" t="str">
            <v>Other</v>
          </cell>
          <cell r="H4549" t="str">
            <v>ALTS</v>
          </cell>
          <cell r="I4549" t="str">
            <v>Alternative - Commodity</v>
          </cell>
        </row>
        <row r="4550">
          <cell r="A4550" t="str">
            <v>USD_COMD_HO_4</v>
          </cell>
          <cell r="B4550" t="str">
            <v>Heating Oil NYME 4</v>
          </cell>
          <cell r="C4550" t="str">
            <v>ALTERNATIVE:COMD:USD_COMD_HO_4</v>
          </cell>
          <cell r="D4550" t="str">
            <v>Commodity</v>
          </cell>
          <cell r="E4550" t="str">
            <v>Price Level</v>
          </cell>
          <cell r="F4550" t="str">
            <v>Alternative</v>
          </cell>
          <cell r="G4550" t="str">
            <v>Other</v>
          </cell>
          <cell r="H4550" t="str">
            <v>ALTS</v>
          </cell>
          <cell r="I4550" t="str">
            <v>Alternative - Commodity</v>
          </cell>
        </row>
        <row r="4551">
          <cell r="A4551" t="str">
            <v>USD_COMD_HO_6</v>
          </cell>
          <cell r="B4551" t="str">
            <v>Heating Oil NYME 6</v>
          </cell>
          <cell r="C4551" t="str">
            <v>ALTERNATIVE:COMD:USD_COMD_HO_6</v>
          </cell>
          <cell r="D4551" t="str">
            <v>Commodity</v>
          </cell>
          <cell r="E4551" t="str">
            <v>Price Level</v>
          </cell>
          <cell r="F4551" t="str">
            <v>Alternative</v>
          </cell>
          <cell r="G4551" t="str">
            <v>Other</v>
          </cell>
          <cell r="H4551" t="str">
            <v>ALTS</v>
          </cell>
          <cell r="I4551" t="str">
            <v>Alternative - Commodity</v>
          </cell>
        </row>
        <row r="4552">
          <cell r="A4552" t="str">
            <v>USD_COMD_HO_7</v>
          </cell>
          <cell r="B4552" t="str">
            <v>Heating Oil NYME 7</v>
          </cell>
          <cell r="C4552" t="str">
            <v>ALTERNATIVE:COMD:USD_COMD_HO_7</v>
          </cell>
          <cell r="D4552" t="str">
            <v>Commodity</v>
          </cell>
          <cell r="E4552" t="str">
            <v>Price Level</v>
          </cell>
          <cell r="F4552" t="str">
            <v>Alternative</v>
          </cell>
          <cell r="G4552" t="str">
            <v>Other</v>
          </cell>
          <cell r="H4552" t="str">
            <v>ALTS</v>
          </cell>
          <cell r="I4552" t="str">
            <v>Alternative - Commodity</v>
          </cell>
        </row>
        <row r="4553">
          <cell r="A4553" t="str">
            <v>USD_COMD_HO_8</v>
          </cell>
          <cell r="B4553" t="str">
            <v>Heating Oil NYME 8</v>
          </cell>
          <cell r="C4553" t="str">
            <v>ALTERNATIVE:COMD:USD_COMD_HO_8</v>
          </cell>
          <cell r="D4553" t="str">
            <v>Commodity</v>
          </cell>
          <cell r="E4553" t="str">
            <v>Price Level</v>
          </cell>
          <cell r="F4553" t="str">
            <v>Alternative</v>
          </cell>
          <cell r="G4553" t="str">
            <v>Other</v>
          </cell>
          <cell r="H4553" t="str">
            <v>ALTS</v>
          </cell>
          <cell r="I4553" t="str">
            <v>Alternative - Commodity</v>
          </cell>
        </row>
        <row r="4554">
          <cell r="A4554" t="str">
            <v>USD_COMD_HO_9</v>
          </cell>
          <cell r="B4554" t="str">
            <v>Heating Oil NYME 9</v>
          </cell>
          <cell r="C4554" t="str">
            <v>ALTERNATIVE:COMD:USD_COMD_HO_9</v>
          </cell>
          <cell r="D4554" t="str">
            <v>Commodity</v>
          </cell>
          <cell r="E4554" t="str">
            <v>Price Level</v>
          </cell>
          <cell r="F4554" t="str">
            <v>Alternative</v>
          </cell>
          <cell r="G4554" t="str">
            <v>Other</v>
          </cell>
          <cell r="H4554" t="str">
            <v>ALTS</v>
          </cell>
          <cell r="I4554" t="str">
            <v>Alternative - Commodity</v>
          </cell>
        </row>
        <row r="4555">
          <cell r="A4555" t="str">
            <v>USD_COMD_HO_10</v>
          </cell>
          <cell r="B4555" t="str">
            <v>Heating Oil NYME 10</v>
          </cell>
          <cell r="C4555" t="str">
            <v>ALTERNATIVE:COMD:USD_COMD_HO_10</v>
          </cell>
          <cell r="D4555" t="str">
            <v>Commodity</v>
          </cell>
          <cell r="E4555" t="str">
            <v>Price Level</v>
          </cell>
          <cell r="F4555" t="str">
            <v>Alternative</v>
          </cell>
          <cell r="G4555" t="str">
            <v>Other</v>
          </cell>
          <cell r="H4555" t="str">
            <v>ALTS</v>
          </cell>
          <cell r="I4555" t="str">
            <v>Alternative - Commodity</v>
          </cell>
        </row>
        <row r="4556">
          <cell r="A4556" t="str">
            <v>USD_COMD_HO_11</v>
          </cell>
          <cell r="B4556" t="str">
            <v>Heating Oil NYME 11</v>
          </cell>
          <cell r="C4556" t="str">
            <v>ALTERNATIVE:COMD:USD_COMD_HO_11</v>
          </cell>
          <cell r="D4556" t="str">
            <v>Commodity</v>
          </cell>
          <cell r="E4556" t="str">
            <v>Price Level</v>
          </cell>
          <cell r="F4556" t="str">
            <v>Alternative</v>
          </cell>
          <cell r="G4556" t="str">
            <v>Other</v>
          </cell>
          <cell r="H4556" t="str">
            <v>ALTS</v>
          </cell>
          <cell r="I4556" t="str">
            <v>Alternative - Commodity</v>
          </cell>
        </row>
        <row r="4557">
          <cell r="A4557" t="str">
            <v>USD_COMD_HO_12</v>
          </cell>
          <cell r="B4557" t="str">
            <v>Heating Oil NYME 12</v>
          </cell>
          <cell r="C4557" t="str">
            <v>ALTERNATIVE:COMD:USD_COMD_HO_12</v>
          </cell>
          <cell r="D4557" t="str">
            <v>Commodity</v>
          </cell>
          <cell r="E4557" t="str">
            <v>Price Level</v>
          </cell>
          <cell r="F4557" t="str">
            <v>Alternative</v>
          </cell>
          <cell r="G4557" t="str">
            <v>Other</v>
          </cell>
          <cell r="H4557" t="str">
            <v>ALTS</v>
          </cell>
          <cell r="I4557" t="str">
            <v>Alternative - Commodity</v>
          </cell>
        </row>
        <row r="4558">
          <cell r="A4558" t="str">
            <v>USD_COMD_KC_2</v>
          </cell>
          <cell r="B4558" t="str">
            <v>Coffee NYBOT 2</v>
          </cell>
          <cell r="C4558" t="str">
            <v>ALTERNATIVE:COMD:USD_COMD_KC_2</v>
          </cell>
          <cell r="D4558" t="str">
            <v>Commodity</v>
          </cell>
          <cell r="E4558" t="str">
            <v>Price Level</v>
          </cell>
          <cell r="F4558" t="str">
            <v>Alternative</v>
          </cell>
          <cell r="G4558" t="str">
            <v>Other</v>
          </cell>
          <cell r="H4558" t="str">
            <v>ALTS</v>
          </cell>
          <cell r="I4558" t="str">
            <v>Alternative - Commodity</v>
          </cell>
        </row>
        <row r="4559">
          <cell r="A4559" t="str">
            <v>USD_COMD_KC_4</v>
          </cell>
          <cell r="B4559" t="str">
            <v>Coffee NYBOT 4</v>
          </cell>
          <cell r="C4559" t="str">
            <v>ALTERNATIVE:COMD:USD_COMD_KC_4</v>
          </cell>
          <cell r="D4559" t="str">
            <v>Commodity</v>
          </cell>
          <cell r="E4559" t="str">
            <v>Price Level</v>
          </cell>
          <cell r="F4559" t="str">
            <v>Alternative</v>
          </cell>
          <cell r="G4559" t="str">
            <v>Other</v>
          </cell>
          <cell r="H4559" t="str">
            <v>ALTS</v>
          </cell>
          <cell r="I4559" t="str">
            <v>Alternative - Commodity</v>
          </cell>
        </row>
        <row r="4560">
          <cell r="A4560" t="str">
            <v>USD_COMD_KC_6</v>
          </cell>
          <cell r="B4560" t="str">
            <v>Coffee NYBOT 6</v>
          </cell>
          <cell r="C4560" t="str">
            <v>ALTERNATIVE:COMD:USD_COMD_KC_6</v>
          </cell>
          <cell r="D4560" t="str">
            <v>Commodity</v>
          </cell>
          <cell r="E4560" t="str">
            <v>Price Level</v>
          </cell>
          <cell r="F4560" t="str">
            <v>Alternative</v>
          </cell>
          <cell r="G4560" t="str">
            <v>Other</v>
          </cell>
          <cell r="H4560" t="str">
            <v>ALTS</v>
          </cell>
          <cell r="I4560" t="str">
            <v>Alternative - Commodity</v>
          </cell>
        </row>
        <row r="4561">
          <cell r="A4561" t="str">
            <v>USD_COMD_KC_7</v>
          </cell>
          <cell r="B4561" t="str">
            <v>Coffee NYBOT 7</v>
          </cell>
          <cell r="C4561" t="str">
            <v>ALTERNATIVE:COMD:USD_COMD_KC_7</v>
          </cell>
          <cell r="D4561" t="str">
            <v>Commodity</v>
          </cell>
          <cell r="E4561" t="str">
            <v>Price Level</v>
          </cell>
          <cell r="F4561" t="str">
            <v>Alternative</v>
          </cell>
          <cell r="G4561" t="str">
            <v>Other</v>
          </cell>
          <cell r="H4561" t="str">
            <v>ALTS</v>
          </cell>
          <cell r="I4561" t="str">
            <v>Alternative - Commodity</v>
          </cell>
        </row>
        <row r="4562">
          <cell r="A4562" t="str">
            <v>USD_COMD_KC_8</v>
          </cell>
          <cell r="B4562" t="str">
            <v>Coffee NYBOT 8</v>
          </cell>
          <cell r="C4562" t="str">
            <v>ALTERNATIVE:COMD:USD_COMD_KC_8</v>
          </cell>
          <cell r="D4562" t="str">
            <v>Commodity</v>
          </cell>
          <cell r="E4562" t="str">
            <v>Price Level</v>
          </cell>
          <cell r="F4562" t="str">
            <v>Alternative</v>
          </cell>
          <cell r="G4562" t="str">
            <v>Other</v>
          </cell>
          <cell r="H4562" t="str">
            <v>ALTS</v>
          </cell>
          <cell r="I4562" t="str">
            <v>Alternative - Commodity</v>
          </cell>
        </row>
        <row r="4563">
          <cell r="A4563" t="str">
            <v>USD_COMD_KC_9</v>
          </cell>
          <cell r="B4563" t="str">
            <v>Coffee NYBOT 9</v>
          </cell>
          <cell r="C4563" t="str">
            <v>ALTERNATIVE:COMD:USD_COMD_KC_9</v>
          </cell>
          <cell r="D4563" t="str">
            <v>Commodity</v>
          </cell>
          <cell r="E4563" t="str">
            <v>Price Level</v>
          </cell>
          <cell r="F4563" t="str">
            <v>Alternative</v>
          </cell>
          <cell r="G4563" t="str">
            <v>Other</v>
          </cell>
          <cell r="H4563" t="str">
            <v>ALTS</v>
          </cell>
          <cell r="I4563" t="str">
            <v>Alternative - Commodity</v>
          </cell>
        </row>
        <row r="4564">
          <cell r="A4564" t="str">
            <v>USD_COMD_KC_10</v>
          </cell>
          <cell r="B4564" t="str">
            <v>Coffee NYBOT 10</v>
          </cell>
          <cell r="C4564" t="str">
            <v>ALTERNATIVE:COMD:USD_COMD_KC_10</v>
          </cell>
          <cell r="D4564" t="str">
            <v>Commodity</v>
          </cell>
          <cell r="E4564" t="str">
            <v>Price Level</v>
          </cell>
          <cell r="F4564" t="str">
            <v>Alternative</v>
          </cell>
          <cell r="G4564" t="str">
            <v>Other</v>
          </cell>
          <cell r="H4564" t="str">
            <v>ALTS</v>
          </cell>
          <cell r="I4564" t="str">
            <v>Alternative - Commodity</v>
          </cell>
        </row>
        <row r="4565">
          <cell r="A4565" t="str">
            <v>USD_COMD_KC_11</v>
          </cell>
          <cell r="B4565" t="str">
            <v>Coffee NYBOT 11</v>
          </cell>
          <cell r="C4565" t="str">
            <v>ALTERNATIVE:COMD:USD_COMD_KC_11</v>
          </cell>
          <cell r="D4565" t="str">
            <v>Commodity</v>
          </cell>
          <cell r="E4565" t="str">
            <v>Price Level</v>
          </cell>
          <cell r="F4565" t="str">
            <v>Alternative</v>
          </cell>
          <cell r="G4565" t="str">
            <v>Other</v>
          </cell>
          <cell r="H4565" t="str">
            <v>ALTS</v>
          </cell>
          <cell r="I4565" t="str">
            <v>Alternative - Commodity</v>
          </cell>
        </row>
        <row r="4566">
          <cell r="A4566" t="str">
            <v>USD_COMD_KC_12</v>
          </cell>
          <cell r="B4566" t="str">
            <v>Coffee NYBOT 12</v>
          </cell>
          <cell r="C4566" t="str">
            <v>ALTERNATIVE:COMD:USD_COMD_KC_12</v>
          </cell>
          <cell r="D4566" t="str">
            <v>Commodity</v>
          </cell>
          <cell r="E4566" t="str">
            <v>Price Level</v>
          </cell>
          <cell r="F4566" t="str">
            <v>Alternative</v>
          </cell>
          <cell r="G4566" t="str">
            <v>Other</v>
          </cell>
          <cell r="H4566" t="str">
            <v>ALTS</v>
          </cell>
          <cell r="I4566" t="str">
            <v>Alternative - Commodity</v>
          </cell>
        </row>
        <row r="4567">
          <cell r="A4567" t="str">
            <v>USD_COMD_KW_2</v>
          </cell>
          <cell r="B4567" t="str">
            <v>Wheat KCBT 2</v>
          </cell>
          <cell r="C4567" t="str">
            <v>ALTERNATIVE:COMD:USD_COMD_KW_2</v>
          </cell>
          <cell r="D4567" t="str">
            <v>Commodity</v>
          </cell>
          <cell r="E4567" t="str">
            <v>Price Level</v>
          </cell>
          <cell r="F4567" t="str">
            <v>Alternative</v>
          </cell>
          <cell r="G4567" t="str">
            <v>Other</v>
          </cell>
          <cell r="H4567" t="str">
            <v>ALTS</v>
          </cell>
          <cell r="I4567" t="str">
            <v>Alternative - Commodity</v>
          </cell>
        </row>
        <row r="4568">
          <cell r="A4568" t="str">
            <v>USD_COMD_KW_4</v>
          </cell>
          <cell r="B4568" t="str">
            <v>Wheat KCBT 4</v>
          </cell>
          <cell r="C4568" t="str">
            <v>ALTERNATIVE:COMD:USD_COMD_KW_4</v>
          </cell>
          <cell r="D4568" t="str">
            <v>Commodity</v>
          </cell>
          <cell r="E4568" t="str">
            <v>Price Level</v>
          </cell>
          <cell r="F4568" t="str">
            <v>Alternative</v>
          </cell>
          <cell r="G4568" t="str">
            <v>Other</v>
          </cell>
          <cell r="H4568" t="str">
            <v>ALTS</v>
          </cell>
          <cell r="I4568" t="str">
            <v>Alternative - Commodity</v>
          </cell>
        </row>
        <row r="4569">
          <cell r="A4569" t="str">
            <v>USD_COMD_KW_6</v>
          </cell>
          <cell r="B4569" t="str">
            <v>Wheat KCBT 6</v>
          </cell>
          <cell r="C4569" t="str">
            <v>ALTERNATIVE:COMD:USD_COMD_KW_6</v>
          </cell>
          <cell r="D4569" t="str">
            <v>Commodity</v>
          </cell>
          <cell r="E4569" t="str">
            <v>Price Level</v>
          </cell>
          <cell r="F4569" t="str">
            <v>Alternative</v>
          </cell>
          <cell r="G4569" t="str">
            <v>Other</v>
          </cell>
          <cell r="H4569" t="str">
            <v>ALTS</v>
          </cell>
          <cell r="I4569" t="str">
            <v>Alternative - Commodity</v>
          </cell>
        </row>
        <row r="4570">
          <cell r="A4570" t="str">
            <v>USD_COMD_KW_7</v>
          </cell>
          <cell r="B4570" t="str">
            <v>Wheat KCBT 7</v>
          </cell>
          <cell r="C4570" t="str">
            <v>ALTERNATIVE:COMD:USD_COMD_KW_7</v>
          </cell>
          <cell r="D4570" t="str">
            <v>Commodity</v>
          </cell>
          <cell r="E4570" t="str">
            <v>Price Level</v>
          </cell>
          <cell r="F4570" t="str">
            <v>Alternative</v>
          </cell>
          <cell r="G4570" t="str">
            <v>Other</v>
          </cell>
          <cell r="H4570" t="str">
            <v>ALTS</v>
          </cell>
          <cell r="I4570" t="str">
            <v>Alternative - Commodity</v>
          </cell>
        </row>
        <row r="4571">
          <cell r="A4571" t="str">
            <v>USD_COMD_KW_8</v>
          </cell>
          <cell r="B4571" t="str">
            <v>Wheat KCBT 8</v>
          </cell>
          <cell r="C4571" t="str">
            <v>ALTERNATIVE:COMD:USD_COMD_KW_8</v>
          </cell>
          <cell r="D4571" t="str">
            <v>Commodity</v>
          </cell>
          <cell r="E4571" t="str">
            <v>Price Level</v>
          </cell>
          <cell r="F4571" t="str">
            <v>Alternative</v>
          </cell>
          <cell r="G4571" t="str">
            <v>Other</v>
          </cell>
          <cell r="H4571" t="str">
            <v>ALTS</v>
          </cell>
          <cell r="I4571" t="str">
            <v>Alternative - Commodity</v>
          </cell>
        </row>
        <row r="4572">
          <cell r="A4572" t="str">
            <v>USD_COMD_KW_9</v>
          </cell>
          <cell r="B4572" t="str">
            <v>Wheat KCBT 9</v>
          </cell>
          <cell r="C4572" t="str">
            <v>ALTERNATIVE:COMD:USD_COMD_KW_9</v>
          </cell>
          <cell r="D4572" t="str">
            <v>Commodity</v>
          </cell>
          <cell r="E4572" t="str">
            <v>Price Level</v>
          </cell>
          <cell r="F4572" t="str">
            <v>Alternative</v>
          </cell>
          <cell r="G4572" t="str">
            <v>Other</v>
          </cell>
          <cell r="H4572" t="str">
            <v>ALTS</v>
          </cell>
          <cell r="I4572" t="str">
            <v>Alternative - Commodity</v>
          </cell>
        </row>
        <row r="4573">
          <cell r="A4573" t="str">
            <v>USD_COMD_KW_10</v>
          </cell>
          <cell r="B4573" t="str">
            <v>Wheat KCBT 10</v>
          </cell>
          <cell r="C4573" t="str">
            <v>ALTERNATIVE:COMD:USD_COMD_KW_10</v>
          </cell>
          <cell r="D4573" t="str">
            <v>Commodity</v>
          </cell>
          <cell r="E4573" t="str">
            <v>Price Level</v>
          </cell>
          <cell r="F4573" t="str">
            <v>Alternative</v>
          </cell>
          <cell r="G4573" t="str">
            <v>Other</v>
          </cell>
          <cell r="H4573" t="str">
            <v>ALTS</v>
          </cell>
          <cell r="I4573" t="str">
            <v>Alternative - Commodity</v>
          </cell>
        </row>
        <row r="4574">
          <cell r="A4574" t="str">
            <v>USD_COMD_KW_11</v>
          </cell>
          <cell r="B4574" t="str">
            <v>Wheat KCBT 11</v>
          </cell>
          <cell r="C4574" t="str">
            <v>ALTERNATIVE:COMD:USD_COMD_KW_11</v>
          </cell>
          <cell r="D4574" t="str">
            <v>Commodity</v>
          </cell>
          <cell r="E4574" t="str">
            <v>Price Level</v>
          </cell>
          <cell r="F4574" t="str">
            <v>Alternative</v>
          </cell>
          <cell r="G4574" t="str">
            <v>Other</v>
          </cell>
          <cell r="H4574" t="str">
            <v>ALTS</v>
          </cell>
          <cell r="I4574" t="str">
            <v>Alternative - Commodity</v>
          </cell>
        </row>
        <row r="4575">
          <cell r="A4575" t="str">
            <v>USD_COMD_KW_12</v>
          </cell>
          <cell r="B4575" t="str">
            <v>Wheat KCBT 12</v>
          </cell>
          <cell r="C4575" t="str">
            <v>ALTERNATIVE:COMD:USD_COMD_KW_12</v>
          </cell>
          <cell r="D4575" t="str">
            <v>Commodity</v>
          </cell>
          <cell r="E4575" t="str">
            <v>Price Level</v>
          </cell>
          <cell r="F4575" t="str">
            <v>Alternative</v>
          </cell>
          <cell r="G4575" t="str">
            <v>Other</v>
          </cell>
          <cell r="H4575" t="str">
            <v>ALTS</v>
          </cell>
          <cell r="I4575" t="str">
            <v>Alternative - Commodity</v>
          </cell>
        </row>
        <row r="4576">
          <cell r="A4576" t="str">
            <v>USD_COMD_LA_2</v>
          </cell>
          <cell r="B4576" t="str">
            <v>Aluminum LME 2</v>
          </cell>
          <cell r="C4576" t="str">
            <v>ALTERNATIVE:COMD:USD_COMD_LA_2</v>
          </cell>
          <cell r="D4576" t="str">
            <v>Commodity</v>
          </cell>
          <cell r="E4576" t="str">
            <v>Price Level</v>
          </cell>
          <cell r="F4576" t="str">
            <v>Alternative</v>
          </cell>
          <cell r="G4576" t="str">
            <v>Other</v>
          </cell>
          <cell r="H4576" t="str">
            <v>ALTS</v>
          </cell>
          <cell r="I4576" t="str">
            <v>Alternative - Commodity</v>
          </cell>
        </row>
        <row r="4577">
          <cell r="A4577" t="str">
            <v>USD_COMD_LA_4</v>
          </cell>
          <cell r="B4577" t="str">
            <v>Aluminum LME 4</v>
          </cell>
          <cell r="C4577" t="str">
            <v>ALTERNATIVE:COMD:USD_COMD_LA_4</v>
          </cell>
          <cell r="D4577" t="str">
            <v>Commodity</v>
          </cell>
          <cell r="E4577" t="str">
            <v>Price Level</v>
          </cell>
          <cell r="F4577" t="str">
            <v>Alternative</v>
          </cell>
          <cell r="G4577" t="str">
            <v>Other</v>
          </cell>
          <cell r="H4577" t="str">
            <v>ALTS</v>
          </cell>
          <cell r="I4577" t="str">
            <v>Alternative - Commodity</v>
          </cell>
        </row>
        <row r="4578">
          <cell r="A4578" t="str">
            <v>USD_COMD_LA_6</v>
          </cell>
          <cell r="B4578" t="str">
            <v>Aluminum LME 6</v>
          </cell>
          <cell r="C4578" t="str">
            <v>ALTERNATIVE:COMD:USD_COMD_LA_6</v>
          </cell>
          <cell r="D4578" t="str">
            <v>Commodity</v>
          </cell>
          <cell r="E4578" t="str">
            <v>Price Level</v>
          </cell>
          <cell r="F4578" t="str">
            <v>Alternative</v>
          </cell>
          <cell r="G4578" t="str">
            <v>Other</v>
          </cell>
          <cell r="H4578" t="str">
            <v>ALTS</v>
          </cell>
          <cell r="I4578" t="str">
            <v>Alternative - Commodity</v>
          </cell>
        </row>
        <row r="4579">
          <cell r="A4579" t="str">
            <v>USD_COMD_LA_7</v>
          </cell>
          <cell r="B4579" t="str">
            <v>Aluminum LME 7</v>
          </cell>
          <cell r="C4579" t="str">
            <v>ALTERNATIVE:COMD:USD_COMD_LA_7</v>
          </cell>
          <cell r="D4579" t="str">
            <v>Commodity</v>
          </cell>
          <cell r="E4579" t="str">
            <v>Price Level</v>
          </cell>
          <cell r="F4579" t="str">
            <v>Alternative</v>
          </cell>
          <cell r="G4579" t="str">
            <v>Other</v>
          </cell>
          <cell r="H4579" t="str">
            <v>ALTS</v>
          </cell>
          <cell r="I4579" t="str">
            <v>Alternative - Commodity</v>
          </cell>
        </row>
        <row r="4580">
          <cell r="A4580" t="str">
            <v>USD_COMD_LA_8</v>
          </cell>
          <cell r="B4580" t="str">
            <v>Aluminum LME 8</v>
          </cell>
          <cell r="C4580" t="str">
            <v>ALTERNATIVE:COMD:USD_COMD_LA_8</v>
          </cell>
          <cell r="D4580" t="str">
            <v>Commodity</v>
          </cell>
          <cell r="E4580" t="str">
            <v>Price Level</v>
          </cell>
          <cell r="F4580" t="str">
            <v>Alternative</v>
          </cell>
          <cell r="G4580" t="str">
            <v>Other</v>
          </cell>
          <cell r="H4580" t="str">
            <v>ALTS</v>
          </cell>
          <cell r="I4580" t="str">
            <v>Alternative - Commodity</v>
          </cell>
        </row>
        <row r="4581">
          <cell r="A4581" t="str">
            <v>USD_COMD_LA_9</v>
          </cell>
          <cell r="B4581" t="str">
            <v>Aluminum LME 9</v>
          </cell>
          <cell r="C4581" t="str">
            <v>ALTERNATIVE:COMD:USD_COMD_LA_9</v>
          </cell>
          <cell r="D4581" t="str">
            <v>Commodity</v>
          </cell>
          <cell r="E4581" t="str">
            <v>Price Level</v>
          </cell>
          <cell r="F4581" t="str">
            <v>Alternative</v>
          </cell>
          <cell r="G4581" t="str">
            <v>Other</v>
          </cell>
          <cell r="H4581" t="str">
            <v>ALTS</v>
          </cell>
          <cell r="I4581" t="str">
            <v>Alternative - Commodity</v>
          </cell>
        </row>
        <row r="4582">
          <cell r="A4582" t="str">
            <v>USD_COMD_LA_10</v>
          </cell>
          <cell r="B4582" t="str">
            <v>Aluminum LME 10</v>
          </cell>
          <cell r="C4582" t="str">
            <v>ALTERNATIVE:COMD:USD_COMD_LA_10</v>
          </cell>
          <cell r="D4582" t="str">
            <v>Commodity</v>
          </cell>
          <cell r="E4582" t="str">
            <v>Price Level</v>
          </cell>
          <cell r="F4582" t="str">
            <v>Alternative</v>
          </cell>
          <cell r="G4582" t="str">
            <v>Other</v>
          </cell>
          <cell r="H4582" t="str">
            <v>ALTS</v>
          </cell>
          <cell r="I4582" t="str">
            <v>Alternative - Commodity</v>
          </cell>
        </row>
        <row r="4583">
          <cell r="A4583" t="str">
            <v>USD_COMD_LA_11</v>
          </cell>
          <cell r="B4583" t="str">
            <v>Aluminum LME 11</v>
          </cell>
          <cell r="C4583" t="str">
            <v>ALTERNATIVE:COMD:USD_COMD_LA_11</v>
          </cell>
          <cell r="D4583" t="str">
            <v>Commodity</v>
          </cell>
          <cell r="E4583" t="str">
            <v>Price Level</v>
          </cell>
          <cell r="F4583" t="str">
            <v>Alternative</v>
          </cell>
          <cell r="G4583" t="str">
            <v>Other</v>
          </cell>
          <cell r="H4583" t="str">
            <v>ALTS</v>
          </cell>
          <cell r="I4583" t="str">
            <v>Alternative - Commodity</v>
          </cell>
        </row>
        <row r="4584">
          <cell r="A4584" t="str">
            <v>USD_COMD_LA_12</v>
          </cell>
          <cell r="B4584" t="str">
            <v>Aluminum LME 12</v>
          </cell>
          <cell r="C4584" t="str">
            <v>ALTERNATIVE:COMD:USD_COMD_LA_12</v>
          </cell>
          <cell r="D4584" t="str">
            <v>Commodity</v>
          </cell>
          <cell r="E4584" t="str">
            <v>Price Level</v>
          </cell>
          <cell r="F4584" t="str">
            <v>Alternative</v>
          </cell>
          <cell r="G4584" t="str">
            <v>Other</v>
          </cell>
          <cell r="H4584" t="str">
            <v>ALTS</v>
          </cell>
          <cell r="I4584" t="str">
            <v>Alternative - Commodity</v>
          </cell>
        </row>
        <row r="4585">
          <cell r="A4585" t="str">
            <v>USD_COMD_LB_2</v>
          </cell>
          <cell r="B4585" t="str">
            <v>Lumber CME 2</v>
          </cell>
          <cell r="C4585" t="str">
            <v>ALTERNATIVE:COMD:USD_COMD_LB_2</v>
          </cell>
          <cell r="D4585" t="str">
            <v>Commodity</v>
          </cell>
          <cell r="E4585" t="str">
            <v>Price Level</v>
          </cell>
          <cell r="F4585" t="str">
            <v>Alternative</v>
          </cell>
          <cell r="G4585" t="str">
            <v>Other</v>
          </cell>
          <cell r="H4585" t="str">
            <v>ALTS</v>
          </cell>
          <cell r="I4585" t="str">
            <v>Alternative - Commodity</v>
          </cell>
        </row>
        <row r="4586">
          <cell r="A4586" t="str">
            <v>USD_COMD_LB_4</v>
          </cell>
          <cell r="B4586" t="str">
            <v>Lumber CME 4</v>
          </cell>
          <cell r="C4586" t="str">
            <v>ALTERNATIVE:COMD:USD_COMD_LB_4</v>
          </cell>
          <cell r="D4586" t="str">
            <v>Commodity</v>
          </cell>
          <cell r="E4586" t="str">
            <v>Price Level</v>
          </cell>
          <cell r="F4586" t="str">
            <v>Alternative</v>
          </cell>
          <cell r="G4586" t="str">
            <v>Other</v>
          </cell>
          <cell r="H4586" t="str">
            <v>ALTS</v>
          </cell>
          <cell r="I4586" t="str">
            <v>Alternative - Commodity</v>
          </cell>
        </row>
        <row r="4587">
          <cell r="A4587" t="str">
            <v>USD_COMD_LB_6</v>
          </cell>
          <cell r="B4587" t="str">
            <v>Lumber CME 6</v>
          </cell>
          <cell r="C4587" t="str">
            <v>ALTERNATIVE:COMD:USD_COMD_LB_6</v>
          </cell>
          <cell r="D4587" t="str">
            <v>Commodity</v>
          </cell>
          <cell r="E4587" t="str">
            <v>Price Level</v>
          </cell>
          <cell r="F4587" t="str">
            <v>Alternative</v>
          </cell>
          <cell r="G4587" t="str">
            <v>Other</v>
          </cell>
          <cell r="H4587" t="str">
            <v>ALTS</v>
          </cell>
          <cell r="I4587" t="str">
            <v>Alternative - Commodity</v>
          </cell>
        </row>
        <row r="4588">
          <cell r="A4588" t="str">
            <v>USD_COMD_LB_7</v>
          </cell>
          <cell r="B4588" t="str">
            <v>Lumber CME 7</v>
          </cell>
          <cell r="C4588" t="str">
            <v>ALTERNATIVE:COMD:USD_COMD_LB_7</v>
          </cell>
          <cell r="D4588" t="str">
            <v>Commodity</v>
          </cell>
          <cell r="E4588" t="str">
            <v>Price Level</v>
          </cell>
          <cell r="F4588" t="str">
            <v>Alternative</v>
          </cell>
          <cell r="G4588" t="str">
            <v>Other</v>
          </cell>
          <cell r="H4588" t="str">
            <v>ALTS</v>
          </cell>
          <cell r="I4588" t="str">
            <v>Alternative - Commodity</v>
          </cell>
        </row>
        <row r="4589">
          <cell r="A4589" t="str">
            <v>USD_COMD_LB_8</v>
          </cell>
          <cell r="B4589" t="str">
            <v>Lumber CME 8</v>
          </cell>
          <cell r="C4589" t="str">
            <v>ALTERNATIVE:COMD:USD_COMD_LB_8</v>
          </cell>
          <cell r="D4589" t="str">
            <v>Commodity</v>
          </cell>
          <cell r="E4589" t="str">
            <v>Price Level</v>
          </cell>
          <cell r="F4589" t="str">
            <v>Alternative</v>
          </cell>
          <cell r="G4589" t="str">
            <v>Other</v>
          </cell>
          <cell r="H4589" t="str">
            <v>ALTS</v>
          </cell>
          <cell r="I4589" t="str">
            <v>Alternative - Commodity</v>
          </cell>
        </row>
        <row r="4590">
          <cell r="A4590" t="str">
            <v>USD_COMD_LB_9</v>
          </cell>
          <cell r="B4590" t="str">
            <v>Lumber CME 9</v>
          </cell>
          <cell r="C4590" t="str">
            <v>ALTERNATIVE:COMD:USD_COMD_LB_9</v>
          </cell>
          <cell r="D4590" t="str">
            <v>Commodity</v>
          </cell>
          <cell r="E4590" t="str">
            <v>Price Level</v>
          </cell>
          <cell r="F4590" t="str">
            <v>Alternative</v>
          </cell>
          <cell r="G4590" t="str">
            <v>Other</v>
          </cell>
          <cell r="H4590" t="str">
            <v>ALTS</v>
          </cell>
          <cell r="I4590" t="str">
            <v>Alternative - Commodity</v>
          </cell>
        </row>
        <row r="4591">
          <cell r="A4591" t="str">
            <v>USD_COMD_LB_10</v>
          </cell>
          <cell r="B4591" t="str">
            <v>Lumber CME 10</v>
          </cell>
          <cell r="C4591" t="str">
            <v>ALTERNATIVE:COMD:USD_COMD_LB_10</v>
          </cell>
          <cell r="D4591" t="str">
            <v>Commodity</v>
          </cell>
          <cell r="E4591" t="str">
            <v>Price Level</v>
          </cell>
          <cell r="F4591" t="str">
            <v>Alternative</v>
          </cell>
          <cell r="G4591" t="str">
            <v>Other</v>
          </cell>
          <cell r="H4591" t="str">
            <v>ALTS</v>
          </cell>
          <cell r="I4591" t="str">
            <v>Alternative - Commodity</v>
          </cell>
        </row>
        <row r="4592">
          <cell r="A4592" t="str">
            <v>USD_COMD_LB_11</v>
          </cell>
          <cell r="B4592" t="str">
            <v>Lumber CME 11</v>
          </cell>
          <cell r="C4592" t="str">
            <v>ALTERNATIVE:COMD:USD_COMD_LB_11</v>
          </cell>
          <cell r="D4592" t="str">
            <v>Commodity</v>
          </cell>
          <cell r="E4592" t="str">
            <v>Price Level</v>
          </cell>
          <cell r="F4592" t="str">
            <v>Alternative</v>
          </cell>
          <cell r="G4592" t="str">
            <v>Other</v>
          </cell>
          <cell r="H4592" t="str">
            <v>ALTS</v>
          </cell>
          <cell r="I4592" t="str">
            <v>Alternative - Commodity</v>
          </cell>
        </row>
        <row r="4593">
          <cell r="A4593" t="str">
            <v>USD_COMD_LB_12</v>
          </cell>
          <cell r="B4593" t="str">
            <v>Lumber CME 12</v>
          </cell>
          <cell r="C4593" t="str">
            <v>ALTERNATIVE:COMD:USD_COMD_LB_12</v>
          </cell>
          <cell r="D4593" t="str">
            <v>Commodity</v>
          </cell>
          <cell r="E4593" t="str">
            <v>Price Level</v>
          </cell>
          <cell r="F4593" t="str">
            <v>Alternative</v>
          </cell>
          <cell r="G4593" t="str">
            <v>Other</v>
          </cell>
          <cell r="H4593" t="str">
            <v>ALTS</v>
          </cell>
          <cell r="I4593" t="str">
            <v>Alternative - Commodity</v>
          </cell>
        </row>
        <row r="4594">
          <cell r="A4594" t="str">
            <v>USD_COMD_LC_2</v>
          </cell>
          <cell r="B4594" t="str">
            <v>Live Cattle CME 2</v>
          </cell>
          <cell r="C4594" t="str">
            <v>ALTERNATIVE:COMD:USD_COMD_LC_2</v>
          </cell>
          <cell r="D4594" t="str">
            <v>Commodity</v>
          </cell>
          <cell r="E4594" t="str">
            <v>Price Level</v>
          </cell>
          <cell r="F4594" t="str">
            <v>Alternative</v>
          </cell>
          <cell r="G4594" t="str">
            <v>Other</v>
          </cell>
          <cell r="H4594" t="str">
            <v>ALTS</v>
          </cell>
          <cell r="I4594" t="str">
            <v>Alternative - Commodity</v>
          </cell>
        </row>
        <row r="4595">
          <cell r="A4595" t="str">
            <v>USD_COMD_LC_4</v>
          </cell>
          <cell r="B4595" t="str">
            <v>Live Cattle CME 4</v>
          </cell>
          <cell r="C4595" t="str">
            <v>ALTERNATIVE:COMD:USD_COMD_LC_4</v>
          </cell>
          <cell r="D4595" t="str">
            <v>Commodity</v>
          </cell>
          <cell r="E4595" t="str">
            <v>Price Level</v>
          </cell>
          <cell r="F4595" t="str">
            <v>Alternative</v>
          </cell>
          <cell r="G4595" t="str">
            <v>Other</v>
          </cell>
          <cell r="H4595" t="str">
            <v>ALTS</v>
          </cell>
          <cell r="I4595" t="str">
            <v>Alternative - Commodity</v>
          </cell>
        </row>
        <row r="4596">
          <cell r="A4596" t="str">
            <v>USD_COMD_LC_6</v>
          </cell>
          <cell r="B4596" t="str">
            <v>Live Cattle CME 6</v>
          </cell>
          <cell r="C4596" t="str">
            <v>ALTERNATIVE:COMD:USD_COMD_LC_6</v>
          </cell>
          <cell r="D4596" t="str">
            <v>Commodity</v>
          </cell>
          <cell r="E4596" t="str">
            <v>Price Level</v>
          </cell>
          <cell r="F4596" t="str">
            <v>Alternative</v>
          </cell>
          <cell r="G4596" t="str">
            <v>Other</v>
          </cell>
          <cell r="H4596" t="str">
            <v>ALTS</v>
          </cell>
          <cell r="I4596" t="str">
            <v>Alternative - Commodity</v>
          </cell>
        </row>
        <row r="4597">
          <cell r="A4597" t="str">
            <v>USD_COMD_LC_7</v>
          </cell>
          <cell r="B4597" t="str">
            <v>Live Cattle CME 7</v>
          </cell>
          <cell r="C4597" t="str">
            <v>ALTERNATIVE:COMD:USD_COMD_LC_7</v>
          </cell>
          <cell r="D4597" t="str">
            <v>Commodity</v>
          </cell>
          <cell r="E4597" t="str">
            <v>Price Level</v>
          </cell>
          <cell r="F4597" t="str">
            <v>Alternative</v>
          </cell>
          <cell r="G4597" t="str">
            <v>Other</v>
          </cell>
          <cell r="H4597" t="str">
            <v>ALTS</v>
          </cell>
          <cell r="I4597" t="str">
            <v>Alternative - Commodity</v>
          </cell>
        </row>
        <row r="4598">
          <cell r="A4598" t="str">
            <v>USD_COMD_LC_8</v>
          </cell>
          <cell r="B4598" t="str">
            <v>Live Cattle CME 8</v>
          </cell>
          <cell r="C4598" t="str">
            <v>ALTERNATIVE:COMD:USD_COMD_LC_8</v>
          </cell>
          <cell r="D4598" t="str">
            <v>Commodity</v>
          </cell>
          <cell r="E4598" t="str">
            <v>Price Level</v>
          </cell>
          <cell r="F4598" t="str">
            <v>Alternative</v>
          </cell>
          <cell r="G4598" t="str">
            <v>Other</v>
          </cell>
          <cell r="H4598" t="str">
            <v>ALTS</v>
          </cell>
          <cell r="I4598" t="str">
            <v>Alternative - Commodity</v>
          </cell>
        </row>
        <row r="4599">
          <cell r="A4599" t="str">
            <v>USD_COMD_LC_9</v>
          </cell>
          <cell r="B4599" t="str">
            <v>Live Cattle CME 9</v>
          </cell>
          <cell r="C4599" t="str">
            <v>ALTERNATIVE:COMD:USD_COMD_LC_9</v>
          </cell>
          <cell r="D4599" t="str">
            <v>Commodity</v>
          </cell>
          <cell r="E4599" t="str">
            <v>Price Level</v>
          </cell>
          <cell r="F4599" t="str">
            <v>Alternative</v>
          </cell>
          <cell r="G4599" t="str">
            <v>Other</v>
          </cell>
          <cell r="H4599" t="str">
            <v>ALTS</v>
          </cell>
          <cell r="I4599" t="str">
            <v>Alternative - Commodity</v>
          </cell>
        </row>
        <row r="4600">
          <cell r="A4600" t="str">
            <v>USD_COMD_LC_10</v>
          </cell>
          <cell r="B4600" t="str">
            <v>Live Cattle CME 10</v>
          </cell>
          <cell r="C4600" t="str">
            <v>ALTERNATIVE:COMD:USD_COMD_LC_10</v>
          </cell>
          <cell r="D4600" t="str">
            <v>Commodity</v>
          </cell>
          <cell r="E4600" t="str">
            <v>Price Level</v>
          </cell>
          <cell r="F4600" t="str">
            <v>Alternative</v>
          </cell>
          <cell r="G4600" t="str">
            <v>Other</v>
          </cell>
          <cell r="H4600" t="str">
            <v>ALTS</v>
          </cell>
          <cell r="I4600" t="str">
            <v>Alternative - Commodity</v>
          </cell>
        </row>
        <row r="4601">
          <cell r="A4601" t="str">
            <v>USD_COMD_LC_11</v>
          </cell>
          <cell r="B4601" t="str">
            <v>Live Cattle CME 11</v>
          </cell>
          <cell r="C4601" t="str">
            <v>ALTERNATIVE:COMD:USD_COMD_LC_11</v>
          </cell>
          <cell r="D4601" t="str">
            <v>Commodity</v>
          </cell>
          <cell r="E4601" t="str">
            <v>Price Level</v>
          </cell>
          <cell r="F4601" t="str">
            <v>Alternative</v>
          </cell>
          <cell r="G4601" t="str">
            <v>Other</v>
          </cell>
          <cell r="H4601" t="str">
            <v>ALTS</v>
          </cell>
          <cell r="I4601" t="str">
            <v>Alternative - Commodity</v>
          </cell>
        </row>
        <row r="4602">
          <cell r="A4602" t="str">
            <v>USD_COMD_LC_12</v>
          </cell>
          <cell r="B4602" t="str">
            <v>Live Cattle CME 12</v>
          </cell>
          <cell r="C4602" t="str">
            <v>ALTERNATIVE:COMD:USD_COMD_LC_12</v>
          </cell>
          <cell r="D4602" t="str">
            <v>Commodity</v>
          </cell>
          <cell r="E4602" t="str">
            <v>Price Level</v>
          </cell>
          <cell r="F4602" t="str">
            <v>Alternative</v>
          </cell>
          <cell r="G4602" t="str">
            <v>Other</v>
          </cell>
          <cell r="H4602" t="str">
            <v>ALTS</v>
          </cell>
          <cell r="I4602" t="str">
            <v>Alternative - Commodity</v>
          </cell>
        </row>
        <row r="4603">
          <cell r="A4603" t="str">
            <v>USD_COMD_LH_2</v>
          </cell>
          <cell r="B4603" t="str">
            <v>Lean Hogs CME 2</v>
          </cell>
          <cell r="C4603" t="str">
            <v>ALTERNATIVE:COMD:USD_COMD_LH_2</v>
          </cell>
          <cell r="D4603" t="str">
            <v>Commodity</v>
          </cell>
          <cell r="E4603" t="str">
            <v>Price Level</v>
          </cell>
          <cell r="F4603" t="str">
            <v>Alternative</v>
          </cell>
          <cell r="G4603" t="str">
            <v>Other</v>
          </cell>
          <cell r="H4603" t="str">
            <v>ALTS</v>
          </cell>
          <cell r="I4603" t="str">
            <v>Alternative - Commodity</v>
          </cell>
        </row>
        <row r="4604">
          <cell r="A4604" t="str">
            <v>USD_COMD_LH_4</v>
          </cell>
          <cell r="B4604" t="str">
            <v>Lean Hogs CME 4</v>
          </cell>
          <cell r="C4604" t="str">
            <v>ALTERNATIVE:COMD:USD_COMD_LH_4</v>
          </cell>
          <cell r="D4604" t="str">
            <v>Commodity</v>
          </cell>
          <cell r="E4604" t="str">
            <v>Price Level</v>
          </cell>
          <cell r="F4604" t="str">
            <v>Alternative</v>
          </cell>
          <cell r="G4604" t="str">
            <v>Other</v>
          </cell>
          <cell r="H4604" t="str">
            <v>ALTS</v>
          </cell>
          <cell r="I4604" t="str">
            <v>Alternative - Commodity</v>
          </cell>
        </row>
        <row r="4605">
          <cell r="A4605" t="str">
            <v>USD_COMD_LH_6</v>
          </cell>
          <cell r="B4605" t="str">
            <v>Lean Hogs CME 6</v>
          </cell>
          <cell r="C4605" t="str">
            <v>ALTERNATIVE:COMD:USD_COMD_LH_6</v>
          </cell>
          <cell r="D4605" t="str">
            <v>Commodity</v>
          </cell>
          <cell r="E4605" t="str">
            <v>Price Level</v>
          </cell>
          <cell r="F4605" t="str">
            <v>Alternative</v>
          </cell>
          <cell r="G4605" t="str">
            <v>Other</v>
          </cell>
          <cell r="H4605" t="str">
            <v>ALTS</v>
          </cell>
          <cell r="I4605" t="str">
            <v>Alternative - Commodity</v>
          </cell>
        </row>
        <row r="4606">
          <cell r="A4606" t="str">
            <v>USD_COMD_LH_7</v>
          </cell>
          <cell r="B4606" t="str">
            <v>Lean Hogs CME 7</v>
          </cell>
          <cell r="C4606" t="str">
            <v>ALTERNATIVE:COMD:USD_COMD_LH_7</v>
          </cell>
          <cell r="D4606" t="str">
            <v>Commodity</v>
          </cell>
          <cell r="E4606" t="str">
            <v>Price Level</v>
          </cell>
          <cell r="F4606" t="str">
            <v>Alternative</v>
          </cell>
          <cell r="G4606" t="str">
            <v>Other</v>
          </cell>
          <cell r="H4606" t="str">
            <v>ALTS</v>
          </cell>
          <cell r="I4606" t="str">
            <v>Alternative - Commodity</v>
          </cell>
        </row>
        <row r="4607">
          <cell r="A4607" t="str">
            <v>USD_COMD_LH_8</v>
          </cell>
          <cell r="B4607" t="str">
            <v>Lean Hogs CME 8</v>
          </cell>
          <cell r="C4607" t="str">
            <v>ALTERNATIVE:COMD:USD_COMD_LH_8</v>
          </cell>
          <cell r="D4607" t="str">
            <v>Commodity</v>
          </cell>
          <cell r="E4607" t="str">
            <v>Price Level</v>
          </cell>
          <cell r="F4607" t="str">
            <v>Alternative</v>
          </cell>
          <cell r="G4607" t="str">
            <v>Other</v>
          </cell>
          <cell r="H4607" t="str">
            <v>ALTS</v>
          </cell>
          <cell r="I4607" t="str">
            <v>Alternative - Commodity</v>
          </cell>
        </row>
        <row r="4608">
          <cell r="A4608" t="str">
            <v>USD_COMD_LH_9</v>
          </cell>
          <cell r="B4608" t="str">
            <v>Lean Hogs CME 9</v>
          </cell>
          <cell r="C4608" t="str">
            <v>ALTERNATIVE:COMD:USD_COMD_LH_9</v>
          </cell>
          <cell r="D4608" t="str">
            <v>Commodity</v>
          </cell>
          <cell r="E4608" t="str">
            <v>Price Level</v>
          </cell>
          <cell r="F4608" t="str">
            <v>Alternative</v>
          </cell>
          <cell r="G4608" t="str">
            <v>Other</v>
          </cell>
          <cell r="H4608" t="str">
            <v>ALTS</v>
          </cell>
          <cell r="I4608" t="str">
            <v>Alternative - Commodity</v>
          </cell>
        </row>
        <row r="4609">
          <cell r="A4609" t="str">
            <v>USD_COMD_LH_10</v>
          </cell>
          <cell r="B4609" t="str">
            <v>Lean Hogs CME 10</v>
          </cell>
          <cell r="C4609" t="str">
            <v>ALTERNATIVE:COMD:USD_COMD_LH_10</v>
          </cell>
          <cell r="D4609" t="str">
            <v>Commodity</v>
          </cell>
          <cell r="E4609" t="str">
            <v>Price Level</v>
          </cell>
          <cell r="F4609" t="str">
            <v>Alternative</v>
          </cell>
          <cell r="G4609" t="str">
            <v>Other</v>
          </cell>
          <cell r="H4609" t="str">
            <v>ALTS</v>
          </cell>
          <cell r="I4609" t="str">
            <v>Alternative - Commodity</v>
          </cell>
        </row>
        <row r="4610">
          <cell r="A4610" t="str">
            <v>USD_COMD_LH_11</v>
          </cell>
          <cell r="B4610" t="str">
            <v>Lean Hogs CME 11</v>
          </cell>
          <cell r="C4610" t="str">
            <v>ALTERNATIVE:COMD:USD_COMD_LH_11</v>
          </cell>
          <cell r="D4610" t="str">
            <v>Commodity</v>
          </cell>
          <cell r="E4610" t="str">
            <v>Price Level</v>
          </cell>
          <cell r="F4610" t="str">
            <v>Alternative</v>
          </cell>
          <cell r="G4610" t="str">
            <v>Other</v>
          </cell>
          <cell r="H4610" t="str">
            <v>ALTS</v>
          </cell>
          <cell r="I4610" t="str">
            <v>Alternative - Commodity</v>
          </cell>
        </row>
        <row r="4611">
          <cell r="A4611" t="str">
            <v>USD_COMD_LH_12</v>
          </cell>
          <cell r="B4611" t="str">
            <v>Lean Hogs CME 12</v>
          </cell>
          <cell r="C4611" t="str">
            <v>ALTERNATIVE:COMD:USD_COMD_LH_12</v>
          </cell>
          <cell r="D4611" t="str">
            <v>Commodity</v>
          </cell>
          <cell r="E4611" t="str">
            <v>Price Level</v>
          </cell>
          <cell r="F4611" t="str">
            <v>Alternative</v>
          </cell>
          <cell r="G4611" t="str">
            <v>Other</v>
          </cell>
          <cell r="H4611" t="str">
            <v>ALTS</v>
          </cell>
          <cell r="I4611" t="str">
            <v>Alternative - Commodity</v>
          </cell>
        </row>
        <row r="4612">
          <cell r="A4612" t="str">
            <v>USD_COMD_LL_2</v>
          </cell>
          <cell r="B4612" t="str">
            <v>Lead LME 2</v>
          </cell>
          <cell r="C4612" t="str">
            <v>ALTERNATIVE:COMD:USD_COMD_LL_2</v>
          </cell>
          <cell r="D4612" t="str">
            <v>Commodity</v>
          </cell>
          <cell r="E4612" t="str">
            <v>Price Level</v>
          </cell>
          <cell r="F4612" t="str">
            <v>Alternative</v>
          </cell>
          <cell r="G4612" t="str">
            <v>Other</v>
          </cell>
          <cell r="H4612" t="str">
            <v>ALTS</v>
          </cell>
          <cell r="I4612" t="str">
            <v>Alternative - Commodity</v>
          </cell>
        </row>
        <row r="4613">
          <cell r="A4613" t="str">
            <v>USD_COMD_LL_4</v>
          </cell>
          <cell r="B4613" t="str">
            <v>Lead LME 4</v>
          </cell>
          <cell r="C4613" t="str">
            <v>ALTERNATIVE:COMD:USD_COMD_LL_4</v>
          </cell>
          <cell r="D4613" t="str">
            <v>Commodity</v>
          </cell>
          <cell r="E4613" t="str">
            <v>Price Level</v>
          </cell>
          <cell r="F4613" t="str">
            <v>Alternative</v>
          </cell>
          <cell r="G4613" t="str">
            <v>Other</v>
          </cell>
          <cell r="H4613" t="str">
            <v>ALTS</v>
          </cell>
          <cell r="I4613" t="str">
            <v>Alternative - Commodity</v>
          </cell>
        </row>
        <row r="4614">
          <cell r="A4614" t="str">
            <v>USD_COMD_LL_6</v>
          </cell>
          <cell r="B4614" t="str">
            <v>Lead LME 6</v>
          </cell>
          <cell r="C4614" t="str">
            <v>ALTERNATIVE:COMD:USD_COMD_LL_6</v>
          </cell>
          <cell r="D4614" t="str">
            <v>Commodity</v>
          </cell>
          <cell r="E4614" t="str">
            <v>Price Level</v>
          </cell>
          <cell r="F4614" t="str">
            <v>Alternative</v>
          </cell>
          <cell r="G4614" t="str">
            <v>Other</v>
          </cell>
          <cell r="H4614" t="str">
            <v>ALTS</v>
          </cell>
          <cell r="I4614" t="str">
            <v>Alternative - Commodity</v>
          </cell>
        </row>
        <row r="4615">
          <cell r="A4615" t="str">
            <v>USD_COMD_LL_7</v>
          </cell>
          <cell r="B4615" t="str">
            <v>Lead LME 7</v>
          </cell>
          <cell r="C4615" t="str">
            <v>ALTERNATIVE:COMD:USD_COMD_LL_7</v>
          </cell>
          <cell r="D4615" t="str">
            <v>Commodity</v>
          </cell>
          <cell r="E4615" t="str">
            <v>Price Level</v>
          </cell>
          <cell r="F4615" t="str">
            <v>Alternative</v>
          </cell>
          <cell r="G4615" t="str">
            <v>Other</v>
          </cell>
          <cell r="H4615" t="str">
            <v>ALTS</v>
          </cell>
          <cell r="I4615" t="str">
            <v>Alternative - Commodity</v>
          </cell>
        </row>
        <row r="4616">
          <cell r="A4616" t="str">
            <v>USD_COMD_LL_8</v>
          </cell>
          <cell r="B4616" t="str">
            <v>Lead LME 8</v>
          </cell>
          <cell r="C4616" t="str">
            <v>ALTERNATIVE:COMD:USD_COMD_LL_8</v>
          </cell>
          <cell r="D4616" t="str">
            <v>Commodity</v>
          </cell>
          <cell r="E4616" t="str">
            <v>Price Level</v>
          </cell>
          <cell r="F4616" t="str">
            <v>Alternative</v>
          </cell>
          <cell r="G4616" t="str">
            <v>Other</v>
          </cell>
          <cell r="H4616" t="str">
            <v>ALTS</v>
          </cell>
          <cell r="I4616" t="str">
            <v>Alternative - Commodity</v>
          </cell>
        </row>
        <row r="4617">
          <cell r="A4617" t="str">
            <v>USD_COMD_LL_9</v>
          </cell>
          <cell r="B4617" t="str">
            <v>Lead LME 9</v>
          </cell>
          <cell r="C4617" t="str">
            <v>ALTERNATIVE:COMD:USD_COMD_LL_9</v>
          </cell>
          <cell r="D4617" t="str">
            <v>Commodity</v>
          </cell>
          <cell r="E4617" t="str">
            <v>Price Level</v>
          </cell>
          <cell r="F4617" t="str">
            <v>Alternative</v>
          </cell>
          <cell r="G4617" t="str">
            <v>Other</v>
          </cell>
          <cell r="H4617" t="str">
            <v>ALTS</v>
          </cell>
          <cell r="I4617" t="str">
            <v>Alternative - Commodity</v>
          </cell>
        </row>
        <row r="4618">
          <cell r="A4618" t="str">
            <v>USD_COMD_LL_10</v>
          </cell>
          <cell r="B4618" t="str">
            <v>Lead LME 10</v>
          </cell>
          <cell r="C4618" t="str">
            <v>ALTERNATIVE:COMD:USD_COMD_LL_10</v>
          </cell>
          <cell r="D4618" t="str">
            <v>Commodity</v>
          </cell>
          <cell r="E4618" t="str">
            <v>Price Level</v>
          </cell>
          <cell r="F4618" t="str">
            <v>Alternative</v>
          </cell>
          <cell r="G4618" t="str">
            <v>Other</v>
          </cell>
          <cell r="H4618" t="str">
            <v>ALTS</v>
          </cell>
          <cell r="I4618" t="str">
            <v>Alternative - Commodity</v>
          </cell>
        </row>
        <row r="4619">
          <cell r="A4619" t="str">
            <v>USD_COMD_LL_11</v>
          </cell>
          <cell r="B4619" t="str">
            <v>Lead LME 11</v>
          </cell>
          <cell r="C4619" t="str">
            <v>ALTERNATIVE:COMD:USD_COMD_LL_11</v>
          </cell>
          <cell r="D4619" t="str">
            <v>Commodity</v>
          </cell>
          <cell r="E4619" t="str">
            <v>Price Level</v>
          </cell>
          <cell r="F4619" t="str">
            <v>Alternative</v>
          </cell>
          <cell r="G4619" t="str">
            <v>Other</v>
          </cell>
          <cell r="H4619" t="str">
            <v>ALTS</v>
          </cell>
          <cell r="I4619" t="str">
            <v>Alternative - Commodity</v>
          </cell>
        </row>
        <row r="4620">
          <cell r="A4620" t="str">
            <v>USD_COMD_LL_12</v>
          </cell>
          <cell r="B4620" t="str">
            <v>Lead LME 12</v>
          </cell>
          <cell r="C4620" t="str">
            <v>ALTERNATIVE:COMD:USD_COMD_LL_12</v>
          </cell>
          <cell r="D4620" t="str">
            <v>Commodity</v>
          </cell>
          <cell r="E4620" t="str">
            <v>Price Level</v>
          </cell>
          <cell r="F4620" t="str">
            <v>Alternative</v>
          </cell>
          <cell r="G4620" t="str">
            <v>Other</v>
          </cell>
          <cell r="H4620" t="str">
            <v>ALTS</v>
          </cell>
          <cell r="I4620" t="str">
            <v>Alternative - Commodity</v>
          </cell>
        </row>
        <row r="4621">
          <cell r="A4621" t="str">
            <v>USD_COMD_LN_2</v>
          </cell>
          <cell r="B4621" t="str">
            <v>Nickel LME 2</v>
          </cell>
          <cell r="C4621" t="str">
            <v>ALTERNATIVE:COMD:USD_COMD_LN_2</v>
          </cell>
          <cell r="D4621" t="str">
            <v>Commodity</v>
          </cell>
          <cell r="E4621" t="str">
            <v>Price Level</v>
          </cell>
          <cell r="F4621" t="str">
            <v>Alternative</v>
          </cell>
          <cell r="G4621" t="str">
            <v>Other</v>
          </cell>
          <cell r="H4621" t="str">
            <v>ALTS</v>
          </cell>
          <cell r="I4621" t="str">
            <v>Alternative - Commodity</v>
          </cell>
        </row>
        <row r="4622">
          <cell r="A4622" t="str">
            <v>USD_COMD_LN_4</v>
          </cell>
          <cell r="B4622" t="str">
            <v>Nickel LME 4</v>
          </cell>
          <cell r="C4622" t="str">
            <v>ALTERNATIVE:COMD:USD_COMD_LN_4</v>
          </cell>
          <cell r="D4622" t="str">
            <v>Commodity</v>
          </cell>
          <cell r="E4622" t="str">
            <v>Price Level</v>
          </cell>
          <cell r="F4622" t="str">
            <v>Alternative</v>
          </cell>
          <cell r="G4622" t="str">
            <v>Other</v>
          </cell>
          <cell r="H4622" t="str">
            <v>ALTS</v>
          </cell>
          <cell r="I4622" t="str">
            <v>Alternative - Commodity</v>
          </cell>
        </row>
        <row r="4623">
          <cell r="A4623" t="str">
            <v>USD_COMD_LN_6</v>
          </cell>
          <cell r="B4623" t="str">
            <v>Nickel LME 6</v>
          </cell>
          <cell r="C4623" t="str">
            <v>ALTERNATIVE:COMD:USD_COMD_LN_6</v>
          </cell>
          <cell r="D4623" t="str">
            <v>Commodity</v>
          </cell>
          <cell r="E4623" t="str">
            <v>Price Level</v>
          </cell>
          <cell r="F4623" t="str">
            <v>Alternative</v>
          </cell>
          <cell r="G4623" t="str">
            <v>Other</v>
          </cell>
          <cell r="H4623" t="str">
            <v>ALTS</v>
          </cell>
          <cell r="I4623" t="str">
            <v>Alternative - Commodity</v>
          </cell>
        </row>
        <row r="4624">
          <cell r="A4624" t="str">
            <v>USD_COMD_LN_7</v>
          </cell>
          <cell r="B4624" t="str">
            <v>Nickel LME 7</v>
          </cell>
          <cell r="C4624" t="str">
            <v>ALTERNATIVE:COMD:USD_COMD_LN_7</v>
          </cell>
          <cell r="D4624" t="str">
            <v>Commodity</v>
          </cell>
          <cell r="E4624" t="str">
            <v>Price Level</v>
          </cell>
          <cell r="F4624" t="str">
            <v>Alternative</v>
          </cell>
          <cell r="G4624" t="str">
            <v>Other</v>
          </cell>
          <cell r="H4624" t="str">
            <v>ALTS</v>
          </cell>
          <cell r="I4624" t="str">
            <v>Alternative - Commodity</v>
          </cell>
        </row>
        <row r="4625">
          <cell r="A4625" t="str">
            <v>USD_COMD_LN_8</v>
          </cell>
          <cell r="B4625" t="str">
            <v>Nickel LME 8</v>
          </cell>
          <cell r="C4625" t="str">
            <v>ALTERNATIVE:COMD:USD_COMD_LN_8</v>
          </cell>
          <cell r="D4625" t="str">
            <v>Commodity</v>
          </cell>
          <cell r="E4625" t="str">
            <v>Price Level</v>
          </cell>
          <cell r="F4625" t="str">
            <v>Alternative</v>
          </cell>
          <cell r="G4625" t="str">
            <v>Other</v>
          </cell>
          <cell r="H4625" t="str">
            <v>ALTS</v>
          </cell>
          <cell r="I4625" t="str">
            <v>Alternative - Commodity</v>
          </cell>
        </row>
        <row r="4626">
          <cell r="A4626" t="str">
            <v>USD_COMD_LN_9</v>
          </cell>
          <cell r="B4626" t="str">
            <v>Nickel LME 9</v>
          </cell>
          <cell r="C4626" t="str">
            <v>ALTERNATIVE:COMD:USD_COMD_LN_9</v>
          </cell>
          <cell r="D4626" t="str">
            <v>Commodity</v>
          </cell>
          <cell r="E4626" t="str">
            <v>Price Level</v>
          </cell>
          <cell r="F4626" t="str">
            <v>Alternative</v>
          </cell>
          <cell r="G4626" t="str">
            <v>Other</v>
          </cell>
          <cell r="H4626" t="str">
            <v>ALTS</v>
          </cell>
          <cell r="I4626" t="str">
            <v>Alternative - Commodity</v>
          </cell>
        </row>
        <row r="4627">
          <cell r="A4627" t="str">
            <v>USD_COMD_LN_10</v>
          </cell>
          <cell r="B4627" t="str">
            <v>Nickel LME 10</v>
          </cell>
          <cell r="C4627" t="str">
            <v>ALTERNATIVE:COMD:USD_COMD_LN_10</v>
          </cell>
          <cell r="D4627" t="str">
            <v>Commodity</v>
          </cell>
          <cell r="E4627" t="str">
            <v>Price Level</v>
          </cell>
          <cell r="F4627" t="str">
            <v>Alternative</v>
          </cell>
          <cell r="G4627" t="str">
            <v>Other</v>
          </cell>
          <cell r="H4627" t="str">
            <v>ALTS</v>
          </cell>
          <cell r="I4627" t="str">
            <v>Alternative - Commodity</v>
          </cell>
        </row>
        <row r="4628">
          <cell r="A4628" t="str">
            <v>USD_COMD_LN_11</v>
          </cell>
          <cell r="B4628" t="str">
            <v>Nickel LME 11</v>
          </cell>
          <cell r="C4628" t="str">
            <v>ALTERNATIVE:COMD:USD_COMD_LN_11</v>
          </cell>
          <cell r="D4628" t="str">
            <v>Commodity</v>
          </cell>
          <cell r="E4628" t="str">
            <v>Price Level</v>
          </cell>
          <cell r="F4628" t="str">
            <v>Alternative</v>
          </cell>
          <cell r="G4628" t="str">
            <v>Other</v>
          </cell>
          <cell r="H4628" t="str">
            <v>ALTS</v>
          </cell>
          <cell r="I4628" t="str">
            <v>Alternative - Commodity</v>
          </cell>
        </row>
        <row r="4629">
          <cell r="A4629" t="str">
            <v>USD_COMD_LN_12</v>
          </cell>
          <cell r="B4629" t="str">
            <v>Nickel LME 12</v>
          </cell>
          <cell r="C4629" t="str">
            <v>ALTERNATIVE:COMD:USD_COMD_LN_12</v>
          </cell>
          <cell r="D4629" t="str">
            <v>Commodity</v>
          </cell>
          <cell r="E4629" t="str">
            <v>Price Level</v>
          </cell>
          <cell r="F4629" t="str">
            <v>Alternative</v>
          </cell>
          <cell r="G4629" t="str">
            <v>Other</v>
          </cell>
          <cell r="H4629" t="str">
            <v>ALTS</v>
          </cell>
          <cell r="I4629" t="str">
            <v>Alternative - Commodity</v>
          </cell>
        </row>
        <row r="4630">
          <cell r="A4630" t="str">
            <v>USD_COMD_LP_2</v>
          </cell>
          <cell r="B4630" t="str">
            <v>Copper LME 2</v>
          </cell>
          <cell r="C4630" t="str">
            <v>ALTERNATIVE:COMD:USD_COMD_LP_2</v>
          </cell>
          <cell r="D4630" t="str">
            <v>Commodity</v>
          </cell>
          <cell r="E4630" t="str">
            <v>Price Level</v>
          </cell>
          <cell r="F4630" t="str">
            <v>Alternative</v>
          </cell>
          <cell r="G4630" t="str">
            <v>Other</v>
          </cell>
          <cell r="H4630" t="str">
            <v>ALTS</v>
          </cell>
          <cell r="I4630" t="str">
            <v>Alternative - Commodity</v>
          </cell>
        </row>
        <row r="4631">
          <cell r="A4631" t="str">
            <v>USD_COMD_LP_4</v>
          </cell>
          <cell r="B4631" t="str">
            <v>Copper LME 4</v>
          </cell>
          <cell r="C4631" t="str">
            <v>ALTERNATIVE:COMD:USD_COMD_LP_4</v>
          </cell>
          <cell r="D4631" t="str">
            <v>Commodity</v>
          </cell>
          <cell r="E4631" t="str">
            <v>Price Level</v>
          </cell>
          <cell r="F4631" t="str">
            <v>Alternative</v>
          </cell>
          <cell r="G4631" t="str">
            <v>Other</v>
          </cell>
          <cell r="H4631" t="str">
            <v>ALTS</v>
          </cell>
          <cell r="I4631" t="str">
            <v>Alternative - Commodity</v>
          </cell>
        </row>
        <row r="4632">
          <cell r="A4632" t="str">
            <v>USD_COMD_LP_6</v>
          </cell>
          <cell r="B4632" t="str">
            <v>Copper LME 6</v>
          </cell>
          <cell r="C4632" t="str">
            <v>ALTERNATIVE:COMD:USD_COMD_LP_6</v>
          </cell>
          <cell r="D4632" t="str">
            <v>Commodity</v>
          </cell>
          <cell r="E4632" t="str">
            <v>Price Level</v>
          </cell>
          <cell r="F4632" t="str">
            <v>Alternative</v>
          </cell>
          <cell r="G4632" t="str">
            <v>Other</v>
          </cell>
          <cell r="H4632" t="str">
            <v>ALTS</v>
          </cell>
          <cell r="I4632" t="str">
            <v>Alternative - Commodity</v>
          </cell>
        </row>
        <row r="4633">
          <cell r="A4633" t="str">
            <v>USD_COMD_LP_7</v>
          </cell>
          <cell r="B4633" t="str">
            <v>Copper LME 7</v>
          </cell>
          <cell r="C4633" t="str">
            <v>ALTERNATIVE:COMD:USD_COMD_LP_7</v>
          </cell>
          <cell r="D4633" t="str">
            <v>Commodity</v>
          </cell>
          <cell r="E4633" t="str">
            <v>Price Level</v>
          </cell>
          <cell r="F4633" t="str">
            <v>Alternative</v>
          </cell>
          <cell r="G4633" t="str">
            <v>Other</v>
          </cell>
          <cell r="H4633" t="str">
            <v>ALTS</v>
          </cell>
          <cell r="I4633" t="str">
            <v>Alternative - Commodity</v>
          </cell>
        </row>
        <row r="4634">
          <cell r="A4634" t="str">
            <v>USD_COMD_LP_8</v>
          </cell>
          <cell r="B4634" t="str">
            <v>Copper LME 8</v>
          </cell>
          <cell r="C4634" t="str">
            <v>ALTERNATIVE:COMD:USD_COMD_LP_8</v>
          </cell>
          <cell r="D4634" t="str">
            <v>Commodity</v>
          </cell>
          <cell r="E4634" t="str">
            <v>Price Level</v>
          </cell>
          <cell r="F4634" t="str">
            <v>Alternative</v>
          </cell>
          <cell r="G4634" t="str">
            <v>Other</v>
          </cell>
          <cell r="H4634" t="str">
            <v>ALTS</v>
          </cell>
          <cell r="I4634" t="str">
            <v>Alternative - Commodity</v>
          </cell>
        </row>
        <row r="4635">
          <cell r="A4635" t="str">
            <v>USD_COMD_LP_9</v>
          </cell>
          <cell r="B4635" t="str">
            <v>Copper LME 9</v>
          </cell>
          <cell r="C4635" t="str">
            <v>ALTERNATIVE:COMD:USD_COMD_LP_9</v>
          </cell>
          <cell r="D4635" t="str">
            <v>Commodity</v>
          </cell>
          <cell r="E4635" t="str">
            <v>Price Level</v>
          </cell>
          <cell r="F4635" t="str">
            <v>Alternative</v>
          </cell>
          <cell r="G4635" t="str">
            <v>Other</v>
          </cell>
          <cell r="H4635" t="str">
            <v>ALTS</v>
          </cell>
          <cell r="I4635" t="str">
            <v>Alternative - Commodity</v>
          </cell>
        </row>
        <row r="4636">
          <cell r="A4636" t="str">
            <v>USD_COMD_LP_10</v>
          </cell>
          <cell r="B4636" t="str">
            <v>Copper LME 10</v>
          </cell>
          <cell r="C4636" t="str">
            <v>ALTERNATIVE:COMD:USD_COMD_LP_10</v>
          </cell>
          <cell r="D4636" t="str">
            <v>Commodity</v>
          </cell>
          <cell r="E4636" t="str">
            <v>Price Level</v>
          </cell>
          <cell r="F4636" t="str">
            <v>Alternative</v>
          </cell>
          <cell r="G4636" t="str">
            <v>Other</v>
          </cell>
          <cell r="H4636" t="str">
            <v>ALTS</v>
          </cell>
          <cell r="I4636" t="str">
            <v>Alternative - Commodity</v>
          </cell>
        </row>
        <row r="4637">
          <cell r="A4637" t="str">
            <v>USD_COMD_LP_11</v>
          </cell>
          <cell r="B4637" t="str">
            <v>Copper LME 11</v>
          </cell>
          <cell r="C4637" t="str">
            <v>ALTERNATIVE:COMD:USD_COMD_LP_11</v>
          </cell>
          <cell r="D4637" t="str">
            <v>Commodity</v>
          </cell>
          <cell r="E4637" t="str">
            <v>Price Level</v>
          </cell>
          <cell r="F4637" t="str">
            <v>Alternative</v>
          </cell>
          <cell r="G4637" t="str">
            <v>Other</v>
          </cell>
          <cell r="H4637" t="str">
            <v>ALTS</v>
          </cell>
          <cell r="I4637" t="str">
            <v>Alternative - Commodity</v>
          </cell>
        </row>
        <row r="4638">
          <cell r="A4638" t="str">
            <v>USD_COMD_LP_12</v>
          </cell>
          <cell r="B4638" t="str">
            <v>Copper LME 12</v>
          </cell>
          <cell r="C4638" t="str">
            <v>ALTERNATIVE:COMD:USD_COMD_LP_12</v>
          </cell>
          <cell r="D4638" t="str">
            <v>Commodity</v>
          </cell>
          <cell r="E4638" t="str">
            <v>Price Level</v>
          </cell>
          <cell r="F4638" t="str">
            <v>Alternative</v>
          </cell>
          <cell r="G4638" t="str">
            <v>Other</v>
          </cell>
          <cell r="H4638" t="str">
            <v>ALTS</v>
          </cell>
          <cell r="I4638" t="str">
            <v>Alternative - Commodity</v>
          </cell>
        </row>
        <row r="4639">
          <cell r="A4639" t="str">
            <v>USD_COMD_LX_2</v>
          </cell>
          <cell r="B4639" t="str">
            <v>Zinc LME 2</v>
          </cell>
          <cell r="C4639" t="str">
            <v>ALTERNATIVE:COMD:USD_COMD_LX_2</v>
          </cell>
          <cell r="D4639" t="str">
            <v>Commodity</v>
          </cell>
          <cell r="E4639" t="str">
            <v>Price Level</v>
          </cell>
          <cell r="F4639" t="str">
            <v>Alternative</v>
          </cell>
          <cell r="G4639" t="str">
            <v>Other</v>
          </cell>
          <cell r="H4639" t="str">
            <v>ALTS</v>
          </cell>
          <cell r="I4639" t="str">
            <v>Alternative - Commodity</v>
          </cell>
        </row>
        <row r="4640">
          <cell r="A4640" t="str">
            <v>USD_COMD_LX_4</v>
          </cell>
          <cell r="B4640" t="str">
            <v>Zinc LME 4</v>
          </cell>
          <cell r="C4640" t="str">
            <v>ALTERNATIVE:COMD:USD_COMD_LX_4</v>
          </cell>
          <cell r="D4640" t="str">
            <v>Commodity</v>
          </cell>
          <cell r="E4640" t="str">
            <v>Price Level</v>
          </cell>
          <cell r="F4640" t="str">
            <v>Alternative</v>
          </cell>
          <cell r="G4640" t="str">
            <v>Other</v>
          </cell>
          <cell r="H4640" t="str">
            <v>ALTS</v>
          </cell>
          <cell r="I4640" t="str">
            <v>Alternative - Commodity</v>
          </cell>
        </row>
        <row r="4641">
          <cell r="A4641" t="str">
            <v>USD_COMD_LX_6</v>
          </cell>
          <cell r="B4641" t="str">
            <v>Zinc LME 6</v>
          </cell>
          <cell r="C4641" t="str">
            <v>ALTERNATIVE:COMD:USD_COMD_LX_6</v>
          </cell>
          <cell r="D4641" t="str">
            <v>Commodity</v>
          </cell>
          <cell r="E4641" t="str">
            <v>Price Level</v>
          </cell>
          <cell r="F4641" t="str">
            <v>Alternative</v>
          </cell>
          <cell r="G4641" t="str">
            <v>Other</v>
          </cell>
          <cell r="H4641" t="str">
            <v>ALTS</v>
          </cell>
          <cell r="I4641" t="str">
            <v>Alternative - Commodity</v>
          </cell>
        </row>
        <row r="4642">
          <cell r="A4642" t="str">
            <v>USD_COMD_LX_7</v>
          </cell>
          <cell r="B4642" t="str">
            <v>Zinc LME 7</v>
          </cell>
          <cell r="C4642" t="str">
            <v>ALTERNATIVE:COMD:USD_COMD_LX_7</v>
          </cell>
          <cell r="D4642" t="str">
            <v>Commodity</v>
          </cell>
          <cell r="E4642" t="str">
            <v>Price Level</v>
          </cell>
          <cell r="F4642" t="str">
            <v>Alternative</v>
          </cell>
          <cell r="G4642" t="str">
            <v>Other</v>
          </cell>
          <cell r="H4642" t="str">
            <v>ALTS</v>
          </cell>
          <cell r="I4642" t="str">
            <v>Alternative - Commodity</v>
          </cell>
        </row>
        <row r="4643">
          <cell r="A4643" t="str">
            <v>USD_COMD_LX_8</v>
          </cell>
          <cell r="B4643" t="str">
            <v>Zinc LME 8</v>
          </cell>
          <cell r="C4643" t="str">
            <v>ALTERNATIVE:COMD:USD_COMD_LX_8</v>
          </cell>
          <cell r="D4643" t="str">
            <v>Commodity</v>
          </cell>
          <cell r="E4643" t="str">
            <v>Price Level</v>
          </cell>
          <cell r="F4643" t="str">
            <v>Alternative</v>
          </cell>
          <cell r="G4643" t="str">
            <v>Other</v>
          </cell>
          <cell r="H4643" t="str">
            <v>ALTS</v>
          </cell>
          <cell r="I4643" t="str">
            <v>Alternative - Commodity</v>
          </cell>
        </row>
        <row r="4644">
          <cell r="A4644" t="str">
            <v>USD_COMD_LX_9</v>
          </cell>
          <cell r="B4644" t="str">
            <v>Zinc LME 9</v>
          </cell>
          <cell r="C4644" t="str">
            <v>ALTERNATIVE:COMD:USD_COMD_LX_9</v>
          </cell>
          <cell r="D4644" t="str">
            <v>Commodity</v>
          </cell>
          <cell r="E4644" t="str">
            <v>Price Level</v>
          </cell>
          <cell r="F4644" t="str">
            <v>Alternative</v>
          </cell>
          <cell r="G4644" t="str">
            <v>Other</v>
          </cell>
          <cell r="H4644" t="str">
            <v>ALTS</v>
          </cell>
          <cell r="I4644" t="str">
            <v>Alternative - Commodity</v>
          </cell>
        </row>
        <row r="4645">
          <cell r="A4645" t="str">
            <v>USD_COMD_LX_10</v>
          </cell>
          <cell r="B4645" t="str">
            <v>Zinc LME 10</v>
          </cell>
          <cell r="C4645" t="str">
            <v>ALTERNATIVE:COMD:USD_COMD_LX_10</v>
          </cell>
          <cell r="D4645" t="str">
            <v>Commodity</v>
          </cell>
          <cell r="E4645" t="str">
            <v>Price Level</v>
          </cell>
          <cell r="F4645" t="str">
            <v>Alternative</v>
          </cell>
          <cell r="G4645" t="str">
            <v>Other</v>
          </cell>
          <cell r="H4645" t="str">
            <v>ALTS</v>
          </cell>
          <cell r="I4645" t="str">
            <v>Alternative - Commodity</v>
          </cell>
        </row>
        <row r="4646">
          <cell r="A4646" t="str">
            <v>USD_COMD_LX_11</v>
          </cell>
          <cell r="B4646" t="str">
            <v>Zinc LME 11</v>
          </cell>
          <cell r="C4646" t="str">
            <v>ALTERNATIVE:COMD:USD_COMD_LX_11</v>
          </cell>
          <cell r="D4646" t="str">
            <v>Commodity</v>
          </cell>
          <cell r="E4646" t="str">
            <v>Price Level</v>
          </cell>
          <cell r="F4646" t="str">
            <v>Alternative</v>
          </cell>
          <cell r="G4646" t="str">
            <v>Other</v>
          </cell>
          <cell r="H4646" t="str">
            <v>ALTS</v>
          </cell>
          <cell r="I4646" t="str">
            <v>Alternative - Commodity</v>
          </cell>
        </row>
        <row r="4647">
          <cell r="A4647" t="str">
            <v>USD_COMD_LX_12</v>
          </cell>
          <cell r="B4647" t="str">
            <v>Zinc LME 12</v>
          </cell>
          <cell r="C4647" t="str">
            <v>ALTERNATIVE:COMD:USD_COMD_LX_12</v>
          </cell>
          <cell r="D4647" t="str">
            <v>Commodity</v>
          </cell>
          <cell r="E4647" t="str">
            <v>Price Level</v>
          </cell>
          <cell r="F4647" t="str">
            <v>Alternative</v>
          </cell>
          <cell r="G4647" t="str">
            <v>Other</v>
          </cell>
          <cell r="H4647" t="str">
            <v>ALTS</v>
          </cell>
          <cell r="I4647" t="str">
            <v>Alternative - Commodity</v>
          </cell>
        </row>
        <row r="4648">
          <cell r="A4648" t="str">
            <v>USD_COMD_NG_2</v>
          </cell>
          <cell r="B4648" t="str">
            <v>Natural gas NYME 2</v>
          </cell>
          <cell r="C4648" t="str">
            <v>ALTERNATIVE:COMD:USD_COMD_NG_2</v>
          </cell>
          <cell r="D4648" t="str">
            <v>Commodity</v>
          </cell>
          <cell r="E4648" t="str">
            <v>Price Level</v>
          </cell>
          <cell r="F4648" t="str">
            <v>Alternative</v>
          </cell>
          <cell r="G4648" t="str">
            <v>Other</v>
          </cell>
          <cell r="H4648" t="str">
            <v>ALTS</v>
          </cell>
          <cell r="I4648" t="str">
            <v>Alternative - Commodity</v>
          </cell>
        </row>
        <row r="4649">
          <cell r="A4649" t="str">
            <v>USD_COMD_NG_4</v>
          </cell>
          <cell r="B4649" t="str">
            <v>Natural gas NYME 4</v>
          </cell>
          <cell r="C4649" t="str">
            <v>ALTERNATIVE:COMD:USD_COMD_NG_4</v>
          </cell>
          <cell r="D4649" t="str">
            <v>Commodity</v>
          </cell>
          <cell r="E4649" t="str">
            <v>Price Level</v>
          </cell>
          <cell r="F4649" t="str">
            <v>Alternative</v>
          </cell>
          <cell r="G4649" t="str">
            <v>Other</v>
          </cell>
          <cell r="H4649" t="str">
            <v>ALTS</v>
          </cell>
          <cell r="I4649" t="str">
            <v>Alternative - Commodity</v>
          </cell>
        </row>
        <row r="4650">
          <cell r="A4650" t="str">
            <v>USD_COMD_NG_6</v>
          </cell>
          <cell r="B4650" t="str">
            <v>Natural gas NYME 6</v>
          </cell>
          <cell r="C4650" t="str">
            <v>ALTERNATIVE:COMD:USD_COMD_NG_6</v>
          </cell>
          <cell r="D4650" t="str">
            <v>Commodity</v>
          </cell>
          <cell r="E4650" t="str">
            <v>Price Level</v>
          </cell>
          <cell r="F4650" t="str">
            <v>Alternative</v>
          </cell>
          <cell r="G4650" t="str">
            <v>Other</v>
          </cell>
          <cell r="H4650" t="str">
            <v>ALTS</v>
          </cell>
          <cell r="I4650" t="str">
            <v>Alternative - Commodity</v>
          </cell>
        </row>
        <row r="4651">
          <cell r="A4651" t="str">
            <v>USD_COMD_NG_7</v>
          </cell>
          <cell r="B4651" t="str">
            <v>Natural gas NYME 7</v>
          </cell>
          <cell r="C4651" t="str">
            <v>ALTERNATIVE:COMD:USD_COMD_NG_7</v>
          </cell>
          <cell r="D4651" t="str">
            <v>Commodity</v>
          </cell>
          <cell r="E4651" t="str">
            <v>Price Level</v>
          </cell>
          <cell r="F4651" t="str">
            <v>Alternative</v>
          </cell>
          <cell r="G4651" t="str">
            <v>Other</v>
          </cell>
          <cell r="H4651" t="str">
            <v>ALTS</v>
          </cell>
          <cell r="I4651" t="str">
            <v>Alternative - Commodity</v>
          </cell>
        </row>
        <row r="4652">
          <cell r="A4652" t="str">
            <v>USD_COMD_NG_8</v>
          </cell>
          <cell r="B4652" t="str">
            <v>Natural gas NYME 8</v>
          </cell>
          <cell r="C4652" t="str">
            <v>ALTERNATIVE:COMD:USD_COMD_NG_8</v>
          </cell>
          <cell r="D4652" t="str">
            <v>Commodity</v>
          </cell>
          <cell r="E4652" t="str">
            <v>Price Level</v>
          </cell>
          <cell r="F4652" t="str">
            <v>Alternative</v>
          </cell>
          <cell r="G4652" t="str">
            <v>Other</v>
          </cell>
          <cell r="H4652" t="str">
            <v>ALTS</v>
          </cell>
          <cell r="I4652" t="str">
            <v>Alternative - Commodity</v>
          </cell>
        </row>
        <row r="4653">
          <cell r="A4653" t="str">
            <v>USD_COMD_NG_9</v>
          </cell>
          <cell r="B4653" t="str">
            <v>Natural gas NYME 9</v>
          </cell>
          <cell r="C4653" t="str">
            <v>ALTERNATIVE:COMD:USD_COMD_NG_9</v>
          </cell>
          <cell r="D4653" t="str">
            <v>Commodity</v>
          </cell>
          <cell r="E4653" t="str">
            <v>Price Level</v>
          </cell>
          <cell r="F4653" t="str">
            <v>Alternative</v>
          </cell>
          <cell r="G4653" t="str">
            <v>Other</v>
          </cell>
          <cell r="H4653" t="str">
            <v>ALTS</v>
          </cell>
          <cell r="I4653" t="str">
            <v>Alternative - Commodity</v>
          </cell>
        </row>
        <row r="4654">
          <cell r="A4654" t="str">
            <v>USD_COMD_NG_10</v>
          </cell>
          <cell r="B4654" t="str">
            <v>Natural gas NYME 10</v>
          </cell>
          <cell r="C4654" t="str">
            <v>ALTERNATIVE:COMD:USD_COMD_NG_10</v>
          </cell>
          <cell r="D4654" t="str">
            <v>Commodity</v>
          </cell>
          <cell r="E4654" t="str">
            <v>Price Level</v>
          </cell>
          <cell r="F4654" t="str">
            <v>Alternative</v>
          </cell>
          <cell r="G4654" t="str">
            <v>Other</v>
          </cell>
          <cell r="H4654" t="str">
            <v>ALTS</v>
          </cell>
          <cell r="I4654" t="str">
            <v>Alternative - Commodity</v>
          </cell>
        </row>
        <row r="4655">
          <cell r="A4655" t="str">
            <v>USD_COMD_NG_11</v>
          </cell>
          <cell r="B4655" t="str">
            <v>Natural gas NYME 11</v>
          </cell>
          <cell r="C4655" t="str">
            <v>ALTERNATIVE:COMD:USD_COMD_NG_11</v>
          </cell>
          <cell r="D4655" t="str">
            <v>Commodity</v>
          </cell>
          <cell r="E4655" t="str">
            <v>Price Level</v>
          </cell>
          <cell r="F4655" t="str">
            <v>Alternative</v>
          </cell>
          <cell r="G4655" t="str">
            <v>Other</v>
          </cell>
          <cell r="H4655" t="str">
            <v>ALTS</v>
          </cell>
          <cell r="I4655" t="str">
            <v>Alternative - Commodity</v>
          </cell>
        </row>
        <row r="4656">
          <cell r="A4656" t="str">
            <v>USD_COMD_NG_12</v>
          </cell>
          <cell r="B4656" t="str">
            <v>Natural gas NYME 12</v>
          </cell>
          <cell r="C4656" t="str">
            <v>ALTERNATIVE:COMD:USD_COMD_NG_12</v>
          </cell>
          <cell r="D4656" t="str">
            <v>Commodity</v>
          </cell>
          <cell r="E4656" t="str">
            <v>Price Level</v>
          </cell>
          <cell r="F4656" t="str">
            <v>Alternative</v>
          </cell>
          <cell r="G4656" t="str">
            <v>Other</v>
          </cell>
          <cell r="H4656" t="str">
            <v>ALTS</v>
          </cell>
          <cell r="I4656" t="str">
            <v>Alternative - Commodity</v>
          </cell>
        </row>
        <row r="4657">
          <cell r="A4657" t="str">
            <v>USD_COMD_O_2</v>
          </cell>
          <cell r="B4657" t="str">
            <v>Oat CBOT 2</v>
          </cell>
          <cell r="C4657" t="str">
            <v>ALTERNATIVE:COMD:USD_COMD_O_2</v>
          </cell>
          <cell r="D4657" t="str">
            <v>Commodity</v>
          </cell>
          <cell r="E4657" t="str">
            <v>Price Level</v>
          </cell>
          <cell r="F4657" t="str">
            <v>Alternative</v>
          </cell>
          <cell r="G4657" t="str">
            <v>Other</v>
          </cell>
          <cell r="H4657" t="str">
            <v>ALTS</v>
          </cell>
          <cell r="I4657" t="str">
            <v>Alternative - Commodity</v>
          </cell>
        </row>
        <row r="4658">
          <cell r="A4658" t="str">
            <v>USD_COMD_O_4</v>
          </cell>
          <cell r="B4658" t="str">
            <v>Oat CBOT 4</v>
          </cell>
          <cell r="C4658" t="str">
            <v>ALTERNATIVE:COMD:USD_COMD_O_4</v>
          </cell>
          <cell r="D4658" t="str">
            <v>Commodity</v>
          </cell>
          <cell r="E4658" t="str">
            <v>Price Level</v>
          </cell>
          <cell r="F4658" t="str">
            <v>Alternative</v>
          </cell>
          <cell r="G4658" t="str">
            <v>Other</v>
          </cell>
          <cell r="H4658" t="str">
            <v>ALTS</v>
          </cell>
          <cell r="I4658" t="str">
            <v>Alternative - Commodity</v>
          </cell>
        </row>
        <row r="4659">
          <cell r="A4659" t="str">
            <v>USD_COMD_O_6</v>
          </cell>
          <cell r="B4659" t="str">
            <v>Oat CBOT 6</v>
          </cell>
          <cell r="C4659" t="str">
            <v>ALTERNATIVE:COMD:USD_COMD_O_6</v>
          </cell>
          <cell r="D4659" t="str">
            <v>Commodity</v>
          </cell>
          <cell r="E4659" t="str">
            <v>Price Level</v>
          </cell>
          <cell r="F4659" t="str">
            <v>Alternative</v>
          </cell>
          <cell r="G4659" t="str">
            <v>Other</v>
          </cell>
          <cell r="H4659" t="str">
            <v>ALTS</v>
          </cell>
          <cell r="I4659" t="str">
            <v>Alternative - Commodity</v>
          </cell>
        </row>
        <row r="4660">
          <cell r="A4660" t="str">
            <v>USD_COMD_O_7</v>
          </cell>
          <cell r="B4660" t="str">
            <v>Oat CBOT 7</v>
          </cell>
          <cell r="C4660" t="str">
            <v>ALTERNATIVE:COMD:USD_COMD_O_7</v>
          </cell>
          <cell r="D4660" t="str">
            <v>Commodity</v>
          </cell>
          <cell r="E4660" t="str">
            <v>Price Level</v>
          </cell>
          <cell r="F4660" t="str">
            <v>Alternative</v>
          </cell>
          <cell r="G4660" t="str">
            <v>Other</v>
          </cell>
          <cell r="H4660" t="str">
            <v>ALTS</v>
          </cell>
          <cell r="I4660" t="str">
            <v>Alternative - Commodity</v>
          </cell>
        </row>
        <row r="4661">
          <cell r="A4661" t="str">
            <v>USD_COMD_O_8</v>
          </cell>
          <cell r="B4661" t="str">
            <v>Oat CBOT 8</v>
          </cell>
          <cell r="C4661" t="str">
            <v>ALTERNATIVE:COMD:USD_COMD_O_8</v>
          </cell>
          <cell r="D4661" t="str">
            <v>Commodity</v>
          </cell>
          <cell r="E4661" t="str">
            <v>Price Level</v>
          </cell>
          <cell r="F4661" t="str">
            <v>Alternative</v>
          </cell>
          <cell r="G4661" t="str">
            <v>Other</v>
          </cell>
          <cell r="H4661" t="str">
            <v>ALTS</v>
          </cell>
          <cell r="I4661" t="str">
            <v>Alternative - Commodity</v>
          </cell>
        </row>
        <row r="4662">
          <cell r="A4662" t="str">
            <v>USD_COMD_O_9</v>
          </cell>
          <cell r="B4662" t="str">
            <v>Oat CBOT 9</v>
          </cell>
          <cell r="C4662" t="str">
            <v>ALTERNATIVE:COMD:USD_COMD_O_9</v>
          </cell>
          <cell r="D4662" t="str">
            <v>Commodity</v>
          </cell>
          <cell r="E4662" t="str">
            <v>Price Level</v>
          </cell>
          <cell r="F4662" t="str">
            <v>Alternative</v>
          </cell>
          <cell r="G4662" t="str">
            <v>Other</v>
          </cell>
          <cell r="H4662" t="str">
            <v>ALTS</v>
          </cell>
          <cell r="I4662" t="str">
            <v>Alternative - Commodity</v>
          </cell>
        </row>
        <row r="4663">
          <cell r="A4663" t="str">
            <v>USD_COMD_O_10</v>
          </cell>
          <cell r="B4663" t="str">
            <v>Oat CBOT 10</v>
          </cell>
          <cell r="C4663" t="str">
            <v>ALTERNATIVE:COMD:USD_COMD_O_10</v>
          </cell>
          <cell r="D4663" t="str">
            <v>Commodity</v>
          </cell>
          <cell r="E4663" t="str">
            <v>Price Level</v>
          </cell>
          <cell r="F4663" t="str">
            <v>Alternative</v>
          </cell>
          <cell r="G4663" t="str">
            <v>Other</v>
          </cell>
          <cell r="H4663" t="str">
            <v>ALTS</v>
          </cell>
          <cell r="I4663" t="str">
            <v>Alternative - Commodity</v>
          </cell>
        </row>
        <row r="4664">
          <cell r="A4664" t="str">
            <v>USD_COMD_O_11</v>
          </cell>
          <cell r="B4664" t="str">
            <v>Oat CBOT 11</v>
          </cell>
          <cell r="C4664" t="str">
            <v>ALTERNATIVE:COMD:USD_COMD_O_11</v>
          </cell>
          <cell r="D4664" t="str">
            <v>Commodity</v>
          </cell>
          <cell r="E4664" t="str">
            <v>Price Level</v>
          </cell>
          <cell r="F4664" t="str">
            <v>Alternative</v>
          </cell>
          <cell r="G4664" t="str">
            <v>Other</v>
          </cell>
          <cell r="H4664" t="str">
            <v>ALTS</v>
          </cell>
          <cell r="I4664" t="str">
            <v>Alternative - Commodity</v>
          </cell>
        </row>
        <row r="4665">
          <cell r="A4665" t="str">
            <v>USD_COMD_O_12</v>
          </cell>
          <cell r="B4665" t="str">
            <v>Oat CBOT 12</v>
          </cell>
          <cell r="C4665" t="str">
            <v>ALTERNATIVE:COMD:USD_COMD_O_12</v>
          </cell>
          <cell r="D4665" t="str">
            <v>Commodity</v>
          </cell>
          <cell r="E4665" t="str">
            <v>Price Level</v>
          </cell>
          <cell r="F4665" t="str">
            <v>Alternative</v>
          </cell>
          <cell r="G4665" t="str">
            <v>Other</v>
          </cell>
          <cell r="H4665" t="str">
            <v>ALTS</v>
          </cell>
          <cell r="I4665" t="str">
            <v>Alternative - Commodity</v>
          </cell>
        </row>
        <row r="4666">
          <cell r="A4666" t="str">
            <v>USD_COMD_PA_2</v>
          </cell>
          <cell r="B4666" t="str">
            <v>Palladium NYMEX 2</v>
          </cell>
          <cell r="C4666" t="str">
            <v>ALTERNATIVE:COMD:USD_COMD_PA_2</v>
          </cell>
          <cell r="D4666" t="str">
            <v>Commodity</v>
          </cell>
          <cell r="E4666" t="str">
            <v>Price Level</v>
          </cell>
          <cell r="F4666" t="str">
            <v>Alternative</v>
          </cell>
          <cell r="G4666" t="str">
            <v>Other</v>
          </cell>
          <cell r="H4666" t="str">
            <v>ALTS</v>
          </cell>
          <cell r="I4666" t="str">
            <v>Alternative - Commodity</v>
          </cell>
        </row>
        <row r="4667">
          <cell r="A4667" t="str">
            <v>USD_COMD_PA_4</v>
          </cell>
          <cell r="B4667" t="str">
            <v>Palladium NYMEX 4</v>
          </cell>
          <cell r="C4667" t="str">
            <v>ALTERNATIVE:COMD:USD_COMD_PA_4</v>
          </cell>
          <cell r="D4667" t="str">
            <v>Commodity</v>
          </cell>
          <cell r="E4667" t="str">
            <v>Price Level</v>
          </cell>
          <cell r="F4667" t="str">
            <v>Alternative</v>
          </cell>
          <cell r="G4667" t="str">
            <v>Other</v>
          </cell>
          <cell r="H4667" t="str">
            <v>ALTS</v>
          </cell>
          <cell r="I4667" t="str">
            <v>Alternative - Commodity</v>
          </cell>
        </row>
        <row r="4668">
          <cell r="A4668" t="str">
            <v>USD_COMD_PA_6</v>
          </cell>
          <cell r="B4668" t="str">
            <v>Palladium NYMEX 6</v>
          </cell>
          <cell r="C4668" t="str">
            <v>ALTERNATIVE:COMD:USD_COMD_PA_6</v>
          </cell>
          <cell r="D4668" t="str">
            <v>Commodity</v>
          </cell>
          <cell r="E4668" t="str">
            <v>Price Level</v>
          </cell>
          <cell r="F4668" t="str">
            <v>Alternative</v>
          </cell>
          <cell r="G4668" t="str">
            <v>Other</v>
          </cell>
          <cell r="H4668" t="str">
            <v>ALTS</v>
          </cell>
          <cell r="I4668" t="str">
            <v>Alternative - Commodity</v>
          </cell>
        </row>
        <row r="4669">
          <cell r="A4669" t="str">
            <v>USD_COMD_PA_7</v>
          </cell>
          <cell r="B4669" t="str">
            <v>Palladium NYMEX 7</v>
          </cell>
          <cell r="C4669" t="str">
            <v>ALTERNATIVE:COMD:USD_COMD_PA_7</v>
          </cell>
          <cell r="D4669" t="str">
            <v>Commodity</v>
          </cell>
          <cell r="E4669" t="str">
            <v>Price Level</v>
          </cell>
          <cell r="F4669" t="str">
            <v>Alternative</v>
          </cell>
          <cell r="G4669" t="str">
            <v>Other</v>
          </cell>
          <cell r="H4669" t="str">
            <v>ALTS</v>
          </cell>
          <cell r="I4669" t="str">
            <v>Alternative - Commodity</v>
          </cell>
        </row>
        <row r="4670">
          <cell r="A4670" t="str">
            <v>USD_COMD_PA_8</v>
          </cell>
          <cell r="B4670" t="str">
            <v>Palladium NYMEX 8</v>
          </cell>
          <cell r="C4670" t="str">
            <v>ALTERNATIVE:COMD:USD_COMD_PA_8</v>
          </cell>
          <cell r="D4670" t="str">
            <v>Commodity</v>
          </cell>
          <cell r="E4670" t="str">
            <v>Price Level</v>
          </cell>
          <cell r="F4670" t="str">
            <v>Alternative</v>
          </cell>
          <cell r="G4670" t="str">
            <v>Other</v>
          </cell>
          <cell r="H4670" t="str">
            <v>ALTS</v>
          </cell>
          <cell r="I4670" t="str">
            <v>Alternative - Commodity</v>
          </cell>
        </row>
        <row r="4671">
          <cell r="A4671" t="str">
            <v>USD_COMD_PA_9</v>
          </cell>
          <cell r="B4671" t="str">
            <v>Palladium NYMEX 9</v>
          </cell>
          <cell r="C4671" t="str">
            <v>ALTERNATIVE:COMD:USD_COMD_PA_9</v>
          </cell>
          <cell r="D4671" t="str">
            <v>Commodity</v>
          </cell>
          <cell r="E4671" t="str">
            <v>Price Level</v>
          </cell>
          <cell r="F4671" t="str">
            <v>Alternative</v>
          </cell>
          <cell r="G4671" t="str">
            <v>Other</v>
          </cell>
          <cell r="H4671" t="str">
            <v>ALTS</v>
          </cell>
          <cell r="I4671" t="str">
            <v>Alternative - Commodity</v>
          </cell>
        </row>
        <row r="4672">
          <cell r="A4672" t="str">
            <v>USD_COMD_PA_10</v>
          </cell>
          <cell r="B4672" t="str">
            <v>Palladium NYMEX 10</v>
          </cell>
          <cell r="C4672" t="str">
            <v>ALTERNATIVE:COMD:USD_COMD_PA_10</v>
          </cell>
          <cell r="D4672" t="str">
            <v>Commodity</v>
          </cell>
          <cell r="E4672" t="str">
            <v>Price Level</v>
          </cell>
          <cell r="F4672" t="str">
            <v>Alternative</v>
          </cell>
          <cell r="G4672" t="str">
            <v>Other</v>
          </cell>
          <cell r="H4672" t="str">
            <v>ALTS</v>
          </cell>
          <cell r="I4672" t="str">
            <v>Alternative - Commodity</v>
          </cell>
        </row>
        <row r="4673">
          <cell r="A4673" t="str">
            <v>USD_COMD_PA_11</v>
          </cell>
          <cell r="B4673" t="str">
            <v>Palladium NYMEX 11</v>
          </cell>
          <cell r="C4673" t="str">
            <v>ALTERNATIVE:COMD:USD_COMD_PA_11</v>
          </cell>
          <cell r="D4673" t="str">
            <v>Commodity</v>
          </cell>
          <cell r="E4673" t="str">
            <v>Price Level</v>
          </cell>
          <cell r="F4673" t="str">
            <v>Alternative</v>
          </cell>
          <cell r="G4673" t="str">
            <v>Other</v>
          </cell>
          <cell r="H4673" t="str">
            <v>ALTS</v>
          </cell>
          <cell r="I4673" t="str">
            <v>Alternative - Commodity</v>
          </cell>
        </row>
        <row r="4674">
          <cell r="A4674" t="str">
            <v>USD_COMD_PA_12</v>
          </cell>
          <cell r="B4674" t="str">
            <v>Palladium NYMEX 12</v>
          </cell>
          <cell r="C4674" t="str">
            <v>ALTERNATIVE:COMD:USD_COMD_PA_12</v>
          </cell>
          <cell r="D4674" t="str">
            <v>Commodity</v>
          </cell>
          <cell r="E4674" t="str">
            <v>Price Level</v>
          </cell>
          <cell r="F4674" t="str">
            <v>Alternative</v>
          </cell>
          <cell r="G4674" t="str">
            <v>Other</v>
          </cell>
          <cell r="H4674" t="str">
            <v>ALTS</v>
          </cell>
          <cell r="I4674" t="str">
            <v>Alternative - Commodity</v>
          </cell>
        </row>
        <row r="4675">
          <cell r="A4675" t="str">
            <v>USD_COMD_PL_2</v>
          </cell>
          <cell r="B4675" t="str">
            <v>Platinum NYMEX 2</v>
          </cell>
          <cell r="C4675" t="str">
            <v>ALTERNATIVE:COMD:USD_COMD_PL_2</v>
          </cell>
          <cell r="D4675" t="str">
            <v>Commodity</v>
          </cell>
          <cell r="E4675" t="str">
            <v>Price Level</v>
          </cell>
          <cell r="F4675" t="str">
            <v>Alternative</v>
          </cell>
          <cell r="G4675" t="str">
            <v>Other</v>
          </cell>
          <cell r="H4675" t="str">
            <v>ALTS</v>
          </cell>
          <cell r="I4675" t="str">
            <v>Alternative - Commodity</v>
          </cell>
        </row>
        <row r="4676">
          <cell r="A4676" t="str">
            <v>USD_COMD_PL_4</v>
          </cell>
          <cell r="B4676" t="str">
            <v>Platinum NYMEX 4</v>
          </cell>
          <cell r="C4676" t="str">
            <v>ALTERNATIVE:COMD:USD_COMD_PL_4</v>
          </cell>
          <cell r="D4676" t="str">
            <v>Commodity</v>
          </cell>
          <cell r="E4676" t="str">
            <v>Price Level</v>
          </cell>
          <cell r="F4676" t="str">
            <v>Alternative</v>
          </cell>
          <cell r="G4676" t="str">
            <v>Other</v>
          </cell>
          <cell r="H4676" t="str">
            <v>ALTS</v>
          </cell>
          <cell r="I4676" t="str">
            <v>Alternative - Commodity</v>
          </cell>
        </row>
        <row r="4677">
          <cell r="A4677" t="str">
            <v>USD_COMD_PL_6</v>
          </cell>
          <cell r="B4677" t="str">
            <v>Platinum NYMEX 6</v>
          </cell>
          <cell r="C4677" t="str">
            <v>ALTERNATIVE:COMD:USD_COMD_PL_6</v>
          </cell>
          <cell r="D4677" t="str">
            <v>Commodity</v>
          </cell>
          <cell r="E4677" t="str">
            <v>Price Level</v>
          </cell>
          <cell r="F4677" t="str">
            <v>Alternative</v>
          </cell>
          <cell r="G4677" t="str">
            <v>Other</v>
          </cell>
          <cell r="H4677" t="str">
            <v>ALTS</v>
          </cell>
          <cell r="I4677" t="str">
            <v>Alternative - Commodity</v>
          </cell>
        </row>
        <row r="4678">
          <cell r="A4678" t="str">
            <v>USD_COMD_PL_7</v>
          </cell>
          <cell r="B4678" t="str">
            <v>Platinum NYMEX 7</v>
          </cell>
          <cell r="C4678" t="str">
            <v>ALTERNATIVE:COMD:USD_COMD_PL_7</v>
          </cell>
          <cell r="D4678" t="str">
            <v>Commodity</v>
          </cell>
          <cell r="E4678" t="str">
            <v>Price Level</v>
          </cell>
          <cell r="F4678" t="str">
            <v>Alternative</v>
          </cell>
          <cell r="G4678" t="str">
            <v>Other</v>
          </cell>
          <cell r="H4678" t="str">
            <v>ALTS</v>
          </cell>
          <cell r="I4678" t="str">
            <v>Alternative - Commodity</v>
          </cell>
        </row>
        <row r="4679">
          <cell r="A4679" t="str">
            <v>USD_COMD_PL_8</v>
          </cell>
          <cell r="B4679" t="str">
            <v>Platinum NYMEX 8</v>
          </cell>
          <cell r="C4679" t="str">
            <v>ALTERNATIVE:COMD:USD_COMD_PL_8</v>
          </cell>
          <cell r="D4679" t="str">
            <v>Commodity</v>
          </cell>
          <cell r="E4679" t="str">
            <v>Price Level</v>
          </cell>
          <cell r="F4679" t="str">
            <v>Alternative</v>
          </cell>
          <cell r="G4679" t="str">
            <v>Other</v>
          </cell>
          <cell r="H4679" t="str">
            <v>ALTS</v>
          </cell>
          <cell r="I4679" t="str">
            <v>Alternative - Commodity</v>
          </cell>
        </row>
        <row r="4680">
          <cell r="A4680" t="str">
            <v>USD_COMD_PL_9</v>
          </cell>
          <cell r="B4680" t="str">
            <v>Platinum NYMEX 9</v>
          </cell>
          <cell r="C4680" t="str">
            <v>ALTERNATIVE:COMD:USD_COMD_PL_9</v>
          </cell>
          <cell r="D4680" t="str">
            <v>Commodity</v>
          </cell>
          <cell r="E4680" t="str">
            <v>Price Level</v>
          </cell>
          <cell r="F4680" t="str">
            <v>Alternative</v>
          </cell>
          <cell r="G4680" t="str">
            <v>Other</v>
          </cell>
          <cell r="H4680" t="str">
            <v>ALTS</v>
          </cell>
          <cell r="I4680" t="str">
            <v>Alternative - Commodity</v>
          </cell>
        </row>
        <row r="4681">
          <cell r="A4681" t="str">
            <v>USD_COMD_PL_10</v>
          </cell>
          <cell r="B4681" t="str">
            <v>Platinum NYMEX 10</v>
          </cell>
          <cell r="C4681" t="str">
            <v>ALTERNATIVE:COMD:USD_COMD_PL_10</v>
          </cell>
          <cell r="D4681" t="str">
            <v>Commodity</v>
          </cell>
          <cell r="E4681" t="str">
            <v>Price Level</v>
          </cell>
          <cell r="F4681" t="str">
            <v>Alternative</v>
          </cell>
          <cell r="G4681" t="str">
            <v>Other</v>
          </cell>
          <cell r="H4681" t="str">
            <v>ALTS</v>
          </cell>
          <cell r="I4681" t="str">
            <v>Alternative - Commodity</v>
          </cell>
        </row>
        <row r="4682">
          <cell r="A4682" t="str">
            <v>USD_COMD_PL_11</v>
          </cell>
          <cell r="B4682" t="str">
            <v>Platinum NYMEX 11</v>
          </cell>
          <cell r="C4682" t="str">
            <v>ALTERNATIVE:COMD:USD_COMD_PL_11</v>
          </cell>
          <cell r="D4682" t="str">
            <v>Commodity</v>
          </cell>
          <cell r="E4682" t="str">
            <v>Price Level</v>
          </cell>
          <cell r="F4682" t="str">
            <v>Alternative</v>
          </cell>
          <cell r="G4682" t="str">
            <v>Other</v>
          </cell>
          <cell r="H4682" t="str">
            <v>ALTS</v>
          </cell>
          <cell r="I4682" t="str">
            <v>Alternative - Commodity</v>
          </cell>
        </row>
        <row r="4683">
          <cell r="A4683" t="str">
            <v>USD_COMD_PL_12</v>
          </cell>
          <cell r="B4683" t="str">
            <v>Platinum NYMEX 12</v>
          </cell>
          <cell r="C4683" t="str">
            <v>ALTERNATIVE:COMD:USD_COMD_PL_12</v>
          </cell>
          <cell r="D4683" t="str">
            <v>Commodity</v>
          </cell>
          <cell r="E4683" t="str">
            <v>Price Level</v>
          </cell>
          <cell r="F4683" t="str">
            <v>Alternative</v>
          </cell>
          <cell r="G4683" t="str">
            <v>Other</v>
          </cell>
          <cell r="H4683" t="str">
            <v>ALTS</v>
          </cell>
          <cell r="I4683" t="str">
            <v>Alternative - Commodity</v>
          </cell>
        </row>
        <row r="4684">
          <cell r="A4684" t="str">
            <v>USD_COMD_QS_2</v>
          </cell>
          <cell r="B4684" t="str">
            <v>Gas Oil IE 2</v>
          </cell>
          <cell r="C4684" t="str">
            <v>ALTERNATIVE:COMD:USD_COMD_QS_2</v>
          </cell>
          <cell r="D4684" t="str">
            <v>Commodity</v>
          </cell>
          <cell r="E4684" t="str">
            <v>Price Level</v>
          </cell>
          <cell r="F4684" t="str">
            <v>Alternative</v>
          </cell>
          <cell r="G4684" t="str">
            <v>Other</v>
          </cell>
          <cell r="H4684" t="str">
            <v>ALTS</v>
          </cell>
          <cell r="I4684" t="str">
            <v>Alternative - Commodity</v>
          </cell>
        </row>
        <row r="4685">
          <cell r="A4685" t="str">
            <v>USD_COMD_QS_4</v>
          </cell>
          <cell r="B4685" t="str">
            <v>Gas Oil IE 4</v>
          </cell>
          <cell r="C4685" t="str">
            <v>ALTERNATIVE:COMD:USD_COMD_QS_4</v>
          </cell>
          <cell r="D4685" t="str">
            <v>Commodity</v>
          </cell>
          <cell r="E4685" t="str">
            <v>Price Level</v>
          </cell>
          <cell r="F4685" t="str">
            <v>Alternative</v>
          </cell>
          <cell r="G4685" t="str">
            <v>Other</v>
          </cell>
          <cell r="H4685" t="str">
            <v>ALTS</v>
          </cell>
          <cell r="I4685" t="str">
            <v>Alternative - Commodity</v>
          </cell>
        </row>
        <row r="4686">
          <cell r="A4686" t="str">
            <v>USD_COMD_QS_6</v>
          </cell>
          <cell r="B4686" t="str">
            <v>Gas Oil IE 6</v>
          </cell>
          <cell r="C4686" t="str">
            <v>ALTERNATIVE:COMD:USD_COMD_QS_6</v>
          </cell>
          <cell r="D4686" t="str">
            <v>Commodity</v>
          </cell>
          <cell r="E4686" t="str">
            <v>Price Level</v>
          </cell>
          <cell r="F4686" t="str">
            <v>Alternative</v>
          </cell>
          <cell r="G4686" t="str">
            <v>Other</v>
          </cell>
          <cell r="H4686" t="str">
            <v>ALTS</v>
          </cell>
          <cell r="I4686" t="str">
            <v>Alternative - Commodity</v>
          </cell>
        </row>
        <row r="4687">
          <cell r="A4687" t="str">
            <v>USD_COMD_QS_7</v>
          </cell>
          <cell r="B4687" t="str">
            <v>Gas Oil IE 7</v>
          </cell>
          <cell r="C4687" t="str">
            <v>ALTERNATIVE:COMD:USD_COMD_QS_7</v>
          </cell>
          <cell r="D4687" t="str">
            <v>Commodity</v>
          </cell>
          <cell r="E4687" t="str">
            <v>Price Level</v>
          </cell>
          <cell r="F4687" t="str">
            <v>Alternative</v>
          </cell>
          <cell r="G4687" t="str">
            <v>Other</v>
          </cell>
          <cell r="H4687" t="str">
            <v>ALTS</v>
          </cell>
          <cell r="I4687" t="str">
            <v>Alternative - Commodity</v>
          </cell>
        </row>
        <row r="4688">
          <cell r="A4688" t="str">
            <v>USD_COMD_QS_8</v>
          </cell>
          <cell r="B4688" t="str">
            <v>Gas Oil IE 8</v>
          </cell>
          <cell r="C4688" t="str">
            <v>ALTERNATIVE:COMD:USD_COMD_QS_8</v>
          </cell>
          <cell r="D4688" t="str">
            <v>Commodity</v>
          </cell>
          <cell r="E4688" t="str">
            <v>Price Level</v>
          </cell>
          <cell r="F4688" t="str">
            <v>Alternative</v>
          </cell>
          <cell r="G4688" t="str">
            <v>Other</v>
          </cell>
          <cell r="H4688" t="str">
            <v>ALTS</v>
          </cell>
          <cell r="I4688" t="str">
            <v>Alternative - Commodity</v>
          </cell>
        </row>
        <row r="4689">
          <cell r="A4689" t="str">
            <v>USD_COMD_QS_9</v>
          </cell>
          <cell r="B4689" t="str">
            <v>Gas Oil IE 9</v>
          </cell>
          <cell r="C4689" t="str">
            <v>ALTERNATIVE:COMD:USD_COMD_QS_9</v>
          </cell>
          <cell r="D4689" t="str">
            <v>Commodity</v>
          </cell>
          <cell r="E4689" t="str">
            <v>Price Level</v>
          </cell>
          <cell r="F4689" t="str">
            <v>Alternative</v>
          </cell>
          <cell r="G4689" t="str">
            <v>Other</v>
          </cell>
          <cell r="H4689" t="str">
            <v>ALTS</v>
          </cell>
          <cell r="I4689" t="str">
            <v>Alternative - Commodity</v>
          </cell>
        </row>
        <row r="4690">
          <cell r="A4690" t="str">
            <v>USD_COMD_QS_10</v>
          </cell>
          <cell r="B4690" t="str">
            <v>Gas Oil IE 10</v>
          </cell>
          <cell r="C4690" t="str">
            <v>ALTERNATIVE:COMD:USD_COMD_QS_10</v>
          </cell>
          <cell r="D4690" t="str">
            <v>Commodity</v>
          </cell>
          <cell r="E4690" t="str">
            <v>Price Level</v>
          </cell>
          <cell r="F4690" t="str">
            <v>Alternative</v>
          </cell>
          <cell r="G4690" t="str">
            <v>Other</v>
          </cell>
          <cell r="H4690" t="str">
            <v>ALTS</v>
          </cell>
          <cell r="I4690" t="str">
            <v>Alternative - Commodity</v>
          </cell>
        </row>
        <row r="4691">
          <cell r="A4691" t="str">
            <v>USD_COMD_QS_11</v>
          </cell>
          <cell r="B4691" t="str">
            <v>Gas Oil IE 11</v>
          </cell>
          <cell r="C4691" t="str">
            <v>ALTERNATIVE:COMD:USD_COMD_QS_11</v>
          </cell>
          <cell r="D4691" t="str">
            <v>Commodity</v>
          </cell>
          <cell r="E4691" t="str">
            <v>Price Level</v>
          </cell>
          <cell r="F4691" t="str">
            <v>Alternative</v>
          </cell>
          <cell r="G4691" t="str">
            <v>Other</v>
          </cell>
          <cell r="H4691" t="str">
            <v>ALTS</v>
          </cell>
          <cell r="I4691" t="str">
            <v>Alternative - Commodity</v>
          </cell>
        </row>
        <row r="4692">
          <cell r="A4692" t="str">
            <v>USD_COMD_QS_12</v>
          </cell>
          <cell r="B4692" t="str">
            <v>Gas Oil IE 12</v>
          </cell>
          <cell r="C4692" t="str">
            <v>ALTERNATIVE:COMD:USD_COMD_QS_12</v>
          </cell>
          <cell r="D4692" t="str">
            <v>Commodity</v>
          </cell>
          <cell r="E4692" t="str">
            <v>Price Level</v>
          </cell>
          <cell r="F4692" t="str">
            <v>Alternative</v>
          </cell>
          <cell r="G4692" t="str">
            <v>Other</v>
          </cell>
          <cell r="H4692" t="str">
            <v>ALTS</v>
          </cell>
          <cell r="I4692" t="str">
            <v>Alternative - Commodity</v>
          </cell>
        </row>
        <row r="4693">
          <cell r="A4693" t="str">
            <v>USD_COMD_RI_2</v>
          </cell>
          <cell r="B4693" t="str">
            <v>Rough Rice CBOT 2</v>
          </cell>
          <cell r="C4693" t="str">
            <v>ALTERNATIVE:COMD:USD_COMD_RI_2</v>
          </cell>
          <cell r="D4693" t="str">
            <v>Commodity</v>
          </cell>
          <cell r="E4693" t="str">
            <v>Price Level</v>
          </cell>
          <cell r="F4693" t="str">
            <v>Alternative</v>
          </cell>
          <cell r="G4693" t="str">
            <v>Other</v>
          </cell>
          <cell r="H4693" t="str">
            <v>ALTS</v>
          </cell>
          <cell r="I4693" t="str">
            <v>Alternative - Commodity</v>
          </cell>
        </row>
        <row r="4694">
          <cell r="A4694" t="str">
            <v>USD_COMD_RI_4</v>
          </cell>
          <cell r="B4694" t="str">
            <v>Rough Rice CBOT 4</v>
          </cell>
          <cell r="C4694" t="str">
            <v>ALTERNATIVE:COMD:USD_COMD_RI_4</v>
          </cell>
          <cell r="D4694" t="str">
            <v>Commodity</v>
          </cell>
          <cell r="E4694" t="str">
            <v>Price Level</v>
          </cell>
          <cell r="F4694" t="str">
            <v>Alternative</v>
          </cell>
          <cell r="G4694" t="str">
            <v>Other</v>
          </cell>
          <cell r="H4694" t="str">
            <v>ALTS</v>
          </cell>
          <cell r="I4694" t="str">
            <v>Alternative - Commodity</v>
          </cell>
        </row>
        <row r="4695">
          <cell r="A4695" t="str">
            <v>USD_COMD_RI_6</v>
          </cell>
          <cell r="B4695" t="str">
            <v>Rough Rice CBOT 6</v>
          </cell>
          <cell r="C4695" t="str">
            <v>ALTERNATIVE:COMD:USD_COMD_RI_6</v>
          </cell>
          <cell r="D4695" t="str">
            <v>Commodity</v>
          </cell>
          <cell r="E4695" t="str">
            <v>Price Level</v>
          </cell>
          <cell r="F4695" t="str">
            <v>Alternative</v>
          </cell>
          <cell r="G4695" t="str">
            <v>Other</v>
          </cell>
          <cell r="H4695" t="str">
            <v>ALTS</v>
          </cell>
          <cell r="I4695" t="str">
            <v>Alternative - Commodity</v>
          </cell>
        </row>
        <row r="4696">
          <cell r="A4696" t="str">
            <v>USD_COMD_RI_7</v>
          </cell>
          <cell r="B4696" t="str">
            <v>Rough Rice CBOT 7</v>
          </cell>
          <cell r="C4696" t="str">
            <v>ALTERNATIVE:COMD:USD_COMD_RI_7</v>
          </cell>
          <cell r="D4696" t="str">
            <v>Commodity</v>
          </cell>
          <cell r="E4696" t="str">
            <v>Price Level</v>
          </cell>
          <cell r="F4696" t="str">
            <v>Alternative</v>
          </cell>
          <cell r="G4696" t="str">
            <v>Other</v>
          </cell>
          <cell r="H4696" t="str">
            <v>ALTS</v>
          </cell>
          <cell r="I4696" t="str">
            <v>Alternative - Commodity</v>
          </cell>
        </row>
        <row r="4697">
          <cell r="A4697" t="str">
            <v>USD_COMD_RI_8</v>
          </cell>
          <cell r="B4697" t="str">
            <v>Rough Rice CBOT 8</v>
          </cell>
          <cell r="C4697" t="str">
            <v>ALTERNATIVE:COMD:USD_COMD_RI_8</v>
          </cell>
          <cell r="D4697" t="str">
            <v>Commodity</v>
          </cell>
          <cell r="E4697" t="str">
            <v>Price Level</v>
          </cell>
          <cell r="F4697" t="str">
            <v>Alternative</v>
          </cell>
          <cell r="G4697" t="str">
            <v>Other</v>
          </cell>
          <cell r="H4697" t="str">
            <v>ALTS</v>
          </cell>
          <cell r="I4697" t="str">
            <v>Alternative - Commodity</v>
          </cell>
        </row>
        <row r="4698">
          <cell r="A4698" t="str">
            <v>USD_COMD_RI_9</v>
          </cell>
          <cell r="B4698" t="str">
            <v>Rough Rice CBOT 9</v>
          </cell>
          <cell r="C4698" t="str">
            <v>ALTERNATIVE:COMD:USD_COMD_RI_9</v>
          </cell>
          <cell r="D4698" t="str">
            <v>Commodity</v>
          </cell>
          <cell r="E4698" t="str">
            <v>Price Level</v>
          </cell>
          <cell r="F4698" t="str">
            <v>Alternative</v>
          </cell>
          <cell r="G4698" t="str">
            <v>Other</v>
          </cell>
          <cell r="H4698" t="str">
            <v>ALTS</v>
          </cell>
          <cell r="I4698" t="str">
            <v>Alternative - Commodity</v>
          </cell>
        </row>
        <row r="4699">
          <cell r="A4699" t="str">
            <v>USD_COMD_RI_10</v>
          </cell>
          <cell r="B4699" t="str">
            <v>Rough Rice CBOT 10</v>
          </cell>
          <cell r="C4699" t="str">
            <v>ALTERNATIVE:COMD:USD_COMD_RI_10</v>
          </cell>
          <cell r="D4699" t="str">
            <v>Commodity</v>
          </cell>
          <cell r="E4699" t="str">
            <v>Price Level</v>
          </cell>
          <cell r="F4699" t="str">
            <v>Alternative</v>
          </cell>
          <cell r="G4699" t="str">
            <v>Other</v>
          </cell>
          <cell r="H4699" t="str">
            <v>ALTS</v>
          </cell>
          <cell r="I4699" t="str">
            <v>Alternative - Commodity</v>
          </cell>
        </row>
        <row r="4700">
          <cell r="A4700" t="str">
            <v>USD_COMD_RI_11</v>
          </cell>
          <cell r="B4700" t="str">
            <v>Rough Rice CBOT 11</v>
          </cell>
          <cell r="C4700" t="str">
            <v>ALTERNATIVE:COMD:USD_COMD_RI_11</v>
          </cell>
          <cell r="D4700" t="str">
            <v>Commodity</v>
          </cell>
          <cell r="E4700" t="str">
            <v>Price Level</v>
          </cell>
          <cell r="F4700" t="str">
            <v>Alternative</v>
          </cell>
          <cell r="G4700" t="str">
            <v>Other</v>
          </cell>
          <cell r="H4700" t="str">
            <v>ALTS</v>
          </cell>
          <cell r="I4700" t="str">
            <v>Alternative - Commodity</v>
          </cell>
        </row>
        <row r="4701">
          <cell r="A4701" t="str">
            <v>USD_COMD_RI_12</v>
          </cell>
          <cell r="B4701" t="str">
            <v>Rough Rice CBOT 12</v>
          </cell>
          <cell r="C4701" t="str">
            <v>ALTERNATIVE:COMD:USD_COMD_RI_12</v>
          </cell>
          <cell r="D4701" t="str">
            <v>Commodity</v>
          </cell>
          <cell r="E4701" t="str">
            <v>Price Level</v>
          </cell>
          <cell r="F4701" t="str">
            <v>Alternative</v>
          </cell>
          <cell r="G4701" t="str">
            <v>Other</v>
          </cell>
          <cell r="H4701" t="str">
            <v>ALTS</v>
          </cell>
          <cell r="I4701" t="str">
            <v>Alternative - Commodity</v>
          </cell>
        </row>
        <row r="4702">
          <cell r="A4702" t="str">
            <v>USD_COMD_S_2</v>
          </cell>
          <cell r="B4702" t="str">
            <v>Soybeans CBOT 2</v>
          </cell>
          <cell r="C4702" t="str">
            <v>ALTERNATIVE:COMD:USD_COMD_S_2</v>
          </cell>
          <cell r="D4702" t="str">
            <v>Commodity</v>
          </cell>
          <cell r="E4702" t="str">
            <v>Price Level</v>
          </cell>
          <cell r="F4702" t="str">
            <v>Alternative</v>
          </cell>
          <cell r="G4702" t="str">
            <v>Other</v>
          </cell>
          <cell r="H4702" t="str">
            <v>ALTS</v>
          </cell>
          <cell r="I4702" t="str">
            <v>Alternative - Commodity</v>
          </cell>
        </row>
        <row r="4703">
          <cell r="A4703" t="str">
            <v>USD_COMD_S_4</v>
          </cell>
          <cell r="B4703" t="str">
            <v>Soybeans CBOT 4</v>
          </cell>
          <cell r="C4703" t="str">
            <v>ALTERNATIVE:COMD:USD_COMD_S_4</v>
          </cell>
          <cell r="D4703" t="str">
            <v>Commodity</v>
          </cell>
          <cell r="E4703" t="str">
            <v>Price Level</v>
          </cell>
          <cell r="F4703" t="str">
            <v>Alternative</v>
          </cell>
          <cell r="G4703" t="str">
            <v>Other</v>
          </cell>
          <cell r="H4703" t="str">
            <v>ALTS</v>
          </cell>
          <cell r="I4703" t="str">
            <v>Alternative - Commodity</v>
          </cell>
        </row>
        <row r="4704">
          <cell r="A4704" t="str">
            <v>USD_COMD_S_6</v>
          </cell>
          <cell r="B4704" t="str">
            <v>Soybeans CBOT 6</v>
          </cell>
          <cell r="C4704" t="str">
            <v>ALTERNATIVE:COMD:USD_COMD_S_6</v>
          </cell>
          <cell r="D4704" t="str">
            <v>Commodity</v>
          </cell>
          <cell r="E4704" t="str">
            <v>Price Level</v>
          </cell>
          <cell r="F4704" t="str">
            <v>Alternative</v>
          </cell>
          <cell r="G4704" t="str">
            <v>Other</v>
          </cell>
          <cell r="H4704" t="str">
            <v>ALTS</v>
          </cell>
          <cell r="I4704" t="str">
            <v>Alternative - Commodity</v>
          </cell>
        </row>
        <row r="4705">
          <cell r="A4705" t="str">
            <v>USD_COMD_S_7</v>
          </cell>
          <cell r="B4705" t="str">
            <v>Soybeans CBOT 7</v>
          </cell>
          <cell r="C4705" t="str">
            <v>ALTERNATIVE:COMD:USD_COMD_S_7</v>
          </cell>
          <cell r="D4705" t="str">
            <v>Commodity</v>
          </cell>
          <cell r="E4705" t="str">
            <v>Price Level</v>
          </cell>
          <cell r="F4705" t="str">
            <v>Alternative</v>
          </cell>
          <cell r="G4705" t="str">
            <v>Other</v>
          </cell>
          <cell r="H4705" t="str">
            <v>ALTS</v>
          </cell>
          <cell r="I4705" t="str">
            <v>Alternative - Commodity</v>
          </cell>
        </row>
        <row r="4706">
          <cell r="A4706" t="str">
            <v>USD_COMD_S_8</v>
          </cell>
          <cell r="B4706" t="str">
            <v>Soybeans CBOT 8</v>
          </cell>
          <cell r="C4706" t="str">
            <v>ALTERNATIVE:COMD:USD_COMD_S_8</v>
          </cell>
          <cell r="D4706" t="str">
            <v>Commodity</v>
          </cell>
          <cell r="E4706" t="str">
            <v>Price Level</v>
          </cell>
          <cell r="F4706" t="str">
            <v>Alternative</v>
          </cell>
          <cell r="G4706" t="str">
            <v>Other</v>
          </cell>
          <cell r="H4706" t="str">
            <v>ALTS</v>
          </cell>
          <cell r="I4706" t="str">
            <v>Alternative - Commodity</v>
          </cell>
        </row>
        <row r="4707">
          <cell r="A4707" t="str">
            <v>USD_COMD_S_9</v>
          </cell>
          <cell r="B4707" t="str">
            <v>Soybeans CBOT 9</v>
          </cell>
          <cell r="C4707" t="str">
            <v>ALTERNATIVE:COMD:USD_COMD_S_9</v>
          </cell>
          <cell r="D4707" t="str">
            <v>Commodity</v>
          </cell>
          <cell r="E4707" t="str">
            <v>Price Level</v>
          </cell>
          <cell r="F4707" t="str">
            <v>Alternative</v>
          </cell>
          <cell r="G4707" t="str">
            <v>Other</v>
          </cell>
          <cell r="H4707" t="str">
            <v>ALTS</v>
          </cell>
          <cell r="I4707" t="str">
            <v>Alternative - Commodity</v>
          </cell>
        </row>
        <row r="4708">
          <cell r="A4708" t="str">
            <v>USD_COMD_S_10</v>
          </cell>
          <cell r="B4708" t="str">
            <v>Soybeans CBOT 10</v>
          </cell>
          <cell r="C4708" t="str">
            <v>ALTERNATIVE:COMD:USD_COMD_S_10</v>
          </cell>
          <cell r="D4708" t="str">
            <v>Commodity</v>
          </cell>
          <cell r="E4708" t="str">
            <v>Price Level</v>
          </cell>
          <cell r="F4708" t="str">
            <v>Alternative</v>
          </cell>
          <cell r="G4708" t="str">
            <v>Other</v>
          </cell>
          <cell r="H4708" t="str">
            <v>ALTS</v>
          </cell>
          <cell r="I4708" t="str">
            <v>Alternative - Commodity</v>
          </cell>
        </row>
        <row r="4709">
          <cell r="A4709" t="str">
            <v>USD_COMD_S_11</v>
          </cell>
          <cell r="B4709" t="str">
            <v>Soybeans CBOT 11</v>
          </cell>
          <cell r="C4709" t="str">
            <v>ALTERNATIVE:COMD:USD_COMD_S_11</v>
          </cell>
          <cell r="D4709" t="str">
            <v>Commodity</v>
          </cell>
          <cell r="E4709" t="str">
            <v>Price Level</v>
          </cell>
          <cell r="F4709" t="str">
            <v>Alternative</v>
          </cell>
          <cell r="G4709" t="str">
            <v>Other</v>
          </cell>
          <cell r="H4709" t="str">
            <v>ALTS</v>
          </cell>
          <cell r="I4709" t="str">
            <v>Alternative - Commodity</v>
          </cell>
        </row>
        <row r="4710">
          <cell r="A4710" t="str">
            <v>USD_COMD_S_12</v>
          </cell>
          <cell r="B4710" t="str">
            <v>Soybeans CBOT 12</v>
          </cell>
          <cell r="C4710" t="str">
            <v>ALTERNATIVE:COMD:USD_COMD_S_12</v>
          </cell>
          <cell r="D4710" t="str">
            <v>Commodity</v>
          </cell>
          <cell r="E4710" t="str">
            <v>Price Level</v>
          </cell>
          <cell r="F4710" t="str">
            <v>Alternative</v>
          </cell>
          <cell r="G4710" t="str">
            <v>Other</v>
          </cell>
          <cell r="H4710" t="str">
            <v>ALTS</v>
          </cell>
          <cell r="I4710" t="str">
            <v>Alternative - Commodity</v>
          </cell>
        </row>
        <row r="4711">
          <cell r="A4711" t="str">
            <v>USD_COMD_SB_2</v>
          </cell>
          <cell r="B4711" t="str">
            <v>Sugar NYBOT 2</v>
          </cell>
          <cell r="C4711" t="str">
            <v>ALTERNATIVE:COMD:USD_COMD_SB_2</v>
          </cell>
          <cell r="D4711" t="str">
            <v>Commodity</v>
          </cell>
          <cell r="E4711" t="str">
            <v>Price Level</v>
          </cell>
          <cell r="F4711" t="str">
            <v>Alternative</v>
          </cell>
          <cell r="G4711" t="str">
            <v>Other</v>
          </cell>
          <cell r="H4711" t="str">
            <v>ALTS</v>
          </cell>
          <cell r="I4711" t="str">
            <v>Alternative - Commodity</v>
          </cell>
        </row>
        <row r="4712">
          <cell r="A4712" t="str">
            <v>USD_COMD_SB_4</v>
          </cell>
          <cell r="B4712" t="str">
            <v>Sugar NYBOT 4</v>
          </cell>
          <cell r="C4712" t="str">
            <v>ALTERNATIVE:COMD:USD_COMD_SB_4</v>
          </cell>
          <cell r="D4712" t="str">
            <v>Commodity</v>
          </cell>
          <cell r="E4712" t="str">
            <v>Price Level</v>
          </cell>
          <cell r="F4712" t="str">
            <v>Alternative</v>
          </cell>
          <cell r="G4712" t="str">
            <v>Other</v>
          </cell>
          <cell r="H4712" t="str">
            <v>ALTS</v>
          </cell>
          <cell r="I4712" t="str">
            <v>Alternative - Commodity</v>
          </cell>
        </row>
        <row r="4713">
          <cell r="A4713" t="str">
            <v>USD_COMD_SB_6</v>
          </cell>
          <cell r="B4713" t="str">
            <v>Sugar NYBOT 6</v>
          </cell>
          <cell r="C4713" t="str">
            <v>ALTERNATIVE:COMD:USD_COMD_SB_6</v>
          </cell>
          <cell r="D4713" t="str">
            <v>Commodity</v>
          </cell>
          <cell r="E4713" t="str">
            <v>Price Level</v>
          </cell>
          <cell r="F4713" t="str">
            <v>Alternative</v>
          </cell>
          <cell r="G4713" t="str">
            <v>Other</v>
          </cell>
          <cell r="H4713" t="str">
            <v>ALTS</v>
          </cell>
          <cell r="I4713" t="str">
            <v>Alternative - Commodity</v>
          </cell>
        </row>
        <row r="4714">
          <cell r="A4714" t="str">
            <v>USD_COMD_SB_7</v>
          </cell>
          <cell r="B4714" t="str">
            <v>Sugar NYBOT 7</v>
          </cell>
          <cell r="C4714" t="str">
            <v>ALTERNATIVE:COMD:USD_COMD_SB_7</v>
          </cell>
          <cell r="D4714" t="str">
            <v>Commodity</v>
          </cell>
          <cell r="E4714" t="str">
            <v>Price Level</v>
          </cell>
          <cell r="F4714" t="str">
            <v>Alternative</v>
          </cell>
          <cell r="G4714" t="str">
            <v>Other</v>
          </cell>
          <cell r="H4714" t="str">
            <v>ALTS</v>
          </cell>
          <cell r="I4714" t="str">
            <v>Alternative - Commodity</v>
          </cell>
        </row>
        <row r="4715">
          <cell r="A4715" t="str">
            <v>USD_COMD_SB_8</v>
          </cell>
          <cell r="B4715" t="str">
            <v>Sugar NYBOT 8</v>
          </cell>
          <cell r="C4715" t="str">
            <v>ALTERNATIVE:COMD:USD_COMD_SB_8</v>
          </cell>
          <cell r="D4715" t="str">
            <v>Commodity</v>
          </cell>
          <cell r="E4715" t="str">
            <v>Price Level</v>
          </cell>
          <cell r="F4715" t="str">
            <v>Alternative</v>
          </cell>
          <cell r="G4715" t="str">
            <v>Other</v>
          </cell>
          <cell r="H4715" t="str">
            <v>ALTS</v>
          </cell>
          <cell r="I4715" t="str">
            <v>Alternative - Commodity</v>
          </cell>
        </row>
        <row r="4716">
          <cell r="A4716" t="str">
            <v>USD_COMD_SB_9</v>
          </cell>
          <cell r="B4716" t="str">
            <v>Sugar NYBOT 9</v>
          </cell>
          <cell r="C4716" t="str">
            <v>ALTERNATIVE:COMD:USD_COMD_SB_9</v>
          </cell>
          <cell r="D4716" t="str">
            <v>Commodity</v>
          </cell>
          <cell r="E4716" t="str">
            <v>Price Level</v>
          </cell>
          <cell r="F4716" t="str">
            <v>Alternative</v>
          </cell>
          <cell r="G4716" t="str">
            <v>Other</v>
          </cell>
          <cell r="H4716" t="str">
            <v>ALTS</v>
          </cell>
          <cell r="I4716" t="str">
            <v>Alternative - Commodity</v>
          </cell>
        </row>
        <row r="4717">
          <cell r="A4717" t="str">
            <v>USD_COMD_SB_10</v>
          </cell>
          <cell r="B4717" t="str">
            <v>Sugar NYBOT 10</v>
          </cell>
          <cell r="C4717" t="str">
            <v>ALTERNATIVE:COMD:USD_COMD_SB_10</v>
          </cell>
          <cell r="D4717" t="str">
            <v>Commodity</v>
          </cell>
          <cell r="E4717" t="str">
            <v>Price Level</v>
          </cell>
          <cell r="F4717" t="str">
            <v>Alternative</v>
          </cell>
          <cell r="G4717" t="str">
            <v>Other</v>
          </cell>
          <cell r="H4717" t="str">
            <v>ALTS</v>
          </cell>
          <cell r="I4717" t="str">
            <v>Alternative - Commodity</v>
          </cell>
        </row>
        <row r="4718">
          <cell r="A4718" t="str">
            <v>USD_COMD_SB_11</v>
          </cell>
          <cell r="B4718" t="str">
            <v>Sugar NYBOT 11</v>
          </cell>
          <cell r="C4718" t="str">
            <v>ALTERNATIVE:COMD:USD_COMD_SB_11</v>
          </cell>
          <cell r="D4718" t="str">
            <v>Commodity</v>
          </cell>
          <cell r="E4718" t="str">
            <v>Price Level</v>
          </cell>
          <cell r="F4718" t="str">
            <v>Alternative</v>
          </cell>
          <cell r="G4718" t="str">
            <v>Other</v>
          </cell>
          <cell r="H4718" t="str">
            <v>ALTS</v>
          </cell>
          <cell r="I4718" t="str">
            <v>Alternative - Commodity</v>
          </cell>
        </row>
        <row r="4719">
          <cell r="A4719" t="str">
            <v>USD_COMD_SB_12</v>
          </cell>
          <cell r="B4719" t="str">
            <v>Sugar NYBOT 12</v>
          </cell>
          <cell r="C4719" t="str">
            <v>ALTERNATIVE:COMD:USD_COMD_SB_12</v>
          </cell>
          <cell r="D4719" t="str">
            <v>Commodity</v>
          </cell>
          <cell r="E4719" t="str">
            <v>Price Level</v>
          </cell>
          <cell r="F4719" t="str">
            <v>Alternative</v>
          </cell>
          <cell r="G4719" t="str">
            <v>Other</v>
          </cell>
          <cell r="H4719" t="str">
            <v>ALTS</v>
          </cell>
          <cell r="I4719" t="str">
            <v>Alternative - Commodity</v>
          </cell>
        </row>
        <row r="4720">
          <cell r="A4720" t="str">
            <v>USD_COMD_SI_2</v>
          </cell>
          <cell r="B4720" t="str">
            <v>Silver COMEX 2</v>
          </cell>
          <cell r="C4720" t="str">
            <v>ALTERNATIVE:COMD:USD_COMD_SI_2</v>
          </cell>
          <cell r="D4720" t="str">
            <v>Commodity</v>
          </cell>
          <cell r="E4720" t="str">
            <v>Price Level</v>
          </cell>
          <cell r="F4720" t="str">
            <v>Alternative</v>
          </cell>
          <cell r="G4720" t="str">
            <v>Other</v>
          </cell>
          <cell r="H4720" t="str">
            <v>ALTS</v>
          </cell>
          <cell r="I4720" t="str">
            <v>Alternative - Commodity</v>
          </cell>
        </row>
        <row r="4721">
          <cell r="A4721" t="str">
            <v>USD_COMD_SI_4</v>
          </cell>
          <cell r="B4721" t="str">
            <v>Silver COMEX 4</v>
          </cell>
          <cell r="C4721" t="str">
            <v>ALTERNATIVE:COMD:USD_COMD_SI_4</v>
          </cell>
          <cell r="D4721" t="str">
            <v>Commodity</v>
          </cell>
          <cell r="E4721" t="str">
            <v>Price Level</v>
          </cell>
          <cell r="F4721" t="str">
            <v>Alternative</v>
          </cell>
          <cell r="G4721" t="str">
            <v>Other</v>
          </cell>
          <cell r="H4721" t="str">
            <v>ALTS</v>
          </cell>
          <cell r="I4721" t="str">
            <v>Alternative - Commodity</v>
          </cell>
        </row>
        <row r="4722">
          <cell r="A4722" t="str">
            <v>USD_COMD_SI_6</v>
          </cell>
          <cell r="B4722" t="str">
            <v>Silver COMEX 6</v>
          </cell>
          <cell r="C4722" t="str">
            <v>ALTERNATIVE:COMD:USD_COMD_SI_6</v>
          </cell>
          <cell r="D4722" t="str">
            <v>Commodity</v>
          </cell>
          <cell r="E4722" t="str">
            <v>Price Level</v>
          </cell>
          <cell r="F4722" t="str">
            <v>Alternative</v>
          </cell>
          <cell r="G4722" t="str">
            <v>Other</v>
          </cell>
          <cell r="H4722" t="str">
            <v>ALTS</v>
          </cell>
          <cell r="I4722" t="str">
            <v>Alternative - Commodity</v>
          </cell>
        </row>
        <row r="4723">
          <cell r="A4723" t="str">
            <v>USD_COMD_SI_7</v>
          </cell>
          <cell r="B4723" t="str">
            <v>Silver COMEX 7</v>
          </cell>
          <cell r="C4723" t="str">
            <v>ALTERNATIVE:COMD:USD_COMD_SI_7</v>
          </cell>
          <cell r="D4723" t="str">
            <v>Commodity</v>
          </cell>
          <cell r="E4723" t="str">
            <v>Price Level</v>
          </cell>
          <cell r="F4723" t="str">
            <v>Alternative</v>
          </cell>
          <cell r="G4723" t="str">
            <v>Other</v>
          </cell>
          <cell r="H4723" t="str">
            <v>ALTS</v>
          </cell>
          <cell r="I4723" t="str">
            <v>Alternative - Commodity</v>
          </cell>
        </row>
        <row r="4724">
          <cell r="A4724" t="str">
            <v>USD_COMD_SI_8</v>
          </cell>
          <cell r="B4724" t="str">
            <v>Silver COMEX 8</v>
          </cell>
          <cell r="C4724" t="str">
            <v>ALTERNATIVE:COMD:USD_COMD_SI_8</v>
          </cell>
          <cell r="D4724" t="str">
            <v>Commodity</v>
          </cell>
          <cell r="E4724" t="str">
            <v>Price Level</v>
          </cell>
          <cell r="F4724" t="str">
            <v>Alternative</v>
          </cell>
          <cell r="G4724" t="str">
            <v>Other</v>
          </cell>
          <cell r="H4724" t="str">
            <v>ALTS</v>
          </cell>
          <cell r="I4724" t="str">
            <v>Alternative - Commodity</v>
          </cell>
        </row>
        <row r="4725">
          <cell r="A4725" t="str">
            <v>USD_COMD_SI_9</v>
          </cell>
          <cell r="B4725" t="str">
            <v>Silver COMEX 9</v>
          </cell>
          <cell r="C4725" t="str">
            <v>ALTERNATIVE:COMD:USD_COMD_SI_9</v>
          </cell>
          <cell r="D4725" t="str">
            <v>Commodity</v>
          </cell>
          <cell r="E4725" t="str">
            <v>Price Level</v>
          </cell>
          <cell r="F4725" t="str">
            <v>Alternative</v>
          </cell>
          <cell r="G4725" t="str">
            <v>Other</v>
          </cell>
          <cell r="H4725" t="str">
            <v>ALTS</v>
          </cell>
          <cell r="I4725" t="str">
            <v>Alternative - Commodity</v>
          </cell>
        </row>
        <row r="4726">
          <cell r="A4726" t="str">
            <v>USD_COMD_SI_10</v>
          </cell>
          <cell r="B4726" t="str">
            <v>Silver COMEX 10</v>
          </cell>
          <cell r="C4726" t="str">
            <v>ALTERNATIVE:COMD:USD_COMD_SI_10</v>
          </cell>
          <cell r="D4726" t="str">
            <v>Commodity</v>
          </cell>
          <cell r="E4726" t="str">
            <v>Price Level</v>
          </cell>
          <cell r="F4726" t="str">
            <v>Alternative</v>
          </cell>
          <cell r="G4726" t="str">
            <v>Other</v>
          </cell>
          <cell r="H4726" t="str">
            <v>ALTS</v>
          </cell>
          <cell r="I4726" t="str">
            <v>Alternative - Commodity</v>
          </cell>
        </row>
        <row r="4727">
          <cell r="A4727" t="str">
            <v>USD_COMD_SI_11</v>
          </cell>
          <cell r="B4727" t="str">
            <v>Silver COMEX 11</v>
          </cell>
          <cell r="C4727" t="str">
            <v>ALTERNATIVE:COMD:USD_COMD_SI_11</v>
          </cell>
          <cell r="D4727" t="str">
            <v>Commodity</v>
          </cell>
          <cell r="E4727" t="str">
            <v>Price Level</v>
          </cell>
          <cell r="F4727" t="str">
            <v>Alternative</v>
          </cell>
          <cell r="G4727" t="str">
            <v>Other</v>
          </cell>
          <cell r="H4727" t="str">
            <v>ALTS</v>
          </cell>
          <cell r="I4727" t="str">
            <v>Alternative - Commodity</v>
          </cell>
        </row>
        <row r="4728">
          <cell r="A4728" t="str">
            <v>USD_COMD_SI_12</v>
          </cell>
          <cell r="B4728" t="str">
            <v>Silver COMEX 12</v>
          </cell>
          <cell r="C4728" t="str">
            <v>ALTERNATIVE:COMD:USD_COMD_SI_12</v>
          </cell>
          <cell r="D4728" t="str">
            <v>Commodity</v>
          </cell>
          <cell r="E4728" t="str">
            <v>Price Level</v>
          </cell>
          <cell r="F4728" t="str">
            <v>Alternative</v>
          </cell>
          <cell r="G4728" t="str">
            <v>Other</v>
          </cell>
          <cell r="H4728" t="str">
            <v>ALTS</v>
          </cell>
          <cell r="I4728" t="str">
            <v>Alternative - Commodity</v>
          </cell>
        </row>
        <row r="4729">
          <cell r="A4729" t="str">
            <v>USD_COMD_S2_1</v>
          </cell>
          <cell r="B4729" t="str">
            <v>SOYBEAN MEAL CBOT 1</v>
          </cell>
          <cell r="C4729" t="str">
            <v>ALTERNATIVE:COMD:USD_COMD_S2_1</v>
          </cell>
          <cell r="D4729" t="str">
            <v>Commodity</v>
          </cell>
          <cell r="E4729" t="str">
            <v>Price Level</v>
          </cell>
          <cell r="F4729" t="str">
            <v>Alternative</v>
          </cell>
          <cell r="G4729" t="str">
            <v>Other</v>
          </cell>
          <cell r="H4729" t="str">
            <v>ALTS</v>
          </cell>
          <cell r="I4729" t="str">
            <v>Alternative - Commodity</v>
          </cell>
        </row>
        <row r="4730">
          <cell r="A4730" t="str">
            <v>USD_COMD_S2_2</v>
          </cell>
          <cell r="B4730" t="str">
            <v>SOYBEAN MEAL CBOT 2</v>
          </cell>
          <cell r="C4730" t="str">
            <v>ALTERNATIVE:COMD:USD_COMD_S2_2</v>
          </cell>
          <cell r="D4730" t="str">
            <v>Commodity</v>
          </cell>
          <cell r="E4730" t="str">
            <v>Price Level</v>
          </cell>
          <cell r="F4730" t="str">
            <v>Alternative</v>
          </cell>
          <cell r="G4730" t="str">
            <v>Other</v>
          </cell>
          <cell r="H4730" t="str">
            <v>ALTS</v>
          </cell>
          <cell r="I4730" t="str">
            <v>Alternative - Commodity</v>
          </cell>
        </row>
        <row r="4731">
          <cell r="A4731" t="str">
            <v>USD_COMD_S2_3</v>
          </cell>
          <cell r="B4731" t="str">
            <v>SOYBEAN MEAL CBOT 3</v>
          </cell>
          <cell r="C4731" t="str">
            <v>ALTERNATIVE:COMD:USD_COMD_S2_3</v>
          </cell>
          <cell r="D4731" t="str">
            <v>Commodity</v>
          </cell>
          <cell r="E4731" t="str">
            <v>Price Level</v>
          </cell>
          <cell r="F4731" t="str">
            <v>Alternative</v>
          </cell>
          <cell r="G4731" t="str">
            <v>Other</v>
          </cell>
          <cell r="H4731" t="str">
            <v>ALTS</v>
          </cell>
          <cell r="I4731" t="str">
            <v>Alternative - Commodity</v>
          </cell>
        </row>
        <row r="4732">
          <cell r="A4732" t="str">
            <v>USD_COMD_S2_4</v>
          </cell>
          <cell r="B4732" t="str">
            <v>SOYBEAN MEAL CBOT 4</v>
          </cell>
          <cell r="C4732" t="str">
            <v>ALTERNATIVE:COMD:USD_COMD_S2_4</v>
          </cell>
          <cell r="D4732" t="str">
            <v>Commodity</v>
          </cell>
          <cell r="E4732" t="str">
            <v>Price Level</v>
          </cell>
          <cell r="F4732" t="str">
            <v>Alternative</v>
          </cell>
          <cell r="G4732" t="str">
            <v>Other</v>
          </cell>
          <cell r="H4732" t="str">
            <v>ALTS</v>
          </cell>
          <cell r="I4732" t="str">
            <v>Alternative - Commodity</v>
          </cell>
        </row>
        <row r="4733">
          <cell r="A4733" t="str">
            <v>USD_COMD_S2_5</v>
          </cell>
          <cell r="B4733" t="str">
            <v>SOYBEAN MEAL CBOT 5</v>
          </cell>
          <cell r="C4733" t="str">
            <v>ALTERNATIVE:COMD:USD_COMD_S2_5</v>
          </cell>
          <cell r="D4733" t="str">
            <v>Commodity</v>
          </cell>
          <cell r="E4733" t="str">
            <v>Price Level</v>
          </cell>
          <cell r="F4733" t="str">
            <v>Alternative</v>
          </cell>
          <cell r="G4733" t="str">
            <v>Other</v>
          </cell>
          <cell r="H4733" t="str">
            <v>ALTS</v>
          </cell>
          <cell r="I4733" t="str">
            <v>Alternative - Commodity</v>
          </cell>
        </row>
        <row r="4734">
          <cell r="A4734" t="str">
            <v>USD_COMD_S2_6</v>
          </cell>
          <cell r="B4734" t="str">
            <v>SOYBEAN MEAL CBOT 6</v>
          </cell>
          <cell r="C4734" t="str">
            <v>ALTERNATIVE:COMD:USD_COMD_S2_6</v>
          </cell>
          <cell r="D4734" t="str">
            <v>Commodity</v>
          </cell>
          <cell r="E4734" t="str">
            <v>Price Level</v>
          </cell>
          <cell r="F4734" t="str">
            <v>Alternative</v>
          </cell>
          <cell r="G4734" t="str">
            <v>Other</v>
          </cell>
          <cell r="H4734" t="str">
            <v>ALTS</v>
          </cell>
          <cell r="I4734" t="str">
            <v>Alternative - Commodity</v>
          </cell>
        </row>
        <row r="4735">
          <cell r="A4735" t="str">
            <v>USD_COMD_S2_7</v>
          </cell>
          <cell r="B4735" t="str">
            <v>SOYBEAN MEAL CBOT 7</v>
          </cell>
          <cell r="C4735" t="str">
            <v>ALTERNATIVE:COMD:USD_COMD_S2_7</v>
          </cell>
          <cell r="D4735" t="str">
            <v>Commodity</v>
          </cell>
          <cell r="E4735" t="str">
            <v>Price Level</v>
          </cell>
          <cell r="F4735" t="str">
            <v>Alternative</v>
          </cell>
          <cell r="G4735" t="str">
            <v>Other</v>
          </cell>
          <cell r="H4735" t="str">
            <v>ALTS</v>
          </cell>
          <cell r="I4735" t="str">
            <v>Alternative - Commodity</v>
          </cell>
        </row>
        <row r="4736">
          <cell r="A4736" t="str">
            <v>USD_COMD_S2_8</v>
          </cell>
          <cell r="B4736" t="str">
            <v>SOYBEAN MEAL CBOT 8</v>
          </cell>
          <cell r="C4736" t="str">
            <v>ALTERNATIVE:COMD:USD_COMD_S2_8</v>
          </cell>
          <cell r="D4736" t="str">
            <v>Commodity</v>
          </cell>
          <cell r="E4736" t="str">
            <v>Price Level</v>
          </cell>
          <cell r="F4736" t="str">
            <v>Alternative</v>
          </cell>
          <cell r="G4736" t="str">
            <v>Other</v>
          </cell>
          <cell r="H4736" t="str">
            <v>ALTS</v>
          </cell>
          <cell r="I4736" t="str">
            <v>Alternative - Commodity</v>
          </cell>
        </row>
        <row r="4737">
          <cell r="A4737" t="str">
            <v>USD_COMD_S2_9</v>
          </cell>
          <cell r="B4737" t="str">
            <v>SOYBEAN MEAL CBOT 9</v>
          </cell>
          <cell r="C4737" t="str">
            <v>ALTERNATIVE:COMD:USD_COMD_S2_9</v>
          </cell>
          <cell r="D4737" t="str">
            <v>Commodity</v>
          </cell>
          <cell r="E4737" t="str">
            <v>Price Level</v>
          </cell>
          <cell r="F4737" t="str">
            <v>Alternative</v>
          </cell>
          <cell r="G4737" t="str">
            <v>Other</v>
          </cell>
          <cell r="H4737" t="str">
            <v>ALTS</v>
          </cell>
          <cell r="I4737" t="str">
            <v>Alternative - Commodity</v>
          </cell>
        </row>
        <row r="4738">
          <cell r="A4738" t="str">
            <v>USD_COMD_S2_10</v>
          </cell>
          <cell r="B4738" t="str">
            <v>SOYBEAN MEAL CBOT 10</v>
          </cell>
          <cell r="C4738" t="str">
            <v>ALTERNATIVE:COMD:USD_COMD_S2_10</v>
          </cell>
          <cell r="D4738" t="str">
            <v>Commodity</v>
          </cell>
          <cell r="E4738" t="str">
            <v>Price Level</v>
          </cell>
          <cell r="F4738" t="str">
            <v>Alternative</v>
          </cell>
          <cell r="G4738" t="str">
            <v>Other</v>
          </cell>
          <cell r="H4738" t="str">
            <v>ALTS</v>
          </cell>
          <cell r="I4738" t="str">
            <v>Alternative - Commodity</v>
          </cell>
        </row>
        <row r="4739">
          <cell r="A4739" t="str">
            <v>USD_COMD_S2_11</v>
          </cell>
          <cell r="B4739" t="str">
            <v>SOYBEAN MEAL CBOT 11</v>
          </cell>
          <cell r="C4739" t="str">
            <v>ALTERNATIVE:COMD:USD_COMD_S2_11</v>
          </cell>
          <cell r="D4739" t="str">
            <v>Commodity</v>
          </cell>
          <cell r="E4739" t="str">
            <v>Price Level</v>
          </cell>
          <cell r="F4739" t="str">
            <v>Alternative</v>
          </cell>
          <cell r="G4739" t="str">
            <v>Other</v>
          </cell>
          <cell r="H4739" t="str">
            <v>ALTS</v>
          </cell>
          <cell r="I4739" t="str">
            <v>Alternative - Commodity</v>
          </cell>
        </row>
        <row r="4740">
          <cell r="A4740" t="str">
            <v>USD_COMD_S2_12</v>
          </cell>
          <cell r="B4740" t="str">
            <v>SOYBEAN MEAL CBOT 12</v>
          </cell>
          <cell r="C4740" t="str">
            <v>ALTERNATIVE:COMD:USD_COMD_S2_12</v>
          </cell>
          <cell r="D4740" t="str">
            <v>Commodity</v>
          </cell>
          <cell r="E4740" t="str">
            <v>Price Level</v>
          </cell>
          <cell r="F4740" t="str">
            <v>Alternative</v>
          </cell>
          <cell r="G4740" t="str">
            <v>Other</v>
          </cell>
          <cell r="H4740" t="str">
            <v>ALTS</v>
          </cell>
          <cell r="I4740" t="str">
            <v>Alternative - Commodity</v>
          </cell>
        </row>
        <row r="4741">
          <cell r="A4741" t="str">
            <v>USD_COMD_W_2</v>
          </cell>
          <cell r="B4741" t="str">
            <v>Wheat CBOT 2</v>
          </cell>
          <cell r="C4741" t="str">
            <v>ALTERNATIVE:COMD:USD_COMD_W_2</v>
          </cell>
          <cell r="D4741" t="str">
            <v>Commodity</v>
          </cell>
          <cell r="E4741" t="str">
            <v>Price Level</v>
          </cell>
          <cell r="F4741" t="str">
            <v>Alternative</v>
          </cell>
          <cell r="G4741" t="str">
            <v>Other</v>
          </cell>
          <cell r="H4741" t="str">
            <v>ALTS</v>
          </cell>
          <cell r="I4741" t="str">
            <v>Alternative - Commodity</v>
          </cell>
        </row>
        <row r="4742">
          <cell r="A4742" t="str">
            <v>USD_COMD_W_4</v>
          </cell>
          <cell r="B4742" t="str">
            <v>Wheat CBOT 4</v>
          </cell>
          <cell r="C4742" t="str">
            <v>ALTERNATIVE:COMD:USD_COMD_W_4</v>
          </cell>
          <cell r="D4742" t="str">
            <v>Commodity</v>
          </cell>
          <cell r="E4742" t="str">
            <v>Price Level</v>
          </cell>
          <cell r="F4742" t="str">
            <v>Alternative</v>
          </cell>
          <cell r="G4742" t="str">
            <v>Other</v>
          </cell>
          <cell r="H4742" t="str">
            <v>ALTS</v>
          </cell>
          <cell r="I4742" t="str">
            <v>Alternative - Commodity</v>
          </cell>
        </row>
        <row r="4743">
          <cell r="A4743" t="str">
            <v>USD_COMD_W_6</v>
          </cell>
          <cell r="B4743" t="str">
            <v>Wheat CBOT 6</v>
          </cell>
          <cell r="C4743" t="str">
            <v>ALTERNATIVE:COMD:USD_COMD_W_6</v>
          </cell>
          <cell r="D4743" t="str">
            <v>Commodity</v>
          </cell>
          <cell r="E4743" t="str">
            <v>Price Level</v>
          </cell>
          <cell r="F4743" t="str">
            <v>Alternative</v>
          </cell>
          <cell r="G4743" t="str">
            <v>Other</v>
          </cell>
          <cell r="H4743" t="str">
            <v>ALTS</v>
          </cell>
          <cell r="I4743" t="str">
            <v>Alternative - Commodity</v>
          </cell>
        </row>
        <row r="4744">
          <cell r="A4744" t="str">
            <v>USD_COMD_W_7</v>
          </cell>
          <cell r="B4744" t="str">
            <v>Wheat CBOT 7</v>
          </cell>
          <cell r="C4744" t="str">
            <v>ALTERNATIVE:COMD:USD_COMD_W_7</v>
          </cell>
          <cell r="D4744" t="str">
            <v>Commodity</v>
          </cell>
          <cell r="E4744" t="str">
            <v>Price Level</v>
          </cell>
          <cell r="F4744" t="str">
            <v>Alternative</v>
          </cell>
          <cell r="G4744" t="str">
            <v>Other</v>
          </cell>
          <cell r="H4744" t="str">
            <v>ALTS</v>
          </cell>
          <cell r="I4744" t="str">
            <v>Alternative - Commodity</v>
          </cell>
        </row>
        <row r="4745">
          <cell r="A4745" t="str">
            <v>USD_COMD_W_8</v>
          </cell>
          <cell r="B4745" t="str">
            <v>Wheat CBOT 8</v>
          </cell>
          <cell r="C4745" t="str">
            <v>ALTERNATIVE:COMD:USD_COMD_W_8</v>
          </cell>
          <cell r="D4745" t="str">
            <v>Commodity</v>
          </cell>
          <cell r="E4745" t="str">
            <v>Price Level</v>
          </cell>
          <cell r="F4745" t="str">
            <v>Alternative</v>
          </cell>
          <cell r="G4745" t="str">
            <v>Other</v>
          </cell>
          <cell r="H4745" t="str">
            <v>ALTS</v>
          </cell>
          <cell r="I4745" t="str">
            <v>Alternative - Commodity</v>
          </cell>
        </row>
        <row r="4746">
          <cell r="A4746" t="str">
            <v>USD_COMD_W_9</v>
          </cell>
          <cell r="B4746" t="str">
            <v>Wheat CBOT 9</v>
          </cell>
          <cell r="C4746" t="str">
            <v>ALTERNATIVE:COMD:USD_COMD_W_9</v>
          </cell>
          <cell r="D4746" t="str">
            <v>Commodity</v>
          </cell>
          <cell r="E4746" t="str">
            <v>Price Level</v>
          </cell>
          <cell r="F4746" t="str">
            <v>Alternative</v>
          </cell>
          <cell r="G4746" t="str">
            <v>Other</v>
          </cell>
          <cell r="H4746" t="str">
            <v>ALTS</v>
          </cell>
          <cell r="I4746" t="str">
            <v>Alternative - Commodity</v>
          </cell>
        </row>
        <row r="4747">
          <cell r="A4747" t="str">
            <v>USD_COMD_W_10</v>
          </cell>
          <cell r="B4747" t="str">
            <v>Wheat CBOT 10</v>
          </cell>
          <cell r="C4747" t="str">
            <v>ALTERNATIVE:COMD:USD_COMD_W_10</v>
          </cell>
          <cell r="D4747" t="str">
            <v>Commodity</v>
          </cell>
          <cell r="E4747" t="str">
            <v>Price Level</v>
          </cell>
          <cell r="F4747" t="str">
            <v>Alternative</v>
          </cell>
          <cell r="G4747" t="str">
            <v>Other</v>
          </cell>
          <cell r="H4747" t="str">
            <v>ALTS</v>
          </cell>
          <cell r="I4747" t="str">
            <v>Alternative - Commodity</v>
          </cell>
        </row>
        <row r="4748">
          <cell r="A4748" t="str">
            <v>USD_COMD_W_11</v>
          </cell>
          <cell r="B4748" t="str">
            <v>Wheat CBOT 11</v>
          </cell>
          <cell r="C4748" t="str">
            <v>ALTERNATIVE:COMD:USD_COMD_W_11</v>
          </cell>
          <cell r="D4748" t="str">
            <v>Commodity</v>
          </cell>
          <cell r="E4748" t="str">
            <v>Price Level</v>
          </cell>
          <cell r="F4748" t="str">
            <v>Alternative</v>
          </cell>
          <cell r="G4748" t="str">
            <v>Other</v>
          </cell>
          <cell r="H4748" t="str">
            <v>ALTS</v>
          </cell>
          <cell r="I4748" t="str">
            <v>Alternative - Commodity</v>
          </cell>
        </row>
        <row r="4749">
          <cell r="A4749" t="str">
            <v>USD_COMD_W_12</v>
          </cell>
          <cell r="B4749" t="str">
            <v>Wheat CBOT 12</v>
          </cell>
          <cell r="C4749" t="str">
            <v>ALTERNATIVE:COMD:USD_COMD_W_12</v>
          </cell>
          <cell r="D4749" t="str">
            <v>Commodity</v>
          </cell>
          <cell r="E4749" t="str">
            <v>Price Level</v>
          </cell>
          <cell r="F4749" t="str">
            <v>Alternative</v>
          </cell>
          <cell r="G4749" t="str">
            <v>Other</v>
          </cell>
          <cell r="H4749" t="str">
            <v>ALTS</v>
          </cell>
          <cell r="I4749" t="str">
            <v>Alternative - Commodity</v>
          </cell>
        </row>
        <row r="4750">
          <cell r="A4750" t="str">
            <v>USD_COMD_XB_2</v>
          </cell>
          <cell r="B4750" t="str">
            <v>Gasoline RBOB 2</v>
          </cell>
          <cell r="C4750" t="str">
            <v>ALTERNATIVE:COMD:USD_COMD_XB_2</v>
          </cell>
          <cell r="D4750" t="str">
            <v>Commodity</v>
          </cell>
          <cell r="E4750" t="str">
            <v>Price Level</v>
          </cell>
          <cell r="F4750" t="str">
            <v>Alternative</v>
          </cell>
          <cell r="G4750" t="str">
            <v>Other</v>
          </cell>
          <cell r="H4750" t="str">
            <v>ALTS</v>
          </cell>
          <cell r="I4750" t="str">
            <v>Alternative - Commodity</v>
          </cell>
        </row>
        <row r="4751">
          <cell r="A4751" t="str">
            <v>USD_COMD_XB_4</v>
          </cell>
          <cell r="B4751" t="str">
            <v>Gasoline RBOB 4</v>
          </cell>
          <cell r="C4751" t="str">
            <v>ALTERNATIVE:COMD:USD_COMD_XB_4</v>
          </cell>
          <cell r="D4751" t="str">
            <v>Commodity</v>
          </cell>
          <cell r="E4751" t="str">
            <v>Price Level</v>
          </cell>
          <cell r="F4751" t="str">
            <v>Alternative</v>
          </cell>
          <cell r="G4751" t="str">
            <v>Other</v>
          </cell>
          <cell r="H4751" t="str">
            <v>ALTS</v>
          </cell>
          <cell r="I4751" t="str">
            <v>Alternative - Commodity</v>
          </cell>
        </row>
        <row r="4752">
          <cell r="A4752" t="str">
            <v>USD_COMD_XB_6</v>
          </cell>
          <cell r="B4752" t="str">
            <v>Gasoline RBOB 6</v>
          </cell>
          <cell r="C4752" t="str">
            <v>ALTERNATIVE:COMD:USD_COMD_XB_6</v>
          </cell>
          <cell r="D4752" t="str">
            <v>Commodity</v>
          </cell>
          <cell r="E4752" t="str">
            <v>Price Level</v>
          </cell>
          <cell r="F4752" t="str">
            <v>Alternative</v>
          </cell>
          <cell r="G4752" t="str">
            <v>Other</v>
          </cell>
          <cell r="H4752" t="str">
            <v>ALTS</v>
          </cell>
          <cell r="I4752" t="str">
            <v>Alternative - Commodity</v>
          </cell>
        </row>
        <row r="4753">
          <cell r="A4753" t="str">
            <v>USD_COMD_XB_7</v>
          </cell>
          <cell r="B4753" t="str">
            <v>Gasoline RBOB 7</v>
          </cell>
          <cell r="C4753" t="str">
            <v>ALTERNATIVE:COMD:USD_COMD_XB_7</v>
          </cell>
          <cell r="D4753" t="str">
            <v>Commodity</v>
          </cell>
          <cell r="E4753" t="str">
            <v>Price Level</v>
          </cell>
          <cell r="F4753" t="str">
            <v>Alternative</v>
          </cell>
          <cell r="G4753" t="str">
            <v>Other</v>
          </cell>
          <cell r="H4753" t="str">
            <v>ALTS</v>
          </cell>
          <cell r="I4753" t="str">
            <v>Alternative - Commodity</v>
          </cell>
        </row>
        <row r="4754">
          <cell r="A4754" t="str">
            <v>USD_COMD_XB_8</v>
          </cell>
          <cell r="B4754" t="str">
            <v>Gasoline RBOB 8</v>
          </cell>
          <cell r="C4754" t="str">
            <v>ALTERNATIVE:COMD:USD_COMD_XB_8</v>
          </cell>
          <cell r="D4754" t="str">
            <v>Commodity</v>
          </cell>
          <cell r="E4754" t="str">
            <v>Price Level</v>
          </cell>
          <cell r="F4754" t="str">
            <v>Alternative</v>
          </cell>
          <cell r="G4754" t="str">
            <v>Other</v>
          </cell>
          <cell r="H4754" t="str">
            <v>ALTS</v>
          </cell>
          <cell r="I4754" t="str">
            <v>Alternative - Commodity</v>
          </cell>
        </row>
        <row r="4755">
          <cell r="A4755" t="str">
            <v>USD_COMD_XB_9</v>
          </cell>
          <cell r="B4755" t="str">
            <v>Gasoline RBOB 9</v>
          </cell>
          <cell r="C4755" t="str">
            <v>ALTERNATIVE:COMD:USD_COMD_XB_9</v>
          </cell>
          <cell r="D4755" t="str">
            <v>Commodity</v>
          </cell>
          <cell r="E4755" t="str">
            <v>Price Level</v>
          </cell>
          <cell r="F4755" t="str">
            <v>Alternative</v>
          </cell>
          <cell r="G4755" t="str">
            <v>Other</v>
          </cell>
          <cell r="H4755" t="str">
            <v>ALTS</v>
          </cell>
          <cell r="I4755" t="str">
            <v>Alternative - Commodity</v>
          </cell>
        </row>
        <row r="4756">
          <cell r="A4756" t="str">
            <v>USD_COMD_XB_10</v>
          </cell>
          <cell r="B4756" t="str">
            <v>Gasoline RBOB 10</v>
          </cell>
          <cell r="C4756" t="str">
            <v>ALTERNATIVE:COMD:USD_COMD_XB_10</v>
          </cell>
          <cell r="D4756" t="str">
            <v>Commodity</v>
          </cell>
          <cell r="E4756" t="str">
            <v>Price Level</v>
          </cell>
          <cell r="F4756" t="str">
            <v>Alternative</v>
          </cell>
          <cell r="G4756" t="str">
            <v>Other</v>
          </cell>
          <cell r="H4756" t="str">
            <v>ALTS</v>
          </cell>
          <cell r="I4756" t="str">
            <v>Alternative - Commodity</v>
          </cell>
        </row>
        <row r="4757">
          <cell r="A4757" t="str">
            <v>USD_COMD_XB_11</v>
          </cell>
          <cell r="B4757" t="str">
            <v>Gasoline RBOB 11</v>
          </cell>
          <cell r="C4757" t="str">
            <v>ALTERNATIVE:COMD:USD_COMD_XB_11</v>
          </cell>
          <cell r="D4757" t="str">
            <v>Commodity</v>
          </cell>
          <cell r="E4757" t="str">
            <v>Price Level</v>
          </cell>
          <cell r="F4757" t="str">
            <v>Alternative</v>
          </cell>
          <cell r="G4757" t="str">
            <v>Other</v>
          </cell>
          <cell r="H4757" t="str">
            <v>ALTS</v>
          </cell>
          <cell r="I4757" t="str">
            <v>Alternative - Commodity</v>
          </cell>
        </row>
        <row r="4758">
          <cell r="A4758" t="str">
            <v>USD_COMD_XB_12</v>
          </cell>
          <cell r="B4758" t="str">
            <v>Gasoline RBOB 12</v>
          </cell>
          <cell r="C4758" t="str">
            <v>ALTERNATIVE:COMD:USD_COMD_XB_12</v>
          </cell>
          <cell r="D4758" t="str">
            <v>Commodity</v>
          </cell>
          <cell r="E4758" t="str">
            <v>Price Level</v>
          </cell>
          <cell r="F4758" t="str">
            <v>Alternative</v>
          </cell>
          <cell r="G4758" t="str">
            <v>Other</v>
          </cell>
          <cell r="H4758" t="str">
            <v>ALTS</v>
          </cell>
          <cell r="I4758" t="str">
            <v>Alternative - Commodity</v>
          </cell>
        </row>
        <row r="4759">
          <cell r="A4759" t="str">
            <v>EUR_COMD_IJ_2</v>
          </cell>
          <cell r="B4759" t="str">
            <v>Rapeseed LIFFE 2</v>
          </cell>
          <cell r="C4759" t="str">
            <v>ALTERNATIVE:COMD:EUR_COMD_IJ_2</v>
          </cell>
          <cell r="D4759" t="str">
            <v>Commodity</v>
          </cell>
          <cell r="E4759" t="str">
            <v>Price Level</v>
          </cell>
          <cell r="F4759" t="str">
            <v>Alternative</v>
          </cell>
          <cell r="G4759" t="str">
            <v>Other</v>
          </cell>
          <cell r="H4759" t="str">
            <v>ALTS</v>
          </cell>
          <cell r="I4759" t="str">
            <v>Alternative - Commodity</v>
          </cell>
        </row>
        <row r="4760">
          <cell r="A4760" t="str">
            <v>EUR_COMD_IJ_4</v>
          </cell>
          <cell r="B4760" t="str">
            <v>Rapeseed LIFFE 4</v>
          </cell>
          <cell r="C4760" t="str">
            <v>ALTERNATIVE:COMD:EUR_COMD_IJ_4</v>
          </cell>
          <cell r="D4760" t="str">
            <v>Commodity</v>
          </cell>
          <cell r="E4760" t="str">
            <v>Price Level</v>
          </cell>
          <cell r="F4760" t="str">
            <v>Alternative</v>
          </cell>
          <cell r="G4760" t="str">
            <v>Other</v>
          </cell>
          <cell r="H4760" t="str">
            <v>ALTS</v>
          </cell>
          <cell r="I4760" t="str">
            <v>Alternative - Commodity</v>
          </cell>
        </row>
        <row r="4761">
          <cell r="A4761" t="str">
            <v>EUR_COMD_IJ_6</v>
          </cell>
          <cell r="B4761" t="str">
            <v>Rapeseed LIFFE 6</v>
          </cell>
          <cell r="C4761" t="str">
            <v>ALTERNATIVE:COMD:EUR_COMD_IJ_6</v>
          </cell>
          <cell r="D4761" t="str">
            <v>Commodity</v>
          </cell>
          <cell r="E4761" t="str">
            <v>Price Level</v>
          </cell>
          <cell r="F4761" t="str">
            <v>Alternative</v>
          </cell>
          <cell r="G4761" t="str">
            <v>Other</v>
          </cell>
          <cell r="H4761" t="str">
            <v>ALTS</v>
          </cell>
          <cell r="I4761" t="str">
            <v>Alternative - Commodity</v>
          </cell>
        </row>
        <row r="4762">
          <cell r="A4762" t="str">
            <v>EUR_COMD_IJ_7</v>
          </cell>
          <cell r="B4762" t="str">
            <v>Rapeseed LIFFE 7</v>
          </cell>
          <cell r="C4762" t="str">
            <v>ALTERNATIVE:COMD:EUR_COMD_IJ_7</v>
          </cell>
          <cell r="D4762" t="str">
            <v>Commodity</v>
          </cell>
          <cell r="E4762" t="str">
            <v>Price Level</v>
          </cell>
          <cell r="F4762" t="str">
            <v>Alternative</v>
          </cell>
          <cell r="G4762" t="str">
            <v>Other</v>
          </cell>
          <cell r="H4762" t="str">
            <v>ALTS</v>
          </cell>
          <cell r="I4762" t="str">
            <v>Alternative - Commodity</v>
          </cell>
        </row>
        <row r="4763">
          <cell r="A4763" t="str">
            <v>EUR_COMD_IJ_8</v>
          </cell>
          <cell r="B4763" t="str">
            <v>Rapeseed LIFFE 8</v>
          </cell>
          <cell r="C4763" t="str">
            <v>ALTERNATIVE:COMD:EUR_COMD_IJ_8</v>
          </cell>
          <cell r="D4763" t="str">
            <v>Commodity</v>
          </cell>
          <cell r="E4763" t="str">
            <v>Price Level</v>
          </cell>
          <cell r="F4763" t="str">
            <v>Alternative</v>
          </cell>
          <cell r="G4763" t="str">
            <v>Other</v>
          </cell>
          <cell r="H4763" t="str">
            <v>ALTS</v>
          </cell>
          <cell r="I4763" t="str">
            <v>Alternative - Commodity</v>
          </cell>
        </row>
        <row r="4764">
          <cell r="A4764" t="str">
            <v>EUR_COMD_IJ_9</v>
          </cell>
          <cell r="B4764" t="str">
            <v>Rapeseed LIFFE 9</v>
          </cell>
          <cell r="C4764" t="str">
            <v>ALTERNATIVE:COMD:EUR_COMD_IJ_9</v>
          </cell>
          <cell r="D4764" t="str">
            <v>Commodity</v>
          </cell>
          <cell r="E4764" t="str">
            <v>Price Level</v>
          </cell>
          <cell r="F4764" t="str">
            <v>Alternative</v>
          </cell>
          <cell r="G4764" t="str">
            <v>Other</v>
          </cell>
          <cell r="H4764" t="str">
            <v>ALTS</v>
          </cell>
          <cell r="I4764" t="str">
            <v>Alternative - Commodity</v>
          </cell>
        </row>
        <row r="4765">
          <cell r="A4765" t="str">
            <v>EUR_COMD_IJ_10</v>
          </cell>
          <cell r="B4765" t="str">
            <v>Rapeseed LIFFE 10</v>
          </cell>
          <cell r="C4765" t="str">
            <v>ALTERNATIVE:COMD:EUR_COMD_IJ_10</v>
          </cell>
          <cell r="D4765" t="str">
            <v>Commodity</v>
          </cell>
          <cell r="E4765" t="str">
            <v>Price Level</v>
          </cell>
          <cell r="F4765" t="str">
            <v>Alternative</v>
          </cell>
          <cell r="G4765" t="str">
            <v>Other</v>
          </cell>
          <cell r="H4765" t="str">
            <v>ALTS</v>
          </cell>
          <cell r="I4765" t="str">
            <v>Alternative - Commodity</v>
          </cell>
        </row>
        <row r="4766">
          <cell r="A4766" t="str">
            <v>EUR_COMD_IJ_11</v>
          </cell>
          <cell r="B4766" t="str">
            <v>Rapeseed LIFFE 11</v>
          </cell>
          <cell r="C4766" t="str">
            <v>ALTERNATIVE:COMD:EUR_COMD_IJ_11</v>
          </cell>
          <cell r="D4766" t="str">
            <v>Commodity</v>
          </cell>
          <cell r="E4766" t="str">
            <v>Price Level</v>
          </cell>
          <cell r="F4766" t="str">
            <v>Alternative</v>
          </cell>
          <cell r="G4766" t="str">
            <v>Other</v>
          </cell>
          <cell r="H4766" t="str">
            <v>ALTS</v>
          </cell>
          <cell r="I4766" t="str">
            <v>Alternative - Commodity</v>
          </cell>
        </row>
        <row r="4767">
          <cell r="A4767" t="str">
            <v>EUR_COMD_IJ_12</v>
          </cell>
          <cell r="B4767" t="str">
            <v>Rapeseed LIFFE 12</v>
          </cell>
          <cell r="C4767" t="str">
            <v>ALTERNATIVE:COMD:EUR_COMD_IJ_12</v>
          </cell>
          <cell r="D4767" t="str">
            <v>Commodity</v>
          </cell>
          <cell r="E4767" t="str">
            <v>Price Level</v>
          </cell>
          <cell r="F4767" t="str">
            <v>Alternative</v>
          </cell>
          <cell r="G4767" t="str">
            <v>Other</v>
          </cell>
          <cell r="H4767" t="str">
            <v>ALTS</v>
          </cell>
          <cell r="I4767" t="str">
            <v>Alternative - Commodity</v>
          </cell>
        </row>
        <row r="4768">
          <cell r="A4768" t="str">
            <v>CAD_COMD_R1_2</v>
          </cell>
          <cell r="B4768" t="str">
            <v>Canola WCE 2</v>
          </cell>
          <cell r="C4768" t="str">
            <v>ALTERNATIVE:COMD:CAD_COMD_R1_2</v>
          </cell>
          <cell r="D4768" t="str">
            <v>Commodity</v>
          </cell>
          <cell r="E4768" t="str">
            <v>Price Level</v>
          </cell>
          <cell r="F4768" t="str">
            <v>Alternative</v>
          </cell>
          <cell r="G4768" t="str">
            <v>Other</v>
          </cell>
          <cell r="H4768" t="str">
            <v>ALTS</v>
          </cell>
          <cell r="I4768" t="str">
            <v>Alternative - Commodity</v>
          </cell>
        </row>
        <row r="4769">
          <cell r="A4769" t="str">
            <v>CAD_COMD_R1_4</v>
          </cell>
          <cell r="B4769" t="str">
            <v>Canola WCE 4</v>
          </cell>
          <cell r="C4769" t="str">
            <v>ALTERNATIVE:COMD:CAD_COMD_R1_4</v>
          </cell>
          <cell r="D4769" t="str">
            <v>Commodity</v>
          </cell>
          <cell r="E4769" t="str">
            <v>Price Level</v>
          </cell>
          <cell r="F4769" t="str">
            <v>Alternative</v>
          </cell>
          <cell r="G4769" t="str">
            <v>Other</v>
          </cell>
          <cell r="H4769" t="str">
            <v>ALTS</v>
          </cell>
          <cell r="I4769" t="str">
            <v>Alternative - Commodity</v>
          </cell>
        </row>
        <row r="4770">
          <cell r="A4770" t="str">
            <v>CAD_COMD_R1_6</v>
          </cell>
          <cell r="B4770" t="str">
            <v>Canola WCE 6</v>
          </cell>
          <cell r="C4770" t="str">
            <v>ALTERNATIVE:COMD:CAD_COMD_R1_6</v>
          </cell>
          <cell r="D4770" t="str">
            <v>Commodity</v>
          </cell>
          <cell r="E4770" t="str">
            <v>Price Level</v>
          </cell>
          <cell r="F4770" t="str">
            <v>Alternative</v>
          </cell>
          <cell r="G4770" t="str">
            <v>Other</v>
          </cell>
          <cell r="H4770" t="str">
            <v>ALTS</v>
          </cell>
          <cell r="I4770" t="str">
            <v>Alternative - Commodity</v>
          </cell>
        </row>
        <row r="4771">
          <cell r="A4771" t="str">
            <v>CAD_COMD_R1_7</v>
          </cell>
          <cell r="B4771" t="str">
            <v>Canola WCE 7</v>
          </cell>
          <cell r="C4771" t="str">
            <v>ALTERNATIVE:COMD:CAD_COMD_R1_7</v>
          </cell>
          <cell r="D4771" t="str">
            <v>Commodity</v>
          </cell>
          <cell r="E4771" t="str">
            <v>Price Level</v>
          </cell>
          <cell r="F4771" t="str">
            <v>Alternative</v>
          </cell>
          <cell r="G4771" t="str">
            <v>Other</v>
          </cell>
          <cell r="H4771" t="str">
            <v>ALTS</v>
          </cell>
          <cell r="I4771" t="str">
            <v>Alternative - Commodity</v>
          </cell>
        </row>
        <row r="4772">
          <cell r="A4772" t="str">
            <v>CAD_COMD_R1_8</v>
          </cell>
          <cell r="B4772" t="str">
            <v>Canola WCE 8</v>
          </cell>
          <cell r="C4772" t="str">
            <v>ALTERNATIVE:COMD:CAD_COMD_R1_8</v>
          </cell>
          <cell r="D4772" t="str">
            <v>Commodity</v>
          </cell>
          <cell r="E4772" t="str">
            <v>Price Level</v>
          </cell>
          <cell r="F4772" t="str">
            <v>Alternative</v>
          </cell>
          <cell r="G4772" t="str">
            <v>Other</v>
          </cell>
          <cell r="H4772" t="str">
            <v>ALTS</v>
          </cell>
          <cell r="I4772" t="str">
            <v>Alternative - Commodity</v>
          </cell>
        </row>
        <row r="4773">
          <cell r="A4773" t="str">
            <v>CAD_COMD_R1_9</v>
          </cell>
          <cell r="B4773" t="str">
            <v>Canola WCE 9</v>
          </cell>
          <cell r="C4773" t="str">
            <v>ALTERNATIVE:COMD:CAD_COMD_R1_9</v>
          </cell>
          <cell r="D4773" t="str">
            <v>Commodity</v>
          </cell>
          <cell r="E4773" t="str">
            <v>Price Level</v>
          </cell>
          <cell r="F4773" t="str">
            <v>Alternative</v>
          </cell>
          <cell r="G4773" t="str">
            <v>Other</v>
          </cell>
          <cell r="H4773" t="str">
            <v>ALTS</v>
          </cell>
          <cell r="I4773" t="str">
            <v>Alternative - Commodity</v>
          </cell>
        </row>
        <row r="4774">
          <cell r="A4774" t="str">
            <v>CAD_COMD_R1_10</v>
          </cell>
          <cell r="B4774" t="str">
            <v>Canola WCE 10</v>
          </cell>
          <cell r="C4774" t="str">
            <v>ALTERNATIVE:COMD:CAD_COMD_R1_10</v>
          </cell>
          <cell r="D4774" t="str">
            <v>Commodity</v>
          </cell>
          <cell r="E4774" t="str">
            <v>Price Level</v>
          </cell>
          <cell r="F4774" t="str">
            <v>Alternative</v>
          </cell>
          <cell r="G4774" t="str">
            <v>Other</v>
          </cell>
          <cell r="H4774" t="str">
            <v>ALTS</v>
          </cell>
          <cell r="I4774" t="str">
            <v>Alternative - Commodity</v>
          </cell>
        </row>
        <row r="4775">
          <cell r="A4775" t="str">
            <v>CAD_COMD_R1_11</v>
          </cell>
          <cell r="B4775" t="str">
            <v>Canola WCE 11</v>
          </cell>
          <cell r="C4775" t="str">
            <v>ALTERNATIVE:COMD:CAD_COMD_R1_11</v>
          </cell>
          <cell r="D4775" t="str">
            <v>Commodity</v>
          </cell>
          <cell r="E4775" t="str">
            <v>Price Level</v>
          </cell>
          <cell r="F4775" t="str">
            <v>Alternative</v>
          </cell>
          <cell r="G4775" t="str">
            <v>Other</v>
          </cell>
          <cell r="H4775" t="str">
            <v>ALTS</v>
          </cell>
          <cell r="I4775" t="str">
            <v>Alternative - Commodity</v>
          </cell>
        </row>
        <row r="4776">
          <cell r="A4776" t="str">
            <v>CAD_COMD_R1_12</v>
          </cell>
          <cell r="B4776" t="str">
            <v>Canola WCE 12</v>
          </cell>
          <cell r="C4776" t="str">
            <v>ALTERNATIVE:COMD:CAD_COMD_R1_12</v>
          </cell>
          <cell r="D4776" t="str">
            <v>Commodity</v>
          </cell>
          <cell r="E4776" t="str">
            <v>Price Level</v>
          </cell>
          <cell r="F4776" t="str">
            <v>Alternative</v>
          </cell>
          <cell r="G4776" t="str">
            <v>Other</v>
          </cell>
          <cell r="H4776" t="str">
            <v>ALTS</v>
          </cell>
          <cell r="I4776" t="str">
            <v>Alternative - Commodity</v>
          </cell>
        </row>
        <row r="4777">
          <cell r="A4777" t="str">
            <v>GOLD_SPOT</v>
          </cell>
          <cell r="B4777" t="str">
            <v>Gold</v>
          </cell>
          <cell r="C4777" t="str">
            <v>ALTERNATIVE:COMD:GOLD_SPOT</v>
          </cell>
          <cell r="D4777" t="str">
            <v>Commodity</v>
          </cell>
          <cell r="E4777" t="str">
            <v>Price Level</v>
          </cell>
          <cell r="F4777" t="str">
            <v>Alternative</v>
          </cell>
          <cell r="G4777" t="str">
            <v>Other</v>
          </cell>
          <cell r="H4777" t="str">
            <v>ALTS</v>
          </cell>
          <cell r="I4777" t="str">
            <v>Alternative - Commodity</v>
          </cell>
        </row>
        <row r="4778">
          <cell r="A4778" t="str">
            <v>SILVER_SPOT</v>
          </cell>
          <cell r="B4778" t="str">
            <v>Silver</v>
          </cell>
          <cell r="C4778" t="str">
            <v>ALTERNATIVE:COMD:SILVER_SPOT</v>
          </cell>
          <cell r="D4778" t="str">
            <v>Commodity</v>
          </cell>
          <cell r="E4778" t="str">
            <v>Price Level</v>
          </cell>
          <cell r="F4778" t="str">
            <v>Alternative</v>
          </cell>
          <cell r="G4778" t="str">
            <v>Other</v>
          </cell>
          <cell r="H4778" t="str">
            <v>ALTS</v>
          </cell>
          <cell r="I4778" t="str">
            <v>Alternative - Commodity</v>
          </cell>
        </row>
        <row r="4779">
          <cell r="A4779" t="str">
            <v>PALLADIUM_SPOT</v>
          </cell>
          <cell r="B4779" t="str">
            <v>Palladium</v>
          </cell>
          <cell r="C4779" t="str">
            <v>ALTERNATIVE:COMD:PALLADIUM_SPOT</v>
          </cell>
          <cell r="D4779" t="str">
            <v>Commodity</v>
          </cell>
          <cell r="E4779" t="str">
            <v>Price Level</v>
          </cell>
          <cell r="F4779" t="str">
            <v>Alternative</v>
          </cell>
          <cell r="G4779" t="str">
            <v>Other</v>
          </cell>
          <cell r="H4779" t="str">
            <v>ALTS</v>
          </cell>
          <cell r="I4779" t="str">
            <v>Alternative - Commodity</v>
          </cell>
        </row>
        <row r="4780">
          <cell r="A4780" t="str">
            <v>PLATINUM_SPOT</v>
          </cell>
          <cell r="B4780" t="str">
            <v>Platinum</v>
          </cell>
          <cell r="C4780" t="str">
            <v>ALTERNATIVE:COMD:PLATINUM_SPOT</v>
          </cell>
          <cell r="D4780" t="str">
            <v>Commodity</v>
          </cell>
          <cell r="E4780" t="str">
            <v>Price Level</v>
          </cell>
          <cell r="F4780" t="str">
            <v>Alternative</v>
          </cell>
          <cell r="G4780" t="str">
            <v>Other</v>
          </cell>
          <cell r="H4780" t="str">
            <v>ALTS</v>
          </cell>
          <cell r="I4780" t="str">
            <v>Alternative - Commodity</v>
          </cell>
        </row>
        <row r="4781">
          <cell r="A4781" t="str">
            <v>CITI_CURVE_COMP_INX</v>
          </cell>
          <cell r="B4781" t="str">
            <v>Citi Curve Composite Index</v>
          </cell>
          <cell r="C4781" t="str">
            <v>ALTERNATIVE:COMD:CITI_CURVE_COMP_INX</v>
          </cell>
          <cell r="D4781" t="str">
            <v>Commodity</v>
          </cell>
          <cell r="E4781" t="str">
            <v>Price Level</v>
          </cell>
          <cell r="F4781" t="str">
            <v>Alternative</v>
          </cell>
          <cell r="G4781" t="str">
            <v>Other</v>
          </cell>
          <cell r="H4781" t="str">
            <v>ALTS</v>
          </cell>
          <cell r="I4781" t="str">
            <v>Alternative - Commodity</v>
          </cell>
        </row>
        <row r="4782">
          <cell r="A4782" t="str">
            <v>JPM_ENH_BETA_SEL_INX</v>
          </cell>
          <cell r="B4782" t="str">
            <v>JPM Enhanced Beta Select TR</v>
          </cell>
          <cell r="C4782" t="str">
            <v>ALTERNATIVE:COMD:JPM_ENH_BETA_SEL_INX</v>
          </cell>
          <cell r="D4782" t="str">
            <v>Commodity</v>
          </cell>
          <cell r="E4782" t="str">
            <v>Price Level</v>
          </cell>
          <cell r="F4782" t="str">
            <v>Alternative</v>
          </cell>
          <cell r="G4782" t="str">
            <v>Other</v>
          </cell>
          <cell r="H4782" t="str">
            <v>ALTS</v>
          </cell>
          <cell r="I4782" t="str">
            <v>Alternative - Commodity</v>
          </cell>
        </row>
        <row r="4783">
          <cell r="A4783" t="str">
            <v>DJUBSF1</v>
          </cell>
          <cell r="B4783" t="str">
            <v>DJ-UBS Comd Fwd 1m</v>
          </cell>
          <cell r="C4783" t="str">
            <v>ALTERNATIVE:COMD:DJUBSF1</v>
          </cell>
          <cell r="D4783" t="str">
            <v>Commodity</v>
          </cell>
          <cell r="E4783" t="str">
            <v>Price Level</v>
          </cell>
          <cell r="F4783" t="str">
            <v>Alternative</v>
          </cell>
          <cell r="G4783" t="str">
            <v>Other</v>
          </cell>
          <cell r="H4783" t="str">
            <v>ALTS</v>
          </cell>
          <cell r="I4783" t="str">
            <v>Alternative - Commodity</v>
          </cell>
        </row>
        <row r="4784">
          <cell r="A4784" t="str">
            <v>DJUBSF2</v>
          </cell>
          <cell r="B4784" t="str">
            <v>DJ-UBS Comd Fwd 2m</v>
          </cell>
          <cell r="C4784" t="str">
            <v>ALTERNATIVE:COMD:DJUBSF2</v>
          </cell>
          <cell r="D4784" t="str">
            <v>Commodity</v>
          </cell>
          <cell r="E4784" t="str">
            <v>Price Level</v>
          </cell>
          <cell r="F4784" t="str">
            <v>Alternative</v>
          </cell>
          <cell r="G4784" t="str">
            <v>Other</v>
          </cell>
          <cell r="H4784" t="str">
            <v>ALTS</v>
          </cell>
          <cell r="I4784" t="str">
            <v>Alternative - Commodity</v>
          </cell>
        </row>
        <row r="4785">
          <cell r="A4785" t="str">
            <v>DJUBSF3</v>
          </cell>
          <cell r="B4785" t="str">
            <v>DJ-UBS Comd Fwd 3m</v>
          </cell>
          <cell r="C4785" t="str">
            <v>ALTERNATIVE:COMD:DJUBSF3</v>
          </cell>
          <cell r="D4785" t="str">
            <v>Commodity</v>
          </cell>
          <cell r="E4785" t="str">
            <v>Price Level</v>
          </cell>
          <cell r="F4785" t="str">
            <v>Alternative</v>
          </cell>
          <cell r="G4785" t="str">
            <v>Other</v>
          </cell>
          <cell r="H4785" t="str">
            <v>ALTS</v>
          </cell>
          <cell r="I4785" t="str">
            <v>Alternative - Commodity</v>
          </cell>
        </row>
        <row r="4786">
          <cell r="A4786" t="str">
            <v>DJUBSF4</v>
          </cell>
          <cell r="B4786" t="str">
            <v>DJ-UBS Comd Fwd 4m</v>
          </cell>
          <cell r="C4786" t="str">
            <v>ALTERNATIVE:COMD:DJUBSF4</v>
          </cell>
          <cell r="D4786" t="str">
            <v>Commodity</v>
          </cell>
          <cell r="E4786" t="str">
            <v>Price Level</v>
          </cell>
          <cell r="F4786" t="str">
            <v>Alternative</v>
          </cell>
          <cell r="G4786" t="str">
            <v>Other</v>
          </cell>
          <cell r="H4786" t="str">
            <v>ALTS</v>
          </cell>
          <cell r="I4786" t="str">
            <v>Alternative - Commodity</v>
          </cell>
        </row>
        <row r="4787">
          <cell r="A4787" t="str">
            <v>DJUBSF5</v>
          </cell>
          <cell r="B4787" t="str">
            <v>DJ-UBS Comd Fwd 5m</v>
          </cell>
          <cell r="C4787" t="str">
            <v>ALTERNATIVE:COMD:DJUBSF5</v>
          </cell>
          <cell r="D4787" t="str">
            <v>Commodity</v>
          </cell>
          <cell r="E4787" t="str">
            <v>Price Level</v>
          </cell>
          <cell r="F4787" t="str">
            <v>Alternative</v>
          </cell>
          <cell r="G4787" t="str">
            <v>Other</v>
          </cell>
          <cell r="H4787" t="str">
            <v>ALTS</v>
          </cell>
          <cell r="I4787" t="str">
            <v>Alternative - Commodity</v>
          </cell>
        </row>
        <row r="4788">
          <cell r="A4788" t="str">
            <v>DJUBSF6</v>
          </cell>
          <cell r="B4788" t="str">
            <v>DJ-UBS Comd Fwd 6m</v>
          </cell>
          <cell r="C4788" t="str">
            <v>ALTERNATIVE:COMD:DJUBSF6</v>
          </cell>
          <cell r="D4788" t="str">
            <v>Commodity</v>
          </cell>
          <cell r="E4788" t="str">
            <v>Price Level</v>
          </cell>
          <cell r="F4788" t="str">
            <v>Alternative</v>
          </cell>
          <cell r="G4788" t="str">
            <v>Other</v>
          </cell>
          <cell r="H4788" t="str">
            <v>ALTS</v>
          </cell>
          <cell r="I4788" t="str">
            <v>Alternative - Commodity</v>
          </cell>
        </row>
        <row r="4789">
          <cell r="A4789" t="str">
            <v>USD_COMD_XA_1</v>
          </cell>
          <cell r="B4789" t="str">
            <v>Coal ICE Rotters 1</v>
          </cell>
          <cell r="C4789" t="str">
            <v>ALTERNATIVE:COMD:USD_COMD_XA_1</v>
          </cell>
          <cell r="D4789" t="str">
            <v>Commodity</v>
          </cell>
          <cell r="E4789" t="str">
            <v>Price Level</v>
          </cell>
          <cell r="F4789" t="str">
            <v>Alternative</v>
          </cell>
          <cell r="G4789" t="str">
            <v>Other</v>
          </cell>
          <cell r="H4789" t="str">
            <v>ALTS</v>
          </cell>
          <cell r="I4789" t="str">
            <v>Alternative - Commodity</v>
          </cell>
        </row>
        <row r="4790">
          <cell r="A4790" t="str">
            <v>USD_COMD_XA_2</v>
          </cell>
          <cell r="B4790" t="str">
            <v>Coal ICE Rotters 2</v>
          </cell>
          <cell r="C4790" t="str">
            <v>ALTERNATIVE:COMD:USD_COMD_XA_2</v>
          </cell>
          <cell r="D4790" t="str">
            <v>Commodity</v>
          </cell>
          <cell r="E4790" t="str">
            <v>Price Level</v>
          </cell>
          <cell r="F4790" t="str">
            <v>Alternative</v>
          </cell>
          <cell r="G4790" t="str">
            <v>Other</v>
          </cell>
          <cell r="H4790" t="str">
            <v>ALTS</v>
          </cell>
          <cell r="I4790" t="str">
            <v>Alternative - Commodity</v>
          </cell>
        </row>
        <row r="4791">
          <cell r="A4791" t="str">
            <v>USD_COMD_XA_3</v>
          </cell>
          <cell r="B4791" t="str">
            <v>Coal ICE Rotters 3</v>
          </cell>
          <cell r="C4791" t="str">
            <v>ALTERNATIVE:COMD:USD_COMD_XA_3</v>
          </cell>
          <cell r="D4791" t="str">
            <v>Commodity</v>
          </cell>
          <cell r="E4791" t="str">
            <v>Price Level</v>
          </cell>
          <cell r="F4791" t="str">
            <v>Alternative</v>
          </cell>
          <cell r="G4791" t="str">
            <v>Other</v>
          </cell>
          <cell r="H4791" t="str">
            <v>ALTS</v>
          </cell>
          <cell r="I4791" t="str">
            <v>Alternative - Commodity</v>
          </cell>
        </row>
        <row r="4792">
          <cell r="A4792" t="str">
            <v>USD_COMD_XA_4</v>
          </cell>
          <cell r="B4792" t="str">
            <v>Coal ICE Rotters 4</v>
          </cell>
          <cell r="C4792" t="str">
            <v>ALTERNATIVE:COMD:USD_COMD_XA_4</v>
          </cell>
          <cell r="D4792" t="str">
            <v>Commodity</v>
          </cell>
          <cell r="E4792" t="str">
            <v>Price Level</v>
          </cell>
          <cell r="F4792" t="str">
            <v>Alternative</v>
          </cell>
          <cell r="G4792" t="str">
            <v>Other</v>
          </cell>
          <cell r="H4792" t="str">
            <v>ALTS</v>
          </cell>
          <cell r="I4792" t="str">
            <v>Alternative - Commodity</v>
          </cell>
        </row>
        <row r="4793">
          <cell r="A4793" t="str">
            <v>USD_COMD_XA_5</v>
          </cell>
          <cell r="B4793" t="str">
            <v>Coal ICE Rotters 5</v>
          </cell>
          <cell r="C4793" t="str">
            <v>ALTERNATIVE:COMD:USD_COMD_XA_5</v>
          </cell>
          <cell r="D4793" t="str">
            <v>Commodity</v>
          </cell>
          <cell r="E4793" t="str">
            <v>Price Level</v>
          </cell>
          <cell r="F4793" t="str">
            <v>Alternative</v>
          </cell>
          <cell r="G4793" t="str">
            <v>Other</v>
          </cell>
          <cell r="H4793" t="str">
            <v>ALTS</v>
          </cell>
          <cell r="I4793" t="str">
            <v>Alternative - Commodity</v>
          </cell>
        </row>
        <row r="4794">
          <cell r="A4794" t="str">
            <v>USD_COMD_XA_6</v>
          </cell>
          <cell r="B4794" t="str">
            <v>Coal ICE Rotters 6</v>
          </cell>
          <cell r="C4794" t="str">
            <v>ALTERNATIVE:COMD:USD_COMD_XA_6</v>
          </cell>
          <cell r="D4794" t="str">
            <v>Commodity</v>
          </cell>
          <cell r="E4794" t="str">
            <v>Price Level</v>
          </cell>
          <cell r="F4794" t="str">
            <v>Alternative</v>
          </cell>
          <cell r="G4794" t="str">
            <v>Other</v>
          </cell>
          <cell r="H4794" t="str">
            <v>ALTS</v>
          </cell>
          <cell r="I4794" t="str">
            <v>Alternative - Commodity</v>
          </cell>
        </row>
        <row r="4795">
          <cell r="A4795" t="str">
            <v>USD_COMD_XA_7</v>
          </cell>
          <cell r="B4795" t="str">
            <v>Coal ICE Rotters 7</v>
          </cell>
          <cell r="C4795" t="str">
            <v>ALTERNATIVE:COMD:USD_COMD_XA_7</v>
          </cell>
          <cell r="D4795" t="str">
            <v>Commodity</v>
          </cell>
          <cell r="E4795" t="str">
            <v>Price Level</v>
          </cell>
          <cell r="F4795" t="str">
            <v>Alternative</v>
          </cell>
          <cell r="G4795" t="str">
            <v>Other</v>
          </cell>
          <cell r="H4795" t="str">
            <v>ALTS</v>
          </cell>
          <cell r="I4795" t="str">
            <v>Alternative - Commodity</v>
          </cell>
        </row>
        <row r="4796">
          <cell r="A4796" t="str">
            <v>USD_COMD_XA_8</v>
          </cell>
          <cell r="B4796" t="str">
            <v>Coal ICE Rotters 8</v>
          </cell>
          <cell r="C4796" t="str">
            <v>ALTERNATIVE:COMD:USD_COMD_XA_8</v>
          </cell>
          <cell r="D4796" t="str">
            <v>Commodity</v>
          </cell>
          <cell r="E4796" t="str">
            <v>Price Level</v>
          </cell>
          <cell r="F4796" t="str">
            <v>Alternative</v>
          </cell>
          <cell r="G4796" t="str">
            <v>Other</v>
          </cell>
          <cell r="H4796" t="str">
            <v>ALTS</v>
          </cell>
          <cell r="I4796" t="str">
            <v>Alternative - Commodity</v>
          </cell>
        </row>
        <row r="4797">
          <cell r="A4797" t="str">
            <v>USD_COMD_XA_9</v>
          </cell>
          <cell r="B4797" t="str">
            <v>Coal ICE Rotters 9</v>
          </cell>
          <cell r="C4797" t="str">
            <v>ALTERNATIVE:COMD:USD_COMD_XA_9</v>
          </cell>
          <cell r="D4797" t="str">
            <v>Commodity</v>
          </cell>
          <cell r="E4797" t="str">
            <v>Price Level</v>
          </cell>
          <cell r="F4797" t="str">
            <v>Alternative</v>
          </cell>
          <cell r="G4797" t="str">
            <v>Other</v>
          </cell>
          <cell r="H4797" t="str">
            <v>ALTS</v>
          </cell>
          <cell r="I4797" t="str">
            <v>Alternative - Commodity</v>
          </cell>
        </row>
        <row r="4798">
          <cell r="A4798" t="str">
            <v>USD_COMD_XA_10</v>
          </cell>
          <cell r="B4798" t="str">
            <v>Coal ICE Rotters 10</v>
          </cell>
          <cell r="C4798" t="str">
            <v>ALTERNATIVE:COMD:USD_COMD_XA_10</v>
          </cell>
          <cell r="D4798" t="str">
            <v>Commodity</v>
          </cell>
          <cell r="E4798" t="str">
            <v>Price Level</v>
          </cell>
          <cell r="F4798" t="str">
            <v>Alternative</v>
          </cell>
          <cell r="G4798" t="str">
            <v>Other</v>
          </cell>
          <cell r="H4798" t="str">
            <v>ALTS</v>
          </cell>
          <cell r="I4798" t="str">
            <v>Alternative - Commodity</v>
          </cell>
        </row>
        <row r="4799">
          <cell r="A4799" t="str">
            <v>USD_COMD_XA_11</v>
          </cell>
          <cell r="B4799" t="str">
            <v>Coal ICE Rotters 11</v>
          </cell>
          <cell r="C4799" t="str">
            <v>ALTERNATIVE:COMD:USD_COMD_XA_11</v>
          </cell>
          <cell r="D4799" t="str">
            <v>Commodity</v>
          </cell>
          <cell r="E4799" t="str">
            <v>Price Level</v>
          </cell>
          <cell r="F4799" t="str">
            <v>Alternative</v>
          </cell>
          <cell r="G4799" t="str">
            <v>Other</v>
          </cell>
          <cell r="H4799" t="str">
            <v>ALTS</v>
          </cell>
          <cell r="I4799" t="str">
            <v>Alternative - Commodity</v>
          </cell>
        </row>
        <row r="4800">
          <cell r="A4800" t="str">
            <v>USD_COMD_XA_12</v>
          </cell>
          <cell r="B4800" t="str">
            <v>Coal ICE Rotters 12</v>
          </cell>
          <cell r="C4800" t="str">
            <v>ALTERNATIVE:COMD:USD_COMD_XA_12</v>
          </cell>
          <cell r="D4800" t="str">
            <v>Commodity</v>
          </cell>
          <cell r="E4800" t="str">
            <v>Price Level</v>
          </cell>
          <cell r="F4800" t="str">
            <v>Alternative</v>
          </cell>
          <cell r="G4800" t="str">
            <v>Other</v>
          </cell>
          <cell r="H4800" t="str">
            <v>ALTS</v>
          </cell>
          <cell r="I4800" t="str">
            <v>Alternative - Commodity</v>
          </cell>
        </row>
        <row r="4801">
          <cell r="A4801" t="str">
            <v>IRON_ORE</v>
          </cell>
          <cell r="B4801" t="str">
            <v>Iron Ore</v>
          </cell>
          <cell r="C4801" t="str">
            <v>ALTERNATIVE:COMD:IRON_ORE</v>
          </cell>
          <cell r="D4801" t="str">
            <v>Index</v>
          </cell>
          <cell r="E4801" t="str">
            <v>Index Level</v>
          </cell>
          <cell r="F4801" t="str">
            <v>Alternative</v>
          </cell>
          <cell r="G4801" t="str">
            <v>Other</v>
          </cell>
          <cell r="H4801" t="str">
            <v>ALTS</v>
          </cell>
          <cell r="I4801" t="str">
            <v>Alternative - Commodity</v>
          </cell>
        </row>
        <row r="4802">
          <cell r="A4802" t="str">
            <v>USD_COMD_BTC_1</v>
          </cell>
          <cell r="B4802" t="str">
            <v>Bitcoin CME 1</v>
          </cell>
          <cell r="C4802" t="str">
            <v>ALTERNATIVE:COMD:USD_COMD_BTC_1</v>
          </cell>
          <cell r="D4802" t="str">
            <v>Commodity</v>
          </cell>
          <cell r="E4802" t="str">
            <v>Price Level</v>
          </cell>
          <cell r="F4802" t="str">
            <v>Alternative</v>
          </cell>
          <cell r="G4802" t="str">
            <v>Other</v>
          </cell>
          <cell r="H4802" t="str">
            <v>ALTS</v>
          </cell>
          <cell r="I4802" t="str">
            <v>Alternative - Commodity</v>
          </cell>
        </row>
        <row r="4803">
          <cell r="A4803" t="str">
            <v>USD_COMD_BTC_2</v>
          </cell>
          <cell r="B4803" t="str">
            <v>Bitcoin CME 2</v>
          </cell>
          <cell r="C4803" t="str">
            <v>ALTERNATIVE:COMD:USD_COMD_BTC_2</v>
          </cell>
          <cell r="D4803" t="str">
            <v>Commodity</v>
          </cell>
          <cell r="E4803" t="str">
            <v>Price Level</v>
          </cell>
          <cell r="F4803" t="str">
            <v>Alternative</v>
          </cell>
          <cell r="G4803" t="str">
            <v>Other</v>
          </cell>
          <cell r="H4803" t="str">
            <v>ALTS</v>
          </cell>
          <cell r="I4803" t="str">
            <v>Alternative - Commodity</v>
          </cell>
        </row>
        <row r="4804">
          <cell r="A4804" t="str">
            <v>USD_COMD_BTC_3</v>
          </cell>
          <cell r="B4804" t="str">
            <v>Bitcoin CME 3</v>
          </cell>
          <cell r="C4804" t="str">
            <v>ALTERNATIVE:COMD:USD_COMD_BTC_3</v>
          </cell>
          <cell r="D4804" t="str">
            <v>Commodity</v>
          </cell>
          <cell r="E4804" t="str">
            <v>Price Level</v>
          </cell>
          <cell r="F4804" t="str">
            <v>Alternative</v>
          </cell>
          <cell r="G4804" t="str">
            <v>Other</v>
          </cell>
          <cell r="H4804" t="str">
            <v>ALTS</v>
          </cell>
          <cell r="I4804" t="str">
            <v>Alternative - Commodity</v>
          </cell>
        </row>
        <row r="4805">
          <cell r="A4805" t="str">
            <v>USD_COMD_BTC_4</v>
          </cell>
          <cell r="B4805" t="str">
            <v>Bitcoin CME 4</v>
          </cell>
          <cell r="C4805" t="str">
            <v>ALTERNATIVE:COMD:USD_COMD_BTC_4</v>
          </cell>
          <cell r="D4805" t="str">
            <v>Commodity</v>
          </cell>
          <cell r="E4805" t="str">
            <v>Price Level</v>
          </cell>
          <cell r="F4805" t="str">
            <v>Alternative</v>
          </cell>
          <cell r="G4805" t="str">
            <v>Other</v>
          </cell>
          <cell r="H4805" t="str">
            <v>ALTS</v>
          </cell>
          <cell r="I4805" t="str">
            <v>Alternative - Commodity</v>
          </cell>
        </row>
        <row r="4806">
          <cell r="A4806" t="str">
            <v>USD_COMD_BTC_5</v>
          </cell>
          <cell r="B4806" t="str">
            <v>Bitcoin CME 5</v>
          </cell>
          <cell r="C4806" t="str">
            <v>ALTERNATIVE:COMD:USD_COMD_BTC_5</v>
          </cell>
          <cell r="D4806" t="str">
            <v>Commodity</v>
          </cell>
          <cell r="E4806" t="str">
            <v>Price Level</v>
          </cell>
          <cell r="F4806" t="str">
            <v>Alternative</v>
          </cell>
          <cell r="G4806" t="str">
            <v>Other</v>
          </cell>
          <cell r="H4806" t="str">
            <v>ALTS</v>
          </cell>
          <cell r="I4806" t="str">
            <v>Alternative - Commodity</v>
          </cell>
        </row>
        <row r="4807">
          <cell r="A4807" t="str">
            <v>USD_COMD_BTC_6</v>
          </cell>
          <cell r="B4807" t="str">
            <v>Bitcoin CME 6</v>
          </cell>
          <cell r="C4807" t="str">
            <v>ALTERNATIVE:COMD:USD_COMD_BTC_6</v>
          </cell>
          <cell r="D4807" t="str">
            <v>Commodity</v>
          </cell>
          <cell r="E4807" t="str">
            <v>Price Level</v>
          </cell>
          <cell r="F4807" t="str">
            <v>Alternative</v>
          </cell>
          <cell r="G4807" t="str">
            <v>Other</v>
          </cell>
          <cell r="H4807" t="str">
            <v>ALTS</v>
          </cell>
          <cell r="I4807" t="str">
            <v>Alternative - Commodity</v>
          </cell>
        </row>
        <row r="4808">
          <cell r="A4808" t="str">
            <v>USD_COMD_BTC_7</v>
          </cell>
          <cell r="B4808" t="str">
            <v>Bitcoin CME 7</v>
          </cell>
          <cell r="C4808" t="str">
            <v>ALTERNATIVE:COMD:USD_COMD_BTC_7</v>
          </cell>
          <cell r="D4808" t="str">
            <v>Commodity</v>
          </cell>
          <cell r="E4808" t="str">
            <v>Price Level</v>
          </cell>
          <cell r="F4808" t="str">
            <v>Alternative</v>
          </cell>
          <cell r="G4808" t="str">
            <v>Other</v>
          </cell>
          <cell r="H4808" t="str">
            <v>ALTS</v>
          </cell>
          <cell r="I4808" t="str">
            <v>Alternative - Commodity</v>
          </cell>
        </row>
        <row r="4809">
          <cell r="A4809" t="str">
            <v>USD_COMD_BTC_8</v>
          </cell>
          <cell r="B4809" t="str">
            <v>Bitcoin CME 8</v>
          </cell>
          <cell r="C4809" t="str">
            <v>ALTERNATIVE:COMD:USD_COMD_BTC_8</v>
          </cell>
          <cell r="D4809" t="str">
            <v>Commodity</v>
          </cell>
          <cell r="E4809" t="str">
            <v>Price Level</v>
          </cell>
          <cell r="F4809" t="str">
            <v>Alternative</v>
          </cell>
          <cell r="G4809" t="str">
            <v>Other</v>
          </cell>
          <cell r="H4809" t="str">
            <v>ALTS</v>
          </cell>
          <cell r="I4809" t="str">
            <v>Alternative - Commodity</v>
          </cell>
        </row>
        <row r="4810">
          <cell r="A4810" t="str">
            <v>USD_COMD_BTC_9</v>
          </cell>
          <cell r="B4810" t="str">
            <v>Bitcoin CME 9</v>
          </cell>
          <cell r="C4810" t="str">
            <v>ALTERNATIVE:COMD:USD_COMD_BTC_9</v>
          </cell>
          <cell r="D4810" t="str">
            <v>Commodity</v>
          </cell>
          <cell r="E4810" t="str">
            <v>Price Level</v>
          </cell>
          <cell r="F4810" t="str">
            <v>Alternative</v>
          </cell>
          <cell r="G4810" t="str">
            <v>Other</v>
          </cell>
          <cell r="H4810" t="str">
            <v>ALTS</v>
          </cell>
          <cell r="I4810" t="str">
            <v>Alternative - Commodity</v>
          </cell>
        </row>
        <row r="4811">
          <cell r="A4811" t="str">
            <v>USD_COMD_BTC_10</v>
          </cell>
          <cell r="B4811" t="str">
            <v>Bitcoin CME 10</v>
          </cell>
          <cell r="C4811" t="str">
            <v>ALTERNATIVE:COMD:USD_COMD_BTC_10</v>
          </cell>
          <cell r="D4811" t="str">
            <v>Commodity</v>
          </cell>
          <cell r="E4811" t="str">
            <v>Price Level</v>
          </cell>
          <cell r="F4811" t="str">
            <v>Alternative</v>
          </cell>
          <cell r="G4811" t="str">
            <v>Other</v>
          </cell>
          <cell r="H4811" t="str">
            <v>ALTS</v>
          </cell>
          <cell r="I4811" t="str">
            <v>Alternative - Commodity</v>
          </cell>
        </row>
        <row r="4812">
          <cell r="A4812" t="str">
            <v>USD_COMD_BTC_11</v>
          </cell>
          <cell r="B4812" t="str">
            <v>Bitcoin CME 11</v>
          </cell>
          <cell r="C4812" t="str">
            <v>ALTERNATIVE:COMD:USD_COMD_BTC_11</v>
          </cell>
          <cell r="D4812" t="str">
            <v>Commodity</v>
          </cell>
          <cell r="E4812" t="str">
            <v>Price Level</v>
          </cell>
          <cell r="F4812" t="str">
            <v>Alternative</v>
          </cell>
          <cell r="G4812" t="str">
            <v>Other</v>
          </cell>
          <cell r="H4812" t="str">
            <v>ALTS</v>
          </cell>
          <cell r="I4812" t="str">
            <v>Alternative - Commodity</v>
          </cell>
        </row>
        <row r="4813">
          <cell r="A4813" t="str">
            <v>USD_COMD_BTC_12</v>
          </cell>
          <cell r="B4813" t="str">
            <v>Bitcoin CME 12</v>
          </cell>
          <cell r="C4813" t="str">
            <v>ALTERNATIVE:COMD:USD_COMD_BTC_12</v>
          </cell>
          <cell r="D4813" t="str">
            <v>Commodity</v>
          </cell>
          <cell r="E4813" t="str">
            <v>Price Level</v>
          </cell>
          <cell r="F4813" t="str">
            <v>Alternative</v>
          </cell>
          <cell r="G4813" t="str">
            <v>Other</v>
          </cell>
          <cell r="H4813" t="str">
            <v>ALTS</v>
          </cell>
          <cell r="I4813" t="str">
            <v>Alternative - Commodity</v>
          </cell>
        </row>
        <row r="4814">
          <cell r="A4814" t="str">
            <v>BITCOIN_SPOT</v>
          </cell>
          <cell r="B4814" t="str">
            <v>Bitcoin</v>
          </cell>
          <cell r="C4814" t="str">
            <v>ALTERNATIVE:COMD:BITCOIN_SPOT</v>
          </cell>
          <cell r="D4814" t="str">
            <v>Commodity</v>
          </cell>
          <cell r="E4814" t="str">
            <v>Price Level</v>
          </cell>
          <cell r="F4814" t="str">
            <v>Alternative</v>
          </cell>
          <cell r="G4814" t="str">
            <v>Other</v>
          </cell>
          <cell r="H4814" t="str">
            <v>ALTS</v>
          </cell>
          <cell r="I4814" t="str">
            <v>Alternative - Commodity</v>
          </cell>
        </row>
        <row r="4815">
          <cell r="A4815" t="str">
            <v>AI_EQ</v>
          </cell>
          <cell r="B4815" t="str">
            <v>Equity [P]</v>
          </cell>
          <cell r="C4815" t="str">
            <v>ALTERNATIVE:_HEDGE_FUNDS:BAI_HF_EQUITY:AI_EQ</v>
          </cell>
          <cell r="D4815" t="str">
            <v>Index</v>
          </cell>
          <cell r="E4815" t="str">
            <v>Index Level</v>
          </cell>
          <cell r="F4815" t="str">
            <v>Alternative</v>
          </cell>
          <cell r="G4815" t="str">
            <v>Other</v>
          </cell>
          <cell r="H4815" t="str">
            <v>ALTS</v>
          </cell>
          <cell r="I4815" t="str">
            <v>Alternative - Hedge Fund</v>
          </cell>
        </row>
        <row r="4816">
          <cell r="A4816" t="str">
            <v>AI_AUD_EQ</v>
          </cell>
          <cell r="B4816" t="str">
            <v>Australia Equity [S]</v>
          </cell>
          <cell r="C4816" t="str">
            <v>ALTERNATIVE:_HEDGE_FUNDS:BAI_HF_EQUITY:AI_AUD_EQ</v>
          </cell>
          <cell r="D4816" t="str">
            <v>Index</v>
          </cell>
          <cell r="E4816" t="str">
            <v>Index Level</v>
          </cell>
          <cell r="F4816" t="str">
            <v>Alternative</v>
          </cell>
          <cell r="G4816" t="str">
            <v>Other</v>
          </cell>
          <cell r="H4816" t="str">
            <v>ALTS</v>
          </cell>
          <cell r="I4816" t="str">
            <v>Alternative - Hedge Fund</v>
          </cell>
        </row>
        <row r="4817">
          <cell r="A4817" t="str">
            <v>AI_CAD_EQ</v>
          </cell>
          <cell r="B4817" t="str">
            <v>Canada Equity [S]</v>
          </cell>
          <cell r="C4817" t="str">
            <v>ALTERNATIVE:_HEDGE_FUNDS:BAI_HF_EQUITY:AI_CAD_EQ</v>
          </cell>
          <cell r="D4817" t="str">
            <v>Index</v>
          </cell>
          <cell r="E4817" t="str">
            <v>Index Level</v>
          </cell>
          <cell r="F4817" t="str">
            <v>Alternative</v>
          </cell>
          <cell r="G4817" t="str">
            <v>Other</v>
          </cell>
          <cell r="H4817" t="str">
            <v>ALTS</v>
          </cell>
          <cell r="I4817" t="str">
            <v>Alternative - Hedge Fund</v>
          </cell>
        </row>
        <row r="4818">
          <cell r="A4818" t="str">
            <v>AI_EM_CHINA_EQ</v>
          </cell>
          <cell r="B4818" t="str">
            <v>EM China Equity [S]</v>
          </cell>
          <cell r="C4818" t="str">
            <v>ALTERNATIVE:_HEDGE_FUNDS:BAI_HF_EQUITY:AI_EM_CHINA_EQ</v>
          </cell>
          <cell r="D4818" t="str">
            <v>Index</v>
          </cell>
          <cell r="E4818" t="str">
            <v>Index Level</v>
          </cell>
          <cell r="F4818" t="str">
            <v>Alternative</v>
          </cell>
          <cell r="G4818" t="str">
            <v>Other</v>
          </cell>
          <cell r="H4818" t="str">
            <v>ALTS</v>
          </cell>
          <cell r="I4818" t="str">
            <v>Alternative - Hedge Fund</v>
          </cell>
        </row>
        <row r="4819">
          <cell r="A4819" t="str">
            <v>AI_EM_EQ</v>
          </cell>
          <cell r="B4819" t="str">
            <v>Emerging Market Equity [S]</v>
          </cell>
          <cell r="C4819" t="str">
            <v>ALTERNATIVE:_HEDGE_FUNDS:BAI_HF_EQUITY:AI_EM_EQ</v>
          </cell>
          <cell r="D4819" t="str">
            <v>Index</v>
          </cell>
          <cell r="E4819" t="str">
            <v>Index Level</v>
          </cell>
          <cell r="F4819" t="str">
            <v>Alternative</v>
          </cell>
          <cell r="G4819" t="str">
            <v>Other</v>
          </cell>
          <cell r="H4819" t="str">
            <v>ALTS</v>
          </cell>
          <cell r="I4819" t="str">
            <v>Alternative - Hedge Fund</v>
          </cell>
        </row>
        <row r="4820">
          <cell r="A4820" t="str">
            <v>AI_EM_EUR_EQ</v>
          </cell>
          <cell r="B4820" t="str">
            <v>EM Europe Equity [S]</v>
          </cell>
          <cell r="C4820" t="str">
            <v>ALTERNATIVE:_HEDGE_FUNDS:BAI_HF_EQUITY:AI_EM_EUR_EQ</v>
          </cell>
          <cell r="D4820" t="str">
            <v>Index</v>
          </cell>
          <cell r="E4820" t="str">
            <v>Index Level</v>
          </cell>
          <cell r="F4820" t="str">
            <v>Alternative</v>
          </cell>
          <cell r="G4820" t="str">
            <v>Other</v>
          </cell>
          <cell r="H4820" t="str">
            <v>ALTS</v>
          </cell>
          <cell r="I4820" t="str">
            <v>Alternative - Hedge Fund</v>
          </cell>
        </row>
        <row r="4821">
          <cell r="A4821" t="str">
            <v>AI_EM_FAR_EST_EQ</v>
          </cell>
          <cell r="B4821" t="str">
            <v>EM Far East Equity [S]</v>
          </cell>
          <cell r="C4821" t="str">
            <v>ALTERNATIVE:_HEDGE_FUNDS:BAI_HF_EQUITY:AI_EM_FAR_EST_EQ</v>
          </cell>
          <cell r="D4821" t="str">
            <v>Index</v>
          </cell>
          <cell r="E4821" t="str">
            <v>Index Level</v>
          </cell>
          <cell r="F4821" t="str">
            <v>Alternative</v>
          </cell>
          <cell r="G4821" t="str">
            <v>Other</v>
          </cell>
          <cell r="H4821" t="str">
            <v>ALTS</v>
          </cell>
          <cell r="I4821" t="str">
            <v>Alternative - Hedge Fund</v>
          </cell>
        </row>
        <row r="4822">
          <cell r="A4822" t="str">
            <v>AI_EM_INDIA_EQ</v>
          </cell>
          <cell r="B4822" t="str">
            <v>EM India Equity [S]</v>
          </cell>
          <cell r="C4822" t="str">
            <v>ALTERNATIVE:_HEDGE_FUNDS:BAI_HF_EQUITY:AI_EM_INDIA_EQ</v>
          </cell>
          <cell r="D4822" t="str">
            <v>Index</v>
          </cell>
          <cell r="E4822" t="str">
            <v>Index Level</v>
          </cell>
          <cell r="F4822" t="str">
            <v>Alternative</v>
          </cell>
          <cell r="G4822" t="str">
            <v>Other</v>
          </cell>
          <cell r="H4822" t="str">
            <v>ALTS</v>
          </cell>
          <cell r="I4822" t="str">
            <v>Alternative - Hedge Fund</v>
          </cell>
        </row>
        <row r="4823">
          <cell r="A4823" t="str">
            <v>AI_EM_LATAM_EQ</v>
          </cell>
          <cell r="B4823" t="str">
            <v>EM Latin America Equity [S]</v>
          </cell>
          <cell r="C4823" t="str">
            <v>ALTERNATIVE:_HEDGE_FUNDS:BAI_HF_EQUITY:AI_EM_LATAM_EQ</v>
          </cell>
          <cell r="D4823" t="str">
            <v>Index</v>
          </cell>
          <cell r="E4823" t="str">
            <v>Index Level</v>
          </cell>
          <cell r="F4823" t="str">
            <v>Alternative</v>
          </cell>
          <cell r="G4823" t="str">
            <v>Other</v>
          </cell>
          <cell r="H4823" t="str">
            <v>ALTS</v>
          </cell>
          <cell r="I4823" t="str">
            <v>Alternative - Hedge Fund</v>
          </cell>
        </row>
        <row r="4824">
          <cell r="A4824" t="str">
            <v>AI_ENGY_EQ</v>
          </cell>
          <cell r="B4824" t="str">
            <v>Energy Equity Sector [S]</v>
          </cell>
          <cell r="C4824" t="str">
            <v>ALTERNATIVE:_HEDGE_FUNDS:BAI_HF_EQUITY:AI_ENGY_EQ</v>
          </cell>
          <cell r="D4824" t="str">
            <v>Index</v>
          </cell>
          <cell r="E4824" t="str">
            <v>Index Level</v>
          </cell>
          <cell r="F4824" t="str">
            <v>Alternative</v>
          </cell>
          <cell r="G4824" t="str">
            <v>Other</v>
          </cell>
          <cell r="H4824" t="str">
            <v>ALTS</v>
          </cell>
          <cell r="I4824" t="str">
            <v>Alternative - Hedge Fund</v>
          </cell>
        </row>
        <row r="4825">
          <cell r="A4825" t="str">
            <v>AI_EQ_SECTOR</v>
          </cell>
          <cell r="B4825" t="str">
            <v>Equity Sector [S]</v>
          </cell>
          <cell r="C4825" t="str">
            <v>ALTERNATIVE:_HEDGE_FUNDS:BAI_HF_EQUITY:AI_EQ_SECTOR</v>
          </cell>
          <cell r="D4825" t="str">
            <v>Index</v>
          </cell>
          <cell r="E4825" t="str">
            <v>Index Level</v>
          </cell>
          <cell r="F4825" t="str">
            <v>Alternative</v>
          </cell>
          <cell r="G4825" t="str">
            <v>Other</v>
          </cell>
          <cell r="H4825" t="str">
            <v>ALTS</v>
          </cell>
          <cell r="I4825" t="str">
            <v>Alternative - Hedge Fund</v>
          </cell>
        </row>
        <row r="4826">
          <cell r="A4826" t="str">
            <v>AI_EQ_STYLE</v>
          </cell>
          <cell r="B4826" t="str">
            <v>Equity Style [S]</v>
          </cell>
          <cell r="C4826" t="str">
            <v>ALTERNATIVE:_HEDGE_FUNDS:BAI_HF_EQUITY:AI_EQ_STYLE</v>
          </cell>
          <cell r="D4826" t="str">
            <v>Index</v>
          </cell>
          <cell r="E4826" t="str">
            <v>Index Level</v>
          </cell>
          <cell r="F4826" t="str">
            <v>Alternative</v>
          </cell>
          <cell r="G4826" t="str">
            <v>Other</v>
          </cell>
          <cell r="H4826" t="str">
            <v>ALTS</v>
          </cell>
          <cell r="I4826" t="str">
            <v>Alternative - Hedge Fund</v>
          </cell>
        </row>
        <row r="4827">
          <cell r="A4827" t="str">
            <v>AI_EUR_EQ</v>
          </cell>
          <cell r="B4827" t="str">
            <v>Eurozone Equity [S]</v>
          </cell>
          <cell r="C4827" t="str">
            <v>ALTERNATIVE:_HEDGE_FUNDS:BAI_HF_EQUITY:AI_EUR_EQ</v>
          </cell>
          <cell r="D4827" t="str">
            <v>Index</v>
          </cell>
          <cell r="E4827" t="str">
            <v>Index Level</v>
          </cell>
          <cell r="F4827" t="str">
            <v>Alternative</v>
          </cell>
          <cell r="G4827" t="str">
            <v>Other</v>
          </cell>
          <cell r="H4827" t="str">
            <v>ALTS</v>
          </cell>
          <cell r="I4827" t="str">
            <v>Alternative - Hedge Fund</v>
          </cell>
        </row>
        <row r="4828">
          <cell r="A4828" t="str">
            <v>AI_FINS_EQ</v>
          </cell>
          <cell r="B4828" t="str">
            <v>Financials Equity Sector [S]</v>
          </cell>
          <cell r="C4828" t="str">
            <v>ALTERNATIVE:_HEDGE_FUNDS:BAI_HF_EQUITY:AI_FINS_EQ</v>
          </cell>
          <cell r="D4828" t="str">
            <v>Index</v>
          </cell>
          <cell r="E4828" t="str">
            <v>Index Level</v>
          </cell>
          <cell r="F4828" t="str">
            <v>Alternative</v>
          </cell>
          <cell r="G4828" t="str">
            <v>Other</v>
          </cell>
          <cell r="H4828" t="str">
            <v>ALTS</v>
          </cell>
          <cell r="I4828" t="str">
            <v>Alternative - Hedge Fund</v>
          </cell>
        </row>
        <row r="4829">
          <cell r="A4829" t="str">
            <v>AI_HEALTH_EQ</v>
          </cell>
          <cell r="B4829" t="str">
            <v>Health Care Equity Sector [S]</v>
          </cell>
          <cell r="C4829" t="str">
            <v>ALTERNATIVE:_HEDGE_FUNDS:BAI_HF_EQUITY:AI_HEALTH_EQ</v>
          </cell>
          <cell r="D4829" t="str">
            <v>Index</v>
          </cell>
          <cell r="E4829" t="str">
            <v>Index Level</v>
          </cell>
          <cell r="F4829" t="str">
            <v>Alternative</v>
          </cell>
          <cell r="G4829" t="str">
            <v>Other</v>
          </cell>
          <cell r="H4829" t="str">
            <v>ALTS</v>
          </cell>
          <cell r="I4829" t="str">
            <v>Alternative - Hedge Fund</v>
          </cell>
        </row>
        <row r="4830">
          <cell r="A4830" t="str">
            <v>AI_JPN_EQ</v>
          </cell>
          <cell r="B4830" t="str">
            <v>Japan Equity [S]</v>
          </cell>
          <cell r="C4830" t="str">
            <v>ALTERNATIVE:_HEDGE_FUNDS:BAI_HF_EQUITY:AI_JPN_EQ</v>
          </cell>
          <cell r="D4830" t="str">
            <v>Index</v>
          </cell>
          <cell r="E4830" t="str">
            <v>Index Level</v>
          </cell>
          <cell r="F4830" t="str">
            <v>Alternative</v>
          </cell>
          <cell r="G4830" t="str">
            <v>Other</v>
          </cell>
          <cell r="H4830" t="str">
            <v>ALTS</v>
          </cell>
          <cell r="I4830" t="str">
            <v>Alternative - Hedge Fund</v>
          </cell>
        </row>
        <row r="4831">
          <cell r="A4831" t="str">
            <v>AI_UK_EQ</v>
          </cell>
          <cell r="B4831" t="str">
            <v>UK Equity [S]</v>
          </cell>
          <cell r="C4831" t="str">
            <v>ALTERNATIVE:_HEDGE_FUNDS:BAI_HF_EQUITY:AI_UK_EQ</v>
          </cell>
          <cell r="D4831" t="str">
            <v>Index</v>
          </cell>
          <cell r="E4831" t="str">
            <v>Index Level</v>
          </cell>
          <cell r="F4831" t="str">
            <v>Alternative</v>
          </cell>
          <cell r="G4831" t="str">
            <v>Other</v>
          </cell>
          <cell r="H4831" t="str">
            <v>ALTS</v>
          </cell>
          <cell r="I4831" t="str">
            <v>Alternative - Hedge Fund</v>
          </cell>
        </row>
        <row r="4832">
          <cell r="A4832" t="str">
            <v>AI_US_EQ</v>
          </cell>
          <cell r="B4832" t="str">
            <v>US Equity [S]</v>
          </cell>
          <cell r="C4832" t="str">
            <v>ALTERNATIVE:_HEDGE_FUNDS:BAI_HF_EQUITY:AI_US_EQ</v>
          </cell>
          <cell r="D4832" t="str">
            <v>Index</v>
          </cell>
          <cell r="E4832" t="str">
            <v>Index Level</v>
          </cell>
          <cell r="F4832" t="str">
            <v>Alternative</v>
          </cell>
          <cell r="G4832" t="str">
            <v>Other</v>
          </cell>
          <cell r="H4832" t="str">
            <v>ALTS</v>
          </cell>
          <cell r="I4832" t="str">
            <v>Alternative - Hedge Fund</v>
          </cell>
        </row>
        <row r="4833">
          <cell r="A4833" t="str">
            <v>AI_SMALLCAP_EQ</v>
          </cell>
          <cell r="B4833" t="str">
            <v>Small Cap Equity [S]</v>
          </cell>
          <cell r="C4833" t="str">
            <v>ALTERNATIVE:_HEDGE_FUNDS:BAI_HF_EQUITY:AI_SMALLCAP_EQ</v>
          </cell>
          <cell r="D4833" t="str">
            <v>Index</v>
          </cell>
          <cell r="E4833" t="str">
            <v>Index Level</v>
          </cell>
          <cell r="F4833" t="str">
            <v>Alternative</v>
          </cell>
          <cell r="G4833" t="str">
            <v>Other</v>
          </cell>
          <cell r="H4833" t="str">
            <v>ALTS</v>
          </cell>
          <cell r="I4833" t="str">
            <v>Alternative - Hedge Fund</v>
          </cell>
        </row>
        <row r="4834">
          <cell r="A4834" t="str">
            <v>AI_TECH_EQ</v>
          </cell>
          <cell r="B4834" t="str">
            <v>Technology Equity Sector [S]</v>
          </cell>
          <cell r="C4834" t="str">
            <v>ALTERNATIVE:_HEDGE_FUNDS:BAI_HF_EQUITY:AI_TECH_EQ</v>
          </cell>
          <cell r="D4834" t="str">
            <v>Index</v>
          </cell>
          <cell r="E4834" t="str">
            <v>Index Level</v>
          </cell>
          <cell r="F4834" t="str">
            <v>Alternative</v>
          </cell>
          <cell r="G4834" t="str">
            <v>Other</v>
          </cell>
          <cell r="H4834" t="str">
            <v>ALTS</v>
          </cell>
          <cell r="I4834" t="str">
            <v>Alternative - Hedge Fund</v>
          </cell>
        </row>
        <row r="4835">
          <cell r="A4835" t="str">
            <v>AI_EQ_LONGVOL</v>
          </cell>
          <cell r="B4835" t="str">
            <v>Equity Long-Dated Vol [S]</v>
          </cell>
          <cell r="C4835" t="str">
            <v>ALTERNATIVE:_HEDGE_FUNDS:BAI_HF_EQUITY:AI_EQ_LONGVOL</v>
          </cell>
          <cell r="D4835" t="str">
            <v>Index</v>
          </cell>
          <cell r="E4835" t="str">
            <v>Index Level</v>
          </cell>
          <cell r="F4835" t="str">
            <v>Alternative</v>
          </cell>
          <cell r="G4835" t="str">
            <v>Other</v>
          </cell>
          <cell r="H4835" t="str">
            <v>ALTS</v>
          </cell>
          <cell r="I4835" t="str">
            <v>Alternative - Hedge Fund</v>
          </cell>
        </row>
        <row r="4836">
          <cell r="A4836" t="str">
            <v>AI_RATES</v>
          </cell>
          <cell r="B4836" t="str">
            <v>Rates [P]</v>
          </cell>
          <cell r="C4836" t="str">
            <v>ALTERNATIVE:_HEDGE_FUNDS:BAI_HF_RATES:AI_RATES</v>
          </cell>
          <cell r="D4836" t="str">
            <v>Index</v>
          </cell>
          <cell r="E4836" t="str">
            <v>Index Level</v>
          </cell>
          <cell r="F4836" t="str">
            <v>Alternative</v>
          </cell>
          <cell r="G4836" t="str">
            <v>Other</v>
          </cell>
          <cell r="H4836" t="str">
            <v>ALTS</v>
          </cell>
          <cell r="I4836" t="str">
            <v>Alternative - Hedge Fund</v>
          </cell>
        </row>
        <row r="4837">
          <cell r="A4837" t="str">
            <v>AI_YC_BARBELL</v>
          </cell>
          <cell r="B4837" t="str">
            <v>Yield Curve Barbell [S]</v>
          </cell>
          <cell r="C4837" t="str">
            <v>ALTERNATIVE:_HEDGE_FUNDS:BAI_HF_RATES:AI_YC_BARBELL</v>
          </cell>
          <cell r="D4837" t="str">
            <v>Index</v>
          </cell>
          <cell r="E4837" t="str">
            <v>Index Level</v>
          </cell>
          <cell r="F4837" t="str">
            <v>Alternative</v>
          </cell>
          <cell r="G4837" t="str">
            <v>Other</v>
          </cell>
          <cell r="H4837" t="str">
            <v>ALTS</v>
          </cell>
          <cell r="I4837" t="str">
            <v>Alternative - Hedge Fund</v>
          </cell>
        </row>
        <row r="4838">
          <cell r="A4838" t="str">
            <v>AI_YC_SLOPE</v>
          </cell>
          <cell r="B4838" t="str">
            <v>Yield Curve Slope [S]</v>
          </cell>
          <cell r="C4838" t="str">
            <v>ALTERNATIVE:_HEDGE_FUNDS:BAI_HF_RATES:AI_YC_SLOPE</v>
          </cell>
          <cell r="D4838" t="str">
            <v>Index</v>
          </cell>
          <cell r="E4838" t="str">
            <v>Index Level</v>
          </cell>
          <cell r="F4838" t="str">
            <v>Alternative</v>
          </cell>
          <cell r="G4838" t="str">
            <v>Other</v>
          </cell>
          <cell r="H4838" t="str">
            <v>ALTS</v>
          </cell>
          <cell r="I4838" t="str">
            <v>Alternative - Hedge Fund</v>
          </cell>
        </row>
        <row r="4839">
          <cell r="A4839" t="str">
            <v>AI_SWAPSPREAD</v>
          </cell>
          <cell r="B4839" t="str">
            <v>Swap Spread [S]</v>
          </cell>
          <cell r="C4839" t="str">
            <v>ALTERNATIVE:_HEDGE_FUNDS:BAI_HF_RATES:AI_SWAPSPREAD</v>
          </cell>
          <cell r="D4839" t="str">
            <v>Index</v>
          </cell>
          <cell r="E4839" t="str">
            <v>Index Level</v>
          </cell>
          <cell r="F4839" t="str">
            <v>Alternative</v>
          </cell>
          <cell r="G4839" t="str">
            <v>Other</v>
          </cell>
          <cell r="H4839" t="str">
            <v>ALTS</v>
          </cell>
          <cell r="I4839" t="str">
            <v>Alternative - Hedge Fund</v>
          </cell>
        </row>
        <row r="4840">
          <cell r="A4840" t="str">
            <v>AI_3MLIBOR_RTN</v>
          </cell>
          <cell r="B4840" t="str">
            <v>LIBOR 3-Month US Cash Return</v>
          </cell>
          <cell r="C4840" t="str">
            <v>ALTERNATIVE:_HEDGE_FUNDS:BAI_HF_RATES:AI_3MLIBOR_RTN</v>
          </cell>
          <cell r="D4840" t="str">
            <v>Index</v>
          </cell>
          <cell r="E4840" t="str">
            <v>Index Level</v>
          </cell>
          <cell r="F4840" t="str">
            <v>Alternative</v>
          </cell>
          <cell r="G4840" t="str">
            <v>Other</v>
          </cell>
          <cell r="H4840" t="str">
            <v>ALTS</v>
          </cell>
          <cell r="I4840" t="str">
            <v>Alternative - Hedge Fund</v>
          </cell>
        </row>
        <row r="4841">
          <cell r="A4841" t="str">
            <v>AI_CDS_BASIS</v>
          </cell>
          <cell r="B4841" t="str">
            <v>CDS Basis [S]</v>
          </cell>
          <cell r="C4841" t="str">
            <v>ALTERNATIVE:_HEDGE_FUNDS:BAI_HF_SPREAD:AI_CDS_BASIS</v>
          </cell>
          <cell r="D4841" t="str">
            <v>Index</v>
          </cell>
          <cell r="E4841" t="str">
            <v>Index Level</v>
          </cell>
          <cell r="F4841" t="str">
            <v>Alternative</v>
          </cell>
          <cell r="G4841" t="str">
            <v>Other</v>
          </cell>
          <cell r="H4841" t="str">
            <v>ALTS</v>
          </cell>
          <cell r="I4841" t="str">
            <v>Alternative - Hedge Fund</v>
          </cell>
        </row>
        <row r="4842">
          <cell r="A4842" t="str">
            <v>AI_CR_ABS</v>
          </cell>
          <cell r="B4842" t="str">
            <v>Credit - ABS [S]</v>
          </cell>
          <cell r="C4842" t="str">
            <v>ALTERNATIVE:_HEDGE_FUNDS:BAI_HF_SPREAD:AI_CR_ABS</v>
          </cell>
          <cell r="D4842" t="str">
            <v>Index</v>
          </cell>
          <cell r="E4842" t="str">
            <v>Index Level</v>
          </cell>
          <cell r="F4842" t="str">
            <v>Alternative</v>
          </cell>
          <cell r="G4842" t="str">
            <v>Other</v>
          </cell>
          <cell r="H4842" t="str">
            <v>ALTS</v>
          </cell>
          <cell r="I4842" t="str">
            <v>Alternative - Hedge Fund</v>
          </cell>
        </row>
        <row r="4843">
          <cell r="A4843" t="str">
            <v>AI_CR_COMM</v>
          </cell>
          <cell r="B4843" t="str">
            <v>Credit - Commercial [S]</v>
          </cell>
          <cell r="C4843" t="str">
            <v>ALTERNATIVE:_HEDGE_FUNDS:BAI_HF_SPREAD:AI_CR_COMM</v>
          </cell>
          <cell r="D4843" t="str">
            <v>Index</v>
          </cell>
          <cell r="E4843" t="str">
            <v>Index Level</v>
          </cell>
          <cell r="F4843" t="str">
            <v>Alternative</v>
          </cell>
          <cell r="G4843" t="str">
            <v>Other</v>
          </cell>
          <cell r="H4843" t="str">
            <v>ALTS</v>
          </cell>
          <cell r="I4843" t="str">
            <v>Alternative - Hedge Fund</v>
          </cell>
        </row>
        <row r="4844">
          <cell r="A4844" t="str">
            <v>AI_CR_CORP</v>
          </cell>
          <cell r="B4844" t="str">
            <v>Credit - Corporate [S]</v>
          </cell>
          <cell r="C4844" t="str">
            <v>ALTERNATIVE:_HEDGE_FUNDS:BAI_HF_SPREAD:AI_CR_CORP</v>
          </cell>
          <cell r="D4844" t="str">
            <v>Index</v>
          </cell>
          <cell r="E4844" t="str">
            <v>Index Level</v>
          </cell>
          <cell r="F4844" t="str">
            <v>Alternative</v>
          </cell>
          <cell r="G4844" t="str">
            <v>Other</v>
          </cell>
          <cell r="H4844" t="str">
            <v>ALTS</v>
          </cell>
          <cell r="I4844" t="str">
            <v>Alternative - Hedge Fund</v>
          </cell>
        </row>
        <row r="4845">
          <cell r="A4845" t="str">
            <v>AI_CR_QUAL</v>
          </cell>
          <cell r="B4845" t="str">
            <v>Credit Quality [S]</v>
          </cell>
          <cell r="C4845" t="str">
            <v>ALTERNATIVE:_HEDGE_FUNDS:BAI_HF_SPREAD:AI_CR_QUAL</v>
          </cell>
          <cell r="D4845" t="str">
            <v>Index</v>
          </cell>
          <cell r="E4845" t="str">
            <v>Index Level</v>
          </cell>
          <cell r="F4845" t="str">
            <v>Alternative</v>
          </cell>
          <cell r="G4845" t="str">
            <v>Other</v>
          </cell>
          <cell r="H4845" t="str">
            <v>ALTS</v>
          </cell>
          <cell r="I4845" t="str">
            <v>Alternative - Hedge Fund</v>
          </cell>
        </row>
        <row r="4846">
          <cell r="A4846" t="str">
            <v>AI_CR_SOV</v>
          </cell>
          <cell r="B4846" t="str">
            <v>Credit - Sovereign [S]</v>
          </cell>
          <cell r="C4846" t="str">
            <v>ALTERNATIVE:_HEDGE_FUNDS:BAI_HF_SPREAD:AI_CR_SOV</v>
          </cell>
          <cell r="D4846" t="str">
            <v>Index</v>
          </cell>
          <cell r="E4846" t="str">
            <v>Index Level</v>
          </cell>
          <cell r="F4846" t="str">
            <v>Alternative</v>
          </cell>
          <cell r="G4846" t="str">
            <v>Other</v>
          </cell>
          <cell r="H4846" t="str">
            <v>ALTS</v>
          </cell>
          <cell r="I4846" t="str">
            <v>Alternative - Hedge Fund</v>
          </cell>
        </row>
        <row r="4847">
          <cell r="A4847" t="str">
            <v>AI_CS_LOAN</v>
          </cell>
          <cell r="B4847" t="str">
            <v>Capital Structure Loans [S]</v>
          </cell>
          <cell r="C4847" t="str">
            <v>ALTERNATIVE:_HEDGE_FUNDS:BAI_HF_SPREAD:AI_CS_LOAN</v>
          </cell>
          <cell r="D4847" t="str">
            <v>Index</v>
          </cell>
          <cell r="E4847" t="str">
            <v>Index Level</v>
          </cell>
          <cell r="F4847" t="str">
            <v>Alternative</v>
          </cell>
          <cell r="G4847" t="str">
            <v>Other</v>
          </cell>
          <cell r="H4847" t="str">
            <v>ALTS</v>
          </cell>
          <cell r="I4847" t="str">
            <v>Alternative - Hedge Fund</v>
          </cell>
        </row>
        <row r="4848">
          <cell r="A4848" t="str">
            <v>AI_US_CR</v>
          </cell>
          <cell r="B4848" t="str">
            <v>US Credit [S]</v>
          </cell>
          <cell r="C4848" t="str">
            <v>ALTERNATIVE:_HEDGE_FUNDS:BAI_HF_SPREAD:AI_US_CR</v>
          </cell>
          <cell r="D4848" t="str">
            <v>Index</v>
          </cell>
          <cell r="E4848" t="str">
            <v>Index Level</v>
          </cell>
          <cell r="F4848" t="str">
            <v>Alternative</v>
          </cell>
          <cell r="G4848" t="str">
            <v>Other</v>
          </cell>
          <cell r="H4848" t="str">
            <v>ALTS</v>
          </cell>
          <cell r="I4848" t="str">
            <v>Alternative - Hedge Fund</v>
          </cell>
        </row>
        <row r="4849">
          <cell r="A4849" t="str">
            <v>AI_GSCI_AGRI</v>
          </cell>
          <cell r="B4849" t="str">
            <v>Commodity - Agriculture [P]</v>
          </cell>
          <cell r="C4849" t="str">
            <v>ALTERNATIVE:_HEDGE_FUNDS:BAI_HF_COMD:AI_GSCI_AGRI</v>
          </cell>
          <cell r="D4849" t="str">
            <v>Index</v>
          </cell>
          <cell r="E4849" t="str">
            <v>Index Level</v>
          </cell>
          <cell r="F4849" t="str">
            <v>Alternative</v>
          </cell>
          <cell r="G4849" t="str">
            <v>Other</v>
          </cell>
          <cell r="H4849" t="str">
            <v>ALTS</v>
          </cell>
          <cell r="I4849" t="str">
            <v>Alternative - Hedge Fund</v>
          </cell>
        </row>
        <row r="4850">
          <cell r="A4850" t="str">
            <v>AI_GSCI_IND</v>
          </cell>
          <cell r="B4850" t="str">
            <v>Commodity - Ind. Metals [P]</v>
          </cell>
          <cell r="C4850" t="str">
            <v>ALTERNATIVE:_HEDGE_FUNDS:BAI_HF_COMD:AI_GSCI_IND</v>
          </cell>
          <cell r="D4850" t="str">
            <v>Index</v>
          </cell>
          <cell r="E4850" t="str">
            <v>Index Level</v>
          </cell>
          <cell r="F4850" t="str">
            <v>Alternative</v>
          </cell>
          <cell r="G4850" t="str">
            <v>Other</v>
          </cell>
          <cell r="H4850" t="str">
            <v>ALTS</v>
          </cell>
          <cell r="I4850" t="str">
            <v>Alternative - Hedge Fund</v>
          </cell>
        </row>
        <row r="4851">
          <cell r="A4851" t="str">
            <v>AI_GSCI_NGAS</v>
          </cell>
          <cell r="B4851" t="str">
            <v>Commodity - Natural Gas [P]</v>
          </cell>
          <cell r="C4851" t="str">
            <v>ALTERNATIVE:_HEDGE_FUNDS:BAI_HF_COMD:AI_GSCI_NGAS</v>
          </cell>
          <cell r="D4851" t="str">
            <v>Index</v>
          </cell>
          <cell r="E4851" t="str">
            <v>Index Level</v>
          </cell>
          <cell r="F4851" t="str">
            <v>Alternative</v>
          </cell>
          <cell r="G4851" t="str">
            <v>Other</v>
          </cell>
          <cell r="H4851" t="str">
            <v>ALTS</v>
          </cell>
          <cell r="I4851" t="str">
            <v>Alternative - Hedge Fund</v>
          </cell>
        </row>
        <row r="4852">
          <cell r="A4852" t="str">
            <v>AI_GSCI_OIL</v>
          </cell>
          <cell r="B4852" t="str">
            <v>Commodity - Oil [P]</v>
          </cell>
          <cell r="C4852" t="str">
            <v>ALTERNATIVE:_HEDGE_FUNDS:BAI_HF_COMD:AI_GSCI_OIL</v>
          </cell>
          <cell r="D4852" t="str">
            <v>Index</v>
          </cell>
          <cell r="E4852" t="str">
            <v>Index Level</v>
          </cell>
          <cell r="F4852" t="str">
            <v>Alternative</v>
          </cell>
          <cell r="G4852" t="str">
            <v>Other</v>
          </cell>
          <cell r="H4852" t="str">
            <v>ALTS</v>
          </cell>
          <cell r="I4852" t="str">
            <v>Alternative - Hedge Fund</v>
          </cell>
        </row>
        <row r="4853">
          <cell r="A4853" t="str">
            <v>AI_GSCI_PREC</v>
          </cell>
          <cell r="B4853" t="str">
            <v>Commodity - Prec. Metals [P]</v>
          </cell>
          <cell r="C4853" t="str">
            <v>ALTERNATIVE:_HEDGE_FUNDS:BAI_HF_COMD:AI_GSCI_PREC</v>
          </cell>
          <cell r="D4853" t="str">
            <v>Index</v>
          </cell>
          <cell r="E4853" t="str">
            <v>Index Level</v>
          </cell>
          <cell r="F4853" t="str">
            <v>Alternative</v>
          </cell>
          <cell r="G4853" t="str">
            <v>Other</v>
          </cell>
          <cell r="H4853" t="str">
            <v>ALTS</v>
          </cell>
          <cell r="I4853" t="str">
            <v>Alternative - Hedge Fund</v>
          </cell>
        </row>
        <row r="4854">
          <cell r="A4854" t="str">
            <v>AI_CRNCY_CARRY</v>
          </cell>
          <cell r="B4854" t="str">
            <v>Currency Carry [S]</v>
          </cell>
          <cell r="C4854" t="str">
            <v>ALTERNATIVE:_HEDGE_FUNDS:BAI_HF_STYLE:AI_CRNCY_CARRY</v>
          </cell>
          <cell r="D4854" t="str">
            <v>Index</v>
          </cell>
          <cell r="E4854" t="str">
            <v>Index Level</v>
          </cell>
          <cell r="F4854" t="str">
            <v>Alternative</v>
          </cell>
          <cell r="G4854" t="str">
            <v>Other</v>
          </cell>
          <cell r="H4854" t="str">
            <v>ALTS</v>
          </cell>
          <cell r="I4854" t="str">
            <v>Alternative - Hedge Fund</v>
          </cell>
        </row>
        <row r="4855">
          <cell r="A4855" t="str">
            <v>AI_MERGR</v>
          </cell>
          <cell r="B4855" t="str">
            <v>Merger Arbitrage [S]</v>
          </cell>
          <cell r="C4855" t="str">
            <v>ALTERNATIVE:_HEDGE_FUNDS:BAI_HF_STYLE:AI_MERGR</v>
          </cell>
          <cell r="D4855" t="str">
            <v>Index</v>
          </cell>
          <cell r="E4855" t="str">
            <v>Index Level</v>
          </cell>
          <cell r="F4855" t="str">
            <v>Alternative</v>
          </cell>
          <cell r="G4855" t="str">
            <v>Other</v>
          </cell>
          <cell r="H4855" t="str">
            <v>ALTS</v>
          </cell>
          <cell r="I4855" t="str">
            <v>Alternative - Hedge Fund</v>
          </cell>
        </row>
        <row r="4856">
          <cell r="A4856" t="str">
            <v>AI_TRENDFOL</v>
          </cell>
          <cell r="B4856" t="str">
            <v>Trend-Following [S]</v>
          </cell>
          <cell r="C4856" t="str">
            <v>ALTERNATIVE:_HEDGE_FUNDS:BAI_HF_STYLE:AI_TRENDFOL</v>
          </cell>
          <cell r="D4856" t="str">
            <v>Index</v>
          </cell>
          <cell r="E4856" t="str">
            <v>Index Level</v>
          </cell>
          <cell r="F4856" t="str">
            <v>Alternative</v>
          </cell>
          <cell r="G4856" t="str">
            <v>Other</v>
          </cell>
          <cell r="H4856" t="str">
            <v>ALTS</v>
          </cell>
          <cell r="I4856" t="str">
            <v>Alternative - Hedge Fund</v>
          </cell>
        </row>
        <row r="4857">
          <cell r="A4857" t="str">
            <v>AI_WIDELYHELD_EQ</v>
          </cell>
          <cell r="B4857" t="str">
            <v>Widely-Held Eq. Positions [S]</v>
          </cell>
          <cell r="C4857" t="str">
            <v>ALTERNATIVE:_HEDGE_FUNDS:BAI_HF_STYLE:AI_WIDELYHELD_EQ</v>
          </cell>
          <cell r="D4857" t="str">
            <v>Index</v>
          </cell>
          <cell r="E4857" t="str">
            <v>Index Level</v>
          </cell>
          <cell r="F4857" t="str">
            <v>Alternative</v>
          </cell>
          <cell r="G4857" t="str">
            <v>Other</v>
          </cell>
          <cell r="H4857" t="str">
            <v>ALTS</v>
          </cell>
          <cell r="I4857" t="str">
            <v>Alternative - Hedge Fund</v>
          </cell>
        </row>
        <row r="4858">
          <cell r="A4858" t="str">
            <v>AI_CONV_BOND</v>
          </cell>
          <cell r="B4858" t="str">
            <v>Convertible Bond Valuation [S]</v>
          </cell>
          <cell r="C4858" t="str">
            <v>ALTERNATIVE:_HEDGE_FUNDS:BAI_HF_STYLE:AI_CONV_BOND</v>
          </cell>
          <cell r="D4858" t="str">
            <v>Index</v>
          </cell>
          <cell r="E4858" t="str">
            <v>Index Level</v>
          </cell>
          <cell r="F4858" t="str">
            <v>Alternative</v>
          </cell>
          <cell r="G4858" t="str">
            <v>Other</v>
          </cell>
          <cell r="H4858" t="str">
            <v>ALTS</v>
          </cell>
          <cell r="I4858" t="str">
            <v>Alternative - Hedge Fund</v>
          </cell>
        </row>
        <row r="4859">
          <cell r="A4859" t="str">
            <v>HFRXEWC</v>
          </cell>
          <cell r="B4859" t="str">
            <v>HFRX Eql Wt Strat CHF</v>
          </cell>
          <cell r="C4859" t="str">
            <v>ALTERNATIVE:INDEX_TIME_SERIES:HFRXEWC</v>
          </cell>
          <cell r="D4859" t="str">
            <v>Index</v>
          </cell>
          <cell r="E4859" t="str">
            <v>Index Level</v>
          </cell>
          <cell r="F4859" t="str">
            <v>Alternative</v>
          </cell>
          <cell r="G4859" t="str">
            <v>Other</v>
          </cell>
          <cell r="H4859" t="str">
            <v>ALTS</v>
          </cell>
          <cell r="I4859" t="str">
            <v>Alternative - Index</v>
          </cell>
        </row>
        <row r="4860">
          <cell r="A4860" t="str">
            <v>HFRXEWE</v>
          </cell>
          <cell r="B4860" t="str">
            <v>HFRX Eql Wt Strat EUR</v>
          </cell>
          <cell r="C4860" t="str">
            <v>ALTERNATIVE:INDEX_TIME_SERIES:HFRXEWE</v>
          </cell>
          <cell r="D4860" t="str">
            <v>Index</v>
          </cell>
          <cell r="E4860" t="str">
            <v>Index Level</v>
          </cell>
          <cell r="F4860" t="str">
            <v>Alternative</v>
          </cell>
          <cell r="G4860" t="str">
            <v>Other</v>
          </cell>
          <cell r="H4860" t="str">
            <v>ALTS</v>
          </cell>
          <cell r="I4860" t="str">
            <v>Alternative - Index</v>
          </cell>
        </row>
        <row r="4861">
          <cell r="A4861" t="str">
            <v>HFRXEWG</v>
          </cell>
          <cell r="B4861" t="str">
            <v>HFRX Eql Wt Strat GBP</v>
          </cell>
          <cell r="C4861" t="str">
            <v>ALTERNATIVE:INDEX_TIME_SERIES:HFRXEWG</v>
          </cell>
          <cell r="D4861" t="str">
            <v>Index</v>
          </cell>
          <cell r="E4861" t="str">
            <v>Index Level</v>
          </cell>
          <cell r="F4861" t="str">
            <v>Alternative</v>
          </cell>
          <cell r="G4861" t="str">
            <v>Other</v>
          </cell>
          <cell r="H4861" t="str">
            <v>ALTS</v>
          </cell>
          <cell r="I4861" t="str">
            <v>Alternative - Index</v>
          </cell>
        </row>
        <row r="4862">
          <cell r="A4862" t="str">
            <v>HFRXEWJ</v>
          </cell>
          <cell r="B4862" t="str">
            <v>HFRX Eql Wt Strat JPY</v>
          </cell>
          <cell r="C4862" t="str">
            <v>ALTERNATIVE:INDEX_TIME_SERIES:HFRXEWJ</v>
          </cell>
          <cell r="D4862" t="str">
            <v>Index</v>
          </cell>
          <cell r="E4862" t="str">
            <v>Index Level</v>
          </cell>
          <cell r="F4862" t="str">
            <v>Alternative</v>
          </cell>
          <cell r="G4862" t="str">
            <v>Other</v>
          </cell>
          <cell r="H4862" t="str">
            <v>ALTS</v>
          </cell>
          <cell r="I4862" t="str">
            <v>Alternative - Index</v>
          </cell>
        </row>
        <row r="4863">
          <cell r="A4863" t="str">
            <v>HFRXGLC</v>
          </cell>
          <cell r="B4863" t="str">
            <v>HFRX Global HF CHF</v>
          </cell>
          <cell r="C4863" t="str">
            <v>ALTERNATIVE:INDEX_TIME_SERIES:HFRXGLC</v>
          </cell>
          <cell r="D4863" t="str">
            <v>Index</v>
          </cell>
          <cell r="E4863" t="str">
            <v>Index Level</v>
          </cell>
          <cell r="F4863" t="str">
            <v>Alternative</v>
          </cell>
          <cell r="G4863" t="str">
            <v>Other</v>
          </cell>
          <cell r="H4863" t="str">
            <v>ALTS</v>
          </cell>
          <cell r="I4863" t="str">
            <v>Alternative - Index</v>
          </cell>
        </row>
        <row r="4864">
          <cell r="A4864" t="str">
            <v>HFRXGLE</v>
          </cell>
          <cell r="B4864" t="str">
            <v>HFRX Global HF EUR</v>
          </cell>
          <cell r="C4864" t="str">
            <v>ALTERNATIVE:INDEX_TIME_SERIES:HFRXGLE</v>
          </cell>
          <cell r="D4864" t="str">
            <v>Index</v>
          </cell>
          <cell r="E4864" t="str">
            <v>Index Level</v>
          </cell>
          <cell r="F4864" t="str">
            <v>Alternative</v>
          </cell>
          <cell r="G4864" t="str">
            <v>Other</v>
          </cell>
          <cell r="H4864" t="str">
            <v>ALTS</v>
          </cell>
          <cell r="I4864" t="str">
            <v>Alternative - Index</v>
          </cell>
        </row>
        <row r="4865">
          <cell r="A4865" t="str">
            <v>HFRXGLG</v>
          </cell>
          <cell r="B4865" t="str">
            <v>HFRX Global HF GBP</v>
          </cell>
          <cell r="C4865" t="str">
            <v>ALTERNATIVE:INDEX_TIME_SERIES:HFRXGLG</v>
          </cell>
          <cell r="D4865" t="str">
            <v>Index</v>
          </cell>
          <cell r="E4865" t="str">
            <v>Index Level</v>
          </cell>
          <cell r="F4865" t="str">
            <v>Alternative</v>
          </cell>
          <cell r="G4865" t="str">
            <v>Other</v>
          </cell>
          <cell r="H4865" t="str">
            <v>ALTS</v>
          </cell>
          <cell r="I4865" t="str">
            <v>Alternative - Index</v>
          </cell>
        </row>
        <row r="4866">
          <cell r="A4866" t="str">
            <v>HFRXGLJ</v>
          </cell>
          <cell r="B4866" t="str">
            <v>HFRX Global HF JPY</v>
          </cell>
          <cell r="C4866" t="str">
            <v>ALTERNATIVE:INDEX_TIME_SERIES:HFRXGLJ</v>
          </cell>
          <cell r="D4866" t="str">
            <v>Index</v>
          </cell>
          <cell r="E4866" t="str">
            <v>Index Level</v>
          </cell>
          <cell r="F4866" t="str">
            <v>Alternative</v>
          </cell>
          <cell r="G4866" t="str">
            <v>Other</v>
          </cell>
          <cell r="H4866" t="str">
            <v>ALTS</v>
          </cell>
          <cell r="I4866" t="str">
            <v>Alternative - Index</v>
          </cell>
        </row>
        <row r="4867">
          <cell r="A4867" t="str">
            <v>HFRXAR</v>
          </cell>
          <cell r="B4867" t="str">
            <v>HFRX Absolute Return</v>
          </cell>
          <cell r="C4867" t="str">
            <v>ALTERNATIVE:INDEX_TIME_SERIES:HFRXAR</v>
          </cell>
          <cell r="D4867" t="str">
            <v>Index</v>
          </cell>
          <cell r="E4867" t="str">
            <v>Index Level</v>
          </cell>
          <cell r="F4867" t="str">
            <v>Alternative</v>
          </cell>
          <cell r="G4867" t="str">
            <v>Other</v>
          </cell>
          <cell r="H4867" t="str">
            <v>ALTS</v>
          </cell>
          <cell r="I4867" t="str">
            <v>Alternative - Index</v>
          </cell>
        </row>
        <row r="4868">
          <cell r="A4868" t="str">
            <v>HFRXCA</v>
          </cell>
          <cell r="B4868" t="str">
            <v>HFRX Convertible Arb</v>
          </cell>
          <cell r="C4868" t="str">
            <v>ALTERNATIVE:INDEX_TIME_SERIES:HFRXCA</v>
          </cell>
          <cell r="D4868" t="str">
            <v>Index</v>
          </cell>
          <cell r="E4868" t="str">
            <v>Index Level</v>
          </cell>
          <cell r="F4868" t="str">
            <v>Alternative</v>
          </cell>
          <cell r="G4868" t="str">
            <v>Other</v>
          </cell>
          <cell r="H4868" t="str">
            <v>ALTS</v>
          </cell>
          <cell r="I4868" t="str">
            <v>Alternative - Index</v>
          </cell>
        </row>
        <row r="4869">
          <cell r="A4869" t="str">
            <v>HFRXDS</v>
          </cell>
          <cell r="B4869" t="str">
            <v>HFRX Distress Sec</v>
          </cell>
          <cell r="C4869" t="str">
            <v>ALTERNATIVE:INDEX_TIME_SERIES:HFRXDS</v>
          </cell>
          <cell r="D4869" t="str">
            <v>Index</v>
          </cell>
          <cell r="E4869" t="str">
            <v>Index Level</v>
          </cell>
          <cell r="F4869" t="str">
            <v>Alternative</v>
          </cell>
          <cell r="G4869" t="str">
            <v>Other</v>
          </cell>
          <cell r="H4869" t="str">
            <v>ALTS</v>
          </cell>
          <cell r="I4869" t="str">
            <v>Alternative - Index</v>
          </cell>
        </row>
        <row r="4870">
          <cell r="A4870" t="str">
            <v>HFRXED</v>
          </cell>
          <cell r="B4870" t="str">
            <v>HFRX Event Driven</v>
          </cell>
          <cell r="C4870" t="str">
            <v>ALTERNATIVE:INDEX_TIME_SERIES:HFRXED</v>
          </cell>
          <cell r="D4870" t="str">
            <v>Index</v>
          </cell>
          <cell r="E4870" t="str">
            <v>Index Level</v>
          </cell>
          <cell r="F4870" t="str">
            <v>Alternative</v>
          </cell>
          <cell r="G4870" t="str">
            <v>Other</v>
          </cell>
          <cell r="H4870" t="str">
            <v>ALTS</v>
          </cell>
          <cell r="I4870" t="str">
            <v>Alternative - Index</v>
          </cell>
        </row>
        <row r="4871">
          <cell r="A4871" t="str">
            <v>HFRXEH</v>
          </cell>
          <cell r="B4871" t="str">
            <v>HFRX Eqty Hedge</v>
          </cell>
          <cell r="C4871" t="str">
            <v>ALTERNATIVE:INDEX_TIME_SERIES:HFRXEH</v>
          </cell>
          <cell r="D4871" t="str">
            <v>Index</v>
          </cell>
          <cell r="E4871" t="str">
            <v>Index Level</v>
          </cell>
          <cell r="F4871" t="str">
            <v>Alternative</v>
          </cell>
          <cell r="G4871" t="str">
            <v>Other</v>
          </cell>
          <cell r="H4871" t="str">
            <v>ALTS</v>
          </cell>
          <cell r="I4871" t="str">
            <v>Alternative - Index</v>
          </cell>
        </row>
        <row r="4872">
          <cell r="A4872" t="str">
            <v>HFRXEMN</v>
          </cell>
          <cell r="B4872" t="str">
            <v>HFRX Eqty Mkt Neutral</v>
          </cell>
          <cell r="C4872" t="str">
            <v>ALTERNATIVE:INDEX_TIME_SERIES:HFRXEMN</v>
          </cell>
          <cell r="D4872" t="str">
            <v>Index</v>
          </cell>
          <cell r="E4872" t="str">
            <v>Index Level</v>
          </cell>
          <cell r="F4872" t="str">
            <v>Alternative</v>
          </cell>
          <cell r="G4872" t="str">
            <v>Other</v>
          </cell>
          <cell r="H4872" t="str">
            <v>ALTS</v>
          </cell>
          <cell r="I4872" t="str">
            <v>Alternative - Index</v>
          </cell>
        </row>
        <row r="4873">
          <cell r="A4873" t="str">
            <v>HFRXEW</v>
          </cell>
          <cell r="B4873" t="str">
            <v>HFRX Eql Wt Strat</v>
          </cell>
          <cell r="C4873" t="str">
            <v>ALTERNATIVE:INDEX_TIME_SERIES:HFRXEW</v>
          </cell>
          <cell r="D4873" t="str">
            <v>Index</v>
          </cell>
          <cell r="E4873" t="str">
            <v>Index Level</v>
          </cell>
          <cell r="F4873" t="str">
            <v>Alternative</v>
          </cell>
          <cell r="G4873" t="str">
            <v>Other</v>
          </cell>
          <cell r="H4873" t="str">
            <v>ALTS</v>
          </cell>
          <cell r="I4873" t="str">
            <v>Alternative - Index</v>
          </cell>
        </row>
        <row r="4874">
          <cell r="A4874" t="str">
            <v>HFRXGL</v>
          </cell>
          <cell r="B4874" t="str">
            <v>HFRX Global HF</v>
          </cell>
          <cell r="C4874" t="str">
            <v>ALTERNATIVE:INDEX_TIME_SERIES:HFRXGL</v>
          </cell>
          <cell r="D4874" t="str">
            <v>Index</v>
          </cell>
          <cell r="E4874" t="str">
            <v>Index Level</v>
          </cell>
          <cell r="F4874" t="str">
            <v>Alternative</v>
          </cell>
          <cell r="G4874" t="str">
            <v>Other</v>
          </cell>
          <cell r="H4874" t="str">
            <v>ALTS</v>
          </cell>
          <cell r="I4874" t="str">
            <v>Alternative - Index</v>
          </cell>
        </row>
        <row r="4875">
          <cell r="A4875" t="str">
            <v>HFRXM</v>
          </cell>
          <cell r="B4875" t="str">
            <v>HFRX Macro</v>
          </cell>
          <cell r="C4875" t="str">
            <v>ALTERNATIVE:INDEX_TIME_SERIES:HFRXM</v>
          </cell>
          <cell r="D4875" t="str">
            <v>Index</v>
          </cell>
          <cell r="E4875" t="str">
            <v>Index Level</v>
          </cell>
          <cell r="F4875" t="str">
            <v>Alternative</v>
          </cell>
          <cell r="G4875" t="str">
            <v>Other</v>
          </cell>
          <cell r="H4875" t="str">
            <v>ALTS</v>
          </cell>
          <cell r="I4875" t="str">
            <v>Alternative - Index</v>
          </cell>
        </row>
        <row r="4876">
          <cell r="A4876" t="str">
            <v>HFRXMA</v>
          </cell>
          <cell r="B4876" t="str">
            <v>HFRX Merger Arb</v>
          </cell>
          <cell r="C4876" t="str">
            <v>ALTERNATIVE:INDEX_TIME_SERIES:HFRXMA</v>
          </cell>
          <cell r="D4876" t="str">
            <v>Index</v>
          </cell>
          <cell r="E4876" t="str">
            <v>Index Level</v>
          </cell>
          <cell r="F4876" t="str">
            <v>Alternative</v>
          </cell>
          <cell r="G4876" t="str">
            <v>Other</v>
          </cell>
          <cell r="H4876" t="str">
            <v>ALTS</v>
          </cell>
          <cell r="I4876" t="str">
            <v>Alternative - Index</v>
          </cell>
        </row>
        <row r="4877">
          <cell r="A4877" t="str">
            <v>HFRXMD</v>
          </cell>
          <cell r="B4877" t="str">
            <v>HFRX Mkt Directional</v>
          </cell>
          <cell r="C4877" t="str">
            <v>ALTERNATIVE:INDEX_TIME_SERIES:HFRXMD</v>
          </cell>
          <cell r="D4877" t="str">
            <v>Index</v>
          </cell>
          <cell r="E4877" t="str">
            <v>Index Level</v>
          </cell>
          <cell r="F4877" t="str">
            <v>Alternative</v>
          </cell>
          <cell r="G4877" t="str">
            <v>Other</v>
          </cell>
          <cell r="H4877" t="str">
            <v>ALTS</v>
          </cell>
          <cell r="I4877" t="str">
            <v>Alternative - Index</v>
          </cell>
        </row>
        <row r="4878">
          <cell r="A4878" t="str">
            <v>HFRXRVA</v>
          </cell>
          <cell r="B4878" t="str">
            <v>HFRX Relative Val Arb</v>
          </cell>
          <cell r="C4878" t="str">
            <v>ALTERNATIVE:INDEX_TIME_SERIES:HFRXRVA</v>
          </cell>
          <cell r="D4878" t="str">
            <v>Index</v>
          </cell>
          <cell r="E4878" t="str">
            <v>Index Level</v>
          </cell>
          <cell r="F4878" t="str">
            <v>Alternative</v>
          </cell>
          <cell r="G4878" t="str">
            <v>Other</v>
          </cell>
          <cell r="H4878" t="str">
            <v>ALTS</v>
          </cell>
          <cell r="I4878" t="str">
            <v>Alternative - Index</v>
          </cell>
        </row>
        <row r="4879">
          <cell r="A4879" t="str">
            <v>HFRXFCUSD</v>
          </cell>
          <cell r="B4879" t="str">
            <v>HFRX FI Credit</v>
          </cell>
          <cell r="C4879" t="str">
            <v>ALTERNATIVE:INDEX_TIME_SERIES:HFRXFCUSD</v>
          </cell>
          <cell r="D4879" t="str">
            <v>Index</v>
          </cell>
          <cell r="E4879" t="str">
            <v>Index Level</v>
          </cell>
          <cell r="F4879" t="str">
            <v>Alternative</v>
          </cell>
          <cell r="G4879" t="str">
            <v>Other</v>
          </cell>
          <cell r="H4879" t="str">
            <v>ALTS</v>
          </cell>
          <cell r="I4879" t="str">
            <v>Alternative - Index</v>
          </cell>
        </row>
        <row r="4880">
          <cell r="A4880" t="str">
            <v>HFRXSDV</v>
          </cell>
          <cell r="B4880" t="str">
            <v>HFRX Systematic Div</v>
          </cell>
          <cell r="C4880" t="str">
            <v>ALTERNATIVE:INDEX_TIME_SERIES:HFRXSDV</v>
          </cell>
          <cell r="D4880" t="str">
            <v>Index</v>
          </cell>
          <cell r="E4880" t="str">
            <v>Index Level</v>
          </cell>
          <cell r="F4880" t="str">
            <v>Alternative</v>
          </cell>
          <cell r="G4880" t="str">
            <v>Other</v>
          </cell>
          <cell r="H4880" t="str">
            <v>ALTS</v>
          </cell>
          <cell r="I4880" t="str">
            <v>Alternative - Index</v>
          </cell>
        </row>
        <row r="4881">
          <cell r="A4881" t="str">
            <v>HFRXEMC</v>
          </cell>
          <cell r="B4881" t="str">
            <v>HFRX EM Composite</v>
          </cell>
          <cell r="C4881" t="str">
            <v>ALTERNATIVE:INDEX_TIME_SERIES:HFRXEMC</v>
          </cell>
          <cell r="D4881" t="str">
            <v>Index</v>
          </cell>
          <cell r="E4881" t="str">
            <v>Index Level</v>
          </cell>
          <cell r="F4881" t="str">
            <v>Alternative</v>
          </cell>
          <cell r="G4881" t="str">
            <v>Other</v>
          </cell>
          <cell r="H4881" t="str">
            <v>ALTS</v>
          </cell>
          <cell r="I4881" t="str">
            <v>Alternative - Index</v>
          </cell>
        </row>
        <row r="4882">
          <cell r="A4882" t="str">
            <v>FTMACINDEXU</v>
          </cell>
          <cell r="B4882" t="str">
            <v>Macqu Glob Infras (USD)</v>
          </cell>
          <cell r="C4882" t="str">
            <v>ALTERNATIVE:INDEX_TIME_SERIES:FTMACINDEXU</v>
          </cell>
          <cell r="D4882" t="str">
            <v>Index</v>
          </cell>
          <cell r="E4882" t="str">
            <v>Index Level</v>
          </cell>
          <cell r="F4882" t="str">
            <v>Alternative</v>
          </cell>
          <cell r="G4882" t="str">
            <v>Other</v>
          </cell>
          <cell r="H4882" t="str">
            <v>ALTS</v>
          </cell>
          <cell r="I4882" t="str">
            <v>Alternative - Index</v>
          </cell>
        </row>
        <row r="4883">
          <cell r="A4883" t="str">
            <v>FTMACINDEXE</v>
          </cell>
          <cell r="B4883" t="str">
            <v>Macqu Glob Infras (EUR)</v>
          </cell>
          <cell r="C4883" t="str">
            <v>ALTERNATIVE:INDEX_TIME_SERIES:FTMACINDEXE</v>
          </cell>
          <cell r="D4883" t="str">
            <v>Index</v>
          </cell>
          <cell r="E4883" t="str">
            <v>Index Level</v>
          </cell>
          <cell r="F4883" t="str">
            <v>Alternative</v>
          </cell>
          <cell r="G4883" t="str">
            <v>Other</v>
          </cell>
          <cell r="H4883" t="str">
            <v>ALTS</v>
          </cell>
          <cell r="I4883" t="str">
            <v>Alternative - Index</v>
          </cell>
        </row>
        <row r="4884">
          <cell r="A4884" t="str">
            <v>FTMACINDEXS</v>
          </cell>
          <cell r="B4884" t="str">
            <v>Macqu Glob Infras (GBP)</v>
          </cell>
          <cell r="C4884" t="str">
            <v>ALTERNATIVE:INDEX_TIME_SERIES:FTMACINDEXS</v>
          </cell>
          <cell r="D4884" t="str">
            <v>Index</v>
          </cell>
          <cell r="E4884" t="str">
            <v>Index Level</v>
          </cell>
          <cell r="F4884" t="str">
            <v>Alternative</v>
          </cell>
          <cell r="G4884" t="str">
            <v>Other</v>
          </cell>
          <cell r="H4884" t="str">
            <v>ALTS</v>
          </cell>
          <cell r="I4884" t="str">
            <v>Alternative - Index</v>
          </cell>
        </row>
        <row r="4885">
          <cell r="A4885" t="str">
            <v>FTMACINDEXY</v>
          </cell>
          <cell r="B4885" t="str">
            <v>Macqu Glob Infras (JPY)</v>
          </cell>
          <cell r="C4885" t="str">
            <v>ALTERNATIVE:INDEX_TIME_SERIES:FTMACINDEXY</v>
          </cell>
          <cell r="D4885" t="str">
            <v>Index</v>
          </cell>
          <cell r="E4885" t="str">
            <v>Index Level</v>
          </cell>
          <cell r="F4885" t="str">
            <v>Alternative</v>
          </cell>
          <cell r="G4885" t="str">
            <v>Other</v>
          </cell>
          <cell r="H4885" t="str">
            <v>ALTS</v>
          </cell>
          <cell r="I4885" t="str">
            <v>Alternative - Index</v>
          </cell>
        </row>
        <row r="4886">
          <cell r="A4886" t="str">
            <v>DWGRST</v>
          </cell>
          <cell r="B4886" t="str">
            <v>DJ Glob Select Real Est</v>
          </cell>
          <cell r="C4886" t="str">
            <v>ALTERNATIVE:INDEX_TIME_SERIES:DWGRST</v>
          </cell>
          <cell r="D4886" t="str">
            <v>Index</v>
          </cell>
          <cell r="E4886" t="str">
            <v>Index Level</v>
          </cell>
          <cell r="F4886" t="str">
            <v>Alternative</v>
          </cell>
          <cell r="G4886" t="str">
            <v>Other</v>
          </cell>
          <cell r="H4886" t="str">
            <v>ALTS</v>
          </cell>
          <cell r="I4886" t="str">
            <v>Alternative - Index</v>
          </cell>
        </row>
        <row r="4887">
          <cell r="A4887" t="str">
            <v>PRIVEX</v>
          </cell>
          <cell r="B4887" t="str">
            <v>DJ Glob Priv Eqty (EUR)</v>
          </cell>
          <cell r="C4887" t="str">
            <v>ALTERNATIVE:INDEX_TIME_SERIES:PRIVEX</v>
          </cell>
          <cell r="D4887" t="str">
            <v>Index</v>
          </cell>
          <cell r="E4887" t="str">
            <v>Index Level</v>
          </cell>
          <cell r="F4887" t="str">
            <v>Alternative</v>
          </cell>
          <cell r="G4887" t="str">
            <v>Other</v>
          </cell>
          <cell r="H4887" t="str">
            <v>ALTS</v>
          </cell>
          <cell r="I4887" t="str">
            <v>Alternative - Index</v>
          </cell>
        </row>
        <row r="4888">
          <cell r="A4888" t="str">
            <v>PRIVEXD</v>
          </cell>
          <cell r="B4888" t="str">
            <v>DJ Glob Priv Eqty (USD)</v>
          </cell>
          <cell r="C4888" t="str">
            <v>ALTERNATIVE:INDEX_TIME_SERIES:PRIVEXD</v>
          </cell>
          <cell r="D4888" t="str">
            <v>Index</v>
          </cell>
          <cell r="E4888" t="str">
            <v>Index Level</v>
          </cell>
          <cell r="F4888" t="str">
            <v>Alternative</v>
          </cell>
          <cell r="G4888" t="str">
            <v>Other</v>
          </cell>
          <cell r="H4888" t="str">
            <v>ALTS</v>
          </cell>
          <cell r="I4888" t="str">
            <v>Alternative - Index</v>
          </cell>
        </row>
        <row r="4889">
          <cell r="A4889" t="str">
            <v>SPBDLL</v>
          </cell>
          <cell r="B4889" t="str">
            <v>SP Leverage Loan Idx</v>
          </cell>
          <cell r="C4889" t="str">
            <v>ALTERNATIVE:INDEX_TIME_SERIES:SPBDLL</v>
          </cell>
          <cell r="D4889" t="str">
            <v>Index</v>
          </cell>
          <cell r="E4889" t="str">
            <v>Index Level</v>
          </cell>
          <cell r="F4889" t="str">
            <v>Alternative</v>
          </cell>
          <cell r="G4889" t="str">
            <v>Other</v>
          </cell>
          <cell r="H4889" t="str">
            <v>ALTS</v>
          </cell>
          <cell r="I4889" t="str">
            <v>Alternative - Index</v>
          </cell>
        </row>
        <row r="4890">
          <cell r="A4890" t="str">
            <v>DJBRKINFCY</v>
          </cell>
          <cell r="B4890" t="str">
            <v>DJB Glb Infrastructure Cmp Yld</v>
          </cell>
          <cell r="C4890" t="str">
            <v>ALTERNATIVE:INDEX_TIME_SERIES:DJBRKINFCY</v>
          </cell>
          <cell r="D4890" t="str">
            <v>Index</v>
          </cell>
          <cell r="E4890" t="str">
            <v>Index Level</v>
          </cell>
          <cell r="F4890" t="str">
            <v>Alternative</v>
          </cell>
          <cell r="G4890" t="str">
            <v>Other</v>
          </cell>
          <cell r="H4890" t="str">
            <v>ALTS</v>
          </cell>
          <cell r="I4890" t="str">
            <v>Alternative - Index</v>
          </cell>
        </row>
        <row r="4891">
          <cell r="A4891" t="str">
            <v>DJBRKINFCH</v>
          </cell>
          <cell r="B4891" t="str">
            <v>DJB Glb Infrastr Cmp YldUSDHdg</v>
          </cell>
          <cell r="C4891" t="str">
            <v>ALTERNATIVE:INDEX_TIME_SERIES:DJBRKINFCH</v>
          </cell>
          <cell r="D4891" t="str">
            <v>Index</v>
          </cell>
          <cell r="E4891" t="str">
            <v>Index Level</v>
          </cell>
          <cell r="F4891" t="str">
            <v>Alternative</v>
          </cell>
          <cell r="G4891" t="str">
            <v>Other</v>
          </cell>
          <cell r="H4891" t="str">
            <v>ALTS</v>
          </cell>
          <cell r="I4891" t="str">
            <v>Alternative - Index</v>
          </cell>
        </row>
        <row r="4892">
          <cell r="A4892" t="str">
            <v>DJBRKICYC</v>
          </cell>
          <cell r="B4892" t="str">
            <v>DJB Glb Infrastr Cmp Yld CAD</v>
          </cell>
          <cell r="C4892" t="str">
            <v>ALTERNATIVE:INDEX_TIME_SERIES:DJBRKICYC</v>
          </cell>
          <cell r="D4892" t="str">
            <v>Index</v>
          </cell>
          <cell r="E4892" t="str">
            <v>Index Level</v>
          </cell>
          <cell r="F4892" t="str">
            <v>Alternative</v>
          </cell>
          <cell r="G4892" t="str">
            <v>Other</v>
          </cell>
          <cell r="H4892" t="str">
            <v>ALTS</v>
          </cell>
          <cell r="I4892" t="str">
            <v>Alternative - Index</v>
          </cell>
        </row>
        <row r="4893">
          <cell r="A4893" t="str">
            <v>DJBRKINFY</v>
          </cell>
          <cell r="B4893" t="str">
            <v>DJB Glb Infrastr Yld TtlRetUSD</v>
          </cell>
          <cell r="C4893" t="str">
            <v>ALTERNATIVE:INDEX_TIME_SERIES:DJBRKINFY</v>
          </cell>
          <cell r="D4893" t="str">
            <v>Index</v>
          </cell>
          <cell r="E4893" t="str">
            <v>Index Level</v>
          </cell>
          <cell r="F4893" t="str">
            <v>Alternative</v>
          </cell>
          <cell r="G4893" t="str">
            <v>Other</v>
          </cell>
          <cell r="H4893" t="str">
            <v>ALTS</v>
          </cell>
          <cell r="I4893" t="str">
            <v>Alternative - Index</v>
          </cell>
        </row>
        <row r="4894">
          <cell r="A4894" t="str">
            <v>DJBRGINFRA</v>
          </cell>
          <cell r="B4894" t="str">
            <v>DJB Glb Infrastructure Ttl USD</v>
          </cell>
          <cell r="C4894" t="str">
            <v>ALTERNATIVE:INDEX_TIME_SERIES:DJBRGINFRA</v>
          </cell>
          <cell r="D4894" t="str">
            <v>Index</v>
          </cell>
          <cell r="E4894" t="str">
            <v>Index Level</v>
          </cell>
          <cell r="F4894" t="str">
            <v>Alternative</v>
          </cell>
          <cell r="G4894" t="str">
            <v>Other</v>
          </cell>
          <cell r="H4894" t="str">
            <v>ALTS</v>
          </cell>
          <cell r="I4894" t="str">
            <v>Alternative - Index</v>
          </cell>
        </row>
        <row r="4895">
          <cell r="A4895" t="str">
            <v>DJGINCAD</v>
          </cell>
          <cell r="B4895" t="str">
            <v>DJB Glb Infrastructure Ttl CAD</v>
          </cell>
          <cell r="C4895" t="str">
            <v>ALTERNATIVE:INDEX_TIME_SERIES:DJGINCAD</v>
          </cell>
          <cell r="D4895" t="str">
            <v>Index</v>
          </cell>
          <cell r="E4895" t="str">
            <v>Index Level</v>
          </cell>
          <cell r="F4895" t="str">
            <v>Alternative</v>
          </cell>
          <cell r="G4895" t="str">
            <v>Other</v>
          </cell>
          <cell r="H4895" t="str">
            <v>ALTS</v>
          </cell>
          <cell r="I4895" t="str">
            <v>Alternative - Index</v>
          </cell>
        </row>
        <row r="4896">
          <cell r="A4896" t="str">
            <v>AI_PE_APAC</v>
          </cell>
          <cell r="B4896" t="str">
            <v>Asia Pacific Equity</v>
          </cell>
          <cell r="C4896" t="str">
            <v>ALTERNATIVE:_PRIVATE_EQUITY:PE_GEO:AI_PE_APAC</v>
          </cell>
          <cell r="D4896" t="str">
            <v>Index</v>
          </cell>
          <cell r="E4896" t="str">
            <v>Index Level</v>
          </cell>
          <cell r="F4896" t="str">
            <v>ALT PE-Index</v>
          </cell>
          <cell r="G4896" t="str">
            <v>Other</v>
          </cell>
          <cell r="H4896" t="str">
            <v>ALTS</v>
          </cell>
          <cell r="I4896" t="str">
            <v>Alternative - Private Equity</v>
          </cell>
        </row>
        <row r="4897">
          <cell r="A4897" t="str">
            <v>AI_PE_EUR</v>
          </cell>
          <cell r="B4897" t="str">
            <v>Europe Equity</v>
          </cell>
          <cell r="C4897" t="str">
            <v>ALTERNATIVE:_PRIVATE_EQUITY:PE_GEO:AI_PE_EUR</v>
          </cell>
          <cell r="D4897" t="str">
            <v>Index</v>
          </cell>
          <cell r="E4897" t="str">
            <v>Index Level</v>
          </cell>
          <cell r="F4897" t="str">
            <v>ALT PE-Index</v>
          </cell>
          <cell r="G4897" t="str">
            <v>Other</v>
          </cell>
          <cell r="H4897" t="str">
            <v>ALTS</v>
          </cell>
          <cell r="I4897" t="str">
            <v>Alternative - Private Equity</v>
          </cell>
        </row>
        <row r="4898">
          <cell r="A4898" t="str">
            <v>AI_PE_LATAM</v>
          </cell>
          <cell r="B4898" t="str">
            <v>Latin America Equity</v>
          </cell>
          <cell r="C4898" t="str">
            <v>ALTERNATIVE:_PRIVATE_EQUITY:PE_GEO:AI_PE_LATAM</v>
          </cell>
          <cell r="D4898" t="str">
            <v>Index</v>
          </cell>
          <cell r="E4898" t="str">
            <v>Index Level</v>
          </cell>
          <cell r="F4898" t="str">
            <v>ALT PE-Index</v>
          </cell>
          <cell r="G4898" t="str">
            <v>Other</v>
          </cell>
          <cell r="H4898" t="str">
            <v>ALTS</v>
          </cell>
          <cell r="I4898" t="str">
            <v>Alternative - Private Equity</v>
          </cell>
        </row>
        <row r="4899">
          <cell r="A4899" t="str">
            <v>AI_PE_MEAF</v>
          </cell>
          <cell r="B4899" t="str">
            <v>ME &amp; Africa Equity</v>
          </cell>
          <cell r="C4899" t="str">
            <v>ALTERNATIVE:_PRIVATE_EQUITY:PE_GEO:AI_PE_MEAF</v>
          </cell>
          <cell r="D4899" t="str">
            <v>Index</v>
          </cell>
          <cell r="E4899" t="str">
            <v>Index Level</v>
          </cell>
          <cell r="F4899" t="str">
            <v>ALT PE-Index</v>
          </cell>
          <cell r="G4899" t="str">
            <v>Other</v>
          </cell>
          <cell r="H4899" t="str">
            <v>ALTS</v>
          </cell>
          <cell r="I4899" t="str">
            <v>Alternative - Private Equity</v>
          </cell>
        </row>
        <row r="4900">
          <cell r="A4900" t="str">
            <v>AI_PE_NA</v>
          </cell>
          <cell r="B4900" t="str">
            <v>North America Equity</v>
          </cell>
          <cell r="C4900" t="str">
            <v>ALTERNATIVE:_PRIVATE_EQUITY:PE_GEO:AI_PE_NA</v>
          </cell>
          <cell r="D4900" t="str">
            <v>Index</v>
          </cell>
          <cell r="E4900" t="str">
            <v>Index Level</v>
          </cell>
          <cell r="F4900" t="str">
            <v>ALT PE-Index</v>
          </cell>
          <cell r="G4900" t="str">
            <v>Other</v>
          </cell>
          <cell r="H4900" t="str">
            <v>ALTS</v>
          </cell>
          <cell r="I4900" t="str">
            <v>Alternative - Private Equity</v>
          </cell>
        </row>
        <row r="4901">
          <cell r="A4901" t="str">
            <v>AI_PE_AUS</v>
          </cell>
          <cell r="B4901" t="str">
            <v>Austrailia Equity</v>
          </cell>
          <cell r="C4901" t="str">
            <v>ALTERNATIVE:_PRIVATE_EQUITY:PE_GEO:AI_PE_AUS</v>
          </cell>
          <cell r="D4901" t="str">
            <v>Index</v>
          </cell>
          <cell r="E4901" t="str">
            <v>Index Level</v>
          </cell>
          <cell r="F4901" t="str">
            <v>ALT PE-Index</v>
          </cell>
          <cell r="G4901" t="str">
            <v>Other</v>
          </cell>
          <cell r="H4901" t="str">
            <v>ALTS</v>
          </cell>
          <cell r="I4901" t="str">
            <v>Alternative - Private Equity</v>
          </cell>
        </row>
        <row r="4902">
          <cell r="A4902" t="str">
            <v>AI_PE_CAN</v>
          </cell>
          <cell r="B4902" t="str">
            <v>Canada Equity</v>
          </cell>
          <cell r="C4902" t="str">
            <v>ALTERNATIVE:_PRIVATE_EQUITY:PE_GEO:AI_PE_CAN</v>
          </cell>
          <cell r="D4902" t="str">
            <v>Index</v>
          </cell>
          <cell r="E4902" t="str">
            <v>Index Level</v>
          </cell>
          <cell r="F4902" t="str">
            <v>ALT PE-Index</v>
          </cell>
          <cell r="G4902" t="str">
            <v>Other</v>
          </cell>
          <cell r="H4902" t="str">
            <v>ALTS</v>
          </cell>
          <cell r="I4902" t="str">
            <v>Alternative - Private Equity</v>
          </cell>
        </row>
        <row r="4903">
          <cell r="A4903" t="str">
            <v>AI_PE_CHI</v>
          </cell>
          <cell r="B4903" t="str">
            <v>China Equity</v>
          </cell>
          <cell r="C4903" t="str">
            <v>ALTERNATIVE:_PRIVATE_EQUITY:PE_GEO:AI_PE_CHI</v>
          </cell>
          <cell r="D4903" t="str">
            <v>Index</v>
          </cell>
          <cell r="E4903" t="str">
            <v>Index Level</v>
          </cell>
          <cell r="F4903" t="str">
            <v>ALT PE-Index</v>
          </cell>
          <cell r="G4903" t="str">
            <v>Other</v>
          </cell>
          <cell r="H4903" t="str">
            <v>ALTS</v>
          </cell>
          <cell r="I4903" t="str">
            <v>Alternative - Private Equity</v>
          </cell>
        </row>
        <row r="4904">
          <cell r="A4904" t="str">
            <v>AI_PE_DEN</v>
          </cell>
          <cell r="B4904" t="str">
            <v>Denmark Equity</v>
          </cell>
          <cell r="C4904" t="str">
            <v>ALTERNATIVE:_PRIVATE_EQUITY:PE_GEO:AI_PE_DEN</v>
          </cell>
          <cell r="D4904" t="str">
            <v>Index</v>
          </cell>
          <cell r="E4904" t="str">
            <v>Index Level</v>
          </cell>
          <cell r="F4904" t="str">
            <v>ALT PE-Index</v>
          </cell>
          <cell r="G4904" t="str">
            <v>Other</v>
          </cell>
          <cell r="H4904" t="str">
            <v>ALTS</v>
          </cell>
          <cell r="I4904" t="str">
            <v>Alternative - Private Equity</v>
          </cell>
        </row>
        <row r="4905">
          <cell r="A4905" t="str">
            <v>AI_PE_FRA</v>
          </cell>
          <cell r="B4905" t="str">
            <v>France Equity</v>
          </cell>
          <cell r="C4905" t="str">
            <v>ALTERNATIVE:_PRIVATE_EQUITY:PE_GEO:AI_PE_FRA</v>
          </cell>
          <cell r="D4905" t="str">
            <v>Index</v>
          </cell>
          <cell r="E4905" t="str">
            <v>Index Level</v>
          </cell>
          <cell r="F4905" t="str">
            <v>ALT PE-Index</v>
          </cell>
          <cell r="G4905" t="str">
            <v>Other</v>
          </cell>
          <cell r="H4905" t="str">
            <v>ALTS</v>
          </cell>
          <cell r="I4905" t="str">
            <v>Alternative - Private Equity</v>
          </cell>
        </row>
        <row r="4906">
          <cell r="A4906" t="str">
            <v>AI_PE_GER</v>
          </cell>
          <cell r="B4906" t="str">
            <v>Germany Equity</v>
          </cell>
          <cell r="C4906" t="str">
            <v>ALTERNATIVE:_PRIVATE_EQUITY:PE_GEO:AI_PE_GER</v>
          </cell>
          <cell r="D4906" t="str">
            <v>Index</v>
          </cell>
          <cell r="E4906" t="str">
            <v>Index Level</v>
          </cell>
          <cell r="F4906" t="str">
            <v>ALT PE-Index</v>
          </cell>
          <cell r="G4906" t="str">
            <v>Other</v>
          </cell>
          <cell r="H4906" t="str">
            <v>ALTS</v>
          </cell>
          <cell r="I4906" t="str">
            <v>Alternative - Private Equity</v>
          </cell>
        </row>
        <row r="4907">
          <cell r="A4907" t="str">
            <v>AI_PE_IND</v>
          </cell>
          <cell r="B4907" t="str">
            <v>India Equity</v>
          </cell>
          <cell r="C4907" t="str">
            <v>ALTERNATIVE:_PRIVATE_EQUITY:PE_GEO:AI_PE_IND</v>
          </cell>
          <cell r="D4907" t="str">
            <v>Index</v>
          </cell>
          <cell r="E4907" t="str">
            <v>Index Level</v>
          </cell>
          <cell r="F4907" t="str">
            <v>ALT PE-Index</v>
          </cell>
          <cell r="G4907" t="str">
            <v>Other</v>
          </cell>
          <cell r="H4907" t="str">
            <v>ALTS</v>
          </cell>
          <cell r="I4907" t="str">
            <v>Alternative - Private Equity</v>
          </cell>
        </row>
        <row r="4908">
          <cell r="A4908" t="str">
            <v>AI_PE_ISR</v>
          </cell>
          <cell r="B4908" t="str">
            <v>Israel Equity</v>
          </cell>
          <cell r="C4908" t="str">
            <v>ALTERNATIVE:_PRIVATE_EQUITY:PE_GEO:AI_PE_ISR</v>
          </cell>
          <cell r="D4908" t="str">
            <v>Index</v>
          </cell>
          <cell r="E4908" t="str">
            <v>Index Level</v>
          </cell>
          <cell r="F4908" t="str">
            <v>ALT PE-Index</v>
          </cell>
          <cell r="G4908" t="str">
            <v>Other</v>
          </cell>
          <cell r="H4908" t="str">
            <v>ALTS</v>
          </cell>
          <cell r="I4908" t="str">
            <v>Alternative - Private Equity</v>
          </cell>
        </row>
        <row r="4909">
          <cell r="A4909" t="str">
            <v>AI_PE_ITA</v>
          </cell>
          <cell r="B4909" t="str">
            <v>Italy Equity</v>
          </cell>
          <cell r="C4909" t="str">
            <v>ALTERNATIVE:_PRIVATE_EQUITY:PE_GEO:AI_PE_ITA</v>
          </cell>
          <cell r="D4909" t="str">
            <v>Index</v>
          </cell>
          <cell r="E4909" t="str">
            <v>Index Level</v>
          </cell>
          <cell r="F4909" t="str">
            <v>ALT PE-Index</v>
          </cell>
          <cell r="G4909" t="str">
            <v>Other</v>
          </cell>
          <cell r="H4909" t="str">
            <v>ALTS</v>
          </cell>
          <cell r="I4909" t="str">
            <v>Alternative - Private Equity</v>
          </cell>
        </row>
        <row r="4910">
          <cell r="A4910" t="str">
            <v>AI_PE_JAP</v>
          </cell>
          <cell r="B4910" t="str">
            <v>Japan Equity</v>
          </cell>
          <cell r="C4910" t="str">
            <v>ALTERNATIVE:_PRIVATE_EQUITY:PE_GEO:AI_PE_JAP</v>
          </cell>
          <cell r="D4910" t="str">
            <v>Index</v>
          </cell>
          <cell r="E4910" t="str">
            <v>Index Level</v>
          </cell>
          <cell r="F4910" t="str">
            <v>ALT PE-Index</v>
          </cell>
          <cell r="G4910" t="str">
            <v>Other</v>
          </cell>
          <cell r="H4910" t="str">
            <v>ALTS</v>
          </cell>
          <cell r="I4910" t="str">
            <v>Alternative - Private Equity</v>
          </cell>
        </row>
        <row r="4911">
          <cell r="A4911" t="str">
            <v>AI_PE_NET</v>
          </cell>
          <cell r="B4911" t="str">
            <v>Netherlands Equity</v>
          </cell>
          <cell r="C4911" t="str">
            <v>ALTERNATIVE:_PRIVATE_EQUITY:PE_GEO:AI_PE_NET</v>
          </cell>
          <cell r="D4911" t="str">
            <v>Index</v>
          </cell>
          <cell r="E4911" t="str">
            <v>Index Level</v>
          </cell>
          <cell r="F4911" t="str">
            <v>ALT PE-Index</v>
          </cell>
          <cell r="G4911" t="str">
            <v>Other</v>
          </cell>
          <cell r="H4911" t="str">
            <v>ALTS</v>
          </cell>
          <cell r="I4911" t="str">
            <v>Alternative - Private Equity</v>
          </cell>
        </row>
        <row r="4912">
          <cell r="A4912" t="str">
            <v>AI_PE_NOR</v>
          </cell>
          <cell r="B4912" t="str">
            <v>Norway Equity</v>
          </cell>
          <cell r="C4912" t="str">
            <v>ALTERNATIVE:_PRIVATE_EQUITY:PE_GEO:AI_PE_NOR</v>
          </cell>
          <cell r="D4912" t="str">
            <v>Index</v>
          </cell>
          <cell r="E4912" t="str">
            <v>Index Level</v>
          </cell>
          <cell r="F4912" t="str">
            <v>ALT PE-Index</v>
          </cell>
          <cell r="G4912" t="str">
            <v>Other</v>
          </cell>
          <cell r="H4912" t="str">
            <v>ALTS</v>
          </cell>
          <cell r="I4912" t="str">
            <v>Alternative - Private Equity</v>
          </cell>
        </row>
        <row r="4913">
          <cell r="A4913" t="str">
            <v>AI_PE_SK</v>
          </cell>
          <cell r="B4913" t="str">
            <v>South Korea Equity</v>
          </cell>
          <cell r="C4913" t="str">
            <v>ALTERNATIVE:_PRIVATE_EQUITY:PE_GEO:AI_PE_SK</v>
          </cell>
          <cell r="D4913" t="str">
            <v>Index</v>
          </cell>
          <cell r="E4913" t="str">
            <v>Index Level</v>
          </cell>
          <cell r="F4913" t="str">
            <v>ALT PE-Index</v>
          </cell>
          <cell r="G4913" t="str">
            <v>Other</v>
          </cell>
          <cell r="H4913" t="str">
            <v>ALTS</v>
          </cell>
          <cell r="I4913" t="str">
            <v>Alternative - Private Equity</v>
          </cell>
        </row>
        <row r="4914">
          <cell r="A4914" t="str">
            <v>AI_PE_SPA</v>
          </cell>
          <cell r="B4914" t="str">
            <v>Spain Equity</v>
          </cell>
          <cell r="C4914" t="str">
            <v>ALTERNATIVE:_PRIVATE_EQUITY:PE_GEO:AI_PE_SPA</v>
          </cell>
          <cell r="D4914" t="str">
            <v>Index</v>
          </cell>
          <cell r="E4914" t="str">
            <v>Index Level</v>
          </cell>
          <cell r="F4914" t="str">
            <v>ALT PE-Index</v>
          </cell>
          <cell r="G4914" t="str">
            <v>Other</v>
          </cell>
          <cell r="H4914" t="str">
            <v>ALTS</v>
          </cell>
          <cell r="I4914" t="str">
            <v>Alternative - Private Equity</v>
          </cell>
        </row>
        <row r="4915">
          <cell r="A4915" t="str">
            <v>AI_PE_SWE</v>
          </cell>
          <cell r="B4915" t="str">
            <v>Sweden Equity</v>
          </cell>
          <cell r="C4915" t="str">
            <v>ALTERNATIVE:_PRIVATE_EQUITY:PE_GEO:AI_PE_SWE</v>
          </cell>
          <cell r="D4915" t="str">
            <v>Index</v>
          </cell>
          <cell r="E4915" t="str">
            <v>Index Level</v>
          </cell>
          <cell r="F4915" t="str">
            <v>ALT PE-Index</v>
          </cell>
          <cell r="G4915" t="str">
            <v>Other</v>
          </cell>
          <cell r="H4915" t="str">
            <v>ALTS</v>
          </cell>
          <cell r="I4915" t="str">
            <v>Alternative - Private Equity</v>
          </cell>
        </row>
        <row r="4916">
          <cell r="A4916" t="str">
            <v>AI_PE_UK</v>
          </cell>
          <cell r="B4916" t="str">
            <v>UK Equity</v>
          </cell>
          <cell r="C4916" t="str">
            <v>ALTERNATIVE:_PRIVATE_EQUITY:PE_GEO:AI_PE_UK</v>
          </cell>
          <cell r="D4916" t="str">
            <v>Index</v>
          </cell>
          <cell r="E4916" t="str">
            <v>Index Level</v>
          </cell>
          <cell r="F4916" t="str">
            <v>ALT PE-Index</v>
          </cell>
          <cell r="G4916" t="str">
            <v>Other</v>
          </cell>
          <cell r="H4916" t="str">
            <v>ALTS</v>
          </cell>
          <cell r="I4916" t="str">
            <v>Alternative - Private Equity</v>
          </cell>
        </row>
        <row r="4917">
          <cell r="A4917" t="str">
            <v>AI_PE_USEQ</v>
          </cell>
          <cell r="B4917" t="str">
            <v>US Equity</v>
          </cell>
          <cell r="C4917" t="str">
            <v>ALTERNATIVE:_PRIVATE_EQUITY:PE_GEO:AI_PE_USEQ</v>
          </cell>
          <cell r="D4917" t="str">
            <v>Index</v>
          </cell>
          <cell r="E4917" t="str">
            <v>Index Level</v>
          </cell>
          <cell r="F4917" t="str">
            <v>ALT PE-Index</v>
          </cell>
          <cell r="G4917" t="str">
            <v>Other</v>
          </cell>
          <cell r="H4917" t="str">
            <v>ALTS</v>
          </cell>
          <cell r="I4917" t="str">
            <v>Alternative - Private Equity</v>
          </cell>
        </row>
        <row r="4918">
          <cell r="A4918" t="str">
            <v>AI_PE_FXAPAC</v>
          </cell>
          <cell r="B4918" t="str">
            <v>Asia Pacific FX</v>
          </cell>
          <cell r="C4918" t="str">
            <v>ALTERNATIVE:_PRIVATE_EQUITY:PE_CUR:AI_PE_FXAPAC</v>
          </cell>
          <cell r="D4918" t="str">
            <v>Index</v>
          </cell>
          <cell r="E4918" t="str">
            <v>Index Level</v>
          </cell>
          <cell r="F4918" t="str">
            <v>ALT PE-Index</v>
          </cell>
          <cell r="G4918" t="str">
            <v>Other</v>
          </cell>
          <cell r="H4918" t="str">
            <v>ALTS</v>
          </cell>
          <cell r="I4918" t="str">
            <v>Alternative - Private Equity</v>
          </cell>
        </row>
        <row r="4919">
          <cell r="A4919" t="str">
            <v>AI_PE_FXEUR</v>
          </cell>
          <cell r="B4919" t="str">
            <v>Europe FX</v>
          </cell>
          <cell r="C4919" t="str">
            <v>ALTERNATIVE:_PRIVATE_EQUITY:PE_CUR:AI_PE_FXEUR</v>
          </cell>
          <cell r="D4919" t="str">
            <v>Index</v>
          </cell>
          <cell r="E4919" t="str">
            <v>Index Level</v>
          </cell>
          <cell r="F4919" t="str">
            <v>ALT PE-Index</v>
          </cell>
          <cell r="G4919" t="str">
            <v>Other</v>
          </cell>
          <cell r="H4919" t="str">
            <v>ALTS</v>
          </cell>
          <cell r="I4919" t="str">
            <v>Alternative - Private Equity</v>
          </cell>
        </row>
        <row r="4920">
          <cell r="A4920" t="str">
            <v>AI_PE_FXLATAM</v>
          </cell>
          <cell r="B4920" t="str">
            <v>Latin America FX</v>
          </cell>
          <cell r="C4920" t="str">
            <v>ALTERNATIVE:_PRIVATE_EQUITY:PE_CUR:AI_PE_FXLATAM</v>
          </cell>
          <cell r="D4920" t="str">
            <v>Index</v>
          </cell>
          <cell r="E4920" t="str">
            <v>Index Level</v>
          </cell>
          <cell r="F4920" t="str">
            <v>ALT PE-Index</v>
          </cell>
          <cell r="G4920" t="str">
            <v>Other</v>
          </cell>
          <cell r="H4920" t="str">
            <v>ALTS</v>
          </cell>
          <cell r="I4920" t="str">
            <v>Alternative - Private Equity</v>
          </cell>
        </row>
        <row r="4921">
          <cell r="A4921" t="str">
            <v>AI_PE_FXMEAF</v>
          </cell>
          <cell r="B4921" t="str">
            <v>ME &amp; Africa FX</v>
          </cell>
          <cell r="C4921" t="str">
            <v>ALTERNATIVE:_PRIVATE_EQUITY:PE_CUR:AI_PE_FXMEAF</v>
          </cell>
          <cell r="D4921" t="str">
            <v>Index</v>
          </cell>
          <cell r="E4921" t="str">
            <v>Index Level</v>
          </cell>
          <cell r="F4921" t="str">
            <v>ALT PE-Index</v>
          </cell>
          <cell r="G4921" t="str">
            <v>Other</v>
          </cell>
          <cell r="H4921" t="str">
            <v>ALTS</v>
          </cell>
          <cell r="I4921" t="str">
            <v>Alternative - Private Equity</v>
          </cell>
        </row>
        <row r="4922">
          <cell r="A4922" t="str">
            <v>AI_PE_FXNA</v>
          </cell>
          <cell r="B4922" t="str">
            <v>North America FX</v>
          </cell>
          <cell r="C4922" t="str">
            <v>ALTERNATIVE:_PRIVATE_EQUITY:PE_CUR:AI_PE_FXNA</v>
          </cell>
          <cell r="D4922" t="str">
            <v>Index</v>
          </cell>
          <cell r="E4922" t="str">
            <v>Index Level</v>
          </cell>
          <cell r="F4922" t="str">
            <v>ALT PE-Index</v>
          </cell>
          <cell r="G4922" t="str">
            <v>Other</v>
          </cell>
          <cell r="H4922" t="str">
            <v>ALTS</v>
          </cell>
          <cell r="I4922" t="str">
            <v>Alternative - Private Equity</v>
          </cell>
        </row>
        <row r="4923">
          <cell r="A4923" t="str">
            <v>AI_PE_LG</v>
          </cell>
          <cell r="B4923" t="str">
            <v>Large Cap</v>
          </cell>
          <cell r="C4923" t="str">
            <v>ALTERNATIVE:_PRIVATE_EQUITY:PE_CAP:AI_PE_LG</v>
          </cell>
          <cell r="D4923" t="str">
            <v>Index</v>
          </cell>
          <cell r="E4923" t="str">
            <v>Index Level</v>
          </cell>
          <cell r="F4923" t="str">
            <v>ALT PE-Index</v>
          </cell>
          <cell r="G4923" t="str">
            <v>Other</v>
          </cell>
          <cell r="H4923" t="str">
            <v>ALTS</v>
          </cell>
          <cell r="I4923" t="str">
            <v>Alternative - Private Equity</v>
          </cell>
        </row>
        <row r="4924">
          <cell r="A4924" t="str">
            <v>AI_PE_MID</v>
          </cell>
          <cell r="B4924" t="str">
            <v>Mid Cap</v>
          </cell>
          <cell r="C4924" t="str">
            <v>ALTERNATIVE:_PRIVATE_EQUITY:PE_CAP:AI_PE_MID</v>
          </cell>
          <cell r="D4924" t="str">
            <v>Index</v>
          </cell>
          <cell r="E4924" t="str">
            <v>Index Level</v>
          </cell>
          <cell r="F4924" t="str">
            <v>ALT PE-Index</v>
          </cell>
          <cell r="G4924" t="str">
            <v>Other</v>
          </cell>
          <cell r="H4924" t="str">
            <v>ALTS</v>
          </cell>
          <cell r="I4924" t="str">
            <v>Alternative - Private Equity</v>
          </cell>
        </row>
        <row r="4925">
          <cell r="A4925" t="str">
            <v>AI_PE_USMID</v>
          </cell>
          <cell r="B4925" t="str">
            <v>US Mid Cap</v>
          </cell>
          <cell r="C4925" t="str">
            <v>ALTERNATIVE:_PRIVATE_EQUITY:PE_CAP:AI_PE_USMID</v>
          </cell>
          <cell r="D4925" t="str">
            <v>Index</v>
          </cell>
          <cell r="E4925" t="str">
            <v>Index Level</v>
          </cell>
          <cell r="F4925" t="str">
            <v>ALT PE-Index</v>
          </cell>
          <cell r="G4925" t="str">
            <v>Other</v>
          </cell>
          <cell r="H4925" t="str">
            <v>ALTS</v>
          </cell>
          <cell r="I4925" t="str">
            <v>Alternative - Private Equity</v>
          </cell>
        </row>
        <row r="4926">
          <cell r="A4926" t="str">
            <v>AI_PE_USMICRO</v>
          </cell>
          <cell r="B4926" t="str">
            <v>Micro Cap</v>
          </cell>
          <cell r="C4926" t="str">
            <v>ALTERNATIVE:_PRIVATE_EQUITY:PE_CAP:AI_PE_USMICRO</v>
          </cell>
          <cell r="D4926" t="str">
            <v>Index</v>
          </cell>
          <cell r="E4926" t="str">
            <v>Index Level</v>
          </cell>
          <cell r="F4926" t="str">
            <v>ALT PE-Index</v>
          </cell>
          <cell r="G4926" t="str">
            <v>Other</v>
          </cell>
          <cell r="H4926" t="str">
            <v>ALTS</v>
          </cell>
          <cell r="I4926" t="str">
            <v>Alternative - Private Equity</v>
          </cell>
        </row>
        <row r="4927">
          <cell r="A4927" t="str">
            <v>AI_PE_SM</v>
          </cell>
          <cell r="B4927" t="str">
            <v>Small Cap</v>
          </cell>
          <cell r="C4927" t="str">
            <v>ALTERNATIVE:_PRIVATE_EQUITY:PE_CAP:AI_PE_SM</v>
          </cell>
          <cell r="D4927" t="str">
            <v>Index</v>
          </cell>
          <cell r="E4927" t="str">
            <v>Index Level</v>
          </cell>
          <cell r="F4927" t="str">
            <v>ALT PE-Index</v>
          </cell>
          <cell r="G4927" t="str">
            <v>Other</v>
          </cell>
          <cell r="H4927" t="str">
            <v>ALTS</v>
          </cell>
          <cell r="I4927" t="str">
            <v>Alternative - Private Equity</v>
          </cell>
        </row>
        <row r="4928">
          <cell r="A4928" t="str">
            <v>AI_PE_USSMALL</v>
          </cell>
          <cell r="B4928" t="str">
            <v>US Small Cap</v>
          </cell>
          <cell r="C4928" t="str">
            <v>ALTERNATIVE:_PRIVATE_EQUITY:PE_CAP:AI_PE_USSMALL</v>
          </cell>
          <cell r="D4928" t="str">
            <v>Index</v>
          </cell>
          <cell r="E4928" t="str">
            <v>Index Level</v>
          </cell>
          <cell r="F4928" t="str">
            <v>ALT PE-Index</v>
          </cell>
          <cell r="G4928" t="str">
            <v>Other</v>
          </cell>
          <cell r="H4928" t="str">
            <v>ALTS</v>
          </cell>
          <cell r="I4928" t="str">
            <v>Alternative - Private Equity</v>
          </cell>
        </row>
        <row r="4929">
          <cell r="A4929" t="str">
            <v>AI_PE_LRCND</v>
          </cell>
          <cell r="B4929" t="str">
            <v>Cons. Disc. Large</v>
          </cell>
          <cell r="C4929" t="str">
            <v>ALTERNATIVE:_PRIVATE_EQUITY:PE_SEC:AI_PE_LRCND</v>
          </cell>
          <cell r="D4929" t="str">
            <v>Index</v>
          </cell>
          <cell r="E4929" t="str">
            <v>Index Level</v>
          </cell>
          <cell r="F4929" t="str">
            <v>ALT PE-Index</v>
          </cell>
          <cell r="G4929" t="str">
            <v>Other</v>
          </cell>
          <cell r="H4929" t="str">
            <v>ALTS</v>
          </cell>
          <cell r="I4929" t="str">
            <v>Alternative - Private Equity</v>
          </cell>
        </row>
        <row r="4930">
          <cell r="A4930" t="str">
            <v>AI_PE_LRCNS</v>
          </cell>
          <cell r="B4930" t="str">
            <v>Cons. Staple Large</v>
          </cell>
          <cell r="C4930" t="str">
            <v>ALTERNATIVE:_PRIVATE_EQUITY:PE_SEC:AI_PE_LRCNS</v>
          </cell>
          <cell r="D4930" t="str">
            <v>Index</v>
          </cell>
          <cell r="E4930" t="str">
            <v>Index Level</v>
          </cell>
          <cell r="F4930" t="str">
            <v>ALT PE-Index</v>
          </cell>
          <cell r="G4930" t="str">
            <v>Other</v>
          </cell>
          <cell r="H4930" t="str">
            <v>ALTS</v>
          </cell>
          <cell r="I4930" t="str">
            <v>Alternative - Private Equity</v>
          </cell>
        </row>
        <row r="4931">
          <cell r="A4931" t="str">
            <v>AI_PE_LRENR</v>
          </cell>
          <cell r="B4931" t="str">
            <v>Energy Large</v>
          </cell>
          <cell r="C4931" t="str">
            <v>ALTERNATIVE:_PRIVATE_EQUITY:PE_SEC:AI_PE_LRENR</v>
          </cell>
          <cell r="D4931" t="str">
            <v>Index</v>
          </cell>
          <cell r="E4931" t="str">
            <v>Index Level</v>
          </cell>
          <cell r="F4931" t="str">
            <v>ALT PE-Index</v>
          </cell>
          <cell r="G4931" t="str">
            <v>Other</v>
          </cell>
          <cell r="H4931" t="str">
            <v>ALTS</v>
          </cell>
          <cell r="I4931" t="str">
            <v>Alternative - Private Equity</v>
          </cell>
        </row>
        <row r="4932">
          <cell r="A4932" t="str">
            <v>AI_PE_LRFIN</v>
          </cell>
          <cell r="B4932" t="str">
            <v>Financials Large</v>
          </cell>
          <cell r="C4932" t="str">
            <v>ALTERNATIVE:_PRIVATE_EQUITY:PE_SEC:AI_PE_LRFIN</v>
          </cell>
          <cell r="D4932" t="str">
            <v>Index</v>
          </cell>
          <cell r="E4932" t="str">
            <v>Index Level</v>
          </cell>
          <cell r="F4932" t="str">
            <v>ALT PE-Index</v>
          </cell>
          <cell r="G4932" t="str">
            <v>Other</v>
          </cell>
          <cell r="H4932" t="str">
            <v>ALTS</v>
          </cell>
          <cell r="I4932" t="str">
            <v>Alternative - Private Equity</v>
          </cell>
        </row>
        <row r="4933">
          <cell r="A4933" t="str">
            <v>AI_PE_LRHLT</v>
          </cell>
          <cell r="B4933" t="str">
            <v>Healthcare Large</v>
          </cell>
          <cell r="C4933" t="str">
            <v>ALTERNATIVE:_PRIVATE_EQUITY:PE_SEC:AI_PE_LRHLT</v>
          </cell>
          <cell r="D4933" t="str">
            <v>Index</v>
          </cell>
          <cell r="E4933" t="str">
            <v>Index Level</v>
          </cell>
          <cell r="F4933" t="str">
            <v>ALT PE-Index</v>
          </cell>
          <cell r="G4933" t="str">
            <v>Other</v>
          </cell>
          <cell r="H4933" t="str">
            <v>ALTS</v>
          </cell>
          <cell r="I4933" t="str">
            <v>Alternative - Private Equity</v>
          </cell>
        </row>
        <row r="4934">
          <cell r="A4934" t="str">
            <v>AI_PE_LRIND</v>
          </cell>
          <cell r="B4934" t="str">
            <v>Industrials Large</v>
          </cell>
          <cell r="C4934" t="str">
            <v>ALTERNATIVE:_PRIVATE_EQUITY:PE_SEC:AI_PE_LRIND</v>
          </cell>
          <cell r="D4934" t="str">
            <v>Index</v>
          </cell>
          <cell r="E4934" t="str">
            <v>Index Level</v>
          </cell>
          <cell r="F4934" t="str">
            <v>ALT PE-Index</v>
          </cell>
          <cell r="G4934" t="str">
            <v>Other</v>
          </cell>
          <cell r="H4934" t="str">
            <v>ALTS</v>
          </cell>
          <cell r="I4934" t="str">
            <v>Alternative - Private Equity</v>
          </cell>
        </row>
        <row r="4935">
          <cell r="A4935" t="str">
            <v>AI_PE_LRIT</v>
          </cell>
          <cell r="B4935" t="str">
            <v>Info Tech Large</v>
          </cell>
          <cell r="C4935" t="str">
            <v>ALTERNATIVE:_PRIVATE_EQUITY:PE_SEC:AI_PE_LRIT</v>
          </cell>
          <cell r="D4935" t="str">
            <v>Index</v>
          </cell>
          <cell r="E4935" t="str">
            <v>Index Level</v>
          </cell>
          <cell r="F4935" t="str">
            <v>ALT PE-Index</v>
          </cell>
          <cell r="G4935" t="str">
            <v>Other</v>
          </cell>
          <cell r="H4935" t="str">
            <v>ALTS</v>
          </cell>
          <cell r="I4935" t="str">
            <v>Alternative - Private Equity</v>
          </cell>
        </row>
        <row r="4936">
          <cell r="A4936" t="str">
            <v>AI_PE_LRMAT</v>
          </cell>
          <cell r="B4936" t="str">
            <v>Materials Large</v>
          </cell>
          <cell r="C4936" t="str">
            <v>ALTERNATIVE:_PRIVATE_EQUITY:PE_SEC:AI_PE_LRMAT</v>
          </cell>
          <cell r="D4936" t="str">
            <v>Index</v>
          </cell>
          <cell r="E4936" t="str">
            <v>Index Level</v>
          </cell>
          <cell r="F4936" t="str">
            <v>ALT PE-Index</v>
          </cell>
          <cell r="G4936" t="str">
            <v>Other</v>
          </cell>
          <cell r="H4936" t="str">
            <v>ALTS</v>
          </cell>
          <cell r="I4936" t="str">
            <v>Alternative - Private Equity</v>
          </cell>
        </row>
        <row r="4937">
          <cell r="A4937" t="str">
            <v>AI_PE_LRTEL</v>
          </cell>
          <cell r="B4937" t="str">
            <v>Communication Large</v>
          </cell>
          <cell r="C4937" t="str">
            <v>ALTERNATIVE:_PRIVATE_EQUITY:PE_SEC:AI_PE_LRTEL</v>
          </cell>
          <cell r="D4937" t="str">
            <v>Index</v>
          </cell>
          <cell r="E4937" t="str">
            <v>Index Level</v>
          </cell>
          <cell r="F4937" t="str">
            <v>ALT PE-Index</v>
          </cell>
          <cell r="G4937" t="str">
            <v>Other</v>
          </cell>
          <cell r="H4937" t="str">
            <v>ALTS</v>
          </cell>
          <cell r="I4937" t="str">
            <v>Alternative - Private Equity</v>
          </cell>
        </row>
        <row r="4938">
          <cell r="A4938" t="str">
            <v>AI_PE_LRUTI</v>
          </cell>
          <cell r="B4938" t="str">
            <v>Utilities Large</v>
          </cell>
          <cell r="C4938" t="str">
            <v>ALTERNATIVE:_PRIVATE_EQUITY:PE_SEC:AI_PE_LRUTI</v>
          </cell>
          <cell r="D4938" t="str">
            <v>Index</v>
          </cell>
          <cell r="E4938" t="str">
            <v>Index Level</v>
          </cell>
          <cell r="F4938" t="str">
            <v>ALT PE-Index</v>
          </cell>
          <cell r="G4938" t="str">
            <v>Other</v>
          </cell>
          <cell r="H4938" t="str">
            <v>ALTS</v>
          </cell>
          <cell r="I4938" t="str">
            <v>Alternative - Private Equity</v>
          </cell>
        </row>
        <row r="4939">
          <cell r="A4939" t="str">
            <v>AI_PE_SMBIO</v>
          </cell>
          <cell r="B4939" t="str">
            <v>IT Small Biotech</v>
          </cell>
          <cell r="C4939" t="str">
            <v>ALTERNATIVE:_PRIVATE_EQUITY:PE_SEC:AI_PE_SMBIO</v>
          </cell>
          <cell r="D4939" t="str">
            <v>Index</v>
          </cell>
          <cell r="E4939" t="str">
            <v>Index Level</v>
          </cell>
          <cell r="F4939" t="str">
            <v>ALT PE-Index</v>
          </cell>
          <cell r="G4939" t="str">
            <v>Other</v>
          </cell>
          <cell r="H4939" t="str">
            <v>ALTS</v>
          </cell>
          <cell r="I4939" t="str">
            <v>Alternative - Private Equity</v>
          </cell>
        </row>
        <row r="4940">
          <cell r="A4940" t="str">
            <v>AI_PE_SMCOMP</v>
          </cell>
          <cell r="B4940" t="str">
            <v>IT Small Computer</v>
          </cell>
          <cell r="C4940" t="str">
            <v>ALTERNATIVE:_PRIVATE_EQUITY:PE_SEC:AI_PE_SMCOMP</v>
          </cell>
          <cell r="D4940" t="str">
            <v>Index</v>
          </cell>
          <cell r="E4940" t="str">
            <v>Index Level</v>
          </cell>
          <cell r="F4940" t="str">
            <v>ALT PE-Index</v>
          </cell>
          <cell r="G4940" t="str">
            <v>Other</v>
          </cell>
          <cell r="H4940" t="str">
            <v>ALTS</v>
          </cell>
          <cell r="I4940" t="str">
            <v>Alternative - Private Equity</v>
          </cell>
        </row>
        <row r="4941">
          <cell r="A4941" t="str">
            <v>AI_PE_SMINT</v>
          </cell>
          <cell r="B4941" t="str">
            <v>IT Small Internet</v>
          </cell>
          <cell r="C4941" t="str">
            <v>ALTERNATIVE:_PRIVATE_EQUITY:PE_SEC:AI_PE_SMINT</v>
          </cell>
          <cell r="D4941" t="str">
            <v>Index</v>
          </cell>
          <cell r="E4941" t="str">
            <v>Index Level</v>
          </cell>
          <cell r="F4941" t="str">
            <v>ALT PE-Index</v>
          </cell>
          <cell r="G4941" t="str">
            <v>Other</v>
          </cell>
          <cell r="H4941" t="str">
            <v>ALTS</v>
          </cell>
          <cell r="I4941" t="str">
            <v>Alternative - Private Equity</v>
          </cell>
        </row>
        <row r="4942">
          <cell r="A4942" t="str">
            <v>AI_PE_SMSEMI</v>
          </cell>
          <cell r="B4942" t="str">
            <v>IT Small Semiconduct</v>
          </cell>
          <cell r="C4942" t="str">
            <v>ALTERNATIVE:_PRIVATE_EQUITY:PE_SEC:AI_PE_SMSEMI</v>
          </cell>
          <cell r="D4942" t="str">
            <v>Index</v>
          </cell>
          <cell r="E4942" t="str">
            <v>Index Level</v>
          </cell>
          <cell r="F4942" t="str">
            <v>ALT PE-Index</v>
          </cell>
          <cell r="G4942" t="str">
            <v>Other</v>
          </cell>
          <cell r="H4942" t="str">
            <v>ALTS</v>
          </cell>
          <cell r="I4942" t="str">
            <v>Alternative - Private Equity</v>
          </cell>
        </row>
        <row r="4943">
          <cell r="A4943" t="str">
            <v>AI_PE_SMSOFT</v>
          </cell>
          <cell r="B4943" t="str">
            <v>IT Small Software</v>
          </cell>
          <cell r="C4943" t="str">
            <v>ALTERNATIVE:_PRIVATE_EQUITY:PE_SEC:AI_PE_SMSOFT</v>
          </cell>
          <cell r="D4943" t="str">
            <v>Index</v>
          </cell>
          <cell r="E4943" t="str">
            <v>Index Level</v>
          </cell>
          <cell r="F4943" t="str">
            <v>ALT PE-Index</v>
          </cell>
          <cell r="G4943" t="str">
            <v>Other</v>
          </cell>
          <cell r="H4943" t="str">
            <v>ALTS</v>
          </cell>
          <cell r="I4943" t="str">
            <v>Alternative - Private Equity</v>
          </cell>
        </row>
        <row r="4944">
          <cell r="A4944" t="str">
            <v>AI_PE_SMCOMM</v>
          </cell>
          <cell r="B4944" t="str">
            <v>Communication Small</v>
          </cell>
          <cell r="C4944" t="str">
            <v>ALTERNATIVE:_PRIVATE_EQUITY:PE_SEC:AI_PE_SMCOMM</v>
          </cell>
          <cell r="D4944" t="str">
            <v>Index</v>
          </cell>
          <cell r="E4944" t="str">
            <v>Index Level</v>
          </cell>
          <cell r="F4944" t="str">
            <v>ALT PE-Index</v>
          </cell>
          <cell r="G4944" t="str">
            <v>Other</v>
          </cell>
          <cell r="H4944" t="str">
            <v>ALTS</v>
          </cell>
          <cell r="I4944" t="str">
            <v>Alternative - Private Equity</v>
          </cell>
        </row>
        <row r="4945">
          <cell r="A4945" t="str">
            <v>AI_PE_SMCONSDISC</v>
          </cell>
          <cell r="B4945" t="str">
            <v>Cons. Disc. Small</v>
          </cell>
          <cell r="C4945" t="str">
            <v>ALTERNATIVE:_PRIVATE_EQUITY:PE_SEC:AI_PE_SMCONSDISC</v>
          </cell>
          <cell r="D4945" t="str">
            <v>Index</v>
          </cell>
          <cell r="E4945" t="str">
            <v>Index Level</v>
          </cell>
          <cell r="F4945" t="str">
            <v>ALT PE-Index</v>
          </cell>
          <cell r="G4945" t="str">
            <v>Other</v>
          </cell>
          <cell r="H4945" t="str">
            <v>ALTS</v>
          </cell>
          <cell r="I4945" t="str">
            <v>Alternative - Private Equity</v>
          </cell>
        </row>
        <row r="4946">
          <cell r="A4946" t="str">
            <v>AI_PE_SMCONSSTAP</v>
          </cell>
          <cell r="B4946" t="str">
            <v>Cons. Staple Small</v>
          </cell>
          <cell r="C4946" t="str">
            <v>ALTERNATIVE:_PRIVATE_EQUITY:PE_SEC:AI_PE_SMCONSSTAP</v>
          </cell>
          <cell r="D4946" t="str">
            <v>Index</v>
          </cell>
          <cell r="E4946" t="str">
            <v>Index Level</v>
          </cell>
          <cell r="F4946" t="str">
            <v>ALT PE-Index</v>
          </cell>
          <cell r="G4946" t="str">
            <v>Other</v>
          </cell>
          <cell r="H4946" t="str">
            <v>ALTS</v>
          </cell>
          <cell r="I4946" t="str">
            <v>Alternative - Private Equity</v>
          </cell>
        </row>
        <row r="4947">
          <cell r="A4947" t="str">
            <v>AI_PE_SMENGY</v>
          </cell>
          <cell r="B4947" t="str">
            <v>Energy Small</v>
          </cell>
          <cell r="C4947" t="str">
            <v>ALTERNATIVE:_PRIVATE_EQUITY:PE_SEC:AI_PE_SMENGY</v>
          </cell>
          <cell r="D4947" t="str">
            <v>Index</v>
          </cell>
          <cell r="E4947" t="str">
            <v>Index Level</v>
          </cell>
          <cell r="F4947" t="str">
            <v>ALT PE-Index</v>
          </cell>
          <cell r="G4947" t="str">
            <v>Other</v>
          </cell>
          <cell r="H4947" t="str">
            <v>ALTS</v>
          </cell>
          <cell r="I4947" t="str">
            <v>Alternative - Private Equity</v>
          </cell>
        </row>
        <row r="4948">
          <cell r="A4948" t="str">
            <v>AI_PE_SMFIN</v>
          </cell>
          <cell r="B4948" t="str">
            <v>Financials Small</v>
          </cell>
          <cell r="C4948" t="str">
            <v>ALTERNATIVE:_PRIVATE_EQUITY:PE_SEC:AI_PE_SMFIN</v>
          </cell>
          <cell r="D4948" t="str">
            <v>Index</v>
          </cell>
          <cell r="E4948" t="str">
            <v>Index Level</v>
          </cell>
          <cell r="F4948" t="str">
            <v>ALT PE-Index</v>
          </cell>
          <cell r="G4948" t="str">
            <v>Other</v>
          </cell>
          <cell r="H4948" t="str">
            <v>ALTS</v>
          </cell>
          <cell r="I4948" t="str">
            <v>Alternative - Private Equity</v>
          </cell>
        </row>
        <row r="4949">
          <cell r="A4949" t="str">
            <v>AI_PE_SMHEALTH</v>
          </cell>
          <cell r="B4949" t="str">
            <v>Healthcare Small</v>
          </cell>
          <cell r="C4949" t="str">
            <v>ALTERNATIVE:_PRIVATE_EQUITY:PE_SEC:AI_PE_SMHEALTH</v>
          </cell>
          <cell r="D4949" t="str">
            <v>Index</v>
          </cell>
          <cell r="E4949" t="str">
            <v>Index Level</v>
          </cell>
          <cell r="F4949" t="str">
            <v>ALT PE-Index</v>
          </cell>
          <cell r="G4949" t="str">
            <v>Other</v>
          </cell>
          <cell r="H4949" t="str">
            <v>ALTS</v>
          </cell>
          <cell r="I4949" t="str">
            <v>Alternative - Private Equity</v>
          </cell>
        </row>
        <row r="4950">
          <cell r="A4950" t="str">
            <v>AI_PE_SMIND</v>
          </cell>
          <cell r="B4950" t="str">
            <v>Industrials Small</v>
          </cell>
          <cell r="C4950" t="str">
            <v>ALTERNATIVE:_PRIVATE_EQUITY:PE_SEC:AI_PE_SMIND</v>
          </cell>
          <cell r="D4950" t="str">
            <v>Index</v>
          </cell>
          <cell r="E4950" t="str">
            <v>Index Level</v>
          </cell>
          <cell r="F4950" t="str">
            <v>ALT PE-Index</v>
          </cell>
          <cell r="G4950" t="str">
            <v>Other</v>
          </cell>
          <cell r="H4950" t="str">
            <v>ALTS</v>
          </cell>
          <cell r="I4950" t="str">
            <v>Alternative - Private Equity</v>
          </cell>
        </row>
        <row r="4951">
          <cell r="A4951" t="str">
            <v>AI_PE_SMIT</v>
          </cell>
          <cell r="B4951" t="str">
            <v>Info Tech Small</v>
          </cell>
          <cell r="C4951" t="str">
            <v>ALTERNATIVE:_PRIVATE_EQUITY:PE_SEC:AI_PE_SMIT</v>
          </cell>
          <cell r="D4951" t="str">
            <v>Index</v>
          </cell>
          <cell r="E4951" t="str">
            <v>Index Level</v>
          </cell>
          <cell r="F4951" t="str">
            <v>ALT PE-Index</v>
          </cell>
          <cell r="G4951" t="str">
            <v>Other</v>
          </cell>
          <cell r="H4951" t="str">
            <v>ALTS</v>
          </cell>
          <cell r="I4951" t="str">
            <v>Alternative - Private Equity</v>
          </cell>
        </row>
        <row r="4952">
          <cell r="A4952" t="str">
            <v>AI_PE_SMMAT</v>
          </cell>
          <cell r="B4952" t="str">
            <v>Materials Small</v>
          </cell>
          <cell r="C4952" t="str">
            <v>ALTERNATIVE:_PRIVATE_EQUITY:PE_SEC:AI_PE_SMMAT</v>
          </cell>
          <cell r="D4952" t="str">
            <v>Index</v>
          </cell>
          <cell r="E4952" t="str">
            <v>Index Level</v>
          </cell>
          <cell r="F4952" t="str">
            <v>ALT PE-Index</v>
          </cell>
          <cell r="G4952" t="str">
            <v>Other</v>
          </cell>
          <cell r="H4952" t="str">
            <v>ALTS</v>
          </cell>
          <cell r="I4952" t="str">
            <v>Alternative - Private Equity</v>
          </cell>
        </row>
        <row r="4953">
          <cell r="A4953" t="str">
            <v>AI_PE_SMUT</v>
          </cell>
          <cell r="B4953" t="str">
            <v>Utilities Small</v>
          </cell>
          <cell r="C4953" t="str">
            <v>ALTERNATIVE:_PRIVATE_EQUITY:PE_SEC:AI_PE_SMUT</v>
          </cell>
          <cell r="D4953" t="str">
            <v>Index</v>
          </cell>
          <cell r="E4953" t="str">
            <v>Index Level</v>
          </cell>
          <cell r="F4953" t="str">
            <v>ALT PE-Index</v>
          </cell>
          <cell r="G4953" t="str">
            <v>Other</v>
          </cell>
          <cell r="H4953" t="str">
            <v>ALTS</v>
          </cell>
          <cell r="I4953" t="str">
            <v>Alternative - Private Equity</v>
          </cell>
        </row>
        <row r="4954">
          <cell r="A4954" t="str">
            <v>AI_PE_SMCAP</v>
          </cell>
          <cell r="B4954" t="str">
            <v>Capital Goods Small</v>
          </cell>
          <cell r="C4954" t="str">
            <v>ALTERNATIVE:_PRIVATE_EQUITY:PE_SEC:AI_PE_SMCAP</v>
          </cell>
          <cell r="D4954" t="str">
            <v>Index</v>
          </cell>
          <cell r="E4954" t="str">
            <v>Index Level</v>
          </cell>
          <cell r="F4954" t="str">
            <v>ALT PE-Index</v>
          </cell>
          <cell r="G4954" t="str">
            <v>Other</v>
          </cell>
          <cell r="H4954" t="str">
            <v>ALTS</v>
          </cell>
          <cell r="I4954" t="str">
            <v>Alternative - Private Equity</v>
          </cell>
        </row>
        <row r="4955">
          <cell r="A4955" t="str">
            <v>AI_PE_SMDUR</v>
          </cell>
          <cell r="B4955" t="str">
            <v>Cons. Durables Small</v>
          </cell>
          <cell r="C4955" t="str">
            <v>ALTERNATIVE:_PRIVATE_EQUITY:PE_SEC:AI_PE_SMDUR</v>
          </cell>
          <cell r="D4955" t="str">
            <v>Index</v>
          </cell>
          <cell r="E4955" t="str">
            <v>Index Level</v>
          </cell>
          <cell r="F4955" t="str">
            <v>ALT PE-Index</v>
          </cell>
          <cell r="G4955" t="str">
            <v>Other</v>
          </cell>
          <cell r="H4955" t="str">
            <v>ALTS</v>
          </cell>
          <cell r="I4955" t="str">
            <v>Alternative - Private Equity</v>
          </cell>
        </row>
        <row r="4956">
          <cell r="A4956" t="str">
            <v>AI_PE_ENGY_MID</v>
          </cell>
          <cell r="B4956" t="str">
            <v>Midstream Energy</v>
          </cell>
          <cell r="C4956" t="str">
            <v>ALTERNATIVE:_PRIVATE_EQUITY:PE_SEC:AI_PE_ENGY_MID</v>
          </cell>
          <cell r="D4956" t="str">
            <v>Index</v>
          </cell>
          <cell r="E4956" t="str">
            <v>Index Level</v>
          </cell>
          <cell r="F4956" t="str">
            <v>ALT PE-Index</v>
          </cell>
          <cell r="G4956" t="str">
            <v>Other</v>
          </cell>
          <cell r="H4956" t="str">
            <v>ALTS</v>
          </cell>
          <cell r="I4956" t="str">
            <v>Alternative - Private Equity</v>
          </cell>
        </row>
        <row r="4957">
          <cell r="A4957" t="str">
            <v>AI_PE_ENGY_UP</v>
          </cell>
          <cell r="B4957" t="str">
            <v>Upstream Energy</v>
          </cell>
          <cell r="C4957" t="str">
            <v>ALTERNATIVE:_PRIVATE_EQUITY:PE_SEC:AI_PE_ENGY_UP</v>
          </cell>
          <cell r="D4957" t="str">
            <v>Index</v>
          </cell>
          <cell r="E4957" t="str">
            <v>Index Level</v>
          </cell>
          <cell r="F4957" t="str">
            <v>ALT PE-Index</v>
          </cell>
          <cell r="G4957" t="str">
            <v>Other</v>
          </cell>
          <cell r="H4957" t="str">
            <v>ALTS</v>
          </cell>
          <cell r="I4957" t="str">
            <v>Alternative - Private Equity</v>
          </cell>
        </row>
        <row r="4958">
          <cell r="A4958" t="str">
            <v>AI_RE_AUS_PUB</v>
          </cell>
          <cell r="B4958" t="str">
            <v>Australia RE Public</v>
          </cell>
          <cell r="C4958" t="str">
            <v>ALTERNATIVE:RE_BRS_GOLD:RE_PUBLIC_BRS_GOLD:AI_RE_AUS_PUB</v>
          </cell>
          <cell r="D4958" t="str">
            <v>Index</v>
          </cell>
          <cell r="E4958" t="str">
            <v>Index Level</v>
          </cell>
          <cell r="F4958" t="str">
            <v>Alternative</v>
          </cell>
          <cell r="G4958" t="str">
            <v>Other</v>
          </cell>
          <cell r="H4958" t="str">
            <v>ALTS</v>
          </cell>
          <cell r="I4958" t="str">
            <v>Alternative - Index</v>
          </cell>
        </row>
        <row r="4959">
          <cell r="A4959" t="str">
            <v>AI_RE_CAD_PUB</v>
          </cell>
          <cell r="B4959" t="str">
            <v>Canada RE Public</v>
          </cell>
          <cell r="C4959" t="str">
            <v>ALTERNATIVE:RE_BRS_GOLD:RE_PUBLIC_BRS_GOLD:AI_RE_CAD_PUB</v>
          </cell>
          <cell r="D4959" t="str">
            <v>Index</v>
          </cell>
          <cell r="E4959" t="str">
            <v>Index Level</v>
          </cell>
          <cell r="F4959" t="str">
            <v>Alternative</v>
          </cell>
          <cell r="G4959" t="str">
            <v>Other</v>
          </cell>
          <cell r="H4959" t="str">
            <v>ALTS</v>
          </cell>
          <cell r="I4959" t="str">
            <v>Alternative - Index</v>
          </cell>
        </row>
        <row r="4960">
          <cell r="A4960" t="str">
            <v>AI_RE_FRA_PUB</v>
          </cell>
          <cell r="B4960" t="str">
            <v>France RE Public</v>
          </cell>
          <cell r="C4960" t="str">
            <v>ALTERNATIVE:RE_BRS_GOLD:RE_PUBLIC_BRS_GOLD:AI_RE_FRA_PUB</v>
          </cell>
          <cell r="D4960" t="str">
            <v>Index</v>
          </cell>
          <cell r="E4960" t="str">
            <v>Index Level</v>
          </cell>
          <cell r="F4960" t="str">
            <v>Alternative</v>
          </cell>
          <cell r="G4960" t="str">
            <v>Other</v>
          </cell>
          <cell r="H4960" t="str">
            <v>ALTS</v>
          </cell>
          <cell r="I4960" t="str">
            <v>Alternative - Index</v>
          </cell>
        </row>
        <row r="4961">
          <cell r="A4961" t="str">
            <v>AI_RE_GER_PUB</v>
          </cell>
          <cell r="B4961" t="str">
            <v>Germany RE Public</v>
          </cell>
          <cell r="C4961" t="str">
            <v>ALTERNATIVE:RE_BRS_GOLD:RE_PUBLIC_BRS_GOLD:AI_RE_GER_PUB</v>
          </cell>
          <cell r="D4961" t="str">
            <v>Index</v>
          </cell>
          <cell r="E4961" t="str">
            <v>Index Level</v>
          </cell>
          <cell r="F4961" t="str">
            <v>Alternative</v>
          </cell>
          <cell r="G4961" t="str">
            <v>Other</v>
          </cell>
          <cell r="H4961" t="str">
            <v>ALTS</v>
          </cell>
          <cell r="I4961" t="str">
            <v>Alternative - Index</v>
          </cell>
        </row>
        <row r="4962">
          <cell r="A4962" t="str">
            <v>AI_RE_JAP_PUB</v>
          </cell>
          <cell r="B4962" t="str">
            <v>Japan RE Public</v>
          </cell>
          <cell r="C4962" t="str">
            <v>ALTERNATIVE:RE_BRS_GOLD:RE_PUBLIC_BRS_GOLD:AI_RE_JAP_PUB</v>
          </cell>
          <cell r="D4962" t="str">
            <v>Index</v>
          </cell>
          <cell r="E4962" t="str">
            <v>Index Level</v>
          </cell>
          <cell r="F4962" t="str">
            <v>Alternative</v>
          </cell>
          <cell r="G4962" t="str">
            <v>Other</v>
          </cell>
          <cell r="H4962" t="str">
            <v>ALTS</v>
          </cell>
          <cell r="I4962" t="str">
            <v>Alternative - Index</v>
          </cell>
        </row>
        <row r="4963">
          <cell r="A4963" t="str">
            <v>AI_RE_NET_PUB</v>
          </cell>
          <cell r="B4963" t="str">
            <v>Netherlands RE Public</v>
          </cell>
          <cell r="C4963" t="str">
            <v>ALTERNATIVE:RE_BRS_GOLD:RE_PUBLIC_BRS_GOLD:AI_RE_NET_PUB</v>
          </cell>
          <cell r="D4963" t="str">
            <v>Index</v>
          </cell>
          <cell r="E4963" t="str">
            <v>Index Level</v>
          </cell>
          <cell r="F4963" t="str">
            <v>Alternative</v>
          </cell>
          <cell r="G4963" t="str">
            <v>Other</v>
          </cell>
          <cell r="H4963" t="str">
            <v>ALTS</v>
          </cell>
          <cell r="I4963" t="str">
            <v>Alternative - Index</v>
          </cell>
        </row>
        <row r="4964">
          <cell r="A4964" t="str">
            <v>AI_RE_SIN_PUB</v>
          </cell>
          <cell r="B4964" t="str">
            <v>Singapore RE Public</v>
          </cell>
          <cell r="C4964" t="str">
            <v>ALTERNATIVE:RE_BRS_GOLD:RE_PUBLIC_BRS_GOLD:AI_RE_SIN_PUB</v>
          </cell>
          <cell r="D4964" t="str">
            <v>Index</v>
          </cell>
          <cell r="E4964" t="str">
            <v>Index Level</v>
          </cell>
          <cell r="F4964" t="str">
            <v>Alternative</v>
          </cell>
          <cell r="G4964" t="str">
            <v>Other</v>
          </cell>
          <cell r="H4964" t="str">
            <v>ALTS</v>
          </cell>
          <cell r="I4964" t="str">
            <v>Alternative - Index</v>
          </cell>
        </row>
        <row r="4965">
          <cell r="A4965" t="str">
            <v>AI_RE_SWE_PUB</v>
          </cell>
          <cell r="B4965" t="str">
            <v>Sweden RE Public</v>
          </cell>
          <cell r="C4965" t="str">
            <v>ALTERNATIVE:RE_BRS_GOLD:RE_PUBLIC_BRS_GOLD:AI_RE_SWE_PUB</v>
          </cell>
          <cell r="D4965" t="str">
            <v>Index</v>
          </cell>
          <cell r="E4965" t="str">
            <v>Index Level</v>
          </cell>
          <cell r="F4965" t="str">
            <v>Alternative</v>
          </cell>
          <cell r="G4965" t="str">
            <v>Other</v>
          </cell>
          <cell r="H4965" t="str">
            <v>ALTS</v>
          </cell>
          <cell r="I4965" t="str">
            <v>Alternative - Index</v>
          </cell>
        </row>
        <row r="4966">
          <cell r="A4966" t="str">
            <v>AI_RE_SWI_PUB</v>
          </cell>
          <cell r="B4966" t="str">
            <v>Switzerland RE Public</v>
          </cell>
          <cell r="C4966" t="str">
            <v>ALTERNATIVE:RE_BRS_GOLD:RE_PUBLIC_BRS_GOLD:AI_RE_SWI_PUB</v>
          </cell>
          <cell r="D4966" t="str">
            <v>Index</v>
          </cell>
          <cell r="E4966" t="str">
            <v>Index Level</v>
          </cell>
          <cell r="F4966" t="str">
            <v>Alternative</v>
          </cell>
          <cell r="G4966" t="str">
            <v>Other</v>
          </cell>
          <cell r="H4966" t="str">
            <v>ALTS</v>
          </cell>
          <cell r="I4966" t="str">
            <v>Alternative - Index</v>
          </cell>
        </row>
        <row r="4967">
          <cell r="A4967" t="str">
            <v>AI_RE_UK_PUB</v>
          </cell>
          <cell r="B4967" t="str">
            <v>UK RE Public</v>
          </cell>
          <cell r="C4967" t="str">
            <v>ALTERNATIVE:RE_BRS_GOLD:RE_PUBLIC_BRS_GOLD:AI_RE_UK_PUB</v>
          </cell>
          <cell r="D4967" t="str">
            <v>Index</v>
          </cell>
          <cell r="E4967" t="str">
            <v>Index Level</v>
          </cell>
          <cell r="F4967" t="str">
            <v>Alternative</v>
          </cell>
          <cell r="G4967" t="str">
            <v>Other</v>
          </cell>
          <cell r="H4967" t="str">
            <v>ALTS</v>
          </cell>
          <cell r="I4967" t="str">
            <v>Alternative - Index</v>
          </cell>
        </row>
        <row r="4968">
          <cell r="A4968" t="str">
            <v>AI_RE_US_PUB</v>
          </cell>
          <cell r="B4968" t="str">
            <v>US RE Public</v>
          </cell>
          <cell r="C4968" t="str">
            <v>ALTERNATIVE:RE_BRS_GOLD:RE_PUBLIC_BRS_GOLD:AI_RE_US_PUB</v>
          </cell>
          <cell r="D4968" t="str">
            <v>Index</v>
          </cell>
          <cell r="E4968" t="str">
            <v>Index Level</v>
          </cell>
          <cell r="F4968" t="str">
            <v>Alternative</v>
          </cell>
          <cell r="G4968" t="str">
            <v>Other</v>
          </cell>
          <cell r="H4968" t="str">
            <v>ALTS</v>
          </cell>
          <cell r="I4968" t="str">
            <v>Alternative - Index</v>
          </cell>
        </row>
        <row r="4969">
          <cell r="A4969" t="str">
            <v>AI_RE_GLOB_HEL</v>
          </cell>
          <cell r="B4969" t="str">
            <v>Global RE Healthcare</v>
          </cell>
          <cell r="C4969" t="str">
            <v>ALTERNATIVE:RE_BRS_GOLD:RE_PROP_TYPE_BRS_GOLD:AI_RE_GLOB_HEL</v>
          </cell>
          <cell r="D4969" t="str">
            <v>Index</v>
          </cell>
          <cell r="E4969" t="str">
            <v>Index Level</v>
          </cell>
          <cell r="F4969" t="str">
            <v>Alternative</v>
          </cell>
          <cell r="G4969" t="str">
            <v>Other</v>
          </cell>
          <cell r="H4969" t="str">
            <v>ALTS</v>
          </cell>
          <cell r="I4969" t="str">
            <v>Alternative - Index</v>
          </cell>
        </row>
        <row r="4970">
          <cell r="A4970" t="str">
            <v>AI_RE_GLOB_IND</v>
          </cell>
          <cell r="B4970" t="str">
            <v>Global RE Industrial</v>
          </cell>
          <cell r="C4970" t="str">
            <v>ALTERNATIVE:RE_BRS_GOLD:RE_PROP_TYPE_BRS_GOLD:AI_RE_GLOB_IND</v>
          </cell>
          <cell r="D4970" t="str">
            <v>Index</v>
          </cell>
          <cell r="E4970" t="str">
            <v>Index Level</v>
          </cell>
          <cell r="F4970" t="str">
            <v>Alternative</v>
          </cell>
          <cell r="G4970" t="str">
            <v>Other</v>
          </cell>
          <cell r="H4970" t="str">
            <v>ALTS</v>
          </cell>
          <cell r="I4970" t="str">
            <v>Alternative - Index</v>
          </cell>
        </row>
        <row r="4971">
          <cell r="A4971" t="str">
            <v>AI_RE_GLOB_LOD</v>
          </cell>
          <cell r="B4971" t="str">
            <v>Global RE Lodging</v>
          </cell>
          <cell r="C4971" t="str">
            <v>ALTERNATIVE:RE_BRS_GOLD:RE_PROP_TYPE_BRS_GOLD:AI_RE_GLOB_LOD</v>
          </cell>
          <cell r="D4971" t="str">
            <v>Index</v>
          </cell>
          <cell r="E4971" t="str">
            <v>Index Level</v>
          </cell>
          <cell r="F4971" t="str">
            <v>Alternative</v>
          </cell>
          <cell r="G4971" t="str">
            <v>Other</v>
          </cell>
          <cell r="H4971" t="str">
            <v>ALTS</v>
          </cell>
          <cell r="I4971" t="str">
            <v>Alternative - Index</v>
          </cell>
        </row>
        <row r="4972">
          <cell r="A4972" t="str">
            <v>AI_RE_GLOB_OFF</v>
          </cell>
          <cell r="B4972" t="str">
            <v>Global RE Office</v>
          </cell>
          <cell r="C4972" t="str">
            <v>ALTERNATIVE:RE_BRS_GOLD:RE_PROP_TYPE_BRS_GOLD:AI_RE_GLOB_OFF</v>
          </cell>
          <cell r="D4972" t="str">
            <v>Index</v>
          </cell>
          <cell r="E4972" t="str">
            <v>Index Level</v>
          </cell>
          <cell r="F4972" t="str">
            <v>Alternative</v>
          </cell>
          <cell r="G4972" t="str">
            <v>Other</v>
          </cell>
          <cell r="H4972" t="str">
            <v>ALTS</v>
          </cell>
          <cell r="I4972" t="str">
            <v>Alternative - Index</v>
          </cell>
        </row>
        <row r="4973">
          <cell r="A4973" t="str">
            <v>AI_RE_GLOB_RES</v>
          </cell>
          <cell r="B4973" t="str">
            <v>Global RE Residential</v>
          </cell>
          <cell r="C4973" t="str">
            <v>ALTERNATIVE:RE_BRS_GOLD:RE_PROP_TYPE_BRS_GOLD:AI_RE_GLOB_RES</v>
          </cell>
          <cell r="D4973" t="str">
            <v>Index</v>
          </cell>
          <cell r="E4973" t="str">
            <v>Index Level</v>
          </cell>
          <cell r="F4973" t="str">
            <v>Alternative</v>
          </cell>
          <cell r="G4973" t="str">
            <v>Other</v>
          </cell>
          <cell r="H4973" t="str">
            <v>ALTS</v>
          </cell>
          <cell r="I4973" t="str">
            <v>Alternative - Index</v>
          </cell>
        </row>
        <row r="4974">
          <cell r="A4974" t="str">
            <v>AI_RE_GLOB_RET</v>
          </cell>
          <cell r="B4974" t="str">
            <v>Global RE Retail</v>
          </cell>
          <cell r="C4974" t="str">
            <v>ALTERNATIVE:RE_BRS_GOLD:RE_PROP_TYPE_BRS_GOLD:AI_RE_GLOB_RET</v>
          </cell>
          <cell r="D4974" t="str">
            <v>Index</v>
          </cell>
          <cell r="E4974" t="str">
            <v>Index Level</v>
          </cell>
          <cell r="F4974" t="str">
            <v>Alternative</v>
          </cell>
          <cell r="G4974" t="str">
            <v>Other</v>
          </cell>
          <cell r="H4974" t="str">
            <v>ALTS</v>
          </cell>
          <cell r="I4974" t="str">
            <v>Alternative - Index</v>
          </cell>
        </row>
        <row r="4975">
          <cell r="A4975" t="str">
            <v>AI_RE_ASIA_BROAD</v>
          </cell>
          <cell r="B4975" t="str">
            <v>Asia RE Broad</v>
          </cell>
          <cell r="C4975" t="str">
            <v>ALTERNATIVE:RE_BRS_GOLD:RE_OTHER_BRS_GOLD:AI_RE_ASIA_BROAD</v>
          </cell>
          <cell r="D4975" t="str">
            <v>Index</v>
          </cell>
          <cell r="E4975" t="str">
            <v>Index Level</v>
          </cell>
          <cell r="F4975" t="str">
            <v>Alternative</v>
          </cell>
          <cell r="G4975" t="str">
            <v>Other</v>
          </cell>
          <cell r="H4975" t="str">
            <v>ALTS</v>
          </cell>
          <cell r="I4975" t="str">
            <v>Alternative - Index</v>
          </cell>
        </row>
        <row r="4976">
          <cell r="A4976" t="str">
            <v>AI_RE_ASIA_IND</v>
          </cell>
          <cell r="B4976" t="str">
            <v>Asia RE Industrial</v>
          </cell>
          <cell r="C4976" t="str">
            <v>ALTERNATIVE:RE_BRS_GOLD:RE_OTHER_BRS_GOLD:AI_RE_ASIA_IND</v>
          </cell>
          <cell r="D4976" t="str">
            <v>Index</v>
          </cell>
          <cell r="E4976" t="str">
            <v>Index Level</v>
          </cell>
          <cell r="F4976" t="str">
            <v>Alternative</v>
          </cell>
          <cell r="G4976" t="str">
            <v>Other</v>
          </cell>
          <cell r="H4976" t="str">
            <v>ALTS</v>
          </cell>
          <cell r="I4976" t="str">
            <v>Alternative - Index</v>
          </cell>
        </row>
        <row r="4977">
          <cell r="A4977" t="str">
            <v>AI_RE_ASIA_LOD</v>
          </cell>
          <cell r="B4977" t="str">
            <v>Asia RE Lodging</v>
          </cell>
          <cell r="C4977" t="str">
            <v>ALTERNATIVE:RE_BRS_GOLD:RE_OTHER_BRS_GOLD:AI_RE_ASIA_LOD</v>
          </cell>
          <cell r="D4977" t="str">
            <v>Index</v>
          </cell>
          <cell r="E4977" t="str">
            <v>Index Level</v>
          </cell>
          <cell r="F4977" t="str">
            <v>Alternative</v>
          </cell>
          <cell r="G4977" t="str">
            <v>Other</v>
          </cell>
          <cell r="H4977" t="str">
            <v>ALTS</v>
          </cell>
          <cell r="I4977" t="str">
            <v>Alternative - Index</v>
          </cell>
        </row>
        <row r="4978">
          <cell r="A4978" t="str">
            <v>AI_RE_ASIA_OFF</v>
          </cell>
          <cell r="B4978" t="str">
            <v>Asia RE Office</v>
          </cell>
          <cell r="C4978" t="str">
            <v>ALTERNATIVE:RE_BRS_GOLD:RE_OTHER_BRS_GOLD:AI_RE_ASIA_OFF</v>
          </cell>
          <cell r="D4978" t="str">
            <v>Index</v>
          </cell>
          <cell r="E4978" t="str">
            <v>Index Level</v>
          </cell>
          <cell r="F4978" t="str">
            <v>Alternative</v>
          </cell>
          <cell r="G4978" t="str">
            <v>Other</v>
          </cell>
          <cell r="H4978" t="str">
            <v>ALTS</v>
          </cell>
          <cell r="I4978" t="str">
            <v>Alternative - Index</v>
          </cell>
        </row>
        <row r="4979">
          <cell r="A4979" t="str">
            <v>AI_RE_ASIA_RES</v>
          </cell>
          <cell r="B4979" t="str">
            <v>Asia RE Residential</v>
          </cell>
          <cell r="C4979" t="str">
            <v>ALTERNATIVE:RE_BRS_GOLD:RE_OTHER_BRS_GOLD:AI_RE_ASIA_RES</v>
          </cell>
          <cell r="D4979" t="str">
            <v>Index</v>
          </cell>
          <cell r="E4979" t="str">
            <v>Index Level</v>
          </cell>
          <cell r="F4979" t="str">
            <v>Alternative</v>
          </cell>
          <cell r="G4979" t="str">
            <v>Other</v>
          </cell>
          <cell r="H4979" t="str">
            <v>ALTS</v>
          </cell>
          <cell r="I4979" t="str">
            <v>Alternative - Index</v>
          </cell>
        </row>
        <row r="4980">
          <cell r="A4980" t="str">
            <v>AI_RE_ASIA_RET</v>
          </cell>
          <cell r="B4980" t="str">
            <v>Asia RE Retail</v>
          </cell>
          <cell r="C4980" t="str">
            <v>ALTERNATIVE:RE_BRS_GOLD:RE_OTHER_BRS_GOLD:AI_RE_ASIA_RET</v>
          </cell>
          <cell r="D4980" t="str">
            <v>Index</v>
          </cell>
          <cell r="E4980" t="str">
            <v>Index Level</v>
          </cell>
          <cell r="F4980" t="str">
            <v>Alternative</v>
          </cell>
          <cell r="G4980" t="str">
            <v>Other</v>
          </cell>
          <cell r="H4980" t="str">
            <v>ALTS</v>
          </cell>
          <cell r="I4980" t="str">
            <v>Alternative - Index</v>
          </cell>
        </row>
        <row r="4981">
          <cell r="A4981" t="str">
            <v>AI_RE_AUS</v>
          </cell>
          <cell r="B4981" t="str">
            <v>Australian RE</v>
          </cell>
          <cell r="C4981" t="str">
            <v>ALTERNATIVE:RE_BRS_GOLD:RE_OTHER_BRS_GOLD:AI_RE_AUS</v>
          </cell>
          <cell r="D4981" t="str">
            <v>Index</v>
          </cell>
          <cell r="E4981" t="str">
            <v>Index Level</v>
          </cell>
          <cell r="F4981" t="str">
            <v>Alternative</v>
          </cell>
          <cell r="G4981" t="str">
            <v>Other</v>
          </cell>
          <cell r="H4981" t="str">
            <v>ALTS</v>
          </cell>
          <cell r="I4981" t="str">
            <v>Alternative - Index</v>
          </cell>
        </row>
        <row r="4982">
          <cell r="A4982" t="str">
            <v>AI_RE_AUS_PUBEX</v>
          </cell>
          <cell r="B4982" t="str">
            <v>Australia RE Public Excess</v>
          </cell>
          <cell r="C4982" t="str">
            <v>ALTERNATIVE:RE_BRS_GOLD:RE_OTHER_BRS_GOLD:AI_RE_AUS_PUBEX</v>
          </cell>
          <cell r="D4982" t="str">
            <v>Index</v>
          </cell>
          <cell r="E4982" t="str">
            <v>Index Level</v>
          </cell>
          <cell r="F4982" t="str">
            <v>Alternative</v>
          </cell>
          <cell r="G4982" t="str">
            <v>Other</v>
          </cell>
          <cell r="H4982" t="str">
            <v>ALTS</v>
          </cell>
          <cell r="I4982" t="str">
            <v>Alternative - Index</v>
          </cell>
        </row>
        <row r="4983">
          <cell r="A4983" t="str">
            <v>AI_RE_CAD_PUBEX</v>
          </cell>
          <cell r="B4983" t="str">
            <v>Canada RE Public Excess</v>
          </cell>
          <cell r="C4983" t="str">
            <v>ALTERNATIVE:RE_BRS_GOLD:RE_OTHER_BRS_GOLD:AI_RE_CAD_PUBEX</v>
          </cell>
          <cell r="D4983" t="str">
            <v>Index</v>
          </cell>
          <cell r="E4983" t="str">
            <v>Index Level</v>
          </cell>
          <cell r="F4983" t="str">
            <v>Alternative</v>
          </cell>
          <cell r="G4983" t="str">
            <v>Other</v>
          </cell>
          <cell r="H4983" t="str">
            <v>ALTS</v>
          </cell>
          <cell r="I4983" t="str">
            <v>Alternative - Index</v>
          </cell>
        </row>
        <row r="4984">
          <cell r="A4984" t="str">
            <v>AI_RE_DEV_EMEA</v>
          </cell>
          <cell r="B4984" t="str">
            <v>Developed EMEA RE</v>
          </cell>
          <cell r="C4984" t="str">
            <v>ALTERNATIVE:RE_BRS_GOLD:RE_OTHER_BRS_GOLD:AI_RE_DEV_EMEA</v>
          </cell>
          <cell r="D4984" t="str">
            <v>Index</v>
          </cell>
          <cell r="E4984" t="str">
            <v>Index Level</v>
          </cell>
          <cell r="F4984" t="str">
            <v>Alternative</v>
          </cell>
          <cell r="G4984" t="str">
            <v>Other</v>
          </cell>
          <cell r="H4984" t="str">
            <v>ALTS</v>
          </cell>
          <cell r="I4984" t="str">
            <v>Alternative - Index</v>
          </cell>
        </row>
        <row r="4985">
          <cell r="A4985" t="str">
            <v>AI_RE_EM</v>
          </cell>
          <cell r="B4985" t="str">
            <v>Emg Markets RE (EUR)</v>
          </cell>
          <cell r="C4985" t="str">
            <v>ALTERNATIVE:RE_BRS_GOLD:RE_OTHER_BRS_GOLD:AI_RE_EM</v>
          </cell>
          <cell r="D4985" t="str">
            <v>Index</v>
          </cell>
          <cell r="E4985" t="str">
            <v>Index Level</v>
          </cell>
          <cell r="F4985" t="str">
            <v>Alternative</v>
          </cell>
          <cell r="G4985" t="str">
            <v>Other</v>
          </cell>
          <cell r="H4985" t="str">
            <v>ALTS</v>
          </cell>
          <cell r="I4985" t="str">
            <v>Alternative - Index</v>
          </cell>
        </row>
        <row r="4986">
          <cell r="A4986" t="str">
            <v>AI_RE_EMEA</v>
          </cell>
          <cell r="B4986" t="str">
            <v>EMEA RE</v>
          </cell>
          <cell r="C4986" t="str">
            <v>ALTERNATIVE:RE_BRS_GOLD:RE_OTHER_BRS_GOLD:AI_RE_EMEA</v>
          </cell>
          <cell r="D4986" t="str">
            <v>Index</v>
          </cell>
          <cell r="E4986" t="str">
            <v>Index Level</v>
          </cell>
          <cell r="F4986" t="str">
            <v>Alternative</v>
          </cell>
          <cell r="G4986" t="str">
            <v>Other</v>
          </cell>
          <cell r="H4986" t="str">
            <v>ALTS</v>
          </cell>
          <cell r="I4986" t="str">
            <v>Alternative - Index</v>
          </cell>
        </row>
        <row r="4987">
          <cell r="A4987" t="str">
            <v>AI_RE_EM_AMRS</v>
          </cell>
          <cell r="B4987" t="str">
            <v>EM Americas RE</v>
          </cell>
          <cell r="C4987" t="str">
            <v>ALTERNATIVE:RE_BRS_GOLD:RE_OTHER_BRS_GOLD:AI_RE_EM_AMRS</v>
          </cell>
          <cell r="D4987" t="str">
            <v>Index</v>
          </cell>
          <cell r="E4987" t="str">
            <v>Index Level</v>
          </cell>
          <cell r="F4987" t="str">
            <v>Alternative</v>
          </cell>
          <cell r="G4987" t="str">
            <v>Other</v>
          </cell>
          <cell r="H4987" t="str">
            <v>ALTS</v>
          </cell>
          <cell r="I4987" t="str">
            <v>Alternative - Index</v>
          </cell>
        </row>
        <row r="4988">
          <cell r="A4988" t="str">
            <v>AI_RE_EM_APAC</v>
          </cell>
          <cell r="B4988" t="str">
            <v>EM Asia Pacific RE (USD)</v>
          </cell>
          <cell r="C4988" t="str">
            <v>ALTERNATIVE:RE_BRS_GOLD:RE_OTHER_BRS_GOLD:AI_RE_EM_APAC</v>
          </cell>
          <cell r="D4988" t="str">
            <v>Index</v>
          </cell>
          <cell r="E4988" t="str">
            <v>Index Level</v>
          </cell>
          <cell r="F4988" t="str">
            <v>Alternative</v>
          </cell>
          <cell r="G4988" t="str">
            <v>Other</v>
          </cell>
          <cell r="H4988" t="str">
            <v>ALTS</v>
          </cell>
          <cell r="I4988" t="str">
            <v>Alternative - Index</v>
          </cell>
        </row>
        <row r="4989">
          <cell r="A4989" t="str">
            <v>AI_RE_EM_EMEA</v>
          </cell>
          <cell r="B4989" t="str">
            <v>EM EMEA RE</v>
          </cell>
          <cell r="C4989" t="str">
            <v>ALTERNATIVE:RE_BRS_GOLD:RE_OTHER_BRS_GOLD:AI_RE_EM_EMEA</v>
          </cell>
          <cell r="D4989" t="str">
            <v>Index</v>
          </cell>
          <cell r="E4989" t="str">
            <v>Index Level</v>
          </cell>
          <cell r="F4989" t="str">
            <v>Alternative</v>
          </cell>
          <cell r="G4989" t="str">
            <v>Other</v>
          </cell>
          <cell r="H4989" t="str">
            <v>ALTS</v>
          </cell>
          <cell r="I4989" t="str">
            <v>Alternative - Index</v>
          </cell>
        </row>
        <row r="4990">
          <cell r="A4990" t="str">
            <v>AI_RE_EM_EUR</v>
          </cell>
          <cell r="B4990" t="str">
            <v>EM Europe RE</v>
          </cell>
          <cell r="C4990" t="str">
            <v>ALTERNATIVE:RE_BRS_GOLD:RE_OTHER_BRS_GOLD:AI_RE_EM_EUR</v>
          </cell>
          <cell r="D4990" t="str">
            <v>Index</v>
          </cell>
          <cell r="E4990" t="str">
            <v>Index Level</v>
          </cell>
          <cell r="F4990" t="str">
            <v>Alternative</v>
          </cell>
          <cell r="G4990" t="str">
            <v>Other</v>
          </cell>
          <cell r="H4990" t="str">
            <v>ALTS</v>
          </cell>
          <cell r="I4990" t="str">
            <v>Alternative - Index</v>
          </cell>
        </row>
        <row r="4991">
          <cell r="A4991" t="str">
            <v>AI_RE_EM_MEAF</v>
          </cell>
          <cell r="B4991" t="str">
            <v>EM Mid East/Afr RE(USD)</v>
          </cell>
          <cell r="C4991" t="str">
            <v>ALTERNATIVE:RE_BRS_GOLD:RE_OTHER_BRS_GOLD:AI_RE_EM_MEAF</v>
          </cell>
          <cell r="D4991" t="str">
            <v>Index</v>
          </cell>
          <cell r="E4991" t="str">
            <v>Index Level</v>
          </cell>
          <cell r="F4991" t="str">
            <v>Alternative</v>
          </cell>
          <cell r="G4991" t="str">
            <v>Other</v>
          </cell>
          <cell r="H4991" t="str">
            <v>ALTS</v>
          </cell>
          <cell r="I4991" t="str">
            <v>Alternative - Index</v>
          </cell>
        </row>
        <row r="4992">
          <cell r="A4992" t="str">
            <v>AI_RE_EUR</v>
          </cell>
          <cell r="B4992" t="str">
            <v>European RE (USD)</v>
          </cell>
          <cell r="C4992" t="str">
            <v>ALTERNATIVE:RE_BRS_GOLD:RE_OTHER_BRS_GOLD:AI_RE_EUR</v>
          </cell>
          <cell r="D4992" t="str">
            <v>Index</v>
          </cell>
          <cell r="E4992" t="str">
            <v>Index Level</v>
          </cell>
          <cell r="F4992" t="str">
            <v>Alternative</v>
          </cell>
          <cell r="G4992" t="str">
            <v>Other</v>
          </cell>
          <cell r="H4992" t="str">
            <v>ALTS</v>
          </cell>
          <cell r="I4992" t="str">
            <v>Alternative - Index</v>
          </cell>
        </row>
        <row r="4993">
          <cell r="A4993" t="str">
            <v>AI_RE_EUR_BROAD</v>
          </cell>
          <cell r="B4993" t="str">
            <v>Europe RE Broad</v>
          </cell>
          <cell r="C4993" t="str">
            <v>ALTERNATIVE:RE_BRS_GOLD:RE_OTHER_BRS_GOLD:AI_RE_EUR_BROAD</v>
          </cell>
          <cell r="D4993" t="str">
            <v>Index</v>
          </cell>
          <cell r="E4993" t="str">
            <v>Index Level</v>
          </cell>
          <cell r="F4993" t="str">
            <v>Alternative</v>
          </cell>
          <cell r="G4993" t="str">
            <v>Other</v>
          </cell>
          <cell r="H4993" t="str">
            <v>ALTS</v>
          </cell>
          <cell r="I4993" t="str">
            <v>Alternative - Index</v>
          </cell>
        </row>
        <row r="4994">
          <cell r="A4994" t="str">
            <v>AI_RE_EUR_EXUK</v>
          </cell>
          <cell r="B4994" t="str">
            <v>Europe Ex UK RE</v>
          </cell>
          <cell r="C4994" t="str">
            <v>ALTERNATIVE:RE_BRS_GOLD:RE_OTHER_BRS_GOLD:AI_RE_EUR_EXUK</v>
          </cell>
          <cell r="D4994" t="str">
            <v>Index</v>
          </cell>
          <cell r="E4994" t="str">
            <v>Index Level</v>
          </cell>
          <cell r="F4994" t="str">
            <v>Alternative</v>
          </cell>
          <cell r="G4994" t="str">
            <v>Other</v>
          </cell>
          <cell r="H4994" t="str">
            <v>ALTS</v>
          </cell>
          <cell r="I4994" t="str">
            <v>Alternative - Index</v>
          </cell>
        </row>
        <row r="4995">
          <cell r="A4995" t="str">
            <v>AI_RE_EUR_HEL</v>
          </cell>
          <cell r="B4995" t="str">
            <v>Europe RE Healthcare</v>
          </cell>
          <cell r="C4995" t="str">
            <v>ALTERNATIVE:RE_BRS_GOLD:RE_OTHER_BRS_GOLD:AI_RE_EUR_HEL</v>
          </cell>
          <cell r="D4995" t="str">
            <v>Index</v>
          </cell>
          <cell r="E4995" t="str">
            <v>Index Level</v>
          </cell>
          <cell r="F4995" t="str">
            <v>Alternative</v>
          </cell>
          <cell r="G4995" t="str">
            <v>Other</v>
          </cell>
          <cell r="H4995" t="str">
            <v>ALTS</v>
          </cell>
          <cell r="I4995" t="str">
            <v>Alternative - Index</v>
          </cell>
        </row>
        <row r="4996">
          <cell r="A4996" t="str">
            <v>AI_RE_EUR_IND</v>
          </cell>
          <cell r="B4996" t="str">
            <v>Europe RE Industrial</v>
          </cell>
          <cell r="C4996" t="str">
            <v>ALTERNATIVE:RE_BRS_GOLD:RE_OTHER_BRS_GOLD:AI_RE_EUR_IND</v>
          </cell>
          <cell r="D4996" t="str">
            <v>Index</v>
          </cell>
          <cell r="E4996" t="str">
            <v>Index Level</v>
          </cell>
          <cell r="F4996" t="str">
            <v>Alternative</v>
          </cell>
          <cell r="G4996" t="str">
            <v>Other</v>
          </cell>
          <cell r="H4996" t="str">
            <v>ALTS</v>
          </cell>
          <cell r="I4996" t="str">
            <v>Alternative - Index</v>
          </cell>
        </row>
        <row r="4997">
          <cell r="A4997" t="str">
            <v>AI_RE_EUR_LOC</v>
          </cell>
          <cell r="B4997" t="str">
            <v>European RE (EUR)</v>
          </cell>
          <cell r="C4997" t="str">
            <v>ALTERNATIVE:RE_BRS_GOLD:RE_OTHER_BRS_GOLD:AI_RE_EUR_LOC</v>
          </cell>
          <cell r="D4997" t="str">
            <v>Index</v>
          </cell>
          <cell r="E4997" t="str">
            <v>Index Level</v>
          </cell>
          <cell r="F4997" t="str">
            <v>Alternative</v>
          </cell>
          <cell r="G4997" t="str">
            <v>Other</v>
          </cell>
          <cell r="H4997" t="str">
            <v>ALTS</v>
          </cell>
          <cell r="I4997" t="str">
            <v>Alternative - Index</v>
          </cell>
        </row>
        <row r="4998">
          <cell r="A4998" t="str">
            <v>AI_RE_EUR_OFF</v>
          </cell>
          <cell r="B4998" t="str">
            <v>Europe RE Office</v>
          </cell>
          <cell r="C4998" t="str">
            <v>ALTERNATIVE:RE_BRS_GOLD:RE_OTHER_BRS_GOLD:AI_RE_EUR_OFF</v>
          </cell>
          <cell r="D4998" t="str">
            <v>Index</v>
          </cell>
          <cell r="E4998" t="str">
            <v>Index Level</v>
          </cell>
          <cell r="F4998" t="str">
            <v>Alternative</v>
          </cell>
          <cell r="G4998" t="str">
            <v>Other</v>
          </cell>
          <cell r="H4998" t="str">
            <v>ALTS</v>
          </cell>
          <cell r="I4998" t="str">
            <v>Alternative - Index</v>
          </cell>
        </row>
        <row r="4999">
          <cell r="A4999" t="str">
            <v>AI_RE_EUR_RES</v>
          </cell>
          <cell r="B4999" t="str">
            <v>Europe RE Residential</v>
          </cell>
          <cell r="C4999" t="str">
            <v>ALTERNATIVE:RE_BRS_GOLD:RE_OTHER_BRS_GOLD:AI_RE_EUR_RES</v>
          </cell>
          <cell r="D4999" t="str">
            <v>Index</v>
          </cell>
          <cell r="E4999" t="str">
            <v>Index Level</v>
          </cell>
          <cell r="F4999" t="str">
            <v>Alternative</v>
          </cell>
          <cell r="G4999" t="str">
            <v>Other</v>
          </cell>
          <cell r="H4999" t="str">
            <v>ALTS</v>
          </cell>
          <cell r="I4999" t="str">
            <v>Alternative - Index</v>
          </cell>
        </row>
        <row r="5000">
          <cell r="A5000" t="str">
            <v>AI_RE_EUR_RET</v>
          </cell>
          <cell r="B5000" t="str">
            <v>Europe RE Retail</v>
          </cell>
          <cell r="C5000" t="str">
            <v>ALTERNATIVE:RE_BRS_GOLD:RE_OTHER_BRS_GOLD:AI_RE_EUR_RET</v>
          </cell>
          <cell r="D5000" t="str">
            <v>Index</v>
          </cell>
          <cell r="E5000" t="str">
            <v>Index Level</v>
          </cell>
          <cell r="F5000" t="str">
            <v>Alternative</v>
          </cell>
          <cell r="G5000" t="str">
            <v>Other</v>
          </cell>
          <cell r="H5000" t="str">
            <v>ALTS</v>
          </cell>
          <cell r="I5000" t="str">
            <v>Alternative - Index</v>
          </cell>
        </row>
        <row r="5001">
          <cell r="A5001" t="str">
            <v>AI_RE_EUR_SEL</v>
          </cell>
          <cell r="B5001" t="str">
            <v>Europe RE Self Storage</v>
          </cell>
          <cell r="C5001" t="str">
            <v>ALTERNATIVE:RE_BRS_GOLD:RE_OTHER_BRS_GOLD:AI_RE_EUR_SEL</v>
          </cell>
          <cell r="D5001" t="str">
            <v>Index</v>
          </cell>
          <cell r="E5001" t="str">
            <v>Index Level</v>
          </cell>
          <cell r="F5001" t="str">
            <v>Alternative</v>
          </cell>
          <cell r="G5001" t="str">
            <v>Other</v>
          </cell>
          <cell r="H5001" t="str">
            <v>ALTS</v>
          </cell>
          <cell r="I5001" t="str">
            <v>Alternative - Index</v>
          </cell>
        </row>
        <row r="5002">
          <cell r="A5002" t="str">
            <v>AI_RE_FRA_PUBEX</v>
          </cell>
          <cell r="B5002" t="str">
            <v>France RE Public Excess</v>
          </cell>
          <cell r="C5002" t="str">
            <v>ALTERNATIVE:RE_BRS_GOLD:RE_OTHER_BRS_GOLD:AI_RE_FRA_PUBEX</v>
          </cell>
          <cell r="D5002" t="str">
            <v>Index</v>
          </cell>
          <cell r="E5002" t="str">
            <v>Index Level</v>
          </cell>
          <cell r="F5002" t="str">
            <v>Alternative</v>
          </cell>
          <cell r="G5002" t="str">
            <v>Other</v>
          </cell>
          <cell r="H5002" t="str">
            <v>ALTS</v>
          </cell>
          <cell r="I5002" t="str">
            <v>Alternative - Index</v>
          </cell>
        </row>
        <row r="5003">
          <cell r="A5003" t="str">
            <v>AI_RE_GER_PUBEX</v>
          </cell>
          <cell r="B5003" t="str">
            <v>Germany RE Public Excess</v>
          </cell>
          <cell r="C5003" t="str">
            <v>ALTERNATIVE:RE_BRS_GOLD:RE_OTHER_BRS_GOLD:AI_RE_GER_PUBEX</v>
          </cell>
          <cell r="D5003" t="str">
            <v>Index</v>
          </cell>
          <cell r="E5003" t="str">
            <v>Index Level</v>
          </cell>
          <cell r="F5003" t="str">
            <v>Alternative</v>
          </cell>
          <cell r="G5003" t="str">
            <v>Other</v>
          </cell>
          <cell r="H5003" t="str">
            <v>ALTS</v>
          </cell>
          <cell r="I5003" t="str">
            <v>Alternative - Index</v>
          </cell>
        </row>
        <row r="5004">
          <cell r="A5004" t="str">
            <v>AI_RE_GLOB_EXUS</v>
          </cell>
          <cell r="B5004" t="str">
            <v>Global Ex US RE</v>
          </cell>
          <cell r="C5004" t="str">
            <v>ALTERNATIVE:RE_BRS_GOLD:RE_OTHER_BRS_GOLD:AI_RE_GLOB_EXUS</v>
          </cell>
          <cell r="D5004" t="str">
            <v>Index</v>
          </cell>
          <cell r="E5004" t="str">
            <v>Index Level</v>
          </cell>
          <cell r="F5004" t="str">
            <v>Alternative</v>
          </cell>
          <cell r="G5004" t="str">
            <v>Other</v>
          </cell>
          <cell r="H5004" t="str">
            <v>ALTS</v>
          </cell>
          <cell r="I5004" t="str">
            <v>Alternative - Index</v>
          </cell>
        </row>
        <row r="5005">
          <cell r="A5005" t="str">
            <v>AI_RE_HK</v>
          </cell>
          <cell r="B5005" t="str">
            <v>Hong Kong RE</v>
          </cell>
          <cell r="C5005" t="str">
            <v>ALTERNATIVE:RE_BRS_GOLD:RE_OTHER_BRS_GOLD:AI_RE_HK</v>
          </cell>
          <cell r="D5005" t="str">
            <v>Index</v>
          </cell>
          <cell r="E5005" t="str">
            <v>Index Level</v>
          </cell>
          <cell r="F5005" t="str">
            <v>Alternative</v>
          </cell>
          <cell r="G5005" t="str">
            <v>Other</v>
          </cell>
          <cell r="H5005" t="str">
            <v>ALTS</v>
          </cell>
          <cell r="I5005" t="str">
            <v>Alternative - Index</v>
          </cell>
        </row>
        <row r="5006">
          <cell r="A5006" t="str">
            <v>AI_RE_IND</v>
          </cell>
          <cell r="B5006" t="str">
            <v>NA Industrial RE</v>
          </cell>
          <cell r="C5006" t="str">
            <v>ALTERNATIVE:RE_BRS_GOLD:RE_OTHER_BRS_GOLD:AI_RE_IND</v>
          </cell>
          <cell r="D5006" t="str">
            <v>Index</v>
          </cell>
          <cell r="E5006" t="str">
            <v>Index Level</v>
          </cell>
          <cell r="F5006" t="str">
            <v>Alternative</v>
          </cell>
          <cell r="G5006" t="str">
            <v>Other</v>
          </cell>
          <cell r="H5006" t="str">
            <v>ALTS</v>
          </cell>
          <cell r="I5006" t="str">
            <v>Alternative - Index</v>
          </cell>
        </row>
        <row r="5007">
          <cell r="A5007" t="str">
            <v>AI_RE_JAP_PUBEX</v>
          </cell>
          <cell r="B5007" t="str">
            <v>Japan RE Public Excess</v>
          </cell>
          <cell r="C5007" t="str">
            <v>ALTERNATIVE:RE_BRS_GOLD:RE_OTHER_BRS_GOLD:AI_RE_JAP_PUBEX</v>
          </cell>
          <cell r="D5007" t="str">
            <v>Index</v>
          </cell>
          <cell r="E5007" t="str">
            <v>Index Level</v>
          </cell>
          <cell r="F5007" t="str">
            <v>Alternative</v>
          </cell>
          <cell r="G5007" t="str">
            <v>Other</v>
          </cell>
          <cell r="H5007" t="str">
            <v>ALTS</v>
          </cell>
          <cell r="I5007" t="str">
            <v>Alternative - Index</v>
          </cell>
        </row>
        <row r="5008">
          <cell r="A5008" t="str">
            <v>AI_RE_JPN</v>
          </cell>
          <cell r="B5008" t="str">
            <v>Japanese RE</v>
          </cell>
          <cell r="C5008" t="str">
            <v>ALTERNATIVE:RE_BRS_GOLD:RE_OTHER_BRS_GOLD:AI_RE_JPN</v>
          </cell>
          <cell r="D5008" t="str">
            <v>Index</v>
          </cell>
          <cell r="E5008" t="str">
            <v>Index Level</v>
          </cell>
          <cell r="F5008" t="str">
            <v>Alternative</v>
          </cell>
          <cell r="G5008" t="str">
            <v>Other</v>
          </cell>
          <cell r="H5008" t="str">
            <v>ALTS</v>
          </cell>
          <cell r="I5008" t="str">
            <v>Alternative - Index</v>
          </cell>
        </row>
        <row r="5009">
          <cell r="A5009" t="str">
            <v>AI_RE_MEAF</v>
          </cell>
          <cell r="B5009" t="str">
            <v>Middle East/Afr RE (USD)</v>
          </cell>
          <cell r="C5009" t="str">
            <v>ALTERNATIVE:RE_BRS_GOLD:RE_OTHER_BRS_GOLD:AI_RE_MEAF</v>
          </cell>
          <cell r="D5009" t="str">
            <v>Index</v>
          </cell>
          <cell r="E5009" t="str">
            <v>Index Level</v>
          </cell>
          <cell r="F5009" t="str">
            <v>Alternative</v>
          </cell>
          <cell r="G5009" t="str">
            <v>Other</v>
          </cell>
          <cell r="H5009" t="str">
            <v>ALTS</v>
          </cell>
          <cell r="I5009" t="str">
            <v>Alternative - Index</v>
          </cell>
        </row>
        <row r="5010">
          <cell r="A5010" t="str">
            <v>AI_RE_NET_PUBEX</v>
          </cell>
          <cell r="B5010" t="str">
            <v>Netherlands RE Public Excess</v>
          </cell>
          <cell r="C5010" t="str">
            <v>ALTERNATIVE:RE_BRS_GOLD:RE_OTHER_BRS_GOLD:AI_RE_NET_PUBEX</v>
          </cell>
          <cell r="D5010" t="str">
            <v>Index</v>
          </cell>
          <cell r="E5010" t="str">
            <v>Index Level</v>
          </cell>
          <cell r="F5010" t="str">
            <v>Alternative</v>
          </cell>
          <cell r="G5010" t="str">
            <v>Other</v>
          </cell>
          <cell r="H5010" t="str">
            <v>ALTS</v>
          </cell>
          <cell r="I5010" t="str">
            <v>Alternative - Index</v>
          </cell>
        </row>
        <row r="5011">
          <cell r="A5011" t="str">
            <v>AI_RE_OFF</v>
          </cell>
          <cell r="B5011" t="str">
            <v>NA Office RE</v>
          </cell>
          <cell r="C5011" t="str">
            <v>ALTERNATIVE:RE_BRS_GOLD:RE_OTHER_BRS_GOLD:AI_RE_OFF</v>
          </cell>
          <cell r="D5011" t="str">
            <v>Index</v>
          </cell>
          <cell r="E5011" t="str">
            <v>Index Level</v>
          </cell>
          <cell r="F5011" t="str">
            <v>Alternative</v>
          </cell>
          <cell r="G5011" t="str">
            <v>Other</v>
          </cell>
          <cell r="H5011" t="str">
            <v>ALTS</v>
          </cell>
          <cell r="I5011" t="str">
            <v>Alternative - Index</v>
          </cell>
        </row>
        <row r="5012">
          <cell r="A5012" t="str">
            <v>AI_RE_PUBSPEC</v>
          </cell>
          <cell r="B5012" t="str">
            <v>Real Estate Public</v>
          </cell>
          <cell r="C5012" t="str">
            <v>ALTERNATIVE:RE_BRS_GOLD:RE_OTHER_BRS_GOLD:AI_RE_PUBSPEC</v>
          </cell>
          <cell r="D5012" t="str">
            <v>Index</v>
          </cell>
          <cell r="E5012" t="str">
            <v>Index Level</v>
          </cell>
          <cell r="F5012" t="str">
            <v>Alternative</v>
          </cell>
          <cell r="G5012" t="str">
            <v>Other</v>
          </cell>
          <cell r="H5012" t="str">
            <v>ALTS</v>
          </cell>
          <cell r="I5012" t="str">
            <v>Alternative - Index</v>
          </cell>
        </row>
        <row r="5013">
          <cell r="A5013" t="str">
            <v>AI_RE_RET</v>
          </cell>
          <cell r="B5013" t="str">
            <v>NA Retail RE</v>
          </cell>
          <cell r="C5013" t="str">
            <v>ALTERNATIVE:RE_BRS_GOLD:RE_OTHER_BRS_GOLD:AI_RE_RET</v>
          </cell>
          <cell r="D5013" t="str">
            <v>Index</v>
          </cell>
          <cell r="E5013" t="str">
            <v>Index Level</v>
          </cell>
          <cell r="F5013" t="str">
            <v>Alternative</v>
          </cell>
          <cell r="G5013" t="str">
            <v>Other</v>
          </cell>
          <cell r="H5013" t="str">
            <v>ALTS</v>
          </cell>
          <cell r="I5013" t="str">
            <v>Alternative - Index</v>
          </cell>
        </row>
        <row r="5014">
          <cell r="A5014" t="str">
            <v>AI_RE_SIN_PUBEX</v>
          </cell>
          <cell r="B5014" t="str">
            <v>Singapore RE Public Excess</v>
          </cell>
          <cell r="C5014" t="str">
            <v>ALTERNATIVE:RE_BRS_GOLD:RE_OTHER_BRS_GOLD:AI_RE_SIN_PUBEX</v>
          </cell>
          <cell r="D5014" t="str">
            <v>Index</v>
          </cell>
          <cell r="E5014" t="str">
            <v>Index Level</v>
          </cell>
          <cell r="F5014" t="str">
            <v>Alternative</v>
          </cell>
          <cell r="G5014" t="str">
            <v>Other</v>
          </cell>
          <cell r="H5014" t="str">
            <v>ALTS</v>
          </cell>
          <cell r="I5014" t="str">
            <v>Alternative - Index</v>
          </cell>
        </row>
        <row r="5015">
          <cell r="A5015" t="str">
            <v>AI_RE_SPX</v>
          </cell>
          <cell r="B5015" t="str">
            <v>US Equity</v>
          </cell>
          <cell r="C5015" t="str">
            <v>ALTERNATIVE:RE_BRS_GOLD:RE_OTHER_BRS_GOLD:AI_RE_SPX</v>
          </cell>
          <cell r="D5015" t="str">
            <v>Index</v>
          </cell>
          <cell r="E5015" t="str">
            <v>Index Level</v>
          </cell>
          <cell r="F5015" t="str">
            <v>Alternative</v>
          </cell>
          <cell r="G5015" t="str">
            <v>Other</v>
          </cell>
          <cell r="H5015" t="str">
            <v>ALTS</v>
          </cell>
          <cell r="I5015" t="str">
            <v>Alternative - Index</v>
          </cell>
        </row>
        <row r="5016">
          <cell r="A5016" t="str">
            <v>AI_RE_SWE_PUBEX</v>
          </cell>
          <cell r="B5016" t="str">
            <v>Sweden RE Public Excess</v>
          </cell>
          <cell r="C5016" t="str">
            <v>ALTERNATIVE:RE_BRS_GOLD:RE_OTHER_BRS_GOLD:AI_RE_SWE_PUBEX</v>
          </cell>
          <cell r="D5016" t="str">
            <v>Index</v>
          </cell>
          <cell r="E5016" t="str">
            <v>Index Level</v>
          </cell>
          <cell r="F5016" t="str">
            <v>Alternative</v>
          </cell>
          <cell r="G5016" t="str">
            <v>Other</v>
          </cell>
          <cell r="H5016" t="str">
            <v>ALTS</v>
          </cell>
          <cell r="I5016" t="str">
            <v>Alternative - Index</v>
          </cell>
        </row>
        <row r="5017">
          <cell r="A5017" t="str">
            <v>AI_RE_SWI_PUBEX</v>
          </cell>
          <cell r="B5017" t="str">
            <v>Switzerland RE Public Excess</v>
          </cell>
          <cell r="C5017" t="str">
            <v>ALTERNATIVE:RE_BRS_GOLD:RE_OTHER_BRS_GOLD:AI_RE_SWI_PUBEX</v>
          </cell>
          <cell r="D5017" t="str">
            <v>Index</v>
          </cell>
          <cell r="E5017" t="str">
            <v>Index Level</v>
          </cell>
          <cell r="F5017" t="str">
            <v>Alternative</v>
          </cell>
          <cell r="G5017" t="str">
            <v>Other</v>
          </cell>
          <cell r="H5017" t="str">
            <v>ALTS</v>
          </cell>
          <cell r="I5017" t="str">
            <v>Alternative - Index</v>
          </cell>
        </row>
        <row r="5018">
          <cell r="A5018" t="str">
            <v>AI_RE_UK</v>
          </cell>
          <cell r="B5018" t="str">
            <v>United Kingdom RE</v>
          </cell>
          <cell r="C5018" t="str">
            <v>ALTERNATIVE:RE_BRS_GOLD:RE_OTHER_BRS_GOLD:AI_RE_UK</v>
          </cell>
          <cell r="D5018" t="str">
            <v>Index</v>
          </cell>
          <cell r="E5018" t="str">
            <v>Index Level</v>
          </cell>
          <cell r="F5018" t="str">
            <v>Alternative</v>
          </cell>
          <cell r="G5018" t="str">
            <v>Other</v>
          </cell>
          <cell r="H5018" t="str">
            <v>ALTS</v>
          </cell>
          <cell r="I5018" t="str">
            <v>Alternative - Index</v>
          </cell>
        </row>
        <row r="5019">
          <cell r="A5019" t="str">
            <v>AI_RE_UK_PUBEX</v>
          </cell>
          <cell r="B5019" t="str">
            <v>UK RE Public Excess</v>
          </cell>
          <cell r="C5019" t="str">
            <v>ALTERNATIVE:RE_BRS_GOLD:RE_OTHER_BRS_GOLD:AI_RE_UK_PUBEX</v>
          </cell>
          <cell r="D5019" t="str">
            <v>Index</v>
          </cell>
          <cell r="E5019" t="str">
            <v>Index Level</v>
          </cell>
          <cell r="F5019" t="str">
            <v>Alternative</v>
          </cell>
          <cell r="G5019" t="str">
            <v>Other</v>
          </cell>
          <cell r="H5019" t="str">
            <v>ALTS</v>
          </cell>
          <cell r="I5019" t="str">
            <v>Alternative - Index</v>
          </cell>
        </row>
        <row r="5020">
          <cell r="A5020" t="str">
            <v>AI_RE_US</v>
          </cell>
          <cell r="B5020" t="str">
            <v>North American RE</v>
          </cell>
          <cell r="C5020" t="str">
            <v>ALTERNATIVE:RE_BRS_GOLD:RE_OTHER_BRS_GOLD:AI_RE_US</v>
          </cell>
          <cell r="D5020" t="str">
            <v>Index</v>
          </cell>
          <cell r="E5020" t="str">
            <v>Index Level</v>
          </cell>
          <cell r="F5020" t="str">
            <v>Alternative</v>
          </cell>
          <cell r="G5020" t="str">
            <v>Other</v>
          </cell>
          <cell r="H5020" t="str">
            <v>ALTS</v>
          </cell>
          <cell r="I5020" t="str">
            <v>Alternative - Index</v>
          </cell>
        </row>
        <row r="5021">
          <cell r="A5021" t="str">
            <v>AI_RE_US_BROAD</v>
          </cell>
          <cell r="B5021" t="str">
            <v>US RE Broad</v>
          </cell>
          <cell r="C5021" t="str">
            <v>ALTERNATIVE:RE_BRS_GOLD:RE_OTHER_BRS_GOLD:AI_RE_US_BROAD</v>
          </cell>
          <cell r="D5021" t="str">
            <v>Index</v>
          </cell>
          <cell r="E5021" t="str">
            <v>Index Level</v>
          </cell>
          <cell r="F5021" t="str">
            <v>Alternative</v>
          </cell>
          <cell r="G5021" t="str">
            <v>Other</v>
          </cell>
          <cell r="H5021" t="str">
            <v>ALTS</v>
          </cell>
          <cell r="I5021" t="str">
            <v>Alternative - Index</v>
          </cell>
        </row>
        <row r="5022">
          <cell r="A5022" t="str">
            <v>AI_RE_US_HEALTH</v>
          </cell>
          <cell r="B5022" t="str">
            <v>US RE Healthcare</v>
          </cell>
          <cell r="C5022" t="str">
            <v>ALTERNATIVE:RE_BRS_GOLD:RE_OTHER_BRS_GOLD:AI_RE_US_HEALTH</v>
          </cell>
          <cell r="D5022" t="str">
            <v>Index</v>
          </cell>
          <cell r="E5022" t="str">
            <v>Index Level</v>
          </cell>
          <cell r="F5022" t="str">
            <v>Alternative</v>
          </cell>
          <cell r="G5022" t="str">
            <v>Other</v>
          </cell>
          <cell r="H5022" t="str">
            <v>ALTS</v>
          </cell>
          <cell r="I5022" t="str">
            <v>Alternative - Index</v>
          </cell>
        </row>
        <row r="5023">
          <cell r="A5023" t="str">
            <v>AI_RE_US_IND</v>
          </cell>
          <cell r="B5023" t="str">
            <v>US RE Industrial</v>
          </cell>
          <cell r="C5023" t="str">
            <v>ALTERNATIVE:RE_BRS_GOLD:RE_OTHER_BRS_GOLD:AI_RE_US_IND</v>
          </cell>
          <cell r="D5023" t="str">
            <v>Index</v>
          </cell>
          <cell r="E5023" t="str">
            <v>Index Level</v>
          </cell>
          <cell r="F5023" t="str">
            <v>Alternative</v>
          </cell>
          <cell r="G5023" t="str">
            <v>Other</v>
          </cell>
          <cell r="H5023" t="str">
            <v>ALTS</v>
          </cell>
          <cell r="I5023" t="str">
            <v>Alternative - Index</v>
          </cell>
        </row>
        <row r="5024">
          <cell r="A5024" t="str">
            <v>AI_RE_US_LOD</v>
          </cell>
          <cell r="B5024" t="str">
            <v>US RE Lodging</v>
          </cell>
          <cell r="C5024" t="str">
            <v>ALTERNATIVE:RE_BRS_GOLD:RE_OTHER_BRS_GOLD:AI_RE_US_LOD</v>
          </cell>
          <cell r="D5024" t="str">
            <v>Index</v>
          </cell>
          <cell r="E5024" t="str">
            <v>Index Level</v>
          </cell>
          <cell r="F5024" t="str">
            <v>Alternative</v>
          </cell>
          <cell r="G5024" t="str">
            <v>Other</v>
          </cell>
          <cell r="H5024" t="str">
            <v>ALTS</v>
          </cell>
          <cell r="I5024" t="str">
            <v>Alternative - Index</v>
          </cell>
        </row>
        <row r="5025">
          <cell r="A5025" t="str">
            <v>AI_RE_US_OFF</v>
          </cell>
          <cell r="B5025" t="str">
            <v>US RE Office</v>
          </cell>
          <cell r="C5025" t="str">
            <v>ALTERNATIVE:RE_BRS_GOLD:RE_OTHER_BRS_GOLD:AI_RE_US_OFF</v>
          </cell>
          <cell r="D5025" t="str">
            <v>Index</v>
          </cell>
          <cell r="E5025" t="str">
            <v>Index Level</v>
          </cell>
          <cell r="F5025" t="str">
            <v>Alternative</v>
          </cell>
          <cell r="G5025" t="str">
            <v>Other</v>
          </cell>
          <cell r="H5025" t="str">
            <v>ALTS</v>
          </cell>
          <cell r="I5025" t="str">
            <v>Alternative - Index</v>
          </cell>
        </row>
        <row r="5026">
          <cell r="A5026" t="str">
            <v>AI_RE_US_PUBEX</v>
          </cell>
          <cell r="B5026" t="str">
            <v>US RE Public Excess</v>
          </cell>
          <cell r="C5026" t="str">
            <v>ALTERNATIVE:RE_BRS_GOLD:RE_OTHER_BRS_GOLD:AI_RE_US_PUBEX</v>
          </cell>
          <cell r="D5026" t="str">
            <v>Index</v>
          </cell>
          <cell r="E5026" t="str">
            <v>Index Level</v>
          </cell>
          <cell r="F5026" t="str">
            <v>Alternative</v>
          </cell>
          <cell r="G5026" t="str">
            <v>Other</v>
          </cell>
          <cell r="H5026" t="str">
            <v>ALTS</v>
          </cell>
          <cell r="I5026" t="str">
            <v>Alternative - Index</v>
          </cell>
        </row>
        <row r="5027">
          <cell r="A5027" t="str">
            <v>AI_RE_US_RES</v>
          </cell>
          <cell r="B5027" t="str">
            <v>US RE Residential</v>
          </cell>
          <cell r="C5027" t="str">
            <v>ALTERNATIVE:RE_BRS_GOLD:RE_OTHER_BRS_GOLD:AI_RE_US_RES</v>
          </cell>
          <cell r="D5027" t="str">
            <v>Index</v>
          </cell>
          <cell r="E5027" t="str">
            <v>Index Level</v>
          </cell>
          <cell r="F5027" t="str">
            <v>Alternative</v>
          </cell>
          <cell r="G5027" t="str">
            <v>Other</v>
          </cell>
          <cell r="H5027" t="str">
            <v>ALTS</v>
          </cell>
          <cell r="I5027" t="str">
            <v>Alternative - Index</v>
          </cell>
        </row>
        <row r="5028">
          <cell r="A5028" t="str">
            <v>AI_RE_US_RET</v>
          </cell>
          <cell r="B5028" t="str">
            <v>US RE Retail</v>
          </cell>
          <cell r="C5028" t="str">
            <v>ALTERNATIVE:RE_BRS_GOLD:RE_OTHER_BRS_GOLD:AI_RE_US_RET</v>
          </cell>
          <cell r="D5028" t="str">
            <v>Index</v>
          </cell>
          <cell r="E5028" t="str">
            <v>Index Level</v>
          </cell>
          <cell r="F5028" t="str">
            <v>Alternative</v>
          </cell>
          <cell r="G5028" t="str">
            <v>Other</v>
          </cell>
          <cell r="H5028" t="str">
            <v>ALTS</v>
          </cell>
          <cell r="I5028" t="str">
            <v>Alternative - Index</v>
          </cell>
        </row>
        <row r="5029">
          <cell r="A5029" t="str">
            <v>AI_RE_US_SELF</v>
          </cell>
          <cell r="B5029" t="str">
            <v>US RE Self Storage</v>
          </cell>
          <cell r="C5029" t="str">
            <v>ALTERNATIVE:RE_BRS_GOLD:RE_OTHER_BRS_GOLD:AI_RE_US_SELF</v>
          </cell>
          <cell r="D5029" t="str">
            <v>Index</v>
          </cell>
          <cell r="E5029" t="str">
            <v>Index Level</v>
          </cell>
          <cell r="F5029" t="str">
            <v>Alternative</v>
          </cell>
          <cell r="G5029" t="str">
            <v>Other</v>
          </cell>
          <cell r="H5029" t="str">
            <v>ALTS</v>
          </cell>
          <cell r="I5029" t="str">
            <v>Alternative - Index</v>
          </cell>
        </row>
        <row r="5030">
          <cell r="A5030" t="str">
            <v>AI_RE_UTD_STATES</v>
          </cell>
          <cell r="B5030" t="str">
            <v>United States RE</v>
          </cell>
          <cell r="C5030" t="str">
            <v>ALTERNATIVE:RE_BRS_GOLD:RE_OTHER_BRS_GOLD:AI_RE_UTD_STATES</v>
          </cell>
          <cell r="D5030" t="str">
            <v>Index</v>
          </cell>
          <cell r="E5030" t="str">
            <v>Index Level</v>
          </cell>
          <cell r="F5030" t="str">
            <v>Alternative</v>
          </cell>
          <cell r="G5030" t="str">
            <v>Other</v>
          </cell>
          <cell r="H5030" t="str">
            <v>ALTS</v>
          </cell>
          <cell r="I5030" t="str">
            <v>Alternative - Index</v>
          </cell>
        </row>
        <row r="5031">
          <cell r="A5031" t="str">
            <v>AI_RE2_APAC</v>
          </cell>
          <cell r="B5031" t="str">
            <v>APAC RE</v>
          </cell>
          <cell r="C5031" t="str">
            <v>ALTERNATIVE:RE2_BRS_GOLD:RE2_SYS:AI_RE2_APAC</v>
          </cell>
          <cell r="D5031" t="str">
            <v>Index</v>
          </cell>
          <cell r="E5031" t="str">
            <v>Index Level</v>
          </cell>
          <cell r="F5031" t="str">
            <v>Alternative</v>
          </cell>
          <cell r="G5031" t="str">
            <v>Other</v>
          </cell>
          <cell r="H5031" t="str">
            <v>ALTS</v>
          </cell>
          <cell r="I5031" t="str">
            <v>Alternative - Index</v>
          </cell>
        </row>
        <row r="5032">
          <cell r="A5032" t="str">
            <v>AI_RE2_EUR</v>
          </cell>
          <cell r="B5032" t="str">
            <v>Europe RE</v>
          </cell>
          <cell r="C5032" t="str">
            <v>ALTERNATIVE:RE2_BRS_GOLD:RE2_SYS:AI_RE2_EUR</v>
          </cell>
          <cell r="D5032" t="str">
            <v>Index</v>
          </cell>
          <cell r="E5032" t="str">
            <v>Index Level</v>
          </cell>
          <cell r="F5032" t="str">
            <v>Alternative</v>
          </cell>
          <cell r="G5032" t="str">
            <v>Other</v>
          </cell>
          <cell r="H5032" t="str">
            <v>ALTS</v>
          </cell>
          <cell r="I5032" t="str">
            <v>Alternative - Index</v>
          </cell>
        </row>
        <row r="5033">
          <cell r="A5033" t="str">
            <v>AI_RE2_OTH</v>
          </cell>
          <cell r="B5033" t="str">
            <v>Other RE</v>
          </cell>
          <cell r="C5033" t="str">
            <v>ALTERNATIVE:RE2_BRS_GOLD:RE2_SYS:AI_RE2_OTH</v>
          </cell>
          <cell r="D5033" t="str">
            <v>Index</v>
          </cell>
          <cell r="E5033" t="str">
            <v>Index Level</v>
          </cell>
          <cell r="F5033" t="str">
            <v>Alternative</v>
          </cell>
          <cell r="G5033" t="str">
            <v>Other</v>
          </cell>
          <cell r="H5033" t="str">
            <v>ALTS</v>
          </cell>
          <cell r="I5033" t="str">
            <v>Alternative - Index</v>
          </cell>
        </row>
        <row r="5034">
          <cell r="A5034" t="str">
            <v>AI_RE2_USCAN</v>
          </cell>
          <cell r="B5034" t="str">
            <v>US and Canada RE</v>
          </cell>
          <cell r="C5034" t="str">
            <v>ALTERNATIVE:RE2_BRS_GOLD:RE2_SYS:AI_RE2_USCAN</v>
          </cell>
          <cell r="D5034" t="str">
            <v>Index</v>
          </cell>
          <cell r="E5034" t="str">
            <v>Index Level</v>
          </cell>
          <cell r="F5034" t="str">
            <v>Alternative</v>
          </cell>
          <cell r="G5034" t="str">
            <v>Other</v>
          </cell>
          <cell r="H5034" t="str">
            <v>ALTS</v>
          </cell>
          <cell r="I5034" t="str">
            <v>Alternative - Index</v>
          </cell>
        </row>
        <row r="5035">
          <cell r="A5035" t="str">
            <v>AI_RE2_AUS</v>
          </cell>
          <cell r="B5035" t="str">
            <v>Australia RE</v>
          </cell>
          <cell r="C5035" t="str">
            <v>ALTERNATIVE:RE2_BRS_GOLD:RE2_SYS:AI_RE2_AUS</v>
          </cell>
          <cell r="D5035" t="str">
            <v>Index</v>
          </cell>
          <cell r="E5035" t="str">
            <v>Index Level</v>
          </cell>
          <cell r="F5035" t="str">
            <v>Alternative</v>
          </cell>
          <cell r="G5035" t="str">
            <v>Other</v>
          </cell>
          <cell r="H5035" t="str">
            <v>ALTS</v>
          </cell>
          <cell r="I5035" t="str">
            <v>Alternative - Index</v>
          </cell>
        </row>
        <row r="5036">
          <cell r="A5036" t="str">
            <v>AI_RE2_EUR_C_E</v>
          </cell>
          <cell r="B5036" t="str">
            <v>Europe Cent&amp;East RE</v>
          </cell>
          <cell r="C5036" t="str">
            <v>ALTERNATIVE:RE2_BRS_GOLD:RE2_SYS:AI_RE2_EUR_C_E</v>
          </cell>
          <cell r="D5036" t="str">
            <v>Index</v>
          </cell>
          <cell r="E5036" t="str">
            <v>Index Level</v>
          </cell>
          <cell r="F5036" t="str">
            <v>Alternative</v>
          </cell>
          <cell r="G5036" t="str">
            <v>Other</v>
          </cell>
          <cell r="H5036" t="str">
            <v>ALTS</v>
          </cell>
          <cell r="I5036" t="str">
            <v>Alternative - Index</v>
          </cell>
        </row>
        <row r="5037">
          <cell r="A5037" t="str">
            <v>AI_RE2_JAP</v>
          </cell>
          <cell r="B5037" t="str">
            <v>Japan RE</v>
          </cell>
          <cell r="C5037" t="str">
            <v>ALTERNATIVE:RE2_BRS_GOLD:RE2_SYS:AI_RE2_JAP</v>
          </cell>
          <cell r="D5037" t="str">
            <v>Index</v>
          </cell>
          <cell r="E5037" t="str">
            <v>Index Level</v>
          </cell>
          <cell r="F5037" t="str">
            <v>Alternative</v>
          </cell>
          <cell r="G5037" t="str">
            <v>Other</v>
          </cell>
          <cell r="H5037" t="str">
            <v>ALTS</v>
          </cell>
          <cell r="I5037" t="str">
            <v>Alternative - Index</v>
          </cell>
        </row>
        <row r="5038">
          <cell r="A5038" t="str">
            <v>AI_RE2_NOR</v>
          </cell>
          <cell r="B5038" t="str">
            <v>Nordic RE</v>
          </cell>
          <cell r="C5038" t="str">
            <v>ALTERNATIVE:RE2_BRS_GOLD:RE2_SYS:AI_RE2_NOR</v>
          </cell>
          <cell r="D5038" t="str">
            <v>Index</v>
          </cell>
          <cell r="E5038" t="str">
            <v>Index Level</v>
          </cell>
          <cell r="F5038" t="str">
            <v>Alternative</v>
          </cell>
          <cell r="G5038" t="str">
            <v>Other</v>
          </cell>
          <cell r="H5038" t="str">
            <v>ALTS</v>
          </cell>
          <cell r="I5038" t="str">
            <v>Alternative - Index</v>
          </cell>
        </row>
        <row r="5039">
          <cell r="A5039" t="str">
            <v>AI_RE2_SIN</v>
          </cell>
          <cell r="B5039" t="str">
            <v>Singapore RE</v>
          </cell>
          <cell r="C5039" t="str">
            <v>ALTERNATIVE:RE2_BRS_GOLD:RE2_SYS:AI_RE2_SIN</v>
          </cell>
          <cell r="D5039" t="str">
            <v>Index</v>
          </cell>
          <cell r="E5039" t="str">
            <v>Index Level</v>
          </cell>
          <cell r="F5039" t="str">
            <v>Alternative</v>
          </cell>
          <cell r="G5039" t="str">
            <v>Other</v>
          </cell>
          <cell r="H5039" t="str">
            <v>ALTS</v>
          </cell>
          <cell r="I5039" t="str">
            <v>Alternative - Index</v>
          </cell>
        </row>
        <row r="5040">
          <cell r="A5040" t="str">
            <v>AI_RE2_US</v>
          </cell>
          <cell r="B5040" t="str">
            <v>United States RE</v>
          </cell>
          <cell r="C5040" t="str">
            <v>ALTERNATIVE:RE2_BRS_GOLD:RE2_SYS:AI_RE2_US</v>
          </cell>
          <cell r="D5040" t="str">
            <v>Index</v>
          </cell>
          <cell r="E5040" t="str">
            <v>Index Level</v>
          </cell>
          <cell r="F5040" t="str">
            <v>Alternative</v>
          </cell>
          <cell r="G5040" t="str">
            <v>Other</v>
          </cell>
          <cell r="H5040" t="str">
            <v>ALTS</v>
          </cell>
          <cell r="I5040" t="str">
            <v>Alternative - Index</v>
          </cell>
        </row>
        <row r="5041">
          <cell r="A5041" t="str">
            <v>AI_RE2_UK</v>
          </cell>
          <cell r="B5041" t="str">
            <v>United Kingdom RE</v>
          </cell>
          <cell r="C5041" t="str">
            <v>ALTERNATIVE:RE2_BRS_GOLD:RE2_SYS:AI_RE2_UK</v>
          </cell>
          <cell r="D5041" t="str">
            <v>Index</v>
          </cell>
          <cell r="E5041" t="str">
            <v>Index Level</v>
          </cell>
          <cell r="F5041" t="str">
            <v>Alternative</v>
          </cell>
          <cell r="G5041" t="str">
            <v>Other</v>
          </cell>
          <cell r="H5041" t="str">
            <v>ALTS</v>
          </cell>
          <cell r="I5041" t="str">
            <v>Alternative - Index</v>
          </cell>
        </row>
        <row r="5042">
          <cell r="A5042" t="str">
            <v>AI_RE2_EUR_W</v>
          </cell>
          <cell r="B5042" t="str">
            <v>Europe West RE</v>
          </cell>
          <cell r="C5042" t="str">
            <v>ALTERNATIVE:RE2_BRS_GOLD:RE2_SYS:AI_RE2_EUR_W</v>
          </cell>
          <cell r="D5042" t="str">
            <v>Index</v>
          </cell>
          <cell r="E5042" t="str">
            <v>Index Level</v>
          </cell>
          <cell r="F5042" t="str">
            <v>Alternative</v>
          </cell>
          <cell r="G5042" t="str">
            <v>Other</v>
          </cell>
          <cell r="H5042" t="str">
            <v>ALTS</v>
          </cell>
          <cell r="I5042" t="str">
            <v>Alternative - Index</v>
          </cell>
        </row>
        <row r="5043">
          <cell r="A5043" t="str">
            <v>AI_RE2_APAC_AUS_IND</v>
          </cell>
          <cell r="B5043" t="str">
            <v>APAC Aus Ind RE</v>
          </cell>
          <cell r="C5043" t="str">
            <v>ALTERNATIVE:RE2_BRS_GOLD:RE2_SYS:AI_RE2_APAC_AUS_IND</v>
          </cell>
          <cell r="D5043" t="str">
            <v>Index</v>
          </cell>
          <cell r="E5043" t="str">
            <v>Index Level</v>
          </cell>
          <cell r="F5043" t="str">
            <v>Alternative</v>
          </cell>
          <cell r="G5043" t="str">
            <v>Other</v>
          </cell>
          <cell r="H5043" t="str">
            <v>ALTS</v>
          </cell>
          <cell r="I5043" t="str">
            <v>Alternative - Index</v>
          </cell>
        </row>
        <row r="5044">
          <cell r="A5044" t="str">
            <v>AI_RE2_APAC_AUS_OFF</v>
          </cell>
          <cell r="B5044" t="str">
            <v>APAC Aus Off RE</v>
          </cell>
          <cell r="C5044" t="str">
            <v>ALTERNATIVE:RE2_BRS_GOLD:RE2_SYS:AI_RE2_APAC_AUS_OFF</v>
          </cell>
          <cell r="D5044" t="str">
            <v>Index</v>
          </cell>
          <cell r="E5044" t="str">
            <v>Index Level</v>
          </cell>
          <cell r="F5044" t="str">
            <v>Alternative</v>
          </cell>
          <cell r="G5044" t="str">
            <v>Other</v>
          </cell>
          <cell r="H5044" t="str">
            <v>ALTS</v>
          </cell>
          <cell r="I5044" t="str">
            <v>Alternative - Index</v>
          </cell>
        </row>
        <row r="5045">
          <cell r="A5045" t="str">
            <v>AI_RE2_APAC_AUS_RET</v>
          </cell>
          <cell r="B5045" t="str">
            <v>APAC Aus Ret RE</v>
          </cell>
          <cell r="C5045" t="str">
            <v>ALTERNATIVE:RE2_BRS_GOLD:RE2_SYS:AI_RE2_APAC_AUS_RET</v>
          </cell>
          <cell r="D5045" t="str">
            <v>Index</v>
          </cell>
          <cell r="E5045" t="str">
            <v>Index Level</v>
          </cell>
          <cell r="F5045" t="str">
            <v>Alternative</v>
          </cell>
          <cell r="G5045" t="str">
            <v>Other</v>
          </cell>
          <cell r="H5045" t="str">
            <v>ALTS</v>
          </cell>
          <cell r="I5045" t="str">
            <v>Alternative - Index</v>
          </cell>
        </row>
        <row r="5046">
          <cell r="A5046" t="str">
            <v>AI_RE2_APAC_JAP_RES</v>
          </cell>
          <cell r="B5046" t="str">
            <v>APAC Jap Res RE</v>
          </cell>
          <cell r="C5046" t="str">
            <v>ALTERNATIVE:RE2_BRS_GOLD:RE2_SYS:AI_RE2_APAC_JAP_RES</v>
          </cell>
          <cell r="D5046" t="str">
            <v>Index</v>
          </cell>
          <cell r="E5046" t="str">
            <v>Index Level</v>
          </cell>
          <cell r="F5046" t="str">
            <v>Alternative</v>
          </cell>
          <cell r="G5046" t="str">
            <v>Other</v>
          </cell>
          <cell r="H5046" t="str">
            <v>ALTS</v>
          </cell>
          <cell r="I5046" t="str">
            <v>Alternative - Index</v>
          </cell>
        </row>
        <row r="5047">
          <cell r="A5047" t="str">
            <v>AI_RE2_APAC_JAP_LOD</v>
          </cell>
          <cell r="B5047" t="str">
            <v>APAC Jap Lod RE</v>
          </cell>
          <cell r="C5047" t="str">
            <v>ALTERNATIVE:RE2_BRS_GOLD:RE2_SYS:AI_RE2_APAC_JAP_LOD</v>
          </cell>
          <cell r="D5047" t="str">
            <v>Index</v>
          </cell>
          <cell r="E5047" t="str">
            <v>Index Level</v>
          </cell>
          <cell r="F5047" t="str">
            <v>Alternative</v>
          </cell>
          <cell r="G5047" t="str">
            <v>Other</v>
          </cell>
          <cell r="H5047" t="str">
            <v>ALTS</v>
          </cell>
          <cell r="I5047" t="str">
            <v>Alternative - Index</v>
          </cell>
        </row>
        <row r="5048">
          <cell r="A5048" t="str">
            <v>AI_RE2_APAC_JAP_IND</v>
          </cell>
          <cell r="B5048" t="str">
            <v>APAC Jap Ind RE</v>
          </cell>
          <cell r="C5048" t="str">
            <v>ALTERNATIVE:RE2_BRS_GOLD:RE2_SYS:AI_RE2_APAC_JAP_IND</v>
          </cell>
          <cell r="D5048" t="str">
            <v>Index</v>
          </cell>
          <cell r="E5048" t="str">
            <v>Index Level</v>
          </cell>
          <cell r="F5048" t="str">
            <v>Alternative</v>
          </cell>
          <cell r="G5048" t="str">
            <v>Other</v>
          </cell>
          <cell r="H5048" t="str">
            <v>ALTS</v>
          </cell>
          <cell r="I5048" t="str">
            <v>Alternative - Index</v>
          </cell>
        </row>
        <row r="5049">
          <cell r="A5049" t="str">
            <v>AI_RE2_APAC_JAP_OFF</v>
          </cell>
          <cell r="B5049" t="str">
            <v>APAC Jap Off RE</v>
          </cell>
          <cell r="C5049" t="str">
            <v>ALTERNATIVE:RE2_BRS_GOLD:RE2_SYS:AI_RE2_APAC_JAP_OFF</v>
          </cell>
          <cell r="D5049" t="str">
            <v>Index</v>
          </cell>
          <cell r="E5049" t="str">
            <v>Index Level</v>
          </cell>
          <cell r="F5049" t="str">
            <v>Alternative</v>
          </cell>
          <cell r="G5049" t="str">
            <v>Other</v>
          </cell>
          <cell r="H5049" t="str">
            <v>ALTS</v>
          </cell>
          <cell r="I5049" t="str">
            <v>Alternative - Index</v>
          </cell>
        </row>
        <row r="5050">
          <cell r="A5050" t="str">
            <v>AI_RE2_APAC_JAP_RET</v>
          </cell>
          <cell r="B5050" t="str">
            <v>APAC Jap Ret RE</v>
          </cell>
          <cell r="C5050" t="str">
            <v>ALTERNATIVE:RE2_BRS_GOLD:RE2_SYS:AI_RE2_APAC_JAP_RET</v>
          </cell>
          <cell r="D5050" t="str">
            <v>Index</v>
          </cell>
          <cell r="E5050" t="str">
            <v>Index Level</v>
          </cell>
          <cell r="F5050" t="str">
            <v>Alternative</v>
          </cell>
          <cell r="G5050" t="str">
            <v>Other</v>
          </cell>
          <cell r="H5050" t="str">
            <v>ALTS</v>
          </cell>
          <cell r="I5050" t="str">
            <v>Alternative - Index</v>
          </cell>
        </row>
        <row r="5051">
          <cell r="A5051" t="str">
            <v>AI_RE2_EUR_C_E_OFF</v>
          </cell>
          <cell r="B5051" t="str">
            <v>Europe Cent&amp;East Off RE</v>
          </cell>
          <cell r="C5051" t="str">
            <v>ALTERNATIVE:RE2_BRS_GOLD:RE2_SYS:AI_RE2_EUR_C_E_OFF</v>
          </cell>
          <cell r="D5051" t="str">
            <v>Index</v>
          </cell>
          <cell r="E5051" t="str">
            <v>Index Level</v>
          </cell>
          <cell r="F5051" t="str">
            <v>Alternative</v>
          </cell>
          <cell r="G5051" t="str">
            <v>Other</v>
          </cell>
          <cell r="H5051" t="str">
            <v>ALTS</v>
          </cell>
          <cell r="I5051" t="str">
            <v>Alternative - Index</v>
          </cell>
        </row>
        <row r="5052">
          <cell r="A5052" t="str">
            <v>AI_RE2_EUR_C_E_RET</v>
          </cell>
          <cell r="B5052" t="str">
            <v>Europe Cent&amp;East Ret RE</v>
          </cell>
          <cell r="C5052" t="str">
            <v>ALTERNATIVE:RE2_BRS_GOLD:RE2_SYS:AI_RE2_EUR_C_E_RET</v>
          </cell>
          <cell r="D5052" t="str">
            <v>Index</v>
          </cell>
          <cell r="E5052" t="str">
            <v>Index Level</v>
          </cell>
          <cell r="F5052" t="str">
            <v>Alternative</v>
          </cell>
          <cell r="G5052" t="str">
            <v>Other</v>
          </cell>
          <cell r="H5052" t="str">
            <v>ALTS</v>
          </cell>
          <cell r="I5052" t="str">
            <v>Alternative - Index</v>
          </cell>
        </row>
        <row r="5053">
          <cell r="A5053" t="str">
            <v>AI_RE2_EUR_NOR_IND</v>
          </cell>
          <cell r="B5053" t="str">
            <v>Europe Nordic Ind RE</v>
          </cell>
          <cell r="C5053" t="str">
            <v>ALTERNATIVE:RE2_BRS_GOLD:RE2_SYS:AI_RE2_EUR_NOR_IND</v>
          </cell>
          <cell r="D5053" t="str">
            <v>Index</v>
          </cell>
          <cell r="E5053" t="str">
            <v>Index Level</v>
          </cell>
          <cell r="F5053" t="str">
            <v>Alternative</v>
          </cell>
          <cell r="G5053" t="str">
            <v>Other</v>
          </cell>
          <cell r="H5053" t="str">
            <v>ALTS</v>
          </cell>
          <cell r="I5053" t="str">
            <v>Alternative - Index</v>
          </cell>
        </row>
        <row r="5054">
          <cell r="A5054" t="str">
            <v>AI_RE2_EUR_NOR_OFF</v>
          </cell>
          <cell r="B5054" t="str">
            <v>Europe Nordic Off RE</v>
          </cell>
          <cell r="C5054" t="str">
            <v>ALTERNATIVE:RE2_BRS_GOLD:RE2_SYS:AI_RE2_EUR_NOR_OFF</v>
          </cell>
          <cell r="D5054" t="str">
            <v>Index</v>
          </cell>
          <cell r="E5054" t="str">
            <v>Index Level</v>
          </cell>
          <cell r="F5054" t="str">
            <v>Alternative</v>
          </cell>
          <cell r="G5054" t="str">
            <v>Other</v>
          </cell>
          <cell r="H5054" t="str">
            <v>ALTS</v>
          </cell>
          <cell r="I5054" t="str">
            <v>Alternative - Index</v>
          </cell>
        </row>
        <row r="5055">
          <cell r="A5055" t="str">
            <v>AI_RE2_EUR_NOR_RET</v>
          </cell>
          <cell r="B5055" t="str">
            <v>Europe Nordic Ret RE</v>
          </cell>
          <cell r="C5055" t="str">
            <v>ALTERNATIVE:RE2_BRS_GOLD:RE2_SYS:AI_RE2_EUR_NOR_RET</v>
          </cell>
          <cell r="D5055" t="str">
            <v>Index</v>
          </cell>
          <cell r="E5055" t="str">
            <v>Index Level</v>
          </cell>
          <cell r="F5055" t="str">
            <v>Alternative</v>
          </cell>
          <cell r="G5055" t="str">
            <v>Other</v>
          </cell>
          <cell r="H5055" t="str">
            <v>ALTS</v>
          </cell>
          <cell r="I5055" t="str">
            <v>Alternative - Index</v>
          </cell>
        </row>
        <row r="5056">
          <cell r="A5056" t="str">
            <v>AI_RE2_EUR_UK_OFF</v>
          </cell>
          <cell r="B5056" t="str">
            <v>Europe UK Off RE</v>
          </cell>
          <cell r="C5056" t="str">
            <v>ALTERNATIVE:RE2_BRS_GOLD:RE2_SYS:AI_RE2_EUR_UK_OFF</v>
          </cell>
          <cell r="D5056" t="str">
            <v>Index</v>
          </cell>
          <cell r="E5056" t="str">
            <v>Index Level</v>
          </cell>
          <cell r="F5056" t="str">
            <v>Alternative</v>
          </cell>
          <cell r="G5056" t="str">
            <v>Other</v>
          </cell>
          <cell r="H5056" t="str">
            <v>ALTS</v>
          </cell>
          <cell r="I5056" t="str">
            <v>Alternative - Index</v>
          </cell>
        </row>
        <row r="5057">
          <cell r="A5057" t="str">
            <v>AI_RE2_EUR_W_RES</v>
          </cell>
          <cell r="B5057" t="str">
            <v>Europe West Res RE</v>
          </cell>
          <cell r="C5057" t="str">
            <v>ALTERNATIVE:RE2_BRS_GOLD:RE2_SYS:AI_RE2_EUR_W_RES</v>
          </cell>
          <cell r="D5057" t="str">
            <v>Index</v>
          </cell>
          <cell r="E5057" t="str">
            <v>Index Level</v>
          </cell>
          <cell r="F5057" t="str">
            <v>Alternative</v>
          </cell>
          <cell r="G5057" t="str">
            <v>Other</v>
          </cell>
          <cell r="H5057" t="str">
            <v>ALTS</v>
          </cell>
          <cell r="I5057" t="str">
            <v>Alternative - Index</v>
          </cell>
        </row>
        <row r="5058">
          <cell r="A5058" t="str">
            <v>AI_RE2_EUR_W_IND</v>
          </cell>
          <cell r="B5058" t="str">
            <v>Europe West Ind RE</v>
          </cell>
          <cell r="C5058" t="str">
            <v>ALTERNATIVE:RE2_BRS_GOLD:RE2_SYS:AI_RE2_EUR_W_IND</v>
          </cell>
          <cell r="D5058" t="str">
            <v>Index</v>
          </cell>
          <cell r="E5058" t="str">
            <v>Index Level</v>
          </cell>
          <cell r="F5058" t="str">
            <v>Alternative</v>
          </cell>
          <cell r="G5058" t="str">
            <v>Other</v>
          </cell>
          <cell r="H5058" t="str">
            <v>ALTS</v>
          </cell>
          <cell r="I5058" t="str">
            <v>Alternative - Index</v>
          </cell>
        </row>
        <row r="5059">
          <cell r="A5059" t="str">
            <v>AI_RE2_EUR_W_OFF</v>
          </cell>
          <cell r="B5059" t="str">
            <v>Europe West Off RE</v>
          </cell>
          <cell r="C5059" t="str">
            <v>ALTERNATIVE:RE2_BRS_GOLD:RE2_SYS:AI_RE2_EUR_W_OFF</v>
          </cell>
          <cell r="D5059" t="str">
            <v>Index</v>
          </cell>
          <cell r="E5059" t="str">
            <v>Index Level</v>
          </cell>
          <cell r="F5059" t="str">
            <v>Alternative</v>
          </cell>
          <cell r="G5059" t="str">
            <v>Other</v>
          </cell>
          <cell r="H5059" t="str">
            <v>ALTS</v>
          </cell>
          <cell r="I5059" t="str">
            <v>Alternative - Index</v>
          </cell>
        </row>
        <row r="5060">
          <cell r="A5060" t="str">
            <v>AI_RE2_EUR_W_RET</v>
          </cell>
          <cell r="B5060" t="str">
            <v>Europe West Ret RE</v>
          </cell>
          <cell r="C5060" t="str">
            <v>ALTERNATIVE:RE2_BRS_GOLD:RE2_SYS:AI_RE2_EUR_W_RET</v>
          </cell>
          <cell r="D5060" t="str">
            <v>Index</v>
          </cell>
          <cell r="E5060" t="str">
            <v>Index Level</v>
          </cell>
          <cell r="F5060" t="str">
            <v>Alternative</v>
          </cell>
          <cell r="G5060" t="str">
            <v>Other</v>
          </cell>
          <cell r="H5060" t="str">
            <v>ALTS</v>
          </cell>
          <cell r="I5060" t="str">
            <v>Alternative - Index</v>
          </cell>
        </row>
        <row r="5061">
          <cell r="A5061" t="str">
            <v>AI_RE2_US_RES</v>
          </cell>
          <cell r="B5061" t="str">
            <v>US Res RE</v>
          </cell>
          <cell r="C5061" t="str">
            <v>ALTERNATIVE:RE2_BRS_GOLD:RE2_SYS:AI_RE2_US_RES</v>
          </cell>
          <cell r="D5061" t="str">
            <v>Index</v>
          </cell>
          <cell r="E5061" t="str">
            <v>Index Level</v>
          </cell>
          <cell r="F5061" t="str">
            <v>Alternative</v>
          </cell>
          <cell r="G5061" t="str">
            <v>Other</v>
          </cell>
          <cell r="H5061" t="str">
            <v>ALTS</v>
          </cell>
          <cell r="I5061" t="str">
            <v>Alternative - Index</v>
          </cell>
        </row>
        <row r="5062">
          <cell r="A5062" t="str">
            <v>AI_RE2_US_HLTH</v>
          </cell>
          <cell r="B5062" t="str">
            <v>US Hlth RE</v>
          </cell>
          <cell r="C5062" t="str">
            <v>ALTERNATIVE:RE2_BRS_GOLD:RE2_SYS:AI_RE2_US_HLTH</v>
          </cell>
          <cell r="D5062" t="str">
            <v>Index</v>
          </cell>
          <cell r="E5062" t="str">
            <v>Index Level</v>
          </cell>
          <cell r="F5062" t="str">
            <v>Alternative</v>
          </cell>
          <cell r="G5062" t="str">
            <v>Other</v>
          </cell>
          <cell r="H5062" t="str">
            <v>ALTS</v>
          </cell>
          <cell r="I5062" t="str">
            <v>Alternative - Index</v>
          </cell>
        </row>
        <row r="5063">
          <cell r="A5063" t="str">
            <v>AI_RE2_US_LOD</v>
          </cell>
          <cell r="B5063" t="str">
            <v>US Lod RE</v>
          </cell>
          <cell r="C5063" t="str">
            <v>ALTERNATIVE:RE2_BRS_GOLD:RE2_SYS:AI_RE2_US_LOD</v>
          </cell>
          <cell r="D5063" t="str">
            <v>Index</v>
          </cell>
          <cell r="E5063" t="str">
            <v>Index Level</v>
          </cell>
          <cell r="F5063" t="str">
            <v>Alternative</v>
          </cell>
          <cell r="G5063" t="str">
            <v>Other</v>
          </cell>
          <cell r="H5063" t="str">
            <v>ALTS</v>
          </cell>
          <cell r="I5063" t="str">
            <v>Alternative - Index</v>
          </cell>
        </row>
        <row r="5064">
          <cell r="A5064" t="str">
            <v>AI_RE2_US_IND</v>
          </cell>
          <cell r="B5064" t="str">
            <v>US Ind RE</v>
          </cell>
          <cell r="C5064" t="str">
            <v>ALTERNATIVE:RE2_BRS_GOLD:RE2_SYS:AI_RE2_US_IND</v>
          </cell>
          <cell r="D5064" t="str">
            <v>Index</v>
          </cell>
          <cell r="E5064" t="str">
            <v>Index Level</v>
          </cell>
          <cell r="F5064" t="str">
            <v>Alternative</v>
          </cell>
          <cell r="G5064" t="str">
            <v>Other</v>
          </cell>
          <cell r="H5064" t="str">
            <v>ALTS</v>
          </cell>
          <cell r="I5064" t="str">
            <v>Alternative - Index</v>
          </cell>
        </row>
        <row r="5065">
          <cell r="A5065" t="str">
            <v>AI_RE2_US_OFF</v>
          </cell>
          <cell r="B5065" t="str">
            <v>US Off RE</v>
          </cell>
          <cell r="C5065" t="str">
            <v>ALTERNATIVE:RE2_BRS_GOLD:RE2_SYS:AI_RE2_US_OFF</v>
          </cell>
          <cell r="D5065" t="str">
            <v>Index</v>
          </cell>
          <cell r="E5065" t="str">
            <v>Index Level</v>
          </cell>
          <cell r="F5065" t="str">
            <v>Alternative</v>
          </cell>
          <cell r="G5065" t="str">
            <v>Other</v>
          </cell>
          <cell r="H5065" t="str">
            <v>ALTS</v>
          </cell>
          <cell r="I5065" t="str">
            <v>Alternative - Index</v>
          </cell>
        </row>
        <row r="5066">
          <cell r="A5066" t="str">
            <v>AI_RE2_US_RET</v>
          </cell>
          <cell r="B5066" t="str">
            <v>US Ret RE</v>
          </cell>
          <cell r="C5066" t="str">
            <v>ALTERNATIVE:RE2_BRS_GOLD:RE2_SYS:AI_RE2_US_RET</v>
          </cell>
          <cell r="D5066" t="str">
            <v>Index</v>
          </cell>
          <cell r="E5066" t="str">
            <v>Index Level</v>
          </cell>
          <cell r="F5066" t="str">
            <v>Alternative</v>
          </cell>
          <cell r="G5066" t="str">
            <v>Other</v>
          </cell>
          <cell r="H5066" t="str">
            <v>ALTS</v>
          </cell>
          <cell r="I5066" t="str">
            <v>Alternative - Index</v>
          </cell>
        </row>
        <row r="5067">
          <cell r="A5067" t="str">
            <v>AI_RE2_EUR_UK_LON</v>
          </cell>
          <cell r="B5067" t="str">
            <v>UK London Office RE</v>
          </cell>
          <cell r="C5067" t="str">
            <v>ALTERNATIVE:RE2_BRS_GOLD:RE2_SYS:AI_RE2_EUR_UK_LON</v>
          </cell>
          <cell r="D5067" t="str">
            <v>Index</v>
          </cell>
          <cell r="E5067" t="str">
            <v>Index Level</v>
          </cell>
          <cell r="F5067" t="str">
            <v>Alternative</v>
          </cell>
          <cell r="G5067" t="str">
            <v>Other</v>
          </cell>
          <cell r="H5067" t="str">
            <v>ALTS</v>
          </cell>
          <cell r="I5067" t="str">
            <v>Alternative - Index</v>
          </cell>
        </row>
        <row r="5068">
          <cell r="A5068" t="str">
            <v>AI_RE2_US_E_RES</v>
          </cell>
          <cell r="B5068" t="str">
            <v>US E Res RE</v>
          </cell>
          <cell r="C5068" t="str">
            <v>ALTERNATIVE:RE2_BRS_GOLD:RE2_SYS:AI_RE2_US_E_RES</v>
          </cell>
          <cell r="D5068" t="str">
            <v>Index</v>
          </cell>
          <cell r="E5068" t="str">
            <v>Index Level</v>
          </cell>
          <cell r="F5068" t="str">
            <v>Alternative</v>
          </cell>
          <cell r="G5068" t="str">
            <v>Other</v>
          </cell>
          <cell r="H5068" t="str">
            <v>ALTS</v>
          </cell>
          <cell r="I5068" t="str">
            <v>Alternative - Index</v>
          </cell>
        </row>
        <row r="5069">
          <cell r="A5069" t="str">
            <v>AI_RE2_US_M_RES</v>
          </cell>
          <cell r="B5069" t="str">
            <v>US MW Res RE</v>
          </cell>
          <cell r="C5069" t="str">
            <v>ALTERNATIVE:RE2_BRS_GOLD:RE2_SYS:AI_RE2_US_M_RES</v>
          </cell>
          <cell r="D5069" t="str">
            <v>Index</v>
          </cell>
          <cell r="E5069" t="str">
            <v>Index Level</v>
          </cell>
          <cell r="F5069" t="str">
            <v>Alternative</v>
          </cell>
          <cell r="G5069" t="str">
            <v>Other</v>
          </cell>
          <cell r="H5069" t="str">
            <v>ALTS</v>
          </cell>
          <cell r="I5069" t="str">
            <v>Alternative - Index</v>
          </cell>
        </row>
        <row r="5070">
          <cell r="A5070" t="str">
            <v>AI_RE2_US_S_RES</v>
          </cell>
          <cell r="B5070" t="str">
            <v>US S Res RE</v>
          </cell>
          <cell r="C5070" t="str">
            <v>ALTERNATIVE:RE2_BRS_GOLD:RE2_SYS:AI_RE2_US_S_RES</v>
          </cell>
          <cell r="D5070" t="str">
            <v>Index</v>
          </cell>
          <cell r="E5070" t="str">
            <v>Index Level</v>
          </cell>
          <cell r="F5070" t="str">
            <v>Alternative</v>
          </cell>
          <cell r="G5070" t="str">
            <v>Other</v>
          </cell>
          <cell r="H5070" t="str">
            <v>ALTS</v>
          </cell>
          <cell r="I5070" t="str">
            <v>Alternative - Index</v>
          </cell>
        </row>
        <row r="5071">
          <cell r="A5071" t="str">
            <v>AI_RE2_US_W_RES</v>
          </cell>
          <cell r="B5071" t="str">
            <v>US W Res RE</v>
          </cell>
          <cell r="C5071" t="str">
            <v>ALTERNATIVE:RE2_BRS_GOLD:RE2_SYS:AI_RE2_US_W_RES</v>
          </cell>
          <cell r="D5071" t="str">
            <v>Index</v>
          </cell>
          <cell r="E5071" t="str">
            <v>Index Level</v>
          </cell>
          <cell r="F5071" t="str">
            <v>Alternative</v>
          </cell>
          <cell r="G5071" t="str">
            <v>Other</v>
          </cell>
          <cell r="H5071" t="str">
            <v>ALTS</v>
          </cell>
          <cell r="I5071" t="str">
            <v>Alternative - Index</v>
          </cell>
        </row>
        <row r="5072">
          <cell r="A5072" t="str">
            <v>AI_RE2_US_E_HLTH</v>
          </cell>
          <cell r="B5072" t="str">
            <v>US E Hlth RE</v>
          </cell>
          <cell r="C5072" t="str">
            <v>ALTERNATIVE:RE2_BRS_GOLD:RE2_SYS:AI_RE2_US_E_HLTH</v>
          </cell>
          <cell r="D5072" t="str">
            <v>Index</v>
          </cell>
          <cell r="E5072" t="str">
            <v>Index Level</v>
          </cell>
          <cell r="F5072" t="str">
            <v>Alternative</v>
          </cell>
          <cell r="G5072" t="str">
            <v>Other</v>
          </cell>
          <cell r="H5072" t="str">
            <v>ALTS</v>
          </cell>
          <cell r="I5072" t="str">
            <v>Alternative - Index</v>
          </cell>
        </row>
        <row r="5073">
          <cell r="A5073" t="str">
            <v>AI_RE2_US_M_HLTH</v>
          </cell>
          <cell r="B5073" t="str">
            <v>US MW Hlth RE</v>
          </cell>
          <cell r="C5073" t="str">
            <v>ALTERNATIVE:RE2_BRS_GOLD:RE2_SYS:AI_RE2_US_M_HLTH</v>
          </cell>
          <cell r="D5073" t="str">
            <v>Index</v>
          </cell>
          <cell r="E5073" t="str">
            <v>Index Level</v>
          </cell>
          <cell r="F5073" t="str">
            <v>Alternative</v>
          </cell>
          <cell r="G5073" t="str">
            <v>Other</v>
          </cell>
          <cell r="H5073" t="str">
            <v>ALTS</v>
          </cell>
          <cell r="I5073" t="str">
            <v>Alternative - Index</v>
          </cell>
        </row>
        <row r="5074">
          <cell r="A5074" t="str">
            <v>AI_RE2_US_S_HLTH</v>
          </cell>
          <cell r="B5074" t="str">
            <v>US S Hlth RE</v>
          </cell>
          <cell r="C5074" t="str">
            <v>ALTERNATIVE:RE2_BRS_GOLD:RE2_SYS:AI_RE2_US_S_HLTH</v>
          </cell>
          <cell r="D5074" t="str">
            <v>Index</v>
          </cell>
          <cell r="E5074" t="str">
            <v>Index Level</v>
          </cell>
          <cell r="F5074" t="str">
            <v>Alternative</v>
          </cell>
          <cell r="G5074" t="str">
            <v>Other</v>
          </cell>
          <cell r="H5074" t="str">
            <v>ALTS</v>
          </cell>
          <cell r="I5074" t="str">
            <v>Alternative - Index</v>
          </cell>
        </row>
        <row r="5075">
          <cell r="A5075" t="str">
            <v>AI_RE2_US_W_HLTH</v>
          </cell>
          <cell r="B5075" t="str">
            <v>US W Hlth RE</v>
          </cell>
          <cell r="C5075" t="str">
            <v>ALTERNATIVE:RE2_BRS_GOLD:RE2_SYS:AI_RE2_US_W_HLTH</v>
          </cell>
          <cell r="D5075" t="str">
            <v>Index</v>
          </cell>
          <cell r="E5075" t="str">
            <v>Index Level</v>
          </cell>
          <cell r="F5075" t="str">
            <v>Alternative</v>
          </cell>
          <cell r="G5075" t="str">
            <v>Other</v>
          </cell>
          <cell r="H5075" t="str">
            <v>ALTS</v>
          </cell>
          <cell r="I5075" t="str">
            <v>Alternative - Index</v>
          </cell>
        </row>
        <row r="5076">
          <cell r="A5076" t="str">
            <v>AI_RE2_US_E_LOD</v>
          </cell>
          <cell r="B5076" t="str">
            <v>US E Lod RE</v>
          </cell>
          <cell r="C5076" t="str">
            <v>ALTERNATIVE:RE2_BRS_GOLD:RE2_SYS:AI_RE2_US_E_LOD</v>
          </cell>
          <cell r="D5076" t="str">
            <v>Index</v>
          </cell>
          <cell r="E5076" t="str">
            <v>Index Level</v>
          </cell>
          <cell r="F5076" t="str">
            <v>Alternative</v>
          </cell>
          <cell r="G5076" t="str">
            <v>Other</v>
          </cell>
          <cell r="H5076" t="str">
            <v>ALTS</v>
          </cell>
          <cell r="I5076" t="str">
            <v>Alternative - Index</v>
          </cell>
        </row>
        <row r="5077">
          <cell r="A5077" t="str">
            <v>AI_RE2_US_M_LOD</v>
          </cell>
          <cell r="B5077" t="str">
            <v>US MW Lod RE</v>
          </cell>
          <cell r="C5077" t="str">
            <v>ALTERNATIVE:RE2_BRS_GOLD:RE2_SYS:AI_RE2_US_M_LOD</v>
          </cell>
          <cell r="D5077" t="str">
            <v>Index</v>
          </cell>
          <cell r="E5077" t="str">
            <v>Index Level</v>
          </cell>
          <cell r="F5077" t="str">
            <v>Alternative</v>
          </cell>
          <cell r="G5077" t="str">
            <v>Other</v>
          </cell>
          <cell r="H5077" t="str">
            <v>ALTS</v>
          </cell>
          <cell r="I5077" t="str">
            <v>Alternative - Index</v>
          </cell>
        </row>
        <row r="5078">
          <cell r="A5078" t="str">
            <v>AI_RE2_US_S_LOD</v>
          </cell>
          <cell r="B5078" t="str">
            <v>US S Lod RE</v>
          </cell>
          <cell r="C5078" t="str">
            <v>ALTERNATIVE:RE2_BRS_GOLD:RE2_SYS:AI_RE2_US_S_LOD</v>
          </cell>
          <cell r="D5078" t="str">
            <v>Index</v>
          </cell>
          <cell r="E5078" t="str">
            <v>Index Level</v>
          </cell>
          <cell r="F5078" t="str">
            <v>Alternative</v>
          </cell>
          <cell r="G5078" t="str">
            <v>Other</v>
          </cell>
          <cell r="H5078" t="str">
            <v>ALTS</v>
          </cell>
          <cell r="I5078" t="str">
            <v>Alternative - Index</v>
          </cell>
        </row>
        <row r="5079">
          <cell r="A5079" t="str">
            <v>AI_RE2_US_W_LOD</v>
          </cell>
          <cell r="B5079" t="str">
            <v>US W Lod RE</v>
          </cell>
          <cell r="C5079" t="str">
            <v>ALTERNATIVE:RE2_BRS_GOLD:RE2_SYS:AI_RE2_US_W_LOD</v>
          </cell>
          <cell r="D5079" t="str">
            <v>Index</v>
          </cell>
          <cell r="E5079" t="str">
            <v>Index Level</v>
          </cell>
          <cell r="F5079" t="str">
            <v>Alternative</v>
          </cell>
          <cell r="G5079" t="str">
            <v>Other</v>
          </cell>
          <cell r="H5079" t="str">
            <v>ALTS</v>
          </cell>
          <cell r="I5079" t="str">
            <v>Alternative - Index</v>
          </cell>
        </row>
        <row r="5080">
          <cell r="A5080" t="str">
            <v>AI_RE2_US_E_IND</v>
          </cell>
          <cell r="B5080" t="str">
            <v>US E Ind RE</v>
          </cell>
          <cell r="C5080" t="str">
            <v>ALTERNATIVE:RE2_BRS_GOLD:RE2_SYS:AI_RE2_US_E_IND</v>
          </cell>
          <cell r="D5080" t="str">
            <v>Index</v>
          </cell>
          <cell r="E5080" t="str">
            <v>Index Level</v>
          </cell>
          <cell r="F5080" t="str">
            <v>Alternative</v>
          </cell>
          <cell r="G5080" t="str">
            <v>Other</v>
          </cell>
          <cell r="H5080" t="str">
            <v>ALTS</v>
          </cell>
          <cell r="I5080" t="str">
            <v>Alternative - Index</v>
          </cell>
        </row>
        <row r="5081">
          <cell r="A5081" t="str">
            <v>AI_RE2_US_M_IND</v>
          </cell>
          <cell r="B5081" t="str">
            <v>US MW Ind RE</v>
          </cell>
          <cell r="C5081" t="str">
            <v>ALTERNATIVE:RE2_BRS_GOLD:RE2_SYS:AI_RE2_US_M_IND</v>
          </cell>
          <cell r="D5081" t="str">
            <v>Index</v>
          </cell>
          <cell r="E5081" t="str">
            <v>Index Level</v>
          </cell>
          <cell r="F5081" t="str">
            <v>Alternative</v>
          </cell>
          <cell r="G5081" t="str">
            <v>Other</v>
          </cell>
          <cell r="H5081" t="str">
            <v>ALTS</v>
          </cell>
          <cell r="I5081" t="str">
            <v>Alternative - Index</v>
          </cell>
        </row>
        <row r="5082">
          <cell r="A5082" t="str">
            <v>AI_RE2_US_S_IND</v>
          </cell>
          <cell r="B5082" t="str">
            <v>US S Ind RE</v>
          </cell>
          <cell r="C5082" t="str">
            <v>ALTERNATIVE:RE2_BRS_GOLD:RE2_SYS:AI_RE2_US_S_IND</v>
          </cell>
          <cell r="D5082" t="str">
            <v>Index</v>
          </cell>
          <cell r="E5082" t="str">
            <v>Index Level</v>
          </cell>
          <cell r="F5082" t="str">
            <v>Alternative</v>
          </cell>
          <cell r="G5082" t="str">
            <v>Other</v>
          </cell>
          <cell r="H5082" t="str">
            <v>ALTS</v>
          </cell>
          <cell r="I5082" t="str">
            <v>Alternative - Index</v>
          </cell>
        </row>
        <row r="5083">
          <cell r="A5083" t="str">
            <v>AI_RE2_US_W_IND</v>
          </cell>
          <cell r="B5083" t="str">
            <v>US W Ind RE</v>
          </cell>
          <cell r="C5083" t="str">
            <v>ALTERNATIVE:RE2_BRS_GOLD:RE2_SYS:AI_RE2_US_W_IND</v>
          </cell>
          <cell r="D5083" t="str">
            <v>Index</v>
          </cell>
          <cell r="E5083" t="str">
            <v>Index Level</v>
          </cell>
          <cell r="F5083" t="str">
            <v>Alternative</v>
          </cell>
          <cell r="G5083" t="str">
            <v>Other</v>
          </cell>
          <cell r="H5083" t="str">
            <v>ALTS</v>
          </cell>
          <cell r="I5083" t="str">
            <v>Alternative - Index</v>
          </cell>
        </row>
        <row r="5084">
          <cell r="A5084" t="str">
            <v>AI_RE2_US_E_OFF</v>
          </cell>
          <cell r="B5084" t="str">
            <v>US E Off RE</v>
          </cell>
          <cell r="C5084" t="str">
            <v>ALTERNATIVE:RE2_BRS_GOLD:RE2_SYS:AI_RE2_US_E_OFF</v>
          </cell>
          <cell r="D5084" t="str">
            <v>Index</v>
          </cell>
          <cell r="E5084" t="str">
            <v>Index Level</v>
          </cell>
          <cell r="F5084" t="str">
            <v>Alternative</v>
          </cell>
          <cell r="G5084" t="str">
            <v>Other</v>
          </cell>
          <cell r="H5084" t="str">
            <v>ALTS</v>
          </cell>
          <cell r="I5084" t="str">
            <v>Alternative - Index</v>
          </cell>
        </row>
        <row r="5085">
          <cell r="A5085" t="str">
            <v>AI_RE2_US_M_OFF</v>
          </cell>
          <cell r="B5085" t="str">
            <v>US MW Off RE</v>
          </cell>
          <cell r="C5085" t="str">
            <v>ALTERNATIVE:RE2_BRS_GOLD:RE2_SYS:AI_RE2_US_M_OFF</v>
          </cell>
          <cell r="D5085" t="str">
            <v>Index</v>
          </cell>
          <cell r="E5085" t="str">
            <v>Index Level</v>
          </cell>
          <cell r="F5085" t="str">
            <v>Alternative</v>
          </cell>
          <cell r="G5085" t="str">
            <v>Other</v>
          </cell>
          <cell r="H5085" t="str">
            <v>ALTS</v>
          </cell>
          <cell r="I5085" t="str">
            <v>Alternative - Index</v>
          </cell>
        </row>
        <row r="5086">
          <cell r="A5086" t="str">
            <v>AI_RE2_US_S_OFF</v>
          </cell>
          <cell r="B5086" t="str">
            <v>US S Off RE</v>
          </cell>
          <cell r="C5086" t="str">
            <v>ALTERNATIVE:RE2_BRS_GOLD:RE2_SYS:AI_RE2_US_S_OFF</v>
          </cell>
          <cell r="D5086" t="str">
            <v>Index</v>
          </cell>
          <cell r="E5086" t="str">
            <v>Index Level</v>
          </cell>
          <cell r="F5086" t="str">
            <v>Alternative</v>
          </cell>
          <cell r="G5086" t="str">
            <v>Other</v>
          </cell>
          <cell r="H5086" t="str">
            <v>ALTS</v>
          </cell>
          <cell r="I5086" t="str">
            <v>Alternative - Index</v>
          </cell>
        </row>
        <row r="5087">
          <cell r="A5087" t="str">
            <v>AI_RE2_US_W_OFF</v>
          </cell>
          <cell r="B5087" t="str">
            <v>US W Off RE</v>
          </cell>
          <cell r="C5087" t="str">
            <v>ALTERNATIVE:RE2_BRS_GOLD:RE2_SYS:AI_RE2_US_W_OFF</v>
          </cell>
          <cell r="D5087" t="str">
            <v>Index</v>
          </cell>
          <cell r="E5087" t="str">
            <v>Index Level</v>
          </cell>
          <cell r="F5087" t="str">
            <v>Alternative</v>
          </cell>
          <cell r="G5087" t="str">
            <v>Other</v>
          </cell>
          <cell r="H5087" t="str">
            <v>ALTS</v>
          </cell>
          <cell r="I5087" t="str">
            <v>Alternative - Index</v>
          </cell>
        </row>
        <row r="5088">
          <cell r="A5088" t="str">
            <v>AI_RE2_US_E_RET</v>
          </cell>
          <cell r="B5088" t="str">
            <v>US E Ret RE</v>
          </cell>
          <cell r="C5088" t="str">
            <v>ALTERNATIVE:RE2_BRS_GOLD:RE2_SYS:AI_RE2_US_E_RET</v>
          </cell>
          <cell r="D5088" t="str">
            <v>Index</v>
          </cell>
          <cell r="E5088" t="str">
            <v>Index Level</v>
          </cell>
          <cell r="F5088" t="str">
            <v>Alternative</v>
          </cell>
          <cell r="G5088" t="str">
            <v>Other</v>
          </cell>
          <cell r="H5088" t="str">
            <v>ALTS</v>
          </cell>
          <cell r="I5088" t="str">
            <v>Alternative - Index</v>
          </cell>
        </row>
        <row r="5089">
          <cell r="A5089" t="str">
            <v>AI_RE2_US_M_RET</v>
          </cell>
          <cell r="B5089" t="str">
            <v>US MW Ret RE</v>
          </cell>
          <cell r="C5089" t="str">
            <v>ALTERNATIVE:RE2_BRS_GOLD:RE2_SYS:AI_RE2_US_M_RET</v>
          </cell>
          <cell r="D5089" t="str">
            <v>Index</v>
          </cell>
          <cell r="E5089" t="str">
            <v>Index Level</v>
          </cell>
          <cell r="F5089" t="str">
            <v>Alternative</v>
          </cell>
          <cell r="G5089" t="str">
            <v>Other</v>
          </cell>
          <cell r="H5089" t="str">
            <v>ALTS</v>
          </cell>
          <cell r="I5089" t="str">
            <v>Alternative - Index</v>
          </cell>
        </row>
        <row r="5090">
          <cell r="A5090" t="str">
            <v>AI_RE2_US_S_RET</v>
          </cell>
          <cell r="B5090" t="str">
            <v>US S Ret RE</v>
          </cell>
          <cell r="C5090" t="str">
            <v>ALTERNATIVE:RE2_BRS_GOLD:RE2_SYS:AI_RE2_US_S_RET</v>
          </cell>
          <cell r="D5090" t="str">
            <v>Index</v>
          </cell>
          <cell r="E5090" t="str">
            <v>Index Level</v>
          </cell>
          <cell r="F5090" t="str">
            <v>Alternative</v>
          </cell>
          <cell r="G5090" t="str">
            <v>Other</v>
          </cell>
          <cell r="H5090" t="str">
            <v>ALTS</v>
          </cell>
          <cell r="I5090" t="str">
            <v>Alternative - Index</v>
          </cell>
        </row>
        <row r="5091">
          <cell r="A5091" t="str">
            <v>AI_RE2_US_W_RET</v>
          </cell>
          <cell r="B5091" t="str">
            <v>US W Ret RE</v>
          </cell>
          <cell r="C5091" t="str">
            <v>ALTERNATIVE:RE2_BRS_GOLD:RE2_SYS:AI_RE2_US_W_RET</v>
          </cell>
          <cell r="D5091" t="str">
            <v>Index</v>
          </cell>
          <cell r="E5091" t="str">
            <v>Index Level</v>
          </cell>
          <cell r="F5091" t="str">
            <v>Alternative</v>
          </cell>
          <cell r="G5091" t="str">
            <v>Other</v>
          </cell>
          <cell r="H5091" t="str">
            <v>ALTS</v>
          </cell>
          <cell r="I5091" t="str">
            <v>Alternative - Index</v>
          </cell>
        </row>
        <row r="5092">
          <cell r="A5092" t="str">
            <v>AI_RE2_US_E_MA_BOS_RES</v>
          </cell>
          <cell r="B5092" t="str">
            <v>US E MA Boston Res RE</v>
          </cell>
          <cell r="C5092" t="str">
            <v>ALTERNATIVE:RE2_BRS_GOLD:RE2_SYS:AI_RE2_US_E_MA_BOS_RES</v>
          </cell>
          <cell r="D5092" t="str">
            <v>Index</v>
          </cell>
          <cell r="E5092" t="str">
            <v>Index Level</v>
          </cell>
          <cell r="F5092" t="str">
            <v>Alternative</v>
          </cell>
          <cell r="G5092" t="str">
            <v>Other</v>
          </cell>
          <cell r="H5092" t="str">
            <v>ALTS</v>
          </cell>
          <cell r="I5092" t="str">
            <v>Alternative - Index</v>
          </cell>
        </row>
        <row r="5093">
          <cell r="A5093" t="str">
            <v>AI_RE2_US_E_NY_NY_RES</v>
          </cell>
          <cell r="B5093" t="str">
            <v>US E NY New York Res RE</v>
          </cell>
          <cell r="C5093" t="str">
            <v>ALTERNATIVE:RE2_BRS_GOLD:RE2_SYS:AI_RE2_US_E_NY_NY_RES</v>
          </cell>
          <cell r="D5093" t="str">
            <v>Index</v>
          </cell>
          <cell r="E5093" t="str">
            <v>Index Level</v>
          </cell>
          <cell r="F5093" t="str">
            <v>Alternative</v>
          </cell>
          <cell r="G5093" t="str">
            <v>Other</v>
          </cell>
          <cell r="H5093" t="str">
            <v>ALTS</v>
          </cell>
          <cell r="I5093" t="str">
            <v>Alternative - Index</v>
          </cell>
        </row>
        <row r="5094">
          <cell r="A5094" t="str">
            <v>AI_RE2_US_E_OTH_RES</v>
          </cell>
          <cell r="B5094" t="str">
            <v>US E Other Res RE</v>
          </cell>
          <cell r="C5094" t="str">
            <v>ALTERNATIVE:RE2_BRS_GOLD:RE2_SYS:AI_RE2_US_E_OTH_RES</v>
          </cell>
          <cell r="D5094" t="str">
            <v>Index</v>
          </cell>
          <cell r="E5094" t="str">
            <v>Index Level</v>
          </cell>
          <cell r="F5094" t="str">
            <v>Alternative</v>
          </cell>
          <cell r="G5094" t="str">
            <v>Other</v>
          </cell>
          <cell r="H5094" t="str">
            <v>ALTS</v>
          </cell>
          <cell r="I5094" t="str">
            <v>Alternative - Index</v>
          </cell>
        </row>
        <row r="5095">
          <cell r="A5095" t="str">
            <v>AI_RE2_US_E_DC_WAS_RES</v>
          </cell>
          <cell r="B5095" t="str">
            <v>US E DC Washington Res RE</v>
          </cell>
          <cell r="C5095" t="str">
            <v>ALTERNATIVE:RE2_BRS_GOLD:RE2_SYS:AI_RE2_US_E_DC_WAS_RES</v>
          </cell>
          <cell r="D5095" t="str">
            <v>Index</v>
          </cell>
          <cell r="E5095" t="str">
            <v>Index Level</v>
          </cell>
          <cell r="F5095" t="str">
            <v>Alternative</v>
          </cell>
          <cell r="G5095" t="str">
            <v>Other</v>
          </cell>
          <cell r="H5095" t="str">
            <v>ALTS</v>
          </cell>
          <cell r="I5095" t="str">
            <v>Alternative - Index</v>
          </cell>
        </row>
        <row r="5096">
          <cell r="A5096" t="str">
            <v>AI_RE2_US_S_GA_ATL_RES</v>
          </cell>
          <cell r="B5096" t="str">
            <v>US S GA Atlanta Res RE</v>
          </cell>
          <cell r="C5096" t="str">
            <v>ALTERNATIVE:RE2_BRS_GOLD:RE2_SYS:AI_RE2_US_S_GA_ATL_RES</v>
          </cell>
          <cell r="D5096" t="str">
            <v>Index</v>
          </cell>
          <cell r="E5096" t="str">
            <v>Index Level</v>
          </cell>
          <cell r="F5096" t="str">
            <v>Alternative</v>
          </cell>
          <cell r="G5096" t="str">
            <v>Other</v>
          </cell>
          <cell r="H5096" t="str">
            <v>ALTS</v>
          </cell>
          <cell r="I5096" t="str">
            <v>Alternative - Index</v>
          </cell>
        </row>
        <row r="5097">
          <cell r="A5097" t="str">
            <v>AI_RE2_US_S_TX_DAL_RES</v>
          </cell>
          <cell r="B5097" t="str">
            <v>US S TX Dallas Res RE</v>
          </cell>
          <cell r="C5097" t="str">
            <v>ALTERNATIVE:RE2_BRS_GOLD:RE2_SYS:AI_RE2_US_S_TX_DAL_RES</v>
          </cell>
          <cell r="D5097" t="str">
            <v>Index</v>
          </cell>
          <cell r="E5097" t="str">
            <v>Index Level</v>
          </cell>
          <cell r="F5097" t="str">
            <v>Alternative</v>
          </cell>
          <cell r="G5097" t="str">
            <v>Other</v>
          </cell>
          <cell r="H5097" t="str">
            <v>ALTS</v>
          </cell>
          <cell r="I5097" t="str">
            <v>Alternative - Index</v>
          </cell>
        </row>
        <row r="5098">
          <cell r="A5098" t="str">
            <v>AI_RE2_US_S_TX_HOU_RES</v>
          </cell>
          <cell r="B5098" t="str">
            <v>US S TX Houston Res RE</v>
          </cell>
          <cell r="C5098" t="str">
            <v>ALTERNATIVE:RE2_BRS_GOLD:RE2_SYS:AI_RE2_US_S_TX_HOU_RES</v>
          </cell>
          <cell r="D5098" t="str">
            <v>Index</v>
          </cell>
          <cell r="E5098" t="str">
            <v>Index Level</v>
          </cell>
          <cell r="F5098" t="str">
            <v>Alternative</v>
          </cell>
          <cell r="G5098" t="str">
            <v>Other</v>
          </cell>
          <cell r="H5098" t="str">
            <v>ALTS</v>
          </cell>
          <cell r="I5098" t="str">
            <v>Alternative - Index</v>
          </cell>
        </row>
        <row r="5099">
          <cell r="A5099" t="str">
            <v>AI_RE2_US_S_TX_MIA_RES</v>
          </cell>
          <cell r="B5099" t="str">
            <v>US S FL Miami Res RE</v>
          </cell>
          <cell r="C5099" t="str">
            <v>ALTERNATIVE:RE2_BRS_GOLD:RE2_SYS:AI_RE2_US_S_TX_MIA_RES</v>
          </cell>
          <cell r="D5099" t="str">
            <v>Index</v>
          </cell>
          <cell r="E5099" t="str">
            <v>Index Level</v>
          </cell>
          <cell r="F5099" t="str">
            <v>Alternative</v>
          </cell>
          <cell r="G5099" t="str">
            <v>Other</v>
          </cell>
          <cell r="H5099" t="str">
            <v>ALTS</v>
          </cell>
          <cell r="I5099" t="str">
            <v>Alternative - Index</v>
          </cell>
        </row>
        <row r="5100">
          <cell r="A5100" t="str">
            <v>AI_RE2_US_S_OTH_RES</v>
          </cell>
          <cell r="B5100" t="str">
            <v>US S Other Res RE</v>
          </cell>
          <cell r="C5100" t="str">
            <v>ALTERNATIVE:RE2_BRS_GOLD:RE2_SYS:AI_RE2_US_S_OTH_RES</v>
          </cell>
          <cell r="D5100" t="str">
            <v>Index</v>
          </cell>
          <cell r="E5100" t="str">
            <v>Index Level</v>
          </cell>
          <cell r="F5100" t="str">
            <v>Alternative</v>
          </cell>
          <cell r="G5100" t="str">
            <v>Other</v>
          </cell>
          <cell r="H5100" t="str">
            <v>ALTS</v>
          </cell>
          <cell r="I5100" t="str">
            <v>Alternative - Index</v>
          </cell>
        </row>
        <row r="5101">
          <cell r="A5101" t="str">
            <v>AI_RE2_US_S_FL_TAM_RES</v>
          </cell>
          <cell r="B5101" t="str">
            <v>US S FL Tampa Res RE</v>
          </cell>
          <cell r="C5101" t="str">
            <v>ALTERNATIVE:RE2_BRS_GOLD:RE2_SYS:AI_RE2_US_S_FL_TAM_RES</v>
          </cell>
          <cell r="D5101" t="str">
            <v>Index</v>
          </cell>
          <cell r="E5101" t="str">
            <v>Index Level</v>
          </cell>
          <cell r="F5101" t="str">
            <v>Alternative</v>
          </cell>
          <cell r="G5101" t="str">
            <v>Other</v>
          </cell>
          <cell r="H5101" t="str">
            <v>ALTS</v>
          </cell>
          <cell r="I5101" t="str">
            <v>Alternative - Index</v>
          </cell>
        </row>
        <row r="5102">
          <cell r="A5102" t="str">
            <v>AI_RE2_US_W_CA_LA_RES</v>
          </cell>
          <cell r="B5102" t="str">
            <v>US W CA LA Res RE</v>
          </cell>
          <cell r="C5102" t="str">
            <v>ALTERNATIVE:RE2_BRS_GOLD:RE2_SYS:AI_RE2_US_W_CA_LA_RES</v>
          </cell>
          <cell r="D5102" t="str">
            <v>Index</v>
          </cell>
          <cell r="E5102" t="str">
            <v>Index Level</v>
          </cell>
          <cell r="F5102" t="str">
            <v>Alternative</v>
          </cell>
          <cell r="G5102" t="str">
            <v>Other</v>
          </cell>
          <cell r="H5102" t="str">
            <v>ALTS</v>
          </cell>
          <cell r="I5102" t="str">
            <v>Alternative - Index</v>
          </cell>
        </row>
        <row r="5103">
          <cell r="A5103" t="str">
            <v>AI_RE2_US_W_OTH_RES</v>
          </cell>
          <cell r="B5103" t="str">
            <v>US W Other Res RE</v>
          </cell>
          <cell r="C5103" t="str">
            <v>ALTERNATIVE:RE2_BRS_GOLD:RE2_SYS:AI_RE2_US_W_OTH_RES</v>
          </cell>
          <cell r="D5103" t="str">
            <v>Index</v>
          </cell>
          <cell r="E5103" t="str">
            <v>Index Level</v>
          </cell>
          <cell r="F5103" t="str">
            <v>Alternative</v>
          </cell>
          <cell r="G5103" t="str">
            <v>Other</v>
          </cell>
          <cell r="H5103" t="str">
            <v>ALTS</v>
          </cell>
          <cell r="I5103" t="str">
            <v>Alternative - Index</v>
          </cell>
        </row>
        <row r="5104">
          <cell r="A5104" t="str">
            <v>AI_RE2_US_W_AZ_PHO_RES</v>
          </cell>
          <cell r="B5104" t="str">
            <v>US W AZ Phoenix Res RE</v>
          </cell>
          <cell r="C5104" t="str">
            <v>ALTERNATIVE:RE2_BRS_GOLD:RE2_SYS:AI_RE2_US_W_AZ_PHO_RES</v>
          </cell>
          <cell r="D5104" t="str">
            <v>Index</v>
          </cell>
          <cell r="E5104" t="str">
            <v>Index Level</v>
          </cell>
          <cell r="F5104" t="str">
            <v>Alternative</v>
          </cell>
          <cell r="G5104" t="str">
            <v>Other</v>
          </cell>
          <cell r="H5104" t="str">
            <v>ALTS</v>
          </cell>
          <cell r="I5104" t="str">
            <v>Alternative - Index</v>
          </cell>
        </row>
        <row r="5105">
          <cell r="A5105" t="str">
            <v>AI_RE2_US_W_CA_SD_RES</v>
          </cell>
          <cell r="B5105" t="str">
            <v>US W CA SD Res RE</v>
          </cell>
          <cell r="C5105" t="str">
            <v>ALTERNATIVE:RE2_BRS_GOLD:RE2_SYS:AI_RE2_US_W_CA_SD_RES</v>
          </cell>
          <cell r="D5105" t="str">
            <v>Index</v>
          </cell>
          <cell r="E5105" t="str">
            <v>Index Level</v>
          </cell>
          <cell r="F5105" t="str">
            <v>Alternative</v>
          </cell>
          <cell r="G5105" t="str">
            <v>Other</v>
          </cell>
          <cell r="H5105" t="str">
            <v>ALTS</v>
          </cell>
          <cell r="I5105" t="str">
            <v>Alternative - Index</v>
          </cell>
        </row>
        <row r="5106">
          <cell r="A5106" t="str">
            <v>AI_RE2_US_W_CA_SF_RES</v>
          </cell>
          <cell r="B5106" t="str">
            <v>US W CA SF Res RE</v>
          </cell>
          <cell r="C5106" t="str">
            <v>ALTERNATIVE:RE2_BRS_GOLD:RE2_SYS:AI_RE2_US_W_CA_SF_RES</v>
          </cell>
          <cell r="D5106" t="str">
            <v>Index</v>
          </cell>
          <cell r="E5106" t="str">
            <v>Index Level</v>
          </cell>
          <cell r="F5106" t="str">
            <v>Alternative</v>
          </cell>
          <cell r="G5106" t="str">
            <v>Other</v>
          </cell>
          <cell r="H5106" t="str">
            <v>ALTS</v>
          </cell>
          <cell r="I5106" t="str">
            <v>Alternative - Index</v>
          </cell>
        </row>
        <row r="5107">
          <cell r="A5107" t="str">
            <v>AI_RE2_US_E_MA_BOS_HLTH</v>
          </cell>
          <cell r="B5107" t="str">
            <v>US E MA Boston Hlth RE</v>
          </cell>
          <cell r="C5107" t="str">
            <v>ALTERNATIVE:RE2_BRS_GOLD:RE2_SYS:AI_RE2_US_E_MA_BOS_HLTH</v>
          </cell>
          <cell r="D5107" t="str">
            <v>Index</v>
          </cell>
          <cell r="E5107" t="str">
            <v>Index Level</v>
          </cell>
          <cell r="F5107" t="str">
            <v>Alternative</v>
          </cell>
          <cell r="G5107" t="str">
            <v>Other</v>
          </cell>
          <cell r="H5107" t="str">
            <v>ALTS</v>
          </cell>
          <cell r="I5107" t="str">
            <v>Alternative - Index</v>
          </cell>
        </row>
        <row r="5108">
          <cell r="A5108" t="str">
            <v>AI_RE2_US_E_NY_NY_HLTH</v>
          </cell>
          <cell r="B5108" t="str">
            <v>US E NY New York Hlth RE</v>
          </cell>
          <cell r="C5108" t="str">
            <v>ALTERNATIVE:RE2_BRS_GOLD:RE2_SYS:AI_RE2_US_E_NY_NY_HLTH</v>
          </cell>
          <cell r="D5108" t="str">
            <v>Index</v>
          </cell>
          <cell r="E5108" t="str">
            <v>Index Level</v>
          </cell>
          <cell r="F5108" t="str">
            <v>Alternative</v>
          </cell>
          <cell r="G5108" t="str">
            <v>Other</v>
          </cell>
          <cell r="H5108" t="str">
            <v>ALTS</v>
          </cell>
          <cell r="I5108" t="str">
            <v>Alternative - Index</v>
          </cell>
        </row>
        <row r="5109">
          <cell r="A5109" t="str">
            <v>AI_RE2_US_E_OTH_HLTH</v>
          </cell>
          <cell r="B5109" t="str">
            <v>US E Other Hlth RE</v>
          </cell>
          <cell r="C5109" t="str">
            <v>ALTERNATIVE:RE2_BRS_GOLD:RE2_SYS:AI_RE2_US_E_OTH_HLTH</v>
          </cell>
          <cell r="D5109" t="str">
            <v>Index</v>
          </cell>
          <cell r="E5109" t="str">
            <v>Index Level</v>
          </cell>
          <cell r="F5109" t="str">
            <v>Alternative</v>
          </cell>
          <cell r="G5109" t="str">
            <v>Other</v>
          </cell>
          <cell r="H5109" t="str">
            <v>ALTS</v>
          </cell>
          <cell r="I5109" t="str">
            <v>Alternative - Index</v>
          </cell>
        </row>
        <row r="5110">
          <cell r="A5110" t="str">
            <v>AI_RE2_US_E_PA_PHI_HLTH</v>
          </cell>
          <cell r="B5110" t="str">
            <v>US E PA PHL Hlth RE</v>
          </cell>
          <cell r="C5110" t="str">
            <v>ALTERNATIVE:RE2_BRS_GOLD:RE2_SYS:AI_RE2_US_E_PA_PHI_HLTH</v>
          </cell>
          <cell r="D5110" t="str">
            <v>Index</v>
          </cell>
          <cell r="E5110" t="str">
            <v>Index Level</v>
          </cell>
          <cell r="F5110" t="str">
            <v>Alternative</v>
          </cell>
          <cell r="G5110" t="str">
            <v>Other</v>
          </cell>
          <cell r="H5110" t="str">
            <v>ALTS</v>
          </cell>
          <cell r="I5110" t="str">
            <v>Alternative - Index</v>
          </cell>
        </row>
        <row r="5111">
          <cell r="A5111" t="str">
            <v>AI_RE2_US_E_DC_WAS_HLTH</v>
          </cell>
          <cell r="B5111" t="str">
            <v>US E DC Washington Hlth RE</v>
          </cell>
          <cell r="C5111" t="str">
            <v>ALTERNATIVE:RE2_BRS_GOLD:RE2_SYS:AI_RE2_US_E_DC_WAS_HLTH</v>
          </cell>
          <cell r="D5111" t="str">
            <v>Index</v>
          </cell>
          <cell r="E5111" t="str">
            <v>Index Level</v>
          </cell>
          <cell r="F5111" t="str">
            <v>Alternative</v>
          </cell>
          <cell r="G5111" t="str">
            <v>Other</v>
          </cell>
          <cell r="H5111" t="str">
            <v>ALTS</v>
          </cell>
          <cell r="I5111" t="str">
            <v>Alternative - Index</v>
          </cell>
        </row>
        <row r="5112">
          <cell r="A5112" t="str">
            <v>AI_RE2_US_M_IL_CHI_HLTH</v>
          </cell>
          <cell r="B5112" t="str">
            <v>US MW IL Chicago Hlth RE</v>
          </cell>
          <cell r="C5112" t="str">
            <v>ALTERNATIVE:RE2_BRS_GOLD:RE2_SYS:AI_RE2_US_M_IL_CHI_HLTH</v>
          </cell>
          <cell r="D5112" t="str">
            <v>Index</v>
          </cell>
          <cell r="E5112" t="str">
            <v>Index Level</v>
          </cell>
          <cell r="F5112" t="str">
            <v>Alternative</v>
          </cell>
          <cell r="G5112" t="str">
            <v>Other</v>
          </cell>
          <cell r="H5112" t="str">
            <v>ALTS</v>
          </cell>
          <cell r="I5112" t="str">
            <v>Alternative - Index</v>
          </cell>
        </row>
        <row r="5113">
          <cell r="A5113" t="str">
            <v>AI_RE2_US_M_MI_DET_HLTH</v>
          </cell>
          <cell r="B5113" t="str">
            <v>US MW MI Detroit Hlth RE</v>
          </cell>
          <cell r="C5113" t="str">
            <v>ALTERNATIVE:RE2_BRS_GOLD:RE2_SYS:AI_RE2_US_M_MI_DET_HLTH</v>
          </cell>
          <cell r="D5113" t="str">
            <v>Index</v>
          </cell>
          <cell r="E5113" t="str">
            <v>Index Level</v>
          </cell>
          <cell r="F5113" t="str">
            <v>Alternative</v>
          </cell>
          <cell r="G5113" t="str">
            <v>Other</v>
          </cell>
          <cell r="H5113" t="str">
            <v>ALTS</v>
          </cell>
          <cell r="I5113" t="str">
            <v>Alternative - Index</v>
          </cell>
        </row>
        <row r="5114">
          <cell r="A5114" t="str">
            <v>AI_RE2_US_M_MN_MIN_HLTH</v>
          </cell>
          <cell r="B5114" t="str">
            <v>US MW MN MPLS Hlth RE</v>
          </cell>
          <cell r="C5114" t="str">
            <v>ALTERNATIVE:RE2_BRS_GOLD:RE2_SYS:AI_RE2_US_M_MN_MIN_HLTH</v>
          </cell>
          <cell r="D5114" t="str">
            <v>Index</v>
          </cell>
          <cell r="E5114" t="str">
            <v>Index Level</v>
          </cell>
          <cell r="F5114" t="str">
            <v>Alternative</v>
          </cell>
          <cell r="G5114" t="str">
            <v>Other</v>
          </cell>
          <cell r="H5114" t="str">
            <v>ALTS</v>
          </cell>
          <cell r="I5114" t="str">
            <v>Alternative - Index</v>
          </cell>
        </row>
        <row r="5115">
          <cell r="A5115" t="str">
            <v>AI_RE2_US_M_OTH_HLTH</v>
          </cell>
          <cell r="B5115" t="str">
            <v>US MW Other Hlth RE</v>
          </cell>
          <cell r="C5115" t="str">
            <v>ALTERNATIVE:RE2_BRS_GOLD:RE2_SYS:AI_RE2_US_M_OTH_HLTH</v>
          </cell>
          <cell r="D5115" t="str">
            <v>Index</v>
          </cell>
          <cell r="E5115" t="str">
            <v>Index Level</v>
          </cell>
          <cell r="F5115" t="str">
            <v>Alternative</v>
          </cell>
          <cell r="G5115" t="str">
            <v>Other</v>
          </cell>
          <cell r="H5115" t="str">
            <v>ALTS</v>
          </cell>
          <cell r="I5115" t="str">
            <v>Alternative - Index</v>
          </cell>
        </row>
        <row r="5116">
          <cell r="A5116" t="str">
            <v>AI_RE2_US_M_MO_STL_HLTH</v>
          </cell>
          <cell r="B5116" t="str">
            <v>US MW MO St.Louis Hlth RE</v>
          </cell>
          <cell r="C5116" t="str">
            <v>ALTERNATIVE:RE2_BRS_GOLD:RE2_SYS:AI_RE2_US_M_MO_STL_HLTH</v>
          </cell>
          <cell r="D5116" t="str">
            <v>Index</v>
          </cell>
          <cell r="E5116" t="str">
            <v>Index Level</v>
          </cell>
          <cell r="F5116" t="str">
            <v>Alternative</v>
          </cell>
          <cell r="G5116" t="str">
            <v>Other</v>
          </cell>
          <cell r="H5116" t="str">
            <v>ALTS</v>
          </cell>
          <cell r="I5116" t="str">
            <v>Alternative - Index</v>
          </cell>
        </row>
        <row r="5117">
          <cell r="A5117" t="str">
            <v>AI_RE2_US_S_GA_ATL_HLTH</v>
          </cell>
          <cell r="B5117" t="str">
            <v>US S GA Atlanta Hlth RE</v>
          </cell>
          <cell r="C5117" t="str">
            <v>ALTERNATIVE:RE2_BRS_GOLD:RE2_SYS:AI_RE2_US_S_GA_ATL_HLTH</v>
          </cell>
          <cell r="D5117" t="str">
            <v>Index</v>
          </cell>
          <cell r="E5117" t="str">
            <v>Index Level</v>
          </cell>
          <cell r="F5117" t="str">
            <v>Alternative</v>
          </cell>
          <cell r="G5117" t="str">
            <v>Other</v>
          </cell>
          <cell r="H5117" t="str">
            <v>ALTS</v>
          </cell>
          <cell r="I5117" t="str">
            <v>Alternative - Index</v>
          </cell>
        </row>
        <row r="5118">
          <cell r="A5118" t="str">
            <v>AI_RE2_US_S_TX_DAL_HLTH</v>
          </cell>
          <cell r="B5118" t="str">
            <v>US S TX Dallas Hlth RE</v>
          </cell>
          <cell r="C5118" t="str">
            <v>ALTERNATIVE:RE2_BRS_GOLD:RE2_SYS:AI_RE2_US_S_TX_DAL_HLTH</v>
          </cell>
          <cell r="D5118" t="str">
            <v>Index</v>
          </cell>
          <cell r="E5118" t="str">
            <v>Index Level</v>
          </cell>
          <cell r="F5118" t="str">
            <v>Alternative</v>
          </cell>
          <cell r="G5118" t="str">
            <v>Other</v>
          </cell>
          <cell r="H5118" t="str">
            <v>ALTS</v>
          </cell>
          <cell r="I5118" t="str">
            <v>Alternative - Index</v>
          </cell>
        </row>
        <row r="5119">
          <cell r="A5119" t="str">
            <v>AI_RE2_US_S_TX_HOU_HLTH</v>
          </cell>
          <cell r="B5119" t="str">
            <v>US S TX Houston Hlth RE</v>
          </cell>
          <cell r="C5119" t="str">
            <v>ALTERNATIVE:RE2_BRS_GOLD:RE2_SYS:AI_RE2_US_S_TX_HOU_HLTH</v>
          </cell>
          <cell r="D5119" t="str">
            <v>Index</v>
          </cell>
          <cell r="E5119" t="str">
            <v>Index Level</v>
          </cell>
          <cell r="F5119" t="str">
            <v>Alternative</v>
          </cell>
          <cell r="G5119" t="str">
            <v>Other</v>
          </cell>
          <cell r="H5119" t="str">
            <v>ALTS</v>
          </cell>
          <cell r="I5119" t="str">
            <v>Alternative - Index</v>
          </cell>
        </row>
        <row r="5120">
          <cell r="A5120" t="str">
            <v>AI_RE2_US_S_FL_MIA_HLTH</v>
          </cell>
          <cell r="B5120" t="str">
            <v>US S FL Miami Hlth RE</v>
          </cell>
          <cell r="C5120" t="str">
            <v>ALTERNATIVE:RE2_BRS_GOLD:RE2_SYS:AI_RE2_US_S_FL_MIA_HLTH</v>
          </cell>
          <cell r="D5120" t="str">
            <v>Index</v>
          </cell>
          <cell r="E5120" t="str">
            <v>Index Level</v>
          </cell>
          <cell r="F5120" t="str">
            <v>Alternative</v>
          </cell>
          <cell r="G5120" t="str">
            <v>Other</v>
          </cell>
          <cell r="H5120" t="str">
            <v>ALTS</v>
          </cell>
          <cell r="I5120" t="str">
            <v>Alternative - Index</v>
          </cell>
        </row>
        <row r="5121">
          <cell r="A5121" t="str">
            <v>AI_RE2_US_S_OTH_HLTH</v>
          </cell>
          <cell r="B5121" t="str">
            <v>US S Other Hlth RE</v>
          </cell>
          <cell r="C5121" t="str">
            <v>ALTERNATIVE:RE2_BRS_GOLD:RE2_SYS:AI_RE2_US_S_OTH_HLTH</v>
          </cell>
          <cell r="D5121" t="str">
            <v>Index</v>
          </cell>
          <cell r="E5121" t="str">
            <v>Index Level</v>
          </cell>
          <cell r="F5121" t="str">
            <v>Alternative</v>
          </cell>
          <cell r="G5121" t="str">
            <v>Other</v>
          </cell>
          <cell r="H5121" t="str">
            <v>ALTS</v>
          </cell>
          <cell r="I5121" t="str">
            <v>Alternative - Index</v>
          </cell>
        </row>
        <row r="5122">
          <cell r="A5122" t="str">
            <v>AI_RE2_US_S_FL_TAM_HLTH</v>
          </cell>
          <cell r="B5122" t="str">
            <v>US S FL Tampa Hlth RE</v>
          </cell>
          <cell r="C5122" t="str">
            <v>ALTERNATIVE:RE2_BRS_GOLD:RE2_SYS:AI_RE2_US_S_FL_TAM_HLTH</v>
          </cell>
          <cell r="D5122" t="str">
            <v>Index</v>
          </cell>
          <cell r="E5122" t="str">
            <v>Index Level</v>
          </cell>
          <cell r="F5122" t="str">
            <v>Alternative</v>
          </cell>
          <cell r="G5122" t="str">
            <v>Other</v>
          </cell>
          <cell r="H5122" t="str">
            <v>ALTS</v>
          </cell>
          <cell r="I5122" t="str">
            <v>Alternative - Index</v>
          </cell>
        </row>
        <row r="5123">
          <cell r="A5123" t="str">
            <v>AI_RE2_US_W_CA_LA_HLTH</v>
          </cell>
          <cell r="B5123" t="str">
            <v>US W CA LA Hlth RE</v>
          </cell>
          <cell r="C5123" t="str">
            <v>ALTERNATIVE:RE2_BRS_GOLD:RE2_SYS:AI_RE2_US_W_CA_LA_HLTH</v>
          </cell>
          <cell r="D5123" t="str">
            <v>Index</v>
          </cell>
          <cell r="E5123" t="str">
            <v>Index Level</v>
          </cell>
          <cell r="F5123" t="str">
            <v>Alternative</v>
          </cell>
          <cell r="G5123" t="str">
            <v>Other</v>
          </cell>
          <cell r="H5123" t="str">
            <v>ALTS</v>
          </cell>
          <cell r="I5123" t="str">
            <v>Alternative - Index</v>
          </cell>
        </row>
        <row r="5124">
          <cell r="A5124" t="str">
            <v>AI_RE2_US_W_OTH_HLTH</v>
          </cell>
          <cell r="B5124" t="str">
            <v>US W Other Hlth RE</v>
          </cell>
          <cell r="C5124" t="str">
            <v>ALTERNATIVE:RE2_BRS_GOLD:RE2_SYS:AI_RE2_US_W_OTH_HLTH</v>
          </cell>
          <cell r="D5124" t="str">
            <v>Index</v>
          </cell>
          <cell r="E5124" t="str">
            <v>Index Level</v>
          </cell>
          <cell r="F5124" t="str">
            <v>Alternative</v>
          </cell>
          <cell r="G5124" t="str">
            <v>Other</v>
          </cell>
          <cell r="H5124" t="str">
            <v>ALTS</v>
          </cell>
          <cell r="I5124" t="str">
            <v>Alternative - Index</v>
          </cell>
        </row>
        <row r="5125">
          <cell r="A5125" t="str">
            <v>AI_RE2_US_W_AZ_PHO_HLTH</v>
          </cell>
          <cell r="B5125" t="str">
            <v>US W AZ Phoenix Hlth RE</v>
          </cell>
          <cell r="C5125" t="str">
            <v>ALTERNATIVE:RE2_BRS_GOLD:RE2_SYS:AI_RE2_US_W_AZ_PHO_HLTH</v>
          </cell>
          <cell r="D5125" t="str">
            <v>Index</v>
          </cell>
          <cell r="E5125" t="str">
            <v>Index Level</v>
          </cell>
          <cell r="F5125" t="str">
            <v>Alternative</v>
          </cell>
          <cell r="G5125" t="str">
            <v>Other</v>
          </cell>
          <cell r="H5125" t="str">
            <v>ALTS</v>
          </cell>
          <cell r="I5125" t="str">
            <v>Alternative - Index</v>
          </cell>
        </row>
        <row r="5126">
          <cell r="A5126" t="str">
            <v>AI_RE2_US_W_CA_SD_HLTH</v>
          </cell>
          <cell r="B5126" t="str">
            <v>US W CA SD Hlth RE</v>
          </cell>
          <cell r="C5126" t="str">
            <v>ALTERNATIVE:RE2_BRS_GOLD:RE2_SYS:AI_RE2_US_W_CA_SD_HLTH</v>
          </cell>
          <cell r="D5126" t="str">
            <v>Index</v>
          </cell>
          <cell r="E5126" t="str">
            <v>Index Level</v>
          </cell>
          <cell r="F5126" t="str">
            <v>Alternative</v>
          </cell>
          <cell r="G5126" t="str">
            <v>Other</v>
          </cell>
          <cell r="H5126" t="str">
            <v>ALTS</v>
          </cell>
          <cell r="I5126" t="str">
            <v>Alternative - Index</v>
          </cell>
        </row>
        <row r="5127">
          <cell r="A5127" t="str">
            <v>AI_RE2_US_W_CA_SF_HLTH</v>
          </cell>
          <cell r="B5127" t="str">
            <v>US W CA SF Hlth RE</v>
          </cell>
          <cell r="C5127" t="str">
            <v>ALTERNATIVE:RE2_BRS_GOLD:RE2_SYS:AI_RE2_US_W_CA_SF_HLTH</v>
          </cell>
          <cell r="D5127" t="str">
            <v>Index</v>
          </cell>
          <cell r="E5127" t="str">
            <v>Index Level</v>
          </cell>
          <cell r="F5127" t="str">
            <v>Alternative</v>
          </cell>
          <cell r="G5127" t="str">
            <v>Other</v>
          </cell>
          <cell r="H5127" t="str">
            <v>ALTS</v>
          </cell>
          <cell r="I5127" t="str">
            <v>Alternative - Index</v>
          </cell>
        </row>
        <row r="5128">
          <cell r="A5128" t="str">
            <v>AI_RE2_US_W_WA_SEA_HLTH</v>
          </cell>
          <cell r="B5128" t="str">
            <v>US W WA Seattle Hlth RE</v>
          </cell>
          <cell r="C5128" t="str">
            <v>ALTERNATIVE:RE2_BRS_GOLD:RE2_SYS:AI_RE2_US_W_WA_SEA_HLTH</v>
          </cell>
          <cell r="D5128" t="str">
            <v>Index</v>
          </cell>
          <cell r="E5128" t="str">
            <v>Index Level</v>
          </cell>
          <cell r="F5128" t="str">
            <v>Alternative</v>
          </cell>
          <cell r="G5128" t="str">
            <v>Other</v>
          </cell>
          <cell r="H5128" t="str">
            <v>ALTS</v>
          </cell>
          <cell r="I5128" t="str">
            <v>Alternative - Index</v>
          </cell>
        </row>
        <row r="5129">
          <cell r="A5129" t="str">
            <v>AI_RE2_US_E_MA_BOS_LOD</v>
          </cell>
          <cell r="B5129" t="str">
            <v>US E MA Boston Lod RE</v>
          </cell>
          <cell r="C5129" t="str">
            <v>ALTERNATIVE:RE2_BRS_GOLD:RE2_SYS:AI_RE2_US_E_MA_BOS_LOD</v>
          </cell>
          <cell r="D5129" t="str">
            <v>Index</v>
          </cell>
          <cell r="E5129" t="str">
            <v>Index Level</v>
          </cell>
          <cell r="F5129" t="str">
            <v>Alternative</v>
          </cell>
          <cell r="G5129" t="str">
            <v>Other</v>
          </cell>
          <cell r="H5129" t="str">
            <v>ALTS</v>
          </cell>
          <cell r="I5129" t="str">
            <v>Alternative - Index</v>
          </cell>
        </row>
        <row r="5130">
          <cell r="A5130" t="str">
            <v>AI_RE2_US_E_NY_NY_LOD</v>
          </cell>
          <cell r="B5130" t="str">
            <v>US E NY New York Lod RE</v>
          </cell>
          <cell r="C5130" t="str">
            <v>ALTERNATIVE:RE2_BRS_GOLD:RE2_SYS:AI_RE2_US_E_NY_NY_LOD</v>
          </cell>
          <cell r="D5130" t="str">
            <v>Index</v>
          </cell>
          <cell r="E5130" t="str">
            <v>Index Level</v>
          </cell>
          <cell r="F5130" t="str">
            <v>Alternative</v>
          </cell>
          <cell r="G5130" t="str">
            <v>Other</v>
          </cell>
          <cell r="H5130" t="str">
            <v>ALTS</v>
          </cell>
          <cell r="I5130" t="str">
            <v>Alternative - Index</v>
          </cell>
        </row>
        <row r="5131">
          <cell r="A5131" t="str">
            <v>AI_RE2_US_E_OTH_LOD</v>
          </cell>
          <cell r="B5131" t="str">
            <v>US E Other Lod RE</v>
          </cell>
          <cell r="C5131" t="str">
            <v>ALTERNATIVE:RE2_BRS_GOLD:RE2_SYS:AI_RE2_US_E_OTH_LOD</v>
          </cell>
          <cell r="D5131" t="str">
            <v>Index</v>
          </cell>
          <cell r="E5131" t="str">
            <v>Index Level</v>
          </cell>
          <cell r="F5131" t="str">
            <v>Alternative</v>
          </cell>
          <cell r="G5131" t="str">
            <v>Other</v>
          </cell>
          <cell r="H5131" t="str">
            <v>ALTS</v>
          </cell>
          <cell r="I5131" t="str">
            <v>Alternative - Index</v>
          </cell>
        </row>
        <row r="5132">
          <cell r="A5132" t="str">
            <v>AI_RE2_US_E_PA_PHI_LOD</v>
          </cell>
          <cell r="B5132" t="str">
            <v>US E PA PHL Lod RE</v>
          </cell>
          <cell r="C5132" t="str">
            <v>ALTERNATIVE:RE2_BRS_GOLD:RE2_SYS:AI_RE2_US_E_PA_PHI_LOD</v>
          </cell>
          <cell r="D5132" t="str">
            <v>Index</v>
          </cell>
          <cell r="E5132" t="str">
            <v>Index Level</v>
          </cell>
          <cell r="F5132" t="str">
            <v>Alternative</v>
          </cell>
          <cell r="G5132" t="str">
            <v>Other</v>
          </cell>
          <cell r="H5132" t="str">
            <v>ALTS</v>
          </cell>
          <cell r="I5132" t="str">
            <v>Alternative - Index</v>
          </cell>
        </row>
        <row r="5133">
          <cell r="A5133" t="str">
            <v>AI_RE2_US_E_DC_WAS_LOD</v>
          </cell>
          <cell r="B5133" t="str">
            <v>US E DC Washington Lod RE</v>
          </cell>
          <cell r="C5133" t="str">
            <v>ALTERNATIVE:RE2_BRS_GOLD:RE2_SYS:AI_RE2_US_E_DC_WAS_LOD</v>
          </cell>
          <cell r="D5133" t="str">
            <v>Index</v>
          </cell>
          <cell r="E5133" t="str">
            <v>Index Level</v>
          </cell>
          <cell r="F5133" t="str">
            <v>Alternative</v>
          </cell>
          <cell r="G5133" t="str">
            <v>Other</v>
          </cell>
          <cell r="H5133" t="str">
            <v>ALTS</v>
          </cell>
          <cell r="I5133" t="str">
            <v>Alternative - Index</v>
          </cell>
        </row>
        <row r="5134">
          <cell r="A5134" t="str">
            <v>AI_RE2_US_M_IL_CHI_LOD</v>
          </cell>
          <cell r="B5134" t="str">
            <v>US MW IL Chicago Lod RE</v>
          </cell>
          <cell r="C5134" t="str">
            <v>ALTERNATIVE:RE2_BRS_GOLD:RE2_SYS:AI_RE2_US_M_IL_CHI_LOD</v>
          </cell>
          <cell r="D5134" t="str">
            <v>Index</v>
          </cell>
          <cell r="E5134" t="str">
            <v>Index Level</v>
          </cell>
          <cell r="F5134" t="str">
            <v>Alternative</v>
          </cell>
          <cell r="G5134" t="str">
            <v>Other</v>
          </cell>
          <cell r="H5134" t="str">
            <v>ALTS</v>
          </cell>
          <cell r="I5134" t="str">
            <v>Alternative - Index</v>
          </cell>
        </row>
        <row r="5135">
          <cell r="A5135" t="str">
            <v>AI_RE2_US_M_MN_MIN_LOD</v>
          </cell>
          <cell r="B5135" t="str">
            <v>US MW MN MPLS Lod RE</v>
          </cell>
          <cell r="C5135" t="str">
            <v>ALTERNATIVE:RE2_BRS_GOLD:RE2_SYS:AI_RE2_US_M_MN_MIN_LOD</v>
          </cell>
          <cell r="D5135" t="str">
            <v>Index</v>
          </cell>
          <cell r="E5135" t="str">
            <v>Index Level</v>
          </cell>
          <cell r="F5135" t="str">
            <v>Alternative</v>
          </cell>
          <cell r="G5135" t="str">
            <v>Other</v>
          </cell>
          <cell r="H5135" t="str">
            <v>ALTS</v>
          </cell>
          <cell r="I5135" t="str">
            <v>Alternative - Index</v>
          </cell>
        </row>
        <row r="5136">
          <cell r="A5136" t="str">
            <v>AI_RE2_US_M_OTH_LOD</v>
          </cell>
          <cell r="B5136" t="str">
            <v>US MW Other Lod RE</v>
          </cell>
          <cell r="C5136" t="str">
            <v>ALTERNATIVE:RE2_BRS_GOLD:RE2_SYS:AI_RE2_US_M_OTH_LOD</v>
          </cell>
          <cell r="D5136" t="str">
            <v>Index</v>
          </cell>
          <cell r="E5136" t="str">
            <v>Index Level</v>
          </cell>
          <cell r="F5136" t="str">
            <v>Alternative</v>
          </cell>
          <cell r="G5136" t="str">
            <v>Other</v>
          </cell>
          <cell r="H5136" t="str">
            <v>ALTS</v>
          </cell>
          <cell r="I5136" t="str">
            <v>Alternative - Index</v>
          </cell>
        </row>
        <row r="5137">
          <cell r="A5137" t="str">
            <v>AI_RE2_US_S_GA_ATL_LOD</v>
          </cell>
          <cell r="B5137" t="str">
            <v>US S GA Atlanta Lod RE</v>
          </cell>
          <cell r="C5137" t="str">
            <v>ALTERNATIVE:RE2_BRS_GOLD:RE2_SYS:AI_RE2_US_S_GA_ATL_LOD</v>
          </cell>
          <cell r="D5137" t="str">
            <v>Index</v>
          </cell>
          <cell r="E5137" t="str">
            <v>Index Level</v>
          </cell>
          <cell r="F5137" t="str">
            <v>Alternative</v>
          </cell>
          <cell r="G5137" t="str">
            <v>Other</v>
          </cell>
          <cell r="H5137" t="str">
            <v>ALTS</v>
          </cell>
          <cell r="I5137" t="str">
            <v>Alternative - Index</v>
          </cell>
        </row>
        <row r="5138">
          <cell r="A5138" t="str">
            <v>AI_RE2_US_S_TX_DAL_LOD</v>
          </cell>
          <cell r="B5138" t="str">
            <v>US S TX Dallas Lod RE</v>
          </cell>
          <cell r="C5138" t="str">
            <v>ALTERNATIVE:RE2_BRS_GOLD:RE2_SYS:AI_RE2_US_S_TX_DAL_LOD</v>
          </cell>
          <cell r="D5138" t="str">
            <v>Index</v>
          </cell>
          <cell r="E5138" t="str">
            <v>Index Level</v>
          </cell>
          <cell r="F5138" t="str">
            <v>Alternative</v>
          </cell>
          <cell r="G5138" t="str">
            <v>Other</v>
          </cell>
          <cell r="H5138" t="str">
            <v>ALTS</v>
          </cell>
          <cell r="I5138" t="str">
            <v>Alternative - Index</v>
          </cell>
        </row>
        <row r="5139">
          <cell r="A5139" t="str">
            <v>AI_RE2_US_S_TX_HOU_LOD</v>
          </cell>
          <cell r="B5139" t="str">
            <v>US S TX Houston Lod RE</v>
          </cell>
          <cell r="C5139" t="str">
            <v>ALTERNATIVE:RE2_BRS_GOLD:RE2_SYS:AI_RE2_US_S_TX_HOU_LOD</v>
          </cell>
          <cell r="D5139" t="str">
            <v>Index</v>
          </cell>
          <cell r="E5139" t="str">
            <v>Index Level</v>
          </cell>
          <cell r="F5139" t="str">
            <v>Alternative</v>
          </cell>
          <cell r="G5139" t="str">
            <v>Other</v>
          </cell>
          <cell r="H5139" t="str">
            <v>ALTS</v>
          </cell>
          <cell r="I5139" t="str">
            <v>Alternative - Index</v>
          </cell>
        </row>
        <row r="5140">
          <cell r="A5140" t="str">
            <v>AI_RE2_US_S_FL_MIA_LOD</v>
          </cell>
          <cell r="B5140" t="str">
            <v>US S FL Miami Lod RE</v>
          </cell>
          <cell r="C5140" t="str">
            <v>ALTERNATIVE:RE2_BRS_GOLD:RE2_SYS:AI_RE2_US_S_FL_MIA_LOD</v>
          </cell>
          <cell r="D5140" t="str">
            <v>Index</v>
          </cell>
          <cell r="E5140" t="str">
            <v>Index Level</v>
          </cell>
          <cell r="F5140" t="str">
            <v>Alternative</v>
          </cell>
          <cell r="G5140" t="str">
            <v>Other</v>
          </cell>
          <cell r="H5140" t="str">
            <v>ALTS</v>
          </cell>
          <cell r="I5140" t="str">
            <v>Alternative - Index</v>
          </cell>
        </row>
        <row r="5141">
          <cell r="A5141" t="str">
            <v>AI_RE2_US_S_OTH_LOD</v>
          </cell>
          <cell r="B5141" t="str">
            <v>US S Other Lod RE</v>
          </cell>
          <cell r="C5141" t="str">
            <v>ALTERNATIVE:RE2_BRS_GOLD:RE2_SYS:AI_RE2_US_S_OTH_LOD</v>
          </cell>
          <cell r="D5141" t="str">
            <v>Index</v>
          </cell>
          <cell r="E5141" t="str">
            <v>Index Level</v>
          </cell>
          <cell r="F5141" t="str">
            <v>Alternative</v>
          </cell>
          <cell r="G5141" t="str">
            <v>Other</v>
          </cell>
          <cell r="H5141" t="str">
            <v>ALTS</v>
          </cell>
          <cell r="I5141" t="str">
            <v>Alternative - Index</v>
          </cell>
        </row>
        <row r="5142">
          <cell r="A5142" t="str">
            <v>AI_RE2_US_S_FL_TAM_LOD</v>
          </cell>
          <cell r="B5142" t="str">
            <v>US S FL Tampa Lod RE</v>
          </cell>
          <cell r="C5142" t="str">
            <v>ALTERNATIVE:RE2_BRS_GOLD:RE2_SYS:AI_RE2_US_S_FL_TAM_LOD</v>
          </cell>
          <cell r="D5142" t="str">
            <v>Index</v>
          </cell>
          <cell r="E5142" t="str">
            <v>Index Level</v>
          </cell>
          <cell r="F5142" t="str">
            <v>Alternative</v>
          </cell>
          <cell r="G5142" t="str">
            <v>Other</v>
          </cell>
          <cell r="H5142" t="str">
            <v>ALTS</v>
          </cell>
          <cell r="I5142" t="str">
            <v>Alternative - Index</v>
          </cell>
        </row>
        <row r="5143">
          <cell r="A5143" t="str">
            <v>AI_RE2_US_W_CA_LA_LOD</v>
          </cell>
          <cell r="B5143" t="str">
            <v>US W CA LA Lod RE</v>
          </cell>
          <cell r="C5143" t="str">
            <v>ALTERNATIVE:RE2_BRS_GOLD:RE2_SYS:AI_RE2_US_W_CA_LA_LOD</v>
          </cell>
          <cell r="D5143" t="str">
            <v>Index</v>
          </cell>
          <cell r="E5143" t="str">
            <v>Index Level</v>
          </cell>
          <cell r="F5143" t="str">
            <v>Alternative</v>
          </cell>
          <cell r="G5143" t="str">
            <v>Other</v>
          </cell>
          <cell r="H5143" t="str">
            <v>ALTS</v>
          </cell>
          <cell r="I5143" t="str">
            <v>Alternative - Index</v>
          </cell>
        </row>
        <row r="5144">
          <cell r="A5144" t="str">
            <v>AI_RE2_US_W_OTH_LOD</v>
          </cell>
          <cell r="B5144" t="str">
            <v>US W Other Lod RE</v>
          </cell>
          <cell r="C5144" t="str">
            <v>ALTERNATIVE:RE2_BRS_GOLD:RE2_SYS:AI_RE2_US_W_OTH_LOD</v>
          </cell>
          <cell r="D5144" t="str">
            <v>Index</v>
          </cell>
          <cell r="E5144" t="str">
            <v>Index Level</v>
          </cell>
          <cell r="F5144" t="str">
            <v>Alternative</v>
          </cell>
          <cell r="G5144" t="str">
            <v>Other</v>
          </cell>
          <cell r="H5144" t="str">
            <v>ALTS</v>
          </cell>
          <cell r="I5144" t="str">
            <v>Alternative - Index</v>
          </cell>
        </row>
        <row r="5145">
          <cell r="A5145" t="str">
            <v>AI_RE2_US_W_AZ_PHO_LOD</v>
          </cell>
          <cell r="B5145" t="str">
            <v>US W AZ Phoenix Lod RE</v>
          </cell>
          <cell r="C5145" t="str">
            <v>ALTERNATIVE:RE2_BRS_GOLD:RE2_SYS:AI_RE2_US_W_AZ_PHO_LOD</v>
          </cell>
          <cell r="D5145" t="str">
            <v>Index</v>
          </cell>
          <cell r="E5145" t="str">
            <v>Index Level</v>
          </cell>
          <cell r="F5145" t="str">
            <v>Alternative</v>
          </cell>
          <cell r="G5145" t="str">
            <v>Other</v>
          </cell>
          <cell r="H5145" t="str">
            <v>ALTS</v>
          </cell>
          <cell r="I5145" t="str">
            <v>Alternative - Index</v>
          </cell>
        </row>
        <row r="5146">
          <cell r="A5146" t="str">
            <v>AI_RE2_US_W_CA_SD_LOD</v>
          </cell>
          <cell r="B5146" t="str">
            <v>US W CA SD Lod RE</v>
          </cell>
          <cell r="C5146" t="str">
            <v>ALTERNATIVE:RE2_BRS_GOLD:RE2_SYS:AI_RE2_US_W_CA_SD_LOD</v>
          </cell>
          <cell r="D5146" t="str">
            <v>Index</v>
          </cell>
          <cell r="E5146" t="str">
            <v>Index Level</v>
          </cell>
          <cell r="F5146" t="str">
            <v>Alternative</v>
          </cell>
          <cell r="G5146" t="str">
            <v>Other</v>
          </cell>
          <cell r="H5146" t="str">
            <v>ALTS</v>
          </cell>
          <cell r="I5146" t="str">
            <v>Alternative - Index</v>
          </cell>
        </row>
        <row r="5147">
          <cell r="A5147" t="str">
            <v>AI_RE2_US_W_CA_SF_LOD</v>
          </cell>
          <cell r="B5147" t="str">
            <v>US W CA SF Lod RE</v>
          </cell>
          <cell r="C5147" t="str">
            <v>ALTERNATIVE:RE2_BRS_GOLD:RE2_SYS:AI_RE2_US_W_CA_SF_LOD</v>
          </cell>
          <cell r="D5147" t="str">
            <v>Index</v>
          </cell>
          <cell r="E5147" t="str">
            <v>Index Level</v>
          </cell>
          <cell r="F5147" t="str">
            <v>Alternative</v>
          </cell>
          <cell r="G5147" t="str">
            <v>Other</v>
          </cell>
          <cell r="H5147" t="str">
            <v>ALTS</v>
          </cell>
          <cell r="I5147" t="str">
            <v>Alternative - Index</v>
          </cell>
        </row>
        <row r="5148">
          <cell r="A5148" t="str">
            <v>AI_RE2_US_W_WA_SEA_LOD</v>
          </cell>
          <cell r="B5148" t="str">
            <v>US W WA Seattle Lod RE</v>
          </cell>
          <cell r="C5148" t="str">
            <v>ALTERNATIVE:RE2_BRS_GOLD:RE2_SYS:AI_RE2_US_W_WA_SEA_LOD</v>
          </cell>
          <cell r="D5148" t="str">
            <v>Index</v>
          </cell>
          <cell r="E5148" t="str">
            <v>Index Level</v>
          </cell>
          <cell r="F5148" t="str">
            <v>Alternative</v>
          </cell>
          <cell r="G5148" t="str">
            <v>Other</v>
          </cell>
          <cell r="H5148" t="str">
            <v>ALTS</v>
          </cell>
          <cell r="I5148" t="str">
            <v>Alternative - Index</v>
          </cell>
        </row>
        <row r="5149">
          <cell r="A5149" t="str">
            <v>AI_RE2_US_E_MA_BOS_IND</v>
          </cell>
          <cell r="B5149" t="str">
            <v>US E MA Boston Ind RE</v>
          </cell>
          <cell r="C5149" t="str">
            <v>ALTERNATIVE:RE2_BRS_GOLD:RE2_SYS:AI_RE2_US_E_MA_BOS_IND</v>
          </cell>
          <cell r="D5149" t="str">
            <v>Index</v>
          </cell>
          <cell r="E5149" t="str">
            <v>Index Level</v>
          </cell>
          <cell r="F5149" t="str">
            <v>Alternative</v>
          </cell>
          <cell r="G5149" t="str">
            <v>Other</v>
          </cell>
          <cell r="H5149" t="str">
            <v>ALTS</v>
          </cell>
          <cell r="I5149" t="str">
            <v>Alternative - Index</v>
          </cell>
        </row>
        <row r="5150">
          <cell r="A5150" t="str">
            <v>AI_RE2_US_E_NY_NY_IND</v>
          </cell>
          <cell r="B5150" t="str">
            <v>US E NY New York Ind RE</v>
          </cell>
          <cell r="C5150" t="str">
            <v>ALTERNATIVE:RE2_BRS_GOLD:RE2_SYS:AI_RE2_US_E_NY_NY_IND</v>
          </cell>
          <cell r="D5150" t="str">
            <v>Index</v>
          </cell>
          <cell r="E5150" t="str">
            <v>Index Level</v>
          </cell>
          <cell r="F5150" t="str">
            <v>Alternative</v>
          </cell>
          <cell r="G5150" t="str">
            <v>Other</v>
          </cell>
          <cell r="H5150" t="str">
            <v>ALTS</v>
          </cell>
          <cell r="I5150" t="str">
            <v>Alternative - Index</v>
          </cell>
        </row>
        <row r="5151">
          <cell r="A5151" t="str">
            <v>AI_RE2_US_E_OTH_IND</v>
          </cell>
          <cell r="B5151" t="str">
            <v>US E Other Ind RE</v>
          </cell>
          <cell r="C5151" t="str">
            <v>ALTERNATIVE:RE2_BRS_GOLD:RE2_SYS:AI_RE2_US_E_OTH_IND</v>
          </cell>
          <cell r="D5151" t="str">
            <v>Index</v>
          </cell>
          <cell r="E5151" t="str">
            <v>Index Level</v>
          </cell>
          <cell r="F5151" t="str">
            <v>Alternative</v>
          </cell>
          <cell r="G5151" t="str">
            <v>Other</v>
          </cell>
          <cell r="H5151" t="str">
            <v>ALTS</v>
          </cell>
          <cell r="I5151" t="str">
            <v>Alternative - Index</v>
          </cell>
        </row>
        <row r="5152">
          <cell r="A5152" t="str">
            <v>AI_RE2_US_E_PA_PHI_IND</v>
          </cell>
          <cell r="B5152" t="str">
            <v>US E PA PHL Ind RE</v>
          </cell>
          <cell r="C5152" t="str">
            <v>ALTERNATIVE:RE2_BRS_GOLD:RE2_SYS:AI_RE2_US_E_PA_PHI_IND</v>
          </cell>
          <cell r="D5152" t="str">
            <v>Index</v>
          </cell>
          <cell r="E5152" t="str">
            <v>Index Level</v>
          </cell>
          <cell r="F5152" t="str">
            <v>Alternative</v>
          </cell>
          <cell r="G5152" t="str">
            <v>Other</v>
          </cell>
          <cell r="H5152" t="str">
            <v>ALTS</v>
          </cell>
          <cell r="I5152" t="str">
            <v>Alternative - Index</v>
          </cell>
        </row>
        <row r="5153">
          <cell r="A5153" t="str">
            <v>AI_RE2_US_E_DC_WAS_IND</v>
          </cell>
          <cell r="B5153" t="str">
            <v>US E DC Washington Ind RE</v>
          </cell>
          <cell r="C5153" t="str">
            <v>ALTERNATIVE:RE2_BRS_GOLD:RE2_SYS:AI_RE2_US_E_DC_WAS_IND</v>
          </cell>
          <cell r="D5153" t="str">
            <v>Index</v>
          </cell>
          <cell r="E5153" t="str">
            <v>Index Level</v>
          </cell>
          <cell r="F5153" t="str">
            <v>Alternative</v>
          </cell>
          <cell r="G5153" t="str">
            <v>Other</v>
          </cell>
          <cell r="H5153" t="str">
            <v>ALTS</v>
          </cell>
          <cell r="I5153" t="str">
            <v>Alternative - Index</v>
          </cell>
        </row>
        <row r="5154">
          <cell r="A5154" t="str">
            <v>AI_RE2_US_M_IL_CHI_IND</v>
          </cell>
          <cell r="B5154" t="str">
            <v>US MW IL Chicago Ind RE</v>
          </cell>
          <cell r="C5154" t="str">
            <v>ALTERNATIVE:RE2_BRS_GOLD:RE2_SYS:AI_RE2_US_M_IL_CHI_IND</v>
          </cell>
          <cell r="D5154" t="str">
            <v>Index</v>
          </cell>
          <cell r="E5154" t="str">
            <v>Index Level</v>
          </cell>
          <cell r="F5154" t="str">
            <v>Alternative</v>
          </cell>
          <cell r="G5154" t="str">
            <v>Other</v>
          </cell>
          <cell r="H5154" t="str">
            <v>ALTS</v>
          </cell>
          <cell r="I5154" t="str">
            <v>Alternative - Index</v>
          </cell>
        </row>
        <row r="5155">
          <cell r="A5155" t="str">
            <v>AI_RE2_US_M_MI_DET_IND</v>
          </cell>
          <cell r="B5155" t="str">
            <v>US MW MI Detroit Ind RE</v>
          </cell>
          <cell r="C5155" t="str">
            <v>ALTERNATIVE:RE2_BRS_GOLD:RE2_SYS:AI_RE2_US_M_MI_DET_IND</v>
          </cell>
          <cell r="D5155" t="str">
            <v>Index</v>
          </cell>
          <cell r="E5155" t="str">
            <v>Index Level</v>
          </cell>
          <cell r="F5155" t="str">
            <v>Alternative</v>
          </cell>
          <cell r="G5155" t="str">
            <v>Other</v>
          </cell>
          <cell r="H5155" t="str">
            <v>ALTS</v>
          </cell>
          <cell r="I5155" t="str">
            <v>Alternative - Index</v>
          </cell>
        </row>
        <row r="5156">
          <cell r="A5156" t="str">
            <v>AI_RE2_US_M_MN_MIN_IND</v>
          </cell>
          <cell r="B5156" t="str">
            <v>US MW MN MPLS Ind RE</v>
          </cell>
          <cell r="C5156" t="str">
            <v>ALTERNATIVE:RE2_BRS_GOLD:RE2_SYS:AI_RE2_US_M_MN_MIN_IND</v>
          </cell>
          <cell r="D5156" t="str">
            <v>Index</v>
          </cell>
          <cell r="E5156" t="str">
            <v>Index Level</v>
          </cell>
          <cell r="F5156" t="str">
            <v>Alternative</v>
          </cell>
          <cell r="G5156" t="str">
            <v>Other</v>
          </cell>
          <cell r="H5156" t="str">
            <v>ALTS</v>
          </cell>
          <cell r="I5156" t="str">
            <v>Alternative - Index</v>
          </cell>
        </row>
        <row r="5157">
          <cell r="A5157" t="str">
            <v>AI_RE2_US_M_OTH_IND</v>
          </cell>
          <cell r="B5157" t="str">
            <v>US MW Other Ind RE</v>
          </cell>
          <cell r="C5157" t="str">
            <v>ALTERNATIVE:RE2_BRS_GOLD:RE2_SYS:AI_RE2_US_M_OTH_IND</v>
          </cell>
          <cell r="D5157" t="str">
            <v>Index</v>
          </cell>
          <cell r="E5157" t="str">
            <v>Index Level</v>
          </cell>
          <cell r="F5157" t="str">
            <v>Alternative</v>
          </cell>
          <cell r="G5157" t="str">
            <v>Other</v>
          </cell>
          <cell r="H5157" t="str">
            <v>ALTS</v>
          </cell>
          <cell r="I5157" t="str">
            <v>Alternative - Index</v>
          </cell>
        </row>
        <row r="5158">
          <cell r="A5158" t="str">
            <v>AI_RE2_US_M_MO_STL_IND</v>
          </cell>
          <cell r="B5158" t="str">
            <v>US MW MO St.Louis Ind RE</v>
          </cell>
          <cell r="C5158" t="str">
            <v>ALTERNATIVE:RE2_BRS_GOLD:RE2_SYS:AI_RE2_US_M_MO_STL_IND</v>
          </cell>
          <cell r="D5158" t="str">
            <v>Index</v>
          </cell>
          <cell r="E5158" t="str">
            <v>Index Level</v>
          </cell>
          <cell r="F5158" t="str">
            <v>Alternative</v>
          </cell>
          <cell r="G5158" t="str">
            <v>Other</v>
          </cell>
          <cell r="H5158" t="str">
            <v>ALTS</v>
          </cell>
          <cell r="I5158" t="str">
            <v>Alternative - Index</v>
          </cell>
        </row>
        <row r="5159">
          <cell r="A5159" t="str">
            <v>AI_RE2_US_S_GA_ATL_IND</v>
          </cell>
          <cell r="B5159" t="str">
            <v>US S GA Atlanta Ind RE</v>
          </cell>
          <cell r="C5159" t="str">
            <v>ALTERNATIVE:RE2_BRS_GOLD:RE2_SYS:AI_RE2_US_S_GA_ATL_IND</v>
          </cell>
          <cell r="D5159" t="str">
            <v>Index</v>
          </cell>
          <cell r="E5159" t="str">
            <v>Index Level</v>
          </cell>
          <cell r="F5159" t="str">
            <v>Alternative</v>
          </cell>
          <cell r="G5159" t="str">
            <v>Other</v>
          </cell>
          <cell r="H5159" t="str">
            <v>ALTS</v>
          </cell>
          <cell r="I5159" t="str">
            <v>Alternative - Index</v>
          </cell>
        </row>
        <row r="5160">
          <cell r="A5160" t="str">
            <v>AI_RE2_US_S_TX_DAL_IND</v>
          </cell>
          <cell r="B5160" t="str">
            <v>US S TX Dallas Ind RE</v>
          </cell>
          <cell r="C5160" t="str">
            <v>ALTERNATIVE:RE2_BRS_GOLD:RE2_SYS:AI_RE2_US_S_TX_DAL_IND</v>
          </cell>
          <cell r="D5160" t="str">
            <v>Index</v>
          </cell>
          <cell r="E5160" t="str">
            <v>Index Level</v>
          </cell>
          <cell r="F5160" t="str">
            <v>Alternative</v>
          </cell>
          <cell r="G5160" t="str">
            <v>Other</v>
          </cell>
          <cell r="H5160" t="str">
            <v>ALTS</v>
          </cell>
          <cell r="I5160" t="str">
            <v>Alternative - Index</v>
          </cell>
        </row>
        <row r="5161">
          <cell r="A5161" t="str">
            <v>AI_RE2_US_S_TX_HOU_IND</v>
          </cell>
          <cell r="B5161" t="str">
            <v>US S TX Houston Ind RE</v>
          </cell>
          <cell r="C5161" t="str">
            <v>ALTERNATIVE:RE2_BRS_GOLD:RE2_SYS:AI_RE2_US_S_TX_HOU_IND</v>
          </cell>
          <cell r="D5161" t="str">
            <v>Index</v>
          </cell>
          <cell r="E5161" t="str">
            <v>Index Level</v>
          </cell>
          <cell r="F5161" t="str">
            <v>Alternative</v>
          </cell>
          <cell r="G5161" t="str">
            <v>Other</v>
          </cell>
          <cell r="H5161" t="str">
            <v>ALTS</v>
          </cell>
          <cell r="I5161" t="str">
            <v>Alternative - Index</v>
          </cell>
        </row>
        <row r="5162">
          <cell r="A5162" t="str">
            <v>AI_RE2_US_S_FL_MIA_IND</v>
          </cell>
          <cell r="B5162" t="str">
            <v>US S FL Miami Ind RE</v>
          </cell>
          <cell r="C5162" t="str">
            <v>ALTERNATIVE:RE2_BRS_GOLD:RE2_SYS:AI_RE2_US_S_FL_MIA_IND</v>
          </cell>
          <cell r="D5162" t="str">
            <v>Index</v>
          </cell>
          <cell r="E5162" t="str">
            <v>Index Level</v>
          </cell>
          <cell r="F5162" t="str">
            <v>Alternative</v>
          </cell>
          <cell r="G5162" t="str">
            <v>Other</v>
          </cell>
          <cell r="H5162" t="str">
            <v>ALTS</v>
          </cell>
          <cell r="I5162" t="str">
            <v>Alternative - Index</v>
          </cell>
        </row>
        <row r="5163">
          <cell r="A5163" t="str">
            <v>AI_RE2_US_S_OTH_IND</v>
          </cell>
          <cell r="B5163" t="str">
            <v>US S Other Ind RE</v>
          </cell>
          <cell r="C5163" t="str">
            <v>ALTERNATIVE:RE2_BRS_GOLD:RE2_SYS:AI_RE2_US_S_OTH_IND</v>
          </cell>
          <cell r="D5163" t="str">
            <v>Index</v>
          </cell>
          <cell r="E5163" t="str">
            <v>Index Level</v>
          </cell>
          <cell r="F5163" t="str">
            <v>Alternative</v>
          </cell>
          <cell r="G5163" t="str">
            <v>Other</v>
          </cell>
          <cell r="H5163" t="str">
            <v>ALTS</v>
          </cell>
          <cell r="I5163" t="str">
            <v>Alternative - Index</v>
          </cell>
        </row>
        <row r="5164">
          <cell r="A5164" t="str">
            <v>AI_RE2_US_S_FL_TAM_IND</v>
          </cell>
          <cell r="B5164" t="str">
            <v>US S FL Tampa Ind RE</v>
          </cell>
          <cell r="C5164" t="str">
            <v>ALTERNATIVE:RE2_BRS_GOLD:RE2_SYS:AI_RE2_US_S_FL_TAM_IND</v>
          </cell>
          <cell r="D5164" t="str">
            <v>Index</v>
          </cell>
          <cell r="E5164" t="str">
            <v>Index Level</v>
          </cell>
          <cell r="F5164" t="str">
            <v>Alternative</v>
          </cell>
          <cell r="G5164" t="str">
            <v>Other</v>
          </cell>
          <cell r="H5164" t="str">
            <v>ALTS</v>
          </cell>
          <cell r="I5164" t="str">
            <v>Alternative - Index</v>
          </cell>
        </row>
        <row r="5165">
          <cell r="A5165" t="str">
            <v>AI_RE2_US_W_CA_LA_IND</v>
          </cell>
          <cell r="B5165" t="str">
            <v>US W CA LA Ind RE</v>
          </cell>
          <cell r="C5165" t="str">
            <v>ALTERNATIVE:RE2_BRS_GOLD:RE2_SYS:AI_RE2_US_W_CA_LA_IND</v>
          </cell>
          <cell r="D5165" t="str">
            <v>Index</v>
          </cell>
          <cell r="E5165" t="str">
            <v>Index Level</v>
          </cell>
          <cell r="F5165" t="str">
            <v>Alternative</v>
          </cell>
          <cell r="G5165" t="str">
            <v>Other</v>
          </cell>
          <cell r="H5165" t="str">
            <v>ALTS</v>
          </cell>
          <cell r="I5165" t="str">
            <v>Alternative - Index</v>
          </cell>
        </row>
        <row r="5166">
          <cell r="A5166" t="str">
            <v>AI_RE2_US_W_OTH_IND</v>
          </cell>
          <cell r="B5166" t="str">
            <v>US W Other Ind RE</v>
          </cell>
          <cell r="C5166" t="str">
            <v>ALTERNATIVE:RE2_BRS_GOLD:RE2_SYS:AI_RE2_US_W_OTH_IND</v>
          </cell>
          <cell r="D5166" t="str">
            <v>Index</v>
          </cell>
          <cell r="E5166" t="str">
            <v>Index Level</v>
          </cell>
          <cell r="F5166" t="str">
            <v>Alternative</v>
          </cell>
          <cell r="G5166" t="str">
            <v>Other</v>
          </cell>
          <cell r="H5166" t="str">
            <v>ALTS</v>
          </cell>
          <cell r="I5166" t="str">
            <v>Alternative - Index</v>
          </cell>
        </row>
        <row r="5167">
          <cell r="A5167" t="str">
            <v>AI_RE2_US_W_AZ_PHO_IND</v>
          </cell>
          <cell r="B5167" t="str">
            <v>US W AZ Phoenix Ind RE</v>
          </cell>
          <cell r="C5167" t="str">
            <v>ALTERNATIVE:RE2_BRS_GOLD:RE2_SYS:AI_RE2_US_W_AZ_PHO_IND</v>
          </cell>
          <cell r="D5167" t="str">
            <v>Index</v>
          </cell>
          <cell r="E5167" t="str">
            <v>Index Level</v>
          </cell>
          <cell r="F5167" t="str">
            <v>Alternative</v>
          </cell>
          <cell r="G5167" t="str">
            <v>Other</v>
          </cell>
          <cell r="H5167" t="str">
            <v>ALTS</v>
          </cell>
          <cell r="I5167" t="str">
            <v>Alternative - Index</v>
          </cell>
        </row>
        <row r="5168">
          <cell r="A5168" t="str">
            <v>AI_RE2_US_W_CA_SD_IND</v>
          </cell>
          <cell r="B5168" t="str">
            <v>US W CA SD Ind RE</v>
          </cell>
          <cell r="C5168" t="str">
            <v>ALTERNATIVE:RE2_BRS_GOLD:RE2_SYS:AI_RE2_US_W_CA_SD_IND</v>
          </cell>
          <cell r="D5168" t="str">
            <v>Index</v>
          </cell>
          <cell r="E5168" t="str">
            <v>Index Level</v>
          </cell>
          <cell r="F5168" t="str">
            <v>Alternative</v>
          </cell>
          <cell r="G5168" t="str">
            <v>Other</v>
          </cell>
          <cell r="H5168" t="str">
            <v>ALTS</v>
          </cell>
          <cell r="I5168" t="str">
            <v>Alternative - Index</v>
          </cell>
        </row>
        <row r="5169">
          <cell r="A5169" t="str">
            <v>AI_RE2_US_W_CA_SF_IND</v>
          </cell>
          <cell r="B5169" t="str">
            <v>US W CA SF Ind RE</v>
          </cell>
          <cell r="C5169" t="str">
            <v>ALTERNATIVE:RE2_BRS_GOLD:RE2_SYS:AI_RE2_US_W_CA_SF_IND</v>
          </cell>
          <cell r="D5169" t="str">
            <v>Index</v>
          </cell>
          <cell r="E5169" t="str">
            <v>Index Level</v>
          </cell>
          <cell r="F5169" t="str">
            <v>Alternative</v>
          </cell>
          <cell r="G5169" t="str">
            <v>Other</v>
          </cell>
          <cell r="H5169" t="str">
            <v>ALTS</v>
          </cell>
          <cell r="I5169" t="str">
            <v>Alternative - Index</v>
          </cell>
        </row>
        <row r="5170">
          <cell r="A5170" t="str">
            <v>AI_RE2_US_W_WA_SEA_IND</v>
          </cell>
          <cell r="B5170" t="str">
            <v>US W WA Seattle Ind RE</v>
          </cell>
          <cell r="C5170" t="str">
            <v>ALTERNATIVE:RE2_BRS_GOLD:RE2_SYS:AI_RE2_US_W_WA_SEA_IND</v>
          </cell>
          <cell r="D5170" t="str">
            <v>Index</v>
          </cell>
          <cell r="E5170" t="str">
            <v>Index Level</v>
          </cell>
          <cell r="F5170" t="str">
            <v>Alternative</v>
          </cell>
          <cell r="G5170" t="str">
            <v>Other</v>
          </cell>
          <cell r="H5170" t="str">
            <v>ALTS</v>
          </cell>
          <cell r="I5170" t="str">
            <v>Alternative - Index</v>
          </cell>
        </row>
        <row r="5171">
          <cell r="A5171" t="str">
            <v>AI_RE2_US_E_MA_BOS_OFF</v>
          </cell>
          <cell r="B5171" t="str">
            <v>US E MA Boston Off RE</v>
          </cell>
          <cell r="C5171" t="str">
            <v>ALTERNATIVE:RE2_BRS_GOLD:RE2_SYS:AI_RE2_US_E_MA_BOS_OFF</v>
          </cell>
          <cell r="D5171" t="str">
            <v>Index</v>
          </cell>
          <cell r="E5171" t="str">
            <v>Index Level</v>
          </cell>
          <cell r="F5171" t="str">
            <v>Alternative</v>
          </cell>
          <cell r="G5171" t="str">
            <v>Other</v>
          </cell>
          <cell r="H5171" t="str">
            <v>ALTS</v>
          </cell>
          <cell r="I5171" t="str">
            <v>Alternative - Index</v>
          </cell>
        </row>
        <row r="5172">
          <cell r="A5172" t="str">
            <v>AI_RE2_US_E_NY_NY_OFF</v>
          </cell>
          <cell r="B5172" t="str">
            <v>US E NY New York Off RE</v>
          </cell>
          <cell r="C5172" t="str">
            <v>ALTERNATIVE:RE2_BRS_GOLD:RE2_SYS:AI_RE2_US_E_NY_NY_OFF</v>
          </cell>
          <cell r="D5172" t="str">
            <v>Index</v>
          </cell>
          <cell r="E5172" t="str">
            <v>Index Level</v>
          </cell>
          <cell r="F5172" t="str">
            <v>Alternative</v>
          </cell>
          <cell r="G5172" t="str">
            <v>Other</v>
          </cell>
          <cell r="H5172" t="str">
            <v>ALTS</v>
          </cell>
          <cell r="I5172" t="str">
            <v>Alternative - Index</v>
          </cell>
        </row>
        <row r="5173">
          <cell r="A5173" t="str">
            <v>AI_RE2_US_E_OTH_OFF</v>
          </cell>
          <cell r="B5173" t="str">
            <v>US E Other Off RE</v>
          </cell>
          <cell r="C5173" t="str">
            <v>ALTERNATIVE:RE2_BRS_GOLD:RE2_SYS:AI_RE2_US_E_OTH_OFF</v>
          </cell>
          <cell r="D5173" t="str">
            <v>Index</v>
          </cell>
          <cell r="E5173" t="str">
            <v>Index Level</v>
          </cell>
          <cell r="F5173" t="str">
            <v>Alternative</v>
          </cell>
          <cell r="G5173" t="str">
            <v>Other</v>
          </cell>
          <cell r="H5173" t="str">
            <v>ALTS</v>
          </cell>
          <cell r="I5173" t="str">
            <v>Alternative - Index</v>
          </cell>
        </row>
        <row r="5174">
          <cell r="A5174" t="str">
            <v>AI_RE2_US_E_PA_PHI_OFF</v>
          </cell>
          <cell r="B5174" t="str">
            <v>US E PA PHL Off RE</v>
          </cell>
          <cell r="C5174" t="str">
            <v>ALTERNATIVE:RE2_BRS_GOLD:RE2_SYS:AI_RE2_US_E_PA_PHI_OFF</v>
          </cell>
          <cell r="D5174" t="str">
            <v>Index</v>
          </cell>
          <cell r="E5174" t="str">
            <v>Index Level</v>
          </cell>
          <cell r="F5174" t="str">
            <v>Alternative</v>
          </cell>
          <cell r="G5174" t="str">
            <v>Other</v>
          </cell>
          <cell r="H5174" t="str">
            <v>ALTS</v>
          </cell>
          <cell r="I5174" t="str">
            <v>Alternative - Index</v>
          </cell>
        </row>
        <row r="5175">
          <cell r="A5175" t="str">
            <v>AI_RE2_US_E_DC_WAS_OFF</v>
          </cell>
          <cell r="B5175" t="str">
            <v>US E DC Washington Off RE</v>
          </cell>
          <cell r="C5175" t="str">
            <v>ALTERNATIVE:RE2_BRS_GOLD:RE2_SYS:AI_RE2_US_E_DC_WAS_OFF</v>
          </cell>
          <cell r="D5175" t="str">
            <v>Index</v>
          </cell>
          <cell r="E5175" t="str">
            <v>Index Level</v>
          </cell>
          <cell r="F5175" t="str">
            <v>Alternative</v>
          </cell>
          <cell r="G5175" t="str">
            <v>Other</v>
          </cell>
          <cell r="H5175" t="str">
            <v>ALTS</v>
          </cell>
          <cell r="I5175" t="str">
            <v>Alternative - Index</v>
          </cell>
        </row>
        <row r="5176">
          <cell r="A5176" t="str">
            <v>AI_RE2_US_M_IL_CHI_OFF</v>
          </cell>
          <cell r="B5176" t="str">
            <v>US MW IL Chicago Off RE</v>
          </cell>
          <cell r="C5176" t="str">
            <v>ALTERNATIVE:RE2_BRS_GOLD:RE2_SYS:AI_RE2_US_M_IL_CHI_OFF</v>
          </cell>
          <cell r="D5176" t="str">
            <v>Index</v>
          </cell>
          <cell r="E5176" t="str">
            <v>Index Level</v>
          </cell>
          <cell r="F5176" t="str">
            <v>Alternative</v>
          </cell>
          <cell r="G5176" t="str">
            <v>Other</v>
          </cell>
          <cell r="H5176" t="str">
            <v>ALTS</v>
          </cell>
          <cell r="I5176" t="str">
            <v>Alternative - Index</v>
          </cell>
        </row>
        <row r="5177">
          <cell r="A5177" t="str">
            <v>AI_RE2_US_M_MI_DET_OFF</v>
          </cell>
          <cell r="B5177" t="str">
            <v>US MW MI Detroit Off RE</v>
          </cell>
          <cell r="C5177" t="str">
            <v>ALTERNATIVE:RE2_BRS_GOLD:RE2_SYS:AI_RE2_US_M_MI_DET_OFF</v>
          </cell>
          <cell r="D5177" t="str">
            <v>Index</v>
          </cell>
          <cell r="E5177" t="str">
            <v>Index Level</v>
          </cell>
          <cell r="F5177" t="str">
            <v>Alternative</v>
          </cell>
          <cell r="G5177" t="str">
            <v>Other</v>
          </cell>
          <cell r="H5177" t="str">
            <v>ALTS</v>
          </cell>
          <cell r="I5177" t="str">
            <v>Alternative - Index</v>
          </cell>
        </row>
        <row r="5178">
          <cell r="A5178" t="str">
            <v>AI_RE2_US_M_MN_MIN_OFF</v>
          </cell>
          <cell r="B5178" t="str">
            <v>US MW MN MPLS Off RE</v>
          </cell>
          <cell r="C5178" t="str">
            <v>ALTERNATIVE:RE2_BRS_GOLD:RE2_SYS:AI_RE2_US_M_MN_MIN_OFF</v>
          </cell>
          <cell r="D5178" t="str">
            <v>Index</v>
          </cell>
          <cell r="E5178" t="str">
            <v>Index Level</v>
          </cell>
          <cell r="F5178" t="str">
            <v>Alternative</v>
          </cell>
          <cell r="G5178" t="str">
            <v>Other</v>
          </cell>
          <cell r="H5178" t="str">
            <v>ALTS</v>
          </cell>
          <cell r="I5178" t="str">
            <v>Alternative - Index</v>
          </cell>
        </row>
        <row r="5179">
          <cell r="A5179" t="str">
            <v>AI_RE2_US_M_OTH_OFF</v>
          </cell>
          <cell r="B5179" t="str">
            <v>US MW Other Off RE</v>
          </cell>
          <cell r="C5179" t="str">
            <v>ALTERNATIVE:RE2_BRS_GOLD:RE2_SYS:AI_RE2_US_M_OTH_OFF</v>
          </cell>
          <cell r="D5179" t="str">
            <v>Index</v>
          </cell>
          <cell r="E5179" t="str">
            <v>Index Level</v>
          </cell>
          <cell r="F5179" t="str">
            <v>Alternative</v>
          </cell>
          <cell r="G5179" t="str">
            <v>Other</v>
          </cell>
          <cell r="H5179" t="str">
            <v>ALTS</v>
          </cell>
          <cell r="I5179" t="str">
            <v>Alternative - Index</v>
          </cell>
        </row>
        <row r="5180">
          <cell r="A5180" t="str">
            <v>AI_RE2_US_M_MO_STL_OFF</v>
          </cell>
          <cell r="B5180" t="str">
            <v>US MW MO St.Louis Off RE</v>
          </cell>
          <cell r="C5180" t="str">
            <v>ALTERNATIVE:RE2_BRS_GOLD:RE2_SYS:AI_RE2_US_M_MO_STL_OFF</v>
          </cell>
          <cell r="D5180" t="str">
            <v>Index</v>
          </cell>
          <cell r="E5180" t="str">
            <v>Index Level</v>
          </cell>
          <cell r="F5180" t="str">
            <v>Alternative</v>
          </cell>
          <cell r="G5180" t="str">
            <v>Other</v>
          </cell>
          <cell r="H5180" t="str">
            <v>ALTS</v>
          </cell>
          <cell r="I5180" t="str">
            <v>Alternative - Index</v>
          </cell>
        </row>
        <row r="5181">
          <cell r="A5181" t="str">
            <v>AI_RE2_US_S_GA_ATL_OFF</v>
          </cell>
          <cell r="B5181" t="str">
            <v>US S GA Atlanta Off RE</v>
          </cell>
          <cell r="C5181" t="str">
            <v>ALTERNATIVE:RE2_BRS_GOLD:RE2_SYS:AI_RE2_US_S_GA_ATL_OFF</v>
          </cell>
          <cell r="D5181" t="str">
            <v>Index</v>
          </cell>
          <cell r="E5181" t="str">
            <v>Index Level</v>
          </cell>
          <cell r="F5181" t="str">
            <v>Alternative</v>
          </cell>
          <cell r="G5181" t="str">
            <v>Other</v>
          </cell>
          <cell r="H5181" t="str">
            <v>ALTS</v>
          </cell>
          <cell r="I5181" t="str">
            <v>Alternative - Index</v>
          </cell>
        </row>
        <row r="5182">
          <cell r="A5182" t="str">
            <v>AI_RE2_US_S_TX_DAL_OFF</v>
          </cell>
          <cell r="B5182" t="str">
            <v>US S TX Dallas Off RE</v>
          </cell>
          <cell r="C5182" t="str">
            <v>ALTERNATIVE:RE2_BRS_GOLD:RE2_SYS:AI_RE2_US_S_TX_DAL_OFF</v>
          </cell>
          <cell r="D5182" t="str">
            <v>Index</v>
          </cell>
          <cell r="E5182" t="str">
            <v>Index Level</v>
          </cell>
          <cell r="F5182" t="str">
            <v>Alternative</v>
          </cell>
          <cell r="G5182" t="str">
            <v>Other</v>
          </cell>
          <cell r="H5182" t="str">
            <v>ALTS</v>
          </cell>
          <cell r="I5182" t="str">
            <v>Alternative - Index</v>
          </cell>
        </row>
        <row r="5183">
          <cell r="A5183" t="str">
            <v>AI_RE2_US_S_TX_HOU_OFF</v>
          </cell>
          <cell r="B5183" t="str">
            <v>US S TX Houston Off RE</v>
          </cell>
          <cell r="C5183" t="str">
            <v>ALTERNATIVE:RE2_BRS_GOLD:RE2_SYS:AI_RE2_US_S_TX_HOU_OFF</v>
          </cell>
          <cell r="D5183" t="str">
            <v>Index</v>
          </cell>
          <cell r="E5183" t="str">
            <v>Index Level</v>
          </cell>
          <cell r="F5183" t="str">
            <v>Alternative</v>
          </cell>
          <cell r="G5183" t="str">
            <v>Other</v>
          </cell>
          <cell r="H5183" t="str">
            <v>ALTS</v>
          </cell>
          <cell r="I5183" t="str">
            <v>Alternative - Index</v>
          </cell>
        </row>
        <row r="5184">
          <cell r="A5184" t="str">
            <v>AI_RE2_US_S_FL_MIA_OFF</v>
          </cell>
          <cell r="B5184" t="str">
            <v>US S FL Miami Off RE</v>
          </cell>
          <cell r="C5184" t="str">
            <v>ALTERNATIVE:RE2_BRS_GOLD:RE2_SYS:AI_RE2_US_S_FL_MIA_OFF</v>
          </cell>
          <cell r="D5184" t="str">
            <v>Index</v>
          </cell>
          <cell r="E5184" t="str">
            <v>Index Level</v>
          </cell>
          <cell r="F5184" t="str">
            <v>Alternative</v>
          </cell>
          <cell r="G5184" t="str">
            <v>Other</v>
          </cell>
          <cell r="H5184" t="str">
            <v>ALTS</v>
          </cell>
          <cell r="I5184" t="str">
            <v>Alternative - Index</v>
          </cell>
        </row>
        <row r="5185">
          <cell r="A5185" t="str">
            <v>AI_RE2_US_S_OTH_OFF</v>
          </cell>
          <cell r="B5185" t="str">
            <v>US S Other Off RE</v>
          </cell>
          <cell r="C5185" t="str">
            <v>ALTERNATIVE:RE2_BRS_GOLD:RE2_SYS:AI_RE2_US_S_OTH_OFF</v>
          </cell>
          <cell r="D5185" t="str">
            <v>Index</v>
          </cell>
          <cell r="E5185" t="str">
            <v>Index Level</v>
          </cell>
          <cell r="F5185" t="str">
            <v>Alternative</v>
          </cell>
          <cell r="G5185" t="str">
            <v>Other</v>
          </cell>
          <cell r="H5185" t="str">
            <v>ALTS</v>
          </cell>
          <cell r="I5185" t="str">
            <v>Alternative - Index</v>
          </cell>
        </row>
        <row r="5186">
          <cell r="A5186" t="str">
            <v>AI_RE2_US_S_FL_TAM_OFF</v>
          </cell>
          <cell r="B5186" t="str">
            <v>US S FL Tampa Off RE</v>
          </cell>
          <cell r="C5186" t="str">
            <v>ALTERNATIVE:RE2_BRS_GOLD:RE2_SYS:AI_RE2_US_S_FL_TAM_OFF</v>
          </cell>
          <cell r="D5186" t="str">
            <v>Index</v>
          </cell>
          <cell r="E5186" t="str">
            <v>Index Level</v>
          </cell>
          <cell r="F5186" t="str">
            <v>Alternative</v>
          </cell>
          <cell r="G5186" t="str">
            <v>Other</v>
          </cell>
          <cell r="H5186" t="str">
            <v>ALTS</v>
          </cell>
          <cell r="I5186" t="str">
            <v>Alternative - Index</v>
          </cell>
        </row>
        <row r="5187">
          <cell r="A5187" t="str">
            <v>AI_RE2_US_W_CA_LA_OFF</v>
          </cell>
          <cell r="B5187" t="str">
            <v>US W CA LA Off RE</v>
          </cell>
          <cell r="C5187" t="str">
            <v>ALTERNATIVE:RE2_BRS_GOLD:RE2_SYS:AI_RE2_US_W_CA_LA_OFF</v>
          </cell>
          <cell r="D5187" t="str">
            <v>Index</v>
          </cell>
          <cell r="E5187" t="str">
            <v>Index Level</v>
          </cell>
          <cell r="F5187" t="str">
            <v>Alternative</v>
          </cell>
          <cell r="G5187" t="str">
            <v>Other</v>
          </cell>
          <cell r="H5187" t="str">
            <v>ALTS</v>
          </cell>
          <cell r="I5187" t="str">
            <v>Alternative - Index</v>
          </cell>
        </row>
        <row r="5188">
          <cell r="A5188" t="str">
            <v>AI_RE2_US_W_OTH_OFF</v>
          </cell>
          <cell r="B5188" t="str">
            <v>US W Other Off RE</v>
          </cell>
          <cell r="C5188" t="str">
            <v>ALTERNATIVE:RE2_BRS_GOLD:RE2_SYS:AI_RE2_US_W_OTH_OFF</v>
          </cell>
          <cell r="D5188" t="str">
            <v>Index</v>
          </cell>
          <cell r="E5188" t="str">
            <v>Index Level</v>
          </cell>
          <cell r="F5188" t="str">
            <v>Alternative</v>
          </cell>
          <cell r="G5188" t="str">
            <v>Other</v>
          </cell>
          <cell r="H5188" t="str">
            <v>ALTS</v>
          </cell>
          <cell r="I5188" t="str">
            <v>Alternative - Index</v>
          </cell>
        </row>
        <row r="5189">
          <cell r="A5189" t="str">
            <v>AI_RE2_US_W_AZ_PHO_OFF</v>
          </cell>
          <cell r="B5189" t="str">
            <v>US W AZ Phoenix Off RE</v>
          </cell>
          <cell r="C5189" t="str">
            <v>ALTERNATIVE:RE2_BRS_GOLD:RE2_SYS:AI_RE2_US_W_AZ_PHO_OFF</v>
          </cell>
          <cell r="D5189" t="str">
            <v>Index</v>
          </cell>
          <cell r="E5189" t="str">
            <v>Index Level</v>
          </cell>
          <cell r="F5189" t="str">
            <v>Alternative</v>
          </cell>
          <cell r="G5189" t="str">
            <v>Other</v>
          </cell>
          <cell r="H5189" t="str">
            <v>ALTS</v>
          </cell>
          <cell r="I5189" t="str">
            <v>Alternative - Index</v>
          </cell>
        </row>
        <row r="5190">
          <cell r="A5190" t="str">
            <v>AI_RE2_US_W_CA_SD_OFF</v>
          </cell>
          <cell r="B5190" t="str">
            <v>US W CA SD Off RE</v>
          </cell>
          <cell r="C5190" t="str">
            <v>ALTERNATIVE:RE2_BRS_GOLD:RE2_SYS:AI_RE2_US_W_CA_SD_OFF</v>
          </cell>
          <cell r="D5190" t="str">
            <v>Index</v>
          </cell>
          <cell r="E5190" t="str">
            <v>Index Level</v>
          </cell>
          <cell r="F5190" t="str">
            <v>Alternative</v>
          </cell>
          <cell r="G5190" t="str">
            <v>Other</v>
          </cell>
          <cell r="H5190" t="str">
            <v>ALTS</v>
          </cell>
          <cell r="I5190" t="str">
            <v>Alternative - Index</v>
          </cell>
        </row>
        <row r="5191">
          <cell r="A5191" t="str">
            <v>AI_RE2_US_W_CA_SF_OFF</v>
          </cell>
          <cell r="B5191" t="str">
            <v>US W CA SF Off RE</v>
          </cell>
          <cell r="C5191" t="str">
            <v>ALTERNATIVE:RE2_BRS_GOLD:RE2_SYS:AI_RE2_US_W_CA_SF_OFF</v>
          </cell>
          <cell r="D5191" t="str">
            <v>Index</v>
          </cell>
          <cell r="E5191" t="str">
            <v>Index Level</v>
          </cell>
          <cell r="F5191" t="str">
            <v>Alternative</v>
          </cell>
          <cell r="G5191" t="str">
            <v>Other</v>
          </cell>
          <cell r="H5191" t="str">
            <v>ALTS</v>
          </cell>
          <cell r="I5191" t="str">
            <v>Alternative - Index</v>
          </cell>
        </row>
        <row r="5192">
          <cell r="A5192" t="str">
            <v>AI_RE2_US_W_WA_SEA_OFF</v>
          </cell>
          <cell r="B5192" t="str">
            <v>US W WA Seattle Off RE</v>
          </cell>
          <cell r="C5192" t="str">
            <v>ALTERNATIVE:RE2_BRS_GOLD:RE2_SYS:AI_RE2_US_W_WA_SEA_OFF</v>
          </cell>
          <cell r="D5192" t="str">
            <v>Index</v>
          </cell>
          <cell r="E5192" t="str">
            <v>Index Level</v>
          </cell>
          <cell r="F5192" t="str">
            <v>Alternative</v>
          </cell>
          <cell r="G5192" t="str">
            <v>Other</v>
          </cell>
          <cell r="H5192" t="str">
            <v>ALTS</v>
          </cell>
          <cell r="I5192" t="str">
            <v>Alternative - Index</v>
          </cell>
        </row>
        <row r="5193">
          <cell r="A5193" t="str">
            <v>AI_RE2_US_E_MA_BOS_RET</v>
          </cell>
          <cell r="B5193" t="str">
            <v>US E MA Boston Ret RE</v>
          </cell>
          <cell r="C5193" t="str">
            <v>ALTERNATIVE:RE2_BRS_GOLD:RE2_SYS:AI_RE2_US_E_MA_BOS_RET</v>
          </cell>
          <cell r="D5193" t="str">
            <v>Index</v>
          </cell>
          <cell r="E5193" t="str">
            <v>Index Level</v>
          </cell>
          <cell r="F5193" t="str">
            <v>Alternative</v>
          </cell>
          <cell r="G5193" t="str">
            <v>Other</v>
          </cell>
          <cell r="H5193" t="str">
            <v>ALTS</v>
          </cell>
          <cell r="I5193" t="str">
            <v>Alternative - Index</v>
          </cell>
        </row>
        <row r="5194">
          <cell r="A5194" t="str">
            <v>AI_RE2_US_E_NY_NY_RET</v>
          </cell>
          <cell r="B5194" t="str">
            <v>US E NY New York Ret RE</v>
          </cell>
          <cell r="C5194" t="str">
            <v>ALTERNATIVE:RE2_BRS_GOLD:RE2_SYS:AI_RE2_US_E_NY_NY_RET</v>
          </cell>
          <cell r="D5194" t="str">
            <v>Index</v>
          </cell>
          <cell r="E5194" t="str">
            <v>Index Level</v>
          </cell>
          <cell r="F5194" t="str">
            <v>Alternative</v>
          </cell>
          <cell r="G5194" t="str">
            <v>Other</v>
          </cell>
          <cell r="H5194" t="str">
            <v>ALTS</v>
          </cell>
          <cell r="I5194" t="str">
            <v>Alternative - Index</v>
          </cell>
        </row>
        <row r="5195">
          <cell r="A5195" t="str">
            <v>AI_RE2_US_E_OTH_RET</v>
          </cell>
          <cell r="B5195" t="str">
            <v>US E Other Ret RE</v>
          </cell>
          <cell r="C5195" t="str">
            <v>ALTERNATIVE:RE2_BRS_GOLD:RE2_SYS:AI_RE2_US_E_OTH_RET</v>
          </cell>
          <cell r="D5195" t="str">
            <v>Index</v>
          </cell>
          <cell r="E5195" t="str">
            <v>Index Level</v>
          </cell>
          <cell r="F5195" t="str">
            <v>Alternative</v>
          </cell>
          <cell r="G5195" t="str">
            <v>Other</v>
          </cell>
          <cell r="H5195" t="str">
            <v>ALTS</v>
          </cell>
          <cell r="I5195" t="str">
            <v>Alternative - Index</v>
          </cell>
        </row>
        <row r="5196">
          <cell r="A5196" t="str">
            <v>AI_RE2_US_E_PA_PHI_RET</v>
          </cell>
          <cell r="B5196" t="str">
            <v>US E PA PHL Ret RE</v>
          </cell>
          <cell r="C5196" t="str">
            <v>ALTERNATIVE:RE2_BRS_GOLD:RE2_SYS:AI_RE2_US_E_PA_PHI_RET</v>
          </cell>
          <cell r="D5196" t="str">
            <v>Index</v>
          </cell>
          <cell r="E5196" t="str">
            <v>Index Level</v>
          </cell>
          <cell r="F5196" t="str">
            <v>Alternative</v>
          </cell>
          <cell r="G5196" t="str">
            <v>Other</v>
          </cell>
          <cell r="H5196" t="str">
            <v>ALTS</v>
          </cell>
          <cell r="I5196" t="str">
            <v>Alternative - Index</v>
          </cell>
        </row>
        <row r="5197">
          <cell r="A5197" t="str">
            <v>AI_RE2_US_E_DC_WAS_RET</v>
          </cell>
          <cell r="B5197" t="str">
            <v>US E DC Washington Ret RE</v>
          </cell>
          <cell r="C5197" t="str">
            <v>ALTERNATIVE:RE2_BRS_GOLD:RE2_SYS:AI_RE2_US_E_DC_WAS_RET</v>
          </cell>
          <cell r="D5197" t="str">
            <v>Index</v>
          </cell>
          <cell r="E5197" t="str">
            <v>Index Level</v>
          </cell>
          <cell r="F5197" t="str">
            <v>Alternative</v>
          </cell>
          <cell r="G5197" t="str">
            <v>Other</v>
          </cell>
          <cell r="H5197" t="str">
            <v>ALTS</v>
          </cell>
          <cell r="I5197" t="str">
            <v>Alternative - Index</v>
          </cell>
        </row>
        <row r="5198">
          <cell r="A5198" t="str">
            <v>AI_RE2_US_M_IL_CHI_RET</v>
          </cell>
          <cell r="B5198" t="str">
            <v>US MW IL Chicago Ret RE</v>
          </cell>
          <cell r="C5198" t="str">
            <v>ALTERNATIVE:RE2_BRS_GOLD:RE2_SYS:AI_RE2_US_M_IL_CHI_RET</v>
          </cell>
          <cell r="D5198" t="str">
            <v>Index</v>
          </cell>
          <cell r="E5198" t="str">
            <v>Index Level</v>
          </cell>
          <cell r="F5198" t="str">
            <v>Alternative</v>
          </cell>
          <cell r="G5198" t="str">
            <v>Other</v>
          </cell>
          <cell r="H5198" t="str">
            <v>ALTS</v>
          </cell>
          <cell r="I5198" t="str">
            <v>Alternative - Index</v>
          </cell>
        </row>
        <row r="5199">
          <cell r="A5199" t="str">
            <v>AI_RE2_US_M_MI_DET_RET</v>
          </cell>
          <cell r="B5199" t="str">
            <v>US MW MI Detroit Ret RE</v>
          </cell>
          <cell r="C5199" t="str">
            <v>ALTERNATIVE:RE2_BRS_GOLD:RE2_SYS:AI_RE2_US_M_MI_DET_RET</v>
          </cell>
          <cell r="D5199" t="str">
            <v>Index</v>
          </cell>
          <cell r="E5199" t="str">
            <v>Index Level</v>
          </cell>
          <cell r="F5199" t="str">
            <v>Alternative</v>
          </cell>
          <cell r="G5199" t="str">
            <v>Other</v>
          </cell>
          <cell r="H5199" t="str">
            <v>ALTS</v>
          </cell>
          <cell r="I5199" t="str">
            <v>Alternative - Index</v>
          </cell>
        </row>
        <row r="5200">
          <cell r="A5200" t="str">
            <v>AI_RE2_US_M_MN_MIN_RET</v>
          </cell>
          <cell r="B5200" t="str">
            <v>US MW MN MPLS Ret RE</v>
          </cell>
          <cell r="C5200" t="str">
            <v>ALTERNATIVE:RE2_BRS_GOLD:RE2_SYS:AI_RE2_US_M_MN_MIN_RET</v>
          </cell>
          <cell r="D5200" t="str">
            <v>Index</v>
          </cell>
          <cell r="E5200" t="str">
            <v>Index Level</v>
          </cell>
          <cell r="F5200" t="str">
            <v>Alternative</v>
          </cell>
          <cell r="G5200" t="str">
            <v>Other</v>
          </cell>
          <cell r="H5200" t="str">
            <v>ALTS</v>
          </cell>
          <cell r="I5200" t="str">
            <v>Alternative - Index</v>
          </cell>
        </row>
        <row r="5201">
          <cell r="A5201" t="str">
            <v>AI_RE2_US_M_OTH_RET</v>
          </cell>
          <cell r="B5201" t="str">
            <v>US MW Other Ret RE</v>
          </cell>
          <cell r="C5201" t="str">
            <v>ALTERNATIVE:RE2_BRS_GOLD:RE2_SYS:AI_RE2_US_M_OTH_RET</v>
          </cell>
          <cell r="D5201" t="str">
            <v>Index</v>
          </cell>
          <cell r="E5201" t="str">
            <v>Index Level</v>
          </cell>
          <cell r="F5201" t="str">
            <v>Alternative</v>
          </cell>
          <cell r="G5201" t="str">
            <v>Other</v>
          </cell>
          <cell r="H5201" t="str">
            <v>ALTS</v>
          </cell>
          <cell r="I5201" t="str">
            <v>Alternative - Index</v>
          </cell>
        </row>
        <row r="5202">
          <cell r="A5202" t="str">
            <v>AI_RE2_US_M_MO_STL_RET</v>
          </cell>
          <cell r="B5202" t="str">
            <v>US MW MO St.Louis Ret RE</v>
          </cell>
          <cell r="C5202" t="str">
            <v>ALTERNATIVE:RE2_BRS_GOLD:RE2_SYS:AI_RE2_US_M_MO_STL_RET</v>
          </cell>
          <cell r="D5202" t="str">
            <v>Index</v>
          </cell>
          <cell r="E5202" t="str">
            <v>Index Level</v>
          </cell>
          <cell r="F5202" t="str">
            <v>Alternative</v>
          </cell>
          <cell r="G5202" t="str">
            <v>Other</v>
          </cell>
          <cell r="H5202" t="str">
            <v>ALTS</v>
          </cell>
          <cell r="I5202" t="str">
            <v>Alternative - Index</v>
          </cell>
        </row>
        <row r="5203">
          <cell r="A5203" t="str">
            <v>AI_RE2_US_S_TX_DAL_RET</v>
          </cell>
          <cell r="B5203" t="str">
            <v>US S TX Dallas Ret RE</v>
          </cell>
          <cell r="C5203" t="str">
            <v>ALTERNATIVE:RE2_BRS_GOLD:RE2_SYS:AI_RE2_US_S_TX_DAL_RET</v>
          </cell>
          <cell r="D5203" t="str">
            <v>Index</v>
          </cell>
          <cell r="E5203" t="str">
            <v>Index Level</v>
          </cell>
          <cell r="F5203" t="str">
            <v>Alternative</v>
          </cell>
          <cell r="G5203" t="str">
            <v>Other</v>
          </cell>
          <cell r="H5203" t="str">
            <v>ALTS</v>
          </cell>
          <cell r="I5203" t="str">
            <v>Alternative - Index</v>
          </cell>
        </row>
        <row r="5204">
          <cell r="A5204" t="str">
            <v>AI_RE2_US_S_FL_MIA_RET</v>
          </cell>
          <cell r="B5204" t="str">
            <v>US S FL Miami Ret RE</v>
          </cell>
          <cell r="C5204" t="str">
            <v>ALTERNATIVE:RE2_BRS_GOLD:RE2_SYS:AI_RE2_US_S_FL_MIA_RET</v>
          </cell>
          <cell r="D5204" t="str">
            <v>Index</v>
          </cell>
          <cell r="E5204" t="str">
            <v>Index Level</v>
          </cell>
          <cell r="F5204" t="str">
            <v>Alternative</v>
          </cell>
          <cell r="G5204" t="str">
            <v>Other</v>
          </cell>
          <cell r="H5204" t="str">
            <v>ALTS</v>
          </cell>
          <cell r="I5204" t="str">
            <v>Alternative - Index</v>
          </cell>
        </row>
        <row r="5205">
          <cell r="A5205" t="str">
            <v>AI_RE2_US_S_OTH_RET</v>
          </cell>
          <cell r="B5205" t="str">
            <v>US S Other Ret RE</v>
          </cell>
          <cell r="C5205" t="str">
            <v>ALTERNATIVE:RE2_BRS_GOLD:RE2_SYS:AI_RE2_US_S_OTH_RET</v>
          </cell>
          <cell r="D5205" t="str">
            <v>Index</v>
          </cell>
          <cell r="E5205" t="str">
            <v>Index Level</v>
          </cell>
          <cell r="F5205" t="str">
            <v>Alternative</v>
          </cell>
          <cell r="G5205" t="str">
            <v>Other</v>
          </cell>
          <cell r="H5205" t="str">
            <v>ALTS</v>
          </cell>
          <cell r="I5205" t="str">
            <v>Alternative - Index</v>
          </cell>
        </row>
        <row r="5206">
          <cell r="A5206" t="str">
            <v>AI_RE2_US_S_FL_TAM_RET</v>
          </cell>
          <cell r="B5206" t="str">
            <v>US S FL Tampa Ret RE</v>
          </cell>
          <cell r="C5206" t="str">
            <v>ALTERNATIVE:RE2_BRS_GOLD:RE2_SYS:AI_RE2_US_S_FL_TAM_RET</v>
          </cell>
          <cell r="D5206" t="str">
            <v>Index</v>
          </cell>
          <cell r="E5206" t="str">
            <v>Index Level</v>
          </cell>
          <cell r="F5206" t="str">
            <v>Alternative</v>
          </cell>
          <cell r="G5206" t="str">
            <v>Other</v>
          </cell>
          <cell r="H5206" t="str">
            <v>ALTS</v>
          </cell>
          <cell r="I5206" t="str">
            <v>Alternative - Index</v>
          </cell>
        </row>
        <row r="5207">
          <cell r="A5207" t="str">
            <v>AI_RE2_US_W_CA_LA_RET</v>
          </cell>
          <cell r="B5207" t="str">
            <v>US W CA LA Ret RE</v>
          </cell>
          <cell r="C5207" t="str">
            <v>ALTERNATIVE:RE2_BRS_GOLD:RE2_SYS:AI_RE2_US_W_CA_LA_RET</v>
          </cell>
          <cell r="D5207" t="str">
            <v>Index</v>
          </cell>
          <cell r="E5207" t="str">
            <v>Index Level</v>
          </cell>
          <cell r="F5207" t="str">
            <v>Alternative</v>
          </cell>
          <cell r="G5207" t="str">
            <v>Other</v>
          </cell>
          <cell r="H5207" t="str">
            <v>ALTS</v>
          </cell>
          <cell r="I5207" t="str">
            <v>Alternative - Index</v>
          </cell>
        </row>
        <row r="5208">
          <cell r="A5208" t="str">
            <v>AI_RE2_US_W_OTH_RET</v>
          </cell>
          <cell r="B5208" t="str">
            <v>US W Other Ret RE</v>
          </cell>
          <cell r="C5208" t="str">
            <v>ALTERNATIVE:RE2_BRS_GOLD:RE2_SYS:AI_RE2_US_W_OTH_RET</v>
          </cell>
          <cell r="D5208" t="str">
            <v>Index</v>
          </cell>
          <cell r="E5208" t="str">
            <v>Index Level</v>
          </cell>
          <cell r="F5208" t="str">
            <v>Alternative</v>
          </cell>
          <cell r="G5208" t="str">
            <v>Other</v>
          </cell>
          <cell r="H5208" t="str">
            <v>ALTS</v>
          </cell>
          <cell r="I5208" t="str">
            <v>Alternative - Index</v>
          </cell>
        </row>
        <row r="5209">
          <cell r="A5209" t="str">
            <v>AI_RE2_US_W_AZ_PHO_RET</v>
          </cell>
          <cell r="B5209" t="str">
            <v>US W AZ Phoenix Ret RE</v>
          </cell>
          <cell r="C5209" t="str">
            <v>ALTERNATIVE:RE2_BRS_GOLD:RE2_SYS:AI_RE2_US_W_AZ_PHO_RET</v>
          </cell>
          <cell r="D5209" t="str">
            <v>Index</v>
          </cell>
          <cell r="E5209" t="str">
            <v>Index Level</v>
          </cell>
          <cell r="F5209" t="str">
            <v>Alternative</v>
          </cell>
          <cell r="G5209" t="str">
            <v>Other</v>
          </cell>
          <cell r="H5209" t="str">
            <v>ALTS</v>
          </cell>
          <cell r="I5209" t="str">
            <v>Alternative - Index</v>
          </cell>
        </row>
        <row r="5210">
          <cell r="A5210" t="str">
            <v>AI_RE2_US_W_CA_SD_RET</v>
          </cell>
          <cell r="B5210" t="str">
            <v>US W CA SD Ret RE</v>
          </cell>
          <cell r="C5210" t="str">
            <v>ALTERNATIVE:RE2_BRS_GOLD:RE2_SYS:AI_RE2_US_W_CA_SD_RET</v>
          </cell>
          <cell r="D5210" t="str">
            <v>Index</v>
          </cell>
          <cell r="E5210" t="str">
            <v>Index Level</v>
          </cell>
          <cell r="F5210" t="str">
            <v>Alternative</v>
          </cell>
          <cell r="G5210" t="str">
            <v>Other</v>
          </cell>
          <cell r="H5210" t="str">
            <v>ALTS</v>
          </cell>
          <cell r="I5210" t="str">
            <v>Alternative - Index</v>
          </cell>
        </row>
        <row r="5211">
          <cell r="A5211" t="str">
            <v>AI_RE2_US_W_CA_SF_RET</v>
          </cell>
          <cell r="B5211" t="str">
            <v>US W CA SF Ret RE</v>
          </cell>
          <cell r="C5211" t="str">
            <v>ALTERNATIVE:RE2_BRS_GOLD:RE2_SYS:AI_RE2_US_W_CA_SF_RET</v>
          </cell>
          <cell r="D5211" t="str">
            <v>Index</v>
          </cell>
          <cell r="E5211" t="str">
            <v>Index Level</v>
          </cell>
          <cell r="F5211" t="str">
            <v>Alternative</v>
          </cell>
          <cell r="G5211" t="str">
            <v>Other</v>
          </cell>
          <cell r="H5211" t="str">
            <v>ALTS</v>
          </cell>
          <cell r="I5211" t="str">
            <v>Alternative - Index</v>
          </cell>
        </row>
        <row r="5212">
          <cell r="A5212" t="str">
            <v>AI_RE2_US_W_WA_SEA_RET</v>
          </cell>
          <cell r="B5212" t="str">
            <v>US W WA Seattle Ret RE</v>
          </cell>
          <cell r="C5212" t="str">
            <v>ALTERNATIVE:RE2_BRS_GOLD:RE2_SYS:AI_RE2_US_W_WA_SEA_RET</v>
          </cell>
          <cell r="D5212" t="str">
            <v>Index</v>
          </cell>
          <cell r="E5212" t="str">
            <v>Index Level</v>
          </cell>
          <cell r="F5212" t="str">
            <v>Alternative</v>
          </cell>
          <cell r="G5212" t="str">
            <v>Other</v>
          </cell>
          <cell r="H5212" t="str">
            <v>ALTS</v>
          </cell>
          <cell r="I5212" t="str">
            <v>Alternative - Index</v>
          </cell>
        </row>
        <row r="5213">
          <cell r="A5213" t="str">
            <v>AI_RE2_APAC_E</v>
          </cell>
          <cell r="B5213" t="str">
            <v>APAC RE Ex</v>
          </cell>
          <cell r="C5213" t="str">
            <v>ALTERNATIVE:RE2_BRS_GOLD:RE2_PRIV_EX:AI_RE2_APAC_E</v>
          </cell>
          <cell r="D5213" t="str">
            <v>Specific Risk</v>
          </cell>
          <cell r="E5213" t="str">
            <v>Specific Risk</v>
          </cell>
          <cell r="F5213" t="str">
            <v>Idiosyncratic</v>
          </cell>
          <cell r="G5213" t="str">
            <v>Other</v>
          </cell>
          <cell r="H5213" t="str">
            <v>OTHER_SPECIFIC</v>
          </cell>
          <cell r="I5213" t="str">
            <v>Alternative - Idiosyncratic</v>
          </cell>
        </row>
        <row r="5214">
          <cell r="A5214" t="str">
            <v>AI_RE2_EUR_E</v>
          </cell>
          <cell r="B5214" t="str">
            <v>Europe RE Ex</v>
          </cell>
          <cell r="C5214" t="str">
            <v>ALTERNATIVE:RE2_BRS_GOLD:RE2_PRIV_EX:AI_RE2_EUR_E</v>
          </cell>
          <cell r="D5214" t="str">
            <v>Specific Risk</v>
          </cell>
          <cell r="E5214" t="str">
            <v>Specific Risk</v>
          </cell>
          <cell r="F5214" t="str">
            <v>Idiosyncratic</v>
          </cell>
          <cell r="G5214" t="str">
            <v>Other</v>
          </cell>
          <cell r="H5214" t="str">
            <v>OTHER_SPECIFIC</v>
          </cell>
          <cell r="I5214" t="str">
            <v>Alternative - Idiosyncratic</v>
          </cell>
        </row>
        <row r="5215">
          <cell r="A5215" t="str">
            <v>AI_RE2_OTH_E</v>
          </cell>
          <cell r="B5215" t="str">
            <v>Other RE Ex</v>
          </cell>
          <cell r="C5215" t="str">
            <v>ALTERNATIVE:RE2_BRS_GOLD:RE2_PRIV_EX:AI_RE2_OTH_E</v>
          </cell>
          <cell r="D5215" t="str">
            <v>Specific Risk</v>
          </cell>
          <cell r="E5215" t="str">
            <v>Specific Risk</v>
          </cell>
          <cell r="F5215" t="str">
            <v>Idiosyncratic</v>
          </cell>
          <cell r="G5215" t="str">
            <v>Other</v>
          </cell>
          <cell r="H5215" t="str">
            <v>OTHER_SPECIFIC</v>
          </cell>
          <cell r="I5215" t="str">
            <v>Alternative - Idiosyncratic</v>
          </cell>
        </row>
        <row r="5216">
          <cell r="A5216" t="str">
            <v>AI_RE2_USCAN_E</v>
          </cell>
          <cell r="B5216" t="str">
            <v>US and Canada RE Ex</v>
          </cell>
          <cell r="C5216" t="str">
            <v>ALTERNATIVE:RE2_BRS_GOLD:RE2_PRIV_EX:AI_RE2_USCAN_E</v>
          </cell>
          <cell r="D5216" t="str">
            <v>Specific Risk</v>
          </cell>
          <cell r="E5216" t="str">
            <v>Specific Risk</v>
          </cell>
          <cell r="F5216" t="str">
            <v>Idiosyncratic</v>
          </cell>
          <cell r="G5216" t="str">
            <v>Other</v>
          </cell>
          <cell r="H5216" t="str">
            <v>OTHER_SPECIFIC</v>
          </cell>
          <cell r="I5216" t="str">
            <v>Alternative - Idiosyncratic</v>
          </cell>
        </row>
        <row r="5217">
          <cell r="A5217" t="str">
            <v>AI_RE2_AUS_E</v>
          </cell>
          <cell r="B5217" t="str">
            <v>Australia RE Ex</v>
          </cell>
          <cell r="C5217" t="str">
            <v>ALTERNATIVE:RE2_BRS_GOLD:RE2_PRIV_EX:AI_RE2_AUS_E</v>
          </cell>
          <cell r="D5217" t="str">
            <v>Specific Risk</v>
          </cell>
          <cell r="E5217" t="str">
            <v>Specific Risk</v>
          </cell>
          <cell r="F5217" t="str">
            <v>Idiosyncratic</v>
          </cell>
          <cell r="G5217" t="str">
            <v>Other</v>
          </cell>
          <cell r="H5217" t="str">
            <v>OTHER_SPECIFIC</v>
          </cell>
          <cell r="I5217" t="str">
            <v>Alternative - Idiosyncratic</v>
          </cell>
        </row>
        <row r="5218">
          <cell r="A5218" t="str">
            <v>AI_RE2_EUR_C_E_E</v>
          </cell>
          <cell r="B5218" t="str">
            <v>Europe Cent&amp;East RE Ex</v>
          </cell>
          <cell r="C5218" t="str">
            <v>ALTERNATIVE:RE2_BRS_GOLD:RE2_PRIV_EX:AI_RE2_EUR_C_E_E</v>
          </cell>
          <cell r="D5218" t="str">
            <v>Specific Risk</v>
          </cell>
          <cell r="E5218" t="str">
            <v>Specific Risk</v>
          </cell>
          <cell r="F5218" t="str">
            <v>Idiosyncratic</v>
          </cell>
          <cell r="G5218" t="str">
            <v>Other</v>
          </cell>
          <cell r="H5218" t="str">
            <v>OTHER_SPECIFIC</v>
          </cell>
          <cell r="I5218" t="str">
            <v>Alternative - Idiosyncratic</v>
          </cell>
        </row>
        <row r="5219">
          <cell r="A5219" t="str">
            <v>AI_RE2_JAP_E</v>
          </cell>
          <cell r="B5219" t="str">
            <v>Japan RE Ex</v>
          </cell>
          <cell r="C5219" t="str">
            <v>ALTERNATIVE:RE2_BRS_GOLD:RE2_PRIV_EX:AI_RE2_JAP_E</v>
          </cell>
          <cell r="D5219" t="str">
            <v>Specific Risk</v>
          </cell>
          <cell r="E5219" t="str">
            <v>Specific Risk</v>
          </cell>
          <cell r="F5219" t="str">
            <v>Idiosyncratic</v>
          </cell>
          <cell r="G5219" t="str">
            <v>Other</v>
          </cell>
          <cell r="H5219" t="str">
            <v>OTHER_SPECIFIC</v>
          </cell>
          <cell r="I5219" t="str">
            <v>Alternative - Idiosyncratic</v>
          </cell>
        </row>
        <row r="5220">
          <cell r="A5220" t="str">
            <v>AI_RE2_NOR_E</v>
          </cell>
          <cell r="B5220" t="str">
            <v>Nordic RE Ex</v>
          </cell>
          <cell r="C5220" t="str">
            <v>ALTERNATIVE:RE2_BRS_GOLD:RE2_PRIV_EX:AI_RE2_NOR_E</v>
          </cell>
          <cell r="D5220" t="str">
            <v>Specific Risk</v>
          </cell>
          <cell r="E5220" t="str">
            <v>Specific Risk</v>
          </cell>
          <cell r="F5220" t="str">
            <v>Idiosyncratic</v>
          </cell>
          <cell r="G5220" t="str">
            <v>Other</v>
          </cell>
          <cell r="H5220" t="str">
            <v>OTHER_SPECIFIC</v>
          </cell>
          <cell r="I5220" t="str">
            <v>Alternative - Idiosyncratic</v>
          </cell>
        </row>
        <row r="5221">
          <cell r="A5221" t="str">
            <v>AI_RE2_SIN_E</v>
          </cell>
          <cell r="B5221" t="str">
            <v>Singapore RE Ex</v>
          </cell>
          <cell r="C5221" t="str">
            <v>ALTERNATIVE:RE2_BRS_GOLD:RE2_PRIV_EX:AI_RE2_SIN_E</v>
          </cell>
          <cell r="D5221" t="str">
            <v>Specific Risk</v>
          </cell>
          <cell r="E5221" t="str">
            <v>Specific Risk</v>
          </cell>
          <cell r="F5221" t="str">
            <v>Idiosyncratic</v>
          </cell>
          <cell r="G5221" t="str">
            <v>Other</v>
          </cell>
          <cell r="H5221" t="str">
            <v>OTHER_SPECIFIC</v>
          </cell>
          <cell r="I5221" t="str">
            <v>Alternative - Idiosyncratic</v>
          </cell>
        </row>
        <row r="5222">
          <cell r="A5222" t="str">
            <v>AI_RE2_US_E</v>
          </cell>
          <cell r="B5222" t="str">
            <v>United States RE Ex</v>
          </cell>
          <cell r="C5222" t="str">
            <v>ALTERNATIVE:RE2_BRS_GOLD:RE2_PRIV_EX:AI_RE2_US_E</v>
          </cell>
          <cell r="D5222" t="str">
            <v>Specific Risk</v>
          </cell>
          <cell r="E5222" t="str">
            <v>Specific Risk</v>
          </cell>
          <cell r="F5222" t="str">
            <v>Idiosyncratic</v>
          </cell>
          <cell r="G5222" t="str">
            <v>Other</v>
          </cell>
          <cell r="H5222" t="str">
            <v>OTHER_SPECIFIC</v>
          </cell>
          <cell r="I5222" t="str">
            <v>Alternative - Idiosyncratic</v>
          </cell>
        </row>
        <row r="5223">
          <cell r="A5223" t="str">
            <v>AI_RE2_UK_E</v>
          </cell>
          <cell r="B5223" t="str">
            <v>United Kingdom RE Ex</v>
          </cell>
          <cell r="C5223" t="str">
            <v>ALTERNATIVE:RE2_BRS_GOLD:RE2_PRIV_EX:AI_RE2_UK_E</v>
          </cell>
          <cell r="D5223" t="str">
            <v>Specific Risk</v>
          </cell>
          <cell r="E5223" t="str">
            <v>Specific Risk</v>
          </cell>
          <cell r="F5223" t="str">
            <v>Idiosyncratic</v>
          </cell>
          <cell r="G5223" t="str">
            <v>Other</v>
          </cell>
          <cell r="H5223" t="str">
            <v>OTHER_SPECIFIC</v>
          </cell>
          <cell r="I5223" t="str">
            <v>Alternative - Idiosyncratic</v>
          </cell>
        </row>
        <row r="5224">
          <cell r="A5224" t="str">
            <v>AI_RE2_EUR_W_E</v>
          </cell>
          <cell r="B5224" t="str">
            <v>Europe West RE Ex</v>
          </cell>
          <cell r="C5224" t="str">
            <v>ALTERNATIVE:RE2_BRS_GOLD:RE2_PRIV_EX:AI_RE2_EUR_W_E</v>
          </cell>
          <cell r="D5224" t="str">
            <v>Specific Risk</v>
          </cell>
          <cell r="E5224" t="str">
            <v>Specific Risk</v>
          </cell>
          <cell r="F5224" t="str">
            <v>Idiosyncratic</v>
          </cell>
          <cell r="G5224" t="str">
            <v>Other</v>
          </cell>
          <cell r="H5224" t="str">
            <v>OTHER_SPECIFIC</v>
          </cell>
          <cell r="I5224" t="str">
            <v>Alternative - Idiosyncratic</v>
          </cell>
        </row>
        <row r="5225">
          <cell r="A5225" t="str">
            <v>AI_RE2_APAC_AUS_IND_E</v>
          </cell>
          <cell r="B5225" t="str">
            <v>APAC Aus Ind RE Ex</v>
          </cell>
          <cell r="C5225" t="str">
            <v>ALTERNATIVE:RE2_BRS_GOLD:RE2_PRIV_EX:AI_RE2_APAC_AUS_IND_E</v>
          </cell>
          <cell r="D5225" t="str">
            <v>Specific Risk</v>
          </cell>
          <cell r="E5225" t="str">
            <v>Specific Risk</v>
          </cell>
          <cell r="F5225" t="str">
            <v>Idiosyncratic</v>
          </cell>
          <cell r="G5225" t="str">
            <v>Other</v>
          </cell>
          <cell r="H5225" t="str">
            <v>OTHER_SPECIFIC</v>
          </cell>
          <cell r="I5225" t="str">
            <v>Alternative - Idiosyncratic</v>
          </cell>
        </row>
        <row r="5226">
          <cell r="A5226" t="str">
            <v>AI_RE2_APAC_AUS_OFF_E</v>
          </cell>
          <cell r="B5226" t="str">
            <v>APAC Aus Off RE Ex</v>
          </cell>
          <cell r="C5226" t="str">
            <v>ALTERNATIVE:RE2_BRS_GOLD:RE2_PRIV_EX:AI_RE2_APAC_AUS_OFF_E</v>
          </cell>
          <cell r="D5226" t="str">
            <v>Specific Risk</v>
          </cell>
          <cell r="E5226" t="str">
            <v>Specific Risk</v>
          </cell>
          <cell r="F5226" t="str">
            <v>Idiosyncratic</v>
          </cell>
          <cell r="G5226" t="str">
            <v>Other</v>
          </cell>
          <cell r="H5226" t="str">
            <v>OTHER_SPECIFIC</v>
          </cell>
          <cell r="I5226" t="str">
            <v>Alternative - Idiosyncratic</v>
          </cell>
        </row>
        <row r="5227">
          <cell r="A5227" t="str">
            <v>AI_RE2_APAC_AUS_RET_E</v>
          </cell>
          <cell r="B5227" t="str">
            <v>APAC Aus Ret RE Ex</v>
          </cell>
          <cell r="C5227" t="str">
            <v>ALTERNATIVE:RE2_BRS_GOLD:RE2_PRIV_EX:AI_RE2_APAC_AUS_RET_E</v>
          </cell>
          <cell r="D5227" t="str">
            <v>Specific Risk</v>
          </cell>
          <cell r="E5227" t="str">
            <v>Specific Risk</v>
          </cell>
          <cell r="F5227" t="str">
            <v>Idiosyncratic</v>
          </cell>
          <cell r="G5227" t="str">
            <v>Other</v>
          </cell>
          <cell r="H5227" t="str">
            <v>OTHER_SPECIFIC</v>
          </cell>
          <cell r="I5227" t="str">
            <v>Alternative - Idiosyncratic</v>
          </cell>
        </row>
        <row r="5228">
          <cell r="A5228" t="str">
            <v>AI_RE2_APAC_JAP_RES_E</v>
          </cell>
          <cell r="B5228" t="str">
            <v>APAC Jap Res RE Ex</v>
          </cell>
          <cell r="C5228" t="str">
            <v>ALTERNATIVE:RE2_BRS_GOLD:RE2_PRIV_EX:AI_RE2_APAC_JAP_RES_E</v>
          </cell>
          <cell r="D5228" t="str">
            <v>Specific Risk</v>
          </cell>
          <cell r="E5228" t="str">
            <v>Specific Risk</v>
          </cell>
          <cell r="F5228" t="str">
            <v>Idiosyncratic</v>
          </cell>
          <cell r="G5228" t="str">
            <v>Other</v>
          </cell>
          <cell r="H5228" t="str">
            <v>OTHER_SPECIFIC</v>
          </cell>
          <cell r="I5228" t="str">
            <v>Alternative - Idiosyncratic</v>
          </cell>
        </row>
        <row r="5229">
          <cell r="A5229" t="str">
            <v>AI_RE2_APAC_JAP_LOD_E</v>
          </cell>
          <cell r="B5229" t="str">
            <v>APAC Jap Lod RE Ex</v>
          </cell>
          <cell r="C5229" t="str">
            <v>ALTERNATIVE:RE2_BRS_GOLD:RE2_PRIV_EX:AI_RE2_APAC_JAP_LOD_E</v>
          </cell>
          <cell r="D5229" t="str">
            <v>Specific Risk</v>
          </cell>
          <cell r="E5229" t="str">
            <v>Specific Risk</v>
          </cell>
          <cell r="F5229" t="str">
            <v>Idiosyncratic</v>
          </cell>
          <cell r="G5229" t="str">
            <v>Other</v>
          </cell>
          <cell r="H5229" t="str">
            <v>OTHER_SPECIFIC</v>
          </cell>
          <cell r="I5229" t="str">
            <v>Alternative - Idiosyncratic</v>
          </cell>
        </row>
        <row r="5230">
          <cell r="A5230" t="str">
            <v>AI_RE2_APAC_JAP_IND_E</v>
          </cell>
          <cell r="B5230" t="str">
            <v>APAC Jap Ind RE Ex</v>
          </cell>
          <cell r="C5230" t="str">
            <v>ALTERNATIVE:RE2_BRS_GOLD:RE2_PRIV_EX:AI_RE2_APAC_JAP_IND_E</v>
          </cell>
          <cell r="D5230" t="str">
            <v>Specific Risk</v>
          </cell>
          <cell r="E5230" t="str">
            <v>Specific Risk</v>
          </cell>
          <cell r="F5230" t="str">
            <v>Idiosyncratic</v>
          </cell>
          <cell r="G5230" t="str">
            <v>Other</v>
          </cell>
          <cell r="H5230" t="str">
            <v>OTHER_SPECIFIC</v>
          </cell>
          <cell r="I5230" t="str">
            <v>Alternative - Idiosyncratic</v>
          </cell>
        </row>
        <row r="5231">
          <cell r="A5231" t="str">
            <v>AI_RE2_APAC_JAP_OFF_E</v>
          </cell>
          <cell r="B5231" t="str">
            <v>APAC Jap Off RE Ex</v>
          </cell>
          <cell r="C5231" t="str">
            <v>ALTERNATIVE:RE2_BRS_GOLD:RE2_PRIV_EX:AI_RE2_APAC_JAP_OFF_E</v>
          </cell>
          <cell r="D5231" t="str">
            <v>Specific Risk</v>
          </cell>
          <cell r="E5231" t="str">
            <v>Specific Risk</v>
          </cell>
          <cell r="F5231" t="str">
            <v>Idiosyncratic</v>
          </cell>
          <cell r="G5231" t="str">
            <v>Other</v>
          </cell>
          <cell r="H5231" t="str">
            <v>OTHER_SPECIFIC</v>
          </cell>
          <cell r="I5231" t="str">
            <v>Alternative - Idiosyncratic</v>
          </cell>
        </row>
        <row r="5232">
          <cell r="A5232" t="str">
            <v>AI_RE2_APAC_JAP_RET_E</v>
          </cell>
          <cell r="B5232" t="str">
            <v>APAC Jap Ret RE Ex</v>
          </cell>
          <cell r="C5232" t="str">
            <v>ALTERNATIVE:RE2_BRS_GOLD:RE2_PRIV_EX:AI_RE2_APAC_JAP_RET_E</v>
          </cell>
          <cell r="D5232" t="str">
            <v>Specific Risk</v>
          </cell>
          <cell r="E5232" t="str">
            <v>Specific Risk</v>
          </cell>
          <cell r="F5232" t="str">
            <v>Idiosyncratic</v>
          </cell>
          <cell r="G5232" t="str">
            <v>Other</v>
          </cell>
          <cell r="H5232" t="str">
            <v>OTHER_SPECIFIC</v>
          </cell>
          <cell r="I5232" t="str">
            <v>Alternative - Idiosyncratic</v>
          </cell>
        </row>
        <row r="5233">
          <cell r="A5233" t="str">
            <v>AI_RE2_EUR_C_E_OFF_E</v>
          </cell>
          <cell r="B5233" t="str">
            <v>Europe Cent&amp;East Off RE Ex</v>
          </cell>
          <cell r="C5233" t="str">
            <v>ALTERNATIVE:RE2_BRS_GOLD:RE2_PRIV_EX:AI_RE2_EUR_C_E_OFF_E</v>
          </cell>
          <cell r="D5233" t="str">
            <v>Specific Risk</v>
          </cell>
          <cell r="E5233" t="str">
            <v>Specific Risk</v>
          </cell>
          <cell r="F5233" t="str">
            <v>Idiosyncratic</v>
          </cell>
          <cell r="G5233" t="str">
            <v>Other</v>
          </cell>
          <cell r="H5233" t="str">
            <v>OTHER_SPECIFIC</v>
          </cell>
          <cell r="I5233" t="str">
            <v>Alternative - Idiosyncratic</v>
          </cell>
        </row>
        <row r="5234">
          <cell r="A5234" t="str">
            <v>AI_RE2_EUR_C_E_RET_E</v>
          </cell>
          <cell r="B5234" t="str">
            <v>Europe Cent&amp;East Ret RE Ex</v>
          </cell>
          <cell r="C5234" t="str">
            <v>ALTERNATIVE:RE2_BRS_GOLD:RE2_PRIV_EX:AI_RE2_EUR_C_E_RET_E</v>
          </cell>
          <cell r="D5234" t="str">
            <v>Specific Risk</v>
          </cell>
          <cell r="E5234" t="str">
            <v>Specific Risk</v>
          </cell>
          <cell r="F5234" t="str">
            <v>Idiosyncratic</v>
          </cell>
          <cell r="G5234" t="str">
            <v>Other</v>
          </cell>
          <cell r="H5234" t="str">
            <v>OTHER_SPECIFIC</v>
          </cell>
          <cell r="I5234" t="str">
            <v>Alternative - Idiosyncratic</v>
          </cell>
        </row>
        <row r="5235">
          <cell r="A5235" t="str">
            <v>AI_RE2_EUR_NOR_IND_E</v>
          </cell>
          <cell r="B5235" t="str">
            <v>Europe Nordic Ind RE Ex</v>
          </cell>
          <cell r="C5235" t="str">
            <v>ALTERNATIVE:RE2_BRS_GOLD:RE2_PRIV_EX:AI_RE2_EUR_NOR_IND_E</v>
          </cell>
          <cell r="D5235" t="str">
            <v>Specific Risk</v>
          </cell>
          <cell r="E5235" t="str">
            <v>Specific Risk</v>
          </cell>
          <cell r="F5235" t="str">
            <v>Idiosyncratic</v>
          </cell>
          <cell r="G5235" t="str">
            <v>Other</v>
          </cell>
          <cell r="H5235" t="str">
            <v>OTHER_SPECIFIC</v>
          </cell>
          <cell r="I5235" t="str">
            <v>Alternative - Idiosyncratic</v>
          </cell>
        </row>
        <row r="5236">
          <cell r="A5236" t="str">
            <v>AI_RE2_EUR_NOR_OFF_E</v>
          </cell>
          <cell r="B5236" t="str">
            <v>Europe Nordic Off RE Ex</v>
          </cell>
          <cell r="C5236" t="str">
            <v>ALTERNATIVE:RE2_BRS_GOLD:RE2_PRIV_EX:AI_RE2_EUR_NOR_OFF_E</v>
          </cell>
          <cell r="D5236" t="str">
            <v>Specific Risk</v>
          </cell>
          <cell r="E5236" t="str">
            <v>Specific Risk</v>
          </cell>
          <cell r="F5236" t="str">
            <v>Idiosyncratic</v>
          </cell>
          <cell r="G5236" t="str">
            <v>Other</v>
          </cell>
          <cell r="H5236" t="str">
            <v>OTHER_SPECIFIC</v>
          </cell>
          <cell r="I5236" t="str">
            <v>Alternative - Idiosyncratic</v>
          </cell>
        </row>
        <row r="5237">
          <cell r="A5237" t="str">
            <v>AI_RE2_EUR_NOR_RET_E</v>
          </cell>
          <cell r="B5237" t="str">
            <v>Europe Nordic Ret RE Ex</v>
          </cell>
          <cell r="C5237" t="str">
            <v>ALTERNATIVE:RE2_BRS_GOLD:RE2_PRIV_EX:AI_RE2_EUR_NOR_RET_E</v>
          </cell>
          <cell r="D5237" t="str">
            <v>Specific Risk</v>
          </cell>
          <cell r="E5237" t="str">
            <v>Specific Risk</v>
          </cell>
          <cell r="F5237" t="str">
            <v>Idiosyncratic</v>
          </cell>
          <cell r="G5237" t="str">
            <v>Other</v>
          </cell>
          <cell r="H5237" t="str">
            <v>OTHER_SPECIFIC</v>
          </cell>
          <cell r="I5237" t="str">
            <v>Alternative - Idiosyncratic</v>
          </cell>
        </row>
        <row r="5238">
          <cell r="A5238" t="str">
            <v>AI_RE2_EUR_UK_OFF_E</v>
          </cell>
          <cell r="B5238" t="str">
            <v>Europe UK Off RE Ex</v>
          </cell>
          <cell r="C5238" t="str">
            <v>ALTERNATIVE:RE2_BRS_GOLD:RE2_PRIV_EX:AI_RE2_EUR_UK_OFF_E</v>
          </cell>
          <cell r="D5238" t="str">
            <v>Specific Risk</v>
          </cell>
          <cell r="E5238" t="str">
            <v>Specific Risk</v>
          </cell>
          <cell r="F5238" t="str">
            <v>Idiosyncratic</v>
          </cell>
          <cell r="G5238" t="str">
            <v>Other</v>
          </cell>
          <cell r="H5238" t="str">
            <v>OTHER_SPECIFIC</v>
          </cell>
          <cell r="I5238" t="str">
            <v>Alternative - Idiosyncratic</v>
          </cell>
        </row>
        <row r="5239">
          <cell r="A5239" t="str">
            <v>AI_RE2_EUR_W_RES_E</v>
          </cell>
          <cell r="B5239" t="str">
            <v>Europe West Res RE Ex</v>
          </cell>
          <cell r="C5239" t="str">
            <v>ALTERNATIVE:RE2_BRS_GOLD:RE2_PRIV_EX:AI_RE2_EUR_W_RES_E</v>
          </cell>
          <cell r="D5239" t="str">
            <v>Specific Risk</v>
          </cell>
          <cell r="E5239" t="str">
            <v>Specific Risk</v>
          </cell>
          <cell r="F5239" t="str">
            <v>Idiosyncratic</v>
          </cell>
          <cell r="G5239" t="str">
            <v>Other</v>
          </cell>
          <cell r="H5239" t="str">
            <v>OTHER_SPECIFIC</v>
          </cell>
          <cell r="I5239" t="str">
            <v>Alternative - Idiosyncratic</v>
          </cell>
        </row>
        <row r="5240">
          <cell r="A5240" t="str">
            <v>AI_RE2_EUR_W_IND_E</v>
          </cell>
          <cell r="B5240" t="str">
            <v>Europe West Ind RE Ex</v>
          </cell>
          <cell r="C5240" t="str">
            <v>ALTERNATIVE:RE2_BRS_GOLD:RE2_PRIV_EX:AI_RE2_EUR_W_IND_E</v>
          </cell>
          <cell r="D5240" t="str">
            <v>Specific Risk</v>
          </cell>
          <cell r="E5240" t="str">
            <v>Specific Risk</v>
          </cell>
          <cell r="F5240" t="str">
            <v>Idiosyncratic</v>
          </cell>
          <cell r="G5240" t="str">
            <v>Other</v>
          </cell>
          <cell r="H5240" t="str">
            <v>OTHER_SPECIFIC</v>
          </cell>
          <cell r="I5240" t="str">
            <v>Alternative - Idiosyncratic</v>
          </cell>
        </row>
        <row r="5241">
          <cell r="A5241" t="str">
            <v>AI_RE2_EUR_W_OFF_E</v>
          </cell>
          <cell r="B5241" t="str">
            <v>Europe West Off RE Ex</v>
          </cell>
          <cell r="C5241" t="str">
            <v>ALTERNATIVE:RE2_BRS_GOLD:RE2_PRIV_EX:AI_RE2_EUR_W_OFF_E</v>
          </cell>
          <cell r="D5241" t="str">
            <v>Specific Risk</v>
          </cell>
          <cell r="E5241" t="str">
            <v>Specific Risk</v>
          </cell>
          <cell r="F5241" t="str">
            <v>Idiosyncratic</v>
          </cell>
          <cell r="G5241" t="str">
            <v>Other</v>
          </cell>
          <cell r="H5241" t="str">
            <v>OTHER_SPECIFIC</v>
          </cell>
          <cell r="I5241" t="str">
            <v>Alternative - Idiosyncratic</v>
          </cell>
        </row>
        <row r="5242">
          <cell r="A5242" t="str">
            <v>AI_RE2_EUR_W_RET_E</v>
          </cell>
          <cell r="B5242" t="str">
            <v>Europe West Ret RE Ex</v>
          </cell>
          <cell r="C5242" t="str">
            <v>ALTERNATIVE:RE2_BRS_GOLD:RE2_PRIV_EX:AI_RE2_EUR_W_RET_E</v>
          </cell>
          <cell r="D5242" t="str">
            <v>Specific Risk</v>
          </cell>
          <cell r="E5242" t="str">
            <v>Specific Risk</v>
          </cell>
          <cell r="F5242" t="str">
            <v>Idiosyncratic</v>
          </cell>
          <cell r="G5242" t="str">
            <v>Other</v>
          </cell>
          <cell r="H5242" t="str">
            <v>OTHER_SPECIFIC</v>
          </cell>
          <cell r="I5242" t="str">
            <v>Alternative - Idiosyncratic</v>
          </cell>
        </row>
        <row r="5243">
          <cell r="A5243" t="str">
            <v>AI_RE2_US_RES_E</v>
          </cell>
          <cell r="B5243" t="str">
            <v>US Res RE Ex</v>
          </cell>
          <cell r="C5243" t="str">
            <v>ALTERNATIVE:RE2_BRS_GOLD:RE2_PRIV_EX:AI_RE2_US_RES_E</v>
          </cell>
          <cell r="D5243" t="str">
            <v>Specific Risk</v>
          </cell>
          <cell r="E5243" t="str">
            <v>Specific Risk</v>
          </cell>
          <cell r="F5243" t="str">
            <v>Idiosyncratic</v>
          </cell>
          <cell r="G5243" t="str">
            <v>Other</v>
          </cell>
          <cell r="H5243" t="str">
            <v>OTHER_SPECIFIC</v>
          </cell>
          <cell r="I5243" t="str">
            <v>Alternative - Idiosyncratic</v>
          </cell>
        </row>
        <row r="5244">
          <cell r="A5244" t="str">
            <v>AI_RE2_US_HLTH_E</v>
          </cell>
          <cell r="B5244" t="str">
            <v>US Hlth RE Ex</v>
          </cell>
          <cell r="C5244" t="str">
            <v>ALTERNATIVE:RE2_BRS_GOLD:RE2_PRIV_EX:AI_RE2_US_HLTH_E</v>
          </cell>
          <cell r="D5244" t="str">
            <v>Specific Risk</v>
          </cell>
          <cell r="E5244" t="str">
            <v>Specific Risk</v>
          </cell>
          <cell r="F5244" t="str">
            <v>Idiosyncratic</v>
          </cell>
          <cell r="G5244" t="str">
            <v>Other</v>
          </cell>
          <cell r="H5244" t="str">
            <v>OTHER_SPECIFIC</v>
          </cell>
          <cell r="I5244" t="str">
            <v>Alternative - Idiosyncratic</v>
          </cell>
        </row>
        <row r="5245">
          <cell r="A5245" t="str">
            <v>AI_RE2_US_LOD_E</v>
          </cell>
          <cell r="B5245" t="str">
            <v>US Lod RE Ex</v>
          </cell>
          <cell r="C5245" t="str">
            <v>ALTERNATIVE:RE2_BRS_GOLD:RE2_PRIV_EX:AI_RE2_US_LOD_E</v>
          </cell>
          <cell r="D5245" t="str">
            <v>Specific Risk</v>
          </cell>
          <cell r="E5245" t="str">
            <v>Specific Risk</v>
          </cell>
          <cell r="F5245" t="str">
            <v>Idiosyncratic</v>
          </cell>
          <cell r="G5245" t="str">
            <v>Other</v>
          </cell>
          <cell r="H5245" t="str">
            <v>OTHER_SPECIFIC</v>
          </cell>
          <cell r="I5245" t="str">
            <v>Alternative - Idiosyncratic</v>
          </cell>
        </row>
        <row r="5246">
          <cell r="A5246" t="str">
            <v>AI_RE2_US_IND_E</v>
          </cell>
          <cell r="B5246" t="str">
            <v>US Ind RE Ex</v>
          </cell>
          <cell r="C5246" t="str">
            <v>ALTERNATIVE:RE2_BRS_GOLD:RE2_PRIV_EX:AI_RE2_US_IND_E</v>
          </cell>
          <cell r="D5246" t="str">
            <v>Specific Risk</v>
          </cell>
          <cell r="E5246" t="str">
            <v>Specific Risk</v>
          </cell>
          <cell r="F5246" t="str">
            <v>Idiosyncratic</v>
          </cell>
          <cell r="G5246" t="str">
            <v>Other</v>
          </cell>
          <cell r="H5246" t="str">
            <v>OTHER_SPECIFIC</v>
          </cell>
          <cell r="I5246" t="str">
            <v>Alternative - Idiosyncratic</v>
          </cell>
        </row>
        <row r="5247">
          <cell r="A5247" t="str">
            <v>AI_RE2_US_OFF_E</v>
          </cell>
          <cell r="B5247" t="str">
            <v>US Off RE Ex</v>
          </cell>
          <cell r="C5247" t="str">
            <v>ALTERNATIVE:RE2_BRS_GOLD:RE2_PRIV_EX:AI_RE2_US_OFF_E</v>
          </cell>
          <cell r="D5247" t="str">
            <v>Specific Risk</v>
          </cell>
          <cell r="E5247" t="str">
            <v>Specific Risk</v>
          </cell>
          <cell r="F5247" t="str">
            <v>Idiosyncratic</v>
          </cell>
          <cell r="G5247" t="str">
            <v>Other</v>
          </cell>
          <cell r="H5247" t="str">
            <v>OTHER_SPECIFIC</v>
          </cell>
          <cell r="I5247" t="str">
            <v>Alternative - Idiosyncratic</v>
          </cell>
        </row>
        <row r="5248">
          <cell r="A5248" t="str">
            <v>AI_RE2_US_RET_E</v>
          </cell>
          <cell r="B5248" t="str">
            <v>US Ret RE Ex</v>
          </cell>
          <cell r="C5248" t="str">
            <v>ALTERNATIVE:RE2_BRS_GOLD:RE2_PRIV_EX:AI_RE2_US_RET_E</v>
          </cell>
          <cell r="D5248" t="str">
            <v>Specific Risk</v>
          </cell>
          <cell r="E5248" t="str">
            <v>Specific Risk</v>
          </cell>
          <cell r="F5248" t="str">
            <v>Idiosyncratic</v>
          </cell>
          <cell r="G5248" t="str">
            <v>Other</v>
          </cell>
          <cell r="H5248" t="str">
            <v>OTHER_SPECIFIC</v>
          </cell>
          <cell r="I5248" t="str">
            <v>Alternative - Idiosyncratic</v>
          </cell>
        </row>
        <row r="5249">
          <cell r="A5249" t="str">
            <v>AI_RE2_EUR_UK_LON_E</v>
          </cell>
          <cell r="B5249" t="str">
            <v>UK London Office RE Ex</v>
          </cell>
          <cell r="C5249" t="str">
            <v>ALTERNATIVE:RE2_BRS_GOLD:RE2_PRIV_EX:AI_RE2_EUR_UK_LON_E</v>
          </cell>
          <cell r="D5249" t="str">
            <v>Specific Risk</v>
          </cell>
          <cell r="E5249" t="str">
            <v>Specific Risk</v>
          </cell>
          <cell r="F5249" t="str">
            <v>Idiosyncratic</v>
          </cell>
          <cell r="G5249" t="str">
            <v>Other</v>
          </cell>
          <cell r="H5249" t="str">
            <v>OTHER_SPECIFIC</v>
          </cell>
          <cell r="I5249" t="str">
            <v>Alternative - Idiosyncratic</v>
          </cell>
        </row>
        <row r="5250">
          <cell r="A5250" t="str">
            <v>AI_RE2_US_E_RES_E</v>
          </cell>
          <cell r="B5250" t="str">
            <v>US E Res RE Ex</v>
          </cell>
          <cell r="C5250" t="str">
            <v>ALTERNATIVE:RE2_BRS_GOLD:RE2_PRIV_EX:AI_RE2_US_E_RES_E</v>
          </cell>
          <cell r="D5250" t="str">
            <v>Specific Risk</v>
          </cell>
          <cell r="E5250" t="str">
            <v>Specific Risk</v>
          </cell>
          <cell r="F5250" t="str">
            <v>Idiosyncratic</v>
          </cell>
          <cell r="G5250" t="str">
            <v>Other</v>
          </cell>
          <cell r="H5250" t="str">
            <v>OTHER_SPECIFIC</v>
          </cell>
          <cell r="I5250" t="str">
            <v>Alternative - Idiosyncratic</v>
          </cell>
        </row>
        <row r="5251">
          <cell r="A5251" t="str">
            <v>AI_RE2_US_M_RES_E</v>
          </cell>
          <cell r="B5251" t="str">
            <v>US MW Res RE Ex</v>
          </cell>
          <cell r="C5251" t="str">
            <v>ALTERNATIVE:RE2_BRS_GOLD:RE2_PRIV_EX:AI_RE2_US_M_RES_E</v>
          </cell>
          <cell r="D5251" t="str">
            <v>Specific Risk</v>
          </cell>
          <cell r="E5251" t="str">
            <v>Specific Risk</v>
          </cell>
          <cell r="F5251" t="str">
            <v>Idiosyncratic</v>
          </cell>
          <cell r="G5251" t="str">
            <v>Other</v>
          </cell>
          <cell r="H5251" t="str">
            <v>OTHER_SPECIFIC</v>
          </cell>
          <cell r="I5251" t="str">
            <v>Alternative - Idiosyncratic</v>
          </cell>
        </row>
        <row r="5252">
          <cell r="A5252" t="str">
            <v>AI_RE2_US_S_RES_E</v>
          </cell>
          <cell r="B5252" t="str">
            <v>US S Res RE Ex</v>
          </cell>
          <cell r="C5252" t="str">
            <v>ALTERNATIVE:RE2_BRS_GOLD:RE2_PRIV_EX:AI_RE2_US_S_RES_E</v>
          </cell>
          <cell r="D5252" t="str">
            <v>Specific Risk</v>
          </cell>
          <cell r="E5252" t="str">
            <v>Specific Risk</v>
          </cell>
          <cell r="F5252" t="str">
            <v>Idiosyncratic</v>
          </cell>
          <cell r="G5252" t="str">
            <v>Other</v>
          </cell>
          <cell r="H5252" t="str">
            <v>OTHER_SPECIFIC</v>
          </cell>
          <cell r="I5252" t="str">
            <v>Alternative - Idiosyncratic</v>
          </cell>
        </row>
        <row r="5253">
          <cell r="A5253" t="str">
            <v>AI_RE2_US_W_RES_E</v>
          </cell>
          <cell r="B5253" t="str">
            <v>US W Res RE Ex</v>
          </cell>
          <cell r="C5253" t="str">
            <v>ALTERNATIVE:RE2_BRS_GOLD:RE2_PRIV_EX:AI_RE2_US_W_RES_E</v>
          </cell>
          <cell r="D5253" t="str">
            <v>Specific Risk</v>
          </cell>
          <cell r="E5253" t="str">
            <v>Specific Risk</v>
          </cell>
          <cell r="F5253" t="str">
            <v>Idiosyncratic</v>
          </cell>
          <cell r="G5253" t="str">
            <v>Other</v>
          </cell>
          <cell r="H5253" t="str">
            <v>OTHER_SPECIFIC</v>
          </cell>
          <cell r="I5253" t="str">
            <v>Alternative - Idiosyncratic</v>
          </cell>
        </row>
        <row r="5254">
          <cell r="A5254" t="str">
            <v>AI_RE2_US_E_HLTH_E</v>
          </cell>
          <cell r="B5254" t="str">
            <v>US E Hlth RE Ex</v>
          </cell>
          <cell r="C5254" t="str">
            <v>ALTERNATIVE:RE2_BRS_GOLD:RE2_PRIV_EX:AI_RE2_US_E_HLTH_E</v>
          </cell>
          <cell r="D5254" t="str">
            <v>Specific Risk</v>
          </cell>
          <cell r="E5254" t="str">
            <v>Specific Risk</v>
          </cell>
          <cell r="F5254" t="str">
            <v>Idiosyncratic</v>
          </cell>
          <cell r="G5254" t="str">
            <v>Other</v>
          </cell>
          <cell r="H5254" t="str">
            <v>OTHER_SPECIFIC</v>
          </cell>
          <cell r="I5254" t="str">
            <v>Alternative - Idiosyncratic</v>
          </cell>
        </row>
        <row r="5255">
          <cell r="A5255" t="str">
            <v>AI_RE2_US_M_HLTH_E</v>
          </cell>
          <cell r="B5255" t="str">
            <v>US MW Hlth RE Ex</v>
          </cell>
          <cell r="C5255" t="str">
            <v>ALTERNATIVE:RE2_BRS_GOLD:RE2_PRIV_EX:AI_RE2_US_M_HLTH_E</v>
          </cell>
          <cell r="D5255" t="str">
            <v>Specific Risk</v>
          </cell>
          <cell r="E5255" t="str">
            <v>Specific Risk</v>
          </cell>
          <cell r="F5255" t="str">
            <v>Idiosyncratic</v>
          </cell>
          <cell r="G5255" t="str">
            <v>Other</v>
          </cell>
          <cell r="H5255" t="str">
            <v>OTHER_SPECIFIC</v>
          </cell>
          <cell r="I5255" t="str">
            <v>Alternative - Idiosyncratic</v>
          </cell>
        </row>
        <row r="5256">
          <cell r="A5256" t="str">
            <v>AI_RE2_US_S_HLTH_E</v>
          </cell>
          <cell r="B5256" t="str">
            <v>US S Hlth RE Ex</v>
          </cell>
          <cell r="C5256" t="str">
            <v>ALTERNATIVE:RE2_BRS_GOLD:RE2_PRIV_EX:AI_RE2_US_S_HLTH_E</v>
          </cell>
          <cell r="D5256" t="str">
            <v>Specific Risk</v>
          </cell>
          <cell r="E5256" t="str">
            <v>Specific Risk</v>
          </cell>
          <cell r="F5256" t="str">
            <v>Idiosyncratic</v>
          </cell>
          <cell r="G5256" t="str">
            <v>Other</v>
          </cell>
          <cell r="H5256" t="str">
            <v>OTHER_SPECIFIC</v>
          </cell>
          <cell r="I5256" t="str">
            <v>Alternative - Idiosyncratic</v>
          </cell>
        </row>
        <row r="5257">
          <cell r="A5257" t="str">
            <v>AI_RE2_US_W_HLTH_E</v>
          </cell>
          <cell r="B5257" t="str">
            <v>US W Hlth RE Ex</v>
          </cell>
          <cell r="C5257" t="str">
            <v>ALTERNATIVE:RE2_BRS_GOLD:RE2_PRIV_EX:AI_RE2_US_W_HLTH_E</v>
          </cell>
          <cell r="D5257" t="str">
            <v>Specific Risk</v>
          </cell>
          <cell r="E5257" t="str">
            <v>Specific Risk</v>
          </cell>
          <cell r="F5257" t="str">
            <v>Idiosyncratic</v>
          </cell>
          <cell r="G5257" t="str">
            <v>Other</v>
          </cell>
          <cell r="H5257" t="str">
            <v>OTHER_SPECIFIC</v>
          </cell>
          <cell r="I5257" t="str">
            <v>Alternative - Idiosyncratic</v>
          </cell>
        </row>
        <row r="5258">
          <cell r="A5258" t="str">
            <v>AI_RE2_US_E_LOD_E</v>
          </cell>
          <cell r="B5258" t="str">
            <v>US E Lod RE Ex</v>
          </cell>
          <cell r="C5258" t="str">
            <v>ALTERNATIVE:RE2_BRS_GOLD:RE2_PRIV_EX:AI_RE2_US_E_LOD_E</v>
          </cell>
          <cell r="D5258" t="str">
            <v>Specific Risk</v>
          </cell>
          <cell r="E5258" t="str">
            <v>Specific Risk</v>
          </cell>
          <cell r="F5258" t="str">
            <v>Idiosyncratic</v>
          </cell>
          <cell r="G5258" t="str">
            <v>Other</v>
          </cell>
          <cell r="H5258" t="str">
            <v>OTHER_SPECIFIC</v>
          </cell>
          <cell r="I5258" t="str">
            <v>Alternative - Idiosyncratic</v>
          </cell>
        </row>
        <row r="5259">
          <cell r="A5259" t="str">
            <v>AI_RE2_US_M_LOD_E</v>
          </cell>
          <cell r="B5259" t="str">
            <v>US MW Lod RE Ex</v>
          </cell>
          <cell r="C5259" t="str">
            <v>ALTERNATIVE:RE2_BRS_GOLD:RE2_PRIV_EX:AI_RE2_US_M_LOD_E</v>
          </cell>
          <cell r="D5259" t="str">
            <v>Specific Risk</v>
          </cell>
          <cell r="E5259" t="str">
            <v>Specific Risk</v>
          </cell>
          <cell r="F5259" t="str">
            <v>Idiosyncratic</v>
          </cell>
          <cell r="G5259" t="str">
            <v>Other</v>
          </cell>
          <cell r="H5259" t="str">
            <v>OTHER_SPECIFIC</v>
          </cell>
          <cell r="I5259" t="str">
            <v>Alternative - Idiosyncratic</v>
          </cell>
        </row>
        <row r="5260">
          <cell r="A5260" t="str">
            <v>AI_RE2_US_S_LOD_E</v>
          </cell>
          <cell r="B5260" t="str">
            <v>US S Lod RE Ex</v>
          </cell>
          <cell r="C5260" t="str">
            <v>ALTERNATIVE:RE2_BRS_GOLD:RE2_PRIV_EX:AI_RE2_US_S_LOD_E</v>
          </cell>
          <cell r="D5260" t="str">
            <v>Specific Risk</v>
          </cell>
          <cell r="E5260" t="str">
            <v>Specific Risk</v>
          </cell>
          <cell r="F5260" t="str">
            <v>Idiosyncratic</v>
          </cell>
          <cell r="G5260" t="str">
            <v>Other</v>
          </cell>
          <cell r="H5260" t="str">
            <v>OTHER_SPECIFIC</v>
          </cell>
          <cell r="I5260" t="str">
            <v>Alternative - Idiosyncratic</v>
          </cell>
        </row>
        <row r="5261">
          <cell r="A5261" t="str">
            <v>AI_RE2_US_W_LOD_E</v>
          </cell>
          <cell r="B5261" t="str">
            <v>US W Lod RE Ex</v>
          </cell>
          <cell r="C5261" t="str">
            <v>ALTERNATIVE:RE2_BRS_GOLD:RE2_PRIV_EX:AI_RE2_US_W_LOD_E</v>
          </cell>
          <cell r="D5261" t="str">
            <v>Specific Risk</v>
          </cell>
          <cell r="E5261" t="str">
            <v>Specific Risk</v>
          </cell>
          <cell r="F5261" t="str">
            <v>Idiosyncratic</v>
          </cell>
          <cell r="G5261" t="str">
            <v>Other</v>
          </cell>
          <cell r="H5261" t="str">
            <v>OTHER_SPECIFIC</v>
          </cell>
          <cell r="I5261" t="str">
            <v>Alternative - Idiosyncratic</v>
          </cell>
        </row>
        <row r="5262">
          <cell r="A5262" t="str">
            <v>AI_RE2_US_E_IND_E</v>
          </cell>
          <cell r="B5262" t="str">
            <v>US E Ind RE Ex</v>
          </cell>
          <cell r="C5262" t="str">
            <v>ALTERNATIVE:RE2_BRS_GOLD:RE2_PRIV_EX:AI_RE2_US_E_IND_E</v>
          </cell>
          <cell r="D5262" t="str">
            <v>Specific Risk</v>
          </cell>
          <cell r="E5262" t="str">
            <v>Specific Risk</v>
          </cell>
          <cell r="F5262" t="str">
            <v>Idiosyncratic</v>
          </cell>
          <cell r="G5262" t="str">
            <v>Other</v>
          </cell>
          <cell r="H5262" t="str">
            <v>OTHER_SPECIFIC</v>
          </cell>
          <cell r="I5262" t="str">
            <v>Alternative - Idiosyncratic</v>
          </cell>
        </row>
        <row r="5263">
          <cell r="A5263" t="str">
            <v>AI_RE2_US_M_IND_E</v>
          </cell>
          <cell r="B5263" t="str">
            <v>US MW Ind RE Ex</v>
          </cell>
          <cell r="C5263" t="str">
            <v>ALTERNATIVE:RE2_BRS_GOLD:RE2_PRIV_EX:AI_RE2_US_M_IND_E</v>
          </cell>
          <cell r="D5263" t="str">
            <v>Specific Risk</v>
          </cell>
          <cell r="E5263" t="str">
            <v>Specific Risk</v>
          </cell>
          <cell r="F5263" t="str">
            <v>Idiosyncratic</v>
          </cell>
          <cell r="G5263" t="str">
            <v>Other</v>
          </cell>
          <cell r="H5263" t="str">
            <v>OTHER_SPECIFIC</v>
          </cell>
          <cell r="I5263" t="str">
            <v>Alternative - Idiosyncratic</v>
          </cell>
        </row>
        <row r="5264">
          <cell r="A5264" t="str">
            <v>AI_RE2_US_S_IND_E</v>
          </cell>
          <cell r="B5264" t="str">
            <v>US S Ind RE Ex</v>
          </cell>
          <cell r="C5264" t="str">
            <v>ALTERNATIVE:RE2_BRS_GOLD:RE2_PRIV_EX:AI_RE2_US_S_IND_E</v>
          </cell>
          <cell r="D5264" t="str">
            <v>Specific Risk</v>
          </cell>
          <cell r="E5264" t="str">
            <v>Specific Risk</v>
          </cell>
          <cell r="F5264" t="str">
            <v>Idiosyncratic</v>
          </cell>
          <cell r="G5264" t="str">
            <v>Other</v>
          </cell>
          <cell r="H5264" t="str">
            <v>OTHER_SPECIFIC</v>
          </cell>
          <cell r="I5264" t="str">
            <v>Alternative - Idiosyncratic</v>
          </cell>
        </row>
        <row r="5265">
          <cell r="A5265" t="str">
            <v>AI_RE2_US_W_IND_E</v>
          </cell>
          <cell r="B5265" t="str">
            <v>US W Ind RE Ex</v>
          </cell>
          <cell r="C5265" t="str">
            <v>ALTERNATIVE:RE2_BRS_GOLD:RE2_PRIV_EX:AI_RE2_US_W_IND_E</v>
          </cell>
          <cell r="D5265" t="str">
            <v>Specific Risk</v>
          </cell>
          <cell r="E5265" t="str">
            <v>Specific Risk</v>
          </cell>
          <cell r="F5265" t="str">
            <v>Idiosyncratic</v>
          </cell>
          <cell r="G5265" t="str">
            <v>Other</v>
          </cell>
          <cell r="H5265" t="str">
            <v>OTHER_SPECIFIC</v>
          </cell>
          <cell r="I5265" t="str">
            <v>Alternative - Idiosyncratic</v>
          </cell>
        </row>
        <row r="5266">
          <cell r="A5266" t="str">
            <v>AI_RE2_US_E_OFF_E</v>
          </cell>
          <cell r="B5266" t="str">
            <v>US E Off RE Ex</v>
          </cell>
          <cell r="C5266" t="str">
            <v>ALTERNATIVE:RE2_BRS_GOLD:RE2_PRIV_EX:AI_RE2_US_E_OFF_E</v>
          </cell>
          <cell r="D5266" t="str">
            <v>Specific Risk</v>
          </cell>
          <cell r="E5266" t="str">
            <v>Specific Risk</v>
          </cell>
          <cell r="F5266" t="str">
            <v>Idiosyncratic</v>
          </cell>
          <cell r="G5266" t="str">
            <v>Other</v>
          </cell>
          <cell r="H5266" t="str">
            <v>OTHER_SPECIFIC</v>
          </cell>
          <cell r="I5266" t="str">
            <v>Alternative - Idiosyncratic</v>
          </cell>
        </row>
        <row r="5267">
          <cell r="A5267" t="str">
            <v>AI_RE2_US_M_OFF_E</v>
          </cell>
          <cell r="B5267" t="str">
            <v>US MW Off RE Ex</v>
          </cell>
          <cell r="C5267" t="str">
            <v>ALTERNATIVE:RE2_BRS_GOLD:RE2_PRIV_EX:AI_RE2_US_M_OFF_E</v>
          </cell>
          <cell r="D5267" t="str">
            <v>Specific Risk</v>
          </cell>
          <cell r="E5267" t="str">
            <v>Specific Risk</v>
          </cell>
          <cell r="F5267" t="str">
            <v>Idiosyncratic</v>
          </cell>
          <cell r="G5267" t="str">
            <v>Other</v>
          </cell>
          <cell r="H5267" t="str">
            <v>OTHER_SPECIFIC</v>
          </cell>
          <cell r="I5267" t="str">
            <v>Alternative - Idiosyncratic</v>
          </cell>
        </row>
        <row r="5268">
          <cell r="A5268" t="str">
            <v>AI_RE2_US_S_OFF_E</v>
          </cell>
          <cell r="B5268" t="str">
            <v>US S Off RE Ex</v>
          </cell>
          <cell r="C5268" t="str">
            <v>ALTERNATIVE:RE2_BRS_GOLD:RE2_PRIV_EX:AI_RE2_US_S_OFF_E</v>
          </cell>
          <cell r="D5268" t="str">
            <v>Specific Risk</v>
          </cell>
          <cell r="E5268" t="str">
            <v>Specific Risk</v>
          </cell>
          <cell r="F5268" t="str">
            <v>Idiosyncratic</v>
          </cell>
          <cell r="G5268" t="str">
            <v>Other</v>
          </cell>
          <cell r="H5268" t="str">
            <v>OTHER_SPECIFIC</v>
          </cell>
          <cell r="I5268" t="str">
            <v>Alternative - Idiosyncratic</v>
          </cell>
        </row>
        <row r="5269">
          <cell r="A5269" t="str">
            <v>AI_RE2_US_W_OFF_E</v>
          </cell>
          <cell r="B5269" t="str">
            <v>US W Off RE Ex</v>
          </cell>
          <cell r="C5269" t="str">
            <v>ALTERNATIVE:RE2_BRS_GOLD:RE2_PRIV_EX:AI_RE2_US_W_OFF_E</v>
          </cell>
          <cell r="D5269" t="str">
            <v>Specific Risk</v>
          </cell>
          <cell r="E5269" t="str">
            <v>Specific Risk</v>
          </cell>
          <cell r="F5269" t="str">
            <v>Idiosyncratic</v>
          </cell>
          <cell r="G5269" t="str">
            <v>Other</v>
          </cell>
          <cell r="H5269" t="str">
            <v>OTHER_SPECIFIC</v>
          </cell>
          <cell r="I5269" t="str">
            <v>Alternative - Idiosyncratic</v>
          </cell>
        </row>
        <row r="5270">
          <cell r="A5270" t="str">
            <v>AI_RE2_US_E_RET_E</v>
          </cell>
          <cell r="B5270" t="str">
            <v>US E Ret RE Ex</v>
          </cell>
          <cell r="C5270" t="str">
            <v>ALTERNATIVE:RE2_BRS_GOLD:RE2_PRIV_EX:AI_RE2_US_E_RET_E</v>
          </cell>
          <cell r="D5270" t="str">
            <v>Specific Risk</v>
          </cell>
          <cell r="E5270" t="str">
            <v>Specific Risk</v>
          </cell>
          <cell r="F5270" t="str">
            <v>Idiosyncratic</v>
          </cell>
          <cell r="G5270" t="str">
            <v>Other</v>
          </cell>
          <cell r="H5270" t="str">
            <v>OTHER_SPECIFIC</v>
          </cell>
          <cell r="I5270" t="str">
            <v>Alternative - Idiosyncratic</v>
          </cell>
        </row>
        <row r="5271">
          <cell r="A5271" t="str">
            <v>AI_RE2_US_M_RET_E</v>
          </cell>
          <cell r="B5271" t="str">
            <v>US MW Ret RE Ex</v>
          </cell>
          <cell r="C5271" t="str">
            <v>ALTERNATIVE:RE2_BRS_GOLD:RE2_PRIV_EX:AI_RE2_US_M_RET_E</v>
          </cell>
          <cell r="D5271" t="str">
            <v>Specific Risk</v>
          </cell>
          <cell r="E5271" t="str">
            <v>Specific Risk</v>
          </cell>
          <cell r="F5271" t="str">
            <v>Idiosyncratic</v>
          </cell>
          <cell r="G5271" t="str">
            <v>Other</v>
          </cell>
          <cell r="H5271" t="str">
            <v>OTHER_SPECIFIC</v>
          </cell>
          <cell r="I5271" t="str">
            <v>Alternative - Idiosyncratic</v>
          </cell>
        </row>
        <row r="5272">
          <cell r="A5272" t="str">
            <v>AI_RE2_US_S_RET_E</v>
          </cell>
          <cell r="B5272" t="str">
            <v>US S Ret RE Ex</v>
          </cell>
          <cell r="C5272" t="str">
            <v>ALTERNATIVE:RE2_BRS_GOLD:RE2_PRIV_EX:AI_RE2_US_S_RET_E</v>
          </cell>
          <cell r="D5272" t="str">
            <v>Specific Risk</v>
          </cell>
          <cell r="E5272" t="str">
            <v>Specific Risk</v>
          </cell>
          <cell r="F5272" t="str">
            <v>Idiosyncratic</v>
          </cell>
          <cell r="G5272" t="str">
            <v>Other</v>
          </cell>
          <cell r="H5272" t="str">
            <v>OTHER_SPECIFIC</v>
          </cell>
          <cell r="I5272" t="str">
            <v>Alternative - Idiosyncratic</v>
          </cell>
        </row>
        <row r="5273">
          <cell r="A5273" t="str">
            <v>AI_RE2_US_W_RET_E</v>
          </cell>
          <cell r="B5273" t="str">
            <v>US W Ret RE Ex</v>
          </cell>
          <cell r="C5273" t="str">
            <v>ALTERNATIVE:RE2_BRS_GOLD:RE2_PRIV_EX:AI_RE2_US_W_RET_E</v>
          </cell>
          <cell r="D5273" t="str">
            <v>Specific Risk</v>
          </cell>
          <cell r="E5273" t="str">
            <v>Specific Risk</v>
          </cell>
          <cell r="F5273" t="str">
            <v>Idiosyncratic</v>
          </cell>
          <cell r="G5273" t="str">
            <v>Other</v>
          </cell>
          <cell r="H5273" t="str">
            <v>OTHER_SPECIFIC</v>
          </cell>
          <cell r="I5273" t="str">
            <v>Alternative - Idiosyncratic</v>
          </cell>
        </row>
        <row r="5274">
          <cell r="A5274" t="str">
            <v>AI_RE2_US_E_MA_BOS_RES_E</v>
          </cell>
          <cell r="B5274" t="str">
            <v>US E MA Boston Res RE Ex</v>
          </cell>
          <cell r="C5274" t="str">
            <v>ALTERNATIVE:RE2_BRS_GOLD:RE2_PRIV_EX:AI_RE2_US_E_MA_BOS_RES_E</v>
          </cell>
          <cell r="D5274" t="str">
            <v>Specific Risk</v>
          </cell>
          <cell r="E5274" t="str">
            <v>Specific Risk</v>
          </cell>
          <cell r="F5274" t="str">
            <v>Idiosyncratic</v>
          </cell>
          <cell r="G5274" t="str">
            <v>Other</v>
          </cell>
          <cell r="H5274" t="str">
            <v>OTHER_SPECIFIC</v>
          </cell>
          <cell r="I5274" t="str">
            <v>Alternative - Idiosyncratic</v>
          </cell>
        </row>
        <row r="5275">
          <cell r="A5275" t="str">
            <v>AI_RE2_US_E_NY_NY_RES_E</v>
          </cell>
          <cell r="B5275" t="str">
            <v>US E NY New York Res RE Ex</v>
          </cell>
          <cell r="C5275" t="str">
            <v>ALTERNATIVE:RE2_BRS_GOLD:RE2_PRIV_EX:AI_RE2_US_E_NY_NY_RES_E</v>
          </cell>
          <cell r="D5275" t="str">
            <v>Specific Risk</v>
          </cell>
          <cell r="E5275" t="str">
            <v>Specific Risk</v>
          </cell>
          <cell r="F5275" t="str">
            <v>Idiosyncratic</v>
          </cell>
          <cell r="G5275" t="str">
            <v>Other</v>
          </cell>
          <cell r="H5275" t="str">
            <v>OTHER_SPECIFIC</v>
          </cell>
          <cell r="I5275" t="str">
            <v>Alternative - Idiosyncratic</v>
          </cell>
        </row>
        <row r="5276">
          <cell r="A5276" t="str">
            <v>AI_RE2_US_E_OTH_RES_E</v>
          </cell>
          <cell r="B5276" t="str">
            <v>US E Other Res RE Ex</v>
          </cell>
          <cell r="C5276" t="str">
            <v>ALTERNATIVE:RE2_BRS_GOLD:RE2_PRIV_EX:AI_RE2_US_E_OTH_RES_E</v>
          </cell>
          <cell r="D5276" t="str">
            <v>Specific Risk</v>
          </cell>
          <cell r="E5276" t="str">
            <v>Specific Risk</v>
          </cell>
          <cell r="F5276" t="str">
            <v>Idiosyncratic</v>
          </cell>
          <cell r="G5276" t="str">
            <v>Other</v>
          </cell>
          <cell r="H5276" t="str">
            <v>OTHER_SPECIFIC</v>
          </cell>
          <cell r="I5276" t="str">
            <v>Alternative - Idiosyncratic</v>
          </cell>
        </row>
        <row r="5277">
          <cell r="A5277" t="str">
            <v>AI_RE2_US_E_DC_WAS_RES_E</v>
          </cell>
          <cell r="B5277" t="str">
            <v>US E DC Washington Res RE Ex</v>
          </cell>
          <cell r="C5277" t="str">
            <v>ALTERNATIVE:RE2_BRS_GOLD:RE2_PRIV_EX:AI_RE2_US_E_DC_WAS_RES_E</v>
          </cell>
          <cell r="D5277" t="str">
            <v>Specific Risk</v>
          </cell>
          <cell r="E5277" t="str">
            <v>Specific Risk</v>
          </cell>
          <cell r="F5277" t="str">
            <v>Idiosyncratic</v>
          </cell>
          <cell r="G5277" t="str">
            <v>Other</v>
          </cell>
          <cell r="H5277" t="str">
            <v>OTHER_SPECIFIC</v>
          </cell>
          <cell r="I5277" t="str">
            <v>Alternative - Idiosyncratic</v>
          </cell>
        </row>
        <row r="5278">
          <cell r="A5278" t="str">
            <v>AI_RE2_US_S_GA_ATL_RES_E</v>
          </cell>
          <cell r="B5278" t="str">
            <v>US S GA Atlanta Res RE Ex</v>
          </cell>
          <cell r="C5278" t="str">
            <v>ALTERNATIVE:RE2_BRS_GOLD:RE2_PRIV_EX:AI_RE2_US_S_GA_ATL_RES_E</v>
          </cell>
          <cell r="D5278" t="str">
            <v>Specific Risk</v>
          </cell>
          <cell r="E5278" t="str">
            <v>Specific Risk</v>
          </cell>
          <cell r="F5278" t="str">
            <v>Idiosyncratic</v>
          </cell>
          <cell r="G5278" t="str">
            <v>Other</v>
          </cell>
          <cell r="H5278" t="str">
            <v>OTHER_SPECIFIC</v>
          </cell>
          <cell r="I5278" t="str">
            <v>Alternative - Idiosyncratic</v>
          </cell>
        </row>
        <row r="5279">
          <cell r="A5279" t="str">
            <v>AI_RE2_US_S_TX_DAL_RES_E</v>
          </cell>
          <cell r="B5279" t="str">
            <v>US S TX Dallas Res RE Ex</v>
          </cell>
          <cell r="C5279" t="str">
            <v>ALTERNATIVE:RE2_BRS_GOLD:RE2_PRIV_EX:AI_RE2_US_S_TX_DAL_RES_E</v>
          </cell>
          <cell r="D5279" t="str">
            <v>Specific Risk</v>
          </cell>
          <cell r="E5279" t="str">
            <v>Specific Risk</v>
          </cell>
          <cell r="F5279" t="str">
            <v>Idiosyncratic</v>
          </cell>
          <cell r="G5279" t="str">
            <v>Other</v>
          </cell>
          <cell r="H5279" t="str">
            <v>OTHER_SPECIFIC</v>
          </cell>
          <cell r="I5279" t="str">
            <v>Alternative - Idiosyncratic</v>
          </cell>
        </row>
        <row r="5280">
          <cell r="A5280" t="str">
            <v>AI_RE2_US_S_TX_HOU_RES_E</v>
          </cell>
          <cell r="B5280" t="str">
            <v>US S TX Houston Res RE Ex</v>
          </cell>
          <cell r="C5280" t="str">
            <v>ALTERNATIVE:RE2_BRS_GOLD:RE2_PRIV_EX:AI_RE2_US_S_TX_HOU_RES_E</v>
          </cell>
          <cell r="D5280" t="str">
            <v>Specific Risk</v>
          </cell>
          <cell r="E5280" t="str">
            <v>Specific Risk</v>
          </cell>
          <cell r="F5280" t="str">
            <v>Idiosyncratic</v>
          </cell>
          <cell r="G5280" t="str">
            <v>Other</v>
          </cell>
          <cell r="H5280" t="str">
            <v>OTHER_SPECIFIC</v>
          </cell>
          <cell r="I5280" t="str">
            <v>Alternative - Idiosyncratic</v>
          </cell>
        </row>
        <row r="5281">
          <cell r="A5281" t="str">
            <v>AI_RE2_US_S_TX_MIA_RES_E</v>
          </cell>
          <cell r="B5281" t="str">
            <v>US S FL Miami Res RE Ex</v>
          </cell>
          <cell r="C5281" t="str">
            <v>ALTERNATIVE:RE2_BRS_GOLD:RE2_PRIV_EX:AI_RE2_US_S_TX_MIA_RES_E</v>
          </cell>
          <cell r="D5281" t="str">
            <v>Specific Risk</v>
          </cell>
          <cell r="E5281" t="str">
            <v>Specific Risk</v>
          </cell>
          <cell r="F5281" t="str">
            <v>Idiosyncratic</v>
          </cell>
          <cell r="G5281" t="str">
            <v>Other</v>
          </cell>
          <cell r="H5281" t="str">
            <v>OTHER_SPECIFIC</v>
          </cell>
          <cell r="I5281" t="str">
            <v>Alternative - Idiosyncratic</v>
          </cell>
        </row>
        <row r="5282">
          <cell r="A5282" t="str">
            <v>AI_RE2_US_S_OTH_RES_E</v>
          </cell>
          <cell r="B5282" t="str">
            <v>US S Other Res RE Ex</v>
          </cell>
          <cell r="C5282" t="str">
            <v>ALTERNATIVE:RE2_BRS_GOLD:RE2_PRIV_EX:AI_RE2_US_S_OTH_RES_E</v>
          </cell>
          <cell r="D5282" t="str">
            <v>Specific Risk</v>
          </cell>
          <cell r="E5282" t="str">
            <v>Specific Risk</v>
          </cell>
          <cell r="F5282" t="str">
            <v>Idiosyncratic</v>
          </cell>
          <cell r="G5282" t="str">
            <v>Other</v>
          </cell>
          <cell r="H5282" t="str">
            <v>OTHER_SPECIFIC</v>
          </cell>
          <cell r="I5282" t="str">
            <v>Alternative - Idiosyncratic</v>
          </cell>
        </row>
        <row r="5283">
          <cell r="A5283" t="str">
            <v>AI_RE2_US_S_FL_TAM_RES_E</v>
          </cell>
          <cell r="B5283" t="str">
            <v>US S FL Tampa Res RE Ex</v>
          </cell>
          <cell r="C5283" t="str">
            <v>ALTERNATIVE:RE2_BRS_GOLD:RE2_PRIV_EX:AI_RE2_US_S_FL_TAM_RES_E</v>
          </cell>
          <cell r="D5283" t="str">
            <v>Specific Risk</v>
          </cell>
          <cell r="E5283" t="str">
            <v>Specific Risk</v>
          </cell>
          <cell r="F5283" t="str">
            <v>Idiosyncratic</v>
          </cell>
          <cell r="G5283" t="str">
            <v>Other</v>
          </cell>
          <cell r="H5283" t="str">
            <v>OTHER_SPECIFIC</v>
          </cell>
          <cell r="I5283" t="str">
            <v>Alternative - Idiosyncratic</v>
          </cell>
        </row>
        <row r="5284">
          <cell r="A5284" t="str">
            <v>AI_RE2_US_W_CA_LA_RES_E</v>
          </cell>
          <cell r="B5284" t="str">
            <v>US W CA LA Res RE Ex</v>
          </cell>
          <cell r="C5284" t="str">
            <v>ALTERNATIVE:RE2_BRS_GOLD:RE2_PRIV_EX:AI_RE2_US_W_CA_LA_RES_E</v>
          </cell>
          <cell r="D5284" t="str">
            <v>Specific Risk</v>
          </cell>
          <cell r="E5284" t="str">
            <v>Specific Risk</v>
          </cell>
          <cell r="F5284" t="str">
            <v>Idiosyncratic</v>
          </cell>
          <cell r="G5284" t="str">
            <v>Other</v>
          </cell>
          <cell r="H5284" t="str">
            <v>OTHER_SPECIFIC</v>
          </cell>
          <cell r="I5284" t="str">
            <v>Alternative - Idiosyncratic</v>
          </cell>
        </row>
        <row r="5285">
          <cell r="A5285" t="str">
            <v>AI_RE2_US_W_OTH_RES_E</v>
          </cell>
          <cell r="B5285" t="str">
            <v>US W Other Res RE Ex</v>
          </cell>
          <cell r="C5285" t="str">
            <v>ALTERNATIVE:RE2_BRS_GOLD:RE2_PRIV_EX:AI_RE2_US_W_OTH_RES_E</v>
          </cell>
          <cell r="D5285" t="str">
            <v>Specific Risk</v>
          </cell>
          <cell r="E5285" t="str">
            <v>Specific Risk</v>
          </cell>
          <cell r="F5285" t="str">
            <v>Idiosyncratic</v>
          </cell>
          <cell r="G5285" t="str">
            <v>Other</v>
          </cell>
          <cell r="H5285" t="str">
            <v>OTHER_SPECIFIC</v>
          </cell>
          <cell r="I5285" t="str">
            <v>Alternative - Idiosyncratic</v>
          </cell>
        </row>
        <row r="5286">
          <cell r="A5286" t="str">
            <v>AI_RE2_US_W_AZ_PHO_RES_E</v>
          </cell>
          <cell r="B5286" t="str">
            <v>US W AZ Phoenix Res RE Ex</v>
          </cell>
          <cell r="C5286" t="str">
            <v>ALTERNATIVE:RE2_BRS_GOLD:RE2_PRIV_EX:AI_RE2_US_W_AZ_PHO_RES_E</v>
          </cell>
          <cell r="D5286" t="str">
            <v>Specific Risk</v>
          </cell>
          <cell r="E5286" t="str">
            <v>Specific Risk</v>
          </cell>
          <cell r="F5286" t="str">
            <v>Idiosyncratic</v>
          </cell>
          <cell r="G5286" t="str">
            <v>Other</v>
          </cell>
          <cell r="H5286" t="str">
            <v>OTHER_SPECIFIC</v>
          </cell>
          <cell r="I5286" t="str">
            <v>Alternative - Idiosyncratic</v>
          </cell>
        </row>
        <row r="5287">
          <cell r="A5287" t="str">
            <v>AI_RE2_US_W_CA_SD_RES_E</v>
          </cell>
          <cell r="B5287" t="str">
            <v>US W CA SD Res RE Ex</v>
          </cell>
          <cell r="C5287" t="str">
            <v>ALTERNATIVE:RE2_BRS_GOLD:RE2_PRIV_EX:AI_RE2_US_W_CA_SD_RES_E</v>
          </cell>
          <cell r="D5287" t="str">
            <v>Specific Risk</v>
          </cell>
          <cell r="E5287" t="str">
            <v>Specific Risk</v>
          </cell>
          <cell r="F5287" t="str">
            <v>Idiosyncratic</v>
          </cell>
          <cell r="G5287" t="str">
            <v>Other</v>
          </cell>
          <cell r="H5287" t="str">
            <v>OTHER_SPECIFIC</v>
          </cell>
          <cell r="I5287" t="str">
            <v>Alternative - Idiosyncratic</v>
          </cell>
        </row>
        <row r="5288">
          <cell r="A5288" t="str">
            <v>AI_RE2_US_W_CA_SF_RES_E</v>
          </cell>
          <cell r="B5288" t="str">
            <v>US W CA SF Res RE Ex</v>
          </cell>
          <cell r="C5288" t="str">
            <v>ALTERNATIVE:RE2_BRS_GOLD:RE2_PRIV_EX:AI_RE2_US_W_CA_SF_RES_E</v>
          </cell>
          <cell r="D5288" t="str">
            <v>Specific Risk</v>
          </cell>
          <cell r="E5288" t="str">
            <v>Specific Risk</v>
          </cell>
          <cell r="F5288" t="str">
            <v>Idiosyncratic</v>
          </cell>
          <cell r="G5288" t="str">
            <v>Other</v>
          </cell>
          <cell r="H5288" t="str">
            <v>OTHER_SPECIFIC</v>
          </cell>
          <cell r="I5288" t="str">
            <v>Alternative - Idiosyncratic</v>
          </cell>
        </row>
        <row r="5289">
          <cell r="A5289" t="str">
            <v>AI_RE2_US_E_MA_BOS_HLTH_E</v>
          </cell>
          <cell r="B5289" t="str">
            <v>US E MA Boston Hlth RE Ex</v>
          </cell>
          <cell r="C5289" t="str">
            <v>ALTERNATIVE:RE2_BRS_GOLD:RE2_PRIV_EX:AI_RE2_US_E_MA_BOS_HLTH_E</v>
          </cell>
          <cell r="D5289" t="str">
            <v>Specific Risk</v>
          </cell>
          <cell r="E5289" t="str">
            <v>Specific Risk</v>
          </cell>
          <cell r="F5289" t="str">
            <v>Idiosyncratic</v>
          </cell>
          <cell r="G5289" t="str">
            <v>Other</v>
          </cell>
          <cell r="H5289" t="str">
            <v>OTHER_SPECIFIC</v>
          </cell>
          <cell r="I5289" t="str">
            <v>Alternative - Idiosyncratic</v>
          </cell>
        </row>
        <row r="5290">
          <cell r="A5290" t="str">
            <v>AI_RE2_US_E_NY_NY_HLTH_E</v>
          </cell>
          <cell r="B5290" t="str">
            <v>US E NY New York Hlth RE Ex</v>
          </cell>
          <cell r="C5290" t="str">
            <v>ALTERNATIVE:RE2_BRS_GOLD:RE2_PRIV_EX:AI_RE2_US_E_NY_NY_HLTH_E</v>
          </cell>
          <cell r="D5290" t="str">
            <v>Specific Risk</v>
          </cell>
          <cell r="E5290" t="str">
            <v>Specific Risk</v>
          </cell>
          <cell r="F5290" t="str">
            <v>Idiosyncratic</v>
          </cell>
          <cell r="G5290" t="str">
            <v>Other</v>
          </cell>
          <cell r="H5290" t="str">
            <v>OTHER_SPECIFIC</v>
          </cell>
          <cell r="I5290" t="str">
            <v>Alternative - Idiosyncratic</v>
          </cell>
        </row>
        <row r="5291">
          <cell r="A5291" t="str">
            <v>AI_RE2_US_E_OTH_HLTH_E</v>
          </cell>
          <cell r="B5291" t="str">
            <v>US E Other Hlth RE Ex</v>
          </cell>
          <cell r="C5291" t="str">
            <v>ALTERNATIVE:RE2_BRS_GOLD:RE2_PRIV_EX:AI_RE2_US_E_OTH_HLTH_E</v>
          </cell>
          <cell r="D5291" t="str">
            <v>Specific Risk</v>
          </cell>
          <cell r="E5291" t="str">
            <v>Specific Risk</v>
          </cell>
          <cell r="F5291" t="str">
            <v>Idiosyncratic</v>
          </cell>
          <cell r="G5291" t="str">
            <v>Other</v>
          </cell>
          <cell r="H5291" t="str">
            <v>OTHER_SPECIFIC</v>
          </cell>
          <cell r="I5291" t="str">
            <v>Alternative - Idiosyncratic</v>
          </cell>
        </row>
        <row r="5292">
          <cell r="A5292" t="str">
            <v>AI_RE2_US_E_PA_PHI_HLTH_E</v>
          </cell>
          <cell r="B5292" t="str">
            <v>US E PA PHL Hlth RE Ex</v>
          </cell>
          <cell r="C5292" t="str">
            <v>ALTERNATIVE:RE2_BRS_GOLD:RE2_PRIV_EX:AI_RE2_US_E_PA_PHI_HLTH_E</v>
          </cell>
          <cell r="D5292" t="str">
            <v>Specific Risk</v>
          </cell>
          <cell r="E5292" t="str">
            <v>Specific Risk</v>
          </cell>
          <cell r="F5292" t="str">
            <v>Idiosyncratic</v>
          </cell>
          <cell r="G5292" t="str">
            <v>Other</v>
          </cell>
          <cell r="H5292" t="str">
            <v>OTHER_SPECIFIC</v>
          </cell>
          <cell r="I5292" t="str">
            <v>Alternative - Idiosyncratic</v>
          </cell>
        </row>
        <row r="5293">
          <cell r="A5293" t="str">
            <v>AI_RE2_US_E_DC_WAS_HLTH_E</v>
          </cell>
          <cell r="B5293" t="str">
            <v>US E DC Washington Hlth RE Ex</v>
          </cell>
          <cell r="C5293" t="str">
            <v>ALTERNATIVE:RE2_BRS_GOLD:RE2_PRIV_EX:AI_RE2_US_E_DC_WAS_HLTH_E</v>
          </cell>
          <cell r="D5293" t="str">
            <v>Specific Risk</v>
          </cell>
          <cell r="E5293" t="str">
            <v>Specific Risk</v>
          </cell>
          <cell r="F5293" t="str">
            <v>Idiosyncratic</v>
          </cell>
          <cell r="G5293" t="str">
            <v>Other</v>
          </cell>
          <cell r="H5293" t="str">
            <v>OTHER_SPECIFIC</v>
          </cell>
          <cell r="I5293" t="str">
            <v>Alternative - Idiosyncratic</v>
          </cell>
        </row>
        <row r="5294">
          <cell r="A5294" t="str">
            <v>AI_RE2_US_M_IL_CHI_HLTH_E</v>
          </cell>
          <cell r="B5294" t="str">
            <v>US MW IL Chicago Hlth RE Ex</v>
          </cell>
          <cell r="C5294" t="str">
            <v>ALTERNATIVE:RE2_BRS_GOLD:RE2_PRIV_EX:AI_RE2_US_M_IL_CHI_HLTH_E</v>
          </cell>
          <cell r="D5294" t="str">
            <v>Specific Risk</v>
          </cell>
          <cell r="E5294" t="str">
            <v>Specific Risk</v>
          </cell>
          <cell r="F5294" t="str">
            <v>Idiosyncratic</v>
          </cell>
          <cell r="G5294" t="str">
            <v>Other</v>
          </cell>
          <cell r="H5294" t="str">
            <v>OTHER_SPECIFIC</v>
          </cell>
          <cell r="I5294" t="str">
            <v>Alternative - Idiosyncratic</v>
          </cell>
        </row>
        <row r="5295">
          <cell r="A5295" t="str">
            <v>AI_RE2_US_M_MI_DET_HLTH_E</v>
          </cell>
          <cell r="B5295" t="str">
            <v>US MW MI Detroit Hlth RE Ex</v>
          </cell>
          <cell r="C5295" t="str">
            <v>ALTERNATIVE:RE2_BRS_GOLD:RE2_PRIV_EX:AI_RE2_US_M_MI_DET_HLTH_E</v>
          </cell>
          <cell r="D5295" t="str">
            <v>Specific Risk</v>
          </cell>
          <cell r="E5295" t="str">
            <v>Specific Risk</v>
          </cell>
          <cell r="F5295" t="str">
            <v>Idiosyncratic</v>
          </cell>
          <cell r="G5295" t="str">
            <v>Other</v>
          </cell>
          <cell r="H5295" t="str">
            <v>OTHER_SPECIFIC</v>
          </cell>
          <cell r="I5295" t="str">
            <v>Alternative - Idiosyncratic</v>
          </cell>
        </row>
        <row r="5296">
          <cell r="A5296" t="str">
            <v>AI_RE2_US_M_MN_MIN_HLTH_E</v>
          </cell>
          <cell r="B5296" t="str">
            <v>US MW MN MPLS Hlth RE Ex</v>
          </cell>
          <cell r="C5296" t="str">
            <v>ALTERNATIVE:RE2_BRS_GOLD:RE2_PRIV_EX:AI_RE2_US_M_MN_MIN_HLTH_E</v>
          </cell>
          <cell r="D5296" t="str">
            <v>Specific Risk</v>
          </cell>
          <cell r="E5296" t="str">
            <v>Specific Risk</v>
          </cell>
          <cell r="F5296" t="str">
            <v>Idiosyncratic</v>
          </cell>
          <cell r="G5296" t="str">
            <v>Other</v>
          </cell>
          <cell r="H5296" t="str">
            <v>OTHER_SPECIFIC</v>
          </cell>
          <cell r="I5296" t="str">
            <v>Alternative - Idiosyncratic</v>
          </cell>
        </row>
        <row r="5297">
          <cell r="A5297" t="str">
            <v>AI_RE2_US_M_OTH_HLTH_E</v>
          </cell>
          <cell r="B5297" t="str">
            <v>US MW Other Hlth RE Ex</v>
          </cell>
          <cell r="C5297" t="str">
            <v>ALTERNATIVE:RE2_BRS_GOLD:RE2_PRIV_EX:AI_RE2_US_M_OTH_HLTH_E</v>
          </cell>
          <cell r="D5297" t="str">
            <v>Specific Risk</v>
          </cell>
          <cell r="E5297" t="str">
            <v>Specific Risk</v>
          </cell>
          <cell r="F5297" t="str">
            <v>Idiosyncratic</v>
          </cell>
          <cell r="G5297" t="str">
            <v>Other</v>
          </cell>
          <cell r="H5297" t="str">
            <v>OTHER_SPECIFIC</v>
          </cell>
          <cell r="I5297" t="str">
            <v>Alternative - Idiosyncratic</v>
          </cell>
        </row>
        <row r="5298">
          <cell r="A5298" t="str">
            <v>AI_RE2_US_M_MO_STL_HLTH_E</v>
          </cell>
          <cell r="B5298" t="str">
            <v>US MW MO St.Louis Hlth RE Ex</v>
          </cell>
          <cell r="C5298" t="str">
            <v>ALTERNATIVE:RE2_BRS_GOLD:RE2_PRIV_EX:AI_RE2_US_M_MO_STL_HLTH_E</v>
          </cell>
          <cell r="D5298" t="str">
            <v>Specific Risk</v>
          </cell>
          <cell r="E5298" t="str">
            <v>Specific Risk</v>
          </cell>
          <cell r="F5298" t="str">
            <v>Idiosyncratic</v>
          </cell>
          <cell r="G5298" t="str">
            <v>Other</v>
          </cell>
          <cell r="H5298" t="str">
            <v>OTHER_SPECIFIC</v>
          </cell>
          <cell r="I5298" t="str">
            <v>Alternative - Idiosyncratic</v>
          </cell>
        </row>
        <row r="5299">
          <cell r="A5299" t="str">
            <v>AI_RE2_US_S_GA_ATL_HLTH_E</v>
          </cell>
          <cell r="B5299" t="str">
            <v>US S GA Atlanta Hlth RE Ex</v>
          </cell>
          <cell r="C5299" t="str">
            <v>ALTERNATIVE:RE2_BRS_GOLD:RE2_PRIV_EX:AI_RE2_US_S_GA_ATL_HLTH_E</v>
          </cell>
          <cell r="D5299" t="str">
            <v>Specific Risk</v>
          </cell>
          <cell r="E5299" t="str">
            <v>Specific Risk</v>
          </cell>
          <cell r="F5299" t="str">
            <v>Idiosyncratic</v>
          </cell>
          <cell r="G5299" t="str">
            <v>Other</v>
          </cell>
          <cell r="H5299" t="str">
            <v>OTHER_SPECIFIC</v>
          </cell>
          <cell r="I5299" t="str">
            <v>Alternative - Idiosyncratic</v>
          </cell>
        </row>
        <row r="5300">
          <cell r="A5300" t="str">
            <v>AI_RE2_US_S_TX_DAL_HLTH_E</v>
          </cell>
          <cell r="B5300" t="str">
            <v>US S TX Dallas Hlth RE Ex</v>
          </cell>
          <cell r="C5300" t="str">
            <v>ALTERNATIVE:RE2_BRS_GOLD:RE2_PRIV_EX:AI_RE2_US_S_TX_DAL_HLTH_E</v>
          </cell>
          <cell r="D5300" t="str">
            <v>Specific Risk</v>
          </cell>
          <cell r="E5300" t="str">
            <v>Specific Risk</v>
          </cell>
          <cell r="F5300" t="str">
            <v>Idiosyncratic</v>
          </cell>
          <cell r="G5300" t="str">
            <v>Other</v>
          </cell>
          <cell r="H5300" t="str">
            <v>OTHER_SPECIFIC</v>
          </cell>
          <cell r="I5300" t="str">
            <v>Alternative - Idiosyncratic</v>
          </cell>
        </row>
        <row r="5301">
          <cell r="A5301" t="str">
            <v>AI_RE2_US_S_TX_HOU_HLTH_E</v>
          </cell>
          <cell r="B5301" t="str">
            <v>US S TX Houston Hlth RE Ex</v>
          </cell>
          <cell r="C5301" t="str">
            <v>ALTERNATIVE:RE2_BRS_GOLD:RE2_PRIV_EX:AI_RE2_US_S_TX_HOU_HLTH_E</v>
          </cell>
          <cell r="D5301" t="str">
            <v>Specific Risk</v>
          </cell>
          <cell r="E5301" t="str">
            <v>Specific Risk</v>
          </cell>
          <cell r="F5301" t="str">
            <v>Idiosyncratic</v>
          </cell>
          <cell r="G5301" t="str">
            <v>Other</v>
          </cell>
          <cell r="H5301" t="str">
            <v>OTHER_SPECIFIC</v>
          </cell>
          <cell r="I5301" t="str">
            <v>Alternative - Idiosyncratic</v>
          </cell>
        </row>
        <row r="5302">
          <cell r="A5302" t="str">
            <v>AI_RE2_US_S_FL_MIA_HLTH_E</v>
          </cell>
          <cell r="B5302" t="str">
            <v>US S FL Miami Hlth RE Ex</v>
          </cell>
          <cell r="C5302" t="str">
            <v>ALTERNATIVE:RE2_BRS_GOLD:RE2_PRIV_EX:AI_RE2_US_S_FL_MIA_HLTH_E</v>
          </cell>
          <cell r="D5302" t="str">
            <v>Specific Risk</v>
          </cell>
          <cell r="E5302" t="str">
            <v>Specific Risk</v>
          </cell>
          <cell r="F5302" t="str">
            <v>Idiosyncratic</v>
          </cell>
          <cell r="G5302" t="str">
            <v>Other</v>
          </cell>
          <cell r="H5302" t="str">
            <v>OTHER_SPECIFIC</v>
          </cell>
          <cell r="I5302" t="str">
            <v>Alternative - Idiosyncratic</v>
          </cell>
        </row>
        <row r="5303">
          <cell r="A5303" t="str">
            <v>AI_RE2_US_S_OTH_HLTH_E</v>
          </cell>
          <cell r="B5303" t="str">
            <v>US S Other Hlth RE Ex</v>
          </cell>
          <cell r="C5303" t="str">
            <v>ALTERNATIVE:RE2_BRS_GOLD:RE2_PRIV_EX:AI_RE2_US_S_OTH_HLTH_E</v>
          </cell>
          <cell r="D5303" t="str">
            <v>Specific Risk</v>
          </cell>
          <cell r="E5303" t="str">
            <v>Specific Risk</v>
          </cell>
          <cell r="F5303" t="str">
            <v>Idiosyncratic</v>
          </cell>
          <cell r="G5303" t="str">
            <v>Other</v>
          </cell>
          <cell r="H5303" t="str">
            <v>OTHER_SPECIFIC</v>
          </cell>
          <cell r="I5303" t="str">
            <v>Alternative - Idiosyncratic</v>
          </cell>
        </row>
        <row r="5304">
          <cell r="A5304" t="str">
            <v>AI_RE2_US_S_FL_TAM_HLTH_E</v>
          </cell>
          <cell r="B5304" t="str">
            <v>US S FL Tampa Hlth RE Ex</v>
          </cell>
          <cell r="C5304" t="str">
            <v>ALTERNATIVE:RE2_BRS_GOLD:RE2_PRIV_EX:AI_RE2_US_S_FL_TAM_HLTH_E</v>
          </cell>
          <cell r="D5304" t="str">
            <v>Specific Risk</v>
          </cell>
          <cell r="E5304" t="str">
            <v>Specific Risk</v>
          </cell>
          <cell r="F5304" t="str">
            <v>Idiosyncratic</v>
          </cell>
          <cell r="G5304" t="str">
            <v>Other</v>
          </cell>
          <cell r="H5304" t="str">
            <v>OTHER_SPECIFIC</v>
          </cell>
          <cell r="I5304" t="str">
            <v>Alternative - Idiosyncratic</v>
          </cell>
        </row>
        <row r="5305">
          <cell r="A5305" t="str">
            <v>AI_RE2_US_W_CA_LA_HLTH_E</v>
          </cell>
          <cell r="B5305" t="str">
            <v>US W CA LA Hlth RE Ex</v>
          </cell>
          <cell r="C5305" t="str">
            <v>ALTERNATIVE:RE2_BRS_GOLD:RE2_PRIV_EX:AI_RE2_US_W_CA_LA_HLTH_E</v>
          </cell>
          <cell r="D5305" t="str">
            <v>Specific Risk</v>
          </cell>
          <cell r="E5305" t="str">
            <v>Specific Risk</v>
          </cell>
          <cell r="F5305" t="str">
            <v>Idiosyncratic</v>
          </cell>
          <cell r="G5305" t="str">
            <v>Other</v>
          </cell>
          <cell r="H5305" t="str">
            <v>OTHER_SPECIFIC</v>
          </cell>
          <cell r="I5305" t="str">
            <v>Alternative - Idiosyncratic</v>
          </cell>
        </row>
        <row r="5306">
          <cell r="A5306" t="str">
            <v>AI_RE2_US_W_OTH_HLTH_E</v>
          </cell>
          <cell r="B5306" t="str">
            <v>US W Other Hlth RE Ex</v>
          </cell>
          <cell r="C5306" t="str">
            <v>ALTERNATIVE:RE2_BRS_GOLD:RE2_PRIV_EX:AI_RE2_US_W_OTH_HLTH_E</v>
          </cell>
          <cell r="D5306" t="str">
            <v>Specific Risk</v>
          </cell>
          <cell r="E5306" t="str">
            <v>Specific Risk</v>
          </cell>
          <cell r="F5306" t="str">
            <v>Idiosyncratic</v>
          </cell>
          <cell r="G5306" t="str">
            <v>Other</v>
          </cell>
          <cell r="H5306" t="str">
            <v>OTHER_SPECIFIC</v>
          </cell>
          <cell r="I5306" t="str">
            <v>Alternative - Idiosyncratic</v>
          </cell>
        </row>
        <row r="5307">
          <cell r="A5307" t="str">
            <v>AI_RE2_US_W_AZ_PHO_HLTH_E</v>
          </cell>
          <cell r="B5307" t="str">
            <v>US W AZ Phoenix Hlth RE Ex</v>
          </cell>
          <cell r="C5307" t="str">
            <v>ALTERNATIVE:RE2_BRS_GOLD:RE2_PRIV_EX:AI_RE2_US_W_AZ_PHO_HLTH_E</v>
          </cell>
          <cell r="D5307" t="str">
            <v>Specific Risk</v>
          </cell>
          <cell r="E5307" t="str">
            <v>Specific Risk</v>
          </cell>
          <cell r="F5307" t="str">
            <v>Idiosyncratic</v>
          </cell>
          <cell r="G5307" t="str">
            <v>Other</v>
          </cell>
          <cell r="H5307" t="str">
            <v>OTHER_SPECIFIC</v>
          </cell>
          <cell r="I5307" t="str">
            <v>Alternative - Idiosyncratic</v>
          </cell>
        </row>
        <row r="5308">
          <cell r="A5308" t="str">
            <v>AI_RE2_US_W_CA_SD_HLTH_E</v>
          </cell>
          <cell r="B5308" t="str">
            <v>US W CA SD Hlth RE Ex</v>
          </cell>
          <cell r="C5308" t="str">
            <v>ALTERNATIVE:RE2_BRS_GOLD:RE2_PRIV_EX:AI_RE2_US_W_CA_SD_HLTH_E</v>
          </cell>
          <cell r="D5308" t="str">
            <v>Specific Risk</v>
          </cell>
          <cell r="E5308" t="str">
            <v>Specific Risk</v>
          </cell>
          <cell r="F5308" t="str">
            <v>Idiosyncratic</v>
          </cell>
          <cell r="G5308" t="str">
            <v>Other</v>
          </cell>
          <cell r="H5308" t="str">
            <v>OTHER_SPECIFIC</v>
          </cell>
          <cell r="I5308" t="str">
            <v>Alternative - Idiosyncratic</v>
          </cell>
        </row>
        <row r="5309">
          <cell r="A5309" t="str">
            <v>AI_RE2_US_W_CA_SF_HLTH_E</v>
          </cell>
          <cell r="B5309" t="str">
            <v>US W CA SF Hlth RE Ex</v>
          </cell>
          <cell r="C5309" t="str">
            <v>ALTERNATIVE:RE2_BRS_GOLD:RE2_PRIV_EX:AI_RE2_US_W_CA_SF_HLTH_E</v>
          </cell>
          <cell r="D5309" t="str">
            <v>Specific Risk</v>
          </cell>
          <cell r="E5309" t="str">
            <v>Specific Risk</v>
          </cell>
          <cell r="F5309" t="str">
            <v>Idiosyncratic</v>
          </cell>
          <cell r="G5309" t="str">
            <v>Other</v>
          </cell>
          <cell r="H5309" t="str">
            <v>OTHER_SPECIFIC</v>
          </cell>
          <cell r="I5309" t="str">
            <v>Alternative - Idiosyncratic</v>
          </cell>
        </row>
        <row r="5310">
          <cell r="A5310" t="str">
            <v>AI_RE2_US_W_WA_SEA_HLTH_E</v>
          </cell>
          <cell r="B5310" t="str">
            <v>US W WA Seattle Hlth RE Ex</v>
          </cell>
          <cell r="C5310" t="str">
            <v>ALTERNATIVE:RE2_BRS_GOLD:RE2_PRIV_EX:AI_RE2_US_W_WA_SEA_HLTH_E</v>
          </cell>
          <cell r="D5310" t="str">
            <v>Specific Risk</v>
          </cell>
          <cell r="E5310" t="str">
            <v>Specific Risk</v>
          </cell>
          <cell r="F5310" t="str">
            <v>Idiosyncratic</v>
          </cell>
          <cell r="G5310" t="str">
            <v>Other</v>
          </cell>
          <cell r="H5310" t="str">
            <v>OTHER_SPECIFIC</v>
          </cell>
          <cell r="I5310" t="str">
            <v>Alternative - Idiosyncratic</v>
          </cell>
        </row>
        <row r="5311">
          <cell r="A5311" t="str">
            <v>AI_RE2_US_E_MA_BOS_LOD_E</v>
          </cell>
          <cell r="B5311" t="str">
            <v>US E MA Boston Lod RE Ex</v>
          </cell>
          <cell r="C5311" t="str">
            <v>ALTERNATIVE:RE2_BRS_GOLD:RE2_PRIV_EX:AI_RE2_US_E_MA_BOS_LOD_E</v>
          </cell>
          <cell r="D5311" t="str">
            <v>Specific Risk</v>
          </cell>
          <cell r="E5311" t="str">
            <v>Specific Risk</v>
          </cell>
          <cell r="F5311" t="str">
            <v>Idiosyncratic</v>
          </cell>
          <cell r="G5311" t="str">
            <v>Other</v>
          </cell>
          <cell r="H5311" t="str">
            <v>OTHER_SPECIFIC</v>
          </cell>
          <cell r="I5311" t="str">
            <v>Alternative - Idiosyncratic</v>
          </cell>
        </row>
        <row r="5312">
          <cell r="A5312" t="str">
            <v>AI_RE2_US_E_NY_NY_LOD_E</v>
          </cell>
          <cell r="B5312" t="str">
            <v>US E NY New York Lod RE Ex</v>
          </cell>
          <cell r="C5312" t="str">
            <v>ALTERNATIVE:RE2_BRS_GOLD:RE2_PRIV_EX:AI_RE2_US_E_NY_NY_LOD_E</v>
          </cell>
          <cell r="D5312" t="str">
            <v>Specific Risk</v>
          </cell>
          <cell r="E5312" t="str">
            <v>Specific Risk</v>
          </cell>
          <cell r="F5312" t="str">
            <v>Idiosyncratic</v>
          </cell>
          <cell r="G5312" t="str">
            <v>Other</v>
          </cell>
          <cell r="H5312" t="str">
            <v>OTHER_SPECIFIC</v>
          </cell>
          <cell r="I5312" t="str">
            <v>Alternative - Idiosyncratic</v>
          </cell>
        </row>
        <row r="5313">
          <cell r="A5313" t="str">
            <v>AI_RE2_US_E_OTH_LOD_E</v>
          </cell>
          <cell r="B5313" t="str">
            <v>US E Other Lod RE Ex</v>
          </cell>
          <cell r="C5313" t="str">
            <v>ALTERNATIVE:RE2_BRS_GOLD:RE2_PRIV_EX:AI_RE2_US_E_OTH_LOD_E</v>
          </cell>
          <cell r="D5313" t="str">
            <v>Specific Risk</v>
          </cell>
          <cell r="E5313" t="str">
            <v>Specific Risk</v>
          </cell>
          <cell r="F5313" t="str">
            <v>Idiosyncratic</v>
          </cell>
          <cell r="G5313" t="str">
            <v>Other</v>
          </cell>
          <cell r="H5313" t="str">
            <v>OTHER_SPECIFIC</v>
          </cell>
          <cell r="I5313" t="str">
            <v>Alternative - Idiosyncratic</v>
          </cell>
        </row>
        <row r="5314">
          <cell r="A5314" t="str">
            <v>AI_RE2_US_E_PA_PHI_LOD_E</v>
          </cell>
          <cell r="B5314" t="str">
            <v>US E PA PHL Lod RE Ex</v>
          </cell>
          <cell r="C5314" t="str">
            <v>ALTERNATIVE:RE2_BRS_GOLD:RE2_PRIV_EX:AI_RE2_US_E_PA_PHI_LOD_E</v>
          </cell>
          <cell r="D5314" t="str">
            <v>Specific Risk</v>
          </cell>
          <cell r="E5314" t="str">
            <v>Specific Risk</v>
          </cell>
          <cell r="F5314" t="str">
            <v>Idiosyncratic</v>
          </cell>
          <cell r="G5314" t="str">
            <v>Other</v>
          </cell>
          <cell r="H5314" t="str">
            <v>OTHER_SPECIFIC</v>
          </cell>
          <cell r="I5314" t="str">
            <v>Alternative - Idiosyncratic</v>
          </cell>
        </row>
        <row r="5315">
          <cell r="A5315" t="str">
            <v>AI_RE2_US_E_DC_WAS_LOD_E</v>
          </cell>
          <cell r="B5315" t="str">
            <v>US E DC Washington Lod RE Ex</v>
          </cell>
          <cell r="C5315" t="str">
            <v>ALTERNATIVE:RE2_BRS_GOLD:RE2_PRIV_EX:AI_RE2_US_E_DC_WAS_LOD_E</v>
          </cell>
          <cell r="D5315" t="str">
            <v>Specific Risk</v>
          </cell>
          <cell r="E5315" t="str">
            <v>Specific Risk</v>
          </cell>
          <cell r="F5315" t="str">
            <v>Idiosyncratic</v>
          </cell>
          <cell r="G5315" t="str">
            <v>Other</v>
          </cell>
          <cell r="H5315" t="str">
            <v>OTHER_SPECIFIC</v>
          </cell>
          <cell r="I5315" t="str">
            <v>Alternative - Idiosyncratic</v>
          </cell>
        </row>
        <row r="5316">
          <cell r="A5316" t="str">
            <v>AI_RE2_US_M_IL_CHI_LOD_E</v>
          </cell>
          <cell r="B5316" t="str">
            <v>US MW IL Chicago Lod RE Ex</v>
          </cell>
          <cell r="C5316" t="str">
            <v>ALTERNATIVE:RE2_BRS_GOLD:RE2_PRIV_EX:AI_RE2_US_M_IL_CHI_LOD_E</v>
          </cell>
          <cell r="D5316" t="str">
            <v>Specific Risk</v>
          </cell>
          <cell r="E5316" t="str">
            <v>Specific Risk</v>
          </cell>
          <cell r="F5316" t="str">
            <v>Idiosyncratic</v>
          </cell>
          <cell r="G5316" t="str">
            <v>Other</v>
          </cell>
          <cell r="H5316" t="str">
            <v>OTHER_SPECIFIC</v>
          </cell>
          <cell r="I5316" t="str">
            <v>Alternative - Idiosyncratic</v>
          </cell>
        </row>
        <row r="5317">
          <cell r="A5317" t="str">
            <v>AI_RE2_US_M_MN_MIN_LOD_E</v>
          </cell>
          <cell r="B5317" t="str">
            <v>US MW MN MPLS Lod RE Ex</v>
          </cell>
          <cell r="C5317" t="str">
            <v>ALTERNATIVE:RE2_BRS_GOLD:RE2_PRIV_EX:AI_RE2_US_M_MN_MIN_LOD_E</v>
          </cell>
          <cell r="D5317" t="str">
            <v>Specific Risk</v>
          </cell>
          <cell r="E5317" t="str">
            <v>Specific Risk</v>
          </cell>
          <cell r="F5317" t="str">
            <v>Idiosyncratic</v>
          </cell>
          <cell r="G5317" t="str">
            <v>Other</v>
          </cell>
          <cell r="H5317" t="str">
            <v>OTHER_SPECIFIC</v>
          </cell>
          <cell r="I5317" t="str">
            <v>Alternative - Idiosyncratic</v>
          </cell>
        </row>
        <row r="5318">
          <cell r="A5318" t="str">
            <v>AI_RE2_US_M_OTH_LOD_E</v>
          </cell>
          <cell r="B5318" t="str">
            <v>US MW Other Lod RE Ex</v>
          </cell>
          <cell r="C5318" t="str">
            <v>ALTERNATIVE:RE2_BRS_GOLD:RE2_PRIV_EX:AI_RE2_US_M_OTH_LOD_E</v>
          </cell>
          <cell r="D5318" t="str">
            <v>Specific Risk</v>
          </cell>
          <cell r="E5318" t="str">
            <v>Specific Risk</v>
          </cell>
          <cell r="F5318" t="str">
            <v>Idiosyncratic</v>
          </cell>
          <cell r="G5318" t="str">
            <v>Other</v>
          </cell>
          <cell r="H5318" t="str">
            <v>OTHER_SPECIFIC</v>
          </cell>
          <cell r="I5318" t="str">
            <v>Alternative - Idiosyncratic</v>
          </cell>
        </row>
        <row r="5319">
          <cell r="A5319" t="str">
            <v>AI_RE2_US_S_GA_ATL_LOD_E</v>
          </cell>
          <cell r="B5319" t="str">
            <v>US S GA Atlanta Lod RE Ex</v>
          </cell>
          <cell r="C5319" t="str">
            <v>ALTERNATIVE:RE2_BRS_GOLD:RE2_PRIV_EX:AI_RE2_US_S_GA_ATL_LOD_E</v>
          </cell>
          <cell r="D5319" t="str">
            <v>Specific Risk</v>
          </cell>
          <cell r="E5319" t="str">
            <v>Specific Risk</v>
          </cell>
          <cell r="F5319" t="str">
            <v>Idiosyncratic</v>
          </cell>
          <cell r="G5319" t="str">
            <v>Other</v>
          </cell>
          <cell r="H5319" t="str">
            <v>OTHER_SPECIFIC</v>
          </cell>
          <cell r="I5319" t="str">
            <v>Alternative - Idiosyncratic</v>
          </cell>
        </row>
        <row r="5320">
          <cell r="A5320" t="str">
            <v>AI_RE2_US_S_TX_DAL_LOD_E</v>
          </cell>
          <cell r="B5320" t="str">
            <v>US S TX Dallas Lod RE Ex</v>
          </cell>
          <cell r="C5320" t="str">
            <v>ALTERNATIVE:RE2_BRS_GOLD:RE2_PRIV_EX:AI_RE2_US_S_TX_DAL_LOD_E</v>
          </cell>
          <cell r="D5320" t="str">
            <v>Specific Risk</v>
          </cell>
          <cell r="E5320" t="str">
            <v>Specific Risk</v>
          </cell>
          <cell r="F5320" t="str">
            <v>Idiosyncratic</v>
          </cell>
          <cell r="G5320" t="str">
            <v>Other</v>
          </cell>
          <cell r="H5320" t="str">
            <v>OTHER_SPECIFIC</v>
          </cell>
          <cell r="I5320" t="str">
            <v>Alternative - Idiosyncratic</v>
          </cell>
        </row>
        <row r="5321">
          <cell r="A5321" t="str">
            <v>AI_RE2_US_S_TX_HOU_LOD_E</v>
          </cell>
          <cell r="B5321" t="str">
            <v>US S TX Houston Lod RE Ex</v>
          </cell>
          <cell r="C5321" t="str">
            <v>ALTERNATIVE:RE2_BRS_GOLD:RE2_PRIV_EX:AI_RE2_US_S_TX_HOU_LOD_E</v>
          </cell>
          <cell r="D5321" t="str">
            <v>Specific Risk</v>
          </cell>
          <cell r="E5321" t="str">
            <v>Specific Risk</v>
          </cell>
          <cell r="F5321" t="str">
            <v>Idiosyncratic</v>
          </cell>
          <cell r="G5321" t="str">
            <v>Other</v>
          </cell>
          <cell r="H5321" t="str">
            <v>OTHER_SPECIFIC</v>
          </cell>
          <cell r="I5321" t="str">
            <v>Alternative - Idiosyncratic</v>
          </cell>
        </row>
        <row r="5322">
          <cell r="A5322" t="str">
            <v>AI_RE2_US_S_FL_MIA_LOD_E</v>
          </cell>
          <cell r="B5322" t="str">
            <v>US S FL Miami Lod RE Ex</v>
          </cell>
          <cell r="C5322" t="str">
            <v>ALTERNATIVE:RE2_BRS_GOLD:RE2_PRIV_EX:AI_RE2_US_S_FL_MIA_LOD_E</v>
          </cell>
          <cell r="D5322" t="str">
            <v>Specific Risk</v>
          </cell>
          <cell r="E5322" t="str">
            <v>Specific Risk</v>
          </cell>
          <cell r="F5322" t="str">
            <v>Idiosyncratic</v>
          </cell>
          <cell r="G5322" t="str">
            <v>Other</v>
          </cell>
          <cell r="H5322" t="str">
            <v>OTHER_SPECIFIC</v>
          </cell>
          <cell r="I5322" t="str">
            <v>Alternative - Idiosyncratic</v>
          </cell>
        </row>
        <row r="5323">
          <cell r="A5323" t="str">
            <v>AI_RE2_US_S_OTH_LOD_E</v>
          </cell>
          <cell r="B5323" t="str">
            <v>US S Other Lod RE Ex</v>
          </cell>
          <cell r="C5323" t="str">
            <v>ALTERNATIVE:RE2_BRS_GOLD:RE2_PRIV_EX:AI_RE2_US_S_OTH_LOD_E</v>
          </cell>
          <cell r="D5323" t="str">
            <v>Specific Risk</v>
          </cell>
          <cell r="E5323" t="str">
            <v>Specific Risk</v>
          </cell>
          <cell r="F5323" t="str">
            <v>Idiosyncratic</v>
          </cell>
          <cell r="G5323" t="str">
            <v>Other</v>
          </cell>
          <cell r="H5323" t="str">
            <v>OTHER_SPECIFIC</v>
          </cell>
          <cell r="I5323" t="str">
            <v>Alternative - Idiosyncratic</v>
          </cell>
        </row>
        <row r="5324">
          <cell r="A5324" t="str">
            <v>AI_RE2_US_S_FL_TAM_LOD_E</v>
          </cell>
          <cell r="B5324" t="str">
            <v>US S FL Tampa Lod RE Ex</v>
          </cell>
          <cell r="C5324" t="str">
            <v>ALTERNATIVE:RE2_BRS_GOLD:RE2_PRIV_EX:AI_RE2_US_S_FL_TAM_LOD_E</v>
          </cell>
          <cell r="D5324" t="str">
            <v>Specific Risk</v>
          </cell>
          <cell r="E5324" t="str">
            <v>Specific Risk</v>
          </cell>
          <cell r="F5324" t="str">
            <v>Idiosyncratic</v>
          </cell>
          <cell r="G5324" t="str">
            <v>Other</v>
          </cell>
          <cell r="H5324" t="str">
            <v>OTHER_SPECIFIC</v>
          </cell>
          <cell r="I5324" t="str">
            <v>Alternative - Idiosyncratic</v>
          </cell>
        </row>
        <row r="5325">
          <cell r="A5325" t="str">
            <v>AI_RE2_US_W_CA_LA_LOD_E</v>
          </cell>
          <cell r="B5325" t="str">
            <v>US W CA LA Lod RE Ex</v>
          </cell>
          <cell r="C5325" t="str">
            <v>ALTERNATIVE:RE2_BRS_GOLD:RE2_PRIV_EX:AI_RE2_US_W_CA_LA_LOD_E</v>
          </cell>
          <cell r="D5325" t="str">
            <v>Specific Risk</v>
          </cell>
          <cell r="E5325" t="str">
            <v>Specific Risk</v>
          </cell>
          <cell r="F5325" t="str">
            <v>Idiosyncratic</v>
          </cell>
          <cell r="G5325" t="str">
            <v>Other</v>
          </cell>
          <cell r="H5325" t="str">
            <v>OTHER_SPECIFIC</v>
          </cell>
          <cell r="I5325" t="str">
            <v>Alternative - Idiosyncratic</v>
          </cell>
        </row>
        <row r="5326">
          <cell r="A5326" t="str">
            <v>AI_RE2_US_W_OTH_LOD_E</v>
          </cell>
          <cell r="B5326" t="str">
            <v>US W Other Lod RE Ex</v>
          </cell>
          <cell r="C5326" t="str">
            <v>ALTERNATIVE:RE2_BRS_GOLD:RE2_PRIV_EX:AI_RE2_US_W_OTH_LOD_E</v>
          </cell>
          <cell r="D5326" t="str">
            <v>Specific Risk</v>
          </cell>
          <cell r="E5326" t="str">
            <v>Specific Risk</v>
          </cell>
          <cell r="F5326" t="str">
            <v>Idiosyncratic</v>
          </cell>
          <cell r="G5326" t="str">
            <v>Other</v>
          </cell>
          <cell r="H5326" t="str">
            <v>OTHER_SPECIFIC</v>
          </cell>
          <cell r="I5326" t="str">
            <v>Alternative - Idiosyncratic</v>
          </cell>
        </row>
        <row r="5327">
          <cell r="A5327" t="str">
            <v>AI_RE2_US_W_AZ_PHO_LOD_E</v>
          </cell>
          <cell r="B5327" t="str">
            <v>US W AZ Phoenix Lod RE Ex</v>
          </cell>
          <cell r="C5327" t="str">
            <v>ALTERNATIVE:RE2_BRS_GOLD:RE2_PRIV_EX:AI_RE2_US_W_AZ_PHO_LOD_E</v>
          </cell>
          <cell r="D5327" t="str">
            <v>Specific Risk</v>
          </cell>
          <cell r="E5327" t="str">
            <v>Specific Risk</v>
          </cell>
          <cell r="F5327" t="str">
            <v>Idiosyncratic</v>
          </cell>
          <cell r="G5327" t="str">
            <v>Other</v>
          </cell>
          <cell r="H5327" t="str">
            <v>OTHER_SPECIFIC</v>
          </cell>
          <cell r="I5327" t="str">
            <v>Alternative - Idiosyncratic</v>
          </cell>
        </row>
        <row r="5328">
          <cell r="A5328" t="str">
            <v>AI_RE2_US_W_CA_SD_LOD_E</v>
          </cell>
          <cell r="B5328" t="str">
            <v>US W CA SD Lod RE Ex</v>
          </cell>
          <cell r="C5328" t="str">
            <v>ALTERNATIVE:RE2_BRS_GOLD:RE2_PRIV_EX:AI_RE2_US_W_CA_SD_LOD_E</v>
          </cell>
          <cell r="D5328" t="str">
            <v>Specific Risk</v>
          </cell>
          <cell r="E5328" t="str">
            <v>Specific Risk</v>
          </cell>
          <cell r="F5328" t="str">
            <v>Idiosyncratic</v>
          </cell>
          <cell r="G5328" t="str">
            <v>Other</v>
          </cell>
          <cell r="H5328" t="str">
            <v>OTHER_SPECIFIC</v>
          </cell>
          <cell r="I5328" t="str">
            <v>Alternative - Idiosyncratic</v>
          </cell>
        </row>
        <row r="5329">
          <cell r="A5329" t="str">
            <v>AI_RE2_US_W_CA_SF_LOD_E</v>
          </cell>
          <cell r="B5329" t="str">
            <v>US W CA SF Lod RE Ex</v>
          </cell>
          <cell r="C5329" t="str">
            <v>ALTERNATIVE:RE2_BRS_GOLD:RE2_PRIV_EX:AI_RE2_US_W_CA_SF_LOD_E</v>
          </cell>
          <cell r="D5329" t="str">
            <v>Specific Risk</v>
          </cell>
          <cell r="E5329" t="str">
            <v>Specific Risk</v>
          </cell>
          <cell r="F5329" t="str">
            <v>Idiosyncratic</v>
          </cell>
          <cell r="G5329" t="str">
            <v>Other</v>
          </cell>
          <cell r="H5329" t="str">
            <v>OTHER_SPECIFIC</v>
          </cell>
          <cell r="I5329" t="str">
            <v>Alternative - Idiosyncratic</v>
          </cell>
        </row>
        <row r="5330">
          <cell r="A5330" t="str">
            <v>AI_RE2_US_W_WA_SEA_LOD_E</v>
          </cell>
          <cell r="B5330" t="str">
            <v>US W WA Seattle Lod RE Ex</v>
          </cell>
          <cell r="C5330" t="str">
            <v>ALTERNATIVE:RE2_BRS_GOLD:RE2_PRIV_EX:AI_RE2_US_W_WA_SEA_LOD_E</v>
          </cell>
          <cell r="D5330" t="str">
            <v>Specific Risk</v>
          </cell>
          <cell r="E5330" t="str">
            <v>Specific Risk</v>
          </cell>
          <cell r="F5330" t="str">
            <v>Idiosyncratic</v>
          </cell>
          <cell r="G5330" t="str">
            <v>Other</v>
          </cell>
          <cell r="H5330" t="str">
            <v>OTHER_SPECIFIC</v>
          </cell>
          <cell r="I5330" t="str">
            <v>Alternative - Idiosyncratic</v>
          </cell>
        </row>
        <row r="5331">
          <cell r="A5331" t="str">
            <v>AI_RE2_US_E_MA_BOS_IND_E</v>
          </cell>
          <cell r="B5331" t="str">
            <v>US E MA Boston Ind RE Ex</v>
          </cell>
          <cell r="C5331" t="str">
            <v>ALTERNATIVE:RE2_BRS_GOLD:RE2_PRIV_EX:AI_RE2_US_E_MA_BOS_IND_E</v>
          </cell>
          <cell r="D5331" t="str">
            <v>Specific Risk</v>
          </cell>
          <cell r="E5331" t="str">
            <v>Specific Risk</v>
          </cell>
          <cell r="F5331" t="str">
            <v>Idiosyncratic</v>
          </cell>
          <cell r="G5331" t="str">
            <v>Other</v>
          </cell>
          <cell r="H5331" t="str">
            <v>OTHER_SPECIFIC</v>
          </cell>
          <cell r="I5331" t="str">
            <v>Alternative - Idiosyncratic</v>
          </cell>
        </row>
        <row r="5332">
          <cell r="A5332" t="str">
            <v>AI_RE2_US_E_NY_NY_IND_E</v>
          </cell>
          <cell r="B5332" t="str">
            <v>US E NY New York Ind RE Ex</v>
          </cell>
          <cell r="C5332" t="str">
            <v>ALTERNATIVE:RE2_BRS_GOLD:RE2_PRIV_EX:AI_RE2_US_E_NY_NY_IND_E</v>
          </cell>
          <cell r="D5332" t="str">
            <v>Specific Risk</v>
          </cell>
          <cell r="E5332" t="str">
            <v>Specific Risk</v>
          </cell>
          <cell r="F5332" t="str">
            <v>Idiosyncratic</v>
          </cell>
          <cell r="G5332" t="str">
            <v>Other</v>
          </cell>
          <cell r="H5332" t="str">
            <v>OTHER_SPECIFIC</v>
          </cell>
          <cell r="I5332" t="str">
            <v>Alternative - Idiosyncratic</v>
          </cell>
        </row>
        <row r="5333">
          <cell r="A5333" t="str">
            <v>AI_RE2_US_E_OTH_IND_E</v>
          </cell>
          <cell r="B5333" t="str">
            <v>US E Other Ind RE Ex</v>
          </cell>
          <cell r="C5333" t="str">
            <v>ALTERNATIVE:RE2_BRS_GOLD:RE2_PRIV_EX:AI_RE2_US_E_OTH_IND_E</v>
          </cell>
          <cell r="D5333" t="str">
            <v>Specific Risk</v>
          </cell>
          <cell r="E5333" t="str">
            <v>Specific Risk</v>
          </cell>
          <cell r="F5333" t="str">
            <v>Idiosyncratic</v>
          </cell>
          <cell r="G5333" t="str">
            <v>Other</v>
          </cell>
          <cell r="H5333" t="str">
            <v>OTHER_SPECIFIC</v>
          </cell>
          <cell r="I5333" t="str">
            <v>Alternative - Idiosyncratic</v>
          </cell>
        </row>
        <row r="5334">
          <cell r="A5334" t="str">
            <v>AI_RE2_US_E_PA_PHI_IND_E</v>
          </cell>
          <cell r="B5334" t="str">
            <v>US E PA PHL Ind RE Ex</v>
          </cell>
          <cell r="C5334" t="str">
            <v>ALTERNATIVE:RE2_BRS_GOLD:RE2_PRIV_EX:AI_RE2_US_E_PA_PHI_IND_E</v>
          </cell>
          <cell r="D5334" t="str">
            <v>Specific Risk</v>
          </cell>
          <cell r="E5334" t="str">
            <v>Specific Risk</v>
          </cell>
          <cell r="F5334" t="str">
            <v>Idiosyncratic</v>
          </cell>
          <cell r="G5334" t="str">
            <v>Other</v>
          </cell>
          <cell r="H5334" t="str">
            <v>OTHER_SPECIFIC</v>
          </cell>
          <cell r="I5334" t="str">
            <v>Alternative - Idiosyncratic</v>
          </cell>
        </row>
        <row r="5335">
          <cell r="A5335" t="str">
            <v>AI_RE2_US_E_DC_WAS_IND_E</v>
          </cell>
          <cell r="B5335" t="str">
            <v>US E DC Washington Ind RE Ex</v>
          </cell>
          <cell r="C5335" t="str">
            <v>ALTERNATIVE:RE2_BRS_GOLD:RE2_PRIV_EX:AI_RE2_US_E_DC_WAS_IND_E</v>
          </cell>
          <cell r="D5335" t="str">
            <v>Specific Risk</v>
          </cell>
          <cell r="E5335" t="str">
            <v>Specific Risk</v>
          </cell>
          <cell r="F5335" t="str">
            <v>Idiosyncratic</v>
          </cell>
          <cell r="G5335" t="str">
            <v>Other</v>
          </cell>
          <cell r="H5335" t="str">
            <v>OTHER_SPECIFIC</v>
          </cell>
          <cell r="I5335" t="str">
            <v>Alternative - Idiosyncratic</v>
          </cell>
        </row>
        <row r="5336">
          <cell r="A5336" t="str">
            <v>AI_RE2_US_M_IL_CHI_IND_E</v>
          </cell>
          <cell r="B5336" t="str">
            <v>US MW IL Chicago Ind RE Ex</v>
          </cell>
          <cell r="C5336" t="str">
            <v>ALTERNATIVE:RE2_BRS_GOLD:RE2_PRIV_EX:AI_RE2_US_M_IL_CHI_IND_E</v>
          </cell>
          <cell r="D5336" t="str">
            <v>Specific Risk</v>
          </cell>
          <cell r="E5336" t="str">
            <v>Specific Risk</v>
          </cell>
          <cell r="F5336" t="str">
            <v>Idiosyncratic</v>
          </cell>
          <cell r="G5336" t="str">
            <v>Other</v>
          </cell>
          <cell r="H5336" t="str">
            <v>OTHER_SPECIFIC</v>
          </cell>
          <cell r="I5336" t="str">
            <v>Alternative - Idiosyncratic</v>
          </cell>
        </row>
        <row r="5337">
          <cell r="A5337" t="str">
            <v>AI_RE2_US_M_MI_DET_IND_E</v>
          </cell>
          <cell r="B5337" t="str">
            <v>US MW MI Detroit Ind RE Ex</v>
          </cell>
          <cell r="C5337" t="str">
            <v>ALTERNATIVE:RE2_BRS_GOLD:RE2_PRIV_EX:AI_RE2_US_M_MI_DET_IND_E</v>
          </cell>
          <cell r="D5337" t="str">
            <v>Specific Risk</v>
          </cell>
          <cell r="E5337" t="str">
            <v>Specific Risk</v>
          </cell>
          <cell r="F5337" t="str">
            <v>Idiosyncratic</v>
          </cell>
          <cell r="G5337" t="str">
            <v>Other</v>
          </cell>
          <cell r="H5337" t="str">
            <v>OTHER_SPECIFIC</v>
          </cell>
          <cell r="I5337" t="str">
            <v>Alternative - Idiosyncratic</v>
          </cell>
        </row>
        <row r="5338">
          <cell r="A5338" t="str">
            <v>AI_RE2_US_M_MN_MIN_IND_E</v>
          </cell>
          <cell r="B5338" t="str">
            <v>US MW MN MPLS Ind RE Ex</v>
          </cell>
          <cell r="C5338" t="str">
            <v>ALTERNATIVE:RE2_BRS_GOLD:RE2_PRIV_EX:AI_RE2_US_M_MN_MIN_IND_E</v>
          </cell>
          <cell r="D5338" t="str">
            <v>Specific Risk</v>
          </cell>
          <cell r="E5338" t="str">
            <v>Specific Risk</v>
          </cell>
          <cell r="F5338" t="str">
            <v>Idiosyncratic</v>
          </cell>
          <cell r="G5338" t="str">
            <v>Other</v>
          </cell>
          <cell r="H5338" t="str">
            <v>OTHER_SPECIFIC</v>
          </cell>
          <cell r="I5338" t="str">
            <v>Alternative - Idiosyncratic</v>
          </cell>
        </row>
        <row r="5339">
          <cell r="A5339" t="str">
            <v>AI_RE2_US_M_OTH_IND_E</v>
          </cell>
          <cell r="B5339" t="str">
            <v>US MW Other Ind RE Ex</v>
          </cell>
          <cell r="C5339" t="str">
            <v>ALTERNATIVE:RE2_BRS_GOLD:RE2_PRIV_EX:AI_RE2_US_M_OTH_IND_E</v>
          </cell>
          <cell r="D5339" t="str">
            <v>Specific Risk</v>
          </cell>
          <cell r="E5339" t="str">
            <v>Specific Risk</v>
          </cell>
          <cell r="F5339" t="str">
            <v>Idiosyncratic</v>
          </cell>
          <cell r="G5339" t="str">
            <v>Other</v>
          </cell>
          <cell r="H5339" t="str">
            <v>OTHER_SPECIFIC</v>
          </cell>
          <cell r="I5339" t="str">
            <v>Alternative - Idiosyncratic</v>
          </cell>
        </row>
        <row r="5340">
          <cell r="A5340" t="str">
            <v>AI_RE2_US_M_MO_STL_IND_E</v>
          </cell>
          <cell r="B5340" t="str">
            <v>US MW MO St.Louis Ind RE Ex</v>
          </cell>
          <cell r="C5340" t="str">
            <v>ALTERNATIVE:RE2_BRS_GOLD:RE2_PRIV_EX:AI_RE2_US_M_MO_STL_IND_E</v>
          </cell>
          <cell r="D5340" t="str">
            <v>Specific Risk</v>
          </cell>
          <cell r="E5340" t="str">
            <v>Specific Risk</v>
          </cell>
          <cell r="F5340" t="str">
            <v>Idiosyncratic</v>
          </cell>
          <cell r="G5340" t="str">
            <v>Other</v>
          </cell>
          <cell r="H5340" t="str">
            <v>OTHER_SPECIFIC</v>
          </cell>
          <cell r="I5340" t="str">
            <v>Alternative - Idiosyncratic</v>
          </cell>
        </row>
        <row r="5341">
          <cell r="A5341" t="str">
            <v>AI_RE2_US_S_GA_ATL_IND_E</v>
          </cell>
          <cell r="B5341" t="str">
            <v>US S GA Atlanta Ind RE Ex</v>
          </cell>
          <cell r="C5341" t="str">
            <v>ALTERNATIVE:RE2_BRS_GOLD:RE2_PRIV_EX:AI_RE2_US_S_GA_ATL_IND_E</v>
          </cell>
          <cell r="D5341" t="str">
            <v>Specific Risk</v>
          </cell>
          <cell r="E5341" t="str">
            <v>Specific Risk</v>
          </cell>
          <cell r="F5341" t="str">
            <v>Idiosyncratic</v>
          </cell>
          <cell r="G5341" t="str">
            <v>Other</v>
          </cell>
          <cell r="H5341" t="str">
            <v>OTHER_SPECIFIC</v>
          </cell>
          <cell r="I5341" t="str">
            <v>Alternative - Idiosyncratic</v>
          </cell>
        </row>
        <row r="5342">
          <cell r="A5342" t="str">
            <v>AI_RE2_US_S_TX_DAL_IND_E</v>
          </cell>
          <cell r="B5342" t="str">
            <v>US S TX Dallas Ind RE Ex</v>
          </cell>
          <cell r="C5342" t="str">
            <v>ALTERNATIVE:RE2_BRS_GOLD:RE2_PRIV_EX:AI_RE2_US_S_TX_DAL_IND_E</v>
          </cell>
          <cell r="D5342" t="str">
            <v>Specific Risk</v>
          </cell>
          <cell r="E5342" t="str">
            <v>Specific Risk</v>
          </cell>
          <cell r="F5342" t="str">
            <v>Idiosyncratic</v>
          </cell>
          <cell r="G5342" t="str">
            <v>Other</v>
          </cell>
          <cell r="H5342" t="str">
            <v>OTHER_SPECIFIC</v>
          </cell>
          <cell r="I5342" t="str">
            <v>Alternative - Idiosyncratic</v>
          </cell>
        </row>
        <row r="5343">
          <cell r="A5343" t="str">
            <v>AI_RE2_US_S_TX_HOU_IND_E</v>
          </cell>
          <cell r="B5343" t="str">
            <v>US S TX Houston Ind RE Ex</v>
          </cell>
          <cell r="C5343" t="str">
            <v>ALTERNATIVE:RE2_BRS_GOLD:RE2_PRIV_EX:AI_RE2_US_S_TX_HOU_IND_E</v>
          </cell>
          <cell r="D5343" t="str">
            <v>Specific Risk</v>
          </cell>
          <cell r="E5343" t="str">
            <v>Specific Risk</v>
          </cell>
          <cell r="F5343" t="str">
            <v>Idiosyncratic</v>
          </cell>
          <cell r="G5343" t="str">
            <v>Other</v>
          </cell>
          <cell r="H5343" t="str">
            <v>OTHER_SPECIFIC</v>
          </cell>
          <cell r="I5343" t="str">
            <v>Alternative - Idiosyncratic</v>
          </cell>
        </row>
        <row r="5344">
          <cell r="A5344" t="str">
            <v>AI_RE2_US_S_FL_MIA_IND_E</v>
          </cell>
          <cell r="B5344" t="str">
            <v>US S FL Miami Ind RE Ex</v>
          </cell>
          <cell r="C5344" t="str">
            <v>ALTERNATIVE:RE2_BRS_GOLD:RE2_PRIV_EX:AI_RE2_US_S_FL_MIA_IND_E</v>
          </cell>
          <cell r="D5344" t="str">
            <v>Specific Risk</v>
          </cell>
          <cell r="E5344" t="str">
            <v>Specific Risk</v>
          </cell>
          <cell r="F5344" t="str">
            <v>Idiosyncratic</v>
          </cell>
          <cell r="G5344" t="str">
            <v>Other</v>
          </cell>
          <cell r="H5344" t="str">
            <v>OTHER_SPECIFIC</v>
          </cell>
          <cell r="I5344" t="str">
            <v>Alternative - Idiosyncratic</v>
          </cell>
        </row>
        <row r="5345">
          <cell r="A5345" t="str">
            <v>AI_RE2_US_S_OTH_IND_E</v>
          </cell>
          <cell r="B5345" t="str">
            <v>US S Other Ind RE Ex</v>
          </cell>
          <cell r="C5345" t="str">
            <v>ALTERNATIVE:RE2_BRS_GOLD:RE2_PRIV_EX:AI_RE2_US_S_OTH_IND_E</v>
          </cell>
          <cell r="D5345" t="str">
            <v>Specific Risk</v>
          </cell>
          <cell r="E5345" t="str">
            <v>Specific Risk</v>
          </cell>
          <cell r="F5345" t="str">
            <v>Idiosyncratic</v>
          </cell>
          <cell r="G5345" t="str">
            <v>Other</v>
          </cell>
          <cell r="H5345" t="str">
            <v>OTHER_SPECIFIC</v>
          </cell>
          <cell r="I5345" t="str">
            <v>Alternative - Idiosyncratic</v>
          </cell>
        </row>
        <row r="5346">
          <cell r="A5346" t="str">
            <v>AI_RE2_US_S_FL_TAM_IND_E</v>
          </cell>
          <cell r="B5346" t="str">
            <v>US S FL Tampa Ind RE Ex</v>
          </cell>
          <cell r="C5346" t="str">
            <v>ALTERNATIVE:RE2_BRS_GOLD:RE2_PRIV_EX:AI_RE2_US_S_FL_TAM_IND_E</v>
          </cell>
          <cell r="D5346" t="str">
            <v>Specific Risk</v>
          </cell>
          <cell r="E5346" t="str">
            <v>Specific Risk</v>
          </cell>
          <cell r="F5346" t="str">
            <v>Idiosyncratic</v>
          </cell>
          <cell r="G5346" t="str">
            <v>Other</v>
          </cell>
          <cell r="H5346" t="str">
            <v>OTHER_SPECIFIC</v>
          </cell>
          <cell r="I5346" t="str">
            <v>Alternative - Idiosyncratic</v>
          </cell>
        </row>
        <row r="5347">
          <cell r="A5347" t="str">
            <v>AI_RE2_US_W_CA_LA_IND_E</v>
          </cell>
          <cell r="B5347" t="str">
            <v>US W CA LA Ind RE Ex</v>
          </cell>
          <cell r="C5347" t="str">
            <v>ALTERNATIVE:RE2_BRS_GOLD:RE2_PRIV_EX:AI_RE2_US_W_CA_LA_IND_E</v>
          </cell>
          <cell r="D5347" t="str">
            <v>Specific Risk</v>
          </cell>
          <cell r="E5347" t="str">
            <v>Specific Risk</v>
          </cell>
          <cell r="F5347" t="str">
            <v>Idiosyncratic</v>
          </cell>
          <cell r="G5347" t="str">
            <v>Other</v>
          </cell>
          <cell r="H5347" t="str">
            <v>OTHER_SPECIFIC</v>
          </cell>
          <cell r="I5347" t="str">
            <v>Alternative - Idiosyncratic</v>
          </cell>
        </row>
        <row r="5348">
          <cell r="A5348" t="str">
            <v>AI_RE2_US_W_OTH_IND_E</v>
          </cell>
          <cell r="B5348" t="str">
            <v>US W Other Ind RE Ex</v>
          </cell>
          <cell r="C5348" t="str">
            <v>ALTERNATIVE:RE2_BRS_GOLD:RE2_PRIV_EX:AI_RE2_US_W_OTH_IND_E</v>
          </cell>
          <cell r="D5348" t="str">
            <v>Specific Risk</v>
          </cell>
          <cell r="E5348" t="str">
            <v>Specific Risk</v>
          </cell>
          <cell r="F5348" t="str">
            <v>Idiosyncratic</v>
          </cell>
          <cell r="G5348" t="str">
            <v>Other</v>
          </cell>
          <cell r="H5348" t="str">
            <v>OTHER_SPECIFIC</v>
          </cell>
          <cell r="I5348" t="str">
            <v>Alternative - Idiosyncratic</v>
          </cell>
        </row>
        <row r="5349">
          <cell r="A5349" t="str">
            <v>AI_RE2_US_W_AZ_PHO_IND_E</v>
          </cell>
          <cell r="B5349" t="str">
            <v>US W AZ Phoenix Ind RE Ex</v>
          </cell>
          <cell r="C5349" t="str">
            <v>ALTERNATIVE:RE2_BRS_GOLD:RE2_PRIV_EX:AI_RE2_US_W_AZ_PHO_IND_E</v>
          </cell>
          <cell r="D5349" t="str">
            <v>Specific Risk</v>
          </cell>
          <cell r="E5349" t="str">
            <v>Specific Risk</v>
          </cell>
          <cell r="F5349" t="str">
            <v>Idiosyncratic</v>
          </cell>
          <cell r="G5349" t="str">
            <v>Other</v>
          </cell>
          <cell r="H5349" t="str">
            <v>OTHER_SPECIFIC</v>
          </cell>
          <cell r="I5349" t="str">
            <v>Alternative - Idiosyncratic</v>
          </cell>
        </row>
        <row r="5350">
          <cell r="A5350" t="str">
            <v>AI_RE2_US_W_CA_SD_IND_E</v>
          </cell>
          <cell r="B5350" t="str">
            <v>US W CA SD Ind RE Ex</v>
          </cell>
          <cell r="C5350" t="str">
            <v>ALTERNATIVE:RE2_BRS_GOLD:RE2_PRIV_EX:AI_RE2_US_W_CA_SD_IND_E</v>
          </cell>
          <cell r="D5350" t="str">
            <v>Specific Risk</v>
          </cell>
          <cell r="E5350" t="str">
            <v>Specific Risk</v>
          </cell>
          <cell r="F5350" t="str">
            <v>Idiosyncratic</v>
          </cell>
          <cell r="G5350" t="str">
            <v>Other</v>
          </cell>
          <cell r="H5350" t="str">
            <v>OTHER_SPECIFIC</v>
          </cell>
          <cell r="I5350" t="str">
            <v>Alternative - Idiosyncratic</v>
          </cell>
        </row>
        <row r="5351">
          <cell r="A5351" t="str">
            <v>AI_RE2_US_W_CA_SF_IND_E</v>
          </cell>
          <cell r="B5351" t="str">
            <v>US W CA SF Ind RE Ex</v>
          </cell>
          <cell r="C5351" t="str">
            <v>ALTERNATIVE:RE2_BRS_GOLD:RE2_PRIV_EX:AI_RE2_US_W_CA_SF_IND_E</v>
          </cell>
          <cell r="D5351" t="str">
            <v>Specific Risk</v>
          </cell>
          <cell r="E5351" t="str">
            <v>Specific Risk</v>
          </cell>
          <cell r="F5351" t="str">
            <v>Idiosyncratic</v>
          </cell>
          <cell r="G5351" t="str">
            <v>Other</v>
          </cell>
          <cell r="H5351" t="str">
            <v>OTHER_SPECIFIC</v>
          </cell>
          <cell r="I5351" t="str">
            <v>Alternative - Idiosyncratic</v>
          </cell>
        </row>
        <row r="5352">
          <cell r="A5352" t="str">
            <v>AI_RE2_US_W_WA_SEA_IND_E</v>
          </cell>
          <cell r="B5352" t="str">
            <v>US W WA Seattle Ind RE Ex</v>
          </cell>
          <cell r="C5352" t="str">
            <v>ALTERNATIVE:RE2_BRS_GOLD:RE2_PRIV_EX:AI_RE2_US_W_WA_SEA_IND_E</v>
          </cell>
          <cell r="D5352" t="str">
            <v>Specific Risk</v>
          </cell>
          <cell r="E5352" t="str">
            <v>Specific Risk</v>
          </cell>
          <cell r="F5352" t="str">
            <v>Idiosyncratic</v>
          </cell>
          <cell r="G5352" t="str">
            <v>Other</v>
          </cell>
          <cell r="H5352" t="str">
            <v>OTHER_SPECIFIC</v>
          </cell>
          <cell r="I5352" t="str">
            <v>Alternative - Idiosyncratic</v>
          </cell>
        </row>
        <row r="5353">
          <cell r="A5353" t="str">
            <v>AI_RE2_US_E_MA_BOS_OFF_E</v>
          </cell>
          <cell r="B5353" t="str">
            <v>US E MA Boston Off RE Ex</v>
          </cell>
          <cell r="C5353" t="str">
            <v>ALTERNATIVE:RE2_BRS_GOLD:RE2_PRIV_EX:AI_RE2_US_E_MA_BOS_OFF_E</v>
          </cell>
          <cell r="D5353" t="str">
            <v>Specific Risk</v>
          </cell>
          <cell r="E5353" t="str">
            <v>Specific Risk</v>
          </cell>
          <cell r="F5353" t="str">
            <v>Idiosyncratic</v>
          </cell>
          <cell r="G5353" t="str">
            <v>Other</v>
          </cell>
          <cell r="H5353" t="str">
            <v>OTHER_SPECIFIC</v>
          </cell>
          <cell r="I5353" t="str">
            <v>Alternative - Idiosyncratic</v>
          </cell>
        </row>
        <row r="5354">
          <cell r="A5354" t="str">
            <v>AI_RE2_US_E_NY_NY_OFF_E</v>
          </cell>
          <cell r="B5354" t="str">
            <v>US E NY New York Off RE Ex</v>
          </cell>
          <cell r="C5354" t="str">
            <v>ALTERNATIVE:RE2_BRS_GOLD:RE2_PRIV_EX:AI_RE2_US_E_NY_NY_OFF_E</v>
          </cell>
          <cell r="D5354" t="str">
            <v>Specific Risk</v>
          </cell>
          <cell r="E5354" t="str">
            <v>Specific Risk</v>
          </cell>
          <cell r="F5354" t="str">
            <v>Idiosyncratic</v>
          </cell>
          <cell r="G5354" t="str">
            <v>Other</v>
          </cell>
          <cell r="H5354" t="str">
            <v>OTHER_SPECIFIC</v>
          </cell>
          <cell r="I5354" t="str">
            <v>Alternative - Idiosyncratic</v>
          </cell>
        </row>
        <row r="5355">
          <cell r="A5355" t="str">
            <v>AI_RE2_US_E_OTH_OFF_E</v>
          </cell>
          <cell r="B5355" t="str">
            <v>US E Other Off RE Ex</v>
          </cell>
          <cell r="C5355" t="str">
            <v>ALTERNATIVE:RE2_BRS_GOLD:RE2_PRIV_EX:AI_RE2_US_E_OTH_OFF_E</v>
          </cell>
          <cell r="D5355" t="str">
            <v>Specific Risk</v>
          </cell>
          <cell r="E5355" t="str">
            <v>Specific Risk</v>
          </cell>
          <cell r="F5355" t="str">
            <v>Idiosyncratic</v>
          </cell>
          <cell r="G5355" t="str">
            <v>Other</v>
          </cell>
          <cell r="H5355" t="str">
            <v>OTHER_SPECIFIC</v>
          </cell>
          <cell r="I5355" t="str">
            <v>Alternative - Idiosyncratic</v>
          </cell>
        </row>
        <row r="5356">
          <cell r="A5356" t="str">
            <v>AI_RE2_US_E_PA_PHI_OFF_E</v>
          </cell>
          <cell r="B5356" t="str">
            <v>US E PA PHL Off RE Ex</v>
          </cell>
          <cell r="C5356" t="str">
            <v>ALTERNATIVE:RE2_BRS_GOLD:RE2_PRIV_EX:AI_RE2_US_E_PA_PHI_OFF_E</v>
          </cell>
          <cell r="D5356" t="str">
            <v>Specific Risk</v>
          </cell>
          <cell r="E5356" t="str">
            <v>Specific Risk</v>
          </cell>
          <cell r="F5356" t="str">
            <v>Idiosyncratic</v>
          </cell>
          <cell r="G5356" t="str">
            <v>Other</v>
          </cell>
          <cell r="H5356" t="str">
            <v>OTHER_SPECIFIC</v>
          </cell>
          <cell r="I5356" t="str">
            <v>Alternative - Idiosyncratic</v>
          </cell>
        </row>
        <row r="5357">
          <cell r="A5357" t="str">
            <v>AI_RE2_US_E_DC_WAS_OFF_E</v>
          </cell>
          <cell r="B5357" t="str">
            <v>US E DC Washington Off RE Ex</v>
          </cell>
          <cell r="C5357" t="str">
            <v>ALTERNATIVE:RE2_BRS_GOLD:RE2_PRIV_EX:AI_RE2_US_E_DC_WAS_OFF_E</v>
          </cell>
          <cell r="D5357" t="str">
            <v>Specific Risk</v>
          </cell>
          <cell r="E5357" t="str">
            <v>Specific Risk</v>
          </cell>
          <cell r="F5357" t="str">
            <v>Idiosyncratic</v>
          </cell>
          <cell r="G5357" t="str">
            <v>Other</v>
          </cell>
          <cell r="H5357" t="str">
            <v>OTHER_SPECIFIC</v>
          </cell>
          <cell r="I5357" t="str">
            <v>Alternative - Idiosyncratic</v>
          </cell>
        </row>
        <row r="5358">
          <cell r="A5358" t="str">
            <v>AI_RE2_US_M_IL_CHI_OFF_E</v>
          </cell>
          <cell r="B5358" t="str">
            <v>US MW IL Chicago Off RE Ex</v>
          </cell>
          <cell r="C5358" t="str">
            <v>ALTERNATIVE:RE2_BRS_GOLD:RE2_PRIV_EX:AI_RE2_US_M_IL_CHI_OFF_E</v>
          </cell>
          <cell r="D5358" t="str">
            <v>Specific Risk</v>
          </cell>
          <cell r="E5358" t="str">
            <v>Specific Risk</v>
          </cell>
          <cell r="F5358" t="str">
            <v>Idiosyncratic</v>
          </cell>
          <cell r="G5358" t="str">
            <v>Other</v>
          </cell>
          <cell r="H5358" t="str">
            <v>OTHER_SPECIFIC</v>
          </cell>
          <cell r="I5358" t="str">
            <v>Alternative - Idiosyncratic</v>
          </cell>
        </row>
        <row r="5359">
          <cell r="A5359" t="str">
            <v>AI_RE2_US_M_MI_DET_OFF_E</v>
          </cell>
          <cell r="B5359" t="str">
            <v>US MW MI Detroit Off RE Ex</v>
          </cell>
          <cell r="C5359" t="str">
            <v>ALTERNATIVE:RE2_BRS_GOLD:RE2_PRIV_EX:AI_RE2_US_M_MI_DET_OFF_E</v>
          </cell>
          <cell r="D5359" t="str">
            <v>Specific Risk</v>
          </cell>
          <cell r="E5359" t="str">
            <v>Specific Risk</v>
          </cell>
          <cell r="F5359" t="str">
            <v>Idiosyncratic</v>
          </cell>
          <cell r="G5359" t="str">
            <v>Other</v>
          </cell>
          <cell r="H5359" t="str">
            <v>OTHER_SPECIFIC</v>
          </cell>
          <cell r="I5359" t="str">
            <v>Alternative - Idiosyncratic</v>
          </cell>
        </row>
        <row r="5360">
          <cell r="A5360" t="str">
            <v>AI_RE2_US_M_MN_MIN_OFF_E</v>
          </cell>
          <cell r="B5360" t="str">
            <v>US MW MN MPLS Off RE Ex</v>
          </cell>
          <cell r="C5360" t="str">
            <v>ALTERNATIVE:RE2_BRS_GOLD:RE2_PRIV_EX:AI_RE2_US_M_MN_MIN_OFF_E</v>
          </cell>
          <cell r="D5360" t="str">
            <v>Specific Risk</v>
          </cell>
          <cell r="E5360" t="str">
            <v>Specific Risk</v>
          </cell>
          <cell r="F5360" t="str">
            <v>Idiosyncratic</v>
          </cell>
          <cell r="G5360" t="str">
            <v>Other</v>
          </cell>
          <cell r="H5360" t="str">
            <v>OTHER_SPECIFIC</v>
          </cell>
          <cell r="I5360" t="str">
            <v>Alternative - Idiosyncratic</v>
          </cell>
        </row>
        <row r="5361">
          <cell r="A5361" t="str">
            <v>AI_RE2_US_M_OTH_OFF_E</v>
          </cell>
          <cell r="B5361" t="str">
            <v>US MW Other Off RE Ex</v>
          </cell>
          <cell r="C5361" t="str">
            <v>ALTERNATIVE:RE2_BRS_GOLD:RE2_PRIV_EX:AI_RE2_US_M_OTH_OFF_E</v>
          </cell>
          <cell r="D5361" t="str">
            <v>Specific Risk</v>
          </cell>
          <cell r="E5361" t="str">
            <v>Specific Risk</v>
          </cell>
          <cell r="F5361" t="str">
            <v>Idiosyncratic</v>
          </cell>
          <cell r="G5361" t="str">
            <v>Other</v>
          </cell>
          <cell r="H5361" t="str">
            <v>OTHER_SPECIFIC</v>
          </cell>
          <cell r="I5361" t="str">
            <v>Alternative - Idiosyncratic</v>
          </cell>
        </row>
        <row r="5362">
          <cell r="A5362" t="str">
            <v>AI_RE2_US_M_MO_STL_OFF_E</v>
          </cell>
          <cell r="B5362" t="str">
            <v>US MW MO St.Louis Off RE Ex</v>
          </cell>
          <cell r="C5362" t="str">
            <v>ALTERNATIVE:RE2_BRS_GOLD:RE2_PRIV_EX:AI_RE2_US_M_MO_STL_OFF_E</v>
          </cell>
          <cell r="D5362" t="str">
            <v>Specific Risk</v>
          </cell>
          <cell r="E5362" t="str">
            <v>Specific Risk</v>
          </cell>
          <cell r="F5362" t="str">
            <v>Idiosyncratic</v>
          </cell>
          <cell r="G5362" t="str">
            <v>Other</v>
          </cell>
          <cell r="H5362" t="str">
            <v>OTHER_SPECIFIC</v>
          </cell>
          <cell r="I5362" t="str">
            <v>Alternative - Idiosyncratic</v>
          </cell>
        </row>
        <row r="5363">
          <cell r="A5363" t="str">
            <v>AI_RE2_US_S_GA_ATL_OFF_E</v>
          </cell>
          <cell r="B5363" t="str">
            <v>US S GA Atlanta Off RE Ex</v>
          </cell>
          <cell r="C5363" t="str">
            <v>ALTERNATIVE:RE2_BRS_GOLD:RE2_PRIV_EX:AI_RE2_US_S_GA_ATL_OFF_E</v>
          </cell>
          <cell r="D5363" t="str">
            <v>Specific Risk</v>
          </cell>
          <cell r="E5363" t="str">
            <v>Specific Risk</v>
          </cell>
          <cell r="F5363" t="str">
            <v>Idiosyncratic</v>
          </cell>
          <cell r="G5363" t="str">
            <v>Other</v>
          </cell>
          <cell r="H5363" t="str">
            <v>OTHER_SPECIFIC</v>
          </cell>
          <cell r="I5363" t="str">
            <v>Alternative - Idiosyncratic</v>
          </cell>
        </row>
        <row r="5364">
          <cell r="A5364" t="str">
            <v>AI_RE2_US_S_TX_DAL_OFF_E</v>
          </cell>
          <cell r="B5364" t="str">
            <v>US S TX Dallas Off RE Ex</v>
          </cell>
          <cell r="C5364" t="str">
            <v>ALTERNATIVE:RE2_BRS_GOLD:RE2_PRIV_EX:AI_RE2_US_S_TX_DAL_OFF_E</v>
          </cell>
          <cell r="D5364" t="str">
            <v>Specific Risk</v>
          </cell>
          <cell r="E5364" t="str">
            <v>Specific Risk</v>
          </cell>
          <cell r="F5364" t="str">
            <v>Idiosyncratic</v>
          </cell>
          <cell r="G5364" t="str">
            <v>Other</v>
          </cell>
          <cell r="H5364" t="str">
            <v>OTHER_SPECIFIC</v>
          </cell>
          <cell r="I5364" t="str">
            <v>Alternative - Idiosyncratic</v>
          </cell>
        </row>
        <row r="5365">
          <cell r="A5365" t="str">
            <v>AI_RE2_US_S_TX_HOU_OFF_E</v>
          </cell>
          <cell r="B5365" t="str">
            <v>US S TX Houston Off RE Ex</v>
          </cell>
          <cell r="C5365" t="str">
            <v>ALTERNATIVE:RE2_BRS_GOLD:RE2_PRIV_EX:AI_RE2_US_S_TX_HOU_OFF_E</v>
          </cell>
          <cell r="D5365" t="str">
            <v>Specific Risk</v>
          </cell>
          <cell r="E5365" t="str">
            <v>Specific Risk</v>
          </cell>
          <cell r="F5365" t="str">
            <v>Idiosyncratic</v>
          </cell>
          <cell r="G5365" t="str">
            <v>Other</v>
          </cell>
          <cell r="H5365" t="str">
            <v>OTHER_SPECIFIC</v>
          </cell>
          <cell r="I5365" t="str">
            <v>Alternative - Idiosyncratic</v>
          </cell>
        </row>
        <row r="5366">
          <cell r="A5366" t="str">
            <v>AI_RE2_US_S_FL_MIA_OFF_E</v>
          </cell>
          <cell r="B5366" t="str">
            <v>US S FL Miami Off RE Ex</v>
          </cell>
          <cell r="C5366" t="str">
            <v>ALTERNATIVE:RE2_BRS_GOLD:RE2_PRIV_EX:AI_RE2_US_S_FL_MIA_OFF_E</v>
          </cell>
          <cell r="D5366" t="str">
            <v>Specific Risk</v>
          </cell>
          <cell r="E5366" t="str">
            <v>Specific Risk</v>
          </cell>
          <cell r="F5366" t="str">
            <v>Idiosyncratic</v>
          </cell>
          <cell r="G5366" t="str">
            <v>Other</v>
          </cell>
          <cell r="H5366" t="str">
            <v>OTHER_SPECIFIC</v>
          </cell>
          <cell r="I5366" t="str">
            <v>Alternative - Idiosyncratic</v>
          </cell>
        </row>
        <row r="5367">
          <cell r="A5367" t="str">
            <v>AI_RE2_US_S_OTH_OFF_E</v>
          </cell>
          <cell r="B5367" t="str">
            <v>US S Other Off RE Ex</v>
          </cell>
          <cell r="C5367" t="str">
            <v>ALTERNATIVE:RE2_BRS_GOLD:RE2_PRIV_EX:AI_RE2_US_S_OTH_OFF_E</v>
          </cell>
          <cell r="D5367" t="str">
            <v>Specific Risk</v>
          </cell>
          <cell r="E5367" t="str">
            <v>Specific Risk</v>
          </cell>
          <cell r="F5367" t="str">
            <v>Idiosyncratic</v>
          </cell>
          <cell r="G5367" t="str">
            <v>Other</v>
          </cell>
          <cell r="H5367" t="str">
            <v>OTHER_SPECIFIC</v>
          </cell>
          <cell r="I5367" t="str">
            <v>Alternative - Idiosyncratic</v>
          </cell>
        </row>
        <row r="5368">
          <cell r="A5368" t="str">
            <v>AI_RE2_US_S_FL_TAM_OFF_E</v>
          </cell>
          <cell r="B5368" t="str">
            <v>US S FL Tampa Off RE Ex</v>
          </cell>
          <cell r="C5368" t="str">
            <v>ALTERNATIVE:RE2_BRS_GOLD:RE2_PRIV_EX:AI_RE2_US_S_FL_TAM_OFF_E</v>
          </cell>
          <cell r="D5368" t="str">
            <v>Specific Risk</v>
          </cell>
          <cell r="E5368" t="str">
            <v>Specific Risk</v>
          </cell>
          <cell r="F5368" t="str">
            <v>Idiosyncratic</v>
          </cell>
          <cell r="G5368" t="str">
            <v>Other</v>
          </cell>
          <cell r="H5368" t="str">
            <v>OTHER_SPECIFIC</v>
          </cell>
          <cell r="I5368" t="str">
            <v>Alternative - Idiosyncratic</v>
          </cell>
        </row>
        <row r="5369">
          <cell r="A5369" t="str">
            <v>AI_RE2_US_W_CA_LA_OFF_E</v>
          </cell>
          <cell r="B5369" t="str">
            <v>US W CA LA Off RE Ex</v>
          </cell>
          <cell r="C5369" t="str">
            <v>ALTERNATIVE:RE2_BRS_GOLD:RE2_PRIV_EX:AI_RE2_US_W_CA_LA_OFF_E</v>
          </cell>
          <cell r="D5369" t="str">
            <v>Specific Risk</v>
          </cell>
          <cell r="E5369" t="str">
            <v>Specific Risk</v>
          </cell>
          <cell r="F5369" t="str">
            <v>Idiosyncratic</v>
          </cell>
          <cell r="G5369" t="str">
            <v>Other</v>
          </cell>
          <cell r="H5369" t="str">
            <v>OTHER_SPECIFIC</v>
          </cell>
          <cell r="I5369" t="str">
            <v>Alternative - Idiosyncratic</v>
          </cell>
        </row>
        <row r="5370">
          <cell r="A5370" t="str">
            <v>AI_RE2_US_W_OTH_OFF_E</v>
          </cell>
          <cell r="B5370" t="str">
            <v>US W Other Off RE Ex</v>
          </cell>
          <cell r="C5370" t="str">
            <v>ALTERNATIVE:RE2_BRS_GOLD:RE2_PRIV_EX:AI_RE2_US_W_OTH_OFF_E</v>
          </cell>
          <cell r="D5370" t="str">
            <v>Specific Risk</v>
          </cell>
          <cell r="E5370" t="str">
            <v>Specific Risk</v>
          </cell>
          <cell r="F5370" t="str">
            <v>Idiosyncratic</v>
          </cell>
          <cell r="G5370" t="str">
            <v>Other</v>
          </cell>
          <cell r="H5370" t="str">
            <v>OTHER_SPECIFIC</v>
          </cell>
          <cell r="I5370" t="str">
            <v>Alternative - Idiosyncratic</v>
          </cell>
        </row>
        <row r="5371">
          <cell r="A5371" t="str">
            <v>AI_RE2_US_W_AZ_PHO_OFF_E</v>
          </cell>
          <cell r="B5371" t="str">
            <v>US W AZ Phoenix Off RE Ex</v>
          </cell>
          <cell r="C5371" t="str">
            <v>ALTERNATIVE:RE2_BRS_GOLD:RE2_PRIV_EX:AI_RE2_US_W_AZ_PHO_OFF_E</v>
          </cell>
          <cell r="D5371" t="str">
            <v>Specific Risk</v>
          </cell>
          <cell r="E5371" t="str">
            <v>Specific Risk</v>
          </cell>
          <cell r="F5371" t="str">
            <v>Idiosyncratic</v>
          </cell>
          <cell r="G5371" t="str">
            <v>Other</v>
          </cell>
          <cell r="H5371" t="str">
            <v>OTHER_SPECIFIC</v>
          </cell>
          <cell r="I5371" t="str">
            <v>Alternative - Idiosyncratic</v>
          </cell>
        </row>
        <row r="5372">
          <cell r="A5372" t="str">
            <v>AI_RE2_US_W_CA_SD_OFF_E</v>
          </cell>
          <cell r="B5372" t="str">
            <v>US W CA SD Off RE Ex</v>
          </cell>
          <cell r="C5372" t="str">
            <v>ALTERNATIVE:RE2_BRS_GOLD:RE2_PRIV_EX:AI_RE2_US_W_CA_SD_OFF_E</v>
          </cell>
          <cell r="D5372" t="str">
            <v>Specific Risk</v>
          </cell>
          <cell r="E5372" t="str">
            <v>Specific Risk</v>
          </cell>
          <cell r="F5372" t="str">
            <v>Idiosyncratic</v>
          </cell>
          <cell r="G5372" t="str">
            <v>Other</v>
          </cell>
          <cell r="H5372" t="str">
            <v>OTHER_SPECIFIC</v>
          </cell>
          <cell r="I5372" t="str">
            <v>Alternative - Idiosyncratic</v>
          </cell>
        </row>
        <row r="5373">
          <cell r="A5373" t="str">
            <v>AI_RE2_US_W_CA_SF_OFF_E</v>
          </cell>
          <cell r="B5373" t="str">
            <v>US W CA SF Off RE Ex</v>
          </cell>
          <cell r="C5373" t="str">
            <v>ALTERNATIVE:RE2_BRS_GOLD:RE2_PRIV_EX:AI_RE2_US_W_CA_SF_OFF_E</v>
          </cell>
          <cell r="D5373" t="str">
            <v>Specific Risk</v>
          </cell>
          <cell r="E5373" t="str">
            <v>Specific Risk</v>
          </cell>
          <cell r="F5373" t="str">
            <v>Idiosyncratic</v>
          </cell>
          <cell r="G5373" t="str">
            <v>Other</v>
          </cell>
          <cell r="H5373" t="str">
            <v>OTHER_SPECIFIC</v>
          </cell>
          <cell r="I5373" t="str">
            <v>Alternative - Idiosyncratic</v>
          </cell>
        </row>
        <row r="5374">
          <cell r="A5374" t="str">
            <v>AI_RE2_US_W_WA_SEA_OFF_E</v>
          </cell>
          <cell r="B5374" t="str">
            <v>US W WA Seattle Off RE Ex</v>
          </cell>
          <cell r="C5374" t="str">
            <v>ALTERNATIVE:RE2_BRS_GOLD:RE2_PRIV_EX:AI_RE2_US_W_WA_SEA_OFF_E</v>
          </cell>
          <cell r="D5374" t="str">
            <v>Specific Risk</v>
          </cell>
          <cell r="E5374" t="str">
            <v>Specific Risk</v>
          </cell>
          <cell r="F5374" t="str">
            <v>Idiosyncratic</v>
          </cell>
          <cell r="G5374" t="str">
            <v>Other</v>
          </cell>
          <cell r="H5374" t="str">
            <v>OTHER_SPECIFIC</v>
          </cell>
          <cell r="I5374" t="str">
            <v>Alternative - Idiosyncratic</v>
          </cell>
        </row>
        <row r="5375">
          <cell r="A5375" t="str">
            <v>AI_RE2_US_E_MA_BOS_RET_E</v>
          </cell>
          <cell r="B5375" t="str">
            <v>US E MA Boston Ret RE Ex</v>
          </cell>
          <cell r="C5375" t="str">
            <v>ALTERNATIVE:RE2_BRS_GOLD:RE2_PRIV_EX:AI_RE2_US_E_MA_BOS_RET_E</v>
          </cell>
          <cell r="D5375" t="str">
            <v>Specific Risk</v>
          </cell>
          <cell r="E5375" t="str">
            <v>Specific Risk</v>
          </cell>
          <cell r="F5375" t="str">
            <v>Idiosyncratic</v>
          </cell>
          <cell r="G5375" t="str">
            <v>Other</v>
          </cell>
          <cell r="H5375" t="str">
            <v>OTHER_SPECIFIC</v>
          </cell>
          <cell r="I5375" t="str">
            <v>Alternative - Idiosyncratic</v>
          </cell>
        </row>
        <row r="5376">
          <cell r="A5376" t="str">
            <v>AI_RE2_US_E_NY_NY_RET_E</v>
          </cell>
          <cell r="B5376" t="str">
            <v>US E NY New York Ret RE Ex</v>
          </cell>
          <cell r="C5376" t="str">
            <v>ALTERNATIVE:RE2_BRS_GOLD:RE2_PRIV_EX:AI_RE2_US_E_NY_NY_RET_E</v>
          </cell>
          <cell r="D5376" t="str">
            <v>Specific Risk</v>
          </cell>
          <cell r="E5376" t="str">
            <v>Specific Risk</v>
          </cell>
          <cell r="F5376" t="str">
            <v>Idiosyncratic</v>
          </cell>
          <cell r="G5376" t="str">
            <v>Other</v>
          </cell>
          <cell r="H5376" t="str">
            <v>OTHER_SPECIFIC</v>
          </cell>
          <cell r="I5376" t="str">
            <v>Alternative - Idiosyncratic</v>
          </cell>
        </row>
        <row r="5377">
          <cell r="A5377" t="str">
            <v>AI_RE2_US_E_OTH_RET_E</v>
          </cell>
          <cell r="B5377" t="str">
            <v>US E Other Ret RE Ex</v>
          </cell>
          <cell r="C5377" t="str">
            <v>ALTERNATIVE:RE2_BRS_GOLD:RE2_PRIV_EX:AI_RE2_US_E_OTH_RET_E</v>
          </cell>
          <cell r="D5377" t="str">
            <v>Specific Risk</v>
          </cell>
          <cell r="E5377" t="str">
            <v>Specific Risk</v>
          </cell>
          <cell r="F5377" t="str">
            <v>Idiosyncratic</v>
          </cell>
          <cell r="G5377" t="str">
            <v>Other</v>
          </cell>
          <cell r="H5377" t="str">
            <v>OTHER_SPECIFIC</v>
          </cell>
          <cell r="I5377" t="str">
            <v>Alternative - Idiosyncratic</v>
          </cell>
        </row>
        <row r="5378">
          <cell r="A5378" t="str">
            <v>AI_RE2_US_E_PA_PHI_RET_E</v>
          </cell>
          <cell r="B5378" t="str">
            <v>US E PA PHL Ret RE Ex</v>
          </cell>
          <cell r="C5378" t="str">
            <v>ALTERNATIVE:RE2_BRS_GOLD:RE2_PRIV_EX:AI_RE2_US_E_PA_PHI_RET_E</v>
          </cell>
          <cell r="D5378" t="str">
            <v>Specific Risk</v>
          </cell>
          <cell r="E5378" t="str">
            <v>Specific Risk</v>
          </cell>
          <cell r="F5378" t="str">
            <v>Idiosyncratic</v>
          </cell>
          <cell r="G5378" t="str">
            <v>Other</v>
          </cell>
          <cell r="H5378" t="str">
            <v>OTHER_SPECIFIC</v>
          </cell>
          <cell r="I5378" t="str">
            <v>Alternative - Idiosyncratic</v>
          </cell>
        </row>
        <row r="5379">
          <cell r="A5379" t="str">
            <v>AI_RE2_US_E_DC_WAS_RET_E</v>
          </cell>
          <cell r="B5379" t="str">
            <v>US E DC Washington Ret RE Ex</v>
          </cell>
          <cell r="C5379" t="str">
            <v>ALTERNATIVE:RE2_BRS_GOLD:RE2_PRIV_EX:AI_RE2_US_E_DC_WAS_RET_E</v>
          </cell>
          <cell r="D5379" t="str">
            <v>Specific Risk</v>
          </cell>
          <cell r="E5379" t="str">
            <v>Specific Risk</v>
          </cell>
          <cell r="F5379" t="str">
            <v>Idiosyncratic</v>
          </cell>
          <cell r="G5379" t="str">
            <v>Other</v>
          </cell>
          <cell r="H5379" t="str">
            <v>OTHER_SPECIFIC</v>
          </cell>
          <cell r="I5379" t="str">
            <v>Alternative - Idiosyncratic</v>
          </cell>
        </row>
        <row r="5380">
          <cell r="A5380" t="str">
            <v>AI_RE2_US_M_IL_CHI_RET_E</v>
          </cell>
          <cell r="B5380" t="str">
            <v>US MW IL Chicago Ret RE Ex</v>
          </cell>
          <cell r="C5380" t="str">
            <v>ALTERNATIVE:RE2_BRS_GOLD:RE2_PRIV_EX:AI_RE2_US_M_IL_CHI_RET_E</v>
          </cell>
          <cell r="D5380" t="str">
            <v>Specific Risk</v>
          </cell>
          <cell r="E5380" t="str">
            <v>Specific Risk</v>
          </cell>
          <cell r="F5380" t="str">
            <v>Idiosyncratic</v>
          </cell>
          <cell r="G5380" t="str">
            <v>Other</v>
          </cell>
          <cell r="H5380" t="str">
            <v>OTHER_SPECIFIC</v>
          </cell>
          <cell r="I5380" t="str">
            <v>Alternative - Idiosyncratic</v>
          </cell>
        </row>
        <row r="5381">
          <cell r="A5381" t="str">
            <v>AI_RE2_US_M_MI_DET_RET_E</v>
          </cell>
          <cell r="B5381" t="str">
            <v>US MW MI Detroit Ret RE Ex</v>
          </cell>
          <cell r="C5381" t="str">
            <v>ALTERNATIVE:RE2_BRS_GOLD:RE2_PRIV_EX:AI_RE2_US_M_MI_DET_RET_E</v>
          </cell>
          <cell r="D5381" t="str">
            <v>Specific Risk</v>
          </cell>
          <cell r="E5381" t="str">
            <v>Specific Risk</v>
          </cell>
          <cell r="F5381" t="str">
            <v>Idiosyncratic</v>
          </cell>
          <cell r="G5381" t="str">
            <v>Other</v>
          </cell>
          <cell r="H5381" t="str">
            <v>OTHER_SPECIFIC</v>
          </cell>
          <cell r="I5381" t="str">
            <v>Alternative - Idiosyncratic</v>
          </cell>
        </row>
        <row r="5382">
          <cell r="A5382" t="str">
            <v>AI_RE2_US_M_MN_MIN_RET_E</v>
          </cell>
          <cell r="B5382" t="str">
            <v>US MW MN MPLS Ret RE Ex</v>
          </cell>
          <cell r="C5382" t="str">
            <v>ALTERNATIVE:RE2_BRS_GOLD:RE2_PRIV_EX:AI_RE2_US_M_MN_MIN_RET_E</v>
          </cell>
          <cell r="D5382" t="str">
            <v>Specific Risk</v>
          </cell>
          <cell r="E5382" t="str">
            <v>Specific Risk</v>
          </cell>
          <cell r="F5382" t="str">
            <v>Idiosyncratic</v>
          </cell>
          <cell r="G5382" t="str">
            <v>Other</v>
          </cell>
          <cell r="H5382" t="str">
            <v>OTHER_SPECIFIC</v>
          </cell>
          <cell r="I5382" t="str">
            <v>Alternative - Idiosyncratic</v>
          </cell>
        </row>
        <row r="5383">
          <cell r="A5383" t="str">
            <v>AI_RE2_US_M_OTH_RET_E</v>
          </cell>
          <cell r="B5383" t="str">
            <v>US MW Other Ret RE Ex</v>
          </cell>
          <cell r="C5383" t="str">
            <v>ALTERNATIVE:RE2_BRS_GOLD:RE2_PRIV_EX:AI_RE2_US_M_OTH_RET_E</v>
          </cell>
          <cell r="D5383" t="str">
            <v>Specific Risk</v>
          </cell>
          <cell r="E5383" t="str">
            <v>Specific Risk</v>
          </cell>
          <cell r="F5383" t="str">
            <v>Idiosyncratic</v>
          </cell>
          <cell r="G5383" t="str">
            <v>Other</v>
          </cell>
          <cell r="H5383" t="str">
            <v>OTHER_SPECIFIC</v>
          </cell>
          <cell r="I5383" t="str">
            <v>Alternative - Idiosyncratic</v>
          </cell>
        </row>
        <row r="5384">
          <cell r="A5384" t="str">
            <v>AI_RE2_US_M_MO_STL_RET_E</v>
          </cell>
          <cell r="B5384" t="str">
            <v>US MW MO St.Louis Ret RE Ex</v>
          </cell>
          <cell r="C5384" t="str">
            <v>ALTERNATIVE:RE2_BRS_GOLD:RE2_PRIV_EX:AI_RE2_US_M_MO_STL_RET_E</v>
          </cell>
          <cell r="D5384" t="str">
            <v>Specific Risk</v>
          </cell>
          <cell r="E5384" t="str">
            <v>Specific Risk</v>
          </cell>
          <cell r="F5384" t="str">
            <v>Idiosyncratic</v>
          </cell>
          <cell r="G5384" t="str">
            <v>Other</v>
          </cell>
          <cell r="H5384" t="str">
            <v>OTHER_SPECIFIC</v>
          </cell>
          <cell r="I5384" t="str">
            <v>Alternative - Idiosyncratic</v>
          </cell>
        </row>
        <row r="5385">
          <cell r="A5385" t="str">
            <v>AI_RE2_US_S_TX_DAL_RET_E</v>
          </cell>
          <cell r="B5385" t="str">
            <v>US S TX Dallas Ret RE Ex</v>
          </cell>
          <cell r="C5385" t="str">
            <v>ALTERNATIVE:RE2_BRS_GOLD:RE2_PRIV_EX:AI_RE2_US_S_TX_DAL_RET_E</v>
          </cell>
          <cell r="D5385" t="str">
            <v>Specific Risk</v>
          </cell>
          <cell r="E5385" t="str">
            <v>Specific Risk</v>
          </cell>
          <cell r="F5385" t="str">
            <v>Idiosyncratic</v>
          </cell>
          <cell r="G5385" t="str">
            <v>Other</v>
          </cell>
          <cell r="H5385" t="str">
            <v>OTHER_SPECIFIC</v>
          </cell>
          <cell r="I5385" t="str">
            <v>Alternative - Idiosyncratic</v>
          </cell>
        </row>
        <row r="5386">
          <cell r="A5386" t="str">
            <v>AI_RE2_US_S_FL_MIA_RET_E</v>
          </cell>
          <cell r="B5386" t="str">
            <v>US S FL Miami Ret RE Ex</v>
          </cell>
          <cell r="C5386" t="str">
            <v>ALTERNATIVE:RE2_BRS_GOLD:RE2_PRIV_EX:AI_RE2_US_S_FL_MIA_RET_E</v>
          </cell>
          <cell r="D5386" t="str">
            <v>Specific Risk</v>
          </cell>
          <cell r="E5386" t="str">
            <v>Specific Risk</v>
          </cell>
          <cell r="F5386" t="str">
            <v>Idiosyncratic</v>
          </cell>
          <cell r="G5386" t="str">
            <v>Other</v>
          </cell>
          <cell r="H5386" t="str">
            <v>OTHER_SPECIFIC</v>
          </cell>
          <cell r="I5386" t="str">
            <v>Alternative - Idiosyncratic</v>
          </cell>
        </row>
        <row r="5387">
          <cell r="A5387" t="str">
            <v>AI_RE2_US_S_OTH_RET_E</v>
          </cell>
          <cell r="B5387" t="str">
            <v>US S Other Ret RE Ex</v>
          </cell>
          <cell r="C5387" t="str">
            <v>ALTERNATIVE:RE2_BRS_GOLD:RE2_PRIV_EX:AI_RE2_US_S_OTH_RET_E</v>
          </cell>
          <cell r="D5387" t="str">
            <v>Specific Risk</v>
          </cell>
          <cell r="E5387" t="str">
            <v>Specific Risk</v>
          </cell>
          <cell r="F5387" t="str">
            <v>Idiosyncratic</v>
          </cell>
          <cell r="G5387" t="str">
            <v>Other</v>
          </cell>
          <cell r="H5387" t="str">
            <v>OTHER_SPECIFIC</v>
          </cell>
          <cell r="I5387" t="str">
            <v>Alternative - Idiosyncratic</v>
          </cell>
        </row>
        <row r="5388">
          <cell r="A5388" t="str">
            <v>AI_RE2_US_S_FL_TAM_RET_E</v>
          </cell>
          <cell r="B5388" t="str">
            <v>US S FL Tampa Ret RE Ex</v>
          </cell>
          <cell r="C5388" t="str">
            <v>ALTERNATIVE:RE2_BRS_GOLD:RE2_PRIV_EX:AI_RE2_US_S_FL_TAM_RET_E</v>
          </cell>
          <cell r="D5388" t="str">
            <v>Specific Risk</v>
          </cell>
          <cell r="E5388" t="str">
            <v>Specific Risk</v>
          </cell>
          <cell r="F5388" t="str">
            <v>Idiosyncratic</v>
          </cell>
          <cell r="G5388" t="str">
            <v>Other</v>
          </cell>
          <cell r="H5388" t="str">
            <v>OTHER_SPECIFIC</v>
          </cell>
          <cell r="I5388" t="str">
            <v>Alternative - Idiosyncratic</v>
          </cell>
        </row>
        <row r="5389">
          <cell r="A5389" t="str">
            <v>AI_RE2_US_W_CA_LA_RET_E</v>
          </cell>
          <cell r="B5389" t="str">
            <v>US W CA LA Ret RE Ex</v>
          </cell>
          <cell r="C5389" t="str">
            <v>ALTERNATIVE:RE2_BRS_GOLD:RE2_PRIV_EX:AI_RE2_US_W_CA_LA_RET_E</v>
          </cell>
          <cell r="D5389" t="str">
            <v>Specific Risk</v>
          </cell>
          <cell r="E5389" t="str">
            <v>Specific Risk</v>
          </cell>
          <cell r="F5389" t="str">
            <v>Idiosyncratic</v>
          </cell>
          <cell r="G5389" t="str">
            <v>Other</v>
          </cell>
          <cell r="H5389" t="str">
            <v>OTHER_SPECIFIC</v>
          </cell>
          <cell r="I5389" t="str">
            <v>Alternative - Idiosyncratic</v>
          </cell>
        </row>
        <row r="5390">
          <cell r="A5390" t="str">
            <v>AI_RE2_US_W_OTH_RET_E</v>
          </cell>
          <cell r="B5390" t="str">
            <v>US W Other Ret RE Ex</v>
          </cell>
          <cell r="C5390" t="str">
            <v>ALTERNATIVE:RE2_BRS_GOLD:RE2_PRIV_EX:AI_RE2_US_W_OTH_RET_E</v>
          </cell>
          <cell r="D5390" t="str">
            <v>Specific Risk</v>
          </cell>
          <cell r="E5390" t="str">
            <v>Specific Risk</v>
          </cell>
          <cell r="F5390" t="str">
            <v>Idiosyncratic</v>
          </cell>
          <cell r="G5390" t="str">
            <v>Other</v>
          </cell>
          <cell r="H5390" t="str">
            <v>OTHER_SPECIFIC</v>
          </cell>
          <cell r="I5390" t="str">
            <v>Alternative - Idiosyncratic</v>
          </cell>
        </row>
        <row r="5391">
          <cell r="A5391" t="str">
            <v>AI_RE2_US_W_AZ_PHO_RET_E</v>
          </cell>
          <cell r="B5391" t="str">
            <v>US W AZ Phoenix Ret RE Ex</v>
          </cell>
          <cell r="C5391" t="str">
            <v>ALTERNATIVE:RE2_BRS_GOLD:RE2_PRIV_EX:AI_RE2_US_W_AZ_PHO_RET_E</v>
          </cell>
          <cell r="D5391" t="str">
            <v>Specific Risk</v>
          </cell>
          <cell r="E5391" t="str">
            <v>Specific Risk</v>
          </cell>
          <cell r="F5391" t="str">
            <v>Idiosyncratic</v>
          </cell>
          <cell r="G5391" t="str">
            <v>Other</v>
          </cell>
          <cell r="H5391" t="str">
            <v>OTHER_SPECIFIC</v>
          </cell>
          <cell r="I5391" t="str">
            <v>Alternative - Idiosyncratic</v>
          </cell>
        </row>
        <row r="5392">
          <cell r="A5392" t="str">
            <v>AI_RE2_US_W_CA_SD_RET_E</v>
          </cell>
          <cell r="B5392" t="str">
            <v>US W CA SD Ret RE Ex</v>
          </cell>
          <cell r="C5392" t="str">
            <v>ALTERNATIVE:RE2_BRS_GOLD:RE2_PRIV_EX:AI_RE2_US_W_CA_SD_RET_E</v>
          </cell>
          <cell r="D5392" t="str">
            <v>Specific Risk</v>
          </cell>
          <cell r="E5392" t="str">
            <v>Specific Risk</v>
          </cell>
          <cell r="F5392" t="str">
            <v>Idiosyncratic</v>
          </cell>
          <cell r="G5392" t="str">
            <v>Other</v>
          </cell>
          <cell r="H5392" t="str">
            <v>OTHER_SPECIFIC</v>
          </cell>
          <cell r="I5392" t="str">
            <v>Alternative - Idiosyncratic</v>
          </cell>
        </row>
        <row r="5393">
          <cell r="A5393" t="str">
            <v>AI_RE2_US_W_CA_SF_RET_E</v>
          </cell>
          <cell r="B5393" t="str">
            <v>US W CA SF Ret RE Ex</v>
          </cell>
          <cell r="C5393" t="str">
            <v>ALTERNATIVE:RE2_BRS_GOLD:RE2_PRIV_EX:AI_RE2_US_W_CA_SF_RET_E</v>
          </cell>
          <cell r="D5393" t="str">
            <v>Specific Risk</v>
          </cell>
          <cell r="E5393" t="str">
            <v>Specific Risk</v>
          </cell>
          <cell r="F5393" t="str">
            <v>Idiosyncratic</v>
          </cell>
          <cell r="G5393" t="str">
            <v>Other</v>
          </cell>
          <cell r="H5393" t="str">
            <v>OTHER_SPECIFIC</v>
          </cell>
          <cell r="I5393" t="str">
            <v>Alternative - Idiosyncratic</v>
          </cell>
        </row>
        <row r="5394">
          <cell r="A5394" t="str">
            <v>AI_RE2_US_W_WA_SEA_RET_E</v>
          </cell>
          <cell r="B5394" t="str">
            <v>US W WA Seattle Ret RE Ex</v>
          </cell>
          <cell r="C5394" t="str">
            <v>ALTERNATIVE:RE2_BRS_GOLD:RE2_PRIV_EX:AI_RE2_US_W_WA_SEA_RET_E</v>
          </cell>
          <cell r="D5394" t="str">
            <v>Specific Risk</v>
          </cell>
          <cell r="E5394" t="str">
            <v>Specific Risk</v>
          </cell>
          <cell r="F5394" t="str">
            <v>Idiosyncratic</v>
          </cell>
          <cell r="G5394" t="str">
            <v>Other</v>
          </cell>
          <cell r="H5394" t="str">
            <v>OTHER_SPECIFIC</v>
          </cell>
          <cell r="I5394" t="str">
            <v>Alternative - Idiosyncratic</v>
          </cell>
        </row>
        <row r="5395">
          <cell r="A5395" t="str">
            <v>AI_HF2_EQ_WRLD</v>
          </cell>
          <cell r="B5395" t="str">
            <v>World Market HF</v>
          </cell>
          <cell r="C5395" t="str">
            <v>ALTERNATIVE:HF2:HF2_EQ:AI_HF2_EQ_WRLD</v>
          </cell>
          <cell r="D5395" t="str">
            <v>Index</v>
          </cell>
          <cell r="E5395" t="str">
            <v>Index Level</v>
          </cell>
          <cell r="F5395" t="str">
            <v>Alternative</v>
          </cell>
          <cell r="G5395" t="str">
            <v>Other</v>
          </cell>
          <cell r="H5395" t="str">
            <v>ALTS</v>
          </cell>
          <cell r="I5395" t="str">
            <v>Alternative - Hedge Fund</v>
          </cell>
        </row>
        <row r="5396">
          <cell r="A5396" t="str">
            <v>AI_HF2_EQ_REG_NA</v>
          </cell>
          <cell r="B5396" t="str">
            <v>NA Region HF</v>
          </cell>
          <cell r="C5396" t="str">
            <v>ALTERNATIVE:HF2:HF2_EQ:AI_HF2_EQ_REG_NA</v>
          </cell>
          <cell r="D5396" t="str">
            <v>Index</v>
          </cell>
          <cell r="E5396" t="str">
            <v>Index Level</v>
          </cell>
          <cell r="F5396" t="str">
            <v>Alternative</v>
          </cell>
          <cell r="G5396" t="str">
            <v>Other</v>
          </cell>
          <cell r="H5396" t="str">
            <v>ALTS</v>
          </cell>
          <cell r="I5396" t="str">
            <v>Alternative - Hedge Fund</v>
          </cell>
        </row>
        <row r="5397">
          <cell r="A5397" t="str">
            <v>AI_HF2_EQ_REG_EUR</v>
          </cell>
          <cell r="B5397" t="str">
            <v>EU Region HF</v>
          </cell>
          <cell r="C5397" t="str">
            <v>ALTERNATIVE:HF2:HF2_EQ:AI_HF2_EQ_REG_EUR</v>
          </cell>
          <cell r="D5397" t="str">
            <v>Index</v>
          </cell>
          <cell r="E5397" t="str">
            <v>Index Level</v>
          </cell>
          <cell r="F5397" t="str">
            <v>Alternative</v>
          </cell>
          <cell r="G5397" t="str">
            <v>Other</v>
          </cell>
          <cell r="H5397" t="str">
            <v>ALTS</v>
          </cell>
          <cell r="I5397" t="str">
            <v>Alternative - Hedge Fund</v>
          </cell>
        </row>
        <row r="5398">
          <cell r="A5398" t="str">
            <v>AI_HF2_EQ_REG_APAC</v>
          </cell>
          <cell r="B5398" t="str">
            <v>APAC Region HF</v>
          </cell>
          <cell r="C5398" t="str">
            <v>ALTERNATIVE:HF2:HF2_EQ:AI_HF2_EQ_REG_APAC</v>
          </cell>
          <cell r="D5398" t="str">
            <v>Index</v>
          </cell>
          <cell r="E5398" t="str">
            <v>Index Level</v>
          </cell>
          <cell r="F5398" t="str">
            <v>Alternative</v>
          </cell>
          <cell r="G5398" t="str">
            <v>Other</v>
          </cell>
          <cell r="H5398" t="str">
            <v>ALTS</v>
          </cell>
          <cell r="I5398" t="str">
            <v>Alternative - Hedge Fund</v>
          </cell>
        </row>
        <row r="5399">
          <cell r="A5399" t="str">
            <v>AI_HF2_EQ_REG_LATAM</v>
          </cell>
          <cell r="B5399" t="str">
            <v>LatAm Region HF</v>
          </cell>
          <cell r="C5399" t="str">
            <v>ALTERNATIVE:HF2:HF2_EQ:AI_HF2_EQ_REG_LATAM</v>
          </cell>
          <cell r="D5399" t="str">
            <v>Index</v>
          </cell>
          <cell r="E5399" t="str">
            <v>Index Level</v>
          </cell>
          <cell r="F5399" t="str">
            <v>Alternative</v>
          </cell>
          <cell r="G5399" t="str">
            <v>Other</v>
          </cell>
          <cell r="H5399" t="str">
            <v>ALTS</v>
          </cell>
          <cell r="I5399" t="str">
            <v>Alternative - Hedge Fund</v>
          </cell>
        </row>
        <row r="5400">
          <cell r="A5400" t="str">
            <v>AI_HF2_EQ_STY_MOM</v>
          </cell>
          <cell r="B5400" t="str">
            <v>Momentum Style HF</v>
          </cell>
          <cell r="C5400" t="str">
            <v>ALTERNATIVE:HF2:HF2_EQ:AI_HF2_EQ_STY_MOM</v>
          </cell>
          <cell r="D5400" t="str">
            <v>Index</v>
          </cell>
          <cell r="E5400" t="str">
            <v>Index Level</v>
          </cell>
          <cell r="F5400" t="str">
            <v>Alternative</v>
          </cell>
          <cell r="G5400" t="str">
            <v>Other</v>
          </cell>
          <cell r="H5400" t="str">
            <v>ALTS</v>
          </cell>
          <cell r="I5400" t="str">
            <v>Alternative - Hedge Fund</v>
          </cell>
        </row>
        <row r="5401">
          <cell r="A5401" t="str">
            <v>AI_HF2_EQ_STY_SMCAP</v>
          </cell>
          <cell r="B5401" t="str">
            <v>Small Cap Style HF</v>
          </cell>
          <cell r="C5401" t="str">
            <v>ALTERNATIVE:HF2:HF2_EQ:AI_HF2_EQ_STY_SMCAP</v>
          </cell>
          <cell r="D5401" t="str">
            <v>Index</v>
          </cell>
          <cell r="E5401" t="str">
            <v>Index Level</v>
          </cell>
          <cell r="F5401" t="str">
            <v>Alternative</v>
          </cell>
          <cell r="G5401" t="str">
            <v>Other</v>
          </cell>
          <cell r="H5401" t="str">
            <v>ALTS</v>
          </cell>
          <cell r="I5401" t="str">
            <v>Alternative - Hedge Fund</v>
          </cell>
        </row>
        <row r="5402">
          <cell r="A5402" t="str">
            <v>AI_HF2_EQ_STY_VAL</v>
          </cell>
          <cell r="B5402" t="str">
            <v>Value Style HF</v>
          </cell>
          <cell r="C5402" t="str">
            <v>ALTERNATIVE:HF2:HF2_EQ:AI_HF2_EQ_STY_VAL</v>
          </cell>
          <cell r="D5402" t="str">
            <v>Index</v>
          </cell>
          <cell r="E5402" t="str">
            <v>Index Level</v>
          </cell>
          <cell r="F5402" t="str">
            <v>Alternative</v>
          </cell>
          <cell r="G5402" t="str">
            <v>Other</v>
          </cell>
          <cell r="H5402" t="str">
            <v>ALTS</v>
          </cell>
          <cell r="I5402" t="str">
            <v>Alternative - Hedge Fund</v>
          </cell>
        </row>
        <row r="5403">
          <cell r="A5403" t="str">
            <v>AI_HF2_EQ_STY_VOL</v>
          </cell>
          <cell r="B5403" t="str">
            <v>Volatility Style HF</v>
          </cell>
          <cell r="C5403" t="str">
            <v>ALTERNATIVE:HF2:HF2_EQ:AI_HF2_EQ_STY_VOL</v>
          </cell>
          <cell r="D5403" t="str">
            <v>Index</v>
          </cell>
          <cell r="E5403" t="str">
            <v>Index Level</v>
          </cell>
          <cell r="F5403" t="str">
            <v>Alternative</v>
          </cell>
          <cell r="G5403" t="str">
            <v>Other</v>
          </cell>
          <cell r="H5403" t="str">
            <v>ALTS</v>
          </cell>
          <cell r="I5403" t="str">
            <v>Alternative - Hedge Fund</v>
          </cell>
        </row>
        <row r="5404">
          <cell r="A5404" t="str">
            <v>AI_HF2_EQ_SEC_CYC</v>
          </cell>
          <cell r="B5404" t="str">
            <v>Cyclical Sectors HF</v>
          </cell>
          <cell r="C5404" t="str">
            <v>ALTERNATIVE:HF2:HF2_EQ:AI_HF2_EQ_SEC_CYC</v>
          </cell>
          <cell r="D5404" t="str">
            <v>Index</v>
          </cell>
          <cell r="E5404" t="str">
            <v>Index Level</v>
          </cell>
          <cell r="F5404" t="str">
            <v>Alternative</v>
          </cell>
          <cell r="G5404" t="str">
            <v>Other</v>
          </cell>
          <cell r="H5404" t="str">
            <v>ALTS</v>
          </cell>
          <cell r="I5404" t="str">
            <v>Alternative - Hedge Fund</v>
          </cell>
        </row>
        <row r="5405">
          <cell r="A5405" t="str">
            <v>AI_HF2_EQ_SEC_DEF</v>
          </cell>
          <cell r="B5405" t="str">
            <v>Defensive Sectors HF</v>
          </cell>
          <cell r="C5405" t="str">
            <v>ALTERNATIVE:HF2:HF2_EQ:AI_HF2_EQ_SEC_DEF</v>
          </cell>
          <cell r="D5405" t="str">
            <v>Index</v>
          </cell>
          <cell r="E5405" t="str">
            <v>Index Level</v>
          </cell>
          <cell r="F5405" t="str">
            <v>Alternative</v>
          </cell>
          <cell r="G5405" t="str">
            <v>Other</v>
          </cell>
          <cell r="H5405" t="str">
            <v>ALTS</v>
          </cell>
          <cell r="I5405" t="str">
            <v>Alternative - Hedge Fund</v>
          </cell>
        </row>
        <row r="5406">
          <cell r="A5406" t="str">
            <v>AI_HF2_FI_DM_RATES</v>
          </cell>
          <cell r="B5406" t="str">
            <v>Rates HF</v>
          </cell>
          <cell r="C5406" t="str">
            <v>ALTERNATIVE:HF2:HF2_FI:AI_HF2_FI_DM_RATES</v>
          </cell>
          <cell r="D5406" t="str">
            <v>Index</v>
          </cell>
          <cell r="E5406" t="str">
            <v>Index Level</v>
          </cell>
          <cell r="F5406" t="str">
            <v>Alternative</v>
          </cell>
          <cell r="G5406" t="str">
            <v>Other</v>
          </cell>
          <cell r="H5406" t="str">
            <v>ALTS</v>
          </cell>
          <cell r="I5406" t="str">
            <v>Alternative - Hedge Fund</v>
          </cell>
        </row>
        <row r="5407">
          <cell r="A5407" t="str">
            <v>AI_HF2_FI_EM_DEBT</v>
          </cell>
          <cell r="B5407" t="str">
            <v>EM Sovereign Debt HF</v>
          </cell>
          <cell r="C5407" t="str">
            <v>ALTERNATIVE:HF2:HF2_FI:AI_HF2_FI_EM_DEBT</v>
          </cell>
          <cell r="D5407" t="str">
            <v>Index</v>
          </cell>
          <cell r="E5407" t="str">
            <v>Index Level</v>
          </cell>
          <cell r="F5407" t="str">
            <v>Alternative</v>
          </cell>
          <cell r="G5407" t="str">
            <v>Other</v>
          </cell>
          <cell r="H5407" t="str">
            <v>ALTS</v>
          </cell>
          <cell r="I5407" t="str">
            <v>Alternative - Hedge Fund</v>
          </cell>
        </row>
        <row r="5408">
          <cell r="A5408" t="str">
            <v>AI_HF2_FI_DM_HY</v>
          </cell>
          <cell r="B5408" t="str">
            <v>High Yield HF</v>
          </cell>
          <cell r="C5408" t="str">
            <v>ALTERNATIVE:HF2:HF2_FI:AI_HF2_FI_DM_HY</v>
          </cell>
          <cell r="D5408" t="str">
            <v>Index</v>
          </cell>
          <cell r="E5408" t="str">
            <v>Index Level</v>
          </cell>
          <cell r="F5408" t="str">
            <v>Alternative</v>
          </cell>
          <cell r="G5408" t="str">
            <v>Other</v>
          </cell>
          <cell r="H5408" t="str">
            <v>ALTS</v>
          </cell>
          <cell r="I5408" t="str">
            <v>Alternative - Hedge Fund</v>
          </cell>
        </row>
        <row r="5409">
          <cell r="A5409" t="str">
            <v>AI_HF2_FI_DM_IG</v>
          </cell>
          <cell r="B5409" t="str">
            <v>Investment Grade HF</v>
          </cell>
          <cell r="C5409" t="str">
            <v>ALTERNATIVE:HF2:HF2_FI:AI_HF2_FI_DM_IG</v>
          </cell>
          <cell r="D5409" t="str">
            <v>Index</v>
          </cell>
          <cell r="E5409" t="str">
            <v>Index Level</v>
          </cell>
          <cell r="F5409" t="str">
            <v>Alternative</v>
          </cell>
          <cell r="G5409" t="str">
            <v>Other</v>
          </cell>
          <cell r="H5409" t="str">
            <v>ALTS</v>
          </cell>
          <cell r="I5409" t="str">
            <v>Alternative - Hedge Fund</v>
          </cell>
        </row>
        <row r="5410">
          <cell r="A5410" t="str">
            <v>AI_HF2_FI_EM_HY</v>
          </cell>
          <cell r="B5410" t="str">
            <v>EM High Yield HF</v>
          </cell>
          <cell r="C5410" t="str">
            <v>ALTERNATIVE:HF2:HF2_FI:AI_HF2_FI_EM_HY</v>
          </cell>
          <cell r="D5410" t="str">
            <v>Index</v>
          </cell>
          <cell r="E5410" t="str">
            <v>Index Level</v>
          </cell>
          <cell r="F5410" t="str">
            <v>Alternative</v>
          </cell>
          <cell r="G5410" t="str">
            <v>Other</v>
          </cell>
          <cell r="H5410" t="str">
            <v>ALTS</v>
          </cell>
          <cell r="I5410" t="str">
            <v>Alternative - Hedge Fund</v>
          </cell>
        </row>
        <row r="5411">
          <cell r="A5411" t="str">
            <v>AI_HF2_FI_DIST_CRED</v>
          </cell>
          <cell r="B5411" t="str">
            <v>Distressed Credit HF</v>
          </cell>
          <cell r="C5411" t="str">
            <v>ALTERNATIVE:HF2:HF2_FI:AI_HF2_FI_DIST_CRED</v>
          </cell>
          <cell r="D5411" t="str">
            <v>Index</v>
          </cell>
          <cell r="E5411" t="str">
            <v>Index Level</v>
          </cell>
          <cell r="F5411" t="str">
            <v>Alternative</v>
          </cell>
          <cell r="G5411" t="str">
            <v>Other</v>
          </cell>
          <cell r="H5411" t="str">
            <v>ALTS</v>
          </cell>
          <cell r="I5411" t="str">
            <v>Alternative - Hedge Fund</v>
          </cell>
        </row>
        <row r="5412">
          <cell r="A5412" t="str">
            <v>AI_HF2_FI_YC_SLOPE</v>
          </cell>
          <cell r="B5412" t="str">
            <v>Yield Slope HF</v>
          </cell>
          <cell r="C5412" t="str">
            <v>ALTERNATIVE:HF2:HF2_FI:AI_HF2_FI_YC_SLOPE</v>
          </cell>
          <cell r="D5412" t="str">
            <v>Index</v>
          </cell>
          <cell r="E5412" t="str">
            <v>Index Level</v>
          </cell>
          <cell r="F5412" t="str">
            <v>Alternative</v>
          </cell>
          <cell r="G5412" t="str">
            <v>Other</v>
          </cell>
          <cell r="H5412" t="str">
            <v>ALTS</v>
          </cell>
          <cell r="I5412" t="str">
            <v>Alternative - Hedge Fund</v>
          </cell>
        </row>
        <row r="5413">
          <cell r="A5413" t="str">
            <v>AI_HF2_FI_YC_CURV</v>
          </cell>
          <cell r="B5413" t="str">
            <v>Yield Curvature HF</v>
          </cell>
          <cell r="C5413" t="str">
            <v>ALTERNATIVE:HF2:HF2_FI:AI_HF2_FI_YC_CURV</v>
          </cell>
          <cell r="D5413" t="str">
            <v>Index</v>
          </cell>
          <cell r="E5413" t="str">
            <v>Index Level</v>
          </cell>
          <cell r="F5413" t="str">
            <v>Alternative</v>
          </cell>
          <cell r="G5413" t="str">
            <v>Other</v>
          </cell>
          <cell r="H5413" t="str">
            <v>ALTS</v>
          </cell>
          <cell r="I5413" t="str">
            <v>Alternative - Hedge Fund</v>
          </cell>
        </row>
        <row r="5414">
          <cell r="A5414" t="str">
            <v>AI_HF2_FI_SWAP_SPREAD</v>
          </cell>
          <cell r="B5414" t="str">
            <v>Swap Spread HF</v>
          </cell>
          <cell r="C5414" t="str">
            <v>ALTERNATIVE:HF2:HF2_FI:AI_HF2_FI_SWAP_SPREAD</v>
          </cell>
          <cell r="D5414" t="str">
            <v>Index</v>
          </cell>
          <cell r="E5414" t="str">
            <v>Index Level</v>
          </cell>
          <cell r="F5414" t="str">
            <v>Alternative</v>
          </cell>
          <cell r="G5414" t="str">
            <v>Other</v>
          </cell>
          <cell r="H5414" t="str">
            <v>ALTS</v>
          </cell>
          <cell r="I5414" t="str">
            <v>Alternative - Hedge Fund</v>
          </cell>
        </row>
        <row r="5415">
          <cell r="A5415" t="str">
            <v>AI_HF2_FI_LEV_LOAN</v>
          </cell>
          <cell r="B5415" t="str">
            <v>Leveraged Loans HF</v>
          </cell>
          <cell r="C5415" t="str">
            <v>ALTERNATIVE:HF2:HF2_FI:AI_HF2_FI_LEV_LOAN</v>
          </cell>
          <cell r="D5415" t="str">
            <v>Index</v>
          </cell>
          <cell r="E5415" t="str">
            <v>Index Level</v>
          </cell>
          <cell r="F5415" t="str">
            <v>Alternative</v>
          </cell>
          <cell r="G5415" t="str">
            <v>Other</v>
          </cell>
          <cell r="H5415" t="str">
            <v>ALTS</v>
          </cell>
          <cell r="I5415" t="str">
            <v>Alternative - Hedge Fund</v>
          </cell>
        </row>
        <row r="5416">
          <cell r="A5416" t="str">
            <v>AI_HF2_FI_DIST_LOAN</v>
          </cell>
          <cell r="B5416" t="str">
            <v>Distressed Loans HF</v>
          </cell>
          <cell r="C5416" t="str">
            <v>ALTERNATIVE:HF2:HF2_FI:AI_HF2_FI_DIST_LOAN</v>
          </cell>
          <cell r="D5416" t="str">
            <v>Index</v>
          </cell>
          <cell r="E5416" t="str">
            <v>Index Level</v>
          </cell>
          <cell r="F5416" t="str">
            <v>Alternative</v>
          </cell>
          <cell r="G5416" t="str">
            <v>Other</v>
          </cell>
          <cell r="H5416" t="str">
            <v>ALTS</v>
          </cell>
          <cell r="I5416" t="str">
            <v>Alternative - Hedge Fund</v>
          </cell>
        </row>
        <row r="5417">
          <cell r="A5417" t="str">
            <v>AI_HF2_FI_ABS</v>
          </cell>
          <cell r="B5417" t="str">
            <v>ABS HF</v>
          </cell>
          <cell r="C5417" t="str">
            <v>ALTERNATIVE:HF2:HF2_FI:AI_HF2_FI_ABS</v>
          </cell>
          <cell r="D5417" t="str">
            <v>Index</v>
          </cell>
          <cell r="E5417" t="str">
            <v>Index Level</v>
          </cell>
          <cell r="F5417" t="str">
            <v>Alternative</v>
          </cell>
          <cell r="G5417" t="str">
            <v>Other</v>
          </cell>
          <cell r="H5417" t="str">
            <v>ALTS</v>
          </cell>
          <cell r="I5417" t="str">
            <v>Alternative - Hedge Fund</v>
          </cell>
        </row>
        <row r="5418">
          <cell r="A5418" t="str">
            <v>AI_HF2_FI_CMBS</v>
          </cell>
          <cell r="B5418" t="str">
            <v>CMBS HF</v>
          </cell>
          <cell r="C5418" t="str">
            <v>ALTERNATIVE:HF2:HF2_FI:AI_HF2_FI_CMBS</v>
          </cell>
          <cell r="D5418" t="str">
            <v>Index</v>
          </cell>
          <cell r="E5418" t="str">
            <v>Index Level</v>
          </cell>
          <cell r="F5418" t="str">
            <v>Alternative</v>
          </cell>
          <cell r="G5418" t="str">
            <v>Other</v>
          </cell>
          <cell r="H5418" t="str">
            <v>ALTS</v>
          </cell>
          <cell r="I5418" t="str">
            <v>Alternative - Hedge Fund</v>
          </cell>
        </row>
        <row r="5419">
          <cell r="A5419" t="str">
            <v>AI_HF2_FI_SUBPRIME</v>
          </cell>
          <cell r="B5419" t="str">
            <v>Subprime HF</v>
          </cell>
          <cell r="C5419" t="str">
            <v>ALTERNATIVE:HF2:HF2_FI:AI_HF2_FI_SUBPRIME</v>
          </cell>
          <cell r="D5419" t="str">
            <v>Index</v>
          </cell>
          <cell r="E5419" t="str">
            <v>Index Level</v>
          </cell>
          <cell r="F5419" t="str">
            <v>Alternative</v>
          </cell>
          <cell r="G5419" t="str">
            <v>Other</v>
          </cell>
          <cell r="H5419" t="str">
            <v>ALTS</v>
          </cell>
          <cell r="I5419" t="str">
            <v>Alternative - Hedge Fund</v>
          </cell>
        </row>
        <row r="5420">
          <cell r="A5420" t="str">
            <v>AI_HF2_COMD_AGR_GR</v>
          </cell>
          <cell r="B5420" t="str">
            <v>Agriculture - Grains HF</v>
          </cell>
          <cell r="C5420" t="str">
            <v>ALTERNATIVE:HF2:HF2_COMD:AI_HF2_COMD_AGR_GR</v>
          </cell>
          <cell r="D5420" t="str">
            <v>Index</v>
          </cell>
          <cell r="E5420" t="str">
            <v>Index Level</v>
          </cell>
          <cell r="F5420" t="str">
            <v>Alternative</v>
          </cell>
          <cell r="G5420" t="str">
            <v>Other</v>
          </cell>
          <cell r="H5420" t="str">
            <v>ALTS</v>
          </cell>
          <cell r="I5420" t="str">
            <v>Alternative - Hedge Fund</v>
          </cell>
        </row>
        <row r="5421">
          <cell r="A5421" t="str">
            <v>AI_HF2_COMD_AGR_NONGR</v>
          </cell>
          <cell r="B5421" t="str">
            <v>Agriculture - Non-Grains HF</v>
          </cell>
          <cell r="C5421" t="str">
            <v>ALTERNATIVE:HF2:HF2_COMD:AI_HF2_COMD_AGR_NONGR</v>
          </cell>
          <cell r="D5421" t="str">
            <v>Index</v>
          </cell>
          <cell r="E5421" t="str">
            <v>Index Level</v>
          </cell>
          <cell r="F5421" t="str">
            <v>Alternative</v>
          </cell>
          <cell r="G5421" t="str">
            <v>Other</v>
          </cell>
          <cell r="H5421" t="str">
            <v>ALTS</v>
          </cell>
          <cell r="I5421" t="str">
            <v>Alternative - Hedge Fund</v>
          </cell>
        </row>
        <row r="5422">
          <cell r="A5422" t="str">
            <v>AI_HF2_COMD_ENER_OIL</v>
          </cell>
          <cell r="B5422" t="str">
            <v>Energy - Oil HF</v>
          </cell>
          <cell r="C5422" t="str">
            <v>ALTERNATIVE:HF2:HF2_COMD:AI_HF2_COMD_ENER_OIL</v>
          </cell>
          <cell r="D5422" t="str">
            <v>Index</v>
          </cell>
          <cell r="E5422" t="str">
            <v>Index Level</v>
          </cell>
          <cell r="F5422" t="str">
            <v>Alternative</v>
          </cell>
          <cell r="G5422" t="str">
            <v>Other</v>
          </cell>
          <cell r="H5422" t="str">
            <v>ALTS</v>
          </cell>
          <cell r="I5422" t="str">
            <v>Alternative - Hedge Fund</v>
          </cell>
        </row>
        <row r="5423">
          <cell r="A5423" t="str">
            <v>AI_HF2_COMD_ENER_NG</v>
          </cell>
          <cell r="B5423" t="str">
            <v>Energy - Natural Gas HF</v>
          </cell>
          <cell r="C5423" t="str">
            <v>ALTERNATIVE:HF2:HF2_COMD:AI_HF2_COMD_ENER_NG</v>
          </cell>
          <cell r="D5423" t="str">
            <v>Index</v>
          </cell>
          <cell r="E5423" t="str">
            <v>Index Level</v>
          </cell>
          <cell r="F5423" t="str">
            <v>Alternative</v>
          </cell>
          <cell r="G5423" t="str">
            <v>Other</v>
          </cell>
          <cell r="H5423" t="str">
            <v>ALTS</v>
          </cell>
          <cell r="I5423" t="str">
            <v>Alternative - Hedge Fund</v>
          </cell>
        </row>
        <row r="5424">
          <cell r="A5424" t="str">
            <v>AI_HF2_COMD_PREC_MET</v>
          </cell>
          <cell r="B5424" t="str">
            <v>Precious Metals HF</v>
          </cell>
          <cell r="C5424" t="str">
            <v>ALTERNATIVE:HF2:HF2_COMD:AI_HF2_COMD_PREC_MET</v>
          </cell>
          <cell r="D5424" t="str">
            <v>Index</v>
          </cell>
          <cell r="E5424" t="str">
            <v>Index Level</v>
          </cell>
          <cell r="F5424" t="str">
            <v>Alternative</v>
          </cell>
          <cell r="G5424" t="str">
            <v>Other</v>
          </cell>
          <cell r="H5424" t="str">
            <v>ALTS</v>
          </cell>
          <cell r="I5424" t="str">
            <v>Alternative - Hedge Fund</v>
          </cell>
        </row>
        <row r="5425">
          <cell r="A5425" t="str">
            <v>AI_HF2_COMD_IND_MET</v>
          </cell>
          <cell r="B5425" t="str">
            <v>Industrial Metals HF</v>
          </cell>
          <cell r="C5425" t="str">
            <v>ALTERNATIVE:HF2:HF2_COMD:AI_HF2_COMD_IND_MET</v>
          </cell>
          <cell r="D5425" t="str">
            <v>Index</v>
          </cell>
          <cell r="E5425" t="str">
            <v>Index Level</v>
          </cell>
          <cell r="F5425" t="str">
            <v>Alternative</v>
          </cell>
          <cell r="G5425" t="str">
            <v>Other</v>
          </cell>
          <cell r="H5425" t="str">
            <v>ALTS</v>
          </cell>
          <cell r="I5425" t="str">
            <v>Alternative - Hedge Fund</v>
          </cell>
        </row>
        <row r="5426">
          <cell r="A5426" t="str">
            <v>AI_HF2_COMD_LIVESTOCK</v>
          </cell>
          <cell r="B5426" t="str">
            <v>Livestock HF</v>
          </cell>
          <cell r="C5426" t="str">
            <v>ALTERNATIVE:HF2:HF2_COMD:AI_HF2_COMD_LIVESTOCK</v>
          </cell>
          <cell r="D5426" t="str">
            <v>Index</v>
          </cell>
          <cell r="E5426" t="str">
            <v>Index Level</v>
          </cell>
          <cell r="F5426" t="str">
            <v>Alternative</v>
          </cell>
          <cell r="G5426" t="str">
            <v>Other</v>
          </cell>
          <cell r="H5426" t="str">
            <v>ALTS</v>
          </cell>
          <cell r="I5426" t="str">
            <v>Alternative - Hedge Fund</v>
          </cell>
        </row>
        <row r="5427">
          <cell r="A5427" t="str">
            <v>AI_HF2_SP_TRADE_FX</v>
          </cell>
          <cell r="B5427" t="str">
            <v>Trade-Weighted FX HF</v>
          </cell>
          <cell r="C5427" t="str">
            <v>ALTERNATIVE:HF2:HF2_SP:AI_HF2_SP_TRADE_FX</v>
          </cell>
          <cell r="D5427" t="str">
            <v>Index</v>
          </cell>
          <cell r="E5427" t="str">
            <v>Index Level</v>
          </cell>
          <cell r="F5427" t="str">
            <v>Alternative</v>
          </cell>
          <cell r="G5427" t="str">
            <v>Other</v>
          </cell>
          <cell r="H5427" t="str">
            <v>ALTS</v>
          </cell>
          <cell r="I5427" t="str">
            <v>Alternative - Hedge Fund</v>
          </cell>
        </row>
        <row r="5428">
          <cell r="A5428" t="str">
            <v>AI_HF2_SP_MERG_ARB</v>
          </cell>
          <cell r="B5428" t="str">
            <v>Merger Arbitrage HF</v>
          </cell>
          <cell r="C5428" t="str">
            <v>ALTERNATIVE:HF2:HF2_SP:AI_HF2_SP_MERG_ARB</v>
          </cell>
          <cell r="D5428" t="str">
            <v>Index</v>
          </cell>
          <cell r="E5428" t="str">
            <v>Index Level</v>
          </cell>
          <cell r="F5428" t="str">
            <v>Alternative</v>
          </cell>
          <cell r="G5428" t="str">
            <v>Other</v>
          </cell>
          <cell r="H5428" t="str">
            <v>ALTS</v>
          </cell>
          <cell r="I5428" t="str">
            <v>Alternative - Hedge Fund</v>
          </cell>
        </row>
        <row r="5429">
          <cell r="A5429" t="str">
            <v>AI_HF2_SP_TREND</v>
          </cell>
          <cell r="B5429" t="str">
            <v>Trend Following HF</v>
          </cell>
          <cell r="C5429" t="str">
            <v>ALTERNATIVE:HF2:HF2_SP:AI_HF2_SP_TREND</v>
          </cell>
          <cell r="D5429" t="str">
            <v>Index</v>
          </cell>
          <cell r="E5429" t="str">
            <v>Index Level</v>
          </cell>
          <cell r="F5429" t="str">
            <v>Alternative</v>
          </cell>
          <cell r="G5429" t="str">
            <v>Other</v>
          </cell>
          <cell r="H5429" t="str">
            <v>ALTS</v>
          </cell>
          <cell r="I5429" t="str">
            <v>Alternative - Hedge Fund</v>
          </cell>
        </row>
        <row r="5430">
          <cell r="A5430" t="str">
            <v>AI_HF2_SP_CONV_BOND</v>
          </cell>
          <cell r="B5430" t="str">
            <v>Convertible Bonds HF</v>
          </cell>
          <cell r="C5430" t="str">
            <v>ALTERNATIVE:HF2:HF2_SP:AI_HF2_SP_CONV_BOND</v>
          </cell>
          <cell r="D5430" t="str">
            <v>Index</v>
          </cell>
          <cell r="E5430" t="str">
            <v>Index Level</v>
          </cell>
          <cell r="F5430" t="str">
            <v>Alternative</v>
          </cell>
          <cell r="G5430" t="str">
            <v>Other</v>
          </cell>
          <cell r="H5430" t="str">
            <v>ALTS</v>
          </cell>
          <cell r="I5430" t="str">
            <v>Alternative - Hedge Fund</v>
          </cell>
        </row>
        <row r="5431">
          <cell r="A5431" t="str">
            <v>AI_HF2_SP_CROWDED_EQ</v>
          </cell>
          <cell r="B5431" t="str">
            <v>Crowded Equity HF</v>
          </cell>
          <cell r="C5431" t="str">
            <v>ALTERNATIVE:HF2:HF2_SP:AI_HF2_SP_CROWDED_EQ</v>
          </cell>
          <cell r="D5431" t="str">
            <v>Index</v>
          </cell>
          <cell r="E5431" t="str">
            <v>Index Level</v>
          </cell>
          <cell r="F5431" t="str">
            <v>Alternative</v>
          </cell>
          <cell r="G5431" t="str">
            <v>Other</v>
          </cell>
          <cell r="H5431" t="str">
            <v>ALTS</v>
          </cell>
          <cell r="I5431" t="str">
            <v>Alternative - Hedge Fund</v>
          </cell>
        </row>
        <row r="5432">
          <cell r="A5432" t="str">
            <v>AI_HF2_SP_IMP_VOL</v>
          </cell>
          <cell r="B5432" t="str">
            <v>Implied Volatility HF</v>
          </cell>
          <cell r="C5432" t="str">
            <v>ALTERNATIVE:HF2:HF2_SP:AI_HF2_SP_IMP_VOL</v>
          </cell>
          <cell r="D5432" t="str">
            <v>Index</v>
          </cell>
          <cell r="E5432" t="str">
            <v>Index Level</v>
          </cell>
          <cell r="F5432" t="str">
            <v>Alternative</v>
          </cell>
          <cell r="G5432" t="str">
            <v>Other</v>
          </cell>
          <cell r="H5432" t="str">
            <v>ALTS</v>
          </cell>
          <cell r="I5432" t="str">
            <v>Alternative - Hedge Fund</v>
          </cell>
        </row>
        <row r="5433">
          <cell r="A5433" t="str">
            <v>AI_RA_F_US_R_CB</v>
          </cell>
          <cell r="B5433" t="str">
            <v>US Corn Belt FL</v>
          </cell>
          <cell r="C5433" t="str">
            <v>ALTERNATIVE:RA_FL,RA_F_US_SP_RISK:RA_FL_R:AI_RA_F_US_R_CB</v>
          </cell>
          <cell r="D5433" t="str">
            <v>Index</v>
          </cell>
          <cell r="E5433" t="str">
            <v>Index Level</v>
          </cell>
          <cell r="F5433" t="str">
            <v>Alternative</v>
          </cell>
          <cell r="G5433" t="str">
            <v>Other</v>
          </cell>
          <cell r="H5433" t="str">
            <v>ALTS</v>
          </cell>
          <cell r="I5433" t="str">
            <v>Alternative - Index</v>
          </cell>
        </row>
        <row r="5434">
          <cell r="A5434" t="str">
            <v>AI_RA_F_US_R_DS</v>
          </cell>
          <cell r="B5434" t="str">
            <v>US Delta States FL</v>
          </cell>
          <cell r="C5434" t="str">
            <v>ALTERNATIVE:RA_FL,RA_F_US_SP_RISK:RA_FL_R:AI_RA_F_US_R_DS</v>
          </cell>
          <cell r="D5434" t="str">
            <v>Index</v>
          </cell>
          <cell r="E5434" t="str">
            <v>Index Level</v>
          </cell>
          <cell r="F5434" t="str">
            <v>Alternative</v>
          </cell>
          <cell r="G5434" t="str">
            <v>Other</v>
          </cell>
          <cell r="H5434" t="str">
            <v>ALTS</v>
          </cell>
          <cell r="I5434" t="str">
            <v>Alternative - Index</v>
          </cell>
        </row>
        <row r="5435">
          <cell r="A5435" t="str">
            <v>AI_RA_F_US_R_LS</v>
          </cell>
          <cell r="B5435" t="str">
            <v>US Lake States FL</v>
          </cell>
          <cell r="C5435" t="str">
            <v>ALTERNATIVE:RA_FL,RA_F_US_SP_RISK:RA_FL_R:AI_RA_F_US_R_LS</v>
          </cell>
          <cell r="D5435" t="str">
            <v>Index</v>
          </cell>
          <cell r="E5435" t="str">
            <v>Index Level</v>
          </cell>
          <cell r="F5435" t="str">
            <v>Alternative</v>
          </cell>
          <cell r="G5435" t="str">
            <v>Other</v>
          </cell>
          <cell r="H5435" t="str">
            <v>ALTS</v>
          </cell>
          <cell r="I5435" t="str">
            <v>Alternative - Index</v>
          </cell>
        </row>
        <row r="5436">
          <cell r="A5436" t="str">
            <v>AI_RA_F_US_R_MO</v>
          </cell>
          <cell r="B5436" t="str">
            <v>US Mountains FL</v>
          </cell>
          <cell r="C5436" t="str">
            <v>ALTERNATIVE:RA_FL,RA_F_US_SP_RISK:RA_FL_R:AI_RA_F_US_R_MO</v>
          </cell>
          <cell r="D5436" t="str">
            <v>Index</v>
          </cell>
          <cell r="E5436" t="str">
            <v>Index Level</v>
          </cell>
          <cell r="F5436" t="str">
            <v>Alternative</v>
          </cell>
          <cell r="G5436" t="str">
            <v>Other</v>
          </cell>
          <cell r="H5436" t="str">
            <v>ALTS</v>
          </cell>
          <cell r="I5436" t="str">
            <v>Alternative - Index</v>
          </cell>
        </row>
        <row r="5437">
          <cell r="A5437" t="str">
            <v>AI_RA_F_US_R_PN</v>
          </cell>
          <cell r="B5437" t="str">
            <v>US Pacific Northwest FL</v>
          </cell>
          <cell r="C5437" t="str">
            <v>ALTERNATIVE:RA_FL,RA_F_US_SP_RISK:RA_FL_R:AI_RA_F_US_R_PN</v>
          </cell>
          <cell r="D5437" t="str">
            <v>Index</v>
          </cell>
          <cell r="E5437" t="str">
            <v>Index Level</v>
          </cell>
          <cell r="F5437" t="str">
            <v>Alternative</v>
          </cell>
          <cell r="G5437" t="str">
            <v>Other</v>
          </cell>
          <cell r="H5437" t="str">
            <v>ALTS</v>
          </cell>
          <cell r="I5437" t="str">
            <v>Alternative - Index</v>
          </cell>
        </row>
        <row r="5438">
          <cell r="A5438" t="str">
            <v>AI_RA_F_US_R_PW</v>
          </cell>
          <cell r="B5438" t="str">
            <v>US Pacific West FL</v>
          </cell>
          <cell r="C5438" t="str">
            <v>ALTERNATIVE:RA_FL,RA_F_US_SP_RISK:RA_FL_R:AI_RA_F_US_R_PW</v>
          </cell>
          <cell r="D5438" t="str">
            <v>Index</v>
          </cell>
          <cell r="E5438" t="str">
            <v>Index Level</v>
          </cell>
          <cell r="F5438" t="str">
            <v>Alternative</v>
          </cell>
          <cell r="G5438" t="str">
            <v>Other</v>
          </cell>
          <cell r="H5438" t="str">
            <v>ALTS</v>
          </cell>
          <cell r="I5438" t="str">
            <v>Alternative - Index</v>
          </cell>
        </row>
        <row r="5439">
          <cell r="A5439" t="str">
            <v>AI_RA_F_US_C_FN</v>
          </cell>
          <cell r="B5439" t="str">
            <v>US Fruit &amp; Nuts FL</v>
          </cell>
          <cell r="C5439" t="str">
            <v>ALTERNATIVE:RA_FL,RA_F_US_SP_RISK:RA_FL_C:AI_RA_F_US_C_FN</v>
          </cell>
          <cell r="D5439" t="str">
            <v>Index</v>
          </cell>
          <cell r="E5439" t="str">
            <v>Index Level</v>
          </cell>
          <cell r="F5439" t="str">
            <v>Alternative</v>
          </cell>
          <cell r="G5439" t="str">
            <v>Other</v>
          </cell>
          <cell r="H5439" t="str">
            <v>ALTS</v>
          </cell>
          <cell r="I5439" t="str">
            <v>Alternative - Index</v>
          </cell>
        </row>
        <row r="5440">
          <cell r="A5440" t="str">
            <v>AI_RA_F_US_C_FV</v>
          </cell>
          <cell r="B5440" t="str">
            <v>US Fresh Veg FL</v>
          </cell>
          <cell r="C5440" t="str">
            <v>ALTERNATIVE:RA_FL,RA_F_US_SP_RISK:RA_FL_C:AI_RA_F_US_C_FV</v>
          </cell>
          <cell r="D5440" t="str">
            <v>Index</v>
          </cell>
          <cell r="E5440" t="str">
            <v>Index Level</v>
          </cell>
          <cell r="F5440" t="str">
            <v>Alternative</v>
          </cell>
          <cell r="G5440" t="str">
            <v>Other</v>
          </cell>
          <cell r="H5440" t="str">
            <v>ALTS</v>
          </cell>
          <cell r="I5440" t="str">
            <v>Alternative - Index</v>
          </cell>
        </row>
        <row r="5441">
          <cell r="A5441" t="str">
            <v>AI_RA_F_US_C_GR</v>
          </cell>
          <cell r="B5441" t="str">
            <v>US Grains FL</v>
          </cell>
          <cell r="C5441" t="str">
            <v>ALTERNATIVE:RA_FL,RA_F_US_SP_RISK:RA_FL_C:AI_RA_F_US_C_GR</v>
          </cell>
          <cell r="D5441" t="str">
            <v>Index</v>
          </cell>
          <cell r="E5441" t="str">
            <v>Index Level</v>
          </cell>
          <cell r="F5441" t="str">
            <v>Alternative</v>
          </cell>
          <cell r="G5441" t="str">
            <v>Other</v>
          </cell>
          <cell r="H5441" t="str">
            <v>ALTS</v>
          </cell>
          <cell r="I5441" t="str">
            <v>Alternative - Index</v>
          </cell>
        </row>
        <row r="5442">
          <cell r="A5442" t="str">
            <v>AI_RA_T_US_R_LS</v>
          </cell>
          <cell r="B5442" t="str">
            <v>US Lake States TL</v>
          </cell>
          <cell r="C5442" t="str">
            <v>ALTERNATIVE:RA_TL,RA_T_US_SP_RISK:RA_TL_R:AI_RA_T_US_R_LS</v>
          </cell>
          <cell r="D5442" t="str">
            <v>Index</v>
          </cell>
          <cell r="E5442" t="str">
            <v>Index Level</v>
          </cell>
          <cell r="F5442" t="str">
            <v>Alternative</v>
          </cell>
          <cell r="G5442" t="str">
            <v>Other</v>
          </cell>
          <cell r="H5442" t="str">
            <v>ALTS</v>
          </cell>
          <cell r="I5442" t="str">
            <v>Alternative - Index</v>
          </cell>
        </row>
        <row r="5443">
          <cell r="A5443" t="str">
            <v>AI_RA_T_US_R_NE</v>
          </cell>
          <cell r="B5443" t="str">
            <v>US Northeast TL</v>
          </cell>
          <cell r="C5443" t="str">
            <v>ALTERNATIVE:RA_TL,RA_T_US_SP_RISK:RA_TL_R:AI_RA_T_US_R_NE</v>
          </cell>
          <cell r="D5443" t="str">
            <v>Index</v>
          </cell>
          <cell r="E5443" t="str">
            <v>Index Level</v>
          </cell>
          <cell r="F5443" t="str">
            <v>Alternative</v>
          </cell>
          <cell r="G5443" t="str">
            <v>Other</v>
          </cell>
          <cell r="H5443" t="str">
            <v>ALTS</v>
          </cell>
          <cell r="I5443" t="str">
            <v>Alternative - Index</v>
          </cell>
        </row>
        <row r="5444">
          <cell r="A5444" t="str">
            <v>AI_RA_T_US_R_NW</v>
          </cell>
          <cell r="B5444" t="str">
            <v>US Northwest TL</v>
          </cell>
          <cell r="C5444" t="str">
            <v>ALTERNATIVE:RA_TL,RA_T_US_SP_RISK:RA_TL_R:AI_RA_T_US_R_NW</v>
          </cell>
          <cell r="D5444" t="str">
            <v>Index</v>
          </cell>
          <cell r="E5444" t="str">
            <v>Index Level</v>
          </cell>
          <cell r="F5444" t="str">
            <v>Alternative</v>
          </cell>
          <cell r="G5444" t="str">
            <v>Other</v>
          </cell>
          <cell r="H5444" t="str">
            <v>ALTS</v>
          </cell>
          <cell r="I5444" t="str">
            <v>Alternative - Index</v>
          </cell>
        </row>
        <row r="5445">
          <cell r="A5445" t="str">
            <v>AI_RA_T_US_R_SO</v>
          </cell>
          <cell r="B5445" t="str">
            <v>US South TL</v>
          </cell>
          <cell r="C5445" t="str">
            <v>ALTERNATIVE:RA_TL,RA_T_US_SP_RISK:RA_TL_R:AI_RA_T_US_R_SO</v>
          </cell>
          <cell r="D5445" t="str">
            <v>Index</v>
          </cell>
          <cell r="E5445" t="str">
            <v>Index Level</v>
          </cell>
          <cell r="F5445" t="str">
            <v>Alternative</v>
          </cell>
          <cell r="G5445" t="str">
            <v>Other</v>
          </cell>
          <cell r="H5445" t="str">
            <v>ALTS</v>
          </cell>
          <cell r="I5445" t="str">
            <v>Alternative - Index</v>
          </cell>
        </row>
        <row r="5446">
          <cell r="A5446" t="str">
            <v>AI_INFR_NA</v>
          </cell>
          <cell r="B5446" t="str">
            <v>Infra Eq North America</v>
          </cell>
          <cell r="C5446" t="str">
            <v>ALTERNATIVE:INFR_EQ:INFR_GEO:AI_INFR_NA</v>
          </cell>
          <cell r="D5446" t="str">
            <v>Index</v>
          </cell>
          <cell r="E5446" t="str">
            <v>Index Level</v>
          </cell>
          <cell r="F5446" t="str">
            <v>Alternative</v>
          </cell>
          <cell r="G5446" t="str">
            <v>Other</v>
          </cell>
          <cell r="H5446" t="str">
            <v>ALTS</v>
          </cell>
          <cell r="I5446" t="str">
            <v>Alternative - Infrastructure</v>
          </cell>
        </row>
        <row r="5447">
          <cell r="A5447" t="str">
            <v>AI_INFR_EUR</v>
          </cell>
          <cell r="B5447" t="str">
            <v>Infra Eq Europe</v>
          </cell>
          <cell r="C5447" t="str">
            <v>ALTERNATIVE:INFR_EQ:INFR_GEO:AI_INFR_EUR</v>
          </cell>
          <cell r="D5447" t="str">
            <v>Index</v>
          </cell>
          <cell r="E5447" t="str">
            <v>Index Level</v>
          </cell>
          <cell r="F5447" t="str">
            <v>Alternative</v>
          </cell>
          <cell r="G5447" t="str">
            <v>Other</v>
          </cell>
          <cell r="H5447" t="str">
            <v>ALTS</v>
          </cell>
          <cell r="I5447" t="str">
            <v>Alternative - Infrastructure</v>
          </cell>
        </row>
        <row r="5448">
          <cell r="A5448" t="str">
            <v>AI_INFR_JAP</v>
          </cell>
          <cell r="B5448" t="str">
            <v>Infra Eq Japan</v>
          </cell>
          <cell r="C5448" t="str">
            <v>ALTERNATIVE:INFR_EQ:INFR_GEO:AI_INFR_JAP</v>
          </cell>
          <cell r="D5448" t="str">
            <v>Index</v>
          </cell>
          <cell r="E5448" t="str">
            <v>Index Level</v>
          </cell>
          <cell r="F5448" t="str">
            <v>Alternative</v>
          </cell>
          <cell r="G5448" t="str">
            <v>Other</v>
          </cell>
          <cell r="H5448" t="str">
            <v>ALTS</v>
          </cell>
          <cell r="I5448" t="str">
            <v>Alternative - Infrastructure</v>
          </cell>
        </row>
        <row r="5449">
          <cell r="A5449" t="str">
            <v>AI_INFR_AUS</v>
          </cell>
          <cell r="B5449" t="str">
            <v>Infra Eq Australasia</v>
          </cell>
          <cell r="C5449" t="str">
            <v>ALTERNATIVE:INFR_EQ:INFR_GEO:AI_INFR_AUS</v>
          </cell>
          <cell r="D5449" t="str">
            <v>Index</v>
          </cell>
          <cell r="E5449" t="str">
            <v>Index Level</v>
          </cell>
          <cell r="F5449" t="str">
            <v>Alternative</v>
          </cell>
          <cell r="G5449" t="str">
            <v>Other</v>
          </cell>
          <cell r="H5449" t="str">
            <v>ALTS</v>
          </cell>
          <cell r="I5449" t="str">
            <v>Alternative - Infrastructure</v>
          </cell>
        </row>
        <row r="5450">
          <cell r="A5450" t="str">
            <v>AI_INFR_APAC</v>
          </cell>
          <cell r="B5450" t="str">
            <v>Infra Eq APAC Ex Jap, Aust, NZ</v>
          </cell>
          <cell r="C5450" t="str">
            <v>ALTERNATIVE:INFR_EQ:INFR_GEO:AI_INFR_APAC</v>
          </cell>
          <cell r="D5450" t="str">
            <v>Index</v>
          </cell>
          <cell r="E5450" t="str">
            <v>Index Level</v>
          </cell>
          <cell r="F5450" t="str">
            <v>Alternative</v>
          </cell>
          <cell r="G5450" t="str">
            <v>Other</v>
          </cell>
          <cell r="H5450" t="str">
            <v>ALTS</v>
          </cell>
          <cell r="I5450" t="str">
            <v>Alternative - Infrastructure</v>
          </cell>
        </row>
        <row r="5451">
          <cell r="A5451" t="str">
            <v>AI_INFR_US</v>
          </cell>
          <cell r="B5451" t="str">
            <v>Infra Eq US</v>
          </cell>
          <cell r="C5451" t="str">
            <v>ALTERNATIVE:INFR_EQ:INFR_GEO:AI_INFR_US</v>
          </cell>
          <cell r="D5451" t="str">
            <v>Index</v>
          </cell>
          <cell r="E5451" t="str">
            <v>Index Level</v>
          </cell>
          <cell r="F5451" t="str">
            <v>Alternative</v>
          </cell>
          <cell r="G5451" t="str">
            <v>Other</v>
          </cell>
          <cell r="H5451" t="str">
            <v>ALTS</v>
          </cell>
          <cell r="I5451" t="str">
            <v>Alternative - Infrastructure</v>
          </cell>
        </row>
        <row r="5452">
          <cell r="A5452" t="str">
            <v>AI_INFR_OILG_PIPE</v>
          </cell>
          <cell r="B5452" t="str">
            <v>Infra Eq Oil &amp; Gas Pipelines</v>
          </cell>
          <cell r="C5452" t="str">
            <v>ALTERNATIVE:INFR_EQ:INFR_SEC:AI_INFR_OILG_PIPE</v>
          </cell>
          <cell r="D5452" t="str">
            <v>Index</v>
          </cell>
          <cell r="E5452" t="str">
            <v>Index Level</v>
          </cell>
          <cell r="F5452" t="str">
            <v>Alternative</v>
          </cell>
          <cell r="G5452" t="str">
            <v>Other</v>
          </cell>
          <cell r="H5452" t="str">
            <v>ALTS</v>
          </cell>
          <cell r="I5452" t="str">
            <v>Alternative - Infrastructure</v>
          </cell>
        </row>
        <row r="5453">
          <cell r="A5453" t="str">
            <v>AI_INFR_TRANS</v>
          </cell>
          <cell r="B5453" t="str">
            <v>Infra Eq Transportation</v>
          </cell>
          <cell r="C5453" t="str">
            <v>ALTERNATIVE:INFR_EQ:INFR_SEC:AI_INFR_TRANS</v>
          </cell>
          <cell r="D5453" t="str">
            <v>Index</v>
          </cell>
          <cell r="E5453" t="str">
            <v>Index Level</v>
          </cell>
          <cell r="F5453" t="str">
            <v>Alternative</v>
          </cell>
          <cell r="G5453" t="str">
            <v>Other</v>
          </cell>
          <cell r="H5453" t="str">
            <v>ALTS</v>
          </cell>
          <cell r="I5453" t="str">
            <v>Alternative - Infrastructure</v>
          </cell>
        </row>
        <row r="5454">
          <cell r="A5454" t="str">
            <v>AI_INFR_TELECOM</v>
          </cell>
          <cell r="B5454" t="str">
            <v>Infra Eq Telecommunications</v>
          </cell>
          <cell r="C5454" t="str">
            <v>ALTERNATIVE:INFR_EQ:INFR_SEC:AI_INFR_TELECOM</v>
          </cell>
          <cell r="D5454" t="str">
            <v>Index</v>
          </cell>
          <cell r="E5454" t="str">
            <v>Index Level</v>
          </cell>
          <cell r="F5454" t="str">
            <v>Alternative</v>
          </cell>
          <cell r="G5454" t="str">
            <v>Other</v>
          </cell>
          <cell r="H5454" t="str">
            <v>ALTS</v>
          </cell>
          <cell r="I5454" t="str">
            <v>Alternative - Infrastructure</v>
          </cell>
        </row>
        <row r="5455">
          <cell r="A5455" t="str">
            <v>AI_INFR_ELEC</v>
          </cell>
          <cell r="B5455" t="str">
            <v>Infra Eq Electricity</v>
          </cell>
          <cell r="C5455" t="str">
            <v>ALTERNATIVE:INFR_EQ:INFR_SEC:AI_INFR_ELEC</v>
          </cell>
          <cell r="D5455" t="str">
            <v>Index</v>
          </cell>
          <cell r="E5455" t="str">
            <v>Index Level</v>
          </cell>
          <cell r="F5455" t="str">
            <v>Alternative</v>
          </cell>
          <cell r="G5455" t="str">
            <v>Other</v>
          </cell>
          <cell r="H5455" t="str">
            <v>ALTS</v>
          </cell>
          <cell r="I5455" t="str">
            <v>Alternative - Infrastructure</v>
          </cell>
        </row>
        <row r="5456">
          <cell r="A5456" t="str">
            <v>AI_INFR_MUTIL</v>
          </cell>
          <cell r="B5456" t="str">
            <v>Infra Eq Multiutilities</v>
          </cell>
          <cell r="C5456" t="str">
            <v>ALTERNATIVE:INFR_EQ:INFR_SEC:AI_INFR_MUTIL</v>
          </cell>
          <cell r="D5456" t="str">
            <v>Index</v>
          </cell>
          <cell r="E5456" t="str">
            <v>Index Level</v>
          </cell>
          <cell r="F5456" t="str">
            <v>Alternative</v>
          </cell>
          <cell r="G5456" t="str">
            <v>Other</v>
          </cell>
          <cell r="H5456" t="str">
            <v>ALTS</v>
          </cell>
          <cell r="I5456" t="str">
            <v>Alternative - Infrastructure</v>
          </cell>
        </row>
        <row r="5457">
          <cell r="A5457" t="str">
            <v>AI_INFR_GAS_DIST</v>
          </cell>
          <cell r="B5457" t="str">
            <v>Infra Eq Gas Distribution</v>
          </cell>
          <cell r="C5457" t="str">
            <v>ALTERNATIVE:INFR_EQ:INFR_SEC:AI_INFR_GAS_DIST</v>
          </cell>
          <cell r="D5457" t="str">
            <v>Index</v>
          </cell>
          <cell r="E5457" t="str">
            <v>Index Level</v>
          </cell>
          <cell r="F5457" t="str">
            <v>Alternative</v>
          </cell>
          <cell r="G5457" t="str">
            <v>Other</v>
          </cell>
          <cell r="H5457" t="str">
            <v>ALTS</v>
          </cell>
          <cell r="I5457" t="str">
            <v>Alternative - Infrastructure</v>
          </cell>
        </row>
        <row r="5458">
          <cell r="A5458" t="str">
            <v>AI_INFR_WATER</v>
          </cell>
          <cell r="B5458" t="str">
            <v>Infra Eq Water</v>
          </cell>
          <cell r="C5458" t="str">
            <v>ALTERNATIVE:INFR_EQ:INFR_SEC:AI_INFR_WATER</v>
          </cell>
          <cell r="D5458" t="str">
            <v>Index</v>
          </cell>
          <cell r="E5458" t="str">
            <v>Index Level</v>
          </cell>
          <cell r="F5458" t="str">
            <v>Alternative</v>
          </cell>
          <cell r="G5458" t="str">
            <v>Other</v>
          </cell>
          <cell r="H5458" t="str">
            <v>ALTS</v>
          </cell>
          <cell r="I5458" t="str">
            <v>Alternative - Infrastructure</v>
          </cell>
        </row>
        <row r="5459">
          <cell r="A5459" t="str">
            <v>AUD_INF_3m</v>
          </cell>
          <cell r="B5459" t="str">
            <v>AUD INF 3M</v>
          </cell>
          <cell r="C5459" t="str">
            <v>BRS_GOLD__2_INFLATION:AUD_INF:AUD_INF_3m</v>
          </cell>
          <cell r="D5459" t="str">
            <v>Inflation Duration</v>
          </cell>
          <cell r="E5459" t="str">
            <v>Yield</v>
          </cell>
          <cell r="F5459" t="str">
            <v>Other</v>
          </cell>
          <cell r="G5459" t="str">
            <v>Other</v>
          </cell>
          <cell r="H5459" t="str">
            <v>OTHER</v>
          </cell>
          <cell r="I5459" t="str">
            <v>Other - Inflation</v>
          </cell>
        </row>
        <row r="5460">
          <cell r="A5460" t="str">
            <v>AUD_INF_1yr</v>
          </cell>
          <cell r="B5460" t="str">
            <v>AUD INF 1Y</v>
          </cell>
          <cell r="C5460" t="str">
            <v>BRS_GOLD__2_INFLATION:AUD_INF:AUD_INF_1yr</v>
          </cell>
          <cell r="D5460" t="str">
            <v>Inflation Duration</v>
          </cell>
          <cell r="E5460" t="str">
            <v>Yield</v>
          </cell>
          <cell r="F5460" t="str">
            <v>Other</v>
          </cell>
          <cell r="G5460" t="str">
            <v>Other</v>
          </cell>
          <cell r="H5460" t="str">
            <v>OTHER</v>
          </cell>
          <cell r="I5460" t="str">
            <v>Other - Inflation</v>
          </cell>
        </row>
        <row r="5461">
          <cell r="A5461" t="str">
            <v>AUD_INF_2yr</v>
          </cell>
          <cell r="B5461" t="str">
            <v>AUD INF 2Y</v>
          </cell>
          <cell r="C5461" t="str">
            <v>BRS_GOLD__2_INFLATION:AUD_INF:AUD_INF_2yr</v>
          </cell>
          <cell r="D5461" t="str">
            <v>Inflation Duration</v>
          </cell>
          <cell r="E5461" t="str">
            <v>Yield</v>
          </cell>
          <cell r="F5461" t="str">
            <v>Other</v>
          </cell>
          <cell r="G5461" t="str">
            <v>Other</v>
          </cell>
          <cell r="H5461" t="str">
            <v>OTHER</v>
          </cell>
          <cell r="I5461" t="str">
            <v>Other - Inflation</v>
          </cell>
        </row>
        <row r="5462">
          <cell r="A5462" t="str">
            <v>AUD_INF_3yr</v>
          </cell>
          <cell r="B5462" t="str">
            <v>AUD INF 3Y</v>
          </cell>
          <cell r="C5462" t="str">
            <v>BRS_GOLD__2_INFLATION:AUD_INF:AUD_INF_3yr</v>
          </cell>
          <cell r="D5462" t="str">
            <v>Inflation Duration</v>
          </cell>
          <cell r="E5462" t="str">
            <v>Yield</v>
          </cell>
          <cell r="F5462" t="str">
            <v>Other</v>
          </cell>
          <cell r="G5462" t="str">
            <v>Other</v>
          </cell>
          <cell r="H5462" t="str">
            <v>OTHER</v>
          </cell>
          <cell r="I5462" t="str">
            <v>Other - Inflation</v>
          </cell>
        </row>
        <row r="5463">
          <cell r="A5463" t="str">
            <v>AUD_INF_5yr</v>
          </cell>
          <cell r="B5463" t="str">
            <v>AUD INF 5Y</v>
          </cell>
          <cell r="C5463" t="str">
            <v>BRS_GOLD__2_INFLATION:AUD_INF:AUD_INF_5yr</v>
          </cell>
          <cell r="D5463" t="str">
            <v>Inflation Duration</v>
          </cell>
          <cell r="E5463" t="str">
            <v>Yield</v>
          </cell>
          <cell r="F5463" t="str">
            <v>Other</v>
          </cell>
          <cell r="G5463" t="str">
            <v>Other</v>
          </cell>
          <cell r="H5463" t="str">
            <v>OTHER</v>
          </cell>
          <cell r="I5463" t="str">
            <v>Other - Inflation</v>
          </cell>
        </row>
        <row r="5464">
          <cell r="A5464" t="str">
            <v>AUD_INF_7yr</v>
          </cell>
          <cell r="B5464" t="str">
            <v>AUD INF 7Y</v>
          </cell>
          <cell r="C5464" t="str">
            <v>BRS_GOLD__2_INFLATION:AUD_INF:AUD_INF_7yr</v>
          </cell>
          <cell r="D5464" t="str">
            <v>Inflation Duration</v>
          </cell>
          <cell r="E5464" t="str">
            <v>Yield</v>
          </cell>
          <cell r="F5464" t="str">
            <v>Other</v>
          </cell>
          <cell r="G5464" t="str">
            <v>Other</v>
          </cell>
          <cell r="H5464" t="str">
            <v>OTHER</v>
          </cell>
          <cell r="I5464" t="str">
            <v>Other - Inflation</v>
          </cell>
        </row>
        <row r="5465">
          <cell r="A5465" t="str">
            <v>AUD_INF_10yr</v>
          </cell>
          <cell r="B5465" t="str">
            <v>AUD INF 10Y</v>
          </cell>
          <cell r="C5465" t="str">
            <v>BRS_GOLD__2_INFLATION:AUD_INF:AUD_INF_10yr</v>
          </cell>
          <cell r="D5465" t="str">
            <v>Inflation Duration</v>
          </cell>
          <cell r="E5465" t="str">
            <v>Yield</v>
          </cell>
          <cell r="F5465" t="str">
            <v>Other</v>
          </cell>
          <cell r="G5465" t="str">
            <v>Other</v>
          </cell>
          <cell r="H5465" t="str">
            <v>OTHER</v>
          </cell>
          <cell r="I5465" t="str">
            <v>Other - Inflation</v>
          </cell>
        </row>
        <row r="5466">
          <cell r="A5466" t="str">
            <v>AUD_INF_15yr</v>
          </cell>
          <cell r="B5466" t="str">
            <v>AUD INF 15Y</v>
          </cell>
          <cell r="C5466" t="str">
            <v>BRS_GOLD__2_INFLATION:AUD_INF:AUD_INF_15yr</v>
          </cell>
          <cell r="D5466" t="str">
            <v>Inflation Duration</v>
          </cell>
          <cell r="E5466" t="str">
            <v>Yield</v>
          </cell>
          <cell r="F5466" t="str">
            <v>Other</v>
          </cell>
          <cell r="G5466" t="str">
            <v>Other</v>
          </cell>
          <cell r="H5466" t="str">
            <v>OTHER</v>
          </cell>
          <cell r="I5466" t="str">
            <v>Other - Inflation</v>
          </cell>
        </row>
        <row r="5467">
          <cell r="A5467" t="str">
            <v>AUD_INF_20yr</v>
          </cell>
          <cell r="B5467" t="str">
            <v>AUD INF 20Y</v>
          </cell>
          <cell r="C5467" t="str">
            <v>BRS_GOLD__2_INFLATION:AUD_INF:AUD_INF_20yr</v>
          </cell>
          <cell r="D5467" t="str">
            <v>Inflation Duration</v>
          </cell>
          <cell r="E5467" t="str">
            <v>Yield</v>
          </cell>
          <cell r="F5467" t="str">
            <v>Other</v>
          </cell>
          <cell r="G5467" t="str">
            <v>Other</v>
          </cell>
          <cell r="H5467" t="str">
            <v>OTHER</v>
          </cell>
          <cell r="I5467" t="str">
            <v>Other - Inflation</v>
          </cell>
        </row>
        <row r="5468">
          <cell r="A5468" t="str">
            <v>AUD_INF_25yr</v>
          </cell>
          <cell r="B5468" t="str">
            <v>AUD INF 25Y</v>
          </cell>
          <cell r="C5468" t="str">
            <v>BRS_GOLD__2_INFLATION:AUD_INF:AUD_INF_25yr</v>
          </cell>
          <cell r="D5468" t="str">
            <v>Inflation Duration</v>
          </cell>
          <cell r="E5468" t="str">
            <v>Yield</v>
          </cell>
          <cell r="F5468" t="str">
            <v>Other</v>
          </cell>
          <cell r="G5468" t="str">
            <v>Other</v>
          </cell>
          <cell r="H5468" t="str">
            <v>OTHER</v>
          </cell>
          <cell r="I5468" t="str">
            <v>Other - Inflation</v>
          </cell>
        </row>
        <row r="5469">
          <cell r="A5469" t="str">
            <v>AUD_INF_30yr</v>
          </cell>
          <cell r="B5469" t="str">
            <v>AUD INF 30Y</v>
          </cell>
          <cell r="C5469" t="str">
            <v>BRS_GOLD__2_INFLATION:AUD_INF:AUD_INF_30yr</v>
          </cell>
          <cell r="D5469" t="str">
            <v>Inflation Duration</v>
          </cell>
          <cell r="E5469" t="str">
            <v>Yield</v>
          </cell>
          <cell r="F5469" t="str">
            <v>Other</v>
          </cell>
          <cell r="G5469" t="str">
            <v>Other</v>
          </cell>
          <cell r="H5469" t="str">
            <v>OTHER</v>
          </cell>
          <cell r="I5469" t="str">
            <v>Other - Inflation</v>
          </cell>
        </row>
        <row r="5470">
          <cell r="A5470" t="str">
            <v>BRL_INF_3m</v>
          </cell>
          <cell r="B5470" t="str">
            <v>BRL INF 3M</v>
          </cell>
          <cell r="C5470" t="str">
            <v>BRS_GOLD__2_INFLATION:BRL_INF:BRL_INF_3m</v>
          </cell>
          <cell r="D5470" t="str">
            <v>Inflation Duration</v>
          </cell>
          <cell r="E5470" t="str">
            <v>Yield</v>
          </cell>
          <cell r="F5470" t="str">
            <v>Other</v>
          </cell>
          <cell r="G5470" t="str">
            <v>Other</v>
          </cell>
          <cell r="H5470" t="str">
            <v>OTHER</v>
          </cell>
          <cell r="I5470" t="str">
            <v>Other - Inflation</v>
          </cell>
        </row>
        <row r="5471">
          <cell r="A5471" t="str">
            <v>BRL_INF_1yr</v>
          </cell>
          <cell r="B5471" t="str">
            <v>BRL INF 1Y</v>
          </cell>
          <cell r="C5471" t="str">
            <v>BRS_GOLD__2_INFLATION:BRL_INF:BRL_INF_1yr</v>
          </cell>
          <cell r="D5471" t="str">
            <v>Inflation Duration</v>
          </cell>
          <cell r="E5471" t="str">
            <v>Yield</v>
          </cell>
          <cell r="F5471" t="str">
            <v>Other</v>
          </cell>
          <cell r="G5471" t="str">
            <v>Other</v>
          </cell>
          <cell r="H5471" t="str">
            <v>OTHER</v>
          </cell>
          <cell r="I5471" t="str">
            <v>Other - Inflation</v>
          </cell>
        </row>
        <row r="5472">
          <cell r="A5472" t="str">
            <v>BRL_INF_2yr</v>
          </cell>
          <cell r="B5472" t="str">
            <v>BRL INF 2Y</v>
          </cell>
          <cell r="C5472" t="str">
            <v>BRS_GOLD__2_INFLATION:BRL_INF:BRL_INF_2yr</v>
          </cell>
          <cell r="D5472" t="str">
            <v>Inflation Duration</v>
          </cell>
          <cell r="E5472" t="str">
            <v>Yield</v>
          </cell>
          <cell r="F5472" t="str">
            <v>Other</v>
          </cell>
          <cell r="G5472" t="str">
            <v>Other</v>
          </cell>
          <cell r="H5472" t="str">
            <v>OTHER</v>
          </cell>
          <cell r="I5472" t="str">
            <v>Other - Inflation</v>
          </cell>
        </row>
        <row r="5473">
          <cell r="A5473" t="str">
            <v>BRL_INF_3yr</v>
          </cell>
          <cell r="B5473" t="str">
            <v>BRL INF 3Y</v>
          </cell>
          <cell r="C5473" t="str">
            <v>BRS_GOLD__2_INFLATION:BRL_INF:BRL_INF_3yr</v>
          </cell>
          <cell r="D5473" t="str">
            <v>Inflation Duration</v>
          </cell>
          <cell r="E5473" t="str">
            <v>Yield</v>
          </cell>
          <cell r="F5473" t="str">
            <v>Other</v>
          </cell>
          <cell r="G5473" t="str">
            <v>Other</v>
          </cell>
          <cell r="H5473" t="str">
            <v>OTHER</v>
          </cell>
          <cell r="I5473" t="str">
            <v>Other - Inflation</v>
          </cell>
        </row>
        <row r="5474">
          <cell r="A5474" t="str">
            <v>BRL_INF_5yr</v>
          </cell>
          <cell r="B5474" t="str">
            <v>BRL INF 5Y</v>
          </cell>
          <cell r="C5474" t="str">
            <v>BRS_GOLD__2_INFLATION:BRL_INF:BRL_INF_5yr</v>
          </cell>
          <cell r="D5474" t="str">
            <v>Inflation Duration</v>
          </cell>
          <cell r="E5474" t="str">
            <v>Yield</v>
          </cell>
          <cell r="F5474" t="str">
            <v>Other</v>
          </cell>
          <cell r="G5474" t="str">
            <v>Other</v>
          </cell>
          <cell r="H5474" t="str">
            <v>OTHER</v>
          </cell>
          <cell r="I5474" t="str">
            <v>Other - Inflation</v>
          </cell>
        </row>
        <row r="5475">
          <cell r="A5475" t="str">
            <v>BRL_INF_7yr</v>
          </cell>
          <cell r="B5475" t="str">
            <v>BRL INF 7Y</v>
          </cell>
          <cell r="C5475" t="str">
            <v>BRS_GOLD__2_INFLATION:BRL_INF:BRL_INF_7yr</v>
          </cell>
          <cell r="D5475" t="str">
            <v>Inflation Duration</v>
          </cell>
          <cell r="E5475" t="str">
            <v>Yield</v>
          </cell>
          <cell r="F5475" t="str">
            <v>Other</v>
          </cell>
          <cell r="G5475" t="str">
            <v>Other</v>
          </cell>
          <cell r="H5475" t="str">
            <v>OTHER</v>
          </cell>
          <cell r="I5475" t="str">
            <v>Other - Inflation</v>
          </cell>
        </row>
        <row r="5476">
          <cell r="A5476" t="str">
            <v>BRL_INF_10yr</v>
          </cell>
          <cell r="B5476" t="str">
            <v>BRL INF 10Y</v>
          </cell>
          <cell r="C5476" t="str">
            <v>BRS_GOLD__2_INFLATION:BRL_INF:BRL_INF_10yr</v>
          </cell>
          <cell r="D5476" t="str">
            <v>Inflation Duration</v>
          </cell>
          <cell r="E5476" t="str">
            <v>Yield</v>
          </cell>
          <cell r="F5476" t="str">
            <v>Other</v>
          </cell>
          <cell r="G5476" t="str">
            <v>Other</v>
          </cell>
          <cell r="H5476" t="str">
            <v>OTHER</v>
          </cell>
          <cell r="I5476" t="str">
            <v>Other - Inflation</v>
          </cell>
        </row>
        <row r="5477">
          <cell r="A5477" t="str">
            <v>BRL_INF_15yr</v>
          </cell>
          <cell r="B5477" t="str">
            <v>BRL INF 15Y</v>
          </cell>
          <cell r="C5477" t="str">
            <v>BRS_GOLD__2_INFLATION:BRL_INF:BRL_INF_15yr</v>
          </cell>
          <cell r="D5477" t="str">
            <v>Inflation Duration</v>
          </cell>
          <cell r="E5477" t="str">
            <v>Yield</v>
          </cell>
          <cell r="F5477" t="str">
            <v>Other</v>
          </cell>
          <cell r="G5477" t="str">
            <v>Other</v>
          </cell>
          <cell r="H5477" t="str">
            <v>OTHER</v>
          </cell>
          <cell r="I5477" t="str">
            <v>Other - Inflation</v>
          </cell>
        </row>
        <row r="5478">
          <cell r="A5478" t="str">
            <v>BRL_INF_20yr</v>
          </cell>
          <cell r="B5478" t="str">
            <v>BRL INF 20Y</v>
          </cell>
          <cell r="C5478" t="str">
            <v>BRS_GOLD__2_INFLATION:BRL_INF:BRL_INF_20yr</v>
          </cell>
          <cell r="D5478" t="str">
            <v>Inflation Duration</v>
          </cell>
          <cell r="E5478" t="str">
            <v>Yield</v>
          </cell>
          <cell r="F5478" t="str">
            <v>Other</v>
          </cell>
          <cell r="G5478" t="str">
            <v>Other</v>
          </cell>
          <cell r="H5478" t="str">
            <v>OTHER</v>
          </cell>
          <cell r="I5478" t="str">
            <v>Other - Inflation</v>
          </cell>
        </row>
        <row r="5479">
          <cell r="A5479" t="str">
            <v>BRL_INF_25yr</v>
          </cell>
          <cell r="B5479" t="str">
            <v>BRL INF 25Y</v>
          </cell>
          <cell r="C5479" t="str">
            <v>BRS_GOLD__2_INFLATION:BRL_INF:BRL_INF_25yr</v>
          </cell>
          <cell r="D5479" t="str">
            <v>Inflation Duration</v>
          </cell>
          <cell r="E5479" t="str">
            <v>Yield</v>
          </cell>
          <cell r="F5479" t="str">
            <v>Other</v>
          </cell>
          <cell r="G5479" t="str">
            <v>Other</v>
          </cell>
          <cell r="H5479" t="str">
            <v>OTHER</v>
          </cell>
          <cell r="I5479" t="str">
            <v>Other - Inflation</v>
          </cell>
        </row>
        <row r="5480">
          <cell r="A5480" t="str">
            <v>BRL_INF_30yr</v>
          </cell>
          <cell r="B5480" t="str">
            <v>BRL INF 30Y</v>
          </cell>
          <cell r="C5480" t="str">
            <v>BRS_GOLD__2_INFLATION:BRL_INF:BRL_INF_30yr</v>
          </cell>
          <cell r="D5480" t="str">
            <v>Inflation Duration</v>
          </cell>
          <cell r="E5480" t="str">
            <v>Yield</v>
          </cell>
          <cell r="F5480" t="str">
            <v>Other</v>
          </cell>
          <cell r="G5480" t="str">
            <v>Other</v>
          </cell>
          <cell r="H5480" t="str">
            <v>OTHER</v>
          </cell>
          <cell r="I5480" t="str">
            <v>Other - Inflation</v>
          </cell>
        </row>
        <row r="5481">
          <cell r="A5481" t="str">
            <v>CAD_INF_3m</v>
          </cell>
          <cell r="B5481" t="str">
            <v>CAD INF 3M</v>
          </cell>
          <cell r="C5481" t="str">
            <v>BRS_GOLD__2_INFLATION:CAD_INF:CAD_INF_3m</v>
          </cell>
          <cell r="D5481" t="str">
            <v>Inflation Duration</v>
          </cell>
          <cell r="E5481" t="str">
            <v>Yield</v>
          </cell>
          <cell r="F5481" t="str">
            <v>Other</v>
          </cell>
          <cell r="G5481" t="str">
            <v>Other</v>
          </cell>
          <cell r="H5481" t="str">
            <v>OTHER</v>
          </cell>
          <cell r="I5481" t="str">
            <v>Other - Inflation</v>
          </cell>
        </row>
        <row r="5482">
          <cell r="A5482" t="str">
            <v>CAD_INF_1yr</v>
          </cell>
          <cell r="B5482" t="str">
            <v>CAD INF 1Y</v>
          </cell>
          <cell r="C5482" t="str">
            <v>BRS_GOLD__2_INFLATION:CAD_INF:CAD_INF_1yr</v>
          </cell>
          <cell r="D5482" t="str">
            <v>Inflation Duration</v>
          </cell>
          <cell r="E5482" t="str">
            <v>Yield</v>
          </cell>
          <cell r="F5482" t="str">
            <v>Other</v>
          </cell>
          <cell r="G5482" t="str">
            <v>Other</v>
          </cell>
          <cell r="H5482" t="str">
            <v>OTHER</v>
          </cell>
          <cell r="I5482" t="str">
            <v>Other - Inflation</v>
          </cell>
        </row>
        <row r="5483">
          <cell r="A5483" t="str">
            <v>CAD_INF_2yr</v>
          </cell>
          <cell r="B5483" t="str">
            <v>CAD INF 2Y</v>
          </cell>
          <cell r="C5483" t="str">
            <v>BRS_GOLD__2_INFLATION:CAD_INF:CAD_INF_2yr</v>
          </cell>
          <cell r="D5483" t="str">
            <v>Inflation Duration</v>
          </cell>
          <cell r="E5483" t="str">
            <v>Yield</v>
          </cell>
          <cell r="F5483" t="str">
            <v>Other</v>
          </cell>
          <cell r="G5483" t="str">
            <v>Other</v>
          </cell>
          <cell r="H5483" t="str">
            <v>OTHER</v>
          </cell>
          <cell r="I5483" t="str">
            <v>Other - Inflation</v>
          </cell>
        </row>
        <row r="5484">
          <cell r="A5484" t="str">
            <v>CAD_INF_3yr</v>
          </cell>
          <cell r="B5484" t="str">
            <v>CAD INF 3Y</v>
          </cell>
          <cell r="C5484" t="str">
            <v>BRS_GOLD__2_INFLATION:CAD_INF:CAD_INF_3yr</v>
          </cell>
          <cell r="D5484" t="str">
            <v>Inflation Duration</v>
          </cell>
          <cell r="E5484" t="str">
            <v>Yield</v>
          </cell>
          <cell r="F5484" t="str">
            <v>Other</v>
          </cell>
          <cell r="G5484" t="str">
            <v>Other</v>
          </cell>
          <cell r="H5484" t="str">
            <v>OTHER</v>
          </cell>
          <cell r="I5484" t="str">
            <v>Other - Inflation</v>
          </cell>
        </row>
        <row r="5485">
          <cell r="A5485" t="str">
            <v>CAD_INF_5yr</v>
          </cell>
          <cell r="B5485" t="str">
            <v>CAD INF 5Y</v>
          </cell>
          <cell r="C5485" t="str">
            <v>BRS_GOLD__2_INFLATION:CAD_INF:CAD_INF_5yr</v>
          </cell>
          <cell r="D5485" t="str">
            <v>Inflation Duration</v>
          </cell>
          <cell r="E5485" t="str">
            <v>Yield</v>
          </cell>
          <cell r="F5485" t="str">
            <v>Other</v>
          </cell>
          <cell r="G5485" t="str">
            <v>Other</v>
          </cell>
          <cell r="H5485" t="str">
            <v>OTHER</v>
          </cell>
          <cell r="I5485" t="str">
            <v>Other - Inflation</v>
          </cell>
        </row>
        <row r="5486">
          <cell r="A5486" t="str">
            <v>CAD_INF_7yr</v>
          </cell>
          <cell r="B5486" t="str">
            <v>CAD INF 7Y</v>
          </cell>
          <cell r="C5486" t="str">
            <v>BRS_GOLD__2_INFLATION:CAD_INF:CAD_INF_7yr</v>
          </cell>
          <cell r="D5486" t="str">
            <v>Inflation Duration</v>
          </cell>
          <cell r="E5486" t="str">
            <v>Yield</v>
          </cell>
          <cell r="F5486" t="str">
            <v>Other</v>
          </cell>
          <cell r="G5486" t="str">
            <v>Other</v>
          </cell>
          <cell r="H5486" t="str">
            <v>OTHER</v>
          </cell>
          <cell r="I5486" t="str">
            <v>Other - Inflation</v>
          </cell>
        </row>
        <row r="5487">
          <cell r="A5487" t="str">
            <v>CAD_INF_10yr</v>
          </cell>
          <cell r="B5487" t="str">
            <v>CAD INF 10Y</v>
          </cell>
          <cell r="C5487" t="str">
            <v>BRS_GOLD__2_INFLATION:CAD_INF:CAD_INF_10yr</v>
          </cell>
          <cell r="D5487" t="str">
            <v>Inflation Duration</v>
          </cell>
          <cell r="E5487" t="str">
            <v>Yield</v>
          </cell>
          <cell r="F5487" t="str">
            <v>Other</v>
          </cell>
          <cell r="G5487" t="str">
            <v>Other</v>
          </cell>
          <cell r="H5487" t="str">
            <v>OTHER</v>
          </cell>
          <cell r="I5487" t="str">
            <v>Other - Inflation</v>
          </cell>
        </row>
        <row r="5488">
          <cell r="A5488" t="str">
            <v>CAD_INF_15yr</v>
          </cell>
          <cell r="B5488" t="str">
            <v>CAD INF 15Y</v>
          </cell>
          <cell r="C5488" t="str">
            <v>BRS_GOLD__2_INFLATION:CAD_INF:CAD_INF_15yr</v>
          </cell>
          <cell r="D5488" t="str">
            <v>Inflation Duration</v>
          </cell>
          <cell r="E5488" t="str">
            <v>Yield</v>
          </cell>
          <cell r="F5488" t="str">
            <v>Other</v>
          </cell>
          <cell r="G5488" t="str">
            <v>Other</v>
          </cell>
          <cell r="H5488" t="str">
            <v>OTHER</v>
          </cell>
          <cell r="I5488" t="str">
            <v>Other - Inflation</v>
          </cell>
        </row>
        <row r="5489">
          <cell r="A5489" t="str">
            <v>CAD_INF_20yr</v>
          </cell>
          <cell r="B5489" t="str">
            <v>CAD INF 20Y</v>
          </cell>
          <cell r="C5489" t="str">
            <v>BRS_GOLD__2_INFLATION:CAD_INF:CAD_INF_20yr</v>
          </cell>
          <cell r="D5489" t="str">
            <v>Inflation Duration</v>
          </cell>
          <cell r="E5489" t="str">
            <v>Yield</v>
          </cell>
          <cell r="F5489" t="str">
            <v>Other</v>
          </cell>
          <cell r="G5489" t="str">
            <v>Other</v>
          </cell>
          <cell r="H5489" t="str">
            <v>OTHER</v>
          </cell>
          <cell r="I5489" t="str">
            <v>Other - Inflation</v>
          </cell>
        </row>
        <row r="5490">
          <cell r="A5490" t="str">
            <v>CAD_INF_25yr</v>
          </cell>
          <cell r="B5490" t="str">
            <v>CAD INF 25Y</v>
          </cell>
          <cell r="C5490" t="str">
            <v>BRS_GOLD__2_INFLATION:CAD_INF:CAD_INF_25yr</v>
          </cell>
          <cell r="D5490" t="str">
            <v>Inflation Duration</v>
          </cell>
          <cell r="E5490" t="str">
            <v>Yield</v>
          </cell>
          <cell r="F5490" t="str">
            <v>Other</v>
          </cell>
          <cell r="G5490" t="str">
            <v>Other</v>
          </cell>
          <cell r="H5490" t="str">
            <v>OTHER</v>
          </cell>
          <cell r="I5490" t="str">
            <v>Other - Inflation</v>
          </cell>
        </row>
        <row r="5491">
          <cell r="A5491" t="str">
            <v>CAD_INF_30yr</v>
          </cell>
          <cell r="B5491" t="str">
            <v>CAD INF 30Y</v>
          </cell>
          <cell r="C5491" t="str">
            <v>BRS_GOLD__2_INFLATION:CAD_INF:CAD_INF_30yr</v>
          </cell>
          <cell r="D5491" t="str">
            <v>Inflation Duration</v>
          </cell>
          <cell r="E5491" t="str">
            <v>Yield</v>
          </cell>
          <cell r="F5491" t="str">
            <v>Other</v>
          </cell>
          <cell r="G5491" t="str">
            <v>Other</v>
          </cell>
          <cell r="H5491" t="str">
            <v>OTHER</v>
          </cell>
          <cell r="I5491" t="str">
            <v>Other - Inflation</v>
          </cell>
        </row>
        <row r="5492">
          <cell r="A5492" t="str">
            <v>GBP_INF_3m</v>
          </cell>
          <cell r="B5492" t="str">
            <v>GBP INF 3M</v>
          </cell>
          <cell r="C5492" t="str">
            <v>BRS_GOLD__2_INFLATION:GBP_INF:GBP_INF_3m</v>
          </cell>
          <cell r="D5492" t="str">
            <v>Inflation Duration</v>
          </cell>
          <cell r="E5492" t="str">
            <v>Yield</v>
          </cell>
          <cell r="F5492" t="str">
            <v>Other</v>
          </cell>
          <cell r="G5492" t="str">
            <v>Other</v>
          </cell>
          <cell r="H5492" t="str">
            <v>OTHER</v>
          </cell>
          <cell r="I5492" t="str">
            <v>Other - Inflation</v>
          </cell>
        </row>
        <row r="5493">
          <cell r="A5493" t="str">
            <v>GBP_INF_1yr</v>
          </cell>
          <cell r="B5493" t="str">
            <v>GBP INF 1Y</v>
          </cell>
          <cell r="C5493" t="str">
            <v>BRS_GOLD__2_INFLATION:GBP_INF:GBP_INF_1yr</v>
          </cell>
          <cell r="D5493" t="str">
            <v>Inflation Duration</v>
          </cell>
          <cell r="E5493" t="str">
            <v>Yield</v>
          </cell>
          <cell r="F5493" t="str">
            <v>Other</v>
          </cell>
          <cell r="G5493" t="str">
            <v>Other</v>
          </cell>
          <cell r="H5493" t="str">
            <v>OTHER</v>
          </cell>
          <cell r="I5493" t="str">
            <v>Other - Inflation</v>
          </cell>
        </row>
        <row r="5494">
          <cell r="A5494" t="str">
            <v>GBP_INF_2yr</v>
          </cell>
          <cell r="B5494" t="str">
            <v>GBP INF 2Y</v>
          </cell>
          <cell r="C5494" t="str">
            <v>BRS_GOLD__2_INFLATION:GBP_INF:GBP_INF_2yr</v>
          </cell>
          <cell r="D5494" t="str">
            <v>Inflation Duration</v>
          </cell>
          <cell r="E5494" t="str">
            <v>Yield</v>
          </cell>
          <cell r="F5494" t="str">
            <v>Other</v>
          </cell>
          <cell r="G5494" t="str">
            <v>Other</v>
          </cell>
          <cell r="H5494" t="str">
            <v>OTHER</v>
          </cell>
          <cell r="I5494" t="str">
            <v>Other - Inflation</v>
          </cell>
        </row>
        <row r="5495">
          <cell r="A5495" t="str">
            <v>GBP_INF_3yr</v>
          </cell>
          <cell r="B5495" t="str">
            <v>GBP INF 3Y</v>
          </cell>
          <cell r="C5495" t="str">
            <v>BRS_GOLD__2_INFLATION:GBP_INF:GBP_INF_3yr</v>
          </cell>
          <cell r="D5495" t="str">
            <v>Inflation Duration</v>
          </cell>
          <cell r="E5495" t="str">
            <v>Yield</v>
          </cell>
          <cell r="F5495" t="str">
            <v>Other</v>
          </cell>
          <cell r="G5495" t="str">
            <v>Other</v>
          </cell>
          <cell r="H5495" t="str">
            <v>OTHER</v>
          </cell>
          <cell r="I5495" t="str">
            <v>Other - Inflation</v>
          </cell>
        </row>
        <row r="5496">
          <cell r="A5496" t="str">
            <v>GBP_INF_5yr</v>
          </cell>
          <cell r="B5496" t="str">
            <v>GBP INF 5Y</v>
          </cell>
          <cell r="C5496" t="str">
            <v>BRS_GOLD__2_INFLATION:GBP_INF:GBP_INF_5yr</v>
          </cell>
          <cell r="D5496" t="str">
            <v>Inflation Duration</v>
          </cell>
          <cell r="E5496" t="str">
            <v>Yield</v>
          </cell>
          <cell r="F5496" t="str">
            <v>Other</v>
          </cell>
          <cell r="G5496" t="str">
            <v>Other</v>
          </cell>
          <cell r="H5496" t="str">
            <v>OTHER</v>
          </cell>
          <cell r="I5496" t="str">
            <v>Other - Inflation</v>
          </cell>
        </row>
        <row r="5497">
          <cell r="A5497" t="str">
            <v>GBP_INF_7yr</v>
          </cell>
          <cell r="B5497" t="str">
            <v>GBP INF 7Y</v>
          </cell>
          <cell r="C5497" t="str">
            <v>BRS_GOLD__2_INFLATION:GBP_INF:GBP_INF_7yr</v>
          </cell>
          <cell r="D5497" t="str">
            <v>Inflation Duration</v>
          </cell>
          <cell r="E5497" t="str">
            <v>Yield</v>
          </cell>
          <cell r="F5497" t="str">
            <v>Other</v>
          </cell>
          <cell r="G5497" t="str">
            <v>Other</v>
          </cell>
          <cell r="H5497" t="str">
            <v>OTHER</v>
          </cell>
          <cell r="I5497" t="str">
            <v>Other - Inflation</v>
          </cell>
        </row>
        <row r="5498">
          <cell r="A5498" t="str">
            <v>GBP_INF_10yr</v>
          </cell>
          <cell r="B5498" t="str">
            <v>GBP INF 10Y</v>
          </cell>
          <cell r="C5498" t="str">
            <v>BRS_GOLD__2_INFLATION:GBP_INF:GBP_INF_10yr</v>
          </cell>
          <cell r="D5498" t="str">
            <v>Inflation Duration</v>
          </cell>
          <cell r="E5498" t="str">
            <v>Yield</v>
          </cell>
          <cell r="F5498" t="str">
            <v>Other</v>
          </cell>
          <cell r="G5498" t="str">
            <v>Other</v>
          </cell>
          <cell r="H5498" t="str">
            <v>OTHER</v>
          </cell>
          <cell r="I5498" t="str">
            <v>Other - Inflation</v>
          </cell>
        </row>
        <row r="5499">
          <cell r="A5499" t="str">
            <v>GBP_INF_15yr</v>
          </cell>
          <cell r="B5499" t="str">
            <v>GBP INF 15Y</v>
          </cell>
          <cell r="C5499" t="str">
            <v>BRS_GOLD__2_INFLATION:GBP_INF:GBP_INF_15yr</v>
          </cell>
          <cell r="D5499" t="str">
            <v>Inflation Duration</v>
          </cell>
          <cell r="E5499" t="str">
            <v>Yield</v>
          </cell>
          <cell r="F5499" t="str">
            <v>Other</v>
          </cell>
          <cell r="G5499" t="str">
            <v>Other</v>
          </cell>
          <cell r="H5499" t="str">
            <v>OTHER</v>
          </cell>
          <cell r="I5499" t="str">
            <v>Other - Inflation</v>
          </cell>
        </row>
        <row r="5500">
          <cell r="A5500" t="str">
            <v>GBP_INF_20yr</v>
          </cell>
          <cell r="B5500" t="str">
            <v>GBP INF 20Y</v>
          </cell>
          <cell r="C5500" t="str">
            <v>BRS_GOLD__2_INFLATION:GBP_INF:GBP_INF_20yr</v>
          </cell>
          <cell r="D5500" t="str">
            <v>Inflation Duration</v>
          </cell>
          <cell r="E5500" t="str">
            <v>Yield</v>
          </cell>
          <cell r="F5500" t="str">
            <v>Other</v>
          </cell>
          <cell r="G5500" t="str">
            <v>Other</v>
          </cell>
          <cell r="H5500" t="str">
            <v>OTHER</v>
          </cell>
          <cell r="I5500" t="str">
            <v>Other - Inflation</v>
          </cell>
        </row>
        <row r="5501">
          <cell r="A5501" t="str">
            <v>GBP_INF_25yr</v>
          </cell>
          <cell r="B5501" t="str">
            <v>GBP INF 25Y</v>
          </cell>
          <cell r="C5501" t="str">
            <v>BRS_GOLD__2_INFLATION:GBP_INF:GBP_INF_25yr</v>
          </cell>
          <cell r="D5501" t="str">
            <v>Inflation Duration</v>
          </cell>
          <cell r="E5501" t="str">
            <v>Yield</v>
          </cell>
          <cell r="F5501" t="str">
            <v>Other</v>
          </cell>
          <cell r="G5501" t="str">
            <v>Other</v>
          </cell>
          <cell r="H5501" t="str">
            <v>OTHER</v>
          </cell>
          <cell r="I5501" t="str">
            <v>Other - Inflation</v>
          </cell>
        </row>
        <row r="5502">
          <cell r="A5502" t="str">
            <v>GBP_INF_30yr</v>
          </cell>
          <cell r="B5502" t="str">
            <v>GBP INF 30Y</v>
          </cell>
          <cell r="C5502" t="str">
            <v>BRS_GOLD__2_INFLATION:GBP_INF:GBP_INF_30yr</v>
          </cell>
          <cell r="D5502" t="str">
            <v>Inflation Duration</v>
          </cell>
          <cell r="E5502" t="str">
            <v>Yield</v>
          </cell>
          <cell r="F5502" t="str">
            <v>Other</v>
          </cell>
          <cell r="G5502" t="str">
            <v>Other</v>
          </cell>
          <cell r="H5502" t="str">
            <v>OTHER</v>
          </cell>
          <cell r="I5502" t="str">
            <v>Other - Inflation</v>
          </cell>
        </row>
        <row r="5503">
          <cell r="A5503" t="str">
            <v>GBP_INF_40yr</v>
          </cell>
          <cell r="B5503" t="str">
            <v>GBP INF 40Y</v>
          </cell>
          <cell r="C5503" t="str">
            <v>BRS_GOLD__2_INFLATION:GBP_INF:GBP_INF_40yr</v>
          </cell>
          <cell r="D5503" t="str">
            <v>Inflation Duration</v>
          </cell>
          <cell r="E5503" t="str">
            <v>Yield</v>
          </cell>
          <cell r="F5503" t="str">
            <v>Other</v>
          </cell>
          <cell r="G5503" t="str">
            <v>Other</v>
          </cell>
          <cell r="H5503" t="str">
            <v>OTHER</v>
          </cell>
          <cell r="I5503" t="str">
            <v>Other - Inflation</v>
          </cell>
        </row>
        <row r="5504">
          <cell r="A5504" t="str">
            <v>GBP_INF_50yr</v>
          </cell>
          <cell r="B5504" t="str">
            <v>GBP INF 50Y</v>
          </cell>
          <cell r="C5504" t="str">
            <v>BRS_GOLD__2_INFLATION:GBP_INF:GBP_INF_50yr</v>
          </cell>
          <cell r="D5504" t="str">
            <v>Inflation Duration</v>
          </cell>
          <cell r="E5504" t="str">
            <v>Yield</v>
          </cell>
          <cell r="F5504" t="str">
            <v>Other</v>
          </cell>
          <cell r="G5504" t="str">
            <v>Other</v>
          </cell>
          <cell r="H5504" t="str">
            <v>OTHER</v>
          </cell>
          <cell r="I5504" t="str">
            <v>Other - Inflation</v>
          </cell>
        </row>
        <row r="5505">
          <cell r="A5505" t="str">
            <v>JPY_INF_3m</v>
          </cell>
          <cell r="B5505" t="str">
            <v>JPY INF 3M</v>
          </cell>
          <cell r="C5505" t="str">
            <v>BRS_GOLD__2_INFLATION:JPY_INF:JPY_INF_3m</v>
          </cell>
          <cell r="D5505" t="str">
            <v>Inflation Duration</v>
          </cell>
          <cell r="E5505" t="str">
            <v>Yield</v>
          </cell>
          <cell r="F5505" t="str">
            <v>Other</v>
          </cell>
          <cell r="G5505" t="str">
            <v>Other</v>
          </cell>
          <cell r="H5505" t="str">
            <v>OTHER</v>
          </cell>
          <cell r="I5505" t="str">
            <v>Other - Inflation</v>
          </cell>
        </row>
        <row r="5506">
          <cell r="A5506" t="str">
            <v>JPY_INF_1yr</v>
          </cell>
          <cell r="B5506" t="str">
            <v>JPY INF 1Y</v>
          </cell>
          <cell r="C5506" t="str">
            <v>BRS_GOLD__2_INFLATION:JPY_INF:JPY_INF_1yr</v>
          </cell>
          <cell r="D5506" t="str">
            <v>Inflation Duration</v>
          </cell>
          <cell r="E5506" t="str">
            <v>Yield</v>
          </cell>
          <cell r="F5506" t="str">
            <v>Other</v>
          </cell>
          <cell r="G5506" t="str">
            <v>Other</v>
          </cell>
          <cell r="H5506" t="str">
            <v>OTHER</v>
          </cell>
          <cell r="I5506" t="str">
            <v>Other - Inflation</v>
          </cell>
        </row>
        <row r="5507">
          <cell r="A5507" t="str">
            <v>JPY_INF_2yr</v>
          </cell>
          <cell r="B5507" t="str">
            <v>JPY INF 2Y</v>
          </cell>
          <cell r="C5507" t="str">
            <v>BRS_GOLD__2_INFLATION:JPY_INF:JPY_INF_2yr</v>
          </cell>
          <cell r="D5507" t="str">
            <v>Inflation Duration</v>
          </cell>
          <cell r="E5507" t="str">
            <v>Yield</v>
          </cell>
          <cell r="F5507" t="str">
            <v>Other</v>
          </cell>
          <cell r="G5507" t="str">
            <v>Other</v>
          </cell>
          <cell r="H5507" t="str">
            <v>OTHER</v>
          </cell>
          <cell r="I5507" t="str">
            <v>Other - Inflation</v>
          </cell>
        </row>
        <row r="5508">
          <cell r="A5508" t="str">
            <v>JPY_INF_3yr</v>
          </cell>
          <cell r="B5508" t="str">
            <v>JPY INF 3Y</v>
          </cell>
          <cell r="C5508" t="str">
            <v>BRS_GOLD__2_INFLATION:JPY_INF:JPY_INF_3yr</v>
          </cell>
          <cell r="D5508" t="str">
            <v>Inflation Duration</v>
          </cell>
          <cell r="E5508" t="str">
            <v>Yield</v>
          </cell>
          <cell r="F5508" t="str">
            <v>Other</v>
          </cell>
          <cell r="G5508" t="str">
            <v>Other</v>
          </cell>
          <cell r="H5508" t="str">
            <v>OTHER</v>
          </cell>
          <cell r="I5508" t="str">
            <v>Other - Inflation</v>
          </cell>
        </row>
        <row r="5509">
          <cell r="A5509" t="str">
            <v>JPY_INF_5yr</v>
          </cell>
          <cell r="B5509" t="str">
            <v>JPY INF 5Y</v>
          </cell>
          <cell r="C5509" t="str">
            <v>BRS_GOLD__2_INFLATION:JPY_INF:JPY_INF_5yr</v>
          </cell>
          <cell r="D5509" t="str">
            <v>Inflation Duration</v>
          </cell>
          <cell r="E5509" t="str">
            <v>Yield</v>
          </cell>
          <cell r="F5509" t="str">
            <v>Other</v>
          </cell>
          <cell r="G5509" t="str">
            <v>Other</v>
          </cell>
          <cell r="H5509" t="str">
            <v>OTHER</v>
          </cell>
          <cell r="I5509" t="str">
            <v>Other - Inflation</v>
          </cell>
        </row>
        <row r="5510">
          <cell r="A5510" t="str">
            <v>JPY_INF_7yr</v>
          </cell>
          <cell r="B5510" t="str">
            <v>JPY INF 7Y</v>
          </cell>
          <cell r="C5510" t="str">
            <v>BRS_GOLD__2_INFLATION:JPY_INF:JPY_INF_7yr</v>
          </cell>
          <cell r="D5510" t="str">
            <v>Inflation Duration</v>
          </cell>
          <cell r="E5510" t="str">
            <v>Yield</v>
          </cell>
          <cell r="F5510" t="str">
            <v>Other</v>
          </cell>
          <cell r="G5510" t="str">
            <v>Other</v>
          </cell>
          <cell r="H5510" t="str">
            <v>OTHER</v>
          </cell>
          <cell r="I5510" t="str">
            <v>Other - Inflation</v>
          </cell>
        </row>
        <row r="5511">
          <cell r="A5511" t="str">
            <v>JPY_INF_10yr</v>
          </cell>
          <cell r="B5511" t="str">
            <v>JPY INF 10Y</v>
          </cell>
          <cell r="C5511" t="str">
            <v>BRS_GOLD__2_INFLATION:JPY_INF:JPY_INF_10yr</v>
          </cell>
          <cell r="D5511" t="str">
            <v>Inflation Duration</v>
          </cell>
          <cell r="E5511" t="str">
            <v>Yield</v>
          </cell>
          <cell r="F5511" t="str">
            <v>Other</v>
          </cell>
          <cell r="G5511" t="str">
            <v>Other</v>
          </cell>
          <cell r="H5511" t="str">
            <v>OTHER</v>
          </cell>
          <cell r="I5511" t="str">
            <v>Other - Inflation</v>
          </cell>
        </row>
        <row r="5512">
          <cell r="A5512" t="str">
            <v>JPY_INF_15yr</v>
          </cell>
          <cell r="B5512" t="str">
            <v>JPY INF 15Y</v>
          </cell>
          <cell r="C5512" t="str">
            <v>BRS_GOLD__2_INFLATION:JPY_INF:JPY_INF_15yr</v>
          </cell>
          <cell r="D5512" t="str">
            <v>Inflation Duration</v>
          </cell>
          <cell r="E5512" t="str">
            <v>Yield</v>
          </cell>
          <cell r="F5512" t="str">
            <v>Other</v>
          </cell>
          <cell r="G5512" t="str">
            <v>Other</v>
          </cell>
          <cell r="H5512" t="str">
            <v>OTHER</v>
          </cell>
          <cell r="I5512" t="str">
            <v>Other - Inflation</v>
          </cell>
        </row>
        <row r="5513">
          <cell r="A5513" t="str">
            <v>JPY_INF_20yr</v>
          </cell>
          <cell r="B5513" t="str">
            <v>JPY INF 20Y</v>
          </cell>
          <cell r="C5513" t="str">
            <v>BRS_GOLD__2_INFLATION:JPY_INF:JPY_INF_20yr</v>
          </cell>
          <cell r="D5513" t="str">
            <v>Inflation Duration</v>
          </cell>
          <cell r="E5513" t="str">
            <v>Yield</v>
          </cell>
          <cell r="F5513" t="str">
            <v>Other</v>
          </cell>
          <cell r="G5513" t="str">
            <v>Other</v>
          </cell>
          <cell r="H5513" t="str">
            <v>OTHER</v>
          </cell>
          <cell r="I5513" t="str">
            <v>Other - Inflation</v>
          </cell>
        </row>
        <row r="5514">
          <cell r="A5514" t="str">
            <v>JPY_INF_25yr</v>
          </cell>
          <cell r="B5514" t="str">
            <v>JPY INF 25Y</v>
          </cell>
          <cell r="C5514" t="str">
            <v>BRS_GOLD__2_INFLATION:JPY_INF:JPY_INF_25yr</v>
          </cell>
          <cell r="D5514" t="str">
            <v>Inflation Duration</v>
          </cell>
          <cell r="E5514" t="str">
            <v>Yield</v>
          </cell>
          <cell r="F5514" t="str">
            <v>Other</v>
          </cell>
          <cell r="G5514" t="str">
            <v>Other</v>
          </cell>
          <cell r="H5514" t="str">
            <v>OTHER</v>
          </cell>
          <cell r="I5514" t="str">
            <v>Other - Inflation</v>
          </cell>
        </row>
        <row r="5515">
          <cell r="A5515" t="str">
            <v>JPY_INF_30yr</v>
          </cell>
          <cell r="B5515" t="str">
            <v>JPY INF 30Y</v>
          </cell>
          <cell r="C5515" t="str">
            <v>BRS_GOLD__2_INFLATION:JPY_INF:JPY_INF_30yr</v>
          </cell>
          <cell r="D5515" t="str">
            <v>Inflation Duration</v>
          </cell>
          <cell r="E5515" t="str">
            <v>Yield</v>
          </cell>
          <cell r="F5515" t="str">
            <v>Other</v>
          </cell>
          <cell r="G5515" t="str">
            <v>Other</v>
          </cell>
          <cell r="H5515" t="str">
            <v>OTHER</v>
          </cell>
          <cell r="I5515" t="str">
            <v>Other - Inflation</v>
          </cell>
        </row>
        <row r="5516">
          <cell r="A5516" t="str">
            <v>SEK_INF_3m</v>
          </cell>
          <cell r="B5516" t="str">
            <v>SEK INF 3M</v>
          </cell>
          <cell r="C5516" t="str">
            <v>BRS_GOLD__2_INFLATION:SEK_INF:SEK_INF_3m</v>
          </cell>
          <cell r="D5516" t="str">
            <v>Inflation Duration</v>
          </cell>
          <cell r="E5516" t="str">
            <v>Yield</v>
          </cell>
          <cell r="F5516" t="str">
            <v>Other</v>
          </cell>
          <cell r="G5516" t="str">
            <v>Other</v>
          </cell>
          <cell r="H5516" t="str">
            <v>OTHER</v>
          </cell>
          <cell r="I5516" t="str">
            <v>Other - Inflation</v>
          </cell>
        </row>
        <row r="5517">
          <cell r="A5517" t="str">
            <v>SEK_INF_1yr</v>
          </cell>
          <cell r="B5517" t="str">
            <v>SEK INF 1Y</v>
          </cell>
          <cell r="C5517" t="str">
            <v>BRS_GOLD__2_INFLATION:SEK_INF:SEK_INF_1yr</v>
          </cell>
          <cell r="D5517" t="str">
            <v>Inflation Duration</v>
          </cell>
          <cell r="E5517" t="str">
            <v>Yield</v>
          </cell>
          <cell r="F5517" t="str">
            <v>Other</v>
          </cell>
          <cell r="G5517" t="str">
            <v>Other</v>
          </cell>
          <cell r="H5517" t="str">
            <v>OTHER</v>
          </cell>
          <cell r="I5517" t="str">
            <v>Other - Inflation</v>
          </cell>
        </row>
        <row r="5518">
          <cell r="A5518" t="str">
            <v>SEK_INF_2yr</v>
          </cell>
          <cell r="B5518" t="str">
            <v>SEK INF 2Y</v>
          </cell>
          <cell r="C5518" t="str">
            <v>BRS_GOLD__2_INFLATION:SEK_INF:SEK_INF_2yr</v>
          </cell>
          <cell r="D5518" t="str">
            <v>Inflation Duration</v>
          </cell>
          <cell r="E5518" t="str">
            <v>Yield</v>
          </cell>
          <cell r="F5518" t="str">
            <v>Other</v>
          </cell>
          <cell r="G5518" t="str">
            <v>Other</v>
          </cell>
          <cell r="H5518" t="str">
            <v>OTHER</v>
          </cell>
          <cell r="I5518" t="str">
            <v>Other - Inflation</v>
          </cell>
        </row>
        <row r="5519">
          <cell r="A5519" t="str">
            <v>SEK_INF_3yr</v>
          </cell>
          <cell r="B5519" t="str">
            <v>SEK INF 3Y</v>
          </cell>
          <cell r="C5519" t="str">
            <v>BRS_GOLD__2_INFLATION:SEK_INF:SEK_INF_3yr</v>
          </cell>
          <cell r="D5519" t="str">
            <v>Inflation Duration</v>
          </cell>
          <cell r="E5519" t="str">
            <v>Yield</v>
          </cell>
          <cell r="F5519" t="str">
            <v>Other</v>
          </cell>
          <cell r="G5519" t="str">
            <v>Other</v>
          </cell>
          <cell r="H5519" t="str">
            <v>OTHER</v>
          </cell>
          <cell r="I5519" t="str">
            <v>Other - Inflation</v>
          </cell>
        </row>
        <row r="5520">
          <cell r="A5520" t="str">
            <v>SEK_INF_5yr</v>
          </cell>
          <cell r="B5520" t="str">
            <v>SEK INF 5Y</v>
          </cell>
          <cell r="C5520" t="str">
            <v>BRS_GOLD__2_INFLATION:SEK_INF:SEK_INF_5yr</v>
          </cell>
          <cell r="D5520" t="str">
            <v>Inflation Duration</v>
          </cell>
          <cell r="E5520" t="str">
            <v>Yield</v>
          </cell>
          <cell r="F5520" t="str">
            <v>Other</v>
          </cell>
          <cell r="G5520" t="str">
            <v>Other</v>
          </cell>
          <cell r="H5520" t="str">
            <v>OTHER</v>
          </cell>
          <cell r="I5520" t="str">
            <v>Other - Inflation</v>
          </cell>
        </row>
        <row r="5521">
          <cell r="A5521" t="str">
            <v>SEK_INF_7yr</v>
          </cell>
          <cell r="B5521" t="str">
            <v>SEK INF 7Y</v>
          </cell>
          <cell r="C5521" t="str">
            <v>BRS_GOLD__2_INFLATION:SEK_INF:SEK_INF_7yr</v>
          </cell>
          <cell r="D5521" t="str">
            <v>Inflation Duration</v>
          </cell>
          <cell r="E5521" t="str">
            <v>Yield</v>
          </cell>
          <cell r="F5521" t="str">
            <v>Other</v>
          </cell>
          <cell r="G5521" t="str">
            <v>Other</v>
          </cell>
          <cell r="H5521" t="str">
            <v>OTHER</v>
          </cell>
          <cell r="I5521" t="str">
            <v>Other - Inflation</v>
          </cell>
        </row>
        <row r="5522">
          <cell r="A5522" t="str">
            <v>SEK_INF_10yr</v>
          </cell>
          <cell r="B5522" t="str">
            <v>SEK INF 10Y</v>
          </cell>
          <cell r="C5522" t="str">
            <v>BRS_GOLD__2_INFLATION:SEK_INF:SEK_INF_10yr</v>
          </cell>
          <cell r="D5522" t="str">
            <v>Inflation Duration</v>
          </cell>
          <cell r="E5522" t="str">
            <v>Yield</v>
          </cell>
          <cell r="F5522" t="str">
            <v>Other</v>
          </cell>
          <cell r="G5522" t="str">
            <v>Other</v>
          </cell>
          <cell r="H5522" t="str">
            <v>OTHER</v>
          </cell>
          <cell r="I5522" t="str">
            <v>Other - Inflation</v>
          </cell>
        </row>
        <row r="5523">
          <cell r="A5523" t="str">
            <v>SEK_INF_15yr</v>
          </cell>
          <cell r="B5523" t="str">
            <v>SEK INF 15Y</v>
          </cell>
          <cell r="C5523" t="str">
            <v>BRS_GOLD__2_INFLATION:SEK_INF:SEK_INF_15yr</v>
          </cell>
          <cell r="D5523" t="str">
            <v>Inflation Duration</v>
          </cell>
          <cell r="E5523" t="str">
            <v>Yield</v>
          </cell>
          <cell r="F5523" t="str">
            <v>Other</v>
          </cell>
          <cell r="G5523" t="str">
            <v>Other</v>
          </cell>
          <cell r="H5523" t="str">
            <v>OTHER</v>
          </cell>
          <cell r="I5523" t="str">
            <v>Other - Inflation</v>
          </cell>
        </row>
        <row r="5524">
          <cell r="A5524" t="str">
            <v>SEK_INF_20yr</v>
          </cell>
          <cell r="B5524" t="str">
            <v>SEK INF 20Y</v>
          </cell>
          <cell r="C5524" t="str">
            <v>BRS_GOLD__2_INFLATION:SEK_INF:SEK_INF_20yr</v>
          </cell>
          <cell r="D5524" t="str">
            <v>Inflation Duration</v>
          </cell>
          <cell r="E5524" t="str">
            <v>Yield</v>
          </cell>
          <cell r="F5524" t="str">
            <v>Other</v>
          </cell>
          <cell r="G5524" t="str">
            <v>Other</v>
          </cell>
          <cell r="H5524" t="str">
            <v>OTHER</v>
          </cell>
          <cell r="I5524" t="str">
            <v>Other - Inflation</v>
          </cell>
        </row>
        <row r="5525">
          <cell r="A5525" t="str">
            <v>SEK_INF_25yr</v>
          </cell>
          <cell r="B5525" t="str">
            <v>SEK INF 25Y</v>
          </cell>
          <cell r="C5525" t="str">
            <v>BRS_GOLD__2_INFLATION:SEK_INF:SEK_INF_25yr</v>
          </cell>
          <cell r="D5525" t="str">
            <v>Inflation Duration</v>
          </cell>
          <cell r="E5525" t="str">
            <v>Yield</v>
          </cell>
          <cell r="F5525" t="str">
            <v>Other</v>
          </cell>
          <cell r="G5525" t="str">
            <v>Other</v>
          </cell>
          <cell r="H5525" t="str">
            <v>OTHER</v>
          </cell>
          <cell r="I5525" t="str">
            <v>Other - Inflation</v>
          </cell>
        </row>
        <row r="5526">
          <cell r="A5526" t="str">
            <v>SEK_INF_30yr</v>
          </cell>
          <cell r="B5526" t="str">
            <v>SEK INF 30Y</v>
          </cell>
          <cell r="C5526" t="str">
            <v>BRS_GOLD__2_INFLATION:SEK_INF:SEK_INF_30yr</v>
          </cell>
          <cell r="D5526" t="str">
            <v>Inflation Duration</v>
          </cell>
          <cell r="E5526" t="str">
            <v>Yield</v>
          </cell>
          <cell r="F5526" t="str">
            <v>Other</v>
          </cell>
          <cell r="G5526" t="str">
            <v>Other</v>
          </cell>
          <cell r="H5526" t="str">
            <v>OTHER</v>
          </cell>
          <cell r="I5526" t="str">
            <v>Other - Inflation</v>
          </cell>
        </row>
        <row r="5527">
          <cell r="A5527" t="str">
            <v>ALL_CPI_3m</v>
          </cell>
          <cell r="B5527" t="str">
            <v>Non$ CPI 3m</v>
          </cell>
          <cell r="C5527" t="str">
            <v>BRS_GOLD__2_INFLATION:ALL_TIPS:ALL_CPI_3m</v>
          </cell>
          <cell r="D5527" t="str">
            <v>Inflation Duration</v>
          </cell>
          <cell r="E5527" t="str">
            <v>Yield</v>
          </cell>
          <cell r="F5527" t="str">
            <v>Other</v>
          </cell>
          <cell r="G5527" t="str">
            <v>Other</v>
          </cell>
          <cell r="H5527" t="str">
            <v>OTHER</v>
          </cell>
          <cell r="I5527" t="str">
            <v>Other - Inflation</v>
          </cell>
        </row>
        <row r="5528">
          <cell r="A5528" t="str">
            <v>ALL_CPI_1yr</v>
          </cell>
          <cell r="B5528" t="str">
            <v>Non$ CPI 1yr</v>
          </cell>
          <cell r="C5528" t="str">
            <v>BRS_GOLD__2_INFLATION:ALL_TIPS:ALL_CPI_1yr</v>
          </cell>
          <cell r="D5528" t="str">
            <v>Inflation Duration</v>
          </cell>
          <cell r="E5528" t="str">
            <v>Yield</v>
          </cell>
          <cell r="F5528" t="str">
            <v>Other</v>
          </cell>
          <cell r="G5528" t="str">
            <v>Other</v>
          </cell>
          <cell r="H5528" t="str">
            <v>OTHER</v>
          </cell>
          <cell r="I5528" t="str">
            <v>Other - Inflation</v>
          </cell>
        </row>
        <row r="5529">
          <cell r="A5529" t="str">
            <v>ALL_CPI_2yr</v>
          </cell>
          <cell r="B5529" t="str">
            <v>Non$ CPI 2yr</v>
          </cell>
          <cell r="C5529" t="str">
            <v>BRS_GOLD__2_INFLATION:ALL_TIPS:ALL_CPI_2yr</v>
          </cell>
          <cell r="D5529" t="str">
            <v>Inflation Duration</v>
          </cell>
          <cell r="E5529" t="str">
            <v>Yield</v>
          </cell>
          <cell r="F5529" t="str">
            <v>Other</v>
          </cell>
          <cell r="G5529" t="str">
            <v>Other</v>
          </cell>
          <cell r="H5529" t="str">
            <v>OTHER</v>
          </cell>
          <cell r="I5529" t="str">
            <v>Other - Inflation</v>
          </cell>
        </row>
        <row r="5530">
          <cell r="A5530" t="str">
            <v>ALL_CPI_3yr</v>
          </cell>
          <cell r="B5530" t="str">
            <v>Non$ CPI 3yr</v>
          </cell>
          <cell r="C5530" t="str">
            <v>BRS_GOLD__2_INFLATION:ALL_TIPS:ALL_CPI_3yr</v>
          </cell>
          <cell r="D5530" t="str">
            <v>Inflation Duration</v>
          </cell>
          <cell r="E5530" t="str">
            <v>Yield</v>
          </cell>
          <cell r="F5530" t="str">
            <v>Other</v>
          </cell>
          <cell r="G5530" t="str">
            <v>Other</v>
          </cell>
          <cell r="H5530" t="str">
            <v>OTHER</v>
          </cell>
          <cell r="I5530" t="str">
            <v>Other - Inflation</v>
          </cell>
        </row>
        <row r="5531">
          <cell r="A5531" t="str">
            <v>ALL_CPI_5yr</v>
          </cell>
          <cell r="B5531" t="str">
            <v>Non$ CPI 5yr</v>
          </cell>
          <cell r="C5531" t="str">
            <v>BRS_GOLD__2_INFLATION:ALL_TIPS:ALL_CPI_5yr</v>
          </cell>
          <cell r="D5531" t="str">
            <v>Inflation Duration</v>
          </cell>
          <cell r="E5531" t="str">
            <v>Yield</v>
          </cell>
          <cell r="F5531" t="str">
            <v>Other</v>
          </cell>
          <cell r="G5531" t="str">
            <v>Other</v>
          </cell>
          <cell r="H5531" t="str">
            <v>OTHER</v>
          </cell>
          <cell r="I5531" t="str">
            <v>Other - Inflation</v>
          </cell>
        </row>
        <row r="5532">
          <cell r="A5532" t="str">
            <v>ALL_CPI_7yr</v>
          </cell>
          <cell r="B5532" t="str">
            <v>Non$ CPI 7yr</v>
          </cell>
          <cell r="C5532" t="str">
            <v>BRS_GOLD__2_INFLATION:ALL_TIPS:ALL_CPI_7yr</v>
          </cell>
          <cell r="D5532" t="str">
            <v>Inflation Duration</v>
          </cell>
          <cell r="E5532" t="str">
            <v>Yield</v>
          </cell>
          <cell r="F5532" t="str">
            <v>Other</v>
          </cell>
          <cell r="G5532" t="str">
            <v>Other</v>
          </cell>
          <cell r="H5532" t="str">
            <v>OTHER</v>
          </cell>
          <cell r="I5532" t="str">
            <v>Other - Inflation</v>
          </cell>
        </row>
        <row r="5533">
          <cell r="A5533" t="str">
            <v>ALL_CPI_10yr</v>
          </cell>
          <cell r="B5533" t="str">
            <v>Non$ CPI 10yr</v>
          </cell>
          <cell r="C5533" t="str">
            <v>BRS_GOLD__2_INFLATION:ALL_TIPS:ALL_CPI_10yr</v>
          </cell>
          <cell r="D5533" t="str">
            <v>Inflation Duration</v>
          </cell>
          <cell r="E5533" t="str">
            <v>Yield</v>
          </cell>
          <cell r="F5533" t="str">
            <v>Other</v>
          </cell>
          <cell r="G5533" t="str">
            <v>Other</v>
          </cell>
          <cell r="H5533" t="str">
            <v>OTHER</v>
          </cell>
          <cell r="I5533" t="str">
            <v>Other - Inflation</v>
          </cell>
        </row>
        <row r="5534">
          <cell r="A5534" t="str">
            <v>ALL_CPI_15yr</v>
          </cell>
          <cell r="B5534" t="str">
            <v>Non$ CPI 15yr</v>
          </cell>
          <cell r="C5534" t="str">
            <v>BRS_GOLD__2_INFLATION:ALL_TIPS:ALL_CPI_15yr</v>
          </cell>
          <cell r="D5534" t="str">
            <v>Inflation Duration</v>
          </cell>
          <cell r="E5534" t="str">
            <v>Yield</v>
          </cell>
          <cell r="F5534" t="str">
            <v>Other</v>
          </cell>
          <cell r="G5534" t="str">
            <v>Other</v>
          </cell>
          <cell r="H5534" t="str">
            <v>OTHER</v>
          </cell>
          <cell r="I5534" t="str">
            <v>Other - Inflation</v>
          </cell>
        </row>
        <row r="5535">
          <cell r="A5535" t="str">
            <v>ALL_CPI_20yr</v>
          </cell>
          <cell r="B5535" t="str">
            <v>Non$ CPI 20yr</v>
          </cell>
          <cell r="C5535" t="str">
            <v>BRS_GOLD__2_INFLATION:ALL_TIPS:ALL_CPI_20yr</v>
          </cell>
          <cell r="D5535" t="str">
            <v>Inflation Duration</v>
          </cell>
          <cell r="E5535" t="str">
            <v>Yield</v>
          </cell>
          <cell r="F5535" t="str">
            <v>Other</v>
          </cell>
          <cell r="G5535" t="str">
            <v>Other</v>
          </cell>
          <cell r="H5535" t="str">
            <v>OTHER</v>
          </cell>
          <cell r="I5535" t="str">
            <v>Other - Inflation</v>
          </cell>
        </row>
        <row r="5536">
          <cell r="A5536" t="str">
            <v>ALL_CPI_25yr</v>
          </cell>
          <cell r="B5536" t="str">
            <v>Non$ CPI 25yr</v>
          </cell>
          <cell r="C5536" t="str">
            <v>BRS_GOLD__2_INFLATION:ALL_TIPS:ALL_CPI_25yr</v>
          </cell>
          <cell r="D5536" t="str">
            <v>Inflation Duration</v>
          </cell>
          <cell r="E5536" t="str">
            <v>Yield</v>
          </cell>
          <cell r="F5536" t="str">
            <v>Other</v>
          </cell>
          <cell r="G5536" t="str">
            <v>Other</v>
          </cell>
          <cell r="H5536" t="str">
            <v>OTHER</v>
          </cell>
          <cell r="I5536" t="str">
            <v>Other - Inflation</v>
          </cell>
        </row>
        <row r="5537">
          <cell r="A5537" t="str">
            <v>ALL_CPI_30yr</v>
          </cell>
          <cell r="B5537" t="str">
            <v>Non$ CPI 30yr</v>
          </cell>
          <cell r="C5537" t="str">
            <v>BRS_GOLD__2_INFLATION:ALL_TIPS:ALL_CPI_30yr</v>
          </cell>
          <cell r="D5537" t="str">
            <v>Inflation Duration</v>
          </cell>
          <cell r="E5537" t="str">
            <v>Yield</v>
          </cell>
          <cell r="F5537" t="str">
            <v>Other</v>
          </cell>
          <cell r="G5537" t="str">
            <v>Other</v>
          </cell>
          <cell r="H5537" t="str">
            <v>OTHER</v>
          </cell>
          <cell r="I5537" t="str">
            <v>Other - Inflation</v>
          </cell>
        </row>
        <row r="5538">
          <cell r="A5538" t="str">
            <v>CLF_INF_3m</v>
          </cell>
          <cell r="B5538" t="str">
            <v>CLF INF 3M</v>
          </cell>
          <cell r="C5538" t="str">
            <v>BRS_GOLD__2_INFLATION:CLF_INF:CLF_INF_3m</v>
          </cell>
          <cell r="D5538" t="str">
            <v>Inflation Duration</v>
          </cell>
          <cell r="E5538" t="str">
            <v>Yield</v>
          </cell>
          <cell r="F5538" t="str">
            <v>Other</v>
          </cell>
          <cell r="G5538" t="str">
            <v>Other</v>
          </cell>
          <cell r="H5538" t="str">
            <v>OTHER</v>
          </cell>
          <cell r="I5538" t="str">
            <v>Other - Inflation</v>
          </cell>
        </row>
        <row r="5539">
          <cell r="A5539" t="str">
            <v>CLF_INF_1yr</v>
          </cell>
          <cell r="B5539" t="str">
            <v>CLF INF 1Y</v>
          </cell>
          <cell r="C5539" t="str">
            <v>BRS_GOLD__2_INFLATION:CLF_INF:CLF_INF_1yr</v>
          </cell>
          <cell r="D5539" t="str">
            <v>Inflation Duration</v>
          </cell>
          <cell r="E5539" t="str">
            <v>Yield</v>
          </cell>
          <cell r="F5539" t="str">
            <v>Other</v>
          </cell>
          <cell r="G5539" t="str">
            <v>Other</v>
          </cell>
          <cell r="H5539" t="str">
            <v>OTHER</v>
          </cell>
          <cell r="I5539" t="str">
            <v>Other - Inflation</v>
          </cell>
        </row>
        <row r="5540">
          <cell r="A5540" t="str">
            <v>CLF_INF_2yr</v>
          </cell>
          <cell r="B5540" t="str">
            <v>CLF INF 2Y</v>
          </cell>
          <cell r="C5540" t="str">
            <v>BRS_GOLD__2_INFLATION:CLF_INF:CLF_INF_2yr</v>
          </cell>
          <cell r="D5540" t="str">
            <v>Inflation Duration</v>
          </cell>
          <cell r="E5540" t="str">
            <v>Yield</v>
          </cell>
          <cell r="F5540" t="str">
            <v>Other</v>
          </cell>
          <cell r="G5540" t="str">
            <v>Other</v>
          </cell>
          <cell r="H5540" t="str">
            <v>OTHER</v>
          </cell>
          <cell r="I5540" t="str">
            <v>Other - Inflation</v>
          </cell>
        </row>
        <row r="5541">
          <cell r="A5541" t="str">
            <v>CLF_INF_3yr</v>
          </cell>
          <cell r="B5541" t="str">
            <v>CLF INF 3Y</v>
          </cell>
          <cell r="C5541" t="str">
            <v>BRS_GOLD__2_INFLATION:CLF_INF:CLF_INF_3yr</v>
          </cell>
          <cell r="D5541" t="str">
            <v>Inflation Duration</v>
          </cell>
          <cell r="E5541" t="str">
            <v>Yield</v>
          </cell>
          <cell r="F5541" t="str">
            <v>Other</v>
          </cell>
          <cell r="G5541" t="str">
            <v>Other</v>
          </cell>
          <cell r="H5541" t="str">
            <v>OTHER</v>
          </cell>
          <cell r="I5541" t="str">
            <v>Other - Inflation</v>
          </cell>
        </row>
        <row r="5542">
          <cell r="A5542" t="str">
            <v>CLF_INF_5yr</v>
          </cell>
          <cell r="B5542" t="str">
            <v>CLF INF 5Y</v>
          </cell>
          <cell r="C5542" t="str">
            <v>BRS_GOLD__2_INFLATION:CLF_INF:CLF_INF_5yr</v>
          </cell>
          <cell r="D5542" t="str">
            <v>Inflation Duration</v>
          </cell>
          <cell r="E5542" t="str">
            <v>Yield</v>
          </cell>
          <cell r="F5542" t="str">
            <v>Other</v>
          </cell>
          <cell r="G5542" t="str">
            <v>Other</v>
          </cell>
          <cell r="H5542" t="str">
            <v>OTHER</v>
          </cell>
          <cell r="I5542" t="str">
            <v>Other - Inflation</v>
          </cell>
        </row>
        <row r="5543">
          <cell r="A5543" t="str">
            <v>CLF_INF_7yr</v>
          </cell>
          <cell r="B5543" t="str">
            <v>CLF INF 7Y</v>
          </cell>
          <cell r="C5543" t="str">
            <v>BRS_GOLD__2_INFLATION:CLF_INF:CLF_INF_7yr</v>
          </cell>
          <cell r="D5543" t="str">
            <v>Inflation Duration</v>
          </cell>
          <cell r="E5543" t="str">
            <v>Yield</v>
          </cell>
          <cell r="F5543" t="str">
            <v>Other</v>
          </cell>
          <cell r="G5543" t="str">
            <v>Other</v>
          </cell>
          <cell r="H5543" t="str">
            <v>OTHER</v>
          </cell>
          <cell r="I5543" t="str">
            <v>Other - Inflation</v>
          </cell>
        </row>
        <row r="5544">
          <cell r="A5544" t="str">
            <v>CLF_INF_10yr</v>
          </cell>
          <cell r="B5544" t="str">
            <v>CLF INF 10Y</v>
          </cell>
          <cell r="C5544" t="str">
            <v>BRS_GOLD__2_INFLATION:CLF_INF:CLF_INF_10yr</v>
          </cell>
          <cell r="D5544" t="str">
            <v>Inflation Duration</v>
          </cell>
          <cell r="E5544" t="str">
            <v>Yield</v>
          </cell>
          <cell r="F5544" t="str">
            <v>Other</v>
          </cell>
          <cell r="G5544" t="str">
            <v>Other</v>
          </cell>
          <cell r="H5544" t="str">
            <v>OTHER</v>
          </cell>
          <cell r="I5544" t="str">
            <v>Other - Inflation</v>
          </cell>
        </row>
        <row r="5545">
          <cell r="A5545" t="str">
            <v>CLF_INF_15yr</v>
          </cell>
          <cell r="B5545" t="str">
            <v>CLF INF 15Y</v>
          </cell>
          <cell r="C5545" t="str">
            <v>BRS_GOLD__2_INFLATION:CLF_INF:CLF_INF_15yr</v>
          </cell>
          <cell r="D5545" t="str">
            <v>Inflation Duration</v>
          </cell>
          <cell r="E5545" t="str">
            <v>Yield</v>
          </cell>
          <cell r="F5545" t="str">
            <v>Other</v>
          </cell>
          <cell r="G5545" t="str">
            <v>Other</v>
          </cell>
          <cell r="H5545" t="str">
            <v>OTHER</v>
          </cell>
          <cell r="I5545" t="str">
            <v>Other - Inflation</v>
          </cell>
        </row>
        <row r="5546">
          <cell r="A5546" t="str">
            <v>CLF_INF_20yr</v>
          </cell>
          <cell r="B5546" t="str">
            <v>CLF INF 20Y</v>
          </cell>
          <cell r="C5546" t="str">
            <v>BRS_GOLD__2_INFLATION:CLF_INF:CLF_INF_20yr</v>
          </cell>
          <cell r="D5546" t="str">
            <v>Inflation Duration</v>
          </cell>
          <cell r="E5546" t="str">
            <v>Yield</v>
          </cell>
          <cell r="F5546" t="str">
            <v>Other</v>
          </cell>
          <cell r="G5546" t="str">
            <v>Other</v>
          </cell>
          <cell r="H5546" t="str">
            <v>OTHER</v>
          </cell>
          <cell r="I5546" t="str">
            <v>Other - Inflation</v>
          </cell>
        </row>
        <row r="5547">
          <cell r="A5547" t="str">
            <v>CLF_INF_25yr</v>
          </cell>
          <cell r="B5547" t="str">
            <v>CLF INF 25Y</v>
          </cell>
          <cell r="C5547" t="str">
            <v>BRS_GOLD__2_INFLATION:CLF_INF:CLF_INF_25yr</v>
          </cell>
          <cell r="D5547" t="str">
            <v>Inflation Duration</v>
          </cell>
          <cell r="E5547" t="str">
            <v>Yield</v>
          </cell>
          <cell r="F5547" t="str">
            <v>Other</v>
          </cell>
          <cell r="G5547" t="str">
            <v>Other</v>
          </cell>
          <cell r="H5547" t="str">
            <v>OTHER</v>
          </cell>
          <cell r="I5547" t="str">
            <v>Other - Inflation</v>
          </cell>
        </row>
        <row r="5548">
          <cell r="A5548" t="str">
            <v>CLF_INF_30yr</v>
          </cell>
          <cell r="B5548" t="str">
            <v>CLF INF 30Y</v>
          </cell>
          <cell r="C5548" t="str">
            <v>BRS_GOLD__2_INFLATION:CLF_INF:CLF_INF_30yr</v>
          </cell>
          <cell r="D5548" t="str">
            <v>Inflation Duration</v>
          </cell>
          <cell r="E5548" t="str">
            <v>Yield</v>
          </cell>
          <cell r="F5548" t="str">
            <v>Other</v>
          </cell>
          <cell r="G5548" t="str">
            <v>Other</v>
          </cell>
          <cell r="H5548" t="str">
            <v>OTHER</v>
          </cell>
          <cell r="I5548" t="str">
            <v>Other - Inflation</v>
          </cell>
        </row>
        <row r="5549">
          <cell r="A5549" t="str">
            <v>CLP_INF_3m</v>
          </cell>
          <cell r="B5549" t="str">
            <v>CLP INF 3M</v>
          </cell>
          <cell r="C5549" t="str">
            <v>BRS_GOLD__2_INFLATION:CLP_INF:CLP_INF_3m</v>
          </cell>
          <cell r="D5549" t="str">
            <v>Inflation Duration</v>
          </cell>
          <cell r="E5549" t="str">
            <v>Yield</v>
          </cell>
          <cell r="F5549" t="str">
            <v>Other</v>
          </cell>
          <cell r="G5549" t="str">
            <v>Other</v>
          </cell>
          <cell r="H5549" t="str">
            <v>OTHER</v>
          </cell>
          <cell r="I5549" t="str">
            <v>Other - Inflation</v>
          </cell>
        </row>
        <row r="5550">
          <cell r="A5550" t="str">
            <v>CLP_INF_1yr</v>
          </cell>
          <cell r="B5550" t="str">
            <v>CLP INF 1Y</v>
          </cell>
          <cell r="C5550" t="str">
            <v>BRS_GOLD__2_INFLATION:CLP_INF:CLP_INF_1yr</v>
          </cell>
          <cell r="D5550" t="str">
            <v>Inflation Duration</v>
          </cell>
          <cell r="E5550" t="str">
            <v>Yield</v>
          </cell>
          <cell r="F5550" t="str">
            <v>Other</v>
          </cell>
          <cell r="G5550" t="str">
            <v>Other</v>
          </cell>
          <cell r="H5550" t="str">
            <v>OTHER</v>
          </cell>
          <cell r="I5550" t="str">
            <v>Other - Inflation</v>
          </cell>
        </row>
        <row r="5551">
          <cell r="A5551" t="str">
            <v>CLP_INF_2yr</v>
          </cell>
          <cell r="B5551" t="str">
            <v>CLP INF 2Y</v>
          </cell>
          <cell r="C5551" t="str">
            <v>BRS_GOLD__2_INFLATION:CLP_INF:CLP_INF_2yr</v>
          </cell>
          <cell r="D5551" t="str">
            <v>Inflation Duration</v>
          </cell>
          <cell r="E5551" t="str">
            <v>Yield</v>
          </cell>
          <cell r="F5551" t="str">
            <v>Other</v>
          </cell>
          <cell r="G5551" t="str">
            <v>Other</v>
          </cell>
          <cell r="H5551" t="str">
            <v>OTHER</v>
          </cell>
          <cell r="I5551" t="str">
            <v>Other - Inflation</v>
          </cell>
        </row>
        <row r="5552">
          <cell r="A5552" t="str">
            <v>CLP_INF_3yr</v>
          </cell>
          <cell r="B5552" t="str">
            <v>CLP INF 3Y</v>
          </cell>
          <cell r="C5552" t="str">
            <v>BRS_GOLD__2_INFLATION:CLP_INF:CLP_INF_3yr</v>
          </cell>
          <cell r="D5552" t="str">
            <v>Inflation Duration</v>
          </cell>
          <cell r="E5552" t="str">
            <v>Yield</v>
          </cell>
          <cell r="F5552" t="str">
            <v>Other</v>
          </cell>
          <cell r="G5552" t="str">
            <v>Other</v>
          </cell>
          <cell r="H5552" t="str">
            <v>OTHER</v>
          </cell>
          <cell r="I5552" t="str">
            <v>Other - Inflation</v>
          </cell>
        </row>
        <row r="5553">
          <cell r="A5553" t="str">
            <v>CLP_INF_5yr</v>
          </cell>
          <cell r="B5553" t="str">
            <v>CLP INF 5Y</v>
          </cell>
          <cell r="C5553" t="str">
            <v>BRS_GOLD__2_INFLATION:CLP_INF:CLP_INF_5yr</v>
          </cell>
          <cell r="D5553" t="str">
            <v>Inflation Duration</v>
          </cell>
          <cell r="E5553" t="str">
            <v>Yield</v>
          </cell>
          <cell r="F5553" t="str">
            <v>Other</v>
          </cell>
          <cell r="G5553" t="str">
            <v>Other</v>
          </cell>
          <cell r="H5553" t="str">
            <v>OTHER</v>
          </cell>
          <cell r="I5553" t="str">
            <v>Other - Inflation</v>
          </cell>
        </row>
        <row r="5554">
          <cell r="A5554" t="str">
            <v>CLP_INF_7yr</v>
          </cell>
          <cell r="B5554" t="str">
            <v>CLP INF 7Y</v>
          </cell>
          <cell r="C5554" t="str">
            <v>BRS_GOLD__2_INFLATION:CLP_INF:CLP_INF_7yr</v>
          </cell>
          <cell r="D5554" t="str">
            <v>Inflation Duration</v>
          </cell>
          <cell r="E5554" t="str">
            <v>Yield</v>
          </cell>
          <cell r="F5554" t="str">
            <v>Other</v>
          </cell>
          <cell r="G5554" t="str">
            <v>Other</v>
          </cell>
          <cell r="H5554" t="str">
            <v>OTHER</v>
          </cell>
          <cell r="I5554" t="str">
            <v>Other - Inflation</v>
          </cell>
        </row>
        <row r="5555">
          <cell r="A5555" t="str">
            <v>CLP_INF_10yr</v>
          </cell>
          <cell r="B5555" t="str">
            <v>CLP INF 10Y</v>
          </cell>
          <cell r="C5555" t="str">
            <v>BRS_GOLD__2_INFLATION:CLP_INF:CLP_INF_10yr</v>
          </cell>
          <cell r="D5555" t="str">
            <v>Inflation Duration</v>
          </cell>
          <cell r="E5555" t="str">
            <v>Yield</v>
          </cell>
          <cell r="F5555" t="str">
            <v>Other</v>
          </cell>
          <cell r="G5555" t="str">
            <v>Other</v>
          </cell>
          <cell r="H5555" t="str">
            <v>OTHER</v>
          </cell>
          <cell r="I5555" t="str">
            <v>Other - Inflation</v>
          </cell>
        </row>
        <row r="5556">
          <cell r="A5556" t="str">
            <v>CLP_INF_15yr</v>
          </cell>
          <cell r="B5556" t="str">
            <v>CLP INF 15Y</v>
          </cell>
          <cell r="C5556" t="str">
            <v>BRS_GOLD__2_INFLATION:CLP_INF:CLP_INF_15yr</v>
          </cell>
          <cell r="D5556" t="str">
            <v>Inflation Duration</v>
          </cell>
          <cell r="E5556" t="str">
            <v>Yield</v>
          </cell>
          <cell r="F5556" t="str">
            <v>Other</v>
          </cell>
          <cell r="G5556" t="str">
            <v>Other</v>
          </cell>
          <cell r="H5556" t="str">
            <v>OTHER</v>
          </cell>
          <cell r="I5556" t="str">
            <v>Other - Inflation</v>
          </cell>
        </row>
        <row r="5557">
          <cell r="A5557" t="str">
            <v>CLP_INF_20yr</v>
          </cell>
          <cell r="B5557" t="str">
            <v>CLP INF 20Y</v>
          </cell>
          <cell r="C5557" t="str">
            <v>BRS_GOLD__2_INFLATION:CLP_INF:CLP_INF_20yr</v>
          </cell>
          <cell r="D5557" t="str">
            <v>Inflation Duration</v>
          </cell>
          <cell r="E5557" t="str">
            <v>Yield</v>
          </cell>
          <cell r="F5557" t="str">
            <v>Other</v>
          </cell>
          <cell r="G5557" t="str">
            <v>Other</v>
          </cell>
          <cell r="H5557" t="str">
            <v>OTHER</v>
          </cell>
          <cell r="I5557" t="str">
            <v>Other - Inflation</v>
          </cell>
        </row>
        <row r="5558">
          <cell r="A5558" t="str">
            <v>CLP_INF_25yr</v>
          </cell>
          <cell r="B5558" t="str">
            <v>CLP INF 25Y</v>
          </cell>
          <cell r="C5558" t="str">
            <v>BRS_GOLD__2_INFLATION:CLP_INF:CLP_INF_25yr</v>
          </cell>
          <cell r="D5558" t="str">
            <v>Inflation Duration</v>
          </cell>
          <cell r="E5558" t="str">
            <v>Yield</v>
          </cell>
          <cell r="F5558" t="str">
            <v>Other</v>
          </cell>
          <cell r="G5558" t="str">
            <v>Other</v>
          </cell>
          <cell r="H5558" t="str">
            <v>OTHER</v>
          </cell>
          <cell r="I5558" t="str">
            <v>Other - Inflation</v>
          </cell>
        </row>
        <row r="5559">
          <cell r="A5559" t="str">
            <v>CLP_INF_30yr</v>
          </cell>
          <cell r="B5559" t="str">
            <v>CLP INF 30Y</v>
          </cell>
          <cell r="C5559" t="str">
            <v>BRS_GOLD__2_INFLATION:CLP_INF:CLP_INF_30yr</v>
          </cell>
          <cell r="D5559" t="str">
            <v>Inflation Duration</v>
          </cell>
          <cell r="E5559" t="str">
            <v>Yield</v>
          </cell>
          <cell r="F5559" t="str">
            <v>Other</v>
          </cell>
          <cell r="G5559" t="str">
            <v>Other</v>
          </cell>
          <cell r="H5559" t="str">
            <v>OTHER</v>
          </cell>
          <cell r="I5559" t="str">
            <v>Other - Inflation</v>
          </cell>
        </row>
        <row r="5560">
          <cell r="A5560" t="str">
            <v>ILS_INF_3m</v>
          </cell>
          <cell r="B5560" t="str">
            <v>ILS INF 3M</v>
          </cell>
          <cell r="C5560" t="str">
            <v>BRS_GOLD__2_INFLATION:ILS_INF:ILS_INF_3m</v>
          </cell>
          <cell r="D5560" t="str">
            <v>Inflation Duration</v>
          </cell>
          <cell r="E5560" t="str">
            <v>Yield</v>
          </cell>
          <cell r="F5560" t="str">
            <v>Other</v>
          </cell>
          <cell r="G5560" t="str">
            <v>Other</v>
          </cell>
          <cell r="H5560" t="str">
            <v>OTHER</v>
          </cell>
          <cell r="I5560" t="str">
            <v>Other - Inflation</v>
          </cell>
        </row>
        <row r="5561">
          <cell r="A5561" t="str">
            <v>ILS_INF_1yr</v>
          </cell>
          <cell r="B5561" t="str">
            <v>ILS INF 1Y</v>
          </cell>
          <cell r="C5561" t="str">
            <v>BRS_GOLD__2_INFLATION:ILS_INF:ILS_INF_1yr</v>
          </cell>
          <cell r="D5561" t="str">
            <v>Inflation Duration</v>
          </cell>
          <cell r="E5561" t="str">
            <v>Yield</v>
          </cell>
          <cell r="F5561" t="str">
            <v>Other</v>
          </cell>
          <cell r="G5561" t="str">
            <v>Other</v>
          </cell>
          <cell r="H5561" t="str">
            <v>OTHER</v>
          </cell>
          <cell r="I5561" t="str">
            <v>Other - Inflation</v>
          </cell>
        </row>
        <row r="5562">
          <cell r="A5562" t="str">
            <v>ILS_INF_2yr</v>
          </cell>
          <cell r="B5562" t="str">
            <v>ILS INF 2Y</v>
          </cell>
          <cell r="C5562" t="str">
            <v>BRS_GOLD__2_INFLATION:ILS_INF:ILS_INF_2yr</v>
          </cell>
          <cell r="D5562" t="str">
            <v>Inflation Duration</v>
          </cell>
          <cell r="E5562" t="str">
            <v>Yield</v>
          </cell>
          <cell r="F5562" t="str">
            <v>Other</v>
          </cell>
          <cell r="G5562" t="str">
            <v>Other</v>
          </cell>
          <cell r="H5562" t="str">
            <v>OTHER</v>
          </cell>
          <cell r="I5562" t="str">
            <v>Other - Inflation</v>
          </cell>
        </row>
        <row r="5563">
          <cell r="A5563" t="str">
            <v>ILS_INF_3yr</v>
          </cell>
          <cell r="B5563" t="str">
            <v>ILS INF 3Y</v>
          </cell>
          <cell r="C5563" t="str">
            <v>BRS_GOLD__2_INFLATION:ILS_INF:ILS_INF_3yr</v>
          </cell>
          <cell r="D5563" t="str">
            <v>Inflation Duration</v>
          </cell>
          <cell r="E5563" t="str">
            <v>Yield</v>
          </cell>
          <cell r="F5563" t="str">
            <v>Other</v>
          </cell>
          <cell r="G5563" t="str">
            <v>Other</v>
          </cell>
          <cell r="H5563" t="str">
            <v>OTHER</v>
          </cell>
          <cell r="I5563" t="str">
            <v>Other - Inflation</v>
          </cell>
        </row>
        <row r="5564">
          <cell r="A5564" t="str">
            <v>ILS_INF_5yr</v>
          </cell>
          <cell r="B5564" t="str">
            <v>ILS INF 5Y</v>
          </cell>
          <cell r="C5564" t="str">
            <v>BRS_GOLD__2_INFLATION:ILS_INF:ILS_INF_5yr</v>
          </cell>
          <cell r="D5564" t="str">
            <v>Inflation Duration</v>
          </cell>
          <cell r="E5564" t="str">
            <v>Yield</v>
          </cell>
          <cell r="F5564" t="str">
            <v>Other</v>
          </cell>
          <cell r="G5564" t="str">
            <v>Other</v>
          </cell>
          <cell r="H5564" t="str">
            <v>OTHER</v>
          </cell>
          <cell r="I5564" t="str">
            <v>Other - Inflation</v>
          </cell>
        </row>
        <row r="5565">
          <cell r="A5565" t="str">
            <v>ILS_INF_7yr</v>
          </cell>
          <cell r="B5565" t="str">
            <v>ILS INF 7Y</v>
          </cell>
          <cell r="C5565" t="str">
            <v>BRS_GOLD__2_INFLATION:ILS_INF:ILS_INF_7yr</v>
          </cell>
          <cell r="D5565" t="str">
            <v>Inflation Duration</v>
          </cell>
          <cell r="E5565" t="str">
            <v>Yield</v>
          </cell>
          <cell r="F5565" t="str">
            <v>Other</v>
          </cell>
          <cell r="G5565" t="str">
            <v>Other</v>
          </cell>
          <cell r="H5565" t="str">
            <v>OTHER</v>
          </cell>
          <cell r="I5565" t="str">
            <v>Other - Inflation</v>
          </cell>
        </row>
        <row r="5566">
          <cell r="A5566" t="str">
            <v>ILS_INF_10yr</v>
          </cell>
          <cell r="B5566" t="str">
            <v>ILS INF 10Y</v>
          </cell>
          <cell r="C5566" t="str">
            <v>BRS_GOLD__2_INFLATION:ILS_INF:ILS_INF_10yr</v>
          </cell>
          <cell r="D5566" t="str">
            <v>Inflation Duration</v>
          </cell>
          <cell r="E5566" t="str">
            <v>Yield</v>
          </cell>
          <cell r="F5566" t="str">
            <v>Other</v>
          </cell>
          <cell r="G5566" t="str">
            <v>Other</v>
          </cell>
          <cell r="H5566" t="str">
            <v>OTHER</v>
          </cell>
          <cell r="I5566" t="str">
            <v>Other - Inflation</v>
          </cell>
        </row>
        <row r="5567">
          <cell r="A5567" t="str">
            <v>ILS_INF_15yr</v>
          </cell>
          <cell r="B5567" t="str">
            <v>ILS INF 15Y</v>
          </cell>
          <cell r="C5567" t="str">
            <v>BRS_GOLD__2_INFLATION:ILS_INF:ILS_INF_15yr</v>
          </cell>
          <cell r="D5567" t="str">
            <v>Inflation Duration</v>
          </cell>
          <cell r="E5567" t="str">
            <v>Yield</v>
          </cell>
          <cell r="F5567" t="str">
            <v>Other</v>
          </cell>
          <cell r="G5567" t="str">
            <v>Other</v>
          </cell>
          <cell r="H5567" t="str">
            <v>OTHER</v>
          </cell>
          <cell r="I5567" t="str">
            <v>Other - Inflation</v>
          </cell>
        </row>
        <row r="5568">
          <cell r="A5568" t="str">
            <v>ILS_INF_20yr</v>
          </cell>
          <cell r="B5568" t="str">
            <v>ILS INF 20Y</v>
          </cell>
          <cell r="C5568" t="str">
            <v>BRS_GOLD__2_INFLATION:ILS_INF:ILS_INF_20yr</v>
          </cell>
          <cell r="D5568" t="str">
            <v>Inflation Duration</v>
          </cell>
          <cell r="E5568" t="str">
            <v>Yield</v>
          </cell>
          <cell r="F5568" t="str">
            <v>Other</v>
          </cell>
          <cell r="G5568" t="str">
            <v>Other</v>
          </cell>
          <cell r="H5568" t="str">
            <v>OTHER</v>
          </cell>
          <cell r="I5568" t="str">
            <v>Other - Inflation</v>
          </cell>
        </row>
        <row r="5569">
          <cell r="A5569" t="str">
            <v>ILS_INF_25yr</v>
          </cell>
          <cell r="B5569" t="str">
            <v>ILS INF 25Y</v>
          </cell>
          <cell r="C5569" t="str">
            <v>BRS_GOLD__2_INFLATION:ILS_INF:ILS_INF_25yr</v>
          </cell>
          <cell r="D5569" t="str">
            <v>Inflation Duration</v>
          </cell>
          <cell r="E5569" t="str">
            <v>Yield</v>
          </cell>
          <cell r="F5569" t="str">
            <v>Other</v>
          </cell>
          <cell r="G5569" t="str">
            <v>Other</v>
          </cell>
          <cell r="H5569" t="str">
            <v>OTHER</v>
          </cell>
          <cell r="I5569" t="str">
            <v>Other - Inflation</v>
          </cell>
        </row>
        <row r="5570">
          <cell r="A5570" t="str">
            <v>ILS_INF_30yr</v>
          </cell>
          <cell r="B5570" t="str">
            <v>ILS INF 30Y</v>
          </cell>
          <cell r="C5570" t="str">
            <v>BRS_GOLD__2_INFLATION:ILS_INF:ILS_INF_30yr</v>
          </cell>
          <cell r="D5570" t="str">
            <v>Inflation Duration</v>
          </cell>
          <cell r="E5570" t="str">
            <v>Yield</v>
          </cell>
          <cell r="F5570" t="str">
            <v>Other</v>
          </cell>
          <cell r="G5570" t="str">
            <v>Other</v>
          </cell>
          <cell r="H5570" t="str">
            <v>OTHER</v>
          </cell>
          <cell r="I5570" t="str">
            <v>Other - Inflation</v>
          </cell>
        </row>
        <row r="5571">
          <cell r="A5571" t="str">
            <v>KRW_INF_3m</v>
          </cell>
          <cell r="B5571" t="str">
            <v>KRW INF 3M</v>
          </cell>
          <cell r="C5571" t="str">
            <v>BRS_GOLD__2_INFLATION:KRW_INF:KRW_INF_3m</v>
          </cell>
          <cell r="D5571" t="str">
            <v>Inflation Duration</v>
          </cell>
          <cell r="E5571" t="str">
            <v>Yield</v>
          </cell>
          <cell r="F5571" t="str">
            <v>Other</v>
          </cell>
          <cell r="G5571" t="str">
            <v>Other</v>
          </cell>
          <cell r="H5571" t="str">
            <v>OTHER</v>
          </cell>
          <cell r="I5571" t="str">
            <v>Other - Inflation</v>
          </cell>
        </row>
        <row r="5572">
          <cell r="A5572" t="str">
            <v>KRW_INF_1yr</v>
          </cell>
          <cell r="B5572" t="str">
            <v>KRW INF 1Y</v>
          </cell>
          <cell r="C5572" t="str">
            <v>BRS_GOLD__2_INFLATION:KRW_INF:KRW_INF_1yr</v>
          </cell>
          <cell r="D5572" t="str">
            <v>Inflation Duration</v>
          </cell>
          <cell r="E5572" t="str">
            <v>Yield</v>
          </cell>
          <cell r="F5572" t="str">
            <v>Other</v>
          </cell>
          <cell r="G5572" t="str">
            <v>Other</v>
          </cell>
          <cell r="H5572" t="str">
            <v>OTHER</v>
          </cell>
          <cell r="I5572" t="str">
            <v>Other - Inflation</v>
          </cell>
        </row>
        <row r="5573">
          <cell r="A5573" t="str">
            <v>KRW_INF_2yr</v>
          </cell>
          <cell r="B5573" t="str">
            <v>KRW INF 2Y</v>
          </cell>
          <cell r="C5573" t="str">
            <v>BRS_GOLD__2_INFLATION:KRW_INF:KRW_INF_2yr</v>
          </cell>
          <cell r="D5573" t="str">
            <v>Inflation Duration</v>
          </cell>
          <cell r="E5573" t="str">
            <v>Yield</v>
          </cell>
          <cell r="F5573" t="str">
            <v>Other</v>
          </cell>
          <cell r="G5573" t="str">
            <v>Other</v>
          </cell>
          <cell r="H5573" t="str">
            <v>OTHER</v>
          </cell>
          <cell r="I5573" t="str">
            <v>Other - Inflation</v>
          </cell>
        </row>
        <row r="5574">
          <cell r="A5574" t="str">
            <v>KRW_INF_3yr</v>
          </cell>
          <cell r="B5574" t="str">
            <v>KRW INF 3Y</v>
          </cell>
          <cell r="C5574" t="str">
            <v>BRS_GOLD__2_INFLATION:KRW_INF:KRW_INF_3yr</v>
          </cell>
          <cell r="D5574" t="str">
            <v>Inflation Duration</v>
          </cell>
          <cell r="E5574" t="str">
            <v>Yield</v>
          </cell>
          <cell r="F5574" t="str">
            <v>Other</v>
          </cell>
          <cell r="G5574" t="str">
            <v>Other</v>
          </cell>
          <cell r="H5574" t="str">
            <v>OTHER</v>
          </cell>
          <cell r="I5574" t="str">
            <v>Other - Inflation</v>
          </cell>
        </row>
        <row r="5575">
          <cell r="A5575" t="str">
            <v>KRW_INF_5yr</v>
          </cell>
          <cell r="B5575" t="str">
            <v>KRW INF 5Y</v>
          </cell>
          <cell r="C5575" t="str">
            <v>BRS_GOLD__2_INFLATION:KRW_INF:KRW_INF_5yr</v>
          </cell>
          <cell r="D5575" t="str">
            <v>Inflation Duration</v>
          </cell>
          <cell r="E5575" t="str">
            <v>Yield</v>
          </cell>
          <cell r="F5575" t="str">
            <v>Other</v>
          </cell>
          <cell r="G5575" t="str">
            <v>Other</v>
          </cell>
          <cell r="H5575" t="str">
            <v>OTHER</v>
          </cell>
          <cell r="I5575" t="str">
            <v>Other - Inflation</v>
          </cell>
        </row>
        <row r="5576">
          <cell r="A5576" t="str">
            <v>KRW_INF_7yr</v>
          </cell>
          <cell r="B5576" t="str">
            <v>KRW INF 7Y</v>
          </cell>
          <cell r="C5576" t="str">
            <v>BRS_GOLD__2_INFLATION:KRW_INF:KRW_INF_7yr</v>
          </cell>
          <cell r="D5576" t="str">
            <v>Inflation Duration</v>
          </cell>
          <cell r="E5576" t="str">
            <v>Yield</v>
          </cell>
          <cell r="F5576" t="str">
            <v>Other</v>
          </cell>
          <cell r="G5576" t="str">
            <v>Other</v>
          </cell>
          <cell r="H5576" t="str">
            <v>OTHER</v>
          </cell>
          <cell r="I5576" t="str">
            <v>Other - Inflation</v>
          </cell>
        </row>
        <row r="5577">
          <cell r="A5577" t="str">
            <v>KRW_INF_10yr</v>
          </cell>
          <cell r="B5577" t="str">
            <v>KRW INF 10Y</v>
          </cell>
          <cell r="C5577" t="str">
            <v>BRS_GOLD__2_INFLATION:KRW_INF:KRW_INF_10yr</v>
          </cell>
          <cell r="D5577" t="str">
            <v>Inflation Duration</v>
          </cell>
          <cell r="E5577" t="str">
            <v>Yield</v>
          </cell>
          <cell r="F5577" t="str">
            <v>Other</v>
          </cell>
          <cell r="G5577" t="str">
            <v>Other</v>
          </cell>
          <cell r="H5577" t="str">
            <v>OTHER</v>
          </cell>
          <cell r="I5577" t="str">
            <v>Other - Inflation</v>
          </cell>
        </row>
        <row r="5578">
          <cell r="A5578" t="str">
            <v>KRW_INF_15yr</v>
          </cell>
          <cell r="B5578" t="str">
            <v>KRW INF 15Y</v>
          </cell>
          <cell r="C5578" t="str">
            <v>BRS_GOLD__2_INFLATION:KRW_INF:KRW_INF_15yr</v>
          </cell>
          <cell r="D5578" t="str">
            <v>Inflation Duration</v>
          </cell>
          <cell r="E5578" t="str">
            <v>Yield</v>
          </cell>
          <cell r="F5578" t="str">
            <v>Other</v>
          </cell>
          <cell r="G5578" t="str">
            <v>Other</v>
          </cell>
          <cell r="H5578" t="str">
            <v>OTHER</v>
          </cell>
          <cell r="I5578" t="str">
            <v>Other - Inflation</v>
          </cell>
        </row>
        <row r="5579">
          <cell r="A5579" t="str">
            <v>KRW_INF_20yr</v>
          </cell>
          <cell r="B5579" t="str">
            <v>KRW INF 20Y</v>
          </cell>
          <cell r="C5579" t="str">
            <v>BRS_GOLD__2_INFLATION:KRW_INF:KRW_INF_20yr</v>
          </cell>
          <cell r="D5579" t="str">
            <v>Inflation Duration</v>
          </cell>
          <cell r="E5579" t="str">
            <v>Yield</v>
          </cell>
          <cell r="F5579" t="str">
            <v>Other</v>
          </cell>
          <cell r="G5579" t="str">
            <v>Other</v>
          </cell>
          <cell r="H5579" t="str">
            <v>OTHER</v>
          </cell>
          <cell r="I5579" t="str">
            <v>Other - Inflation</v>
          </cell>
        </row>
        <row r="5580">
          <cell r="A5580" t="str">
            <v>KRW_INF_25yr</v>
          </cell>
          <cell r="B5580" t="str">
            <v>KRW INF 25Y</v>
          </cell>
          <cell r="C5580" t="str">
            <v>BRS_GOLD__2_INFLATION:KRW_INF:KRW_INF_25yr</v>
          </cell>
          <cell r="D5580" t="str">
            <v>Inflation Duration</v>
          </cell>
          <cell r="E5580" t="str">
            <v>Yield</v>
          </cell>
          <cell r="F5580" t="str">
            <v>Other</v>
          </cell>
          <cell r="G5580" t="str">
            <v>Other</v>
          </cell>
          <cell r="H5580" t="str">
            <v>OTHER</v>
          </cell>
          <cell r="I5580" t="str">
            <v>Other - Inflation</v>
          </cell>
        </row>
        <row r="5581">
          <cell r="A5581" t="str">
            <v>KRW_INF_30yr</v>
          </cell>
          <cell r="B5581" t="str">
            <v>KRW INF 30Y</v>
          </cell>
          <cell r="C5581" t="str">
            <v>BRS_GOLD__2_INFLATION:KRW_INF:KRW_INF_30yr</v>
          </cell>
          <cell r="D5581" t="str">
            <v>Inflation Duration</v>
          </cell>
          <cell r="E5581" t="str">
            <v>Yield</v>
          </cell>
          <cell r="F5581" t="str">
            <v>Other</v>
          </cell>
          <cell r="G5581" t="str">
            <v>Other</v>
          </cell>
          <cell r="H5581" t="str">
            <v>OTHER</v>
          </cell>
          <cell r="I5581" t="str">
            <v>Other - Inflation</v>
          </cell>
        </row>
        <row r="5582">
          <cell r="A5582" t="str">
            <v>PLN_INF_3m</v>
          </cell>
          <cell r="B5582" t="str">
            <v>PLN INF 3M</v>
          </cell>
          <cell r="C5582" t="str">
            <v>BRS_GOLD__2_INFLATION:PLN_INF:PLN_INF_3m</v>
          </cell>
          <cell r="D5582" t="str">
            <v>Inflation Duration</v>
          </cell>
          <cell r="E5582" t="str">
            <v>Yield</v>
          </cell>
          <cell r="F5582" t="str">
            <v>Other</v>
          </cell>
          <cell r="G5582" t="str">
            <v>Other</v>
          </cell>
          <cell r="H5582" t="str">
            <v>OTHER</v>
          </cell>
          <cell r="I5582" t="str">
            <v>Other - Inflation</v>
          </cell>
        </row>
        <row r="5583">
          <cell r="A5583" t="str">
            <v>PLN_INF_1yr</v>
          </cell>
          <cell r="B5583" t="str">
            <v>PLN INF 1Y</v>
          </cell>
          <cell r="C5583" t="str">
            <v>BRS_GOLD__2_INFLATION:PLN_INF:PLN_INF_1yr</v>
          </cell>
          <cell r="D5583" t="str">
            <v>Inflation Duration</v>
          </cell>
          <cell r="E5583" t="str">
            <v>Yield</v>
          </cell>
          <cell r="F5583" t="str">
            <v>Other</v>
          </cell>
          <cell r="G5583" t="str">
            <v>Other</v>
          </cell>
          <cell r="H5583" t="str">
            <v>OTHER</v>
          </cell>
          <cell r="I5583" t="str">
            <v>Other - Inflation</v>
          </cell>
        </row>
        <row r="5584">
          <cell r="A5584" t="str">
            <v>PLN_INF_2yr</v>
          </cell>
          <cell r="B5584" t="str">
            <v>PLN INF 2Y</v>
          </cell>
          <cell r="C5584" t="str">
            <v>BRS_GOLD__2_INFLATION:PLN_INF:PLN_INF_2yr</v>
          </cell>
          <cell r="D5584" t="str">
            <v>Inflation Duration</v>
          </cell>
          <cell r="E5584" t="str">
            <v>Yield</v>
          </cell>
          <cell r="F5584" t="str">
            <v>Other</v>
          </cell>
          <cell r="G5584" t="str">
            <v>Other</v>
          </cell>
          <cell r="H5584" t="str">
            <v>OTHER</v>
          </cell>
          <cell r="I5584" t="str">
            <v>Other - Inflation</v>
          </cell>
        </row>
        <row r="5585">
          <cell r="A5585" t="str">
            <v>PLN_INF_3yr</v>
          </cell>
          <cell r="B5585" t="str">
            <v>PLN INF 3Y</v>
          </cell>
          <cell r="C5585" t="str">
            <v>BRS_GOLD__2_INFLATION:PLN_INF:PLN_INF_3yr</v>
          </cell>
          <cell r="D5585" t="str">
            <v>Inflation Duration</v>
          </cell>
          <cell r="E5585" t="str">
            <v>Yield</v>
          </cell>
          <cell r="F5585" t="str">
            <v>Other</v>
          </cell>
          <cell r="G5585" t="str">
            <v>Other</v>
          </cell>
          <cell r="H5585" t="str">
            <v>OTHER</v>
          </cell>
          <cell r="I5585" t="str">
            <v>Other - Inflation</v>
          </cell>
        </row>
        <row r="5586">
          <cell r="A5586" t="str">
            <v>PLN_INF_5yr</v>
          </cell>
          <cell r="B5586" t="str">
            <v>PLN INF 5Y</v>
          </cell>
          <cell r="C5586" t="str">
            <v>BRS_GOLD__2_INFLATION:PLN_INF:PLN_INF_5yr</v>
          </cell>
          <cell r="D5586" t="str">
            <v>Inflation Duration</v>
          </cell>
          <cell r="E5586" t="str">
            <v>Yield</v>
          </cell>
          <cell r="F5586" t="str">
            <v>Other</v>
          </cell>
          <cell r="G5586" t="str">
            <v>Other</v>
          </cell>
          <cell r="H5586" t="str">
            <v>OTHER</v>
          </cell>
          <cell r="I5586" t="str">
            <v>Other - Inflation</v>
          </cell>
        </row>
        <row r="5587">
          <cell r="A5587" t="str">
            <v>PLN_INF_7yr</v>
          </cell>
          <cell r="B5587" t="str">
            <v>PLN INF 7Y</v>
          </cell>
          <cell r="C5587" t="str">
            <v>BRS_GOLD__2_INFLATION:PLN_INF:PLN_INF_7yr</v>
          </cell>
          <cell r="D5587" t="str">
            <v>Inflation Duration</v>
          </cell>
          <cell r="E5587" t="str">
            <v>Yield</v>
          </cell>
          <cell r="F5587" t="str">
            <v>Other</v>
          </cell>
          <cell r="G5587" t="str">
            <v>Other</v>
          </cell>
          <cell r="H5587" t="str">
            <v>OTHER</v>
          </cell>
          <cell r="I5587" t="str">
            <v>Other - Inflation</v>
          </cell>
        </row>
        <row r="5588">
          <cell r="A5588" t="str">
            <v>PLN_INF_10yr</v>
          </cell>
          <cell r="B5588" t="str">
            <v>PLN INF 10Y</v>
          </cell>
          <cell r="C5588" t="str">
            <v>BRS_GOLD__2_INFLATION:PLN_INF:PLN_INF_10yr</v>
          </cell>
          <cell r="D5588" t="str">
            <v>Inflation Duration</v>
          </cell>
          <cell r="E5588" t="str">
            <v>Yield</v>
          </cell>
          <cell r="F5588" t="str">
            <v>Other</v>
          </cell>
          <cell r="G5588" t="str">
            <v>Other</v>
          </cell>
          <cell r="H5588" t="str">
            <v>OTHER</v>
          </cell>
          <cell r="I5588" t="str">
            <v>Other - Inflation</v>
          </cell>
        </row>
        <row r="5589">
          <cell r="A5589" t="str">
            <v>PLN_INF_15yr</v>
          </cell>
          <cell r="B5589" t="str">
            <v>PLN INF 15Y</v>
          </cell>
          <cell r="C5589" t="str">
            <v>BRS_GOLD__2_INFLATION:PLN_INF:PLN_INF_15yr</v>
          </cell>
          <cell r="D5589" t="str">
            <v>Inflation Duration</v>
          </cell>
          <cell r="E5589" t="str">
            <v>Yield</v>
          </cell>
          <cell r="F5589" t="str">
            <v>Other</v>
          </cell>
          <cell r="G5589" t="str">
            <v>Other</v>
          </cell>
          <cell r="H5589" t="str">
            <v>OTHER</v>
          </cell>
          <cell r="I5589" t="str">
            <v>Other - Inflation</v>
          </cell>
        </row>
        <row r="5590">
          <cell r="A5590" t="str">
            <v>PLN_INF_20yr</v>
          </cell>
          <cell r="B5590" t="str">
            <v>PLN INF 20Y</v>
          </cell>
          <cell r="C5590" t="str">
            <v>BRS_GOLD__2_INFLATION:PLN_INF:PLN_INF_20yr</v>
          </cell>
          <cell r="D5590" t="str">
            <v>Inflation Duration</v>
          </cell>
          <cell r="E5590" t="str">
            <v>Yield</v>
          </cell>
          <cell r="F5590" t="str">
            <v>Other</v>
          </cell>
          <cell r="G5590" t="str">
            <v>Other</v>
          </cell>
          <cell r="H5590" t="str">
            <v>OTHER</v>
          </cell>
          <cell r="I5590" t="str">
            <v>Other - Inflation</v>
          </cell>
        </row>
        <row r="5591">
          <cell r="A5591" t="str">
            <v>PLN_INF_25yr</v>
          </cell>
          <cell r="B5591" t="str">
            <v>PLN INF 25Y</v>
          </cell>
          <cell r="C5591" t="str">
            <v>BRS_GOLD__2_INFLATION:PLN_INF:PLN_INF_25yr</v>
          </cell>
          <cell r="D5591" t="str">
            <v>Inflation Duration</v>
          </cell>
          <cell r="E5591" t="str">
            <v>Yield</v>
          </cell>
          <cell r="F5591" t="str">
            <v>Other</v>
          </cell>
          <cell r="G5591" t="str">
            <v>Other</v>
          </cell>
          <cell r="H5591" t="str">
            <v>OTHER</v>
          </cell>
          <cell r="I5591" t="str">
            <v>Other - Inflation</v>
          </cell>
        </row>
        <row r="5592">
          <cell r="A5592" t="str">
            <v>PLN_INF_30yr</v>
          </cell>
          <cell r="B5592" t="str">
            <v>PLN INF 30Y</v>
          </cell>
          <cell r="C5592" t="str">
            <v>BRS_GOLD__2_INFLATION:PLN_INF:PLN_INF_30yr</v>
          </cell>
          <cell r="D5592" t="str">
            <v>Inflation Duration</v>
          </cell>
          <cell r="E5592" t="str">
            <v>Yield</v>
          </cell>
          <cell r="F5592" t="str">
            <v>Other</v>
          </cell>
          <cell r="G5592" t="str">
            <v>Other</v>
          </cell>
          <cell r="H5592" t="str">
            <v>OTHER</v>
          </cell>
          <cell r="I5592" t="str">
            <v>Other - Inflation</v>
          </cell>
        </row>
        <row r="5593">
          <cell r="A5593" t="str">
            <v>THB_INF_3m</v>
          </cell>
          <cell r="B5593" t="str">
            <v>THB INF 3M</v>
          </cell>
          <cell r="C5593" t="str">
            <v>BRS_GOLD__2_INFLATION:THB_INF:THB_INF_3m</v>
          </cell>
          <cell r="D5593" t="str">
            <v>Inflation Duration</v>
          </cell>
          <cell r="E5593" t="str">
            <v>Yield</v>
          </cell>
          <cell r="F5593" t="str">
            <v>Other</v>
          </cell>
          <cell r="G5593" t="str">
            <v>Other</v>
          </cell>
          <cell r="H5593" t="str">
            <v>OTHER</v>
          </cell>
          <cell r="I5593" t="str">
            <v>Other - Inflation</v>
          </cell>
        </row>
        <row r="5594">
          <cell r="A5594" t="str">
            <v>THB_INF_1yr</v>
          </cell>
          <cell r="B5594" t="str">
            <v>THB INF 1Y</v>
          </cell>
          <cell r="C5594" t="str">
            <v>BRS_GOLD__2_INFLATION:THB_INF:THB_INF_1yr</v>
          </cell>
          <cell r="D5594" t="str">
            <v>Inflation Duration</v>
          </cell>
          <cell r="E5594" t="str">
            <v>Yield</v>
          </cell>
          <cell r="F5594" t="str">
            <v>Other</v>
          </cell>
          <cell r="G5594" t="str">
            <v>Other</v>
          </cell>
          <cell r="H5594" t="str">
            <v>OTHER</v>
          </cell>
          <cell r="I5594" t="str">
            <v>Other - Inflation</v>
          </cell>
        </row>
        <row r="5595">
          <cell r="A5595" t="str">
            <v>THB_INF_2yr</v>
          </cell>
          <cell r="B5595" t="str">
            <v>THB INF 2Y</v>
          </cell>
          <cell r="C5595" t="str">
            <v>BRS_GOLD__2_INFLATION:THB_INF:THB_INF_2yr</v>
          </cell>
          <cell r="D5595" t="str">
            <v>Inflation Duration</v>
          </cell>
          <cell r="E5595" t="str">
            <v>Yield</v>
          </cell>
          <cell r="F5595" t="str">
            <v>Other</v>
          </cell>
          <cell r="G5595" t="str">
            <v>Other</v>
          </cell>
          <cell r="H5595" t="str">
            <v>OTHER</v>
          </cell>
          <cell r="I5595" t="str">
            <v>Other - Inflation</v>
          </cell>
        </row>
        <row r="5596">
          <cell r="A5596" t="str">
            <v>THB_INF_3yr</v>
          </cell>
          <cell r="B5596" t="str">
            <v>THB INF 3Y</v>
          </cell>
          <cell r="C5596" t="str">
            <v>BRS_GOLD__2_INFLATION:THB_INF:THB_INF_3yr</v>
          </cell>
          <cell r="D5596" t="str">
            <v>Inflation Duration</v>
          </cell>
          <cell r="E5596" t="str">
            <v>Yield</v>
          </cell>
          <cell r="F5596" t="str">
            <v>Other</v>
          </cell>
          <cell r="G5596" t="str">
            <v>Other</v>
          </cell>
          <cell r="H5596" t="str">
            <v>OTHER</v>
          </cell>
          <cell r="I5596" t="str">
            <v>Other - Inflation</v>
          </cell>
        </row>
        <row r="5597">
          <cell r="A5597" t="str">
            <v>THB_INF_5yr</v>
          </cell>
          <cell r="B5597" t="str">
            <v>THB INF 5Y</v>
          </cell>
          <cell r="C5597" t="str">
            <v>BRS_GOLD__2_INFLATION:THB_INF:THB_INF_5yr</v>
          </cell>
          <cell r="D5597" t="str">
            <v>Inflation Duration</v>
          </cell>
          <cell r="E5597" t="str">
            <v>Yield</v>
          </cell>
          <cell r="F5597" t="str">
            <v>Other</v>
          </cell>
          <cell r="G5597" t="str">
            <v>Other</v>
          </cell>
          <cell r="H5597" t="str">
            <v>OTHER</v>
          </cell>
          <cell r="I5597" t="str">
            <v>Other - Inflation</v>
          </cell>
        </row>
        <row r="5598">
          <cell r="A5598" t="str">
            <v>THB_INF_7yr</v>
          </cell>
          <cell r="B5598" t="str">
            <v>THB INF 7Y</v>
          </cell>
          <cell r="C5598" t="str">
            <v>BRS_GOLD__2_INFLATION:THB_INF:THB_INF_7yr</v>
          </cell>
          <cell r="D5598" t="str">
            <v>Inflation Duration</v>
          </cell>
          <cell r="E5598" t="str">
            <v>Yield</v>
          </cell>
          <cell r="F5598" t="str">
            <v>Other</v>
          </cell>
          <cell r="G5598" t="str">
            <v>Other</v>
          </cell>
          <cell r="H5598" t="str">
            <v>OTHER</v>
          </cell>
          <cell r="I5598" t="str">
            <v>Other - Inflation</v>
          </cell>
        </row>
        <row r="5599">
          <cell r="A5599" t="str">
            <v>THB_INF_10yr</v>
          </cell>
          <cell r="B5599" t="str">
            <v>THB INF 10Y</v>
          </cell>
          <cell r="C5599" t="str">
            <v>BRS_GOLD__2_INFLATION:THB_INF:THB_INF_10yr</v>
          </cell>
          <cell r="D5599" t="str">
            <v>Inflation Duration</v>
          </cell>
          <cell r="E5599" t="str">
            <v>Yield</v>
          </cell>
          <cell r="F5599" t="str">
            <v>Other</v>
          </cell>
          <cell r="G5599" t="str">
            <v>Other</v>
          </cell>
          <cell r="H5599" t="str">
            <v>OTHER</v>
          </cell>
          <cell r="I5599" t="str">
            <v>Other - Inflation</v>
          </cell>
        </row>
        <row r="5600">
          <cell r="A5600" t="str">
            <v>THB_INF_15yr</v>
          </cell>
          <cell r="B5600" t="str">
            <v>THB INF 15Y</v>
          </cell>
          <cell r="C5600" t="str">
            <v>BRS_GOLD__2_INFLATION:THB_INF:THB_INF_15yr</v>
          </cell>
          <cell r="D5600" t="str">
            <v>Inflation Duration</v>
          </cell>
          <cell r="E5600" t="str">
            <v>Yield</v>
          </cell>
          <cell r="F5600" t="str">
            <v>Other</v>
          </cell>
          <cell r="G5600" t="str">
            <v>Other</v>
          </cell>
          <cell r="H5600" t="str">
            <v>OTHER</v>
          </cell>
          <cell r="I5600" t="str">
            <v>Other - Inflation</v>
          </cell>
        </row>
        <row r="5601">
          <cell r="A5601" t="str">
            <v>THB_INF_20yr</v>
          </cell>
          <cell r="B5601" t="str">
            <v>THB INF 20Y</v>
          </cell>
          <cell r="C5601" t="str">
            <v>BRS_GOLD__2_INFLATION:THB_INF:THB_INF_20yr</v>
          </cell>
          <cell r="D5601" t="str">
            <v>Inflation Duration</v>
          </cell>
          <cell r="E5601" t="str">
            <v>Yield</v>
          </cell>
          <cell r="F5601" t="str">
            <v>Other</v>
          </cell>
          <cell r="G5601" t="str">
            <v>Other</v>
          </cell>
          <cell r="H5601" t="str">
            <v>OTHER</v>
          </cell>
          <cell r="I5601" t="str">
            <v>Other - Inflation</v>
          </cell>
        </row>
        <row r="5602">
          <cell r="A5602" t="str">
            <v>THB_INF_25yr</v>
          </cell>
          <cell r="B5602" t="str">
            <v>THB INF 25Y</v>
          </cell>
          <cell r="C5602" t="str">
            <v>BRS_GOLD__2_INFLATION:THB_INF:THB_INF_25yr</v>
          </cell>
          <cell r="D5602" t="str">
            <v>Inflation Duration</v>
          </cell>
          <cell r="E5602" t="str">
            <v>Yield</v>
          </cell>
          <cell r="F5602" t="str">
            <v>Other</v>
          </cell>
          <cell r="G5602" t="str">
            <v>Other</v>
          </cell>
          <cell r="H5602" t="str">
            <v>OTHER</v>
          </cell>
          <cell r="I5602" t="str">
            <v>Other - Inflation</v>
          </cell>
        </row>
        <row r="5603">
          <cell r="A5603" t="str">
            <v>THB_INF_30yr</v>
          </cell>
          <cell r="B5603" t="str">
            <v>THB INF 30Y</v>
          </cell>
          <cell r="C5603" t="str">
            <v>BRS_GOLD__2_INFLATION:THB_INF:THB_INF_30yr</v>
          </cell>
          <cell r="D5603" t="str">
            <v>Inflation Duration</v>
          </cell>
          <cell r="E5603" t="str">
            <v>Yield</v>
          </cell>
          <cell r="F5603" t="str">
            <v>Other</v>
          </cell>
          <cell r="G5603" t="str">
            <v>Other</v>
          </cell>
          <cell r="H5603" t="str">
            <v>OTHER</v>
          </cell>
          <cell r="I5603" t="str">
            <v>Other - Inflation</v>
          </cell>
        </row>
        <row r="5604">
          <cell r="A5604" t="str">
            <v>TRY_INF_3m</v>
          </cell>
          <cell r="B5604" t="str">
            <v>TRY INF 3M</v>
          </cell>
          <cell r="C5604" t="str">
            <v>BRS_GOLD__2_INFLATION:TRY_INF:TRY_INF_3m</v>
          </cell>
          <cell r="D5604" t="str">
            <v>Inflation Duration</v>
          </cell>
          <cell r="E5604" t="str">
            <v>Yield</v>
          </cell>
          <cell r="F5604" t="str">
            <v>Other</v>
          </cell>
          <cell r="G5604" t="str">
            <v>Other</v>
          </cell>
          <cell r="H5604" t="str">
            <v>OTHER</v>
          </cell>
          <cell r="I5604" t="str">
            <v>Other - Inflation</v>
          </cell>
        </row>
        <row r="5605">
          <cell r="A5605" t="str">
            <v>TRY_INF_1yr</v>
          </cell>
          <cell r="B5605" t="str">
            <v>TRY INF 1Y</v>
          </cell>
          <cell r="C5605" t="str">
            <v>BRS_GOLD__2_INFLATION:TRY_INF:TRY_INF_1yr</v>
          </cell>
          <cell r="D5605" t="str">
            <v>Inflation Duration</v>
          </cell>
          <cell r="E5605" t="str">
            <v>Yield</v>
          </cell>
          <cell r="F5605" t="str">
            <v>Other</v>
          </cell>
          <cell r="G5605" t="str">
            <v>Other</v>
          </cell>
          <cell r="H5605" t="str">
            <v>OTHER</v>
          </cell>
          <cell r="I5605" t="str">
            <v>Other - Inflation</v>
          </cell>
        </row>
        <row r="5606">
          <cell r="A5606" t="str">
            <v>TRY_INF_2yr</v>
          </cell>
          <cell r="B5606" t="str">
            <v>TRY INF 2Y</v>
          </cell>
          <cell r="C5606" t="str">
            <v>BRS_GOLD__2_INFLATION:TRY_INF:TRY_INF_2yr</v>
          </cell>
          <cell r="D5606" t="str">
            <v>Inflation Duration</v>
          </cell>
          <cell r="E5606" t="str">
            <v>Yield</v>
          </cell>
          <cell r="F5606" t="str">
            <v>Other</v>
          </cell>
          <cell r="G5606" t="str">
            <v>Other</v>
          </cell>
          <cell r="H5606" t="str">
            <v>OTHER</v>
          </cell>
          <cell r="I5606" t="str">
            <v>Other - Inflation</v>
          </cell>
        </row>
        <row r="5607">
          <cell r="A5607" t="str">
            <v>TRY_INF_3yr</v>
          </cell>
          <cell r="B5607" t="str">
            <v>TRY INF 3Y</v>
          </cell>
          <cell r="C5607" t="str">
            <v>BRS_GOLD__2_INFLATION:TRY_INF:TRY_INF_3yr</v>
          </cell>
          <cell r="D5607" t="str">
            <v>Inflation Duration</v>
          </cell>
          <cell r="E5607" t="str">
            <v>Yield</v>
          </cell>
          <cell r="F5607" t="str">
            <v>Other</v>
          </cell>
          <cell r="G5607" t="str">
            <v>Other</v>
          </cell>
          <cell r="H5607" t="str">
            <v>OTHER</v>
          </cell>
          <cell r="I5607" t="str">
            <v>Other - Inflation</v>
          </cell>
        </row>
        <row r="5608">
          <cell r="A5608" t="str">
            <v>TRY_INF_5yr</v>
          </cell>
          <cell r="B5608" t="str">
            <v>TRY INF 5Y</v>
          </cell>
          <cell r="C5608" t="str">
            <v>BRS_GOLD__2_INFLATION:TRY_INF:TRY_INF_5yr</v>
          </cell>
          <cell r="D5608" t="str">
            <v>Inflation Duration</v>
          </cell>
          <cell r="E5608" t="str">
            <v>Yield</v>
          </cell>
          <cell r="F5608" t="str">
            <v>Other</v>
          </cell>
          <cell r="G5608" t="str">
            <v>Other</v>
          </cell>
          <cell r="H5608" t="str">
            <v>OTHER</v>
          </cell>
          <cell r="I5608" t="str">
            <v>Other - Inflation</v>
          </cell>
        </row>
        <row r="5609">
          <cell r="A5609" t="str">
            <v>TRY_INF_7yr</v>
          </cell>
          <cell r="B5609" t="str">
            <v>TRY INF 7Y</v>
          </cell>
          <cell r="C5609" t="str">
            <v>BRS_GOLD__2_INFLATION:TRY_INF:TRY_INF_7yr</v>
          </cell>
          <cell r="D5609" t="str">
            <v>Inflation Duration</v>
          </cell>
          <cell r="E5609" t="str">
            <v>Yield</v>
          </cell>
          <cell r="F5609" t="str">
            <v>Other</v>
          </cell>
          <cell r="G5609" t="str">
            <v>Other</v>
          </cell>
          <cell r="H5609" t="str">
            <v>OTHER</v>
          </cell>
          <cell r="I5609" t="str">
            <v>Other - Inflation</v>
          </cell>
        </row>
        <row r="5610">
          <cell r="A5610" t="str">
            <v>TRY_INF_10yr</v>
          </cell>
          <cell r="B5610" t="str">
            <v>TRY INF 10Y</v>
          </cell>
          <cell r="C5610" t="str">
            <v>BRS_GOLD__2_INFLATION:TRY_INF:TRY_INF_10yr</v>
          </cell>
          <cell r="D5610" t="str">
            <v>Inflation Duration</v>
          </cell>
          <cell r="E5610" t="str">
            <v>Yield</v>
          </cell>
          <cell r="F5610" t="str">
            <v>Other</v>
          </cell>
          <cell r="G5610" t="str">
            <v>Other</v>
          </cell>
          <cell r="H5610" t="str">
            <v>OTHER</v>
          </cell>
          <cell r="I5610" t="str">
            <v>Other - Inflation</v>
          </cell>
        </row>
        <row r="5611">
          <cell r="A5611" t="str">
            <v>TRY_INF_15yr</v>
          </cell>
          <cell r="B5611" t="str">
            <v>TRY INF 15Y</v>
          </cell>
          <cell r="C5611" t="str">
            <v>BRS_GOLD__2_INFLATION:TRY_INF:TRY_INF_15yr</v>
          </cell>
          <cell r="D5611" t="str">
            <v>Inflation Duration</v>
          </cell>
          <cell r="E5611" t="str">
            <v>Yield</v>
          </cell>
          <cell r="F5611" t="str">
            <v>Other</v>
          </cell>
          <cell r="G5611" t="str">
            <v>Other</v>
          </cell>
          <cell r="H5611" t="str">
            <v>OTHER</v>
          </cell>
          <cell r="I5611" t="str">
            <v>Other - Inflation</v>
          </cell>
        </row>
        <row r="5612">
          <cell r="A5612" t="str">
            <v>TRY_INF_20yr</v>
          </cell>
          <cell r="B5612" t="str">
            <v>TRY INF 20Y</v>
          </cell>
          <cell r="C5612" t="str">
            <v>BRS_GOLD__2_INFLATION:TRY_INF:TRY_INF_20yr</v>
          </cell>
          <cell r="D5612" t="str">
            <v>Inflation Duration</v>
          </cell>
          <cell r="E5612" t="str">
            <v>Yield</v>
          </cell>
          <cell r="F5612" t="str">
            <v>Other</v>
          </cell>
          <cell r="G5612" t="str">
            <v>Other</v>
          </cell>
          <cell r="H5612" t="str">
            <v>OTHER</v>
          </cell>
          <cell r="I5612" t="str">
            <v>Other - Inflation</v>
          </cell>
        </row>
        <row r="5613">
          <cell r="A5613" t="str">
            <v>TRY_INF_25yr</v>
          </cell>
          <cell r="B5613" t="str">
            <v>TRY INF 25Y</v>
          </cell>
          <cell r="C5613" t="str">
            <v>BRS_GOLD__2_INFLATION:TRY_INF:TRY_INF_25yr</v>
          </cell>
          <cell r="D5613" t="str">
            <v>Inflation Duration</v>
          </cell>
          <cell r="E5613" t="str">
            <v>Yield</v>
          </cell>
          <cell r="F5613" t="str">
            <v>Other</v>
          </cell>
          <cell r="G5613" t="str">
            <v>Other</v>
          </cell>
          <cell r="H5613" t="str">
            <v>OTHER</v>
          </cell>
          <cell r="I5613" t="str">
            <v>Other - Inflation</v>
          </cell>
        </row>
        <row r="5614">
          <cell r="A5614" t="str">
            <v>TRY_INF_30yr</v>
          </cell>
          <cell r="B5614" t="str">
            <v>TRY INF 30Y</v>
          </cell>
          <cell r="C5614" t="str">
            <v>BRS_GOLD__2_INFLATION:TRY_INF:TRY_INF_30yr</v>
          </cell>
          <cell r="D5614" t="str">
            <v>Inflation Duration</v>
          </cell>
          <cell r="E5614" t="str">
            <v>Yield</v>
          </cell>
          <cell r="F5614" t="str">
            <v>Other</v>
          </cell>
          <cell r="G5614" t="str">
            <v>Other</v>
          </cell>
          <cell r="H5614" t="str">
            <v>OTHER</v>
          </cell>
          <cell r="I5614" t="str">
            <v>Other - Inflation</v>
          </cell>
        </row>
        <row r="5615">
          <cell r="A5615" t="str">
            <v>ZAR_INF_3m</v>
          </cell>
          <cell r="B5615" t="str">
            <v>ZAR INF 3M</v>
          </cell>
          <cell r="C5615" t="str">
            <v>BRS_GOLD__2_INFLATION:ZAR_INF:ZAR_INF_3m</v>
          </cell>
          <cell r="D5615" t="str">
            <v>Inflation Duration</v>
          </cell>
          <cell r="E5615" t="str">
            <v>Yield</v>
          </cell>
          <cell r="F5615" t="str">
            <v>Other</v>
          </cell>
          <cell r="G5615" t="str">
            <v>Other</v>
          </cell>
          <cell r="H5615" t="str">
            <v>OTHER</v>
          </cell>
          <cell r="I5615" t="str">
            <v>Other - Inflation</v>
          </cell>
        </row>
        <row r="5616">
          <cell r="A5616" t="str">
            <v>ZAR_INF_1yr</v>
          </cell>
          <cell r="B5616" t="str">
            <v>ZAR INF 1Y</v>
          </cell>
          <cell r="C5616" t="str">
            <v>BRS_GOLD__2_INFLATION:ZAR_INF:ZAR_INF_1yr</v>
          </cell>
          <cell r="D5616" t="str">
            <v>Inflation Duration</v>
          </cell>
          <cell r="E5616" t="str">
            <v>Yield</v>
          </cell>
          <cell r="F5616" t="str">
            <v>Other</v>
          </cell>
          <cell r="G5616" t="str">
            <v>Other</v>
          </cell>
          <cell r="H5616" t="str">
            <v>OTHER</v>
          </cell>
          <cell r="I5616" t="str">
            <v>Other - Inflation</v>
          </cell>
        </row>
        <row r="5617">
          <cell r="A5617" t="str">
            <v>ZAR_INF_2yr</v>
          </cell>
          <cell r="B5617" t="str">
            <v>ZAR INF 2Y</v>
          </cell>
          <cell r="C5617" t="str">
            <v>BRS_GOLD__2_INFLATION:ZAR_INF:ZAR_INF_2yr</v>
          </cell>
          <cell r="D5617" t="str">
            <v>Inflation Duration</v>
          </cell>
          <cell r="E5617" t="str">
            <v>Yield</v>
          </cell>
          <cell r="F5617" t="str">
            <v>Other</v>
          </cell>
          <cell r="G5617" t="str">
            <v>Other</v>
          </cell>
          <cell r="H5617" t="str">
            <v>OTHER</v>
          </cell>
          <cell r="I5617" t="str">
            <v>Other - Inflation</v>
          </cell>
        </row>
        <row r="5618">
          <cell r="A5618" t="str">
            <v>ZAR_INF_3yr</v>
          </cell>
          <cell r="B5618" t="str">
            <v>ZAR INF 3Y</v>
          </cell>
          <cell r="C5618" t="str">
            <v>BRS_GOLD__2_INFLATION:ZAR_INF:ZAR_INF_3yr</v>
          </cell>
          <cell r="D5618" t="str">
            <v>Inflation Duration</v>
          </cell>
          <cell r="E5618" t="str">
            <v>Yield</v>
          </cell>
          <cell r="F5618" t="str">
            <v>Other</v>
          </cell>
          <cell r="G5618" t="str">
            <v>Other</v>
          </cell>
          <cell r="H5618" t="str">
            <v>OTHER</v>
          </cell>
          <cell r="I5618" t="str">
            <v>Other - Inflation</v>
          </cell>
        </row>
        <row r="5619">
          <cell r="A5619" t="str">
            <v>ZAR_INF_5yr</v>
          </cell>
          <cell r="B5619" t="str">
            <v>ZAR INF 5Y</v>
          </cell>
          <cell r="C5619" t="str">
            <v>BRS_GOLD__2_INFLATION:ZAR_INF:ZAR_INF_5yr</v>
          </cell>
          <cell r="D5619" t="str">
            <v>Inflation Duration</v>
          </cell>
          <cell r="E5619" t="str">
            <v>Yield</v>
          </cell>
          <cell r="F5619" t="str">
            <v>Other</v>
          </cell>
          <cell r="G5619" t="str">
            <v>Other</v>
          </cell>
          <cell r="H5619" t="str">
            <v>OTHER</v>
          </cell>
          <cell r="I5619" t="str">
            <v>Other - Inflation</v>
          </cell>
        </row>
        <row r="5620">
          <cell r="A5620" t="str">
            <v>ZAR_INF_7yr</v>
          </cell>
          <cell r="B5620" t="str">
            <v>ZAR INF 7Y</v>
          </cell>
          <cell r="C5620" t="str">
            <v>BRS_GOLD__2_INFLATION:ZAR_INF:ZAR_INF_7yr</v>
          </cell>
          <cell r="D5620" t="str">
            <v>Inflation Duration</v>
          </cell>
          <cell r="E5620" t="str">
            <v>Yield</v>
          </cell>
          <cell r="F5620" t="str">
            <v>Other</v>
          </cell>
          <cell r="G5620" t="str">
            <v>Other</v>
          </cell>
          <cell r="H5620" t="str">
            <v>OTHER</v>
          </cell>
          <cell r="I5620" t="str">
            <v>Other - Inflation</v>
          </cell>
        </row>
        <row r="5621">
          <cell r="A5621" t="str">
            <v>ZAR_INF_10yr</v>
          </cell>
          <cell r="B5621" t="str">
            <v>ZAR INF 10Y</v>
          </cell>
          <cell r="C5621" t="str">
            <v>BRS_GOLD__2_INFLATION:ZAR_INF:ZAR_INF_10yr</v>
          </cell>
          <cell r="D5621" t="str">
            <v>Inflation Duration</v>
          </cell>
          <cell r="E5621" t="str">
            <v>Yield</v>
          </cell>
          <cell r="F5621" t="str">
            <v>Other</v>
          </cell>
          <cell r="G5621" t="str">
            <v>Other</v>
          </cell>
          <cell r="H5621" t="str">
            <v>OTHER</v>
          </cell>
          <cell r="I5621" t="str">
            <v>Other - Inflation</v>
          </cell>
        </row>
        <row r="5622">
          <cell r="A5622" t="str">
            <v>ZAR_INF_15yr</v>
          </cell>
          <cell r="B5622" t="str">
            <v>ZAR INF 15Y</v>
          </cell>
          <cell r="C5622" t="str">
            <v>BRS_GOLD__2_INFLATION:ZAR_INF:ZAR_INF_15yr</v>
          </cell>
          <cell r="D5622" t="str">
            <v>Inflation Duration</v>
          </cell>
          <cell r="E5622" t="str">
            <v>Yield</v>
          </cell>
          <cell r="F5622" t="str">
            <v>Other</v>
          </cell>
          <cell r="G5622" t="str">
            <v>Other</v>
          </cell>
          <cell r="H5622" t="str">
            <v>OTHER</v>
          </cell>
          <cell r="I5622" t="str">
            <v>Other - Inflation</v>
          </cell>
        </row>
        <row r="5623">
          <cell r="A5623" t="str">
            <v>ZAR_INF_20yr</v>
          </cell>
          <cell r="B5623" t="str">
            <v>ZAR INF 20Y</v>
          </cell>
          <cell r="C5623" t="str">
            <v>BRS_GOLD__2_INFLATION:ZAR_INF:ZAR_INF_20yr</v>
          </cell>
          <cell r="D5623" t="str">
            <v>Inflation Duration</v>
          </cell>
          <cell r="E5623" t="str">
            <v>Yield</v>
          </cell>
          <cell r="F5623" t="str">
            <v>Other</v>
          </cell>
          <cell r="G5623" t="str">
            <v>Other</v>
          </cell>
          <cell r="H5623" t="str">
            <v>OTHER</v>
          </cell>
          <cell r="I5623" t="str">
            <v>Other - Inflation</v>
          </cell>
        </row>
        <row r="5624">
          <cell r="A5624" t="str">
            <v>ZAR_INF_25yr</v>
          </cell>
          <cell r="B5624" t="str">
            <v>ZAR INF 25Y</v>
          </cell>
          <cell r="C5624" t="str">
            <v>BRS_GOLD__2_INFLATION:ZAR_INF:ZAR_INF_25yr</v>
          </cell>
          <cell r="D5624" t="str">
            <v>Inflation Duration</v>
          </cell>
          <cell r="E5624" t="str">
            <v>Yield</v>
          </cell>
          <cell r="F5624" t="str">
            <v>Other</v>
          </cell>
          <cell r="G5624" t="str">
            <v>Other</v>
          </cell>
          <cell r="H5624" t="str">
            <v>OTHER</v>
          </cell>
          <cell r="I5624" t="str">
            <v>Other - Inflation</v>
          </cell>
        </row>
        <row r="5625">
          <cell r="A5625" t="str">
            <v>ZAR_INF_30yr</v>
          </cell>
          <cell r="B5625" t="str">
            <v>ZAR INF 30Y</v>
          </cell>
          <cell r="C5625" t="str">
            <v>BRS_GOLD__2_INFLATION:ZAR_INF:ZAR_INF_30yr</v>
          </cell>
          <cell r="D5625" t="str">
            <v>Inflation Duration</v>
          </cell>
          <cell r="E5625" t="str">
            <v>Yield</v>
          </cell>
          <cell r="F5625" t="str">
            <v>Other</v>
          </cell>
          <cell r="G5625" t="str">
            <v>Other</v>
          </cell>
          <cell r="H5625" t="str">
            <v>OTHER</v>
          </cell>
          <cell r="I5625" t="str">
            <v>Other - Inflation</v>
          </cell>
        </row>
        <row r="5626">
          <cell r="A5626" t="str">
            <v>FRF_INF_3m</v>
          </cell>
          <cell r="B5626" t="str">
            <v>FRF INF 3M</v>
          </cell>
          <cell r="C5626" t="str">
            <v>BRS_GOLD__2_INFLATION:FRF_INF:FRF_INF_3m</v>
          </cell>
          <cell r="D5626" t="str">
            <v>Inflation Duration</v>
          </cell>
          <cell r="E5626" t="str">
            <v>Yield</v>
          </cell>
          <cell r="F5626" t="str">
            <v>Other</v>
          </cell>
          <cell r="G5626" t="str">
            <v>Other</v>
          </cell>
          <cell r="H5626" t="str">
            <v>OTHER</v>
          </cell>
          <cell r="I5626" t="str">
            <v>Other - Inflation</v>
          </cell>
        </row>
        <row r="5627">
          <cell r="A5627" t="str">
            <v>FRF_INF_1yr</v>
          </cell>
          <cell r="B5627" t="str">
            <v>FRF INF 1Y</v>
          </cell>
          <cell r="C5627" t="str">
            <v>BRS_GOLD__2_INFLATION:FRF_INF:FRF_INF_1yr</v>
          </cell>
          <cell r="D5627" t="str">
            <v>Inflation Duration</v>
          </cell>
          <cell r="E5627" t="str">
            <v>Yield</v>
          </cell>
          <cell r="F5627" t="str">
            <v>Other</v>
          </cell>
          <cell r="G5627" t="str">
            <v>Other</v>
          </cell>
          <cell r="H5627" t="str">
            <v>OTHER</v>
          </cell>
          <cell r="I5627" t="str">
            <v>Other - Inflation</v>
          </cell>
        </row>
        <row r="5628">
          <cell r="A5628" t="str">
            <v>FRF_INF_2yr</v>
          </cell>
          <cell r="B5628" t="str">
            <v>FRF INF 2Y</v>
          </cell>
          <cell r="C5628" t="str">
            <v>BRS_GOLD__2_INFLATION:FRF_INF:FRF_INF_2yr</v>
          </cell>
          <cell r="D5628" t="str">
            <v>Inflation Duration</v>
          </cell>
          <cell r="E5628" t="str">
            <v>Yield</v>
          </cell>
          <cell r="F5628" t="str">
            <v>Other</v>
          </cell>
          <cell r="G5628" t="str">
            <v>Other</v>
          </cell>
          <cell r="H5628" t="str">
            <v>OTHER</v>
          </cell>
          <cell r="I5628" t="str">
            <v>Other - Inflation</v>
          </cell>
        </row>
        <row r="5629">
          <cell r="A5629" t="str">
            <v>FRF_INF_3yr</v>
          </cell>
          <cell r="B5629" t="str">
            <v>FRF INF 3Y</v>
          </cell>
          <cell r="C5629" t="str">
            <v>BRS_GOLD__2_INFLATION:FRF_INF:FRF_INF_3yr</v>
          </cell>
          <cell r="D5629" t="str">
            <v>Inflation Duration</v>
          </cell>
          <cell r="E5629" t="str">
            <v>Yield</v>
          </cell>
          <cell r="F5629" t="str">
            <v>Other</v>
          </cell>
          <cell r="G5629" t="str">
            <v>Other</v>
          </cell>
          <cell r="H5629" t="str">
            <v>OTHER</v>
          </cell>
          <cell r="I5629" t="str">
            <v>Other - Inflation</v>
          </cell>
        </row>
        <row r="5630">
          <cell r="A5630" t="str">
            <v>FRF_INF_5yr</v>
          </cell>
          <cell r="B5630" t="str">
            <v>FRF INF 5Y</v>
          </cell>
          <cell r="C5630" t="str">
            <v>BRS_GOLD__2_INFLATION:FRF_INF:FRF_INF_5yr</v>
          </cell>
          <cell r="D5630" t="str">
            <v>Inflation Duration</v>
          </cell>
          <cell r="E5630" t="str">
            <v>Yield</v>
          </cell>
          <cell r="F5630" t="str">
            <v>Other</v>
          </cell>
          <cell r="G5630" t="str">
            <v>Other</v>
          </cell>
          <cell r="H5630" t="str">
            <v>OTHER</v>
          </cell>
          <cell r="I5630" t="str">
            <v>Other - Inflation</v>
          </cell>
        </row>
        <row r="5631">
          <cell r="A5631" t="str">
            <v>FRF_INF_7yr</v>
          </cell>
          <cell r="B5631" t="str">
            <v>FRF INF 7Y</v>
          </cell>
          <cell r="C5631" t="str">
            <v>BRS_GOLD__2_INFLATION:FRF_INF:FRF_INF_7yr</v>
          </cell>
          <cell r="D5631" t="str">
            <v>Inflation Duration</v>
          </cell>
          <cell r="E5631" t="str">
            <v>Yield</v>
          </cell>
          <cell r="F5631" t="str">
            <v>Other</v>
          </cell>
          <cell r="G5631" t="str">
            <v>Other</v>
          </cell>
          <cell r="H5631" t="str">
            <v>OTHER</v>
          </cell>
          <cell r="I5631" t="str">
            <v>Other - Inflation</v>
          </cell>
        </row>
        <row r="5632">
          <cell r="A5632" t="str">
            <v>FRF_INF_10yr</v>
          </cell>
          <cell r="B5632" t="str">
            <v>FRF INF 10Y</v>
          </cell>
          <cell r="C5632" t="str">
            <v>BRS_GOLD__2_INFLATION:FRF_INF:FRF_INF_10yr</v>
          </cell>
          <cell r="D5632" t="str">
            <v>Inflation Duration</v>
          </cell>
          <cell r="E5632" t="str">
            <v>Yield</v>
          </cell>
          <cell r="F5632" t="str">
            <v>Other</v>
          </cell>
          <cell r="G5632" t="str">
            <v>Other</v>
          </cell>
          <cell r="H5632" t="str">
            <v>OTHER</v>
          </cell>
          <cell r="I5632" t="str">
            <v>Other - Inflation</v>
          </cell>
        </row>
        <row r="5633">
          <cell r="A5633" t="str">
            <v>FRF_INF_15yr</v>
          </cell>
          <cell r="B5633" t="str">
            <v>FRF INF 15Y</v>
          </cell>
          <cell r="C5633" t="str">
            <v>BRS_GOLD__2_INFLATION:FRF_INF:FRF_INF_15yr</v>
          </cell>
          <cell r="D5633" t="str">
            <v>Inflation Duration</v>
          </cell>
          <cell r="E5633" t="str">
            <v>Yield</v>
          </cell>
          <cell r="F5633" t="str">
            <v>Other</v>
          </cell>
          <cell r="G5633" t="str">
            <v>Other</v>
          </cell>
          <cell r="H5633" t="str">
            <v>OTHER</v>
          </cell>
          <cell r="I5633" t="str">
            <v>Other - Inflation</v>
          </cell>
        </row>
        <row r="5634">
          <cell r="A5634" t="str">
            <v>FRF_INF_20yr</v>
          </cell>
          <cell r="B5634" t="str">
            <v>FRF INF 20Y</v>
          </cell>
          <cell r="C5634" t="str">
            <v>BRS_GOLD__2_INFLATION:FRF_INF:FRF_INF_20yr</v>
          </cell>
          <cell r="D5634" t="str">
            <v>Inflation Duration</v>
          </cell>
          <cell r="E5634" t="str">
            <v>Yield</v>
          </cell>
          <cell r="F5634" t="str">
            <v>Other</v>
          </cell>
          <cell r="G5634" t="str">
            <v>Other</v>
          </cell>
          <cell r="H5634" t="str">
            <v>OTHER</v>
          </cell>
          <cell r="I5634" t="str">
            <v>Other - Inflation</v>
          </cell>
        </row>
        <row r="5635">
          <cell r="A5635" t="str">
            <v>FRF_INF_25yr</v>
          </cell>
          <cell r="B5635" t="str">
            <v>FRF INF 25Y</v>
          </cell>
          <cell r="C5635" t="str">
            <v>BRS_GOLD__2_INFLATION:FRF_INF:FRF_INF_25yr</v>
          </cell>
          <cell r="D5635" t="str">
            <v>Inflation Duration</v>
          </cell>
          <cell r="E5635" t="str">
            <v>Yield</v>
          </cell>
          <cell r="F5635" t="str">
            <v>Other</v>
          </cell>
          <cell r="G5635" t="str">
            <v>Other</v>
          </cell>
          <cell r="H5635" t="str">
            <v>OTHER</v>
          </cell>
          <cell r="I5635" t="str">
            <v>Other - Inflation</v>
          </cell>
        </row>
        <row r="5636">
          <cell r="A5636" t="str">
            <v>FRF_INF_30yr</v>
          </cell>
          <cell r="B5636" t="str">
            <v>FRF INF 30Y</v>
          </cell>
          <cell r="C5636" t="str">
            <v>BRS_GOLD__2_INFLATION:FRF_INF:FRF_INF_30yr</v>
          </cell>
          <cell r="D5636" t="str">
            <v>Inflation Duration</v>
          </cell>
          <cell r="E5636" t="str">
            <v>Yield</v>
          </cell>
          <cell r="F5636" t="str">
            <v>Other</v>
          </cell>
          <cell r="G5636" t="str">
            <v>Other</v>
          </cell>
          <cell r="H5636" t="str">
            <v>OTHER</v>
          </cell>
          <cell r="I5636" t="str">
            <v>Other - Inflation</v>
          </cell>
        </row>
        <row r="5637">
          <cell r="A5637" t="str">
            <v>FRF_INF_40yr</v>
          </cell>
          <cell r="B5637" t="str">
            <v>FRF INF 40Y</v>
          </cell>
          <cell r="C5637" t="str">
            <v>BRS_GOLD__2_INFLATION:FRF_INF:FRF_INF_40yr</v>
          </cell>
          <cell r="D5637" t="str">
            <v>Inflation Duration</v>
          </cell>
          <cell r="E5637" t="str">
            <v>Yield</v>
          </cell>
          <cell r="F5637" t="str">
            <v>Other</v>
          </cell>
          <cell r="G5637" t="str">
            <v>Other</v>
          </cell>
          <cell r="H5637" t="str">
            <v>OTHER</v>
          </cell>
          <cell r="I5637" t="str">
            <v>Other - Inflation</v>
          </cell>
        </row>
        <row r="5638">
          <cell r="A5638" t="str">
            <v>FRF_INF_50yr</v>
          </cell>
          <cell r="B5638" t="str">
            <v>FRF INF 50Y</v>
          </cell>
          <cell r="C5638" t="str">
            <v>BRS_GOLD__2_INFLATION:FRF_INF:FRF_INF_50yr</v>
          </cell>
          <cell r="D5638" t="str">
            <v>Inflation Duration</v>
          </cell>
          <cell r="E5638" t="str">
            <v>Yield</v>
          </cell>
          <cell r="F5638" t="str">
            <v>Other</v>
          </cell>
          <cell r="G5638" t="str">
            <v>Other</v>
          </cell>
          <cell r="H5638" t="str">
            <v>OTHER</v>
          </cell>
          <cell r="I5638" t="str">
            <v>Other - Inflation</v>
          </cell>
        </row>
        <row r="5639">
          <cell r="A5639" t="str">
            <v>MXN_INF_3m</v>
          </cell>
          <cell r="B5639" t="str">
            <v>MXN INF 3M</v>
          </cell>
          <cell r="C5639" t="str">
            <v>BRS_GOLD__2_INFLATION:MXN_INF:MXN_INF_3m</v>
          </cell>
          <cell r="D5639" t="str">
            <v>Inflation Duration</v>
          </cell>
          <cell r="E5639" t="str">
            <v>Yield</v>
          </cell>
          <cell r="F5639" t="str">
            <v>Other</v>
          </cell>
          <cell r="G5639" t="str">
            <v>Other</v>
          </cell>
          <cell r="H5639" t="str">
            <v>OTHER</v>
          </cell>
          <cell r="I5639" t="str">
            <v>Other - Inflation</v>
          </cell>
        </row>
        <row r="5640">
          <cell r="A5640" t="str">
            <v>MXN_INF_1yr</v>
          </cell>
          <cell r="B5640" t="str">
            <v>MXN INF 1Y</v>
          </cell>
          <cell r="C5640" t="str">
            <v>BRS_GOLD__2_INFLATION:MXN_INF:MXN_INF_1yr</v>
          </cell>
          <cell r="D5640" t="str">
            <v>Inflation Duration</v>
          </cell>
          <cell r="E5640" t="str">
            <v>Yield</v>
          </cell>
          <cell r="F5640" t="str">
            <v>Other</v>
          </cell>
          <cell r="G5640" t="str">
            <v>Other</v>
          </cell>
          <cell r="H5640" t="str">
            <v>OTHER</v>
          </cell>
          <cell r="I5640" t="str">
            <v>Other - Inflation</v>
          </cell>
        </row>
        <row r="5641">
          <cell r="A5641" t="str">
            <v>MXN_INF_2yr</v>
          </cell>
          <cell r="B5641" t="str">
            <v>MXN INF 2Y</v>
          </cell>
          <cell r="C5641" t="str">
            <v>BRS_GOLD__2_INFLATION:MXN_INF:MXN_INF_2yr</v>
          </cell>
          <cell r="D5641" t="str">
            <v>Inflation Duration</v>
          </cell>
          <cell r="E5641" t="str">
            <v>Yield</v>
          </cell>
          <cell r="F5641" t="str">
            <v>Other</v>
          </cell>
          <cell r="G5641" t="str">
            <v>Other</v>
          </cell>
          <cell r="H5641" t="str">
            <v>OTHER</v>
          </cell>
          <cell r="I5641" t="str">
            <v>Other - Inflation</v>
          </cell>
        </row>
        <row r="5642">
          <cell r="A5642" t="str">
            <v>MXN_INF_3yr</v>
          </cell>
          <cell r="B5642" t="str">
            <v>MXN INF 3Y</v>
          </cell>
          <cell r="C5642" t="str">
            <v>BRS_GOLD__2_INFLATION:MXN_INF:MXN_INF_3yr</v>
          </cell>
          <cell r="D5642" t="str">
            <v>Inflation Duration</v>
          </cell>
          <cell r="E5642" t="str">
            <v>Yield</v>
          </cell>
          <cell r="F5642" t="str">
            <v>Other</v>
          </cell>
          <cell r="G5642" t="str">
            <v>Other</v>
          </cell>
          <cell r="H5642" t="str">
            <v>OTHER</v>
          </cell>
          <cell r="I5642" t="str">
            <v>Other - Inflation</v>
          </cell>
        </row>
        <row r="5643">
          <cell r="A5643" t="str">
            <v>MXN_INF_5yr</v>
          </cell>
          <cell r="B5643" t="str">
            <v>MXN INF 5Y</v>
          </cell>
          <cell r="C5643" t="str">
            <v>BRS_GOLD__2_INFLATION:MXN_INF:MXN_INF_5yr</v>
          </cell>
          <cell r="D5643" t="str">
            <v>Inflation Duration</v>
          </cell>
          <cell r="E5643" t="str">
            <v>Yield</v>
          </cell>
          <cell r="F5643" t="str">
            <v>Other</v>
          </cell>
          <cell r="G5643" t="str">
            <v>Other</v>
          </cell>
          <cell r="H5643" t="str">
            <v>OTHER</v>
          </cell>
          <cell r="I5643" t="str">
            <v>Other - Inflation</v>
          </cell>
        </row>
        <row r="5644">
          <cell r="A5644" t="str">
            <v>MXN_INF_7yr</v>
          </cell>
          <cell r="B5644" t="str">
            <v>MXN INF 7Y</v>
          </cell>
          <cell r="C5644" t="str">
            <v>BRS_GOLD__2_INFLATION:MXN_INF:MXN_INF_7yr</v>
          </cell>
          <cell r="D5644" t="str">
            <v>Inflation Duration</v>
          </cell>
          <cell r="E5644" t="str">
            <v>Yield</v>
          </cell>
          <cell r="F5644" t="str">
            <v>Other</v>
          </cell>
          <cell r="G5644" t="str">
            <v>Other</v>
          </cell>
          <cell r="H5644" t="str">
            <v>OTHER</v>
          </cell>
          <cell r="I5644" t="str">
            <v>Other - Inflation</v>
          </cell>
        </row>
        <row r="5645">
          <cell r="A5645" t="str">
            <v>MXN_INF_10yr</v>
          </cell>
          <cell r="B5645" t="str">
            <v>MXN INF 10Y</v>
          </cell>
          <cell r="C5645" t="str">
            <v>BRS_GOLD__2_INFLATION:MXN_INF:MXN_INF_10yr</v>
          </cell>
          <cell r="D5645" t="str">
            <v>Inflation Duration</v>
          </cell>
          <cell r="E5645" t="str">
            <v>Yield</v>
          </cell>
          <cell r="F5645" t="str">
            <v>Other</v>
          </cell>
          <cell r="G5645" t="str">
            <v>Other</v>
          </cell>
          <cell r="H5645" t="str">
            <v>OTHER</v>
          </cell>
          <cell r="I5645" t="str">
            <v>Other - Inflation</v>
          </cell>
        </row>
        <row r="5646">
          <cell r="A5646" t="str">
            <v>MXN_INF_15yr</v>
          </cell>
          <cell r="B5646" t="str">
            <v>MXN INF 15Y</v>
          </cell>
          <cell r="C5646" t="str">
            <v>BRS_GOLD__2_INFLATION:MXN_INF:MXN_INF_15yr</v>
          </cell>
          <cell r="D5646" t="str">
            <v>Inflation Duration</v>
          </cell>
          <cell r="E5646" t="str">
            <v>Yield</v>
          </cell>
          <cell r="F5646" t="str">
            <v>Other</v>
          </cell>
          <cell r="G5646" t="str">
            <v>Other</v>
          </cell>
          <cell r="H5646" t="str">
            <v>OTHER</v>
          </cell>
          <cell r="I5646" t="str">
            <v>Other - Inflation</v>
          </cell>
        </row>
        <row r="5647">
          <cell r="A5647" t="str">
            <v>MXN_INF_20yr</v>
          </cell>
          <cell r="B5647" t="str">
            <v>MXN INF 20Y</v>
          </cell>
          <cell r="C5647" t="str">
            <v>BRS_GOLD__2_INFLATION:MXN_INF:MXN_INF_20yr</v>
          </cell>
          <cell r="D5647" t="str">
            <v>Inflation Duration</v>
          </cell>
          <cell r="E5647" t="str">
            <v>Yield</v>
          </cell>
          <cell r="F5647" t="str">
            <v>Other</v>
          </cell>
          <cell r="G5647" t="str">
            <v>Other</v>
          </cell>
          <cell r="H5647" t="str">
            <v>OTHER</v>
          </cell>
          <cell r="I5647" t="str">
            <v>Other - Inflation</v>
          </cell>
        </row>
        <row r="5648">
          <cell r="A5648" t="str">
            <v>MXN_INF_25yr</v>
          </cell>
          <cell r="B5648" t="str">
            <v>MXN INF 25Y</v>
          </cell>
          <cell r="C5648" t="str">
            <v>BRS_GOLD__2_INFLATION:MXN_INF:MXN_INF_25yr</v>
          </cell>
          <cell r="D5648" t="str">
            <v>Inflation Duration</v>
          </cell>
          <cell r="E5648" t="str">
            <v>Yield</v>
          </cell>
          <cell r="F5648" t="str">
            <v>Other</v>
          </cell>
          <cell r="G5648" t="str">
            <v>Other</v>
          </cell>
          <cell r="H5648" t="str">
            <v>OTHER</v>
          </cell>
          <cell r="I5648" t="str">
            <v>Other - Inflation</v>
          </cell>
        </row>
        <row r="5649">
          <cell r="A5649" t="str">
            <v>MXN_INF_30yr</v>
          </cell>
          <cell r="B5649" t="str">
            <v>MXN INF 30Y</v>
          </cell>
          <cell r="C5649" t="str">
            <v>BRS_GOLD__2_INFLATION:MXN_INF:MXN_INF_30yr</v>
          </cell>
          <cell r="D5649" t="str">
            <v>Inflation Duration</v>
          </cell>
          <cell r="E5649" t="str">
            <v>Yield</v>
          </cell>
          <cell r="F5649" t="str">
            <v>Other</v>
          </cell>
          <cell r="G5649" t="str">
            <v>Other</v>
          </cell>
          <cell r="H5649" t="str">
            <v>OTHER</v>
          </cell>
          <cell r="I5649" t="str">
            <v>Other - Inflation</v>
          </cell>
        </row>
        <row r="5650">
          <cell r="A5650" t="str">
            <v>USD_INF_SWP_3m</v>
          </cell>
          <cell r="B5650" t="str">
            <v>USD INF SWAP 3M</v>
          </cell>
          <cell r="C5650" t="str">
            <v>BRS_GOLD__2_INFLATION:USD_INF_SWP:USD_INF_SWP_3m</v>
          </cell>
          <cell r="D5650" t="str">
            <v>Inflation Duration</v>
          </cell>
          <cell r="E5650" t="str">
            <v>Yield</v>
          </cell>
          <cell r="F5650" t="str">
            <v>Other</v>
          </cell>
          <cell r="G5650" t="str">
            <v>Other</v>
          </cell>
          <cell r="H5650" t="str">
            <v>OTHER</v>
          </cell>
          <cell r="I5650" t="str">
            <v>Other - Inflation</v>
          </cell>
        </row>
        <row r="5651">
          <cell r="A5651" t="str">
            <v>USD_INF_SWP_1yr</v>
          </cell>
          <cell r="B5651" t="str">
            <v>USD INF SWAP 1Y</v>
          </cell>
          <cell r="C5651" t="str">
            <v>BRS_GOLD__2_INFLATION:USD_INF_SWP:USD_INF_SWP_1yr</v>
          </cell>
          <cell r="D5651" t="str">
            <v>Inflation Duration</v>
          </cell>
          <cell r="E5651" t="str">
            <v>Yield</v>
          </cell>
          <cell r="F5651" t="str">
            <v>Other</v>
          </cell>
          <cell r="G5651" t="str">
            <v>Other</v>
          </cell>
          <cell r="H5651" t="str">
            <v>OTHER</v>
          </cell>
          <cell r="I5651" t="str">
            <v>Other - Inflation</v>
          </cell>
        </row>
        <row r="5652">
          <cell r="A5652" t="str">
            <v>USD_INF_SWP_2yr</v>
          </cell>
          <cell r="B5652" t="str">
            <v>USD INF SWAP 2Y</v>
          </cell>
          <cell r="C5652" t="str">
            <v>BRS_GOLD__2_INFLATION:USD_INF_SWP:USD_INF_SWP_2yr</v>
          </cell>
          <cell r="D5652" t="str">
            <v>Inflation Duration</v>
          </cell>
          <cell r="E5652" t="str">
            <v>Yield</v>
          </cell>
          <cell r="F5652" t="str">
            <v>Other</v>
          </cell>
          <cell r="G5652" t="str">
            <v>Other</v>
          </cell>
          <cell r="H5652" t="str">
            <v>OTHER</v>
          </cell>
          <cell r="I5652" t="str">
            <v>Other - Inflation</v>
          </cell>
        </row>
        <row r="5653">
          <cell r="A5653" t="str">
            <v>USD_INF_SWP_3yr</v>
          </cell>
          <cell r="B5653" t="str">
            <v>USD INF SWAP 3Y</v>
          </cell>
          <cell r="C5653" t="str">
            <v>BRS_GOLD__2_INFLATION:USD_INF_SWP:USD_INF_SWP_3yr</v>
          </cell>
          <cell r="D5653" t="str">
            <v>Inflation Duration</v>
          </cell>
          <cell r="E5653" t="str">
            <v>Yield</v>
          </cell>
          <cell r="F5653" t="str">
            <v>Other</v>
          </cell>
          <cell r="G5653" t="str">
            <v>Other</v>
          </cell>
          <cell r="H5653" t="str">
            <v>OTHER</v>
          </cell>
          <cell r="I5653" t="str">
            <v>Other - Inflation</v>
          </cell>
        </row>
        <row r="5654">
          <cell r="A5654" t="str">
            <v>USD_INF_SWP_5yr</v>
          </cell>
          <cell r="B5654" t="str">
            <v>USD INF SWAP 5Y</v>
          </cell>
          <cell r="C5654" t="str">
            <v>BRS_GOLD__2_INFLATION:USD_INF_SWP:USD_INF_SWP_5yr</v>
          </cell>
          <cell r="D5654" t="str">
            <v>Inflation Duration</v>
          </cell>
          <cell r="E5654" t="str">
            <v>Yield</v>
          </cell>
          <cell r="F5654" t="str">
            <v>Other</v>
          </cell>
          <cell r="G5654" t="str">
            <v>Other</v>
          </cell>
          <cell r="H5654" t="str">
            <v>OTHER</v>
          </cell>
          <cell r="I5654" t="str">
            <v>Other - Inflation</v>
          </cell>
        </row>
        <row r="5655">
          <cell r="A5655" t="str">
            <v>USD_INF_SWP_7yr</v>
          </cell>
          <cell r="B5655" t="str">
            <v>USD INF SWAP 7Y</v>
          </cell>
          <cell r="C5655" t="str">
            <v>BRS_GOLD__2_INFLATION:USD_INF_SWP:USD_INF_SWP_7yr</v>
          </cell>
          <cell r="D5655" t="str">
            <v>Inflation Duration</v>
          </cell>
          <cell r="E5655" t="str">
            <v>Yield</v>
          </cell>
          <cell r="F5655" t="str">
            <v>Other</v>
          </cell>
          <cell r="G5655" t="str">
            <v>Other</v>
          </cell>
          <cell r="H5655" t="str">
            <v>OTHER</v>
          </cell>
          <cell r="I5655" t="str">
            <v>Other - Inflation</v>
          </cell>
        </row>
        <row r="5656">
          <cell r="A5656" t="str">
            <v>USD_INF_SWP_10yr</v>
          </cell>
          <cell r="B5656" t="str">
            <v>USD INF SWAP 10Y</v>
          </cell>
          <cell r="C5656" t="str">
            <v>BRS_GOLD__2_INFLATION:USD_INF_SWP:USD_INF_SWP_10yr</v>
          </cell>
          <cell r="D5656" t="str">
            <v>Inflation Duration</v>
          </cell>
          <cell r="E5656" t="str">
            <v>Yield</v>
          </cell>
          <cell r="F5656" t="str">
            <v>Other</v>
          </cell>
          <cell r="G5656" t="str">
            <v>Other</v>
          </cell>
          <cell r="H5656" t="str">
            <v>OTHER</v>
          </cell>
          <cell r="I5656" t="str">
            <v>Other - Inflation</v>
          </cell>
        </row>
        <row r="5657">
          <cell r="A5657" t="str">
            <v>USD_INF_SWP_15yr</v>
          </cell>
          <cell r="B5657" t="str">
            <v>USD INF SWAP 15Y</v>
          </cell>
          <cell r="C5657" t="str">
            <v>BRS_GOLD__2_INFLATION:USD_INF_SWP:USD_INF_SWP_15yr</v>
          </cell>
          <cell r="D5657" t="str">
            <v>Inflation Duration</v>
          </cell>
          <cell r="E5657" t="str">
            <v>Yield</v>
          </cell>
          <cell r="F5657" t="str">
            <v>Other</v>
          </cell>
          <cell r="G5657" t="str">
            <v>Other</v>
          </cell>
          <cell r="H5657" t="str">
            <v>OTHER</v>
          </cell>
          <cell r="I5657" t="str">
            <v>Other - Inflation</v>
          </cell>
        </row>
        <row r="5658">
          <cell r="A5658" t="str">
            <v>USD_INF_SWP_20yr</v>
          </cell>
          <cell r="B5658" t="str">
            <v>USD INF SWAP 20Y</v>
          </cell>
          <cell r="C5658" t="str">
            <v>BRS_GOLD__2_INFLATION:USD_INF_SWP:USD_INF_SWP_20yr</v>
          </cell>
          <cell r="D5658" t="str">
            <v>Inflation Duration</v>
          </cell>
          <cell r="E5658" t="str">
            <v>Yield</v>
          </cell>
          <cell r="F5658" t="str">
            <v>Other</v>
          </cell>
          <cell r="G5658" t="str">
            <v>Other</v>
          </cell>
          <cell r="H5658" t="str">
            <v>OTHER</v>
          </cell>
          <cell r="I5658" t="str">
            <v>Other - Inflation</v>
          </cell>
        </row>
        <row r="5659">
          <cell r="A5659" t="str">
            <v>USD_INF_SWP_25yr</v>
          </cell>
          <cell r="B5659" t="str">
            <v>USD INF SWAP 25Y</v>
          </cell>
          <cell r="C5659" t="str">
            <v>BRS_GOLD__2_INFLATION:USD_INF_SWP:USD_INF_SWP_25yr</v>
          </cell>
          <cell r="D5659" t="str">
            <v>Inflation Duration</v>
          </cell>
          <cell r="E5659" t="str">
            <v>Yield</v>
          </cell>
          <cell r="F5659" t="str">
            <v>Other</v>
          </cell>
          <cell r="G5659" t="str">
            <v>Other</v>
          </cell>
          <cell r="H5659" t="str">
            <v>OTHER</v>
          </cell>
          <cell r="I5659" t="str">
            <v>Other - Inflation</v>
          </cell>
        </row>
        <row r="5660">
          <cell r="A5660" t="str">
            <v>USD_INF_SWP_30yr</v>
          </cell>
          <cell r="B5660" t="str">
            <v>USD INF SWAP 30Y</v>
          </cell>
          <cell r="C5660" t="str">
            <v>BRS_GOLD__2_INFLATION:USD_INF_SWP:USD_INF_SWP_30yr</v>
          </cell>
          <cell r="D5660" t="str">
            <v>Inflation Duration</v>
          </cell>
          <cell r="E5660" t="str">
            <v>Yield</v>
          </cell>
          <cell r="F5660" t="str">
            <v>Other</v>
          </cell>
          <cell r="G5660" t="str">
            <v>Other</v>
          </cell>
          <cell r="H5660" t="str">
            <v>OTHER</v>
          </cell>
          <cell r="I5660" t="str">
            <v>Other - Inflation</v>
          </cell>
        </row>
        <row r="5661">
          <cell r="A5661" t="str">
            <v>USD_INF_SWP_40yr</v>
          </cell>
          <cell r="B5661" t="str">
            <v>USD INF SWAP 40Y</v>
          </cell>
          <cell r="C5661" t="str">
            <v>BRS_GOLD__2_INFLATION:USD_INF_SWP:USD_INF_SWP_40yr</v>
          </cell>
          <cell r="D5661" t="str">
            <v>Inflation Duration</v>
          </cell>
          <cell r="E5661" t="str">
            <v>Yield</v>
          </cell>
          <cell r="F5661" t="str">
            <v>Other</v>
          </cell>
          <cell r="G5661" t="str">
            <v>Other</v>
          </cell>
          <cell r="H5661" t="str">
            <v>OTHER</v>
          </cell>
          <cell r="I5661" t="str">
            <v>Other - Inflation</v>
          </cell>
        </row>
        <row r="5662">
          <cell r="A5662" t="str">
            <v>USD_INF_SWP_50yr</v>
          </cell>
          <cell r="B5662" t="str">
            <v>USD INF SWAP 50Y</v>
          </cell>
          <cell r="C5662" t="str">
            <v>BRS_GOLD__2_INFLATION:USD_INF_SWP:USD_INF_SWP_50yr</v>
          </cell>
          <cell r="D5662" t="str">
            <v>Inflation Duration</v>
          </cell>
          <cell r="E5662" t="str">
            <v>Yield</v>
          </cell>
          <cell r="F5662" t="str">
            <v>Other</v>
          </cell>
          <cell r="G5662" t="str">
            <v>Other</v>
          </cell>
          <cell r="H5662" t="str">
            <v>OTHER</v>
          </cell>
          <cell r="I5662" t="str">
            <v>Other - Inflation</v>
          </cell>
        </row>
        <row r="5663">
          <cell r="A5663" t="str">
            <v>EUR_INF_SWP_3m</v>
          </cell>
          <cell r="B5663" t="str">
            <v>EUR INF SWAP 3M</v>
          </cell>
          <cell r="C5663" t="str">
            <v>BRS_GOLD__2_INFLATION:EUR_INF_SWP:EUR_INF_SWP_3m</v>
          </cell>
          <cell r="D5663" t="str">
            <v>Inflation Duration</v>
          </cell>
          <cell r="E5663" t="str">
            <v>Yield</v>
          </cell>
          <cell r="F5663" t="str">
            <v>Other</v>
          </cell>
          <cell r="G5663" t="str">
            <v>Other</v>
          </cell>
          <cell r="H5663" t="str">
            <v>OTHER</v>
          </cell>
          <cell r="I5663" t="str">
            <v>Other - Inflation</v>
          </cell>
        </row>
        <row r="5664">
          <cell r="A5664" t="str">
            <v>EUR_INF_SWP_1yr</v>
          </cell>
          <cell r="B5664" t="str">
            <v>EUR INF SWAP 1Y</v>
          </cell>
          <cell r="C5664" t="str">
            <v>BRS_GOLD__2_INFLATION:EUR_INF_SWP:EUR_INF_SWP_1yr</v>
          </cell>
          <cell r="D5664" t="str">
            <v>Inflation Duration</v>
          </cell>
          <cell r="E5664" t="str">
            <v>Yield</v>
          </cell>
          <cell r="F5664" t="str">
            <v>Other</v>
          </cell>
          <cell r="G5664" t="str">
            <v>Other</v>
          </cell>
          <cell r="H5664" t="str">
            <v>OTHER</v>
          </cell>
          <cell r="I5664" t="str">
            <v>Other - Inflation</v>
          </cell>
        </row>
        <row r="5665">
          <cell r="A5665" t="str">
            <v>EUR_INF_SWP_2yr</v>
          </cell>
          <cell r="B5665" t="str">
            <v>EUR INF SWAP 2Y</v>
          </cell>
          <cell r="C5665" t="str">
            <v>BRS_GOLD__2_INFLATION:EUR_INF_SWP:EUR_INF_SWP_2yr</v>
          </cell>
          <cell r="D5665" t="str">
            <v>Inflation Duration</v>
          </cell>
          <cell r="E5665" t="str">
            <v>Yield</v>
          </cell>
          <cell r="F5665" t="str">
            <v>Other</v>
          </cell>
          <cell r="G5665" t="str">
            <v>Other</v>
          </cell>
          <cell r="H5665" t="str">
            <v>OTHER</v>
          </cell>
          <cell r="I5665" t="str">
            <v>Other - Inflation</v>
          </cell>
        </row>
        <row r="5666">
          <cell r="A5666" t="str">
            <v>EUR_INF_SWP_3yr</v>
          </cell>
          <cell r="B5666" t="str">
            <v>EUR INF SWAP 3Y</v>
          </cell>
          <cell r="C5666" t="str">
            <v>BRS_GOLD__2_INFLATION:EUR_INF_SWP:EUR_INF_SWP_3yr</v>
          </cell>
          <cell r="D5666" t="str">
            <v>Inflation Duration</v>
          </cell>
          <cell r="E5666" t="str">
            <v>Yield</v>
          </cell>
          <cell r="F5666" t="str">
            <v>Other</v>
          </cell>
          <cell r="G5666" t="str">
            <v>Other</v>
          </cell>
          <cell r="H5666" t="str">
            <v>OTHER</v>
          </cell>
          <cell r="I5666" t="str">
            <v>Other - Inflation</v>
          </cell>
        </row>
        <row r="5667">
          <cell r="A5667" t="str">
            <v>EUR_INF_SWP_5yr</v>
          </cell>
          <cell r="B5667" t="str">
            <v>EUR INF SWAP 5Y</v>
          </cell>
          <cell r="C5667" t="str">
            <v>BRS_GOLD__2_INFLATION:EUR_INF_SWP:EUR_INF_SWP_5yr</v>
          </cell>
          <cell r="D5667" t="str">
            <v>Inflation Duration</v>
          </cell>
          <cell r="E5667" t="str">
            <v>Yield</v>
          </cell>
          <cell r="F5667" t="str">
            <v>Other</v>
          </cell>
          <cell r="G5667" t="str">
            <v>Other</v>
          </cell>
          <cell r="H5667" t="str">
            <v>OTHER</v>
          </cell>
          <cell r="I5667" t="str">
            <v>Other - Inflation</v>
          </cell>
        </row>
        <row r="5668">
          <cell r="A5668" t="str">
            <v>EUR_INF_SWP_7yr</v>
          </cell>
          <cell r="B5668" t="str">
            <v>EUR INF SWAP 7Y</v>
          </cell>
          <cell r="C5668" t="str">
            <v>BRS_GOLD__2_INFLATION:EUR_INF_SWP:EUR_INF_SWP_7yr</v>
          </cell>
          <cell r="D5668" t="str">
            <v>Inflation Duration</v>
          </cell>
          <cell r="E5668" t="str">
            <v>Yield</v>
          </cell>
          <cell r="F5668" t="str">
            <v>Other</v>
          </cell>
          <cell r="G5668" t="str">
            <v>Other</v>
          </cell>
          <cell r="H5668" t="str">
            <v>OTHER</v>
          </cell>
          <cell r="I5668" t="str">
            <v>Other - Inflation</v>
          </cell>
        </row>
        <row r="5669">
          <cell r="A5669" t="str">
            <v>EUR_INF_SWP_10yr</v>
          </cell>
          <cell r="B5669" t="str">
            <v>EUR INF SWAP 10Y</v>
          </cell>
          <cell r="C5669" t="str">
            <v>BRS_GOLD__2_INFLATION:EUR_INF_SWP:EUR_INF_SWP_10yr</v>
          </cell>
          <cell r="D5669" t="str">
            <v>Inflation Duration</v>
          </cell>
          <cell r="E5669" t="str">
            <v>Yield</v>
          </cell>
          <cell r="F5669" t="str">
            <v>Other</v>
          </cell>
          <cell r="G5669" t="str">
            <v>Other</v>
          </cell>
          <cell r="H5669" t="str">
            <v>OTHER</v>
          </cell>
          <cell r="I5669" t="str">
            <v>Other - Inflation</v>
          </cell>
        </row>
        <row r="5670">
          <cell r="A5670" t="str">
            <v>EUR_INF_SWP_15yr</v>
          </cell>
          <cell r="B5670" t="str">
            <v>EUR INF SWAP 15Y</v>
          </cell>
          <cell r="C5670" t="str">
            <v>BRS_GOLD__2_INFLATION:EUR_INF_SWP:EUR_INF_SWP_15yr</v>
          </cell>
          <cell r="D5670" t="str">
            <v>Inflation Duration</v>
          </cell>
          <cell r="E5670" t="str">
            <v>Yield</v>
          </cell>
          <cell r="F5670" t="str">
            <v>Other</v>
          </cell>
          <cell r="G5670" t="str">
            <v>Other</v>
          </cell>
          <cell r="H5670" t="str">
            <v>OTHER</v>
          </cell>
          <cell r="I5670" t="str">
            <v>Other - Inflation</v>
          </cell>
        </row>
        <row r="5671">
          <cell r="A5671" t="str">
            <v>EUR_INF_SWP_20yr</v>
          </cell>
          <cell r="B5671" t="str">
            <v>EUR INF SWAP 20Y</v>
          </cell>
          <cell r="C5671" t="str">
            <v>BRS_GOLD__2_INFLATION:EUR_INF_SWP:EUR_INF_SWP_20yr</v>
          </cell>
          <cell r="D5671" t="str">
            <v>Inflation Duration</v>
          </cell>
          <cell r="E5671" t="str">
            <v>Yield</v>
          </cell>
          <cell r="F5671" t="str">
            <v>Other</v>
          </cell>
          <cell r="G5671" t="str">
            <v>Other</v>
          </cell>
          <cell r="H5671" t="str">
            <v>OTHER</v>
          </cell>
          <cell r="I5671" t="str">
            <v>Other - Inflation</v>
          </cell>
        </row>
        <row r="5672">
          <cell r="A5672" t="str">
            <v>EUR_INF_SWP_25yr</v>
          </cell>
          <cell r="B5672" t="str">
            <v>EUR INF SWAP 25Y</v>
          </cell>
          <cell r="C5672" t="str">
            <v>BRS_GOLD__2_INFLATION:EUR_INF_SWP:EUR_INF_SWP_25yr</v>
          </cell>
          <cell r="D5672" t="str">
            <v>Inflation Duration</v>
          </cell>
          <cell r="E5672" t="str">
            <v>Yield</v>
          </cell>
          <cell r="F5672" t="str">
            <v>Other</v>
          </cell>
          <cell r="G5672" t="str">
            <v>Other</v>
          </cell>
          <cell r="H5672" t="str">
            <v>OTHER</v>
          </cell>
          <cell r="I5672" t="str">
            <v>Other - Inflation</v>
          </cell>
        </row>
        <row r="5673">
          <cell r="A5673" t="str">
            <v>EUR_INF_SWP_30yr</v>
          </cell>
          <cell r="B5673" t="str">
            <v>EUR INF SWAP 30Y</v>
          </cell>
          <cell r="C5673" t="str">
            <v>BRS_GOLD__2_INFLATION:EUR_INF_SWP:EUR_INF_SWP_30yr</v>
          </cell>
          <cell r="D5673" t="str">
            <v>Inflation Duration</v>
          </cell>
          <cell r="E5673" t="str">
            <v>Yield</v>
          </cell>
          <cell r="F5673" t="str">
            <v>Other</v>
          </cell>
          <cell r="G5673" t="str">
            <v>Other</v>
          </cell>
          <cell r="H5673" t="str">
            <v>OTHER</v>
          </cell>
          <cell r="I5673" t="str">
            <v>Other - Inflation</v>
          </cell>
        </row>
        <row r="5674">
          <cell r="A5674" t="str">
            <v>EUR_INF_SWP_40yr</v>
          </cell>
          <cell r="B5674" t="str">
            <v>EUR INF SWAP 40Y</v>
          </cell>
          <cell r="C5674" t="str">
            <v>BRS_GOLD__2_INFLATION:EUR_INF_SWP:EUR_INF_SWP_40yr</v>
          </cell>
          <cell r="D5674" t="str">
            <v>Inflation Duration</v>
          </cell>
          <cell r="E5674" t="str">
            <v>Yield</v>
          </cell>
          <cell r="F5674" t="str">
            <v>Other</v>
          </cell>
          <cell r="G5674" t="str">
            <v>Other</v>
          </cell>
          <cell r="H5674" t="str">
            <v>OTHER</v>
          </cell>
          <cell r="I5674" t="str">
            <v>Other - Inflation</v>
          </cell>
        </row>
        <row r="5675">
          <cell r="A5675" t="str">
            <v>EUR_INF_SWP_50yr</v>
          </cell>
          <cell r="B5675" t="str">
            <v>EUR INF SWAP 50Y</v>
          </cell>
          <cell r="C5675" t="str">
            <v>BRS_GOLD__2_INFLATION:EUR_INF_SWP:EUR_INF_SWP_50yr</v>
          </cell>
          <cell r="D5675" t="str">
            <v>Inflation Duration</v>
          </cell>
          <cell r="E5675" t="str">
            <v>Yield</v>
          </cell>
          <cell r="F5675" t="str">
            <v>Other</v>
          </cell>
          <cell r="G5675" t="str">
            <v>Other</v>
          </cell>
          <cell r="H5675" t="str">
            <v>OTHER</v>
          </cell>
          <cell r="I5675" t="str">
            <v>Other - Inflation</v>
          </cell>
        </row>
        <row r="5676">
          <cell r="A5676" t="str">
            <v>GBP_INF_SWP_3m</v>
          </cell>
          <cell r="B5676" t="str">
            <v>GBP INF SWAP 3M</v>
          </cell>
          <cell r="C5676" t="str">
            <v>BRS_GOLD__2_INFLATION:GBP_INF_SWP:GBP_INF_SWP_3m</v>
          </cell>
          <cell r="D5676" t="str">
            <v>Inflation Duration</v>
          </cell>
          <cell r="E5676" t="str">
            <v>Yield</v>
          </cell>
          <cell r="F5676" t="str">
            <v>Other</v>
          </cell>
          <cell r="G5676" t="str">
            <v>Other</v>
          </cell>
          <cell r="H5676" t="str">
            <v>OTHER</v>
          </cell>
          <cell r="I5676" t="str">
            <v>Other - Inflation</v>
          </cell>
        </row>
        <row r="5677">
          <cell r="A5677" t="str">
            <v>GBP_INF_SWP_1yr</v>
          </cell>
          <cell r="B5677" t="str">
            <v>GBP INF SWAP 1Y</v>
          </cell>
          <cell r="C5677" t="str">
            <v>BRS_GOLD__2_INFLATION:GBP_INF_SWP:GBP_INF_SWP_1yr</v>
          </cell>
          <cell r="D5677" t="str">
            <v>Inflation Duration</v>
          </cell>
          <cell r="E5677" t="str">
            <v>Yield</v>
          </cell>
          <cell r="F5677" t="str">
            <v>Other</v>
          </cell>
          <cell r="G5677" t="str">
            <v>Other</v>
          </cell>
          <cell r="H5677" t="str">
            <v>OTHER</v>
          </cell>
          <cell r="I5677" t="str">
            <v>Other - Inflation</v>
          </cell>
        </row>
        <row r="5678">
          <cell r="A5678" t="str">
            <v>GBP_INF_SWP_2yr</v>
          </cell>
          <cell r="B5678" t="str">
            <v>GBP INF SWAP 2Y</v>
          </cell>
          <cell r="C5678" t="str">
            <v>BRS_GOLD__2_INFLATION:GBP_INF_SWP:GBP_INF_SWP_2yr</v>
          </cell>
          <cell r="D5678" t="str">
            <v>Inflation Duration</v>
          </cell>
          <cell r="E5678" t="str">
            <v>Yield</v>
          </cell>
          <cell r="F5678" t="str">
            <v>Other</v>
          </cell>
          <cell r="G5678" t="str">
            <v>Other</v>
          </cell>
          <cell r="H5678" t="str">
            <v>OTHER</v>
          </cell>
          <cell r="I5678" t="str">
            <v>Other - Inflation</v>
          </cell>
        </row>
        <row r="5679">
          <cell r="A5679" t="str">
            <v>GBP_INF_SWP_3yr</v>
          </cell>
          <cell r="B5679" t="str">
            <v>GBP INF SWAP 3Y</v>
          </cell>
          <cell r="C5679" t="str">
            <v>BRS_GOLD__2_INFLATION:GBP_INF_SWP:GBP_INF_SWP_3yr</v>
          </cell>
          <cell r="D5679" t="str">
            <v>Inflation Duration</v>
          </cell>
          <cell r="E5679" t="str">
            <v>Yield</v>
          </cell>
          <cell r="F5679" t="str">
            <v>Other</v>
          </cell>
          <cell r="G5679" t="str">
            <v>Other</v>
          </cell>
          <cell r="H5679" t="str">
            <v>OTHER</v>
          </cell>
          <cell r="I5679" t="str">
            <v>Other - Inflation</v>
          </cell>
        </row>
        <row r="5680">
          <cell r="A5680" t="str">
            <v>GBP_INF_SWP_5yr</v>
          </cell>
          <cell r="B5680" t="str">
            <v>GBP INF SWAP 5Y</v>
          </cell>
          <cell r="C5680" t="str">
            <v>BRS_GOLD__2_INFLATION:GBP_INF_SWP:GBP_INF_SWP_5yr</v>
          </cell>
          <cell r="D5680" t="str">
            <v>Inflation Duration</v>
          </cell>
          <cell r="E5680" t="str">
            <v>Yield</v>
          </cell>
          <cell r="F5680" t="str">
            <v>Other</v>
          </cell>
          <cell r="G5680" t="str">
            <v>Other</v>
          </cell>
          <cell r="H5680" t="str">
            <v>OTHER</v>
          </cell>
          <cell r="I5680" t="str">
            <v>Other - Inflation</v>
          </cell>
        </row>
        <row r="5681">
          <cell r="A5681" t="str">
            <v>GBP_INF_SWP_7yr</v>
          </cell>
          <cell r="B5681" t="str">
            <v>GBP INF SWAP 7Y</v>
          </cell>
          <cell r="C5681" t="str">
            <v>BRS_GOLD__2_INFLATION:GBP_INF_SWP:GBP_INF_SWP_7yr</v>
          </cell>
          <cell r="D5681" t="str">
            <v>Inflation Duration</v>
          </cell>
          <cell r="E5681" t="str">
            <v>Yield</v>
          </cell>
          <cell r="F5681" t="str">
            <v>Other</v>
          </cell>
          <cell r="G5681" t="str">
            <v>Other</v>
          </cell>
          <cell r="H5681" t="str">
            <v>OTHER</v>
          </cell>
          <cell r="I5681" t="str">
            <v>Other - Inflation</v>
          </cell>
        </row>
        <row r="5682">
          <cell r="A5682" t="str">
            <v>GBP_INF_SWP_10yr</v>
          </cell>
          <cell r="B5682" t="str">
            <v>GBP INF SWAP 10Y</v>
          </cell>
          <cell r="C5682" t="str">
            <v>BRS_GOLD__2_INFLATION:GBP_INF_SWP:GBP_INF_SWP_10yr</v>
          </cell>
          <cell r="D5682" t="str">
            <v>Inflation Duration</v>
          </cell>
          <cell r="E5682" t="str">
            <v>Yield</v>
          </cell>
          <cell r="F5682" t="str">
            <v>Other</v>
          </cell>
          <cell r="G5682" t="str">
            <v>Other</v>
          </cell>
          <cell r="H5682" t="str">
            <v>OTHER</v>
          </cell>
          <cell r="I5682" t="str">
            <v>Other - Inflation</v>
          </cell>
        </row>
        <row r="5683">
          <cell r="A5683" t="str">
            <v>GBP_INF_SWP_15yr</v>
          </cell>
          <cell r="B5683" t="str">
            <v>GBP INF SWAP 15Y</v>
          </cell>
          <cell r="C5683" t="str">
            <v>BRS_GOLD__2_INFLATION:GBP_INF_SWP:GBP_INF_SWP_15yr</v>
          </cell>
          <cell r="D5683" t="str">
            <v>Inflation Duration</v>
          </cell>
          <cell r="E5683" t="str">
            <v>Yield</v>
          </cell>
          <cell r="F5683" t="str">
            <v>Other</v>
          </cell>
          <cell r="G5683" t="str">
            <v>Other</v>
          </cell>
          <cell r="H5683" t="str">
            <v>OTHER</v>
          </cell>
          <cell r="I5683" t="str">
            <v>Other - Inflation</v>
          </cell>
        </row>
        <row r="5684">
          <cell r="A5684" t="str">
            <v>GBP_INF_SWP_20yr</v>
          </cell>
          <cell r="B5684" t="str">
            <v>GBP INF SWAP 20Y</v>
          </cell>
          <cell r="C5684" t="str">
            <v>BRS_GOLD__2_INFLATION:GBP_INF_SWP:GBP_INF_SWP_20yr</v>
          </cell>
          <cell r="D5684" t="str">
            <v>Inflation Duration</v>
          </cell>
          <cell r="E5684" t="str">
            <v>Yield</v>
          </cell>
          <cell r="F5684" t="str">
            <v>Other</v>
          </cell>
          <cell r="G5684" t="str">
            <v>Other</v>
          </cell>
          <cell r="H5684" t="str">
            <v>OTHER</v>
          </cell>
          <cell r="I5684" t="str">
            <v>Other - Inflation</v>
          </cell>
        </row>
        <row r="5685">
          <cell r="A5685" t="str">
            <v>GBP_INF_SWP_25yr</v>
          </cell>
          <cell r="B5685" t="str">
            <v>GBP INF SWAP 25Y</v>
          </cell>
          <cell r="C5685" t="str">
            <v>BRS_GOLD__2_INFLATION:GBP_INF_SWP:GBP_INF_SWP_25yr</v>
          </cell>
          <cell r="D5685" t="str">
            <v>Inflation Duration</v>
          </cell>
          <cell r="E5685" t="str">
            <v>Yield</v>
          </cell>
          <cell r="F5685" t="str">
            <v>Other</v>
          </cell>
          <cell r="G5685" t="str">
            <v>Other</v>
          </cell>
          <cell r="H5685" t="str">
            <v>OTHER</v>
          </cell>
          <cell r="I5685" t="str">
            <v>Other - Inflation</v>
          </cell>
        </row>
        <row r="5686">
          <cell r="A5686" t="str">
            <v>GBP_INF_SWP_30yr</v>
          </cell>
          <cell r="B5686" t="str">
            <v>GBP INF SWAP 30Y</v>
          </cell>
          <cell r="C5686" t="str">
            <v>BRS_GOLD__2_INFLATION:GBP_INF_SWP:GBP_INF_SWP_30yr</v>
          </cell>
          <cell r="D5686" t="str">
            <v>Inflation Duration</v>
          </cell>
          <cell r="E5686" t="str">
            <v>Yield</v>
          </cell>
          <cell r="F5686" t="str">
            <v>Other</v>
          </cell>
          <cell r="G5686" t="str">
            <v>Other</v>
          </cell>
          <cell r="H5686" t="str">
            <v>OTHER</v>
          </cell>
          <cell r="I5686" t="str">
            <v>Other - Inflation</v>
          </cell>
        </row>
        <row r="5687">
          <cell r="A5687" t="str">
            <v>GBP_INF_SWP_40yr</v>
          </cell>
          <cell r="B5687" t="str">
            <v>GBP INF SWAP 40Y</v>
          </cell>
          <cell r="C5687" t="str">
            <v>BRS_GOLD__2_INFLATION:GBP_INF_SWP:GBP_INF_SWP_40yr</v>
          </cell>
          <cell r="D5687" t="str">
            <v>Inflation Duration</v>
          </cell>
          <cell r="E5687" t="str">
            <v>Yield</v>
          </cell>
          <cell r="F5687" t="str">
            <v>Other</v>
          </cell>
          <cell r="G5687" t="str">
            <v>Other</v>
          </cell>
          <cell r="H5687" t="str">
            <v>OTHER</v>
          </cell>
          <cell r="I5687" t="str">
            <v>Other - Inflation</v>
          </cell>
        </row>
        <row r="5688">
          <cell r="A5688" t="str">
            <v>GBP_INF_SWP_50yr</v>
          </cell>
          <cell r="B5688" t="str">
            <v>GBP INF SWAP 50Y</v>
          </cell>
          <cell r="C5688" t="str">
            <v>BRS_GOLD__2_INFLATION:GBP_INF_SWP:GBP_INF_SWP_50yr</v>
          </cell>
          <cell r="D5688" t="str">
            <v>Inflation Duration</v>
          </cell>
          <cell r="E5688" t="str">
            <v>Yield</v>
          </cell>
          <cell r="F5688" t="str">
            <v>Other</v>
          </cell>
          <cell r="G5688" t="str">
            <v>Other</v>
          </cell>
          <cell r="H5688" t="str">
            <v>OTHER</v>
          </cell>
          <cell r="I5688" t="str">
            <v>Other - Inflation</v>
          </cell>
        </row>
        <row r="5689">
          <cell r="A5689" t="str">
            <v>IBND_EUR_IDIO</v>
          </cell>
          <cell r="B5689" t="str">
            <v>EUR Inflation Linked Idio</v>
          </cell>
          <cell r="C5689" t="str">
            <v>BRS_GOLD__2_INFLATION:IBND_IDIO:IBND_EUR_IDIO</v>
          </cell>
          <cell r="D5689" t="str">
            <v>Duration</v>
          </cell>
          <cell r="E5689" t="str">
            <v>Other Yield</v>
          </cell>
          <cell r="F5689" t="str">
            <v>Idiosyncratic</v>
          </cell>
          <cell r="G5689" t="str">
            <v>Other</v>
          </cell>
          <cell r="H5689" t="str">
            <v>OTHER_SPECIFIC</v>
          </cell>
          <cell r="I5689" t="str">
            <v>Inflation - Idiosyncratic</v>
          </cell>
        </row>
        <row r="5690">
          <cell r="A5690" t="str">
            <v>IBND_GBP_IDIO</v>
          </cell>
          <cell r="B5690" t="str">
            <v>GBP Inflation Linked Idio</v>
          </cell>
          <cell r="C5690" t="str">
            <v>BRS_GOLD__2_INFLATION:IBND_IDIO:IBND_GBP_IDIO</v>
          </cell>
          <cell r="D5690" t="str">
            <v>Duration</v>
          </cell>
          <cell r="E5690" t="str">
            <v>Other Yield</v>
          </cell>
          <cell r="F5690" t="str">
            <v>Idiosyncratic</v>
          </cell>
          <cell r="G5690" t="str">
            <v>Other</v>
          </cell>
          <cell r="H5690" t="str">
            <v>OTHER_SPECIFIC</v>
          </cell>
          <cell r="I5690" t="str">
            <v>Inflation - Idiosyncratic</v>
          </cell>
        </row>
        <row r="5691">
          <cell r="A5691" t="str">
            <v>IBND_JPY_IDIO</v>
          </cell>
          <cell r="B5691" t="str">
            <v>JPY Inflation Linked Idio</v>
          </cell>
          <cell r="C5691" t="str">
            <v>BRS_GOLD__2_INFLATION:IBND_IDIO:IBND_JPY_IDIO</v>
          </cell>
          <cell r="D5691" t="str">
            <v>Duration</v>
          </cell>
          <cell r="E5691" t="str">
            <v>Other Yield</v>
          </cell>
          <cell r="F5691" t="str">
            <v>Idiosyncratic</v>
          </cell>
          <cell r="G5691" t="str">
            <v>Other</v>
          </cell>
          <cell r="H5691" t="str">
            <v>OTHER_SPECIFIC</v>
          </cell>
          <cell r="I5691" t="str">
            <v>Inflation - Idiosyncratic</v>
          </cell>
        </row>
        <row r="5692">
          <cell r="A5692" t="str">
            <v>IBND_USD_IDIO</v>
          </cell>
          <cell r="B5692" t="str">
            <v>USD Inflation Linked Idio</v>
          </cell>
          <cell r="C5692" t="str">
            <v>BRS_GOLD__2_INFLATION:IBND_IDIO:IBND_USD_IDIO</v>
          </cell>
          <cell r="D5692" t="str">
            <v>Duration</v>
          </cell>
          <cell r="E5692" t="str">
            <v>Other Yield</v>
          </cell>
          <cell r="F5692" t="str">
            <v>Idiosyncratic</v>
          </cell>
          <cell r="G5692" t="str">
            <v>Other</v>
          </cell>
          <cell r="H5692" t="str">
            <v>OTHER_SPECIFIC</v>
          </cell>
          <cell r="I5692" t="str">
            <v>Inflation - Idiosyncratic</v>
          </cell>
        </row>
        <row r="5693">
          <cell r="A5693" t="str">
            <v>IBND_OTH_IDIO</v>
          </cell>
          <cell r="B5693" t="str">
            <v>Other Inflation Linked Idio</v>
          </cell>
          <cell r="C5693" t="str">
            <v>BRS_GOLD__2_INFLATION:IBND_IDIO:IBND_OTH_IDIO</v>
          </cell>
          <cell r="D5693" t="str">
            <v>Duration</v>
          </cell>
          <cell r="E5693" t="str">
            <v>Other Yield</v>
          </cell>
          <cell r="F5693" t="str">
            <v>Idiosyncratic</v>
          </cell>
          <cell r="G5693" t="str">
            <v>Other</v>
          </cell>
          <cell r="H5693" t="str">
            <v>OTHER_SPECIFIC</v>
          </cell>
          <cell r="I5693" t="str">
            <v>Inflation - Idiosyncratic</v>
          </cell>
        </row>
        <row r="5694">
          <cell r="A5694" t="str">
            <v>USD_EURUSD_3m</v>
          </cell>
          <cell r="B5694" t="str">
            <v>EUR USD Vol 3M</v>
          </cell>
          <cell r="C5694" t="str">
            <v>BRS_GOLD__2_FX:FX_VOL:USD_EURUSD_3m</v>
          </cell>
          <cell r="D5694" t="str">
            <v>Implied Vol Duration</v>
          </cell>
          <cell r="E5694" t="str">
            <v>Implied Vol</v>
          </cell>
          <cell r="F5694" t="str">
            <v>Other</v>
          </cell>
          <cell r="G5694" t="str">
            <v>Other</v>
          </cell>
          <cell r="H5694" t="str">
            <v>OTHER</v>
          </cell>
          <cell r="I5694" t="str">
            <v>FX Volatility</v>
          </cell>
        </row>
        <row r="5695">
          <cell r="A5695" t="str">
            <v>USD_EURUSD_1y</v>
          </cell>
          <cell r="B5695" t="str">
            <v>EUR USD Vol 1Y</v>
          </cell>
          <cell r="C5695" t="str">
            <v>BRS_GOLD__2_FX:FX_VOL:USD_EURUSD_1y</v>
          </cell>
          <cell r="D5695" t="str">
            <v>Implied Vol Duration</v>
          </cell>
          <cell r="E5695" t="str">
            <v>Implied Vol</v>
          </cell>
          <cell r="F5695" t="str">
            <v>Other</v>
          </cell>
          <cell r="G5695" t="str">
            <v>Other</v>
          </cell>
          <cell r="H5695" t="str">
            <v>OTHER</v>
          </cell>
          <cell r="I5695" t="str">
            <v>FX Volatility</v>
          </cell>
        </row>
        <row r="5696">
          <cell r="A5696" t="str">
            <v>USD_GBPUSD_3m</v>
          </cell>
          <cell r="B5696" t="str">
            <v>GBP USD Vol 3M</v>
          </cell>
          <cell r="C5696" t="str">
            <v>BRS_GOLD__2_FX:FX_VOL:USD_GBPUSD_3m</v>
          </cell>
          <cell r="D5696" t="str">
            <v>Implied Vol Duration</v>
          </cell>
          <cell r="E5696" t="str">
            <v>Implied Vol</v>
          </cell>
          <cell r="F5696" t="str">
            <v>Other</v>
          </cell>
          <cell r="G5696" t="str">
            <v>Other</v>
          </cell>
          <cell r="H5696" t="str">
            <v>OTHER</v>
          </cell>
          <cell r="I5696" t="str">
            <v>FX Volatility</v>
          </cell>
        </row>
        <row r="5697">
          <cell r="A5697" t="str">
            <v>USD_GBPUSD_1y</v>
          </cell>
          <cell r="B5697" t="str">
            <v>GBP USD Vol 1Y</v>
          </cell>
          <cell r="C5697" t="str">
            <v>BRS_GOLD__2_FX:FX_VOL:USD_GBPUSD_1y</v>
          </cell>
          <cell r="D5697" t="str">
            <v>Implied Vol Duration</v>
          </cell>
          <cell r="E5697" t="str">
            <v>Implied Vol</v>
          </cell>
          <cell r="F5697" t="str">
            <v>Other</v>
          </cell>
          <cell r="G5697" t="str">
            <v>Other</v>
          </cell>
          <cell r="H5697" t="str">
            <v>OTHER</v>
          </cell>
          <cell r="I5697" t="str">
            <v>FX Volatility</v>
          </cell>
        </row>
        <row r="5698">
          <cell r="A5698" t="str">
            <v>USD_EURGBP_3m</v>
          </cell>
          <cell r="B5698" t="str">
            <v>EUR GBP Vol 3M</v>
          </cell>
          <cell r="C5698" t="str">
            <v>BRS_GOLD__2_FX:FX_VOL:USD_EURGBP_3m</v>
          </cell>
          <cell r="D5698" t="str">
            <v>Implied Vol Duration</v>
          </cell>
          <cell r="E5698" t="str">
            <v>Implied Vol</v>
          </cell>
          <cell r="F5698" t="str">
            <v>Other</v>
          </cell>
          <cell r="G5698" t="str">
            <v>Other</v>
          </cell>
          <cell r="H5698" t="str">
            <v>OTHER</v>
          </cell>
          <cell r="I5698" t="str">
            <v>FX Volatility</v>
          </cell>
        </row>
        <row r="5699">
          <cell r="A5699" t="str">
            <v>USD_EURGBP_1y</v>
          </cell>
          <cell r="B5699" t="str">
            <v>EUR GBP Vol 1Y</v>
          </cell>
          <cell r="C5699" t="str">
            <v>BRS_GOLD__2_FX:FX_VOL:USD_EURGBP_1y</v>
          </cell>
          <cell r="D5699" t="str">
            <v>Implied Vol Duration</v>
          </cell>
          <cell r="E5699" t="str">
            <v>Implied Vol</v>
          </cell>
          <cell r="F5699" t="str">
            <v>Other</v>
          </cell>
          <cell r="G5699" t="str">
            <v>Other</v>
          </cell>
          <cell r="H5699" t="str">
            <v>OTHER</v>
          </cell>
          <cell r="I5699" t="str">
            <v>FX Volatility</v>
          </cell>
        </row>
        <row r="5700">
          <cell r="A5700" t="str">
            <v>USD_USDJPY_3m</v>
          </cell>
          <cell r="B5700" t="str">
            <v>USD JPY Vol 3M</v>
          </cell>
          <cell r="C5700" t="str">
            <v>BRS_GOLD__2_FX:FX_VOL:USD_USDJPY_3m</v>
          </cell>
          <cell r="D5700" t="str">
            <v>Implied Vol Duration</v>
          </cell>
          <cell r="E5700" t="str">
            <v>Implied Vol</v>
          </cell>
          <cell r="F5700" t="str">
            <v>Other</v>
          </cell>
          <cell r="G5700" t="str">
            <v>Other</v>
          </cell>
          <cell r="H5700" t="str">
            <v>OTHER</v>
          </cell>
          <cell r="I5700" t="str">
            <v>FX Volatility</v>
          </cell>
        </row>
        <row r="5701">
          <cell r="A5701" t="str">
            <v>USD_USDJPY_1y</v>
          </cell>
          <cell r="B5701" t="str">
            <v>USD JPY Vol 1Y</v>
          </cell>
          <cell r="C5701" t="str">
            <v>BRS_GOLD__2_FX:FX_VOL:USD_USDJPY_1y</v>
          </cell>
          <cell r="D5701" t="str">
            <v>Implied Vol Duration</v>
          </cell>
          <cell r="E5701" t="str">
            <v>Implied Vol</v>
          </cell>
          <cell r="F5701" t="str">
            <v>Other</v>
          </cell>
          <cell r="G5701" t="str">
            <v>Other</v>
          </cell>
          <cell r="H5701" t="str">
            <v>OTHER</v>
          </cell>
          <cell r="I5701" t="str">
            <v>FX Volatility</v>
          </cell>
        </row>
        <row r="5702">
          <cell r="A5702" t="str">
            <v>USD_EURJPY_3m</v>
          </cell>
          <cell r="B5702" t="str">
            <v>EUR JPY Vol 3M</v>
          </cell>
          <cell r="C5702" t="str">
            <v>BRS_GOLD__2_FX:FX_VOL:USD_EURJPY_3m</v>
          </cell>
          <cell r="D5702" t="str">
            <v>Implied Vol Duration</v>
          </cell>
          <cell r="E5702" t="str">
            <v>Implied Vol</v>
          </cell>
          <cell r="F5702" t="str">
            <v>Other</v>
          </cell>
          <cell r="G5702" t="str">
            <v>Other</v>
          </cell>
          <cell r="H5702" t="str">
            <v>OTHER</v>
          </cell>
          <cell r="I5702" t="str">
            <v>FX Volatility</v>
          </cell>
        </row>
        <row r="5703">
          <cell r="A5703" t="str">
            <v>USD_EURJPY_1y</v>
          </cell>
          <cell r="B5703" t="str">
            <v>EUR JPY Vol 1Y</v>
          </cell>
          <cell r="C5703" t="str">
            <v>BRS_GOLD__2_FX:FX_VOL:USD_EURJPY_1y</v>
          </cell>
          <cell r="D5703" t="str">
            <v>Implied Vol Duration</v>
          </cell>
          <cell r="E5703" t="str">
            <v>Implied Vol</v>
          </cell>
          <cell r="F5703" t="str">
            <v>Other</v>
          </cell>
          <cell r="G5703" t="str">
            <v>Other</v>
          </cell>
          <cell r="H5703" t="str">
            <v>OTHER</v>
          </cell>
          <cell r="I5703" t="str">
            <v>FX Volatility</v>
          </cell>
        </row>
        <row r="5704">
          <cell r="A5704" t="str">
            <v>USD_GBPJPY_3m</v>
          </cell>
          <cell r="B5704" t="str">
            <v>GBP JPY Vol 3M</v>
          </cell>
          <cell r="C5704" t="str">
            <v>BRS_GOLD__2_FX:FX_VOL:USD_GBPJPY_3m</v>
          </cell>
          <cell r="D5704" t="str">
            <v>Implied Vol Duration</v>
          </cell>
          <cell r="E5704" t="str">
            <v>Implied Vol</v>
          </cell>
          <cell r="F5704" t="str">
            <v>Other</v>
          </cell>
          <cell r="G5704" t="str">
            <v>Other</v>
          </cell>
          <cell r="H5704" t="str">
            <v>OTHER</v>
          </cell>
          <cell r="I5704" t="str">
            <v>FX Volatility</v>
          </cell>
        </row>
        <row r="5705">
          <cell r="A5705" t="str">
            <v>USD_GBPJPY_1y</v>
          </cell>
          <cell r="B5705" t="str">
            <v>GBP JPY Vol 1Y</v>
          </cell>
          <cell r="C5705" t="str">
            <v>BRS_GOLD__2_FX:FX_VOL:USD_GBPJPY_1y</v>
          </cell>
          <cell r="D5705" t="str">
            <v>Implied Vol Duration</v>
          </cell>
          <cell r="E5705" t="str">
            <v>Implied Vol</v>
          </cell>
          <cell r="F5705" t="str">
            <v>Other</v>
          </cell>
          <cell r="G5705" t="str">
            <v>Other</v>
          </cell>
          <cell r="H5705" t="str">
            <v>OTHER</v>
          </cell>
          <cell r="I5705" t="str">
            <v>FX Volatility</v>
          </cell>
        </row>
        <row r="5706">
          <cell r="A5706" t="str">
            <v>USD_USDCHF_3m</v>
          </cell>
          <cell r="B5706" t="str">
            <v>USD CHF Vol 3M</v>
          </cell>
          <cell r="C5706" t="str">
            <v>BRS_GOLD__2_FX:FX_VOL:USD_USDCHF_3m</v>
          </cell>
          <cell r="D5706" t="str">
            <v>Implied Vol Duration</v>
          </cell>
          <cell r="E5706" t="str">
            <v>Implied Vol</v>
          </cell>
          <cell r="F5706" t="str">
            <v>Other</v>
          </cell>
          <cell r="G5706" t="str">
            <v>Other</v>
          </cell>
          <cell r="H5706" t="str">
            <v>OTHER</v>
          </cell>
          <cell r="I5706" t="str">
            <v>FX Volatility</v>
          </cell>
        </row>
        <row r="5707">
          <cell r="A5707" t="str">
            <v>USD_USDCHF_1y</v>
          </cell>
          <cell r="B5707" t="str">
            <v>USD CHF Vol 1Y</v>
          </cell>
          <cell r="C5707" t="str">
            <v>BRS_GOLD__2_FX:FX_VOL:USD_USDCHF_1y</v>
          </cell>
          <cell r="D5707" t="str">
            <v>Implied Vol Duration</v>
          </cell>
          <cell r="E5707" t="str">
            <v>Implied Vol</v>
          </cell>
          <cell r="F5707" t="str">
            <v>Other</v>
          </cell>
          <cell r="G5707" t="str">
            <v>Other</v>
          </cell>
          <cell r="H5707" t="str">
            <v>OTHER</v>
          </cell>
          <cell r="I5707" t="str">
            <v>FX Volatility</v>
          </cell>
        </row>
        <row r="5708">
          <cell r="A5708" t="str">
            <v>USD_EURCHF_3m</v>
          </cell>
          <cell r="B5708" t="str">
            <v>EUR CHF Vol 3M</v>
          </cell>
          <cell r="C5708" t="str">
            <v>BRS_GOLD__2_FX:FX_VOL:USD_EURCHF_3m</v>
          </cell>
          <cell r="D5708" t="str">
            <v>Implied Vol Duration</v>
          </cell>
          <cell r="E5708" t="str">
            <v>Implied Vol</v>
          </cell>
          <cell r="F5708" t="str">
            <v>Other</v>
          </cell>
          <cell r="G5708" t="str">
            <v>Other</v>
          </cell>
          <cell r="H5708" t="str">
            <v>OTHER</v>
          </cell>
          <cell r="I5708" t="str">
            <v>FX Volatility</v>
          </cell>
        </row>
        <row r="5709">
          <cell r="A5709" t="str">
            <v>USD_EURCHF_1y</v>
          </cell>
          <cell r="B5709" t="str">
            <v>EUR CHF Vol 1Y</v>
          </cell>
          <cell r="C5709" t="str">
            <v>BRS_GOLD__2_FX:FX_VOL:USD_EURCHF_1y</v>
          </cell>
          <cell r="D5709" t="str">
            <v>Implied Vol Duration</v>
          </cell>
          <cell r="E5709" t="str">
            <v>Implied Vol</v>
          </cell>
          <cell r="F5709" t="str">
            <v>Other</v>
          </cell>
          <cell r="G5709" t="str">
            <v>Other</v>
          </cell>
          <cell r="H5709" t="str">
            <v>OTHER</v>
          </cell>
          <cell r="I5709" t="str">
            <v>FX Volatility</v>
          </cell>
        </row>
        <row r="5710">
          <cell r="A5710" t="str">
            <v>USD_EURCZK_3m</v>
          </cell>
          <cell r="B5710" t="str">
            <v>EUR CZK Vol 3M</v>
          </cell>
          <cell r="C5710" t="str">
            <v>BRS_GOLD__2_FX:FX_VOL:USD_EURCZK_3m</v>
          </cell>
          <cell r="D5710" t="str">
            <v>Implied Vol Duration</v>
          </cell>
          <cell r="E5710" t="str">
            <v>Implied Vol</v>
          </cell>
          <cell r="F5710" t="str">
            <v>Other</v>
          </cell>
          <cell r="G5710" t="str">
            <v>Other</v>
          </cell>
          <cell r="H5710" t="str">
            <v>OTHER</v>
          </cell>
          <cell r="I5710" t="str">
            <v>FX Volatility</v>
          </cell>
        </row>
        <row r="5711">
          <cell r="A5711" t="str">
            <v>USD_EURCZK_1y</v>
          </cell>
          <cell r="B5711" t="str">
            <v>EUR CZK Vol 1Y</v>
          </cell>
          <cell r="C5711" t="str">
            <v>BRS_GOLD__2_FX:FX_VOL:USD_EURCZK_1y</v>
          </cell>
          <cell r="D5711" t="str">
            <v>Implied Vol Duration</v>
          </cell>
          <cell r="E5711" t="str">
            <v>Implied Vol</v>
          </cell>
          <cell r="F5711" t="str">
            <v>Other</v>
          </cell>
          <cell r="G5711" t="str">
            <v>Other</v>
          </cell>
          <cell r="H5711" t="str">
            <v>OTHER</v>
          </cell>
          <cell r="I5711" t="str">
            <v>FX Volatility</v>
          </cell>
        </row>
        <row r="5712">
          <cell r="A5712" t="str">
            <v>USD_USDSEK_3m</v>
          </cell>
          <cell r="B5712" t="str">
            <v>USD SEK Vol 3M</v>
          </cell>
          <cell r="C5712" t="str">
            <v>BRS_GOLD__2_FX:FX_VOL:USD_USDSEK_3m</v>
          </cell>
          <cell r="D5712" t="str">
            <v>Implied Vol Duration</v>
          </cell>
          <cell r="E5712" t="str">
            <v>Implied Vol</v>
          </cell>
          <cell r="F5712" t="str">
            <v>Other</v>
          </cell>
          <cell r="G5712" t="str">
            <v>Other</v>
          </cell>
          <cell r="H5712" t="str">
            <v>OTHER</v>
          </cell>
          <cell r="I5712" t="str">
            <v>FX Volatility</v>
          </cell>
        </row>
        <row r="5713">
          <cell r="A5713" t="str">
            <v>USD_USDSEK_1y</v>
          </cell>
          <cell r="B5713" t="str">
            <v>USD SEK Vol 1Y</v>
          </cell>
          <cell r="C5713" t="str">
            <v>BRS_GOLD__2_FX:FX_VOL:USD_USDSEK_1y</v>
          </cell>
          <cell r="D5713" t="str">
            <v>Implied Vol Duration</v>
          </cell>
          <cell r="E5713" t="str">
            <v>Implied Vol</v>
          </cell>
          <cell r="F5713" t="str">
            <v>Other</v>
          </cell>
          <cell r="G5713" t="str">
            <v>Other</v>
          </cell>
          <cell r="H5713" t="str">
            <v>OTHER</v>
          </cell>
          <cell r="I5713" t="str">
            <v>FX Volatility</v>
          </cell>
        </row>
        <row r="5714">
          <cell r="A5714" t="str">
            <v>USD_EURSEK_3m</v>
          </cell>
          <cell r="B5714" t="str">
            <v>EUR SEK Vol 3M</v>
          </cell>
          <cell r="C5714" t="str">
            <v>BRS_GOLD__2_FX:FX_VOL:USD_EURSEK_3m</v>
          </cell>
          <cell r="D5714" t="str">
            <v>Implied Vol Duration</v>
          </cell>
          <cell r="E5714" t="str">
            <v>Implied Vol</v>
          </cell>
          <cell r="F5714" t="str">
            <v>Other</v>
          </cell>
          <cell r="G5714" t="str">
            <v>Other</v>
          </cell>
          <cell r="H5714" t="str">
            <v>OTHER</v>
          </cell>
          <cell r="I5714" t="str">
            <v>FX Volatility</v>
          </cell>
        </row>
        <row r="5715">
          <cell r="A5715" t="str">
            <v>USD_EURSEK_1y</v>
          </cell>
          <cell r="B5715" t="str">
            <v>EUR SEK Vol 1Y</v>
          </cell>
          <cell r="C5715" t="str">
            <v>BRS_GOLD__2_FX:FX_VOL:USD_EURSEK_1y</v>
          </cell>
          <cell r="D5715" t="str">
            <v>Implied Vol Duration</v>
          </cell>
          <cell r="E5715" t="str">
            <v>Implied Vol</v>
          </cell>
          <cell r="F5715" t="str">
            <v>Other</v>
          </cell>
          <cell r="G5715" t="str">
            <v>Other</v>
          </cell>
          <cell r="H5715" t="str">
            <v>OTHER</v>
          </cell>
          <cell r="I5715" t="str">
            <v>FX Volatility</v>
          </cell>
        </row>
        <row r="5716">
          <cell r="A5716" t="str">
            <v>USD_USDPLN_3m</v>
          </cell>
          <cell r="B5716" t="str">
            <v>USD PLN Vol 3M</v>
          </cell>
          <cell r="C5716" t="str">
            <v>BRS_GOLD__2_FX:FX_VOL:USD_USDPLN_3m</v>
          </cell>
          <cell r="D5716" t="str">
            <v>Implied Vol Duration</v>
          </cell>
          <cell r="E5716" t="str">
            <v>Implied Vol</v>
          </cell>
          <cell r="F5716" t="str">
            <v>Other</v>
          </cell>
          <cell r="G5716" t="str">
            <v>Other</v>
          </cell>
          <cell r="H5716" t="str">
            <v>OTHER</v>
          </cell>
          <cell r="I5716" t="str">
            <v>FX Volatility</v>
          </cell>
        </row>
        <row r="5717">
          <cell r="A5717" t="str">
            <v>USD_USDPLN_1y</v>
          </cell>
          <cell r="B5717" t="str">
            <v>USD PLN Vol 1Y</v>
          </cell>
          <cell r="C5717" t="str">
            <v>BRS_GOLD__2_FX:FX_VOL:USD_USDPLN_1y</v>
          </cell>
          <cell r="D5717" t="str">
            <v>Implied Vol Duration</v>
          </cell>
          <cell r="E5717" t="str">
            <v>Implied Vol</v>
          </cell>
          <cell r="F5717" t="str">
            <v>Other</v>
          </cell>
          <cell r="G5717" t="str">
            <v>Other</v>
          </cell>
          <cell r="H5717" t="str">
            <v>OTHER</v>
          </cell>
          <cell r="I5717" t="str">
            <v>FX Volatility</v>
          </cell>
        </row>
        <row r="5718">
          <cell r="A5718" t="str">
            <v>USD_EURPLN_3m</v>
          </cell>
          <cell r="B5718" t="str">
            <v>EUR PLN Vol 3M</v>
          </cell>
          <cell r="C5718" t="str">
            <v>BRS_GOLD__2_FX:FX_VOL:USD_EURPLN_3m</v>
          </cell>
          <cell r="D5718" t="str">
            <v>Implied Vol Duration</v>
          </cell>
          <cell r="E5718" t="str">
            <v>Implied Vol</v>
          </cell>
          <cell r="F5718" t="str">
            <v>Other</v>
          </cell>
          <cell r="G5718" t="str">
            <v>Other</v>
          </cell>
          <cell r="H5718" t="str">
            <v>OTHER</v>
          </cell>
          <cell r="I5718" t="str">
            <v>FX Volatility</v>
          </cell>
        </row>
        <row r="5719">
          <cell r="A5719" t="str">
            <v>USD_EURPLN_1y</v>
          </cell>
          <cell r="B5719" t="str">
            <v>EUR PLN Vol 1Y</v>
          </cell>
          <cell r="C5719" t="str">
            <v>BRS_GOLD__2_FX:FX_VOL:USD_EURPLN_1y</v>
          </cell>
          <cell r="D5719" t="str">
            <v>Implied Vol Duration</v>
          </cell>
          <cell r="E5719" t="str">
            <v>Implied Vol</v>
          </cell>
          <cell r="F5719" t="str">
            <v>Other</v>
          </cell>
          <cell r="G5719" t="str">
            <v>Other</v>
          </cell>
          <cell r="H5719" t="str">
            <v>OTHER</v>
          </cell>
          <cell r="I5719" t="str">
            <v>FX Volatility</v>
          </cell>
        </row>
        <row r="5720">
          <cell r="A5720" t="str">
            <v>USD_USDNOK_3m</v>
          </cell>
          <cell r="B5720" t="str">
            <v>USD NOK Vol 3M</v>
          </cell>
          <cell r="C5720" t="str">
            <v>BRS_GOLD__2_FX:FX_VOL:USD_USDNOK_3m</v>
          </cell>
          <cell r="D5720" t="str">
            <v>Implied Vol Duration</v>
          </cell>
          <cell r="E5720" t="str">
            <v>Implied Vol</v>
          </cell>
          <cell r="F5720" t="str">
            <v>Other</v>
          </cell>
          <cell r="G5720" t="str">
            <v>Other</v>
          </cell>
          <cell r="H5720" t="str">
            <v>OTHER</v>
          </cell>
          <cell r="I5720" t="str">
            <v>FX Volatility</v>
          </cell>
        </row>
        <row r="5721">
          <cell r="A5721" t="str">
            <v>USD_USDNOK_1y</v>
          </cell>
          <cell r="B5721" t="str">
            <v>USD NOK Vol 1Y</v>
          </cell>
          <cell r="C5721" t="str">
            <v>BRS_GOLD__2_FX:FX_VOL:USD_USDNOK_1y</v>
          </cell>
          <cell r="D5721" t="str">
            <v>Implied Vol Duration</v>
          </cell>
          <cell r="E5721" t="str">
            <v>Implied Vol</v>
          </cell>
          <cell r="F5721" t="str">
            <v>Other</v>
          </cell>
          <cell r="G5721" t="str">
            <v>Other</v>
          </cell>
          <cell r="H5721" t="str">
            <v>OTHER</v>
          </cell>
          <cell r="I5721" t="str">
            <v>FX Volatility</v>
          </cell>
        </row>
        <row r="5722">
          <cell r="A5722" t="str">
            <v>USD_EURNOK_3m</v>
          </cell>
          <cell r="B5722" t="str">
            <v>EUR NOK Vol 3M</v>
          </cell>
          <cell r="C5722" t="str">
            <v>BRS_GOLD__2_FX:FX_VOL:USD_EURNOK_3m</v>
          </cell>
          <cell r="D5722" t="str">
            <v>Implied Vol Duration</v>
          </cell>
          <cell r="E5722" t="str">
            <v>Implied Vol</v>
          </cell>
          <cell r="F5722" t="str">
            <v>Other</v>
          </cell>
          <cell r="G5722" t="str">
            <v>Other</v>
          </cell>
          <cell r="H5722" t="str">
            <v>OTHER</v>
          </cell>
          <cell r="I5722" t="str">
            <v>FX Volatility</v>
          </cell>
        </row>
        <row r="5723">
          <cell r="A5723" t="str">
            <v>USD_EURNOK_1y</v>
          </cell>
          <cell r="B5723" t="str">
            <v>EUR NOK Vol 1Y</v>
          </cell>
          <cell r="C5723" t="str">
            <v>BRS_GOLD__2_FX:FX_VOL:USD_EURNOK_1y</v>
          </cell>
          <cell r="D5723" t="str">
            <v>Implied Vol Duration</v>
          </cell>
          <cell r="E5723" t="str">
            <v>Implied Vol</v>
          </cell>
          <cell r="F5723" t="str">
            <v>Other</v>
          </cell>
          <cell r="G5723" t="str">
            <v>Other</v>
          </cell>
          <cell r="H5723" t="str">
            <v>OTHER</v>
          </cell>
          <cell r="I5723" t="str">
            <v>FX Volatility</v>
          </cell>
        </row>
        <row r="5724">
          <cell r="A5724" t="str">
            <v>USD_USDILS_3m</v>
          </cell>
          <cell r="B5724" t="str">
            <v>USD ILS Vol 3M</v>
          </cell>
          <cell r="C5724" t="str">
            <v>BRS_GOLD__2_FX:FX_VOL:USD_USDILS_3m</v>
          </cell>
          <cell r="D5724" t="str">
            <v>Implied Vol Duration</v>
          </cell>
          <cell r="E5724" t="str">
            <v>Implied Vol</v>
          </cell>
          <cell r="F5724" t="str">
            <v>Other</v>
          </cell>
          <cell r="G5724" t="str">
            <v>Other</v>
          </cell>
          <cell r="H5724" t="str">
            <v>OTHER</v>
          </cell>
          <cell r="I5724" t="str">
            <v>FX Volatility</v>
          </cell>
        </row>
        <row r="5725">
          <cell r="A5725" t="str">
            <v>USD_USDILS_1y</v>
          </cell>
          <cell r="B5725" t="str">
            <v>USD ILS Vol 1Y</v>
          </cell>
          <cell r="C5725" t="str">
            <v>BRS_GOLD__2_FX:FX_VOL:USD_USDILS_1y</v>
          </cell>
          <cell r="D5725" t="str">
            <v>Implied Vol Duration</v>
          </cell>
          <cell r="E5725" t="str">
            <v>Implied Vol</v>
          </cell>
          <cell r="F5725" t="str">
            <v>Other</v>
          </cell>
          <cell r="G5725" t="str">
            <v>Other</v>
          </cell>
          <cell r="H5725" t="str">
            <v>OTHER</v>
          </cell>
          <cell r="I5725" t="str">
            <v>FX Volatility</v>
          </cell>
        </row>
        <row r="5726">
          <cell r="A5726" t="str">
            <v>USD_EURILS_3m</v>
          </cell>
          <cell r="B5726" t="str">
            <v>EUR ILS Vol 3M</v>
          </cell>
          <cell r="C5726" t="str">
            <v>BRS_GOLD__2_FX:FX_VOL:USD_EURILS_3m</v>
          </cell>
          <cell r="D5726" t="str">
            <v>Implied Vol Duration</v>
          </cell>
          <cell r="E5726" t="str">
            <v>Implied Vol</v>
          </cell>
          <cell r="F5726" t="str">
            <v>Other</v>
          </cell>
          <cell r="G5726" t="str">
            <v>Other</v>
          </cell>
          <cell r="H5726" t="str">
            <v>OTHER</v>
          </cell>
          <cell r="I5726" t="str">
            <v>FX Volatility</v>
          </cell>
        </row>
        <row r="5727">
          <cell r="A5727" t="str">
            <v>USD_EURILS_1y</v>
          </cell>
          <cell r="B5727" t="str">
            <v>EUR ILS Vol 1Y</v>
          </cell>
          <cell r="C5727" t="str">
            <v>BRS_GOLD__2_FX:FX_VOL:USD_EURILS_1y</v>
          </cell>
          <cell r="D5727" t="str">
            <v>Implied Vol Duration</v>
          </cell>
          <cell r="E5727" t="str">
            <v>Implied Vol</v>
          </cell>
          <cell r="F5727" t="str">
            <v>Other</v>
          </cell>
          <cell r="G5727" t="str">
            <v>Other</v>
          </cell>
          <cell r="H5727" t="str">
            <v>OTHER</v>
          </cell>
          <cell r="I5727" t="str">
            <v>FX Volatility</v>
          </cell>
        </row>
        <row r="5728">
          <cell r="A5728" t="str">
            <v>USD_EURHUF_3m</v>
          </cell>
          <cell r="B5728" t="str">
            <v>EUR HUF Vol 3M</v>
          </cell>
          <cell r="C5728" t="str">
            <v>BRS_GOLD__2_FX:FX_VOL:USD_EURHUF_3m</v>
          </cell>
          <cell r="D5728" t="str">
            <v>Implied Vol Duration</v>
          </cell>
          <cell r="E5728" t="str">
            <v>Implied Vol</v>
          </cell>
          <cell r="F5728" t="str">
            <v>Other</v>
          </cell>
          <cell r="G5728" t="str">
            <v>Other</v>
          </cell>
          <cell r="H5728" t="str">
            <v>OTHER</v>
          </cell>
          <cell r="I5728" t="str">
            <v>FX Volatility</v>
          </cell>
        </row>
        <row r="5729">
          <cell r="A5729" t="str">
            <v>USD_EURHUF_1y</v>
          </cell>
          <cell r="B5729" t="str">
            <v>EUR HUF Vol 1Y</v>
          </cell>
          <cell r="C5729" t="str">
            <v>BRS_GOLD__2_FX:FX_VOL:USD_EURHUF_1y</v>
          </cell>
          <cell r="D5729" t="str">
            <v>Implied Vol Duration</v>
          </cell>
          <cell r="E5729" t="str">
            <v>Implied Vol</v>
          </cell>
          <cell r="F5729" t="str">
            <v>Other</v>
          </cell>
          <cell r="G5729" t="str">
            <v>Other</v>
          </cell>
          <cell r="H5729" t="str">
            <v>OTHER</v>
          </cell>
          <cell r="I5729" t="str">
            <v>FX Volatility</v>
          </cell>
        </row>
        <row r="5730">
          <cell r="A5730" t="str">
            <v>USD_USDTRY_3m</v>
          </cell>
          <cell r="B5730" t="str">
            <v>USD TRY Vol 3M</v>
          </cell>
          <cell r="C5730" t="str">
            <v>BRS_GOLD__2_FX:FX_VOL:USD_USDTRY_3m</v>
          </cell>
          <cell r="D5730" t="str">
            <v>Implied Vol Duration</v>
          </cell>
          <cell r="E5730" t="str">
            <v>Implied Vol</v>
          </cell>
          <cell r="F5730" t="str">
            <v>Other</v>
          </cell>
          <cell r="G5730" t="str">
            <v>Other</v>
          </cell>
          <cell r="H5730" t="str">
            <v>OTHER</v>
          </cell>
          <cell r="I5730" t="str">
            <v>FX Volatility</v>
          </cell>
        </row>
        <row r="5731">
          <cell r="A5731" t="str">
            <v>USD_USDTRY_1y</v>
          </cell>
          <cell r="B5731" t="str">
            <v>USD TRY Vol 1Y</v>
          </cell>
          <cell r="C5731" t="str">
            <v>BRS_GOLD__2_FX:FX_VOL:USD_USDTRY_1y</v>
          </cell>
          <cell r="D5731" t="str">
            <v>Implied Vol Duration</v>
          </cell>
          <cell r="E5731" t="str">
            <v>Implied Vol</v>
          </cell>
          <cell r="F5731" t="str">
            <v>Other</v>
          </cell>
          <cell r="G5731" t="str">
            <v>Other</v>
          </cell>
          <cell r="H5731" t="str">
            <v>OTHER</v>
          </cell>
          <cell r="I5731" t="str">
            <v>FX Volatility</v>
          </cell>
        </row>
        <row r="5732">
          <cell r="A5732" t="str">
            <v>USD_EURTRY_3m</v>
          </cell>
          <cell r="B5732" t="str">
            <v>EUR TRY Vol 3M</v>
          </cell>
          <cell r="C5732" t="str">
            <v>BRS_GOLD__2_FX:FX_VOL:USD_EURTRY_3m</v>
          </cell>
          <cell r="D5732" t="str">
            <v>Implied Vol Duration</v>
          </cell>
          <cell r="E5732" t="str">
            <v>Implied Vol</v>
          </cell>
          <cell r="F5732" t="str">
            <v>Other</v>
          </cell>
          <cell r="G5732" t="str">
            <v>Other</v>
          </cell>
          <cell r="H5732" t="str">
            <v>OTHER</v>
          </cell>
          <cell r="I5732" t="str">
            <v>FX Volatility</v>
          </cell>
        </row>
        <row r="5733">
          <cell r="A5733" t="str">
            <v>USD_EURTRY_1y</v>
          </cell>
          <cell r="B5733" t="str">
            <v>EUR TRY Vol 1Y</v>
          </cell>
          <cell r="C5733" t="str">
            <v>BRS_GOLD__2_FX:FX_VOL:USD_EURTRY_1y</v>
          </cell>
          <cell r="D5733" t="str">
            <v>Implied Vol Duration</v>
          </cell>
          <cell r="E5733" t="str">
            <v>Implied Vol</v>
          </cell>
          <cell r="F5733" t="str">
            <v>Other</v>
          </cell>
          <cell r="G5733" t="str">
            <v>Other</v>
          </cell>
          <cell r="H5733" t="str">
            <v>OTHER</v>
          </cell>
          <cell r="I5733" t="str">
            <v>FX Volatility</v>
          </cell>
        </row>
        <row r="5734">
          <cell r="A5734" t="str">
            <v>USD_USDCAD_3m</v>
          </cell>
          <cell r="B5734" t="str">
            <v>USD CAD Vol 3M</v>
          </cell>
          <cell r="C5734" t="str">
            <v>BRS_GOLD__2_FX:FX_VOL:USD_USDCAD_3m</v>
          </cell>
          <cell r="D5734" t="str">
            <v>Implied Vol Duration</v>
          </cell>
          <cell r="E5734" t="str">
            <v>Implied Vol</v>
          </cell>
          <cell r="F5734" t="str">
            <v>Other</v>
          </cell>
          <cell r="G5734" t="str">
            <v>Other</v>
          </cell>
          <cell r="H5734" t="str">
            <v>OTHER</v>
          </cell>
          <cell r="I5734" t="str">
            <v>FX Volatility</v>
          </cell>
        </row>
        <row r="5735">
          <cell r="A5735" t="str">
            <v>USD_USDCAD_1y</v>
          </cell>
          <cell r="B5735" t="str">
            <v>USD CAD Vol 1Y</v>
          </cell>
          <cell r="C5735" t="str">
            <v>BRS_GOLD__2_FX:FX_VOL:USD_USDCAD_1y</v>
          </cell>
          <cell r="D5735" t="str">
            <v>Implied Vol Duration</v>
          </cell>
          <cell r="E5735" t="str">
            <v>Implied Vol</v>
          </cell>
          <cell r="F5735" t="str">
            <v>Other</v>
          </cell>
          <cell r="G5735" t="str">
            <v>Other</v>
          </cell>
          <cell r="H5735" t="str">
            <v>OTHER</v>
          </cell>
          <cell r="I5735" t="str">
            <v>FX Volatility</v>
          </cell>
        </row>
        <row r="5736">
          <cell r="A5736" t="str">
            <v>USD_USDMXN_3m</v>
          </cell>
          <cell r="B5736" t="str">
            <v>USD MXN Vol 3M</v>
          </cell>
          <cell r="C5736" t="str">
            <v>BRS_GOLD__2_FX:FX_VOL:USD_USDMXN_3m</v>
          </cell>
          <cell r="D5736" t="str">
            <v>Implied Vol Duration</v>
          </cell>
          <cell r="E5736" t="str">
            <v>Implied Vol</v>
          </cell>
          <cell r="F5736" t="str">
            <v>Other</v>
          </cell>
          <cell r="G5736" t="str">
            <v>Other</v>
          </cell>
          <cell r="H5736" t="str">
            <v>OTHER</v>
          </cell>
          <cell r="I5736" t="str">
            <v>FX Volatility</v>
          </cell>
        </row>
        <row r="5737">
          <cell r="A5737" t="str">
            <v>USD_USDMXN_1y</v>
          </cell>
          <cell r="B5737" t="str">
            <v>USD MXN Vol 1Y</v>
          </cell>
          <cell r="C5737" t="str">
            <v>BRS_GOLD__2_FX:FX_VOL:USD_USDMXN_1y</v>
          </cell>
          <cell r="D5737" t="str">
            <v>Implied Vol Duration</v>
          </cell>
          <cell r="E5737" t="str">
            <v>Implied Vol</v>
          </cell>
          <cell r="F5737" t="str">
            <v>Other</v>
          </cell>
          <cell r="G5737" t="str">
            <v>Other</v>
          </cell>
          <cell r="H5737" t="str">
            <v>OTHER</v>
          </cell>
          <cell r="I5737" t="str">
            <v>FX Volatility</v>
          </cell>
        </row>
        <row r="5738">
          <cell r="A5738" t="str">
            <v>USD_AUDUSD_3m</v>
          </cell>
          <cell r="B5738" t="str">
            <v>AUD USD Vol 3M</v>
          </cell>
          <cell r="C5738" t="str">
            <v>BRS_GOLD__2_FX:FX_VOL:USD_AUDUSD_3m</v>
          </cell>
          <cell r="D5738" t="str">
            <v>Implied Vol Duration</v>
          </cell>
          <cell r="E5738" t="str">
            <v>Implied Vol</v>
          </cell>
          <cell r="F5738" t="str">
            <v>Other</v>
          </cell>
          <cell r="G5738" t="str">
            <v>Other</v>
          </cell>
          <cell r="H5738" t="str">
            <v>OTHER</v>
          </cell>
          <cell r="I5738" t="str">
            <v>FX Volatility</v>
          </cell>
        </row>
        <row r="5739">
          <cell r="A5739" t="str">
            <v>USD_AUDUSD_1y</v>
          </cell>
          <cell r="B5739" t="str">
            <v>AUD USD Vol 1Y</v>
          </cell>
          <cell r="C5739" t="str">
            <v>BRS_GOLD__2_FX:FX_VOL:USD_AUDUSD_1y</v>
          </cell>
          <cell r="D5739" t="str">
            <v>Implied Vol Duration</v>
          </cell>
          <cell r="E5739" t="str">
            <v>Implied Vol</v>
          </cell>
          <cell r="F5739" t="str">
            <v>Other</v>
          </cell>
          <cell r="G5739" t="str">
            <v>Other</v>
          </cell>
          <cell r="H5739" t="str">
            <v>OTHER</v>
          </cell>
          <cell r="I5739" t="str">
            <v>FX Volatility</v>
          </cell>
        </row>
        <row r="5740">
          <cell r="A5740" t="str">
            <v>USD_NZDUSD_3m</v>
          </cell>
          <cell r="B5740" t="str">
            <v>NZD USD Vol 3M</v>
          </cell>
          <cell r="C5740" t="str">
            <v>BRS_GOLD__2_FX:FX_VOL:USD_NZDUSD_3m</v>
          </cell>
          <cell r="D5740" t="str">
            <v>Implied Vol Duration</v>
          </cell>
          <cell r="E5740" t="str">
            <v>Implied Vol</v>
          </cell>
          <cell r="F5740" t="str">
            <v>Other</v>
          </cell>
          <cell r="G5740" t="str">
            <v>Other</v>
          </cell>
          <cell r="H5740" t="str">
            <v>OTHER</v>
          </cell>
          <cell r="I5740" t="str">
            <v>FX Volatility</v>
          </cell>
        </row>
        <row r="5741">
          <cell r="A5741" t="str">
            <v>USD_NZDUSD_1y</v>
          </cell>
          <cell r="B5741" t="str">
            <v>NZD USD Vol 1Y</v>
          </cell>
          <cell r="C5741" t="str">
            <v>BRS_GOLD__2_FX:FX_VOL:USD_NZDUSD_1y</v>
          </cell>
          <cell r="D5741" t="str">
            <v>Implied Vol Duration</v>
          </cell>
          <cell r="E5741" t="str">
            <v>Implied Vol</v>
          </cell>
          <cell r="F5741" t="str">
            <v>Other</v>
          </cell>
          <cell r="G5741" t="str">
            <v>Other</v>
          </cell>
          <cell r="H5741" t="str">
            <v>OTHER</v>
          </cell>
          <cell r="I5741" t="str">
            <v>FX Volatility</v>
          </cell>
        </row>
        <row r="5742">
          <cell r="A5742" t="str">
            <v>USD_USDBRL_3m</v>
          </cell>
          <cell r="B5742" t="str">
            <v>USD BRL Vol 3M</v>
          </cell>
          <cell r="C5742" t="str">
            <v>BRS_GOLD__2_FX:FX_VOL:USD_USDBRL_3m</v>
          </cell>
          <cell r="D5742" t="str">
            <v>Implied Vol Duration</v>
          </cell>
          <cell r="E5742" t="str">
            <v>Implied Vol</v>
          </cell>
          <cell r="F5742" t="str">
            <v>Other</v>
          </cell>
          <cell r="G5742" t="str">
            <v>Other</v>
          </cell>
          <cell r="H5742" t="str">
            <v>OTHER</v>
          </cell>
          <cell r="I5742" t="str">
            <v>FX Volatility</v>
          </cell>
        </row>
        <row r="5743">
          <cell r="A5743" t="str">
            <v>USD_USDBRL_1y</v>
          </cell>
          <cell r="B5743" t="str">
            <v>USD BRL Vol 1Y</v>
          </cell>
          <cell r="C5743" t="str">
            <v>BRS_GOLD__2_FX:FX_VOL:USD_USDBRL_1y</v>
          </cell>
          <cell r="D5743" t="str">
            <v>Implied Vol Duration</v>
          </cell>
          <cell r="E5743" t="str">
            <v>Implied Vol</v>
          </cell>
          <cell r="F5743" t="str">
            <v>Other</v>
          </cell>
          <cell r="G5743" t="str">
            <v>Other</v>
          </cell>
          <cell r="H5743" t="str">
            <v>OTHER</v>
          </cell>
          <cell r="I5743" t="str">
            <v>FX Volatility</v>
          </cell>
        </row>
        <row r="5744">
          <cell r="A5744" t="str">
            <v>USD_USDZAR_3m</v>
          </cell>
          <cell r="B5744" t="str">
            <v>USD ZAR Vol 3M</v>
          </cell>
          <cell r="C5744" t="str">
            <v>BRS_GOLD__2_FX:FX_VOL:USD_USDZAR_3m</v>
          </cell>
          <cell r="D5744" t="str">
            <v>Implied Vol Duration</v>
          </cell>
          <cell r="E5744" t="str">
            <v>Implied Vol</v>
          </cell>
          <cell r="F5744" t="str">
            <v>Other</v>
          </cell>
          <cell r="G5744" t="str">
            <v>Other</v>
          </cell>
          <cell r="H5744" t="str">
            <v>OTHER</v>
          </cell>
          <cell r="I5744" t="str">
            <v>FX Volatility</v>
          </cell>
        </row>
        <row r="5745">
          <cell r="A5745" t="str">
            <v>USD_USDZAR_1y</v>
          </cell>
          <cell r="B5745" t="str">
            <v>USD ZAR Vol 1Y</v>
          </cell>
          <cell r="C5745" t="str">
            <v>BRS_GOLD__2_FX:FX_VOL:USD_USDZAR_1y</v>
          </cell>
          <cell r="D5745" t="str">
            <v>Implied Vol Duration</v>
          </cell>
          <cell r="E5745" t="str">
            <v>Implied Vol</v>
          </cell>
          <cell r="F5745" t="str">
            <v>Other</v>
          </cell>
          <cell r="G5745" t="str">
            <v>Other</v>
          </cell>
          <cell r="H5745" t="str">
            <v>OTHER</v>
          </cell>
          <cell r="I5745" t="str">
            <v>FX Volatility</v>
          </cell>
        </row>
        <row r="5746">
          <cell r="A5746" t="str">
            <v>USD_EURZAR_3m</v>
          </cell>
          <cell r="B5746" t="str">
            <v>EUR ZAR Vol 3M</v>
          </cell>
          <cell r="C5746" t="str">
            <v>BRS_GOLD__2_FX:FX_VOL:USD_EURZAR_3m</v>
          </cell>
          <cell r="D5746" t="str">
            <v>Implied Vol Duration</v>
          </cell>
          <cell r="E5746" t="str">
            <v>Implied Vol</v>
          </cell>
          <cell r="F5746" t="str">
            <v>Other</v>
          </cell>
          <cell r="G5746" t="str">
            <v>Other</v>
          </cell>
          <cell r="H5746" t="str">
            <v>OTHER</v>
          </cell>
          <cell r="I5746" t="str">
            <v>FX Volatility</v>
          </cell>
        </row>
        <row r="5747">
          <cell r="A5747" t="str">
            <v>USD_EURZAR_1y</v>
          </cell>
          <cell r="B5747" t="str">
            <v>EUR ZAR Vol 1Y</v>
          </cell>
          <cell r="C5747" t="str">
            <v>BRS_GOLD__2_FX:FX_VOL:USD_EURZAR_1y</v>
          </cell>
          <cell r="D5747" t="str">
            <v>Implied Vol Duration</v>
          </cell>
          <cell r="E5747" t="str">
            <v>Implied Vol</v>
          </cell>
          <cell r="F5747" t="str">
            <v>Other</v>
          </cell>
          <cell r="G5747" t="str">
            <v>Other</v>
          </cell>
          <cell r="H5747" t="str">
            <v>OTHER</v>
          </cell>
          <cell r="I5747" t="str">
            <v>FX Volatility</v>
          </cell>
        </row>
        <row r="5748">
          <cell r="A5748" t="str">
            <v>USD_USDKRW_3m</v>
          </cell>
          <cell r="B5748" t="str">
            <v>USD KRW Vol 3M</v>
          </cell>
          <cell r="C5748" t="str">
            <v>BRS_GOLD__2_FX:FX_VOL:USD_USDKRW_3m</v>
          </cell>
          <cell r="D5748" t="str">
            <v>Implied Vol Duration</v>
          </cell>
          <cell r="E5748" t="str">
            <v>Implied Vol</v>
          </cell>
          <cell r="F5748" t="str">
            <v>Other</v>
          </cell>
          <cell r="G5748" t="str">
            <v>Other</v>
          </cell>
          <cell r="H5748" t="str">
            <v>OTHER</v>
          </cell>
          <cell r="I5748" t="str">
            <v>FX Volatility</v>
          </cell>
        </row>
        <row r="5749">
          <cell r="A5749" t="str">
            <v>USD_USDKRW_1y</v>
          </cell>
          <cell r="B5749" t="str">
            <v>USD KRW Vol 1Y</v>
          </cell>
          <cell r="C5749" t="str">
            <v>BRS_GOLD__2_FX:FX_VOL:USD_USDKRW_1y</v>
          </cell>
          <cell r="D5749" t="str">
            <v>Implied Vol Duration</v>
          </cell>
          <cell r="E5749" t="str">
            <v>Implied Vol</v>
          </cell>
          <cell r="F5749" t="str">
            <v>Other</v>
          </cell>
          <cell r="G5749" t="str">
            <v>Other</v>
          </cell>
          <cell r="H5749" t="str">
            <v>OTHER</v>
          </cell>
          <cell r="I5749" t="str">
            <v>FX Volatility</v>
          </cell>
        </row>
        <row r="5750">
          <cell r="A5750" t="str">
            <v>USD_USDINR_3m</v>
          </cell>
          <cell r="B5750" t="str">
            <v>USD INR Vol 3M</v>
          </cell>
          <cell r="C5750" t="str">
            <v>BRS_GOLD__2_FX:FX_VOL:USD_USDINR_3m</v>
          </cell>
          <cell r="D5750" t="str">
            <v>Implied Vol Duration</v>
          </cell>
          <cell r="E5750" t="str">
            <v>Implied Vol</v>
          </cell>
          <cell r="F5750" t="str">
            <v>Other</v>
          </cell>
          <cell r="G5750" t="str">
            <v>Other</v>
          </cell>
          <cell r="H5750" t="str">
            <v>OTHER</v>
          </cell>
          <cell r="I5750" t="str">
            <v>FX Volatility</v>
          </cell>
        </row>
        <row r="5751">
          <cell r="A5751" t="str">
            <v>USD_USDINR_1y</v>
          </cell>
          <cell r="B5751" t="str">
            <v>USD INR Vol 1Y</v>
          </cell>
          <cell r="C5751" t="str">
            <v>BRS_GOLD__2_FX:FX_VOL:USD_USDINR_1y</v>
          </cell>
          <cell r="D5751" t="str">
            <v>Implied Vol Duration</v>
          </cell>
          <cell r="E5751" t="str">
            <v>Implied Vol</v>
          </cell>
          <cell r="F5751" t="str">
            <v>Other</v>
          </cell>
          <cell r="G5751" t="str">
            <v>Other</v>
          </cell>
          <cell r="H5751" t="str">
            <v>OTHER</v>
          </cell>
          <cell r="I5751" t="str">
            <v>FX Volatility</v>
          </cell>
        </row>
        <row r="5752">
          <cell r="A5752" t="str">
            <v>USD_USDSGD_3m</v>
          </cell>
          <cell r="B5752" t="str">
            <v>USD SGD Vol 3M</v>
          </cell>
          <cell r="C5752" t="str">
            <v>BRS_GOLD__2_FX:FX_VOL:USD_USDSGD_3m</v>
          </cell>
          <cell r="D5752" t="str">
            <v>Implied Vol Duration</v>
          </cell>
          <cell r="E5752" t="str">
            <v>Implied Vol</v>
          </cell>
          <cell r="F5752" t="str">
            <v>Other</v>
          </cell>
          <cell r="G5752" t="str">
            <v>Other</v>
          </cell>
          <cell r="H5752" t="str">
            <v>OTHER</v>
          </cell>
          <cell r="I5752" t="str">
            <v>FX Volatility</v>
          </cell>
        </row>
        <row r="5753">
          <cell r="A5753" t="str">
            <v>USD_USDSGD_1y</v>
          </cell>
          <cell r="B5753" t="str">
            <v>USD SGD Vol 1Y</v>
          </cell>
          <cell r="C5753" t="str">
            <v>BRS_GOLD__2_FX:FX_VOL:USD_USDSGD_1y</v>
          </cell>
          <cell r="D5753" t="str">
            <v>Implied Vol Duration</v>
          </cell>
          <cell r="E5753" t="str">
            <v>Implied Vol</v>
          </cell>
          <cell r="F5753" t="str">
            <v>Other</v>
          </cell>
          <cell r="G5753" t="str">
            <v>Other</v>
          </cell>
          <cell r="H5753" t="str">
            <v>OTHER</v>
          </cell>
          <cell r="I5753" t="str">
            <v>FX Volatility</v>
          </cell>
        </row>
        <row r="5754">
          <cell r="A5754" t="str">
            <v>USD_USDIDR_3m</v>
          </cell>
          <cell r="B5754" t="str">
            <v>USD IDR Vol 3M</v>
          </cell>
          <cell r="C5754" t="str">
            <v>BRS_GOLD__2_FX:FX_VOL:USD_USDIDR_3m</v>
          </cell>
          <cell r="D5754" t="str">
            <v>Implied Vol Duration</v>
          </cell>
          <cell r="E5754" t="str">
            <v>Implied Vol</v>
          </cell>
          <cell r="F5754" t="str">
            <v>Other</v>
          </cell>
          <cell r="G5754" t="str">
            <v>Other</v>
          </cell>
          <cell r="H5754" t="str">
            <v>OTHER</v>
          </cell>
          <cell r="I5754" t="str">
            <v>FX Volatility</v>
          </cell>
        </row>
        <row r="5755">
          <cell r="A5755" t="str">
            <v>USD_USDIDR_1y</v>
          </cell>
          <cell r="B5755" t="str">
            <v>USD IDR Vol 1Y</v>
          </cell>
          <cell r="C5755" t="str">
            <v>BRS_GOLD__2_FX:FX_VOL:USD_USDIDR_1y</v>
          </cell>
          <cell r="D5755" t="str">
            <v>Implied Vol Duration</v>
          </cell>
          <cell r="E5755" t="str">
            <v>Implied Vol</v>
          </cell>
          <cell r="F5755" t="str">
            <v>Other</v>
          </cell>
          <cell r="G5755" t="str">
            <v>Other</v>
          </cell>
          <cell r="H5755" t="str">
            <v>OTHER</v>
          </cell>
          <cell r="I5755" t="str">
            <v>FX Volatility</v>
          </cell>
        </row>
        <row r="5756">
          <cell r="A5756" t="str">
            <v>USD_EURBRL_3m</v>
          </cell>
          <cell r="B5756" t="str">
            <v>EUR BRL Vol 3M</v>
          </cell>
          <cell r="C5756" t="str">
            <v>BRS_GOLD__2_FX:FX_VOL:USD_EURBRL_3m</v>
          </cell>
          <cell r="D5756" t="str">
            <v>Implied Vol Duration</v>
          </cell>
          <cell r="E5756" t="str">
            <v>Implied Vol</v>
          </cell>
          <cell r="F5756" t="str">
            <v>Other</v>
          </cell>
          <cell r="G5756" t="str">
            <v>Other</v>
          </cell>
          <cell r="H5756" t="str">
            <v>OTHER</v>
          </cell>
          <cell r="I5756" t="str">
            <v>FX Volatility</v>
          </cell>
        </row>
        <row r="5757">
          <cell r="A5757" t="str">
            <v>USD_EURBRL_1y</v>
          </cell>
          <cell r="B5757" t="str">
            <v>EUR BRL Vol 1Y</v>
          </cell>
          <cell r="C5757" t="str">
            <v>BRS_GOLD__2_FX:FX_VOL:USD_EURBRL_1y</v>
          </cell>
          <cell r="D5757" t="str">
            <v>Implied Vol Duration</v>
          </cell>
          <cell r="E5757" t="str">
            <v>Implied Vol</v>
          </cell>
          <cell r="F5757" t="str">
            <v>Other</v>
          </cell>
          <cell r="G5757" t="str">
            <v>Other</v>
          </cell>
          <cell r="H5757" t="str">
            <v>OTHER</v>
          </cell>
          <cell r="I5757" t="str">
            <v>FX Volatility</v>
          </cell>
        </row>
        <row r="5758">
          <cell r="A5758" t="str">
            <v>USD_EURCAD_3m</v>
          </cell>
          <cell r="B5758" t="str">
            <v>EUR CAD Vol 3M</v>
          </cell>
          <cell r="C5758" t="str">
            <v>BRS_GOLD__2_FX:FX_VOL:USD_EURCAD_3m</v>
          </cell>
          <cell r="D5758" t="str">
            <v>Implied Vol Duration</v>
          </cell>
          <cell r="E5758" t="str">
            <v>Implied Vol</v>
          </cell>
          <cell r="F5758" t="str">
            <v>Other</v>
          </cell>
          <cell r="G5758" t="str">
            <v>Other</v>
          </cell>
          <cell r="H5758" t="str">
            <v>OTHER</v>
          </cell>
          <cell r="I5758" t="str">
            <v>FX Volatility</v>
          </cell>
        </row>
        <row r="5759">
          <cell r="A5759" t="str">
            <v>USD_EURCAD_1y</v>
          </cell>
          <cell r="B5759" t="str">
            <v>EUR CAD Vol 1Y</v>
          </cell>
          <cell r="C5759" t="str">
            <v>BRS_GOLD__2_FX:FX_VOL:USD_EURCAD_1y</v>
          </cell>
          <cell r="D5759" t="str">
            <v>Implied Vol Duration</v>
          </cell>
          <cell r="E5759" t="str">
            <v>Implied Vol</v>
          </cell>
          <cell r="F5759" t="str">
            <v>Other</v>
          </cell>
          <cell r="G5759" t="str">
            <v>Other</v>
          </cell>
          <cell r="H5759" t="str">
            <v>OTHER</v>
          </cell>
          <cell r="I5759" t="str">
            <v>FX Volatility</v>
          </cell>
        </row>
        <row r="5760">
          <cell r="A5760" t="str">
            <v>USD_GBPAUD_3m</v>
          </cell>
          <cell r="B5760" t="str">
            <v>GBP AUD Vol 3M</v>
          </cell>
          <cell r="C5760" t="str">
            <v>BRS_GOLD__2_FX:FX_VOL:USD_GBPAUD_3m</v>
          </cell>
          <cell r="D5760" t="str">
            <v>Implied Vol Duration</v>
          </cell>
          <cell r="E5760" t="str">
            <v>Implied Vol</v>
          </cell>
          <cell r="F5760" t="str">
            <v>Other</v>
          </cell>
          <cell r="G5760" t="str">
            <v>Other</v>
          </cell>
          <cell r="H5760" t="str">
            <v>OTHER</v>
          </cell>
          <cell r="I5760" t="str">
            <v>FX Volatility</v>
          </cell>
        </row>
        <row r="5761">
          <cell r="A5761" t="str">
            <v>USD_GBPAUD_1y</v>
          </cell>
          <cell r="B5761" t="str">
            <v>GBP AUD Vol 1Y</v>
          </cell>
          <cell r="C5761" t="str">
            <v>BRS_GOLD__2_FX:FX_VOL:USD_GBPAUD_1y</v>
          </cell>
          <cell r="D5761" t="str">
            <v>Implied Vol Duration</v>
          </cell>
          <cell r="E5761" t="str">
            <v>Implied Vol</v>
          </cell>
          <cell r="F5761" t="str">
            <v>Other</v>
          </cell>
          <cell r="G5761" t="str">
            <v>Other</v>
          </cell>
          <cell r="H5761" t="str">
            <v>OTHER</v>
          </cell>
          <cell r="I5761" t="str">
            <v>FX Volatility</v>
          </cell>
        </row>
        <row r="5762">
          <cell r="A5762" t="str">
            <v>USD_GBPCHF_3m</v>
          </cell>
          <cell r="B5762" t="str">
            <v>GBP CHF Vol 3M</v>
          </cell>
          <cell r="C5762" t="str">
            <v>BRS_GOLD__2_FX:FX_VOL:USD_GBPCHF_3m</v>
          </cell>
          <cell r="D5762" t="str">
            <v>Implied Vol Duration</v>
          </cell>
          <cell r="E5762" t="str">
            <v>Implied Vol</v>
          </cell>
          <cell r="F5762" t="str">
            <v>Other</v>
          </cell>
          <cell r="G5762" t="str">
            <v>Other</v>
          </cell>
          <cell r="H5762" t="str">
            <v>OTHER</v>
          </cell>
          <cell r="I5762" t="str">
            <v>FX Volatility</v>
          </cell>
        </row>
        <row r="5763">
          <cell r="A5763" t="str">
            <v>USD_GBPCHF_1y</v>
          </cell>
          <cell r="B5763" t="str">
            <v>GBP CHF Vol 1Y</v>
          </cell>
          <cell r="C5763" t="str">
            <v>BRS_GOLD__2_FX:FX_VOL:USD_GBPCHF_1y</v>
          </cell>
          <cell r="D5763" t="str">
            <v>Implied Vol Duration</v>
          </cell>
          <cell r="E5763" t="str">
            <v>Implied Vol</v>
          </cell>
          <cell r="F5763" t="str">
            <v>Other</v>
          </cell>
          <cell r="G5763" t="str">
            <v>Other</v>
          </cell>
          <cell r="H5763" t="str">
            <v>OTHER</v>
          </cell>
          <cell r="I5763" t="str">
            <v>FX Volatility</v>
          </cell>
        </row>
        <row r="5764">
          <cell r="A5764" t="str">
            <v>USD_GBPSEK_3m</v>
          </cell>
          <cell r="B5764" t="str">
            <v>GBP SEK Vol 3M</v>
          </cell>
          <cell r="C5764" t="str">
            <v>BRS_GOLD__2_FX:FX_VOL:USD_GBPSEK_3m</v>
          </cell>
          <cell r="D5764" t="str">
            <v>Implied Vol Duration</v>
          </cell>
          <cell r="E5764" t="str">
            <v>Implied Vol</v>
          </cell>
          <cell r="F5764" t="str">
            <v>Other</v>
          </cell>
          <cell r="G5764" t="str">
            <v>Other</v>
          </cell>
          <cell r="H5764" t="str">
            <v>OTHER</v>
          </cell>
          <cell r="I5764" t="str">
            <v>FX Volatility</v>
          </cell>
        </row>
        <row r="5765">
          <cell r="A5765" t="str">
            <v>USD_GBPSEK_1y</v>
          </cell>
          <cell r="B5765" t="str">
            <v>GBP SEK Vol 1Y</v>
          </cell>
          <cell r="C5765" t="str">
            <v>BRS_GOLD__2_FX:FX_VOL:USD_GBPSEK_1y</v>
          </cell>
          <cell r="D5765" t="str">
            <v>Implied Vol Duration</v>
          </cell>
          <cell r="E5765" t="str">
            <v>Implied Vol</v>
          </cell>
          <cell r="F5765" t="str">
            <v>Other</v>
          </cell>
          <cell r="G5765" t="str">
            <v>Other</v>
          </cell>
          <cell r="H5765" t="str">
            <v>OTHER</v>
          </cell>
          <cell r="I5765" t="str">
            <v>FX Volatility</v>
          </cell>
        </row>
        <row r="5766">
          <cell r="A5766" t="str">
            <v>USD_CADCHF_3m</v>
          </cell>
          <cell r="B5766" t="str">
            <v>CAD CHF Vol 3M</v>
          </cell>
          <cell r="C5766" t="str">
            <v>BRS_GOLD__2_FX:FX_VOL:USD_CADCHF_3m</v>
          </cell>
          <cell r="D5766" t="str">
            <v>Implied Vol Duration</v>
          </cell>
          <cell r="E5766" t="str">
            <v>Implied Vol</v>
          </cell>
          <cell r="F5766" t="str">
            <v>Other</v>
          </cell>
          <cell r="G5766" t="str">
            <v>Other</v>
          </cell>
          <cell r="H5766" t="str">
            <v>OTHER</v>
          </cell>
          <cell r="I5766" t="str">
            <v>FX Volatility</v>
          </cell>
        </row>
        <row r="5767">
          <cell r="A5767" t="str">
            <v>USD_CADCHF_1y</v>
          </cell>
          <cell r="B5767" t="str">
            <v>CAD CHF Vol 1Y</v>
          </cell>
          <cell r="C5767" t="str">
            <v>BRS_GOLD__2_FX:FX_VOL:USD_CADCHF_1y</v>
          </cell>
          <cell r="D5767" t="str">
            <v>Implied Vol Duration</v>
          </cell>
          <cell r="E5767" t="str">
            <v>Implied Vol</v>
          </cell>
          <cell r="F5767" t="str">
            <v>Other</v>
          </cell>
          <cell r="G5767" t="str">
            <v>Other</v>
          </cell>
          <cell r="H5767" t="str">
            <v>OTHER</v>
          </cell>
          <cell r="I5767" t="str">
            <v>FX Volatility</v>
          </cell>
        </row>
        <row r="5768">
          <cell r="A5768" t="str">
            <v>USD_CHFSEK_3m</v>
          </cell>
          <cell r="B5768" t="str">
            <v>CHF SEK Vol 3M</v>
          </cell>
          <cell r="C5768" t="str">
            <v>BRS_GOLD__2_FX:FX_VOL:USD_CHFSEK_3m</v>
          </cell>
          <cell r="D5768" t="str">
            <v>Implied Vol Duration</v>
          </cell>
          <cell r="E5768" t="str">
            <v>Implied Vol</v>
          </cell>
          <cell r="F5768" t="str">
            <v>Other</v>
          </cell>
          <cell r="G5768" t="str">
            <v>Other</v>
          </cell>
          <cell r="H5768" t="str">
            <v>OTHER</v>
          </cell>
          <cell r="I5768" t="str">
            <v>FX Volatility</v>
          </cell>
        </row>
        <row r="5769">
          <cell r="A5769" t="str">
            <v>USD_CHFSEK_1y</v>
          </cell>
          <cell r="B5769" t="str">
            <v>CHF SEK Vol 1Y</v>
          </cell>
          <cell r="C5769" t="str">
            <v>BRS_GOLD__2_FX:FX_VOL:USD_CHFSEK_1y</v>
          </cell>
          <cell r="D5769" t="str">
            <v>Implied Vol Duration</v>
          </cell>
          <cell r="E5769" t="str">
            <v>Implied Vol</v>
          </cell>
          <cell r="F5769" t="str">
            <v>Other</v>
          </cell>
          <cell r="G5769" t="str">
            <v>Other</v>
          </cell>
          <cell r="H5769" t="str">
            <v>OTHER</v>
          </cell>
          <cell r="I5769" t="str">
            <v>FX Volatility</v>
          </cell>
        </row>
        <row r="5770">
          <cell r="A5770" t="str">
            <v>USD_USDCLP_3m</v>
          </cell>
          <cell r="B5770" t="str">
            <v>USD CLP Vol 3M</v>
          </cell>
          <cell r="C5770" t="str">
            <v>BRS_GOLD__2_FX:FX_VOL:USD_USDCLP_3m</v>
          </cell>
          <cell r="D5770" t="str">
            <v>Implied Vol Duration</v>
          </cell>
          <cell r="E5770" t="str">
            <v>Implied Vol</v>
          </cell>
          <cell r="F5770" t="str">
            <v>Other</v>
          </cell>
          <cell r="G5770" t="str">
            <v>Other</v>
          </cell>
          <cell r="H5770" t="str">
            <v>OTHER</v>
          </cell>
          <cell r="I5770" t="str">
            <v>FX Volatility</v>
          </cell>
        </row>
        <row r="5771">
          <cell r="A5771" t="str">
            <v>USD_USDCLP_1y</v>
          </cell>
          <cell r="B5771" t="str">
            <v>USD CLP Vol 1Y</v>
          </cell>
          <cell r="C5771" t="str">
            <v>BRS_GOLD__2_FX:FX_VOL:USD_USDCLP_1y</v>
          </cell>
          <cell r="D5771" t="str">
            <v>Implied Vol Duration</v>
          </cell>
          <cell r="E5771" t="str">
            <v>Implied Vol</v>
          </cell>
          <cell r="F5771" t="str">
            <v>Other</v>
          </cell>
          <cell r="G5771" t="str">
            <v>Other</v>
          </cell>
          <cell r="H5771" t="str">
            <v>OTHER</v>
          </cell>
          <cell r="I5771" t="str">
            <v>FX Volatility</v>
          </cell>
        </row>
        <row r="5772">
          <cell r="A5772" t="str">
            <v>USD_USDHKD_3m</v>
          </cell>
          <cell r="B5772" t="str">
            <v>USD HKD Vol 3M</v>
          </cell>
          <cell r="C5772" t="str">
            <v>BRS_GOLD__2_FX:FX_VOL:USD_USDHKD_3m</v>
          </cell>
          <cell r="D5772" t="str">
            <v>Implied Vol Duration</v>
          </cell>
          <cell r="E5772" t="str">
            <v>Implied Vol</v>
          </cell>
          <cell r="F5772" t="str">
            <v>Other</v>
          </cell>
          <cell r="G5772" t="str">
            <v>Other</v>
          </cell>
          <cell r="H5772" t="str">
            <v>OTHER</v>
          </cell>
          <cell r="I5772" t="str">
            <v>FX Volatility</v>
          </cell>
        </row>
        <row r="5773">
          <cell r="A5773" t="str">
            <v>USD_USDHKD_1y</v>
          </cell>
          <cell r="B5773" t="str">
            <v>USD HKD Vol 1Y</v>
          </cell>
          <cell r="C5773" t="str">
            <v>BRS_GOLD__2_FX:FX_VOL:USD_USDHKD_1y</v>
          </cell>
          <cell r="D5773" t="str">
            <v>Implied Vol Duration</v>
          </cell>
          <cell r="E5773" t="str">
            <v>Implied Vol</v>
          </cell>
          <cell r="F5773" t="str">
            <v>Other</v>
          </cell>
          <cell r="G5773" t="str">
            <v>Other</v>
          </cell>
          <cell r="H5773" t="str">
            <v>OTHER</v>
          </cell>
          <cell r="I5773" t="str">
            <v>FX Volatility</v>
          </cell>
        </row>
        <row r="5774">
          <cell r="A5774" t="str">
            <v>USD_USDHUF_3m</v>
          </cell>
          <cell r="B5774" t="str">
            <v>USD HUF Vol 3M</v>
          </cell>
          <cell r="C5774" t="str">
            <v>BRS_GOLD__2_FX:FX_VOL:USD_USDHUF_3m</v>
          </cell>
          <cell r="D5774" t="str">
            <v>Implied Vol Duration</v>
          </cell>
          <cell r="E5774" t="str">
            <v>Implied Vol</v>
          </cell>
          <cell r="F5774" t="str">
            <v>Other</v>
          </cell>
          <cell r="G5774" t="str">
            <v>Other</v>
          </cell>
          <cell r="H5774" t="str">
            <v>OTHER</v>
          </cell>
          <cell r="I5774" t="str">
            <v>FX Volatility</v>
          </cell>
        </row>
        <row r="5775">
          <cell r="A5775" t="str">
            <v>USD_USDHUF_1y</v>
          </cell>
          <cell r="B5775" t="str">
            <v>USD HUF Vol 1Y</v>
          </cell>
          <cell r="C5775" t="str">
            <v>BRS_GOLD__2_FX:FX_VOL:USD_USDHUF_1y</v>
          </cell>
          <cell r="D5775" t="str">
            <v>Implied Vol Duration</v>
          </cell>
          <cell r="E5775" t="str">
            <v>Implied Vol</v>
          </cell>
          <cell r="F5775" t="str">
            <v>Other</v>
          </cell>
          <cell r="G5775" t="str">
            <v>Other</v>
          </cell>
          <cell r="H5775" t="str">
            <v>OTHER</v>
          </cell>
          <cell r="I5775" t="str">
            <v>FX Volatility</v>
          </cell>
        </row>
        <row r="5776">
          <cell r="A5776" t="str">
            <v>USD_USDRUB_3m</v>
          </cell>
          <cell r="B5776" t="str">
            <v>USD RUB Vol 3M</v>
          </cell>
          <cell r="C5776" t="str">
            <v>BRS_GOLD__2_FX:FX_VOL:USD_USDRUB_3m</v>
          </cell>
          <cell r="D5776" t="str">
            <v>Implied Vol Duration</v>
          </cell>
          <cell r="E5776" t="str">
            <v>Implied Vol</v>
          </cell>
          <cell r="F5776" t="str">
            <v>Other</v>
          </cell>
          <cell r="G5776" t="str">
            <v>Other</v>
          </cell>
          <cell r="H5776" t="str">
            <v>OTHER</v>
          </cell>
          <cell r="I5776" t="str">
            <v>FX Volatility</v>
          </cell>
        </row>
        <row r="5777">
          <cell r="A5777" t="str">
            <v>USD_USDRUB_1y</v>
          </cell>
          <cell r="B5777" t="str">
            <v>USD RUB Vol 1Y</v>
          </cell>
          <cell r="C5777" t="str">
            <v>BRS_GOLD__2_FX:FX_VOL:USD_USDRUB_1y</v>
          </cell>
          <cell r="D5777" t="str">
            <v>Implied Vol Duration</v>
          </cell>
          <cell r="E5777" t="str">
            <v>Implied Vol</v>
          </cell>
          <cell r="F5777" t="str">
            <v>Other</v>
          </cell>
          <cell r="G5777" t="str">
            <v>Other</v>
          </cell>
          <cell r="H5777" t="str">
            <v>OTHER</v>
          </cell>
          <cell r="I5777" t="str">
            <v>FX Volatility</v>
          </cell>
        </row>
        <row r="5778">
          <cell r="A5778" t="str">
            <v>USD_AUDCAD_3m</v>
          </cell>
          <cell r="B5778" t="str">
            <v>AUD CAD Vol 3M</v>
          </cell>
          <cell r="C5778" t="str">
            <v>BRS_GOLD__2_FX:FX_VOL:USD_AUDCAD_3m</v>
          </cell>
          <cell r="D5778" t="str">
            <v>Implied Vol Duration</v>
          </cell>
          <cell r="E5778" t="str">
            <v>Implied Vol</v>
          </cell>
          <cell r="F5778" t="str">
            <v>Other</v>
          </cell>
          <cell r="G5778" t="str">
            <v>Other</v>
          </cell>
          <cell r="H5778" t="str">
            <v>OTHER</v>
          </cell>
          <cell r="I5778" t="str">
            <v>FX Volatility</v>
          </cell>
        </row>
        <row r="5779">
          <cell r="A5779" t="str">
            <v>USD_AUDCAD_1y</v>
          </cell>
          <cell r="B5779" t="str">
            <v>AUD CAD Vol 1Y</v>
          </cell>
          <cell r="C5779" t="str">
            <v>BRS_GOLD__2_FX:FX_VOL:USD_AUDCAD_1y</v>
          </cell>
          <cell r="D5779" t="str">
            <v>Implied Vol Duration</v>
          </cell>
          <cell r="E5779" t="str">
            <v>Implied Vol</v>
          </cell>
          <cell r="F5779" t="str">
            <v>Other</v>
          </cell>
          <cell r="G5779" t="str">
            <v>Other</v>
          </cell>
          <cell r="H5779" t="str">
            <v>OTHER</v>
          </cell>
          <cell r="I5779" t="str">
            <v>FX Volatility</v>
          </cell>
        </row>
        <row r="5780">
          <cell r="A5780" t="str">
            <v>USD_AUDJPY_3m</v>
          </cell>
          <cell r="B5780" t="str">
            <v>AUD JPY Vol 3M</v>
          </cell>
          <cell r="C5780" t="str">
            <v>BRS_GOLD__2_FX:FX_VOL:USD_AUDJPY_3m</v>
          </cell>
          <cell r="D5780" t="str">
            <v>Implied Vol Duration</v>
          </cell>
          <cell r="E5780" t="str">
            <v>Implied Vol</v>
          </cell>
          <cell r="F5780" t="str">
            <v>Other</v>
          </cell>
          <cell r="G5780" t="str">
            <v>Other</v>
          </cell>
          <cell r="H5780" t="str">
            <v>OTHER</v>
          </cell>
          <cell r="I5780" t="str">
            <v>FX Volatility</v>
          </cell>
        </row>
        <row r="5781">
          <cell r="A5781" t="str">
            <v>USD_AUDJPY_1y</v>
          </cell>
          <cell r="B5781" t="str">
            <v>AUD JPY Vol 1Y</v>
          </cell>
          <cell r="C5781" t="str">
            <v>BRS_GOLD__2_FX:FX_VOL:USD_AUDJPY_1y</v>
          </cell>
          <cell r="D5781" t="str">
            <v>Implied Vol Duration</v>
          </cell>
          <cell r="E5781" t="str">
            <v>Implied Vol</v>
          </cell>
          <cell r="F5781" t="str">
            <v>Other</v>
          </cell>
          <cell r="G5781" t="str">
            <v>Other</v>
          </cell>
          <cell r="H5781" t="str">
            <v>OTHER</v>
          </cell>
          <cell r="I5781" t="str">
            <v>FX Volatility</v>
          </cell>
        </row>
        <row r="5782">
          <cell r="A5782" t="str">
            <v>USD_USDCNH_1y</v>
          </cell>
          <cell r="B5782" t="str">
            <v>USD CNH Vol 1Y</v>
          </cell>
          <cell r="C5782" t="str">
            <v>BRS_GOLD__2_FX:FX_VOL:USD_USDCNH_1y</v>
          </cell>
          <cell r="D5782" t="str">
            <v>Implied Vol Duration</v>
          </cell>
          <cell r="E5782" t="str">
            <v>Implied Vol</v>
          </cell>
          <cell r="F5782" t="str">
            <v>Other</v>
          </cell>
          <cell r="G5782" t="str">
            <v>Other</v>
          </cell>
          <cell r="H5782" t="str">
            <v>OTHER</v>
          </cell>
          <cell r="I5782" t="str">
            <v>FX Volatility</v>
          </cell>
        </row>
        <row r="5783">
          <cell r="A5783" t="str">
            <v>USD_USDCNH_3m</v>
          </cell>
          <cell r="B5783" t="str">
            <v>USD CNH Vol 3M</v>
          </cell>
          <cell r="C5783" t="str">
            <v>BRS_GOLD__2_FX:FX_VOL:USD_USDCNH_3m</v>
          </cell>
          <cell r="D5783" t="str">
            <v>Implied Vol Duration</v>
          </cell>
          <cell r="E5783" t="str">
            <v>Implied Vol</v>
          </cell>
          <cell r="F5783" t="str">
            <v>Other</v>
          </cell>
          <cell r="G5783" t="str">
            <v>Other</v>
          </cell>
          <cell r="H5783" t="str">
            <v>OTHER</v>
          </cell>
          <cell r="I5783" t="str">
            <v>FX Volatility</v>
          </cell>
        </row>
        <row r="5784">
          <cell r="A5784" t="str">
            <v>USD_USDPHP_1y</v>
          </cell>
          <cell r="B5784" t="str">
            <v>USD PHP Vol 1Y</v>
          </cell>
          <cell r="C5784" t="str">
            <v>BRS_GOLD__2_FX:FX_VOL:USD_USDPHP_1y</v>
          </cell>
          <cell r="D5784" t="str">
            <v>Implied Vol Duration</v>
          </cell>
          <cell r="E5784" t="str">
            <v>Implied Vol</v>
          </cell>
          <cell r="F5784" t="str">
            <v>Other</v>
          </cell>
          <cell r="G5784" t="str">
            <v>Other</v>
          </cell>
          <cell r="H5784" t="str">
            <v>OTHER</v>
          </cell>
          <cell r="I5784" t="str">
            <v>FX Volatility</v>
          </cell>
        </row>
        <row r="5785">
          <cell r="A5785" t="str">
            <v>USD_USDPHP_3m</v>
          </cell>
          <cell r="B5785" t="str">
            <v>USD PHP Vol 3M</v>
          </cell>
          <cell r="C5785" t="str">
            <v>BRS_GOLD__2_FX:FX_VOL:USD_USDPHP_3m</v>
          </cell>
          <cell r="D5785" t="str">
            <v>Implied Vol Duration</v>
          </cell>
          <cell r="E5785" t="str">
            <v>Implied Vol</v>
          </cell>
          <cell r="F5785" t="str">
            <v>Other</v>
          </cell>
          <cell r="G5785" t="str">
            <v>Other</v>
          </cell>
          <cell r="H5785" t="str">
            <v>OTHER</v>
          </cell>
          <cell r="I5785" t="str">
            <v>FX Volatility</v>
          </cell>
        </row>
        <row r="5786">
          <cell r="A5786" t="str">
            <v>USD_AUDCHF_1y</v>
          </cell>
          <cell r="B5786" t="str">
            <v>AUD CHF Vol 1Y</v>
          </cell>
          <cell r="C5786" t="str">
            <v>BRS_GOLD__2_FX:FX_VOL:USD_AUDCHF_1y</v>
          </cell>
          <cell r="D5786" t="str">
            <v>Implied Vol Duration</v>
          </cell>
          <cell r="E5786" t="str">
            <v>Implied Vol</v>
          </cell>
          <cell r="F5786" t="str">
            <v>Other</v>
          </cell>
          <cell r="G5786" t="str">
            <v>Other</v>
          </cell>
          <cell r="H5786" t="str">
            <v>OTHER</v>
          </cell>
          <cell r="I5786" t="str">
            <v>FX Volatility</v>
          </cell>
        </row>
        <row r="5787">
          <cell r="A5787" t="str">
            <v>USD_AUDCHF_3m</v>
          </cell>
          <cell r="B5787" t="str">
            <v>AUD CHF Vol 3M</v>
          </cell>
          <cell r="C5787" t="str">
            <v>BRS_GOLD__2_FX:FX_VOL:USD_AUDCHF_3m</v>
          </cell>
          <cell r="D5787" t="str">
            <v>Implied Vol Duration</v>
          </cell>
          <cell r="E5787" t="str">
            <v>Implied Vol</v>
          </cell>
          <cell r="F5787" t="str">
            <v>Other</v>
          </cell>
          <cell r="G5787" t="str">
            <v>Other</v>
          </cell>
          <cell r="H5787" t="str">
            <v>OTHER</v>
          </cell>
          <cell r="I5787" t="str">
            <v>FX Volatility</v>
          </cell>
        </row>
        <row r="5788">
          <cell r="A5788" t="str">
            <v>USD_AUDMXN_1y</v>
          </cell>
          <cell r="B5788" t="str">
            <v>AUD MXN Vol 1Y</v>
          </cell>
          <cell r="C5788" t="str">
            <v>BRS_GOLD__2_FX:FX_VOL:USD_AUDMXN_1y</v>
          </cell>
          <cell r="D5788" t="str">
            <v>Implied Vol Duration</v>
          </cell>
          <cell r="E5788" t="str">
            <v>Implied Vol</v>
          </cell>
          <cell r="F5788" t="str">
            <v>Other</v>
          </cell>
          <cell r="G5788" t="str">
            <v>Other</v>
          </cell>
          <cell r="H5788" t="str">
            <v>OTHER</v>
          </cell>
          <cell r="I5788" t="str">
            <v>FX Volatility</v>
          </cell>
        </row>
        <row r="5789">
          <cell r="A5789" t="str">
            <v>USD_AUDMXN_3m</v>
          </cell>
          <cell r="B5789" t="str">
            <v>AUD MXN Vol 3M</v>
          </cell>
          <cell r="C5789" t="str">
            <v>BRS_GOLD__2_FX:FX_VOL:USD_AUDMXN_3m</v>
          </cell>
          <cell r="D5789" t="str">
            <v>Implied Vol Duration</v>
          </cell>
          <cell r="E5789" t="str">
            <v>Implied Vol</v>
          </cell>
          <cell r="F5789" t="str">
            <v>Other</v>
          </cell>
          <cell r="G5789" t="str">
            <v>Other</v>
          </cell>
          <cell r="H5789" t="str">
            <v>OTHER</v>
          </cell>
          <cell r="I5789" t="str">
            <v>FX Volatility</v>
          </cell>
        </row>
        <row r="5790">
          <cell r="A5790" t="str">
            <v>USD_AUDNOK_1y</v>
          </cell>
          <cell r="B5790" t="str">
            <v>AUD NOK Vol 1Y</v>
          </cell>
          <cell r="C5790" t="str">
            <v>BRS_GOLD__2_FX:FX_VOL:USD_AUDNOK_1y</v>
          </cell>
          <cell r="D5790" t="str">
            <v>Implied Vol Duration</v>
          </cell>
          <cell r="E5790" t="str">
            <v>Implied Vol</v>
          </cell>
          <cell r="F5790" t="str">
            <v>Other</v>
          </cell>
          <cell r="G5790" t="str">
            <v>Other</v>
          </cell>
          <cell r="H5790" t="str">
            <v>OTHER</v>
          </cell>
          <cell r="I5790" t="str">
            <v>FX Volatility</v>
          </cell>
        </row>
        <row r="5791">
          <cell r="A5791" t="str">
            <v>USD_AUDNOK_3m</v>
          </cell>
          <cell r="B5791" t="str">
            <v>AUD NOK Vol 3M</v>
          </cell>
          <cell r="C5791" t="str">
            <v>BRS_GOLD__2_FX:FX_VOL:USD_AUDNOK_3m</v>
          </cell>
          <cell r="D5791" t="str">
            <v>Implied Vol Duration</v>
          </cell>
          <cell r="E5791" t="str">
            <v>Implied Vol</v>
          </cell>
          <cell r="F5791" t="str">
            <v>Other</v>
          </cell>
          <cell r="G5791" t="str">
            <v>Other</v>
          </cell>
          <cell r="H5791" t="str">
            <v>OTHER</v>
          </cell>
          <cell r="I5791" t="str">
            <v>FX Volatility</v>
          </cell>
        </row>
        <row r="5792">
          <cell r="A5792" t="str">
            <v>USD_AUDNZD_1y</v>
          </cell>
          <cell r="B5792" t="str">
            <v>AUD NZD Vol 1Y</v>
          </cell>
          <cell r="C5792" t="str">
            <v>BRS_GOLD__2_FX:FX_VOL:USD_AUDNZD_1y</v>
          </cell>
          <cell r="D5792" t="str">
            <v>Implied Vol Duration</v>
          </cell>
          <cell r="E5792" t="str">
            <v>Implied Vol</v>
          </cell>
          <cell r="F5792" t="str">
            <v>Other</v>
          </cell>
          <cell r="G5792" t="str">
            <v>Other</v>
          </cell>
          <cell r="H5792" t="str">
            <v>OTHER</v>
          </cell>
          <cell r="I5792" t="str">
            <v>FX Volatility</v>
          </cell>
        </row>
        <row r="5793">
          <cell r="A5793" t="str">
            <v>USD_AUDNZD_3m</v>
          </cell>
          <cell r="B5793" t="str">
            <v>AUD NZD Vol 3M</v>
          </cell>
          <cell r="C5793" t="str">
            <v>BRS_GOLD__2_FX:FX_VOL:USD_AUDNZD_3m</v>
          </cell>
          <cell r="D5793" t="str">
            <v>Implied Vol Duration</v>
          </cell>
          <cell r="E5793" t="str">
            <v>Implied Vol</v>
          </cell>
          <cell r="F5793" t="str">
            <v>Other</v>
          </cell>
          <cell r="G5793" t="str">
            <v>Other</v>
          </cell>
          <cell r="H5793" t="str">
            <v>OTHER</v>
          </cell>
          <cell r="I5793" t="str">
            <v>FX Volatility</v>
          </cell>
        </row>
        <row r="5794">
          <cell r="A5794" t="str">
            <v>USD_AUDSGD_1y</v>
          </cell>
          <cell r="B5794" t="str">
            <v>AUD SGD Vol 1Y</v>
          </cell>
          <cell r="C5794" t="str">
            <v>BRS_GOLD__2_FX:FX_VOL:USD_AUDSGD_1y</v>
          </cell>
          <cell r="D5794" t="str">
            <v>Implied Vol Duration</v>
          </cell>
          <cell r="E5794" t="str">
            <v>Implied Vol</v>
          </cell>
          <cell r="F5794" t="str">
            <v>Other</v>
          </cell>
          <cell r="G5794" t="str">
            <v>Other</v>
          </cell>
          <cell r="H5794" t="str">
            <v>OTHER</v>
          </cell>
          <cell r="I5794" t="str">
            <v>FX Volatility</v>
          </cell>
        </row>
        <row r="5795">
          <cell r="A5795" t="str">
            <v>USD_AUDSGD_3m</v>
          </cell>
          <cell r="B5795" t="str">
            <v>AUD SGD Vol 3M</v>
          </cell>
          <cell r="C5795" t="str">
            <v>BRS_GOLD__2_FX:FX_VOL:USD_AUDSGD_3m</v>
          </cell>
          <cell r="D5795" t="str">
            <v>Implied Vol Duration</v>
          </cell>
          <cell r="E5795" t="str">
            <v>Implied Vol</v>
          </cell>
          <cell r="F5795" t="str">
            <v>Other</v>
          </cell>
          <cell r="G5795" t="str">
            <v>Other</v>
          </cell>
          <cell r="H5795" t="str">
            <v>OTHER</v>
          </cell>
          <cell r="I5795" t="str">
            <v>FX Volatility</v>
          </cell>
        </row>
        <row r="5796">
          <cell r="A5796" t="str">
            <v>USD_CADJPY_1y</v>
          </cell>
          <cell r="B5796" t="str">
            <v>CAD JPY Vol 1Y</v>
          </cell>
          <cell r="C5796" t="str">
            <v>BRS_GOLD__2_FX:FX_VOL:USD_CADJPY_1y</v>
          </cell>
          <cell r="D5796" t="str">
            <v>Implied Vol Duration</v>
          </cell>
          <cell r="E5796" t="str">
            <v>Implied Vol</v>
          </cell>
          <cell r="F5796" t="str">
            <v>Other</v>
          </cell>
          <cell r="G5796" t="str">
            <v>Other</v>
          </cell>
          <cell r="H5796" t="str">
            <v>OTHER</v>
          </cell>
          <cell r="I5796" t="str">
            <v>FX Volatility</v>
          </cell>
        </row>
        <row r="5797">
          <cell r="A5797" t="str">
            <v>USD_CADJPY_3m</v>
          </cell>
          <cell r="B5797" t="str">
            <v>CAD JPY Vol 3M</v>
          </cell>
          <cell r="C5797" t="str">
            <v>BRS_GOLD__2_FX:FX_VOL:USD_CADJPY_3m</v>
          </cell>
          <cell r="D5797" t="str">
            <v>Implied Vol Duration</v>
          </cell>
          <cell r="E5797" t="str">
            <v>Implied Vol</v>
          </cell>
          <cell r="F5797" t="str">
            <v>Other</v>
          </cell>
          <cell r="G5797" t="str">
            <v>Other</v>
          </cell>
          <cell r="H5797" t="str">
            <v>OTHER</v>
          </cell>
          <cell r="I5797" t="str">
            <v>FX Volatility</v>
          </cell>
        </row>
        <row r="5798">
          <cell r="A5798" t="str">
            <v>USD_CHFJPY_1y</v>
          </cell>
          <cell r="B5798" t="str">
            <v>CHF JPY Vol 1Y</v>
          </cell>
          <cell r="C5798" t="str">
            <v>BRS_GOLD__2_FX:FX_VOL:USD_CHFJPY_1y</v>
          </cell>
          <cell r="D5798" t="str">
            <v>Implied Vol Duration</v>
          </cell>
          <cell r="E5798" t="str">
            <v>Implied Vol</v>
          </cell>
          <cell r="F5798" t="str">
            <v>Other</v>
          </cell>
          <cell r="G5798" t="str">
            <v>Other</v>
          </cell>
          <cell r="H5798" t="str">
            <v>OTHER</v>
          </cell>
          <cell r="I5798" t="str">
            <v>FX Volatility</v>
          </cell>
        </row>
        <row r="5799">
          <cell r="A5799" t="str">
            <v>USD_CHFJPY_3m</v>
          </cell>
          <cell r="B5799" t="str">
            <v>CHF JPY Vol 3M</v>
          </cell>
          <cell r="C5799" t="str">
            <v>BRS_GOLD__2_FX:FX_VOL:USD_CHFJPY_3m</v>
          </cell>
          <cell r="D5799" t="str">
            <v>Implied Vol Duration</v>
          </cell>
          <cell r="E5799" t="str">
            <v>Implied Vol</v>
          </cell>
          <cell r="F5799" t="str">
            <v>Other</v>
          </cell>
          <cell r="G5799" t="str">
            <v>Other</v>
          </cell>
          <cell r="H5799" t="str">
            <v>OTHER</v>
          </cell>
          <cell r="I5799" t="str">
            <v>FX Volatility</v>
          </cell>
        </row>
        <row r="5800">
          <cell r="A5800" t="str">
            <v>USD_EURCNH_1y</v>
          </cell>
          <cell r="B5800" t="str">
            <v>EUR CNH Vol 1Y</v>
          </cell>
          <cell r="C5800" t="str">
            <v>BRS_GOLD__2_FX:FX_VOL:USD_EURCNH_1y</v>
          </cell>
          <cell r="D5800" t="str">
            <v>Implied Vol Duration</v>
          </cell>
          <cell r="E5800" t="str">
            <v>Implied Vol</v>
          </cell>
          <cell r="F5800" t="str">
            <v>Other</v>
          </cell>
          <cell r="G5800" t="str">
            <v>Other</v>
          </cell>
          <cell r="H5800" t="str">
            <v>OTHER</v>
          </cell>
          <cell r="I5800" t="str">
            <v>FX Volatility</v>
          </cell>
        </row>
        <row r="5801">
          <cell r="A5801" t="str">
            <v>USD_EURCNH_3m</v>
          </cell>
          <cell r="B5801" t="str">
            <v>EUR CNH Vol 3M</v>
          </cell>
          <cell r="C5801" t="str">
            <v>BRS_GOLD__2_FX:FX_VOL:USD_EURCNH_3m</v>
          </cell>
          <cell r="D5801" t="str">
            <v>Implied Vol Duration</v>
          </cell>
          <cell r="E5801" t="str">
            <v>Implied Vol</v>
          </cell>
          <cell r="F5801" t="str">
            <v>Other</v>
          </cell>
          <cell r="G5801" t="str">
            <v>Other</v>
          </cell>
          <cell r="H5801" t="str">
            <v>OTHER</v>
          </cell>
          <cell r="I5801" t="str">
            <v>FX Volatility</v>
          </cell>
        </row>
        <row r="5802">
          <cell r="A5802" t="str">
            <v>USD_EURHKD_1y</v>
          </cell>
          <cell r="B5802" t="str">
            <v>EUR HKD Vol 1Y</v>
          </cell>
          <cell r="C5802" t="str">
            <v>BRS_GOLD__2_FX:FX_VOL:USD_EURHKD_1y</v>
          </cell>
          <cell r="D5802" t="str">
            <v>Implied Vol Duration</v>
          </cell>
          <cell r="E5802" t="str">
            <v>Implied Vol</v>
          </cell>
          <cell r="F5802" t="str">
            <v>Other</v>
          </cell>
          <cell r="G5802" t="str">
            <v>Other</v>
          </cell>
          <cell r="H5802" t="str">
            <v>OTHER</v>
          </cell>
          <cell r="I5802" t="str">
            <v>FX Volatility</v>
          </cell>
        </row>
        <row r="5803">
          <cell r="A5803" t="str">
            <v>USD_EURHKD_3m</v>
          </cell>
          <cell r="B5803" t="str">
            <v>EUR HKD Vol 3M</v>
          </cell>
          <cell r="C5803" t="str">
            <v>BRS_GOLD__2_FX:FX_VOL:USD_EURHKD_3m</v>
          </cell>
          <cell r="D5803" t="str">
            <v>Implied Vol Duration</v>
          </cell>
          <cell r="E5803" t="str">
            <v>Implied Vol</v>
          </cell>
          <cell r="F5803" t="str">
            <v>Other</v>
          </cell>
          <cell r="G5803" t="str">
            <v>Other</v>
          </cell>
          <cell r="H5803" t="str">
            <v>OTHER</v>
          </cell>
          <cell r="I5803" t="str">
            <v>FX Volatility</v>
          </cell>
        </row>
        <row r="5804">
          <cell r="A5804" t="str">
            <v>USD_EURMXN_1y</v>
          </cell>
          <cell r="B5804" t="str">
            <v>EUR MXN Vol 1Y</v>
          </cell>
          <cell r="C5804" t="str">
            <v>BRS_GOLD__2_FX:FX_VOL:USD_EURMXN_1y</v>
          </cell>
          <cell r="D5804" t="str">
            <v>Implied Vol Duration</v>
          </cell>
          <cell r="E5804" t="str">
            <v>Implied Vol</v>
          </cell>
          <cell r="F5804" t="str">
            <v>Other</v>
          </cell>
          <cell r="G5804" t="str">
            <v>Other</v>
          </cell>
          <cell r="H5804" t="str">
            <v>OTHER</v>
          </cell>
          <cell r="I5804" t="str">
            <v>FX Volatility</v>
          </cell>
        </row>
        <row r="5805">
          <cell r="A5805" t="str">
            <v>USD_EURMXN_3m</v>
          </cell>
          <cell r="B5805" t="str">
            <v>EUR MXN Vol 3M</v>
          </cell>
          <cell r="C5805" t="str">
            <v>BRS_GOLD__2_FX:FX_VOL:USD_EURMXN_3m</v>
          </cell>
          <cell r="D5805" t="str">
            <v>Implied Vol Duration</v>
          </cell>
          <cell r="E5805" t="str">
            <v>Implied Vol</v>
          </cell>
          <cell r="F5805" t="str">
            <v>Other</v>
          </cell>
          <cell r="G5805" t="str">
            <v>Other</v>
          </cell>
          <cell r="H5805" t="str">
            <v>OTHER</v>
          </cell>
          <cell r="I5805" t="str">
            <v>FX Volatility</v>
          </cell>
        </row>
        <row r="5806">
          <cell r="A5806" t="str">
            <v>USD_EURNZD_1y</v>
          </cell>
          <cell r="B5806" t="str">
            <v>EUR NZD Vol 1Y</v>
          </cell>
          <cell r="C5806" t="str">
            <v>BRS_GOLD__2_FX:FX_VOL:USD_EURNZD_1y</v>
          </cell>
          <cell r="D5806" t="str">
            <v>Implied Vol Duration</v>
          </cell>
          <cell r="E5806" t="str">
            <v>Implied Vol</v>
          </cell>
          <cell r="F5806" t="str">
            <v>Other</v>
          </cell>
          <cell r="G5806" t="str">
            <v>Other</v>
          </cell>
          <cell r="H5806" t="str">
            <v>OTHER</v>
          </cell>
          <cell r="I5806" t="str">
            <v>FX Volatility</v>
          </cell>
        </row>
        <row r="5807">
          <cell r="A5807" t="str">
            <v>USD_EURNZD_3m</v>
          </cell>
          <cell r="B5807" t="str">
            <v>EUR NZD Vol 3M</v>
          </cell>
          <cell r="C5807" t="str">
            <v>BRS_GOLD__2_FX:FX_VOL:USD_EURNZD_3m</v>
          </cell>
          <cell r="D5807" t="str">
            <v>Implied Vol Duration</v>
          </cell>
          <cell r="E5807" t="str">
            <v>Implied Vol</v>
          </cell>
          <cell r="F5807" t="str">
            <v>Other</v>
          </cell>
          <cell r="G5807" t="str">
            <v>Other</v>
          </cell>
          <cell r="H5807" t="str">
            <v>OTHER</v>
          </cell>
          <cell r="I5807" t="str">
            <v>FX Volatility</v>
          </cell>
        </row>
        <row r="5808">
          <cell r="A5808" t="str">
            <v>USD_GBPCAD_1y</v>
          </cell>
          <cell r="B5808" t="str">
            <v>GBP CAD Vol 1Y</v>
          </cell>
          <cell r="C5808" t="str">
            <v>BRS_GOLD__2_FX:FX_VOL:USD_GBPCAD_1y</v>
          </cell>
          <cell r="D5808" t="str">
            <v>Implied Vol Duration</v>
          </cell>
          <cell r="E5808" t="str">
            <v>Implied Vol</v>
          </cell>
          <cell r="F5808" t="str">
            <v>Other</v>
          </cell>
          <cell r="G5808" t="str">
            <v>Other</v>
          </cell>
          <cell r="H5808" t="str">
            <v>OTHER</v>
          </cell>
          <cell r="I5808" t="str">
            <v>FX Volatility</v>
          </cell>
        </row>
        <row r="5809">
          <cell r="A5809" t="str">
            <v>USD_GBPCAD_3m</v>
          </cell>
          <cell r="B5809" t="str">
            <v>GBP CAD Vol 3M</v>
          </cell>
          <cell r="C5809" t="str">
            <v>BRS_GOLD__2_FX:FX_VOL:USD_GBPCAD_3m</v>
          </cell>
          <cell r="D5809" t="str">
            <v>Implied Vol Duration</v>
          </cell>
          <cell r="E5809" t="str">
            <v>Implied Vol</v>
          </cell>
          <cell r="F5809" t="str">
            <v>Other</v>
          </cell>
          <cell r="G5809" t="str">
            <v>Other</v>
          </cell>
          <cell r="H5809" t="str">
            <v>OTHER</v>
          </cell>
          <cell r="I5809" t="str">
            <v>FX Volatility</v>
          </cell>
        </row>
        <row r="5810">
          <cell r="A5810" t="str">
            <v>USD_GBPHKD_1y</v>
          </cell>
          <cell r="B5810" t="str">
            <v>GBP HKD Vol 1Y</v>
          </cell>
          <cell r="C5810" t="str">
            <v>BRS_GOLD__2_FX:FX_VOL:USD_GBPHKD_1y</v>
          </cell>
          <cell r="D5810" t="str">
            <v>Implied Vol Duration</v>
          </cell>
          <cell r="E5810" t="str">
            <v>Implied Vol</v>
          </cell>
          <cell r="F5810" t="str">
            <v>Other</v>
          </cell>
          <cell r="G5810" t="str">
            <v>Other</v>
          </cell>
          <cell r="H5810" t="str">
            <v>OTHER</v>
          </cell>
          <cell r="I5810" t="str">
            <v>FX Volatility</v>
          </cell>
        </row>
        <row r="5811">
          <cell r="A5811" t="str">
            <v>USD_GBPHKD_3m</v>
          </cell>
          <cell r="B5811" t="str">
            <v>GBP HKD Vol 3M</v>
          </cell>
          <cell r="C5811" t="str">
            <v>BRS_GOLD__2_FX:FX_VOL:USD_GBPHKD_3m</v>
          </cell>
          <cell r="D5811" t="str">
            <v>Implied Vol Duration</v>
          </cell>
          <cell r="E5811" t="str">
            <v>Implied Vol</v>
          </cell>
          <cell r="F5811" t="str">
            <v>Other</v>
          </cell>
          <cell r="G5811" t="str">
            <v>Other</v>
          </cell>
          <cell r="H5811" t="str">
            <v>OTHER</v>
          </cell>
          <cell r="I5811" t="str">
            <v>FX Volatility</v>
          </cell>
        </row>
        <row r="5812">
          <cell r="A5812" t="str">
            <v>USD_GBPNOK_1y</v>
          </cell>
          <cell r="B5812" t="str">
            <v>GBP NOK Vol 1Y</v>
          </cell>
          <cell r="C5812" t="str">
            <v>BRS_GOLD__2_FX:FX_VOL:USD_GBPNOK_1y</v>
          </cell>
          <cell r="D5812" t="str">
            <v>Implied Vol Duration</v>
          </cell>
          <cell r="E5812" t="str">
            <v>Implied Vol</v>
          </cell>
          <cell r="F5812" t="str">
            <v>Other</v>
          </cell>
          <cell r="G5812" t="str">
            <v>Other</v>
          </cell>
          <cell r="H5812" t="str">
            <v>OTHER</v>
          </cell>
          <cell r="I5812" t="str">
            <v>FX Volatility</v>
          </cell>
        </row>
        <row r="5813">
          <cell r="A5813" t="str">
            <v>USD_GBPNOK_3m</v>
          </cell>
          <cell r="B5813" t="str">
            <v>GBP NOK Vol 3M</v>
          </cell>
          <cell r="C5813" t="str">
            <v>BRS_GOLD__2_FX:FX_VOL:USD_GBPNOK_3m</v>
          </cell>
          <cell r="D5813" t="str">
            <v>Implied Vol Duration</v>
          </cell>
          <cell r="E5813" t="str">
            <v>Implied Vol</v>
          </cell>
          <cell r="F5813" t="str">
            <v>Other</v>
          </cell>
          <cell r="G5813" t="str">
            <v>Other</v>
          </cell>
          <cell r="H5813" t="str">
            <v>OTHER</v>
          </cell>
          <cell r="I5813" t="str">
            <v>FX Volatility</v>
          </cell>
        </row>
        <row r="5814">
          <cell r="A5814" t="str">
            <v>USD_GBPNZD_1y</v>
          </cell>
          <cell r="B5814" t="str">
            <v>GBP NZD Vol 1Y</v>
          </cell>
          <cell r="C5814" t="str">
            <v>BRS_GOLD__2_FX:FX_VOL:USD_GBPNZD_1y</v>
          </cell>
          <cell r="D5814" t="str">
            <v>Implied Vol Duration</v>
          </cell>
          <cell r="E5814" t="str">
            <v>Implied Vol</v>
          </cell>
          <cell r="F5814" t="str">
            <v>Other</v>
          </cell>
          <cell r="G5814" t="str">
            <v>Other</v>
          </cell>
          <cell r="H5814" t="str">
            <v>OTHER</v>
          </cell>
          <cell r="I5814" t="str">
            <v>FX Volatility</v>
          </cell>
        </row>
        <row r="5815">
          <cell r="A5815" t="str">
            <v>USD_GBPNZD_3m</v>
          </cell>
          <cell r="B5815" t="str">
            <v>GBP NZD Vol 3M</v>
          </cell>
          <cell r="C5815" t="str">
            <v>BRS_GOLD__2_FX:FX_VOL:USD_GBPNZD_3m</v>
          </cell>
          <cell r="D5815" t="str">
            <v>Implied Vol Duration</v>
          </cell>
          <cell r="E5815" t="str">
            <v>Implied Vol</v>
          </cell>
          <cell r="F5815" t="str">
            <v>Other</v>
          </cell>
          <cell r="G5815" t="str">
            <v>Other</v>
          </cell>
          <cell r="H5815" t="str">
            <v>OTHER</v>
          </cell>
          <cell r="I5815" t="str">
            <v>FX Volatility</v>
          </cell>
        </row>
        <row r="5816">
          <cell r="A5816" t="str">
            <v>USD_GBPPLN_1y</v>
          </cell>
          <cell r="B5816" t="str">
            <v>GBP PLN Vol 1Y</v>
          </cell>
          <cell r="C5816" t="str">
            <v>BRS_GOLD__2_FX:FX_VOL:USD_GBPPLN_1y</v>
          </cell>
          <cell r="D5816" t="str">
            <v>Implied Vol Duration</v>
          </cell>
          <cell r="E5816" t="str">
            <v>Implied Vol</v>
          </cell>
          <cell r="F5816" t="str">
            <v>Other</v>
          </cell>
          <cell r="G5816" t="str">
            <v>Other</v>
          </cell>
          <cell r="H5816" t="str">
            <v>OTHER</v>
          </cell>
          <cell r="I5816" t="str">
            <v>FX Volatility</v>
          </cell>
        </row>
        <row r="5817">
          <cell r="A5817" t="str">
            <v>USD_GBPPLN_3m</v>
          </cell>
          <cell r="B5817" t="str">
            <v>GBP PLN Vol 3M</v>
          </cell>
          <cell r="C5817" t="str">
            <v>BRS_GOLD__2_FX:FX_VOL:USD_GBPPLN_3m</v>
          </cell>
          <cell r="D5817" t="str">
            <v>Implied Vol Duration</v>
          </cell>
          <cell r="E5817" t="str">
            <v>Implied Vol</v>
          </cell>
          <cell r="F5817" t="str">
            <v>Other</v>
          </cell>
          <cell r="G5817" t="str">
            <v>Other</v>
          </cell>
          <cell r="H5817" t="str">
            <v>OTHER</v>
          </cell>
          <cell r="I5817" t="str">
            <v>FX Volatility</v>
          </cell>
        </row>
        <row r="5818">
          <cell r="A5818" t="str">
            <v>USD_NOKSEK_1y</v>
          </cell>
          <cell r="B5818" t="str">
            <v>NOK SEK Vol 1Y</v>
          </cell>
          <cell r="C5818" t="str">
            <v>BRS_GOLD__2_FX:FX_VOL:USD_NOKSEK_1y</v>
          </cell>
          <cell r="D5818" t="str">
            <v>Implied Vol Duration</v>
          </cell>
          <cell r="E5818" t="str">
            <v>Implied Vol</v>
          </cell>
          <cell r="F5818" t="str">
            <v>Other</v>
          </cell>
          <cell r="G5818" t="str">
            <v>Other</v>
          </cell>
          <cell r="H5818" t="str">
            <v>OTHER</v>
          </cell>
          <cell r="I5818" t="str">
            <v>FX Volatility</v>
          </cell>
        </row>
        <row r="5819">
          <cell r="A5819" t="str">
            <v>USD_NOKSEK_3m</v>
          </cell>
          <cell r="B5819" t="str">
            <v>NOK SEK Vol 3M</v>
          </cell>
          <cell r="C5819" t="str">
            <v>BRS_GOLD__2_FX:FX_VOL:USD_NOKSEK_3m</v>
          </cell>
          <cell r="D5819" t="str">
            <v>Implied Vol Duration</v>
          </cell>
          <cell r="E5819" t="str">
            <v>Implied Vol</v>
          </cell>
          <cell r="F5819" t="str">
            <v>Other</v>
          </cell>
          <cell r="G5819" t="str">
            <v>Other</v>
          </cell>
          <cell r="H5819" t="str">
            <v>OTHER</v>
          </cell>
          <cell r="I5819" t="str">
            <v>FX Volatility</v>
          </cell>
        </row>
        <row r="5820">
          <cell r="A5820" t="str">
            <v>USD_NZDCAD_1y</v>
          </cell>
          <cell r="B5820" t="str">
            <v>NZD CAD Vol 1Y</v>
          </cell>
          <cell r="C5820" t="str">
            <v>BRS_GOLD__2_FX:FX_VOL:USD_NZDCAD_1y</v>
          </cell>
          <cell r="D5820" t="str">
            <v>Implied Vol Duration</v>
          </cell>
          <cell r="E5820" t="str">
            <v>Implied Vol</v>
          </cell>
          <cell r="F5820" t="str">
            <v>Other</v>
          </cell>
          <cell r="G5820" t="str">
            <v>Other</v>
          </cell>
          <cell r="H5820" t="str">
            <v>OTHER</v>
          </cell>
          <cell r="I5820" t="str">
            <v>FX Volatility</v>
          </cell>
        </row>
        <row r="5821">
          <cell r="A5821" t="str">
            <v>USD_NZDCAD_3m</v>
          </cell>
          <cell r="B5821" t="str">
            <v>NZD CAD Vol 3M</v>
          </cell>
          <cell r="C5821" t="str">
            <v>BRS_GOLD__2_FX:FX_VOL:USD_NZDCAD_3m</v>
          </cell>
          <cell r="D5821" t="str">
            <v>Implied Vol Duration</v>
          </cell>
          <cell r="E5821" t="str">
            <v>Implied Vol</v>
          </cell>
          <cell r="F5821" t="str">
            <v>Other</v>
          </cell>
          <cell r="G5821" t="str">
            <v>Other</v>
          </cell>
          <cell r="H5821" t="str">
            <v>OTHER</v>
          </cell>
          <cell r="I5821" t="str">
            <v>FX Volatility</v>
          </cell>
        </row>
        <row r="5822">
          <cell r="A5822" t="str">
            <v>USD_NZDCHF_1y</v>
          </cell>
          <cell r="B5822" t="str">
            <v>NZD CHF Vol 1Y</v>
          </cell>
          <cell r="C5822" t="str">
            <v>BRS_GOLD__2_FX:FX_VOL:USD_NZDCHF_1y</v>
          </cell>
          <cell r="D5822" t="str">
            <v>Implied Vol Duration</v>
          </cell>
          <cell r="E5822" t="str">
            <v>Implied Vol</v>
          </cell>
          <cell r="F5822" t="str">
            <v>Other</v>
          </cell>
          <cell r="G5822" t="str">
            <v>Other</v>
          </cell>
          <cell r="H5822" t="str">
            <v>OTHER</v>
          </cell>
          <cell r="I5822" t="str">
            <v>FX Volatility</v>
          </cell>
        </row>
        <row r="5823">
          <cell r="A5823" t="str">
            <v>USD_NZDCHF_3m</v>
          </cell>
          <cell r="B5823" t="str">
            <v>NZD CHF Vol 3M</v>
          </cell>
          <cell r="C5823" t="str">
            <v>BRS_GOLD__2_FX:FX_VOL:USD_NZDCHF_3m</v>
          </cell>
          <cell r="D5823" t="str">
            <v>Implied Vol Duration</v>
          </cell>
          <cell r="E5823" t="str">
            <v>Implied Vol</v>
          </cell>
          <cell r="F5823" t="str">
            <v>Other</v>
          </cell>
          <cell r="G5823" t="str">
            <v>Other</v>
          </cell>
          <cell r="H5823" t="str">
            <v>OTHER</v>
          </cell>
          <cell r="I5823" t="str">
            <v>FX Volatility</v>
          </cell>
        </row>
        <row r="5824">
          <cell r="A5824" t="str">
            <v>USD_NZDJPY_1y</v>
          </cell>
          <cell r="B5824" t="str">
            <v>NZD JPY Vol 1Y</v>
          </cell>
          <cell r="C5824" t="str">
            <v>BRS_GOLD__2_FX:FX_VOL:USD_NZDJPY_1y</v>
          </cell>
          <cell r="D5824" t="str">
            <v>Implied Vol Duration</v>
          </cell>
          <cell r="E5824" t="str">
            <v>Implied Vol</v>
          </cell>
          <cell r="F5824" t="str">
            <v>Other</v>
          </cell>
          <cell r="G5824" t="str">
            <v>Other</v>
          </cell>
          <cell r="H5824" t="str">
            <v>OTHER</v>
          </cell>
          <cell r="I5824" t="str">
            <v>FX Volatility</v>
          </cell>
        </row>
        <row r="5825">
          <cell r="A5825" t="str">
            <v>USD_NZDJPY_3m</v>
          </cell>
          <cell r="B5825" t="str">
            <v>NZD JPY Vol 3M</v>
          </cell>
          <cell r="C5825" t="str">
            <v>BRS_GOLD__2_FX:FX_VOL:USD_NZDJPY_3m</v>
          </cell>
          <cell r="D5825" t="str">
            <v>Implied Vol Duration</v>
          </cell>
          <cell r="E5825" t="str">
            <v>Implied Vol</v>
          </cell>
          <cell r="F5825" t="str">
            <v>Other</v>
          </cell>
          <cell r="G5825" t="str">
            <v>Other</v>
          </cell>
          <cell r="H5825" t="str">
            <v>OTHER</v>
          </cell>
          <cell r="I5825" t="str">
            <v>FX Volatility</v>
          </cell>
        </row>
        <row r="5826">
          <cell r="A5826" t="str">
            <v>USD_TRYJPY_1y</v>
          </cell>
          <cell r="B5826" t="str">
            <v>TRY JPY Vol 1Y</v>
          </cell>
          <cell r="C5826" t="str">
            <v>BRS_GOLD__2_FX:FX_VOL:USD_TRYJPY_1y</v>
          </cell>
          <cell r="D5826" t="str">
            <v>Implied Vol Duration</v>
          </cell>
          <cell r="E5826" t="str">
            <v>Implied Vol</v>
          </cell>
          <cell r="F5826" t="str">
            <v>Other</v>
          </cell>
          <cell r="G5826" t="str">
            <v>Other</v>
          </cell>
          <cell r="H5826" t="str">
            <v>OTHER</v>
          </cell>
          <cell r="I5826" t="str">
            <v>FX Volatility</v>
          </cell>
        </row>
        <row r="5827">
          <cell r="A5827" t="str">
            <v>USD_TRYJPY_3m</v>
          </cell>
          <cell r="B5827" t="str">
            <v>TRY JPY Vol 3M</v>
          </cell>
          <cell r="C5827" t="str">
            <v>BRS_GOLD__2_FX:FX_VOL:USD_TRYJPY_3m</v>
          </cell>
          <cell r="D5827" t="str">
            <v>Implied Vol Duration</v>
          </cell>
          <cell r="E5827" t="str">
            <v>Implied Vol</v>
          </cell>
          <cell r="F5827" t="str">
            <v>Other</v>
          </cell>
          <cell r="G5827" t="str">
            <v>Other</v>
          </cell>
          <cell r="H5827" t="str">
            <v>OTHER</v>
          </cell>
          <cell r="I5827" t="str">
            <v>FX Volatility</v>
          </cell>
        </row>
        <row r="5828">
          <cell r="A5828" t="str">
            <v>USD_USDCZK_1y</v>
          </cell>
          <cell r="B5828" t="str">
            <v>USD CZK Vol 1Y</v>
          </cell>
          <cell r="C5828" t="str">
            <v>BRS_GOLD__2_FX:FX_VOL:USD_USDCZK_1y</v>
          </cell>
          <cell r="D5828" t="str">
            <v>Implied Vol Duration</v>
          </cell>
          <cell r="E5828" t="str">
            <v>Implied Vol</v>
          </cell>
          <cell r="F5828" t="str">
            <v>Other</v>
          </cell>
          <cell r="G5828" t="str">
            <v>Other</v>
          </cell>
          <cell r="H5828" t="str">
            <v>OTHER</v>
          </cell>
          <cell r="I5828" t="str">
            <v>FX Volatility</v>
          </cell>
        </row>
        <row r="5829">
          <cell r="A5829" t="str">
            <v>USD_USDCZK_3m</v>
          </cell>
          <cell r="B5829" t="str">
            <v>USD CZK Vol 3M</v>
          </cell>
          <cell r="C5829" t="str">
            <v>BRS_GOLD__2_FX:FX_VOL:USD_USDCZK_3m</v>
          </cell>
          <cell r="D5829" t="str">
            <v>Implied Vol Duration</v>
          </cell>
          <cell r="E5829" t="str">
            <v>Implied Vol</v>
          </cell>
          <cell r="F5829" t="str">
            <v>Other</v>
          </cell>
          <cell r="G5829" t="str">
            <v>Other</v>
          </cell>
          <cell r="H5829" t="str">
            <v>OTHER</v>
          </cell>
          <cell r="I5829" t="str">
            <v>FX Volatility</v>
          </cell>
        </row>
        <row r="5830">
          <cell r="A5830" t="str">
            <v>USD_USDTHB_1y</v>
          </cell>
          <cell r="B5830" t="str">
            <v>USD THB Vol 1Y</v>
          </cell>
          <cell r="C5830" t="str">
            <v>BRS_GOLD__2_FX:FX_VOL:USD_USDTHB_1y</v>
          </cell>
          <cell r="D5830" t="str">
            <v>Implied Vol Duration</v>
          </cell>
          <cell r="E5830" t="str">
            <v>Implied Vol</v>
          </cell>
          <cell r="F5830" t="str">
            <v>Other</v>
          </cell>
          <cell r="G5830" t="str">
            <v>Other</v>
          </cell>
          <cell r="H5830" t="str">
            <v>OTHER</v>
          </cell>
          <cell r="I5830" t="str">
            <v>FX Volatility</v>
          </cell>
        </row>
        <row r="5831">
          <cell r="A5831" t="str">
            <v>USD_USDTHB_3m</v>
          </cell>
          <cell r="B5831" t="str">
            <v>USD THB Vol 3M</v>
          </cell>
          <cell r="C5831" t="str">
            <v>BRS_GOLD__2_FX:FX_VOL:USD_USDTHB_3m</v>
          </cell>
          <cell r="D5831" t="str">
            <v>Implied Vol Duration</v>
          </cell>
          <cell r="E5831" t="str">
            <v>Implied Vol</v>
          </cell>
          <cell r="F5831" t="str">
            <v>Other</v>
          </cell>
          <cell r="G5831" t="str">
            <v>Other</v>
          </cell>
          <cell r="H5831" t="str">
            <v>OTHER</v>
          </cell>
          <cell r="I5831" t="str">
            <v>FX Volatility</v>
          </cell>
        </row>
        <row r="5832">
          <cell r="A5832" t="str">
            <v>USD_USDTWD_1y</v>
          </cell>
          <cell r="B5832" t="str">
            <v>USD TWD Vol 1Y</v>
          </cell>
          <cell r="C5832" t="str">
            <v>BRS_GOLD__2_FX:FX_VOL:USD_USDTWD_1y</v>
          </cell>
          <cell r="D5832" t="str">
            <v>Implied Vol Duration</v>
          </cell>
          <cell r="E5832" t="str">
            <v>Implied Vol</v>
          </cell>
          <cell r="F5832" t="str">
            <v>Other</v>
          </cell>
          <cell r="G5832" t="str">
            <v>Other</v>
          </cell>
          <cell r="H5832" t="str">
            <v>OTHER</v>
          </cell>
          <cell r="I5832" t="str">
            <v>FX Volatility</v>
          </cell>
        </row>
        <row r="5833">
          <cell r="A5833" t="str">
            <v>USD_USDTWD_3m</v>
          </cell>
          <cell r="B5833" t="str">
            <v>USD TWD Vol 3M</v>
          </cell>
          <cell r="C5833" t="str">
            <v>BRS_GOLD__2_FX:FX_VOL:USD_USDTWD_3m</v>
          </cell>
          <cell r="D5833" t="str">
            <v>Implied Vol Duration</v>
          </cell>
          <cell r="E5833" t="str">
            <v>Implied Vol</v>
          </cell>
          <cell r="F5833" t="str">
            <v>Other</v>
          </cell>
          <cell r="G5833" t="str">
            <v>Other</v>
          </cell>
          <cell r="H5833" t="str">
            <v>OTHER</v>
          </cell>
          <cell r="I5833" t="str">
            <v>FX Volatility</v>
          </cell>
        </row>
        <row r="5834">
          <cell r="A5834" t="str">
            <v>USD_BRLJPY_1y</v>
          </cell>
          <cell r="B5834" t="str">
            <v>BRL JPY Vol 1Y</v>
          </cell>
          <cell r="C5834" t="str">
            <v>BRS_GOLD__2_FX:FX_VOL:USD_BRLJPY_1y</v>
          </cell>
          <cell r="D5834" t="str">
            <v>Implied Vol Duration</v>
          </cell>
          <cell r="E5834" t="str">
            <v>Implied Vol</v>
          </cell>
          <cell r="F5834" t="str">
            <v>Other</v>
          </cell>
          <cell r="G5834" t="str">
            <v>Other</v>
          </cell>
          <cell r="H5834" t="str">
            <v>OTHER</v>
          </cell>
          <cell r="I5834" t="str">
            <v>FX Volatility</v>
          </cell>
        </row>
        <row r="5835">
          <cell r="A5835" t="str">
            <v>USD_BRLJPY_3m</v>
          </cell>
          <cell r="B5835" t="str">
            <v>BRL JPY Vol 3M</v>
          </cell>
          <cell r="C5835" t="str">
            <v>BRS_GOLD__2_FX:FX_VOL:USD_BRLJPY_3m</v>
          </cell>
          <cell r="D5835" t="str">
            <v>Implied Vol Duration</v>
          </cell>
          <cell r="E5835" t="str">
            <v>Implied Vol</v>
          </cell>
          <cell r="F5835" t="str">
            <v>Other</v>
          </cell>
          <cell r="G5835" t="str">
            <v>Other</v>
          </cell>
          <cell r="H5835" t="str">
            <v>OTHER</v>
          </cell>
          <cell r="I5835" t="str">
            <v>FX Volatility</v>
          </cell>
        </row>
        <row r="5836">
          <cell r="A5836" t="str">
            <v>USD_EURAUD_1y</v>
          </cell>
          <cell r="B5836" t="str">
            <v>EUR AUD Vol 1Y</v>
          </cell>
          <cell r="C5836" t="str">
            <v>BRS_GOLD__2_FX:FX_VOL:USD_EURAUD_1y</v>
          </cell>
          <cell r="D5836" t="str">
            <v>Implied Vol Duration</v>
          </cell>
          <cell r="E5836" t="str">
            <v>Implied Vol</v>
          </cell>
          <cell r="F5836" t="str">
            <v>Other</v>
          </cell>
          <cell r="G5836" t="str">
            <v>Other</v>
          </cell>
          <cell r="H5836" t="str">
            <v>OTHER</v>
          </cell>
          <cell r="I5836" t="str">
            <v>FX Volatility</v>
          </cell>
        </row>
        <row r="5837">
          <cell r="A5837" t="str">
            <v>USD_EURAUD_3m</v>
          </cell>
          <cell r="B5837" t="str">
            <v>EUR AUD Vol 3m</v>
          </cell>
          <cell r="C5837" t="str">
            <v>BRS_GOLD__2_FX:FX_VOL:USD_EURAUD_3m</v>
          </cell>
          <cell r="D5837" t="str">
            <v>Implied Vol Duration</v>
          </cell>
          <cell r="E5837" t="str">
            <v>Implied Vol</v>
          </cell>
          <cell r="F5837" t="str">
            <v>Other</v>
          </cell>
          <cell r="G5837" t="str">
            <v>Other</v>
          </cell>
          <cell r="H5837" t="str">
            <v>OTHER</v>
          </cell>
          <cell r="I5837" t="str">
            <v>FX Volatility</v>
          </cell>
        </row>
        <row r="5838">
          <cell r="A5838" t="str">
            <v>USD_ZARJPY_1y</v>
          </cell>
          <cell r="B5838" t="str">
            <v>ZAR JPY Vol 1Y</v>
          </cell>
          <cell r="C5838" t="str">
            <v>BRS_GOLD__2_FX:FX_VOL:USD_ZARJPY_1y</v>
          </cell>
          <cell r="D5838" t="str">
            <v>Implied Vol Duration</v>
          </cell>
          <cell r="E5838" t="str">
            <v>Implied Vol</v>
          </cell>
          <cell r="F5838" t="str">
            <v>Other</v>
          </cell>
          <cell r="G5838" t="str">
            <v>Other</v>
          </cell>
          <cell r="H5838" t="str">
            <v>OTHER</v>
          </cell>
          <cell r="I5838" t="str">
            <v>FX Volatility</v>
          </cell>
        </row>
        <row r="5839">
          <cell r="A5839" t="str">
            <v>USD_ZARJPY_3m</v>
          </cell>
          <cell r="B5839" t="str">
            <v>ZAR JPY Vol 3M</v>
          </cell>
          <cell r="C5839" t="str">
            <v>BRS_GOLD__2_FX:FX_VOL:USD_ZARJPY_3m</v>
          </cell>
          <cell r="D5839" t="str">
            <v>Implied Vol Duration</v>
          </cell>
          <cell r="E5839" t="str">
            <v>Implied Vol</v>
          </cell>
          <cell r="F5839" t="str">
            <v>Other</v>
          </cell>
          <cell r="G5839" t="str">
            <v>Other</v>
          </cell>
          <cell r="H5839" t="str">
            <v>OTHER</v>
          </cell>
          <cell r="I5839" t="str">
            <v>FX Volatility</v>
          </cell>
        </row>
        <row r="5840">
          <cell r="A5840" t="str">
            <v>USD_XAUUSD_3m</v>
          </cell>
          <cell r="B5840" t="str">
            <v>XAU USD Vol 3M</v>
          </cell>
          <cell r="C5840" t="str">
            <v>BRS_GOLD__2_FX:FX_VOL:USD_XAUUSD_3m</v>
          </cell>
          <cell r="D5840" t="str">
            <v>Implied Vol Duration</v>
          </cell>
          <cell r="E5840" t="str">
            <v>Implied Vol</v>
          </cell>
          <cell r="F5840" t="str">
            <v>Other</v>
          </cell>
          <cell r="G5840" t="str">
            <v>Other</v>
          </cell>
          <cell r="H5840" t="str">
            <v>OTHER</v>
          </cell>
          <cell r="I5840" t="str">
            <v>FX Volatility</v>
          </cell>
        </row>
        <row r="5841">
          <cell r="A5841" t="str">
            <v>USD_XAUUSD_1y</v>
          </cell>
          <cell r="B5841" t="str">
            <v>XAU USD Vol 1Y</v>
          </cell>
          <cell r="C5841" t="str">
            <v>BRS_GOLD__2_FX:FX_VOL:USD_XAUUSD_1y</v>
          </cell>
          <cell r="D5841" t="str">
            <v>Implied Vol Duration</v>
          </cell>
          <cell r="E5841" t="str">
            <v>Implied Vol</v>
          </cell>
          <cell r="F5841" t="str">
            <v>Other</v>
          </cell>
          <cell r="G5841" t="str">
            <v>Other</v>
          </cell>
          <cell r="H5841" t="str">
            <v>OTHER</v>
          </cell>
          <cell r="I5841" t="str">
            <v>FX Volatility</v>
          </cell>
        </row>
        <row r="5842">
          <cell r="A5842" t="str">
            <v>AUD_BASIS_USD_3m</v>
          </cell>
          <cell r="B5842" t="str">
            <v>AUD/USD basis 3m</v>
          </cell>
          <cell r="C5842" t="str">
            <v>BRS_GOLD__2_FX:FX_BASIS:AUD_BASIS_USD_3m</v>
          </cell>
          <cell r="D5842" t="str">
            <v>Spread Duration</v>
          </cell>
          <cell r="E5842" t="str">
            <v>Other Spread Yield</v>
          </cell>
          <cell r="F5842" t="str">
            <v>Other</v>
          </cell>
          <cell r="G5842" t="str">
            <v>Other</v>
          </cell>
          <cell r="H5842" t="str">
            <v>OTHER</v>
          </cell>
          <cell r="I5842" t="str">
            <v>FX Basis</v>
          </cell>
        </row>
        <row r="5843">
          <cell r="A5843" t="str">
            <v>AUD_BASIS_USD_1y</v>
          </cell>
          <cell r="B5843" t="str">
            <v>AUD/USD basis 1y</v>
          </cell>
          <cell r="C5843" t="str">
            <v>BRS_GOLD__2_FX:FX_BASIS:AUD_BASIS_USD_1y</v>
          </cell>
          <cell r="D5843" t="str">
            <v>Spread Duration</v>
          </cell>
          <cell r="E5843" t="str">
            <v>Other Spread Yield</v>
          </cell>
          <cell r="F5843" t="str">
            <v>Other</v>
          </cell>
          <cell r="G5843" t="str">
            <v>Other</v>
          </cell>
          <cell r="H5843" t="str">
            <v>OTHER</v>
          </cell>
          <cell r="I5843" t="str">
            <v>FX Basis</v>
          </cell>
        </row>
        <row r="5844">
          <cell r="A5844" t="str">
            <v>AUD_BASIS_USD_2y</v>
          </cell>
          <cell r="B5844" t="str">
            <v>AUD/USD basis 2y</v>
          </cell>
          <cell r="C5844" t="str">
            <v>BRS_GOLD__2_FX:FX_BASIS:AUD_BASIS_USD_2y</v>
          </cell>
          <cell r="D5844" t="str">
            <v>Spread Duration</v>
          </cell>
          <cell r="E5844" t="str">
            <v>Other Spread Yield</v>
          </cell>
          <cell r="F5844" t="str">
            <v>Other</v>
          </cell>
          <cell r="G5844" t="str">
            <v>Other</v>
          </cell>
          <cell r="H5844" t="str">
            <v>OTHER</v>
          </cell>
          <cell r="I5844" t="str">
            <v>FX Basis</v>
          </cell>
        </row>
        <row r="5845">
          <cell r="A5845" t="str">
            <v>AUD_BASIS_USD_3y</v>
          </cell>
          <cell r="B5845" t="str">
            <v>AUD/USD basis 3y</v>
          </cell>
          <cell r="C5845" t="str">
            <v>BRS_GOLD__2_FX:FX_BASIS:AUD_BASIS_USD_3y</v>
          </cell>
          <cell r="D5845" t="str">
            <v>Spread Duration</v>
          </cell>
          <cell r="E5845" t="str">
            <v>Other Spread Yield</v>
          </cell>
          <cell r="F5845" t="str">
            <v>Other</v>
          </cell>
          <cell r="G5845" t="str">
            <v>Other</v>
          </cell>
          <cell r="H5845" t="str">
            <v>OTHER</v>
          </cell>
          <cell r="I5845" t="str">
            <v>FX Basis</v>
          </cell>
        </row>
        <row r="5846">
          <cell r="A5846" t="str">
            <v>AUD_BASIS_USD_5y</v>
          </cell>
          <cell r="B5846" t="str">
            <v>AUD/USD basis 5y</v>
          </cell>
          <cell r="C5846" t="str">
            <v>BRS_GOLD__2_FX:FX_BASIS:AUD_BASIS_USD_5y</v>
          </cell>
          <cell r="D5846" t="str">
            <v>Spread Duration</v>
          </cell>
          <cell r="E5846" t="str">
            <v>Other Spread Yield</v>
          </cell>
          <cell r="F5846" t="str">
            <v>Other</v>
          </cell>
          <cell r="G5846" t="str">
            <v>Other</v>
          </cell>
          <cell r="H5846" t="str">
            <v>OTHER</v>
          </cell>
          <cell r="I5846" t="str">
            <v>FX Basis</v>
          </cell>
        </row>
        <row r="5847">
          <cell r="A5847" t="str">
            <v>AUD_BASIS_USD_7y</v>
          </cell>
          <cell r="B5847" t="str">
            <v>AUD/USD basis 7y</v>
          </cell>
          <cell r="C5847" t="str">
            <v>BRS_GOLD__2_FX:FX_BASIS:AUD_BASIS_USD_7y</v>
          </cell>
          <cell r="D5847" t="str">
            <v>Spread Duration</v>
          </cell>
          <cell r="E5847" t="str">
            <v>Other Spread Yield</v>
          </cell>
          <cell r="F5847" t="str">
            <v>Other</v>
          </cell>
          <cell r="G5847" t="str">
            <v>Other</v>
          </cell>
          <cell r="H5847" t="str">
            <v>OTHER</v>
          </cell>
          <cell r="I5847" t="str">
            <v>FX Basis</v>
          </cell>
        </row>
        <row r="5848">
          <cell r="A5848" t="str">
            <v>AUD_BASIS_USD_10y</v>
          </cell>
          <cell r="B5848" t="str">
            <v>AUD/USD basis 10y</v>
          </cell>
          <cell r="C5848" t="str">
            <v>BRS_GOLD__2_FX:FX_BASIS:AUD_BASIS_USD_10y</v>
          </cell>
          <cell r="D5848" t="str">
            <v>Spread Duration</v>
          </cell>
          <cell r="E5848" t="str">
            <v>Other Spread Yield</v>
          </cell>
          <cell r="F5848" t="str">
            <v>Other</v>
          </cell>
          <cell r="G5848" t="str">
            <v>Other</v>
          </cell>
          <cell r="H5848" t="str">
            <v>OTHER</v>
          </cell>
          <cell r="I5848" t="str">
            <v>FX Basis</v>
          </cell>
        </row>
        <row r="5849">
          <cell r="A5849" t="str">
            <v>AUD_BASIS_USD_15y</v>
          </cell>
          <cell r="B5849" t="str">
            <v>AUD/USD basis 15y</v>
          </cell>
          <cell r="C5849" t="str">
            <v>BRS_GOLD__2_FX:FX_BASIS:AUD_BASIS_USD_15y</v>
          </cell>
          <cell r="D5849" t="str">
            <v>Spread Duration</v>
          </cell>
          <cell r="E5849" t="str">
            <v>Other Spread Yield</v>
          </cell>
          <cell r="F5849" t="str">
            <v>Other</v>
          </cell>
          <cell r="G5849" t="str">
            <v>Other</v>
          </cell>
          <cell r="H5849" t="str">
            <v>OTHER</v>
          </cell>
          <cell r="I5849" t="str">
            <v>FX Basis</v>
          </cell>
        </row>
        <row r="5850">
          <cell r="A5850" t="str">
            <v>AUD_BASIS_USD_20y</v>
          </cell>
          <cell r="B5850" t="str">
            <v>AUD/USD basis 20y</v>
          </cell>
          <cell r="C5850" t="str">
            <v>BRS_GOLD__2_FX:FX_BASIS:AUD_BASIS_USD_20y</v>
          </cell>
          <cell r="D5850" t="str">
            <v>Spread Duration</v>
          </cell>
          <cell r="E5850" t="str">
            <v>Other Spread Yield</v>
          </cell>
          <cell r="F5850" t="str">
            <v>Other</v>
          </cell>
          <cell r="G5850" t="str">
            <v>Other</v>
          </cell>
          <cell r="H5850" t="str">
            <v>OTHER</v>
          </cell>
          <cell r="I5850" t="str">
            <v>FX Basis</v>
          </cell>
        </row>
        <row r="5851">
          <cell r="A5851" t="str">
            <v>AUD_BASIS_USD_25y</v>
          </cell>
          <cell r="B5851" t="str">
            <v>AUD/USD basis 25y</v>
          </cell>
          <cell r="C5851" t="str">
            <v>BRS_GOLD__2_FX:FX_BASIS:AUD_BASIS_USD_25y</v>
          </cell>
          <cell r="D5851" t="str">
            <v>Spread Duration</v>
          </cell>
          <cell r="E5851" t="str">
            <v>Other Spread Yield</v>
          </cell>
          <cell r="F5851" t="str">
            <v>Other</v>
          </cell>
          <cell r="G5851" t="str">
            <v>Other</v>
          </cell>
          <cell r="H5851" t="str">
            <v>OTHER</v>
          </cell>
          <cell r="I5851" t="str">
            <v>FX Basis</v>
          </cell>
        </row>
        <row r="5852">
          <cell r="A5852" t="str">
            <v>AUD_BASIS_USD_30y</v>
          </cell>
          <cell r="B5852" t="str">
            <v>AUD/USD basis 30y</v>
          </cell>
          <cell r="C5852" t="str">
            <v>BRS_GOLD__2_FX:FX_BASIS:AUD_BASIS_USD_30y</v>
          </cell>
          <cell r="D5852" t="str">
            <v>Spread Duration</v>
          </cell>
          <cell r="E5852" t="str">
            <v>Other Spread Yield</v>
          </cell>
          <cell r="F5852" t="str">
            <v>Other</v>
          </cell>
          <cell r="G5852" t="str">
            <v>Other</v>
          </cell>
          <cell r="H5852" t="str">
            <v>OTHER</v>
          </cell>
          <cell r="I5852" t="str">
            <v>FX Basis</v>
          </cell>
        </row>
        <row r="5853">
          <cell r="A5853" t="str">
            <v>CAD_BASIS_USD_3m</v>
          </cell>
          <cell r="B5853" t="str">
            <v>CAD/USD basis 3m</v>
          </cell>
          <cell r="C5853" t="str">
            <v>BRS_GOLD__2_FX:FX_BASIS:CAD_BASIS_USD_3m</v>
          </cell>
          <cell r="D5853" t="str">
            <v>Spread Duration</v>
          </cell>
          <cell r="E5853" t="str">
            <v>Other Spread Yield</v>
          </cell>
          <cell r="F5853" t="str">
            <v>Other</v>
          </cell>
          <cell r="G5853" t="str">
            <v>Other</v>
          </cell>
          <cell r="H5853" t="str">
            <v>OTHER</v>
          </cell>
          <cell r="I5853" t="str">
            <v>FX Basis</v>
          </cell>
        </row>
        <row r="5854">
          <cell r="A5854" t="str">
            <v>CAD_BASIS_USD_1y</v>
          </cell>
          <cell r="B5854" t="str">
            <v>CAD/USD basis 1y</v>
          </cell>
          <cell r="C5854" t="str">
            <v>BRS_GOLD__2_FX:FX_BASIS:CAD_BASIS_USD_1y</v>
          </cell>
          <cell r="D5854" t="str">
            <v>Spread Duration</v>
          </cell>
          <cell r="E5854" t="str">
            <v>Other Spread Yield</v>
          </cell>
          <cell r="F5854" t="str">
            <v>Other</v>
          </cell>
          <cell r="G5854" t="str">
            <v>Other</v>
          </cell>
          <cell r="H5854" t="str">
            <v>OTHER</v>
          </cell>
          <cell r="I5854" t="str">
            <v>FX Basis</v>
          </cell>
        </row>
        <row r="5855">
          <cell r="A5855" t="str">
            <v>CAD_BASIS_USD_2y</v>
          </cell>
          <cell r="B5855" t="str">
            <v>CAD/USD basis 2y</v>
          </cell>
          <cell r="C5855" t="str">
            <v>BRS_GOLD__2_FX:FX_BASIS:CAD_BASIS_USD_2y</v>
          </cell>
          <cell r="D5855" t="str">
            <v>Spread Duration</v>
          </cell>
          <cell r="E5855" t="str">
            <v>Other Spread Yield</v>
          </cell>
          <cell r="F5855" t="str">
            <v>Other</v>
          </cell>
          <cell r="G5855" t="str">
            <v>Other</v>
          </cell>
          <cell r="H5855" t="str">
            <v>OTHER</v>
          </cell>
          <cell r="I5855" t="str">
            <v>FX Basis</v>
          </cell>
        </row>
        <row r="5856">
          <cell r="A5856" t="str">
            <v>CAD_BASIS_USD_3y</v>
          </cell>
          <cell r="B5856" t="str">
            <v>CAD/USD basis 3y</v>
          </cell>
          <cell r="C5856" t="str">
            <v>BRS_GOLD__2_FX:FX_BASIS:CAD_BASIS_USD_3y</v>
          </cell>
          <cell r="D5856" t="str">
            <v>Spread Duration</v>
          </cell>
          <cell r="E5856" t="str">
            <v>Other Spread Yield</v>
          </cell>
          <cell r="F5856" t="str">
            <v>Other</v>
          </cell>
          <cell r="G5856" t="str">
            <v>Other</v>
          </cell>
          <cell r="H5856" t="str">
            <v>OTHER</v>
          </cell>
          <cell r="I5856" t="str">
            <v>FX Basis</v>
          </cell>
        </row>
        <row r="5857">
          <cell r="A5857" t="str">
            <v>CAD_BASIS_USD_5y</v>
          </cell>
          <cell r="B5857" t="str">
            <v>CAD/USD basis 5y</v>
          </cell>
          <cell r="C5857" t="str">
            <v>BRS_GOLD__2_FX:FX_BASIS:CAD_BASIS_USD_5y</v>
          </cell>
          <cell r="D5857" t="str">
            <v>Spread Duration</v>
          </cell>
          <cell r="E5857" t="str">
            <v>Other Spread Yield</v>
          </cell>
          <cell r="F5857" t="str">
            <v>Other</v>
          </cell>
          <cell r="G5857" t="str">
            <v>Other</v>
          </cell>
          <cell r="H5857" t="str">
            <v>OTHER</v>
          </cell>
          <cell r="I5857" t="str">
            <v>FX Basis</v>
          </cell>
        </row>
        <row r="5858">
          <cell r="A5858" t="str">
            <v>CAD_BASIS_USD_7y</v>
          </cell>
          <cell r="B5858" t="str">
            <v>CAD/USD basis 7y</v>
          </cell>
          <cell r="C5858" t="str">
            <v>BRS_GOLD__2_FX:FX_BASIS:CAD_BASIS_USD_7y</v>
          </cell>
          <cell r="D5858" t="str">
            <v>Spread Duration</v>
          </cell>
          <cell r="E5858" t="str">
            <v>Other Spread Yield</v>
          </cell>
          <cell r="F5858" t="str">
            <v>Other</v>
          </cell>
          <cell r="G5858" t="str">
            <v>Other</v>
          </cell>
          <cell r="H5858" t="str">
            <v>OTHER</v>
          </cell>
          <cell r="I5858" t="str">
            <v>FX Basis</v>
          </cell>
        </row>
        <row r="5859">
          <cell r="A5859" t="str">
            <v>CAD_BASIS_USD_10y</v>
          </cell>
          <cell r="B5859" t="str">
            <v>CAD/USD basis 10y</v>
          </cell>
          <cell r="C5859" t="str">
            <v>BRS_GOLD__2_FX:FX_BASIS:CAD_BASIS_USD_10y</v>
          </cell>
          <cell r="D5859" t="str">
            <v>Spread Duration</v>
          </cell>
          <cell r="E5859" t="str">
            <v>Other Spread Yield</v>
          </cell>
          <cell r="F5859" t="str">
            <v>Other</v>
          </cell>
          <cell r="G5859" t="str">
            <v>Other</v>
          </cell>
          <cell r="H5859" t="str">
            <v>OTHER</v>
          </cell>
          <cell r="I5859" t="str">
            <v>FX Basis</v>
          </cell>
        </row>
        <row r="5860">
          <cell r="A5860" t="str">
            <v>CAD_BASIS_USD_15y</v>
          </cell>
          <cell r="B5860" t="str">
            <v>CAD/USD basis 15y</v>
          </cell>
          <cell r="C5860" t="str">
            <v>BRS_GOLD__2_FX:FX_BASIS:CAD_BASIS_USD_15y</v>
          </cell>
          <cell r="D5860" t="str">
            <v>Spread Duration</v>
          </cell>
          <cell r="E5860" t="str">
            <v>Other Spread Yield</v>
          </cell>
          <cell r="F5860" t="str">
            <v>Other</v>
          </cell>
          <cell r="G5860" t="str">
            <v>Other</v>
          </cell>
          <cell r="H5860" t="str">
            <v>OTHER</v>
          </cell>
          <cell r="I5860" t="str">
            <v>FX Basis</v>
          </cell>
        </row>
        <row r="5861">
          <cell r="A5861" t="str">
            <v>CAD_BASIS_USD_20y</v>
          </cell>
          <cell r="B5861" t="str">
            <v>CAD/USD basis 20y</v>
          </cell>
          <cell r="C5861" t="str">
            <v>BRS_GOLD__2_FX:FX_BASIS:CAD_BASIS_USD_20y</v>
          </cell>
          <cell r="D5861" t="str">
            <v>Spread Duration</v>
          </cell>
          <cell r="E5861" t="str">
            <v>Other Spread Yield</v>
          </cell>
          <cell r="F5861" t="str">
            <v>Other</v>
          </cell>
          <cell r="G5861" t="str">
            <v>Other</v>
          </cell>
          <cell r="H5861" t="str">
            <v>OTHER</v>
          </cell>
          <cell r="I5861" t="str">
            <v>FX Basis</v>
          </cell>
        </row>
        <row r="5862">
          <cell r="A5862" t="str">
            <v>CAD_BASIS_USD_25y</v>
          </cell>
          <cell r="B5862" t="str">
            <v>CAD/USD basis 25y</v>
          </cell>
          <cell r="C5862" t="str">
            <v>BRS_GOLD__2_FX:FX_BASIS:CAD_BASIS_USD_25y</v>
          </cell>
          <cell r="D5862" t="str">
            <v>Spread Duration</v>
          </cell>
          <cell r="E5862" t="str">
            <v>Other Spread Yield</v>
          </cell>
          <cell r="F5862" t="str">
            <v>Other</v>
          </cell>
          <cell r="G5862" t="str">
            <v>Other</v>
          </cell>
          <cell r="H5862" t="str">
            <v>OTHER</v>
          </cell>
          <cell r="I5862" t="str">
            <v>FX Basis</v>
          </cell>
        </row>
        <row r="5863">
          <cell r="A5863" t="str">
            <v>CAD_BASIS_USD_30y</v>
          </cell>
          <cell r="B5863" t="str">
            <v>CAD/USD basis 30y</v>
          </cell>
          <cell r="C5863" t="str">
            <v>BRS_GOLD__2_FX:FX_BASIS:CAD_BASIS_USD_30y</v>
          </cell>
          <cell r="D5863" t="str">
            <v>Spread Duration</v>
          </cell>
          <cell r="E5863" t="str">
            <v>Other Spread Yield</v>
          </cell>
          <cell r="F5863" t="str">
            <v>Other</v>
          </cell>
          <cell r="G5863" t="str">
            <v>Other</v>
          </cell>
          <cell r="H5863" t="str">
            <v>OTHER</v>
          </cell>
          <cell r="I5863" t="str">
            <v>FX Basis</v>
          </cell>
        </row>
        <row r="5864">
          <cell r="A5864" t="str">
            <v>CHF_BASIS_USD_3m</v>
          </cell>
          <cell r="B5864" t="str">
            <v>CHF/USD basis 3m</v>
          </cell>
          <cell r="C5864" t="str">
            <v>BRS_GOLD__2_FX:FX_BASIS:CHF_BASIS_USD_3m</v>
          </cell>
          <cell r="D5864" t="str">
            <v>Spread Duration</v>
          </cell>
          <cell r="E5864" t="str">
            <v>Other Spread Yield</v>
          </cell>
          <cell r="F5864" t="str">
            <v>Other</v>
          </cell>
          <cell r="G5864" t="str">
            <v>Other</v>
          </cell>
          <cell r="H5864" t="str">
            <v>OTHER</v>
          </cell>
          <cell r="I5864" t="str">
            <v>FX Basis</v>
          </cell>
        </row>
        <row r="5865">
          <cell r="A5865" t="str">
            <v>CHF_BASIS_USD_1y</v>
          </cell>
          <cell r="B5865" t="str">
            <v>CHF/USD basis 1y</v>
          </cell>
          <cell r="C5865" t="str">
            <v>BRS_GOLD__2_FX:FX_BASIS:CHF_BASIS_USD_1y</v>
          </cell>
          <cell r="D5865" t="str">
            <v>Spread Duration</v>
          </cell>
          <cell r="E5865" t="str">
            <v>Other Spread Yield</v>
          </cell>
          <cell r="F5865" t="str">
            <v>Other</v>
          </cell>
          <cell r="G5865" t="str">
            <v>Other</v>
          </cell>
          <cell r="H5865" t="str">
            <v>OTHER</v>
          </cell>
          <cell r="I5865" t="str">
            <v>FX Basis</v>
          </cell>
        </row>
        <row r="5866">
          <cell r="A5866" t="str">
            <v>CHF_BASIS_USD_2y</v>
          </cell>
          <cell r="B5866" t="str">
            <v>CHF/USD basis 2y</v>
          </cell>
          <cell r="C5866" t="str">
            <v>BRS_GOLD__2_FX:FX_BASIS:CHF_BASIS_USD_2y</v>
          </cell>
          <cell r="D5866" t="str">
            <v>Spread Duration</v>
          </cell>
          <cell r="E5866" t="str">
            <v>Other Spread Yield</v>
          </cell>
          <cell r="F5866" t="str">
            <v>Other</v>
          </cell>
          <cell r="G5866" t="str">
            <v>Other</v>
          </cell>
          <cell r="H5866" t="str">
            <v>OTHER</v>
          </cell>
          <cell r="I5866" t="str">
            <v>FX Basis</v>
          </cell>
        </row>
        <row r="5867">
          <cell r="A5867" t="str">
            <v>CHF_BASIS_USD_3y</v>
          </cell>
          <cell r="B5867" t="str">
            <v>CHF/USD basis 3y</v>
          </cell>
          <cell r="C5867" t="str">
            <v>BRS_GOLD__2_FX:FX_BASIS:CHF_BASIS_USD_3y</v>
          </cell>
          <cell r="D5867" t="str">
            <v>Spread Duration</v>
          </cell>
          <cell r="E5867" t="str">
            <v>Other Spread Yield</v>
          </cell>
          <cell r="F5867" t="str">
            <v>Other</v>
          </cell>
          <cell r="G5867" t="str">
            <v>Other</v>
          </cell>
          <cell r="H5867" t="str">
            <v>OTHER</v>
          </cell>
          <cell r="I5867" t="str">
            <v>FX Basis</v>
          </cell>
        </row>
        <row r="5868">
          <cell r="A5868" t="str">
            <v>CHF_BASIS_USD_5y</v>
          </cell>
          <cell r="B5868" t="str">
            <v>CHF/USD basis 5y</v>
          </cell>
          <cell r="C5868" t="str">
            <v>BRS_GOLD__2_FX:FX_BASIS:CHF_BASIS_USD_5y</v>
          </cell>
          <cell r="D5868" t="str">
            <v>Spread Duration</v>
          </cell>
          <cell r="E5868" t="str">
            <v>Other Spread Yield</v>
          </cell>
          <cell r="F5868" t="str">
            <v>Other</v>
          </cell>
          <cell r="G5868" t="str">
            <v>Other</v>
          </cell>
          <cell r="H5868" t="str">
            <v>OTHER</v>
          </cell>
          <cell r="I5868" t="str">
            <v>FX Basis</v>
          </cell>
        </row>
        <row r="5869">
          <cell r="A5869" t="str">
            <v>CHF_BASIS_USD_7y</v>
          </cell>
          <cell r="B5869" t="str">
            <v>CHF/USD basis 7y</v>
          </cell>
          <cell r="C5869" t="str">
            <v>BRS_GOLD__2_FX:FX_BASIS:CHF_BASIS_USD_7y</v>
          </cell>
          <cell r="D5869" t="str">
            <v>Spread Duration</v>
          </cell>
          <cell r="E5869" t="str">
            <v>Other Spread Yield</v>
          </cell>
          <cell r="F5869" t="str">
            <v>Other</v>
          </cell>
          <cell r="G5869" t="str">
            <v>Other</v>
          </cell>
          <cell r="H5869" t="str">
            <v>OTHER</v>
          </cell>
          <cell r="I5869" t="str">
            <v>FX Basis</v>
          </cell>
        </row>
        <row r="5870">
          <cell r="A5870" t="str">
            <v>CHF_BASIS_USD_10y</v>
          </cell>
          <cell r="B5870" t="str">
            <v>CHF/USD basis 10y</v>
          </cell>
          <cell r="C5870" t="str">
            <v>BRS_GOLD__2_FX:FX_BASIS:CHF_BASIS_USD_10y</v>
          </cell>
          <cell r="D5870" t="str">
            <v>Spread Duration</v>
          </cell>
          <cell r="E5870" t="str">
            <v>Other Spread Yield</v>
          </cell>
          <cell r="F5870" t="str">
            <v>Other</v>
          </cell>
          <cell r="G5870" t="str">
            <v>Other</v>
          </cell>
          <cell r="H5870" t="str">
            <v>OTHER</v>
          </cell>
          <cell r="I5870" t="str">
            <v>FX Basis</v>
          </cell>
        </row>
        <row r="5871">
          <cell r="A5871" t="str">
            <v>CHF_BASIS_USD_15y</v>
          </cell>
          <cell r="B5871" t="str">
            <v>CHF/USD basis 15y</v>
          </cell>
          <cell r="C5871" t="str">
            <v>BRS_GOLD__2_FX:FX_BASIS:CHF_BASIS_USD_15y</v>
          </cell>
          <cell r="D5871" t="str">
            <v>Spread Duration</v>
          </cell>
          <cell r="E5871" t="str">
            <v>Other Spread Yield</v>
          </cell>
          <cell r="F5871" t="str">
            <v>Other</v>
          </cell>
          <cell r="G5871" t="str">
            <v>Other</v>
          </cell>
          <cell r="H5871" t="str">
            <v>OTHER</v>
          </cell>
          <cell r="I5871" t="str">
            <v>FX Basis</v>
          </cell>
        </row>
        <row r="5872">
          <cell r="A5872" t="str">
            <v>CHF_BASIS_USD_20y</v>
          </cell>
          <cell r="B5872" t="str">
            <v>CHF/USD basis 20y</v>
          </cell>
          <cell r="C5872" t="str">
            <v>BRS_GOLD__2_FX:FX_BASIS:CHF_BASIS_USD_20y</v>
          </cell>
          <cell r="D5872" t="str">
            <v>Spread Duration</v>
          </cell>
          <cell r="E5872" t="str">
            <v>Other Spread Yield</v>
          </cell>
          <cell r="F5872" t="str">
            <v>Other</v>
          </cell>
          <cell r="G5872" t="str">
            <v>Other</v>
          </cell>
          <cell r="H5872" t="str">
            <v>OTHER</v>
          </cell>
          <cell r="I5872" t="str">
            <v>FX Basis</v>
          </cell>
        </row>
        <row r="5873">
          <cell r="A5873" t="str">
            <v>CHF_BASIS_USD_25y</v>
          </cell>
          <cell r="B5873" t="str">
            <v>CHF/USD basis 25y</v>
          </cell>
          <cell r="C5873" t="str">
            <v>BRS_GOLD__2_FX:FX_BASIS:CHF_BASIS_USD_25y</v>
          </cell>
          <cell r="D5873" t="str">
            <v>Spread Duration</v>
          </cell>
          <cell r="E5873" t="str">
            <v>Other Spread Yield</v>
          </cell>
          <cell r="F5873" t="str">
            <v>Other</v>
          </cell>
          <cell r="G5873" t="str">
            <v>Other</v>
          </cell>
          <cell r="H5873" t="str">
            <v>OTHER</v>
          </cell>
          <cell r="I5873" t="str">
            <v>FX Basis</v>
          </cell>
        </row>
        <row r="5874">
          <cell r="A5874" t="str">
            <v>CHF_BASIS_USD_30y</v>
          </cell>
          <cell r="B5874" t="str">
            <v>CHF/USD basis 30y</v>
          </cell>
          <cell r="C5874" t="str">
            <v>BRS_GOLD__2_FX:FX_BASIS:CHF_BASIS_USD_30y</v>
          </cell>
          <cell r="D5874" t="str">
            <v>Spread Duration</v>
          </cell>
          <cell r="E5874" t="str">
            <v>Other Spread Yield</v>
          </cell>
          <cell r="F5874" t="str">
            <v>Other</v>
          </cell>
          <cell r="G5874" t="str">
            <v>Other</v>
          </cell>
          <cell r="H5874" t="str">
            <v>OTHER</v>
          </cell>
          <cell r="I5874" t="str">
            <v>FX Basis</v>
          </cell>
        </row>
        <row r="5875">
          <cell r="A5875" t="str">
            <v>DKK_BASIS_USD_3m</v>
          </cell>
          <cell r="B5875" t="str">
            <v>DKK/USD basis 3m</v>
          </cell>
          <cell r="C5875" t="str">
            <v>BRS_GOLD__2_FX:FX_BASIS:DKK_BASIS_USD_3m</v>
          </cell>
          <cell r="D5875" t="str">
            <v>Spread Duration</v>
          </cell>
          <cell r="E5875" t="str">
            <v>Other Spread Yield</v>
          </cell>
          <cell r="F5875" t="str">
            <v>Other</v>
          </cell>
          <cell r="G5875" t="str">
            <v>Other</v>
          </cell>
          <cell r="H5875" t="str">
            <v>OTHER</v>
          </cell>
          <cell r="I5875" t="str">
            <v>FX Basis</v>
          </cell>
        </row>
        <row r="5876">
          <cell r="A5876" t="str">
            <v>DKK_BASIS_USD_1y</v>
          </cell>
          <cell r="B5876" t="str">
            <v>DKK/USD basis 1y</v>
          </cell>
          <cell r="C5876" t="str">
            <v>BRS_GOLD__2_FX:FX_BASIS:DKK_BASIS_USD_1y</v>
          </cell>
          <cell r="D5876" t="str">
            <v>Spread Duration</v>
          </cell>
          <cell r="E5876" t="str">
            <v>Other Spread Yield</v>
          </cell>
          <cell r="F5876" t="str">
            <v>Other</v>
          </cell>
          <cell r="G5876" t="str">
            <v>Other</v>
          </cell>
          <cell r="H5876" t="str">
            <v>OTHER</v>
          </cell>
          <cell r="I5876" t="str">
            <v>FX Basis</v>
          </cell>
        </row>
        <row r="5877">
          <cell r="A5877" t="str">
            <v>DKK_BASIS_USD_2y</v>
          </cell>
          <cell r="B5877" t="str">
            <v>DKK/USD basis 2y</v>
          </cell>
          <cell r="C5877" t="str">
            <v>BRS_GOLD__2_FX:FX_BASIS:DKK_BASIS_USD_2y</v>
          </cell>
          <cell r="D5877" t="str">
            <v>Spread Duration</v>
          </cell>
          <cell r="E5877" t="str">
            <v>Other Spread Yield</v>
          </cell>
          <cell r="F5877" t="str">
            <v>Other</v>
          </cell>
          <cell r="G5877" t="str">
            <v>Other</v>
          </cell>
          <cell r="H5877" t="str">
            <v>OTHER</v>
          </cell>
          <cell r="I5877" t="str">
            <v>FX Basis</v>
          </cell>
        </row>
        <row r="5878">
          <cell r="A5878" t="str">
            <v>DKK_BASIS_USD_3y</v>
          </cell>
          <cell r="B5878" t="str">
            <v>DKK/USD basis 3y</v>
          </cell>
          <cell r="C5878" t="str">
            <v>BRS_GOLD__2_FX:FX_BASIS:DKK_BASIS_USD_3y</v>
          </cell>
          <cell r="D5878" t="str">
            <v>Spread Duration</v>
          </cell>
          <cell r="E5878" t="str">
            <v>Other Spread Yield</v>
          </cell>
          <cell r="F5878" t="str">
            <v>Other</v>
          </cell>
          <cell r="G5878" t="str">
            <v>Other</v>
          </cell>
          <cell r="H5878" t="str">
            <v>OTHER</v>
          </cell>
          <cell r="I5878" t="str">
            <v>FX Basis</v>
          </cell>
        </row>
        <row r="5879">
          <cell r="A5879" t="str">
            <v>DKK_BASIS_USD_5y</v>
          </cell>
          <cell r="B5879" t="str">
            <v>DKK/USD basis 5y</v>
          </cell>
          <cell r="C5879" t="str">
            <v>BRS_GOLD__2_FX:FX_BASIS:DKK_BASIS_USD_5y</v>
          </cell>
          <cell r="D5879" t="str">
            <v>Spread Duration</v>
          </cell>
          <cell r="E5879" t="str">
            <v>Other Spread Yield</v>
          </cell>
          <cell r="F5879" t="str">
            <v>Other</v>
          </cell>
          <cell r="G5879" t="str">
            <v>Other</v>
          </cell>
          <cell r="H5879" t="str">
            <v>OTHER</v>
          </cell>
          <cell r="I5879" t="str">
            <v>FX Basis</v>
          </cell>
        </row>
        <row r="5880">
          <cell r="A5880" t="str">
            <v>DKK_BASIS_USD_7y</v>
          </cell>
          <cell r="B5880" t="str">
            <v>DKK/USD basis 7y</v>
          </cell>
          <cell r="C5880" t="str">
            <v>BRS_GOLD__2_FX:FX_BASIS:DKK_BASIS_USD_7y</v>
          </cell>
          <cell r="D5880" t="str">
            <v>Spread Duration</v>
          </cell>
          <cell r="E5880" t="str">
            <v>Other Spread Yield</v>
          </cell>
          <cell r="F5880" t="str">
            <v>Other</v>
          </cell>
          <cell r="G5880" t="str">
            <v>Other</v>
          </cell>
          <cell r="H5880" t="str">
            <v>OTHER</v>
          </cell>
          <cell r="I5880" t="str">
            <v>FX Basis</v>
          </cell>
        </row>
        <row r="5881">
          <cell r="A5881" t="str">
            <v>DKK_BASIS_USD_10y</v>
          </cell>
          <cell r="B5881" t="str">
            <v>DKK/USD basis 10y</v>
          </cell>
          <cell r="C5881" t="str">
            <v>BRS_GOLD__2_FX:FX_BASIS:DKK_BASIS_USD_10y</v>
          </cell>
          <cell r="D5881" t="str">
            <v>Spread Duration</v>
          </cell>
          <cell r="E5881" t="str">
            <v>Other Spread Yield</v>
          </cell>
          <cell r="F5881" t="str">
            <v>Other</v>
          </cell>
          <cell r="G5881" t="str">
            <v>Other</v>
          </cell>
          <cell r="H5881" t="str">
            <v>OTHER</v>
          </cell>
          <cell r="I5881" t="str">
            <v>FX Basis</v>
          </cell>
        </row>
        <row r="5882">
          <cell r="A5882" t="str">
            <v>DKK_BASIS_USD_15y</v>
          </cell>
          <cell r="B5882" t="str">
            <v>DKK/USD basis 15y</v>
          </cell>
          <cell r="C5882" t="str">
            <v>BRS_GOLD__2_FX:FX_BASIS:DKK_BASIS_USD_15y</v>
          </cell>
          <cell r="D5882" t="str">
            <v>Spread Duration</v>
          </cell>
          <cell r="E5882" t="str">
            <v>Other Spread Yield</v>
          </cell>
          <cell r="F5882" t="str">
            <v>Other</v>
          </cell>
          <cell r="G5882" t="str">
            <v>Other</v>
          </cell>
          <cell r="H5882" t="str">
            <v>OTHER</v>
          </cell>
          <cell r="I5882" t="str">
            <v>FX Basis</v>
          </cell>
        </row>
        <row r="5883">
          <cell r="A5883" t="str">
            <v>DKK_BASIS_USD_20y</v>
          </cell>
          <cell r="B5883" t="str">
            <v>DKK/USD basis 20y</v>
          </cell>
          <cell r="C5883" t="str">
            <v>BRS_GOLD__2_FX:FX_BASIS:DKK_BASIS_USD_20y</v>
          </cell>
          <cell r="D5883" t="str">
            <v>Spread Duration</v>
          </cell>
          <cell r="E5883" t="str">
            <v>Other Spread Yield</v>
          </cell>
          <cell r="F5883" t="str">
            <v>Other</v>
          </cell>
          <cell r="G5883" t="str">
            <v>Other</v>
          </cell>
          <cell r="H5883" t="str">
            <v>OTHER</v>
          </cell>
          <cell r="I5883" t="str">
            <v>FX Basis</v>
          </cell>
        </row>
        <row r="5884">
          <cell r="A5884" t="str">
            <v>DKK_BASIS_USD_25y</v>
          </cell>
          <cell r="B5884" t="str">
            <v>DKK/USD basis 25y</v>
          </cell>
          <cell r="C5884" t="str">
            <v>BRS_GOLD__2_FX:FX_BASIS:DKK_BASIS_USD_25y</v>
          </cell>
          <cell r="D5884" t="str">
            <v>Spread Duration</v>
          </cell>
          <cell r="E5884" t="str">
            <v>Other Spread Yield</v>
          </cell>
          <cell r="F5884" t="str">
            <v>Other</v>
          </cell>
          <cell r="G5884" t="str">
            <v>Other</v>
          </cell>
          <cell r="H5884" t="str">
            <v>OTHER</v>
          </cell>
          <cell r="I5884" t="str">
            <v>FX Basis</v>
          </cell>
        </row>
        <row r="5885">
          <cell r="A5885" t="str">
            <v>DKK_BASIS_USD_30y</v>
          </cell>
          <cell r="B5885" t="str">
            <v>DKK/USD basis 30y</v>
          </cell>
          <cell r="C5885" t="str">
            <v>BRS_GOLD__2_FX:FX_BASIS:DKK_BASIS_USD_30y</v>
          </cell>
          <cell r="D5885" t="str">
            <v>Spread Duration</v>
          </cell>
          <cell r="E5885" t="str">
            <v>Other Spread Yield</v>
          </cell>
          <cell r="F5885" t="str">
            <v>Other</v>
          </cell>
          <cell r="G5885" t="str">
            <v>Other</v>
          </cell>
          <cell r="H5885" t="str">
            <v>OTHER</v>
          </cell>
          <cell r="I5885" t="str">
            <v>FX Basis</v>
          </cell>
        </row>
        <row r="5886">
          <cell r="A5886" t="str">
            <v>EUR_BASIS_USD_3m</v>
          </cell>
          <cell r="B5886" t="str">
            <v>EUR/USD basis 3m</v>
          </cell>
          <cell r="C5886" t="str">
            <v>BRS_GOLD__2_FX:FX_BASIS:EUR_BASIS_USD_3m</v>
          </cell>
          <cell r="D5886" t="str">
            <v>Spread Duration</v>
          </cell>
          <cell r="E5886" t="str">
            <v>Other Spread Yield</v>
          </cell>
          <cell r="F5886" t="str">
            <v>Other</v>
          </cell>
          <cell r="G5886" t="str">
            <v>Other</v>
          </cell>
          <cell r="H5886" t="str">
            <v>OTHER</v>
          </cell>
          <cell r="I5886" t="str">
            <v>FX Basis</v>
          </cell>
        </row>
        <row r="5887">
          <cell r="A5887" t="str">
            <v>EUR_BASIS_USD_1y</v>
          </cell>
          <cell r="B5887" t="str">
            <v>EUR/USD basis 1y</v>
          </cell>
          <cell r="C5887" t="str">
            <v>BRS_GOLD__2_FX:FX_BASIS:EUR_BASIS_USD_1y</v>
          </cell>
          <cell r="D5887" t="str">
            <v>Spread Duration</v>
          </cell>
          <cell r="E5887" t="str">
            <v>Other Spread Yield</v>
          </cell>
          <cell r="F5887" t="str">
            <v>Other</v>
          </cell>
          <cell r="G5887" t="str">
            <v>Other</v>
          </cell>
          <cell r="H5887" t="str">
            <v>OTHER</v>
          </cell>
          <cell r="I5887" t="str">
            <v>FX Basis</v>
          </cell>
        </row>
        <row r="5888">
          <cell r="A5888" t="str">
            <v>EUR_BASIS_USD_2y</v>
          </cell>
          <cell r="B5888" t="str">
            <v>EUR/USD basis 2y</v>
          </cell>
          <cell r="C5888" t="str">
            <v>BRS_GOLD__2_FX:FX_BASIS:EUR_BASIS_USD_2y</v>
          </cell>
          <cell r="D5888" t="str">
            <v>Spread Duration</v>
          </cell>
          <cell r="E5888" t="str">
            <v>Other Spread Yield</v>
          </cell>
          <cell r="F5888" t="str">
            <v>Other</v>
          </cell>
          <cell r="G5888" t="str">
            <v>Other</v>
          </cell>
          <cell r="H5888" t="str">
            <v>OTHER</v>
          </cell>
          <cell r="I5888" t="str">
            <v>FX Basis</v>
          </cell>
        </row>
        <row r="5889">
          <cell r="A5889" t="str">
            <v>EUR_BASIS_USD_3y</v>
          </cell>
          <cell r="B5889" t="str">
            <v>EUR/USD basis 3y</v>
          </cell>
          <cell r="C5889" t="str">
            <v>BRS_GOLD__2_FX:FX_BASIS:EUR_BASIS_USD_3y</v>
          </cell>
          <cell r="D5889" t="str">
            <v>Spread Duration</v>
          </cell>
          <cell r="E5889" t="str">
            <v>Other Spread Yield</v>
          </cell>
          <cell r="F5889" t="str">
            <v>Other</v>
          </cell>
          <cell r="G5889" t="str">
            <v>Other</v>
          </cell>
          <cell r="H5889" t="str">
            <v>OTHER</v>
          </cell>
          <cell r="I5889" t="str">
            <v>FX Basis</v>
          </cell>
        </row>
        <row r="5890">
          <cell r="A5890" t="str">
            <v>EUR_BASIS_USD_5y</v>
          </cell>
          <cell r="B5890" t="str">
            <v>EUR/USD basis 5y</v>
          </cell>
          <cell r="C5890" t="str">
            <v>BRS_GOLD__2_FX:FX_BASIS:EUR_BASIS_USD_5y</v>
          </cell>
          <cell r="D5890" t="str">
            <v>Spread Duration</v>
          </cell>
          <cell r="E5890" t="str">
            <v>Other Spread Yield</v>
          </cell>
          <cell r="F5890" t="str">
            <v>Other</v>
          </cell>
          <cell r="G5890" t="str">
            <v>Other</v>
          </cell>
          <cell r="H5890" t="str">
            <v>OTHER</v>
          </cell>
          <cell r="I5890" t="str">
            <v>FX Basis</v>
          </cell>
        </row>
        <row r="5891">
          <cell r="A5891" t="str">
            <v>EUR_BASIS_USD_7y</v>
          </cell>
          <cell r="B5891" t="str">
            <v>EUR/USD basis 7y</v>
          </cell>
          <cell r="C5891" t="str">
            <v>BRS_GOLD__2_FX:FX_BASIS:EUR_BASIS_USD_7y</v>
          </cell>
          <cell r="D5891" t="str">
            <v>Spread Duration</v>
          </cell>
          <cell r="E5891" t="str">
            <v>Other Spread Yield</v>
          </cell>
          <cell r="F5891" t="str">
            <v>Other</v>
          </cell>
          <cell r="G5891" t="str">
            <v>Other</v>
          </cell>
          <cell r="H5891" t="str">
            <v>OTHER</v>
          </cell>
          <cell r="I5891" t="str">
            <v>FX Basis</v>
          </cell>
        </row>
        <row r="5892">
          <cell r="A5892" t="str">
            <v>EUR_BASIS_USD_10y</v>
          </cell>
          <cell r="B5892" t="str">
            <v>EUR/USD basis 10y</v>
          </cell>
          <cell r="C5892" t="str">
            <v>BRS_GOLD__2_FX:FX_BASIS:EUR_BASIS_USD_10y</v>
          </cell>
          <cell r="D5892" t="str">
            <v>Spread Duration</v>
          </cell>
          <cell r="E5892" t="str">
            <v>Other Spread Yield</v>
          </cell>
          <cell r="F5892" t="str">
            <v>Other</v>
          </cell>
          <cell r="G5892" t="str">
            <v>Other</v>
          </cell>
          <cell r="H5892" t="str">
            <v>OTHER</v>
          </cell>
          <cell r="I5892" t="str">
            <v>FX Basis</v>
          </cell>
        </row>
        <row r="5893">
          <cell r="A5893" t="str">
            <v>EUR_BASIS_USD_15y</v>
          </cell>
          <cell r="B5893" t="str">
            <v>EUR/USD basis 15y</v>
          </cell>
          <cell r="C5893" t="str">
            <v>BRS_GOLD__2_FX:FX_BASIS:EUR_BASIS_USD_15y</v>
          </cell>
          <cell r="D5893" t="str">
            <v>Spread Duration</v>
          </cell>
          <cell r="E5893" t="str">
            <v>Other Spread Yield</v>
          </cell>
          <cell r="F5893" t="str">
            <v>Other</v>
          </cell>
          <cell r="G5893" t="str">
            <v>Other</v>
          </cell>
          <cell r="H5893" t="str">
            <v>OTHER</v>
          </cell>
          <cell r="I5893" t="str">
            <v>FX Basis</v>
          </cell>
        </row>
        <row r="5894">
          <cell r="A5894" t="str">
            <v>EUR_BASIS_USD_20y</v>
          </cell>
          <cell r="B5894" t="str">
            <v>EUR/USD basis 20y</v>
          </cell>
          <cell r="C5894" t="str">
            <v>BRS_GOLD__2_FX:FX_BASIS:EUR_BASIS_USD_20y</v>
          </cell>
          <cell r="D5894" t="str">
            <v>Spread Duration</v>
          </cell>
          <cell r="E5894" t="str">
            <v>Other Spread Yield</v>
          </cell>
          <cell r="F5894" t="str">
            <v>Other</v>
          </cell>
          <cell r="G5894" t="str">
            <v>Other</v>
          </cell>
          <cell r="H5894" t="str">
            <v>OTHER</v>
          </cell>
          <cell r="I5894" t="str">
            <v>FX Basis</v>
          </cell>
        </row>
        <row r="5895">
          <cell r="A5895" t="str">
            <v>EUR_BASIS_USD_25y</v>
          </cell>
          <cell r="B5895" t="str">
            <v>EUR/USD basis 25y</v>
          </cell>
          <cell r="C5895" t="str">
            <v>BRS_GOLD__2_FX:FX_BASIS:EUR_BASIS_USD_25y</v>
          </cell>
          <cell r="D5895" t="str">
            <v>Spread Duration</v>
          </cell>
          <cell r="E5895" t="str">
            <v>Other Spread Yield</v>
          </cell>
          <cell r="F5895" t="str">
            <v>Other</v>
          </cell>
          <cell r="G5895" t="str">
            <v>Other</v>
          </cell>
          <cell r="H5895" t="str">
            <v>OTHER</v>
          </cell>
          <cell r="I5895" t="str">
            <v>FX Basis</v>
          </cell>
        </row>
        <row r="5896">
          <cell r="A5896" t="str">
            <v>EUR_BASIS_USD_30y</v>
          </cell>
          <cell r="B5896" t="str">
            <v>EUR/USD basis 30y</v>
          </cell>
          <cell r="C5896" t="str">
            <v>BRS_GOLD__2_FX:FX_BASIS:EUR_BASIS_USD_30y</v>
          </cell>
          <cell r="D5896" t="str">
            <v>Spread Duration</v>
          </cell>
          <cell r="E5896" t="str">
            <v>Other Spread Yield</v>
          </cell>
          <cell r="F5896" t="str">
            <v>Other</v>
          </cell>
          <cell r="G5896" t="str">
            <v>Other</v>
          </cell>
          <cell r="H5896" t="str">
            <v>OTHER</v>
          </cell>
          <cell r="I5896" t="str">
            <v>FX Basis</v>
          </cell>
        </row>
        <row r="5897">
          <cell r="A5897" t="str">
            <v>GBP_BASIS_USD_3m</v>
          </cell>
          <cell r="B5897" t="str">
            <v>GBP/USD basis 3m</v>
          </cell>
          <cell r="C5897" t="str">
            <v>BRS_GOLD__2_FX:FX_BASIS:GBP_BASIS_USD_3m</v>
          </cell>
          <cell r="D5897" t="str">
            <v>Spread Duration</v>
          </cell>
          <cell r="E5897" t="str">
            <v>Other Spread Yield</v>
          </cell>
          <cell r="F5897" t="str">
            <v>Other</v>
          </cell>
          <cell r="G5897" t="str">
            <v>Other</v>
          </cell>
          <cell r="H5897" t="str">
            <v>OTHER</v>
          </cell>
          <cell r="I5897" t="str">
            <v>FX Basis</v>
          </cell>
        </row>
        <row r="5898">
          <cell r="A5898" t="str">
            <v>GBP_BASIS_USD_1y</v>
          </cell>
          <cell r="B5898" t="str">
            <v>GBP/USD basis 1y</v>
          </cell>
          <cell r="C5898" t="str">
            <v>BRS_GOLD__2_FX:FX_BASIS:GBP_BASIS_USD_1y</v>
          </cell>
          <cell r="D5898" t="str">
            <v>Spread Duration</v>
          </cell>
          <cell r="E5898" t="str">
            <v>Other Spread Yield</v>
          </cell>
          <cell r="F5898" t="str">
            <v>Other</v>
          </cell>
          <cell r="G5898" t="str">
            <v>Other</v>
          </cell>
          <cell r="H5898" t="str">
            <v>OTHER</v>
          </cell>
          <cell r="I5898" t="str">
            <v>FX Basis</v>
          </cell>
        </row>
        <row r="5899">
          <cell r="A5899" t="str">
            <v>GBP_BASIS_USD_2y</v>
          </cell>
          <cell r="B5899" t="str">
            <v>GBP/USD basis 2y</v>
          </cell>
          <cell r="C5899" t="str">
            <v>BRS_GOLD__2_FX:FX_BASIS:GBP_BASIS_USD_2y</v>
          </cell>
          <cell r="D5899" t="str">
            <v>Spread Duration</v>
          </cell>
          <cell r="E5899" t="str">
            <v>Other Spread Yield</v>
          </cell>
          <cell r="F5899" t="str">
            <v>Other</v>
          </cell>
          <cell r="G5899" t="str">
            <v>Other</v>
          </cell>
          <cell r="H5899" t="str">
            <v>OTHER</v>
          </cell>
          <cell r="I5899" t="str">
            <v>FX Basis</v>
          </cell>
        </row>
        <row r="5900">
          <cell r="A5900" t="str">
            <v>GBP_BASIS_USD_3y</v>
          </cell>
          <cell r="B5900" t="str">
            <v>GBP/USD basis 3y</v>
          </cell>
          <cell r="C5900" t="str">
            <v>BRS_GOLD__2_FX:FX_BASIS:GBP_BASIS_USD_3y</v>
          </cell>
          <cell r="D5900" t="str">
            <v>Spread Duration</v>
          </cell>
          <cell r="E5900" t="str">
            <v>Other Spread Yield</v>
          </cell>
          <cell r="F5900" t="str">
            <v>Other</v>
          </cell>
          <cell r="G5900" t="str">
            <v>Other</v>
          </cell>
          <cell r="H5900" t="str">
            <v>OTHER</v>
          </cell>
          <cell r="I5900" t="str">
            <v>FX Basis</v>
          </cell>
        </row>
        <row r="5901">
          <cell r="A5901" t="str">
            <v>GBP_BASIS_USD_5y</v>
          </cell>
          <cell r="B5901" t="str">
            <v>GBP/USD basis 5y</v>
          </cell>
          <cell r="C5901" t="str">
            <v>BRS_GOLD__2_FX:FX_BASIS:GBP_BASIS_USD_5y</v>
          </cell>
          <cell r="D5901" t="str">
            <v>Spread Duration</v>
          </cell>
          <cell r="E5901" t="str">
            <v>Other Spread Yield</v>
          </cell>
          <cell r="F5901" t="str">
            <v>Other</v>
          </cell>
          <cell r="G5901" t="str">
            <v>Other</v>
          </cell>
          <cell r="H5901" t="str">
            <v>OTHER</v>
          </cell>
          <cell r="I5901" t="str">
            <v>FX Basis</v>
          </cell>
        </row>
        <row r="5902">
          <cell r="A5902" t="str">
            <v>GBP_BASIS_USD_7y</v>
          </cell>
          <cell r="B5902" t="str">
            <v>GBP/USD basis 7y</v>
          </cell>
          <cell r="C5902" t="str">
            <v>BRS_GOLD__2_FX:FX_BASIS:GBP_BASIS_USD_7y</v>
          </cell>
          <cell r="D5902" t="str">
            <v>Spread Duration</v>
          </cell>
          <cell r="E5902" t="str">
            <v>Other Spread Yield</v>
          </cell>
          <cell r="F5902" t="str">
            <v>Other</v>
          </cell>
          <cell r="G5902" t="str">
            <v>Other</v>
          </cell>
          <cell r="H5902" t="str">
            <v>OTHER</v>
          </cell>
          <cell r="I5902" t="str">
            <v>FX Basis</v>
          </cell>
        </row>
        <row r="5903">
          <cell r="A5903" t="str">
            <v>GBP_BASIS_USD_10y</v>
          </cell>
          <cell r="B5903" t="str">
            <v>GBP/USD basis 10y</v>
          </cell>
          <cell r="C5903" t="str">
            <v>BRS_GOLD__2_FX:FX_BASIS:GBP_BASIS_USD_10y</v>
          </cell>
          <cell r="D5903" t="str">
            <v>Spread Duration</v>
          </cell>
          <cell r="E5903" t="str">
            <v>Other Spread Yield</v>
          </cell>
          <cell r="F5903" t="str">
            <v>Other</v>
          </cell>
          <cell r="G5903" t="str">
            <v>Other</v>
          </cell>
          <cell r="H5903" t="str">
            <v>OTHER</v>
          </cell>
          <cell r="I5903" t="str">
            <v>FX Basis</v>
          </cell>
        </row>
        <row r="5904">
          <cell r="A5904" t="str">
            <v>GBP_BASIS_USD_15y</v>
          </cell>
          <cell r="B5904" t="str">
            <v>GBP/USD basis 15y</v>
          </cell>
          <cell r="C5904" t="str">
            <v>BRS_GOLD__2_FX:FX_BASIS:GBP_BASIS_USD_15y</v>
          </cell>
          <cell r="D5904" t="str">
            <v>Spread Duration</v>
          </cell>
          <cell r="E5904" t="str">
            <v>Other Spread Yield</v>
          </cell>
          <cell r="F5904" t="str">
            <v>Other</v>
          </cell>
          <cell r="G5904" t="str">
            <v>Other</v>
          </cell>
          <cell r="H5904" t="str">
            <v>OTHER</v>
          </cell>
          <cell r="I5904" t="str">
            <v>FX Basis</v>
          </cell>
        </row>
        <row r="5905">
          <cell r="A5905" t="str">
            <v>GBP_BASIS_USD_20y</v>
          </cell>
          <cell r="B5905" t="str">
            <v>GBP/USD basis 20y</v>
          </cell>
          <cell r="C5905" t="str">
            <v>BRS_GOLD__2_FX:FX_BASIS:GBP_BASIS_USD_20y</v>
          </cell>
          <cell r="D5905" t="str">
            <v>Spread Duration</v>
          </cell>
          <cell r="E5905" t="str">
            <v>Other Spread Yield</v>
          </cell>
          <cell r="F5905" t="str">
            <v>Other</v>
          </cell>
          <cell r="G5905" t="str">
            <v>Other</v>
          </cell>
          <cell r="H5905" t="str">
            <v>OTHER</v>
          </cell>
          <cell r="I5905" t="str">
            <v>FX Basis</v>
          </cell>
        </row>
        <row r="5906">
          <cell r="A5906" t="str">
            <v>GBP_BASIS_USD_25y</v>
          </cell>
          <cell r="B5906" t="str">
            <v>GBP/USD basis 25y</v>
          </cell>
          <cell r="C5906" t="str">
            <v>BRS_GOLD__2_FX:FX_BASIS:GBP_BASIS_USD_25y</v>
          </cell>
          <cell r="D5906" t="str">
            <v>Spread Duration</v>
          </cell>
          <cell r="E5906" t="str">
            <v>Other Spread Yield</v>
          </cell>
          <cell r="F5906" t="str">
            <v>Other</v>
          </cell>
          <cell r="G5906" t="str">
            <v>Other</v>
          </cell>
          <cell r="H5906" t="str">
            <v>OTHER</v>
          </cell>
          <cell r="I5906" t="str">
            <v>FX Basis</v>
          </cell>
        </row>
        <row r="5907">
          <cell r="A5907" t="str">
            <v>GBP_BASIS_USD_30y</v>
          </cell>
          <cell r="B5907" t="str">
            <v>GBP/USD basis 30y</v>
          </cell>
          <cell r="C5907" t="str">
            <v>BRS_GOLD__2_FX:FX_BASIS:GBP_BASIS_USD_30y</v>
          </cell>
          <cell r="D5907" t="str">
            <v>Spread Duration</v>
          </cell>
          <cell r="E5907" t="str">
            <v>Other Spread Yield</v>
          </cell>
          <cell r="F5907" t="str">
            <v>Other</v>
          </cell>
          <cell r="G5907" t="str">
            <v>Other</v>
          </cell>
          <cell r="H5907" t="str">
            <v>OTHER</v>
          </cell>
          <cell r="I5907" t="str">
            <v>FX Basis</v>
          </cell>
        </row>
        <row r="5908">
          <cell r="A5908" t="str">
            <v>HKD_BASIS_USD_3m</v>
          </cell>
          <cell r="B5908" t="str">
            <v>HKD/USD basis 3m</v>
          </cell>
          <cell r="C5908" t="str">
            <v>BRS_GOLD__2_FX:FX_BASIS:HKD_BASIS_USD_3m</v>
          </cell>
          <cell r="D5908" t="str">
            <v>Spread Duration</v>
          </cell>
          <cell r="E5908" t="str">
            <v>Other Spread Yield</v>
          </cell>
          <cell r="F5908" t="str">
            <v>Other</v>
          </cell>
          <cell r="G5908" t="str">
            <v>Other</v>
          </cell>
          <cell r="H5908" t="str">
            <v>OTHER</v>
          </cell>
          <cell r="I5908" t="str">
            <v>FX Basis</v>
          </cell>
        </row>
        <row r="5909">
          <cell r="A5909" t="str">
            <v>HKD_BASIS_USD_1y</v>
          </cell>
          <cell r="B5909" t="str">
            <v>HKD/USD basis 1y</v>
          </cell>
          <cell r="C5909" t="str">
            <v>BRS_GOLD__2_FX:FX_BASIS:HKD_BASIS_USD_1y</v>
          </cell>
          <cell r="D5909" t="str">
            <v>Spread Duration</v>
          </cell>
          <cell r="E5909" t="str">
            <v>Other Spread Yield</v>
          </cell>
          <cell r="F5909" t="str">
            <v>Other</v>
          </cell>
          <cell r="G5909" t="str">
            <v>Other</v>
          </cell>
          <cell r="H5909" t="str">
            <v>OTHER</v>
          </cell>
          <cell r="I5909" t="str">
            <v>FX Basis</v>
          </cell>
        </row>
        <row r="5910">
          <cell r="A5910" t="str">
            <v>HKD_BASIS_USD_2y</v>
          </cell>
          <cell r="B5910" t="str">
            <v>HKD/USD basis 2y</v>
          </cell>
          <cell r="C5910" t="str">
            <v>BRS_GOLD__2_FX:FX_BASIS:HKD_BASIS_USD_2y</v>
          </cell>
          <cell r="D5910" t="str">
            <v>Spread Duration</v>
          </cell>
          <cell r="E5910" t="str">
            <v>Other Spread Yield</v>
          </cell>
          <cell r="F5910" t="str">
            <v>Other</v>
          </cell>
          <cell r="G5910" t="str">
            <v>Other</v>
          </cell>
          <cell r="H5910" t="str">
            <v>OTHER</v>
          </cell>
          <cell r="I5910" t="str">
            <v>FX Basis</v>
          </cell>
        </row>
        <row r="5911">
          <cell r="A5911" t="str">
            <v>HKD_BASIS_USD_3y</v>
          </cell>
          <cell r="B5911" t="str">
            <v>HKD/USD basis 3y</v>
          </cell>
          <cell r="C5911" t="str">
            <v>BRS_GOLD__2_FX:FX_BASIS:HKD_BASIS_USD_3y</v>
          </cell>
          <cell r="D5911" t="str">
            <v>Spread Duration</v>
          </cell>
          <cell r="E5911" t="str">
            <v>Other Spread Yield</v>
          </cell>
          <cell r="F5911" t="str">
            <v>Other</v>
          </cell>
          <cell r="G5911" t="str">
            <v>Other</v>
          </cell>
          <cell r="H5911" t="str">
            <v>OTHER</v>
          </cell>
          <cell r="I5911" t="str">
            <v>FX Basis</v>
          </cell>
        </row>
        <row r="5912">
          <cell r="A5912" t="str">
            <v>HKD_BASIS_USD_5y</v>
          </cell>
          <cell r="B5912" t="str">
            <v>HKD/USD basis 5y</v>
          </cell>
          <cell r="C5912" t="str">
            <v>BRS_GOLD__2_FX:FX_BASIS:HKD_BASIS_USD_5y</v>
          </cell>
          <cell r="D5912" t="str">
            <v>Spread Duration</v>
          </cell>
          <cell r="E5912" t="str">
            <v>Other Spread Yield</v>
          </cell>
          <cell r="F5912" t="str">
            <v>Other</v>
          </cell>
          <cell r="G5912" t="str">
            <v>Other</v>
          </cell>
          <cell r="H5912" t="str">
            <v>OTHER</v>
          </cell>
          <cell r="I5912" t="str">
            <v>FX Basis</v>
          </cell>
        </row>
        <row r="5913">
          <cell r="A5913" t="str">
            <v>HKD_BASIS_USD_7y</v>
          </cell>
          <cell r="B5913" t="str">
            <v>HKD/USD basis 7y</v>
          </cell>
          <cell r="C5913" t="str">
            <v>BRS_GOLD__2_FX:FX_BASIS:HKD_BASIS_USD_7y</v>
          </cell>
          <cell r="D5913" t="str">
            <v>Spread Duration</v>
          </cell>
          <cell r="E5913" t="str">
            <v>Other Spread Yield</v>
          </cell>
          <cell r="F5913" t="str">
            <v>Other</v>
          </cell>
          <cell r="G5913" t="str">
            <v>Other</v>
          </cell>
          <cell r="H5913" t="str">
            <v>OTHER</v>
          </cell>
          <cell r="I5913" t="str">
            <v>FX Basis</v>
          </cell>
        </row>
        <row r="5914">
          <cell r="A5914" t="str">
            <v>HKD_BASIS_USD_10y</v>
          </cell>
          <cell r="B5914" t="str">
            <v>HKD/USD basis 10y</v>
          </cell>
          <cell r="C5914" t="str">
            <v>BRS_GOLD__2_FX:FX_BASIS:HKD_BASIS_USD_10y</v>
          </cell>
          <cell r="D5914" t="str">
            <v>Spread Duration</v>
          </cell>
          <cell r="E5914" t="str">
            <v>Other Spread Yield</v>
          </cell>
          <cell r="F5914" t="str">
            <v>Other</v>
          </cell>
          <cell r="G5914" t="str">
            <v>Other</v>
          </cell>
          <cell r="H5914" t="str">
            <v>OTHER</v>
          </cell>
          <cell r="I5914" t="str">
            <v>FX Basis</v>
          </cell>
        </row>
        <row r="5915">
          <cell r="A5915" t="str">
            <v>HKD_BASIS_USD_15y</v>
          </cell>
          <cell r="B5915" t="str">
            <v>HKD/USD basis 15y</v>
          </cell>
          <cell r="C5915" t="str">
            <v>BRS_GOLD__2_FX:FX_BASIS:HKD_BASIS_USD_15y</v>
          </cell>
          <cell r="D5915" t="str">
            <v>Spread Duration</v>
          </cell>
          <cell r="E5915" t="str">
            <v>Other Spread Yield</v>
          </cell>
          <cell r="F5915" t="str">
            <v>Other</v>
          </cell>
          <cell r="G5915" t="str">
            <v>Other</v>
          </cell>
          <cell r="H5915" t="str">
            <v>OTHER</v>
          </cell>
          <cell r="I5915" t="str">
            <v>FX Basis</v>
          </cell>
        </row>
        <row r="5916">
          <cell r="A5916" t="str">
            <v>HKD_BASIS_USD_20y</v>
          </cell>
          <cell r="B5916" t="str">
            <v>HKD/USD basis 20y</v>
          </cell>
          <cell r="C5916" t="str">
            <v>BRS_GOLD__2_FX:FX_BASIS:HKD_BASIS_USD_20y</v>
          </cell>
          <cell r="D5916" t="str">
            <v>Spread Duration</v>
          </cell>
          <cell r="E5916" t="str">
            <v>Other Spread Yield</v>
          </cell>
          <cell r="F5916" t="str">
            <v>Other</v>
          </cell>
          <cell r="G5916" t="str">
            <v>Other</v>
          </cell>
          <cell r="H5916" t="str">
            <v>OTHER</v>
          </cell>
          <cell r="I5916" t="str">
            <v>FX Basis</v>
          </cell>
        </row>
        <row r="5917">
          <cell r="A5917" t="str">
            <v>HKD_BASIS_USD_25y</v>
          </cell>
          <cell r="B5917" t="str">
            <v>HKD/USD basis 25y</v>
          </cell>
          <cell r="C5917" t="str">
            <v>BRS_GOLD__2_FX:FX_BASIS:HKD_BASIS_USD_25y</v>
          </cell>
          <cell r="D5917" t="str">
            <v>Spread Duration</v>
          </cell>
          <cell r="E5917" t="str">
            <v>Other Spread Yield</v>
          </cell>
          <cell r="F5917" t="str">
            <v>Other</v>
          </cell>
          <cell r="G5917" t="str">
            <v>Other</v>
          </cell>
          <cell r="H5917" t="str">
            <v>OTHER</v>
          </cell>
          <cell r="I5917" t="str">
            <v>FX Basis</v>
          </cell>
        </row>
        <row r="5918">
          <cell r="A5918" t="str">
            <v>HKD_BASIS_USD_30y</v>
          </cell>
          <cell r="B5918" t="str">
            <v>HKD/USD basis 30y</v>
          </cell>
          <cell r="C5918" t="str">
            <v>BRS_GOLD__2_FX:FX_BASIS:HKD_BASIS_USD_30y</v>
          </cell>
          <cell r="D5918" t="str">
            <v>Spread Duration</v>
          </cell>
          <cell r="E5918" t="str">
            <v>Other Spread Yield</v>
          </cell>
          <cell r="F5918" t="str">
            <v>Other</v>
          </cell>
          <cell r="G5918" t="str">
            <v>Other</v>
          </cell>
          <cell r="H5918" t="str">
            <v>OTHER</v>
          </cell>
          <cell r="I5918" t="str">
            <v>FX Basis</v>
          </cell>
        </row>
        <row r="5919">
          <cell r="A5919" t="str">
            <v>JPY_BASIS_USD_3m</v>
          </cell>
          <cell r="B5919" t="str">
            <v>JPY/USD basis 3m</v>
          </cell>
          <cell r="C5919" t="str">
            <v>BRS_GOLD__2_FX:FX_BASIS:JPY_BASIS_USD_3m</v>
          </cell>
          <cell r="D5919" t="str">
            <v>Spread Duration</v>
          </cell>
          <cell r="E5919" t="str">
            <v>Other Spread Yield</v>
          </cell>
          <cell r="F5919" t="str">
            <v>Other</v>
          </cell>
          <cell r="G5919" t="str">
            <v>Other</v>
          </cell>
          <cell r="H5919" t="str">
            <v>OTHER</v>
          </cell>
          <cell r="I5919" t="str">
            <v>FX Basis</v>
          </cell>
        </row>
        <row r="5920">
          <cell r="A5920" t="str">
            <v>JPY_BASIS_USD_1y</v>
          </cell>
          <cell r="B5920" t="str">
            <v>JPY/USD basis 1y</v>
          </cell>
          <cell r="C5920" t="str">
            <v>BRS_GOLD__2_FX:FX_BASIS:JPY_BASIS_USD_1y</v>
          </cell>
          <cell r="D5920" t="str">
            <v>Spread Duration</v>
          </cell>
          <cell r="E5920" t="str">
            <v>Other Spread Yield</v>
          </cell>
          <cell r="F5920" t="str">
            <v>Other</v>
          </cell>
          <cell r="G5920" t="str">
            <v>Other</v>
          </cell>
          <cell r="H5920" t="str">
            <v>OTHER</v>
          </cell>
          <cell r="I5920" t="str">
            <v>FX Basis</v>
          </cell>
        </row>
        <row r="5921">
          <cell r="A5921" t="str">
            <v>JPY_BASIS_USD_2y</v>
          </cell>
          <cell r="B5921" t="str">
            <v>JPY/USD basis 2y</v>
          </cell>
          <cell r="C5921" t="str">
            <v>BRS_GOLD__2_FX:FX_BASIS:JPY_BASIS_USD_2y</v>
          </cell>
          <cell r="D5921" t="str">
            <v>Spread Duration</v>
          </cell>
          <cell r="E5921" t="str">
            <v>Other Spread Yield</v>
          </cell>
          <cell r="F5921" t="str">
            <v>Other</v>
          </cell>
          <cell r="G5921" t="str">
            <v>Other</v>
          </cell>
          <cell r="H5921" t="str">
            <v>OTHER</v>
          </cell>
          <cell r="I5921" t="str">
            <v>FX Basis</v>
          </cell>
        </row>
        <row r="5922">
          <cell r="A5922" t="str">
            <v>JPY_BASIS_USD_3y</v>
          </cell>
          <cell r="B5922" t="str">
            <v>JPY/USD basis 3y</v>
          </cell>
          <cell r="C5922" t="str">
            <v>BRS_GOLD__2_FX:FX_BASIS:JPY_BASIS_USD_3y</v>
          </cell>
          <cell r="D5922" t="str">
            <v>Spread Duration</v>
          </cell>
          <cell r="E5922" t="str">
            <v>Other Spread Yield</v>
          </cell>
          <cell r="F5922" t="str">
            <v>Other</v>
          </cell>
          <cell r="G5922" t="str">
            <v>Other</v>
          </cell>
          <cell r="H5922" t="str">
            <v>OTHER</v>
          </cell>
          <cell r="I5922" t="str">
            <v>FX Basis</v>
          </cell>
        </row>
        <row r="5923">
          <cell r="A5923" t="str">
            <v>JPY_BASIS_USD_5y</v>
          </cell>
          <cell r="B5923" t="str">
            <v>JPY/USD basis 5y</v>
          </cell>
          <cell r="C5923" t="str">
            <v>BRS_GOLD__2_FX:FX_BASIS:JPY_BASIS_USD_5y</v>
          </cell>
          <cell r="D5923" t="str">
            <v>Spread Duration</v>
          </cell>
          <cell r="E5923" t="str">
            <v>Other Spread Yield</v>
          </cell>
          <cell r="F5923" t="str">
            <v>Other</v>
          </cell>
          <cell r="G5923" t="str">
            <v>Other</v>
          </cell>
          <cell r="H5923" t="str">
            <v>OTHER</v>
          </cell>
          <cell r="I5923" t="str">
            <v>FX Basis</v>
          </cell>
        </row>
        <row r="5924">
          <cell r="A5924" t="str">
            <v>JPY_BASIS_USD_7y</v>
          </cell>
          <cell r="B5924" t="str">
            <v>JPY/USD basis 7y</v>
          </cell>
          <cell r="C5924" t="str">
            <v>BRS_GOLD__2_FX:FX_BASIS:JPY_BASIS_USD_7y</v>
          </cell>
          <cell r="D5924" t="str">
            <v>Spread Duration</v>
          </cell>
          <cell r="E5924" t="str">
            <v>Other Spread Yield</v>
          </cell>
          <cell r="F5924" t="str">
            <v>Other</v>
          </cell>
          <cell r="G5924" t="str">
            <v>Other</v>
          </cell>
          <cell r="H5924" t="str">
            <v>OTHER</v>
          </cell>
          <cell r="I5924" t="str">
            <v>FX Basis</v>
          </cell>
        </row>
        <row r="5925">
          <cell r="A5925" t="str">
            <v>JPY_BASIS_USD_10y</v>
          </cell>
          <cell r="B5925" t="str">
            <v>JPY/USD basis 10y</v>
          </cell>
          <cell r="C5925" t="str">
            <v>BRS_GOLD__2_FX:FX_BASIS:JPY_BASIS_USD_10y</v>
          </cell>
          <cell r="D5925" t="str">
            <v>Spread Duration</v>
          </cell>
          <cell r="E5925" t="str">
            <v>Other Spread Yield</v>
          </cell>
          <cell r="F5925" t="str">
            <v>Other</v>
          </cell>
          <cell r="G5925" t="str">
            <v>Other</v>
          </cell>
          <cell r="H5925" t="str">
            <v>OTHER</v>
          </cell>
          <cell r="I5925" t="str">
            <v>FX Basis</v>
          </cell>
        </row>
        <row r="5926">
          <cell r="A5926" t="str">
            <v>JPY_BASIS_USD_15y</v>
          </cell>
          <cell r="B5926" t="str">
            <v>JPY/USD basis 15y</v>
          </cell>
          <cell r="C5926" t="str">
            <v>BRS_GOLD__2_FX:FX_BASIS:JPY_BASIS_USD_15y</v>
          </cell>
          <cell r="D5926" t="str">
            <v>Spread Duration</v>
          </cell>
          <cell r="E5926" t="str">
            <v>Other Spread Yield</v>
          </cell>
          <cell r="F5926" t="str">
            <v>Other</v>
          </cell>
          <cell r="G5926" t="str">
            <v>Other</v>
          </cell>
          <cell r="H5926" t="str">
            <v>OTHER</v>
          </cell>
          <cell r="I5926" t="str">
            <v>FX Basis</v>
          </cell>
        </row>
        <row r="5927">
          <cell r="A5927" t="str">
            <v>JPY_BASIS_USD_20y</v>
          </cell>
          <cell r="B5927" t="str">
            <v>JPY/USD basis 20y</v>
          </cell>
          <cell r="C5927" t="str">
            <v>BRS_GOLD__2_FX:FX_BASIS:JPY_BASIS_USD_20y</v>
          </cell>
          <cell r="D5927" t="str">
            <v>Spread Duration</v>
          </cell>
          <cell r="E5927" t="str">
            <v>Other Spread Yield</v>
          </cell>
          <cell r="F5927" t="str">
            <v>Other</v>
          </cell>
          <cell r="G5927" t="str">
            <v>Other</v>
          </cell>
          <cell r="H5927" t="str">
            <v>OTHER</v>
          </cell>
          <cell r="I5927" t="str">
            <v>FX Basis</v>
          </cell>
        </row>
        <row r="5928">
          <cell r="A5928" t="str">
            <v>JPY_BASIS_USD_25y</v>
          </cell>
          <cell r="B5928" t="str">
            <v>JPY/USD basis 25y</v>
          </cell>
          <cell r="C5928" t="str">
            <v>BRS_GOLD__2_FX:FX_BASIS:JPY_BASIS_USD_25y</v>
          </cell>
          <cell r="D5928" t="str">
            <v>Spread Duration</v>
          </cell>
          <cell r="E5928" t="str">
            <v>Other Spread Yield</v>
          </cell>
          <cell r="F5928" t="str">
            <v>Other</v>
          </cell>
          <cell r="G5928" t="str">
            <v>Other</v>
          </cell>
          <cell r="H5928" t="str">
            <v>OTHER</v>
          </cell>
          <cell r="I5928" t="str">
            <v>FX Basis</v>
          </cell>
        </row>
        <row r="5929">
          <cell r="A5929" t="str">
            <v>JPY_BASIS_USD_30y</v>
          </cell>
          <cell r="B5929" t="str">
            <v>JPY/USD basis 30y</v>
          </cell>
          <cell r="C5929" t="str">
            <v>BRS_GOLD__2_FX:FX_BASIS:JPY_BASIS_USD_30y</v>
          </cell>
          <cell r="D5929" t="str">
            <v>Spread Duration</v>
          </cell>
          <cell r="E5929" t="str">
            <v>Other Spread Yield</v>
          </cell>
          <cell r="F5929" t="str">
            <v>Other</v>
          </cell>
          <cell r="G5929" t="str">
            <v>Other</v>
          </cell>
          <cell r="H5929" t="str">
            <v>OTHER</v>
          </cell>
          <cell r="I5929" t="str">
            <v>FX Basis</v>
          </cell>
        </row>
        <row r="5930">
          <cell r="A5930" t="str">
            <v>NOK_BASIS_USD_3m</v>
          </cell>
          <cell r="B5930" t="str">
            <v>NOK/USD basis 3m</v>
          </cell>
          <cell r="C5930" t="str">
            <v>BRS_GOLD__2_FX:FX_BASIS:NOK_BASIS_USD_3m</v>
          </cell>
          <cell r="D5930" t="str">
            <v>Spread Duration</v>
          </cell>
          <cell r="E5930" t="str">
            <v>Other Spread Yield</v>
          </cell>
          <cell r="F5930" t="str">
            <v>Other</v>
          </cell>
          <cell r="G5930" t="str">
            <v>Other</v>
          </cell>
          <cell r="H5930" t="str">
            <v>OTHER</v>
          </cell>
          <cell r="I5930" t="str">
            <v>FX Basis</v>
          </cell>
        </row>
        <row r="5931">
          <cell r="A5931" t="str">
            <v>NOK_BASIS_USD_1y</v>
          </cell>
          <cell r="B5931" t="str">
            <v>NOK/USD basis 1y</v>
          </cell>
          <cell r="C5931" t="str">
            <v>BRS_GOLD__2_FX:FX_BASIS:NOK_BASIS_USD_1y</v>
          </cell>
          <cell r="D5931" t="str">
            <v>Spread Duration</v>
          </cell>
          <cell r="E5931" t="str">
            <v>Other Spread Yield</v>
          </cell>
          <cell r="F5931" t="str">
            <v>Other</v>
          </cell>
          <cell r="G5931" t="str">
            <v>Other</v>
          </cell>
          <cell r="H5931" t="str">
            <v>OTHER</v>
          </cell>
          <cell r="I5931" t="str">
            <v>FX Basis</v>
          </cell>
        </row>
        <row r="5932">
          <cell r="A5932" t="str">
            <v>NOK_BASIS_USD_2y</v>
          </cell>
          <cell r="B5932" t="str">
            <v>NOK/USD basis 2y</v>
          </cell>
          <cell r="C5932" t="str">
            <v>BRS_GOLD__2_FX:FX_BASIS:NOK_BASIS_USD_2y</v>
          </cell>
          <cell r="D5932" t="str">
            <v>Spread Duration</v>
          </cell>
          <cell r="E5932" t="str">
            <v>Other Spread Yield</v>
          </cell>
          <cell r="F5932" t="str">
            <v>Other</v>
          </cell>
          <cell r="G5932" t="str">
            <v>Other</v>
          </cell>
          <cell r="H5932" t="str">
            <v>OTHER</v>
          </cell>
          <cell r="I5932" t="str">
            <v>FX Basis</v>
          </cell>
        </row>
        <row r="5933">
          <cell r="A5933" t="str">
            <v>NOK_BASIS_USD_3y</v>
          </cell>
          <cell r="B5933" t="str">
            <v>NOK/USD basis 3y</v>
          </cell>
          <cell r="C5933" t="str">
            <v>BRS_GOLD__2_FX:FX_BASIS:NOK_BASIS_USD_3y</v>
          </cell>
          <cell r="D5933" t="str">
            <v>Spread Duration</v>
          </cell>
          <cell r="E5933" t="str">
            <v>Other Spread Yield</v>
          </cell>
          <cell r="F5933" t="str">
            <v>Other</v>
          </cell>
          <cell r="G5933" t="str">
            <v>Other</v>
          </cell>
          <cell r="H5933" t="str">
            <v>OTHER</v>
          </cell>
          <cell r="I5933" t="str">
            <v>FX Basis</v>
          </cell>
        </row>
        <row r="5934">
          <cell r="A5934" t="str">
            <v>NOK_BASIS_USD_5y</v>
          </cell>
          <cell r="B5934" t="str">
            <v>NOK/USD basis 5y</v>
          </cell>
          <cell r="C5934" t="str">
            <v>BRS_GOLD__2_FX:FX_BASIS:NOK_BASIS_USD_5y</v>
          </cell>
          <cell r="D5934" t="str">
            <v>Spread Duration</v>
          </cell>
          <cell r="E5934" t="str">
            <v>Other Spread Yield</v>
          </cell>
          <cell r="F5934" t="str">
            <v>Other</v>
          </cell>
          <cell r="G5934" t="str">
            <v>Other</v>
          </cell>
          <cell r="H5934" t="str">
            <v>OTHER</v>
          </cell>
          <cell r="I5934" t="str">
            <v>FX Basis</v>
          </cell>
        </row>
        <row r="5935">
          <cell r="A5935" t="str">
            <v>NOK_BASIS_USD_7y</v>
          </cell>
          <cell r="B5935" t="str">
            <v>NOK/USD basis 7y</v>
          </cell>
          <cell r="C5935" t="str">
            <v>BRS_GOLD__2_FX:FX_BASIS:NOK_BASIS_USD_7y</v>
          </cell>
          <cell r="D5935" t="str">
            <v>Spread Duration</v>
          </cell>
          <cell r="E5935" t="str">
            <v>Other Spread Yield</v>
          </cell>
          <cell r="F5935" t="str">
            <v>Other</v>
          </cell>
          <cell r="G5935" t="str">
            <v>Other</v>
          </cell>
          <cell r="H5935" t="str">
            <v>OTHER</v>
          </cell>
          <cell r="I5935" t="str">
            <v>FX Basis</v>
          </cell>
        </row>
        <row r="5936">
          <cell r="A5936" t="str">
            <v>NOK_BASIS_USD_10y</v>
          </cell>
          <cell r="B5936" t="str">
            <v>NOK/USD basis 10y</v>
          </cell>
          <cell r="C5936" t="str">
            <v>BRS_GOLD__2_FX:FX_BASIS:NOK_BASIS_USD_10y</v>
          </cell>
          <cell r="D5936" t="str">
            <v>Spread Duration</v>
          </cell>
          <cell r="E5936" t="str">
            <v>Other Spread Yield</v>
          </cell>
          <cell r="F5936" t="str">
            <v>Other</v>
          </cell>
          <cell r="G5936" t="str">
            <v>Other</v>
          </cell>
          <cell r="H5936" t="str">
            <v>OTHER</v>
          </cell>
          <cell r="I5936" t="str">
            <v>FX Basis</v>
          </cell>
        </row>
        <row r="5937">
          <cell r="A5937" t="str">
            <v>NOK_BASIS_USD_15y</v>
          </cell>
          <cell r="B5937" t="str">
            <v>NOK/USD basis 15y</v>
          </cell>
          <cell r="C5937" t="str">
            <v>BRS_GOLD__2_FX:FX_BASIS:NOK_BASIS_USD_15y</v>
          </cell>
          <cell r="D5937" t="str">
            <v>Spread Duration</v>
          </cell>
          <cell r="E5937" t="str">
            <v>Other Spread Yield</v>
          </cell>
          <cell r="F5937" t="str">
            <v>Other</v>
          </cell>
          <cell r="G5937" t="str">
            <v>Other</v>
          </cell>
          <cell r="H5937" t="str">
            <v>OTHER</v>
          </cell>
          <cell r="I5937" t="str">
            <v>FX Basis</v>
          </cell>
        </row>
        <row r="5938">
          <cell r="A5938" t="str">
            <v>NOK_BASIS_USD_20y</v>
          </cell>
          <cell r="B5938" t="str">
            <v>NOK/USD basis 20y</v>
          </cell>
          <cell r="C5938" t="str">
            <v>BRS_GOLD__2_FX:FX_BASIS:NOK_BASIS_USD_20y</v>
          </cell>
          <cell r="D5938" t="str">
            <v>Spread Duration</v>
          </cell>
          <cell r="E5938" t="str">
            <v>Other Spread Yield</v>
          </cell>
          <cell r="F5938" t="str">
            <v>Other</v>
          </cell>
          <cell r="G5938" t="str">
            <v>Other</v>
          </cell>
          <cell r="H5938" t="str">
            <v>OTHER</v>
          </cell>
          <cell r="I5938" t="str">
            <v>FX Basis</v>
          </cell>
        </row>
        <row r="5939">
          <cell r="A5939" t="str">
            <v>NOK_BASIS_USD_25y</v>
          </cell>
          <cell r="B5939" t="str">
            <v>NOK/USD basis 25y</v>
          </cell>
          <cell r="C5939" t="str">
            <v>BRS_GOLD__2_FX:FX_BASIS:NOK_BASIS_USD_25y</v>
          </cell>
          <cell r="D5939" t="str">
            <v>Spread Duration</v>
          </cell>
          <cell r="E5939" t="str">
            <v>Other Spread Yield</v>
          </cell>
          <cell r="F5939" t="str">
            <v>Other</v>
          </cell>
          <cell r="G5939" t="str">
            <v>Other</v>
          </cell>
          <cell r="H5939" t="str">
            <v>OTHER</v>
          </cell>
          <cell r="I5939" t="str">
            <v>FX Basis</v>
          </cell>
        </row>
        <row r="5940">
          <cell r="A5940" t="str">
            <v>NOK_BASIS_USD_30y</v>
          </cell>
          <cell r="B5940" t="str">
            <v>NOK/USD basis 30y</v>
          </cell>
          <cell r="C5940" t="str">
            <v>BRS_GOLD__2_FX:FX_BASIS:NOK_BASIS_USD_30y</v>
          </cell>
          <cell r="D5940" t="str">
            <v>Spread Duration</v>
          </cell>
          <cell r="E5940" t="str">
            <v>Other Spread Yield</v>
          </cell>
          <cell r="F5940" t="str">
            <v>Other</v>
          </cell>
          <cell r="G5940" t="str">
            <v>Other</v>
          </cell>
          <cell r="H5940" t="str">
            <v>OTHER</v>
          </cell>
          <cell r="I5940" t="str">
            <v>FX Basis</v>
          </cell>
        </row>
        <row r="5941">
          <cell r="A5941" t="str">
            <v>NZD_BASIS_USD_3m</v>
          </cell>
          <cell r="B5941" t="str">
            <v>NZD/USD basis 3m</v>
          </cell>
          <cell r="C5941" t="str">
            <v>BRS_GOLD__2_FX:FX_BASIS:NZD_BASIS_USD_3m</v>
          </cell>
          <cell r="D5941" t="str">
            <v>Spread Duration</v>
          </cell>
          <cell r="E5941" t="str">
            <v>Other Spread Yield</v>
          </cell>
          <cell r="F5941" t="str">
            <v>Other</v>
          </cell>
          <cell r="G5941" t="str">
            <v>Other</v>
          </cell>
          <cell r="H5941" t="str">
            <v>OTHER</v>
          </cell>
          <cell r="I5941" t="str">
            <v>FX Basis</v>
          </cell>
        </row>
        <row r="5942">
          <cell r="A5942" t="str">
            <v>NZD_BASIS_USD_1y</v>
          </cell>
          <cell r="B5942" t="str">
            <v>NZD/USD basis 1y</v>
          </cell>
          <cell r="C5942" t="str">
            <v>BRS_GOLD__2_FX:FX_BASIS:NZD_BASIS_USD_1y</v>
          </cell>
          <cell r="D5942" t="str">
            <v>Spread Duration</v>
          </cell>
          <cell r="E5942" t="str">
            <v>Other Spread Yield</v>
          </cell>
          <cell r="F5942" t="str">
            <v>Other</v>
          </cell>
          <cell r="G5942" t="str">
            <v>Other</v>
          </cell>
          <cell r="H5942" t="str">
            <v>OTHER</v>
          </cell>
          <cell r="I5942" t="str">
            <v>FX Basis</v>
          </cell>
        </row>
        <row r="5943">
          <cell r="A5943" t="str">
            <v>NZD_BASIS_USD_2y</v>
          </cell>
          <cell r="B5943" t="str">
            <v>NZD/USD basis 2y</v>
          </cell>
          <cell r="C5943" t="str">
            <v>BRS_GOLD__2_FX:FX_BASIS:NZD_BASIS_USD_2y</v>
          </cell>
          <cell r="D5943" t="str">
            <v>Spread Duration</v>
          </cell>
          <cell r="E5943" t="str">
            <v>Other Spread Yield</v>
          </cell>
          <cell r="F5943" t="str">
            <v>Other</v>
          </cell>
          <cell r="G5943" t="str">
            <v>Other</v>
          </cell>
          <cell r="H5943" t="str">
            <v>OTHER</v>
          </cell>
          <cell r="I5943" t="str">
            <v>FX Basis</v>
          </cell>
        </row>
        <row r="5944">
          <cell r="A5944" t="str">
            <v>NZD_BASIS_USD_3y</v>
          </cell>
          <cell r="B5944" t="str">
            <v>NZD/USD basis 3y</v>
          </cell>
          <cell r="C5944" t="str">
            <v>BRS_GOLD__2_FX:FX_BASIS:NZD_BASIS_USD_3y</v>
          </cell>
          <cell r="D5944" t="str">
            <v>Spread Duration</v>
          </cell>
          <cell r="E5944" t="str">
            <v>Other Spread Yield</v>
          </cell>
          <cell r="F5944" t="str">
            <v>Other</v>
          </cell>
          <cell r="G5944" t="str">
            <v>Other</v>
          </cell>
          <cell r="H5944" t="str">
            <v>OTHER</v>
          </cell>
          <cell r="I5944" t="str">
            <v>FX Basis</v>
          </cell>
        </row>
        <row r="5945">
          <cell r="A5945" t="str">
            <v>NZD_BASIS_USD_5y</v>
          </cell>
          <cell r="B5945" t="str">
            <v>NZD/USD basis 5y</v>
          </cell>
          <cell r="C5945" t="str">
            <v>BRS_GOLD__2_FX:FX_BASIS:NZD_BASIS_USD_5y</v>
          </cell>
          <cell r="D5945" t="str">
            <v>Spread Duration</v>
          </cell>
          <cell r="E5945" t="str">
            <v>Other Spread Yield</v>
          </cell>
          <cell r="F5945" t="str">
            <v>Other</v>
          </cell>
          <cell r="G5945" t="str">
            <v>Other</v>
          </cell>
          <cell r="H5945" t="str">
            <v>OTHER</v>
          </cell>
          <cell r="I5945" t="str">
            <v>FX Basis</v>
          </cell>
        </row>
        <row r="5946">
          <cell r="A5946" t="str">
            <v>NZD_BASIS_USD_7y</v>
          </cell>
          <cell r="B5946" t="str">
            <v>NZD/USD basis 7y</v>
          </cell>
          <cell r="C5946" t="str">
            <v>BRS_GOLD__2_FX:FX_BASIS:NZD_BASIS_USD_7y</v>
          </cell>
          <cell r="D5946" t="str">
            <v>Spread Duration</v>
          </cell>
          <cell r="E5946" t="str">
            <v>Other Spread Yield</v>
          </cell>
          <cell r="F5946" t="str">
            <v>Other</v>
          </cell>
          <cell r="G5946" t="str">
            <v>Other</v>
          </cell>
          <cell r="H5946" t="str">
            <v>OTHER</v>
          </cell>
          <cell r="I5946" t="str">
            <v>FX Basis</v>
          </cell>
        </row>
        <row r="5947">
          <cell r="A5947" t="str">
            <v>NZD_BASIS_USD_10y</v>
          </cell>
          <cell r="B5947" t="str">
            <v>NZD/USD basis 10y</v>
          </cell>
          <cell r="C5947" t="str">
            <v>BRS_GOLD__2_FX:FX_BASIS:NZD_BASIS_USD_10y</v>
          </cell>
          <cell r="D5947" t="str">
            <v>Spread Duration</v>
          </cell>
          <cell r="E5947" t="str">
            <v>Other Spread Yield</v>
          </cell>
          <cell r="F5947" t="str">
            <v>Other</v>
          </cell>
          <cell r="G5947" t="str">
            <v>Other</v>
          </cell>
          <cell r="H5947" t="str">
            <v>OTHER</v>
          </cell>
          <cell r="I5947" t="str">
            <v>FX Basis</v>
          </cell>
        </row>
        <row r="5948">
          <cell r="A5948" t="str">
            <v>NZD_BASIS_USD_15y</v>
          </cell>
          <cell r="B5948" t="str">
            <v>NZD/USD basis 15y</v>
          </cell>
          <cell r="C5948" t="str">
            <v>BRS_GOLD__2_FX:FX_BASIS:NZD_BASIS_USD_15y</v>
          </cell>
          <cell r="D5948" t="str">
            <v>Spread Duration</v>
          </cell>
          <cell r="E5948" t="str">
            <v>Other Spread Yield</v>
          </cell>
          <cell r="F5948" t="str">
            <v>Other</v>
          </cell>
          <cell r="G5948" t="str">
            <v>Other</v>
          </cell>
          <cell r="H5948" t="str">
            <v>OTHER</v>
          </cell>
          <cell r="I5948" t="str">
            <v>FX Basis</v>
          </cell>
        </row>
        <row r="5949">
          <cell r="A5949" t="str">
            <v>NZD_BASIS_USD_20y</v>
          </cell>
          <cell r="B5949" t="str">
            <v>NZD/USD basis 20y</v>
          </cell>
          <cell r="C5949" t="str">
            <v>BRS_GOLD__2_FX:FX_BASIS:NZD_BASIS_USD_20y</v>
          </cell>
          <cell r="D5949" t="str">
            <v>Spread Duration</v>
          </cell>
          <cell r="E5949" t="str">
            <v>Other Spread Yield</v>
          </cell>
          <cell r="F5949" t="str">
            <v>Other</v>
          </cell>
          <cell r="G5949" t="str">
            <v>Other</v>
          </cell>
          <cell r="H5949" t="str">
            <v>OTHER</v>
          </cell>
          <cell r="I5949" t="str">
            <v>FX Basis</v>
          </cell>
        </row>
        <row r="5950">
          <cell r="A5950" t="str">
            <v>NZD_BASIS_USD_25y</v>
          </cell>
          <cell r="B5950" t="str">
            <v>NZD/USD basis 25y</v>
          </cell>
          <cell r="C5950" t="str">
            <v>BRS_GOLD__2_FX:FX_BASIS:NZD_BASIS_USD_25y</v>
          </cell>
          <cell r="D5950" t="str">
            <v>Spread Duration</v>
          </cell>
          <cell r="E5950" t="str">
            <v>Other Spread Yield</v>
          </cell>
          <cell r="F5950" t="str">
            <v>Other</v>
          </cell>
          <cell r="G5950" t="str">
            <v>Other</v>
          </cell>
          <cell r="H5950" t="str">
            <v>OTHER</v>
          </cell>
          <cell r="I5950" t="str">
            <v>FX Basis</v>
          </cell>
        </row>
        <row r="5951">
          <cell r="A5951" t="str">
            <v>NZD_BASIS_USD_30y</v>
          </cell>
          <cell r="B5951" t="str">
            <v>NZD/USD basis 30y</v>
          </cell>
          <cell r="C5951" t="str">
            <v>BRS_GOLD__2_FX:FX_BASIS:NZD_BASIS_USD_30y</v>
          </cell>
          <cell r="D5951" t="str">
            <v>Spread Duration</v>
          </cell>
          <cell r="E5951" t="str">
            <v>Other Spread Yield</v>
          </cell>
          <cell r="F5951" t="str">
            <v>Other</v>
          </cell>
          <cell r="G5951" t="str">
            <v>Other</v>
          </cell>
          <cell r="H5951" t="str">
            <v>OTHER</v>
          </cell>
          <cell r="I5951" t="str">
            <v>FX Basis</v>
          </cell>
        </row>
        <row r="5952">
          <cell r="A5952" t="str">
            <v>SEK_BASIS_USD_3m</v>
          </cell>
          <cell r="B5952" t="str">
            <v>SEK/USD basis 3m</v>
          </cell>
          <cell r="C5952" t="str">
            <v>BRS_GOLD__2_FX:FX_BASIS:SEK_BASIS_USD_3m</v>
          </cell>
          <cell r="D5952" t="str">
            <v>Spread Duration</v>
          </cell>
          <cell r="E5952" t="str">
            <v>Other Spread Yield</v>
          </cell>
          <cell r="F5952" t="str">
            <v>Other</v>
          </cell>
          <cell r="G5952" t="str">
            <v>Other</v>
          </cell>
          <cell r="H5952" t="str">
            <v>OTHER</v>
          </cell>
          <cell r="I5952" t="str">
            <v>FX Basis</v>
          </cell>
        </row>
        <row r="5953">
          <cell r="A5953" t="str">
            <v>SEK_BASIS_USD_1y</v>
          </cell>
          <cell r="B5953" t="str">
            <v>SEK/USD basis 1y</v>
          </cell>
          <cell r="C5953" t="str">
            <v>BRS_GOLD__2_FX:FX_BASIS:SEK_BASIS_USD_1y</v>
          </cell>
          <cell r="D5953" t="str">
            <v>Spread Duration</v>
          </cell>
          <cell r="E5953" t="str">
            <v>Other Spread Yield</v>
          </cell>
          <cell r="F5953" t="str">
            <v>Other</v>
          </cell>
          <cell r="G5953" t="str">
            <v>Other</v>
          </cell>
          <cell r="H5953" t="str">
            <v>OTHER</v>
          </cell>
          <cell r="I5953" t="str">
            <v>FX Basis</v>
          </cell>
        </row>
        <row r="5954">
          <cell r="A5954" t="str">
            <v>SEK_BASIS_USD_2y</v>
          </cell>
          <cell r="B5954" t="str">
            <v>SEK/USD basis 2y</v>
          </cell>
          <cell r="C5954" t="str">
            <v>BRS_GOLD__2_FX:FX_BASIS:SEK_BASIS_USD_2y</v>
          </cell>
          <cell r="D5954" t="str">
            <v>Spread Duration</v>
          </cell>
          <cell r="E5954" t="str">
            <v>Other Spread Yield</v>
          </cell>
          <cell r="F5954" t="str">
            <v>Other</v>
          </cell>
          <cell r="G5954" t="str">
            <v>Other</v>
          </cell>
          <cell r="H5954" t="str">
            <v>OTHER</v>
          </cell>
          <cell r="I5954" t="str">
            <v>FX Basis</v>
          </cell>
        </row>
        <row r="5955">
          <cell r="A5955" t="str">
            <v>SEK_BASIS_USD_3y</v>
          </cell>
          <cell r="B5955" t="str">
            <v>SEK/USD basis 3y</v>
          </cell>
          <cell r="C5955" t="str">
            <v>BRS_GOLD__2_FX:FX_BASIS:SEK_BASIS_USD_3y</v>
          </cell>
          <cell r="D5955" t="str">
            <v>Spread Duration</v>
          </cell>
          <cell r="E5955" t="str">
            <v>Other Spread Yield</v>
          </cell>
          <cell r="F5955" t="str">
            <v>Other</v>
          </cell>
          <cell r="G5955" t="str">
            <v>Other</v>
          </cell>
          <cell r="H5955" t="str">
            <v>OTHER</v>
          </cell>
          <cell r="I5955" t="str">
            <v>FX Basis</v>
          </cell>
        </row>
        <row r="5956">
          <cell r="A5956" t="str">
            <v>SEK_BASIS_USD_5y</v>
          </cell>
          <cell r="B5956" t="str">
            <v>SEK/USD basis 5y</v>
          </cell>
          <cell r="C5956" t="str">
            <v>BRS_GOLD__2_FX:FX_BASIS:SEK_BASIS_USD_5y</v>
          </cell>
          <cell r="D5956" t="str">
            <v>Spread Duration</v>
          </cell>
          <cell r="E5956" t="str">
            <v>Other Spread Yield</v>
          </cell>
          <cell r="F5956" t="str">
            <v>Other</v>
          </cell>
          <cell r="G5956" t="str">
            <v>Other</v>
          </cell>
          <cell r="H5956" t="str">
            <v>OTHER</v>
          </cell>
          <cell r="I5956" t="str">
            <v>FX Basis</v>
          </cell>
        </row>
        <row r="5957">
          <cell r="A5957" t="str">
            <v>SEK_BASIS_USD_7y</v>
          </cell>
          <cell r="B5957" t="str">
            <v>SEK/USD basis 7y</v>
          </cell>
          <cell r="C5957" t="str">
            <v>BRS_GOLD__2_FX:FX_BASIS:SEK_BASIS_USD_7y</v>
          </cell>
          <cell r="D5957" t="str">
            <v>Spread Duration</v>
          </cell>
          <cell r="E5957" t="str">
            <v>Other Spread Yield</v>
          </cell>
          <cell r="F5957" t="str">
            <v>Other</v>
          </cell>
          <cell r="G5957" t="str">
            <v>Other</v>
          </cell>
          <cell r="H5957" t="str">
            <v>OTHER</v>
          </cell>
          <cell r="I5957" t="str">
            <v>FX Basis</v>
          </cell>
        </row>
        <row r="5958">
          <cell r="A5958" t="str">
            <v>SEK_BASIS_USD_10y</v>
          </cell>
          <cell r="B5958" t="str">
            <v>SEK/USD basis 10y</v>
          </cell>
          <cell r="C5958" t="str">
            <v>BRS_GOLD__2_FX:FX_BASIS:SEK_BASIS_USD_10y</v>
          </cell>
          <cell r="D5958" t="str">
            <v>Spread Duration</v>
          </cell>
          <cell r="E5958" t="str">
            <v>Other Spread Yield</v>
          </cell>
          <cell r="F5958" t="str">
            <v>Other</v>
          </cell>
          <cell r="G5958" t="str">
            <v>Other</v>
          </cell>
          <cell r="H5958" t="str">
            <v>OTHER</v>
          </cell>
          <cell r="I5958" t="str">
            <v>FX Basis</v>
          </cell>
        </row>
        <row r="5959">
          <cell r="A5959" t="str">
            <v>SEK_BASIS_USD_15y</v>
          </cell>
          <cell r="B5959" t="str">
            <v>SEK/USD basis 15y</v>
          </cell>
          <cell r="C5959" t="str">
            <v>BRS_GOLD__2_FX:FX_BASIS:SEK_BASIS_USD_15y</v>
          </cell>
          <cell r="D5959" t="str">
            <v>Spread Duration</v>
          </cell>
          <cell r="E5959" t="str">
            <v>Other Spread Yield</v>
          </cell>
          <cell r="F5959" t="str">
            <v>Other</v>
          </cell>
          <cell r="G5959" t="str">
            <v>Other</v>
          </cell>
          <cell r="H5959" t="str">
            <v>OTHER</v>
          </cell>
          <cell r="I5959" t="str">
            <v>FX Basis</v>
          </cell>
        </row>
        <row r="5960">
          <cell r="A5960" t="str">
            <v>SEK_BASIS_USD_20y</v>
          </cell>
          <cell r="B5960" t="str">
            <v>SEK/USD basis 20y</v>
          </cell>
          <cell r="C5960" t="str">
            <v>BRS_GOLD__2_FX:FX_BASIS:SEK_BASIS_USD_20y</v>
          </cell>
          <cell r="D5960" t="str">
            <v>Spread Duration</v>
          </cell>
          <cell r="E5960" t="str">
            <v>Other Spread Yield</v>
          </cell>
          <cell r="F5960" t="str">
            <v>Other</v>
          </cell>
          <cell r="G5960" t="str">
            <v>Other</v>
          </cell>
          <cell r="H5960" t="str">
            <v>OTHER</v>
          </cell>
          <cell r="I5960" t="str">
            <v>FX Basis</v>
          </cell>
        </row>
        <row r="5961">
          <cell r="A5961" t="str">
            <v>SEK_BASIS_USD_25y</v>
          </cell>
          <cell r="B5961" t="str">
            <v>SEK/USD basis 25y</v>
          </cell>
          <cell r="C5961" t="str">
            <v>BRS_GOLD__2_FX:FX_BASIS:SEK_BASIS_USD_25y</v>
          </cell>
          <cell r="D5961" t="str">
            <v>Spread Duration</v>
          </cell>
          <cell r="E5961" t="str">
            <v>Other Spread Yield</v>
          </cell>
          <cell r="F5961" t="str">
            <v>Other</v>
          </cell>
          <cell r="G5961" t="str">
            <v>Other</v>
          </cell>
          <cell r="H5961" t="str">
            <v>OTHER</v>
          </cell>
          <cell r="I5961" t="str">
            <v>FX Basis</v>
          </cell>
        </row>
        <row r="5962">
          <cell r="A5962" t="str">
            <v>SEK_BASIS_USD_30y</v>
          </cell>
          <cell r="B5962" t="str">
            <v>SEK/USD basis 30y</v>
          </cell>
          <cell r="C5962" t="str">
            <v>BRS_GOLD__2_FX:FX_BASIS:SEK_BASIS_USD_30y</v>
          </cell>
          <cell r="D5962" t="str">
            <v>Spread Duration</v>
          </cell>
          <cell r="E5962" t="str">
            <v>Other Spread Yield</v>
          </cell>
          <cell r="F5962" t="str">
            <v>Other</v>
          </cell>
          <cell r="G5962" t="str">
            <v>Other</v>
          </cell>
          <cell r="H5962" t="str">
            <v>OTHER</v>
          </cell>
          <cell r="I5962" t="str">
            <v>FX Basis</v>
          </cell>
        </row>
        <row r="5963">
          <cell r="A5963" t="str">
            <v>SGD_BASIS_USD_3m</v>
          </cell>
          <cell r="B5963" t="str">
            <v>SGD/USD basis 3m</v>
          </cell>
          <cell r="C5963" t="str">
            <v>BRS_GOLD__2_FX:FX_BASIS:SGD_BASIS_USD_3m</v>
          </cell>
          <cell r="D5963" t="str">
            <v>Spread Duration</v>
          </cell>
          <cell r="E5963" t="str">
            <v>Other Spread Yield</v>
          </cell>
          <cell r="F5963" t="str">
            <v>Other</v>
          </cell>
          <cell r="G5963" t="str">
            <v>Other</v>
          </cell>
          <cell r="H5963" t="str">
            <v>OTHER</v>
          </cell>
          <cell r="I5963" t="str">
            <v>FX Basis</v>
          </cell>
        </row>
        <row r="5964">
          <cell r="A5964" t="str">
            <v>SGD_BASIS_USD_1y</v>
          </cell>
          <cell r="B5964" t="str">
            <v>SGD/USD basis 1y</v>
          </cell>
          <cell r="C5964" t="str">
            <v>BRS_GOLD__2_FX:FX_BASIS:SGD_BASIS_USD_1y</v>
          </cell>
          <cell r="D5964" t="str">
            <v>Spread Duration</v>
          </cell>
          <cell r="E5964" t="str">
            <v>Other Spread Yield</v>
          </cell>
          <cell r="F5964" t="str">
            <v>Other</v>
          </cell>
          <cell r="G5964" t="str">
            <v>Other</v>
          </cell>
          <cell r="H5964" t="str">
            <v>OTHER</v>
          </cell>
          <cell r="I5964" t="str">
            <v>FX Basis</v>
          </cell>
        </row>
        <row r="5965">
          <cell r="A5965" t="str">
            <v>SGD_BASIS_USD_2y</v>
          </cell>
          <cell r="B5965" t="str">
            <v>SGD/USD basis 2y</v>
          </cell>
          <cell r="C5965" t="str">
            <v>BRS_GOLD__2_FX:FX_BASIS:SGD_BASIS_USD_2y</v>
          </cell>
          <cell r="D5965" t="str">
            <v>Spread Duration</v>
          </cell>
          <cell r="E5965" t="str">
            <v>Other Spread Yield</v>
          </cell>
          <cell r="F5965" t="str">
            <v>Other</v>
          </cell>
          <cell r="G5965" t="str">
            <v>Other</v>
          </cell>
          <cell r="H5965" t="str">
            <v>OTHER</v>
          </cell>
          <cell r="I5965" t="str">
            <v>FX Basis</v>
          </cell>
        </row>
        <row r="5966">
          <cell r="A5966" t="str">
            <v>SGD_BASIS_USD_3y</v>
          </cell>
          <cell r="B5966" t="str">
            <v>SGD/USD basis 3y</v>
          </cell>
          <cell r="C5966" t="str">
            <v>BRS_GOLD__2_FX:FX_BASIS:SGD_BASIS_USD_3y</v>
          </cell>
          <cell r="D5966" t="str">
            <v>Spread Duration</v>
          </cell>
          <cell r="E5966" t="str">
            <v>Other Spread Yield</v>
          </cell>
          <cell r="F5966" t="str">
            <v>Other</v>
          </cell>
          <cell r="G5966" t="str">
            <v>Other</v>
          </cell>
          <cell r="H5966" t="str">
            <v>OTHER</v>
          </cell>
          <cell r="I5966" t="str">
            <v>FX Basis</v>
          </cell>
        </row>
        <row r="5967">
          <cell r="A5967" t="str">
            <v>SGD_BASIS_USD_5y</v>
          </cell>
          <cell r="B5967" t="str">
            <v>SGD/USD basis 5y</v>
          </cell>
          <cell r="C5967" t="str">
            <v>BRS_GOLD__2_FX:FX_BASIS:SGD_BASIS_USD_5y</v>
          </cell>
          <cell r="D5967" t="str">
            <v>Spread Duration</v>
          </cell>
          <cell r="E5967" t="str">
            <v>Other Spread Yield</v>
          </cell>
          <cell r="F5967" t="str">
            <v>Other</v>
          </cell>
          <cell r="G5967" t="str">
            <v>Other</v>
          </cell>
          <cell r="H5967" t="str">
            <v>OTHER</v>
          </cell>
          <cell r="I5967" t="str">
            <v>FX Basis</v>
          </cell>
        </row>
        <row r="5968">
          <cell r="A5968" t="str">
            <v>SGD_BASIS_USD_7y</v>
          </cell>
          <cell r="B5968" t="str">
            <v>SGD/USD basis 7y</v>
          </cell>
          <cell r="C5968" t="str">
            <v>BRS_GOLD__2_FX:FX_BASIS:SGD_BASIS_USD_7y</v>
          </cell>
          <cell r="D5968" t="str">
            <v>Spread Duration</v>
          </cell>
          <cell r="E5968" t="str">
            <v>Other Spread Yield</v>
          </cell>
          <cell r="F5968" t="str">
            <v>Other</v>
          </cell>
          <cell r="G5968" t="str">
            <v>Other</v>
          </cell>
          <cell r="H5968" t="str">
            <v>OTHER</v>
          </cell>
          <cell r="I5968" t="str">
            <v>FX Basis</v>
          </cell>
        </row>
        <row r="5969">
          <cell r="A5969" t="str">
            <v>SGD_BASIS_USD_10y</v>
          </cell>
          <cell r="B5969" t="str">
            <v>SGD/USD basis 10y</v>
          </cell>
          <cell r="C5969" t="str">
            <v>BRS_GOLD__2_FX:FX_BASIS:SGD_BASIS_USD_10y</v>
          </cell>
          <cell r="D5969" t="str">
            <v>Spread Duration</v>
          </cell>
          <cell r="E5969" t="str">
            <v>Other Spread Yield</v>
          </cell>
          <cell r="F5969" t="str">
            <v>Other</v>
          </cell>
          <cell r="G5969" t="str">
            <v>Other</v>
          </cell>
          <cell r="H5969" t="str">
            <v>OTHER</v>
          </cell>
          <cell r="I5969" t="str">
            <v>FX Basis</v>
          </cell>
        </row>
        <row r="5970">
          <cell r="A5970" t="str">
            <v>SGD_BASIS_USD_15y</v>
          </cell>
          <cell r="B5970" t="str">
            <v>SGD/USD basis 15y</v>
          </cell>
          <cell r="C5970" t="str">
            <v>BRS_GOLD__2_FX:FX_BASIS:SGD_BASIS_USD_15y</v>
          </cell>
          <cell r="D5970" t="str">
            <v>Spread Duration</v>
          </cell>
          <cell r="E5970" t="str">
            <v>Other Spread Yield</v>
          </cell>
          <cell r="F5970" t="str">
            <v>Other</v>
          </cell>
          <cell r="G5970" t="str">
            <v>Other</v>
          </cell>
          <cell r="H5970" t="str">
            <v>OTHER</v>
          </cell>
          <cell r="I5970" t="str">
            <v>FX Basis</v>
          </cell>
        </row>
        <row r="5971">
          <cell r="A5971" t="str">
            <v>SGD_BASIS_USD_20y</v>
          </cell>
          <cell r="B5971" t="str">
            <v>SGD/USD basis 20y</v>
          </cell>
          <cell r="C5971" t="str">
            <v>BRS_GOLD__2_FX:FX_BASIS:SGD_BASIS_USD_20y</v>
          </cell>
          <cell r="D5971" t="str">
            <v>Spread Duration</v>
          </cell>
          <cell r="E5971" t="str">
            <v>Other Spread Yield</v>
          </cell>
          <cell r="F5971" t="str">
            <v>Other</v>
          </cell>
          <cell r="G5971" t="str">
            <v>Other</v>
          </cell>
          <cell r="H5971" t="str">
            <v>OTHER</v>
          </cell>
          <cell r="I5971" t="str">
            <v>FX Basis</v>
          </cell>
        </row>
        <row r="5972">
          <cell r="A5972" t="str">
            <v>SGD_BASIS_USD_25y</v>
          </cell>
          <cell r="B5972" t="str">
            <v>SGD/USD basis 25y</v>
          </cell>
          <cell r="C5972" t="str">
            <v>BRS_GOLD__2_FX:FX_BASIS:SGD_BASIS_USD_25y</v>
          </cell>
          <cell r="D5972" t="str">
            <v>Spread Duration</v>
          </cell>
          <cell r="E5972" t="str">
            <v>Other Spread Yield</v>
          </cell>
          <cell r="F5972" t="str">
            <v>Other</v>
          </cell>
          <cell r="G5972" t="str">
            <v>Other</v>
          </cell>
          <cell r="H5972" t="str">
            <v>OTHER</v>
          </cell>
          <cell r="I5972" t="str">
            <v>FX Basis</v>
          </cell>
        </row>
        <row r="5973">
          <cell r="A5973" t="str">
            <v>SGD_BASIS_USD_30y</v>
          </cell>
          <cell r="B5973" t="str">
            <v>SGD/USD basis 30y</v>
          </cell>
          <cell r="C5973" t="str">
            <v>BRS_GOLD__2_FX:FX_BASIS:SGD_BASIS_USD_30y</v>
          </cell>
          <cell r="D5973" t="str">
            <v>Spread Duration</v>
          </cell>
          <cell r="E5973" t="str">
            <v>Other Spread Yield</v>
          </cell>
          <cell r="F5973" t="str">
            <v>Other</v>
          </cell>
          <cell r="G5973" t="str">
            <v>Other</v>
          </cell>
          <cell r="H5973" t="str">
            <v>OTHER</v>
          </cell>
          <cell r="I5973" t="str">
            <v>FX Basis</v>
          </cell>
        </row>
        <row r="5974">
          <cell r="A5974" t="str">
            <v>USD_BASIS_USD_3m</v>
          </cell>
          <cell r="B5974" t="str">
            <v>USD/USD basis 3m</v>
          </cell>
          <cell r="C5974" t="str">
            <v>BRS_GOLD__2_FX:FX_BASIS:USD_BASIS_USD_3m</v>
          </cell>
          <cell r="D5974" t="str">
            <v>Spread Duration</v>
          </cell>
          <cell r="E5974" t="str">
            <v>Other Spread Yield</v>
          </cell>
          <cell r="F5974" t="str">
            <v>Other</v>
          </cell>
          <cell r="G5974" t="str">
            <v>Other</v>
          </cell>
          <cell r="H5974" t="str">
            <v>OTHER</v>
          </cell>
          <cell r="I5974" t="str">
            <v>FX Basis</v>
          </cell>
        </row>
        <row r="5975">
          <cell r="A5975" t="str">
            <v>USD_BASIS_USD_1y</v>
          </cell>
          <cell r="B5975" t="str">
            <v>USD/USD basis 1y</v>
          </cell>
          <cell r="C5975" t="str">
            <v>BRS_GOLD__2_FX:FX_BASIS:USD_BASIS_USD_1y</v>
          </cell>
          <cell r="D5975" t="str">
            <v>Spread Duration</v>
          </cell>
          <cell r="E5975" t="str">
            <v>Other Spread Yield</v>
          </cell>
          <cell r="F5975" t="str">
            <v>Other</v>
          </cell>
          <cell r="G5975" t="str">
            <v>Other</v>
          </cell>
          <cell r="H5975" t="str">
            <v>OTHER</v>
          </cell>
          <cell r="I5975" t="str">
            <v>FX Basis</v>
          </cell>
        </row>
        <row r="5976">
          <cell r="A5976" t="str">
            <v>USD_BASIS_USD_2y</v>
          </cell>
          <cell r="B5976" t="str">
            <v>USD/USD basis 2y</v>
          </cell>
          <cell r="C5976" t="str">
            <v>BRS_GOLD__2_FX:FX_BASIS:USD_BASIS_USD_2y</v>
          </cell>
          <cell r="D5976" t="str">
            <v>Spread Duration</v>
          </cell>
          <cell r="E5976" t="str">
            <v>Other Spread Yield</v>
          </cell>
          <cell r="F5976" t="str">
            <v>Other</v>
          </cell>
          <cell r="G5976" t="str">
            <v>Other</v>
          </cell>
          <cell r="H5976" t="str">
            <v>OTHER</v>
          </cell>
          <cell r="I5976" t="str">
            <v>FX Basis</v>
          </cell>
        </row>
        <row r="5977">
          <cell r="A5977" t="str">
            <v>USD_BASIS_USD_3y</v>
          </cell>
          <cell r="B5977" t="str">
            <v>USD/USD basis 3y</v>
          </cell>
          <cell r="C5977" t="str">
            <v>BRS_GOLD__2_FX:FX_BASIS:USD_BASIS_USD_3y</v>
          </cell>
          <cell r="D5977" t="str">
            <v>Spread Duration</v>
          </cell>
          <cell r="E5977" t="str">
            <v>Other Spread Yield</v>
          </cell>
          <cell r="F5977" t="str">
            <v>Other</v>
          </cell>
          <cell r="G5977" t="str">
            <v>Other</v>
          </cell>
          <cell r="H5977" t="str">
            <v>OTHER</v>
          </cell>
          <cell r="I5977" t="str">
            <v>FX Basis</v>
          </cell>
        </row>
        <row r="5978">
          <cell r="A5978" t="str">
            <v>USD_BASIS_USD_5y</v>
          </cell>
          <cell r="B5978" t="str">
            <v>USD/USD basis 5y</v>
          </cell>
          <cell r="C5978" t="str">
            <v>BRS_GOLD__2_FX:FX_BASIS:USD_BASIS_USD_5y</v>
          </cell>
          <cell r="D5978" t="str">
            <v>Spread Duration</v>
          </cell>
          <cell r="E5978" t="str">
            <v>Other Spread Yield</v>
          </cell>
          <cell r="F5978" t="str">
            <v>Other</v>
          </cell>
          <cell r="G5978" t="str">
            <v>Other</v>
          </cell>
          <cell r="H5978" t="str">
            <v>OTHER</v>
          </cell>
          <cell r="I5978" t="str">
            <v>FX Basis</v>
          </cell>
        </row>
        <row r="5979">
          <cell r="A5979" t="str">
            <v>USD_BASIS_USD_7y</v>
          </cell>
          <cell r="B5979" t="str">
            <v>USD/USD basis 7y</v>
          </cell>
          <cell r="C5979" t="str">
            <v>BRS_GOLD__2_FX:FX_BASIS:USD_BASIS_USD_7y</v>
          </cell>
          <cell r="D5979" t="str">
            <v>Spread Duration</v>
          </cell>
          <cell r="E5979" t="str">
            <v>Other Spread Yield</v>
          </cell>
          <cell r="F5979" t="str">
            <v>Other</v>
          </cell>
          <cell r="G5979" t="str">
            <v>Other</v>
          </cell>
          <cell r="H5979" t="str">
            <v>OTHER</v>
          </cell>
          <cell r="I5979" t="str">
            <v>FX Basis</v>
          </cell>
        </row>
        <row r="5980">
          <cell r="A5980" t="str">
            <v>USD_BASIS_USD_10y</v>
          </cell>
          <cell r="B5980" t="str">
            <v>USD/USD basis 10y</v>
          </cell>
          <cell r="C5980" t="str">
            <v>BRS_GOLD__2_FX:FX_BASIS:USD_BASIS_USD_10y</v>
          </cell>
          <cell r="D5980" t="str">
            <v>Spread Duration</v>
          </cell>
          <cell r="E5980" t="str">
            <v>Other Spread Yield</v>
          </cell>
          <cell r="F5980" t="str">
            <v>Other</v>
          </cell>
          <cell r="G5980" t="str">
            <v>Other</v>
          </cell>
          <cell r="H5980" t="str">
            <v>OTHER</v>
          </cell>
          <cell r="I5980" t="str">
            <v>FX Basis</v>
          </cell>
        </row>
        <row r="5981">
          <cell r="A5981" t="str">
            <v>USD_BASIS_USD_15y</v>
          </cell>
          <cell r="B5981" t="str">
            <v>USD/USD basis 15y</v>
          </cell>
          <cell r="C5981" t="str">
            <v>BRS_GOLD__2_FX:FX_BASIS:USD_BASIS_USD_15y</v>
          </cell>
          <cell r="D5981" t="str">
            <v>Spread Duration</v>
          </cell>
          <cell r="E5981" t="str">
            <v>Other Spread Yield</v>
          </cell>
          <cell r="F5981" t="str">
            <v>Other</v>
          </cell>
          <cell r="G5981" t="str">
            <v>Other</v>
          </cell>
          <cell r="H5981" t="str">
            <v>OTHER</v>
          </cell>
          <cell r="I5981" t="str">
            <v>FX Basis</v>
          </cell>
        </row>
        <row r="5982">
          <cell r="A5982" t="str">
            <v>USD_BASIS_USD_20y</v>
          </cell>
          <cell r="B5982" t="str">
            <v>USD/USD basis 20y</v>
          </cell>
          <cell r="C5982" t="str">
            <v>BRS_GOLD__2_FX:FX_BASIS:USD_BASIS_USD_20y</v>
          </cell>
          <cell r="D5982" t="str">
            <v>Spread Duration</v>
          </cell>
          <cell r="E5982" t="str">
            <v>Other Spread Yield</v>
          </cell>
          <cell r="F5982" t="str">
            <v>Other</v>
          </cell>
          <cell r="G5982" t="str">
            <v>Other</v>
          </cell>
          <cell r="H5982" t="str">
            <v>OTHER</v>
          </cell>
          <cell r="I5982" t="str">
            <v>FX Basis</v>
          </cell>
        </row>
        <row r="5983">
          <cell r="A5983" t="str">
            <v>USD_BASIS_USD_25y</v>
          </cell>
          <cell r="B5983" t="str">
            <v>USD/USD basis 25y</v>
          </cell>
          <cell r="C5983" t="str">
            <v>BRS_GOLD__2_FX:FX_BASIS:USD_BASIS_USD_25y</v>
          </cell>
          <cell r="D5983" t="str">
            <v>Spread Duration</v>
          </cell>
          <cell r="E5983" t="str">
            <v>Other Spread Yield</v>
          </cell>
          <cell r="F5983" t="str">
            <v>Other</v>
          </cell>
          <cell r="G5983" t="str">
            <v>Other</v>
          </cell>
          <cell r="H5983" t="str">
            <v>OTHER</v>
          </cell>
          <cell r="I5983" t="str">
            <v>FX Basis</v>
          </cell>
        </row>
        <row r="5984">
          <cell r="A5984" t="str">
            <v>USD_BASIS_USD_30y</v>
          </cell>
          <cell r="B5984" t="str">
            <v>USD/USD basis 30y</v>
          </cell>
          <cell r="C5984" t="str">
            <v>BRS_GOLD__2_FX:FX_BASIS:USD_BASIS_USD_30y</v>
          </cell>
          <cell r="D5984" t="str">
            <v>Spread Duration</v>
          </cell>
          <cell r="E5984" t="str">
            <v>Other Spread Yield</v>
          </cell>
          <cell r="F5984" t="str">
            <v>Other</v>
          </cell>
          <cell r="G5984" t="str">
            <v>Other</v>
          </cell>
          <cell r="H5984" t="str">
            <v>OTHER</v>
          </cell>
          <cell r="I5984" t="str">
            <v>FX Basis</v>
          </cell>
        </row>
        <row r="5985">
          <cell r="A5985" t="str">
            <v>AI_RE_USD_CPI_10yr</v>
          </cell>
          <cell r="B5985" t="str">
            <v>US Inflation</v>
          </cell>
          <cell r="C5985" t="str">
            <v>ALTERNATIVE:RE_BRS_GOLD:RE_OTHER_BRS_GOLD:AI_RE_USD_CPI_10yr</v>
          </cell>
          <cell r="D5985" t="str">
            <v>Inflation Duration</v>
          </cell>
          <cell r="E5985" t="str">
            <v>Yield</v>
          </cell>
          <cell r="F5985" t="str">
            <v>Other</v>
          </cell>
          <cell r="G5985" t="str">
            <v>Other</v>
          </cell>
          <cell r="H5985" t="str">
            <v>OTHER</v>
          </cell>
          <cell r="I5985" t="str">
            <v>Other - Inflation</v>
          </cell>
        </row>
        <row r="5986">
          <cell r="A5986" t="str">
            <v>MAC_GLB_EQUITY</v>
          </cell>
          <cell r="B5986" t="str">
            <v>Macro - GLB Economic Growth</v>
          </cell>
          <cell r="C5986" t="str">
            <v>MACRO_GOLD:MAC_GLB_EQUITY</v>
          </cell>
          <cell r="D5986" t="str">
            <v>Price</v>
          </cell>
          <cell r="E5986" t="str">
            <v>Price Level</v>
          </cell>
          <cell r="F5986" t="str">
            <v>Other</v>
          </cell>
          <cell r="G5986" t="str">
            <v>Other</v>
          </cell>
          <cell r="H5986" t="str">
            <v>OTHER</v>
          </cell>
          <cell r="I5986" t="str">
            <v>Macro</v>
          </cell>
        </row>
        <row r="5987">
          <cell r="A5987" t="str">
            <v>MAC_GLB_RR</v>
          </cell>
          <cell r="B5987" t="str">
            <v>Macro - GLB Real Rates</v>
          </cell>
          <cell r="C5987" t="str">
            <v>MACRO_GOLD:MAC_GLB_RR</v>
          </cell>
          <cell r="D5987" t="str">
            <v>Price</v>
          </cell>
          <cell r="E5987" t="str">
            <v>Price Level</v>
          </cell>
          <cell r="F5987" t="str">
            <v>Other</v>
          </cell>
          <cell r="G5987" t="str">
            <v>Other</v>
          </cell>
          <cell r="H5987" t="str">
            <v>OTHER</v>
          </cell>
          <cell r="I5987" t="str">
            <v>Macro</v>
          </cell>
        </row>
        <row r="5988">
          <cell r="A5988" t="str">
            <v>MAC_GLB_INF</v>
          </cell>
          <cell r="B5988" t="str">
            <v>Macro - GLB Inflation</v>
          </cell>
          <cell r="C5988" t="str">
            <v>MACRO_GOLD:MAC_GLB_INF</v>
          </cell>
          <cell r="D5988" t="str">
            <v>Price</v>
          </cell>
          <cell r="E5988" t="str">
            <v>Price Level</v>
          </cell>
          <cell r="F5988" t="str">
            <v>Other</v>
          </cell>
          <cell r="G5988" t="str">
            <v>Other</v>
          </cell>
          <cell r="H5988" t="str">
            <v>OTHER</v>
          </cell>
          <cell r="I5988" t="str">
            <v>Macro</v>
          </cell>
        </row>
        <row r="5989">
          <cell r="A5989" t="str">
            <v>MAC_GLB_CORP</v>
          </cell>
          <cell r="B5989" t="str">
            <v>Macro - GLB Credit</v>
          </cell>
          <cell r="C5989" t="str">
            <v>MACRO_GOLD:MAC_GLB_CORP</v>
          </cell>
          <cell r="D5989" t="str">
            <v>Price</v>
          </cell>
          <cell r="E5989" t="str">
            <v>Price Level</v>
          </cell>
          <cell r="F5989" t="str">
            <v>Other</v>
          </cell>
          <cell r="G5989" t="str">
            <v>Other</v>
          </cell>
          <cell r="H5989" t="str">
            <v>OTHER</v>
          </cell>
          <cell r="I5989" t="str">
            <v>Macro</v>
          </cell>
        </row>
        <row r="5990">
          <cell r="A5990" t="str">
            <v>MAC_GLB_EM</v>
          </cell>
          <cell r="B5990" t="str">
            <v>Macro - GLB EM</v>
          </cell>
          <cell r="C5990" t="str">
            <v>MACRO_GOLD:MAC_GLB_EM</v>
          </cell>
          <cell r="D5990" t="str">
            <v>Price</v>
          </cell>
          <cell r="E5990" t="str">
            <v>Price Level</v>
          </cell>
          <cell r="F5990" t="str">
            <v>Other</v>
          </cell>
          <cell r="G5990" t="str">
            <v>Other</v>
          </cell>
          <cell r="H5990" t="str">
            <v>OTHER</v>
          </cell>
          <cell r="I5990" t="str">
            <v>Macro</v>
          </cell>
        </row>
        <row r="5991">
          <cell r="A5991" t="str">
            <v>MAC_GLB_COMD</v>
          </cell>
          <cell r="B5991" t="str">
            <v>Macro - GLB Commodity</v>
          </cell>
          <cell r="C5991" t="str">
            <v>MACRO_GOLD:MAC_GLB_COMD</v>
          </cell>
          <cell r="D5991" t="str">
            <v>Price</v>
          </cell>
          <cell r="E5991" t="str">
            <v>Price Level</v>
          </cell>
          <cell r="F5991" t="str">
            <v>Other</v>
          </cell>
          <cell r="G5991" t="str">
            <v>Other</v>
          </cell>
          <cell r="H5991" t="str">
            <v>OTHER</v>
          </cell>
          <cell r="I5991" t="str">
            <v>Macro</v>
          </cell>
        </row>
        <row r="5992">
          <cell r="A5992" t="str">
            <v>MAC_USD_EQUITY</v>
          </cell>
          <cell r="B5992" t="str">
            <v>Macro - US Economic Growth</v>
          </cell>
          <cell r="C5992" t="str">
            <v>MACRO_GOLD:MAC_USD_EQUITY</v>
          </cell>
          <cell r="D5992" t="str">
            <v>Price</v>
          </cell>
          <cell r="E5992" t="str">
            <v>Price Level</v>
          </cell>
          <cell r="F5992" t="str">
            <v>Other</v>
          </cell>
          <cell r="G5992" t="str">
            <v>Other</v>
          </cell>
          <cell r="H5992" t="str">
            <v>OTHER</v>
          </cell>
          <cell r="I5992" t="str">
            <v>Macro</v>
          </cell>
        </row>
        <row r="5993">
          <cell r="A5993" t="str">
            <v>MAC_USD_RR</v>
          </cell>
          <cell r="B5993" t="str">
            <v>Macro - US Real Rates</v>
          </cell>
          <cell r="C5993" t="str">
            <v>MACRO_GOLD:MAC_USD_RR</v>
          </cell>
          <cell r="D5993" t="str">
            <v>Price</v>
          </cell>
          <cell r="E5993" t="str">
            <v>Price Level</v>
          </cell>
          <cell r="F5993" t="str">
            <v>Other</v>
          </cell>
          <cell r="G5993" t="str">
            <v>Other</v>
          </cell>
          <cell r="H5993" t="str">
            <v>OTHER</v>
          </cell>
          <cell r="I5993" t="str">
            <v>Macro</v>
          </cell>
        </row>
        <row r="5994">
          <cell r="A5994" t="str">
            <v>MAC_USD_INF</v>
          </cell>
          <cell r="B5994" t="str">
            <v>Macro - US Inflation</v>
          </cell>
          <cell r="C5994" t="str">
            <v>MACRO_GOLD:MAC_USD_INF</v>
          </cell>
          <cell r="D5994" t="str">
            <v>Price</v>
          </cell>
          <cell r="E5994" t="str">
            <v>Price Level</v>
          </cell>
          <cell r="F5994" t="str">
            <v>Other</v>
          </cell>
          <cell r="G5994" t="str">
            <v>Other</v>
          </cell>
          <cell r="H5994" t="str">
            <v>OTHER</v>
          </cell>
          <cell r="I5994" t="str">
            <v>Macro</v>
          </cell>
        </row>
        <row r="5995">
          <cell r="A5995" t="str">
            <v>MAC_USD_CORP</v>
          </cell>
          <cell r="B5995" t="str">
            <v>Macro - US Credit</v>
          </cell>
          <cell r="C5995" t="str">
            <v>MACRO_GOLD:MAC_USD_CORP</v>
          </cell>
          <cell r="D5995" t="str">
            <v>Price</v>
          </cell>
          <cell r="E5995" t="str">
            <v>Price Level</v>
          </cell>
          <cell r="F5995" t="str">
            <v>Other</v>
          </cell>
          <cell r="G5995" t="str">
            <v>Other</v>
          </cell>
          <cell r="H5995" t="str">
            <v>OTHER</v>
          </cell>
          <cell r="I5995" t="str">
            <v>Macro</v>
          </cell>
        </row>
        <row r="5996">
          <cell r="A5996" t="str">
            <v>MAC_EUR_EQUITY</v>
          </cell>
          <cell r="B5996" t="str">
            <v>Macro - EU Economic Growth</v>
          </cell>
          <cell r="C5996" t="str">
            <v>MACRO_GOLD:MAC_EUR_EQUITY</v>
          </cell>
          <cell r="D5996" t="str">
            <v>Price</v>
          </cell>
          <cell r="E5996" t="str">
            <v>Price Level</v>
          </cell>
          <cell r="F5996" t="str">
            <v>Other</v>
          </cell>
          <cell r="G5996" t="str">
            <v>Other</v>
          </cell>
          <cell r="H5996" t="str">
            <v>OTHER</v>
          </cell>
          <cell r="I5996" t="str">
            <v>Macro</v>
          </cell>
        </row>
        <row r="5997">
          <cell r="A5997" t="str">
            <v>MAC_EUR_RR</v>
          </cell>
          <cell r="B5997" t="str">
            <v>Macro - EU Real Rates</v>
          </cell>
          <cell r="C5997" t="str">
            <v>MACRO_GOLD:MAC_EUR_RR</v>
          </cell>
          <cell r="D5997" t="str">
            <v>Price</v>
          </cell>
          <cell r="E5997" t="str">
            <v>Price Level</v>
          </cell>
          <cell r="F5997" t="str">
            <v>Other</v>
          </cell>
          <cell r="G5997" t="str">
            <v>Other</v>
          </cell>
          <cell r="H5997" t="str">
            <v>OTHER</v>
          </cell>
          <cell r="I5997" t="str">
            <v>Macro</v>
          </cell>
        </row>
        <row r="5998">
          <cell r="A5998" t="str">
            <v>MAC_EUR_INF</v>
          </cell>
          <cell r="B5998" t="str">
            <v>Macro - EU Inflation</v>
          </cell>
          <cell r="C5998" t="str">
            <v>MACRO_GOLD:MAC_EUR_INF</v>
          </cell>
          <cell r="D5998" t="str">
            <v>Price</v>
          </cell>
          <cell r="E5998" t="str">
            <v>Price Level</v>
          </cell>
          <cell r="F5998" t="str">
            <v>Other</v>
          </cell>
          <cell r="G5998" t="str">
            <v>Other</v>
          </cell>
          <cell r="H5998" t="str">
            <v>OTHER</v>
          </cell>
          <cell r="I5998" t="str">
            <v>Macro</v>
          </cell>
        </row>
        <row r="5999">
          <cell r="A5999" t="str">
            <v>MAC_EUR_CORP</v>
          </cell>
          <cell r="B5999" t="str">
            <v>Macro - EU Credit</v>
          </cell>
          <cell r="C5999" t="str">
            <v>MACRO_GOLD:MAC_EUR_CORP</v>
          </cell>
          <cell r="D5999" t="str">
            <v>Price</v>
          </cell>
          <cell r="E5999" t="str">
            <v>Price Level</v>
          </cell>
          <cell r="F5999" t="str">
            <v>Other</v>
          </cell>
          <cell r="G5999" t="str">
            <v>Other</v>
          </cell>
          <cell r="H5999" t="str">
            <v>OTHER</v>
          </cell>
          <cell r="I5999" t="str">
            <v>Macro</v>
          </cell>
        </row>
        <row r="6000">
          <cell r="A6000" t="str">
            <v>MAC_UK_EQUITY</v>
          </cell>
          <cell r="B6000" t="str">
            <v>Macro - UK Economic Growth</v>
          </cell>
          <cell r="C6000" t="str">
            <v>MACRO_GOLD:MAC_UK_EQUITY</v>
          </cell>
          <cell r="D6000" t="str">
            <v>Price</v>
          </cell>
          <cell r="E6000" t="str">
            <v>Price Level</v>
          </cell>
          <cell r="F6000" t="str">
            <v>Other</v>
          </cell>
          <cell r="G6000" t="str">
            <v>Other</v>
          </cell>
          <cell r="H6000" t="str">
            <v>OTHER</v>
          </cell>
          <cell r="I6000" t="str">
            <v>Macro</v>
          </cell>
        </row>
        <row r="6001">
          <cell r="A6001" t="str">
            <v>MAC_GBP_RR</v>
          </cell>
          <cell r="B6001" t="str">
            <v>Macro - UK Real Rates</v>
          </cell>
          <cell r="C6001" t="str">
            <v>MACRO_GOLD:MAC_GBP_RR</v>
          </cell>
          <cell r="D6001" t="str">
            <v>Price</v>
          </cell>
          <cell r="E6001" t="str">
            <v>Price Level</v>
          </cell>
          <cell r="F6001" t="str">
            <v>Other</v>
          </cell>
          <cell r="G6001" t="str">
            <v>Other</v>
          </cell>
          <cell r="H6001" t="str">
            <v>OTHER</v>
          </cell>
          <cell r="I6001" t="str">
            <v>Macro</v>
          </cell>
        </row>
        <row r="6002">
          <cell r="A6002" t="str">
            <v>MAC_UK_INF</v>
          </cell>
          <cell r="B6002" t="str">
            <v>Macro - UK Inflation</v>
          </cell>
          <cell r="C6002" t="str">
            <v>MACRO_GOLD:MAC_UK_INF</v>
          </cell>
          <cell r="D6002" t="str">
            <v>Price</v>
          </cell>
          <cell r="E6002" t="str">
            <v>Price Level</v>
          </cell>
          <cell r="F6002" t="str">
            <v>Other</v>
          </cell>
          <cell r="G6002" t="str">
            <v>Other</v>
          </cell>
          <cell r="H6002" t="str">
            <v>OTHER</v>
          </cell>
          <cell r="I6002" t="str">
            <v>Macro</v>
          </cell>
        </row>
        <row r="6003">
          <cell r="A6003" t="str">
            <v>MAC_UK_CORP</v>
          </cell>
          <cell r="B6003" t="str">
            <v>Macro - UK Credit</v>
          </cell>
          <cell r="C6003" t="str">
            <v>MACRO_GOLD:MAC_UK_CORP</v>
          </cell>
          <cell r="D6003" t="str">
            <v>Price</v>
          </cell>
          <cell r="E6003" t="str">
            <v>Price Level</v>
          </cell>
          <cell r="F6003" t="str">
            <v>Other</v>
          </cell>
          <cell r="G6003" t="str">
            <v>Other</v>
          </cell>
          <cell r="H6003" t="str">
            <v>OTHER</v>
          </cell>
          <cell r="I6003" t="str">
            <v>Macro</v>
          </cell>
        </row>
        <row r="6004">
          <cell r="A6004" t="str">
            <v>MAC_JPN_EQUITY</v>
          </cell>
          <cell r="B6004" t="str">
            <v>Macro - JPN Economic Growth</v>
          </cell>
          <cell r="C6004" t="str">
            <v>MACRO_GOLD:MAC_JPN_EQUITY</v>
          </cell>
          <cell r="D6004" t="str">
            <v>Price</v>
          </cell>
          <cell r="E6004" t="str">
            <v>Price Level</v>
          </cell>
          <cell r="F6004" t="str">
            <v>Other</v>
          </cell>
          <cell r="G6004" t="str">
            <v>Other</v>
          </cell>
          <cell r="H6004" t="str">
            <v>OTHER</v>
          </cell>
          <cell r="I6004" t="str">
            <v>Macro</v>
          </cell>
        </row>
        <row r="6005">
          <cell r="A6005" t="str">
            <v>MAC_JPN_RR</v>
          </cell>
          <cell r="B6005" t="str">
            <v>Macro - JPN Real Rates</v>
          </cell>
          <cell r="C6005" t="str">
            <v>MACRO_GOLD:MAC_JPN_RR</v>
          </cell>
          <cell r="D6005" t="str">
            <v>Price</v>
          </cell>
          <cell r="E6005" t="str">
            <v>Price Level</v>
          </cell>
          <cell r="F6005" t="str">
            <v>Other</v>
          </cell>
          <cell r="G6005" t="str">
            <v>Other</v>
          </cell>
          <cell r="H6005" t="str">
            <v>OTHER</v>
          </cell>
          <cell r="I6005" t="str">
            <v>Macro</v>
          </cell>
        </row>
        <row r="6006">
          <cell r="A6006" t="str">
            <v>MAC_JPN_INF</v>
          </cell>
          <cell r="B6006" t="str">
            <v>Macro - JPN Inflation</v>
          </cell>
          <cell r="C6006" t="str">
            <v>MACRO_GOLD:MAC_JPN_INF</v>
          </cell>
          <cell r="D6006" t="str">
            <v>Price</v>
          </cell>
          <cell r="E6006" t="str">
            <v>Price Level</v>
          </cell>
          <cell r="F6006" t="str">
            <v>Other</v>
          </cell>
          <cell r="G6006" t="str">
            <v>Other</v>
          </cell>
          <cell r="H6006" t="str">
            <v>OTHER</v>
          </cell>
          <cell r="I6006" t="str">
            <v>Macro</v>
          </cell>
        </row>
        <row r="6007">
          <cell r="A6007" t="str">
            <v>MAC_JPN_CORP</v>
          </cell>
          <cell r="B6007" t="str">
            <v>Macro - JPN Credit</v>
          </cell>
          <cell r="C6007" t="str">
            <v>MACRO_GOLD:MAC_JPN_CORP</v>
          </cell>
          <cell r="D6007" t="str">
            <v>Price</v>
          </cell>
          <cell r="E6007" t="str">
            <v>Price Level</v>
          </cell>
          <cell r="F6007" t="str">
            <v>Other</v>
          </cell>
          <cell r="G6007" t="str">
            <v>Other</v>
          </cell>
          <cell r="H6007" t="str">
            <v>OTHER</v>
          </cell>
          <cell r="I6007" t="str">
            <v>Macro</v>
          </cell>
        </row>
        <row r="6008">
          <cell r="A6008" t="str">
            <v>MAC_AUD_EQUITY</v>
          </cell>
          <cell r="B6008" t="str">
            <v>Macro - AUS Economic Growth</v>
          </cell>
          <cell r="C6008" t="str">
            <v>MACRO_GOLD:MAC_AUD_EQUITY</v>
          </cell>
          <cell r="D6008" t="str">
            <v>Price</v>
          </cell>
          <cell r="E6008" t="str">
            <v>Price Level</v>
          </cell>
          <cell r="F6008" t="str">
            <v>Other</v>
          </cell>
          <cell r="G6008" t="str">
            <v>Other</v>
          </cell>
          <cell r="H6008" t="str">
            <v>OTHER</v>
          </cell>
          <cell r="I6008" t="str">
            <v>Macro</v>
          </cell>
        </row>
        <row r="6009">
          <cell r="A6009" t="str">
            <v>MAC_AUD_RR</v>
          </cell>
          <cell r="B6009" t="str">
            <v>Macro - AUS Real Rates</v>
          </cell>
          <cell r="C6009" t="str">
            <v>MACRO_GOLD:MAC_AUD_RR</v>
          </cell>
          <cell r="D6009" t="str">
            <v>Price</v>
          </cell>
          <cell r="E6009" t="str">
            <v>Price Level</v>
          </cell>
          <cell r="F6009" t="str">
            <v>Other</v>
          </cell>
          <cell r="G6009" t="str">
            <v>Other</v>
          </cell>
          <cell r="H6009" t="str">
            <v>OTHER</v>
          </cell>
          <cell r="I6009" t="str">
            <v>Macro</v>
          </cell>
        </row>
        <row r="6010">
          <cell r="A6010" t="str">
            <v>MAC_AUD_INF</v>
          </cell>
          <cell r="B6010" t="str">
            <v>Macro - AUS Inflation</v>
          </cell>
          <cell r="C6010" t="str">
            <v>MACRO_GOLD:MAC_AUD_INF</v>
          </cell>
          <cell r="D6010" t="str">
            <v>Price</v>
          </cell>
          <cell r="E6010" t="str">
            <v>Price Level</v>
          </cell>
          <cell r="F6010" t="str">
            <v>Other</v>
          </cell>
          <cell r="G6010" t="str">
            <v>Other</v>
          </cell>
          <cell r="H6010" t="str">
            <v>OTHER</v>
          </cell>
          <cell r="I6010" t="str">
            <v>Macro</v>
          </cell>
        </row>
        <row r="6011">
          <cell r="A6011" t="str">
            <v>MAC_AUD_HY_CORP</v>
          </cell>
          <cell r="B6011" t="str">
            <v>Macro - AUS Credit</v>
          </cell>
          <cell r="C6011" t="str">
            <v>MACRO_GOLD:MAC_AUD_HY_CORP</v>
          </cell>
          <cell r="D6011" t="str">
            <v>Price</v>
          </cell>
          <cell r="E6011" t="str">
            <v>Price Level</v>
          </cell>
          <cell r="F6011" t="str">
            <v>Other</v>
          </cell>
          <cell r="G6011" t="str">
            <v>Other</v>
          </cell>
          <cell r="H6011" t="str">
            <v>OTHER</v>
          </cell>
          <cell r="I6011" t="str">
            <v>Macro</v>
          </cell>
        </row>
        <row r="6012">
          <cell r="A6012" t="str">
            <v>MAC_FX_USD</v>
          </cell>
          <cell r="B6012" t="str">
            <v>Macro - USD</v>
          </cell>
          <cell r="C6012" t="str">
            <v>MACRO_GOLD:MAC_FX_USD</v>
          </cell>
          <cell r="D6012" t="str">
            <v>Price</v>
          </cell>
          <cell r="E6012" t="str">
            <v>Price Level</v>
          </cell>
          <cell r="F6012" t="str">
            <v>Other</v>
          </cell>
          <cell r="G6012" t="str">
            <v>Other</v>
          </cell>
          <cell r="H6012" t="str">
            <v>OTHER</v>
          </cell>
          <cell r="I6012" t="str">
            <v>Macro</v>
          </cell>
        </row>
        <row r="6013">
          <cell r="A6013" t="str">
            <v>MAC_FX_EUR</v>
          </cell>
          <cell r="B6013" t="str">
            <v>Macro - EUR</v>
          </cell>
          <cell r="C6013" t="str">
            <v>MACRO_GOLD:MAC_FX_EUR</v>
          </cell>
          <cell r="D6013" t="str">
            <v>Price</v>
          </cell>
          <cell r="E6013" t="str">
            <v>Price Level</v>
          </cell>
          <cell r="F6013" t="str">
            <v>Other</v>
          </cell>
          <cell r="G6013" t="str">
            <v>Other</v>
          </cell>
          <cell r="H6013" t="str">
            <v>OTHER</v>
          </cell>
          <cell r="I6013" t="str">
            <v>Macro</v>
          </cell>
        </row>
        <row r="6014">
          <cell r="A6014" t="str">
            <v>MAC_FX_GBP</v>
          </cell>
          <cell r="B6014" t="str">
            <v>Macro - GBP</v>
          </cell>
          <cell r="C6014" t="str">
            <v>MACRO_GOLD:MAC_FX_GBP</v>
          </cell>
          <cell r="D6014" t="str">
            <v>Price</v>
          </cell>
          <cell r="E6014" t="str">
            <v>Price Level</v>
          </cell>
          <cell r="F6014" t="str">
            <v>Other</v>
          </cell>
          <cell r="G6014" t="str">
            <v>Other</v>
          </cell>
          <cell r="H6014" t="str">
            <v>OTHER</v>
          </cell>
          <cell r="I6014" t="str">
            <v>Macro</v>
          </cell>
        </row>
        <row r="6015">
          <cell r="A6015" t="str">
            <v>MAC_FX_JPY</v>
          </cell>
          <cell r="B6015" t="str">
            <v>Macro - JPY</v>
          </cell>
          <cell r="C6015" t="str">
            <v>MACRO_GOLD:MAC_FX_JPY</v>
          </cell>
          <cell r="D6015" t="str">
            <v>Price</v>
          </cell>
          <cell r="E6015" t="str">
            <v>Price Level</v>
          </cell>
          <cell r="F6015" t="str">
            <v>Other</v>
          </cell>
          <cell r="G6015" t="str">
            <v>Other</v>
          </cell>
          <cell r="H6015" t="str">
            <v>OTHER</v>
          </cell>
          <cell r="I6015" t="str">
            <v>Macro</v>
          </cell>
        </row>
        <row r="6016">
          <cell r="A6016" t="str">
            <v>MAC_FX_AUD</v>
          </cell>
          <cell r="B6016" t="str">
            <v>Macro - AUD</v>
          </cell>
          <cell r="C6016" t="str">
            <v>MACRO_GOLD:MAC_FX_AUD</v>
          </cell>
          <cell r="D6016" t="str">
            <v>Price</v>
          </cell>
          <cell r="E6016" t="str">
            <v>Price Level</v>
          </cell>
          <cell r="F6016" t="str">
            <v>Other</v>
          </cell>
          <cell r="G6016" t="str">
            <v>Other</v>
          </cell>
          <cell r="H6016" t="str">
            <v>OTHER</v>
          </cell>
          <cell r="I6016" t="str">
            <v>Macro</v>
          </cell>
        </row>
        <row r="6017">
          <cell r="A6017" t="str">
            <v>MAC_FX_CAD</v>
          </cell>
          <cell r="B6017" t="str">
            <v>Macro - CAD</v>
          </cell>
          <cell r="C6017" t="str">
            <v>MACRO_GOLD:MAC_FX_CAD</v>
          </cell>
          <cell r="D6017" t="str">
            <v>Price</v>
          </cell>
          <cell r="E6017" t="str">
            <v>Price Level</v>
          </cell>
          <cell r="F6017" t="str">
            <v>Other</v>
          </cell>
          <cell r="G6017" t="str">
            <v>Other</v>
          </cell>
          <cell r="H6017" t="str">
            <v>OTHER</v>
          </cell>
          <cell r="I6017" t="str">
            <v>Macro</v>
          </cell>
        </row>
        <row r="6018">
          <cell r="A6018" t="str">
            <v>MA_CREDIT</v>
          </cell>
          <cell r="B6018" t="str">
            <v>Mkt Adv - Credit</v>
          </cell>
          <cell r="C6018" t="str">
            <v>MACRO_GOLD:MA_CREDIT</v>
          </cell>
          <cell r="D6018" t="str">
            <v>Price</v>
          </cell>
          <cell r="E6018" t="str">
            <v>Price Level</v>
          </cell>
          <cell r="F6018" t="str">
            <v>Other</v>
          </cell>
          <cell r="G6018" t="str">
            <v>Other</v>
          </cell>
          <cell r="H6018" t="str">
            <v>OTHER</v>
          </cell>
          <cell r="I6018" t="str">
            <v>Macro</v>
          </cell>
        </row>
        <row r="6019">
          <cell r="A6019" t="str">
            <v>MA_ECONOMIC</v>
          </cell>
          <cell r="B6019" t="str">
            <v>Mkt Adv - Economic</v>
          </cell>
          <cell r="C6019" t="str">
            <v>MACRO_GOLD:MA_ECONOMIC</v>
          </cell>
          <cell r="D6019" t="str">
            <v>Price</v>
          </cell>
          <cell r="E6019" t="str">
            <v>Price Level</v>
          </cell>
          <cell r="F6019" t="str">
            <v>Other</v>
          </cell>
          <cell r="G6019" t="str">
            <v>Other</v>
          </cell>
          <cell r="H6019" t="str">
            <v>OTHER</v>
          </cell>
          <cell r="I6019" t="str">
            <v>Macro</v>
          </cell>
        </row>
        <row r="6020">
          <cell r="A6020" t="str">
            <v>MA_INFLATION</v>
          </cell>
          <cell r="B6020" t="str">
            <v>Mkt Adv - Inflation</v>
          </cell>
          <cell r="C6020" t="str">
            <v>MACRO_GOLD:MA_INFLATION</v>
          </cell>
          <cell r="D6020" t="str">
            <v>Price</v>
          </cell>
          <cell r="E6020" t="str">
            <v>Price Level</v>
          </cell>
          <cell r="F6020" t="str">
            <v>Other</v>
          </cell>
          <cell r="G6020" t="str">
            <v>Other</v>
          </cell>
          <cell r="H6020" t="str">
            <v>OTHER</v>
          </cell>
          <cell r="I6020" t="str">
            <v>Macro</v>
          </cell>
        </row>
        <row r="6021">
          <cell r="A6021" t="str">
            <v>MA_LIQUIDITY</v>
          </cell>
          <cell r="B6021" t="str">
            <v>Mkt Adv - Liquidity</v>
          </cell>
          <cell r="C6021" t="str">
            <v>MACRO_GOLD:MA_LIQUIDITY</v>
          </cell>
          <cell r="D6021" t="str">
            <v>Price</v>
          </cell>
          <cell r="E6021" t="str">
            <v>Price Level</v>
          </cell>
          <cell r="F6021" t="str">
            <v>Other</v>
          </cell>
          <cell r="G6021" t="str">
            <v>Other</v>
          </cell>
          <cell r="H6021" t="str">
            <v>OTHER</v>
          </cell>
          <cell r="I6021" t="str">
            <v>Macro</v>
          </cell>
        </row>
        <row r="6022">
          <cell r="A6022" t="str">
            <v>MA_POLITICAL</v>
          </cell>
          <cell r="B6022" t="str">
            <v>Mkt Adv - Emerging Mkts</v>
          </cell>
          <cell r="C6022" t="str">
            <v>MACRO_GOLD:MA_POLITICAL</v>
          </cell>
          <cell r="D6022" t="str">
            <v>Price</v>
          </cell>
          <cell r="E6022" t="str">
            <v>Price Level</v>
          </cell>
          <cell r="F6022" t="str">
            <v>Other</v>
          </cell>
          <cell r="G6022" t="str">
            <v>Other</v>
          </cell>
          <cell r="H6022" t="str">
            <v>OTHER</v>
          </cell>
          <cell r="I6022" t="str">
            <v>Macro</v>
          </cell>
        </row>
        <row r="6023">
          <cell r="A6023" t="str">
            <v>MA_REAL_RATES</v>
          </cell>
          <cell r="B6023" t="str">
            <v>Mkt Adv - Real Rates</v>
          </cell>
          <cell r="C6023" t="str">
            <v>MACRO_GOLD:MA_REAL_RATES</v>
          </cell>
          <cell r="D6023" t="str">
            <v>Price</v>
          </cell>
          <cell r="E6023" t="str">
            <v>Price Level</v>
          </cell>
          <cell r="F6023" t="str">
            <v>Other</v>
          </cell>
          <cell r="G6023" t="str">
            <v>Other</v>
          </cell>
          <cell r="H6023" t="str">
            <v>OTHER</v>
          </cell>
          <cell r="I6023" t="str">
            <v>Macro</v>
          </cell>
        </row>
        <row r="6024">
          <cell r="A6024" t="str">
            <v>USD_normvol_1m_1y</v>
          </cell>
          <cell r="B6024" t="str">
            <v>Norm Impl Vol 1Mx1</v>
          </cell>
          <cell r="C6024" t="str">
            <v>VOL:USD_normvol_1m_1y</v>
          </cell>
          <cell r="D6024" t="str">
            <v>Implied Vol Duration</v>
          </cell>
          <cell r="E6024" t="str">
            <v>Implied Vol</v>
          </cell>
          <cell r="F6024" t="str">
            <v>Rates Implied Volatility</v>
          </cell>
          <cell r="G6024" t="str">
            <v>Other</v>
          </cell>
          <cell r="H6024" t="str">
            <v>VOLATILITY</v>
          </cell>
          <cell r="I6024" t="str">
            <v>Rates Implied Volatility</v>
          </cell>
        </row>
        <row r="6025">
          <cell r="A6025" t="str">
            <v>USD_normvol_3m_1y</v>
          </cell>
          <cell r="B6025" t="str">
            <v>Norm Impl Vol 3Mx1</v>
          </cell>
          <cell r="C6025" t="str">
            <v>VOL:USD_normvol_3m_1y</v>
          </cell>
          <cell r="D6025" t="str">
            <v>Implied Vol Duration</v>
          </cell>
          <cell r="E6025" t="str">
            <v>Implied Vol</v>
          </cell>
          <cell r="F6025" t="str">
            <v>Rates Implied Volatility</v>
          </cell>
          <cell r="G6025" t="str">
            <v>Other</v>
          </cell>
          <cell r="H6025" t="str">
            <v>VOLATILITY</v>
          </cell>
          <cell r="I6025" t="str">
            <v>Rates Implied Volatility</v>
          </cell>
        </row>
        <row r="6026">
          <cell r="A6026" t="str">
            <v>USD_normvol_6m_1y</v>
          </cell>
          <cell r="B6026" t="str">
            <v>Norm Impl Vol 6Mx1</v>
          </cell>
          <cell r="C6026" t="str">
            <v>VOL:USD_normvol_6m_1y</v>
          </cell>
          <cell r="D6026" t="str">
            <v>Implied Vol Duration</v>
          </cell>
          <cell r="E6026" t="str">
            <v>Implied Vol</v>
          </cell>
          <cell r="F6026" t="str">
            <v>Rates Implied Volatility</v>
          </cell>
          <cell r="G6026" t="str">
            <v>Other</v>
          </cell>
          <cell r="H6026" t="str">
            <v>VOLATILITY</v>
          </cell>
          <cell r="I6026" t="str">
            <v>Rates Implied Volatility</v>
          </cell>
        </row>
        <row r="6027">
          <cell r="A6027" t="str">
            <v>USD_normvol_1y_1y</v>
          </cell>
          <cell r="B6027" t="str">
            <v>Norm Impl Vol 1x1</v>
          </cell>
          <cell r="C6027" t="str">
            <v>VOL:USD_normvol_1y_1y</v>
          </cell>
          <cell r="D6027" t="str">
            <v>Implied Vol Duration</v>
          </cell>
          <cell r="E6027" t="str">
            <v>Implied Vol</v>
          </cell>
          <cell r="F6027" t="str">
            <v>Rates Implied Volatility</v>
          </cell>
          <cell r="G6027" t="str">
            <v>Other</v>
          </cell>
          <cell r="H6027" t="str">
            <v>VOLATILITY</v>
          </cell>
          <cell r="I6027" t="str">
            <v>Rates Implied Volatility</v>
          </cell>
        </row>
        <row r="6028">
          <cell r="A6028" t="str">
            <v>USD_normvol_2y_1y</v>
          </cell>
          <cell r="B6028" t="str">
            <v>Norm Impl Vol 2x1</v>
          </cell>
          <cell r="C6028" t="str">
            <v>VOL:USD_normvol_2y_1y</v>
          </cell>
          <cell r="D6028" t="str">
            <v>Implied Vol Duration</v>
          </cell>
          <cell r="E6028" t="str">
            <v>Implied Vol</v>
          </cell>
          <cell r="F6028" t="str">
            <v>Rates Implied Volatility</v>
          </cell>
          <cell r="G6028" t="str">
            <v>Other</v>
          </cell>
          <cell r="H6028" t="str">
            <v>VOLATILITY</v>
          </cell>
          <cell r="I6028" t="str">
            <v>Rates Implied Volatility</v>
          </cell>
        </row>
        <row r="6029">
          <cell r="A6029" t="str">
            <v>USD_normvol_3y_1y</v>
          </cell>
          <cell r="B6029" t="str">
            <v>Norm Impl Vol 3x1</v>
          </cell>
          <cell r="C6029" t="str">
            <v>VOL:USD_normvol_3y_1y</v>
          </cell>
          <cell r="D6029" t="str">
            <v>Implied Vol Duration</v>
          </cell>
          <cell r="E6029" t="str">
            <v>Implied Vol</v>
          </cell>
          <cell r="F6029" t="str">
            <v>Rates Implied Volatility</v>
          </cell>
          <cell r="G6029" t="str">
            <v>Other</v>
          </cell>
          <cell r="H6029" t="str">
            <v>VOLATILITY</v>
          </cell>
          <cell r="I6029" t="str">
            <v>Rates Implied Volatility</v>
          </cell>
        </row>
        <row r="6030">
          <cell r="A6030" t="str">
            <v>USD_normvol_5y_1y</v>
          </cell>
          <cell r="B6030" t="str">
            <v>Norm Impl Vol 5x1</v>
          </cell>
          <cell r="C6030" t="str">
            <v>VOL:USD_normvol_5y_1y</v>
          </cell>
          <cell r="D6030" t="str">
            <v>Implied Vol Duration</v>
          </cell>
          <cell r="E6030" t="str">
            <v>Implied Vol</v>
          </cell>
          <cell r="F6030" t="str">
            <v>Rates Implied Volatility</v>
          </cell>
          <cell r="G6030" t="str">
            <v>Other</v>
          </cell>
          <cell r="H6030" t="str">
            <v>VOLATILITY</v>
          </cell>
          <cell r="I6030" t="str">
            <v>Rates Implied Volatility</v>
          </cell>
        </row>
        <row r="6031">
          <cell r="A6031" t="str">
            <v>USD_normvol_1m_2y</v>
          </cell>
          <cell r="B6031" t="str">
            <v>Norm Impl Vol 1Mx2</v>
          </cell>
          <cell r="C6031" t="str">
            <v>VOL:USD_normvol_1m_2y</v>
          </cell>
          <cell r="D6031" t="str">
            <v>Implied Vol Duration</v>
          </cell>
          <cell r="E6031" t="str">
            <v>Implied Vol</v>
          </cell>
          <cell r="F6031" t="str">
            <v>Rates Implied Volatility</v>
          </cell>
          <cell r="G6031" t="str">
            <v>Other</v>
          </cell>
          <cell r="H6031" t="str">
            <v>VOLATILITY</v>
          </cell>
          <cell r="I6031" t="str">
            <v>Rates Implied Volatility</v>
          </cell>
        </row>
        <row r="6032">
          <cell r="A6032" t="str">
            <v>USD_normvol_3m_2y</v>
          </cell>
          <cell r="B6032" t="str">
            <v>Norm Impl Vol 3Mx2</v>
          </cell>
          <cell r="C6032" t="str">
            <v>VOL:USD_normvol_3m_2y</v>
          </cell>
          <cell r="D6032" t="str">
            <v>Implied Vol Duration</v>
          </cell>
          <cell r="E6032" t="str">
            <v>Implied Vol</v>
          </cell>
          <cell r="F6032" t="str">
            <v>Rates Implied Volatility</v>
          </cell>
          <cell r="G6032" t="str">
            <v>Other</v>
          </cell>
          <cell r="H6032" t="str">
            <v>VOLATILITY</v>
          </cell>
          <cell r="I6032" t="str">
            <v>Rates Implied Volatility</v>
          </cell>
        </row>
        <row r="6033">
          <cell r="A6033" t="str">
            <v>USD_normvol_6m_2y</v>
          </cell>
          <cell r="B6033" t="str">
            <v>Norm Impl Vol 6Mx2</v>
          </cell>
          <cell r="C6033" t="str">
            <v>VOL:USD_normvol_6m_2y</v>
          </cell>
          <cell r="D6033" t="str">
            <v>Implied Vol Duration</v>
          </cell>
          <cell r="E6033" t="str">
            <v>Implied Vol</v>
          </cell>
          <cell r="F6033" t="str">
            <v>Rates Implied Volatility</v>
          </cell>
          <cell r="G6033" t="str">
            <v>Other</v>
          </cell>
          <cell r="H6033" t="str">
            <v>VOLATILITY</v>
          </cell>
          <cell r="I6033" t="str">
            <v>Rates Implied Volatility</v>
          </cell>
        </row>
        <row r="6034">
          <cell r="A6034" t="str">
            <v>USD_normvol_1y_2y</v>
          </cell>
          <cell r="B6034" t="str">
            <v>Norm Impl Vol 1x2</v>
          </cell>
          <cell r="C6034" t="str">
            <v>VOL:USD_normvol_1y_2y</v>
          </cell>
          <cell r="D6034" t="str">
            <v>Implied Vol Duration</v>
          </cell>
          <cell r="E6034" t="str">
            <v>Implied Vol</v>
          </cell>
          <cell r="F6034" t="str">
            <v>Rates Implied Volatility</v>
          </cell>
          <cell r="G6034" t="str">
            <v>Other</v>
          </cell>
          <cell r="H6034" t="str">
            <v>VOLATILITY</v>
          </cell>
          <cell r="I6034" t="str">
            <v>Rates Implied Volatility</v>
          </cell>
        </row>
        <row r="6035">
          <cell r="A6035" t="str">
            <v>USD_normvol_2y_2y</v>
          </cell>
          <cell r="B6035" t="str">
            <v>Norm Impl Vol 2x2</v>
          </cell>
          <cell r="C6035" t="str">
            <v>VOL:USD_normvol_2y_2y</v>
          </cell>
          <cell r="D6035" t="str">
            <v>Implied Vol Duration</v>
          </cell>
          <cell r="E6035" t="str">
            <v>Implied Vol</v>
          </cell>
          <cell r="F6035" t="str">
            <v>Rates Implied Volatility</v>
          </cell>
          <cell r="G6035" t="str">
            <v>Other</v>
          </cell>
          <cell r="H6035" t="str">
            <v>VOLATILITY</v>
          </cell>
          <cell r="I6035" t="str">
            <v>Rates Implied Volatility</v>
          </cell>
        </row>
        <row r="6036">
          <cell r="A6036" t="str">
            <v>USD_normvol_3y_2y</v>
          </cell>
          <cell r="B6036" t="str">
            <v>Norm Impl Vol 3x2</v>
          </cell>
          <cell r="C6036" t="str">
            <v>VOL:USD_normvol_3y_2y</v>
          </cell>
          <cell r="D6036" t="str">
            <v>Implied Vol Duration</v>
          </cell>
          <cell r="E6036" t="str">
            <v>Implied Vol</v>
          </cell>
          <cell r="F6036" t="str">
            <v>Rates Implied Volatility</v>
          </cell>
          <cell r="G6036" t="str">
            <v>Other</v>
          </cell>
          <cell r="H6036" t="str">
            <v>VOLATILITY</v>
          </cell>
          <cell r="I6036" t="str">
            <v>Rates Implied Volatility</v>
          </cell>
        </row>
        <row r="6037">
          <cell r="A6037" t="str">
            <v>USD_normvol_5y_2y</v>
          </cell>
          <cell r="B6037" t="str">
            <v>Norm Impl Vol 5x2</v>
          </cell>
          <cell r="C6037" t="str">
            <v>VOL:USD_normvol_5y_2y</v>
          </cell>
          <cell r="D6037" t="str">
            <v>Implied Vol Duration</v>
          </cell>
          <cell r="E6037" t="str">
            <v>Implied Vol</v>
          </cell>
          <cell r="F6037" t="str">
            <v>Rates Implied Volatility</v>
          </cell>
          <cell r="G6037" t="str">
            <v>Other</v>
          </cell>
          <cell r="H6037" t="str">
            <v>VOLATILITY</v>
          </cell>
          <cell r="I6037" t="str">
            <v>Rates Implied Volatility</v>
          </cell>
        </row>
        <row r="6038">
          <cell r="A6038" t="str">
            <v>USD_normvol_1m_3y</v>
          </cell>
          <cell r="B6038" t="str">
            <v>Norm Impl Vol 1Mx3</v>
          </cell>
          <cell r="C6038" t="str">
            <v>VOL:USD_normvol_1m_3y</v>
          </cell>
          <cell r="D6038" t="str">
            <v>Implied Vol Duration</v>
          </cell>
          <cell r="E6038" t="str">
            <v>Implied Vol</v>
          </cell>
          <cell r="F6038" t="str">
            <v>Rates Implied Volatility</v>
          </cell>
          <cell r="G6038" t="str">
            <v>Other</v>
          </cell>
          <cell r="H6038" t="str">
            <v>VOLATILITY</v>
          </cell>
          <cell r="I6038" t="str">
            <v>Rates Implied Volatility</v>
          </cell>
        </row>
        <row r="6039">
          <cell r="A6039" t="str">
            <v>USD_normvol_3m_3y</v>
          </cell>
          <cell r="B6039" t="str">
            <v>Norm Impl Vol 3Mx3</v>
          </cell>
          <cell r="C6039" t="str">
            <v>VOL:USD_normvol_3m_3y</v>
          </cell>
          <cell r="D6039" t="str">
            <v>Implied Vol Duration</v>
          </cell>
          <cell r="E6039" t="str">
            <v>Implied Vol</v>
          </cell>
          <cell r="F6039" t="str">
            <v>Rates Implied Volatility</v>
          </cell>
          <cell r="G6039" t="str">
            <v>Other</v>
          </cell>
          <cell r="H6039" t="str">
            <v>VOLATILITY</v>
          </cell>
          <cell r="I6039" t="str">
            <v>Rates Implied Volatility</v>
          </cell>
        </row>
        <row r="6040">
          <cell r="A6040" t="str">
            <v>USD_normvol_6m_3y</v>
          </cell>
          <cell r="B6040" t="str">
            <v>Norm Impl Vol 6Mx3</v>
          </cell>
          <cell r="C6040" t="str">
            <v>VOL:USD_normvol_6m_3y</v>
          </cell>
          <cell r="D6040" t="str">
            <v>Implied Vol Duration</v>
          </cell>
          <cell r="E6040" t="str">
            <v>Implied Vol</v>
          </cell>
          <cell r="F6040" t="str">
            <v>Rates Implied Volatility</v>
          </cell>
          <cell r="G6040" t="str">
            <v>Other</v>
          </cell>
          <cell r="H6040" t="str">
            <v>VOLATILITY</v>
          </cell>
          <cell r="I6040" t="str">
            <v>Rates Implied Volatility</v>
          </cell>
        </row>
        <row r="6041">
          <cell r="A6041" t="str">
            <v>USD_normvol_1y_3y</v>
          </cell>
          <cell r="B6041" t="str">
            <v>Norm Impl Vol 1x3</v>
          </cell>
          <cell r="C6041" t="str">
            <v>VOL:USD_normvol_1y_3y</v>
          </cell>
          <cell r="D6041" t="str">
            <v>Implied Vol Duration</v>
          </cell>
          <cell r="E6041" t="str">
            <v>Implied Vol</v>
          </cell>
          <cell r="F6041" t="str">
            <v>Rates Implied Volatility</v>
          </cell>
          <cell r="G6041" t="str">
            <v>Other</v>
          </cell>
          <cell r="H6041" t="str">
            <v>VOLATILITY</v>
          </cell>
          <cell r="I6041" t="str">
            <v>Rates Implied Volatility</v>
          </cell>
        </row>
        <row r="6042">
          <cell r="A6042" t="str">
            <v>USD_normvol_2y_3y</v>
          </cell>
          <cell r="B6042" t="str">
            <v>Norm Impl Vol 2x3</v>
          </cell>
          <cell r="C6042" t="str">
            <v>VOL:USD_normvol_2y_3y</v>
          </cell>
          <cell r="D6042" t="str">
            <v>Implied Vol Duration</v>
          </cell>
          <cell r="E6042" t="str">
            <v>Implied Vol</v>
          </cell>
          <cell r="F6042" t="str">
            <v>Rates Implied Volatility</v>
          </cell>
          <cell r="G6042" t="str">
            <v>Other</v>
          </cell>
          <cell r="H6042" t="str">
            <v>VOLATILITY</v>
          </cell>
          <cell r="I6042" t="str">
            <v>Rates Implied Volatility</v>
          </cell>
        </row>
        <row r="6043">
          <cell r="A6043" t="str">
            <v>USD_normvol_3y_3y</v>
          </cell>
          <cell r="B6043" t="str">
            <v>Norm Impl Vol 3x3</v>
          </cell>
          <cell r="C6043" t="str">
            <v>VOL:USD_normvol_3y_3y</v>
          </cell>
          <cell r="D6043" t="str">
            <v>Implied Vol Duration</v>
          </cell>
          <cell r="E6043" t="str">
            <v>Implied Vol</v>
          </cell>
          <cell r="F6043" t="str">
            <v>Rates Implied Volatility</v>
          </cell>
          <cell r="G6043" t="str">
            <v>Other</v>
          </cell>
          <cell r="H6043" t="str">
            <v>VOLATILITY</v>
          </cell>
          <cell r="I6043" t="str">
            <v>Rates Implied Volatility</v>
          </cell>
        </row>
        <row r="6044">
          <cell r="A6044" t="str">
            <v>USD_normvol_5y_3y</v>
          </cell>
          <cell r="B6044" t="str">
            <v>Norm Impl Vol 5x3</v>
          </cell>
          <cell r="C6044" t="str">
            <v>VOL:USD_normvol_5y_3y</v>
          </cell>
          <cell r="D6044" t="str">
            <v>Implied Vol Duration</v>
          </cell>
          <cell r="E6044" t="str">
            <v>Implied Vol</v>
          </cell>
          <cell r="F6044" t="str">
            <v>Rates Implied Volatility</v>
          </cell>
          <cell r="G6044" t="str">
            <v>Other</v>
          </cell>
          <cell r="H6044" t="str">
            <v>VOLATILITY</v>
          </cell>
          <cell r="I6044" t="str">
            <v>Rates Implied Volatility</v>
          </cell>
        </row>
        <row r="6045">
          <cell r="A6045" t="str">
            <v>USD_normvol_1m_5y</v>
          </cell>
          <cell r="B6045" t="str">
            <v>Norm Impl Vol 1Mx5</v>
          </cell>
          <cell r="C6045" t="str">
            <v>VOL:USD_normvol_1m_5y</v>
          </cell>
          <cell r="D6045" t="str">
            <v>Implied Vol Duration</v>
          </cell>
          <cell r="E6045" t="str">
            <v>Implied Vol</v>
          </cell>
          <cell r="F6045" t="str">
            <v>Rates Implied Volatility</v>
          </cell>
          <cell r="G6045" t="str">
            <v>Other</v>
          </cell>
          <cell r="H6045" t="str">
            <v>VOLATILITY</v>
          </cell>
          <cell r="I6045" t="str">
            <v>Rates Implied Volatility</v>
          </cell>
        </row>
        <row r="6046">
          <cell r="A6046" t="str">
            <v>USD_normvol_3m_5y</v>
          </cell>
          <cell r="B6046" t="str">
            <v>Norm Impl Vol 3Mx5</v>
          </cell>
          <cell r="C6046" t="str">
            <v>VOL:USD_normvol_3m_5y</v>
          </cell>
          <cell r="D6046" t="str">
            <v>Implied Vol Duration</v>
          </cell>
          <cell r="E6046" t="str">
            <v>Implied Vol</v>
          </cell>
          <cell r="F6046" t="str">
            <v>Rates Implied Volatility</v>
          </cell>
          <cell r="G6046" t="str">
            <v>Other</v>
          </cell>
          <cell r="H6046" t="str">
            <v>VOLATILITY</v>
          </cell>
          <cell r="I6046" t="str">
            <v>Rates Implied Volatility</v>
          </cell>
        </row>
        <row r="6047">
          <cell r="A6047" t="str">
            <v>USD_normvol_6m_5y</v>
          </cell>
          <cell r="B6047" t="str">
            <v>Norm Impl Vol 6Mx5</v>
          </cell>
          <cell r="C6047" t="str">
            <v>VOL:USD_normvol_6m_5y</v>
          </cell>
          <cell r="D6047" t="str">
            <v>Implied Vol Duration</v>
          </cell>
          <cell r="E6047" t="str">
            <v>Implied Vol</v>
          </cell>
          <cell r="F6047" t="str">
            <v>Rates Implied Volatility</v>
          </cell>
          <cell r="G6047" t="str">
            <v>Other</v>
          </cell>
          <cell r="H6047" t="str">
            <v>VOLATILITY</v>
          </cell>
          <cell r="I6047" t="str">
            <v>Rates Implied Volatility</v>
          </cell>
        </row>
        <row r="6048">
          <cell r="A6048" t="str">
            <v>USD_normvol_1y_5y</v>
          </cell>
          <cell r="B6048" t="str">
            <v>Norm Impl Vol 1x5</v>
          </cell>
          <cell r="C6048" t="str">
            <v>VOL:USD_normvol_1y_5y</v>
          </cell>
          <cell r="D6048" t="str">
            <v>Implied Vol Duration</v>
          </cell>
          <cell r="E6048" t="str">
            <v>Implied Vol</v>
          </cell>
          <cell r="F6048" t="str">
            <v>Rates Implied Volatility</v>
          </cell>
          <cell r="G6048" t="str">
            <v>Other</v>
          </cell>
          <cell r="H6048" t="str">
            <v>VOLATILITY</v>
          </cell>
          <cell r="I6048" t="str">
            <v>Rates Implied Volatility</v>
          </cell>
        </row>
        <row r="6049">
          <cell r="A6049" t="str">
            <v>USD_normvol_2y_5y</v>
          </cell>
          <cell r="B6049" t="str">
            <v>Norm Impl Vol 2x5</v>
          </cell>
          <cell r="C6049" t="str">
            <v>VOL:USD_normvol_2y_5y</v>
          </cell>
          <cell r="D6049" t="str">
            <v>Implied Vol Duration</v>
          </cell>
          <cell r="E6049" t="str">
            <v>Implied Vol</v>
          </cell>
          <cell r="F6049" t="str">
            <v>Rates Implied Volatility</v>
          </cell>
          <cell r="G6049" t="str">
            <v>Other</v>
          </cell>
          <cell r="H6049" t="str">
            <v>VOLATILITY</v>
          </cell>
          <cell r="I6049" t="str">
            <v>Rates Implied Volatility</v>
          </cell>
        </row>
        <row r="6050">
          <cell r="A6050" t="str">
            <v>USD_normvol_3y_5y</v>
          </cell>
          <cell r="B6050" t="str">
            <v>Norm Impl Vol 3x5</v>
          </cell>
          <cell r="C6050" t="str">
            <v>VOL:USD_normvol_3y_5y</v>
          </cell>
          <cell r="D6050" t="str">
            <v>Implied Vol Duration</v>
          </cell>
          <cell r="E6050" t="str">
            <v>Implied Vol</v>
          </cell>
          <cell r="F6050" t="str">
            <v>Rates Implied Volatility</v>
          </cell>
          <cell r="G6050" t="str">
            <v>Other</v>
          </cell>
          <cell r="H6050" t="str">
            <v>VOLATILITY</v>
          </cell>
          <cell r="I6050" t="str">
            <v>Rates Implied Volatility</v>
          </cell>
        </row>
        <row r="6051">
          <cell r="A6051" t="str">
            <v>USD_normvol_5y_5y</v>
          </cell>
          <cell r="B6051" t="str">
            <v>Norm Impl Vol 5x5</v>
          </cell>
          <cell r="C6051" t="str">
            <v>VOL:USD_normvol_5y_5y</v>
          </cell>
          <cell r="D6051" t="str">
            <v>Implied Vol Duration</v>
          </cell>
          <cell r="E6051" t="str">
            <v>Implied Vol</v>
          </cell>
          <cell r="F6051" t="str">
            <v>Rates Implied Volatility</v>
          </cell>
          <cell r="G6051" t="str">
            <v>Other</v>
          </cell>
          <cell r="H6051" t="str">
            <v>VOLATILITY</v>
          </cell>
          <cell r="I6051" t="str">
            <v>Rates Implied Volatility</v>
          </cell>
        </row>
        <row r="6052">
          <cell r="A6052" t="str">
            <v>USD_normvol_1m_7y</v>
          </cell>
          <cell r="B6052" t="str">
            <v>Norm Impl Vol 1Mx7</v>
          </cell>
          <cell r="C6052" t="str">
            <v>VOL:USD_normvol_1m_7y</v>
          </cell>
          <cell r="D6052" t="str">
            <v>Implied Vol Duration</v>
          </cell>
          <cell r="E6052" t="str">
            <v>Implied Vol</v>
          </cell>
          <cell r="F6052" t="str">
            <v>Rates Implied Volatility</v>
          </cell>
          <cell r="G6052" t="str">
            <v>Other</v>
          </cell>
          <cell r="H6052" t="str">
            <v>VOLATILITY</v>
          </cell>
          <cell r="I6052" t="str">
            <v>Rates Implied Volatility</v>
          </cell>
        </row>
        <row r="6053">
          <cell r="A6053" t="str">
            <v>USD_normvol_3m_7y</v>
          </cell>
          <cell r="B6053" t="str">
            <v>Norm Impl Vol 3Mx7</v>
          </cell>
          <cell r="C6053" t="str">
            <v>VOL:USD_normvol_3m_7y</v>
          </cell>
          <cell r="D6053" t="str">
            <v>Implied Vol Duration</v>
          </cell>
          <cell r="E6053" t="str">
            <v>Implied Vol</v>
          </cell>
          <cell r="F6053" t="str">
            <v>Rates Implied Volatility</v>
          </cell>
          <cell r="G6053" t="str">
            <v>Other</v>
          </cell>
          <cell r="H6053" t="str">
            <v>VOLATILITY</v>
          </cell>
          <cell r="I6053" t="str">
            <v>Rates Implied Volatility</v>
          </cell>
        </row>
        <row r="6054">
          <cell r="A6054" t="str">
            <v>USD_normvol_6m_7y</v>
          </cell>
          <cell r="B6054" t="str">
            <v>Norm Impl Vol 6Mx7</v>
          </cell>
          <cell r="C6054" t="str">
            <v>VOL:USD_normvol_6m_7y</v>
          </cell>
          <cell r="D6054" t="str">
            <v>Implied Vol Duration</v>
          </cell>
          <cell r="E6054" t="str">
            <v>Implied Vol</v>
          </cell>
          <cell r="F6054" t="str">
            <v>Rates Implied Volatility</v>
          </cell>
          <cell r="G6054" t="str">
            <v>Other</v>
          </cell>
          <cell r="H6054" t="str">
            <v>VOLATILITY</v>
          </cell>
          <cell r="I6054" t="str">
            <v>Rates Implied Volatility</v>
          </cell>
        </row>
        <row r="6055">
          <cell r="A6055" t="str">
            <v>USD_normvol_1y_7y</v>
          </cell>
          <cell r="B6055" t="str">
            <v>Norm Impl Vol 1x7</v>
          </cell>
          <cell r="C6055" t="str">
            <v>VOL:USD_normvol_1y_7y</v>
          </cell>
          <cell r="D6055" t="str">
            <v>Implied Vol Duration</v>
          </cell>
          <cell r="E6055" t="str">
            <v>Implied Vol</v>
          </cell>
          <cell r="F6055" t="str">
            <v>Rates Implied Volatility</v>
          </cell>
          <cell r="G6055" t="str">
            <v>Other</v>
          </cell>
          <cell r="H6055" t="str">
            <v>VOLATILITY</v>
          </cell>
          <cell r="I6055" t="str">
            <v>Rates Implied Volatility</v>
          </cell>
        </row>
        <row r="6056">
          <cell r="A6056" t="str">
            <v>USD_normvol_2y_7y</v>
          </cell>
          <cell r="B6056" t="str">
            <v>Norm Impl Vol 2x7</v>
          </cell>
          <cell r="C6056" t="str">
            <v>VOL:USD_normvol_2y_7y</v>
          </cell>
          <cell r="D6056" t="str">
            <v>Implied Vol Duration</v>
          </cell>
          <cell r="E6056" t="str">
            <v>Implied Vol</v>
          </cell>
          <cell r="F6056" t="str">
            <v>Rates Implied Volatility</v>
          </cell>
          <cell r="G6056" t="str">
            <v>Other</v>
          </cell>
          <cell r="H6056" t="str">
            <v>VOLATILITY</v>
          </cell>
          <cell r="I6056" t="str">
            <v>Rates Implied Volatility</v>
          </cell>
        </row>
        <row r="6057">
          <cell r="A6057" t="str">
            <v>USD_normvol_3y_7y</v>
          </cell>
          <cell r="B6057" t="str">
            <v>Norm Impl Vol 3x7</v>
          </cell>
          <cell r="C6057" t="str">
            <v>VOL:USD_normvol_3y_7y</v>
          </cell>
          <cell r="D6057" t="str">
            <v>Implied Vol Duration</v>
          </cell>
          <cell r="E6057" t="str">
            <v>Implied Vol</v>
          </cell>
          <cell r="F6057" t="str">
            <v>Rates Implied Volatility</v>
          </cell>
          <cell r="G6057" t="str">
            <v>Other</v>
          </cell>
          <cell r="H6057" t="str">
            <v>VOLATILITY</v>
          </cell>
          <cell r="I6057" t="str">
            <v>Rates Implied Volatility</v>
          </cell>
        </row>
        <row r="6058">
          <cell r="A6058" t="str">
            <v>USD_normvol_5y_7y</v>
          </cell>
          <cell r="B6058" t="str">
            <v>Norm Impl Vol 5x7</v>
          </cell>
          <cell r="C6058" t="str">
            <v>VOL:USD_normvol_5y_7y</v>
          </cell>
          <cell r="D6058" t="str">
            <v>Implied Vol Duration</v>
          </cell>
          <cell r="E6058" t="str">
            <v>Implied Vol</v>
          </cell>
          <cell r="F6058" t="str">
            <v>Rates Implied Volatility</v>
          </cell>
          <cell r="G6058" t="str">
            <v>Other</v>
          </cell>
          <cell r="H6058" t="str">
            <v>VOLATILITY</v>
          </cell>
          <cell r="I6058" t="str">
            <v>Rates Implied Volatility</v>
          </cell>
        </row>
        <row r="6059">
          <cell r="A6059" t="str">
            <v>USD_normvol_1m_10y</v>
          </cell>
          <cell r="B6059" t="str">
            <v>Norm Impl Vol 1Mx10</v>
          </cell>
          <cell r="C6059" t="str">
            <v>VOL:USD_normvol_1m_10y</v>
          </cell>
          <cell r="D6059" t="str">
            <v>Implied Vol Duration</v>
          </cell>
          <cell r="E6059" t="str">
            <v>Implied Vol</v>
          </cell>
          <cell r="F6059" t="str">
            <v>Rates Implied Volatility</v>
          </cell>
          <cell r="G6059" t="str">
            <v>Other</v>
          </cell>
          <cell r="H6059" t="str">
            <v>VOLATILITY</v>
          </cell>
          <cell r="I6059" t="str">
            <v>Rates Implied Volatility</v>
          </cell>
        </row>
        <row r="6060">
          <cell r="A6060" t="str">
            <v>USD_normvol_3m_10y</v>
          </cell>
          <cell r="B6060" t="str">
            <v>Norm Impl Vol 3Mx10</v>
          </cell>
          <cell r="C6060" t="str">
            <v>VOL:USD_normvol_3m_10y</v>
          </cell>
          <cell r="D6060" t="str">
            <v>Implied Vol Duration</v>
          </cell>
          <cell r="E6060" t="str">
            <v>Implied Vol</v>
          </cell>
          <cell r="F6060" t="str">
            <v>Rates Implied Volatility</v>
          </cell>
          <cell r="G6060" t="str">
            <v>Other</v>
          </cell>
          <cell r="H6060" t="str">
            <v>VOLATILITY</v>
          </cell>
          <cell r="I6060" t="str">
            <v>Rates Implied Volatility</v>
          </cell>
        </row>
        <row r="6061">
          <cell r="A6061" t="str">
            <v>USD_normvol_6m_10y</v>
          </cell>
          <cell r="B6061" t="str">
            <v>Norm Impl Vol 6Mx10</v>
          </cell>
          <cell r="C6061" t="str">
            <v>VOL:USD_normvol_6m_10y</v>
          </cell>
          <cell r="D6061" t="str">
            <v>Implied Vol Duration</v>
          </cell>
          <cell r="E6061" t="str">
            <v>Implied Vol</v>
          </cell>
          <cell r="F6061" t="str">
            <v>Rates Implied Volatility</v>
          </cell>
          <cell r="G6061" t="str">
            <v>Other</v>
          </cell>
          <cell r="H6061" t="str">
            <v>VOLATILITY</v>
          </cell>
          <cell r="I6061" t="str">
            <v>Rates Implied Volatility</v>
          </cell>
        </row>
        <row r="6062">
          <cell r="A6062" t="str">
            <v>USD_normvol_1y_10y</v>
          </cell>
          <cell r="B6062" t="str">
            <v>Norm Impl Vol 1x10</v>
          </cell>
          <cell r="C6062" t="str">
            <v>VOL:USD_normvol_1y_10y</v>
          </cell>
          <cell r="D6062" t="str">
            <v>Implied Vol Duration</v>
          </cell>
          <cell r="E6062" t="str">
            <v>Implied Vol</v>
          </cell>
          <cell r="F6062" t="str">
            <v>Rates Implied Volatility</v>
          </cell>
          <cell r="G6062" t="str">
            <v>Other</v>
          </cell>
          <cell r="H6062" t="str">
            <v>VOLATILITY</v>
          </cell>
          <cell r="I6062" t="str">
            <v>Rates Implied Volatility</v>
          </cell>
        </row>
        <row r="6063">
          <cell r="A6063" t="str">
            <v>USD_normvol_2y_10y</v>
          </cell>
          <cell r="B6063" t="str">
            <v>Norm Impl Vol 2x10</v>
          </cell>
          <cell r="C6063" t="str">
            <v>VOL:USD_normvol_2y_10y</v>
          </cell>
          <cell r="D6063" t="str">
            <v>Implied Vol Duration</v>
          </cell>
          <cell r="E6063" t="str">
            <v>Implied Vol</v>
          </cell>
          <cell r="F6063" t="str">
            <v>Rates Implied Volatility</v>
          </cell>
          <cell r="G6063" t="str">
            <v>Other</v>
          </cell>
          <cell r="H6063" t="str">
            <v>VOLATILITY</v>
          </cell>
          <cell r="I6063" t="str">
            <v>Rates Implied Volatility</v>
          </cell>
        </row>
        <row r="6064">
          <cell r="A6064" t="str">
            <v>USD_normvol_3y_10y</v>
          </cell>
          <cell r="B6064" t="str">
            <v>Norm Impl Vol 3x10</v>
          </cell>
          <cell r="C6064" t="str">
            <v>VOL:USD_normvol_3y_10y</v>
          </cell>
          <cell r="D6064" t="str">
            <v>Implied Vol Duration</v>
          </cell>
          <cell r="E6064" t="str">
            <v>Implied Vol</v>
          </cell>
          <cell r="F6064" t="str">
            <v>Rates Implied Volatility</v>
          </cell>
          <cell r="G6064" t="str">
            <v>Other</v>
          </cell>
          <cell r="H6064" t="str">
            <v>VOLATILITY</v>
          </cell>
          <cell r="I6064" t="str">
            <v>Rates Implied Volatility</v>
          </cell>
        </row>
        <row r="6065">
          <cell r="A6065" t="str">
            <v>USD_normvol</v>
          </cell>
          <cell r="B6065" t="str">
            <v>Norm Impl Vol 5x10</v>
          </cell>
          <cell r="C6065" t="str">
            <v>VOL:USD_normvol</v>
          </cell>
          <cell r="D6065" t="str">
            <v>Implied Vol Duration</v>
          </cell>
          <cell r="E6065" t="str">
            <v>Implied Vol</v>
          </cell>
          <cell r="F6065" t="str">
            <v>Rates Implied Volatility</v>
          </cell>
          <cell r="G6065" t="str">
            <v>Other</v>
          </cell>
          <cell r="H6065" t="str">
            <v>VOLATILITY</v>
          </cell>
          <cell r="I6065" t="str">
            <v>Rates Implied Volatility</v>
          </cell>
        </row>
        <row r="6066">
          <cell r="A6066" t="str">
            <v>USD_normvol_1m_15y</v>
          </cell>
          <cell r="B6066" t="str">
            <v>Norm Impl Vol 1Mx15</v>
          </cell>
          <cell r="C6066" t="str">
            <v>VOL:USD_normvol_1m_15y</v>
          </cell>
          <cell r="D6066" t="str">
            <v>Implied Vol Duration</v>
          </cell>
          <cell r="E6066" t="str">
            <v>Implied Vol</v>
          </cell>
          <cell r="F6066" t="str">
            <v>Rates Implied Volatility</v>
          </cell>
          <cell r="G6066" t="str">
            <v>Other</v>
          </cell>
          <cell r="H6066" t="str">
            <v>VOLATILITY</v>
          </cell>
          <cell r="I6066" t="str">
            <v>Rates Implied Volatility</v>
          </cell>
        </row>
        <row r="6067">
          <cell r="A6067" t="str">
            <v>USD_normvol_3m_15y</v>
          </cell>
          <cell r="B6067" t="str">
            <v>Norm Impl Vol 3Mx15</v>
          </cell>
          <cell r="C6067" t="str">
            <v>VOL:USD_normvol_3m_15y</v>
          </cell>
          <cell r="D6067" t="str">
            <v>Implied Vol Duration</v>
          </cell>
          <cell r="E6067" t="str">
            <v>Implied Vol</v>
          </cell>
          <cell r="F6067" t="str">
            <v>Rates Implied Volatility</v>
          </cell>
          <cell r="G6067" t="str">
            <v>Other</v>
          </cell>
          <cell r="H6067" t="str">
            <v>VOLATILITY</v>
          </cell>
          <cell r="I6067" t="str">
            <v>Rates Implied Volatility</v>
          </cell>
        </row>
        <row r="6068">
          <cell r="A6068" t="str">
            <v>USD_normvol_6m_15y</v>
          </cell>
          <cell r="B6068" t="str">
            <v>Norm Impl Vol 6Mx15</v>
          </cell>
          <cell r="C6068" t="str">
            <v>VOL:USD_normvol_6m_15y</v>
          </cell>
          <cell r="D6068" t="str">
            <v>Implied Vol Duration</v>
          </cell>
          <cell r="E6068" t="str">
            <v>Implied Vol</v>
          </cell>
          <cell r="F6068" t="str">
            <v>Rates Implied Volatility</v>
          </cell>
          <cell r="G6068" t="str">
            <v>Other</v>
          </cell>
          <cell r="H6068" t="str">
            <v>VOLATILITY</v>
          </cell>
          <cell r="I6068" t="str">
            <v>Rates Implied Volatility</v>
          </cell>
        </row>
        <row r="6069">
          <cell r="A6069" t="str">
            <v>USD_normvol_1y_15y</v>
          </cell>
          <cell r="B6069" t="str">
            <v>Norm Impl Vol 1x15</v>
          </cell>
          <cell r="C6069" t="str">
            <v>VOL:USD_normvol_1y_15y</v>
          </cell>
          <cell r="D6069" t="str">
            <v>Implied Vol Duration</v>
          </cell>
          <cell r="E6069" t="str">
            <v>Implied Vol</v>
          </cell>
          <cell r="F6069" t="str">
            <v>Rates Implied Volatility</v>
          </cell>
          <cell r="G6069" t="str">
            <v>Other</v>
          </cell>
          <cell r="H6069" t="str">
            <v>VOLATILITY</v>
          </cell>
          <cell r="I6069" t="str">
            <v>Rates Implied Volatility</v>
          </cell>
        </row>
        <row r="6070">
          <cell r="A6070" t="str">
            <v>USD_normvol_2y_15y</v>
          </cell>
          <cell r="B6070" t="str">
            <v>Norm Impl Vol 2x15</v>
          </cell>
          <cell r="C6070" t="str">
            <v>VOL:USD_normvol_2y_15y</v>
          </cell>
          <cell r="D6070" t="str">
            <v>Implied Vol Duration</v>
          </cell>
          <cell r="E6070" t="str">
            <v>Implied Vol</v>
          </cell>
          <cell r="F6070" t="str">
            <v>Rates Implied Volatility</v>
          </cell>
          <cell r="G6070" t="str">
            <v>Other</v>
          </cell>
          <cell r="H6070" t="str">
            <v>VOLATILITY</v>
          </cell>
          <cell r="I6070" t="str">
            <v>Rates Implied Volatility</v>
          </cell>
        </row>
        <row r="6071">
          <cell r="A6071" t="str">
            <v>USD_normvol_3y_15y</v>
          </cell>
          <cell r="B6071" t="str">
            <v>Norm Impl Vol 3x15</v>
          </cell>
          <cell r="C6071" t="str">
            <v>VOL:USD_normvol_3y_15y</v>
          </cell>
          <cell r="D6071" t="str">
            <v>Implied Vol Duration</v>
          </cell>
          <cell r="E6071" t="str">
            <v>Implied Vol</v>
          </cell>
          <cell r="F6071" t="str">
            <v>Rates Implied Volatility</v>
          </cell>
          <cell r="G6071" t="str">
            <v>Other</v>
          </cell>
          <cell r="H6071" t="str">
            <v>VOLATILITY</v>
          </cell>
          <cell r="I6071" t="str">
            <v>Rates Implied Volatility</v>
          </cell>
        </row>
        <row r="6072">
          <cell r="A6072" t="str">
            <v>USD_normvol_5y_15y</v>
          </cell>
          <cell r="B6072" t="str">
            <v>Norm Impl Vol 5x15</v>
          </cell>
          <cell r="C6072" t="str">
            <v>VOL:USD_normvol_5y_15y</v>
          </cell>
          <cell r="D6072" t="str">
            <v>Implied Vol Duration</v>
          </cell>
          <cell r="E6072" t="str">
            <v>Implied Vol</v>
          </cell>
          <cell r="F6072" t="str">
            <v>Rates Implied Volatility</v>
          </cell>
          <cell r="G6072" t="str">
            <v>Other</v>
          </cell>
          <cell r="H6072" t="str">
            <v>VOLATILITY</v>
          </cell>
          <cell r="I6072" t="str">
            <v>Rates Implied Volatility</v>
          </cell>
        </row>
        <row r="6073">
          <cell r="A6073" t="str">
            <v>USD_normvol_1y_20y</v>
          </cell>
          <cell r="B6073" t="str">
            <v>Norm Impl Vol 1x20</v>
          </cell>
          <cell r="C6073" t="str">
            <v>VOL:USD_normvol_1y_20y</v>
          </cell>
          <cell r="D6073" t="str">
            <v>Implied Vol Duration</v>
          </cell>
          <cell r="E6073" t="str">
            <v>Implied Vol</v>
          </cell>
          <cell r="F6073" t="str">
            <v>Rates Implied Volatility</v>
          </cell>
          <cell r="G6073" t="str">
            <v>Other</v>
          </cell>
          <cell r="H6073" t="str">
            <v>VOLATILITY</v>
          </cell>
          <cell r="I6073" t="str">
            <v>Rates Implied Volatility</v>
          </cell>
        </row>
        <row r="6074">
          <cell r="A6074" t="str">
            <v>USD_normvol_2y_20y</v>
          </cell>
          <cell r="B6074" t="str">
            <v>Norm Impl Vol 2x20</v>
          </cell>
          <cell r="C6074" t="str">
            <v>VOL:USD_normvol_2y_20y</v>
          </cell>
          <cell r="D6074" t="str">
            <v>Implied Vol Duration</v>
          </cell>
          <cell r="E6074" t="str">
            <v>Implied Vol</v>
          </cell>
          <cell r="F6074" t="str">
            <v>Rates Implied Volatility</v>
          </cell>
          <cell r="G6074" t="str">
            <v>Other</v>
          </cell>
          <cell r="H6074" t="str">
            <v>VOLATILITY</v>
          </cell>
          <cell r="I6074" t="str">
            <v>Rates Implied Volatility</v>
          </cell>
        </row>
        <row r="6075">
          <cell r="A6075" t="str">
            <v>USD_normvol_3y_20y</v>
          </cell>
          <cell r="B6075" t="str">
            <v>Norm Impl Vol 3x20</v>
          </cell>
          <cell r="C6075" t="str">
            <v>VOL:USD_normvol_3y_20y</v>
          </cell>
          <cell r="D6075" t="str">
            <v>Implied Vol Duration</v>
          </cell>
          <cell r="E6075" t="str">
            <v>Implied Vol</v>
          </cell>
          <cell r="F6075" t="str">
            <v>Rates Implied Volatility</v>
          </cell>
          <cell r="G6075" t="str">
            <v>Other</v>
          </cell>
          <cell r="H6075" t="str">
            <v>VOLATILITY</v>
          </cell>
          <cell r="I6075" t="str">
            <v>Rates Implied Volatility</v>
          </cell>
        </row>
        <row r="6076">
          <cell r="A6076" t="str">
            <v>USD_normvol_5y_20y</v>
          </cell>
          <cell r="B6076" t="str">
            <v>Norm Impl Vol 5x20</v>
          </cell>
          <cell r="C6076" t="str">
            <v>VOL:USD_normvol_5y_20y</v>
          </cell>
          <cell r="D6076" t="str">
            <v>Implied Vol Duration</v>
          </cell>
          <cell r="E6076" t="str">
            <v>Implied Vol</v>
          </cell>
          <cell r="F6076" t="str">
            <v>Rates Implied Volatility</v>
          </cell>
          <cell r="G6076" t="str">
            <v>Other</v>
          </cell>
          <cell r="H6076" t="str">
            <v>VOLATILITY</v>
          </cell>
          <cell r="I6076" t="str">
            <v>Rates Implied Volatility</v>
          </cell>
        </row>
        <row r="6077">
          <cell r="A6077" t="str">
            <v>USD_normvol_mtg</v>
          </cell>
          <cell r="B6077" t="str">
            <v>Norm ImplVol Mtg30y</v>
          </cell>
          <cell r="C6077" t="str">
            <v>VOL:USD_normvol_mtg</v>
          </cell>
          <cell r="D6077" t="str">
            <v>Implied Vol Duration</v>
          </cell>
          <cell r="E6077" t="str">
            <v>Implied Vol</v>
          </cell>
          <cell r="F6077" t="str">
            <v>Rates Implied Volatility</v>
          </cell>
          <cell r="G6077" t="str">
            <v>Other</v>
          </cell>
          <cell r="H6077" t="str">
            <v>VOLATILITY</v>
          </cell>
          <cell r="I6077" t="str">
            <v>Rates Implied Volatility</v>
          </cell>
        </row>
        <row r="6078">
          <cell r="A6078" t="str">
            <v>USD_normvol_mtg15</v>
          </cell>
          <cell r="B6078" t="str">
            <v>Norm ImplVol Mtg15y</v>
          </cell>
          <cell r="C6078" t="str">
            <v>VOL:USD_normvol_mtg15</v>
          </cell>
          <cell r="D6078" t="str">
            <v>Implied Vol Duration</v>
          </cell>
          <cell r="E6078" t="str">
            <v>Implied Vol</v>
          </cell>
          <cell r="F6078" t="str">
            <v>Rates Implied Volatility</v>
          </cell>
          <cell r="G6078" t="str">
            <v>Other</v>
          </cell>
          <cell r="H6078" t="str">
            <v>VOLATILITY</v>
          </cell>
          <cell r="I6078" t="str">
            <v>Rates Implied Volatility</v>
          </cell>
        </row>
        <row r="6079">
          <cell r="A6079" t="str">
            <v>USD_impvol</v>
          </cell>
          <cell r="B6079" t="str">
            <v>Lognorm Implied Vol</v>
          </cell>
          <cell r="C6079" t="str">
            <v>VOL:USD_impvol</v>
          </cell>
          <cell r="D6079" t="str">
            <v>Implied Vol Duration</v>
          </cell>
          <cell r="E6079" t="str">
            <v>Implied Vol</v>
          </cell>
          <cell r="F6079" t="str">
            <v>Rates Implied Volatility</v>
          </cell>
          <cell r="G6079" t="str">
            <v>Other</v>
          </cell>
          <cell r="H6079" t="str">
            <v>VOLATILITY</v>
          </cell>
          <cell r="I6079" t="str">
            <v>Rates Implied Volatility</v>
          </cell>
        </row>
        <row r="6080">
          <cell r="A6080" t="str">
            <v>EUR_normvol_3m_1y</v>
          </cell>
          <cell r="B6080" t="str">
            <v>EUR Vol 3Mx1</v>
          </cell>
          <cell r="C6080" t="str">
            <v>VOL:EUR_normvol_3m_1y</v>
          </cell>
          <cell r="D6080" t="str">
            <v>Implied Vol Duration</v>
          </cell>
          <cell r="E6080" t="str">
            <v>Implied Vol</v>
          </cell>
          <cell r="F6080" t="str">
            <v>Rates Implied Volatility</v>
          </cell>
          <cell r="G6080" t="str">
            <v>Other</v>
          </cell>
          <cell r="H6080" t="str">
            <v>VOLATILITY</v>
          </cell>
          <cell r="I6080" t="str">
            <v>Rates Implied Volatility</v>
          </cell>
        </row>
        <row r="6081">
          <cell r="A6081" t="str">
            <v>EUR_normvol_3m_2y</v>
          </cell>
          <cell r="B6081" t="str">
            <v>EUR Vol 3Mx2</v>
          </cell>
          <cell r="C6081" t="str">
            <v>VOL:EUR_normvol_3m_2y</v>
          </cell>
          <cell r="D6081" t="str">
            <v>Implied Vol Duration</v>
          </cell>
          <cell r="E6081" t="str">
            <v>Implied Vol</v>
          </cell>
          <cell r="F6081" t="str">
            <v>Rates Implied Volatility</v>
          </cell>
          <cell r="G6081" t="str">
            <v>Other</v>
          </cell>
          <cell r="H6081" t="str">
            <v>VOLATILITY</v>
          </cell>
          <cell r="I6081" t="str">
            <v>Rates Implied Volatility</v>
          </cell>
        </row>
        <row r="6082">
          <cell r="A6082" t="str">
            <v>EUR_normvol_3m_3y</v>
          </cell>
          <cell r="B6082" t="str">
            <v>EUR Vol 3Mx3</v>
          </cell>
          <cell r="C6082" t="str">
            <v>VOL:EUR_normvol_3m_3y</v>
          </cell>
          <cell r="D6082" t="str">
            <v>Implied Vol Duration</v>
          </cell>
          <cell r="E6082" t="str">
            <v>Implied Vol</v>
          </cell>
          <cell r="F6082" t="str">
            <v>Rates Implied Volatility</v>
          </cell>
          <cell r="G6082" t="str">
            <v>Other</v>
          </cell>
          <cell r="H6082" t="str">
            <v>VOLATILITY</v>
          </cell>
          <cell r="I6082" t="str">
            <v>Rates Implied Volatility</v>
          </cell>
        </row>
        <row r="6083">
          <cell r="A6083" t="str">
            <v>EUR_normvol_3m_5y</v>
          </cell>
          <cell r="B6083" t="str">
            <v>EUR Vol 3Mx5</v>
          </cell>
          <cell r="C6083" t="str">
            <v>VOL:EUR_normvol_3m_5y</v>
          </cell>
          <cell r="D6083" t="str">
            <v>Implied Vol Duration</v>
          </cell>
          <cell r="E6083" t="str">
            <v>Implied Vol</v>
          </cell>
          <cell r="F6083" t="str">
            <v>Rates Implied Volatility</v>
          </cell>
          <cell r="G6083" t="str">
            <v>Other</v>
          </cell>
          <cell r="H6083" t="str">
            <v>VOLATILITY</v>
          </cell>
          <cell r="I6083" t="str">
            <v>Rates Implied Volatility</v>
          </cell>
        </row>
        <row r="6084">
          <cell r="A6084" t="str">
            <v>EUR_normvol_3m_7y</v>
          </cell>
          <cell r="B6084" t="str">
            <v>EUR Vol 3Mx7</v>
          </cell>
          <cell r="C6084" t="str">
            <v>VOL:EUR_normvol_3m_7y</v>
          </cell>
          <cell r="D6084" t="str">
            <v>Implied Vol Duration</v>
          </cell>
          <cell r="E6084" t="str">
            <v>Implied Vol</v>
          </cell>
          <cell r="F6084" t="str">
            <v>Rates Implied Volatility</v>
          </cell>
          <cell r="G6084" t="str">
            <v>Other</v>
          </cell>
          <cell r="H6084" t="str">
            <v>VOLATILITY</v>
          </cell>
          <cell r="I6084" t="str">
            <v>Rates Implied Volatility</v>
          </cell>
        </row>
        <row r="6085">
          <cell r="A6085" t="str">
            <v>EUR_normvol_3m_10y</v>
          </cell>
          <cell r="B6085" t="str">
            <v>EUR Vol 3Mx10</v>
          </cell>
          <cell r="C6085" t="str">
            <v>VOL:EUR_normvol_3m_10y</v>
          </cell>
          <cell r="D6085" t="str">
            <v>Implied Vol Duration</v>
          </cell>
          <cell r="E6085" t="str">
            <v>Implied Vol</v>
          </cell>
          <cell r="F6085" t="str">
            <v>Rates Implied Volatility</v>
          </cell>
          <cell r="G6085" t="str">
            <v>Other</v>
          </cell>
          <cell r="H6085" t="str">
            <v>VOLATILITY</v>
          </cell>
          <cell r="I6085" t="str">
            <v>Rates Implied Volatility</v>
          </cell>
        </row>
        <row r="6086">
          <cell r="A6086" t="str">
            <v>EUR_normvol_3m_15y</v>
          </cell>
          <cell r="B6086" t="str">
            <v>EUR Vol 3Mx15</v>
          </cell>
          <cell r="C6086" t="str">
            <v>VOL:EUR_normvol_3m_15y</v>
          </cell>
          <cell r="D6086" t="str">
            <v>Implied Vol Duration</v>
          </cell>
          <cell r="E6086" t="str">
            <v>Implied Vol</v>
          </cell>
          <cell r="F6086" t="str">
            <v>Rates Implied Volatility</v>
          </cell>
          <cell r="G6086" t="str">
            <v>Other</v>
          </cell>
          <cell r="H6086" t="str">
            <v>VOLATILITY</v>
          </cell>
          <cell r="I6086" t="str">
            <v>Rates Implied Volatility</v>
          </cell>
        </row>
        <row r="6087">
          <cell r="A6087" t="str">
            <v>EUR_normvol_6m_1y</v>
          </cell>
          <cell r="B6087" t="str">
            <v>EUR Vol 6Mx1</v>
          </cell>
          <cell r="C6087" t="str">
            <v>VOL:EUR_normvol_6m_1y</v>
          </cell>
          <cell r="D6087" t="str">
            <v>Implied Vol Duration</v>
          </cell>
          <cell r="E6087" t="str">
            <v>Implied Vol</v>
          </cell>
          <cell r="F6087" t="str">
            <v>Rates Implied Volatility</v>
          </cell>
          <cell r="G6087" t="str">
            <v>Other</v>
          </cell>
          <cell r="H6087" t="str">
            <v>VOLATILITY</v>
          </cell>
          <cell r="I6087" t="str">
            <v>Rates Implied Volatility</v>
          </cell>
        </row>
        <row r="6088">
          <cell r="A6088" t="str">
            <v>EUR_normvol_6m_2y</v>
          </cell>
          <cell r="B6088" t="str">
            <v>EUR Vol 6Mx2</v>
          </cell>
          <cell r="C6088" t="str">
            <v>VOL:EUR_normvol_6m_2y</v>
          </cell>
          <cell r="D6088" t="str">
            <v>Implied Vol Duration</v>
          </cell>
          <cell r="E6088" t="str">
            <v>Implied Vol</v>
          </cell>
          <cell r="F6088" t="str">
            <v>Rates Implied Volatility</v>
          </cell>
          <cell r="G6088" t="str">
            <v>Other</v>
          </cell>
          <cell r="H6088" t="str">
            <v>VOLATILITY</v>
          </cell>
          <cell r="I6088" t="str">
            <v>Rates Implied Volatility</v>
          </cell>
        </row>
        <row r="6089">
          <cell r="A6089" t="str">
            <v>EUR_normvol_6m_3y</v>
          </cell>
          <cell r="B6089" t="str">
            <v>EUR Vol 6Mx3</v>
          </cell>
          <cell r="C6089" t="str">
            <v>VOL:EUR_normvol_6m_3y</v>
          </cell>
          <cell r="D6089" t="str">
            <v>Implied Vol Duration</v>
          </cell>
          <cell r="E6089" t="str">
            <v>Implied Vol</v>
          </cell>
          <cell r="F6089" t="str">
            <v>Rates Implied Volatility</v>
          </cell>
          <cell r="G6089" t="str">
            <v>Other</v>
          </cell>
          <cell r="H6089" t="str">
            <v>VOLATILITY</v>
          </cell>
          <cell r="I6089" t="str">
            <v>Rates Implied Volatility</v>
          </cell>
        </row>
        <row r="6090">
          <cell r="A6090" t="str">
            <v>EUR_normvol_6m_5y</v>
          </cell>
          <cell r="B6090" t="str">
            <v>EUR Vol 6Mx5</v>
          </cell>
          <cell r="C6090" t="str">
            <v>VOL:EUR_normvol_6m_5y</v>
          </cell>
          <cell r="D6090" t="str">
            <v>Implied Vol Duration</v>
          </cell>
          <cell r="E6090" t="str">
            <v>Implied Vol</v>
          </cell>
          <cell r="F6090" t="str">
            <v>Rates Implied Volatility</v>
          </cell>
          <cell r="G6090" t="str">
            <v>Other</v>
          </cell>
          <cell r="H6090" t="str">
            <v>VOLATILITY</v>
          </cell>
          <cell r="I6090" t="str">
            <v>Rates Implied Volatility</v>
          </cell>
        </row>
        <row r="6091">
          <cell r="A6091" t="str">
            <v>EUR_normvol_6m_7y</v>
          </cell>
          <cell r="B6091" t="str">
            <v>EUR Vol 6Mx7</v>
          </cell>
          <cell r="C6091" t="str">
            <v>VOL:EUR_normvol_6m_7y</v>
          </cell>
          <cell r="D6091" t="str">
            <v>Implied Vol Duration</v>
          </cell>
          <cell r="E6091" t="str">
            <v>Implied Vol</v>
          </cell>
          <cell r="F6091" t="str">
            <v>Rates Implied Volatility</v>
          </cell>
          <cell r="G6091" t="str">
            <v>Other</v>
          </cell>
          <cell r="H6091" t="str">
            <v>VOLATILITY</v>
          </cell>
          <cell r="I6091" t="str">
            <v>Rates Implied Volatility</v>
          </cell>
        </row>
        <row r="6092">
          <cell r="A6092" t="str">
            <v>EUR_normvol_6m_10y</v>
          </cell>
          <cell r="B6092" t="str">
            <v>EUR Vol 6Mx10</v>
          </cell>
          <cell r="C6092" t="str">
            <v>VOL:EUR_normvol_6m_10y</v>
          </cell>
          <cell r="D6092" t="str">
            <v>Implied Vol Duration</v>
          </cell>
          <cell r="E6092" t="str">
            <v>Implied Vol</v>
          </cell>
          <cell r="F6092" t="str">
            <v>Rates Implied Volatility</v>
          </cell>
          <cell r="G6092" t="str">
            <v>Other</v>
          </cell>
          <cell r="H6092" t="str">
            <v>VOLATILITY</v>
          </cell>
          <cell r="I6092" t="str">
            <v>Rates Implied Volatility</v>
          </cell>
        </row>
        <row r="6093">
          <cell r="A6093" t="str">
            <v>EUR_normvol_6m_15y</v>
          </cell>
          <cell r="B6093" t="str">
            <v>EUR Vol 6Mx15</v>
          </cell>
          <cell r="C6093" t="str">
            <v>VOL:EUR_normvol_6m_15y</v>
          </cell>
          <cell r="D6093" t="str">
            <v>Implied Vol Duration</v>
          </cell>
          <cell r="E6093" t="str">
            <v>Implied Vol</v>
          </cell>
          <cell r="F6093" t="str">
            <v>Rates Implied Volatility</v>
          </cell>
          <cell r="G6093" t="str">
            <v>Other</v>
          </cell>
          <cell r="H6093" t="str">
            <v>VOLATILITY</v>
          </cell>
          <cell r="I6093" t="str">
            <v>Rates Implied Volatility</v>
          </cell>
        </row>
        <row r="6094">
          <cell r="A6094" t="str">
            <v>EUR_normvol_1y_1y</v>
          </cell>
          <cell r="B6094" t="str">
            <v>EUR Vol 1x1</v>
          </cell>
          <cell r="C6094" t="str">
            <v>VOL:EUR_normvol_1y_1y</v>
          </cell>
          <cell r="D6094" t="str">
            <v>Implied Vol Duration</v>
          </cell>
          <cell r="E6094" t="str">
            <v>Implied Vol</v>
          </cell>
          <cell r="F6094" t="str">
            <v>Rates Implied Volatility</v>
          </cell>
          <cell r="G6094" t="str">
            <v>Other</v>
          </cell>
          <cell r="H6094" t="str">
            <v>VOLATILITY</v>
          </cell>
          <cell r="I6094" t="str">
            <v>Rates Implied Volatility</v>
          </cell>
        </row>
        <row r="6095">
          <cell r="A6095" t="str">
            <v>EUR_normvol_1y_2y</v>
          </cell>
          <cell r="B6095" t="str">
            <v>EUR Vol 1x2</v>
          </cell>
          <cell r="C6095" t="str">
            <v>VOL:EUR_normvol_1y_2y</v>
          </cell>
          <cell r="D6095" t="str">
            <v>Implied Vol Duration</v>
          </cell>
          <cell r="E6095" t="str">
            <v>Implied Vol</v>
          </cell>
          <cell r="F6095" t="str">
            <v>Rates Implied Volatility</v>
          </cell>
          <cell r="G6095" t="str">
            <v>Other</v>
          </cell>
          <cell r="H6095" t="str">
            <v>VOLATILITY</v>
          </cell>
          <cell r="I6095" t="str">
            <v>Rates Implied Volatility</v>
          </cell>
        </row>
        <row r="6096">
          <cell r="A6096" t="str">
            <v>EUR_normvol_1y_3y</v>
          </cell>
          <cell r="B6096" t="str">
            <v>EUR Vol 1x3</v>
          </cell>
          <cell r="C6096" t="str">
            <v>VOL:EUR_normvol_1y_3y</v>
          </cell>
          <cell r="D6096" t="str">
            <v>Implied Vol Duration</v>
          </cell>
          <cell r="E6096" t="str">
            <v>Implied Vol</v>
          </cell>
          <cell r="F6096" t="str">
            <v>Rates Implied Volatility</v>
          </cell>
          <cell r="G6096" t="str">
            <v>Other</v>
          </cell>
          <cell r="H6096" t="str">
            <v>VOLATILITY</v>
          </cell>
          <cell r="I6096" t="str">
            <v>Rates Implied Volatility</v>
          </cell>
        </row>
        <row r="6097">
          <cell r="A6097" t="str">
            <v>EUR_normvol_1y_5y</v>
          </cell>
          <cell r="B6097" t="str">
            <v>EUR Vol 1x5</v>
          </cell>
          <cell r="C6097" t="str">
            <v>VOL:EUR_normvol_1y_5y</v>
          </cell>
          <cell r="D6097" t="str">
            <v>Implied Vol Duration</v>
          </cell>
          <cell r="E6097" t="str">
            <v>Implied Vol</v>
          </cell>
          <cell r="F6097" t="str">
            <v>Rates Implied Volatility</v>
          </cell>
          <cell r="G6097" t="str">
            <v>Other</v>
          </cell>
          <cell r="H6097" t="str">
            <v>VOLATILITY</v>
          </cell>
          <cell r="I6097" t="str">
            <v>Rates Implied Volatility</v>
          </cell>
        </row>
        <row r="6098">
          <cell r="A6098" t="str">
            <v>EUR_normvol_1y_7y</v>
          </cell>
          <cell r="B6098" t="str">
            <v>EUR Vol 1x7</v>
          </cell>
          <cell r="C6098" t="str">
            <v>VOL:EUR_normvol_1y_7y</v>
          </cell>
          <cell r="D6098" t="str">
            <v>Implied Vol Duration</v>
          </cell>
          <cell r="E6098" t="str">
            <v>Implied Vol</v>
          </cell>
          <cell r="F6098" t="str">
            <v>Rates Implied Volatility</v>
          </cell>
          <cell r="G6098" t="str">
            <v>Other</v>
          </cell>
          <cell r="H6098" t="str">
            <v>VOLATILITY</v>
          </cell>
          <cell r="I6098" t="str">
            <v>Rates Implied Volatility</v>
          </cell>
        </row>
        <row r="6099">
          <cell r="A6099" t="str">
            <v>EUR_normvol_1y_10y</v>
          </cell>
          <cell r="B6099" t="str">
            <v>EUR Vol 1x10</v>
          </cell>
          <cell r="C6099" t="str">
            <v>VOL:EUR_normvol_1y_10y</v>
          </cell>
          <cell r="D6099" t="str">
            <v>Implied Vol Duration</v>
          </cell>
          <cell r="E6099" t="str">
            <v>Implied Vol</v>
          </cell>
          <cell r="F6099" t="str">
            <v>Rates Implied Volatility</v>
          </cell>
          <cell r="G6099" t="str">
            <v>Other</v>
          </cell>
          <cell r="H6099" t="str">
            <v>VOLATILITY</v>
          </cell>
          <cell r="I6099" t="str">
            <v>Rates Implied Volatility</v>
          </cell>
        </row>
        <row r="6100">
          <cell r="A6100" t="str">
            <v>EUR_normvol_1y_15y</v>
          </cell>
          <cell r="B6100" t="str">
            <v>EUR Vol 1x15</v>
          </cell>
          <cell r="C6100" t="str">
            <v>VOL:EUR_normvol_1y_15y</v>
          </cell>
          <cell r="D6100" t="str">
            <v>Implied Vol Duration</v>
          </cell>
          <cell r="E6100" t="str">
            <v>Implied Vol</v>
          </cell>
          <cell r="F6100" t="str">
            <v>Rates Implied Volatility</v>
          </cell>
          <cell r="G6100" t="str">
            <v>Other</v>
          </cell>
          <cell r="H6100" t="str">
            <v>VOLATILITY</v>
          </cell>
          <cell r="I6100" t="str">
            <v>Rates Implied Volatility</v>
          </cell>
        </row>
        <row r="6101">
          <cell r="A6101" t="str">
            <v>EUR_normvol_1y_20y</v>
          </cell>
          <cell r="B6101" t="str">
            <v>EUR Vol 1x20</v>
          </cell>
          <cell r="C6101" t="str">
            <v>VOL:EUR_normvol_1y_20y</v>
          </cell>
          <cell r="D6101" t="str">
            <v>Implied Vol Duration</v>
          </cell>
          <cell r="E6101" t="str">
            <v>Implied Vol</v>
          </cell>
          <cell r="F6101" t="str">
            <v>Rates Implied Volatility</v>
          </cell>
          <cell r="G6101" t="str">
            <v>Other</v>
          </cell>
          <cell r="H6101" t="str">
            <v>VOLATILITY</v>
          </cell>
          <cell r="I6101" t="str">
            <v>Rates Implied Volatility</v>
          </cell>
        </row>
        <row r="6102">
          <cell r="A6102" t="str">
            <v>EUR_normvol_2y_1y</v>
          </cell>
          <cell r="B6102" t="str">
            <v>EUR Vol 2x1</v>
          </cell>
          <cell r="C6102" t="str">
            <v>VOL:EUR_normvol_2y_1y</v>
          </cell>
          <cell r="D6102" t="str">
            <v>Implied Vol Duration</v>
          </cell>
          <cell r="E6102" t="str">
            <v>Implied Vol</v>
          </cell>
          <cell r="F6102" t="str">
            <v>Rates Implied Volatility</v>
          </cell>
          <cell r="G6102" t="str">
            <v>Other</v>
          </cell>
          <cell r="H6102" t="str">
            <v>VOLATILITY</v>
          </cell>
          <cell r="I6102" t="str">
            <v>Rates Implied Volatility</v>
          </cell>
        </row>
        <row r="6103">
          <cell r="A6103" t="str">
            <v>EUR_normvol_2y_2y</v>
          </cell>
          <cell r="B6103" t="str">
            <v>EUR Vol 2x2</v>
          </cell>
          <cell r="C6103" t="str">
            <v>VOL:EUR_normvol_2y_2y</v>
          </cell>
          <cell r="D6103" t="str">
            <v>Implied Vol Duration</v>
          </cell>
          <cell r="E6103" t="str">
            <v>Implied Vol</v>
          </cell>
          <cell r="F6103" t="str">
            <v>Rates Implied Volatility</v>
          </cell>
          <cell r="G6103" t="str">
            <v>Other</v>
          </cell>
          <cell r="H6103" t="str">
            <v>VOLATILITY</v>
          </cell>
          <cell r="I6103" t="str">
            <v>Rates Implied Volatility</v>
          </cell>
        </row>
        <row r="6104">
          <cell r="A6104" t="str">
            <v>EUR_normvol_2y_3y</v>
          </cell>
          <cell r="B6104" t="str">
            <v>EUR Vol 2x3</v>
          </cell>
          <cell r="C6104" t="str">
            <v>VOL:EUR_normvol_2y_3y</v>
          </cell>
          <cell r="D6104" t="str">
            <v>Implied Vol Duration</v>
          </cell>
          <cell r="E6104" t="str">
            <v>Implied Vol</v>
          </cell>
          <cell r="F6104" t="str">
            <v>Rates Implied Volatility</v>
          </cell>
          <cell r="G6104" t="str">
            <v>Other</v>
          </cell>
          <cell r="H6104" t="str">
            <v>VOLATILITY</v>
          </cell>
          <cell r="I6104" t="str">
            <v>Rates Implied Volatility</v>
          </cell>
        </row>
        <row r="6105">
          <cell r="A6105" t="str">
            <v>EUR_normvol_2y_5y</v>
          </cell>
          <cell r="B6105" t="str">
            <v>EUR Vol 2x5</v>
          </cell>
          <cell r="C6105" t="str">
            <v>VOL:EUR_normvol_2y_5y</v>
          </cell>
          <cell r="D6105" t="str">
            <v>Implied Vol Duration</v>
          </cell>
          <cell r="E6105" t="str">
            <v>Implied Vol</v>
          </cell>
          <cell r="F6105" t="str">
            <v>Rates Implied Volatility</v>
          </cell>
          <cell r="G6105" t="str">
            <v>Other</v>
          </cell>
          <cell r="H6105" t="str">
            <v>VOLATILITY</v>
          </cell>
          <cell r="I6105" t="str">
            <v>Rates Implied Volatility</v>
          </cell>
        </row>
        <row r="6106">
          <cell r="A6106" t="str">
            <v>EUR_normvol_2y_7y</v>
          </cell>
          <cell r="B6106" t="str">
            <v>EUR Vol 2x7</v>
          </cell>
          <cell r="C6106" t="str">
            <v>VOL:EUR_normvol_2y_7y</v>
          </cell>
          <cell r="D6106" t="str">
            <v>Implied Vol Duration</v>
          </cell>
          <cell r="E6106" t="str">
            <v>Implied Vol</v>
          </cell>
          <cell r="F6106" t="str">
            <v>Rates Implied Volatility</v>
          </cell>
          <cell r="G6106" t="str">
            <v>Other</v>
          </cell>
          <cell r="H6106" t="str">
            <v>VOLATILITY</v>
          </cell>
          <cell r="I6106" t="str">
            <v>Rates Implied Volatility</v>
          </cell>
        </row>
        <row r="6107">
          <cell r="A6107" t="str">
            <v>EUR_normvol_2y_10y</v>
          </cell>
          <cell r="B6107" t="str">
            <v>EUR Vol 2x10</v>
          </cell>
          <cell r="C6107" t="str">
            <v>VOL:EUR_normvol_2y_10y</v>
          </cell>
          <cell r="D6107" t="str">
            <v>Implied Vol Duration</v>
          </cell>
          <cell r="E6107" t="str">
            <v>Implied Vol</v>
          </cell>
          <cell r="F6107" t="str">
            <v>Rates Implied Volatility</v>
          </cell>
          <cell r="G6107" t="str">
            <v>Other</v>
          </cell>
          <cell r="H6107" t="str">
            <v>VOLATILITY</v>
          </cell>
          <cell r="I6107" t="str">
            <v>Rates Implied Volatility</v>
          </cell>
        </row>
        <row r="6108">
          <cell r="A6108" t="str">
            <v>EUR_normvol_2y_15y</v>
          </cell>
          <cell r="B6108" t="str">
            <v>EUR Vol 2x15</v>
          </cell>
          <cell r="C6108" t="str">
            <v>VOL:EUR_normvol_2y_15y</v>
          </cell>
          <cell r="D6108" t="str">
            <v>Implied Vol Duration</v>
          </cell>
          <cell r="E6108" t="str">
            <v>Implied Vol</v>
          </cell>
          <cell r="F6108" t="str">
            <v>Rates Implied Volatility</v>
          </cell>
          <cell r="G6108" t="str">
            <v>Other</v>
          </cell>
          <cell r="H6108" t="str">
            <v>VOLATILITY</v>
          </cell>
          <cell r="I6108" t="str">
            <v>Rates Implied Volatility</v>
          </cell>
        </row>
        <row r="6109">
          <cell r="A6109" t="str">
            <v>EUR_normvol_2y_20y</v>
          </cell>
          <cell r="B6109" t="str">
            <v>EUR Vol 2x20</v>
          </cell>
          <cell r="C6109" t="str">
            <v>VOL:EUR_normvol_2y_20y</v>
          </cell>
          <cell r="D6109" t="str">
            <v>Implied Vol Duration</v>
          </cell>
          <cell r="E6109" t="str">
            <v>Implied Vol</v>
          </cell>
          <cell r="F6109" t="str">
            <v>Rates Implied Volatility</v>
          </cell>
          <cell r="G6109" t="str">
            <v>Other</v>
          </cell>
          <cell r="H6109" t="str">
            <v>VOLATILITY</v>
          </cell>
          <cell r="I6109" t="str">
            <v>Rates Implied Volatility</v>
          </cell>
        </row>
        <row r="6110">
          <cell r="A6110" t="str">
            <v>EUR_normvol_3y_1y</v>
          </cell>
          <cell r="B6110" t="str">
            <v>EUR Vol 3x1</v>
          </cell>
          <cell r="C6110" t="str">
            <v>VOL:EUR_normvol_3y_1y</v>
          </cell>
          <cell r="D6110" t="str">
            <v>Implied Vol Duration</v>
          </cell>
          <cell r="E6110" t="str">
            <v>Implied Vol</v>
          </cell>
          <cell r="F6110" t="str">
            <v>Rates Implied Volatility</v>
          </cell>
          <cell r="G6110" t="str">
            <v>Other</v>
          </cell>
          <cell r="H6110" t="str">
            <v>VOLATILITY</v>
          </cell>
          <cell r="I6110" t="str">
            <v>Rates Implied Volatility</v>
          </cell>
        </row>
        <row r="6111">
          <cell r="A6111" t="str">
            <v>EUR_normvol_3y_2y</v>
          </cell>
          <cell r="B6111" t="str">
            <v>EUR Vol 3x2</v>
          </cell>
          <cell r="C6111" t="str">
            <v>VOL:EUR_normvol_3y_2y</v>
          </cell>
          <cell r="D6111" t="str">
            <v>Implied Vol Duration</v>
          </cell>
          <cell r="E6111" t="str">
            <v>Implied Vol</v>
          </cell>
          <cell r="F6111" t="str">
            <v>Rates Implied Volatility</v>
          </cell>
          <cell r="G6111" t="str">
            <v>Other</v>
          </cell>
          <cell r="H6111" t="str">
            <v>VOLATILITY</v>
          </cell>
          <cell r="I6111" t="str">
            <v>Rates Implied Volatility</v>
          </cell>
        </row>
        <row r="6112">
          <cell r="A6112" t="str">
            <v>EUR_normvol_3y_3y</v>
          </cell>
          <cell r="B6112" t="str">
            <v>EUR Vol 3x3</v>
          </cell>
          <cell r="C6112" t="str">
            <v>VOL:EUR_normvol_3y_3y</v>
          </cell>
          <cell r="D6112" t="str">
            <v>Implied Vol Duration</v>
          </cell>
          <cell r="E6112" t="str">
            <v>Implied Vol</v>
          </cell>
          <cell r="F6112" t="str">
            <v>Rates Implied Volatility</v>
          </cell>
          <cell r="G6112" t="str">
            <v>Other</v>
          </cell>
          <cell r="H6112" t="str">
            <v>VOLATILITY</v>
          </cell>
          <cell r="I6112" t="str">
            <v>Rates Implied Volatility</v>
          </cell>
        </row>
        <row r="6113">
          <cell r="A6113" t="str">
            <v>EUR_normvol_3y_5y</v>
          </cell>
          <cell r="B6113" t="str">
            <v>EUR Vol 3x5</v>
          </cell>
          <cell r="C6113" t="str">
            <v>VOL:EUR_normvol_3y_5y</v>
          </cell>
          <cell r="D6113" t="str">
            <v>Implied Vol Duration</v>
          </cell>
          <cell r="E6113" t="str">
            <v>Implied Vol</v>
          </cell>
          <cell r="F6113" t="str">
            <v>Rates Implied Volatility</v>
          </cell>
          <cell r="G6113" t="str">
            <v>Other</v>
          </cell>
          <cell r="H6113" t="str">
            <v>VOLATILITY</v>
          </cell>
          <cell r="I6113" t="str">
            <v>Rates Implied Volatility</v>
          </cell>
        </row>
        <row r="6114">
          <cell r="A6114" t="str">
            <v>EUR_normvol_3y_7y</v>
          </cell>
          <cell r="B6114" t="str">
            <v>EUR Vol 3x7</v>
          </cell>
          <cell r="C6114" t="str">
            <v>VOL:EUR_normvol_3y_7y</v>
          </cell>
          <cell r="D6114" t="str">
            <v>Implied Vol Duration</v>
          </cell>
          <cell r="E6114" t="str">
            <v>Implied Vol</v>
          </cell>
          <cell r="F6114" t="str">
            <v>Rates Implied Volatility</v>
          </cell>
          <cell r="G6114" t="str">
            <v>Other</v>
          </cell>
          <cell r="H6114" t="str">
            <v>VOLATILITY</v>
          </cell>
          <cell r="I6114" t="str">
            <v>Rates Implied Volatility</v>
          </cell>
        </row>
        <row r="6115">
          <cell r="A6115" t="str">
            <v>EUR_normvol_3y_10y</v>
          </cell>
          <cell r="B6115" t="str">
            <v>EUR Vol 3x10</v>
          </cell>
          <cell r="C6115" t="str">
            <v>VOL:EUR_normvol_3y_10y</v>
          </cell>
          <cell r="D6115" t="str">
            <v>Implied Vol Duration</v>
          </cell>
          <cell r="E6115" t="str">
            <v>Implied Vol</v>
          </cell>
          <cell r="F6115" t="str">
            <v>Rates Implied Volatility</v>
          </cell>
          <cell r="G6115" t="str">
            <v>Other</v>
          </cell>
          <cell r="H6115" t="str">
            <v>VOLATILITY</v>
          </cell>
          <cell r="I6115" t="str">
            <v>Rates Implied Volatility</v>
          </cell>
        </row>
        <row r="6116">
          <cell r="A6116" t="str">
            <v>EUR_normvol_3y_15y</v>
          </cell>
          <cell r="B6116" t="str">
            <v>EUR Vol 3x15</v>
          </cell>
          <cell r="C6116" t="str">
            <v>VOL:EUR_normvol_3y_15y</v>
          </cell>
          <cell r="D6116" t="str">
            <v>Implied Vol Duration</v>
          </cell>
          <cell r="E6116" t="str">
            <v>Implied Vol</v>
          </cell>
          <cell r="F6116" t="str">
            <v>Rates Implied Volatility</v>
          </cell>
          <cell r="G6116" t="str">
            <v>Other</v>
          </cell>
          <cell r="H6116" t="str">
            <v>VOLATILITY</v>
          </cell>
          <cell r="I6116" t="str">
            <v>Rates Implied Volatility</v>
          </cell>
        </row>
        <row r="6117">
          <cell r="A6117" t="str">
            <v>EUR_normvol_3y_20y</v>
          </cell>
          <cell r="B6117" t="str">
            <v>EUR Vol 3x20</v>
          </cell>
          <cell r="C6117" t="str">
            <v>VOL:EUR_normvol_3y_20y</v>
          </cell>
          <cell r="D6117" t="str">
            <v>Implied Vol Duration</v>
          </cell>
          <cell r="E6117" t="str">
            <v>Implied Vol</v>
          </cell>
          <cell r="F6117" t="str">
            <v>Rates Implied Volatility</v>
          </cell>
          <cell r="G6117" t="str">
            <v>Other</v>
          </cell>
          <cell r="H6117" t="str">
            <v>VOLATILITY</v>
          </cell>
          <cell r="I6117" t="str">
            <v>Rates Implied Volatility</v>
          </cell>
        </row>
        <row r="6118">
          <cell r="A6118" t="str">
            <v>EUR_normvol_5y_1y</v>
          </cell>
          <cell r="B6118" t="str">
            <v>EUR Vol 5x1</v>
          </cell>
          <cell r="C6118" t="str">
            <v>VOL:EUR_normvol_5y_1y</v>
          </cell>
          <cell r="D6118" t="str">
            <v>Implied Vol Duration</v>
          </cell>
          <cell r="E6118" t="str">
            <v>Implied Vol</v>
          </cell>
          <cell r="F6118" t="str">
            <v>Rates Implied Volatility</v>
          </cell>
          <cell r="G6118" t="str">
            <v>Other</v>
          </cell>
          <cell r="H6118" t="str">
            <v>VOLATILITY</v>
          </cell>
          <cell r="I6118" t="str">
            <v>Rates Implied Volatility</v>
          </cell>
        </row>
        <row r="6119">
          <cell r="A6119" t="str">
            <v>EUR_normvol_5y_2y</v>
          </cell>
          <cell r="B6119" t="str">
            <v>EUR Vol 5x2</v>
          </cell>
          <cell r="C6119" t="str">
            <v>VOL:EUR_normvol_5y_2y</v>
          </cell>
          <cell r="D6119" t="str">
            <v>Implied Vol Duration</v>
          </cell>
          <cell r="E6119" t="str">
            <v>Implied Vol</v>
          </cell>
          <cell r="F6119" t="str">
            <v>Rates Implied Volatility</v>
          </cell>
          <cell r="G6119" t="str">
            <v>Other</v>
          </cell>
          <cell r="H6119" t="str">
            <v>VOLATILITY</v>
          </cell>
          <cell r="I6119" t="str">
            <v>Rates Implied Volatility</v>
          </cell>
        </row>
        <row r="6120">
          <cell r="A6120" t="str">
            <v>EUR_normvol_5y_3y</v>
          </cell>
          <cell r="B6120" t="str">
            <v>EUR Vol 5x3</v>
          </cell>
          <cell r="C6120" t="str">
            <v>VOL:EUR_normvol_5y_3y</v>
          </cell>
          <cell r="D6120" t="str">
            <v>Implied Vol Duration</v>
          </cell>
          <cell r="E6120" t="str">
            <v>Implied Vol</v>
          </cell>
          <cell r="F6120" t="str">
            <v>Rates Implied Volatility</v>
          </cell>
          <cell r="G6120" t="str">
            <v>Other</v>
          </cell>
          <cell r="H6120" t="str">
            <v>VOLATILITY</v>
          </cell>
          <cell r="I6120" t="str">
            <v>Rates Implied Volatility</v>
          </cell>
        </row>
        <row r="6121">
          <cell r="A6121" t="str">
            <v>EUR_normvol_5y_5y</v>
          </cell>
          <cell r="B6121" t="str">
            <v>EUR Vol 5x5</v>
          </cell>
          <cell r="C6121" t="str">
            <v>VOL:EUR_normvol_5y_5y</v>
          </cell>
          <cell r="D6121" t="str">
            <v>Implied Vol Duration</v>
          </cell>
          <cell r="E6121" t="str">
            <v>Implied Vol</v>
          </cell>
          <cell r="F6121" t="str">
            <v>Rates Implied Volatility</v>
          </cell>
          <cell r="G6121" t="str">
            <v>Other</v>
          </cell>
          <cell r="H6121" t="str">
            <v>VOLATILITY</v>
          </cell>
          <cell r="I6121" t="str">
            <v>Rates Implied Volatility</v>
          </cell>
        </row>
        <row r="6122">
          <cell r="A6122" t="str">
            <v>EUR_normvol_5y_7y</v>
          </cell>
          <cell r="B6122" t="str">
            <v>EUR Vol 5x7</v>
          </cell>
          <cell r="C6122" t="str">
            <v>VOL:EUR_normvol_5y_7y</v>
          </cell>
          <cell r="D6122" t="str">
            <v>Implied Vol Duration</v>
          </cell>
          <cell r="E6122" t="str">
            <v>Implied Vol</v>
          </cell>
          <cell r="F6122" t="str">
            <v>Rates Implied Volatility</v>
          </cell>
          <cell r="G6122" t="str">
            <v>Other</v>
          </cell>
          <cell r="H6122" t="str">
            <v>VOLATILITY</v>
          </cell>
          <cell r="I6122" t="str">
            <v>Rates Implied Volatility</v>
          </cell>
        </row>
        <row r="6123">
          <cell r="A6123" t="str">
            <v>EUR_normvol_5y_10y</v>
          </cell>
          <cell r="B6123" t="str">
            <v>EUR Vol 5x10</v>
          </cell>
          <cell r="C6123" t="str">
            <v>VOL:EUR_normvol_5y_10y</v>
          </cell>
          <cell r="D6123" t="str">
            <v>Implied Vol Duration</v>
          </cell>
          <cell r="E6123" t="str">
            <v>Implied Vol</v>
          </cell>
          <cell r="F6123" t="str">
            <v>Rates Implied Volatility</v>
          </cell>
          <cell r="G6123" t="str">
            <v>Other</v>
          </cell>
          <cell r="H6123" t="str">
            <v>VOLATILITY</v>
          </cell>
          <cell r="I6123" t="str">
            <v>Rates Implied Volatility</v>
          </cell>
        </row>
        <row r="6124">
          <cell r="A6124" t="str">
            <v>EUR_normvol_5y_15y</v>
          </cell>
          <cell r="B6124" t="str">
            <v>EUR Vol 5x15</v>
          </cell>
          <cell r="C6124" t="str">
            <v>VOL:EUR_normvol_5y_15y</v>
          </cell>
          <cell r="D6124" t="str">
            <v>Implied Vol Duration</v>
          </cell>
          <cell r="E6124" t="str">
            <v>Implied Vol</v>
          </cell>
          <cell r="F6124" t="str">
            <v>Rates Implied Volatility</v>
          </cell>
          <cell r="G6124" t="str">
            <v>Other</v>
          </cell>
          <cell r="H6124" t="str">
            <v>VOLATILITY</v>
          </cell>
          <cell r="I6124" t="str">
            <v>Rates Implied Volatility</v>
          </cell>
        </row>
        <row r="6125">
          <cell r="A6125" t="str">
            <v>EUR_normvol_5y_20y</v>
          </cell>
          <cell r="B6125" t="str">
            <v>EUR Vol 5x20</v>
          </cell>
          <cell r="C6125" t="str">
            <v>VOL:EUR_normvol_5y_20y</v>
          </cell>
          <cell r="D6125" t="str">
            <v>Implied Vol Duration</v>
          </cell>
          <cell r="E6125" t="str">
            <v>Implied Vol</v>
          </cell>
          <cell r="F6125" t="str">
            <v>Rates Implied Volatility</v>
          </cell>
          <cell r="G6125" t="str">
            <v>Other</v>
          </cell>
          <cell r="H6125" t="str">
            <v>VOLATILITY</v>
          </cell>
          <cell r="I6125" t="str">
            <v>Rates Implied Volatility</v>
          </cell>
        </row>
        <row r="6126">
          <cell r="A6126" t="str">
            <v>GBP_normvol_1y_10y</v>
          </cell>
          <cell r="B6126" t="str">
            <v>GBP Vol 1x10</v>
          </cell>
          <cell r="C6126" t="str">
            <v>VOL:GBP_normvol_1y_10y</v>
          </cell>
          <cell r="D6126" t="str">
            <v>Implied Vol Duration</v>
          </cell>
          <cell r="E6126" t="str">
            <v>Implied Vol</v>
          </cell>
          <cell r="F6126" t="str">
            <v>Rates Implied Volatility</v>
          </cell>
          <cell r="G6126" t="str">
            <v>Other</v>
          </cell>
          <cell r="H6126" t="str">
            <v>VOLATILITY</v>
          </cell>
          <cell r="I6126" t="str">
            <v>Rates Implied Volatility</v>
          </cell>
        </row>
        <row r="6127">
          <cell r="A6127" t="str">
            <v>GBP_normvol_1y_15y</v>
          </cell>
          <cell r="B6127" t="str">
            <v>GBP Vol 1x15</v>
          </cell>
          <cell r="C6127" t="str">
            <v>VOL:GBP_normvol_1y_15y</v>
          </cell>
          <cell r="D6127" t="str">
            <v>Implied Vol Duration</v>
          </cell>
          <cell r="E6127" t="str">
            <v>Implied Vol</v>
          </cell>
          <cell r="F6127" t="str">
            <v>Rates Implied Volatility</v>
          </cell>
          <cell r="G6127" t="str">
            <v>Other</v>
          </cell>
          <cell r="H6127" t="str">
            <v>VOLATILITY</v>
          </cell>
          <cell r="I6127" t="str">
            <v>Rates Implied Volatility</v>
          </cell>
        </row>
        <row r="6128">
          <cell r="A6128" t="str">
            <v>GBP_normvol_1y_1y</v>
          </cell>
          <cell r="B6128" t="str">
            <v>GBP Vol 1x1</v>
          </cell>
          <cell r="C6128" t="str">
            <v>VOL:GBP_normvol_1y_1y</v>
          </cell>
          <cell r="D6128" t="str">
            <v>Implied Vol Duration</v>
          </cell>
          <cell r="E6128" t="str">
            <v>Implied Vol</v>
          </cell>
          <cell r="F6128" t="str">
            <v>Rates Implied Volatility</v>
          </cell>
          <cell r="G6128" t="str">
            <v>Other</v>
          </cell>
          <cell r="H6128" t="str">
            <v>VOLATILITY</v>
          </cell>
          <cell r="I6128" t="str">
            <v>Rates Implied Volatility</v>
          </cell>
        </row>
        <row r="6129">
          <cell r="A6129" t="str">
            <v>GBP_normvol_1y_20y</v>
          </cell>
          <cell r="B6129" t="str">
            <v>GBP Vol 1x20</v>
          </cell>
          <cell r="C6129" t="str">
            <v>VOL:GBP_normvol_1y_20y</v>
          </cell>
          <cell r="D6129" t="str">
            <v>Implied Vol Duration</v>
          </cell>
          <cell r="E6129" t="str">
            <v>Implied Vol</v>
          </cell>
          <cell r="F6129" t="str">
            <v>Rates Implied Volatility</v>
          </cell>
          <cell r="G6129" t="str">
            <v>Other</v>
          </cell>
          <cell r="H6129" t="str">
            <v>VOLATILITY</v>
          </cell>
          <cell r="I6129" t="str">
            <v>Rates Implied Volatility</v>
          </cell>
        </row>
        <row r="6130">
          <cell r="A6130" t="str">
            <v>GBP_normvol_1y_2y</v>
          </cell>
          <cell r="B6130" t="str">
            <v>GBP Vol 1x2</v>
          </cell>
          <cell r="C6130" t="str">
            <v>VOL:GBP_normvol_1y_2y</v>
          </cell>
          <cell r="D6130" t="str">
            <v>Implied Vol Duration</v>
          </cell>
          <cell r="E6130" t="str">
            <v>Implied Vol</v>
          </cell>
          <cell r="F6130" t="str">
            <v>Rates Implied Volatility</v>
          </cell>
          <cell r="G6130" t="str">
            <v>Other</v>
          </cell>
          <cell r="H6130" t="str">
            <v>VOLATILITY</v>
          </cell>
          <cell r="I6130" t="str">
            <v>Rates Implied Volatility</v>
          </cell>
        </row>
        <row r="6131">
          <cell r="A6131" t="str">
            <v>GBP_normvol_1y_3y</v>
          </cell>
          <cell r="B6131" t="str">
            <v>GBP Vol 1x3</v>
          </cell>
          <cell r="C6131" t="str">
            <v>VOL:GBP_normvol_1y_3y</v>
          </cell>
          <cell r="D6131" t="str">
            <v>Implied Vol Duration</v>
          </cell>
          <cell r="E6131" t="str">
            <v>Implied Vol</v>
          </cell>
          <cell r="F6131" t="str">
            <v>Rates Implied Volatility</v>
          </cell>
          <cell r="G6131" t="str">
            <v>Other</v>
          </cell>
          <cell r="H6131" t="str">
            <v>VOLATILITY</v>
          </cell>
          <cell r="I6131" t="str">
            <v>Rates Implied Volatility</v>
          </cell>
        </row>
        <row r="6132">
          <cell r="A6132" t="str">
            <v>GBP_normvol_1y_5y</v>
          </cell>
          <cell r="B6132" t="str">
            <v>GBP Vol 1x5</v>
          </cell>
          <cell r="C6132" t="str">
            <v>VOL:GBP_normvol_1y_5y</v>
          </cell>
          <cell r="D6132" t="str">
            <v>Implied Vol Duration</v>
          </cell>
          <cell r="E6132" t="str">
            <v>Implied Vol</v>
          </cell>
          <cell r="F6132" t="str">
            <v>Rates Implied Volatility</v>
          </cell>
          <cell r="G6132" t="str">
            <v>Other</v>
          </cell>
          <cell r="H6132" t="str">
            <v>VOLATILITY</v>
          </cell>
          <cell r="I6132" t="str">
            <v>Rates Implied Volatility</v>
          </cell>
        </row>
        <row r="6133">
          <cell r="A6133" t="str">
            <v>GBP_normvol_1y_7y</v>
          </cell>
          <cell r="B6133" t="str">
            <v>GBP Vol 1x7</v>
          </cell>
          <cell r="C6133" t="str">
            <v>VOL:GBP_normvol_1y_7y</v>
          </cell>
          <cell r="D6133" t="str">
            <v>Implied Vol Duration</v>
          </cell>
          <cell r="E6133" t="str">
            <v>Implied Vol</v>
          </cell>
          <cell r="F6133" t="str">
            <v>Rates Implied Volatility</v>
          </cell>
          <cell r="G6133" t="str">
            <v>Other</v>
          </cell>
          <cell r="H6133" t="str">
            <v>VOLATILITY</v>
          </cell>
          <cell r="I6133" t="str">
            <v>Rates Implied Volatility</v>
          </cell>
        </row>
        <row r="6134">
          <cell r="A6134" t="str">
            <v>GBP_normvol_2y_10y</v>
          </cell>
          <cell r="B6134" t="str">
            <v>GBP Vol 2x10</v>
          </cell>
          <cell r="C6134" t="str">
            <v>VOL:GBP_normvol_2y_10y</v>
          </cell>
          <cell r="D6134" t="str">
            <v>Implied Vol Duration</v>
          </cell>
          <cell r="E6134" t="str">
            <v>Implied Vol</v>
          </cell>
          <cell r="F6134" t="str">
            <v>Rates Implied Volatility</v>
          </cell>
          <cell r="G6134" t="str">
            <v>Other</v>
          </cell>
          <cell r="H6134" t="str">
            <v>VOLATILITY</v>
          </cell>
          <cell r="I6134" t="str">
            <v>Rates Implied Volatility</v>
          </cell>
        </row>
        <row r="6135">
          <cell r="A6135" t="str">
            <v>GBP_normvol_2y_15y</v>
          </cell>
          <cell r="B6135" t="str">
            <v>GBP Vol 2x15</v>
          </cell>
          <cell r="C6135" t="str">
            <v>VOL:GBP_normvol_2y_15y</v>
          </cell>
          <cell r="D6135" t="str">
            <v>Implied Vol Duration</v>
          </cell>
          <cell r="E6135" t="str">
            <v>Implied Vol</v>
          </cell>
          <cell r="F6135" t="str">
            <v>Rates Implied Volatility</v>
          </cell>
          <cell r="G6135" t="str">
            <v>Other</v>
          </cell>
          <cell r="H6135" t="str">
            <v>VOLATILITY</v>
          </cell>
          <cell r="I6135" t="str">
            <v>Rates Implied Volatility</v>
          </cell>
        </row>
        <row r="6136">
          <cell r="A6136" t="str">
            <v>GBP_normvol_2y_1y</v>
          </cell>
          <cell r="B6136" t="str">
            <v>GBP Vol 2x1</v>
          </cell>
          <cell r="C6136" t="str">
            <v>VOL:GBP_normvol_2y_1y</v>
          </cell>
          <cell r="D6136" t="str">
            <v>Implied Vol Duration</v>
          </cell>
          <cell r="E6136" t="str">
            <v>Implied Vol</v>
          </cell>
          <cell r="F6136" t="str">
            <v>Rates Implied Volatility</v>
          </cell>
          <cell r="G6136" t="str">
            <v>Other</v>
          </cell>
          <cell r="H6136" t="str">
            <v>VOLATILITY</v>
          </cell>
          <cell r="I6136" t="str">
            <v>Rates Implied Volatility</v>
          </cell>
        </row>
        <row r="6137">
          <cell r="A6137" t="str">
            <v>GBP_normvol_2y_20y</v>
          </cell>
          <cell r="B6137" t="str">
            <v>GBP Vol 2x20</v>
          </cell>
          <cell r="C6137" t="str">
            <v>VOL:GBP_normvol_2y_20y</v>
          </cell>
          <cell r="D6137" t="str">
            <v>Implied Vol Duration</v>
          </cell>
          <cell r="E6137" t="str">
            <v>Implied Vol</v>
          </cell>
          <cell r="F6137" t="str">
            <v>Rates Implied Volatility</v>
          </cell>
          <cell r="G6137" t="str">
            <v>Other</v>
          </cell>
          <cell r="H6137" t="str">
            <v>VOLATILITY</v>
          </cell>
          <cell r="I6137" t="str">
            <v>Rates Implied Volatility</v>
          </cell>
        </row>
        <row r="6138">
          <cell r="A6138" t="str">
            <v>GBP_normvol_2y_2y</v>
          </cell>
          <cell r="B6138" t="str">
            <v>GBP Vol 2x2</v>
          </cell>
          <cell r="C6138" t="str">
            <v>VOL:GBP_normvol_2y_2y</v>
          </cell>
          <cell r="D6138" t="str">
            <v>Implied Vol Duration</v>
          </cell>
          <cell r="E6138" t="str">
            <v>Implied Vol</v>
          </cell>
          <cell r="F6138" t="str">
            <v>Rates Implied Volatility</v>
          </cell>
          <cell r="G6138" t="str">
            <v>Other</v>
          </cell>
          <cell r="H6138" t="str">
            <v>VOLATILITY</v>
          </cell>
          <cell r="I6138" t="str">
            <v>Rates Implied Volatility</v>
          </cell>
        </row>
        <row r="6139">
          <cell r="A6139" t="str">
            <v>GBP_normvol_2y_3y</v>
          </cell>
          <cell r="B6139" t="str">
            <v>GBP Vol 2x3</v>
          </cell>
          <cell r="C6139" t="str">
            <v>VOL:GBP_normvol_2y_3y</v>
          </cell>
          <cell r="D6139" t="str">
            <v>Implied Vol Duration</v>
          </cell>
          <cell r="E6139" t="str">
            <v>Implied Vol</v>
          </cell>
          <cell r="F6139" t="str">
            <v>Rates Implied Volatility</v>
          </cell>
          <cell r="G6139" t="str">
            <v>Other</v>
          </cell>
          <cell r="H6139" t="str">
            <v>VOLATILITY</v>
          </cell>
          <cell r="I6139" t="str">
            <v>Rates Implied Volatility</v>
          </cell>
        </row>
        <row r="6140">
          <cell r="A6140" t="str">
            <v>GBP_normvol_2y_5y</v>
          </cell>
          <cell r="B6140" t="str">
            <v>GBP Vol 2x5</v>
          </cell>
          <cell r="C6140" t="str">
            <v>VOL:GBP_normvol_2y_5y</v>
          </cell>
          <cell r="D6140" t="str">
            <v>Implied Vol Duration</v>
          </cell>
          <cell r="E6140" t="str">
            <v>Implied Vol</v>
          </cell>
          <cell r="F6140" t="str">
            <v>Rates Implied Volatility</v>
          </cell>
          <cell r="G6140" t="str">
            <v>Other</v>
          </cell>
          <cell r="H6140" t="str">
            <v>VOLATILITY</v>
          </cell>
          <cell r="I6140" t="str">
            <v>Rates Implied Volatility</v>
          </cell>
        </row>
        <row r="6141">
          <cell r="A6141" t="str">
            <v>GBP_normvol_2y_7y</v>
          </cell>
          <cell r="B6141" t="str">
            <v>GBP Vol 2x7</v>
          </cell>
          <cell r="C6141" t="str">
            <v>VOL:GBP_normvol_2y_7y</v>
          </cell>
          <cell r="D6141" t="str">
            <v>Implied Vol Duration</v>
          </cell>
          <cell r="E6141" t="str">
            <v>Implied Vol</v>
          </cell>
          <cell r="F6141" t="str">
            <v>Rates Implied Volatility</v>
          </cell>
          <cell r="G6141" t="str">
            <v>Other</v>
          </cell>
          <cell r="H6141" t="str">
            <v>VOLATILITY</v>
          </cell>
          <cell r="I6141" t="str">
            <v>Rates Implied Volatility</v>
          </cell>
        </row>
        <row r="6142">
          <cell r="A6142" t="str">
            <v>GBP_normvol_3m_10y</v>
          </cell>
          <cell r="B6142" t="str">
            <v>GBP Vol 3Mx10</v>
          </cell>
          <cell r="C6142" t="str">
            <v>VOL:GBP_normvol_3m_10y</v>
          </cell>
          <cell r="D6142" t="str">
            <v>Implied Vol Duration</v>
          </cell>
          <cell r="E6142" t="str">
            <v>Implied Vol</v>
          </cell>
          <cell r="F6142" t="str">
            <v>Rates Implied Volatility</v>
          </cell>
          <cell r="G6142" t="str">
            <v>Other</v>
          </cell>
          <cell r="H6142" t="str">
            <v>VOLATILITY</v>
          </cell>
          <cell r="I6142" t="str">
            <v>Rates Implied Volatility</v>
          </cell>
        </row>
        <row r="6143">
          <cell r="A6143" t="str">
            <v>GBP_normvol_3m_15y</v>
          </cell>
          <cell r="B6143" t="str">
            <v>GBP Vol 3Mx15</v>
          </cell>
          <cell r="C6143" t="str">
            <v>VOL:GBP_normvol_3m_15y</v>
          </cell>
          <cell r="D6143" t="str">
            <v>Implied Vol Duration</v>
          </cell>
          <cell r="E6143" t="str">
            <v>Implied Vol</v>
          </cell>
          <cell r="F6143" t="str">
            <v>Rates Implied Volatility</v>
          </cell>
          <cell r="G6143" t="str">
            <v>Other</v>
          </cell>
          <cell r="H6143" t="str">
            <v>VOLATILITY</v>
          </cell>
          <cell r="I6143" t="str">
            <v>Rates Implied Volatility</v>
          </cell>
        </row>
        <row r="6144">
          <cell r="A6144" t="str">
            <v>GBP_normvol_3m_1y</v>
          </cell>
          <cell r="B6144" t="str">
            <v>GBP Vol 3Mx1</v>
          </cell>
          <cell r="C6144" t="str">
            <v>VOL:GBP_normvol_3m_1y</v>
          </cell>
          <cell r="D6144" t="str">
            <v>Implied Vol Duration</v>
          </cell>
          <cell r="E6144" t="str">
            <v>Implied Vol</v>
          </cell>
          <cell r="F6144" t="str">
            <v>Rates Implied Volatility</v>
          </cell>
          <cell r="G6144" t="str">
            <v>Other</v>
          </cell>
          <cell r="H6144" t="str">
            <v>VOLATILITY</v>
          </cell>
          <cell r="I6144" t="str">
            <v>Rates Implied Volatility</v>
          </cell>
        </row>
        <row r="6145">
          <cell r="A6145" t="str">
            <v>GBP_normvol_3m_2y</v>
          </cell>
          <cell r="B6145" t="str">
            <v>GBP Vol 3Mx2</v>
          </cell>
          <cell r="C6145" t="str">
            <v>VOL:GBP_normvol_3m_2y</v>
          </cell>
          <cell r="D6145" t="str">
            <v>Implied Vol Duration</v>
          </cell>
          <cell r="E6145" t="str">
            <v>Implied Vol</v>
          </cell>
          <cell r="F6145" t="str">
            <v>Rates Implied Volatility</v>
          </cell>
          <cell r="G6145" t="str">
            <v>Other</v>
          </cell>
          <cell r="H6145" t="str">
            <v>VOLATILITY</v>
          </cell>
          <cell r="I6145" t="str">
            <v>Rates Implied Volatility</v>
          </cell>
        </row>
        <row r="6146">
          <cell r="A6146" t="str">
            <v>GBP_normvol_3m_3y</v>
          </cell>
          <cell r="B6146" t="str">
            <v>GBP Vol 3Mx3</v>
          </cell>
          <cell r="C6146" t="str">
            <v>VOL:GBP_normvol_3m_3y</v>
          </cell>
          <cell r="D6146" t="str">
            <v>Implied Vol Duration</v>
          </cell>
          <cell r="E6146" t="str">
            <v>Implied Vol</v>
          </cell>
          <cell r="F6146" t="str">
            <v>Rates Implied Volatility</v>
          </cell>
          <cell r="G6146" t="str">
            <v>Other</v>
          </cell>
          <cell r="H6146" t="str">
            <v>VOLATILITY</v>
          </cell>
          <cell r="I6146" t="str">
            <v>Rates Implied Volatility</v>
          </cell>
        </row>
        <row r="6147">
          <cell r="A6147" t="str">
            <v>GBP_normvol_3m_5y</v>
          </cell>
          <cell r="B6147" t="str">
            <v>GBP Vol 3Mx5</v>
          </cell>
          <cell r="C6147" t="str">
            <v>VOL:GBP_normvol_3m_5y</v>
          </cell>
          <cell r="D6147" t="str">
            <v>Implied Vol Duration</v>
          </cell>
          <cell r="E6147" t="str">
            <v>Implied Vol</v>
          </cell>
          <cell r="F6147" t="str">
            <v>Rates Implied Volatility</v>
          </cell>
          <cell r="G6147" t="str">
            <v>Other</v>
          </cell>
          <cell r="H6147" t="str">
            <v>VOLATILITY</v>
          </cell>
          <cell r="I6147" t="str">
            <v>Rates Implied Volatility</v>
          </cell>
        </row>
        <row r="6148">
          <cell r="A6148" t="str">
            <v>GBP_normvol_3m_7y</v>
          </cell>
          <cell r="B6148" t="str">
            <v>GBP Vol 3Mx7</v>
          </cell>
          <cell r="C6148" t="str">
            <v>VOL:GBP_normvol_3m_7y</v>
          </cell>
          <cell r="D6148" t="str">
            <v>Implied Vol Duration</v>
          </cell>
          <cell r="E6148" t="str">
            <v>Implied Vol</v>
          </cell>
          <cell r="F6148" t="str">
            <v>Rates Implied Volatility</v>
          </cell>
          <cell r="G6148" t="str">
            <v>Other</v>
          </cell>
          <cell r="H6148" t="str">
            <v>VOLATILITY</v>
          </cell>
          <cell r="I6148" t="str">
            <v>Rates Implied Volatility</v>
          </cell>
        </row>
        <row r="6149">
          <cell r="A6149" t="str">
            <v>GBP_normvol_3y_10y</v>
          </cell>
          <cell r="B6149" t="str">
            <v>GBP Vol 3x10</v>
          </cell>
          <cell r="C6149" t="str">
            <v>VOL:GBP_normvol_3y_10y</v>
          </cell>
          <cell r="D6149" t="str">
            <v>Implied Vol Duration</v>
          </cell>
          <cell r="E6149" t="str">
            <v>Implied Vol</v>
          </cell>
          <cell r="F6149" t="str">
            <v>Rates Implied Volatility</v>
          </cell>
          <cell r="G6149" t="str">
            <v>Other</v>
          </cell>
          <cell r="H6149" t="str">
            <v>VOLATILITY</v>
          </cell>
          <cell r="I6149" t="str">
            <v>Rates Implied Volatility</v>
          </cell>
        </row>
        <row r="6150">
          <cell r="A6150" t="str">
            <v>GBP_normvol_3y_15y</v>
          </cell>
          <cell r="B6150" t="str">
            <v>GBP Vol 3x15</v>
          </cell>
          <cell r="C6150" t="str">
            <v>VOL:GBP_normvol_3y_15y</v>
          </cell>
          <cell r="D6150" t="str">
            <v>Implied Vol Duration</v>
          </cell>
          <cell r="E6150" t="str">
            <v>Implied Vol</v>
          </cell>
          <cell r="F6150" t="str">
            <v>Rates Implied Volatility</v>
          </cell>
          <cell r="G6150" t="str">
            <v>Other</v>
          </cell>
          <cell r="H6150" t="str">
            <v>VOLATILITY</v>
          </cell>
          <cell r="I6150" t="str">
            <v>Rates Implied Volatility</v>
          </cell>
        </row>
        <row r="6151">
          <cell r="A6151" t="str">
            <v>GBP_normvol_3y_1y</v>
          </cell>
          <cell r="B6151" t="str">
            <v>GBP Vol 3x1</v>
          </cell>
          <cell r="C6151" t="str">
            <v>VOL:GBP_normvol_3y_1y</v>
          </cell>
          <cell r="D6151" t="str">
            <v>Implied Vol Duration</v>
          </cell>
          <cell r="E6151" t="str">
            <v>Implied Vol</v>
          </cell>
          <cell r="F6151" t="str">
            <v>Rates Implied Volatility</v>
          </cell>
          <cell r="G6151" t="str">
            <v>Other</v>
          </cell>
          <cell r="H6151" t="str">
            <v>VOLATILITY</v>
          </cell>
          <cell r="I6151" t="str">
            <v>Rates Implied Volatility</v>
          </cell>
        </row>
        <row r="6152">
          <cell r="A6152" t="str">
            <v>GBP_normvol_3y_20y</v>
          </cell>
          <cell r="B6152" t="str">
            <v>GBP Vol 3x20</v>
          </cell>
          <cell r="C6152" t="str">
            <v>VOL:GBP_normvol_3y_20y</v>
          </cell>
          <cell r="D6152" t="str">
            <v>Implied Vol Duration</v>
          </cell>
          <cell r="E6152" t="str">
            <v>Implied Vol</v>
          </cell>
          <cell r="F6152" t="str">
            <v>Rates Implied Volatility</v>
          </cell>
          <cell r="G6152" t="str">
            <v>Other</v>
          </cell>
          <cell r="H6152" t="str">
            <v>VOLATILITY</v>
          </cell>
          <cell r="I6152" t="str">
            <v>Rates Implied Volatility</v>
          </cell>
        </row>
        <row r="6153">
          <cell r="A6153" t="str">
            <v>GBP_normvol_3y_2y</v>
          </cell>
          <cell r="B6153" t="str">
            <v>GBP Vol 3x2</v>
          </cell>
          <cell r="C6153" t="str">
            <v>VOL:GBP_normvol_3y_2y</v>
          </cell>
          <cell r="D6153" t="str">
            <v>Implied Vol Duration</v>
          </cell>
          <cell r="E6153" t="str">
            <v>Implied Vol</v>
          </cell>
          <cell r="F6153" t="str">
            <v>Rates Implied Volatility</v>
          </cell>
          <cell r="G6153" t="str">
            <v>Other</v>
          </cell>
          <cell r="H6153" t="str">
            <v>VOLATILITY</v>
          </cell>
          <cell r="I6153" t="str">
            <v>Rates Implied Volatility</v>
          </cell>
        </row>
        <row r="6154">
          <cell r="A6154" t="str">
            <v>GBP_normvol_3y_3y</v>
          </cell>
          <cell r="B6154" t="str">
            <v>GBP Vol 3x3</v>
          </cell>
          <cell r="C6154" t="str">
            <v>VOL:GBP_normvol_3y_3y</v>
          </cell>
          <cell r="D6154" t="str">
            <v>Implied Vol Duration</v>
          </cell>
          <cell r="E6154" t="str">
            <v>Implied Vol</v>
          </cell>
          <cell r="F6154" t="str">
            <v>Rates Implied Volatility</v>
          </cell>
          <cell r="G6154" t="str">
            <v>Other</v>
          </cell>
          <cell r="H6154" t="str">
            <v>VOLATILITY</v>
          </cell>
          <cell r="I6154" t="str">
            <v>Rates Implied Volatility</v>
          </cell>
        </row>
        <row r="6155">
          <cell r="A6155" t="str">
            <v>GBP_normvol_3y_5y</v>
          </cell>
          <cell r="B6155" t="str">
            <v>GBP Vol 3x5</v>
          </cell>
          <cell r="C6155" t="str">
            <v>VOL:GBP_normvol_3y_5y</v>
          </cell>
          <cell r="D6155" t="str">
            <v>Implied Vol Duration</v>
          </cell>
          <cell r="E6155" t="str">
            <v>Implied Vol</v>
          </cell>
          <cell r="F6155" t="str">
            <v>Rates Implied Volatility</v>
          </cell>
          <cell r="G6155" t="str">
            <v>Other</v>
          </cell>
          <cell r="H6155" t="str">
            <v>VOLATILITY</v>
          </cell>
          <cell r="I6155" t="str">
            <v>Rates Implied Volatility</v>
          </cell>
        </row>
        <row r="6156">
          <cell r="A6156" t="str">
            <v>GBP_normvol_3y_7y</v>
          </cell>
          <cell r="B6156" t="str">
            <v>GBP Vol 3x7</v>
          </cell>
          <cell r="C6156" t="str">
            <v>VOL:GBP_normvol_3y_7y</v>
          </cell>
          <cell r="D6156" t="str">
            <v>Implied Vol Duration</v>
          </cell>
          <cell r="E6156" t="str">
            <v>Implied Vol</v>
          </cell>
          <cell r="F6156" t="str">
            <v>Rates Implied Volatility</v>
          </cell>
          <cell r="G6156" t="str">
            <v>Other</v>
          </cell>
          <cell r="H6156" t="str">
            <v>VOLATILITY</v>
          </cell>
          <cell r="I6156" t="str">
            <v>Rates Implied Volatility</v>
          </cell>
        </row>
        <row r="6157">
          <cell r="A6157" t="str">
            <v>GBP_normvol_5y_10y</v>
          </cell>
          <cell r="B6157" t="str">
            <v>GBP Vol 5x10</v>
          </cell>
          <cell r="C6157" t="str">
            <v>VOL:GBP_normvol_5y_10y</v>
          </cell>
          <cell r="D6157" t="str">
            <v>Implied Vol Duration</v>
          </cell>
          <cell r="E6157" t="str">
            <v>Implied Vol</v>
          </cell>
          <cell r="F6157" t="str">
            <v>Rates Implied Volatility</v>
          </cell>
          <cell r="G6157" t="str">
            <v>Other</v>
          </cell>
          <cell r="H6157" t="str">
            <v>VOLATILITY</v>
          </cell>
          <cell r="I6157" t="str">
            <v>Rates Implied Volatility</v>
          </cell>
        </row>
        <row r="6158">
          <cell r="A6158" t="str">
            <v>GBP_normvol_5y_15y</v>
          </cell>
          <cell r="B6158" t="str">
            <v>GBP Vol 5x15</v>
          </cell>
          <cell r="C6158" t="str">
            <v>VOL:GBP_normvol_5y_15y</v>
          </cell>
          <cell r="D6158" t="str">
            <v>Implied Vol Duration</v>
          </cell>
          <cell r="E6158" t="str">
            <v>Implied Vol</v>
          </cell>
          <cell r="F6158" t="str">
            <v>Rates Implied Volatility</v>
          </cell>
          <cell r="G6158" t="str">
            <v>Other</v>
          </cell>
          <cell r="H6158" t="str">
            <v>VOLATILITY</v>
          </cell>
          <cell r="I6158" t="str">
            <v>Rates Implied Volatility</v>
          </cell>
        </row>
        <row r="6159">
          <cell r="A6159" t="str">
            <v>GBP_normvol_5y_1y</v>
          </cell>
          <cell r="B6159" t="str">
            <v>GBP Vol 5x1</v>
          </cell>
          <cell r="C6159" t="str">
            <v>VOL:GBP_normvol_5y_1y</v>
          </cell>
          <cell r="D6159" t="str">
            <v>Implied Vol Duration</v>
          </cell>
          <cell r="E6159" t="str">
            <v>Implied Vol</v>
          </cell>
          <cell r="F6159" t="str">
            <v>Rates Implied Volatility</v>
          </cell>
          <cell r="G6159" t="str">
            <v>Other</v>
          </cell>
          <cell r="H6159" t="str">
            <v>VOLATILITY</v>
          </cell>
          <cell r="I6159" t="str">
            <v>Rates Implied Volatility</v>
          </cell>
        </row>
        <row r="6160">
          <cell r="A6160" t="str">
            <v>GBP_normvol_5y_20y</v>
          </cell>
          <cell r="B6160" t="str">
            <v>GBP Vol 5x20</v>
          </cell>
          <cell r="C6160" t="str">
            <v>VOL:GBP_normvol_5y_20y</v>
          </cell>
          <cell r="D6160" t="str">
            <v>Implied Vol Duration</v>
          </cell>
          <cell r="E6160" t="str">
            <v>Implied Vol</v>
          </cell>
          <cell r="F6160" t="str">
            <v>Rates Implied Volatility</v>
          </cell>
          <cell r="G6160" t="str">
            <v>Other</v>
          </cell>
          <cell r="H6160" t="str">
            <v>VOLATILITY</v>
          </cell>
          <cell r="I6160" t="str">
            <v>Rates Implied Volatility</v>
          </cell>
        </row>
        <row r="6161">
          <cell r="A6161" t="str">
            <v>GBP_normvol_5y_2y</v>
          </cell>
          <cell r="B6161" t="str">
            <v>GBP Vol 5x2</v>
          </cell>
          <cell r="C6161" t="str">
            <v>VOL:GBP_normvol_5y_2y</v>
          </cell>
          <cell r="D6161" t="str">
            <v>Implied Vol Duration</v>
          </cell>
          <cell r="E6161" t="str">
            <v>Implied Vol</v>
          </cell>
          <cell r="F6161" t="str">
            <v>Rates Implied Volatility</v>
          </cell>
          <cell r="G6161" t="str">
            <v>Other</v>
          </cell>
          <cell r="H6161" t="str">
            <v>VOLATILITY</v>
          </cell>
          <cell r="I6161" t="str">
            <v>Rates Implied Volatility</v>
          </cell>
        </row>
        <row r="6162">
          <cell r="A6162" t="str">
            <v>GBP_normvol_5y_3y</v>
          </cell>
          <cell r="B6162" t="str">
            <v>GBP Vol 5x3</v>
          </cell>
          <cell r="C6162" t="str">
            <v>VOL:GBP_normvol_5y_3y</v>
          </cell>
          <cell r="D6162" t="str">
            <v>Implied Vol Duration</v>
          </cell>
          <cell r="E6162" t="str">
            <v>Implied Vol</v>
          </cell>
          <cell r="F6162" t="str">
            <v>Rates Implied Volatility</v>
          </cell>
          <cell r="G6162" t="str">
            <v>Other</v>
          </cell>
          <cell r="H6162" t="str">
            <v>VOLATILITY</v>
          </cell>
          <cell r="I6162" t="str">
            <v>Rates Implied Volatility</v>
          </cell>
        </row>
        <row r="6163">
          <cell r="A6163" t="str">
            <v>GBP_normvol_5y_5y</v>
          </cell>
          <cell r="B6163" t="str">
            <v>GBP Vol 5x5</v>
          </cell>
          <cell r="C6163" t="str">
            <v>VOL:GBP_normvol_5y_5y</v>
          </cell>
          <cell r="D6163" t="str">
            <v>Implied Vol Duration</v>
          </cell>
          <cell r="E6163" t="str">
            <v>Implied Vol</v>
          </cell>
          <cell r="F6163" t="str">
            <v>Rates Implied Volatility</v>
          </cell>
          <cell r="G6163" t="str">
            <v>Other</v>
          </cell>
          <cell r="H6163" t="str">
            <v>VOLATILITY</v>
          </cell>
          <cell r="I6163" t="str">
            <v>Rates Implied Volatility</v>
          </cell>
        </row>
        <row r="6164">
          <cell r="A6164" t="str">
            <v>GBP_normvol_5y_7y</v>
          </cell>
          <cell r="B6164" t="str">
            <v>GBP Vol 5x7</v>
          </cell>
          <cell r="C6164" t="str">
            <v>VOL:GBP_normvol_5y_7y</v>
          </cell>
          <cell r="D6164" t="str">
            <v>Implied Vol Duration</v>
          </cell>
          <cell r="E6164" t="str">
            <v>Implied Vol</v>
          </cell>
          <cell r="F6164" t="str">
            <v>Rates Implied Volatility</v>
          </cell>
          <cell r="G6164" t="str">
            <v>Other</v>
          </cell>
          <cell r="H6164" t="str">
            <v>VOLATILITY</v>
          </cell>
          <cell r="I6164" t="str">
            <v>Rates Implied Volatility</v>
          </cell>
        </row>
        <row r="6165">
          <cell r="A6165" t="str">
            <v>GBP_normvol_6m_10y</v>
          </cell>
          <cell r="B6165" t="str">
            <v>GBP Vol 6Mx10</v>
          </cell>
          <cell r="C6165" t="str">
            <v>VOL:GBP_normvol_6m_10y</v>
          </cell>
          <cell r="D6165" t="str">
            <v>Implied Vol Duration</v>
          </cell>
          <cell r="E6165" t="str">
            <v>Implied Vol</v>
          </cell>
          <cell r="F6165" t="str">
            <v>Rates Implied Volatility</v>
          </cell>
          <cell r="G6165" t="str">
            <v>Other</v>
          </cell>
          <cell r="H6165" t="str">
            <v>VOLATILITY</v>
          </cell>
          <cell r="I6165" t="str">
            <v>Rates Implied Volatility</v>
          </cell>
        </row>
        <row r="6166">
          <cell r="A6166" t="str">
            <v>GBP_normvol_6m_15y</v>
          </cell>
          <cell r="B6166" t="str">
            <v>GBP Vol 6Mx15</v>
          </cell>
          <cell r="C6166" t="str">
            <v>VOL:GBP_normvol_6m_15y</v>
          </cell>
          <cell r="D6166" t="str">
            <v>Implied Vol Duration</v>
          </cell>
          <cell r="E6166" t="str">
            <v>Implied Vol</v>
          </cell>
          <cell r="F6166" t="str">
            <v>Rates Implied Volatility</v>
          </cell>
          <cell r="G6166" t="str">
            <v>Other</v>
          </cell>
          <cell r="H6166" t="str">
            <v>VOLATILITY</v>
          </cell>
          <cell r="I6166" t="str">
            <v>Rates Implied Volatility</v>
          </cell>
        </row>
        <row r="6167">
          <cell r="A6167" t="str">
            <v>GBP_normvol_6m_1y</v>
          </cell>
          <cell r="B6167" t="str">
            <v>GBP Vol 6Mx1</v>
          </cell>
          <cell r="C6167" t="str">
            <v>VOL:GBP_normvol_6m_1y</v>
          </cell>
          <cell r="D6167" t="str">
            <v>Implied Vol Duration</v>
          </cell>
          <cell r="E6167" t="str">
            <v>Implied Vol</v>
          </cell>
          <cell r="F6167" t="str">
            <v>Rates Implied Volatility</v>
          </cell>
          <cell r="G6167" t="str">
            <v>Other</v>
          </cell>
          <cell r="H6167" t="str">
            <v>VOLATILITY</v>
          </cell>
          <cell r="I6167" t="str">
            <v>Rates Implied Volatility</v>
          </cell>
        </row>
        <row r="6168">
          <cell r="A6168" t="str">
            <v>GBP_normvol_6m_2y</v>
          </cell>
          <cell r="B6168" t="str">
            <v>GBP Vol 6Mx2</v>
          </cell>
          <cell r="C6168" t="str">
            <v>VOL:GBP_normvol_6m_2y</v>
          </cell>
          <cell r="D6168" t="str">
            <v>Implied Vol Duration</v>
          </cell>
          <cell r="E6168" t="str">
            <v>Implied Vol</v>
          </cell>
          <cell r="F6168" t="str">
            <v>Rates Implied Volatility</v>
          </cell>
          <cell r="G6168" t="str">
            <v>Other</v>
          </cell>
          <cell r="H6168" t="str">
            <v>VOLATILITY</v>
          </cell>
          <cell r="I6168" t="str">
            <v>Rates Implied Volatility</v>
          </cell>
        </row>
        <row r="6169">
          <cell r="A6169" t="str">
            <v>GBP_normvol_6m_3y</v>
          </cell>
          <cell r="B6169" t="str">
            <v>GBP Vol 6Mx3</v>
          </cell>
          <cell r="C6169" t="str">
            <v>VOL:GBP_normvol_6m_3y</v>
          </cell>
          <cell r="D6169" t="str">
            <v>Implied Vol Duration</v>
          </cell>
          <cell r="E6169" t="str">
            <v>Implied Vol</v>
          </cell>
          <cell r="F6169" t="str">
            <v>Rates Implied Volatility</v>
          </cell>
          <cell r="G6169" t="str">
            <v>Other</v>
          </cell>
          <cell r="H6169" t="str">
            <v>VOLATILITY</v>
          </cell>
          <cell r="I6169" t="str">
            <v>Rates Implied Volatility</v>
          </cell>
        </row>
        <row r="6170">
          <cell r="A6170" t="str">
            <v>GBP_normvol_6m_5y</v>
          </cell>
          <cell r="B6170" t="str">
            <v>GBP Vol 6Mx5</v>
          </cell>
          <cell r="C6170" t="str">
            <v>VOL:GBP_normvol_6m_5y</v>
          </cell>
          <cell r="D6170" t="str">
            <v>Implied Vol Duration</v>
          </cell>
          <cell r="E6170" t="str">
            <v>Implied Vol</v>
          </cell>
          <cell r="F6170" t="str">
            <v>Rates Implied Volatility</v>
          </cell>
          <cell r="G6170" t="str">
            <v>Other</v>
          </cell>
          <cell r="H6170" t="str">
            <v>VOLATILITY</v>
          </cell>
          <cell r="I6170" t="str">
            <v>Rates Implied Volatility</v>
          </cell>
        </row>
        <row r="6171">
          <cell r="A6171" t="str">
            <v>GBP_normvol_6m_7y</v>
          </cell>
          <cell r="B6171" t="str">
            <v>GBP Vol 6Mx7</v>
          </cell>
          <cell r="C6171" t="str">
            <v>VOL:GBP_normvol_6m_7y</v>
          </cell>
          <cell r="D6171" t="str">
            <v>Implied Vol Duration</v>
          </cell>
          <cell r="E6171" t="str">
            <v>Implied Vol</v>
          </cell>
          <cell r="F6171" t="str">
            <v>Rates Implied Volatility</v>
          </cell>
          <cell r="G6171" t="str">
            <v>Other</v>
          </cell>
          <cell r="H6171" t="str">
            <v>VOLATILITY</v>
          </cell>
          <cell r="I6171" t="str">
            <v>Rates Implied Volatility</v>
          </cell>
        </row>
        <row r="6172">
          <cell r="A6172" t="str">
            <v>JPY_normvol_1y_10y</v>
          </cell>
          <cell r="B6172" t="str">
            <v>JPY Vol 1x10</v>
          </cell>
          <cell r="C6172" t="str">
            <v>VOL:JPY_normvol_1y_10y</v>
          </cell>
          <cell r="D6172" t="str">
            <v>Implied Vol Duration</v>
          </cell>
          <cell r="E6172" t="str">
            <v>Implied Vol</v>
          </cell>
          <cell r="F6172" t="str">
            <v>Rates Implied Volatility</v>
          </cell>
          <cell r="G6172" t="str">
            <v>Other</v>
          </cell>
          <cell r="H6172" t="str">
            <v>VOLATILITY</v>
          </cell>
          <cell r="I6172" t="str">
            <v>Rates Implied Volatility</v>
          </cell>
        </row>
        <row r="6173">
          <cell r="A6173" t="str">
            <v>JPY_normvol_1y_15y</v>
          </cell>
          <cell r="B6173" t="str">
            <v>JPY Vol 1x15</v>
          </cell>
          <cell r="C6173" t="str">
            <v>VOL:JPY_normvol_1y_15y</v>
          </cell>
          <cell r="D6173" t="str">
            <v>Implied Vol Duration</v>
          </cell>
          <cell r="E6173" t="str">
            <v>Implied Vol</v>
          </cell>
          <cell r="F6173" t="str">
            <v>Rates Implied Volatility</v>
          </cell>
          <cell r="G6173" t="str">
            <v>Other</v>
          </cell>
          <cell r="H6173" t="str">
            <v>VOLATILITY</v>
          </cell>
          <cell r="I6173" t="str">
            <v>Rates Implied Volatility</v>
          </cell>
        </row>
        <row r="6174">
          <cell r="A6174" t="str">
            <v>JPY_normvol_1y_1y</v>
          </cell>
          <cell r="B6174" t="str">
            <v>JPY Vol 1x1</v>
          </cell>
          <cell r="C6174" t="str">
            <v>VOL:JPY_normvol_1y_1y</v>
          </cell>
          <cell r="D6174" t="str">
            <v>Implied Vol Duration</v>
          </cell>
          <cell r="E6174" t="str">
            <v>Implied Vol</v>
          </cell>
          <cell r="F6174" t="str">
            <v>Rates Implied Volatility</v>
          </cell>
          <cell r="G6174" t="str">
            <v>Other</v>
          </cell>
          <cell r="H6174" t="str">
            <v>VOLATILITY</v>
          </cell>
          <cell r="I6174" t="str">
            <v>Rates Implied Volatility</v>
          </cell>
        </row>
        <row r="6175">
          <cell r="A6175" t="str">
            <v>JPY_normvol_1y_20y</v>
          </cell>
          <cell r="B6175" t="str">
            <v>JPY Vol 1x20</v>
          </cell>
          <cell r="C6175" t="str">
            <v>VOL:JPY_normvol_1y_20y</v>
          </cell>
          <cell r="D6175" t="str">
            <v>Implied Vol Duration</v>
          </cell>
          <cell r="E6175" t="str">
            <v>Implied Vol</v>
          </cell>
          <cell r="F6175" t="str">
            <v>Rates Implied Volatility</v>
          </cell>
          <cell r="G6175" t="str">
            <v>Other</v>
          </cell>
          <cell r="H6175" t="str">
            <v>VOLATILITY</v>
          </cell>
          <cell r="I6175" t="str">
            <v>Rates Implied Volatility</v>
          </cell>
        </row>
        <row r="6176">
          <cell r="A6176" t="str">
            <v>JPY_normvol_1y_2y</v>
          </cell>
          <cell r="B6176" t="str">
            <v>JPY Vol 1x2</v>
          </cell>
          <cell r="C6176" t="str">
            <v>VOL:JPY_normvol_1y_2y</v>
          </cell>
          <cell r="D6176" t="str">
            <v>Implied Vol Duration</v>
          </cell>
          <cell r="E6176" t="str">
            <v>Implied Vol</v>
          </cell>
          <cell r="F6176" t="str">
            <v>Rates Implied Volatility</v>
          </cell>
          <cell r="G6176" t="str">
            <v>Other</v>
          </cell>
          <cell r="H6176" t="str">
            <v>VOLATILITY</v>
          </cell>
          <cell r="I6176" t="str">
            <v>Rates Implied Volatility</v>
          </cell>
        </row>
        <row r="6177">
          <cell r="A6177" t="str">
            <v>JPY_normvol_1y_3y</v>
          </cell>
          <cell r="B6177" t="str">
            <v>JPY Vol 1x3</v>
          </cell>
          <cell r="C6177" t="str">
            <v>VOL:JPY_normvol_1y_3y</v>
          </cell>
          <cell r="D6177" t="str">
            <v>Implied Vol Duration</v>
          </cell>
          <cell r="E6177" t="str">
            <v>Implied Vol</v>
          </cell>
          <cell r="F6177" t="str">
            <v>Rates Implied Volatility</v>
          </cell>
          <cell r="G6177" t="str">
            <v>Other</v>
          </cell>
          <cell r="H6177" t="str">
            <v>VOLATILITY</v>
          </cell>
          <cell r="I6177" t="str">
            <v>Rates Implied Volatility</v>
          </cell>
        </row>
        <row r="6178">
          <cell r="A6178" t="str">
            <v>JPY_normvol_1y_5y</v>
          </cell>
          <cell r="B6178" t="str">
            <v>JPY Vol 1x5</v>
          </cell>
          <cell r="C6178" t="str">
            <v>VOL:JPY_normvol_1y_5y</v>
          </cell>
          <cell r="D6178" t="str">
            <v>Implied Vol Duration</v>
          </cell>
          <cell r="E6178" t="str">
            <v>Implied Vol</v>
          </cell>
          <cell r="F6178" t="str">
            <v>Rates Implied Volatility</v>
          </cell>
          <cell r="G6178" t="str">
            <v>Other</v>
          </cell>
          <cell r="H6178" t="str">
            <v>VOLATILITY</v>
          </cell>
          <cell r="I6178" t="str">
            <v>Rates Implied Volatility</v>
          </cell>
        </row>
        <row r="6179">
          <cell r="A6179" t="str">
            <v>JPY_normvol_1y_7y</v>
          </cell>
          <cell r="B6179" t="str">
            <v>JPY Vol 1x7</v>
          </cell>
          <cell r="C6179" t="str">
            <v>VOL:JPY_normvol_1y_7y</v>
          </cell>
          <cell r="D6179" t="str">
            <v>Implied Vol Duration</v>
          </cell>
          <cell r="E6179" t="str">
            <v>Implied Vol</v>
          </cell>
          <cell r="F6179" t="str">
            <v>Rates Implied Volatility</v>
          </cell>
          <cell r="G6179" t="str">
            <v>Other</v>
          </cell>
          <cell r="H6179" t="str">
            <v>VOLATILITY</v>
          </cell>
          <cell r="I6179" t="str">
            <v>Rates Implied Volatility</v>
          </cell>
        </row>
        <row r="6180">
          <cell r="A6180" t="str">
            <v>JPY_normvol_2y_10y</v>
          </cell>
          <cell r="B6180" t="str">
            <v>JPY Vol 2x10</v>
          </cell>
          <cell r="C6180" t="str">
            <v>VOL:JPY_normvol_2y_10y</v>
          </cell>
          <cell r="D6180" t="str">
            <v>Implied Vol Duration</v>
          </cell>
          <cell r="E6180" t="str">
            <v>Implied Vol</v>
          </cell>
          <cell r="F6180" t="str">
            <v>Rates Implied Volatility</v>
          </cell>
          <cell r="G6180" t="str">
            <v>Other</v>
          </cell>
          <cell r="H6180" t="str">
            <v>VOLATILITY</v>
          </cell>
          <cell r="I6180" t="str">
            <v>Rates Implied Volatility</v>
          </cell>
        </row>
        <row r="6181">
          <cell r="A6181" t="str">
            <v>JPY_normvol_2y_15y</v>
          </cell>
          <cell r="B6181" t="str">
            <v>JPY Vol 2x15</v>
          </cell>
          <cell r="C6181" t="str">
            <v>VOL:JPY_normvol_2y_15y</v>
          </cell>
          <cell r="D6181" t="str">
            <v>Implied Vol Duration</v>
          </cell>
          <cell r="E6181" t="str">
            <v>Implied Vol</v>
          </cell>
          <cell r="F6181" t="str">
            <v>Rates Implied Volatility</v>
          </cell>
          <cell r="G6181" t="str">
            <v>Other</v>
          </cell>
          <cell r="H6181" t="str">
            <v>VOLATILITY</v>
          </cell>
          <cell r="I6181" t="str">
            <v>Rates Implied Volatility</v>
          </cell>
        </row>
        <row r="6182">
          <cell r="A6182" t="str">
            <v>JPY_normvol_2y_1y</v>
          </cell>
          <cell r="B6182" t="str">
            <v>JPY Vol 2x1</v>
          </cell>
          <cell r="C6182" t="str">
            <v>VOL:JPY_normvol_2y_1y</v>
          </cell>
          <cell r="D6182" t="str">
            <v>Implied Vol Duration</v>
          </cell>
          <cell r="E6182" t="str">
            <v>Implied Vol</v>
          </cell>
          <cell r="F6182" t="str">
            <v>Rates Implied Volatility</v>
          </cell>
          <cell r="G6182" t="str">
            <v>Other</v>
          </cell>
          <cell r="H6182" t="str">
            <v>VOLATILITY</v>
          </cell>
          <cell r="I6182" t="str">
            <v>Rates Implied Volatility</v>
          </cell>
        </row>
        <row r="6183">
          <cell r="A6183" t="str">
            <v>JPY_normvol_2y_20y</v>
          </cell>
          <cell r="B6183" t="str">
            <v>JPY Vol 2x20</v>
          </cell>
          <cell r="C6183" t="str">
            <v>VOL:JPY_normvol_2y_20y</v>
          </cell>
          <cell r="D6183" t="str">
            <v>Implied Vol Duration</v>
          </cell>
          <cell r="E6183" t="str">
            <v>Implied Vol</v>
          </cell>
          <cell r="F6183" t="str">
            <v>Rates Implied Volatility</v>
          </cell>
          <cell r="G6183" t="str">
            <v>Other</v>
          </cell>
          <cell r="H6183" t="str">
            <v>VOLATILITY</v>
          </cell>
          <cell r="I6183" t="str">
            <v>Rates Implied Volatility</v>
          </cell>
        </row>
        <row r="6184">
          <cell r="A6184" t="str">
            <v>JPY_normvol_2y_2y</v>
          </cell>
          <cell r="B6184" t="str">
            <v>JPY Vol 2x2</v>
          </cell>
          <cell r="C6184" t="str">
            <v>VOL:JPY_normvol_2y_2y</v>
          </cell>
          <cell r="D6184" t="str">
            <v>Implied Vol Duration</v>
          </cell>
          <cell r="E6184" t="str">
            <v>Implied Vol</v>
          </cell>
          <cell r="F6184" t="str">
            <v>Rates Implied Volatility</v>
          </cell>
          <cell r="G6184" t="str">
            <v>Other</v>
          </cell>
          <cell r="H6184" t="str">
            <v>VOLATILITY</v>
          </cell>
          <cell r="I6184" t="str">
            <v>Rates Implied Volatility</v>
          </cell>
        </row>
        <row r="6185">
          <cell r="A6185" t="str">
            <v>JPY_normvol_2y_3y</v>
          </cell>
          <cell r="B6185" t="str">
            <v>JPY Vol 2x3</v>
          </cell>
          <cell r="C6185" t="str">
            <v>VOL:JPY_normvol_2y_3y</v>
          </cell>
          <cell r="D6185" t="str">
            <v>Implied Vol Duration</v>
          </cell>
          <cell r="E6185" t="str">
            <v>Implied Vol</v>
          </cell>
          <cell r="F6185" t="str">
            <v>Rates Implied Volatility</v>
          </cell>
          <cell r="G6185" t="str">
            <v>Other</v>
          </cell>
          <cell r="H6185" t="str">
            <v>VOLATILITY</v>
          </cell>
          <cell r="I6185" t="str">
            <v>Rates Implied Volatility</v>
          </cell>
        </row>
        <row r="6186">
          <cell r="A6186" t="str">
            <v>JPY_normvol_2y_5y</v>
          </cell>
          <cell r="B6186" t="str">
            <v>JPY Vol 2x5</v>
          </cell>
          <cell r="C6186" t="str">
            <v>VOL:JPY_normvol_2y_5y</v>
          </cell>
          <cell r="D6186" t="str">
            <v>Implied Vol Duration</v>
          </cell>
          <cell r="E6186" t="str">
            <v>Implied Vol</v>
          </cell>
          <cell r="F6186" t="str">
            <v>Rates Implied Volatility</v>
          </cell>
          <cell r="G6186" t="str">
            <v>Other</v>
          </cell>
          <cell r="H6186" t="str">
            <v>VOLATILITY</v>
          </cell>
          <cell r="I6186" t="str">
            <v>Rates Implied Volatility</v>
          </cell>
        </row>
        <row r="6187">
          <cell r="A6187" t="str">
            <v>JPY_normvol_2y_7y</v>
          </cell>
          <cell r="B6187" t="str">
            <v>JPY Vol 2x7</v>
          </cell>
          <cell r="C6187" t="str">
            <v>VOL:JPY_normvol_2y_7y</v>
          </cell>
          <cell r="D6187" t="str">
            <v>Implied Vol Duration</v>
          </cell>
          <cell r="E6187" t="str">
            <v>Implied Vol</v>
          </cell>
          <cell r="F6187" t="str">
            <v>Rates Implied Volatility</v>
          </cell>
          <cell r="G6187" t="str">
            <v>Other</v>
          </cell>
          <cell r="H6187" t="str">
            <v>VOLATILITY</v>
          </cell>
          <cell r="I6187" t="str">
            <v>Rates Implied Volatility</v>
          </cell>
        </row>
        <row r="6188">
          <cell r="A6188" t="str">
            <v>JPY_normvol_3m_10y</v>
          </cell>
          <cell r="B6188" t="str">
            <v>JPY Vol 3Mx10</v>
          </cell>
          <cell r="C6188" t="str">
            <v>VOL:JPY_normvol_3m_10y</v>
          </cell>
          <cell r="D6188" t="str">
            <v>Implied Vol Duration</v>
          </cell>
          <cell r="E6188" t="str">
            <v>Implied Vol</v>
          </cell>
          <cell r="F6188" t="str">
            <v>Rates Implied Volatility</v>
          </cell>
          <cell r="G6188" t="str">
            <v>Other</v>
          </cell>
          <cell r="H6188" t="str">
            <v>VOLATILITY</v>
          </cell>
          <cell r="I6188" t="str">
            <v>Rates Implied Volatility</v>
          </cell>
        </row>
        <row r="6189">
          <cell r="A6189" t="str">
            <v>JPY_normvol_3m_15y</v>
          </cell>
          <cell r="B6189" t="str">
            <v>JPY Vol 3Mx15</v>
          </cell>
          <cell r="C6189" t="str">
            <v>VOL:JPY_normvol_3m_15y</v>
          </cell>
          <cell r="D6189" t="str">
            <v>Implied Vol Duration</v>
          </cell>
          <cell r="E6189" t="str">
            <v>Implied Vol</v>
          </cell>
          <cell r="F6189" t="str">
            <v>Rates Implied Volatility</v>
          </cell>
          <cell r="G6189" t="str">
            <v>Other</v>
          </cell>
          <cell r="H6189" t="str">
            <v>VOLATILITY</v>
          </cell>
          <cell r="I6189" t="str">
            <v>Rates Implied Volatility</v>
          </cell>
        </row>
        <row r="6190">
          <cell r="A6190" t="str">
            <v>JPY_normvol_3m_1y</v>
          </cell>
          <cell r="B6190" t="str">
            <v>JPY Vol 3Mx1</v>
          </cell>
          <cell r="C6190" t="str">
            <v>VOL:JPY_normvol_3m_1y</v>
          </cell>
          <cell r="D6190" t="str">
            <v>Implied Vol Duration</v>
          </cell>
          <cell r="E6190" t="str">
            <v>Implied Vol</v>
          </cell>
          <cell r="F6190" t="str">
            <v>Rates Implied Volatility</v>
          </cell>
          <cell r="G6190" t="str">
            <v>Other</v>
          </cell>
          <cell r="H6190" t="str">
            <v>VOLATILITY</v>
          </cell>
          <cell r="I6190" t="str">
            <v>Rates Implied Volatility</v>
          </cell>
        </row>
        <row r="6191">
          <cell r="A6191" t="str">
            <v>JPY_normvol_3m_2y</v>
          </cell>
          <cell r="B6191" t="str">
            <v>JPY Vol 3Mx2</v>
          </cell>
          <cell r="C6191" t="str">
            <v>VOL:JPY_normvol_3m_2y</v>
          </cell>
          <cell r="D6191" t="str">
            <v>Implied Vol Duration</v>
          </cell>
          <cell r="E6191" t="str">
            <v>Implied Vol</v>
          </cell>
          <cell r="F6191" t="str">
            <v>Rates Implied Volatility</v>
          </cell>
          <cell r="G6191" t="str">
            <v>Other</v>
          </cell>
          <cell r="H6191" t="str">
            <v>VOLATILITY</v>
          </cell>
          <cell r="I6191" t="str">
            <v>Rates Implied Volatility</v>
          </cell>
        </row>
        <row r="6192">
          <cell r="A6192" t="str">
            <v>JPY_normvol_3m_3y</v>
          </cell>
          <cell r="B6192" t="str">
            <v>JPY Vol 3Mx3</v>
          </cell>
          <cell r="C6192" t="str">
            <v>VOL:JPY_normvol_3m_3y</v>
          </cell>
          <cell r="D6192" t="str">
            <v>Implied Vol Duration</v>
          </cell>
          <cell r="E6192" t="str">
            <v>Implied Vol</v>
          </cell>
          <cell r="F6192" t="str">
            <v>Rates Implied Volatility</v>
          </cell>
          <cell r="G6192" t="str">
            <v>Other</v>
          </cell>
          <cell r="H6192" t="str">
            <v>VOLATILITY</v>
          </cell>
          <cell r="I6192" t="str">
            <v>Rates Implied Volatility</v>
          </cell>
        </row>
        <row r="6193">
          <cell r="A6193" t="str">
            <v>JPY_normvol_3m_5y</v>
          </cell>
          <cell r="B6193" t="str">
            <v>JPY Vol 3Mx5</v>
          </cell>
          <cell r="C6193" t="str">
            <v>VOL:JPY_normvol_3m_5y</v>
          </cell>
          <cell r="D6193" t="str">
            <v>Implied Vol Duration</v>
          </cell>
          <cell r="E6193" t="str">
            <v>Implied Vol</v>
          </cell>
          <cell r="F6193" t="str">
            <v>Rates Implied Volatility</v>
          </cell>
          <cell r="G6193" t="str">
            <v>Other</v>
          </cell>
          <cell r="H6193" t="str">
            <v>VOLATILITY</v>
          </cell>
          <cell r="I6193" t="str">
            <v>Rates Implied Volatility</v>
          </cell>
        </row>
        <row r="6194">
          <cell r="A6194" t="str">
            <v>JPY_normvol_3m_7y</v>
          </cell>
          <cell r="B6194" t="str">
            <v>JPY Vol 3Mx7</v>
          </cell>
          <cell r="C6194" t="str">
            <v>VOL:JPY_normvol_3m_7y</v>
          </cell>
          <cell r="D6194" t="str">
            <v>Implied Vol Duration</v>
          </cell>
          <cell r="E6194" t="str">
            <v>Implied Vol</v>
          </cell>
          <cell r="F6194" t="str">
            <v>Rates Implied Volatility</v>
          </cell>
          <cell r="G6194" t="str">
            <v>Other</v>
          </cell>
          <cell r="H6194" t="str">
            <v>VOLATILITY</v>
          </cell>
          <cell r="I6194" t="str">
            <v>Rates Implied Volatility</v>
          </cell>
        </row>
        <row r="6195">
          <cell r="A6195" t="str">
            <v>JPY_normvol_3y_10y</v>
          </cell>
          <cell r="B6195" t="str">
            <v>JPY Vol 3x10</v>
          </cell>
          <cell r="C6195" t="str">
            <v>VOL:JPY_normvol_3y_10y</v>
          </cell>
          <cell r="D6195" t="str">
            <v>Implied Vol Duration</v>
          </cell>
          <cell r="E6195" t="str">
            <v>Implied Vol</v>
          </cell>
          <cell r="F6195" t="str">
            <v>Rates Implied Volatility</v>
          </cell>
          <cell r="G6195" t="str">
            <v>Other</v>
          </cell>
          <cell r="H6195" t="str">
            <v>VOLATILITY</v>
          </cell>
          <cell r="I6195" t="str">
            <v>Rates Implied Volatility</v>
          </cell>
        </row>
        <row r="6196">
          <cell r="A6196" t="str">
            <v>JPY_normvol_3y_15y</v>
          </cell>
          <cell r="B6196" t="str">
            <v>JPY Vol 3x15</v>
          </cell>
          <cell r="C6196" t="str">
            <v>VOL:JPY_normvol_3y_15y</v>
          </cell>
          <cell r="D6196" t="str">
            <v>Implied Vol Duration</v>
          </cell>
          <cell r="E6196" t="str">
            <v>Implied Vol</v>
          </cell>
          <cell r="F6196" t="str">
            <v>Rates Implied Volatility</v>
          </cell>
          <cell r="G6196" t="str">
            <v>Other</v>
          </cell>
          <cell r="H6196" t="str">
            <v>VOLATILITY</v>
          </cell>
          <cell r="I6196" t="str">
            <v>Rates Implied Volatility</v>
          </cell>
        </row>
        <row r="6197">
          <cell r="A6197" t="str">
            <v>JPY_normvol_3y_1y</v>
          </cell>
          <cell r="B6197" t="str">
            <v>JPY Vol 3x1</v>
          </cell>
          <cell r="C6197" t="str">
            <v>VOL:JPY_normvol_3y_1y</v>
          </cell>
          <cell r="D6197" t="str">
            <v>Implied Vol Duration</v>
          </cell>
          <cell r="E6197" t="str">
            <v>Implied Vol</v>
          </cell>
          <cell r="F6197" t="str">
            <v>Rates Implied Volatility</v>
          </cell>
          <cell r="G6197" t="str">
            <v>Other</v>
          </cell>
          <cell r="H6197" t="str">
            <v>VOLATILITY</v>
          </cell>
          <cell r="I6197" t="str">
            <v>Rates Implied Volatility</v>
          </cell>
        </row>
        <row r="6198">
          <cell r="A6198" t="str">
            <v>JPY_normvol_3y_20y</v>
          </cell>
          <cell r="B6198" t="str">
            <v>JPY Vol 3x20</v>
          </cell>
          <cell r="C6198" t="str">
            <v>VOL:JPY_normvol_3y_20y</v>
          </cell>
          <cell r="D6198" t="str">
            <v>Implied Vol Duration</v>
          </cell>
          <cell r="E6198" t="str">
            <v>Implied Vol</v>
          </cell>
          <cell r="F6198" t="str">
            <v>Rates Implied Volatility</v>
          </cell>
          <cell r="G6198" t="str">
            <v>Other</v>
          </cell>
          <cell r="H6198" t="str">
            <v>VOLATILITY</v>
          </cell>
          <cell r="I6198" t="str">
            <v>Rates Implied Volatility</v>
          </cell>
        </row>
        <row r="6199">
          <cell r="A6199" t="str">
            <v>JPY_normvol_3y_2y</v>
          </cell>
          <cell r="B6199" t="str">
            <v>JPY Vol 3x2</v>
          </cell>
          <cell r="C6199" t="str">
            <v>VOL:JPY_normvol_3y_2y</v>
          </cell>
          <cell r="D6199" t="str">
            <v>Implied Vol Duration</v>
          </cell>
          <cell r="E6199" t="str">
            <v>Implied Vol</v>
          </cell>
          <cell r="F6199" t="str">
            <v>Rates Implied Volatility</v>
          </cell>
          <cell r="G6199" t="str">
            <v>Other</v>
          </cell>
          <cell r="H6199" t="str">
            <v>VOLATILITY</v>
          </cell>
          <cell r="I6199" t="str">
            <v>Rates Implied Volatility</v>
          </cell>
        </row>
        <row r="6200">
          <cell r="A6200" t="str">
            <v>JPY_normvol_3y_3y</v>
          </cell>
          <cell r="B6200" t="str">
            <v>JPY Vol 3x3</v>
          </cell>
          <cell r="C6200" t="str">
            <v>VOL:JPY_normvol_3y_3y</v>
          </cell>
          <cell r="D6200" t="str">
            <v>Implied Vol Duration</v>
          </cell>
          <cell r="E6200" t="str">
            <v>Implied Vol</v>
          </cell>
          <cell r="F6200" t="str">
            <v>Rates Implied Volatility</v>
          </cell>
          <cell r="G6200" t="str">
            <v>Other</v>
          </cell>
          <cell r="H6200" t="str">
            <v>VOLATILITY</v>
          </cell>
          <cell r="I6200" t="str">
            <v>Rates Implied Volatility</v>
          </cell>
        </row>
        <row r="6201">
          <cell r="A6201" t="str">
            <v>JPY_normvol_3y_5y</v>
          </cell>
          <cell r="B6201" t="str">
            <v>JPY Vol 3x5</v>
          </cell>
          <cell r="C6201" t="str">
            <v>VOL:JPY_normvol_3y_5y</v>
          </cell>
          <cell r="D6201" t="str">
            <v>Implied Vol Duration</v>
          </cell>
          <cell r="E6201" t="str">
            <v>Implied Vol</v>
          </cell>
          <cell r="F6201" t="str">
            <v>Rates Implied Volatility</v>
          </cell>
          <cell r="G6201" t="str">
            <v>Other</v>
          </cell>
          <cell r="H6201" t="str">
            <v>VOLATILITY</v>
          </cell>
          <cell r="I6201" t="str">
            <v>Rates Implied Volatility</v>
          </cell>
        </row>
        <row r="6202">
          <cell r="A6202" t="str">
            <v>JPY_normvol_3y_7y</v>
          </cell>
          <cell r="B6202" t="str">
            <v>JPY Vol 3x7</v>
          </cell>
          <cell r="C6202" t="str">
            <v>VOL:JPY_normvol_3y_7y</v>
          </cell>
          <cell r="D6202" t="str">
            <v>Implied Vol Duration</v>
          </cell>
          <cell r="E6202" t="str">
            <v>Implied Vol</v>
          </cell>
          <cell r="F6202" t="str">
            <v>Rates Implied Volatility</v>
          </cell>
          <cell r="G6202" t="str">
            <v>Other</v>
          </cell>
          <cell r="H6202" t="str">
            <v>VOLATILITY</v>
          </cell>
          <cell r="I6202" t="str">
            <v>Rates Implied Volatility</v>
          </cell>
        </row>
        <row r="6203">
          <cell r="A6203" t="str">
            <v>JPY_normvol_5y_10y</v>
          </cell>
          <cell r="B6203" t="str">
            <v>JPY Vol 5x10</v>
          </cell>
          <cell r="C6203" t="str">
            <v>VOL:JPY_normvol_5y_10y</v>
          </cell>
          <cell r="D6203" t="str">
            <v>Implied Vol Duration</v>
          </cell>
          <cell r="E6203" t="str">
            <v>Implied Vol</v>
          </cell>
          <cell r="F6203" t="str">
            <v>Rates Implied Volatility</v>
          </cell>
          <cell r="G6203" t="str">
            <v>Other</v>
          </cell>
          <cell r="H6203" t="str">
            <v>VOLATILITY</v>
          </cell>
          <cell r="I6203" t="str">
            <v>Rates Implied Volatility</v>
          </cell>
        </row>
        <row r="6204">
          <cell r="A6204" t="str">
            <v>JPY_normvol_5y_15y</v>
          </cell>
          <cell r="B6204" t="str">
            <v>JPY Vol 5x15</v>
          </cell>
          <cell r="C6204" t="str">
            <v>VOL:JPY_normvol_5y_15y</v>
          </cell>
          <cell r="D6204" t="str">
            <v>Implied Vol Duration</v>
          </cell>
          <cell r="E6204" t="str">
            <v>Implied Vol</v>
          </cell>
          <cell r="F6204" t="str">
            <v>Rates Implied Volatility</v>
          </cell>
          <cell r="G6204" t="str">
            <v>Other</v>
          </cell>
          <cell r="H6204" t="str">
            <v>VOLATILITY</v>
          </cell>
          <cell r="I6204" t="str">
            <v>Rates Implied Volatility</v>
          </cell>
        </row>
        <row r="6205">
          <cell r="A6205" t="str">
            <v>JPY_normvol_5y_1y</v>
          </cell>
          <cell r="B6205" t="str">
            <v>JPY Vol 5x1</v>
          </cell>
          <cell r="C6205" t="str">
            <v>VOL:JPY_normvol_5y_1y</v>
          </cell>
          <cell r="D6205" t="str">
            <v>Implied Vol Duration</v>
          </cell>
          <cell r="E6205" t="str">
            <v>Implied Vol</v>
          </cell>
          <cell r="F6205" t="str">
            <v>Rates Implied Volatility</v>
          </cell>
          <cell r="G6205" t="str">
            <v>Other</v>
          </cell>
          <cell r="H6205" t="str">
            <v>VOLATILITY</v>
          </cell>
          <cell r="I6205" t="str">
            <v>Rates Implied Volatility</v>
          </cell>
        </row>
        <row r="6206">
          <cell r="A6206" t="str">
            <v>JPY_normvol_5y_20y</v>
          </cell>
          <cell r="B6206" t="str">
            <v>JPY Vol 5x20</v>
          </cell>
          <cell r="C6206" t="str">
            <v>VOL:JPY_normvol_5y_20y</v>
          </cell>
          <cell r="D6206" t="str">
            <v>Implied Vol Duration</v>
          </cell>
          <cell r="E6206" t="str">
            <v>Implied Vol</v>
          </cell>
          <cell r="F6206" t="str">
            <v>Rates Implied Volatility</v>
          </cell>
          <cell r="G6206" t="str">
            <v>Other</v>
          </cell>
          <cell r="H6206" t="str">
            <v>VOLATILITY</v>
          </cell>
          <cell r="I6206" t="str">
            <v>Rates Implied Volatility</v>
          </cell>
        </row>
        <row r="6207">
          <cell r="A6207" t="str">
            <v>JPY_normvol_5y_2y</v>
          </cell>
          <cell r="B6207" t="str">
            <v>JPY Vol 5x2</v>
          </cell>
          <cell r="C6207" t="str">
            <v>VOL:JPY_normvol_5y_2y</v>
          </cell>
          <cell r="D6207" t="str">
            <v>Implied Vol Duration</v>
          </cell>
          <cell r="E6207" t="str">
            <v>Implied Vol</v>
          </cell>
          <cell r="F6207" t="str">
            <v>Rates Implied Volatility</v>
          </cell>
          <cell r="G6207" t="str">
            <v>Other</v>
          </cell>
          <cell r="H6207" t="str">
            <v>VOLATILITY</v>
          </cell>
          <cell r="I6207" t="str">
            <v>Rates Implied Volatility</v>
          </cell>
        </row>
        <row r="6208">
          <cell r="A6208" t="str">
            <v>JPY_normvol_5y_3y</v>
          </cell>
          <cell r="B6208" t="str">
            <v>JPY Vol 5x3</v>
          </cell>
          <cell r="C6208" t="str">
            <v>VOL:JPY_normvol_5y_3y</v>
          </cell>
          <cell r="D6208" t="str">
            <v>Implied Vol Duration</v>
          </cell>
          <cell r="E6208" t="str">
            <v>Implied Vol</v>
          </cell>
          <cell r="F6208" t="str">
            <v>Rates Implied Volatility</v>
          </cell>
          <cell r="G6208" t="str">
            <v>Other</v>
          </cell>
          <cell r="H6208" t="str">
            <v>VOLATILITY</v>
          </cell>
          <cell r="I6208" t="str">
            <v>Rates Implied Volatility</v>
          </cell>
        </row>
        <row r="6209">
          <cell r="A6209" t="str">
            <v>JPY_normvol_5y_5y</v>
          </cell>
          <cell r="B6209" t="str">
            <v>JPY Vol 5x5</v>
          </cell>
          <cell r="C6209" t="str">
            <v>VOL:JPY_normvol_5y_5y</v>
          </cell>
          <cell r="D6209" t="str">
            <v>Implied Vol Duration</v>
          </cell>
          <cell r="E6209" t="str">
            <v>Implied Vol</v>
          </cell>
          <cell r="F6209" t="str">
            <v>Rates Implied Volatility</v>
          </cell>
          <cell r="G6209" t="str">
            <v>Other</v>
          </cell>
          <cell r="H6209" t="str">
            <v>VOLATILITY</v>
          </cell>
          <cell r="I6209" t="str">
            <v>Rates Implied Volatility</v>
          </cell>
        </row>
        <row r="6210">
          <cell r="A6210" t="str">
            <v>JPY_normvol_5y_7y</v>
          </cell>
          <cell r="B6210" t="str">
            <v>JPY Vol 5x7</v>
          </cell>
          <cell r="C6210" t="str">
            <v>VOL:JPY_normvol_5y_7y</v>
          </cell>
          <cell r="D6210" t="str">
            <v>Implied Vol Duration</v>
          </cell>
          <cell r="E6210" t="str">
            <v>Implied Vol</v>
          </cell>
          <cell r="F6210" t="str">
            <v>Rates Implied Volatility</v>
          </cell>
          <cell r="G6210" t="str">
            <v>Other</v>
          </cell>
          <cell r="H6210" t="str">
            <v>VOLATILITY</v>
          </cell>
          <cell r="I6210" t="str">
            <v>Rates Implied Volatility</v>
          </cell>
        </row>
        <row r="6211">
          <cell r="A6211" t="str">
            <v>JPY_normvol_6m_10y</v>
          </cell>
          <cell r="B6211" t="str">
            <v>JPY Vol 6Mx10</v>
          </cell>
          <cell r="C6211" t="str">
            <v>VOL:JPY_normvol_6m_10y</v>
          </cell>
          <cell r="D6211" t="str">
            <v>Implied Vol Duration</v>
          </cell>
          <cell r="E6211" t="str">
            <v>Implied Vol</v>
          </cell>
          <cell r="F6211" t="str">
            <v>Rates Implied Volatility</v>
          </cell>
          <cell r="G6211" t="str">
            <v>Other</v>
          </cell>
          <cell r="H6211" t="str">
            <v>VOLATILITY</v>
          </cell>
          <cell r="I6211" t="str">
            <v>Rates Implied Volatility</v>
          </cell>
        </row>
        <row r="6212">
          <cell r="A6212" t="str">
            <v>JPY_normvol_6m_15y</v>
          </cell>
          <cell r="B6212" t="str">
            <v>JPY Vol 6Mx15</v>
          </cell>
          <cell r="C6212" t="str">
            <v>VOL:JPY_normvol_6m_15y</v>
          </cell>
          <cell r="D6212" t="str">
            <v>Implied Vol Duration</v>
          </cell>
          <cell r="E6212" t="str">
            <v>Implied Vol</v>
          </cell>
          <cell r="F6212" t="str">
            <v>Rates Implied Volatility</v>
          </cell>
          <cell r="G6212" t="str">
            <v>Other</v>
          </cell>
          <cell r="H6212" t="str">
            <v>VOLATILITY</v>
          </cell>
          <cell r="I6212" t="str">
            <v>Rates Implied Volatility</v>
          </cell>
        </row>
        <row r="6213">
          <cell r="A6213" t="str">
            <v>JPY_normvol_6m_1y</v>
          </cell>
          <cell r="B6213" t="str">
            <v>JPY Vol 6Mx1</v>
          </cell>
          <cell r="C6213" t="str">
            <v>VOL:JPY_normvol_6m_1y</v>
          </cell>
          <cell r="D6213" t="str">
            <v>Implied Vol Duration</v>
          </cell>
          <cell r="E6213" t="str">
            <v>Implied Vol</v>
          </cell>
          <cell r="F6213" t="str">
            <v>Rates Implied Volatility</v>
          </cell>
          <cell r="G6213" t="str">
            <v>Other</v>
          </cell>
          <cell r="H6213" t="str">
            <v>VOLATILITY</v>
          </cell>
          <cell r="I6213" t="str">
            <v>Rates Implied Volatility</v>
          </cell>
        </row>
        <row r="6214">
          <cell r="A6214" t="str">
            <v>JPY_normvol_6m_2y</v>
          </cell>
          <cell r="B6214" t="str">
            <v>JPY Vol 6Mx2</v>
          </cell>
          <cell r="C6214" t="str">
            <v>VOL:JPY_normvol_6m_2y</v>
          </cell>
          <cell r="D6214" t="str">
            <v>Implied Vol Duration</v>
          </cell>
          <cell r="E6214" t="str">
            <v>Implied Vol</v>
          </cell>
          <cell r="F6214" t="str">
            <v>Rates Implied Volatility</v>
          </cell>
          <cell r="G6214" t="str">
            <v>Other</v>
          </cell>
          <cell r="H6214" t="str">
            <v>VOLATILITY</v>
          </cell>
          <cell r="I6214" t="str">
            <v>Rates Implied Volatility</v>
          </cell>
        </row>
        <row r="6215">
          <cell r="A6215" t="str">
            <v>JPY_normvol_6m_3y</v>
          </cell>
          <cell r="B6215" t="str">
            <v>JPY Vol 6Mx3</v>
          </cell>
          <cell r="C6215" t="str">
            <v>VOL:JPY_normvol_6m_3y</v>
          </cell>
          <cell r="D6215" t="str">
            <v>Implied Vol Duration</v>
          </cell>
          <cell r="E6215" t="str">
            <v>Implied Vol</v>
          </cell>
          <cell r="F6215" t="str">
            <v>Rates Implied Volatility</v>
          </cell>
          <cell r="G6215" t="str">
            <v>Other</v>
          </cell>
          <cell r="H6215" t="str">
            <v>VOLATILITY</v>
          </cell>
          <cell r="I6215" t="str">
            <v>Rates Implied Volatility</v>
          </cell>
        </row>
        <row r="6216">
          <cell r="A6216" t="str">
            <v>JPY_normvol_6m_5y</v>
          </cell>
          <cell r="B6216" t="str">
            <v>JPY Vol 6Mx5</v>
          </cell>
          <cell r="C6216" t="str">
            <v>VOL:JPY_normvol_6m_5y</v>
          </cell>
          <cell r="D6216" t="str">
            <v>Implied Vol Duration</v>
          </cell>
          <cell r="E6216" t="str">
            <v>Implied Vol</v>
          </cell>
          <cell r="F6216" t="str">
            <v>Rates Implied Volatility</v>
          </cell>
          <cell r="G6216" t="str">
            <v>Other</v>
          </cell>
          <cell r="H6216" t="str">
            <v>VOLATILITY</v>
          </cell>
          <cell r="I6216" t="str">
            <v>Rates Implied Volatility</v>
          </cell>
        </row>
        <row r="6217">
          <cell r="A6217" t="str">
            <v>JPY_normvol_6m_7y</v>
          </cell>
          <cell r="B6217" t="str">
            <v>JPY Vol 6Mx7</v>
          </cell>
          <cell r="C6217" t="str">
            <v>VOL:JPY_normvol_6m_7y</v>
          </cell>
          <cell r="D6217" t="str">
            <v>Implied Vol Duration</v>
          </cell>
          <cell r="E6217" t="str">
            <v>Implied Vol</v>
          </cell>
          <cell r="F6217" t="str">
            <v>Rates Implied Volatility</v>
          </cell>
          <cell r="G6217" t="str">
            <v>Other</v>
          </cell>
          <cell r="H6217" t="str">
            <v>VOLATILITY</v>
          </cell>
          <cell r="I6217" t="str">
            <v>Rates Implied Volatility</v>
          </cell>
        </row>
        <row r="6218">
          <cell r="A6218" t="str">
            <v>ALL_normvol_1m_1y</v>
          </cell>
          <cell r="B6218" t="str">
            <v>Non$NormImplVol1Mx1</v>
          </cell>
          <cell r="C6218" t="str">
            <v>VOL:ALL_normvol_1m_1y</v>
          </cell>
          <cell r="D6218" t="str">
            <v>Implied Vol Duration</v>
          </cell>
          <cell r="E6218" t="str">
            <v>Implied Vol</v>
          </cell>
          <cell r="F6218" t="str">
            <v>Rates Implied Volatility</v>
          </cell>
          <cell r="G6218" t="str">
            <v>Other</v>
          </cell>
          <cell r="H6218" t="str">
            <v>VOLATILITY</v>
          </cell>
          <cell r="I6218" t="str">
            <v>Rates Implied Volatility</v>
          </cell>
        </row>
        <row r="6219">
          <cell r="A6219" t="str">
            <v>ALL_normvol_1m_2y</v>
          </cell>
          <cell r="B6219" t="str">
            <v>Non$NormImplVol1Mx2</v>
          </cell>
          <cell r="C6219" t="str">
            <v>VOL:ALL_normvol_1m_2y</v>
          </cell>
          <cell r="D6219" t="str">
            <v>Implied Vol Duration</v>
          </cell>
          <cell r="E6219" t="str">
            <v>Implied Vol</v>
          </cell>
          <cell r="F6219" t="str">
            <v>Rates Implied Volatility</v>
          </cell>
          <cell r="G6219" t="str">
            <v>Other</v>
          </cell>
          <cell r="H6219" t="str">
            <v>VOLATILITY</v>
          </cell>
          <cell r="I6219" t="str">
            <v>Rates Implied Volatility</v>
          </cell>
        </row>
        <row r="6220">
          <cell r="A6220" t="str">
            <v>ALL_normvol_1m_3y</v>
          </cell>
          <cell r="B6220" t="str">
            <v>Non$NormImplVol1Mx3</v>
          </cell>
          <cell r="C6220" t="str">
            <v>VOL:ALL_normvol_1m_3y</v>
          </cell>
          <cell r="D6220" t="str">
            <v>Implied Vol Duration</v>
          </cell>
          <cell r="E6220" t="str">
            <v>Implied Vol</v>
          </cell>
          <cell r="F6220" t="str">
            <v>Rates Implied Volatility</v>
          </cell>
          <cell r="G6220" t="str">
            <v>Other</v>
          </cell>
          <cell r="H6220" t="str">
            <v>VOLATILITY</v>
          </cell>
          <cell r="I6220" t="str">
            <v>Rates Implied Volatility</v>
          </cell>
        </row>
        <row r="6221">
          <cell r="A6221" t="str">
            <v>ALL_normvol_1m_5y</v>
          </cell>
          <cell r="B6221" t="str">
            <v>Non$NormImplVol1Mx5</v>
          </cell>
          <cell r="C6221" t="str">
            <v>VOL:ALL_normvol_1m_5y</v>
          </cell>
          <cell r="D6221" t="str">
            <v>Implied Vol Duration</v>
          </cell>
          <cell r="E6221" t="str">
            <v>Implied Vol</v>
          </cell>
          <cell r="F6221" t="str">
            <v>Rates Implied Volatility</v>
          </cell>
          <cell r="G6221" t="str">
            <v>Other</v>
          </cell>
          <cell r="H6221" t="str">
            <v>VOLATILITY</v>
          </cell>
          <cell r="I6221" t="str">
            <v>Rates Implied Volatility</v>
          </cell>
        </row>
        <row r="6222">
          <cell r="A6222" t="str">
            <v>ALL_normvol_1m_7y</v>
          </cell>
          <cell r="B6222" t="str">
            <v>Non$NormImplVol1Mx7</v>
          </cell>
          <cell r="C6222" t="str">
            <v>VOL:ALL_normvol_1m_7y</v>
          </cell>
          <cell r="D6222" t="str">
            <v>Implied Vol Duration</v>
          </cell>
          <cell r="E6222" t="str">
            <v>Implied Vol</v>
          </cell>
          <cell r="F6222" t="str">
            <v>Rates Implied Volatility</v>
          </cell>
          <cell r="G6222" t="str">
            <v>Other</v>
          </cell>
          <cell r="H6222" t="str">
            <v>VOLATILITY</v>
          </cell>
          <cell r="I6222" t="str">
            <v>Rates Implied Volatility</v>
          </cell>
        </row>
        <row r="6223">
          <cell r="A6223" t="str">
            <v>ALL_normvol_1m_10y</v>
          </cell>
          <cell r="B6223" t="str">
            <v>Non$NormImplVol1Mx10</v>
          </cell>
          <cell r="C6223" t="str">
            <v>VOL:ALL_normvol_1m_10y</v>
          </cell>
          <cell r="D6223" t="str">
            <v>Implied Vol Duration</v>
          </cell>
          <cell r="E6223" t="str">
            <v>Implied Vol</v>
          </cell>
          <cell r="F6223" t="str">
            <v>Rates Implied Volatility</v>
          </cell>
          <cell r="G6223" t="str">
            <v>Other</v>
          </cell>
          <cell r="H6223" t="str">
            <v>VOLATILITY</v>
          </cell>
          <cell r="I6223" t="str">
            <v>Rates Implied Volatility</v>
          </cell>
        </row>
        <row r="6224">
          <cell r="A6224" t="str">
            <v>ALL_normvol_1m_15y</v>
          </cell>
          <cell r="B6224" t="str">
            <v>Non$NormImplVol1Mx15</v>
          </cell>
          <cell r="C6224" t="str">
            <v>VOL:ALL_normvol_1m_15y</v>
          </cell>
          <cell r="D6224" t="str">
            <v>Implied Vol Duration</v>
          </cell>
          <cell r="E6224" t="str">
            <v>Implied Vol</v>
          </cell>
          <cell r="F6224" t="str">
            <v>Rates Implied Volatility</v>
          </cell>
          <cell r="G6224" t="str">
            <v>Other</v>
          </cell>
          <cell r="H6224" t="str">
            <v>VOLATILITY</v>
          </cell>
          <cell r="I6224" t="str">
            <v>Rates Implied Volatility</v>
          </cell>
        </row>
        <row r="6225">
          <cell r="A6225" t="str">
            <v>ALL_normvol_3m_1y</v>
          </cell>
          <cell r="B6225" t="str">
            <v>Non$NormImplVol3Mx1</v>
          </cell>
          <cell r="C6225" t="str">
            <v>VOL:ALL_normvol_3m_1y</v>
          </cell>
          <cell r="D6225" t="str">
            <v>Implied Vol Duration</v>
          </cell>
          <cell r="E6225" t="str">
            <v>Implied Vol</v>
          </cell>
          <cell r="F6225" t="str">
            <v>Rates Implied Volatility</v>
          </cell>
          <cell r="G6225" t="str">
            <v>Other</v>
          </cell>
          <cell r="H6225" t="str">
            <v>VOLATILITY</v>
          </cell>
          <cell r="I6225" t="str">
            <v>Rates Implied Volatility</v>
          </cell>
        </row>
        <row r="6226">
          <cell r="A6226" t="str">
            <v>ALL_normvol_3m_2y</v>
          </cell>
          <cell r="B6226" t="str">
            <v>Non$NormImplVol3Mx2</v>
          </cell>
          <cell r="C6226" t="str">
            <v>VOL:ALL_normvol_3m_2y</v>
          </cell>
          <cell r="D6226" t="str">
            <v>Implied Vol Duration</v>
          </cell>
          <cell r="E6226" t="str">
            <v>Implied Vol</v>
          </cell>
          <cell r="F6226" t="str">
            <v>Rates Implied Volatility</v>
          </cell>
          <cell r="G6226" t="str">
            <v>Other</v>
          </cell>
          <cell r="H6226" t="str">
            <v>VOLATILITY</v>
          </cell>
          <cell r="I6226" t="str">
            <v>Rates Implied Volatility</v>
          </cell>
        </row>
        <row r="6227">
          <cell r="A6227" t="str">
            <v>ALL_normvol_3m_3y</v>
          </cell>
          <cell r="B6227" t="str">
            <v>Non$NormImplVol3Mx3</v>
          </cell>
          <cell r="C6227" t="str">
            <v>VOL:ALL_normvol_3m_3y</v>
          </cell>
          <cell r="D6227" t="str">
            <v>Implied Vol Duration</v>
          </cell>
          <cell r="E6227" t="str">
            <v>Implied Vol</v>
          </cell>
          <cell r="F6227" t="str">
            <v>Rates Implied Volatility</v>
          </cell>
          <cell r="G6227" t="str">
            <v>Other</v>
          </cell>
          <cell r="H6227" t="str">
            <v>VOLATILITY</v>
          </cell>
          <cell r="I6227" t="str">
            <v>Rates Implied Volatility</v>
          </cell>
        </row>
        <row r="6228">
          <cell r="A6228" t="str">
            <v>ALL_normvol_3m_5y</v>
          </cell>
          <cell r="B6228" t="str">
            <v>Non$NormImplVol3Mx5</v>
          </cell>
          <cell r="C6228" t="str">
            <v>VOL:ALL_normvol_3m_5y</v>
          </cell>
          <cell r="D6228" t="str">
            <v>Implied Vol Duration</v>
          </cell>
          <cell r="E6228" t="str">
            <v>Implied Vol</v>
          </cell>
          <cell r="F6228" t="str">
            <v>Rates Implied Volatility</v>
          </cell>
          <cell r="G6228" t="str">
            <v>Other</v>
          </cell>
          <cell r="H6228" t="str">
            <v>VOLATILITY</v>
          </cell>
          <cell r="I6228" t="str">
            <v>Rates Implied Volatility</v>
          </cell>
        </row>
        <row r="6229">
          <cell r="A6229" t="str">
            <v>ALL_normvol_3m_7y</v>
          </cell>
          <cell r="B6229" t="str">
            <v>Non$NormImplVol3Mx7</v>
          </cell>
          <cell r="C6229" t="str">
            <v>VOL:ALL_normvol_3m_7y</v>
          </cell>
          <cell r="D6229" t="str">
            <v>Implied Vol Duration</v>
          </cell>
          <cell r="E6229" t="str">
            <v>Implied Vol</v>
          </cell>
          <cell r="F6229" t="str">
            <v>Rates Implied Volatility</v>
          </cell>
          <cell r="G6229" t="str">
            <v>Other</v>
          </cell>
          <cell r="H6229" t="str">
            <v>VOLATILITY</v>
          </cell>
          <cell r="I6229" t="str">
            <v>Rates Implied Volatility</v>
          </cell>
        </row>
        <row r="6230">
          <cell r="A6230" t="str">
            <v>ALL_normvol_3m_10y</v>
          </cell>
          <cell r="B6230" t="str">
            <v>Non$NormImplVol3Mx10</v>
          </cell>
          <cell r="C6230" t="str">
            <v>VOL:ALL_normvol_3m_10y</v>
          </cell>
          <cell r="D6230" t="str">
            <v>Implied Vol Duration</v>
          </cell>
          <cell r="E6230" t="str">
            <v>Implied Vol</v>
          </cell>
          <cell r="F6230" t="str">
            <v>Rates Implied Volatility</v>
          </cell>
          <cell r="G6230" t="str">
            <v>Other</v>
          </cell>
          <cell r="H6230" t="str">
            <v>VOLATILITY</v>
          </cell>
          <cell r="I6230" t="str">
            <v>Rates Implied Volatility</v>
          </cell>
        </row>
        <row r="6231">
          <cell r="A6231" t="str">
            <v>ALL_normvol_3m_15y</v>
          </cell>
          <cell r="B6231" t="str">
            <v>Non$NormImplVol3Mx15</v>
          </cell>
          <cell r="C6231" t="str">
            <v>VOL:ALL_normvol_3m_15y</v>
          </cell>
          <cell r="D6231" t="str">
            <v>Implied Vol Duration</v>
          </cell>
          <cell r="E6231" t="str">
            <v>Implied Vol</v>
          </cell>
          <cell r="F6231" t="str">
            <v>Rates Implied Volatility</v>
          </cell>
          <cell r="G6231" t="str">
            <v>Other</v>
          </cell>
          <cell r="H6231" t="str">
            <v>VOLATILITY</v>
          </cell>
          <cell r="I6231" t="str">
            <v>Rates Implied Volatility</v>
          </cell>
        </row>
        <row r="6232">
          <cell r="A6232" t="str">
            <v>ALL_normvol_6m_1y</v>
          </cell>
          <cell r="B6232" t="str">
            <v>Non$NormImplVol6Mx1</v>
          </cell>
          <cell r="C6232" t="str">
            <v>VOL:ALL_normvol_6m_1y</v>
          </cell>
          <cell r="D6232" t="str">
            <v>Implied Vol Duration</v>
          </cell>
          <cell r="E6232" t="str">
            <v>Implied Vol</v>
          </cell>
          <cell r="F6232" t="str">
            <v>Rates Implied Volatility</v>
          </cell>
          <cell r="G6232" t="str">
            <v>Other</v>
          </cell>
          <cell r="H6232" t="str">
            <v>VOLATILITY</v>
          </cell>
          <cell r="I6232" t="str">
            <v>Rates Implied Volatility</v>
          </cell>
        </row>
        <row r="6233">
          <cell r="A6233" t="str">
            <v>ALL_normvol_6m_2y</v>
          </cell>
          <cell r="B6233" t="str">
            <v>Non$NormImplVol6Mx2</v>
          </cell>
          <cell r="C6233" t="str">
            <v>VOL:ALL_normvol_6m_2y</v>
          </cell>
          <cell r="D6233" t="str">
            <v>Implied Vol Duration</v>
          </cell>
          <cell r="E6233" t="str">
            <v>Implied Vol</v>
          </cell>
          <cell r="F6233" t="str">
            <v>Rates Implied Volatility</v>
          </cell>
          <cell r="G6233" t="str">
            <v>Other</v>
          </cell>
          <cell r="H6233" t="str">
            <v>VOLATILITY</v>
          </cell>
          <cell r="I6233" t="str">
            <v>Rates Implied Volatility</v>
          </cell>
        </row>
        <row r="6234">
          <cell r="A6234" t="str">
            <v>ALL_normvol_6m_3y</v>
          </cell>
          <cell r="B6234" t="str">
            <v>Non$NormImplVol6Mx3</v>
          </cell>
          <cell r="C6234" t="str">
            <v>VOL:ALL_normvol_6m_3y</v>
          </cell>
          <cell r="D6234" t="str">
            <v>Implied Vol Duration</v>
          </cell>
          <cell r="E6234" t="str">
            <v>Implied Vol</v>
          </cell>
          <cell r="F6234" t="str">
            <v>Rates Implied Volatility</v>
          </cell>
          <cell r="G6234" t="str">
            <v>Other</v>
          </cell>
          <cell r="H6234" t="str">
            <v>VOLATILITY</v>
          </cell>
          <cell r="I6234" t="str">
            <v>Rates Implied Volatility</v>
          </cell>
        </row>
        <row r="6235">
          <cell r="A6235" t="str">
            <v>ALL_normvol_6m_5y</v>
          </cell>
          <cell r="B6235" t="str">
            <v>Non$NormImplVol6Mx5</v>
          </cell>
          <cell r="C6235" t="str">
            <v>VOL:ALL_normvol_6m_5y</v>
          </cell>
          <cell r="D6235" t="str">
            <v>Implied Vol Duration</v>
          </cell>
          <cell r="E6235" t="str">
            <v>Implied Vol</v>
          </cell>
          <cell r="F6235" t="str">
            <v>Rates Implied Volatility</v>
          </cell>
          <cell r="G6235" t="str">
            <v>Other</v>
          </cell>
          <cell r="H6235" t="str">
            <v>VOLATILITY</v>
          </cell>
          <cell r="I6235" t="str">
            <v>Rates Implied Volatility</v>
          </cell>
        </row>
        <row r="6236">
          <cell r="A6236" t="str">
            <v>ALL_normvol_6m_7y</v>
          </cell>
          <cell r="B6236" t="str">
            <v>Non$NormImplVol6Mx7</v>
          </cell>
          <cell r="C6236" t="str">
            <v>VOL:ALL_normvol_6m_7y</v>
          </cell>
          <cell r="D6236" t="str">
            <v>Implied Vol Duration</v>
          </cell>
          <cell r="E6236" t="str">
            <v>Implied Vol</v>
          </cell>
          <cell r="F6236" t="str">
            <v>Rates Implied Volatility</v>
          </cell>
          <cell r="G6236" t="str">
            <v>Other</v>
          </cell>
          <cell r="H6236" t="str">
            <v>VOLATILITY</v>
          </cell>
          <cell r="I6236" t="str">
            <v>Rates Implied Volatility</v>
          </cell>
        </row>
        <row r="6237">
          <cell r="A6237" t="str">
            <v>ALL_normvol_6m_10y</v>
          </cell>
          <cell r="B6237" t="str">
            <v>Non$NormImplVol6Mx10</v>
          </cell>
          <cell r="C6237" t="str">
            <v>VOL:ALL_normvol_6m_10y</v>
          </cell>
          <cell r="D6237" t="str">
            <v>Implied Vol Duration</v>
          </cell>
          <cell r="E6237" t="str">
            <v>Implied Vol</v>
          </cell>
          <cell r="F6237" t="str">
            <v>Rates Implied Volatility</v>
          </cell>
          <cell r="G6237" t="str">
            <v>Other</v>
          </cell>
          <cell r="H6237" t="str">
            <v>VOLATILITY</v>
          </cell>
          <cell r="I6237" t="str">
            <v>Rates Implied Volatility</v>
          </cell>
        </row>
        <row r="6238">
          <cell r="A6238" t="str">
            <v>ALL_normvol_6m_15y</v>
          </cell>
          <cell r="B6238" t="str">
            <v>Non$NormImplVol6Mx15</v>
          </cell>
          <cell r="C6238" t="str">
            <v>VOL:ALL_normvol_6m_15y</v>
          </cell>
          <cell r="D6238" t="str">
            <v>Implied Vol Duration</v>
          </cell>
          <cell r="E6238" t="str">
            <v>Implied Vol</v>
          </cell>
          <cell r="F6238" t="str">
            <v>Rates Implied Volatility</v>
          </cell>
          <cell r="G6238" t="str">
            <v>Other</v>
          </cell>
          <cell r="H6238" t="str">
            <v>VOLATILITY</v>
          </cell>
          <cell r="I6238" t="str">
            <v>Rates Implied Volatility</v>
          </cell>
        </row>
        <row r="6239">
          <cell r="A6239" t="str">
            <v>ALL_normvol_1y_1y</v>
          </cell>
          <cell r="B6239" t="str">
            <v>Non$ NormImplVol1x1</v>
          </cell>
          <cell r="C6239" t="str">
            <v>VOL:ALL_normvol_1y_1y</v>
          </cell>
          <cell r="D6239" t="str">
            <v>Implied Vol Duration</v>
          </cell>
          <cell r="E6239" t="str">
            <v>Implied Vol</v>
          </cell>
          <cell r="F6239" t="str">
            <v>Rates Implied Volatility</v>
          </cell>
          <cell r="G6239" t="str">
            <v>Other</v>
          </cell>
          <cell r="H6239" t="str">
            <v>VOLATILITY</v>
          </cell>
          <cell r="I6239" t="str">
            <v>Rates Implied Volatility</v>
          </cell>
        </row>
        <row r="6240">
          <cell r="A6240" t="str">
            <v>ALL_normvol_1y_2y</v>
          </cell>
          <cell r="B6240" t="str">
            <v>Non$ NormImplVol1x2</v>
          </cell>
          <cell r="C6240" t="str">
            <v>VOL:ALL_normvol_1y_2y</v>
          </cell>
          <cell r="D6240" t="str">
            <v>Implied Vol Duration</v>
          </cell>
          <cell r="E6240" t="str">
            <v>Implied Vol</v>
          </cell>
          <cell r="F6240" t="str">
            <v>Rates Implied Volatility</v>
          </cell>
          <cell r="G6240" t="str">
            <v>Other</v>
          </cell>
          <cell r="H6240" t="str">
            <v>VOLATILITY</v>
          </cell>
          <cell r="I6240" t="str">
            <v>Rates Implied Volatility</v>
          </cell>
        </row>
        <row r="6241">
          <cell r="A6241" t="str">
            <v>ALL_normvol_1y_3y</v>
          </cell>
          <cell r="B6241" t="str">
            <v>Non$ NormImplVol1x3</v>
          </cell>
          <cell r="C6241" t="str">
            <v>VOL:ALL_normvol_1y_3y</v>
          </cell>
          <cell r="D6241" t="str">
            <v>Implied Vol Duration</v>
          </cell>
          <cell r="E6241" t="str">
            <v>Implied Vol</v>
          </cell>
          <cell r="F6241" t="str">
            <v>Rates Implied Volatility</v>
          </cell>
          <cell r="G6241" t="str">
            <v>Other</v>
          </cell>
          <cell r="H6241" t="str">
            <v>VOLATILITY</v>
          </cell>
          <cell r="I6241" t="str">
            <v>Rates Implied Volatility</v>
          </cell>
        </row>
        <row r="6242">
          <cell r="A6242" t="str">
            <v>ALL_normvol_1y_5y</v>
          </cell>
          <cell r="B6242" t="str">
            <v>Non$ NormImplVol1x5</v>
          </cell>
          <cell r="C6242" t="str">
            <v>VOL:ALL_normvol_1y_5y</v>
          </cell>
          <cell r="D6242" t="str">
            <v>Implied Vol Duration</v>
          </cell>
          <cell r="E6242" t="str">
            <v>Implied Vol</v>
          </cell>
          <cell r="F6242" t="str">
            <v>Rates Implied Volatility</v>
          </cell>
          <cell r="G6242" t="str">
            <v>Other</v>
          </cell>
          <cell r="H6242" t="str">
            <v>VOLATILITY</v>
          </cell>
          <cell r="I6242" t="str">
            <v>Rates Implied Volatility</v>
          </cell>
        </row>
        <row r="6243">
          <cell r="A6243" t="str">
            <v>ALL_normvol_1y_7y</v>
          </cell>
          <cell r="B6243" t="str">
            <v>Non$ NormImplVol1x7</v>
          </cell>
          <cell r="C6243" t="str">
            <v>VOL:ALL_normvol_1y_7y</v>
          </cell>
          <cell r="D6243" t="str">
            <v>Implied Vol Duration</v>
          </cell>
          <cell r="E6243" t="str">
            <v>Implied Vol</v>
          </cell>
          <cell r="F6243" t="str">
            <v>Rates Implied Volatility</v>
          </cell>
          <cell r="G6243" t="str">
            <v>Other</v>
          </cell>
          <cell r="H6243" t="str">
            <v>VOLATILITY</v>
          </cell>
          <cell r="I6243" t="str">
            <v>Rates Implied Volatility</v>
          </cell>
        </row>
        <row r="6244">
          <cell r="A6244" t="str">
            <v>ALL_normvol_1y_10y</v>
          </cell>
          <cell r="B6244" t="str">
            <v>Non$ NormImplVol1x10</v>
          </cell>
          <cell r="C6244" t="str">
            <v>VOL:ALL_normvol_1y_10y</v>
          </cell>
          <cell r="D6244" t="str">
            <v>Implied Vol Duration</v>
          </cell>
          <cell r="E6244" t="str">
            <v>Implied Vol</v>
          </cell>
          <cell r="F6244" t="str">
            <v>Rates Implied Volatility</v>
          </cell>
          <cell r="G6244" t="str">
            <v>Other</v>
          </cell>
          <cell r="H6244" t="str">
            <v>VOLATILITY</v>
          </cell>
          <cell r="I6244" t="str">
            <v>Rates Implied Volatility</v>
          </cell>
        </row>
        <row r="6245">
          <cell r="A6245" t="str">
            <v>ALL_normvol_1y_15y</v>
          </cell>
          <cell r="B6245" t="str">
            <v>Non$ NormImplVol1x15</v>
          </cell>
          <cell r="C6245" t="str">
            <v>VOL:ALL_normvol_1y_15y</v>
          </cell>
          <cell r="D6245" t="str">
            <v>Implied Vol Duration</v>
          </cell>
          <cell r="E6245" t="str">
            <v>Implied Vol</v>
          </cell>
          <cell r="F6245" t="str">
            <v>Rates Implied Volatility</v>
          </cell>
          <cell r="G6245" t="str">
            <v>Other</v>
          </cell>
          <cell r="H6245" t="str">
            <v>VOLATILITY</v>
          </cell>
          <cell r="I6245" t="str">
            <v>Rates Implied Volatility</v>
          </cell>
        </row>
        <row r="6246">
          <cell r="A6246" t="str">
            <v>ALL_normvol_1y_20y</v>
          </cell>
          <cell r="B6246" t="str">
            <v>Non$ NormImplVol1x20</v>
          </cell>
          <cell r="C6246" t="str">
            <v>VOL:ALL_normvol_1y_20y</v>
          </cell>
          <cell r="D6246" t="str">
            <v>Implied Vol Duration</v>
          </cell>
          <cell r="E6246" t="str">
            <v>Implied Vol</v>
          </cell>
          <cell r="F6246" t="str">
            <v>Rates Implied Volatility</v>
          </cell>
          <cell r="G6246" t="str">
            <v>Other</v>
          </cell>
          <cell r="H6246" t="str">
            <v>VOLATILITY</v>
          </cell>
          <cell r="I6246" t="str">
            <v>Rates Implied Volatility</v>
          </cell>
        </row>
        <row r="6247">
          <cell r="A6247" t="str">
            <v>ALL_normvol_2y_1y</v>
          </cell>
          <cell r="B6247" t="str">
            <v>Non$ NormImplVol2x1</v>
          </cell>
          <cell r="C6247" t="str">
            <v>VOL:ALL_normvol_2y_1y</v>
          </cell>
          <cell r="D6247" t="str">
            <v>Implied Vol Duration</v>
          </cell>
          <cell r="E6247" t="str">
            <v>Implied Vol</v>
          </cell>
          <cell r="F6247" t="str">
            <v>Rates Implied Volatility</v>
          </cell>
          <cell r="G6247" t="str">
            <v>Other</v>
          </cell>
          <cell r="H6247" t="str">
            <v>VOLATILITY</v>
          </cell>
          <cell r="I6247" t="str">
            <v>Rates Implied Volatility</v>
          </cell>
        </row>
        <row r="6248">
          <cell r="A6248" t="str">
            <v>ALL_normvol_2y_2y</v>
          </cell>
          <cell r="B6248" t="str">
            <v>Non$ NormImplVol2x2</v>
          </cell>
          <cell r="C6248" t="str">
            <v>VOL:ALL_normvol_2y_2y</v>
          </cell>
          <cell r="D6248" t="str">
            <v>Implied Vol Duration</v>
          </cell>
          <cell r="E6248" t="str">
            <v>Implied Vol</v>
          </cell>
          <cell r="F6248" t="str">
            <v>Rates Implied Volatility</v>
          </cell>
          <cell r="G6248" t="str">
            <v>Other</v>
          </cell>
          <cell r="H6248" t="str">
            <v>VOLATILITY</v>
          </cell>
          <cell r="I6248" t="str">
            <v>Rates Implied Volatility</v>
          </cell>
        </row>
        <row r="6249">
          <cell r="A6249" t="str">
            <v>ALL_normvol_2y_3y</v>
          </cell>
          <cell r="B6249" t="str">
            <v>Non$ NormImplVol2x3</v>
          </cell>
          <cell r="C6249" t="str">
            <v>VOL:ALL_normvol_2y_3y</v>
          </cell>
          <cell r="D6249" t="str">
            <v>Implied Vol Duration</v>
          </cell>
          <cell r="E6249" t="str">
            <v>Implied Vol</v>
          </cell>
          <cell r="F6249" t="str">
            <v>Rates Implied Volatility</v>
          </cell>
          <cell r="G6249" t="str">
            <v>Other</v>
          </cell>
          <cell r="H6249" t="str">
            <v>VOLATILITY</v>
          </cell>
          <cell r="I6249" t="str">
            <v>Rates Implied Volatility</v>
          </cell>
        </row>
        <row r="6250">
          <cell r="A6250" t="str">
            <v>ALL_normvol_2y_5y</v>
          </cell>
          <cell r="B6250" t="str">
            <v>Non$ NormImplVol2x5</v>
          </cell>
          <cell r="C6250" t="str">
            <v>VOL:ALL_normvol_2y_5y</v>
          </cell>
          <cell r="D6250" t="str">
            <v>Implied Vol Duration</v>
          </cell>
          <cell r="E6250" t="str">
            <v>Implied Vol</v>
          </cell>
          <cell r="F6250" t="str">
            <v>Rates Implied Volatility</v>
          </cell>
          <cell r="G6250" t="str">
            <v>Other</v>
          </cell>
          <cell r="H6250" t="str">
            <v>VOLATILITY</v>
          </cell>
          <cell r="I6250" t="str">
            <v>Rates Implied Volatility</v>
          </cell>
        </row>
        <row r="6251">
          <cell r="A6251" t="str">
            <v>ALL_normvol_2y_7y</v>
          </cell>
          <cell r="B6251" t="str">
            <v>Non$ NormImplVol2x7</v>
          </cell>
          <cell r="C6251" t="str">
            <v>VOL:ALL_normvol_2y_7y</v>
          </cell>
          <cell r="D6251" t="str">
            <v>Implied Vol Duration</v>
          </cell>
          <cell r="E6251" t="str">
            <v>Implied Vol</v>
          </cell>
          <cell r="F6251" t="str">
            <v>Rates Implied Volatility</v>
          </cell>
          <cell r="G6251" t="str">
            <v>Other</v>
          </cell>
          <cell r="H6251" t="str">
            <v>VOLATILITY</v>
          </cell>
          <cell r="I6251" t="str">
            <v>Rates Implied Volatility</v>
          </cell>
        </row>
        <row r="6252">
          <cell r="A6252" t="str">
            <v>ALL_normvol_2y_10y</v>
          </cell>
          <cell r="B6252" t="str">
            <v>Non$ NormImplVol2x10</v>
          </cell>
          <cell r="C6252" t="str">
            <v>VOL:ALL_normvol_2y_10y</v>
          </cell>
          <cell r="D6252" t="str">
            <v>Implied Vol Duration</v>
          </cell>
          <cell r="E6252" t="str">
            <v>Implied Vol</v>
          </cell>
          <cell r="F6252" t="str">
            <v>Rates Implied Volatility</v>
          </cell>
          <cell r="G6252" t="str">
            <v>Other</v>
          </cell>
          <cell r="H6252" t="str">
            <v>VOLATILITY</v>
          </cell>
          <cell r="I6252" t="str">
            <v>Rates Implied Volatility</v>
          </cell>
        </row>
        <row r="6253">
          <cell r="A6253" t="str">
            <v>ALL_normvol_2y_15y</v>
          </cell>
          <cell r="B6253" t="str">
            <v>Non$ NormImplVol2x15</v>
          </cell>
          <cell r="C6253" t="str">
            <v>VOL:ALL_normvol_2y_15y</v>
          </cell>
          <cell r="D6253" t="str">
            <v>Implied Vol Duration</v>
          </cell>
          <cell r="E6253" t="str">
            <v>Implied Vol</v>
          </cell>
          <cell r="F6253" t="str">
            <v>Rates Implied Volatility</v>
          </cell>
          <cell r="G6253" t="str">
            <v>Other</v>
          </cell>
          <cell r="H6253" t="str">
            <v>VOLATILITY</v>
          </cell>
          <cell r="I6253" t="str">
            <v>Rates Implied Volatility</v>
          </cell>
        </row>
        <row r="6254">
          <cell r="A6254" t="str">
            <v>ALL_normvol_2y_20y</v>
          </cell>
          <cell r="B6254" t="str">
            <v>Non$ NormImplVol2x20</v>
          </cell>
          <cell r="C6254" t="str">
            <v>VOL:ALL_normvol_2y_20y</v>
          </cell>
          <cell r="D6254" t="str">
            <v>Implied Vol Duration</v>
          </cell>
          <cell r="E6254" t="str">
            <v>Implied Vol</v>
          </cell>
          <cell r="F6254" t="str">
            <v>Rates Implied Volatility</v>
          </cell>
          <cell r="G6254" t="str">
            <v>Other</v>
          </cell>
          <cell r="H6254" t="str">
            <v>VOLATILITY</v>
          </cell>
          <cell r="I6254" t="str">
            <v>Rates Implied Volatility</v>
          </cell>
        </row>
        <row r="6255">
          <cell r="A6255" t="str">
            <v>ALL_normvol_3y_1y</v>
          </cell>
          <cell r="B6255" t="str">
            <v>Non$ NormImplVol3x1</v>
          </cell>
          <cell r="C6255" t="str">
            <v>VOL:ALL_normvol_3y_1y</v>
          </cell>
          <cell r="D6255" t="str">
            <v>Implied Vol Duration</v>
          </cell>
          <cell r="E6255" t="str">
            <v>Implied Vol</v>
          </cell>
          <cell r="F6255" t="str">
            <v>Rates Implied Volatility</v>
          </cell>
          <cell r="G6255" t="str">
            <v>Other</v>
          </cell>
          <cell r="H6255" t="str">
            <v>VOLATILITY</v>
          </cell>
          <cell r="I6255" t="str">
            <v>Rates Implied Volatility</v>
          </cell>
        </row>
        <row r="6256">
          <cell r="A6256" t="str">
            <v>ALL_normvol_3y_2y</v>
          </cell>
          <cell r="B6256" t="str">
            <v>Non$ NormImplVol3x2</v>
          </cell>
          <cell r="C6256" t="str">
            <v>VOL:ALL_normvol_3y_2y</v>
          </cell>
          <cell r="D6256" t="str">
            <v>Implied Vol Duration</v>
          </cell>
          <cell r="E6256" t="str">
            <v>Implied Vol</v>
          </cell>
          <cell r="F6256" t="str">
            <v>Rates Implied Volatility</v>
          </cell>
          <cell r="G6256" t="str">
            <v>Other</v>
          </cell>
          <cell r="H6256" t="str">
            <v>VOLATILITY</v>
          </cell>
          <cell r="I6256" t="str">
            <v>Rates Implied Volatility</v>
          </cell>
        </row>
        <row r="6257">
          <cell r="A6257" t="str">
            <v>ALL_normvol_3y_3y</v>
          </cell>
          <cell r="B6257" t="str">
            <v>Non$ NormImplVol3x3</v>
          </cell>
          <cell r="C6257" t="str">
            <v>VOL:ALL_normvol_3y_3y</v>
          </cell>
          <cell r="D6257" t="str">
            <v>Implied Vol Duration</v>
          </cell>
          <cell r="E6257" t="str">
            <v>Implied Vol</v>
          </cell>
          <cell r="F6257" t="str">
            <v>Rates Implied Volatility</v>
          </cell>
          <cell r="G6257" t="str">
            <v>Other</v>
          </cell>
          <cell r="H6257" t="str">
            <v>VOLATILITY</v>
          </cell>
          <cell r="I6257" t="str">
            <v>Rates Implied Volatility</v>
          </cell>
        </row>
        <row r="6258">
          <cell r="A6258" t="str">
            <v>ALL_normvol_3y_5y</v>
          </cell>
          <cell r="B6258" t="str">
            <v>Non$ NormImplVol3x5</v>
          </cell>
          <cell r="C6258" t="str">
            <v>VOL:ALL_normvol_3y_5y</v>
          </cell>
          <cell r="D6258" t="str">
            <v>Implied Vol Duration</v>
          </cell>
          <cell r="E6258" t="str">
            <v>Implied Vol</v>
          </cell>
          <cell r="F6258" t="str">
            <v>Rates Implied Volatility</v>
          </cell>
          <cell r="G6258" t="str">
            <v>Other</v>
          </cell>
          <cell r="H6258" t="str">
            <v>VOLATILITY</v>
          </cell>
          <cell r="I6258" t="str">
            <v>Rates Implied Volatility</v>
          </cell>
        </row>
        <row r="6259">
          <cell r="A6259" t="str">
            <v>ALL_normvol_3y_7y</v>
          </cell>
          <cell r="B6259" t="str">
            <v>Non$ NormImplVol3x7</v>
          </cell>
          <cell r="C6259" t="str">
            <v>VOL:ALL_normvol_3y_7y</v>
          </cell>
          <cell r="D6259" t="str">
            <v>Implied Vol Duration</v>
          </cell>
          <cell r="E6259" t="str">
            <v>Implied Vol</v>
          </cell>
          <cell r="F6259" t="str">
            <v>Rates Implied Volatility</v>
          </cell>
          <cell r="G6259" t="str">
            <v>Other</v>
          </cell>
          <cell r="H6259" t="str">
            <v>VOLATILITY</v>
          </cell>
          <cell r="I6259" t="str">
            <v>Rates Implied Volatility</v>
          </cell>
        </row>
        <row r="6260">
          <cell r="A6260" t="str">
            <v>ALL_normvol_3y_10y</v>
          </cell>
          <cell r="B6260" t="str">
            <v>Non$ NormImplVol3x10</v>
          </cell>
          <cell r="C6260" t="str">
            <v>VOL:ALL_normvol_3y_10y</v>
          </cell>
          <cell r="D6260" t="str">
            <v>Implied Vol Duration</v>
          </cell>
          <cell r="E6260" t="str">
            <v>Implied Vol</v>
          </cell>
          <cell r="F6260" t="str">
            <v>Rates Implied Volatility</v>
          </cell>
          <cell r="G6260" t="str">
            <v>Other</v>
          </cell>
          <cell r="H6260" t="str">
            <v>VOLATILITY</v>
          </cell>
          <cell r="I6260" t="str">
            <v>Rates Implied Volatility</v>
          </cell>
        </row>
        <row r="6261">
          <cell r="A6261" t="str">
            <v>ALL_normvol_3y_15y</v>
          </cell>
          <cell r="B6261" t="str">
            <v>Non$ NormImplVol3x15</v>
          </cell>
          <cell r="C6261" t="str">
            <v>VOL:ALL_normvol_3y_15y</v>
          </cell>
          <cell r="D6261" t="str">
            <v>Implied Vol Duration</v>
          </cell>
          <cell r="E6261" t="str">
            <v>Implied Vol</v>
          </cell>
          <cell r="F6261" t="str">
            <v>Rates Implied Volatility</v>
          </cell>
          <cell r="G6261" t="str">
            <v>Other</v>
          </cell>
          <cell r="H6261" t="str">
            <v>VOLATILITY</v>
          </cell>
          <cell r="I6261" t="str">
            <v>Rates Implied Volatility</v>
          </cell>
        </row>
        <row r="6262">
          <cell r="A6262" t="str">
            <v>ALL_normvol_3y_20y</v>
          </cell>
          <cell r="B6262" t="str">
            <v>Non$ NormImplVol3x20</v>
          </cell>
          <cell r="C6262" t="str">
            <v>VOL:ALL_normvol_3y_20y</v>
          </cell>
          <cell r="D6262" t="str">
            <v>Implied Vol Duration</v>
          </cell>
          <cell r="E6262" t="str">
            <v>Implied Vol</v>
          </cell>
          <cell r="F6262" t="str">
            <v>Rates Implied Volatility</v>
          </cell>
          <cell r="G6262" t="str">
            <v>Other</v>
          </cell>
          <cell r="H6262" t="str">
            <v>VOLATILITY</v>
          </cell>
          <cell r="I6262" t="str">
            <v>Rates Implied Volatility</v>
          </cell>
        </row>
        <row r="6263">
          <cell r="A6263" t="str">
            <v>ALL_normvol_5y_1y</v>
          </cell>
          <cell r="B6263" t="str">
            <v>Non$ NormImplVol5x1</v>
          </cell>
          <cell r="C6263" t="str">
            <v>VOL:ALL_normvol_5y_1y</v>
          </cell>
          <cell r="D6263" t="str">
            <v>Implied Vol Duration</v>
          </cell>
          <cell r="E6263" t="str">
            <v>Implied Vol</v>
          </cell>
          <cell r="F6263" t="str">
            <v>Rates Implied Volatility</v>
          </cell>
          <cell r="G6263" t="str">
            <v>Other</v>
          </cell>
          <cell r="H6263" t="str">
            <v>VOLATILITY</v>
          </cell>
          <cell r="I6263" t="str">
            <v>Rates Implied Volatility</v>
          </cell>
        </row>
        <row r="6264">
          <cell r="A6264" t="str">
            <v>ALL_normvol_5y_2y</v>
          </cell>
          <cell r="B6264" t="str">
            <v>Non$ NormImplVol5x2</v>
          </cell>
          <cell r="C6264" t="str">
            <v>VOL:ALL_normvol_5y_2y</v>
          </cell>
          <cell r="D6264" t="str">
            <v>Implied Vol Duration</v>
          </cell>
          <cell r="E6264" t="str">
            <v>Implied Vol</v>
          </cell>
          <cell r="F6264" t="str">
            <v>Rates Implied Volatility</v>
          </cell>
          <cell r="G6264" t="str">
            <v>Other</v>
          </cell>
          <cell r="H6264" t="str">
            <v>VOLATILITY</v>
          </cell>
          <cell r="I6264" t="str">
            <v>Rates Implied Volatility</v>
          </cell>
        </row>
        <row r="6265">
          <cell r="A6265" t="str">
            <v>ALL_normvol_5y_3y</v>
          </cell>
          <cell r="B6265" t="str">
            <v>Non$ NormImplVol5x3</v>
          </cell>
          <cell r="C6265" t="str">
            <v>VOL:ALL_normvol_5y_3y</v>
          </cell>
          <cell r="D6265" t="str">
            <v>Implied Vol Duration</v>
          </cell>
          <cell r="E6265" t="str">
            <v>Implied Vol</v>
          </cell>
          <cell r="F6265" t="str">
            <v>Rates Implied Volatility</v>
          </cell>
          <cell r="G6265" t="str">
            <v>Other</v>
          </cell>
          <cell r="H6265" t="str">
            <v>VOLATILITY</v>
          </cell>
          <cell r="I6265" t="str">
            <v>Rates Implied Volatility</v>
          </cell>
        </row>
        <row r="6266">
          <cell r="A6266" t="str">
            <v>ALL_normvol_5y_5y</v>
          </cell>
          <cell r="B6266" t="str">
            <v>Non$ NormImplVol5x5</v>
          </cell>
          <cell r="C6266" t="str">
            <v>VOL:ALL_normvol_5y_5y</v>
          </cell>
          <cell r="D6266" t="str">
            <v>Implied Vol Duration</v>
          </cell>
          <cell r="E6266" t="str">
            <v>Implied Vol</v>
          </cell>
          <cell r="F6266" t="str">
            <v>Rates Implied Volatility</v>
          </cell>
          <cell r="G6266" t="str">
            <v>Other</v>
          </cell>
          <cell r="H6266" t="str">
            <v>VOLATILITY</v>
          </cell>
          <cell r="I6266" t="str">
            <v>Rates Implied Volatility</v>
          </cell>
        </row>
        <row r="6267">
          <cell r="A6267" t="str">
            <v>ALL_normvol_5y_7y</v>
          </cell>
          <cell r="B6267" t="str">
            <v>Non$ NormImplVol5x7</v>
          </cell>
          <cell r="C6267" t="str">
            <v>VOL:ALL_normvol_5y_7y</v>
          </cell>
          <cell r="D6267" t="str">
            <v>Implied Vol Duration</v>
          </cell>
          <cell r="E6267" t="str">
            <v>Implied Vol</v>
          </cell>
          <cell r="F6267" t="str">
            <v>Rates Implied Volatility</v>
          </cell>
          <cell r="G6267" t="str">
            <v>Other</v>
          </cell>
          <cell r="H6267" t="str">
            <v>VOLATILITY</v>
          </cell>
          <cell r="I6267" t="str">
            <v>Rates Implied Volatility</v>
          </cell>
        </row>
        <row r="6268">
          <cell r="A6268" t="str">
            <v>ALL_normvol_5y_15y</v>
          </cell>
          <cell r="B6268" t="str">
            <v>Non$ NormImplVol5x15</v>
          </cell>
          <cell r="C6268" t="str">
            <v>VOL:ALL_normvol_5y_15y</v>
          </cell>
          <cell r="D6268" t="str">
            <v>Implied Vol Duration</v>
          </cell>
          <cell r="E6268" t="str">
            <v>Implied Vol</v>
          </cell>
          <cell r="F6268" t="str">
            <v>Rates Implied Volatility</v>
          </cell>
          <cell r="G6268" t="str">
            <v>Other</v>
          </cell>
          <cell r="H6268" t="str">
            <v>VOLATILITY</v>
          </cell>
          <cell r="I6268" t="str">
            <v>Rates Implied Volatility</v>
          </cell>
        </row>
        <row r="6269">
          <cell r="A6269" t="str">
            <v>ALL_normvol_5y_20y</v>
          </cell>
          <cell r="B6269" t="str">
            <v>Non$ NormImplVol5x20</v>
          </cell>
          <cell r="C6269" t="str">
            <v>VOL:ALL_normvol_5y_20y</v>
          </cell>
          <cell r="D6269" t="str">
            <v>Implied Vol Duration</v>
          </cell>
          <cell r="E6269" t="str">
            <v>Implied Vol</v>
          </cell>
          <cell r="F6269" t="str">
            <v>Rates Implied Volatility</v>
          </cell>
          <cell r="G6269" t="str">
            <v>Other</v>
          </cell>
          <cell r="H6269" t="str">
            <v>VOLATILITY</v>
          </cell>
          <cell r="I6269" t="str">
            <v>Rates Implied Volatility</v>
          </cell>
        </row>
        <row r="6270">
          <cell r="A6270" t="str">
            <v>ALL_normvol</v>
          </cell>
          <cell r="B6270" t="str">
            <v>Non$ NormImplVol5x10</v>
          </cell>
          <cell r="C6270" t="str">
            <v>VOL:ALL_normvol</v>
          </cell>
          <cell r="D6270" t="str">
            <v>Implied Vol Duration</v>
          </cell>
          <cell r="E6270" t="str">
            <v>Implied Vol</v>
          </cell>
          <cell r="F6270" t="str">
            <v>Rates Implied Volatility</v>
          </cell>
          <cell r="G6270" t="str">
            <v>Other</v>
          </cell>
          <cell r="H6270" t="str">
            <v>VOLATILITY</v>
          </cell>
          <cell r="I6270" t="str">
            <v>Rates Implied Volatility</v>
          </cell>
        </row>
        <row r="6271">
          <cell r="A6271" t="str">
            <v>ALL_impvol</v>
          </cell>
          <cell r="B6271" t="str">
            <v>Non$ Implied Vol</v>
          </cell>
          <cell r="C6271" t="str">
            <v>VOL:ALL_impvol</v>
          </cell>
          <cell r="D6271" t="str">
            <v>Implied Vol Duration</v>
          </cell>
          <cell r="E6271" t="str">
            <v>Implied Vol</v>
          </cell>
          <cell r="F6271" t="str">
            <v>Rates Implied Volatility</v>
          </cell>
          <cell r="G6271" t="str">
            <v>Other</v>
          </cell>
          <cell r="H6271" t="str">
            <v>VOLATILITY</v>
          </cell>
          <cell r="I6271" t="str">
            <v>Rates Implied Volatility</v>
          </cell>
        </row>
        <row r="6272">
          <cell r="A6272" t="str">
            <v>ALL_normvol_mtg15</v>
          </cell>
          <cell r="B6272" t="str">
            <v>Non$Norm ImplVol Mtg15y</v>
          </cell>
          <cell r="C6272" t="str">
            <v>VOL:ALL_normvol_mtg15</v>
          </cell>
          <cell r="D6272" t="str">
            <v>Implied Vol Duration</v>
          </cell>
          <cell r="E6272" t="str">
            <v>Implied Vol</v>
          </cell>
          <cell r="F6272" t="str">
            <v>Rates Implied Volatility</v>
          </cell>
          <cell r="G6272" t="str">
            <v>Other</v>
          </cell>
          <cell r="H6272" t="str">
            <v>VOLATILITY</v>
          </cell>
          <cell r="I6272" t="str">
            <v>Rates Implied Volatility</v>
          </cell>
        </row>
        <row r="6273">
          <cell r="A6273" t="str">
            <v>ALL_normvol_mtg</v>
          </cell>
          <cell r="B6273" t="str">
            <v>Non$Norm ImplVol Mtg30y</v>
          </cell>
          <cell r="C6273" t="str">
            <v>VOL:ALL_normvol_mtg</v>
          </cell>
          <cell r="D6273" t="str">
            <v>Implied Vol Duration</v>
          </cell>
          <cell r="E6273" t="str">
            <v>Implied Vol</v>
          </cell>
          <cell r="F6273" t="str">
            <v>Rates Implied Volatility</v>
          </cell>
          <cell r="G6273" t="str">
            <v>Other</v>
          </cell>
          <cell r="H6273" t="str">
            <v>VOLATILITY</v>
          </cell>
          <cell r="I6273" t="str">
            <v>Rates Implied Volatility</v>
          </cell>
        </row>
        <row r="6274">
          <cell r="A6274" t="str">
            <v>AUD_normvol_1m_10y</v>
          </cell>
          <cell r="B6274" t="str">
            <v>AUD Vol 1Mx10</v>
          </cell>
          <cell r="C6274" t="str">
            <v>VOL:AUD_normvol_1m_10y</v>
          </cell>
          <cell r="D6274" t="str">
            <v>Implied Vol Duration</v>
          </cell>
          <cell r="E6274" t="str">
            <v>Implied Vol</v>
          </cell>
          <cell r="F6274" t="str">
            <v>Rates Implied Volatility</v>
          </cell>
          <cell r="G6274" t="str">
            <v>Other</v>
          </cell>
          <cell r="H6274" t="str">
            <v>VOLATILITY</v>
          </cell>
          <cell r="I6274" t="str">
            <v>Rates Implied Volatility</v>
          </cell>
        </row>
        <row r="6275">
          <cell r="A6275" t="str">
            <v>AUD_normvol_1m_12y</v>
          </cell>
          <cell r="B6275" t="str">
            <v>AUD Vol 1Mx12</v>
          </cell>
          <cell r="C6275" t="str">
            <v>VOL:AUD_normvol_1m_12y</v>
          </cell>
          <cell r="D6275" t="str">
            <v>Implied Vol Duration</v>
          </cell>
          <cell r="E6275" t="str">
            <v>Implied Vol</v>
          </cell>
          <cell r="F6275" t="str">
            <v>Rates Implied Volatility</v>
          </cell>
          <cell r="G6275" t="str">
            <v>Other</v>
          </cell>
          <cell r="H6275" t="str">
            <v>VOLATILITY</v>
          </cell>
          <cell r="I6275" t="str">
            <v>Rates Implied Volatility</v>
          </cell>
        </row>
        <row r="6276">
          <cell r="A6276" t="str">
            <v>AUD_normvol_1m_15y</v>
          </cell>
          <cell r="B6276" t="str">
            <v>AUD Vol 1Mx15</v>
          </cell>
          <cell r="C6276" t="str">
            <v>VOL:AUD_normvol_1m_15y</v>
          </cell>
          <cell r="D6276" t="str">
            <v>Implied Vol Duration</v>
          </cell>
          <cell r="E6276" t="str">
            <v>Implied Vol</v>
          </cell>
          <cell r="F6276" t="str">
            <v>Rates Implied Volatility</v>
          </cell>
          <cell r="G6276" t="str">
            <v>Other</v>
          </cell>
          <cell r="H6276" t="str">
            <v>VOLATILITY</v>
          </cell>
          <cell r="I6276" t="str">
            <v>Rates Implied Volatility</v>
          </cell>
        </row>
        <row r="6277">
          <cell r="A6277" t="str">
            <v>AUD_normvol_1m_1y</v>
          </cell>
          <cell r="B6277" t="str">
            <v>AUD Vol 1Mx1</v>
          </cell>
          <cell r="C6277" t="str">
            <v>VOL:AUD_normvol_1m_1y</v>
          </cell>
          <cell r="D6277" t="str">
            <v>Implied Vol Duration</v>
          </cell>
          <cell r="E6277" t="str">
            <v>Implied Vol</v>
          </cell>
          <cell r="F6277" t="str">
            <v>Rates Implied Volatility</v>
          </cell>
          <cell r="G6277" t="str">
            <v>Other</v>
          </cell>
          <cell r="H6277" t="str">
            <v>VOLATILITY</v>
          </cell>
          <cell r="I6277" t="str">
            <v>Rates Implied Volatility</v>
          </cell>
        </row>
        <row r="6278">
          <cell r="A6278" t="str">
            <v>AUD_normvol_1m_20y</v>
          </cell>
          <cell r="B6278" t="str">
            <v>AUD Vol 1Mx20</v>
          </cell>
          <cell r="C6278" t="str">
            <v>VOL:AUD_normvol_1m_20y</v>
          </cell>
          <cell r="D6278" t="str">
            <v>Implied Vol Duration</v>
          </cell>
          <cell r="E6278" t="str">
            <v>Implied Vol</v>
          </cell>
          <cell r="F6278" t="str">
            <v>Rates Implied Volatility</v>
          </cell>
          <cell r="G6278" t="str">
            <v>Other</v>
          </cell>
          <cell r="H6278" t="str">
            <v>VOLATILITY</v>
          </cell>
          <cell r="I6278" t="str">
            <v>Rates Implied Volatility</v>
          </cell>
        </row>
        <row r="6279">
          <cell r="A6279" t="str">
            <v>AUD_normvol_1m_25y</v>
          </cell>
          <cell r="B6279" t="str">
            <v>AUD Vol 1Mx25</v>
          </cell>
          <cell r="C6279" t="str">
            <v>VOL:AUD_normvol_1m_25y</v>
          </cell>
          <cell r="D6279" t="str">
            <v>Implied Vol Duration</v>
          </cell>
          <cell r="E6279" t="str">
            <v>Implied Vol</v>
          </cell>
          <cell r="F6279" t="str">
            <v>Rates Implied Volatility</v>
          </cell>
          <cell r="G6279" t="str">
            <v>Other</v>
          </cell>
          <cell r="H6279" t="str">
            <v>VOLATILITY</v>
          </cell>
          <cell r="I6279" t="str">
            <v>Rates Implied Volatility</v>
          </cell>
        </row>
        <row r="6280">
          <cell r="A6280" t="str">
            <v>AUD_normvol_1m_2y</v>
          </cell>
          <cell r="B6280" t="str">
            <v>AUD Vol 1Mx2</v>
          </cell>
          <cell r="C6280" t="str">
            <v>VOL:AUD_normvol_1m_2y</v>
          </cell>
          <cell r="D6280" t="str">
            <v>Implied Vol Duration</v>
          </cell>
          <cell r="E6280" t="str">
            <v>Implied Vol</v>
          </cell>
          <cell r="F6280" t="str">
            <v>Rates Implied Volatility</v>
          </cell>
          <cell r="G6280" t="str">
            <v>Other</v>
          </cell>
          <cell r="H6280" t="str">
            <v>VOLATILITY</v>
          </cell>
          <cell r="I6280" t="str">
            <v>Rates Implied Volatility</v>
          </cell>
        </row>
        <row r="6281">
          <cell r="A6281" t="str">
            <v>AUD_normvol_1m_30y</v>
          </cell>
          <cell r="B6281" t="str">
            <v>AUD Vol 1Mx30</v>
          </cell>
          <cell r="C6281" t="str">
            <v>VOL:AUD_normvol_1m_30y</v>
          </cell>
          <cell r="D6281" t="str">
            <v>Implied Vol Duration</v>
          </cell>
          <cell r="E6281" t="str">
            <v>Implied Vol</v>
          </cell>
          <cell r="F6281" t="str">
            <v>Rates Implied Volatility</v>
          </cell>
          <cell r="G6281" t="str">
            <v>Other</v>
          </cell>
          <cell r="H6281" t="str">
            <v>VOLATILITY</v>
          </cell>
          <cell r="I6281" t="str">
            <v>Rates Implied Volatility</v>
          </cell>
        </row>
        <row r="6282">
          <cell r="A6282" t="str">
            <v>AUD_normvol_1m_3y</v>
          </cell>
          <cell r="B6282" t="str">
            <v>AUD Vol 1Mx3</v>
          </cell>
          <cell r="C6282" t="str">
            <v>VOL:AUD_normvol_1m_3y</v>
          </cell>
          <cell r="D6282" t="str">
            <v>Implied Vol Duration</v>
          </cell>
          <cell r="E6282" t="str">
            <v>Implied Vol</v>
          </cell>
          <cell r="F6282" t="str">
            <v>Rates Implied Volatility</v>
          </cell>
          <cell r="G6282" t="str">
            <v>Other</v>
          </cell>
          <cell r="H6282" t="str">
            <v>VOLATILITY</v>
          </cell>
          <cell r="I6282" t="str">
            <v>Rates Implied Volatility</v>
          </cell>
        </row>
        <row r="6283">
          <cell r="A6283" t="str">
            <v>AUD_normvol_1m_4y</v>
          </cell>
          <cell r="B6283" t="str">
            <v>AUD Vol 1Mx4</v>
          </cell>
          <cell r="C6283" t="str">
            <v>VOL:AUD_normvol_1m_4y</v>
          </cell>
          <cell r="D6283" t="str">
            <v>Implied Vol Duration</v>
          </cell>
          <cell r="E6283" t="str">
            <v>Implied Vol</v>
          </cell>
          <cell r="F6283" t="str">
            <v>Rates Implied Volatility</v>
          </cell>
          <cell r="G6283" t="str">
            <v>Other</v>
          </cell>
          <cell r="H6283" t="str">
            <v>VOLATILITY</v>
          </cell>
          <cell r="I6283" t="str">
            <v>Rates Implied Volatility</v>
          </cell>
        </row>
        <row r="6284">
          <cell r="A6284" t="str">
            <v>AUD_normvol_1m_5y</v>
          </cell>
          <cell r="B6284" t="str">
            <v>AUD Vol 1Mx5</v>
          </cell>
          <cell r="C6284" t="str">
            <v>VOL:AUD_normvol_1m_5y</v>
          </cell>
          <cell r="D6284" t="str">
            <v>Implied Vol Duration</v>
          </cell>
          <cell r="E6284" t="str">
            <v>Implied Vol</v>
          </cell>
          <cell r="F6284" t="str">
            <v>Rates Implied Volatility</v>
          </cell>
          <cell r="G6284" t="str">
            <v>Other</v>
          </cell>
          <cell r="H6284" t="str">
            <v>VOLATILITY</v>
          </cell>
          <cell r="I6284" t="str">
            <v>Rates Implied Volatility</v>
          </cell>
        </row>
        <row r="6285">
          <cell r="A6285" t="str">
            <v>AUD_normvol_1m_7y</v>
          </cell>
          <cell r="B6285" t="str">
            <v>AUD Vol 1Mx7</v>
          </cell>
          <cell r="C6285" t="str">
            <v>VOL:AUD_normvol_1m_7y</v>
          </cell>
          <cell r="D6285" t="str">
            <v>Implied Vol Duration</v>
          </cell>
          <cell r="E6285" t="str">
            <v>Implied Vol</v>
          </cell>
          <cell r="F6285" t="str">
            <v>Rates Implied Volatility</v>
          </cell>
          <cell r="G6285" t="str">
            <v>Other</v>
          </cell>
          <cell r="H6285" t="str">
            <v>VOLATILITY</v>
          </cell>
          <cell r="I6285" t="str">
            <v>Rates Implied Volatility</v>
          </cell>
        </row>
        <row r="6286">
          <cell r="A6286" t="str">
            <v>AUD_normvol_1y_10y</v>
          </cell>
          <cell r="B6286" t="str">
            <v>AUD Vol 1x10</v>
          </cell>
          <cell r="C6286" t="str">
            <v>VOL:AUD_normvol_1y_10y</v>
          </cell>
          <cell r="D6286" t="str">
            <v>Implied Vol Duration</v>
          </cell>
          <cell r="E6286" t="str">
            <v>Implied Vol</v>
          </cell>
          <cell r="F6286" t="str">
            <v>Rates Implied Volatility</v>
          </cell>
          <cell r="G6286" t="str">
            <v>Other</v>
          </cell>
          <cell r="H6286" t="str">
            <v>VOLATILITY</v>
          </cell>
          <cell r="I6286" t="str">
            <v>Rates Implied Volatility</v>
          </cell>
        </row>
        <row r="6287">
          <cell r="A6287" t="str">
            <v>AUD_normvol_1y_12y</v>
          </cell>
          <cell r="B6287" t="str">
            <v>AUD Vol 1x12</v>
          </cell>
          <cell r="C6287" t="str">
            <v>VOL:AUD_normvol_1y_12y</v>
          </cell>
          <cell r="D6287" t="str">
            <v>Implied Vol Duration</v>
          </cell>
          <cell r="E6287" t="str">
            <v>Implied Vol</v>
          </cell>
          <cell r="F6287" t="str">
            <v>Rates Implied Volatility</v>
          </cell>
          <cell r="G6287" t="str">
            <v>Other</v>
          </cell>
          <cell r="H6287" t="str">
            <v>VOLATILITY</v>
          </cell>
          <cell r="I6287" t="str">
            <v>Rates Implied Volatility</v>
          </cell>
        </row>
        <row r="6288">
          <cell r="A6288" t="str">
            <v>AUD_normvol_1y_15y</v>
          </cell>
          <cell r="B6288" t="str">
            <v>AUD Vol 1x15</v>
          </cell>
          <cell r="C6288" t="str">
            <v>VOL:AUD_normvol_1y_15y</v>
          </cell>
          <cell r="D6288" t="str">
            <v>Implied Vol Duration</v>
          </cell>
          <cell r="E6288" t="str">
            <v>Implied Vol</v>
          </cell>
          <cell r="F6288" t="str">
            <v>Rates Implied Volatility</v>
          </cell>
          <cell r="G6288" t="str">
            <v>Other</v>
          </cell>
          <cell r="H6288" t="str">
            <v>VOLATILITY</v>
          </cell>
          <cell r="I6288" t="str">
            <v>Rates Implied Volatility</v>
          </cell>
        </row>
        <row r="6289">
          <cell r="A6289" t="str">
            <v>AUD_normvol_1y_1y</v>
          </cell>
          <cell r="B6289" t="str">
            <v>AUD Vol 1x1</v>
          </cell>
          <cell r="C6289" t="str">
            <v>VOL:AUD_normvol_1y_1y</v>
          </cell>
          <cell r="D6289" t="str">
            <v>Implied Vol Duration</v>
          </cell>
          <cell r="E6289" t="str">
            <v>Implied Vol</v>
          </cell>
          <cell r="F6289" t="str">
            <v>Rates Implied Volatility</v>
          </cell>
          <cell r="G6289" t="str">
            <v>Other</v>
          </cell>
          <cell r="H6289" t="str">
            <v>VOLATILITY</v>
          </cell>
          <cell r="I6289" t="str">
            <v>Rates Implied Volatility</v>
          </cell>
        </row>
        <row r="6290">
          <cell r="A6290" t="str">
            <v>AUD_normvol_1y_20y</v>
          </cell>
          <cell r="B6290" t="str">
            <v>AUD Vol 1x20</v>
          </cell>
          <cell r="C6290" t="str">
            <v>VOL:AUD_normvol_1y_20y</v>
          </cell>
          <cell r="D6290" t="str">
            <v>Implied Vol Duration</v>
          </cell>
          <cell r="E6290" t="str">
            <v>Implied Vol</v>
          </cell>
          <cell r="F6290" t="str">
            <v>Rates Implied Volatility</v>
          </cell>
          <cell r="G6290" t="str">
            <v>Other</v>
          </cell>
          <cell r="H6290" t="str">
            <v>VOLATILITY</v>
          </cell>
          <cell r="I6290" t="str">
            <v>Rates Implied Volatility</v>
          </cell>
        </row>
        <row r="6291">
          <cell r="A6291" t="str">
            <v>AUD_normvol_1y_25y</v>
          </cell>
          <cell r="B6291" t="str">
            <v>AUD Vol 1x25</v>
          </cell>
          <cell r="C6291" t="str">
            <v>VOL:AUD_normvol_1y_25y</v>
          </cell>
          <cell r="D6291" t="str">
            <v>Implied Vol Duration</v>
          </cell>
          <cell r="E6291" t="str">
            <v>Implied Vol</v>
          </cell>
          <cell r="F6291" t="str">
            <v>Rates Implied Volatility</v>
          </cell>
          <cell r="G6291" t="str">
            <v>Other</v>
          </cell>
          <cell r="H6291" t="str">
            <v>VOLATILITY</v>
          </cell>
          <cell r="I6291" t="str">
            <v>Rates Implied Volatility</v>
          </cell>
        </row>
        <row r="6292">
          <cell r="A6292" t="str">
            <v>AUD_normvol_1y_2y</v>
          </cell>
          <cell r="B6292" t="str">
            <v>AUD Vol 1x2</v>
          </cell>
          <cell r="C6292" t="str">
            <v>VOL:AUD_normvol_1y_2y</v>
          </cell>
          <cell r="D6292" t="str">
            <v>Implied Vol Duration</v>
          </cell>
          <cell r="E6292" t="str">
            <v>Implied Vol</v>
          </cell>
          <cell r="F6292" t="str">
            <v>Rates Implied Volatility</v>
          </cell>
          <cell r="G6292" t="str">
            <v>Other</v>
          </cell>
          <cell r="H6292" t="str">
            <v>VOLATILITY</v>
          </cell>
          <cell r="I6292" t="str">
            <v>Rates Implied Volatility</v>
          </cell>
        </row>
        <row r="6293">
          <cell r="A6293" t="str">
            <v>AUD_normvol_1y_30y</v>
          </cell>
          <cell r="B6293" t="str">
            <v>AUD Vol 1x30</v>
          </cell>
          <cell r="C6293" t="str">
            <v>VOL:AUD_normvol_1y_30y</v>
          </cell>
          <cell r="D6293" t="str">
            <v>Implied Vol Duration</v>
          </cell>
          <cell r="E6293" t="str">
            <v>Implied Vol</v>
          </cell>
          <cell r="F6293" t="str">
            <v>Rates Implied Volatility</v>
          </cell>
          <cell r="G6293" t="str">
            <v>Other</v>
          </cell>
          <cell r="H6293" t="str">
            <v>VOLATILITY</v>
          </cell>
          <cell r="I6293" t="str">
            <v>Rates Implied Volatility</v>
          </cell>
        </row>
        <row r="6294">
          <cell r="A6294" t="str">
            <v>AUD_normvol_1y_3y</v>
          </cell>
          <cell r="B6294" t="str">
            <v>AUD Vol 1x3</v>
          </cell>
          <cell r="C6294" t="str">
            <v>VOL:AUD_normvol_1y_3y</v>
          </cell>
          <cell r="D6294" t="str">
            <v>Implied Vol Duration</v>
          </cell>
          <cell r="E6294" t="str">
            <v>Implied Vol</v>
          </cell>
          <cell r="F6294" t="str">
            <v>Rates Implied Volatility</v>
          </cell>
          <cell r="G6294" t="str">
            <v>Other</v>
          </cell>
          <cell r="H6294" t="str">
            <v>VOLATILITY</v>
          </cell>
          <cell r="I6294" t="str">
            <v>Rates Implied Volatility</v>
          </cell>
        </row>
        <row r="6295">
          <cell r="A6295" t="str">
            <v>AUD_normvol_1y_4y</v>
          </cell>
          <cell r="B6295" t="str">
            <v>AUD Vol 1x4</v>
          </cell>
          <cell r="C6295" t="str">
            <v>VOL:AUD_normvol_1y_4y</v>
          </cell>
          <cell r="D6295" t="str">
            <v>Implied Vol Duration</v>
          </cell>
          <cell r="E6295" t="str">
            <v>Implied Vol</v>
          </cell>
          <cell r="F6295" t="str">
            <v>Rates Implied Volatility</v>
          </cell>
          <cell r="G6295" t="str">
            <v>Other</v>
          </cell>
          <cell r="H6295" t="str">
            <v>VOLATILITY</v>
          </cell>
          <cell r="I6295" t="str">
            <v>Rates Implied Volatility</v>
          </cell>
        </row>
        <row r="6296">
          <cell r="A6296" t="str">
            <v>AUD_normvol_1y_5y</v>
          </cell>
          <cell r="B6296" t="str">
            <v>AUD Vol 1x5</v>
          </cell>
          <cell r="C6296" t="str">
            <v>VOL:AUD_normvol_1y_5y</v>
          </cell>
          <cell r="D6296" t="str">
            <v>Implied Vol Duration</v>
          </cell>
          <cell r="E6296" t="str">
            <v>Implied Vol</v>
          </cell>
          <cell r="F6296" t="str">
            <v>Rates Implied Volatility</v>
          </cell>
          <cell r="G6296" t="str">
            <v>Other</v>
          </cell>
          <cell r="H6296" t="str">
            <v>VOLATILITY</v>
          </cell>
          <cell r="I6296" t="str">
            <v>Rates Implied Volatility</v>
          </cell>
        </row>
        <row r="6297">
          <cell r="A6297" t="str">
            <v>AUD_normvol_1y_7y</v>
          </cell>
          <cell r="B6297" t="str">
            <v>AUD Vol 1x7</v>
          </cell>
          <cell r="C6297" t="str">
            <v>VOL:AUD_normvol_1y_7y</v>
          </cell>
          <cell r="D6297" t="str">
            <v>Implied Vol Duration</v>
          </cell>
          <cell r="E6297" t="str">
            <v>Implied Vol</v>
          </cell>
          <cell r="F6297" t="str">
            <v>Rates Implied Volatility</v>
          </cell>
          <cell r="G6297" t="str">
            <v>Other</v>
          </cell>
          <cell r="H6297" t="str">
            <v>VOLATILITY</v>
          </cell>
          <cell r="I6297" t="str">
            <v>Rates Implied Volatility</v>
          </cell>
        </row>
        <row r="6298">
          <cell r="A6298" t="str">
            <v>AUD_normvol_2y_10y</v>
          </cell>
          <cell r="B6298" t="str">
            <v>AUD Vol 2x10</v>
          </cell>
          <cell r="C6298" t="str">
            <v>VOL:AUD_normvol_2y_10y</v>
          </cell>
          <cell r="D6298" t="str">
            <v>Implied Vol Duration</v>
          </cell>
          <cell r="E6298" t="str">
            <v>Implied Vol</v>
          </cell>
          <cell r="F6298" t="str">
            <v>Rates Implied Volatility</v>
          </cell>
          <cell r="G6298" t="str">
            <v>Other</v>
          </cell>
          <cell r="H6298" t="str">
            <v>VOLATILITY</v>
          </cell>
          <cell r="I6298" t="str">
            <v>Rates Implied Volatility</v>
          </cell>
        </row>
        <row r="6299">
          <cell r="A6299" t="str">
            <v>AUD_normvol_2y_12y</v>
          </cell>
          <cell r="B6299" t="str">
            <v>AUD Vol 2x12</v>
          </cell>
          <cell r="C6299" t="str">
            <v>VOL:AUD_normvol_2y_12y</v>
          </cell>
          <cell r="D6299" t="str">
            <v>Implied Vol Duration</v>
          </cell>
          <cell r="E6299" t="str">
            <v>Implied Vol</v>
          </cell>
          <cell r="F6299" t="str">
            <v>Rates Implied Volatility</v>
          </cell>
          <cell r="G6299" t="str">
            <v>Other</v>
          </cell>
          <cell r="H6299" t="str">
            <v>VOLATILITY</v>
          </cell>
          <cell r="I6299" t="str">
            <v>Rates Implied Volatility</v>
          </cell>
        </row>
        <row r="6300">
          <cell r="A6300" t="str">
            <v>AUD_normvol_2y_15y</v>
          </cell>
          <cell r="B6300" t="str">
            <v>AUD Vol 2x15</v>
          </cell>
          <cell r="C6300" t="str">
            <v>VOL:AUD_normvol_2y_15y</v>
          </cell>
          <cell r="D6300" t="str">
            <v>Implied Vol Duration</v>
          </cell>
          <cell r="E6300" t="str">
            <v>Implied Vol</v>
          </cell>
          <cell r="F6300" t="str">
            <v>Rates Implied Volatility</v>
          </cell>
          <cell r="G6300" t="str">
            <v>Other</v>
          </cell>
          <cell r="H6300" t="str">
            <v>VOLATILITY</v>
          </cell>
          <cell r="I6300" t="str">
            <v>Rates Implied Volatility</v>
          </cell>
        </row>
        <row r="6301">
          <cell r="A6301" t="str">
            <v>AUD_normvol_2y_1y</v>
          </cell>
          <cell r="B6301" t="str">
            <v>AUD Vol 2x1</v>
          </cell>
          <cell r="C6301" t="str">
            <v>VOL:AUD_normvol_2y_1y</v>
          </cell>
          <cell r="D6301" t="str">
            <v>Implied Vol Duration</v>
          </cell>
          <cell r="E6301" t="str">
            <v>Implied Vol</v>
          </cell>
          <cell r="F6301" t="str">
            <v>Rates Implied Volatility</v>
          </cell>
          <cell r="G6301" t="str">
            <v>Other</v>
          </cell>
          <cell r="H6301" t="str">
            <v>VOLATILITY</v>
          </cell>
          <cell r="I6301" t="str">
            <v>Rates Implied Volatility</v>
          </cell>
        </row>
        <row r="6302">
          <cell r="A6302" t="str">
            <v>AUD_normvol_2y_20y</v>
          </cell>
          <cell r="B6302" t="str">
            <v>AUD Vol 2x20</v>
          </cell>
          <cell r="C6302" t="str">
            <v>VOL:AUD_normvol_2y_20y</v>
          </cell>
          <cell r="D6302" t="str">
            <v>Implied Vol Duration</v>
          </cell>
          <cell r="E6302" t="str">
            <v>Implied Vol</v>
          </cell>
          <cell r="F6302" t="str">
            <v>Rates Implied Volatility</v>
          </cell>
          <cell r="G6302" t="str">
            <v>Other</v>
          </cell>
          <cell r="H6302" t="str">
            <v>VOLATILITY</v>
          </cell>
          <cell r="I6302" t="str">
            <v>Rates Implied Volatility</v>
          </cell>
        </row>
        <row r="6303">
          <cell r="A6303" t="str">
            <v>AUD_normvol_2y_25y</v>
          </cell>
          <cell r="B6303" t="str">
            <v>AUD Vol 2x25</v>
          </cell>
          <cell r="C6303" t="str">
            <v>VOL:AUD_normvol_2y_25y</v>
          </cell>
          <cell r="D6303" t="str">
            <v>Implied Vol Duration</v>
          </cell>
          <cell r="E6303" t="str">
            <v>Implied Vol</v>
          </cell>
          <cell r="F6303" t="str">
            <v>Rates Implied Volatility</v>
          </cell>
          <cell r="G6303" t="str">
            <v>Other</v>
          </cell>
          <cell r="H6303" t="str">
            <v>VOLATILITY</v>
          </cell>
          <cell r="I6303" t="str">
            <v>Rates Implied Volatility</v>
          </cell>
        </row>
        <row r="6304">
          <cell r="A6304" t="str">
            <v>AUD_normvol_2y_2y</v>
          </cell>
          <cell r="B6304" t="str">
            <v>AUD Vol 2x2</v>
          </cell>
          <cell r="C6304" t="str">
            <v>VOL:AUD_normvol_2y_2y</v>
          </cell>
          <cell r="D6304" t="str">
            <v>Implied Vol Duration</v>
          </cell>
          <cell r="E6304" t="str">
            <v>Implied Vol</v>
          </cell>
          <cell r="F6304" t="str">
            <v>Rates Implied Volatility</v>
          </cell>
          <cell r="G6304" t="str">
            <v>Other</v>
          </cell>
          <cell r="H6304" t="str">
            <v>VOLATILITY</v>
          </cell>
          <cell r="I6304" t="str">
            <v>Rates Implied Volatility</v>
          </cell>
        </row>
        <row r="6305">
          <cell r="A6305" t="str">
            <v>AUD_normvol_2y_30y</v>
          </cell>
          <cell r="B6305" t="str">
            <v>AUD Vol 2x30</v>
          </cell>
          <cell r="C6305" t="str">
            <v>VOL:AUD_normvol_2y_30y</v>
          </cell>
          <cell r="D6305" t="str">
            <v>Implied Vol Duration</v>
          </cell>
          <cell r="E6305" t="str">
            <v>Implied Vol</v>
          </cell>
          <cell r="F6305" t="str">
            <v>Rates Implied Volatility</v>
          </cell>
          <cell r="G6305" t="str">
            <v>Other</v>
          </cell>
          <cell r="H6305" t="str">
            <v>VOLATILITY</v>
          </cell>
          <cell r="I6305" t="str">
            <v>Rates Implied Volatility</v>
          </cell>
        </row>
        <row r="6306">
          <cell r="A6306" t="str">
            <v>AUD_normvol_2y_3y</v>
          </cell>
          <cell r="B6306" t="str">
            <v>AUD Vol 2x3</v>
          </cell>
          <cell r="C6306" t="str">
            <v>VOL:AUD_normvol_2y_3y</v>
          </cell>
          <cell r="D6306" t="str">
            <v>Implied Vol Duration</v>
          </cell>
          <cell r="E6306" t="str">
            <v>Implied Vol</v>
          </cell>
          <cell r="F6306" t="str">
            <v>Rates Implied Volatility</v>
          </cell>
          <cell r="G6306" t="str">
            <v>Other</v>
          </cell>
          <cell r="H6306" t="str">
            <v>VOLATILITY</v>
          </cell>
          <cell r="I6306" t="str">
            <v>Rates Implied Volatility</v>
          </cell>
        </row>
        <row r="6307">
          <cell r="A6307" t="str">
            <v>AUD_normvol_2y_4y</v>
          </cell>
          <cell r="B6307" t="str">
            <v>AUD Vol 2x4</v>
          </cell>
          <cell r="C6307" t="str">
            <v>VOL:AUD_normvol_2y_4y</v>
          </cell>
          <cell r="D6307" t="str">
            <v>Implied Vol Duration</v>
          </cell>
          <cell r="E6307" t="str">
            <v>Implied Vol</v>
          </cell>
          <cell r="F6307" t="str">
            <v>Rates Implied Volatility</v>
          </cell>
          <cell r="G6307" t="str">
            <v>Other</v>
          </cell>
          <cell r="H6307" t="str">
            <v>VOLATILITY</v>
          </cell>
          <cell r="I6307" t="str">
            <v>Rates Implied Volatility</v>
          </cell>
        </row>
        <row r="6308">
          <cell r="A6308" t="str">
            <v>AUD_normvol_2y_5y</v>
          </cell>
          <cell r="B6308" t="str">
            <v>AUD Vol 2x5</v>
          </cell>
          <cell r="C6308" t="str">
            <v>VOL:AUD_normvol_2y_5y</v>
          </cell>
          <cell r="D6308" t="str">
            <v>Implied Vol Duration</v>
          </cell>
          <cell r="E6308" t="str">
            <v>Implied Vol</v>
          </cell>
          <cell r="F6308" t="str">
            <v>Rates Implied Volatility</v>
          </cell>
          <cell r="G6308" t="str">
            <v>Other</v>
          </cell>
          <cell r="H6308" t="str">
            <v>VOLATILITY</v>
          </cell>
          <cell r="I6308" t="str">
            <v>Rates Implied Volatility</v>
          </cell>
        </row>
        <row r="6309">
          <cell r="A6309" t="str">
            <v>AUD_normvol_2y_7y</v>
          </cell>
          <cell r="B6309" t="str">
            <v>AUD Vol 2x7</v>
          </cell>
          <cell r="C6309" t="str">
            <v>VOL:AUD_normvol_2y_7y</v>
          </cell>
          <cell r="D6309" t="str">
            <v>Implied Vol Duration</v>
          </cell>
          <cell r="E6309" t="str">
            <v>Implied Vol</v>
          </cell>
          <cell r="F6309" t="str">
            <v>Rates Implied Volatility</v>
          </cell>
          <cell r="G6309" t="str">
            <v>Other</v>
          </cell>
          <cell r="H6309" t="str">
            <v>VOLATILITY</v>
          </cell>
          <cell r="I6309" t="str">
            <v>Rates Implied Volatility</v>
          </cell>
        </row>
        <row r="6310">
          <cell r="A6310" t="str">
            <v>AUD_normvol_3m_10y</v>
          </cell>
          <cell r="B6310" t="str">
            <v>AUD Vol 3Mx10</v>
          </cell>
          <cell r="C6310" t="str">
            <v>VOL:AUD_normvol_3m_10y</v>
          </cell>
          <cell r="D6310" t="str">
            <v>Implied Vol Duration</v>
          </cell>
          <cell r="E6310" t="str">
            <v>Implied Vol</v>
          </cell>
          <cell r="F6310" t="str">
            <v>Rates Implied Volatility</v>
          </cell>
          <cell r="G6310" t="str">
            <v>Other</v>
          </cell>
          <cell r="H6310" t="str">
            <v>VOLATILITY</v>
          </cell>
          <cell r="I6310" t="str">
            <v>Rates Implied Volatility</v>
          </cell>
        </row>
        <row r="6311">
          <cell r="A6311" t="str">
            <v>AUD_normvol_3m_12y</v>
          </cell>
          <cell r="B6311" t="str">
            <v>AUD Vol 3Mx12</v>
          </cell>
          <cell r="C6311" t="str">
            <v>VOL:AUD_normvol_3m_12y</v>
          </cell>
          <cell r="D6311" t="str">
            <v>Implied Vol Duration</v>
          </cell>
          <cell r="E6311" t="str">
            <v>Implied Vol</v>
          </cell>
          <cell r="F6311" t="str">
            <v>Rates Implied Volatility</v>
          </cell>
          <cell r="G6311" t="str">
            <v>Other</v>
          </cell>
          <cell r="H6311" t="str">
            <v>VOLATILITY</v>
          </cell>
          <cell r="I6311" t="str">
            <v>Rates Implied Volatility</v>
          </cell>
        </row>
        <row r="6312">
          <cell r="A6312" t="str">
            <v>AUD_normvol_3m_15y</v>
          </cell>
          <cell r="B6312" t="str">
            <v>AUD Vol 3Mx15</v>
          </cell>
          <cell r="C6312" t="str">
            <v>VOL:AUD_normvol_3m_15y</v>
          </cell>
          <cell r="D6312" t="str">
            <v>Implied Vol Duration</v>
          </cell>
          <cell r="E6312" t="str">
            <v>Implied Vol</v>
          </cell>
          <cell r="F6312" t="str">
            <v>Rates Implied Volatility</v>
          </cell>
          <cell r="G6312" t="str">
            <v>Other</v>
          </cell>
          <cell r="H6312" t="str">
            <v>VOLATILITY</v>
          </cell>
          <cell r="I6312" t="str">
            <v>Rates Implied Volatility</v>
          </cell>
        </row>
        <row r="6313">
          <cell r="A6313" t="str">
            <v>AUD_normvol_3m_1y</v>
          </cell>
          <cell r="B6313" t="str">
            <v>AUD Vol 3Mx1</v>
          </cell>
          <cell r="C6313" t="str">
            <v>VOL:AUD_normvol_3m_1y</v>
          </cell>
          <cell r="D6313" t="str">
            <v>Implied Vol Duration</v>
          </cell>
          <cell r="E6313" t="str">
            <v>Implied Vol</v>
          </cell>
          <cell r="F6313" t="str">
            <v>Rates Implied Volatility</v>
          </cell>
          <cell r="G6313" t="str">
            <v>Other</v>
          </cell>
          <cell r="H6313" t="str">
            <v>VOLATILITY</v>
          </cell>
          <cell r="I6313" t="str">
            <v>Rates Implied Volatility</v>
          </cell>
        </row>
        <row r="6314">
          <cell r="A6314" t="str">
            <v>AUD_normvol_3m_20y</v>
          </cell>
          <cell r="B6314" t="str">
            <v>AUD Vol 3Mx20</v>
          </cell>
          <cell r="C6314" t="str">
            <v>VOL:AUD_normvol_3m_20y</v>
          </cell>
          <cell r="D6314" t="str">
            <v>Implied Vol Duration</v>
          </cell>
          <cell r="E6314" t="str">
            <v>Implied Vol</v>
          </cell>
          <cell r="F6314" t="str">
            <v>Rates Implied Volatility</v>
          </cell>
          <cell r="G6314" t="str">
            <v>Other</v>
          </cell>
          <cell r="H6314" t="str">
            <v>VOLATILITY</v>
          </cell>
          <cell r="I6314" t="str">
            <v>Rates Implied Volatility</v>
          </cell>
        </row>
        <row r="6315">
          <cell r="A6315" t="str">
            <v>AUD_normvol_3m_25y</v>
          </cell>
          <cell r="B6315" t="str">
            <v>AUD Vol 3Mx25</v>
          </cell>
          <cell r="C6315" t="str">
            <v>VOL:AUD_normvol_3m_25y</v>
          </cell>
          <cell r="D6315" t="str">
            <v>Implied Vol Duration</v>
          </cell>
          <cell r="E6315" t="str">
            <v>Implied Vol</v>
          </cell>
          <cell r="F6315" t="str">
            <v>Rates Implied Volatility</v>
          </cell>
          <cell r="G6315" t="str">
            <v>Other</v>
          </cell>
          <cell r="H6315" t="str">
            <v>VOLATILITY</v>
          </cell>
          <cell r="I6315" t="str">
            <v>Rates Implied Volatility</v>
          </cell>
        </row>
        <row r="6316">
          <cell r="A6316" t="str">
            <v>AUD_normvol_3m_2y</v>
          </cell>
          <cell r="B6316" t="str">
            <v>AUD Vol 3Mx2</v>
          </cell>
          <cell r="C6316" t="str">
            <v>VOL:AUD_normvol_3m_2y</v>
          </cell>
          <cell r="D6316" t="str">
            <v>Implied Vol Duration</v>
          </cell>
          <cell r="E6316" t="str">
            <v>Implied Vol</v>
          </cell>
          <cell r="F6316" t="str">
            <v>Rates Implied Volatility</v>
          </cell>
          <cell r="G6316" t="str">
            <v>Other</v>
          </cell>
          <cell r="H6316" t="str">
            <v>VOLATILITY</v>
          </cell>
          <cell r="I6316" t="str">
            <v>Rates Implied Volatility</v>
          </cell>
        </row>
        <row r="6317">
          <cell r="A6317" t="str">
            <v>AUD_normvol_3m_30y</v>
          </cell>
          <cell r="B6317" t="str">
            <v>AUD Vol 3Mx30</v>
          </cell>
          <cell r="C6317" t="str">
            <v>VOL:AUD_normvol_3m_30y</v>
          </cell>
          <cell r="D6317" t="str">
            <v>Implied Vol Duration</v>
          </cell>
          <cell r="E6317" t="str">
            <v>Implied Vol</v>
          </cell>
          <cell r="F6317" t="str">
            <v>Rates Implied Volatility</v>
          </cell>
          <cell r="G6317" t="str">
            <v>Other</v>
          </cell>
          <cell r="H6317" t="str">
            <v>VOLATILITY</v>
          </cell>
          <cell r="I6317" t="str">
            <v>Rates Implied Volatility</v>
          </cell>
        </row>
        <row r="6318">
          <cell r="A6318" t="str">
            <v>AUD_normvol_3m_3y</v>
          </cell>
          <cell r="B6318" t="str">
            <v>AUD Vol 3Mx3</v>
          </cell>
          <cell r="C6318" t="str">
            <v>VOL:AUD_normvol_3m_3y</v>
          </cell>
          <cell r="D6318" t="str">
            <v>Implied Vol Duration</v>
          </cell>
          <cell r="E6318" t="str">
            <v>Implied Vol</v>
          </cell>
          <cell r="F6318" t="str">
            <v>Rates Implied Volatility</v>
          </cell>
          <cell r="G6318" t="str">
            <v>Other</v>
          </cell>
          <cell r="H6318" t="str">
            <v>VOLATILITY</v>
          </cell>
          <cell r="I6318" t="str">
            <v>Rates Implied Volatility</v>
          </cell>
        </row>
        <row r="6319">
          <cell r="A6319" t="str">
            <v>AUD_normvol_3m_4y</v>
          </cell>
          <cell r="B6319" t="str">
            <v>AUD Vol 3Mx4</v>
          </cell>
          <cell r="C6319" t="str">
            <v>VOL:AUD_normvol_3m_4y</v>
          </cell>
          <cell r="D6319" t="str">
            <v>Implied Vol Duration</v>
          </cell>
          <cell r="E6319" t="str">
            <v>Implied Vol</v>
          </cell>
          <cell r="F6319" t="str">
            <v>Rates Implied Volatility</v>
          </cell>
          <cell r="G6319" t="str">
            <v>Other</v>
          </cell>
          <cell r="H6319" t="str">
            <v>VOLATILITY</v>
          </cell>
          <cell r="I6319" t="str">
            <v>Rates Implied Volatility</v>
          </cell>
        </row>
        <row r="6320">
          <cell r="A6320" t="str">
            <v>AUD_normvol_3m_5y</v>
          </cell>
          <cell r="B6320" t="str">
            <v>AUD Vol 3Mx5</v>
          </cell>
          <cell r="C6320" t="str">
            <v>VOL:AUD_normvol_3m_5y</v>
          </cell>
          <cell r="D6320" t="str">
            <v>Implied Vol Duration</v>
          </cell>
          <cell r="E6320" t="str">
            <v>Implied Vol</v>
          </cell>
          <cell r="F6320" t="str">
            <v>Rates Implied Volatility</v>
          </cell>
          <cell r="G6320" t="str">
            <v>Other</v>
          </cell>
          <cell r="H6320" t="str">
            <v>VOLATILITY</v>
          </cell>
          <cell r="I6320" t="str">
            <v>Rates Implied Volatility</v>
          </cell>
        </row>
        <row r="6321">
          <cell r="A6321" t="str">
            <v>AUD_normvol_3m_7y</v>
          </cell>
          <cell r="B6321" t="str">
            <v>AUD Vol 3Mx7</v>
          </cell>
          <cell r="C6321" t="str">
            <v>VOL:AUD_normvol_3m_7y</v>
          </cell>
          <cell r="D6321" t="str">
            <v>Implied Vol Duration</v>
          </cell>
          <cell r="E6321" t="str">
            <v>Implied Vol</v>
          </cell>
          <cell r="F6321" t="str">
            <v>Rates Implied Volatility</v>
          </cell>
          <cell r="G6321" t="str">
            <v>Other</v>
          </cell>
          <cell r="H6321" t="str">
            <v>VOLATILITY</v>
          </cell>
          <cell r="I6321" t="str">
            <v>Rates Implied Volatility</v>
          </cell>
        </row>
        <row r="6322">
          <cell r="A6322" t="str">
            <v>AUD_normvol_3y_10y</v>
          </cell>
          <cell r="B6322" t="str">
            <v>AUD Vol 3x10</v>
          </cell>
          <cell r="C6322" t="str">
            <v>VOL:AUD_normvol_3y_10y</v>
          </cell>
          <cell r="D6322" t="str">
            <v>Implied Vol Duration</v>
          </cell>
          <cell r="E6322" t="str">
            <v>Implied Vol</v>
          </cell>
          <cell r="F6322" t="str">
            <v>Rates Implied Volatility</v>
          </cell>
          <cell r="G6322" t="str">
            <v>Other</v>
          </cell>
          <cell r="H6322" t="str">
            <v>VOLATILITY</v>
          </cell>
          <cell r="I6322" t="str">
            <v>Rates Implied Volatility</v>
          </cell>
        </row>
        <row r="6323">
          <cell r="A6323" t="str">
            <v>AUD_normvol_3y_12y</v>
          </cell>
          <cell r="B6323" t="str">
            <v>AUD Vol 3x12</v>
          </cell>
          <cell r="C6323" t="str">
            <v>VOL:AUD_normvol_3y_12y</v>
          </cell>
          <cell r="D6323" t="str">
            <v>Implied Vol Duration</v>
          </cell>
          <cell r="E6323" t="str">
            <v>Implied Vol</v>
          </cell>
          <cell r="F6323" t="str">
            <v>Rates Implied Volatility</v>
          </cell>
          <cell r="G6323" t="str">
            <v>Other</v>
          </cell>
          <cell r="H6323" t="str">
            <v>VOLATILITY</v>
          </cell>
          <cell r="I6323" t="str">
            <v>Rates Implied Volatility</v>
          </cell>
        </row>
        <row r="6324">
          <cell r="A6324" t="str">
            <v>AUD_normvol_3y_15y</v>
          </cell>
          <cell r="B6324" t="str">
            <v>AUD Vol 3x15</v>
          </cell>
          <cell r="C6324" t="str">
            <v>VOL:AUD_normvol_3y_15y</v>
          </cell>
          <cell r="D6324" t="str">
            <v>Implied Vol Duration</v>
          </cell>
          <cell r="E6324" t="str">
            <v>Implied Vol</v>
          </cell>
          <cell r="F6324" t="str">
            <v>Rates Implied Volatility</v>
          </cell>
          <cell r="G6324" t="str">
            <v>Other</v>
          </cell>
          <cell r="H6324" t="str">
            <v>VOLATILITY</v>
          </cell>
          <cell r="I6324" t="str">
            <v>Rates Implied Volatility</v>
          </cell>
        </row>
        <row r="6325">
          <cell r="A6325" t="str">
            <v>AUD_normvol_3y_1y</v>
          </cell>
          <cell r="B6325" t="str">
            <v>AUD Vol 3x1</v>
          </cell>
          <cell r="C6325" t="str">
            <v>VOL:AUD_normvol_3y_1y</v>
          </cell>
          <cell r="D6325" t="str">
            <v>Implied Vol Duration</v>
          </cell>
          <cell r="E6325" t="str">
            <v>Implied Vol</v>
          </cell>
          <cell r="F6325" t="str">
            <v>Rates Implied Volatility</v>
          </cell>
          <cell r="G6325" t="str">
            <v>Other</v>
          </cell>
          <cell r="H6325" t="str">
            <v>VOLATILITY</v>
          </cell>
          <cell r="I6325" t="str">
            <v>Rates Implied Volatility</v>
          </cell>
        </row>
        <row r="6326">
          <cell r="A6326" t="str">
            <v>AUD_normvol_3y_20y</v>
          </cell>
          <cell r="B6326" t="str">
            <v>AUD Vol 3x20</v>
          </cell>
          <cell r="C6326" t="str">
            <v>VOL:AUD_normvol_3y_20y</v>
          </cell>
          <cell r="D6326" t="str">
            <v>Implied Vol Duration</v>
          </cell>
          <cell r="E6326" t="str">
            <v>Implied Vol</v>
          </cell>
          <cell r="F6326" t="str">
            <v>Rates Implied Volatility</v>
          </cell>
          <cell r="G6326" t="str">
            <v>Other</v>
          </cell>
          <cell r="H6326" t="str">
            <v>VOLATILITY</v>
          </cell>
          <cell r="I6326" t="str">
            <v>Rates Implied Volatility</v>
          </cell>
        </row>
        <row r="6327">
          <cell r="A6327" t="str">
            <v>AUD_normvol_3y_25y</v>
          </cell>
          <cell r="B6327" t="str">
            <v>AUD Vol 3x25</v>
          </cell>
          <cell r="C6327" t="str">
            <v>VOL:AUD_normvol_3y_25y</v>
          </cell>
          <cell r="D6327" t="str">
            <v>Implied Vol Duration</v>
          </cell>
          <cell r="E6327" t="str">
            <v>Implied Vol</v>
          </cell>
          <cell r="F6327" t="str">
            <v>Rates Implied Volatility</v>
          </cell>
          <cell r="G6327" t="str">
            <v>Other</v>
          </cell>
          <cell r="H6327" t="str">
            <v>VOLATILITY</v>
          </cell>
          <cell r="I6327" t="str">
            <v>Rates Implied Volatility</v>
          </cell>
        </row>
        <row r="6328">
          <cell r="A6328" t="str">
            <v>AUD_normvol_3y_2y</v>
          </cell>
          <cell r="B6328" t="str">
            <v>AUD Vol 3x2</v>
          </cell>
          <cell r="C6328" t="str">
            <v>VOL:AUD_normvol_3y_2y</v>
          </cell>
          <cell r="D6328" t="str">
            <v>Implied Vol Duration</v>
          </cell>
          <cell r="E6328" t="str">
            <v>Implied Vol</v>
          </cell>
          <cell r="F6328" t="str">
            <v>Rates Implied Volatility</v>
          </cell>
          <cell r="G6328" t="str">
            <v>Other</v>
          </cell>
          <cell r="H6328" t="str">
            <v>VOLATILITY</v>
          </cell>
          <cell r="I6328" t="str">
            <v>Rates Implied Volatility</v>
          </cell>
        </row>
        <row r="6329">
          <cell r="A6329" t="str">
            <v>AUD_normvol_3y_30y</v>
          </cell>
          <cell r="B6329" t="str">
            <v>AUD Vol 3x30</v>
          </cell>
          <cell r="C6329" t="str">
            <v>VOL:AUD_normvol_3y_30y</v>
          </cell>
          <cell r="D6329" t="str">
            <v>Implied Vol Duration</v>
          </cell>
          <cell r="E6329" t="str">
            <v>Implied Vol</v>
          </cell>
          <cell r="F6329" t="str">
            <v>Rates Implied Volatility</v>
          </cell>
          <cell r="G6329" t="str">
            <v>Other</v>
          </cell>
          <cell r="H6329" t="str">
            <v>VOLATILITY</v>
          </cell>
          <cell r="I6329" t="str">
            <v>Rates Implied Volatility</v>
          </cell>
        </row>
        <row r="6330">
          <cell r="A6330" t="str">
            <v>AUD_normvol_3y_3y</v>
          </cell>
          <cell r="B6330" t="str">
            <v>AUD Vol 3x3</v>
          </cell>
          <cell r="C6330" t="str">
            <v>VOL:AUD_normvol_3y_3y</v>
          </cell>
          <cell r="D6330" t="str">
            <v>Implied Vol Duration</v>
          </cell>
          <cell r="E6330" t="str">
            <v>Implied Vol</v>
          </cell>
          <cell r="F6330" t="str">
            <v>Rates Implied Volatility</v>
          </cell>
          <cell r="G6330" t="str">
            <v>Other</v>
          </cell>
          <cell r="H6330" t="str">
            <v>VOLATILITY</v>
          </cell>
          <cell r="I6330" t="str">
            <v>Rates Implied Volatility</v>
          </cell>
        </row>
        <row r="6331">
          <cell r="A6331" t="str">
            <v>AUD_normvol_3y_4y</v>
          </cell>
          <cell r="B6331" t="str">
            <v>AUD Vol 3x4</v>
          </cell>
          <cell r="C6331" t="str">
            <v>VOL:AUD_normvol_3y_4y</v>
          </cell>
          <cell r="D6331" t="str">
            <v>Implied Vol Duration</v>
          </cell>
          <cell r="E6331" t="str">
            <v>Implied Vol</v>
          </cell>
          <cell r="F6331" t="str">
            <v>Rates Implied Volatility</v>
          </cell>
          <cell r="G6331" t="str">
            <v>Other</v>
          </cell>
          <cell r="H6331" t="str">
            <v>VOLATILITY</v>
          </cell>
          <cell r="I6331" t="str">
            <v>Rates Implied Volatility</v>
          </cell>
        </row>
        <row r="6332">
          <cell r="A6332" t="str">
            <v>AUD_normvol_3y_5y</v>
          </cell>
          <cell r="B6332" t="str">
            <v>AUD Vol 3x5</v>
          </cell>
          <cell r="C6332" t="str">
            <v>VOL:AUD_normvol_3y_5y</v>
          </cell>
          <cell r="D6332" t="str">
            <v>Implied Vol Duration</v>
          </cell>
          <cell r="E6332" t="str">
            <v>Implied Vol</v>
          </cell>
          <cell r="F6332" t="str">
            <v>Rates Implied Volatility</v>
          </cell>
          <cell r="G6332" t="str">
            <v>Other</v>
          </cell>
          <cell r="H6332" t="str">
            <v>VOLATILITY</v>
          </cell>
          <cell r="I6332" t="str">
            <v>Rates Implied Volatility</v>
          </cell>
        </row>
        <row r="6333">
          <cell r="A6333" t="str">
            <v>AUD_normvol_3y_7y</v>
          </cell>
          <cell r="B6333" t="str">
            <v>AUD Vol 3x7</v>
          </cell>
          <cell r="C6333" t="str">
            <v>VOL:AUD_normvol_3y_7y</v>
          </cell>
          <cell r="D6333" t="str">
            <v>Implied Vol Duration</v>
          </cell>
          <cell r="E6333" t="str">
            <v>Implied Vol</v>
          </cell>
          <cell r="F6333" t="str">
            <v>Rates Implied Volatility</v>
          </cell>
          <cell r="G6333" t="str">
            <v>Other</v>
          </cell>
          <cell r="H6333" t="str">
            <v>VOLATILITY</v>
          </cell>
          <cell r="I6333" t="str">
            <v>Rates Implied Volatility</v>
          </cell>
        </row>
        <row r="6334">
          <cell r="A6334" t="str">
            <v>AUD_normvol_5y_10y</v>
          </cell>
          <cell r="B6334" t="str">
            <v>AUD Vol 5x10</v>
          </cell>
          <cell r="C6334" t="str">
            <v>VOL:AUD_normvol_5y_10y</v>
          </cell>
          <cell r="D6334" t="str">
            <v>Implied Vol Duration</v>
          </cell>
          <cell r="E6334" t="str">
            <v>Implied Vol</v>
          </cell>
          <cell r="F6334" t="str">
            <v>Rates Implied Volatility</v>
          </cell>
          <cell r="G6334" t="str">
            <v>Other</v>
          </cell>
          <cell r="H6334" t="str">
            <v>VOLATILITY</v>
          </cell>
          <cell r="I6334" t="str">
            <v>Rates Implied Volatility</v>
          </cell>
        </row>
        <row r="6335">
          <cell r="A6335" t="str">
            <v>AUD_normvol_5y_12y</v>
          </cell>
          <cell r="B6335" t="str">
            <v>AUD Vol 5x12</v>
          </cell>
          <cell r="C6335" t="str">
            <v>VOL:AUD_normvol_5y_12y</v>
          </cell>
          <cell r="D6335" t="str">
            <v>Implied Vol Duration</v>
          </cell>
          <cell r="E6335" t="str">
            <v>Implied Vol</v>
          </cell>
          <cell r="F6335" t="str">
            <v>Rates Implied Volatility</v>
          </cell>
          <cell r="G6335" t="str">
            <v>Other</v>
          </cell>
          <cell r="H6335" t="str">
            <v>VOLATILITY</v>
          </cell>
          <cell r="I6335" t="str">
            <v>Rates Implied Volatility</v>
          </cell>
        </row>
        <row r="6336">
          <cell r="A6336" t="str">
            <v>AUD_normvol_5y_15y</v>
          </cell>
          <cell r="B6336" t="str">
            <v>AUD Vol 5x15</v>
          </cell>
          <cell r="C6336" t="str">
            <v>VOL:AUD_normvol_5y_15y</v>
          </cell>
          <cell r="D6336" t="str">
            <v>Implied Vol Duration</v>
          </cell>
          <cell r="E6336" t="str">
            <v>Implied Vol</v>
          </cell>
          <cell r="F6336" t="str">
            <v>Rates Implied Volatility</v>
          </cell>
          <cell r="G6336" t="str">
            <v>Other</v>
          </cell>
          <cell r="H6336" t="str">
            <v>VOLATILITY</v>
          </cell>
          <cell r="I6336" t="str">
            <v>Rates Implied Volatility</v>
          </cell>
        </row>
        <row r="6337">
          <cell r="A6337" t="str">
            <v>AUD_normvol_5y_1y</v>
          </cell>
          <cell r="B6337" t="str">
            <v>AUD Vol 5x1</v>
          </cell>
          <cell r="C6337" t="str">
            <v>VOL:AUD_normvol_5y_1y</v>
          </cell>
          <cell r="D6337" t="str">
            <v>Implied Vol Duration</v>
          </cell>
          <cell r="E6337" t="str">
            <v>Implied Vol</v>
          </cell>
          <cell r="F6337" t="str">
            <v>Rates Implied Volatility</v>
          </cell>
          <cell r="G6337" t="str">
            <v>Other</v>
          </cell>
          <cell r="H6337" t="str">
            <v>VOLATILITY</v>
          </cell>
          <cell r="I6337" t="str">
            <v>Rates Implied Volatility</v>
          </cell>
        </row>
        <row r="6338">
          <cell r="A6338" t="str">
            <v>AUD_normvol_5y_20y</v>
          </cell>
          <cell r="B6338" t="str">
            <v>AUD Vol 5x20</v>
          </cell>
          <cell r="C6338" t="str">
            <v>VOL:AUD_normvol_5y_20y</v>
          </cell>
          <cell r="D6338" t="str">
            <v>Implied Vol Duration</v>
          </cell>
          <cell r="E6338" t="str">
            <v>Implied Vol</v>
          </cell>
          <cell r="F6338" t="str">
            <v>Rates Implied Volatility</v>
          </cell>
          <cell r="G6338" t="str">
            <v>Other</v>
          </cell>
          <cell r="H6338" t="str">
            <v>VOLATILITY</v>
          </cell>
          <cell r="I6338" t="str">
            <v>Rates Implied Volatility</v>
          </cell>
        </row>
        <row r="6339">
          <cell r="A6339" t="str">
            <v>AUD_normvol_5y_25y</v>
          </cell>
          <cell r="B6339" t="str">
            <v>AUD Vol 5x25</v>
          </cell>
          <cell r="C6339" t="str">
            <v>VOL:AUD_normvol_5y_25y</v>
          </cell>
          <cell r="D6339" t="str">
            <v>Implied Vol Duration</v>
          </cell>
          <cell r="E6339" t="str">
            <v>Implied Vol</v>
          </cell>
          <cell r="F6339" t="str">
            <v>Rates Implied Volatility</v>
          </cell>
          <cell r="G6339" t="str">
            <v>Other</v>
          </cell>
          <cell r="H6339" t="str">
            <v>VOLATILITY</v>
          </cell>
          <cell r="I6339" t="str">
            <v>Rates Implied Volatility</v>
          </cell>
        </row>
        <row r="6340">
          <cell r="A6340" t="str">
            <v>AUD_normvol_5y_2y</v>
          </cell>
          <cell r="B6340" t="str">
            <v>AUD Vol 5x2</v>
          </cell>
          <cell r="C6340" t="str">
            <v>VOL:AUD_normvol_5y_2y</v>
          </cell>
          <cell r="D6340" t="str">
            <v>Implied Vol Duration</v>
          </cell>
          <cell r="E6340" t="str">
            <v>Implied Vol</v>
          </cell>
          <cell r="F6340" t="str">
            <v>Rates Implied Volatility</v>
          </cell>
          <cell r="G6340" t="str">
            <v>Other</v>
          </cell>
          <cell r="H6340" t="str">
            <v>VOLATILITY</v>
          </cell>
          <cell r="I6340" t="str">
            <v>Rates Implied Volatility</v>
          </cell>
        </row>
        <row r="6341">
          <cell r="A6341" t="str">
            <v>AUD_normvol_5y_30y</v>
          </cell>
          <cell r="B6341" t="str">
            <v>AUD Vol 5x30</v>
          </cell>
          <cell r="C6341" t="str">
            <v>VOL:AUD_normvol_5y_30y</v>
          </cell>
          <cell r="D6341" t="str">
            <v>Implied Vol Duration</v>
          </cell>
          <cell r="E6341" t="str">
            <v>Implied Vol</v>
          </cell>
          <cell r="F6341" t="str">
            <v>Rates Implied Volatility</v>
          </cell>
          <cell r="G6341" t="str">
            <v>Other</v>
          </cell>
          <cell r="H6341" t="str">
            <v>VOLATILITY</v>
          </cell>
          <cell r="I6341" t="str">
            <v>Rates Implied Volatility</v>
          </cell>
        </row>
        <row r="6342">
          <cell r="A6342" t="str">
            <v>AUD_normvol_5y_3y</v>
          </cell>
          <cell r="B6342" t="str">
            <v>AUD Vol 5x3</v>
          </cell>
          <cell r="C6342" t="str">
            <v>VOL:AUD_normvol_5y_3y</v>
          </cell>
          <cell r="D6342" t="str">
            <v>Implied Vol Duration</v>
          </cell>
          <cell r="E6342" t="str">
            <v>Implied Vol</v>
          </cell>
          <cell r="F6342" t="str">
            <v>Rates Implied Volatility</v>
          </cell>
          <cell r="G6342" t="str">
            <v>Other</v>
          </cell>
          <cell r="H6342" t="str">
            <v>VOLATILITY</v>
          </cell>
          <cell r="I6342" t="str">
            <v>Rates Implied Volatility</v>
          </cell>
        </row>
        <row r="6343">
          <cell r="A6343" t="str">
            <v>AUD_normvol_5y_4y</v>
          </cell>
          <cell r="B6343" t="str">
            <v>AUD Vol 5x4</v>
          </cell>
          <cell r="C6343" t="str">
            <v>VOL:AUD_normvol_5y_4y</v>
          </cell>
          <cell r="D6343" t="str">
            <v>Implied Vol Duration</v>
          </cell>
          <cell r="E6343" t="str">
            <v>Implied Vol</v>
          </cell>
          <cell r="F6343" t="str">
            <v>Rates Implied Volatility</v>
          </cell>
          <cell r="G6343" t="str">
            <v>Other</v>
          </cell>
          <cell r="H6343" t="str">
            <v>VOLATILITY</v>
          </cell>
          <cell r="I6343" t="str">
            <v>Rates Implied Volatility</v>
          </cell>
        </row>
        <row r="6344">
          <cell r="A6344" t="str">
            <v>AUD_normvol_5y_5y</v>
          </cell>
          <cell r="B6344" t="str">
            <v>AUD Vol 5x5</v>
          </cell>
          <cell r="C6344" t="str">
            <v>VOL:AUD_normvol_5y_5y</v>
          </cell>
          <cell r="D6344" t="str">
            <v>Implied Vol Duration</v>
          </cell>
          <cell r="E6344" t="str">
            <v>Implied Vol</v>
          </cell>
          <cell r="F6344" t="str">
            <v>Rates Implied Volatility</v>
          </cell>
          <cell r="G6344" t="str">
            <v>Other</v>
          </cell>
          <cell r="H6344" t="str">
            <v>VOLATILITY</v>
          </cell>
          <cell r="I6344" t="str">
            <v>Rates Implied Volatility</v>
          </cell>
        </row>
        <row r="6345">
          <cell r="A6345" t="str">
            <v>AUD_normvol_5y_7y</v>
          </cell>
          <cell r="B6345" t="str">
            <v>AUD Vol 5x7</v>
          </cell>
          <cell r="C6345" t="str">
            <v>VOL:AUD_normvol_5y_7y</v>
          </cell>
          <cell r="D6345" t="str">
            <v>Implied Vol Duration</v>
          </cell>
          <cell r="E6345" t="str">
            <v>Implied Vol</v>
          </cell>
          <cell r="F6345" t="str">
            <v>Rates Implied Volatility</v>
          </cell>
          <cell r="G6345" t="str">
            <v>Other</v>
          </cell>
          <cell r="H6345" t="str">
            <v>VOLATILITY</v>
          </cell>
          <cell r="I6345" t="str">
            <v>Rates Implied Volatility</v>
          </cell>
        </row>
        <row r="6346">
          <cell r="A6346" t="str">
            <v>AUD_normvol_6m_10y</v>
          </cell>
          <cell r="B6346" t="str">
            <v>AUD Vol 6Mx10</v>
          </cell>
          <cell r="C6346" t="str">
            <v>VOL:AUD_normvol_6m_10y</v>
          </cell>
          <cell r="D6346" t="str">
            <v>Implied Vol Duration</v>
          </cell>
          <cell r="E6346" t="str">
            <v>Implied Vol</v>
          </cell>
          <cell r="F6346" t="str">
            <v>Rates Implied Volatility</v>
          </cell>
          <cell r="G6346" t="str">
            <v>Other</v>
          </cell>
          <cell r="H6346" t="str">
            <v>VOLATILITY</v>
          </cell>
          <cell r="I6346" t="str">
            <v>Rates Implied Volatility</v>
          </cell>
        </row>
        <row r="6347">
          <cell r="A6347" t="str">
            <v>AUD_normvol_6m_12y</v>
          </cell>
          <cell r="B6347" t="str">
            <v>AUD Vol 6Mx12</v>
          </cell>
          <cell r="C6347" t="str">
            <v>VOL:AUD_normvol_6m_12y</v>
          </cell>
          <cell r="D6347" t="str">
            <v>Implied Vol Duration</v>
          </cell>
          <cell r="E6347" t="str">
            <v>Implied Vol</v>
          </cell>
          <cell r="F6347" t="str">
            <v>Rates Implied Volatility</v>
          </cell>
          <cell r="G6347" t="str">
            <v>Other</v>
          </cell>
          <cell r="H6347" t="str">
            <v>VOLATILITY</v>
          </cell>
          <cell r="I6347" t="str">
            <v>Rates Implied Volatility</v>
          </cell>
        </row>
        <row r="6348">
          <cell r="A6348" t="str">
            <v>AUD_normvol_6m_15y</v>
          </cell>
          <cell r="B6348" t="str">
            <v>AUD Vol 6Mx15</v>
          </cell>
          <cell r="C6348" t="str">
            <v>VOL:AUD_normvol_6m_15y</v>
          </cell>
          <cell r="D6348" t="str">
            <v>Implied Vol Duration</v>
          </cell>
          <cell r="E6348" t="str">
            <v>Implied Vol</v>
          </cell>
          <cell r="F6348" t="str">
            <v>Rates Implied Volatility</v>
          </cell>
          <cell r="G6348" t="str">
            <v>Other</v>
          </cell>
          <cell r="H6348" t="str">
            <v>VOLATILITY</v>
          </cell>
          <cell r="I6348" t="str">
            <v>Rates Implied Volatility</v>
          </cell>
        </row>
        <row r="6349">
          <cell r="A6349" t="str">
            <v>AUD_normvol_6m_1y</v>
          </cell>
          <cell r="B6349" t="str">
            <v>AUD Vol 6Mx1</v>
          </cell>
          <cell r="C6349" t="str">
            <v>VOL:AUD_normvol_6m_1y</v>
          </cell>
          <cell r="D6349" t="str">
            <v>Implied Vol Duration</v>
          </cell>
          <cell r="E6349" t="str">
            <v>Implied Vol</v>
          </cell>
          <cell r="F6349" t="str">
            <v>Rates Implied Volatility</v>
          </cell>
          <cell r="G6349" t="str">
            <v>Other</v>
          </cell>
          <cell r="H6349" t="str">
            <v>VOLATILITY</v>
          </cell>
          <cell r="I6349" t="str">
            <v>Rates Implied Volatility</v>
          </cell>
        </row>
        <row r="6350">
          <cell r="A6350" t="str">
            <v>AUD_normvol_6m_20y</v>
          </cell>
          <cell r="B6350" t="str">
            <v>AUD Vol 6Mx20</v>
          </cell>
          <cell r="C6350" t="str">
            <v>VOL:AUD_normvol_6m_20y</v>
          </cell>
          <cell r="D6350" t="str">
            <v>Implied Vol Duration</v>
          </cell>
          <cell r="E6350" t="str">
            <v>Implied Vol</v>
          </cell>
          <cell r="F6350" t="str">
            <v>Rates Implied Volatility</v>
          </cell>
          <cell r="G6350" t="str">
            <v>Other</v>
          </cell>
          <cell r="H6350" t="str">
            <v>VOLATILITY</v>
          </cell>
          <cell r="I6350" t="str">
            <v>Rates Implied Volatility</v>
          </cell>
        </row>
        <row r="6351">
          <cell r="A6351" t="str">
            <v>AUD_normvol_6m_25y</v>
          </cell>
          <cell r="B6351" t="str">
            <v>AUD Vol 6Mx25</v>
          </cell>
          <cell r="C6351" t="str">
            <v>VOL:AUD_normvol_6m_25y</v>
          </cell>
          <cell r="D6351" t="str">
            <v>Implied Vol Duration</v>
          </cell>
          <cell r="E6351" t="str">
            <v>Implied Vol</v>
          </cell>
          <cell r="F6351" t="str">
            <v>Rates Implied Volatility</v>
          </cell>
          <cell r="G6351" t="str">
            <v>Other</v>
          </cell>
          <cell r="H6351" t="str">
            <v>VOLATILITY</v>
          </cell>
          <cell r="I6351" t="str">
            <v>Rates Implied Volatility</v>
          </cell>
        </row>
        <row r="6352">
          <cell r="A6352" t="str">
            <v>AUD_normvol_6m_2y</v>
          </cell>
          <cell r="B6352" t="str">
            <v>AUD Vol 6Mx2</v>
          </cell>
          <cell r="C6352" t="str">
            <v>VOL:AUD_normvol_6m_2y</v>
          </cell>
          <cell r="D6352" t="str">
            <v>Implied Vol Duration</v>
          </cell>
          <cell r="E6352" t="str">
            <v>Implied Vol</v>
          </cell>
          <cell r="F6352" t="str">
            <v>Rates Implied Volatility</v>
          </cell>
          <cell r="G6352" t="str">
            <v>Other</v>
          </cell>
          <cell r="H6352" t="str">
            <v>VOLATILITY</v>
          </cell>
          <cell r="I6352" t="str">
            <v>Rates Implied Volatility</v>
          </cell>
        </row>
        <row r="6353">
          <cell r="A6353" t="str">
            <v>AUD_normvol_6m_30y</v>
          </cell>
          <cell r="B6353" t="str">
            <v>AUD Vol 6Mx30</v>
          </cell>
          <cell r="C6353" t="str">
            <v>VOL:AUD_normvol_6m_30y</v>
          </cell>
          <cell r="D6353" t="str">
            <v>Implied Vol Duration</v>
          </cell>
          <cell r="E6353" t="str">
            <v>Implied Vol</v>
          </cell>
          <cell r="F6353" t="str">
            <v>Rates Implied Volatility</v>
          </cell>
          <cell r="G6353" t="str">
            <v>Other</v>
          </cell>
          <cell r="H6353" t="str">
            <v>VOLATILITY</v>
          </cell>
          <cell r="I6353" t="str">
            <v>Rates Implied Volatility</v>
          </cell>
        </row>
        <row r="6354">
          <cell r="A6354" t="str">
            <v>AUD_normvol_6m_3y</v>
          </cell>
          <cell r="B6354" t="str">
            <v>AUD Vol 6Mx3</v>
          </cell>
          <cell r="C6354" t="str">
            <v>VOL:AUD_normvol_6m_3y</v>
          </cell>
          <cell r="D6354" t="str">
            <v>Implied Vol Duration</v>
          </cell>
          <cell r="E6354" t="str">
            <v>Implied Vol</v>
          </cell>
          <cell r="F6354" t="str">
            <v>Rates Implied Volatility</v>
          </cell>
          <cell r="G6354" t="str">
            <v>Other</v>
          </cell>
          <cell r="H6354" t="str">
            <v>VOLATILITY</v>
          </cell>
          <cell r="I6354" t="str">
            <v>Rates Implied Volatility</v>
          </cell>
        </row>
        <row r="6355">
          <cell r="A6355" t="str">
            <v>AUD_normvol_6m_4y</v>
          </cell>
          <cell r="B6355" t="str">
            <v>AUD Vol 6Mx4</v>
          </cell>
          <cell r="C6355" t="str">
            <v>VOL:AUD_normvol_6m_4y</v>
          </cell>
          <cell r="D6355" t="str">
            <v>Implied Vol Duration</v>
          </cell>
          <cell r="E6355" t="str">
            <v>Implied Vol</v>
          </cell>
          <cell r="F6355" t="str">
            <v>Rates Implied Volatility</v>
          </cell>
          <cell r="G6355" t="str">
            <v>Other</v>
          </cell>
          <cell r="H6355" t="str">
            <v>VOLATILITY</v>
          </cell>
          <cell r="I6355" t="str">
            <v>Rates Implied Volatility</v>
          </cell>
        </row>
        <row r="6356">
          <cell r="A6356" t="str">
            <v>AUD_normvol_6m_5y</v>
          </cell>
          <cell r="B6356" t="str">
            <v>AUD Vol 6Mx5</v>
          </cell>
          <cell r="C6356" t="str">
            <v>VOL:AUD_normvol_6m_5y</v>
          </cell>
          <cell r="D6356" t="str">
            <v>Implied Vol Duration</v>
          </cell>
          <cell r="E6356" t="str">
            <v>Implied Vol</v>
          </cell>
          <cell r="F6356" t="str">
            <v>Rates Implied Volatility</v>
          </cell>
          <cell r="G6356" t="str">
            <v>Other</v>
          </cell>
          <cell r="H6356" t="str">
            <v>VOLATILITY</v>
          </cell>
          <cell r="I6356" t="str">
            <v>Rates Implied Volatility</v>
          </cell>
        </row>
        <row r="6357">
          <cell r="A6357" t="str">
            <v>AUD_normvol_6m_7y</v>
          </cell>
          <cell r="B6357" t="str">
            <v>AUD Vol 6Mx7</v>
          </cell>
          <cell r="C6357" t="str">
            <v>VOL:AUD_normvol_6m_7y</v>
          </cell>
          <cell r="D6357" t="str">
            <v>Implied Vol Duration</v>
          </cell>
          <cell r="E6357" t="str">
            <v>Implied Vol</v>
          </cell>
          <cell r="F6357" t="str">
            <v>Rates Implied Volatility</v>
          </cell>
          <cell r="G6357" t="str">
            <v>Other</v>
          </cell>
          <cell r="H6357" t="str">
            <v>VOLATILITY</v>
          </cell>
          <cell r="I6357" t="str">
            <v>Rates Implied Volatility</v>
          </cell>
        </row>
        <row r="6358">
          <cell r="A6358" t="str">
            <v>ABS_SP_RISK</v>
          </cell>
          <cell r="B6358" t="str">
            <v>ABS Idiosyncratic</v>
          </cell>
          <cell r="C6358" t="str">
            <v>-BRS_GOLD_1:ABS_SP_RISK</v>
          </cell>
          <cell r="D6358" t="str">
            <v>Specific Risk</v>
          </cell>
          <cell r="E6358" t="str">
            <v>Specific Risk</v>
          </cell>
          <cell r="F6358" t="str">
            <v>Idiosyncratic</v>
          </cell>
          <cell r="G6358" t="str">
            <v>Other</v>
          </cell>
          <cell r="H6358" t="str">
            <v>SPREADS_SPECIFIC</v>
          </cell>
          <cell r="I6358" t="str">
            <v>ABS - Idiosyncratic</v>
          </cell>
        </row>
        <row r="6359">
          <cell r="A6359" t="str">
            <v>ABX_HE_06_1_AAA_px</v>
          </cell>
          <cell r="B6359" t="str">
            <v>ABX.HE.06-1.AAA.px</v>
          </cell>
          <cell r="C6359" t="str">
            <v>-BRS_GOLD_1:ABX_HE_06_1_AAA_px</v>
          </cell>
          <cell r="D6359" t="str">
            <v>Price</v>
          </cell>
          <cell r="E6359" t="str">
            <v>Price Level</v>
          </cell>
          <cell r="F6359" t="str">
            <v>Other</v>
          </cell>
          <cell r="G6359" t="str">
            <v>Other</v>
          </cell>
          <cell r="H6359" t="str">
            <v>OTHER</v>
          </cell>
          <cell r="I6359" t="str">
            <v>Other - Price</v>
          </cell>
        </row>
        <row r="6360">
          <cell r="A6360" t="str">
            <v>ABX_HE_06_1_AA_px</v>
          </cell>
          <cell r="B6360" t="str">
            <v>ABX.HE.06-1.AA.px</v>
          </cell>
          <cell r="C6360" t="str">
            <v>-BRS_GOLD_1:ABX_HE_06_1_AA_px</v>
          </cell>
          <cell r="D6360" t="str">
            <v>Price</v>
          </cell>
          <cell r="E6360" t="str">
            <v>Price Level</v>
          </cell>
          <cell r="F6360" t="str">
            <v>Other</v>
          </cell>
          <cell r="G6360" t="str">
            <v>Other</v>
          </cell>
          <cell r="H6360" t="str">
            <v>OTHER</v>
          </cell>
          <cell r="I6360" t="str">
            <v>Other - Price</v>
          </cell>
        </row>
        <row r="6361">
          <cell r="A6361" t="str">
            <v>ABX_HE_06_1_A_px</v>
          </cell>
          <cell r="B6361" t="str">
            <v>ABX.HE.06-1.A.px</v>
          </cell>
          <cell r="C6361" t="str">
            <v>-BRS_GOLD_1:ABX_HE_06_1_A_px</v>
          </cell>
          <cell r="D6361" t="str">
            <v>Price</v>
          </cell>
          <cell r="E6361" t="str">
            <v>Price Level</v>
          </cell>
          <cell r="F6361" t="str">
            <v>Other</v>
          </cell>
          <cell r="G6361" t="str">
            <v>Other</v>
          </cell>
          <cell r="H6361" t="str">
            <v>OTHER</v>
          </cell>
          <cell r="I6361" t="str">
            <v>Other - Price</v>
          </cell>
        </row>
        <row r="6362">
          <cell r="A6362" t="str">
            <v>ABX_HE_06_1_BBB_px</v>
          </cell>
          <cell r="B6362" t="str">
            <v>ABX.HE.06-1.BBB.px</v>
          </cell>
          <cell r="C6362" t="str">
            <v>-BRS_GOLD_1:ABX_HE_06_1_BBB_px</v>
          </cell>
          <cell r="D6362" t="str">
            <v>Price</v>
          </cell>
          <cell r="E6362" t="str">
            <v>Price Level</v>
          </cell>
          <cell r="F6362" t="str">
            <v>Other</v>
          </cell>
          <cell r="G6362" t="str">
            <v>Other</v>
          </cell>
          <cell r="H6362" t="str">
            <v>OTHER</v>
          </cell>
          <cell r="I6362" t="str">
            <v>Other - Price</v>
          </cell>
        </row>
        <row r="6363">
          <cell r="A6363" t="str">
            <v>ABX_HE_06_1_BBBm_px</v>
          </cell>
          <cell r="B6363" t="str">
            <v>ABX.HE.06-1.BBB-.px</v>
          </cell>
          <cell r="C6363" t="str">
            <v>-BRS_GOLD_1:ABX_HE_06_1_BBBm_px</v>
          </cell>
          <cell r="D6363" t="str">
            <v>Price</v>
          </cell>
          <cell r="E6363" t="str">
            <v>Price Level</v>
          </cell>
          <cell r="F6363" t="str">
            <v>Other</v>
          </cell>
          <cell r="G6363" t="str">
            <v>Other</v>
          </cell>
          <cell r="H6363" t="str">
            <v>OTHER</v>
          </cell>
          <cell r="I6363" t="str">
            <v>Other - Price</v>
          </cell>
        </row>
        <row r="6364">
          <cell r="A6364" t="str">
            <v>ABX_HE_06_2_AAA_px</v>
          </cell>
          <cell r="B6364" t="str">
            <v>ABX.HE.06-2.AAA.px</v>
          </cell>
          <cell r="C6364" t="str">
            <v>-BRS_GOLD_1:ABX_HE_06_2_AAA_px</v>
          </cell>
          <cell r="D6364" t="str">
            <v>Price</v>
          </cell>
          <cell r="E6364" t="str">
            <v>Price Level</v>
          </cell>
          <cell r="F6364" t="str">
            <v>Other</v>
          </cell>
          <cell r="G6364" t="str">
            <v>Other</v>
          </cell>
          <cell r="H6364" t="str">
            <v>OTHER</v>
          </cell>
          <cell r="I6364" t="str">
            <v>Other - Price</v>
          </cell>
        </row>
        <row r="6365">
          <cell r="A6365" t="str">
            <v>ABX_HE_06_2_AA_px</v>
          </cell>
          <cell r="B6365" t="str">
            <v>ABX.HE.06-2.AA.px</v>
          </cell>
          <cell r="C6365" t="str">
            <v>-BRS_GOLD_1:ABX_HE_06_2_AA_px</v>
          </cell>
          <cell r="D6365" t="str">
            <v>Price</v>
          </cell>
          <cell r="E6365" t="str">
            <v>Price Level</v>
          </cell>
          <cell r="F6365" t="str">
            <v>Other</v>
          </cell>
          <cell r="G6365" t="str">
            <v>Other</v>
          </cell>
          <cell r="H6365" t="str">
            <v>OTHER</v>
          </cell>
          <cell r="I6365" t="str">
            <v>Other - Price</v>
          </cell>
        </row>
        <row r="6366">
          <cell r="A6366" t="str">
            <v>ABX_HE_06_2_A_px</v>
          </cell>
          <cell r="B6366" t="str">
            <v>ABX.HE.06-2.A.px</v>
          </cell>
          <cell r="C6366" t="str">
            <v>-BRS_GOLD_1:ABX_HE_06_2_A_px</v>
          </cell>
          <cell r="D6366" t="str">
            <v>Price</v>
          </cell>
          <cell r="E6366" t="str">
            <v>Price Level</v>
          </cell>
          <cell r="F6366" t="str">
            <v>Other</v>
          </cell>
          <cell r="G6366" t="str">
            <v>Other</v>
          </cell>
          <cell r="H6366" t="str">
            <v>OTHER</v>
          </cell>
          <cell r="I6366" t="str">
            <v>Other - Price</v>
          </cell>
        </row>
        <row r="6367">
          <cell r="A6367" t="str">
            <v>ABX_HE_06_2_BBB_px</v>
          </cell>
          <cell r="B6367" t="str">
            <v>ABX.HE.06-2.BBB.px</v>
          </cell>
          <cell r="C6367" t="str">
            <v>-BRS_GOLD_1:ABX_HE_06_2_BBB_px</v>
          </cell>
          <cell r="D6367" t="str">
            <v>Price</v>
          </cell>
          <cell r="E6367" t="str">
            <v>Price Level</v>
          </cell>
          <cell r="F6367" t="str">
            <v>Other</v>
          </cell>
          <cell r="G6367" t="str">
            <v>Other</v>
          </cell>
          <cell r="H6367" t="str">
            <v>OTHER</v>
          </cell>
          <cell r="I6367" t="str">
            <v>Other - Price</v>
          </cell>
        </row>
        <row r="6368">
          <cell r="A6368" t="str">
            <v>ABX_HE_06_2_BBBm_px</v>
          </cell>
          <cell r="B6368" t="str">
            <v>ABX.HE.06-2.BBB-.px</v>
          </cell>
          <cell r="C6368" t="str">
            <v>-BRS_GOLD_1:ABX_HE_06_2_BBBm_px</v>
          </cell>
          <cell r="D6368" t="str">
            <v>Price</v>
          </cell>
          <cell r="E6368" t="str">
            <v>Price Level</v>
          </cell>
          <cell r="F6368" t="str">
            <v>Other</v>
          </cell>
          <cell r="G6368" t="str">
            <v>Other</v>
          </cell>
          <cell r="H6368" t="str">
            <v>OTHER</v>
          </cell>
          <cell r="I6368" t="str">
            <v>Other - Price</v>
          </cell>
        </row>
        <row r="6369">
          <cell r="A6369" t="str">
            <v>ABX_HE_07_1_AAA_px</v>
          </cell>
          <cell r="B6369" t="str">
            <v>ABX.HE.07-1.AAA.px</v>
          </cell>
          <cell r="C6369" t="str">
            <v>-BRS_GOLD_1:ABX_HE_07_1_AAA_px</v>
          </cell>
          <cell r="D6369" t="str">
            <v>Price</v>
          </cell>
          <cell r="E6369" t="str">
            <v>Price Level</v>
          </cell>
          <cell r="F6369" t="str">
            <v>Other</v>
          </cell>
          <cell r="G6369" t="str">
            <v>Other</v>
          </cell>
          <cell r="H6369" t="str">
            <v>OTHER</v>
          </cell>
          <cell r="I6369" t="str">
            <v>Other - Price</v>
          </cell>
        </row>
        <row r="6370">
          <cell r="A6370" t="str">
            <v>ABX_HE_07_1_AA_px</v>
          </cell>
          <cell r="B6370" t="str">
            <v>ABX.HE.07-1.AA.px</v>
          </cell>
          <cell r="C6370" t="str">
            <v>-BRS_GOLD_1:ABX_HE_07_1_AA_px</v>
          </cell>
          <cell r="D6370" t="str">
            <v>Price</v>
          </cell>
          <cell r="E6370" t="str">
            <v>Price Level</v>
          </cell>
          <cell r="F6370" t="str">
            <v>Other</v>
          </cell>
          <cell r="G6370" t="str">
            <v>Other</v>
          </cell>
          <cell r="H6370" t="str">
            <v>OTHER</v>
          </cell>
          <cell r="I6370" t="str">
            <v>Other - Price</v>
          </cell>
        </row>
        <row r="6371">
          <cell r="A6371" t="str">
            <v>ABX_HE_07_1_A_px</v>
          </cell>
          <cell r="B6371" t="str">
            <v>ABX.HE.07-1.A.px</v>
          </cell>
          <cell r="C6371" t="str">
            <v>-BRS_GOLD_1:ABX_HE_07_1_A_px</v>
          </cell>
          <cell r="D6371" t="str">
            <v>Price</v>
          </cell>
          <cell r="E6371" t="str">
            <v>Price Level</v>
          </cell>
          <cell r="F6371" t="str">
            <v>Other</v>
          </cell>
          <cell r="G6371" t="str">
            <v>Other</v>
          </cell>
          <cell r="H6371" t="str">
            <v>OTHER</v>
          </cell>
          <cell r="I6371" t="str">
            <v>Other - Price</v>
          </cell>
        </row>
        <row r="6372">
          <cell r="A6372" t="str">
            <v>ABX_HE_07_1_BBB_px</v>
          </cell>
          <cell r="B6372" t="str">
            <v>ABX.HE.07-1.BBB.px</v>
          </cell>
          <cell r="C6372" t="str">
            <v>-BRS_GOLD_1:ABX_HE_07_1_BBB_px</v>
          </cell>
          <cell r="D6372" t="str">
            <v>Price</v>
          </cell>
          <cell r="E6372" t="str">
            <v>Price Level</v>
          </cell>
          <cell r="F6372" t="str">
            <v>Other</v>
          </cell>
          <cell r="G6372" t="str">
            <v>Other</v>
          </cell>
          <cell r="H6372" t="str">
            <v>OTHER</v>
          </cell>
          <cell r="I6372" t="str">
            <v>Other - Price</v>
          </cell>
        </row>
        <row r="6373">
          <cell r="A6373" t="str">
            <v>ABX_HE_07_1_BBBm_px</v>
          </cell>
          <cell r="B6373" t="str">
            <v>ABX.HE.07-1.BBB-.px</v>
          </cell>
          <cell r="C6373" t="str">
            <v>-BRS_GOLD_1:ABX_HE_07_1_BBBm_px</v>
          </cell>
          <cell r="D6373" t="str">
            <v>Price</v>
          </cell>
          <cell r="E6373" t="str">
            <v>Price Level</v>
          </cell>
          <cell r="F6373" t="str">
            <v>Other</v>
          </cell>
          <cell r="G6373" t="str">
            <v>Other</v>
          </cell>
          <cell r="H6373" t="str">
            <v>OTHER</v>
          </cell>
          <cell r="I6373" t="str">
            <v>Other - Price</v>
          </cell>
        </row>
        <row r="6374">
          <cell r="A6374" t="str">
            <v>ABX_HE_07_2_AAA_px</v>
          </cell>
          <cell r="B6374" t="str">
            <v>ABX.HE.07-2.AAA.px</v>
          </cell>
          <cell r="C6374" t="str">
            <v>-BRS_GOLD_1:ABX_HE_07_2_AAA_px</v>
          </cell>
          <cell r="D6374" t="str">
            <v>Price</v>
          </cell>
          <cell r="E6374" t="str">
            <v>Price Level</v>
          </cell>
          <cell r="F6374" t="str">
            <v>Other</v>
          </cell>
          <cell r="G6374" t="str">
            <v>Other</v>
          </cell>
          <cell r="H6374" t="str">
            <v>OTHER</v>
          </cell>
          <cell r="I6374" t="str">
            <v>Other - Price</v>
          </cell>
        </row>
        <row r="6375">
          <cell r="A6375" t="str">
            <v>ABX_HE_07_2_AA_px</v>
          </cell>
          <cell r="B6375" t="str">
            <v>ABX.HE.07-2.AA.px</v>
          </cell>
          <cell r="C6375" t="str">
            <v>-BRS_GOLD_1:ABX_HE_07_2_AA_px</v>
          </cell>
          <cell r="D6375" t="str">
            <v>Price</v>
          </cell>
          <cell r="E6375" t="str">
            <v>Price Level</v>
          </cell>
          <cell r="F6375" t="str">
            <v>Other</v>
          </cell>
          <cell r="G6375" t="str">
            <v>Other</v>
          </cell>
          <cell r="H6375" t="str">
            <v>OTHER</v>
          </cell>
          <cell r="I6375" t="str">
            <v>Other - Price</v>
          </cell>
        </row>
        <row r="6376">
          <cell r="A6376" t="str">
            <v>ABX_HE_07_2_A_px</v>
          </cell>
          <cell r="B6376" t="str">
            <v>ABX.HE.07-2.A.px</v>
          </cell>
          <cell r="C6376" t="str">
            <v>-BRS_GOLD_1:ABX_HE_07_2_A_px</v>
          </cell>
          <cell r="D6376" t="str">
            <v>Price</v>
          </cell>
          <cell r="E6376" t="str">
            <v>Price Level</v>
          </cell>
          <cell r="F6376" t="str">
            <v>Other</v>
          </cell>
          <cell r="G6376" t="str">
            <v>Other</v>
          </cell>
          <cell r="H6376" t="str">
            <v>OTHER</v>
          </cell>
          <cell r="I6376" t="str">
            <v>Other - Price</v>
          </cell>
        </row>
        <row r="6377">
          <cell r="A6377" t="str">
            <v>ABX_HE_07_2_BBB_px</v>
          </cell>
          <cell r="B6377" t="str">
            <v>ABX.HE.07-2.BBB.px</v>
          </cell>
          <cell r="C6377" t="str">
            <v>-BRS_GOLD_1:ABX_HE_07_2_BBB_px</v>
          </cell>
          <cell r="D6377" t="str">
            <v>Price</v>
          </cell>
          <cell r="E6377" t="str">
            <v>Price Level</v>
          </cell>
          <cell r="F6377" t="str">
            <v>Other</v>
          </cell>
          <cell r="G6377" t="str">
            <v>Other</v>
          </cell>
          <cell r="H6377" t="str">
            <v>OTHER</v>
          </cell>
          <cell r="I6377" t="str">
            <v>Other - Price</v>
          </cell>
        </row>
        <row r="6378">
          <cell r="A6378" t="str">
            <v>ABX_HE_07_2_BBBm_px</v>
          </cell>
          <cell r="B6378" t="str">
            <v>ABX.HE.07-2.BBB-.px</v>
          </cell>
          <cell r="C6378" t="str">
            <v>-BRS_GOLD_1:ABX_HE_07_2_BBBm_px</v>
          </cell>
          <cell r="D6378" t="str">
            <v>Price</v>
          </cell>
          <cell r="E6378" t="str">
            <v>Price Level</v>
          </cell>
          <cell r="F6378" t="str">
            <v>Other</v>
          </cell>
          <cell r="G6378" t="str">
            <v>Other</v>
          </cell>
          <cell r="H6378" t="str">
            <v>OTHER</v>
          </cell>
          <cell r="I6378" t="str">
            <v>Other - Price</v>
          </cell>
        </row>
        <row r="6379">
          <cell r="A6379" t="str">
            <v>AFW_AUS_EQ_DIVYLD</v>
          </cell>
          <cell r="B6379" t="str">
            <v>AFW Style - AUS EQ Div Yld</v>
          </cell>
          <cell r="C6379" t="str">
            <v>-BRS_GOLD_1:AFW_AUS_EQ_DIVYLD</v>
          </cell>
          <cell r="D6379" t="str">
            <v>Price</v>
          </cell>
          <cell r="E6379" t="str">
            <v>Price Level</v>
          </cell>
          <cell r="F6379" t="str">
            <v>Other</v>
          </cell>
          <cell r="G6379" t="str">
            <v>Other</v>
          </cell>
          <cell r="H6379" t="str">
            <v>OTHER</v>
          </cell>
          <cell r="I6379" t="str">
            <v>Other - Price</v>
          </cell>
        </row>
        <row r="6380">
          <cell r="A6380" t="str">
            <v>AFW_AUS_EQ_MINVOL</v>
          </cell>
          <cell r="B6380" t="str">
            <v>AFW Style - AUS EQ MinVol</v>
          </cell>
          <cell r="C6380" t="str">
            <v>-BRS_GOLD_1:AFW_AUS_EQ_MINVOL</v>
          </cell>
          <cell r="D6380" t="str">
            <v>Price</v>
          </cell>
          <cell r="E6380" t="str">
            <v>Price Level</v>
          </cell>
          <cell r="F6380" t="str">
            <v>Other</v>
          </cell>
          <cell r="G6380" t="str">
            <v>Other</v>
          </cell>
          <cell r="H6380" t="str">
            <v>OTHER</v>
          </cell>
          <cell r="I6380" t="str">
            <v>Other - Price</v>
          </cell>
        </row>
        <row r="6381">
          <cell r="A6381" t="str">
            <v>AFW_AUS_EQ_MOMENTUM</v>
          </cell>
          <cell r="B6381" t="str">
            <v>AFW Style - AUS EQ Momentum</v>
          </cell>
          <cell r="C6381" t="str">
            <v>-BRS_GOLD_1:AFW_AUS_EQ_MOMENTUM</v>
          </cell>
          <cell r="D6381" t="str">
            <v>Price</v>
          </cell>
          <cell r="E6381" t="str">
            <v>Price Level</v>
          </cell>
          <cell r="F6381" t="str">
            <v>Other</v>
          </cell>
          <cell r="G6381" t="str">
            <v>Other</v>
          </cell>
          <cell r="H6381" t="str">
            <v>OTHER</v>
          </cell>
          <cell r="I6381" t="str">
            <v>Other - Price</v>
          </cell>
        </row>
        <row r="6382">
          <cell r="A6382" t="str">
            <v>AFW_AUS_EQ_QUALITY</v>
          </cell>
          <cell r="B6382" t="str">
            <v>AFW Style - AUS EQ Quality</v>
          </cell>
          <cell r="C6382" t="str">
            <v>-BRS_GOLD_1:AFW_AUS_EQ_QUALITY</v>
          </cell>
          <cell r="D6382" t="str">
            <v>Price</v>
          </cell>
          <cell r="E6382" t="str">
            <v>Price Level</v>
          </cell>
          <cell r="F6382" t="str">
            <v>Other</v>
          </cell>
          <cell r="G6382" t="str">
            <v>Other</v>
          </cell>
          <cell r="H6382" t="str">
            <v>OTHER</v>
          </cell>
          <cell r="I6382" t="str">
            <v>Other - Price</v>
          </cell>
        </row>
        <row r="6383">
          <cell r="A6383" t="str">
            <v>AFW_AUS_EQ_SIZE</v>
          </cell>
          <cell r="B6383" t="str">
            <v>AFW Style - AUS EQ Low Size</v>
          </cell>
          <cell r="C6383" t="str">
            <v>-BRS_GOLD_1:AFW_AUS_EQ_SIZE</v>
          </cell>
          <cell r="D6383" t="str">
            <v>Price</v>
          </cell>
          <cell r="E6383" t="str">
            <v>Price Level</v>
          </cell>
          <cell r="F6383" t="str">
            <v>Other</v>
          </cell>
          <cell r="G6383" t="str">
            <v>Other</v>
          </cell>
          <cell r="H6383" t="str">
            <v>OTHER</v>
          </cell>
          <cell r="I6383" t="str">
            <v>Other - Price</v>
          </cell>
        </row>
        <row r="6384">
          <cell r="A6384" t="str">
            <v>AFW_AUS_EQ_VALUE</v>
          </cell>
          <cell r="B6384" t="str">
            <v>AFW Style - AUS EQ Value</v>
          </cell>
          <cell r="C6384" t="str">
            <v>-BRS_GOLD_1:AFW_AUS_EQ_VALUE</v>
          </cell>
          <cell r="D6384" t="str">
            <v>Price</v>
          </cell>
          <cell r="E6384" t="str">
            <v>Price Level</v>
          </cell>
          <cell r="F6384" t="str">
            <v>Other</v>
          </cell>
          <cell r="G6384" t="str">
            <v>Other</v>
          </cell>
          <cell r="H6384" t="str">
            <v>OTHER</v>
          </cell>
          <cell r="I6384" t="str">
            <v>Other - Price</v>
          </cell>
        </row>
        <row r="6385">
          <cell r="A6385" t="str">
            <v>AFW_EM_EQ_DIVYLD</v>
          </cell>
          <cell r="B6385" t="str">
            <v>AFW Style - EM EQ Div Yld</v>
          </cell>
          <cell r="C6385" t="str">
            <v>-BRS_GOLD_1:AFW_EM_EQ_DIVYLD</v>
          </cell>
          <cell r="D6385" t="str">
            <v>Price</v>
          </cell>
          <cell r="E6385" t="str">
            <v>Price Level</v>
          </cell>
          <cell r="F6385" t="str">
            <v>Other</v>
          </cell>
          <cell r="G6385" t="str">
            <v>Other</v>
          </cell>
          <cell r="H6385" t="str">
            <v>OTHER</v>
          </cell>
          <cell r="I6385" t="str">
            <v>Other - Price</v>
          </cell>
        </row>
        <row r="6386">
          <cell r="A6386" t="str">
            <v>AFW_EM_EQ_MINVOL</v>
          </cell>
          <cell r="B6386" t="str">
            <v>AFW Style - EM EQ MinVol</v>
          </cell>
          <cell r="C6386" t="str">
            <v>-BRS_GOLD_1:AFW_EM_EQ_MINVOL</v>
          </cell>
          <cell r="D6386" t="str">
            <v>Price</v>
          </cell>
          <cell r="E6386" t="str">
            <v>Price Level</v>
          </cell>
          <cell r="F6386" t="str">
            <v>Other</v>
          </cell>
          <cell r="G6386" t="str">
            <v>Other</v>
          </cell>
          <cell r="H6386" t="str">
            <v>OTHER</v>
          </cell>
          <cell r="I6386" t="str">
            <v>Other - Price</v>
          </cell>
        </row>
        <row r="6387">
          <cell r="A6387" t="str">
            <v>AFW_EM_EQ_MOMENTUM</v>
          </cell>
          <cell r="B6387" t="str">
            <v>AFW Style - EM EQ Momentum</v>
          </cell>
          <cell r="C6387" t="str">
            <v>-BRS_GOLD_1:AFW_EM_EQ_MOMENTUM</v>
          </cell>
          <cell r="D6387" t="str">
            <v>Price</v>
          </cell>
          <cell r="E6387" t="str">
            <v>Price Level</v>
          </cell>
          <cell r="F6387" t="str">
            <v>Other</v>
          </cell>
          <cell r="G6387" t="str">
            <v>Other</v>
          </cell>
          <cell r="H6387" t="str">
            <v>OTHER</v>
          </cell>
          <cell r="I6387" t="str">
            <v>Other - Price</v>
          </cell>
        </row>
        <row r="6388">
          <cell r="A6388" t="str">
            <v>AFW_EM_EQ_QUALITY</v>
          </cell>
          <cell r="B6388" t="str">
            <v>AFW Style - EM EQ Quality</v>
          </cell>
          <cell r="C6388" t="str">
            <v>-BRS_GOLD_1:AFW_EM_EQ_QUALITY</v>
          </cell>
          <cell r="D6388" t="str">
            <v>Price</v>
          </cell>
          <cell r="E6388" t="str">
            <v>Price Level</v>
          </cell>
          <cell r="F6388" t="str">
            <v>Other</v>
          </cell>
          <cell r="G6388" t="str">
            <v>Other</v>
          </cell>
          <cell r="H6388" t="str">
            <v>OTHER</v>
          </cell>
          <cell r="I6388" t="str">
            <v>Other - Price</v>
          </cell>
        </row>
        <row r="6389">
          <cell r="A6389" t="str">
            <v>AFW_EM_EQ_SIZE</v>
          </cell>
          <cell r="B6389" t="str">
            <v>AFW Style - EM EQ Low Size</v>
          </cell>
          <cell r="C6389" t="str">
            <v>-BRS_GOLD_1:AFW_EM_EQ_SIZE</v>
          </cell>
          <cell r="D6389" t="str">
            <v>Price</v>
          </cell>
          <cell r="E6389" t="str">
            <v>Price Level</v>
          </cell>
          <cell r="F6389" t="str">
            <v>Other</v>
          </cell>
          <cell r="G6389" t="str">
            <v>Other</v>
          </cell>
          <cell r="H6389" t="str">
            <v>OTHER</v>
          </cell>
          <cell r="I6389" t="str">
            <v>Other - Price</v>
          </cell>
        </row>
        <row r="6390">
          <cell r="A6390" t="str">
            <v>AFW_EM_EQ_VALUE</v>
          </cell>
          <cell r="B6390" t="str">
            <v>AFW Style - EM EQ Value</v>
          </cell>
          <cell r="C6390" t="str">
            <v>-BRS_GOLD_1:AFW_EM_EQ_VALUE</v>
          </cell>
          <cell r="D6390" t="str">
            <v>Price</v>
          </cell>
          <cell r="E6390" t="str">
            <v>Price Level</v>
          </cell>
          <cell r="F6390" t="str">
            <v>Other</v>
          </cell>
          <cell r="G6390" t="str">
            <v>Other</v>
          </cell>
          <cell r="H6390" t="str">
            <v>OTHER</v>
          </cell>
          <cell r="I6390" t="str">
            <v>Other - Price</v>
          </cell>
        </row>
        <row r="6391">
          <cell r="A6391" t="str">
            <v>AFW_EUR_EQ_DIVYLD</v>
          </cell>
          <cell r="B6391" t="str">
            <v>AFW Style - EUR EQ Div Yld</v>
          </cell>
          <cell r="C6391" t="str">
            <v>-BRS_GOLD_1:AFW_EUR_EQ_DIVYLD</v>
          </cell>
          <cell r="D6391" t="str">
            <v>Price</v>
          </cell>
          <cell r="E6391" t="str">
            <v>Price Level</v>
          </cell>
          <cell r="F6391" t="str">
            <v>Other</v>
          </cell>
          <cell r="G6391" t="str">
            <v>Other</v>
          </cell>
          <cell r="H6391" t="str">
            <v>OTHER</v>
          </cell>
          <cell r="I6391" t="str">
            <v>Other - Price</v>
          </cell>
        </row>
        <row r="6392">
          <cell r="A6392" t="str">
            <v>AFW_EUR_EQ_MINVOL</v>
          </cell>
          <cell r="B6392" t="str">
            <v>AFW Style - EUR EQ MinVol</v>
          </cell>
          <cell r="C6392" t="str">
            <v>-BRS_GOLD_1:AFW_EUR_EQ_MINVOL</v>
          </cell>
          <cell r="D6392" t="str">
            <v>Price</v>
          </cell>
          <cell r="E6392" t="str">
            <v>Price Level</v>
          </cell>
          <cell r="F6392" t="str">
            <v>Other</v>
          </cell>
          <cell r="G6392" t="str">
            <v>Other</v>
          </cell>
          <cell r="H6392" t="str">
            <v>OTHER</v>
          </cell>
          <cell r="I6392" t="str">
            <v>Other - Price</v>
          </cell>
        </row>
        <row r="6393">
          <cell r="A6393" t="str">
            <v>AFW_EUR_EQ_MOMENTUM</v>
          </cell>
          <cell r="B6393" t="str">
            <v>AFW Style - EUR EQ Momentum</v>
          </cell>
          <cell r="C6393" t="str">
            <v>-BRS_GOLD_1:AFW_EUR_EQ_MOMENTUM</v>
          </cell>
          <cell r="D6393" t="str">
            <v>Price</v>
          </cell>
          <cell r="E6393" t="str">
            <v>Price Level</v>
          </cell>
          <cell r="F6393" t="str">
            <v>Other</v>
          </cell>
          <cell r="G6393" t="str">
            <v>Other</v>
          </cell>
          <cell r="H6393" t="str">
            <v>OTHER</v>
          </cell>
          <cell r="I6393" t="str">
            <v>Other - Price</v>
          </cell>
        </row>
        <row r="6394">
          <cell r="A6394" t="str">
            <v>AFW_EUR_EQ_QUALITY</v>
          </cell>
          <cell r="B6394" t="str">
            <v>AFW Style - EUR EQ Quality</v>
          </cell>
          <cell r="C6394" t="str">
            <v>-BRS_GOLD_1:AFW_EUR_EQ_QUALITY</v>
          </cell>
          <cell r="D6394" t="str">
            <v>Price</v>
          </cell>
          <cell r="E6394" t="str">
            <v>Price Level</v>
          </cell>
          <cell r="F6394" t="str">
            <v>Other</v>
          </cell>
          <cell r="G6394" t="str">
            <v>Other</v>
          </cell>
          <cell r="H6394" t="str">
            <v>OTHER</v>
          </cell>
          <cell r="I6394" t="str">
            <v>Other - Price</v>
          </cell>
        </row>
        <row r="6395">
          <cell r="A6395" t="str">
            <v>AFW_EUR_EQ_SIZE</v>
          </cell>
          <cell r="B6395" t="str">
            <v>AFW Style - EUR EQ Low Size</v>
          </cell>
          <cell r="C6395" t="str">
            <v>-BRS_GOLD_1:AFW_EUR_EQ_SIZE</v>
          </cell>
          <cell r="D6395" t="str">
            <v>Price</v>
          </cell>
          <cell r="E6395" t="str">
            <v>Price Level</v>
          </cell>
          <cell r="F6395" t="str">
            <v>Other</v>
          </cell>
          <cell r="G6395" t="str">
            <v>Other</v>
          </cell>
          <cell r="H6395" t="str">
            <v>OTHER</v>
          </cell>
          <cell r="I6395" t="str">
            <v>Other - Price</v>
          </cell>
        </row>
        <row r="6396">
          <cell r="A6396" t="str">
            <v>AFW_EUR_EQ_VALUE</v>
          </cell>
          <cell r="B6396" t="str">
            <v>AFW Style - EUR EQ Value</v>
          </cell>
          <cell r="C6396" t="str">
            <v>-BRS_GOLD_1:AFW_EUR_EQ_VALUE</v>
          </cell>
          <cell r="D6396" t="str">
            <v>Price</v>
          </cell>
          <cell r="E6396" t="str">
            <v>Price Level</v>
          </cell>
          <cell r="F6396" t="str">
            <v>Other</v>
          </cell>
          <cell r="G6396" t="str">
            <v>Other</v>
          </cell>
          <cell r="H6396" t="str">
            <v>OTHER</v>
          </cell>
          <cell r="I6396" t="str">
            <v>Other - Price</v>
          </cell>
        </row>
        <row r="6397">
          <cell r="A6397" t="str">
            <v>AFW_GLB_EQ_DIVYLD</v>
          </cell>
          <cell r="B6397" t="str">
            <v>AFW Style - Global EQ Div Yld</v>
          </cell>
          <cell r="C6397" t="str">
            <v>-BRS_GOLD_1:AFW_GLB_EQ_DIVYLD</v>
          </cell>
          <cell r="D6397" t="str">
            <v>Price</v>
          </cell>
          <cell r="E6397" t="str">
            <v>Price Level</v>
          </cell>
          <cell r="F6397" t="str">
            <v>Other</v>
          </cell>
          <cell r="G6397" t="str">
            <v>Other</v>
          </cell>
          <cell r="H6397" t="str">
            <v>OTHER</v>
          </cell>
          <cell r="I6397" t="str">
            <v>Other - Price</v>
          </cell>
        </row>
        <row r="6398">
          <cell r="A6398" t="str">
            <v>AFW_GLB_EQ_MINVOL</v>
          </cell>
          <cell r="B6398" t="str">
            <v>AFW Style - Global EQ MinVol</v>
          </cell>
          <cell r="C6398" t="str">
            <v>-BRS_GOLD_1:AFW_GLB_EQ_MINVOL</v>
          </cell>
          <cell r="D6398" t="str">
            <v>Price</v>
          </cell>
          <cell r="E6398" t="str">
            <v>Price Level</v>
          </cell>
          <cell r="F6398" t="str">
            <v>Other</v>
          </cell>
          <cell r="G6398" t="str">
            <v>Other</v>
          </cell>
          <cell r="H6398" t="str">
            <v>OTHER</v>
          </cell>
          <cell r="I6398" t="str">
            <v>Other - Price</v>
          </cell>
        </row>
        <row r="6399">
          <cell r="A6399" t="str">
            <v>AFW_GLB_EQ_MOMENTUM</v>
          </cell>
          <cell r="B6399" t="str">
            <v>AFW Style - Global EQ Momentum</v>
          </cell>
          <cell r="C6399" t="str">
            <v>-BRS_GOLD_1:AFW_GLB_EQ_MOMENTUM</v>
          </cell>
          <cell r="D6399" t="str">
            <v>Price</v>
          </cell>
          <cell r="E6399" t="str">
            <v>Price Level</v>
          </cell>
          <cell r="F6399" t="str">
            <v>Other</v>
          </cell>
          <cell r="G6399" t="str">
            <v>Other</v>
          </cell>
          <cell r="H6399" t="str">
            <v>OTHER</v>
          </cell>
          <cell r="I6399" t="str">
            <v>Other - Price</v>
          </cell>
        </row>
        <row r="6400">
          <cell r="A6400" t="str">
            <v>AFW_GLB_EQ_QUALITY</v>
          </cell>
          <cell r="B6400" t="str">
            <v>AFW Style - Global EQ Quality</v>
          </cell>
          <cell r="C6400" t="str">
            <v>-BRS_GOLD_1:AFW_GLB_EQ_QUALITY</v>
          </cell>
          <cell r="D6400" t="str">
            <v>Price</v>
          </cell>
          <cell r="E6400" t="str">
            <v>Price Level</v>
          </cell>
          <cell r="F6400" t="str">
            <v>Other</v>
          </cell>
          <cell r="G6400" t="str">
            <v>Other</v>
          </cell>
          <cell r="H6400" t="str">
            <v>OTHER</v>
          </cell>
          <cell r="I6400" t="str">
            <v>Other - Price</v>
          </cell>
        </row>
        <row r="6401">
          <cell r="A6401" t="str">
            <v>AFW_GLB_EQ_SIZE</v>
          </cell>
          <cell r="B6401" t="str">
            <v>AFW Style - Global EQ Low Size</v>
          </cell>
          <cell r="C6401" t="str">
            <v>-BRS_GOLD_1:AFW_GLB_EQ_SIZE</v>
          </cell>
          <cell r="D6401" t="str">
            <v>Price</v>
          </cell>
          <cell r="E6401" t="str">
            <v>Price Level</v>
          </cell>
          <cell r="F6401" t="str">
            <v>Other</v>
          </cell>
          <cell r="G6401" t="str">
            <v>Other</v>
          </cell>
          <cell r="H6401" t="str">
            <v>OTHER</v>
          </cell>
          <cell r="I6401" t="str">
            <v>Other - Price</v>
          </cell>
        </row>
        <row r="6402">
          <cell r="A6402" t="str">
            <v>AFW_GLB_EQ_VALUE</v>
          </cell>
          <cell r="B6402" t="str">
            <v>AFW Style - Global EQ Value</v>
          </cell>
          <cell r="C6402" t="str">
            <v>-BRS_GOLD_1:AFW_GLB_EQ_VALUE</v>
          </cell>
          <cell r="D6402" t="str">
            <v>Price</v>
          </cell>
          <cell r="E6402" t="str">
            <v>Price Level</v>
          </cell>
          <cell r="F6402" t="str">
            <v>Other</v>
          </cell>
          <cell r="G6402" t="str">
            <v>Other</v>
          </cell>
          <cell r="H6402" t="str">
            <v>OTHER</v>
          </cell>
          <cell r="I6402" t="str">
            <v>Other - Price</v>
          </cell>
        </row>
        <row r="6403">
          <cell r="A6403" t="str">
            <v>AFW_JPN_EQ_DIVYLD</v>
          </cell>
          <cell r="B6403" t="str">
            <v>AFW Style - JPN EQ Div Yld</v>
          </cell>
          <cell r="C6403" t="str">
            <v>-BRS_GOLD_1:AFW_JPN_EQ_DIVYLD</v>
          </cell>
          <cell r="D6403" t="str">
            <v>Price</v>
          </cell>
          <cell r="E6403" t="str">
            <v>Price Level</v>
          </cell>
          <cell r="F6403" t="str">
            <v>Other</v>
          </cell>
          <cell r="G6403" t="str">
            <v>Other</v>
          </cell>
          <cell r="H6403" t="str">
            <v>OTHER</v>
          </cell>
          <cell r="I6403" t="str">
            <v>Other - Price</v>
          </cell>
        </row>
        <row r="6404">
          <cell r="A6404" t="str">
            <v>AFW_JPN_EQ_MINVOL</v>
          </cell>
          <cell r="B6404" t="str">
            <v>AFW Style - JPN EQ MinVol</v>
          </cell>
          <cell r="C6404" t="str">
            <v>-BRS_GOLD_1:AFW_JPN_EQ_MINVOL</v>
          </cell>
          <cell r="D6404" t="str">
            <v>Price</v>
          </cell>
          <cell r="E6404" t="str">
            <v>Price Level</v>
          </cell>
          <cell r="F6404" t="str">
            <v>Other</v>
          </cell>
          <cell r="G6404" t="str">
            <v>Other</v>
          </cell>
          <cell r="H6404" t="str">
            <v>OTHER</v>
          </cell>
          <cell r="I6404" t="str">
            <v>Other - Price</v>
          </cell>
        </row>
        <row r="6405">
          <cell r="A6405" t="str">
            <v>AFW_JPN_EQ_MOMENTUM</v>
          </cell>
          <cell r="B6405" t="str">
            <v>AFW Style - JPN EQ Momentum</v>
          </cell>
          <cell r="C6405" t="str">
            <v>-BRS_GOLD_1:AFW_JPN_EQ_MOMENTUM</v>
          </cell>
          <cell r="D6405" t="str">
            <v>Price</v>
          </cell>
          <cell r="E6405" t="str">
            <v>Price Level</v>
          </cell>
          <cell r="F6405" t="str">
            <v>Other</v>
          </cell>
          <cell r="G6405" t="str">
            <v>Other</v>
          </cell>
          <cell r="H6405" t="str">
            <v>OTHER</v>
          </cell>
          <cell r="I6405" t="str">
            <v>Other - Price</v>
          </cell>
        </row>
        <row r="6406">
          <cell r="A6406" t="str">
            <v>AFW_JPN_EQ_QUALITY</v>
          </cell>
          <cell r="B6406" t="str">
            <v>AFW Style - JPN EQ Quality</v>
          </cell>
          <cell r="C6406" t="str">
            <v>-BRS_GOLD_1:AFW_JPN_EQ_QUALITY</v>
          </cell>
          <cell r="D6406" t="str">
            <v>Price</v>
          </cell>
          <cell r="E6406" t="str">
            <v>Price Level</v>
          </cell>
          <cell r="F6406" t="str">
            <v>Other</v>
          </cell>
          <cell r="G6406" t="str">
            <v>Other</v>
          </cell>
          <cell r="H6406" t="str">
            <v>OTHER</v>
          </cell>
          <cell r="I6406" t="str">
            <v>Other - Price</v>
          </cell>
        </row>
        <row r="6407">
          <cell r="A6407" t="str">
            <v>AFW_JPN_EQ_SIZE</v>
          </cell>
          <cell r="B6407" t="str">
            <v>AFW Style - JPN EQ Low Size</v>
          </cell>
          <cell r="C6407" t="str">
            <v>-BRS_GOLD_1:AFW_JPN_EQ_SIZE</v>
          </cell>
          <cell r="D6407" t="str">
            <v>Price</v>
          </cell>
          <cell r="E6407" t="str">
            <v>Price Level</v>
          </cell>
          <cell r="F6407" t="str">
            <v>Other</v>
          </cell>
          <cell r="G6407" t="str">
            <v>Other</v>
          </cell>
          <cell r="H6407" t="str">
            <v>OTHER</v>
          </cell>
          <cell r="I6407" t="str">
            <v>Other - Price</v>
          </cell>
        </row>
        <row r="6408">
          <cell r="A6408" t="str">
            <v>AFW_JPN_EQ_VALUE</v>
          </cell>
          <cell r="B6408" t="str">
            <v>AFW Style - JPN EQ Value</v>
          </cell>
          <cell r="C6408" t="str">
            <v>-BRS_GOLD_1:AFW_JPN_EQ_VALUE</v>
          </cell>
          <cell r="D6408" t="str">
            <v>Price</v>
          </cell>
          <cell r="E6408" t="str">
            <v>Price Level</v>
          </cell>
          <cell r="F6408" t="str">
            <v>Other</v>
          </cell>
          <cell r="G6408" t="str">
            <v>Other</v>
          </cell>
          <cell r="H6408" t="str">
            <v>OTHER</v>
          </cell>
          <cell r="I6408" t="str">
            <v>Other - Price</v>
          </cell>
        </row>
        <row r="6409">
          <cell r="A6409" t="str">
            <v>AFW_UK_EQ_DIVYLD</v>
          </cell>
          <cell r="B6409" t="str">
            <v>AFW Style - UK EQ Div Yld</v>
          </cell>
          <cell r="C6409" t="str">
            <v>-BRS_GOLD_1:AFW_UK_EQ_DIVYLD</v>
          </cell>
          <cell r="D6409" t="str">
            <v>Price</v>
          </cell>
          <cell r="E6409" t="str">
            <v>Price Level</v>
          </cell>
          <cell r="F6409" t="str">
            <v>Other</v>
          </cell>
          <cell r="G6409" t="str">
            <v>Other</v>
          </cell>
          <cell r="H6409" t="str">
            <v>OTHER</v>
          </cell>
          <cell r="I6409" t="str">
            <v>Other - Price</v>
          </cell>
        </row>
        <row r="6410">
          <cell r="A6410" t="str">
            <v>AFW_UK_EQ_MINVOL</v>
          </cell>
          <cell r="B6410" t="str">
            <v>AFW Style - UK EQ MinVol</v>
          </cell>
          <cell r="C6410" t="str">
            <v>-BRS_GOLD_1:AFW_UK_EQ_MINVOL</v>
          </cell>
          <cell r="D6410" t="str">
            <v>Price</v>
          </cell>
          <cell r="E6410" t="str">
            <v>Price Level</v>
          </cell>
          <cell r="F6410" t="str">
            <v>Other</v>
          </cell>
          <cell r="G6410" t="str">
            <v>Other</v>
          </cell>
          <cell r="H6410" t="str">
            <v>OTHER</v>
          </cell>
          <cell r="I6410" t="str">
            <v>Other - Price</v>
          </cell>
        </row>
        <row r="6411">
          <cell r="A6411" t="str">
            <v>AFW_UK_EQ_MOMENTUM</v>
          </cell>
          <cell r="B6411" t="str">
            <v>AFW Style - UK EQ Momentum</v>
          </cell>
          <cell r="C6411" t="str">
            <v>-BRS_GOLD_1:AFW_UK_EQ_MOMENTUM</v>
          </cell>
          <cell r="D6411" t="str">
            <v>Price</v>
          </cell>
          <cell r="E6411" t="str">
            <v>Price Level</v>
          </cell>
          <cell r="F6411" t="str">
            <v>Other</v>
          </cell>
          <cell r="G6411" t="str">
            <v>Other</v>
          </cell>
          <cell r="H6411" t="str">
            <v>OTHER</v>
          </cell>
          <cell r="I6411" t="str">
            <v>Other - Price</v>
          </cell>
        </row>
        <row r="6412">
          <cell r="A6412" t="str">
            <v>AFW_UK_EQ_QUALITY</v>
          </cell>
          <cell r="B6412" t="str">
            <v>AFW Style - UK EQ Quality</v>
          </cell>
          <cell r="C6412" t="str">
            <v>-BRS_GOLD_1:AFW_UK_EQ_QUALITY</v>
          </cell>
          <cell r="D6412" t="str">
            <v>Price</v>
          </cell>
          <cell r="E6412" t="str">
            <v>Price Level</v>
          </cell>
          <cell r="F6412" t="str">
            <v>Other</v>
          </cell>
          <cell r="G6412" t="str">
            <v>Other</v>
          </cell>
          <cell r="H6412" t="str">
            <v>OTHER</v>
          </cell>
          <cell r="I6412" t="str">
            <v>Other - Price</v>
          </cell>
        </row>
        <row r="6413">
          <cell r="A6413" t="str">
            <v>AFW_UK_EQ_SIZE</v>
          </cell>
          <cell r="B6413" t="str">
            <v>AFW Style - UK EQ Low Size</v>
          </cell>
          <cell r="C6413" t="str">
            <v>-BRS_GOLD_1:AFW_UK_EQ_SIZE</v>
          </cell>
          <cell r="D6413" t="str">
            <v>Price</v>
          </cell>
          <cell r="E6413" t="str">
            <v>Price Level</v>
          </cell>
          <cell r="F6413" t="str">
            <v>Other</v>
          </cell>
          <cell r="G6413" t="str">
            <v>Other</v>
          </cell>
          <cell r="H6413" t="str">
            <v>OTHER</v>
          </cell>
          <cell r="I6413" t="str">
            <v>Other - Price</v>
          </cell>
        </row>
        <row r="6414">
          <cell r="A6414" t="str">
            <v>AFW_UK_EQ_VALUE</v>
          </cell>
          <cell r="B6414" t="str">
            <v>AFW Style - UK EQ Value</v>
          </cell>
          <cell r="C6414" t="str">
            <v>-BRS_GOLD_1:AFW_UK_EQ_VALUE</v>
          </cell>
          <cell r="D6414" t="str">
            <v>Price</v>
          </cell>
          <cell r="E6414" t="str">
            <v>Price Level</v>
          </cell>
          <cell r="F6414" t="str">
            <v>Other</v>
          </cell>
          <cell r="G6414" t="str">
            <v>Other</v>
          </cell>
          <cell r="H6414" t="str">
            <v>OTHER</v>
          </cell>
          <cell r="I6414" t="str">
            <v>Other - Price</v>
          </cell>
        </row>
        <row r="6415">
          <cell r="A6415" t="str">
            <v>AFW_US_EQ_DIVYLD</v>
          </cell>
          <cell r="B6415" t="str">
            <v>AFW Style - US EQ Div Yld</v>
          </cell>
          <cell r="C6415" t="str">
            <v>-BRS_GOLD_1:AFW_US_EQ_DIVYLD</v>
          </cell>
          <cell r="D6415" t="str">
            <v>Price</v>
          </cell>
          <cell r="E6415" t="str">
            <v>Price Level</v>
          </cell>
          <cell r="F6415" t="str">
            <v>Other</v>
          </cell>
          <cell r="G6415" t="str">
            <v>Other</v>
          </cell>
          <cell r="H6415" t="str">
            <v>OTHER</v>
          </cell>
          <cell r="I6415" t="str">
            <v>Other - Price</v>
          </cell>
        </row>
        <row r="6416">
          <cell r="A6416" t="str">
            <v>AFW_US_EQ_MINVOL</v>
          </cell>
          <cell r="B6416" t="str">
            <v>AFW Style - US EQ MinVol</v>
          </cell>
          <cell r="C6416" t="str">
            <v>-BRS_GOLD_1:AFW_US_EQ_MINVOL</v>
          </cell>
          <cell r="D6416" t="str">
            <v>Price</v>
          </cell>
          <cell r="E6416" t="str">
            <v>Price Level</v>
          </cell>
          <cell r="F6416" t="str">
            <v>Other</v>
          </cell>
          <cell r="G6416" t="str">
            <v>Other</v>
          </cell>
          <cell r="H6416" t="str">
            <v>OTHER</v>
          </cell>
          <cell r="I6416" t="str">
            <v>Other - Price</v>
          </cell>
        </row>
        <row r="6417">
          <cell r="A6417" t="str">
            <v>AFW_US_EQ_MOMENTUM</v>
          </cell>
          <cell r="B6417" t="str">
            <v>AFW Style - US EQ Momentum</v>
          </cell>
          <cell r="C6417" t="str">
            <v>-BRS_GOLD_1:AFW_US_EQ_MOMENTUM</v>
          </cell>
          <cell r="D6417" t="str">
            <v>Price</v>
          </cell>
          <cell r="E6417" t="str">
            <v>Price Level</v>
          </cell>
          <cell r="F6417" t="str">
            <v>Other</v>
          </cell>
          <cell r="G6417" t="str">
            <v>Other</v>
          </cell>
          <cell r="H6417" t="str">
            <v>OTHER</v>
          </cell>
          <cell r="I6417" t="str">
            <v>Other - Price</v>
          </cell>
        </row>
        <row r="6418">
          <cell r="A6418" t="str">
            <v>AFW_US_EQ_QUALITY</v>
          </cell>
          <cell r="B6418" t="str">
            <v>AFW Style - US EQ Quality</v>
          </cell>
          <cell r="C6418" t="str">
            <v>-BRS_GOLD_1:AFW_US_EQ_QUALITY</v>
          </cell>
          <cell r="D6418" t="str">
            <v>Price</v>
          </cell>
          <cell r="E6418" t="str">
            <v>Price Level</v>
          </cell>
          <cell r="F6418" t="str">
            <v>Other</v>
          </cell>
          <cell r="G6418" t="str">
            <v>Other</v>
          </cell>
          <cell r="H6418" t="str">
            <v>OTHER</v>
          </cell>
          <cell r="I6418" t="str">
            <v>Other - Price</v>
          </cell>
        </row>
        <row r="6419">
          <cell r="A6419" t="str">
            <v>AFW_US_EQ_SIZE</v>
          </cell>
          <cell r="B6419" t="str">
            <v>AFW Style - US EQ Low Size</v>
          </cell>
          <cell r="C6419" t="str">
            <v>-BRS_GOLD_1:AFW_US_EQ_SIZE</v>
          </cell>
          <cell r="D6419" t="str">
            <v>Price</v>
          </cell>
          <cell r="E6419" t="str">
            <v>Price Level</v>
          </cell>
          <cell r="F6419" t="str">
            <v>Other</v>
          </cell>
          <cell r="G6419" t="str">
            <v>Other</v>
          </cell>
          <cell r="H6419" t="str">
            <v>OTHER</v>
          </cell>
          <cell r="I6419" t="str">
            <v>Other - Price</v>
          </cell>
        </row>
        <row r="6420">
          <cell r="A6420" t="str">
            <v>AFW_US_EQ_VALUE</v>
          </cell>
          <cell r="B6420" t="str">
            <v>AFW Style - US EQ Value</v>
          </cell>
          <cell r="C6420" t="str">
            <v>-BRS_GOLD_1:AFW_US_EQ_VALUE</v>
          </cell>
          <cell r="D6420" t="str">
            <v>Price</v>
          </cell>
          <cell r="E6420" t="str">
            <v>Price Level</v>
          </cell>
          <cell r="F6420" t="str">
            <v>Other</v>
          </cell>
          <cell r="G6420" t="str">
            <v>Other</v>
          </cell>
          <cell r="H6420" t="str">
            <v>OTHER</v>
          </cell>
          <cell r="I6420" t="str">
            <v>Other - Price</v>
          </cell>
        </row>
        <row r="6421">
          <cell r="A6421" t="str">
            <v>AI_AUD3MLIB</v>
          </cell>
          <cell r="B6421" t="str">
            <v>Austrailian LIBOR</v>
          </cell>
          <cell r="C6421" t="str">
            <v>-BRS_GOLD_1:AI_AUD3MLIB</v>
          </cell>
          <cell r="D6421" t="str">
            <v>Index</v>
          </cell>
          <cell r="E6421" t="str">
            <v>Index Level</v>
          </cell>
          <cell r="F6421" t="str">
            <v>Other</v>
          </cell>
          <cell r="G6421" t="str">
            <v>Other</v>
          </cell>
          <cell r="H6421" t="str">
            <v>OTHER</v>
          </cell>
          <cell r="I6421" t="str">
            <v>Other - Index</v>
          </cell>
        </row>
        <row r="6422">
          <cell r="A6422" t="str">
            <v>AI_LEH_ABS</v>
          </cell>
          <cell r="B6422" t="str">
            <v>Barclays ABS Index</v>
          </cell>
          <cell r="C6422" t="str">
            <v>-BRS_GOLD_1:AI_LEH_ABS</v>
          </cell>
          <cell r="D6422" t="str">
            <v>Index</v>
          </cell>
          <cell r="E6422" t="str">
            <v>Index Level</v>
          </cell>
          <cell r="F6422" t="str">
            <v>Other</v>
          </cell>
          <cell r="G6422" t="str">
            <v>Other</v>
          </cell>
          <cell r="H6422" t="str">
            <v>OTHER</v>
          </cell>
          <cell r="I6422" t="str">
            <v>Other - Index</v>
          </cell>
        </row>
        <row r="6423">
          <cell r="A6423" t="str">
            <v>AI_LIBCAD_3MO</v>
          </cell>
          <cell r="B6423" t="str">
            <v>Canadian LIBOR</v>
          </cell>
          <cell r="C6423" t="str">
            <v>-BRS_GOLD_1:AI_LIBCAD_3MO</v>
          </cell>
          <cell r="D6423" t="str">
            <v>Index</v>
          </cell>
          <cell r="E6423" t="str">
            <v>Index Level</v>
          </cell>
          <cell r="F6423" t="str">
            <v>Other</v>
          </cell>
          <cell r="G6423" t="str">
            <v>Other</v>
          </cell>
          <cell r="H6423" t="str">
            <v>OTHER</v>
          </cell>
          <cell r="I6423" t="str">
            <v>Other - Index</v>
          </cell>
        </row>
        <row r="6424">
          <cell r="A6424" t="str">
            <v>AI_PE_EUEQ</v>
          </cell>
          <cell r="B6424" t="str">
            <v>EUR Lg. Equity</v>
          </cell>
          <cell r="C6424" t="str">
            <v>-BRS_GOLD_1:AI_PE_EUEQ</v>
          </cell>
          <cell r="D6424" t="str">
            <v>Index</v>
          </cell>
          <cell r="E6424" t="str">
            <v>Index Level</v>
          </cell>
          <cell r="F6424" t="str">
            <v>Other</v>
          </cell>
          <cell r="G6424" t="str">
            <v>Other</v>
          </cell>
          <cell r="H6424" t="str">
            <v>OTHER</v>
          </cell>
          <cell r="I6424" t="str">
            <v>Other - Index</v>
          </cell>
        </row>
        <row r="6425">
          <cell r="A6425" t="str">
            <v>AI_PE_EUMID</v>
          </cell>
          <cell r="B6425" t="str">
            <v>EUR Mid Equity</v>
          </cell>
          <cell r="C6425" t="str">
            <v>-BRS_GOLD_1:AI_PE_EUMID</v>
          </cell>
          <cell r="D6425" t="str">
            <v>Index</v>
          </cell>
          <cell r="E6425" t="str">
            <v>Index Level</v>
          </cell>
          <cell r="F6425" t="str">
            <v>Other</v>
          </cell>
          <cell r="G6425" t="str">
            <v>Other</v>
          </cell>
          <cell r="H6425" t="str">
            <v>OTHER</v>
          </cell>
          <cell r="I6425" t="str">
            <v>Other - Index</v>
          </cell>
        </row>
        <row r="6426">
          <cell r="A6426" t="str">
            <v>AI_PE_EUSMALL</v>
          </cell>
          <cell r="B6426" t="str">
            <v>EUR Sm. Equity</v>
          </cell>
          <cell r="C6426" t="str">
            <v>-BRS_GOLD_1:AI_PE_EUSMALL</v>
          </cell>
          <cell r="D6426" t="str">
            <v>Index</v>
          </cell>
          <cell r="E6426" t="str">
            <v>Index Level</v>
          </cell>
          <cell r="F6426" t="str">
            <v>Other</v>
          </cell>
          <cell r="G6426" t="str">
            <v>Other</v>
          </cell>
          <cell r="H6426" t="str">
            <v>OTHER</v>
          </cell>
          <cell r="I6426" t="str">
            <v>Other - Index</v>
          </cell>
        </row>
        <row r="6427">
          <cell r="A6427" t="str">
            <v>AI_RE_AMRS</v>
          </cell>
          <cell r="B6427" t="str">
            <v>Americas RE</v>
          </cell>
          <cell r="C6427" t="str">
            <v>-BRS_GOLD_1:AI_RE_AMRS</v>
          </cell>
          <cell r="D6427" t="str">
            <v>Index</v>
          </cell>
          <cell r="E6427" t="str">
            <v>Index Level</v>
          </cell>
          <cell r="F6427" t="str">
            <v>Other</v>
          </cell>
          <cell r="G6427" t="str">
            <v>Other</v>
          </cell>
          <cell r="H6427" t="str">
            <v>OTHER</v>
          </cell>
          <cell r="I6427" t="str">
            <v>Other - Index</v>
          </cell>
        </row>
        <row r="6428">
          <cell r="A6428" t="str">
            <v>AI_RE_APAC</v>
          </cell>
          <cell r="B6428" t="str">
            <v>Asia Pacific RE (USD)</v>
          </cell>
          <cell r="C6428" t="str">
            <v>-BRS_GOLD_1:AI_RE_APAC</v>
          </cell>
          <cell r="D6428" t="str">
            <v>Index</v>
          </cell>
          <cell r="E6428" t="str">
            <v>Index Level</v>
          </cell>
          <cell r="F6428" t="str">
            <v>Other</v>
          </cell>
          <cell r="G6428" t="str">
            <v>Other</v>
          </cell>
          <cell r="H6428" t="str">
            <v>OTHER</v>
          </cell>
          <cell r="I6428" t="str">
            <v>Other - Index</v>
          </cell>
        </row>
        <row r="6429">
          <cell r="A6429" t="str">
            <v>AI_RE_APT</v>
          </cell>
          <cell r="B6429" t="str">
            <v>NA Apartment RE</v>
          </cell>
          <cell r="C6429" t="str">
            <v>-BRS_GOLD_1:AI_RE_APT</v>
          </cell>
          <cell r="D6429" t="str">
            <v>Index</v>
          </cell>
          <cell r="E6429" t="str">
            <v>Index Level</v>
          </cell>
          <cell r="F6429" t="str">
            <v>Other</v>
          </cell>
          <cell r="G6429" t="str">
            <v>Other</v>
          </cell>
          <cell r="H6429" t="str">
            <v>OTHER</v>
          </cell>
          <cell r="I6429" t="str">
            <v>Other - Index</v>
          </cell>
        </row>
        <row r="6430">
          <cell r="A6430" t="str">
            <v>AI_RE_ASIA</v>
          </cell>
          <cell r="B6430" t="str">
            <v>Asia RE</v>
          </cell>
          <cell r="C6430" t="str">
            <v>-BRS_GOLD_1:AI_RE_ASIA</v>
          </cell>
          <cell r="D6430" t="str">
            <v>Index</v>
          </cell>
          <cell r="E6430" t="str">
            <v>Index Level</v>
          </cell>
          <cell r="F6430" t="str">
            <v>Other</v>
          </cell>
          <cell r="G6430" t="str">
            <v>Other</v>
          </cell>
          <cell r="H6430" t="str">
            <v>OTHER</v>
          </cell>
          <cell r="I6430" t="str">
            <v>Other - Index</v>
          </cell>
        </row>
        <row r="6431">
          <cell r="A6431" t="str">
            <v>ALL_ARM_AGY_10_1</v>
          </cell>
          <cell r="B6431" t="str">
            <v>Non$ 10/1 Agy Hyb ARM</v>
          </cell>
          <cell r="C6431" t="str">
            <v>-BRS_GOLD_1:ALL_ARM_AGY_10_1</v>
          </cell>
          <cell r="D6431" t="str">
            <v>Spread Duration</v>
          </cell>
          <cell r="E6431" t="str">
            <v>Spread Yield</v>
          </cell>
          <cell r="F6431" t="str">
            <v>Other</v>
          </cell>
          <cell r="G6431" t="str">
            <v>Other</v>
          </cell>
          <cell r="H6431" t="str">
            <v>OTHER</v>
          </cell>
          <cell r="I6431" t="str">
            <v>Other - Spread Yield</v>
          </cell>
        </row>
        <row r="6432">
          <cell r="A6432" t="str">
            <v>ALL_ARM_AGY_10_1_V600</v>
          </cell>
          <cell r="B6432" t="str">
            <v>Non$ 10/1 Agy Hyb ARM V600</v>
          </cell>
          <cell r="C6432" t="str">
            <v>-BRS_GOLD_1:ALL_ARM_AGY_10_1_V600</v>
          </cell>
          <cell r="D6432" t="str">
            <v>Spread Duration</v>
          </cell>
          <cell r="E6432" t="str">
            <v>Spread Yield</v>
          </cell>
          <cell r="F6432" t="str">
            <v>Other</v>
          </cell>
          <cell r="G6432" t="str">
            <v>Other</v>
          </cell>
          <cell r="H6432" t="str">
            <v>OTHER</v>
          </cell>
          <cell r="I6432" t="str">
            <v>Other - Spread Yield</v>
          </cell>
        </row>
        <row r="6433">
          <cell r="A6433" t="str">
            <v>ALL_ARM_AGY_10_1_V604</v>
          </cell>
          <cell r="B6433" t="str">
            <v>Non$ 10/1 Agy Hyb ARM V604</v>
          </cell>
          <cell r="C6433" t="str">
            <v>-BRS_GOLD_1:ALL_ARM_AGY_10_1_V604</v>
          </cell>
          <cell r="D6433" t="str">
            <v>Spread Duration</v>
          </cell>
          <cell r="E6433" t="str">
            <v>Spread Yield</v>
          </cell>
          <cell r="F6433" t="str">
            <v>Other</v>
          </cell>
          <cell r="G6433" t="str">
            <v>Other</v>
          </cell>
          <cell r="H6433" t="str">
            <v>OTHER</v>
          </cell>
          <cell r="I6433" t="str">
            <v>Other - Spread Yield</v>
          </cell>
        </row>
        <row r="6434">
          <cell r="A6434" t="str">
            <v>ALL_ARM_AGY_10_1_V604_E</v>
          </cell>
          <cell r="B6434" t="str">
            <v>Non$ 10/1 Agy Hyb ARM V604</v>
          </cell>
          <cell r="C6434" t="str">
            <v>-BRS_GOLD_1:ALL_ARM_AGY_10_1_V604_E</v>
          </cell>
          <cell r="D6434" t="str">
            <v>Spread Duration</v>
          </cell>
          <cell r="E6434" t="str">
            <v>Spread Yield</v>
          </cell>
          <cell r="F6434" t="str">
            <v>Other</v>
          </cell>
          <cell r="G6434" t="str">
            <v>Other</v>
          </cell>
          <cell r="H6434" t="str">
            <v>OTHER</v>
          </cell>
          <cell r="I6434" t="str">
            <v>Other - Spread Yield</v>
          </cell>
        </row>
        <row r="6435">
          <cell r="A6435" t="str">
            <v>ALL_ARM_AGY_10_1_V610</v>
          </cell>
          <cell r="B6435" t="str">
            <v>Non$ 10/1 Agy Hyb ARM V610</v>
          </cell>
          <cell r="C6435" t="str">
            <v>-BRS_GOLD_1:ALL_ARM_AGY_10_1_V610</v>
          </cell>
          <cell r="D6435" t="str">
            <v>Spread Duration</v>
          </cell>
          <cell r="E6435" t="str">
            <v>Spread Yield</v>
          </cell>
          <cell r="F6435" t="str">
            <v>Other</v>
          </cell>
          <cell r="G6435" t="str">
            <v>Other</v>
          </cell>
          <cell r="H6435" t="str">
            <v>OTHER</v>
          </cell>
          <cell r="I6435" t="str">
            <v>Other - Spread Yield</v>
          </cell>
        </row>
        <row r="6436">
          <cell r="A6436" t="str">
            <v>ALL_ARM_AGY_10_1_V610_E</v>
          </cell>
          <cell r="B6436" t="str">
            <v>Non$ 10/1 Agy Hyb ARM V610</v>
          </cell>
          <cell r="C6436" t="str">
            <v>-BRS_GOLD_1:ALL_ARM_AGY_10_1_V610_E</v>
          </cell>
          <cell r="D6436" t="str">
            <v>Spread Duration</v>
          </cell>
          <cell r="E6436" t="str">
            <v>Spread Yield</v>
          </cell>
          <cell r="F6436" t="str">
            <v>Other</v>
          </cell>
          <cell r="G6436" t="str">
            <v>Other</v>
          </cell>
          <cell r="H6436" t="str">
            <v>OTHER</v>
          </cell>
          <cell r="I6436" t="str">
            <v>Other - Spread Yield</v>
          </cell>
        </row>
        <row r="6437">
          <cell r="A6437" t="str">
            <v>ALL_ARM_AGY_10_1_V620</v>
          </cell>
          <cell r="B6437" t="str">
            <v>Non$ 10/1 Agy Hyb ARM V620</v>
          </cell>
          <cell r="C6437" t="str">
            <v>-BRS_GOLD_1:ALL_ARM_AGY_10_1_V620</v>
          </cell>
          <cell r="D6437" t="str">
            <v>Spread Duration</v>
          </cell>
          <cell r="E6437" t="str">
            <v>Spread Yield</v>
          </cell>
          <cell r="F6437" t="str">
            <v>Other</v>
          </cell>
          <cell r="G6437" t="str">
            <v>Other</v>
          </cell>
          <cell r="H6437" t="str">
            <v>OTHER</v>
          </cell>
          <cell r="I6437" t="str">
            <v>Other - Spread Yield</v>
          </cell>
        </row>
        <row r="6438">
          <cell r="A6438" t="str">
            <v>ALL_ARM_AGY_10_1_V620_E</v>
          </cell>
          <cell r="B6438" t="str">
            <v>Non$ 10/1 Agy Hyb ARM V620</v>
          </cell>
          <cell r="C6438" t="str">
            <v>-BRS_GOLD_1:ALL_ARM_AGY_10_1_V620_E</v>
          </cell>
          <cell r="D6438" t="str">
            <v>Spread Duration</v>
          </cell>
          <cell r="E6438" t="str">
            <v>Spread Yield</v>
          </cell>
          <cell r="F6438" t="str">
            <v>Other</v>
          </cell>
          <cell r="G6438" t="str">
            <v>Other</v>
          </cell>
          <cell r="H6438" t="str">
            <v>OTHER</v>
          </cell>
          <cell r="I6438" t="str">
            <v>Other - Spread Yield</v>
          </cell>
        </row>
        <row r="6439">
          <cell r="A6439" t="str">
            <v>ALL_ARM_AGY_1_1</v>
          </cell>
          <cell r="B6439" t="str">
            <v>Non$ 1/1 Agy Hyb ARM</v>
          </cell>
          <cell r="C6439" t="str">
            <v>-BRS_GOLD_1:ALL_ARM_AGY_1_1</v>
          </cell>
          <cell r="D6439" t="str">
            <v>Spread Duration</v>
          </cell>
          <cell r="E6439" t="str">
            <v>Spread Yield</v>
          </cell>
          <cell r="F6439" t="str">
            <v>Other</v>
          </cell>
          <cell r="G6439" t="str">
            <v>Other</v>
          </cell>
          <cell r="H6439" t="str">
            <v>OTHER</v>
          </cell>
          <cell r="I6439" t="str">
            <v>Other - Spread Yield</v>
          </cell>
        </row>
        <row r="6440">
          <cell r="A6440" t="str">
            <v>ALL_ARM_AGY_1_1_V600</v>
          </cell>
          <cell r="B6440" t="str">
            <v>Non$ 1/1 Agy Hyb ARM V600</v>
          </cell>
          <cell r="C6440" t="str">
            <v>-BRS_GOLD_1:ALL_ARM_AGY_1_1_V600</v>
          </cell>
          <cell r="D6440" t="str">
            <v>Spread Duration</v>
          </cell>
          <cell r="E6440" t="str">
            <v>Spread Yield</v>
          </cell>
          <cell r="F6440" t="str">
            <v>Other</v>
          </cell>
          <cell r="G6440" t="str">
            <v>Other</v>
          </cell>
          <cell r="H6440" t="str">
            <v>OTHER</v>
          </cell>
          <cell r="I6440" t="str">
            <v>Other - Spread Yield</v>
          </cell>
        </row>
        <row r="6441">
          <cell r="A6441" t="str">
            <v>ALL_ARM_AGY_1_1_V604</v>
          </cell>
          <cell r="B6441" t="str">
            <v>Non$ 1/1 Agy Hyb ARM V604</v>
          </cell>
          <cell r="C6441" t="str">
            <v>-BRS_GOLD_1:ALL_ARM_AGY_1_1_V604</v>
          </cell>
          <cell r="D6441" t="str">
            <v>Spread Duration</v>
          </cell>
          <cell r="E6441" t="str">
            <v>Spread Yield</v>
          </cell>
          <cell r="F6441" t="str">
            <v>Other</v>
          </cell>
          <cell r="G6441" t="str">
            <v>Other</v>
          </cell>
          <cell r="H6441" t="str">
            <v>OTHER</v>
          </cell>
          <cell r="I6441" t="str">
            <v>Other - Spread Yield</v>
          </cell>
        </row>
        <row r="6442">
          <cell r="A6442" t="str">
            <v>ALL_ARM_AGY_1_1_V604_E</v>
          </cell>
          <cell r="B6442" t="str">
            <v>Non$ 1/1 Agy Hyb ARM V604</v>
          </cell>
          <cell r="C6442" t="str">
            <v>-BRS_GOLD_1:ALL_ARM_AGY_1_1_V604_E</v>
          </cell>
          <cell r="D6442" t="str">
            <v>Spread Duration</v>
          </cell>
          <cell r="E6442" t="str">
            <v>Spread Yield</v>
          </cell>
          <cell r="F6442" t="str">
            <v>Other</v>
          </cell>
          <cell r="G6442" t="str">
            <v>Other</v>
          </cell>
          <cell r="H6442" t="str">
            <v>OTHER</v>
          </cell>
          <cell r="I6442" t="str">
            <v>Other - Spread Yield</v>
          </cell>
        </row>
        <row r="6443">
          <cell r="A6443" t="str">
            <v>ALL_ARM_AGY_1_1_V610</v>
          </cell>
          <cell r="B6443" t="str">
            <v>Non$ 1/1 Agy Hyb ARM V610</v>
          </cell>
          <cell r="C6443" t="str">
            <v>-BRS_GOLD_1:ALL_ARM_AGY_1_1_V610</v>
          </cell>
          <cell r="D6443" t="str">
            <v>Spread Duration</v>
          </cell>
          <cell r="E6443" t="str">
            <v>Spread Yield</v>
          </cell>
          <cell r="F6443" t="str">
            <v>Other</v>
          </cell>
          <cell r="G6443" t="str">
            <v>Other</v>
          </cell>
          <cell r="H6443" t="str">
            <v>OTHER</v>
          </cell>
          <cell r="I6443" t="str">
            <v>Other - Spread Yield</v>
          </cell>
        </row>
        <row r="6444">
          <cell r="A6444" t="str">
            <v>ALL_ARM_AGY_1_1_V610_E</v>
          </cell>
          <cell r="B6444" t="str">
            <v>Non$ 1/1 Agy Hyb ARM V610</v>
          </cell>
          <cell r="C6444" t="str">
            <v>-BRS_GOLD_1:ALL_ARM_AGY_1_1_V610_E</v>
          </cell>
          <cell r="D6444" t="str">
            <v>Spread Duration</v>
          </cell>
          <cell r="E6444" t="str">
            <v>Spread Yield</v>
          </cell>
          <cell r="F6444" t="str">
            <v>Other</v>
          </cell>
          <cell r="G6444" t="str">
            <v>Other</v>
          </cell>
          <cell r="H6444" t="str">
            <v>OTHER</v>
          </cell>
          <cell r="I6444" t="str">
            <v>Other - Spread Yield</v>
          </cell>
        </row>
        <row r="6445">
          <cell r="A6445" t="str">
            <v>ALL_ARM_AGY_1_1_V620</v>
          </cell>
          <cell r="B6445" t="str">
            <v>Non$ 1/1 Agy Hyb ARM V620</v>
          </cell>
          <cell r="C6445" t="str">
            <v>-BRS_GOLD_1:ALL_ARM_AGY_1_1_V620</v>
          </cell>
          <cell r="D6445" t="str">
            <v>Spread Duration</v>
          </cell>
          <cell r="E6445" t="str">
            <v>Spread Yield</v>
          </cell>
          <cell r="F6445" t="str">
            <v>Other</v>
          </cell>
          <cell r="G6445" t="str">
            <v>Other</v>
          </cell>
          <cell r="H6445" t="str">
            <v>OTHER</v>
          </cell>
          <cell r="I6445" t="str">
            <v>Other - Spread Yield</v>
          </cell>
        </row>
        <row r="6446">
          <cell r="A6446" t="str">
            <v>ALL_ARM_AGY_1_1_V620_E</v>
          </cell>
          <cell r="B6446" t="str">
            <v>Non$ 1/1 Agy Hyb ARM V620</v>
          </cell>
          <cell r="C6446" t="str">
            <v>-BRS_GOLD_1:ALL_ARM_AGY_1_1_V620_E</v>
          </cell>
          <cell r="D6446" t="str">
            <v>Spread Duration</v>
          </cell>
          <cell r="E6446" t="str">
            <v>Spread Yield</v>
          </cell>
          <cell r="F6446" t="str">
            <v>Other</v>
          </cell>
          <cell r="G6446" t="str">
            <v>Other</v>
          </cell>
          <cell r="H6446" t="str">
            <v>OTHER</v>
          </cell>
          <cell r="I6446" t="str">
            <v>Other - Spread Yield</v>
          </cell>
        </row>
        <row r="6447">
          <cell r="A6447" t="str">
            <v>ALL_ARM_AGY_3_1</v>
          </cell>
          <cell r="B6447" t="str">
            <v>Non$ 3/1 Agy Hyb ARM</v>
          </cell>
          <cell r="C6447" t="str">
            <v>-BRS_GOLD_1:ALL_ARM_AGY_3_1</v>
          </cell>
          <cell r="D6447" t="str">
            <v>Spread Duration</v>
          </cell>
          <cell r="E6447" t="str">
            <v>Spread Yield</v>
          </cell>
          <cell r="F6447" t="str">
            <v>Other</v>
          </cell>
          <cell r="G6447" t="str">
            <v>Other</v>
          </cell>
          <cell r="H6447" t="str">
            <v>OTHER</v>
          </cell>
          <cell r="I6447" t="str">
            <v>Other - Spread Yield</v>
          </cell>
        </row>
        <row r="6448">
          <cell r="A6448" t="str">
            <v>ALL_ARM_AGY_3_1_V600</v>
          </cell>
          <cell r="B6448" t="str">
            <v>Non$ 3/1 Agy Hyb ARM V600</v>
          </cell>
          <cell r="C6448" t="str">
            <v>-BRS_GOLD_1:ALL_ARM_AGY_3_1_V600</v>
          </cell>
          <cell r="D6448" t="str">
            <v>Spread Duration</v>
          </cell>
          <cell r="E6448" t="str">
            <v>Spread Yield</v>
          </cell>
          <cell r="F6448" t="str">
            <v>Other</v>
          </cell>
          <cell r="G6448" t="str">
            <v>Other</v>
          </cell>
          <cell r="H6448" t="str">
            <v>OTHER</v>
          </cell>
          <cell r="I6448" t="str">
            <v>Other - Spread Yield</v>
          </cell>
        </row>
        <row r="6449">
          <cell r="A6449" t="str">
            <v>ALL_ARM_AGY_3_1_V604</v>
          </cell>
          <cell r="B6449" t="str">
            <v>Non$ 3/1 Agy Hyb ARM V604</v>
          </cell>
          <cell r="C6449" t="str">
            <v>-BRS_GOLD_1:ALL_ARM_AGY_3_1_V604</v>
          </cell>
          <cell r="D6449" t="str">
            <v>Spread Duration</v>
          </cell>
          <cell r="E6449" t="str">
            <v>Spread Yield</v>
          </cell>
          <cell r="F6449" t="str">
            <v>Other</v>
          </cell>
          <cell r="G6449" t="str">
            <v>Other</v>
          </cell>
          <cell r="H6449" t="str">
            <v>OTHER</v>
          </cell>
          <cell r="I6449" t="str">
            <v>Other - Spread Yield</v>
          </cell>
        </row>
        <row r="6450">
          <cell r="A6450" t="str">
            <v>ALL_ARM_AGY_3_1_V604_E</v>
          </cell>
          <cell r="B6450" t="str">
            <v>Non$ 3/1 Agy Hyb ARM V604</v>
          </cell>
          <cell r="C6450" t="str">
            <v>-BRS_GOLD_1:ALL_ARM_AGY_3_1_V604_E</v>
          </cell>
          <cell r="D6450" t="str">
            <v>Spread Duration</v>
          </cell>
          <cell r="E6450" t="str">
            <v>Spread Yield</v>
          </cell>
          <cell r="F6450" t="str">
            <v>Other</v>
          </cell>
          <cell r="G6450" t="str">
            <v>Other</v>
          </cell>
          <cell r="H6450" t="str">
            <v>OTHER</v>
          </cell>
          <cell r="I6450" t="str">
            <v>Other - Spread Yield</v>
          </cell>
        </row>
        <row r="6451">
          <cell r="A6451" t="str">
            <v>ALL_ARM_AGY_3_1_V610</v>
          </cell>
          <cell r="B6451" t="str">
            <v>Non$ 3/1 Agy Hyb ARM V610</v>
          </cell>
          <cell r="C6451" t="str">
            <v>-BRS_GOLD_1:ALL_ARM_AGY_3_1_V610</v>
          </cell>
          <cell r="D6451" t="str">
            <v>Spread Duration</v>
          </cell>
          <cell r="E6451" t="str">
            <v>Spread Yield</v>
          </cell>
          <cell r="F6451" t="str">
            <v>Other</v>
          </cell>
          <cell r="G6451" t="str">
            <v>Other</v>
          </cell>
          <cell r="H6451" t="str">
            <v>OTHER</v>
          </cell>
          <cell r="I6451" t="str">
            <v>Other - Spread Yield</v>
          </cell>
        </row>
        <row r="6452">
          <cell r="A6452" t="str">
            <v>ALL_ARM_AGY_3_1_V610_E</v>
          </cell>
          <cell r="B6452" t="str">
            <v>Non$ 3/1 Agy Hyb ARM V610</v>
          </cell>
          <cell r="C6452" t="str">
            <v>-BRS_GOLD_1:ALL_ARM_AGY_3_1_V610_E</v>
          </cell>
          <cell r="D6452" t="str">
            <v>Spread Duration</v>
          </cell>
          <cell r="E6452" t="str">
            <v>Spread Yield</v>
          </cell>
          <cell r="F6452" t="str">
            <v>Other</v>
          </cell>
          <cell r="G6452" t="str">
            <v>Other</v>
          </cell>
          <cell r="H6452" t="str">
            <v>OTHER</v>
          </cell>
          <cell r="I6452" t="str">
            <v>Other - Spread Yield</v>
          </cell>
        </row>
        <row r="6453">
          <cell r="A6453" t="str">
            <v>ALL_ARM_AGY_3_1_V620</v>
          </cell>
          <cell r="B6453" t="str">
            <v>Non$ 3/1 Agy Hyb ARM V620</v>
          </cell>
          <cell r="C6453" t="str">
            <v>-BRS_GOLD_1:ALL_ARM_AGY_3_1_V620</v>
          </cell>
          <cell r="D6453" t="str">
            <v>Spread Duration</v>
          </cell>
          <cell r="E6453" t="str">
            <v>Spread Yield</v>
          </cell>
          <cell r="F6453" t="str">
            <v>Other</v>
          </cell>
          <cell r="G6453" t="str">
            <v>Other</v>
          </cell>
          <cell r="H6453" t="str">
            <v>OTHER</v>
          </cell>
          <cell r="I6453" t="str">
            <v>Other - Spread Yield</v>
          </cell>
        </row>
        <row r="6454">
          <cell r="A6454" t="str">
            <v>ALL_ARM_AGY_3_1_V620_E</v>
          </cell>
          <cell r="B6454" t="str">
            <v>Non$ 3/1 Agy Hyb ARM V620</v>
          </cell>
          <cell r="C6454" t="str">
            <v>-BRS_GOLD_1:ALL_ARM_AGY_3_1_V620_E</v>
          </cell>
          <cell r="D6454" t="str">
            <v>Spread Duration</v>
          </cell>
          <cell r="E6454" t="str">
            <v>Spread Yield</v>
          </cell>
          <cell r="F6454" t="str">
            <v>Other</v>
          </cell>
          <cell r="G6454" t="str">
            <v>Other</v>
          </cell>
          <cell r="H6454" t="str">
            <v>OTHER</v>
          </cell>
          <cell r="I6454" t="str">
            <v>Other - Spread Yield</v>
          </cell>
        </row>
        <row r="6455">
          <cell r="A6455" t="str">
            <v>ALL_ARM_AGY_5_1</v>
          </cell>
          <cell r="B6455" t="str">
            <v>Non$ 5/1 Agy Hyb ARM</v>
          </cell>
          <cell r="C6455" t="str">
            <v>-BRS_GOLD_1:ALL_ARM_AGY_5_1</v>
          </cell>
          <cell r="D6455" t="str">
            <v>Spread Duration</v>
          </cell>
          <cell r="E6455" t="str">
            <v>Spread Yield</v>
          </cell>
          <cell r="F6455" t="str">
            <v>Other</v>
          </cell>
          <cell r="G6455" t="str">
            <v>Other</v>
          </cell>
          <cell r="H6455" t="str">
            <v>OTHER</v>
          </cell>
          <cell r="I6455" t="str">
            <v>Other - Spread Yield</v>
          </cell>
        </row>
        <row r="6456">
          <cell r="A6456" t="str">
            <v>ALL_ARM_AGY_5_1_V600</v>
          </cell>
          <cell r="B6456" t="str">
            <v>Non$ 5/1 Agy Hyb ARM V600</v>
          </cell>
          <cell r="C6456" t="str">
            <v>-BRS_GOLD_1:ALL_ARM_AGY_5_1_V600</v>
          </cell>
          <cell r="D6456" t="str">
            <v>Spread Duration</v>
          </cell>
          <cell r="E6456" t="str">
            <v>Spread Yield</v>
          </cell>
          <cell r="F6456" t="str">
            <v>Other</v>
          </cell>
          <cell r="G6456" t="str">
            <v>Other</v>
          </cell>
          <cell r="H6456" t="str">
            <v>OTHER</v>
          </cell>
          <cell r="I6456" t="str">
            <v>Other - Spread Yield</v>
          </cell>
        </row>
        <row r="6457">
          <cell r="A6457" t="str">
            <v>ALL_ARM_AGY_5_1_V604</v>
          </cell>
          <cell r="B6457" t="str">
            <v>Non$ 5/1 Agy Hyb ARM V604</v>
          </cell>
          <cell r="C6457" t="str">
            <v>-BRS_GOLD_1:ALL_ARM_AGY_5_1_V604</v>
          </cell>
          <cell r="D6457" t="str">
            <v>Spread Duration</v>
          </cell>
          <cell r="E6457" t="str">
            <v>Spread Yield</v>
          </cell>
          <cell r="F6457" t="str">
            <v>Other</v>
          </cell>
          <cell r="G6457" t="str">
            <v>Other</v>
          </cell>
          <cell r="H6457" t="str">
            <v>OTHER</v>
          </cell>
          <cell r="I6457" t="str">
            <v>Other - Spread Yield</v>
          </cell>
        </row>
        <row r="6458">
          <cell r="A6458" t="str">
            <v>ALL_ARM_AGY_5_1_V604_E</v>
          </cell>
          <cell r="B6458" t="str">
            <v>Non$ 5/1 Agy Hyb ARM V604</v>
          </cell>
          <cell r="C6458" t="str">
            <v>-BRS_GOLD_1:ALL_ARM_AGY_5_1_V604_E</v>
          </cell>
          <cell r="D6458" t="str">
            <v>Spread Duration</v>
          </cell>
          <cell r="E6458" t="str">
            <v>Spread Yield</v>
          </cell>
          <cell r="F6458" t="str">
            <v>Other</v>
          </cell>
          <cell r="G6458" t="str">
            <v>Other</v>
          </cell>
          <cell r="H6458" t="str">
            <v>OTHER</v>
          </cell>
          <cell r="I6458" t="str">
            <v>Other - Spread Yield</v>
          </cell>
        </row>
        <row r="6459">
          <cell r="A6459" t="str">
            <v>ALL_ARM_AGY_5_1_V610</v>
          </cell>
          <cell r="B6459" t="str">
            <v>Non$ 5/1 Agy Hyb ARM V610</v>
          </cell>
          <cell r="C6459" t="str">
            <v>-BRS_GOLD_1:ALL_ARM_AGY_5_1_V610</v>
          </cell>
          <cell r="D6459" t="str">
            <v>Spread Duration</v>
          </cell>
          <cell r="E6459" t="str">
            <v>Spread Yield</v>
          </cell>
          <cell r="F6459" t="str">
            <v>Other</v>
          </cell>
          <cell r="G6459" t="str">
            <v>Other</v>
          </cell>
          <cell r="H6459" t="str">
            <v>OTHER</v>
          </cell>
          <cell r="I6459" t="str">
            <v>Other - Spread Yield</v>
          </cell>
        </row>
        <row r="6460">
          <cell r="A6460" t="str">
            <v>ALL_ARM_AGY_5_1_V610_E</v>
          </cell>
          <cell r="B6460" t="str">
            <v>Non$ 5/1 Agy Hyb ARM V610</v>
          </cell>
          <cell r="C6460" t="str">
            <v>-BRS_GOLD_1:ALL_ARM_AGY_5_1_V610_E</v>
          </cell>
          <cell r="D6460" t="str">
            <v>Spread Duration</v>
          </cell>
          <cell r="E6460" t="str">
            <v>Spread Yield</v>
          </cell>
          <cell r="F6460" t="str">
            <v>Other</v>
          </cell>
          <cell r="G6460" t="str">
            <v>Other</v>
          </cell>
          <cell r="H6460" t="str">
            <v>OTHER</v>
          </cell>
          <cell r="I6460" t="str">
            <v>Other - Spread Yield</v>
          </cell>
        </row>
        <row r="6461">
          <cell r="A6461" t="str">
            <v>ALL_ARM_AGY_5_1_V620</v>
          </cell>
          <cell r="B6461" t="str">
            <v>Non$ 5/1 Agy Hyb ARM V620</v>
          </cell>
          <cell r="C6461" t="str">
            <v>-BRS_GOLD_1:ALL_ARM_AGY_5_1_V620</v>
          </cell>
          <cell r="D6461" t="str">
            <v>Spread Duration</v>
          </cell>
          <cell r="E6461" t="str">
            <v>Spread Yield</v>
          </cell>
          <cell r="F6461" t="str">
            <v>Other</v>
          </cell>
          <cell r="G6461" t="str">
            <v>Other</v>
          </cell>
          <cell r="H6461" t="str">
            <v>OTHER</v>
          </cell>
          <cell r="I6461" t="str">
            <v>Other - Spread Yield</v>
          </cell>
        </row>
        <row r="6462">
          <cell r="A6462" t="str">
            <v>ALL_ARM_AGY_5_1_V620_E</v>
          </cell>
          <cell r="B6462" t="str">
            <v>Non$ 5/1 Agy Hyb ARM V620</v>
          </cell>
          <cell r="C6462" t="str">
            <v>-BRS_GOLD_1:ALL_ARM_AGY_5_1_V620_E</v>
          </cell>
          <cell r="D6462" t="str">
            <v>Spread Duration</v>
          </cell>
          <cell r="E6462" t="str">
            <v>Spread Yield</v>
          </cell>
          <cell r="F6462" t="str">
            <v>Other</v>
          </cell>
          <cell r="G6462" t="str">
            <v>Other</v>
          </cell>
          <cell r="H6462" t="str">
            <v>OTHER</v>
          </cell>
          <cell r="I6462" t="str">
            <v>Other - Spread Yield</v>
          </cell>
        </row>
        <row r="6463">
          <cell r="A6463" t="str">
            <v>ALL_ARM_AGY_7_1</v>
          </cell>
          <cell r="B6463" t="str">
            <v>Non$ 7/1 Agy Hyb ARM</v>
          </cell>
          <cell r="C6463" t="str">
            <v>-BRS_GOLD_1:ALL_ARM_AGY_7_1</v>
          </cell>
          <cell r="D6463" t="str">
            <v>Spread Duration</v>
          </cell>
          <cell r="E6463" t="str">
            <v>Spread Yield</v>
          </cell>
          <cell r="F6463" t="str">
            <v>Other</v>
          </cell>
          <cell r="G6463" t="str">
            <v>Other</v>
          </cell>
          <cell r="H6463" t="str">
            <v>OTHER</v>
          </cell>
          <cell r="I6463" t="str">
            <v>Other - Spread Yield</v>
          </cell>
        </row>
        <row r="6464">
          <cell r="A6464" t="str">
            <v>ALL_ARM_AGY_7_1_V600</v>
          </cell>
          <cell r="B6464" t="str">
            <v>Non$ 7/1 Agy Hyb ARM V600</v>
          </cell>
          <cell r="C6464" t="str">
            <v>-BRS_GOLD_1:ALL_ARM_AGY_7_1_V600</v>
          </cell>
          <cell r="D6464" t="str">
            <v>Spread Duration</v>
          </cell>
          <cell r="E6464" t="str">
            <v>Spread Yield</v>
          </cell>
          <cell r="F6464" t="str">
            <v>Other</v>
          </cell>
          <cell r="G6464" t="str">
            <v>Other</v>
          </cell>
          <cell r="H6464" t="str">
            <v>OTHER</v>
          </cell>
          <cell r="I6464" t="str">
            <v>Other - Spread Yield</v>
          </cell>
        </row>
        <row r="6465">
          <cell r="A6465" t="str">
            <v>ALL_ARM_AGY_7_1_V604</v>
          </cell>
          <cell r="B6465" t="str">
            <v>Non$ 7/1 Agy Hyb ARM V604</v>
          </cell>
          <cell r="C6465" t="str">
            <v>-BRS_GOLD_1:ALL_ARM_AGY_7_1_V604</v>
          </cell>
          <cell r="D6465" t="str">
            <v>Spread Duration</v>
          </cell>
          <cell r="E6465" t="str">
            <v>Spread Yield</v>
          </cell>
          <cell r="F6465" t="str">
            <v>Other</v>
          </cell>
          <cell r="G6465" t="str">
            <v>Other</v>
          </cell>
          <cell r="H6465" t="str">
            <v>OTHER</v>
          </cell>
          <cell r="I6465" t="str">
            <v>Other - Spread Yield</v>
          </cell>
        </row>
        <row r="6466">
          <cell r="A6466" t="str">
            <v>ALL_ARM_AGY_7_1_V604_E</v>
          </cell>
          <cell r="B6466" t="str">
            <v>Non$ 7/1 Agy Hyb ARM V604</v>
          </cell>
          <cell r="C6466" t="str">
            <v>-BRS_GOLD_1:ALL_ARM_AGY_7_1_V604_E</v>
          </cell>
          <cell r="D6466" t="str">
            <v>Spread Duration</v>
          </cell>
          <cell r="E6466" t="str">
            <v>Spread Yield</v>
          </cell>
          <cell r="F6466" t="str">
            <v>Other</v>
          </cell>
          <cell r="G6466" t="str">
            <v>Other</v>
          </cell>
          <cell r="H6466" t="str">
            <v>OTHER</v>
          </cell>
          <cell r="I6466" t="str">
            <v>Other - Spread Yield</v>
          </cell>
        </row>
        <row r="6467">
          <cell r="A6467" t="str">
            <v>ALL_ARM_AGY_7_1_V610</v>
          </cell>
          <cell r="B6467" t="str">
            <v>Non$ 7/1 Agy Hyb ARM V610</v>
          </cell>
          <cell r="C6467" t="str">
            <v>-BRS_GOLD_1:ALL_ARM_AGY_7_1_V610</v>
          </cell>
          <cell r="D6467" t="str">
            <v>Spread Duration</v>
          </cell>
          <cell r="E6467" t="str">
            <v>Spread Yield</v>
          </cell>
          <cell r="F6467" t="str">
            <v>Other</v>
          </cell>
          <cell r="G6467" t="str">
            <v>Other</v>
          </cell>
          <cell r="H6467" t="str">
            <v>OTHER</v>
          </cell>
          <cell r="I6467" t="str">
            <v>Other - Spread Yield</v>
          </cell>
        </row>
        <row r="6468">
          <cell r="A6468" t="str">
            <v>ALL_ARM_AGY_7_1_V610_E</v>
          </cell>
          <cell r="B6468" t="str">
            <v>Non$ 7/1 Agy Hyb ARM V610</v>
          </cell>
          <cell r="C6468" t="str">
            <v>-BRS_GOLD_1:ALL_ARM_AGY_7_1_V610_E</v>
          </cell>
          <cell r="D6468" t="str">
            <v>Spread Duration</v>
          </cell>
          <cell r="E6468" t="str">
            <v>Spread Yield</v>
          </cell>
          <cell r="F6468" t="str">
            <v>Other</v>
          </cell>
          <cell r="G6468" t="str">
            <v>Other</v>
          </cell>
          <cell r="H6468" t="str">
            <v>OTHER</v>
          </cell>
          <cell r="I6468" t="str">
            <v>Other - Spread Yield</v>
          </cell>
        </row>
        <row r="6469">
          <cell r="A6469" t="str">
            <v>ALL_ARM_AGY_7_1_V620</v>
          </cell>
          <cell r="B6469" t="str">
            <v>Non$ 7/1 Agy Hyb ARM V620</v>
          </cell>
          <cell r="C6469" t="str">
            <v>-BRS_GOLD_1:ALL_ARM_AGY_7_1_V620</v>
          </cell>
          <cell r="D6469" t="str">
            <v>Spread Duration</v>
          </cell>
          <cell r="E6469" t="str">
            <v>Spread Yield</v>
          </cell>
          <cell r="F6469" t="str">
            <v>Other</v>
          </cell>
          <cell r="G6469" t="str">
            <v>Other</v>
          </cell>
          <cell r="H6469" t="str">
            <v>OTHER</v>
          </cell>
          <cell r="I6469" t="str">
            <v>Other - Spread Yield</v>
          </cell>
        </row>
        <row r="6470">
          <cell r="A6470" t="str">
            <v>ALL_ARM_AGY_7_1_V620_E</v>
          </cell>
          <cell r="B6470" t="str">
            <v>Non$ 7/1 Agy Hyb ARM V620</v>
          </cell>
          <cell r="C6470" t="str">
            <v>-BRS_GOLD_1:ALL_ARM_AGY_7_1_V620_E</v>
          </cell>
          <cell r="D6470" t="str">
            <v>Spread Duration</v>
          </cell>
          <cell r="E6470" t="str">
            <v>Spread Yield</v>
          </cell>
          <cell r="F6470" t="str">
            <v>Other</v>
          </cell>
          <cell r="G6470" t="str">
            <v>Other</v>
          </cell>
          <cell r="H6470" t="str">
            <v>OTHER</v>
          </cell>
          <cell r="I6470" t="str">
            <v>Other - Spread Yield</v>
          </cell>
        </row>
        <row r="6471">
          <cell r="A6471" t="str">
            <v>ALL_ARM_JMB_10_1</v>
          </cell>
          <cell r="B6471" t="str">
            <v>Non$ 10/1 Jumbo ARM</v>
          </cell>
          <cell r="C6471" t="str">
            <v>-BRS_GOLD_1:ALL_ARM_JMB_10_1</v>
          </cell>
          <cell r="D6471" t="str">
            <v>Spread Duration</v>
          </cell>
          <cell r="E6471" t="str">
            <v>Spread Yield</v>
          </cell>
          <cell r="F6471" t="str">
            <v>Other</v>
          </cell>
          <cell r="G6471" t="str">
            <v>Other</v>
          </cell>
          <cell r="H6471" t="str">
            <v>OTHER</v>
          </cell>
          <cell r="I6471" t="str">
            <v>Other - Spread Yield</v>
          </cell>
        </row>
        <row r="6472">
          <cell r="A6472" t="str">
            <v>ALL_ARM_JMB_10_1_V600</v>
          </cell>
          <cell r="B6472" t="str">
            <v>Non$ 10/1 Jumbo ARM V600</v>
          </cell>
          <cell r="C6472" t="str">
            <v>-BRS_GOLD_1:ALL_ARM_JMB_10_1_V600</v>
          </cell>
          <cell r="D6472" t="str">
            <v>Spread Duration</v>
          </cell>
          <cell r="E6472" t="str">
            <v>Spread Yield</v>
          </cell>
          <cell r="F6472" t="str">
            <v>Other</v>
          </cell>
          <cell r="G6472" t="str">
            <v>Other</v>
          </cell>
          <cell r="H6472" t="str">
            <v>OTHER</v>
          </cell>
          <cell r="I6472" t="str">
            <v>Other - Spread Yield</v>
          </cell>
        </row>
        <row r="6473">
          <cell r="A6473" t="str">
            <v>ALL_ARM_JMB_10_1_V604</v>
          </cell>
          <cell r="B6473" t="str">
            <v>Non$ 10/1 Jumbo ARM V604</v>
          </cell>
          <cell r="C6473" t="str">
            <v>-BRS_GOLD_1:ALL_ARM_JMB_10_1_V604</v>
          </cell>
          <cell r="D6473" t="str">
            <v>Spread Duration</v>
          </cell>
          <cell r="E6473" t="str">
            <v>Spread Yield</v>
          </cell>
          <cell r="F6473" t="str">
            <v>Other</v>
          </cell>
          <cell r="G6473" t="str">
            <v>Other</v>
          </cell>
          <cell r="H6473" t="str">
            <v>OTHER</v>
          </cell>
          <cell r="I6473" t="str">
            <v>Other - Spread Yield</v>
          </cell>
        </row>
        <row r="6474">
          <cell r="A6474" t="str">
            <v>ALL_ARM_JMB_10_1_V604_E</v>
          </cell>
          <cell r="B6474" t="str">
            <v>Non$ 10/1 Jumbo ARM V604</v>
          </cell>
          <cell r="C6474" t="str">
            <v>-BRS_GOLD_1:ALL_ARM_JMB_10_1_V604_E</v>
          </cell>
          <cell r="D6474" t="str">
            <v>Spread Duration</v>
          </cell>
          <cell r="E6474" t="str">
            <v>Spread Yield</v>
          </cell>
          <cell r="F6474" t="str">
            <v>Other</v>
          </cell>
          <cell r="G6474" t="str">
            <v>Other</v>
          </cell>
          <cell r="H6474" t="str">
            <v>OTHER</v>
          </cell>
          <cell r="I6474" t="str">
            <v>Other - Spread Yield</v>
          </cell>
        </row>
        <row r="6475">
          <cell r="A6475" t="str">
            <v>ALL_ARM_JMB_10_1_V610</v>
          </cell>
          <cell r="B6475" t="str">
            <v>Non$ 10/1 Jumbo ARM V610</v>
          </cell>
          <cell r="C6475" t="str">
            <v>-BRS_GOLD_1:ALL_ARM_JMB_10_1_V610</v>
          </cell>
          <cell r="D6475" t="str">
            <v>Spread Duration</v>
          </cell>
          <cell r="E6475" t="str">
            <v>Spread Yield</v>
          </cell>
          <cell r="F6475" t="str">
            <v>Other</v>
          </cell>
          <cell r="G6475" t="str">
            <v>Other</v>
          </cell>
          <cell r="H6475" t="str">
            <v>OTHER</v>
          </cell>
          <cell r="I6475" t="str">
            <v>Other - Spread Yield</v>
          </cell>
        </row>
        <row r="6476">
          <cell r="A6476" t="str">
            <v>ALL_ARM_JMB_10_1_V610_E</v>
          </cell>
          <cell r="B6476" t="str">
            <v>Non$ 10/1 Jumbo ARM V610</v>
          </cell>
          <cell r="C6476" t="str">
            <v>-BRS_GOLD_1:ALL_ARM_JMB_10_1_V610_E</v>
          </cell>
          <cell r="D6476" t="str">
            <v>Spread Duration</v>
          </cell>
          <cell r="E6476" t="str">
            <v>Spread Yield</v>
          </cell>
          <cell r="F6476" t="str">
            <v>Other</v>
          </cell>
          <cell r="G6476" t="str">
            <v>Other</v>
          </cell>
          <cell r="H6476" t="str">
            <v>OTHER</v>
          </cell>
          <cell r="I6476" t="str">
            <v>Other - Spread Yield</v>
          </cell>
        </row>
        <row r="6477">
          <cell r="A6477" t="str">
            <v>ALL_ARM_JMB_10_1_V620</v>
          </cell>
          <cell r="B6477" t="str">
            <v>Non$ 10/1 Jumbo ARM V620</v>
          </cell>
          <cell r="C6477" t="str">
            <v>-BRS_GOLD_1:ALL_ARM_JMB_10_1_V620</v>
          </cell>
          <cell r="D6477" t="str">
            <v>Spread Duration</v>
          </cell>
          <cell r="E6477" t="str">
            <v>Spread Yield</v>
          </cell>
          <cell r="F6477" t="str">
            <v>Other</v>
          </cell>
          <cell r="G6477" t="str">
            <v>Other</v>
          </cell>
          <cell r="H6477" t="str">
            <v>OTHER</v>
          </cell>
          <cell r="I6477" t="str">
            <v>Other - Spread Yield</v>
          </cell>
        </row>
        <row r="6478">
          <cell r="A6478" t="str">
            <v>ALL_ARM_JMB_10_1_V620_E</v>
          </cell>
          <cell r="B6478" t="str">
            <v>Non$ 10/1 Jumbo ARM V620</v>
          </cell>
          <cell r="C6478" t="str">
            <v>-BRS_GOLD_1:ALL_ARM_JMB_10_1_V620_E</v>
          </cell>
          <cell r="D6478" t="str">
            <v>Spread Duration</v>
          </cell>
          <cell r="E6478" t="str">
            <v>Spread Yield</v>
          </cell>
          <cell r="F6478" t="str">
            <v>Other</v>
          </cell>
          <cell r="G6478" t="str">
            <v>Other</v>
          </cell>
          <cell r="H6478" t="str">
            <v>OTHER</v>
          </cell>
          <cell r="I6478" t="str">
            <v>Other - Spread Yield</v>
          </cell>
        </row>
        <row r="6479">
          <cell r="A6479" t="str">
            <v>ALL_ARM_JMB_1_1</v>
          </cell>
          <cell r="B6479" t="str">
            <v>Non$ 1/1 Jumbo ARM</v>
          </cell>
          <cell r="C6479" t="str">
            <v>-BRS_GOLD_1:ALL_ARM_JMB_1_1</v>
          </cell>
          <cell r="D6479" t="str">
            <v>Spread Duration</v>
          </cell>
          <cell r="E6479" t="str">
            <v>Spread Yield</v>
          </cell>
          <cell r="F6479" t="str">
            <v>Other</v>
          </cell>
          <cell r="G6479" t="str">
            <v>Other</v>
          </cell>
          <cell r="H6479" t="str">
            <v>OTHER</v>
          </cell>
          <cell r="I6479" t="str">
            <v>Other - Spread Yield</v>
          </cell>
        </row>
        <row r="6480">
          <cell r="A6480" t="str">
            <v>ALL_ARM_JMB_1_1_V600</v>
          </cell>
          <cell r="B6480" t="str">
            <v>Non$ 1/1 Jumbo ARM V600</v>
          </cell>
          <cell r="C6480" t="str">
            <v>-BRS_GOLD_1:ALL_ARM_JMB_1_1_V600</v>
          </cell>
          <cell r="D6480" t="str">
            <v>Spread Duration</v>
          </cell>
          <cell r="E6480" t="str">
            <v>Spread Yield</v>
          </cell>
          <cell r="F6480" t="str">
            <v>Other</v>
          </cell>
          <cell r="G6480" t="str">
            <v>Other</v>
          </cell>
          <cell r="H6480" t="str">
            <v>OTHER</v>
          </cell>
          <cell r="I6480" t="str">
            <v>Other - Spread Yield</v>
          </cell>
        </row>
        <row r="6481">
          <cell r="A6481" t="str">
            <v>ALL_ARM_JMB_1_1_V604</v>
          </cell>
          <cell r="B6481" t="str">
            <v>Non$ 1/1 Jumbo ARM V604</v>
          </cell>
          <cell r="C6481" t="str">
            <v>-BRS_GOLD_1:ALL_ARM_JMB_1_1_V604</v>
          </cell>
          <cell r="D6481" t="str">
            <v>Spread Duration</v>
          </cell>
          <cell r="E6481" t="str">
            <v>Spread Yield</v>
          </cell>
          <cell r="F6481" t="str">
            <v>Other</v>
          </cell>
          <cell r="G6481" t="str">
            <v>Other</v>
          </cell>
          <cell r="H6481" t="str">
            <v>OTHER</v>
          </cell>
          <cell r="I6481" t="str">
            <v>Other - Spread Yield</v>
          </cell>
        </row>
        <row r="6482">
          <cell r="A6482" t="str">
            <v>ALL_ARM_JMB_1_1_V604_E</v>
          </cell>
          <cell r="B6482" t="str">
            <v>Non$ 1/1 Jumbo ARM V604</v>
          </cell>
          <cell r="C6482" t="str">
            <v>-BRS_GOLD_1:ALL_ARM_JMB_1_1_V604_E</v>
          </cell>
          <cell r="D6482" t="str">
            <v>Spread Duration</v>
          </cell>
          <cell r="E6482" t="str">
            <v>Spread Yield</v>
          </cell>
          <cell r="F6482" t="str">
            <v>Other</v>
          </cell>
          <cell r="G6482" t="str">
            <v>Other</v>
          </cell>
          <cell r="H6482" t="str">
            <v>OTHER</v>
          </cell>
          <cell r="I6482" t="str">
            <v>Other - Spread Yield</v>
          </cell>
        </row>
        <row r="6483">
          <cell r="A6483" t="str">
            <v>ALL_ARM_JMB_1_1_V610</v>
          </cell>
          <cell r="B6483" t="str">
            <v>Non$ 1/1 Jumbo ARM V610</v>
          </cell>
          <cell r="C6483" t="str">
            <v>-BRS_GOLD_1:ALL_ARM_JMB_1_1_V610</v>
          </cell>
          <cell r="D6483" t="str">
            <v>Spread Duration</v>
          </cell>
          <cell r="E6483" t="str">
            <v>Spread Yield</v>
          </cell>
          <cell r="F6483" t="str">
            <v>Other</v>
          </cell>
          <cell r="G6483" t="str">
            <v>Other</v>
          </cell>
          <cell r="H6483" t="str">
            <v>OTHER</v>
          </cell>
          <cell r="I6483" t="str">
            <v>Other - Spread Yield</v>
          </cell>
        </row>
        <row r="6484">
          <cell r="A6484" t="str">
            <v>ALL_ARM_JMB_1_1_V610_E</v>
          </cell>
          <cell r="B6484" t="str">
            <v>Non$ 1/1 Jumbo ARM V610</v>
          </cell>
          <cell r="C6484" t="str">
            <v>-BRS_GOLD_1:ALL_ARM_JMB_1_1_V610_E</v>
          </cell>
          <cell r="D6484" t="str">
            <v>Spread Duration</v>
          </cell>
          <cell r="E6484" t="str">
            <v>Spread Yield</v>
          </cell>
          <cell r="F6484" t="str">
            <v>Other</v>
          </cell>
          <cell r="G6484" t="str">
            <v>Other</v>
          </cell>
          <cell r="H6484" t="str">
            <v>OTHER</v>
          </cell>
          <cell r="I6484" t="str">
            <v>Other - Spread Yield</v>
          </cell>
        </row>
        <row r="6485">
          <cell r="A6485" t="str">
            <v>ALL_ARM_JMB_1_1_V620</v>
          </cell>
          <cell r="B6485" t="str">
            <v>Non$ 1/1 Jumbo ARM V620</v>
          </cell>
          <cell r="C6485" t="str">
            <v>-BRS_GOLD_1:ALL_ARM_JMB_1_1_V620</v>
          </cell>
          <cell r="D6485" t="str">
            <v>Spread Duration</v>
          </cell>
          <cell r="E6485" t="str">
            <v>Spread Yield</v>
          </cell>
          <cell r="F6485" t="str">
            <v>Other</v>
          </cell>
          <cell r="G6485" t="str">
            <v>Other</v>
          </cell>
          <cell r="H6485" t="str">
            <v>OTHER</v>
          </cell>
          <cell r="I6485" t="str">
            <v>Other - Spread Yield</v>
          </cell>
        </row>
        <row r="6486">
          <cell r="A6486" t="str">
            <v>ALL_ARM_JMB_1_1_V620_E</v>
          </cell>
          <cell r="B6486" t="str">
            <v>Non$ 1/1 Jumbo ARM V620</v>
          </cell>
          <cell r="C6486" t="str">
            <v>-BRS_GOLD_1:ALL_ARM_JMB_1_1_V620_E</v>
          </cell>
          <cell r="D6486" t="str">
            <v>Spread Duration</v>
          </cell>
          <cell r="E6486" t="str">
            <v>Spread Yield</v>
          </cell>
          <cell r="F6486" t="str">
            <v>Other</v>
          </cell>
          <cell r="G6486" t="str">
            <v>Other</v>
          </cell>
          <cell r="H6486" t="str">
            <v>OTHER</v>
          </cell>
          <cell r="I6486" t="str">
            <v>Other - Spread Yield</v>
          </cell>
        </row>
        <row r="6487">
          <cell r="A6487" t="str">
            <v>ALL_ARM_JMB_3_1</v>
          </cell>
          <cell r="B6487" t="str">
            <v>Non$ 3/1 Jumbo ARM</v>
          </cell>
          <cell r="C6487" t="str">
            <v>-BRS_GOLD_1:ALL_ARM_JMB_3_1</v>
          </cell>
          <cell r="D6487" t="str">
            <v>Spread Duration</v>
          </cell>
          <cell r="E6487" t="str">
            <v>Spread Yield</v>
          </cell>
          <cell r="F6487" t="str">
            <v>Other</v>
          </cell>
          <cell r="G6487" t="str">
            <v>Other</v>
          </cell>
          <cell r="H6487" t="str">
            <v>OTHER</v>
          </cell>
          <cell r="I6487" t="str">
            <v>Other - Spread Yield</v>
          </cell>
        </row>
        <row r="6488">
          <cell r="A6488" t="str">
            <v>ALL_ARM_JMB_3_1_V600</v>
          </cell>
          <cell r="B6488" t="str">
            <v>Non$ 3/1 Jumbo ARM V600</v>
          </cell>
          <cell r="C6488" t="str">
            <v>-BRS_GOLD_1:ALL_ARM_JMB_3_1_V600</v>
          </cell>
          <cell r="D6488" t="str">
            <v>Spread Duration</v>
          </cell>
          <cell r="E6488" t="str">
            <v>Spread Yield</v>
          </cell>
          <cell r="F6488" t="str">
            <v>Other</v>
          </cell>
          <cell r="G6488" t="str">
            <v>Other</v>
          </cell>
          <cell r="H6488" t="str">
            <v>OTHER</v>
          </cell>
          <cell r="I6488" t="str">
            <v>Other - Spread Yield</v>
          </cell>
        </row>
        <row r="6489">
          <cell r="A6489" t="str">
            <v>ALL_ARM_JMB_3_1_V604</v>
          </cell>
          <cell r="B6489" t="str">
            <v>Non$ 3/1 Jumbo ARM V604</v>
          </cell>
          <cell r="C6489" t="str">
            <v>-BRS_GOLD_1:ALL_ARM_JMB_3_1_V604</v>
          </cell>
          <cell r="D6489" t="str">
            <v>Spread Duration</v>
          </cell>
          <cell r="E6489" t="str">
            <v>Spread Yield</v>
          </cell>
          <cell r="F6489" t="str">
            <v>Other</v>
          </cell>
          <cell r="G6489" t="str">
            <v>Other</v>
          </cell>
          <cell r="H6489" t="str">
            <v>OTHER</v>
          </cell>
          <cell r="I6489" t="str">
            <v>Other - Spread Yield</v>
          </cell>
        </row>
        <row r="6490">
          <cell r="A6490" t="str">
            <v>ALL_ARM_JMB_3_1_V604_E</v>
          </cell>
          <cell r="B6490" t="str">
            <v>Non$ 3/1 Jumbo ARM V604</v>
          </cell>
          <cell r="C6490" t="str">
            <v>-BRS_GOLD_1:ALL_ARM_JMB_3_1_V604_E</v>
          </cell>
          <cell r="D6490" t="str">
            <v>Spread Duration</v>
          </cell>
          <cell r="E6490" t="str">
            <v>Spread Yield</v>
          </cell>
          <cell r="F6490" t="str">
            <v>Other</v>
          </cell>
          <cell r="G6490" t="str">
            <v>Other</v>
          </cell>
          <cell r="H6490" t="str">
            <v>OTHER</v>
          </cell>
          <cell r="I6490" t="str">
            <v>Other - Spread Yield</v>
          </cell>
        </row>
        <row r="6491">
          <cell r="A6491" t="str">
            <v>ALL_ARM_JMB_3_1_V610</v>
          </cell>
          <cell r="B6491" t="str">
            <v>Non$ 3/1 Jumbo ARM V610</v>
          </cell>
          <cell r="C6491" t="str">
            <v>-BRS_GOLD_1:ALL_ARM_JMB_3_1_V610</v>
          </cell>
          <cell r="D6491" t="str">
            <v>Spread Duration</v>
          </cell>
          <cell r="E6491" t="str">
            <v>Spread Yield</v>
          </cell>
          <cell r="F6491" t="str">
            <v>Other</v>
          </cell>
          <cell r="G6491" t="str">
            <v>Other</v>
          </cell>
          <cell r="H6491" t="str">
            <v>OTHER</v>
          </cell>
          <cell r="I6491" t="str">
            <v>Other - Spread Yield</v>
          </cell>
        </row>
        <row r="6492">
          <cell r="A6492" t="str">
            <v>ALL_ARM_JMB_3_1_V610_E</v>
          </cell>
          <cell r="B6492" t="str">
            <v>Non$ 3/1 Jumbo ARM V610</v>
          </cell>
          <cell r="C6492" t="str">
            <v>-BRS_GOLD_1:ALL_ARM_JMB_3_1_V610_E</v>
          </cell>
          <cell r="D6492" t="str">
            <v>Spread Duration</v>
          </cell>
          <cell r="E6492" t="str">
            <v>Spread Yield</v>
          </cell>
          <cell r="F6492" t="str">
            <v>Other</v>
          </cell>
          <cell r="G6492" t="str">
            <v>Other</v>
          </cell>
          <cell r="H6492" t="str">
            <v>OTHER</v>
          </cell>
          <cell r="I6492" t="str">
            <v>Other - Spread Yield</v>
          </cell>
        </row>
        <row r="6493">
          <cell r="A6493" t="str">
            <v>ALL_ARM_JMB_3_1_V620</v>
          </cell>
          <cell r="B6493" t="str">
            <v>Non$ 3/1 Jumbo ARM V620</v>
          </cell>
          <cell r="C6493" t="str">
            <v>-BRS_GOLD_1:ALL_ARM_JMB_3_1_V620</v>
          </cell>
          <cell r="D6493" t="str">
            <v>Spread Duration</v>
          </cell>
          <cell r="E6493" t="str">
            <v>Spread Yield</v>
          </cell>
          <cell r="F6493" t="str">
            <v>Other</v>
          </cell>
          <cell r="G6493" t="str">
            <v>Other</v>
          </cell>
          <cell r="H6493" t="str">
            <v>OTHER</v>
          </cell>
          <cell r="I6493" t="str">
            <v>Other - Spread Yield</v>
          </cell>
        </row>
        <row r="6494">
          <cell r="A6494" t="str">
            <v>ALL_ARM_JMB_3_1_V620_E</v>
          </cell>
          <cell r="B6494" t="str">
            <v>Non$ 3/1 Jumbo ARM V620</v>
          </cell>
          <cell r="C6494" t="str">
            <v>-BRS_GOLD_1:ALL_ARM_JMB_3_1_V620_E</v>
          </cell>
          <cell r="D6494" t="str">
            <v>Spread Duration</v>
          </cell>
          <cell r="E6494" t="str">
            <v>Spread Yield</v>
          </cell>
          <cell r="F6494" t="str">
            <v>Other</v>
          </cell>
          <cell r="G6494" t="str">
            <v>Other</v>
          </cell>
          <cell r="H6494" t="str">
            <v>OTHER</v>
          </cell>
          <cell r="I6494" t="str">
            <v>Other - Spread Yield</v>
          </cell>
        </row>
        <row r="6495">
          <cell r="A6495" t="str">
            <v>ALL_ARM_JMB_5_1</v>
          </cell>
          <cell r="B6495" t="str">
            <v>Non$ 5/1 Jumbo ARM</v>
          </cell>
          <cell r="C6495" t="str">
            <v>-BRS_GOLD_1:ALL_ARM_JMB_5_1</v>
          </cell>
          <cell r="D6495" t="str">
            <v>Spread Duration</v>
          </cell>
          <cell r="E6495" t="str">
            <v>Spread Yield</v>
          </cell>
          <cell r="F6495" t="str">
            <v>Other</v>
          </cell>
          <cell r="G6495" t="str">
            <v>Other</v>
          </cell>
          <cell r="H6495" t="str">
            <v>OTHER</v>
          </cell>
          <cell r="I6495" t="str">
            <v>Other - Spread Yield</v>
          </cell>
        </row>
        <row r="6496">
          <cell r="A6496" t="str">
            <v>ALL_ARM_JMB_5_1_V600</v>
          </cell>
          <cell r="B6496" t="str">
            <v>Non$ 5/1 Jumbo ARM V600</v>
          </cell>
          <cell r="C6496" t="str">
            <v>-BRS_GOLD_1:ALL_ARM_JMB_5_1_V600</v>
          </cell>
          <cell r="D6496" t="str">
            <v>Spread Duration</v>
          </cell>
          <cell r="E6496" t="str">
            <v>Spread Yield</v>
          </cell>
          <cell r="F6496" t="str">
            <v>Other</v>
          </cell>
          <cell r="G6496" t="str">
            <v>Other</v>
          </cell>
          <cell r="H6496" t="str">
            <v>OTHER</v>
          </cell>
          <cell r="I6496" t="str">
            <v>Other - Spread Yield</v>
          </cell>
        </row>
        <row r="6497">
          <cell r="A6497" t="str">
            <v>ALL_ARM_JMB_5_1_V604</v>
          </cell>
          <cell r="B6497" t="str">
            <v>Non$ 5/1 Jumbo ARM V604</v>
          </cell>
          <cell r="C6497" t="str">
            <v>-BRS_GOLD_1:ALL_ARM_JMB_5_1_V604</v>
          </cell>
          <cell r="D6497" t="str">
            <v>Spread Duration</v>
          </cell>
          <cell r="E6497" t="str">
            <v>Spread Yield</v>
          </cell>
          <cell r="F6497" t="str">
            <v>Other</v>
          </cell>
          <cell r="G6497" t="str">
            <v>Other</v>
          </cell>
          <cell r="H6497" t="str">
            <v>OTHER</v>
          </cell>
          <cell r="I6497" t="str">
            <v>Other - Spread Yield</v>
          </cell>
        </row>
        <row r="6498">
          <cell r="A6498" t="str">
            <v>ALL_ARM_JMB_5_1_V604_E</v>
          </cell>
          <cell r="B6498" t="str">
            <v>Non$ 5/1 Jumbo ARM V604</v>
          </cell>
          <cell r="C6498" t="str">
            <v>-BRS_GOLD_1:ALL_ARM_JMB_5_1_V604_E</v>
          </cell>
          <cell r="D6498" t="str">
            <v>Spread Duration</v>
          </cell>
          <cell r="E6498" t="str">
            <v>Spread Yield</v>
          </cell>
          <cell r="F6498" t="str">
            <v>Other</v>
          </cell>
          <cell r="G6498" t="str">
            <v>Other</v>
          </cell>
          <cell r="H6498" t="str">
            <v>OTHER</v>
          </cell>
          <cell r="I6498" t="str">
            <v>Other - Spread Yield</v>
          </cell>
        </row>
        <row r="6499">
          <cell r="A6499" t="str">
            <v>ALL_ARM_JMB_5_1_V610</v>
          </cell>
          <cell r="B6499" t="str">
            <v>Non$ 5/1 Jumbo ARM V610</v>
          </cell>
          <cell r="C6499" t="str">
            <v>-BRS_GOLD_1:ALL_ARM_JMB_5_1_V610</v>
          </cell>
          <cell r="D6499" t="str">
            <v>Spread Duration</v>
          </cell>
          <cell r="E6499" t="str">
            <v>Spread Yield</v>
          </cell>
          <cell r="F6499" t="str">
            <v>Other</v>
          </cell>
          <cell r="G6499" t="str">
            <v>Other</v>
          </cell>
          <cell r="H6499" t="str">
            <v>OTHER</v>
          </cell>
          <cell r="I6499" t="str">
            <v>Other - Spread Yield</v>
          </cell>
        </row>
        <row r="6500">
          <cell r="A6500" t="str">
            <v>ALL_ARM_JMB_5_1_V610_E</v>
          </cell>
          <cell r="B6500" t="str">
            <v>Non$ 5/1 Jumbo ARM V610</v>
          </cell>
          <cell r="C6500" t="str">
            <v>-BRS_GOLD_1:ALL_ARM_JMB_5_1_V610_E</v>
          </cell>
          <cell r="D6500" t="str">
            <v>Spread Duration</v>
          </cell>
          <cell r="E6500" t="str">
            <v>Spread Yield</v>
          </cell>
          <cell r="F6500" t="str">
            <v>Other</v>
          </cell>
          <cell r="G6500" t="str">
            <v>Other</v>
          </cell>
          <cell r="H6500" t="str">
            <v>OTHER</v>
          </cell>
          <cell r="I6500" t="str">
            <v>Other - Spread Yield</v>
          </cell>
        </row>
        <row r="6501">
          <cell r="A6501" t="str">
            <v>ALL_ARM_JMB_5_1_V620</v>
          </cell>
          <cell r="B6501" t="str">
            <v>Non$ 5/1 Jumbo ARM V620</v>
          </cell>
          <cell r="C6501" t="str">
            <v>-BRS_GOLD_1:ALL_ARM_JMB_5_1_V620</v>
          </cell>
          <cell r="D6501" t="str">
            <v>Spread Duration</v>
          </cell>
          <cell r="E6501" t="str">
            <v>Spread Yield</v>
          </cell>
          <cell r="F6501" t="str">
            <v>Other</v>
          </cell>
          <cell r="G6501" t="str">
            <v>Other</v>
          </cell>
          <cell r="H6501" t="str">
            <v>OTHER</v>
          </cell>
          <cell r="I6501" t="str">
            <v>Other - Spread Yield</v>
          </cell>
        </row>
        <row r="6502">
          <cell r="A6502" t="str">
            <v>ALL_ARM_JMB_5_1_V620_E</v>
          </cell>
          <cell r="B6502" t="str">
            <v>Non$ 5/1 Jumbo ARM V620</v>
          </cell>
          <cell r="C6502" t="str">
            <v>-BRS_GOLD_1:ALL_ARM_JMB_5_1_V620_E</v>
          </cell>
          <cell r="D6502" t="str">
            <v>Spread Duration</v>
          </cell>
          <cell r="E6502" t="str">
            <v>Spread Yield</v>
          </cell>
          <cell r="F6502" t="str">
            <v>Other</v>
          </cell>
          <cell r="G6502" t="str">
            <v>Other</v>
          </cell>
          <cell r="H6502" t="str">
            <v>OTHER</v>
          </cell>
          <cell r="I6502" t="str">
            <v>Other - Spread Yield</v>
          </cell>
        </row>
        <row r="6503">
          <cell r="A6503" t="str">
            <v>ALL_ARM_JMB_7_1</v>
          </cell>
          <cell r="B6503" t="str">
            <v>Non$ 7/1 Jumbo ARM</v>
          </cell>
          <cell r="C6503" t="str">
            <v>-BRS_GOLD_1:ALL_ARM_JMB_7_1</v>
          </cell>
          <cell r="D6503" t="str">
            <v>Spread Duration</v>
          </cell>
          <cell r="E6503" t="str">
            <v>Spread Yield</v>
          </cell>
          <cell r="F6503" t="str">
            <v>Other</v>
          </cell>
          <cell r="G6503" t="str">
            <v>Other</v>
          </cell>
          <cell r="H6503" t="str">
            <v>OTHER</v>
          </cell>
          <cell r="I6503" t="str">
            <v>Other - Spread Yield</v>
          </cell>
        </row>
        <row r="6504">
          <cell r="A6504" t="str">
            <v>ALL_ARM_JMB_7_1_V600</v>
          </cell>
          <cell r="B6504" t="str">
            <v>Non$ 7/1 Jumbo ARM V600</v>
          </cell>
          <cell r="C6504" t="str">
            <v>-BRS_GOLD_1:ALL_ARM_JMB_7_1_V600</v>
          </cell>
          <cell r="D6504" t="str">
            <v>Spread Duration</v>
          </cell>
          <cell r="E6504" t="str">
            <v>Spread Yield</v>
          </cell>
          <cell r="F6504" t="str">
            <v>Other</v>
          </cell>
          <cell r="G6504" t="str">
            <v>Other</v>
          </cell>
          <cell r="H6504" t="str">
            <v>OTHER</v>
          </cell>
          <cell r="I6504" t="str">
            <v>Other - Spread Yield</v>
          </cell>
        </row>
        <row r="6505">
          <cell r="A6505" t="str">
            <v>ALL_ARM_JMB_7_1_V604</v>
          </cell>
          <cell r="B6505" t="str">
            <v>Non$ 7/1 Jumbo ARM V604</v>
          </cell>
          <cell r="C6505" t="str">
            <v>-BRS_GOLD_1:ALL_ARM_JMB_7_1_V604</v>
          </cell>
          <cell r="D6505" t="str">
            <v>Spread Duration</v>
          </cell>
          <cell r="E6505" t="str">
            <v>Spread Yield</v>
          </cell>
          <cell r="F6505" t="str">
            <v>Other</v>
          </cell>
          <cell r="G6505" t="str">
            <v>Other</v>
          </cell>
          <cell r="H6505" t="str">
            <v>OTHER</v>
          </cell>
          <cell r="I6505" t="str">
            <v>Other - Spread Yield</v>
          </cell>
        </row>
        <row r="6506">
          <cell r="A6506" t="str">
            <v>ALL_ARM_JMB_7_1_V604_E</v>
          </cell>
          <cell r="B6506" t="str">
            <v>Non$ 7/1 Jumbo ARM V604</v>
          </cell>
          <cell r="C6506" t="str">
            <v>-BRS_GOLD_1:ALL_ARM_JMB_7_1_V604_E</v>
          </cell>
          <cell r="D6506" t="str">
            <v>Spread Duration</v>
          </cell>
          <cell r="E6506" t="str">
            <v>Spread Yield</v>
          </cell>
          <cell r="F6506" t="str">
            <v>Other</v>
          </cell>
          <cell r="G6506" t="str">
            <v>Other</v>
          </cell>
          <cell r="H6506" t="str">
            <v>OTHER</v>
          </cell>
          <cell r="I6506" t="str">
            <v>Other - Spread Yield</v>
          </cell>
        </row>
        <row r="6507">
          <cell r="A6507" t="str">
            <v>ALL_ARM_JMB_7_1_V610</v>
          </cell>
          <cell r="B6507" t="str">
            <v>Non$ 7/1 Jumbo ARM V610</v>
          </cell>
          <cell r="C6507" t="str">
            <v>-BRS_GOLD_1:ALL_ARM_JMB_7_1_V610</v>
          </cell>
          <cell r="D6507" t="str">
            <v>Spread Duration</v>
          </cell>
          <cell r="E6507" t="str">
            <v>Spread Yield</v>
          </cell>
          <cell r="F6507" t="str">
            <v>Other</v>
          </cell>
          <cell r="G6507" t="str">
            <v>Other</v>
          </cell>
          <cell r="H6507" t="str">
            <v>OTHER</v>
          </cell>
          <cell r="I6507" t="str">
            <v>Other - Spread Yield</v>
          </cell>
        </row>
        <row r="6508">
          <cell r="A6508" t="str">
            <v>ALL_ARM_JMB_7_1_V610_E</v>
          </cell>
          <cell r="B6508" t="str">
            <v>Non$ 7/1 Jumbo ARM V610</v>
          </cell>
          <cell r="C6508" t="str">
            <v>-BRS_GOLD_1:ALL_ARM_JMB_7_1_V610_E</v>
          </cell>
          <cell r="D6508" t="str">
            <v>Spread Duration</v>
          </cell>
          <cell r="E6508" t="str">
            <v>Spread Yield</v>
          </cell>
          <cell r="F6508" t="str">
            <v>Other</v>
          </cell>
          <cell r="G6508" t="str">
            <v>Other</v>
          </cell>
          <cell r="H6508" t="str">
            <v>OTHER</v>
          </cell>
          <cell r="I6508" t="str">
            <v>Other - Spread Yield</v>
          </cell>
        </row>
        <row r="6509">
          <cell r="A6509" t="str">
            <v>ALL_ARM_JMB_7_1_V620</v>
          </cell>
          <cell r="B6509" t="str">
            <v>Non$ 7/1 Jumbo ARM V620</v>
          </cell>
          <cell r="C6509" t="str">
            <v>-BRS_GOLD_1:ALL_ARM_JMB_7_1_V620</v>
          </cell>
          <cell r="D6509" t="str">
            <v>Spread Duration</v>
          </cell>
          <cell r="E6509" t="str">
            <v>Spread Yield</v>
          </cell>
          <cell r="F6509" t="str">
            <v>Other</v>
          </cell>
          <cell r="G6509" t="str">
            <v>Other</v>
          </cell>
          <cell r="H6509" t="str">
            <v>OTHER</v>
          </cell>
          <cell r="I6509" t="str">
            <v>Other - Spread Yield</v>
          </cell>
        </row>
        <row r="6510">
          <cell r="A6510" t="str">
            <v>ALL_ARM_JMB_7_1_V620_E</v>
          </cell>
          <cell r="B6510" t="str">
            <v>Non$ 7/1 Jumbo ARM V620</v>
          </cell>
          <cell r="C6510" t="str">
            <v>-BRS_GOLD_1:ALL_ARM_JMB_7_1_V620_E</v>
          </cell>
          <cell r="D6510" t="str">
            <v>Spread Duration</v>
          </cell>
          <cell r="E6510" t="str">
            <v>Spread Yield</v>
          </cell>
          <cell r="F6510" t="str">
            <v>Other</v>
          </cell>
          <cell r="G6510" t="str">
            <v>Other</v>
          </cell>
          <cell r="H6510" t="str">
            <v>OTHER</v>
          </cell>
          <cell r="I6510" t="str">
            <v>Other - Spread Yield</v>
          </cell>
        </row>
        <row r="6511">
          <cell r="A6511" t="str">
            <v>ALL_CORP_HY_10YN</v>
          </cell>
          <cell r="B6511" t="str">
            <v>Non$ Maturity HY 10</v>
          </cell>
          <cell r="C6511" t="str">
            <v>-BRS_GOLD_1:ALL_CORP_HY_10YN</v>
          </cell>
          <cell r="D6511" t="str">
            <v>Spread Duration</v>
          </cell>
          <cell r="E6511" t="str">
            <v>Spread Yield (DxS)</v>
          </cell>
          <cell r="F6511" t="str">
            <v>SP-Corporate HY Other</v>
          </cell>
          <cell r="G6511" t="str">
            <v>SP-Spread Corporate</v>
          </cell>
          <cell r="H6511" t="str">
            <v>SPREADS</v>
          </cell>
          <cell r="I6511" t="str">
            <v>Corporate HY Other - Maturity</v>
          </cell>
        </row>
        <row r="6512">
          <cell r="A6512" t="str">
            <v>ALL_CORP_HY_20YN</v>
          </cell>
          <cell r="B6512" t="str">
            <v>Non$ Maturity HY 20</v>
          </cell>
          <cell r="C6512" t="str">
            <v>-BRS_GOLD_1:ALL_CORP_HY_20YN</v>
          </cell>
          <cell r="D6512" t="str">
            <v>Spread Duration</v>
          </cell>
          <cell r="E6512" t="str">
            <v>Spread Yield (DxS)</v>
          </cell>
          <cell r="F6512" t="str">
            <v>SP-Corporate HY Other</v>
          </cell>
          <cell r="G6512" t="str">
            <v>SP-Spread Corporate</v>
          </cell>
          <cell r="H6512" t="str">
            <v>SPREADS</v>
          </cell>
          <cell r="I6512" t="str">
            <v>Corporate HY Other - Maturity</v>
          </cell>
        </row>
        <row r="6513">
          <cell r="A6513" t="str">
            <v>ALL_CORP_HY_2YN</v>
          </cell>
          <cell r="B6513" t="str">
            <v>Non$ Maturity HY 2</v>
          </cell>
          <cell r="C6513" t="str">
            <v>-BRS_GOLD_1:ALL_CORP_HY_2YN</v>
          </cell>
          <cell r="D6513" t="str">
            <v>Spread Duration</v>
          </cell>
          <cell r="E6513" t="str">
            <v>Spread Yield (DxS)</v>
          </cell>
          <cell r="F6513" t="str">
            <v>SP-Corporate HY Other</v>
          </cell>
          <cell r="G6513" t="str">
            <v>SP-Spread Corporate</v>
          </cell>
          <cell r="H6513" t="str">
            <v>SPREADS</v>
          </cell>
          <cell r="I6513" t="str">
            <v>Corporate HY Other - Maturity</v>
          </cell>
        </row>
        <row r="6514">
          <cell r="A6514" t="str">
            <v>ALL_CORP_HY_5YN</v>
          </cell>
          <cell r="B6514" t="str">
            <v>Non$ Maturity HY 5</v>
          </cell>
          <cell r="C6514" t="str">
            <v>-BRS_GOLD_1:ALL_CORP_HY_5YN</v>
          </cell>
          <cell r="D6514" t="str">
            <v>Spread Duration</v>
          </cell>
          <cell r="E6514" t="str">
            <v>Spread Yield (DxS)</v>
          </cell>
          <cell r="F6514" t="str">
            <v>SP-Corporate HY Other</v>
          </cell>
          <cell r="G6514" t="str">
            <v>SP-Spread Corporate</v>
          </cell>
          <cell r="H6514" t="str">
            <v>SPREADS</v>
          </cell>
          <cell r="I6514" t="str">
            <v>Corporate HY Other - Maturity</v>
          </cell>
        </row>
        <row r="6515">
          <cell r="A6515" t="str">
            <v>ALL_EM_CORP_EE</v>
          </cell>
          <cell r="B6515" t="str">
            <v>Non$ Europe</v>
          </cell>
          <cell r="C6515" t="str">
            <v>-BRS_GOLD_1:ALL_EM_CORP_EE</v>
          </cell>
          <cell r="D6515" t="str">
            <v>Spread Duration</v>
          </cell>
          <cell r="E6515" t="str">
            <v>Spread Yield (DxS)</v>
          </cell>
          <cell r="F6515" t="str">
            <v>Other</v>
          </cell>
          <cell r="G6515" t="str">
            <v>Other</v>
          </cell>
          <cell r="H6515" t="str">
            <v>OTHER</v>
          </cell>
          <cell r="I6515" t="str">
            <v>Other - Spread Yield</v>
          </cell>
        </row>
        <row r="6516">
          <cell r="A6516" t="str">
            <v>ALL_EM_CORP_MIDAF</v>
          </cell>
          <cell r="B6516" t="str">
            <v>Non$ Middle East and Africa</v>
          </cell>
          <cell r="C6516" t="str">
            <v>-BRS_GOLD_1:ALL_EM_CORP_MIDAF</v>
          </cell>
          <cell r="D6516" t="str">
            <v>Spread Duration</v>
          </cell>
          <cell r="E6516" t="str">
            <v>Spread Yield (DxS)</v>
          </cell>
          <cell r="F6516" t="str">
            <v>Other</v>
          </cell>
          <cell r="G6516" t="str">
            <v>Other</v>
          </cell>
          <cell r="H6516" t="str">
            <v>OTHER</v>
          </cell>
          <cell r="I6516" t="str">
            <v>Other - Spread Yield</v>
          </cell>
        </row>
        <row r="6517">
          <cell r="A6517" t="str">
            <v>ALL_EM_CORP_SA</v>
          </cell>
          <cell r="B6517" t="str">
            <v>Non$ Latin America</v>
          </cell>
          <cell r="C6517" t="str">
            <v>-BRS_GOLD_1:ALL_EM_CORP_SA</v>
          </cell>
          <cell r="D6517" t="str">
            <v>Spread Duration</v>
          </cell>
          <cell r="E6517" t="str">
            <v>Spread Yield (DxS)</v>
          </cell>
          <cell r="F6517" t="str">
            <v>Other</v>
          </cell>
          <cell r="G6517" t="str">
            <v>Other</v>
          </cell>
          <cell r="H6517" t="str">
            <v>OTHER</v>
          </cell>
          <cell r="I6517" t="str">
            <v>Other - Spread Yield</v>
          </cell>
        </row>
        <row r="6518">
          <cell r="A6518" t="str">
            <v>ALL_IO_C_ATM</v>
          </cell>
          <cell r="B6518" t="str">
            <v>Non$ IO ATM</v>
          </cell>
          <cell r="C6518" t="str">
            <v>-BRS_GOLD_1:ALL_IO_C_ATM</v>
          </cell>
          <cell r="D6518" t="str">
            <v>Spread Duration</v>
          </cell>
          <cell r="E6518" t="str">
            <v>Spread Yield</v>
          </cell>
          <cell r="F6518" t="str">
            <v>Other</v>
          </cell>
          <cell r="G6518" t="str">
            <v>Other</v>
          </cell>
          <cell r="H6518" t="str">
            <v>OTHER</v>
          </cell>
          <cell r="I6518" t="str">
            <v>Other - Spread Yield</v>
          </cell>
        </row>
        <row r="6519">
          <cell r="A6519" t="str">
            <v>ALL_IO_C_ITM50</v>
          </cell>
          <cell r="B6519" t="str">
            <v>Non$ IO ITM</v>
          </cell>
          <cell r="C6519" t="str">
            <v>-BRS_GOLD_1:ALL_IO_C_ITM50</v>
          </cell>
          <cell r="D6519" t="str">
            <v>Spread Duration</v>
          </cell>
          <cell r="E6519" t="str">
            <v>Spread Yield</v>
          </cell>
          <cell r="F6519" t="str">
            <v>Other</v>
          </cell>
          <cell r="G6519" t="str">
            <v>Other</v>
          </cell>
          <cell r="H6519" t="str">
            <v>OTHER</v>
          </cell>
          <cell r="I6519" t="str">
            <v>Other - Spread Yield</v>
          </cell>
        </row>
        <row r="6520">
          <cell r="A6520" t="str">
            <v>ALL_IO_C_OTM</v>
          </cell>
          <cell r="B6520" t="str">
            <v>Non$ IO OTM</v>
          </cell>
          <cell r="C6520" t="str">
            <v>-BRS_GOLD_1:ALL_IO_C_OTM</v>
          </cell>
          <cell r="D6520" t="str">
            <v>Spread Duration</v>
          </cell>
          <cell r="E6520" t="str">
            <v>Spread Yield</v>
          </cell>
          <cell r="F6520" t="str">
            <v>Other</v>
          </cell>
          <cell r="G6520" t="str">
            <v>Other</v>
          </cell>
          <cell r="H6520" t="str">
            <v>OTHER</v>
          </cell>
          <cell r="I6520" t="str">
            <v>Other - Spread Yield</v>
          </cell>
        </row>
        <row r="6521">
          <cell r="A6521" t="str">
            <v>ALL_MSR_ARM</v>
          </cell>
          <cell r="B6521" t="str">
            <v>Non$ ARM Mtg Serv Right</v>
          </cell>
          <cell r="C6521" t="str">
            <v>-BRS_GOLD_1:ALL_MSR_ARM</v>
          </cell>
          <cell r="D6521" t="str">
            <v>Spread Duration</v>
          </cell>
          <cell r="E6521" t="str">
            <v>Spread Yield</v>
          </cell>
          <cell r="F6521" t="str">
            <v>Other</v>
          </cell>
          <cell r="G6521" t="str">
            <v>Other</v>
          </cell>
          <cell r="H6521" t="str">
            <v>OTHER</v>
          </cell>
          <cell r="I6521" t="str">
            <v>Other - Spread Yield</v>
          </cell>
        </row>
        <row r="6522">
          <cell r="A6522" t="str">
            <v>ALL_MSR_MBS</v>
          </cell>
          <cell r="B6522" t="str">
            <v>Non$ MBS Mtg Serv Right</v>
          </cell>
          <cell r="C6522" t="str">
            <v>-BRS_GOLD_1:ALL_MSR_MBS</v>
          </cell>
          <cell r="D6522" t="str">
            <v>Spread Duration</v>
          </cell>
          <cell r="E6522" t="str">
            <v>Spread Yield</v>
          </cell>
          <cell r="F6522" t="str">
            <v>Other</v>
          </cell>
          <cell r="G6522" t="str">
            <v>Other</v>
          </cell>
          <cell r="H6522" t="str">
            <v>OTHER</v>
          </cell>
          <cell r="I6522" t="str">
            <v>Other - Spread Yield</v>
          </cell>
        </row>
        <row r="6523">
          <cell r="A6523" t="str">
            <v>ALL_PFD_HY</v>
          </cell>
          <cell r="B6523" t="str">
            <v>Non$ Preferred Equity HY</v>
          </cell>
          <cell r="C6523" t="str">
            <v>-BRS_GOLD_1:ALL_PFD_HY</v>
          </cell>
          <cell r="D6523" t="str">
            <v>Spread Duration</v>
          </cell>
          <cell r="E6523" t="str">
            <v>Spread Yield (DxS)</v>
          </cell>
          <cell r="F6523" t="str">
            <v>Other</v>
          </cell>
          <cell r="G6523" t="str">
            <v>Other</v>
          </cell>
          <cell r="H6523" t="str">
            <v>OTHER</v>
          </cell>
          <cell r="I6523" t="str">
            <v>Other - Spread Yield</v>
          </cell>
        </row>
        <row r="6524">
          <cell r="A6524" t="str">
            <v>ALL_PFD_IG</v>
          </cell>
          <cell r="B6524" t="str">
            <v>Non$ Preferred Equity IG</v>
          </cell>
          <cell r="C6524" t="str">
            <v>-BRS_GOLD_1:ALL_PFD_IG</v>
          </cell>
          <cell r="D6524" t="str">
            <v>Spread Duration</v>
          </cell>
          <cell r="E6524" t="str">
            <v>Spread Yield (DxS)</v>
          </cell>
          <cell r="F6524" t="str">
            <v>Other</v>
          </cell>
          <cell r="G6524" t="str">
            <v>Other</v>
          </cell>
          <cell r="H6524" t="str">
            <v>OTHER</v>
          </cell>
          <cell r="I6524" t="str">
            <v>Other - Spread Yield</v>
          </cell>
        </row>
        <row r="6525">
          <cell r="A6525" t="str">
            <v>ALL_PO_C_ATM</v>
          </cell>
          <cell r="B6525" t="str">
            <v>Non$ PO ATM</v>
          </cell>
          <cell r="C6525" t="str">
            <v>-BRS_GOLD_1:ALL_PO_C_ATM</v>
          </cell>
          <cell r="D6525" t="str">
            <v>Spread Duration</v>
          </cell>
          <cell r="E6525" t="str">
            <v>Spread Yield</v>
          </cell>
          <cell r="F6525" t="str">
            <v>Other</v>
          </cell>
          <cell r="G6525" t="str">
            <v>Other</v>
          </cell>
          <cell r="H6525" t="str">
            <v>OTHER</v>
          </cell>
          <cell r="I6525" t="str">
            <v>Other - Spread Yield</v>
          </cell>
        </row>
        <row r="6526">
          <cell r="A6526" t="str">
            <v>ALL_PO_C_ITM50</v>
          </cell>
          <cell r="B6526" t="str">
            <v>Non$ PO ITM</v>
          </cell>
          <cell r="C6526" t="str">
            <v>-BRS_GOLD_1:ALL_PO_C_ITM50</v>
          </cell>
          <cell r="D6526" t="str">
            <v>Spread Duration</v>
          </cell>
          <cell r="E6526" t="str">
            <v>Spread Yield</v>
          </cell>
          <cell r="F6526" t="str">
            <v>Other</v>
          </cell>
          <cell r="G6526" t="str">
            <v>Other</v>
          </cell>
          <cell r="H6526" t="str">
            <v>OTHER</v>
          </cell>
          <cell r="I6526" t="str">
            <v>Other - Spread Yield</v>
          </cell>
        </row>
        <row r="6527">
          <cell r="A6527" t="str">
            <v>ALL_PO_C_OTM</v>
          </cell>
          <cell r="B6527" t="str">
            <v>Non$ PO OTM</v>
          </cell>
          <cell r="C6527" t="str">
            <v>-BRS_GOLD_1:ALL_PO_C_OTM</v>
          </cell>
          <cell r="D6527" t="str">
            <v>Spread Duration</v>
          </cell>
          <cell r="E6527" t="str">
            <v>Spread Yield</v>
          </cell>
          <cell r="F6527" t="str">
            <v>Other</v>
          </cell>
          <cell r="G6527" t="str">
            <v>Other</v>
          </cell>
          <cell r="H6527" t="str">
            <v>OTHER</v>
          </cell>
          <cell r="I6527" t="str">
            <v>Other - Spread Yield</v>
          </cell>
        </row>
        <row r="6528">
          <cell r="A6528" t="str">
            <v>ALL_mtg15_tsy_V604_E</v>
          </cell>
          <cell r="B6528" t="str">
            <v>15yr Mtg Tsy Basis V604 Ext</v>
          </cell>
          <cell r="C6528" t="str">
            <v>-BRS_GOLD_1:ALL_mtg15_tsy_V604_E</v>
          </cell>
          <cell r="D6528" t="str">
            <v>Mortgage Basis Duration</v>
          </cell>
          <cell r="E6528" t="str">
            <v>Mortgage Basis</v>
          </cell>
          <cell r="F6528" t="str">
            <v>Alternative</v>
          </cell>
          <cell r="G6528" t="str">
            <v>Other</v>
          </cell>
          <cell r="H6528" t="str">
            <v>ALTS</v>
          </cell>
          <cell r="I6528" t="str">
            <v>Mortgage Basis</v>
          </cell>
        </row>
        <row r="6529">
          <cell r="A6529" t="str">
            <v>ALL_mtg15_tsy_V610_E</v>
          </cell>
          <cell r="B6529" t="str">
            <v>15yr Mtg Tsy Basis V610 Ext</v>
          </cell>
          <cell r="C6529" t="str">
            <v>-BRS_GOLD_1:ALL_mtg15_tsy_V610_E</v>
          </cell>
          <cell r="D6529" t="str">
            <v>Mortgage Basis Duration</v>
          </cell>
          <cell r="E6529" t="str">
            <v>Mortgage Basis</v>
          </cell>
          <cell r="F6529" t="str">
            <v>Alternative</v>
          </cell>
          <cell r="G6529" t="str">
            <v>Other</v>
          </cell>
          <cell r="H6529" t="str">
            <v>ALTS</v>
          </cell>
          <cell r="I6529" t="str">
            <v>Mortgage Basis</v>
          </cell>
        </row>
        <row r="6530">
          <cell r="A6530" t="str">
            <v>ALL_mtg30_tsy_V604_E</v>
          </cell>
          <cell r="B6530" t="str">
            <v>30yr Mtg Tsy Basis V604 Ext</v>
          </cell>
          <cell r="C6530" t="str">
            <v>-BRS_GOLD_1:ALL_mtg30_tsy_V604_E</v>
          </cell>
          <cell r="D6530" t="str">
            <v>Mortgage Basis Duration</v>
          </cell>
          <cell r="E6530" t="str">
            <v>Mortgage Basis</v>
          </cell>
          <cell r="F6530" t="str">
            <v>Alternative</v>
          </cell>
          <cell r="G6530" t="str">
            <v>Other</v>
          </cell>
          <cell r="H6530" t="str">
            <v>ALTS</v>
          </cell>
          <cell r="I6530" t="str">
            <v>Mortgage Basis</v>
          </cell>
        </row>
        <row r="6531">
          <cell r="A6531" t="str">
            <v>ALL_mtg30_tsy_V610_E</v>
          </cell>
          <cell r="B6531" t="str">
            <v>30yr Mtg Tsy Basis V610 Ext</v>
          </cell>
          <cell r="C6531" t="str">
            <v>-BRS_GOLD_1:ALL_mtg30_tsy_V610_E</v>
          </cell>
          <cell r="D6531" t="str">
            <v>Mortgage Basis Duration</v>
          </cell>
          <cell r="E6531" t="str">
            <v>Mortgage Basis</v>
          </cell>
          <cell r="F6531" t="str">
            <v>Alternative</v>
          </cell>
          <cell r="G6531" t="str">
            <v>Other</v>
          </cell>
          <cell r="H6531" t="str">
            <v>ALTS</v>
          </cell>
          <cell r="I6531" t="str">
            <v>Mortgage Basis</v>
          </cell>
        </row>
        <row r="6532">
          <cell r="A6532" t="str">
            <v>ARS_10yr_10yr</v>
          </cell>
          <cell r="B6532" t="str">
            <v>ARS 10Y ^2</v>
          </cell>
          <cell r="C6532" t="str">
            <v>-BRS_GOLD_1:ARS_10yr_10yr</v>
          </cell>
          <cell r="D6532" t="str">
            <v>Convexity</v>
          </cell>
          <cell r="E6532" t="str">
            <v>Convexity</v>
          </cell>
          <cell r="F6532" t="str">
            <v>FI-Convexity</v>
          </cell>
          <cell r="G6532" t="str">
            <v>FI-Other</v>
          </cell>
          <cell r="H6532" t="str">
            <v>RATES</v>
          </cell>
          <cell r="I6532" t="str">
            <v>Convexity</v>
          </cell>
        </row>
        <row r="6533">
          <cell r="A6533" t="str">
            <v>ATS_10yr_10yr</v>
          </cell>
          <cell r="B6533" t="str">
            <v>ATS 10Y ^2</v>
          </cell>
          <cell r="C6533" t="str">
            <v>-BRS_GOLD_1:ATS_10yr_10yr</v>
          </cell>
          <cell r="D6533" t="str">
            <v>Convexity</v>
          </cell>
          <cell r="E6533" t="str">
            <v>Spread Yield (DxS)</v>
          </cell>
          <cell r="F6533" t="str">
            <v>FI-Convexity</v>
          </cell>
          <cell r="G6533" t="str">
            <v>FI-Other</v>
          </cell>
          <cell r="H6533" t="str">
            <v>RATES</v>
          </cell>
          <cell r="I6533" t="str">
            <v>Convexity</v>
          </cell>
        </row>
        <row r="6534">
          <cell r="A6534" t="str">
            <v>AURE</v>
          </cell>
          <cell r="B6534" t="str">
            <v>Australia RE Public</v>
          </cell>
          <cell r="C6534" t="str">
            <v>-BRS_GOLD_1:AURE</v>
          </cell>
          <cell r="D6534" t="str">
            <v>Index</v>
          </cell>
          <cell r="E6534" t="str">
            <v>Index Level</v>
          </cell>
          <cell r="F6534" t="str">
            <v>Other</v>
          </cell>
          <cell r="G6534" t="str">
            <v>Other</v>
          </cell>
          <cell r="H6534" t="str">
            <v>OTHER</v>
          </cell>
          <cell r="I6534" t="str">
            <v>Other - Index</v>
          </cell>
        </row>
        <row r="6535">
          <cell r="A6535" t="str">
            <v>BAI_3MLIBOR_RTN</v>
          </cell>
          <cell r="B6535" t="str">
            <v>LIBOR 3-Month US Cash Return</v>
          </cell>
          <cell r="C6535" t="str">
            <v>-BRS_GOLD_1:BAI_3MLIBOR_RTN</v>
          </cell>
          <cell r="D6535" t="str">
            <v>Index</v>
          </cell>
          <cell r="E6535" t="str">
            <v>Index Level</v>
          </cell>
          <cell r="F6535" t="str">
            <v>Other</v>
          </cell>
          <cell r="G6535" t="str">
            <v>Other</v>
          </cell>
          <cell r="H6535" t="str">
            <v>OTHER</v>
          </cell>
          <cell r="I6535" t="str">
            <v>Other - Index</v>
          </cell>
        </row>
        <row r="6536">
          <cell r="A6536" t="str">
            <v>BAI_AUD_EQ</v>
          </cell>
          <cell r="B6536" t="str">
            <v>Australia Equity [S]</v>
          </cell>
          <cell r="C6536" t="str">
            <v>-BRS_GOLD_1:BAI_AUD_EQ</v>
          </cell>
          <cell r="D6536" t="str">
            <v>Index</v>
          </cell>
          <cell r="E6536" t="str">
            <v>Index Level</v>
          </cell>
          <cell r="F6536" t="str">
            <v>Other</v>
          </cell>
          <cell r="G6536" t="str">
            <v>Other</v>
          </cell>
          <cell r="H6536" t="str">
            <v>OTHER</v>
          </cell>
          <cell r="I6536" t="str">
            <v>Other - Index</v>
          </cell>
        </row>
        <row r="6537">
          <cell r="A6537" t="str">
            <v>BAI_CAD_EQ</v>
          </cell>
          <cell r="B6537" t="str">
            <v>Canada Equity [S]</v>
          </cell>
          <cell r="C6537" t="str">
            <v>-BRS_GOLD_1:BAI_CAD_EQ</v>
          </cell>
          <cell r="D6537" t="str">
            <v>Index</v>
          </cell>
          <cell r="E6537" t="str">
            <v>Index Level</v>
          </cell>
          <cell r="F6537" t="str">
            <v>Other</v>
          </cell>
          <cell r="G6537" t="str">
            <v>Other</v>
          </cell>
          <cell r="H6537" t="str">
            <v>OTHER</v>
          </cell>
          <cell r="I6537" t="str">
            <v>Other - Index</v>
          </cell>
        </row>
        <row r="6538">
          <cell r="A6538" t="str">
            <v>BAI_CDS_BASIS</v>
          </cell>
          <cell r="B6538" t="str">
            <v>CDS Basis [S]</v>
          </cell>
          <cell r="C6538" t="str">
            <v>-BRS_GOLD_1:BAI_CDS_BASIS</v>
          </cell>
          <cell r="D6538" t="str">
            <v>Index</v>
          </cell>
          <cell r="E6538" t="str">
            <v>Index Level</v>
          </cell>
          <cell r="F6538" t="str">
            <v>Other</v>
          </cell>
          <cell r="G6538" t="str">
            <v>Other</v>
          </cell>
          <cell r="H6538" t="str">
            <v>OTHER</v>
          </cell>
          <cell r="I6538" t="str">
            <v>Other - Index</v>
          </cell>
        </row>
        <row r="6539">
          <cell r="A6539" t="str">
            <v>BAI_CONV_BOND</v>
          </cell>
          <cell r="B6539" t="str">
            <v>Convertible Bond Valuation [S]</v>
          </cell>
          <cell r="C6539" t="str">
            <v>-BRS_GOLD_1:BAI_CONV_BOND</v>
          </cell>
          <cell r="D6539" t="str">
            <v>Index</v>
          </cell>
          <cell r="E6539" t="str">
            <v>Index Level</v>
          </cell>
          <cell r="F6539" t="str">
            <v>Other</v>
          </cell>
          <cell r="G6539" t="str">
            <v>Other</v>
          </cell>
          <cell r="H6539" t="str">
            <v>OTHER</v>
          </cell>
          <cell r="I6539" t="str">
            <v>Other - Index</v>
          </cell>
        </row>
        <row r="6540">
          <cell r="A6540" t="str">
            <v>BAI_CRNCY_CARRY</v>
          </cell>
          <cell r="B6540" t="str">
            <v>Currency Carry [S]</v>
          </cell>
          <cell r="C6540" t="str">
            <v>-BRS_GOLD_1:BAI_CRNCY_CARRY</v>
          </cell>
          <cell r="D6540" t="str">
            <v>Index</v>
          </cell>
          <cell r="E6540" t="str">
            <v>Index Level</v>
          </cell>
          <cell r="F6540" t="str">
            <v>Other</v>
          </cell>
          <cell r="G6540" t="str">
            <v>Other</v>
          </cell>
          <cell r="H6540" t="str">
            <v>OTHER</v>
          </cell>
          <cell r="I6540" t="str">
            <v>Other - Index</v>
          </cell>
        </row>
        <row r="6541">
          <cell r="A6541" t="str">
            <v>BAI_CRNCY_USD</v>
          </cell>
          <cell r="B6541" t="str">
            <v>Currency USD [P]</v>
          </cell>
          <cell r="C6541" t="str">
            <v>-BRS_GOLD_1:BAI_CRNCY_USD</v>
          </cell>
          <cell r="D6541" t="str">
            <v>Index</v>
          </cell>
          <cell r="E6541" t="str">
            <v>Index Level</v>
          </cell>
          <cell r="F6541" t="str">
            <v>Other</v>
          </cell>
          <cell r="G6541" t="str">
            <v>Other</v>
          </cell>
          <cell r="H6541" t="str">
            <v>OTHER</v>
          </cell>
          <cell r="I6541" t="str">
            <v>Other - Index</v>
          </cell>
        </row>
        <row r="6542">
          <cell r="A6542" t="str">
            <v>BAI_CR_COMM</v>
          </cell>
          <cell r="B6542" t="str">
            <v>Credit - Commercial [S]</v>
          </cell>
          <cell r="C6542" t="str">
            <v>-BRS_GOLD_1:BAI_CR_COMM</v>
          </cell>
          <cell r="D6542" t="str">
            <v>Index</v>
          </cell>
          <cell r="E6542" t="str">
            <v>Index Level</v>
          </cell>
          <cell r="F6542" t="str">
            <v>Other</v>
          </cell>
          <cell r="G6542" t="str">
            <v>Other</v>
          </cell>
          <cell r="H6542" t="str">
            <v>OTHER</v>
          </cell>
          <cell r="I6542" t="str">
            <v>Other - Index</v>
          </cell>
        </row>
        <row r="6543">
          <cell r="A6543" t="str">
            <v>BAI_CR_CORP</v>
          </cell>
          <cell r="B6543" t="str">
            <v>Credit - Corporate [S]</v>
          </cell>
          <cell r="C6543" t="str">
            <v>-BRS_GOLD_1:BAI_CR_CORP</v>
          </cell>
          <cell r="D6543" t="str">
            <v>Index</v>
          </cell>
          <cell r="E6543" t="str">
            <v>Index Level</v>
          </cell>
          <cell r="F6543" t="str">
            <v>Other</v>
          </cell>
          <cell r="G6543" t="str">
            <v>Other</v>
          </cell>
          <cell r="H6543" t="str">
            <v>OTHER</v>
          </cell>
          <cell r="I6543" t="str">
            <v>Other - Index</v>
          </cell>
        </row>
        <row r="6544">
          <cell r="A6544" t="str">
            <v>BAI_CR_QUAL</v>
          </cell>
          <cell r="B6544" t="str">
            <v>Credit Quality [S]</v>
          </cell>
          <cell r="C6544" t="str">
            <v>-BRS_GOLD_1:BAI_CR_QUAL</v>
          </cell>
          <cell r="D6544" t="str">
            <v>Index</v>
          </cell>
          <cell r="E6544" t="str">
            <v>Index Level</v>
          </cell>
          <cell r="F6544" t="str">
            <v>Other</v>
          </cell>
          <cell r="G6544" t="str">
            <v>Other</v>
          </cell>
          <cell r="H6544" t="str">
            <v>OTHER</v>
          </cell>
          <cell r="I6544" t="str">
            <v>Other - Index</v>
          </cell>
        </row>
        <row r="6545">
          <cell r="A6545" t="str">
            <v>BAI_CR_SOV</v>
          </cell>
          <cell r="B6545" t="str">
            <v>Credit - Sovereign [S]</v>
          </cell>
          <cell r="C6545" t="str">
            <v>-BRS_GOLD_1:BAI_CR_SOV</v>
          </cell>
          <cell r="D6545" t="str">
            <v>Index</v>
          </cell>
          <cell r="E6545" t="str">
            <v>Index Level</v>
          </cell>
          <cell r="F6545" t="str">
            <v>Other</v>
          </cell>
          <cell r="G6545" t="str">
            <v>Other</v>
          </cell>
          <cell r="H6545" t="str">
            <v>OTHER</v>
          </cell>
          <cell r="I6545" t="str">
            <v>Other - Index</v>
          </cell>
        </row>
        <row r="6546">
          <cell r="A6546" t="str">
            <v>BAI_CS_LOAN</v>
          </cell>
          <cell r="B6546" t="str">
            <v>Capital Structure Loans [S]</v>
          </cell>
          <cell r="C6546" t="str">
            <v>-BRS_GOLD_1:BAI_CS_LOAN</v>
          </cell>
          <cell r="D6546" t="str">
            <v>Index</v>
          </cell>
          <cell r="E6546" t="str">
            <v>Index Level</v>
          </cell>
          <cell r="F6546" t="str">
            <v>Other</v>
          </cell>
          <cell r="G6546" t="str">
            <v>Other</v>
          </cell>
          <cell r="H6546" t="str">
            <v>OTHER</v>
          </cell>
          <cell r="I6546" t="str">
            <v>Other - Index</v>
          </cell>
        </row>
        <row r="6547">
          <cell r="A6547" t="str">
            <v>BAI_EM_CHINA_EQ</v>
          </cell>
          <cell r="B6547" t="str">
            <v>EM China Equity [S]</v>
          </cell>
          <cell r="C6547" t="str">
            <v>-BRS_GOLD_1:BAI_EM_CHINA_EQ</v>
          </cell>
          <cell r="D6547" t="str">
            <v>Index</v>
          </cell>
          <cell r="E6547" t="str">
            <v>Index Level</v>
          </cell>
          <cell r="F6547" t="str">
            <v>Other</v>
          </cell>
          <cell r="G6547" t="str">
            <v>Other</v>
          </cell>
          <cell r="H6547" t="str">
            <v>OTHER</v>
          </cell>
          <cell r="I6547" t="str">
            <v>Other - Index</v>
          </cell>
        </row>
        <row r="6548">
          <cell r="A6548" t="str">
            <v>BAI_EM_EQ</v>
          </cell>
          <cell r="B6548" t="str">
            <v>Emerging Market Equity [S]</v>
          </cell>
          <cell r="C6548" t="str">
            <v>-BRS_GOLD_1:BAI_EM_EQ</v>
          </cell>
          <cell r="D6548" t="str">
            <v>Index</v>
          </cell>
          <cell r="E6548" t="str">
            <v>Index Level</v>
          </cell>
          <cell r="F6548" t="str">
            <v>Other</v>
          </cell>
          <cell r="G6548" t="str">
            <v>Other</v>
          </cell>
          <cell r="H6548" t="str">
            <v>OTHER</v>
          </cell>
          <cell r="I6548" t="str">
            <v>Other - Index</v>
          </cell>
        </row>
        <row r="6549">
          <cell r="A6549" t="str">
            <v>BAI_EM_EUR_EQ</v>
          </cell>
          <cell r="B6549" t="str">
            <v>EM Europe Equity [S]</v>
          </cell>
          <cell r="C6549" t="str">
            <v>-BRS_GOLD_1:BAI_EM_EUR_EQ</v>
          </cell>
          <cell r="D6549" t="str">
            <v>Index</v>
          </cell>
          <cell r="E6549" t="str">
            <v>Index Level</v>
          </cell>
          <cell r="F6549" t="str">
            <v>Other</v>
          </cell>
          <cell r="G6549" t="str">
            <v>Other</v>
          </cell>
          <cell r="H6549" t="str">
            <v>OTHER</v>
          </cell>
          <cell r="I6549" t="str">
            <v>Other - Index</v>
          </cell>
        </row>
        <row r="6550">
          <cell r="A6550" t="str">
            <v>BAI_EM_FAR_EST_EQ</v>
          </cell>
          <cell r="B6550" t="str">
            <v>EM Far East Equity [S]</v>
          </cell>
          <cell r="C6550" t="str">
            <v>-BRS_GOLD_1:BAI_EM_FAR_EST_EQ</v>
          </cell>
          <cell r="D6550" t="str">
            <v>Index</v>
          </cell>
          <cell r="E6550" t="str">
            <v>Index Level</v>
          </cell>
          <cell r="F6550" t="str">
            <v>Other</v>
          </cell>
          <cell r="G6550" t="str">
            <v>Other</v>
          </cell>
          <cell r="H6550" t="str">
            <v>OTHER</v>
          </cell>
          <cell r="I6550" t="str">
            <v>Other - Index</v>
          </cell>
        </row>
        <row r="6551">
          <cell r="A6551" t="str">
            <v>BAI_EM_INDIA_EQ</v>
          </cell>
          <cell r="B6551" t="str">
            <v>EM India Equity [S]</v>
          </cell>
          <cell r="C6551" t="str">
            <v>-BRS_GOLD_1:BAI_EM_INDIA_EQ</v>
          </cell>
          <cell r="D6551" t="str">
            <v>Index</v>
          </cell>
          <cell r="E6551" t="str">
            <v>Index Level</v>
          </cell>
          <cell r="F6551" t="str">
            <v>Other</v>
          </cell>
          <cell r="G6551" t="str">
            <v>Other</v>
          </cell>
          <cell r="H6551" t="str">
            <v>OTHER</v>
          </cell>
          <cell r="I6551" t="str">
            <v>Other - Index</v>
          </cell>
        </row>
        <row r="6552">
          <cell r="A6552" t="str">
            <v>BAI_EM_LATAM_EQ</v>
          </cell>
          <cell r="B6552" t="str">
            <v>EM Latin America Equity [S]</v>
          </cell>
          <cell r="C6552" t="str">
            <v>-BRS_GOLD_1:BAI_EM_LATAM_EQ</v>
          </cell>
          <cell r="D6552" t="str">
            <v>Index</v>
          </cell>
          <cell r="E6552" t="str">
            <v>Index Level</v>
          </cell>
          <cell r="F6552" t="str">
            <v>Other</v>
          </cell>
          <cell r="G6552" t="str">
            <v>Other</v>
          </cell>
          <cell r="H6552" t="str">
            <v>OTHER</v>
          </cell>
          <cell r="I6552" t="str">
            <v>Other - Index</v>
          </cell>
        </row>
        <row r="6553">
          <cell r="A6553" t="str">
            <v>BAI_ENGY_EQ</v>
          </cell>
          <cell r="B6553" t="str">
            <v>Energy Equity Sector [S]</v>
          </cell>
          <cell r="C6553" t="str">
            <v>-BRS_GOLD_1:BAI_ENGY_EQ</v>
          </cell>
          <cell r="D6553" t="str">
            <v>Index</v>
          </cell>
          <cell r="E6553" t="str">
            <v>Index Level</v>
          </cell>
          <cell r="F6553" t="str">
            <v>Other</v>
          </cell>
          <cell r="G6553" t="str">
            <v>Other</v>
          </cell>
          <cell r="H6553" t="str">
            <v>OTHER</v>
          </cell>
          <cell r="I6553" t="str">
            <v>Other - Index</v>
          </cell>
        </row>
        <row r="6554">
          <cell r="A6554" t="str">
            <v>BAI_EQ</v>
          </cell>
          <cell r="B6554" t="str">
            <v>Equity [P]</v>
          </cell>
          <cell r="C6554" t="str">
            <v>-BRS_GOLD_1:BAI_EQ</v>
          </cell>
          <cell r="D6554" t="str">
            <v>Index</v>
          </cell>
          <cell r="E6554" t="str">
            <v>Index Level</v>
          </cell>
          <cell r="F6554" t="str">
            <v>Other</v>
          </cell>
          <cell r="G6554" t="str">
            <v>Other</v>
          </cell>
          <cell r="H6554" t="str">
            <v>OTHER</v>
          </cell>
          <cell r="I6554" t="str">
            <v>Other - Index</v>
          </cell>
        </row>
        <row r="6555">
          <cell r="A6555" t="str">
            <v>BAI_EQ_LONGVOL</v>
          </cell>
          <cell r="B6555" t="str">
            <v>Equity Long-Dated Vol</v>
          </cell>
          <cell r="C6555" t="str">
            <v>-BRS_GOLD_1:BAI_EQ_LONGVOL</v>
          </cell>
          <cell r="D6555" t="str">
            <v>Index</v>
          </cell>
          <cell r="E6555" t="str">
            <v>Index Level</v>
          </cell>
          <cell r="F6555" t="str">
            <v>Other</v>
          </cell>
          <cell r="G6555" t="str">
            <v>Other</v>
          </cell>
          <cell r="H6555" t="str">
            <v>OTHER</v>
          </cell>
          <cell r="I6555" t="str">
            <v>Other - Index</v>
          </cell>
        </row>
        <row r="6556">
          <cell r="A6556" t="str">
            <v>BAI_EQ_SECTOR</v>
          </cell>
          <cell r="B6556" t="str">
            <v>Equity Sector [S]</v>
          </cell>
          <cell r="C6556" t="str">
            <v>-BRS_GOLD_1:BAI_EQ_SECTOR</v>
          </cell>
          <cell r="D6556" t="str">
            <v>Index</v>
          </cell>
          <cell r="E6556" t="str">
            <v>Index Level</v>
          </cell>
          <cell r="F6556" t="str">
            <v>Other</v>
          </cell>
          <cell r="G6556" t="str">
            <v>Other</v>
          </cell>
          <cell r="H6556" t="str">
            <v>OTHER</v>
          </cell>
          <cell r="I6556" t="str">
            <v>Other - Index</v>
          </cell>
        </row>
        <row r="6557">
          <cell r="A6557" t="str">
            <v>BAI_EQ_STYLE</v>
          </cell>
          <cell r="B6557" t="str">
            <v>Equity Style [S]</v>
          </cell>
          <cell r="C6557" t="str">
            <v>-BRS_GOLD_1:BAI_EQ_STYLE</v>
          </cell>
          <cell r="D6557" t="str">
            <v>Index</v>
          </cell>
          <cell r="E6557" t="str">
            <v>Index Level</v>
          </cell>
          <cell r="F6557" t="str">
            <v>Other</v>
          </cell>
          <cell r="G6557" t="str">
            <v>Other</v>
          </cell>
          <cell r="H6557" t="str">
            <v>OTHER</v>
          </cell>
          <cell r="I6557" t="str">
            <v>Other - Index</v>
          </cell>
        </row>
        <row r="6558">
          <cell r="A6558" t="str">
            <v>BAI_EUR_EQ</v>
          </cell>
          <cell r="B6558" t="str">
            <v>Eurozone Equity [S]</v>
          </cell>
          <cell r="C6558" t="str">
            <v>-BRS_GOLD_1:BAI_EUR_EQ</v>
          </cell>
          <cell r="D6558" t="str">
            <v>Index</v>
          </cell>
          <cell r="E6558" t="str">
            <v>Index Level</v>
          </cell>
          <cell r="F6558" t="str">
            <v>Other</v>
          </cell>
          <cell r="G6558" t="str">
            <v>Other</v>
          </cell>
          <cell r="H6558" t="str">
            <v>OTHER</v>
          </cell>
          <cell r="I6558" t="str">
            <v>Other - Index</v>
          </cell>
        </row>
        <row r="6559">
          <cell r="A6559" t="str">
            <v>BAI_FINS_EQ</v>
          </cell>
          <cell r="B6559" t="str">
            <v>Financials Equity Sector [S]</v>
          </cell>
          <cell r="C6559" t="str">
            <v>-BRS_GOLD_1:BAI_FINS_EQ</v>
          </cell>
          <cell r="D6559" t="str">
            <v>Index</v>
          </cell>
          <cell r="E6559" t="str">
            <v>Index Level</v>
          </cell>
          <cell r="F6559" t="str">
            <v>Other</v>
          </cell>
          <cell r="G6559" t="str">
            <v>Other</v>
          </cell>
          <cell r="H6559" t="str">
            <v>OTHER</v>
          </cell>
          <cell r="I6559" t="str">
            <v>Other - Index</v>
          </cell>
        </row>
        <row r="6560">
          <cell r="A6560" t="str">
            <v>BAI_GSCI_NGAS</v>
          </cell>
          <cell r="B6560" t="str">
            <v>Commodity - Natural Gas [P]</v>
          </cell>
          <cell r="C6560" t="str">
            <v>-BRS_GOLD_1:BAI_GSCI_NGAS</v>
          </cell>
          <cell r="D6560" t="str">
            <v>Index</v>
          </cell>
          <cell r="E6560" t="str">
            <v>Index Level</v>
          </cell>
          <cell r="F6560" t="str">
            <v>Other</v>
          </cell>
          <cell r="G6560" t="str">
            <v>Other</v>
          </cell>
          <cell r="H6560" t="str">
            <v>OTHER</v>
          </cell>
          <cell r="I6560" t="str">
            <v>Other - Index</v>
          </cell>
        </row>
        <row r="6561">
          <cell r="A6561" t="str">
            <v>BAI_GSCI_OIL</v>
          </cell>
          <cell r="B6561" t="str">
            <v>Commodity - Oil [P]</v>
          </cell>
          <cell r="C6561" t="str">
            <v>-BRS_GOLD_1:BAI_GSCI_OIL</v>
          </cell>
          <cell r="D6561" t="str">
            <v>Index</v>
          </cell>
          <cell r="E6561" t="str">
            <v>Index Level</v>
          </cell>
          <cell r="F6561" t="str">
            <v>Other</v>
          </cell>
          <cell r="G6561" t="str">
            <v>Other</v>
          </cell>
          <cell r="H6561" t="str">
            <v>OTHER</v>
          </cell>
          <cell r="I6561" t="str">
            <v>Other - Index</v>
          </cell>
        </row>
        <row r="6562">
          <cell r="A6562" t="str">
            <v>BAI_HEALTH_EQ</v>
          </cell>
          <cell r="B6562" t="str">
            <v>Health Care Equity Sector [S]</v>
          </cell>
          <cell r="C6562" t="str">
            <v>-BRS_GOLD_1:BAI_HEALTH_EQ</v>
          </cell>
          <cell r="D6562" t="str">
            <v>Index</v>
          </cell>
          <cell r="E6562" t="str">
            <v>Index Level</v>
          </cell>
          <cell r="F6562" t="str">
            <v>Other</v>
          </cell>
          <cell r="G6562" t="str">
            <v>Other</v>
          </cell>
          <cell r="H6562" t="str">
            <v>OTHER</v>
          </cell>
          <cell r="I6562" t="str">
            <v>Other - Index</v>
          </cell>
        </row>
        <row r="6563">
          <cell r="A6563" t="str">
            <v>BAI_JPN_EQ</v>
          </cell>
          <cell r="B6563" t="str">
            <v>Japan Equity [S]</v>
          </cell>
          <cell r="C6563" t="str">
            <v>-BRS_GOLD_1:BAI_JPN_EQ</v>
          </cell>
          <cell r="D6563" t="str">
            <v>Index</v>
          </cell>
          <cell r="E6563" t="str">
            <v>Index Level</v>
          </cell>
          <cell r="F6563" t="str">
            <v>Other</v>
          </cell>
          <cell r="G6563" t="str">
            <v>Other</v>
          </cell>
          <cell r="H6563" t="str">
            <v>OTHER</v>
          </cell>
          <cell r="I6563" t="str">
            <v>Other - Index</v>
          </cell>
        </row>
        <row r="6564">
          <cell r="A6564" t="str">
            <v>BAI_MERGR</v>
          </cell>
          <cell r="B6564" t="str">
            <v>Merger Arbitrage [S]</v>
          </cell>
          <cell r="C6564" t="str">
            <v>-BRS_GOLD_1:BAI_MERGR</v>
          </cell>
          <cell r="D6564" t="str">
            <v>Index</v>
          </cell>
          <cell r="E6564" t="str">
            <v>Index Level</v>
          </cell>
          <cell r="F6564" t="str">
            <v>Other</v>
          </cell>
          <cell r="G6564" t="str">
            <v>Other</v>
          </cell>
          <cell r="H6564" t="str">
            <v>OTHER</v>
          </cell>
          <cell r="I6564" t="str">
            <v>Other - Index</v>
          </cell>
        </row>
        <row r="6565">
          <cell r="A6565" t="str">
            <v>BAI_RATES</v>
          </cell>
          <cell r="B6565" t="str">
            <v>Rates [P]</v>
          </cell>
          <cell r="C6565" t="str">
            <v>-BRS_GOLD_1:BAI_RATES</v>
          </cell>
          <cell r="D6565" t="str">
            <v>Index</v>
          </cell>
          <cell r="E6565" t="str">
            <v>Index Level</v>
          </cell>
          <cell r="F6565" t="str">
            <v>Other</v>
          </cell>
          <cell r="G6565" t="str">
            <v>Other</v>
          </cell>
          <cell r="H6565" t="str">
            <v>OTHER</v>
          </cell>
          <cell r="I6565" t="str">
            <v>Other - Index</v>
          </cell>
        </row>
        <row r="6566">
          <cell r="A6566" t="str">
            <v>BAI_SMALLCAP_EQ</v>
          </cell>
          <cell r="B6566" t="str">
            <v>Small Cap Equity [S]</v>
          </cell>
          <cell r="C6566" t="str">
            <v>-BRS_GOLD_1:BAI_SMALLCAP_EQ</v>
          </cell>
          <cell r="D6566" t="str">
            <v>Index</v>
          </cell>
          <cell r="E6566" t="str">
            <v>Index Level</v>
          </cell>
          <cell r="F6566" t="str">
            <v>Other</v>
          </cell>
          <cell r="G6566" t="str">
            <v>Other</v>
          </cell>
          <cell r="H6566" t="str">
            <v>OTHER</v>
          </cell>
          <cell r="I6566" t="str">
            <v>Other - Index</v>
          </cell>
        </row>
        <row r="6567">
          <cell r="A6567" t="str">
            <v>BAI_SWAPSPREAD</v>
          </cell>
          <cell r="B6567" t="str">
            <v>Swap Spread [S]</v>
          </cell>
          <cell r="C6567" t="str">
            <v>-BRS_GOLD_1:BAI_SWAPSPREAD</v>
          </cell>
          <cell r="D6567" t="str">
            <v>Index</v>
          </cell>
          <cell r="E6567" t="str">
            <v>Index Level</v>
          </cell>
          <cell r="F6567" t="str">
            <v>Other</v>
          </cell>
          <cell r="G6567" t="str">
            <v>Other</v>
          </cell>
          <cell r="H6567" t="str">
            <v>OTHER</v>
          </cell>
          <cell r="I6567" t="str">
            <v>Other - Index</v>
          </cell>
        </row>
        <row r="6568">
          <cell r="A6568" t="str">
            <v>BAI_TECH_EQ</v>
          </cell>
          <cell r="B6568" t="str">
            <v>Technology Equity Sector [S]</v>
          </cell>
          <cell r="C6568" t="str">
            <v>-BRS_GOLD_1:BAI_TECH_EQ</v>
          </cell>
          <cell r="D6568" t="str">
            <v>Index</v>
          </cell>
          <cell r="E6568" t="str">
            <v>Index Level</v>
          </cell>
          <cell r="F6568" t="str">
            <v>Other</v>
          </cell>
          <cell r="G6568" t="str">
            <v>Other</v>
          </cell>
          <cell r="H6568" t="str">
            <v>OTHER</v>
          </cell>
          <cell r="I6568" t="str">
            <v>Other - Index</v>
          </cell>
        </row>
        <row r="6569">
          <cell r="A6569" t="str">
            <v>BAI_TRENDFOL</v>
          </cell>
          <cell r="B6569" t="str">
            <v>Trend-Following [S]</v>
          </cell>
          <cell r="C6569" t="str">
            <v>-BRS_GOLD_1:BAI_TRENDFOL</v>
          </cell>
          <cell r="D6569" t="str">
            <v>Index</v>
          </cell>
          <cell r="E6569" t="str">
            <v>Index Level</v>
          </cell>
          <cell r="F6569" t="str">
            <v>Other</v>
          </cell>
          <cell r="G6569" t="str">
            <v>Other</v>
          </cell>
          <cell r="H6569" t="str">
            <v>OTHER</v>
          </cell>
          <cell r="I6569" t="str">
            <v>Other - Index</v>
          </cell>
        </row>
        <row r="6570">
          <cell r="A6570" t="str">
            <v>BAI_UK_EQ</v>
          </cell>
          <cell r="B6570" t="str">
            <v>UK Equity [S]</v>
          </cell>
          <cell r="C6570" t="str">
            <v>-BRS_GOLD_1:BAI_UK_EQ</v>
          </cell>
          <cell r="D6570" t="str">
            <v>Index</v>
          </cell>
          <cell r="E6570" t="str">
            <v>Index Level</v>
          </cell>
          <cell r="F6570" t="str">
            <v>Other</v>
          </cell>
          <cell r="G6570" t="str">
            <v>Other</v>
          </cell>
          <cell r="H6570" t="str">
            <v>OTHER</v>
          </cell>
          <cell r="I6570" t="str">
            <v>Other - Index</v>
          </cell>
        </row>
        <row r="6571">
          <cell r="A6571" t="str">
            <v>BAI_US_CR</v>
          </cell>
          <cell r="B6571" t="str">
            <v>US Credit [S]</v>
          </cell>
          <cell r="C6571" t="str">
            <v>-BRS_GOLD_1:BAI_US_CR</v>
          </cell>
          <cell r="D6571" t="str">
            <v>Index</v>
          </cell>
          <cell r="E6571" t="str">
            <v>Index Level</v>
          </cell>
          <cell r="F6571" t="str">
            <v>Other</v>
          </cell>
          <cell r="G6571" t="str">
            <v>Other</v>
          </cell>
          <cell r="H6571" t="str">
            <v>OTHER</v>
          </cell>
          <cell r="I6571" t="str">
            <v>Other - Index</v>
          </cell>
        </row>
        <row r="6572">
          <cell r="A6572" t="str">
            <v>BAI_US_EQ</v>
          </cell>
          <cell r="B6572" t="str">
            <v>US Equity [S]</v>
          </cell>
          <cell r="C6572" t="str">
            <v>-BRS_GOLD_1:BAI_US_EQ</v>
          </cell>
          <cell r="D6572" t="str">
            <v>Index</v>
          </cell>
          <cell r="E6572" t="str">
            <v>Index Level</v>
          </cell>
          <cell r="F6572" t="str">
            <v>Other</v>
          </cell>
          <cell r="G6572" t="str">
            <v>Other</v>
          </cell>
          <cell r="H6572" t="str">
            <v>OTHER</v>
          </cell>
          <cell r="I6572" t="str">
            <v>Other - Index</v>
          </cell>
        </row>
        <row r="6573">
          <cell r="A6573" t="str">
            <v>BAI_WIDELYHELD_EQ</v>
          </cell>
          <cell r="B6573" t="str">
            <v>Widely-Held Eq. Positions [S]</v>
          </cell>
          <cell r="C6573" t="str">
            <v>-BRS_GOLD_1:BAI_WIDELYHELD_EQ</v>
          </cell>
          <cell r="D6573" t="str">
            <v>Index</v>
          </cell>
          <cell r="E6573" t="str">
            <v>Index Level</v>
          </cell>
          <cell r="F6573" t="str">
            <v>Other</v>
          </cell>
          <cell r="G6573" t="str">
            <v>Other</v>
          </cell>
          <cell r="H6573" t="str">
            <v>OTHER</v>
          </cell>
          <cell r="I6573" t="str">
            <v>Other - Index</v>
          </cell>
        </row>
        <row r="6574">
          <cell r="A6574" t="str">
            <v>BAI_YC_BARBELL</v>
          </cell>
          <cell r="B6574" t="str">
            <v>Yield Curve Barbell [S]</v>
          </cell>
          <cell r="C6574" t="str">
            <v>-BRS_GOLD_1:BAI_YC_BARBELL</v>
          </cell>
          <cell r="D6574" t="str">
            <v>Index</v>
          </cell>
          <cell r="E6574" t="str">
            <v>Index Level</v>
          </cell>
          <cell r="F6574" t="str">
            <v>Other</v>
          </cell>
          <cell r="G6574" t="str">
            <v>Other</v>
          </cell>
          <cell r="H6574" t="str">
            <v>OTHER</v>
          </cell>
          <cell r="I6574" t="str">
            <v>Other - Index</v>
          </cell>
        </row>
        <row r="6575">
          <cell r="A6575" t="str">
            <v>BAI_YC_SLOPE</v>
          </cell>
          <cell r="B6575" t="str">
            <v>Yield Curve Slope [S]</v>
          </cell>
          <cell r="C6575" t="str">
            <v>-BRS_GOLD_1:BAI_YC_SLOPE</v>
          </cell>
          <cell r="D6575" t="str">
            <v>Index</v>
          </cell>
          <cell r="E6575" t="str">
            <v>Index Level</v>
          </cell>
          <cell r="F6575" t="str">
            <v>Other</v>
          </cell>
          <cell r="G6575" t="str">
            <v>Other</v>
          </cell>
          <cell r="H6575" t="str">
            <v>OTHER</v>
          </cell>
          <cell r="I6575" t="str">
            <v>Other - Index</v>
          </cell>
        </row>
        <row r="6576">
          <cell r="A6576" t="str">
            <v>BGTSYJPUSD</v>
          </cell>
          <cell r="B6576" t="str">
            <v>BARCLAYS GLOBAL TREASURY JAPAN</v>
          </cell>
          <cell r="C6576" t="str">
            <v>-BRS_GOLD_1:BGTSYJPUSD</v>
          </cell>
          <cell r="D6576" t="str">
            <v>Index</v>
          </cell>
          <cell r="E6576" t="str">
            <v>Index Level</v>
          </cell>
          <cell r="F6576" t="str">
            <v>Other</v>
          </cell>
          <cell r="G6576" t="str">
            <v>Other</v>
          </cell>
          <cell r="H6576" t="str">
            <v>OTHER</v>
          </cell>
          <cell r="I6576" t="str">
            <v>Other - Index</v>
          </cell>
        </row>
        <row r="6577">
          <cell r="A6577" t="str">
            <v>BRL_10yr_10yr</v>
          </cell>
          <cell r="B6577" t="str">
            <v>BRL 10Y ^2</v>
          </cell>
          <cell r="C6577" t="str">
            <v>-BRS_GOLD_1:BRL_10yr_10yr</v>
          </cell>
          <cell r="D6577" t="str">
            <v>Convexity</v>
          </cell>
          <cell r="E6577" t="str">
            <v>Convexity</v>
          </cell>
          <cell r="F6577" t="str">
            <v>FI-Convexity</v>
          </cell>
          <cell r="G6577" t="str">
            <v>FI-Other</v>
          </cell>
          <cell r="H6577" t="str">
            <v>RATES</v>
          </cell>
          <cell r="I6577" t="str">
            <v>Convexity</v>
          </cell>
        </row>
        <row r="6578">
          <cell r="A6578" t="str">
            <v>BXM</v>
          </cell>
          <cell r="B6578" t="str">
            <v>CBOE S&amp;P 500 BuyWrite Index</v>
          </cell>
          <cell r="C6578" t="str">
            <v>-BRS_GOLD_1:BXM</v>
          </cell>
          <cell r="D6578" t="str">
            <v>Index</v>
          </cell>
          <cell r="E6578" t="str">
            <v>Index Level</v>
          </cell>
          <cell r="F6578" t="str">
            <v>Other</v>
          </cell>
          <cell r="G6578" t="str">
            <v>Other</v>
          </cell>
          <cell r="H6578" t="str">
            <v>OTHER</v>
          </cell>
          <cell r="I6578" t="str">
            <v>Other - Index</v>
          </cell>
        </row>
        <row r="6579">
          <cell r="A6579" t="str">
            <v>CAD_INF_40yr</v>
          </cell>
          <cell r="B6579" t="str">
            <v>CAD INF 40Y</v>
          </cell>
          <cell r="C6579" t="str">
            <v>-BRS_GOLD_1:CAD_INF_40yr</v>
          </cell>
          <cell r="D6579" t="str">
            <v>Inflation Duration</v>
          </cell>
          <cell r="E6579" t="str">
            <v>Yield</v>
          </cell>
          <cell r="F6579" t="str">
            <v>Other</v>
          </cell>
          <cell r="G6579" t="str">
            <v>Other</v>
          </cell>
          <cell r="H6579" t="str">
            <v>OTHER</v>
          </cell>
          <cell r="I6579" t="str">
            <v>Other - Inflation</v>
          </cell>
        </row>
        <row r="6580">
          <cell r="A6580" t="str">
            <v>CAD_INF_50yr</v>
          </cell>
          <cell r="B6580" t="str">
            <v>CAD INF 50Y</v>
          </cell>
          <cell r="C6580" t="str">
            <v>-BRS_GOLD_1:CAD_INF_50yr</v>
          </cell>
          <cell r="D6580" t="str">
            <v>Inflation Duration</v>
          </cell>
          <cell r="E6580" t="str">
            <v>Yield</v>
          </cell>
          <cell r="F6580" t="str">
            <v>Other</v>
          </cell>
          <cell r="G6580" t="str">
            <v>Other</v>
          </cell>
          <cell r="H6580" t="str">
            <v>OTHER</v>
          </cell>
          <cell r="I6580" t="str">
            <v>Other - Inflation</v>
          </cell>
        </row>
        <row r="6581">
          <cell r="A6581" t="str">
            <v>CLF_10yr_10yr</v>
          </cell>
          <cell r="B6581" t="str">
            <v>CLF 10Y ^2</v>
          </cell>
          <cell r="C6581" t="str">
            <v>-BRS_GOLD_1:CLF_10yr_10yr</v>
          </cell>
          <cell r="D6581" t="str">
            <v>Convexity</v>
          </cell>
          <cell r="E6581" t="str">
            <v>Convexity</v>
          </cell>
          <cell r="F6581" t="str">
            <v>FI-Convexity</v>
          </cell>
          <cell r="G6581" t="str">
            <v>FI-Other</v>
          </cell>
          <cell r="H6581" t="str">
            <v>RATES</v>
          </cell>
          <cell r="I6581" t="str">
            <v>Convexity</v>
          </cell>
        </row>
        <row r="6582">
          <cell r="A6582" t="str">
            <v>CNH_10yr_10yr</v>
          </cell>
          <cell r="B6582" t="str">
            <v>CNH 10Y ^2</v>
          </cell>
          <cell r="C6582" t="str">
            <v>-BRS_GOLD_1:CNH_10yr_10yr</v>
          </cell>
          <cell r="D6582" t="str">
            <v>Convexity</v>
          </cell>
          <cell r="E6582" t="str">
            <v>Convexity</v>
          </cell>
          <cell r="F6582" t="str">
            <v>FI-Convexity</v>
          </cell>
          <cell r="G6582" t="str">
            <v>FI-Other</v>
          </cell>
          <cell r="H6582" t="str">
            <v>RATES</v>
          </cell>
          <cell r="I6582" t="str">
            <v>Convexity</v>
          </cell>
        </row>
        <row r="6583">
          <cell r="A6583" t="str">
            <v>COP_10yr_10yr</v>
          </cell>
          <cell r="B6583" t="str">
            <v>COP 10Y ^2</v>
          </cell>
          <cell r="C6583" t="str">
            <v>-BRS_GOLD_1:COP_10yr_10yr</v>
          </cell>
          <cell r="D6583" t="str">
            <v>Convexity</v>
          </cell>
          <cell r="E6583" t="str">
            <v>Convexity</v>
          </cell>
          <cell r="F6583" t="str">
            <v>FI-Convexity</v>
          </cell>
          <cell r="G6583" t="str">
            <v>FI-Other</v>
          </cell>
          <cell r="H6583" t="str">
            <v>RATES</v>
          </cell>
          <cell r="I6583" t="str">
            <v>Convexity</v>
          </cell>
        </row>
        <row r="6584">
          <cell r="A6584" t="str">
            <v>CSMERGARBL</v>
          </cell>
          <cell r="B6584" t="str">
            <v>CS MERGER ARBITRAGE LIQUID IND</v>
          </cell>
          <cell r="C6584" t="str">
            <v>-BRS_GOLD_1:CSMERGARBL</v>
          </cell>
          <cell r="D6584" t="str">
            <v>Index</v>
          </cell>
          <cell r="E6584" t="str">
            <v>Index Level</v>
          </cell>
          <cell r="F6584" t="str">
            <v>Other</v>
          </cell>
          <cell r="G6584" t="str">
            <v>Other</v>
          </cell>
          <cell r="H6584" t="str">
            <v>OTHER</v>
          </cell>
          <cell r="I6584" t="str">
            <v>Other - Index</v>
          </cell>
        </row>
        <row r="6585">
          <cell r="A6585" t="str">
            <v>CYC_EQ</v>
          </cell>
          <cell r="B6585" t="str">
            <v>Cyclical Equity</v>
          </cell>
          <cell r="C6585" t="str">
            <v>-BRS_GOLD_1:CYC_EQ</v>
          </cell>
          <cell r="D6585" t="str">
            <v>Index</v>
          </cell>
          <cell r="E6585" t="str">
            <v>Index Level</v>
          </cell>
          <cell r="F6585" t="str">
            <v>Other</v>
          </cell>
          <cell r="G6585" t="str">
            <v>Other</v>
          </cell>
          <cell r="H6585" t="str">
            <v>OTHER</v>
          </cell>
          <cell r="I6585" t="str">
            <v>Other - Index</v>
          </cell>
        </row>
        <row r="6586">
          <cell r="A6586" t="str">
            <v>CZK_10yr_10yr</v>
          </cell>
          <cell r="B6586" t="str">
            <v>CZK 10Y ^2</v>
          </cell>
          <cell r="C6586" t="str">
            <v>-BRS_GOLD_1:CZK_10yr_10yr</v>
          </cell>
          <cell r="D6586" t="str">
            <v>Convexity</v>
          </cell>
          <cell r="E6586" t="str">
            <v>Convexity</v>
          </cell>
          <cell r="F6586" t="str">
            <v>FI-Convexity</v>
          </cell>
          <cell r="G6586" t="str">
            <v>FI-Other</v>
          </cell>
          <cell r="H6586" t="str">
            <v>RATES</v>
          </cell>
          <cell r="I6586" t="str">
            <v>Convexity</v>
          </cell>
        </row>
        <row r="6587">
          <cell r="A6587" t="str">
            <v>DEF_EQ</v>
          </cell>
          <cell r="B6587" t="str">
            <v>Defensive Equity</v>
          </cell>
          <cell r="C6587" t="str">
            <v>-BRS_GOLD_1:DEF_EQ</v>
          </cell>
          <cell r="D6587" t="str">
            <v>Index</v>
          </cell>
          <cell r="E6587" t="str">
            <v>Index Level</v>
          </cell>
          <cell r="F6587" t="str">
            <v>Other</v>
          </cell>
          <cell r="G6587" t="str">
            <v>Other</v>
          </cell>
          <cell r="H6587" t="str">
            <v>OTHER</v>
          </cell>
          <cell r="I6587" t="str">
            <v>Other - Index</v>
          </cell>
        </row>
        <row r="6588">
          <cell r="A6588" t="str">
            <v>DJAICLTR</v>
          </cell>
          <cell r="B6588" t="str">
            <v>Dow Jones UBS WTI Crude Oil In</v>
          </cell>
          <cell r="C6588" t="str">
            <v>-BRS_GOLD_1:DJAICLTR</v>
          </cell>
          <cell r="D6588" t="str">
            <v>Index</v>
          </cell>
          <cell r="E6588" t="str">
            <v>Index Level</v>
          </cell>
          <cell r="F6588" t="str">
            <v>Other</v>
          </cell>
          <cell r="G6588" t="str">
            <v>Other</v>
          </cell>
          <cell r="H6588" t="str">
            <v>OTHER</v>
          </cell>
          <cell r="I6588" t="str">
            <v>Other - Index</v>
          </cell>
        </row>
        <row r="6589">
          <cell r="A6589" t="str">
            <v>DJAINGTR</v>
          </cell>
          <cell r="B6589" t="str">
            <v>DOW JONES AIG NATURAL GAS INDE</v>
          </cell>
          <cell r="C6589" t="str">
            <v>-BRS_GOLD_1:DJAINGTR</v>
          </cell>
          <cell r="D6589" t="str">
            <v>Index</v>
          </cell>
          <cell r="E6589" t="str">
            <v>Index Level</v>
          </cell>
          <cell r="F6589" t="str">
            <v>Other</v>
          </cell>
          <cell r="G6589" t="str">
            <v>Other</v>
          </cell>
          <cell r="H6589" t="str">
            <v>OTHER</v>
          </cell>
          <cell r="I6589" t="str">
            <v>Other - Index</v>
          </cell>
        </row>
        <row r="6590">
          <cell r="A6590" t="str">
            <v>DJUBSRSCOM</v>
          </cell>
          <cell r="B6590" t="str">
            <v>BBG Roll Select Cmdty TR</v>
          </cell>
          <cell r="C6590" t="str">
            <v>-BRS_GOLD_1:DJUBSRSCOM</v>
          </cell>
          <cell r="D6590" t="str">
            <v>Price</v>
          </cell>
          <cell r="E6590" t="str">
            <v>Price Level</v>
          </cell>
          <cell r="F6590" t="str">
            <v>Other</v>
          </cell>
          <cell r="G6590" t="str">
            <v>Other</v>
          </cell>
          <cell r="H6590" t="str">
            <v>OTHER</v>
          </cell>
          <cell r="I6590" t="str">
            <v>Other - Price</v>
          </cell>
        </row>
        <row r="6591">
          <cell r="A6591" t="str">
            <v>EMAL_CREDIT</v>
          </cell>
          <cell r="B6591" t="str">
            <v>EM Allocation - Credit</v>
          </cell>
          <cell r="C6591" t="str">
            <v>-BRS_GOLD_1:EMAL_CREDIT</v>
          </cell>
          <cell r="D6591" t="str">
            <v>Price</v>
          </cell>
          <cell r="E6591" t="str">
            <v>Price Level</v>
          </cell>
          <cell r="F6591" t="str">
            <v>Other</v>
          </cell>
          <cell r="G6591" t="str">
            <v>Other</v>
          </cell>
          <cell r="H6591" t="str">
            <v>OTHER</v>
          </cell>
          <cell r="I6591" t="str">
            <v>Other - Price</v>
          </cell>
        </row>
        <row r="6592">
          <cell r="A6592" t="str">
            <v>EMAL_DMRATES</v>
          </cell>
          <cell r="B6592" t="str">
            <v>EM Allocation - DM Rates</v>
          </cell>
          <cell r="C6592" t="str">
            <v>-BRS_GOLD_1:EMAL_DMRATES</v>
          </cell>
          <cell r="D6592" t="str">
            <v>Price</v>
          </cell>
          <cell r="E6592" t="str">
            <v>Price Level</v>
          </cell>
          <cell r="F6592" t="str">
            <v>Other</v>
          </cell>
          <cell r="G6592" t="str">
            <v>Other</v>
          </cell>
          <cell r="H6592" t="str">
            <v>OTHER</v>
          </cell>
          <cell r="I6592" t="str">
            <v>Other - Price</v>
          </cell>
        </row>
        <row r="6593">
          <cell r="A6593" t="str">
            <v>EMAL_ECONOMIC</v>
          </cell>
          <cell r="B6593" t="str">
            <v>EM Allocation - Economic</v>
          </cell>
          <cell r="C6593" t="str">
            <v>-BRS_GOLD_1:EMAL_ECONOMIC</v>
          </cell>
          <cell r="D6593" t="str">
            <v>Price</v>
          </cell>
          <cell r="E6593" t="str">
            <v>Price Level</v>
          </cell>
          <cell r="F6593" t="str">
            <v>Other</v>
          </cell>
          <cell r="G6593" t="str">
            <v>Other</v>
          </cell>
          <cell r="H6593" t="str">
            <v>OTHER</v>
          </cell>
          <cell r="I6593" t="str">
            <v>Other - Price</v>
          </cell>
        </row>
        <row r="6594">
          <cell r="A6594" t="str">
            <v>EMAL_EMRATES</v>
          </cell>
          <cell r="B6594" t="str">
            <v>EM Allocation - EM Rates</v>
          </cell>
          <cell r="C6594" t="str">
            <v>-BRS_GOLD_1:EMAL_EMRATES</v>
          </cell>
          <cell r="D6594" t="str">
            <v>Price</v>
          </cell>
          <cell r="E6594" t="str">
            <v>Price Level</v>
          </cell>
          <cell r="F6594" t="str">
            <v>Other</v>
          </cell>
          <cell r="G6594" t="str">
            <v>Other</v>
          </cell>
          <cell r="H6594" t="str">
            <v>OTHER</v>
          </cell>
          <cell r="I6594" t="str">
            <v>Other - Price</v>
          </cell>
        </row>
        <row r="6595">
          <cell r="A6595" t="str">
            <v>EMAL_FRONTIER</v>
          </cell>
          <cell r="B6595" t="str">
            <v>EM Allocation - Frontier</v>
          </cell>
          <cell r="C6595" t="str">
            <v>-BRS_GOLD_1:EMAL_FRONTIER</v>
          </cell>
          <cell r="D6595" t="str">
            <v>Price</v>
          </cell>
          <cell r="E6595" t="str">
            <v>Price Level</v>
          </cell>
          <cell r="F6595" t="str">
            <v>Other</v>
          </cell>
          <cell r="G6595" t="str">
            <v>Other</v>
          </cell>
          <cell r="H6595" t="str">
            <v>OTHER</v>
          </cell>
          <cell r="I6595" t="str">
            <v>Other - Price</v>
          </cell>
        </row>
        <row r="6596">
          <cell r="A6596" t="str">
            <v>EMAL_LIQUIDITY</v>
          </cell>
          <cell r="B6596" t="str">
            <v>EM Allocation - Liquidity</v>
          </cell>
          <cell r="C6596" t="str">
            <v>-BRS_GOLD_1:EMAL_LIQUIDITY</v>
          </cell>
          <cell r="D6596" t="str">
            <v>Price</v>
          </cell>
          <cell r="E6596" t="str">
            <v>Price Level</v>
          </cell>
          <cell r="F6596" t="str">
            <v>Other</v>
          </cell>
          <cell r="G6596" t="str">
            <v>Other</v>
          </cell>
          <cell r="H6596" t="str">
            <v>OTHER</v>
          </cell>
          <cell r="I6596" t="str">
            <v>Other - Price</v>
          </cell>
        </row>
        <row r="6597">
          <cell r="A6597" t="str">
            <v>EM_SP_RISK</v>
          </cell>
          <cell r="B6597" t="str">
            <v>EM Idiosyncratic</v>
          </cell>
          <cell r="C6597" t="str">
            <v>-BRS_GOLD_1:EM_SP_RISK</v>
          </cell>
          <cell r="D6597" t="str">
            <v>Specific Risk</v>
          </cell>
          <cell r="E6597" t="str">
            <v>Specific Risk</v>
          </cell>
          <cell r="F6597" t="str">
            <v>Idiosyncratic</v>
          </cell>
          <cell r="G6597" t="str">
            <v>Other</v>
          </cell>
          <cell r="H6597" t="str">
            <v>SPREADS_SPECIFIC</v>
          </cell>
          <cell r="I6597" t="str">
            <v>Corporate USD - Idiosyncratic</v>
          </cell>
        </row>
        <row r="6598">
          <cell r="A6598" t="str">
            <v>ESP10</v>
          </cell>
          <cell r="B6598" t="str">
            <v>Barclays Capital 10 Yr EUR Swa</v>
          </cell>
          <cell r="C6598" t="str">
            <v>-BRS_GOLD_1:ESP10</v>
          </cell>
          <cell r="D6598" t="str">
            <v>Index</v>
          </cell>
          <cell r="E6598" t="str">
            <v>Index Level</v>
          </cell>
          <cell r="F6598" t="str">
            <v>Other</v>
          </cell>
          <cell r="G6598" t="str">
            <v>Other</v>
          </cell>
          <cell r="H6598" t="str">
            <v>OTHER</v>
          </cell>
          <cell r="I6598" t="str">
            <v>Other - Index</v>
          </cell>
        </row>
        <row r="6599">
          <cell r="A6599" t="str">
            <v>ESP2</v>
          </cell>
          <cell r="B6599" t="str">
            <v>Barclays Capital 02 Yr EUR Swa</v>
          </cell>
          <cell r="C6599" t="str">
            <v>-BRS_GOLD_1:ESP2</v>
          </cell>
          <cell r="D6599" t="str">
            <v>Index</v>
          </cell>
          <cell r="E6599" t="str">
            <v>Index Level</v>
          </cell>
          <cell r="F6599" t="str">
            <v>Other</v>
          </cell>
          <cell r="G6599" t="str">
            <v>Other</v>
          </cell>
          <cell r="H6599" t="str">
            <v>OTHER</v>
          </cell>
          <cell r="I6599" t="str">
            <v>Other - Index</v>
          </cell>
        </row>
        <row r="6600">
          <cell r="A6600" t="str">
            <v>ESP5</v>
          </cell>
          <cell r="B6600" t="str">
            <v>Barclays Capital 05 Yr EUR Swa</v>
          </cell>
          <cell r="C6600" t="str">
            <v>-BRS_GOLD_1:ESP5</v>
          </cell>
          <cell r="D6600" t="str">
            <v>Index</v>
          </cell>
          <cell r="E6600" t="str">
            <v>Index Level</v>
          </cell>
          <cell r="F6600" t="str">
            <v>Other</v>
          </cell>
          <cell r="G6600" t="str">
            <v>Other</v>
          </cell>
          <cell r="H6600" t="str">
            <v>OTHER</v>
          </cell>
          <cell r="I6600" t="str">
            <v>Other - Index</v>
          </cell>
        </row>
        <row r="6601">
          <cell r="A6601" t="str">
            <v>EURSWAP02</v>
          </cell>
          <cell r="B6601" t="str">
            <v>Barclays Capital 02 Yr EUR Swa</v>
          </cell>
          <cell r="C6601" t="str">
            <v>-BRS_GOLD_1:EURSWAP02</v>
          </cell>
          <cell r="D6601" t="str">
            <v>Index</v>
          </cell>
          <cell r="E6601" t="str">
            <v>Index Level</v>
          </cell>
          <cell r="F6601" t="str">
            <v>Other</v>
          </cell>
          <cell r="G6601" t="str">
            <v>Other</v>
          </cell>
          <cell r="H6601" t="str">
            <v>OTHER</v>
          </cell>
          <cell r="I6601" t="str">
            <v>Other - Index</v>
          </cell>
        </row>
        <row r="6602">
          <cell r="A6602" t="str">
            <v>EURSWAP05</v>
          </cell>
          <cell r="B6602" t="str">
            <v>Barclays Capital 05 Yr EUR Swa</v>
          </cell>
          <cell r="C6602" t="str">
            <v>-BRS_GOLD_1:EURSWAP05</v>
          </cell>
          <cell r="D6602" t="str">
            <v>Index</v>
          </cell>
          <cell r="E6602" t="str">
            <v>Index Level</v>
          </cell>
          <cell r="F6602" t="str">
            <v>Other</v>
          </cell>
          <cell r="G6602" t="str">
            <v>Other</v>
          </cell>
          <cell r="H6602" t="str">
            <v>OTHER</v>
          </cell>
          <cell r="I6602" t="str">
            <v>Other - Index</v>
          </cell>
        </row>
        <row r="6603">
          <cell r="A6603" t="str">
            <v>EURSWAP10</v>
          </cell>
          <cell r="B6603" t="str">
            <v>Barclays Capital 10 Yr EUR Swa</v>
          </cell>
          <cell r="C6603" t="str">
            <v>-BRS_GOLD_1:EURSWAP10</v>
          </cell>
          <cell r="D6603" t="str">
            <v>Index</v>
          </cell>
          <cell r="E6603" t="str">
            <v>Index Level</v>
          </cell>
          <cell r="F6603" t="str">
            <v>Other</v>
          </cell>
          <cell r="G6603" t="str">
            <v>Other</v>
          </cell>
          <cell r="H6603" t="str">
            <v>OTHER</v>
          </cell>
          <cell r="I6603" t="str">
            <v>Other - Index</v>
          </cell>
        </row>
        <row r="6604">
          <cell r="A6604" t="str">
            <v>EUR_COMD_DED_1</v>
          </cell>
          <cell r="B6604" t="str">
            <v>Euro STOXX 50 Dividend 1</v>
          </cell>
          <cell r="C6604" t="str">
            <v>-BRS_GOLD_1:EUR_COMD_DED_1</v>
          </cell>
          <cell r="D6604" t="str">
            <v>Index</v>
          </cell>
          <cell r="E6604" t="str">
            <v>Index Level</v>
          </cell>
          <cell r="F6604" t="str">
            <v>Other</v>
          </cell>
          <cell r="G6604" t="str">
            <v>Other</v>
          </cell>
          <cell r="H6604" t="str">
            <v>OTHER</v>
          </cell>
          <cell r="I6604" t="str">
            <v>Other - Index</v>
          </cell>
        </row>
        <row r="6605">
          <cell r="A6605" t="str">
            <v>EUR_COMD_DED_10</v>
          </cell>
          <cell r="B6605" t="str">
            <v>Euro STOXX 50 Dividend 10</v>
          </cell>
          <cell r="C6605" t="str">
            <v>-BRS_GOLD_1:EUR_COMD_DED_10</v>
          </cell>
          <cell r="D6605" t="str">
            <v>Index</v>
          </cell>
          <cell r="E6605" t="str">
            <v>Index Level</v>
          </cell>
          <cell r="F6605" t="str">
            <v>Other</v>
          </cell>
          <cell r="G6605" t="str">
            <v>Other</v>
          </cell>
          <cell r="H6605" t="str">
            <v>OTHER</v>
          </cell>
          <cell r="I6605" t="str">
            <v>Other - Index</v>
          </cell>
        </row>
        <row r="6606">
          <cell r="A6606" t="str">
            <v>EUR_COMD_DED_2</v>
          </cell>
          <cell r="B6606" t="str">
            <v>Euro STOXX 50 Dividend 2</v>
          </cell>
          <cell r="C6606" t="str">
            <v>-BRS_GOLD_1:EUR_COMD_DED_2</v>
          </cell>
          <cell r="D6606" t="str">
            <v>Index</v>
          </cell>
          <cell r="E6606" t="str">
            <v>Index Level</v>
          </cell>
          <cell r="F6606" t="str">
            <v>Other</v>
          </cell>
          <cell r="G6606" t="str">
            <v>Other</v>
          </cell>
          <cell r="H6606" t="str">
            <v>OTHER</v>
          </cell>
          <cell r="I6606" t="str">
            <v>Other - Index</v>
          </cell>
        </row>
        <row r="6607">
          <cell r="A6607" t="str">
            <v>EUR_COMD_DED_3</v>
          </cell>
          <cell r="B6607" t="str">
            <v>Euro STOXX 50 Dividend 3</v>
          </cell>
          <cell r="C6607" t="str">
            <v>-BRS_GOLD_1:EUR_COMD_DED_3</v>
          </cell>
          <cell r="D6607" t="str">
            <v>Index</v>
          </cell>
          <cell r="E6607" t="str">
            <v>Index Level</v>
          </cell>
          <cell r="F6607" t="str">
            <v>Other</v>
          </cell>
          <cell r="G6607" t="str">
            <v>Other</v>
          </cell>
          <cell r="H6607" t="str">
            <v>OTHER</v>
          </cell>
          <cell r="I6607" t="str">
            <v>Other - Index</v>
          </cell>
        </row>
        <row r="6608">
          <cell r="A6608" t="str">
            <v>EUR_COMD_DED_4</v>
          </cell>
          <cell r="B6608" t="str">
            <v>Euro STOXX 50 Dividend 4</v>
          </cell>
          <cell r="C6608" t="str">
            <v>-BRS_GOLD_1:EUR_COMD_DED_4</v>
          </cell>
          <cell r="D6608" t="str">
            <v>Index</v>
          </cell>
          <cell r="E6608" t="str">
            <v>Index Level</v>
          </cell>
          <cell r="F6608" t="str">
            <v>Other</v>
          </cell>
          <cell r="G6608" t="str">
            <v>Other</v>
          </cell>
          <cell r="H6608" t="str">
            <v>OTHER</v>
          </cell>
          <cell r="I6608" t="str">
            <v>Other - Index</v>
          </cell>
        </row>
        <row r="6609">
          <cell r="A6609" t="str">
            <v>EUR_COMD_DED_5</v>
          </cell>
          <cell r="B6609" t="str">
            <v>Euro STOXX 50 Dividend 5</v>
          </cell>
          <cell r="C6609" t="str">
            <v>-BRS_GOLD_1:EUR_COMD_DED_5</v>
          </cell>
          <cell r="D6609" t="str">
            <v>Index</v>
          </cell>
          <cell r="E6609" t="str">
            <v>Index Level</v>
          </cell>
          <cell r="F6609" t="str">
            <v>Other</v>
          </cell>
          <cell r="G6609" t="str">
            <v>Other</v>
          </cell>
          <cell r="H6609" t="str">
            <v>OTHER</v>
          </cell>
          <cell r="I6609" t="str">
            <v>Other - Index</v>
          </cell>
        </row>
        <row r="6610">
          <cell r="A6610" t="str">
            <v>EUR_COMD_DED_6</v>
          </cell>
          <cell r="B6610" t="str">
            <v>Euro STOXX 50 Dividend 6</v>
          </cell>
          <cell r="C6610" t="str">
            <v>-BRS_GOLD_1:EUR_COMD_DED_6</v>
          </cell>
          <cell r="D6610" t="str">
            <v>Index</v>
          </cell>
          <cell r="E6610" t="str">
            <v>Index Level</v>
          </cell>
          <cell r="F6610" t="str">
            <v>Other</v>
          </cell>
          <cell r="G6610" t="str">
            <v>Other</v>
          </cell>
          <cell r="H6610" t="str">
            <v>OTHER</v>
          </cell>
          <cell r="I6610" t="str">
            <v>Other - Index</v>
          </cell>
        </row>
        <row r="6611">
          <cell r="A6611" t="str">
            <v>EUR_COMD_DED_7</v>
          </cell>
          <cell r="B6611" t="str">
            <v>Euro STOXX 50 Dividend 7</v>
          </cell>
          <cell r="C6611" t="str">
            <v>-BRS_GOLD_1:EUR_COMD_DED_7</v>
          </cell>
          <cell r="D6611" t="str">
            <v>Index</v>
          </cell>
          <cell r="E6611" t="str">
            <v>Index Level</v>
          </cell>
          <cell r="F6611" t="str">
            <v>Other</v>
          </cell>
          <cell r="G6611" t="str">
            <v>Other</v>
          </cell>
          <cell r="H6611" t="str">
            <v>OTHER</v>
          </cell>
          <cell r="I6611" t="str">
            <v>Other - Index</v>
          </cell>
        </row>
        <row r="6612">
          <cell r="A6612" t="str">
            <v>EUR_COMD_DED_8</v>
          </cell>
          <cell r="B6612" t="str">
            <v>Euro STOXX 50 Dividend 8</v>
          </cell>
          <cell r="C6612" t="str">
            <v>-BRS_GOLD_1:EUR_COMD_DED_8</v>
          </cell>
          <cell r="D6612" t="str">
            <v>Index</v>
          </cell>
          <cell r="E6612" t="str">
            <v>Index Level</v>
          </cell>
          <cell r="F6612" t="str">
            <v>Other</v>
          </cell>
          <cell r="G6612" t="str">
            <v>Other</v>
          </cell>
          <cell r="H6612" t="str">
            <v>OTHER</v>
          </cell>
          <cell r="I6612" t="str">
            <v>Other - Index</v>
          </cell>
        </row>
        <row r="6613">
          <cell r="A6613" t="str">
            <v>EUR_COMD_DED_9</v>
          </cell>
          <cell r="B6613" t="str">
            <v>Euro STOXX 50 Dividend 9</v>
          </cell>
          <cell r="C6613" t="str">
            <v>-BRS_GOLD_1:EUR_COMD_DED_9</v>
          </cell>
          <cell r="D6613" t="str">
            <v>Index</v>
          </cell>
          <cell r="E6613" t="str">
            <v>Index Level</v>
          </cell>
          <cell r="F6613" t="str">
            <v>Other</v>
          </cell>
          <cell r="G6613" t="str">
            <v>Other</v>
          </cell>
          <cell r="H6613" t="str">
            <v>OTHER</v>
          </cell>
          <cell r="I6613" t="str">
            <v>Other - Index</v>
          </cell>
        </row>
        <row r="6614">
          <cell r="A6614" t="str">
            <v>EUR_CORP_AGG_20YN</v>
          </cell>
          <cell r="B6614" t="str">
            <v>EU Maturity 20</v>
          </cell>
          <cell r="C6614" t="str">
            <v>-BRS_GOLD_1:EUR_CORP_AGG_20YN</v>
          </cell>
          <cell r="D6614" t="str">
            <v>Spread Duration</v>
          </cell>
          <cell r="E6614" t="str">
            <v>Spread Yield (DxS)</v>
          </cell>
          <cell r="F6614" t="str">
            <v>SP-Corporate IG EUR</v>
          </cell>
          <cell r="G6614" t="str">
            <v>SP-Spread Corporate</v>
          </cell>
          <cell r="H6614" t="str">
            <v>SPREADS</v>
          </cell>
          <cell r="I6614" t="str">
            <v>Corporate IG EUR - Maturity</v>
          </cell>
        </row>
        <row r="6615">
          <cell r="A6615" t="str">
            <v>EUR_CORP_AGG_2YN</v>
          </cell>
          <cell r="B6615" t="str">
            <v>EU Maturity 2</v>
          </cell>
          <cell r="C6615" t="str">
            <v>-BRS_GOLD_1:EUR_CORP_AGG_2YN</v>
          </cell>
          <cell r="D6615" t="str">
            <v>Spread Duration</v>
          </cell>
          <cell r="E6615" t="str">
            <v>Spread Yield (DxS)</v>
          </cell>
          <cell r="F6615" t="str">
            <v>SP-Corporate IG EUR</v>
          </cell>
          <cell r="G6615" t="str">
            <v>SP-Spread Corporate</v>
          </cell>
          <cell r="H6615" t="str">
            <v>SPREADS</v>
          </cell>
          <cell r="I6615" t="str">
            <v>Corporate IG EUR - Maturity</v>
          </cell>
        </row>
        <row r="6616">
          <cell r="A6616" t="str">
            <v>EUR_CORP_HY_20YN</v>
          </cell>
          <cell r="B6616" t="str">
            <v>EU Maturity HY 20</v>
          </cell>
          <cell r="C6616" t="str">
            <v>-BRS_GOLD_1:EUR_CORP_HY_20YN</v>
          </cell>
          <cell r="D6616" t="str">
            <v>Spread Duration</v>
          </cell>
          <cell r="E6616" t="str">
            <v>Spread Yield (DxS)</v>
          </cell>
          <cell r="F6616" t="str">
            <v>SP-Corporate HY EUR</v>
          </cell>
          <cell r="G6616" t="str">
            <v>SP-Spread Corporate</v>
          </cell>
          <cell r="H6616" t="str">
            <v>SPREADS</v>
          </cell>
          <cell r="I6616" t="str">
            <v>Corporate HY EUR - Maturity</v>
          </cell>
        </row>
        <row r="6617">
          <cell r="A6617" t="str">
            <v>EUR_CORP_HY_2YN</v>
          </cell>
          <cell r="B6617" t="str">
            <v>EU Maturity HY 2</v>
          </cell>
          <cell r="C6617" t="str">
            <v>-BRS_GOLD_1:EUR_CORP_HY_2YN</v>
          </cell>
          <cell r="D6617" t="str">
            <v>Spread Duration</v>
          </cell>
          <cell r="E6617" t="str">
            <v>Spread Yield (DxS)</v>
          </cell>
          <cell r="F6617" t="str">
            <v>SP-Corporate HY EUR</v>
          </cell>
          <cell r="G6617" t="str">
            <v>SP-Spread Corporate</v>
          </cell>
          <cell r="H6617" t="str">
            <v>SPREADS</v>
          </cell>
          <cell r="I6617" t="str">
            <v>Corporate HY EUR - Maturity</v>
          </cell>
        </row>
        <row r="6618">
          <cell r="A6618" t="str">
            <v>EUR_INFRA_DEBT</v>
          </cell>
          <cell r="B6618" t="str">
            <v>Infrastructure Debt</v>
          </cell>
          <cell r="C6618" t="str">
            <v>-BRS_GOLD_1:EUR_INFRA_DEBT</v>
          </cell>
          <cell r="D6618" t="str">
            <v>Spread Duration</v>
          </cell>
          <cell r="E6618" t="str">
            <v>Spread Yield (DxS)</v>
          </cell>
          <cell r="F6618" t="str">
            <v>Other</v>
          </cell>
          <cell r="G6618" t="str">
            <v>Other</v>
          </cell>
          <cell r="H6618" t="str">
            <v>OTHER</v>
          </cell>
          <cell r="I6618" t="str">
            <v>Other - Spread Yield</v>
          </cell>
        </row>
        <row r="6619">
          <cell r="A6619" t="str">
            <v>FIM_10yr_10yr</v>
          </cell>
          <cell r="B6619" t="str">
            <v>FIM 10Y ^2</v>
          </cell>
          <cell r="C6619" t="str">
            <v>-BRS_GOLD_1:FIM_10yr_10yr</v>
          </cell>
          <cell r="D6619" t="str">
            <v>Convexity</v>
          </cell>
          <cell r="E6619" t="str">
            <v>Spread Yield (DxS)</v>
          </cell>
          <cell r="F6619" t="str">
            <v>FI-Convexity</v>
          </cell>
          <cell r="G6619" t="str">
            <v>FI-Other</v>
          </cell>
          <cell r="H6619" t="str">
            <v>RATES</v>
          </cell>
          <cell r="I6619" t="str">
            <v>Convexity</v>
          </cell>
        </row>
        <row r="6620">
          <cell r="A6620" t="str">
            <v>FMI_WRLD_AED</v>
          </cell>
          <cell r="B6620" t="str">
            <v>United Arab Emirates Dirham</v>
          </cell>
          <cell r="C6620" t="str">
            <v>-BRS_GOLD_1:FMI_WRLD_AED</v>
          </cell>
          <cell r="D6620" t="str">
            <v>BFRE Currency</v>
          </cell>
          <cell r="E6620" t="str">
            <v>Currency Return</v>
          </cell>
          <cell r="F6620" t="str">
            <v>Other</v>
          </cell>
          <cell r="G6620" t="str">
            <v>Other</v>
          </cell>
          <cell r="H6620" t="str">
            <v>OTHER</v>
          </cell>
          <cell r="I6620" t="str">
            <v>Other - Currency</v>
          </cell>
        </row>
        <row r="6621">
          <cell r="A6621" t="str">
            <v>FMI_WRLD_ARS</v>
          </cell>
          <cell r="B6621" t="str">
            <v>Argentina Peso</v>
          </cell>
          <cell r="C6621" t="str">
            <v>-BRS_GOLD_1:FMI_WRLD_ARS</v>
          </cell>
          <cell r="D6621" t="str">
            <v>BFRE Currency</v>
          </cell>
          <cell r="E6621" t="str">
            <v>Currency Return</v>
          </cell>
          <cell r="F6621" t="str">
            <v>Other</v>
          </cell>
          <cell r="G6621" t="str">
            <v>Other</v>
          </cell>
          <cell r="H6621" t="str">
            <v>OTHER</v>
          </cell>
          <cell r="I6621" t="str">
            <v>Other - Currency</v>
          </cell>
        </row>
        <row r="6622">
          <cell r="A6622" t="str">
            <v>FMI_WRLD_AUD</v>
          </cell>
          <cell r="B6622" t="str">
            <v>Australia Dollar</v>
          </cell>
          <cell r="C6622" t="str">
            <v>-BRS_GOLD_1:FMI_WRLD_AUD</v>
          </cell>
          <cell r="D6622" t="str">
            <v>BFRE Currency</v>
          </cell>
          <cell r="E6622" t="str">
            <v>Currency Return</v>
          </cell>
          <cell r="F6622" t="str">
            <v>Other</v>
          </cell>
          <cell r="G6622" t="str">
            <v>Other</v>
          </cell>
          <cell r="H6622" t="str">
            <v>OTHER</v>
          </cell>
          <cell r="I6622" t="str">
            <v>Other - Currency</v>
          </cell>
        </row>
        <row r="6623">
          <cell r="A6623" t="str">
            <v>FMI_WRLD_BDT</v>
          </cell>
          <cell r="B6623" t="str">
            <v>Bangladesh Taka</v>
          </cell>
          <cell r="C6623" t="str">
            <v>-BRS_GOLD_1:FMI_WRLD_BDT</v>
          </cell>
          <cell r="D6623" t="str">
            <v>BFRE Currency</v>
          </cell>
          <cell r="E6623" t="str">
            <v>Currency Return</v>
          </cell>
          <cell r="F6623" t="str">
            <v>Other</v>
          </cell>
          <cell r="G6623" t="str">
            <v>Other</v>
          </cell>
          <cell r="H6623" t="str">
            <v>OTHER</v>
          </cell>
          <cell r="I6623" t="str">
            <v>Other - Currency</v>
          </cell>
        </row>
        <row r="6624">
          <cell r="A6624" t="str">
            <v>FMI_WRLD_BGN</v>
          </cell>
          <cell r="B6624" t="str">
            <v>Bulgaria Lev</v>
          </cell>
          <cell r="C6624" t="str">
            <v>-BRS_GOLD_1:FMI_WRLD_BGN</v>
          </cell>
          <cell r="D6624" t="str">
            <v>BFRE Currency</v>
          </cell>
          <cell r="E6624" t="str">
            <v>Currency Return</v>
          </cell>
          <cell r="F6624" t="str">
            <v>Other</v>
          </cell>
          <cell r="G6624" t="str">
            <v>Other</v>
          </cell>
          <cell r="H6624" t="str">
            <v>OTHER</v>
          </cell>
          <cell r="I6624" t="str">
            <v>Other - Currency</v>
          </cell>
        </row>
        <row r="6625">
          <cell r="A6625" t="str">
            <v>FMI_WRLD_BHD</v>
          </cell>
          <cell r="B6625" t="str">
            <v>Bahrain Dinar</v>
          </cell>
          <cell r="C6625" t="str">
            <v>-BRS_GOLD_1:FMI_WRLD_BHD</v>
          </cell>
          <cell r="D6625" t="str">
            <v>BFRE Currency</v>
          </cell>
          <cell r="E6625" t="str">
            <v>Currency Return</v>
          </cell>
          <cell r="F6625" t="str">
            <v>Other</v>
          </cell>
          <cell r="G6625" t="str">
            <v>Other</v>
          </cell>
          <cell r="H6625" t="str">
            <v>OTHER</v>
          </cell>
          <cell r="I6625" t="str">
            <v>Other - Currency</v>
          </cell>
        </row>
        <row r="6626">
          <cell r="A6626" t="str">
            <v>FMI_WRLD_BRL</v>
          </cell>
          <cell r="B6626" t="str">
            <v>Brazil Real</v>
          </cell>
          <cell r="C6626" t="str">
            <v>-BRS_GOLD_1:FMI_WRLD_BRL</v>
          </cell>
          <cell r="D6626" t="str">
            <v>BFRE Currency</v>
          </cell>
          <cell r="E6626" t="str">
            <v>Currency Return</v>
          </cell>
          <cell r="F6626" t="str">
            <v>Other</v>
          </cell>
          <cell r="G6626" t="str">
            <v>Other</v>
          </cell>
          <cell r="H6626" t="str">
            <v>OTHER</v>
          </cell>
          <cell r="I6626" t="str">
            <v>Other - Currency</v>
          </cell>
        </row>
        <row r="6627">
          <cell r="A6627" t="str">
            <v>FMI_WRLD_BWP</v>
          </cell>
          <cell r="B6627" t="str">
            <v>Botswana Pula</v>
          </cell>
          <cell r="C6627" t="str">
            <v>-BRS_GOLD_1:FMI_WRLD_BWP</v>
          </cell>
          <cell r="D6627" t="str">
            <v>BFRE Currency</v>
          </cell>
          <cell r="E6627" t="str">
            <v>Currency Return</v>
          </cell>
          <cell r="F6627" t="str">
            <v>Other</v>
          </cell>
          <cell r="G6627" t="str">
            <v>Other</v>
          </cell>
          <cell r="H6627" t="str">
            <v>OTHER</v>
          </cell>
          <cell r="I6627" t="str">
            <v>Other - Currency</v>
          </cell>
        </row>
        <row r="6628">
          <cell r="A6628" t="str">
            <v>FMI_WRLD_CAD</v>
          </cell>
          <cell r="B6628" t="str">
            <v>Canada Dollar</v>
          </cell>
          <cell r="C6628" t="str">
            <v>-BRS_GOLD_1:FMI_WRLD_CAD</v>
          </cell>
          <cell r="D6628" t="str">
            <v>BFRE Currency</v>
          </cell>
          <cell r="E6628" t="str">
            <v>Currency Return</v>
          </cell>
          <cell r="F6628" t="str">
            <v>Other</v>
          </cell>
          <cell r="G6628" t="str">
            <v>Other</v>
          </cell>
          <cell r="H6628" t="str">
            <v>OTHER</v>
          </cell>
          <cell r="I6628" t="str">
            <v>Other - Currency</v>
          </cell>
        </row>
        <row r="6629">
          <cell r="A6629" t="str">
            <v>FMI_WRLD_CHF</v>
          </cell>
          <cell r="B6629" t="str">
            <v>Switzerland Franc</v>
          </cell>
          <cell r="C6629" t="str">
            <v>-BRS_GOLD_1:FMI_WRLD_CHF</v>
          </cell>
          <cell r="D6629" t="str">
            <v>BFRE Currency</v>
          </cell>
          <cell r="E6629" t="str">
            <v>Currency Return</v>
          </cell>
          <cell r="F6629" t="str">
            <v>Other</v>
          </cell>
          <cell r="G6629" t="str">
            <v>Other</v>
          </cell>
          <cell r="H6629" t="str">
            <v>OTHER</v>
          </cell>
          <cell r="I6629" t="str">
            <v>Other - Currency</v>
          </cell>
        </row>
        <row r="6630">
          <cell r="A6630" t="str">
            <v>FMI_WRLD_CLP</v>
          </cell>
          <cell r="B6630" t="str">
            <v>Chile Peso</v>
          </cell>
          <cell r="C6630" t="str">
            <v>-BRS_GOLD_1:FMI_WRLD_CLP</v>
          </cell>
          <cell r="D6630" t="str">
            <v>BFRE Currency</v>
          </cell>
          <cell r="E6630" t="str">
            <v>Currency Return</v>
          </cell>
          <cell r="F6630" t="str">
            <v>Other</v>
          </cell>
          <cell r="G6630" t="str">
            <v>Other</v>
          </cell>
          <cell r="H6630" t="str">
            <v>OTHER</v>
          </cell>
          <cell r="I6630" t="str">
            <v>Other - Currency</v>
          </cell>
        </row>
        <row r="6631">
          <cell r="A6631" t="str">
            <v>FMI_WRLD_CNY</v>
          </cell>
          <cell r="B6631" t="str">
            <v>China Renminbi (Yuan)</v>
          </cell>
          <cell r="C6631" t="str">
            <v>-BRS_GOLD_1:FMI_WRLD_CNY</v>
          </cell>
          <cell r="D6631" t="str">
            <v>BFRE Currency</v>
          </cell>
          <cell r="E6631" t="str">
            <v>Currency Return</v>
          </cell>
          <cell r="F6631" t="str">
            <v>Other</v>
          </cell>
          <cell r="G6631" t="str">
            <v>Other</v>
          </cell>
          <cell r="H6631" t="str">
            <v>OTHER</v>
          </cell>
          <cell r="I6631" t="str">
            <v>Other - Currency</v>
          </cell>
        </row>
        <row r="6632">
          <cell r="A6632" t="str">
            <v>FMI_WRLD_COP</v>
          </cell>
          <cell r="B6632" t="str">
            <v>Colombia Peso</v>
          </cell>
          <cell r="C6632" t="str">
            <v>-BRS_GOLD_1:FMI_WRLD_COP</v>
          </cell>
          <cell r="D6632" t="str">
            <v>BFRE Currency</v>
          </cell>
          <cell r="E6632" t="str">
            <v>Currency Return</v>
          </cell>
          <cell r="F6632" t="str">
            <v>Other</v>
          </cell>
          <cell r="G6632" t="str">
            <v>Other</v>
          </cell>
          <cell r="H6632" t="str">
            <v>OTHER</v>
          </cell>
          <cell r="I6632" t="str">
            <v>Other - Currency</v>
          </cell>
        </row>
        <row r="6633">
          <cell r="A6633" t="str">
            <v>FMI_WRLD_CZK</v>
          </cell>
          <cell r="B6633" t="str">
            <v>Czech Republic Koruna</v>
          </cell>
          <cell r="C6633" t="str">
            <v>-BRS_GOLD_1:FMI_WRLD_CZK</v>
          </cell>
          <cell r="D6633" t="str">
            <v>BFRE Currency</v>
          </cell>
          <cell r="E6633" t="str">
            <v>Currency Return</v>
          </cell>
          <cell r="F6633" t="str">
            <v>Other</v>
          </cell>
          <cell r="G6633" t="str">
            <v>Other</v>
          </cell>
          <cell r="H6633" t="str">
            <v>OTHER</v>
          </cell>
          <cell r="I6633" t="str">
            <v>Other - Currency</v>
          </cell>
        </row>
        <row r="6634">
          <cell r="A6634" t="str">
            <v>FMI_WRLD_DKK</v>
          </cell>
          <cell r="B6634" t="str">
            <v>Denmark Krone</v>
          </cell>
          <cell r="C6634" t="str">
            <v>-BRS_GOLD_1:FMI_WRLD_DKK</v>
          </cell>
          <cell r="D6634" t="str">
            <v>BFRE Currency</v>
          </cell>
          <cell r="E6634" t="str">
            <v>Currency Return</v>
          </cell>
          <cell r="F6634" t="str">
            <v>Other</v>
          </cell>
          <cell r="G6634" t="str">
            <v>Other</v>
          </cell>
          <cell r="H6634" t="str">
            <v>OTHER</v>
          </cell>
          <cell r="I6634" t="str">
            <v>Other - Currency</v>
          </cell>
        </row>
        <row r="6635">
          <cell r="A6635" t="str">
            <v>FMI_WRLD_EGP</v>
          </cell>
          <cell r="B6635" t="str">
            <v>Egypt Pound</v>
          </cell>
          <cell r="C6635" t="str">
            <v>-BRS_GOLD_1:FMI_WRLD_EGP</v>
          </cell>
          <cell r="D6635" t="str">
            <v>BFRE Currency</v>
          </cell>
          <cell r="E6635" t="str">
            <v>Currency Return</v>
          </cell>
          <cell r="F6635" t="str">
            <v>Other</v>
          </cell>
          <cell r="G6635" t="str">
            <v>Other</v>
          </cell>
          <cell r="H6635" t="str">
            <v>OTHER</v>
          </cell>
          <cell r="I6635" t="str">
            <v>Other - Currency</v>
          </cell>
        </row>
        <row r="6636">
          <cell r="A6636" t="str">
            <v>FMI_WRLD_EUR</v>
          </cell>
          <cell r="B6636" t="str">
            <v>European Union Euro</v>
          </cell>
          <cell r="C6636" t="str">
            <v>-BRS_GOLD_1:FMI_WRLD_EUR</v>
          </cell>
          <cell r="D6636" t="str">
            <v>BFRE Currency</v>
          </cell>
          <cell r="E6636" t="str">
            <v>Currency Return</v>
          </cell>
          <cell r="F6636" t="str">
            <v>Other</v>
          </cell>
          <cell r="G6636" t="str">
            <v>Other</v>
          </cell>
          <cell r="H6636" t="str">
            <v>OTHER</v>
          </cell>
          <cell r="I6636" t="str">
            <v>Other - Currency</v>
          </cell>
        </row>
        <row r="6637">
          <cell r="A6637" t="str">
            <v>FMI_WRLD_GBP</v>
          </cell>
          <cell r="B6637" t="str">
            <v>United Kingdom Pound</v>
          </cell>
          <cell r="C6637" t="str">
            <v>-BRS_GOLD_1:FMI_WRLD_GBP</v>
          </cell>
          <cell r="D6637" t="str">
            <v>BFRE Currency</v>
          </cell>
          <cell r="E6637" t="str">
            <v>Currency Return</v>
          </cell>
          <cell r="F6637" t="str">
            <v>Other</v>
          </cell>
          <cell r="G6637" t="str">
            <v>Other</v>
          </cell>
          <cell r="H6637" t="str">
            <v>OTHER</v>
          </cell>
          <cell r="I6637" t="str">
            <v>Other - Currency</v>
          </cell>
        </row>
        <row r="6638">
          <cell r="A6638" t="str">
            <v>FMI_WRLD_GHS</v>
          </cell>
          <cell r="B6638" t="str">
            <v>Ghanaian Ghana Cedi</v>
          </cell>
          <cell r="C6638" t="str">
            <v>-BRS_GOLD_1:FMI_WRLD_GHS</v>
          </cell>
          <cell r="D6638" t="str">
            <v>BFRE Currency</v>
          </cell>
          <cell r="E6638" t="str">
            <v>Currency Return</v>
          </cell>
          <cell r="F6638" t="str">
            <v>Other</v>
          </cell>
          <cell r="G6638" t="str">
            <v>Other</v>
          </cell>
          <cell r="H6638" t="str">
            <v>OTHER</v>
          </cell>
          <cell r="I6638" t="str">
            <v>Other - Currency</v>
          </cell>
        </row>
        <row r="6639">
          <cell r="A6639" t="str">
            <v>FMI_WRLD_HKD</v>
          </cell>
          <cell r="B6639" t="str">
            <v>Hong Kong Dollar</v>
          </cell>
          <cell r="C6639" t="str">
            <v>-BRS_GOLD_1:FMI_WRLD_HKD</v>
          </cell>
          <cell r="D6639" t="str">
            <v>BFRE Currency</v>
          </cell>
          <cell r="E6639" t="str">
            <v>Currency Return</v>
          </cell>
          <cell r="F6639" t="str">
            <v>Other</v>
          </cell>
          <cell r="G6639" t="str">
            <v>Other</v>
          </cell>
          <cell r="H6639" t="str">
            <v>OTHER</v>
          </cell>
          <cell r="I6639" t="str">
            <v>Other - Currency</v>
          </cell>
        </row>
        <row r="6640">
          <cell r="A6640" t="str">
            <v>FMI_WRLD_HRK</v>
          </cell>
          <cell r="B6640" t="str">
            <v>Croatia Kuna</v>
          </cell>
          <cell r="C6640" t="str">
            <v>-BRS_GOLD_1:FMI_WRLD_HRK</v>
          </cell>
          <cell r="D6640" t="str">
            <v>BFRE Currency</v>
          </cell>
          <cell r="E6640" t="str">
            <v>Currency Return</v>
          </cell>
          <cell r="F6640" t="str">
            <v>Other</v>
          </cell>
          <cell r="G6640" t="str">
            <v>Other</v>
          </cell>
          <cell r="H6640" t="str">
            <v>OTHER</v>
          </cell>
          <cell r="I6640" t="str">
            <v>Other - Currency</v>
          </cell>
        </row>
        <row r="6641">
          <cell r="A6641" t="str">
            <v>FMI_WRLD_HUF</v>
          </cell>
          <cell r="B6641" t="str">
            <v>Hungary Forint</v>
          </cell>
          <cell r="C6641" t="str">
            <v>-BRS_GOLD_1:FMI_WRLD_HUF</v>
          </cell>
          <cell r="D6641" t="str">
            <v>BFRE Currency</v>
          </cell>
          <cell r="E6641" t="str">
            <v>Currency Return</v>
          </cell>
          <cell r="F6641" t="str">
            <v>Other</v>
          </cell>
          <cell r="G6641" t="str">
            <v>Other</v>
          </cell>
          <cell r="H6641" t="str">
            <v>OTHER</v>
          </cell>
          <cell r="I6641" t="str">
            <v>Other - Currency</v>
          </cell>
        </row>
        <row r="6642">
          <cell r="A6642" t="str">
            <v>FMI_WRLD_IDR</v>
          </cell>
          <cell r="B6642" t="str">
            <v>Indonesia Rupiah</v>
          </cell>
          <cell r="C6642" t="str">
            <v>-BRS_GOLD_1:FMI_WRLD_IDR</v>
          </cell>
          <cell r="D6642" t="str">
            <v>BFRE Currency</v>
          </cell>
          <cell r="E6642" t="str">
            <v>Currency Return</v>
          </cell>
          <cell r="F6642" t="str">
            <v>Other</v>
          </cell>
          <cell r="G6642" t="str">
            <v>Other</v>
          </cell>
          <cell r="H6642" t="str">
            <v>OTHER</v>
          </cell>
          <cell r="I6642" t="str">
            <v>Other - Currency</v>
          </cell>
        </row>
        <row r="6643">
          <cell r="A6643" t="str">
            <v>FMI_WRLD_ILS</v>
          </cell>
          <cell r="B6643" t="str">
            <v>Israel Shekel</v>
          </cell>
          <cell r="C6643" t="str">
            <v>-BRS_GOLD_1:FMI_WRLD_ILS</v>
          </cell>
          <cell r="D6643" t="str">
            <v>BFRE Currency</v>
          </cell>
          <cell r="E6643" t="str">
            <v>Currency Return</v>
          </cell>
          <cell r="F6643" t="str">
            <v>Other</v>
          </cell>
          <cell r="G6643" t="str">
            <v>Other</v>
          </cell>
          <cell r="H6643" t="str">
            <v>OTHER</v>
          </cell>
          <cell r="I6643" t="str">
            <v>Other - Currency</v>
          </cell>
        </row>
        <row r="6644">
          <cell r="A6644" t="str">
            <v>FMI_WRLD_INR</v>
          </cell>
          <cell r="B6644" t="str">
            <v>India Rupee</v>
          </cell>
          <cell r="C6644" t="str">
            <v>-BRS_GOLD_1:FMI_WRLD_INR</v>
          </cell>
          <cell r="D6644" t="str">
            <v>BFRE Currency</v>
          </cell>
          <cell r="E6644" t="str">
            <v>Currency Return</v>
          </cell>
          <cell r="F6644" t="str">
            <v>Other</v>
          </cell>
          <cell r="G6644" t="str">
            <v>Other</v>
          </cell>
          <cell r="H6644" t="str">
            <v>OTHER</v>
          </cell>
          <cell r="I6644" t="str">
            <v>Other - Currency</v>
          </cell>
        </row>
        <row r="6645">
          <cell r="A6645" t="str">
            <v>FMI_WRLD_ISK</v>
          </cell>
          <cell r="B6645" t="str">
            <v>Iceland Krona</v>
          </cell>
          <cell r="C6645" t="str">
            <v>-BRS_GOLD_1:FMI_WRLD_ISK</v>
          </cell>
          <cell r="D6645" t="str">
            <v>BFRE Currency</v>
          </cell>
          <cell r="E6645" t="str">
            <v>Currency Return</v>
          </cell>
          <cell r="F6645" t="str">
            <v>Other</v>
          </cell>
          <cell r="G6645" t="str">
            <v>Other</v>
          </cell>
          <cell r="H6645" t="str">
            <v>OTHER</v>
          </cell>
          <cell r="I6645" t="str">
            <v>Other - Currency</v>
          </cell>
        </row>
        <row r="6646">
          <cell r="A6646" t="str">
            <v>FMI_WRLD_JMD</v>
          </cell>
          <cell r="B6646" t="str">
            <v>Jamaica Dollar</v>
          </cell>
          <cell r="C6646" t="str">
            <v>-BRS_GOLD_1:FMI_WRLD_JMD</v>
          </cell>
          <cell r="D6646" t="str">
            <v>BFRE Currency</v>
          </cell>
          <cell r="E6646" t="str">
            <v>Currency Return</v>
          </cell>
          <cell r="F6646" t="str">
            <v>Other</v>
          </cell>
          <cell r="G6646" t="str">
            <v>Other</v>
          </cell>
          <cell r="H6646" t="str">
            <v>OTHER</v>
          </cell>
          <cell r="I6646" t="str">
            <v>Other - Currency</v>
          </cell>
        </row>
        <row r="6647">
          <cell r="A6647" t="str">
            <v>FMI_WRLD_JOD</v>
          </cell>
          <cell r="B6647" t="str">
            <v>Jordan Dinar</v>
          </cell>
          <cell r="C6647" t="str">
            <v>-BRS_GOLD_1:FMI_WRLD_JOD</v>
          </cell>
          <cell r="D6647" t="str">
            <v>BFRE Currency</v>
          </cell>
          <cell r="E6647" t="str">
            <v>Currency Return</v>
          </cell>
          <cell r="F6647" t="str">
            <v>Other</v>
          </cell>
          <cell r="G6647" t="str">
            <v>Other</v>
          </cell>
          <cell r="H6647" t="str">
            <v>OTHER</v>
          </cell>
          <cell r="I6647" t="str">
            <v>Other - Currency</v>
          </cell>
        </row>
        <row r="6648">
          <cell r="A6648" t="str">
            <v>FMI_WRLD_JPY</v>
          </cell>
          <cell r="B6648" t="str">
            <v>Japan Yen</v>
          </cell>
          <cell r="C6648" t="str">
            <v>-BRS_GOLD_1:FMI_WRLD_JPY</v>
          </cell>
          <cell r="D6648" t="str">
            <v>BFRE Currency</v>
          </cell>
          <cell r="E6648" t="str">
            <v>Currency Return</v>
          </cell>
          <cell r="F6648" t="str">
            <v>Other</v>
          </cell>
          <cell r="G6648" t="str">
            <v>Other</v>
          </cell>
          <cell r="H6648" t="str">
            <v>OTHER</v>
          </cell>
          <cell r="I6648" t="str">
            <v>Other - Currency</v>
          </cell>
        </row>
        <row r="6649">
          <cell r="A6649" t="str">
            <v>FMI_WRLD_KES</v>
          </cell>
          <cell r="B6649" t="str">
            <v>Kenya Shilling</v>
          </cell>
          <cell r="C6649" t="str">
            <v>-BRS_GOLD_1:FMI_WRLD_KES</v>
          </cell>
          <cell r="D6649" t="str">
            <v>BFRE Currency</v>
          </cell>
          <cell r="E6649" t="str">
            <v>Currency Return</v>
          </cell>
          <cell r="F6649" t="str">
            <v>Other</v>
          </cell>
          <cell r="G6649" t="str">
            <v>Other</v>
          </cell>
          <cell r="H6649" t="str">
            <v>OTHER</v>
          </cell>
          <cell r="I6649" t="str">
            <v>Other - Currency</v>
          </cell>
        </row>
        <row r="6650">
          <cell r="A6650" t="str">
            <v>FMI_WRLD_KRW</v>
          </cell>
          <cell r="B6650" t="str">
            <v>South Korea Won</v>
          </cell>
          <cell r="C6650" t="str">
            <v>-BRS_GOLD_1:FMI_WRLD_KRW</v>
          </cell>
          <cell r="D6650" t="str">
            <v>BFRE Currency</v>
          </cell>
          <cell r="E6650" t="str">
            <v>Currency Return</v>
          </cell>
          <cell r="F6650" t="str">
            <v>Other</v>
          </cell>
          <cell r="G6650" t="str">
            <v>Other</v>
          </cell>
          <cell r="H6650" t="str">
            <v>OTHER</v>
          </cell>
          <cell r="I6650" t="str">
            <v>Other - Currency</v>
          </cell>
        </row>
        <row r="6651">
          <cell r="A6651" t="str">
            <v>FMI_WRLD_KWD</v>
          </cell>
          <cell r="B6651" t="str">
            <v>Kuwait Dinar</v>
          </cell>
          <cell r="C6651" t="str">
            <v>-BRS_GOLD_1:FMI_WRLD_KWD</v>
          </cell>
          <cell r="D6651" t="str">
            <v>BFRE Currency</v>
          </cell>
          <cell r="E6651" t="str">
            <v>Currency Return</v>
          </cell>
          <cell r="F6651" t="str">
            <v>Other</v>
          </cell>
          <cell r="G6651" t="str">
            <v>Other</v>
          </cell>
          <cell r="H6651" t="str">
            <v>OTHER</v>
          </cell>
          <cell r="I6651" t="str">
            <v>Other - Currency</v>
          </cell>
        </row>
        <row r="6652">
          <cell r="A6652" t="str">
            <v>FMI_WRLD_KZT</v>
          </cell>
          <cell r="B6652" t="str">
            <v>Kazakhstan Tenge</v>
          </cell>
          <cell r="C6652" t="str">
            <v>-BRS_GOLD_1:FMI_WRLD_KZT</v>
          </cell>
          <cell r="D6652" t="str">
            <v>BFRE Currency</v>
          </cell>
          <cell r="E6652" t="str">
            <v>Currency Return</v>
          </cell>
          <cell r="F6652" t="str">
            <v>Other</v>
          </cell>
          <cell r="G6652" t="str">
            <v>Other</v>
          </cell>
          <cell r="H6652" t="str">
            <v>OTHER</v>
          </cell>
          <cell r="I6652" t="str">
            <v>Other - Currency</v>
          </cell>
        </row>
        <row r="6653">
          <cell r="A6653" t="str">
            <v>FMI_WRLD_LKR</v>
          </cell>
          <cell r="B6653" t="str">
            <v>Sri Lanka Rupee</v>
          </cell>
          <cell r="C6653" t="str">
            <v>-BRS_GOLD_1:FMI_WRLD_LKR</v>
          </cell>
          <cell r="D6653" t="str">
            <v>BFRE Currency</v>
          </cell>
          <cell r="E6653" t="str">
            <v>Currency Return</v>
          </cell>
          <cell r="F6653" t="str">
            <v>Other</v>
          </cell>
          <cell r="G6653" t="str">
            <v>Other</v>
          </cell>
          <cell r="H6653" t="str">
            <v>OTHER</v>
          </cell>
          <cell r="I6653" t="str">
            <v>Other - Currency</v>
          </cell>
        </row>
        <row r="6654">
          <cell r="A6654" t="str">
            <v>FMI_WRLD_LTL</v>
          </cell>
          <cell r="B6654" t="str">
            <v>Lithuania Litas</v>
          </cell>
          <cell r="C6654" t="str">
            <v>-BRS_GOLD_1:FMI_WRLD_LTL</v>
          </cell>
          <cell r="D6654" t="str">
            <v>BFRE Currency</v>
          </cell>
          <cell r="E6654" t="str">
            <v>Currency Return</v>
          </cell>
          <cell r="F6654" t="str">
            <v>Other</v>
          </cell>
          <cell r="G6654" t="str">
            <v>Other</v>
          </cell>
          <cell r="H6654" t="str">
            <v>OTHER</v>
          </cell>
          <cell r="I6654" t="str">
            <v>Other - Currency</v>
          </cell>
        </row>
        <row r="6655">
          <cell r="A6655" t="str">
            <v>FMI_WRLD_LVL</v>
          </cell>
          <cell r="B6655" t="str">
            <v>Latvia Lats</v>
          </cell>
          <cell r="C6655" t="str">
            <v>-BRS_GOLD_1:FMI_WRLD_LVL</v>
          </cell>
          <cell r="D6655" t="str">
            <v>BFRE Currency</v>
          </cell>
          <cell r="E6655" t="str">
            <v>Currency Return</v>
          </cell>
          <cell r="F6655" t="str">
            <v>Other</v>
          </cell>
          <cell r="G6655" t="str">
            <v>Other</v>
          </cell>
          <cell r="H6655" t="str">
            <v>OTHER</v>
          </cell>
          <cell r="I6655" t="str">
            <v>Other - Currency</v>
          </cell>
        </row>
        <row r="6656">
          <cell r="A6656" t="str">
            <v>FMI_WRLD_MAD</v>
          </cell>
          <cell r="B6656" t="str">
            <v>Morocco Dirham</v>
          </cell>
          <cell r="C6656" t="str">
            <v>-BRS_GOLD_1:FMI_WRLD_MAD</v>
          </cell>
          <cell r="D6656" t="str">
            <v>BFRE Currency</v>
          </cell>
          <cell r="E6656" t="str">
            <v>Currency Return</v>
          </cell>
          <cell r="F6656" t="str">
            <v>Other</v>
          </cell>
          <cell r="G6656" t="str">
            <v>Other</v>
          </cell>
          <cell r="H6656" t="str">
            <v>OTHER</v>
          </cell>
          <cell r="I6656" t="str">
            <v>Other - Currency</v>
          </cell>
        </row>
        <row r="6657">
          <cell r="A6657" t="str">
            <v>FMI_WRLD_MUR</v>
          </cell>
          <cell r="B6657" t="str">
            <v>Mauritius Rupee</v>
          </cell>
          <cell r="C6657" t="str">
            <v>-BRS_GOLD_1:FMI_WRLD_MUR</v>
          </cell>
          <cell r="D6657" t="str">
            <v>BFRE Currency</v>
          </cell>
          <cell r="E6657" t="str">
            <v>Currency Return</v>
          </cell>
          <cell r="F6657" t="str">
            <v>Other</v>
          </cell>
          <cell r="G6657" t="str">
            <v>Other</v>
          </cell>
          <cell r="H6657" t="str">
            <v>OTHER</v>
          </cell>
          <cell r="I6657" t="str">
            <v>Other - Currency</v>
          </cell>
        </row>
        <row r="6658">
          <cell r="A6658" t="str">
            <v>FMI_WRLD_MXN</v>
          </cell>
          <cell r="B6658" t="str">
            <v>Mexico Peso</v>
          </cell>
          <cell r="C6658" t="str">
            <v>-BRS_GOLD_1:FMI_WRLD_MXN</v>
          </cell>
          <cell r="D6658" t="str">
            <v>BFRE Currency</v>
          </cell>
          <cell r="E6658" t="str">
            <v>Currency Return</v>
          </cell>
          <cell r="F6658" t="str">
            <v>Other</v>
          </cell>
          <cell r="G6658" t="str">
            <v>Other</v>
          </cell>
          <cell r="H6658" t="str">
            <v>OTHER</v>
          </cell>
          <cell r="I6658" t="str">
            <v>Other - Currency</v>
          </cell>
        </row>
        <row r="6659">
          <cell r="A6659" t="str">
            <v>FMI_WRLD_MYR</v>
          </cell>
          <cell r="B6659" t="str">
            <v>Malaysia Ringgit</v>
          </cell>
          <cell r="C6659" t="str">
            <v>-BRS_GOLD_1:FMI_WRLD_MYR</v>
          </cell>
          <cell r="D6659" t="str">
            <v>BFRE Currency</v>
          </cell>
          <cell r="E6659" t="str">
            <v>Currency Return</v>
          </cell>
          <cell r="F6659" t="str">
            <v>Other</v>
          </cell>
          <cell r="G6659" t="str">
            <v>Other</v>
          </cell>
          <cell r="H6659" t="str">
            <v>OTHER</v>
          </cell>
          <cell r="I6659" t="str">
            <v>Other - Currency</v>
          </cell>
        </row>
        <row r="6660">
          <cell r="A6660" t="str">
            <v>FMI_WRLD_NGN</v>
          </cell>
          <cell r="B6660" t="str">
            <v>Nigeria Naira</v>
          </cell>
          <cell r="C6660" t="str">
            <v>-BRS_GOLD_1:FMI_WRLD_NGN</v>
          </cell>
          <cell r="D6660" t="str">
            <v>BFRE Currency</v>
          </cell>
          <cell r="E6660" t="str">
            <v>Currency Return</v>
          </cell>
          <cell r="F6660" t="str">
            <v>Other</v>
          </cell>
          <cell r="G6660" t="str">
            <v>Other</v>
          </cell>
          <cell r="H6660" t="str">
            <v>OTHER</v>
          </cell>
          <cell r="I6660" t="str">
            <v>Other - Currency</v>
          </cell>
        </row>
        <row r="6661">
          <cell r="A6661" t="str">
            <v>FMI_WRLD_NOK</v>
          </cell>
          <cell r="B6661" t="str">
            <v>Norway Krone</v>
          </cell>
          <cell r="C6661" t="str">
            <v>-BRS_GOLD_1:FMI_WRLD_NOK</v>
          </cell>
          <cell r="D6661" t="str">
            <v>BFRE Currency</v>
          </cell>
          <cell r="E6661" t="str">
            <v>Currency Return</v>
          </cell>
          <cell r="F6661" t="str">
            <v>Other</v>
          </cell>
          <cell r="G6661" t="str">
            <v>Other</v>
          </cell>
          <cell r="H6661" t="str">
            <v>OTHER</v>
          </cell>
          <cell r="I6661" t="str">
            <v>Other - Currency</v>
          </cell>
        </row>
        <row r="6662">
          <cell r="A6662" t="str">
            <v>FMI_WRLD_NZD</v>
          </cell>
          <cell r="B6662" t="str">
            <v>New Zealand Dollar</v>
          </cell>
          <cell r="C6662" t="str">
            <v>-BRS_GOLD_1:FMI_WRLD_NZD</v>
          </cell>
          <cell r="D6662" t="str">
            <v>BFRE Currency</v>
          </cell>
          <cell r="E6662" t="str">
            <v>Currency Return</v>
          </cell>
          <cell r="F6662" t="str">
            <v>Other</v>
          </cell>
          <cell r="G6662" t="str">
            <v>Other</v>
          </cell>
          <cell r="H6662" t="str">
            <v>OTHER</v>
          </cell>
          <cell r="I6662" t="str">
            <v>Other - Currency</v>
          </cell>
        </row>
        <row r="6663">
          <cell r="A6663" t="str">
            <v>FMI_WRLD_OMR</v>
          </cell>
          <cell r="B6663" t="str">
            <v>Oman Rial</v>
          </cell>
          <cell r="C6663" t="str">
            <v>-BRS_GOLD_1:FMI_WRLD_OMR</v>
          </cell>
          <cell r="D6663" t="str">
            <v>BFRE Currency</v>
          </cell>
          <cell r="E6663" t="str">
            <v>Currency Return</v>
          </cell>
          <cell r="F6663" t="str">
            <v>Other</v>
          </cell>
          <cell r="G6663" t="str">
            <v>Other</v>
          </cell>
          <cell r="H6663" t="str">
            <v>OTHER</v>
          </cell>
          <cell r="I6663" t="str">
            <v>Other - Currency</v>
          </cell>
        </row>
        <row r="6664">
          <cell r="A6664" t="str">
            <v>FMI_WRLD_PEN</v>
          </cell>
          <cell r="B6664" t="str">
            <v>Peru Neuvo Sol</v>
          </cell>
          <cell r="C6664" t="str">
            <v>-BRS_GOLD_1:FMI_WRLD_PEN</v>
          </cell>
          <cell r="D6664" t="str">
            <v>BFRE Currency</v>
          </cell>
          <cell r="E6664" t="str">
            <v>Currency Return</v>
          </cell>
          <cell r="F6664" t="str">
            <v>Other</v>
          </cell>
          <cell r="G6664" t="str">
            <v>Other</v>
          </cell>
          <cell r="H6664" t="str">
            <v>OTHER</v>
          </cell>
          <cell r="I6664" t="str">
            <v>Other - Currency</v>
          </cell>
        </row>
        <row r="6665">
          <cell r="A6665" t="str">
            <v>FMI_WRLD_PHP</v>
          </cell>
          <cell r="B6665" t="str">
            <v>Philippines Peso</v>
          </cell>
          <cell r="C6665" t="str">
            <v>-BRS_GOLD_1:FMI_WRLD_PHP</v>
          </cell>
          <cell r="D6665" t="str">
            <v>BFRE Currency</v>
          </cell>
          <cell r="E6665" t="str">
            <v>Currency Return</v>
          </cell>
          <cell r="F6665" t="str">
            <v>Other</v>
          </cell>
          <cell r="G6665" t="str">
            <v>Other</v>
          </cell>
          <cell r="H6665" t="str">
            <v>OTHER</v>
          </cell>
          <cell r="I6665" t="str">
            <v>Other - Currency</v>
          </cell>
        </row>
        <row r="6666">
          <cell r="A6666" t="str">
            <v>FMI_WRLD_PKR</v>
          </cell>
          <cell r="B6666" t="str">
            <v>Pakistan Rupee</v>
          </cell>
          <cell r="C6666" t="str">
            <v>-BRS_GOLD_1:FMI_WRLD_PKR</v>
          </cell>
          <cell r="D6666" t="str">
            <v>BFRE Currency</v>
          </cell>
          <cell r="E6666" t="str">
            <v>Currency Return</v>
          </cell>
          <cell r="F6666" t="str">
            <v>Other</v>
          </cell>
          <cell r="G6666" t="str">
            <v>Other</v>
          </cell>
          <cell r="H6666" t="str">
            <v>OTHER</v>
          </cell>
          <cell r="I6666" t="str">
            <v>Other - Currency</v>
          </cell>
        </row>
        <row r="6667">
          <cell r="A6667" t="str">
            <v>FMI_WRLD_PLN</v>
          </cell>
          <cell r="B6667" t="str">
            <v>Poland Zloty</v>
          </cell>
          <cell r="C6667" t="str">
            <v>-BRS_GOLD_1:FMI_WRLD_PLN</v>
          </cell>
          <cell r="D6667" t="str">
            <v>BFRE Currency</v>
          </cell>
          <cell r="E6667" t="str">
            <v>Currency Return</v>
          </cell>
          <cell r="F6667" t="str">
            <v>Other</v>
          </cell>
          <cell r="G6667" t="str">
            <v>Other</v>
          </cell>
          <cell r="H6667" t="str">
            <v>OTHER</v>
          </cell>
          <cell r="I6667" t="str">
            <v>Other - Currency</v>
          </cell>
        </row>
        <row r="6668">
          <cell r="A6668" t="str">
            <v>FMI_WRLD_QAR</v>
          </cell>
          <cell r="B6668" t="str">
            <v>Qatar Rial</v>
          </cell>
          <cell r="C6668" t="str">
            <v>-BRS_GOLD_1:FMI_WRLD_QAR</v>
          </cell>
          <cell r="D6668" t="str">
            <v>BFRE Currency</v>
          </cell>
          <cell r="E6668" t="str">
            <v>Currency Return</v>
          </cell>
          <cell r="F6668" t="str">
            <v>Other</v>
          </cell>
          <cell r="G6668" t="str">
            <v>Other</v>
          </cell>
          <cell r="H6668" t="str">
            <v>OTHER</v>
          </cell>
          <cell r="I6668" t="str">
            <v>Other - Currency</v>
          </cell>
        </row>
        <row r="6669">
          <cell r="A6669" t="str">
            <v>FMI_WRLD_RON</v>
          </cell>
          <cell r="B6669" t="str">
            <v>Romania Leu (New)</v>
          </cell>
          <cell r="C6669" t="str">
            <v>-BRS_GOLD_1:FMI_WRLD_RON</v>
          </cell>
          <cell r="D6669" t="str">
            <v>BFRE Currency</v>
          </cell>
          <cell r="E6669" t="str">
            <v>Currency Return</v>
          </cell>
          <cell r="F6669" t="str">
            <v>Other</v>
          </cell>
          <cell r="G6669" t="str">
            <v>Other</v>
          </cell>
          <cell r="H6669" t="str">
            <v>OTHER</v>
          </cell>
          <cell r="I6669" t="str">
            <v>Other - Currency</v>
          </cell>
        </row>
        <row r="6670">
          <cell r="A6670" t="str">
            <v>FMI_WRLD_RSD</v>
          </cell>
          <cell r="B6670" t="str">
            <v>Republic Of Serbia Dinar</v>
          </cell>
          <cell r="C6670" t="str">
            <v>-BRS_GOLD_1:FMI_WRLD_RSD</v>
          </cell>
          <cell r="D6670" t="str">
            <v>BFRE Currency</v>
          </cell>
          <cell r="E6670" t="str">
            <v>Currency Return</v>
          </cell>
          <cell r="F6670" t="str">
            <v>Other</v>
          </cell>
          <cell r="G6670" t="str">
            <v>Other</v>
          </cell>
          <cell r="H6670" t="str">
            <v>OTHER</v>
          </cell>
          <cell r="I6670" t="str">
            <v>Other - Currency</v>
          </cell>
        </row>
        <row r="6671">
          <cell r="A6671" t="str">
            <v>FMI_WRLD_RUB</v>
          </cell>
          <cell r="B6671" t="str">
            <v>Russia Ruble</v>
          </cell>
          <cell r="C6671" t="str">
            <v>-BRS_GOLD_1:FMI_WRLD_RUB</v>
          </cell>
          <cell r="D6671" t="str">
            <v>BFRE Currency</v>
          </cell>
          <cell r="E6671" t="str">
            <v>Currency Return</v>
          </cell>
          <cell r="F6671" t="str">
            <v>Other</v>
          </cell>
          <cell r="G6671" t="str">
            <v>Other</v>
          </cell>
          <cell r="H6671" t="str">
            <v>OTHER</v>
          </cell>
          <cell r="I6671" t="str">
            <v>Other - Currency</v>
          </cell>
        </row>
        <row r="6672">
          <cell r="A6672" t="str">
            <v>FMI_WRLD_SAR</v>
          </cell>
          <cell r="B6672" t="str">
            <v>Saudi Arabia Riyal</v>
          </cell>
          <cell r="C6672" t="str">
            <v>-BRS_GOLD_1:FMI_WRLD_SAR</v>
          </cell>
          <cell r="D6672" t="str">
            <v>BFRE Currency</v>
          </cell>
          <cell r="E6672" t="str">
            <v>Currency Return</v>
          </cell>
          <cell r="F6672" t="str">
            <v>Other</v>
          </cell>
          <cell r="G6672" t="str">
            <v>Other</v>
          </cell>
          <cell r="H6672" t="str">
            <v>OTHER</v>
          </cell>
          <cell r="I6672" t="str">
            <v>Other - Currency</v>
          </cell>
        </row>
        <row r="6673">
          <cell r="A6673" t="str">
            <v>FMI_WRLD_SEK</v>
          </cell>
          <cell r="B6673" t="str">
            <v>Sweden Krona</v>
          </cell>
          <cell r="C6673" t="str">
            <v>-BRS_GOLD_1:FMI_WRLD_SEK</v>
          </cell>
          <cell r="D6673" t="str">
            <v>BFRE Currency</v>
          </cell>
          <cell r="E6673" t="str">
            <v>Currency Return</v>
          </cell>
          <cell r="F6673" t="str">
            <v>Other</v>
          </cell>
          <cell r="G6673" t="str">
            <v>Other</v>
          </cell>
          <cell r="H6673" t="str">
            <v>OTHER</v>
          </cell>
          <cell r="I6673" t="str">
            <v>Other - Currency</v>
          </cell>
        </row>
        <row r="6674">
          <cell r="A6674" t="str">
            <v>FMI_WRLD_SGD</v>
          </cell>
          <cell r="B6674" t="str">
            <v>Singapore Dollar</v>
          </cell>
          <cell r="C6674" t="str">
            <v>-BRS_GOLD_1:FMI_WRLD_SGD</v>
          </cell>
          <cell r="D6674" t="str">
            <v>BFRE Currency</v>
          </cell>
          <cell r="E6674" t="str">
            <v>Currency Return</v>
          </cell>
          <cell r="F6674" t="str">
            <v>Other</v>
          </cell>
          <cell r="G6674" t="str">
            <v>Other</v>
          </cell>
          <cell r="H6674" t="str">
            <v>OTHER</v>
          </cell>
          <cell r="I6674" t="str">
            <v>Other - Currency</v>
          </cell>
        </row>
        <row r="6675">
          <cell r="A6675" t="str">
            <v>FMI_WRLD_THB</v>
          </cell>
          <cell r="B6675" t="str">
            <v>Thailand Baht</v>
          </cell>
          <cell r="C6675" t="str">
            <v>-BRS_GOLD_1:FMI_WRLD_THB</v>
          </cell>
          <cell r="D6675" t="str">
            <v>BFRE Currency</v>
          </cell>
          <cell r="E6675" t="str">
            <v>Currency Return</v>
          </cell>
          <cell r="F6675" t="str">
            <v>Other</v>
          </cell>
          <cell r="G6675" t="str">
            <v>Other</v>
          </cell>
          <cell r="H6675" t="str">
            <v>OTHER</v>
          </cell>
          <cell r="I6675" t="str">
            <v>Other - Currency</v>
          </cell>
        </row>
        <row r="6676">
          <cell r="A6676" t="str">
            <v>FMI_WRLD_TND</v>
          </cell>
          <cell r="B6676" t="str">
            <v>Tunisia Dinar</v>
          </cell>
          <cell r="C6676" t="str">
            <v>-BRS_GOLD_1:FMI_WRLD_TND</v>
          </cell>
          <cell r="D6676" t="str">
            <v>BFRE Currency</v>
          </cell>
          <cell r="E6676" t="str">
            <v>Currency Return</v>
          </cell>
          <cell r="F6676" t="str">
            <v>Other</v>
          </cell>
          <cell r="G6676" t="str">
            <v>Other</v>
          </cell>
          <cell r="H6676" t="str">
            <v>OTHER</v>
          </cell>
          <cell r="I6676" t="str">
            <v>Other - Currency</v>
          </cell>
        </row>
        <row r="6677">
          <cell r="A6677" t="str">
            <v>FMI_WRLD_TRY</v>
          </cell>
          <cell r="B6677" t="str">
            <v>New Turkish Lira</v>
          </cell>
          <cell r="C6677" t="str">
            <v>-BRS_GOLD_1:FMI_WRLD_TRY</v>
          </cell>
          <cell r="D6677" t="str">
            <v>BFRE Currency</v>
          </cell>
          <cell r="E6677" t="str">
            <v>Currency Return</v>
          </cell>
          <cell r="F6677" t="str">
            <v>Other</v>
          </cell>
          <cell r="G6677" t="str">
            <v>Other</v>
          </cell>
          <cell r="H6677" t="str">
            <v>OTHER</v>
          </cell>
          <cell r="I6677" t="str">
            <v>Other - Currency</v>
          </cell>
        </row>
        <row r="6678">
          <cell r="A6678" t="str">
            <v>FMI_WRLD_TTD</v>
          </cell>
          <cell r="B6678" t="str">
            <v>Trinidad &amp; Tobago Dollar</v>
          </cell>
          <cell r="C6678" t="str">
            <v>-BRS_GOLD_1:FMI_WRLD_TTD</v>
          </cell>
          <cell r="D6678" t="str">
            <v>BFRE Currency</v>
          </cell>
          <cell r="E6678" t="str">
            <v>Currency Return</v>
          </cell>
          <cell r="F6678" t="str">
            <v>Other</v>
          </cell>
          <cell r="G6678" t="str">
            <v>Other</v>
          </cell>
          <cell r="H6678" t="str">
            <v>OTHER</v>
          </cell>
          <cell r="I6678" t="str">
            <v>Other - Currency</v>
          </cell>
        </row>
        <row r="6679">
          <cell r="A6679" t="str">
            <v>FMI_WRLD_TWD</v>
          </cell>
          <cell r="B6679" t="str">
            <v>Taiwan Dollar</v>
          </cell>
          <cell r="C6679" t="str">
            <v>-BRS_GOLD_1:FMI_WRLD_TWD</v>
          </cell>
          <cell r="D6679" t="str">
            <v>BFRE Currency</v>
          </cell>
          <cell r="E6679" t="str">
            <v>Currency Return</v>
          </cell>
          <cell r="F6679" t="str">
            <v>Other</v>
          </cell>
          <cell r="G6679" t="str">
            <v>Other</v>
          </cell>
          <cell r="H6679" t="str">
            <v>OTHER</v>
          </cell>
          <cell r="I6679" t="str">
            <v>Other - Currency</v>
          </cell>
        </row>
        <row r="6680">
          <cell r="A6680" t="str">
            <v>FMI_WRLD_UAH</v>
          </cell>
          <cell r="B6680" t="str">
            <v>Ukraine Hryvna</v>
          </cell>
          <cell r="C6680" t="str">
            <v>-BRS_GOLD_1:FMI_WRLD_UAH</v>
          </cell>
          <cell r="D6680" t="str">
            <v>BFRE Currency</v>
          </cell>
          <cell r="E6680" t="str">
            <v>Currency Return</v>
          </cell>
          <cell r="F6680" t="str">
            <v>Other</v>
          </cell>
          <cell r="G6680" t="str">
            <v>Other</v>
          </cell>
          <cell r="H6680" t="str">
            <v>OTHER</v>
          </cell>
          <cell r="I6680" t="str">
            <v>Other - Currency</v>
          </cell>
        </row>
        <row r="6681">
          <cell r="A6681" t="str">
            <v>FMI_WRLD_USD</v>
          </cell>
          <cell r="B6681" t="str">
            <v>United States Dollar</v>
          </cell>
          <cell r="C6681" t="str">
            <v>-BRS_GOLD_1:FMI_WRLD_USD</v>
          </cell>
          <cell r="D6681" t="str">
            <v>BFRE Currency</v>
          </cell>
          <cell r="E6681" t="str">
            <v>Currency Return</v>
          </cell>
          <cell r="F6681" t="str">
            <v>Other</v>
          </cell>
          <cell r="G6681" t="str">
            <v>Other</v>
          </cell>
          <cell r="H6681" t="str">
            <v>OTHER</v>
          </cell>
          <cell r="I6681" t="str">
            <v>Other - Currency</v>
          </cell>
        </row>
        <row r="6682">
          <cell r="A6682" t="str">
            <v>FMI_WRLD_VEF</v>
          </cell>
          <cell r="B6682" t="str">
            <v>Venezuela Bolivar Fuertes</v>
          </cell>
          <cell r="C6682" t="str">
            <v>-BRS_GOLD_1:FMI_WRLD_VEF</v>
          </cell>
          <cell r="D6682" t="str">
            <v>BFRE Currency</v>
          </cell>
          <cell r="E6682" t="str">
            <v>Currency Return</v>
          </cell>
          <cell r="F6682" t="str">
            <v>Other</v>
          </cell>
          <cell r="G6682" t="str">
            <v>Other</v>
          </cell>
          <cell r="H6682" t="str">
            <v>OTHER</v>
          </cell>
          <cell r="I6682" t="str">
            <v>Other - Currency</v>
          </cell>
        </row>
        <row r="6683">
          <cell r="A6683" t="str">
            <v>FMI_WRLD_VND</v>
          </cell>
          <cell r="B6683" t="str">
            <v>Vietnam Dong</v>
          </cell>
          <cell r="C6683" t="str">
            <v>-BRS_GOLD_1:FMI_WRLD_VND</v>
          </cell>
          <cell r="D6683" t="str">
            <v>BFRE Currency</v>
          </cell>
          <cell r="E6683" t="str">
            <v>Currency Return</v>
          </cell>
          <cell r="F6683" t="str">
            <v>Other</v>
          </cell>
          <cell r="G6683" t="str">
            <v>Other</v>
          </cell>
          <cell r="H6683" t="str">
            <v>OTHER</v>
          </cell>
          <cell r="I6683" t="str">
            <v>Other - Currency</v>
          </cell>
        </row>
        <row r="6684">
          <cell r="A6684" t="str">
            <v>FMI_WRLD_ZAR</v>
          </cell>
          <cell r="B6684" t="str">
            <v>South Africa Rand</v>
          </cell>
          <cell r="C6684" t="str">
            <v>-BRS_GOLD_1:FMI_WRLD_ZAR</v>
          </cell>
          <cell r="D6684" t="str">
            <v>BFRE Currency</v>
          </cell>
          <cell r="E6684" t="str">
            <v>Currency Return</v>
          </cell>
          <cell r="F6684" t="str">
            <v>Other</v>
          </cell>
          <cell r="G6684" t="str">
            <v>Other</v>
          </cell>
          <cell r="H6684" t="str">
            <v>OTHER</v>
          </cell>
          <cell r="I6684" t="str">
            <v>Other - Currency</v>
          </cell>
        </row>
        <row r="6685">
          <cell r="A6685" t="str">
            <v>FMI_WRLD_ZMK</v>
          </cell>
          <cell r="B6685" t="str">
            <v>Zambia Kwacha</v>
          </cell>
          <cell r="C6685" t="str">
            <v>-BRS_GOLD_1:FMI_WRLD_ZMK</v>
          </cell>
          <cell r="D6685" t="str">
            <v>BFRE Currency</v>
          </cell>
          <cell r="E6685" t="str">
            <v>Currency Return</v>
          </cell>
          <cell r="F6685" t="str">
            <v>Other</v>
          </cell>
          <cell r="G6685" t="str">
            <v>Other</v>
          </cell>
          <cell r="H6685" t="str">
            <v>OTHER</v>
          </cell>
          <cell r="I6685" t="str">
            <v>Other - Currency</v>
          </cell>
        </row>
        <row r="6686">
          <cell r="A6686" t="str">
            <v>FOEEGAE</v>
          </cell>
          <cell r="B6686" t="str">
            <v>FTSE  Dev Asia Residential</v>
          </cell>
          <cell r="C6686" t="str">
            <v>-BRS_GOLD_1:FOEEGAE</v>
          </cell>
          <cell r="D6686" t="str">
            <v>Index</v>
          </cell>
          <cell r="E6686" t="str">
            <v>Index Level</v>
          </cell>
          <cell r="F6686" t="str">
            <v>Other</v>
          </cell>
          <cell r="G6686" t="str">
            <v>Other</v>
          </cell>
          <cell r="H6686" t="str">
            <v>OTHER</v>
          </cell>
          <cell r="I6686" t="str">
            <v>Other - Index</v>
          </cell>
        </row>
        <row r="6687">
          <cell r="A6687" t="str">
            <v>FOEEGAF</v>
          </cell>
          <cell r="B6687" t="str">
            <v>FTSE Dev Asia Office</v>
          </cell>
          <cell r="C6687" t="str">
            <v>-BRS_GOLD_1:FOEEGAF</v>
          </cell>
          <cell r="D6687" t="str">
            <v>Index</v>
          </cell>
          <cell r="E6687" t="str">
            <v>Index Level</v>
          </cell>
          <cell r="F6687" t="str">
            <v>Other</v>
          </cell>
          <cell r="G6687" t="str">
            <v>Other</v>
          </cell>
          <cell r="H6687" t="str">
            <v>OTHER</v>
          </cell>
          <cell r="I6687" t="str">
            <v>Other - Index</v>
          </cell>
        </row>
        <row r="6688">
          <cell r="A6688" t="str">
            <v>FOEEGAI</v>
          </cell>
          <cell r="B6688" t="str">
            <v>FTSE Dev Asia Ind</v>
          </cell>
          <cell r="C6688" t="str">
            <v>-BRS_GOLD_1:FOEEGAI</v>
          </cell>
          <cell r="D6688" t="str">
            <v>Index</v>
          </cell>
          <cell r="E6688" t="str">
            <v>Index Level</v>
          </cell>
          <cell r="F6688" t="str">
            <v>Other</v>
          </cell>
          <cell r="G6688" t="str">
            <v>Other</v>
          </cell>
          <cell r="H6688" t="str">
            <v>OTHER</v>
          </cell>
          <cell r="I6688" t="str">
            <v>Other - Index</v>
          </cell>
        </row>
        <row r="6689">
          <cell r="A6689" t="str">
            <v>FOEEGAL</v>
          </cell>
          <cell r="B6689" t="str">
            <v>FTSE Dev Asia Lodging/Resorts</v>
          </cell>
          <cell r="C6689" t="str">
            <v>-BRS_GOLD_1:FOEEGAL</v>
          </cell>
          <cell r="D6689" t="str">
            <v>Index</v>
          </cell>
          <cell r="E6689" t="str">
            <v>Index Level</v>
          </cell>
          <cell r="F6689" t="str">
            <v>Other</v>
          </cell>
          <cell r="G6689" t="str">
            <v>Other</v>
          </cell>
          <cell r="H6689" t="str">
            <v>OTHER</v>
          </cell>
          <cell r="I6689" t="str">
            <v>Other - Index</v>
          </cell>
        </row>
        <row r="6690">
          <cell r="A6690" t="str">
            <v>FOEEGAT</v>
          </cell>
          <cell r="B6690" t="str">
            <v>FTSE  Dev Asia Retail</v>
          </cell>
          <cell r="C6690" t="str">
            <v>-BRS_GOLD_1:FOEEGAT</v>
          </cell>
          <cell r="D6690" t="str">
            <v>Index</v>
          </cell>
          <cell r="E6690" t="str">
            <v>Index Level</v>
          </cell>
          <cell r="F6690" t="str">
            <v>Other</v>
          </cell>
          <cell r="G6690" t="str">
            <v>Other</v>
          </cell>
          <cell r="H6690" t="str">
            <v>OTHER</v>
          </cell>
          <cell r="I6690" t="str">
            <v>Other - Index</v>
          </cell>
        </row>
        <row r="6691">
          <cell r="A6691" t="str">
            <v>FOEENGE</v>
          </cell>
          <cell r="B6691" t="str">
            <v>FTSE  Dev Healthcare</v>
          </cell>
          <cell r="C6691" t="str">
            <v>-BRS_GOLD_1:FOEENGE</v>
          </cell>
          <cell r="D6691" t="str">
            <v>Index</v>
          </cell>
          <cell r="E6691" t="str">
            <v>Index Level</v>
          </cell>
          <cell r="F6691" t="str">
            <v>Other</v>
          </cell>
          <cell r="G6691" t="str">
            <v>Other</v>
          </cell>
          <cell r="H6691" t="str">
            <v>OTHER</v>
          </cell>
          <cell r="I6691" t="str">
            <v>Other - Index</v>
          </cell>
        </row>
        <row r="6692">
          <cell r="A6692" t="str">
            <v>FOEEPRE</v>
          </cell>
          <cell r="B6692" t="str">
            <v>FTSE  Dev Europe Residential</v>
          </cell>
          <cell r="C6692" t="str">
            <v>-BRS_GOLD_1:FOEEPRE</v>
          </cell>
          <cell r="D6692" t="str">
            <v>Index</v>
          </cell>
          <cell r="E6692" t="str">
            <v>Index Level</v>
          </cell>
          <cell r="F6692" t="str">
            <v>Other</v>
          </cell>
          <cell r="G6692" t="str">
            <v>Other</v>
          </cell>
          <cell r="H6692" t="str">
            <v>OTHER</v>
          </cell>
          <cell r="I6692" t="str">
            <v>Other - Index</v>
          </cell>
        </row>
        <row r="6693">
          <cell r="A6693" t="str">
            <v>FOEEPRF</v>
          </cell>
          <cell r="B6693" t="str">
            <v>FTSE  Dev Europe Office</v>
          </cell>
          <cell r="C6693" t="str">
            <v>-BRS_GOLD_1:FOEEPRF</v>
          </cell>
          <cell r="D6693" t="str">
            <v>Index</v>
          </cell>
          <cell r="E6693" t="str">
            <v>Index Level</v>
          </cell>
          <cell r="F6693" t="str">
            <v>Other</v>
          </cell>
          <cell r="G6693" t="str">
            <v>Other</v>
          </cell>
          <cell r="H6693" t="str">
            <v>OTHER</v>
          </cell>
          <cell r="I6693" t="str">
            <v>Other - Index</v>
          </cell>
        </row>
        <row r="6694">
          <cell r="A6694" t="str">
            <v>FOEEPRH</v>
          </cell>
          <cell r="B6694" t="str">
            <v>FTSE  Dev Europe Healthcare</v>
          </cell>
          <cell r="C6694" t="str">
            <v>-BRS_GOLD_1:FOEEPRH</v>
          </cell>
          <cell r="D6694" t="str">
            <v>Index</v>
          </cell>
          <cell r="E6694" t="str">
            <v>Index Level</v>
          </cell>
          <cell r="F6694" t="str">
            <v>Other</v>
          </cell>
          <cell r="G6694" t="str">
            <v>Other</v>
          </cell>
          <cell r="H6694" t="str">
            <v>OTHER</v>
          </cell>
          <cell r="I6694" t="str">
            <v>Other - Index</v>
          </cell>
        </row>
        <row r="6695">
          <cell r="A6695" t="str">
            <v>FOEEPRI</v>
          </cell>
          <cell r="B6695" t="str">
            <v>FTSE  Dev Europe Industrial</v>
          </cell>
          <cell r="C6695" t="str">
            <v>-BRS_GOLD_1:FOEEPRI</v>
          </cell>
          <cell r="D6695" t="str">
            <v>Index</v>
          </cell>
          <cell r="E6695" t="str">
            <v>Index Level</v>
          </cell>
          <cell r="F6695" t="str">
            <v>Other</v>
          </cell>
          <cell r="G6695" t="str">
            <v>Other</v>
          </cell>
          <cell r="H6695" t="str">
            <v>OTHER</v>
          </cell>
          <cell r="I6695" t="str">
            <v>Other - Index</v>
          </cell>
        </row>
        <row r="6696">
          <cell r="A6696" t="str">
            <v>FOEEPRS</v>
          </cell>
          <cell r="B6696" t="str">
            <v>FTSE  Dev Europe Self Storage</v>
          </cell>
          <cell r="C6696" t="str">
            <v>-BRS_GOLD_1:FOEEPRS</v>
          </cell>
          <cell r="D6696" t="str">
            <v>Index</v>
          </cell>
          <cell r="E6696" t="str">
            <v>Index Level</v>
          </cell>
          <cell r="F6696" t="str">
            <v>Other</v>
          </cell>
          <cell r="G6696" t="str">
            <v>Other</v>
          </cell>
          <cell r="H6696" t="str">
            <v>OTHER</v>
          </cell>
          <cell r="I6696" t="str">
            <v>Other - Index</v>
          </cell>
        </row>
        <row r="6697">
          <cell r="A6697" t="str">
            <v>FOEEPRT</v>
          </cell>
          <cell r="B6697" t="str">
            <v>FTSE  Dev Europe Retail</v>
          </cell>
          <cell r="C6697" t="str">
            <v>-BRS_GOLD_1:FOEEPRT</v>
          </cell>
          <cell r="D6697" t="str">
            <v>Index</v>
          </cell>
          <cell r="E6697" t="str">
            <v>Index Level</v>
          </cell>
          <cell r="F6697" t="str">
            <v>Other</v>
          </cell>
          <cell r="G6697" t="str">
            <v>Other</v>
          </cell>
          <cell r="H6697" t="str">
            <v>OTHER</v>
          </cell>
          <cell r="I6697" t="str">
            <v>Other - Index</v>
          </cell>
        </row>
        <row r="6698">
          <cell r="A6698" t="str">
            <v>FRRE</v>
          </cell>
          <cell r="B6698" t="str">
            <v>France RE Public</v>
          </cell>
          <cell r="C6698" t="str">
            <v>-BRS_GOLD_1:FRRE</v>
          </cell>
          <cell r="D6698" t="str">
            <v>Index</v>
          </cell>
          <cell r="E6698" t="str">
            <v>Index Level</v>
          </cell>
          <cell r="F6698" t="str">
            <v>Other</v>
          </cell>
          <cell r="G6698" t="str">
            <v>Other</v>
          </cell>
          <cell r="H6698" t="str">
            <v>OTHER</v>
          </cell>
          <cell r="I6698" t="str">
            <v>Other - Index</v>
          </cell>
        </row>
        <row r="6699">
          <cell r="A6699" t="str">
            <v>FTENCCANG</v>
          </cell>
          <cell r="B6699" t="str">
            <v>FTSE Canada Price Ret</v>
          </cell>
          <cell r="C6699" t="str">
            <v>-BRS_GOLD_1:FTENCCANG</v>
          </cell>
          <cell r="D6699" t="str">
            <v>Index</v>
          </cell>
          <cell r="E6699" t="str">
            <v>Index Level</v>
          </cell>
          <cell r="F6699" t="str">
            <v>Other</v>
          </cell>
          <cell r="G6699" t="str">
            <v>Other</v>
          </cell>
          <cell r="H6699" t="str">
            <v>OTHER</v>
          </cell>
          <cell r="I6699" t="str">
            <v>Other - Index</v>
          </cell>
        </row>
        <row r="6700">
          <cell r="A6700" t="str">
            <v>FTENSINLP</v>
          </cell>
          <cell r="B6700" t="str">
            <v>FTSE Singapore Index(loc)</v>
          </cell>
          <cell r="C6700" t="str">
            <v>-BRS_GOLD_1:FTENSINLP</v>
          </cell>
          <cell r="D6700" t="str">
            <v>Index</v>
          </cell>
          <cell r="E6700" t="str">
            <v>Index Level</v>
          </cell>
          <cell r="F6700" t="str">
            <v>Other</v>
          </cell>
          <cell r="G6700" t="str">
            <v>Other</v>
          </cell>
          <cell r="H6700" t="str">
            <v>OTHER</v>
          </cell>
          <cell r="I6700" t="str">
            <v>Other - Index</v>
          </cell>
        </row>
        <row r="6701">
          <cell r="A6701" t="str">
            <v>FTENSWELP</v>
          </cell>
          <cell r="B6701" t="str">
            <v>FTSE Sweden Index(loc)</v>
          </cell>
          <cell r="C6701" t="str">
            <v>-BRS_GOLD_1:FTENSWELP</v>
          </cell>
          <cell r="D6701" t="str">
            <v>Index</v>
          </cell>
          <cell r="E6701" t="str">
            <v>Index Level</v>
          </cell>
          <cell r="F6701" t="str">
            <v>Other</v>
          </cell>
          <cell r="G6701" t="str">
            <v>Other</v>
          </cell>
          <cell r="H6701" t="str">
            <v>OTHER</v>
          </cell>
          <cell r="I6701" t="str">
            <v>Other - Index</v>
          </cell>
        </row>
        <row r="6702">
          <cell r="A6702" t="str">
            <v>FTENSWILP</v>
          </cell>
          <cell r="B6702" t="str">
            <v>FTSE Switzerland Index(loc)</v>
          </cell>
          <cell r="C6702" t="str">
            <v>-BRS_GOLD_1:FTENSWILP</v>
          </cell>
          <cell r="D6702" t="str">
            <v>Index</v>
          </cell>
          <cell r="E6702" t="str">
            <v>Index Level</v>
          </cell>
          <cell r="F6702" t="str">
            <v>Other</v>
          </cell>
          <cell r="G6702" t="str">
            <v>Other</v>
          </cell>
          <cell r="H6702" t="str">
            <v>OTHER</v>
          </cell>
          <cell r="I6702" t="str">
            <v>Other - Index</v>
          </cell>
        </row>
        <row r="6703">
          <cell r="A6703" t="str">
            <v>FTFN11HP</v>
          </cell>
          <cell r="B6703" t="str">
            <v>FTSE Equity Health Care Idx</v>
          </cell>
          <cell r="C6703" t="str">
            <v>-BRS_GOLD_1:FTFN11HP</v>
          </cell>
          <cell r="D6703" t="str">
            <v>Index</v>
          </cell>
          <cell r="E6703" t="str">
            <v>Index Level</v>
          </cell>
          <cell r="F6703" t="str">
            <v>Other</v>
          </cell>
          <cell r="G6703" t="str">
            <v>Other</v>
          </cell>
          <cell r="H6703" t="str">
            <v>OTHER</v>
          </cell>
          <cell r="I6703" t="str">
            <v>Other - Index</v>
          </cell>
        </row>
        <row r="6704">
          <cell r="A6704" t="str">
            <v>FTFN12HP</v>
          </cell>
          <cell r="B6704" t="str">
            <v>FTSE Equity Self Storage Idx</v>
          </cell>
          <cell r="C6704" t="str">
            <v>-BRS_GOLD_1:FTFN12HP</v>
          </cell>
          <cell r="D6704" t="str">
            <v>Index</v>
          </cell>
          <cell r="E6704" t="str">
            <v>Index Level</v>
          </cell>
          <cell r="F6704" t="str">
            <v>Other</v>
          </cell>
          <cell r="G6704" t="str">
            <v>Other</v>
          </cell>
          <cell r="H6704" t="str">
            <v>OTHER</v>
          </cell>
          <cell r="I6704" t="str">
            <v>Other - Index</v>
          </cell>
        </row>
        <row r="6705">
          <cell r="A6705" t="str">
            <v>FTFN24HP</v>
          </cell>
          <cell r="B6705" t="str">
            <v>FTSE Eq Lodging/Resorts Idx</v>
          </cell>
          <cell r="C6705" t="str">
            <v>-BRS_GOLD_1:FTFN24HP</v>
          </cell>
          <cell r="D6705" t="str">
            <v>Index</v>
          </cell>
          <cell r="E6705" t="str">
            <v>Index Level</v>
          </cell>
          <cell r="F6705" t="str">
            <v>Other</v>
          </cell>
          <cell r="G6705" t="str">
            <v>Other</v>
          </cell>
          <cell r="H6705" t="str">
            <v>OTHER</v>
          </cell>
          <cell r="I6705" t="str">
            <v>Other - Index</v>
          </cell>
        </row>
        <row r="6706">
          <cell r="A6706" t="str">
            <v>FTNEINDP</v>
          </cell>
          <cell r="B6706" t="str">
            <v>FTSE  Eq Industr Idx Price Ret</v>
          </cell>
          <cell r="C6706" t="str">
            <v>-BRS_GOLD_1:FTNEINDP</v>
          </cell>
          <cell r="D6706" t="str">
            <v>Index</v>
          </cell>
          <cell r="E6706" t="str">
            <v>Index Level</v>
          </cell>
          <cell r="F6706" t="str">
            <v>Other</v>
          </cell>
          <cell r="G6706" t="str">
            <v>Other</v>
          </cell>
          <cell r="H6706" t="str">
            <v>OTHER</v>
          </cell>
          <cell r="I6706" t="str">
            <v>Other - Index</v>
          </cell>
        </row>
        <row r="6707">
          <cell r="A6707" t="str">
            <v>FTNEOFFP</v>
          </cell>
          <cell r="B6707" t="str">
            <v>FTSE  Eq Office Idx Price Ret</v>
          </cell>
          <cell r="C6707" t="str">
            <v>-BRS_GOLD_1:FTNEOFFP</v>
          </cell>
          <cell r="D6707" t="str">
            <v>Index</v>
          </cell>
          <cell r="E6707" t="str">
            <v>Index Level</v>
          </cell>
          <cell r="F6707" t="str">
            <v>Other</v>
          </cell>
          <cell r="G6707" t="str">
            <v>Other</v>
          </cell>
          <cell r="H6707" t="str">
            <v>OTHER</v>
          </cell>
          <cell r="I6707" t="str">
            <v>Other - Index</v>
          </cell>
        </row>
        <row r="6708">
          <cell r="A6708" t="str">
            <v>FTSEAPRHP</v>
          </cell>
          <cell r="B6708" t="str">
            <v>FTSE Equity REITS Price Ret</v>
          </cell>
          <cell r="C6708" t="str">
            <v>-BRS_GOLD_1:FTSEAPRHP</v>
          </cell>
          <cell r="D6708" t="str">
            <v>Index</v>
          </cell>
          <cell r="E6708" t="str">
            <v>Index Level</v>
          </cell>
          <cell r="F6708" t="str">
            <v>Other</v>
          </cell>
          <cell r="G6708" t="str">
            <v>Other</v>
          </cell>
          <cell r="H6708" t="str">
            <v>OTHER</v>
          </cell>
          <cell r="I6708" t="str">
            <v>Other - Index</v>
          </cell>
        </row>
        <row r="6709">
          <cell r="A6709" t="str">
            <v>FTSEAUDHP</v>
          </cell>
          <cell r="B6709" t="str">
            <v>FTSE Australia Price Ret</v>
          </cell>
          <cell r="C6709" t="str">
            <v>-BRS_GOLD_1:FTSEAUDHP</v>
          </cell>
          <cell r="D6709" t="str">
            <v>Index</v>
          </cell>
          <cell r="E6709" t="str">
            <v>Index Level</v>
          </cell>
          <cell r="F6709" t="str">
            <v>Other</v>
          </cell>
          <cell r="G6709" t="str">
            <v>Other</v>
          </cell>
          <cell r="H6709" t="str">
            <v>OTHER</v>
          </cell>
          <cell r="I6709" t="str">
            <v>Other - Index</v>
          </cell>
        </row>
        <row r="6710">
          <cell r="A6710" t="str">
            <v>FTSECHAHP</v>
          </cell>
          <cell r="B6710" t="str">
            <v>FTSE Switzerland Price Ret</v>
          </cell>
          <cell r="C6710" t="str">
            <v>-BRS_GOLD_1:FTSECHAHP</v>
          </cell>
          <cell r="D6710" t="str">
            <v>Index</v>
          </cell>
          <cell r="E6710" t="str">
            <v>Index Level</v>
          </cell>
          <cell r="F6710" t="str">
            <v>Other</v>
          </cell>
          <cell r="G6710" t="str">
            <v>Other</v>
          </cell>
          <cell r="H6710" t="str">
            <v>OTHER</v>
          </cell>
          <cell r="I6710" t="str">
            <v>Other - Index</v>
          </cell>
        </row>
        <row r="6711">
          <cell r="A6711" t="str">
            <v>FTSEDPUHP</v>
          </cell>
          <cell r="B6711" t="str">
            <v>FTSE  Eq Industrial Price Ret</v>
          </cell>
          <cell r="C6711" t="str">
            <v>-BRS_GOLD_1:FTSEDPUHP</v>
          </cell>
          <cell r="D6711" t="str">
            <v>Index</v>
          </cell>
          <cell r="E6711" t="str">
            <v>Index Level</v>
          </cell>
          <cell r="F6711" t="str">
            <v>Other</v>
          </cell>
          <cell r="G6711" t="str">
            <v>Other</v>
          </cell>
          <cell r="H6711" t="str">
            <v>OTHER</v>
          </cell>
          <cell r="I6711" t="str">
            <v>Other - Index</v>
          </cell>
        </row>
        <row r="6712">
          <cell r="A6712" t="str">
            <v>FTSEEUAHP</v>
          </cell>
          <cell r="B6712" t="str">
            <v>FTSE  Europe Price Ret</v>
          </cell>
          <cell r="C6712" t="str">
            <v>-BRS_GOLD_1:FTSEEUAHP</v>
          </cell>
          <cell r="D6712" t="str">
            <v>Index</v>
          </cell>
          <cell r="E6712" t="str">
            <v>Index Level</v>
          </cell>
          <cell r="F6712" t="str">
            <v>Other</v>
          </cell>
          <cell r="G6712" t="str">
            <v>Other</v>
          </cell>
          <cell r="H6712" t="str">
            <v>OTHER</v>
          </cell>
          <cell r="I6712" t="str">
            <v>Other - Index</v>
          </cell>
        </row>
        <row r="6713">
          <cell r="A6713" t="str">
            <v>FTSEEUCHP</v>
          </cell>
          <cell r="B6713" t="str">
            <v>FTSE France Price Ret</v>
          </cell>
          <cell r="C6713" t="str">
            <v>-BRS_GOLD_1:FTSEEUCHP</v>
          </cell>
          <cell r="D6713" t="str">
            <v>Index</v>
          </cell>
          <cell r="E6713" t="str">
            <v>Index Level</v>
          </cell>
          <cell r="F6713" t="str">
            <v>Other</v>
          </cell>
          <cell r="G6713" t="str">
            <v>Other</v>
          </cell>
          <cell r="H6713" t="str">
            <v>OTHER</v>
          </cell>
          <cell r="I6713" t="str">
            <v>Other - Index</v>
          </cell>
        </row>
        <row r="6714">
          <cell r="A6714" t="str">
            <v>FTSEEUDHP</v>
          </cell>
          <cell r="B6714" t="str">
            <v>FTSE Germany Price Ret</v>
          </cell>
          <cell r="C6714" t="str">
            <v>-BRS_GOLD_1:FTSEEUDHP</v>
          </cell>
          <cell r="D6714" t="str">
            <v>Index</v>
          </cell>
          <cell r="E6714" t="str">
            <v>Index Level</v>
          </cell>
          <cell r="F6714" t="str">
            <v>Other</v>
          </cell>
          <cell r="G6714" t="str">
            <v>Other</v>
          </cell>
          <cell r="H6714" t="str">
            <v>OTHER</v>
          </cell>
          <cell r="I6714" t="str">
            <v>Other - Index</v>
          </cell>
        </row>
        <row r="6715">
          <cell r="A6715" t="str">
            <v>FTSEEUEHP</v>
          </cell>
          <cell r="B6715" t="str">
            <v>FTSE Netherlands Price Ret</v>
          </cell>
          <cell r="C6715" t="str">
            <v>-BRS_GOLD_1:FTSEEUEHP</v>
          </cell>
          <cell r="D6715" t="str">
            <v>Index</v>
          </cell>
          <cell r="E6715" t="str">
            <v>Index Level</v>
          </cell>
          <cell r="F6715" t="str">
            <v>Other</v>
          </cell>
          <cell r="G6715" t="str">
            <v>Other</v>
          </cell>
          <cell r="H6715" t="str">
            <v>OTHER</v>
          </cell>
          <cell r="I6715" t="str">
            <v>Other - Index</v>
          </cell>
        </row>
        <row r="6716">
          <cell r="A6716" t="str">
            <v>FTSEFPUHP</v>
          </cell>
          <cell r="B6716" t="str">
            <v>FTSE  Eq Office Price Ret</v>
          </cell>
          <cell r="C6716" t="str">
            <v>-BRS_GOLD_1:FTSEFPUHP</v>
          </cell>
          <cell r="D6716" t="str">
            <v>Index</v>
          </cell>
          <cell r="E6716" t="str">
            <v>Index Level</v>
          </cell>
          <cell r="F6716" t="str">
            <v>Other</v>
          </cell>
          <cell r="G6716" t="str">
            <v>Other</v>
          </cell>
          <cell r="H6716" t="str">
            <v>OTHER</v>
          </cell>
          <cell r="I6716" t="str">
            <v>Other - Index</v>
          </cell>
        </row>
        <row r="6717">
          <cell r="A6717" t="str">
            <v>FTSEGBAHP</v>
          </cell>
          <cell r="B6717" t="str">
            <v>FTSE UK Price Ret</v>
          </cell>
          <cell r="C6717" t="str">
            <v>-BRS_GOLD_1:FTSEGBAHP</v>
          </cell>
          <cell r="D6717" t="str">
            <v>Index</v>
          </cell>
          <cell r="E6717" t="str">
            <v>Index Level</v>
          </cell>
          <cell r="F6717" t="str">
            <v>Other</v>
          </cell>
          <cell r="G6717" t="str">
            <v>Other</v>
          </cell>
          <cell r="H6717" t="str">
            <v>OTHER</v>
          </cell>
          <cell r="I6717" t="str">
            <v>Other - Index</v>
          </cell>
        </row>
        <row r="6718">
          <cell r="A6718" t="str">
            <v>FTSEGHUHP</v>
          </cell>
          <cell r="B6718" t="str">
            <v>FTSE  Eq Apartments Price Ret</v>
          </cell>
          <cell r="C6718" t="str">
            <v>-BRS_GOLD_1:FTSEGHUHP</v>
          </cell>
          <cell r="D6718" t="str">
            <v>Index</v>
          </cell>
          <cell r="E6718" t="str">
            <v>Index Level</v>
          </cell>
          <cell r="F6718" t="str">
            <v>Other</v>
          </cell>
          <cell r="G6718" t="str">
            <v>Other</v>
          </cell>
          <cell r="H6718" t="str">
            <v>OTHER</v>
          </cell>
          <cell r="I6718" t="str">
            <v>Other - Index</v>
          </cell>
        </row>
        <row r="6719">
          <cell r="A6719" t="str">
            <v>FTSEHUSHP</v>
          </cell>
          <cell r="B6719" t="str">
            <v>FTSE  Eq Retail Price Ret</v>
          </cell>
          <cell r="C6719" t="str">
            <v>-BRS_GOLD_1:FTSEHUSHP</v>
          </cell>
          <cell r="D6719" t="str">
            <v>Index</v>
          </cell>
          <cell r="E6719" t="str">
            <v>Index Level</v>
          </cell>
          <cell r="F6719" t="str">
            <v>Other</v>
          </cell>
          <cell r="G6719" t="str">
            <v>Other</v>
          </cell>
          <cell r="H6719" t="str">
            <v>OTHER</v>
          </cell>
          <cell r="I6719" t="str">
            <v>Other - Index</v>
          </cell>
        </row>
        <row r="6720">
          <cell r="A6720" t="str">
            <v>FTSEJPAHP</v>
          </cell>
          <cell r="B6720" t="str">
            <v>FTSE Japan Price Ret</v>
          </cell>
          <cell r="C6720" t="str">
            <v>-BRS_GOLD_1:FTSEJPAHP</v>
          </cell>
          <cell r="D6720" t="str">
            <v>Index</v>
          </cell>
          <cell r="E6720" t="str">
            <v>Index Level</v>
          </cell>
          <cell r="F6720" t="str">
            <v>Other</v>
          </cell>
          <cell r="G6720" t="str">
            <v>Other</v>
          </cell>
          <cell r="H6720" t="str">
            <v>OTHER</v>
          </cell>
          <cell r="I6720" t="str">
            <v>Other - Index</v>
          </cell>
        </row>
        <row r="6721">
          <cell r="A6721" t="str">
            <v>FTSESGAHP</v>
          </cell>
          <cell r="B6721" t="str">
            <v>FTSE Singapore Price Ret</v>
          </cell>
          <cell r="C6721" t="str">
            <v>-BRS_GOLD_1:FTSESGAHP</v>
          </cell>
          <cell r="D6721" t="str">
            <v>Index</v>
          </cell>
          <cell r="E6721" t="str">
            <v>Index Level</v>
          </cell>
          <cell r="F6721" t="str">
            <v>Other</v>
          </cell>
          <cell r="G6721" t="str">
            <v>Other</v>
          </cell>
          <cell r="H6721" t="str">
            <v>OTHER</v>
          </cell>
          <cell r="I6721" t="str">
            <v>Other - Index</v>
          </cell>
        </row>
        <row r="6722">
          <cell r="A6722" t="str">
            <v>FTSESKAHP</v>
          </cell>
          <cell r="B6722" t="str">
            <v>FTSE Sweden Price Ret</v>
          </cell>
          <cell r="C6722" t="str">
            <v>-BRS_GOLD_1:FTSESKAHP</v>
          </cell>
          <cell r="D6722" t="str">
            <v>Index</v>
          </cell>
          <cell r="E6722" t="str">
            <v>Index Level</v>
          </cell>
          <cell r="F6722" t="str">
            <v>Other</v>
          </cell>
          <cell r="G6722" t="str">
            <v>Other</v>
          </cell>
          <cell r="H6722" t="str">
            <v>OTHER</v>
          </cell>
          <cell r="I6722" t="str">
            <v>Other - Index</v>
          </cell>
        </row>
        <row r="6723">
          <cell r="A6723" t="str">
            <v>FTSEUSAHP</v>
          </cell>
          <cell r="B6723" t="str">
            <v>FTSE United States Price Ret</v>
          </cell>
          <cell r="C6723" t="str">
            <v>-BRS_GOLD_1:FTSEUSAHP</v>
          </cell>
          <cell r="D6723" t="str">
            <v>Index</v>
          </cell>
          <cell r="E6723" t="str">
            <v>Index Level</v>
          </cell>
          <cell r="F6723" t="str">
            <v>Other</v>
          </cell>
          <cell r="G6723" t="str">
            <v>Other</v>
          </cell>
          <cell r="H6723" t="str">
            <v>OTHER</v>
          </cell>
          <cell r="I6723" t="str">
            <v>Other - Index</v>
          </cell>
        </row>
        <row r="6724">
          <cell r="A6724" t="str">
            <v>FTSEUSBHP</v>
          </cell>
          <cell r="B6724" t="str">
            <v>FTSE Canada Price Ret</v>
          </cell>
          <cell r="C6724" t="str">
            <v>-BRS_GOLD_1:FTSEUSBHP</v>
          </cell>
          <cell r="D6724" t="str">
            <v>Index</v>
          </cell>
          <cell r="E6724" t="str">
            <v>Index Level</v>
          </cell>
          <cell r="F6724" t="str">
            <v>Other</v>
          </cell>
          <cell r="G6724" t="str">
            <v>Other</v>
          </cell>
          <cell r="H6724" t="str">
            <v>OTHER</v>
          </cell>
          <cell r="I6724" t="str">
            <v>Other - Index</v>
          </cell>
        </row>
        <row r="6725">
          <cell r="A6725" t="str">
            <v>FTSEUSGHP</v>
          </cell>
          <cell r="B6725" t="str">
            <v>FTSE  Dev Asia Price Return</v>
          </cell>
          <cell r="C6725" t="str">
            <v>-BRS_GOLD_1:FTSEUSGHP</v>
          </cell>
          <cell r="D6725" t="str">
            <v>Index</v>
          </cell>
          <cell r="E6725" t="str">
            <v>Index Level</v>
          </cell>
          <cell r="F6725" t="str">
            <v>Other</v>
          </cell>
          <cell r="G6725" t="str">
            <v>Other</v>
          </cell>
          <cell r="H6725" t="str">
            <v>OTHER</v>
          </cell>
          <cell r="I6725" t="str">
            <v>Other - Index</v>
          </cell>
        </row>
        <row r="6726">
          <cell r="A6726" t="str">
            <v>FT_AWINX</v>
          </cell>
          <cell r="B6726" t="str">
            <v>FTSE All-World Index</v>
          </cell>
          <cell r="C6726" t="str">
            <v>-BRS_GOLD_1:FT_AWINX</v>
          </cell>
          <cell r="D6726" t="str">
            <v>Index</v>
          </cell>
          <cell r="E6726" t="str">
            <v>Index Level</v>
          </cell>
          <cell r="F6726" t="str">
            <v>Other</v>
          </cell>
          <cell r="G6726" t="str">
            <v>Other</v>
          </cell>
          <cell r="H6726" t="str">
            <v>OTHER</v>
          </cell>
          <cell r="I6726" t="str">
            <v>Other - Index</v>
          </cell>
        </row>
        <row r="6727">
          <cell r="A6727" t="str">
            <v>FT_EU</v>
          </cell>
          <cell r="B6727" t="str">
            <v>FTSE World Europe</v>
          </cell>
          <cell r="C6727" t="str">
            <v>-BRS_GOLD_1:FT_EU</v>
          </cell>
          <cell r="D6727" t="str">
            <v>Index</v>
          </cell>
          <cell r="E6727" t="str">
            <v>Index Level</v>
          </cell>
          <cell r="F6727" t="str">
            <v>Other</v>
          </cell>
          <cell r="G6727" t="str">
            <v>Other</v>
          </cell>
          <cell r="H6727" t="str">
            <v>OTHER</v>
          </cell>
          <cell r="I6727" t="str">
            <v>Other - Index</v>
          </cell>
        </row>
        <row r="6728">
          <cell r="A6728" t="str">
            <v>FT_EUEUR</v>
          </cell>
          <cell r="B6728" t="str">
            <v>FTSE World Europe in EUR</v>
          </cell>
          <cell r="C6728" t="str">
            <v>-BRS_GOLD_1:FT_EUEUR</v>
          </cell>
          <cell r="D6728" t="str">
            <v>Index</v>
          </cell>
          <cell r="E6728" t="str">
            <v>Index Level</v>
          </cell>
          <cell r="F6728" t="str">
            <v>Other</v>
          </cell>
          <cell r="G6728" t="str">
            <v>Other</v>
          </cell>
          <cell r="H6728" t="str">
            <v>OTHER</v>
          </cell>
          <cell r="I6728" t="str">
            <v>Other - Index</v>
          </cell>
        </row>
        <row r="6729">
          <cell r="A6729" t="str">
            <v>GBP_POWER_PPM_1</v>
          </cell>
          <cell r="B6729" t="str">
            <v>UK PEAK ELECTICITY 1</v>
          </cell>
          <cell r="C6729" t="str">
            <v>-BRS_GOLD_1:GBP_POWER_PPM_1</v>
          </cell>
          <cell r="D6729" t="str">
            <v>Commodity</v>
          </cell>
          <cell r="E6729" t="str">
            <v>Price Level</v>
          </cell>
          <cell r="F6729" t="str">
            <v>Alternative</v>
          </cell>
          <cell r="G6729" t="str">
            <v>Other</v>
          </cell>
          <cell r="H6729" t="str">
            <v>ALTS</v>
          </cell>
          <cell r="I6729" t="str">
            <v>Commodity</v>
          </cell>
        </row>
        <row r="6730">
          <cell r="A6730" t="str">
            <v>GBP_POWER_PPM_10</v>
          </cell>
          <cell r="B6730" t="str">
            <v>UK PEAK ELECTICITY 10</v>
          </cell>
          <cell r="C6730" t="str">
            <v>-BRS_GOLD_1:GBP_POWER_PPM_10</v>
          </cell>
          <cell r="D6730" t="str">
            <v>Commodity</v>
          </cell>
          <cell r="E6730" t="str">
            <v>Price Level</v>
          </cell>
          <cell r="F6730" t="str">
            <v>Alternative</v>
          </cell>
          <cell r="G6730" t="str">
            <v>Other</v>
          </cell>
          <cell r="H6730" t="str">
            <v>ALTS</v>
          </cell>
          <cell r="I6730" t="str">
            <v>Commodity</v>
          </cell>
        </row>
        <row r="6731">
          <cell r="A6731" t="str">
            <v>GBP_POWER_PPM_11</v>
          </cell>
          <cell r="B6731" t="str">
            <v>UK PEAK ELECTICITY 11</v>
          </cell>
          <cell r="C6731" t="str">
            <v>-BRS_GOLD_1:GBP_POWER_PPM_11</v>
          </cell>
          <cell r="D6731" t="str">
            <v>Commodity</v>
          </cell>
          <cell r="E6731" t="str">
            <v>Price Level</v>
          </cell>
          <cell r="F6731" t="str">
            <v>Alternative</v>
          </cell>
          <cell r="G6731" t="str">
            <v>Other</v>
          </cell>
          <cell r="H6731" t="str">
            <v>ALTS</v>
          </cell>
          <cell r="I6731" t="str">
            <v>Commodity</v>
          </cell>
        </row>
        <row r="6732">
          <cell r="A6732" t="str">
            <v>GBP_POWER_PPM_12</v>
          </cell>
          <cell r="B6732" t="str">
            <v>UK PEAK ELECTICITY 12</v>
          </cell>
          <cell r="C6732" t="str">
            <v>-BRS_GOLD_1:GBP_POWER_PPM_12</v>
          </cell>
          <cell r="D6732" t="str">
            <v>Commodity</v>
          </cell>
          <cell r="E6732" t="str">
            <v>Price Level</v>
          </cell>
          <cell r="F6732" t="str">
            <v>Alternative</v>
          </cell>
          <cell r="G6732" t="str">
            <v>Other</v>
          </cell>
          <cell r="H6732" t="str">
            <v>ALTS</v>
          </cell>
          <cell r="I6732" t="str">
            <v>Commodity</v>
          </cell>
        </row>
        <row r="6733">
          <cell r="A6733" t="str">
            <v>GBP_POWER_PPM_13</v>
          </cell>
          <cell r="B6733" t="str">
            <v>UK PEAK ELECTICITY 13</v>
          </cell>
          <cell r="C6733" t="str">
            <v>-BRS_GOLD_1:GBP_POWER_PPM_13</v>
          </cell>
          <cell r="D6733" t="str">
            <v>Commodity</v>
          </cell>
          <cell r="E6733" t="str">
            <v>Price Level</v>
          </cell>
          <cell r="F6733" t="str">
            <v>Alternative</v>
          </cell>
          <cell r="G6733" t="str">
            <v>Other</v>
          </cell>
          <cell r="H6733" t="str">
            <v>ALTS</v>
          </cell>
          <cell r="I6733" t="str">
            <v>Commodity</v>
          </cell>
        </row>
        <row r="6734">
          <cell r="A6734" t="str">
            <v>GBP_POWER_PPM_14</v>
          </cell>
          <cell r="B6734" t="str">
            <v>UK PEAK ELECTICITY 14</v>
          </cell>
          <cell r="C6734" t="str">
            <v>-BRS_GOLD_1:GBP_POWER_PPM_14</v>
          </cell>
          <cell r="D6734" t="str">
            <v>Commodity</v>
          </cell>
          <cell r="E6734" t="str">
            <v>Price Level</v>
          </cell>
          <cell r="F6734" t="str">
            <v>Alternative</v>
          </cell>
          <cell r="G6734" t="str">
            <v>Other</v>
          </cell>
          <cell r="H6734" t="str">
            <v>ALTS</v>
          </cell>
          <cell r="I6734" t="str">
            <v>Commodity</v>
          </cell>
        </row>
        <row r="6735">
          <cell r="A6735" t="str">
            <v>GBP_POWER_PPM_15</v>
          </cell>
          <cell r="B6735" t="str">
            <v>UK PEAK ELECTICITY 15</v>
          </cell>
          <cell r="C6735" t="str">
            <v>-BRS_GOLD_1:GBP_POWER_PPM_15</v>
          </cell>
          <cell r="D6735" t="str">
            <v>Commodity</v>
          </cell>
          <cell r="E6735" t="str">
            <v>Price Level</v>
          </cell>
          <cell r="F6735" t="str">
            <v>Alternative</v>
          </cell>
          <cell r="G6735" t="str">
            <v>Other</v>
          </cell>
          <cell r="H6735" t="str">
            <v>ALTS</v>
          </cell>
          <cell r="I6735" t="str">
            <v>Commodity</v>
          </cell>
        </row>
        <row r="6736">
          <cell r="A6736" t="str">
            <v>GBP_POWER_PPM_16</v>
          </cell>
          <cell r="B6736" t="str">
            <v>UK PEAK ELECTICITY 16</v>
          </cell>
          <cell r="C6736" t="str">
            <v>-BRS_GOLD_1:GBP_POWER_PPM_16</v>
          </cell>
          <cell r="D6736" t="str">
            <v>Commodity</v>
          </cell>
          <cell r="E6736" t="str">
            <v>Price Level</v>
          </cell>
          <cell r="F6736" t="str">
            <v>Alternative</v>
          </cell>
          <cell r="G6736" t="str">
            <v>Other</v>
          </cell>
          <cell r="H6736" t="str">
            <v>ALTS</v>
          </cell>
          <cell r="I6736" t="str">
            <v>Commodity</v>
          </cell>
        </row>
        <row r="6737">
          <cell r="A6737" t="str">
            <v>GBP_POWER_PPM_17</v>
          </cell>
          <cell r="B6737" t="str">
            <v>UK PEAK ELECTICITY 17</v>
          </cell>
          <cell r="C6737" t="str">
            <v>-BRS_GOLD_1:GBP_POWER_PPM_17</v>
          </cell>
          <cell r="D6737" t="str">
            <v>Commodity</v>
          </cell>
          <cell r="E6737" t="str">
            <v>Price Level</v>
          </cell>
          <cell r="F6737" t="str">
            <v>Alternative</v>
          </cell>
          <cell r="G6737" t="str">
            <v>Other</v>
          </cell>
          <cell r="H6737" t="str">
            <v>ALTS</v>
          </cell>
          <cell r="I6737" t="str">
            <v>Commodity</v>
          </cell>
        </row>
        <row r="6738">
          <cell r="A6738" t="str">
            <v>GBP_POWER_PPM_18</v>
          </cell>
          <cell r="B6738" t="str">
            <v>UK PEAK ELECTICITY 18</v>
          </cell>
          <cell r="C6738" t="str">
            <v>-BRS_GOLD_1:GBP_POWER_PPM_18</v>
          </cell>
          <cell r="D6738" t="str">
            <v>Commodity</v>
          </cell>
          <cell r="E6738" t="str">
            <v>Price Level</v>
          </cell>
          <cell r="F6738" t="str">
            <v>Alternative</v>
          </cell>
          <cell r="G6738" t="str">
            <v>Other</v>
          </cell>
          <cell r="H6738" t="str">
            <v>ALTS</v>
          </cell>
          <cell r="I6738" t="str">
            <v>Commodity</v>
          </cell>
        </row>
        <row r="6739">
          <cell r="A6739" t="str">
            <v>GBP_POWER_PPM_19</v>
          </cell>
          <cell r="B6739" t="str">
            <v>UK PEAK ELECTICITY 19</v>
          </cell>
          <cell r="C6739" t="str">
            <v>-BRS_GOLD_1:GBP_POWER_PPM_19</v>
          </cell>
          <cell r="D6739" t="str">
            <v>Commodity</v>
          </cell>
          <cell r="E6739" t="str">
            <v>Price Level</v>
          </cell>
          <cell r="F6739" t="str">
            <v>Alternative</v>
          </cell>
          <cell r="G6739" t="str">
            <v>Other</v>
          </cell>
          <cell r="H6739" t="str">
            <v>ALTS</v>
          </cell>
          <cell r="I6739" t="str">
            <v>Commodity</v>
          </cell>
        </row>
        <row r="6740">
          <cell r="A6740" t="str">
            <v>GBP_POWER_PPM_2</v>
          </cell>
          <cell r="B6740" t="str">
            <v>UK PEAK ELECTICITY 2</v>
          </cell>
          <cell r="C6740" t="str">
            <v>-BRS_GOLD_1:GBP_POWER_PPM_2</v>
          </cell>
          <cell r="D6740" t="str">
            <v>Commodity</v>
          </cell>
          <cell r="E6740" t="str">
            <v>Price Level</v>
          </cell>
          <cell r="F6740" t="str">
            <v>Alternative</v>
          </cell>
          <cell r="G6740" t="str">
            <v>Other</v>
          </cell>
          <cell r="H6740" t="str">
            <v>ALTS</v>
          </cell>
          <cell r="I6740" t="str">
            <v>Commodity</v>
          </cell>
        </row>
        <row r="6741">
          <cell r="A6741" t="str">
            <v>GBP_POWER_PPM_20</v>
          </cell>
          <cell r="B6741" t="str">
            <v>UK PEAK ELECTICITY 20</v>
          </cell>
          <cell r="C6741" t="str">
            <v>-BRS_GOLD_1:GBP_POWER_PPM_20</v>
          </cell>
          <cell r="D6741" t="str">
            <v>Commodity</v>
          </cell>
          <cell r="E6741" t="str">
            <v>Price Level</v>
          </cell>
          <cell r="F6741" t="str">
            <v>Alternative</v>
          </cell>
          <cell r="G6741" t="str">
            <v>Other</v>
          </cell>
          <cell r="H6741" t="str">
            <v>ALTS</v>
          </cell>
          <cell r="I6741" t="str">
            <v>Commodity</v>
          </cell>
        </row>
        <row r="6742">
          <cell r="A6742" t="str">
            <v>GBP_POWER_PPM_21</v>
          </cell>
          <cell r="B6742" t="str">
            <v>UK PEAK ELECTICITY 21</v>
          </cell>
          <cell r="C6742" t="str">
            <v>-BRS_GOLD_1:GBP_POWER_PPM_21</v>
          </cell>
          <cell r="D6742" t="str">
            <v>Commodity</v>
          </cell>
          <cell r="E6742" t="str">
            <v>Price Level</v>
          </cell>
          <cell r="F6742" t="str">
            <v>Alternative</v>
          </cell>
          <cell r="G6742" t="str">
            <v>Other</v>
          </cell>
          <cell r="H6742" t="str">
            <v>ALTS</v>
          </cell>
          <cell r="I6742" t="str">
            <v>Commodity</v>
          </cell>
        </row>
        <row r="6743">
          <cell r="A6743" t="str">
            <v>GBP_POWER_PPM_22</v>
          </cell>
          <cell r="B6743" t="str">
            <v>UK PEAK ELECTICITY 22</v>
          </cell>
          <cell r="C6743" t="str">
            <v>-BRS_GOLD_1:GBP_POWER_PPM_22</v>
          </cell>
          <cell r="D6743" t="str">
            <v>Commodity</v>
          </cell>
          <cell r="E6743" t="str">
            <v>Price Level</v>
          </cell>
          <cell r="F6743" t="str">
            <v>Alternative</v>
          </cell>
          <cell r="G6743" t="str">
            <v>Other</v>
          </cell>
          <cell r="H6743" t="str">
            <v>ALTS</v>
          </cell>
          <cell r="I6743" t="str">
            <v>Commodity</v>
          </cell>
        </row>
        <row r="6744">
          <cell r="A6744" t="str">
            <v>GBP_POWER_PPM_23</v>
          </cell>
          <cell r="B6744" t="str">
            <v>UK PEAK ELECTICITY 23</v>
          </cell>
          <cell r="C6744" t="str">
            <v>-BRS_GOLD_1:GBP_POWER_PPM_23</v>
          </cell>
          <cell r="D6744" t="str">
            <v>Commodity</v>
          </cell>
          <cell r="E6744" t="str">
            <v>Price Level</v>
          </cell>
          <cell r="F6744" t="str">
            <v>Alternative</v>
          </cell>
          <cell r="G6744" t="str">
            <v>Other</v>
          </cell>
          <cell r="H6744" t="str">
            <v>ALTS</v>
          </cell>
          <cell r="I6744" t="str">
            <v>Commodity</v>
          </cell>
        </row>
        <row r="6745">
          <cell r="A6745" t="str">
            <v>GBP_POWER_PPM_24</v>
          </cell>
          <cell r="B6745" t="str">
            <v>UK PEAK ELECTICITY 24</v>
          </cell>
          <cell r="C6745" t="str">
            <v>-BRS_GOLD_1:GBP_POWER_PPM_24</v>
          </cell>
          <cell r="D6745" t="str">
            <v>Commodity</v>
          </cell>
          <cell r="E6745" t="str">
            <v>Price Level</v>
          </cell>
          <cell r="F6745" t="str">
            <v>Alternative</v>
          </cell>
          <cell r="G6745" t="str">
            <v>Other</v>
          </cell>
          <cell r="H6745" t="str">
            <v>ALTS</v>
          </cell>
          <cell r="I6745" t="str">
            <v>Commodity</v>
          </cell>
        </row>
        <row r="6746">
          <cell r="A6746" t="str">
            <v>GBP_POWER_PPM_25</v>
          </cell>
          <cell r="B6746" t="str">
            <v>UK PEAK ELECTICITY 25</v>
          </cell>
          <cell r="C6746" t="str">
            <v>-BRS_GOLD_1:GBP_POWER_PPM_25</v>
          </cell>
          <cell r="D6746" t="str">
            <v>Commodity</v>
          </cell>
          <cell r="E6746" t="str">
            <v>Price Level</v>
          </cell>
          <cell r="F6746" t="str">
            <v>Alternative</v>
          </cell>
          <cell r="G6746" t="str">
            <v>Other</v>
          </cell>
          <cell r="H6746" t="str">
            <v>ALTS</v>
          </cell>
          <cell r="I6746" t="str">
            <v>Commodity</v>
          </cell>
        </row>
        <row r="6747">
          <cell r="A6747" t="str">
            <v>GBP_POWER_PPM_26</v>
          </cell>
          <cell r="B6747" t="str">
            <v>UK PEAK ELECTICITY 26</v>
          </cell>
          <cell r="C6747" t="str">
            <v>-BRS_GOLD_1:GBP_POWER_PPM_26</v>
          </cell>
          <cell r="D6747" t="str">
            <v>Commodity</v>
          </cell>
          <cell r="E6747" t="str">
            <v>Price Level</v>
          </cell>
          <cell r="F6747" t="str">
            <v>Alternative</v>
          </cell>
          <cell r="G6747" t="str">
            <v>Other</v>
          </cell>
          <cell r="H6747" t="str">
            <v>ALTS</v>
          </cell>
          <cell r="I6747" t="str">
            <v>Commodity</v>
          </cell>
        </row>
        <row r="6748">
          <cell r="A6748" t="str">
            <v>GBP_POWER_PPM_27</v>
          </cell>
          <cell r="B6748" t="str">
            <v>UK PEAK ELECTICITY 27</v>
          </cell>
          <cell r="C6748" t="str">
            <v>-BRS_GOLD_1:GBP_POWER_PPM_27</v>
          </cell>
          <cell r="D6748" t="str">
            <v>Commodity</v>
          </cell>
          <cell r="E6748" t="str">
            <v>Price Level</v>
          </cell>
          <cell r="F6748" t="str">
            <v>Alternative</v>
          </cell>
          <cell r="G6748" t="str">
            <v>Other</v>
          </cell>
          <cell r="H6748" t="str">
            <v>ALTS</v>
          </cell>
          <cell r="I6748" t="str">
            <v>Commodity</v>
          </cell>
        </row>
        <row r="6749">
          <cell r="A6749" t="str">
            <v>GBP_POWER_PPM_28</v>
          </cell>
          <cell r="B6749" t="str">
            <v>UK PEAK ELECTICITY 28</v>
          </cell>
          <cell r="C6749" t="str">
            <v>-BRS_GOLD_1:GBP_POWER_PPM_28</v>
          </cell>
          <cell r="D6749" t="str">
            <v>Commodity</v>
          </cell>
          <cell r="E6749" t="str">
            <v>Price Level</v>
          </cell>
          <cell r="F6749" t="str">
            <v>Alternative</v>
          </cell>
          <cell r="G6749" t="str">
            <v>Other</v>
          </cell>
          <cell r="H6749" t="str">
            <v>ALTS</v>
          </cell>
          <cell r="I6749" t="str">
            <v>Commodity</v>
          </cell>
        </row>
        <row r="6750">
          <cell r="A6750" t="str">
            <v>GBP_POWER_PPM_29</v>
          </cell>
          <cell r="B6750" t="str">
            <v>UK PEAK ELECTICITY 29</v>
          </cell>
          <cell r="C6750" t="str">
            <v>-BRS_GOLD_1:GBP_POWER_PPM_29</v>
          </cell>
          <cell r="D6750" t="str">
            <v>Commodity</v>
          </cell>
          <cell r="E6750" t="str">
            <v>Price Level</v>
          </cell>
          <cell r="F6750" t="str">
            <v>Alternative</v>
          </cell>
          <cell r="G6750" t="str">
            <v>Other</v>
          </cell>
          <cell r="H6750" t="str">
            <v>ALTS</v>
          </cell>
          <cell r="I6750" t="str">
            <v>Commodity</v>
          </cell>
        </row>
        <row r="6751">
          <cell r="A6751" t="str">
            <v>GBP_POWER_PPM_3</v>
          </cell>
          <cell r="B6751" t="str">
            <v>UK PEAK ELECTICITY 3</v>
          </cell>
          <cell r="C6751" t="str">
            <v>-BRS_GOLD_1:GBP_POWER_PPM_3</v>
          </cell>
          <cell r="D6751" t="str">
            <v>Commodity</v>
          </cell>
          <cell r="E6751" t="str">
            <v>Price Level</v>
          </cell>
          <cell r="F6751" t="str">
            <v>Alternative</v>
          </cell>
          <cell r="G6751" t="str">
            <v>Other</v>
          </cell>
          <cell r="H6751" t="str">
            <v>ALTS</v>
          </cell>
          <cell r="I6751" t="str">
            <v>Commodity</v>
          </cell>
        </row>
        <row r="6752">
          <cell r="A6752" t="str">
            <v>GBP_POWER_PPM_30</v>
          </cell>
          <cell r="B6752" t="str">
            <v>UK PEAK ELECTICITY 30</v>
          </cell>
          <cell r="C6752" t="str">
            <v>-BRS_GOLD_1:GBP_POWER_PPM_30</v>
          </cell>
          <cell r="D6752" t="str">
            <v>Commodity</v>
          </cell>
          <cell r="E6752" t="str">
            <v>Price Level</v>
          </cell>
          <cell r="F6752" t="str">
            <v>Alternative</v>
          </cell>
          <cell r="G6752" t="str">
            <v>Other</v>
          </cell>
          <cell r="H6752" t="str">
            <v>ALTS</v>
          </cell>
          <cell r="I6752" t="str">
            <v>Commodity</v>
          </cell>
        </row>
        <row r="6753">
          <cell r="A6753" t="str">
            <v>GBP_POWER_PPM_4</v>
          </cell>
          <cell r="B6753" t="str">
            <v>UK PEAK ELECTICITY 4</v>
          </cell>
          <cell r="C6753" t="str">
            <v>-BRS_GOLD_1:GBP_POWER_PPM_4</v>
          </cell>
          <cell r="D6753" t="str">
            <v>Commodity</v>
          </cell>
          <cell r="E6753" t="str">
            <v>Price Level</v>
          </cell>
          <cell r="F6753" t="str">
            <v>Alternative</v>
          </cell>
          <cell r="G6753" t="str">
            <v>Other</v>
          </cell>
          <cell r="H6753" t="str">
            <v>ALTS</v>
          </cell>
          <cell r="I6753" t="str">
            <v>Commodity</v>
          </cell>
        </row>
        <row r="6754">
          <cell r="A6754" t="str">
            <v>GBP_POWER_PPM_5</v>
          </cell>
          <cell r="B6754" t="str">
            <v>UK PEAK ELECTICITY 5</v>
          </cell>
          <cell r="C6754" t="str">
            <v>-BRS_GOLD_1:GBP_POWER_PPM_5</v>
          </cell>
          <cell r="D6754" t="str">
            <v>Commodity</v>
          </cell>
          <cell r="E6754" t="str">
            <v>Price Level</v>
          </cell>
          <cell r="F6754" t="str">
            <v>Alternative</v>
          </cell>
          <cell r="G6754" t="str">
            <v>Other</v>
          </cell>
          <cell r="H6754" t="str">
            <v>ALTS</v>
          </cell>
          <cell r="I6754" t="str">
            <v>Commodity</v>
          </cell>
        </row>
        <row r="6755">
          <cell r="A6755" t="str">
            <v>GBP_POWER_PPM_6</v>
          </cell>
          <cell r="B6755" t="str">
            <v>UK PEAK ELECTICITY 6</v>
          </cell>
          <cell r="C6755" t="str">
            <v>-BRS_GOLD_1:GBP_POWER_PPM_6</v>
          </cell>
          <cell r="D6755" t="str">
            <v>Commodity</v>
          </cell>
          <cell r="E6755" t="str">
            <v>Price Level</v>
          </cell>
          <cell r="F6755" t="str">
            <v>Alternative</v>
          </cell>
          <cell r="G6755" t="str">
            <v>Other</v>
          </cell>
          <cell r="H6755" t="str">
            <v>ALTS</v>
          </cell>
          <cell r="I6755" t="str">
            <v>Commodity</v>
          </cell>
        </row>
        <row r="6756">
          <cell r="A6756" t="str">
            <v>GBP_POWER_PPM_7</v>
          </cell>
          <cell r="B6756" t="str">
            <v>UK PEAK ELECTICITY 7</v>
          </cell>
          <cell r="C6756" t="str">
            <v>-BRS_GOLD_1:GBP_POWER_PPM_7</v>
          </cell>
          <cell r="D6756" t="str">
            <v>Commodity</v>
          </cell>
          <cell r="E6756" t="str">
            <v>Price Level</v>
          </cell>
          <cell r="F6756" t="str">
            <v>Alternative</v>
          </cell>
          <cell r="G6756" t="str">
            <v>Other</v>
          </cell>
          <cell r="H6756" t="str">
            <v>ALTS</v>
          </cell>
          <cell r="I6756" t="str">
            <v>Commodity</v>
          </cell>
        </row>
        <row r="6757">
          <cell r="A6757" t="str">
            <v>GBP_POWER_PPM_8</v>
          </cell>
          <cell r="B6757" t="str">
            <v>UK PEAK ELECTICITY 8</v>
          </cell>
          <cell r="C6757" t="str">
            <v>-BRS_GOLD_1:GBP_POWER_PPM_8</v>
          </cell>
          <cell r="D6757" t="str">
            <v>Commodity</v>
          </cell>
          <cell r="E6757" t="str">
            <v>Price Level</v>
          </cell>
          <cell r="F6757" t="str">
            <v>Alternative</v>
          </cell>
          <cell r="G6757" t="str">
            <v>Other</v>
          </cell>
          <cell r="H6757" t="str">
            <v>ALTS</v>
          </cell>
          <cell r="I6757" t="str">
            <v>Commodity</v>
          </cell>
        </row>
        <row r="6758">
          <cell r="A6758" t="str">
            <v>GBP_POWER_PPM_9</v>
          </cell>
          <cell r="B6758" t="str">
            <v>UK PEAK ELECTICITY 9</v>
          </cell>
          <cell r="C6758" t="str">
            <v>-BRS_GOLD_1:GBP_POWER_PPM_9</v>
          </cell>
          <cell r="D6758" t="str">
            <v>Commodity</v>
          </cell>
          <cell r="E6758" t="str">
            <v>Price Level</v>
          </cell>
          <cell r="F6758" t="str">
            <v>Alternative</v>
          </cell>
          <cell r="G6758" t="str">
            <v>Other</v>
          </cell>
          <cell r="H6758" t="str">
            <v>ALTS</v>
          </cell>
          <cell r="I6758" t="str">
            <v>Commodity</v>
          </cell>
        </row>
        <row r="6759">
          <cell r="A6759" t="str">
            <v>GBP_lpi3basis_10yr</v>
          </cell>
          <cell r="B6759" t="str">
            <v>GBP LPI3 BASIS 10Y</v>
          </cell>
          <cell r="C6759" t="str">
            <v>-BRS_GOLD_1:GBP_lpi3basis_10yr</v>
          </cell>
          <cell r="D6759" t="str">
            <v>Libor KRD</v>
          </cell>
          <cell r="E6759" t="str">
            <v>Yield</v>
          </cell>
          <cell r="F6759" t="str">
            <v>SP-Other</v>
          </cell>
          <cell r="G6759" t="str">
            <v>SP-Other</v>
          </cell>
          <cell r="H6759" t="str">
            <v>SPREADS</v>
          </cell>
          <cell r="I6759" t="str">
            <v>Swap Spread - Libor</v>
          </cell>
        </row>
        <row r="6760">
          <cell r="A6760" t="str">
            <v>GBP_lpi3basis_15yr</v>
          </cell>
          <cell r="B6760" t="str">
            <v>GBP LPI3 BASIS 15Y</v>
          </cell>
          <cell r="C6760" t="str">
            <v>-BRS_GOLD_1:GBP_lpi3basis_15yr</v>
          </cell>
          <cell r="D6760" t="str">
            <v>Libor KRD</v>
          </cell>
          <cell r="E6760" t="str">
            <v>Yield</v>
          </cell>
          <cell r="F6760" t="str">
            <v>SP-Other</v>
          </cell>
          <cell r="G6760" t="str">
            <v>SP-Other</v>
          </cell>
          <cell r="H6760" t="str">
            <v>SPREADS</v>
          </cell>
          <cell r="I6760" t="str">
            <v>Swap Spread - Libor</v>
          </cell>
        </row>
        <row r="6761">
          <cell r="A6761" t="str">
            <v>GBP_lpi3basis_1yr</v>
          </cell>
          <cell r="B6761" t="str">
            <v>GBP LPI3 BASIS 1Y</v>
          </cell>
          <cell r="C6761" t="str">
            <v>-BRS_GOLD_1:GBP_lpi3basis_1yr</v>
          </cell>
          <cell r="D6761" t="str">
            <v>Libor KRD</v>
          </cell>
          <cell r="E6761" t="str">
            <v>Yield</v>
          </cell>
          <cell r="F6761" t="str">
            <v>SP-Other</v>
          </cell>
          <cell r="G6761" t="str">
            <v>SP-Other</v>
          </cell>
          <cell r="H6761" t="str">
            <v>SPREADS</v>
          </cell>
          <cell r="I6761" t="str">
            <v>Swap Spread - Libor</v>
          </cell>
        </row>
        <row r="6762">
          <cell r="A6762" t="str">
            <v>GBP_lpi3basis_20yr</v>
          </cell>
          <cell r="B6762" t="str">
            <v>GBP LPI3 BASIS 20Y</v>
          </cell>
          <cell r="C6762" t="str">
            <v>-BRS_GOLD_1:GBP_lpi3basis_20yr</v>
          </cell>
          <cell r="D6762" t="str">
            <v>Libor KRD</v>
          </cell>
          <cell r="E6762" t="str">
            <v>Yield</v>
          </cell>
          <cell r="F6762" t="str">
            <v>SP-Other</v>
          </cell>
          <cell r="G6762" t="str">
            <v>SP-Other</v>
          </cell>
          <cell r="H6762" t="str">
            <v>SPREADS</v>
          </cell>
          <cell r="I6762" t="str">
            <v>Swap Spread - Libor</v>
          </cell>
        </row>
        <row r="6763">
          <cell r="A6763" t="str">
            <v>GBP_lpi3basis_25yr</v>
          </cell>
          <cell r="B6763" t="str">
            <v>GBP LPI3 BASIS 25Y</v>
          </cell>
          <cell r="C6763" t="str">
            <v>-BRS_GOLD_1:GBP_lpi3basis_25yr</v>
          </cell>
          <cell r="D6763" t="str">
            <v>Libor KRD</v>
          </cell>
          <cell r="E6763" t="str">
            <v>Yield</v>
          </cell>
          <cell r="F6763" t="str">
            <v>SP-Other</v>
          </cell>
          <cell r="G6763" t="str">
            <v>SP-Other</v>
          </cell>
          <cell r="H6763" t="str">
            <v>SPREADS</v>
          </cell>
          <cell r="I6763" t="str">
            <v>Swap Spread - Libor</v>
          </cell>
        </row>
        <row r="6764">
          <cell r="A6764" t="str">
            <v>GBP_lpi3basis_2yr</v>
          </cell>
          <cell r="B6764" t="str">
            <v>GBP LPI3 BASIS 2Y</v>
          </cell>
          <cell r="C6764" t="str">
            <v>-BRS_GOLD_1:GBP_lpi3basis_2yr</v>
          </cell>
          <cell r="D6764" t="str">
            <v>Libor KRD</v>
          </cell>
          <cell r="E6764" t="str">
            <v>Yield</v>
          </cell>
          <cell r="F6764" t="str">
            <v>SP-Other</v>
          </cell>
          <cell r="G6764" t="str">
            <v>SP-Other</v>
          </cell>
          <cell r="H6764" t="str">
            <v>SPREADS</v>
          </cell>
          <cell r="I6764" t="str">
            <v>Swap Spread - Libor</v>
          </cell>
        </row>
        <row r="6765">
          <cell r="A6765" t="str">
            <v>GBP_lpi3basis_30yr</v>
          </cell>
          <cell r="B6765" t="str">
            <v>GBP LPI3 BASIS 30Y</v>
          </cell>
          <cell r="C6765" t="str">
            <v>-BRS_GOLD_1:GBP_lpi3basis_30yr</v>
          </cell>
          <cell r="D6765" t="str">
            <v>Libor KRD</v>
          </cell>
          <cell r="E6765" t="str">
            <v>Yield</v>
          </cell>
          <cell r="F6765" t="str">
            <v>SP-Other</v>
          </cell>
          <cell r="G6765" t="str">
            <v>SP-Other</v>
          </cell>
          <cell r="H6765" t="str">
            <v>SPREADS</v>
          </cell>
          <cell r="I6765" t="str">
            <v>Swap Spread - Libor</v>
          </cell>
        </row>
        <row r="6766">
          <cell r="A6766" t="str">
            <v>GBP_lpi3basis_3m</v>
          </cell>
          <cell r="B6766" t="str">
            <v>GBP LPI3 BASIS 3M</v>
          </cell>
          <cell r="C6766" t="str">
            <v>-BRS_GOLD_1:GBP_lpi3basis_3m</v>
          </cell>
          <cell r="D6766" t="str">
            <v>Libor KRD</v>
          </cell>
          <cell r="E6766" t="str">
            <v>Yield</v>
          </cell>
          <cell r="F6766" t="str">
            <v>SP-Other</v>
          </cell>
          <cell r="G6766" t="str">
            <v>SP-Other</v>
          </cell>
          <cell r="H6766" t="str">
            <v>SPREADS</v>
          </cell>
          <cell r="I6766" t="str">
            <v>Swap Spread - Libor</v>
          </cell>
        </row>
        <row r="6767">
          <cell r="A6767" t="str">
            <v>GBP_lpi3basis_3yr</v>
          </cell>
          <cell r="B6767" t="str">
            <v>GBP LPI3 BASIS 3Y</v>
          </cell>
          <cell r="C6767" t="str">
            <v>-BRS_GOLD_1:GBP_lpi3basis_3yr</v>
          </cell>
          <cell r="D6767" t="str">
            <v>Libor KRD</v>
          </cell>
          <cell r="E6767" t="str">
            <v>Yield</v>
          </cell>
          <cell r="F6767" t="str">
            <v>SP-Other</v>
          </cell>
          <cell r="G6767" t="str">
            <v>SP-Other</v>
          </cell>
          <cell r="H6767" t="str">
            <v>SPREADS</v>
          </cell>
          <cell r="I6767" t="str">
            <v>Swap Spread - Libor</v>
          </cell>
        </row>
        <row r="6768">
          <cell r="A6768" t="str">
            <v>GBP_lpi3basis_40yr</v>
          </cell>
          <cell r="B6768" t="str">
            <v>GBP LPI3 BASIS 40Y</v>
          </cell>
          <cell r="C6768" t="str">
            <v>-BRS_GOLD_1:GBP_lpi3basis_40yr</v>
          </cell>
          <cell r="D6768" t="str">
            <v>Libor KRD</v>
          </cell>
          <cell r="E6768" t="str">
            <v>Yield</v>
          </cell>
          <cell r="F6768" t="str">
            <v>SP-Other</v>
          </cell>
          <cell r="G6768" t="str">
            <v>SP-Other</v>
          </cell>
          <cell r="H6768" t="str">
            <v>SPREADS</v>
          </cell>
          <cell r="I6768" t="str">
            <v>Swap Spread - Libor</v>
          </cell>
        </row>
        <row r="6769">
          <cell r="A6769" t="str">
            <v>GBP_lpi3basis_50yr</v>
          </cell>
          <cell r="B6769" t="str">
            <v>GBP LPI3 BASIS 50Y</v>
          </cell>
          <cell r="C6769" t="str">
            <v>-BRS_GOLD_1:GBP_lpi3basis_50yr</v>
          </cell>
          <cell r="D6769" t="str">
            <v>Libor KRD</v>
          </cell>
          <cell r="E6769" t="str">
            <v>Yield</v>
          </cell>
          <cell r="F6769" t="str">
            <v>SP-Other</v>
          </cell>
          <cell r="G6769" t="str">
            <v>SP-Other</v>
          </cell>
          <cell r="H6769" t="str">
            <v>SPREADS</v>
          </cell>
          <cell r="I6769" t="str">
            <v>Swap Spread - Libor</v>
          </cell>
        </row>
        <row r="6770">
          <cell r="A6770" t="str">
            <v>GBP_lpi3basis_5yr</v>
          </cell>
          <cell r="B6770" t="str">
            <v>GBP LPI3 BASIS 5Y</v>
          </cell>
          <cell r="C6770" t="str">
            <v>-BRS_GOLD_1:GBP_lpi3basis_5yr</v>
          </cell>
          <cell r="D6770" t="str">
            <v>Libor KRD</v>
          </cell>
          <cell r="E6770" t="str">
            <v>Yield</v>
          </cell>
          <cell r="F6770" t="str">
            <v>SP-Other</v>
          </cell>
          <cell r="G6770" t="str">
            <v>SP-Other</v>
          </cell>
          <cell r="H6770" t="str">
            <v>SPREADS</v>
          </cell>
          <cell r="I6770" t="str">
            <v>Swap Spread - Libor</v>
          </cell>
        </row>
        <row r="6771">
          <cell r="A6771" t="str">
            <v>GBP_lpi3basis_7yr</v>
          </cell>
          <cell r="B6771" t="str">
            <v>GBP LPI3 BASIS 7Y</v>
          </cell>
          <cell r="C6771" t="str">
            <v>-BRS_GOLD_1:GBP_lpi3basis_7yr</v>
          </cell>
          <cell r="D6771" t="str">
            <v>Libor KRD</v>
          </cell>
          <cell r="E6771" t="str">
            <v>Yield</v>
          </cell>
          <cell r="F6771" t="str">
            <v>SP-Other</v>
          </cell>
          <cell r="G6771" t="str">
            <v>SP-Other</v>
          </cell>
          <cell r="H6771" t="str">
            <v>SPREADS</v>
          </cell>
          <cell r="I6771" t="str">
            <v>Swap Spread - Libor</v>
          </cell>
        </row>
        <row r="6772">
          <cell r="A6772" t="str">
            <v>GBP_lpi5basis_10yr</v>
          </cell>
          <cell r="B6772" t="str">
            <v>GBP LPI5 BASIS 10Y</v>
          </cell>
          <cell r="C6772" t="str">
            <v>-BRS_GOLD_1:GBP_lpi5basis_10yr</v>
          </cell>
          <cell r="D6772" t="str">
            <v>Libor KRD</v>
          </cell>
          <cell r="E6772" t="str">
            <v>Yield</v>
          </cell>
          <cell r="F6772" t="str">
            <v>SP-Other</v>
          </cell>
          <cell r="G6772" t="str">
            <v>SP-Other</v>
          </cell>
          <cell r="H6772" t="str">
            <v>SPREADS</v>
          </cell>
          <cell r="I6772" t="str">
            <v>Swap Spread - Libor</v>
          </cell>
        </row>
        <row r="6773">
          <cell r="A6773" t="str">
            <v>GBP_lpi5basis_15yr</v>
          </cell>
          <cell r="B6773" t="str">
            <v>GBP LPI5 BASIS 15Y</v>
          </cell>
          <cell r="C6773" t="str">
            <v>-BRS_GOLD_1:GBP_lpi5basis_15yr</v>
          </cell>
          <cell r="D6773" t="str">
            <v>Libor KRD</v>
          </cell>
          <cell r="E6773" t="str">
            <v>Yield</v>
          </cell>
          <cell r="F6773" t="str">
            <v>SP-Other</v>
          </cell>
          <cell r="G6773" t="str">
            <v>SP-Other</v>
          </cell>
          <cell r="H6773" t="str">
            <v>SPREADS</v>
          </cell>
          <cell r="I6773" t="str">
            <v>Swap Spread - Libor</v>
          </cell>
        </row>
        <row r="6774">
          <cell r="A6774" t="str">
            <v>GBP_lpi5basis_1yr</v>
          </cell>
          <cell r="B6774" t="str">
            <v>GBP LPI5 BASIS 1Y</v>
          </cell>
          <cell r="C6774" t="str">
            <v>-BRS_GOLD_1:GBP_lpi5basis_1yr</v>
          </cell>
          <cell r="D6774" t="str">
            <v>Libor KRD</v>
          </cell>
          <cell r="E6774" t="str">
            <v>Yield</v>
          </cell>
          <cell r="F6774" t="str">
            <v>SP-Other</v>
          </cell>
          <cell r="G6774" t="str">
            <v>SP-Other</v>
          </cell>
          <cell r="H6774" t="str">
            <v>SPREADS</v>
          </cell>
          <cell r="I6774" t="str">
            <v>Swap Spread - Libor</v>
          </cell>
        </row>
        <row r="6775">
          <cell r="A6775" t="str">
            <v>GBP_lpi5basis_20yr</v>
          </cell>
          <cell r="B6775" t="str">
            <v>GBP LPI5 BASIS 20Y</v>
          </cell>
          <cell r="C6775" t="str">
            <v>-BRS_GOLD_1:GBP_lpi5basis_20yr</v>
          </cell>
          <cell r="D6775" t="str">
            <v>Libor KRD</v>
          </cell>
          <cell r="E6775" t="str">
            <v>Yield</v>
          </cell>
          <cell r="F6775" t="str">
            <v>SP-Other</v>
          </cell>
          <cell r="G6775" t="str">
            <v>SP-Other</v>
          </cell>
          <cell r="H6775" t="str">
            <v>SPREADS</v>
          </cell>
          <cell r="I6775" t="str">
            <v>Swap Spread - Libor</v>
          </cell>
        </row>
        <row r="6776">
          <cell r="A6776" t="str">
            <v>GBP_lpi5basis_25yr</v>
          </cell>
          <cell r="B6776" t="str">
            <v>GBP LPI5 BASIS 25Y</v>
          </cell>
          <cell r="C6776" t="str">
            <v>-BRS_GOLD_1:GBP_lpi5basis_25yr</v>
          </cell>
          <cell r="D6776" t="str">
            <v>Libor KRD</v>
          </cell>
          <cell r="E6776" t="str">
            <v>Yield</v>
          </cell>
          <cell r="F6776" t="str">
            <v>SP-Other</v>
          </cell>
          <cell r="G6776" t="str">
            <v>SP-Other</v>
          </cell>
          <cell r="H6776" t="str">
            <v>SPREADS</v>
          </cell>
          <cell r="I6776" t="str">
            <v>Swap Spread - Libor</v>
          </cell>
        </row>
        <row r="6777">
          <cell r="A6777" t="str">
            <v>GBP_lpi5basis_2yr</v>
          </cell>
          <cell r="B6777" t="str">
            <v>GBP LPI5 BASIS 2Y</v>
          </cell>
          <cell r="C6777" t="str">
            <v>-BRS_GOLD_1:GBP_lpi5basis_2yr</v>
          </cell>
          <cell r="D6777" t="str">
            <v>Libor KRD</v>
          </cell>
          <cell r="E6777" t="str">
            <v>Yield</v>
          </cell>
          <cell r="F6777" t="str">
            <v>SP-Other</v>
          </cell>
          <cell r="G6777" t="str">
            <v>SP-Other</v>
          </cell>
          <cell r="H6777" t="str">
            <v>SPREADS</v>
          </cell>
          <cell r="I6777" t="str">
            <v>Swap Spread - Libor</v>
          </cell>
        </row>
        <row r="6778">
          <cell r="A6778" t="str">
            <v>GBP_lpi5basis_30yr</v>
          </cell>
          <cell r="B6778" t="str">
            <v>GBP LPI5 BASIS 30Y</v>
          </cell>
          <cell r="C6778" t="str">
            <v>-BRS_GOLD_1:GBP_lpi5basis_30yr</v>
          </cell>
          <cell r="D6778" t="str">
            <v>Libor KRD</v>
          </cell>
          <cell r="E6778" t="str">
            <v>Yield</v>
          </cell>
          <cell r="F6778" t="str">
            <v>SP-Other</v>
          </cell>
          <cell r="G6778" t="str">
            <v>SP-Other</v>
          </cell>
          <cell r="H6778" t="str">
            <v>SPREADS</v>
          </cell>
          <cell r="I6778" t="str">
            <v>Swap Spread - Libor</v>
          </cell>
        </row>
        <row r="6779">
          <cell r="A6779" t="str">
            <v>GBP_lpi5basis_3m</v>
          </cell>
          <cell r="B6779" t="str">
            <v>GBP LPI5 BASIS 3M</v>
          </cell>
          <cell r="C6779" t="str">
            <v>-BRS_GOLD_1:GBP_lpi5basis_3m</v>
          </cell>
          <cell r="D6779" t="str">
            <v>Libor KRD</v>
          </cell>
          <cell r="E6779" t="str">
            <v>Yield</v>
          </cell>
          <cell r="F6779" t="str">
            <v>SP-Other</v>
          </cell>
          <cell r="G6779" t="str">
            <v>SP-Other</v>
          </cell>
          <cell r="H6779" t="str">
            <v>SPREADS</v>
          </cell>
          <cell r="I6779" t="str">
            <v>Swap Spread - Libor</v>
          </cell>
        </row>
        <row r="6780">
          <cell r="A6780" t="str">
            <v>GBP_lpi5basis_3yr</v>
          </cell>
          <cell r="B6780" t="str">
            <v>GBP LPI5 BASIS 3Y</v>
          </cell>
          <cell r="C6780" t="str">
            <v>-BRS_GOLD_1:GBP_lpi5basis_3yr</v>
          </cell>
          <cell r="D6780" t="str">
            <v>Libor KRD</v>
          </cell>
          <cell r="E6780" t="str">
            <v>Yield</v>
          </cell>
          <cell r="F6780" t="str">
            <v>SP-Other</v>
          </cell>
          <cell r="G6780" t="str">
            <v>SP-Other</v>
          </cell>
          <cell r="H6780" t="str">
            <v>SPREADS</v>
          </cell>
          <cell r="I6780" t="str">
            <v>Swap Spread - Libor</v>
          </cell>
        </row>
        <row r="6781">
          <cell r="A6781" t="str">
            <v>GBP_lpi5basis_40yr</v>
          </cell>
          <cell r="B6781" t="str">
            <v>GBP LPI5 BASIS 40Y</v>
          </cell>
          <cell r="C6781" t="str">
            <v>-BRS_GOLD_1:GBP_lpi5basis_40yr</v>
          </cell>
          <cell r="D6781" t="str">
            <v>Libor KRD</v>
          </cell>
          <cell r="E6781" t="str">
            <v>Yield</v>
          </cell>
          <cell r="F6781" t="str">
            <v>SP-Other</v>
          </cell>
          <cell r="G6781" t="str">
            <v>SP-Other</v>
          </cell>
          <cell r="H6781" t="str">
            <v>SPREADS</v>
          </cell>
          <cell r="I6781" t="str">
            <v>Swap Spread - Libor</v>
          </cell>
        </row>
        <row r="6782">
          <cell r="A6782" t="str">
            <v>GBP_lpi5basis_50yr</v>
          </cell>
          <cell r="B6782" t="str">
            <v>GBP LPI5 BASIS 50Y</v>
          </cell>
          <cell r="C6782" t="str">
            <v>-BRS_GOLD_1:GBP_lpi5basis_50yr</v>
          </cell>
          <cell r="D6782" t="str">
            <v>Libor KRD</v>
          </cell>
          <cell r="E6782" t="str">
            <v>Yield</v>
          </cell>
          <cell r="F6782" t="str">
            <v>SP-Other</v>
          </cell>
          <cell r="G6782" t="str">
            <v>SP-Other</v>
          </cell>
          <cell r="H6782" t="str">
            <v>SPREADS</v>
          </cell>
          <cell r="I6782" t="str">
            <v>Swap Spread - Libor</v>
          </cell>
        </row>
        <row r="6783">
          <cell r="A6783" t="str">
            <v>GBP_lpi5basis_5yr</v>
          </cell>
          <cell r="B6783" t="str">
            <v>GBP LPI5 BASIS 5Y</v>
          </cell>
          <cell r="C6783" t="str">
            <v>-BRS_GOLD_1:GBP_lpi5basis_5yr</v>
          </cell>
          <cell r="D6783" t="str">
            <v>Libor KRD</v>
          </cell>
          <cell r="E6783" t="str">
            <v>Yield</v>
          </cell>
          <cell r="F6783" t="str">
            <v>SP-Other</v>
          </cell>
          <cell r="G6783" t="str">
            <v>SP-Other</v>
          </cell>
          <cell r="H6783" t="str">
            <v>SPREADS</v>
          </cell>
          <cell r="I6783" t="str">
            <v>Swap Spread - Libor</v>
          </cell>
        </row>
        <row r="6784">
          <cell r="A6784" t="str">
            <v>GBP_lpi5basis_7yr</v>
          </cell>
          <cell r="B6784" t="str">
            <v>GBP LPI5 BASIS 7Y</v>
          </cell>
          <cell r="C6784" t="str">
            <v>-BRS_GOLD_1:GBP_lpi5basis_7yr</v>
          </cell>
          <cell r="D6784" t="str">
            <v>Libor KRD</v>
          </cell>
          <cell r="E6784" t="str">
            <v>Yield</v>
          </cell>
          <cell r="F6784" t="str">
            <v>SP-Other</v>
          </cell>
          <cell r="G6784" t="str">
            <v>SP-Other</v>
          </cell>
          <cell r="H6784" t="str">
            <v>SPREADS</v>
          </cell>
          <cell r="I6784" t="str">
            <v>Swap Spread - Libor</v>
          </cell>
        </row>
        <row r="6785">
          <cell r="A6785" t="str">
            <v>GOLDSACHCB</v>
          </cell>
          <cell r="B6785" t="str">
            <v>Goldman Sachs VIP Index</v>
          </cell>
          <cell r="C6785" t="str">
            <v>-BRS_GOLD_1:GOLDSACHCB</v>
          </cell>
          <cell r="D6785" t="str">
            <v>Index</v>
          </cell>
          <cell r="E6785" t="str">
            <v>Index Level</v>
          </cell>
          <cell r="F6785" t="str">
            <v>Other</v>
          </cell>
          <cell r="G6785" t="str">
            <v>Other</v>
          </cell>
          <cell r="H6785" t="str">
            <v>OTHER</v>
          </cell>
          <cell r="I6785" t="str">
            <v>Other - Index</v>
          </cell>
        </row>
        <row r="6786">
          <cell r="A6786" t="str">
            <v>GOV_SP_RISK</v>
          </cell>
          <cell r="B6786" t="str">
            <v>Gov Idiosyncratic</v>
          </cell>
          <cell r="C6786" t="str">
            <v>-BRS_GOLD_1:GOV_SP_RISK</v>
          </cell>
          <cell r="D6786" t="str">
            <v>Specific Risk</v>
          </cell>
          <cell r="E6786" t="str">
            <v>Specific Risk</v>
          </cell>
          <cell r="F6786" t="str">
            <v>Idiosyncratic</v>
          </cell>
          <cell r="G6786" t="str">
            <v>Other</v>
          </cell>
          <cell r="H6786" t="str">
            <v>RATES_SPECIFIC</v>
          </cell>
          <cell r="I6786" t="str">
            <v>Rates - Idiosyncratic</v>
          </cell>
        </row>
        <row r="6787">
          <cell r="A6787" t="str">
            <v>GRD_10yr_10yr</v>
          </cell>
          <cell r="B6787" t="str">
            <v>GRD 10Y ^2</v>
          </cell>
          <cell r="C6787" t="str">
            <v>-BRS_GOLD_1:GRD_10yr_10yr</v>
          </cell>
          <cell r="D6787" t="str">
            <v>Convexity</v>
          </cell>
          <cell r="E6787" t="str">
            <v>Spread Yield (DxS)</v>
          </cell>
          <cell r="F6787" t="str">
            <v>FI-Convexity</v>
          </cell>
          <cell r="G6787" t="str">
            <v>FI-Other</v>
          </cell>
          <cell r="H6787" t="str">
            <v>RATES</v>
          </cell>
          <cell r="I6787" t="str">
            <v>Convexity</v>
          </cell>
        </row>
        <row r="6788">
          <cell r="A6788" t="str">
            <v>GRRE</v>
          </cell>
          <cell r="B6788" t="str">
            <v>Germany RE Public</v>
          </cell>
          <cell r="C6788" t="str">
            <v>-BRS_GOLD_1:GRRE</v>
          </cell>
          <cell r="D6788" t="str">
            <v>Index</v>
          </cell>
          <cell r="E6788" t="str">
            <v>Index Level</v>
          </cell>
          <cell r="F6788" t="str">
            <v>Other</v>
          </cell>
          <cell r="G6788" t="str">
            <v>Other</v>
          </cell>
          <cell r="H6788" t="str">
            <v>OTHER</v>
          </cell>
          <cell r="I6788" t="str">
            <v>Other - Index</v>
          </cell>
        </row>
        <row r="6789">
          <cell r="A6789" t="str">
            <v>HUF_10yr_10yr</v>
          </cell>
          <cell r="B6789" t="str">
            <v>HUF 10Y ^2</v>
          </cell>
          <cell r="C6789" t="str">
            <v>-BRS_GOLD_1:HUF_10yr_10yr</v>
          </cell>
          <cell r="D6789" t="str">
            <v>Convexity</v>
          </cell>
          <cell r="E6789" t="str">
            <v>Convexity</v>
          </cell>
          <cell r="F6789" t="str">
            <v>FI-Convexity</v>
          </cell>
          <cell r="G6789" t="str">
            <v>FI-Other</v>
          </cell>
          <cell r="H6789" t="str">
            <v>RATES</v>
          </cell>
          <cell r="I6789" t="str">
            <v>Convexity</v>
          </cell>
        </row>
        <row r="6790">
          <cell r="A6790" t="str">
            <v>ICIIX</v>
          </cell>
          <cell r="B6790" t="str">
            <v>Barclays Intelligent Carry</v>
          </cell>
          <cell r="C6790" t="str">
            <v>-BRS_GOLD_1:ICIIX</v>
          </cell>
          <cell r="D6790" t="str">
            <v>Index</v>
          </cell>
          <cell r="E6790" t="str">
            <v>Index Level</v>
          </cell>
          <cell r="F6790" t="str">
            <v>Other</v>
          </cell>
          <cell r="G6790" t="str">
            <v>Other</v>
          </cell>
          <cell r="H6790" t="str">
            <v>OTHER</v>
          </cell>
          <cell r="I6790" t="str">
            <v>Other - Index</v>
          </cell>
        </row>
        <row r="6791">
          <cell r="A6791" t="str">
            <v>IDR_10yr_10yr</v>
          </cell>
          <cell r="B6791" t="str">
            <v>IDR 10Y ^2</v>
          </cell>
          <cell r="C6791" t="str">
            <v>-BRS_GOLD_1:IDR_10yr_10yr</v>
          </cell>
          <cell r="D6791" t="str">
            <v>Convexity</v>
          </cell>
          <cell r="E6791" t="str">
            <v>Convexity</v>
          </cell>
          <cell r="F6791" t="str">
            <v>FI-Convexity</v>
          </cell>
          <cell r="G6791" t="str">
            <v>FI-Other</v>
          </cell>
          <cell r="H6791" t="str">
            <v>RATES</v>
          </cell>
          <cell r="I6791" t="str">
            <v>Convexity</v>
          </cell>
        </row>
        <row r="6792">
          <cell r="A6792" t="str">
            <v>ILS_10yr_10yr</v>
          </cell>
          <cell r="B6792" t="str">
            <v>ILS 10Y ^2</v>
          </cell>
          <cell r="C6792" t="str">
            <v>-BRS_GOLD_1:ILS_10yr_10yr</v>
          </cell>
          <cell r="D6792" t="str">
            <v>Convexity</v>
          </cell>
          <cell r="E6792" t="str">
            <v>Convexity</v>
          </cell>
          <cell r="F6792" t="str">
            <v>FI-Convexity</v>
          </cell>
          <cell r="G6792" t="str">
            <v>FI-Other</v>
          </cell>
          <cell r="H6792" t="str">
            <v>RATES</v>
          </cell>
          <cell r="I6792" t="str">
            <v>Convexity</v>
          </cell>
        </row>
        <row r="6793">
          <cell r="A6793" t="str">
            <v>ILS_libor_10yr</v>
          </cell>
          <cell r="B6793" t="str">
            <v>ILS LIB 10Y</v>
          </cell>
          <cell r="C6793" t="str">
            <v>-BRS_GOLD_1:ILS_libor_10yr</v>
          </cell>
          <cell r="D6793" t="str">
            <v>Libor KRD</v>
          </cell>
          <cell r="E6793" t="str">
            <v>Yield</v>
          </cell>
          <cell r="F6793" t="str">
            <v>SP-Other</v>
          </cell>
          <cell r="G6793" t="str">
            <v>SP-Other</v>
          </cell>
          <cell r="H6793" t="str">
            <v>SPREADS</v>
          </cell>
          <cell r="I6793" t="str">
            <v>Swap Spread - Libor</v>
          </cell>
        </row>
        <row r="6794">
          <cell r="A6794" t="str">
            <v>ILS_libor_15yr</v>
          </cell>
          <cell r="B6794" t="str">
            <v>ILS LIB 15Y</v>
          </cell>
          <cell r="C6794" t="str">
            <v>-BRS_GOLD_1:ILS_libor_15yr</v>
          </cell>
          <cell r="D6794" t="str">
            <v>Libor KRD</v>
          </cell>
          <cell r="E6794" t="str">
            <v>Yield</v>
          </cell>
          <cell r="F6794" t="str">
            <v>SP-Other</v>
          </cell>
          <cell r="G6794" t="str">
            <v>SP-Other</v>
          </cell>
          <cell r="H6794" t="str">
            <v>SPREADS</v>
          </cell>
          <cell r="I6794" t="str">
            <v>Swap Spread - Libor</v>
          </cell>
        </row>
        <row r="6795">
          <cell r="A6795" t="str">
            <v>ILS_libor_1yr</v>
          </cell>
          <cell r="B6795" t="str">
            <v>ILS LIB 1Y</v>
          </cell>
          <cell r="C6795" t="str">
            <v>-BRS_GOLD_1:ILS_libor_1yr</v>
          </cell>
          <cell r="D6795" t="str">
            <v>Libor KRD</v>
          </cell>
          <cell r="E6795" t="str">
            <v>Yield</v>
          </cell>
          <cell r="F6795" t="str">
            <v>SP-Other</v>
          </cell>
          <cell r="G6795" t="str">
            <v>SP-Other</v>
          </cell>
          <cell r="H6795" t="str">
            <v>SPREADS</v>
          </cell>
          <cell r="I6795" t="str">
            <v>Swap Spread - Libor</v>
          </cell>
        </row>
        <row r="6796">
          <cell r="A6796" t="str">
            <v>ILS_libor_20yr</v>
          </cell>
          <cell r="B6796" t="str">
            <v>ILS LIB 20Y</v>
          </cell>
          <cell r="C6796" t="str">
            <v>-BRS_GOLD_1:ILS_libor_20yr</v>
          </cell>
          <cell r="D6796" t="str">
            <v>Libor KRD</v>
          </cell>
          <cell r="E6796" t="str">
            <v>Yield</v>
          </cell>
          <cell r="F6796" t="str">
            <v>SP-Other</v>
          </cell>
          <cell r="G6796" t="str">
            <v>SP-Other</v>
          </cell>
          <cell r="H6796" t="str">
            <v>SPREADS</v>
          </cell>
          <cell r="I6796" t="str">
            <v>Swap Spread - Libor</v>
          </cell>
        </row>
        <row r="6797">
          <cell r="A6797" t="str">
            <v>ILS_libor_25yr</v>
          </cell>
          <cell r="B6797" t="str">
            <v>ILS LIB 25Y</v>
          </cell>
          <cell r="C6797" t="str">
            <v>-BRS_GOLD_1:ILS_libor_25yr</v>
          </cell>
          <cell r="D6797" t="str">
            <v>Libor KRD</v>
          </cell>
          <cell r="E6797" t="str">
            <v>Yield</v>
          </cell>
          <cell r="F6797" t="str">
            <v>SP-Other</v>
          </cell>
          <cell r="G6797" t="str">
            <v>SP-Other</v>
          </cell>
          <cell r="H6797" t="str">
            <v>SPREADS</v>
          </cell>
          <cell r="I6797" t="str">
            <v>Swap Spread - Libor</v>
          </cell>
        </row>
        <row r="6798">
          <cell r="A6798" t="str">
            <v>ILS_libor_2yr</v>
          </cell>
          <cell r="B6798" t="str">
            <v>ILS LIB 2Y</v>
          </cell>
          <cell r="C6798" t="str">
            <v>-BRS_GOLD_1:ILS_libor_2yr</v>
          </cell>
          <cell r="D6798" t="str">
            <v>Libor KRD</v>
          </cell>
          <cell r="E6798" t="str">
            <v>Yield</v>
          </cell>
          <cell r="F6798" t="str">
            <v>SP-Other</v>
          </cell>
          <cell r="G6798" t="str">
            <v>SP-Other</v>
          </cell>
          <cell r="H6798" t="str">
            <v>SPREADS</v>
          </cell>
          <cell r="I6798" t="str">
            <v>Swap Spread - Libor</v>
          </cell>
        </row>
        <row r="6799">
          <cell r="A6799" t="str">
            <v>ILS_libor_30yr</v>
          </cell>
          <cell r="B6799" t="str">
            <v>ILS LIB 30Y</v>
          </cell>
          <cell r="C6799" t="str">
            <v>-BRS_GOLD_1:ILS_libor_30yr</v>
          </cell>
          <cell r="D6799" t="str">
            <v>Libor KRD</v>
          </cell>
          <cell r="E6799" t="str">
            <v>Yield</v>
          </cell>
          <cell r="F6799" t="str">
            <v>SP-Other</v>
          </cell>
          <cell r="G6799" t="str">
            <v>SP-Other</v>
          </cell>
          <cell r="H6799" t="str">
            <v>SPREADS</v>
          </cell>
          <cell r="I6799" t="str">
            <v>Swap Spread - Libor</v>
          </cell>
        </row>
        <row r="6800">
          <cell r="A6800" t="str">
            <v>ILS_libor_3m</v>
          </cell>
          <cell r="B6800" t="str">
            <v>ILS LIB 3M</v>
          </cell>
          <cell r="C6800" t="str">
            <v>-BRS_GOLD_1:ILS_libor_3m</v>
          </cell>
          <cell r="D6800" t="str">
            <v>Libor KRD</v>
          </cell>
          <cell r="E6800" t="str">
            <v>Yield</v>
          </cell>
          <cell r="F6800" t="str">
            <v>SP-Other</v>
          </cell>
          <cell r="G6800" t="str">
            <v>SP-Other</v>
          </cell>
          <cell r="H6800" t="str">
            <v>SPREADS</v>
          </cell>
          <cell r="I6800" t="str">
            <v>Swap Spread - Libor</v>
          </cell>
        </row>
        <row r="6801">
          <cell r="A6801" t="str">
            <v>ILS_libor_3yr</v>
          </cell>
          <cell r="B6801" t="str">
            <v>ILS LIB 3Y</v>
          </cell>
          <cell r="C6801" t="str">
            <v>-BRS_GOLD_1:ILS_libor_3yr</v>
          </cell>
          <cell r="D6801" t="str">
            <v>Libor KRD</v>
          </cell>
          <cell r="E6801" t="str">
            <v>Yield</v>
          </cell>
          <cell r="F6801" t="str">
            <v>SP-Other</v>
          </cell>
          <cell r="G6801" t="str">
            <v>SP-Other</v>
          </cell>
          <cell r="H6801" t="str">
            <v>SPREADS</v>
          </cell>
          <cell r="I6801" t="str">
            <v>Swap Spread - Libor</v>
          </cell>
        </row>
        <row r="6802">
          <cell r="A6802" t="str">
            <v>ILS_libor_5yr</v>
          </cell>
          <cell r="B6802" t="str">
            <v>ILS LIB 5Y</v>
          </cell>
          <cell r="C6802" t="str">
            <v>-BRS_GOLD_1:ILS_libor_5yr</v>
          </cell>
          <cell r="D6802" t="str">
            <v>Libor KRD</v>
          </cell>
          <cell r="E6802" t="str">
            <v>Yield</v>
          </cell>
          <cell r="F6802" t="str">
            <v>SP-Other</v>
          </cell>
          <cell r="G6802" t="str">
            <v>SP-Other</v>
          </cell>
          <cell r="H6802" t="str">
            <v>SPREADS</v>
          </cell>
          <cell r="I6802" t="str">
            <v>Swap Spread - Libor</v>
          </cell>
        </row>
        <row r="6803">
          <cell r="A6803" t="str">
            <v>ILS_libor_7yr</v>
          </cell>
          <cell r="B6803" t="str">
            <v>ILS LIB 7Y</v>
          </cell>
          <cell r="C6803" t="str">
            <v>-BRS_GOLD_1:ILS_libor_7yr</v>
          </cell>
          <cell r="D6803" t="str">
            <v>Libor KRD</v>
          </cell>
          <cell r="E6803" t="str">
            <v>Yield</v>
          </cell>
          <cell r="F6803" t="str">
            <v>SP-Other</v>
          </cell>
          <cell r="G6803" t="str">
            <v>SP-Other</v>
          </cell>
          <cell r="H6803" t="str">
            <v>SPREADS</v>
          </cell>
          <cell r="I6803" t="str">
            <v>Swap Spread - Libor</v>
          </cell>
        </row>
        <row r="6804">
          <cell r="A6804" t="str">
            <v>INR_10yr_10yr</v>
          </cell>
          <cell r="B6804" t="str">
            <v>INR 10Y ^2</v>
          </cell>
          <cell r="C6804" t="str">
            <v>-BRS_GOLD_1:INR_10yr_10yr</v>
          </cell>
          <cell r="D6804" t="str">
            <v>Convexity</v>
          </cell>
          <cell r="E6804" t="str">
            <v>Convexity</v>
          </cell>
          <cell r="F6804" t="str">
            <v>FI-Convexity</v>
          </cell>
          <cell r="G6804" t="str">
            <v>FI-Other</v>
          </cell>
          <cell r="H6804" t="str">
            <v>RATES</v>
          </cell>
          <cell r="I6804" t="str">
            <v>Convexity</v>
          </cell>
        </row>
        <row r="6805">
          <cell r="A6805" t="str">
            <v>ITRAXX_XO</v>
          </cell>
          <cell r="B6805" t="str">
            <v>ITRAXX.XO.5</v>
          </cell>
          <cell r="C6805" t="str">
            <v>-BRS_GOLD_1:ITRAXX_XO</v>
          </cell>
          <cell r="D6805" t="str">
            <v>Spread Duration</v>
          </cell>
          <cell r="E6805" t="str">
            <v>Spread Yield</v>
          </cell>
          <cell r="F6805" t="str">
            <v>Other</v>
          </cell>
          <cell r="G6805" t="str">
            <v>Other</v>
          </cell>
          <cell r="H6805" t="str">
            <v>OTHER</v>
          </cell>
          <cell r="I6805" t="str">
            <v>Other - Spread Yield</v>
          </cell>
        </row>
        <row r="6806">
          <cell r="A6806" t="str">
            <v>J5</v>
          </cell>
          <cell r="B6806" t="str">
            <v>Barclays Capital 05 Yr JPY Swa</v>
          </cell>
          <cell r="C6806" t="str">
            <v>-BRS_GOLD_1:J5</v>
          </cell>
          <cell r="D6806" t="str">
            <v>Index</v>
          </cell>
          <cell r="E6806" t="str">
            <v>Index Level</v>
          </cell>
          <cell r="F6806" t="str">
            <v>Other</v>
          </cell>
          <cell r="G6806" t="str">
            <v>Other</v>
          </cell>
          <cell r="H6806" t="str">
            <v>OTHER</v>
          </cell>
          <cell r="I6806" t="str">
            <v>Other - Index</v>
          </cell>
        </row>
        <row r="6807">
          <cell r="A6807" t="str">
            <v>JPMCDSBSIS</v>
          </cell>
          <cell r="B6807" t="str">
            <v>High Yield CDS Basis Chg.</v>
          </cell>
          <cell r="C6807" t="str">
            <v>-BRS_GOLD_1:JPMCDSBSIS</v>
          </cell>
          <cell r="D6807" t="str">
            <v>Index</v>
          </cell>
          <cell r="E6807" t="str">
            <v>Index Level</v>
          </cell>
          <cell r="F6807" t="str">
            <v>Other</v>
          </cell>
          <cell r="G6807" t="str">
            <v>Other</v>
          </cell>
          <cell r="H6807" t="str">
            <v>OTHER</v>
          </cell>
          <cell r="I6807" t="str">
            <v>Other - Index</v>
          </cell>
        </row>
        <row r="6808">
          <cell r="A6808" t="str">
            <v>JPRE</v>
          </cell>
          <cell r="B6808" t="str">
            <v>Japan RE Public</v>
          </cell>
          <cell r="C6808" t="str">
            <v>-BRS_GOLD_1:JPRE</v>
          </cell>
          <cell r="D6808" t="str">
            <v>Index</v>
          </cell>
          <cell r="E6808" t="str">
            <v>Index Level</v>
          </cell>
          <cell r="F6808" t="str">
            <v>Other</v>
          </cell>
          <cell r="G6808" t="str">
            <v>Other</v>
          </cell>
          <cell r="H6808" t="str">
            <v>OTHER</v>
          </cell>
          <cell r="I6808" t="str">
            <v>Other - Index</v>
          </cell>
        </row>
        <row r="6809">
          <cell r="A6809" t="str">
            <v>JPYSWAP02</v>
          </cell>
          <cell r="B6809" t="str">
            <v>Barclays Capital 02 Yr JPY Swa</v>
          </cell>
          <cell r="C6809" t="str">
            <v>-BRS_GOLD_1:JPYSWAP02</v>
          </cell>
          <cell r="D6809" t="str">
            <v>Index</v>
          </cell>
          <cell r="E6809" t="str">
            <v>Index Level</v>
          </cell>
          <cell r="F6809" t="str">
            <v>Other</v>
          </cell>
          <cell r="G6809" t="str">
            <v>Other</v>
          </cell>
          <cell r="H6809" t="str">
            <v>OTHER</v>
          </cell>
          <cell r="I6809" t="str">
            <v>Other - Index</v>
          </cell>
        </row>
        <row r="6810">
          <cell r="A6810" t="str">
            <v>JPYSWAP05</v>
          </cell>
          <cell r="B6810" t="str">
            <v>Barclays Capital 05 Yr JPY Swa</v>
          </cell>
          <cell r="C6810" t="str">
            <v>-BRS_GOLD_1:JPYSWAP05</v>
          </cell>
          <cell r="D6810" t="str">
            <v>Index</v>
          </cell>
          <cell r="E6810" t="str">
            <v>Index Level</v>
          </cell>
          <cell r="F6810" t="str">
            <v>Other</v>
          </cell>
          <cell r="G6810" t="str">
            <v>Other</v>
          </cell>
          <cell r="H6810" t="str">
            <v>OTHER</v>
          </cell>
          <cell r="I6810" t="str">
            <v>Other - Index</v>
          </cell>
        </row>
        <row r="6811">
          <cell r="A6811" t="str">
            <v>JPYSWAP10</v>
          </cell>
          <cell r="B6811" t="str">
            <v>Barclays Capital 10 Yr JPY Swa</v>
          </cell>
          <cell r="C6811" t="str">
            <v>-BRS_GOLD_1:JPYSWAP10</v>
          </cell>
          <cell r="D6811" t="str">
            <v>Index</v>
          </cell>
          <cell r="E6811" t="str">
            <v>Index Level</v>
          </cell>
          <cell r="F6811" t="str">
            <v>Other</v>
          </cell>
          <cell r="G6811" t="str">
            <v>Other</v>
          </cell>
          <cell r="H6811" t="str">
            <v>OTHER</v>
          </cell>
          <cell r="I6811" t="str">
            <v>Other - Index</v>
          </cell>
        </row>
        <row r="6812">
          <cell r="A6812" t="str">
            <v>JPY_COMD_MND_1</v>
          </cell>
          <cell r="B6812" t="str">
            <v>NIKKEI Dividend 1</v>
          </cell>
          <cell r="C6812" t="str">
            <v>-BRS_GOLD_1:JPY_COMD_MND_1</v>
          </cell>
          <cell r="D6812" t="str">
            <v>Index</v>
          </cell>
          <cell r="E6812" t="str">
            <v>Index Level</v>
          </cell>
          <cell r="F6812" t="str">
            <v>Other</v>
          </cell>
          <cell r="G6812" t="str">
            <v>Other</v>
          </cell>
          <cell r="H6812" t="str">
            <v>OTHER</v>
          </cell>
          <cell r="I6812" t="str">
            <v>Other - Index</v>
          </cell>
        </row>
        <row r="6813">
          <cell r="A6813" t="str">
            <v>JPY_COMD_MND_2</v>
          </cell>
          <cell r="B6813" t="str">
            <v>NIKKEI Dividend 2</v>
          </cell>
          <cell r="C6813" t="str">
            <v>-BRS_GOLD_1:JPY_COMD_MND_2</v>
          </cell>
          <cell r="D6813" t="str">
            <v>Index</v>
          </cell>
          <cell r="E6813" t="str">
            <v>Index Level</v>
          </cell>
          <cell r="F6813" t="str">
            <v>Other</v>
          </cell>
          <cell r="G6813" t="str">
            <v>Other</v>
          </cell>
          <cell r="H6813" t="str">
            <v>OTHER</v>
          </cell>
          <cell r="I6813" t="str">
            <v>Other - Index</v>
          </cell>
        </row>
        <row r="6814">
          <cell r="A6814" t="str">
            <v>JPY_COMD_MND_3</v>
          </cell>
          <cell r="B6814" t="str">
            <v>NIKKEI Dividend 3</v>
          </cell>
          <cell r="C6814" t="str">
            <v>-BRS_GOLD_1:JPY_COMD_MND_3</v>
          </cell>
          <cell r="D6814" t="str">
            <v>Index</v>
          </cell>
          <cell r="E6814" t="str">
            <v>Index Level</v>
          </cell>
          <cell r="F6814" t="str">
            <v>Other</v>
          </cell>
          <cell r="G6814" t="str">
            <v>Other</v>
          </cell>
          <cell r="H6814" t="str">
            <v>OTHER</v>
          </cell>
          <cell r="I6814" t="str">
            <v>Other - Index</v>
          </cell>
        </row>
        <row r="6815">
          <cell r="A6815" t="str">
            <v>JPY_COMD_MND_4</v>
          </cell>
          <cell r="B6815" t="str">
            <v>NIKKEI Dividend 4</v>
          </cell>
          <cell r="C6815" t="str">
            <v>-BRS_GOLD_1:JPY_COMD_MND_4</v>
          </cell>
          <cell r="D6815" t="str">
            <v>Index</v>
          </cell>
          <cell r="E6815" t="str">
            <v>Index Level</v>
          </cell>
          <cell r="F6815" t="str">
            <v>Other</v>
          </cell>
          <cell r="G6815" t="str">
            <v>Other</v>
          </cell>
          <cell r="H6815" t="str">
            <v>OTHER</v>
          </cell>
          <cell r="I6815" t="str">
            <v>Other - Index</v>
          </cell>
        </row>
        <row r="6816">
          <cell r="A6816" t="str">
            <v>JPY_COMD_MND_5</v>
          </cell>
          <cell r="B6816" t="str">
            <v>NIKKEI Dividend 5</v>
          </cell>
          <cell r="C6816" t="str">
            <v>-BRS_GOLD_1:JPY_COMD_MND_5</v>
          </cell>
          <cell r="D6816" t="str">
            <v>Index</v>
          </cell>
          <cell r="E6816" t="str">
            <v>Index Level</v>
          </cell>
          <cell r="F6816" t="str">
            <v>Other</v>
          </cell>
          <cell r="G6816" t="str">
            <v>Other</v>
          </cell>
          <cell r="H6816" t="str">
            <v>OTHER</v>
          </cell>
          <cell r="I6816" t="str">
            <v>Other - Index</v>
          </cell>
        </row>
        <row r="6817">
          <cell r="A6817" t="str">
            <v>JPY_COMD_MND_6</v>
          </cell>
          <cell r="B6817" t="str">
            <v>NIKKEI Dividend 6</v>
          </cell>
          <cell r="C6817" t="str">
            <v>-BRS_GOLD_1:JPY_COMD_MND_6</v>
          </cell>
          <cell r="D6817" t="str">
            <v>Index</v>
          </cell>
          <cell r="E6817" t="str">
            <v>Index Level</v>
          </cell>
          <cell r="F6817" t="str">
            <v>Other</v>
          </cell>
          <cell r="G6817" t="str">
            <v>Other</v>
          </cell>
          <cell r="H6817" t="str">
            <v>OTHER</v>
          </cell>
          <cell r="I6817" t="str">
            <v>Other - Index</v>
          </cell>
        </row>
        <row r="6818">
          <cell r="A6818" t="str">
            <v>JPY_COMD_MND_7</v>
          </cell>
          <cell r="B6818" t="str">
            <v>NIKKEI Dividend 7</v>
          </cell>
          <cell r="C6818" t="str">
            <v>-BRS_GOLD_1:JPY_COMD_MND_7</v>
          </cell>
          <cell r="D6818" t="str">
            <v>Index</v>
          </cell>
          <cell r="E6818" t="str">
            <v>Index Level</v>
          </cell>
          <cell r="F6818" t="str">
            <v>Other</v>
          </cell>
          <cell r="G6818" t="str">
            <v>Other</v>
          </cell>
          <cell r="H6818" t="str">
            <v>OTHER</v>
          </cell>
          <cell r="I6818" t="str">
            <v>Other - Index</v>
          </cell>
        </row>
        <row r="6819">
          <cell r="A6819" t="str">
            <v>JPY_CORP_AGG_20YN</v>
          </cell>
          <cell r="B6819" t="str">
            <v>JP Maturity 20</v>
          </cell>
          <cell r="C6819" t="str">
            <v>-BRS_GOLD_1:JPY_CORP_AGG_20YN</v>
          </cell>
          <cell r="D6819" t="str">
            <v>Spread Duration</v>
          </cell>
          <cell r="E6819" t="str">
            <v>Spread Yield (DxS)</v>
          </cell>
          <cell r="F6819" t="str">
            <v>SP-Corporate IG Other</v>
          </cell>
          <cell r="G6819" t="str">
            <v>SP-Spread Corporate</v>
          </cell>
          <cell r="H6819" t="str">
            <v>SPREADS</v>
          </cell>
          <cell r="I6819" t="str">
            <v>Corporate IG Other - Maturity</v>
          </cell>
        </row>
        <row r="6820">
          <cell r="A6820" t="str">
            <v>JPY_CORP_AGG_2YN</v>
          </cell>
          <cell r="B6820" t="str">
            <v>JP Maturity 2</v>
          </cell>
          <cell r="C6820" t="str">
            <v>-BRS_GOLD_1:JPY_CORP_AGG_2YN</v>
          </cell>
          <cell r="D6820" t="str">
            <v>Spread Duration</v>
          </cell>
          <cell r="E6820" t="str">
            <v>Spread Yield (DxS)</v>
          </cell>
          <cell r="F6820" t="str">
            <v>SP-Corporate IG Other</v>
          </cell>
          <cell r="G6820" t="str">
            <v>SP-Spread Corporate</v>
          </cell>
          <cell r="H6820" t="str">
            <v>SPREADS</v>
          </cell>
          <cell r="I6820" t="str">
            <v>Corporate IG Other - Maturity</v>
          </cell>
        </row>
        <row r="6821">
          <cell r="A6821" t="str">
            <v>JPY_INF_40yr</v>
          </cell>
          <cell r="B6821" t="str">
            <v>JPY INF 40Y</v>
          </cell>
          <cell r="C6821" t="str">
            <v>-BRS_GOLD_1:JPY_INF_40yr</v>
          </cell>
          <cell r="D6821" t="str">
            <v>Inflation Duration</v>
          </cell>
          <cell r="E6821" t="str">
            <v>Yield</v>
          </cell>
          <cell r="F6821" t="str">
            <v>Other</v>
          </cell>
          <cell r="G6821" t="str">
            <v>Other</v>
          </cell>
          <cell r="H6821" t="str">
            <v>OTHER</v>
          </cell>
          <cell r="I6821" t="str">
            <v>Other - Inflation</v>
          </cell>
        </row>
        <row r="6822">
          <cell r="A6822" t="str">
            <v>JPY_INF_50yr</v>
          </cell>
          <cell r="B6822" t="str">
            <v>JPY INF 50Y</v>
          </cell>
          <cell r="C6822" t="str">
            <v>-BRS_GOLD_1:JPY_INF_50yr</v>
          </cell>
          <cell r="D6822" t="str">
            <v>Inflation Duration</v>
          </cell>
          <cell r="E6822" t="str">
            <v>Yield</v>
          </cell>
          <cell r="F6822" t="str">
            <v>Other</v>
          </cell>
          <cell r="G6822" t="str">
            <v>Other</v>
          </cell>
          <cell r="H6822" t="str">
            <v>OTHER</v>
          </cell>
          <cell r="I6822" t="str">
            <v>Other - Inflation</v>
          </cell>
        </row>
        <row r="6823">
          <cell r="A6823" t="str">
            <v>JPY_libor_40yr</v>
          </cell>
          <cell r="B6823" t="str">
            <v>JPY LIBOR 40Y</v>
          </cell>
          <cell r="C6823" t="str">
            <v>-BRS_GOLD_1:JPY_libor_40yr</v>
          </cell>
          <cell r="D6823" t="str">
            <v>Libor KRD</v>
          </cell>
          <cell r="E6823" t="str">
            <v>Yield</v>
          </cell>
          <cell r="F6823" t="str">
            <v>SP-Other</v>
          </cell>
          <cell r="G6823" t="str">
            <v>SP-Other</v>
          </cell>
          <cell r="H6823" t="str">
            <v>SPREADS</v>
          </cell>
          <cell r="I6823" t="str">
            <v>Swap Spread - Libor</v>
          </cell>
        </row>
        <row r="6824">
          <cell r="A6824" t="str">
            <v>JPY_libor_50yr</v>
          </cell>
          <cell r="B6824" t="str">
            <v>JPY LIBOR 50Y</v>
          </cell>
          <cell r="C6824" t="str">
            <v>-BRS_GOLD_1:JPY_libor_50yr</v>
          </cell>
          <cell r="D6824" t="str">
            <v>Libor KRD</v>
          </cell>
          <cell r="E6824" t="str">
            <v>Yield</v>
          </cell>
          <cell r="F6824" t="str">
            <v>SP-Other</v>
          </cell>
          <cell r="G6824" t="str">
            <v>SP-Other</v>
          </cell>
          <cell r="H6824" t="str">
            <v>SPREADS</v>
          </cell>
          <cell r="I6824" t="str">
            <v>Swap Spread - Libor</v>
          </cell>
        </row>
        <row r="6825">
          <cell r="A6825" t="str">
            <v>JSP2</v>
          </cell>
          <cell r="B6825" t="str">
            <v>Barclays Capital 02 Yr JPY Swa</v>
          </cell>
          <cell r="C6825" t="str">
            <v>-BRS_GOLD_1:JSP2</v>
          </cell>
          <cell r="D6825" t="str">
            <v>Index</v>
          </cell>
          <cell r="E6825" t="str">
            <v>Index Level</v>
          </cell>
          <cell r="F6825" t="str">
            <v>Other</v>
          </cell>
          <cell r="G6825" t="str">
            <v>Other</v>
          </cell>
          <cell r="H6825" t="str">
            <v>OTHER</v>
          </cell>
          <cell r="I6825" t="str">
            <v>Other - Index</v>
          </cell>
        </row>
        <row r="6826">
          <cell r="A6826" t="str">
            <v>JT</v>
          </cell>
          <cell r="B6826" t="str">
            <v>Barclays Capital 10 Yr JPY Swa</v>
          </cell>
          <cell r="C6826" t="str">
            <v>-BRS_GOLD_1:JT</v>
          </cell>
          <cell r="D6826" t="str">
            <v>Index</v>
          </cell>
          <cell r="E6826" t="str">
            <v>Index Level</v>
          </cell>
          <cell r="F6826" t="str">
            <v>Other</v>
          </cell>
          <cell r="G6826" t="str">
            <v>Other</v>
          </cell>
          <cell r="H6826" t="str">
            <v>OTHER</v>
          </cell>
          <cell r="I6826" t="str">
            <v>Other - Index</v>
          </cell>
        </row>
        <row r="6827">
          <cell r="A6827" t="str">
            <v>KRW_10yr_10yr</v>
          </cell>
          <cell r="B6827" t="str">
            <v>KRW 10Y ^2</v>
          </cell>
          <cell r="C6827" t="str">
            <v>-BRS_GOLD_1:KRW_10yr_10yr</v>
          </cell>
          <cell r="D6827" t="str">
            <v>Convexity</v>
          </cell>
          <cell r="E6827" t="str">
            <v>Convexity</v>
          </cell>
          <cell r="F6827" t="str">
            <v>FI-Convexity</v>
          </cell>
          <cell r="G6827" t="str">
            <v>FI-Other</v>
          </cell>
          <cell r="H6827" t="str">
            <v>RATES</v>
          </cell>
          <cell r="I6827" t="str">
            <v>Convexity</v>
          </cell>
        </row>
        <row r="6828">
          <cell r="A6828" t="str">
            <v>LE</v>
          </cell>
          <cell r="B6828" t="str">
            <v>Euro Cash Indices LIBOR TR 3M</v>
          </cell>
          <cell r="C6828" t="str">
            <v>-BRS_GOLD_1:LE</v>
          </cell>
          <cell r="D6828" t="str">
            <v>Index</v>
          </cell>
          <cell r="E6828" t="str">
            <v>Index Level</v>
          </cell>
          <cell r="F6828" t="str">
            <v>Other</v>
          </cell>
          <cell r="G6828" t="str">
            <v>Other</v>
          </cell>
          <cell r="H6828" t="str">
            <v>OTHER</v>
          </cell>
          <cell r="I6828" t="str">
            <v>Other - Index</v>
          </cell>
        </row>
        <row r="6829">
          <cell r="A6829" t="str">
            <v>LECRD</v>
          </cell>
          <cell r="B6829" t="str">
            <v>Barclays Capital Euro Credit I</v>
          </cell>
          <cell r="C6829" t="str">
            <v>-BRS_GOLD_1:LECRD</v>
          </cell>
          <cell r="D6829" t="str">
            <v>Index</v>
          </cell>
          <cell r="E6829" t="str">
            <v>Index Level</v>
          </cell>
          <cell r="F6829" t="str">
            <v>Other</v>
          </cell>
          <cell r="G6829" t="str">
            <v>Other</v>
          </cell>
          <cell r="H6829" t="str">
            <v>OTHER</v>
          </cell>
          <cell r="I6829" t="str">
            <v>Other - Index</v>
          </cell>
        </row>
        <row r="6830">
          <cell r="A6830" t="str">
            <v>LEHCMBSINV</v>
          </cell>
          <cell r="B6830" t="str">
            <v>LEHCMBSINV</v>
          </cell>
          <cell r="C6830" t="str">
            <v>-BRS_GOLD_1:LEHCMBSINV</v>
          </cell>
          <cell r="D6830" t="str">
            <v>Index</v>
          </cell>
          <cell r="E6830" t="str">
            <v>Index Level</v>
          </cell>
          <cell r="F6830" t="str">
            <v>Other</v>
          </cell>
          <cell r="G6830" t="str">
            <v>Other</v>
          </cell>
          <cell r="H6830" t="str">
            <v>OTHER</v>
          </cell>
          <cell r="I6830" t="str">
            <v>Other - Index</v>
          </cell>
        </row>
        <row r="6831">
          <cell r="A6831" t="str">
            <v>LEHCREDJP</v>
          </cell>
          <cell r="B6831" t="str">
            <v>BARCLAYS CAPITAL JAPANESE CRED</v>
          </cell>
          <cell r="C6831" t="str">
            <v>-BRS_GOLD_1:LEHCREDJP</v>
          </cell>
          <cell r="D6831" t="str">
            <v>Index</v>
          </cell>
          <cell r="E6831" t="str">
            <v>Index Level</v>
          </cell>
          <cell r="F6831" t="str">
            <v>Other</v>
          </cell>
          <cell r="G6831" t="str">
            <v>Other</v>
          </cell>
          <cell r="H6831" t="str">
            <v>OTHER</v>
          </cell>
          <cell r="I6831" t="str">
            <v>Other - Index</v>
          </cell>
        </row>
        <row r="6832">
          <cell r="A6832" t="str">
            <v>LEHEUROCRD</v>
          </cell>
          <cell r="B6832" t="str">
            <v>Barclays Capital Euro Credit I</v>
          </cell>
          <cell r="C6832" t="str">
            <v>-BRS_GOLD_1:LEHEUROCRD</v>
          </cell>
          <cell r="D6832" t="str">
            <v>Index</v>
          </cell>
          <cell r="E6832" t="str">
            <v>Index Level</v>
          </cell>
          <cell r="F6832" t="str">
            <v>Other</v>
          </cell>
          <cell r="G6832" t="str">
            <v>Other</v>
          </cell>
          <cell r="H6832" t="str">
            <v>OTHER</v>
          </cell>
          <cell r="I6832" t="str">
            <v>Other - Index</v>
          </cell>
        </row>
        <row r="6833">
          <cell r="A6833" t="str">
            <v>LEHEURTSY</v>
          </cell>
          <cell r="B6833" t="str">
            <v>Barclays Capital Euro Agg TSY</v>
          </cell>
          <cell r="C6833" t="str">
            <v>-BRS_GOLD_1:LEHEURTSY</v>
          </cell>
          <cell r="D6833" t="str">
            <v>Index</v>
          </cell>
          <cell r="E6833" t="str">
            <v>Index Level</v>
          </cell>
          <cell r="F6833" t="str">
            <v>Other</v>
          </cell>
          <cell r="G6833" t="str">
            <v>Other</v>
          </cell>
          <cell r="H6833" t="str">
            <v>OTHER</v>
          </cell>
          <cell r="I6833" t="str">
            <v>Other - Index</v>
          </cell>
        </row>
        <row r="6834">
          <cell r="A6834" t="str">
            <v>LEHSWP02YR</v>
          </cell>
          <cell r="B6834" t="str">
            <v>Barclays Capital 2 Yr Swap Ind</v>
          </cell>
          <cell r="C6834" t="str">
            <v>-BRS_GOLD_1:LEHSWP02YR</v>
          </cell>
          <cell r="D6834" t="str">
            <v>Index</v>
          </cell>
          <cell r="E6834" t="str">
            <v>Index Level</v>
          </cell>
          <cell r="F6834" t="str">
            <v>Other</v>
          </cell>
          <cell r="G6834" t="str">
            <v>Other</v>
          </cell>
          <cell r="H6834" t="str">
            <v>OTHER</v>
          </cell>
          <cell r="I6834" t="str">
            <v>Other - Index</v>
          </cell>
        </row>
        <row r="6835">
          <cell r="A6835" t="str">
            <v>LEHSWP05YR</v>
          </cell>
          <cell r="B6835" t="str">
            <v>Barclays Capital 5 Yr Swap Ind</v>
          </cell>
          <cell r="C6835" t="str">
            <v>-BRS_GOLD_1:LEHSWP05YR</v>
          </cell>
          <cell r="D6835" t="str">
            <v>Index</v>
          </cell>
          <cell r="E6835" t="str">
            <v>Index Level</v>
          </cell>
          <cell r="F6835" t="str">
            <v>Other</v>
          </cell>
          <cell r="G6835" t="str">
            <v>Other</v>
          </cell>
          <cell r="H6835" t="str">
            <v>OTHER</v>
          </cell>
          <cell r="I6835" t="str">
            <v>Other - Index</v>
          </cell>
        </row>
        <row r="6836">
          <cell r="A6836" t="str">
            <v>LEHSWP10YR</v>
          </cell>
          <cell r="B6836" t="str">
            <v>Barclays Capital 10 Yr Swap In</v>
          </cell>
          <cell r="C6836" t="str">
            <v>-BRS_GOLD_1:LEHSWP10YR</v>
          </cell>
          <cell r="D6836" t="str">
            <v>Index</v>
          </cell>
          <cell r="E6836" t="str">
            <v>Index Level</v>
          </cell>
          <cell r="F6836" t="str">
            <v>Other</v>
          </cell>
          <cell r="G6836" t="str">
            <v>Other</v>
          </cell>
          <cell r="H6836" t="str">
            <v>OTHER</v>
          </cell>
          <cell r="I6836" t="str">
            <v>Other - Index</v>
          </cell>
        </row>
        <row r="6837">
          <cell r="A6837" t="str">
            <v>LEHY</v>
          </cell>
          <cell r="B6837" t="str">
            <v>Barclays Capital Euro Agg TSY</v>
          </cell>
          <cell r="C6837" t="str">
            <v>-BRS_GOLD_1:LEHY</v>
          </cell>
          <cell r="D6837" t="str">
            <v>Index</v>
          </cell>
          <cell r="E6837" t="str">
            <v>Index Level</v>
          </cell>
          <cell r="F6837" t="str">
            <v>Other</v>
          </cell>
          <cell r="G6837" t="str">
            <v>Other</v>
          </cell>
          <cell r="H6837" t="str">
            <v>OTHER</v>
          </cell>
          <cell r="I6837" t="str">
            <v>Other - Index</v>
          </cell>
        </row>
        <row r="6838">
          <cell r="A6838" t="str">
            <v>LEH_5YR</v>
          </cell>
          <cell r="B6838" t="str">
            <v>Barclays Capital 5-Year Bellwe</v>
          </cell>
          <cell r="C6838" t="str">
            <v>-BRS_GOLD_1:LEH_5YR</v>
          </cell>
          <cell r="D6838" t="str">
            <v>Index</v>
          </cell>
          <cell r="E6838" t="str">
            <v>Index Level</v>
          </cell>
          <cell r="F6838" t="str">
            <v>Other</v>
          </cell>
          <cell r="G6838" t="str">
            <v>Other</v>
          </cell>
          <cell r="H6838" t="str">
            <v>OTHER</v>
          </cell>
          <cell r="I6838" t="str">
            <v>Other - Index</v>
          </cell>
        </row>
        <row r="6839">
          <cell r="A6839" t="str">
            <v>LEH_CREDIT</v>
          </cell>
          <cell r="B6839" t="str">
            <v>Barclays Capital Credit Index</v>
          </cell>
          <cell r="C6839" t="str">
            <v>-BRS_GOLD_1:LEH_CREDIT</v>
          </cell>
          <cell r="D6839" t="str">
            <v>Index</v>
          </cell>
          <cell r="E6839" t="str">
            <v>Index Level</v>
          </cell>
          <cell r="F6839" t="str">
            <v>Other</v>
          </cell>
          <cell r="G6839" t="str">
            <v>Other</v>
          </cell>
          <cell r="H6839" t="str">
            <v>OTHER</v>
          </cell>
          <cell r="I6839" t="str">
            <v>Other - Index</v>
          </cell>
        </row>
        <row r="6840">
          <cell r="A6840" t="str">
            <v>LEH_EM</v>
          </cell>
          <cell r="B6840" t="str">
            <v>Barclays Capital Emerging Mark</v>
          </cell>
          <cell r="C6840" t="str">
            <v>-BRS_GOLD_1:LEH_EM</v>
          </cell>
          <cell r="D6840" t="str">
            <v>Index</v>
          </cell>
          <cell r="E6840" t="str">
            <v>Index Level</v>
          </cell>
          <cell r="F6840" t="str">
            <v>Other</v>
          </cell>
          <cell r="G6840" t="str">
            <v>Other</v>
          </cell>
          <cell r="H6840" t="str">
            <v>OTHER</v>
          </cell>
          <cell r="I6840" t="str">
            <v>Other - Index</v>
          </cell>
        </row>
        <row r="6841">
          <cell r="A6841" t="str">
            <v>LEH_HY</v>
          </cell>
          <cell r="B6841" t="str">
            <v>Barclays Capital U.S. Corporat</v>
          </cell>
          <cell r="C6841" t="str">
            <v>-BRS_GOLD_1:LEH_HY</v>
          </cell>
          <cell r="D6841" t="str">
            <v>Index</v>
          </cell>
          <cell r="E6841" t="str">
            <v>Index Level</v>
          </cell>
          <cell r="F6841" t="str">
            <v>Other</v>
          </cell>
          <cell r="G6841" t="str">
            <v>Other</v>
          </cell>
          <cell r="H6841" t="str">
            <v>OTHER</v>
          </cell>
          <cell r="I6841" t="str">
            <v>Other - Index</v>
          </cell>
        </row>
        <row r="6842">
          <cell r="A6842" t="str">
            <v>LEH_TSY</v>
          </cell>
          <cell r="B6842" t="str">
            <v>Barclays Capital Treasury Inde</v>
          </cell>
          <cell r="C6842" t="str">
            <v>-BRS_GOLD_1:LEH_TSY</v>
          </cell>
          <cell r="D6842" t="str">
            <v>Index</v>
          </cell>
          <cell r="E6842" t="str">
            <v>Index Level</v>
          </cell>
          <cell r="F6842" t="str">
            <v>Other</v>
          </cell>
          <cell r="G6842" t="str">
            <v>Other</v>
          </cell>
          <cell r="H6842" t="str">
            <v>OTHER</v>
          </cell>
          <cell r="I6842" t="str">
            <v>Other - Index</v>
          </cell>
        </row>
        <row r="6843">
          <cell r="A6843" t="str">
            <v>LETSY</v>
          </cell>
          <cell r="B6843" t="str">
            <v>Barclays Capital Pan-European</v>
          </cell>
          <cell r="C6843" t="str">
            <v>-BRS_GOLD_1:LETSY</v>
          </cell>
          <cell r="D6843" t="str">
            <v>Index</v>
          </cell>
          <cell r="E6843" t="str">
            <v>Index Level</v>
          </cell>
          <cell r="F6843" t="str">
            <v>Other</v>
          </cell>
          <cell r="G6843" t="str">
            <v>Other</v>
          </cell>
          <cell r="H6843" t="str">
            <v>OTHER</v>
          </cell>
          <cell r="I6843" t="str">
            <v>Other - Index</v>
          </cell>
        </row>
        <row r="6844">
          <cell r="A6844" t="str">
            <v>LJ</v>
          </cell>
          <cell r="B6844" t="str">
            <v>BOFA ML JPY 3MO LIBOR C</v>
          </cell>
          <cell r="C6844" t="str">
            <v>-BRS_GOLD_1:LJ</v>
          </cell>
          <cell r="D6844" t="str">
            <v>Index</v>
          </cell>
          <cell r="E6844" t="str">
            <v>Index Level</v>
          </cell>
          <cell r="F6844" t="str">
            <v>Other</v>
          </cell>
          <cell r="G6844" t="str">
            <v>Other</v>
          </cell>
          <cell r="H6844" t="str">
            <v>OTHER</v>
          </cell>
          <cell r="I6844" t="str">
            <v>Other - Index</v>
          </cell>
        </row>
        <row r="6845">
          <cell r="A6845" t="str">
            <v>LKR_10yr_10yr</v>
          </cell>
          <cell r="B6845" t="str">
            <v>LKR 10Y ^2</v>
          </cell>
          <cell r="C6845" t="str">
            <v>-BRS_GOLD_1:LKR_10yr_10yr</v>
          </cell>
          <cell r="D6845" t="str">
            <v>Convexity</v>
          </cell>
          <cell r="E6845" t="str">
            <v>Convexity</v>
          </cell>
          <cell r="F6845" t="str">
            <v>FI-Convexity</v>
          </cell>
          <cell r="G6845" t="str">
            <v>FI-Other</v>
          </cell>
          <cell r="H6845" t="str">
            <v>RATES</v>
          </cell>
          <cell r="I6845" t="str">
            <v>Convexity</v>
          </cell>
        </row>
        <row r="6846">
          <cell r="A6846" t="str">
            <v>LPANEUEMH</v>
          </cell>
          <cell r="B6846" t="str">
            <v>BARCLAYS PAN-EURO EMERGING MAR</v>
          </cell>
          <cell r="C6846" t="str">
            <v>-BRS_GOLD_1:LPANEUEMH</v>
          </cell>
          <cell r="D6846" t="str">
            <v>Index</v>
          </cell>
          <cell r="E6846" t="str">
            <v>Index Level</v>
          </cell>
          <cell r="F6846" t="str">
            <v>Other</v>
          </cell>
          <cell r="G6846" t="str">
            <v>Other</v>
          </cell>
          <cell r="H6846" t="str">
            <v>OTHER</v>
          </cell>
          <cell r="I6846" t="str">
            <v>Other - Index</v>
          </cell>
        </row>
        <row r="6847">
          <cell r="A6847" t="str">
            <v>LPNEUHYEUH</v>
          </cell>
          <cell r="B6847" t="str">
            <v>Barclays Capital Pan-European</v>
          </cell>
          <cell r="C6847" t="str">
            <v>-BRS_GOLD_1:LPNEUHYEUH</v>
          </cell>
          <cell r="D6847" t="str">
            <v>Index</v>
          </cell>
          <cell r="E6847" t="str">
            <v>Index Level</v>
          </cell>
          <cell r="F6847" t="str">
            <v>Other</v>
          </cell>
          <cell r="G6847" t="str">
            <v>Other</v>
          </cell>
          <cell r="H6847" t="str">
            <v>OTHER</v>
          </cell>
          <cell r="I6847" t="str">
            <v>Other - Index</v>
          </cell>
        </row>
        <row r="6848">
          <cell r="A6848" t="str">
            <v>LSP10</v>
          </cell>
          <cell r="B6848" t="str">
            <v>Barclays Capital 10 Yr Swap In</v>
          </cell>
          <cell r="C6848" t="str">
            <v>-BRS_GOLD_1:LSP10</v>
          </cell>
          <cell r="D6848" t="str">
            <v>Index</v>
          </cell>
          <cell r="E6848" t="str">
            <v>Index Level</v>
          </cell>
          <cell r="F6848" t="str">
            <v>Other</v>
          </cell>
          <cell r="G6848" t="str">
            <v>Other</v>
          </cell>
          <cell r="H6848" t="str">
            <v>OTHER</v>
          </cell>
          <cell r="I6848" t="str">
            <v>Other - Index</v>
          </cell>
        </row>
        <row r="6849">
          <cell r="A6849" t="str">
            <v>LSP2</v>
          </cell>
          <cell r="B6849" t="str">
            <v>Barclays Capital 2 Yr Swap Ind</v>
          </cell>
          <cell r="C6849" t="str">
            <v>-BRS_GOLD_1:LSP2</v>
          </cell>
          <cell r="D6849" t="str">
            <v>Index</v>
          </cell>
          <cell r="E6849" t="str">
            <v>Index Level</v>
          </cell>
          <cell r="F6849" t="str">
            <v>Other</v>
          </cell>
          <cell r="G6849" t="str">
            <v>Other</v>
          </cell>
          <cell r="H6849" t="str">
            <v>OTHER</v>
          </cell>
          <cell r="I6849" t="str">
            <v>Other - Index</v>
          </cell>
        </row>
        <row r="6850">
          <cell r="A6850" t="str">
            <v>LSP5</v>
          </cell>
          <cell r="B6850" t="str">
            <v>Barclays Capital 5 Yr Swap Ind</v>
          </cell>
          <cell r="C6850" t="str">
            <v>-BRS_GOLD_1:LSP5</v>
          </cell>
          <cell r="D6850" t="str">
            <v>Index</v>
          </cell>
          <cell r="E6850" t="str">
            <v>Index Level</v>
          </cell>
          <cell r="F6850" t="str">
            <v>Other</v>
          </cell>
          <cell r="G6850" t="str">
            <v>Other</v>
          </cell>
          <cell r="H6850" t="str">
            <v>OTHER</v>
          </cell>
          <cell r="I6850" t="str">
            <v>Other - Index</v>
          </cell>
        </row>
        <row r="6851">
          <cell r="A6851" t="str">
            <v>M700722</v>
          </cell>
          <cell r="B6851" t="str">
            <v>MSCI USA Small Cap ESG Leader</v>
          </cell>
          <cell r="C6851" t="str">
            <v>-BRS_GOLD_1:M700722</v>
          </cell>
          <cell r="D6851" t="str">
            <v>Index</v>
          </cell>
          <cell r="E6851" t="str">
            <v>Index Level</v>
          </cell>
          <cell r="F6851" t="str">
            <v>Other</v>
          </cell>
          <cell r="G6851" t="str">
            <v>Other</v>
          </cell>
          <cell r="H6851" t="str">
            <v>OTHER</v>
          </cell>
          <cell r="I6851" t="str">
            <v>Other - Index</v>
          </cell>
        </row>
        <row r="6852">
          <cell r="A6852" t="str">
            <v>M701198P</v>
          </cell>
          <cell r="B6852" t="str">
            <v>MSCI USA SRI LOCAL currency</v>
          </cell>
          <cell r="C6852" t="str">
            <v>-BRS_GOLD_1:M701198P</v>
          </cell>
          <cell r="D6852" t="str">
            <v>Index</v>
          </cell>
          <cell r="E6852" t="str">
            <v>Index Level</v>
          </cell>
          <cell r="F6852" t="str">
            <v>Other</v>
          </cell>
          <cell r="G6852" t="str">
            <v>Other</v>
          </cell>
          <cell r="H6852" t="str">
            <v>OTHER</v>
          </cell>
          <cell r="I6852" t="str">
            <v>Other - Index</v>
          </cell>
        </row>
        <row r="6853">
          <cell r="A6853" t="str">
            <v>M703303LOC</v>
          </cell>
          <cell r="B6853" t="str">
            <v>MSCI ACWI ESG LEADERS - Local</v>
          </cell>
          <cell r="C6853" t="str">
            <v>-BRS_GOLD_1:M703303LOC</v>
          </cell>
          <cell r="D6853" t="str">
            <v>Index</v>
          </cell>
          <cell r="E6853" t="str">
            <v>Index Level</v>
          </cell>
          <cell r="F6853" t="str">
            <v>Other</v>
          </cell>
          <cell r="G6853" t="str">
            <v>Other</v>
          </cell>
          <cell r="H6853" t="str">
            <v>OTHER</v>
          </cell>
          <cell r="I6853" t="str">
            <v>Other - Index</v>
          </cell>
        </row>
        <row r="6854">
          <cell r="A6854" t="str">
            <v>M707574GUS</v>
          </cell>
          <cell r="B6854" t="str">
            <v>MSCI US Low Carbon Target Gr</v>
          </cell>
          <cell r="C6854" t="str">
            <v>-BRS_GOLD_1:M707574GUS</v>
          </cell>
          <cell r="D6854" t="str">
            <v>Index</v>
          </cell>
          <cell r="E6854" t="str">
            <v>Index Level</v>
          </cell>
          <cell r="F6854" t="str">
            <v>Other</v>
          </cell>
          <cell r="G6854" t="str">
            <v>Other</v>
          </cell>
          <cell r="H6854" t="str">
            <v>OTHER</v>
          </cell>
          <cell r="I6854" t="str">
            <v>Other - Index</v>
          </cell>
        </row>
        <row r="6855">
          <cell r="A6855" t="str">
            <v>M707574NUS</v>
          </cell>
          <cell r="B6855" t="str">
            <v>MSCI US Low Carbon Target N</v>
          </cell>
          <cell r="C6855" t="str">
            <v>-BRS_GOLD_1:M707574NUS</v>
          </cell>
          <cell r="D6855" t="str">
            <v>Index</v>
          </cell>
          <cell r="E6855" t="str">
            <v>Index Level</v>
          </cell>
          <cell r="F6855" t="str">
            <v>Other</v>
          </cell>
          <cell r="G6855" t="str">
            <v>Other</v>
          </cell>
          <cell r="H6855" t="str">
            <v>OTHER</v>
          </cell>
          <cell r="I6855" t="str">
            <v>Other - Index</v>
          </cell>
        </row>
        <row r="6856">
          <cell r="A6856" t="str">
            <v>M707574PUS</v>
          </cell>
          <cell r="B6856" t="str">
            <v>MSCI US Low Carbon Target Pr</v>
          </cell>
          <cell r="C6856" t="str">
            <v>-BRS_GOLD_1:M707574PUS</v>
          </cell>
          <cell r="D6856" t="str">
            <v>Index</v>
          </cell>
          <cell r="E6856" t="str">
            <v>Index Level</v>
          </cell>
          <cell r="F6856" t="str">
            <v>Other</v>
          </cell>
          <cell r="G6856" t="str">
            <v>Other</v>
          </cell>
          <cell r="H6856" t="str">
            <v>OTHER</v>
          </cell>
          <cell r="I6856" t="str">
            <v>Other - Index</v>
          </cell>
        </row>
        <row r="6857">
          <cell r="A6857" t="str">
            <v>M708443</v>
          </cell>
          <cell r="B6857" t="str">
            <v>MSCI EM ex Fossil Fuels Gross</v>
          </cell>
          <cell r="C6857" t="str">
            <v>-BRS_GOLD_1:M708443</v>
          </cell>
          <cell r="D6857" t="str">
            <v>Index</v>
          </cell>
          <cell r="E6857" t="str">
            <v>Index Level</v>
          </cell>
          <cell r="F6857" t="str">
            <v>Other</v>
          </cell>
          <cell r="G6857" t="str">
            <v>Other</v>
          </cell>
          <cell r="H6857" t="str">
            <v>OTHER</v>
          </cell>
          <cell r="I6857" t="str">
            <v>Other - Index</v>
          </cell>
        </row>
        <row r="6858">
          <cell r="A6858" t="str">
            <v>M708443N</v>
          </cell>
          <cell r="B6858" t="str">
            <v>MSCI EM ex Fossil Fuels Net</v>
          </cell>
          <cell r="C6858" t="str">
            <v>-BRS_GOLD_1:M708443N</v>
          </cell>
          <cell r="D6858" t="str">
            <v>Index</v>
          </cell>
          <cell r="E6858" t="str">
            <v>Index Level</v>
          </cell>
          <cell r="F6858" t="str">
            <v>Other</v>
          </cell>
          <cell r="G6858" t="str">
            <v>Other</v>
          </cell>
          <cell r="H6858" t="str">
            <v>OTHER</v>
          </cell>
          <cell r="I6858" t="str">
            <v>Other - Index</v>
          </cell>
        </row>
        <row r="6859">
          <cell r="A6859" t="str">
            <v>M708443P</v>
          </cell>
          <cell r="B6859" t="str">
            <v>MSCI EM ex Fossil Fuels Price</v>
          </cell>
          <cell r="C6859" t="str">
            <v>-BRS_GOLD_1:M708443P</v>
          </cell>
          <cell r="D6859" t="str">
            <v>Index</v>
          </cell>
          <cell r="E6859" t="str">
            <v>Index Level</v>
          </cell>
          <cell r="F6859" t="str">
            <v>Other</v>
          </cell>
          <cell r="G6859" t="str">
            <v>Other</v>
          </cell>
          <cell r="H6859" t="str">
            <v>OTHER</v>
          </cell>
          <cell r="I6859" t="str">
            <v>Other - Index</v>
          </cell>
        </row>
        <row r="6860">
          <cell r="A6860" t="str">
            <v>M723870EU</v>
          </cell>
          <cell r="B6860" t="str">
            <v>MSCI Pacific ESG Screened</v>
          </cell>
          <cell r="C6860" t="str">
            <v>-BRS_GOLD_1:M723870EU</v>
          </cell>
          <cell r="D6860" t="str">
            <v>Index</v>
          </cell>
          <cell r="E6860" t="str">
            <v>Index Level</v>
          </cell>
          <cell r="F6860" t="str">
            <v>Other</v>
          </cell>
          <cell r="G6860" t="str">
            <v>Other</v>
          </cell>
          <cell r="H6860" t="str">
            <v>OTHER</v>
          </cell>
          <cell r="I6860" t="str">
            <v>Other - Index</v>
          </cell>
        </row>
        <row r="6861">
          <cell r="A6861" t="str">
            <v>M726315</v>
          </cell>
          <cell r="B6861" t="str">
            <v>MSCI WORLD CLIMATE CHANGE</v>
          </cell>
          <cell r="C6861" t="str">
            <v>-BRS_GOLD_1:M726315</v>
          </cell>
          <cell r="D6861" t="str">
            <v>Index</v>
          </cell>
          <cell r="E6861" t="str">
            <v>Index Level</v>
          </cell>
          <cell r="F6861" t="str">
            <v>Other</v>
          </cell>
          <cell r="G6861" t="str">
            <v>Other</v>
          </cell>
          <cell r="H6861" t="str">
            <v>OTHER</v>
          </cell>
          <cell r="I6861" t="str">
            <v>Other - Index</v>
          </cell>
        </row>
        <row r="6862">
          <cell r="A6862" t="str">
            <v>M728007</v>
          </cell>
          <cell r="B6862" t="str">
            <v>ESG Screened Emerging Markets</v>
          </cell>
          <cell r="C6862" t="str">
            <v>-BRS_GOLD_1:M728007</v>
          </cell>
          <cell r="D6862" t="str">
            <v>Index</v>
          </cell>
          <cell r="E6862" t="str">
            <v>Index Level</v>
          </cell>
          <cell r="F6862" t="str">
            <v>Other</v>
          </cell>
          <cell r="G6862" t="str">
            <v>Other</v>
          </cell>
          <cell r="H6862" t="str">
            <v>OTHER</v>
          </cell>
          <cell r="I6862" t="str">
            <v>Other - Index</v>
          </cell>
        </row>
        <row r="6863">
          <cell r="A6863" t="str">
            <v>M728366NAU</v>
          </cell>
          <cell r="B6863" t="str">
            <v>MSCI Emerging Markets Choice</v>
          </cell>
          <cell r="C6863" t="str">
            <v>-BRS_GOLD_1:M728366NAU</v>
          </cell>
          <cell r="D6863" t="str">
            <v>Index</v>
          </cell>
          <cell r="E6863" t="str">
            <v>Index Level</v>
          </cell>
          <cell r="F6863" t="str">
            <v>Other</v>
          </cell>
          <cell r="G6863" t="str">
            <v>Other</v>
          </cell>
          <cell r="H6863" t="str">
            <v>OTHER</v>
          </cell>
          <cell r="I6863" t="str">
            <v>Other - Index</v>
          </cell>
        </row>
        <row r="6864">
          <cell r="A6864" t="str">
            <v>M729240US</v>
          </cell>
          <cell r="B6864" t="str">
            <v>MSCI North America ESG Screen</v>
          </cell>
          <cell r="C6864" t="str">
            <v>-BRS_GOLD_1:M729240US</v>
          </cell>
          <cell r="D6864" t="str">
            <v>Index</v>
          </cell>
          <cell r="E6864" t="str">
            <v>Index Level</v>
          </cell>
          <cell r="F6864" t="str">
            <v>Other</v>
          </cell>
          <cell r="G6864" t="str">
            <v>Other</v>
          </cell>
          <cell r="H6864" t="str">
            <v>OTHER</v>
          </cell>
          <cell r="I6864" t="str">
            <v>Other - Index</v>
          </cell>
        </row>
        <row r="6865">
          <cell r="A6865" t="str">
            <v>M732715</v>
          </cell>
          <cell r="B6865" t="str">
            <v>MSCI EAFE Ext ESG Lead M732715</v>
          </cell>
          <cell r="C6865" t="str">
            <v>-BRS_GOLD_1:M732715</v>
          </cell>
          <cell r="D6865" t="str">
            <v>Index</v>
          </cell>
          <cell r="E6865" t="str">
            <v>Index Level</v>
          </cell>
          <cell r="F6865" t="str">
            <v>Other</v>
          </cell>
          <cell r="G6865" t="str">
            <v>Other</v>
          </cell>
          <cell r="H6865" t="str">
            <v>OTHER</v>
          </cell>
          <cell r="I6865" t="str">
            <v>Other - Index</v>
          </cell>
        </row>
        <row r="6866">
          <cell r="A6866" t="str">
            <v>M732715G</v>
          </cell>
          <cell r="B6866" t="str">
            <v>MSCI EAFE Ext ESG Lead Gross</v>
          </cell>
          <cell r="C6866" t="str">
            <v>-BRS_GOLD_1:M732715G</v>
          </cell>
          <cell r="D6866" t="str">
            <v>Index</v>
          </cell>
          <cell r="E6866" t="str">
            <v>Index Level</v>
          </cell>
          <cell r="F6866" t="str">
            <v>Other</v>
          </cell>
          <cell r="G6866" t="str">
            <v>Other</v>
          </cell>
          <cell r="H6866" t="str">
            <v>OTHER</v>
          </cell>
          <cell r="I6866" t="str">
            <v>Other - Index</v>
          </cell>
        </row>
        <row r="6867">
          <cell r="A6867" t="str">
            <v>M732715N</v>
          </cell>
          <cell r="B6867" t="str">
            <v>MSCI EAFE Ext ESG Le M732715N</v>
          </cell>
          <cell r="C6867" t="str">
            <v>-BRS_GOLD_1:M732715N</v>
          </cell>
          <cell r="D6867" t="str">
            <v>Index</v>
          </cell>
          <cell r="E6867" t="str">
            <v>Index Level</v>
          </cell>
          <cell r="F6867" t="str">
            <v>Other</v>
          </cell>
          <cell r="G6867" t="str">
            <v>Other</v>
          </cell>
          <cell r="H6867" t="str">
            <v>OTHER</v>
          </cell>
          <cell r="I6867" t="str">
            <v>Other - Index</v>
          </cell>
        </row>
        <row r="6868">
          <cell r="A6868" t="str">
            <v>M735595</v>
          </cell>
          <cell r="B6868" t="str">
            <v>MSCI Eu Climate Paris Ali</v>
          </cell>
          <cell r="C6868" t="str">
            <v>-BRS_GOLD_1:M735595</v>
          </cell>
          <cell r="D6868" t="str">
            <v>Index</v>
          </cell>
          <cell r="E6868" t="str">
            <v>Index Level</v>
          </cell>
          <cell r="F6868" t="str">
            <v>Other</v>
          </cell>
          <cell r="G6868" t="str">
            <v>Other</v>
          </cell>
          <cell r="H6868" t="str">
            <v>OTHER</v>
          </cell>
          <cell r="I6868" t="str">
            <v>Other - Index</v>
          </cell>
        </row>
        <row r="6869">
          <cell r="A6869" t="str">
            <v>M735595N</v>
          </cell>
          <cell r="B6869" t="str">
            <v>MSCI Eu Climate Paris Ali N</v>
          </cell>
          <cell r="C6869" t="str">
            <v>-BRS_GOLD_1:M735595N</v>
          </cell>
          <cell r="D6869" t="str">
            <v>Index</v>
          </cell>
          <cell r="E6869" t="str">
            <v>Index Level</v>
          </cell>
          <cell r="F6869" t="str">
            <v>Other</v>
          </cell>
          <cell r="G6869" t="str">
            <v>Other</v>
          </cell>
          <cell r="H6869" t="str">
            <v>OTHER</v>
          </cell>
          <cell r="I6869" t="str">
            <v>Other - Index</v>
          </cell>
        </row>
        <row r="6870">
          <cell r="A6870" t="str">
            <v>M735595P</v>
          </cell>
          <cell r="B6870" t="str">
            <v>MSCI Eu Climate Paris Ali Pri</v>
          </cell>
          <cell r="C6870" t="str">
            <v>-BRS_GOLD_1:M735595P</v>
          </cell>
          <cell r="D6870" t="str">
            <v>Index</v>
          </cell>
          <cell r="E6870" t="str">
            <v>Index Level</v>
          </cell>
          <cell r="F6870" t="str">
            <v>Other</v>
          </cell>
          <cell r="G6870" t="str">
            <v>Other</v>
          </cell>
          <cell r="H6870" t="str">
            <v>OTHER</v>
          </cell>
          <cell r="I6870" t="str">
            <v>Other - Index</v>
          </cell>
        </row>
        <row r="6871">
          <cell r="A6871" t="str">
            <v>M735617N</v>
          </cell>
          <cell r="B6871" t="str">
            <v>MSCI ACWI Clim Paris Al NET</v>
          </cell>
          <cell r="C6871" t="str">
            <v>-BRS_GOLD_1:M735617N</v>
          </cell>
          <cell r="D6871" t="str">
            <v>Index</v>
          </cell>
          <cell r="E6871" t="str">
            <v>Index Level</v>
          </cell>
          <cell r="F6871" t="str">
            <v>Other</v>
          </cell>
          <cell r="G6871" t="str">
            <v>Other</v>
          </cell>
          <cell r="H6871" t="str">
            <v>OTHER</v>
          </cell>
          <cell r="I6871" t="str">
            <v>Other - Index</v>
          </cell>
        </row>
        <row r="6872">
          <cell r="A6872" t="str">
            <v>M735617US</v>
          </cell>
          <cell r="B6872" t="str">
            <v>MSCI ACWI Clim Paris Al</v>
          </cell>
          <cell r="C6872" t="str">
            <v>-BRS_GOLD_1:M735617US</v>
          </cell>
          <cell r="D6872" t="str">
            <v>Index</v>
          </cell>
          <cell r="E6872" t="str">
            <v>Index Level</v>
          </cell>
          <cell r="F6872" t="str">
            <v>Other</v>
          </cell>
          <cell r="G6872" t="str">
            <v>Other</v>
          </cell>
          <cell r="H6872" t="str">
            <v>OTHER</v>
          </cell>
          <cell r="I6872" t="str">
            <v>Other - Index</v>
          </cell>
        </row>
        <row r="6873">
          <cell r="A6873" t="str">
            <v>MACESGUSD</v>
          </cell>
          <cell r="B6873" t="str">
            <v>MSCI ACWI ESG Leaders GROSS</v>
          </cell>
          <cell r="C6873" t="str">
            <v>-BRS_GOLD_1:MACESGUSD</v>
          </cell>
          <cell r="D6873" t="str">
            <v>Index</v>
          </cell>
          <cell r="E6873" t="str">
            <v>Index Level</v>
          </cell>
          <cell r="F6873" t="str">
            <v>Other</v>
          </cell>
          <cell r="G6873" t="str">
            <v>Other</v>
          </cell>
          <cell r="H6873" t="str">
            <v>OTHER</v>
          </cell>
          <cell r="I6873" t="str">
            <v>Other - Index</v>
          </cell>
        </row>
        <row r="6874">
          <cell r="A6874" t="str">
            <v>MAC_AUD_RATES</v>
          </cell>
          <cell r="B6874" t="str">
            <v>Macro - AUS Rates</v>
          </cell>
          <cell r="C6874" t="str">
            <v>-BRS_GOLD_1:MAC_AUD_RATES</v>
          </cell>
          <cell r="D6874" t="str">
            <v>Price</v>
          </cell>
          <cell r="E6874" t="str">
            <v>Price Level</v>
          </cell>
          <cell r="F6874" t="str">
            <v>Other</v>
          </cell>
          <cell r="G6874" t="str">
            <v>Other</v>
          </cell>
          <cell r="H6874" t="str">
            <v>OTHER</v>
          </cell>
          <cell r="I6874" t="str">
            <v>Other - Price</v>
          </cell>
        </row>
        <row r="6875">
          <cell r="A6875" t="str">
            <v>MAC_CAD_RR</v>
          </cell>
          <cell r="B6875" t="str">
            <v>Macro - CAN Real Rates</v>
          </cell>
          <cell r="C6875" t="str">
            <v>-BRS_GOLD_1:MAC_CAD_RR</v>
          </cell>
          <cell r="D6875" t="str">
            <v>Price</v>
          </cell>
          <cell r="E6875" t="str">
            <v>Price Level</v>
          </cell>
          <cell r="F6875" t="str">
            <v>Other</v>
          </cell>
          <cell r="G6875" t="str">
            <v>Other</v>
          </cell>
          <cell r="H6875" t="str">
            <v>OTHER</v>
          </cell>
          <cell r="I6875" t="str">
            <v>Other - Price</v>
          </cell>
        </row>
        <row r="6876">
          <cell r="A6876" t="str">
            <v>MAC_CCYHED_DUMMY</v>
          </cell>
          <cell r="B6876" t="str">
            <v>NOT IN USE</v>
          </cell>
          <cell r="C6876" t="str">
            <v>-BRS_GOLD_1:MAC_CCYHED_DUMMY</v>
          </cell>
          <cell r="D6876" t="str">
            <v>Price</v>
          </cell>
          <cell r="E6876" t="str">
            <v>Price Level</v>
          </cell>
          <cell r="F6876" t="str">
            <v>Other</v>
          </cell>
          <cell r="G6876" t="str">
            <v>Other</v>
          </cell>
          <cell r="H6876" t="str">
            <v>OTHER</v>
          </cell>
          <cell r="I6876" t="str">
            <v>Other - Price</v>
          </cell>
        </row>
        <row r="6877">
          <cell r="A6877" t="str">
            <v>MAC_DM_EQUITY</v>
          </cell>
          <cell r="B6877" t="str">
            <v>Macro - DM Economic Growth</v>
          </cell>
          <cell r="C6877" t="str">
            <v>-BRS_GOLD_1:MAC_DM_EQUITY</v>
          </cell>
          <cell r="D6877" t="str">
            <v>Price</v>
          </cell>
          <cell r="E6877" t="str">
            <v>Price Level</v>
          </cell>
          <cell r="F6877" t="str">
            <v>Other</v>
          </cell>
          <cell r="G6877" t="str">
            <v>Other</v>
          </cell>
          <cell r="H6877" t="str">
            <v>OTHER</v>
          </cell>
          <cell r="I6877" t="str">
            <v>Other - Price</v>
          </cell>
        </row>
        <row r="6878">
          <cell r="A6878" t="str">
            <v>MAC_EM_EQUITY</v>
          </cell>
          <cell r="B6878" t="str">
            <v>Macro - EM Economic Growth</v>
          </cell>
          <cell r="C6878" t="str">
            <v>-BRS_GOLD_1:MAC_EM_EQUITY</v>
          </cell>
          <cell r="D6878" t="str">
            <v>Price</v>
          </cell>
          <cell r="E6878" t="str">
            <v>Price Level</v>
          </cell>
          <cell r="F6878" t="str">
            <v>Other</v>
          </cell>
          <cell r="G6878" t="str">
            <v>Other</v>
          </cell>
          <cell r="H6878" t="str">
            <v>OTHER</v>
          </cell>
          <cell r="I6878" t="str">
            <v>Other - Price</v>
          </cell>
        </row>
        <row r="6879">
          <cell r="A6879" t="str">
            <v>MAC_EM_EXCESS_EQUITY</v>
          </cell>
          <cell r="B6879" t="str">
            <v>Macro - EM Equity Excess</v>
          </cell>
          <cell r="C6879" t="str">
            <v>-BRS_GOLD_1:MAC_EM_EXCESS_EQUITY</v>
          </cell>
          <cell r="D6879" t="str">
            <v>Price</v>
          </cell>
          <cell r="E6879" t="str">
            <v>Price Level</v>
          </cell>
          <cell r="F6879" t="str">
            <v>Other</v>
          </cell>
          <cell r="G6879" t="str">
            <v>Other</v>
          </cell>
          <cell r="H6879" t="str">
            <v>OTHER</v>
          </cell>
          <cell r="I6879" t="str">
            <v>Other - Price</v>
          </cell>
        </row>
        <row r="6880">
          <cell r="A6880" t="str">
            <v>MAC_EUR_HY_CORP</v>
          </cell>
          <cell r="B6880" t="str">
            <v>Macro - EU HY Credit</v>
          </cell>
          <cell r="C6880" t="str">
            <v>-BRS_GOLD_1:MAC_EUR_HY_CORP</v>
          </cell>
          <cell r="D6880" t="str">
            <v>Price</v>
          </cell>
          <cell r="E6880" t="str">
            <v>Price Level</v>
          </cell>
          <cell r="F6880" t="str">
            <v>Other</v>
          </cell>
          <cell r="G6880" t="str">
            <v>Other</v>
          </cell>
          <cell r="H6880" t="str">
            <v>OTHER</v>
          </cell>
          <cell r="I6880" t="str">
            <v>Other - Price</v>
          </cell>
        </row>
        <row r="6881">
          <cell r="A6881" t="str">
            <v>MAC_EUR_IG_CORP</v>
          </cell>
          <cell r="B6881" t="str">
            <v>Macro - EU IG Credit</v>
          </cell>
          <cell r="C6881" t="str">
            <v>-BRS_GOLD_1:MAC_EUR_IG_CORP</v>
          </cell>
          <cell r="D6881" t="str">
            <v>Price</v>
          </cell>
          <cell r="E6881" t="str">
            <v>Price Level</v>
          </cell>
          <cell r="F6881" t="str">
            <v>Other</v>
          </cell>
          <cell r="G6881" t="str">
            <v>Other</v>
          </cell>
          <cell r="H6881" t="str">
            <v>OTHER</v>
          </cell>
          <cell r="I6881" t="str">
            <v>Other - Price</v>
          </cell>
        </row>
        <row r="6882">
          <cell r="A6882" t="str">
            <v>MAC_EUR_RATES</v>
          </cell>
          <cell r="B6882" t="str">
            <v>Macro - EU Rates</v>
          </cell>
          <cell r="C6882" t="str">
            <v>-BRS_GOLD_1:MAC_EUR_RATES</v>
          </cell>
          <cell r="D6882" t="str">
            <v>Price</v>
          </cell>
          <cell r="E6882" t="str">
            <v>Price Level</v>
          </cell>
          <cell r="F6882" t="str">
            <v>Other</v>
          </cell>
          <cell r="G6882" t="str">
            <v>Other</v>
          </cell>
          <cell r="H6882" t="str">
            <v>OTHER</v>
          </cell>
          <cell r="I6882" t="str">
            <v>Other - Price</v>
          </cell>
        </row>
        <row r="6883">
          <cell r="A6883" t="str">
            <v>MAC_FX_EM</v>
          </cell>
          <cell r="B6883" t="str">
            <v>Macro - EM FX</v>
          </cell>
          <cell r="C6883" t="str">
            <v>-BRS_GOLD_1:MAC_FX_EM</v>
          </cell>
          <cell r="D6883" t="str">
            <v>Price</v>
          </cell>
          <cell r="E6883" t="str">
            <v>Price Level</v>
          </cell>
          <cell r="F6883" t="str">
            <v>Other</v>
          </cell>
          <cell r="G6883" t="str">
            <v>Other</v>
          </cell>
          <cell r="H6883" t="str">
            <v>OTHER</v>
          </cell>
          <cell r="I6883" t="str">
            <v>Other - Price</v>
          </cell>
        </row>
        <row r="6884">
          <cell r="A6884" t="str">
            <v>MAC_GLB_RATES</v>
          </cell>
          <cell r="B6884" t="str">
            <v>Macro - GLB Rates</v>
          </cell>
          <cell r="C6884" t="str">
            <v>-BRS_GOLD_1:MAC_GLB_RATES</v>
          </cell>
          <cell r="D6884" t="str">
            <v>Price</v>
          </cell>
          <cell r="E6884" t="str">
            <v>Price Level</v>
          </cell>
          <cell r="F6884" t="str">
            <v>Other</v>
          </cell>
          <cell r="G6884" t="str">
            <v>Other</v>
          </cell>
          <cell r="H6884" t="str">
            <v>OTHER</v>
          </cell>
          <cell r="I6884" t="str">
            <v>Other - Price</v>
          </cell>
        </row>
        <row r="6885">
          <cell r="A6885" t="str">
            <v>MAC_JPN_RATES</v>
          </cell>
          <cell r="B6885" t="str">
            <v>Macro - JPN Rates</v>
          </cell>
          <cell r="C6885" t="str">
            <v>-BRS_GOLD_1:MAC_JPN_RATES</v>
          </cell>
          <cell r="D6885" t="str">
            <v>Price</v>
          </cell>
          <cell r="E6885" t="str">
            <v>Price Level</v>
          </cell>
          <cell r="F6885" t="str">
            <v>Other</v>
          </cell>
          <cell r="G6885" t="str">
            <v>Other</v>
          </cell>
          <cell r="H6885" t="str">
            <v>OTHER</v>
          </cell>
          <cell r="I6885" t="str">
            <v>Other - Price</v>
          </cell>
        </row>
        <row r="6886">
          <cell r="A6886" t="str">
            <v>MAC_MXN_CORP</v>
          </cell>
          <cell r="B6886" t="str">
            <v>Macro - MXN Credit</v>
          </cell>
          <cell r="C6886" t="str">
            <v>-BRS_GOLD_1:MAC_MXN_CORP</v>
          </cell>
          <cell r="D6886" t="str">
            <v>Price</v>
          </cell>
          <cell r="E6886" t="str">
            <v>Price Level</v>
          </cell>
          <cell r="F6886" t="str">
            <v>Other</v>
          </cell>
          <cell r="G6886" t="str">
            <v>Other</v>
          </cell>
          <cell r="H6886" t="str">
            <v>OTHER</v>
          </cell>
          <cell r="I6886" t="str">
            <v>Other - Price</v>
          </cell>
        </row>
        <row r="6887">
          <cell r="A6887" t="str">
            <v>MAC_MXN_EQUITY</v>
          </cell>
          <cell r="B6887" t="str">
            <v>Macro - MXN Economic Growth</v>
          </cell>
          <cell r="C6887" t="str">
            <v>-BRS_GOLD_1:MAC_MXN_EQUITY</v>
          </cell>
          <cell r="D6887" t="str">
            <v>Index</v>
          </cell>
          <cell r="E6887" t="str">
            <v>Index Level</v>
          </cell>
          <cell r="F6887" t="str">
            <v>Other</v>
          </cell>
          <cell r="G6887" t="str">
            <v>Other</v>
          </cell>
          <cell r="H6887" t="str">
            <v>OTHER</v>
          </cell>
          <cell r="I6887" t="str">
            <v>Other - Index</v>
          </cell>
        </row>
        <row r="6888">
          <cell r="A6888" t="str">
            <v>MAC_MXN_INF</v>
          </cell>
          <cell r="B6888" t="str">
            <v>Macro - MXN Inflation</v>
          </cell>
          <cell r="C6888" t="str">
            <v>-BRS_GOLD_1:MAC_MXN_INF</v>
          </cell>
          <cell r="D6888" t="str">
            <v>Price</v>
          </cell>
          <cell r="E6888" t="str">
            <v>Price Level</v>
          </cell>
          <cell r="F6888" t="str">
            <v>Other</v>
          </cell>
          <cell r="G6888" t="str">
            <v>Other</v>
          </cell>
          <cell r="H6888" t="str">
            <v>OTHER</v>
          </cell>
          <cell r="I6888" t="str">
            <v>Other - Price</v>
          </cell>
        </row>
        <row r="6889">
          <cell r="A6889" t="str">
            <v>MAC_MXN_RR</v>
          </cell>
          <cell r="B6889" t="str">
            <v>Macro - MXN Real Rates</v>
          </cell>
          <cell r="C6889" t="str">
            <v>-BRS_GOLD_1:MAC_MXN_RR</v>
          </cell>
          <cell r="D6889" t="str">
            <v>Price</v>
          </cell>
          <cell r="E6889" t="str">
            <v>Price Level</v>
          </cell>
          <cell r="F6889" t="str">
            <v>Other</v>
          </cell>
          <cell r="G6889" t="str">
            <v>Other</v>
          </cell>
          <cell r="H6889" t="str">
            <v>OTHER</v>
          </cell>
          <cell r="I6889" t="str">
            <v>Other - Price</v>
          </cell>
        </row>
        <row r="6890">
          <cell r="A6890" t="str">
            <v>MAC_UK_RATES</v>
          </cell>
          <cell r="B6890" t="str">
            <v>Macro - UK Rates</v>
          </cell>
          <cell r="C6890" t="str">
            <v>-BRS_GOLD_1:MAC_UK_RATES</v>
          </cell>
          <cell r="D6890" t="str">
            <v>Price</v>
          </cell>
          <cell r="E6890" t="str">
            <v>Price Level</v>
          </cell>
          <cell r="F6890" t="str">
            <v>Other</v>
          </cell>
          <cell r="G6890" t="str">
            <v>Other</v>
          </cell>
          <cell r="H6890" t="str">
            <v>OTHER</v>
          </cell>
          <cell r="I6890" t="str">
            <v>Other - Price</v>
          </cell>
        </row>
        <row r="6891">
          <cell r="A6891" t="str">
            <v>MAC_USD_RATES</v>
          </cell>
          <cell r="B6891" t="str">
            <v>Macro - US Rates</v>
          </cell>
          <cell r="C6891" t="str">
            <v>-BRS_GOLD_1:MAC_USD_RATES</v>
          </cell>
          <cell r="D6891" t="str">
            <v>Price</v>
          </cell>
          <cell r="E6891" t="str">
            <v>Price Level</v>
          </cell>
          <cell r="F6891" t="str">
            <v>Other</v>
          </cell>
          <cell r="G6891" t="str">
            <v>Other</v>
          </cell>
          <cell r="H6891" t="str">
            <v>OTHER</v>
          </cell>
          <cell r="I6891" t="str">
            <v>Other - Price</v>
          </cell>
        </row>
        <row r="6892">
          <cell r="A6892" t="str">
            <v>MAC_US_HY_CORP</v>
          </cell>
          <cell r="B6892" t="str">
            <v>Macro - US HY Credit</v>
          </cell>
          <cell r="C6892" t="str">
            <v>-BRS_GOLD_1:MAC_US_HY_CORP</v>
          </cell>
          <cell r="D6892" t="str">
            <v>Price</v>
          </cell>
          <cell r="E6892" t="str">
            <v>Price Level</v>
          </cell>
          <cell r="F6892" t="str">
            <v>Other</v>
          </cell>
          <cell r="G6892" t="str">
            <v>Other</v>
          </cell>
          <cell r="H6892" t="str">
            <v>OTHER</v>
          </cell>
          <cell r="I6892" t="str">
            <v>Other - Price</v>
          </cell>
        </row>
        <row r="6893">
          <cell r="A6893" t="str">
            <v>MAC_US_IG_CORP</v>
          </cell>
          <cell r="B6893" t="str">
            <v>Macro - US IG Credit</v>
          </cell>
          <cell r="C6893" t="str">
            <v>-BRS_GOLD_1:MAC_US_IG_CORP</v>
          </cell>
          <cell r="D6893" t="str">
            <v>Price</v>
          </cell>
          <cell r="E6893" t="str">
            <v>Price Level</v>
          </cell>
          <cell r="F6893" t="str">
            <v>Other</v>
          </cell>
          <cell r="G6893" t="str">
            <v>Other</v>
          </cell>
          <cell r="H6893" t="str">
            <v>OTHER</v>
          </cell>
          <cell r="I6893" t="str">
            <v>Other - Price</v>
          </cell>
        </row>
        <row r="6894">
          <cell r="A6894" t="str">
            <v>MAC_WRLD_DUMMY</v>
          </cell>
          <cell r="B6894" t="str">
            <v>NOT IN USE</v>
          </cell>
          <cell r="C6894" t="str">
            <v>-BRS_GOLD_1:MAC_WRLD_DUMMY</v>
          </cell>
          <cell r="D6894" t="str">
            <v>Price</v>
          </cell>
          <cell r="E6894" t="str">
            <v>Price Level</v>
          </cell>
          <cell r="F6894" t="str">
            <v>Other</v>
          </cell>
          <cell r="G6894" t="str">
            <v>Other</v>
          </cell>
          <cell r="H6894" t="str">
            <v>OTHER</v>
          </cell>
          <cell r="I6894" t="str">
            <v>Other - Price</v>
          </cell>
        </row>
        <row r="6895">
          <cell r="A6895" t="str">
            <v>MAPXJPNDIV</v>
          </cell>
          <cell r="B6895" t="str">
            <v>MSCI PACXJP EX CONT WEAP US N</v>
          </cell>
          <cell r="C6895" t="str">
            <v>-BRS_GOLD_1:MAPXJPNDIV</v>
          </cell>
          <cell r="D6895" t="str">
            <v>Index</v>
          </cell>
          <cell r="E6895" t="str">
            <v>Index Level</v>
          </cell>
          <cell r="F6895" t="str">
            <v>Other</v>
          </cell>
          <cell r="G6895" t="str">
            <v>Other</v>
          </cell>
          <cell r="H6895" t="str">
            <v>OTHER</v>
          </cell>
          <cell r="I6895" t="str">
            <v>Other - Index</v>
          </cell>
        </row>
        <row r="6896">
          <cell r="A6896" t="str">
            <v>MCIMIXESG</v>
          </cell>
          <cell r="B6896" t="str">
            <v>MSCI Can IMI Ext ESG Gross</v>
          </cell>
          <cell r="C6896" t="str">
            <v>-BRS_GOLD_1:MCIMIXESG</v>
          </cell>
          <cell r="D6896" t="str">
            <v>Index</v>
          </cell>
          <cell r="E6896" t="str">
            <v>Index Level</v>
          </cell>
          <cell r="F6896" t="str">
            <v>Other</v>
          </cell>
          <cell r="G6896" t="str">
            <v>Other</v>
          </cell>
          <cell r="H6896" t="str">
            <v>OTHER</v>
          </cell>
          <cell r="I6896" t="str">
            <v>Other - Index</v>
          </cell>
        </row>
        <row r="6897">
          <cell r="A6897" t="str">
            <v>MCIMIXESN</v>
          </cell>
          <cell r="B6897" t="str">
            <v>MSCI Can IMI Ext ESG Net</v>
          </cell>
          <cell r="C6897" t="str">
            <v>-BRS_GOLD_1:MCIMIXESN</v>
          </cell>
          <cell r="D6897" t="str">
            <v>Index</v>
          </cell>
          <cell r="E6897" t="str">
            <v>Index Level</v>
          </cell>
          <cell r="F6897" t="str">
            <v>Other</v>
          </cell>
          <cell r="G6897" t="str">
            <v>Other</v>
          </cell>
          <cell r="H6897" t="str">
            <v>OTHER</v>
          </cell>
          <cell r="I6897" t="str">
            <v>Other - Index</v>
          </cell>
        </row>
        <row r="6898">
          <cell r="A6898" t="str">
            <v>MCIMIXESP</v>
          </cell>
          <cell r="B6898" t="str">
            <v>MSCI Can IMI Ext ESG Price</v>
          </cell>
          <cell r="C6898" t="str">
            <v>-BRS_GOLD_1:MCIMIXESP</v>
          </cell>
          <cell r="D6898" t="str">
            <v>Index</v>
          </cell>
          <cell r="E6898" t="str">
            <v>Index Level</v>
          </cell>
          <cell r="F6898" t="str">
            <v>Other</v>
          </cell>
          <cell r="G6898" t="str">
            <v>Other</v>
          </cell>
          <cell r="H6898" t="str">
            <v>OTHER</v>
          </cell>
          <cell r="I6898" t="str">
            <v>Other - Index</v>
          </cell>
        </row>
        <row r="6899">
          <cell r="A6899" t="str">
            <v>MJPGVTLTG</v>
          </cell>
          <cell r="B6899" t="str">
            <v>MSCI JP GOV-QLTY Local curr G</v>
          </cell>
          <cell r="C6899" t="str">
            <v>-BRS_GOLD_1:MJPGVTLTG</v>
          </cell>
          <cell r="D6899" t="str">
            <v>Index</v>
          </cell>
          <cell r="E6899" t="str">
            <v>Index Level</v>
          </cell>
          <cell r="F6899" t="str">
            <v>Other</v>
          </cell>
          <cell r="G6899" t="str">
            <v>Other</v>
          </cell>
          <cell r="H6899" t="str">
            <v>OTHER</v>
          </cell>
          <cell r="I6899" t="str">
            <v>Other - Index</v>
          </cell>
        </row>
        <row r="6900">
          <cell r="A6900" t="str">
            <v>MJPGVTLTP</v>
          </cell>
          <cell r="B6900" t="str">
            <v>MSCI JP GOV-QLTY Local curr Pr</v>
          </cell>
          <cell r="C6900" t="str">
            <v>-BRS_GOLD_1:MJPGVTLTP</v>
          </cell>
          <cell r="D6900" t="str">
            <v>Index</v>
          </cell>
          <cell r="E6900" t="str">
            <v>Index Level</v>
          </cell>
          <cell r="F6900" t="str">
            <v>Other</v>
          </cell>
          <cell r="G6900" t="str">
            <v>Other</v>
          </cell>
          <cell r="H6900" t="str">
            <v>OTHER</v>
          </cell>
          <cell r="I6900" t="str">
            <v>Other - Index</v>
          </cell>
        </row>
        <row r="6901">
          <cell r="A6901" t="str">
            <v>ML3MEURLIB</v>
          </cell>
          <cell r="B6901" t="str">
            <v>Euro Cash Indices LIBOR TR 3M</v>
          </cell>
          <cell r="C6901" t="str">
            <v>-BRS_GOLD_1:ML3MEURLIB</v>
          </cell>
          <cell r="D6901" t="str">
            <v>Index</v>
          </cell>
          <cell r="E6901" t="str">
            <v>Index Level</v>
          </cell>
          <cell r="F6901" t="str">
            <v>Other</v>
          </cell>
          <cell r="G6901" t="str">
            <v>Other</v>
          </cell>
          <cell r="H6901" t="str">
            <v>OTHER</v>
          </cell>
          <cell r="I6901" t="str">
            <v>Other - Index</v>
          </cell>
        </row>
        <row r="6902">
          <cell r="A6902" t="str">
            <v>ML3MJPYLIB</v>
          </cell>
          <cell r="B6902" t="str">
            <v>BOFA ML JPY 3MO LIBOR C</v>
          </cell>
          <cell r="C6902" t="str">
            <v>-BRS_GOLD_1:ML3MJPYLIB</v>
          </cell>
          <cell r="D6902" t="str">
            <v>Index</v>
          </cell>
          <cell r="E6902" t="str">
            <v>Index Level</v>
          </cell>
          <cell r="F6902" t="str">
            <v>Other</v>
          </cell>
          <cell r="G6902" t="str">
            <v>Other</v>
          </cell>
          <cell r="H6902" t="str">
            <v>OTHER</v>
          </cell>
          <cell r="I6902" t="str">
            <v>Other - Index</v>
          </cell>
        </row>
        <row r="6903">
          <cell r="A6903" t="str">
            <v>ML3ML</v>
          </cell>
          <cell r="B6903" t="str">
            <v>BOFA ML 3 MONTH LIBOR CONSTAN</v>
          </cell>
          <cell r="C6903" t="str">
            <v>-BRS_GOLD_1:ML3ML</v>
          </cell>
          <cell r="D6903" t="str">
            <v>Index</v>
          </cell>
          <cell r="E6903" t="str">
            <v>Index Level</v>
          </cell>
          <cell r="F6903" t="str">
            <v>Other</v>
          </cell>
          <cell r="G6903" t="str">
            <v>Other</v>
          </cell>
          <cell r="H6903" t="str">
            <v>OTHER</v>
          </cell>
          <cell r="I6903" t="str">
            <v>Other - Index</v>
          </cell>
        </row>
        <row r="6904">
          <cell r="A6904" t="str">
            <v>ML3MLE</v>
          </cell>
          <cell r="B6904" t="str">
            <v>Euro Cash Indices LIBOR TR 3M</v>
          </cell>
          <cell r="C6904" t="str">
            <v>-BRS_GOLD_1:ML3MLE</v>
          </cell>
          <cell r="D6904" t="str">
            <v>Index</v>
          </cell>
          <cell r="E6904" t="str">
            <v>Index Level</v>
          </cell>
          <cell r="F6904" t="str">
            <v>Other</v>
          </cell>
          <cell r="G6904" t="str">
            <v>Other</v>
          </cell>
          <cell r="H6904" t="str">
            <v>OTHER</v>
          </cell>
          <cell r="I6904" t="str">
            <v>Other - Index</v>
          </cell>
        </row>
        <row r="6905">
          <cell r="A6905" t="str">
            <v>ML3MLJ</v>
          </cell>
          <cell r="B6905" t="str">
            <v>BOFA ML JPY 3MO LIBOR C</v>
          </cell>
          <cell r="C6905" t="str">
            <v>-BRS_GOLD_1:ML3MLJ</v>
          </cell>
          <cell r="D6905" t="str">
            <v>Index</v>
          </cell>
          <cell r="E6905" t="str">
            <v>Index Level</v>
          </cell>
          <cell r="F6905" t="str">
            <v>Other</v>
          </cell>
          <cell r="G6905" t="str">
            <v>Other</v>
          </cell>
          <cell r="H6905" t="str">
            <v>OTHER</v>
          </cell>
          <cell r="I6905" t="str">
            <v>Other - Index</v>
          </cell>
        </row>
        <row r="6906">
          <cell r="A6906" t="str">
            <v>ML3MOLIBCM</v>
          </cell>
          <cell r="B6906" t="str">
            <v>BOFA ML 3 MONTH LIBOR CONSTAN</v>
          </cell>
          <cell r="C6906" t="str">
            <v>-BRS_GOLD_1:ML3MOLIBCM</v>
          </cell>
          <cell r="D6906" t="str">
            <v>Index</v>
          </cell>
          <cell r="E6906" t="str">
            <v>Index Level</v>
          </cell>
          <cell r="F6906" t="str">
            <v>Other</v>
          </cell>
          <cell r="G6906" t="str">
            <v>Other</v>
          </cell>
          <cell r="H6906" t="str">
            <v>OTHER</v>
          </cell>
          <cell r="I6906" t="str">
            <v>Other - Index</v>
          </cell>
        </row>
        <row r="6907">
          <cell r="A6907" t="str">
            <v>MLCVRTCHP</v>
          </cell>
          <cell r="B6907" t="str">
            <v>All Convertibles (VXA0) %Cheap</v>
          </cell>
          <cell r="C6907" t="str">
            <v>-BRS_GOLD_1:MLCVRTCHP</v>
          </cell>
          <cell r="D6907" t="str">
            <v>Index</v>
          </cell>
          <cell r="E6907" t="str">
            <v>Index Level</v>
          </cell>
          <cell r="F6907" t="str">
            <v>Other</v>
          </cell>
          <cell r="G6907" t="str">
            <v>Other</v>
          </cell>
          <cell r="H6907" t="str">
            <v>OTHER</v>
          </cell>
          <cell r="I6907" t="str">
            <v>Other - Index</v>
          </cell>
        </row>
        <row r="6908">
          <cell r="A6908" t="str">
            <v>MLG3MLIBOR</v>
          </cell>
          <cell r="B6908" t="str">
            <v>BOFA ML STERLING 3 MONT</v>
          </cell>
          <cell r="C6908" t="str">
            <v>-BRS_GOLD_1:MLG3MLIBOR</v>
          </cell>
          <cell r="D6908" t="str">
            <v>Index</v>
          </cell>
          <cell r="E6908" t="str">
            <v>Index Level</v>
          </cell>
          <cell r="F6908" t="str">
            <v>Other</v>
          </cell>
          <cell r="G6908" t="str">
            <v>Other</v>
          </cell>
          <cell r="H6908" t="str">
            <v>OTHER</v>
          </cell>
          <cell r="I6908" t="str">
            <v>Other - Index</v>
          </cell>
        </row>
        <row r="6909">
          <cell r="A6909" t="str">
            <v>MODEL_IDIO</v>
          </cell>
          <cell r="B6909" t="str">
            <v>Residual</v>
          </cell>
          <cell r="C6909" t="str">
            <v>-BRS_GOLD_1:MODEL_IDIO</v>
          </cell>
          <cell r="D6909" t="str">
            <v>Specific Risk</v>
          </cell>
          <cell r="E6909" t="str">
            <v>Specific Risk</v>
          </cell>
          <cell r="F6909" t="str">
            <v>Idiosyncratic</v>
          </cell>
          <cell r="G6909" t="str">
            <v>Other</v>
          </cell>
          <cell r="H6909" t="str">
            <v>OTHER_SPECIFIC</v>
          </cell>
          <cell r="I6909" t="str">
            <v>Other - Idiosyncratic</v>
          </cell>
        </row>
        <row r="6910">
          <cell r="A6910" t="str">
            <v>MOI_KLD400</v>
          </cell>
          <cell r="B6910" t="str">
            <v>MSCI MOI TEST KLD 400 SOCIAL</v>
          </cell>
          <cell r="C6910" t="str">
            <v>-BRS_GOLD_1:MOI_KLD400</v>
          </cell>
          <cell r="D6910" t="str">
            <v>Index</v>
          </cell>
          <cell r="E6910" t="str">
            <v>Index Level</v>
          </cell>
          <cell r="F6910" t="str">
            <v>Other</v>
          </cell>
          <cell r="G6910" t="str">
            <v>Other</v>
          </cell>
          <cell r="H6910" t="str">
            <v>OTHER</v>
          </cell>
          <cell r="I6910" t="str">
            <v>Other - Index</v>
          </cell>
        </row>
        <row r="6911">
          <cell r="A6911" t="str">
            <v>MS701592N</v>
          </cell>
          <cell r="B6911" t="str">
            <v>MSCI UK ex-Contr Weap USD</v>
          </cell>
          <cell r="C6911" t="str">
            <v>-BRS_GOLD_1:MS701592N</v>
          </cell>
          <cell r="D6911" t="str">
            <v>Index</v>
          </cell>
          <cell r="E6911" t="str">
            <v>Index Level</v>
          </cell>
          <cell r="F6911" t="str">
            <v>Other</v>
          </cell>
          <cell r="G6911" t="str">
            <v>Other</v>
          </cell>
          <cell r="H6911" t="str">
            <v>OTHER</v>
          </cell>
          <cell r="I6911" t="str">
            <v>Other - Index</v>
          </cell>
        </row>
        <row r="6912">
          <cell r="A6912" t="str">
            <v>MS701682</v>
          </cell>
          <cell r="B6912" t="str">
            <v>MSCI World ex AU SRI NTR AUD</v>
          </cell>
          <cell r="C6912" t="str">
            <v>-BRS_GOLD_1:MS701682</v>
          </cell>
          <cell r="D6912" t="str">
            <v>Index</v>
          </cell>
          <cell r="E6912" t="str">
            <v>Index Level</v>
          </cell>
          <cell r="F6912" t="str">
            <v>Other</v>
          </cell>
          <cell r="G6912" t="str">
            <v>Other</v>
          </cell>
          <cell r="H6912" t="str">
            <v>OTHER</v>
          </cell>
          <cell r="I6912" t="str">
            <v>Other - Index</v>
          </cell>
        </row>
        <row r="6913">
          <cell r="A6913" t="str">
            <v>MS701700N</v>
          </cell>
          <cell r="B6913" t="str">
            <v>MSCI EMU ex-Contr Wea USD</v>
          </cell>
          <cell r="C6913" t="str">
            <v>-BRS_GOLD_1:MS701700N</v>
          </cell>
          <cell r="D6913" t="str">
            <v>Index</v>
          </cell>
          <cell r="E6913" t="str">
            <v>Index Level</v>
          </cell>
          <cell r="F6913" t="str">
            <v>Other</v>
          </cell>
          <cell r="G6913" t="str">
            <v>Other</v>
          </cell>
          <cell r="H6913" t="str">
            <v>OTHER</v>
          </cell>
          <cell r="I6913" t="str">
            <v>Other - Index</v>
          </cell>
        </row>
        <row r="6914">
          <cell r="A6914" t="str">
            <v>MS701857</v>
          </cell>
          <cell r="B6914" t="str">
            <v>MSCI World exEU ESGLead N EUR</v>
          </cell>
          <cell r="C6914" t="str">
            <v>-BRS_GOLD_1:MS701857</v>
          </cell>
          <cell r="D6914" t="str">
            <v>Index</v>
          </cell>
          <cell r="E6914" t="str">
            <v>Index Level</v>
          </cell>
          <cell r="F6914" t="str">
            <v>Other</v>
          </cell>
          <cell r="G6914" t="str">
            <v>Other</v>
          </cell>
          <cell r="H6914" t="str">
            <v>OTHER</v>
          </cell>
          <cell r="I6914" t="str">
            <v>Other - Index</v>
          </cell>
        </row>
        <row r="6915">
          <cell r="A6915" t="str">
            <v>MS701875N</v>
          </cell>
          <cell r="B6915" t="str">
            <v>MSCI Europe x Contr W USD</v>
          </cell>
          <cell r="C6915" t="str">
            <v>-BRS_GOLD_1:MS701875N</v>
          </cell>
          <cell r="D6915" t="str">
            <v>Index</v>
          </cell>
          <cell r="E6915" t="str">
            <v>Index Level</v>
          </cell>
          <cell r="F6915" t="str">
            <v>Other</v>
          </cell>
          <cell r="G6915" t="str">
            <v>Other</v>
          </cell>
          <cell r="H6915" t="str">
            <v>OTHER</v>
          </cell>
          <cell r="I6915" t="str">
            <v>Other - Index</v>
          </cell>
        </row>
        <row r="6916">
          <cell r="A6916" t="str">
            <v>MS703303N</v>
          </cell>
          <cell r="B6916" t="str">
            <v>MSCI ACWI ESG Leaders Net TR</v>
          </cell>
          <cell r="C6916" t="str">
            <v>-BRS_GOLD_1:MS703303N</v>
          </cell>
          <cell r="D6916" t="str">
            <v>Index</v>
          </cell>
          <cell r="E6916" t="str">
            <v>Index Level</v>
          </cell>
          <cell r="F6916" t="str">
            <v>Other</v>
          </cell>
          <cell r="G6916" t="str">
            <v>Other</v>
          </cell>
          <cell r="H6916" t="str">
            <v>OTHER</v>
          </cell>
          <cell r="I6916" t="str">
            <v>Other - Index</v>
          </cell>
        </row>
        <row r="6917">
          <cell r="A6917" t="str">
            <v>MS703834N</v>
          </cell>
          <cell r="B6917" t="str">
            <v>MSCI EU SC ex Con Wea USD</v>
          </cell>
          <cell r="C6917" t="str">
            <v>-BRS_GOLD_1:MS703834N</v>
          </cell>
          <cell r="D6917" t="str">
            <v>Index</v>
          </cell>
          <cell r="E6917" t="str">
            <v>Index Level</v>
          </cell>
          <cell r="F6917" t="str">
            <v>Other</v>
          </cell>
          <cell r="G6917" t="str">
            <v>Other</v>
          </cell>
          <cell r="H6917" t="str">
            <v>OTHER</v>
          </cell>
          <cell r="I6917" t="str">
            <v>Other - Index</v>
          </cell>
        </row>
        <row r="6918">
          <cell r="A6918" t="str">
            <v>MS716265N</v>
          </cell>
          <cell r="B6918" t="str">
            <v>MSCI APXJ ESG Universal</v>
          </cell>
          <cell r="C6918" t="str">
            <v>-BRS_GOLD_1:MS716265N</v>
          </cell>
          <cell r="D6918" t="str">
            <v>Index</v>
          </cell>
          <cell r="E6918" t="str">
            <v>Index Level</v>
          </cell>
          <cell r="F6918" t="str">
            <v>Other</v>
          </cell>
          <cell r="G6918" t="str">
            <v>Other</v>
          </cell>
          <cell r="H6918" t="str">
            <v>OTHER</v>
          </cell>
          <cell r="I6918" t="str">
            <v>Other - Index</v>
          </cell>
        </row>
        <row r="6919">
          <cell r="A6919" t="str">
            <v>MS717716N</v>
          </cell>
          <cell r="B6919" t="str">
            <v>MSCI World ESG Lead Min Vol N</v>
          </cell>
          <cell r="C6919" t="str">
            <v>-BRS_GOLD_1:MS717716N</v>
          </cell>
          <cell r="D6919" t="str">
            <v>Index</v>
          </cell>
          <cell r="E6919" t="str">
            <v>Index Level</v>
          </cell>
          <cell r="F6919" t="str">
            <v>Other</v>
          </cell>
          <cell r="G6919" t="str">
            <v>Other</v>
          </cell>
          <cell r="H6919" t="str">
            <v>OTHER</v>
          </cell>
          <cell r="I6919" t="str">
            <v>Other - Index</v>
          </cell>
        </row>
        <row r="6920">
          <cell r="A6920" t="str">
            <v>MS717759</v>
          </cell>
          <cell r="B6920" t="str">
            <v>MSCI World exCH ESG U CHF N</v>
          </cell>
          <cell r="C6920" t="str">
            <v>-BRS_GOLD_1:MS717759</v>
          </cell>
          <cell r="D6920" t="str">
            <v>Index</v>
          </cell>
          <cell r="E6920" t="str">
            <v>Index Level</v>
          </cell>
          <cell r="F6920" t="str">
            <v>Other</v>
          </cell>
          <cell r="G6920" t="str">
            <v>Other</v>
          </cell>
          <cell r="H6920" t="str">
            <v>OTHER</v>
          </cell>
          <cell r="I6920" t="str">
            <v>Other - Index</v>
          </cell>
        </row>
        <row r="6921">
          <cell r="A6921" t="str">
            <v>MS718760G</v>
          </cell>
          <cell r="B6921" t="str">
            <v>MSCI ACWI ex USA IMI LOW CARB</v>
          </cell>
          <cell r="C6921" t="str">
            <v>-BRS_GOLD_1:MS718760G</v>
          </cell>
          <cell r="D6921" t="str">
            <v>Index</v>
          </cell>
          <cell r="E6921" t="str">
            <v>Index Level</v>
          </cell>
          <cell r="F6921" t="str">
            <v>Other</v>
          </cell>
          <cell r="G6921" t="str">
            <v>Other</v>
          </cell>
          <cell r="H6921" t="str">
            <v>OTHER</v>
          </cell>
          <cell r="I6921" t="str">
            <v>Other - Index</v>
          </cell>
        </row>
        <row r="6922">
          <cell r="A6922" t="str">
            <v>MS720965G</v>
          </cell>
          <cell r="B6922" t="str">
            <v>MSCI WORLD ex USA IMI LOW CAR</v>
          </cell>
          <cell r="C6922" t="str">
            <v>-BRS_GOLD_1:MS720965G</v>
          </cell>
          <cell r="D6922" t="str">
            <v>Index</v>
          </cell>
          <cell r="E6922" t="str">
            <v>Index Level</v>
          </cell>
          <cell r="F6922" t="str">
            <v>Other</v>
          </cell>
          <cell r="G6922" t="str">
            <v>Other</v>
          </cell>
          <cell r="H6922" t="str">
            <v>OTHER</v>
          </cell>
          <cell r="I6922" t="str">
            <v>Other - Index</v>
          </cell>
        </row>
        <row r="6923">
          <cell r="A6923" t="str">
            <v>MS721519C</v>
          </cell>
          <cell r="B6923" t="str">
            <v>MSCI China A ESG Univ CNY</v>
          </cell>
          <cell r="C6923" t="str">
            <v>-BRS_GOLD_1:MS721519C</v>
          </cell>
          <cell r="D6923" t="str">
            <v>Index</v>
          </cell>
          <cell r="E6923" t="str">
            <v>Index Level</v>
          </cell>
          <cell r="F6923" t="str">
            <v>Other</v>
          </cell>
          <cell r="G6923" t="str">
            <v>Other</v>
          </cell>
          <cell r="H6923" t="str">
            <v>OTHER</v>
          </cell>
          <cell r="I6923" t="str">
            <v>Other - Index</v>
          </cell>
        </row>
        <row r="6924">
          <cell r="A6924" t="str">
            <v>MS721519J</v>
          </cell>
          <cell r="B6924" t="str">
            <v>MSCI China A ESG Univ JPY</v>
          </cell>
          <cell r="C6924" t="str">
            <v>-BRS_GOLD_1:MS721519J</v>
          </cell>
          <cell r="D6924" t="str">
            <v>Index</v>
          </cell>
          <cell r="E6924" t="str">
            <v>Index Level</v>
          </cell>
          <cell r="F6924" t="str">
            <v>Other</v>
          </cell>
          <cell r="G6924" t="str">
            <v>Other</v>
          </cell>
          <cell r="H6924" t="str">
            <v>OTHER</v>
          </cell>
          <cell r="I6924" t="str">
            <v>Other - Index</v>
          </cell>
        </row>
        <row r="6925">
          <cell r="A6925" t="str">
            <v>MS721519N</v>
          </cell>
          <cell r="B6925" t="str">
            <v>MSCI China A ESG Universal In</v>
          </cell>
          <cell r="C6925" t="str">
            <v>-BRS_GOLD_1:MS721519N</v>
          </cell>
          <cell r="D6925" t="str">
            <v>Index</v>
          </cell>
          <cell r="E6925" t="str">
            <v>Index Level</v>
          </cell>
          <cell r="F6925" t="str">
            <v>Other</v>
          </cell>
          <cell r="G6925" t="str">
            <v>Other</v>
          </cell>
          <cell r="H6925" t="str">
            <v>OTHER</v>
          </cell>
          <cell r="I6925" t="str">
            <v>Other - Index</v>
          </cell>
        </row>
        <row r="6926">
          <cell r="A6926" t="str">
            <v>MS726304</v>
          </cell>
          <cell r="B6926" t="str">
            <v>MSCI AU IMI Select SRI N AUD</v>
          </cell>
          <cell r="C6926" t="str">
            <v>-BRS_GOLD_1:MS726304</v>
          </cell>
          <cell r="D6926" t="str">
            <v>Index</v>
          </cell>
          <cell r="E6926" t="str">
            <v>Index Level</v>
          </cell>
          <cell r="F6926" t="str">
            <v>Other</v>
          </cell>
          <cell r="G6926" t="str">
            <v>Other</v>
          </cell>
          <cell r="H6926" t="str">
            <v>OTHER</v>
          </cell>
          <cell r="I6926" t="str">
            <v>Other - Index</v>
          </cell>
        </row>
        <row r="6927">
          <cell r="A6927" t="str">
            <v>MS728105G</v>
          </cell>
          <cell r="B6927" t="str">
            <v>MSCI EM Ext ESG Lead 5% Cap G</v>
          </cell>
          <cell r="C6927" t="str">
            <v>-BRS_GOLD_1:MS728105G</v>
          </cell>
          <cell r="D6927" t="str">
            <v>Index</v>
          </cell>
          <cell r="E6927" t="str">
            <v>Index Level</v>
          </cell>
          <cell r="F6927" t="str">
            <v>Other</v>
          </cell>
          <cell r="G6927" t="str">
            <v>Other</v>
          </cell>
          <cell r="H6927" t="str">
            <v>OTHER</v>
          </cell>
          <cell r="I6927" t="str">
            <v>Other - Index</v>
          </cell>
        </row>
        <row r="6928">
          <cell r="A6928" t="str">
            <v>MS728105N</v>
          </cell>
          <cell r="B6928" t="str">
            <v>MSCI EM Ext ESG Lead 5% Cap N</v>
          </cell>
          <cell r="C6928" t="str">
            <v>-BRS_GOLD_1:MS728105N</v>
          </cell>
          <cell r="D6928" t="str">
            <v>Index</v>
          </cell>
          <cell r="E6928" t="str">
            <v>Index Level</v>
          </cell>
          <cell r="F6928" t="str">
            <v>Other</v>
          </cell>
          <cell r="G6928" t="str">
            <v>Other</v>
          </cell>
          <cell r="H6928" t="str">
            <v>OTHER</v>
          </cell>
          <cell r="I6928" t="str">
            <v>Other - Index</v>
          </cell>
        </row>
        <row r="6929">
          <cell r="A6929" t="str">
            <v>MS728105S</v>
          </cell>
          <cell r="B6929" t="str">
            <v>MSCI EM Extd ESG Lead 5% Cap</v>
          </cell>
          <cell r="C6929" t="str">
            <v>-BRS_GOLD_1:MS728105S</v>
          </cell>
          <cell r="D6929" t="str">
            <v>Index</v>
          </cell>
          <cell r="E6929" t="str">
            <v>Index Level</v>
          </cell>
          <cell r="F6929" t="str">
            <v>Other</v>
          </cell>
          <cell r="G6929" t="str">
            <v>Other</v>
          </cell>
          <cell r="H6929" t="str">
            <v>OTHER</v>
          </cell>
          <cell r="I6929" t="str">
            <v>Other - Index</v>
          </cell>
        </row>
        <row r="6930">
          <cell r="A6930" t="str">
            <v>MS728796</v>
          </cell>
          <cell r="B6930" t="str">
            <v>MSCI Europe ex CH ESG Lead NR</v>
          </cell>
          <cell r="C6930" t="str">
            <v>-BRS_GOLD_1:MS728796</v>
          </cell>
          <cell r="D6930" t="str">
            <v>Index</v>
          </cell>
          <cell r="E6930" t="str">
            <v>Index Level</v>
          </cell>
          <cell r="F6930" t="str">
            <v>Other</v>
          </cell>
          <cell r="G6930" t="str">
            <v>Other</v>
          </cell>
          <cell r="H6930" t="str">
            <v>OTHER</v>
          </cell>
          <cell r="I6930" t="str">
            <v>Other - Index</v>
          </cell>
        </row>
        <row r="6931">
          <cell r="A6931" t="str">
            <v>MS729302</v>
          </cell>
          <cell r="B6931" t="str">
            <v>MSCI USA Choice ESG Screened</v>
          </cell>
          <cell r="C6931" t="str">
            <v>-BRS_GOLD_1:MS729302</v>
          </cell>
          <cell r="D6931" t="str">
            <v>Index</v>
          </cell>
          <cell r="E6931" t="str">
            <v>Index Level</v>
          </cell>
          <cell r="F6931" t="str">
            <v>Other</v>
          </cell>
          <cell r="G6931" t="str">
            <v>Other</v>
          </cell>
          <cell r="H6931" t="str">
            <v>OTHER</v>
          </cell>
          <cell r="I6931" t="str">
            <v>Other - Index</v>
          </cell>
        </row>
        <row r="6932">
          <cell r="A6932" t="str">
            <v>MS729302N</v>
          </cell>
          <cell r="B6932" t="str">
            <v>MSCI USA Choice ESG Scr N</v>
          </cell>
          <cell r="C6932" t="str">
            <v>-BRS_GOLD_1:MS729302N</v>
          </cell>
          <cell r="D6932" t="str">
            <v>Index</v>
          </cell>
          <cell r="E6932" t="str">
            <v>Index Level</v>
          </cell>
          <cell r="F6932" t="str">
            <v>Other</v>
          </cell>
          <cell r="G6932" t="str">
            <v>Other</v>
          </cell>
          <cell r="H6932" t="str">
            <v>OTHER</v>
          </cell>
          <cell r="I6932" t="str">
            <v>Other - Index</v>
          </cell>
        </row>
        <row r="6933">
          <cell r="A6933" t="str">
            <v>MS729302P</v>
          </cell>
          <cell r="B6933" t="str">
            <v>MSCI USA Choice ESG Scr P</v>
          </cell>
          <cell r="C6933" t="str">
            <v>-BRS_GOLD_1:MS729302P</v>
          </cell>
          <cell r="D6933" t="str">
            <v>Index</v>
          </cell>
          <cell r="E6933" t="str">
            <v>Index Level</v>
          </cell>
          <cell r="F6933" t="str">
            <v>Other</v>
          </cell>
          <cell r="G6933" t="str">
            <v>Other</v>
          </cell>
          <cell r="H6933" t="str">
            <v>OTHER</v>
          </cell>
          <cell r="I6933" t="str">
            <v>Other - Index</v>
          </cell>
        </row>
        <row r="6934">
          <cell r="A6934" t="str">
            <v>MS729303</v>
          </cell>
          <cell r="B6934" t="str">
            <v>MSCI EAFE Choice ESG Screened</v>
          </cell>
          <cell r="C6934" t="str">
            <v>-BRS_GOLD_1:MS729303</v>
          </cell>
          <cell r="D6934" t="str">
            <v>Index</v>
          </cell>
          <cell r="E6934" t="str">
            <v>Index Level</v>
          </cell>
          <cell r="F6934" t="str">
            <v>Other</v>
          </cell>
          <cell r="G6934" t="str">
            <v>Other</v>
          </cell>
          <cell r="H6934" t="str">
            <v>OTHER</v>
          </cell>
          <cell r="I6934" t="str">
            <v>Other - Index</v>
          </cell>
        </row>
        <row r="6935">
          <cell r="A6935" t="str">
            <v>MS729303N</v>
          </cell>
          <cell r="B6935" t="str">
            <v>MSCI EAFE Choice ESG Scr N</v>
          </cell>
          <cell r="C6935" t="str">
            <v>-BRS_GOLD_1:MS729303N</v>
          </cell>
          <cell r="D6935" t="str">
            <v>Index</v>
          </cell>
          <cell r="E6935" t="str">
            <v>Index Level</v>
          </cell>
          <cell r="F6935" t="str">
            <v>Other</v>
          </cell>
          <cell r="G6935" t="str">
            <v>Other</v>
          </cell>
          <cell r="H6935" t="str">
            <v>OTHER</v>
          </cell>
          <cell r="I6935" t="str">
            <v>Other - Index</v>
          </cell>
        </row>
        <row r="6936">
          <cell r="A6936" t="str">
            <v>MS729303P</v>
          </cell>
          <cell r="B6936" t="str">
            <v>MSCI EAFE Choice ESG Scr P</v>
          </cell>
          <cell r="C6936" t="str">
            <v>-BRS_GOLD_1:MS729303P</v>
          </cell>
          <cell r="D6936" t="str">
            <v>Index</v>
          </cell>
          <cell r="E6936" t="str">
            <v>Index Level</v>
          </cell>
          <cell r="F6936" t="str">
            <v>Other</v>
          </cell>
          <cell r="G6936" t="str">
            <v>Other</v>
          </cell>
          <cell r="H6936" t="str">
            <v>OTHER</v>
          </cell>
          <cell r="I6936" t="str">
            <v>Other - Index</v>
          </cell>
        </row>
        <row r="6937">
          <cell r="A6937" t="str">
            <v>MS730529US</v>
          </cell>
          <cell r="B6937" t="str">
            <v>MSCI World MinVol ESG RedCarb</v>
          </cell>
          <cell r="C6937" t="str">
            <v>-BRS_GOLD_1:MS730529US</v>
          </cell>
          <cell r="D6937" t="str">
            <v>Index</v>
          </cell>
          <cell r="E6937" t="str">
            <v>Index Level</v>
          </cell>
          <cell r="F6937" t="str">
            <v>Other</v>
          </cell>
          <cell r="G6937" t="str">
            <v>Other</v>
          </cell>
          <cell r="H6937" t="str">
            <v>OTHER</v>
          </cell>
          <cell r="I6937" t="str">
            <v>Other - Index</v>
          </cell>
        </row>
        <row r="6938">
          <cell r="A6938" t="str">
            <v>MS734646GB</v>
          </cell>
          <cell r="B6938" t="str">
            <v>MSCI UK IMI Low C SRI Lead se</v>
          </cell>
          <cell r="C6938" t="str">
            <v>-BRS_GOLD_1:MS734646GB</v>
          </cell>
          <cell r="D6938" t="str">
            <v>Index</v>
          </cell>
          <cell r="E6938" t="str">
            <v>Index Level</v>
          </cell>
          <cell r="F6938" t="str">
            <v>Other</v>
          </cell>
          <cell r="G6938" t="str">
            <v>Other</v>
          </cell>
          <cell r="H6938" t="str">
            <v>OTHER</v>
          </cell>
          <cell r="I6938" t="str">
            <v>Other - Index</v>
          </cell>
        </row>
        <row r="6939">
          <cell r="A6939" t="str">
            <v>MSACEURLOC</v>
          </cell>
          <cell r="B6939" t="str">
            <v>MSCI AC Europe (Loc)</v>
          </cell>
          <cell r="C6939" t="str">
            <v>-BRS_GOLD_1:MSACEURLOC</v>
          </cell>
          <cell r="D6939" t="str">
            <v>Index</v>
          </cell>
          <cell r="E6939" t="str">
            <v>Index Level</v>
          </cell>
          <cell r="F6939" t="str">
            <v>Other</v>
          </cell>
          <cell r="G6939" t="str">
            <v>Other</v>
          </cell>
          <cell r="H6939" t="str">
            <v>OTHER</v>
          </cell>
          <cell r="I6939" t="str">
            <v>Other - Index</v>
          </cell>
        </row>
        <row r="6940">
          <cell r="A6940" t="str">
            <v>MSACEURUSD</v>
          </cell>
          <cell r="B6940" t="str">
            <v>MSCI AC Europe (USD)</v>
          </cell>
          <cell r="C6940" t="str">
            <v>-BRS_GOLD_1:MSACEURUSD</v>
          </cell>
          <cell r="D6940" t="str">
            <v>Index</v>
          </cell>
          <cell r="E6940" t="str">
            <v>Index Level</v>
          </cell>
          <cell r="F6940" t="str">
            <v>Other</v>
          </cell>
          <cell r="G6940" t="str">
            <v>Other</v>
          </cell>
          <cell r="H6940" t="str">
            <v>OTHER</v>
          </cell>
          <cell r="I6940" t="str">
            <v>Other - Index</v>
          </cell>
        </row>
        <row r="6941">
          <cell r="A6941" t="str">
            <v>MSACSUSI_G</v>
          </cell>
          <cell r="B6941" t="str">
            <v>MSCI ACWI Sust Impact Gross</v>
          </cell>
          <cell r="C6941" t="str">
            <v>-BRS_GOLD_1:MSACSUSI_G</v>
          </cell>
          <cell r="D6941" t="str">
            <v>Index</v>
          </cell>
          <cell r="E6941" t="str">
            <v>Index Level</v>
          </cell>
          <cell r="F6941" t="str">
            <v>Other</v>
          </cell>
          <cell r="G6941" t="str">
            <v>Other</v>
          </cell>
          <cell r="H6941" t="str">
            <v>OTHER</v>
          </cell>
          <cell r="I6941" t="str">
            <v>Other - Index</v>
          </cell>
        </row>
        <row r="6942">
          <cell r="A6942" t="str">
            <v>MSACSUSI_N</v>
          </cell>
          <cell r="B6942" t="str">
            <v>MSCI ACWI Sust Impact Net</v>
          </cell>
          <cell r="C6942" t="str">
            <v>-BRS_GOLD_1:MSACSUSI_N</v>
          </cell>
          <cell r="D6942" t="str">
            <v>Index</v>
          </cell>
          <cell r="E6942" t="str">
            <v>Index Level</v>
          </cell>
          <cell r="F6942" t="str">
            <v>Other</v>
          </cell>
          <cell r="G6942" t="str">
            <v>Other</v>
          </cell>
          <cell r="H6942" t="str">
            <v>OTHER</v>
          </cell>
          <cell r="I6942" t="str">
            <v>Other - Index</v>
          </cell>
        </row>
        <row r="6943">
          <cell r="A6943" t="str">
            <v>MSACSUSI_P</v>
          </cell>
          <cell r="B6943" t="str">
            <v>MSCI ACWI Sust Impact Price</v>
          </cell>
          <cell r="C6943" t="str">
            <v>-BRS_GOLD_1:MSACSUSI_P</v>
          </cell>
          <cell r="D6943" t="str">
            <v>Index</v>
          </cell>
          <cell r="E6943" t="str">
            <v>Index Level</v>
          </cell>
          <cell r="F6943" t="str">
            <v>Other</v>
          </cell>
          <cell r="G6943" t="str">
            <v>Other</v>
          </cell>
          <cell r="H6943" t="str">
            <v>OTHER</v>
          </cell>
          <cell r="I6943" t="str">
            <v>Other - Index</v>
          </cell>
        </row>
        <row r="6944">
          <cell r="A6944" t="str">
            <v>MSACWIFOC</v>
          </cell>
          <cell r="B6944" t="str">
            <v>MSCI ACWI ESG Focus Index</v>
          </cell>
          <cell r="C6944" t="str">
            <v>-BRS_GOLD_1:MSACWIFOC</v>
          </cell>
          <cell r="D6944" t="str">
            <v>Index</v>
          </cell>
          <cell r="E6944" t="str">
            <v>Index Level</v>
          </cell>
          <cell r="F6944" t="str">
            <v>Other</v>
          </cell>
          <cell r="G6944" t="str">
            <v>Other</v>
          </cell>
          <cell r="H6944" t="str">
            <v>OTHER</v>
          </cell>
          <cell r="I6944" t="str">
            <v>Other - Index</v>
          </cell>
        </row>
        <row r="6945">
          <cell r="A6945" t="str">
            <v>MSACWIFOCN</v>
          </cell>
          <cell r="B6945" t="str">
            <v>MSCI ACWI ESG Focus Index Net</v>
          </cell>
          <cell r="C6945" t="str">
            <v>-BRS_GOLD_1:MSACWIFOCN</v>
          </cell>
          <cell r="D6945" t="str">
            <v>Index</v>
          </cell>
          <cell r="E6945" t="str">
            <v>Index Level</v>
          </cell>
          <cell r="F6945" t="str">
            <v>Other</v>
          </cell>
          <cell r="G6945" t="str">
            <v>Other</v>
          </cell>
          <cell r="H6945" t="str">
            <v>OTHER</v>
          </cell>
          <cell r="I6945" t="str">
            <v>Other - Index</v>
          </cell>
        </row>
        <row r="6946">
          <cell r="A6946" t="str">
            <v>MSACWIFOCP</v>
          </cell>
          <cell r="B6946" t="str">
            <v>MSCI ACWI ESG Focus Price</v>
          </cell>
          <cell r="C6946" t="str">
            <v>-BRS_GOLD_1:MSACWIFOCP</v>
          </cell>
          <cell r="D6946" t="str">
            <v>Index</v>
          </cell>
          <cell r="E6946" t="str">
            <v>Index Level</v>
          </cell>
          <cell r="F6946" t="str">
            <v>Other</v>
          </cell>
          <cell r="G6946" t="str">
            <v>Other</v>
          </cell>
          <cell r="H6946" t="str">
            <v>OTHER</v>
          </cell>
          <cell r="I6946" t="str">
            <v>Other - Index</v>
          </cell>
        </row>
        <row r="6947">
          <cell r="A6947" t="str">
            <v>MSACWI_LCL</v>
          </cell>
          <cell r="B6947" t="str">
            <v>MSCI AC World (Loc)</v>
          </cell>
          <cell r="C6947" t="str">
            <v>-BRS_GOLD_1:MSACWI_LCL</v>
          </cell>
          <cell r="D6947" t="str">
            <v>Index</v>
          </cell>
          <cell r="E6947" t="str">
            <v>Index Level</v>
          </cell>
          <cell r="F6947" t="str">
            <v>Other</v>
          </cell>
          <cell r="G6947" t="str">
            <v>Other</v>
          </cell>
          <cell r="H6947" t="str">
            <v>OTHER</v>
          </cell>
          <cell r="I6947" t="str">
            <v>Other - Index</v>
          </cell>
        </row>
        <row r="6948">
          <cell r="A6948" t="str">
            <v>MSACWLCAP</v>
          </cell>
          <cell r="B6948" t="str">
            <v>MSCI AC World Large Cap</v>
          </cell>
          <cell r="C6948" t="str">
            <v>-BRS_GOLD_1:MSACWLCAP</v>
          </cell>
          <cell r="D6948" t="str">
            <v>Index</v>
          </cell>
          <cell r="E6948" t="str">
            <v>Index Level</v>
          </cell>
          <cell r="F6948" t="str">
            <v>Other</v>
          </cell>
          <cell r="G6948" t="str">
            <v>Other</v>
          </cell>
          <cell r="H6948" t="str">
            <v>OTHER</v>
          </cell>
          <cell r="I6948" t="str">
            <v>Other - Index</v>
          </cell>
        </row>
        <row r="6949">
          <cell r="A6949" t="str">
            <v>MSACWSRIG</v>
          </cell>
          <cell r="B6949" t="str">
            <v>MSCI ACWI SRI Gross Index</v>
          </cell>
          <cell r="C6949" t="str">
            <v>-BRS_GOLD_1:MSACWSRIG</v>
          </cell>
          <cell r="D6949" t="str">
            <v>Index</v>
          </cell>
          <cell r="E6949" t="str">
            <v>Index Level</v>
          </cell>
          <cell r="F6949" t="str">
            <v>Other</v>
          </cell>
          <cell r="G6949" t="str">
            <v>Other</v>
          </cell>
          <cell r="H6949" t="str">
            <v>OTHER</v>
          </cell>
          <cell r="I6949" t="str">
            <v>Other - Index</v>
          </cell>
        </row>
        <row r="6950">
          <cell r="A6950" t="str">
            <v>MSACWSRIN</v>
          </cell>
          <cell r="B6950" t="str">
            <v>MSCI ACWI SRI Net Index</v>
          </cell>
          <cell r="C6950" t="str">
            <v>-BRS_GOLD_1:MSACWSRIN</v>
          </cell>
          <cell r="D6950" t="str">
            <v>Index</v>
          </cell>
          <cell r="E6950" t="str">
            <v>Index Level</v>
          </cell>
          <cell r="F6950" t="str">
            <v>Other</v>
          </cell>
          <cell r="G6950" t="str">
            <v>Other</v>
          </cell>
          <cell r="H6950" t="str">
            <v>OTHER</v>
          </cell>
          <cell r="I6950" t="str">
            <v>Other - Index</v>
          </cell>
        </row>
        <row r="6951">
          <cell r="A6951" t="str">
            <v>MSACWSRIP</v>
          </cell>
          <cell r="B6951" t="str">
            <v>MSCI ACWI SRI Price Index</v>
          </cell>
          <cell r="C6951" t="str">
            <v>-BRS_GOLD_1:MSACWSRIP</v>
          </cell>
          <cell r="D6951" t="str">
            <v>Index</v>
          </cell>
          <cell r="E6951" t="str">
            <v>Index Level</v>
          </cell>
          <cell r="F6951" t="str">
            <v>Other</v>
          </cell>
          <cell r="G6951" t="str">
            <v>Other</v>
          </cell>
          <cell r="H6951" t="str">
            <v>OTHER</v>
          </cell>
          <cell r="I6951" t="str">
            <v>Other - Index</v>
          </cell>
        </row>
        <row r="6952">
          <cell r="A6952" t="str">
            <v>MSACXFOSSG</v>
          </cell>
          <cell r="B6952" t="str">
            <v>MSCI ACWI ex Fossil Fuels</v>
          </cell>
          <cell r="C6952" t="str">
            <v>-BRS_GOLD_1:MSACXFOSSG</v>
          </cell>
          <cell r="D6952" t="str">
            <v>Index</v>
          </cell>
          <cell r="E6952" t="str">
            <v>Index Level</v>
          </cell>
          <cell r="F6952" t="str">
            <v>Other</v>
          </cell>
          <cell r="G6952" t="str">
            <v>Other</v>
          </cell>
          <cell r="H6952" t="str">
            <v>OTHER</v>
          </cell>
          <cell r="I6952" t="str">
            <v>Other - Index</v>
          </cell>
        </row>
        <row r="6953">
          <cell r="A6953" t="str">
            <v>MSACXFOSSN</v>
          </cell>
          <cell r="B6953" t="str">
            <v>MSCI ACWI ex Fossil Fuels NET</v>
          </cell>
          <cell r="C6953" t="str">
            <v>-BRS_GOLD_1:MSACXFOSSN</v>
          </cell>
          <cell r="D6953" t="str">
            <v>Index</v>
          </cell>
          <cell r="E6953" t="str">
            <v>Index Level</v>
          </cell>
          <cell r="F6953" t="str">
            <v>Other</v>
          </cell>
          <cell r="G6953" t="str">
            <v>Other</v>
          </cell>
          <cell r="H6953" t="str">
            <v>OTHER</v>
          </cell>
          <cell r="I6953" t="str">
            <v>Other - Index</v>
          </cell>
        </row>
        <row r="6954">
          <cell r="A6954" t="str">
            <v>MSACXFOSSP</v>
          </cell>
          <cell r="B6954" t="str">
            <v>MSCI ACWI ex Fossil Fuels PRI</v>
          </cell>
          <cell r="C6954" t="str">
            <v>-BRS_GOLD_1:MSACXFOSSP</v>
          </cell>
          <cell r="D6954" t="str">
            <v>Index</v>
          </cell>
          <cell r="E6954" t="str">
            <v>Index Level</v>
          </cell>
          <cell r="F6954" t="str">
            <v>Other</v>
          </cell>
          <cell r="G6954" t="str">
            <v>Other</v>
          </cell>
          <cell r="H6954" t="str">
            <v>OTHER</v>
          </cell>
          <cell r="I6954" t="str">
            <v>Other - Index</v>
          </cell>
        </row>
        <row r="6955">
          <cell r="A6955" t="str">
            <v>MSACXUSFFG</v>
          </cell>
          <cell r="B6955" t="str">
            <v>MSCI ACWI ex USA ex Fossil</v>
          </cell>
          <cell r="C6955" t="str">
            <v>-BRS_GOLD_1:MSACXUSFFG</v>
          </cell>
          <cell r="D6955" t="str">
            <v>Index</v>
          </cell>
          <cell r="E6955" t="str">
            <v>Index Level</v>
          </cell>
          <cell r="F6955" t="str">
            <v>Other</v>
          </cell>
          <cell r="G6955" t="str">
            <v>Other</v>
          </cell>
          <cell r="H6955" t="str">
            <v>OTHER</v>
          </cell>
          <cell r="I6955" t="str">
            <v>Other - Index</v>
          </cell>
        </row>
        <row r="6956">
          <cell r="A6956" t="str">
            <v>MSACXUSFFN</v>
          </cell>
          <cell r="B6956" t="str">
            <v>MSCI ACWI ex USA ex Fossil N</v>
          </cell>
          <cell r="C6956" t="str">
            <v>-BRS_GOLD_1:MSACXUSFFN</v>
          </cell>
          <cell r="D6956" t="str">
            <v>Index</v>
          </cell>
          <cell r="E6956" t="str">
            <v>Index Level</v>
          </cell>
          <cell r="F6956" t="str">
            <v>Other</v>
          </cell>
          <cell r="G6956" t="str">
            <v>Other</v>
          </cell>
          <cell r="H6956" t="str">
            <v>OTHER</v>
          </cell>
          <cell r="I6956" t="str">
            <v>Other - Index</v>
          </cell>
        </row>
        <row r="6957">
          <cell r="A6957" t="str">
            <v>MSACXUSFFP</v>
          </cell>
          <cell r="B6957" t="str">
            <v>MSCI ACWI ex USA ex Fossil Pr</v>
          </cell>
          <cell r="C6957" t="str">
            <v>-BRS_GOLD_1:MSACXUSFFP</v>
          </cell>
          <cell r="D6957" t="str">
            <v>Index</v>
          </cell>
          <cell r="E6957" t="str">
            <v>Index Level</v>
          </cell>
          <cell r="F6957" t="str">
            <v>Other</v>
          </cell>
          <cell r="G6957" t="str">
            <v>Other</v>
          </cell>
          <cell r="H6957" t="str">
            <v>OTHER</v>
          </cell>
          <cell r="I6957" t="str">
            <v>Other - Index</v>
          </cell>
        </row>
        <row r="6958">
          <cell r="A6958" t="str">
            <v>MSAC_APAC</v>
          </cell>
          <cell r="B6958" t="str">
            <v>MSCI AC Asia Pacific (USD)</v>
          </cell>
          <cell r="C6958" t="str">
            <v>-BRS_GOLD_1:MSAC_APAC</v>
          </cell>
          <cell r="D6958" t="str">
            <v>Index</v>
          </cell>
          <cell r="E6958" t="str">
            <v>Index Level</v>
          </cell>
          <cell r="F6958" t="str">
            <v>Other</v>
          </cell>
          <cell r="G6958" t="str">
            <v>Other</v>
          </cell>
          <cell r="H6958" t="str">
            <v>OTHER</v>
          </cell>
          <cell r="I6958" t="str">
            <v>Other - Index</v>
          </cell>
        </row>
        <row r="6959">
          <cell r="A6959" t="str">
            <v>MSAC_APLCL</v>
          </cell>
          <cell r="B6959" t="str">
            <v>MSCI AC Asia Pacific (Loc)</v>
          </cell>
          <cell r="C6959" t="str">
            <v>-BRS_GOLD_1:MSAC_APLCL</v>
          </cell>
          <cell r="D6959" t="str">
            <v>Index</v>
          </cell>
          <cell r="E6959" t="str">
            <v>Index Level</v>
          </cell>
          <cell r="F6959" t="str">
            <v>Other</v>
          </cell>
          <cell r="G6959" t="str">
            <v>Other</v>
          </cell>
          <cell r="H6959" t="str">
            <v>OTHER</v>
          </cell>
          <cell r="I6959" t="str">
            <v>Other - Index</v>
          </cell>
        </row>
        <row r="6960">
          <cell r="A6960" t="str">
            <v>MSAESGCHG</v>
          </cell>
          <cell r="B6960" t="str">
            <v>MSCI NA ESG Leader GR CHF</v>
          </cell>
          <cell r="C6960" t="str">
            <v>-BRS_GOLD_1:MSAESGCHG</v>
          </cell>
          <cell r="D6960" t="str">
            <v>Index</v>
          </cell>
          <cell r="E6960" t="str">
            <v>Index Level</v>
          </cell>
          <cell r="F6960" t="str">
            <v>Other</v>
          </cell>
          <cell r="G6960" t="str">
            <v>Other</v>
          </cell>
          <cell r="H6960" t="str">
            <v>OTHER</v>
          </cell>
          <cell r="I6960" t="str">
            <v>Other - Index</v>
          </cell>
        </row>
        <row r="6961">
          <cell r="A6961" t="str">
            <v>MSARAAFRL</v>
          </cell>
          <cell r="B6961" t="str">
            <v>MSCI Arabian &amp; Africa (USD)</v>
          </cell>
          <cell r="C6961" t="str">
            <v>-BRS_GOLD_1:MSARAAFRL</v>
          </cell>
          <cell r="D6961" t="str">
            <v>Index</v>
          </cell>
          <cell r="E6961" t="str">
            <v>Index Level</v>
          </cell>
          <cell r="F6961" t="str">
            <v>Other</v>
          </cell>
          <cell r="G6961" t="str">
            <v>Other</v>
          </cell>
          <cell r="H6961" t="str">
            <v>OTHER</v>
          </cell>
          <cell r="I6961" t="str">
            <v>Other - Index</v>
          </cell>
        </row>
        <row r="6962">
          <cell r="A6962" t="str">
            <v>MSARABAFR</v>
          </cell>
          <cell r="B6962" t="str">
            <v>MSCI Arabian &amp; Africa (Loc)</v>
          </cell>
          <cell r="C6962" t="str">
            <v>-BRS_GOLD_1:MSARABAFR</v>
          </cell>
          <cell r="D6962" t="str">
            <v>Index</v>
          </cell>
          <cell r="E6962" t="str">
            <v>Index Level</v>
          </cell>
          <cell r="F6962" t="str">
            <v>Other</v>
          </cell>
          <cell r="G6962" t="str">
            <v>Other</v>
          </cell>
          <cell r="H6962" t="str">
            <v>OTHER</v>
          </cell>
          <cell r="I6962" t="str">
            <v>Other - Index</v>
          </cell>
        </row>
        <row r="6963">
          <cell r="A6963" t="str">
            <v>MSAUSESLDG</v>
          </cell>
          <cell r="B6963" t="str">
            <v>MSCI Australia ESG Leaders</v>
          </cell>
          <cell r="C6963" t="str">
            <v>-BRS_GOLD_1:MSAUSESLDG</v>
          </cell>
          <cell r="D6963" t="str">
            <v>Index</v>
          </cell>
          <cell r="E6963" t="str">
            <v>Index Level</v>
          </cell>
          <cell r="F6963" t="str">
            <v>Other</v>
          </cell>
          <cell r="G6963" t="str">
            <v>Other</v>
          </cell>
          <cell r="H6963" t="str">
            <v>OTHER</v>
          </cell>
          <cell r="I6963" t="str">
            <v>Other - Index</v>
          </cell>
        </row>
        <row r="6964">
          <cell r="A6964" t="str">
            <v>MSAWEULD</v>
          </cell>
          <cell r="B6964" t="str">
            <v>MSCI ACWI ex US ESG Leaders</v>
          </cell>
          <cell r="C6964" t="str">
            <v>-BRS_GOLD_1:MSAWEULD</v>
          </cell>
          <cell r="D6964" t="str">
            <v>Index</v>
          </cell>
          <cell r="E6964" t="str">
            <v>Index Level</v>
          </cell>
          <cell r="F6964" t="str">
            <v>Other</v>
          </cell>
          <cell r="G6964" t="str">
            <v>Other</v>
          </cell>
          <cell r="H6964" t="str">
            <v>OTHER</v>
          </cell>
          <cell r="I6964" t="str">
            <v>Other - Index</v>
          </cell>
        </row>
        <row r="6965">
          <cell r="A6965" t="str">
            <v>MSAWEULDN</v>
          </cell>
          <cell r="B6965" t="str">
            <v>MSCI ACWI ex US ESG Leaders N</v>
          </cell>
          <cell r="C6965" t="str">
            <v>-BRS_GOLD_1:MSAWEULDN</v>
          </cell>
          <cell r="D6965" t="str">
            <v>Index</v>
          </cell>
          <cell r="E6965" t="str">
            <v>Index Level</v>
          </cell>
          <cell r="F6965" t="str">
            <v>Other</v>
          </cell>
          <cell r="G6965" t="str">
            <v>Other</v>
          </cell>
          <cell r="H6965" t="str">
            <v>OTHER</v>
          </cell>
          <cell r="I6965" t="str">
            <v>Other - Index</v>
          </cell>
        </row>
        <row r="6966">
          <cell r="A6966" t="str">
            <v>MSAWEUSD</v>
          </cell>
          <cell r="B6966" t="str">
            <v>MSCI ACWI ex US ESG Leaders P</v>
          </cell>
          <cell r="C6966" t="str">
            <v>-BRS_GOLD_1:MSAWEUSD</v>
          </cell>
          <cell r="D6966" t="str">
            <v>Index</v>
          </cell>
          <cell r="E6966" t="str">
            <v>Index Level</v>
          </cell>
          <cell r="F6966" t="str">
            <v>Other</v>
          </cell>
          <cell r="G6966" t="str">
            <v>Other</v>
          </cell>
          <cell r="H6966" t="str">
            <v>OTHER</v>
          </cell>
          <cell r="I6966" t="str">
            <v>Other - Index</v>
          </cell>
        </row>
        <row r="6967">
          <cell r="A6967" t="str">
            <v>MSCAIMIES</v>
          </cell>
          <cell r="B6967" t="str">
            <v>MSCI CAN IMI ESG Scr 10%cap</v>
          </cell>
          <cell r="C6967" t="str">
            <v>-BRS_GOLD_1:MSCAIMIES</v>
          </cell>
          <cell r="D6967" t="str">
            <v>Index</v>
          </cell>
          <cell r="E6967" t="str">
            <v>Index Level</v>
          </cell>
          <cell r="F6967" t="str">
            <v>Other</v>
          </cell>
          <cell r="G6967" t="str">
            <v>Other</v>
          </cell>
          <cell r="H6967" t="str">
            <v>OTHER</v>
          </cell>
          <cell r="I6967" t="str">
            <v>Other - Index</v>
          </cell>
        </row>
        <row r="6968">
          <cell r="A6968" t="str">
            <v>MSCAIMIESG</v>
          </cell>
          <cell r="B6968" t="str">
            <v>MSCI CAN IMI ESG Scr 10%cap P</v>
          </cell>
          <cell r="C6968" t="str">
            <v>-BRS_GOLD_1:MSCAIMIESG</v>
          </cell>
          <cell r="D6968" t="str">
            <v>Index</v>
          </cell>
          <cell r="E6968" t="str">
            <v>Index Level</v>
          </cell>
          <cell r="F6968" t="str">
            <v>Other</v>
          </cell>
          <cell r="G6968" t="str">
            <v>Other</v>
          </cell>
          <cell r="H6968" t="str">
            <v>OTHER</v>
          </cell>
          <cell r="I6968" t="str">
            <v>Other - Index</v>
          </cell>
        </row>
        <row r="6969">
          <cell r="A6969" t="str">
            <v>MSCAIMIESN</v>
          </cell>
          <cell r="B6969" t="str">
            <v>MSCI CAN IMI ESG Scr 10%cap N</v>
          </cell>
          <cell r="C6969" t="str">
            <v>-BRS_GOLD_1:MSCAIMIESN</v>
          </cell>
          <cell r="D6969" t="str">
            <v>Index</v>
          </cell>
          <cell r="E6969" t="str">
            <v>Index Level</v>
          </cell>
          <cell r="F6969" t="str">
            <v>Other</v>
          </cell>
          <cell r="G6969" t="str">
            <v>Other</v>
          </cell>
          <cell r="H6969" t="str">
            <v>OTHER</v>
          </cell>
          <cell r="I6969" t="str">
            <v>Other - Index</v>
          </cell>
        </row>
        <row r="6970">
          <cell r="A6970" t="str">
            <v>MSCANESLDG</v>
          </cell>
          <cell r="B6970" t="str">
            <v>MSCI Canada ESG Leaders MSCAN</v>
          </cell>
          <cell r="C6970" t="str">
            <v>-BRS_GOLD_1:MSCANESLDG</v>
          </cell>
          <cell r="D6970" t="str">
            <v>Index</v>
          </cell>
          <cell r="E6970" t="str">
            <v>Index Level</v>
          </cell>
          <cell r="F6970" t="str">
            <v>Other</v>
          </cell>
          <cell r="G6970" t="str">
            <v>Other</v>
          </cell>
          <cell r="H6970" t="str">
            <v>OTHER</v>
          </cell>
          <cell r="I6970" t="str">
            <v>Other - Index</v>
          </cell>
        </row>
        <row r="6971">
          <cell r="A6971" t="str">
            <v>MSCANEXCWE</v>
          </cell>
          <cell r="B6971" t="str">
            <v>MSCI Canada ex Cont Weap</v>
          </cell>
          <cell r="C6971" t="str">
            <v>-BRS_GOLD_1:MSCANEXCWE</v>
          </cell>
          <cell r="D6971" t="str">
            <v>Index</v>
          </cell>
          <cell r="E6971" t="str">
            <v>Index Level</v>
          </cell>
          <cell r="F6971" t="str">
            <v>Other</v>
          </cell>
          <cell r="G6971" t="str">
            <v>Other</v>
          </cell>
          <cell r="H6971" t="str">
            <v>OTHER</v>
          </cell>
          <cell r="I6971" t="str">
            <v>Other - Index</v>
          </cell>
        </row>
        <row r="6972">
          <cell r="A6972" t="str">
            <v>MSCCHFNET</v>
          </cell>
          <cell r="B6972" t="str">
            <v>MSCI EM ESG Net CHF</v>
          </cell>
          <cell r="C6972" t="str">
            <v>-BRS_GOLD_1:MSCCHFNET</v>
          </cell>
          <cell r="D6972" t="str">
            <v>Index</v>
          </cell>
          <cell r="E6972" t="str">
            <v>Index Level</v>
          </cell>
          <cell r="F6972" t="str">
            <v>Other</v>
          </cell>
          <cell r="G6972" t="str">
            <v>Other</v>
          </cell>
          <cell r="H6972" t="str">
            <v>OTHER</v>
          </cell>
          <cell r="I6972" t="str">
            <v>Other - Index</v>
          </cell>
        </row>
        <row r="6973">
          <cell r="A6973" t="str">
            <v>MSCEAFEUR</v>
          </cell>
          <cell r="B6973" t="str">
            <v>MSCI EAFE ESG Leaders TR</v>
          </cell>
          <cell r="C6973" t="str">
            <v>-BRS_GOLD_1:MSCEAFEUR</v>
          </cell>
          <cell r="D6973" t="str">
            <v>Index</v>
          </cell>
          <cell r="E6973" t="str">
            <v>Index Level</v>
          </cell>
          <cell r="F6973" t="str">
            <v>Other</v>
          </cell>
          <cell r="G6973" t="str">
            <v>Other</v>
          </cell>
          <cell r="H6973" t="str">
            <v>OTHER</v>
          </cell>
          <cell r="I6973" t="str">
            <v>Other - Index</v>
          </cell>
        </row>
        <row r="6974">
          <cell r="A6974" t="str">
            <v>MSCEFIGBP</v>
          </cell>
          <cell r="B6974" t="str">
            <v>MSCI USA ESG Enh Focus N GBP</v>
          </cell>
          <cell r="C6974" t="str">
            <v>-BRS_GOLD_1:MSCEFIGBP</v>
          </cell>
          <cell r="D6974" t="str">
            <v>Index</v>
          </cell>
          <cell r="E6974" t="str">
            <v>Index Level</v>
          </cell>
          <cell r="F6974" t="str">
            <v>Other</v>
          </cell>
          <cell r="G6974" t="str">
            <v>Other</v>
          </cell>
          <cell r="H6974" t="str">
            <v>OTHER</v>
          </cell>
          <cell r="I6974" t="str">
            <v>Other - Index</v>
          </cell>
        </row>
        <row r="6975">
          <cell r="A6975" t="str">
            <v>MSCEHFGBP</v>
          </cell>
          <cell r="B6975" t="str">
            <v>MSCI WRLD ESG Enh Focus N GBP</v>
          </cell>
          <cell r="C6975" t="str">
            <v>-BRS_GOLD_1:MSCEHFGBP</v>
          </cell>
          <cell r="D6975" t="str">
            <v>Index</v>
          </cell>
          <cell r="E6975" t="str">
            <v>Index Level</v>
          </cell>
          <cell r="F6975" t="str">
            <v>Other</v>
          </cell>
          <cell r="G6975" t="str">
            <v>Other</v>
          </cell>
          <cell r="H6975" t="str">
            <v>OTHER</v>
          </cell>
          <cell r="I6975" t="str">
            <v>Other - Index</v>
          </cell>
        </row>
        <row r="6976">
          <cell r="A6976" t="str">
            <v>MSCEMIGBP</v>
          </cell>
          <cell r="B6976" t="str">
            <v>MSCI EM IMI ESG Scre GBP</v>
          </cell>
          <cell r="C6976" t="str">
            <v>-BRS_GOLD_1:MSCEMIGBP</v>
          </cell>
          <cell r="D6976" t="str">
            <v>Index</v>
          </cell>
          <cell r="E6976" t="str">
            <v>Index Level</v>
          </cell>
          <cell r="F6976" t="str">
            <v>Other</v>
          </cell>
          <cell r="G6976" t="str">
            <v>Other</v>
          </cell>
          <cell r="H6976" t="str">
            <v>OTHER</v>
          </cell>
          <cell r="I6976" t="str">
            <v>Other - Index</v>
          </cell>
        </row>
        <row r="6977">
          <cell r="A6977" t="str">
            <v>MSCEMUGBP</v>
          </cell>
          <cell r="B6977" t="str">
            <v>MSCI EMU ESG SCREENED NET GBP</v>
          </cell>
          <cell r="C6977" t="str">
            <v>-BRS_GOLD_1:MSCEMUGBP</v>
          </cell>
          <cell r="D6977" t="str">
            <v>Index</v>
          </cell>
          <cell r="E6977" t="str">
            <v>Index Level</v>
          </cell>
          <cell r="F6977" t="str">
            <v>Other</v>
          </cell>
          <cell r="G6977" t="str">
            <v>Other</v>
          </cell>
          <cell r="H6977" t="str">
            <v>OTHER</v>
          </cell>
          <cell r="I6977" t="str">
            <v>Other - Index</v>
          </cell>
        </row>
        <row r="6978">
          <cell r="A6978" t="str">
            <v>MSCESGCAD</v>
          </cell>
          <cell r="B6978" t="str">
            <v>MSCI Canada ESG Leaders MSCES</v>
          </cell>
          <cell r="C6978" t="str">
            <v>-BRS_GOLD_1:MSCESGCAD</v>
          </cell>
          <cell r="D6978" t="str">
            <v>Index</v>
          </cell>
          <cell r="E6978" t="str">
            <v>Index Level</v>
          </cell>
          <cell r="F6978" t="str">
            <v>Other</v>
          </cell>
          <cell r="G6978" t="str">
            <v>Other</v>
          </cell>
          <cell r="H6978" t="str">
            <v>OTHER</v>
          </cell>
          <cell r="I6978" t="str">
            <v>Other - Index</v>
          </cell>
        </row>
        <row r="6979">
          <cell r="A6979" t="str">
            <v>MSCESGGBP</v>
          </cell>
          <cell r="B6979" t="str">
            <v>MSEMKESGLN GBP Net Index</v>
          </cell>
          <cell r="C6979" t="str">
            <v>-BRS_GOLD_1:MSCESGGBP</v>
          </cell>
          <cell r="D6979" t="str">
            <v>Index</v>
          </cell>
          <cell r="E6979" t="str">
            <v>Index Level</v>
          </cell>
          <cell r="F6979" t="str">
            <v>Other</v>
          </cell>
          <cell r="G6979" t="str">
            <v>Other</v>
          </cell>
          <cell r="H6979" t="str">
            <v>OTHER</v>
          </cell>
          <cell r="I6979" t="str">
            <v>Other - Index</v>
          </cell>
        </row>
        <row r="6980">
          <cell r="A6980" t="str">
            <v>MSCESGGRS</v>
          </cell>
          <cell r="B6980" t="str">
            <v>MSCI EM ESG Gross GBP</v>
          </cell>
          <cell r="C6980" t="str">
            <v>-BRS_GOLD_1:MSCESGGRS</v>
          </cell>
          <cell r="D6980" t="str">
            <v>Index</v>
          </cell>
          <cell r="E6980" t="str">
            <v>Index Level</v>
          </cell>
          <cell r="F6980" t="str">
            <v>Other</v>
          </cell>
          <cell r="G6980" t="str">
            <v>Other</v>
          </cell>
          <cell r="H6980" t="str">
            <v>OTHER</v>
          </cell>
          <cell r="I6980" t="str">
            <v>Other - Index</v>
          </cell>
        </row>
        <row r="6981">
          <cell r="A6981" t="str">
            <v>MSCESGJPY</v>
          </cell>
          <cell r="B6981" t="str">
            <v>MSCI Japan ESG Leaders G JPY</v>
          </cell>
          <cell r="C6981" t="str">
            <v>-BRS_GOLD_1:MSCESGJPY</v>
          </cell>
          <cell r="D6981" t="str">
            <v>Index</v>
          </cell>
          <cell r="E6981" t="str">
            <v>Index Level</v>
          </cell>
          <cell r="F6981" t="str">
            <v>Other</v>
          </cell>
          <cell r="G6981" t="str">
            <v>Other</v>
          </cell>
          <cell r="H6981" t="str">
            <v>OTHER</v>
          </cell>
          <cell r="I6981" t="str">
            <v>Other - Index</v>
          </cell>
        </row>
        <row r="6982">
          <cell r="A6982" t="str">
            <v>MSCESGLDR</v>
          </cell>
          <cell r="B6982" t="str">
            <v>MSCI NA ESG Leader GR USD</v>
          </cell>
          <cell r="C6982" t="str">
            <v>-BRS_GOLD_1:MSCESGLDR</v>
          </cell>
          <cell r="D6982" t="str">
            <v>Index</v>
          </cell>
          <cell r="E6982" t="str">
            <v>Index Level</v>
          </cell>
          <cell r="F6982" t="str">
            <v>Other</v>
          </cell>
          <cell r="G6982" t="str">
            <v>Other</v>
          </cell>
          <cell r="H6982" t="str">
            <v>OTHER</v>
          </cell>
          <cell r="I6982" t="str">
            <v>Other - Index</v>
          </cell>
        </row>
        <row r="6983">
          <cell r="A6983" t="str">
            <v>MSCESGNUS</v>
          </cell>
          <cell r="B6983" t="str">
            <v>MSCI USA Choice ESG Scr USD</v>
          </cell>
          <cell r="C6983" t="str">
            <v>-BRS_GOLD_1:MSCESGNUS</v>
          </cell>
          <cell r="D6983" t="str">
            <v>Index</v>
          </cell>
          <cell r="E6983" t="str">
            <v>Index Level</v>
          </cell>
          <cell r="F6983" t="str">
            <v>Other</v>
          </cell>
          <cell r="G6983" t="str">
            <v>Other</v>
          </cell>
          <cell r="H6983" t="str">
            <v>OTHER</v>
          </cell>
          <cell r="I6983" t="str">
            <v>Other - Index</v>
          </cell>
        </row>
        <row r="6984">
          <cell r="A6984" t="str">
            <v>MSCESGRGB</v>
          </cell>
          <cell r="B6984" t="str">
            <v>MSCI USA ESG SCREENED G GBP</v>
          </cell>
          <cell r="C6984" t="str">
            <v>-BRS_GOLD_1:MSCESGRGB</v>
          </cell>
          <cell r="D6984" t="str">
            <v>Index</v>
          </cell>
          <cell r="E6984" t="str">
            <v>Index Level</v>
          </cell>
          <cell r="F6984" t="str">
            <v>Other</v>
          </cell>
          <cell r="G6984" t="str">
            <v>Other</v>
          </cell>
          <cell r="H6984" t="str">
            <v>OTHER</v>
          </cell>
          <cell r="I6984" t="str">
            <v>Other - Index</v>
          </cell>
        </row>
        <row r="6985">
          <cell r="A6985" t="str">
            <v>MSCESGSGB</v>
          </cell>
          <cell r="B6985" t="str">
            <v>MSCI USA ESG SCREENED GBP</v>
          </cell>
          <cell r="C6985" t="str">
            <v>-BRS_GOLD_1:MSCESGSGB</v>
          </cell>
          <cell r="D6985" t="str">
            <v>Index</v>
          </cell>
          <cell r="E6985" t="str">
            <v>Index Level</v>
          </cell>
          <cell r="F6985" t="str">
            <v>Other</v>
          </cell>
          <cell r="G6985" t="str">
            <v>Other</v>
          </cell>
          <cell r="H6985" t="str">
            <v>OTHER</v>
          </cell>
          <cell r="I6985" t="str">
            <v>Other - Index</v>
          </cell>
        </row>
        <row r="6986">
          <cell r="A6986" t="str">
            <v>MSCESPRGB</v>
          </cell>
          <cell r="B6986" t="str">
            <v>MSCI USA ESG SCREENED Pr GBP</v>
          </cell>
          <cell r="C6986" t="str">
            <v>-BRS_GOLD_1:MSCESPRGB</v>
          </cell>
          <cell r="D6986" t="str">
            <v>Index</v>
          </cell>
          <cell r="E6986" t="str">
            <v>Index Level</v>
          </cell>
          <cell r="F6986" t="str">
            <v>Other</v>
          </cell>
          <cell r="G6986" t="str">
            <v>Other</v>
          </cell>
          <cell r="H6986" t="str">
            <v>OTHER</v>
          </cell>
          <cell r="I6986" t="str">
            <v>Other - Index</v>
          </cell>
        </row>
        <row r="6987">
          <cell r="A6987" t="str">
            <v>MSCGRSUSD</v>
          </cell>
          <cell r="B6987" t="str">
            <v>MSCI Europe SRI Gross Index</v>
          </cell>
          <cell r="C6987" t="str">
            <v>-BRS_GOLD_1:MSCGRSUSD</v>
          </cell>
          <cell r="D6987" t="str">
            <v>Index</v>
          </cell>
          <cell r="E6987" t="str">
            <v>Index Level</v>
          </cell>
          <cell r="F6987" t="str">
            <v>Other</v>
          </cell>
          <cell r="G6987" t="str">
            <v>Other</v>
          </cell>
          <cell r="H6987" t="str">
            <v>OTHER</v>
          </cell>
          <cell r="I6987" t="str">
            <v>Other - Index</v>
          </cell>
        </row>
        <row r="6988">
          <cell r="A6988" t="str">
            <v>MSCHFJPES</v>
          </cell>
          <cell r="B6988" t="str">
            <v>MSCI Japan ESG Leaders N CHF</v>
          </cell>
          <cell r="C6988" t="str">
            <v>-BRS_GOLD_1:MSCHFJPES</v>
          </cell>
          <cell r="D6988" t="str">
            <v>Index</v>
          </cell>
          <cell r="E6988" t="str">
            <v>Index Level</v>
          </cell>
          <cell r="F6988" t="str">
            <v>Other</v>
          </cell>
          <cell r="G6988" t="str">
            <v>Other</v>
          </cell>
          <cell r="H6988" t="str">
            <v>OTHER</v>
          </cell>
          <cell r="I6988" t="str">
            <v>Other - Index</v>
          </cell>
        </row>
        <row r="6989">
          <cell r="A6989" t="str">
            <v>MSCI701004</v>
          </cell>
          <cell r="B6989" t="str">
            <v>MSCI Pacific ex Japan ESG Lea</v>
          </cell>
          <cell r="C6989" t="str">
            <v>-BRS_GOLD_1:MSCI701004</v>
          </cell>
          <cell r="D6989" t="str">
            <v>Index</v>
          </cell>
          <cell r="E6989" t="str">
            <v>Index Level</v>
          </cell>
          <cell r="F6989" t="str">
            <v>Other</v>
          </cell>
          <cell r="G6989" t="str">
            <v>Other</v>
          </cell>
          <cell r="H6989" t="str">
            <v>OTHER</v>
          </cell>
          <cell r="I6989" t="str">
            <v>Other - Index</v>
          </cell>
        </row>
        <row r="6990">
          <cell r="A6990" t="str">
            <v>MSCIACWGR</v>
          </cell>
          <cell r="B6990" t="str">
            <v>MSCI ACWI ESG Leaders G TR</v>
          </cell>
          <cell r="C6990" t="str">
            <v>-BRS_GOLD_1:MSCIACWGR</v>
          </cell>
          <cell r="D6990" t="str">
            <v>Index</v>
          </cell>
          <cell r="E6990" t="str">
            <v>Index Level</v>
          </cell>
          <cell r="F6990" t="str">
            <v>Other</v>
          </cell>
          <cell r="G6990" t="str">
            <v>Other</v>
          </cell>
          <cell r="H6990" t="str">
            <v>OTHER</v>
          </cell>
          <cell r="I6990" t="str">
            <v>Other - Index</v>
          </cell>
        </row>
        <row r="6991">
          <cell r="A6991" t="str">
            <v>MSCIACWI</v>
          </cell>
          <cell r="B6991" t="str">
            <v>MSCI AC World (USD)</v>
          </cell>
          <cell r="C6991" t="str">
            <v>-BRS_GOLD_1:MSCIACWI</v>
          </cell>
          <cell r="D6991" t="str">
            <v>Index</v>
          </cell>
          <cell r="E6991" t="str">
            <v>Index Level</v>
          </cell>
          <cell r="F6991" t="str">
            <v>Other</v>
          </cell>
          <cell r="G6991" t="str">
            <v>Other</v>
          </cell>
          <cell r="H6991" t="str">
            <v>OTHER</v>
          </cell>
          <cell r="I6991" t="str">
            <v>Other - Index</v>
          </cell>
        </row>
        <row r="6992">
          <cell r="A6992" t="str">
            <v>MSCICWNED</v>
          </cell>
          <cell r="B6992" t="str">
            <v>MSCI Pac ex Contr weap EUR N</v>
          </cell>
          <cell r="C6992" t="str">
            <v>-BRS_GOLD_1:MSCICWNED</v>
          </cell>
          <cell r="D6992" t="str">
            <v>Index</v>
          </cell>
          <cell r="E6992" t="str">
            <v>Index Level</v>
          </cell>
          <cell r="F6992" t="str">
            <v>Other</v>
          </cell>
          <cell r="G6992" t="str">
            <v>Other</v>
          </cell>
          <cell r="H6992" t="str">
            <v>OTHER</v>
          </cell>
          <cell r="I6992" t="str">
            <v>Other - Index</v>
          </cell>
        </row>
        <row r="6993">
          <cell r="A6993" t="str">
            <v>MSCIEAFE_G</v>
          </cell>
          <cell r="B6993" t="str">
            <v>MSCI EAFE ESG Select GROSS</v>
          </cell>
          <cell r="C6993" t="str">
            <v>-BRS_GOLD_1:MSCIEAFE_G</v>
          </cell>
          <cell r="D6993" t="str">
            <v>Index</v>
          </cell>
          <cell r="E6993" t="str">
            <v>Index Level</v>
          </cell>
          <cell r="F6993" t="str">
            <v>Other</v>
          </cell>
          <cell r="G6993" t="str">
            <v>Other</v>
          </cell>
          <cell r="H6993" t="str">
            <v>OTHER</v>
          </cell>
          <cell r="I6993" t="str">
            <v>Other - Index</v>
          </cell>
        </row>
        <row r="6994">
          <cell r="A6994" t="str">
            <v>MSCIEAFE_N</v>
          </cell>
          <cell r="B6994" t="str">
            <v>MSCI EAFE ESG Select Index</v>
          </cell>
          <cell r="C6994" t="str">
            <v>-BRS_GOLD_1:MSCIEAFE_N</v>
          </cell>
          <cell r="D6994" t="str">
            <v>Index</v>
          </cell>
          <cell r="E6994" t="str">
            <v>Index Level</v>
          </cell>
          <cell r="F6994" t="str">
            <v>Other</v>
          </cell>
          <cell r="G6994" t="str">
            <v>Other</v>
          </cell>
          <cell r="H6994" t="str">
            <v>OTHER</v>
          </cell>
          <cell r="I6994" t="str">
            <v>Other - Index</v>
          </cell>
        </row>
        <row r="6995">
          <cell r="A6995" t="str">
            <v>MSCIEAFE_P</v>
          </cell>
          <cell r="B6995" t="str">
            <v>MSCI EAFE ESG Select Price</v>
          </cell>
          <cell r="C6995" t="str">
            <v>-BRS_GOLD_1:MSCIEAFE_P</v>
          </cell>
          <cell r="D6995" t="str">
            <v>Index</v>
          </cell>
          <cell r="E6995" t="str">
            <v>Index Level</v>
          </cell>
          <cell r="F6995" t="str">
            <v>Other</v>
          </cell>
          <cell r="G6995" t="str">
            <v>Other</v>
          </cell>
          <cell r="H6995" t="str">
            <v>OTHER</v>
          </cell>
          <cell r="I6995" t="str">
            <v>Other - Index</v>
          </cell>
        </row>
        <row r="6996">
          <cell r="A6996" t="str">
            <v>MSCIEAFGR</v>
          </cell>
          <cell r="B6996" t="str">
            <v>MSCI EAFE ESG Leaders Gross T</v>
          </cell>
          <cell r="C6996" t="str">
            <v>-BRS_GOLD_1:MSCIEAFGR</v>
          </cell>
          <cell r="D6996" t="str">
            <v>Index</v>
          </cell>
          <cell r="E6996" t="str">
            <v>Index Level</v>
          </cell>
          <cell r="F6996" t="str">
            <v>Other</v>
          </cell>
          <cell r="G6996" t="str">
            <v>Other</v>
          </cell>
          <cell r="H6996" t="str">
            <v>OTHER</v>
          </cell>
          <cell r="I6996" t="str">
            <v>Other - Index</v>
          </cell>
        </row>
        <row r="6997">
          <cell r="A6997" t="str">
            <v>MSCIEMECW</v>
          </cell>
          <cell r="B6997" t="str">
            <v>MSCI EM ex Contr Weap NET</v>
          </cell>
          <cell r="C6997" t="str">
            <v>-BRS_GOLD_1:MSCIEMECW</v>
          </cell>
          <cell r="D6997" t="str">
            <v>Index</v>
          </cell>
          <cell r="E6997" t="str">
            <v>Index Level</v>
          </cell>
          <cell r="F6997" t="str">
            <v>Other</v>
          </cell>
          <cell r="G6997" t="str">
            <v>Other</v>
          </cell>
          <cell r="H6997" t="str">
            <v>OTHER</v>
          </cell>
          <cell r="I6997" t="str">
            <v>Other - Index</v>
          </cell>
        </row>
        <row r="6998">
          <cell r="A6998" t="str">
            <v>MSCIEMESGG</v>
          </cell>
          <cell r="B6998" t="str">
            <v>MSCI EM ESG Select GROSS</v>
          </cell>
          <cell r="C6998" t="str">
            <v>-BRS_GOLD_1:MSCIEMESGG</v>
          </cell>
          <cell r="D6998" t="str">
            <v>Index</v>
          </cell>
          <cell r="E6998" t="str">
            <v>Index Level</v>
          </cell>
          <cell r="F6998" t="str">
            <v>Other</v>
          </cell>
          <cell r="G6998" t="str">
            <v>Other</v>
          </cell>
          <cell r="H6998" t="str">
            <v>OTHER</v>
          </cell>
          <cell r="I6998" t="str">
            <v>Other - Index</v>
          </cell>
        </row>
        <row r="6999">
          <cell r="A6999" t="str">
            <v>MSCIEMESGN</v>
          </cell>
          <cell r="B6999" t="str">
            <v>MSCI EM ESG Select</v>
          </cell>
          <cell r="C6999" t="str">
            <v>-BRS_GOLD_1:MSCIEMESGN</v>
          </cell>
          <cell r="D6999" t="str">
            <v>Index</v>
          </cell>
          <cell r="E6999" t="str">
            <v>Index Level</v>
          </cell>
          <cell r="F6999" t="str">
            <v>Other</v>
          </cell>
          <cell r="G6999" t="str">
            <v>Other</v>
          </cell>
          <cell r="H6999" t="str">
            <v>OTHER</v>
          </cell>
          <cell r="I6999" t="str">
            <v>Other - Index</v>
          </cell>
        </row>
        <row r="7000">
          <cell r="A7000" t="str">
            <v>MSCIEMESGP</v>
          </cell>
          <cell r="B7000" t="str">
            <v>MSCI EM ESG Select PRICE</v>
          </cell>
          <cell r="C7000" t="str">
            <v>-BRS_GOLD_1:MSCIEMESGP</v>
          </cell>
          <cell r="D7000" t="str">
            <v>Index</v>
          </cell>
          <cell r="E7000" t="str">
            <v>Index Level</v>
          </cell>
          <cell r="F7000" t="str">
            <v>Other</v>
          </cell>
          <cell r="G7000" t="str">
            <v>Other</v>
          </cell>
          <cell r="H7000" t="str">
            <v>OTHER</v>
          </cell>
          <cell r="I7000" t="str">
            <v>Other - Index</v>
          </cell>
        </row>
        <row r="7001">
          <cell r="A7001" t="str">
            <v>MSCIEMSML</v>
          </cell>
          <cell r="B7001" t="str">
            <v>MSCI EMU Small Cap Index</v>
          </cell>
          <cell r="C7001" t="str">
            <v>-BRS_GOLD_1:MSCIEMSML</v>
          </cell>
          <cell r="D7001" t="str">
            <v>Index</v>
          </cell>
          <cell r="E7001" t="str">
            <v>Index Level</v>
          </cell>
          <cell r="F7001" t="str">
            <v>Other</v>
          </cell>
          <cell r="G7001" t="str">
            <v>Other</v>
          </cell>
          <cell r="H7001" t="str">
            <v>OTHER</v>
          </cell>
          <cell r="I7001" t="str">
            <v>Other - Index</v>
          </cell>
        </row>
        <row r="7002">
          <cell r="A7002" t="str">
            <v>MSCIESGGB</v>
          </cell>
          <cell r="B7002" t="str">
            <v>MSCI WORLD ESG Lea MSCIESGGB</v>
          </cell>
          <cell r="C7002" t="str">
            <v>-BRS_GOLD_1:MSCIESGGB</v>
          </cell>
          <cell r="D7002" t="str">
            <v>Index</v>
          </cell>
          <cell r="E7002" t="str">
            <v>Index Level</v>
          </cell>
          <cell r="F7002" t="str">
            <v>Other</v>
          </cell>
          <cell r="G7002" t="str">
            <v>Other</v>
          </cell>
          <cell r="H7002" t="str">
            <v>OTHER</v>
          </cell>
          <cell r="I7002" t="str">
            <v>Other - Index</v>
          </cell>
        </row>
        <row r="7003">
          <cell r="A7003" t="str">
            <v>MSCIESGNL</v>
          </cell>
          <cell r="B7003" t="str">
            <v>MSCI Europe ESG Leaders N EUR</v>
          </cell>
          <cell r="C7003" t="str">
            <v>-BRS_GOLD_1:MSCIESGNL</v>
          </cell>
          <cell r="D7003" t="str">
            <v>Index</v>
          </cell>
          <cell r="E7003" t="str">
            <v>Index Level</v>
          </cell>
          <cell r="F7003" t="str">
            <v>Other</v>
          </cell>
          <cell r="G7003" t="str">
            <v>Other</v>
          </cell>
          <cell r="H7003" t="str">
            <v>OTHER</v>
          </cell>
          <cell r="I7003" t="str">
            <v>Other - Index</v>
          </cell>
        </row>
        <row r="7004">
          <cell r="A7004" t="str">
            <v>MSCIESGUSD</v>
          </cell>
          <cell r="B7004" t="str">
            <v>MSCI Europe ESG Leaders NR</v>
          </cell>
          <cell r="C7004" t="str">
            <v>-BRS_GOLD_1:MSCIESGUSD</v>
          </cell>
          <cell r="D7004" t="str">
            <v>Index</v>
          </cell>
          <cell r="E7004" t="str">
            <v>Index Level</v>
          </cell>
          <cell r="F7004" t="str">
            <v>Other</v>
          </cell>
          <cell r="G7004" t="str">
            <v>Other</v>
          </cell>
          <cell r="H7004" t="str">
            <v>OTHER</v>
          </cell>
          <cell r="I7004" t="str">
            <v>Other - Index</v>
          </cell>
        </row>
        <row r="7005">
          <cell r="A7005" t="str">
            <v>MSCIEURSRG</v>
          </cell>
          <cell r="B7005" t="str">
            <v>MSCI Europe SRI Index GROSS</v>
          </cell>
          <cell r="C7005" t="str">
            <v>-BRS_GOLD_1:MSCIEURSRG</v>
          </cell>
          <cell r="D7005" t="str">
            <v>Index</v>
          </cell>
          <cell r="E7005" t="str">
            <v>Index Level</v>
          </cell>
          <cell r="F7005" t="str">
            <v>Other</v>
          </cell>
          <cell r="G7005" t="str">
            <v>Other</v>
          </cell>
          <cell r="H7005" t="str">
            <v>OTHER</v>
          </cell>
          <cell r="I7005" t="str">
            <v>Other - Index</v>
          </cell>
        </row>
        <row r="7006">
          <cell r="A7006" t="str">
            <v>MSCIEURSRI</v>
          </cell>
          <cell r="B7006" t="str">
            <v>MSCI Europe SRI Index</v>
          </cell>
          <cell r="C7006" t="str">
            <v>-BRS_GOLD_1:MSCIEURSRI</v>
          </cell>
          <cell r="D7006" t="str">
            <v>Index</v>
          </cell>
          <cell r="E7006" t="str">
            <v>Index Level</v>
          </cell>
          <cell r="F7006" t="str">
            <v>Other</v>
          </cell>
          <cell r="G7006" t="str">
            <v>Other</v>
          </cell>
          <cell r="H7006" t="str">
            <v>OTHER</v>
          </cell>
          <cell r="I7006" t="str">
            <v>Other - Index</v>
          </cell>
        </row>
        <row r="7007">
          <cell r="A7007" t="str">
            <v>MSCIEURSRP</v>
          </cell>
          <cell r="B7007" t="str">
            <v>MSCI Europe SRI Index PRICE</v>
          </cell>
          <cell r="C7007" t="str">
            <v>-BRS_GOLD_1:MSCIEURSRP</v>
          </cell>
          <cell r="D7007" t="str">
            <v>Index</v>
          </cell>
          <cell r="E7007" t="str">
            <v>Index Level</v>
          </cell>
          <cell r="F7007" t="str">
            <v>Other</v>
          </cell>
          <cell r="G7007" t="str">
            <v>Other</v>
          </cell>
          <cell r="H7007" t="str">
            <v>OTHER</v>
          </cell>
          <cell r="I7007" t="str">
            <v>Other - Index</v>
          </cell>
        </row>
        <row r="7008">
          <cell r="A7008" t="str">
            <v>MSCIEXCWEA</v>
          </cell>
          <cell r="B7008" t="str">
            <v>MSCI USA ex Contr Wea EUR</v>
          </cell>
          <cell r="C7008" t="str">
            <v>-BRS_GOLD_1:MSCIEXCWEA</v>
          </cell>
          <cell r="D7008" t="str">
            <v>Index</v>
          </cell>
          <cell r="E7008" t="str">
            <v>Index Level</v>
          </cell>
          <cell r="F7008" t="str">
            <v>Other</v>
          </cell>
          <cell r="G7008" t="str">
            <v>Other</v>
          </cell>
          <cell r="H7008" t="str">
            <v>OTHER</v>
          </cell>
          <cell r="I7008" t="str">
            <v>Other - Index</v>
          </cell>
        </row>
        <row r="7009">
          <cell r="A7009" t="str">
            <v>MSCIFAEUR</v>
          </cell>
          <cell r="B7009" t="str">
            <v>MSCI World ESG Focus EUR MSCI</v>
          </cell>
          <cell r="C7009" t="str">
            <v>-BRS_GOLD_1:MSCIFAEUR</v>
          </cell>
          <cell r="D7009" t="str">
            <v>Index</v>
          </cell>
          <cell r="E7009" t="str">
            <v>Index Level</v>
          </cell>
          <cell r="F7009" t="str">
            <v>Other</v>
          </cell>
          <cell r="G7009" t="str">
            <v>Other</v>
          </cell>
          <cell r="H7009" t="str">
            <v>OTHER</v>
          </cell>
          <cell r="I7009" t="str">
            <v>Other - Index</v>
          </cell>
        </row>
        <row r="7010">
          <cell r="A7010" t="str">
            <v>MSCIFESG</v>
          </cell>
          <cell r="B7010" t="str">
            <v>MSCI World ESG Focus Index</v>
          </cell>
          <cell r="C7010" t="str">
            <v>-BRS_GOLD_1:MSCIFESG</v>
          </cell>
          <cell r="D7010" t="str">
            <v>Index</v>
          </cell>
          <cell r="E7010" t="str">
            <v>Index Level</v>
          </cell>
          <cell r="F7010" t="str">
            <v>Other</v>
          </cell>
          <cell r="G7010" t="str">
            <v>Other</v>
          </cell>
          <cell r="H7010" t="str">
            <v>OTHER</v>
          </cell>
          <cell r="I7010" t="str">
            <v>Other - Index</v>
          </cell>
        </row>
        <row r="7011">
          <cell r="A7011" t="str">
            <v>MSCIFESGN</v>
          </cell>
          <cell r="B7011" t="str">
            <v>MSCI World ESG Focus Net</v>
          </cell>
          <cell r="C7011" t="str">
            <v>-BRS_GOLD_1:MSCIFESGN</v>
          </cell>
          <cell r="D7011" t="str">
            <v>Index</v>
          </cell>
          <cell r="E7011" t="str">
            <v>Index Level</v>
          </cell>
          <cell r="F7011" t="str">
            <v>Other</v>
          </cell>
          <cell r="G7011" t="str">
            <v>Other</v>
          </cell>
          <cell r="H7011" t="str">
            <v>OTHER</v>
          </cell>
          <cell r="I7011" t="str">
            <v>Other - Index</v>
          </cell>
        </row>
        <row r="7012">
          <cell r="A7012" t="str">
            <v>MSCIGBPSR</v>
          </cell>
          <cell r="B7012" t="str">
            <v>MSCI Europe SRI Net GBP Index</v>
          </cell>
          <cell r="C7012" t="str">
            <v>-BRS_GOLD_1:MSCIGBPSR</v>
          </cell>
          <cell r="D7012" t="str">
            <v>Index</v>
          </cell>
          <cell r="E7012" t="str">
            <v>Index Level</v>
          </cell>
          <cell r="F7012" t="str">
            <v>Other</v>
          </cell>
          <cell r="G7012" t="str">
            <v>Other</v>
          </cell>
          <cell r="H7012" t="str">
            <v>OTHER</v>
          </cell>
          <cell r="I7012" t="str">
            <v>Other - Index</v>
          </cell>
        </row>
        <row r="7013">
          <cell r="A7013" t="str">
            <v>MSCINDRAUD</v>
          </cell>
          <cell r="B7013" t="str">
            <v>MSCI Australia Index</v>
          </cell>
          <cell r="C7013" t="str">
            <v>-BRS_GOLD_1:MSCINDRAUD</v>
          </cell>
          <cell r="D7013" t="str">
            <v>Index</v>
          </cell>
          <cell r="E7013" t="str">
            <v>Index Level</v>
          </cell>
          <cell r="F7013" t="str">
            <v>Other</v>
          </cell>
          <cell r="G7013" t="str">
            <v>Other</v>
          </cell>
          <cell r="H7013" t="str">
            <v>OTHER</v>
          </cell>
          <cell r="I7013" t="str">
            <v>Other - Index</v>
          </cell>
        </row>
        <row r="7014">
          <cell r="A7014" t="str">
            <v>MSCINDRCAD</v>
          </cell>
          <cell r="B7014" t="str">
            <v>MSCI Canada Index</v>
          </cell>
          <cell r="C7014" t="str">
            <v>-BRS_GOLD_1:MSCINDRCAD</v>
          </cell>
          <cell r="D7014" t="str">
            <v>Index</v>
          </cell>
          <cell r="E7014" t="str">
            <v>Index Level</v>
          </cell>
          <cell r="F7014" t="str">
            <v>Other</v>
          </cell>
          <cell r="G7014" t="str">
            <v>Other</v>
          </cell>
          <cell r="H7014" t="str">
            <v>OTHER</v>
          </cell>
          <cell r="I7014" t="str">
            <v>Other - Index</v>
          </cell>
        </row>
        <row r="7015">
          <cell r="A7015" t="str">
            <v>MSCINDRCHN</v>
          </cell>
          <cell r="B7015" t="str">
            <v>MSCI China Index (USD)</v>
          </cell>
          <cell r="C7015" t="str">
            <v>-BRS_GOLD_1:MSCINDRCHN</v>
          </cell>
          <cell r="D7015" t="str">
            <v>Index</v>
          </cell>
          <cell r="E7015" t="str">
            <v>Index Level</v>
          </cell>
          <cell r="F7015" t="str">
            <v>Other</v>
          </cell>
          <cell r="G7015" t="str">
            <v>Other</v>
          </cell>
          <cell r="H7015" t="str">
            <v>OTHER</v>
          </cell>
          <cell r="I7015" t="str">
            <v>Other - Index</v>
          </cell>
        </row>
        <row r="7016">
          <cell r="A7016" t="str">
            <v>MSCINDREFE</v>
          </cell>
          <cell r="B7016" t="str">
            <v>MSCI EM Far East Index</v>
          </cell>
          <cell r="C7016" t="str">
            <v>-BRS_GOLD_1:MSCINDREFE</v>
          </cell>
          <cell r="D7016" t="str">
            <v>Index</v>
          </cell>
          <cell r="E7016" t="str">
            <v>Index Level</v>
          </cell>
          <cell r="F7016" t="str">
            <v>Other</v>
          </cell>
          <cell r="G7016" t="str">
            <v>Other</v>
          </cell>
          <cell r="H7016" t="str">
            <v>OTHER</v>
          </cell>
          <cell r="I7016" t="str">
            <v>Other - Index</v>
          </cell>
        </row>
        <row r="7017">
          <cell r="A7017" t="str">
            <v>MSCINDRENR</v>
          </cell>
          <cell r="B7017" t="str">
            <v>MSCI EMU Energy Index</v>
          </cell>
          <cell r="C7017" t="str">
            <v>-BRS_GOLD_1:MSCINDRENR</v>
          </cell>
          <cell r="D7017" t="str">
            <v>Index</v>
          </cell>
          <cell r="E7017" t="str">
            <v>Index Level</v>
          </cell>
          <cell r="F7017" t="str">
            <v>Other</v>
          </cell>
          <cell r="G7017" t="str">
            <v>Other</v>
          </cell>
          <cell r="H7017" t="str">
            <v>OTHER</v>
          </cell>
          <cell r="I7017" t="str">
            <v>Other - Index</v>
          </cell>
        </row>
        <row r="7018">
          <cell r="A7018" t="str">
            <v>MSCINDREUR</v>
          </cell>
          <cell r="B7018" t="str">
            <v>MSCI EM Europe Index</v>
          </cell>
          <cell r="C7018" t="str">
            <v>-BRS_GOLD_1:MSCINDREUR</v>
          </cell>
          <cell r="D7018" t="str">
            <v>Index</v>
          </cell>
          <cell r="E7018" t="str">
            <v>Index Level</v>
          </cell>
          <cell r="F7018" t="str">
            <v>Other</v>
          </cell>
          <cell r="G7018" t="str">
            <v>Other</v>
          </cell>
          <cell r="H7018" t="str">
            <v>OTHER</v>
          </cell>
          <cell r="I7018" t="str">
            <v>Other - Index</v>
          </cell>
        </row>
        <row r="7019">
          <cell r="A7019" t="str">
            <v>MSCINDUSD</v>
          </cell>
          <cell r="B7019" t="str">
            <v>MSCI Europe SRI NET Index</v>
          </cell>
          <cell r="C7019" t="str">
            <v>-BRS_GOLD_1:MSCINDUSD</v>
          </cell>
          <cell r="D7019" t="str">
            <v>Index</v>
          </cell>
          <cell r="E7019" t="str">
            <v>Index Level</v>
          </cell>
          <cell r="F7019" t="str">
            <v>Other</v>
          </cell>
          <cell r="G7019" t="str">
            <v>Other</v>
          </cell>
          <cell r="H7019" t="str">
            <v>OTHER</v>
          </cell>
          <cell r="I7019" t="str">
            <v>Other - Index</v>
          </cell>
        </row>
        <row r="7020">
          <cell r="A7020" t="str">
            <v>MSCIRCTWN</v>
          </cell>
          <cell r="B7020" t="str">
            <v>MSCI Europe x Contr W EUR N</v>
          </cell>
          <cell r="C7020" t="str">
            <v>-BRS_GOLD_1:MSCIRCTWN</v>
          </cell>
          <cell r="D7020" t="str">
            <v>Index</v>
          </cell>
          <cell r="E7020" t="str">
            <v>Index Level</v>
          </cell>
          <cell r="F7020" t="str">
            <v>Other</v>
          </cell>
          <cell r="G7020" t="str">
            <v>Other</v>
          </cell>
          <cell r="H7020" t="str">
            <v>OTHER</v>
          </cell>
          <cell r="I7020" t="str">
            <v>Other - Index</v>
          </cell>
        </row>
        <row r="7021">
          <cell r="A7021" t="str">
            <v>MSCNAESGCN</v>
          </cell>
          <cell r="B7021" t="str">
            <v>MSCI Chna AllS ESG Univ N CHF</v>
          </cell>
          <cell r="C7021" t="str">
            <v>-BRS_GOLD_1:MSCNAESGCN</v>
          </cell>
          <cell r="D7021" t="str">
            <v>Index</v>
          </cell>
          <cell r="E7021" t="str">
            <v>Index Level</v>
          </cell>
          <cell r="F7021" t="str">
            <v>Other</v>
          </cell>
          <cell r="G7021" t="str">
            <v>Other</v>
          </cell>
          <cell r="H7021" t="str">
            <v>OTHER</v>
          </cell>
          <cell r="I7021" t="str">
            <v>Other - Index</v>
          </cell>
        </row>
        <row r="7022">
          <cell r="A7022" t="str">
            <v>MSCNAESGEN</v>
          </cell>
          <cell r="B7022" t="str">
            <v>MSCI Chna AllS ESG Univ N EUR</v>
          </cell>
          <cell r="C7022" t="str">
            <v>-BRS_GOLD_1:MSCNAESGEN</v>
          </cell>
          <cell r="D7022" t="str">
            <v>Index</v>
          </cell>
          <cell r="E7022" t="str">
            <v>Index Level</v>
          </cell>
          <cell r="F7022" t="str">
            <v>Other</v>
          </cell>
          <cell r="G7022" t="str">
            <v>Other</v>
          </cell>
          <cell r="H7022" t="str">
            <v>OTHER</v>
          </cell>
          <cell r="I7022" t="str">
            <v>Other - Index</v>
          </cell>
        </row>
        <row r="7023">
          <cell r="A7023" t="str">
            <v>MSCNAESGUN</v>
          </cell>
          <cell r="B7023" t="str">
            <v>MSCI China AllS ESG Univ NET</v>
          </cell>
          <cell r="C7023" t="str">
            <v>-BRS_GOLD_1:MSCNAESGUN</v>
          </cell>
          <cell r="D7023" t="str">
            <v>Index</v>
          </cell>
          <cell r="E7023" t="str">
            <v>Index Level</v>
          </cell>
          <cell r="F7023" t="str">
            <v>Other</v>
          </cell>
          <cell r="G7023" t="str">
            <v>Other</v>
          </cell>
          <cell r="H7023" t="str">
            <v>OTHER</v>
          </cell>
          <cell r="I7023" t="str">
            <v>Other - Index</v>
          </cell>
        </row>
        <row r="7024">
          <cell r="A7024" t="str">
            <v>MSCODS_LCL</v>
          </cell>
          <cell r="B7024" t="str">
            <v>MSCI World Cons. Discretionary</v>
          </cell>
          <cell r="C7024" t="str">
            <v>-BRS_GOLD_1:MSCODS_LCL</v>
          </cell>
          <cell r="D7024" t="str">
            <v>Index</v>
          </cell>
          <cell r="E7024" t="str">
            <v>Index Level</v>
          </cell>
          <cell r="F7024" t="str">
            <v>Other</v>
          </cell>
          <cell r="G7024" t="str">
            <v>Other</v>
          </cell>
          <cell r="H7024" t="str">
            <v>OTHER</v>
          </cell>
          <cell r="I7024" t="str">
            <v>Other - Index</v>
          </cell>
        </row>
        <row r="7025">
          <cell r="A7025" t="str">
            <v>MSCOST_LCL</v>
          </cell>
          <cell r="B7025" t="str">
            <v>MSCI World Consumer Staples</v>
          </cell>
          <cell r="C7025" t="str">
            <v>-BRS_GOLD_1:MSCOST_LCL</v>
          </cell>
          <cell r="D7025" t="str">
            <v>Index</v>
          </cell>
          <cell r="E7025" t="str">
            <v>Index Level</v>
          </cell>
          <cell r="F7025" t="str">
            <v>Other</v>
          </cell>
          <cell r="G7025" t="str">
            <v>Other</v>
          </cell>
          <cell r="H7025" t="str">
            <v>OTHER</v>
          </cell>
          <cell r="I7025" t="str">
            <v>Other - Index</v>
          </cell>
        </row>
        <row r="7026">
          <cell r="A7026" t="str">
            <v>MSCSRIEUR</v>
          </cell>
          <cell r="B7026" t="str">
            <v>MSCI USA SRI Net EUR Index</v>
          </cell>
          <cell r="C7026" t="str">
            <v>-BRS_GOLD_1:MSCSRIEUR</v>
          </cell>
          <cell r="D7026" t="str">
            <v>Index</v>
          </cell>
          <cell r="E7026" t="str">
            <v>Index Level</v>
          </cell>
          <cell r="F7026" t="str">
            <v>Other</v>
          </cell>
          <cell r="G7026" t="str">
            <v>Other</v>
          </cell>
          <cell r="H7026" t="str">
            <v>OTHER</v>
          </cell>
          <cell r="I7026" t="str">
            <v>Other - Index</v>
          </cell>
        </row>
        <row r="7027">
          <cell r="A7027" t="str">
            <v>MSCSRIUSD</v>
          </cell>
          <cell r="B7027" t="str">
            <v>MSCI Global SRI G</v>
          </cell>
          <cell r="C7027" t="str">
            <v>-BRS_GOLD_1:MSCSRIUSD</v>
          </cell>
          <cell r="D7027" t="str">
            <v>Index</v>
          </cell>
          <cell r="E7027" t="str">
            <v>Index Level</v>
          </cell>
          <cell r="F7027" t="str">
            <v>Other</v>
          </cell>
          <cell r="G7027" t="str">
            <v>Other</v>
          </cell>
          <cell r="H7027" t="str">
            <v>OTHER</v>
          </cell>
          <cell r="I7027" t="str">
            <v>Other - Index</v>
          </cell>
        </row>
        <row r="7028">
          <cell r="A7028" t="str">
            <v>MSCUSDESG</v>
          </cell>
          <cell r="B7028" t="str">
            <v>MSCI EM ESG Gross USD</v>
          </cell>
          <cell r="C7028" t="str">
            <v>-BRS_GOLD_1:MSCUSDESG</v>
          </cell>
          <cell r="D7028" t="str">
            <v>Index</v>
          </cell>
          <cell r="E7028" t="str">
            <v>Index Level</v>
          </cell>
          <cell r="F7028" t="str">
            <v>Other</v>
          </cell>
          <cell r="G7028" t="str">
            <v>Other</v>
          </cell>
          <cell r="H7028" t="str">
            <v>OTHER</v>
          </cell>
          <cell r="I7028" t="str">
            <v>Other - Index</v>
          </cell>
        </row>
        <row r="7029">
          <cell r="A7029" t="str">
            <v>MSCUSESG</v>
          </cell>
          <cell r="B7029" t="str">
            <v>MSCI EM ESG LCL Tobacco USD</v>
          </cell>
          <cell r="C7029" t="str">
            <v>-BRS_GOLD_1:MSCUSESG</v>
          </cell>
          <cell r="D7029" t="str">
            <v>Index</v>
          </cell>
          <cell r="E7029" t="str">
            <v>Index Level</v>
          </cell>
          <cell r="F7029" t="str">
            <v>Other</v>
          </cell>
          <cell r="G7029" t="str">
            <v>Other</v>
          </cell>
          <cell r="H7029" t="str">
            <v>OTHER</v>
          </cell>
          <cell r="I7029" t="str">
            <v>Other - Index</v>
          </cell>
        </row>
        <row r="7030">
          <cell r="A7030" t="str">
            <v>MSCUSESGN</v>
          </cell>
          <cell r="B7030" t="str">
            <v>MSCI EM ESG LCL Tobacco N USD</v>
          </cell>
          <cell r="C7030" t="str">
            <v>-BRS_GOLD_1:MSCUSESGN</v>
          </cell>
          <cell r="D7030" t="str">
            <v>Index</v>
          </cell>
          <cell r="E7030" t="str">
            <v>Index Level</v>
          </cell>
          <cell r="F7030" t="str">
            <v>Other</v>
          </cell>
          <cell r="G7030" t="str">
            <v>Other</v>
          </cell>
          <cell r="H7030" t="str">
            <v>OTHER</v>
          </cell>
          <cell r="I7030" t="str">
            <v>Other - Index</v>
          </cell>
        </row>
        <row r="7031">
          <cell r="A7031" t="str">
            <v>MSCUSESGP</v>
          </cell>
          <cell r="B7031" t="str">
            <v>MSCI EM ESG LCL Tobacco P USD</v>
          </cell>
          <cell r="C7031" t="str">
            <v>-BRS_GOLD_1:MSCUSESGP</v>
          </cell>
          <cell r="D7031" t="str">
            <v>Index</v>
          </cell>
          <cell r="E7031" t="str">
            <v>Index Level</v>
          </cell>
          <cell r="F7031" t="str">
            <v>Other</v>
          </cell>
          <cell r="G7031" t="str">
            <v>Other</v>
          </cell>
          <cell r="H7031" t="str">
            <v>OTHER</v>
          </cell>
          <cell r="I7031" t="str">
            <v>Other - Index</v>
          </cell>
        </row>
        <row r="7032">
          <cell r="A7032" t="str">
            <v>MSCWLDESG</v>
          </cell>
          <cell r="B7032" t="str">
            <v>MSCI WORLD ESG Lea MSCWLDESG</v>
          </cell>
          <cell r="C7032" t="str">
            <v>-BRS_GOLD_1:MSCWLDESG</v>
          </cell>
          <cell r="D7032" t="str">
            <v>Index</v>
          </cell>
          <cell r="E7032" t="str">
            <v>Index Level</v>
          </cell>
          <cell r="F7032" t="str">
            <v>Other</v>
          </cell>
          <cell r="G7032" t="str">
            <v>Other</v>
          </cell>
          <cell r="H7032" t="str">
            <v>OTHER</v>
          </cell>
          <cell r="I7032" t="str">
            <v>Other - Index</v>
          </cell>
        </row>
        <row r="7033">
          <cell r="A7033" t="str">
            <v>MSCWRLDGG</v>
          </cell>
          <cell r="B7033" t="str">
            <v>MSCI World SRI Index - GBP Gr</v>
          </cell>
          <cell r="C7033" t="str">
            <v>-BRS_GOLD_1:MSCWRLDGG</v>
          </cell>
          <cell r="D7033" t="str">
            <v>Index</v>
          </cell>
          <cell r="E7033" t="str">
            <v>Index Level</v>
          </cell>
          <cell r="F7033" t="str">
            <v>Other</v>
          </cell>
          <cell r="G7033" t="str">
            <v>Other</v>
          </cell>
          <cell r="H7033" t="str">
            <v>OTHER</v>
          </cell>
          <cell r="I7033" t="str">
            <v>Other - Index</v>
          </cell>
        </row>
        <row r="7034">
          <cell r="A7034" t="str">
            <v>MSCWRONNG</v>
          </cell>
          <cell r="B7034" t="str">
            <v>MSCI World SRI Index - GBP Ne</v>
          </cell>
          <cell r="C7034" t="str">
            <v>-BRS_GOLD_1:MSCWRONNG</v>
          </cell>
          <cell r="D7034" t="str">
            <v>Index</v>
          </cell>
          <cell r="E7034" t="str">
            <v>Index Level</v>
          </cell>
          <cell r="F7034" t="str">
            <v>Other</v>
          </cell>
          <cell r="G7034" t="str">
            <v>Other</v>
          </cell>
          <cell r="H7034" t="str">
            <v>OTHER</v>
          </cell>
          <cell r="I7034" t="str">
            <v>Other - Index</v>
          </cell>
        </row>
        <row r="7035">
          <cell r="A7035" t="str">
            <v>MSEAESGLDN</v>
          </cell>
          <cell r="B7035" t="str">
            <v>MSCI EAFE ESG Leaders NET</v>
          </cell>
          <cell r="C7035" t="str">
            <v>-BRS_GOLD_1:MSEAESGLDN</v>
          </cell>
          <cell r="D7035" t="str">
            <v>Index</v>
          </cell>
          <cell r="E7035" t="str">
            <v>Index Level</v>
          </cell>
          <cell r="F7035" t="str">
            <v>Other</v>
          </cell>
          <cell r="G7035" t="str">
            <v>Other</v>
          </cell>
          <cell r="H7035" t="str">
            <v>OTHER</v>
          </cell>
          <cell r="I7035" t="str">
            <v>Other - Index</v>
          </cell>
        </row>
        <row r="7036">
          <cell r="A7036" t="str">
            <v>MSEAESUSD</v>
          </cell>
          <cell r="B7036" t="str">
            <v>MSCI EAFE Choi ESG Scr N USD</v>
          </cell>
          <cell r="C7036" t="str">
            <v>-BRS_GOLD_1:MSEAESUSD</v>
          </cell>
          <cell r="D7036" t="str">
            <v>Index</v>
          </cell>
          <cell r="E7036" t="str">
            <v>Index Level</v>
          </cell>
          <cell r="F7036" t="str">
            <v>Other</v>
          </cell>
          <cell r="G7036" t="str">
            <v>Other</v>
          </cell>
          <cell r="H7036" t="str">
            <v>OTHER</v>
          </cell>
          <cell r="I7036" t="str">
            <v>Other - Index</v>
          </cell>
        </row>
        <row r="7037">
          <cell r="A7037" t="str">
            <v>MSEAEURBD</v>
          </cell>
          <cell r="B7037" t="str">
            <v>Benchmark for ticker LOYLNVTT</v>
          </cell>
          <cell r="C7037" t="str">
            <v>-BRS_GOLD_1:MSEAEURBD</v>
          </cell>
          <cell r="D7037" t="str">
            <v>Index</v>
          </cell>
          <cell r="E7037" t="str">
            <v>Index Level</v>
          </cell>
          <cell r="F7037" t="str">
            <v>Other</v>
          </cell>
          <cell r="G7037" t="str">
            <v>Other</v>
          </cell>
          <cell r="H7037" t="str">
            <v>OTHER</v>
          </cell>
          <cell r="I7037" t="str">
            <v>Other - Index</v>
          </cell>
        </row>
        <row r="7038">
          <cell r="A7038" t="str">
            <v>MSEAFEGRU</v>
          </cell>
          <cell r="B7038" t="str">
            <v>MSCI EAFE Choi ESG Scr G USD</v>
          </cell>
          <cell r="C7038" t="str">
            <v>-BRS_GOLD_1:MSEAFEGRU</v>
          </cell>
          <cell r="D7038" t="str">
            <v>Index</v>
          </cell>
          <cell r="E7038" t="str">
            <v>Index Level</v>
          </cell>
          <cell r="F7038" t="str">
            <v>Other</v>
          </cell>
          <cell r="G7038" t="str">
            <v>Other</v>
          </cell>
          <cell r="H7038" t="str">
            <v>OTHER</v>
          </cell>
          <cell r="I7038" t="str">
            <v>Other - Index</v>
          </cell>
        </row>
        <row r="7039">
          <cell r="A7039" t="str">
            <v>MSEAFEPRU</v>
          </cell>
          <cell r="B7039" t="str">
            <v>MSCI EAFE Choi ESG Scr P USD</v>
          </cell>
          <cell r="C7039" t="str">
            <v>-BRS_GOLD_1:MSEAFEPRU</v>
          </cell>
          <cell r="D7039" t="str">
            <v>Index</v>
          </cell>
          <cell r="E7039" t="str">
            <v>Index Level</v>
          </cell>
          <cell r="F7039" t="str">
            <v>Other</v>
          </cell>
          <cell r="G7039" t="str">
            <v>Other</v>
          </cell>
          <cell r="H7039" t="str">
            <v>OTHER</v>
          </cell>
          <cell r="I7039" t="str">
            <v>Other - Index</v>
          </cell>
        </row>
        <row r="7040">
          <cell r="A7040" t="str">
            <v>MSEAFFL</v>
          </cell>
          <cell r="B7040" t="str">
            <v>MSCI EAFE ex Fossil Fuels Gr</v>
          </cell>
          <cell r="C7040" t="str">
            <v>-BRS_GOLD_1:MSEAFFL</v>
          </cell>
          <cell r="D7040" t="str">
            <v>Index</v>
          </cell>
          <cell r="E7040" t="str">
            <v>Index Level</v>
          </cell>
          <cell r="F7040" t="str">
            <v>Other</v>
          </cell>
          <cell r="G7040" t="str">
            <v>Other</v>
          </cell>
          <cell r="H7040" t="str">
            <v>OTHER</v>
          </cell>
          <cell r="I7040" t="str">
            <v>Other - Index</v>
          </cell>
        </row>
        <row r="7041">
          <cell r="A7041" t="str">
            <v>MSEAFFLN</v>
          </cell>
          <cell r="B7041" t="str">
            <v>MSCI EAFE ex Fossil Fuels NET</v>
          </cell>
          <cell r="C7041" t="str">
            <v>-BRS_GOLD_1:MSEAFFLN</v>
          </cell>
          <cell r="D7041" t="str">
            <v>Index</v>
          </cell>
          <cell r="E7041" t="str">
            <v>Index Level</v>
          </cell>
          <cell r="F7041" t="str">
            <v>Other</v>
          </cell>
          <cell r="G7041" t="str">
            <v>Other</v>
          </cell>
          <cell r="H7041" t="str">
            <v>OTHER</v>
          </cell>
          <cell r="I7041" t="str">
            <v>Other - Index</v>
          </cell>
        </row>
        <row r="7042">
          <cell r="A7042" t="str">
            <v>MSEAFFLP</v>
          </cell>
          <cell r="B7042" t="str">
            <v>MSCI EAFE ex Fossil Fuels Pr</v>
          </cell>
          <cell r="C7042" t="str">
            <v>-BRS_GOLD_1:MSEAFFLP</v>
          </cell>
          <cell r="D7042" t="str">
            <v>Index</v>
          </cell>
          <cell r="E7042" t="str">
            <v>Index Level</v>
          </cell>
          <cell r="F7042" t="str">
            <v>Other</v>
          </cell>
          <cell r="G7042" t="str">
            <v>Other</v>
          </cell>
          <cell r="H7042" t="str">
            <v>OTHER</v>
          </cell>
          <cell r="I7042" t="str">
            <v>Other - Index</v>
          </cell>
        </row>
        <row r="7043">
          <cell r="A7043" t="str">
            <v>MSEAXEGCAD</v>
          </cell>
          <cell r="B7043" t="str">
            <v>MSCI EAFE Ext ESG Focus G CAD</v>
          </cell>
          <cell r="C7043" t="str">
            <v>-BRS_GOLD_1:MSEAXEGCAD</v>
          </cell>
          <cell r="D7043" t="str">
            <v>Index</v>
          </cell>
          <cell r="E7043" t="str">
            <v>Index Level</v>
          </cell>
          <cell r="F7043" t="str">
            <v>Other</v>
          </cell>
          <cell r="G7043" t="str">
            <v>Other</v>
          </cell>
          <cell r="H7043" t="str">
            <v>OTHER</v>
          </cell>
          <cell r="I7043" t="str">
            <v>Other - Index</v>
          </cell>
        </row>
        <row r="7044">
          <cell r="A7044" t="str">
            <v>MSEAXENCAD</v>
          </cell>
          <cell r="B7044" t="str">
            <v>MSCI EAFE Ext ESG Focus N CAD</v>
          </cell>
          <cell r="C7044" t="str">
            <v>-BRS_GOLD_1:MSEAXENCAD</v>
          </cell>
          <cell r="D7044" t="str">
            <v>Index</v>
          </cell>
          <cell r="E7044" t="str">
            <v>Index Level</v>
          </cell>
          <cell r="F7044" t="str">
            <v>Other</v>
          </cell>
          <cell r="G7044" t="str">
            <v>Other</v>
          </cell>
          <cell r="H7044" t="str">
            <v>OTHER</v>
          </cell>
          <cell r="I7044" t="str">
            <v>Other - Index</v>
          </cell>
        </row>
        <row r="7045">
          <cell r="A7045" t="str">
            <v>MSEAXEPCAD</v>
          </cell>
          <cell r="B7045" t="str">
            <v>MSCI EAFE Ext ESG Focus P CAD</v>
          </cell>
          <cell r="C7045" t="str">
            <v>-BRS_GOLD_1:MSEAXEPCAD</v>
          </cell>
          <cell r="D7045" t="str">
            <v>Index</v>
          </cell>
          <cell r="E7045" t="str">
            <v>Index Level</v>
          </cell>
          <cell r="F7045" t="str">
            <v>Other</v>
          </cell>
          <cell r="G7045" t="str">
            <v>Other</v>
          </cell>
          <cell r="H7045" t="str">
            <v>OTHER</v>
          </cell>
          <cell r="I7045" t="str">
            <v>Other - Index</v>
          </cell>
        </row>
        <row r="7046">
          <cell r="A7046" t="str">
            <v>MSEAXESGFG</v>
          </cell>
          <cell r="B7046" t="str">
            <v>MSCI EAFE Ext ESG Focus</v>
          </cell>
          <cell r="C7046" t="str">
            <v>-BRS_GOLD_1:MSEAXESGFG</v>
          </cell>
          <cell r="D7046" t="str">
            <v>Index</v>
          </cell>
          <cell r="E7046" t="str">
            <v>Index Level</v>
          </cell>
          <cell r="F7046" t="str">
            <v>Other</v>
          </cell>
          <cell r="G7046" t="str">
            <v>Other</v>
          </cell>
          <cell r="H7046" t="str">
            <v>OTHER</v>
          </cell>
          <cell r="I7046" t="str">
            <v>Other - Index</v>
          </cell>
        </row>
        <row r="7047">
          <cell r="A7047" t="str">
            <v>MSEAXESGFN</v>
          </cell>
          <cell r="B7047" t="str">
            <v>MSCI EAFE Ext ESG Focus Net</v>
          </cell>
          <cell r="C7047" t="str">
            <v>-BRS_GOLD_1:MSEAXESGFN</v>
          </cell>
          <cell r="D7047" t="str">
            <v>Index</v>
          </cell>
          <cell r="E7047" t="str">
            <v>Index Level</v>
          </cell>
          <cell r="F7047" t="str">
            <v>Other</v>
          </cell>
          <cell r="G7047" t="str">
            <v>Other</v>
          </cell>
          <cell r="H7047" t="str">
            <v>OTHER</v>
          </cell>
          <cell r="I7047" t="str">
            <v>Other - Index</v>
          </cell>
        </row>
        <row r="7048">
          <cell r="A7048" t="str">
            <v>MSEAXESGFP</v>
          </cell>
          <cell r="B7048" t="str">
            <v>MSCI EAFE Ext ESG Focus Price</v>
          </cell>
          <cell r="C7048" t="str">
            <v>-BRS_GOLD_1:MSEAXESGFP</v>
          </cell>
          <cell r="D7048" t="str">
            <v>Index</v>
          </cell>
          <cell r="E7048" t="str">
            <v>Index Level</v>
          </cell>
          <cell r="F7048" t="str">
            <v>Other</v>
          </cell>
          <cell r="G7048" t="str">
            <v>Other</v>
          </cell>
          <cell r="H7048" t="str">
            <v>OTHER</v>
          </cell>
          <cell r="I7048" t="str">
            <v>Other - Index</v>
          </cell>
        </row>
        <row r="7049">
          <cell r="A7049" t="str">
            <v>MSEMEA_LCL</v>
          </cell>
          <cell r="B7049" t="str">
            <v>MSCI AC EMEA (Loc)</v>
          </cell>
          <cell r="C7049" t="str">
            <v>-BRS_GOLD_1:MSEMEA_LCL</v>
          </cell>
          <cell r="D7049" t="str">
            <v>Index</v>
          </cell>
          <cell r="E7049" t="str">
            <v>Index Level</v>
          </cell>
          <cell r="F7049" t="str">
            <v>Other</v>
          </cell>
          <cell r="G7049" t="str">
            <v>Other</v>
          </cell>
          <cell r="H7049" t="str">
            <v>OTHER</v>
          </cell>
          <cell r="I7049" t="str">
            <v>Other - Index</v>
          </cell>
        </row>
        <row r="7050">
          <cell r="A7050" t="str">
            <v>MSEMEA_USD</v>
          </cell>
          <cell r="B7050" t="str">
            <v>MSCI AC EMEA (USD)</v>
          </cell>
          <cell r="C7050" t="str">
            <v>-BRS_GOLD_1:MSEMEA_USD</v>
          </cell>
          <cell r="D7050" t="str">
            <v>Index</v>
          </cell>
          <cell r="E7050" t="str">
            <v>Index Level</v>
          </cell>
          <cell r="F7050" t="str">
            <v>Other</v>
          </cell>
          <cell r="G7050" t="str">
            <v>Other</v>
          </cell>
          <cell r="H7050" t="str">
            <v>OTHER</v>
          </cell>
          <cell r="I7050" t="str">
            <v>Other - Index</v>
          </cell>
        </row>
        <row r="7051">
          <cell r="A7051" t="str">
            <v>MSEMESGEUR</v>
          </cell>
          <cell r="B7051" t="str">
            <v>MSCI EM ESG Gross</v>
          </cell>
          <cell r="C7051" t="str">
            <v>-BRS_GOLD_1:MSEMESGEUR</v>
          </cell>
          <cell r="D7051" t="str">
            <v>Index</v>
          </cell>
          <cell r="E7051" t="str">
            <v>Index Level</v>
          </cell>
          <cell r="F7051" t="str">
            <v>Other</v>
          </cell>
          <cell r="G7051" t="str">
            <v>Other</v>
          </cell>
          <cell r="H7051" t="str">
            <v>OTHER</v>
          </cell>
          <cell r="I7051" t="str">
            <v>Other - Index</v>
          </cell>
        </row>
        <row r="7052">
          <cell r="A7052" t="str">
            <v>MSEMESGGB</v>
          </cell>
          <cell r="B7052" t="str">
            <v>MSCI EM ESG Enh Focus N GBP</v>
          </cell>
          <cell r="C7052" t="str">
            <v>-BRS_GOLD_1:MSEMESGGB</v>
          </cell>
          <cell r="D7052" t="str">
            <v>Index</v>
          </cell>
          <cell r="E7052" t="str">
            <v>Index Level</v>
          </cell>
          <cell r="F7052" t="str">
            <v>Other</v>
          </cell>
          <cell r="G7052" t="str">
            <v>Other</v>
          </cell>
          <cell r="H7052" t="str">
            <v>OTHER</v>
          </cell>
          <cell r="I7052" t="str">
            <v>Other - Index</v>
          </cell>
        </row>
        <row r="7053">
          <cell r="A7053" t="str">
            <v>MSEMESGPR</v>
          </cell>
          <cell r="B7053" t="str">
            <v>MSCI EM ESG Lead PR EUR</v>
          </cell>
          <cell r="C7053" t="str">
            <v>-BRS_GOLD_1:MSEMESGPR</v>
          </cell>
          <cell r="D7053" t="str">
            <v>Index</v>
          </cell>
          <cell r="E7053" t="str">
            <v>Index Level</v>
          </cell>
          <cell r="F7053" t="str">
            <v>Other</v>
          </cell>
          <cell r="G7053" t="str">
            <v>Other</v>
          </cell>
          <cell r="H7053" t="str">
            <v>OTHER</v>
          </cell>
          <cell r="I7053" t="str">
            <v>Other - Index</v>
          </cell>
        </row>
        <row r="7054">
          <cell r="A7054" t="str">
            <v>MSEMEUGB</v>
          </cell>
          <cell r="B7054" t="str">
            <v>MSCI EMU ESG Leaders GROSS</v>
          </cell>
          <cell r="C7054" t="str">
            <v>-BRS_GOLD_1:MSEMEUGB</v>
          </cell>
          <cell r="D7054" t="str">
            <v>Index</v>
          </cell>
          <cell r="E7054" t="str">
            <v>Index Level</v>
          </cell>
          <cell r="F7054" t="str">
            <v>Other</v>
          </cell>
          <cell r="G7054" t="str">
            <v>Other</v>
          </cell>
          <cell r="H7054" t="str">
            <v>OTHER</v>
          </cell>
          <cell r="I7054" t="str">
            <v>Other - Index</v>
          </cell>
        </row>
        <row r="7055">
          <cell r="A7055" t="str">
            <v>MSEMEURLCL</v>
          </cell>
          <cell r="B7055" t="str">
            <v>MSCI AC Europe &amp; ME (Loc)</v>
          </cell>
          <cell r="C7055" t="str">
            <v>-BRS_GOLD_1:MSEMEURLCL</v>
          </cell>
          <cell r="D7055" t="str">
            <v>Index</v>
          </cell>
          <cell r="E7055" t="str">
            <v>Index Level</v>
          </cell>
          <cell r="F7055" t="str">
            <v>Other</v>
          </cell>
          <cell r="G7055" t="str">
            <v>Other</v>
          </cell>
          <cell r="H7055" t="str">
            <v>OTHER</v>
          </cell>
          <cell r="I7055" t="str">
            <v>Other - Index</v>
          </cell>
        </row>
        <row r="7056">
          <cell r="A7056" t="str">
            <v>MSEMEURME</v>
          </cell>
          <cell r="B7056" t="str">
            <v>MSCI AC Europe &amp; ME (USD)</v>
          </cell>
          <cell r="C7056" t="str">
            <v>-BRS_GOLD_1:MSEMEURME</v>
          </cell>
          <cell r="D7056" t="str">
            <v>Index</v>
          </cell>
          <cell r="E7056" t="str">
            <v>Index Level</v>
          </cell>
          <cell r="F7056" t="str">
            <v>Other</v>
          </cell>
          <cell r="G7056" t="str">
            <v>Other</v>
          </cell>
          <cell r="H7056" t="str">
            <v>OTHER</v>
          </cell>
          <cell r="I7056" t="str">
            <v>Other - Index</v>
          </cell>
        </row>
        <row r="7057">
          <cell r="A7057" t="str">
            <v>MSEMEURXNT</v>
          </cell>
          <cell r="B7057" t="str">
            <v>MSCI EM ex-Contr Weap Net EUR</v>
          </cell>
          <cell r="C7057" t="str">
            <v>-BRS_GOLD_1:MSEMEURXNT</v>
          </cell>
          <cell r="D7057" t="str">
            <v>Index</v>
          </cell>
          <cell r="E7057" t="str">
            <v>Index Level</v>
          </cell>
          <cell r="F7057" t="str">
            <v>Other</v>
          </cell>
          <cell r="G7057" t="str">
            <v>Other</v>
          </cell>
          <cell r="H7057" t="str">
            <v>OTHER</v>
          </cell>
          <cell r="I7057" t="str">
            <v>Other - Index</v>
          </cell>
        </row>
        <row r="7058">
          <cell r="A7058" t="str">
            <v>MSEMEXCONT</v>
          </cell>
          <cell r="B7058" t="str">
            <v>MSCI EM ex Contr Weap</v>
          </cell>
          <cell r="C7058" t="str">
            <v>-BRS_GOLD_1:MSEMEXCONT</v>
          </cell>
          <cell r="D7058" t="str">
            <v>Index</v>
          </cell>
          <cell r="E7058" t="str">
            <v>Index Level</v>
          </cell>
          <cell r="F7058" t="str">
            <v>Other</v>
          </cell>
          <cell r="G7058" t="str">
            <v>Other</v>
          </cell>
          <cell r="H7058" t="str">
            <v>OTHER</v>
          </cell>
          <cell r="I7058" t="str">
            <v>Other - Index</v>
          </cell>
        </row>
        <row r="7059">
          <cell r="A7059" t="str">
            <v>MSEMGMEUR</v>
          </cell>
          <cell r="B7059" t="str">
            <v>MSCI EM IMI ESG Scre MGMEUR</v>
          </cell>
          <cell r="C7059" t="str">
            <v>-BRS_GOLD_1:MSEMGMEUR</v>
          </cell>
          <cell r="D7059" t="str">
            <v>Index</v>
          </cell>
          <cell r="E7059" t="str">
            <v>Index Level</v>
          </cell>
          <cell r="F7059" t="str">
            <v>Other</v>
          </cell>
          <cell r="G7059" t="str">
            <v>Other</v>
          </cell>
          <cell r="H7059" t="str">
            <v>OTHER</v>
          </cell>
          <cell r="I7059" t="str">
            <v>Other - Index</v>
          </cell>
        </row>
        <row r="7060">
          <cell r="A7060" t="str">
            <v>MSEMIMIEGG</v>
          </cell>
          <cell r="B7060" t="str">
            <v>MSCI EM IMI ESG Scre Gross</v>
          </cell>
          <cell r="C7060" t="str">
            <v>-BRS_GOLD_1:MSEMIMIEGG</v>
          </cell>
          <cell r="D7060" t="str">
            <v>Index</v>
          </cell>
          <cell r="E7060" t="str">
            <v>Index Level</v>
          </cell>
          <cell r="F7060" t="str">
            <v>Other</v>
          </cell>
          <cell r="G7060" t="str">
            <v>Other</v>
          </cell>
          <cell r="H7060" t="str">
            <v>OTHER</v>
          </cell>
          <cell r="I7060" t="str">
            <v>Other - Index</v>
          </cell>
        </row>
        <row r="7061">
          <cell r="A7061" t="str">
            <v>MSEMIMIESG</v>
          </cell>
          <cell r="B7061" t="str">
            <v>MSCI EM IMI ESG Scre MIMIESG</v>
          </cell>
          <cell r="C7061" t="str">
            <v>-BRS_GOLD_1:MSEMIMIESG</v>
          </cell>
          <cell r="D7061" t="str">
            <v>Index</v>
          </cell>
          <cell r="E7061" t="str">
            <v>Index Level</v>
          </cell>
          <cell r="F7061" t="str">
            <v>Other</v>
          </cell>
          <cell r="G7061" t="str">
            <v>Other</v>
          </cell>
          <cell r="H7061" t="str">
            <v>OTHER</v>
          </cell>
          <cell r="I7061" t="str">
            <v>Other - Index</v>
          </cell>
        </row>
        <row r="7062">
          <cell r="A7062" t="str">
            <v>MSEMIMIESP</v>
          </cell>
          <cell r="B7062" t="str">
            <v>MSCI EM IMI ESG Scre Price</v>
          </cell>
          <cell r="C7062" t="str">
            <v>-BRS_GOLD_1:MSEMIMIESP</v>
          </cell>
          <cell r="D7062" t="str">
            <v>Index</v>
          </cell>
          <cell r="E7062" t="str">
            <v>Index Level</v>
          </cell>
          <cell r="F7062" t="str">
            <v>Other</v>
          </cell>
          <cell r="G7062" t="str">
            <v>Other</v>
          </cell>
          <cell r="H7062" t="str">
            <v>OTHER</v>
          </cell>
          <cell r="I7062" t="str">
            <v>Other - Index</v>
          </cell>
        </row>
        <row r="7063">
          <cell r="A7063" t="str">
            <v>MSEMKESGLN</v>
          </cell>
          <cell r="B7063" t="str">
            <v>MSCI EM ESG Net</v>
          </cell>
          <cell r="C7063" t="str">
            <v>-BRS_GOLD_1:MSEMKESGLN</v>
          </cell>
          <cell r="D7063" t="str">
            <v>Index</v>
          </cell>
          <cell r="E7063" t="str">
            <v>Index Level</v>
          </cell>
          <cell r="F7063" t="str">
            <v>Other</v>
          </cell>
          <cell r="G7063" t="str">
            <v>Other</v>
          </cell>
          <cell r="H7063" t="str">
            <v>OTHER</v>
          </cell>
          <cell r="I7063" t="str">
            <v>Other - Index</v>
          </cell>
        </row>
        <row r="7064">
          <cell r="A7064" t="str">
            <v>MSEMKNEUR</v>
          </cell>
          <cell r="B7064" t="str">
            <v>MSCI EM ESG Net EUR</v>
          </cell>
          <cell r="C7064" t="str">
            <v>-BRS_GOLD_1:MSEMKNEUR</v>
          </cell>
          <cell r="D7064" t="str">
            <v>Index</v>
          </cell>
          <cell r="E7064" t="str">
            <v>Index Level</v>
          </cell>
          <cell r="F7064" t="str">
            <v>Other</v>
          </cell>
          <cell r="G7064" t="str">
            <v>Other</v>
          </cell>
          <cell r="H7064" t="str">
            <v>OTHER</v>
          </cell>
          <cell r="I7064" t="str">
            <v>Other - Index</v>
          </cell>
        </row>
        <row r="7065">
          <cell r="A7065" t="str">
            <v>MSEMLCLD</v>
          </cell>
          <cell r="B7065" t="str">
            <v>MSCI EM Low Carbn Lead Gross</v>
          </cell>
          <cell r="C7065" t="str">
            <v>-BRS_GOLD_1:MSEMLCLD</v>
          </cell>
          <cell r="D7065" t="str">
            <v>Index</v>
          </cell>
          <cell r="E7065" t="str">
            <v>Index Level</v>
          </cell>
          <cell r="F7065" t="str">
            <v>Other</v>
          </cell>
          <cell r="G7065" t="str">
            <v>Other</v>
          </cell>
          <cell r="H7065" t="str">
            <v>OTHER</v>
          </cell>
          <cell r="I7065" t="str">
            <v>Other - Index</v>
          </cell>
        </row>
        <row r="7066">
          <cell r="A7066" t="str">
            <v>MSEMLCLDN</v>
          </cell>
          <cell r="B7066" t="str">
            <v>MSCI EM Low Carbn Lead Net</v>
          </cell>
          <cell r="C7066" t="str">
            <v>-BRS_GOLD_1:MSEMLCLDN</v>
          </cell>
          <cell r="D7066" t="str">
            <v>Index</v>
          </cell>
          <cell r="E7066" t="str">
            <v>Index Level</v>
          </cell>
          <cell r="F7066" t="str">
            <v>Other</v>
          </cell>
          <cell r="G7066" t="str">
            <v>Other</v>
          </cell>
          <cell r="H7066" t="str">
            <v>OTHER</v>
          </cell>
          <cell r="I7066" t="str">
            <v>Other - Index</v>
          </cell>
        </row>
        <row r="7067">
          <cell r="A7067" t="str">
            <v>MSEMLCLDP</v>
          </cell>
          <cell r="B7067" t="str">
            <v>MSCI EM Low Carbn Lead Pr</v>
          </cell>
          <cell r="C7067" t="str">
            <v>-BRS_GOLD_1:MSEMLCLDP</v>
          </cell>
          <cell r="D7067" t="str">
            <v>Index</v>
          </cell>
          <cell r="E7067" t="str">
            <v>Index Level</v>
          </cell>
          <cell r="F7067" t="str">
            <v>Other</v>
          </cell>
          <cell r="G7067" t="str">
            <v>Other</v>
          </cell>
          <cell r="H7067" t="str">
            <v>OTHER</v>
          </cell>
          <cell r="I7067" t="str">
            <v>Other - Index</v>
          </cell>
        </row>
        <row r="7068">
          <cell r="A7068" t="str">
            <v>MSEMNIEUR</v>
          </cell>
          <cell r="B7068" t="str">
            <v>MSCI EM SRI Net EUR</v>
          </cell>
          <cell r="C7068" t="str">
            <v>-BRS_GOLD_1:MSEMNIEUR</v>
          </cell>
          <cell r="D7068" t="str">
            <v>Index</v>
          </cell>
          <cell r="E7068" t="str">
            <v>Index Level</v>
          </cell>
          <cell r="F7068" t="str">
            <v>Other</v>
          </cell>
          <cell r="G7068" t="str">
            <v>Other</v>
          </cell>
          <cell r="H7068" t="str">
            <v>OTHER</v>
          </cell>
          <cell r="I7068" t="str">
            <v>Other - Index</v>
          </cell>
        </row>
        <row r="7069">
          <cell r="A7069" t="str">
            <v>MSEMSR5</v>
          </cell>
          <cell r="B7069" t="str">
            <v>MSCI Emerging SRI S-Series 5%</v>
          </cell>
          <cell r="C7069" t="str">
            <v>-BRS_GOLD_1:MSEMSR5</v>
          </cell>
          <cell r="D7069" t="str">
            <v>Index</v>
          </cell>
          <cell r="E7069" t="str">
            <v>Index Level</v>
          </cell>
          <cell r="F7069" t="str">
            <v>Other</v>
          </cell>
          <cell r="G7069" t="str">
            <v>Other</v>
          </cell>
          <cell r="H7069" t="str">
            <v>OTHER</v>
          </cell>
          <cell r="I7069" t="str">
            <v>Other - Index</v>
          </cell>
        </row>
        <row r="7070">
          <cell r="A7070" t="str">
            <v>MSEMSRGBP</v>
          </cell>
          <cell r="B7070" t="str">
            <v>MSCI EM SRI Net GBP</v>
          </cell>
          <cell r="C7070" t="str">
            <v>-BRS_GOLD_1:MSEMSRGBP</v>
          </cell>
          <cell r="D7070" t="str">
            <v>Index</v>
          </cell>
          <cell r="E7070" t="str">
            <v>Index Level</v>
          </cell>
          <cell r="F7070" t="str">
            <v>Other</v>
          </cell>
          <cell r="G7070" t="str">
            <v>Other</v>
          </cell>
          <cell r="H7070" t="str">
            <v>OTHER</v>
          </cell>
          <cell r="I7070" t="str">
            <v>Other - Index</v>
          </cell>
        </row>
        <row r="7071">
          <cell r="A7071" t="str">
            <v>MSEMSRIG</v>
          </cell>
          <cell r="B7071" t="str">
            <v>MSCI EM SRI Gross</v>
          </cell>
          <cell r="C7071" t="str">
            <v>-BRS_GOLD_1:MSEMSRIG</v>
          </cell>
          <cell r="D7071" t="str">
            <v>Index</v>
          </cell>
          <cell r="E7071" t="str">
            <v>Index Level</v>
          </cell>
          <cell r="F7071" t="str">
            <v>Other</v>
          </cell>
          <cell r="G7071" t="str">
            <v>Other</v>
          </cell>
          <cell r="H7071" t="str">
            <v>OTHER</v>
          </cell>
          <cell r="I7071" t="str">
            <v>Other - Index</v>
          </cell>
        </row>
        <row r="7072">
          <cell r="A7072" t="str">
            <v>MSEMSRIN</v>
          </cell>
          <cell r="B7072" t="str">
            <v>MSCI EM SRI Net</v>
          </cell>
          <cell r="C7072" t="str">
            <v>-BRS_GOLD_1:MSEMSRIN</v>
          </cell>
          <cell r="D7072" t="str">
            <v>Index</v>
          </cell>
          <cell r="E7072" t="str">
            <v>Index Level</v>
          </cell>
          <cell r="F7072" t="str">
            <v>Other</v>
          </cell>
          <cell r="G7072" t="str">
            <v>Other</v>
          </cell>
          <cell r="H7072" t="str">
            <v>OTHER</v>
          </cell>
          <cell r="I7072" t="str">
            <v>Other - Index</v>
          </cell>
        </row>
        <row r="7073">
          <cell r="A7073" t="str">
            <v>MSEMSRIP</v>
          </cell>
          <cell r="B7073" t="str">
            <v>MSCI EM SRI Price</v>
          </cell>
          <cell r="C7073" t="str">
            <v>-BRS_GOLD_1:MSEMSRIP</v>
          </cell>
          <cell r="D7073" t="str">
            <v>Index</v>
          </cell>
          <cell r="E7073" t="str">
            <v>Index Level</v>
          </cell>
          <cell r="F7073" t="str">
            <v>Other</v>
          </cell>
          <cell r="G7073" t="str">
            <v>Other</v>
          </cell>
          <cell r="H7073" t="str">
            <v>OTHER</v>
          </cell>
          <cell r="I7073" t="str">
            <v>Other - Index</v>
          </cell>
        </row>
        <row r="7074">
          <cell r="A7074" t="str">
            <v>MSEMSRISGB</v>
          </cell>
          <cell r="B7074" t="str">
            <v>MSCI EM SRI RED FF MSEMSRISGB</v>
          </cell>
          <cell r="C7074" t="str">
            <v>-BRS_GOLD_1:MSEMSRISGB</v>
          </cell>
          <cell r="D7074" t="str">
            <v>Index</v>
          </cell>
          <cell r="E7074" t="str">
            <v>Index Level</v>
          </cell>
          <cell r="F7074" t="str">
            <v>Other</v>
          </cell>
          <cell r="G7074" t="str">
            <v>Other</v>
          </cell>
          <cell r="H7074" t="str">
            <v>OTHER</v>
          </cell>
          <cell r="I7074" t="str">
            <v>Other - Index</v>
          </cell>
        </row>
        <row r="7075">
          <cell r="A7075" t="str">
            <v>MSEMUCEUR</v>
          </cell>
          <cell r="B7075" t="str">
            <v>MSCI EMU ex-Contr Wea EUR</v>
          </cell>
          <cell r="C7075" t="str">
            <v>-BRS_GOLD_1:MSEMUCEUR</v>
          </cell>
          <cell r="D7075" t="str">
            <v>Index</v>
          </cell>
          <cell r="E7075" t="str">
            <v>Index Level</v>
          </cell>
          <cell r="F7075" t="str">
            <v>Other</v>
          </cell>
          <cell r="G7075" t="str">
            <v>Other</v>
          </cell>
          <cell r="H7075" t="str">
            <v>OTHER</v>
          </cell>
          <cell r="I7075" t="str">
            <v>Other - Index</v>
          </cell>
        </row>
        <row r="7076">
          <cell r="A7076" t="str">
            <v>MSEMUEFGB</v>
          </cell>
          <cell r="B7076" t="str">
            <v>MSCI EMU ESG Enh Focus N GBP</v>
          </cell>
          <cell r="C7076" t="str">
            <v>-BRS_GOLD_1:MSEMUEFGB</v>
          </cell>
          <cell r="D7076" t="str">
            <v>Index</v>
          </cell>
          <cell r="E7076" t="str">
            <v>Index Level</v>
          </cell>
          <cell r="F7076" t="str">
            <v>Other</v>
          </cell>
          <cell r="G7076" t="str">
            <v>Other</v>
          </cell>
          <cell r="H7076" t="str">
            <v>OTHER</v>
          </cell>
          <cell r="I7076" t="str">
            <v>Other - Index</v>
          </cell>
        </row>
        <row r="7077">
          <cell r="A7077" t="str">
            <v>MSEMUEGRB</v>
          </cell>
          <cell r="B7077" t="str">
            <v>MSCI EMU ESG Lead Gr MSEMUEGR</v>
          </cell>
          <cell r="C7077" t="str">
            <v>-BRS_GOLD_1:MSEMUEGRB</v>
          </cell>
          <cell r="D7077" t="str">
            <v>Index</v>
          </cell>
          <cell r="E7077" t="str">
            <v>Index Level</v>
          </cell>
          <cell r="F7077" t="str">
            <v>Other</v>
          </cell>
          <cell r="G7077" t="str">
            <v>Other</v>
          </cell>
          <cell r="H7077" t="str">
            <v>OTHER</v>
          </cell>
          <cell r="I7077" t="str">
            <v>Other - Index</v>
          </cell>
        </row>
        <row r="7078">
          <cell r="A7078" t="str">
            <v>MSEMUEPRB</v>
          </cell>
          <cell r="B7078" t="str">
            <v>MSCI EMU ESG Leaders Price In</v>
          </cell>
          <cell r="C7078" t="str">
            <v>-BRS_GOLD_1:MSEMUEPRB</v>
          </cell>
          <cell r="D7078" t="str">
            <v>Index</v>
          </cell>
          <cell r="E7078" t="str">
            <v>Index Level</v>
          </cell>
          <cell r="F7078" t="str">
            <v>Other</v>
          </cell>
          <cell r="G7078" t="str">
            <v>Other</v>
          </cell>
          <cell r="H7078" t="str">
            <v>OTHER</v>
          </cell>
          <cell r="I7078" t="str">
            <v>Other - Index</v>
          </cell>
        </row>
        <row r="7079">
          <cell r="A7079" t="str">
            <v>MSEMUESGFG</v>
          </cell>
          <cell r="B7079" t="str">
            <v>MSCI EMU ESG Enh Focus G</v>
          </cell>
          <cell r="C7079" t="str">
            <v>-BRS_GOLD_1:MSEMUESGFG</v>
          </cell>
          <cell r="D7079" t="str">
            <v>Index</v>
          </cell>
          <cell r="E7079" t="str">
            <v>Index Level</v>
          </cell>
          <cell r="F7079" t="str">
            <v>Other</v>
          </cell>
          <cell r="G7079" t="str">
            <v>Other</v>
          </cell>
          <cell r="H7079" t="str">
            <v>OTHER</v>
          </cell>
          <cell r="I7079" t="str">
            <v>Other - Index</v>
          </cell>
        </row>
        <row r="7080">
          <cell r="A7080" t="str">
            <v>MSEMUESGFN</v>
          </cell>
          <cell r="B7080" t="str">
            <v>MSCI EMU ESG Enh Focus N</v>
          </cell>
          <cell r="C7080" t="str">
            <v>-BRS_GOLD_1:MSEMUESGFN</v>
          </cell>
          <cell r="D7080" t="str">
            <v>Index</v>
          </cell>
          <cell r="E7080" t="str">
            <v>Index Level</v>
          </cell>
          <cell r="F7080" t="str">
            <v>Other</v>
          </cell>
          <cell r="G7080" t="str">
            <v>Other</v>
          </cell>
          <cell r="H7080" t="str">
            <v>OTHER</v>
          </cell>
          <cell r="I7080" t="str">
            <v>Other - Index</v>
          </cell>
        </row>
        <row r="7081">
          <cell r="A7081" t="str">
            <v>MSEMUESGFP</v>
          </cell>
          <cell r="B7081" t="str">
            <v>MSCI EMU ESG Enh Focus P</v>
          </cell>
          <cell r="C7081" t="str">
            <v>-BRS_GOLD_1:MSEMUESGFP</v>
          </cell>
          <cell r="D7081" t="str">
            <v>Index</v>
          </cell>
          <cell r="E7081" t="str">
            <v>Index Level</v>
          </cell>
          <cell r="F7081" t="str">
            <v>Other</v>
          </cell>
          <cell r="G7081" t="str">
            <v>Other</v>
          </cell>
          <cell r="H7081" t="str">
            <v>OTHER</v>
          </cell>
          <cell r="I7081" t="str">
            <v>Other - Index</v>
          </cell>
        </row>
        <row r="7082">
          <cell r="A7082" t="str">
            <v>MSEMUESGLG</v>
          </cell>
          <cell r="B7082" t="str">
            <v>MSCI EMU ESG Lea G MSEMUESGLG</v>
          </cell>
          <cell r="C7082" t="str">
            <v>-BRS_GOLD_1:MSEMUESGLG</v>
          </cell>
          <cell r="D7082" t="str">
            <v>Index</v>
          </cell>
          <cell r="E7082" t="str">
            <v>Index Level</v>
          </cell>
          <cell r="F7082" t="str">
            <v>Other</v>
          </cell>
          <cell r="G7082" t="str">
            <v>Other</v>
          </cell>
          <cell r="H7082" t="str">
            <v>OTHER</v>
          </cell>
          <cell r="I7082" t="str">
            <v>Other - Index</v>
          </cell>
        </row>
        <row r="7083">
          <cell r="A7083" t="str">
            <v>MSEMUESGLN</v>
          </cell>
          <cell r="B7083" t="str">
            <v>MSCI EMU ESG Leaders NET</v>
          </cell>
          <cell r="C7083" t="str">
            <v>-BRS_GOLD_1:MSEMUESGLN</v>
          </cell>
          <cell r="D7083" t="str">
            <v>Index</v>
          </cell>
          <cell r="E7083" t="str">
            <v>Index Level</v>
          </cell>
          <cell r="F7083" t="str">
            <v>Other</v>
          </cell>
          <cell r="G7083" t="str">
            <v>Other</v>
          </cell>
          <cell r="H7083" t="str">
            <v>OTHER</v>
          </cell>
          <cell r="I7083" t="str">
            <v>Other - Index</v>
          </cell>
        </row>
        <row r="7084">
          <cell r="A7084" t="str">
            <v>MSEMUFNND</v>
          </cell>
          <cell r="B7084" t="str">
            <v>MSCI EMU Financials Index</v>
          </cell>
          <cell r="C7084" t="str">
            <v>-BRS_GOLD_1:MSEMUFNND</v>
          </cell>
          <cell r="D7084" t="str">
            <v>Index</v>
          </cell>
          <cell r="E7084" t="str">
            <v>Index Level</v>
          </cell>
          <cell r="F7084" t="str">
            <v>Other</v>
          </cell>
          <cell r="G7084" t="str">
            <v>Other</v>
          </cell>
          <cell r="H7084" t="str">
            <v>OTHER</v>
          </cell>
          <cell r="I7084" t="str">
            <v>Other - Index</v>
          </cell>
        </row>
        <row r="7085">
          <cell r="A7085" t="str">
            <v>MSEMUGRND</v>
          </cell>
          <cell r="B7085" t="str">
            <v>MSCI EMU Growth Index</v>
          </cell>
          <cell r="C7085" t="str">
            <v>-BRS_GOLD_1:MSEMUGRND</v>
          </cell>
          <cell r="D7085" t="str">
            <v>Index</v>
          </cell>
          <cell r="E7085" t="str">
            <v>Index Level</v>
          </cell>
          <cell r="F7085" t="str">
            <v>Other</v>
          </cell>
          <cell r="G7085" t="str">
            <v>Other</v>
          </cell>
          <cell r="H7085" t="str">
            <v>OTHER</v>
          </cell>
          <cell r="I7085" t="str">
            <v>Other - Index</v>
          </cell>
        </row>
        <row r="7086">
          <cell r="A7086" t="str">
            <v>MSEMUHCND</v>
          </cell>
          <cell r="B7086" t="str">
            <v>MSCI EMU Health Care Index</v>
          </cell>
          <cell r="C7086" t="str">
            <v>-BRS_GOLD_1:MSEMUHCND</v>
          </cell>
          <cell r="D7086" t="str">
            <v>Index</v>
          </cell>
          <cell r="E7086" t="str">
            <v>Index Level</v>
          </cell>
          <cell r="F7086" t="str">
            <v>Other</v>
          </cell>
          <cell r="G7086" t="str">
            <v>Other</v>
          </cell>
          <cell r="H7086" t="str">
            <v>OTHER</v>
          </cell>
          <cell r="I7086" t="str">
            <v>Other - Index</v>
          </cell>
        </row>
        <row r="7087">
          <cell r="A7087" t="str">
            <v>MSEMUITND</v>
          </cell>
          <cell r="B7087" t="str">
            <v>MSCI EMU IT Index</v>
          </cell>
          <cell r="C7087" t="str">
            <v>-BRS_GOLD_1:MSEMUITND</v>
          </cell>
          <cell r="D7087" t="str">
            <v>Index</v>
          </cell>
          <cell r="E7087" t="str">
            <v>Index Level</v>
          </cell>
          <cell r="F7087" t="str">
            <v>Other</v>
          </cell>
          <cell r="G7087" t="str">
            <v>Other</v>
          </cell>
          <cell r="H7087" t="str">
            <v>OTHER</v>
          </cell>
          <cell r="I7087" t="str">
            <v>Other - Index</v>
          </cell>
        </row>
        <row r="7088">
          <cell r="A7088" t="str">
            <v>MSEMUNETB</v>
          </cell>
          <cell r="B7088" t="str">
            <v>MSCI EMU ESG Lead N MSEMUNETB</v>
          </cell>
          <cell r="C7088" t="str">
            <v>-BRS_GOLD_1:MSEMUNETB</v>
          </cell>
          <cell r="D7088" t="str">
            <v>Index</v>
          </cell>
          <cell r="E7088" t="str">
            <v>Index Level</v>
          </cell>
          <cell r="F7088" t="str">
            <v>Other</v>
          </cell>
          <cell r="G7088" t="str">
            <v>Other</v>
          </cell>
          <cell r="H7088" t="str">
            <v>OTHER</v>
          </cell>
          <cell r="I7088" t="str">
            <v>Other - Index</v>
          </cell>
        </row>
        <row r="7089">
          <cell r="A7089" t="str">
            <v>MSEMUSR5</v>
          </cell>
          <cell r="B7089" t="str">
            <v>MSCI EMU SRI S-Series 5% Cap</v>
          </cell>
          <cell r="C7089" t="str">
            <v>-BRS_GOLD_1:MSEMUSR5</v>
          </cell>
          <cell r="D7089" t="str">
            <v>Index</v>
          </cell>
          <cell r="E7089" t="str">
            <v>Index Level</v>
          </cell>
          <cell r="F7089" t="str">
            <v>Other</v>
          </cell>
          <cell r="G7089" t="str">
            <v>Other</v>
          </cell>
          <cell r="H7089" t="str">
            <v>OTHER</v>
          </cell>
          <cell r="I7089" t="str">
            <v>Other - Index</v>
          </cell>
        </row>
        <row r="7090">
          <cell r="A7090" t="str">
            <v>MSEMUVLND</v>
          </cell>
          <cell r="B7090" t="str">
            <v>MSCI EMU Value Index</v>
          </cell>
          <cell r="C7090" t="str">
            <v>-BRS_GOLD_1:MSEMUVLND</v>
          </cell>
          <cell r="D7090" t="str">
            <v>Index</v>
          </cell>
          <cell r="E7090" t="str">
            <v>Index Level</v>
          </cell>
          <cell r="F7090" t="str">
            <v>Other</v>
          </cell>
          <cell r="G7090" t="str">
            <v>Other</v>
          </cell>
          <cell r="H7090" t="str">
            <v>OTHER</v>
          </cell>
          <cell r="I7090" t="str">
            <v>Other - Index</v>
          </cell>
        </row>
        <row r="7091">
          <cell r="A7091" t="str">
            <v>MSEMXCWAUD</v>
          </cell>
          <cell r="B7091" t="str">
            <v>MSCI EM ex Contr Weap AUD</v>
          </cell>
          <cell r="C7091" t="str">
            <v>-BRS_GOLD_1:MSEMXCWAUD</v>
          </cell>
          <cell r="D7091" t="str">
            <v>Index</v>
          </cell>
          <cell r="E7091" t="str">
            <v>Index Level</v>
          </cell>
          <cell r="F7091" t="str">
            <v>Other</v>
          </cell>
          <cell r="G7091" t="str">
            <v>Other</v>
          </cell>
          <cell r="H7091" t="str">
            <v>OTHER</v>
          </cell>
          <cell r="I7091" t="str">
            <v>Other - Index</v>
          </cell>
        </row>
        <row r="7092">
          <cell r="A7092" t="str">
            <v>MSEMXTGCAD</v>
          </cell>
          <cell r="B7092" t="str">
            <v>MSCI EM EXT ESG Focus Gr CAD</v>
          </cell>
          <cell r="C7092" t="str">
            <v>-BRS_GOLD_1:MSEMXTGCAD</v>
          </cell>
          <cell r="D7092" t="str">
            <v>Index</v>
          </cell>
          <cell r="E7092" t="str">
            <v>Index Level</v>
          </cell>
          <cell r="F7092" t="str">
            <v>Other</v>
          </cell>
          <cell r="G7092" t="str">
            <v>Other</v>
          </cell>
          <cell r="H7092" t="str">
            <v>OTHER</v>
          </cell>
          <cell r="I7092" t="str">
            <v>Other - Index</v>
          </cell>
        </row>
        <row r="7093">
          <cell r="A7093" t="str">
            <v>MSEMXTNCAD</v>
          </cell>
          <cell r="B7093" t="str">
            <v>MSCI EM EXT ESG Focus N CAD</v>
          </cell>
          <cell r="C7093" t="str">
            <v>-BRS_GOLD_1:MSEMXTNCAD</v>
          </cell>
          <cell r="D7093" t="str">
            <v>Index</v>
          </cell>
          <cell r="E7093" t="str">
            <v>Index Level</v>
          </cell>
          <cell r="F7093" t="str">
            <v>Other</v>
          </cell>
          <cell r="G7093" t="str">
            <v>Other</v>
          </cell>
          <cell r="H7093" t="str">
            <v>OTHER</v>
          </cell>
          <cell r="I7093" t="str">
            <v>Other - Index</v>
          </cell>
        </row>
        <row r="7094">
          <cell r="A7094" t="str">
            <v>MSEMXTPCAD</v>
          </cell>
          <cell r="B7094" t="str">
            <v>MSCI EM EXT ESG Focus Pr CAD</v>
          </cell>
          <cell r="C7094" t="str">
            <v>-BRS_GOLD_1:MSEMXTPCAD</v>
          </cell>
          <cell r="D7094" t="str">
            <v>Index</v>
          </cell>
          <cell r="E7094" t="str">
            <v>Index Level</v>
          </cell>
          <cell r="F7094" t="str">
            <v>Other</v>
          </cell>
          <cell r="G7094" t="str">
            <v>Other</v>
          </cell>
          <cell r="H7094" t="str">
            <v>OTHER</v>
          </cell>
          <cell r="I7094" t="str">
            <v>Other - Index</v>
          </cell>
        </row>
        <row r="7095">
          <cell r="A7095" t="str">
            <v>MSEMXTSGFG</v>
          </cell>
          <cell r="B7095" t="str">
            <v>MSCI EM EXT ESG Focus</v>
          </cell>
          <cell r="C7095" t="str">
            <v>-BRS_GOLD_1:MSEMXTSGFG</v>
          </cell>
          <cell r="D7095" t="str">
            <v>Index</v>
          </cell>
          <cell r="E7095" t="str">
            <v>Index Level</v>
          </cell>
          <cell r="F7095" t="str">
            <v>Other</v>
          </cell>
          <cell r="G7095" t="str">
            <v>Other</v>
          </cell>
          <cell r="H7095" t="str">
            <v>OTHER</v>
          </cell>
          <cell r="I7095" t="str">
            <v>Other - Index</v>
          </cell>
        </row>
        <row r="7096">
          <cell r="A7096" t="str">
            <v>MSEMXTSGFN</v>
          </cell>
          <cell r="B7096" t="str">
            <v>MSCI EM EXT ESG Focus Net</v>
          </cell>
          <cell r="C7096" t="str">
            <v>-BRS_GOLD_1:MSEMXTSGFN</v>
          </cell>
          <cell r="D7096" t="str">
            <v>Index</v>
          </cell>
          <cell r="E7096" t="str">
            <v>Index Level</v>
          </cell>
          <cell r="F7096" t="str">
            <v>Other</v>
          </cell>
          <cell r="G7096" t="str">
            <v>Other</v>
          </cell>
          <cell r="H7096" t="str">
            <v>OTHER</v>
          </cell>
          <cell r="I7096" t="str">
            <v>Other - Index</v>
          </cell>
        </row>
        <row r="7097">
          <cell r="A7097" t="str">
            <v>MSEMXTSGFP</v>
          </cell>
          <cell r="B7097" t="str">
            <v>MSCI EM EXT ESG Focus Price</v>
          </cell>
          <cell r="C7097" t="str">
            <v>-BRS_GOLD_1:MSEMXTSGFP</v>
          </cell>
          <cell r="D7097" t="str">
            <v>Index</v>
          </cell>
          <cell r="E7097" t="str">
            <v>Index Level</v>
          </cell>
          <cell r="F7097" t="str">
            <v>Other</v>
          </cell>
          <cell r="G7097" t="str">
            <v>Other</v>
          </cell>
          <cell r="H7097" t="str">
            <v>OTHER</v>
          </cell>
          <cell r="I7097" t="str">
            <v>Other - Index</v>
          </cell>
        </row>
        <row r="7098">
          <cell r="A7098" t="str">
            <v>MSENRG_LCL</v>
          </cell>
          <cell r="B7098" t="str">
            <v>MSCI World Energy</v>
          </cell>
          <cell r="C7098" t="str">
            <v>-BRS_GOLD_1:MSENRG_LCL</v>
          </cell>
          <cell r="D7098" t="str">
            <v>Index</v>
          </cell>
          <cell r="E7098" t="str">
            <v>Index Level</v>
          </cell>
          <cell r="F7098" t="str">
            <v>Other</v>
          </cell>
          <cell r="G7098" t="str">
            <v>Other</v>
          </cell>
          <cell r="H7098" t="str">
            <v>OTHER</v>
          </cell>
          <cell r="I7098" t="str">
            <v>Other - Index</v>
          </cell>
        </row>
        <row r="7099">
          <cell r="A7099" t="str">
            <v>MSESCWEUR</v>
          </cell>
          <cell r="B7099" t="str">
            <v>MSCI EU SC ex Con Wea EUR</v>
          </cell>
          <cell r="C7099" t="str">
            <v>-BRS_GOLD_1:MSESCWEUR</v>
          </cell>
          <cell r="D7099" t="str">
            <v>Index</v>
          </cell>
          <cell r="E7099" t="str">
            <v>Index Level</v>
          </cell>
          <cell r="F7099" t="str">
            <v>Other</v>
          </cell>
          <cell r="G7099" t="str">
            <v>Other</v>
          </cell>
          <cell r="H7099" t="str">
            <v>OTHER</v>
          </cell>
          <cell r="I7099" t="str">
            <v>Other - Index</v>
          </cell>
        </row>
        <row r="7100">
          <cell r="A7100" t="str">
            <v>MSESGEUR</v>
          </cell>
          <cell r="B7100" t="str">
            <v>MSCI WORLD ESG Lea MSESGEUR</v>
          </cell>
          <cell r="C7100" t="str">
            <v>-BRS_GOLD_1:MSESGEUR</v>
          </cell>
          <cell r="D7100" t="str">
            <v>Index</v>
          </cell>
          <cell r="E7100" t="str">
            <v>Index Level</v>
          </cell>
          <cell r="F7100" t="str">
            <v>Other</v>
          </cell>
          <cell r="G7100" t="str">
            <v>Other</v>
          </cell>
          <cell r="H7100" t="str">
            <v>OTHER</v>
          </cell>
          <cell r="I7100" t="str">
            <v>Other - Index</v>
          </cell>
        </row>
        <row r="7101">
          <cell r="A7101" t="str">
            <v>MSESGFEMGG</v>
          </cell>
          <cell r="B7101" t="str">
            <v>MSCI EM ESG Enhanced Focus</v>
          </cell>
          <cell r="C7101" t="str">
            <v>-BRS_GOLD_1:MSESGFEMGG</v>
          </cell>
          <cell r="D7101" t="str">
            <v>Index</v>
          </cell>
          <cell r="E7101" t="str">
            <v>Index Level</v>
          </cell>
          <cell r="F7101" t="str">
            <v>Other</v>
          </cell>
          <cell r="G7101" t="str">
            <v>Other</v>
          </cell>
          <cell r="H7101" t="str">
            <v>OTHER</v>
          </cell>
          <cell r="I7101" t="str">
            <v>Other - Index</v>
          </cell>
        </row>
        <row r="7102">
          <cell r="A7102" t="str">
            <v>MSESGFEMGN</v>
          </cell>
          <cell r="B7102" t="str">
            <v>MSCI EM ESG Enhanced Focus N</v>
          </cell>
          <cell r="C7102" t="str">
            <v>-BRS_GOLD_1:MSESGFEMGN</v>
          </cell>
          <cell r="D7102" t="str">
            <v>Index</v>
          </cell>
          <cell r="E7102" t="str">
            <v>Index Level</v>
          </cell>
          <cell r="F7102" t="str">
            <v>Other</v>
          </cell>
          <cell r="G7102" t="str">
            <v>Other</v>
          </cell>
          <cell r="H7102" t="str">
            <v>OTHER</v>
          </cell>
          <cell r="I7102" t="str">
            <v>Other - Index</v>
          </cell>
        </row>
        <row r="7103">
          <cell r="A7103" t="str">
            <v>MSESGFEMGP</v>
          </cell>
          <cell r="B7103" t="str">
            <v>MSCI EM ESG Enhanced Focus PR</v>
          </cell>
          <cell r="C7103" t="str">
            <v>-BRS_GOLD_1:MSESGFEMGP</v>
          </cell>
          <cell r="D7103" t="str">
            <v>Index</v>
          </cell>
          <cell r="E7103" t="str">
            <v>Index Level</v>
          </cell>
          <cell r="F7103" t="str">
            <v>Other</v>
          </cell>
          <cell r="G7103" t="str">
            <v>Other</v>
          </cell>
          <cell r="H7103" t="str">
            <v>OTHER</v>
          </cell>
          <cell r="I7103" t="str">
            <v>Other - Index</v>
          </cell>
        </row>
        <row r="7104">
          <cell r="A7104" t="str">
            <v>MSESGFEUR</v>
          </cell>
          <cell r="B7104" t="str">
            <v>MSCI USA ESG Enh Focus EUR</v>
          </cell>
          <cell r="C7104" t="str">
            <v>-BRS_GOLD_1:MSESGFEUR</v>
          </cell>
          <cell r="D7104" t="str">
            <v>Index</v>
          </cell>
          <cell r="E7104" t="str">
            <v>Index Level</v>
          </cell>
          <cell r="F7104" t="str">
            <v>Other</v>
          </cell>
          <cell r="G7104" t="str">
            <v>Other</v>
          </cell>
          <cell r="H7104" t="str">
            <v>OTHER</v>
          </cell>
          <cell r="I7104" t="str">
            <v>Other - Index</v>
          </cell>
        </row>
        <row r="7105">
          <cell r="A7105" t="str">
            <v>MSESGFUSAG</v>
          </cell>
          <cell r="B7105" t="str">
            <v>MSCI USA ESG Enhanced Focus</v>
          </cell>
          <cell r="C7105" t="str">
            <v>-BRS_GOLD_1:MSESGFUSAG</v>
          </cell>
          <cell r="D7105" t="str">
            <v>Index</v>
          </cell>
          <cell r="E7105" t="str">
            <v>Index Level</v>
          </cell>
          <cell r="F7105" t="str">
            <v>Other</v>
          </cell>
          <cell r="G7105" t="str">
            <v>Other</v>
          </cell>
          <cell r="H7105" t="str">
            <v>OTHER</v>
          </cell>
          <cell r="I7105" t="str">
            <v>Other - Index</v>
          </cell>
        </row>
        <row r="7106">
          <cell r="A7106" t="str">
            <v>MSESGFUSAN</v>
          </cell>
          <cell r="B7106" t="str">
            <v>MSCI USA ESG Enh Focus N</v>
          </cell>
          <cell r="C7106" t="str">
            <v>-BRS_GOLD_1:MSESGFUSAN</v>
          </cell>
          <cell r="D7106" t="str">
            <v>Index</v>
          </cell>
          <cell r="E7106" t="str">
            <v>Index Level</v>
          </cell>
          <cell r="F7106" t="str">
            <v>Other</v>
          </cell>
          <cell r="G7106" t="str">
            <v>Other</v>
          </cell>
          <cell r="H7106" t="str">
            <v>OTHER</v>
          </cell>
          <cell r="I7106" t="str">
            <v>Other - Index</v>
          </cell>
        </row>
        <row r="7107">
          <cell r="A7107" t="str">
            <v>MSESGFUSAP</v>
          </cell>
          <cell r="B7107" t="str">
            <v>MSCI USA ESG Enh Focus P</v>
          </cell>
          <cell r="C7107" t="str">
            <v>-BRS_GOLD_1:MSESGFUSAP</v>
          </cell>
          <cell r="D7107" t="str">
            <v>Index</v>
          </cell>
          <cell r="E7107" t="str">
            <v>Index Level</v>
          </cell>
          <cell r="F7107" t="str">
            <v>Other</v>
          </cell>
          <cell r="G7107" t="str">
            <v>Other</v>
          </cell>
          <cell r="H7107" t="str">
            <v>OTHER</v>
          </cell>
          <cell r="I7107" t="str">
            <v>Other - Index</v>
          </cell>
        </row>
        <row r="7108">
          <cell r="A7108" t="str">
            <v>MSESGFWRDG</v>
          </cell>
          <cell r="B7108" t="str">
            <v>MSCI World ESG Enhanced Focus</v>
          </cell>
          <cell r="C7108" t="str">
            <v>-BRS_GOLD_1:MSESGFWRDG</v>
          </cell>
          <cell r="D7108" t="str">
            <v>Index</v>
          </cell>
          <cell r="E7108" t="str">
            <v>Index Level</v>
          </cell>
          <cell r="F7108" t="str">
            <v>Other</v>
          </cell>
          <cell r="G7108" t="str">
            <v>Other</v>
          </cell>
          <cell r="H7108" t="str">
            <v>OTHER</v>
          </cell>
          <cell r="I7108" t="str">
            <v>Other - Index</v>
          </cell>
        </row>
        <row r="7109">
          <cell r="A7109" t="str">
            <v>MSESGFWRDN</v>
          </cell>
          <cell r="B7109" t="str">
            <v>MSCI WRLD ESG Enh Focus N</v>
          </cell>
          <cell r="C7109" t="str">
            <v>-BRS_GOLD_1:MSESGFWRDN</v>
          </cell>
          <cell r="D7109" t="str">
            <v>Index</v>
          </cell>
          <cell r="E7109" t="str">
            <v>Index Level</v>
          </cell>
          <cell r="F7109" t="str">
            <v>Other</v>
          </cell>
          <cell r="G7109" t="str">
            <v>Other</v>
          </cell>
          <cell r="H7109" t="str">
            <v>OTHER</v>
          </cell>
          <cell r="I7109" t="str">
            <v>Other - Index</v>
          </cell>
        </row>
        <row r="7110">
          <cell r="A7110" t="str">
            <v>MSESGFWRDP</v>
          </cell>
          <cell r="B7110" t="str">
            <v>MSCI WRLD ESG Enh Focus P</v>
          </cell>
          <cell r="C7110" t="str">
            <v>-BRS_GOLD_1:MSESGFWRDP</v>
          </cell>
          <cell r="D7110" t="str">
            <v>Index</v>
          </cell>
          <cell r="E7110" t="str">
            <v>Index Level</v>
          </cell>
          <cell r="F7110" t="str">
            <v>Other</v>
          </cell>
          <cell r="G7110" t="str">
            <v>Other</v>
          </cell>
          <cell r="H7110" t="str">
            <v>OTHER</v>
          </cell>
          <cell r="I7110" t="str">
            <v>Other - Index</v>
          </cell>
        </row>
        <row r="7111">
          <cell r="A7111" t="str">
            <v>MSESGGBP</v>
          </cell>
          <cell r="B7111" t="str">
            <v>MSCI WORLD ESG Lea MSESGGBP</v>
          </cell>
          <cell r="C7111" t="str">
            <v>-BRS_GOLD_1:MSESGGBP</v>
          </cell>
          <cell r="D7111" t="str">
            <v>Index</v>
          </cell>
          <cell r="E7111" t="str">
            <v>Index Level</v>
          </cell>
          <cell r="F7111" t="str">
            <v>Other</v>
          </cell>
          <cell r="G7111" t="str">
            <v>Other</v>
          </cell>
          <cell r="H7111" t="str">
            <v>OTHER</v>
          </cell>
          <cell r="I7111" t="str">
            <v>Other - Index</v>
          </cell>
        </row>
        <row r="7112">
          <cell r="A7112" t="str">
            <v>MSESGGBPN</v>
          </cell>
          <cell r="B7112" t="str">
            <v>MSCI EU ESG Enh Focus N GBP</v>
          </cell>
          <cell r="C7112" t="str">
            <v>-BRS_GOLD_1:MSESGGBPN</v>
          </cell>
          <cell r="D7112" t="str">
            <v>Index</v>
          </cell>
          <cell r="E7112" t="str">
            <v>Index Level</v>
          </cell>
          <cell r="F7112" t="str">
            <v>Other</v>
          </cell>
          <cell r="G7112" t="str">
            <v>Other</v>
          </cell>
          <cell r="H7112" t="str">
            <v>OTHER</v>
          </cell>
          <cell r="I7112" t="str">
            <v>Other - Index</v>
          </cell>
        </row>
        <row r="7113">
          <cell r="A7113" t="str">
            <v>MSESGIEUR</v>
          </cell>
          <cell r="B7113" t="str">
            <v>MSCUSESG EUR Index</v>
          </cell>
          <cell r="C7113" t="str">
            <v>-BRS_GOLD_1:MSESGIEUR</v>
          </cell>
          <cell r="D7113" t="str">
            <v>Index</v>
          </cell>
          <cell r="E7113" t="str">
            <v>Index Level</v>
          </cell>
          <cell r="F7113" t="str">
            <v>Other</v>
          </cell>
          <cell r="G7113" t="str">
            <v>Other</v>
          </cell>
          <cell r="H7113" t="str">
            <v>OTHER</v>
          </cell>
          <cell r="I7113" t="str">
            <v>Other - Index</v>
          </cell>
        </row>
        <row r="7114">
          <cell r="A7114" t="str">
            <v>MSESGLEUR</v>
          </cell>
          <cell r="B7114" t="str">
            <v>MSCI Canada ESG Leaders EUR</v>
          </cell>
          <cell r="C7114" t="str">
            <v>-BRS_GOLD_1:MSESGLEUR</v>
          </cell>
          <cell r="D7114" t="str">
            <v>Index</v>
          </cell>
          <cell r="E7114" t="str">
            <v>Index Level</v>
          </cell>
          <cell r="F7114" t="str">
            <v>Other</v>
          </cell>
          <cell r="G7114" t="str">
            <v>Other</v>
          </cell>
          <cell r="H7114" t="str">
            <v>OTHER</v>
          </cell>
          <cell r="I7114" t="str">
            <v>Other - Index</v>
          </cell>
        </row>
        <row r="7115">
          <cell r="A7115" t="str">
            <v>MSESGNEUR</v>
          </cell>
          <cell r="B7115" t="str">
            <v>MSCI WORLD ESG Leaders N EUR</v>
          </cell>
          <cell r="C7115" t="str">
            <v>-BRS_GOLD_1:MSESGNEUR</v>
          </cell>
          <cell r="D7115" t="str">
            <v>Index</v>
          </cell>
          <cell r="E7115" t="str">
            <v>Index Level</v>
          </cell>
          <cell r="F7115" t="str">
            <v>Other</v>
          </cell>
          <cell r="G7115" t="str">
            <v>Other</v>
          </cell>
          <cell r="H7115" t="str">
            <v>OTHER</v>
          </cell>
          <cell r="I7115" t="str">
            <v>Other - Index</v>
          </cell>
        </row>
        <row r="7116">
          <cell r="A7116" t="str">
            <v>MSESGNUSD</v>
          </cell>
          <cell r="B7116" t="str">
            <v>MSCI WORLD ESG Leaders Net</v>
          </cell>
          <cell r="C7116" t="str">
            <v>-BRS_GOLD_1:MSESGNUSD</v>
          </cell>
          <cell r="D7116" t="str">
            <v>Index</v>
          </cell>
          <cell r="E7116" t="str">
            <v>Index Level</v>
          </cell>
          <cell r="F7116" t="str">
            <v>Other</v>
          </cell>
          <cell r="G7116" t="str">
            <v>Other</v>
          </cell>
          <cell r="H7116" t="str">
            <v>OTHER</v>
          </cell>
          <cell r="I7116" t="str">
            <v>Other - Index</v>
          </cell>
        </row>
        <row r="7117">
          <cell r="A7117" t="str">
            <v>MSESGPUSD</v>
          </cell>
          <cell r="B7117" t="str">
            <v>MSCI WORLD ESG Leaders Price</v>
          </cell>
          <cell r="C7117" t="str">
            <v>-BRS_GOLD_1:MSESGPUSD</v>
          </cell>
          <cell r="D7117" t="str">
            <v>Index</v>
          </cell>
          <cell r="E7117" t="str">
            <v>Index Level</v>
          </cell>
          <cell r="F7117" t="str">
            <v>Other</v>
          </cell>
          <cell r="G7117" t="str">
            <v>Other</v>
          </cell>
          <cell r="H7117" t="str">
            <v>OTHER</v>
          </cell>
          <cell r="I7117" t="str">
            <v>Other - Index</v>
          </cell>
        </row>
        <row r="7118">
          <cell r="A7118" t="str">
            <v>MSESGSEMUG</v>
          </cell>
          <cell r="B7118" t="str">
            <v>MSCI EMU ESG SCREENED Index</v>
          </cell>
          <cell r="C7118" t="str">
            <v>-BRS_GOLD_1:MSESGSEMUG</v>
          </cell>
          <cell r="D7118" t="str">
            <v>Index</v>
          </cell>
          <cell r="E7118" t="str">
            <v>Index Level</v>
          </cell>
          <cell r="F7118" t="str">
            <v>Other</v>
          </cell>
          <cell r="G7118" t="str">
            <v>Other</v>
          </cell>
          <cell r="H7118" t="str">
            <v>OTHER</v>
          </cell>
          <cell r="I7118" t="str">
            <v>Other - Index</v>
          </cell>
        </row>
        <row r="7119">
          <cell r="A7119" t="str">
            <v>MSESGSEMUN</v>
          </cell>
          <cell r="B7119" t="str">
            <v>MSCI EMU ESG SCREENED NET</v>
          </cell>
          <cell r="C7119" t="str">
            <v>-BRS_GOLD_1:MSESGSEMUN</v>
          </cell>
          <cell r="D7119" t="str">
            <v>Index</v>
          </cell>
          <cell r="E7119" t="str">
            <v>Index Level</v>
          </cell>
          <cell r="F7119" t="str">
            <v>Other</v>
          </cell>
          <cell r="G7119" t="str">
            <v>Other</v>
          </cell>
          <cell r="H7119" t="str">
            <v>OTHER</v>
          </cell>
          <cell r="I7119" t="str">
            <v>Other - Index</v>
          </cell>
        </row>
        <row r="7120">
          <cell r="A7120" t="str">
            <v>MSESGSEMUP</v>
          </cell>
          <cell r="B7120" t="str">
            <v>MSCI EMU ESG SCREENED PRICE</v>
          </cell>
          <cell r="C7120" t="str">
            <v>-BRS_GOLD_1:MSESGSEMUP</v>
          </cell>
          <cell r="D7120" t="str">
            <v>Index</v>
          </cell>
          <cell r="E7120" t="str">
            <v>Index Level</v>
          </cell>
          <cell r="F7120" t="str">
            <v>Other</v>
          </cell>
          <cell r="G7120" t="str">
            <v>Other</v>
          </cell>
          <cell r="H7120" t="str">
            <v>OTHER</v>
          </cell>
          <cell r="I7120" t="str">
            <v>Other - Index</v>
          </cell>
        </row>
        <row r="7121">
          <cell r="A7121" t="str">
            <v>MSESGSEURG</v>
          </cell>
          <cell r="B7121" t="str">
            <v>MSCI EUROPE ESG SCREENED Inde</v>
          </cell>
          <cell r="C7121" t="str">
            <v>-BRS_GOLD_1:MSESGSEURG</v>
          </cell>
          <cell r="D7121" t="str">
            <v>Index</v>
          </cell>
          <cell r="E7121" t="str">
            <v>Index Level</v>
          </cell>
          <cell r="F7121" t="str">
            <v>Other</v>
          </cell>
          <cell r="G7121" t="str">
            <v>Other</v>
          </cell>
          <cell r="H7121" t="str">
            <v>OTHER</v>
          </cell>
          <cell r="I7121" t="str">
            <v>Other - Index</v>
          </cell>
        </row>
        <row r="7122">
          <cell r="A7122" t="str">
            <v>MSESGSEURN</v>
          </cell>
          <cell r="B7122" t="str">
            <v>MSCI EUROPE ESG SCREENED NET</v>
          </cell>
          <cell r="C7122" t="str">
            <v>-BRS_GOLD_1:MSESGSEURN</v>
          </cell>
          <cell r="D7122" t="str">
            <v>Index</v>
          </cell>
          <cell r="E7122" t="str">
            <v>Index Level</v>
          </cell>
          <cell r="F7122" t="str">
            <v>Other</v>
          </cell>
          <cell r="G7122" t="str">
            <v>Other</v>
          </cell>
          <cell r="H7122" t="str">
            <v>OTHER</v>
          </cell>
          <cell r="I7122" t="str">
            <v>Other - Index</v>
          </cell>
        </row>
        <row r="7123">
          <cell r="A7123" t="str">
            <v>MSESGSEURP</v>
          </cell>
          <cell r="B7123" t="str">
            <v>MSCI EUROPE ESG SCREENED PRIC</v>
          </cell>
          <cell r="C7123" t="str">
            <v>-BRS_GOLD_1:MSESGSEURP</v>
          </cell>
          <cell r="D7123" t="str">
            <v>Index</v>
          </cell>
          <cell r="E7123" t="str">
            <v>Index Level</v>
          </cell>
          <cell r="F7123" t="str">
            <v>Other</v>
          </cell>
          <cell r="G7123" t="str">
            <v>Other</v>
          </cell>
          <cell r="H7123" t="str">
            <v>OTHER</v>
          </cell>
          <cell r="I7123" t="str">
            <v>Other - Index</v>
          </cell>
        </row>
        <row r="7124">
          <cell r="A7124" t="str">
            <v>MSESGUSD</v>
          </cell>
          <cell r="B7124" t="str">
            <v>MSCI WORLD ESG Leaders  Index</v>
          </cell>
          <cell r="C7124" t="str">
            <v>-BRS_GOLD_1:MSESGUSD</v>
          </cell>
          <cell r="D7124" t="str">
            <v>Index</v>
          </cell>
          <cell r="E7124" t="str">
            <v>Index Level</v>
          </cell>
          <cell r="F7124" t="str">
            <v>Other</v>
          </cell>
          <cell r="G7124" t="str">
            <v>Other</v>
          </cell>
          <cell r="H7124" t="str">
            <v>OTHER</v>
          </cell>
          <cell r="I7124" t="str">
            <v>Other - Index</v>
          </cell>
        </row>
        <row r="7125">
          <cell r="A7125" t="str">
            <v>MSESGUSDG</v>
          </cell>
          <cell r="B7125" t="str">
            <v>MSCI EM ESG Enh Focus G USD</v>
          </cell>
          <cell r="C7125" t="str">
            <v>-BRS_GOLD_1:MSESGUSDG</v>
          </cell>
          <cell r="D7125" t="str">
            <v>Index</v>
          </cell>
          <cell r="E7125" t="str">
            <v>Index Level</v>
          </cell>
          <cell r="F7125" t="str">
            <v>Other</v>
          </cell>
          <cell r="G7125" t="str">
            <v>Other</v>
          </cell>
          <cell r="H7125" t="str">
            <v>OTHER</v>
          </cell>
          <cell r="I7125" t="str">
            <v>Other - Index</v>
          </cell>
        </row>
        <row r="7126">
          <cell r="A7126" t="str">
            <v>MSESGUSDN</v>
          </cell>
          <cell r="B7126" t="str">
            <v>MSCI EM ESG Enh Focus N USD</v>
          </cell>
          <cell r="C7126" t="str">
            <v>-BRS_GOLD_1:MSESGUSDN</v>
          </cell>
          <cell r="D7126" t="str">
            <v>Index</v>
          </cell>
          <cell r="E7126" t="str">
            <v>Index Level</v>
          </cell>
          <cell r="F7126" t="str">
            <v>Other</v>
          </cell>
          <cell r="G7126" t="str">
            <v>Other</v>
          </cell>
          <cell r="H7126" t="str">
            <v>OTHER</v>
          </cell>
          <cell r="I7126" t="str">
            <v>Other - Index</v>
          </cell>
        </row>
        <row r="7127">
          <cell r="A7127" t="str">
            <v>MSESGUSDP</v>
          </cell>
          <cell r="B7127" t="str">
            <v>MSCI EM ESG Enh Focus P USD</v>
          </cell>
          <cell r="C7127" t="str">
            <v>-BRS_GOLD_1:MSESGUSDP</v>
          </cell>
          <cell r="D7127" t="str">
            <v>Index</v>
          </cell>
          <cell r="E7127" t="str">
            <v>Index Level</v>
          </cell>
          <cell r="F7127" t="str">
            <v>Other</v>
          </cell>
          <cell r="G7127" t="str">
            <v>Other</v>
          </cell>
          <cell r="H7127" t="str">
            <v>OTHER</v>
          </cell>
          <cell r="I7127" t="str">
            <v>Other - Index</v>
          </cell>
        </row>
        <row r="7128">
          <cell r="A7128" t="str">
            <v>MSEUESG</v>
          </cell>
          <cell r="B7128" t="str">
            <v>MSCI EU ESG Lea LCxT 5% EUR</v>
          </cell>
          <cell r="C7128" t="str">
            <v>-BRS_GOLD_1:MSEUESG</v>
          </cell>
          <cell r="D7128" t="str">
            <v>Index</v>
          </cell>
          <cell r="E7128" t="str">
            <v>Index Level</v>
          </cell>
          <cell r="F7128" t="str">
            <v>Other</v>
          </cell>
          <cell r="G7128" t="str">
            <v>Other</v>
          </cell>
          <cell r="H7128" t="str">
            <v>OTHER</v>
          </cell>
          <cell r="I7128" t="str">
            <v>Other - Index</v>
          </cell>
        </row>
        <row r="7129">
          <cell r="A7129" t="str">
            <v>MSEUESGFG</v>
          </cell>
          <cell r="B7129" t="str">
            <v>MSCI Europe ESG Enh Focus G</v>
          </cell>
          <cell r="C7129" t="str">
            <v>-BRS_GOLD_1:MSEUESGFG</v>
          </cell>
          <cell r="D7129" t="str">
            <v>Index</v>
          </cell>
          <cell r="E7129" t="str">
            <v>Index Level</v>
          </cell>
          <cell r="F7129" t="str">
            <v>Other</v>
          </cell>
          <cell r="G7129" t="str">
            <v>Other</v>
          </cell>
          <cell r="H7129" t="str">
            <v>OTHER</v>
          </cell>
          <cell r="I7129" t="str">
            <v>Other - Index</v>
          </cell>
        </row>
        <row r="7130">
          <cell r="A7130" t="str">
            <v>MSEUESGFN</v>
          </cell>
          <cell r="B7130" t="str">
            <v>MSCI EU ESG Enh Focus N</v>
          </cell>
          <cell r="C7130" t="str">
            <v>-BRS_GOLD_1:MSEUESGFN</v>
          </cell>
          <cell r="D7130" t="str">
            <v>Index</v>
          </cell>
          <cell r="E7130" t="str">
            <v>Index Level</v>
          </cell>
          <cell r="F7130" t="str">
            <v>Other</v>
          </cell>
          <cell r="G7130" t="str">
            <v>Other</v>
          </cell>
          <cell r="H7130" t="str">
            <v>OTHER</v>
          </cell>
          <cell r="I7130" t="str">
            <v>Other - Index</v>
          </cell>
        </row>
        <row r="7131">
          <cell r="A7131" t="str">
            <v>MSEUESGFP</v>
          </cell>
          <cell r="B7131" t="str">
            <v>MSCI EU ESG Enh Focus P</v>
          </cell>
          <cell r="C7131" t="str">
            <v>-BRS_GOLD_1:MSEUESGFP</v>
          </cell>
          <cell r="D7131" t="str">
            <v>Index</v>
          </cell>
          <cell r="E7131" t="str">
            <v>Index Level</v>
          </cell>
          <cell r="F7131" t="str">
            <v>Other</v>
          </cell>
          <cell r="G7131" t="str">
            <v>Other</v>
          </cell>
          <cell r="H7131" t="str">
            <v>OTHER</v>
          </cell>
          <cell r="I7131" t="str">
            <v>Other - Index</v>
          </cell>
        </row>
        <row r="7132">
          <cell r="A7132" t="str">
            <v>MSEUESGN</v>
          </cell>
          <cell r="B7132" t="str">
            <v>MSCI EU ESG Lea LCxT 5% N</v>
          </cell>
          <cell r="C7132" t="str">
            <v>-BRS_GOLD_1:MSEUESGN</v>
          </cell>
          <cell r="D7132" t="str">
            <v>Index</v>
          </cell>
          <cell r="E7132" t="str">
            <v>Index Level</v>
          </cell>
          <cell r="F7132" t="str">
            <v>Other</v>
          </cell>
          <cell r="G7132" t="str">
            <v>Other</v>
          </cell>
          <cell r="H7132" t="str">
            <v>OTHER</v>
          </cell>
          <cell r="I7132" t="str">
            <v>Other - Index</v>
          </cell>
        </row>
        <row r="7133">
          <cell r="A7133" t="str">
            <v>MSEUESGP</v>
          </cell>
          <cell r="B7133" t="str">
            <v>MSCI EU ESG Lea LCxT 5% P</v>
          </cell>
          <cell r="C7133" t="str">
            <v>-BRS_GOLD_1:MSEUESGP</v>
          </cell>
          <cell r="D7133" t="str">
            <v>Index</v>
          </cell>
          <cell r="E7133" t="str">
            <v>Index Level</v>
          </cell>
          <cell r="F7133" t="str">
            <v>Other</v>
          </cell>
          <cell r="G7133" t="str">
            <v>Other</v>
          </cell>
          <cell r="H7133" t="str">
            <v>OTHER</v>
          </cell>
          <cell r="I7133" t="str">
            <v>Other - Index</v>
          </cell>
        </row>
        <row r="7134">
          <cell r="A7134" t="str">
            <v>MSEURFESG</v>
          </cell>
          <cell r="B7134" t="str">
            <v>MSCI World ESG Focus EUR MSEU</v>
          </cell>
          <cell r="C7134" t="str">
            <v>-BRS_GOLD_1:MSEURFESG</v>
          </cell>
          <cell r="D7134" t="str">
            <v>Index</v>
          </cell>
          <cell r="E7134" t="str">
            <v>Index Level</v>
          </cell>
          <cell r="F7134" t="str">
            <v>Other</v>
          </cell>
          <cell r="G7134" t="str">
            <v>Other</v>
          </cell>
          <cell r="H7134" t="str">
            <v>OTHER</v>
          </cell>
          <cell r="I7134" t="str">
            <v>Other - Index</v>
          </cell>
        </row>
        <row r="7135">
          <cell r="A7135" t="str">
            <v>MSEURSR5</v>
          </cell>
          <cell r="B7135" t="str">
            <v>MSCI Europe SRI S-Series 5% C</v>
          </cell>
          <cell r="C7135" t="str">
            <v>-BRS_GOLD_1:MSEURSR5</v>
          </cell>
          <cell r="D7135" t="str">
            <v>Index</v>
          </cell>
          <cell r="E7135" t="str">
            <v>Index Level</v>
          </cell>
          <cell r="F7135" t="str">
            <v>Other</v>
          </cell>
          <cell r="G7135" t="str">
            <v>Other</v>
          </cell>
          <cell r="H7135" t="str">
            <v>OTHER</v>
          </cell>
          <cell r="I7135" t="str">
            <v>Other - Index</v>
          </cell>
        </row>
        <row r="7136">
          <cell r="A7136" t="str">
            <v>MSEURXCTW</v>
          </cell>
          <cell r="B7136" t="str">
            <v>MSCI Europe x Contr Weap</v>
          </cell>
          <cell r="C7136" t="str">
            <v>-BRS_GOLD_1:MSEURXCTW</v>
          </cell>
          <cell r="D7136" t="str">
            <v>Index</v>
          </cell>
          <cell r="E7136" t="str">
            <v>Index Level</v>
          </cell>
          <cell r="F7136" t="str">
            <v>Other</v>
          </cell>
          <cell r="G7136" t="str">
            <v>Other</v>
          </cell>
          <cell r="H7136" t="str">
            <v>OTHER</v>
          </cell>
          <cell r="I7136" t="str">
            <v>Other - Index</v>
          </cell>
        </row>
        <row r="7137">
          <cell r="A7137" t="str">
            <v>MSEURXCTWN</v>
          </cell>
          <cell r="B7137" t="str">
            <v>MSCI Europe x Contr W USD N</v>
          </cell>
          <cell r="C7137" t="str">
            <v>-BRS_GOLD_1:MSEURXCTWN</v>
          </cell>
          <cell r="D7137" t="str">
            <v>Index</v>
          </cell>
          <cell r="E7137" t="str">
            <v>Index Level</v>
          </cell>
          <cell r="F7137" t="str">
            <v>Other</v>
          </cell>
          <cell r="G7137" t="str">
            <v>Other</v>
          </cell>
          <cell r="H7137" t="str">
            <v>OTHER</v>
          </cell>
          <cell r="I7137" t="str">
            <v>Other - Index</v>
          </cell>
        </row>
        <row r="7138">
          <cell r="A7138" t="str">
            <v>MSEUSDIBD</v>
          </cell>
          <cell r="B7138" t="str">
            <v>MSCI EMU ESG Lead G MSEUSDIBD</v>
          </cell>
          <cell r="C7138" t="str">
            <v>-BRS_GOLD_1:MSEUSDIBD</v>
          </cell>
          <cell r="D7138" t="str">
            <v>Index</v>
          </cell>
          <cell r="E7138" t="str">
            <v>Index Level</v>
          </cell>
          <cell r="F7138" t="str">
            <v>Other</v>
          </cell>
          <cell r="G7138" t="str">
            <v>Other</v>
          </cell>
          <cell r="H7138" t="str">
            <v>OTHER</v>
          </cell>
          <cell r="I7138" t="str">
            <v>Other - Index</v>
          </cell>
        </row>
        <row r="7139">
          <cell r="A7139" t="str">
            <v>MSEUSRISGB</v>
          </cell>
          <cell r="B7139" t="str">
            <v>MSCI Europe SRI Select Reduce</v>
          </cell>
          <cell r="C7139" t="str">
            <v>-BRS_GOLD_1:MSEUSRISGB</v>
          </cell>
          <cell r="D7139" t="str">
            <v>Index</v>
          </cell>
          <cell r="E7139" t="str">
            <v>Index Level</v>
          </cell>
          <cell r="F7139" t="str">
            <v>Other</v>
          </cell>
          <cell r="G7139" t="str">
            <v>Other</v>
          </cell>
          <cell r="H7139" t="str">
            <v>OTHER</v>
          </cell>
          <cell r="I7139" t="str">
            <v>Other - Index</v>
          </cell>
        </row>
        <row r="7140">
          <cell r="A7140" t="str">
            <v>MSEXUKEUR</v>
          </cell>
          <cell r="B7140" t="str">
            <v>MSCI Europe x Contr W EUR</v>
          </cell>
          <cell r="C7140" t="str">
            <v>-BRS_GOLD_1:MSEXUKEUR</v>
          </cell>
          <cell r="D7140" t="str">
            <v>Index</v>
          </cell>
          <cell r="E7140" t="str">
            <v>Index Level</v>
          </cell>
          <cell r="F7140" t="str">
            <v>Other</v>
          </cell>
          <cell r="G7140" t="str">
            <v>Other</v>
          </cell>
          <cell r="H7140" t="str">
            <v>OTHER</v>
          </cell>
          <cell r="I7140" t="str">
            <v>Other - Index</v>
          </cell>
        </row>
        <row r="7141">
          <cell r="A7141" t="str">
            <v>MSFNCL_LCL</v>
          </cell>
          <cell r="B7141" t="str">
            <v>MSCI World Financials</v>
          </cell>
          <cell r="C7141" t="str">
            <v>-BRS_GOLD_1:MSFNCL_LCL</v>
          </cell>
          <cell r="D7141" t="str">
            <v>Index</v>
          </cell>
          <cell r="E7141" t="str">
            <v>Index Level</v>
          </cell>
          <cell r="F7141" t="str">
            <v>Other</v>
          </cell>
          <cell r="G7141" t="str">
            <v>Other</v>
          </cell>
          <cell r="H7141" t="str">
            <v>OTHER</v>
          </cell>
          <cell r="I7141" t="str">
            <v>Other - Index</v>
          </cell>
        </row>
        <row r="7142">
          <cell r="A7142" t="str">
            <v>MSGBPRIGO</v>
          </cell>
          <cell r="B7142" t="str">
            <v>MSCI USA SRI Net GBP Index</v>
          </cell>
          <cell r="C7142" t="str">
            <v>-BRS_GOLD_1:MSGBPRIGO</v>
          </cell>
          <cell r="D7142" t="str">
            <v>Index</v>
          </cell>
          <cell r="E7142" t="str">
            <v>Index Level</v>
          </cell>
          <cell r="F7142" t="str">
            <v>Other</v>
          </cell>
          <cell r="G7142" t="str">
            <v>Other</v>
          </cell>
          <cell r="H7142" t="str">
            <v>OTHER</v>
          </cell>
          <cell r="I7142" t="str">
            <v>Other - Index</v>
          </cell>
        </row>
        <row r="7143">
          <cell r="A7143" t="str">
            <v>MSGBPSRIG</v>
          </cell>
          <cell r="B7143" t="str">
            <v>MSCI Japan SRI Net GBP Index</v>
          </cell>
          <cell r="C7143" t="str">
            <v>-BRS_GOLD_1:MSGBPSRIG</v>
          </cell>
          <cell r="D7143" t="str">
            <v>Index</v>
          </cell>
          <cell r="E7143" t="str">
            <v>Index Level</v>
          </cell>
          <cell r="F7143" t="str">
            <v>Other</v>
          </cell>
          <cell r="G7143" t="str">
            <v>Other</v>
          </cell>
          <cell r="H7143" t="str">
            <v>OTHER</v>
          </cell>
          <cell r="I7143" t="str">
            <v>Other - Index</v>
          </cell>
        </row>
        <row r="7144">
          <cell r="A7144" t="str">
            <v>MSHLTH_LCL</v>
          </cell>
          <cell r="B7144" t="str">
            <v>MSCI World Healthcare</v>
          </cell>
          <cell r="C7144" t="str">
            <v>-BRS_GOLD_1:MSHLTH_LCL</v>
          </cell>
          <cell r="D7144" t="str">
            <v>Index</v>
          </cell>
          <cell r="E7144" t="str">
            <v>Index Level</v>
          </cell>
          <cell r="F7144" t="str">
            <v>Other</v>
          </cell>
          <cell r="G7144" t="str">
            <v>Other</v>
          </cell>
          <cell r="H7144" t="str">
            <v>OTHER</v>
          </cell>
          <cell r="I7144" t="str">
            <v>Other - Index</v>
          </cell>
        </row>
        <row r="7145">
          <cell r="A7145" t="str">
            <v>MSIESGEUR</v>
          </cell>
          <cell r="B7145" t="str">
            <v>MSCI USA ESG Screened (EUR)</v>
          </cell>
          <cell r="C7145" t="str">
            <v>-BRS_GOLD_1:MSIESGEUR</v>
          </cell>
          <cell r="D7145" t="str">
            <v>Index</v>
          </cell>
          <cell r="E7145" t="str">
            <v>Index Level</v>
          </cell>
          <cell r="F7145" t="str">
            <v>Other</v>
          </cell>
          <cell r="G7145" t="str">
            <v>Other</v>
          </cell>
          <cell r="H7145" t="str">
            <v>OTHER</v>
          </cell>
          <cell r="I7145" t="str">
            <v>Other - Index</v>
          </cell>
        </row>
        <row r="7146">
          <cell r="A7146" t="str">
            <v>MSINDU_LCL</v>
          </cell>
          <cell r="B7146" t="str">
            <v>MSCI World Industrials</v>
          </cell>
          <cell r="C7146" t="str">
            <v>-BRS_GOLD_1:MSINDU_LCL</v>
          </cell>
          <cell r="D7146" t="str">
            <v>Index</v>
          </cell>
          <cell r="E7146" t="str">
            <v>Index Level</v>
          </cell>
          <cell r="F7146" t="str">
            <v>Other</v>
          </cell>
          <cell r="G7146" t="str">
            <v>Other</v>
          </cell>
          <cell r="H7146" t="str">
            <v>OTHER</v>
          </cell>
          <cell r="I7146" t="str">
            <v>Other - Index</v>
          </cell>
        </row>
        <row r="7147">
          <cell r="A7147" t="str">
            <v>MSISRIEUR</v>
          </cell>
          <cell r="B7147" t="str">
            <v>MSCI USA SRI S-Series 5%C EUR</v>
          </cell>
          <cell r="C7147" t="str">
            <v>-BRS_GOLD_1:MSISRIEUR</v>
          </cell>
          <cell r="D7147" t="str">
            <v>Index</v>
          </cell>
          <cell r="E7147" t="str">
            <v>Index Level</v>
          </cell>
          <cell r="F7147" t="str">
            <v>Other</v>
          </cell>
          <cell r="G7147" t="str">
            <v>Other</v>
          </cell>
          <cell r="H7147" t="str">
            <v>OTHER</v>
          </cell>
          <cell r="I7147" t="str">
            <v>Other - Index</v>
          </cell>
        </row>
        <row r="7148">
          <cell r="A7148" t="str">
            <v>MSIT_LCL</v>
          </cell>
          <cell r="B7148" t="str">
            <v>MSCI World IT</v>
          </cell>
          <cell r="C7148" t="str">
            <v>-BRS_GOLD_1:MSIT_LCL</v>
          </cell>
          <cell r="D7148" t="str">
            <v>Index</v>
          </cell>
          <cell r="E7148" t="str">
            <v>Index Level</v>
          </cell>
          <cell r="F7148" t="str">
            <v>Other</v>
          </cell>
          <cell r="G7148" t="str">
            <v>Other</v>
          </cell>
          <cell r="H7148" t="str">
            <v>OTHER</v>
          </cell>
          <cell r="I7148" t="str">
            <v>Other - Index</v>
          </cell>
        </row>
        <row r="7149">
          <cell r="A7149" t="str">
            <v>MSJAPEXWPN</v>
          </cell>
          <cell r="B7149" t="str">
            <v>MSCI JAPAN EX CONTR WEAP US N</v>
          </cell>
          <cell r="C7149" t="str">
            <v>-BRS_GOLD_1:MSJAPEXWPN</v>
          </cell>
          <cell r="D7149" t="str">
            <v>Index</v>
          </cell>
          <cell r="E7149" t="str">
            <v>Index Level</v>
          </cell>
          <cell r="F7149" t="str">
            <v>Other</v>
          </cell>
          <cell r="G7149" t="str">
            <v>Other</v>
          </cell>
          <cell r="H7149" t="str">
            <v>OTHER</v>
          </cell>
          <cell r="I7149" t="str">
            <v>Other - Index</v>
          </cell>
        </row>
        <row r="7150">
          <cell r="A7150" t="str">
            <v>MSJESGEUR</v>
          </cell>
          <cell r="B7150" t="str">
            <v>MSCI Japan ESG Leaders N EUR</v>
          </cell>
          <cell r="C7150" t="str">
            <v>-BRS_GOLD_1:MSJESGEUR</v>
          </cell>
          <cell r="D7150" t="str">
            <v>Index</v>
          </cell>
          <cell r="E7150" t="str">
            <v>Index Level</v>
          </cell>
          <cell r="F7150" t="str">
            <v>Other</v>
          </cell>
          <cell r="G7150" t="str">
            <v>Other</v>
          </cell>
          <cell r="H7150" t="str">
            <v>OTHER</v>
          </cell>
          <cell r="I7150" t="str">
            <v>Other - Index</v>
          </cell>
        </row>
        <row r="7151">
          <cell r="A7151" t="str">
            <v>MSJESGJPY</v>
          </cell>
          <cell r="B7151" t="str">
            <v>MSCI Japan ESG Leaders N JPY</v>
          </cell>
          <cell r="C7151" t="str">
            <v>-BRS_GOLD_1:MSJESGJPY</v>
          </cell>
          <cell r="D7151" t="str">
            <v>Index</v>
          </cell>
          <cell r="E7151" t="str">
            <v>Index Level</v>
          </cell>
          <cell r="F7151" t="str">
            <v>Other</v>
          </cell>
          <cell r="G7151" t="str">
            <v>Other</v>
          </cell>
          <cell r="H7151" t="str">
            <v>OTHER</v>
          </cell>
          <cell r="I7151" t="str">
            <v>Other - Index</v>
          </cell>
        </row>
        <row r="7152">
          <cell r="A7152" t="str">
            <v>MSJESLJPY</v>
          </cell>
          <cell r="B7152" t="str">
            <v>MSCI JAPAN ESG SELECT LEADERS</v>
          </cell>
          <cell r="C7152" t="str">
            <v>-BRS_GOLD_1:MSJESLJPY</v>
          </cell>
          <cell r="D7152" t="str">
            <v>Index</v>
          </cell>
          <cell r="E7152" t="str">
            <v>Index Level</v>
          </cell>
          <cell r="F7152" t="str">
            <v>Other</v>
          </cell>
          <cell r="G7152" t="str">
            <v>Other</v>
          </cell>
          <cell r="H7152" t="str">
            <v>OTHER</v>
          </cell>
          <cell r="I7152" t="str">
            <v>Other - Index</v>
          </cell>
        </row>
        <row r="7153">
          <cell r="A7153" t="str">
            <v>MSJEWNJPY</v>
          </cell>
          <cell r="B7153" t="str">
            <v>MSCI JAPAN EMPOWERING WOMEN</v>
          </cell>
          <cell r="C7153" t="str">
            <v>-BRS_GOLD_1:MSJEWNJPY</v>
          </cell>
          <cell r="D7153" t="str">
            <v>Index</v>
          </cell>
          <cell r="E7153" t="str">
            <v>Index Level</v>
          </cell>
          <cell r="F7153" t="str">
            <v>Other</v>
          </cell>
          <cell r="G7153" t="str">
            <v>Other</v>
          </cell>
          <cell r="H7153" t="str">
            <v>OTHER</v>
          </cell>
          <cell r="I7153" t="str">
            <v>Other - Index</v>
          </cell>
        </row>
        <row r="7154">
          <cell r="A7154" t="str">
            <v>MSJPECWXEC</v>
          </cell>
          <cell r="B7154" t="str">
            <v>MSCI JP EX CONTR WEAP EUR N</v>
          </cell>
          <cell r="C7154" t="str">
            <v>-BRS_GOLD_1:MSJPECWXEC</v>
          </cell>
          <cell r="D7154" t="str">
            <v>Index</v>
          </cell>
          <cell r="E7154" t="str">
            <v>Index Level</v>
          </cell>
          <cell r="F7154" t="str">
            <v>Other</v>
          </cell>
          <cell r="G7154" t="str">
            <v>Other</v>
          </cell>
          <cell r="H7154" t="str">
            <v>OTHER</v>
          </cell>
          <cell r="I7154" t="str">
            <v>Other - Index</v>
          </cell>
        </row>
        <row r="7155">
          <cell r="A7155" t="str">
            <v>MSJPEFGBP</v>
          </cell>
          <cell r="B7155" t="str">
            <v>MSCI JP ESG Enhanced Focus</v>
          </cell>
          <cell r="C7155" t="str">
            <v>-BRS_GOLD_1:MSJPEFGBP</v>
          </cell>
          <cell r="D7155" t="str">
            <v>Index</v>
          </cell>
          <cell r="E7155" t="str">
            <v>Index Level</v>
          </cell>
          <cell r="F7155" t="str">
            <v>Other</v>
          </cell>
          <cell r="G7155" t="str">
            <v>Other</v>
          </cell>
          <cell r="H7155" t="str">
            <v>OTHER</v>
          </cell>
          <cell r="I7155" t="str">
            <v>Other - Index</v>
          </cell>
        </row>
        <row r="7156">
          <cell r="A7156" t="str">
            <v>MSJPEGSRN</v>
          </cell>
          <cell r="B7156" t="str">
            <v>MSCI JAPAN ESG SCREENED</v>
          </cell>
          <cell r="C7156" t="str">
            <v>-BRS_GOLD_1:MSJPEGSRN</v>
          </cell>
          <cell r="D7156" t="str">
            <v>Index</v>
          </cell>
          <cell r="E7156" t="str">
            <v>Index Level</v>
          </cell>
          <cell r="F7156" t="str">
            <v>Other</v>
          </cell>
          <cell r="G7156" t="str">
            <v>Other</v>
          </cell>
          <cell r="H7156" t="str">
            <v>OTHER</v>
          </cell>
          <cell r="I7156" t="str">
            <v>Other - Index</v>
          </cell>
        </row>
        <row r="7157">
          <cell r="A7157" t="str">
            <v>MSJPEGSRNG</v>
          </cell>
          <cell r="B7157" t="str">
            <v>MSCI JAPAN ESG SCREENED Gross</v>
          </cell>
          <cell r="C7157" t="str">
            <v>-BRS_GOLD_1:MSJPEGSRNG</v>
          </cell>
          <cell r="D7157" t="str">
            <v>Index</v>
          </cell>
          <cell r="E7157" t="str">
            <v>Index Level</v>
          </cell>
          <cell r="F7157" t="str">
            <v>Other</v>
          </cell>
          <cell r="G7157" t="str">
            <v>Other</v>
          </cell>
          <cell r="H7157" t="str">
            <v>OTHER</v>
          </cell>
          <cell r="I7157" t="str">
            <v>Other - Index</v>
          </cell>
        </row>
        <row r="7158">
          <cell r="A7158" t="str">
            <v>MSJPEGSRNP</v>
          </cell>
          <cell r="B7158" t="str">
            <v>MSCI JAPAN ESG SCREENED Price</v>
          </cell>
          <cell r="C7158" t="str">
            <v>-BRS_GOLD_1:MSJPEGSRNP</v>
          </cell>
          <cell r="D7158" t="str">
            <v>Index</v>
          </cell>
          <cell r="E7158" t="str">
            <v>Index Level</v>
          </cell>
          <cell r="F7158" t="str">
            <v>Other</v>
          </cell>
          <cell r="G7158" t="str">
            <v>Other</v>
          </cell>
          <cell r="H7158" t="str">
            <v>OTHER</v>
          </cell>
          <cell r="I7158" t="str">
            <v>Other - Index</v>
          </cell>
        </row>
        <row r="7159">
          <cell r="A7159" t="str">
            <v>MSJPESG</v>
          </cell>
          <cell r="B7159" t="str">
            <v>MSCI JP ESG Lea LCxT 5% USD</v>
          </cell>
          <cell r="C7159" t="str">
            <v>-BRS_GOLD_1:MSJPESG</v>
          </cell>
          <cell r="D7159" t="str">
            <v>Index</v>
          </cell>
          <cell r="E7159" t="str">
            <v>Index Level</v>
          </cell>
          <cell r="F7159" t="str">
            <v>Other</v>
          </cell>
          <cell r="G7159" t="str">
            <v>Other</v>
          </cell>
          <cell r="H7159" t="str">
            <v>OTHER</v>
          </cell>
          <cell r="I7159" t="str">
            <v>Other - Index</v>
          </cell>
        </row>
        <row r="7160">
          <cell r="A7160" t="str">
            <v>MSJPESGFG</v>
          </cell>
          <cell r="B7160" t="str">
            <v>MSCI JP ESG Enhanced Focus G</v>
          </cell>
          <cell r="C7160" t="str">
            <v>-BRS_GOLD_1:MSJPESGFG</v>
          </cell>
          <cell r="D7160" t="str">
            <v>Index</v>
          </cell>
          <cell r="E7160" t="str">
            <v>Index Level</v>
          </cell>
          <cell r="F7160" t="str">
            <v>Other</v>
          </cell>
          <cell r="G7160" t="str">
            <v>Other</v>
          </cell>
          <cell r="H7160" t="str">
            <v>OTHER</v>
          </cell>
          <cell r="I7160" t="str">
            <v>Other - Index</v>
          </cell>
        </row>
        <row r="7161">
          <cell r="A7161" t="str">
            <v>MSJPESGFN</v>
          </cell>
          <cell r="B7161" t="str">
            <v>MSCI JP ESG Enhanced Focus N</v>
          </cell>
          <cell r="C7161" t="str">
            <v>-BRS_GOLD_1:MSJPESGFN</v>
          </cell>
          <cell r="D7161" t="str">
            <v>Index</v>
          </cell>
          <cell r="E7161" t="str">
            <v>Index Level</v>
          </cell>
          <cell r="F7161" t="str">
            <v>Other</v>
          </cell>
          <cell r="G7161" t="str">
            <v>Other</v>
          </cell>
          <cell r="H7161" t="str">
            <v>OTHER</v>
          </cell>
          <cell r="I7161" t="str">
            <v>Other - Index</v>
          </cell>
        </row>
        <row r="7162">
          <cell r="A7162" t="str">
            <v>MSJPESGFP</v>
          </cell>
          <cell r="B7162" t="str">
            <v>MSCI JP ESG Enhanced Focus P</v>
          </cell>
          <cell r="C7162" t="str">
            <v>-BRS_GOLD_1:MSJPESGFP</v>
          </cell>
          <cell r="D7162" t="str">
            <v>Index</v>
          </cell>
          <cell r="E7162" t="str">
            <v>Index Level</v>
          </cell>
          <cell r="F7162" t="str">
            <v>Other</v>
          </cell>
          <cell r="G7162" t="str">
            <v>Other</v>
          </cell>
          <cell r="H7162" t="str">
            <v>OTHER</v>
          </cell>
          <cell r="I7162" t="str">
            <v>Other - Index</v>
          </cell>
        </row>
        <row r="7163">
          <cell r="A7163" t="str">
            <v>MSJPESGGB</v>
          </cell>
          <cell r="B7163" t="str">
            <v>MSCI JAPAN ESG SCREENED GBP</v>
          </cell>
          <cell r="C7163" t="str">
            <v>-BRS_GOLD_1:MSJPESGGB</v>
          </cell>
          <cell r="D7163" t="str">
            <v>Index</v>
          </cell>
          <cell r="E7163" t="str">
            <v>Index Level</v>
          </cell>
          <cell r="F7163" t="str">
            <v>Other</v>
          </cell>
          <cell r="G7163" t="str">
            <v>Other</v>
          </cell>
          <cell r="H7163" t="str">
            <v>OTHER</v>
          </cell>
          <cell r="I7163" t="str">
            <v>Other - Index</v>
          </cell>
        </row>
        <row r="7164">
          <cell r="A7164" t="str">
            <v>MSJPESGN</v>
          </cell>
          <cell r="B7164" t="str">
            <v>MSCI JP ESG Lead LC 5% N</v>
          </cell>
          <cell r="C7164" t="str">
            <v>-BRS_GOLD_1:MSJPESGN</v>
          </cell>
          <cell r="D7164" t="str">
            <v>Index</v>
          </cell>
          <cell r="E7164" t="str">
            <v>Index Level</v>
          </cell>
          <cell r="F7164" t="str">
            <v>Other</v>
          </cell>
          <cell r="G7164" t="str">
            <v>Other</v>
          </cell>
          <cell r="H7164" t="str">
            <v>OTHER</v>
          </cell>
          <cell r="I7164" t="str">
            <v>Other - Index</v>
          </cell>
        </row>
        <row r="7165">
          <cell r="A7165" t="str">
            <v>MSJPESGP</v>
          </cell>
          <cell r="B7165" t="str">
            <v>MSCI JP ESG Lead LC 5% P</v>
          </cell>
          <cell r="C7165" t="str">
            <v>-BRS_GOLD_1:MSJPESGP</v>
          </cell>
          <cell r="D7165" t="str">
            <v>Index</v>
          </cell>
          <cell r="E7165" t="str">
            <v>Index Level</v>
          </cell>
          <cell r="F7165" t="str">
            <v>Other</v>
          </cell>
          <cell r="G7165" t="str">
            <v>Other</v>
          </cell>
          <cell r="H7165" t="str">
            <v>OTHER</v>
          </cell>
          <cell r="I7165" t="str">
            <v>Other - Index</v>
          </cell>
        </row>
        <row r="7166">
          <cell r="A7166" t="str">
            <v>MSJPNEXCON</v>
          </cell>
          <cell r="B7166" t="str">
            <v>MSCI JAPAN EX CONTR WEAP</v>
          </cell>
          <cell r="C7166" t="str">
            <v>-BRS_GOLD_1:MSJPNEXCON</v>
          </cell>
          <cell r="D7166" t="str">
            <v>Index</v>
          </cell>
          <cell r="E7166" t="str">
            <v>Index Level</v>
          </cell>
          <cell r="F7166" t="str">
            <v>Other</v>
          </cell>
          <cell r="G7166" t="str">
            <v>Other</v>
          </cell>
          <cell r="H7166" t="str">
            <v>OTHER</v>
          </cell>
          <cell r="I7166" t="str">
            <v>Other - Index</v>
          </cell>
        </row>
        <row r="7167">
          <cell r="A7167" t="str">
            <v>MSJPSR5</v>
          </cell>
          <cell r="B7167" t="str">
            <v>MSCI Japan SRI S-Series 5% C</v>
          </cell>
          <cell r="C7167" t="str">
            <v>-BRS_GOLD_1:MSJPSR5</v>
          </cell>
          <cell r="D7167" t="str">
            <v>Index</v>
          </cell>
          <cell r="E7167" t="str">
            <v>Index Level</v>
          </cell>
          <cell r="F7167" t="str">
            <v>Other</v>
          </cell>
          <cell r="G7167" t="str">
            <v>Other</v>
          </cell>
          <cell r="H7167" t="str">
            <v>OTHER</v>
          </cell>
          <cell r="I7167" t="str">
            <v>Other - Index</v>
          </cell>
        </row>
        <row r="7168">
          <cell r="A7168" t="str">
            <v>MSJPSREUR</v>
          </cell>
          <cell r="B7168" t="str">
            <v>MSCI Japan SRI Net EUR Index</v>
          </cell>
          <cell r="C7168" t="str">
            <v>-BRS_GOLD_1:MSJPSREUR</v>
          </cell>
          <cell r="D7168" t="str">
            <v>Index</v>
          </cell>
          <cell r="E7168" t="str">
            <v>Index Level</v>
          </cell>
          <cell r="F7168" t="str">
            <v>Other</v>
          </cell>
          <cell r="G7168" t="str">
            <v>Other</v>
          </cell>
          <cell r="H7168" t="str">
            <v>OTHER</v>
          </cell>
          <cell r="I7168" t="str">
            <v>Other - Index</v>
          </cell>
        </row>
        <row r="7169">
          <cell r="A7169" t="str">
            <v>MSJPSRIG</v>
          </cell>
          <cell r="B7169" t="str">
            <v>MSCI Japan SRI Gross Index</v>
          </cell>
          <cell r="C7169" t="str">
            <v>-BRS_GOLD_1:MSJPSRIG</v>
          </cell>
          <cell r="D7169" t="str">
            <v>Index</v>
          </cell>
          <cell r="E7169" t="str">
            <v>Index Level</v>
          </cell>
          <cell r="F7169" t="str">
            <v>Other</v>
          </cell>
          <cell r="G7169" t="str">
            <v>Other</v>
          </cell>
          <cell r="H7169" t="str">
            <v>OTHER</v>
          </cell>
          <cell r="I7169" t="str">
            <v>Other - Index</v>
          </cell>
        </row>
        <row r="7170">
          <cell r="A7170" t="str">
            <v>MSJPSRIN</v>
          </cell>
          <cell r="B7170" t="str">
            <v>MSCI Japan SRI Net Index</v>
          </cell>
          <cell r="C7170" t="str">
            <v>-BRS_GOLD_1:MSJPSRIN</v>
          </cell>
          <cell r="D7170" t="str">
            <v>Index</v>
          </cell>
          <cell r="E7170" t="str">
            <v>Index Level</v>
          </cell>
          <cell r="F7170" t="str">
            <v>Other</v>
          </cell>
          <cell r="G7170" t="str">
            <v>Other</v>
          </cell>
          <cell r="H7170" t="str">
            <v>OTHER</v>
          </cell>
          <cell r="I7170" t="str">
            <v>Other - Index</v>
          </cell>
        </row>
        <row r="7171">
          <cell r="A7171" t="str">
            <v>MSJPSRINH</v>
          </cell>
          <cell r="B7171" t="str">
            <v>MSCI Japan SRI Net EUR H</v>
          </cell>
          <cell r="C7171" t="str">
            <v>-BRS_GOLD_1:MSJPSRINH</v>
          </cell>
          <cell r="D7171" t="str">
            <v>Index</v>
          </cell>
          <cell r="E7171" t="str">
            <v>Index Level</v>
          </cell>
          <cell r="F7171" t="str">
            <v>Other</v>
          </cell>
          <cell r="G7171" t="str">
            <v>Other</v>
          </cell>
          <cell r="H7171" t="str">
            <v>OTHER</v>
          </cell>
          <cell r="I7171" t="str">
            <v>Other - Index</v>
          </cell>
        </row>
        <row r="7172">
          <cell r="A7172" t="str">
            <v>MSJPSRIP</v>
          </cell>
          <cell r="B7172" t="str">
            <v>MSCI Japan SRI Price Index</v>
          </cell>
          <cell r="C7172" t="str">
            <v>-BRS_GOLD_1:MSJPSRIP</v>
          </cell>
          <cell r="D7172" t="str">
            <v>Index</v>
          </cell>
          <cell r="E7172" t="str">
            <v>Index Level</v>
          </cell>
          <cell r="F7172" t="str">
            <v>Other</v>
          </cell>
          <cell r="G7172" t="str">
            <v>Other</v>
          </cell>
          <cell r="H7172" t="str">
            <v>OTHER</v>
          </cell>
          <cell r="I7172" t="str">
            <v>Other - Index</v>
          </cell>
        </row>
        <row r="7173">
          <cell r="A7173" t="str">
            <v>MSJSPRDLH</v>
          </cell>
          <cell r="B7173" t="str">
            <v>MSCI Japan SRI Net 100% EUR H</v>
          </cell>
          <cell r="C7173" t="str">
            <v>-BRS_GOLD_1:MSJSPRDLH</v>
          </cell>
          <cell r="D7173" t="str">
            <v>Index</v>
          </cell>
          <cell r="E7173" t="str">
            <v>Index Level</v>
          </cell>
          <cell r="F7173" t="str">
            <v>Other</v>
          </cell>
          <cell r="G7173" t="str">
            <v>Other</v>
          </cell>
          <cell r="H7173" t="str">
            <v>OTHER</v>
          </cell>
          <cell r="I7173" t="str">
            <v>Other - Index</v>
          </cell>
        </row>
        <row r="7174">
          <cell r="A7174" t="str">
            <v>MSJXCWEUR</v>
          </cell>
          <cell r="B7174" t="str">
            <v>MSCI JP EX CONTR WEAP EUR GTR</v>
          </cell>
          <cell r="C7174" t="str">
            <v>-BRS_GOLD_1:MSJXCWEUR</v>
          </cell>
          <cell r="D7174" t="str">
            <v>Index</v>
          </cell>
          <cell r="E7174" t="str">
            <v>Index Level</v>
          </cell>
          <cell r="F7174" t="str">
            <v>Other</v>
          </cell>
          <cell r="G7174" t="str">
            <v>Other</v>
          </cell>
          <cell r="H7174" t="str">
            <v>OTHER</v>
          </cell>
          <cell r="I7174" t="str">
            <v>Other - Index</v>
          </cell>
        </row>
        <row r="7175">
          <cell r="A7175" t="str">
            <v>MSKLD400SN</v>
          </cell>
          <cell r="B7175" t="str">
            <v>MSCI KLD 400 Social Index N</v>
          </cell>
          <cell r="C7175" t="str">
            <v>-BRS_GOLD_1:MSKLD400SN</v>
          </cell>
          <cell r="D7175" t="str">
            <v>Index</v>
          </cell>
          <cell r="E7175" t="str">
            <v>Index Level</v>
          </cell>
          <cell r="F7175" t="str">
            <v>Other</v>
          </cell>
          <cell r="G7175" t="str">
            <v>Other</v>
          </cell>
          <cell r="H7175" t="str">
            <v>OTHER</v>
          </cell>
          <cell r="I7175" t="str">
            <v>Other - Index</v>
          </cell>
        </row>
        <row r="7176">
          <cell r="A7176" t="str">
            <v>MSKLD400SO</v>
          </cell>
          <cell r="B7176" t="str">
            <v>MSCI KLD 400 Social MSKLD400SO</v>
          </cell>
          <cell r="C7176" t="str">
            <v>-BRS_GOLD_1:MSKLD400SO</v>
          </cell>
          <cell r="D7176" t="str">
            <v>Index</v>
          </cell>
          <cell r="E7176" t="str">
            <v>Index Level</v>
          </cell>
          <cell r="F7176" t="str">
            <v>Other</v>
          </cell>
          <cell r="G7176" t="str">
            <v>Other</v>
          </cell>
          <cell r="H7176" t="str">
            <v>OTHER</v>
          </cell>
          <cell r="I7176" t="str">
            <v>Other - Index</v>
          </cell>
        </row>
        <row r="7177">
          <cell r="A7177" t="str">
            <v>MSKLD400SR</v>
          </cell>
          <cell r="B7177" t="str">
            <v>MSCI KLD 400 Social MSKLD400SR</v>
          </cell>
          <cell r="C7177" t="str">
            <v>-BRS_GOLD_1:MSKLD400SR</v>
          </cell>
          <cell r="D7177" t="str">
            <v>Index</v>
          </cell>
          <cell r="E7177" t="str">
            <v>Index Level</v>
          </cell>
          <cell r="F7177" t="str">
            <v>Other</v>
          </cell>
          <cell r="G7177" t="str">
            <v>Other</v>
          </cell>
          <cell r="H7177" t="str">
            <v>OTHER</v>
          </cell>
          <cell r="I7177" t="str">
            <v>Other - Index</v>
          </cell>
        </row>
        <row r="7178">
          <cell r="A7178" t="str">
            <v>MSLCTIG</v>
          </cell>
          <cell r="B7178" t="str">
            <v>MSCI ACWI Low Carbon Gross TR</v>
          </cell>
          <cell r="C7178" t="str">
            <v>-BRS_GOLD_1:MSLCTIG</v>
          </cell>
          <cell r="D7178" t="str">
            <v>Index</v>
          </cell>
          <cell r="E7178" t="str">
            <v>Index Level</v>
          </cell>
          <cell r="F7178" t="str">
            <v>Other</v>
          </cell>
          <cell r="G7178" t="str">
            <v>Other</v>
          </cell>
          <cell r="H7178" t="str">
            <v>OTHER</v>
          </cell>
          <cell r="I7178" t="str">
            <v>Other - Index</v>
          </cell>
        </row>
        <row r="7179">
          <cell r="A7179" t="str">
            <v>MSLCTIN</v>
          </cell>
          <cell r="B7179" t="str">
            <v>MSCI ACWI Low Carbon Net TR</v>
          </cell>
          <cell r="C7179" t="str">
            <v>-BRS_GOLD_1:MSLCTIN</v>
          </cell>
          <cell r="D7179" t="str">
            <v>Index</v>
          </cell>
          <cell r="E7179" t="str">
            <v>Index Level</v>
          </cell>
          <cell r="F7179" t="str">
            <v>Other</v>
          </cell>
          <cell r="G7179" t="str">
            <v>Other</v>
          </cell>
          <cell r="H7179" t="str">
            <v>OTHER</v>
          </cell>
          <cell r="I7179" t="str">
            <v>Other - Index</v>
          </cell>
        </row>
        <row r="7180">
          <cell r="A7180" t="str">
            <v>MSLCTIP</v>
          </cell>
          <cell r="B7180" t="str">
            <v>MSCI ACWI Low Carbon Price</v>
          </cell>
          <cell r="C7180" t="str">
            <v>-BRS_GOLD_1:MSLCTIP</v>
          </cell>
          <cell r="D7180" t="str">
            <v>Index</v>
          </cell>
          <cell r="E7180" t="str">
            <v>Index Level</v>
          </cell>
          <cell r="F7180" t="str">
            <v>Other</v>
          </cell>
          <cell r="G7180" t="str">
            <v>Other</v>
          </cell>
          <cell r="H7180" t="str">
            <v>OTHER</v>
          </cell>
          <cell r="I7180" t="str">
            <v>Other - Index</v>
          </cell>
        </row>
        <row r="7181">
          <cell r="A7181" t="str">
            <v>MSLWCARBTG</v>
          </cell>
          <cell r="B7181" t="str">
            <v>MSCI World Custom LC Targ</v>
          </cell>
          <cell r="C7181" t="str">
            <v>-BRS_GOLD_1:MSLWCARBTG</v>
          </cell>
          <cell r="D7181" t="str">
            <v>Index</v>
          </cell>
          <cell r="E7181" t="str">
            <v>Index Level</v>
          </cell>
          <cell r="F7181" t="str">
            <v>Other</v>
          </cell>
          <cell r="G7181" t="str">
            <v>Other</v>
          </cell>
          <cell r="H7181" t="str">
            <v>OTHER</v>
          </cell>
          <cell r="I7181" t="str">
            <v>Other - Index</v>
          </cell>
        </row>
        <row r="7182">
          <cell r="A7182" t="str">
            <v>MSLWCARBTN</v>
          </cell>
          <cell r="B7182" t="str">
            <v>MSCI World Custom LC Targ N</v>
          </cell>
          <cell r="C7182" t="str">
            <v>-BRS_GOLD_1:MSLWCARBTN</v>
          </cell>
          <cell r="D7182" t="str">
            <v>Index</v>
          </cell>
          <cell r="E7182" t="str">
            <v>Index Level</v>
          </cell>
          <cell r="F7182" t="str">
            <v>Other</v>
          </cell>
          <cell r="G7182" t="str">
            <v>Other</v>
          </cell>
          <cell r="H7182" t="str">
            <v>OTHER</v>
          </cell>
          <cell r="I7182" t="str">
            <v>Other - Index</v>
          </cell>
        </row>
        <row r="7183">
          <cell r="A7183" t="str">
            <v>MSLWCARBTP</v>
          </cell>
          <cell r="B7183" t="str">
            <v>MSCI World Custom LC Targ P</v>
          </cell>
          <cell r="C7183" t="str">
            <v>-BRS_GOLD_1:MSLWCARBTP</v>
          </cell>
          <cell r="D7183" t="str">
            <v>Index</v>
          </cell>
          <cell r="E7183" t="str">
            <v>Index Level</v>
          </cell>
          <cell r="F7183" t="str">
            <v>Other</v>
          </cell>
          <cell r="G7183" t="str">
            <v>Other</v>
          </cell>
          <cell r="H7183" t="str">
            <v>OTHER</v>
          </cell>
          <cell r="I7183" t="str">
            <v>Other - Index</v>
          </cell>
        </row>
        <row r="7184">
          <cell r="A7184" t="str">
            <v>MSMTRL_LCL</v>
          </cell>
          <cell r="B7184" t="str">
            <v>MSCI World Materials</v>
          </cell>
          <cell r="C7184" t="str">
            <v>-BRS_GOLD_1:MSMTRL_LCL</v>
          </cell>
          <cell r="D7184" t="str">
            <v>Index</v>
          </cell>
          <cell r="E7184" t="str">
            <v>Index Level</v>
          </cell>
          <cell r="F7184" t="str">
            <v>Other</v>
          </cell>
          <cell r="G7184" t="str">
            <v>Other</v>
          </cell>
          <cell r="H7184" t="str">
            <v>OTHER</v>
          </cell>
          <cell r="I7184" t="str">
            <v>Other - Index</v>
          </cell>
        </row>
        <row r="7185">
          <cell r="A7185" t="str">
            <v>MSMXESGSFG</v>
          </cell>
          <cell r="B7185" t="str">
            <v>MSCI Mexico ESG Select Focus</v>
          </cell>
          <cell r="C7185" t="str">
            <v>-BRS_GOLD_1:MSMXESGSFG</v>
          </cell>
          <cell r="D7185" t="str">
            <v>Index</v>
          </cell>
          <cell r="E7185" t="str">
            <v>Index Level</v>
          </cell>
          <cell r="F7185" t="str">
            <v>Other</v>
          </cell>
          <cell r="G7185" t="str">
            <v>Other</v>
          </cell>
          <cell r="H7185" t="str">
            <v>OTHER</v>
          </cell>
          <cell r="I7185" t="str">
            <v>Other - Index</v>
          </cell>
        </row>
        <row r="7186">
          <cell r="A7186" t="str">
            <v>MSMXESGSFN</v>
          </cell>
          <cell r="B7186" t="str">
            <v>MSCI Mexico ESG Select Foc N</v>
          </cell>
          <cell r="C7186" t="str">
            <v>-BRS_GOLD_1:MSMXESGSFN</v>
          </cell>
          <cell r="D7186" t="str">
            <v>Index</v>
          </cell>
          <cell r="E7186" t="str">
            <v>Index Level</v>
          </cell>
          <cell r="F7186" t="str">
            <v>Other</v>
          </cell>
          <cell r="G7186" t="str">
            <v>Other</v>
          </cell>
          <cell r="H7186" t="str">
            <v>OTHER</v>
          </cell>
          <cell r="I7186" t="str">
            <v>Other - Index</v>
          </cell>
        </row>
        <row r="7187">
          <cell r="A7187" t="str">
            <v>MSMXESGSFP</v>
          </cell>
          <cell r="B7187" t="str">
            <v>MSCI Mexico ESG Select Foc P</v>
          </cell>
          <cell r="C7187" t="str">
            <v>-BRS_GOLD_1:MSMXESGSFP</v>
          </cell>
          <cell r="D7187" t="str">
            <v>Index</v>
          </cell>
          <cell r="E7187" t="str">
            <v>Index Level</v>
          </cell>
          <cell r="F7187" t="str">
            <v>Other</v>
          </cell>
          <cell r="G7187" t="str">
            <v>Other</v>
          </cell>
          <cell r="H7187" t="str">
            <v>OTHER</v>
          </cell>
          <cell r="I7187" t="str">
            <v>Other - Index</v>
          </cell>
        </row>
        <row r="7188">
          <cell r="A7188" t="str">
            <v>MSNAMR_LCL</v>
          </cell>
          <cell r="B7188" t="str">
            <v>MSCI North America (Loc)</v>
          </cell>
          <cell r="C7188" t="str">
            <v>-BRS_GOLD_1:MSNAMR_LCL</v>
          </cell>
          <cell r="D7188" t="str">
            <v>Index</v>
          </cell>
          <cell r="E7188" t="str">
            <v>Index Level</v>
          </cell>
          <cell r="F7188" t="str">
            <v>Other</v>
          </cell>
          <cell r="G7188" t="str">
            <v>Other</v>
          </cell>
          <cell r="H7188" t="str">
            <v>OTHER</v>
          </cell>
          <cell r="I7188" t="str">
            <v>Other - Index</v>
          </cell>
        </row>
        <row r="7189">
          <cell r="A7189" t="str">
            <v>MSNAXABKA</v>
          </cell>
          <cell r="B7189" t="str">
            <v>MSCI NA ex CONTROV WEAP Price</v>
          </cell>
          <cell r="C7189" t="str">
            <v>-BRS_GOLD_1:MSNAXABKA</v>
          </cell>
          <cell r="D7189" t="str">
            <v>Index</v>
          </cell>
          <cell r="E7189" t="str">
            <v>Index Level</v>
          </cell>
          <cell r="F7189" t="str">
            <v>Other</v>
          </cell>
          <cell r="G7189" t="str">
            <v>Other</v>
          </cell>
          <cell r="H7189" t="str">
            <v>OTHER</v>
          </cell>
          <cell r="I7189" t="str">
            <v>Other - Index</v>
          </cell>
        </row>
        <row r="7190">
          <cell r="A7190" t="str">
            <v>MSNAXAWCA</v>
          </cell>
          <cell r="B7190" t="str">
            <v>MSCI NA ex CONTROV WEAP Gross</v>
          </cell>
          <cell r="C7190" t="str">
            <v>-BRS_GOLD_1:MSNAXAWCA</v>
          </cell>
          <cell r="D7190" t="str">
            <v>Index</v>
          </cell>
          <cell r="E7190" t="str">
            <v>Index Level</v>
          </cell>
          <cell r="F7190" t="str">
            <v>Other</v>
          </cell>
          <cell r="G7190" t="str">
            <v>Other</v>
          </cell>
          <cell r="H7190" t="str">
            <v>OTHER</v>
          </cell>
          <cell r="I7190" t="str">
            <v>Other - Index</v>
          </cell>
        </row>
        <row r="7191">
          <cell r="A7191" t="str">
            <v>MSNAXCWEP</v>
          </cell>
          <cell r="B7191" t="str">
            <v>MSCI NA ex CONTROV WEAP N USD</v>
          </cell>
          <cell r="C7191" t="str">
            <v>-BRS_GOLD_1:MSNAXCWEP</v>
          </cell>
          <cell r="D7191" t="str">
            <v>Index</v>
          </cell>
          <cell r="E7191" t="str">
            <v>Index Level</v>
          </cell>
          <cell r="F7191" t="str">
            <v>Other</v>
          </cell>
          <cell r="G7191" t="str">
            <v>Other</v>
          </cell>
          <cell r="H7191" t="str">
            <v>OTHER</v>
          </cell>
          <cell r="I7191" t="str">
            <v>Other - Index</v>
          </cell>
        </row>
        <row r="7192">
          <cell r="A7192" t="str">
            <v>MSPAEXJPFL</v>
          </cell>
          <cell r="B7192" t="str">
            <v>MSCI PacxJp ex Cont Wea Float</v>
          </cell>
          <cell r="C7192" t="str">
            <v>-BRS_GOLD_1:MSPAEXJPFL</v>
          </cell>
          <cell r="D7192" t="str">
            <v>Index</v>
          </cell>
          <cell r="E7192" t="str">
            <v>Index Level</v>
          </cell>
          <cell r="F7192" t="str">
            <v>Other</v>
          </cell>
          <cell r="G7192" t="str">
            <v>Other</v>
          </cell>
          <cell r="H7192" t="str">
            <v>OTHER</v>
          </cell>
          <cell r="I7192" t="str">
            <v>Other - Index</v>
          </cell>
        </row>
        <row r="7193">
          <cell r="A7193" t="str">
            <v>MSPASIEXJP</v>
          </cell>
          <cell r="B7193" t="str">
            <v>MSCI Pac ex Japan ex Cont Wea</v>
          </cell>
          <cell r="C7193" t="str">
            <v>-BRS_GOLD_1:MSPASIEXJP</v>
          </cell>
          <cell r="D7193" t="str">
            <v>Index</v>
          </cell>
          <cell r="E7193" t="str">
            <v>Index Level</v>
          </cell>
          <cell r="F7193" t="str">
            <v>Other</v>
          </cell>
          <cell r="G7193" t="str">
            <v>Other</v>
          </cell>
          <cell r="H7193" t="str">
            <v>OTHER</v>
          </cell>
          <cell r="I7193" t="str">
            <v>Other - Index</v>
          </cell>
        </row>
        <row r="7194">
          <cell r="A7194" t="str">
            <v>MSPXCWNET</v>
          </cell>
          <cell r="B7194" t="str">
            <v>MSCI Pac ex Contr weap US N</v>
          </cell>
          <cell r="C7194" t="str">
            <v>-BRS_GOLD_1:MSPXCWNET</v>
          </cell>
          <cell r="D7194" t="str">
            <v>Index</v>
          </cell>
          <cell r="E7194" t="str">
            <v>Index Level</v>
          </cell>
          <cell r="F7194" t="str">
            <v>Other</v>
          </cell>
          <cell r="G7194" t="str">
            <v>Other</v>
          </cell>
          <cell r="H7194" t="str">
            <v>OTHER</v>
          </cell>
          <cell r="I7194" t="str">
            <v>Other - Index</v>
          </cell>
        </row>
        <row r="7195">
          <cell r="A7195" t="str">
            <v>MSRFOSEMGG</v>
          </cell>
          <cell r="B7195" t="str">
            <v>MSCI EM SRI RED FF MSRFOSEMGG</v>
          </cell>
          <cell r="C7195" t="str">
            <v>-BRS_GOLD_1:MSRFOSEMGG</v>
          </cell>
          <cell r="D7195" t="str">
            <v>Index</v>
          </cell>
          <cell r="E7195" t="str">
            <v>Index Level</v>
          </cell>
          <cell r="F7195" t="str">
            <v>Other</v>
          </cell>
          <cell r="G7195" t="str">
            <v>Other</v>
          </cell>
          <cell r="H7195" t="str">
            <v>OTHER</v>
          </cell>
          <cell r="I7195" t="str">
            <v>Other - Index</v>
          </cell>
        </row>
        <row r="7196">
          <cell r="A7196" t="str">
            <v>MSRFOSEMGN</v>
          </cell>
          <cell r="B7196" t="str">
            <v>MSCI EM SRI REDUCED FF N</v>
          </cell>
          <cell r="C7196" t="str">
            <v>-BRS_GOLD_1:MSRFOSEMGN</v>
          </cell>
          <cell r="D7196" t="str">
            <v>Index</v>
          </cell>
          <cell r="E7196" t="str">
            <v>Index Level</v>
          </cell>
          <cell r="F7196" t="str">
            <v>Other</v>
          </cell>
          <cell r="G7196" t="str">
            <v>Other</v>
          </cell>
          <cell r="H7196" t="str">
            <v>OTHER</v>
          </cell>
          <cell r="I7196" t="str">
            <v>Other - Index</v>
          </cell>
        </row>
        <row r="7197">
          <cell r="A7197" t="str">
            <v>MSRFOSEMUG</v>
          </cell>
          <cell r="B7197" t="str">
            <v>MSCI EMU SRI REDUCED FF</v>
          </cell>
          <cell r="C7197" t="str">
            <v>-BRS_GOLD_1:MSRFOSEMUG</v>
          </cell>
          <cell r="D7197" t="str">
            <v>Index</v>
          </cell>
          <cell r="E7197" t="str">
            <v>Index Level</v>
          </cell>
          <cell r="F7197" t="str">
            <v>Other</v>
          </cell>
          <cell r="G7197" t="str">
            <v>Other</v>
          </cell>
          <cell r="H7197" t="str">
            <v>OTHER</v>
          </cell>
          <cell r="I7197" t="str">
            <v>Other - Index</v>
          </cell>
        </row>
        <row r="7198">
          <cell r="A7198" t="str">
            <v>MSRFOSEMUN</v>
          </cell>
          <cell r="B7198" t="str">
            <v>MSCI EMU SRI REDUCED FF N</v>
          </cell>
          <cell r="C7198" t="str">
            <v>-BRS_GOLD_1:MSRFOSEMUN</v>
          </cell>
          <cell r="D7198" t="str">
            <v>Index</v>
          </cell>
          <cell r="E7198" t="str">
            <v>Index Level</v>
          </cell>
          <cell r="F7198" t="str">
            <v>Other</v>
          </cell>
          <cell r="G7198" t="str">
            <v>Other</v>
          </cell>
          <cell r="H7198" t="str">
            <v>OTHER</v>
          </cell>
          <cell r="I7198" t="str">
            <v>Other - Index</v>
          </cell>
        </row>
        <row r="7199">
          <cell r="A7199" t="str">
            <v>MSRFOSEURG</v>
          </cell>
          <cell r="B7199" t="str">
            <v>MSCI EU SRI REDUCED FF EURG</v>
          </cell>
          <cell r="C7199" t="str">
            <v>-BRS_GOLD_1:MSRFOSEURG</v>
          </cell>
          <cell r="D7199" t="str">
            <v>Index</v>
          </cell>
          <cell r="E7199" t="str">
            <v>Index Level</v>
          </cell>
          <cell r="F7199" t="str">
            <v>Other</v>
          </cell>
          <cell r="G7199" t="str">
            <v>Other</v>
          </cell>
          <cell r="H7199" t="str">
            <v>OTHER</v>
          </cell>
          <cell r="I7199" t="str">
            <v>Other - Index</v>
          </cell>
        </row>
        <row r="7200">
          <cell r="A7200" t="str">
            <v>MSRFOSEURN</v>
          </cell>
          <cell r="B7200" t="str">
            <v>MSCI EU SRI REDUCED FF N</v>
          </cell>
          <cell r="C7200" t="str">
            <v>-BRS_GOLD_1:MSRFOSEURN</v>
          </cell>
          <cell r="D7200" t="str">
            <v>Index</v>
          </cell>
          <cell r="E7200" t="str">
            <v>Index Level</v>
          </cell>
          <cell r="F7200" t="str">
            <v>Other</v>
          </cell>
          <cell r="G7200" t="str">
            <v>Other</v>
          </cell>
          <cell r="H7200" t="str">
            <v>OTHER</v>
          </cell>
          <cell r="I7200" t="str">
            <v>Other - Index</v>
          </cell>
        </row>
        <row r="7201">
          <cell r="A7201" t="str">
            <v>MSRFOSEUSD</v>
          </cell>
          <cell r="B7201" t="str">
            <v>MSCI EU SRI REDUCED FF N USD</v>
          </cell>
          <cell r="C7201" t="str">
            <v>-BRS_GOLD_1:MSRFOSEUSD</v>
          </cell>
          <cell r="D7201" t="str">
            <v>Index</v>
          </cell>
          <cell r="E7201" t="str">
            <v>Index Level</v>
          </cell>
          <cell r="F7201" t="str">
            <v>Other</v>
          </cell>
          <cell r="G7201" t="str">
            <v>Other</v>
          </cell>
          <cell r="H7201" t="str">
            <v>OTHER</v>
          </cell>
          <cell r="I7201" t="str">
            <v>Other - Index</v>
          </cell>
        </row>
        <row r="7202">
          <cell r="A7202" t="str">
            <v>MSRFOSNGB</v>
          </cell>
          <cell r="B7202" t="str">
            <v>MSCI WRL SRI REDUCED FF N GBP</v>
          </cell>
          <cell r="C7202" t="str">
            <v>-BRS_GOLD_1:MSRFOSNGB</v>
          </cell>
          <cell r="D7202" t="str">
            <v>Index</v>
          </cell>
          <cell r="E7202" t="str">
            <v>Index Level</v>
          </cell>
          <cell r="F7202" t="str">
            <v>Other</v>
          </cell>
          <cell r="G7202" t="str">
            <v>Other</v>
          </cell>
          <cell r="H7202" t="str">
            <v>OTHER</v>
          </cell>
          <cell r="I7202" t="str">
            <v>Other - Index</v>
          </cell>
        </row>
        <row r="7203">
          <cell r="A7203" t="str">
            <v>MSRFOSUSAG</v>
          </cell>
          <cell r="B7203" t="str">
            <v>MSCI USA SRI REDUCED FF USAG</v>
          </cell>
          <cell r="C7203" t="str">
            <v>-BRS_GOLD_1:MSRFOSUSAG</v>
          </cell>
          <cell r="D7203" t="str">
            <v>Index</v>
          </cell>
          <cell r="E7203" t="str">
            <v>Index Level</v>
          </cell>
          <cell r="F7203" t="str">
            <v>Other</v>
          </cell>
          <cell r="G7203" t="str">
            <v>Other</v>
          </cell>
          <cell r="H7203" t="str">
            <v>OTHER</v>
          </cell>
          <cell r="I7203" t="str">
            <v>Other - Index</v>
          </cell>
        </row>
        <row r="7204">
          <cell r="A7204" t="str">
            <v>MSRFOSUSAN</v>
          </cell>
          <cell r="B7204" t="str">
            <v>MSCI USA SRI REDUCED FF N</v>
          </cell>
          <cell r="C7204" t="str">
            <v>-BRS_GOLD_1:MSRFOSUSAN</v>
          </cell>
          <cell r="D7204" t="str">
            <v>Index</v>
          </cell>
          <cell r="E7204" t="str">
            <v>Index Level</v>
          </cell>
          <cell r="F7204" t="str">
            <v>Other</v>
          </cell>
          <cell r="G7204" t="str">
            <v>Other</v>
          </cell>
          <cell r="H7204" t="str">
            <v>OTHER</v>
          </cell>
          <cell r="I7204" t="str">
            <v>Other - Index</v>
          </cell>
        </row>
        <row r="7205">
          <cell r="A7205" t="str">
            <v>MSRFOSWRDG</v>
          </cell>
          <cell r="B7205" t="str">
            <v>MSCI WRL SRI REDUCED FF</v>
          </cell>
          <cell r="C7205" t="str">
            <v>-BRS_GOLD_1:MSRFOSWRDG</v>
          </cell>
          <cell r="D7205" t="str">
            <v>Index</v>
          </cell>
          <cell r="E7205" t="str">
            <v>Index Level</v>
          </cell>
          <cell r="F7205" t="str">
            <v>Other</v>
          </cell>
          <cell r="G7205" t="str">
            <v>Other</v>
          </cell>
          <cell r="H7205" t="str">
            <v>OTHER</v>
          </cell>
          <cell r="I7205" t="str">
            <v>Other - Index</v>
          </cell>
        </row>
        <row r="7206">
          <cell r="A7206" t="str">
            <v>MSRFOSWRDN</v>
          </cell>
          <cell r="B7206" t="str">
            <v>MSCI WRL SRI REDUCED FF N</v>
          </cell>
          <cell r="C7206" t="str">
            <v>-BRS_GOLD_1:MSRFOSWRDN</v>
          </cell>
          <cell r="D7206" t="str">
            <v>Index</v>
          </cell>
          <cell r="E7206" t="str">
            <v>Index Level</v>
          </cell>
          <cell r="F7206" t="str">
            <v>Other</v>
          </cell>
          <cell r="G7206" t="str">
            <v>Other</v>
          </cell>
          <cell r="H7206" t="str">
            <v>OTHER</v>
          </cell>
          <cell r="I7206" t="str">
            <v>Other - Index</v>
          </cell>
        </row>
        <row r="7207">
          <cell r="A7207" t="str">
            <v>MSRFOSWRNE</v>
          </cell>
          <cell r="B7207" t="str">
            <v>MSCI WRL SRI REDUCED FF N EUR</v>
          </cell>
          <cell r="C7207" t="str">
            <v>-BRS_GOLD_1:MSRFOSWRNE</v>
          </cell>
          <cell r="D7207" t="str">
            <v>Index</v>
          </cell>
          <cell r="E7207" t="str">
            <v>Index Level</v>
          </cell>
          <cell r="F7207" t="str">
            <v>Other</v>
          </cell>
          <cell r="G7207" t="str">
            <v>Other</v>
          </cell>
          <cell r="H7207" t="str">
            <v>OTHER</v>
          </cell>
          <cell r="I7207" t="str">
            <v>Other - Index</v>
          </cell>
        </row>
        <row r="7208">
          <cell r="A7208" t="str">
            <v>MSTLCM_LCL</v>
          </cell>
          <cell r="B7208" t="str">
            <v>MSCI World Telecommunications</v>
          </cell>
          <cell r="C7208" t="str">
            <v>-BRS_GOLD_1:MSTLCM_LCL</v>
          </cell>
          <cell r="D7208" t="str">
            <v>Index</v>
          </cell>
          <cell r="E7208" t="str">
            <v>Index Level</v>
          </cell>
          <cell r="F7208" t="str">
            <v>Other</v>
          </cell>
          <cell r="G7208" t="str">
            <v>Other</v>
          </cell>
          <cell r="H7208" t="str">
            <v>OTHER</v>
          </cell>
          <cell r="I7208" t="str">
            <v>Other - Index</v>
          </cell>
        </row>
        <row r="7209">
          <cell r="A7209" t="str">
            <v>MSUECWEURC</v>
          </cell>
          <cell r="B7209" t="str">
            <v>MSCI USA ex Contr Wea EUR N</v>
          </cell>
          <cell r="C7209" t="str">
            <v>-BRS_GOLD_1:MSUECWEURC</v>
          </cell>
          <cell r="D7209" t="str">
            <v>Index</v>
          </cell>
          <cell r="E7209" t="str">
            <v>Index Level</v>
          </cell>
          <cell r="F7209" t="str">
            <v>Other</v>
          </cell>
          <cell r="G7209" t="str">
            <v>Other</v>
          </cell>
          <cell r="H7209" t="str">
            <v>OTHER</v>
          </cell>
          <cell r="I7209" t="str">
            <v>Other - Index</v>
          </cell>
        </row>
        <row r="7210">
          <cell r="A7210" t="str">
            <v>MSUESGCAD</v>
          </cell>
          <cell r="B7210" t="str">
            <v>MSCI USA Extended ESG Lead G</v>
          </cell>
          <cell r="C7210" t="str">
            <v>-BRS_GOLD_1:MSUESGCAD</v>
          </cell>
          <cell r="D7210" t="str">
            <v>Index</v>
          </cell>
          <cell r="E7210" t="str">
            <v>Index Level</v>
          </cell>
          <cell r="F7210" t="str">
            <v>Other</v>
          </cell>
          <cell r="G7210" t="str">
            <v>Other</v>
          </cell>
          <cell r="H7210" t="str">
            <v>OTHER</v>
          </cell>
          <cell r="I7210" t="str">
            <v>Other - Index</v>
          </cell>
        </row>
        <row r="7211">
          <cell r="A7211" t="str">
            <v>MSUESGUSD</v>
          </cell>
          <cell r="B7211" t="str">
            <v>MSCI USA Extended ESG Leaders</v>
          </cell>
          <cell r="C7211" t="str">
            <v>-BRS_GOLD_1:MSUESGUSD</v>
          </cell>
          <cell r="D7211" t="str">
            <v>Index</v>
          </cell>
          <cell r="E7211" t="str">
            <v>Index Level</v>
          </cell>
          <cell r="F7211" t="str">
            <v>Other</v>
          </cell>
          <cell r="G7211" t="str">
            <v>Other</v>
          </cell>
          <cell r="H7211" t="str">
            <v>OTHER</v>
          </cell>
          <cell r="I7211" t="str">
            <v>Other - Index</v>
          </cell>
        </row>
        <row r="7212">
          <cell r="A7212" t="str">
            <v>MSUESGUSN</v>
          </cell>
          <cell r="B7212" t="str">
            <v>MSCI USA Extended ESG LeadN</v>
          </cell>
          <cell r="C7212" t="str">
            <v>-BRS_GOLD_1:MSUESGUSN</v>
          </cell>
          <cell r="D7212" t="str">
            <v>Index</v>
          </cell>
          <cell r="E7212" t="str">
            <v>Index Level</v>
          </cell>
          <cell r="F7212" t="str">
            <v>Other</v>
          </cell>
          <cell r="G7212" t="str">
            <v>Other</v>
          </cell>
          <cell r="H7212" t="str">
            <v>OTHER</v>
          </cell>
          <cell r="I7212" t="str">
            <v>Other - Index</v>
          </cell>
        </row>
        <row r="7213">
          <cell r="A7213" t="str">
            <v>MSUESGUSP</v>
          </cell>
          <cell r="B7213" t="str">
            <v>MSCI USA Extd ESG Lead P</v>
          </cell>
          <cell r="C7213" t="str">
            <v>-BRS_GOLD_1:MSUESGUSP</v>
          </cell>
          <cell r="D7213" t="str">
            <v>Index</v>
          </cell>
          <cell r="E7213" t="str">
            <v>Index Level</v>
          </cell>
          <cell r="F7213" t="str">
            <v>Other</v>
          </cell>
          <cell r="G7213" t="str">
            <v>Other</v>
          </cell>
          <cell r="H7213" t="str">
            <v>OTHER</v>
          </cell>
          <cell r="I7213" t="str">
            <v>Other - Index</v>
          </cell>
        </row>
        <row r="7214">
          <cell r="A7214" t="str">
            <v>MSUESNCAD</v>
          </cell>
          <cell r="B7214" t="str">
            <v>MSCI USA Extd ESG Lead NCAD</v>
          </cell>
          <cell r="C7214" t="str">
            <v>-BRS_GOLD_1:MSUESNCAD</v>
          </cell>
          <cell r="D7214" t="str">
            <v>Index</v>
          </cell>
          <cell r="E7214" t="str">
            <v>Index Level</v>
          </cell>
          <cell r="F7214" t="str">
            <v>Other</v>
          </cell>
          <cell r="G7214" t="str">
            <v>Other</v>
          </cell>
          <cell r="H7214" t="str">
            <v>OTHER</v>
          </cell>
          <cell r="I7214" t="str">
            <v>Other - Index</v>
          </cell>
        </row>
        <row r="7215">
          <cell r="A7215" t="str">
            <v>MSUESPCAD</v>
          </cell>
          <cell r="B7215" t="str">
            <v>MSCI USA Extd ESG Lead PCAD</v>
          </cell>
          <cell r="C7215" t="str">
            <v>-BRS_GOLD_1:MSUESPCAD</v>
          </cell>
          <cell r="D7215" t="str">
            <v>Index</v>
          </cell>
          <cell r="E7215" t="str">
            <v>Index Level</v>
          </cell>
          <cell r="F7215" t="str">
            <v>Other</v>
          </cell>
          <cell r="G7215" t="str">
            <v>Other</v>
          </cell>
          <cell r="H7215" t="str">
            <v>OTHER</v>
          </cell>
          <cell r="I7215" t="str">
            <v>Other - Index</v>
          </cell>
        </row>
        <row r="7216">
          <cell r="A7216" t="str">
            <v>MSUKCWEUR</v>
          </cell>
          <cell r="B7216" t="str">
            <v>MSCI UK ex-Contr Weap EUR</v>
          </cell>
          <cell r="C7216" t="str">
            <v>-BRS_GOLD_1:MSUKCWEUR</v>
          </cell>
          <cell r="D7216" t="str">
            <v>Index</v>
          </cell>
          <cell r="E7216" t="str">
            <v>Index Level</v>
          </cell>
          <cell r="F7216" t="str">
            <v>Other</v>
          </cell>
          <cell r="G7216" t="str">
            <v>Other</v>
          </cell>
          <cell r="H7216" t="str">
            <v>OTHER</v>
          </cell>
          <cell r="I7216" t="str">
            <v>Other - Index</v>
          </cell>
        </row>
        <row r="7217">
          <cell r="A7217" t="str">
            <v>MSUKESGBP</v>
          </cell>
          <cell r="B7217" t="str">
            <v>MSCI UK ESG Leaders (NR) GBP</v>
          </cell>
          <cell r="C7217" t="str">
            <v>-BRS_GOLD_1:MSUKESGBP</v>
          </cell>
          <cell r="D7217" t="str">
            <v>Index</v>
          </cell>
          <cell r="E7217" t="str">
            <v>Index Level</v>
          </cell>
          <cell r="F7217" t="str">
            <v>Other</v>
          </cell>
          <cell r="G7217" t="str">
            <v>Other</v>
          </cell>
          <cell r="H7217" t="str">
            <v>OTHER</v>
          </cell>
          <cell r="I7217" t="str">
            <v>Other - Index</v>
          </cell>
        </row>
        <row r="7218">
          <cell r="A7218" t="str">
            <v>MSUKESGLDG</v>
          </cell>
          <cell r="B7218" t="str">
            <v>MSCI UK ESG Leaders</v>
          </cell>
          <cell r="C7218" t="str">
            <v>-BRS_GOLD_1:MSUKESGLDG</v>
          </cell>
          <cell r="D7218" t="str">
            <v>Index</v>
          </cell>
          <cell r="E7218" t="str">
            <v>Index Level</v>
          </cell>
          <cell r="F7218" t="str">
            <v>Other</v>
          </cell>
          <cell r="G7218" t="str">
            <v>Other</v>
          </cell>
          <cell r="H7218" t="str">
            <v>OTHER</v>
          </cell>
          <cell r="I7218" t="str">
            <v>Other - Index</v>
          </cell>
        </row>
        <row r="7219">
          <cell r="A7219" t="str">
            <v>MSUKESGNE</v>
          </cell>
          <cell r="B7219" t="str">
            <v>MSCI UK ESG Leaders NET Index</v>
          </cell>
          <cell r="C7219" t="str">
            <v>-BRS_GOLD_1:MSUKESGNE</v>
          </cell>
          <cell r="D7219" t="str">
            <v>Index</v>
          </cell>
          <cell r="E7219" t="str">
            <v>Index Level</v>
          </cell>
          <cell r="F7219" t="str">
            <v>Other</v>
          </cell>
          <cell r="G7219" t="str">
            <v>Other</v>
          </cell>
          <cell r="H7219" t="str">
            <v>OTHER</v>
          </cell>
          <cell r="I7219" t="str">
            <v>Other - Index</v>
          </cell>
        </row>
        <row r="7220">
          <cell r="A7220" t="str">
            <v>MSUSAESGR</v>
          </cell>
          <cell r="B7220" t="str">
            <v>MSCI USA Choice ESG Scr G USD</v>
          </cell>
          <cell r="C7220" t="str">
            <v>-BRS_GOLD_1:MSUSAESGR</v>
          </cell>
          <cell r="D7220" t="str">
            <v>Index</v>
          </cell>
          <cell r="E7220" t="str">
            <v>Index Level</v>
          </cell>
          <cell r="F7220" t="str">
            <v>Other</v>
          </cell>
          <cell r="G7220" t="str">
            <v>Other</v>
          </cell>
          <cell r="H7220" t="str">
            <v>OTHER</v>
          </cell>
          <cell r="I7220" t="str">
            <v>Other - Index</v>
          </cell>
        </row>
        <row r="7221">
          <cell r="A7221" t="str">
            <v>MSUSAESGSE</v>
          </cell>
          <cell r="B7221" t="str">
            <v>MSCI USA ESG Select Index</v>
          </cell>
          <cell r="C7221" t="str">
            <v>-BRS_GOLD_1:MSUSAESGSE</v>
          </cell>
          <cell r="D7221" t="str">
            <v>Index</v>
          </cell>
          <cell r="E7221" t="str">
            <v>Index Level</v>
          </cell>
          <cell r="F7221" t="str">
            <v>Other</v>
          </cell>
          <cell r="G7221" t="str">
            <v>Other</v>
          </cell>
          <cell r="H7221" t="str">
            <v>OTHER</v>
          </cell>
          <cell r="I7221" t="str">
            <v>Other - Index</v>
          </cell>
        </row>
        <row r="7222">
          <cell r="A7222" t="str">
            <v>MSUSAESPR</v>
          </cell>
          <cell r="B7222" t="str">
            <v>MSCI USA Choice ESG Scr P USD</v>
          </cell>
          <cell r="C7222" t="str">
            <v>-BRS_GOLD_1:MSUSAESPR</v>
          </cell>
          <cell r="D7222" t="str">
            <v>Index</v>
          </cell>
          <cell r="E7222" t="str">
            <v>Index Level</v>
          </cell>
          <cell r="F7222" t="str">
            <v>Other</v>
          </cell>
          <cell r="G7222" t="str">
            <v>Other</v>
          </cell>
          <cell r="H7222" t="str">
            <v>OTHER</v>
          </cell>
          <cell r="I7222" t="str">
            <v>Other - Index</v>
          </cell>
        </row>
        <row r="7223">
          <cell r="A7223" t="str">
            <v>MSUSESG</v>
          </cell>
          <cell r="B7223" t="str">
            <v>MSCI USA ESG Lea LCxT 5% USD</v>
          </cell>
          <cell r="C7223" t="str">
            <v>-BRS_GOLD_1:MSUSESG</v>
          </cell>
          <cell r="D7223" t="str">
            <v>Index</v>
          </cell>
          <cell r="E7223" t="str">
            <v>Index Level</v>
          </cell>
          <cell r="F7223" t="str">
            <v>Other</v>
          </cell>
          <cell r="G7223" t="str">
            <v>Other</v>
          </cell>
          <cell r="H7223" t="str">
            <v>OTHER</v>
          </cell>
          <cell r="I7223" t="str">
            <v>Other - Index</v>
          </cell>
        </row>
        <row r="7224">
          <cell r="A7224" t="str">
            <v>MSUSESGCRG</v>
          </cell>
          <cell r="B7224" t="str">
            <v>MSCI USA ESG SCREENED Gross R</v>
          </cell>
          <cell r="C7224" t="str">
            <v>-BRS_GOLD_1:MSUSESGCRG</v>
          </cell>
          <cell r="D7224" t="str">
            <v>Index</v>
          </cell>
          <cell r="E7224" t="str">
            <v>Index Level</v>
          </cell>
          <cell r="F7224" t="str">
            <v>Other</v>
          </cell>
          <cell r="G7224" t="str">
            <v>Other</v>
          </cell>
          <cell r="H7224" t="str">
            <v>OTHER</v>
          </cell>
          <cell r="I7224" t="str">
            <v>Other - Index</v>
          </cell>
        </row>
        <row r="7225">
          <cell r="A7225" t="str">
            <v>MSUSESGCRN</v>
          </cell>
          <cell r="B7225" t="str">
            <v>MSCI USA ESG SCREENED</v>
          </cell>
          <cell r="C7225" t="str">
            <v>-BRS_GOLD_1:MSUSESGCRN</v>
          </cell>
          <cell r="D7225" t="str">
            <v>Index</v>
          </cell>
          <cell r="E7225" t="str">
            <v>Index Level</v>
          </cell>
          <cell r="F7225" t="str">
            <v>Other</v>
          </cell>
          <cell r="G7225" t="str">
            <v>Other</v>
          </cell>
          <cell r="H7225" t="str">
            <v>OTHER</v>
          </cell>
          <cell r="I7225" t="str">
            <v>Other - Index</v>
          </cell>
        </row>
        <row r="7226">
          <cell r="A7226" t="str">
            <v>MSUSESGCRP</v>
          </cell>
          <cell r="B7226" t="str">
            <v>MSCI USA ESG SCREENED Price R</v>
          </cell>
          <cell r="C7226" t="str">
            <v>-BRS_GOLD_1:MSUSESGCRP</v>
          </cell>
          <cell r="D7226" t="str">
            <v>Index</v>
          </cell>
          <cell r="E7226" t="str">
            <v>Index Level</v>
          </cell>
          <cell r="F7226" t="str">
            <v>Other</v>
          </cell>
          <cell r="G7226" t="str">
            <v>Other</v>
          </cell>
          <cell r="H7226" t="str">
            <v>OTHER</v>
          </cell>
          <cell r="I7226" t="str">
            <v>Other - Index</v>
          </cell>
        </row>
        <row r="7227">
          <cell r="A7227" t="str">
            <v>MSUSESGFN</v>
          </cell>
          <cell r="B7227" t="str">
            <v>MSCI USA ESG Focus Net Index</v>
          </cell>
          <cell r="C7227" t="str">
            <v>-BRS_GOLD_1:MSUSESGFN</v>
          </cell>
          <cell r="D7227" t="str">
            <v>Index</v>
          </cell>
          <cell r="E7227" t="str">
            <v>Index Level</v>
          </cell>
          <cell r="F7227" t="str">
            <v>Other</v>
          </cell>
          <cell r="G7227" t="str">
            <v>Other</v>
          </cell>
          <cell r="H7227" t="str">
            <v>OTHER</v>
          </cell>
          <cell r="I7227" t="str">
            <v>Other - Index</v>
          </cell>
        </row>
        <row r="7228">
          <cell r="A7228" t="str">
            <v>MSUSESGFO</v>
          </cell>
          <cell r="B7228" t="str">
            <v>MSCI USA ESG Focus Index</v>
          </cell>
          <cell r="C7228" t="str">
            <v>-BRS_GOLD_1:MSUSESGFO</v>
          </cell>
          <cell r="D7228" t="str">
            <v>Index</v>
          </cell>
          <cell r="E7228" t="str">
            <v>Index Level</v>
          </cell>
          <cell r="F7228" t="str">
            <v>Other</v>
          </cell>
          <cell r="G7228" t="str">
            <v>Other</v>
          </cell>
          <cell r="H7228" t="str">
            <v>OTHER</v>
          </cell>
          <cell r="I7228" t="str">
            <v>Other - Index</v>
          </cell>
        </row>
        <row r="7229">
          <cell r="A7229" t="str">
            <v>MSUSESGFP</v>
          </cell>
          <cell r="B7229" t="str">
            <v>MSCI USA ESG Focus Price Inde</v>
          </cell>
          <cell r="C7229" t="str">
            <v>-BRS_GOLD_1:MSUSESGFP</v>
          </cell>
          <cell r="D7229" t="str">
            <v>Index</v>
          </cell>
          <cell r="E7229" t="str">
            <v>Index Level</v>
          </cell>
          <cell r="F7229" t="str">
            <v>Other</v>
          </cell>
          <cell r="G7229" t="str">
            <v>Other</v>
          </cell>
          <cell r="H7229" t="str">
            <v>OTHER</v>
          </cell>
          <cell r="I7229" t="str">
            <v>Other - Index</v>
          </cell>
        </row>
        <row r="7230">
          <cell r="A7230" t="str">
            <v>MSUSESGLD</v>
          </cell>
          <cell r="B7230" t="str">
            <v>MSCI USA ESG Leaders</v>
          </cell>
          <cell r="C7230" t="str">
            <v>-BRS_GOLD_1:MSUSESGLD</v>
          </cell>
          <cell r="D7230" t="str">
            <v>Index</v>
          </cell>
          <cell r="E7230" t="str">
            <v>Index Level</v>
          </cell>
          <cell r="F7230" t="str">
            <v>Other</v>
          </cell>
          <cell r="G7230" t="str">
            <v>Other</v>
          </cell>
          <cell r="H7230" t="str">
            <v>OTHER</v>
          </cell>
          <cell r="I7230" t="str">
            <v>Other - Index</v>
          </cell>
        </row>
        <row r="7231">
          <cell r="A7231" t="str">
            <v>MSUSESGLN</v>
          </cell>
          <cell r="B7231" t="str">
            <v>MSCI USA ESG Leaders (Net)</v>
          </cell>
          <cell r="C7231" t="str">
            <v>-BRS_GOLD_1:MSUSESGLN</v>
          </cell>
          <cell r="D7231" t="str">
            <v>Index</v>
          </cell>
          <cell r="E7231" t="str">
            <v>Index Level</v>
          </cell>
          <cell r="F7231" t="str">
            <v>Other</v>
          </cell>
          <cell r="G7231" t="str">
            <v>Other</v>
          </cell>
          <cell r="H7231" t="str">
            <v>OTHER</v>
          </cell>
          <cell r="I7231" t="str">
            <v>Other - Index</v>
          </cell>
        </row>
        <row r="7232">
          <cell r="A7232" t="str">
            <v>MSUSESGN</v>
          </cell>
          <cell r="B7232" t="str">
            <v>MSCI USA ESG Lea LCxT 5% N</v>
          </cell>
          <cell r="C7232" t="str">
            <v>-BRS_GOLD_1:MSUSESGN</v>
          </cell>
          <cell r="D7232" t="str">
            <v>Index</v>
          </cell>
          <cell r="E7232" t="str">
            <v>Index Level</v>
          </cell>
          <cell r="F7232" t="str">
            <v>Other</v>
          </cell>
          <cell r="G7232" t="str">
            <v>Other</v>
          </cell>
          <cell r="H7232" t="str">
            <v>OTHER</v>
          </cell>
          <cell r="I7232" t="str">
            <v>Other - Index</v>
          </cell>
        </row>
        <row r="7233">
          <cell r="A7233" t="str">
            <v>MSUSESGP</v>
          </cell>
          <cell r="B7233" t="str">
            <v>MSCI USA ESG Lea LCxT 5% P</v>
          </cell>
          <cell r="C7233" t="str">
            <v>-BRS_GOLD_1:MSUSESGP</v>
          </cell>
          <cell r="D7233" t="str">
            <v>Index</v>
          </cell>
          <cell r="E7233" t="str">
            <v>Index Level</v>
          </cell>
          <cell r="F7233" t="str">
            <v>Other</v>
          </cell>
          <cell r="G7233" t="str">
            <v>Other</v>
          </cell>
          <cell r="H7233" t="str">
            <v>OTHER</v>
          </cell>
          <cell r="I7233" t="str">
            <v>Other - Index</v>
          </cell>
        </row>
        <row r="7234">
          <cell r="A7234" t="str">
            <v>MSUSEXCWEA</v>
          </cell>
          <cell r="B7234" t="str">
            <v>MSCI USA ex Contr Wea</v>
          </cell>
          <cell r="C7234" t="str">
            <v>-BRS_GOLD_1:MSUSEXCWEA</v>
          </cell>
          <cell r="D7234" t="str">
            <v>Index</v>
          </cell>
          <cell r="E7234" t="str">
            <v>Index Level</v>
          </cell>
          <cell r="F7234" t="str">
            <v>Other</v>
          </cell>
          <cell r="G7234" t="str">
            <v>Other</v>
          </cell>
          <cell r="H7234" t="str">
            <v>OTHER</v>
          </cell>
          <cell r="I7234" t="str">
            <v>Other - Index</v>
          </cell>
        </row>
        <row r="7235">
          <cell r="A7235" t="str">
            <v>MSUSMICRCP</v>
          </cell>
          <cell r="B7235" t="str">
            <v>MSCI US Micro Cap</v>
          </cell>
          <cell r="C7235" t="str">
            <v>-BRS_GOLD_1:MSUSMICRCP</v>
          </cell>
          <cell r="D7235" t="str">
            <v>Index</v>
          </cell>
          <cell r="E7235" t="str">
            <v>Index Level</v>
          </cell>
          <cell r="F7235" t="str">
            <v>Other</v>
          </cell>
          <cell r="G7235" t="str">
            <v>Other</v>
          </cell>
          <cell r="H7235" t="str">
            <v>OTHER</v>
          </cell>
          <cell r="I7235" t="str">
            <v>Other - Index</v>
          </cell>
        </row>
        <row r="7236">
          <cell r="A7236" t="str">
            <v>MSUSSCPEFG</v>
          </cell>
          <cell r="B7236" t="str">
            <v>MSCI USA SC Extd ESG focus</v>
          </cell>
          <cell r="C7236" t="str">
            <v>-BRS_GOLD_1:MSUSSCPEFG</v>
          </cell>
          <cell r="D7236" t="str">
            <v>Index</v>
          </cell>
          <cell r="E7236" t="str">
            <v>Index Level</v>
          </cell>
          <cell r="F7236" t="str">
            <v>Other</v>
          </cell>
          <cell r="G7236" t="str">
            <v>Other</v>
          </cell>
          <cell r="H7236" t="str">
            <v>OTHER</v>
          </cell>
          <cell r="I7236" t="str">
            <v>Other - Index</v>
          </cell>
        </row>
        <row r="7237">
          <cell r="A7237" t="str">
            <v>MSUSSCPEFN</v>
          </cell>
          <cell r="B7237" t="str">
            <v>MSCI USA SC Extd ESG focus N</v>
          </cell>
          <cell r="C7237" t="str">
            <v>-BRS_GOLD_1:MSUSSCPEFN</v>
          </cell>
          <cell r="D7237" t="str">
            <v>Index</v>
          </cell>
          <cell r="E7237" t="str">
            <v>Index Level</v>
          </cell>
          <cell r="F7237" t="str">
            <v>Other</v>
          </cell>
          <cell r="G7237" t="str">
            <v>Other</v>
          </cell>
          <cell r="H7237" t="str">
            <v>OTHER</v>
          </cell>
          <cell r="I7237" t="str">
            <v>Other - Index</v>
          </cell>
        </row>
        <row r="7238">
          <cell r="A7238" t="str">
            <v>MSUSSCPEFP</v>
          </cell>
          <cell r="B7238" t="str">
            <v>MSCI USA SC Extd ESG focus Pr</v>
          </cell>
          <cell r="C7238" t="str">
            <v>-BRS_GOLD_1:MSUSSCPEFP</v>
          </cell>
          <cell r="D7238" t="str">
            <v>Index</v>
          </cell>
          <cell r="E7238" t="str">
            <v>Index Level</v>
          </cell>
          <cell r="F7238" t="str">
            <v>Other</v>
          </cell>
          <cell r="G7238" t="str">
            <v>Other</v>
          </cell>
          <cell r="H7238" t="str">
            <v>OTHER</v>
          </cell>
          <cell r="I7238" t="str">
            <v>Other - Index</v>
          </cell>
        </row>
        <row r="7239">
          <cell r="A7239" t="str">
            <v>MSUSSR5</v>
          </cell>
          <cell r="B7239" t="str">
            <v>MSCI USA SRI S-Series 5% C</v>
          </cell>
          <cell r="C7239" t="str">
            <v>-BRS_GOLD_1:MSUSSR5</v>
          </cell>
          <cell r="D7239" t="str">
            <v>Index</v>
          </cell>
          <cell r="E7239" t="str">
            <v>Index Level</v>
          </cell>
          <cell r="F7239" t="str">
            <v>Other</v>
          </cell>
          <cell r="G7239" t="str">
            <v>Other</v>
          </cell>
          <cell r="H7239" t="str">
            <v>OTHER</v>
          </cell>
          <cell r="I7239" t="str">
            <v>Other - Index</v>
          </cell>
        </row>
        <row r="7240">
          <cell r="A7240" t="str">
            <v>MSUSSRIG</v>
          </cell>
          <cell r="B7240" t="str">
            <v>MSCI USA SRI Gross Index</v>
          </cell>
          <cell r="C7240" t="str">
            <v>-BRS_GOLD_1:MSUSSRIG</v>
          </cell>
          <cell r="D7240" t="str">
            <v>Index</v>
          </cell>
          <cell r="E7240" t="str">
            <v>Index Level</v>
          </cell>
          <cell r="F7240" t="str">
            <v>Other</v>
          </cell>
          <cell r="G7240" t="str">
            <v>Other</v>
          </cell>
          <cell r="H7240" t="str">
            <v>OTHER</v>
          </cell>
          <cell r="I7240" t="str">
            <v>Other - Index</v>
          </cell>
        </row>
        <row r="7241">
          <cell r="A7241" t="str">
            <v>MSUSSRIN</v>
          </cell>
          <cell r="B7241" t="str">
            <v>MSCI USA SRI Net Index</v>
          </cell>
          <cell r="C7241" t="str">
            <v>-BRS_GOLD_1:MSUSSRIN</v>
          </cell>
          <cell r="D7241" t="str">
            <v>Index</v>
          </cell>
          <cell r="E7241" t="str">
            <v>Index Level</v>
          </cell>
          <cell r="F7241" t="str">
            <v>Other</v>
          </cell>
          <cell r="G7241" t="str">
            <v>Other</v>
          </cell>
          <cell r="H7241" t="str">
            <v>OTHER</v>
          </cell>
          <cell r="I7241" t="str">
            <v>Other - Index</v>
          </cell>
        </row>
        <row r="7242">
          <cell r="A7242" t="str">
            <v>MSUSSRIP</v>
          </cell>
          <cell r="B7242" t="str">
            <v>MSCI USA SRI Price Index</v>
          </cell>
          <cell r="C7242" t="str">
            <v>-BRS_GOLD_1:MSUSSRIP</v>
          </cell>
          <cell r="D7242" t="str">
            <v>Index</v>
          </cell>
          <cell r="E7242" t="str">
            <v>Index Level</v>
          </cell>
          <cell r="F7242" t="str">
            <v>Other</v>
          </cell>
          <cell r="G7242" t="str">
            <v>Other</v>
          </cell>
          <cell r="H7242" t="str">
            <v>OTHER</v>
          </cell>
          <cell r="I7242" t="str">
            <v>Other - Index</v>
          </cell>
        </row>
        <row r="7243">
          <cell r="A7243" t="str">
            <v>MSUSSRISGB</v>
          </cell>
          <cell r="B7243" t="str">
            <v>MSCI USA SRI REDUCED FF ISGB</v>
          </cell>
          <cell r="C7243" t="str">
            <v>-BRS_GOLD_1:MSUSSRISGB</v>
          </cell>
          <cell r="D7243" t="str">
            <v>Index</v>
          </cell>
          <cell r="E7243" t="str">
            <v>Index Level</v>
          </cell>
          <cell r="F7243" t="str">
            <v>Other</v>
          </cell>
          <cell r="G7243" t="str">
            <v>Other</v>
          </cell>
          <cell r="H7243" t="str">
            <v>OTHER</v>
          </cell>
          <cell r="I7243" t="str">
            <v>Other - Index</v>
          </cell>
        </row>
        <row r="7244">
          <cell r="A7244" t="str">
            <v>MSUSVUSDGC</v>
          </cell>
          <cell r="B7244" t="str">
            <v>MSCI USA Value Index</v>
          </cell>
          <cell r="C7244" t="str">
            <v>-BRS_GOLD_1:MSUSVUSDGC</v>
          </cell>
          <cell r="D7244" t="str">
            <v>Index</v>
          </cell>
          <cell r="E7244" t="str">
            <v>Index Level</v>
          </cell>
          <cell r="F7244" t="str">
            <v>Other</v>
          </cell>
          <cell r="G7244" t="str">
            <v>Other</v>
          </cell>
          <cell r="H7244" t="str">
            <v>OTHER</v>
          </cell>
          <cell r="I7244" t="str">
            <v>Other - Index</v>
          </cell>
        </row>
        <row r="7245">
          <cell r="A7245" t="str">
            <v>MSUSXEGCAD</v>
          </cell>
          <cell r="B7245" t="str">
            <v>MSCI USA Extd ESG Focus G CAD</v>
          </cell>
          <cell r="C7245" t="str">
            <v>-BRS_GOLD_1:MSUSXEGCAD</v>
          </cell>
          <cell r="D7245" t="str">
            <v>Index</v>
          </cell>
          <cell r="E7245" t="str">
            <v>Index Level</v>
          </cell>
          <cell r="F7245" t="str">
            <v>Other</v>
          </cell>
          <cell r="G7245" t="str">
            <v>Other</v>
          </cell>
          <cell r="H7245" t="str">
            <v>OTHER</v>
          </cell>
          <cell r="I7245" t="str">
            <v>Other - Index</v>
          </cell>
        </row>
        <row r="7246">
          <cell r="A7246" t="str">
            <v>MSUSXENCAD</v>
          </cell>
          <cell r="B7246" t="str">
            <v>MSCI USA Extd ESG Focus N CAD</v>
          </cell>
          <cell r="C7246" t="str">
            <v>-BRS_GOLD_1:MSUSXENCAD</v>
          </cell>
          <cell r="D7246" t="str">
            <v>Index</v>
          </cell>
          <cell r="E7246" t="str">
            <v>Index Level</v>
          </cell>
          <cell r="F7246" t="str">
            <v>Other</v>
          </cell>
          <cell r="G7246" t="str">
            <v>Other</v>
          </cell>
          <cell r="H7246" t="str">
            <v>OTHER</v>
          </cell>
          <cell r="I7246" t="str">
            <v>Other - Index</v>
          </cell>
        </row>
        <row r="7247">
          <cell r="A7247" t="str">
            <v>MSUSXESCAD</v>
          </cell>
          <cell r="B7247" t="str">
            <v>MSCI USA Extd ESG Focus P CAD</v>
          </cell>
          <cell r="C7247" t="str">
            <v>-BRS_GOLD_1:MSUSXESCAD</v>
          </cell>
          <cell r="D7247" t="str">
            <v>Index</v>
          </cell>
          <cell r="E7247" t="str">
            <v>Index Level</v>
          </cell>
          <cell r="F7247" t="str">
            <v>Other</v>
          </cell>
          <cell r="G7247" t="str">
            <v>Other</v>
          </cell>
          <cell r="H7247" t="str">
            <v>OTHER</v>
          </cell>
          <cell r="I7247" t="str">
            <v>Other - Index</v>
          </cell>
        </row>
        <row r="7248">
          <cell r="A7248" t="str">
            <v>MSUSXESGFG</v>
          </cell>
          <cell r="B7248" t="str">
            <v>MSCI USA Extended ESG Focus</v>
          </cell>
          <cell r="C7248" t="str">
            <v>-BRS_GOLD_1:MSUSXESGFG</v>
          </cell>
          <cell r="D7248" t="str">
            <v>Index</v>
          </cell>
          <cell r="E7248" t="str">
            <v>Index Level</v>
          </cell>
          <cell r="F7248" t="str">
            <v>Other</v>
          </cell>
          <cell r="G7248" t="str">
            <v>Other</v>
          </cell>
          <cell r="H7248" t="str">
            <v>OTHER</v>
          </cell>
          <cell r="I7248" t="str">
            <v>Other - Index</v>
          </cell>
        </row>
        <row r="7249">
          <cell r="A7249" t="str">
            <v>MSUSXESGFN</v>
          </cell>
          <cell r="B7249" t="str">
            <v>MSCI USA Extended ESG Focus N</v>
          </cell>
          <cell r="C7249" t="str">
            <v>-BRS_GOLD_1:MSUSXESGFN</v>
          </cell>
          <cell r="D7249" t="str">
            <v>Index</v>
          </cell>
          <cell r="E7249" t="str">
            <v>Index Level</v>
          </cell>
          <cell r="F7249" t="str">
            <v>Other</v>
          </cell>
          <cell r="G7249" t="str">
            <v>Other</v>
          </cell>
          <cell r="H7249" t="str">
            <v>OTHER</v>
          </cell>
          <cell r="I7249" t="str">
            <v>Other - Index</v>
          </cell>
        </row>
        <row r="7250">
          <cell r="A7250" t="str">
            <v>MSUSXESGFP</v>
          </cell>
          <cell r="B7250" t="str">
            <v>MSCI USA Extended ESG Focus P</v>
          </cell>
          <cell r="C7250" t="str">
            <v>-BRS_GOLD_1:MSUSXESGFP</v>
          </cell>
          <cell r="D7250" t="str">
            <v>Index</v>
          </cell>
          <cell r="E7250" t="str">
            <v>Index Level</v>
          </cell>
          <cell r="F7250" t="str">
            <v>Other</v>
          </cell>
          <cell r="G7250" t="str">
            <v>Other</v>
          </cell>
          <cell r="H7250" t="str">
            <v>OTHER</v>
          </cell>
          <cell r="I7250" t="str">
            <v>Other - Index</v>
          </cell>
        </row>
        <row r="7251">
          <cell r="A7251" t="str">
            <v>MSUSXESGSG</v>
          </cell>
          <cell r="B7251" t="str">
            <v>MSCI USA Extended ESG Select</v>
          </cell>
          <cell r="C7251" t="str">
            <v>-BRS_GOLD_1:MSUSXESGSG</v>
          </cell>
          <cell r="D7251" t="str">
            <v>Index</v>
          </cell>
          <cell r="E7251" t="str">
            <v>Index Level</v>
          </cell>
          <cell r="F7251" t="str">
            <v>Other</v>
          </cell>
          <cell r="G7251" t="str">
            <v>Other</v>
          </cell>
          <cell r="H7251" t="str">
            <v>OTHER</v>
          </cell>
          <cell r="I7251" t="str">
            <v>Other - Index</v>
          </cell>
        </row>
        <row r="7252">
          <cell r="A7252" t="str">
            <v>MSUSXESGSN</v>
          </cell>
          <cell r="B7252" t="str">
            <v>MSCI USA Extended ESG Sel N</v>
          </cell>
          <cell r="C7252" t="str">
            <v>-BRS_GOLD_1:MSUSXESGSN</v>
          </cell>
          <cell r="D7252" t="str">
            <v>Index</v>
          </cell>
          <cell r="E7252" t="str">
            <v>Index Level</v>
          </cell>
          <cell r="F7252" t="str">
            <v>Other</v>
          </cell>
          <cell r="G7252" t="str">
            <v>Other</v>
          </cell>
          <cell r="H7252" t="str">
            <v>OTHER</v>
          </cell>
          <cell r="I7252" t="str">
            <v>Other - Index</v>
          </cell>
        </row>
        <row r="7253">
          <cell r="A7253" t="str">
            <v>MSUSXESGSP</v>
          </cell>
          <cell r="B7253" t="str">
            <v>MSCI USA Extended ESG Sel P</v>
          </cell>
          <cell r="C7253" t="str">
            <v>-BRS_GOLD_1:MSUSXESGSP</v>
          </cell>
          <cell r="D7253" t="str">
            <v>Index</v>
          </cell>
          <cell r="E7253" t="str">
            <v>Index Level</v>
          </cell>
          <cell r="F7253" t="str">
            <v>Other</v>
          </cell>
          <cell r="G7253" t="str">
            <v>Other</v>
          </cell>
          <cell r="H7253" t="str">
            <v>OTHER</v>
          </cell>
          <cell r="I7253" t="str">
            <v>Other - Index</v>
          </cell>
        </row>
        <row r="7254">
          <cell r="A7254" t="str">
            <v>MSUSXFOSSG</v>
          </cell>
          <cell r="B7254" t="str">
            <v>MSCI USA ex Fossil Fuels Inde</v>
          </cell>
          <cell r="C7254" t="str">
            <v>-BRS_GOLD_1:MSUSXFOSSG</v>
          </cell>
          <cell r="D7254" t="str">
            <v>Index</v>
          </cell>
          <cell r="E7254" t="str">
            <v>Index Level</v>
          </cell>
          <cell r="F7254" t="str">
            <v>Other</v>
          </cell>
          <cell r="G7254" t="str">
            <v>Other</v>
          </cell>
          <cell r="H7254" t="str">
            <v>OTHER</v>
          </cell>
          <cell r="I7254" t="str">
            <v>Other - Index</v>
          </cell>
        </row>
        <row r="7255">
          <cell r="A7255" t="str">
            <v>MSUSXFOSSN</v>
          </cell>
          <cell r="B7255" t="str">
            <v>MSCI USA ex Fossil Fuels NET</v>
          </cell>
          <cell r="C7255" t="str">
            <v>-BRS_GOLD_1:MSUSXFOSSN</v>
          </cell>
          <cell r="D7255" t="str">
            <v>Index</v>
          </cell>
          <cell r="E7255" t="str">
            <v>Index Level</v>
          </cell>
          <cell r="F7255" t="str">
            <v>Other</v>
          </cell>
          <cell r="G7255" t="str">
            <v>Other</v>
          </cell>
          <cell r="H7255" t="str">
            <v>OTHER</v>
          </cell>
          <cell r="I7255" t="str">
            <v>Other - Index</v>
          </cell>
        </row>
        <row r="7256">
          <cell r="A7256" t="str">
            <v>MSUSXFOSSP</v>
          </cell>
          <cell r="B7256" t="str">
            <v>MSCI USA ex Fossil Fuels PRIC</v>
          </cell>
          <cell r="C7256" t="str">
            <v>-BRS_GOLD_1:MSUSXFOSSP</v>
          </cell>
          <cell r="D7256" t="str">
            <v>Index</v>
          </cell>
          <cell r="E7256" t="str">
            <v>Index Level</v>
          </cell>
          <cell r="F7256" t="str">
            <v>Other</v>
          </cell>
          <cell r="G7256" t="str">
            <v>Other</v>
          </cell>
          <cell r="H7256" t="str">
            <v>OTHER</v>
          </cell>
          <cell r="I7256" t="str">
            <v>Other - Index</v>
          </cell>
        </row>
        <row r="7257">
          <cell r="A7257" t="str">
            <v>MSUS_SMALL</v>
          </cell>
          <cell r="B7257" t="str">
            <v>MSCI USA Small Cap Index</v>
          </cell>
          <cell r="C7257" t="str">
            <v>-BRS_GOLD_1:MSUS_SMALL</v>
          </cell>
          <cell r="D7257" t="str">
            <v>Index</v>
          </cell>
          <cell r="E7257" t="str">
            <v>Index Level</v>
          </cell>
          <cell r="F7257" t="str">
            <v>Other</v>
          </cell>
          <cell r="G7257" t="str">
            <v>Other</v>
          </cell>
          <cell r="H7257" t="str">
            <v>OTHER</v>
          </cell>
          <cell r="I7257" t="str">
            <v>Other - Index</v>
          </cell>
        </row>
        <row r="7258">
          <cell r="A7258" t="str">
            <v>MSUTIL_LCL</v>
          </cell>
          <cell r="B7258" t="str">
            <v>MSCI World Utilities</v>
          </cell>
          <cell r="C7258" t="str">
            <v>-BRS_GOLD_1:MSUTIL_LCL</v>
          </cell>
          <cell r="D7258" t="str">
            <v>Index</v>
          </cell>
          <cell r="E7258" t="str">
            <v>Index Level</v>
          </cell>
          <cell r="F7258" t="str">
            <v>Other</v>
          </cell>
          <cell r="G7258" t="str">
            <v>Other</v>
          </cell>
          <cell r="H7258" t="str">
            <v>OTHER</v>
          </cell>
          <cell r="I7258" t="str">
            <v>Other - Index</v>
          </cell>
        </row>
        <row r="7259">
          <cell r="A7259" t="str">
            <v>MSWCTGUSD</v>
          </cell>
          <cell r="B7259" t="str">
            <v>MSCI World Low Carbon Gr GBP</v>
          </cell>
          <cell r="C7259" t="str">
            <v>-BRS_GOLD_1:MSWCTGUSD</v>
          </cell>
          <cell r="D7259" t="str">
            <v>Index</v>
          </cell>
          <cell r="E7259" t="str">
            <v>Index Level</v>
          </cell>
          <cell r="F7259" t="str">
            <v>Other</v>
          </cell>
          <cell r="G7259" t="str">
            <v>Other</v>
          </cell>
          <cell r="H7259" t="str">
            <v>OTHER</v>
          </cell>
          <cell r="I7259" t="str">
            <v>Other - Index</v>
          </cell>
        </row>
        <row r="7260">
          <cell r="A7260" t="str">
            <v>MSWCTPUSD</v>
          </cell>
          <cell r="B7260" t="str">
            <v>MSCI World Low Carbon P GBP</v>
          </cell>
          <cell r="C7260" t="str">
            <v>-BRS_GOLD_1:MSWCTPUSD</v>
          </cell>
          <cell r="D7260" t="str">
            <v>Index</v>
          </cell>
          <cell r="E7260" t="str">
            <v>Index Level</v>
          </cell>
          <cell r="F7260" t="str">
            <v>Other</v>
          </cell>
          <cell r="G7260" t="str">
            <v>Other</v>
          </cell>
          <cell r="H7260" t="str">
            <v>OTHER</v>
          </cell>
          <cell r="I7260" t="str">
            <v>Other - Index</v>
          </cell>
        </row>
        <row r="7261">
          <cell r="A7261" t="str">
            <v>MSWDESGBRL</v>
          </cell>
          <cell r="B7261" t="str">
            <v>MSCI WORLD ESG SCREENED BRL</v>
          </cell>
          <cell r="C7261" t="str">
            <v>-BRS_GOLD_1:MSWDESGBRL</v>
          </cell>
          <cell r="D7261" t="str">
            <v>Index</v>
          </cell>
          <cell r="E7261" t="str">
            <v>Index Level</v>
          </cell>
          <cell r="F7261" t="str">
            <v>Other</v>
          </cell>
          <cell r="G7261" t="str">
            <v>Other</v>
          </cell>
          <cell r="H7261" t="str">
            <v>OTHER</v>
          </cell>
          <cell r="I7261" t="str">
            <v>Other - Index</v>
          </cell>
        </row>
        <row r="7262">
          <cell r="A7262" t="str">
            <v>MSWDESGEUR</v>
          </cell>
          <cell r="B7262" t="str">
            <v>MSCI WORLD ESG SCREENED EUR</v>
          </cell>
          <cell r="C7262" t="str">
            <v>-BRS_GOLD_1:MSWDESGEUR</v>
          </cell>
          <cell r="D7262" t="str">
            <v>Index</v>
          </cell>
          <cell r="E7262" t="str">
            <v>Index Level</v>
          </cell>
          <cell r="F7262" t="str">
            <v>Other</v>
          </cell>
          <cell r="G7262" t="str">
            <v>Other</v>
          </cell>
          <cell r="H7262" t="str">
            <v>OTHER</v>
          </cell>
          <cell r="I7262" t="str">
            <v>Other - Index</v>
          </cell>
        </row>
        <row r="7263">
          <cell r="A7263" t="str">
            <v>MSWDESGSCG</v>
          </cell>
          <cell r="B7263" t="str">
            <v>MSCI WORLD ESG SCREENED Gross</v>
          </cell>
          <cell r="C7263" t="str">
            <v>-BRS_GOLD_1:MSWDESGSCG</v>
          </cell>
          <cell r="D7263" t="str">
            <v>Index</v>
          </cell>
          <cell r="E7263" t="str">
            <v>Index Level</v>
          </cell>
          <cell r="F7263" t="str">
            <v>Other</v>
          </cell>
          <cell r="G7263" t="str">
            <v>Other</v>
          </cell>
          <cell r="H7263" t="str">
            <v>OTHER</v>
          </cell>
          <cell r="I7263" t="str">
            <v>Other - Index</v>
          </cell>
        </row>
        <row r="7264">
          <cell r="A7264" t="str">
            <v>MSWDESGSCN</v>
          </cell>
          <cell r="B7264" t="str">
            <v>MSCI WORLD ESG SCREENED</v>
          </cell>
          <cell r="C7264" t="str">
            <v>-BRS_GOLD_1:MSWDESGSCN</v>
          </cell>
          <cell r="D7264" t="str">
            <v>Index</v>
          </cell>
          <cell r="E7264" t="str">
            <v>Index Level</v>
          </cell>
          <cell r="F7264" t="str">
            <v>Other</v>
          </cell>
          <cell r="G7264" t="str">
            <v>Other</v>
          </cell>
          <cell r="H7264" t="str">
            <v>OTHER</v>
          </cell>
          <cell r="I7264" t="str">
            <v>Other - Index</v>
          </cell>
        </row>
        <row r="7265">
          <cell r="A7265" t="str">
            <v>MSWDESGSCP</v>
          </cell>
          <cell r="B7265" t="str">
            <v>MSCI WORLD ESG SCREENED Price</v>
          </cell>
          <cell r="C7265" t="str">
            <v>-BRS_GOLD_1:MSWDESGSCP</v>
          </cell>
          <cell r="D7265" t="str">
            <v>Index</v>
          </cell>
          <cell r="E7265" t="str">
            <v>Index Level</v>
          </cell>
          <cell r="F7265" t="str">
            <v>Other</v>
          </cell>
          <cell r="G7265" t="str">
            <v>Other</v>
          </cell>
          <cell r="H7265" t="str">
            <v>OTHER</v>
          </cell>
          <cell r="I7265" t="str">
            <v>Other - Index</v>
          </cell>
        </row>
        <row r="7266">
          <cell r="A7266" t="str">
            <v>MSWESEUR</v>
          </cell>
          <cell r="B7266" t="str">
            <v>MSCI World ESG Univ N EUR</v>
          </cell>
          <cell r="C7266" t="str">
            <v>-BRS_GOLD_1:MSWESEUR</v>
          </cell>
          <cell r="D7266" t="str">
            <v>Index</v>
          </cell>
          <cell r="E7266" t="str">
            <v>Index Level</v>
          </cell>
          <cell r="F7266" t="str">
            <v>Other</v>
          </cell>
          <cell r="G7266" t="str">
            <v>Other</v>
          </cell>
          <cell r="H7266" t="str">
            <v>OTHER</v>
          </cell>
          <cell r="I7266" t="str">
            <v>Other - Index</v>
          </cell>
        </row>
        <row r="7267">
          <cell r="A7267" t="str">
            <v>MSWESG</v>
          </cell>
          <cell r="B7267" t="str">
            <v>MSCI WRD ESG Lea LC xT 5% USD</v>
          </cell>
          <cell r="C7267" t="str">
            <v>-BRS_GOLD_1:MSWESG</v>
          </cell>
          <cell r="D7267" t="str">
            <v>Index</v>
          </cell>
          <cell r="E7267" t="str">
            <v>Index Level</v>
          </cell>
          <cell r="F7267" t="str">
            <v>Other</v>
          </cell>
          <cell r="G7267" t="str">
            <v>Other</v>
          </cell>
          <cell r="H7267" t="str">
            <v>OTHER</v>
          </cell>
          <cell r="I7267" t="str">
            <v>Other - Index</v>
          </cell>
        </row>
        <row r="7268">
          <cell r="A7268" t="str">
            <v>MSWESGN</v>
          </cell>
          <cell r="B7268" t="str">
            <v>MSCI WRD ESG Lea LC xT 5% N</v>
          </cell>
          <cell r="C7268" t="str">
            <v>-BRS_GOLD_1:MSWESGN</v>
          </cell>
          <cell r="D7268" t="str">
            <v>Index</v>
          </cell>
          <cell r="E7268" t="str">
            <v>Index Level</v>
          </cell>
          <cell r="F7268" t="str">
            <v>Other</v>
          </cell>
          <cell r="G7268" t="str">
            <v>Other</v>
          </cell>
          <cell r="H7268" t="str">
            <v>OTHER</v>
          </cell>
          <cell r="I7268" t="str">
            <v>Other - Index</v>
          </cell>
        </row>
        <row r="7269">
          <cell r="A7269" t="str">
            <v>MSWESGP</v>
          </cell>
          <cell r="B7269" t="str">
            <v>MSCI WRD ESG Lea LC xT 5% P</v>
          </cell>
          <cell r="C7269" t="str">
            <v>-BRS_GOLD_1:MSWESGP</v>
          </cell>
          <cell r="D7269" t="str">
            <v>Index</v>
          </cell>
          <cell r="E7269" t="str">
            <v>Index Level</v>
          </cell>
          <cell r="F7269" t="str">
            <v>Other</v>
          </cell>
          <cell r="G7269" t="str">
            <v>Other</v>
          </cell>
          <cell r="H7269" t="str">
            <v>OTHER</v>
          </cell>
          <cell r="I7269" t="str">
            <v>Other - Index</v>
          </cell>
        </row>
        <row r="7270">
          <cell r="A7270" t="str">
            <v>MSWESGUG</v>
          </cell>
          <cell r="B7270" t="str">
            <v>MSCI World ESG Universal (GR)</v>
          </cell>
          <cell r="C7270" t="str">
            <v>-BRS_GOLD_1:MSWESGUG</v>
          </cell>
          <cell r="D7270" t="str">
            <v>Index</v>
          </cell>
          <cell r="E7270" t="str">
            <v>Index Level</v>
          </cell>
          <cell r="F7270" t="str">
            <v>Other</v>
          </cell>
          <cell r="G7270" t="str">
            <v>Other</v>
          </cell>
          <cell r="H7270" t="str">
            <v>OTHER</v>
          </cell>
          <cell r="I7270" t="str">
            <v>Other - Index</v>
          </cell>
        </row>
        <row r="7271">
          <cell r="A7271" t="str">
            <v>MSWESGUN</v>
          </cell>
          <cell r="B7271" t="str">
            <v>MSCI World ESG Universal (NET</v>
          </cell>
          <cell r="C7271" t="str">
            <v>-BRS_GOLD_1:MSWESGUN</v>
          </cell>
          <cell r="D7271" t="str">
            <v>Index</v>
          </cell>
          <cell r="E7271" t="str">
            <v>Index Level</v>
          </cell>
          <cell r="F7271" t="str">
            <v>Other</v>
          </cell>
          <cell r="G7271" t="str">
            <v>Other</v>
          </cell>
          <cell r="H7271" t="str">
            <v>OTHER</v>
          </cell>
          <cell r="I7271" t="str">
            <v>Other - Index</v>
          </cell>
        </row>
        <row r="7272">
          <cell r="A7272" t="str">
            <v>MSWFCARSTG</v>
          </cell>
          <cell r="B7272" t="str">
            <v>MSCI World ESG Low Carb scr</v>
          </cell>
          <cell r="C7272" t="str">
            <v>-BRS_GOLD_1:MSWFCARSTG</v>
          </cell>
          <cell r="D7272" t="str">
            <v>Index</v>
          </cell>
          <cell r="E7272" t="str">
            <v>Index Level</v>
          </cell>
          <cell r="F7272" t="str">
            <v>Other</v>
          </cell>
          <cell r="G7272" t="str">
            <v>Other</v>
          </cell>
          <cell r="H7272" t="str">
            <v>OTHER</v>
          </cell>
          <cell r="I7272" t="str">
            <v>Other - Index</v>
          </cell>
        </row>
        <row r="7273">
          <cell r="A7273" t="str">
            <v>MSWFCARSTN</v>
          </cell>
          <cell r="B7273" t="str">
            <v>MSCI World ESG Low Carb scr N</v>
          </cell>
          <cell r="C7273" t="str">
            <v>-BRS_GOLD_1:MSWFCARSTN</v>
          </cell>
          <cell r="D7273" t="str">
            <v>Index</v>
          </cell>
          <cell r="E7273" t="str">
            <v>Index Level</v>
          </cell>
          <cell r="F7273" t="str">
            <v>Other</v>
          </cell>
          <cell r="G7273" t="str">
            <v>Other</v>
          </cell>
          <cell r="H7273" t="str">
            <v>OTHER</v>
          </cell>
          <cell r="I7273" t="str">
            <v>Other - Index</v>
          </cell>
        </row>
        <row r="7274">
          <cell r="A7274" t="str">
            <v>MSWFCARSTP</v>
          </cell>
          <cell r="B7274" t="str">
            <v>MSCI World ESG Low Carb scr P</v>
          </cell>
          <cell r="C7274" t="str">
            <v>-BRS_GOLD_1:MSWFCARSTP</v>
          </cell>
          <cell r="D7274" t="str">
            <v>Index</v>
          </cell>
          <cell r="E7274" t="str">
            <v>Index Level</v>
          </cell>
          <cell r="F7274" t="str">
            <v>Other</v>
          </cell>
          <cell r="G7274" t="str">
            <v>Other</v>
          </cell>
          <cell r="H7274" t="str">
            <v>OTHER</v>
          </cell>
          <cell r="I7274" t="str">
            <v>Other - Index</v>
          </cell>
        </row>
        <row r="7275">
          <cell r="A7275" t="str">
            <v>MSWKCTEUR</v>
          </cell>
          <cell r="B7275" t="str">
            <v>MSCI World Low Carbon EUR</v>
          </cell>
          <cell r="C7275" t="str">
            <v>-BRS_GOLD_1:MSWKCTEUR</v>
          </cell>
          <cell r="D7275" t="str">
            <v>Index</v>
          </cell>
          <cell r="E7275" t="str">
            <v>Index Level</v>
          </cell>
          <cell r="F7275" t="str">
            <v>Other</v>
          </cell>
          <cell r="G7275" t="str">
            <v>Other</v>
          </cell>
          <cell r="H7275" t="str">
            <v>OTHER</v>
          </cell>
          <cell r="I7275" t="str">
            <v>Other - Index</v>
          </cell>
        </row>
        <row r="7276">
          <cell r="A7276" t="str">
            <v>MSWKCTGBP</v>
          </cell>
          <cell r="B7276" t="str">
            <v>MSCI World Low Carbon GBP</v>
          </cell>
          <cell r="C7276" t="str">
            <v>-BRS_GOLD_1:MSWKCTGBP</v>
          </cell>
          <cell r="D7276" t="str">
            <v>Index</v>
          </cell>
          <cell r="E7276" t="str">
            <v>Index Level</v>
          </cell>
          <cell r="F7276" t="str">
            <v>Other</v>
          </cell>
          <cell r="G7276" t="str">
            <v>Other</v>
          </cell>
          <cell r="H7276" t="str">
            <v>OTHER</v>
          </cell>
          <cell r="I7276" t="str">
            <v>Other - Index</v>
          </cell>
        </row>
        <row r="7277">
          <cell r="A7277" t="str">
            <v>MSWKCTUSD</v>
          </cell>
          <cell r="B7277" t="str">
            <v>MSCI World Low Carbon Target</v>
          </cell>
          <cell r="C7277" t="str">
            <v>-BRS_GOLD_1:MSWKCTUSD</v>
          </cell>
          <cell r="D7277" t="str">
            <v>Index</v>
          </cell>
          <cell r="E7277" t="str">
            <v>Index Level</v>
          </cell>
          <cell r="F7277" t="str">
            <v>Other</v>
          </cell>
          <cell r="G7277" t="str">
            <v>Other</v>
          </cell>
          <cell r="H7277" t="str">
            <v>OTHER</v>
          </cell>
          <cell r="I7277" t="str">
            <v>Other - Index</v>
          </cell>
        </row>
        <row r="7278">
          <cell r="A7278" t="str">
            <v>MSWKCTUSN</v>
          </cell>
          <cell r="B7278" t="str">
            <v>MSCI World Low Carbon N</v>
          </cell>
          <cell r="C7278" t="str">
            <v>-BRS_GOLD_1:MSWKCTUSN</v>
          </cell>
          <cell r="D7278" t="str">
            <v>Index</v>
          </cell>
          <cell r="E7278" t="str">
            <v>Index Level</v>
          </cell>
          <cell r="F7278" t="str">
            <v>Other</v>
          </cell>
          <cell r="G7278" t="str">
            <v>Other</v>
          </cell>
          <cell r="H7278" t="str">
            <v>OTHER</v>
          </cell>
          <cell r="I7278" t="str">
            <v>Other - Index</v>
          </cell>
        </row>
        <row r="7279">
          <cell r="A7279" t="str">
            <v>MSWKCTUSP</v>
          </cell>
          <cell r="B7279" t="str">
            <v>MSCI World Low Carbon P</v>
          </cell>
          <cell r="C7279" t="str">
            <v>-BRS_GOLD_1:MSWKCTUSP</v>
          </cell>
          <cell r="D7279" t="str">
            <v>Index</v>
          </cell>
          <cell r="E7279" t="str">
            <v>Index Level</v>
          </cell>
          <cell r="F7279" t="str">
            <v>Other</v>
          </cell>
          <cell r="G7279" t="str">
            <v>Other</v>
          </cell>
          <cell r="H7279" t="str">
            <v>OTHER</v>
          </cell>
          <cell r="I7279" t="str">
            <v>Other - Index</v>
          </cell>
        </row>
        <row r="7280">
          <cell r="A7280" t="str">
            <v>MSWOEXUSLE</v>
          </cell>
          <cell r="B7280" t="str">
            <v>MSCI World ex USA Leaders USD</v>
          </cell>
          <cell r="C7280" t="str">
            <v>-BRS_GOLD_1:MSWOEXUSLE</v>
          </cell>
          <cell r="D7280" t="str">
            <v>Index</v>
          </cell>
          <cell r="E7280" t="str">
            <v>Index Level</v>
          </cell>
          <cell r="F7280" t="str">
            <v>Other</v>
          </cell>
          <cell r="G7280" t="str">
            <v>Other</v>
          </cell>
          <cell r="H7280" t="str">
            <v>OTHER</v>
          </cell>
          <cell r="I7280" t="str">
            <v>Other - Index</v>
          </cell>
        </row>
        <row r="7281">
          <cell r="A7281" t="str">
            <v>MSWOEXUSLN</v>
          </cell>
          <cell r="B7281" t="str">
            <v>MSCI World ex USA Leaders N</v>
          </cell>
          <cell r="C7281" t="str">
            <v>-BRS_GOLD_1:MSWOEXUSLN</v>
          </cell>
          <cell r="D7281" t="str">
            <v>Index</v>
          </cell>
          <cell r="E7281" t="str">
            <v>Index Level</v>
          </cell>
          <cell r="F7281" t="str">
            <v>Other</v>
          </cell>
          <cell r="G7281" t="str">
            <v>Other</v>
          </cell>
          <cell r="H7281" t="str">
            <v>OTHER</v>
          </cell>
          <cell r="I7281" t="str">
            <v>Other - Index</v>
          </cell>
        </row>
        <row r="7282">
          <cell r="A7282" t="str">
            <v>MSWOEXUSLP</v>
          </cell>
          <cell r="B7282" t="str">
            <v>MSCI World ex USA Leaders P</v>
          </cell>
          <cell r="C7282" t="str">
            <v>-BRS_GOLD_1:MSWOEXUSLP</v>
          </cell>
          <cell r="D7282" t="str">
            <v>Index</v>
          </cell>
          <cell r="E7282" t="str">
            <v>Index Level</v>
          </cell>
          <cell r="F7282" t="str">
            <v>Other</v>
          </cell>
          <cell r="G7282" t="str">
            <v>Other</v>
          </cell>
          <cell r="H7282" t="str">
            <v>OTHER</v>
          </cell>
          <cell r="I7282" t="str">
            <v>Other - Index</v>
          </cell>
        </row>
        <row r="7283">
          <cell r="A7283" t="str">
            <v>MSWOSNEUR</v>
          </cell>
          <cell r="B7283" t="str">
            <v>MSCI WORLD SRI Select N EUR</v>
          </cell>
          <cell r="C7283" t="str">
            <v>-BRS_GOLD_1:MSWOSNEUR</v>
          </cell>
          <cell r="D7283" t="str">
            <v>Index</v>
          </cell>
          <cell r="E7283" t="str">
            <v>Index Level</v>
          </cell>
          <cell r="F7283" t="str">
            <v>Other</v>
          </cell>
          <cell r="G7283" t="str">
            <v>Other</v>
          </cell>
          <cell r="H7283" t="str">
            <v>OTHER</v>
          </cell>
          <cell r="I7283" t="str">
            <v>Other - Index</v>
          </cell>
        </row>
        <row r="7284">
          <cell r="A7284" t="str">
            <v>MSWOSNUSD</v>
          </cell>
          <cell r="B7284" t="str">
            <v>MSCI WORLD SRI Select Net</v>
          </cell>
          <cell r="C7284" t="str">
            <v>-BRS_GOLD_1:MSWOSNUSD</v>
          </cell>
          <cell r="D7284" t="str">
            <v>Index</v>
          </cell>
          <cell r="E7284" t="str">
            <v>Index Level</v>
          </cell>
          <cell r="F7284" t="str">
            <v>Other</v>
          </cell>
          <cell r="G7284" t="str">
            <v>Other</v>
          </cell>
          <cell r="H7284" t="str">
            <v>OTHER</v>
          </cell>
          <cell r="I7284" t="str">
            <v>Other - Index</v>
          </cell>
        </row>
        <row r="7285">
          <cell r="A7285" t="str">
            <v>MSWOSPEUR</v>
          </cell>
          <cell r="B7285" t="str">
            <v>MSCI WORLD SRI Select P EUR</v>
          </cell>
          <cell r="C7285" t="str">
            <v>-BRS_GOLD_1:MSWOSPEUR</v>
          </cell>
          <cell r="D7285" t="str">
            <v>Index</v>
          </cell>
          <cell r="E7285" t="str">
            <v>Index Level</v>
          </cell>
          <cell r="F7285" t="str">
            <v>Other</v>
          </cell>
          <cell r="G7285" t="str">
            <v>Other</v>
          </cell>
          <cell r="H7285" t="str">
            <v>OTHER</v>
          </cell>
          <cell r="I7285" t="str">
            <v>Other - Index</v>
          </cell>
        </row>
        <row r="7286">
          <cell r="A7286" t="str">
            <v>MSWOSPUSD</v>
          </cell>
          <cell r="B7286" t="str">
            <v>MSCI WORLD SRI Select Price</v>
          </cell>
          <cell r="C7286" t="str">
            <v>-BRS_GOLD_1:MSWOSPUSD</v>
          </cell>
          <cell r="D7286" t="str">
            <v>Index</v>
          </cell>
          <cell r="E7286" t="str">
            <v>Index Level</v>
          </cell>
          <cell r="F7286" t="str">
            <v>Other</v>
          </cell>
          <cell r="G7286" t="str">
            <v>Other</v>
          </cell>
          <cell r="H7286" t="str">
            <v>OTHER</v>
          </cell>
          <cell r="I7286" t="str">
            <v>Other - Index</v>
          </cell>
        </row>
        <row r="7287">
          <cell r="A7287" t="str">
            <v>MSWOSREUR</v>
          </cell>
          <cell r="B7287" t="str">
            <v>MSCI WORLD SRI Select G EUR</v>
          </cell>
          <cell r="C7287" t="str">
            <v>-BRS_GOLD_1:MSWOSREUR</v>
          </cell>
          <cell r="D7287" t="str">
            <v>Index</v>
          </cell>
          <cell r="E7287" t="str">
            <v>Index Level</v>
          </cell>
          <cell r="F7287" t="str">
            <v>Other</v>
          </cell>
          <cell r="G7287" t="str">
            <v>Other</v>
          </cell>
          <cell r="H7287" t="str">
            <v>OTHER</v>
          </cell>
          <cell r="I7287" t="str">
            <v>Other - Index</v>
          </cell>
        </row>
        <row r="7288">
          <cell r="A7288" t="str">
            <v>MSWOSRUSD</v>
          </cell>
          <cell r="B7288" t="str">
            <v>MSCI WORLD SRI Select Index</v>
          </cell>
          <cell r="C7288" t="str">
            <v>-BRS_GOLD_1:MSWOSRUSD</v>
          </cell>
          <cell r="D7288" t="str">
            <v>Index</v>
          </cell>
          <cell r="E7288" t="str">
            <v>Index Level</v>
          </cell>
          <cell r="F7288" t="str">
            <v>Other</v>
          </cell>
          <cell r="G7288" t="str">
            <v>Other</v>
          </cell>
          <cell r="H7288" t="str">
            <v>OTHER</v>
          </cell>
          <cell r="I7288" t="str">
            <v>Other - Index</v>
          </cell>
        </row>
        <row r="7289">
          <cell r="A7289" t="str">
            <v>MSWPBPROA</v>
          </cell>
          <cell r="B7289" t="str">
            <v>MSCI World SRI Index - GBP Pr</v>
          </cell>
          <cell r="C7289" t="str">
            <v>-BRS_GOLD_1:MSWPBPROA</v>
          </cell>
          <cell r="D7289" t="str">
            <v>Index</v>
          </cell>
          <cell r="E7289" t="str">
            <v>Index Level</v>
          </cell>
          <cell r="F7289" t="str">
            <v>Other</v>
          </cell>
          <cell r="G7289" t="str">
            <v>Other</v>
          </cell>
          <cell r="H7289" t="str">
            <v>OTHER</v>
          </cell>
          <cell r="I7289" t="str">
            <v>Other - Index</v>
          </cell>
        </row>
        <row r="7290">
          <cell r="A7290" t="str">
            <v>MSWRLD_LCL</v>
          </cell>
          <cell r="B7290" t="str">
            <v>MSCI World (Loc)</v>
          </cell>
          <cell r="C7290" t="str">
            <v>-BRS_GOLD_1:MSWRLD_LCL</v>
          </cell>
          <cell r="D7290" t="str">
            <v>Index</v>
          </cell>
          <cell r="E7290" t="str">
            <v>Index Level</v>
          </cell>
          <cell r="F7290" t="str">
            <v>Other</v>
          </cell>
          <cell r="G7290" t="str">
            <v>Other</v>
          </cell>
          <cell r="H7290" t="str">
            <v>OTHER</v>
          </cell>
          <cell r="I7290" t="str">
            <v>Other - Index</v>
          </cell>
        </row>
        <row r="7291">
          <cell r="A7291" t="str">
            <v>MSWRLMICAP</v>
          </cell>
          <cell r="B7291" t="str">
            <v>MSCI World Mid Cap</v>
          </cell>
          <cell r="C7291" t="str">
            <v>-BRS_GOLD_1:MSWRLMICAP</v>
          </cell>
          <cell r="D7291" t="str">
            <v>Index</v>
          </cell>
          <cell r="E7291" t="str">
            <v>Index Level</v>
          </cell>
          <cell r="F7291" t="str">
            <v>Other</v>
          </cell>
          <cell r="G7291" t="str">
            <v>Other</v>
          </cell>
          <cell r="H7291" t="str">
            <v>OTHER</v>
          </cell>
          <cell r="I7291" t="str">
            <v>Other - Index</v>
          </cell>
        </row>
        <row r="7292">
          <cell r="A7292" t="str">
            <v>MSWRLSMCAP</v>
          </cell>
          <cell r="B7292" t="str">
            <v>MSCI World Small Cap</v>
          </cell>
          <cell r="C7292" t="str">
            <v>-BRS_GOLD_1:MSWRLSMCAP</v>
          </cell>
          <cell r="D7292" t="str">
            <v>Index</v>
          </cell>
          <cell r="E7292" t="str">
            <v>Index Level</v>
          </cell>
          <cell r="F7292" t="str">
            <v>Other</v>
          </cell>
          <cell r="G7292" t="str">
            <v>Other</v>
          </cell>
          <cell r="H7292" t="str">
            <v>OTHER</v>
          </cell>
          <cell r="I7292" t="str">
            <v>Other - Index</v>
          </cell>
        </row>
        <row r="7293">
          <cell r="A7293" t="str">
            <v>MSWSGIGBP</v>
          </cell>
          <cell r="B7293" t="str">
            <v>MSCI WORLD ESG SCREENED G GBP</v>
          </cell>
          <cell r="C7293" t="str">
            <v>-BRS_GOLD_1:MSWSGIGBP</v>
          </cell>
          <cell r="D7293" t="str">
            <v>Index</v>
          </cell>
          <cell r="E7293" t="str">
            <v>Index Level</v>
          </cell>
          <cell r="F7293" t="str">
            <v>Other</v>
          </cell>
          <cell r="G7293" t="str">
            <v>Other</v>
          </cell>
          <cell r="H7293" t="str">
            <v>OTHER</v>
          </cell>
          <cell r="I7293" t="str">
            <v>Other - Index</v>
          </cell>
        </row>
        <row r="7294">
          <cell r="A7294" t="str">
            <v>MSWSPIGBP</v>
          </cell>
          <cell r="B7294" t="str">
            <v>MSCI WORLD ESG SCREENED P GBP</v>
          </cell>
          <cell r="C7294" t="str">
            <v>-BRS_GOLD_1:MSWSPIGBP</v>
          </cell>
          <cell r="D7294" t="str">
            <v>Index</v>
          </cell>
          <cell r="E7294" t="str">
            <v>Index Level</v>
          </cell>
          <cell r="F7294" t="str">
            <v>Other</v>
          </cell>
          <cell r="G7294" t="str">
            <v>Other</v>
          </cell>
          <cell r="H7294" t="str">
            <v>OTHER</v>
          </cell>
          <cell r="I7294" t="str">
            <v>Other - Index</v>
          </cell>
        </row>
        <row r="7295">
          <cell r="A7295" t="str">
            <v>MSWSRIEU</v>
          </cell>
          <cell r="B7295" t="str">
            <v>MSCI World SRI Index</v>
          </cell>
          <cell r="C7295" t="str">
            <v>-BRS_GOLD_1:MSWSRIEU</v>
          </cell>
          <cell r="D7295" t="str">
            <v>Index</v>
          </cell>
          <cell r="E7295" t="str">
            <v>Index Level</v>
          </cell>
          <cell r="F7295" t="str">
            <v>Other</v>
          </cell>
          <cell r="G7295" t="str">
            <v>Other</v>
          </cell>
          <cell r="H7295" t="str">
            <v>OTHER</v>
          </cell>
          <cell r="I7295" t="str">
            <v>Other - Index</v>
          </cell>
        </row>
        <row r="7296">
          <cell r="A7296" t="str">
            <v>MSWSRINEU</v>
          </cell>
          <cell r="B7296" t="str">
            <v>MSCI World SRI Net Index</v>
          </cell>
          <cell r="C7296" t="str">
            <v>-BRS_GOLD_1:MSWSRINEU</v>
          </cell>
          <cell r="D7296" t="str">
            <v>Index</v>
          </cell>
          <cell r="E7296" t="str">
            <v>Index Level</v>
          </cell>
          <cell r="F7296" t="str">
            <v>Other</v>
          </cell>
          <cell r="G7296" t="str">
            <v>Other</v>
          </cell>
          <cell r="H7296" t="str">
            <v>OTHER</v>
          </cell>
          <cell r="I7296" t="str">
            <v>Other - Index</v>
          </cell>
        </row>
        <row r="7297">
          <cell r="A7297" t="str">
            <v>MSWSRINUS</v>
          </cell>
          <cell r="B7297" t="str">
            <v>MSCI World SRI Net Index (USD</v>
          </cell>
          <cell r="C7297" t="str">
            <v>-BRS_GOLD_1:MSWSRINUS</v>
          </cell>
          <cell r="D7297" t="str">
            <v>Index</v>
          </cell>
          <cell r="E7297" t="str">
            <v>Index Level</v>
          </cell>
          <cell r="F7297" t="str">
            <v>Other</v>
          </cell>
          <cell r="G7297" t="str">
            <v>Other</v>
          </cell>
          <cell r="H7297" t="str">
            <v>OTHER</v>
          </cell>
          <cell r="I7297" t="str">
            <v>Other - Index</v>
          </cell>
        </row>
        <row r="7298">
          <cell r="A7298" t="str">
            <v>MSWSRIPEU</v>
          </cell>
          <cell r="B7298" t="str">
            <v>MSCI World SRI Price Index</v>
          </cell>
          <cell r="C7298" t="str">
            <v>-BRS_GOLD_1:MSWSRIPEU</v>
          </cell>
          <cell r="D7298" t="str">
            <v>Index</v>
          </cell>
          <cell r="E7298" t="str">
            <v>Index Level</v>
          </cell>
          <cell r="F7298" t="str">
            <v>Other</v>
          </cell>
          <cell r="G7298" t="str">
            <v>Other</v>
          </cell>
          <cell r="H7298" t="str">
            <v>OTHER</v>
          </cell>
          <cell r="I7298" t="str">
            <v>Other - Index</v>
          </cell>
        </row>
        <row r="7299">
          <cell r="A7299" t="str">
            <v>MSWXAUXCW</v>
          </cell>
          <cell r="B7299" t="str">
            <v>MSCI WORLD exAU ex ConW AUD N</v>
          </cell>
          <cell r="C7299" t="str">
            <v>-BRS_GOLD_1:MSWXAUXCW</v>
          </cell>
          <cell r="D7299" t="str">
            <v>Index</v>
          </cell>
          <cell r="E7299" t="str">
            <v>Index Level</v>
          </cell>
          <cell r="F7299" t="str">
            <v>Other</v>
          </cell>
          <cell r="G7299" t="str">
            <v>Other</v>
          </cell>
          <cell r="H7299" t="str">
            <v>OTHER</v>
          </cell>
          <cell r="I7299" t="str">
            <v>Other - Index</v>
          </cell>
        </row>
        <row r="7300">
          <cell r="A7300" t="str">
            <v>MSWXCHLEDN</v>
          </cell>
          <cell r="B7300" t="str">
            <v>MSCI World exCH ESGLead N CHF</v>
          </cell>
          <cell r="C7300" t="str">
            <v>-BRS_GOLD_1:MSWXCHLEDN</v>
          </cell>
          <cell r="D7300" t="str">
            <v>Index</v>
          </cell>
          <cell r="E7300" t="str">
            <v>Index Level</v>
          </cell>
          <cell r="F7300" t="str">
            <v>Other</v>
          </cell>
          <cell r="G7300" t="str">
            <v>Other</v>
          </cell>
          <cell r="H7300" t="str">
            <v>OTHER</v>
          </cell>
          <cell r="I7300" t="str">
            <v>Other - Index</v>
          </cell>
        </row>
        <row r="7301">
          <cell r="A7301" t="str">
            <v>MSWXCONFL</v>
          </cell>
          <cell r="B7301" t="str">
            <v>MSCI World Ex Contr N float</v>
          </cell>
          <cell r="C7301" t="str">
            <v>-BRS_GOLD_1:MSWXCONFL</v>
          </cell>
          <cell r="D7301" t="str">
            <v>Index</v>
          </cell>
          <cell r="E7301" t="str">
            <v>Index Level</v>
          </cell>
          <cell r="F7301" t="str">
            <v>Other</v>
          </cell>
          <cell r="G7301" t="str">
            <v>Other</v>
          </cell>
          <cell r="H7301" t="str">
            <v>OTHER</v>
          </cell>
          <cell r="I7301" t="str">
            <v>Other - Index</v>
          </cell>
        </row>
        <row r="7302">
          <cell r="A7302" t="str">
            <v>MSWXCONTPR</v>
          </cell>
          <cell r="B7302" t="str">
            <v>MSCI World Ex Contr P</v>
          </cell>
          <cell r="C7302" t="str">
            <v>-BRS_GOLD_1:MSWXCONTPR</v>
          </cell>
          <cell r="D7302" t="str">
            <v>Index</v>
          </cell>
          <cell r="E7302" t="str">
            <v>Index Level</v>
          </cell>
          <cell r="F7302" t="str">
            <v>Other</v>
          </cell>
          <cell r="G7302" t="str">
            <v>Other</v>
          </cell>
          <cell r="H7302" t="str">
            <v>OTHER</v>
          </cell>
          <cell r="I7302" t="str">
            <v>Other - Index</v>
          </cell>
        </row>
        <row r="7303">
          <cell r="A7303" t="str">
            <v>MSWXCONTRN</v>
          </cell>
          <cell r="B7303" t="str">
            <v>MSCI World Ex Contr N</v>
          </cell>
          <cell r="C7303" t="str">
            <v>-BRS_GOLD_1:MSWXCONTRN</v>
          </cell>
          <cell r="D7303" t="str">
            <v>Index</v>
          </cell>
          <cell r="E7303" t="str">
            <v>Index Level</v>
          </cell>
          <cell r="F7303" t="str">
            <v>Other</v>
          </cell>
          <cell r="G7303" t="str">
            <v>Other</v>
          </cell>
          <cell r="H7303" t="str">
            <v>OTHER</v>
          </cell>
          <cell r="I7303" t="str">
            <v>Other - Index</v>
          </cell>
        </row>
        <row r="7304">
          <cell r="A7304" t="str">
            <v>MSWXCONTRO</v>
          </cell>
          <cell r="B7304" t="str">
            <v>MSCI World Ex Contr Gr</v>
          </cell>
          <cell r="C7304" t="str">
            <v>-BRS_GOLD_1:MSWXCONTRO</v>
          </cell>
          <cell r="D7304" t="str">
            <v>Index</v>
          </cell>
          <cell r="E7304" t="str">
            <v>Index Level</v>
          </cell>
          <cell r="F7304" t="str">
            <v>Other</v>
          </cell>
          <cell r="G7304" t="str">
            <v>Other</v>
          </cell>
          <cell r="H7304" t="str">
            <v>OTHER</v>
          </cell>
          <cell r="I7304" t="str">
            <v>Other - Index</v>
          </cell>
        </row>
        <row r="7305">
          <cell r="A7305" t="str">
            <v>MSWXUSXFFG</v>
          </cell>
          <cell r="B7305" t="str">
            <v>MSCI World ex USA ex Fossil F</v>
          </cell>
          <cell r="C7305" t="str">
            <v>-BRS_GOLD_1:MSWXUSXFFG</v>
          </cell>
          <cell r="D7305" t="str">
            <v>Index</v>
          </cell>
          <cell r="E7305" t="str">
            <v>Index Level</v>
          </cell>
          <cell r="F7305" t="str">
            <v>Other</v>
          </cell>
          <cell r="G7305" t="str">
            <v>Other</v>
          </cell>
          <cell r="H7305" t="str">
            <v>OTHER</v>
          </cell>
          <cell r="I7305" t="str">
            <v>Other - Index</v>
          </cell>
        </row>
        <row r="7306">
          <cell r="A7306" t="str">
            <v>MSWXUSXFFN</v>
          </cell>
          <cell r="B7306" t="str">
            <v>MSCI World ex USA ex Fos Fu N</v>
          </cell>
          <cell r="C7306" t="str">
            <v>-BRS_GOLD_1:MSWXUSXFFN</v>
          </cell>
          <cell r="D7306" t="str">
            <v>Index</v>
          </cell>
          <cell r="E7306" t="str">
            <v>Index Level</v>
          </cell>
          <cell r="F7306" t="str">
            <v>Other</v>
          </cell>
          <cell r="G7306" t="str">
            <v>Other</v>
          </cell>
          <cell r="H7306" t="str">
            <v>OTHER</v>
          </cell>
          <cell r="I7306" t="str">
            <v>Other - Index</v>
          </cell>
        </row>
        <row r="7307">
          <cell r="A7307" t="str">
            <v>MSWXUSXFFP</v>
          </cell>
          <cell r="B7307" t="str">
            <v>MSCI World ex USA ex Fos Fu P</v>
          </cell>
          <cell r="C7307" t="str">
            <v>-BRS_GOLD_1:MSWXUSXFFP</v>
          </cell>
          <cell r="D7307" t="str">
            <v>Index</v>
          </cell>
          <cell r="E7307" t="str">
            <v>Index Level</v>
          </cell>
          <cell r="F7307" t="str">
            <v>Other</v>
          </cell>
          <cell r="G7307" t="str">
            <v>Other</v>
          </cell>
          <cell r="H7307" t="str">
            <v>OTHER</v>
          </cell>
          <cell r="I7307" t="str">
            <v>Other - Index</v>
          </cell>
        </row>
        <row r="7308">
          <cell r="A7308" t="str">
            <v>MSXAUSXWEA</v>
          </cell>
          <cell r="B7308" t="str">
            <v>MSCI WORLD exAU ex Contr Wea</v>
          </cell>
          <cell r="C7308" t="str">
            <v>-BRS_GOLD_1:MSXAUSXWEA</v>
          </cell>
          <cell r="D7308" t="str">
            <v>Index</v>
          </cell>
          <cell r="E7308" t="str">
            <v>Index Level</v>
          </cell>
          <cell r="F7308" t="str">
            <v>Other</v>
          </cell>
          <cell r="G7308" t="str">
            <v>Other</v>
          </cell>
          <cell r="H7308" t="str">
            <v>OTHER</v>
          </cell>
          <cell r="I7308" t="str">
            <v>Other - Index</v>
          </cell>
        </row>
        <row r="7309">
          <cell r="A7309" t="str">
            <v>MSXCANWPNU</v>
          </cell>
          <cell r="B7309" t="str">
            <v>MSCI CAN EX CONTR WEAP US N</v>
          </cell>
          <cell r="C7309" t="str">
            <v>-BRS_GOLD_1:MSXCANWPNU</v>
          </cell>
          <cell r="D7309" t="str">
            <v>Index</v>
          </cell>
          <cell r="E7309" t="str">
            <v>Index Level</v>
          </cell>
          <cell r="F7309" t="str">
            <v>Other</v>
          </cell>
          <cell r="G7309" t="str">
            <v>Other</v>
          </cell>
          <cell r="H7309" t="str">
            <v>OTHER</v>
          </cell>
          <cell r="I7309" t="str">
            <v>Other - Index</v>
          </cell>
        </row>
        <row r="7310">
          <cell r="A7310" t="str">
            <v>MSXSWESGL</v>
          </cell>
          <cell r="B7310" t="str">
            <v>MSCI World exCH ESG Lead N</v>
          </cell>
          <cell r="C7310" t="str">
            <v>-BRS_GOLD_1:MSXSWESGL</v>
          </cell>
          <cell r="D7310" t="str">
            <v>Index</v>
          </cell>
          <cell r="E7310" t="str">
            <v>Index Level</v>
          </cell>
          <cell r="F7310" t="str">
            <v>Other</v>
          </cell>
          <cell r="G7310" t="str">
            <v>Other</v>
          </cell>
          <cell r="H7310" t="str">
            <v>OTHER</v>
          </cell>
          <cell r="I7310" t="str">
            <v>Other - Index</v>
          </cell>
        </row>
        <row r="7311">
          <cell r="A7311" t="str">
            <v>MSXSWNRUS</v>
          </cell>
          <cell r="B7311" t="str">
            <v>MSCI World exCH ESG Ld USD N</v>
          </cell>
          <cell r="C7311" t="str">
            <v>-BRS_GOLD_1:MSXSWNRUS</v>
          </cell>
          <cell r="D7311" t="str">
            <v>Index</v>
          </cell>
          <cell r="E7311" t="str">
            <v>Index Level</v>
          </cell>
          <cell r="F7311" t="str">
            <v>Other</v>
          </cell>
          <cell r="G7311" t="str">
            <v>Other</v>
          </cell>
          <cell r="H7311" t="str">
            <v>OTHER</v>
          </cell>
          <cell r="I7311" t="str">
            <v>Other - Index</v>
          </cell>
        </row>
        <row r="7312">
          <cell r="A7312" t="str">
            <v>MS_AU</v>
          </cell>
          <cell r="B7312" t="str">
            <v>MSCI Australia</v>
          </cell>
          <cell r="C7312" t="str">
            <v>-BRS_GOLD_1:MS_AU</v>
          </cell>
          <cell r="D7312" t="str">
            <v>Index</v>
          </cell>
          <cell r="E7312" t="str">
            <v>Index Level</v>
          </cell>
          <cell r="F7312" t="str">
            <v>Other</v>
          </cell>
          <cell r="G7312" t="str">
            <v>Other</v>
          </cell>
          <cell r="H7312" t="str">
            <v>OTHER</v>
          </cell>
          <cell r="I7312" t="str">
            <v>Other - Index</v>
          </cell>
        </row>
        <row r="7313">
          <cell r="A7313" t="str">
            <v>MS_CA</v>
          </cell>
          <cell r="B7313" t="str">
            <v>MSCI Canada</v>
          </cell>
          <cell r="C7313" t="str">
            <v>-BRS_GOLD_1:MS_CA</v>
          </cell>
          <cell r="D7313" t="str">
            <v>Index</v>
          </cell>
          <cell r="E7313" t="str">
            <v>Index Level</v>
          </cell>
          <cell r="F7313" t="str">
            <v>Other</v>
          </cell>
          <cell r="G7313" t="str">
            <v>Other</v>
          </cell>
          <cell r="H7313" t="str">
            <v>OTHER</v>
          </cell>
          <cell r="I7313" t="str">
            <v>Other - Index</v>
          </cell>
        </row>
        <row r="7314">
          <cell r="A7314" t="str">
            <v>MS_CN_LCL</v>
          </cell>
          <cell r="B7314" t="str">
            <v>MSCI China</v>
          </cell>
          <cell r="C7314" t="str">
            <v>-BRS_GOLD_1:MS_CN_LCL</v>
          </cell>
          <cell r="D7314" t="str">
            <v>Index</v>
          </cell>
          <cell r="E7314" t="str">
            <v>Index Level</v>
          </cell>
          <cell r="F7314" t="str">
            <v>Other</v>
          </cell>
          <cell r="G7314" t="str">
            <v>Other</v>
          </cell>
          <cell r="H7314" t="str">
            <v>OTHER</v>
          </cell>
          <cell r="I7314" t="str">
            <v>Other - Index</v>
          </cell>
        </row>
        <row r="7315">
          <cell r="A7315" t="str">
            <v>MS_DE</v>
          </cell>
          <cell r="B7315" t="str">
            <v>MSCI Germany</v>
          </cell>
          <cell r="C7315" t="str">
            <v>-BRS_GOLD_1:MS_DE</v>
          </cell>
          <cell r="D7315" t="str">
            <v>Index</v>
          </cell>
          <cell r="E7315" t="str">
            <v>Index Level</v>
          </cell>
          <cell r="F7315" t="str">
            <v>Other</v>
          </cell>
          <cell r="G7315" t="str">
            <v>Other</v>
          </cell>
          <cell r="H7315" t="str">
            <v>OTHER</v>
          </cell>
          <cell r="I7315" t="str">
            <v>Other - Index</v>
          </cell>
        </row>
        <row r="7316">
          <cell r="A7316" t="str">
            <v>MS_DK</v>
          </cell>
          <cell r="B7316" t="str">
            <v>MSCI Denmark</v>
          </cell>
          <cell r="C7316" t="str">
            <v>-BRS_GOLD_1:MS_DK</v>
          </cell>
          <cell r="D7316" t="str">
            <v>Index</v>
          </cell>
          <cell r="E7316" t="str">
            <v>Index Level</v>
          </cell>
          <cell r="F7316" t="str">
            <v>Other</v>
          </cell>
          <cell r="G7316" t="str">
            <v>Other</v>
          </cell>
          <cell r="H7316" t="str">
            <v>OTHER</v>
          </cell>
          <cell r="I7316" t="str">
            <v>Other - Index</v>
          </cell>
        </row>
        <row r="7317">
          <cell r="A7317" t="str">
            <v>MS_EMU</v>
          </cell>
          <cell r="B7317" t="str">
            <v>MSCI EMU Index</v>
          </cell>
          <cell r="C7317" t="str">
            <v>-BRS_GOLD_1:MS_EMU</v>
          </cell>
          <cell r="D7317" t="str">
            <v>Index</v>
          </cell>
          <cell r="E7317" t="str">
            <v>Index Level</v>
          </cell>
          <cell r="F7317" t="str">
            <v>Other</v>
          </cell>
          <cell r="G7317" t="str">
            <v>Other</v>
          </cell>
          <cell r="H7317" t="str">
            <v>OTHER</v>
          </cell>
          <cell r="I7317" t="str">
            <v>Other - Index</v>
          </cell>
        </row>
        <row r="7318">
          <cell r="A7318" t="str">
            <v>MS_ES</v>
          </cell>
          <cell r="B7318" t="str">
            <v>MSCI Spain</v>
          </cell>
          <cell r="C7318" t="str">
            <v>-BRS_GOLD_1:MS_ES</v>
          </cell>
          <cell r="D7318" t="str">
            <v>Index</v>
          </cell>
          <cell r="E7318" t="str">
            <v>Index Level</v>
          </cell>
          <cell r="F7318" t="str">
            <v>Other</v>
          </cell>
          <cell r="G7318" t="str">
            <v>Other</v>
          </cell>
          <cell r="H7318" t="str">
            <v>OTHER</v>
          </cell>
          <cell r="I7318" t="str">
            <v>Other - Index</v>
          </cell>
        </row>
        <row r="7319">
          <cell r="A7319" t="str">
            <v>MS_FR</v>
          </cell>
          <cell r="B7319" t="str">
            <v>MSCI France</v>
          </cell>
          <cell r="C7319" t="str">
            <v>-BRS_GOLD_1:MS_FR</v>
          </cell>
          <cell r="D7319" t="str">
            <v>Index</v>
          </cell>
          <cell r="E7319" t="str">
            <v>Index Level</v>
          </cell>
          <cell r="F7319" t="str">
            <v>Other</v>
          </cell>
          <cell r="G7319" t="str">
            <v>Other</v>
          </cell>
          <cell r="H7319" t="str">
            <v>OTHER</v>
          </cell>
          <cell r="I7319" t="str">
            <v>Other - Index</v>
          </cell>
        </row>
        <row r="7320">
          <cell r="A7320" t="str">
            <v>MS_GB</v>
          </cell>
          <cell r="B7320" t="str">
            <v>MSCI United Kingdom</v>
          </cell>
          <cell r="C7320" t="str">
            <v>-BRS_GOLD_1:MS_GB</v>
          </cell>
          <cell r="D7320" t="str">
            <v>Index</v>
          </cell>
          <cell r="E7320" t="str">
            <v>Index Level</v>
          </cell>
          <cell r="F7320" t="str">
            <v>Other</v>
          </cell>
          <cell r="G7320" t="str">
            <v>Other</v>
          </cell>
          <cell r="H7320" t="str">
            <v>OTHER</v>
          </cell>
          <cell r="I7320" t="str">
            <v>Other - Index</v>
          </cell>
        </row>
        <row r="7321">
          <cell r="A7321" t="str">
            <v>MS_GB_ND</v>
          </cell>
          <cell r="B7321" t="str">
            <v>MSCI UK Index</v>
          </cell>
          <cell r="C7321" t="str">
            <v>-BRS_GOLD_1:MS_GB_ND</v>
          </cell>
          <cell r="D7321" t="str">
            <v>Index</v>
          </cell>
          <cell r="E7321" t="str">
            <v>Index Level</v>
          </cell>
          <cell r="F7321" t="str">
            <v>Other</v>
          </cell>
          <cell r="G7321" t="str">
            <v>Other</v>
          </cell>
          <cell r="H7321" t="str">
            <v>OTHER</v>
          </cell>
          <cell r="I7321" t="str">
            <v>Other - Index</v>
          </cell>
        </row>
        <row r="7322">
          <cell r="A7322" t="str">
            <v>MS_HDX_RADAR</v>
          </cell>
          <cell r="B7322" t="str">
            <v>Morgan Stanley HDX Radar MS</v>
          </cell>
          <cell r="C7322" t="str">
            <v>-BRS_GOLD_1:MS_HDX_RADAR</v>
          </cell>
          <cell r="D7322" t="str">
            <v>Price</v>
          </cell>
          <cell r="E7322" t="str">
            <v>Price Level</v>
          </cell>
          <cell r="F7322" t="str">
            <v>Other</v>
          </cell>
          <cell r="G7322" t="str">
            <v>Other</v>
          </cell>
          <cell r="H7322" t="str">
            <v>OTHER</v>
          </cell>
          <cell r="I7322" t="str">
            <v>Other - Price</v>
          </cell>
        </row>
        <row r="7323">
          <cell r="A7323" t="str">
            <v>MS_IL</v>
          </cell>
          <cell r="B7323" t="str">
            <v>MSCI Israel (Loc)</v>
          </cell>
          <cell r="C7323" t="str">
            <v>-BRS_GOLD_1:MS_IL</v>
          </cell>
          <cell r="D7323" t="str">
            <v>Index</v>
          </cell>
          <cell r="E7323" t="str">
            <v>Index Level</v>
          </cell>
          <cell r="F7323" t="str">
            <v>Other</v>
          </cell>
          <cell r="G7323" t="str">
            <v>Other</v>
          </cell>
          <cell r="H7323" t="str">
            <v>OTHER</v>
          </cell>
          <cell r="I7323" t="str">
            <v>Other - Index</v>
          </cell>
        </row>
        <row r="7324">
          <cell r="A7324" t="str">
            <v>MS_IL_USD</v>
          </cell>
          <cell r="B7324" t="str">
            <v>MSCI Israel (USD)</v>
          </cell>
          <cell r="C7324" t="str">
            <v>-BRS_GOLD_1:MS_IL_USD</v>
          </cell>
          <cell r="D7324" t="str">
            <v>Index</v>
          </cell>
          <cell r="E7324" t="str">
            <v>Index Level</v>
          </cell>
          <cell r="F7324" t="str">
            <v>Other</v>
          </cell>
          <cell r="G7324" t="str">
            <v>Other</v>
          </cell>
          <cell r="H7324" t="str">
            <v>OTHER</v>
          </cell>
          <cell r="I7324" t="str">
            <v>Other - Index</v>
          </cell>
        </row>
        <row r="7325">
          <cell r="A7325" t="str">
            <v>MS_IN</v>
          </cell>
          <cell r="B7325" t="str">
            <v>MSCI India</v>
          </cell>
          <cell r="C7325" t="str">
            <v>-BRS_GOLD_1:MS_IN</v>
          </cell>
          <cell r="D7325" t="str">
            <v>Index</v>
          </cell>
          <cell r="E7325" t="str">
            <v>Index Level</v>
          </cell>
          <cell r="F7325" t="str">
            <v>Other</v>
          </cell>
          <cell r="G7325" t="str">
            <v>Other</v>
          </cell>
          <cell r="H7325" t="str">
            <v>OTHER</v>
          </cell>
          <cell r="I7325" t="str">
            <v>Other - Index</v>
          </cell>
        </row>
        <row r="7326">
          <cell r="A7326" t="str">
            <v>MS_IN_USDN</v>
          </cell>
          <cell r="B7326" t="str">
            <v>MSCI India Index (USD)</v>
          </cell>
          <cell r="C7326" t="str">
            <v>-BRS_GOLD_1:MS_IN_USDN</v>
          </cell>
          <cell r="D7326" t="str">
            <v>Index</v>
          </cell>
          <cell r="E7326" t="str">
            <v>Index Level</v>
          </cell>
          <cell r="F7326" t="str">
            <v>Other</v>
          </cell>
          <cell r="G7326" t="str">
            <v>Other</v>
          </cell>
          <cell r="H7326" t="str">
            <v>OTHER</v>
          </cell>
          <cell r="I7326" t="str">
            <v>Other - Index</v>
          </cell>
        </row>
        <row r="7327">
          <cell r="A7327" t="str">
            <v>MS_IT</v>
          </cell>
          <cell r="B7327" t="str">
            <v>MSCI Italy</v>
          </cell>
          <cell r="C7327" t="str">
            <v>-BRS_GOLD_1:MS_IT</v>
          </cell>
          <cell r="D7327" t="str">
            <v>Index</v>
          </cell>
          <cell r="E7327" t="str">
            <v>Index Level</v>
          </cell>
          <cell r="F7327" t="str">
            <v>Other</v>
          </cell>
          <cell r="G7327" t="str">
            <v>Other</v>
          </cell>
          <cell r="H7327" t="str">
            <v>OTHER</v>
          </cell>
          <cell r="I7327" t="str">
            <v>Other - Index</v>
          </cell>
        </row>
        <row r="7328">
          <cell r="A7328" t="str">
            <v>MS_JP</v>
          </cell>
          <cell r="B7328" t="str">
            <v>MSCI Japan</v>
          </cell>
          <cell r="C7328" t="str">
            <v>-BRS_GOLD_1:MS_JP</v>
          </cell>
          <cell r="D7328" t="str">
            <v>Index</v>
          </cell>
          <cell r="E7328" t="str">
            <v>Index Level</v>
          </cell>
          <cell r="F7328" t="str">
            <v>Other</v>
          </cell>
          <cell r="G7328" t="str">
            <v>Other</v>
          </cell>
          <cell r="H7328" t="str">
            <v>OTHER</v>
          </cell>
          <cell r="I7328" t="str">
            <v>Other - Index</v>
          </cell>
        </row>
        <row r="7329">
          <cell r="A7329" t="str">
            <v>MS_JPERND</v>
          </cell>
          <cell r="B7329" t="str">
            <v>MSCI Japan Energy Index</v>
          </cell>
          <cell r="C7329" t="str">
            <v>-BRS_GOLD_1:MS_JPERND</v>
          </cell>
          <cell r="D7329" t="str">
            <v>Index</v>
          </cell>
          <cell r="E7329" t="str">
            <v>Index Level</v>
          </cell>
          <cell r="F7329" t="str">
            <v>Other</v>
          </cell>
          <cell r="G7329" t="str">
            <v>Other</v>
          </cell>
          <cell r="H7329" t="str">
            <v>OTHER</v>
          </cell>
          <cell r="I7329" t="str">
            <v>Other - Index</v>
          </cell>
        </row>
        <row r="7330">
          <cell r="A7330" t="str">
            <v>MS_JPFNND</v>
          </cell>
          <cell r="B7330" t="str">
            <v>MSCI Japan Financials Index</v>
          </cell>
          <cell r="C7330" t="str">
            <v>-BRS_GOLD_1:MS_JPFNND</v>
          </cell>
          <cell r="D7330" t="str">
            <v>Index</v>
          </cell>
          <cell r="E7330" t="str">
            <v>Index Level</v>
          </cell>
          <cell r="F7330" t="str">
            <v>Other</v>
          </cell>
          <cell r="G7330" t="str">
            <v>Other</v>
          </cell>
          <cell r="H7330" t="str">
            <v>OTHER</v>
          </cell>
          <cell r="I7330" t="str">
            <v>Other - Index</v>
          </cell>
        </row>
        <row r="7331">
          <cell r="A7331" t="str">
            <v>MS_JPGRND</v>
          </cell>
          <cell r="B7331" t="str">
            <v>MSCI Japan Growth Index</v>
          </cell>
          <cell r="C7331" t="str">
            <v>-BRS_GOLD_1:MS_JPGRND</v>
          </cell>
          <cell r="D7331" t="str">
            <v>Index</v>
          </cell>
          <cell r="E7331" t="str">
            <v>Index Level</v>
          </cell>
          <cell r="F7331" t="str">
            <v>Other</v>
          </cell>
          <cell r="G7331" t="str">
            <v>Other</v>
          </cell>
          <cell r="H7331" t="str">
            <v>OTHER</v>
          </cell>
          <cell r="I7331" t="str">
            <v>Other - Index</v>
          </cell>
        </row>
        <row r="7332">
          <cell r="A7332" t="str">
            <v>MS_JPHCND</v>
          </cell>
          <cell r="B7332" t="str">
            <v>MSCI Japan Health Care Index</v>
          </cell>
          <cell r="C7332" t="str">
            <v>-BRS_GOLD_1:MS_JPHCND</v>
          </cell>
          <cell r="D7332" t="str">
            <v>Index</v>
          </cell>
          <cell r="E7332" t="str">
            <v>Index Level</v>
          </cell>
          <cell r="F7332" t="str">
            <v>Other</v>
          </cell>
          <cell r="G7332" t="str">
            <v>Other</v>
          </cell>
          <cell r="H7332" t="str">
            <v>OTHER</v>
          </cell>
          <cell r="I7332" t="str">
            <v>Other - Index</v>
          </cell>
        </row>
        <row r="7333">
          <cell r="A7333" t="str">
            <v>MS_JPITND</v>
          </cell>
          <cell r="B7333" t="str">
            <v>MSCI Japan IT Index</v>
          </cell>
          <cell r="C7333" t="str">
            <v>-BRS_GOLD_1:MS_JPITND</v>
          </cell>
          <cell r="D7333" t="str">
            <v>Index</v>
          </cell>
          <cell r="E7333" t="str">
            <v>Index Level</v>
          </cell>
          <cell r="F7333" t="str">
            <v>Other</v>
          </cell>
          <cell r="G7333" t="str">
            <v>Other</v>
          </cell>
          <cell r="H7333" t="str">
            <v>OTHER</v>
          </cell>
          <cell r="I7333" t="str">
            <v>Other - Index</v>
          </cell>
        </row>
        <row r="7334">
          <cell r="A7334" t="str">
            <v>MS_JPSCND</v>
          </cell>
          <cell r="B7334" t="str">
            <v>MSCI Japan Small Cap Index</v>
          </cell>
          <cell r="C7334" t="str">
            <v>-BRS_GOLD_1:MS_JPSCND</v>
          </cell>
          <cell r="D7334" t="str">
            <v>Index</v>
          </cell>
          <cell r="E7334" t="str">
            <v>Index Level</v>
          </cell>
          <cell r="F7334" t="str">
            <v>Other</v>
          </cell>
          <cell r="G7334" t="str">
            <v>Other</v>
          </cell>
          <cell r="H7334" t="str">
            <v>OTHER</v>
          </cell>
          <cell r="I7334" t="str">
            <v>Other - Index</v>
          </cell>
        </row>
        <row r="7335">
          <cell r="A7335" t="str">
            <v>MS_JPVLND</v>
          </cell>
          <cell r="B7335" t="str">
            <v>MSCI Japan Value Index</v>
          </cell>
          <cell r="C7335" t="str">
            <v>-BRS_GOLD_1:MS_JPVLND</v>
          </cell>
          <cell r="D7335" t="str">
            <v>Index</v>
          </cell>
          <cell r="E7335" t="str">
            <v>Index Level</v>
          </cell>
          <cell r="F7335" t="str">
            <v>Other</v>
          </cell>
          <cell r="G7335" t="str">
            <v>Other</v>
          </cell>
          <cell r="H7335" t="str">
            <v>OTHER</v>
          </cell>
          <cell r="I7335" t="str">
            <v>Other - Index</v>
          </cell>
        </row>
        <row r="7336">
          <cell r="A7336" t="str">
            <v>MS_JP_NET</v>
          </cell>
          <cell r="B7336" t="str">
            <v>MSCI Japan Index</v>
          </cell>
          <cell r="C7336" t="str">
            <v>-BRS_GOLD_1:MS_JP_NET</v>
          </cell>
          <cell r="D7336" t="str">
            <v>Index</v>
          </cell>
          <cell r="E7336" t="str">
            <v>Index Level</v>
          </cell>
          <cell r="F7336" t="str">
            <v>Other</v>
          </cell>
          <cell r="G7336" t="str">
            <v>Other</v>
          </cell>
          <cell r="H7336" t="str">
            <v>OTHER</v>
          </cell>
          <cell r="I7336" t="str">
            <v>Other - Index</v>
          </cell>
        </row>
        <row r="7337">
          <cell r="A7337" t="str">
            <v>MS_KR</v>
          </cell>
          <cell r="B7337" t="str">
            <v>MSCI South Korea</v>
          </cell>
          <cell r="C7337" t="str">
            <v>-BRS_GOLD_1:MS_KR</v>
          </cell>
          <cell r="D7337" t="str">
            <v>Index</v>
          </cell>
          <cell r="E7337" t="str">
            <v>Index Level</v>
          </cell>
          <cell r="F7337" t="str">
            <v>Other</v>
          </cell>
          <cell r="G7337" t="str">
            <v>Other</v>
          </cell>
          <cell r="H7337" t="str">
            <v>OTHER</v>
          </cell>
          <cell r="I7337" t="str">
            <v>Other - Index</v>
          </cell>
        </row>
        <row r="7338">
          <cell r="A7338" t="str">
            <v>MS_LA</v>
          </cell>
          <cell r="B7338" t="str">
            <v>MSCI EM Latin America (USD)</v>
          </cell>
          <cell r="C7338" t="str">
            <v>-BRS_GOLD_1:MS_LA</v>
          </cell>
          <cell r="D7338" t="str">
            <v>Index</v>
          </cell>
          <cell r="E7338" t="str">
            <v>Index Level</v>
          </cell>
          <cell r="F7338" t="str">
            <v>Other</v>
          </cell>
          <cell r="G7338" t="str">
            <v>Other</v>
          </cell>
          <cell r="H7338" t="str">
            <v>OTHER</v>
          </cell>
          <cell r="I7338" t="str">
            <v>Other - Index</v>
          </cell>
        </row>
        <row r="7339">
          <cell r="A7339" t="str">
            <v>MS_LA_LCL</v>
          </cell>
          <cell r="B7339" t="str">
            <v>MSCI EM Latin America (Loc)</v>
          </cell>
          <cell r="C7339" t="str">
            <v>-BRS_GOLD_1:MS_LA_LCL</v>
          </cell>
          <cell r="D7339" t="str">
            <v>Index</v>
          </cell>
          <cell r="E7339" t="str">
            <v>Index Level</v>
          </cell>
          <cell r="F7339" t="str">
            <v>Other</v>
          </cell>
          <cell r="G7339" t="str">
            <v>Other</v>
          </cell>
          <cell r="H7339" t="str">
            <v>OTHER</v>
          </cell>
          <cell r="I7339" t="str">
            <v>Other - Index</v>
          </cell>
        </row>
        <row r="7340">
          <cell r="A7340" t="str">
            <v>MS_LA_NET</v>
          </cell>
          <cell r="B7340" t="str">
            <v>MSCI EM Latin America Index</v>
          </cell>
          <cell r="C7340" t="str">
            <v>-BRS_GOLD_1:MS_LA_NET</v>
          </cell>
          <cell r="D7340" t="str">
            <v>Index</v>
          </cell>
          <cell r="E7340" t="str">
            <v>Index Level</v>
          </cell>
          <cell r="F7340" t="str">
            <v>Other</v>
          </cell>
          <cell r="G7340" t="str">
            <v>Other</v>
          </cell>
          <cell r="H7340" t="str">
            <v>OTHER</v>
          </cell>
          <cell r="I7340" t="str">
            <v>Other - Index</v>
          </cell>
        </row>
        <row r="7341">
          <cell r="A7341" t="str">
            <v>MS_NA</v>
          </cell>
          <cell r="B7341" t="str">
            <v>MSCI North America (USD)</v>
          </cell>
          <cell r="C7341" t="str">
            <v>-BRS_GOLD_1:MS_NA</v>
          </cell>
          <cell r="D7341" t="str">
            <v>Index</v>
          </cell>
          <cell r="E7341" t="str">
            <v>Index Level</v>
          </cell>
          <cell r="F7341" t="str">
            <v>Other</v>
          </cell>
          <cell r="G7341" t="str">
            <v>Other</v>
          </cell>
          <cell r="H7341" t="str">
            <v>OTHER</v>
          </cell>
          <cell r="I7341" t="str">
            <v>Other - Index</v>
          </cell>
        </row>
        <row r="7342">
          <cell r="A7342" t="str">
            <v>MS_NL</v>
          </cell>
          <cell r="B7342" t="str">
            <v>MSCI Netherlands</v>
          </cell>
          <cell r="C7342" t="str">
            <v>-BRS_GOLD_1:MS_NL</v>
          </cell>
          <cell r="D7342" t="str">
            <v>Index</v>
          </cell>
          <cell r="E7342" t="str">
            <v>Index Level</v>
          </cell>
          <cell r="F7342" t="str">
            <v>Other</v>
          </cell>
          <cell r="G7342" t="str">
            <v>Other</v>
          </cell>
          <cell r="H7342" t="str">
            <v>OTHER</v>
          </cell>
          <cell r="I7342" t="str">
            <v>Other - Index</v>
          </cell>
        </row>
        <row r="7343">
          <cell r="A7343" t="str">
            <v>MS_NO</v>
          </cell>
          <cell r="B7343" t="str">
            <v>MSCI Norway</v>
          </cell>
          <cell r="C7343" t="str">
            <v>-BRS_GOLD_1:MS_NO</v>
          </cell>
          <cell r="D7343" t="str">
            <v>Index</v>
          </cell>
          <cell r="E7343" t="str">
            <v>Index Level</v>
          </cell>
          <cell r="F7343" t="str">
            <v>Other</v>
          </cell>
          <cell r="G7343" t="str">
            <v>Other</v>
          </cell>
          <cell r="H7343" t="str">
            <v>OTHER</v>
          </cell>
          <cell r="I7343" t="str">
            <v>Other - Index</v>
          </cell>
        </row>
        <row r="7344">
          <cell r="A7344" t="str">
            <v>MS_SE</v>
          </cell>
          <cell r="B7344" t="str">
            <v>MSCI Sweden</v>
          </cell>
          <cell r="C7344" t="str">
            <v>-BRS_GOLD_1:MS_SE</v>
          </cell>
          <cell r="D7344" t="str">
            <v>Index</v>
          </cell>
          <cell r="E7344" t="str">
            <v>Index Level</v>
          </cell>
          <cell r="F7344" t="str">
            <v>Other</v>
          </cell>
          <cell r="G7344" t="str">
            <v>Other</v>
          </cell>
          <cell r="H7344" t="str">
            <v>OTHER</v>
          </cell>
          <cell r="I7344" t="str">
            <v>Other - Index</v>
          </cell>
        </row>
        <row r="7345">
          <cell r="A7345" t="str">
            <v>MS_US</v>
          </cell>
          <cell r="B7345" t="str">
            <v>MSCI United States</v>
          </cell>
          <cell r="C7345" t="str">
            <v>-BRS_GOLD_1:MS_US</v>
          </cell>
          <cell r="D7345" t="str">
            <v>Index</v>
          </cell>
          <cell r="E7345" t="str">
            <v>Index Level</v>
          </cell>
          <cell r="F7345" t="str">
            <v>Other</v>
          </cell>
          <cell r="G7345" t="str">
            <v>Other</v>
          </cell>
          <cell r="H7345" t="str">
            <v>OTHER</v>
          </cell>
          <cell r="I7345" t="str">
            <v>Other - Index</v>
          </cell>
        </row>
        <row r="7346">
          <cell r="A7346" t="str">
            <v>MS_USFIN</v>
          </cell>
          <cell r="B7346" t="str">
            <v>MSCI USA Financials Index</v>
          </cell>
          <cell r="C7346" t="str">
            <v>-BRS_GOLD_1:MS_USFIN</v>
          </cell>
          <cell r="D7346" t="str">
            <v>Index</v>
          </cell>
          <cell r="E7346" t="str">
            <v>Index Level</v>
          </cell>
          <cell r="F7346" t="str">
            <v>Other</v>
          </cell>
          <cell r="G7346" t="str">
            <v>Other</v>
          </cell>
          <cell r="H7346" t="str">
            <v>OTHER</v>
          </cell>
          <cell r="I7346" t="str">
            <v>Other - Index</v>
          </cell>
        </row>
        <row r="7347">
          <cell r="A7347" t="str">
            <v>MS_USHLT</v>
          </cell>
          <cell r="B7347" t="str">
            <v>MSCI USA Health Care Index</v>
          </cell>
          <cell r="C7347" t="str">
            <v>-BRS_GOLD_1:MS_USHLT</v>
          </cell>
          <cell r="D7347" t="str">
            <v>Index</v>
          </cell>
          <cell r="E7347" t="str">
            <v>Index Level</v>
          </cell>
          <cell r="F7347" t="str">
            <v>Other</v>
          </cell>
          <cell r="G7347" t="str">
            <v>Other</v>
          </cell>
          <cell r="H7347" t="str">
            <v>OTHER</v>
          </cell>
          <cell r="I7347" t="str">
            <v>Other - Index</v>
          </cell>
        </row>
        <row r="7348">
          <cell r="A7348" t="str">
            <v>MS_USINF</v>
          </cell>
          <cell r="B7348" t="str">
            <v>MSCI USA IT Index</v>
          </cell>
          <cell r="C7348" t="str">
            <v>-BRS_GOLD_1:MS_USINF</v>
          </cell>
          <cell r="D7348" t="str">
            <v>Index</v>
          </cell>
          <cell r="E7348" t="str">
            <v>Index Level</v>
          </cell>
          <cell r="F7348" t="str">
            <v>Other</v>
          </cell>
          <cell r="G7348" t="str">
            <v>Other</v>
          </cell>
          <cell r="H7348" t="str">
            <v>OTHER</v>
          </cell>
          <cell r="I7348" t="str">
            <v>Other - Index</v>
          </cell>
        </row>
        <row r="7349">
          <cell r="A7349" t="str">
            <v>MS_USNRG</v>
          </cell>
          <cell r="B7349" t="str">
            <v>MSCI USA Energy Index</v>
          </cell>
          <cell r="C7349" t="str">
            <v>-BRS_GOLD_1:MS_USNRG</v>
          </cell>
          <cell r="D7349" t="str">
            <v>Index</v>
          </cell>
          <cell r="E7349" t="str">
            <v>Index Level</v>
          </cell>
          <cell r="F7349" t="str">
            <v>Other</v>
          </cell>
          <cell r="G7349" t="str">
            <v>Other</v>
          </cell>
          <cell r="H7349" t="str">
            <v>OTHER</v>
          </cell>
          <cell r="I7349" t="str">
            <v>Other - Index</v>
          </cell>
        </row>
        <row r="7350">
          <cell r="A7350" t="str">
            <v>MS_US_GR</v>
          </cell>
          <cell r="B7350" t="str">
            <v>MSCI USA Growth Index</v>
          </cell>
          <cell r="C7350" t="str">
            <v>-BRS_GOLD_1:MS_US_GR</v>
          </cell>
          <cell r="D7350" t="str">
            <v>Index</v>
          </cell>
          <cell r="E7350" t="str">
            <v>Index Level</v>
          </cell>
          <cell r="F7350" t="str">
            <v>Other</v>
          </cell>
          <cell r="G7350" t="str">
            <v>Other</v>
          </cell>
          <cell r="H7350" t="str">
            <v>OTHER</v>
          </cell>
          <cell r="I7350" t="str">
            <v>Other - Index</v>
          </cell>
        </row>
        <row r="7351">
          <cell r="A7351" t="str">
            <v>MS_US_NET</v>
          </cell>
          <cell r="B7351" t="str">
            <v>MSCI USA Index</v>
          </cell>
          <cell r="C7351" t="str">
            <v>-BRS_GOLD_1:MS_US_NET</v>
          </cell>
          <cell r="D7351" t="str">
            <v>Index</v>
          </cell>
          <cell r="E7351" t="str">
            <v>Index Level</v>
          </cell>
          <cell r="F7351" t="str">
            <v>Other</v>
          </cell>
          <cell r="G7351" t="str">
            <v>Other</v>
          </cell>
          <cell r="H7351" t="str">
            <v>OTHER</v>
          </cell>
          <cell r="I7351" t="str">
            <v>Other - Index</v>
          </cell>
        </row>
        <row r="7352">
          <cell r="A7352" t="str">
            <v>MWESGSGBP</v>
          </cell>
          <cell r="B7352" t="str">
            <v>MSCI WORLD ESG SCREENED N GBP</v>
          </cell>
          <cell r="C7352" t="str">
            <v>-BRS_GOLD_1:MWESGSGBP</v>
          </cell>
          <cell r="D7352" t="str">
            <v>Index</v>
          </cell>
          <cell r="E7352" t="str">
            <v>Index Level</v>
          </cell>
          <cell r="F7352" t="str">
            <v>Other</v>
          </cell>
          <cell r="G7352" t="str">
            <v>Other</v>
          </cell>
          <cell r="H7352" t="str">
            <v>OTHER</v>
          </cell>
          <cell r="I7352" t="str">
            <v>Other - Index</v>
          </cell>
        </row>
        <row r="7353">
          <cell r="A7353" t="str">
            <v>MYR_10yr_10yr</v>
          </cell>
          <cell r="B7353" t="str">
            <v>MYR 10Y ^2</v>
          </cell>
          <cell r="C7353" t="str">
            <v>-BRS_GOLD_1:MYR_10yr_10yr</v>
          </cell>
          <cell r="D7353" t="str">
            <v>Convexity</v>
          </cell>
          <cell r="E7353" t="str">
            <v>Convexity</v>
          </cell>
          <cell r="F7353" t="str">
            <v>FI-Convexity</v>
          </cell>
          <cell r="G7353" t="str">
            <v>FI-Other</v>
          </cell>
          <cell r="H7353" t="str">
            <v>RATES</v>
          </cell>
          <cell r="I7353" t="str">
            <v>Convexity</v>
          </cell>
        </row>
        <row r="7354">
          <cell r="A7354" t="str">
            <v>MYR_COMD_K1_1</v>
          </cell>
          <cell r="B7354" t="str">
            <v>MYR Palm Oil 1</v>
          </cell>
          <cell r="C7354" t="str">
            <v>-BRS_GOLD_1:MYR_COMD_K1_1</v>
          </cell>
          <cell r="D7354" t="str">
            <v>Commodity</v>
          </cell>
          <cell r="E7354" t="str">
            <v>Price Level</v>
          </cell>
          <cell r="F7354" t="str">
            <v>Alternative</v>
          </cell>
          <cell r="G7354" t="str">
            <v>Other</v>
          </cell>
          <cell r="H7354" t="str">
            <v>ALTS</v>
          </cell>
          <cell r="I7354" t="str">
            <v>Commodity</v>
          </cell>
        </row>
        <row r="7355">
          <cell r="A7355" t="str">
            <v>MYR_COMD_K1_10</v>
          </cell>
          <cell r="B7355" t="str">
            <v>MYR Palm Oil 10</v>
          </cell>
          <cell r="C7355" t="str">
            <v>-BRS_GOLD_1:MYR_COMD_K1_10</v>
          </cell>
          <cell r="D7355" t="str">
            <v>Commodity</v>
          </cell>
          <cell r="E7355" t="str">
            <v>Price Level</v>
          </cell>
          <cell r="F7355" t="str">
            <v>Alternative</v>
          </cell>
          <cell r="G7355" t="str">
            <v>Other</v>
          </cell>
          <cell r="H7355" t="str">
            <v>ALTS</v>
          </cell>
          <cell r="I7355" t="str">
            <v>Commodity</v>
          </cell>
        </row>
        <row r="7356">
          <cell r="A7356" t="str">
            <v>MYR_COMD_K1_11</v>
          </cell>
          <cell r="B7356" t="str">
            <v>MYR Palm Oil 11</v>
          </cell>
          <cell r="C7356" t="str">
            <v>-BRS_GOLD_1:MYR_COMD_K1_11</v>
          </cell>
          <cell r="D7356" t="str">
            <v>Commodity</v>
          </cell>
          <cell r="E7356" t="str">
            <v>Price Level</v>
          </cell>
          <cell r="F7356" t="str">
            <v>Alternative</v>
          </cell>
          <cell r="G7356" t="str">
            <v>Other</v>
          </cell>
          <cell r="H7356" t="str">
            <v>ALTS</v>
          </cell>
          <cell r="I7356" t="str">
            <v>Commodity</v>
          </cell>
        </row>
        <row r="7357">
          <cell r="A7357" t="str">
            <v>MYR_COMD_K1_12</v>
          </cell>
          <cell r="B7357" t="str">
            <v>MYR Palm Oil 12</v>
          </cell>
          <cell r="C7357" t="str">
            <v>-BRS_GOLD_1:MYR_COMD_K1_12</v>
          </cell>
          <cell r="D7357" t="str">
            <v>Commodity</v>
          </cell>
          <cell r="E7357" t="str">
            <v>Price Level</v>
          </cell>
          <cell r="F7357" t="str">
            <v>Alternative</v>
          </cell>
          <cell r="G7357" t="str">
            <v>Other</v>
          </cell>
          <cell r="H7357" t="str">
            <v>ALTS</v>
          </cell>
          <cell r="I7357" t="str">
            <v>Commodity</v>
          </cell>
        </row>
        <row r="7358">
          <cell r="A7358" t="str">
            <v>MYR_COMD_K1_2</v>
          </cell>
          <cell r="B7358" t="str">
            <v>MYR Palm Oil 2</v>
          </cell>
          <cell r="C7358" t="str">
            <v>-BRS_GOLD_1:MYR_COMD_K1_2</v>
          </cell>
          <cell r="D7358" t="str">
            <v>Commodity</v>
          </cell>
          <cell r="E7358" t="str">
            <v>Price Level</v>
          </cell>
          <cell r="F7358" t="str">
            <v>Alternative</v>
          </cell>
          <cell r="G7358" t="str">
            <v>Other</v>
          </cell>
          <cell r="H7358" t="str">
            <v>ALTS</v>
          </cell>
          <cell r="I7358" t="str">
            <v>Commodity</v>
          </cell>
        </row>
        <row r="7359">
          <cell r="A7359" t="str">
            <v>MYR_COMD_K1_3</v>
          </cell>
          <cell r="B7359" t="str">
            <v>MYR Palm Oil 3</v>
          </cell>
          <cell r="C7359" t="str">
            <v>-BRS_GOLD_1:MYR_COMD_K1_3</v>
          </cell>
          <cell r="D7359" t="str">
            <v>Commodity</v>
          </cell>
          <cell r="E7359" t="str">
            <v>Price Level</v>
          </cell>
          <cell r="F7359" t="str">
            <v>Alternative</v>
          </cell>
          <cell r="G7359" t="str">
            <v>Other</v>
          </cell>
          <cell r="H7359" t="str">
            <v>ALTS</v>
          </cell>
          <cell r="I7359" t="str">
            <v>Commodity</v>
          </cell>
        </row>
        <row r="7360">
          <cell r="A7360" t="str">
            <v>MYR_COMD_K1_4</v>
          </cell>
          <cell r="B7360" t="str">
            <v>MYR Palm Oil 4</v>
          </cell>
          <cell r="C7360" t="str">
            <v>-BRS_GOLD_1:MYR_COMD_K1_4</v>
          </cell>
          <cell r="D7360" t="str">
            <v>Commodity</v>
          </cell>
          <cell r="E7360" t="str">
            <v>Price Level</v>
          </cell>
          <cell r="F7360" t="str">
            <v>Alternative</v>
          </cell>
          <cell r="G7360" t="str">
            <v>Other</v>
          </cell>
          <cell r="H7360" t="str">
            <v>ALTS</v>
          </cell>
          <cell r="I7360" t="str">
            <v>Commodity</v>
          </cell>
        </row>
        <row r="7361">
          <cell r="A7361" t="str">
            <v>MYR_COMD_K1_5</v>
          </cell>
          <cell r="B7361" t="str">
            <v>MYR Palm Oil 5</v>
          </cell>
          <cell r="C7361" t="str">
            <v>-BRS_GOLD_1:MYR_COMD_K1_5</v>
          </cell>
          <cell r="D7361" t="str">
            <v>Commodity</v>
          </cell>
          <cell r="E7361" t="str">
            <v>Price Level</v>
          </cell>
          <cell r="F7361" t="str">
            <v>Alternative</v>
          </cell>
          <cell r="G7361" t="str">
            <v>Other</v>
          </cell>
          <cell r="H7361" t="str">
            <v>ALTS</v>
          </cell>
          <cell r="I7361" t="str">
            <v>Commodity</v>
          </cell>
        </row>
        <row r="7362">
          <cell r="A7362" t="str">
            <v>MYR_COMD_K1_6</v>
          </cell>
          <cell r="B7362" t="str">
            <v>MYR Palm Oil 6</v>
          </cell>
          <cell r="C7362" t="str">
            <v>-BRS_GOLD_1:MYR_COMD_K1_6</v>
          </cell>
          <cell r="D7362" t="str">
            <v>Commodity</v>
          </cell>
          <cell r="E7362" t="str">
            <v>Price Level</v>
          </cell>
          <cell r="F7362" t="str">
            <v>Alternative</v>
          </cell>
          <cell r="G7362" t="str">
            <v>Other</v>
          </cell>
          <cell r="H7362" t="str">
            <v>ALTS</v>
          </cell>
          <cell r="I7362" t="str">
            <v>Commodity</v>
          </cell>
        </row>
        <row r="7363">
          <cell r="A7363" t="str">
            <v>MYR_COMD_K1_7</v>
          </cell>
          <cell r="B7363" t="str">
            <v>MYR Palm Oil 7</v>
          </cell>
          <cell r="C7363" t="str">
            <v>-BRS_GOLD_1:MYR_COMD_K1_7</v>
          </cell>
          <cell r="D7363" t="str">
            <v>Commodity</v>
          </cell>
          <cell r="E7363" t="str">
            <v>Price Level</v>
          </cell>
          <cell r="F7363" t="str">
            <v>Alternative</v>
          </cell>
          <cell r="G7363" t="str">
            <v>Other</v>
          </cell>
          <cell r="H7363" t="str">
            <v>ALTS</v>
          </cell>
          <cell r="I7363" t="str">
            <v>Commodity</v>
          </cell>
        </row>
        <row r="7364">
          <cell r="A7364" t="str">
            <v>MYR_COMD_K1_8</v>
          </cell>
          <cell r="B7364" t="str">
            <v>MYR Palm Oil 8</v>
          </cell>
          <cell r="C7364" t="str">
            <v>-BRS_GOLD_1:MYR_COMD_K1_8</v>
          </cell>
          <cell r="D7364" t="str">
            <v>Commodity</v>
          </cell>
          <cell r="E7364" t="str">
            <v>Price Level</v>
          </cell>
          <cell r="F7364" t="str">
            <v>Alternative</v>
          </cell>
          <cell r="G7364" t="str">
            <v>Other</v>
          </cell>
          <cell r="H7364" t="str">
            <v>ALTS</v>
          </cell>
          <cell r="I7364" t="str">
            <v>Commodity</v>
          </cell>
        </row>
        <row r="7365">
          <cell r="A7365" t="str">
            <v>MYR_COMD_K1_9</v>
          </cell>
          <cell r="B7365" t="str">
            <v>MYR Palm Oil 9</v>
          </cell>
          <cell r="C7365" t="str">
            <v>-BRS_GOLD_1:MYR_COMD_K1_9</v>
          </cell>
          <cell r="D7365" t="str">
            <v>Commodity</v>
          </cell>
          <cell r="E7365" t="str">
            <v>Price Level</v>
          </cell>
          <cell r="F7365" t="str">
            <v>Alternative</v>
          </cell>
          <cell r="G7365" t="str">
            <v>Other</v>
          </cell>
          <cell r="H7365" t="str">
            <v>ALTS</v>
          </cell>
          <cell r="I7365" t="str">
            <v>Commodity</v>
          </cell>
        </row>
        <row r="7366">
          <cell r="A7366" t="str">
            <v>NDUEEGF</v>
          </cell>
          <cell r="B7366" t="str">
            <v>MSCI Emerging Markets Index</v>
          </cell>
          <cell r="C7366" t="str">
            <v>-BRS_GOLD_1:NDUEEGF</v>
          </cell>
          <cell r="D7366" t="str">
            <v>Index</v>
          </cell>
          <cell r="E7366" t="str">
            <v>Index Level</v>
          </cell>
          <cell r="F7366" t="str">
            <v>Other</v>
          </cell>
          <cell r="G7366" t="str">
            <v>Other</v>
          </cell>
          <cell r="H7366" t="str">
            <v>OTHER</v>
          </cell>
          <cell r="I7366" t="str">
            <v>Other - Index</v>
          </cell>
        </row>
        <row r="7367">
          <cell r="A7367" t="str">
            <v>NENEIXTRND</v>
          </cell>
          <cell r="B7367" t="str">
            <v>Newedge Trend Indicator</v>
          </cell>
          <cell r="C7367" t="str">
            <v>-BRS_GOLD_1:NENEIXTRND</v>
          </cell>
          <cell r="D7367" t="str">
            <v>Index</v>
          </cell>
          <cell r="E7367" t="str">
            <v>Index Level</v>
          </cell>
          <cell r="F7367" t="str">
            <v>Other</v>
          </cell>
          <cell r="G7367" t="str">
            <v>Other</v>
          </cell>
          <cell r="H7367" t="str">
            <v>OTHER</v>
          </cell>
          <cell r="I7367" t="str">
            <v>Other - Index</v>
          </cell>
        </row>
        <row r="7368">
          <cell r="A7368" t="str">
            <v>NERE</v>
          </cell>
          <cell r="B7368" t="str">
            <v>Netherlands RE Public</v>
          </cell>
          <cell r="C7368" t="str">
            <v>-BRS_GOLD_1:NERE</v>
          </cell>
          <cell r="D7368" t="str">
            <v>Index</v>
          </cell>
          <cell r="E7368" t="str">
            <v>Index Level</v>
          </cell>
          <cell r="F7368" t="str">
            <v>Other</v>
          </cell>
          <cell r="G7368" t="str">
            <v>Other</v>
          </cell>
          <cell r="H7368" t="str">
            <v>OTHER</v>
          </cell>
          <cell r="I7368" t="str">
            <v>Other - Index</v>
          </cell>
        </row>
        <row r="7369">
          <cell r="A7369" t="str">
            <v>OTHER_SP_RISK</v>
          </cell>
          <cell r="B7369" t="str">
            <v>Other Idiosyncratic</v>
          </cell>
          <cell r="C7369" t="str">
            <v>-BRS_GOLD_1:OTHER_SP_RISK</v>
          </cell>
          <cell r="D7369" t="str">
            <v>Specific Risk</v>
          </cell>
          <cell r="E7369" t="str">
            <v>Specific Risk</v>
          </cell>
          <cell r="F7369" t="str">
            <v>Idiosyncratic</v>
          </cell>
          <cell r="G7369" t="str">
            <v>Other</v>
          </cell>
          <cell r="H7369" t="str">
            <v>OTHER_SPECIFIC</v>
          </cell>
          <cell r="I7369" t="str">
            <v>Other - Idiosyncratic</v>
          </cell>
        </row>
        <row r="7370">
          <cell r="A7370" t="str">
            <v>PEN_10yr_10yr</v>
          </cell>
          <cell r="B7370" t="str">
            <v>PEN 10Y ^2</v>
          </cell>
          <cell r="C7370" t="str">
            <v>-BRS_GOLD_1:PEN_10yr_10yr</v>
          </cell>
          <cell r="D7370" t="str">
            <v>Convexity</v>
          </cell>
          <cell r="E7370" t="str">
            <v>Convexity</v>
          </cell>
          <cell r="F7370" t="str">
            <v>FI-Convexity</v>
          </cell>
          <cell r="G7370" t="str">
            <v>FI-Other</v>
          </cell>
          <cell r="H7370" t="str">
            <v>RATES</v>
          </cell>
          <cell r="I7370" t="str">
            <v>Convexity</v>
          </cell>
        </row>
        <row r="7371">
          <cell r="A7371" t="str">
            <v>PHP_10yr_10yr</v>
          </cell>
          <cell r="B7371" t="str">
            <v>PHP 10Y ^2</v>
          </cell>
          <cell r="C7371" t="str">
            <v>-BRS_GOLD_1:PHP_10yr_10yr</v>
          </cell>
          <cell r="D7371" t="str">
            <v>Convexity</v>
          </cell>
          <cell r="E7371" t="str">
            <v>Convexity</v>
          </cell>
          <cell r="F7371" t="str">
            <v>FI-Convexity</v>
          </cell>
          <cell r="G7371" t="str">
            <v>FI-Other</v>
          </cell>
          <cell r="H7371" t="str">
            <v>RATES</v>
          </cell>
          <cell r="I7371" t="str">
            <v>Convexity</v>
          </cell>
        </row>
        <row r="7372">
          <cell r="A7372" t="str">
            <v>PLN_10yr_10yr</v>
          </cell>
          <cell r="B7372" t="str">
            <v>PLN 10Y ^2</v>
          </cell>
          <cell r="C7372" t="str">
            <v>-BRS_GOLD_1:PLN_10yr_10yr</v>
          </cell>
          <cell r="D7372" t="str">
            <v>Convexity</v>
          </cell>
          <cell r="E7372" t="str">
            <v>Convexity</v>
          </cell>
          <cell r="F7372" t="str">
            <v>FI-Convexity</v>
          </cell>
          <cell r="G7372" t="str">
            <v>FI-Other</v>
          </cell>
          <cell r="H7372" t="str">
            <v>RATES</v>
          </cell>
          <cell r="I7372" t="str">
            <v>Convexity</v>
          </cell>
        </row>
        <row r="7373">
          <cell r="A7373" t="str">
            <v>RUB_10yr_10yr</v>
          </cell>
          <cell r="B7373" t="str">
            <v>RUB 10Y ^2</v>
          </cell>
          <cell r="C7373" t="str">
            <v>-BRS_GOLD_1:RUB_10yr_10yr</v>
          </cell>
          <cell r="D7373" t="str">
            <v>Convexity</v>
          </cell>
          <cell r="E7373" t="str">
            <v>Convexity</v>
          </cell>
          <cell r="F7373" t="str">
            <v>FI-Convexity</v>
          </cell>
          <cell r="G7373" t="str">
            <v>FI-Other</v>
          </cell>
          <cell r="H7373" t="str">
            <v>RATES</v>
          </cell>
          <cell r="I7373" t="str">
            <v>Convexity</v>
          </cell>
        </row>
        <row r="7374">
          <cell r="A7374" t="str">
            <v>RUSMICRO</v>
          </cell>
          <cell r="B7374" t="str">
            <v>Russell Micro</v>
          </cell>
          <cell r="C7374" t="str">
            <v>-BRS_GOLD_1:RUSMICRO</v>
          </cell>
          <cell r="D7374" t="str">
            <v>Index</v>
          </cell>
          <cell r="E7374" t="str">
            <v>Index Level</v>
          </cell>
          <cell r="F7374" t="str">
            <v>Other</v>
          </cell>
          <cell r="G7374" t="str">
            <v>Other</v>
          </cell>
          <cell r="H7374" t="str">
            <v>OTHER</v>
          </cell>
          <cell r="I7374" t="str">
            <v>Other - Index</v>
          </cell>
        </row>
        <row r="7375">
          <cell r="A7375" t="str">
            <v>SHORTVOL_RS1000</v>
          </cell>
          <cell r="B7375" t="str">
            <v>ALPHAGEN RS1000 SHORT-VOL</v>
          </cell>
          <cell r="C7375" t="str">
            <v>-BRS_GOLD_1:SHORTVOL_RS1000</v>
          </cell>
          <cell r="D7375" t="str">
            <v>Implied Vol Duration</v>
          </cell>
          <cell r="E7375" t="str">
            <v>Implied Vol</v>
          </cell>
          <cell r="F7375" t="str">
            <v>Rates Implied Volatility</v>
          </cell>
          <cell r="G7375" t="str">
            <v>Other</v>
          </cell>
          <cell r="H7375" t="str">
            <v>VOLATILITY</v>
          </cell>
          <cell r="I7375" t="str">
            <v>Rates Implied Volatility</v>
          </cell>
        </row>
        <row r="7376">
          <cell r="A7376" t="str">
            <v>SHORTVOL_RS2000</v>
          </cell>
          <cell r="B7376" t="str">
            <v>ALPHAGEN RS2000 SHORT-VOL</v>
          </cell>
          <cell r="C7376" t="str">
            <v>-BRS_GOLD_1:SHORTVOL_RS2000</v>
          </cell>
          <cell r="D7376" t="str">
            <v>Implied Vol Duration</v>
          </cell>
          <cell r="E7376" t="str">
            <v>Implied Vol</v>
          </cell>
          <cell r="F7376" t="str">
            <v>Rates Implied Volatility</v>
          </cell>
          <cell r="G7376" t="str">
            <v>Other</v>
          </cell>
          <cell r="H7376" t="str">
            <v>VOLATILITY</v>
          </cell>
          <cell r="I7376" t="str">
            <v>Rates Implied Volatility</v>
          </cell>
        </row>
        <row r="7377">
          <cell r="A7377" t="str">
            <v>SIT_10yr_10yr</v>
          </cell>
          <cell r="B7377" t="str">
            <v>SIT 10Y ^2</v>
          </cell>
          <cell r="C7377" t="str">
            <v>-BRS_GOLD_1:SIT_10yr_10yr</v>
          </cell>
          <cell r="D7377" t="str">
            <v>Convexity</v>
          </cell>
          <cell r="E7377" t="str">
            <v>Spread Yield (DxS)</v>
          </cell>
          <cell r="F7377" t="str">
            <v>FI-Convexity</v>
          </cell>
          <cell r="G7377" t="str">
            <v>FI-Other</v>
          </cell>
          <cell r="H7377" t="str">
            <v>RATES</v>
          </cell>
          <cell r="I7377" t="str">
            <v>Convexity</v>
          </cell>
        </row>
        <row r="7378">
          <cell r="A7378" t="str">
            <v>SKK_10yr_10yr</v>
          </cell>
          <cell r="B7378" t="str">
            <v>SKK 10Y ^2</v>
          </cell>
          <cell r="C7378" t="str">
            <v>-BRS_GOLD_1:SKK_10yr_10yr</v>
          </cell>
          <cell r="D7378" t="str">
            <v>Convexity</v>
          </cell>
          <cell r="E7378" t="str">
            <v>Spread Yield (DxS)</v>
          </cell>
          <cell r="F7378" t="str">
            <v>FI-Convexity</v>
          </cell>
          <cell r="G7378" t="str">
            <v>FI-Other</v>
          </cell>
          <cell r="H7378" t="str">
            <v>RATES</v>
          </cell>
          <cell r="I7378" t="str">
            <v>Convexity</v>
          </cell>
        </row>
        <row r="7379">
          <cell r="A7379" t="str">
            <v>SNP500TRCD</v>
          </cell>
          <cell r="B7379" t="str">
            <v>S&amp;P 500 Cons. Disc. Index</v>
          </cell>
          <cell r="C7379" t="str">
            <v>-BRS_GOLD_1:SNP500TRCD</v>
          </cell>
          <cell r="D7379" t="str">
            <v>Index</v>
          </cell>
          <cell r="E7379" t="str">
            <v>Index Level</v>
          </cell>
          <cell r="F7379" t="str">
            <v>Other</v>
          </cell>
          <cell r="G7379" t="str">
            <v>Other</v>
          </cell>
          <cell r="H7379" t="str">
            <v>OTHER</v>
          </cell>
          <cell r="I7379" t="str">
            <v>Other - Index</v>
          </cell>
        </row>
        <row r="7380">
          <cell r="A7380" t="str">
            <v>SNP500TRCS</v>
          </cell>
          <cell r="B7380" t="str">
            <v>S&amp;P 500 Consumer Staples Index</v>
          </cell>
          <cell r="C7380" t="str">
            <v>-BRS_GOLD_1:SNP500TRCS</v>
          </cell>
          <cell r="D7380" t="str">
            <v>Index</v>
          </cell>
          <cell r="E7380" t="str">
            <v>Index Level</v>
          </cell>
          <cell r="F7380" t="str">
            <v>Other</v>
          </cell>
          <cell r="G7380" t="str">
            <v>Other</v>
          </cell>
          <cell r="H7380" t="str">
            <v>OTHER</v>
          </cell>
          <cell r="I7380" t="str">
            <v>Other - Index</v>
          </cell>
        </row>
        <row r="7381">
          <cell r="A7381" t="str">
            <v>SNP500TRDT</v>
          </cell>
          <cell r="B7381" t="str">
            <v>S&amp;P Diversified Trends Ind.</v>
          </cell>
          <cell r="C7381" t="str">
            <v>-BRS_GOLD_1:SNP500TRDT</v>
          </cell>
          <cell r="D7381" t="str">
            <v>Index</v>
          </cell>
          <cell r="E7381" t="str">
            <v>Index Level</v>
          </cell>
          <cell r="F7381" t="str">
            <v>Other</v>
          </cell>
          <cell r="G7381" t="str">
            <v>Other</v>
          </cell>
          <cell r="H7381" t="str">
            <v>OTHER</v>
          </cell>
          <cell r="I7381" t="str">
            <v>Other - Index</v>
          </cell>
        </row>
        <row r="7382">
          <cell r="A7382" t="str">
            <v>SNP500TRHC</v>
          </cell>
          <cell r="B7382" t="str">
            <v>S&amp;P 500 Health Care Index</v>
          </cell>
          <cell r="C7382" t="str">
            <v>-BRS_GOLD_1:SNP500TRHC</v>
          </cell>
          <cell r="D7382" t="str">
            <v>Index</v>
          </cell>
          <cell r="E7382" t="str">
            <v>Index Level</v>
          </cell>
          <cell r="F7382" t="str">
            <v>Other</v>
          </cell>
          <cell r="G7382" t="str">
            <v>Other</v>
          </cell>
          <cell r="H7382" t="str">
            <v>OTHER</v>
          </cell>
          <cell r="I7382" t="str">
            <v>Other - Index</v>
          </cell>
        </row>
        <row r="7383">
          <cell r="A7383" t="str">
            <v>SNP500TRIS</v>
          </cell>
          <cell r="B7383" t="str">
            <v>S&amp;P 500 Industrials Index</v>
          </cell>
          <cell r="C7383" t="str">
            <v>-BRS_GOLD_1:SNP500TRIS</v>
          </cell>
          <cell r="D7383" t="str">
            <v>Index</v>
          </cell>
          <cell r="E7383" t="str">
            <v>Index Level</v>
          </cell>
          <cell r="F7383" t="str">
            <v>Other</v>
          </cell>
          <cell r="G7383" t="str">
            <v>Other</v>
          </cell>
          <cell r="H7383" t="str">
            <v>OTHER</v>
          </cell>
          <cell r="I7383" t="str">
            <v>Other - Index</v>
          </cell>
        </row>
        <row r="7384">
          <cell r="A7384" t="str">
            <v>SNP500TRIT</v>
          </cell>
          <cell r="B7384" t="str">
            <v>S&amp;P 500 Information Technology</v>
          </cell>
          <cell r="C7384" t="str">
            <v>-BRS_GOLD_1:SNP500TRIT</v>
          </cell>
          <cell r="D7384" t="str">
            <v>Index</v>
          </cell>
          <cell r="E7384" t="str">
            <v>Index Level</v>
          </cell>
          <cell r="F7384" t="str">
            <v>Other</v>
          </cell>
          <cell r="G7384" t="str">
            <v>Other</v>
          </cell>
          <cell r="H7384" t="str">
            <v>OTHER</v>
          </cell>
          <cell r="I7384" t="str">
            <v>Other - Index</v>
          </cell>
        </row>
        <row r="7385">
          <cell r="A7385" t="str">
            <v>SNP500TRMS</v>
          </cell>
          <cell r="B7385" t="str">
            <v>S&amp;P 500 Materials Index</v>
          </cell>
          <cell r="C7385" t="str">
            <v>-BRS_GOLD_1:SNP500TRMS</v>
          </cell>
          <cell r="D7385" t="str">
            <v>Index</v>
          </cell>
          <cell r="E7385" t="str">
            <v>Index Level</v>
          </cell>
          <cell r="F7385" t="str">
            <v>Other</v>
          </cell>
          <cell r="G7385" t="str">
            <v>Other</v>
          </cell>
          <cell r="H7385" t="str">
            <v>OTHER</v>
          </cell>
          <cell r="I7385" t="str">
            <v>Other - Index</v>
          </cell>
        </row>
        <row r="7386">
          <cell r="A7386" t="str">
            <v>SNP500TRUS</v>
          </cell>
          <cell r="B7386" t="str">
            <v>S&amp;P 500 Utilities Index</v>
          </cell>
          <cell r="C7386" t="str">
            <v>-BRS_GOLD_1:SNP500TRUS</v>
          </cell>
          <cell r="D7386" t="str">
            <v>Index</v>
          </cell>
          <cell r="E7386" t="str">
            <v>Index Level</v>
          </cell>
          <cell r="F7386" t="str">
            <v>Other</v>
          </cell>
          <cell r="G7386" t="str">
            <v>Other</v>
          </cell>
          <cell r="H7386" t="str">
            <v>OTHER</v>
          </cell>
          <cell r="I7386" t="str">
            <v>Other - Index</v>
          </cell>
        </row>
        <row r="7387">
          <cell r="A7387" t="str">
            <v>SNP600</v>
          </cell>
          <cell r="B7387" t="str">
            <v>S&amp;P 600</v>
          </cell>
          <cell r="C7387" t="str">
            <v>-BRS_GOLD_1:SNP600</v>
          </cell>
          <cell r="D7387" t="str">
            <v>Index</v>
          </cell>
          <cell r="E7387" t="str">
            <v>Index Level</v>
          </cell>
          <cell r="F7387" t="str">
            <v>Other</v>
          </cell>
          <cell r="G7387" t="str">
            <v>Other</v>
          </cell>
          <cell r="H7387" t="str">
            <v>OTHER</v>
          </cell>
          <cell r="I7387" t="str">
            <v>Other - Index</v>
          </cell>
        </row>
        <row r="7388">
          <cell r="A7388" t="str">
            <v>SNP600_BIO</v>
          </cell>
          <cell r="B7388" t="str">
            <v>S&amp;P 600 Biotech</v>
          </cell>
          <cell r="C7388" t="str">
            <v>-BRS_GOLD_1:SNP600_BIO</v>
          </cell>
          <cell r="D7388" t="str">
            <v>Index</v>
          </cell>
          <cell r="E7388" t="str">
            <v>Index Level</v>
          </cell>
          <cell r="F7388" t="str">
            <v>Other</v>
          </cell>
          <cell r="G7388" t="str">
            <v>Other</v>
          </cell>
          <cell r="H7388" t="str">
            <v>OTHER</v>
          </cell>
          <cell r="I7388" t="str">
            <v>Other - Index</v>
          </cell>
        </row>
        <row r="7389">
          <cell r="A7389" t="str">
            <v>SNP600_COM</v>
          </cell>
          <cell r="B7389" t="str">
            <v>S&amp;P 600 Computer</v>
          </cell>
          <cell r="C7389" t="str">
            <v>-BRS_GOLD_1:SNP600_COM</v>
          </cell>
          <cell r="D7389" t="str">
            <v>Index</v>
          </cell>
          <cell r="E7389" t="str">
            <v>Index Level</v>
          </cell>
          <cell r="F7389" t="str">
            <v>Other</v>
          </cell>
          <cell r="G7389" t="str">
            <v>Other</v>
          </cell>
          <cell r="H7389" t="str">
            <v>OTHER</v>
          </cell>
          <cell r="I7389" t="str">
            <v>Other - Index</v>
          </cell>
        </row>
        <row r="7390">
          <cell r="A7390" t="str">
            <v>SNP600_INT</v>
          </cell>
          <cell r="B7390" t="str">
            <v>S&amp;P 600 Internet</v>
          </cell>
          <cell r="C7390" t="str">
            <v>-BRS_GOLD_1:SNP600_INT</v>
          </cell>
          <cell r="D7390" t="str">
            <v>Index</v>
          </cell>
          <cell r="E7390" t="str">
            <v>Index Level</v>
          </cell>
          <cell r="F7390" t="str">
            <v>Other</v>
          </cell>
          <cell r="G7390" t="str">
            <v>Other</v>
          </cell>
          <cell r="H7390" t="str">
            <v>OTHER</v>
          </cell>
          <cell r="I7390" t="str">
            <v>Other - Index</v>
          </cell>
        </row>
        <row r="7391">
          <cell r="A7391" t="str">
            <v>SNP600_SEM</v>
          </cell>
          <cell r="B7391" t="str">
            <v>S&amp;P 600 Semiconductor</v>
          </cell>
          <cell r="C7391" t="str">
            <v>-BRS_GOLD_1:SNP600_SEM</v>
          </cell>
          <cell r="D7391" t="str">
            <v>Index</v>
          </cell>
          <cell r="E7391" t="str">
            <v>Index Level</v>
          </cell>
          <cell r="F7391" t="str">
            <v>Other</v>
          </cell>
          <cell r="G7391" t="str">
            <v>Other</v>
          </cell>
          <cell r="H7391" t="str">
            <v>OTHER</v>
          </cell>
          <cell r="I7391" t="str">
            <v>Other - Index</v>
          </cell>
        </row>
        <row r="7392">
          <cell r="A7392" t="str">
            <v>SNP600_SFT</v>
          </cell>
          <cell r="B7392" t="str">
            <v>S&amp;P 600 Software</v>
          </cell>
          <cell r="C7392" t="str">
            <v>-BRS_GOLD_1:SNP600_SFT</v>
          </cell>
          <cell r="D7392" t="str">
            <v>Index</v>
          </cell>
          <cell r="E7392" t="str">
            <v>Index Level</v>
          </cell>
          <cell r="F7392" t="str">
            <v>Other</v>
          </cell>
          <cell r="G7392" t="str">
            <v>Other</v>
          </cell>
          <cell r="H7392" t="str">
            <v>OTHER</v>
          </cell>
          <cell r="I7392" t="str">
            <v>Other - Index</v>
          </cell>
        </row>
        <row r="7393">
          <cell r="A7393" t="str">
            <v>SNPLLALL</v>
          </cell>
          <cell r="B7393" t="str">
            <v>US Loans</v>
          </cell>
          <cell r="C7393" t="str">
            <v>-BRS_GOLD_1:SNPLLALL</v>
          </cell>
          <cell r="D7393" t="str">
            <v>Index</v>
          </cell>
          <cell r="E7393" t="str">
            <v>Index Level</v>
          </cell>
          <cell r="F7393" t="str">
            <v>Other</v>
          </cell>
          <cell r="G7393" t="str">
            <v>Other</v>
          </cell>
          <cell r="H7393" t="str">
            <v>OTHER</v>
          </cell>
          <cell r="I7393" t="str">
            <v>Other - Index</v>
          </cell>
        </row>
        <row r="7394">
          <cell r="A7394" t="str">
            <v>SP600_CDIS</v>
          </cell>
          <cell r="B7394" t="str">
            <v>S&amp;P 600 Consumer Discretionary</v>
          </cell>
          <cell r="C7394" t="str">
            <v>-BRS_GOLD_1:SP600_CDIS</v>
          </cell>
          <cell r="D7394" t="str">
            <v>Index</v>
          </cell>
          <cell r="E7394" t="str">
            <v>Index Level</v>
          </cell>
          <cell r="F7394" t="str">
            <v>Other</v>
          </cell>
          <cell r="G7394" t="str">
            <v>Other</v>
          </cell>
          <cell r="H7394" t="str">
            <v>OTHER</v>
          </cell>
          <cell r="I7394" t="str">
            <v>Other - Index</v>
          </cell>
        </row>
        <row r="7395">
          <cell r="A7395" t="str">
            <v>SP600_CST</v>
          </cell>
          <cell r="B7395" t="str">
            <v>S&amp;P 600 Consumer Staples</v>
          </cell>
          <cell r="C7395" t="str">
            <v>-BRS_GOLD_1:SP600_CST</v>
          </cell>
          <cell r="D7395" t="str">
            <v>Index</v>
          </cell>
          <cell r="E7395" t="str">
            <v>Index Level</v>
          </cell>
          <cell r="F7395" t="str">
            <v>Other</v>
          </cell>
          <cell r="G7395" t="str">
            <v>Other</v>
          </cell>
          <cell r="H7395" t="str">
            <v>OTHER</v>
          </cell>
          <cell r="I7395" t="str">
            <v>Other - Index</v>
          </cell>
        </row>
        <row r="7396">
          <cell r="A7396" t="str">
            <v>SP600_FIN</v>
          </cell>
          <cell r="B7396" t="str">
            <v>S&amp;P 600 Financials</v>
          </cell>
          <cell r="C7396" t="str">
            <v>-BRS_GOLD_1:SP600_FIN</v>
          </cell>
          <cell r="D7396" t="str">
            <v>Index</v>
          </cell>
          <cell r="E7396" t="str">
            <v>Index Level</v>
          </cell>
          <cell r="F7396" t="str">
            <v>Other</v>
          </cell>
          <cell r="G7396" t="str">
            <v>Other</v>
          </cell>
          <cell r="H7396" t="str">
            <v>OTHER</v>
          </cell>
          <cell r="I7396" t="str">
            <v>Other - Index</v>
          </cell>
        </row>
        <row r="7397">
          <cell r="A7397" t="str">
            <v>SP600_HLTC</v>
          </cell>
          <cell r="B7397" t="str">
            <v>S&amp;P 600 Health Care</v>
          </cell>
          <cell r="C7397" t="str">
            <v>-BRS_GOLD_1:SP600_HLTC</v>
          </cell>
          <cell r="D7397" t="str">
            <v>Index</v>
          </cell>
          <cell r="E7397" t="str">
            <v>Index Level</v>
          </cell>
          <cell r="F7397" t="str">
            <v>Other</v>
          </cell>
          <cell r="G7397" t="str">
            <v>Other</v>
          </cell>
          <cell r="H7397" t="str">
            <v>OTHER</v>
          </cell>
          <cell r="I7397" t="str">
            <v>Other - Index</v>
          </cell>
        </row>
        <row r="7398">
          <cell r="A7398" t="str">
            <v>SP600_IND</v>
          </cell>
          <cell r="B7398" t="str">
            <v>S&amp;P 600 Industrials</v>
          </cell>
          <cell r="C7398" t="str">
            <v>-BRS_GOLD_1:SP600_IND</v>
          </cell>
          <cell r="D7398" t="str">
            <v>Index</v>
          </cell>
          <cell r="E7398" t="str">
            <v>Index Level</v>
          </cell>
          <cell r="F7398" t="str">
            <v>Other</v>
          </cell>
          <cell r="G7398" t="str">
            <v>Other</v>
          </cell>
          <cell r="H7398" t="str">
            <v>OTHER</v>
          </cell>
          <cell r="I7398" t="str">
            <v>Other - Index</v>
          </cell>
        </row>
        <row r="7399">
          <cell r="A7399" t="str">
            <v>SP600_INFO</v>
          </cell>
          <cell r="B7399" t="str">
            <v>S&amp;P 600 Information Technology</v>
          </cell>
          <cell r="C7399" t="str">
            <v>-BRS_GOLD_1:SP600_INFO</v>
          </cell>
          <cell r="D7399" t="str">
            <v>Index</v>
          </cell>
          <cell r="E7399" t="str">
            <v>Index Level</v>
          </cell>
          <cell r="F7399" t="str">
            <v>Other</v>
          </cell>
          <cell r="G7399" t="str">
            <v>Other</v>
          </cell>
          <cell r="H7399" t="str">
            <v>OTHER</v>
          </cell>
          <cell r="I7399" t="str">
            <v>Other - Index</v>
          </cell>
        </row>
        <row r="7400">
          <cell r="A7400" t="str">
            <v>SP600_MAT</v>
          </cell>
          <cell r="B7400" t="str">
            <v>S&amp;P 600 Materials</v>
          </cell>
          <cell r="C7400" t="str">
            <v>-BRS_GOLD_1:SP600_MAT</v>
          </cell>
          <cell r="D7400" t="str">
            <v>Index</v>
          </cell>
          <cell r="E7400" t="str">
            <v>Index Level</v>
          </cell>
          <cell r="F7400" t="str">
            <v>Other</v>
          </cell>
          <cell r="G7400" t="str">
            <v>Other</v>
          </cell>
          <cell r="H7400" t="str">
            <v>OTHER</v>
          </cell>
          <cell r="I7400" t="str">
            <v>Other - Index</v>
          </cell>
        </row>
        <row r="7401">
          <cell r="A7401" t="str">
            <v>SP600_NRG</v>
          </cell>
          <cell r="B7401" t="str">
            <v>S&amp;P 600 Energy</v>
          </cell>
          <cell r="C7401" t="str">
            <v>-BRS_GOLD_1:SP600_NRG</v>
          </cell>
          <cell r="D7401" t="str">
            <v>Index</v>
          </cell>
          <cell r="E7401" t="str">
            <v>Index Level</v>
          </cell>
          <cell r="F7401" t="str">
            <v>Other</v>
          </cell>
          <cell r="G7401" t="str">
            <v>Other</v>
          </cell>
          <cell r="H7401" t="str">
            <v>OTHER</v>
          </cell>
          <cell r="I7401" t="str">
            <v>Other - Index</v>
          </cell>
        </row>
        <row r="7402">
          <cell r="A7402" t="str">
            <v>SP600_TEL</v>
          </cell>
          <cell r="B7402" t="str">
            <v>S&amp;P 600 Communications</v>
          </cell>
          <cell r="C7402" t="str">
            <v>-BRS_GOLD_1:SP600_TEL</v>
          </cell>
          <cell r="D7402" t="str">
            <v>Index</v>
          </cell>
          <cell r="E7402" t="str">
            <v>Index Level</v>
          </cell>
          <cell r="F7402" t="str">
            <v>Other</v>
          </cell>
          <cell r="G7402" t="str">
            <v>Other</v>
          </cell>
          <cell r="H7402" t="str">
            <v>OTHER</v>
          </cell>
          <cell r="I7402" t="str">
            <v>Other - Index</v>
          </cell>
        </row>
        <row r="7403">
          <cell r="A7403" t="str">
            <v>SP600_UTIL</v>
          </cell>
          <cell r="B7403" t="str">
            <v>S&amp;P 600 Utilities</v>
          </cell>
          <cell r="C7403" t="str">
            <v>-BRS_GOLD_1:SP600_UTIL</v>
          </cell>
          <cell r="D7403" t="str">
            <v>Index</v>
          </cell>
          <cell r="E7403" t="str">
            <v>Index Level</v>
          </cell>
          <cell r="F7403" t="str">
            <v>Other</v>
          </cell>
          <cell r="G7403" t="str">
            <v>Other</v>
          </cell>
          <cell r="H7403" t="str">
            <v>OTHER</v>
          </cell>
          <cell r="I7403" t="str">
            <v>Other - Index</v>
          </cell>
        </row>
        <row r="7404">
          <cell r="A7404" t="str">
            <v>SPCD</v>
          </cell>
          <cell r="B7404" t="str">
            <v>S&amp;P 500 Cons. Disc. Index</v>
          </cell>
          <cell r="C7404" t="str">
            <v>-BRS_GOLD_1:SPCD</v>
          </cell>
          <cell r="D7404" t="str">
            <v>Index</v>
          </cell>
          <cell r="E7404" t="str">
            <v>Index Level</v>
          </cell>
          <cell r="F7404" t="str">
            <v>Other</v>
          </cell>
          <cell r="G7404" t="str">
            <v>Other</v>
          </cell>
          <cell r="H7404" t="str">
            <v>OTHER</v>
          </cell>
          <cell r="I7404" t="str">
            <v>Other - Index</v>
          </cell>
        </row>
        <row r="7405">
          <cell r="A7405" t="str">
            <v>SPCS</v>
          </cell>
          <cell r="B7405" t="str">
            <v>S&amp;P 500 Consumer Staples Index</v>
          </cell>
          <cell r="C7405" t="str">
            <v>-BRS_GOLD_1:SPCS</v>
          </cell>
          <cell r="D7405" t="str">
            <v>Index</v>
          </cell>
          <cell r="E7405" t="str">
            <v>Index Level</v>
          </cell>
          <cell r="F7405" t="str">
            <v>Other</v>
          </cell>
          <cell r="G7405" t="str">
            <v>Other</v>
          </cell>
          <cell r="H7405" t="str">
            <v>OTHER</v>
          </cell>
          <cell r="I7405" t="str">
            <v>Other - Index</v>
          </cell>
        </row>
        <row r="7406">
          <cell r="A7406" t="str">
            <v>SPIT</v>
          </cell>
          <cell r="B7406" t="str">
            <v>S&amp;P 500 Information Technology</v>
          </cell>
          <cell r="C7406" t="str">
            <v>-BRS_GOLD_1:SPIT</v>
          </cell>
          <cell r="D7406" t="str">
            <v>Index</v>
          </cell>
          <cell r="E7406" t="str">
            <v>Index Level</v>
          </cell>
          <cell r="F7406" t="str">
            <v>Other</v>
          </cell>
          <cell r="G7406" t="str">
            <v>Other</v>
          </cell>
          <cell r="H7406" t="str">
            <v>OTHER</v>
          </cell>
          <cell r="I7406" t="str">
            <v>Other - Index</v>
          </cell>
        </row>
        <row r="7407">
          <cell r="A7407" t="str">
            <v>STYLADV_AG_CO_GLO_CAR</v>
          </cell>
          <cell r="B7407" t="str">
            <v>Style Adv - Commodity Carry</v>
          </cell>
          <cell r="C7407" t="str">
            <v>-BRS_GOLD_1:STYLADV_AG_CO_GLO_CAR</v>
          </cell>
          <cell r="D7407" t="str">
            <v>Price</v>
          </cell>
          <cell r="E7407" t="str">
            <v>Price Level</v>
          </cell>
          <cell r="F7407" t="str">
            <v>Other</v>
          </cell>
          <cell r="G7407" t="str">
            <v>Other</v>
          </cell>
          <cell r="H7407" t="str">
            <v>OTHER</v>
          </cell>
          <cell r="I7407" t="str">
            <v>Other - Price</v>
          </cell>
        </row>
        <row r="7408">
          <cell r="A7408" t="str">
            <v>STYLADV_AG_CO_GLO_MOM</v>
          </cell>
          <cell r="B7408" t="str">
            <v>Style Adv - Commodity Momentum</v>
          </cell>
          <cell r="C7408" t="str">
            <v>-BRS_GOLD_1:STYLADV_AG_CO_GLO_MOM</v>
          </cell>
          <cell r="D7408" t="str">
            <v>Price</v>
          </cell>
          <cell r="E7408" t="str">
            <v>Price Level</v>
          </cell>
          <cell r="F7408" t="str">
            <v>Other</v>
          </cell>
          <cell r="G7408" t="str">
            <v>Other</v>
          </cell>
          <cell r="H7408" t="str">
            <v>OTHER</v>
          </cell>
          <cell r="I7408" t="str">
            <v>Other - Price</v>
          </cell>
        </row>
        <row r="7409">
          <cell r="A7409" t="str">
            <v>STYLADV_AG_EQ_GLO_MINVOL</v>
          </cell>
          <cell r="B7409" t="str">
            <v>Style Adv - Equity Min Vol</v>
          </cell>
          <cell r="C7409" t="str">
            <v>-BRS_GOLD_1:STYLADV_AG_EQ_GLO_MINVOL</v>
          </cell>
          <cell r="D7409" t="str">
            <v>Price</v>
          </cell>
          <cell r="E7409" t="str">
            <v>Price Level</v>
          </cell>
          <cell r="F7409" t="str">
            <v>Other</v>
          </cell>
          <cell r="G7409" t="str">
            <v>Other</v>
          </cell>
          <cell r="H7409" t="str">
            <v>OTHER</v>
          </cell>
          <cell r="I7409" t="str">
            <v>Other - Price</v>
          </cell>
        </row>
        <row r="7410">
          <cell r="A7410" t="str">
            <v>STYLADV_AG_EQ_GLO_MOM</v>
          </cell>
          <cell r="B7410" t="str">
            <v>Style Adv - Equity Momentum</v>
          </cell>
          <cell r="C7410" t="str">
            <v>-BRS_GOLD_1:STYLADV_AG_EQ_GLO_MOM</v>
          </cell>
          <cell r="D7410" t="str">
            <v>Price</v>
          </cell>
          <cell r="E7410" t="str">
            <v>Price Level</v>
          </cell>
          <cell r="F7410" t="str">
            <v>Other</v>
          </cell>
          <cell r="G7410" t="str">
            <v>Other</v>
          </cell>
          <cell r="H7410" t="str">
            <v>OTHER</v>
          </cell>
          <cell r="I7410" t="str">
            <v>Other - Price</v>
          </cell>
        </row>
        <row r="7411">
          <cell r="A7411" t="str">
            <v>STYLADV_AG_EQ_GLO_QUAL</v>
          </cell>
          <cell r="B7411" t="str">
            <v>Style Adv - Equity Quality</v>
          </cell>
          <cell r="C7411" t="str">
            <v>-BRS_GOLD_1:STYLADV_AG_EQ_GLO_QUAL</v>
          </cell>
          <cell r="D7411" t="str">
            <v>Price</v>
          </cell>
          <cell r="E7411" t="str">
            <v>Price Level</v>
          </cell>
          <cell r="F7411" t="str">
            <v>Other</v>
          </cell>
          <cell r="G7411" t="str">
            <v>Other</v>
          </cell>
          <cell r="H7411" t="str">
            <v>OTHER</v>
          </cell>
          <cell r="I7411" t="str">
            <v>Other - Price</v>
          </cell>
        </row>
        <row r="7412">
          <cell r="A7412" t="str">
            <v>STYLADV_AG_EQ_GLO_VAL</v>
          </cell>
          <cell r="B7412" t="str">
            <v>Style Adv - Equity Value</v>
          </cell>
          <cell r="C7412" t="str">
            <v>-BRS_GOLD_1:STYLADV_AG_EQ_GLO_VAL</v>
          </cell>
          <cell r="D7412" t="str">
            <v>Price</v>
          </cell>
          <cell r="E7412" t="str">
            <v>Price Level</v>
          </cell>
          <cell r="F7412" t="str">
            <v>Other</v>
          </cell>
          <cell r="G7412" t="str">
            <v>Other</v>
          </cell>
          <cell r="H7412" t="str">
            <v>OTHER</v>
          </cell>
          <cell r="I7412" t="str">
            <v>Other - Price</v>
          </cell>
        </row>
        <row r="7413">
          <cell r="A7413" t="str">
            <v>STYLADV_AG_FI_GLO_CAR</v>
          </cell>
          <cell r="B7413" t="str">
            <v>Style Adv - FI Carry</v>
          </cell>
          <cell r="C7413" t="str">
            <v>-BRS_GOLD_1:STYLADV_AG_FI_GLO_CAR</v>
          </cell>
          <cell r="D7413" t="str">
            <v>Price</v>
          </cell>
          <cell r="E7413" t="str">
            <v>Price Level</v>
          </cell>
          <cell r="F7413" t="str">
            <v>Other</v>
          </cell>
          <cell r="G7413" t="str">
            <v>Other</v>
          </cell>
          <cell r="H7413" t="str">
            <v>OTHER</v>
          </cell>
          <cell r="I7413" t="str">
            <v>Other - Price</v>
          </cell>
        </row>
        <row r="7414">
          <cell r="A7414" t="str">
            <v>STYLADV_AG_FI_GLO_CURV</v>
          </cell>
          <cell r="B7414" t="str">
            <v>Style Adv - FI Curve</v>
          </cell>
          <cell r="C7414" t="str">
            <v>-BRS_GOLD_1:STYLADV_AG_FI_GLO_CURV</v>
          </cell>
          <cell r="D7414" t="str">
            <v>Price</v>
          </cell>
          <cell r="E7414" t="str">
            <v>Price Level</v>
          </cell>
          <cell r="F7414" t="str">
            <v>Other</v>
          </cell>
          <cell r="G7414" t="str">
            <v>Other</v>
          </cell>
          <cell r="H7414" t="str">
            <v>OTHER</v>
          </cell>
          <cell r="I7414" t="str">
            <v>Other - Price</v>
          </cell>
        </row>
        <row r="7415">
          <cell r="A7415" t="str">
            <v>STYLADV_AG_FI_GLO_MOM</v>
          </cell>
          <cell r="B7415" t="str">
            <v>Style Adv - FI Momentum</v>
          </cell>
          <cell r="C7415" t="str">
            <v>-BRS_GOLD_1:STYLADV_AG_FI_GLO_MOM</v>
          </cell>
          <cell r="D7415" t="str">
            <v>Price</v>
          </cell>
          <cell r="E7415" t="str">
            <v>Price Level</v>
          </cell>
          <cell r="F7415" t="str">
            <v>Other</v>
          </cell>
          <cell r="G7415" t="str">
            <v>Other</v>
          </cell>
          <cell r="H7415" t="str">
            <v>OTHER</v>
          </cell>
          <cell r="I7415" t="str">
            <v>Other - Price</v>
          </cell>
        </row>
        <row r="7416">
          <cell r="A7416" t="str">
            <v>STYLADV_AG_FX_GLO_CAR</v>
          </cell>
          <cell r="B7416" t="str">
            <v>Style Adv - FX Carry</v>
          </cell>
          <cell r="C7416" t="str">
            <v>-BRS_GOLD_1:STYLADV_AG_FX_GLO_CAR</v>
          </cell>
          <cell r="D7416" t="str">
            <v>Price</v>
          </cell>
          <cell r="E7416" t="str">
            <v>Price Level</v>
          </cell>
          <cell r="F7416" t="str">
            <v>Other</v>
          </cell>
          <cell r="G7416" t="str">
            <v>Other</v>
          </cell>
          <cell r="H7416" t="str">
            <v>OTHER</v>
          </cell>
          <cell r="I7416" t="str">
            <v>Other - Price</v>
          </cell>
        </row>
        <row r="7417">
          <cell r="A7417" t="str">
            <v>STYLADV_AG_FX_GLO_MOM</v>
          </cell>
          <cell r="B7417" t="str">
            <v>Style Adv - FX Momentum</v>
          </cell>
          <cell r="C7417" t="str">
            <v>-BRS_GOLD_1:STYLADV_AG_FX_GLO_MOM</v>
          </cell>
          <cell r="D7417" t="str">
            <v>Price</v>
          </cell>
          <cell r="E7417" t="str">
            <v>Price Level</v>
          </cell>
          <cell r="F7417" t="str">
            <v>Other</v>
          </cell>
          <cell r="G7417" t="str">
            <v>Other</v>
          </cell>
          <cell r="H7417" t="str">
            <v>OTHER</v>
          </cell>
          <cell r="I7417" t="str">
            <v>Other - Price</v>
          </cell>
        </row>
        <row r="7418">
          <cell r="A7418" t="str">
            <v>STYLADV_AG_FX_GLO_VAL</v>
          </cell>
          <cell r="B7418" t="str">
            <v>Style Adv - FX Global Value</v>
          </cell>
          <cell r="C7418" t="str">
            <v>-BRS_GOLD_1:STYLADV_AG_FX_GLO_VAL</v>
          </cell>
          <cell r="D7418" t="str">
            <v>Price</v>
          </cell>
          <cell r="E7418" t="str">
            <v>Price Level</v>
          </cell>
          <cell r="F7418" t="str">
            <v>Other</v>
          </cell>
          <cell r="G7418" t="str">
            <v>Other</v>
          </cell>
          <cell r="H7418" t="str">
            <v>OTHER</v>
          </cell>
          <cell r="I7418" t="str">
            <v>Other - Price</v>
          </cell>
        </row>
        <row r="7419">
          <cell r="A7419" t="str">
            <v>STYLADV_AG_XA_GLO_CAR</v>
          </cell>
          <cell r="B7419" t="str">
            <v>Style Adv - Cross Asset Carry</v>
          </cell>
          <cell r="C7419" t="str">
            <v>-BRS_GOLD_1:STYLADV_AG_XA_GLO_CAR</v>
          </cell>
          <cell r="D7419" t="str">
            <v>Price</v>
          </cell>
          <cell r="E7419" t="str">
            <v>Price Level</v>
          </cell>
          <cell r="F7419" t="str">
            <v>Other</v>
          </cell>
          <cell r="G7419" t="str">
            <v>Other</v>
          </cell>
          <cell r="H7419" t="str">
            <v>OTHER</v>
          </cell>
          <cell r="I7419" t="str">
            <v>Other - Price</v>
          </cell>
        </row>
        <row r="7420">
          <cell r="A7420" t="str">
            <v>STYLADV_AG_XA_GLO_MOM</v>
          </cell>
          <cell r="B7420" t="str">
            <v>Style Adv - Cross Asset Mom.</v>
          </cell>
          <cell r="C7420" t="str">
            <v>-BRS_GOLD_1:STYLADV_AG_XA_GLO_MOM</v>
          </cell>
          <cell r="D7420" t="str">
            <v>Price</v>
          </cell>
          <cell r="E7420" t="str">
            <v>Price Level</v>
          </cell>
          <cell r="F7420" t="str">
            <v>Other</v>
          </cell>
          <cell r="G7420" t="str">
            <v>Other</v>
          </cell>
          <cell r="H7420" t="str">
            <v>OTHER</v>
          </cell>
          <cell r="I7420" t="str">
            <v>Other - Price</v>
          </cell>
        </row>
        <row r="7421">
          <cell r="A7421" t="str">
            <v>STYLADV_CARRY</v>
          </cell>
          <cell r="B7421" t="str">
            <v>Style Adv - Carry</v>
          </cell>
          <cell r="C7421" t="str">
            <v>-BRS_GOLD_1:STYLADV_CARRY</v>
          </cell>
          <cell r="D7421" t="str">
            <v>Price</v>
          </cell>
          <cell r="E7421" t="str">
            <v>Price Level</v>
          </cell>
          <cell r="F7421" t="str">
            <v>Other</v>
          </cell>
          <cell r="G7421" t="str">
            <v>Other</v>
          </cell>
          <cell r="H7421" t="str">
            <v>OTHER</v>
          </cell>
          <cell r="I7421" t="str">
            <v>Other - Price</v>
          </cell>
        </row>
        <row r="7422">
          <cell r="A7422" t="str">
            <v>STYLADV_COMD_CARRY</v>
          </cell>
          <cell r="B7422" t="str">
            <v>Style Adv - Commodity Carry</v>
          </cell>
          <cell r="C7422" t="str">
            <v>-BRS_GOLD_1:STYLADV_COMD_CARRY</v>
          </cell>
          <cell r="D7422" t="str">
            <v>Price</v>
          </cell>
          <cell r="E7422" t="str">
            <v>Price Level</v>
          </cell>
          <cell r="F7422" t="str">
            <v>Other</v>
          </cell>
          <cell r="G7422" t="str">
            <v>Other</v>
          </cell>
          <cell r="H7422" t="str">
            <v>OTHER</v>
          </cell>
          <cell r="I7422" t="str">
            <v>Other - Price</v>
          </cell>
        </row>
        <row r="7423">
          <cell r="A7423" t="str">
            <v>STYLADV_COMD_MOMENTUM</v>
          </cell>
          <cell r="B7423" t="str">
            <v>Style Adv - Commodity Momentum</v>
          </cell>
          <cell r="C7423" t="str">
            <v>-BRS_GOLD_1:STYLADV_COMD_MOMENTUM</v>
          </cell>
          <cell r="D7423" t="str">
            <v>Price</v>
          </cell>
          <cell r="E7423" t="str">
            <v>Price Level</v>
          </cell>
          <cell r="F7423" t="str">
            <v>Other</v>
          </cell>
          <cell r="G7423" t="str">
            <v>Other</v>
          </cell>
          <cell r="H7423" t="str">
            <v>OTHER</v>
          </cell>
          <cell r="I7423" t="str">
            <v>Other - Price</v>
          </cell>
        </row>
        <row r="7424">
          <cell r="A7424" t="str">
            <v>STYLADV_COMD_VALUE</v>
          </cell>
          <cell r="B7424" t="str">
            <v>Style Adv - Commodity Value</v>
          </cell>
          <cell r="C7424" t="str">
            <v>-BRS_GOLD_1:STYLADV_COMD_VALUE</v>
          </cell>
          <cell r="D7424" t="str">
            <v>Price</v>
          </cell>
          <cell r="E7424" t="str">
            <v>Price Level</v>
          </cell>
          <cell r="F7424" t="str">
            <v>Other</v>
          </cell>
          <cell r="G7424" t="str">
            <v>Other</v>
          </cell>
          <cell r="H7424" t="str">
            <v>OTHER</v>
          </cell>
          <cell r="I7424" t="str">
            <v>Other - Price</v>
          </cell>
        </row>
        <row r="7425">
          <cell r="A7425" t="str">
            <v>STYLADV_CO_GLO_CAR</v>
          </cell>
          <cell r="B7425" t="str">
            <v>Style Adv - CO Global Carry</v>
          </cell>
          <cell r="C7425" t="str">
            <v>-BRS_GOLD_1:STYLADV_CO_GLO_CAR</v>
          </cell>
          <cell r="D7425" t="str">
            <v>Price</v>
          </cell>
          <cell r="E7425" t="str">
            <v>Price Level</v>
          </cell>
          <cell r="F7425" t="str">
            <v>Other</v>
          </cell>
          <cell r="G7425" t="str">
            <v>Other</v>
          </cell>
          <cell r="H7425" t="str">
            <v>OTHER</v>
          </cell>
          <cell r="I7425" t="str">
            <v>Other - Price</v>
          </cell>
        </row>
        <row r="7426">
          <cell r="A7426" t="str">
            <v>STYLADV_CO_GLO_MOM</v>
          </cell>
          <cell r="B7426" t="str">
            <v>Style Adv - CO Global Momentum</v>
          </cell>
          <cell r="C7426" t="str">
            <v>-BRS_GOLD_1:STYLADV_CO_GLO_MOM</v>
          </cell>
          <cell r="D7426" t="str">
            <v>Price</v>
          </cell>
          <cell r="E7426" t="str">
            <v>Price Level</v>
          </cell>
          <cell r="F7426" t="str">
            <v>Other</v>
          </cell>
          <cell r="G7426" t="str">
            <v>Other</v>
          </cell>
          <cell r="H7426" t="str">
            <v>OTHER</v>
          </cell>
          <cell r="I7426" t="str">
            <v>Other - Price</v>
          </cell>
        </row>
        <row r="7427">
          <cell r="A7427" t="str">
            <v>STYLADV_DEFENSIVE</v>
          </cell>
          <cell r="B7427" t="str">
            <v>Style Adv - Defensive</v>
          </cell>
          <cell r="C7427" t="str">
            <v>-BRS_GOLD_1:STYLADV_DEFENSIVE</v>
          </cell>
          <cell r="D7427" t="str">
            <v>Price</v>
          </cell>
          <cell r="E7427" t="str">
            <v>Price Level</v>
          </cell>
          <cell r="F7427" t="str">
            <v>Other</v>
          </cell>
          <cell r="G7427" t="str">
            <v>Other</v>
          </cell>
          <cell r="H7427" t="str">
            <v>OTHER</v>
          </cell>
          <cell r="I7427" t="str">
            <v>Other - Price</v>
          </cell>
        </row>
        <row r="7428">
          <cell r="A7428" t="str">
            <v>STYLADV_EQUITY_CARRY</v>
          </cell>
          <cell r="B7428" t="str">
            <v>Style Adv - Eq Mkt Carry</v>
          </cell>
          <cell r="C7428" t="str">
            <v>-BRS_GOLD_1:STYLADV_EQUITY_CARRY</v>
          </cell>
          <cell r="D7428" t="str">
            <v>Price</v>
          </cell>
          <cell r="E7428" t="str">
            <v>Price Level</v>
          </cell>
          <cell r="F7428" t="str">
            <v>Other</v>
          </cell>
          <cell r="G7428" t="str">
            <v>Other</v>
          </cell>
          <cell r="H7428" t="str">
            <v>OTHER</v>
          </cell>
          <cell r="I7428" t="str">
            <v>Other - Price</v>
          </cell>
        </row>
        <row r="7429">
          <cell r="A7429" t="str">
            <v>STYLADV_EQUITY_MOMENTUM</v>
          </cell>
          <cell r="B7429" t="str">
            <v>Style Adv - Eq Mkt Momentum</v>
          </cell>
          <cell r="C7429" t="str">
            <v>-BRS_GOLD_1:STYLADV_EQUITY_MOMENTUM</v>
          </cell>
          <cell r="D7429" t="str">
            <v>Price</v>
          </cell>
          <cell r="E7429" t="str">
            <v>Price Level</v>
          </cell>
          <cell r="F7429" t="str">
            <v>Other</v>
          </cell>
          <cell r="G7429" t="str">
            <v>Other</v>
          </cell>
          <cell r="H7429" t="str">
            <v>OTHER</v>
          </cell>
          <cell r="I7429" t="str">
            <v>Other - Price</v>
          </cell>
        </row>
        <row r="7430">
          <cell r="A7430" t="str">
            <v>STYLADV_EQUITY_VALUE</v>
          </cell>
          <cell r="B7430" t="str">
            <v>Style Adv - Eq Mkt Value</v>
          </cell>
          <cell r="C7430" t="str">
            <v>-BRS_GOLD_1:STYLADV_EQUITY_VALUE</v>
          </cell>
          <cell r="D7430" t="str">
            <v>Price</v>
          </cell>
          <cell r="E7430" t="str">
            <v>Price Level</v>
          </cell>
          <cell r="F7430" t="str">
            <v>Other</v>
          </cell>
          <cell r="G7430" t="str">
            <v>Other</v>
          </cell>
          <cell r="H7430" t="str">
            <v>OTHER</v>
          </cell>
          <cell r="I7430" t="str">
            <v>Other - Price</v>
          </cell>
        </row>
        <row r="7431">
          <cell r="A7431" t="str">
            <v>STYLADV_EQ_ASA_MINVOL</v>
          </cell>
          <cell r="B7431" t="str">
            <v>Style Adv - EQ ASA Min Vol</v>
          </cell>
          <cell r="C7431" t="str">
            <v>-BRS_GOLD_1:STYLADV_EQ_ASA_MINVOL</v>
          </cell>
          <cell r="D7431" t="str">
            <v>Price</v>
          </cell>
          <cell r="E7431" t="str">
            <v>Price Level</v>
          </cell>
          <cell r="F7431" t="str">
            <v>Other</v>
          </cell>
          <cell r="G7431" t="str">
            <v>Other</v>
          </cell>
          <cell r="H7431" t="str">
            <v>OTHER</v>
          </cell>
          <cell r="I7431" t="str">
            <v>Other - Price</v>
          </cell>
        </row>
        <row r="7432">
          <cell r="A7432" t="str">
            <v>STYLADV_EQ_ASA_MOM</v>
          </cell>
          <cell r="B7432" t="str">
            <v>Style Adv - EQ ASA Momentum</v>
          </cell>
          <cell r="C7432" t="str">
            <v>-BRS_GOLD_1:STYLADV_EQ_ASA_MOM</v>
          </cell>
          <cell r="D7432" t="str">
            <v>Price</v>
          </cell>
          <cell r="E7432" t="str">
            <v>Price Level</v>
          </cell>
          <cell r="F7432" t="str">
            <v>Other</v>
          </cell>
          <cell r="G7432" t="str">
            <v>Other</v>
          </cell>
          <cell r="H7432" t="str">
            <v>OTHER</v>
          </cell>
          <cell r="I7432" t="str">
            <v>Other - Price</v>
          </cell>
        </row>
        <row r="7433">
          <cell r="A7433" t="str">
            <v>STYLADV_EQ_ASA_QUAL</v>
          </cell>
          <cell r="B7433" t="str">
            <v>Style Adv - EQ ASA Quality</v>
          </cell>
          <cell r="C7433" t="str">
            <v>-BRS_GOLD_1:STYLADV_EQ_ASA_QUAL</v>
          </cell>
          <cell r="D7433" t="str">
            <v>Price</v>
          </cell>
          <cell r="E7433" t="str">
            <v>Price Level</v>
          </cell>
          <cell r="F7433" t="str">
            <v>Other</v>
          </cell>
          <cell r="G7433" t="str">
            <v>Other</v>
          </cell>
          <cell r="H7433" t="str">
            <v>OTHER</v>
          </cell>
          <cell r="I7433" t="str">
            <v>Other - Price</v>
          </cell>
        </row>
        <row r="7434">
          <cell r="A7434" t="str">
            <v>STYLADV_EQ_ASA_VAL</v>
          </cell>
          <cell r="B7434" t="str">
            <v>Style Adv - EQ ASA Value</v>
          </cell>
          <cell r="C7434" t="str">
            <v>-BRS_GOLD_1:STYLADV_EQ_ASA_VAL</v>
          </cell>
          <cell r="D7434" t="str">
            <v>Price</v>
          </cell>
          <cell r="E7434" t="str">
            <v>Price Level</v>
          </cell>
          <cell r="F7434" t="str">
            <v>Other</v>
          </cell>
          <cell r="G7434" t="str">
            <v>Other</v>
          </cell>
          <cell r="H7434" t="str">
            <v>OTHER</v>
          </cell>
          <cell r="I7434" t="str">
            <v>Other - Price</v>
          </cell>
        </row>
        <row r="7435">
          <cell r="A7435" t="str">
            <v>STYLADV_EQ_EUR_MINVOL</v>
          </cell>
          <cell r="B7435" t="str">
            <v>Style Adv - EQ Europe Min Vol</v>
          </cell>
          <cell r="C7435" t="str">
            <v>-BRS_GOLD_1:STYLADV_EQ_EUR_MINVOL</v>
          </cell>
          <cell r="D7435" t="str">
            <v>Price</v>
          </cell>
          <cell r="E7435" t="str">
            <v>Price Level</v>
          </cell>
          <cell r="F7435" t="str">
            <v>Other</v>
          </cell>
          <cell r="G7435" t="str">
            <v>Other</v>
          </cell>
          <cell r="H7435" t="str">
            <v>OTHER</v>
          </cell>
          <cell r="I7435" t="str">
            <v>Other - Price</v>
          </cell>
        </row>
        <row r="7436">
          <cell r="A7436" t="str">
            <v>STYLADV_EQ_EUR_MOM</v>
          </cell>
          <cell r="B7436" t="str">
            <v>Style Adv - EQ Europe Momentum</v>
          </cell>
          <cell r="C7436" t="str">
            <v>-BRS_GOLD_1:STYLADV_EQ_EUR_MOM</v>
          </cell>
          <cell r="D7436" t="str">
            <v>Price</v>
          </cell>
          <cell r="E7436" t="str">
            <v>Price Level</v>
          </cell>
          <cell r="F7436" t="str">
            <v>Other</v>
          </cell>
          <cell r="G7436" t="str">
            <v>Other</v>
          </cell>
          <cell r="H7436" t="str">
            <v>OTHER</v>
          </cell>
          <cell r="I7436" t="str">
            <v>Other - Price</v>
          </cell>
        </row>
        <row r="7437">
          <cell r="A7437" t="str">
            <v>STYLADV_EQ_EUR_QUAL</v>
          </cell>
          <cell r="B7437" t="str">
            <v>Style Adv - EQ Europe Quality</v>
          </cell>
          <cell r="C7437" t="str">
            <v>-BRS_GOLD_1:STYLADV_EQ_EUR_QUAL</v>
          </cell>
          <cell r="D7437" t="str">
            <v>Price</v>
          </cell>
          <cell r="E7437" t="str">
            <v>Price Level</v>
          </cell>
          <cell r="F7437" t="str">
            <v>Other</v>
          </cell>
          <cell r="G7437" t="str">
            <v>Other</v>
          </cell>
          <cell r="H7437" t="str">
            <v>OTHER</v>
          </cell>
          <cell r="I7437" t="str">
            <v>Other - Price</v>
          </cell>
        </row>
        <row r="7438">
          <cell r="A7438" t="str">
            <v>STYLADV_EQ_EUR_VAL</v>
          </cell>
          <cell r="B7438" t="str">
            <v>Style Adv - EQ Europe Value</v>
          </cell>
          <cell r="C7438" t="str">
            <v>-BRS_GOLD_1:STYLADV_EQ_EUR_VAL</v>
          </cell>
          <cell r="D7438" t="str">
            <v>Price</v>
          </cell>
          <cell r="E7438" t="str">
            <v>Price Level</v>
          </cell>
          <cell r="F7438" t="str">
            <v>Other</v>
          </cell>
          <cell r="G7438" t="str">
            <v>Other</v>
          </cell>
          <cell r="H7438" t="str">
            <v>OTHER</v>
          </cell>
          <cell r="I7438" t="str">
            <v>Other - Price</v>
          </cell>
        </row>
        <row r="7439">
          <cell r="A7439" t="str">
            <v>STYLADV_EQ_JPN_MINVOL</v>
          </cell>
          <cell r="B7439" t="str">
            <v>Style Adv - EQ Japan Min Vol</v>
          </cell>
          <cell r="C7439" t="str">
            <v>-BRS_GOLD_1:STYLADV_EQ_JPN_MINVOL</v>
          </cell>
          <cell r="D7439" t="str">
            <v>Price</v>
          </cell>
          <cell r="E7439" t="str">
            <v>Price Level</v>
          </cell>
          <cell r="F7439" t="str">
            <v>Other</v>
          </cell>
          <cell r="G7439" t="str">
            <v>Other</v>
          </cell>
          <cell r="H7439" t="str">
            <v>OTHER</v>
          </cell>
          <cell r="I7439" t="str">
            <v>Other - Price</v>
          </cell>
        </row>
        <row r="7440">
          <cell r="A7440" t="str">
            <v>STYLADV_EQ_JPN_MOM</v>
          </cell>
          <cell r="B7440" t="str">
            <v>Style Adv - EQ Japan Momentum</v>
          </cell>
          <cell r="C7440" t="str">
            <v>-BRS_GOLD_1:STYLADV_EQ_JPN_MOM</v>
          </cell>
          <cell r="D7440" t="str">
            <v>Price</v>
          </cell>
          <cell r="E7440" t="str">
            <v>Price Level</v>
          </cell>
          <cell r="F7440" t="str">
            <v>Other</v>
          </cell>
          <cell r="G7440" t="str">
            <v>Other</v>
          </cell>
          <cell r="H7440" t="str">
            <v>OTHER</v>
          </cell>
          <cell r="I7440" t="str">
            <v>Other - Price</v>
          </cell>
        </row>
        <row r="7441">
          <cell r="A7441" t="str">
            <v>STYLADV_EQ_JPN_QUAL</v>
          </cell>
          <cell r="B7441" t="str">
            <v>Style Adv - EQ Japan Quality</v>
          </cell>
          <cell r="C7441" t="str">
            <v>-BRS_GOLD_1:STYLADV_EQ_JPN_QUAL</v>
          </cell>
          <cell r="D7441" t="str">
            <v>Price</v>
          </cell>
          <cell r="E7441" t="str">
            <v>Price Level</v>
          </cell>
          <cell r="F7441" t="str">
            <v>Other</v>
          </cell>
          <cell r="G7441" t="str">
            <v>Other</v>
          </cell>
          <cell r="H7441" t="str">
            <v>OTHER</v>
          </cell>
          <cell r="I7441" t="str">
            <v>Other - Price</v>
          </cell>
        </row>
        <row r="7442">
          <cell r="A7442" t="str">
            <v>STYLADV_EQ_JPN_VAL</v>
          </cell>
          <cell r="B7442" t="str">
            <v>Style Adv - EQ Japan Value</v>
          </cell>
          <cell r="C7442" t="str">
            <v>-BRS_GOLD_1:STYLADV_EQ_JPN_VAL</v>
          </cell>
          <cell r="D7442" t="str">
            <v>Price</v>
          </cell>
          <cell r="E7442" t="str">
            <v>Price Level</v>
          </cell>
          <cell r="F7442" t="str">
            <v>Other</v>
          </cell>
          <cell r="G7442" t="str">
            <v>Other</v>
          </cell>
          <cell r="H7442" t="str">
            <v>OTHER</v>
          </cell>
          <cell r="I7442" t="str">
            <v>Other - Price</v>
          </cell>
        </row>
        <row r="7443">
          <cell r="A7443" t="str">
            <v>STYLADV_EQ_USA_MINVOL</v>
          </cell>
          <cell r="B7443" t="str">
            <v>Style Adv - EQ USA Min Vol</v>
          </cell>
          <cell r="C7443" t="str">
            <v>-BRS_GOLD_1:STYLADV_EQ_USA_MINVOL</v>
          </cell>
          <cell r="D7443" t="str">
            <v>Price</v>
          </cell>
          <cell r="E7443" t="str">
            <v>Price Level</v>
          </cell>
          <cell r="F7443" t="str">
            <v>Other</v>
          </cell>
          <cell r="G7443" t="str">
            <v>Other</v>
          </cell>
          <cell r="H7443" t="str">
            <v>OTHER</v>
          </cell>
          <cell r="I7443" t="str">
            <v>Other - Price</v>
          </cell>
        </row>
        <row r="7444">
          <cell r="A7444" t="str">
            <v>STYLADV_EQ_USA_MOM</v>
          </cell>
          <cell r="B7444" t="str">
            <v>Style Adv - EQ USA Momentum</v>
          </cell>
          <cell r="C7444" t="str">
            <v>-BRS_GOLD_1:STYLADV_EQ_USA_MOM</v>
          </cell>
          <cell r="D7444" t="str">
            <v>Price</v>
          </cell>
          <cell r="E7444" t="str">
            <v>Price Level</v>
          </cell>
          <cell r="F7444" t="str">
            <v>Other</v>
          </cell>
          <cell r="G7444" t="str">
            <v>Other</v>
          </cell>
          <cell r="H7444" t="str">
            <v>OTHER</v>
          </cell>
          <cell r="I7444" t="str">
            <v>Other - Price</v>
          </cell>
        </row>
        <row r="7445">
          <cell r="A7445" t="str">
            <v>STYLADV_EQ_USA_QUAL</v>
          </cell>
          <cell r="B7445" t="str">
            <v>Style Adv - EQ USA Quality</v>
          </cell>
          <cell r="C7445" t="str">
            <v>-BRS_GOLD_1:STYLADV_EQ_USA_QUAL</v>
          </cell>
          <cell r="D7445" t="str">
            <v>Price</v>
          </cell>
          <cell r="E7445" t="str">
            <v>Price Level</v>
          </cell>
          <cell r="F7445" t="str">
            <v>Other</v>
          </cell>
          <cell r="G7445" t="str">
            <v>Other</v>
          </cell>
          <cell r="H7445" t="str">
            <v>OTHER</v>
          </cell>
          <cell r="I7445" t="str">
            <v>Other - Price</v>
          </cell>
        </row>
        <row r="7446">
          <cell r="A7446" t="str">
            <v>STYLADV_EQ_USA_VAL</v>
          </cell>
          <cell r="B7446" t="str">
            <v>Style Adv - EQ USA Value</v>
          </cell>
          <cell r="C7446" t="str">
            <v>-BRS_GOLD_1:STYLADV_EQ_USA_VAL</v>
          </cell>
          <cell r="D7446" t="str">
            <v>Price</v>
          </cell>
          <cell r="E7446" t="str">
            <v>Price Level</v>
          </cell>
          <cell r="F7446" t="str">
            <v>Other</v>
          </cell>
          <cell r="G7446" t="str">
            <v>Other</v>
          </cell>
          <cell r="H7446" t="str">
            <v>OTHER</v>
          </cell>
          <cell r="I7446" t="str">
            <v>Other - Price</v>
          </cell>
        </row>
        <row r="7447">
          <cell r="A7447" t="str">
            <v>STYLADV_FI_CARRY</v>
          </cell>
          <cell r="B7447" t="str">
            <v>Style Adv - FI Carry</v>
          </cell>
          <cell r="C7447" t="str">
            <v>-BRS_GOLD_1:STYLADV_FI_CARRY</v>
          </cell>
          <cell r="D7447" t="str">
            <v>Price</v>
          </cell>
          <cell r="E7447" t="str">
            <v>Price Level</v>
          </cell>
          <cell r="F7447" t="str">
            <v>Other</v>
          </cell>
          <cell r="G7447" t="str">
            <v>Other</v>
          </cell>
          <cell r="H7447" t="str">
            <v>OTHER</v>
          </cell>
          <cell r="I7447" t="str">
            <v>Other - Price</v>
          </cell>
        </row>
        <row r="7448">
          <cell r="A7448" t="str">
            <v>STYLADV_FI_CRED_MOM</v>
          </cell>
          <cell r="B7448" t="str">
            <v>Style Adv - FI Credit Momentum</v>
          </cell>
          <cell r="C7448" t="str">
            <v>-BRS_GOLD_1:STYLADV_FI_CRED_MOM</v>
          </cell>
          <cell r="D7448" t="str">
            <v>Price</v>
          </cell>
          <cell r="E7448" t="str">
            <v>Price Level</v>
          </cell>
          <cell r="F7448" t="str">
            <v>Other</v>
          </cell>
          <cell r="G7448" t="str">
            <v>Other</v>
          </cell>
          <cell r="H7448" t="str">
            <v>OTHER</v>
          </cell>
          <cell r="I7448" t="str">
            <v>Other - Price</v>
          </cell>
        </row>
        <row r="7449">
          <cell r="A7449" t="str">
            <v>STYLADV_FI_DM_CURV</v>
          </cell>
          <cell r="B7449" t="str">
            <v>Style Adv - FI DM Curve</v>
          </cell>
          <cell r="C7449" t="str">
            <v>-BRS_GOLD_1:STYLADV_FI_DM_CURV</v>
          </cell>
          <cell r="D7449" t="str">
            <v>Price</v>
          </cell>
          <cell r="E7449" t="str">
            <v>Price Level</v>
          </cell>
          <cell r="F7449" t="str">
            <v>Other</v>
          </cell>
          <cell r="G7449" t="str">
            <v>Other</v>
          </cell>
          <cell r="H7449" t="str">
            <v>OTHER</v>
          </cell>
          <cell r="I7449" t="str">
            <v>Other - Price</v>
          </cell>
        </row>
        <row r="7450">
          <cell r="A7450" t="str">
            <v>STYLADV_FI_EM_CURV</v>
          </cell>
          <cell r="B7450" t="str">
            <v>Style Adv - FI EM Curve</v>
          </cell>
          <cell r="C7450" t="str">
            <v>-BRS_GOLD_1:STYLADV_FI_EM_CURV</v>
          </cell>
          <cell r="D7450" t="str">
            <v>Price</v>
          </cell>
          <cell r="E7450" t="str">
            <v>Price Level</v>
          </cell>
          <cell r="F7450" t="str">
            <v>Other</v>
          </cell>
          <cell r="G7450" t="str">
            <v>Other</v>
          </cell>
          <cell r="H7450" t="str">
            <v>OTHER</v>
          </cell>
          <cell r="I7450" t="str">
            <v>Other - Price</v>
          </cell>
        </row>
        <row r="7451">
          <cell r="A7451" t="str">
            <v>STYLADV_FI_GLO_CAR</v>
          </cell>
          <cell r="B7451" t="str">
            <v>Style Adv - FI Global Carry</v>
          </cell>
          <cell r="C7451" t="str">
            <v>-BRS_GOLD_1:STYLADV_FI_GLO_CAR</v>
          </cell>
          <cell r="D7451" t="str">
            <v>Price</v>
          </cell>
          <cell r="E7451" t="str">
            <v>Price Level</v>
          </cell>
          <cell r="F7451" t="str">
            <v>Other</v>
          </cell>
          <cell r="G7451" t="str">
            <v>Other</v>
          </cell>
          <cell r="H7451" t="str">
            <v>OTHER</v>
          </cell>
          <cell r="I7451" t="str">
            <v>Other - Price</v>
          </cell>
        </row>
        <row r="7452">
          <cell r="A7452" t="str">
            <v>STYLADV_FI_GLO_CURV</v>
          </cell>
          <cell r="B7452" t="str">
            <v>Style Adv - FI Global Curve</v>
          </cell>
          <cell r="C7452" t="str">
            <v>-BRS_GOLD_1:STYLADV_FI_GLO_CURV</v>
          </cell>
          <cell r="D7452" t="str">
            <v>Price</v>
          </cell>
          <cell r="E7452" t="str">
            <v>Price Level</v>
          </cell>
          <cell r="F7452" t="str">
            <v>Other</v>
          </cell>
          <cell r="G7452" t="str">
            <v>Other</v>
          </cell>
          <cell r="H7452" t="str">
            <v>OTHER</v>
          </cell>
          <cell r="I7452" t="str">
            <v>Other - Price</v>
          </cell>
        </row>
        <row r="7453">
          <cell r="A7453" t="str">
            <v>STYLADV_FI_MOMENTUM</v>
          </cell>
          <cell r="B7453" t="str">
            <v>Style Adv - FI Momentum</v>
          </cell>
          <cell r="C7453" t="str">
            <v>-BRS_GOLD_1:STYLADV_FI_MOMENTUM</v>
          </cell>
          <cell r="D7453" t="str">
            <v>Price</v>
          </cell>
          <cell r="E7453" t="str">
            <v>Price Level</v>
          </cell>
          <cell r="F7453" t="str">
            <v>Other</v>
          </cell>
          <cell r="G7453" t="str">
            <v>Other</v>
          </cell>
          <cell r="H7453" t="str">
            <v>OTHER</v>
          </cell>
          <cell r="I7453" t="str">
            <v>Other - Price</v>
          </cell>
        </row>
        <row r="7454">
          <cell r="A7454" t="str">
            <v>STYLADV_FI_RATE_MOM</v>
          </cell>
          <cell r="B7454" t="str">
            <v>Style Adv - FI Rates Momentum</v>
          </cell>
          <cell r="C7454" t="str">
            <v>-BRS_GOLD_1:STYLADV_FI_RATE_MOM</v>
          </cell>
          <cell r="D7454" t="str">
            <v>Price</v>
          </cell>
          <cell r="E7454" t="str">
            <v>Price Level</v>
          </cell>
          <cell r="F7454" t="str">
            <v>Other</v>
          </cell>
          <cell r="G7454" t="str">
            <v>Other</v>
          </cell>
          <cell r="H7454" t="str">
            <v>OTHER</v>
          </cell>
          <cell r="I7454" t="str">
            <v>Other - Price</v>
          </cell>
        </row>
        <row r="7455">
          <cell r="A7455" t="str">
            <v>STYLADV_FI_VALUE</v>
          </cell>
          <cell r="B7455" t="str">
            <v>Style Adv - FI Value</v>
          </cell>
          <cell r="C7455" t="str">
            <v>-BRS_GOLD_1:STYLADV_FI_VALUE</v>
          </cell>
          <cell r="D7455" t="str">
            <v>Price</v>
          </cell>
          <cell r="E7455" t="str">
            <v>Price Level</v>
          </cell>
          <cell r="F7455" t="str">
            <v>Other</v>
          </cell>
          <cell r="G7455" t="str">
            <v>Other</v>
          </cell>
          <cell r="H7455" t="str">
            <v>OTHER</v>
          </cell>
          <cell r="I7455" t="str">
            <v>Other - Price</v>
          </cell>
        </row>
        <row r="7456">
          <cell r="A7456" t="str">
            <v>STYLADV_FX_CARRY</v>
          </cell>
          <cell r="B7456" t="str">
            <v>Style Adv - FX Carry</v>
          </cell>
          <cell r="C7456" t="str">
            <v>-BRS_GOLD_1:STYLADV_FX_CARRY</v>
          </cell>
          <cell r="D7456" t="str">
            <v>Price</v>
          </cell>
          <cell r="E7456" t="str">
            <v>Price Level</v>
          </cell>
          <cell r="F7456" t="str">
            <v>Other</v>
          </cell>
          <cell r="G7456" t="str">
            <v>Other</v>
          </cell>
          <cell r="H7456" t="str">
            <v>OTHER</v>
          </cell>
          <cell r="I7456" t="str">
            <v>Other - Price</v>
          </cell>
        </row>
        <row r="7457">
          <cell r="A7457" t="str">
            <v>STYLADV_FX_GLO_CAR</v>
          </cell>
          <cell r="B7457" t="str">
            <v>Style Adv - FX Global Carry</v>
          </cell>
          <cell r="C7457" t="str">
            <v>-BRS_GOLD_1:STYLADV_FX_GLO_CAR</v>
          </cell>
          <cell r="D7457" t="str">
            <v>Price</v>
          </cell>
          <cell r="E7457" t="str">
            <v>Price Level</v>
          </cell>
          <cell r="F7457" t="str">
            <v>Other</v>
          </cell>
          <cell r="G7457" t="str">
            <v>Other</v>
          </cell>
          <cell r="H7457" t="str">
            <v>OTHER</v>
          </cell>
          <cell r="I7457" t="str">
            <v>Other - Price</v>
          </cell>
        </row>
        <row r="7458">
          <cell r="A7458" t="str">
            <v>STYLADV_FX_GLO_MOM</v>
          </cell>
          <cell r="B7458" t="str">
            <v>Style Adv - FX Global Momentum</v>
          </cell>
          <cell r="C7458" t="str">
            <v>-BRS_GOLD_1:STYLADV_FX_GLO_MOM</v>
          </cell>
          <cell r="D7458" t="str">
            <v>Price</v>
          </cell>
          <cell r="E7458" t="str">
            <v>Price Level</v>
          </cell>
          <cell r="F7458" t="str">
            <v>Other</v>
          </cell>
          <cell r="G7458" t="str">
            <v>Other</v>
          </cell>
          <cell r="H7458" t="str">
            <v>OTHER</v>
          </cell>
          <cell r="I7458" t="str">
            <v>Other - Price</v>
          </cell>
        </row>
        <row r="7459">
          <cell r="A7459" t="str">
            <v>STYLADV_FX_GLO_VAL</v>
          </cell>
          <cell r="B7459" t="str">
            <v>Style Adv - FX Global Value</v>
          </cell>
          <cell r="C7459" t="str">
            <v>-BRS_GOLD_1:STYLADV_FX_GLO_VAL</v>
          </cell>
          <cell r="D7459" t="str">
            <v>Price</v>
          </cell>
          <cell r="E7459" t="str">
            <v>Price Level</v>
          </cell>
          <cell r="F7459" t="str">
            <v>Other</v>
          </cell>
          <cell r="G7459" t="str">
            <v>Other</v>
          </cell>
          <cell r="H7459" t="str">
            <v>OTHER</v>
          </cell>
          <cell r="I7459" t="str">
            <v>Other - Price</v>
          </cell>
        </row>
        <row r="7460">
          <cell r="A7460" t="str">
            <v>STYLADV_FX_MOMENTUM</v>
          </cell>
          <cell r="B7460" t="str">
            <v>Style Adv - FX Momentum</v>
          </cell>
          <cell r="C7460" t="str">
            <v>-BRS_GOLD_1:STYLADV_FX_MOMENTUM</v>
          </cell>
          <cell r="D7460" t="str">
            <v>Price</v>
          </cell>
          <cell r="E7460" t="str">
            <v>Price Level</v>
          </cell>
          <cell r="F7460" t="str">
            <v>Other</v>
          </cell>
          <cell r="G7460" t="str">
            <v>Other</v>
          </cell>
          <cell r="H7460" t="str">
            <v>OTHER</v>
          </cell>
          <cell r="I7460" t="str">
            <v>Other - Price</v>
          </cell>
        </row>
        <row r="7461">
          <cell r="A7461" t="str">
            <v>STYLADV_FX_VALUE</v>
          </cell>
          <cell r="B7461" t="str">
            <v>Style Adv - FX Value</v>
          </cell>
          <cell r="C7461" t="str">
            <v>-BRS_GOLD_1:STYLADV_FX_VALUE</v>
          </cell>
          <cell r="D7461" t="str">
            <v>Price</v>
          </cell>
          <cell r="E7461" t="str">
            <v>Price Level</v>
          </cell>
          <cell r="F7461" t="str">
            <v>Other</v>
          </cell>
          <cell r="G7461" t="str">
            <v>Other</v>
          </cell>
          <cell r="H7461" t="str">
            <v>OTHER</v>
          </cell>
          <cell r="I7461" t="str">
            <v>Other - Price</v>
          </cell>
        </row>
        <row r="7462">
          <cell r="A7462" t="str">
            <v>STYLADV_MOMENTUM</v>
          </cell>
          <cell r="B7462" t="str">
            <v>Style Adv - Momentum</v>
          </cell>
          <cell r="C7462" t="str">
            <v>-BRS_GOLD_1:STYLADV_MOMENTUM</v>
          </cell>
          <cell r="D7462" t="str">
            <v>Price</v>
          </cell>
          <cell r="E7462" t="str">
            <v>Price Level</v>
          </cell>
          <cell r="F7462" t="str">
            <v>Other</v>
          </cell>
          <cell r="G7462" t="str">
            <v>Other</v>
          </cell>
          <cell r="H7462" t="str">
            <v>OTHER</v>
          </cell>
          <cell r="I7462" t="str">
            <v>Other - Price</v>
          </cell>
        </row>
        <row r="7463">
          <cell r="A7463" t="str">
            <v>STYLADV_PHYSEQ_MINVOL</v>
          </cell>
          <cell r="B7463" t="str">
            <v>Style Adv - Equity Min Vol</v>
          </cell>
          <cell r="C7463" t="str">
            <v>-BRS_GOLD_1:STYLADV_PHYSEQ_MINVOL</v>
          </cell>
          <cell r="D7463" t="str">
            <v>Price</v>
          </cell>
          <cell r="E7463" t="str">
            <v>Price Level</v>
          </cell>
          <cell r="F7463" t="str">
            <v>Other</v>
          </cell>
          <cell r="G7463" t="str">
            <v>Other</v>
          </cell>
          <cell r="H7463" t="str">
            <v>OTHER</v>
          </cell>
          <cell r="I7463" t="str">
            <v>Other - Price</v>
          </cell>
        </row>
        <row r="7464">
          <cell r="A7464" t="str">
            <v>STYLADV_PHYSEQ_MOMENTUM</v>
          </cell>
          <cell r="B7464" t="str">
            <v>Style Adv - Equity Momentum</v>
          </cell>
          <cell r="C7464" t="str">
            <v>-BRS_GOLD_1:STYLADV_PHYSEQ_MOMENTUM</v>
          </cell>
          <cell r="D7464" t="str">
            <v>Price</v>
          </cell>
          <cell r="E7464" t="str">
            <v>Price Level</v>
          </cell>
          <cell r="F7464" t="str">
            <v>Other</v>
          </cell>
          <cell r="G7464" t="str">
            <v>Other</v>
          </cell>
          <cell r="H7464" t="str">
            <v>OTHER</v>
          </cell>
          <cell r="I7464" t="str">
            <v>Other - Price</v>
          </cell>
        </row>
        <row r="7465">
          <cell r="A7465" t="str">
            <v>STYLADV_PHYSEQ_QUALITY</v>
          </cell>
          <cell r="B7465" t="str">
            <v>Style Adv - Equity Quality</v>
          </cell>
          <cell r="C7465" t="str">
            <v>-BRS_GOLD_1:STYLADV_PHYSEQ_QUALITY</v>
          </cell>
          <cell r="D7465" t="str">
            <v>Price</v>
          </cell>
          <cell r="E7465" t="str">
            <v>Price Level</v>
          </cell>
          <cell r="F7465" t="str">
            <v>Other</v>
          </cell>
          <cell r="G7465" t="str">
            <v>Other</v>
          </cell>
          <cell r="H7465" t="str">
            <v>OTHER</v>
          </cell>
          <cell r="I7465" t="str">
            <v>Other - Price</v>
          </cell>
        </row>
        <row r="7466">
          <cell r="A7466" t="str">
            <v>STYLADV_PHYSEQ_VALUE</v>
          </cell>
          <cell r="B7466" t="str">
            <v>Style Adv - Equity Value</v>
          </cell>
          <cell r="C7466" t="str">
            <v>-BRS_GOLD_1:STYLADV_PHYSEQ_VALUE</v>
          </cell>
          <cell r="D7466" t="str">
            <v>Price</v>
          </cell>
          <cell r="E7466" t="str">
            <v>Price Level</v>
          </cell>
          <cell r="F7466" t="str">
            <v>Other</v>
          </cell>
          <cell r="G7466" t="str">
            <v>Other</v>
          </cell>
          <cell r="H7466" t="str">
            <v>OTHER</v>
          </cell>
          <cell r="I7466" t="str">
            <v>Other - Price</v>
          </cell>
        </row>
        <row r="7467">
          <cell r="A7467" t="str">
            <v>STYLADV_VALUE</v>
          </cell>
          <cell r="B7467" t="str">
            <v>Style Adv - Value</v>
          </cell>
          <cell r="C7467" t="str">
            <v>-BRS_GOLD_1:STYLADV_VALUE</v>
          </cell>
          <cell r="D7467" t="str">
            <v>Price</v>
          </cell>
          <cell r="E7467" t="str">
            <v>Price Level</v>
          </cell>
          <cell r="F7467" t="str">
            <v>Other</v>
          </cell>
          <cell r="G7467" t="str">
            <v>Other</v>
          </cell>
          <cell r="H7467" t="str">
            <v>OTHER</v>
          </cell>
          <cell r="I7467" t="str">
            <v>Other - Price</v>
          </cell>
        </row>
        <row r="7468">
          <cell r="A7468" t="str">
            <v>STYLADV_XA_GLO_CAR</v>
          </cell>
          <cell r="B7468" t="str">
            <v>Style Adv - XA Global Carry</v>
          </cell>
          <cell r="C7468" t="str">
            <v>-BRS_GOLD_1:STYLADV_XA_GLO_CAR</v>
          </cell>
          <cell r="D7468" t="str">
            <v>Price</v>
          </cell>
          <cell r="E7468" t="str">
            <v>Price Level</v>
          </cell>
          <cell r="F7468" t="str">
            <v>Other</v>
          </cell>
          <cell r="G7468" t="str">
            <v>Other</v>
          </cell>
          <cell r="H7468" t="str">
            <v>OTHER</v>
          </cell>
          <cell r="I7468" t="str">
            <v>Other - Price</v>
          </cell>
        </row>
        <row r="7469">
          <cell r="A7469" t="str">
            <v>STYLADV_XA_GLO_MOM</v>
          </cell>
          <cell r="B7469" t="str">
            <v>Style Adv - XA Global Momentum</v>
          </cell>
          <cell r="C7469" t="str">
            <v>-BRS_GOLD_1:STYLADV_XA_GLO_MOM</v>
          </cell>
          <cell r="D7469" t="str">
            <v>Price</v>
          </cell>
          <cell r="E7469" t="str">
            <v>Price Level</v>
          </cell>
          <cell r="F7469" t="str">
            <v>Other</v>
          </cell>
          <cell r="G7469" t="str">
            <v>Other</v>
          </cell>
          <cell r="H7469" t="str">
            <v>OTHER</v>
          </cell>
          <cell r="I7469" t="str">
            <v>Other - Price</v>
          </cell>
        </row>
        <row r="7470">
          <cell r="A7470" t="str">
            <v>THB_10yr_10yr</v>
          </cell>
          <cell r="B7470" t="str">
            <v>THB 10Y ^2</v>
          </cell>
          <cell r="C7470" t="str">
            <v>-BRS_GOLD_1:THB_10yr_10yr</v>
          </cell>
          <cell r="D7470" t="str">
            <v>Convexity</v>
          </cell>
          <cell r="E7470" t="str">
            <v>Convexity</v>
          </cell>
          <cell r="F7470" t="str">
            <v>FI-Convexity</v>
          </cell>
          <cell r="G7470" t="str">
            <v>FI-Other</v>
          </cell>
          <cell r="H7470" t="str">
            <v>RATES</v>
          </cell>
          <cell r="I7470" t="str">
            <v>Convexity</v>
          </cell>
        </row>
        <row r="7471">
          <cell r="A7471" t="str">
            <v>TRY_10yr_10yr</v>
          </cell>
          <cell r="B7471" t="str">
            <v>TRY 10Y ^2</v>
          </cell>
          <cell r="C7471" t="str">
            <v>-BRS_GOLD_1:TRY_10yr_10yr</v>
          </cell>
          <cell r="D7471" t="str">
            <v>Convexity</v>
          </cell>
          <cell r="E7471" t="str">
            <v>Convexity</v>
          </cell>
          <cell r="F7471" t="str">
            <v>FI-Convexity</v>
          </cell>
          <cell r="G7471" t="str">
            <v>FI-Other</v>
          </cell>
          <cell r="H7471" t="str">
            <v>RATES</v>
          </cell>
          <cell r="I7471" t="str">
            <v>Convexity</v>
          </cell>
        </row>
        <row r="7472">
          <cell r="A7472" t="str">
            <v>TS_SP_RISK</v>
          </cell>
          <cell r="B7472" t="str">
            <v>Stock Return Based</v>
          </cell>
          <cell r="C7472" t="str">
            <v>-BRS_GOLD_1:TS_SP_RISK</v>
          </cell>
          <cell r="D7472" t="str">
            <v>Specific Risk</v>
          </cell>
          <cell r="E7472" t="str">
            <v>Specific Risk</v>
          </cell>
          <cell r="F7472" t="str">
            <v>Idiosyncratic</v>
          </cell>
          <cell r="G7472" t="str">
            <v>Other</v>
          </cell>
          <cell r="H7472" t="str">
            <v>OTHER_SPECIFIC</v>
          </cell>
          <cell r="I7472" t="str">
            <v>Other - Idiosyncratic</v>
          </cell>
        </row>
        <row r="7473">
          <cell r="A7473" t="str">
            <v>TWD_10yr_10yr</v>
          </cell>
          <cell r="B7473" t="str">
            <v>TWD 10Y ^2</v>
          </cell>
          <cell r="C7473" t="str">
            <v>-BRS_GOLD_1:TWD_10yr_10yr</v>
          </cell>
          <cell r="D7473" t="str">
            <v>Convexity</v>
          </cell>
          <cell r="E7473" t="str">
            <v>Convexity</v>
          </cell>
          <cell r="F7473" t="str">
            <v>FI-Convexity</v>
          </cell>
          <cell r="G7473" t="str">
            <v>FI-Other</v>
          </cell>
          <cell r="H7473" t="str">
            <v>RATES</v>
          </cell>
          <cell r="I7473" t="str">
            <v>Convexity</v>
          </cell>
        </row>
        <row r="7474">
          <cell r="A7474" t="str">
            <v>UKRE</v>
          </cell>
          <cell r="B7474" t="str">
            <v>UK RE Public</v>
          </cell>
          <cell r="C7474" t="str">
            <v>-BRS_GOLD_1:UKRE</v>
          </cell>
          <cell r="D7474" t="str">
            <v>Index</v>
          </cell>
          <cell r="E7474" t="str">
            <v>Index Level</v>
          </cell>
          <cell r="F7474" t="str">
            <v>Other</v>
          </cell>
          <cell r="G7474" t="str">
            <v>Other</v>
          </cell>
          <cell r="H7474" t="str">
            <v>OTHER</v>
          </cell>
          <cell r="I7474" t="str">
            <v>Other - Index</v>
          </cell>
        </row>
        <row r="7475">
          <cell r="A7475" t="str">
            <v>UNEMPLOY_USA</v>
          </cell>
          <cell r="B7475" t="str">
            <v>UNEMPLOY_USA</v>
          </cell>
          <cell r="C7475" t="str">
            <v>-BRS_GOLD_1:UNEMPLOY_USA</v>
          </cell>
          <cell r="D7475" t="str">
            <v>Percentage</v>
          </cell>
          <cell r="E7475" t="str">
            <v>Percentage</v>
          </cell>
          <cell r="F7475" t="str">
            <v>Other</v>
          </cell>
          <cell r="G7475" t="str">
            <v>Other</v>
          </cell>
          <cell r="H7475" t="str">
            <v>OTHER</v>
          </cell>
          <cell r="I7475" t="str">
            <v>Macro - Unemployment</v>
          </cell>
        </row>
        <row r="7476">
          <cell r="A7476" t="str">
            <v>USDSPOTDOL</v>
          </cell>
          <cell r="B7476" t="str">
            <v>U.S. SPOT DOLLAR INDEX</v>
          </cell>
          <cell r="C7476" t="str">
            <v>-BRS_GOLD_1:USDSPOTDOL</v>
          </cell>
          <cell r="D7476" t="str">
            <v>Index</v>
          </cell>
          <cell r="E7476" t="str">
            <v>Index Level</v>
          </cell>
          <cell r="F7476" t="str">
            <v>Other</v>
          </cell>
          <cell r="G7476" t="str">
            <v>Other</v>
          </cell>
          <cell r="H7476" t="str">
            <v>OTHER</v>
          </cell>
          <cell r="I7476" t="str">
            <v>Other - Index</v>
          </cell>
        </row>
        <row r="7477">
          <cell r="A7477" t="str">
            <v>USD_BMA_swap_1m</v>
          </cell>
          <cell r="B7477" t="str">
            <v>BMA Swap 1m</v>
          </cell>
          <cell r="C7477" t="str">
            <v>-BRS_GOLD_1:USD_BMA_swap_1m</v>
          </cell>
          <cell r="D7477" t="str">
            <v>KRD</v>
          </cell>
          <cell r="E7477" t="str">
            <v>Yield</v>
          </cell>
          <cell r="F7477" t="str">
            <v>Other</v>
          </cell>
          <cell r="G7477" t="str">
            <v>Other</v>
          </cell>
          <cell r="H7477" t="str">
            <v>OTHER</v>
          </cell>
          <cell r="I7477" t="str">
            <v>Other - KRD</v>
          </cell>
        </row>
        <row r="7478">
          <cell r="A7478" t="str">
            <v>USD_COMD_CP_1</v>
          </cell>
          <cell r="B7478" t="str">
            <v>USD Palm Oil 1</v>
          </cell>
          <cell r="C7478" t="str">
            <v>-BRS_GOLD_1:USD_COMD_CP_1</v>
          </cell>
          <cell r="D7478" t="str">
            <v>Commodity</v>
          </cell>
          <cell r="E7478" t="str">
            <v>Price Level</v>
          </cell>
          <cell r="F7478" t="str">
            <v>Alternative</v>
          </cell>
          <cell r="G7478" t="str">
            <v>Other</v>
          </cell>
          <cell r="H7478" t="str">
            <v>ALTS</v>
          </cell>
          <cell r="I7478" t="str">
            <v>Commodity</v>
          </cell>
        </row>
        <row r="7479">
          <cell r="A7479" t="str">
            <v>USD_COMD_CP_10</v>
          </cell>
          <cell r="B7479" t="str">
            <v>USD Palm Oil 10</v>
          </cell>
          <cell r="C7479" t="str">
            <v>-BRS_GOLD_1:USD_COMD_CP_10</v>
          </cell>
          <cell r="D7479" t="str">
            <v>Commodity</v>
          </cell>
          <cell r="E7479" t="str">
            <v>Price Level</v>
          </cell>
          <cell r="F7479" t="str">
            <v>Alternative</v>
          </cell>
          <cell r="G7479" t="str">
            <v>Other</v>
          </cell>
          <cell r="H7479" t="str">
            <v>ALTS</v>
          </cell>
          <cell r="I7479" t="str">
            <v>Commodity</v>
          </cell>
        </row>
        <row r="7480">
          <cell r="A7480" t="str">
            <v>USD_COMD_CP_11</v>
          </cell>
          <cell r="B7480" t="str">
            <v>USD Palm Oil 11</v>
          </cell>
          <cell r="C7480" t="str">
            <v>-BRS_GOLD_1:USD_COMD_CP_11</v>
          </cell>
          <cell r="D7480" t="str">
            <v>Commodity</v>
          </cell>
          <cell r="E7480" t="str">
            <v>Price Level</v>
          </cell>
          <cell r="F7480" t="str">
            <v>Alternative</v>
          </cell>
          <cell r="G7480" t="str">
            <v>Other</v>
          </cell>
          <cell r="H7480" t="str">
            <v>ALTS</v>
          </cell>
          <cell r="I7480" t="str">
            <v>Commodity</v>
          </cell>
        </row>
        <row r="7481">
          <cell r="A7481" t="str">
            <v>USD_COMD_CP_12</v>
          </cell>
          <cell r="B7481" t="str">
            <v>USD Palm Oil 12</v>
          </cell>
          <cell r="C7481" t="str">
            <v>-BRS_GOLD_1:USD_COMD_CP_12</v>
          </cell>
          <cell r="D7481" t="str">
            <v>Commodity</v>
          </cell>
          <cell r="E7481" t="str">
            <v>Price Level</v>
          </cell>
          <cell r="F7481" t="str">
            <v>Alternative</v>
          </cell>
          <cell r="G7481" t="str">
            <v>Other</v>
          </cell>
          <cell r="H7481" t="str">
            <v>ALTS</v>
          </cell>
          <cell r="I7481" t="str">
            <v>Commodity</v>
          </cell>
        </row>
        <row r="7482">
          <cell r="A7482" t="str">
            <v>USD_COMD_CP_2</v>
          </cell>
          <cell r="B7482" t="str">
            <v>USD Palm Oil 2</v>
          </cell>
          <cell r="C7482" t="str">
            <v>-BRS_GOLD_1:USD_COMD_CP_2</v>
          </cell>
          <cell r="D7482" t="str">
            <v>Commodity</v>
          </cell>
          <cell r="E7482" t="str">
            <v>Price Level</v>
          </cell>
          <cell r="F7482" t="str">
            <v>Alternative</v>
          </cell>
          <cell r="G7482" t="str">
            <v>Other</v>
          </cell>
          <cell r="H7482" t="str">
            <v>ALTS</v>
          </cell>
          <cell r="I7482" t="str">
            <v>Commodity</v>
          </cell>
        </row>
        <row r="7483">
          <cell r="A7483" t="str">
            <v>USD_COMD_CP_3</v>
          </cell>
          <cell r="B7483" t="str">
            <v>USD Palm Oil 3</v>
          </cell>
          <cell r="C7483" t="str">
            <v>-BRS_GOLD_1:USD_COMD_CP_3</v>
          </cell>
          <cell r="D7483" t="str">
            <v>Commodity</v>
          </cell>
          <cell r="E7483" t="str">
            <v>Price Level</v>
          </cell>
          <cell r="F7483" t="str">
            <v>Alternative</v>
          </cell>
          <cell r="G7483" t="str">
            <v>Other</v>
          </cell>
          <cell r="H7483" t="str">
            <v>ALTS</v>
          </cell>
          <cell r="I7483" t="str">
            <v>Commodity</v>
          </cell>
        </row>
        <row r="7484">
          <cell r="A7484" t="str">
            <v>USD_COMD_CP_4</v>
          </cell>
          <cell r="B7484" t="str">
            <v>USD Palm Oil 4</v>
          </cell>
          <cell r="C7484" t="str">
            <v>-BRS_GOLD_1:USD_COMD_CP_4</v>
          </cell>
          <cell r="D7484" t="str">
            <v>Commodity</v>
          </cell>
          <cell r="E7484" t="str">
            <v>Price Level</v>
          </cell>
          <cell r="F7484" t="str">
            <v>Alternative</v>
          </cell>
          <cell r="G7484" t="str">
            <v>Other</v>
          </cell>
          <cell r="H7484" t="str">
            <v>ALTS</v>
          </cell>
          <cell r="I7484" t="str">
            <v>Commodity</v>
          </cell>
        </row>
        <row r="7485">
          <cell r="A7485" t="str">
            <v>USD_COMD_CP_5</v>
          </cell>
          <cell r="B7485" t="str">
            <v>USD Palm Oil 5</v>
          </cell>
          <cell r="C7485" t="str">
            <v>-BRS_GOLD_1:USD_COMD_CP_5</v>
          </cell>
          <cell r="D7485" t="str">
            <v>Commodity</v>
          </cell>
          <cell r="E7485" t="str">
            <v>Price Level</v>
          </cell>
          <cell r="F7485" t="str">
            <v>Alternative</v>
          </cell>
          <cell r="G7485" t="str">
            <v>Other</v>
          </cell>
          <cell r="H7485" t="str">
            <v>ALTS</v>
          </cell>
          <cell r="I7485" t="str">
            <v>Commodity</v>
          </cell>
        </row>
        <row r="7486">
          <cell r="A7486" t="str">
            <v>USD_COMD_CP_6</v>
          </cell>
          <cell r="B7486" t="str">
            <v>USD Palm Oil 6</v>
          </cell>
          <cell r="C7486" t="str">
            <v>-BRS_GOLD_1:USD_COMD_CP_6</v>
          </cell>
          <cell r="D7486" t="str">
            <v>Commodity</v>
          </cell>
          <cell r="E7486" t="str">
            <v>Price Level</v>
          </cell>
          <cell r="F7486" t="str">
            <v>Alternative</v>
          </cell>
          <cell r="G7486" t="str">
            <v>Other</v>
          </cell>
          <cell r="H7486" t="str">
            <v>ALTS</v>
          </cell>
          <cell r="I7486" t="str">
            <v>Commodity</v>
          </cell>
        </row>
        <row r="7487">
          <cell r="A7487" t="str">
            <v>USD_COMD_CP_7</v>
          </cell>
          <cell r="B7487" t="str">
            <v>USD Palm Oil 7</v>
          </cell>
          <cell r="C7487" t="str">
            <v>-BRS_GOLD_1:USD_COMD_CP_7</v>
          </cell>
          <cell r="D7487" t="str">
            <v>Commodity</v>
          </cell>
          <cell r="E7487" t="str">
            <v>Price Level</v>
          </cell>
          <cell r="F7487" t="str">
            <v>Alternative</v>
          </cell>
          <cell r="G7487" t="str">
            <v>Other</v>
          </cell>
          <cell r="H7487" t="str">
            <v>ALTS</v>
          </cell>
          <cell r="I7487" t="str">
            <v>Commodity</v>
          </cell>
        </row>
        <row r="7488">
          <cell r="A7488" t="str">
            <v>USD_COMD_CP_8</v>
          </cell>
          <cell r="B7488" t="str">
            <v>USD Palm Oil 8</v>
          </cell>
          <cell r="C7488" t="str">
            <v>-BRS_GOLD_1:USD_COMD_CP_8</v>
          </cell>
          <cell r="D7488" t="str">
            <v>Commodity</v>
          </cell>
          <cell r="E7488" t="str">
            <v>Price Level</v>
          </cell>
          <cell r="F7488" t="str">
            <v>Alternative</v>
          </cell>
          <cell r="G7488" t="str">
            <v>Other</v>
          </cell>
          <cell r="H7488" t="str">
            <v>ALTS</v>
          </cell>
          <cell r="I7488" t="str">
            <v>Commodity</v>
          </cell>
        </row>
        <row r="7489">
          <cell r="A7489" t="str">
            <v>USD_COMD_CP_9</v>
          </cell>
          <cell r="B7489" t="str">
            <v>USD Palm Oil 9</v>
          </cell>
          <cell r="C7489" t="str">
            <v>-BRS_GOLD_1:USD_COMD_CP_9</v>
          </cell>
          <cell r="D7489" t="str">
            <v>Commodity</v>
          </cell>
          <cell r="E7489" t="str">
            <v>Price Level</v>
          </cell>
          <cell r="F7489" t="str">
            <v>Alternative</v>
          </cell>
          <cell r="G7489" t="str">
            <v>Other</v>
          </cell>
          <cell r="H7489" t="str">
            <v>ALTS</v>
          </cell>
          <cell r="I7489" t="str">
            <v>Commodity</v>
          </cell>
        </row>
        <row r="7490">
          <cell r="A7490" t="str">
            <v>USD_COMD_DL_1</v>
          </cell>
          <cell r="B7490" t="str">
            <v>Ethanol 1</v>
          </cell>
          <cell r="C7490" t="str">
            <v>-BRS_GOLD_1:USD_COMD_DL_1</v>
          </cell>
          <cell r="D7490" t="str">
            <v>Commodity</v>
          </cell>
          <cell r="E7490" t="str">
            <v>Price Level</v>
          </cell>
          <cell r="F7490" t="str">
            <v>Alternative</v>
          </cell>
          <cell r="G7490" t="str">
            <v>Other</v>
          </cell>
          <cell r="H7490" t="str">
            <v>ALTS</v>
          </cell>
          <cell r="I7490" t="str">
            <v>Commodity</v>
          </cell>
        </row>
        <row r="7491">
          <cell r="A7491" t="str">
            <v>USD_COMD_DL_10</v>
          </cell>
          <cell r="B7491" t="str">
            <v>Ethanol 10</v>
          </cell>
          <cell r="C7491" t="str">
            <v>-BRS_GOLD_1:USD_COMD_DL_10</v>
          </cell>
          <cell r="D7491" t="str">
            <v>Commodity</v>
          </cell>
          <cell r="E7491" t="str">
            <v>Price Level</v>
          </cell>
          <cell r="F7491" t="str">
            <v>Alternative</v>
          </cell>
          <cell r="G7491" t="str">
            <v>Other</v>
          </cell>
          <cell r="H7491" t="str">
            <v>ALTS</v>
          </cell>
          <cell r="I7491" t="str">
            <v>Commodity</v>
          </cell>
        </row>
        <row r="7492">
          <cell r="A7492" t="str">
            <v>USD_COMD_DL_11</v>
          </cell>
          <cell r="B7492" t="str">
            <v>Ethanol 11</v>
          </cell>
          <cell r="C7492" t="str">
            <v>-BRS_GOLD_1:USD_COMD_DL_11</v>
          </cell>
          <cell r="D7492" t="str">
            <v>Commodity</v>
          </cell>
          <cell r="E7492" t="str">
            <v>Price Level</v>
          </cell>
          <cell r="F7492" t="str">
            <v>Alternative</v>
          </cell>
          <cell r="G7492" t="str">
            <v>Other</v>
          </cell>
          <cell r="H7492" t="str">
            <v>ALTS</v>
          </cell>
          <cell r="I7492" t="str">
            <v>Commodity</v>
          </cell>
        </row>
        <row r="7493">
          <cell r="A7493" t="str">
            <v>USD_COMD_DL_12</v>
          </cell>
          <cell r="B7493" t="str">
            <v>Ethanol 12</v>
          </cell>
          <cell r="C7493" t="str">
            <v>-BRS_GOLD_1:USD_COMD_DL_12</v>
          </cell>
          <cell r="D7493" t="str">
            <v>Commodity</v>
          </cell>
          <cell r="E7493" t="str">
            <v>Price Level</v>
          </cell>
          <cell r="F7493" t="str">
            <v>Alternative</v>
          </cell>
          <cell r="G7493" t="str">
            <v>Other</v>
          </cell>
          <cell r="H7493" t="str">
            <v>ALTS</v>
          </cell>
          <cell r="I7493" t="str">
            <v>Commodity</v>
          </cell>
        </row>
        <row r="7494">
          <cell r="A7494" t="str">
            <v>USD_COMD_DL_2</v>
          </cell>
          <cell r="B7494" t="str">
            <v>Ethanol 2</v>
          </cell>
          <cell r="C7494" t="str">
            <v>-BRS_GOLD_1:USD_COMD_DL_2</v>
          </cell>
          <cell r="D7494" t="str">
            <v>Commodity</v>
          </cell>
          <cell r="E7494" t="str">
            <v>Price Level</v>
          </cell>
          <cell r="F7494" t="str">
            <v>Alternative</v>
          </cell>
          <cell r="G7494" t="str">
            <v>Other</v>
          </cell>
          <cell r="H7494" t="str">
            <v>ALTS</v>
          </cell>
          <cell r="I7494" t="str">
            <v>Commodity</v>
          </cell>
        </row>
        <row r="7495">
          <cell r="A7495" t="str">
            <v>USD_COMD_DL_3</v>
          </cell>
          <cell r="B7495" t="str">
            <v>Ethanol 3</v>
          </cell>
          <cell r="C7495" t="str">
            <v>-BRS_GOLD_1:USD_COMD_DL_3</v>
          </cell>
          <cell r="D7495" t="str">
            <v>Commodity</v>
          </cell>
          <cell r="E7495" t="str">
            <v>Price Level</v>
          </cell>
          <cell r="F7495" t="str">
            <v>Alternative</v>
          </cell>
          <cell r="G7495" t="str">
            <v>Other</v>
          </cell>
          <cell r="H7495" t="str">
            <v>ALTS</v>
          </cell>
          <cell r="I7495" t="str">
            <v>Commodity</v>
          </cell>
        </row>
        <row r="7496">
          <cell r="A7496" t="str">
            <v>USD_COMD_DL_4</v>
          </cell>
          <cell r="B7496" t="str">
            <v>Ethanol 4</v>
          </cell>
          <cell r="C7496" t="str">
            <v>-BRS_GOLD_1:USD_COMD_DL_4</v>
          </cell>
          <cell r="D7496" t="str">
            <v>Commodity</v>
          </cell>
          <cell r="E7496" t="str">
            <v>Price Level</v>
          </cell>
          <cell r="F7496" t="str">
            <v>Alternative</v>
          </cell>
          <cell r="G7496" t="str">
            <v>Other</v>
          </cell>
          <cell r="H7496" t="str">
            <v>ALTS</v>
          </cell>
          <cell r="I7496" t="str">
            <v>Commodity</v>
          </cell>
        </row>
        <row r="7497">
          <cell r="A7497" t="str">
            <v>USD_COMD_DL_5</v>
          </cell>
          <cell r="B7497" t="str">
            <v>Ethanol 5</v>
          </cell>
          <cell r="C7497" t="str">
            <v>-BRS_GOLD_1:USD_COMD_DL_5</v>
          </cell>
          <cell r="D7497" t="str">
            <v>Commodity</v>
          </cell>
          <cell r="E7497" t="str">
            <v>Price Level</v>
          </cell>
          <cell r="F7497" t="str">
            <v>Alternative</v>
          </cell>
          <cell r="G7497" t="str">
            <v>Other</v>
          </cell>
          <cell r="H7497" t="str">
            <v>ALTS</v>
          </cell>
          <cell r="I7497" t="str">
            <v>Commodity</v>
          </cell>
        </row>
        <row r="7498">
          <cell r="A7498" t="str">
            <v>USD_COMD_DL_6</v>
          </cell>
          <cell r="B7498" t="str">
            <v>Ethanol 6</v>
          </cell>
          <cell r="C7498" t="str">
            <v>-BRS_GOLD_1:USD_COMD_DL_6</v>
          </cell>
          <cell r="D7498" t="str">
            <v>Commodity</v>
          </cell>
          <cell r="E7498" t="str">
            <v>Price Level</v>
          </cell>
          <cell r="F7498" t="str">
            <v>Alternative</v>
          </cell>
          <cell r="G7498" t="str">
            <v>Other</v>
          </cell>
          <cell r="H7498" t="str">
            <v>ALTS</v>
          </cell>
          <cell r="I7498" t="str">
            <v>Commodity</v>
          </cell>
        </row>
        <row r="7499">
          <cell r="A7499" t="str">
            <v>USD_COMD_DL_7</v>
          </cell>
          <cell r="B7499" t="str">
            <v>Ethanol 7</v>
          </cell>
          <cell r="C7499" t="str">
            <v>-BRS_GOLD_1:USD_COMD_DL_7</v>
          </cell>
          <cell r="D7499" t="str">
            <v>Commodity</v>
          </cell>
          <cell r="E7499" t="str">
            <v>Price Level</v>
          </cell>
          <cell r="F7499" t="str">
            <v>Alternative</v>
          </cell>
          <cell r="G7499" t="str">
            <v>Other</v>
          </cell>
          <cell r="H7499" t="str">
            <v>ALTS</v>
          </cell>
          <cell r="I7499" t="str">
            <v>Commodity</v>
          </cell>
        </row>
        <row r="7500">
          <cell r="A7500" t="str">
            <v>USD_COMD_DL_8</v>
          </cell>
          <cell r="B7500" t="str">
            <v>Ethanol 8</v>
          </cell>
          <cell r="C7500" t="str">
            <v>-BRS_GOLD_1:USD_COMD_DL_8</v>
          </cell>
          <cell r="D7500" t="str">
            <v>Commodity</v>
          </cell>
          <cell r="E7500" t="str">
            <v>Price Level</v>
          </cell>
          <cell r="F7500" t="str">
            <v>Alternative</v>
          </cell>
          <cell r="G7500" t="str">
            <v>Other</v>
          </cell>
          <cell r="H7500" t="str">
            <v>ALTS</v>
          </cell>
          <cell r="I7500" t="str">
            <v>Commodity</v>
          </cell>
        </row>
        <row r="7501">
          <cell r="A7501" t="str">
            <v>USD_COMD_DL_9</v>
          </cell>
          <cell r="B7501" t="str">
            <v>Ethanol 9</v>
          </cell>
          <cell r="C7501" t="str">
            <v>-BRS_GOLD_1:USD_COMD_DL_9</v>
          </cell>
          <cell r="D7501" t="str">
            <v>Commodity</v>
          </cell>
          <cell r="E7501" t="str">
            <v>Price Level</v>
          </cell>
          <cell r="F7501" t="str">
            <v>Alternative</v>
          </cell>
          <cell r="G7501" t="str">
            <v>Other</v>
          </cell>
          <cell r="H7501" t="str">
            <v>ALTS</v>
          </cell>
          <cell r="I7501" t="str">
            <v>Commodity</v>
          </cell>
        </row>
        <row r="7502">
          <cell r="A7502" t="str">
            <v>USD_COMD_HR_1</v>
          </cell>
          <cell r="B7502" t="str">
            <v>H R Steel 1</v>
          </cell>
          <cell r="C7502" t="str">
            <v>-BRS_GOLD_1:USD_COMD_HR_1</v>
          </cell>
          <cell r="D7502" t="str">
            <v>Commodity</v>
          </cell>
          <cell r="E7502" t="str">
            <v>Price Level</v>
          </cell>
          <cell r="F7502" t="str">
            <v>Alternative</v>
          </cell>
          <cell r="G7502" t="str">
            <v>Other</v>
          </cell>
          <cell r="H7502" t="str">
            <v>ALTS</v>
          </cell>
          <cell r="I7502" t="str">
            <v>Commodity</v>
          </cell>
        </row>
        <row r="7503">
          <cell r="A7503" t="str">
            <v>USD_COMD_HR_10</v>
          </cell>
          <cell r="B7503" t="str">
            <v>H R Steel 10</v>
          </cell>
          <cell r="C7503" t="str">
            <v>-BRS_GOLD_1:USD_COMD_HR_10</v>
          </cell>
          <cell r="D7503" t="str">
            <v>Commodity</v>
          </cell>
          <cell r="E7503" t="str">
            <v>Price Level</v>
          </cell>
          <cell r="F7503" t="str">
            <v>Alternative</v>
          </cell>
          <cell r="G7503" t="str">
            <v>Other</v>
          </cell>
          <cell r="H7503" t="str">
            <v>ALTS</v>
          </cell>
          <cell r="I7503" t="str">
            <v>Commodity</v>
          </cell>
        </row>
        <row r="7504">
          <cell r="A7504" t="str">
            <v>USD_COMD_HR_11</v>
          </cell>
          <cell r="B7504" t="str">
            <v>H R Steel 11</v>
          </cell>
          <cell r="C7504" t="str">
            <v>-BRS_GOLD_1:USD_COMD_HR_11</v>
          </cell>
          <cell r="D7504" t="str">
            <v>Commodity</v>
          </cell>
          <cell r="E7504" t="str">
            <v>Price Level</v>
          </cell>
          <cell r="F7504" t="str">
            <v>Alternative</v>
          </cell>
          <cell r="G7504" t="str">
            <v>Other</v>
          </cell>
          <cell r="H7504" t="str">
            <v>ALTS</v>
          </cell>
          <cell r="I7504" t="str">
            <v>Commodity</v>
          </cell>
        </row>
        <row r="7505">
          <cell r="A7505" t="str">
            <v>USD_COMD_HR_12</v>
          </cell>
          <cell r="B7505" t="str">
            <v>H R Steel 12</v>
          </cell>
          <cell r="C7505" t="str">
            <v>-BRS_GOLD_1:USD_COMD_HR_12</v>
          </cell>
          <cell r="D7505" t="str">
            <v>Commodity</v>
          </cell>
          <cell r="E7505" t="str">
            <v>Price Level</v>
          </cell>
          <cell r="F7505" t="str">
            <v>Alternative</v>
          </cell>
          <cell r="G7505" t="str">
            <v>Other</v>
          </cell>
          <cell r="H7505" t="str">
            <v>ALTS</v>
          </cell>
          <cell r="I7505" t="str">
            <v>Commodity</v>
          </cell>
        </row>
        <row r="7506">
          <cell r="A7506" t="str">
            <v>USD_COMD_HR_2</v>
          </cell>
          <cell r="B7506" t="str">
            <v>H R Steel 2</v>
          </cell>
          <cell r="C7506" t="str">
            <v>-BRS_GOLD_1:USD_COMD_HR_2</v>
          </cell>
          <cell r="D7506" t="str">
            <v>Commodity</v>
          </cell>
          <cell r="E7506" t="str">
            <v>Price Level</v>
          </cell>
          <cell r="F7506" t="str">
            <v>Alternative</v>
          </cell>
          <cell r="G7506" t="str">
            <v>Other</v>
          </cell>
          <cell r="H7506" t="str">
            <v>ALTS</v>
          </cell>
          <cell r="I7506" t="str">
            <v>Commodity</v>
          </cell>
        </row>
        <row r="7507">
          <cell r="A7507" t="str">
            <v>USD_COMD_HR_3</v>
          </cell>
          <cell r="B7507" t="str">
            <v>H R Steel 3</v>
          </cell>
          <cell r="C7507" t="str">
            <v>-BRS_GOLD_1:USD_COMD_HR_3</v>
          </cell>
          <cell r="D7507" t="str">
            <v>Commodity</v>
          </cell>
          <cell r="E7507" t="str">
            <v>Price Level</v>
          </cell>
          <cell r="F7507" t="str">
            <v>Alternative</v>
          </cell>
          <cell r="G7507" t="str">
            <v>Other</v>
          </cell>
          <cell r="H7507" t="str">
            <v>ALTS</v>
          </cell>
          <cell r="I7507" t="str">
            <v>Commodity</v>
          </cell>
        </row>
        <row r="7508">
          <cell r="A7508" t="str">
            <v>USD_COMD_HR_4</v>
          </cell>
          <cell r="B7508" t="str">
            <v>H R Steel 4</v>
          </cell>
          <cell r="C7508" t="str">
            <v>-BRS_GOLD_1:USD_COMD_HR_4</v>
          </cell>
          <cell r="D7508" t="str">
            <v>Commodity</v>
          </cell>
          <cell r="E7508" t="str">
            <v>Price Level</v>
          </cell>
          <cell r="F7508" t="str">
            <v>Alternative</v>
          </cell>
          <cell r="G7508" t="str">
            <v>Other</v>
          </cell>
          <cell r="H7508" t="str">
            <v>ALTS</v>
          </cell>
          <cell r="I7508" t="str">
            <v>Commodity</v>
          </cell>
        </row>
        <row r="7509">
          <cell r="A7509" t="str">
            <v>USD_COMD_HR_5</v>
          </cell>
          <cell r="B7509" t="str">
            <v>H R Steel 5</v>
          </cell>
          <cell r="C7509" t="str">
            <v>-BRS_GOLD_1:USD_COMD_HR_5</v>
          </cell>
          <cell r="D7509" t="str">
            <v>Commodity</v>
          </cell>
          <cell r="E7509" t="str">
            <v>Price Level</v>
          </cell>
          <cell r="F7509" t="str">
            <v>Alternative</v>
          </cell>
          <cell r="G7509" t="str">
            <v>Other</v>
          </cell>
          <cell r="H7509" t="str">
            <v>ALTS</v>
          </cell>
          <cell r="I7509" t="str">
            <v>Commodity</v>
          </cell>
        </row>
        <row r="7510">
          <cell r="A7510" t="str">
            <v>USD_COMD_HR_6</v>
          </cell>
          <cell r="B7510" t="str">
            <v>H R Steel 6</v>
          </cell>
          <cell r="C7510" t="str">
            <v>-BRS_GOLD_1:USD_COMD_HR_6</v>
          </cell>
          <cell r="D7510" t="str">
            <v>Commodity</v>
          </cell>
          <cell r="E7510" t="str">
            <v>Price Level</v>
          </cell>
          <cell r="F7510" t="str">
            <v>Alternative</v>
          </cell>
          <cell r="G7510" t="str">
            <v>Other</v>
          </cell>
          <cell r="H7510" t="str">
            <v>ALTS</v>
          </cell>
          <cell r="I7510" t="str">
            <v>Commodity</v>
          </cell>
        </row>
        <row r="7511">
          <cell r="A7511" t="str">
            <v>USD_COMD_HR_7</v>
          </cell>
          <cell r="B7511" t="str">
            <v>H R Steel 7</v>
          </cell>
          <cell r="C7511" t="str">
            <v>-BRS_GOLD_1:USD_COMD_HR_7</v>
          </cell>
          <cell r="D7511" t="str">
            <v>Commodity</v>
          </cell>
          <cell r="E7511" t="str">
            <v>Price Level</v>
          </cell>
          <cell r="F7511" t="str">
            <v>Alternative</v>
          </cell>
          <cell r="G7511" t="str">
            <v>Other</v>
          </cell>
          <cell r="H7511" t="str">
            <v>ALTS</v>
          </cell>
          <cell r="I7511" t="str">
            <v>Commodity</v>
          </cell>
        </row>
        <row r="7512">
          <cell r="A7512" t="str">
            <v>USD_COMD_HR_8</v>
          </cell>
          <cell r="B7512" t="str">
            <v>H R Steel 8</v>
          </cell>
          <cell r="C7512" t="str">
            <v>-BRS_GOLD_1:USD_COMD_HR_8</v>
          </cell>
          <cell r="D7512" t="str">
            <v>Commodity</v>
          </cell>
          <cell r="E7512" t="str">
            <v>Price Level</v>
          </cell>
          <cell r="F7512" t="str">
            <v>Alternative</v>
          </cell>
          <cell r="G7512" t="str">
            <v>Other</v>
          </cell>
          <cell r="H7512" t="str">
            <v>ALTS</v>
          </cell>
          <cell r="I7512" t="str">
            <v>Commodity</v>
          </cell>
        </row>
        <row r="7513">
          <cell r="A7513" t="str">
            <v>USD_COMD_HR_9</v>
          </cell>
          <cell r="B7513" t="str">
            <v>H R Steel 9</v>
          </cell>
          <cell r="C7513" t="str">
            <v>-BRS_GOLD_1:USD_COMD_HR_9</v>
          </cell>
          <cell r="D7513" t="str">
            <v>Commodity</v>
          </cell>
          <cell r="E7513" t="str">
            <v>Price Level</v>
          </cell>
          <cell r="F7513" t="str">
            <v>Alternative</v>
          </cell>
          <cell r="G7513" t="str">
            <v>Other</v>
          </cell>
          <cell r="H7513" t="str">
            <v>ALTS</v>
          </cell>
          <cell r="I7513" t="str">
            <v>Commodity</v>
          </cell>
        </row>
        <row r="7514">
          <cell r="A7514" t="str">
            <v>USD_COMD_K1_1</v>
          </cell>
          <cell r="B7514" t="str">
            <v>MYR Palm Oil 1</v>
          </cell>
          <cell r="C7514" t="str">
            <v>-BRS_GOLD_1:USD_COMD_K1_1</v>
          </cell>
          <cell r="D7514" t="str">
            <v>Commodity</v>
          </cell>
          <cell r="E7514" t="str">
            <v>Price Level</v>
          </cell>
          <cell r="F7514" t="str">
            <v>Alternative</v>
          </cell>
          <cell r="G7514" t="str">
            <v>Other</v>
          </cell>
          <cell r="H7514" t="str">
            <v>ALTS</v>
          </cell>
          <cell r="I7514" t="str">
            <v>Commodity</v>
          </cell>
        </row>
        <row r="7515">
          <cell r="A7515" t="str">
            <v>USD_COMD_K1_10</v>
          </cell>
          <cell r="B7515" t="str">
            <v>MYR Palm Oil 10</v>
          </cell>
          <cell r="C7515" t="str">
            <v>-BRS_GOLD_1:USD_COMD_K1_10</v>
          </cell>
          <cell r="D7515" t="str">
            <v>Commodity</v>
          </cell>
          <cell r="E7515" t="str">
            <v>Price Level</v>
          </cell>
          <cell r="F7515" t="str">
            <v>Alternative</v>
          </cell>
          <cell r="G7515" t="str">
            <v>Other</v>
          </cell>
          <cell r="H7515" t="str">
            <v>ALTS</v>
          </cell>
          <cell r="I7515" t="str">
            <v>Commodity</v>
          </cell>
        </row>
        <row r="7516">
          <cell r="A7516" t="str">
            <v>USD_COMD_K1_11</v>
          </cell>
          <cell r="B7516" t="str">
            <v>MYR Palm Oil 11</v>
          </cell>
          <cell r="C7516" t="str">
            <v>-BRS_GOLD_1:USD_COMD_K1_11</v>
          </cell>
          <cell r="D7516" t="str">
            <v>Commodity</v>
          </cell>
          <cell r="E7516" t="str">
            <v>Price Level</v>
          </cell>
          <cell r="F7516" t="str">
            <v>Alternative</v>
          </cell>
          <cell r="G7516" t="str">
            <v>Other</v>
          </cell>
          <cell r="H7516" t="str">
            <v>ALTS</v>
          </cell>
          <cell r="I7516" t="str">
            <v>Commodity</v>
          </cell>
        </row>
        <row r="7517">
          <cell r="A7517" t="str">
            <v>USD_COMD_K1_12</v>
          </cell>
          <cell r="B7517" t="str">
            <v>MYR Palm Oil 12</v>
          </cell>
          <cell r="C7517" t="str">
            <v>-BRS_GOLD_1:USD_COMD_K1_12</v>
          </cell>
          <cell r="D7517" t="str">
            <v>Commodity</v>
          </cell>
          <cell r="E7517" t="str">
            <v>Price Level</v>
          </cell>
          <cell r="F7517" t="str">
            <v>Alternative</v>
          </cell>
          <cell r="G7517" t="str">
            <v>Other</v>
          </cell>
          <cell r="H7517" t="str">
            <v>ALTS</v>
          </cell>
          <cell r="I7517" t="str">
            <v>Commodity</v>
          </cell>
        </row>
        <row r="7518">
          <cell r="A7518" t="str">
            <v>USD_COMD_K1_2</v>
          </cell>
          <cell r="B7518" t="str">
            <v>MYR Palm Oil 2</v>
          </cell>
          <cell r="C7518" t="str">
            <v>-BRS_GOLD_1:USD_COMD_K1_2</v>
          </cell>
          <cell r="D7518" t="str">
            <v>Commodity</v>
          </cell>
          <cell r="E7518" t="str">
            <v>Price Level</v>
          </cell>
          <cell r="F7518" t="str">
            <v>Alternative</v>
          </cell>
          <cell r="G7518" t="str">
            <v>Other</v>
          </cell>
          <cell r="H7518" t="str">
            <v>ALTS</v>
          </cell>
          <cell r="I7518" t="str">
            <v>Commodity</v>
          </cell>
        </row>
        <row r="7519">
          <cell r="A7519" t="str">
            <v>USD_COMD_K1_3</v>
          </cell>
          <cell r="B7519" t="str">
            <v>MYR Palm Oil 3</v>
          </cell>
          <cell r="C7519" t="str">
            <v>-BRS_GOLD_1:USD_COMD_K1_3</v>
          </cell>
          <cell r="D7519" t="str">
            <v>Commodity</v>
          </cell>
          <cell r="E7519" t="str">
            <v>Price Level</v>
          </cell>
          <cell r="F7519" t="str">
            <v>Alternative</v>
          </cell>
          <cell r="G7519" t="str">
            <v>Other</v>
          </cell>
          <cell r="H7519" t="str">
            <v>ALTS</v>
          </cell>
          <cell r="I7519" t="str">
            <v>Commodity</v>
          </cell>
        </row>
        <row r="7520">
          <cell r="A7520" t="str">
            <v>USD_COMD_K1_4</v>
          </cell>
          <cell r="B7520" t="str">
            <v>MYR Palm Oil 4</v>
          </cell>
          <cell r="C7520" t="str">
            <v>-BRS_GOLD_1:USD_COMD_K1_4</v>
          </cell>
          <cell r="D7520" t="str">
            <v>Commodity</v>
          </cell>
          <cell r="E7520" t="str">
            <v>Price Level</v>
          </cell>
          <cell r="F7520" t="str">
            <v>Alternative</v>
          </cell>
          <cell r="G7520" t="str">
            <v>Other</v>
          </cell>
          <cell r="H7520" t="str">
            <v>ALTS</v>
          </cell>
          <cell r="I7520" t="str">
            <v>Commodity</v>
          </cell>
        </row>
        <row r="7521">
          <cell r="A7521" t="str">
            <v>USD_COMD_K1_5</v>
          </cell>
          <cell r="B7521" t="str">
            <v>MYR Palm Oil 5</v>
          </cell>
          <cell r="C7521" t="str">
            <v>-BRS_GOLD_1:USD_COMD_K1_5</v>
          </cell>
          <cell r="D7521" t="str">
            <v>Commodity</v>
          </cell>
          <cell r="E7521" t="str">
            <v>Price Level</v>
          </cell>
          <cell r="F7521" t="str">
            <v>Alternative</v>
          </cell>
          <cell r="G7521" t="str">
            <v>Other</v>
          </cell>
          <cell r="H7521" t="str">
            <v>ALTS</v>
          </cell>
          <cell r="I7521" t="str">
            <v>Commodity</v>
          </cell>
        </row>
        <row r="7522">
          <cell r="A7522" t="str">
            <v>USD_COMD_K1_6</v>
          </cell>
          <cell r="B7522" t="str">
            <v>MYR Palm Oil 6</v>
          </cell>
          <cell r="C7522" t="str">
            <v>-BRS_GOLD_1:USD_COMD_K1_6</v>
          </cell>
          <cell r="D7522" t="str">
            <v>Commodity</v>
          </cell>
          <cell r="E7522" t="str">
            <v>Price Level</v>
          </cell>
          <cell r="F7522" t="str">
            <v>Alternative</v>
          </cell>
          <cell r="G7522" t="str">
            <v>Other</v>
          </cell>
          <cell r="H7522" t="str">
            <v>ALTS</v>
          </cell>
          <cell r="I7522" t="str">
            <v>Commodity</v>
          </cell>
        </row>
        <row r="7523">
          <cell r="A7523" t="str">
            <v>USD_COMD_K1_7</v>
          </cell>
          <cell r="B7523" t="str">
            <v>MYR Palm Oil 7</v>
          </cell>
          <cell r="C7523" t="str">
            <v>-BRS_GOLD_1:USD_COMD_K1_7</v>
          </cell>
          <cell r="D7523" t="str">
            <v>Commodity</v>
          </cell>
          <cell r="E7523" t="str">
            <v>Price Level</v>
          </cell>
          <cell r="F7523" t="str">
            <v>Alternative</v>
          </cell>
          <cell r="G7523" t="str">
            <v>Other</v>
          </cell>
          <cell r="H7523" t="str">
            <v>ALTS</v>
          </cell>
          <cell r="I7523" t="str">
            <v>Commodity</v>
          </cell>
        </row>
        <row r="7524">
          <cell r="A7524" t="str">
            <v>USD_COMD_K1_8</v>
          </cell>
          <cell r="B7524" t="str">
            <v>MYR Palm Oil 8</v>
          </cell>
          <cell r="C7524" t="str">
            <v>-BRS_GOLD_1:USD_COMD_K1_8</v>
          </cell>
          <cell r="D7524" t="str">
            <v>Commodity</v>
          </cell>
          <cell r="E7524" t="str">
            <v>Price Level</v>
          </cell>
          <cell r="F7524" t="str">
            <v>Alternative</v>
          </cell>
          <cell r="G7524" t="str">
            <v>Other</v>
          </cell>
          <cell r="H7524" t="str">
            <v>ALTS</v>
          </cell>
          <cell r="I7524" t="str">
            <v>Commodity</v>
          </cell>
        </row>
        <row r="7525">
          <cell r="A7525" t="str">
            <v>USD_COMD_K1_9</v>
          </cell>
          <cell r="B7525" t="str">
            <v>MYR Palm Oil 9</v>
          </cell>
          <cell r="C7525" t="str">
            <v>-BRS_GOLD_1:USD_COMD_K1_9</v>
          </cell>
          <cell r="D7525" t="str">
            <v>Commodity</v>
          </cell>
          <cell r="E7525" t="str">
            <v>Price Level</v>
          </cell>
          <cell r="F7525" t="str">
            <v>Alternative</v>
          </cell>
          <cell r="G7525" t="str">
            <v>Other</v>
          </cell>
          <cell r="H7525" t="str">
            <v>ALTS</v>
          </cell>
          <cell r="I7525" t="str">
            <v>Commodity</v>
          </cell>
        </row>
        <row r="7526">
          <cell r="A7526" t="str">
            <v>USD_COMD_QL_1</v>
          </cell>
          <cell r="B7526" t="str">
            <v>Coal MNYEX 1</v>
          </cell>
          <cell r="C7526" t="str">
            <v>-BRS_GOLD_1:USD_COMD_QL_1</v>
          </cell>
          <cell r="D7526" t="str">
            <v>Commodity</v>
          </cell>
          <cell r="E7526" t="str">
            <v>Price Level</v>
          </cell>
          <cell r="F7526" t="str">
            <v>Alternative</v>
          </cell>
          <cell r="G7526" t="str">
            <v>Other</v>
          </cell>
          <cell r="H7526" t="str">
            <v>ALTS</v>
          </cell>
          <cell r="I7526" t="str">
            <v>Commodity</v>
          </cell>
        </row>
        <row r="7527">
          <cell r="A7527" t="str">
            <v>USD_COMD_QL_10</v>
          </cell>
          <cell r="B7527" t="str">
            <v>Coal MNYEX 10</v>
          </cell>
          <cell r="C7527" t="str">
            <v>-BRS_GOLD_1:USD_COMD_QL_10</v>
          </cell>
          <cell r="D7527" t="str">
            <v>Commodity</v>
          </cell>
          <cell r="E7527" t="str">
            <v>Price Level</v>
          </cell>
          <cell r="F7527" t="str">
            <v>Alternative</v>
          </cell>
          <cell r="G7527" t="str">
            <v>Other</v>
          </cell>
          <cell r="H7527" t="str">
            <v>ALTS</v>
          </cell>
          <cell r="I7527" t="str">
            <v>Commodity</v>
          </cell>
        </row>
        <row r="7528">
          <cell r="A7528" t="str">
            <v>USD_COMD_QL_11</v>
          </cell>
          <cell r="B7528" t="str">
            <v>Coal MNYEX 11</v>
          </cell>
          <cell r="C7528" t="str">
            <v>-BRS_GOLD_1:USD_COMD_QL_11</v>
          </cell>
          <cell r="D7528" t="str">
            <v>Commodity</v>
          </cell>
          <cell r="E7528" t="str">
            <v>Price Level</v>
          </cell>
          <cell r="F7528" t="str">
            <v>Alternative</v>
          </cell>
          <cell r="G7528" t="str">
            <v>Other</v>
          </cell>
          <cell r="H7528" t="str">
            <v>ALTS</v>
          </cell>
          <cell r="I7528" t="str">
            <v>Commodity</v>
          </cell>
        </row>
        <row r="7529">
          <cell r="A7529" t="str">
            <v>USD_COMD_QL_12</v>
          </cell>
          <cell r="B7529" t="str">
            <v>Coal MNYEX 12</v>
          </cell>
          <cell r="C7529" t="str">
            <v>-BRS_GOLD_1:USD_COMD_QL_12</v>
          </cell>
          <cell r="D7529" t="str">
            <v>Commodity</v>
          </cell>
          <cell r="E7529" t="str">
            <v>Price Level</v>
          </cell>
          <cell r="F7529" t="str">
            <v>Alternative</v>
          </cell>
          <cell r="G7529" t="str">
            <v>Other</v>
          </cell>
          <cell r="H7529" t="str">
            <v>ALTS</v>
          </cell>
          <cell r="I7529" t="str">
            <v>Commodity</v>
          </cell>
        </row>
        <row r="7530">
          <cell r="A7530" t="str">
            <v>USD_COMD_QL_2</v>
          </cell>
          <cell r="B7530" t="str">
            <v>Coal MNYEX 2</v>
          </cell>
          <cell r="C7530" t="str">
            <v>-BRS_GOLD_1:USD_COMD_QL_2</v>
          </cell>
          <cell r="D7530" t="str">
            <v>Commodity</v>
          </cell>
          <cell r="E7530" t="str">
            <v>Price Level</v>
          </cell>
          <cell r="F7530" t="str">
            <v>Alternative</v>
          </cell>
          <cell r="G7530" t="str">
            <v>Other</v>
          </cell>
          <cell r="H7530" t="str">
            <v>ALTS</v>
          </cell>
          <cell r="I7530" t="str">
            <v>Commodity</v>
          </cell>
        </row>
        <row r="7531">
          <cell r="A7531" t="str">
            <v>USD_COMD_QL_3</v>
          </cell>
          <cell r="B7531" t="str">
            <v>Coal MNYEX 3</v>
          </cell>
          <cell r="C7531" t="str">
            <v>-BRS_GOLD_1:USD_COMD_QL_3</v>
          </cell>
          <cell r="D7531" t="str">
            <v>Commodity</v>
          </cell>
          <cell r="E7531" t="str">
            <v>Price Level</v>
          </cell>
          <cell r="F7531" t="str">
            <v>Alternative</v>
          </cell>
          <cell r="G7531" t="str">
            <v>Other</v>
          </cell>
          <cell r="H7531" t="str">
            <v>ALTS</v>
          </cell>
          <cell r="I7531" t="str">
            <v>Commodity</v>
          </cell>
        </row>
        <row r="7532">
          <cell r="A7532" t="str">
            <v>USD_COMD_QL_4</v>
          </cell>
          <cell r="B7532" t="str">
            <v>Coal MNYEX 4</v>
          </cell>
          <cell r="C7532" t="str">
            <v>-BRS_GOLD_1:USD_COMD_QL_4</v>
          </cell>
          <cell r="D7532" t="str">
            <v>Commodity</v>
          </cell>
          <cell r="E7532" t="str">
            <v>Price Level</v>
          </cell>
          <cell r="F7532" t="str">
            <v>Alternative</v>
          </cell>
          <cell r="G7532" t="str">
            <v>Other</v>
          </cell>
          <cell r="H7532" t="str">
            <v>ALTS</v>
          </cell>
          <cell r="I7532" t="str">
            <v>Commodity</v>
          </cell>
        </row>
        <row r="7533">
          <cell r="A7533" t="str">
            <v>USD_COMD_QL_5</v>
          </cell>
          <cell r="B7533" t="str">
            <v>Coal MNYEX 5</v>
          </cell>
          <cell r="C7533" t="str">
            <v>-BRS_GOLD_1:USD_COMD_QL_5</v>
          </cell>
          <cell r="D7533" t="str">
            <v>Commodity</v>
          </cell>
          <cell r="E7533" t="str">
            <v>Price Level</v>
          </cell>
          <cell r="F7533" t="str">
            <v>Alternative</v>
          </cell>
          <cell r="G7533" t="str">
            <v>Other</v>
          </cell>
          <cell r="H7533" t="str">
            <v>ALTS</v>
          </cell>
          <cell r="I7533" t="str">
            <v>Commodity</v>
          </cell>
        </row>
        <row r="7534">
          <cell r="A7534" t="str">
            <v>USD_COMD_QL_6</v>
          </cell>
          <cell r="B7534" t="str">
            <v>Coal MNYEX 6</v>
          </cell>
          <cell r="C7534" t="str">
            <v>-BRS_GOLD_1:USD_COMD_QL_6</v>
          </cell>
          <cell r="D7534" t="str">
            <v>Commodity</v>
          </cell>
          <cell r="E7534" t="str">
            <v>Price Level</v>
          </cell>
          <cell r="F7534" t="str">
            <v>Alternative</v>
          </cell>
          <cell r="G7534" t="str">
            <v>Other</v>
          </cell>
          <cell r="H7534" t="str">
            <v>ALTS</v>
          </cell>
          <cell r="I7534" t="str">
            <v>Commodity</v>
          </cell>
        </row>
        <row r="7535">
          <cell r="A7535" t="str">
            <v>USD_COMD_QL_7</v>
          </cell>
          <cell r="B7535" t="str">
            <v>Coal MNYEX 7</v>
          </cell>
          <cell r="C7535" t="str">
            <v>-BRS_GOLD_1:USD_COMD_QL_7</v>
          </cell>
          <cell r="D7535" t="str">
            <v>Commodity</v>
          </cell>
          <cell r="E7535" t="str">
            <v>Price Level</v>
          </cell>
          <cell r="F7535" t="str">
            <v>Alternative</v>
          </cell>
          <cell r="G7535" t="str">
            <v>Other</v>
          </cell>
          <cell r="H7535" t="str">
            <v>ALTS</v>
          </cell>
          <cell r="I7535" t="str">
            <v>Commodity</v>
          </cell>
        </row>
        <row r="7536">
          <cell r="A7536" t="str">
            <v>USD_COMD_QL_8</v>
          </cell>
          <cell r="B7536" t="str">
            <v>Coal MNYEX 8</v>
          </cell>
          <cell r="C7536" t="str">
            <v>-BRS_GOLD_1:USD_COMD_QL_8</v>
          </cell>
          <cell r="D7536" t="str">
            <v>Commodity</v>
          </cell>
          <cell r="E7536" t="str">
            <v>Price Level</v>
          </cell>
          <cell r="F7536" t="str">
            <v>Alternative</v>
          </cell>
          <cell r="G7536" t="str">
            <v>Other</v>
          </cell>
          <cell r="H7536" t="str">
            <v>ALTS</v>
          </cell>
          <cell r="I7536" t="str">
            <v>Commodity</v>
          </cell>
        </row>
        <row r="7537">
          <cell r="A7537" t="str">
            <v>USD_COMD_QL_9</v>
          </cell>
          <cell r="B7537" t="str">
            <v>Coal MNYEX 9</v>
          </cell>
          <cell r="C7537" t="str">
            <v>-BRS_GOLD_1:USD_COMD_QL_9</v>
          </cell>
          <cell r="D7537" t="str">
            <v>Commodity</v>
          </cell>
          <cell r="E7537" t="str">
            <v>Price Level</v>
          </cell>
          <cell r="F7537" t="str">
            <v>Alternative</v>
          </cell>
          <cell r="G7537" t="str">
            <v>Other</v>
          </cell>
          <cell r="H7537" t="str">
            <v>ALTS</v>
          </cell>
          <cell r="I7537" t="str">
            <v>Commodity</v>
          </cell>
        </row>
        <row r="7538">
          <cell r="A7538" t="str">
            <v>USD_CORP_AGG_20YN</v>
          </cell>
          <cell r="B7538" t="str">
            <v>US Maturity 20</v>
          </cell>
          <cell r="C7538" t="str">
            <v>-BRS_GOLD_1:USD_CORP_AGG_20YN</v>
          </cell>
          <cell r="D7538" t="str">
            <v>Spread Duration</v>
          </cell>
          <cell r="E7538" t="str">
            <v>Spread Yield (DxS)</v>
          </cell>
          <cell r="F7538" t="str">
            <v>SP-Corporate IG USD</v>
          </cell>
          <cell r="G7538" t="str">
            <v>SP-Spread Corporate</v>
          </cell>
          <cell r="H7538" t="str">
            <v>SPREADS</v>
          </cell>
          <cell r="I7538" t="str">
            <v>Corporate IG USD - Maturity</v>
          </cell>
        </row>
        <row r="7539">
          <cell r="A7539" t="str">
            <v>USD_CORP_AGG_2YN</v>
          </cell>
          <cell r="B7539" t="str">
            <v>US Maturity 2</v>
          </cell>
          <cell r="C7539" t="str">
            <v>-BRS_GOLD_1:USD_CORP_AGG_2YN</v>
          </cell>
          <cell r="D7539" t="str">
            <v>Spread Duration</v>
          </cell>
          <cell r="E7539" t="str">
            <v>Spread Yield (DxS)</v>
          </cell>
          <cell r="F7539" t="str">
            <v>SP-Corporate IG USD</v>
          </cell>
          <cell r="G7539" t="str">
            <v>SP-Spread Corporate</v>
          </cell>
          <cell r="H7539" t="str">
            <v>SPREADS</v>
          </cell>
          <cell r="I7539" t="str">
            <v>Corporate IG USD - Maturity</v>
          </cell>
        </row>
        <row r="7540">
          <cell r="A7540" t="str">
            <v>USD_CORP_HY_20YN</v>
          </cell>
          <cell r="B7540" t="str">
            <v>US Maturity HY 20</v>
          </cell>
          <cell r="C7540" t="str">
            <v>-BRS_GOLD_1:USD_CORP_HY_20YN</v>
          </cell>
          <cell r="D7540" t="str">
            <v>Spread Duration</v>
          </cell>
          <cell r="E7540" t="str">
            <v>Spread Yield (DxS)</v>
          </cell>
          <cell r="F7540" t="str">
            <v>SP-Corporate HY USD</v>
          </cell>
          <cell r="G7540" t="str">
            <v>SP-Spread Corporate</v>
          </cell>
          <cell r="H7540" t="str">
            <v>SPREADS</v>
          </cell>
          <cell r="I7540" t="str">
            <v>Corporate HY USD - Maturity</v>
          </cell>
        </row>
        <row r="7541">
          <cell r="A7541" t="str">
            <v>USD_CORP_HY_2YN</v>
          </cell>
          <cell r="B7541" t="str">
            <v>US Maturity HY 2</v>
          </cell>
          <cell r="C7541" t="str">
            <v>-BRS_GOLD_1:USD_CORP_HY_2YN</v>
          </cell>
          <cell r="D7541" t="str">
            <v>Spread Duration</v>
          </cell>
          <cell r="E7541" t="str">
            <v>Spread Yield (DxS)</v>
          </cell>
          <cell r="F7541" t="str">
            <v>SP-Corporate HY USD</v>
          </cell>
          <cell r="G7541" t="str">
            <v>SP-Spread Corporate</v>
          </cell>
          <cell r="H7541" t="str">
            <v>SPREADS</v>
          </cell>
          <cell r="I7541" t="str">
            <v>Corporate HY USD - Maturity</v>
          </cell>
        </row>
        <row r="7542">
          <cell r="A7542" t="str">
            <v>USD_CPI_40yr</v>
          </cell>
          <cell r="B7542" t="str">
            <v>CPI 40yr</v>
          </cell>
          <cell r="C7542" t="str">
            <v>-BRS_GOLD_1:USD_CPI_40yr</v>
          </cell>
          <cell r="D7542" t="str">
            <v>Inflation Duration</v>
          </cell>
          <cell r="E7542" t="str">
            <v>Yield</v>
          </cell>
          <cell r="F7542" t="str">
            <v>USD Inflation</v>
          </cell>
          <cell r="G7542" t="str">
            <v>USD Inflation</v>
          </cell>
          <cell r="H7542" t="str">
            <v>INFLATION</v>
          </cell>
          <cell r="I7542" t="str">
            <v>USD Inflation</v>
          </cell>
        </row>
        <row r="7543">
          <cell r="A7543" t="str">
            <v>USD_CPI_50yr</v>
          </cell>
          <cell r="B7543" t="str">
            <v>CPI 50yr</v>
          </cell>
          <cell r="C7543" t="str">
            <v>-BRS_GOLD_1:USD_CPI_50yr</v>
          </cell>
          <cell r="D7543" t="str">
            <v>Inflation Duration</v>
          </cell>
          <cell r="E7543" t="str">
            <v>Yield</v>
          </cell>
          <cell r="F7543" t="str">
            <v>USD Inflation</v>
          </cell>
          <cell r="G7543" t="str">
            <v>USD Inflation</v>
          </cell>
          <cell r="H7543" t="str">
            <v>INFLATION</v>
          </cell>
          <cell r="I7543" t="str">
            <v>USD Inflation</v>
          </cell>
        </row>
        <row r="7544">
          <cell r="A7544" t="str">
            <v>USD_CP_A1P1_12m</v>
          </cell>
          <cell r="B7544" t="str">
            <v>CP A1P1 12m</v>
          </cell>
          <cell r="C7544" t="str">
            <v>-BRS_GOLD_1:USD_CP_A1P1_12m</v>
          </cell>
          <cell r="D7544" t="str">
            <v>KRD</v>
          </cell>
          <cell r="E7544" t="str">
            <v>Yield</v>
          </cell>
          <cell r="F7544" t="str">
            <v>Other</v>
          </cell>
          <cell r="G7544" t="str">
            <v>Other</v>
          </cell>
          <cell r="H7544" t="str">
            <v>OTHER</v>
          </cell>
          <cell r="I7544" t="str">
            <v>Other - KRD</v>
          </cell>
        </row>
        <row r="7545">
          <cell r="A7545" t="str">
            <v>USD_CP_A1P1_1m</v>
          </cell>
          <cell r="B7545" t="str">
            <v>CP A1P1 1m</v>
          </cell>
          <cell r="C7545" t="str">
            <v>-BRS_GOLD_1:USD_CP_A1P1_1m</v>
          </cell>
          <cell r="D7545" t="str">
            <v>KRD</v>
          </cell>
          <cell r="E7545" t="str">
            <v>Yield</v>
          </cell>
          <cell r="F7545" t="str">
            <v>Other</v>
          </cell>
          <cell r="G7545" t="str">
            <v>Other</v>
          </cell>
          <cell r="H7545" t="str">
            <v>OTHER</v>
          </cell>
          <cell r="I7545" t="str">
            <v>Other - KRD</v>
          </cell>
        </row>
        <row r="7546">
          <cell r="A7546" t="str">
            <v>USD_CP_A1P1_2m</v>
          </cell>
          <cell r="B7546" t="str">
            <v>CP A1P1 2m</v>
          </cell>
          <cell r="C7546" t="str">
            <v>-BRS_GOLD_1:USD_CP_A1P1_2m</v>
          </cell>
          <cell r="D7546" t="str">
            <v>KRD</v>
          </cell>
          <cell r="E7546" t="str">
            <v>Yield</v>
          </cell>
          <cell r="F7546" t="str">
            <v>Other</v>
          </cell>
          <cell r="G7546" t="str">
            <v>Other</v>
          </cell>
          <cell r="H7546" t="str">
            <v>OTHER</v>
          </cell>
          <cell r="I7546" t="str">
            <v>Other - KRD</v>
          </cell>
        </row>
        <row r="7547">
          <cell r="A7547" t="str">
            <v>USD_CP_A1P1_2w</v>
          </cell>
          <cell r="B7547" t="str">
            <v>CP A1P1 2w</v>
          </cell>
          <cell r="C7547" t="str">
            <v>-BRS_GOLD_1:USD_CP_A1P1_2w</v>
          </cell>
          <cell r="D7547" t="str">
            <v>KRD</v>
          </cell>
          <cell r="E7547" t="str">
            <v>Yield</v>
          </cell>
          <cell r="F7547" t="str">
            <v>Other</v>
          </cell>
          <cell r="G7547" t="str">
            <v>Other</v>
          </cell>
          <cell r="H7547" t="str">
            <v>OTHER</v>
          </cell>
          <cell r="I7547" t="str">
            <v>Other - KRD</v>
          </cell>
        </row>
        <row r="7548">
          <cell r="A7548" t="str">
            <v>USD_CP_A1P1_3m</v>
          </cell>
          <cell r="B7548" t="str">
            <v>CP A1P1 3m</v>
          </cell>
          <cell r="C7548" t="str">
            <v>-BRS_GOLD_1:USD_CP_A1P1_3m</v>
          </cell>
          <cell r="D7548" t="str">
            <v>KRD</v>
          </cell>
          <cell r="E7548" t="str">
            <v>Yield</v>
          </cell>
          <cell r="F7548" t="str">
            <v>Other</v>
          </cell>
          <cell r="G7548" t="str">
            <v>Other</v>
          </cell>
          <cell r="H7548" t="str">
            <v>OTHER</v>
          </cell>
          <cell r="I7548" t="str">
            <v>Other - KRD</v>
          </cell>
        </row>
        <row r="7549">
          <cell r="A7549" t="str">
            <v>USD_CP_A1P1_6m</v>
          </cell>
          <cell r="B7549" t="str">
            <v>CP A1P1 6m</v>
          </cell>
          <cell r="C7549" t="str">
            <v>-BRS_GOLD_1:USD_CP_A1P1_6m</v>
          </cell>
          <cell r="D7549" t="str">
            <v>KRD</v>
          </cell>
          <cell r="E7549" t="str">
            <v>Yield</v>
          </cell>
          <cell r="F7549" t="str">
            <v>Other</v>
          </cell>
          <cell r="G7549" t="str">
            <v>Other</v>
          </cell>
          <cell r="H7549" t="str">
            <v>OTHER</v>
          </cell>
          <cell r="I7549" t="str">
            <v>Other - KRD</v>
          </cell>
        </row>
        <row r="7550">
          <cell r="A7550" t="str">
            <v>USD_CP_A2P2_12m</v>
          </cell>
          <cell r="B7550" t="str">
            <v>CP A2P2 12m</v>
          </cell>
          <cell r="C7550" t="str">
            <v>-BRS_GOLD_1:USD_CP_A2P2_12m</v>
          </cell>
          <cell r="D7550" t="str">
            <v>KRD</v>
          </cell>
          <cell r="E7550" t="str">
            <v>Yield</v>
          </cell>
          <cell r="F7550" t="str">
            <v>Other</v>
          </cell>
          <cell r="G7550" t="str">
            <v>Other</v>
          </cell>
          <cell r="H7550" t="str">
            <v>OTHER</v>
          </cell>
          <cell r="I7550" t="str">
            <v>Other - KRD</v>
          </cell>
        </row>
        <row r="7551">
          <cell r="A7551" t="str">
            <v>USD_CP_A2P2_1m</v>
          </cell>
          <cell r="B7551" t="str">
            <v>CP A2P2 1m</v>
          </cell>
          <cell r="C7551" t="str">
            <v>-BRS_GOLD_1:USD_CP_A2P2_1m</v>
          </cell>
          <cell r="D7551" t="str">
            <v>KRD</v>
          </cell>
          <cell r="E7551" t="str">
            <v>Yield</v>
          </cell>
          <cell r="F7551" t="str">
            <v>Other</v>
          </cell>
          <cell r="G7551" t="str">
            <v>Other</v>
          </cell>
          <cell r="H7551" t="str">
            <v>OTHER</v>
          </cell>
          <cell r="I7551" t="str">
            <v>Other - KRD</v>
          </cell>
        </row>
        <row r="7552">
          <cell r="A7552" t="str">
            <v>USD_CP_A2P2_2m</v>
          </cell>
          <cell r="B7552" t="str">
            <v>CP A2P2 2m</v>
          </cell>
          <cell r="C7552" t="str">
            <v>-BRS_GOLD_1:USD_CP_A2P2_2m</v>
          </cell>
          <cell r="D7552" t="str">
            <v>KRD</v>
          </cell>
          <cell r="E7552" t="str">
            <v>Yield</v>
          </cell>
          <cell r="F7552" t="str">
            <v>Other</v>
          </cell>
          <cell r="G7552" t="str">
            <v>Other</v>
          </cell>
          <cell r="H7552" t="str">
            <v>OTHER</v>
          </cell>
          <cell r="I7552" t="str">
            <v>Other - KRD</v>
          </cell>
        </row>
        <row r="7553">
          <cell r="A7553" t="str">
            <v>USD_CP_A2P2_2w</v>
          </cell>
          <cell r="B7553" t="str">
            <v>CP A2P2 2w</v>
          </cell>
          <cell r="C7553" t="str">
            <v>-BRS_GOLD_1:USD_CP_A2P2_2w</v>
          </cell>
          <cell r="D7553" t="str">
            <v>KRD</v>
          </cell>
          <cell r="E7553" t="str">
            <v>Yield</v>
          </cell>
          <cell r="F7553" t="str">
            <v>Other</v>
          </cell>
          <cell r="G7553" t="str">
            <v>Other</v>
          </cell>
          <cell r="H7553" t="str">
            <v>OTHER</v>
          </cell>
          <cell r="I7553" t="str">
            <v>Other - KRD</v>
          </cell>
        </row>
        <row r="7554">
          <cell r="A7554" t="str">
            <v>USD_CP_A2P2_3m</v>
          </cell>
          <cell r="B7554" t="str">
            <v>CP A2P2 3m</v>
          </cell>
          <cell r="C7554" t="str">
            <v>-BRS_GOLD_1:USD_CP_A2P2_3m</v>
          </cell>
          <cell r="D7554" t="str">
            <v>KRD</v>
          </cell>
          <cell r="E7554" t="str">
            <v>Yield</v>
          </cell>
          <cell r="F7554" t="str">
            <v>Other</v>
          </cell>
          <cell r="G7554" t="str">
            <v>Other</v>
          </cell>
          <cell r="H7554" t="str">
            <v>OTHER</v>
          </cell>
          <cell r="I7554" t="str">
            <v>Other - KRD</v>
          </cell>
        </row>
        <row r="7555">
          <cell r="A7555" t="str">
            <v>USD_CP_A2P2_6m</v>
          </cell>
          <cell r="B7555" t="str">
            <v>CP A2P2 6m</v>
          </cell>
          <cell r="C7555" t="str">
            <v>-BRS_GOLD_1:USD_CP_A2P2_6m</v>
          </cell>
          <cell r="D7555" t="str">
            <v>KRD</v>
          </cell>
          <cell r="E7555" t="str">
            <v>Yield</v>
          </cell>
          <cell r="F7555" t="str">
            <v>Other</v>
          </cell>
          <cell r="G7555" t="str">
            <v>Other</v>
          </cell>
          <cell r="H7555" t="str">
            <v>OTHER</v>
          </cell>
          <cell r="I7555" t="str">
            <v>Other - KRD</v>
          </cell>
        </row>
        <row r="7556">
          <cell r="A7556" t="str">
            <v>USD_DEPO_12m</v>
          </cell>
          <cell r="B7556" t="str">
            <v>DEPO 12m</v>
          </cell>
          <cell r="C7556" t="str">
            <v>-BRS_GOLD_1:USD_DEPO_12m</v>
          </cell>
          <cell r="D7556" t="str">
            <v>KRD</v>
          </cell>
          <cell r="E7556" t="str">
            <v>Yield</v>
          </cell>
          <cell r="F7556" t="str">
            <v>Other</v>
          </cell>
          <cell r="G7556" t="str">
            <v>Other</v>
          </cell>
          <cell r="H7556" t="str">
            <v>OTHER</v>
          </cell>
          <cell r="I7556" t="str">
            <v>Other - KRD</v>
          </cell>
        </row>
        <row r="7557">
          <cell r="A7557" t="str">
            <v>USD_DEPO_1m</v>
          </cell>
          <cell r="B7557" t="str">
            <v>DEPO 1m</v>
          </cell>
          <cell r="C7557" t="str">
            <v>-BRS_GOLD_1:USD_DEPO_1m</v>
          </cell>
          <cell r="D7557" t="str">
            <v>KRD</v>
          </cell>
          <cell r="E7557" t="str">
            <v>Yield</v>
          </cell>
          <cell r="F7557" t="str">
            <v>Other</v>
          </cell>
          <cell r="G7557" t="str">
            <v>Other</v>
          </cell>
          <cell r="H7557" t="str">
            <v>OTHER</v>
          </cell>
          <cell r="I7557" t="str">
            <v>Other - KRD</v>
          </cell>
        </row>
        <row r="7558">
          <cell r="A7558" t="str">
            <v>USD_DEPO_2m</v>
          </cell>
          <cell r="B7558" t="str">
            <v>DEPO 2m</v>
          </cell>
          <cell r="C7558" t="str">
            <v>-BRS_GOLD_1:USD_DEPO_2m</v>
          </cell>
          <cell r="D7558" t="str">
            <v>KRD</v>
          </cell>
          <cell r="E7558" t="str">
            <v>Yield</v>
          </cell>
          <cell r="F7558" t="str">
            <v>Other</v>
          </cell>
          <cell r="G7558" t="str">
            <v>Other</v>
          </cell>
          <cell r="H7558" t="str">
            <v>OTHER</v>
          </cell>
          <cell r="I7558" t="str">
            <v>Other - KRD</v>
          </cell>
        </row>
        <row r="7559">
          <cell r="A7559" t="str">
            <v>USD_DEPO_2w</v>
          </cell>
          <cell r="B7559" t="str">
            <v>DEPO 2w</v>
          </cell>
          <cell r="C7559" t="str">
            <v>-BRS_GOLD_1:USD_DEPO_2w</v>
          </cell>
          <cell r="D7559" t="str">
            <v>KRD</v>
          </cell>
          <cell r="E7559" t="str">
            <v>Yield</v>
          </cell>
          <cell r="F7559" t="str">
            <v>Other</v>
          </cell>
          <cell r="G7559" t="str">
            <v>Other</v>
          </cell>
          <cell r="H7559" t="str">
            <v>OTHER</v>
          </cell>
          <cell r="I7559" t="str">
            <v>Other - KRD</v>
          </cell>
        </row>
        <row r="7560">
          <cell r="A7560" t="str">
            <v>USD_DEPO_3m</v>
          </cell>
          <cell r="B7560" t="str">
            <v>DEPO 3m</v>
          </cell>
          <cell r="C7560" t="str">
            <v>-BRS_GOLD_1:USD_DEPO_3m</v>
          </cell>
          <cell r="D7560" t="str">
            <v>KRD</v>
          </cell>
          <cell r="E7560" t="str">
            <v>Yield</v>
          </cell>
          <cell r="F7560" t="str">
            <v>Other</v>
          </cell>
          <cell r="G7560" t="str">
            <v>Other</v>
          </cell>
          <cell r="H7560" t="str">
            <v>OTHER</v>
          </cell>
          <cell r="I7560" t="str">
            <v>Other - KRD</v>
          </cell>
        </row>
        <row r="7561">
          <cell r="A7561" t="str">
            <v>USD_DEPO_6m</v>
          </cell>
          <cell r="B7561" t="str">
            <v>DEPO 6m</v>
          </cell>
          <cell r="C7561" t="str">
            <v>-BRS_GOLD_1:USD_DEPO_6m</v>
          </cell>
          <cell r="D7561" t="str">
            <v>KRD</v>
          </cell>
          <cell r="E7561" t="str">
            <v>Yield</v>
          </cell>
          <cell r="F7561" t="str">
            <v>Other</v>
          </cell>
          <cell r="G7561" t="str">
            <v>Other</v>
          </cell>
          <cell r="H7561" t="str">
            <v>OTHER</v>
          </cell>
          <cell r="I7561" t="str">
            <v>Other - KRD</v>
          </cell>
        </row>
        <row r="7562">
          <cell r="A7562" t="str">
            <v>USD_EM_CORP_EE</v>
          </cell>
          <cell r="B7562" t="str">
            <v>Europe</v>
          </cell>
          <cell r="C7562" t="str">
            <v>-BRS_GOLD_1:USD_EM_CORP_EE</v>
          </cell>
          <cell r="D7562" t="str">
            <v>Spread Duration</v>
          </cell>
          <cell r="E7562" t="str">
            <v>Spread Yield (DxS)</v>
          </cell>
          <cell r="F7562" t="str">
            <v>Other</v>
          </cell>
          <cell r="G7562" t="str">
            <v>Other</v>
          </cell>
          <cell r="H7562" t="str">
            <v>OTHER</v>
          </cell>
          <cell r="I7562" t="str">
            <v>Other - Spread Yield</v>
          </cell>
        </row>
        <row r="7563">
          <cell r="A7563" t="str">
            <v>USD_EM_CORP_MIDAF</v>
          </cell>
          <cell r="B7563" t="str">
            <v>Middle East and Africa</v>
          </cell>
          <cell r="C7563" t="str">
            <v>-BRS_GOLD_1:USD_EM_CORP_MIDAF</v>
          </cell>
          <cell r="D7563" t="str">
            <v>Spread Duration</v>
          </cell>
          <cell r="E7563" t="str">
            <v>Spread Yield (DxS)</v>
          </cell>
          <cell r="F7563" t="str">
            <v>Other</v>
          </cell>
          <cell r="G7563" t="str">
            <v>Other</v>
          </cell>
          <cell r="H7563" t="str">
            <v>OTHER</v>
          </cell>
          <cell r="I7563" t="str">
            <v>Other - Spread Yield</v>
          </cell>
        </row>
        <row r="7564">
          <cell r="A7564" t="str">
            <v>USD_EM_CORP_SA</v>
          </cell>
          <cell r="B7564" t="str">
            <v>Latin America</v>
          </cell>
          <cell r="C7564" t="str">
            <v>-BRS_GOLD_1:USD_EM_CORP_SA</v>
          </cell>
          <cell r="D7564" t="str">
            <v>Spread Duration</v>
          </cell>
          <cell r="E7564" t="str">
            <v>Spread Yield (DxS)</v>
          </cell>
          <cell r="F7564" t="str">
            <v>Other</v>
          </cell>
          <cell r="G7564" t="str">
            <v>Other</v>
          </cell>
          <cell r="H7564" t="str">
            <v>OTHER</v>
          </cell>
          <cell r="I7564" t="str">
            <v>Other - Spread Yield</v>
          </cell>
        </row>
        <row r="7565">
          <cell r="A7565" t="str">
            <v>USD_POWER_MPE_1</v>
          </cell>
          <cell r="B7565" t="str">
            <v>PJM INTERCONNEC MON PEAK ELE 1</v>
          </cell>
          <cell r="C7565" t="str">
            <v>-BRS_GOLD_1:USD_POWER_MPE_1</v>
          </cell>
          <cell r="D7565" t="str">
            <v>Commodity</v>
          </cell>
          <cell r="E7565" t="str">
            <v>Price Level</v>
          </cell>
          <cell r="F7565" t="str">
            <v>Alternative</v>
          </cell>
          <cell r="G7565" t="str">
            <v>Other</v>
          </cell>
          <cell r="H7565" t="str">
            <v>ALTS</v>
          </cell>
          <cell r="I7565" t="str">
            <v>Commodity</v>
          </cell>
        </row>
        <row r="7566">
          <cell r="A7566" t="str">
            <v>USD_POWER_MPE_10</v>
          </cell>
          <cell r="B7566" t="str">
            <v>PJM INTERCONNEC MON PEAK ELE10</v>
          </cell>
          <cell r="C7566" t="str">
            <v>-BRS_GOLD_1:USD_POWER_MPE_10</v>
          </cell>
          <cell r="D7566" t="str">
            <v>Commodity</v>
          </cell>
          <cell r="E7566" t="str">
            <v>Price Level</v>
          </cell>
          <cell r="F7566" t="str">
            <v>Alternative</v>
          </cell>
          <cell r="G7566" t="str">
            <v>Other</v>
          </cell>
          <cell r="H7566" t="str">
            <v>ALTS</v>
          </cell>
          <cell r="I7566" t="str">
            <v>Commodity</v>
          </cell>
        </row>
        <row r="7567">
          <cell r="A7567" t="str">
            <v>USD_POWER_MPE_11</v>
          </cell>
          <cell r="B7567" t="str">
            <v>PJM INTERCONNEC MON PEAK ELE11</v>
          </cell>
          <cell r="C7567" t="str">
            <v>-BRS_GOLD_1:USD_POWER_MPE_11</v>
          </cell>
          <cell r="D7567" t="str">
            <v>Commodity</v>
          </cell>
          <cell r="E7567" t="str">
            <v>Price Level</v>
          </cell>
          <cell r="F7567" t="str">
            <v>Alternative</v>
          </cell>
          <cell r="G7567" t="str">
            <v>Other</v>
          </cell>
          <cell r="H7567" t="str">
            <v>ALTS</v>
          </cell>
          <cell r="I7567" t="str">
            <v>Commodity</v>
          </cell>
        </row>
        <row r="7568">
          <cell r="A7568" t="str">
            <v>USD_POWER_MPE_12</v>
          </cell>
          <cell r="B7568" t="str">
            <v>PJM INTERCONNEC MON PEAK ELE12</v>
          </cell>
          <cell r="C7568" t="str">
            <v>-BRS_GOLD_1:USD_POWER_MPE_12</v>
          </cell>
          <cell r="D7568" t="str">
            <v>Commodity</v>
          </cell>
          <cell r="E7568" t="str">
            <v>Price Level</v>
          </cell>
          <cell r="F7568" t="str">
            <v>Alternative</v>
          </cell>
          <cell r="G7568" t="str">
            <v>Other</v>
          </cell>
          <cell r="H7568" t="str">
            <v>ALTS</v>
          </cell>
          <cell r="I7568" t="str">
            <v>Commodity</v>
          </cell>
        </row>
        <row r="7569">
          <cell r="A7569" t="str">
            <v>USD_POWER_MPE_13</v>
          </cell>
          <cell r="B7569" t="str">
            <v>PJM INTERCONNEC MON PEAK ELE13</v>
          </cell>
          <cell r="C7569" t="str">
            <v>-BRS_GOLD_1:USD_POWER_MPE_13</v>
          </cell>
          <cell r="D7569" t="str">
            <v>Commodity</v>
          </cell>
          <cell r="E7569" t="str">
            <v>Price Level</v>
          </cell>
          <cell r="F7569" t="str">
            <v>Alternative</v>
          </cell>
          <cell r="G7569" t="str">
            <v>Other</v>
          </cell>
          <cell r="H7569" t="str">
            <v>ALTS</v>
          </cell>
          <cell r="I7569" t="str">
            <v>Commodity</v>
          </cell>
        </row>
        <row r="7570">
          <cell r="A7570" t="str">
            <v>USD_POWER_MPE_14</v>
          </cell>
          <cell r="B7570" t="str">
            <v>PJM INTERCONNEC MON PEAK ELE14</v>
          </cell>
          <cell r="C7570" t="str">
            <v>-BRS_GOLD_1:USD_POWER_MPE_14</v>
          </cell>
          <cell r="D7570" t="str">
            <v>Commodity</v>
          </cell>
          <cell r="E7570" t="str">
            <v>Price Level</v>
          </cell>
          <cell r="F7570" t="str">
            <v>Alternative</v>
          </cell>
          <cell r="G7570" t="str">
            <v>Other</v>
          </cell>
          <cell r="H7570" t="str">
            <v>ALTS</v>
          </cell>
          <cell r="I7570" t="str">
            <v>Commodity</v>
          </cell>
        </row>
        <row r="7571">
          <cell r="A7571" t="str">
            <v>USD_POWER_MPE_15</v>
          </cell>
          <cell r="B7571" t="str">
            <v>PJM INTERCONNEC MON PEAK ELE15</v>
          </cell>
          <cell r="C7571" t="str">
            <v>-BRS_GOLD_1:USD_POWER_MPE_15</v>
          </cell>
          <cell r="D7571" t="str">
            <v>Commodity</v>
          </cell>
          <cell r="E7571" t="str">
            <v>Price Level</v>
          </cell>
          <cell r="F7571" t="str">
            <v>Alternative</v>
          </cell>
          <cell r="G7571" t="str">
            <v>Other</v>
          </cell>
          <cell r="H7571" t="str">
            <v>ALTS</v>
          </cell>
          <cell r="I7571" t="str">
            <v>Commodity</v>
          </cell>
        </row>
        <row r="7572">
          <cell r="A7572" t="str">
            <v>USD_POWER_MPE_16</v>
          </cell>
          <cell r="B7572" t="str">
            <v>PJM INTERCONNEC MON PEAK ELE16</v>
          </cell>
          <cell r="C7572" t="str">
            <v>-BRS_GOLD_1:USD_POWER_MPE_16</v>
          </cell>
          <cell r="D7572" t="str">
            <v>Commodity</v>
          </cell>
          <cell r="E7572" t="str">
            <v>Price Level</v>
          </cell>
          <cell r="F7572" t="str">
            <v>Alternative</v>
          </cell>
          <cell r="G7572" t="str">
            <v>Other</v>
          </cell>
          <cell r="H7572" t="str">
            <v>ALTS</v>
          </cell>
          <cell r="I7572" t="str">
            <v>Commodity</v>
          </cell>
        </row>
        <row r="7573">
          <cell r="A7573" t="str">
            <v>USD_POWER_MPE_17</v>
          </cell>
          <cell r="B7573" t="str">
            <v>PJM INTERCONNEC MON PEAK ELE17</v>
          </cell>
          <cell r="C7573" t="str">
            <v>-BRS_GOLD_1:USD_POWER_MPE_17</v>
          </cell>
          <cell r="D7573" t="str">
            <v>Commodity</v>
          </cell>
          <cell r="E7573" t="str">
            <v>Price Level</v>
          </cell>
          <cell r="F7573" t="str">
            <v>Alternative</v>
          </cell>
          <cell r="G7573" t="str">
            <v>Other</v>
          </cell>
          <cell r="H7573" t="str">
            <v>ALTS</v>
          </cell>
          <cell r="I7573" t="str">
            <v>Commodity</v>
          </cell>
        </row>
        <row r="7574">
          <cell r="A7574" t="str">
            <v>USD_POWER_MPE_18</v>
          </cell>
          <cell r="B7574" t="str">
            <v>PJM INTERCONNEC MON PEAK ELE18</v>
          </cell>
          <cell r="C7574" t="str">
            <v>-BRS_GOLD_1:USD_POWER_MPE_18</v>
          </cell>
          <cell r="D7574" t="str">
            <v>Commodity</v>
          </cell>
          <cell r="E7574" t="str">
            <v>Price Level</v>
          </cell>
          <cell r="F7574" t="str">
            <v>Alternative</v>
          </cell>
          <cell r="G7574" t="str">
            <v>Other</v>
          </cell>
          <cell r="H7574" t="str">
            <v>ALTS</v>
          </cell>
          <cell r="I7574" t="str">
            <v>Commodity</v>
          </cell>
        </row>
        <row r="7575">
          <cell r="A7575" t="str">
            <v>USD_POWER_MPE_19</v>
          </cell>
          <cell r="B7575" t="str">
            <v>PJM INTERCONNEC MON PEAK ELE19</v>
          </cell>
          <cell r="C7575" t="str">
            <v>-BRS_GOLD_1:USD_POWER_MPE_19</v>
          </cell>
          <cell r="D7575" t="str">
            <v>Commodity</v>
          </cell>
          <cell r="E7575" t="str">
            <v>Price Level</v>
          </cell>
          <cell r="F7575" t="str">
            <v>Alternative</v>
          </cell>
          <cell r="G7575" t="str">
            <v>Other</v>
          </cell>
          <cell r="H7575" t="str">
            <v>ALTS</v>
          </cell>
          <cell r="I7575" t="str">
            <v>Commodity</v>
          </cell>
        </row>
        <row r="7576">
          <cell r="A7576" t="str">
            <v>USD_POWER_MPE_2</v>
          </cell>
          <cell r="B7576" t="str">
            <v>PJM INTERCONNEC MON PEAK ELE 2</v>
          </cell>
          <cell r="C7576" t="str">
            <v>-BRS_GOLD_1:USD_POWER_MPE_2</v>
          </cell>
          <cell r="D7576" t="str">
            <v>Commodity</v>
          </cell>
          <cell r="E7576" t="str">
            <v>Price Level</v>
          </cell>
          <cell r="F7576" t="str">
            <v>Alternative</v>
          </cell>
          <cell r="G7576" t="str">
            <v>Other</v>
          </cell>
          <cell r="H7576" t="str">
            <v>ALTS</v>
          </cell>
          <cell r="I7576" t="str">
            <v>Commodity</v>
          </cell>
        </row>
        <row r="7577">
          <cell r="A7577" t="str">
            <v>USD_POWER_MPE_20</v>
          </cell>
          <cell r="B7577" t="str">
            <v>PJM INTERCONNEC MON PEAK ELE20</v>
          </cell>
          <cell r="C7577" t="str">
            <v>-BRS_GOLD_1:USD_POWER_MPE_20</v>
          </cell>
          <cell r="D7577" t="str">
            <v>Commodity</v>
          </cell>
          <cell r="E7577" t="str">
            <v>Price Level</v>
          </cell>
          <cell r="F7577" t="str">
            <v>Alternative</v>
          </cell>
          <cell r="G7577" t="str">
            <v>Other</v>
          </cell>
          <cell r="H7577" t="str">
            <v>ALTS</v>
          </cell>
          <cell r="I7577" t="str">
            <v>Commodity</v>
          </cell>
        </row>
        <row r="7578">
          <cell r="A7578" t="str">
            <v>USD_POWER_MPE_21</v>
          </cell>
          <cell r="B7578" t="str">
            <v>PJM INTERCONNEC MON PEAK ELE21</v>
          </cell>
          <cell r="C7578" t="str">
            <v>-BRS_GOLD_1:USD_POWER_MPE_21</v>
          </cell>
          <cell r="D7578" t="str">
            <v>Commodity</v>
          </cell>
          <cell r="E7578" t="str">
            <v>Price Level</v>
          </cell>
          <cell r="F7578" t="str">
            <v>Alternative</v>
          </cell>
          <cell r="G7578" t="str">
            <v>Other</v>
          </cell>
          <cell r="H7578" t="str">
            <v>ALTS</v>
          </cell>
          <cell r="I7578" t="str">
            <v>Commodity</v>
          </cell>
        </row>
        <row r="7579">
          <cell r="A7579" t="str">
            <v>USD_POWER_MPE_22</v>
          </cell>
          <cell r="B7579" t="str">
            <v>PJM INTERCONNEC MON PEAK ELE22</v>
          </cell>
          <cell r="C7579" t="str">
            <v>-BRS_GOLD_1:USD_POWER_MPE_22</v>
          </cell>
          <cell r="D7579" t="str">
            <v>Commodity</v>
          </cell>
          <cell r="E7579" t="str">
            <v>Price Level</v>
          </cell>
          <cell r="F7579" t="str">
            <v>Alternative</v>
          </cell>
          <cell r="G7579" t="str">
            <v>Other</v>
          </cell>
          <cell r="H7579" t="str">
            <v>ALTS</v>
          </cell>
          <cell r="I7579" t="str">
            <v>Commodity</v>
          </cell>
        </row>
        <row r="7580">
          <cell r="A7580" t="str">
            <v>USD_POWER_MPE_23</v>
          </cell>
          <cell r="B7580" t="str">
            <v>PJM INTERCONNEC MON PEAK ELE23</v>
          </cell>
          <cell r="C7580" t="str">
            <v>-BRS_GOLD_1:USD_POWER_MPE_23</v>
          </cell>
          <cell r="D7580" t="str">
            <v>Commodity</v>
          </cell>
          <cell r="E7580" t="str">
            <v>Price Level</v>
          </cell>
          <cell r="F7580" t="str">
            <v>Alternative</v>
          </cell>
          <cell r="G7580" t="str">
            <v>Other</v>
          </cell>
          <cell r="H7580" t="str">
            <v>ALTS</v>
          </cell>
          <cell r="I7580" t="str">
            <v>Commodity</v>
          </cell>
        </row>
        <row r="7581">
          <cell r="A7581" t="str">
            <v>USD_POWER_MPE_24</v>
          </cell>
          <cell r="B7581" t="str">
            <v>PJM INTERCONNEC MON PEAK ELE24</v>
          </cell>
          <cell r="C7581" t="str">
            <v>-BRS_GOLD_1:USD_POWER_MPE_24</v>
          </cell>
          <cell r="D7581" t="str">
            <v>Commodity</v>
          </cell>
          <cell r="E7581" t="str">
            <v>Price Level</v>
          </cell>
          <cell r="F7581" t="str">
            <v>Alternative</v>
          </cell>
          <cell r="G7581" t="str">
            <v>Other</v>
          </cell>
          <cell r="H7581" t="str">
            <v>ALTS</v>
          </cell>
          <cell r="I7581" t="str">
            <v>Commodity</v>
          </cell>
        </row>
        <row r="7582">
          <cell r="A7582" t="str">
            <v>USD_POWER_MPE_25</v>
          </cell>
          <cell r="B7582" t="str">
            <v>PJM INTERCONNEC MON PEAK ELE25</v>
          </cell>
          <cell r="C7582" t="str">
            <v>-BRS_GOLD_1:USD_POWER_MPE_25</v>
          </cell>
          <cell r="D7582" t="str">
            <v>Commodity</v>
          </cell>
          <cell r="E7582" t="str">
            <v>Price Level</v>
          </cell>
          <cell r="F7582" t="str">
            <v>Alternative</v>
          </cell>
          <cell r="G7582" t="str">
            <v>Other</v>
          </cell>
          <cell r="H7582" t="str">
            <v>ALTS</v>
          </cell>
          <cell r="I7582" t="str">
            <v>Commodity</v>
          </cell>
        </row>
        <row r="7583">
          <cell r="A7583" t="str">
            <v>USD_POWER_MPE_26</v>
          </cell>
          <cell r="B7583" t="str">
            <v>PJM INTERCONNEC MON PEAK ELE26</v>
          </cell>
          <cell r="C7583" t="str">
            <v>-BRS_GOLD_1:USD_POWER_MPE_26</v>
          </cell>
          <cell r="D7583" t="str">
            <v>Commodity</v>
          </cell>
          <cell r="E7583" t="str">
            <v>Price Level</v>
          </cell>
          <cell r="F7583" t="str">
            <v>Alternative</v>
          </cell>
          <cell r="G7583" t="str">
            <v>Other</v>
          </cell>
          <cell r="H7583" t="str">
            <v>ALTS</v>
          </cell>
          <cell r="I7583" t="str">
            <v>Commodity</v>
          </cell>
        </row>
        <row r="7584">
          <cell r="A7584" t="str">
            <v>USD_POWER_MPE_27</v>
          </cell>
          <cell r="B7584" t="str">
            <v>PJM INTERCONNEC MON PEAK ELE27</v>
          </cell>
          <cell r="C7584" t="str">
            <v>-BRS_GOLD_1:USD_POWER_MPE_27</v>
          </cell>
          <cell r="D7584" t="str">
            <v>Commodity</v>
          </cell>
          <cell r="E7584" t="str">
            <v>Price Level</v>
          </cell>
          <cell r="F7584" t="str">
            <v>Alternative</v>
          </cell>
          <cell r="G7584" t="str">
            <v>Other</v>
          </cell>
          <cell r="H7584" t="str">
            <v>ALTS</v>
          </cell>
          <cell r="I7584" t="str">
            <v>Commodity</v>
          </cell>
        </row>
        <row r="7585">
          <cell r="A7585" t="str">
            <v>USD_POWER_MPE_28</v>
          </cell>
          <cell r="B7585" t="str">
            <v>PJM INTERCONNEC MON PEAK ELE28</v>
          </cell>
          <cell r="C7585" t="str">
            <v>-BRS_GOLD_1:USD_POWER_MPE_28</v>
          </cell>
          <cell r="D7585" t="str">
            <v>Commodity</v>
          </cell>
          <cell r="E7585" t="str">
            <v>Price Level</v>
          </cell>
          <cell r="F7585" t="str">
            <v>Alternative</v>
          </cell>
          <cell r="G7585" t="str">
            <v>Other</v>
          </cell>
          <cell r="H7585" t="str">
            <v>ALTS</v>
          </cell>
          <cell r="I7585" t="str">
            <v>Commodity</v>
          </cell>
        </row>
        <row r="7586">
          <cell r="A7586" t="str">
            <v>USD_POWER_MPE_29</v>
          </cell>
          <cell r="B7586" t="str">
            <v>PJM INTERCONNEC MON PEAK ELE29</v>
          </cell>
          <cell r="C7586" t="str">
            <v>-BRS_GOLD_1:USD_POWER_MPE_29</v>
          </cell>
          <cell r="D7586" t="str">
            <v>Commodity</v>
          </cell>
          <cell r="E7586" t="str">
            <v>Price Level</v>
          </cell>
          <cell r="F7586" t="str">
            <v>Alternative</v>
          </cell>
          <cell r="G7586" t="str">
            <v>Other</v>
          </cell>
          <cell r="H7586" t="str">
            <v>ALTS</v>
          </cell>
          <cell r="I7586" t="str">
            <v>Commodity</v>
          </cell>
        </row>
        <row r="7587">
          <cell r="A7587" t="str">
            <v>USD_POWER_MPE_3</v>
          </cell>
          <cell r="B7587" t="str">
            <v>PJM INTERCONNEC MON PEAK ELE 3</v>
          </cell>
          <cell r="C7587" t="str">
            <v>-BRS_GOLD_1:USD_POWER_MPE_3</v>
          </cell>
          <cell r="D7587" t="str">
            <v>Commodity</v>
          </cell>
          <cell r="E7587" t="str">
            <v>Price Level</v>
          </cell>
          <cell r="F7587" t="str">
            <v>Alternative</v>
          </cell>
          <cell r="G7587" t="str">
            <v>Other</v>
          </cell>
          <cell r="H7587" t="str">
            <v>ALTS</v>
          </cell>
          <cell r="I7587" t="str">
            <v>Commodity</v>
          </cell>
        </row>
        <row r="7588">
          <cell r="A7588" t="str">
            <v>USD_POWER_MPE_30</v>
          </cell>
          <cell r="B7588" t="str">
            <v>PJM INTERCONNEC MON PEAK ELE30</v>
          </cell>
          <cell r="C7588" t="str">
            <v>-BRS_GOLD_1:USD_POWER_MPE_30</v>
          </cell>
          <cell r="D7588" t="str">
            <v>Commodity</v>
          </cell>
          <cell r="E7588" t="str">
            <v>Price Level</v>
          </cell>
          <cell r="F7588" t="str">
            <v>Alternative</v>
          </cell>
          <cell r="G7588" t="str">
            <v>Other</v>
          </cell>
          <cell r="H7588" t="str">
            <v>ALTS</v>
          </cell>
          <cell r="I7588" t="str">
            <v>Commodity</v>
          </cell>
        </row>
        <row r="7589">
          <cell r="A7589" t="str">
            <v>USD_POWER_MPE_4</v>
          </cell>
          <cell r="B7589" t="str">
            <v>PJM INTERCONNEC MON PEAK ELE 4</v>
          </cell>
          <cell r="C7589" t="str">
            <v>-BRS_GOLD_1:USD_POWER_MPE_4</v>
          </cell>
          <cell r="D7589" t="str">
            <v>Commodity</v>
          </cell>
          <cell r="E7589" t="str">
            <v>Price Level</v>
          </cell>
          <cell r="F7589" t="str">
            <v>Alternative</v>
          </cell>
          <cell r="G7589" t="str">
            <v>Other</v>
          </cell>
          <cell r="H7589" t="str">
            <v>ALTS</v>
          </cell>
          <cell r="I7589" t="str">
            <v>Commodity</v>
          </cell>
        </row>
        <row r="7590">
          <cell r="A7590" t="str">
            <v>USD_POWER_MPE_5</v>
          </cell>
          <cell r="B7590" t="str">
            <v>PJM INTERCONNEC MON PEAK ELE 5</v>
          </cell>
          <cell r="C7590" t="str">
            <v>-BRS_GOLD_1:USD_POWER_MPE_5</v>
          </cell>
          <cell r="D7590" t="str">
            <v>Commodity</v>
          </cell>
          <cell r="E7590" t="str">
            <v>Price Level</v>
          </cell>
          <cell r="F7590" t="str">
            <v>Alternative</v>
          </cell>
          <cell r="G7590" t="str">
            <v>Other</v>
          </cell>
          <cell r="H7590" t="str">
            <v>ALTS</v>
          </cell>
          <cell r="I7590" t="str">
            <v>Commodity</v>
          </cell>
        </row>
        <row r="7591">
          <cell r="A7591" t="str">
            <v>USD_POWER_MPE_6</v>
          </cell>
          <cell r="B7591" t="str">
            <v>PJM INTERCONNEC MON PEAK ELE 6</v>
          </cell>
          <cell r="C7591" t="str">
            <v>-BRS_GOLD_1:USD_POWER_MPE_6</v>
          </cell>
          <cell r="D7591" t="str">
            <v>Commodity</v>
          </cell>
          <cell r="E7591" t="str">
            <v>Price Level</v>
          </cell>
          <cell r="F7591" t="str">
            <v>Alternative</v>
          </cell>
          <cell r="G7591" t="str">
            <v>Other</v>
          </cell>
          <cell r="H7591" t="str">
            <v>ALTS</v>
          </cell>
          <cell r="I7591" t="str">
            <v>Commodity</v>
          </cell>
        </row>
        <row r="7592">
          <cell r="A7592" t="str">
            <v>USD_POWER_MPE_7</v>
          </cell>
          <cell r="B7592" t="str">
            <v>PJM INTERCONNEC MON PEAK ELE 7</v>
          </cell>
          <cell r="C7592" t="str">
            <v>-BRS_GOLD_1:USD_POWER_MPE_7</v>
          </cell>
          <cell r="D7592" t="str">
            <v>Commodity</v>
          </cell>
          <cell r="E7592" t="str">
            <v>Price Level</v>
          </cell>
          <cell r="F7592" t="str">
            <v>Alternative</v>
          </cell>
          <cell r="G7592" t="str">
            <v>Other</v>
          </cell>
          <cell r="H7592" t="str">
            <v>ALTS</v>
          </cell>
          <cell r="I7592" t="str">
            <v>Commodity</v>
          </cell>
        </row>
        <row r="7593">
          <cell r="A7593" t="str">
            <v>USD_POWER_MPE_8</v>
          </cell>
          <cell r="B7593" t="str">
            <v>PJM INTERCONNEC MON PEAK ELE 8</v>
          </cell>
          <cell r="C7593" t="str">
            <v>-BRS_GOLD_1:USD_POWER_MPE_8</v>
          </cell>
          <cell r="D7593" t="str">
            <v>Commodity</v>
          </cell>
          <cell r="E7593" t="str">
            <v>Price Level</v>
          </cell>
          <cell r="F7593" t="str">
            <v>Alternative</v>
          </cell>
          <cell r="G7593" t="str">
            <v>Other</v>
          </cell>
          <cell r="H7593" t="str">
            <v>ALTS</v>
          </cell>
          <cell r="I7593" t="str">
            <v>Commodity</v>
          </cell>
        </row>
        <row r="7594">
          <cell r="A7594" t="str">
            <v>USD_POWER_MPE_9</v>
          </cell>
          <cell r="B7594" t="str">
            <v>PJM INTERCONNEC MON PEAK ELE 9</v>
          </cell>
          <cell r="C7594" t="str">
            <v>-BRS_GOLD_1:USD_POWER_MPE_9</v>
          </cell>
          <cell r="D7594" t="str">
            <v>Commodity</v>
          </cell>
          <cell r="E7594" t="str">
            <v>Price Level</v>
          </cell>
          <cell r="F7594" t="str">
            <v>Alternative</v>
          </cell>
          <cell r="G7594" t="str">
            <v>Other</v>
          </cell>
          <cell r="H7594" t="str">
            <v>ALTS</v>
          </cell>
          <cell r="I7594" t="str">
            <v>Commodity</v>
          </cell>
        </row>
        <row r="7595">
          <cell r="A7595" t="str">
            <v>USD_VOL_CARRY</v>
          </cell>
          <cell r="B7595" t="str">
            <v>VOLATILITY CARRY FACTOR RETURN</v>
          </cell>
          <cell r="C7595" t="str">
            <v>-BRS_GOLD_1:USD_VOL_CARRY</v>
          </cell>
          <cell r="D7595" t="str">
            <v>Index</v>
          </cell>
          <cell r="E7595" t="str">
            <v>Index Level</v>
          </cell>
          <cell r="F7595" t="str">
            <v>Other</v>
          </cell>
          <cell r="G7595" t="str">
            <v>Other</v>
          </cell>
          <cell r="H7595" t="str">
            <v>OTHER</v>
          </cell>
          <cell r="I7595" t="str">
            <v>Other - Index</v>
          </cell>
        </row>
        <row r="7596">
          <cell r="A7596" t="str">
            <v>USD_libor_40yr</v>
          </cell>
          <cell r="B7596" t="str">
            <v>LIBOR 40Y</v>
          </cell>
          <cell r="C7596" t="str">
            <v>-BRS_GOLD_1:USD_libor_40yr</v>
          </cell>
          <cell r="D7596" t="str">
            <v>Libor KRD</v>
          </cell>
          <cell r="E7596" t="str">
            <v>Yield</v>
          </cell>
          <cell r="F7596" t="str">
            <v>SP-Other</v>
          </cell>
          <cell r="G7596" t="str">
            <v>SP-Other</v>
          </cell>
          <cell r="H7596" t="str">
            <v>SPREADS</v>
          </cell>
          <cell r="I7596" t="str">
            <v>Swap Spread - Libor</v>
          </cell>
        </row>
        <row r="7597">
          <cell r="A7597" t="str">
            <v>USD_libor_50yr</v>
          </cell>
          <cell r="B7597" t="str">
            <v>LIBOR 50Y</v>
          </cell>
          <cell r="C7597" t="str">
            <v>-BRS_GOLD_1:USD_libor_50yr</v>
          </cell>
          <cell r="D7597" t="str">
            <v>Libor KRD</v>
          </cell>
          <cell r="E7597" t="str">
            <v>Yield</v>
          </cell>
          <cell r="F7597" t="str">
            <v>SP-Other</v>
          </cell>
          <cell r="G7597" t="str">
            <v>SP-Other</v>
          </cell>
          <cell r="H7597" t="str">
            <v>SPREADS</v>
          </cell>
          <cell r="I7597" t="str">
            <v>Swap Spread - Libor</v>
          </cell>
        </row>
        <row r="7598">
          <cell r="A7598" t="str">
            <v>USD_mm_libor_12m</v>
          </cell>
          <cell r="B7598" t="str">
            <v>mm libor 12m</v>
          </cell>
          <cell r="C7598" t="str">
            <v>-BRS_GOLD_1:USD_mm_libor_12m</v>
          </cell>
          <cell r="D7598" t="str">
            <v>KRD</v>
          </cell>
          <cell r="E7598" t="str">
            <v>Yield</v>
          </cell>
          <cell r="F7598" t="str">
            <v>SP-Other</v>
          </cell>
          <cell r="G7598" t="str">
            <v>SP-Other</v>
          </cell>
          <cell r="H7598" t="str">
            <v>SPREADS</v>
          </cell>
          <cell r="I7598" t="str">
            <v>Swap Spread - Libor</v>
          </cell>
        </row>
        <row r="7599">
          <cell r="A7599" t="str">
            <v>USD_mm_libor_1m</v>
          </cell>
          <cell r="B7599" t="str">
            <v>mm libor 1m</v>
          </cell>
          <cell r="C7599" t="str">
            <v>-BRS_GOLD_1:USD_mm_libor_1m</v>
          </cell>
          <cell r="D7599" t="str">
            <v>KRD</v>
          </cell>
          <cell r="E7599" t="str">
            <v>Yield</v>
          </cell>
          <cell r="F7599" t="str">
            <v>SP-Other</v>
          </cell>
          <cell r="G7599" t="str">
            <v>SP-Other</v>
          </cell>
          <cell r="H7599" t="str">
            <v>SPREADS</v>
          </cell>
          <cell r="I7599" t="str">
            <v>Swap Spread - Libor</v>
          </cell>
        </row>
        <row r="7600">
          <cell r="A7600" t="str">
            <v>USD_mm_libor_2m</v>
          </cell>
          <cell r="B7600" t="str">
            <v>mm libor 2m</v>
          </cell>
          <cell r="C7600" t="str">
            <v>-BRS_GOLD_1:USD_mm_libor_2m</v>
          </cell>
          <cell r="D7600" t="str">
            <v>KRD</v>
          </cell>
          <cell r="E7600" t="str">
            <v>Yield</v>
          </cell>
          <cell r="F7600" t="str">
            <v>SP-Other</v>
          </cell>
          <cell r="G7600" t="str">
            <v>SP-Other</v>
          </cell>
          <cell r="H7600" t="str">
            <v>SPREADS</v>
          </cell>
          <cell r="I7600" t="str">
            <v>Swap Spread - Libor</v>
          </cell>
        </row>
        <row r="7601">
          <cell r="A7601" t="str">
            <v>USD_mm_libor_2w</v>
          </cell>
          <cell r="B7601" t="str">
            <v>mm libor 2w</v>
          </cell>
          <cell r="C7601" t="str">
            <v>-BRS_GOLD_1:USD_mm_libor_2w</v>
          </cell>
          <cell r="D7601" t="str">
            <v>KRD</v>
          </cell>
          <cell r="E7601" t="str">
            <v>Yield</v>
          </cell>
          <cell r="F7601" t="str">
            <v>SP-Other</v>
          </cell>
          <cell r="G7601" t="str">
            <v>SP-Other</v>
          </cell>
          <cell r="H7601" t="str">
            <v>SPREADS</v>
          </cell>
          <cell r="I7601" t="str">
            <v>Swap Spread - Libor</v>
          </cell>
        </row>
        <row r="7602">
          <cell r="A7602" t="str">
            <v>USD_mm_libor_3m</v>
          </cell>
          <cell r="B7602" t="str">
            <v>mm libor 3m</v>
          </cell>
          <cell r="C7602" t="str">
            <v>-BRS_GOLD_1:USD_mm_libor_3m</v>
          </cell>
          <cell r="D7602" t="str">
            <v>KRD</v>
          </cell>
          <cell r="E7602" t="str">
            <v>Yield</v>
          </cell>
          <cell r="F7602" t="str">
            <v>SP-Other</v>
          </cell>
          <cell r="G7602" t="str">
            <v>SP-Other</v>
          </cell>
          <cell r="H7602" t="str">
            <v>SPREADS</v>
          </cell>
          <cell r="I7602" t="str">
            <v>Swap Spread - Libor</v>
          </cell>
        </row>
        <row r="7603">
          <cell r="A7603" t="str">
            <v>USD_mm_libor_6m</v>
          </cell>
          <cell r="B7603" t="str">
            <v>mm libor 6m</v>
          </cell>
          <cell r="C7603" t="str">
            <v>-BRS_GOLD_1:USD_mm_libor_6m</v>
          </cell>
          <cell r="D7603" t="str">
            <v>KRD</v>
          </cell>
          <cell r="E7603" t="str">
            <v>Yield</v>
          </cell>
          <cell r="F7603" t="str">
            <v>SP-Other</v>
          </cell>
          <cell r="G7603" t="str">
            <v>SP-Other</v>
          </cell>
          <cell r="H7603" t="str">
            <v>SPREADS</v>
          </cell>
          <cell r="I7603" t="str">
            <v>Swap Spread - Libor</v>
          </cell>
        </row>
        <row r="7604">
          <cell r="A7604" t="str">
            <v>USD_mtg15_tsy_V604_E</v>
          </cell>
          <cell r="B7604" t="str">
            <v>15yr Mtg Tsy Basis V604 Ext</v>
          </cell>
          <cell r="C7604" t="str">
            <v>-BRS_GOLD_1:USD_mtg15_tsy_V604_E</v>
          </cell>
          <cell r="D7604" t="str">
            <v>Mortgage Basis Duration</v>
          </cell>
          <cell r="E7604" t="str">
            <v>Mortgage Basis</v>
          </cell>
          <cell r="F7604" t="str">
            <v>Alternative</v>
          </cell>
          <cell r="G7604" t="str">
            <v>Other</v>
          </cell>
          <cell r="H7604" t="str">
            <v>ALTS</v>
          </cell>
          <cell r="I7604" t="str">
            <v>Mortgage Basis</v>
          </cell>
        </row>
        <row r="7605">
          <cell r="A7605" t="str">
            <v>USD_mtg15_tsy_V610_E</v>
          </cell>
          <cell r="B7605" t="str">
            <v>15yr Mtg Tsy Basis V610 Ext</v>
          </cell>
          <cell r="C7605" t="str">
            <v>-BRS_GOLD_1:USD_mtg15_tsy_V610_E</v>
          </cell>
          <cell r="D7605" t="str">
            <v>Mortgage Basis Duration</v>
          </cell>
          <cell r="E7605" t="str">
            <v>Mortgage Basis</v>
          </cell>
          <cell r="F7605" t="str">
            <v>Alternative</v>
          </cell>
          <cell r="G7605" t="str">
            <v>Other</v>
          </cell>
          <cell r="H7605" t="str">
            <v>ALTS</v>
          </cell>
          <cell r="I7605" t="str">
            <v>Mortgage Basis</v>
          </cell>
        </row>
        <row r="7606">
          <cell r="A7606" t="str">
            <v>USD_mtg30_tsy_V604_E</v>
          </cell>
          <cell r="B7606" t="str">
            <v>30yr Mtg Tsy Basis V604 Ext</v>
          </cell>
          <cell r="C7606" t="str">
            <v>-BRS_GOLD_1:USD_mtg30_tsy_V604_E</v>
          </cell>
          <cell r="D7606" t="str">
            <v>Mortgage Basis Duration</v>
          </cell>
          <cell r="E7606" t="str">
            <v>Mortgage Basis</v>
          </cell>
          <cell r="F7606" t="str">
            <v>Alternative</v>
          </cell>
          <cell r="G7606" t="str">
            <v>Other</v>
          </cell>
          <cell r="H7606" t="str">
            <v>ALTS</v>
          </cell>
          <cell r="I7606" t="str">
            <v>Mortgage Basis</v>
          </cell>
        </row>
        <row r="7607">
          <cell r="A7607" t="str">
            <v>USD_mtg30_tsy_V610_E</v>
          </cell>
          <cell r="B7607" t="str">
            <v>30yr Mtg Tsy Basis V610 Ext</v>
          </cell>
          <cell r="C7607" t="str">
            <v>-BRS_GOLD_1:USD_mtg30_tsy_V610_E</v>
          </cell>
          <cell r="D7607" t="str">
            <v>Mortgage Basis Duration</v>
          </cell>
          <cell r="E7607" t="str">
            <v>Mortgage Basis</v>
          </cell>
          <cell r="F7607" t="str">
            <v>Alternative</v>
          </cell>
          <cell r="G7607" t="str">
            <v>Other</v>
          </cell>
          <cell r="H7607" t="str">
            <v>ALTS</v>
          </cell>
          <cell r="I7607" t="str">
            <v>Mortgage Basis</v>
          </cell>
        </row>
        <row r="7608">
          <cell r="A7608" t="str">
            <v>USD_mtg_GN_tsy_V610</v>
          </cell>
          <cell r="B7608" t="str">
            <v>GN Mtg Tsy Basis V610</v>
          </cell>
          <cell r="C7608" t="str">
            <v>-BRS_GOLD_1:USD_mtg_GN_tsy_V610</v>
          </cell>
          <cell r="D7608" t="str">
            <v>Mortgage Basis Duration</v>
          </cell>
          <cell r="E7608" t="str">
            <v>Mortgage Basis</v>
          </cell>
          <cell r="F7608" t="str">
            <v>Alternative</v>
          </cell>
          <cell r="G7608" t="str">
            <v>Other</v>
          </cell>
          <cell r="H7608" t="str">
            <v>ALTS</v>
          </cell>
          <cell r="I7608" t="str">
            <v>Mortgage Basis</v>
          </cell>
        </row>
        <row r="7609">
          <cell r="A7609" t="str">
            <v>USD_mtg_GN_tsy_V620</v>
          </cell>
          <cell r="B7609" t="str">
            <v>GN Mtg Tsy Basis V620</v>
          </cell>
          <cell r="C7609" t="str">
            <v>-BRS_GOLD_1:USD_mtg_GN_tsy_V620</v>
          </cell>
          <cell r="D7609" t="str">
            <v>Mortgage Basis Duration</v>
          </cell>
          <cell r="E7609" t="str">
            <v>Mortgage Basis</v>
          </cell>
          <cell r="F7609" t="str">
            <v>Alternative</v>
          </cell>
          <cell r="G7609" t="str">
            <v>Other</v>
          </cell>
          <cell r="H7609" t="str">
            <v>ALTS</v>
          </cell>
          <cell r="I7609" t="str">
            <v>Mortgage Basis</v>
          </cell>
        </row>
        <row r="7610">
          <cell r="A7610" t="str">
            <v>USRE</v>
          </cell>
          <cell r="B7610" t="str">
            <v>US RE Public</v>
          </cell>
          <cell r="C7610" t="str">
            <v>-BRS_GOLD_1:USRE</v>
          </cell>
          <cell r="D7610" t="str">
            <v>Index</v>
          </cell>
          <cell r="E7610" t="str">
            <v>Index Level</v>
          </cell>
          <cell r="F7610" t="str">
            <v>Other</v>
          </cell>
          <cell r="G7610" t="str">
            <v>Other</v>
          </cell>
          <cell r="H7610" t="str">
            <v>OTHER</v>
          </cell>
          <cell r="I7610" t="str">
            <v>Other - Index</v>
          </cell>
        </row>
        <row r="7611">
          <cell r="A7611" t="str">
            <v>VND_10yr_10yr</v>
          </cell>
          <cell r="B7611" t="str">
            <v>VND 10Y ^2</v>
          </cell>
          <cell r="C7611" t="str">
            <v>-BRS_GOLD_1:VND_10yr_10yr</v>
          </cell>
          <cell r="D7611" t="str">
            <v>Convexity</v>
          </cell>
          <cell r="E7611" t="str">
            <v>Convexity</v>
          </cell>
          <cell r="F7611" t="str">
            <v>FI-Convexity</v>
          </cell>
          <cell r="G7611" t="str">
            <v>FI-Other</v>
          </cell>
          <cell r="H7611" t="str">
            <v>RATES</v>
          </cell>
          <cell r="I7611" t="str">
            <v>Convexity</v>
          </cell>
        </row>
        <row r="7612">
          <cell r="A7612" t="str">
            <v>WCHWEXPT</v>
          </cell>
          <cell r="B7612" t="str">
            <v>Wells Fargo Exploration &amp; Prod</v>
          </cell>
          <cell r="C7612" t="str">
            <v>-BRS_GOLD_1:WCHWEXPT</v>
          </cell>
          <cell r="D7612" t="str">
            <v>Index</v>
          </cell>
          <cell r="E7612" t="str">
            <v>Index Level</v>
          </cell>
          <cell r="F7612" t="str">
            <v>Other</v>
          </cell>
          <cell r="G7612" t="str">
            <v>Other</v>
          </cell>
          <cell r="H7612" t="str">
            <v>OTHER</v>
          </cell>
          <cell r="I7612" t="str">
            <v>Other - Index</v>
          </cell>
        </row>
        <row r="7613">
          <cell r="A7613" t="str">
            <v>WCHWMIDT</v>
          </cell>
          <cell r="B7613" t="str">
            <v>Wells Fargo Midstream MLP</v>
          </cell>
          <cell r="C7613" t="str">
            <v>-BRS_GOLD_1:WCHWMIDT</v>
          </cell>
          <cell r="D7613" t="str">
            <v>Index</v>
          </cell>
          <cell r="E7613" t="str">
            <v>Index Level</v>
          </cell>
          <cell r="F7613" t="str">
            <v>Other</v>
          </cell>
          <cell r="G7613" t="str">
            <v>Other</v>
          </cell>
          <cell r="H7613" t="str">
            <v>OTHER</v>
          </cell>
          <cell r="I7613" t="str">
            <v>Other - Index</v>
          </cell>
        </row>
        <row r="7614">
          <cell r="A7614" t="str">
            <v>XAI</v>
          </cell>
          <cell r="B7614" t="str">
            <v>Macro - AU inf encode</v>
          </cell>
          <cell r="C7614" t="str">
            <v>-BRS_GOLD_1:XAI</v>
          </cell>
          <cell r="D7614" t="str">
            <v>Price</v>
          </cell>
          <cell r="E7614" t="str">
            <v>Price Level</v>
          </cell>
          <cell r="F7614" t="str">
            <v>Other</v>
          </cell>
          <cell r="G7614" t="str">
            <v>Other</v>
          </cell>
          <cell r="H7614" t="str">
            <v>OTHER</v>
          </cell>
          <cell r="I7614" t="str">
            <v>Other - Price</v>
          </cell>
        </row>
        <row r="7615">
          <cell r="A7615" t="str">
            <v>XAR</v>
          </cell>
          <cell r="B7615" t="str">
            <v>Macro - AU rate encode</v>
          </cell>
          <cell r="C7615" t="str">
            <v>-BRS_GOLD_1:XAR</v>
          </cell>
          <cell r="D7615" t="str">
            <v>Price</v>
          </cell>
          <cell r="E7615" t="str">
            <v>Price Level</v>
          </cell>
          <cell r="F7615" t="str">
            <v>Other</v>
          </cell>
          <cell r="G7615" t="str">
            <v>Other</v>
          </cell>
          <cell r="H7615" t="str">
            <v>OTHER</v>
          </cell>
          <cell r="I7615" t="str">
            <v>Other - Price</v>
          </cell>
        </row>
        <row r="7616">
          <cell r="A7616" t="str">
            <v>XBI</v>
          </cell>
          <cell r="B7616" t="str">
            <v>Macro - UK inf encode</v>
          </cell>
          <cell r="C7616" t="str">
            <v>-BRS_GOLD_1:XBI</v>
          </cell>
          <cell r="D7616" t="str">
            <v>Price</v>
          </cell>
          <cell r="E7616" t="str">
            <v>Price Level</v>
          </cell>
          <cell r="F7616" t="str">
            <v>Other</v>
          </cell>
          <cell r="G7616" t="str">
            <v>Other</v>
          </cell>
          <cell r="H7616" t="str">
            <v>OTHER</v>
          </cell>
          <cell r="I7616" t="str">
            <v>Other - Price</v>
          </cell>
        </row>
        <row r="7617">
          <cell r="A7617" t="str">
            <v>XBR</v>
          </cell>
          <cell r="B7617" t="str">
            <v>Macro - UK rate encode</v>
          </cell>
          <cell r="C7617" t="str">
            <v>-BRS_GOLD_1:XBR</v>
          </cell>
          <cell r="D7617" t="str">
            <v>Price</v>
          </cell>
          <cell r="E7617" t="str">
            <v>Price Level</v>
          </cell>
          <cell r="F7617" t="str">
            <v>Other</v>
          </cell>
          <cell r="G7617" t="str">
            <v>Other</v>
          </cell>
          <cell r="H7617" t="str">
            <v>OTHER</v>
          </cell>
          <cell r="I7617" t="str">
            <v>Other - Price</v>
          </cell>
        </row>
        <row r="7618">
          <cell r="A7618" t="str">
            <v>XCI</v>
          </cell>
          <cell r="B7618" t="str">
            <v>Macro - CA inf encode</v>
          </cell>
          <cell r="C7618" t="str">
            <v>-BRS_GOLD_1:XCI</v>
          </cell>
          <cell r="D7618" t="str">
            <v>Price</v>
          </cell>
          <cell r="E7618" t="str">
            <v>Price Level</v>
          </cell>
          <cell r="F7618" t="str">
            <v>Other</v>
          </cell>
          <cell r="G7618" t="str">
            <v>Other</v>
          </cell>
          <cell r="H7618" t="str">
            <v>OTHER</v>
          </cell>
          <cell r="I7618" t="str">
            <v>Other - Price</v>
          </cell>
        </row>
        <row r="7619">
          <cell r="A7619" t="str">
            <v>XCR</v>
          </cell>
          <cell r="B7619" t="str">
            <v>Macro - CA rate encode</v>
          </cell>
          <cell r="C7619" t="str">
            <v>-BRS_GOLD_1:XCR</v>
          </cell>
          <cell r="D7619" t="str">
            <v>Price</v>
          </cell>
          <cell r="E7619" t="str">
            <v>Price Level</v>
          </cell>
          <cell r="F7619" t="str">
            <v>Other</v>
          </cell>
          <cell r="G7619" t="str">
            <v>Other</v>
          </cell>
          <cell r="H7619" t="str">
            <v>OTHER</v>
          </cell>
          <cell r="I7619" t="str">
            <v>Other - Price</v>
          </cell>
        </row>
        <row r="7620">
          <cell r="A7620" t="str">
            <v>XEI</v>
          </cell>
          <cell r="B7620" t="str">
            <v>Macro - EU inf encode</v>
          </cell>
          <cell r="C7620" t="str">
            <v>-BRS_GOLD_1:XEI</v>
          </cell>
          <cell r="D7620" t="str">
            <v>Price</v>
          </cell>
          <cell r="E7620" t="str">
            <v>Price Level</v>
          </cell>
          <cell r="F7620" t="str">
            <v>Other</v>
          </cell>
          <cell r="G7620" t="str">
            <v>Other</v>
          </cell>
          <cell r="H7620" t="str">
            <v>OTHER</v>
          </cell>
          <cell r="I7620" t="str">
            <v>Other - Price</v>
          </cell>
        </row>
        <row r="7621">
          <cell r="A7621" t="str">
            <v>XER</v>
          </cell>
          <cell r="B7621" t="str">
            <v>Macro - EU rate encode</v>
          </cell>
          <cell r="C7621" t="str">
            <v>-BRS_GOLD_1:XER</v>
          </cell>
          <cell r="D7621" t="str">
            <v>Price</v>
          </cell>
          <cell r="E7621" t="str">
            <v>Price Level</v>
          </cell>
          <cell r="F7621" t="str">
            <v>Other</v>
          </cell>
          <cell r="G7621" t="str">
            <v>Other</v>
          </cell>
          <cell r="H7621" t="str">
            <v>OTHER</v>
          </cell>
          <cell r="I7621" t="str">
            <v>Other - Price</v>
          </cell>
        </row>
        <row r="7622">
          <cell r="A7622" t="str">
            <v>XJI</v>
          </cell>
          <cell r="B7622" t="str">
            <v>Macro - JP inf encode</v>
          </cell>
          <cell r="C7622" t="str">
            <v>-BRS_GOLD_1:XJI</v>
          </cell>
          <cell r="D7622" t="str">
            <v>Price</v>
          </cell>
          <cell r="E7622" t="str">
            <v>Price Level</v>
          </cell>
          <cell r="F7622" t="str">
            <v>Other</v>
          </cell>
          <cell r="G7622" t="str">
            <v>Other</v>
          </cell>
          <cell r="H7622" t="str">
            <v>OTHER</v>
          </cell>
          <cell r="I7622" t="str">
            <v>Other - Price</v>
          </cell>
        </row>
        <row r="7623">
          <cell r="A7623" t="str">
            <v>XJR</v>
          </cell>
          <cell r="B7623" t="str">
            <v>Macro - JP rate encode</v>
          </cell>
          <cell r="C7623" t="str">
            <v>-BRS_GOLD_1:XJR</v>
          </cell>
          <cell r="D7623" t="str">
            <v>Price</v>
          </cell>
          <cell r="E7623" t="str">
            <v>Price Level</v>
          </cell>
          <cell r="F7623" t="str">
            <v>Other</v>
          </cell>
          <cell r="G7623" t="str">
            <v>Other</v>
          </cell>
          <cell r="H7623" t="str">
            <v>OTHER</v>
          </cell>
          <cell r="I7623" t="str">
            <v>Other - Price</v>
          </cell>
        </row>
        <row r="7624">
          <cell r="A7624" t="str">
            <v>XUI</v>
          </cell>
          <cell r="B7624" t="str">
            <v>Macro - US inf encode</v>
          </cell>
          <cell r="C7624" t="str">
            <v>-BRS_GOLD_1:XUI</v>
          </cell>
          <cell r="D7624" t="str">
            <v>Price</v>
          </cell>
          <cell r="E7624" t="str">
            <v>Price Level</v>
          </cell>
          <cell r="F7624" t="str">
            <v>Other</v>
          </cell>
          <cell r="G7624" t="str">
            <v>Other</v>
          </cell>
          <cell r="H7624" t="str">
            <v>OTHER</v>
          </cell>
          <cell r="I7624" t="str">
            <v>Other - Price</v>
          </cell>
        </row>
        <row r="7625">
          <cell r="A7625" t="str">
            <v>XUR</v>
          </cell>
          <cell r="B7625" t="str">
            <v>Macro - US rate encode</v>
          </cell>
          <cell r="C7625" t="str">
            <v>-BRS_GOLD_1:XUR</v>
          </cell>
          <cell r="D7625" t="str">
            <v>Price</v>
          </cell>
          <cell r="E7625" t="str">
            <v>Price Level</v>
          </cell>
          <cell r="F7625" t="str">
            <v>Other</v>
          </cell>
          <cell r="G7625" t="str">
            <v>Other</v>
          </cell>
          <cell r="H7625" t="str">
            <v>OTHER</v>
          </cell>
          <cell r="I7625" t="str">
            <v>Other - Price</v>
          </cell>
        </row>
        <row r="7626">
          <cell r="A7626" t="str">
            <v>ZAR_10yr_10yr</v>
          </cell>
          <cell r="B7626" t="str">
            <v>ZAR 10Y ^2</v>
          </cell>
          <cell r="C7626" t="str">
            <v>-BRS_GOLD_1:ZAR_10yr_10yr</v>
          </cell>
          <cell r="D7626" t="str">
            <v>Convexity</v>
          </cell>
          <cell r="E7626" t="str">
            <v>Convexity</v>
          </cell>
          <cell r="F7626" t="str">
            <v>FI-Convexity</v>
          </cell>
          <cell r="G7626" t="str">
            <v>FI-Other</v>
          </cell>
          <cell r="H7626" t="str">
            <v>RATES</v>
          </cell>
          <cell r="I7626" t="str">
            <v>Convexity</v>
          </cell>
        </row>
        <row r="7627">
          <cell r="A7627" t="str">
            <v>FMI_WRLD_SP_RISK</v>
          </cell>
          <cell r="B7627" t="str">
            <v>WRLD EQ Idiosyncratic</v>
          </cell>
          <cell r="C7627" t="str">
            <v>Specific:WRLD EQ Idiosyncratic</v>
          </cell>
          <cell r="D7627" t="str">
            <v>Specific Risk</v>
          </cell>
          <cell r="E7627" t="str">
            <v>Specific Risk</v>
          </cell>
          <cell r="F7627" t="str">
            <v>EQ-Specific</v>
          </cell>
          <cell r="G7627" t="str">
            <v>EQ-Specific</v>
          </cell>
          <cell r="H7627" t="str">
            <v>EQ_SPECIFIC</v>
          </cell>
          <cell r="I7627" t="str">
            <v>Equity - Idiosyncratic</v>
          </cell>
        </row>
        <row r="7628">
          <cell r="A7628" t="str">
            <v>USD_sofr_3m</v>
          </cell>
          <cell r="B7628" t="str">
            <v>SOFR 3M</v>
          </cell>
          <cell r="C7628" t="str">
            <v>BRS_GOLD__5_SPREADS:BRS_GOLD__3_SS:BRS_GOLD__2_SS_USD:USD_SOFR:USD_sofr_3m</v>
          </cell>
          <cell r="D7628" t="str">
            <v>ARR KRD</v>
          </cell>
          <cell r="F7628" t="str">
            <v>SP-Other</v>
          </cell>
          <cell r="G7628" t="str">
            <v>SP-Other</v>
          </cell>
          <cell r="H7628" t="str">
            <v>SPREADS</v>
          </cell>
          <cell r="I7628" t="str">
            <v>Swap Spread - OIS</v>
          </cell>
        </row>
        <row r="7629">
          <cell r="A7629" t="str">
            <v>USD_sofr_1yr</v>
          </cell>
          <cell r="B7629" t="str">
            <v>SOFR 1Y</v>
          </cell>
          <cell r="C7629" t="str">
            <v>BRS_GOLD__5_SPREADS:BRS_GOLD__3_SS:BRS_GOLD__2_SS_USD:USD_SOFR:USD_sofr_1yr</v>
          </cell>
          <cell r="D7629" t="str">
            <v>ARR KRD</v>
          </cell>
          <cell r="F7629" t="str">
            <v>SP-Other</v>
          </cell>
          <cell r="G7629" t="str">
            <v>SP-Other</v>
          </cell>
          <cell r="H7629" t="str">
            <v>SPREADS</v>
          </cell>
          <cell r="I7629" t="str">
            <v>Swap Spread - OIS</v>
          </cell>
        </row>
        <row r="7630">
          <cell r="A7630" t="str">
            <v>USD_sofr_2yr</v>
          </cell>
          <cell r="B7630" t="str">
            <v>SOFR 2Y</v>
          </cell>
          <cell r="C7630" t="str">
            <v>BRS_GOLD__5_SPREADS:BRS_GOLD__3_SS:BRS_GOLD__2_SS_USD:USD_SOFR:USD_sofr_2yr</v>
          </cell>
          <cell r="D7630" t="str">
            <v>ARR KRD</v>
          </cell>
          <cell r="F7630" t="str">
            <v>SP-Other</v>
          </cell>
          <cell r="G7630" t="str">
            <v>SP-Other</v>
          </cell>
          <cell r="H7630" t="str">
            <v>SPREADS</v>
          </cell>
          <cell r="I7630" t="str">
            <v>Swap Spread - OIS</v>
          </cell>
        </row>
        <row r="7631">
          <cell r="A7631" t="str">
            <v>USD_sofr_3yr</v>
          </cell>
          <cell r="B7631" t="str">
            <v>SOFR 3Y</v>
          </cell>
          <cell r="C7631" t="str">
            <v>BRS_GOLD__5_SPREADS:BRS_GOLD__3_SS:BRS_GOLD__2_SS_USD:USD_SOFR:USD_sofr_3yr</v>
          </cell>
          <cell r="D7631" t="str">
            <v>ARR KRD</v>
          </cell>
          <cell r="F7631" t="str">
            <v>SP-Other</v>
          </cell>
          <cell r="G7631" t="str">
            <v>SP-Other</v>
          </cell>
          <cell r="H7631" t="str">
            <v>SPREADS</v>
          </cell>
          <cell r="I7631" t="str">
            <v>Swap Spread - OIS</v>
          </cell>
        </row>
        <row r="7632">
          <cell r="A7632" t="str">
            <v>USD_sofr_5yr</v>
          </cell>
          <cell r="B7632" t="str">
            <v>SOFR 5Y</v>
          </cell>
          <cell r="C7632" t="str">
            <v>BRS_GOLD__5_SPREADS:BRS_GOLD__3_SS:BRS_GOLD__2_SS_USD:USD_SOFR:USD_sofr_5yr</v>
          </cell>
          <cell r="D7632" t="str">
            <v>ARR KRD</v>
          </cell>
          <cell r="F7632" t="str">
            <v>SP-Other</v>
          </cell>
          <cell r="G7632" t="str">
            <v>SP-Other</v>
          </cell>
          <cell r="H7632" t="str">
            <v>SPREADS</v>
          </cell>
          <cell r="I7632" t="str">
            <v>Swap Spread - OIS</v>
          </cell>
        </row>
        <row r="7633">
          <cell r="A7633" t="str">
            <v>USD_sofr_7yr</v>
          </cell>
          <cell r="B7633" t="str">
            <v>SOFR 7Y</v>
          </cell>
          <cell r="C7633" t="str">
            <v>BRS_GOLD__5_SPREADS:BRS_GOLD__3_SS:BRS_GOLD__2_SS_USD:USD_SOFR:USD_sofr_7yr</v>
          </cell>
          <cell r="D7633" t="str">
            <v>ARR KRD</v>
          </cell>
          <cell r="F7633" t="str">
            <v>SP-Other</v>
          </cell>
          <cell r="G7633" t="str">
            <v>SP-Other</v>
          </cell>
          <cell r="H7633" t="str">
            <v>SPREADS</v>
          </cell>
          <cell r="I7633" t="str">
            <v>Swap Spread - OIS</v>
          </cell>
        </row>
        <row r="7634">
          <cell r="A7634" t="str">
            <v>USD_sofr_10yr</v>
          </cell>
          <cell r="B7634" t="str">
            <v>SOFR 10Y</v>
          </cell>
          <cell r="C7634" t="str">
            <v>BRS_GOLD__5_SPREADS:BRS_GOLD__3_SS:BRS_GOLD__2_SS_USD:USD_SOFR:USD_sofr_10yr</v>
          </cell>
          <cell r="D7634" t="str">
            <v>ARR KRD</v>
          </cell>
          <cell r="F7634" t="str">
            <v>SP-Other</v>
          </cell>
          <cell r="G7634" t="str">
            <v>SP-Other</v>
          </cell>
          <cell r="H7634" t="str">
            <v>SPREADS</v>
          </cell>
          <cell r="I7634" t="str">
            <v>Swap Spread - OIS</v>
          </cell>
        </row>
        <row r="7635">
          <cell r="A7635" t="str">
            <v>USD_sofr_15yr</v>
          </cell>
          <cell r="B7635" t="str">
            <v>SOFR 15Y</v>
          </cell>
          <cell r="C7635" t="str">
            <v>BRS_GOLD__5_SPREADS:BRS_GOLD__3_SS:BRS_GOLD__2_SS_USD:USD_SOFR:USD_sofr_15yr</v>
          </cell>
          <cell r="D7635" t="str">
            <v>ARR KRD</v>
          </cell>
          <cell r="F7635" t="str">
            <v>SP-Other</v>
          </cell>
          <cell r="G7635" t="str">
            <v>SP-Other</v>
          </cell>
          <cell r="H7635" t="str">
            <v>SPREADS</v>
          </cell>
          <cell r="I7635" t="str">
            <v>Swap Spread - OIS</v>
          </cell>
        </row>
        <row r="7636">
          <cell r="A7636" t="str">
            <v>USD_sofr_20yr</v>
          </cell>
          <cell r="B7636" t="str">
            <v>SOFR 20Y</v>
          </cell>
          <cell r="C7636" t="str">
            <v>BRS_GOLD__5_SPREADS:BRS_GOLD__3_SS:BRS_GOLD__2_SS_USD:USD_SOFR:USD_sofr_20yr</v>
          </cell>
          <cell r="D7636" t="str">
            <v>ARR KRD</v>
          </cell>
          <cell r="F7636" t="str">
            <v>SP-Other</v>
          </cell>
          <cell r="G7636" t="str">
            <v>SP-Other</v>
          </cell>
          <cell r="H7636" t="str">
            <v>SPREADS</v>
          </cell>
          <cell r="I7636" t="str">
            <v>Swap Spread - OIS</v>
          </cell>
        </row>
        <row r="7637">
          <cell r="A7637" t="str">
            <v>USD_sofr_25yr</v>
          </cell>
          <cell r="B7637" t="str">
            <v>SOFR 25Y</v>
          </cell>
          <cell r="C7637" t="str">
            <v>BRS_GOLD__5_SPREADS:BRS_GOLD__3_SS:BRS_GOLD__2_SS_USD:USD_SOFR:USD_sofr_25yr</v>
          </cell>
          <cell r="D7637" t="str">
            <v>ARR KRD</v>
          </cell>
          <cell r="F7637" t="str">
            <v>SP-Other</v>
          </cell>
          <cell r="G7637" t="str">
            <v>SP-Other</v>
          </cell>
          <cell r="H7637" t="str">
            <v>SPREADS</v>
          </cell>
          <cell r="I7637" t="str">
            <v>Swap Spread - OIS</v>
          </cell>
        </row>
        <row r="7638">
          <cell r="A7638" t="str">
            <v>USD_sofr_30yr</v>
          </cell>
          <cell r="B7638" t="str">
            <v>SOFR 30Y</v>
          </cell>
          <cell r="C7638" t="str">
            <v>BRS_GOLD__5_SPREADS:BRS_GOLD__3_SS:BRS_GOLD__2_SS_USD:USD_SOFR:USD_sofr_30yr</v>
          </cell>
          <cell r="D7638" t="str">
            <v>ARR KRD</v>
          </cell>
          <cell r="F7638" t="str">
            <v>SP-Other</v>
          </cell>
          <cell r="G7638" t="str">
            <v>SP-Other</v>
          </cell>
          <cell r="H7638" t="str">
            <v>SPREADS</v>
          </cell>
          <cell r="I7638" t="str">
            <v>Swap Spread - OIS</v>
          </cell>
        </row>
        <row r="7639">
          <cell r="A7639" t="str">
            <v>USD_sofr_oisbasis_10yr</v>
          </cell>
          <cell r="B7639" t="str">
            <v>SOFR-FF BASIS 10Y</v>
          </cell>
          <cell r="C7639" t="str">
            <v>BRS_GOLD__5_SPREADS:BRS_GOLD__3_SS:BRS_GOLD__2_SS_USD:SOFR_FF:USD_sofr_oisbasis_10yr</v>
          </cell>
          <cell r="F7639" t="str">
            <v>SP-Other</v>
          </cell>
          <cell r="G7639" t="str">
            <v>SP-Other</v>
          </cell>
          <cell r="H7639" t="str">
            <v>SPREADS</v>
          </cell>
          <cell r="I7639" t="str">
            <v>Swap Spread - OIS</v>
          </cell>
        </row>
        <row r="7640">
          <cell r="A7640" t="str">
            <v>USD_sofr_oisbasis_15yr</v>
          </cell>
          <cell r="B7640" t="str">
            <v>SOFR-FF BASIS 15Y</v>
          </cell>
          <cell r="C7640" t="str">
            <v>BRS_GOLD__5_SPREADS:BRS_GOLD__3_SS:BRS_GOLD__2_SS_USD:SOFR_FF:USD_sofr_oisbasis_15yr</v>
          </cell>
          <cell r="F7640" t="str">
            <v>SP-Other</v>
          </cell>
          <cell r="G7640" t="str">
            <v>SP-Other</v>
          </cell>
          <cell r="H7640" t="str">
            <v>SPREADS</v>
          </cell>
          <cell r="I7640" t="str">
            <v>Swap Spread - OIS</v>
          </cell>
        </row>
        <row r="7641">
          <cell r="A7641" t="str">
            <v>USD_sofr_oisbasis_1yr</v>
          </cell>
          <cell r="B7641" t="str">
            <v>SOFR-FF BASIS 1Y</v>
          </cell>
          <cell r="C7641" t="str">
            <v>BRS_GOLD__5_SPREADS:BRS_GOLD__3_SS:BRS_GOLD__2_SS_USD:SOFR_FF:USD_sofr_oisbasis_1yr</v>
          </cell>
          <cell r="F7641" t="str">
            <v>SP-Other</v>
          </cell>
          <cell r="G7641" t="str">
            <v>SP-Other</v>
          </cell>
          <cell r="H7641" t="str">
            <v>SPREADS</v>
          </cell>
          <cell r="I7641" t="str">
            <v>Swap Spread - OIS</v>
          </cell>
        </row>
        <row r="7642">
          <cell r="A7642" t="str">
            <v>USD_sofr_oisbasis_20yr</v>
          </cell>
          <cell r="B7642" t="str">
            <v>SOFR-FF BASIS 20Y</v>
          </cell>
          <cell r="C7642" t="str">
            <v>BRS_GOLD__5_SPREADS:BRS_GOLD__3_SS:BRS_GOLD__2_SS_USD:SOFR_FF:USD_sofr_oisbasis_20yr</v>
          </cell>
          <cell r="F7642" t="str">
            <v>SP-Other</v>
          </cell>
          <cell r="G7642" t="str">
            <v>SP-Other</v>
          </cell>
          <cell r="H7642" t="str">
            <v>SPREADS</v>
          </cell>
          <cell r="I7642" t="str">
            <v>Swap Spread - OIS</v>
          </cell>
        </row>
        <row r="7643">
          <cell r="A7643" t="str">
            <v>USD_sofr_oisbasis_25yr</v>
          </cell>
          <cell r="B7643" t="str">
            <v>SOFR-FF BASIS 25Y</v>
          </cell>
          <cell r="C7643" t="str">
            <v>BRS_GOLD__5_SPREADS:BRS_GOLD__3_SS:BRS_GOLD__2_SS_USD:SOFR_FF:USD_sofr_oisbasis_25yr</v>
          </cell>
          <cell r="F7643" t="str">
            <v>SP-Other</v>
          </cell>
          <cell r="G7643" t="str">
            <v>SP-Other</v>
          </cell>
          <cell r="H7643" t="str">
            <v>SPREADS</v>
          </cell>
          <cell r="I7643" t="str">
            <v>Swap Spread - OIS</v>
          </cell>
        </row>
        <row r="7644">
          <cell r="A7644" t="str">
            <v>USD_sofr_oisbasis_2yr</v>
          </cell>
          <cell r="B7644" t="str">
            <v>SOFR-FF BASIS 2Y</v>
          </cell>
          <cell r="C7644" t="str">
            <v>BRS_GOLD__5_SPREADS:BRS_GOLD__3_SS:BRS_GOLD__2_SS_USD:SOFR_FF:USD_sofr_oisbasis_2yr</v>
          </cell>
          <cell r="F7644" t="str">
            <v>SP-Other</v>
          </cell>
          <cell r="G7644" t="str">
            <v>SP-Other</v>
          </cell>
          <cell r="H7644" t="str">
            <v>SPREADS</v>
          </cell>
          <cell r="I7644" t="str">
            <v>Swap Spread - OIS</v>
          </cell>
        </row>
        <row r="7645">
          <cell r="A7645" t="str">
            <v>USD_sofr_oisbasis_30yr</v>
          </cell>
          <cell r="B7645" t="str">
            <v>SOFR-FF BASIS 30Y</v>
          </cell>
          <cell r="C7645" t="str">
            <v>BRS_GOLD__5_SPREADS:BRS_GOLD__3_SS:BRS_GOLD__2_SS_USD:SOFR_FF:USD_sofr_oisbasis_30yr</v>
          </cell>
          <cell r="F7645" t="str">
            <v>SP-Other</v>
          </cell>
          <cell r="G7645" t="str">
            <v>SP-Other</v>
          </cell>
          <cell r="H7645" t="str">
            <v>SPREADS</v>
          </cell>
          <cell r="I7645" t="str">
            <v>Swap Spread - OIS</v>
          </cell>
        </row>
        <row r="7646">
          <cell r="A7646" t="str">
            <v>USD_sofr_oisbasis_3m</v>
          </cell>
          <cell r="B7646" t="str">
            <v>SOFR-FF BASIS 3M</v>
          </cell>
          <cell r="C7646" t="str">
            <v>BRS_GOLD__5_SPREADS:BRS_GOLD__3_SS:BRS_GOLD__2_SS_USD:SOFR_FF:USD_sofr_oisbasis_3m</v>
          </cell>
          <cell r="F7646" t="str">
            <v>SP-Other</v>
          </cell>
          <cell r="G7646" t="str">
            <v>SP-Other</v>
          </cell>
          <cell r="H7646" t="str">
            <v>SPREADS</v>
          </cell>
          <cell r="I7646" t="str">
            <v>Swap Spread - OIS</v>
          </cell>
        </row>
        <row r="7647">
          <cell r="A7647" t="str">
            <v>USD_sofr_oisbasis_3yr</v>
          </cell>
          <cell r="B7647" t="str">
            <v>SOFR-FF BASIS 3Y</v>
          </cell>
          <cell r="C7647" t="str">
            <v>BRS_GOLD__5_SPREADS:BRS_GOLD__3_SS:BRS_GOLD__2_SS_USD:SOFR_FF:USD_sofr_oisbasis_3yr</v>
          </cell>
          <cell r="F7647" t="str">
            <v>SP-Other</v>
          </cell>
          <cell r="G7647" t="str">
            <v>SP-Other</v>
          </cell>
          <cell r="H7647" t="str">
            <v>SPREADS</v>
          </cell>
          <cell r="I7647" t="str">
            <v>Swap Spread - OIS</v>
          </cell>
        </row>
        <row r="7648">
          <cell r="A7648" t="str">
            <v>USD_sofr_oisbasis_40yr</v>
          </cell>
          <cell r="B7648" t="str">
            <v>SOFR-FF BASIS 40Y</v>
          </cell>
          <cell r="C7648" t="str">
            <v>BRS_GOLD__5_SPREADS:BRS_GOLD__3_SS:BRS_GOLD__2_SS_USD:SOFR_FF:USD_sofr_oisbasis_40yr</v>
          </cell>
          <cell r="F7648" t="str">
            <v>SP-Other</v>
          </cell>
          <cell r="G7648" t="str">
            <v>SP-Other</v>
          </cell>
          <cell r="H7648" t="str">
            <v>SPREADS</v>
          </cell>
          <cell r="I7648" t="str">
            <v>Swap Spread - OIS</v>
          </cell>
        </row>
        <row r="7649">
          <cell r="A7649" t="str">
            <v>USD_sofr_oisbasis_50yr</v>
          </cell>
          <cell r="B7649" t="str">
            <v>SOFR-FF BASIS 50Y</v>
          </cell>
          <cell r="C7649" t="str">
            <v>BRS_GOLD__5_SPREADS:BRS_GOLD__3_SS:BRS_GOLD__2_SS_USD:SOFR_FF:USD_sofr_oisbasis_50yr</v>
          </cell>
          <cell r="F7649" t="str">
            <v>SP-Other</v>
          </cell>
          <cell r="G7649" t="str">
            <v>SP-Other</v>
          </cell>
          <cell r="H7649" t="str">
            <v>SPREADS</v>
          </cell>
          <cell r="I7649" t="str">
            <v>Swap Spread - OIS</v>
          </cell>
        </row>
        <row r="7650">
          <cell r="A7650" t="str">
            <v>USD_sofr_oisbasis_5yr</v>
          </cell>
          <cell r="B7650" t="str">
            <v>SOFR-FF BASIS 5Y</v>
          </cell>
          <cell r="C7650" t="str">
            <v>BRS_GOLD__5_SPREADS:BRS_GOLD__3_SS:BRS_GOLD__2_SS_USD:SOFR_FF:USD_sofr_oisbasis_5yr</v>
          </cell>
          <cell r="F7650" t="str">
            <v>SP-Other</v>
          </cell>
          <cell r="G7650" t="str">
            <v>SP-Other</v>
          </cell>
          <cell r="H7650" t="str">
            <v>SPREADS</v>
          </cell>
          <cell r="I7650" t="str">
            <v>Swap Spread - OIS</v>
          </cell>
        </row>
        <row r="7651">
          <cell r="A7651" t="str">
            <v>USD_sofr_oisbasis_7yr</v>
          </cell>
          <cell r="B7651" t="str">
            <v>SOFR-FF BASIS 7Y</v>
          </cell>
          <cell r="C7651" t="str">
            <v>BRS_GOLD__5_SPREADS:BRS_GOLD__3_SS:BRS_GOLD__2_SS_USD:SOFR_FF:USD_sofr_oisbasis_7yr</v>
          </cell>
          <cell r="F7651" t="str">
            <v>SP-Other</v>
          </cell>
          <cell r="G7651" t="str">
            <v>SP-Other</v>
          </cell>
          <cell r="H7651" t="str">
            <v>SPREADS</v>
          </cell>
          <cell r="I7651" t="str">
            <v>Swap Spread - OIS</v>
          </cell>
        </row>
        <row r="7652">
          <cell r="A7652" t="str">
            <v>EUR_libor_3m</v>
          </cell>
          <cell r="B7652" t="str">
            <v>EUR EURIBOR 3M</v>
          </cell>
          <cell r="C7652" t="str">
            <v>BRS_GOLD__5_SPREADS:BRS_GOLD__3_SS:BRS_GOLD__2_SS_EUR:EUR_LIB:EUR_libor_3m</v>
          </cell>
          <cell r="D7652" t="str">
            <v>Libor KRD</v>
          </cell>
          <cell r="E7652" t="str">
            <v>Yield</v>
          </cell>
          <cell r="F7652" t="str">
            <v>SP-Other</v>
          </cell>
          <cell r="G7652" t="str">
            <v>SP-Other</v>
          </cell>
          <cell r="H7652" t="str">
            <v>SPREADS</v>
          </cell>
          <cell r="I7652" t="str">
            <v>Swap Spread - Libor</v>
          </cell>
        </row>
        <row r="7653">
          <cell r="A7653" t="str">
            <v>EUR_libor_1yr</v>
          </cell>
          <cell r="B7653" t="str">
            <v>EUR EURIBOR 1Y</v>
          </cell>
          <cell r="C7653" t="str">
            <v>BRS_GOLD__5_SPREADS:BRS_GOLD__3_SS:BRS_GOLD__2_SS_EUR:EUR_LIB:EUR_libor_1yr</v>
          </cell>
          <cell r="D7653" t="str">
            <v>Libor KRD</v>
          </cell>
          <cell r="E7653" t="str">
            <v>Yield</v>
          </cell>
          <cell r="F7653" t="str">
            <v>SP-Other</v>
          </cell>
          <cell r="G7653" t="str">
            <v>SP-Other</v>
          </cell>
          <cell r="H7653" t="str">
            <v>SPREADS</v>
          </cell>
          <cell r="I7653" t="str">
            <v>Swap Spread - Libor</v>
          </cell>
        </row>
        <row r="7654">
          <cell r="A7654" t="str">
            <v>EUR_libor_2yr</v>
          </cell>
          <cell r="B7654" t="str">
            <v>EUR EURIBOR 2Y</v>
          </cell>
          <cell r="C7654" t="str">
            <v>BRS_GOLD__5_SPREADS:BRS_GOLD__3_SS:BRS_GOLD__2_SS_EUR:EUR_LIB:EUR_libor_2yr</v>
          </cell>
          <cell r="D7654" t="str">
            <v>Libor KRD</v>
          </cell>
          <cell r="E7654" t="str">
            <v>Yield</v>
          </cell>
          <cell r="F7654" t="str">
            <v>SP-Other</v>
          </cell>
          <cell r="G7654" t="str">
            <v>SP-Other</v>
          </cell>
          <cell r="H7654" t="str">
            <v>SPREADS</v>
          </cell>
          <cell r="I7654" t="str">
            <v>Swap Spread - Libor</v>
          </cell>
        </row>
        <row r="7655">
          <cell r="A7655" t="str">
            <v>EUR_libor_3yr</v>
          </cell>
          <cell r="B7655" t="str">
            <v>EUR EURIBOR 3Y</v>
          </cell>
          <cell r="C7655" t="str">
            <v>BRS_GOLD__5_SPREADS:BRS_GOLD__3_SS:BRS_GOLD__2_SS_EUR:EUR_LIB:EUR_libor_3yr</v>
          </cell>
          <cell r="D7655" t="str">
            <v>Libor KRD</v>
          </cell>
          <cell r="E7655" t="str">
            <v>Yield</v>
          </cell>
          <cell r="F7655" t="str">
            <v>SP-Other</v>
          </cell>
          <cell r="G7655" t="str">
            <v>SP-Other</v>
          </cell>
          <cell r="H7655" t="str">
            <v>SPREADS</v>
          </cell>
          <cell r="I7655" t="str">
            <v>Swap Spread - Libor</v>
          </cell>
        </row>
        <row r="7656">
          <cell r="A7656" t="str">
            <v>EUR_libor_5yr</v>
          </cell>
          <cell r="B7656" t="str">
            <v>EUR EURIBOR 5Y</v>
          </cell>
          <cell r="C7656" t="str">
            <v>BRS_GOLD__5_SPREADS:BRS_GOLD__3_SS:BRS_GOLD__2_SS_EUR:EUR_LIB:EUR_libor_5yr</v>
          </cell>
          <cell r="D7656" t="str">
            <v>Libor KRD</v>
          </cell>
          <cell r="E7656" t="str">
            <v>Yield</v>
          </cell>
          <cell r="F7656" t="str">
            <v>SP-Other</v>
          </cell>
          <cell r="G7656" t="str">
            <v>SP-Other</v>
          </cell>
          <cell r="H7656" t="str">
            <v>SPREADS</v>
          </cell>
          <cell r="I7656" t="str">
            <v>Swap Spread - Libor</v>
          </cell>
        </row>
        <row r="7657">
          <cell r="A7657" t="str">
            <v>EUR_libor_7yr</v>
          </cell>
          <cell r="B7657" t="str">
            <v>EUR EURIBOR 7Y</v>
          </cell>
          <cell r="C7657" t="str">
            <v>BRS_GOLD__5_SPREADS:BRS_GOLD__3_SS:BRS_GOLD__2_SS_EUR:EUR_LIB:EUR_libor_7yr</v>
          </cell>
          <cell r="D7657" t="str">
            <v>Libor KRD</v>
          </cell>
          <cell r="E7657" t="str">
            <v>Yield</v>
          </cell>
          <cell r="F7657" t="str">
            <v>SP-Other</v>
          </cell>
          <cell r="G7657" t="str">
            <v>SP-Other</v>
          </cell>
          <cell r="H7657" t="str">
            <v>SPREADS</v>
          </cell>
          <cell r="I7657" t="str">
            <v>Swap Spread - Libor</v>
          </cell>
        </row>
        <row r="7658">
          <cell r="A7658" t="str">
            <v>EUR_libor_10yr</v>
          </cell>
          <cell r="B7658" t="str">
            <v>EUR EURIBOR 10Y</v>
          </cell>
          <cell r="C7658" t="str">
            <v>BRS_GOLD__5_SPREADS:BRS_GOLD__3_SS:BRS_GOLD__2_SS_EUR:EUR_LIB:EUR_libor_10yr</v>
          </cell>
          <cell r="D7658" t="str">
            <v>Libor KRD</v>
          </cell>
          <cell r="E7658" t="str">
            <v>Yield</v>
          </cell>
          <cell r="F7658" t="str">
            <v>SP-Other</v>
          </cell>
          <cell r="G7658" t="str">
            <v>SP-Other</v>
          </cell>
          <cell r="H7658" t="str">
            <v>SPREADS</v>
          </cell>
          <cell r="I7658" t="str">
            <v>Swap Spread - Libor</v>
          </cell>
        </row>
        <row r="7659">
          <cell r="A7659" t="str">
            <v>EUR_libor_15yr</v>
          </cell>
          <cell r="B7659" t="str">
            <v>EUR EURIBOR 15Y</v>
          </cell>
          <cell r="C7659" t="str">
            <v>BRS_GOLD__5_SPREADS:BRS_GOLD__3_SS:BRS_GOLD__2_SS_EUR:EUR_LIB:EUR_libor_15yr</v>
          </cell>
          <cell r="D7659" t="str">
            <v>Libor KRD</v>
          </cell>
          <cell r="E7659" t="str">
            <v>Yield</v>
          </cell>
          <cell r="F7659" t="str">
            <v>SP-Other</v>
          </cell>
          <cell r="G7659" t="str">
            <v>SP-Other</v>
          </cell>
          <cell r="H7659" t="str">
            <v>SPREADS</v>
          </cell>
          <cell r="I7659" t="str">
            <v>Swap Spread - Libor</v>
          </cell>
        </row>
        <row r="7660">
          <cell r="A7660" t="str">
            <v>EUR_libor_20yr</v>
          </cell>
          <cell r="B7660" t="str">
            <v>EUR EURIBOR 20Y</v>
          </cell>
          <cell r="C7660" t="str">
            <v>BRS_GOLD__5_SPREADS:BRS_GOLD__3_SS:BRS_GOLD__2_SS_EUR:EUR_LIB:EUR_libor_20yr</v>
          </cell>
          <cell r="D7660" t="str">
            <v>Libor KRD</v>
          </cell>
          <cell r="E7660" t="str">
            <v>Yield</v>
          </cell>
          <cell r="F7660" t="str">
            <v>SP-Other</v>
          </cell>
          <cell r="G7660" t="str">
            <v>SP-Other</v>
          </cell>
          <cell r="H7660" t="str">
            <v>SPREADS</v>
          </cell>
          <cell r="I7660" t="str">
            <v>Swap Spread - Libor</v>
          </cell>
        </row>
        <row r="7661">
          <cell r="A7661" t="str">
            <v>EUR_libor_25yr</v>
          </cell>
          <cell r="B7661" t="str">
            <v>EUR EURIBOR 25Y</v>
          </cell>
          <cell r="C7661" t="str">
            <v>BRS_GOLD__5_SPREADS:BRS_GOLD__3_SS:BRS_GOLD__2_SS_EUR:EUR_LIB:EUR_libor_25yr</v>
          </cell>
          <cell r="D7661" t="str">
            <v>Libor KRD</v>
          </cell>
          <cell r="E7661" t="str">
            <v>Yield</v>
          </cell>
          <cell r="F7661" t="str">
            <v>SP-Other</v>
          </cell>
          <cell r="G7661" t="str">
            <v>SP-Other</v>
          </cell>
          <cell r="H7661" t="str">
            <v>SPREADS</v>
          </cell>
          <cell r="I7661" t="str">
            <v>Swap Spread - Libor</v>
          </cell>
        </row>
        <row r="7662">
          <cell r="A7662" t="str">
            <v>EUR_libor_30yr</v>
          </cell>
          <cell r="B7662" t="str">
            <v>EUR EURIBOR 30Y</v>
          </cell>
          <cell r="C7662" t="str">
            <v>BRS_GOLD__5_SPREADS:BRS_GOLD__3_SS:BRS_GOLD__2_SS_EUR:EUR_LIB:EUR_libor_30yr</v>
          </cell>
          <cell r="D7662" t="str">
            <v>Libor KRD</v>
          </cell>
          <cell r="E7662" t="str">
            <v>Yield</v>
          </cell>
          <cell r="F7662" t="str">
            <v>SP-Other</v>
          </cell>
          <cell r="G7662" t="str">
            <v>SP-Other</v>
          </cell>
          <cell r="H7662" t="str">
            <v>SPREADS</v>
          </cell>
          <cell r="I7662" t="str">
            <v>Swap Spread - Libor</v>
          </cell>
        </row>
        <row r="7663">
          <cell r="A7663" t="str">
            <v>EUR_libor_40yr</v>
          </cell>
          <cell r="B7663" t="str">
            <v>EUR EURIBOR 40Y</v>
          </cell>
          <cell r="C7663" t="str">
            <v>BRS_GOLD__5_SPREADS:BRS_GOLD__3_SS:BRS_GOLD__2_SS_EUR:EUR_LIB:EUR_libor_40yr</v>
          </cell>
          <cell r="D7663" t="str">
            <v>Libor KRD</v>
          </cell>
          <cell r="E7663" t="str">
            <v>Yield</v>
          </cell>
          <cell r="F7663" t="str">
            <v>SP-Other</v>
          </cell>
          <cell r="G7663" t="str">
            <v>SP-Other</v>
          </cell>
          <cell r="H7663" t="str">
            <v>SPREADS</v>
          </cell>
          <cell r="I7663" t="str">
            <v>Swap Spread - Libor</v>
          </cell>
        </row>
        <row r="7664">
          <cell r="A7664" t="str">
            <v>EUR_libor_50yr</v>
          </cell>
          <cell r="B7664" t="str">
            <v>EUR EURIBOR 50Y</v>
          </cell>
          <cell r="C7664" t="str">
            <v>BRS_GOLD__5_SPREADS:BRS_GOLD__3_SS:BRS_GOLD__2_SS_EUR:EUR_LIB:EUR_libor_50yr</v>
          </cell>
          <cell r="D7664" t="str">
            <v>Libor KRD</v>
          </cell>
          <cell r="E7664" t="str">
            <v>Yield</v>
          </cell>
          <cell r="F7664" t="str">
            <v>SP-Other</v>
          </cell>
          <cell r="G7664" t="str">
            <v>SP-Other</v>
          </cell>
          <cell r="H7664" t="str">
            <v>SPREADS</v>
          </cell>
          <cell r="I7664" t="str">
            <v>Swap Spread - Libor</v>
          </cell>
        </row>
        <row r="7665">
          <cell r="A7665" t="str">
            <v>EUR_mod_libor_3m</v>
          </cell>
          <cell r="B7665" t="str">
            <v>EUR Model EURIBOR 3M</v>
          </cell>
          <cell r="C7665" t="str">
            <v>BRS_GOLD__5_SPREADS:BRS_GOLD__3_SS:BRS_GOLD__2_SS_EUR:MOD_LIBOR_EUR:EUR_mod_libor_3m</v>
          </cell>
          <cell r="D7665" t="str">
            <v>Libor KRD</v>
          </cell>
          <cell r="E7665" t="str">
            <v>Yield</v>
          </cell>
          <cell r="F7665" t="str">
            <v>SP-Other</v>
          </cell>
          <cell r="G7665" t="str">
            <v>SP-Other</v>
          </cell>
          <cell r="H7665" t="str">
            <v>SPREADS</v>
          </cell>
          <cell r="I7665" t="str">
            <v>Swap Spread - Libor</v>
          </cell>
        </row>
        <row r="7666">
          <cell r="A7666" t="str">
            <v>EUR_mod_libor_1yr</v>
          </cell>
          <cell r="B7666" t="str">
            <v>EUR Model EURIBOR 1Y</v>
          </cell>
          <cell r="C7666" t="str">
            <v>BRS_GOLD__5_SPREADS:BRS_GOLD__3_SS:BRS_GOLD__2_SS_EUR:MOD_LIBOR_EUR:EUR_mod_libor_1yr</v>
          </cell>
          <cell r="D7666" t="str">
            <v>Libor KRD</v>
          </cell>
          <cell r="E7666" t="str">
            <v>Yield</v>
          </cell>
          <cell r="F7666" t="str">
            <v>SP-Other</v>
          </cell>
          <cell r="G7666" t="str">
            <v>SP-Other</v>
          </cell>
          <cell r="H7666" t="str">
            <v>SPREADS</v>
          </cell>
          <cell r="I7666" t="str">
            <v>Swap Spread - Libor</v>
          </cell>
        </row>
        <row r="7667">
          <cell r="A7667" t="str">
            <v>EUR_mod_libor_2yr</v>
          </cell>
          <cell r="B7667" t="str">
            <v>EUR Model EURIBOR 2Y</v>
          </cell>
          <cell r="C7667" t="str">
            <v>BRS_GOLD__5_SPREADS:BRS_GOLD__3_SS:BRS_GOLD__2_SS_EUR:MOD_LIBOR_EUR:EUR_mod_libor_2yr</v>
          </cell>
          <cell r="D7667" t="str">
            <v>Libor KRD</v>
          </cell>
          <cell r="E7667" t="str">
            <v>Yield</v>
          </cell>
          <cell r="F7667" t="str">
            <v>SP-Other</v>
          </cell>
          <cell r="G7667" t="str">
            <v>SP-Other</v>
          </cell>
          <cell r="H7667" t="str">
            <v>SPREADS</v>
          </cell>
          <cell r="I7667" t="str">
            <v>Swap Spread - Libor</v>
          </cell>
        </row>
        <row r="7668">
          <cell r="A7668" t="str">
            <v>EUR_mod_libor_3yr</v>
          </cell>
          <cell r="B7668" t="str">
            <v>EUR Model EURIBOR 3Y</v>
          </cell>
          <cell r="C7668" t="str">
            <v>BRS_GOLD__5_SPREADS:BRS_GOLD__3_SS:BRS_GOLD__2_SS_EUR:MOD_LIBOR_EUR:EUR_mod_libor_3yr</v>
          </cell>
          <cell r="D7668" t="str">
            <v>Libor KRD</v>
          </cell>
          <cell r="E7668" t="str">
            <v>Yield</v>
          </cell>
          <cell r="F7668" t="str">
            <v>SP-Other</v>
          </cell>
          <cell r="G7668" t="str">
            <v>SP-Other</v>
          </cell>
          <cell r="H7668" t="str">
            <v>SPREADS</v>
          </cell>
          <cell r="I7668" t="str">
            <v>Swap Spread - Libor</v>
          </cell>
        </row>
        <row r="7669">
          <cell r="A7669" t="str">
            <v>EUR_mod_libor_5yr</v>
          </cell>
          <cell r="B7669" t="str">
            <v>EUR Model EURIBOR 5Y</v>
          </cell>
          <cell r="C7669" t="str">
            <v>BRS_GOLD__5_SPREADS:BRS_GOLD__3_SS:BRS_GOLD__2_SS_EUR:MOD_LIBOR_EUR:EUR_mod_libor_5yr</v>
          </cell>
          <cell r="D7669" t="str">
            <v>Libor KRD</v>
          </cell>
          <cell r="E7669" t="str">
            <v>Yield</v>
          </cell>
          <cell r="F7669" t="str">
            <v>SP-Other</v>
          </cell>
          <cell r="G7669" t="str">
            <v>SP-Other</v>
          </cell>
          <cell r="H7669" t="str">
            <v>SPREADS</v>
          </cell>
          <cell r="I7669" t="str">
            <v>Swap Spread - Libor</v>
          </cell>
        </row>
        <row r="7670">
          <cell r="A7670" t="str">
            <v>EUR_mod_libor_7yr</v>
          </cell>
          <cell r="B7670" t="str">
            <v>EUR Model EURIBOR 7Y</v>
          </cell>
          <cell r="C7670" t="str">
            <v>BRS_GOLD__5_SPREADS:BRS_GOLD__3_SS:BRS_GOLD__2_SS_EUR:MOD_LIBOR_EUR:EUR_mod_libor_7yr</v>
          </cell>
          <cell r="D7670" t="str">
            <v>Libor KRD</v>
          </cell>
          <cell r="E7670" t="str">
            <v>Yield</v>
          </cell>
          <cell r="F7670" t="str">
            <v>SP-Other</v>
          </cell>
          <cell r="G7670" t="str">
            <v>SP-Other</v>
          </cell>
          <cell r="H7670" t="str">
            <v>SPREADS</v>
          </cell>
          <cell r="I7670" t="str">
            <v>Swap Spread - Libor</v>
          </cell>
        </row>
        <row r="7671">
          <cell r="A7671" t="str">
            <v>EUR_mod_libor_10yr</v>
          </cell>
          <cell r="B7671" t="str">
            <v>EUR Model EURIBOR 10Y</v>
          </cell>
          <cell r="C7671" t="str">
            <v>BRS_GOLD__5_SPREADS:BRS_GOLD__3_SS:BRS_GOLD__2_SS_EUR:MOD_LIBOR_EUR:EUR_mod_libor_10yr</v>
          </cell>
          <cell r="D7671" t="str">
            <v>Libor KRD</v>
          </cell>
          <cell r="E7671" t="str">
            <v>Yield</v>
          </cell>
          <cell r="F7671" t="str">
            <v>SP-Other</v>
          </cell>
          <cell r="G7671" t="str">
            <v>SP-Other</v>
          </cell>
          <cell r="H7671" t="str">
            <v>SPREADS</v>
          </cell>
          <cell r="I7671" t="str">
            <v>Swap Spread - Libor</v>
          </cell>
        </row>
        <row r="7672">
          <cell r="A7672" t="str">
            <v>EUR_mod_libor_15yr</v>
          </cell>
          <cell r="B7672" t="str">
            <v>EUR Model EURIBOR 15Y</v>
          </cell>
          <cell r="C7672" t="str">
            <v>BRS_GOLD__5_SPREADS:BRS_GOLD__3_SS:BRS_GOLD__2_SS_EUR:MOD_LIBOR_EUR:EUR_mod_libor_15yr</v>
          </cell>
          <cell r="D7672" t="str">
            <v>Libor KRD</v>
          </cell>
          <cell r="E7672" t="str">
            <v>Yield</v>
          </cell>
          <cell r="F7672" t="str">
            <v>SP-Other</v>
          </cell>
          <cell r="G7672" t="str">
            <v>SP-Other</v>
          </cell>
          <cell r="H7672" t="str">
            <v>SPREADS</v>
          </cell>
          <cell r="I7672" t="str">
            <v>Swap Spread - Libor</v>
          </cell>
        </row>
        <row r="7673">
          <cell r="A7673" t="str">
            <v>EUR_mod_libor_20yr</v>
          </cell>
          <cell r="B7673" t="str">
            <v>EUR Model EURIBOR 20Y</v>
          </cell>
          <cell r="C7673" t="str">
            <v>BRS_GOLD__5_SPREADS:BRS_GOLD__3_SS:BRS_GOLD__2_SS_EUR:MOD_LIBOR_EUR:EUR_mod_libor_20yr</v>
          </cell>
          <cell r="D7673" t="str">
            <v>Libor KRD</v>
          </cell>
          <cell r="E7673" t="str">
            <v>Yield</v>
          </cell>
          <cell r="F7673" t="str">
            <v>SP-Other</v>
          </cell>
          <cell r="G7673" t="str">
            <v>SP-Other</v>
          </cell>
          <cell r="H7673" t="str">
            <v>SPREADS</v>
          </cell>
          <cell r="I7673" t="str">
            <v>Swap Spread - Libor</v>
          </cell>
        </row>
        <row r="7674">
          <cell r="A7674" t="str">
            <v>EUR_mod_libor_25yr</v>
          </cell>
          <cell r="B7674" t="str">
            <v>EUR Model EURIBOR 25Y</v>
          </cell>
          <cell r="C7674" t="str">
            <v>BRS_GOLD__5_SPREADS:BRS_GOLD__3_SS:BRS_GOLD__2_SS_EUR:MOD_LIBOR_EUR:EUR_mod_libor_25yr</v>
          </cell>
          <cell r="D7674" t="str">
            <v>Libor KRD</v>
          </cell>
          <cell r="E7674" t="str">
            <v>Yield</v>
          </cell>
          <cell r="F7674" t="str">
            <v>SP-Other</v>
          </cell>
          <cell r="G7674" t="str">
            <v>SP-Other</v>
          </cell>
          <cell r="H7674" t="str">
            <v>SPREADS</v>
          </cell>
          <cell r="I7674" t="str">
            <v>Swap Spread - Libor</v>
          </cell>
        </row>
        <row r="7675">
          <cell r="A7675" t="str">
            <v>EUR_mod_libor_30yr</v>
          </cell>
          <cell r="B7675" t="str">
            <v>EUR Model EURIBOR 30Y</v>
          </cell>
          <cell r="C7675" t="str">
            <v>BRS_GOLD__5_SPREADS:BRS_GOLD__3_SS:BRS_GOLD__2_SS_EUR:MOD_LIBOR_EUR:EUR_mod_libor_30yr</v>
          </cell>
          <cell r="D7675" t="str">
            <v>Libor KRD</v>
          </cell>
          <cell r="E7675" t="str">
            <v>Yield</v>
          </cell>
          <cell r="F7675" t="str">
            <v>SP-Other</v>
          </cell>
          <cell r="G7675" t="str">
            <v>SP-Other</v>
          </cell>
          <cell r="H7675" t="str">
            <v>SPREADS</v>
          </cell>
          <cell r="I7675" t="str">
            <v>Swap Spread - Libor</v>
          </cell>
        </row>
        <row r="7676">
          <cell r="A7676" t="str">
            <v>EUR_oisbasis_3m</v>
          </cell>
          <cell r="B7676" t="str">
            <v>EUR OIS BASIS 3M</v>
          </cell>
          <cell r="C7676" t="str">
            <v>BRS_GOLD__5_SPREADS:BRS_GOLD__3_SS:BRS_GOLD__2_SS_EUR:EUR_OIS:EUR_oisbasis_3m</v>
          </cell>
          <cell r="D7676" t="str">
            <v>Libor KRD</v>
          </cell>
          <cell r="E7676" t="str">
            <v>Yield</v>
          </cell>
          <cell r="F7676" t="str">
            <v>SP-Other</v>
          </cell>
          <cell r="G7676" t="str">
            <v>SP-Other</v>
          </cell>
          <cell r="H7676" t="str">
            <v>SPREADS</v>
          </cell>
          <cell r="I7676" t="str">
            <v>Swap Spread - Libor</v>
          </cell>
        </row>
        <row r="7677">
          <cell r="A7677" t="str">
            <v>EUR_oisbasis_1yr</v>
          </cell>
          <cell r="B7677" t="str">
            <v>EUR OIS BASIS 1Y</v>
          </cell>
          <cell r="C7677" t="str">
            <v>BRS_GOLD__5_SPREADS:BRS_GOLD__3_SS:BRS_GOLD__2_SS_EUR:EUR_OIS:EUR_oisbasis_1yr</v>
          </cell>
          <cell r="D7677" t="str">
            <v>Libor KRD</v>
          </cell>
          <cell r="E7677" t="str">
            <v>Yield</v>
          </cell>
          <cell r="F7677" t="str">
            <v>SP-Other</v>
          </cell>
          <cell r="G7677" t="str">
            <v>SP-Other</v>
          </cell>
          <cell r="H7677" t="str">
            <v>SPREADS</v>
          </cell>
          <cell r="I7677" t="str">
            <v>Swap Spread - Libor</v>
          </cell>
        </row>
        <row r="7678">
          <cell r="A7678" t="str">
            <v>EUR_oisbasis_2yr</v>
          </cell>
          <cell r="B7678" t="str">
            <v>EUR OIS BASIS 2Y</v>
          </cell>
          <cell r="C7678" t="str">
            <v>BRS_GOLD__5_SPREADS:BRS_GOLD__3_SS:BRS_GOLD__2_SS_EUR:EUR_OIS:EUR_oisbasis_2yr</v>
          </cell>
          <cell r="D7678" t="str">
            <v>Libor KRD</v>
          </cell>
          <cell r="E7678" t="str">
            <v>Yield</v>
          </cell>
          <cell r="F7678" t="str">
            <v>SP-Other</v>
          </cell>
          <cell r="G7678" t="str">
            <v>SP-Other</v>
          </cell>
          <cell r="H7678" t="str">
            <v>SPREADS</v>
          </cell>
          <cell r="I7678" t="str">
            <v>Swap Spread - Libor</v>
          </cell>
        </row>
        <row r="7679">
          <cell r="A7679" t="str">
            <v>EUR_oisbasis_3yr</v>
          </cell>
          <cell r="B7679" t="str">
            <v>EUR OIS BASIS 3Y</v>
          </cell>
          <cell r="C7679" t="str">
            <v>BRS_GOLD__5_SPREADS:BRS_GOLD__3_SS:BRS_GOLD__2_SS_EUR:EUR_OIS:EUR_oisbasis_3yr</v>
          </cell>
          <cell r="D7679" t="str">
            <v>Libor KRD</v>
          </cell>
          <cell r="E7679" t="str">
            <v>Yield</v>
          </cell>
          <cell r="F7679" t="str">
            <v>SP-Other</v>
          </cell>
          <cell r="G7679" t="str">
            <v>SP-Other</v>
          </cell>
          <cell r="H7679" t="str">
            <v>SPREADS</v>
          </cell>
          <cell r="I7679" t="str">
            <v>Swap Spread - Libor</v>
          </cell>
        </row>
        <row r="7680">
          <cell r="A7680" t="str">
            <v>EUR_oisbasis_5yr</v>
          </cell>
          <cell r="B7680" t="str">
            <v>EUR OIS BASIS 5Y</v>
          </cell>
          <cell r="C7680" t="str">
            <v>BRS_GOLD__5_SPREADS:BRS_GOLD__3_SS:BRS_GOLD__2_SS_EUR:EUR_OIS:EUR_oisbasis_5yr</v>
          </cell>
          <cell r="D7680" t="str">
            <v>Libor KRD</v>
          </cell>
          <cell r="E7680" t="str">
            <v>Yield</v>
          </cell>
          <cell r="F7680" t="str">
            <v>SP-Other</v>
          </cell>
          <cell r="G7680" t="str">
            <v>SP-Other</v>
          </cell>
          <cell r="H7680" t="str">
            <v>SPREADS</v>
          </cell>
          <cell r="I7680" t="str">
            <v>Swap Spread - Libor</v>
          </cell>
        </row>
        <row r="7681">
          <cell r="A7681" t="str">
            <v>EUR_oisbasis_7yr</v>
          </cell>
          <cell r="B7681" t="str">
            <v>EUR OIS BASIS 7Y</v>
          </cell>
          <cell r="C7681" t="str">
            <v>BRS_GOLD__5_SPREADS:BRS_GOLD__3_SS:BRS_GOLD__2_SS_EUR:EUR_OIS:EUR_oisbasis_7yr</v>
          </cell>
          <cell r="D7681" t="str">
            <v>Libor KRD</v>
          </cell>
          <cell r="E7681" t="str">
            <v>Yield</v>
          </cell>
          <cell r="F7681" t="str">
            <v>SP-Other</v>
          </cell>
          <cell r="G7681" t="str">
            <v>SP-Other</v>
          </cell>
          <cell r="H7681" t="str">
            <v>SPREADS</v>
          </cell>
          <cell r="I7681" t="str">
            <v>Swap Spread - Libor</v>
          </cell>
        </row>
        <row r="7682">
          <cell r="A7682" t="str">
            <v>EUR_oisbasis_10yr</v>
          </cell>
          <cell r="B7682" t="str">
            <v>EUR OIS BASIS 10Y</v>
          </cell>
          <cell r="C7682" t="str">
            <v>BRS_GOLD__5_SPREADS:BRS_GOLD__3_SS:BRS_GOLD__2_SS_EUR:EUR_OIS:EUR_oisbasis_10yr</v>
          </cell>
          <cell r="D7682" t="str">
            <v>Libor KRD</v>
          </cell>
          <cell r="E7682" t="str">
            <v>Yield</v>
          </cell>
          <cell r="F7682" t="str">
            <v>SP-Other</v>
          </cell>
          <cell r="G7682" t="str">
            <v>SP-Other</v>
          </cell>
          <cell r="H7682" t="str">
            <v>SPREADS</v>
          </cell>
          <cell r="I7682" t="str">
            <v>Swap Spread - Libor</v>
          </cell>
        </row>
        <row r="7683">
          <cell r="A7683" t="str">
            <v>EUR_oisbasis_15yr</v>
          </cell>
          <cell r="B7683" t="str">
            <v>EUR OIS BASIS 15Y</v>
          </cell>
          <cell r="C7683" t="str">
            <v>BRS_GOLD__5_SPREADS:BRS_GOLD__3_SS:BRS_GOLD__2_SS_EUR:EUR_OIS:EUR_oisbasis_15yr</v>
          </cell>
          <cell r="D7683" t="str">
            <v>Libor KRD</v>
          </cell>
          <cell r="E7683" t="str">
            <v>Yield</v>
          </cell>
          <cell r="F7683" t="str">
            <v>SP-Other</v>
          </cell>
          <cell r="G7683" t="str">
            <v>SP-Other</v>
          </cell>
          <cell r="H7683" t="str">
            <v>SPREADS</v>
          </cell>
          <cell r="I7683" t="str">
            <v>Swap Spread - Libor</v>
          </cell>
        </row>
        <row r="7684">
          <cell r="A7684" t="str">
            <v>EUR_oisbasis_20yr</v>
          </cell>
          <cell r="B7684" t="str">
            <v>EUR OIS BASIS 20Y</v>
          </cell>
          <cell r="C7684" t="str">
            <v>BRS_GOLD__5_SPREADS:BRS_GOLD__3_SS:BRS_GOLD__2_SS_EUR:EUR_OIS:EUR_oisbasis_20yr</v>
          </cell>
          <cell r="D7684" t="str">
            <v>Libor KRD</v>
          </cell>
          <cell r="E7684" t="str">
            <v>Yield</v>
          </cell>
          <cell r="F7684" t="str">
            <v>SP-Other</v>
          </cell>
          <cell r="G7684" t="str">
            <v>SP-Other</v>
          </cell>
          <cell r="H7684" t="str">
            <v>SPREADS</v>
          </cell>
          <cell r="I7684" t="str">
            <v>Swap Spread - Libor</v>
          </cell>
        </row>
        <row r="7685">
          <cell r="A7685" t="str">
            <v>EUR_oisbasis_25yr</v>
          </cell>
          <cell r="B7685" t="str">
            <v>EUR OIS BASIS 25Y</v>
          </cell>
          <cell r="C7685" t="str">
            <v>BRS_GOLD__5_SPREADS:BRS_GOLD__3_SS:BRS_GOLD__2_SS_EUR:EUR_OIS:EUR_oisbasis_25yr</v>
          </cell>
          <cell r="D7685" t="str">
            <v>Libor KRD</v>
          </cell>
          <cell r="E7685" t="str">
            <v>Yield</v>
          </cell>
          <cell r="F7685" t="str">
            <v>SP-Other</v>
          </cell>
          <cell r="G7685" t="str">
            <v>SP-Other</v>
          </cell>
          <cell r="H7685" t="str">
            <v>SPREADS</v>
          </cell>
          <cell r="I7685" t="str">
            <v>Swap Spread - Libor</v>
          </cell>
        </row>
        <row r="7686">
          <cell r="A7686" t="str">
            <v>EUR_oisbasis_30yr</v>
          </cell>
          <cell r="B7686" t="str">
            <v>EUR OIS BASIS 30Y</v>
          </cell>
          <cell r="C7686" t="str">
            <v>BRS_GOLD__5_SPREADS:BRS_GOLD__3_SS:BRS_GOLD__2_SS_EUR:EUR_OIS:EUR_oisbasis_30yr</v>
          </cell>
          <cell r="D7686" t="str">
            <v>Libor KRD</v>
          </cell>
          <cell r="E7686" t="str">
            <v>Yield</v>
          </cell>
          <cell r="F7686" t="str">
            <v>SP-Other</v>
          </cell>
          <cell r="G7686" t="str">
            <v>SP-Other</v>
          </cell>
          <cell r="H7686" t="str">
            <v>SPREADS</v>
          </cell>
          <cell r="I7686" t="str">
            <v>Swap Spread - Libor</v>
          </cell>
        </row>
        <row r="7687">
          <cell r="A7687" t="str">
            <v>EUR_oisbasis_40yr</v>
          </cell>
          <cell r="B7687" t="str">
            <v>EUR OIS BASIS 40Y</v>
          </cell>
          <cell r="C7687" t="str">
            <v>BRS_GOLD__5_SPREADS:BRS_GOLD__3_SS:BRS_GOLD__2_SS_EUR:EUR_OIS:EUR_oisbasis_40yr</v>
          </cell>
          <cell r="D7687" t="str">
            <v>Libor KRD</v>
          </cell>
          <cell r="E7687" t="str">
            <v>Yield</v>
          </cell>
          <cell r="F7687" t="str">
            <v>SP-Other</v>
          </cell>
          <cell r="G7687" t="str">
            <v>SP-Other</v>
          </cell>
          <cell r="H7687" t="str">
            <v>SPREADS</v>
          </cell>
          <cell r="I7687" t="str">
            <v>Swap Spread - Libor</v>
          </cell>
        </row>
        <row r="7688">
          <cell r="A7688" t="str">
            <v>EUR_oisbasis_50yr</v>
          </cell>
          <cell r="B7688" t="str">
            <v>EUR OIS BASIS 50Y</v>
          </cell>
          <cell r="C7688" t="str">
            <v>BRS_GOLD__5_SPREADS:BRS_GOLD__3_SS:BRS_GOLD__2_SS_EUR:EUR_OIS:EUR_oisbasis_50yr</v>
          </cell>
          <cell r="D7688" t="str">
            <v>Libor KRD</v>
          </cell>
          <cell r="E7688" t="str">
            <v>Yield</v>
          </cell>
          <cell r="F7688" t="str">
            <v>SP-Other</v>
          </cell>
          <cell r="G7688" t="str">
            <v>SP-Other</v>
          </cell>
          <cell r="H7688" t="str">
            <v>SPREADS</v>
          </cell>
          <cell r="I7688" t="str">
            <v>Swap Spread - Libor</v>
          </cell>
        </row>
        <row r="7689">
          <cell r="A7689" t="str">
            <v>EUR_estr_3m</v>
          </cell>
          <cell r="B7689" t="str">
            <v>EURIBOR ESTR BASIS 3M</v>
          </cell>
          <cell r="C7689" t="str">
            <v>BRS_GOLD__5_SPREADS:BRS_GOLD__3_SS:BRS_GOLD__2_SS_EUR:EUR_ESTR:EUR_estr_3m</v>
          </cell>
          <cell r="F7689" t="str">
            <v>SP-Other</v>
          </cell>
          <cell r="G7689" t="str">
            <v>SP-Other</v>
          </cell>
          <cell r="H7689" t="str">
            <v>SPREADS</v>
          </cell>
          <cell r="I7689" t="str">
            <v>Swap Spread - OIS</v>
          </cell>
        </row>
        <row r="7690">
          <cell r="A7690" t="str">
            <v>EUR_estr_1yr</v>
          </cell>
          <cell r="B7690" t="str">
            <v>EURIBOR ESTR BASIS 1Y</v>
          </cell>
          <cell r="C7690" t="str">
            <v>BRS_GOLD__5_SPREADS:BRS_GOLD__3_SS:BRS_GOLD__2_SS_EUR:EUR_ESTR:EUR_estr_1yr</v>
          </cell>
          <cell r="F7690" t="str">
            <v>SP-Other</v>
          </cell>
          <cell r="G7690" t="str">
            <v>SP-Other</v>
          </cell>
          <cell r="H7690" t="str">
            <v>SPREADS</v>
          </cell>
          <cell r="I7690" t="str">
            <v>Swap Spread - OIS</v>
          </cell>
        </row>
        <row r="7691">
          <cell r="A7691" t="str">
            <v>EUR_estr_2yr</v>
          </cell>
          <cell r="B7691" t="str">
            <v>EURIBOR ESTR BASIS 2Y</v>
          </cell>
          <cell r="C7691" t="str">
            <v>BRS_GOLD__5_SPREADS:BRS_GOLD__3_SS:BRS_GOLD__2_SS_EUR:EUR_ESTR:EUR_estr_2yr</v>
          </cell>
          <cell r="F7691" t="str">
            <v>SP-Other</v>
          </cell>
          <cell r="G7691" t="str">
            <v>SP-Other</v>
          </cell>
          <cell r="H7691" t="str">
            <v>SPREADS</v>
          </cell>
          <cell r="I7691" t="str">
            <v>Swap Spread - OIS</v>
          </cell>
        </row>
        <row r="7692">
          <cell r="A7692" t="str">
            <v>EUR_estr_3yr</v>
          </cell>
          <cell r="B7692" t="str">
            <v>EURIBOR ESTR BASIS 3Y</v>
          </cell>
          <cell r="C7692" t="str">
            <v>BRS_GOLD__5_SPREADS:BRS_GOLD__3_SS:BRS_GOLD__2_SS_EUR:EUR_ESTR:EUR_estr_3yr</v>
          </cell>
          <cell r="F7692" t="str">
            <v>SP-Other</v>
          </cell>
          <cell r="G7692" t="str">
            <v>SP-Other</v>
          </cell>
          <cell r="H7692" t="str">
            <v>SPREADS</v>
          </cell>
          <cell r="I7692" t="str">
            <v>Swap Spread - OIS</v>
          </cell>
        </row>
        <row r="7693">
          <cell r="A7693" t="str">
            <v>EUR_estr_5yr</v>
          </cell>
          <cell r="B7693" t="str">
            <v>EURIBOR ESTR BASIS 5Y</v>
          </cell>
          <cell r="C7693" t="str">
            <v>BRS_GOLD__5_SPREADS:BRS_GOLD__3_SS:BRS_GOLD__2_SS_EUR:EUR_ESTR:EUR_estr_5yr</v>
          </cell>
          <cell r="F7693" t="str">
            <v>SP-Other</v>
          </cell>
          <cell r="G7693" t="str">
            <v>SP-Other</v>
          </cell>
          <cell r="H7693" t="str">
            <v>SPREADS</v>
          </cell>
          <cell r="I7693" t="str">
            <v>Swap Spread - OIS</v>
          </cell>
        </row>
        <row r="7694">
          <cell r="A7694" t="str">
            <v>EUR_estr_7yr</v>
          </cell>
          <cell r="B7694" t="str">
            <v>EURIBOR ESTR BASIS 7Y</v>
          </cell>
          <cell r="C7694" t="str">
            <v>BRS_GOLD__5_SPREADS:BRS_GOLD__3_SS:BRS_GOLD__2_SS_EUR:EUR_ESTR:EUR_estr_7yr</v>
          </cell>
          <cell r="F7694" t="str">
            <v>SP-Other</v>
          </cell>
          <cell r="G7694" t="str">
            <v>SP-Other</v>
          </cell>
          <cell r="H7694" t="str">
            <v>SPREADS</v>
          </cell>
          <cell r="I7694" t="str">
            <v>Swap Spread - OIS</v>
          </cell>
        </row>
        <row r="7695">
          <cell r="A7695" t="str">
            <v>EUR_estr_10yr</v>
          </cell>
          <cell r="B7695" t="str">
            <v>EURIBOR ESTR BASIS 10Y</v>
          </cell>
          <cell r="C7695" t="str">
            <v>BRS_GOLD__5_SPREADS:BRS_GOLD__3_SS:BRS_GOLD__2_SS_EUR:EUR_ESTR:EUR_estr_10yr</v>
          </cell>
          <cell r="F7695" t="str">
            <v>SP-Other</v>
          </cell>
          <cell r="G7695" t="str">
            <v>SP-Other</v>
          </cell>
          <cell r="H7695" t="str">
            <v>SPREADS</v>
          </cell>
          <cell r="I7695" t="str">
            <v>Swap Spread - OIS</v>
          </cell>
        </row>
        <row r="7696">
          <cell r="A7696" t="str">
            <v>EUR_estr_15yr</v>
          </cell>
          <cell r="B7696" t="str">
            <v>EURIBOR ESTR BASIS 15Y</v>
          </cell>
          <cell r="C7696" t="str">
            <v>BRS_GOLD__5_SPREADS:BRS_GOLD__3_SS:BRS_GOLD__2_SS_EUR:EUR_ESTR:EUR_estr_15yr</v>
          </cell>
          <cell r="F7696" t="str">
            <v>SP-Other</v>
          </cell>
          <cell r="G7696" t="str">
            <v>SP-Other</v>
          </cell>
          <cell r="H7696" t="str">
            <v>SPREADS</v>
          </cell>
          <cell r="I7696" t="str">
            <v>Swap Spread - OIS</v>
          </cell>
        </row>
        <row r="7697">
          <cell r="A7697" t="str">
            <v>EUR_estr_20yr</v>
          </cell>
          <cell r="B7697" t="str">
            <v>EURIBOR ESTR BASIS 20Y</v>
          </cell>
          <cell r="C7697" t="str">
            <v>BRS_GOLD__5_SPREADS:BRS_GOLD__3_SS:BRS_GOLD__2_SS_EUR:EUR_ESTR:EUR_estr_20yr</v>
          </cell>
          <cell r="F7697" t="str">
            <v>SP-Other</v>
          </cell>
          <cell r="G7697" t="str">
            <v>SP-Other</v>
          </cell>
          <cell r="H7697" t="str">
            <v>SPREADS</v>
          </cell>
          <cell r="I7697" t="str">
            <v>Swap Spread - OIS</v>
          </cell>
        </row>
        <row r="7698">
          <cell r="A7698" t="str">
            <v>EUR_estr_25yr</v>
          </cell>
          <cell r="B7698" t="str">
            <v>EURIBOR ESTR BASIS 25Y</v>
          </cell>
          <cell r="C7698" t="str">
            <v>BRS_GOLD__5_SPREADS:BRS_GOLD__3_SS:BRS_GOLD__2_SS_EUR:EUR_ESTR:EUR_estr_25yr</v>
          </cell>
          <cell r="F7698" t="str">
            <v>SP-Other</v>
          </cell>
          <cell r="G7698" t="str">
            <v>SP-Other</v>
          </cell>
          <cell r="H7698" t="str">
            <v>SPREADS</v>
          </cell>
          <cell r="I7698" t="str">
            <v>Swap Spread - OIS</v>
          </cell>
        </row>
        <row r="7699">
          <cell r="A7699" t="str">
            <v>EUR_estr_30yr</v>
          </cell>
          <cell r="B7699" t="str">
            <v>EURIBOR ESTR BASIS 30Y</v>
          </cell>
          <cell r="C7699" t="str">
            <v>BRS_GOLD__5_SPREADS:BRS_GOLD__3_SS:BRS_GOLD__2_SS_EUR:EUR_ESTR:EUR_estr_30yr</v>
          </cell>
          <cell r="F7699" t="str">
            <v>SP-Other</v>
          </cell>
          <cell r="G7699" t="str">
            <v>SP-Other</v>
          </cell>
          <cell r="H7699" t="str">
            <v>SPREADS</v>
          </cell>
          <cell r="I7699" t="str">
            <v>Swap Spread - OIS</v>
          </cell>
        </row>
        <row r="7700">
          <cell r="A7700" t="str">
            <v>EUR_estr_40yr</v>
          </cell>
          <cell r="B7700" t="str">
            <v>EURIBOR ESTR BASIS 40Y</v>
          </cell>
          <cell r="C7700" t="str">
            <v>BRS_GOLD__5_SPREADS:BRS_GOLD__3_SS:BRS_GOLD__2_SS_EUR:EUR_ESTR:EUR_estr_40yr</v>
          </cell>
          <cell r="F7700" t="str">
            <v>SP-Other</v>
          </cell>
          <cell r="G7700" t="str">
            <v>SP-Other</v>
          </cell>
          <cell r="H7700" t="str">
            <v>SPREADS</v>
          </cell>
          <cell r="I7700" t="str">
            <v>Swap Spread - OIS</v>
          </cell>
        </row>
        <row r="7701">
          <cell r="A7701" t="str">
            <v>EUR_estr_50yr</v>
          </cell>
          <cell r="B7701" t="str">
            <v>EURIBOR ESTR BASIS 50Y</v>
          </cell>
          <cell r="C7701" t="str">
            <v>BRS_GOLD__5_SPREADS:BRS_GOLD__3_SS:BRS_GOLD__2_SS_EUR:EUR_ESTR:EUR_estr_50yr</v>
          </cell>
          <cell r="F7701" t="str">
            <v>SP-Other</v>
          </cell>
          <cell r="G7701" t="str">
            <v>SP-Other</v>
          </cell>
          <cell r="H7701" t="str">
            <v>SPREADS</v>
          </cell>
          <cell r="I7701" t="str">
            <v>Swap Spread - OIS</v>
          </cell>
        </row>
        <row r="7702">
          <cell r="A7702" t="str">
            <v>GBP_libor_3m</v>
          </cell>
          <cell r="B7702" t="str">
            <v>GBP LIBOR 3M</v>
          </cell>
          <cell r="C7702" t="str">
            <v>BRS_GOLD__5_SPREADS:BRS_GOLD__3_SS:BRS_GOLD__2_SS_GBP:GBP_LIB:GBP_libor_3m</v>
          </cell>
          <cell r="D7702" t="str">
            <v>Libor KRD</v>
          </cell>
          <cell r="E7702" t="str">
            <v>Yield</v>
          </cell>
          <cell r="F7702" t="str">
            <v>SP-Other</v>
          </cell>
          <cell r="G7702" t="str">
            <v>SP-Other</v>
          </cell>
          <cell r="H7702" t="str">
            <v>SPREADS</v>
          </cell>
          <cell r="I7702" t="str">
            <v>Swap Spread - Libor</v>
          </cell>
        </row>
        <row r="7703">
          <cell r="A7703" t="str">
            <v>GBP_libor_1yr</v>
          </cell>
          <cell r="B7703" t="str">
            <v>GBP LIBOR 1Y</v>
          </cell>
          <cell r="C7703" t="str">
            <v>BRS_GOLD__5_SPREADS:BRS_GOLD__3_SS:BRS_GOLD__2_SS_GBP:GBP_LIB:GBP_libor_1yr</v>
          </cell>
          <cell r="D7703" t="str">
            <v>Libor KRD</v>
          </cell>
          <cell r="E7703" t="str">
            <v>Yield</v>
          </cell>
          <cell r="F7703" t="str">
            <v>SP-Other</v>
          </cell>
          <cell r="G7703" t="str">
            <v>SP-Other</v>
          </cell>
          <cell r="H7703" t="str">
            <v>SPREADS</v>
          </cell>
          <cell r="I7703" t="str">
            <v>Swap Spread - Libor</v>
          </cell>
        </row>
        <row r="7704">
          <cell r="A7704" t="str">
            <v>GBP_libor_2yr</v>
          </cell>
          <cell r="B7704" t="str">
            <v>GBP LIBOR 2Y</v>
          </cell>
          <cell r="C7704" t="str">
            <v>BRS_GOLD__5_SPREADS:BRS_GOLD__3_SS:BRS_GOLD__2_SS_GBP:GBP_LIB:GBP_libor_2yr</v>
          </cell>
          <cell r="D7704" t="str">
            <v>Libor KRD</v>
          </cell>
          <cell r="E7704" t="str">
            <v>Yield</v>
          </cell>
          <cell r="F7704" t="str">
            <v>SP-Other</v>
          </cell>
          <cell r="G7704" t="str">
            <v>SP-Other</v>
          </cell>
          <cell r="H7704" t="str">
            <v>SPREADS</v>
          </cell>
          <cell r="I7704" t="str">
            <v>Swap Spread - Libor</v>
          </cell>
        </row>
        <row r="7705">
          <cell r="A7705" t="str">
            <v>GBP_libor_3yr</v>
          </cell>
          <cell r="B7705" t="str">
            <v>GBP LIBOR 3Y</v>
          </cell>
          <cell r="C7705" t="str">
            <v>BRS_GOLD__5_SPREADS:BRS_GOLD__3_SS:BRS_GOLD__2_SS_GBP:GBP_LIB:GBP_libor_3yr</v>
          </cell>
          <cell r="D7705" t="str">
            <v>Libor KRD</v>
          </cell>
          <cell r="E7705" t="str">
            <v>Yield</v>
          </cell>
          <cell r="F7705" t="str">
            <v>SP-Other</v>
          </cell>
          <cell r="G7705" t="str">
            <v>SP-Other</v>
          </cell>
          <cell r="H7705" t="str">
            <v>SPREADS</v>
          </cell>
          <cell r="I7705" t="str">
            <v>Swap Spread - Libor</v>
          </cell>
        </row>
        <row r="7706">
          <cell r="A7706" t="str">
            <v>GBP_libor_5yr</v>
          </cell>
          <cell r="B7706" t="str">
            <v>GBP LIBOR 5Y</v>
          </cell>
          <cell r="C7706" t="str">
            <v>BRS_GOLD__5_SPREADS:BRS_GOLD__3_SS:BRS_GOLD__2_SS_GBP:GBP_LIB:GBP_libor_5yr</v>
          </cell>
          <cell r="D7706" t="str">
            <v>Libor KRD</v>
          </cell>
          <cell r="E7706" t="str">
            <v>Yield</v>
          </cell>
          <cell r="F7706" t="str">
            <v>SP-Other</v>
          </cell>
          <cell r="G7706" t="str">
            <v>SP-Other</v>
          </cell>
          <cell r="H7706" t="str">
            <v>SPREADS</v>
          </cell>
          <cell r="I7706" t="str">
            <v>Swap Spread - Libor</v>
          </cell>
        </row>
        <row r="7707">
          <cell r="A7707" t="str">
            <v>GBP_libor_7yr</v>
          </cell>
          <cell r="B7707" t="str">
            <v>GBP LIBOR 7Y</v>
          </cell>
          <cell r="C7707" t="str">
            <v>BRS_GOLD__5_SPREADS:BRS_GOLD__3_SS:BRS_GOLD__2_SS_GBP:GBP_LIB:GBP_libor_7yr</v>
          </cell>
          <cell r="D7707" t="str">
            <v>Libor KRD</v>
          </cell>
          <cell r="E7707" t="str">
            <v>Yield</v>
          </cell>
          <cell r="F7707" t="str">
            <v>SP-Other</v>
          </cell>
          <cell r="G7707" t="str">
            <v>SP-Other</v>
          </cell>
          <cell r="H7707" t="str">
            <v>SPREADS</v>
          </cell>
          <cell r="I7707" t="str">
            <v>Swap Spread - Libor</v>
          </cell>
        </row>
        <row r="7708">
          <cell r="A7708" t="str">
            <v>GBP_libor_10yr</v>
          </cell>
          <cell r="B7708" t="str">
            <v>GBP LIBOR 10Y</v>
          </cell>
          <cell r="C7708" t="str">
            <v>BRS_GOLD__5_SPREADS:BRS_GOLD__3_SS:BRS_GOLD__2_SS_GBP:GBP_LIB:GBP_libor_10yr</v>
          </cell>
          <cell r="D7708" t="str">
            <v>Libor KRD</v>
          </cell>
          <cell r="E7708" t="str">
            <v>Yield</v>
          </cell>
          <cell r="F7708" t="str">
            <v>SP-Other</v>
          </cell>
          <cell r="G7708" t="str">
            <v>SP-Other</v>
          </cell>
          <cell r="H7708" t="str">
            <v>SPREADS</v>
          </cell>
          <cell r="I7708" t="str">
            <v>Swap Spread - Libor</v>
          </cell>
        </row>
        <row r="7709">
          <cell r="A7709" t="str">
            <v>GBP_libor_15yr</v>
          </cell>
          <cell r="B7709" t="str">
            <v>GBP LIBOR 15Y</v>
          </cell>
          <cell r="C7709" t="str">
            <v>BRS_GOLD__5_SPREADS:BRS_GOLD__3_SS:BRS_GOLD__2_SS_GBP:GBP_LIB:GBP_libor_15yr</v>
          </cell>
          <cell r="D7709" t="str">
            <v>Libor KRD</v>
          </cell>
          <cell r="E7709" t="str">
            <v>Yield</v>
          </cell>
          <cell r="F7709" t="str">
            <v>SP-Other</v>
          </cell>
          <cell r="G7709" t="str">
            <v>SP-Other</v>
          </cell>
          <cell r="H7709" t="str">
            <v>SPREADS</v>
          </cell>
          <cell r="I7709" t="str">
            <v>Swap Spread - Libor</v>
          </cell>
        </row>
        <row r="7710">
          <cell r="A7710" t="str">
            <v>GBP_libor_20yr</v>
          </cell>
          <cell r="B7710" t="str">
            <v>GBP LIBOR 20Y</v>
          </cell>
          <cell r="C7710" t="str">
            <v>BRS_GOLD__5_SPREADS:BRS_GOLD__3_SS:BRS_GOLD__2_SS_GBP:GBP_LIB:GBP_libor_20yr</v>
          </cell>
          <cell r="D7710" t="str">
            <v>Libor KRD</v>
          </cell>
          <cell r="E7710" t="str">
            <v>Yield</v>
          </cell>
          <cell r="F7710" t="str">
            <v>SP-Other</v>
          </cell>
          <cell r="G7710" t="str">
            <v>SP-Other</v>
          </cell>
          <cell r="H7710" t="str">
            <v>SPREADS</v>
          </cell>
          <cell r="I7710" t="str">
            <v>Swap Spread - Libor</v>
          </cell>
        </row>
        <row r="7711">
          <cell r="A7711" t="str">
            <v>GBP_libor_25yr</v>
          </cell>
          <cell r="B7711" t="str">
            <v>GBP LIBOR 25Y</v>
          </cell>
          <cell r="C7711" t="str">
            <v>BRS_GOLD__5_SPREADS:BRS_GOLD__3_SS:BRS_GOLD__2_SS_GBP:GBP_LIB:GBP_libor_25yr</v>
          </cell>
          <cell r="D7711" t="str">
            <v>Libor KRD</v>
          </cell>
          <cell r="E7711" t="str">
            <v>Yield</v>
          </cell>
          <cell r="F7711" t="str">
            <v>SP-Other</v>
          </cell>
          <cell r="G7711" t="str">
            <v>SP-Other</v>
          </cell>
          <cell r="H7711" t="str">
            <v>SPREADS</v>
          </cell>
          <cell r="I7711" t="str">
            <v>Swap Spread - Libor</v>
          </cell>
        </row>
        <row r="7712">
          <cell r="A7712" t="str">
            <v>GBP_libor_30yr</v>
          </cell>
          <cell r="B7712" t="str">
            <v>GBP LIBOR 30Y</v>
          </cell>
          <cell r="C7712" t="str">
            <v>BRS_GOLD__5_SPREADS:BRS_GOLD__3_SS:BRS_GOLD__2_SS_GBP:GBP_LIB:GBP_libor_30yr</v>
          </cell>
          <cell r="D7712" t="str">
            <v>Libor KRD</v>
          </cell>
          <cell r="E7712" t="str">
            <v>Yield</v>
          </cell>
          <cell r="F7712" t="str">
            <v>SP-Other</v>
          </cell>
          <cell r="G7712" t="str">
            <v>SP-Other</v>
          </cell>
          <cell r="H7712" t="str">
            <v>SPREADS</v>
          </cell>
          <cell r="I7712" t="str">
            <v>Swap Spread - Libor</v>
          </cell>
        </row>
        <row r="7713">
          <cell r="A7713" t="str">
            <v>GBP_libor_40yr</v>
          </cell>
          <cell r="B7713" t="str">
            <v>GBP LIBOR 40Y</v>
          </cell>
          <cell r="C7713" t="str">
            <v>BRS_GOLD__5_SPREADS:BRS_GOLD__3_SS:BRS_GOLD__2_SS_GBP:GBP_LIB:GBP_libor_40yr</v>
          </cell>
          <cell r="D7713" t="str">
            <v>Libor KRD</v>
          </cell>
          <cell r="E7713" t="str">
            <v>Yield</v>
          </cell>
          <cell r="F7713" t="str">
            <v>SP-Other</v>
          </cell>
          <cell r="G7713" t="str">
            <v>SP-Other</v>
          </cell>
          <cell r="H7713" t="str">
            <v>SPREADS</v>
          </cell>
          <cell r="I7713" t="str">
            <v>Swap Spread - Libor</v>
          </cell>
        </row>
        <row r="7714">
          <cell r="A7714" t="str">
            <v>GBP_libor_50yr</v>
          </cell>
          <cell r="B7714" t="str">
            <v>GBP LIBOR 50Y</v>
          </cell>
          <cell r="C7714" t="str">
            <v>BRS_GOLD__5_SPREADS:BRS_GOLD__3_SS:BRS_GOLD__2_SS_GBP:GBP_LIB:GBP_libor_50yr</v>
          </cell>
          <cell r="D7714" t="str">
            <v>Libor KRD</v>
          </cell>
          <cell r="E7714" t="str">
            <v>Yield</v>
          </cell>
          <cell r="F7714" t="str">
            <v>SP-Other</v>
          </cell>
          <cell r="G7714" t="str">
            <v>SP-Other</v>
          </cell>
          <cell r="H7714" t="str">
            <v>SPREADS</v>
          </cell>
          <cell r="I7714" t="str">
            <v>Swap Spread - Libor</v>
          </cell>
        </row>
        <row r="7715">
          <cell r="A7715" t="str">
            <v>GBP_mod_libor_3m</v>
          </cell>
          <cell r="B7715" t="str">
            <v>GBP Model LIBOR 3M</v>
          </cell>
          <cell r="C7715" t="str">
            <v>BRS_GOLD__5_SPREADS:BRS_GOLD__3_SS:BRS_GOLD__2_SS_GBP:MOD_LIBOR_GBP:GBP_mod_libor_3m</v>
          </cell>
          <cell r="D7715" t="str">
            <v>Libor KRD</v>
          </cell>
          <cell r="E7715" t="str">
            <v>Yield</v>
          </cell>
          <cell r="F7715" t="str">
            <v>SP-Other</v>
          </cell>
          <cell r="G7715" t="str">
            <v>SP-Other</v>
          </cell>
          <cell r="H7715" t="str">
            <v>SPREADS</v>
          </cell>
          <cell r="I7715" t="str">
            <v>Swap Spread - Libor</v>
          </cell>
        </row>
        <row r="7716">
          <cell r="A7716" t="str">
            <v>GBP_mod_libor_1yr</v>
          </cell>
          <cell r="B7716" t="str">
            <v>GBP Model LIBOR 1Y</v>
          </cell>
          <cell r="C7716" t="str">
            <v>BRS_GOLD__5_SPREADS:BRS_GOLD__3_SS:BRS_GOLD__2_SS_GBP:MOD_LIBOR_GBP:GBP_mod_libor_1yr</v>
          </cell>
          <cell r="D7716" t="str">
            <v>Libor KRD</v>
          </cell>
          <cell r="E7716" t="str">
            <v>Yield</v>
          </cell>
          <cell r="F7716" t="str">
            <v>SP-Other</v>
          </cell>
          <cell r="G7716" t="str">
            <v>SP-Other</v>
          </cell>
          <cell r="H7716" t="str">
            <v>SPREADS</v>
          </cell>
          <cell r="I7716" t="str">
            <v>Swap Spread - Libor</v>
          </cell>
        </row>
        <row r="7717">
          <cell r="A7717" t="str">
            <v>GBP_mod_libor_2yr</v>
          </cell>
          <cell r="B7717" t="str">
            <v>GBP Model LIBOR 2Y</v>
          </cell>
          <cell r="C7717" t="str">
            <v>BRS_GOLD__5_SPREADS:BRS_GOLD__3_SS:BRS_GOLD__2_SS_GBP:MOD_LIBOR_GBP:GBP_mod_libor_2yr</v>
          </cell>
          <cell r="D7717" t="str">
            <v>Libor KRD</v>
          </cell>
          <cell r="E7717" t="str">
            <v>Yield</v>
          </cell>
          <cell r="F7717" t="str">
            <v>SP-Other</v>
          </cell>
          <cell r="G7717" t="str">
            <v>SP-Other</v>
          </cell>
          <cell r="H7717" t="str">
            <v>SPREADS</v>
          </cell>
          <cell r="I7717" t="str">
            <v>Swap Spread - Libor</v>
          </cell>
        </row>
        <row r="7718">
          <cell r="A7718" t="str">
            <v>GBP_mod_libor_3yr</v>
          </cell>
          <cell r="B7718" t="str">
            <v>GBP Model LIBOR 3Y</v>
          </cell>
          <cell r="C7718" t="str">
            <v>BRS_GOLD__5_SPREADS:BRS_GOLD__3_SS:BRS_GOLD__2_SS_GBP:MOD_LIBOR_GBP:GBP_mod_libor_3yr</v>
          </cell>
          <cell r="D7718" t="str">
            <v>Libor KRD</v>
          </cell>
          <cell r="E7718" t="str">
            <v>Yield</v>
          </cell>
          <cell r="F7718" t="str">
            <v>SP-Other</v>
          </cell>
          <cell r="G7718" t="str">
            <v>SP-Other</v>
          </cell>
          <cell r="H7718" t="str">
            <v>SPREADS</v>
          </cell>
          <cell r="I7718" t="str">
            <v>Swap Spread - Libor</v>
          </cell>
        </row>
        <row r="7719">
          <cell r="A7719" t="str">
            <v>GBP_mod_libor_5yr</v>
          </cell>
          <cell r="B7719" t="str">
            <v>GBP Model LIBOR 5Y</v>
          </cell>
          <cell r="C7719" t="str">
            <v>BRS_GOLD__5_SPREADS:BRS_GOLD__3_SS:BRS_GOLD__2_SS_GBP:MOD_LIBOR_GBP:GBP_mod_libor_5yr</v>
          </cell>
          <cell r="D7719" t="str">
            <v>Libor KRD</v>
          </cell>
          <cell r="E7719" t="str">
            <v>Yield</v>
          </cell>
          <cell r="F7719" t="str">
            <v>SP-Other</v>
          </cell>
          <cell r="G7719" t="str">
            <v>SP-Other</v>
          </cell>
          <cell r="H7719" t="str">
            <v>SPREADS</v>
          </cell>
          <cell r="I7719" t="str">
            <v>Swap Spread - Libor</v>
          </cell>
        </row>
        <row r="7720">
          <cell r="A7720" t="str">
            <v>GBP_mod_libor_7yr</v>
          </cell>
          <cell r="B7720" t="str">
            <v>GBP Model LIBOR 7Y</v>
          </cell>
          <cell r="C7720" t="str">
            <v>BRS_GOLD__5_SPREADS:BRS_GOLD__3_SS:BRS_GOLD__2_SS_GBP:MOD_LIBOR_GBP:GBP_mod_libor_7yr</v>
          </cell>
          <cell r="D7720" t="str">
            <v>Libor KRD</v>
          </cell>
          <cell r="E7720" t="str">
            <v>Yield</v>
          </cell>
          <cell r="F7720" t="str">
            <v>SP-Other</v>
          </cell>
          <cell r="G7720" t="str">
            <v>SP-Other</v>
          </cell>
          <cell r="H7720" t="str">
            <v>SPREADS</v>
          </cell>
          <cell r="I7720" t="str">
            <v>Swap Spread - Libor</v>
          </cell>
        </row>
        <row r="7721">
          <cell r="A7721" t="str">
            <v>GBP_mod_libor_10yr</v>
          </cell>
          <cell r="B7721" t="str">
            <v>GBP Model LIBOR 10Y</v>
          </cell>
          <cell r="C7721" t="str">
            <v>BRS_GOLD__5_SPREADS:BRS_GOLD__3_SS:BRS_GOLD__2_SS_GBP:MOD_LIBOR_GBP:GBP_mod_libor_10yr</v>
          </cell>
          <cell r="D7721" t="str">
            <v>Libor KRD</v>
          </cell>
          <cell r="E7721" t="str">
            <v>Yield</v>
          </cell>
          <cell r="F7721" t="str">
            <v>SP-Other</v>
          </cell>
          <cell r="G7721" t="str">
            <v>SP-Other</v>
          </cell>
          <cell r="H7721" t="str">
            <v>SPREADS</v>
          </cell>
          <cell r="I7721" t="str">
            <v>Swap Spread - Libor</v>
          </cell>
        </row>
        <row r="7722">
          <cell r="A7722" t="str">
            <v>GBP_mod_libor_15yr</v>
          </cell>
          <cell r="B7722" t="str">
            <v>GBP Model LIBOR 15Y</v>
          </cell>
          <cell r="C7722" t="str">
            <v>BRS_GOLD__5_SPREADS:BRS_GOLD__3_SS:BRS_GOLD__2_SS_GBP:MOD_LIBOR_GBP:GBP_mod_libor_15yr</v>
          </cell>
          <cell r="D7722" t="str">
            <v>Libor KRD</v>
          </cell>
          <cell r="E7722" t="str">
            <v>Yield</v>
          </cell>
          <cell r="F7722" t="str">
            <v>SP-Other</v>
          </cell>
          <cell r="G7722" t="str">
            <v>SP-Other</v>
          </cell>
          <cell r="H7722" t="str">
            <v>SPREADS</v>
          </cell>
          <cell r="I7722" t="str">
            <v>Swap Spread - Libor</v>
          </cell>
        </row>
        <row r="7723">
          <cell r="A7723" t="str">
            <v>GBP_mod_libor_20yr</v>
          </cell>
          <cell r="B7723" t="str">
            <v>GBP Model LIBOR 20Y</v>
          </cell>
          <cell r="C7723" t="str">
            <v>BRS_GOLD__5_SPREADS:BRS_GOLD__3_SS:BRS_GOLD__2_SS_GBP:MOD_LIBOR_GBP:GBP_mod_libor_20yr</v>
          </cell>
          <cell r="D7723" t="str">
            <v>Libor KRD</v>
          </cell>
          <cell r="E7723" t="str">
            <v>Yield</v>
          </cell>
          <cell r="F7723" t="str">
            <v>SP-Other</v>
          </cell>
          <cell r="G7723" t="str">
            <v>SP-Other</v>
          </cell>
          <cell r="H7723" t="str">
            <v>SPREADS</v>
          </cell>
          <cell r="I7723" t="str">
            <v>Swap Spread - Libor</v>
          </cell>
        </row>
        <row r="7724">
          <cell r="A7724" t="str">
            <v>GBP_mod_libor_25yr</v>
          </cell>
          <cell r="B7724" t="str">
            <v>GBP Model LIBOR 25Y</v>
          </cell>
          <cell r="C7724" t="str">
            <v>BRS_GOLD__5_SPREADS:BRS_GOLD__3_SS:BRS_GOLD__2_SS_GBP:MOD_LIBOR_GBP:GBP_mod_libor_25yr</v>
          </cell>
          <cell r="D7724" t="str">
            <v>Libor KRD</v>
          </cell>
          <cell r="E7724" t="str">
            <v>Yield</v>
          </cell>
          <cell r="F7724" t="str">
            <v>SP-Other</v>
          </cell>
          <cell r="G7724" t="str">
            <v>SP-Other</v>
          </cell>
          <cell r="H7724" t="str">
            <v>SPREADS</v>
          </cell>
          <cell r="I7724" t="str">
            <v>Swap Spread - Libor</v>
          </cell>
        </row>
        <row r="7725">
          <cell r="A7725" t="str">
            <v>GBP_mod_libor_30yr</v>
          </cell>
          <cell r="B7725" t="str">
            <v>GBP Model LIBOR 30Y</v>
          </cell>
          <cell r="C7725" t="str">
            <v>BRS_GOLD__5_SPREADS:BRS_GOLD__3_SS:BRS_GOLD__2_SS_GBP:MOD_LIBOR_GBP:GBP_mod_libor_30yr</v>
          </cell>
          <cell r="D7725" t="str">
            <v>Libor KRD</v>
          </cell>
          <cell r="E7725" t="str">
            <v>Yield</v>
          </cell>
          <cell r="F7725" t="str">
            <v>SP-Other</v>
          </cell>
          <cell r="G7725" t="str">
            <v>SP-Other</v>
          </cell>
          <cell r="H7725" t="str">
            <v>SPREADS</v>
          </cell>
          <cell r="I7725" t="str">
            <v>Swap Spread - Libor</v>
          </cell>
        </row>
        <row r="7726">
          <cell r="A7726" t="str">
            <v>GBP_oisbasis_3m</v>
          </cell>
          <cell r="B7726" t="str">
            <v>GBP OIS BASIS 3M</v>
          </cell>
          <cell r="C7726" t="str">
            <v>BRS_GOLD__5_SPREADS:BRS_GOLD__3_SS:BRS_GOLD__2_SS_GBP:GBP_OIS:GBP_oisbasis_3m</v>
          </cell>
          <cell r="D7726" t="str">
            <v>Libor KRD</v>
          </cell>
          <cell r="E7726" t="str">
            <v>Yield</v>
          </cell>
          <cell r="F7726" t="str">
            <v>SP-Other</v>
          </cell>
          <cell r="G7726" t="str">
            <v>SP-Other</v>
          </cell>
          <cell r="H7726" t="str">
            <v>SPREADS</v>
          </cell>
          <cell r="I7726" t="str">
            <v>Swap Spread - Libor</v>
          </cell>
        </row>
        <row r="7727">
          <cell r="A7727" t="str">
            <v>GBP_oisbasis_1yr</v>
          </cell>
          <cell r="B7727" t="str">
            <v>GBP OIS BASIS 1Y</v>
          </cell>
          <cell r="C7727" t="str">
            <v>BRS_GOLD__5_SPREADS:BRS_GOLD__3_SS:BRS_GOLD__2_SS_GBP:GBP_OIS:GBP_oisbasis_1yr</v>
          </cell>
          <cell r="D7727" t="str">
            <v>Libor KRD</v>
          </cell>
          <cell r="E7727" t="str">
            <v>Yield</v>
          </cell>
          <cell r="F7727" t="str">
            <v>SP-Other</v>
          </cell>
          <cell r="G7727" t="str">
            <v>SP-Other</v>
          </cell>
          <cell r="H7727" t="str">
            <v>SPREADS</v>
          </cell>
          <cell r="I7727" t="str">
            <v>Swap Spread - Libor</v>
          </cell>
        </row>
        <row r="7728">
          <cell r="A7728" t="str">
            <v>GBP_oisbasis_2yr</v>
          </cell>
          <cell r="B7728" t="str">
            <v>GBP OIS BASIS 2Y</v>
          </cell>
          <cell r="C7728" t="str">
            <v>BRS_GOLD__5_SPREADS:BRS_GOLD__3_SS:BRS_GOLD__2_SS_GBP:GBP_OIS:GBP_oisbasis_2yr</v>
          </cell>
          <cell r="D7728" t="str">
            <v>Libor KRD</v>
          </cell>
          <cell r="E7728" t="str">
            <v>Yield</v>
          </cell>
          <cell r="F7728" t="str">
            <v>SP-Other</v>
          </cell>
          <cell r="G7728" t="str">
            <v>SP-Other</v>
          </cell>
          <cell r="H7728" t="str">
            <v>SPREADS</v>
          </cell>
          <cell r="I7728" t="str">
            <v>Swap Spread - Libor</v>
          </cell>
        </row>
        <row r="7729">
          <cell r="A7729" t="str">
            <v>GBP_oisbasis_3yr</v>
          </cell>
          <cell r="B7729" t="str">
            <v>GBP OIS BASIS 3Y</v>
          </cell>
          <cell r="C7729" t="str">
            <v>BRS_GOLD__5_SPREADS:BRS_GOLD__3_SS:BRS_GOLD__2_SS_GBP:GBP_OIS:GBP_oisbasis_3yr</v>
          </cell>
          <cell r="D7729" t="str">
            <v>Libor KRD</v>
          </cell>
          <cell r="E7729" t="str">
            <v>Yield</v>
          </cell>
          <cell r="F7729" t="str">
            <v>SP-Other</v>
          </cell>
          <cell r="G7729" t="str">
            <v>SP-Other</v>
          </cell>
          <cell r="H7729" t="str">
            <v>SPREADS</v>
          </cell>
          <cell r="I7729" t="str">
            <v>Swap Spread - Libor</v>
          </cell>
        </row>
        <row r="7730">
          <cell r="A7730" t="str">
            <v>GBP_oisbasis_5yr</v>
          </cell>
          <cell r="B7730" t="str">
            <v>GBP OIS BASIS 5Y</v>
          </cell>
          <cell r="C7730" t="str">
            <v>BRS_GOLD__5_SPREADS:BRS_GOLD__3_SS:BRS_GOLD__2_SS_GBP:GBP_OIS:GBP_oisbasis_5yr</v>
          </cell>
          <cell r="D7730" t="str">
            <v>Libor KRD</v>
          </cell>
          <cell r="E7730" t="str">
            <v>Yield</v>
          </cell>
          <cell r="F7730" t="str">
            <v>SP-Other</v>
          </cell>
          <cell r="G7730" t="str">
            <v>SP-Other</v>
          </cell>
          <cell r="H7730" t="str">
            <v>SPREADS</v>
          </cell>
          <cell r="I7730" t="str">
            <v>Swap Spread - Libor</v>
          </cell>
        </row>
        <row r="7731">
          <cell r="A7731" t="str">
            <v>GBP_oisbasis_7yr</v>
          </cell>
          <cell r="B7731" t="str">
            <v>GBP OIS BASIS 7Y</v>
          </cell>
          <cell r="C7731" t="str">
            <v>BRS_GOLD__5_SPREADS:BRS_GOLD__3_SS:BRS_GOLD__2_SS_GBP:GBP_OIS:GBP_oisbasis_7yr</v>
          </cell>
          <cell r="D7731" t="str">
            <v>Libor KRD</v>
          </cell>
          <cell r="E7731" t="str">
            <v>Yield</v>
          </cell>
          <cell r="F7731" t="str">
            <v>SP-Other</v>
          </cell>
          <cell r="G7731" t="str">
            <v>SP-Other</v>
          </cell>
          <cell r="H7731" t="str">
            <v>SPREADS</v>
          </cell>
          <cell r="I7731" t="str">
            <v>Swap Spread - Libor</v>
          </cell>
        </row>
        <row r="7732">
          <cell r="A7732" t="str">
            <v>GBP_oisbasis_10yr</v>
          </cell>
          <cell r="B7732" t="str">
            <v>GBP OIS BASIS 10Y</v>
          </cell>
          <cell r="C7732" t="str">
            <v>BRS_GOLD__5_SPREADS:BRS_GOLD__3_SS:BRS_GOLD__2_SS_GBP:GBP_OIS:GBP_oisbasis_10yr</v>
          </cell>
          <cell r="D7732" t="str">
            <v>Libor KRD</v>
          </cell>
          <cell r="E7732" t="str">
            <v>Yield</v>
          </cell>
          <cell r="F7732" t="str">
            <v>SP-Other</v>
          </cell>
          <cell r="G7732" t="str">
            <v>SP-Other</v>
          </cell>
          <cell r="H7732" t="str">
            <v>SPREADS</v>
          </cell>
          <cell r="I7732" t="str">
            <v>Swap Spread - Libor</v>
          </cell>
        </row>
        <row r="7733">
          <cell r="A7733" t="str">
            <v>GBP_oisbasis_15yr</v>
          </cell>
          <cell r="B7733" t="str">
            <v>GBP OIS BASIS 15Y</v>
          </cell>
          <cell r="C7733" t="str">
            <v>BRS_GOLD__5_SPREADS:BRS_GOLD__3_SS:BRS_GOLD__2_SS_GBP:GBP_OIS:GBP_oisbasis_15yr</v>
          </cell>
          <cell r="D7733" t="str">
            <v>Libor KRD</v>
          </cell>
          <cell r="E7733" t="str">
            <v>Yield</v>
          </cell>
          <cell r="F7733" t="str">
            <v>SP-Other</v>
          </cell>
          <cell r="G7733" t="str">
            <v>SP-Other</v>
          </cell>
          <cell r="H7733" t="str">
            <v>SPREADS</v>
          </cell>
          <cell r="I7733" t="str">
            <v>Swap Spread - Libor</v>
          </cell>
        </row>
        <row r="7734">
          <cell r="A7734" t="str">
            <v>GBP_oisbasis_20yr</v>
          </cell>
          <cell r="B7734" t="str">
            <v>GBP OIS BASIS 20Y</v>
          </cell>
          <cell r="C7734" t="str">
            <v>BRS_GOLD__5_SPREADS:BRS_GOLD__3_SS:BRS_GOLD__2_SS_GBP:GBP_OIS:GBP_oisbasis_20yr</v>
          </cell>
          <cell r="D7734" t="str">
            <v>Libor KRD</v>
          </cell>
          <cell r="E7734" t="str">
            <v>Yield</v>
          </cell>
          <cell r="F7734" t="str">
            <v>SP-Other</v>
          </cell>
          <cell r="G7734" t="str">
            <v>SP-Other</v>
          </cell>
          <cell r="H7734" t="str">
            <v>SPREADS</v>
          </cell>
          <cell r="I7734" t="str">
            <v>Swap Spread - Libor</v>
          </cell>
        </row>
        <row r="7735">
          <cell r="A7735" t="str">
            <v>GBP_oisbasis_25yr</v>
          </cell>
          <cell r="B7735" t="str">
            <v>GBP OIS BASIS 25Y</v>
          </cell>
          <cell r="C7735" t="str">
            <v>BRS_GOLD__5_SPREADS:BRS_GOLD__3_SS:BRS_GOLD__2_SS_GBP:GBP_OIS:GBP_oisbasis_25yr</v>
          </cell>
          <cell r="D7735" t="str">
            <v>Libor KRD</v>
          </cell>
          <cell r="E7735" t="str">
            <v>Yield</v>
          </cell>
          <cell r="F7735" t="str">
            <v>SP-Other</v>
          </cell>
          <cell r="G7735" t="str">
            <v>SP-Other</v>
          </cell>
          <cell r="H7735" t="str">
            <v>SPREADS</v>
          </cell>
          <cell r="I7735" t="str">
            <v>Swap Spread - Libor</v>
          </cell>
        </row>
        <row r="7736">
          <cell r="A7736" t="str">
            <v>GBP_oisbasis_30yr</v>
          </cell>
          <cell r="B7736" t="str">
            <v>GBP OIS BASIS 30Y</v>
          </cell>
          <cell r="C7736" t="str">
            <v>BRS_GOLD__5_SPREADS:BRS_GOLD__3_SS:BRS_GOLD__2_SS_GBP:GBP_OIS:GBP_oisbasis_30yr</v>
          </cell>
          <cell r="D7736" t="str">
            <v>Libor KRD</v>
          </cell>
          <cell r="E7736" t="str">
            <v>Yield</v>
          </cell>
          <cell r="F7736" t="str">
            <v>SP-Other</v>
          </cell>
          <cell r="G7736" t="str">
            <v>SP-Other</v>
          </cell>
          <cell r="H7736" t="str">
            <v>SPREADS</v>
          </cell>
          <cell r="I7736" t="str">
            <v>Swap Spread - Libor</v>
          </cell>
        </row>
        <row r="7737">
          <cell r="A7737" t="str">
            <v>GBP_oisbasis_40yr</v>
          </cell>
          <cell r="B7737" t="str">
            <v>GBP OIS BASIS 40Y</v>
          </cell>
          <cell r="C7737" t="str">
            <v>BRS_GOLD__5_SPREADS:BRS_GOLD__3_SS:BRS_GOLD__2_SS_GBP:GBP_OIS:GBP_oisbasis_40yr</v>
          </cell>
          <cell r="D7737" t="str">
            <v>Libor KRD</v>
          </cell>
          <cell r="E7737" t="str">
            <v>Yield</v>
          </cell>
          <cell r="F7737" t="str">
            <v>SP-Other</v>
          </cell>
          <cell r="G7737" t="str">
            <v>SP-Other</v>
          </cell>
          <cell r="H7737" t="str">
            <v>SPREADS</v>
          </cell>
          <cell r="I7737" t="str">
            <v>Swap Spread - Libor</v>
          </cell>
        </row>
        <row r="7738">
          <cell r="A7738" t="str">
            <v>GBP_oisbasis_50yr</v>
          </cell>
          <cell r="B7738" t="str">
            <v>GBP OIS BASIS 50Y</v>
          </cell>
          <cell r="C7738" t="str">
            <v>BRS_GOLD__5_SPREADS:BRS_GOLD__3_SS:BRS_GOLD__2_SS_GBP:GBP_OIS:GBP_oisbasis_50yr</v>
          </cell>
          <cell r="D7738" t="str">
            <v>Libor KRD</v>
          </cell>
          <cell r="E7738" t="str">
            <v>Yield</v>
          </cell>
          <cell r="F7738" t="str">
            <v>SP-Other</v>
          </cell>
          <cell r="G7738" t="str">
            <v>SP-Other</v>
          </cell>
          <cell r="H7738" t="str">
            <v>SPREADS</v>
          </cell>
          <cell r="I7738" t="str">
            <v>Swap Spread - Libor</v>
          </cell>
        </row>
        <row r="7739">
          <cell r="A7739" t="str">
            <v>GBP_lib3m6mbasis_3m</v>
          </cell>
          <cell r="B7739" t="str">
            <v>GBP 3M 6M LIB BASIS 3M</v>
          </cell>
          <cell r="C7739" t="str">
            <v>BRS_GOLD__5_SPREADS:BRS_GOLD__3_SS:BRS_GOLD__2_SS_GBP:GBP_LIB3M6M:GBP_lib3m6mbasis_3m</v>
          </cell>
          <cell r="D7739" t="str">
            <v>Libor KRD</v>
          </cell>
          <cell r="E7739" t="str">
            <v>Yield</v>
          </cell>
          <cell r="F7739" t="str">
            <v>SP-Other</v>
          </cell>
          <cell r="G7739" t="str">
            <v>SP-Other</v>
          </cell>
          <cell r="H7739" t="str">
            <v>SPREADS</v>
          </cell>
          <cell r="I7739" t="str">
            <v>Swap Spread - Libor</v>
          </cell>
        </row>
        <row r="7740">
          <cell r="A7740" t="str">
            <v>GBP_lib3m6mbasis_1yr</v>
          </cell>
          <cell r="B7740" t="str">
            <v>GBP 3M 6M LIB BASIS 1Y</v>
          </cell>
          <cell r="C7740" t="str">
            <v>BRS_GOLD__5_SPREADS:BRS_GOLD__3_SS:BRS_GOLD__2_SS_GBP:GBP_LIB3M6M:GBP_lib3m6mbasis_1yr</v>
          </cell>
          <cell r="D7740" t="str">
            <v>Libor KRD</v>
          </cell>
          <cell r="E7740" t="str">
            <v>Yield</v>
          </cell>
          <cell r="F7740" t="str">
            <v>SP-Other</v>
          </cell>
          <cell r="G7740" t="str">
            <v>SP-Other</v>
          </cell>
          <cell r="H7740" t="str">
            <v>SPREADS</v>
          </cell>
          <cell r="I7740" t="str">
            <v>Swap Spread - Libor</v>
          </cell>
        </row>
        <row r="7741">
          <cell r="A7741" t="str">
            <v>GBP_lib3m6mbasis_2yr</v>
          </cell>
          <cell r="B7741" t="str">
            <v>GBP 3M 6M LIB BASIS 2Y</v>
          </cell>
          <cell r="C7741" t="str">
            <v>BRS_GOLD__5_SPREADS:BRS_GOLD__3_SS:BRS_GOLD__2_SS_GBP:GBP_LIB3M6M:GBP_lib3m6mbasis_2yr</v>
          </cell>
          <cell r="D7741" t="str">
            <v>Libor KRD</v>
          </cell>
          <cell r="E7741" t="str">
            <v>Yield</v>
          </cell>
          <cell r="F7741" t="str">
            <v>SP-Other</v>
          </cell>
          <cell r="G7741" t="str">
            <v>SP-Other</v>
          </cell>
          <cell r="H7741" t="str">
            <v>SPREADS</v>
          </cell>
          <cell r="I7741" t="str">
            <v>Swap Spread - Libor</v>
          </cell>
        </row>
        <row r="7742">
          <cell r="A7742" t="str">
            <v>GBP_lib3m6mbasis_3yr</v>
          </cell>
          <cell r="B7742" t="str">
            <v>GBP 3M 6M LIB BASIS 3Y</v>
          </cell>
          <cell r="C7742" t="str">
            <v>BRS_GOLD__5_SPREADS:BRS_GOLD__3_SS:BRS_GOLD__2_SS_GBP:GBP_LIB3M6M:GBP_lib3m6mbasis_3yr</v>
          </cell>
          <cell r="D7742" t="str">
            <v>Libor KRD</v>
          </cell>
          <cell r="E7742" t="str">
            <v>Yield</v>
          </cell>
          <cell r="F7742" t="str">
            <v>SP-Other</v>
          </cell>
          <cell r="G7742" t="str">
            <v>SP-Other</v>
          </cell>
          <cell r="H7742" t="str">
            <v>SPREADS</v>
          </cell>
          <cell r="I7742" t="str">
            <v>Swap Spread - Libor</v>
          </cell>
        </row>
        <row r="7743">
          <cell r="A7743" t="str">
            <v>GBP_lib3m6mbasis_5yr</v>
          </cell>
          <cell r="B7743" t="str">
            <v>GBP 3M 6M LIB BASIS 5Y</v>
          </cell>
          <cell r="C7743" t="str">
            <v>BRS_GOLD__5_SPREADS:BRS_GOLD__3_SS:BRS_GOLD__2_SS_GBP:GBP_LIB3M6M:GBP_lib3m6mbasis_5yr</v>
          </cell>
          <cell r="D7743" t="str">
            <v>Libor KRD</v>
          </cell>
          <cell r="E7743" t="str">
            <v>Yield</v>
          </cell>
          <cell r="F7743" t="str">
            <v>SP-Other</v>
          </cell>
          <cell r="G7743" t="str">
            <v>SP-Other</v>
          </cell>
          <cell r="H7743" t="str">
            <v>SPREADS</v>
          </cell>
          <cell r="I7743" t="str">
            <v>Swap Spread - Libor</v>
          </cell>
        </row>
        <row r="7744">
          <cell r="A7744" t="str">
            <v>GBP_lib3m6mbasis_7yr</v>
          </cell>
          <cell r="B7744" t="str">
            <v>GBP 3M 6M LIB BASIS 7Y</v>
          </cell>
          <cell r="C7744" t="str">
            <v>BRS_GOLD__5_SPREADS:BRS_GOLD__3_SS:BRS_GOLD__2_SS_GBP:GBP_LIB3M6M:GBP_lib3m6mbasis_7yr</v>
          </cell>
          <cell r="D7744" t="str">
            <v>Libor KRD</v>
          </cell>
          <cell r="E7744" t="str">
            <v>Yield</v>
          </cell>
          <cell r="F7744" t="str">
            <v>SP-Other</v>
          </cell>
          <cell r="G7744" t="str">
            <v>SP-Other</v>
          </cell>
          <cell r="H7744" t="str">
            <v>SPREADS</v>
          </cell>
          <cell r="I7744" t="str">
            <v>Swap Spread - Libor</v>
          </cell>
        </row>
        <row r="7745">
          <cell r="A7745" t="str">
            <v>GBP_lib3m6mbasis_10yr</v>
          </cell>
          <cell r="B7745" t="str">
            <v>GBP 3M 6M LIB BASIS 10Y</v>
          </cell>
          <cell r="C7745" t="str">
            <v>BRS_GOLD__5_SPREADS:BRS_GOLD__3_SS:BRS_GOLD__2_SS_GBP:GBP_LIB3M6M:GBP_lib3m6mbasis_10yr</v>
          </cell>
          <cell r="D7745" t="str">
            <v>Libor KRD</v>
          </cell>
          <cell r="E7745" t="str">
            <v>Yield</v>
          </cell>
          <cell r="F7745" t="str">
            <v>SP-Other</v>
          </cell>
          <cell r="G7745" t="str">
            <v>SP-Other</v>
          </cell>
          <cell r="H7745" t="str">
            <v>SPREADS</v>
          </cell>
          <cell r="I7745" t="str">
            <v>Swap Spread - Libor</v>
          </cell>
        </row>
        <row r="7746">
          <cell r="A7746" t="str">
            <v>GBP_lib3m6mbasis_15yr</v>
          </cell>
          <cell r="B7746" t="str">
            <v>GBP 3M 6M LIB BASIS 15Y</v>
          </cell>
          <cell r="C7746" t="str">
            <v>BRS_GOLD__5_SPREADS:BRS_GOLD__3_SS:BRS_GOLD__2_SS_GBP:GBP_LIB3M6M:GBP_lib3m6mbasis_15yr</v>
          </cell>
          <cell r="D7746" t="str">
            <v>Libor KRD</v>
          </cell>
          <cell r="E7746" t="str">
            <v>Yield</v>
          </cell>
          <cell r="F7746" t="str">
            <v>SP-Other</v>
          </cell>
          <cell r="G7746" t="str">
            <v>SP-Other</v>
          </cell>
          <cell r="H7746" t="str">
            <v>SPREADS</v>
          </cell>
          <cell r="I7746" t="str">
            <v>Swap Spread - Libor</v>
          </cell>
        </row>
        <row r="7747">
          <cell r="A7747" t="str">
            <v>GBP_lib3m6mbasis_20yr</v>
          </cell>
          <cell r="B7747" t="str">
            <v>GBP 3M 6M LIB BASIS 20Y</v>
          </cell>
          <cell r="C7747" t="str">
            <v>BRS_GOLD__5_SPREADS:BRS_GOLD__3_SS:BRS_GOLD__2_SS_GBP:GBP_LIB3M6M:GBP_lib3m6mbasis_20yr</v>
          </cell>
          <cell r="D7747" t="str">
            <v>Libor KRD</v>
          </cell>
          <cell r="E7747" t="str">
            <v>Yield</v>
          </cell>
          <cell r="F7747" t="str">
            <v>SP-Other</v>
          </cell>
          <cell r="G7747" t="str">
            <v>SP-Other</v>
          </cell>
          <cell r="H7747" t="str">
            <v>SPREADS</v>
          </cell>
          <cell r="I7747" t="str">
            <v>Swap Spread - Libor</v>
          </cell>
        </row>
        <row r="7748">
          <cell r="A7748" t="str">
            <v>GBP_lib3m6mbasis_25yr</v>
          </cell>
          <cell r="B7748" t="str">
            <v>GBP 3M 6M LIB BASIS 25Y</v>
          </cell>
          <cell r="C7748" t="str">
            <v>BRS_GOLD__5_SPREADS:BRS_GOLD__3_SS:BRS_GOLD__2_SS_GBP:GBP_LIB3M6M:GBP_lib3m6mbasis_25yr</v>
          </cell>
          <cell r="D7748" t="str">
            <v>Libor KRD</v>
          </cell>
          <cell r="E7748" t="str">
            <v>Yield</v>
          </cell>
          <cell r="F7748" t="str">
            <v>SP-Other</v>
          </cell>
          <cell r="G7748" t="str">
            <v>SP-Other</v>
          </cell>
          <cell r="H7748" t="str">
            <v>SPREADS</v>
          </cell>
          <cell r="I7748" t="str">
            <v>Swap Spread - Libor</v>
          </cell>
        </row>
        <row r="7749">
          <cell r="A7749" t="str">
            <v>GBP_lib3m6mbasis_30yr</v>
          </cell>
          <cell r="B7749" t="str">
            <v>GBP 3M 6M LIB BASIS 30Y</v>
          </cell>
          <cell r="C7749" t="str">
            <v>BRS_GOLD__5_SPREADS:BRS_GOLD__3_SS:BRS_GOLD__2_SS_GBP:GBP_LIB3M6M:GBP_lib3m6mbasis_30yr</v>
          </cell>
          <cell r="D7749" t="str">
            <v>Libor KRD</v>
          </cell>
          <cell r="E7749" t="str">
            <v>Yield</v>
          </cell>
          <cell r="F7749" t="str">
            <v>SP-Other</v>
          </cell>
          <cell r="G7749" t="str">
            <v>SP-Other</v>
          </cell>
          <cell r="H7749" t="str">
            <v>SPREADS</v>
          </cell>
          <cell r="I7749" t="str">
            <v>Swap Spread - Libor</v>
          </cell>
        </row>
        <row r="7750">
          <cell r="A7750" t="str">
            <v>GBP_lib3m6mbasis_40yr</v>
          </cell>
          <cell r="B7750" t="str">
            <v>GBP 3M 6M LIB BASIS 40Y</v>
          </cell>
          <cell r="C7750" t="str">
            <v>BRS_GOLD__5_SPREADS:BRS_GOLD__3_SS:BRS_GOLD__2_SS_GBP:GBP_LIB3M6M:GBP_lib3m6mbasis_40yr</v>
          </cell>
          <cell r="D7750" t="str">
            <v>Libor KRD</v>
          </cell>
          <cell r="E7750" t="str">
            <v>Yield</v>
          </cell>
          <cell r="F7750" t="str">
            <v>SP-Other</v>
          </cell>
          <cell r="G7750" t="str">
            <v>SP-Other</v>
          </cell>
          <cell r="H7750" t="str">
            <v>SPREADS</v>
          </cell>
          <cell r="I7750" t="str">
            <v>Swap Spread - Libor</v>
          </cell>
        </row>
        <row r="7751">
          <cell r="A7751" t="str">
            <v>GBP_lib3m6mbasis_50yr</v>
          </cell>
          <cell r="B7751" t="str">
            <v>GBP 3M 6M LIB BASIS 50Y</v>
          </cell>
          <cell r="C7751" t="str">
            <v>BRS_GOLD__5_SPREADS:BRS_GOLD__3_SS:BRS_GOLD__2_SS_GBP:GBP_LIB3M6M:GBP_lib3m6mbasis_50yr</v>
          </cell>
          <cell r="D7751" t="str">
            <v>Libor KRD</v>
          </cell>
          <cell r="E7751" t="str">
            <v>Yield</v>
          </cell>
          <cell r="F7751" t="str">
            <v>SP-Other</v>
          </cell>
          <cell r="G7751" t="str">
            <v>SP-Other</v>
          </cell>
          <cell r="H7751" t="str">
            <v>SPREADS</v>
          </cell>
          <cell r="I7751" t="str">
            <v>Swap Spread - Libor</v>
          </cell>
        </row>
        <row r="7752">
          <cell r="A7752" t="str">
            <v>GBP_sonia_3m</v>
          </cell>
          <cell r="B7752" t="str">
            <v>SONIA 3M</v>
          </cell>
          <cell r="C7752" t="str">
            <v>BRS_GOLD__5_SPREADS:BRS_GOLD__3_SS:BRS_GOLD__2_SS_GBP:GBP_ARR:GBP_sonia_3m</v>
          </cell>
          <cell r="F7752" t="str">
            <v>SP-Other</v>
          </cell>
          <cell r="G7752" t="str">
            <v>SP-Other</v>
          </cell>
          <cell r="H7752" t="str">
            <v>SPREADS</v>
          </cell>
          <cell r="I7752" t="str">
            <v>Swap Spread - OIS</v>
          </cell>
        </row>
        <row r="7753">
          <cell r="A7753" t="str">
            <v>GBP_sonia_1yr</v>
          </cell>
          <cell r="B7753" t="str">
            <v>SONIA 1Y</v>
          </cell>
          <cell r="C7753" t="str">
            <v>BRS_GOLD__5_SPREADS:BRS_GOLD__3_SS:BRS_GOLD__2_SS_GBP:GBP_ARR:GBP_sonia_1yr</v>
          </cell>
          <cell r="F7753" t="str">
            <v>SP-Other</v>
          </cell>
          <cell r="G7753" t="str">
            <v>SP-Other</v>
          </cell>
          <cell r="H7753" t="str">
            <v>SPREADS</v>
          </cell>
          <cell r="I7753" t="str">
            <v>Swap Spread - OIS</v>
          </cell>
        </row>
        <row r="7754">
          <cell r="A7754" t="str">
            <v>GBP_sonia_2yr</v>
          </cell>
          <cell r="B7754" t="str">
            <v>SONIA 2Y</v>
          </cell>
          <cell r="C7754" t="str">
            <v>BRS_GOLD__5_SPREADS:BRS_GOLD__3_SS:BRS_GOLD__2_SS_GBP:GBP_ARR:GBP_sonia_2yr</v>
          </cell>
          <cell r="F7754" t="str">
            <v>SP-Other</v>
          </cell>
          <cell r="G7754" t="str">
            <v>SP-Other</v>
          </cell>
          <cell r="H7754" t="str">
            <v>SPREADS</v>
          </cell>
          <cell r="I7754" t="str">
            <v>Swap Spread - OIS</v>
          </cell>
        </row>
        <row r="7755">
          <cell r="A7755" t="str">
            <v>GBP_sonia_3yr</v>
          </cell>
          <cell r="B7755" t="str">
            <v>SONIA 3Y</v>
          </cell>
          <cell r="C7755" t="str">
            <v>BRS_GOLD__5_SPREADS:BRS_GOLD__3_SS:BRS_GOLD__2_SS_GBP:GBP_ARR:GBP_sonia_3yr</v>
          </cell>
          <cell r="F7755" t="str">
            <v>SP-Other</v>
          </cell>
          <cell r="G7755" t="str">
            <v>SP-Other</v>
          </cell>
          <cell r="H7755" t="str">
            <v>SPREADS</v>
          </cell>
          <cell r="I7755" t="str">
            <v>Swap Spread - OIS</v>
          </cell>
        </row>
        <row r="7756">
          <cell r="A7756" t="str">
            <v>GBP_sonia_5yr</v>
          </cell>
          <cell r="B7756" t="str">
            <v>SONIA 5Y</v>
          </cell>
          <cell r="C7756" t="str">
            <v>BRS_GOLD__5_SPREADS:BRS_GOLD__3_SS:BRS_GOLD__2_SS_GBP:GBP_ARR:GBP_sonia_5yr</v>
          </cell>
          <cell r="F7756" t="str">
            <v>SP-Other</v>
          </cell>
          <cell r="G7756" t="str">
            <v>SP-Other</v>
          </cell>
          <cell r="H7756" t="str">
            <v>SPREADS</v>
          </cell>
          <cell r="I7756" t="str">
            <v>Swap Spread - OIS</v>
          </cell>
        </row>
        <row r="7757">
          <cell r="A7757" t="str">
            <v>GBP_sonia_7yr</v>
          </cell>
          <cell r="B7757" t="str">
            <v>SONIA 7Y</v>
          </cell>
          <cell r="C7757" t="str">
            <v>BRS_GOLD__5_SPREADS:BRS_GOLD__3_SS:BRS_GOLD__2_SS_GBP:GBP_ARR:GBP_sonia_7yr</v>
          </cell>
          <cell r="F7757" t="str">
            <v>SP-Other</v>
          </cell>
          <cell r="G7757" t="str">
            <v>SP-Other</v>
          </cell>
          <cell r="H7757" t="str">
            <v>SPREADS</v>
          </cell>
          <cell r="I7757" t="str">
            <v>Swap Spread - OIS</v>
          </cell>
        </row>
        <row r="7758">
          <cell r="A7758" t="str">
            <v>GBP_sonia_10yr</v>
          </cell>
          <cell r="B7758" t="str">
            <v>SONIA 10Y</v>
          </cell>
          <cell r="C7758" t="str">
            <v>BRS_GOLD__5_SPREADS:BRS_GOLD__3_SS:BRS_GOLD__2_SS_GBP:GBP_ARR:GBP_sonia_10yr</v>
          </cell>
          <cell r="F7758" t="str">
            <v>SP-Other</v>
          </cell>
          <cell r="G7758" t="str">
            <v>SP-Other</v>
          </cell>
          <cell r="H7758" t="str">
            <v>SPREADS</v>
          </cell>
          <cell r="I7758" t="str">
            <v>Swap Spread - OIS</v>
          </cell>
        </row>
        <row r="7759">
          <cell r="A7759" t="str">
            <v>GBP_sonia_15yr</v>
          </cell>
          <cell r="B7759" t="str">
            <v>SONIA 15Y</v>
          </cell>
          <cell r="C7759" t="str">
            <v>BRS_GOLD__5_SPREADS:BRS_GOLD__3_SS:BRS_GOLD__2_SS_GBP:GBP_ARR:GBP_sonia_15yr</v>
          </cell>
          <cell r="F7759" t="str">
            <v>SP-Other</v>
          </cell>
          <cell r="G7759" t="str">
            <v>SP-Other</v>
          </cell>
          <cell r="H7759" t="str">
            <v>SPREADS</v>
          </cell>
          <cell r="I7759" t="str">
            <v>Swap Spread - OIS</v>
          </cell>
        </row>
        <row r="7760">
          <cell r="A7760" t="str">
            <v>GBP_sonia_20yr</v>
          </cell>
          <cell r="B7760" t="str">
            <v>SONIA 20Y</v>
          </cell>
          <cell r="C7760" t="str">
            <v>BRS_GOLD__5_SPREADS:BRS_GOLD__3_SS:BRS_GOLD__2_SS_GBP:GBP_ARR:GBP_sonia_20yr</v>
          </cell>
          <cell r="F7760" t="str">
            <v>SP-Other</v>
          </cell>
          <cell r="G7760" t="str">
            <v>SP-Other</v>
          </cell>
          <cell r="H7760" t="str">
            <v>SPREADS</v>
          </cell>
          <cell r="I7760" t="str">
            <v>Swap Spread - OIS</v>
          </cell>
        </row>
        <row r="7761">
          <cell r="A7761" t="str">
            <v>GBP_sonia_25yr</v>
          </cell>
          <cell r="B7761" t="str">
            <v>SONIA 25Y</v>
          </cell>
          <cell r="C7761" t="str">
            <v>BRS_GOLD__5_SPREADS:BRS_GOLD__3_SS:BRS_GOLD__2_SS_GBP:GBP_ARR:GBP_sonia_25yr</v>
          </cell>
          <cell r="F7761" t="str">
            <v>SP-Other</v>
          </cell>
          <cell r="G7761" t="str">
            <v>SP-Other</v>
          </cell>
          <cell r="H7761" t="str">
            <v>SPREADS</v>
          </cell>
          <cell r="I7761" t="str">
            <v>Swap Spread - OIS</v>
          </cell>
        </row>
        <row r="7762">
          <cell r="A7762" t="str">
            <v>GBP_sonia_30yr</v>
          </cell>
          <cell r="B7762" t="str">
            <v>SONIA 30Y</v>
          </cell>
          <cell r="C7762" t="str">
            <v>BRS_GOLD__5_SPREADS:BRS_GOLD__3_SS:BRS_GOLD__2_SS_GBP:GBP_ARR:GBP_sonia_30yr</v>
          </cell>
          <cell r="F7762" t="str">
            <v>SP-Other</v>
          </cell>
          <cell r="G7762" t="str">
            <v>SP-Other</v>
          </cell>
          <cell r="H7762" t="str">
            <v>SPREADS</v>
          </cell>
          <cell r="I7762" t="str">
            <v>Swap Spread - OIS</v>
          </cell>
        </row>
        <row r="7763">
          <cell r="A7763" t="str">
            <v>GBP_sonia_40yr</v>
          </cell>
          <cell r="B7763" t="str">
            <v>SONIA 40Y</v>
          </cell>
          <cell r="C7763" t="str">
            <v>BRS_GOLD__5_SPREADS:BRS_GOLD__3_SS:BRS_GOLD__2_SS_GBP:GBP_ARR:GBP_sonia_40yr</v>
          </cell>
          <cell r="F7763" t="str">
            <v>SP-Other</v>
          </cell>
          <cell r="G7763" t="str">
            <v>SP-Other</v>
          </cell>
          <cell r="H7763" t="str">
            <v>SPREADS</v>
          </cell>
          <cell r="I7763" t="str">
            <v>Swap Spread - OIS</v>
          </cell>
        </row>
        <row r="7764">
          <cell r="A7764" t="str">
            <v>GBP_sonia_50yr</v>
          </cell>
          <cell r="B7764" t="str">
            <v>SONIA 50Y</v>
          </cell>
          <cell r="C7764" t="str">
            <v>BRS_GOLD__5_SPREADS:BRS_GOLD__3_SS:BRS_GOLD__2_SS_GBP:GBP_ARR:GBP_sonia_50yr</v>
          </cell>
          <cell r="F7764" t="str">
            <v>SP-Other</v>
          </cell>
          <cell r="G7764" t="str">
            <v>SP-Other</v>
          </cell>
          <cell r="H7764" t="str">
            <v>SPREADS</v>
          </cell>
          <cell r="I7764" t="str">
            <v>Swap Spread - OIS</v>
          </cell>
        </row>
        <row r="7765">
          <cell r="A7765" t="str">
            <v>JPY_libor_3m</v>
          </cell>
          <cell r="B7765" t="str">
            <v>JPY LIBOR 3M</v>
          </cell>
          <cell r="C7765" t="str">
            <v>BRS_GOLD__5_SPREADS:BRS_GOLD__3_SS:BRS_GOLD__2_SS_JPY:JPY_LIB:JPY_libor_3m</v>
          </cell>
          <cell r="D7765" t="str">
            <v>Libor KRD</v>
          </cell>
          <cell r="E7765" t="str">
            <v>Yield</v>
          </cell>
          <cell r="F7765" t="str">
            <v>SP-Other</v>
          </cell>
          <cell r="G7765" t="str">
            <v>SP-Other</v>
          </cell>
          <cell r="H7765" t="str">
            <v>SPREADS</v>
          </cell>
          <cell r="I7765" t="str">
            <v>Swap Spread - Libor</v>
          </cell>
        </row>
        <row r="7766">
          <cell r="A7766" t="str">
            <v>JPY_libor_1yr</v>
          </cell>
          <cell r="B7766" t="str">
            <v>JPY LIBOR 1Y</v>
          </cell>
          <cell r="C7766" t="str">
            <v>BRS_GOLD__5_SPREADS:BRS_GOLD__3_SS:BRS_GOLD__2_SS_JPY:JPY_LIB:JPY_libor_1yr</v>
          </cell>
          <cell r="D7766" t="str">
            <v>Libor KRD</v>
          </cell>
          <cell r="E7766" t="str">
            <v>Yield</v>
          </cell>
          <cell r="F7766" t="str">
            <v>SP-Other</v>
          </cell>
          <cell r="G7766" t="str">
            <v>SP-Other</v>
          </cell>
          <cell r="H7766" t="str">
            <v>SPREADS</v>
          </cell>
          <cell r="I7766" t="str">
            <v>Swap Spread - Libor</v>
          </cell>
        </row>
        <row r="7767">
          <cell r="A7767" t="str">
            <v>JPY_libor_2yr</v>
          </cell>
          <cell r="B7767" t="str">
            <v>JPY LIBOR 2Y</v>
          </cell>
          <cell r="C7767" t="str">
            <v>BRS_GOLD__5_SPREADS:BRS_GOLD__3_SS:BRS_GOLD__2_SS_JPY:JPY_LIB:JPY_libor_2yr</v>
          </cell>
          <cell r="D7767" t="str">
            <v>Libor KRD</v>
          </cell>
          <cell r="E7767" t="str">
            <v>Yield</v>
          </cell>
          <cell r="F7767" t="str">
            <v>SP-Other</v>
          </cell>
          <cell r="G7767" t="str">
            <v>SP-Other</v>
          </cell>
          <cell r="H7767" t="str">
            <v>SPREADS</v>
          </cell>
          <cell r="I7767" t="str">
            <v>Swap Spread - Libor</v>
          </cell>
        </row>
        <row r="7768">
          <cell r="A7768" t="str">
            <v>JPY_libor_3yr</v>
          </cell>
          <cell r="B7768" t="str">
            <v>JPY LIBOR 3Y</v>
          </cell>
          <cell r="C7768" t="str">
            <v>BRS_GOLD__5_SPREADS:BRS_GOLD__3_SS:BRS_GOLD__2_SS_JPY:JPY_LIB:JPY_libor_3yr</v>
          </cell>
          <cell r="D7768" t="str">
            <v>Libor KRD</v>
          </cell>
          <cell r="E7768" t="str">
            <v>Yield</v>
          </cell>
          <cell r="F7768" t="str">
            <v>SP-Other</v>
          </cell>
          <cell r="G7768" t="str">
            <v>SP-Other</v>
          </cell>
          <cell r="H7768" t="str">
            <v>SPREADS</v>
          </cell>
          <cell r="I7768" t="str">
            <v>Swap Spread - Libor</v>
          </cell>
        </row>
        <row r="7769">
          <cell r="A7769" t="str">
            <v>JPY_libor_5yr</v>
          </cell>
          <cell r="B7769" t="str">
            <v>JPY LIBOR 5Y</v>
          </cell>
          <cell r="C7769" t="str">
            <v>BRS_GOLD__5_SPREADS:BRS_GOLD__3_SS:BRS_GOLD__2_SS_JPY:JPY_LIB:JPY_libor_5yr</v>
          </cell>
          <cell r="D7769" t="str">
            <v>Libor KRD</v>
          </cell>
          <cell r="E7769" t="str">
            <v>Yield</v>
          </cell>
          <cell r="F7769" t="str">
            <v>SP-Other</v>
          </cell>
          <cell r="G7769" t="str">
            <v>SP-Other</v>
          </cell>
          <cell r="H7769" t="str">
            <v>SPREADS</v>
          </cell>
          <cell r="I7769" t="str">
            <v>Swap Spread - Libor</v>
          </cell>
        </row>
        <row r="7770">
          <cell r="A7770" t="str">
            <v>JPY_libor_7yr</v>
          </cell>
          <cell r="B7770" t="str">
            <v>JPY LIBOR 7Y</v>
          </cell>
          <cell r="C7770" t="str">
            <v>BRS_GOLD__5_SPREADS:BRS_GOLD__3_SS:BRS_GOLD__2_SS_JPY:JPY_LIB:JPY_libor_7yr</v>
          </cell>
          <cell r="D7770" t="str">
            <v>Libor KRD</v>
          </cell>
          <cell r="E7770" t="str">
            <v>Yield</v>
          </cell>
          <cell r="F7770" t="str">
            <v>SP-Other</v>
          </cell>
          <cell r="G7770" t="str">
            <v>SP-Other</v>
          </cell>
          <cell r="H7770" t="str">
            <v>SPREADS</v>
          </cell>
          <cell r="I7770" t="str">
            <v>Swap Spread - Libor</v>
          </cell>
        </row>
        <row r="7771">
          <cell r="A7771" t="str">
            <v>JPY_libor_10yr</v>
          </cell>
          <cell r="B7771" t="str">
            <v>JPY LIBOR 10Y</v>
          </cell>
          <cell r="C7771" t="str">
            <v>BRS_GOLD__5_SPREADS:BRS_GOLD__3_SS:BRS_GOLD__2_SS_JPY:JPY_LIB:JPY_libor_10yr</v>
          </cell>
          <cell r="D7771" t="str">
            <v>Libor KRD</v>
          </cell>
          <cell r="E7771" t="str">
            <v>Yield</v>
          </cell>
          <cell r="F7771" t="str">
            <v>SP-Other</v>
          </cell>
          <cell r="G7771" t="str">
            <v>SP-Other</v>
          </cell>
          <cell r="H7771" t="str">
            <v>SPREADS</v>
          </cell>
          <cell r="I7771" t="str">
            <v>Swap Spread - Libor</v>
          </cell>
        </row>
        <row r="7772">
          <cell r="A7772" t="str">
            <v>JPY_libor_15yr</v>
          </cell>
          <cell r="B7772" t="str">
            <v>JPY LIBOR 15Y</v>
          </cell>
          <cell r="C7772" t="str">
            <v>BRS_GOLD__5_SPREADS:BRS_GOLD__3_SS:BRS_GOLD__2_SS_JPY:JPY_LIB:JPY_libor_15yr</v>
          </cell>
          <cell r="D7772" t="str">
            <v>Libor KRD</v>
          </cell>
          <cell r="E7772" t="str">
            <v>Yield</v>
          </cell>
          <cell r="F7772" t="str">
            <v>SP-Other</v>
          </cell>
          <cell r="G7772" t="str">
            <v>SP-Other</v>
          </cell>
          <cell r="H7772" t="str">
            <v>SPREADS</v>
          </cell>
          <cell r="I7772" t="str">
            <v>Swap Spread - Libor</v>
          </cell>
        </row>
        <row r="7773">
          <cell r="A7773" t="str">
            <v>JPY_libor_20yr</v>
          </cell>
          <cell r="B7773" t="str">
            <v>JPY LIBOR 20Y</v>
          </cell>
          <cell r="C7773" t="str">
            <v>BRS_GOLD__5_SPREADS:BRS_GOLD__3_SS:BRS_GOLD__2_SS_JPY:JPY_LIB:JPY_libor_20yr</v>
          </cell>
          <cell r="D7773" t="str">
            <v>Libor KRD</v>
          </cell>
          <cell r="E7773" t="str">
            <v>Yield</v>
          </cell>
          <cell r="F7773" t="str">
            <v>SP-Other</v>
          </cell>
          <cell r="G7773" t="str">
            <v>SP-Other</v>
          </cell>
          <cell r="H7773" t="str">
            <v>SPREADS</v>
          </cell>
          <cell r="I7773" t="str">
            <v>Swap Spread - Libor</v>
          </cell>
        </row>
        <row r="7774">
          <cell r="A7774" t="str">
            <v>JPY_libor_25yr</v>
          </cell>
          <cell r="B7774" t="str">
            <v>JPY LIBOR 25Y</v>
          </cell>
          <cell r="C7774" t="str">
            <v>BRS_GOLD__5_SPREADS:BRS_GOLD__3_SS:BRS_GOLD__2_SS_JPY:JPY_LIB:JPY_libor_25yr</v>
          </cell>
          <cell r="D7774" t="str">
            <v>Libor KRD</v>
          </cell>
          <cell r="E7774" t="str">
            <v>Yield</v>
          </cell>
          <cell r="F7774" t="str">
            <v>SP-Other</v>
          </cell>
          <cell r="G7774" t="str">
            <v>SP-Other</v>
          </cell>
          <cell r="H7774" t="str">
            <v>SPREADS</v>
          </cell>
          <cell r="I7774" t="str">
            <v>Swap Spread - Libor</v>
          </cell>
        </row>
        <row r="7775">
          <cell r="A7775" t="str">
            <v>JPY_libor_30yr</v>
          </cell>
          <cell r="B7775" t="str">
            <v>JPY LIBOR 30Y</v>
          </cell>
          <cell r="C7775" t="str">
            <v>BRS_GOLD__5_SPREADS:BRS_GOLD__3_SS:BRS_GOLD__2_SS_JPY:JPY_LIB:JPY_libor_30yr</v>
          </cell>
          <cell r="D7775" t="str">
            <v>Libor KRD</v>
          </cell>
          <cell r="E7775" t="str">
            <v>Yield</v>
          </cell>
          <cell r="F7775" t="str">
            <v>SP-Other</v>
          </cell>
          <cell r="G7775" t="str">
            <v>SP-Other</v>
          </cell>
          <cell r="H7775" t="str">
            <v>SPREADS</v>
          </cell>
          <cell r="I7775" t="str">
            <v>Swap Spread - Libor</v>
          </cell>
        </row>
        <row r="7776">
          <cell r="A7776" t="str">
            <v>JPY_mod_libor_3m</v>
          </cell>
          <cell r="B7776" t="str">
            <v>JPY Model TIBOR 3M</v>
          </cell>
          <cell r="C7776" t="str">
            <v>BRS_GOLD__5_SPREADS:BRS_GOLD__3_SS:BRS_GOLD__2_SS_JPY:MOD_LIBOR_JPY:JPY_mod_libor_3m</v>
          </cell>
          <cell r="D7776" t="str">
            <v>Libor KRD</v>
          </cell>
          <cell r="E7776" t="str">
            <v>Yield</v>
          </cell>
          <cell r="F7776" t="str">
            <v>SP-Other</v>
          </cell>
          <cell r="G7776" t="str">
            <v>SP-Other</v>
          </cell>
          <cell r="H7776" t="str">
            <v>SPREADS</v>
          </cell>
          <cell r="I7776" t="str">
            <v>Swap Spread - Libor</v>
          </cell>
        </row>
        <row r="7777">
          <cell r="A7777" t="str">
            <v>JPY_mod_libor_1yr</v>
          </cell>
          <cell r="B7777" t="str">
            <v>JPY Model TIBOR 1Y</v>
          </cell>
          <cell r="C7777" t="str">
            <v>BRS_GOLD__5_SPREADS:BRS_GOLD__3_SS:BRS_GOLD__2_SS_JPY:MOD_LIBOR_JPY:JPY_mod_libor_1yr</v>
          </cell>
          <cell r="D7777" t="str">
            <v>Libor KRD</v>
          </cell>
          <cell r="E7777" t="str">
            <v>Yield</v>
          </cell>
          <cell r="F7777" t="str">
            <v>SP-Other</v>
          </cell>
          <cell r="G7777" t="str">
            <v>SP-Other</v>
          </cell>
          <cell r="H7777" t="str">
            <v>SPREADS</v>
          </cell>
          <cell r="I7777" t="str">
            <v>Swap Spread - Libor</v>
          </cell>
        </row>
        <row r="7778">
          <cell r="A7778" t="str">
            <v>JPY_mod_libor_2yr</v>
          </cell>
          <cell r="B7778" t="str">
            <v>JPY Model TIBOR 2Y</v>
          </cell>
          <cell r="C7778" t="str">
            <v>BRS_GOLD__5_SPREADS:BRS_GOLD__3_SS:BRS_GOLD__2_SS_JPY:MOD_LIBOR_JPY:JPY_mod_libor_2yr</v>
          </cell>
          <cell r="D7778" t="str">
            <v>Libor KRD</v>
          </cell>
          <cell r="E7778" t="str">
            <v>Yield</v>
          </cell>
          <cell r="F7778" t="str">
            <v>SP-Other</v>
          </cell>
          <cell r="G7778" t="str">
            <v>SP-Other</v>
          </cell>
          <cell r="H7778" t="str">
            <v>SPREADS</v>
          </cell>
          <cell r="I7778" t="str">
            <v>Swap Spread - Libor</v>
          </cell>
        </row>
        <row r="7779">
          <cell r="A7779" t="str">
            <v>JPY_mod_libor_3yr</v>
          </cell>
          <cell r="B7779" t="str">
            <v>JPY Model TIBOR 3Y</v>
          </cell>
          <cell r="C7779" t="str">
            <v>BRS_GOLD__5_SPREADS:BRS_GOLD__3_SS:BRS_GOLD__2_SS_JPY:MOD_LIBOR_JPY:JPY_mod_libor_3yr</v>
          </cell>
          <cell r="D7779" t="str">
            <v>Libor KRD</v>
          </cell>
          <cell r="E7779" t="str">
            <v>Yield</v>
          </cell>
          <cell r="F7779" t="str">
            <v>SP-Other</v>
          </cell>
          <cell r="G7779" t="str">
            <v>SP-Other</v>
          </cell>
          <cell r="H7779" t="str">
            <v>SPREADS</v>
          </cell>
          <cell r="I7779" t="str">
            <v>Swap Spread - Libor</v>
          </cell>
        </row>
        <row r="7780">
          <cell r="A7780" t="str">
            <v>JPY_mod_libor_5yr</v>
          </cell>
          <cell r="B7780" t="str">
            <v>JPY Model TIBOR 5Y</v>
          </cell>
          <cell r="C7780" t="str">
            <v>BRS_GOLD__5_SPREADS:BRS_GOLD__3_SS:BRS_GOLD__2_SS_JPY:MOD_LIBOR_JPY:JPY_mod_libor_5yr</v>
          </cell>
          <cell r="D7780" t="str">
            <v>Libor KRD</v>
          </cell>
          <cell r="E7780" t="str">
            <v>Yield</v>
          </cell>
          <cell r="F7780" t="str">
            <v>SP-Other</v>
          </cell>
          <cell r="G7780" t="str">
            <v>SP-Other</v>
          </cell>
          <cell r="H7780" t="str">
            <v>SPREADS</v>
          </cell>
          <cell r="I7780" t="str">
            <v>Swap Spread - Libor</v>
          </cell>
        </row>
        <row r="7781">
          <cell r="A7781" t="str">
            <v>JPY_mod_libor_7yr</v>
          </cell>
          <cell r="B7781" t="str">
            <v>JPY Model TIBOR 7Y</v>
          </cell>
          <cell r="C7781" t="str">
            <v>BRS_GOLD__5_SPREADS:BRS_GOLD__3_SS:BRS_GOLD__2_SS_JPY:MOD_LIBOR_JPY:JPY_mod_libor_7yr</v>
          </cell>
          <cell r="D7781" t="str">
            <v>Libor KRD</v>
          </cell>
          <cell r="E7781" t="str">
            <v>Yield</v>
          </cell>
          <cell r="F7781" t="str">
            <v>SP-Other</v>
          </cell>
          <cell r="G7781" t="str">
            <v>SP-Other</v>
          </cell>
          <cell r="H7781" t="str">
            <v>SPREADS</v>
          </cell>
          <cell r="I7781" t="str">
            <v>Swap Spread - Libor</v>
          </cell>
        </row>
        <row r="7782">
          <cell r="A7782" t="str">
            <v>JPY_mod_libor_10yr</v>
          </cell>
          <cell r="B7782" t="str">
            <v>JPY Model TIBOR 10Y</v>
          </cell>
          <cell r="C7782" t="str">
            <v>BRS_GOLD__5_SPREADS:BRS_GOLD__3_SS:BRS_GOLD__2_SS_JPY:MOD_LIBOR_JPY:JPY_mod_libor_10yr</v>
          </cell>
          <cell r="D7782" t="str">
            <v>Libor KRD</v>
          </cell>
          <cell r="E7782" t="str">
            <v>Yield</v>
          </cell>
          <cell r="F7782" t="str">
            <v>SP-Other</v>
          </cell>
          <cell r="G7782" t="str">
            <v>SP-Other</v>
          </cell>
          <cell r="H7782" t="str">
            <v>SPREADS</v>
          </cell>
          <cell r="I7782" t="str">
            <v>Swap Spread - Libor</v>
          </cell>
        </row>
        <row r="7783">
          <cell r="A7783" t="str">
            <v>JPY_mod_libor_15yr</v>
          </cell>
          <cell r="B7783" t="str">
            <v>JPY Model TIBOR 15Y</v>
          </cell>
          <cell r="C7783" t="str">
            <v>BRS_GOLD__5_SPREADS:BRS_GOLD__3_SS:BRS_GOLD__2_SS_JPY:MOD_LIBOR_JPY:JPY_mod_libor_15yr</v>
          </cell>
          <cell r="D7783" t="str">
            <v>Libor KRD</v>
          </cell>
          <cell r="E7783" t="str">
            <v>Yield</v>
          </cell>
          <cell r="F7783" t="str">
            <v>SP-Other</v>
          </cell>
          <cell r="G7783" t="str">
            <v>SP-Other</v>
          </cell>
          <cell r="H7783" t="str">
            <v>SPREADS</v>
          </cell>
          <cell r="I7783" t="str">
            <v>Swap Spread - Libor</v>
          </cell>
        </row>
        <row r="7784">
          <cell r="A7784" t="str">
            <v>JPY_mod_libor_20yr</v>
          </cell>
          <cell r="B7784" t="str">
            <v>JPY Model TIBOR 20Y</v>
          </cell>
          <cell r="C7784" t="str">
            <v>BRS_GOLD__5_SPREADS:BRS_GOLD__3_SS:BRS_GOLD__2_SS_JPY:MOD_LIBOR_JPY:JPY_mod_libor_20yr</v>
          </cell>
          <cell r="D7784" t="str">
            <v>Libor KRD</v>
          </cell>
          <cell r="E7784" t="str">
            <v>Yield</v>
          </cell>
          <cell r="F7784" t="str">
            <v>SP-Other</v>
          </cell>
          <cell r="G7784" t="str">
            <v>SP-Other</v>
          </cell>
          <cell r="H7784" t="str">
            <v>SPREADS</v>
          </cell>
          <cell r="I7784" t="str">
            <v>Swap Spread - Libor</v>
          </cell>
        </row>
        <row r="7785">
          <cell r="A7785" t="str">
            <v>JPY_mod_libor_25yr</v>
          </cell>
          <cell r="B7785" t="str">
            <v>JPY Model TIBOR 25Y</v>
          </cell>
          <cell r="C7785" t="str">
            <v>BRS_GOLD__5_SPREADS:BRS_GOLD__3_SS:BRS_GOLD__2_SS_JPY:MOD_LIBOR_JPY:JPY_mod_libor_25yr</v>
          </cell>
          <cell r="D7785" t="str">
            <v>Libor KRD</v>
          </cell>
          <cell r="E7785" t="str">
            <v>Yield</v>
          </cell>
          <cell r="F7785" t="str">
            <v>SP-Other</v>
          </cell>
          <cell r="G7785" t="str">
            <v>SP-Other</v>
          </cell>
          <cell r="H7785" t="str">
            <v>SPREADS</v>
          </cell>
          <cell r="I7785" t="str">
            <v>Swap Spread - Libor</v>
          </cell>
        </row>
        <row r="7786">
          <cell r="A7786" t="str">
            <v>JPY_mod_libor_30yr</v>
          </cell>
          <cell r="B7786" t="str">
            <v>JPY Model TIBOR 30Y</v>
          </cell>
          <cell r="C7786" t="str">
            <v>BRS_GOLD__5_SPREADS:BRS_GOLD__3_SS:BRS_GOLD__2_SS_JPY:MOD_LIBOR_JPY:JPY_mod_libor_30yr</v>
          </cell>
          <cell r="D7786" t="str">
            <v>Libor KRD</v>
          </cell>
          <cell r="E7786" t="str">
            <v>Yield</v>
          </cell>
          <cell r="F7786" t="str">
            <v>SP-Other</v>
          </cell>
          <cell r="G7786" t="str">
            <v>SP-Other</v>
          </cell>
          <cell r="H7786" t="str">
            <v>SPREADS</v>
          </cell>
          <cell r="I7786" t="str">
            <v>Swap Spread - Libor</v>
          </cell>
        </row>
        <row r="7787">
          <cell r="A7787" t="str">
            <v>JPY_tonar_3m</v>
          </cell>
          <cell r="B7787" t="str">
            <v>TONAR JGB BASIS  3M</v>
          </cell>
          <cell r="C7787" t="str">
            <v>BRS_GOLD__5_SPREADS:BRS_GOLD__3_SS:BRS_GOLD__2_SS_JPY:JPY_ARR:JPY_tonar_3m</v>
          </cell>
          <cell r="E7787" t="str">
            <v>Yield</v>
          </cell>
          <cell r="F7787" t="str">
            <v>SP-Other</v>
          </cell>
          <cell r="G7787" t="str">
            <v>SP-Other</v>
          </cell>
          <cell r="H7787" t="str">
            <v>SPREADS</v>
          </cell>
          <cell r="I7787" t="str">
            <v>Swap Spread - OIS</v>
          </cell>
        </row>
        <row r="7788">
          <cell r="A7788" t="str">
            <v>JPY_tonar_1yr</v>
          </cell>
          <cell r="B7788" t="str">
            <v>TONAR JGB BASIS  1Y</v>
          </cell>
          <cell r="C7788" t="str">
            <v>BRS_GOLD__5_SPREADS:BRS_GOLD__3_SS:BRS_GOLD__2_SS_JPY:JPY_ARR:JPY_tonar_1yr</v>
          </cell>
          <cell r="E7788" t="str">
            <v>Yield</v>
          </cell>
          <cell r="F7788" t="str">
            <v>SP-Other</v>
          </cell>
          <cell r="G7788" t="str">
            <v>SP-Other</v>
          </cell>
          <cell r="H7788" t="str">
            <v>SPREADS</v>
          </cell>
          <cell r="I7788" t="str">
            <v>Swap Spread - OIS</v>
          </cell>
        </row>
        <row r="7789">
          <cell r="A7789" t="str">
            <v>JPY_tonar_2yr</v>
          </cell>
          <cell r="B7789" t="str">
            <v>TONAR JGB BASIS  2Y</v>
          </cell>
          <cell r="C7789" t="str">
            <v>BRS_GOLD__5_SPREADS:BRS_GOLD__3_SS:BRS_GOLD__2_SS_JPY:JPY_ARR:JPY_tonar_2yr</v>
          </cell>
          <cell r="E7789" t="str">
            <v>Yield</v>
          </cell>
          <cell r="F7789" t="str">
            <v>SP-Other</v>
          </cell>
          <cell r="G7789" t="str">
            <v>SP-Other</v>
          </cell>
          <cell r="H7789" t="str">
            <v>SPREADS</v>
          </cell>
          <cell r="I7789" t="str">
            <v>Swap Spread - OIS</v>
          </cell>
        </row>
        <row r="7790">
          <cell r="A7790" t="str">
            <v>JPY_tonar_3yr</v>
          </cell>
          <cell r="B7790" t="str">
            <v>TONAR JGB BASIS  3Y</v>
          </cell>
          <cell r="C7790" t="str">
            <v>BRS_GOLD__5_SPREADS:BRS_GOLD__3_SS:BRS_GOLD__2_SS_JPY:JPY_ARR:JPY_tonar_3yr</v>
          </cell>
          <cell r="E7790" t="str">
            <v>Yield</v>
          </cell>
          <cell r="F7790" t="str">
            <v>SP-Other</v>
          </cell>
          <cell r="G7790" t="str">
            <v>SP-Other</v>
          </cell>
          <cell r="H7790" t="str">
            <v>SPREADS</v>
          </cell>
          <cell r="I7790" t="str">
            <v>Swap Spread - OIS</v>
          </cell>
        </row>
        <row r="7791">
          <cell r="A7791" t="str">
            <v>JPY_tonar_5yr</v>
          </cell>
          <cell r="B7791" t="str">
            <v>TONAR JGB BASIS  5Y</v>
          </cell>
          <cell r="C7791" t="str">
            <v>BRS_GOLD__5_SPREADS:BRS_GOLD__3_SS:BRS_GOLD__2_SS_JPY:JPY_ARR:JPY_tonar_5yr</v>
          </cell>
          <cell r="E7791" t="str">
            <v>Yield</v>
          </cell>
          <cell r="F7791" t="str">
            <v>SP-Other</v>
          </cell>
          <cell r="G7791" t="str">
            <v>SP-Other</v>
          </cell>
          <cell r="H7791" t="str">
            <v>SPREADS</v>
          </cell>
          <cell r="I7791" t="str">
            <v>Swap Spread - OIS</v>
          </cell>
        </row>
        <row r="7792">
          <cell r="A7792" t="str">
            <v>JPY_tonar_7yr</v>
          </cell>
          <cell r="B7792" t="str">
            <v>TONAR JGB BASIS  7Y</v>
          </cell>
          <cell r="C7792" t="str">
            <v>BRS_GOLD__5_SPREADS:BRS_GOLD__3_SS:BRS_GOLD__2_SS_JPY:JPY_ARR:JPY_tonar_7yr</v>
          </cell>
          <cell r="E7792" t="str">
            <v>Yield</v>
          </cell>
          <cell r="F7792" t="str">
            <v>SP-Other</v>
          </cell>
          <cell r="G7792" t="str">
            <v>SP-Other</v>
          </cell>
          <cell r="H7792" t="str">
            <v>SPREADS</v>
          </cell>
          <cell r="I7792" t="str">
            <v>Swap Spread - OIS</v>
          </cell>
        </row>
        <row r="7793">
          <cell r="A7793" t="str">
            <v>JPY_tonar_10yr</v>
          </cell>
          <cell r="B7793" t="str">
            <v>TONAR JGB BASIS  10Y</v>
          </cell>
          <cell r="C7793" t="str">
            <v>BRS_GOLD__5_SPREADS:BRS_GOLD__3_SS:BRS_GOLD__2_SS_JPY:JPY_ARR:JPY_tonar_10yr</v>
          </cell>
          <cell r="E7793" t="str">
            <v>Yield</v>
          </cell>
          <cell r="F7793" t="str">
            <v>SP-Other</v>
          </cell>
          <cell r="G7793" t="str">
            <v>SP-Other</v>
          </cell>
          <cell r="H7793" t="str">
            <v>SPREADS</v>
          </cell>
          <cell r="I7793" t="str">
            <v>Swap Spread - OIS</v>
          </cell>
        </row>
        <row r="7794">
          <cell r="A7794" t="str">
            <v>JPY_tonar_15yr</v>
          </cell>
          <cell r="B7794" t="str">
            <v>TONAR JGB BASIS  15Y</v>
          </cell>
          <cell r="C7794" t="str">
            <v>BRS_GOLD__5_SPREADS:BRS_GOLD__3_SS:BRS_GOLD__2_SS_JPY:JPY_ARR:JPY_tonar_15yr</v>
          </cell>
          <cell r="E7794" t="str">
            <v>Yield</v>
          </cell>
          <cell r="F7794" t="str">
            <v>SP-Other</v>
          </cell>
          <cell r="G7794" t="str">
            <v>SP-Other</v>
          </cell>
          <cell r="H7794" t="str">
            <v>SPREADS</v>
          </cell>
          <cell r="I7794" t="str">
            <v>Swap Spread - OIS</v>
          </cell>
        </row>
        <row r="7795">
          <cell r="A7795" t="str">
            <v>JPY_tonar_20yr</v>
          </cell>
          <cell r="B7795" t="str">
            <v>TONAR JGB BASIS  20Y</v>
          </cell>
          <cell r="C7795" t="str">
            <v>BRS_GOLD__5_SPREADS:BRS_GOLD__3_SS:BRS_GOLD__2_SS_JPY:JPY_ARR:JPY_tonar_20yr</v>
          </cell>
          <cell r="E7795" t="str">
            <v>Yield</v>
          </cell>
          <cell r="F7795" t="str">
            <v>SP-Other</v>
          </cell>
          <cell r="G7795" t="str">
            <v>SP-Other</v>
          </cell>
          <cell r="H7795" t="str">
            <v>SPREADS</v>
          </cell>
          <cell r="I7795" t="str">
            <v>Swap Spread - OIS</v>
          </cell>
        </row>
        <row r="7796">
          <cell r="A7796" t="str">
            <v>JPY_tonar_25yr</v>
          </cell>
          <cell r="B7796" t="str">
            <v>TONAR JGB BASIS  25Y</v>
          </cell>
          <cell r="C7796" t="str">
            <v>BRS_GOLD__5_SPREADS:BRS_GOLD__3_SS:BRS_GOLD__2_SS_JPY:JPY_ARR:JPY_tonar_25yr</v>
          </cell>
          <cell r="E7796" t="str">
            <v>Yield</v>
          </cell>
          <cell r="F7796" t="str">
            <v>SP-Other</v>
          </cell>
          <cell r="G7796" t="str">
            <v>SP-Other</v>
          </cell>
          <cell r="H7796" t="str">
            <v>SPREADS</v>
          </cell>
          <cell r="I7796" t="str">
            <v>Swap Spread - OIS</v>
          </cell>
        </row>
        <row r="7797">
          <cell r="A7797" t="str">
            <v>JPY_tonar_30yr</v>
          </cell>
          <cell r="B7797" t="str">
            <v>TONAR JGB BASIS  30Y</v>
          </cell>
          <cell r="C7797" t="str">
            <v>BRS_GOLD__5_SPREADS:BRS_GOLD__3_SS:BRS_GOLD__2_SS_JPY:JPY_ARR:JPY_tonar_30yr</v>
          </cell>
          <cell r="E7797" t="str">
            <v>Yield</v>
          </cell>
          <cell r="F7797" t="str">
            <v>SP-Other</v>
          </cell>
          <cell r="G7797" t="str">
            <v>SP-Other</v>
          </cell>
          <cell r="H7797" t="str">
            <v>SPREADS</v>
          </cell>
          <cell r="I7797" t="str">
            <v>Swap Spread - OIS</v>
          </cell>
        </row>
        <row r="7798">
          <cell r="A7798" t="str">
            <v>AUD_libor_3m</v>
          </cell>
          <cell r="B7798" t="str">
            <v>AUD Bank Bill 3M</v>
          </cell>
          <cell r="C7798" t="str">
            <v>BRS_GOLD__5_SPREADS:BRS_GOLD__3_SS:BRS_GOLD__2_SS_AUD:AUD_LIB:AUD_libor_3m</v>
          </cell>
          <cell r="D7798" t="str">
            <v>Libor KRD</v>
          </cell>
          <cell r="E7798" t="str">
            <v>Yield</v>
          </cell>
          <cell r="F7798" t="str">
            <v>SP-Other</v>
          </cell>
          <cell r="G7798" t="str">
            <v>SP-Other</v>
          </cell>
          <cell r="H7798" t="str">
            <v>SPREADS</v>
          </cell>
          <cell r="I7798" t="str">
            <v>Swap Spread - Libor</v>
          </cell>
        </row>
        <row r="7799">
          <cell r="A7799" t="str">
            <v>AUD_libor_1yr</v>
          </cell>
          <cell r="B7799" t="str">
            <v>AUD Bank Bill 1Y</v>
          </cell>
          <cell r="C7799" t="str">
            <v>BRS_GOLD__5_SPREADS:BRS_GOLD__3_SS:BRS_GOLD__2_SS_AUD:AUD_LIB:AUD_libor_1yr</v>
          </cell>
          <cell r="D7799" t="str">
            <v>Libor KRD</v>
          </cell>
          <cell r="E7799" t="str">
            <v>Yield</v>
          </cell>
          <cell r="F7799" t="str">
            <v>SP-Other</v>
          </cell>
          <cell r="G7799" t="str">
            <v>SP-Other</v>
          </cell>
          <cell r="H7799" t="str">
            <v>SPREADS</v>
          </cell>
          <cell r="I7799" t="str">
            <v>Swap Spread - Libor</v>
          </cell>
        </row>
        <row r="7800">
          <cell r="A7800" t="str">
            <v>AUD_libor_2yr</v>
          </cell>
          <cell r="B7800" t="str">
            <v>AUD Bank Bill 2Y</v>
          </cell>
          <cell r="C7800" t="str">
            <v>BRS_GOLD__5_SPREADS:BRS_GOLD__3_SS:BRS_GOLD__2_SS_AUD:AUD_LIB:AUD_libor_2yr</v>
          </cell>
          <cell r="D7800" t="str">
            <v>Libor KRD</v>
          </cell>
          <cell r="E7800" t="str">
            <v>Yield</v>
          </cell>
          <cell r="F7800" t="str">
            <v>SP-Other</v>
          </cell>
          <cell r="G7800" t="str">
            <v>SP-Other</v>
          </cell>
          <cell r="H7800" t="str">
            <v>SPREADS</v>
          </cell>
          <cell r="I7800" t="str">
            <v>Swap Spread - Libor</v>
          </cell>
        </row>
        <row r="7801">
          <cell r="A7801" t="str">
            <v>AUD_libor_3yr</v>
          </cell>
          <cell r="B7801" t="str">
            <v>AUD Bank Bill 3Y</v>
          </cell>
          <cell r="C7801" t="str">
            <v>BRS_GOLD__5_SPREADS:BRS_GOLD__3_SS:BRS_GOLD__2_SS_AUD:AUD_LIB:AUD_libor_3yr</v>
          </cell>
          <cell r="D7801" t="str">
            <v>Libor KRD</v>
          </cell>
          <cell r="E7801" t="str">
            <v>Yield</v>
          </cell>
          <cell r="F7801" t="str">
            <v>SP-Other</v>
          </cell>
          <cell r="G7801" t="str">
            <v>SP-Other</v>
          </cell>
          <cell r="H7801" t="str">
            <v>SPREADS</v>
          </cell>
          <cell r="I7801" t="str">
            <v>Swap Spread - Libor</v>
          </cell>
        </row>
        <row r="7802">
          <cell r="A7802" t="str">
            <v>AUD_libor_5yr</v>
          </cell>
          <cell r="B7802" t="str">
            <v>AUD Bank Bill 5Y</v>
          </cell>
          <cell r="C7802" t="str">
            <v>BRS_GOLD__5_SPREADS:BRS_GOLD__3_SS:BRS_GOLD__2_SS_AUD:AUD_LIB:AUD_libor_5yr</v>
          </cell>
          <cell r="D7802" t="str">
            <v>Libor KRD</v>
          </cell>
          <cell r="E7802" t="str">
            <v>Yield</v>
          </cell>
          <cell r="F7802" t="str">
            <v>SP-Other</v>
          </cell>
          <cell r="G7802" t="str">
            <v>SP-Other</v>
          </cell>
          <cell r="H7802" t="str">
            <v>SPREADS</v>
          </cell>
          <cell r="I7802" t="str">
            <v>Swap Spread - Libor</v>
          </cell>
        </row>
        <row r="7803">
          <cell r="A7803" t="str">
            <v>AUD_libor_7yr</v>
          </cell>
          <cell r="B7803" t="str">
            <v>AUD Bank Bill 7Y</v>
          </cell>
          <cell r="C7803" t="str">
            <v>BRS_GOLD__5_SPREADS:BRS_GOLD__3_SS:BRS_GOLD__2_SS_AUD:AUD_LIB:AUD_libor_7yr</v>
          </cell>
          <cell r="D7803" t="str">
            <v>Libor KRD</v>
          </cell>
          <cell r="E7803" t="str">
            <v>Yield</v>
          </cell>
          <cell r="F7803" t="str">
            <v>SP-Other</v>
          </cell>
          <cell r="G7803" t="str">
            <v>SP-Other</v>
          </cell>
          <cell r="H7803" t="str">
            <v>SPREADS</v>
          </cell>
          <cell r="I7803" t="str">
            <v>Swap Spread - Libor</v>
          </cell>
        </row>
        <row r="7804">
          <cell r="A7804" t="str">
            <v>AUD_libor_10yr</v>
          </cell>
          <cell r="B7804" t="str">
            <v>AUD Bank Bill 10Y</v>
          </cell>
          <cell r="C7804" t="str">
            <v>BRS_GOLD__5_SPREADS:BRS_GOLD__3_SS:BRS_GOLD__2_SS_AUD:AUD_LIB:AUD_libor_10yr</v>
          </cell>
          <cell r="D7804" t="str">
            <v>Libor KRD</v>
          </cell>
          <cell r="E7804" t="str">
            <v>Yield</v>
          </cell>
          <cell r="F7804" t="str">
            <v>SP-Other</v>
          </cell>
          <cell r="G7804" t="str">
            <v>SP-Other</v>
          </cell>
          <cell r="H7804" t="str">
            <v>SPREADS</v>
          </cell>
          <cell r="I7804" t="str">
            <v>Swap Spread - Libor</v>
          </cell>
        </row>
        <row r="7805">
          <cell r="A7805" t="str">
            <v>AUD_libor_15yr</v>
          </cell>
          <cell r="B7805" t="str">
            <v>AUD Bank Bill 15Y</v>
          </cell>
          <cell r="C7805" t="str">
            <v>BRS_GOLD__5_SPREADS:BRS_GOLD__3_SS:BRS_GOLD__2_SS_AUD:AUD_LIB:AUD_libor_15yr</v>
          </cell>
          <cell r="D7805" t="str">
            <v>Libor KRD</v>
          </cell>
          <cell r="E7805" t="str">
            <v>Yield</v>
          </cell>
          <cell r="F7805" t="str">
            <v>SP-Other</v>
          </cell>
          <cell r="G7805" t="str">
            <v>SP-Other</v>
          </cell>
          <cell r="H7805" t="str">
            <v>SPREADS</v>
          </cell>
          <cell r="I7805" t="str">
            <v>Swap Spread - Libor</v>
          </cell>
        </row>
        <row r="7806">
          <cell r="A7806" t="str">
            <v>AUD_libor_20yr</v>
          </cell>
          <cell r="B7806" t="str">
            <v>AUD Bank Bill 20Y</v>
          </cell>
          <cell r="C7806" t="str">
            <v>BRS_GOLD__5_SPREADS:BRS_GOLD__3_SS:BRS_GOLD__2_SS_AUD:AUD_LIB:AUD_libor_20yr</v>
          </cell>
          <cell r="D7806" t="str">
            <v>Libor KRD</v>
          </cell>
          <cell r="E7806" t="str">
            <v>Yield</v>
          </cell>
          <cell r="F7806" t="str">
            <v>SP-Other</v>
          </cell>
          <cell r="G7806" t="str">
            <v>SP-Other</v>
          </cell>
          <cell r="H7806" t="str">
            <v>SPREADS</v>
          </cell>
          <cell r="I7806" t="str">
            <v>Swap Spread - Libor</v>
          </cell>
        </row>
        <row r="7807">
          <cell r="A7807" t="str">
            <v>AUD_libor_25yr</v>
          </cell>
          <cell r="B7807" t="str">
            <v>AUD Bank Bill 25Y</v>
          </cell>
          <cell r="C7807" t="str">
            <v>BRS_GOLD__5_SPREADS:BRS_GOLD__3_SS:BRS_GOLD__2_SS_AUD:AUD_LIB:AUD_libor_25yr</v>
          </cell>
          <cell r="D7807" t="str">
            <v>Libor KRD</v>
          </cell>
          <cell r="E7807" t="str">
            <v>Yield</v>
          </cell>
          <cell r="F7807" t="str">
            <v>SP-Other</v>
          </cell>
          <cell r="G7807" t="str">
            <v>SP-Other</v>
          </cell>
          <cell r="H7807" t="str">
            <v>SPREADS</v>
          </cell>
          <cell r="I7807" t="str">
            <v>Swap Spread - Libor</v>
          </cell>
        </row>
        <row r="7808">
          <cell r="A7808" t="str">
            <v>AUD_libor_30yr</v>
          </cell>
          <cell r="B7808" t="str">
            <v>AUD Bank Bill 30Y</v>
          </cell>
          <cell r="C7808" t="str">
            <v>BRS_GOLD__5_SPREADS:BRS_GOLD__3_SS:BRS_GOLD__2_SS_AUD:AUD_LIB:AUD_libor_30yr</v>
          </cell>
          <cell r="D7808" t="str">
            <v>Libor KRD</v>
          </cell>
          <cell r="E7808" t="str">
            <v>Yield</v>
          </cell>
          <cell r="F7808" t="str">
            <v>SP-Other</v>
          </cell>
          <cell r="G7808" t="str">
            <v>SP-Other</v>
          </cell>
          <cell r="H7808" t="str">
            <v>SPREADS</v>
          </cell>
          <cell r="I7808" t="str">
            <v>Swap Spread - Libor</v>
          </cell>
        </row>
        <row r="7809">
          <cell r="A7809" t="str">
            <v>AUD_mod_libor_3m</v>
          </cell>
          <cell r="B7809" t="str">
            <v>AUD Mod Bank Bill 3M</v>
          </cell>
          <cell r="C7809" t="str">
            <v>BRS_GOLD__5_SPREADS:BRS_GOLD__3_SS:BRS_GOLD__2_SS_AUD:MOD_LIBOR_AUD:AUD_mod_libor_3m</v>
          </cell>
          <cell r="D7809" t="str">
            <v>Libor KRD</v>
          </cell>
          <cell r="E7809" t="str">
            <v>Yield</v>
          </cell>
          <cell r="F7809" t="str">
            <v>SP-Other</v>
          </cell>
          <cell r="G7809" t="str">
            <v>SP-Other</v>
          </cell>
          <cell r="H7809" t="str">
            <v>SPREADS</v>
          </cell>
          <cell r="I7809" t="str">
            <v>Swap Spread - Libor</v>
          </cell>
        </row>
        <row r="7810">
          <cell r="A7810" t="str">
            <v>AUD_mod_libor_1yr</v>
          </cell>
          <cell r="B7810" t="str">
            <v>AUD Mod Bank Bill 1Y</v>
          </cell>
          <cell r="C7810" t="str">
            <v>BRS_GOLD__5_SPREADS:BRS_GOLD__3_SS:BRS_GOLD__2_SS_AUD:MOD_LIBOR_AUD:AUD_mod_libor_1yr</v>
          </cell>
          <cell r="D7810" t="str">
            <v>Libor KRD</v>
          </cell>
          <cell r="E7810" t="str">
            <v>Yield</v>
          </cell>
          <cell r="F7810" t="str">
            <v>SP-Other</v>
          </cell>
          <cell r="G7810" t="str">
            <v>SP-Other</v>
          </cell>
          <cell r="H7810" t="str">
            <v>SPREADS</v>
          </cell>
          <cell r="I7810" t="str">
            <v>Swap Spread - Libor</v>
          </cell>
        </row>
        <row r="7811">
          <cell r="A7811" t="str">
            <v>AUD_mod_libor_2yr</v>
          </cell>
          <cell r="B7811" t="str">
            <v>AUD Mod Bank Bill 2Y</v>
          </cell>
          <cell r="C7811" t="str">
            <v>BRS_GOLD__5_SPREADS:BRS_GOLD__3_SS:BRS_GOLD__2_SS_AUD:MOD_LIBOR_AUD:AUD_mod_libor_2yr</v>
          </cell>
          <cell r="D7811" t="str">
            <v>Libor KRD</v>
          </cell>
          <cell r="E7811" t="str">
            <v>Yield</v>
          </cell>
          <cell r="F7811" t="str">
            <v>SP-Other</v>
          </cell>
          <cell r="G7811" t="str">
            <v>SP-Other</v>
          </cell>
          <cell r="H7811" t="str">
            <v>SPREADS</v>
          </cell>
          <cell r="I7811" t="str">
            <v>Swap Spread - Libor</v>
          </cell>
        </row>
        <row r="7812">
          <cell r="A7812" t="str">
            <v>AUD_mod_libor_3yr</v>
          </cell>
          <cell r="B7812" t="str">
            <v>AUD Mod Bank Bill 3Y</v>
          </cell>
          <cell r="C7812" t="str">
            <v>BRS_GOLD__5_SPREADS:BRS_GOLD__3_SS:BRS_GOLD__2_SS_AUD:MOD_LIBOR_AUD:AUD_mod_libor_3yr</v>
          </cell>
          <cell r="D7812" t="str">
            <v>Libor KRD</v>
          </cell>
          <cell r="E7812" t="str">
            <v>Yield</v>
          </cell>
          <cell r="F7812" t="str">
            <v>SP-Other</v>
          </cell>
          <cell r="G7812" t="str">
            <v>SP-Other</v>
          </cell>
          <cell r="H7812" t="str">
            <v>SPREADS</v>
          </cell>
          <cell r="I7812" t="str">
            <v>Swap Spread - Libor</v>
          </cell>
        </row>
        <row r="7813">
          <cell r="A7813" t="str">
            <v>AUD_mod_libor_5yr</v>
          </cell>
          <cell r="B7813" t="str">
            <v>AUD Mod Bank Bill 5Y</v>
          </cell>
          <cell r="C7813" t="str">
            <v>BRS_GOLD__5_SPREADS:BRS_GOLD__3_SS:BRS_GOLD__2_SS_AUD:MOD_LIBOR_AUD:AUD_mod_libor_5yr</v>
          </cell>
          <cell r="D7813" t="str">
            <v>Libor KRD</v>
          </cell>
          <cell r="E7813" t="str">
            <v>Yield</v>
          </cell>
          <cell r="F7813" t="str">
            <v>SP-Other</v>
          </cell>
          <cell r="G7813" t="str">
            <v>SP-Other</v>
          </cell>
          <cell r="H7813" t="str">
            <v>SPREADS</v>
          </cell>
          <cell r="I7813" t="str">
            <v>Swap Spread - Libor</v>
          </cell>
        </row>
        <row r="7814">
          <cell r="A7814" t="str">
            <v>AUD_mod_libor_7yr</v>
          </cell>
          <cell r="B7814" t="str">
            <v>AUD Mod Bank Bill 7Y</v>
          </cell>
          <cell r="C7814" t="str">
            <v>BRS_GOLD__5_SPREADS:BRS_GOLD__3_SS:BRS_GOLD__2_SS_AUD:MOD_LIBOR_AUD:AUD_mod_libor_7yr</v>
          </cell>
          <cell r="D7814" t="str">
            <v>Libor KRD</v>
          </cell>
          <cell r="E7814" t="str">
            <v>Yield</v>
          </cell>
          <cell r="F7814" t="str">
            <v>SP-Other</v>
          </cell>
          <cell r="G7814" t="str">
            <v>SP-Other</v>
          </cell>
          <cell r="H7814" t="str">
            <v>SPREADS</v>
          </cell>
          <cell r="I7814" t="str">
            <v>Swap Spread - Libor</v>
          </cell>
        </row>
        <row r="7815">
          <cell r="A7815" t="str">
            <v>AUD_mod_libor_10yr</v>
          </cell>
          <cell r="B7815" t="str">
            <v>AUD Mod Bank Bill 10Y</v>
          </cell>
          <cell r="C7815" t="str">
            <v>BRS_GOLD__5_SPREADS:BRS_GOLD__3_SS:BRS_GOLD__2_SS_AUD:MOD_LIBOR_AUD:AUD_mod_libor_10yr</v>
          </cell>
          <cell r="D7815" t="str">
            <v>Libor KRD</v>
          </cell>
          <cell r="E7815" t="str">
            <v>Yield</v>
          </cell>
          <cell r="F7815" t="str">
            <v>SP-Other</v>
          </cell>
          <cell r="G7815" t="str">
            <v>SP-Other</v>
          </cell>
          <cell r="H7815" t="str">
            <v>SPREADS</v>
          </cell>
          <cell r="I7815" t="str">
            <v>Swap Spread - Libor</v>
          </cell>
        </row>
        <row r="7816">
          <cell r="A7816" t="str">
            <v>AUD_mod_libor_15yr</v>
          </cell>
          <cell r="B7816" t="str">
            <v>AUD Mod Bank Bill 15Y</v>
          </cell>
          <cell r="C7816" t="str">
            <v>BRS_GOLD__5_SPREADS:BRS_GOLD__3_SS:BRS_GOLD__2_SS_AUD:MOD_LIBOR_AUD:AUD_mod_libor_15yr</v>
          </cell>
          <cell r="D7816" t="str">
            <v>Libor KRD</v>
          </cell>
          <cell r="E7816" t="str">
            <v>Yield</v>
          </cell>
          <cell r="F7816" t="str">
            <v>SP-Other</v>
          </cell>
          <cell r="G7816" t="str">
            <v>SP-Other</v>
          </cell>
          <cell r="H7816" t="str">
            <v>SPREADS</v>
          </cell>
          <cell r="I7816" t="str">
            <v>Swap Spread - Libor</v>
          </cell>
        </row>
        <row r="7817">
          <cell r="A7817" t="str">
            <v>AUD_mod_libor_20yr</v>
          </cell>
          <cell r="B7817" t="str">
            <v>AUD Mod Bank Bill 20Y</v>
          </cell>
          <cell r="C7817" t="str">
            <v>BRS_GOLD__5_SPREADS:BRS_GOLD__3_SS:BRS_GOLD__2_SS_AUD:MOD_LIBOR_AUD:AUD_mod_libor_20yr</v>
          </cell>
          <cell r="D7817" t="str">
            <v>Libor KRD</v>
          </cell>
          <cell r="E7817" t="str">
            <v>Yield</v>
          </cell>
          <cell r="F7817" t="str">
            <v>SP-Other</v>
          </cell>
          <cell r="G7817" t="str">
            <v>SP-Other</v>
          </cell>
          <cell r="H7817" t="str">
            <v>SPREADS</v>
          </cell>
          <cell r="I7817" t="str">
            <v>Swap Spread - Libor</v>
          </cell>
        </row>
        <row r="7818">
          <cell r="A7818" t="str">
            <v>AUD_mod_libor_25yr</v>
          </cell>
          <cell r="B7818" t="str">
            <v>AUD Mod Bank Bill 25Y</v>
          </cell>
          <cell r="C7818" t="str">
            <v>BRS_GOLD__5_SPREADS:BRS_GOLD__3_SS:BRS_GOLD__2_SS_AUD:MOD_LIBOR_AUD:AUD_mod_libor_25yr</v>
          </cell>
          <cell r="D7818" t="str">
            <v>Libor KRD</v>
          </cell>
          <cell r="E7818" t="str">
            <v>Yield</v>
          </cell>
          <cell r="F7818" t="str">
            <v>SP-Other</v>
          </cell>
          <cell r="G7818" t="str">
            <v>SP-Other</v>
          </cell>
          <cell r="H7818" t="str">
            <v>SPREADS</v>
          </cell>
          <cell r="I7818" t="str">
            <v>Swap Spread - Libor</v>
          </cell>
        </row>
        <row r="7819">
          <cell r="A7819" t="str">
            <v>AUD_mod_libor_30yr</v>
          </cell>
          <cell r="B7819" t="str">
            <v>AUD Mod Bank Bill 30Y</v>
          </cell>
          <cell r="C7819" t="str">
            <v>BRS_GOLD__5_SPREADS:BRS_GOLD__3_SS:BRS_GOLD__2_SS_AUD:MOD_LIBOR_AUD:AUD_mod_libor_30yr</v>
          </cell>
          <cell r="D7819" t="str">
            <v>Libor KRD</v>
          </cell>
          <cell r="E7819" t="str">
            <v>Yield</v>
          </cell>
          <cell r="F7819" t="str">
            <v>SP-Other</v>
          </cell>
          <cell r="G7819" t="str">
            <v>SP-Other</v>
          </cell>
          <cell r="H7819" t="str">
            <v>SPREADS</v>
          </cell>
          <cell r="I7819" t="str">
            <v>Swap Spread - Libor</v>
          </cell>
        </row>
        <row r="7820">
          <cell r="A7820" t="str">
            <v>BRL_libor_3m</v>
          </cell>
          <cell r="B7820" t="str">
            <v>BRL OIS-GOVT 3M</v>
          </cell>
          <cell r="C7820" t="str">
            <v>BRS_GOLD__5_SPREADS:BRS_GOLD__3_SS:BRS_GOLD__2_SS_OTHER:BRL_LIB:BRL_libor_3m</v>
          </cell>
          <cell r="D7820" t="str">
            <v>Libor KRD</v>
          </cell>
          <cell r="E7820" t="str">
            <v>Yield</v>
          </cell>
          <cell r="F7820" t="str">
            <v>SP-Other</v>
          </cell>
          <cell r="G7820" t="str">
            <v>SP-Other</v>
          </cell>
          <cell r="H7820" t="str">
            <v>SPREADS</v>
          </cell>
          <cell r="I7820" t="str">
            <v>Swap Spread - Libor</v>
          </cell>
        </row>
        <row r="7821">
          <cell r="A7821" t="str">
            <v>BRL_libor_1yr</v>
          </cell>
          <cell r="B7821" t="str">
            <v>BRL OIS-GOVT 1Y</v>
          </cell>
          <cell r="C7821" t="str">
            <v>BRS_GOLD__5_SPREADS:BRS_GOLD__3_SS:BRS_GOLD__2_SS_OTHER:BRL_LIB:BRL_libor_1yr</v>
          </cell>
          <cell r="D7821" t="str">
            <v>Libor KRD</v>
          </cell>
          <cell r="E7821" t="str">
            <v>Yield</v>
          </cell>
          <cell r="F7821" t="str">
            <v>SP-Other</v>
          </cell>
          <cell r="G7821" t="str">
            <v>SP-Other</v>
          </cell>
          <cell r="H7821" t="str">
            <v>SPREADS</v>
          </cell>
          <cell r="I7821" t="str">
            <v>Swap Spread - Libor</v>
          </cell>
        </row>
        <row r="7822">
          <cell r="A7822" t="str">
            <v>BRL_libor_2yr</v>
          </cell>
          <cell r="B7822" t="str">
            <v>BRL OIS-GOVT 2Y</v>
          </cell>
          <cell r="C7822" t="str">
            <v>BRS_GOLD__5_SPREADS:BRS_GOLD__3_SS:BRS_GOLD__2_SS_OTHER:BRL_LIB:BRL_libor_2yr</v>
          </cell>
          <cell r="D7822" t="str">
            <v>Libor KRD</v>
          </cell>
          <cell r="E7822" t="str">
            <v>Yield</v>
          </cell>
          <cell r="F7822" t="str">
            <v>SP-Other</v>
          </cell>
          <cell r="G7822" t="str">
            <v>SP-Other</v>
          </cell>
          <cell r="H7822" t="str">
            <v>SPREADS</v>
          </cell>
          <cell r="I7822" t="str">
            <v>Swap Spread - Libor</v>
          </cell>
        </row>
        <row r="7823">
          <cell r="A7823" t="str">
            <v>BRL_libor_3yr</v>
          </cell>
          <cell r="B7823" t="str">
            <v>BRL OIS-GOVT 3Y</v>
          </cell>
          <cell r="C7823" t="str">
            <v>BRS_GOLD__5_SPREADS:BRS_GOLD__3_SS:BRS_GOLD__2_SS_OTHER:BRL_LIB:BRL_libor_3yr</v>
          </cell>
          <cell r="D7823" t="str">
            <v>Libor KRD</v>
          </cell>
          <cell r="E7823" t="str">
            <v>Yield</v>
          </cell>
          <cell r="F7823" t="str">
            <v>SP-Other</v>
          </cell>
          <cell r="G7823" t="str">
            <v>SP-Other</v>
          </cell>
          <cell r="H7823" t="str">
            <v>SPREADS</v>
          </cell>
          <cell r="I7823" t="str">
            <v>Swap Spread - Libor</v>
          </cell>
        </row>
        <row r="7824">
          <cell r="A7824" t="str">
            <v>BRL_libor_5yr</v>
          </cell>
          <cell r="B7824" t="str">
            <v>BRL OIS-GOVT 5Y</v>
          </cell>
          <cell r="C7824" t="str">
            <v>BRS_GOLD__5_SPREADS:BRS_GOLD__3_SS:BRS_GOLD__2_SS_OTHER:BRL_LIB:BRL_libor_5yr</v>
          </cell>
          <cell r="D7824" t="str">
            <v>Libor KRD</v>
          </cell>
          <cell r="E7824" t="str">
            <v>Yield</v>
          </cell>
          <cell r="F7824" t="str">
            <v>SP-Other</v>
          </cell>
          <cell r="G7824" t="str">
            <v>SP-Other</v>
          </cell>
          <cell r="H7824" t="str">
            <v>SPREADS</v>
          </cell>
          <cell r="I7824" t="str">
            <v>Swap Spread - Libor</v>
          </cell>
        </row>
        <row r="7825">
          <cell r="A7825" t="str">
            <v>BRL_libor_7yr</v>
          </cell>
          <cell r="B7825" t="str">
            <v>BRL OIS-GOVT 7Y</v>
          </cell>
          <cell r="C7825" t="str">
            <v>BRS_GOLD__5_SPREADS:BRS_GOLD__3_SS:BRS_GOLD__2_SS_OTHER:BRL_LIB:BRL_libor_7yr</v>
          </cell>
          <cell r="D7825" t="str">
            <v>Libor KRD</v>
          </cell>
          <cell r="E7825" t="str">
            <v>Yield</v>
          </cell>
          <cell r="F7825" t="str">
            <v>SP-Other</v>
          </cell>
          <cell r="G7825" t="str">
            <v>SP-Other</v>
          </cell>
          <cell r="H7825" t="str">
            <v>SPREADS</v>
          </cell>
          <cell r="I7825" t="str">
            <v>Swap Spread - Libor</v>
          </cell>
        </row>
        <row r="7826">
          <cell r="A7826" t="str">
            <v>BRL_libor_10yr</v>
          </cell>
          <cell r="B7826" t="str">
            <v>BRL OIS-GOVT 10Y</v>
          </cell>
          <cell r="C7826" t="str">
            <v>BRS_GOLD__5_SPREADS:BRS_GOLD__3_SS:BRS_GOLD__2_SS_OTHER:BRL_LIB:BRL_libor_10yr</v>
          </cell>
          <cell r="D7826" t="str">
            <v>Libor KRD</v>
          </cell>
          <cell r="E7826" t="str">
            <v>Yield</v>
          </cell>
          <cell r="F7826" t="str">
            <v>SP-Other</v>
          </cell>
          <cell r="G7826" t="str">
            <v>SP-Other</v>
          </cell>
          <cell r="H7826" t="str">
            <v>SPREADS</v>
          </cell>
          <cell r="I7826" t="str">
            <v>Swap Spread - Libor</v>
          </cell>
        </row>
        <row r="7827">
          <cell r="A7827" t="str">
            <v>BRL_libor_15yr</v>
          </cell>
          <cell r="B7827" t="str">
            <v>BRL OIS-GOVT 15Y</v>
          </cell>
          <cell r="C7827" t="str">
            <v>BRS_GOLD__5_SPREADS:BRS_GOLD__3_SS:BRS_GOLD__2_SS_OTHER:BRL_LIB:BRL_libor_15yr</v>
          </cell>
          <cell r="D7827" t="str">
            <v>Libor KRD</v>
          </cell>
          <cell r="E7827" t="str">
            <v>Yield</v>
          </cell>
          <cell r="F7827" t="str">
            <v>SP-Other</v>
          </cell>
          <cell r="G7827" t="str">
            <v>SP-Other</v>
          </cell>
          <cell r="H7827" t="str">
            <v>SPREADS</v>
          </cell>
          <cell r="I7827" t="str">
            <v>Swap Spread - Libor</v>
          </cell>
        </row>
        <row r="7828">
          <cell r="A7828" t="str">
            <v>BRL_libor_20yr</v>
          </cell>
          <cell r="B7828" t="str">
            <v>BRL OIS-GOVT 20Y</v>
          </cell>
          <cell r="C7828" t="str">
            <v>BRS_GOLD__5_SPREADS:BRS_GOLD__3_SS:BRS_GOLD__2_SS_OTHER:BRL_LIB:BRL_libor_20yr</v>
          </cell>
          <cell r="D7828" t="str">
            <v>Libor KRD</v>
          </cell>
          <cell r="E7828" t="str">
            <v>Yield</v>
          </cell>
          <cell r="F7828" t="str">
            <v>SP-Other</v>
          </cell>
          <cell r="G7828" t="str">
            <v>SP-Other</v>
          </cell>
          <cell r="H7828" t="str">
            <v>SPREADS</v>
          </cell>
          <cell r="I7828" t="str">
            <v>Swap Spread - Libor</v>
          </cell>
        </row>
        <row r="7829">
          <cell r="A7829" t="str">
            <v>BRL_libor_25yr</v>
          </cell>
          <cell r="B7829" t="str">
            <v>BRL OIS-GOVT 25Y</v>
          </cell>
          <cell r="C7829" t="str">
            <v>BRS_GOLD__5_SPREADS:BRS_GOLD__3_SS:BRS_GOLD__2_SS_OTHER:BRL_LIB:BRL_libor_25yr</v>
          </cell>
          <cell r="D7829" t="str">
            <v>Libor KRD</v>
          </cell>
          <cell r="E7829" t="str">
            <v>Yield</v>
          </cell>
          <cell r="F7829" t="str">
            <v>SP-Other</v>
          </cell>
          <cell r="G7829" t="str">
            <v>SP-Other</v>
          </cell>
          <cell r="H7829" t="str">
            <v>SPREADS</v>
          </cell>
          <cell r="I7829" t="str">
            <v>Swap Spread - Libor</v>
          </cell>
        </row>
        <row r="7830">
          <cell r="A7830" t="str">
            <v>BRL_libor_30yr</v>
          </cell>
          <cell r="B7830" t="str">
            <v>BRL OIS-GOVT 30Y</v>
          </cell>
          <cell r="C7830" t="str">
            <v>BRS_GOLD__5_SPREADS:BRS_GOLD__3_SS:BRS_GOLD__2_SS_OTHER:BRL_LIB:BRL_libor_30yr</v>
          </cell>
          <cell r="D7830" t="str">
            <v>Libor KRD</v>
          </cell>
          <cell r="E7830" t="str">
            <v>Yield</v>
          </cell>
          <cell r="F7830" t="str">
            <v>SP-Other</v>
          </cell>
          <cell r="G7830" t="str">
            <v>SP-Other</v>
          </cell>
          <cell r="H7830" t="str">
            <v>SPREADS</v>
          </cell>
          <cell r="I7830" t="str">
            <v>Swap Spread - Libor</v>
          </cell>
        </row>
        <row r="7831">
          <cell r="A7831" t="str">
            <v>CNH_bank_deposit_10yr</v>
          </cell>
          <cell r="B7831" t="str">
            <v>CNH Bank Deposit 10Y</v>
          </cell>
          <cell r="C7831" t="str">
            <v>BRS_GOLD__5_SPREADS:BRS_GOLD__3_SS:BRS_GOLD__2_SS_OTHER:CNH_BANK_DEPOSIT:CNH_bank_deposit_10yr</v>
          </cell>
          <cell r="D7831" t="str">
            <v>Libor KRD</v>
          </cell>
          <cell r="E7831" t="str">
            <v>Yield</v>
          </cell>
          <cell r="F7831" t="str">
            <v>SP-Other</v>
          </cell>
          <cell r="G7831" t="str">
            <v>SP-Other</v>
          </cell>
          <cell r="H7831" t="str">
            <v>SPREADS</v>
          </cell>
          <cell r="I7831" t="str">
            <v>Swap Spread - Libor</v>
          </cell>
        </row>
        <row r="7832">
          <cell r="A7832" t="str">
            <v>CNH_bank_deposit_15yr</v>
          </cell>
          <cell r="B7832" t="str">
            <v>CNH Bank Deposit 15Y</v>
          </cell>
          <cell r="C7832" t="str">
            <v>BRS_GOLD__5_SPREADS:BRS_GOLD__3_SS:BRS_GOLD__2_SS_OTHER:CNH_BANK_DEPOSIT:CNH_bank_deposit_15yr</v>
          </cell>
          <cell r="D7832" t="str">
            <v>Libor KRD</v>
          </cell>
          <cell r="E7832" t="str">
            <v>Yield</v>
          </cell>
          <cell r="F7832" t="str">
            <v>SP-Other</v>
          </cell>
          <cell r="G7832" t="str">
            <v>SP-Other</v>
          </cell>
          <cell r="H7832" t="str">
            <v>SPREADS</v>
          </cell>
          <cell r="I7832" t="str">
            <v>Swap Spread - Libor</v>
          </cell>
        </row>
        <row r="7833">
          <cell r="A7833" t="str">
            <v>CNH_bank_deposit_1yr</v>
          </cell>
          <cell r="B7833" t="str">
            <v>CNH Bank Deposit 1Y</v>
          </cell>
          <cell r="C7833" t="str">
            <v>BRS_GOLD__5_SPREADS:BRS_GOLD__3_SS:BRS_GOLD__2_SS_OTHER:CNH_BANK_DEPOSIT:CNH_bank_deposit_1yr</v>
          </cell>
          <cell r="D7833" t="str">
            <v>Libor KRD</v>
          </cell>
          <cell r="E7833" t="str">
            <v>Yield</v>
          </cell>
          <cell r="F7833" t="str">
            <v>SP-Other</v>
          </cell>
          <cell r="G7833" t="str">
            <v>SP-Other</v>
          </cell>
          <cell r="H7833" t="str">
            <v>SPREADS</v>
          </cell>
          <cell r="I7833" t="str">
            <v>Swap Spread - Libor</v>
          </cell>
        </row>
        <row r="7834">
          <cell r="A7834" t="str">
            <v>CNH_bank_deposit_20yr</v>
          </cell>
          <cell r="B7834" t="str">
            <v>CNH Bank Deposit 20Y</v>
          </cell>
          <cell r="C7834" t="str">
            <v>BRS_GOLD__5_SPREADS:BRS_GOLD__3_SS:BRS_GOLD__2_SS_OTHER:CNH_BANK_DEPOSIT:CNH_bank_deposit_20yr</v>
          </cell>
          <cell r="D7834" t="str">
            <v>Libor KRD</v>
          </cell>
          <cell r="E7834" t="str">
            <v>Yield</v>
          </cell>
          <cell r="F7834" t="str">
            <v>SP-Other</v>
          </cell>
          <cell r="G7834" t="str">
            <v>SP-Other</v>
          </cell>
          <cell r="H7834" t="str">
            <v>SPREADS</v>
          </cell>
          <cell r="I7834" t="str">
            <v>Swap Spread - Libor</v>
          </cell>
        </row>
        <row r="7835">
          <cell r="A7835" t="str">
            <v>CNH_bank_deposit_25yr</v>
          </cell>
          <cell r="B7835" t="str">
            <v>CNH Bank Deposit 25Y</v>
          </cell>
          <cell r="C7835" t="str">
            <v>BRS_GOLD__5_SPREADS:BRS_GOLD__3_SS:BRS_GOLD__2_SS_OTHER:CNH_BANK_DEPOSIT:CNH_bank_deposit_25yr</v>
          </cell>
          <cell r="D7835" t="str">
            <v>Libor KRD</v>
          </cell>
          <cell r="E7835" t="str">
            <v>Yield</v>
          </cell>
          <cell r="F7835" t="str">
            <v>SP-Other</v>
          </cell>
          <cell r="G7835" t="str">
            <v>SP-Other</v>
          </cell>
          <cell r="H7835" t="str">
            <v>SPREADS</v>
          </cell>
          <cell r="I7835" t="str">
            <v>Swap Spread - Libor</v>
          </cell>
        </row>
        <row r="7836">
          <cell r="A7836" t="str">
            <v>CNH_bank_deposit_2yr</v>
          </cell>
          <cell r="B7836" t="str">
            <v>CNH Bank Deposit 2Y</v>
          </cell>
          <cell r="C7836" t="str">
            <v>BRS_GOLD__5_SPREADS:BRS_GOLD__3_SS:BRS_GOLD__2_SS_OTHER:CNH_BANK_DEPOSIT:CNH_bank_deposit_2yr</v>
          </cell>
          <cell r="D7836" t="str">
            <v>Libor KRD</v>
          </cell>
          <cell r="E7836" t="str">
            <v>Yield</v>
          </cell>
          <cell r="F7836" t="str">
            <v>SP-Other</v>
          </cell>
          <cell r="G7836" t="str">
            <v>SP-Other</v>
          </cell>
          <cell r="H7836" t="str">
            <v>SPREADS</v>
          </cell>
          <cell r="I7836" t="str">
            <v>Swap Spread - Libor</v>
          </cell>
        </row>
        <row r="7837">
          <cell r="A7837" t="str">
            <v>CNH_bank_deposit_30yr</v>
          </cell>
          <cell r="B7837" t="str">
            <v>CNH Bank Deposit 30Y</v>
          </cell>
          <cell r="C7837" t="str">
            <v>BRS_GOLD__5_SPREADS:BRS_GOLD__3_SS:BRS_GOLD__2_SS_OTHER:CNH_BANK_DEPOSIT:CNH_bank_deposit_30yr</v>
          </cell>
          <cell r="D7837" t="str">
            <v>Libor KRD</v>
          </cell>
          <cell r="E7837" t="str">
            <v>Yield</v>
          </cell>
          <cell r="F7837" t="str">
            <v>SP-Other</v>
          </cell>
          <cell r="G7837" t="str">
            <v>SP-Other</v>
          </cell>
          <cell r="H7837" t="str">
            <v>SPREADS</v>
          </cell>
          <cell r="I7837" t="str">
            <v>Swap Spread - Libor</v>
          </cell>
        </row>
        <row r="7838">
          <cell r="A7838" t="str">
            <v>CNH_bank_deposit_3m</v>
          </cell>
          <cell r="B7838" t="str">
            <v>CNH Bank Deposit 3M</v>
          </cell>
          <cell r="C7838" t="str">
            <v>BRS_GOLD__5_SPREADS:BRS_GOLD__3_SS:BRS_GOLD__2_SS_OTHER:CNH_BANK_DEPOSIT:CNH_bank_deposit_3m</v>
          </cell>
          <cell r="D7838" t="str">
            <v>Libor KRD</v>
          </cell>
          <cell r="E7838" t="str">
            <v>Yield</v>
          </cell>
          <cell r="F7838" t="str">
            <v>SP-Other</v>
          </cell>
          <cell r="G7838" t="str">
            <v>SP-Other</v>
          </cell>
          <cell r="H7838" t="str">
            <v>SPREADS</v>
          </cell>
          <cell r="I7838" t="str">
            <v>Swap Spread - Libor</v>
          </cell>
        </row>
        <row r="7839">
          <cell r="A7839" t="str">
            <v>CNH_bank_deposit_3yr</v>
          </cell>
          <cell r="B7839" t="str">
            <v>CNH Bank Deposit 3Y</v>
          </cell>
          <cell r="C7839" t="str">
            <v>BRS_GOLD__5_SPREADS:BRS_GOLD__3_SS:BRS_GOLD__2_SS_OTHER:CNH_BANK_DEPOSIT:CNH_bank_deposit_3yr</v>
          </cell>
          <cell r="D7839" t="str">
            <v>Libor KRD</v>
          </cell>
          <cell r="E7839" t="str">
            <v>Yield</v>
          </cell>
          <cell r="F7839" t="str">
            <v>SP-Other</v>
          </cell>
          <cell r="G7839" t="str">
            <v>SP-Other</v>
          </cell>
          <cell r="H7839" t="str">
            <v>SPREADS</v>
          </cell>
          <cell r="I7839" t="str">
            <v>Swap Spread - Libor</v>
          </cell>
        </row>
        <row r="7840">
          <cell r="A7840" t="str">
            <v>CNH_bank_deposit_5yr</v>
          </cell>
          <cell r="B7840" t="str">
            <v>CNH Bank Deposit 5Y</v>
          </cell>
          <cell r="C7840" t="str">
            <v>BRS_GOLD__5_SPREADS:BRS_GOLD__3_SS:BRS_GOLD__2_SS_OTHER:CNH_BANK_DEPOSIT:CNH_bank_deposit_5yr</v>
          </cell>
          <cell r="D7840" t="str">
            <v>Libor KRD</v>
          </cell>
          <cell r="E7840" t="str">
            <v>Yield</v>
          </cell>
          <cell r="F7840" t="str">
            <v>SP-Other</v>
          </cell>
          <cell r="G7840" t="str">
            <v>SP-Other</v>
          </cell>
          <cell r="H7840" t="str">
            <v>SPREADS</v>
          </cell>
          <cell r="I7840" t="str">
            <v>Swap Spread - Libor</v>
          </cell>
        </row>
        <row r="7841">
          <cell r="A7841" t="str">
            <v>CNH_bank_deposit_7yr</v>
          </cell>
          <cell r="B7841" t="str">
            <v>CNH Bank Deposit 7Y</v>
          </cell>
          <cell r="C7841" t="str">
            <v>BRS_GOLD__5_SPREADS:BRS_GOLD__3_SS:BRS_GOLD__2_SS_OTHER:CNH_BANK_DEPOSIT:CNH_bank_deposit_7yr</v>
          </cell>
          <cell r="D7841" t="str">
            <v>Libor KRD</v>
          </cell>
          <cell r="E7841" t="str">
            <v>Yield</v>
          </cell>
          <cell r="F7841" t="str">
            <v>SP-Other</v>
          </cell>
          <cell r="G7841" t="str">
            <v>SP-Other</v>
          </cell>
          <cell r="H7841" t="str">
            <v>SPREADS</v>
          </cell>
          <cell r="I7841" t="str">
            <v>Swap Spread - Libor</v>
          </cell>
        </row>
        <row r="7842">
          <cell r="A7842" t="str">
            <v>CNY_bank_deposit_3m</v>
          </cell>
          <cell r="B7842" t="str">
            <v>CNY Bank Deposit 3M</v>
          </cell>
          <cell r="C7842" t="str">
            <v>BRS_GOLD__5_SPREADS:BRS_GOLD__3_SS:BRS_GOLD__2_SS_OTHER:CNY_BANK_DEPOSIT:CNY_bank_deposit_3m</v>
          </cell>
          <cell r="D7842" t="str">
            <v>Libor KRD</v>
          </cell>
          <cell r="E7842" t="str">
            <v>Yield</v>
          </cell>
          <cell r="F7842" t="str">
            <v>SP-Other</v>
          </cell>
          <cell r="G7842" t="str">
            <v>SP-Other</v>
          </cell>
          <cell r="H7842" t="str">
            <v>SPREADS</v>
          </cell>
          <cell r="I7842" t="str">
            <v>Swap Spread - Libor</v>
          </cell>
        </row>
        <row r="7843">
          <cell r="A7843" t="str">
            <v>CNY_bank_deposit_1yr</v>
          </cell>
          <cell r="B7843" t="str">
            <v>CNY Bank Deposit 1Y</v>
          </cell>
          <cell r="C7843" t="str">
            <v>BRS_GOLD__5_SPREADS:BRS_GOLD__3_SS:BRS_GOLD__2_SS_OTHER:CNY_BANK_DEPOSIT:CNY_bank_deposit_1yr</v>
          </cell>
          <cell r="D7843" t="str">
            <v>Libor KRD</v>
          </cell>
          <cell r="E7843" t="str">
            <v>Yield</v>
          </cell>
          <cell r="F7843" t="str">
            <v>SP-Other</v>
          </cell>
          <cell r="G7843" t="str">
            <v>SP-Other</v>
          </cell>
          <cell r="H7843" t="str">
            <v>SPREADS</v>
          </cell>
          <cell r="I7843" t="str">
            <v>Swap Spread - Libor</v>
          </cell>
        </row>
        <row r="7844">
          <cell r="A7844" t="str">
            <v>CNY_bank_deposit_2yr</v>
          </cell>
          <cell r="B7844" t="str">
            <v>CNY Bank Deposit 2Y</v>
          </cell>
          <cell r="C7844" t="str">
            <v>BRS_GOLD__5_SPREADS:BRS_GOLD__3_SS:BRS_GOLD__2_SS_OTHER:CNY_BANK_DEPOSIT:CNY_bank_deposit_2yr</v>
          </cell>
          <cell r="D7844" t="str">
            <v>Libor KRD</v>
          </cell>
          <cell r="E7844" t="str">
            <v>Yield</v>
          </cell>
          <cell r="F7844" t="str">
            <v>SP-Other</v>
          </cell>
          <cell r="G7844" t="str">
            <v>SP-Other</v>
          </cell>
          <cell r="H7844" t="str">
            <v>SPREADS</v>
          </cell>
          <cell r="I7844" t="str">
            <v>Swap Spread - Libor</v>
          </cell>
        </row>
        <row r="7845">
          <cell r="A7845" t="str">
            <v>CNY_bank_deposit_3yr</v>
          </cell>
          <cell r="B7845" t="str">
            <v>CNY Bank Deposit 3Y</v>
          </cell>
          <cell r="C7845" t="str">
            <v>BRS_GOLD__5_SPREADS:BRS_GOLD__3_SS:BRS_GOLD__2_SS_OTHER:CNY_BANK_DEPOSIT:CNY_bank_deposit_3yr</v>
          </cell>
          <cell r="D7845" t="str">
            <v>Libor KRD</v>
          </cell>
          <cell r="E7845" t="str">
            <v>Yield</v>
          </cell>
          <cell r="F7845" t="str">
            <v>SP-Other</v>
          </cell>
          <cell r="G7845" t="str">
            <v>SP-Other</v>
          </cell>
          <cell r="H7845" t="str">
            <v>SPREADS</v>
          </cell>
          <cell r="I7845" t="str">
            <v>Swap Spread - Libor</v>
          </cell>
        </row>
        <row r="7846">
          <cell r="A7846" t="str">
            <v>CNY_bank_deposit_5yr</v>
          </cell>
          <cell r="B7846" t="str">
            <v>CNY Bank Deposit 5Y</v>
          </cell>
          <cell r="C7846" t="str">
            <v>BRS_GOLD__5_SPREADS:BRS_GOLD__3_SS:BRS_GOLD__2_SS_OTHER:CNY_BANK_DEPOSIT:CNY_bank_deposit_5yr</v>
          </cell>
          <cell r="D7846" t="str">
            <v>Libor KRD</v>
          </cell>
          <cell r="E7846" t="str">
            <v>Yield</v>
          </cell>
          <cell r="F7846" t="str">
            <v>SP-Other</v>
          </cell>
          <cell r="G7846" t="str">
            <v>SP-Other</v>
          </cell>
          <cell r="H7846" t="str">
            <v>SPREADS</v>
          </cell>
          <cell r="I7846" t="str">
            <v>Swap Spread - Libor</v>
          </cell>
        </row>
        <row r="7847">
          <cell r="A7847" t="str">
            <v>CNY_bank_deposit_7yr</v>
          </cell>
          <cell r="B7847" t="str">
            <v>CNY Bank Deposit 7Y</v>
          </cell>
          <cell r="C7847" t="str">
            <v>BRS_GOLD__5_SPREADS:BRS_GOLD__3_SS:BRS_GOLD__2_SS_OTHER:CNY_BANK_DEPOSIT:CNY_bank_deposit_7yr</v>
          </cell>
          <cell r="D7847" t="str">
            <v>Libor KRD</v>
          </cell>
          <cell r="E7847" t="str">
            <v>Yield</v>
          </cell>
          <cell r="F7847" t="str">
            <v>SP-Other</v>
          </cell>
          <cell r="G7847" t="str">
            <v>SP-Other</v>
          </cell>
          <cell r="H7847" t="str">
            <v>SPREADS</v>
          </cell>
          <cell r="I7847" t="str">
            <v>Swap Spread - Libor</v>
          </cell>
        </row>
        <row r="7848">
          <cell r="A7848" t="str">
            <v>CNY_bank_deposit_10yr</v>
          </cell>
          <cell r="B7848" t="str">
            <v>CNY Bank Deposit 10Y</v>
          </cell>
          <cell r="C7848" t="str">
            <v>BRS_GOLD__5_SPREADS:BRS_GOLD__3_SS:BRS_GOLD__2_SS_OTHER:CNY_BANK_DEPOSIT:CNY_bank_deposit_10yr</v>
          </cell>
          <cell r="D7848" t="str">
            <v>Libor KRD</v>
          </cell>
          <cell r="E7848" t="str">
            <v>Yield</v>
          </cell>
          <cell r="F7848" t="str">
            <v>SP-Other</v>
          </cell>
          <cell r="G7848" t="str">
            <v>SP-Other</v>
          </cell>
          <cell r="H7848" t="str">
            <v>SPREADS</v>
          </cell>
          <cell r="I7848" t="str">
            <v>Swap Spread - Libor</v>
          </cell>
        </row>
        <row r="7849">
          <cell r="A7849" t="str">
            <v>CNY_bank_deposit_15yr</v>
          </cell>
          <cell r="B7849" t="str">
            <v>CNY Bank Deposit 15Y</v>
          </cell>
          <cell r="C7849" t="str">
            <v>BRS_GOLD__5_SPREADS:BRS_GOLD__3_SS:BRS_GOLD__2_SS_OTHER:CNY_BANK_DEPOSIT:CNY_bank_deposit_15yr</v>
          </cell>
          <cell r="D7849" t="str">
            <v>Libor KRD</v>
          </cell>
          <cell r="E7849" t="str">
            <v>Yield</v>
          </cell>
          <cell r="F7849" t="str">
            <v>SP-Other</v>
          </cell>
          <cell r="G7849" t="str">
            <v>SP-Other</v>
          </cell>
          <cell r="H7849" t="str">
            <v>SPREADS</v>
          </cell>
          <cell r="I7849" t="str">
            <v>Swap Spread - Libor</v>
          </cell>
        </row>
        <row r="7850">
          <cell r="A7850" t="str">
            <v>CNY_bank_deposit_20yr</v>
          </cell>
          <cell r="B7850" t="str">
            <v>CNY Bank Deposit 20Y</v>
          </cell>
          <cell r="C7850" t="str">
            <v>BRS_GOLD__5_SPREADS:BRS_GOLD__3_SS:BRS_GOLD__2_SS_OTHER:CNY_BANK_DEPOSIT:CNY_bank_deposit_20yr</v>
          </cell>
          <cell r="D7850" t="str">
            <v>Libor KRD</v>
          </cell>
          <cell r="E7850" t="str">
            <v>Yield</v>
          </cell>
          <cell r="F7850" t="str">
            <v>SP-Other</v>
          </cell>
          <cell r="G7850" t="str">
            <v>SP-Other</v>
          </cell>
          <cell r="H7850" t="str">
            <v>SPREADS</v>
          </cell>
          <cell r="I7850" t="str">
            <v>Swap Spread - Libor</v>
          </cell>
        </row>
        <row r="7851">
          <cell r="A7851" t="str">
            <v>CNY_bank_deposit_25yr</v>
          </cell>
          <cell r="B7851" t="str">
            <v>CNY Bank Deposit 25Y</v>
          </cell>
          <cell r="C7851" t="str">
            <v>BRS_GOLD__5_SPREADS:BRS_GOLD__3_SS:BRS_GOLD__2_SS_OTHER:CNY_BANK_DEPOSIT:CNY_bank_deposit_25yr</v>
          </cell>
          <cell r="D7851" t="str">
            <v>Libor KRD</v>
          </cell>
          <cell r="E7851" t="str">
            <v>Yield</v>
          </cell>
          <cell r="F7851" t="str">
            <v>SP-Other</v>
          </cell>
          <cell r="G7851" t="str">
            <v>SP-Other</v>
          </cell>
          <cell r="H7851" t="str">
            <v>SPREADS</v>
          </cell>
          <cell r="I7851" t="str">
            <v>Swap Spread - Libor</v>
          </cell>
        </row>
        <row r="7852">
          <cell r="A7852" t="str">
            <v>CNY_bank_deposit_30yr</v>
          </cell>
          <cell r="B7852" t="str">
            <v>CNY Bank Deposit 30Y</v>
          </cell>
          <cell r="C7852" t="str">
            <v>BRS_GOLD__5_SPREADS:BRS_GOLD__3_SS:BRS_GOLD__2_SS_OTHER:CNY_BANK_DEPOSIT:CNY_bank_deposit_30yr</v>
          </cell>
          <cell r="D7852" t="str">
            <v>Libor KRD</v>
          </cell>
          <cell r="E7852" t="str">
            <v>Yield</v>
          </cell>
          <cell r="F7852" t="str">
            <v>SP-Other</v>
          </cell>
          <cell r="G7852" t="str">
            <v>SP-Other</v>
          </cell>
          <cell r="H7852" t="str">
            <v>SPREADS</v>
          </cell>
          <cell r="I7852" t="str">
            <v>Swap Spread - Libor</v>
          </cell>
        </row>
        <row r="7853">
          <cell r="A7853" t="str">
            <v>HKD_inter_bank_3m</v>
          </cell>
          <cell r="B7853" t="str">
            <v>HKD HIBOR 3M</v>
          </cell>
          <cell r="C7853" t="str">
            <v>BRS_GOLD__5_SPREADS:BRS_GOLD__3_SS:BRS_GOLD__2_SS_OTHER:HKD_INTER_BANK:HKD_inter_bank_3m</v>
          </cell>
          <cell r="D7853" t="str">
            <v>Libor KRD</v>
          </cell>
          <cell r="E7853" t="str">
            <v>Yield</v>
          </cell>
          <cell r="F7853" t="str">
            <v>SP-Other</v>
          </cell>
          <cell r="G7853" t="str">
            <v>SP-Other</v>
          </cell>
          <cell r="H7853" t="str">
            <v>SPREADS</v>
          </cell>
          <cell r="I7853" t="str">
            <v>Swap Spread - Libor</v>
          </cell>
        </row>
        <row r="7854">
          <cell r="A7854" t="str">
            <v>HKD_inter_bank_1yr</v>
          </cell>
          <cell r="B7854" t="str">
            <v>HKD HIBOR 1Y</v>
          </cell>
          <cell r="C7854" t="str">
            <v>BRS_GOLD__5_SPREADS:BRS_GOLD__3_SS:BRS_GOLD__2_SS_OTHER:HKD_INTER_BANK:HKD_inter_bank_1yr</v>
          </cell>
          <cell r="D7854" t="str">
            <v>Libor KRD</v>
          </cell>
          <cell r="E7854" t="str">
            <v>Yield</v>
          </cell>
          <cell r="F7854" t="str">
            <v>SP-Other</v>
          </cell>
          <cell r="G7854" t="str">
            <v>SP-Other</v>
          </cell>
          <cell r="H7854" t="str">
            <v>SPREADS</v>
          </cell>
          <cell r="I7854" t="str">
            <v>Swap Spread - Libor</v>
          </cell>
        </row>
        <row r="7855">
          <cell r="A7855" t="str">
            <v>HKD_inter_bank_2yr</v>
          </cell>
          <cell r="B7855" t="str">
            <v>HKD HIBOR 2Y</v>
          </cell>
          <cell r="C7855" t="str">
            <v>BRS_GOLD__5_SPREADS:BRS_GOLD__3_SS:BRS_GOLD__2_SS_OTHER:HKD_INTER_BANK:HKD_inter_bank_2yr</v>
          </cell>
          <cell r="D7855" t="str">
            <v>Libor KRD</v>
          </cell>
          <cell r="E7855" t="str">
            <v>Yield</v>
          </cell>
          <cell r="F7855" t="str">
            <v>SP-Other</v>
          </cell>
          <cell r="G7855" t="str">
            <v>SP-Other</v>
          </cell>
          <cell r="H7855" t="str">
            <v>SPREADS</v>
          </cell>
          <cell r="I7855" t="str">
            <v>Swap Spread - Libor</v>
          </cell>
        </row>
        <row r="7856">
          <cell r="A7856" t="str">
            <v>HKD_inter_bank_3yr</v>
          </cell>
          <cell r="B7856" t="str">
            <v>HKD HIBOR 3Y</v>
          </cell>
          <cell r="C7856" t="str">
            <v>BRS_GOLD__5_SPREADS:BRS_GOLD__3_SS:BRS_GOLD__2_SS_OTHER:HKD_INTER_BANK:HKD_inter_bank_3yr</v>
          </cell>
          <cell r="D7856" t="str">
            <v>Libor KRD</v>
          </cell>
          <cell r="E7856" t="str">
            <v>Yield</v>
          </cell>
          <cell r="F7856" t="str">
            <v>SP-Other</v>
          </cell>
          <cell r="G7856" t="str">
            <v>SP-Other</v>
          </cell>
          <cell r="H7856" t="str">
            <v>SPREADS</v>
          </cell>
          <cell r="I7856" t="str">
            <v>Swap Spread - Libor</v>
          </cell>
        </row>
        <row r="7857">
          <cell r="A7857" t="str">
            <v>HKD_inter_bank_5yr</v>
          </cell>
          <cell r="B7857" t="str">
            <v>HKD HIBOR 5Y</v>
          </cell>
          <cell r="C7857" t="str">
            <v>BRS_GOLD__5_SPREADS:BRS_GOLD__3_SS:BRS_GOLD__2_SS_OTHER:HKD_INTER_BANK:HKD_inter_bank_5yr</v>
          </cell>
          <cell r="D7857" t="str">
            <v>Libor KRD</v>
          </cell>
          <cell r="E7857" t="str">
            <v>Yield</v>
          </cell>
          <cell r="F7857" t="str">
            <v>SP-Other</v>
          </cell>
          <cell r="G7857" t="str">
            <v>SP-Other</v>
          </cell>
          <cell r="H7857" t="str">
            <v>SPREADS</v>
          </cell>
          <cell r="I7857" t="str">
            <v>Swap Spread - Libor</v>
          </cell>
        </row>
        <row r="7858">
          <cell r="A7858" t="str">
            <v>HKD_inter_bank_7yr</v>
          </cell>
          <cell r="B7858" t="str">
            <v>HKD HIBOR 7Y</v>
          </cell>
          <cell r="C7858" t="str">
            <v>BRS_GOLD__5_SPREADS:BRS_GOLD__3_SS:BRS_GOLD__2_SS_OTHER:HKD_INTER_BANK:HKD_inter_bank_7yr</v>
          </cell>
          <cell r="D7858" t="str">
            <v>Libor KRD</v>
          </cell>
          <cell r="E7858" t="str">
            <v>Yield</v>
          </cell>
          <cell r="F7858" t="str">
            <v>SP-Other</v>
          </cell>
          <cell r="G7858" t="str">
            <v>SP-Other</v>
          </cell>
          <cell r="H7858" t="str">
            <v>SPREADS</v>
          </cell>
          <cell r="I7858" t="str">
            <v>Swap Spread - Libor</v>
          </cell>
        </row>
        <row r="7859">
          <cell r="A7859" t="str">
            <v>HKD_inter_bank_10yr</v>
          </cell>
          <cell r="B7859" t="str">
            <v>HKD HIBOR 10Y</v>
          </cell>
          <cell r="C7859" t="str">
            <v>BRS_GOLD__5_SPREADS:BRS_GOLD__3_SS:BRS_GOLD__2_SS_OTHER:HKD_INTER_BANK:HKD_inter_bank_10yr</v>
          </cell>
          <cell r="D7859" t="str">
            <v>Libor KRD</v>
          </cell>
          <cell r="E7859" t="str">
            <v>Yield</v>
          </cell>
          <cell r="F7859" t="str">
            <v>SP-Other</v>
          </cell>
          <cell r="G7859" t="str">
            <v>SP-Other</v>
          </cell>
          <cell r="H7859" t="str">
            <v>SPREADS</v>
          </cell>
          <cell r="I7859" t="str">
            <v>Swap Spread - Libor</v>
          </cell>
        </row>
        <row r="7860">
          <cell r="A7860" t="str">
            <v>HKD_inter_bank_15yr</v>
          </cell>
          <cell r="B7860" t="str">
            <v>HKD HIBOR 15Y</v>
          </cell>
          <cell r="C7860" t="str">
            <v>BRS_GOLD__5_SPREADS:BRS_GOLD__3_SS:BRS_GOLD__2_SS_OTHER:HKD_INTER_BANK:HKD_inter_bank_15yr</v>
          </cell>
          <cell r="D7860" t="str">
            <v>Libor KRD</v>
          </cell>
          <cell r="E7860" t="str">
            <v>Yield</v>
          </cell>
          <cell r="F7860" t="str">
            <v>SP-Other</v>
          </cell>
          <cell r="G7860" t="str">
            <v>SP-Other</v>
          </cell>
          <cell r="H7860" t="str">
            <v>SPREADS</v>
          </cell>
          <cell r="I7860" t="str">
            <v>Swap Spread - Libor</v>
          </cell>
        </row>
        <row r="7861">
          <cell r="A7861" t="str">
            <v>HKD_inter_bank_20yr</v>
          </cell>
          <cell r="B7861" t="str">
            <v>HKD HIBOR 20Y</v>
          </cell>
          <cell r="C7861" t="str">
            <v>BRS_GOLD__5_SPREADS:BRS_GOLD__3_SS:BRS_GOLD__2_SS_OTHER:HKD_INTER_BANK:HKD_inter_bank_20yr</v>
          </cell>
          <cell r="D7861" t="str">
            <v>Libor KRD</v>
          </cell>
          <cell r="E7861" t="str">
            <v>Yield</v>
          </cell>
          <cell r="F7861" t="str">
            <v>SP-Other</v>
          </cell>
          <cell r="G7861" t="str">
            <v>SP-Other</v>
          </cell>
          <cell r="H7861" t="str">
            <v>SPREADS</v>
          </cell>
          <cell r="I7861" t="str">
            <v>Swap Spread - Libor</v>
          </cell>
        </row>
        <row r="7862">
          <cell r="A7862" t="str">
            <v>HKD_inter_bank_25yr</v>
          </cell>
          <cell r="B7862" t="str">
            <v>HKD HIBOR 25Y</v>
          </cell>
          <cell r="C7862" t="str">
            <v>BRS_GOLD__5_SPREADS:BRS_GOLD__3_SS:BRS_GOLD__2_SS_OTHER:HKD_INTER_BANK:HKD_inter_bank_25yr</v>
          </cell>
          <cell r="D7862" t="str">
            <v>Libor KRD</v>
          </cell>
          <cell r="E7862" t="str">
            <v>Yield</v>
          </cell>
          <cell r="F7862" t="str">
            <v>SP-Other</v>
          </cell>
          <cell r="G7862" t="str">
            <v>SP-Other</v>
          </cell>
          <cell r="H7862" t="str">
            <v>SPREADS</v>
          </cell>
          <cell r="I7862" t="str">
            <v>Swap Spread - Libor</v>
          </cell>
        </row>
        <row r="7863">
          <cell r="A7863" t="str">
            <v>HKD_inter_bank_30yr</v>
          </cell>
          <cell r="B7863" t="str">
            <v>HKD HIBOR 30Y</v>
          </cell>
          <cell r="C7863" t="str">
            <v>BRS_GOLD__5_SPREADS:BRS_GOLD__3_SS:BRS_GOLD__2_SS_OTHER:HKD_INTER_BANK:HKD_inter_bank_30yr</v>
          </cell>
          <cell r="D7863" t="str">
            <v>Libor KRD</v>
          </cell>
          <cell r="E7863" t="str">
            <v>Yield</v>
          </cell>
          <cell r="F7863" t="str">
            <v>SP-Other</v>
          </cell>
          <cell r="G7863" t="str">
            <v>SP-Other</v>
          </cell>
          <cell r="H7863" t="str">
            <v>SPREADS</v>
          </cell>
          <cell r="I7863" t="str">
            <v>Swap Spread - Libor</v>
          </cell>
        </row>
        <row r="7864">
          <cell r="A7864" t="str">
            <v>NZD_libor_3m</v>
          </cell>
          <cell r="B7864" t="str">
            <v>NZD Bank Bill 3M</v>
          </cell>
          <cell r="C7864" t="str">
            <v>BRS_GOLD__5_SPREADS:BRS_GOLD__3_SS:BRS_GOLD__2_SS_OTHER:NZD_LIB:NZD_libor_3m</v>
          </cell>
          <cell r="D7864" t="str">
            <v>Libor KRD</v>
          </cell>
          <cell r="E7864" t="str">
            <v>Yield</v>
          </cell>
          <cell r="F7864" t="str">
            <v>SP-Other</v>
          </cell>
          <cell r="G7864" t="str">
            <v>SP-Other</v>
          </cell>
          <cell r="H7864" t="str">
            <v>SPREADS</v>
          </cell>
          <cell r="I7864" t="str">
            <v>Swap Spread - Libor</v>
          </cell>
        </row>
        <row r="7865">
          <cell r="A7865" t="str">
            <v>NZD_libor_1yr</v>
          </cell>
          <cell r="B7865" t="str">
            <v>NZD Bank Bill 1Y</v>
          </cell>
          <cell r="C7865" t="str">
            <v>BRS_GOLD__5_SPREADS:BRS_GOLD__3_SS:BRS_GOLD__2_SS_OTHER:NZD_LIB:NZD_libor_1yr</v>
          </cell>
          <cell r="D7865" t="str">
            <v>Libor KRD</v>
          </cell>
          <cell r="E7865" t="str">
            <v>Yield</v>
          </cell>
          <cell r="F7865" t="str">
            <v>SP-Other</v>
          </cell>
          <cell r="G7865" t="str">
            <v>SP-Other</v>
          </cell>
          <cell r="H7865" t="str">
            <v>SPREADS</v>
          </cell>
          <cell r="I7865" t="str">
            <v>Swap Spread - Libor</v>
          </cell>
        </row>
        <row r="7866">
          <cell r="A7866" t="str">
            <v>NZD_libor_2yr</v>
          </cell>
          <cell r="B7866" t="str">
            <v>NZD Bank Bill 2Y</v>
          </cell>
          <cell r="C7866" t="str">
            <v>BRS_GOLD__5_SPREADS:BRS_GOLD__3_SS:BRS_GOLD__2_SS_OTHER:NZD_LIB:NZD_libor_2yr</v>
          </cell>
          <cell r="D7866" t="str">
            <v>Libor KRD</v>
          </cell>
          <cell r="E7866" t="str">
            <v>Yield</v>
          </cell>
          <cell r="F7866" t="str">
            <v>SP-Other</v>
          </cell>
          <cell r="G7866" t="str">
            <v>SP-Other</v>
          </cell>
          <cell r="H7866" t="str">
            <v>SPREADS</v>
          </cell>
          <cell r="I7866" t="str">
            <v>Swap Spread - Libor</v>
          </cell>
        </row>
        <row r="7867">
          <cell r="A7867" t="str">
            <v>NZD_libor_3yr</v>
          </cell>
          <cell r="B7867" t="str">
            <v>NZD Bank Bill 3Y</v>
          </cell>
          <cell r="C7867" t="str">
            <v>BRS_GOLD__5_SPREADS:BRS_GOLD__3_SS:BRS_GOLD__2_SS_OTHER:NZD_LIB:NZD_libor_3yr</v>
          </cell>
          <cell r="D7867" t="str">
            <v>Libor KRD</v>
          </cell>
          <cell r="E7867" t="str">
            <v>Yield</v>
          </cell>
          <cell r="F7867" t="str">
            <v>SP-Other</v>
          </cell>
          <cell r="G7867" t="str">
            <v>SP-Other</v>
          </cell>
          <cell r="H7867" t="str">
            <v>SPREADS</v>
          </cell>
          <cell r="I7867" t="str">
            <v>Swap Spread - Libor</v>
          </cell>
        </row>
        <row r="7868">
          <cell r="A7868" t="str">
            <v>NZD_libor_5yr</v>
          </cell>
          <cell r="B7868" t="str">
            <v>NZD Bank Bill 5Y</v>
          </cell>
          <cell r="C7868" t="str">
            <v>BRS_GOLD__5_SPREADS:BRS_GOLD__3_SS:BRS_GOLD__2_SS_OTHER:NZD_LIB:NZD_libor_5yr</v>
          </cell>
          <cell r="D7868" t="str">
            <v>Libor KRD</v>
          </cell>
          <cell r="E7868" t="str">
            <v>Yield</v>
          </cell>
          <cell r="F7868" t="str">
            <v>SP-Other</v>
          </cell>
          <cell r="G7868" t="str">
            <v>SP-Other</v>
          </cell>
          <cell r="H7868" t="str">
            <v>SPREADS</v>
          </cell>
          <cell r="I7868" t="str">
            <v>Swap Spread - Libor</v>
          </cell>
        </row>
        <row r="7869">
          <cell r="A7869" t="str">
            <v>NZD_libor_7yr</v>
          </cell>
          <cell r="B7869" t="str">
            <v>NZD Bank Bill 7Y</v>
          </cell>
          <cell r="C7869" t="str">
            <v>BRS_GOLD__5_SPREADS:BRS_GOLD__3_SS:BRS_GOLD__2_SS_OTHER:NZD_LIB:NZD_libor_7yr</v>
          </cell>
          <cell r="D7869" t="str">
            <v>Libor KRD</v>
          </cell>
          <cell r="E7869" t="str">
            <v>Yield</v>
          </cell>
          <cell r="F7869" t="str">
            <v>SP-Other</v>
          </cell>
          <cell r="G7869" t="str">
            <v>SP-Other</v>
          </cell>
          <cell r="H7869" t="str">
            <v>SPREADS</v>
          </cell>
          <cell r="I7869" t="str">
            <v>Swap Spread - Libor</v>
          </cell>
        </row>
        <row r="7870">
          <cell r="A7870" t="str">
            <v>NZD_libor_10yr</v>
          </cell>
          <cell r="B7870" t="str">
            <v>NZD Bank Bill 10Y</v>
          </cell>
          <cell r="C7870" t="str">
            <v>BRS_GOLD__5_SPREADS:BRS_GOLD__3_SS:BRS_GOLD__2_SS_OTHER:NZD_LIB:NZD_libor_10yr</v>
          </cell>
          <cell r="D7870" t="str">
            <v>Libor KRD</v>
          </cell>
          <cell r="E7870" t="str">
            <v>Yield</v>
          </cell>
          <cell r="F7870" t="str">
            <v>SP-Other</v>
          </cell>
          <cell r="G7870" t="str">
            <v>SP-Other</v>
          </cell>
          <cell r="H7870" t="str">
            <v>SPREADS</v>
          </cell>
          <cell r="I7870" t="str">
            <v>Swap Spread - Libor</v>
          </cell>
        </row>
        <row r="7871">
          <cell r="A7871" t="str">
            <v>NZD_libor_15yr</v>
          </cell>
          <cell r="B7871" t="str">
            <v>NZD Bank Bill 15Y</v>
          </cell>
          <cell r="C7871" t="str">
            <v>BRS_GOLD__5_SPREADS:BRS_GOLD__3_SS:BRS_GOLD__2_SS_OTHER:NZD_LIB:NZD_libor_15yr</v>
          </cell>
          <cell r="D7871" t="str">
            <v>Libor KRD</v>
          </cell>
          <cell r="E7871" t="str">
            <v>Yield</v>
          </cell>
          <cell r="F7871" t="str">
            <v>SP-Other</v>
          </cell>
          <cell r="G7871" t="str">
            <v>SP-Other</v>
          </cell>
          <cell r="H7871" t="str">
            <v>SPREADS</v>
          </cell>
          <cell r="I7871" t="str">
            <v>Swap Spread - Libor</v>
          </cell>
        </row>
        <row r="7872">
          <cell r="A7872" t="str">
            <v>NZD_libor_20yr</v>
          </cell>
          <cell r="B7872" t="str">
            <v>NZD Bank Bill 20Y</v>
          </cell>
          <cell r="C7872" t="str">
            <v>BRS_GOLD__5_SPREADS:BRS_GOLD__3_SS:BRS_GOLD__2_SS_OTHER:NZD_LIB:NZD_libor_20yr</v>
          </cell>
          <cell r="D7872" t="str">
            <v>Libor KRD</v>
          </cell>
          <cell r="E7872" t="str">
            <v>Yield</v>
          </cell>
          <cell r="F7872" t="str">
            <v>SP-Other</v>
          </cell>
          <cell r="G7872" t="str">
            <v>SP-Other</v>
          </cell>
          <cell r="H7872" t="str">
            <v>SPREADS</v>
          </cell>
          <cell r="I7872" t="str">
            <v>Swap Spread - Libor</v>
          </cell>
        </row>
        <row r="7873">
          <cell r="A7873" t="str">
            <v>NZD_libor_25yr</v>
          </cell>
          <cell r="B7873" t="str">
            <v>NZD Bank Bill 25Y</v>
          </cell>
          <cell r="C7873" t="str">
            <v>BRS_GOLD__5_SPREADS:BRS_GOLD__3_SS:BRS_GOLD__2_SS_OTHER:NZD_LIB:NZD_libor_25yr</v>
          </cell>
          <cell r="D7873" t="str">
            <v>Libor KRD</v>
          </cell>
          <cell r="E7873" t="str">
            <v>Yield</v>
          </cell>
          <cell r="F7873" t="str">
            <v>SP-Other</v>
          </cell>
          <cell r="G7873" t="str">
            <v>SP-Other</v>
          </cell>
          <cell r="H7873" t="str">
            <v>SPREADS</v>
          </cell>
          <cell r="I7873" t="str">
            <v>Swap Spread - Libor</v>
          </cell>
        </row>
        <row r="7874">
          <cell r="A7874" t="str">
            <v>NZD_libor_30yr</v>
          </cell>
          <cell r="B7874" t="str">
            <v>NZD Bank Bill 30Y</v>
          </cell>
          <cell r="C7874" t="str">
            <v>BRS_GOLD__5_SPREADS:BRS_GOLD__3_SS:BRS_GOLD__2_SS_OTHER:NZD_LIB:NZD_libor_30yr</v>
          </cell>
          <cell r="D7874" t="str">
            <v>Libor KRD</v>
          </cell>
          <cell r="E7874" t="str">
            <v>Yield</v>
          </cell>
          <cell r="F7874" t="str">
            <v>SP-Other</v>
          </cell>
          <cell r="G7874" t="str">
            <v>SP-Other</v>
          </cell>
          <cell r="H7874" t="str">
            <v>SPREADS</v>
          </cell>
          <cell r="I7874" t="str">
            <v>Swap Spread - Libor</v>
          </cell>
        </row>
        <row r="7875">
          <cell r="A7875" t="str">
            <v>CHF_libor_3m</v>
          </cell>
          <cell r="B7875" t="str">
            <v>CHF LIBOR 3M</v>
          </cell>
          <cell r="C7875" t="str">
            <v>BRS_GOLD__5_SPREADS:BRS_GOLD__3_SS:BRS_GOLD__2_SS_OTHER:CHF_LIB:CHF_libor_3m</v>
          </cell>
          <cell r="D7875" t="str">
            <v>Libor KRD</v>
          </cell>
          <cell r="E7875" t="str">
            <v>Yield</v>
          </cell>
          <cell r="F7875" t="str">
            <v>SP-Other</v>
          </cell>
          <cell r="G7875" t="str">
            <v>SP-Other</v>
          </cell>
          <cell r="H7875" t="str">
            <v>SPREADS</v>
          </cell>
          <cell r="I7875" t="str">
            <v>Swap Spread - Libor</v>
          </cell>
        </row>
        <row r="7876">
          <cell r="A7876" t="str">
            <v>CHF_libor_1yr</v>
          </cell>
          <cell r="B7876" t="str">
            <v>CHF LIBOR 1Y</v>
          </cell>
          <cell r="C7876" t="str">
            <v>BRS_GOLD__5_SPREADS:BRS_GOLD__3_SS:BRS_GOLD__2_SS_OTHER:CHF_LIB:CHF_libor_1yr</v>
          </cell>
          <cell r="D7876" t="str">
            <v>Libor KRD</v>
          </cell>
          <cell r="E7876" t="str">
            <v>Yield</v>
          </cell>
          <cell r="F7876" t="str">
            <v>SP-Other</v>
          </cell>
          <cell r="G7876" t="str">
            <v>SP-Other</v>
          </cell>
          <cell r="H7876" t="str">
            <v>SPREADS</v>
          </cell>
          <cell r="I7876" t="str">
            <v>Swap Spread - Libor</v>
          </cell>
        </row>
        <row r="7877">
          <cell r="A7877" t="str">
            <v>CHF_libor_2yr</v>
          </cell>
          <cell r="B7877" t="str">
            <v>CHF LIBOR 2Y</v>
          </cell>
          <cell r="C7877" t="str">
            <v>BRS_GOLD__5_SPREADS:BRS_GOLD__3_SS:BRS_GOLD__2_SS_OTHER:CHF_LIB:CHF_libor_2yr</v>
          </cell>
          <cell r="D7877" t="str">
            <v>Libor KRD</v>
          </cell>
          <cell r="E7877" t="str">
            <v>Yield</v>
          </cell>
          <cell r="F7877" t="str">
            <v>SP-Other</v>
          </cell>
          <cell r="G7877" t="str">
            <v>SP-Other</v>
          </cell>
          <cell r="H7877" t="str">
            <v>SPREADS</v>
          </cell>
          <cell r="I7877" t="str">
            <v>Swap Spread - Libor</v>
          </cell>
        </row>
        <row r="7878">
          <cell r="A7878" t="str">
            <v>CHF_libor_3yr</v>
          </cell>
          <cell r="B7878" t="str">
            <v>CHF LIBOR 3Y</v>
          </cell>
          <cell r="C7878" t="str">
            <v>BRS_GOLD__5_SPREADS:BRS_GOLD__3_SS:BRS_GOLD__2_SS_OTHER:CHF_LIB:CHF_libor_3yr</v>
          </cell>
          <cell r="D7878" t="str">
            <v>Libor KRD</v>
          </cell>
          <cell r="E7878" t="str">
            <v>Yield</v>
          </cell>
          <cell r="F7878" t="str">
            <v>SP-Other</v>
          </cell>
          <cell r="G7878" t="str">
            <v>SP-Other</v>
          </cell>
          <cell r="H7878" t="str">
            <v>SPREADS</v>
          </cell>
          <cell r="I7878" t="str">
            <v>Swap Spread - Libor</v>
          </cell>
        </row>
        <row r="7879">
          <cell r="A7879" t="str">
            <v>CHF_libor_5yr</v>
          </cell>
          <cell r="B7879" t="str">
            <v>CHF LIBOR 5Y</v>
          </cell>
          <cell r="C7879" t="str">
            <v>BRS_GOLD__5_SPREADS:BRS_GOLD__3_SS:BRS_GOLD__2_SS_OTHER:CHF_LIB:CHF_libor_5yr</v>
          </cell>
          <cell r="D7879" t="str">
            <v>Libor KRD</v>
          </cell>
          <cell r="E7879" t="str">
            <v>Yield</v>
          </cell>
          <cell r="F7879" t="str">
            <v>SP-Other</v>
          </cell>
          <cell r="G7879" t="str">
            <v>SP-Other</v>
          </cell>
          <cell r="H7879" t="str">
            <v>SPREADS</v>
          </cell>
          <cell r="I7879" t="str">
            <v>Swap Spread - Libor</v>
          </cell>
        </row>
        <row r="7880">
          <cell r="A7880" t="str">
            <v>CHF_libor_7yr</v>
          </cell>
          <cell r="B7880" t="str">
            <v>CHF LIBOR 7Y</v>
          </cell>
          <cell r="C7880" t="str">
            <v>BRS_GOLD__5_SPREADS:BRS_GOLD__3_SS:BRS_GOLD__2_SS_OTHER:CHF_LIB:CHF_libor_7yr</v>
          </cell>
          <cell r="D7880" t="str">
            <v>Libor KRD</v>
          </cell>
          <cell r="E7880" t="str">
            <v>Yield</v>
          </cell>
          <cell r="F7880" t="str">
            <v>SP-Other</v>
          </cell>
          <cell r="G7880" t="str">
            <v>SP-Other</v>
          </cell>
          <cell r="H7880" t="str">
            <v>SPREADS</v>
          </cell>
          <cell r="I7880" t="str">
            <v>Swap Spread - Libor</v>
          </cell>
        </row>
        <row r="7881">
          <cell r="A7881" t="str">
            <v>CHF_libor_10yr</v>
          </cell>
          <cell r="B7881" t="str">
            <v>CHF LIBOR 10Y</v>
          </cell>
          <cell r="C7881" t="str">
            <v>BRS_GOLD__5_SPREADS:BRS_GOLD__3_SS:BRS_GOLD__2_SS_OTHER:CHF_LIB:CHF_libor_10yr</v>
          </cell>
          <cell r="D7881" t="str">
            <v>Libor KRD</v>
          </cell>
          <cell r="E7881" t="str">
            <v>Yield</v>
          </cell>
          <cell r="F7881" t="str">
            <v>SP-Other</v>
          </cell>
          <cell r="G7881" t="str">
            <v>SP-Other</v>
          </cell>
          <cell r="H7881" t="str">
            <v>SPREADS</v>
          </cell>
          <cell r="I7881" t="str">
            <v>Swap Spread - Libor</v>
          </cell>
        </row>
        <row r="7882">
          <cell r="A7882" t="str">
            <v>CHF_libor_15yr</v>
          </cell>
          <cell r="B7882" t="str">
            <v>CHF LIBOR 15Y</v>
          </cell>
          <cell r="C7882" t="str">
            <v>BRS_GOLD__5_SPREADS:BRS_GOLD__3_SS:BRS_GOLD__2_SS_OTHER:CHF_LIB:CHF_libor_15yr</v>
          </cell>
          <cell r="D7882" t="str">
            <v>Libor KRD</v>
          </cell>
          <cell r="E7882" t="str">
            <v>Yield</v>
          </cell>
          <cell r="F7882" t="str">
            <v>SP-Other</v>
          </cell>
          <cell r="G7882" t="str">
            <v>SP-Other</v>
          </cell>
          <cell r="H7882" t="str">
            <v>SPREADS</v>
          </cell>
          <cell r="I7882" t="str">
            <v>Swap Spread - Libor</v>
          </cell>
        </row>
        <row r="7883">
          <cell r="A7883" t="str">
            <v>CHF_libor_20yr</v>
          </cell>
          <cell r="B7883" t="str">
            <v>CHF LIBOR 20Y</v>
          </cell>
          <cell r="C7883" t="str">
            <v>BRS_GOLD__5_SPREADS:BRS_GOLD__3_SS:BRS_GOLD__2_SS_OTHER:CHF_LIB:CHF_libor_20yr</v>
          </cell>
          <cell r="D7883" t="str">
            <v>Libor KRD</v>
          </cell>
          <cell r="E7883" t="str">
            <v>Yield</v>
          </cell>
          <cell r="F7883" t="str">
            <v>SP-Other</v>
          </cell>
          <cell r="G7883" t="str">
            <v>SP-Other</v>
          </cell>
          <cell r="H7883" t="str">
            <v>SPREADS</v>
          </cell>
          <cell r="I7883" t="str">
            <v>Swap Spread - Libor</v>
          </cell>
        </row>
        <row r="7884">
          <cell r="A7884" t="str">
            <v>CHF_libor_25yr</v>
          </cell>
          <cell r="B7884" t="str">
            <v>CHF LIBOR 25Y</v>
          </cell>
          <cell r="C7884" t="str">
            <v>BRS_GOLD__5_SPREADS:BRS_GOLD__3_SS:BRS_GOLD__2_SS_OTHER:CHF_LIB:CHF_libor_25yr</v>
          </cell>
          <cell r="D7884" t="str">
            <v>Libor KRD</v>
          </cell>
          <cell r="E7884" t="str">
            <v>Yield</v>
          </cell>
          <cell r="F7884" t="str">
            <v>SP-Other</v>
          </cell>
          <cell r="G7884" t="str">
            <v>SP-Other</v>
          </cell>
          <cell r="H7884" t="str">
            <v>SPREADS</v>
          </cell>
          <cell r="I7884" t="str">
            <v>Swap Spread - Libor</v>
          </cell>
        </row>
        <row r="7885">
          <cell r="A7885" t="str">
            <v>CHF_libor_30yr</v>
          </cell>
          <cell r="B7885" t="str">
            <v>CHF LIBOR 30Y</v>
          </cell>
          <cell r="C7885" t="str">
            <v>BRS_GOLD__5_SPREADS:BRS_GOLD__3_SS:BRS_GOLD__2_SS_OTHER:CHF_LIB:CHF_libor_30yr</v>
          </cell>
          <cell r="D7885" t="str">
            <v>Libor KRD</v>
          </cell>
          <cell r="E7885" t="str">
            <v>Yield</v>
          </cell>
          <cell r="F7885" t="str">
            <v>SP-Other</v>
          </cell>
          <cell r="G7885" t="str">
            <v>SP-Other</v>
          </cell>
          <cell r="H7885" t="str">
            <v>SPREADS</v>
          </cell>
          <cell r="I7885" t="str">
            <v>Swap Spread - Libor</v>
          </cell>
        </row>
        <row r="7886">
          <cell r="A7886" t="str">
            <v>SEK_libor_3m</v>
          </cell>
          <cell r="B7886" t="str">
            <v>SEK STIBOR 3M</v>
          </cell>
          <cell r="C7886" t="str">
            <v>BRS_GOLD__5_SPREADS:BRS_GOLD__3_SS:BRS_GOLD__2_SS_OTHER:SEK_LIB:SEK_libor_3m</v>
          </cell>
          <cell r="D7886" t="str">
            <v>Libor KRD</v>
          </cell>
          <cell r="E7886" t="str">
            <v>Yield</v>
          </cell>
          <cell r="F7886" t="str">
            <v>SP-Other</v>
          </cell>
          <cell r="G7886" t="str">
            <v>SP-Other</v>
          </cell>
          <cell r="H7886" t="str">
            <v>SPREADS</v>
          </cell>
          <cell r="I7886" t="str">
            <v>Swap Spread - Libor</v>
          </cell>
        </row>
        <row r="7887">
          <cell r="A7887" t="str">
            <v>SEK_libor_1yr</v>
          </cell>
          <cell r="B7887" t="str">
            <v>SEK STIBOR 1Y</v>
          </cell>
          <cell r="C7887" t="str">
            <v>BRS_GOLD__5_SPREADS:BRS_GOLD__3_SS:BRS_GOLD__2_SS_OTHER:SEK_LIB:SEK_libor_1yr</v>
          </cell>
          <cell r="D7887" t="str">
            <v>Libor KRD</v>
          </cell>
          <cell r="E7887" t="str">
            <v>Yield</v>
          </cell>
          <cell r="F7887" t="str">
            <v>SP-Other</v>
          </cell>
          <cell r="G7887" t="str">
            <v>SP-Other</v>
          </cell>
          <cell r="H7887" t="str">
            <v>SPREADS</v>
          </cell>
          <cell r="I7887" t="str">
            <v>Swap Spread - Libor</v>
          </cell>
        </row>
        <row r="7888">
          <cell r="A7888" t="str">
            <v>SEK_libor_2yr</v>
          </cell>
          <cell r="B7888" t="str">
            <v>SEK STIBOR 2Y</v>
          </cell>
          <cell r="C7888" t="str">
            <v>BRS_GOLD__5_SPREADS:BRS_GOLD__3_SS:BRS_GOLD__2_SS_OTHER:SEK_LIB:SEK_libor_2yr</v>
          </cell>
          <cell r="D7888" t="str">
            <v>Libor KRD</v>
          </cell>
          <cell r="E7888" t="str">
            <v>Yield</v>
          </cell>
          <cell r="F7888" t="str">
            <v>SP-Other</v>
          </cell>
          <cell r="G7888" t="str">
            <v>SP-Other</v>
          </cell>
          <cell r="H7888" t="str">
            <v>SPREADS</v>
          </cell>
          <cell r="I7888" t="str">
            <v>Swap Spread - Libor</v>
          </cell>
        </row>
        <row r="7889">
          <cell r="A7889" t="str">
            <v>SEK_libor_3yr</v>
          </cell>
          <cell r="B7889" t="str">
            <v>SEK STIBOR 3Y</v>
          </cell>
          <cell r="C7889" t="str">
            <v>BRS_GOLD__5_SPREADS:BRS_GOLD__3_SS:BRS_GOLD__2_SS_OTHER:SEK_LIB:SEK_libor_3yr</v>
          </cell>
          <cell r="D7889" t="str">
            <v>Libor KRD</v>
          </cell>
          <cell r="E7889" t="str">
            <v>Yield</v>
          </cell>
          <cell r="F7889" t="str">
            <v>SP-Other</v>
          </cell>
          <cell r="G7889" t="str">
            <v>SP-Other</v>
          </cell>
          <cell r="H7889" t="str">
            <v>SPREADS</v>
          </cell>
          <cell r="I7889" t="str">
            <v>Swap Spread - Libor</v>
          </cell>
        </row>
        <row r="7890">
          <cell r="A7890" t="str">
            <v>SEK_libor_5yr</v>
          </cell>
          <cell r="B7890" t="str">
            <v>SEK STIBOR 5Y</v>
          </cell>
          <cell r="C7890" t="str">
            <v>BRS_GOLD__5_SPREADS:BRS_GOLD__3_SS:BRS_GOLD__2_SS_OTHER:SEK_LIB:SEK_libor_5yr</v>
          </cell>
          <cell r="D7890" t="str">
            <v>Libor KRD</v>
          </cell>
          <cell r="E7890" t="str">
            <v>Yield</v>
          </cell>
          <cell r="F7890" t="str">
            <v>SP-Other</v>
          </cell>
          <cell r="G7890" t="str">
            <v>SP-Other</v>
          </cell>
          <cell r="H7890" t="str">
            <v>SPREADS</v>
          </cell>
          <cell r="I7890" t="str">
            <v>Swap Spread - Libor</v>
          </cell>
        </row>
        <row r="7891">
          <cell r="A7891" t="str">
            <v>SEK_libor_7yr</v>
          </cell>
          <cell r="B7891" t="str">
            <v>SEK STIBOR 7Y</v>
          </cell>
          <cell r="C7891" t="str">
            <v>BRS_GOLD__5_SPREADS:BRS_GOLD__3_SS:BRS_GOLD__2_SS_OTHER:SEK_LIB:SEK_libor_7yr</v>
          </cell>
          <cell r="D7891" t="str">
            <v>Libor KRD</v>
          </cell>
          <cell r="E7891" t="str">
            <v>Yield</v>
          </cell>
          <cell r="F7891" t="str">
            <v>SP-Other</v>
          </cell>
          <cell r="G7891" t="str">
            <v>SP-Other</v>
          </cell>
          <cell r="H7891" t="str">
            <v>SPREADS</v>
          </cell>
          <cell r="I7891" t="str">
            <v>Swap Spread - Libor</v>
          </cell>
        </row>
        <row r="7892">
          <cell r="A7892" t="str">
            <v>SEK_libor_10yr</v>
          </cell>
          <cell r="B7892" t="str">
            <v>SEK STIBOR 10Y</v>
          </cell>
          <cell r="C7892" t="str">
            <v>BRS_GOLD__5_SPREADS:BRS_GOLD__3_SS:BRS_GOLD__2_SS_OTHER:SEK_LIB:SEK_libor_10yr</v>
          </cell>
          <cell r="D7892" t="str">
            <v>Libor KRD</v>
          </cell>
          <cell r="E7892" t="str">
            <v>Yield</v>
          </cell>
          <cell r="F7892" t="str">
            <v>SP-Other</v>
          </cell>
          <cell r="G7892" t="str">
            <v>SP-Other</v>
          </cell>
          <cell r="H7892" t="str">
            <v>SPREADS</v>
          </cell>
          <cell r="I7892" t="str">
            <v>Swap Spread - Libor</v>
          </cell>
        </row>
        <row r="7893">
          <cell r="A7893" t="str">
            <v>SEK_libor_15yr</v>
          </cell>
          <cell r="B7893" t="str">
            <v>SEK STIBOR 15Y</v>
          </cell>
          <cell r="C7893" t="str">
            <v>BRS_GOLD__5_SPREADS:BRS_GOLD__3_SS:BRS_GOLD__2_SS_OTHER:SEK_LIB:SEK_libor_15yr</v>
          </cell>
          <cell r="D7893" t="str">
            <v>Libor KRD</v>
          </cell>
          <cell r="E7893" t="str">
            <v>Yield</v>
          </cell>
          <cell r="F7893" t="str">
            <v>SP-Other</v>
          </cell>
          <cell r="G7893" t="str">
            <v>SP-Other</v>
          </cell>
          <cell r="H7893" t="str">
            <v>SPREADS</v>
          </cell>
          <cell r="I7893" t="str">
            <v>Swap Spread - Libor</v>
          </cell>
        </row>
        <row r="7894">
          <cell r="A7894" t="str">
            <v>SEK_libor_20yr</v>
          </cell>
          <cell r="B7894" t="str">
            <v>SEK STIBOR 20Y</v>
          </cell>
          <cell r="C7894" t="str">
            <v>BRS_GOLD__5_SPREADS:BRS_GOLD__3_SS:BRS_GOLD__2_SS_OTHER:SEK_LIB:SEK_libor_20yr</v>
          </cell>
          <cell r="D7894" t="str">
            <v>Libor KRD</v>
          </cell>
          <cell r="E7894" t="str">
            <v>Yield</v>
          </cell>
          <cell r="F7894" t="str">
            <v>SP-Other</v>
          </cell>
          <cell r="G7894" t="str">
            <v>SP-Other</v>
          </cell>
          <cell r="H7894" t="str">
            <v>SPREADS</v>
          </cell>
          <cell r="I7894" t="str">
            <v>Swap Spread - Libor</v>
          </cell>
        </row>
        <row r="7895">
          <cell r="A7895" t="str">
            <v>SEK_libor_25yr</v>
          </cell>
          <cell r="B7895" t="str">
            <v>SEK STIBOR 25Y</v>
          </cell>
          <cell r="C7895" t="str">
            <v>BRS_GOLD__5_SPREADS:BRS_GOLD__3_SS:BRS_GOLD__2_SS_OTHER:SEK_LIB:SEK_libor_25yr</v>
          </cell>
          <cell r="D7895" t="str">
            <v>Libor KRD</v>
          </cell>
          <cell r="E7895" t="str">
            <v>Yield</v>
          </cell>
          <cell r="F7895" t="str">
            <v>SP-Other</v>
          </cell>
          <cell r="G7895" t="str">
            <v>SP-Other</v>
          </cell>
          <cell r="H7895" t="str">
            <v>SPREADS</v>
          </cell>
          <cell r="I7895" t="str">
            <v>Swap Spread - Libor</v>
          </cell>
        </row>
        <row r="7896">
          <cell r="A7896" t="str">
            <v>SEK_libor_30yr</v>
          </cell>
          <cell r="B7896" t="str">
            <v>SEK STIBOR 30Y</v>
          </cell>
          <cell r="C7896" t="str">
            <v>BRS_GOLD__5_SPREADS:BRS_GOLD__3_SS:BRS_GOLD__2_SS_OTHER:SEK_LIB:SEK_libor_30yr</v>
          </cell>
          <cell r="D7896" t="str">
            <v>Libor KRD</v>
          </cell>
          <cell r="E7896" t="str">
            <v>Yield</v>
          </cell>
          <cell r="F7896" t="str">
            <v>SP-Other</v>
          </cell>
          <cell r="G7896" t="str">
            <v>SP-Other</v>
          </cell>
          <cell r="H7896" t="str">
            <v>SPREADS</v>
          </cell>
          <cell r="I7896" t="str">
            <v>Swap Spread - Libor</v>
          </cell>
        </row>
        <row r="7897">
          <cell r="A7897" t="str">
            <v>ZAR_libor_3m</v>
          </cell>
          <cell r="B7897" t="str">
            <v>ZAR Bank Accept 3M</v>
          </cell>
          <cell r="C7897" t="str">
            <v>BRS_GOLD__5_SPREADS:BRS_GOLD__3_SS:BRS_GOLD__2_SS_OTHER:ZAR_LIB:ZAR_libor_3m</v>
          </cell>
          <cell r="D7897" t="str">
            <v>Libor KRD</v>
          </cell>
          <cell r="E7897" t="str">
            <v>Yield</v>
          </cell>
          <cell r="F7897" t="str">
            <v>SP-Other</v>
          </cell>
          <cell r="G7897" t="str">
            <v>SP-Other</v>
          </cell>
          <cell r="H7897" t="str">
            <v>SPREADS</v>
          </cell>
          <cell r="I7897" t="str">
            <v>Swap Spread - Libor</v>
          </cell>
        </row>
        <row r="7898">
          <cell r="A7898" t="str">
            <v>ZAR_libor_1yr</v>
          </cell>
          <cell r="B7898" t="str">
            <v>ZAR Bank Accept 1Y</v>
          </cell>
          <cell r="C7898" t="str">
            <v>BRS_GOLD__5_SPREADS:BRS_GOLD__3_SS:BRS_GOLD__2_SS_OTHER:ZAR_LIB:ZAR_libor_1yr</v>
          </cell>
          <cell r="D7898" t="str">
            <v>Libor KRD</v>
          </cell>
          <cell r="E7898" t="str">
            <v>Yield</v>
          </cell>
          <cell r="F7898" t="str">
            <v>SP-Other</v>
          </cell>
          <cell r="G7898" t="str">
            <v>SP-Other</v>
          </cell>
          <cell r="H7898" t="str">
            <v>SPREADS</v>
          </cell>
          <cell r="I7898" t="str">
            <v>Swap Spread - Libor</v>
          </cell>
        </row>
        <row r="7899">
          <cell r="A7899" t="str">
            <v>ZAR_libor_2yr</v>
          </cell>
          <cell r="B7899" t="str">
            <v>ZAR Bank Accept 2Y</v>
          </cell>
          <cell r="C7899" t="str">
            <v>BRS_GOLD__5_SPREADS:BRS_GOLD__3_SS:BRS_GOLD__2_SS_OTHER:ZAR_LIB:ZAR_libor_2yr</v>
          </cell>
          <cell r="D7899" t="str">
            <v>Libor KRD</v>
          </cell>
          <cell r="E7899" t="str">
            <v>Yield</v>
          </cell>
          <cell r="F7899" t="str">
            <v>SP-Other</v>
          </cell>
          <cell r="G7899" t="str">
            <v>SP-Other</v>
          </cell>
          <cell r="H7899" t="str">
            <v>SPREADS</v>
          </cell>
          <cell r="I7899" t="str">
            <v>Swap Spread - Libor</v>
          </cell>
        </row>
        <row r="7900">
          <cell r="A7900" t="str">
            <v>ZAR_libor_3yr</v>
          </cell>
          <cell r="B7900" t="str">
            <v>ZAR Bank Accept 3Y</v>
          </cell>
          <cell r="C7900" t="str">
            <v>BRS_GOLD__5_SPREADS:BRS_GOLD__3_SS:BRS_GOLD__2_SS_OTHER:ZAR_LIB:ZAR_libor_3yr</v>
          </cell>
          <cell r="D7900" t="str">
            <v>Libor KRD</v>
          </cell>
          <cell r="E7900" t="str">
            <v>Yield</v>
          </cell>
          <cell r="F7900" t="str">
            <v>SP-Other</v>
          </cell>
          <cell r="G7900" t="str">
            <v>SP-Other</v>
          </cell>
          <cell r="H7900" t="str">
            <v>SPREADS</v>
          </cell>
          <cell r="I7900" t="str">
            <v>Swap Spread - Libor</v>
          </cell>
        </row>
        <row r="7901">
          <cell r="A7901" t="str">
            <v>ZAR_libor_5yr</v>
          </cell>
          <cell r="B7901" t="str">
            <v>ZAR Bank Accept 5Y</v>
          </cell>
          <cell r="C7901" t="str">
            <v>BRS_GOLD__5_SPREADS:BRS_GOLD__3_SS:BRS_GOLD__2_SS_OTHER:ZAR_LIB:ZAR_libor_5yr</v>
          </cell>
          <cell r="D7901" t="str">
            <v>Libor KRD</v>
          </cell>
          <cell r="E7901" t="str">
            <v>Yield</v>
          </cell>
          <cell r="F7901" t="str">
            <v>SP-Other</v>
          </cell>
          <cell r="G7901" t="str">
            <v>SP-Other</v>
          </cell>
          <cell r="H7901" t="str">
            <v>SPREADS</v>
          </cell>
          <cell r="I7901" t="str">
            <v>Swap Spread - Libor</v>
          </cell>
        </row>
        <row r="7902">
          <cell r="A7902" t="str">
            <v>ZAR_libor_7yr</v>
          </cell>
          <cell r="B7902" t="str">
            <v>ZAR Bank Accept 7Y</v>
          </cell>
          <cell r="C7902" t="str">
            <v>BRS_GOLD__5_SPREADS:BRS_GOLD__3_SS:BRS_GOLD__2_SS_OTHER:ZAR_LIB:ZAR_libor_7yr</v>
          </cell>
          <cell r="D7902" t="str">
            <v>Libor KRD</v>
          </cell>
          <cell r="E7902" t="str">
            <v>Yield</v>
          </cell>
          <cell r="F7902" t="str">
            <v>SP-Other</v>
          </cell>
          <cell r="G7902" t="str">
            <v>SP-Other</v>
          </cell>
          <cell r="H7902" t="str">
            <v>SPREADS</v>
          </cell>
          <cell r="I7902" t="str">
            <v>Swap Spread - Libor</v>
          </cell>
        </row>
        <row r="7903">
          <cell r="A7903" t="str">
            <v>ZAR_libor_10yr</v>
          </cell>
          <cell r="B7903" t="str">
            <v>ZAR Bank Accept 10Y</v>
          </cell>
          <cell r="C7903" t="str">
            <v>BRS_GOLD__5_SPREADS:BRS_GOLD__3_SS:BRS_GOLD__2_SS_OTHER:ZAR_LIB:ZAR_libor_10yr</v>
          </cell>
          <cell r="D7903" t="str">
            <v>Libor KRD</v>
          </cell>
          <cell r="E7903" t="str">
            <v>Yield</v>
          </cell>
          <cell r="F7903" t="str">
            <v>SP-Other</v>
          </cell>
          <cell r="G7903" t="str">
            <v>SP-Other</v>
          </cell>
          <cell r="H7903" t="str">
            <v>SPREADS</v>
          </cell>
          <cell r="I7903" t="str">
            <v>Swap Spread - Libor</v>
          </cell>
        </row>
        <row r="7904">
          <cell r="A7904" t="str">
            <v>ZAR_libor_15yr</v>
          </cell>
          <cell r="B7904" t="str">
            <v>ZAR Bank Accept 15Y</v>
          </cell>
          <cell r="C7904" t="str">
            <v>BRS_GOLD__5_SPREADS:BRS_GOLD__3_SS:BRS_GOLD__2_SS_OTHER:ZAR_LIB:ZAR_libor_15yr</v>
          </cell>
          <cell r="D7904" t="str">
            <v>Libor KRD</v>
          </cell>
          <cell r="E7904" t="str">
            <v>Yield</v>
          </cell>
          <cell r="F7904" t="str">
            <v>SP-Other</v>
          </cell>
          <cell r="G7904" t="str">
            <v>SP-Other</v>
          </cell>
          <cell r="H7904" t="str">
            <v>SPREADS</v>
          </cell>
          <cell r="I7904" t="str">
            <v>Swap Spread - Libor</v>
          </cell>
        </row>
        <row r="7905">
          <cell r="A7905" t="str">
            <v>ZAR_libor_20yr</v>
          </cell>
          <cell r="B7905" t="str">
            <v>ZAR Bank Accept 20Y</v>
          </cell>
          <cell r="C7905" t="str">
            <v>BRS_GOLD__5_SPREADS:BRS_GOLD__3_SS:BRS_GOLD__2_SS_OTHER:ZAR_LIB:ZAR_libor_20yr</v>
          </cell>
          <cell r="D7905" t="str">
            <v>Libor KRD</v>
          </cell>
          <cell r="E7905" t="str">
            <v>Yield</v>
          </cell>
          <cell r="F7905" t="str">
            <v>SP-Other</v>
          </cell>
          <cell r="G7905" t="str">
            <v>SP-Other</v>
          </cell>
          <cell r="H7905" t="str">
            <v>SPREADS</v>
          </cell>
          <cell r="I7905" t="str">
            <v>Swap Spread - Libor</v>
          </cell>
        </row>
        <row r="7906">
          <cell r="A7906" t="str">
            <v>ZAR_libor_25yr</v>
          </cell>
          <cell r="B7906" t="str">
            <v>ZAR Bank Accept 25Y</v>
          </cell>
          <cell r="C7906" t="str">
            <v>BRS_GOLD__5_SPREADS:BRS_GOLD__3_SS:BRS_GOLD__2_SS_OTHER:ZAR_LIB:ZAR_libor_25yr</v>
          </cell>
          <cell r="D7906" t="str">
            <v>Libor KRD</v>
          </cell>
          <cell r="E7906" t="str">
            <v>Yield</v>
          </cell>
          <cell r="F7906" t="str">
            <v>SP-Other</v>
          </cell>
          <cell r="G7906" t="str">
            <v>SP-Other</v>
          </cell>
          <cell r="H7906" t="str">
            <v>SPREADS</v>
          </cell>
          <cell r="I7906" t="str">
            <v>Swap Spread - Libor</v>
          </cell>
        </row>
        <row r="7907">
          <cell r="A7907" t="str">
            <v>ZAR_libor_30yr</v>
          </cell>
          <cell r="B7907" t="str">
            <v>ZAR Bank Accept 30Y</v>
          </cell>
          <cell r="C7907" t="str">
            <v>BRS_GOLD__5_SPREADS:BRS_GOLD__3_SS:BRS_GOLD__2_SS_OTHER:ZAR_LIB:ZAR_libor_30yr</v>
          </cell>
          <cell r="D7907" t="str">
            <v>Libor KRD</v>
          </cell>
          <cell r="E7907" t="str">
            <v>Yield</v>
          </cell>
          <cell r="F7907" t="str">
            <v>SP-Other</v>
          </cell>
          <cell r="G7907" t="str">
            <v>SP-Other</v>
          </cell>
          <cell r="H7907" t="str">
            <v>SPREADS</v>
          </cell>
          <cell r="I7907" t="str">
            <v>Swap Spread - Libor</v>
          </cell>
        </row>
        <row r="7908">
          <cell r="A7908" t="str">
            <v>ALL_mod_libor_3m</v>
          </cell>
          <cell r="B7908" t="str">
            <v>other Model IBOR 3M</v>
          </cell>
          <cell r="C7908" t="str">
            <v>BRS_GOLD__5_SPREADS:BRS_GOLD__3_SS:BRS_GOLD__2_SS_OTHER:MOD_LIBOR_OTHER:ALL_mod_libor_3m</v>
          </cell>
          <cell r="D7908" t="str">
            <v>Libor KRD</v>
          </cell>
          <cell r="E7908" t="str">
            <v>Yield</v>
          </cell>
          <cell r="F7908" t="str">
            <v>SP-Other</v>
          </cell>
          <cell r="G7908" t="str">
            <v>SP-Other</v>
          </cell>
          <cell r="H7908" t="str">
            <v>SPREADS</v>
          </cell>
          <cell r="I7908" t="str">
            <v>Swap Spread - Libor</v>
          </cell>
        </row>
        <row r="7909">
          <cell r="A7909" t="str">
            <v>ALL_mod_libor_1yr</v>
          </cell>
          <cell r="B7909" t="str">
            <v>other Model IBOR 1Y</v>
          </cell>
          <cell r="C7909" t="str">
            <v>BRS_GOLD__5_SPREADS:BRS_GOLD__3_SS:BRS_GOLD__2_SS_OTHER:MOD_LIBOR_OTHER:ALL_mod_libor_1yr</v>
          </cell>
          <cell r="D7909" t="str">
            <v>Libor KRD</v>
          </cell>
          <cell r="E7909" t="str">
            <v>Yield</v>
          </cell>
          <cell r="F7909" t="str">
            <v>SP-Other</v>
          </cell>
          <cell r="G7909" t="str">
            <v>SP-Other</v>
          </cell>
          <cell r="H7909" t="str">
            <v>SPREADS</v>
          </cell>
          <cell r="I7909" t="str">
            <v>Swap Spread - Libor</v>
          </cell>
        </row>
        <row r="7910">
          <cell r="A7910" t="str">
            <v>ALL_mod_libor_2yr</v>
          </cell>
          <cell r="B7910" t="str">
            <v>other Model IBOR 2Y</v>
          </cell>
          <cell r="C7910" t="str">
            <v>BRS_GOLD__5_SPREADS:BRS_GOLD__3_SS:BRS_GOLD__2_SS_OTHER:MOD_LIBOR_OTHER:ALL_mod_libor_2yr</v>
          </cell>
          <cell r="D7910" t="str">
            <v>Libor KRD</v>
          </cell>
          <cell r="E7910" t="str">
            <v>Yield</v>
          </cell>
          <cell r="F7910" t="str">
            <v>SP-Other</v>
          </cell>
          <cell r="G7910" t="str">
            <v>SP-Other</v>
          </cell>
          <cell r="H7910" t="str">
            <v>SPREADS</v>
          </cell>
          <cell r="I7910" t="str">
            <v>Swap Spread - Libor</v>
          </cell>
        </row>
        <row r="7911">
          <cell r="A7911" t="str">
            <v>ALL_mod_libor_3yr</v>
          </cell>
          <cell r="B7911" t="str">
            <v>other Model IBOR 3Y</v>
          </cell>
          <cell r="C7911" t="str">
            <v>BRS_GOLD__5_SPREADS:BRS_GOLD__3_SS:BRS_GOLD__2_SS_OTHER:MOD_LIBOR_OTHER:ALL_mod_libor_3yr</v>
          </cell>
          <cell r="D7911" t="str">
            <v>Libor KRD</v>
          </cell>
          <cell r="E7911" t="str">
            <v>Yield</v>
          </cell>
          <cell r="F7911" t="str">
            <v>SP-Other</v>
          </cell>
          <cell r="G7911" t="str">
            <v>SP-Other</v>
          </cell>
          <cell r="H7911" t="str">
            <v>SPREADS</v>
          </cell>
          <cell r="I7911" t="str">
            <v>Swap Spread - Libor</v>
          </cell>
        </row>
        <row r="7912">
          <cell r="A7912" t="str">
            <v>ALL_mod_libor_5yr</v>
          </cell>
          <cell r="B7912" t="str">
            <v>other Model IBOR 5Y</v>
          </cell>
          <cell r="C7912" t="str">
            <v>BRS_GOLD__5_SPREADS:BRS_GOLD__3_SS:BRS_GOLD__2_SS_OTHER:MOD_LIBOR_OTHER:ALL_mod_libor_5yr</v>
          </cell>
          <cell r="D7912" t="str">
            <v>Libor KRD</v>
          </cell>
          <cell r="E7912" t="str">
            <v>Yield</v>
          </cell>
          <cell r="F7912" t="str">
            <v>SP-Other</v>
          </cell>
          <cell r="G7912" t="str">
            <v>SP-Other</v>
          </cell>
          <cell r="H7912" t="str">
            <v>SPREADS</v>
          </cell>
          <cell r="I7912" t="str">
            <v>Swap Spread - Libor</v>
          </cell>
        </row>
        <row r="7913">
          <cell r="A7913" t="str">
            <v>ALL_mod_libor_7yr</v>
          </cell>
          <cell r="B7913" t="str">
            <v>other Model IBOR 7Y</v>
          </cell>
          <cell r="C7913" t="str">
            <v>BRS_GOLD__5_SPREADS:BRS_GOLD__3_SS:BRS_GOLD__2_SS_OTHER:MOD_LIBOR_OTHER:ALL_mod_libor_7yr</v>
          </cell>
          <cell r="D7913" t="str">
            <v>Libor KRD</v>
          </cell>
          <cell r="E7913" t="str">
            <v>Yield</v>
          </cell>
          <cell r="F7913" t="str">
            <v>SP-Other</v>
          </cell>
          <cell r="G7913" t="str">
            <v>SP-Other</v>
          </cell>
          <cell r="H7913" t="str">
            <v>SPREADS</v>
          </cell>
          <cell r="I7913" t="str">
            <v>Swap Spread - Libor</v>
          </cell>
        </row>
        <row r="7914">
          <cell r="A7914" t="str">
            <v>ALL_mod_libor_10yr</v>
          </cell>
          <cell r="B7914" t="str">
            <v>other Model IBOR 10Y</v>
          </cell>
          <cell r="C7914" t="str">
            <v>BRS_GOLD__5_SPREADS:BRS_GOLD__3_SS:BRS_GOLD__2_SS_OTHER:MOD_LIBOR_OTHER:ALL_mod_libor_10yr</v>
          </cell>
          <cell r="D7914" t="str">
            <v>Libor KRD</v>
          </cell>
          <cell r="E7914" t="str">
            <v>Yield</v>
          </cell>
          <cell r="F7914" t="str">
            <v>SP-Other</v>
          </cell>
          <cell r="G7914" t="str">
            <v>SP-Other</v>
          </cell>
          <cell r="H7914" t="str">
            <v>SPREADS</v>
          </cell>
          <cell r="I7914" t="str">
            <v>Swap Spread - Libor</v>
          </cell>
        </row>
        <row r="7915">
          <cell r="A7915" t="str">
            <v>ALL_mod_libor_15yr</v>
          </cell>
          <cell r="B7915" t="str">
            <v>other Model IBOR 15Y</v>
          </cell>
          <cell r="C7915" t="str">
            <v>BRS_GOLD__5_SPREADS:BRS_GOLD__3_SS:BRS_GOLD__2_SS_OTHER:MOD_LIBOR_OTHER:ALL_mod_libor_15yr</v>
          </cell>
          <cell r="D7915" t="str">
            <v>Libor KRD</v>
          </cell>
          <cell r="E7915" t="str">
            <v>Yield</v>
          </cell>
          <cell r="F7915" t="str">
            <v>SP-Other</v>
          </cell>
          <cell r="G7915" t="str">
            <v>SP-Other</v>
          </cell>
          <cell r="H7915" t="str">
            <v>SPREADS</v>
          </cell>
          <cell r="I7915" t="str">
            <v>Swap Spread - Libor</v>
          </cell>
        </row>
        <row r="7916">
          <cell r="A7916" t="str">
            <v>ALL_mod_libor_20yr</v>
          </cell>
          <cell r="B7916" t="str">
            <v>other Model IBOR 20Y</v>
          </cell>
          <cell r="C7916" t="str">
            <v>BRS_GOLD__5_SPREADS:BRS_GOLD__3_SS:BRS_GOLD__2_SS_OTHER:MOD_LIBOR_OTHER:ALL_mod_libor_20yr</v>
          </cell>
          <cell r="D7916" t="str">
            <v>Libor KRD</v>
          </cell>
          <cell r="E7916" t="str">
            <v>Yield</v>
          </cell>
          <cell r="F7916" t="str">
            <v>SP-Other</v>
          </cell>
          <cell r="G7916" t="str">
            <v>SP-Other</v>
          </cell>
          <cell r="H7916" t="str">
            <v>SPREADS</v>
          </cell>
          <cell r="I7916" t="str">
            <v>Swap Spread - Libor</v>
          </cell>
        </row>
        <row r="7917">
          <cell r="A7917" t="str">
            <v>ALL_mod_libor_25yr</v>
          </cell>
          <cell r="B7917" t="str">
            <v>other Model IBOR 25Y</v>
          </cell>
          <cell r="C7917" t="str">
            <v>BRS_GOLD__5_SPREADS:BRS_GOLD__3_SS:BRS_GOLD__2_SS_OTHER:MOD_LIBOR_OTHER:ALL_mod_libor_25yr</v>
          </cell>
          <cell r="D7917" t="str">
            <v>Libor KRD</v>
          </cell>
          <cell r="E7917" t="str">
            <v>Yield</v>
          </cell>
          <cell r="F7917" t="str">
            <v>SP-Other</v>
          </cell>
          <cell r="G7917" t="str">
            <v>SP-Other</v>
          </cell>
          <cell r="H7917" t="str">
            <v>SPREADS</v>
          </cell>
          <cell r="I7917" t="str">
            <v>Swap Spread - Libor</v>
          </cell>
        </row>
        <row r="7918">
          <cell r="A7918" t="str">
            <v>ALL_mod_libor_30yr</v>
          </cell>
          <cell r="B7918" t="str">
            <v>other Model IBOR 30Y</v>
          </cell>
          <cell r="C7918" t="str">
            <v>BRS_GOLD__5_SPREADS:BRS_GOLD__3_SS:BRS_GOLD__2_SS_OTHER:MOD_LIBOR_OTHER:ALL_mod_libor_30yr</v>
          </cell>
          <cell r="D7918" t="str">
            <v>Libor KRD</v>
          </cell>
          <cell r="E7918" t="str">
            <v>Yield</v>
          </cell>
          <cell r="F7918" t="str">
            <v>SP-Other</v>
          </cell>
          <cell r="G7918" t="str">
            <v>SP-Other</v>
          </cell>
          <cell r="H7918" t="str">
            <v>SPREADS</v>
          </cell>
          <cell r="I7918" t="str">
            <v>Swap Spread - Libor</v>
          </cell>
        </row>
        <row r="7919">
          <cell r="A7919" t="str">
            <v>USD_muni_swap_3m</v>
          </cell>
          <cell r="B7919" t="str">
            <v>Muni Swap 3M</v>
          </cell>
          <cell r="C7919" t="str">
            <v>BRS_GOLD__5_SPREADS:BRS_GOLD__3_SS:BRS_GOLD__2_SS_OTHER:MUNI_SWAP:USD_muni_swap_3m</v>
          </cell>
          <cell r="D7919" t="str">
            <v>Spread Duration</v>
          </cell>
          <cell r="E7919" t="str">
            <v>Other Spread Yield</v>
          </cell>
          <cell r="F7919" t="str">
            <v>SP-Other</v>
          </cell>
          <cell r="G7919" t="str">
            <v>SP-Other</v>
          </cell>
          <cell r="H7919" t="str">
            <v>SPREADS</v>
          </cell>
          <cell r="I7919" t="str">
            <v>Swap Spread - Municipals</v>
          </cell>
        </row>
        <row r="7920">
          <cell r="A7920" t="str">
            <v>USD_muni_swap_1yr</v>
          </cell>
          <cell r="B7920" t="str">
            <v>Muni Swap 1Y</v>
          </cell>
          <cell r="C7920" t="str">
            <v>BRS_GOLD__5_SPREADS:BRS_GOLD__3_SS:BRS_GOLD__2_SS_OTHER:MUNI_SWAP:USD_muni_swap_1yr</v>
          </cell>
          <cell r="D7920" t="str">
            <v>Spread Duration</v>
          </cell>
          <cell r="E7920" t="str">
            <v>Other Spread Yield</v>
          </cell>
          <cell r="F7920" t="str">
            <v>SP-Other</v>
          </cell>
          <cell r="G7920" t="str">
            <v>SP-Other</v>
          </cell>
          <cell r="H7920" t="str">
            <v>SPREADS</v>
          </cell>
          <cell r="I7920" t="str">
            <v>Swap Spread - Municipals</v>
          </cell>
        </row>
        <row r="7921">
          <cell r="A7921" t="str">
            <v>USD_muni_swap_2yr</v>
          </cell>
          <cell r="B7921" t="str">
            <v>Muni Swap 2Y</v>
          </cell>
          <cell r="C7921" t="str">
            <v>BRS_GOLD__5_SPREADS:BRS_GOLD__3_SS:BRS_GOLD__2_SS_OTHER:MUNI_SWAP:USD_muni_swap_2yr</v>
          </cell>
          <cell r="D7921" t="str">
            <v>Spread Duration</v>
          </cell>
          <cell r="E7921" t="str">
            <v>Other Spread Yield</v>
          </cell>
          <cell r="F7921" t="str">
            <v>SP-Other</v>
          </cell>
          <cell r="G7921" t="str">
            <v>SP-Other</v>
          </cell>
          <cell r="H7921" t="str">
            <v>SPREADS</v>
          </cell>
          <cell r="I7921" t="str">
            <v>Swap Spread - Municipals</v>
          </cell>
        </row>
        <row r="7922">
          <cell r="A7922" t="str">
            <v>USD_muni_swap_3yr</v>
          </cell>
          <cell r="B7922" t="str">
            <v>Muni Swap 3Y</v>
          </cell>
          <cell r="C7922" t="str">
            <v>BRS_GOLD__5_SPREADS:BRS_GOLD__3_SS:BRS_GOLD__2_SS_OTHER:MUNI_SWAP:USD_muni_swap_3yr</v>
          </cell>
          <cell r="D7922" t="str">
            <v>Spread Duration</v>
          </cell>
          <cell r="E7922" t="str">
            <v>Other Spread Yield</v>
          </cell>
          <cell r="F7922" t="str">
            <v>SP-Other</v>
          </cell>
          <cell r="G7922" t="str">
            <v>SP-Other</v>
          </cell>
          <cell r="H7922" t="str">
            <v>SPREADS</v>
          </cell>
          <cell r="I7922" t="str">
            <v>Swap Spread - Municipals</v>
          </cell>
        </row>
        <row r="7923">
          <cell r="A7923" t="str">
            <v>USD_muni_swap_5yr</v>
          </cell>
          <cell r="B7923" t="str">
            <v>Muni Swap 5Y</v>
          </cell>
          <cell r="C7923" t="str">
            <v>BRS_GOLD__5_SPREADS:BRS_GOLD__3_SS:BRS_GOLD__2_SS_OTHER:MUNI_SWAP:USD_muni_swap_5yr</v>
          </cell>
          <cell r="D7923" t="str">
            <v>Spread Duration</v>
          </cell>
          <cell r="E7923" t="str">
            <v>Other Spread Yield</v>
          </cell>
          <cell r="F7923" t="str">
            <v>SP-Other</v>
          </cell>
          <cell r="G7923" t="str">
            <v>SP-Other</v>
          </cell>
          <cell r="H7923" t="str">
            <v>SPREADS</v>
          </cell>
          <cell r="I7923" t="str">
            <v>Swap Spread - Municipals</v>
          </cell>
        </row>
        <row r="7924">
          <cell r="A7924" t="str">
            <v>USD_muni_swap_7yr</v>
          </cell>
          <cell r="B7924" t="str">
            <v>Muni Swap 7Y</v>
          </cell>
          <cell r="C7924" t="str">
            <v>BRS_GOLD__5_SPREADS:BRS_GOLD__3_SS:BRS_GOLD__2_SS_OTHER:MUNI_SWAP:USD_muni_swap_7yr</v>
          </cell>
          <cell r="D7924" t="str">
            <v>Spread Duration</v>
          </cell>
          <cell r="E7924" t="str">
            <v>Other Spread Yield</v>
          </cell>
          <cell r="F7924" t="str">
            <v>SP-Other</v>
          </cell>
          <cell r="G7924" t="str">
            <v>SP-Other</v>
          </cell>
          <cell r="H7924" t="str">
            <v>SPREADS</v>
          </cell>
          <cell r="I7924" t="str">
            <v>Swap Spread - Municipals</v>
          </cell>
        </row>
        <row r="7925">
          <cell r="A7925" t="str">
            <v>USD_muni_swap_10yr</v>
          </cell>
          <cell r="B7925" t="str">
            <v>Muni Swap 10Y</v>
          </cell>
          <cell r="C7925" t="str">
            <v>BRS_GOLD__5_SPREADS:BRS_GOLD__3_SS:BRS_GOLD__2_SS_OTHER:MUNI_SWAP:USD_muni_swap_10yr</v>
          </cell>
          <cell r="D7925" t="str">
            <v>Spread Duration</v>
          </cell>
          <cell r="E7925" t="str">
            <v>Other Spread Yield</v>
          </cell>
          <cell r="F7925" t="str">
            <v>SP-Other</v>
          </cell>
          <cell r="G7925" t="str">
            <v>SP-Other</v>
          </cell>
          <cell r="H7925" t="str">
            <v>SPREADS</v>
          </cell>
          <cell r="I7925" t="str">
            <v>Swap Spread - Municipals</v>
          </cell>
        </row>
        <row r="7926">
          <cell r="A7926" t="str">
            <v>USD_muni_swap_15yr</v>
          </cell>
          <cell r="B7926" t="str">
            <v>Muni Swap 15Y</v>
          </cell>
          <cell r="C7926" t="str">
            <v>BRS_GOLD__5_SPREADS:BRS_GOLD__3_SS:BRS_GOLD__2_SS_OTHER:MUNI_SWAP:USD_muni_swap_15yr</v>
          </cell>
          <cell r="D7926" t="str">
            <v>Spread Duration</v>
          </cell>
          <cell r="E7926" t="str">
            <v>Other Spread Yield</v>
          </cell>
          <cell r="F7926" t="str">
            <v>SP-Other</v>
          </cell>
          <cell r="G7926" t="str">
            <v>SP-Other</v>
          </cell>
          <cell r="H7926" t="str">
            <v>SPREADS</v>
          </cell>
          <cell r="I7926" t="str">
            <v>Swap Spread - Municipals</v>
          </cell>
        </row>
        <row r="7927">
          <cell r="A7927" t="str">
            <v>USD_muni_swap_20yr</v>
          </cell>
          <cell r="B7927" t="str">
            <v>Muni Swap 20Y</v>
          </cell>
          <cell r="C7927" t="str">
            <v>BRS_GOLD__5_SPREADS:BRS_GOLD__3_SS:BRS_GOLD__2_SS_OTHER:MUNI_SWAP:USD_muni_swap_20yr</v>
          </cell>
          <cell r="D7927" t="str">
            <v>Spread Duration</v>
          </cell>
          <cell r="E7927" t="str">
            <v>Other Spread Yield</v>
          </cell>
          <cell r="F7927" t="str">
            <v>SP-Other</v>
          </cell>
          <cell r="G7927" t="str">
            <v>SP-Other</v>
          </cell>
          <cell r="H7927" t="str">
            <v>SPREADS</v>
          </cell>
          <cell r="I7927" t="str">
            <v>Swap Spread - Municipals</v>
          </cell>
        </row>
        <row r="7928">
          <cell r="A7928" t="str">
            <v>USD_muni_swap_25yr</v>
          </cell>
          <cell r="B7928" t="str">
            <v>Muni Swap 25Y</v>
          </cell>
          <cell r="C7928" t="str">
            <v>BRS_GOLD__5_SPREADS:BRS_GOLD__3_SS:BRS_GOLD__2_SS_OTHER:MUNI_SWAP:USD_muni_swap_25yr</v>
          </cell>
          <cell r="D7928" t="str">
            <v>Spread Duration</v>
          </cell>
          <cell r="E7928" t="str">
            <v>Other Spread Yield</v>
          </cell>
          <cell r="F7928" t="str">
            <v>SP-Other</v>
          </cell>
          <cell r="G7928" t="str">
            <v>SP-Other</v>
          </cell>
          <cell r="H7928" t="str">
            <v>SPREADS</v>
          </cell>
          <cell r="I7928" t="str">
            <v>Swap Spread - Municipals</v>
          </cell>
        </row>
        <row r="7929">
          <cell r="A7929" t="str">
            <v>USD_muni_swap_30yr</v>
          </cell>
          <cell r="B7929" t="str">
            <v>Muni Swap 30Y</v>
          </cell>
          <cell r="C7929" t="str">
            <v>BRS_GOLD__5_SPREADS:BRS_GOLD__3_SS:BRS_GOLD__2_SS_OTHER:MUNI_SWAP:USD_muni_swap_30yr</v>
          </cell>
          <cell r="D7929" t="str">
            <v>Spread Duration</v>
          </cell>
          <cell r="E7929" t="str">
            <v>Other Spread Yield</v>
          </cell>
          <cell r="F7929" t="str">
            <v>SP-Other</v>
          </cell>
          <cell r="G7929" t="str">
            <v>SP-Other</v>
          </cell>
          <cell r="H7929" t="str">
            <v>SPREADS</v>
          </cell>
          <cell r="I7929" t="str">
            <v>Swap Spread - Municipals</v>
          </cell>
        </row>
        <row r="7930">
          <cell r="A7930" t="str">
            <v>ALL_muni_swap_3m</v>
          </cell>
          <cell r="B7930" t="str">
            <v>Non$ Muni Swap 3M</v>
          </cell>
          <cell r="C7930" t="str">
            <v>BRS_GOLD__5_SPREADS:BRS_GOLD__3_SS:BRS_GOLD__2_SS_OTHER:MUNI_SWAP:ALL_muni_swap_3m</v>
          </cell>
          <cell r="D7930" t="str">
            <v>Spread Duration</v>
          </cell>
          <cell r="E7930" t="str">
            <v>Other Spread Yield</v>
          </cell>
          <cell r="F7930" t="str">
            <v>SP-Other</v>
          </cell>
          <cell r="G7930" t="str">
            <v>SP-Other</v>
          </cell>
          <cell r="H7930" t="str">
            <v>SPREADS</v>
          </cell>
          <cell r="I7930" t="str">
            <v>Swap Spread - Municipals</v>
          </cell>
        </row>
        <row r="7931">
          <cell r="A7931" t="str">
            <v>ALL_muni_swap_1yr</v>
          </cell>
          <cell r="B7931" t="str">
            <v>Non$ Muni Swap 1Y</v>
          </cell>
          <cell r="C7931" t="str">
            <v>BRS_GOLD__5_SPREADS:BRS_GOLD__3_SS:BRS_GOLD__2_SS_OTHER:MUNI_SWAP:ALL_muni_swap_1yr</v>
          </cell>
          <cell r="D7931" t="str">
            <v>Spread Duration</v>
          </cell>
          <cell r="E7931" t="str">
            <v>Other Spread Yield</v>
          </cell>
          <cell r="F7931" t="str">
            <v>SP-Other</v>
          </cell>
          <cell r="G7931" t="str">
            <v>SP-Other</v>
          </cell>
          <cell r="H7931" t="str">
            <v>SPREADS</v>
          </cell>
          <cell r="I7931" t="str">
            <v>Swap Spread - Municipals</v>
          </cell>
        </row>
        <row r="7932">
          <cell r="A7932" t="str">
            <v>ALL_muni_swap_2yr</v>
          </cell>
          <cell r="B7932" t="str">
            <v>Non$ Muni Swap 2Y</v>
          </cell>
          <cell r="C7932" t="str">
            <v>BRS_GOLD__5_SPREADS:BRS_GOLD__3_SS:BRS_GOLD__2_SS_OTHER:MUNI_SWAP:ALL_muni_swap_2yr</v>
          </cell>
          <cell r="D7932" t="str">
            <v>Spread Duration</v>
          </cell>
          <cell r="E7932" t="str">
            <v>Other Spread Yield</v>
          </cell>
          <cell r="F7932" t="str">
            <v>SP-Other</v>
          </cell>
          <cell r="G7932" t="str">
            <v>SP-Other</v>
          </cell>
          <cell r="H7932" t="str">
            <v>SPREADS</v>
          </cell>
          <cell r="I7932" t="str">
            <v>Swap Spread - Municipals</v>
          </cell>
        </row>
        <row r="7933">
          <cell r="A7933" t="str">
            <v>ALL_muni_swap_3yr</v>
          </cell>
          <cell r="B7933" t="str">
            <v>Non$ Muni Swap 3Y</v>
          </cell>
          <cell r="C7933" t="str">
            <v>BRS_GOLD__5_SPREADS:BRS_GOLD__3_SS:BRS_GOLD__2_SS_OTHER:MUNI_SWAP:ALL_muni_swap_3yr</v>
          </cell>
          <cell r="D7933" t="str">
            <v>Spread Duration</v>
          </cell>
          <cell r="E7933" t="str">
            <v>Other Spread Yield</v>
          </cell>
          <cell r="F7933" t="str">
            <v>SP-Other</v>
          </cell>
          <cell r="G7933" t="str">
            <v>SP-Other</v>
          </cell>
          <cell r="H7933" t="str">
            <v>SPREADS</v>
          </cell>
          <cell r="I7933" t="str">
            <v>Swap Spread - Municipals</v>
          </cell>
        </row>
        <row r="7934">
          <cell r="A7934" t="str">
            <v>ALL_muni_swap_5yr</v>
          </cell>
          <cell r="B7934" t="str">
            <v>Non$ Muni Swap 5Y</v>
          </cell>
          <cell r="C7934" t="str">
            <v>BRS_GOLD__5_SPREADS:BRS_GOLD__3_SS:BRS_GOLD__2_SS_OTHER:MUNI_SWAP:ALL_muni_swap_5yr</v>
          </cell>
          <cell r="D7934" t="str">
            <v>Spread Duration</v>
          </cell>
          <cell r="E7934" t="str">
            <v>Other Spread Yield</v>
          </cell>
          <cell r="F7934" t="str">
            <v>SP-Other</v>
          </cell>
          <cell r="G7934" t="str">
            <v>SP-Other</v>
          </cell>
          <cell r="H7934" t="str">
            <v>SPREADS</v>
          </cell>
          <cell r="I7934" t="str">
            <v>Swap Spread - Municipals</v>
          </cell>
        </row>
        <row r="7935">
          <cell r="A7935" t="str">
            <v>ALL_muni_swap_7yr</v>
          </cell>
          <cell r="B7935" t="str">
            <v>Non$ Muni Swap 7Y</v>
          </cell>
          <cell r="C7935" t="str">
            <v>BRS_GOLD__5_SPREADS:BRS_GOLD__3_SS:BRS_GOLD__2_SS_OTHER:MUNI_SWAP:ALL_muni_swap_7yr</v>
          </cell>
          <cell r="D7935" t="str">
            <v>Spread Duration</v>
          </cell>
          <cell r="E7935" t="str">
            <v>Other Spread Yield</v>
          </cell>
          <cell r="F7935" t="str">
            <v>SP-Other</v>
          </cell>
          <cell r="G7935" t="str">
            <v>SP-Other</v>
          </cell>
          <cell r="H7935" t="str">
            <v>SPREADS</v>
          </cell>
          <cell r="I7935" t="str">
            <v>Swap Spread - Municipals</v>
          </cell>
        </row>
        <row r="7936">
          <cell r="A7936" t="str">
            <v>ALL_muni_swap_10yr</v>
          </cell>
          <cell r="B7936" t="str">
            <v>Non$ Muni Swap 10Y</v>
          </cell>
          <cell r="C7936" t="str">
            <v>BRS_GOLD__5_SPREADS:BRS_GOLD__3_SS:BRS_GOLD__2_SS_OTHER:MUNI_SWAP:ALL_muni_swap_10yr</v>
          </cell>
          <cell r="D7936" t="str">
            <v>Spread Duration</v>
          </cell>
          <cell r="E7936" t="str">
            <v>Other Spread Yield</v>
          </cell>
          <cell r="F7936" t="str">
            <v>SP-Other</v>
          </cell>
          <cell r="G7936" t="str">
            <v>SP-Other</v>
          </cell>
          <cell r="H7936" t="str">
            <v>SPREADS</v>
          </cell>
          <cell r="I7936" t="str">
            <v>Swap Spread - Municipals</v>
          </cell>
        </row>
        <row r="7937">
          <cell r="A7937" t="str">
            <v>ALL_muni_swap_15yr</v>
          </cell>
          <cell r="B7937" t="str">
            <v>Non$ Muni Swap 15Y</v>
          </cell>
          <cell r="C7937" t="str">
            <v>BRS_GOLD__5_SPREADS:BRS_GOLD__3_SS:BRS_GOLD__2_SS_OTHER:MUNI_SWAP:ALL_muni_swap_15yr</v>
          </cell>
          <cell r="D7937" t="str">
            <v>Spread Duration</v>
          </cell>
          <cell r="E7937" t="str">
            <v>Other Spread Yield</v>
          </cell>
          <cell r="F7937" t="str">
            <v>SP-Other</v>
          </cell>
          <cell r="G7937" t="str">
            <v>SP-Other</v>
          </cell>
          <cell r="H7937" t="str">
            <v>SPREADS</v>
          </cell>
          <cell r="I7937" t="str">
            <v>Swap Spread - Municipals</v>
          </cell>
        </row>
        <row r="7938">
          <cell r="A7938" t="str">
            <v>ALL_muni_swap_20yr</v>
          </cell>
          <cell r="B7938" t="str">
            <v>Non$ Muni Swap 20Y</v>
          </cell>
          <cell r="C7938" t="str">
            <v>BRS_GOLD__5_SPREADS:BRS_GOLD__3_SS:BRS_GOLD__2_SS_OTHER:MUNI_SWAP:ALL_muni_swap_20yr</v>
          </cell>
          <cell r="D7938" t="str">
            <v>Spread Duration</v>
          </cell>
          <cell r="E7938" t="str">
            <v>Other Spread Yield</v>
          </cell>
          <cell r="F7938" t="str">
            <v>SP-Other</v>
          </cell>
          <cell r="G7938" t="str">
            <v>SP-Other</v>
          </cell>
          <cell r="H7938" t="str">
            <v>SPREADS</v>
          </cell>
          <cell r="I7938" t="str">
            <v>Swap Spread - Municipals</v>
          </cell>
        </row>
        <row r="7939">
          <cell r="A7939" t="str">
            <v>ALL_muni_swap_25yr</v>
          </cell>
          <cell r="B7939" t="str">
            <v>Non$ Muni Swap 25Y</v>
          </cell>
          <cell r="C7939" t="str">
            <v>BRS_GOLD__5_SPREADS:BRS_GOLD__3_SS:BRS_GOLD__2_SS_OTHER:MUNI_SWAP:ALL_muni_swap_25yr</v>
          </cell>
          <cell r="D7939" t="str">
            <v>Spread Duration</v>
          </cell>
          <cell r="E7939" t="str">
            <v>Other Spread Yield</v>
          </cell>
          <cell r="F7939" t="str">
            <v>SP-Other</v>
          </cell>
          <cell r="G7939" t="str">
            <v>SP-Other</v>
          </cell>
          <cell r="H7939" t="str">
            <v>SPREADS</v>
          </cell>
          <cell r="I7939" t="str">
            <v>Swap Spread - Municipals</v>
          </cell>
        </row>
        <row r="7940">
          <cell r="A7940" t="str">
            <v>ALL_muni_swap_30yr</v>
          </cell>
          <cell r="B7940" t="str">
            <v>Non$ Muni Swap 30Y</v>
          </cell>
          <cell r="C7940" t="str">
            <v>BRS_GOLD__5_SPREADS:BRS_GOLD__3_SS:BRS_GOLD__2_SS_OTHER:MUNI_SWAP:ALL_muni_swap_30yr</v>
          </cell>
          <cell r="D7940" t="str">
            <v>Spread Duration</v>
          </cell>
          <cell r="E7940" t="str">
            <v>Other Spread Yield</v>
          </cell>
          <cell r="F7940" t="str">
            <v>SP-Other</v>
          </cell>
          <cell r="G7940" t="str">
            <v>SP-Other</v>
          </cell>
          <cell r="H7940" t="str">
            <v>SPREADS</v>
          </cell>
          <cell r="I7940" t="str">
            <v>Swap Spread - Municipals</v>
          </cell>
        </row>
        <row r="7941">
          <cell r="A7941" t="str">
            <v>ALL_libor_3m</v>
          </cell>
          <cell r="B7941" t="str">
            <v>other IBOR 3M</v>
          </cell>
          <cell r="C7941" t="str">
            <v>BRS_GOLD__5_SPREADS:BRS_GOLD__3_SS:BRS_GOLD__2_SS_OTHER:ALL_LIBOR:ALL_libor_3m</v>
          </cell>
          <cell r="D7941" t="str">
            <v>Libor KRD</v>
          </cell>
          <cell r="E7941" t="str">
            <v>Yield</v>
          </cell>
          <cell r="F7941" t="str">
            <v>SP-Other</v>
          </cell>
          <cell r="G7941" t="str">
            <v>SP-Other</v>
          </cell>
          <cell r="H7941" t="str">
            <v>SPREADS</v>
          </cell>
          <cell r="I7941" t="str">
            <v>Swap Spread - Libor</v>
          </cell>
        </row>
        <row r="7942">
          <cell r="A7942" t="str">
            <v>ALL_libor_1yr</v>
          </cell>
          <cell r="B7942" t="str">
            <v>other IBOR 1Y</v>
          </cell>
          <cell r="C7942" t="str">
            <v>BRS_GOLD__5_SPREADS:BRS_GOLD__3_SS:BRS_GOLD__2_SS_OTHER:ALL_LIBOR:ALL_libor_1yr</v>
          </cell>
          <cell r="D7942" t="str">
            <v>Libor KRD</v>
          </cell>
          <cell r="E7942" t="str">
            <v>Yield</v>
          </cell>
          <cell r="F7942" t="str">
            <v>SP-Other</v>
          </cell>
          <cell r="G7942" t="str">
            <v>SP-Other</v>
          </cell>
          <cell r="H7942" t="str">
            <v>SPREADS</v>
          </cell>
          <cell r="I7942" t="str">
            <v>Swap Spread - Libor</v>
          </cell>
        </row>
        <row r="7943">
          <cell r="A7943" t="str">
            <v>ALL_libor_2yr</v>
          </cell>
          <cell r="B7943" t="str">
            <v>other IBOR 2Y</v>
          </cell>
          <cell r="C7943" t="str">
            <v>BRS_GOLD__5_SPREADS:BRS_GOLD__3_SS:BRS_GOLD__2_SS_OTHER:ALL_LIBOR:ALL_libor_2yr</v>
          </cell>
          <cell r="D7943" t="str">
            <v>Libor KRD</v>
          </cell>
          <cell r="E7943" t="str">
            <v>Yield</v>
          </cell>
          <cell r="F7943" t="str">
            <v>SP-Other</v>
          </cell>
          <cell r="G7943" t="str">
            <v>SP-Other</v>
          </cell>
          <cell r="H7943" t="str">
            <v>SPREADS</v>
          </cell>
          <cell r="I7943" t="str">
            <v>Swap Spread - Libor</v>
          </cell>
        </row>
        <row r="7944">
          <cell r="A7944" t="str">
            <v>ALL_libor_3yr</v>
          </cell>
          <cell r="B7944" t="str">
            <v>other IBOR 3Y</v>
          </cell>
          <cell r="C7944" t="str">
            <v>BRS_GOLD__5_SPREADS:BRS_GOLD__3_SS:BRS_GOLD__2_SS_OTHER:ALL_LIBOR:ALL_libor_3yr</v>
          </cell>
          <cell r="D7944" t="str">
            <v>Libor KRD</v>
          </cell>
          <cell r="E7944" t="str">
            <v>Yield</v>
          </cell>
          <cell r="F7944" t="str">
            <v>SP-Other</v>
          </cell>
          <cell r="G7944" t="str">
            <v>SP-Other</v>
          </cell>
          <cell r="H7944" t="str">
            <v>SPREADS</v>
          </cell>
          <cell r="I7944" t="str">
            <v>Swap Spread - Libor</v>
          </cell>
        </row>
        <row r="7945">
          <cell r="A7945" t="str">
            <v>ALL_libor_5yr</v>
          </cell>
          <cell r="B7945" t="str">
            <v>other IBOR 5Y</v>
          </cell>
          <cell r="C7945" t="str">
            <v>BRS_GOLD__5_SPREADS:BRS_GOLD__3_SS:BRS_GOLD__2_SS_OTHER:ALL_LIBOR:ALL_libor_5yr</v>
          </cell>
          <cell r="D7945" t="str">
            <v>Libor KRD</v>
          </cell>
          <cell r="E7945" t="str">
            <v>Yield</v>
          </cell>
          <cell r="F7945" t="str">
            <v>SP-Other</v>
          </cell>
          <cell r="G7945" t="str">
            <v>SP-Other</v>
          </cell>
          <cell r="H7945" t="str">
            <v>SPREADS</v>
          </cell>
          <cell r="I7945" t="str">
            <v>Swap Spread - Libor</v>
          </cell>
        </row>
        <row r="7946">
          <cell r="A7946" t="str">
            <v>ALL_libor_7yr</v>
          </cell>
          <cell r="B7946" t="str">
            <v>other IBOR 7Y</v>
          </cell>
          <cell r="C7946" t="str">
            <v>BRS_GOLD__5_SPREADS:BRS_GOLD__3_SS:BRS_GOLD__2_SS_OTHER:ALL_LIBOR:ALL_libor_7yr</v>
          </cell>
          <cell r="D7946" t="str">
            <v>Libor KRD</v>
          </cell>
          <cell r="E7946" t="str">
            <v>Yield</v>
          </cell>
          <cell r="F7946" t="str">
            <v>SP-Other</v>
          </cell>
          <cell r="G7946" t="str">
            <v>SP-Other</v>
          </cell>
          <cell r="H7946" t="str">
            <v>SPREADS</v>
          </cell>
          <cell r="I7946" t="str">
            <v>Swap Spread - Libor</v>
          </cell>
        </row>
        <row r="7947">
          <cell r="A7947" t="str">
            <v>ALL_libor_10yr</v>
          </cell>
          <cell r="B7947" t="str">
            <v>other IBOR 10Y</v>
          </cell>
          <cell r="C7947" t="str">
            <v>BRS_GOLD__5_SPREADS:BRS_GOLD__3_SS:BRS_GOLD__2_SS_OTHER:ALL_LIBOR:ALL_libor_10yr</v>
          </cell>
          <cell r="D7947" t="str">
            <v>Libor KRD</v>
          </cell>
          <cell r="E7947" t="str">
            <v>Yield</v>
          </cell>
          <cell r="F7947" t="str">
            <v>SP-Other</v>
          </cell>
          <cell r="G7947" t="str">
            <v>SP-Other</v>
          </cell>
          <cell r="H7947" t="str">
            <v>SPREADS</v>
          </cell>
          <cell r="I7947" t="str">
            <v>Swap Spread - Libor</v>
          </cell>
        </row>
        <row r="7948">
          <cell r="A7948" t="str">
            <v>ALL_libor_15yr</v>
          </cell>
          <cell r="B7948" t="str">
            <v>other IBOR 15Y</v>
          </cell>
          <cell r="C7948" t="str">
            <v>BRS_GOLD__5_SPREADS:BRS_GOLD__3_SS:BRS_GOLD__2_SS_OTHER:ALL_LIBOR:ALL_libor_15yr</v>
          </cell>
          <cell r="D7948" t="str">
            <v>Libor KRD</v>
          </cell>
          <cell r="E7948" t="str">
            <v>Yield</v>
          </cell>
          <cell r="F7948" t="str">
            <v>SP-Other</v>
          </cell>
          <cell r="G7948" t="str">
            <v>SP-Other</v>
          </cell>
          <cell r="H7948" t="str">
            <v>SPREADS</v>
          </cell>
          <cell r="I7948" t="str">
            <v>Swap Spread - Libor</v>
          </cell>
        </row>
        <row r="7949">
          <cell r="A7949" t="str">
            <v>ALL_libor_20yr</v>
          </cell>
          <cell r="B7949" t="str">
            <v>other IBOR 20Y</v>
          </cell>
          <cell r="C7949" t="str">
            <v>BRS_GOLD__5_SPREADS:BRS_GOLD__3_SS:BRS_GOLD__2_SS_OTHER:ALL_LIBOR:ALL_libor_20yr</v>
          </cell>
          <cell r="D7949" t="str">
            <v>Libor KRD</v>
          </cell>
          <cell r="E7949" t="str">
            <v>Yield</v>
          </cell>
          <cell r="F7949" t="str">
            <v>SP-Other</v>
          </cell>
          <cell r="G7949" t="str">
            <v>SP-Other</v>
          </cell>
          <cell r="H7949" t="str">
            <v>SPREADS</v>
          </cell>
          <cell r="I7949" t="str">
            <v>Swap Spread - Libor</v>
          </cell>
        </row>
        <row r="7950">
          <cell r="A7950" t="str">
            <v>ALL_libor_25yr</v>
          </cell>
          <cell r="B7950" t="str">
            <v>other IBOR 25Y</v>
          </cell>
          <cell r="C7950" t="str">
            <v>BRS_GOLD__5_SPREADS:BRS_GOLD__3_SS:BRS_GOLD__2_SS_OTHER:ALL_LIBOR:ALL_libor_25yr</v>
          </cell>
          <cell r="D7950" t="str">
            <v>Libor KRD</v>
          </cell>
          <cell r="E7950" t="str">
            <v>Yield</v>
          </cell>
          <cell r="F7950" t="str">
            <v>SP-Other</v>
          </cell>
          <cell r="G7950" t="str">
            <v>SP-Other</v>
          </cell>
          <cell r="H7950" t="str">
            <v>SPREADS</v>
          </cell>
          <cell r="I7950" t="str">
            <v>Swap Spread - Libor</v>
          </cell>
        </row>
        <row r="7951">
          <cell r="A7951" t="str">
            <v>ALL_libor_30yr</v>
          </cell>
          <cell r="B7951" t="str">
            <v>other IBOR 30Y</v>
          </cell>
          <cell r="C7951" t="str">
            <v>BRS_GOLD__5_SPREADS:BRS_GOLD__3_SS:BRS_GOLD__2_SS_OTHER:ALL_LIBOR:ALL_libor_30yr</v>
          </cell>
          <cell r="D7951" t="str">
            <v>Libor KRD</v>
          </cell>
          <cell r="E7951" t="str">
            <v>Yield</v>
          </cell>
          <cell r="F7951" t="str">
            <v>SP-Other</v>
          </cell>
          <cell r="G7951" t="str">
            <v>SP-Other</v>
          </cell>
          <cell r="H7951" t="str">
            <v>SPREADS</v>
          </cell>
          <cell r="I7951" t="str">
            <v>Swap Spread - Libor</v>
          </cell>
        </row>
        <row r="7952">
          <cell r="A7952" t="str">
            <v>ALL_libor_40yr</v>
          </cell>
          <cell r="B7952" t="str">
            <v>other IBOR 40Y</v>
          </cell>
          <cell r="C7952" t="str">
            <v>BRS_GOLD__5_SPREADS:BRS_GOLD__3_SS:BRS_GOLD__2_SS_OTHER:ALL_LIBOR:ALL_libor_40yr</v>
          </cell>
          <cell r="D7952" t="str">
            <v>Libor KRD</v>
          </cell>
          <cell r="E7952" t="str">
            <v>Yield</v>
          </cell>
          <cell r="F7952" t="str">
            <v>SP-Other</v>
          </cell>
          <cell r="G7952" t="str">
            <v>SP-Other</v>
          </cell>
          <cell r="H7952" t="str">
            <v>SPREADS</v>
          </cell>
          <cell r="I7952" t="str">
            <v>Swap Spread - Libor</v>
          </cell>
        </row>
        <row r="7953">
          <cell r="A7953" t="str">
            <v>ALL_libor_50yr</v>
          </cell>
          <cell r="B7953" t="str">
            <v>other IBOR 50Y</v>
          </cell>
          <cell r="C7953" t="str">
            <v>BRS_GOLD__5_SPREADS:BRS_GOLD__3_SS:BRS_GOLD__2_SS_OTHER:ALL_LIBOR:ALL_libor_50yr</v>
          </cell>
          <cell r="D7953" t="str">
            <v>Libor KRD</v>
          </cell>
          <cell r="E7953" t="str">
            <v>Yield</v>
          </cell>
          <cell r="F7953" t="str">
            <v>SP-Other</v>
          </cell>
          <cell r="G7953" t="str">
            <v>SP-Other</v>
          </cell>
          <cell r="H7953" t="str">
            <v>SPREADS</v>
          </cell>
          <cell r="I7953" t="str">
            <v>Swap Spread - Libor</v>
          </cell>
        </row>
        <row r="7954">
          <cell r="A7954" t="str">
            <v>ALL_oisbasis_3m</v>
          </cell>
          <cell r="B7954" t="str">
            <v>Other OIS BASIS 3M</v>
          </cell>
          <cell r="C7954" t="str">
            <v>BRS_GOLD__5_SPREADS:BRS_GOLD__3_SS:BRS_GOLD__2_SS_OTHER:ALL_OIS:ALL_oisbasis_3m</v>
          </cell>
          <cell r="D7954" t="str">
            <v>Libor KRD</v>
          </cell>
          <cell r="E7954" t="str">
            <v>Yield</v>
          </cell>
          <cell r="F7954" t="str">
            <v>SP-Other</v>
          </cell>
          <cell r="G7954" t="str">
            <v>SP-Other</v>
          </cell>
          <cell r="H7954" t="str">
            <v>SPREADS</v>
          </cell>
          <cell r="I7954" t="str">
            <v>Swap Spread - Libor</v>
          </cell>
        </row>
        <row r="7955">
          <cell r="A7955" t="str">
            <v>ALL_oisbasis_1yr</v>
          </cell>
          <cell r="B7955" t="str">
            <v>Other OIS BASIS 1Y</v>
          </cell>
          <cell r="C7955" t="str">
            <v>BRS_GOLD__5_SPREADS:BRS_GOLD__3_SS:BRS_GOLD__2_SS_OTHER:ALL_OIS:ALL_oisbasis_1yr</v>
          </cell>
          <cell r="D7955" t="str">
            <v>Libor KRD</v>
          </cell>
          <cell r="E7955" t="str">
            <v>Yield</v>
          </cell>
          <cell r="F7955" t="str">
            <v>SP-Other</v>
          </cell>
          <cell r="G7955" t="str">
            <v>SP-Other</v>
          </cell>
          <cell r="H7955" t="str">
            <v>SPREADS</v>
          </cell>
          <cell r="I7955" t="str">
            <v>Swap Spread - Libor</v>
          </cell>
        </row>
        <row r="7956">
          <cell r="A7956" t="str">
            <v>ALL_oisbasis_2yr</v>
          </cell>
          <cell r="B7956" t="str">
            <v>Other OIS BASIS 2Y</v>
          </cell>
          <cell r="C7956" t="str">
            <v>BRS_GOLD__5_SPREADS:BRS_GOLD__3_SS:BRS_GOLD__2_SS_OTHER:ALL_OIS:ALL_oisbasis_2yr</v>
          </cell>
          <cell r="D7956" t="str">
            <v>Libor KRD</v>
          </cell>
          <cell r="E7956" t="str">
            <v>Yield</v>
          </cell>
          <cell r="F7956" t="str">
            <v>SP-Other</v>
          </cell>
          <cell r="G7956" t="str">
            <v>SP-Other</v>
          </cell>
          <cell r="H7956" t="str">
            <v>SPREADS</v>
          </cell>
          <cell r="I7956" t="str">
            <v>Swap Spread - Libor</v>
          </cell>
        </row>
        <row r="7957">
          <cell r="A7957" t="str">
            <v>ALL_oisbasis_3yr</v>
          </cell>
          <cell r="B7957" t="str">
            <v>Other OIS BASIS 3Y</v>
          </cell>
          <cell r="C7957" t="str">
            <v>BRS_GOLD__5_SPREADS:BRS_GOLD__3_SS:BRS_GOLD__2_SS_OTHER:ALL_OIS:ALL_oisbasis_3yr</v>
          </cell>
          <cell r="D7957" t="str">
            <v>Libor KRD</v>
          </cell>
          <cell r="E7957" t="str">
            <v>Yield</v>
          </cell>
          <cell r="F7957" t="str">
            <v>SP-Other</v>
          </cell>
          <cell r="G7957" t="str">
            <v>SP-Other</v>
          </cell>
          <cell r="H7957" t="str">
            <v>SPREADS</v>
          </cell>
          <cell r="I7957" t="str">
            <v>Swap Spread - Libor</v>
          </cell>
        </row>
        <row r="7958">
          <cell r="A7958" t="str">
            <v>ALL_oisbasis_5yr</v>
          </cell>
          <cell r="B7958" t="str">
            <v>Other OIS BASIS 5Y</v>
          </cell>
          <cell r="C7958" t="str">
            <v>BRS_GOLD__5_SPREADS:BRS_GOLD__3_SS:BRS_GOLD__2_SS_OTHER:ALL_OIS:ALL_oisbasis_5yr</v>
          </cell>
          <cell r="D7958" t="str">
            <v>Libor KRD</v>
          </cell>
          <cell r="E7958" t="str">
            <v>Yield</v>
          </cell>
          <cell r="F7958" t="str">
            <v>SP-Other</v>
          </cell>
          <cell r="G7958" t="str">
            <v>SP-Other</v>
          </cell>
          <cell r="H7958" t="str">
            <v>SPREADS</v>
          </cell>
          <cell r="I7958" t="str">
            <v>Swap Spread - Libor</v>
          </cell>
        </row>
        <row r="7959">
          <cell r="A7959" t="str">
            <v>ALL_oisbasis_7yr</v>
          </cell>
          <cell r="B7959" t="str">
            <v>Other OIS BASIS 7Y</v>
          </cell>
          <cell r="C7959" t="str">
            <v>BRS_GOLD__5_SPREADS:BRS_GOLD__3_SS:BRS_GOLD__2_SS_OTHER:ALL_OIS:ALL_oisbasis_7yr</v>
          </cell>
          <cell r="D7959" t="str">
            <v>Libor KRD</v>
          </cell>
          <cell r="E7959" t="str">
            <v>Yield</v>
          </cell>
          <cell r="F7959" t="str">
            <v>SP-Other</v>
          </cell>
          <cell r="G7959" t="str">
            <v>SP-Other</v>
          </cell>
          <cell r="H7959" t="str">
            <v>SPREADS</v>
          </cell>
          <cell r="I7959" t="str">
            <v>Swap Spread - Libor</v>
          </cell>
        </row>
        <row r="7960">
          <cell r="A7960" t="str">
            <v>ALL_oisbasis_10yr</v>
          </cell>
          <cell r="B7960" t="str">
            <v>Other OIS BASIS 10Y</v>
          </cell>
          <cell r="C7960" t="str">
            <v>BRS_GOLD__5_SPREADS:BRS_GOLD__3_SS:BRS_GOLD__2_SS_OTHER:ALL_OIS:ALL_oisbasis_10yr</v>
          </cell>
          <cell r="D7960" t="str">
            <v>Libor KRD</v>
          </cell>
          <cell r="E7960" t="str">
            <v>Yield</v>
          </cell>
          <cell r="F7960" t="str">
            <v>SP-Other</v>
          </cell>
          <cell r="G7960" t="str">
            <v>SP-Other</v>
          </cell>
          <cell r="H7960" t="str">
            <v>SPREADS</v>
          </cell>
          <cell r="I7960" t="str">
            <v>Swap Spread - Libor</v>
          </cell>
        </row>
        <row r="7961">
          <cell r="A7961" t="str">
            <v>ALL_oisbasis_15yr</v>
          </cell>
          <cell r="B7961" t="str">
            <v>Other OIS BASIS 15Y</v>
          </cell>
          <cell r="C7961" t="str">
            <v>BRS_GOLD__5_SPREADS:BRS_GOLD__3_SS:BRS_GOLD__2_SS_OTHER:ALL_OIS:ALL_oisbasis_15yr</v>
          </cell>
          <cell r="D7961" t="str">
            <v>Libor KRD</v>
          </cell>
          <cell r="E7961" t="str">
            <v>Yield</v>
          </cell>
          <cell r="F7961" t="str">
            <v>SP-Other</v>
          </cell>
          <cell r="G7961" t="str">
            <v>SP-Other</v>
          </cell>
          <cell r="H7961" t="str">
            <v>SPREADS</v>
          </cell>
          <cell r="I7961" t="str">
            <v>Swap Spread - Libor</v>
          </cell>
        </row>
        <row r="7962">
          <cell r="A7962" t="str">
            <v>ALL_oisbasis_20yr</v>
          </cell>
          <cell r="B7962" t="str">
            <v>Other OIS BASIS 20Y</v>
          </cell>
          <cell r="C7962" t="str">
            <v>BRS_GOLD__5_SPREADS:BRS_GOLD__3_SS:BRS_GOLD__2_SS_OTHER:ALL_OIS:ALL_oisbasis_20yr</v>
          </cell>
          <cell r="D7962" t="str">
            <v>Libor KRD</v>
          </cell>
          <cell r="E7962" t="str">
            <v>Yield</v>
          </cell>
          <cell r="F7962" t="str">
            <v>SP-Other</v>
          </cell>
          <cell r="G7962" t="str">
            <v>SP-Other</v>
          </cell>
          <cell r="H7962" t="str">
            <v>SPREADS</v>
          </cell>
          <cell r="I7962" t="str">
            <v>Swap Spread - Libor</v>
          </cell>
        </row>
        <row r="7963">
          <cell r="A7963" t="str">
            <v>ALL_oisbasis_25yr</v>
          </cell>
          <cell r="B7963" t="str">
            <v>Other OIS BASIS 25Y</v>
          </cell>
          <cell r="C7963" t="str">
            <v>BRS_GOLD__5_SPREADS:BRS_GOLD__3_SS:BRS_GOLD__2_SS_OTHER:ALL_OIS:ALL_oisbasis_25yr</v>
          </cell>
          <cell r="D7963" t="str">
            <v>Libor KRD</v>
          </cell>
          <cell r="E7963" t="str">
            <v>Yield</v>
          </cell>
          <cell r="F7963" t="str">
            <v>SP-Other</v>
          </cell>
          <cell r="G7963" t="str">
            <v>SP-Other</v>
          </cell>
          <cell r="H7963" t="str">
            <v>SPREADS</v>
          </cell>
          <cell r="I7963" t="str">
            <v>Swap Spread - Libor</v>
          </cell>
        </row>
        <row r="7964">
          <cell r="A7964" t="str">
            <v>ALL_oisbasis_30yr</v>
          </cell>
          <cell r="B7964" t="str">
            <v>Other OIS BASIS 30Y</v>
          </cell>
          <cell r="C7964" t="str">
            <v>BRS_GOLD__5_SPREADS:BRS_GOLD__3_SS:BRS_GOLD__2_SS_OTHER:ALL_OIS:ALL_oisbasis_30yr</v>
          </cell>
          <cell r="D7964" t="str">
            <v>Libor KRD</v>
          </cell>
          <cell r="E7964" t="str">
            <v>Yield</v>
          </cell>
          <cell r="F7964" t="str">
            <v>SP-Other</v>
          </cell>
          <cell r="G7964" t="str">
            <v>SP-Other</v>
          </cell>
          <cell r="H7964" t="str">
            <v>SPREADS</v>
          </cell>
          <cell r="I7964" t="str">
            <v>Swap Spread - Libor</v>
          </cell>
        </row>
        <row r="7965">
          <cell r="A7965" t="str">
            <v>ALL_oisbasis_40yr</v>
          </cell>
          <cell r="B7965" t="str">
            <v>Other OIS BASIS 40Y</v>
          </cell>
          <cell r="C7965" t="str">
            <v>BRS_GOLD__5_SPREADS:BRS_GOLD__3_SS:BRS_GOLD__2_SS_OTHER:ALL_OIS:ALL_oisbasis_40yr</v>
          </cell>
          <cell r="D7965" t="str">
            <v>Libor KRD</v>
          </cell>
          <cell r="E7965" t="str">
            <v>Yield</v>
          </cell>
          <cell r="F7965" t="str">
            <v>SP-Other</v>
          </cell>
          <cell r="G7965" t="str">
            <v>SP-Other</v>
          </cell>
          <cell r="H7965" t="str">
            <v>SPREADS</v>
          </cell>
          <cell r="I7965" t="str">
            <v>Swap Spread - Libor</v>
          </cell>
        </row>
        <row r="7966">
          <cell r="A7966" t="str">
            <v>ALL_oisbasis_50yr</v>
          </cell>
          <cell r="B7966" t="str">
            <v>Other OIS BASIS 50Y</v>
          </cell>
          <cell r="C7966" t="str">
            <v>BRS_GOLD__5_SPREADS:BRS_GOLD__3_SS:BRS_GOLD__2_SS_OTHER:ALL_OIS:ALL_oisbasis_50yr</v>
          </cell>
          <cell r="D7966" t="str">
            <v>Libor KRD</v>
          </cell>
          <cell r="E7966" t="str">
            <v>Yield</v>
          </cell>
          <cell r="F7966" t="str">
            <v>SP-Other</v>
          </cell>
          <cell r="G7966" t="str">
            <v>SP-Other</v>
          </cell>
          <cell r="H7966" t="str">
            <v>SPREADS</v>
          </cell>
          <cell r="I7966" t="str">
            <v>Swap Spread - Libor</v>
          </cell>
        </row>
        <row r="7967">
          <cell r="A7967" t="str">
            <v>CZK_libor_3m</v>
          </cell>
          <cell r="B7967" t="str">
            <v>CZK PRIBOR 3M</v>
          </cell>
          <cell r="C7967" t="str">
            <v>BRS_GOLD__5_SPREADS:BRS_GOLD__3_SS:BRS_GOLD__2_SS_OTHER:CZK_LIB:CZK_libor_3m</v>
          </cell>
          <cell r="D7967" t="str">
            <v>Libor KRD</v>
          </cell>
          <cell r="E7967" t="str">
            <v>Yield</v>
          </cell>
          <cell r="F7967" t="str">
            <v>SP-Other</v>
          </cell>
          <cell r="G7967" t="str">
            <v>SP-Other</v>
          </cell>
          <cell r="H7967" t="str">
            <v>SPREADS</v>
          </cell>
          <cell r="I7967" t="str">
            <v>Swap Spread - Libor</v>
          </cell>
        </row>
        <row r="7968">
          <cell r="A7968" t="str">
            <v>CZK_libor_1yr</v>
          </cell>
          <cell r="B7968" t="str">
            <v>CZK PRIBOR 1Y</v>
          </cell>
          <cell r="C7968" t="str">
            <v>BRS_GOLD__5_SPREADS:BRS_GOLD__3_SS:BRS_GOLD__2_SS_OTHER:CZK_LIB:CZK_libor_1yr</v>
          </cell>
          <cell r="D7968" t="str">
            <v>Libor KRD</v>
          </cell>
          <cell r="E7968" t="str">
            <v>Yield</v>
          </cell>
          <cell r="F7968" t="str">
            <v>SP-Other</v>
          </cell>
          <cell r="G7968" t="str">
            <v>SP-Other</v>
          </cell>
          <cell r="H7968" t="str">
            <v>SPREADS</v>
          </cell>
          <cell r="I7968" t="str">
            <v>Swap Spread - Libor</v>
          </cell>
        </row>
        <row r="7969">
          <cell r="A7969" t="str">
            <v>CZK_libor_2yr</v>
          </cell>
          <cell r="B7969" t="str">
            <v>CZK PRIBOR 2Y</v>
          </cell>
          <cell r="C7969" t="str">
            <v>BRS_GOLD__5_SPREADS:BRS_GOLD__3_SS:BRS_GOLD__2_SS_OTHER:CZK_LIB:CZK_libor_2yr</v>
          </cell>
          <cell r="D7969" t="str">
            <v>Libor KRD</v>
          </cell>
          <cell r="E7969" t="str">
            <v>Yield</v>
          </cell>
          <cell r="F7969" t="str">
            <v>SP-Other</v>
          </cell>
          <cell r="G7969" t="str">
            <v>SP-Other</v>
          </cell>
          <cell r="H7969" t="str">
            <v>SPREADS</v>
          </cell>
          <cell r="I7969" t="str">
            <v>Swap Spread - Libor</v>
          </cell>
        </row>
        <row r="7970">
          <cell r="A7970" t="str">
            <v>CZK_libor_3yr</v>
          </cell>
          <cell r="B7970" t="str">
            <v>CZK PRIBOR 3Y</v>
          </cell>
          <cell r="C7970" t="str">
            <v>BRS_GOLD__5_SPREADS:BRS_GOLD__3_SS:BRS_GOLD__2_SS_OTHER:CZK_LIB:CZK_libor_3yr</v>
          </cell>
          <cell r="D7970" t="str">
            <v>Libor KRD</v>
          </cell>
          <cell r="E7970" t="str">
            <v>Yield</v>
          </cell>
          <cell r="F7970" t="str">
            <v>SP-Other</v>
          </cell>
          <cell r="G7970" t="str">
            <v>SP-Other</v>
          </cell>
          <cell r="H7970" t="str">
            <v>SPREADS</v>
          </cell>
          <cell r="I7970" t="str">
            <v>Swap Spread - Libor</v>
          </cell>
        </row>
        <row r="7971">
          <cell r="A7971" t="str">
            <v>CZK_libor_5yr</v>
          </cell>
          <cell r="B7971" t="str">
            <v>CZK PRIBOR 5Y</v>
          </cell>
          <cell r="C7971" t="str">
            <v>BRS_GOLD__5_SPREADS:BRS_GOLD__3_SS:BRS_GOLD__2_SS_OTHER:CZK_LIB:CZK_libor_5yr</v>
          </cell>
          <cell r="D7971" t="str">
            <v>Libor KRD</v>
          </cell>
          <cell r="E7971" t="str">
            <v>Yield</v>
          </cell>
          <cell r="F7971" t="str">
            <v>SP-Other</v>
          </cell>
          <cell r="G7971" t="str">
            <v>SP-Other</v>
          </cell>
          <cell r="H7971" t="str">
            <v>SPREADS</v>
          </cell>
          <cell r="I7971" t="str">
            <v>Swap Spread - Libor</v>
          </cell>
        </row>
        <row r="7972">
          <cell r="A7972" t="str">
            <v>CZK_libor_7yr</v>
          </cell>
          <cell r="B7972" t="str">
            <v>CZK PRIBOR 7Y</v>
          </cell>
          <cell r="C7972" t="str">
            <v>BRS_GOLD__5_SPREADS:BRS_GOLD__3_SS:BRS_GOLD__2_SS_OTHER:CZK_LIB:CZK_libor_7yr</v>
          </cell>
          <cell r="D7972" t="str">
            <v>Libor KRD</v>
          </cell>
          <cell r="E7972" t="str">
            <v>Yield</v>
          </cell>
          <cell r="F7972" t="str">
            <v>SP-Other</v>
          </cell>
          <cell r="G7972" t="str">
            <v>SP-Other</v>
          </cell>
          <cell r="H7972" t="str">
            <v>SPREADS</v>
          </cell>
          <cell r="I7972" t="str">
            <v>Swap Spread - Libor</v>
          </cell>
        </row>
        <row r="7973">
          <cell r="A7973" t="str">
            <v>CZK_libor_10yr</v>
          </cell>
          <cell r="B7973" t="str">
            <v>CZK PRIBOR 10Y</v>
          </cell>
          <cell r="C7973" t="str">
            <v>BRS_GOLD__5_SPREADS:BRS_GOLD__3_SS:BRS_GOLD__2_SS_OTHER:CZK_LIB:CZK_libor_10yr</v>
          </cell>
          <cell r="D7973" t="str">
            <v>Libor KRD</v>
          </cell>
          <cell r="E7973" t="str">
            <v>Yield</v>
          </cell>
          <cell r="F7973" t="str">
            <v>SP-Other</v>
          </cell>
          <cell r="G7973" t="str">
            <v>SP-Other</v>
          </cell>
          <cell r="H7973" t="str">
            <v>SPREADS</v>
          </cell>
          <cell r="I7973" t="str">
            <v>Swap Spread - Libor</v>
          </cell>
        </row>
        <row r="7974">
          <cell r="A7974" t="str">
            <v>CZK_libor_15yr</v>
          </cell>
          <cell r="B7974" t="str">
            <v>CZK PRIBOR 15Y</v>
          </cell>
          <cell r="C7974" t="str">
            <v>BRS_GOLD__5_SPREADS:BRS_GOLD__3_SS:BRS_GOLD__2_SS_OTHER:CZK_LIB:CZK_libor_15yr</v>
          </cell>
          <cell r="D7974" t="str">
            <v>Libor KRD</v>
          </cell>
          <cell r="E7974" t="str">
            <v>Yield</v>
          </cell>
          <cell r="F7974" t="str">
            <v>SP-Other</v>
          </cell>
          <cell r="G7974" t="str">
            <v>SP-Other</v>
          </cell>
          <cell r="H7974" t="str">
            <v>SPREADS</v>
          </cell>
          <cell r="I7974" t="str">
            <v>Swap Spread - Libor</v>
          </cell>
        </row>
        <row r="7975">
          <cell r="A7975" t="str">
            <v>CZK_libor_20yr</v>
          </cell>
          <cell r="B7975" t="str">
            <v>CZK PRIBOR 20Y</v>
          </cell>
          <cell r="C7975" t="str">
            <v>BRS_GOLD__5_SPREADS:BRS_GOLD__3_SS:BRS_GOLD__2_SS_OTHER:CZK_LIB:CZK_libor_20yr</v>
          </cell>
          <cell r="D7975" t="str">
            <v>Libor KRD</v>
          </cell>
          <cell r="E7975" t="str">
            <v>Yield</v>
          </cell>
          <cell r="F7975" t="str">
            <v>SP-Other</v>
          </cell>
          <cell r="G7975" t="str">
            <v>SP-Other</v>
          </cell>
          <cell r="H7975" t="str">
            <v>SPREADS</v>
          </cell>
          <cell r="I7975" t="str">
            <v>Swap Spread - Libor</v>
          </cell>
        </row>
        <row r="7976">
          <cell r="A7976" t="str">
            <v>CZK_libor_25yr</v>
          </cell>
          <cell r="B7976" t="str">
            <v>CZK PRIBOR 25Y</v>
          </cell>
          <cell r="C7976" t="str">
            <v>BRS_GOLD__5_SPREADS:BRS_GOLD__3_SS:BRS_GOLD__2_SS_OTHER:CZK_LIB:CZK_libor_25yr</v>
          </cell>
          <cell r="D7976" t="str">
            <v>Libor KRD</v>
          </cell>
          <cell r="E7976" t="str">
            <v>Yield</v>
          </cell>
          <cell r="F7976" t="str">
            <v>SP-Other</v>
          </cell>
          <cell r="G7976" t="str">
            <v>SP-Other</v>
          </cell>
          <cell r="H7976" t="str">
            <v>SPREADS</v>
          </cell>
          <cell r="I7976" t="str">
            <v>Swap Spread - Libor</v>
          </cell>
        </row>
        <row r="7977">
          <cell r="A7977" t="str">
            <v>CZK_libor_30yr</v>
          </cell>
          <cell r="B7977" t="str">
            <v>CZK PRIBOR 30Y</v>
          </cell>
          <cell r="C7977" t="str">
            <v>BRS_GOLD__5_SPREADS:BRS_GOLD__3_SS:BRS_GOLD__2_SS_OTHER:CZK_LIB:CZK_libor_30yr</v>
          </cell>
          <cell r="D7977" t="str">
            <v>Libor KRD</v>
          </cell>
          <cell r="E7977" t="str">
            <v>Yield</v>
          </cell>
          <cell r="F7977" t="str">
            <v>SP-Other</v>
          </cell>
          <cell r="G7977" t="str">
            <v>SP-Other</v>
          </cell>
          <cell r="H7977" t="str">
            <v>SPREADS</v>
          </cell>
          <cell r="I7977" t="str">
            <v>Swap Spread - Libor</v>
          </cell>
        </row>
        <row r="7978">
          <cell r="A7978" t="str">
            <v>CAD_libor_3m</v>
          </cell>
          <cell r="B7978" t="str">
            <v>CAD LIBOR 3M</v>
          </cell>
          <cell r="C7978" t="str">
            <v>BRS_GOLD__5_SPREADS:BRS_GOLD__3_SS:BRS_GOLD__2_SS_OTHER:CAD_LIB:CAD_libor_3m</v>
          </cell>
          <cell r="D7978" t="str">
            <v>Libor KRD</v>
          </cell>
          <cell r="E7978" t="str">
            <v>Yield</v>
          </cell>
          <cell r="F7978" t="str">
            <v>SP-Other</v>
          </cell>
          <cell r="G7978" t="str">
            <v>SP-Other</v>
          </cell>
          <cell r="H7978" t="str">
            <v>SPREADS</v>
          </cell>
          <cell r="I7978" t="str">
            <v>Swap Spread - Libor</v>
          </cell>
        </row>
        <row r="7979">
          <cell r="A7979" t="str">
            <v>CAD_libor_1yr</v>
          </cell>
          <cell r="B7979" t="str">
            <v>CAD LIBOR 1Y</v>
          </cell>
          <cell r="C7979" t="str">
            <v>BRS_GOLD__5_SPREADS:BRS_GOLD__3_SS:BRS_GOLD__2_SS_OTHER:CAD_LIB:CAD_libor_1yr</v>
          </cell>
          <cell r="D7979" t="str">
            <v>Libor KRD</v>
          </cell>
          <cell r="E7979" t="str">
            <v>Yield</v>
          </cell>
          <cell r="F7979" t="str">
            <v>SP-Other</v>
          </cell>
          <cell r="G7979" t="str">
            <v>SP-Other</v>
          </cell>
          <cell r="H7979" t="str">
            <v>SPREADS</v>
          </cell>
          <cell r="I7979" t="str">
            <v>Swap Spread - Libor</v>
          </cell>
        </row>
        <row r="7980">
          <cell r="A7980" t="str">
            <v>CAD_libor_2yr</v>
          </cell>
          <cell r="B7980" t="str">
            <v>CAD LIBOR 2Y</v>
          </cell>
          <cell r="C7980" t="str">
            <v>BRS_GOLD__5_SPREADS:BRS_GOLD__3_SS:BRS_GOLD__2_SS_OTHER:CAD_LIB:CAD_libor_2yr</v>
          </cell>
          <cell r="D7980" t="str">
            <v>Libor KRD</v>
          </cell>
          <cell r="E7980" t="str">
            <v>Yield</v>
          </cell>
          <cell r="F7980" t="str">
            <v>SP-Other</v>
          </cell>
          <cell r="G7980" t="str">
            <v>SP-Other</v>
          </cell>
          <cell r="H7980" t="str">
            <v>SPREADS</v>
          </cell>
          <cell r="I7980" t="str">
            <v>Swap Spread - Libor</v>
          </cell>
        </row>
        <row r="7981">
          <cell r="A7981" t="str">
            <v>CAD_libor_3yr</v>
          </cell>
          <cell r="B7981" t="str">
            <v>CAD LIBOR 3Y</v>
          </cell>
          <cell r="C7981" t="str">
            <v>BRS_GOLD__5_SPREADS:BRS_GOLD__3_SS:BRS_GOLD__2_SS_OTHER:CAD_LIB:CAD_libor_3yr</v>
          </cell>
          <cell r="D7981" t="str">
            <v>Libor KRD</v>
          </cell>
          <cell r="E7981" t="str">
            <v>Yield</v>
          </cell>
          <cell r="F7981" t="str">
            <v>SP-Other</v>
          </cell>
          <cell r="G7981" t="str">
            <v>SP-Other</v>
          </cell>
          <cell r="H7981" t="str">
            <v>SPREADS</v>
          </cell>
          <cell r="I7981" t="str">
            <v>Swap Spread - Libor</v>
          </cell>
        </row>
        <row r="7982">
          <cell r="A7982" t="str">
            <v>CAD_libor_5yr</v>
          </cell>
          <cell r="B7982" t="str">
            <v>CAD LIBOR 5Y</v>
          </cell>
          <cell r="C7982" t="str">
            <v>BRS_GOLD__5_SPREADS:BRS_GOLD__3_SS:BRS_GOLD__2_SS_OTHER:CAD_LIB:CAD_libor_5yr</v>
          </cell>
          <cell r="D7982" t="str">
            <v>Libor KRD</v>
          </cell>
          <cell r="E7982" t="str">
            <v>Yield</v>
          </cell>
          <cell r="F7982" t="str">
            <v>SP-Other</v>
          </cell>
          <cell r="G7982" t="str">
            <v>SP-Other</v>
          </cell>
          <cell r="H7982" t="str">
            <v>SPREADS</v>
          </cell>
          <cell r="I7982" t="str">
            <v>Swap Spread - Libor</v>
          </cell>
        </row>
        <row r="7983">
          <cell r="A7983" t="str">
            <v>CAD_libor_7yr</v>
          </cell>
          <cell r="B7983" t="str">
            <v>CAD LIBOR 7Y</v>
          </cell>
          <cell r="C7983" t="str">
            <v>BRS_GOLD__5_SPREADS:BRS_GOLD__3_SS:BRS_GOLD__2_SS_OTHER:CAD_LIB:CAD_libor_7yr</v>
          </cell>
          <cell r="D7983" t="str">
            <v>Libor KRD</v>
          </cell>
          <cell r="E7983" t="str">
            <v>Yield</v>
          </cell>
          <cell r="F7983" t="str">
            <v>SP-Other</v>
          </cell>
          <cell r="G7983" t="str">
            <v>SP-Other</v>
          </cell>
          <cell r="H7983" t="str">
            <v>SPREADS</v>
          </cell>
          <cell r="I7983" t="str">
            <v>Swap Spread - Libor</v>
          </cell>
        </row>
        <row r="7984">
          <cell r="A7984" t="str">
            <v>CAD_libor_10yr</v>
          </cell>
          <cell r="B7984" t="str">
            <v>CAD LIBOR 10Y</v>
          </cell>
          <cell r="C7984" t="str">
            <v>BRS_GOLD__5_SPREADS:BRS_GOLD__3_SS:BRS_GOLD__2_SS_OTHER:CAD_LIB:CAD_libor_10yr</v>
          </cell>
          <cell r="D7984" t="str">
            <v>Libor KRD</v>
          </cell>
          <cell r="E7984" t="str">
            <v>Yield</v>
          </cell>
          <cell r="F7984" t="str">
            <v>SP-Other</v>
          </cell>
          <cell r="G7984" t="str">
            <v>SP-Other</v>
          </cell>
          <cell r="H7984" t="str">
            <v>SPREADS</v>
          </cell>
          <cell r="I7984" t="str">
            <v>Swap Spread - Libor</v>
          </cell>
        </row>
        <row r="7985">
          <cell r="A7985" t="str">
            <v>CAD_libor_15yr</v>
          </cell>
          <cell r="B7985" t="str">
            <v>CAD LIBOR 15Y</v>
          </cell>
          <cell r="C7985" t="str">
            <v>BRS_GOLD__5_SPREADS:BRS_GOLD__3_SS:BRS_GOLD__2_SS_OTHER:CAD_LIB:CAD_libor_15yr</v>
          </cell>
          <cell r="D7985" t="str">
            <v>Libor KRD</v>
          </cell>
          <cell r="E7985" t="str">
            <v>Yield</v>
          </cell>
          <cell r="F7985" t="str">
            <v>SP-Other</v>
          </cell>
          <cell r="G7985" t="str">
            <v>SP-Other</v>
          </cell>
          <cell r="H7985" t="str">
            <v>SPREADS</v>
          </cell>
          <cell r="I7985" t="str">
            <v>Swap Spread - Libor</v>
          </cell>
        </row>
        <row r="7986">
          <cell r="A7986" t="str">
            <v>CAD_libor_20yr</v>
          </cell>
          <cell r="B7986" t="str">
            <v>CAD LIBOR 20Y</v>
          </cell>
          <cell r="C7986" t="str">
            <v>BRS_GOLD__5_SPREADS:BRS_GOLD__3_SS:BRS_GOLD__2_SS_OTHER:CAD_LIB:CAD_libor_20yr</v>
          </cell>
          <cell r="D7986" t="str">
            <v>Libor KRD</v>
          </cell>
          <cell r="E7986" t="str">
            <v>Yield</v>
          </cell>
          <cell r="F7986" t="str">
            <v>SP-Other</v>
          </cell>
          <cell r="G7986" t="str">
            <v>SP-Other</v>
          </cell>
          <cell r="H7986" t="str">
            <v>SPREADS</v>
          </cell>
          <cell r="I7986" t="str">
            <v>Swap Spread - Libor</v>
          </cell>
        </row>
        <row r="7987">
          <cell r="A7987" t="str">
            <v>CAD_libor_25yr</v>
          </cell>
          <cell r="B7987" t="str">
            <v>CAD LIBOR 25Y</v>
          </cell>
          <cell r="C7987" t="str">
            <v>BRS_GOLD__5_SPREADS:BRS_GOLD__3_SS:BRS_GOLD__2_SS_OTHER:CAD_LIB:CAD_libor_25yr</v>
          </cell>
          <cell r="D7987" t="str">
            <v>Libor KRD</v>
          </cell>
          <cell r="E7987" t="str">
            <v>Yield</v>
          </cell>
          <cell r="F7987" t="str">
            <v>SP-Other</v>
          </cell>
          <cell r="G7987" t="str">
            <v>SP-Other</v>
          </cell>
          <cell r="H7987" t="str">
            <v>SPREADS</v>
          </cell>
          <cell r="I7987" t="str">
            <v>Swap Spread - Libor</v>
          </cell>
        </row>
        <row r="7988">
          <cell r="A7988" t="str">
            <v>CAD_libor_30yr</v>
          </cell>
          <cell r="B7988" t="str">
            <v>CAD LIBOR 30Y</v>
          </cell>
          <cell r="C7988" t="str">
            <v>BRS_GOLD__5_SPREADS:BRS_GOLD__3_SS:BRS_GOLD__2_SS_OTHER:CAD_LIB:CAD_libor_30yr</v>
          </cell>
          <cell r="D7988" t="str">
            <v>Libor KRD</v>
          </cell>
          <cell r="E7988" t="str">
            <v>Yield</v>
          </cell>
          <cell r="F7988" t="str">
            <v>SP-Other</v>
          </cell>
          <cell r="G7988" t="str">
            <v>SP-Other</v>
          </cell>
          <cell r="H7988" t="str">
            <v>SPREADS</v>
          </cell>
          <cell r="I7988" t="str">
            <v>Swap Spread - Libor</v>
          </cell>
        </row>
        <row r="7989">
          <cell r="A7989" t="str">
            <v>HUF_libor_3m</v>
          </cell>
          <cell r="B7989" t="str">
            <v>HUF BUBOR 3M</v>
          </cell>
          <cell r="C7989" t="str">
            <v>BRS_GOLD__5_SPREADS:BRS_GOLD__3_SS:BRS_GOLD__2_SS_OTHER:HUF_LIB:HUF_libor_3m</v>
          </cell>
          <cell r="D7989" t="str">
            <v>Libor KRD</v>
          </cell>
          <cell r="E7989" t="str">
            <v>Yield</v>
          </cell>
          <cell r="F7989" t="str">
            <v>SP-Other</v>
          </cell>
          <cell r="G7989" t="str">
            <v>SP-Other</v>
          </cell>
          <cell r="H7989" t="str">
            <v>SPREADS</v>
          </cell>
          <cell r="I7989" t="str">
            <v>Swap Spread - Libor</v>
          </cell>
        </row>
        <row r="7990">
          <cell r="A7990" t="str">
            <v>HUF_libor_1yr</v>
          </cell>
          <cell r="B7990" t="str">
            <v>HUF BUBOR 1Y</v>
          </cell>
          <cell r="C7990" t="str">
            <v>BRS_GOLD__5_SPREADS:BRS_GOLD__3_SS:BRS_GOLD__2_SS_OTHER:HUF_LIB:HUF_libor_1yr</v>
          </cell>
          <cell r="D7990" t="str">
            <v>Libor KRD</v>
          </cell>
          <cell r="E7990" t="str">
            <v>Yield</v>
          </cell>
          <cell r="F7990" t="str">
            <v>SP-Other</v>
          </cell>
          <cell r="G7990" t="str">
            <v>SP-Other</v>
          </cell>
          <cell r="H7990" t="str">
            <v>SPREADS</v>
          </cell>
          <cell r="I7990" t="str">
            <v>Swap Spread - Libor</v>
          </cell>
        </row>
        <row r="7991">
          <cell r="A7991" t="str">
            <v>HUF_libor_2yr</v>
          </cell>
          <cell r="B7991" t="str">
            <v>HUF BUBOR 2Y</v>
          </cell>
          <cell r="C7991" t="str">
            <v>BRS_GOLD__5_SPREADS:BRS_GOLD__3_SS:BRS_GOLD__2_SS_OTHER:HUF_LIB:HUF_libor_2yr</v>
          </cell>
          <cell r="D7991" t="str">
            <v>Libor KRD</v>
          </cell>
          <cell r="E7991" t="str">
            <v>Yield</v>
          </cell>
          <cell r="F7991" t="str">
            <v>SP-Other</v>
          </cell>
          <cell r="G7991" t="str">
            <v>SP-Other</v>
          </cell>
          <cell r="H7991" t="str">
            <v>SPREADS</v>
          </cell>
          <cell r="I7991" t="str">
            <v>Swap Spread - Libor</v>
          </cell>
        </row>
        <row r="7992">
          <cell r="A7992" t="str">
            <v>HUF_libor_3yr</v>
          </cell>
          <cell r="B7992" t="str">
            <v>HUF BUBOR 3Y</v>
          </cell>
          <cell r="C7992" t="str">
            <v>BRS_GOLD__5_SPREADS:BRS_GOLD__3_SS:BRS_GOLD__2_SS_OTHER:HUF_LIB:HUF_libor_3yr</v>
          </cell>
          <cell r="D7992" t="str">
            <v>Libor KRD</v>
          </cell>
          <cell r="E7992" t="str">
            <v>Yield</v>
          </cell>
          <cell r="F7992" t="str">
            <v>SP-Other</v>
          </cell>
          <cell r="G7992" t="str">
            <v>SP-Other</v>
          </cell>
          <cell r="H7992" t="str">
            <v>SPREADS</v>
          </cell>
          <cell r="I7992" t="str">
            <v>Swap Spread - Libor</v>
          </cell>
        </row>
        <row r="7993">
          <cell r="A7993" t="str">
            <v>HUF_libor_5yr</v>
          </cell>
          <cell r="B7993" t="str">
            <v>HUF BUBOR 5Y</v>
          </cell>
          <cell r="C7993" t="str">
            <v>BRS_GOLD__5_SPREADS:BRS_GOLD__3_SS:BRS_GOLD__2_SS_OTHER:HUF_LIB:HUF_libor_5yr</v>
          </cell>
          <cell r="D7993" t="str">
            <v>Libor KRD</v>
          </cell>
          <cell r="E7993" t="str">
            <v>Yield</v>
          </cell>
          <cell r="F7993" t="str">
            <v>SP-Other</v>
          </cell>
          <cell r="G7993" t="str">
            <v>SP-Other</v>
          </cell>
          <cell r="H7993" t="str">
            <v>SPREADS</v>
          </cell>
          <cell r="I7993" t="str">
            <v>Swap Spread - Libor</v>
          </cell>
        </row>
        <row r="7994">
          <cell r="A7994" t="str">
            <v>HUF_libor_7yr</v>
          </cell>
          <cell r="B7994" t="str">
            <v>HUF BUBOR 7Y</v>
          </cell>
          <cell r="C7994" t="str">
            <v>BRS_GOLD__5_SPREADS:BRS_GOLD__3_SS:BRS_GOLD__2_SS_OTHER:HUF_LIB:HUF_libor_7yr</v>
          </cell>
          <cell r="D7994" t="str">
            <v>Libor KRD</v>
          </cell>
          <cell r="E7994" t="str">
            <v>Yield</v>
          </cell>
          <cell r="F7994" t="str">
            <v>SP-Other</v>
          </cell>
          <cell r="G7994" t="str">
            <v>SP-Other</v>
          </cell>
          <cell r="H7994" t="str">
            <v>SPREADS</v>
          </cell>
          <cell r="I7994" t="str">
            <v>Swap Spread - Libor</v>
          </cell>
        </row>
        <row r="7995">
          <cell r="A7995" t="str">
            <v>HUF_libor_10yr</v>
          </cell>
          <cell r="B7995" t="str">
            <v>HUF BUBOR 10Y</v>
          </cell>
          <cell r="C7995" t="str">
            <v>BRS_GOLD__5_SPREADS:BRS_GOLD__3_SS:BRS_GOLD__2_SS_OTHER:HUF_LIB:HUF_libor_10yr</v>
          </cell>
          <cell r="D7995" t="str">
            <v>Libor KRD</v>
          </cell>
          <cell r="E7995" t="str">
            <v>Yield</v>
          </cell>
          <cell r="F7995" t="str">
            <v>SP-Other</v>
          </cell>
          <cell r="G7995" t="str">
            <v>SP-Other</v>
          </cell>
          <cell r="H7995" t="str">
            <v>SPREADS</v>
          </cell>
          <cell r="I7995" t="str">
            <v>Swap Spread - Libor</v>
          </cell>
        </row>
        <row r="7996">
          <cell r="A7996" t="str">
            <v>HUF_libor_15yr</v>
          </cell>
          <cell r="B7996" t="str">
            <v>HUF BUBOR 15Y</v>
          </cell>
          <cell r="C7996" t="str">
            <v>BRS_GOLD__5_SPREADS:BRS_GOLD__3_SS:BRS_GOLD__2_SS_OTHER:HUF_LIB:HUF_libor_15yr</v>
          </cell>
          <cell r="D7996" t="str">
            <v>Libor KRD</v>
          </cell>
          <cell r="E7996" t="str">
            <v>Yield</v>
          </cell>
          <cell r="F7996" t="str">
            <v>SP-Other</v>
          </cell>
          <cell r="G7996" t="str">
            <v>SP-Other</v>
          </cell>
          <cell r="H7996" t="str">
            <v>SPREADS</v>
          </cell>
          <cell r="I7996" t="str">
            <v>Swap Spread - Libor</v>
          </cell>
        </row>
        <row r="7997">
          <cell r="A7997" t="str">
            <v>HUF_libor_20yr</v>
          </cell>
          <cell r="B7997" t="str">
            <v>HUF BUBOR 20Y</v>
          </cell>
          <cell r="C7997" t="str">
            <v>BRS_GOLD__5_SPREADS:BRS_GOLD__3_SS:BRS_GOLD__2_SS_OTHER:HUF_LIB:HUF_libor_20yr</v>
          </cell>
          <cell r="D7997" t="str">
            <v>Libor KRD</v>
          </cell>
          <cell r="E7997" t="str">
            <v>Yield</v>
          </cell>
          <cell r="F7997" t="str">
            <v>SP-Other</v>
          </cell>
          <cell r="G7997" t="str">
            <v>SP-Other</v>
          </cell>
          <cell r="H7997" t="str">
            <v>SPREADS</v>
          </cell>
          <cell r="I7997" t="str">
            <v>Swap Spread - Libor</v>
          </cell>
        </row>
        <row r="7998">
          <cell r="A7998" t="str">
            <v>HUF_libor_25yr</v>
          </cell>
          <cell r="B7998" t="str">
            <v>HUF BUBOR 25Y</v>
          </cell>
          <cell r="C7998" t="str">
            <v>BRS_GOLD__5_SPREADS:BRS_GOLD__3_SS:BRS_GOLD__2_SS_OTHER:HUF_LIB:HUF_libor_25yr</v>
          </cell>
          <cell r="D7998" t="str">
            <v>Libor KRD</v>
          </cell>
          <cell r="E7998" t="str">
            <v>Yield</v>
          </cell>
          <cell r="F7998" t="str">
            <v>SP-Other</v>
          </cell>
          <cell r="G7998" t="str">
            <v>SP-Other</v>
          </cell>
          <cell r="H7998" t="str">
            <v>SPREADS</v>
          </cell>
          <cell r="I7998" t="str">
            <v>Swap Spread - Libor</v>
          </cell>
        </row>
        <row r="7999">
          <cell r="A7999" t="str">
            <v>HUF_libor_30yr</v>
          </cell>
          <cell r="B7999" t="str">
            <v>HUF BUBOR 30Y</v>
          </cell>
          <cell r="C7999" t="str">
            <v>BRS_GOLD__5_SPREADS:BRS_GOLD__3_SS:BRS_GOLD__2_SS_OTHER:HUF_LIB:HUF_libor_30yr</v>
          </cell>
          <cell r="D7999" t="str">
            <v>Libor KRD</v>
          </cell>
          <cell r="E7999" t="str">
            <v>Yield</v>
          </cell>
          <cell r="F7999" t="str">
            <v>SP-Other</v>
          </cell>
          <cell r="G7999" t="str">
            <v>SP-Other</v>
          </cell>
          <cell r="H7999" t="str">
            <v>SPREADS</v>
          </cell>
          <cell r="I7999" t="str">
            <v>Swap Spread - Libor</v>
          </cell>
        </row>
        <row r="8000">
          <cell r="A8000" t="str">
            <v>THB_libor_3m</v>
          </cell>
          <cell r="B8000" t="str">
            <v>THB LIBOR 3M</v>
          </cell>
          <cell r="C8000" t="str">
            <v>BRS_GOLD__5_SPREADS:BRS_GOLD__3_SS:BRS_GOLD__2_SS_OTHER:THB_LIB:THB_libor_3m</v>
          </cell>
          <cell r="D8000" t="str">
            <v>Libor KRD</v>
          </cell>
          <cell r="E8000" t="str">
            <v>Yield</v>
          </cell>
          <cell r="F8000" t="str">
            <v>SP-Other</v>
          </cell>
          <cell r="G8000" t="str">
            <v>SP-Other</v>
          </cell>
          <cell r="H8000" t="str">
            <v>SPREADS</v>
          </cell>
          <cell r="I8000" t="str">
            <v>Swap Spread - Libor</v>
          </cell>
        </row>
        <row r="8001">
          <cell r="A8001" t="str">
            <v>THB_libor_1yr</v>
          </cell>
          <cell r="B8001" t="str">
            <v>THB LIBOR 1Y</v>
          </cell>
          <cell r="C8001" t="str">
            <v>BRS_GOLD__5_SPREADS:BRS_GOLD__3_SS:BRS_GOLD__2_SS_OTHER:THB_LIB:THB_libor_1yr</v>
          </cell>
          <cell r="D8001" t="str">
            <v>Libor KRD</v>
          </cell>
          <cell r="E8001" t="str">
            <v>Yield</v>
          </cell>
          <cell r="F8001" t="str">
            <v>SP-Other</v>
          </cell>
          <cell r="G8001" t="str">
            <v>SP-Other</v>
          </cell>
          <cell r="H8001" t="str">
            <v>SPREADS</v>
          </cell>
          <cell r="I8001" t="str">
            <v>Swap Spread - Libor</v>
          </cell>
        </row>
        <row r="8002">
          <cell r="A8002" t="str">
            <v>THB_libor_2yr</v>
          </cell>
          <cell r="B8002" t="str">
            <v>THB LIBOR 2Y</v>
          </cell>
          <cell r="C8002" t="str">
            <v>BRS_GOLD__5_SPREADS:BRS_GOLD__3_SS:BRS_GOLD__2_SS_OTHER:THB_LIB:THB_libor_2yr</v>
          </cell>
          <cell r="D8002" t="str">
            <v>Libor KRD</v>
          </cell>
          <cell r="E8002" t="str">
            <v>Yield</v>
          </cell>
          <cell r="F8002" t="str">
            <v>SP-Other</v>
          </cell>
          <cell r="G8002" t="str">
            <v>SP-Other</v>
          </cell>
          <cell r="H8002" t="str">
            <v>SPREADS</v>
          </cell>
          <cell r="I8002" t="str">
            <v>Swap Spread - Libor</v>
          </cell>
        </row>
        <row r="8003">
          <cell r="A8003" t="str">
            <v>THB_libor_3yr</v>
          </cell>
          <cell r="B8003" t="str">
            <v>THB LIBOR 3Y</v>
          </cell>
          <cell r="C8003" t="str">
            <v>BRS_GOLD__5_SPREADS:BRS_GOLD__3_SS:BRS_GOLD__2_SS_OTHER:THB_LIB:THB_libor_3yr</v>
          </cell>
          <cell r="D8003" t="str">
            <v>Libor KRD</v>
          </cell>
          <cell r="E8003" t="str">
            <v>Yield</v>
          </cell>
          <cell r="F8003" t="str">
            <v>SP-Other</v>
          </cell>
          <cell r="G8003" t="str">
            <v>SP-Other</v>
          </cell>
          <cell r="H8003" t="str">
            <v>SPREADS</v>
          </cell>
          <cell r="I8003" t="str">
            <v>Swap Spread - Libor</v>
          </cell>
        </row>
        <row r="8004">
          <cell r="A8004" t="str">
            <v>THB_libor_5yr</v>
          </cell>
          <cell r="B8004" t="str">
            <v>THB LIBOR 5Y</v>
          </cell>
          <cell r="C8004" t="str">
            <v>BRS_GOLD__5_SPREADS:BRS_GOLD__3_SS:BRS_GOLD__2_SS_OTHER:THB_LIB:THB_libor_5yr</v>
          </cell>
          <cell r="D8004" t="str">
            <v>Libor KRD</v>
          </cell>
          <cell r="E8004" t="str">
            <v>Yield</v>
          </cell>
          <cell r="F8004" t="str">
            <v>SP-Other</v>
          </cell>
          <cell r="G8004" t="str">
            <v>SP-Other</v>
          </cell>
          <cell r="H8004" t="str">
            <v>SPREADS</v>
          </cell>
          <cell r="I8004" t="str">
            <v>Swap Spread - Libor</v>
          </cell>
        </row>
        <row r="8005">
          <cell r="A8005" t="str">
            <v>THB_libor_7yr</v>
          </cell>
          <cell r="B8005" t="str">
            <v>THB LIBOR 7Y</v>
          </cell>
          <cell r="C8005" t="str">
            <v>BRS_GOLD__5_SPREADS:BRS_GOLD__3_SS:BRS_GOLD__2_SS_OTHER:THB_LIB:THB_libor_7yr</v>
          </cell>
          <cell r="D8005" t="str">
            <v>Libor KRD</v>
          </cell>
          <cell r="E8005" t="str">
            <v>Yield</v>
          </cell>
          <cell r="F8005" t="str">
            <v>SP-Other</v>
          </cell>
          <cell r="G8005" t="str">
            <v>SP-Other</v>
          </cell>
          <cell r="H8005" t="str">
            <v>SPREADS</v>
          </cell>
          <cell r="I8005" t="str">
            <v>Swap Spread - Libor</v>
          </cell>
        </row>
        <row r="8006">
          <cell r="A8006" t="str">
            <v>THB_libor_10yr</v>
          </cell>
          <cell r="B8006" t="str">
            <v>THB LIBOR 10Y</v>
          </cell>
          <cell r="C8006" t="str">
            <v>BRS_GOLD__5_SPREADS:BRS_GOLD__3_SS:BRS_GOLD__2_SS_OTHER:THB_LIB:THB_libor_10yr</v>
          </cell>
          <cell r="D8006" t="str">
            <v>Libor KRD</v>
          </cell>
          <cell r="E8006" t="str">
            <v>Yield</v>
          </cell>
          <cell r="F8006" t="str">
            <v>SP-Other</v>
          </cell>
          <cell r="G8006" t="str">
            <v>SP-Other</v>
          </cell>
          <cell r="H8006" t="str">
            <v>SPREADS</v>
          </cell>
          <cell r="I8006" t="str">
            <v>Swap Spread - Libor</v>
          </cell>
        </row>
        <row r="8007">
          <cell r="A8007" t="str">
            <v>THB_libor_15yr</v>
          </cell>
          <cell r="B8007" t="str">
            <v>THB LIBOR 15Y</v>
          </cell>
          <cell r="C8007" t="str">
            <v>BRS_GOLD__5_SPREADS:BRS_GOLD__3_SS:BRS_GOLD__2_SS_OTHER:THB_LIB:THB_libor_15yr</v>
          </cell>
          <cell r="D8007" t="str">
            <v>Libor KRD</v>
          </cell>
          <cell r="E8007" t="str">
            <v>Yield</v>
          </cell>
          <cell r="F8007" t="str">
            <v>SP-Other</v>
          </cell>
          <cell r="G8007" t="str">
            <v>SP-Other</v>
          </cell>
          <cell r="H8007" t="str">
            <v>SPREADS</v>
          </cell>
          <cell r="I8007" t="str">
            <v>Swap Spread - Libor</v>
          </cell>
        </row>
        <row r="8008">
          <cell r="A8008" t="str">
            <v>THB_libor_20yr</v>
          </cell>
          <cell r="B8008" t="str">
            <v>THB LIBOR 20Y</v>
          </cell>
          <cell r="C8008" t="str">
            <v>BRS_GOLD__5_SPREADS:BRS_GOLD__3_SS:BRS_GOLD__2_SS_OTHER:THB_LIB:THB_libor_20yr</v>
          </cell>
          <cell r="D8008" t="str">
            <v>Libor KRD</v>
          </cell>
          <cell r="E8008" t="str">
            <v>Yield</v>
          </cell>
          <cell r="F8008" t="str">
            <v>SP-Other</v>
          </cell>
          <cell r="G8008" t="str">
            <v>SP-Other</v>
          </cell>
          <cell r="H8008" t="str">
            <v>SPREADS</v>
          </cell>
          <cell r="I8008" t="str">
            <v>Swap Spread - Libor</v>
          </cell>
        </row>
        <row r="8009">
          <cell r="A8009" t="str">
            <v>THB_libor_25yr</v>
          </cell>
          <cell r="B8009" t="str">
            <v>THB LIBOR 25Y</v>
          </cell>
          <cell r="C8009" t="str">
            <v>BRS_GOLD__5_SPREADS:BRS_GOLD__3_SS:BRS_GOLD__2_SS_OTHER:THB_LIB:THB_libor_25yr</v>
          </cell>
          <cell r="D8009" t="str">
            <v>Libor KRD</v>
          </cell>
          <cell r="E8009" t="str">
            <v>Yield</v>
          </cell>
          <cell r="F8009" t="str">
            <v>SP-Other</v>
          </cell>
          <cell r="G8009" t="str">
            <v>SP-Other</v>
          </cell>
          <cell r="H8009" t="str">
            <v>SPREADS</v>
          </cell>
          <cell r="I8009" t="str">
            <v>Swap Spread - Libor</v>
          </cell>
        </row>
        <row r="8010">
          <cell r="A8010" t="str">
            <v>THB_libor_30yr</v>
          </cell>
          <cell r="B8010" t="str">
            <v>THB LIBOR 30Y</v>
          </cell>
          <cell r="C8010" t="str">
            <v>BRS_GOLD__5_SPREADS:BRS_GOLD__3_SS:BRS_GOLD__2_SS_OTHER:THB_LIB:THB_libor_30yr</v>
          </cell>
          <cell r="D8010" t="str">
            <v>Libor KRD</v>
          </cell>
          <cell r="E8010" t="str">
            <v>Yield</v>
          </cell>
          <cell r="F8010" t="str">
            <v>SP-Other</v>
          </cell>
          <cell r="G8010" t="str">
            <v>SP-Other</v>
          </cell>
          <cell r="H8010" t="str">
            <v>SPREADS</v>
          </cell>
          <cell r="I8010" t="str">
            <v>Swap Spread - Libor</v>
          </cell>
        </row>
        <row r="8011">
          <cell r="A8011" t="str">
            <v>TRY_libor_3m</v>
          </cell>
          <cell r="B8011" t="str">
            <v>TRY TURKIBOR 3M</v>
          </cell>
          <cell r="C8011" t="str">
            <v>BRS_GOLD__5_SPREADS:BRS_GOLD__3_SS:BRS_GOLD__2_SS_OTHER:TRY_LIB:TRY_libor_3m</v>
          </cell>
          <cell r="D8011" t="str">
            <v>Libor KRD</v>
          </cell>
          <cell r="E8011" t="str">
            <v>Yield</v>
          </cell>
          <cell r="F8011" t="str">
            <v>SP-Other</v>
          </cell>
          <cell r="G8011" t="str">
            <v>SP-Other</v>
          </cell>
          <cell r="H8011" t="str">
            <v>SPREADS</v>
          </cell>
          <cell r="I8011" t="str">
            <v>Swap Spread - Libor</v>
          </cell>
        </row>
        <row r="8012">
          <cell r="A8012" t="str">
            <v>TRY_libor_1yr</v>
          </cell>
          <cell r="B8012" t="str">
            <v>TRY TURKIBOR 1Y</v>
          </cell>
          <cell r="C8012" t="str">
            <v>BRS_GOLD__5_SPREADS:BRS_GOLD__3_SS:BRS_GOLD__2_SS_OTHER:TRY_LIB:TRY_libor_1yr</v>
          </cell>
          <cell r="D8012" t="str">
            <v>Libor KRD</v>
          </cell>
          <cell r="E8012" t="str">
            <v>Yield</v>
          </cell>
          <cell r="F8012" t="str">
            <v>SP-Other</v>
          </cell>
          <cell r="G8012" t="str">
            <v>SP-Other</v>
          </cell>
          <cell r="H8012" t="str">
            <v>SPREADS</v>
          </cell>
          <cell r="I8012" t="str">
            <v>Swap Spread - Libor</v>
          </cell>
        </row>
        <row r="8013">
          <cell r="A8013" t="str">
            <v>TRY_libor_2yr</v>
          </cell>
          <cell r="B8013" t="str">
            <v>TRY TURKIBOR 2Y</v>
          </cell>
          <cell r="C8013" t="str">
            <v>BRS_GOLD__5_SPREADS:BRS_GOLD__3_SS:BRS_GOLD__2_SS_OTHER:TRY_LIB:TRY_libor_2yr</v>
          </cell>
          <cell r="D8013" t="str">
            <v>Libor KRD</v>
          </cell>
          <cell r="E8013" t="str">
            <v>Yield</v>
          </cell>
          <cell r="F8013" t="str">
            <v>SP-Other</v>
          </cell>
          <cell r="G8013" t="str">
            <v>SP-Other</v>
          </cell>
          <cell r="H8013" t="str">
            <v>SPREADS</v>
          </cell>
          <cell r="I8013" t="str">
            <v>Swap Spread - Libor</v>
          </cell>
        </row>
        <row r="8014">
          <cell r="A8014" t="str">
            <v>TRY_libor_3yr</v>
          </cell>
          <cell r="B8014" t="str">
            <v>TRY TURKIBOR 3Y</v>
          </cell>
          <cell r="C8014" t="str">
            <v>BRS_GOLD__5_SPREADS:BRS_GOLD__3_SS:BRS_GOLD__2_SS_OTHER:TRY_LIB:TRY_libor_3yr</v>
          </cell>
          <cell r="D8014" t="str">
            <v>Libor KRD</v>
          </cell>
          <cell r="E8014" t="str">
            <v>Yield</v>
          </cell>
          <cell r="F8014" t="str">
            <v>SP-Other</v>
          </cell>
          <cell r="G8014" t="str">
            <v>SP-Other</v>
          </cell>
          <cell r="H8014" t="str">
            <v>SPREADS</v>
          </cell>
          <cell r="I8014" t="str">
            <v>Swap Spread - Libor</v>
          </cell>
        </row>
        <row r="8015">
          <cell r="A8015" t="str">
            <v>TRY_libor_5yr</v>
          </cell>
          <cell r="B8015" t="str">
            <v>TRY TURKIBOR 5Y</v>
          </cell>
          <cell r="C8015" t="str">
            <v>BRS_GOLD__5_SPREADS:BRS_GOLD__3_SS:BRS_GOLD__2_SS_OTHER:TRY_LIB:TRY_libor_5yr</v>
          </cell>
          <cell r="D8015" t="str">
            <v>Libor KRD</v>
          </cell>
          <cell r="E8015" t="str">
            <v>Yield</v>
          </cell>
          <cell r="F8015" t="str">
            <v>SP-Other</v>
          </cell>
          <cell r="G8015" t="str">
            <v>SP-Other</v>
          </cell>
          <cell r="H8015" t="str">
            <v>SPREADS</v>
          </cell>
          <cell r="I8015" t="str">
            <v>Swap Spread - Libor</v>
          </cell>
        </row>
        <row r="8016">
          <cell r="A8016" t="str">
            <v>TRY_libor_7yr</v>
          </cell>
          <cell r="B8016" t="str">
            <v>TRY TURKIBOR 7Y</v>
          </cell>
          <cell r="C8016" t="str">
            <v>BRS_GOLD__5_SPREADS:BRS_GOLD__3_SS:BRS_GOLD__2_SS_OTHER:TRY_LIB:TRY_libor_7yr</v>
          </cell>
          <cell r="D8016" t="str">
            <v>Libor KRD</v>
          </cell>
          <cell r="E8016" t="str">
            <v>Yield</v>
          </cell>
          <cell r="F8016" t="str">
            <v>SP-Other</v>
          </cell>
          <cell r="G8016" t="str">
            <v>SP-Other</v>
          </cell>
          <cell r="H8016" t="str">
            <v>SPREADS</v>
          </cell>
          <cell r="I8016" t="str">
            <v>Swap Spread - Libor</v>
          </cell>
        </row>
        <row r="8017">
          <cell r="A8017" t="str">
            <v>TRY_libor_10yr</v>
          </cell>
          <cell r="B8017" t="str">
            <v>TRY TURKIBOR 10Y</v>
          </cell>
          <cell r="C8017" t="str">
            <v>BRS_GOLD__5_SPREADS:BRS_GOLD__3_SS:BRS_GOLD__2_SS_OTHER:TRY_LIB:TRY_libor_10yr</v>
          </cell>
          <cell r="D8017" t="str">
            <v>Libor KRD</v>
          </cell>
          <cell r="E8017" t="str">
            <v>Yield</v>
          </cell>
          <cell r="F8017" t="str">
            <v>SP-Other</v>
          </cell>
          <cell r="G8017" t="str">
            <v>SP-Other</v>
          </cell>
          <cell r="H8017" t="str">
            <v>SPREADS</v>
          </cell>
          <cell r="I8017" t="str">
            <v>Swap Spread - Libor</v>
          </cell>
        </row>
        <row r="8018">
          <cell r="A8018" t="str">
            <v>TRY_libor_15yr</v>
          </cell>
          <cell r="B8018" t="str">
            <v>TRY TURKIBOR 15Y</v>
          </cell>
          <cell r="C8018" t="str">
            <v>BRS_GOLD__5_SPREADS:BRS_GOLD__3_SS:BRS_GOLD__2_SS_OTHER:TRY_LIB:TRY_libor_15yr</v>
          </cell>
          <cell r="D8018" t="str">
            <v>Libor KRD</v>
          </cell>
          <cell r="E8018" t="str">
            <v>Yield</v>
          </cell>
          <cell r="F8018" t="str">
            <v>SP-Other</v>
          </cell>
          <cell r="G8018" t="str">
            <v>SP-Other</v>
          </cell>
          <cell r="H8018" t="str">
            <v>SPREADS</v>
          </cell>
          <cell r="I8018" t="str">
            <v>Swap Spread - Libor</v>
          </cell>
        </row>
        <row r="8019">
          <cell r="A8019" t="str">
            <v>TRY_libor_20yr</v>
          </cell>
          <cell r="B8019" t="str">
            <v>TRY TURKIBOR 20Y</v>
          </cell>
          <cell r="C8019" t="str">
            <v>BRS_GOLD__5_SPREADS:BRS_GOLD__3_SS:BRS_GOLD__2_SS_OTHER:TRY_LIB:TRY_libor_20yr</v>
          </cell>
          <cell r="D8019" t="str">
            <v>Libor KRD</v>
          </cell>
          <cell r="E8019" t="str">
            <v>Yield</v>
          </cell>
          <cell r="F8019" t="str">
            <v>SP-Other</v>
          </cell>
          <cell r="G8019" t="str">
            <v>SP-Other</v>
          </cell>
          <cell r="H8019" t="str">
            <v>SPREADS</v>
          </cell>
          <cell r="I8019" t="str">
            <v>Swap Spread - Libor</v>
          </cell>
        </row>
        <row r="8020">
          <cell r="A8020" t="str">
            <v>TRY_libor_25yr</v>
          </cell>
          <cell r="B8020" t="str">
            <v>TRY TURKIBOR 25Y</v>
          </cell>
          <cell r="C8020" t="str">
            <v>BRS_GOLD__5_SPREADS:BRS_GOLD__3_SS:BRS_GOLD__2_SS_OTHER:TRY_LIB:TRY_libor_25yr</v>
          </cell>
          <cell r="D8020" t="str">
            <v>Libor KRD</v>
          </cell>
          <cell r="E8020" t="str">
            <v>Yield</v>
          </cell>
          <cell r="F8020" t="str">
            <v>SP-Other</v>
          </cell>
          <cell r="G8020" t="str">
            <v>SP-Other</v>
          </cell>
          <cell r="H8020" t="str">
            <v>SPREADS</v>
          </cell>
          <cell r="I8020" t="str">
            <v>Swap Spread - Libor</v>
          </cell>
        </row>
        <row r="8021">
          <cell r="A8021" t="str">
            <v>TRY_libor_30yr</v>
          </cell>
          <cell r="B8021" t="str">
            <v>TRY TURKIBOR 30Y</v>
          </cell>
          <cell r="C8021" t="str">
            <v>BRS_GOLD__5_SPREADS:BRS_GOLD__3_SS:BRS_GOLD__2_SS_OTHER:TRY_LIB:TRY_libor_30yr</v>
          </cell>
          <cell r="D8021" t="str">
            <v>Libor KRD</v>
          </cell>
          <cell r="E8021" t="str">
            <v>Yield</v>
          </cell>
          <cell r="F8021" t="str">
            <v>SP-Other</v>
          </cell>
          <cell r="G8021" t="str">
            <v>SP-Other</v>
          </cell>
          <cell r="H8021" t="str">
            <v>SPREADS</v>
          </cell>
          <cell r="I8021" t="str">
            <v>Swap Spread - Libor</v>
          </cell>
        </row>
        <row r="8022">
          <cell r="A8022" t="str">
            <v>INR_libor_3m</v>
          </cell>
          <cell r="B8022" t="str">
            <v>INR LIBOR 3M</v>
          </cell>
          <cell r="C8022" t="str">
            <v>BRS_GOLD__5_SPREADS:BRS_GOLD__3_SS:BRS_GOLD__2_SS_OTHER:INR_LIB:INR_libor_3m</v>
          </cell>
          <cell r="D8022" t="str">
            <v>Libor KRD</v>
          </cell>
          <cell r="E8022" t="str">
            <v>Yield</v>
          </cell>
          <cell r="F8022" t="str">
            <v>SP-Other</v>
          </cell>
          <cell r="G8022" t="str">
            <v>SP-Other</v>
          </cell>
          <cell r="H8022" t="str">
            <v>SPREADS</v>
          </cell>
          <cell r="I8022" t="str">
            <v>Swap Spread - Libor</v>
          </cell>
        </row>
        <row r="8023">
          <cell r="A8023" t="str">
            <v>INR_libor_1yr</v>
          </cell>
          <cell r="B8023" t="str">
            <v>INR LIBOR 1Y</v>
          </cell>
          <cell r="C8023" t="str">
            <v>BRS_GOLD__5_SPREADS:BRS_GOLD__3_SS:BRS_GOLD__2_SS_OTHER:INR_LIB:INR_libor_1yr</v>
          </cell>
          <cell r="D8023" t="str">
            <v>Libor KRD</v>
          </cell>
          <cell r="E8023" t="str">
            <v>Yield</v>
          </cell>
          <cell r="F8023" t="str">
            <v>SP-Other</v>
          </cell>
          <cell r="G8023" t="str">
            <v>SP-Other</v>
          </cell>
          <cell r="H8023" t="str">
            <v>SPREADS</v>
          </cell>
          <cell r="I8023" t="str">
            <v>Swap Spread - Libor</v>
          </cell>
        </row>
        <row r="8024">
          <cell r="A8024" t="str">
            <v>INR_libor_2yr</v>
          </cell>
          <cell r="B8024" t="str">
            <v>INR LIBOR 2Y</v>
          </cell>
          <cell r="C8024" t="str">
            <v>BRS_GOLD__5_SPREADS:BRS_GOLD__3_SS:BRS_GOLD__2_SS_OTHER:INR_LIB:INR_libor_2yr</v>
          </cell>
          <cell r="D8024" t="str">
            <v>Libor KRD</v>
          </cell>
          <cell r="E8024" t="str">
            <v>Yield</v>
          </cell>
          <cell r="F8024" t="str">
            <v>SP-Other</v>
          </cell>
          <cell r="G8024" t="str">
            <v>SP-Other</v>
          </cell>
          <cell r="H8024" t="str">
            <v>SPREADS</v>
          </cell>
          <cell r="I8024" t="str">
            <v>Swap Spread - Libor</v>
          </cell>
        </row>
        <row r="8025">
          <cell r="A8025" t="str">
            <v>INR_libor_3yr</v>
          </cell>
          <cell r="B8025" t="str">
            <v>INR LIBOR 3Y</v>
          </cell>
          <cell r="C8025" t="str">
            <v>BRS_GOLD__5_SPREADS:BRS_GOLD__3_SS:BRS_GOLD__2_SS_OTHER:INR_LIB:INR_libor_3yr</v>
          </cell>
          <cell r="D8025" t="str">
            <v>Libor KRD</v>
          </cell>
          <cell r="E8025" t="str">
            <v>Yield</v>
          </cell>
          <cell r="F8025" t="str">
            <v>SP-Other</v>
          </cell>
          <cell r="G8025" t="str">
            <v>SP-Other</v>
          </cell>
          <cell r="H8025" t="str">
            <v>SPREADS</v>
          </cell>
          <cell r="I8025" t="str">
            <v>Swap Spread - Libor</v>
          </cell>
        </row>
        <row r="8026">
          <cell r="A8026" t="str">
            <v>INR_libor_5yr</v>
          </cell>
          <cell r="B8026" t="str">
            <v>INR LIBOR 5Y</v>
          </cell>
          <cell r="C8026" t="str">
            <v>BRS_GOLD__5_SPREADS:BRS_GOLD__3_SS:BRS_GOLD__2_SS_OTHER:INR_LIB:INR_libor_5yr</v>
          </cell>
          <cell r="D8026" t="str">
            <v>Libor KRD</v>
          </cell>
          <cell r="E8026" t="str">
            <v>Yield</v>
          </cell>
          <cell r="F8026" t="str">
            <v>SP-Other</v>
          </cell>
          <cell r="G8026" t="str">
            <v>SP-Other</v>
          </cell>
          <cell r="H8026" t="str">
            <v>SPREADS</v>
          </cell>
          <cell r="I8026" t="str">
            <v>Swap Spread - Libor</v>
          </cell>
        </row>
        <row r="8027">
          <cell r="A8027" t="str">
            <v>INR_libor_7yr</v>
          </cell>
          <cell r="B8027" t="str">
            <v>INR LIBOR 7Y</v>
          </cell>
          <cell r="C8027" t="str">
            <v>BRS_GOLD__5_SPREADS:BRS_GOLD__3_SS:BRS_GOLD__2_SS_OTHER:INR_LIB:INR_libor_7yr</v>
          </cell>
          <cell r="D8027" t="str">
            <v>Libor KRD</v>
          </cell>
          <cell r="E8027" t="str">
            <v>Yield</v>
          </cell>
          <cell r="F8027" t="str">
            <v>SP-Other</v>
          </cell>
          <cell r="G8027" t="str">
            <v>SP-Other</v>
          </cell>
          <cell r="H8027" t="str">
            <v>SPREADS</v>
          </cell>
          <cell r="I8027" t="str">
            <v>Swap Spread - Libor</v>
          </cell>
        </row>
        <row r="8028">
          <cell r="A8028" t="str">
            <v>INR_libor_10yr</v>
          </cell>
          <cell r="B8028" t="str">
            <v>INR LIBOR 10Y</v>
          </cell>
          <cell r="C8028" t="str">
            <v>BRS_GOLD__5_SPREADS:BRS_GOLD__3_SS:BRS_GOLD__2_SS_OTHER:INR_LIB:INR_libor_10yr</v>
          </cell>
          <cell r="D8028" t="str">
            <v>Libor KRD</v>
          </cell>
          <cell r="E8028" t="str">
            <v>Yield</v>
          </cell>
          <cell r="F8028" t="str">
            <v>SP-Other</v>
          </cell>
          <cell r="G8028" t="str">
            <v>SP-Other</v>
          </cell>
          <cell r="H8028" t="str">
            <v>SPREADS</v>
          </cell>
          <cell r="I8028" t="str">
            <v>Swap Spread - Libor</v>
          </cell>
        </row>
        <row r="8029">
          <cell r="A8029" t="str">
            <v>INR_libor_15yr</v>
          </cell>
          <cell r="B8029" t="str">
            <v>INR LIBOR 15Y</v>
          </cell>
          <cell r="C8029" t="str">
            <v>BRS_GOLD__5_SPREADS:BRS_GOLD__3_SS:BRS_GOLD__2_SS_OTHER:INR_LIB:INR_libor_15yr</v>
          </cell>
          <cell r="D8029" t="str">
            <v>Libor KRD</v>
          </cell>
          <cell r="E8029" t="str">
            <v>Yield</v>
          </cell>
          <cell r="F8029" t="str">
            <v>SP-Other</v>
          </cell>
          <cell r="G8029" t="str">
            <v>SP-Other</v>
          </cell>
          <cell r="H8029" t="str">
            <v>SPREADS</v>
          </cell>
          <cell r="I8029" t="str">
            <v>Swap Spread - Libor</v>
          </cell>
        </row>
        <row r="8030">
          <cell r="A8030" t="str">
            <v>INR_libor_20yr</v>
          </cell>
          <cell r="B8030" t="str">
            <v>INR LIBOR 20Y</v>
          </cell>
          <cell r="C8030" t="str">
            <v>BRS_GOLD__5_SPREADS:BRS_GOLD__3_SS:BRS_GOLD__2_SS_OTHER:INR_LIB:INR_libor_20yr</v>
          </cell>
          <cell r="D8030" t="str">
            <v>Libor KRD</v>
          </cell>
          <cell r="E8030" t="str">
            <v>Yield</v>
          </cell>
          <cell r="F8030" t="str">
            <v>SP-Other</v>
          </cell>
          <cell r="G8030" t="str">
            <v>SP-Other</v>
          </cell>
          <cell r="H8030" t="str">
            <v>SPREADS</v>
          </cell>
          <cell r="I8030" t="str">
            <v>Swap Spread - Libor</v>
          </cell>
        </row>
        <row r="8031">
          <cell r="A8031" t="str">
            <v>INR_libor_25yr</v>
          </cell>
          <cell r="B8031" t="str">
            <v>INR LIBOR 25Y</v>
          </cell>
          <cell r="C8031" t="str">
            <v>BRS_GOLD__5_SPREADS:BRS_GOLD__3_SS:BRS_GOLD__2_SS_OTHER:INR_LIB:INR_libor_25yr</v>
          </cell>
          <cell r="D8031" t="str">
            <v>Libor KRD</v>
          </cell>
          <cell r="E8031" t="str">
            <v>Yield</v>
          </cell>
          <cell r="F8031" t="str">
            <v>SP-Other</v>
          </cell>
          <cell r="G8031" t="str">
            <v>SP-Other</v>
          </cell>
          <cell r="H8031" t="str">
            <v>SPREADS</v>
          </cell>
          <cell r="I8031" t="str">
            <v>Swap Spread - Libor</v>
          </cell>
        </row>
        <row r="8032">
          <cell r="A8032" t="str">
            <v>INR_libor_30yr</v>
          </cell>
          <cell r="B8032" t="str">
            <v>INR LIBOR 30Y</v>
          </cell>
          <cell r="C8032" t="str">
            <v>BRS_GOLD__5_SPREADS:BRS_GOLD__3_SS:BRS_GOLD__2_SS_OTHER:INR_LIB:INR_libor_30yr</v>
          </cell>
          <cell r="D8032" t="str">
            <v>Libor KRD</v>
          </cell>
          <cell r="E8032" t="str">
            <v>Yield</v>
          </cell>
          <cell r="F8032" t="str">
            <v>SP-Other</v>
          </cell>
          <cell r="G8032" t="str">
            <v>SP-Other</v>
          </cell>
          <cell r="H8032" t="str">
            <v>SPREADS</v>
          </cell>
          <cell r="I8032" t="str">
            <v>Swap Spread - Libor</v>
          </cell>
        </row>
        <row r="8033">
          <cell r="A8033" t="str">
            <v>MXN_libor_3m</v>
          </cell>
          <cell r="B8033" t="str">
            <v>MXN MXIBOR 3M</v>
          </cell>
          <cell r="C8033" t="str">
            <v>BRS_GOLD__5_SPREADS:BRS_GOLD__3_SS:BRS_GOLD__2_SS_OTHER:MXN_LIB:MXN_libor_3m</v>
          </cell>
          <cell r="D8033" t="str">
            <v>Libor KRD</v>
          </cell>
          <cell r="E8033" t="str">
            <v>Yield</v>
          </cell>
          <cell r="F8033" t="str">
            <v>SP-Other</v>
          </cell>
          <cell r="G8033" t="str">
            <v>SP-Other</v>
          </cell>
          <cell r="H8033" t="str">
            <v>SPREADS</v>
          </cell>
          <cell r="I8033" t="str">
            <v>Swap Spread - Libor</v>
          </cell>
        </row>
        <row r="8034">
          <cell r="A8034" t="str">
            <v>MXN_libor_1yr</v>
          </cell>
          <cell r="B8034" t="str">
            <v>MXN MXIBOR 1Y</v>
          </cell>
          <cell r="C8034" t="str">
            <v>BRS_GOLD__5_SPREADS:BRS_GOLD__3_SS:BRS_GOLD__2_SS_OTHER:MXN_LIB:MXN_libor_1yr</v>
          </cell>
          <cell r="D8034" t="str">
            <v>Libor KRD</v>
          </cell>
          <cell r="E8034" t="str">
            <v>Yield</v>
          </cell>
          <cell r="F8034" t="str">
            <v>SP-Other</v>
          </cell>
          <cell r="G8034" t="str">
            <v>SP-Other</v>
          </cell>
          <cell r="H8034" t="str">
            <v>SPREADS</v>
          </cell>
          <cell r="I8034" t="str">
            <v>Swap Spread - Libor</v>
          </cell>
        </row>
        <row r="8035">
          <cell r="A8035" t="str">
            <v>MXN_libor_2yr</v>
          </cell>
          <cell r="B8035" t="str">
            <v>MXN MXIBOR 2Y</v>
          </cell>
          <cell r="C8035" t="str">
            <v>BRS_GOLD__5_SPREADS:BRS_GOLD__3_SS:BRS_GOLD__2_SS_OTHER:MXN_LIB:MXN_libor_2yr</v>
          </cell>
          <cell r="D8035" t="str">
            <v>Libor KRD</v>
          </cell>
          <cell r="E8035" t="str">
            <v>Yield</v>
          </cell>
          <cell r="F8035" t="str">
            <v>SP-Other</v>
          </cell>
          <cell r="G8035" t="str">
            <v>SP-Other</v>
          </cell>
          <cell r="H8035" t="str">
            <v>SPREADS</v>
          </cell>
          <cell r="I8035" t="str">
            <v>Swap Spread - Libor</v>
          </cell>
        </row>
        <row r="8036">
          <cell r="A8036" t="str">
            <v>MXN_libor_3yr</v>
          </cell>
          <cell r="B8036" t="str">
            <v>MXN MXIBOR 3Y</v>
          </cell>
          <cell r="C8036" t="str">
            <v>BRS_GOLD__5_SPREADS:BRS_GOLD__3_SS:BRS_GOLD__2_SS_OTHER:MXN_LIB:MXN_libor_3yr</v>
          </cell>
          <cell r="D8036" t="str">
            <v>Libor KRD</v>
          </cell>
          <cell r="E8036" t="str">
            <v>Yield</v>
          </cell>
          <cell r="F8036" t="str">
            <v>SP-Other</v>
          </cell>
          <cell r="G8036" t="str">
            <v>SP-Other</v>
          </cell>
          <cell r="H8036" t="str">
            <v>SPREADS</v>
          </cell>
          <cell r="I8036" t="str">
            <v>Swap Spread - Libor</v>
          </cell>
        </row>
        <row r="8037">
          <cell r="A8037" t="str">
            <v>MXN_libor_5yr</v>
          </cell>
          <cell r="B8037" t="str">
            <v>MXN MXIBOR 5Y</v>
          </cell>
          <cell r="C8037" t="str">
            <v>BRS_GOLD__5_SPREADS:BRS_GOLD__3_SS:BRS_GOLD__2_SS_OTHER:MXN_LIB:MXN_libor_5yr</v>
          </cell>
          <cell r="D8037" t="str">
            <v>Libor KRD</v>
          </cell>
          <cell r="E8037" t="str">
            <v>Yield</v>
          </cell>
          <cell r="F8037" t="str">
            <v>SP-Other</v>
          </cell>
          <cell r="G8037" t="str">
            <v>SP-Other</v>
          </cell>
          <cell r="H8037" t="str">
            <v>SPREADS</v>
          </cell>
          <cell r="I8037" t="str">
            <v>Swap Spread - Libor</v>
          </cell>
        </row>
        <row r="8038">
          <cell r="A8038" t="str">
            <v>MXN_libor_7yr</v>
          </cell>
          <cell r="B8038" t="str">
            <v>MXN MXIBOR 7Y</v>
          </cell>
          <cell r="C8038" t="str">
            <v>BRS_GOLD__5_SPREADS:BRS_GOLD__3_SS:BRS_GOLD__2_SS_OTHER:MXN_LIB:MXN_libor_7yr</v>
          </cell>
          <cell r="D8038" t="str">
            <v>Libor KRD</v>
          </cell>
          <cell r="E8038" t="str">
            <v>Yield</v>
          </cell>
          <cell r="F8038" t="str">
            <v>SP-Other</v>
          </cell>
          <cell r="G8038" t="str">
            <v>SP-Other</v>
          </cell>
          <cell r="H8038" t="str">
            <v>SPREADS</v>
          </cell>
          <cell r="I8038" t="str">
            <v>Swap Spread - Libor</v>
          </cell>
        </row>
        <row r="8039">
          <cell r="A8039" t="str">
            <v>MXN_libor_10yr</v>
          </cell>
          <cell r="B8039" t="str">
            <v>MXN MXIBOR 10Y</v>
          </cell>
          <cell r="C8039" t="str">
            <v>BRS_GOLD__5_SPREADS:BRS_GOLD__3_SS:BRS_GOLD__2_SS_OTHER:MXN_LIB:MXN_libor_10yr</v>
          </cell>
          <cell r="D8039" t="str">
            <v>Libor KRD</v>
          </cell>
          <cell r="E8039" t="str">
            <v>Yield</v>
          </cell>
          <cell r="F8039" t="str">
            <v>SP-Other</v>
          </cell>
          <cell r="G8039" t="str">
            <v>SP-Other</v>
          </cell>
          <cell r="H8039" t="str">
            <v>SPREADS</v>
          </cell>
          <cell r="I8039" t="str">
            <v>Swap Spread - Libor</v>
          </cell>
        </row>
        <row r="8040">
          <cell r="A8040" t="str">
            <v>MXN_libor_15yr</v>
          </cell>
          <cell r="B8040" t="str">
            <v>MXN MXIBOR 15Y</v>
          </cell>
          <cell r="C8040" t="str">
            <v>BRS_GOLD__5_SPREADS:BRS_GOLD__3_SS:BRS_GOLD__2_SS_OTHER:MXN_LIB:MXN_libor_15yr</v>
          </cell>
          <cell r="D8040" t="str">
            <v>Libor KRD</v>
          </cell>
          <cell r="E8040" t="str">
            <v>Yield</v>
          </cell>
          <cell r="F8040" t="str">
            <v>SP-Other</v>
          </cell>
          <cell r="G8040" t="str">
            <v>SP-Other</v>
          </cell>
          <cell r="H8040" t="str">
            <v>SPREADS</v>
          </cell>
          <cell r="I8040" t="str">
            <v>Swap Spread - Libor</v>
          </cell>
        </row>
        <row r="8041">
          <cell r="A8041" t="str">
            <v>MXN_libor_20yr</v>
          </cell>
          <cell r="B8041" t="str">
            <v>MXN MXIBOR 20Y</v>
          </cell>
          <cell r="C8041" t="str">
            <v>BRS_GOLD__5_SPREADS:BRS_GOLD__3_SS:BRS_GOLD__2_SS_OTHER:MXN_LIB:MXN_libor_20yr</v>
          </cell>
          <cell r="D8041" t="str">
            <v>Libor KRD</v>
          </cell>
          <cell r="E8041" t="str">
            <v>Yield</v>
          </cell>
          <cell r="F8041" t="str">
            <v>SP-Other</v>
          </cell>
          <cell r="G8041" t="str">
            <v>SP-Other</v>
          </cell>
          <cell r="H8041" t="str">
            <v>SPREADS</v>
          </cell>
          <cell r="I8041" t="str">
            <v>Swap Spread - Libor</v>
          </cell>
        </row>
        <row r="8042">
          <cell r="A8042" t="str">
            <v>MXN_libor_25yr</v>
          </cell>
          <cell r="B8042" t="str">
            <v>MXN MXIBOR 25Y</v>
          </cell>
          <cell r="C8042" t="str">
            <v>BRS_GOLD__5_SPREADS:BRS_GOLD__3_SS:BRS_GOLD__2_SS_OTHER:MXN_LIB:MXN_libor_25yr</v>
          </cell>
          <cell r="D8042" t="str">
            <v>Libor KRD</v>
          </cell>
          <cell r="E8042" t="str">
            <v>Yield</v>
          </cell>
          <cell r="F8042" t="str">
            <v>SP-Other</v>
          </cell>
          <cell r="G8042" t="str">
            <v>SP-Other</v>
          </cell>
          <cell r="H8042" t="str">
            <v>SPREADS</v>
          </cell>
          <cell r="I8042" t="str">
            <v>Swap Spread - Libor</v>
          </cell>
        </row>
        <row r="8043">
          <cell r="A8043" t="str">
            <v>MXN_libor_30yr</v>
          </cell>
          <cell r="B8043" t="str">
            <v>MXN MXIBOR 30Y</v>
          </cell>
          <cell r="C8043" t="str">
            <v>BRS_GOLD__5_SPREADS:BRS_GOLD__3_SS:BRS_GOLD__2_SS_OTHER:MXN_LIB:MXN_libor_30yr</v>
          </cell>
          <cell r="D8043" t="str">
            <v>Libor KRD</v>
          </cell>
          <cell r="E8043" t="str">
            <v>Yield</v>
          </cell>
          <cell r="F8043" t="str">
            <v>SP-Other</v>
          </cell>
          <cell r="G8043" t="str">
            <v>SP-Other</v>
          </cell>
          <cell r="H8043" t="str">
            <v>SPREADS</v>
          </cell>
          <cell r="I8043" t="str">
            <v>Swap Spread - Libor</v>
          </cell>
        </row>
        <row r="8044">
          <cell r="A8044" t="str">
            <v>KRW_libor_3m</v>
          </cell>
          <cell r="B8044" t="str">
            <v>KRW LIBOR 3M</v>
          </cell>
          <cell r="C8044" t="str">
            <v>BRS_GOLD__5_SPREADS:BRS_GOLD__3_SS:BRS_GOLD__2_SS_OTHER:KRW_LIB:KRW_libor_3m</v>
          </cell>
          <cell r="D8044" t="str">
            <v>Libor KRD</v>
          </cell>
          <cell r="E8044" t="str">
            <v>Yield</v>
          </cell>
          <cell r="F8044" t="str">
            <v>SP-Other</v>
          </cell>
          <cell r="G8044" t="str">
            <v>SP-Other</v>
          </cell>
          <cell r="H8044" t="str">
            <v>SPREADS</v>
          </cell>
          <cell r="I8044" t="str">
            <v>Swap Spread - Libor</v>
          </cell>
        </row>
        <row r="8045">
          <cell r="A8045" t="str">
            <v>KRW_libor_1yr</v>
          </cell>
          <cell r="B8045" t="str">
            <v>KRW LIBOR 1Y</v>
          </cell>
          <cell r="C8045" t="str">
            <v>BRS_GOLD__5_SPREADS:BRS_GOLD__3_SS:BRS_GOLD__2_SS_OTHER:KRW_LIB:KRW_libor_1yr</v>
          </cell>
          <cell r="D8045" t="str">
            <v>Libor KRD</v>
          </cell>
          <cell r="E8045" t="str">
            <v>Yield</v>
          </cell>
          <cell r="F8045" t="str">
            <v>SP-Other</v>
          </cell>
          <cell r="G8045" t="str">
            <v>SP-Other</v>
          </cell>
          <cell r="H8045" t="str">
            <v>SPREADS</v>
          </cell>
          <cell r="I8045" t="str">
            <v>Swap Spread - Libor</v>
          </cell>
        </row>
        <row r="8046">
          <cell r="A8046" t="str">
            <v>KRW_libor_2yr</v>
          </cell>
          <cell r="B8046" t="str">
            <v>KRW LIBOR 2Y</v>
          </cell>
          <cell r="C8046" t="str">
            <v>BRS_GOLD__5_SPREADS:BRS_GOLD__3_SS:BRS_GOLD__2_SS_OTHER:KRW_LIB:KRW_libor_2yr</v>
          </cell>
          <cell r="D8046" t="str">
            <v>Libor KRD</v>
          </cell>
          <cell r="E8046" t="str">
            <v>Yield</v>
          </cell>
          <cell r="F8046" t="str">
            <v>SP-Other</v>
          </cell>
          <cell r="G8046" t="str">
            <v>SP-Other</v>
          </cell>
          <cell r="H8046" t="str">
            <v>SPREADS</v>
          </cell>
          <cell r="I8046" t="str">
            <v>Swap Spread - Libor</v>
          </cell>
        </row>
        <row r="8047">
          <cell r="A8047" t="str">
            <v>KRW_libor_3yr</v>
          </cell>
          <cell r="B8047" t="str">
            <v>KRW LIBOR 3Y</v>
          </cell>
          <cell r="C8047" t="str">
            <v>BRS_GOLD__5_SPREADS:BRS_GOLD__3_SS:BRS_GOLD__2_SS_OTHER:KRW_LIB:KRW_libor_3yr</v>
          </cell>
          <cell r="D8047" t="str">
            <v>Libor KRD</v>
          </cell>
          <cell r="E8047" t="str">
            <v>Yield</v>
          </cell>
          <cell r="F8047" t="str">
            <v>SP-Other</v>
          </cell>
          <cell r="G8047" t="str">
            <v>SP-Other</v>
          </cell>
          <cell r="H8047" t="str">
            <v>SPREADS</v>
          </cell>
          <cell r="I8047" t="str">
            <v>Swap Spread - Libor</v>
          </cell>
        </row>
        <row r="8048">
          <cell r="A8048" t="str">
            <v>KRW_libor_5yr</v>
          </cell>
          <cell r="B8048" t="str">
            <v>KRW LIBOR 5Y</v>
          </cell>
          <cell r="C8048" t="str">
            <v>BRS_GOLD__5_SPREADS:BRS_GOLD__3_SS:BRS_GOLD__2_SS_OTHER:KRW_LIB:KRW_libor_5yr</v>
          </cell>
          <cell r="D8048" t="str">
            <v>Libor KRD</v>
          </cell>
          <cell r="E8048" t="str">
            <v>Yield</v>
          </cell>
          <cell r="F8048" t="str">
            <v>SP-Other</v>
          </cell>
          <cell r="G8048" t="str">
            <v>SP-Other</v>
          </cell>
          <cell r="H8048" t="str">
            <v>SPREADS</v>
          </cell>
          <cell r="I8048" t="str">
            <v>Swap Spread - Libor</v>
          </cell>
        </row>
        <row r="8049">
          <cell r="A8049" t="str">
            <v>KRW_libor_7yr</v>
          </cell>
          <cell r="B8049" t="str">
            <v>KRW LIBOR 7Y</v>
          </cell>
          <cell r="C8049" t="str">
            <v>BRS_GOLD__5_SPREADS:BRS_GOLD__3_SS:BRS_GOLD__2_SS_OTHER:KRW_LIB:KRW_libor_7yr</v>
          </cell>
          <cell r="D8049" t="str">
            <v>Libor KRD</v>
          </cell>
          <cell r="E8049" t="str">
            <v>Yield</v>
          </cell>
          <cell r="F8049" t="str">
            <v>SP-Other</v>
          </cell>
          <cell r="G8049" t="str">
            <v>SP-Other</v>
          </cell>
          <cell r="H8049" t="str">
            <v>SPREADS</v>
          </cell>
          <cell r="I8049" t="str">
            <v>Swap Spread - Libor</v>
          </cell>
        </row>
        <row r="8050">
          <cell r="A8050" t="str">
            <v>KRW_libor_10yr</v>
          </cell>
          <cell r="B8050" t="str">
            <v>KRW LIBOR 10Y</v>
          </cell>
          <cell r="C8050" t="str">
            <v>BRS_GOLD__5_SPREADS:BRS_GOLD__3_SS:BRS_GOLD__2_SS_OTHER:KRW_LIB:KRW_libor_10yr</v>
          </cell>
          <cell r="D8050" t="str">
            <v>Libor KRD</v>
          </cell>
          <cell r="E8050" t="str">
            <v>Yield</v>
          </cell>
          <cell r="F8050" t="str">
            <v>SP-Other</v>
          </cell>
          <cell r="G8050" t="str">
            <v>SP-Other</v>
          </cell>
          <cell r="H8050" t="str">
            <v>SPREADS</v>
          </cell>
          <cell r="I8050" t="str">
            <v>Swap Spread - Libor</v>
          </cell>
        </row>
        <row r="8051">
          <cell r="A8051" t="str">
            <v>KRW_libor_15yr</v>
          </cell>
          <cell r="B8051" t="str">
            <v>KRW LIBOR 15Y</v>
          </cell>
          <cell r="C8051" t="str">
            <v>BRS_GOLD__5_SPREADS:BRS_GOLD__3_SS:BRS_GOLD__2_SS_OTHER:KRW_LIB:KRW_libor_15yr</v>
          </cell>
          <cell r="D8051" t="str">
            <v>Libor KRD</v>
          </cell>
          <cell r="E8051" t="str">
            <v>Yield</v>
          </cell>
          <cell r="F8051" t="str">
            <v>SP-Other</v>
          </cell>
          <cell r="G8051" t="str">
            <v>SP-Other</v>
          </cell>
          <cell r="H8051" t="str">
            <v>SPREADS</v>
          </cell>
          <cell r="I8051" t="str">
            <v>Swap Spread - Libor</v>
          </cell>
        </row>
        <row r="8052">
          <cell r="A8052" t="str">
            <v>KRW_libor_20yr</v>
          </cell>
          <cell r="B8052" t="str">
            <v>KRW LIBOR 20Y</v>
          </cell>
          <cell r="C8052" t="str">
            <v>BRS_GOLD__5_SPREADS:BRS_GOLD__3_SS:BRS_GOLD__2_SS_OTHER:KRW_LIB:KRW_libor_20yr</v>
          </cell>
          <cell r="D8052" t="str">
            <v>Libor KRD</v>
          </cell>
          <cell r="E8052" t="str">
            <v>Yield</v>
          </cell>
          <cell r="F8052" t="str">
            <v>SP-Other</v>
          </cell>
          <cell r="G8052" t="str">
            <v>SP-Other</v>
          </cell>
          <cell r="H8052" t="str">
            <v>SPREADS</v>
          </cell>
          <cell r="I8052" t="str">
            <v>Swap Spread - Libor</v>
          </cell>
        </row>
        <row r="8053">
          <cell r="A8053" t="str">
            <v>KRW_libor_25yr</v>
          </cell>
          <cell r="B8053" t="str">
            <v>KRW LIBOR 25Y</v>
          </cell>
          <cell r="C8053" t="str">
            <v>BRS_GOLD__5_SPREADS:BRS_GOLD__3_SS:BRS_GOLD__2_SS_OTHER:KRW_LIB:KRW_libor_25yr</v>
          </cell>
          <cell r="D8053" t="str">
            <v>Libor KRD</v>
          </cell>
          <cell r="E8053" t="str">
            <v>Yield</v>
          </cell>
          <cell r="F8053" t="str">
            <v>SP-Other</v>
          </cell>
          <cell r="G8053" t="str">
            <v>SP-Other</v>
          </cell>
          <cell r="H8053" t="str">
            <v>SPREADS</v>
          </cell>
          <cell r="I8053" t="str">
            <v>Swap Spread - Libor</v>
          </cell>
        </row>
        <row r="8054">
          <cell r="A8054" t="str">
            <v>KRW_libor_30yr</v>
          </cell>
          <cell r="B8054" t="str">
            <v>KRW LIBOR 30Y</v>
          </cell>
          <cell r="C8054" t="str">
            <v>BRS_GOLD__5_SPREADS:BRS_GOLD__3_SS:BRS_GOLD__2_SS_OTHER:KRW_LIB:KRW_libor_30yr</v>
          </cell>
          <cell r="D8054" t="str">
            <v>Libor KRD</v>
          </cell>
          <cell r="E8054" t="str">
            <v>Yield</v>
          </cell>
          <cell r="F8054" t="str">
            <v>SP-Other</v>
          </cell>
          <cell r="G8054" t="str">
            <v>SP-Other</v>
          </cell>
          <cell r="H8054" t="str">
            <v>SPREADS</v>
          </cell>
          <cell r="I8054" t="str">
            <v>Swap Spread - Libor</v>
          </cell>
        </row>
        <row r="8055">
          <cell r="A8055" t="str">
            <v>SGD_libor_3m</v>
          </cell>
          <cell r="B8055" t="str">
            <v>SGD SIBOR 3M</v>
          </cell>
          <cell r="C8055" t="str">
            <v>BRS_GOLD__5_SPREADS:BRS_GOLD__3_SS:BRS_GOLD__2_SS_OTHER:SGD_LIB:SGD_libor_3m</v>
          </cell>
          <cell r="D8055" t="str">
            <v>Libor KRD</v>
          </cell>
          <cell r="E8055" t="str">
            <v>Yield</v>
          </cell>
          <cell r="F8055" t="str">
            <v>SP-Other</v>
          </cell>
          <cell r="G8055" t="str">
            <v>SP-Other</v>
          </cell>
          <cell r="H8055" t="str">
            <v>SPREADS</v>
          </cell>
          <cell r="I8055" t="str">
            <v>Swap Spread - Libor</v>
          </cell>
        </row>
        <row r="8056">
          <cell r="A8056" t="str">
            <v>SGD_libor_1yr</v>
          </cell>
          <cell r="B8056" t="str">
            <v>SGD SIBOR 1Y</v>
          </cell>
          <cell r="C8056" t="str">
            <v>BRS_GOLD__5_SPREADS:BRS_GOLD__3_SS:BRS_GOLD__2_SS_OTHER:SGD_LIB:SGD_libor_1yr</v>
          </cell>
          <cell r="D8056" t="str">
            <v>Libor KRD</v>
          </cell>
          <cell r="E8056" t="str">
            <v>Yield</v>
          </cell>
          <cell r="F8056" t="str">
            <v>SP-Other</v>
          </cell>
          <cell r="G8056" t="str">
            <v>SP-Other</v>
          </cell>
          <cell r="H8056" t="str">
            <v>SPREADS</v>
          </cell>
          <cell r="I8056" t="str">
            <v>Swap Spread - Libor</v>
          </cell>
        </row>
        <row r="8057">
          <cell r="A8057" t="str">
            <v>SGD_libor_2yr</v>
          </cell>
          <cell r="B8057" t="str">
            <v>SGD SIBOR 2Y</v>
          </cell>
          <cell r="C8057" t="str">
            <v>BRS_GOLD__5_SPREADS:BRS_GOLD__3_SS:BRS_GOLD__2_SS_OTHER:SGD_LIB:SGD_libor_2yr</v>
          </cell>
          <cell r="D8057" t="str">
            <v>Libor KRD</v>
          </cell>
          <cell r="E8057" t="str">
            <v>Yield</v>
          </cell>
          <cell r="F8057" t="str">
            <v>SP-Other</v>
          </cell>
          <cell r="G8057" t="str">
            <v>SP-Other</v>
          </cell>
          <cell r="H8057" t="str">
            <v>SPREADS</v>
          </cell>
          <cell r="I8057" t="str">
            <v>Swap Spread - Libor</v>
          </cell>
        </row>
        <row r="8058">
          <cell r="A8058" t="str">
            <v>SGD_libor_3yr</v>
          </cell>
          <cell r="B8058" t="str">
            <v>SGD SIBOR 3Y</v>
          </cell>
          <cell r="C8058" t="str">
            <v>BRS_GOLD__5_SPREADS:BRS_GOLD__3_SS:BRS_GOLD__2_SS_OTHER:SGD_LIB:SGD_libor_3yr</v>
          </cell>
          <cell r="D8058" t="str">
            <v>Libor KRD</v>
          </cell>
          <cell r="E8058" t="str">
            <v>Yield</v>
          </cell>
          <cell r="F8058" t="str">
            <v>SP-Other</v>
          </cell>
          <cell r="G8058" t="str">
            <v>SP-Other</v>
          </cell>
          <cell r="H8058" t="str">
            <v>SPREADS</v>
          </cell>
          <cell r="I8058" t="str">
            <v>Swap Spread - Libor</v>
          </cell>
        </row>
        <row r="8059">
          <cell r="A8059" t="str">
            <v>SGD_libor_5yr</v>
          </cell>
          <cell r="B8059" t="str">
            <v>SGD SIBOR 5Y</v>
          </cell>
          <cell r="C8059" t="str">
            <v>BRS_GOLD__5_SPREADS:BRS_GOLD__3_SS:BRS_GOLD__2_SS_OTHER:SGD_LIB:SGD_libor_5yr</v>
          </cell>
          <cell r="D8059" t="str">
            <v>Libor KRD</v>
          </cell>
          <cell r="E8059" t="str">
            <v>Yield</v>
          </cell>
          <cell r="F8059" t="str">
            <v>SP-Other</v>
          </cell>
          <cell r="G8059" t="str">
            <v>SP-Other</v>
          </cell>
          <cell r="H8059" t="str">
            <v>SPREADS</v>
          </cell>
          <cell r="I8059" t="str">
            <v>Swap Spread - Libor</v>
          </cell>
        </row>
        <row r="8060">
          <cell r="A8060" t="str">
            <v>SGD_libor_7yr</v>
          </cell>
          <cell r="B8060" t="str">
            <v>SGD SIBOR 7Y</v>
          </cell>
          <cell r="C8060" t="str">
            <v>BRS_GOLD__5_SPREADS:BRS_GOLD__3_SS:BRS_GOLD__2_SS_OTHER:SGD_LIB:SGD_libor_7yr</v>
          </cell>
          <cell r="D8060" t="str">
            <v>Libor KRD</v>
          </cell>
          <cell r="E8060" t="str">
            <v>Yield</v>
          </cell>
          <cell r="F8060" t="str">
            <v>SP-Other</v>
          </cell>
          <cell r="G8060" t="str">
            <v>SP-Other</v>
          </cell>
          <cell r="H8060" t="str">
            <v>SPREADS</v>
          </cell>
          <cell r="I8060" t="str">
            <v>Swap Spread - Libor</v>
          </cell>
        </row>
        <row r="8061">
          <cell r="A8061" t="str">
            <v>SGD_libor_10yr</v>
          </cell>
          <cell r="B8061" t="str">
            <v>SGD SIBOR 10Y</v>
          </cell>
          <cell r="C8061" t="str">
            <v>BRS_GOLD__5_SPREADS:BRS_GOLD__3_SS:BRS_GOLD__2_SS_OTHER:SGD_LIB:SGD_libor_10yr</v>
          </cell>
          <cell r="D8061" t="str">
            <v>Libor KRD</v>
          </cell>
          <cell r="E8061" t="str">
            <v>Yield</v>
          </cell>
          <cell r="F8061" t="str">
            <v>SP-Other</v>
          </cell>
          <cell r="G8061" t="str">
            <v>SP-Other</v>
          </cell>
          <cell r="H8061" t="str">
            <v>SPREADS</v>
          </cell>
          <cell r="I8061" t="str">
            <v>Swap Spread - Libor</v>
          </cell>
        </row>
        <row r="8062">
          <cell r="A8062" t="str">
            <v>SGD_libor_15yr</v>
          </cell>
          <cell r="B8062" t="str">
            <v>SGD SIBOR 15Y</v>
          </cell>
          <cell r="C8062" t="str">
            <v>BRS_GOLD__5_SPREADS:BRS_GOLD__3_SS:BRS_GOLD__2_SS_OTHER:SGD_LIB:SGD_libor_15yr</v>
          </cell>
          <cell r="D8062" t="str">
            <v>Libor KRD</v>
          </cell>
          <cell r="E8062" t="str">
            <v>Yield</v>
          </cell>
          <cell r="F8062" t="str">
            <v>SP-Other</v>
          </cell>
          <cell r="G8062" t="str">
            <v>SP-Other</v>
          </cell>
          <cell r="H8062" t="str">
            <v>SPREADS</v>
          </cell>
          <cell r="I8062" t="str">
            <v>Swap Spread - Libor</v>
          </cell>
        </row>
        <row r="8063">
          <cell r="A8063" t="str">
            <v>SGD_libor_20yr</v>
          </cell>
          <cell r="B8063" t="str">
            <v>SGD SIBOR 20Y</v>
          </cell>
          <cell r="C8063" t="str">
            <v>BRS_GOLD__5_SPREADS:BRS_GOLD__3_SS:BRS_GOLD__2_SS_OTHER:SGD_LIB:SGD_libor_20yr</v>
          </cell>
          <cell r="D8063" t="str">
            <v>Libor KRD</v>
          </cell>
          <cell r="E8063" t="str">
            <v>Yield</v>
          </cell>
          <cell r="F8063" t="str">
            <v>SP-Other</v>
          </cell>
          <cell r="G8063" t="str">
            <v>SP-Other</v>
          </cell>
          <cell r="H8063" t="str">
            <v>SPREADS</v>
          </cell>
          <cell r="I8063" t="str">
            <v>Swap Spread - Libor</v>
          </cell>
        </row>
        <row r="8064">
          <cell r="A8064" t="str">
            <v>SGD_libor_25yr</v>
          </cell>
          <cell r="B8064" t="str">
            <v>SGD SIBOR 25Y</v>
          </cell>
          <cell r="C8064" t="str">
            <v>BRS_GOLD__5_SPREADS:BRS_GOLD__3_SS:BRS_GOLD__2_SS_OTHER:SGD_LIB:SGD_libor_25yr</v>
          </cell>
          <cell r="D8064" t="str">
            <v>Libor KRD</v>
          </cell>
          <cell r="E8064" t="str">
            <v>Yield</v>
          </cell>
          <cell r="F8064" t="str">
            <v>SP-Other</v>
          </cell>
          <cell r="G8064" t="str">
            <v>SP-Other</v>
          </cell>
          <cell r="H8064" t="str">
            <v>SPREADS</v>
          </cell>
          <cell r="I8064" t="str">
            <v>Swap Spread - Libor</v>
          </cell>
        </row>
        <row r="8065">
          <cell r="A8065" t="str">
            <v>SGD_libor_30yr</v>
          </cell>
          <cell r="B8065" t="str">
            <v>SGD SIBOR 30Y</v>
          </cell>
          <cell r="C8065" t="str">
            <v>BRS_GOLD__5_SPREADS:BRS_GOLD__3_SS:BRS_GOLD__2_SS_OTHER:SGD_LIB:SGD_libor_30yr</v>
          </cell>
          <cell r="D8065" t="str">
            <v>Libor KRD</v>
          </cell>
          <cell r="E8065" t="str">
            <v>Yield</v>
          </cell>
          <cell r="F8065" t="str">
            <v>SP-Other</v>
          </cell>
          <cell r="G8065" t="str">
            <v>SP-Other</v>
          </cell>
          <cell r="H8065" t="str">
            <v>SPREADS</v>
          </cell>
          <cell r="I8065" t="str">
            <v>Swap Spread - Libor</v>
          </cell>
        </row>
        <row r="8066">
          <cell r="A8066" t="str">
            <v>PLN_libor_3m</v>
          </cell>
          <cell r="B8066" t="str">
            <v>PLN WIBOR 3M</v>
          </cell>
          <cell r="C8066" t="str">
            <v>BRS_GOLD__5_SPREADS:BRS_GOLD__3_SS:BRS_GOLD__2_SS_OTHER:PLN_LIB:PLN_libor_3m</v>
          </cell>
          <cell r="D8066" t="str">
            <v>Libor KRD</v>
          </cell>
          <cell r="E8066" t="str">
            <v>Yield</v>
          </cell>
          <cell r="F8066" t="str">
            <v>SP-Other</v>
          </cell>
          <cell r="G8066" t="str">
            <v>SP-Other</v>
          </cell>
          <cell r="H8066" t="str">
            <v>SPREADS</v>
          </cell>
          <cell r="I8066" t="str">
            <v>Swap Spread - Libor</v>
          </cell>
        </row>
        <row r="8067">
          <cell r="A8067" t="str">
            <v>PLN_libor_1yr</v>
          </cell>
          <cell r="B8067" t="str">
            <v>PLN WIBOR 1Y</v>
          </cell>
          <cell r="C8067" t="str">
            <v>BRS_GOLD__5_SPREADS:BRS_GOLD__3_SS:BRS_GOLD__2_SS_OTHER:PLN_LIB:PLN_libor_1yr</v>
          </cell>
          <cell r="D8067" t="str">
            <v>Libor KRD</v>
          </cell>
          <cell r="E8067" t="str">
            <v>Yield</v>
          </cell>
          <cell r="F8067" t="str">
            <v>SP-Other</v>
          </cell>
          <cell r="G8067" t="str">
            <v>SP-Other</v>
          </cell>
          <cell r="H8067" t="str">
            <v>SPREADS</v>
          </cell>
          <cell r="I8067" t="str">
            <v>Swap Spread - Libor</v>
          </cell>
        </row>
        <row r="8068">
          <cell r="A8068" t="str">
            <v>PLN_libor_2yr</v>
          </cell>
          <cell r="B8068" t="str">
            <v>PLN WIBOR 2Y</v>
          </cell>
          <cell r="C8068" t="str">
            <v>BRS_GOLD__5_SPREADS:BRS_GOLD__3_SS:BRS_GOLD__2_SS_OTHER:PLN_LIB:PLN_libor_2yr</v>
          </cell>
          <cell r="D8068" t="str">
            <v>Libor KRD</v>
          </cell>
          <cell r="E8068" t="str">
            <v>Yield</v>
          </cell>
          <cell r="F8068" t="str">
            <v>SP-Other</v>
          </cell>
          <cell r="G8068" t="str">
            <v>SP-Other</v>
          </cell>
          <cell r="H8068" t="str">
            <v>SPREADS</v>
          </cell>
          <cell r="I8068" t="str">
            <v>Swap Spread - Libor</v>
          </cell>
        </row>
        <row r="8069">
          <cell r="A8069" t="str">
            <v>PLN_libor_3yr</v>
          </cell>
          <cell r="B8069" t="str">
            <v>PLN WIBOR 3Y</v>
          </cell>
          <cell r="C8069" t="str">
            <v>BRS_GOLD__5_SPREADS:BRS_GOLD__3_SS:BRS_GOLD__2_SS_OTHER:PLN_LIB:PLN_libor_3yr</v>
          </cell>
          <cell r="D8069" t="str">
            <v>Libor KRD</v>
          </cell>
          <cell r="E8069" t="str">
            <v>Yield</v>
          </cell>
          <cell r="F8069" t="str">
            <v>SP-Other</v>
          </cell>
          <cell r="G8069" t="str">
            <v>SP-Other</v>
          </cell>
          <cell r="H8069" t="str">
            <v>SPREADS</v>
          </cell>
          <cell r="I8069" t="str">
            <v>Swap Spread - Libor</v>
          </cell>
        </row>
        <row r="8070">
          <cell r="A8070" t="str">
            <v>PLN_libor_5yr</v>
          </cell>
          <cell r="B8070" t="str">
            <v>PLN WIBOR 5Y</v>
          </cell>
          <cell r="C8070" t="str">
            <v>BRS_GOLD__5_SPREADS:BRS_GOLD__3_SS:BRS_GOLD__2_SS_OTHER:PLN_LIB:PLN_libor_5yr</v>
          </cell>
          <cell r="D8070" t="str">
            <v>Libor KRD</v>
          </cell>
          <cell r="E8070" t="str">
            <v>Yield</v>
          </cell>
          <cell r="F8070" t="str">
            <v>SP-Other</v>
          </cell>
          <cell r="G8070" t="str">
            <v>SP-Other</v>
          </cell>
          <cell r="H8070" t="str">
            <v>SPREADS</v>
          </cell>
          <cell r="I8070" t="str">
            <v>Swap Spread - Libor</v>
          </cell>
        </row>
        <row r="8071">
          <cell r="A8071" t="str">
            <v>PLN_libor_7yr</v>
          </cell>
          <cell r="B8071" t="str">
            <v>PLN WIBOR 7Y</v>
          </cell>
          <cell r="C8071" t="str">
            <v>BRS_GOLD__5_SPREADS:BRS_GOLD__3_SS:BRS_GOLD__2_SS_OTHER:PLN_LIB:PLN_libor_7yr</v>
          </cell>
          <cell r="D8071" t="str">
            <v>Libor KRD</v>
          </cell>
          <cell r="E8071" t="str">
            <v>Yield</v>
          </cell>
          <cell r="F8071" t="str">
            <v>SP-Other</v>
          </cell>
          <cell r="G8071" t="str">
            <v>SP-Other</v>
          </cell>
          <cell r="H8071" t="str">
            <v>SPREADS</v>
          </cell>
          <cell r="I8071" t="str">
            <v>Swap Spread - Libor</v>
          </cell>
        </row>
        <row r="8072">
          <cell r="A8072" t="str">
            <v>PLN_libor_10yr</v>
          </cell>
          <cell r="B8072" t="str">
            <v>PLN WIBOR 10Y</v>
          </cell>
          <cell r="C8072" t="str">
            <v>BRS_GOLD__5_SPREADS:BRS_GOLD__3_SS:BRS_GOLD__2_SS_OTHER:PLN_LIB:PLN_libor_10yr</v>
          </cell>
          <cell r="D8072" t="str">
            <v>Libor KRD</v>
          </cell>
          <cell r="E8072" t="str">
            <v>Yield</v>
          </cell>
          <cell r="F8072" t="str">
            <v>SP-Other</v>
          </cell>
          <cell r="G8072" t="str">
            <v>SP-Other</v>
          </cell>
          <cell r="H8072" t="str">
            <v>SPREADS</v>
          </cell>
          <cell r="I8072" t="str">
            <v>Swap Spread - Libor</v>
          </cell>
        </row>
        <row r="8073">
          <cell r="A8073" t="str">
            <v>PLN_libor_15yr</v>
          </cell>
          <cell r="B8073" t="str">
            <v>PLN WIBOR 15Y</v>
          </cell>
          <cell r="C8073" t="str">
            <v>BRS_GOLD__5_SPREADS:BRS_GOLD__3_SS:BRS_GOLD__2_SS_OTHER:PLN_LIB:PLN_libor_15yr</v>
          </cell>
          <cell r="D8073" t="str">
            <v>Libor KRD</v>
          </cell>
          <cell r="E8073" t="str">
            <v>Yield</v>
          </cell>
          <cell r="F8073" t="str">
            <v>SP-Other</v>
          </cell>
          <cell r="G8073" t="str">
            <v>SP-Other</v>
          </cell>
          <cell r="H8073" t="str">
            <v>SPREADS</v>
          </cell>
          <cell r="I8073" t="str">
            <v>Swap Spread - Libor</v>
          </cell>
        </row>
        <row r="8074">
          <cell r="A8074" t="str">
            <v>PLN_libor_20yr</v>
          </cell>
          <cell r="B8074" t="str">
            <v>PLN WIBOR 20Y</v>
          </cell>
          <cell r="C8074" t="str">
            <v>BRS_GOLD__5_SPREADS:BRS_GOLD__3_SS:BRS_GOLD__2_SS_OTHER:PLN_LIB:PLN_libor_20yr</v>
          </cell>
          <cell r="D8074" t="str">
            <v>Libor KRD</v>
          </cell>
          <cell r="E8074" t="str">
            <v>Yield</v>
          </cell>
          <cell r="F8074" t="str">
            <v>SP-Other</v>
          </cell>
          <cell r="G8074" t="str">
            <v>SP-Other</v>
          </cell>
          <cell r="H8074" t="str">
            <v>SPREADS</v>
          </cell>
          <cell r="I8074" t="str">
            <v>Swap Spread - Libor</v>
          </cell>
        </row>
        <row r="8075">
          <cell r="A8075" t="str">
            <v>PLN_libor_25yr</v>
          </cell>
          <cell r="B8075" t="str">
            <v>PLN WIBOR 25Y</v>
          </cell>
          <cell r="C8075" t="str">
            <v>BRS_GOLD__5_SPREADS:BRS_GOLD__3_SS:BRS_GOLD__2_SS_OTHER:PLN_LIB:PLN_libor_25yr</v>
          </cell>
          <cell r="D8075" t="str">
            <v>Libor KRD</v>
          </cell>
          <cell r="E8075" t="str">
            <v>Yield</v>
          </cell>
          <cell r="F8075" t="str">
            <v>SP-Other</v>
          </cell>
          <cell r="G8075" t="str">
            <v>SP-Other</v>
          </cell>
          <cell r="H8075" t="str">
            <v>SPREADS</v>
          </cell>
          <cell r="I8075" t="str">
            <v>Swap Spread - Libor</v>
          </cell>
        </row>
        <row r="8076">
          <cell r="A8076" t="str">
            <v>PLN_libor_30yr</v>
          </cell>
          <cell r="B8076" t="str">
            <v>PLN WIBOR 30Y</v>
          </cell>
          <cell r="C8076" t="str">
            <v>BRS_GOLD__5_SPREADS:BRS_GOLD__3_SS:BRS_GOLD__2_SS_OTHER:PLN_LIB:PLN_libor_30yr</v>
          </cell>
          <cell r="D8076" t="str">
            <v>Libor KRD</v>
          </cell>
          <cell r="E8076" t="str">
            <v>Yield</v>
          </cell>
          <cell r="F8076" t="str">
            <v>SP-Other</v>
          </cell>
          <cell r="G8076" t="str">
            <v>SP-Other</v>
          </cell>
          <cell r="H8076" t="str">
            <v>SPREADS</v>
          </cell>
          <cell r="I8076" t="str">
            <v>Swap Spread - Libor</v>
          </cell>
        </row>
        <row r="8077">
          <cell r="A8077" t="str">
            <v>IDR_libor_3m</v>
          </cell>
          <cell r="B8077" t="str">
            <v>IDR JIBOR 3M</v>
          </cell>
          <cell r="C8077" t="str">
            <v>BRS_GOLD__5_SPREADS:BRS_GOLD__3_SS:BRS_GOLD__2_SS_OTHER:IDR_LIB:IDR_libor_3m</v>
          </cell>
          <cell r="D8077" t="str">
            <v>Libor KRD</v>
          </cell>
          <cell r="E8077" t="str">
            <v>Yield</v>
          </cell>
          <cell r="F8077" t="str">
            <v>SP-Other</v>
          </cell>
          <cell r="G8077" t="str">
            <v>SP-Other</v>
          </cell>
          <cell r="H8077" t="str">
            <v>SPREADS</v>
          </cell>
          <cell r="I8077" t="str">
            <v>Swap Spread - Libor</v>
          </cell>
        </row>
        <row r="8078">
          <cell r="A8078" t="str">
            <v>IDR_libor_1yr</v>
          </cell>
          <cell r="B8078" t="str">
            <v>IDR JIBOR 1Y</v>
          </cell>
          <cell r="C8078" t="str">
            <v>BRS_GOLD__5_SPREADS:BRS_GOLD__3_SS:BRS_GOLD__2_SS_OTHER:IDR_LIB:IDR_libor_1yr</v>
          </cell>
          <cell r="D8078" t="str">
            <v>Libor KRD</v>
          </cell>
          <cell r="E8078" t="str">
            <v>Yield</v>
          </cell>
          <cell r="F8078" t="str">
            <v>SP-Other</v>
          </cell>
          <cell r="G8078" t="str">
            <v>SP-Other</v>
          </cell>
          <cell r="H8078" t="str">
            <v>SPREADS</v>
          </cell>
          <cell r="I8078" t="str">
            <v>Swap Spread - Libor</v>
          </cell>
        </row>
        <row r="8079">
          <cell r="A8079" t="str">
            <v>IDR_libor_2yr</v>
          </cell>
          <cell r="B8079" t="str">
            <v>IDR JIBOR 2Y</v>
          </cell>
          <cell r="C8079" t="str">
            <v>BRS_GOLD__5_SPREADS:BRS_GOLD__3_SS:BRS_GOLD__2_SS_OTHER:IDR_LIB:IDR_libor_2yr</v>
          </cell>
          <cell r="D8079" t="str">
            <v>Libor KRD</v>
          </cell>
          <cell r="E8079" t="str">
            <v>Yield</v>
          </cell>
          <cell r="F8079" t="str">
            <v>SP-Other</v>
          </cell>
          <cell r="G8079" t="str">
            <v>SP-Other</v>
          </cell>
          <cell r="H8079" t="str">
            <v>SPREADS</v>
          </cell>
          <cell r="I8079" t="str">
            <v>Swap Spread - Libor</v>
          </cell>
        </row>
        <row r="8080">
          <cell r="A8080" t="str">
            <v>IDR_libor_3yr</v>
          </cell>
          <cell r="B8080" t="str">
            <v>IDR JIBOR 3Y</v>
          </cell>
          <cell r="C8080" t="str">
            <v>BRS_GOLD__5_SPREADS:BRS_GOLD__3_SS:BRS_GOLD__2_SS_OTHER:IDR_LIB:IDR_libor_3yr</v>
          </cell>
          <cell r="D8080" t="str">
            <v>Libor KRD</v>
          </cell>
          <cell r="E8080" t="str">
            <v>Yield</v>
          </cell>
          <cell r="F8080" t="str">
            <v>SP-Other</v>
          </cell>
          <cell r="G8080" t="str">
            <v>SP-Other</v>
          </cell>
          <cell r="H8080" t="str">
            <v>SPREADS</v>
          </cell>
          <cell r="I8080" t="str">
            <v>Swap Spread - Libor</v>
          </cell>
        </row>
        <row r="8081">
          <cell r="A8081" t="str">
            <v>IDR_libor_5yr</v>
          </cell>
          <cell r="B8081" t="str">
            <v>IDR JIBOR 5Y</v>
          </cell>
          <cell r="C8081" t="str">
            <v>BRS_GOLD__5_SPREADS:BRS_GOLD__3_SS:BRS_GOLD__2_SS_OTHER:IDR_LIB:IDR_libor_5yr</v>
          </cell>
          <cell r="D8081" t="str">
            <v>Libor KRD</v>
          </cell>
          <cell r="E8081" t="str">
            <v>Yield</v>
          </cell>
          <cell r="F8081" t="str">
            <v>SP-Other</v>
          </cell>
          <cell r="G8081" t="str">
            <v>SP-Other</v>
          </cell>
          <cell r="H8081" t="str">
            <v>SPREADS</v>
          </cell>
          <cell r="I8081" t="str">
            <v>Swap Spread - Libor</v>
          </cell>
        </row>
        <row r="8082">
          <cell r="A8082" t="str">
            <v>IDR_libor_7yr</v>
          </cell>
          <cell r="B8082" t="str">
            <v>IDR JIBOR 7Y</v>
          </cell>
          <cell r="C8082" t="str">
            <v>BRS_GOLD__5_SPREADS:BRS_GOLD__3_SS:BRS_GOLD__2_SS_OTHER:IDR_LIB:IDR_libor_7yr</v>
          </cell>
          <cell r="D8082" t="str">
            <v>Libor KRD</v>
          </cell>
          <cell r="E8082" t="str">
            <v>Yield</v>
          </cell>
          <cell r="F8082" t="str">
            <v>SP-Other</v>
          </cell>
          <cell r="G8082" t="str">
            <v>SP-Other</v>
          </cell>
          <cell r="H8082" t="str">
            <v>SPREADS</v>
          </cell>
          <cell r="I8082" t="str">
            <v>Swap Spread - Libor</v>
          </cell>
        </row>
        <row r="8083">
          <cell r="A8083" t="str">
            <v>IDR_libor_10yr</v>
          </cell>
          <cell r="B8083" t="str">
            <v>IDR JIBOR 10Y</v>
          </cell>
          <cell r="C8083" t="str">
            <v>BRS_GOLD__5_SPREADS:BRS_GOLD__3_SS:BRS_GOLD__2_SS_OTHER:IDR_LIB:IDR_libor_10yr</v>
          </cell>
          <cell r="D8083" t="str">
            <v>Libor KRD</v>
          </cell>
          <cell r="E8083" t="str">
            <v>Yield</v>
          </cell>
          <cell r="F8083" t="str">
            <v>SP-Other</v>
          </cell>
          <cell r="G8083" t="str">
            <v>SP-Other</v>
          </cell>
          <cell r="H8083" t="str">
            <v>SPREADS</v>
          </cell>
          <cell r="I8083" t="str">
            <v>Swap Spread - Libor</v>
          </cell>
        </row>
        <row r="8084">
          <cell r="A8084" t="str">
            <v>IDR_libor_15yr</v>
          </cell>
          <cell r="B8084" t="str">
            <v>IDR JIBOR 15Y</v>
          </cell>
          <cell r="C8084" t="str">
            <v>BRS_GOLD__5_SPREADS:BRS_GOLD__3_SS:BRS_GOLD__2_SS_OTHER:IDR_LIB:IDR_libor_15yr</v>
          </cell>
          <cell r="D8084" t="str">
            <v>Libor KRD</v>
          </cell>
          <cell r="E8084" t="str">
            <v>Yield</v>
          </cell>
          <cell r="F8084" t="str">
            <v>SP-Other</v>
          </cell>
          <cell r="G8084" t="str">
            <v>SP-Other</v>
          </cell>
          <cell r="H8084" t="str">
            <v>SPREADS</v>
          </cell>
          <cell r="I8084" t="str">
            <v>Swap Spread - Libor</v>
          </cell>
        </row>
        <row r="8085">
          <cell r="A8085" t="str">
            <v>IDR_libor_20yr</v>
          </cell>
          <cell r="B8085" t="str">
            <v>IDR JIBOR 20Y</v>
          </cell>
          <cell r="C8085" t="str">
            <v>BRS_GOLD__5_SPREADS:BRS_GOLD__3_SS:BRS_GOLD__2_SS_OTHER:IDR_LIB:IDR_libor_20yr</v>
          </cell>
          <cell r="D8085" t="str">
            <v>Libor KRD</v>
          </cell>
          <cell r="E8085" t="str">
            <v>Yield</v>
          </cell>
          <cell r="F8085" t="str">
            <v>SP-Other</v>
          </cell>
          <cell r="G8085" t="str">
            <v>SP-Other</v>
          </cell>
          <cell r="H8085" t="str">
            <v>SPREADS</v>
          </cell>
          <cell r="I8085" t="str">
            <v>Swap Spread - Libor</v>
          </cell>
        </row>
        <row r="8086">
          <cell r="A8086" t="str">
            <v>IDR_libor_25yr</v>
          </cell>
          <cell r="B8086" t="str">
            <v>IDR JIBOR 25Y</v>
          </cell>
          <cell r="C8086" t="str">
            <v>BRS_GOLD__5_SPREADS:BRS_GOLD__3_SS:BRS_GOLD__2_SS_OTHER:IDR_LIB:IDR_libor_25yr</v>
          </cell>
          <cell r="D8086" t="str">
            <v>Libor KRD</v>
          </cell>
          <cell r="E8086" t="str">
            <v>Yield</v>
          </cell>
          <cell r="F8086" t="str">
            <v>SP-Other</v>
          </cell>
          <cell r="G8086" t="str">
            <v>SP-Other</v>
          </cell>
          <cell r="H8086" t="str">
            <v>SPREADS</v>
          </cell>
          <cell r="I8086" t="str">
            <v>Swap Spread - Libor</v>
          </cell>
        </row>
        <row r="8087">
          <cell r="A8087" t="str">
            <v>IDR_libor_30yr</v>
          </cell>
          <cell r="B8087" t="str">
            <v>IDR JIBOR 30Y</v>
          </cell>
          <cell r="C8087" t="str">
            <v>BRS_GOLD__5_SPREADS:BRS_GOLD__3_SS:BRS_GOLD__2_SS_OTHER:IDR_LIB:IDR_libor_30yr</v>
          </cell>
          <cell r="D8087" t="str">
            <v>Libor KRD</v>
          </cell>
          <cell r="E8087" t="str">
            <v>Yield</v>
          </cell>
          <cell r="F8087" t="str">
            <v>SP-Other</v>
          </cell>
          <cell r="G8087" t="str">
            <v>SP-Other</v>
          </cell>
          <cell r="H8087" t="str">
            <v>SPREADS</v>
          </cell>
          <cell r="I8087" t="str">
            <v>Swap Spread - Libor</v>
          </cell>
        </row>
        <row r="8088">
          <cell r="A8088" t="str">
            <v>MYR_libor_3m</v>
          </cell>
          <cell r="B8088" t="str">
            <v>MYR KLIBOR 3M</v>
          </cell>
          <cell r="C8088" t="str">
            <v>BRS_GOLD__5_SPREADS:BRS_GOLD__3_SS:BRS_GOLD__2_SS_OTHER:MYR_LIB:MYR_libor_3m</v>
          </cell>
          <cell r="D8088" t="str">
            <v>Libor KRD</v>
          </cell>
          <cell r="E8088" t="str">
            <v>Yield</v>
          </cell>
          <cell r="F8088" t="str">
            <v>SP-Other</v>
          </cell>
          <cell r="G8088" t="str">
            <v>SP-Other</v>
          </cell>
          <cell r="H8088" t="str">
            <v>SPREADS</v>
          </cell>
          <cell r="I8088" t="str">
            <v>Swap Spread - Libor</v>
          </cell>
        </row>
        <row r="8089">
          <cell r="A8089" t="str">
            <v>MYR_libor_1yr</v>
          </cell>
          <cell r="B8089" t="str">
            <v>MYR KLIBOR 1Y</v>
          </cell>
          <cell r="C8089" t="str">
            <v>BRS_GOLD__5_SPREADS:BRS_GOLD__3_SS:BRS_GOLD__2_SS_OTHER:MYR_LIB:MYR_libor_1yr</v>
          </cell>
          <cell r="D8089" t="str">
            <v>Libor KRD</v>
          </cell>
          <cell r="E8089" t="str">
            <v>Yield</v>
          </cell>
          <cell r="F8089" t="str">
            <v>SP-Other</v>
          </cell>
          <cell r="G8089" t="str">
            <v>SP-Other</v>
          </cell>
          <cell r="H8089" t="str">
            <v>SPREADS</v>
          </cell>
          <cell r="I8089" t="str">
            <v>Swap Spread - Libor</v>
          </cell>
        </row>
        <row r="8090">
          <cell r="A8090" t="str">
            <v>MYR_libor_2yr</v>
          </cell>
          <cell r="B8090" t="str">
            <v>MYR KLIBOR 2Y</v>
          </cell>
          <cell r="C8090" t="str">
            <v>BRS_GOLD__5_SPREADS:BRS_GOLD__3_SS:BRS_GOLD__2_SS_OTHER:MYR_LIB:MYR_libor_2yr</v>
          </cell>
          <cell r="D8090" t="str">
            <v>Libor KRD</v>
          </cell>
          <cell r="E8090" t="str">
            <v>Yield</v>
          </cell>
          <cell r="F8090" t="str">
            <v>SP-Other</v>
          </cell>
          <cell r="G8090" t="str">
            <v>SP-Other</v>
          </cell>
          <cell r="H8090" t="str">
            <v>SPREADS</v>
          </cell>
          <cell r="I8090" t="str">
            <v>Swap Spread - Libor</v>
          </cell>
        </row>
        <row r="8091">
          <cell r="A8091" t="str">
            <v>MYR_libor_3yr</v>
          </cell>
          <cell r="B8091" t="str">
            <v>MYR KLIBOR 3Y</v>
          </cell>
          <cell r="C8091" t="str">
            <v>BRS_GOLD__5_SPREADS:BRS_GOLD__3_SS:BRS_GOLD__2_SS_OTHER:MYR_LIB:MYR_libor_3yr</v>
          </cell>
          <cell r="D8091" t="str">
            <v>Libor KRD</v>
          </cell>
          <cell r="E8091" t="str">
            <v>Yield</v>
          </cell>
          <cell r="F8091" t="str">
            <v>SP-Other</v>
          </cell>
          <cell r="G8091" t="str">
            <v>SP-Other</v>
          </cell>
          <cell r="H8091" t="str">
            <v>SPREADS</v>
          </cell>
          <cell r="I8091" t="str">
            <v>Swap Spread - Libor</v>
          </cell>
        </row>
        <row r="8092">
          <cell r="A8092" t="str">
            <v>MYR_libor_5yr</v>
          </cell>
          <cell r="B8092" t="str">
            <v>MYR KLIBOR 5Y</v>
          </cell>
          <cell r="C8092" t="str">
            <v>BRS_GOLD__5_SPREADS:BRS_GOLD__3_SS:BRS_GOLD__2_SS_OTHER:MYR_LIB:MYR_libor_5yr</v>
          </cell>
          <cell r="D8092" t="str">
            <v>Libor KRD</v>
          </cell>
          <cell r="E8092" t="str">
            <v>Yield</v>
          </cell>
          <cell r="F8092" t="str">
            <v>SP-Other</v>
          </cell>
          <cell r="G8092" t="str">
            <v>SP-Other</v>
          </cell>
          <cell r="H8092" t="str">
            <v>SPREADS</v>
          </cell>
          <cell r="I8092" t="str">
            <v>Swap Spread - Libor</v>
          </cell>
        </row>
        <row r="8093">
          <cell r="A8093" t="str">
            <v>MYR_libor_7yr</v>
          </cell>
          <cell r="B8093" t="str">
            <v>MYR KLIBOR 7Y</v>
          </cell>
          <cell r="C8093" t="str">
            <v>BRS_GOLD__5_SPREADS:BRS_GOLD__3_SS:BRS_GOLD__2_SS_OTHER:MYR_LIB:MYR_libor_7yr</v>
          </cell>
          <cell r="D8093" t="str">
            <v>Libor KRD</v>
          </cell>
          <cell r="E8093" t="str">
            <v>Yield</v>
          </cell>
          <cell r="F8093" t="str">
            <v>SP-Other</v>
          </cell>
          <cell r="G8093" t="str">
            <v>SP-Other</v>
          </cell>
          <cell r="H8093" t="str">
            <v>SPREADS</v>
          </cell>
          <cell r="I8093" t="str">
            <v>Swap Spread - Libor</v>
          </cell>
        </row>
        <row r="8094">
          <cell r="A8094" t="str">
            <v>MYR_libor_10yr</v>
          </cell>
          <cell r="B8094" t="str">
            <v>MYR KLIBOR 10Y</v>
          </cell>
          <cell r="C8094" t="str">
            <v>BRS_GOLD__5_SPREADS:BRS_GOLD__3_SS:BRS_GOLD__2_SS_OTHER:MYR_LIB:MYR_libor_10yr</v>
          </cell>
          <cell r="D8094" t="str">
            <v>Libor KRD</v>
          </cell>
          <cell r="E8094" t="str">
            <v>Yield</v>
          </cell>
          <cell r="F8094" t="str">
            <v>SP-Other</v>
          </cell>
          <cell r="G8094" t="str">
            <v>SP-Other</v>
          </cell>
          <cell r="H8094" t="str">
            <v>SPREADS</v>
          </cell>
          <cell r="I8094" t="str">
            <v>Swap Spread - Libor</v>
          </cell>
        </row>
        <row r="8095">
          <cell r="A8095" t="str">
            <v>MYR_libor_15yr</v>
          </cell>
          <cell r="B8095" t="str">
            <v>MYR KLIBOR 15Y</v>
          </cell>
          <cell r="C8095" t="str">
            <v>BRS_GOLD__5_SPREADS:BRS_GOLD__3_SS:BRS_GOLD__2_SS_OTHER:MYR_LIB:MYR_libor_15yr</v>
          </cell>
          <cell r="D8095" t="str">
            <v>Libor KRD</v>
          </cell>
          <cell r="E8095" t="str">
            <v>Yield</v>
          </cell>
          <cell r="F8095" t="str">
            <v>SP-Other</v>
          </cell>
          <cell r="G8095" t="str">
            <v>SP-Other</v>
          </cell>
          <cell r="H8095" t="str">
            <v>SPREADS</v>
          </cell>
          <cell r="I8095" t="str">
            <v>Swap Spread - Libor</v>
          </cell>
        </row>
        <row r="8096">
          <cell r="A8096" t="str">
            <v>MYR_libor_20yr</v>
          </cell>
          <cell r="B8096" t="str">
            <v>MYR KLIBOR 20Y</v>
          </cell>
          <cell r="C8096" t="str">
            <v>BRS_GOLD__5_SPREADS:BRS_GOLD__3_SS:BRS_GOLD__2_SS_OTHER:MYR_LIB:MYR_libor_20yr</v>
          </cell>
          <cell r="D8096" t="str">
            <v>Libor KRD</v>
          </cell>
          <cell r="E8096" t="str">
            <v>Yield</v>
          </cell>
          <cell r="F8096" t="str">
            <v>SP-Other</v>
          </cell>
          <cell r="G8096" t="str">
            <v>SP-Other</v>
          </cell>
          <cell r="H8096" t="str">
            <v>SPREADS</v>
          </cell>
          <cell r="I8096" t="str">
            <v>Swap Spread - Libor</v>
          </cell>
        </row>
        <row r="8097">
          <cell r="A8097" t="str">
            <v>MYR_libor_25yr</v>
          </cell>
          <cell r="B8097" t="str">
            <v>MYR KLIBOR 25Y</v>
          </cell>
          <cell r="C8097" t="str">
            <v>BRS_GOLD__5_SPREADS:BRS_GOLD__3_SS:BRS_GOLD__2_SS_OTHER:MYR_LIB:MYR_libor_25yr</v>
          </cell>
          <cell r="D8097" t="str">
            <v>Libor KRD</v>
          </cell>
          <cell r="E8097" t="str">
            <v>Yield</v>
          </cell>
          <cell r="F8097" t="str">
            <v>SP-Other</v>
          </cell>
          <cell r="G8097" t="str">
            <v>SP-Other</v>
          </cell>
          <cell r="H8097" t="str">
            <v>SPREADS</v>
          </cell>
          <cell r="I8097" t="str">
            <v>Swap Spread - Libor</v>
          </cell>
        </row>
        <row r="8098">
          <cell r="A8098" t="str">
            <v>MYR_libor_30yr</v>
          </cell>
          <cell r="B8098" t="str">
            <v>MYR KLIBOR 30Y</v>
          </cell>
          <cell r="C8098" t="str">
            <v>BRS_GOLD__5_SPREADS:BRS_GOLD__3_SS:BRS_GOLD__2_SS_OTHER:MYR_LIB:MYR_libor_30yr</v>
          </cell>
          <cell r="D8098" t="str">
            <v>Libor KRD</v>
          </cell>
          <cell r="E8098" t="str">
            <v>Yield</v>
          </cell>
          <cell r="F8098" t="str">
            <v>SP-Other</v>
          </cell>
          <cell r="G8098" t="str">
            <v>SP-Other</v>
          </cell>
          <cell r="H8098" t="str">
            <v>SPREADS</v>
          </cell>
          <cell r="I8098" t="str">
            <v>Swap Spread - Libor</v>
          </cell>
        </row>
        <row r="8099">
          <cell r="A8099" t="str">
            <v>TWD_libor_3m</v>
          </cell>
          <cell r="B8099" t="str">
            <v>TWD Bank Accept 3M</v>
          </cell>
          <cell r="C8099" t="str">
            <v>BRS_GOLD__5_SPREADS:BRS_GOLD__3_SS:BRS_GOLD__2_SS_OTHER:TWD_LIB:TWD_libor_3m</v>
          </cell>
          <cell r="D8099" t="str">
            <v>Libor KRD</v>
          </cell>
          <cell r="E8099" t="str">
            <v>Yield</v>
          </cell>
          <cell r="F8099" t="str">
            <v>SP-Other</v>
          </cell>
          <cell r="G8099" t="str">
            <v>SP-Other</v>
          </cell>
          <cell r="H8099" t="str">
            <v>SPREADS</v>
          </cell>
          <cell r="I8099" t="str">
            <v>Swap Spread - Libor</v>
          </cell>
        </row>
        <row r="8100">
          <cell r="A8100" t="str">
            <v>TWD_libor_1yr</v>
          </cell>
          <cell r="B8100" t="str">
            <v>TWD Bank Accept 1Y</v>
          </cell>
          <cell r="C8100" t="str">
            <v>BRS_GOLD__5_SPREADS:BRS_GOLD__3_SS:BRS_GOLD__2_SS_OTHER:TWD_LIB:TWD_libor_1yr</v>
          </cell>
          <cell r="D8100" t="str">
            <v>Libor KRD</v>
          </cell>
          <cell r="E8100" t="str">
            <v>Yield</v>
          </cell>
          <cell r="F8100" t="str">
            <v>SP-Other</v>
          </cell>
          <cell r="G8100" t="str">
            <v>SP-Other</v>
          </cell>
          <cell r="H8100" t="str">
            <v>SPREADS</v>
          </cell>
          <cell r="I8100" t="str">
            <v>Swap Spread - Libor</v>
          </cell>
        </row>
        <row r="8101">
          <cell r="A8101" t="str">
            <v>TWD_libor_2yr</v>
          </cell>
          <cell r="B8101" t="str">
            <v>TWD Bank Accept 2Y</v>
          </cell>
          <cell r="C8101" t="str">
            <v>BRS_GOLD__5_SPREADS:BRS_GOLD__3_SS:BRS_GOLD__2_SS_OTHER:TWD_LIB:TWD_libor_2yr</v>
          </cell>
          <cell r="D8101" t="str">
            <v>Libor KRD</v>
          </cell>
          <cell r="E8101" t="str">
            <v>Yield</v>
          </cell>
          <cell r="F8101" t="str">
            <v>SP-Other</v>
          </cell>
          <cell r="G8101" t="str">
            <v>SP-Other</v>
          </cell>
          <cell r="H8101" t="str">
            <v>SPREADS</v>
          </cell>
          <cell r="I8101" t="str">
            <v>Swap Spread - Libor</v>
          </cell>
        </row>
        <row r="8102">
          <cell r="A8102" t="str">
            <v>TWD_libor_3yr</v>
          </cell>
          <cell r="B8102" t="str">
            <v>TWD Bank Accept 3Y</v>
          </cell>
          <cell r="C8102" t="str">
            <v>BRS_GOLD__5_SPREADS:BRS_GOLD__3_SS:BRS_GOLD__2_SS_OTHER:TWD_LIB:TWD_libor_3yr</v>
          </cell>
          <cell r="D8102" t="str">
            <v>Libor KRD</v>
          </cell>
          <cell r="E8102" t="str">
            <v>Yield</v>
          </cell>
          <cell r="F8102" t="str">
            <v>SP-Other</v>
          </cell>
          <cell r="G8102" t="str">
            <v>SP-Other</v>
          </cell>
          <cell r="H8102" t="str">
            <v>SPREADS</v>
          </cell>
          <cell r="I8102" t="str">
            <v>Swap Spread - Libor</v>
          </cell>
        </row>
        <row r="8103">
          <cell r="A8103" t="str">
            <v>TWD_libor_5yr</v>
          </cell>
          <cell r="B8103" t="str">
            <v>TWD Bank Accept 5Y</v>
          </cell>
          <cell r="C8103" t="str">
            <v>BRS_GOLD__5_SPREADS:BRS_GOLD__3_SS:BRS_GOLD__2_SS_OTHER:TWD_LIB:TWD_libor_5yr</v>
          </cell>
          <cell r="D8103" t="str">
            <v>Libor KRD</v>
          </cell>
          <cell r="E8103" t="str">
            <v>Yield</v>
          </cell>
          <cell r="F8103" t="str">
            <v>SP-Other</v>
          </cell>
          <cell r="G8103" t="str">
            <v>SP-Other</v>
          </cell>
          <cell r="H8103" t="str">
            <v>SPREADS</v>
          </cell>
          <cell r="I8103" t="str">
            <v>Swap Spread - Libor</v>
          </cell>
        </row>
        <row r="8104">
          <cell r="A8104" t="str">
            <v>TWD_libor_7yr</v>
          </cell>
          <cell r="B8104" t="str">
            <v>TWD Bank Accept 7Y</v>
          </cell>
          <cell r="C8104" t="str">
            <v>BRS_GOLD__5_SPREADS:BRS_GOLD__3_SS:BRS_GOLD__2_SS_OTHER:TWD_LIB:TWD_libor_7yr</v>
          </cell>
          <cell r="D8104" t="str">
            <v>Libor KRD</v>
          </cell>
          <cell r="E8104" t="str">
            <v>Yield</v>
          </cell>
          <cell r="F8104" t="str">
            <v>SP-Other</v>
          </cell>
          <cell r="G8104" t="str">
            <v>SP-Other</v>
          </cell>
          <cell r="H8104" t="str">
            <v>SPREADS</v>
          </cell>
          <cell r="I8104" t="str">
            <v>Swap Spread - Libor</v>
          </cell>
        </row>
        <row r="8105">
          <cell r="A8105" t="str">
            <v>TWD_libor_10yr</v>
          </cell>
          <cell r="B8105" t="str">
            <v>TWD Bank Accept 10Y</v>
          </cell>
          <cell r="C8105" t="str">
            <v>BRS_GOLD__5_SPREADS:BRS_GOLD__3_SS:BRS_GOLD__2_SS_OTHER:TWD_LIB:TWD_libor_10yr</v>
          </cell>
          <cell r="D8105" t="str">
            <v>Libor KRD</v>
          </cell>
          <cell r="E8105" t="str">
            <v>Yield</v>
          </cell>
          <cell r="F8105" t="str">
            <v>SP-Other</v>
          </cell>
          <cell r="G8105" t="str">
            <v>SP-Other</v>
          </cell>
          <cell r="H8105" t="str">
            <v>SPREADS</v>
          </cell>
          <cell r="I8105" t="str">
            <v>Swap Spread - Libor</v>
          </cell>
        </row>
        <row r="8106">
          <cell r="A8106" t="str">
            <v>TWD_libor_15yr</v>
          </cell>
          <cell r="B8106" t="str">
            <v>TWD Bank Accept 15Y</v>
          </cell>
          <cell r="C8106" t="str">
            <v>BRS_GOLD__5_SPREADS:BRS_GOLD__3_SS:BRS_GOLD__2_SS_OTHER:TWD_LIB:TWD_libor_15yr</v>
          </cell>
          <cell r="D8106" t="str">
            <v>Libor KRD</v>
          </cell>
          <cell r="E8106" t="str">
            <v>Yield</v>
          </cell>
          <cell r="F8106" t="str">
            <v>SP-Other</v>
          </cell>
          <cell r="G8106" t="str">
            <v>SP-Other</v>
          </cell>
          <cell r="H8106" t="str">
            <v>SPREADS</v>
          </cell>
          <cell r="I8106" t="str">
            <v>Swap Spread - Libor</v>
          </cell>
        </row>
        <row r="8107">
          <cell r="A8107" t="str">
            <v>TWD_libor_20yr</v>
          </cell>
          <cell r="B8107" t="str">
            <v>TWD Bank Accept 20Y</v>
          </cell>
          <cell r="C8107" t="str">
            <v>BRS_GOLD__5_SPREADS:BRS_GOLD__3_SS:BRS_GOLD__2_SS_OTHER:TWD_LIB:TWD_libor_20yr</v>
          </cell>
          <cell r="D8107" t="str">
            <v>Libor KRD</v>
          </cell>
          <cell r="E8107" t="str">
            <v>Yield</v>
          </cell>
          <cell r="F8107" t="str">
            <v>SP-Other</v>
          </cell>
          <cell r="G8107" t="str">
            <v>SP-Other</v>
          </cell>
          <cell r="H8107" t="str">
            <v>SPREADS</v>
          </cell>
          <cell r="I8107" t="str">
            <v>Swap Spread - Libor</v>
          </cell>
        </row>
        <row r="8108">
          <cell r="A8108" t="str">
            <v>TWD_libor_25yr</v>
          </cell>
          <cell r="B8108" t="str">
            <v>TWD Bank Accept 25Y</v>
          </cell>
          <cell r="C8108" t="str">
            <v>BRS_GOLD__5_SPREADS:BRS_GOLD__3_SS:BRS_GOLD__2_SS_OTHER:TWD_LIB:TWD_libor_25yr</v>
          </cell>
          <cell r="D8108" t="str">
            <v>Libor KRD</v>
          </cell>
          <cell r="E8108" t="str">
            <v>Yield</v>
          </cell>
          <cell r="F8108" t="str">
            <v>SP-Other</v>
          </cell>
          <cell r="G8108" t="str">
            <v>SP-Other</v>
          </cell>
          <cell r="H8108" t="str">
            <v>SPREADS</v>
          </cell>
          <cell r="I8108" t="str">
            <v>Swap Spread - Libor</v>
          </cell>
        </row>
        <row r="8109">
          <cell r="A8109" t="str">
            <v>TWD_libor_30yr</v>
          </cell>
          <cell r="B8109" t="str">
            <v>TWD Bank Accept 30Y</v>
          </cell>
          <cell r="C8109" t="str">
            <v>BRS_GOLD__5_SPREADS:BRS_GOLD__3_SS:BRS_GOLD__2_SS_OTHER:TWD_LIB:TWD_libor_30yr</v>
          </cell>
          <cell r="D8109" t="str">
            <v>Libor KRD</v>
          </cell>
          <cell r="E8109" t="str">
            <v>Yield</v>
          </cell>
          <cell r="F8109" t="str">
            <v>SP-Other</v>
          </cell>
          <cell r="G8109" t="str">
            <v>SP-Other</v>
          </cell>
          <cell r="H8109" t="str">
            <v>SPREADS</v>
          </cell>
          <cell r="I8109" t="str">
            <v>Swap Spread - Libor</v>
          </cell>
        </row>
        <row r="8110">
          <cell r="A8110" t="str">
            <v>PHP_libor_3m</v>
          </cell>
          <cell r="B8110" t="str">
            <v>PHP PHIBOR 3M</v>
          </cell>
          <cell r="C8110" t="str">
            <v>BRS_GOLD__5_SPREADS:BRS_GOLD__3_SS:BRS_GOLD__2_SS_OTHER:PHP_LIB:PHP_libor_3m</v>
          </cell>
          <cell r="D8110" t="str">
            <v>Libor KRD</v>
          </cell>
          <cell r="E8110" t="str">
            <v>Yield</v>
          </cell>
          <cell r="F8110" t="str">
            <v>SP-Other</v>
          </cell>
          <cell r="G8110" t="str">
            <v>SP-Other</v>
          </cell>
          <cell r="H8110" t="str">
            <v>SPREADS</v>
          </cell>
          <cell r="I8110" t="str">
            <v>Swap Spread - Libor</v>
          </cell>
        </row>
        <row r="8111">
          <cell r="A8111" t="str">
            <v>PHP_libor_1yr</v>
          </cell>
          <cell r="B8111" t="str">
            <v>PHP PHIBOR 1Y</v>
          </cell>
          <cell r="C8111" t="str">
            <v>BRS_GOLD__5_SPREADS:BRS_GOLD__3_SS:BRS_GOLD__2_SS_OTHER:PHP_LIB:PHP_libor_1yr</v>
          </cell>
          <cell r="D8111" t="str">
            <v>Libor KRD</v>
          </cell>
          <cell r="E8111" t="str">
            <v>Yield</v>
          </cell>
          <cell r="F8111" t="str">
            <v>SP-Other</v>
          </cell>
          <cell r="G8111" t="str">
            <v>SP-Other</v>
          </cell>
          <cell r="H8111" t="str">
            <v>SPREADS</v>
          </cell>
          <cell r="I8111" t="str">
            <v>Swap Spread - Libor</v>
          </cell>
        </row>
        <row r="8112">
          <cell r="A8112" t="str">
            <v>PHP_libor_2yr</v>
          </cell>
          <cell r="B8112" t="str">
            <v>PHP PHIBOR 2Y</v>
          </cell>
          <cell r="C8112" t="str">
            <v>BRS_GOLD__5_SPREADS:BRS_GOLD__3_SS:BRS_GOLD__2_SS_OTHER:PHP_LIB:PHP_libor_2yr</v>
          </cell>
          <cell r="D8112" t="str">
            <v>Libor KRD</v>
          </cell>
          <cell r="E8112" t="str">
            <v>Yield</v>
          </cell>
          <cell r="F8112" t="str">
            <v>SP-Other</v>
          </cell>
          <cell r="G8112" t="str">
            <v>SP-Other</v>
          </cell>
          <cell r="H8112" t="str">
            <v>SPREADS</v>
          </cell>
          <cell r="I8112" t="str">
            <v>Swap Spread - Libor</v>
          </cell>
        </row>
        <row r="8113">
          <cell r="A8113" t="str">
            <v>PHP_libor_3yr</v>
          </cell>
          <cell r="B8113" t="str">
            <v>PHP PHIBOR 3Y</v>
          </cell>
          <cell r="C8113" t="str">
            <v>BRS_GOLD__5_SPREADS:BRS_GOLD__3_SS:BRS_GOLD__2_SS_OTHER:PHP_LIB:PHP_libor_3yr</v>
          </cell>
          <cell r="D8113" t="str">
            <v>Libor KRD</v>
          </cell>
          <cell r="E8113" t="str">
            <v>Yield</v>
          </cell>
          <cell r="F8113" t="str">
            <v>SP-Other</v>
          </cell>
          <cell r="G8113" t="str">
            <v>SP-Other</v>
          </cell>
          <cell r="H8113" t="str">
            <v>SPREADS</v>
          </cell>
          <cell r="I8113" t="str">
            <v>Swap Spread - Libor</v>
          </cell>
        </row>
        <row r="8114">
          <cell r="A8114" t="str">
            <v>PHP_libor_5yr</v>
          </cell>
          <cell r="B8114" t="str">
            <v>PHP PHIBOR 5Y</v>
          </cell>
          <cell r="C8114" t="str">
            <v>BRS_GOLD__5_SPREADS:BRS_GOLD__3_SS:BRS_GOLD__2_SS_OTHER:PHP_LIB:PHP_libor_5yr</v>
          </cell>
          <cell r="D8114" t="str">
            <v>Libor KRD</v>
          </cell>
          <cell r="E8114" t="str">
            <v>Yield</v>
          </cell>
          <cell r="F8114" t="str">
            <v>SP-Other</v>
          </cell>
          <cell r="G8114" t="str">
            <v>SP-Other</v>
          </cell>
          <cell r="H8114" t="str">
            <v>SPREADS</v>
          </cell>
          <cell r="I8114" t="str">
            <v>Swap Spread - Libor</v>
          </cell>
        </row>
        <row r="8115">
          <cell r="A8115" t="str">
            <v>PHP_libor_7yr</v>
          </cell>
          <cell r="B8115" t="str">
            <v>PHP PHIBOR 7Y</v>
          </cell>
          <cell r="C8115" t="str">
            <v>BRS_GOLD__5_SPREADS:BRS_GOLD__3_SS:BRS_GOLD__2_SS_OTHER:PHP_LIB:PHP_libor_7yr</v>
          </cell>
          <cell r="D8115" t="str">
            <v>Libor KRD</v>
          </cell>
          <cell r="E8115" t="str">
            <v>Yield</v>
          </cell>
          <cell r="F8115" t="str">
            <v>SP-Other</v>
          </cell>
          <cell r="G8115" t="str">
            <v>SP-Other</v>
          </cell>
          <cell r="H8115" t="str">
            <v>SPREADS</v>
          </cell>
          <cell r="I8115" t="str">
            <v>Swap Spread - Libor</v>
          </cell>
        </row>
        <row r="8116">
          <cell r="A8116" t="str">
            <v>PHP_libor_10yr</v>
          </cell>
          <cell r="B8116" t="str">
            <v>PHP PHIBOR 10Y</v>
          </cell>
          <cell r="C8116" t="str">
            <v>BRS_GOLD__5_SPREADS:BRS_GOLD__3_SS:BRS_GOLD__2_SS_OTHER:PHP_LIB:PHP_libor_10yr</v>
          </cell>
          <cell r="D8116" t="str">
            <v>Libor KRD</v>
          </cell>
          <cell r="E8116" t="str">
            <v>Yield</v>
          </cell>
          <cell r="F8116" t="str">
            <v>SP-Other</v>
          </cell>
          <cell r="G8116" t="str">
            <v>SP-Other</v>
          </cell>
          <cell r="H8116" t="str">
            <v>SPREADS</v>
          </cell>
          <cell r="I8116" t="str">
            <v>Swap Spread - Libor</v>
          </cell>
        </row>
        <row r="8117">
          <cell r="A8117" t="str">
            <v>PHP_libor_15yr</v>
          </cell>
          <cell r="B8117" t="str">
            <v>PHP PHIBOR 15Y</v>
          </cell>
          <cell r="C8117" t="str">
            <v>BRS_GOLD__5_SPREADS:BRS_GOLD__3_SS:BRS_GOLD__2_SS_OTHER:PHP_LIB:PHP_libor_15yr</v>
          </cell>
          <cell r="D8117" t="str">
            <v>Libor KRD</v>
          </cell>
          <cell r="E8117" t="str">
            <v>Yield</v>
          </cell>
          <cell r="F8117" t="str">
            <v>SP-Other</v>
          </cell>
          <cell r="G8117" t="str">
            <v>SP-Other</v>
          </cell>
          <cell r="H8117" t="str">
            <v>SPREADS</v>
          </cell>
          <cell r="I8117" t="str">
            <v>Swap Spread - Libor</v>
          </cell>
        </row>
        <row r="8118">
          <cell r="A8118" t="str">
            <v>PHP_libor_20yr</v>
          </cell>
          <cell r="B8118" t="str">
            <v>PHP PHIBOR 20Y</v>
          </cell>
          <cell r="C8118" t="str">
            <v>BRS_GOLD__5_SPREADS:BRS_GOLD__3_SS:BRS_GOLD__2_SS_OTHER:PHP_LIB:PHP_libor_20yr</v>
          </cell>
          <cell r="D8118" t="str">
            <v>Libor KRD</v>
          </cell>
          <cell r="E8118" t="str">
            <v>Yield</v>
          </cell>
          <cell r="F8118" t="str">
            <v>SP-Other</v>
          </cell>
          <cell r="G8118" t="str">
            <v>SP-Other</v>
          </cell>
          <cell r="H8118" t="str">
            <v>SPREADS</v>
          </cell>
          <cell r="I8118" t="str">
            <v>Swap Spread - Libor</v>
          </cell>
        </row>
        <row r="8119">
          <cell r="A8119" t="str">
            <v>PHP_libor_25yr</v>
          </cell>
          <cell r="B8119" t="str">
            <v>PHP PHIBOR 25Y</v>
          </cell>
          <cell r="C8119" t="str">
            <v>BRS_GOLD__5_SPREADS:BRS_GOLD__3_SS:BRS_GOLD__2_SS_OTHER:PHP_LIB:PHP_libor_25yr</v>
          </cell>
          <cell r="D8119" t="str">
            <v>Libor KRD</v>
          </cell>
          <cell r="E8119" t="str">
            <v>Yield</v>
          </cell>
          <cell r="F8119" t="str">
            <v>SP-Other</v>
          </cell>
          <cell r="G8119" t="str">
            <v>SP-Other</v>
          </cell>
          <cell r="H8119" t="str">
            <v>SPREADS</v>
          </cell>
          <cell r="I8119" t="str">
            <v>Swap Spread - Libor</v>
          </cell>
        </row>
        <row r="8120">
          <cell r="A8120" t="str">
            <v>PHP_libor_30yr</v>
          </cell>
          <cell r="B8120" t="str">
            <v>PHP PHIBOR 30Y</v>
          </cell>
          <cell r="C8120" t="str">
            <v>BRS_GOLD__5_SPREADS:BRS_GOLD__3_SS:BRS_GOLD__2_SS_OTHER:PHP_LIB:PHP_libor_30yr</v>
          </cell>
          <cell r="D8120" t="str">
            <v>Libor KRD</v>
          </cell>
          <cell r="E8120" t="str">
            <v>Yield</v>
          </cell>
          <cell r="F8120" t="str">
            <v>SP-Other</v>
          </cell>
          <cell r="G8120" t="str">
            <v>SP-Other</v>
          </cell>
          <cell r="H8120" t="str">
            <v>SPREADS</v>
          </cell>
          <cell r="I8120" t="str">
            <v>Swap Spread - Libor</v>
          </cell>
        </row>
        <row r="8121">
          <cell r="A8121" t="str">
            <v>CHF_saron_3m</v>
          </cell>
          <cell r="B8121" t="str">
            <v>SARON Tsy BASIS 3M</v>
          </cell>
          <cell r="C8121" t="str">
            <v>BRS_GOLD__5_SPREADS:BRS_GOLD__3_SS:BRS_GOLD__2_SS_OTHER:CHF_ARR:CHF_saron_3m</v>
          </cell>
          <cell r="F8121" t="str">
            <v>SP-Other</v>
          </cell>
          <cell r="G8121" t="str">
            <v>SP-Other</v>
          </cell>
          <cell r="H8121" t="str">
            <v>SPREADS</v>
          </cell>
          <cell r="I8121" t="str">
            <v>Swap Spread - OIS</v>
          </cell>
        </row>
        <row r="8122">
          <cell r="A8122" t="str">
            <v>CHF_saron_1yr</v>
          </cell>
          <cell r="B8122" t="str">
            <v>SARON Tsy BASIS 1Y</v>
          </cell>
          <cell r="C8122" t="str">
            <v>BRS_GOLD__5_SPREADS:BRS_GOLD__3_SS:BRS_GOLD__2_SS_OTHER:CHF_ARR:CHF_saron_1yr</v>
          </cell>
          <cell r="F8122" t="str">
            <v>SP-Other</v>
          </cell>
          <cell r="G8122" t="str">
            <v>SP-Other</v>
          </cell>
          <cell r="H8122" t="str">
            <v>SPREADS</v>
          </cell>
          <cell r="I8122" t="str">
            <v>Swap Spread - OIS</v>
          </cell>
        </row>
        <row r="8123">
          <cell r="A8123" t="str">
            <v>CHF_saron_2yr</v>
          </cell>
          <cell r="B8123" t="str">
            <v>SARON Tsy BASIS 2Y</v>
          </cell>
          <cell r="C8123" t="str">
            <v>BRS_GOLD__5_SPREADS:BRS_GOLD__3_SS:BRS_GOLD__2_SS_OTHER:CHF_ARR:CHF_saron_2yr</v>
          </cell>
          <cell r="F8123" t="str">
            <v>SP-Other</v>
          </cell>
          <cell r="G8123" t="str">
            <v>SP-Other</v>
          </cell>
          <cell r="H8123" t="str">
            <v>SPREADS</v>
          </cell>
          <cell r="I8123" t="str">
            <v>Swap Spread - OIS</v>
          </cell>
        </row>
        <row r="8124">
          <cell r="A8124" t="str">
            <v>CHF_saron_3yr</v>
          </cell>
          <cell r="B8124" t="str">
            <v>SARON Tsy BASIS 3Y</v>
          </cell>
          <cell r="C8124" t="str">
            <v>BRS_GOLD__5_SPREADS:BRS_GOLD__3_SS:BRS_GOLD__2_SS_OTHER:CHF_ARR:CHF_saron_3yr</v>
          </cell>
          <cell r="F8124" t="str">
            <v>SP-Other</v>
          </cell>
          <cell r="G8124" t="str">
            <v>SP-Other</v>
          </cell>
          <cell r="H8124" t="str">
            <v>SPREADS</v>
          </cell>
          <cell r="I8124" t="str">
            <v>Swap Spread - OIS</v>
          </cell>
        </row>
        <row r="8125">
          <cell r="A8125" t="str">
            <v>CHF_saron_5yr</v>
          </cell>
          <cell r="B8125" t="str">
            <v>SARON Tsy BASIS 5Y</v>
          </cell>
          <cell r="C8125" t="str">
            <v>BRS_GOLD__5_SPREADS:BRS_GOLD__3_SS:BRS_GOLD__2_SS_OTHER:CHF_ARR:CHF_saron_5yr</v>
          </cell>
          <cell r="F8125" t="str">
            <v>SP-Other</v>
          </cell>
          <cell r="G8125" t="str">
            <v>SP-Other</v>
          </cell>
          <cell r="H8125" t="str">
            <v>SPREADS</v>
          </cell>
          <cell r="I8125" t="str">
            <v>Swap Spread - OIS</v>
          </cell>
        </row>
        <row r="8126">
          <cell r="A8126" t="str">
            <v>CHF_saron_7yr</v>
          </cell>
          <cell r="B8126" t="str">
            <v>SARON Tsy BASIS 7Y</v>
          </cell>
          <cell r="C8126" t="str">
            <v>BRS_GOLD__5_SPREADS:BRS_GOLD__3_SS:BRS_GOLD__2_SS_OTHER:CHF_ARR:CHF_saron_7yr</v>
          </cell>
          <cell r="F8126" t="str">
            <v>SP-Other</v>
          </cell>
          <cell r="G8126" t="str">
            <v>SP-Other</v>
          </cell>
          <cell r="H8126" t="str">
            <v>SPREADS</v>
          </cell>
          <cell r="I8126" t="str">
            <v>Swap Spread - OIS</v>
          </cell>
        </row>
        <row r="8127">
          <cell r="A8127" t="str">
            <v>CHF_saron_10yr</v>
          </cell>
          <cell r="B8127" t="str">
            <v>SARON Tsy BASIS 10Y</v>
          </cell>
          <cell r="C8127" t="str">
            <v>BRS_GOLD__5_SPREADS:BRS_GOLD__3_SS:BRS_GOLD__2_SS_OTHER:CHF_ARR:CHF_saron_10yr</v>
          </cell>
          <cell r="F8127" t="str">
            <v>SP-Other</v>
          </cell>
          <cell r="G8127" t="str">
            <v>SP-Other</v>
          </cell>
          <cell r="H8127" t="str">
            <v>SPREADS</v>
          </cell>
          <cell r="I8127" t="str">
            <v>Swap Spread - OIS</v>
          </cell>
        </row>
        <row r="8128">
          <cell r="A8128" t="str">
            <v>CHF_saron_15yr</v>
          </cell>
          <cell r="B8128" t="str">
            <v>SARON Tsy BASIS 15Y</v>
          </cell>
          <cell r="C8128" t="str">
            <v>BRS_GOLD__5_SPREADS:BRS_GOLD__3_SS:BRS_GOLD__2_SS_OTHER:CHF_ARR:CHF_saron_15yr</v>
          </cell>
          <cell r="F8128" t="str">
            <v>SP-Other</v>
          </cell>
          <cell r="G8128" t="str">
            <v>SP-Other</v>
          </cell>
          <cell r="H8128" t="str">
            <v>SPREADS</v>
          </cell>
          <cell r="I8128" t="str">
            <v>Swap Spread - OIS</v>
          </cell>
        </row>
        <row r="8129">
          <cell r="A8129" t="str">
            <v>CHF_saron_20yr</v>
          </cell>
          <cell r="B8129" t="str">
            <v>SARON Tsy BASIS 20Y</v>
          </cell>
          <cell r="C8129" t="str">
            <v>BRS_GOLD__5_SPREADS:BRS_GOLD__3_SS:BRS_GOLD__2_SS_OTHER:CHF_ARR:CHF_saron_20yr</v>
          </cell>
          <cell r="F8129" t="str">
            <v>SP-Other</v>
          </cell>
          <cell r="G8129" t="str">
            <v>SP-Other</v>
          </cell>
          <cell r="H8129" t="str">
            <v>SPREADS</v>
          </cell>
          <cell r="I8129" t="str">
            <v>Swap Spread - OIS</v>
          </cell>
        </row>
        <row r="8130">
          <cell r="A8130" t="str">
            <v>CHF_saron_25yr</v>
          </cell>
          <cell r="B8130" t="str">
            <v>SARON Tsy BASIS 25Y</v>
          </cell>
          <cell r="C8130" t="str">
            <v>BRS_GOLD__5_SPREADS:BRS_GOLD__3_SS:BRS_GOLD__2_SS_OTHER:CHF_ARR:CHF_saron_25yr</v>
          </cell>
          <cell r="F8130" t="str">
            <v>SP-Other</v>
          </cell>
          <cell r="G8130" t="str">
            <v>SP-Other</v>
          </cell>
          <cell r="H8130" t="str">
            <v>SPREADS</v>
          </cell>
          <cell r="I8130" t="str">
            <v>Swap Spread - OIS</v>
          </cell>
        </row>
        <row r="8131">
          <cell r="A8131" t="str">
            <v>CHF_saron_30yr</v>
          </cell>
          <cell r="B8131" t="str">
            <v>SARON Tsy BASIS 30Y</v>
          </cell>
          <cell r="C8131" t="str">
            <v>BRS_GOLD__5_SPREADS:BRS_GOLD__3_SS:BRS_GOLD__2_SS_OTHER:CHF_ARR:CHF_saron_30yr</v>
          </cell>
          <cell r="F8131" t="str">
            <v>SP-Other</v>
          </cell>
          <cell r="G8131" t="str">
            <v>SP-Other</v>
          </cell>
          <cell r="H8131" t="str">
            <v>SPREADS</v>
          </cell>
          <cell r="I8131" t="str">
            <v>Swap Spread - OIS</v>
          </cell>
        </row>
        <row r="8132">
          <cell r="A8132" t="str">
            <v>USD_IG_MARKET_SF</v>
          </cell>
          <cell r="B8132" t="str">
            <v>US IG Market</v>
          </cell>
          <cell r="C8132" t="str">
            <v>BRS_GOLD__5_SPREADS:BRS_GOLD__4_CORP:BRS_GOLD__3_CSIG:CORP40_IG_US,USD_LIQUID_IG,USD_IG_LIQUID_SF,USD_IG_VLUE_SF,USD_IG_QUAL_SF,USD_IG_REV_SF,USD_IG_VOL_SF:USD_LEH_CREDIT3,USD_IG_MARKET_SF:USD_IG_MARKET_SF</v>
          </cell>
          <cell r="D8132" t="str">
            <v>Spread Duration</v>
          </cell>
          <cell r="E8132" t="str">
            <v>Spread Yield (DxS)</v>
          </cell>
          <cell r="F8132" t="str">
            <v>SP-Corporate IG USD</v>
          </cell>
          <cell r="G8132" t="str">
            <v>SP-Spread Corporate</v>
          </cell>
          <cell r="H8132" t="str">
            <v>SPREADS</v>
          </cell>
          <cell r="I8132" t="str">
            <v>Corporate IG USD - Market</v>
          </cell>
        </row>
        <row r="8133">
          <cell r="A8133" t="str">
            <v>USD_IG_VLUE_SF</v>
          </cell>
          <cell r="B8133" t="str">
            <v>US IG Value</v>
          </cell>
          <cell r="C8133" t="str">
            <v>BRS_GOLD__5_SPREADS:BRS_GOLD__4_CORP:BRS_GOLD__3_CSIG:CORP40_IG_US,USD_LIQUID_IG,USD_IG_LIQUID_SF,USD_IG_VLUE_SF,USD_IG_QUAL_SF,USD_IG_REV_SF,USD_IG_VOL_SF:CORP40_US_ATT_IG,USD_LIQUID_IG,USD_IG_LIQUID_SF,USD_IG_VLUE_SF,USD_IG_QUAL_SF,USD_IG_REV_SF,USD_IG_VOL_SF:USD_IG_VLUE_SF</v>
          </cell>
          <cell r="F8133" t="str">
            <v>SP-Corporate IG USD</v>
          </cell>
          <cell r="G8133" t="str">
            <v>SP-Spread Corporate</v>
          </cell>
          <cell r="H8133" t="str">
            <v>SPREADS</v>
          </cell>
          <cell r="I8133" t="str">
            <v>Corporate IG USD - Value</v>
          </cell>
        </row>
        <row r="8134">
          <cell r="A8134" t="str">
            <v>USD_IG_QUAL_SF</v>
          </cell>
          <cell r="B8134" t="str">
            <v>US IG Quality</v>
          </cell>
          <cell r="C8134" t="str">
            <v>BRS_GOLD__5_SPREADS:BRS_GOLD__4_CORP:BRS_GOLD__3_CSIG:CORP40_IG_US,USD_LIQUID_IG,USD_IG_LIQUID_SF,USD_IG_VLUE_SF,USD_IG_QUAL_SF,USD_IG_REV_SF,USD_IG_VOL_SF:CORP40_US_ATT_IG,USD_LIQUID_IG,USD_IG_LIQUID_SF,USD_IG_VLUE_SF,USD_IG_QUAL_SF,USD_IG_REV_SF,USD_IG_VOL_SF:USD_IG_QUAL_SF</v>
          </cell>
          <cell r="F8134" t="str">
            <v>SP-Corporate IG USD</v>
          </cell>
          <cell r="G8134" t="str">
            <v>SP-Spread Corporate</v>
          </cell>
          <cell r="H8134" t="str">
            <v>SPREADS</v>
          </cell>
          <cell r="I8134" t="str">
            <v>Corporate IG USD - Quality</v>
          </cell>
        </row>
        <row r="8135">
          <cell r="A8135" t="str">
            <v>USD_IG_REV_SF</v>
          </cell>
          <cell r="B8135" t="str">
            <v>US IG Reversal</v>
          </cell>
          <cell r="C8135" t="str">
            <v>BRS_GOLD__5_SPREADS:BRS_GOLD__4_CORP:BRS_GOLD__3_CSIG:CORP40_IG_US,USD_LIQUID_IG,USD_IG_LIQUID_SF,USD_IG_VLUE_SF,USD_IG_QUAL_SF,USD_IG_REV_SF,USD_IG_VOL_SF:CORP40_US_ATT_IG,USD_LIQUID_IG,USD_IG_LIQUID_SF,USD_IG_VLUE_SF,USD_IG_QUAL_SF,USD_IG_REV_SF,USD_IG_VOL_SF:USD_IG_REV_SF</v>
          </cell>
          <cell r="F8135" t="str">
            <v>SP-Corporate IG USD</v>
          </cell>
          <cell r="G8135" t="str">
            <v>SP-Spread Corporate</v>
          </cell>
          <cell r="H8135" t="str">
            <v>SPREADS</v>
          </cell>
          <cell r="I8135" t="str">
            <v>Corporate IG USD - Reversal</v>
          </cell>
        </row>
        <row r="8136">
          <cell r="A8136" t="str">
            <v>USD_IG_VOL_SF</v>
          </cell>
          <cell r="B8136" t="str">
            <v>US IG Volatility</v>
          </cell>
          <cell r="C8136" t="str">
            <v>BRS_GOLD__5_SPREADS:BRS_GOLD__4_CORP:BRS_GOLD__3_CSIG:CORP40_IG_US,USD_LIQUID_IG,USD_IG_LIQUID_SF,USD_IG_VLUE_SF,USD_IG_QUAL_SF,USD_IG_REV_SF,USD_IG_VOL_SF:CORP40_US_ATT_IG,USD_LIQUID_IG,USD_IG_LIQUID_SF,USD_IG_VLUE_SF,USD_IG_QUAL_SF,USD_IG_REV_SF,USD_IG_VOL_SF:USD_IG_VOL_SF</v>
          </cell>
          <cell r="F8136" t="str">
            <v>SP-Corporate IG USD</v>
          </cell>
          <cell r="G8136" t="str">
            <v>SP-Spread Corporate</v>
          </cell>
          <cell r="H8136" t="str">
            <v>SPREADS</v>
          </cell>
          <cell r="I8136" t="str">
            <v>Corporate IG USD - Volatility</v>
          </cell>
        </row>
        <row r="8137">
          <cell r="A8137" t="str">
            <v>USD_HY_VLUE_SF</v>
          </cell>
          <cell r="B8137" t="str">
            <v>US HY Value</v>
          </cell>
          <cell r="C8137" t="str">
            <v>BRS_GOLD__5_SPREADS:BRS_GOLD__4_CORP:BRS_GOLD__3_CSHY:CORP50_HY_US,USD_HY_LIQUID,USD_HY_LIQUID_SF,USD_HY_VLUE_SF,USD_HY_QUAL_SF,USD_HY_REV_SF,USD_HY_MOM_SF,USD_HY_VOL_SF:CORP50_US_ATT_HY,USD_HY_LIQUID,USD_HY_LIQUID_SF,USD_HY_VLUE_SF,USD_HY_QUAL_SF,USD_HY_REV_SF,USD_HY_MOM_SF,USD_HY_VOL_SF:USD_HY_VLUE_SF</v>
          </cell>
          <cell r="F8137" t="str">
            <v>SP-Corporate HY USD</v>
          </cell>
          <cell r="G8137" t="str">
            <v>SP-Spread Corporate</v>
          </cell>
          <cell r="H8137" t="str">
            <v>SPREADS</v>
          </cell>
          <cell r="I8137" t="str">
            <v>Corporate HY USD - Value</v>
          </cell>
        </row>
        <row r="8138">
          <cell r="A8138" t="str">
            <v>USD_HY_QUAL_SF</v>
          </cell>
          <cell r="B8138" t="str">
            <v>US HY Quality</v>
          </cell>
          <cell r="C8138" t="str">
            <v>BRS_GOLD__5_SPREADS:BRS_GOLD__4_CORP:BRS_GOLD__3_CSHY:CORP50_HY_US,USD_HY_LIQUID,USD_HY_LIQUID_SF,USD_HY_VLUE_SF,USD_HY_QUAL_SF,USD_HY_REV_SF,USD_HY_MOM_SF,USD_HY_VOL_SF:CORP50_US_ATT_HY,USD_HY_LIQUID,USD_HY_LIQUID_SF,USD_HY_VLUE_SF,USD_HY_QUAL_SF,USD_HY_REV_SF,USD_HY_MOM_SF,USD_HY_VOL_SF:USD_HY_QUAL_SF</v>
          </cell>
          <cell r="F8138" t="str">
            <v>SP-Corporate HY USD</v>
          </cell>
          <cell r="G8138" t="str">
            <v>SP-Spread Corporate</v>
          </cell>
          <cell r="H8138" t="str">
            <v>SPREADS</v>
          </cell>
          <cell r="I8138" t="str">
            <v>Corporate HY USD - Quality</v>
          </cell>
        </row>
        <row r="8139">
          <cell r="A8139" t="str">
            <v>USD_HY_REV_SF</v>
          </cell>
          <cell r="B8139" t="str">
            <v>US HY Reversal</v>
          </cell>
          <cell r="C8139" t="str">
            <v>BRS_GOLD__5_SPREADS:BRS_GOLD__4_CORP:BRS_GOLD__3_CSHY:CORP50_HY_US,USD_HY_LIQUID,USD_HY_LIQUID_SF,USD_HY_VLUE_SF,USD_HY_QUAL_SF,USD_HY_REV_SF,USD_HY_MOM_SF,USD_HY_VOL_SF:CORP50_US_ATT_HY,USD_HY_LIQUID,USD_HY_LIQUID_SF,USD_HY_VLUE_SF,USD_HY_QUAL_SF,USD_HY_REV_SF,USD_HY_MOM_SF,USD_HY_VOL_SF:USD_HY_REV_SF</v>
          </cell>
          <cell r="F8139" t="str">
            <v>SP-Corporate HY USD</v>
          </cell>
          <cell r="G8139" t="str">
            <v>SP-Spread Corporate</v>
          </cell>
          <cell r="H8139" t="str">
            <v>SPREADS</v>
          </cell>
          <cell r="I8139" t="str">
            <v>Corporate HY USD - Reversal</v>
          </cell>
        </row>
        <row r="8140">
          <cell r="A8140" t="str">
            <v>USD_HY_MOM_SF</v>
          </cell>
          <cell r="B8140" t="str">
            <v>US HY Momentum</v>
          </cell>
          <cell r="C8140" t="str">
            <v>BRS_GOLD__5_SPREADS:BRS_GOLD__4_CORP:BRS_GOLD__3_CSHY:CORP50_HY_US,USD_HY_LIQUID,USD_HY_LIQUID_SF,USD_HY_VLUE_SF,USD_HY_QUAL_SF,USD_HY_REV_SF,USD_HY_MOM_SF,USD_HY_VOL_SF:CORP50_US_ATT_HY,USD_HY_LIQUID,USD_HY_LIQUID_SF,USD_HY_VLUE_SF,USD_HY_QUAL_SF,USD_HY_REV_SF,USD_HY_MOM_SF,USD_HY_VOL_SF:USD_HY_MOM_SF</v>
          </cell>
          <cell r="F8140" t="str">
            <v>SP-Corporate HY USD</v>
          </cell>
          <cell r="G8140" t="str">
            <v>SP-Spread Corporate</v>
          </cell>
          <cell r="H8140" t="str">
            <v>SPREADS</v>
          </cell>
          <cell r="I8140" t="str">
            <v>Corporate HY USD - Momentum</v>
          </cell>
        </row>
        <row r="8141">
          <cell r="A8141" t="str">
            <v>USD_HY_VOL_SF</v>
          </cell>
          <cell r="B8141" t="str">
            <v>US HY Volatility</v>
          </cell>
          <cell r="C8141" t="str">
            <v>BRS_GOLD__5_SPREADS:BRS_GOLD__4_CORP:BRS_GOLD__3_CSHY:CORP50_HY_US,USD_HY_LIQUID,USD_HY_LIQUID_SF,USD_HY_VLUE_SF,USD_HY_QUAL_SF,USD_HY_REV_SF,USD_HY_MOM_SF,USD_HY_VOL_SF:CORP50_US_ATT_HY,USD_HY_LIQUID,USD_HY_LIQUID_SF,USD_HY_VLUE_SF,USD_HY_QUAL_SF,USD_HY_REV_SF,USD_HY_MOM_SF,USD_HY_VOL_SF:USD_HY_VOL_SF</v>
          </cell>
          <cell r="F8141" t="str">
            <v>SP-Corporate HY USD</v>
          </cell>
          <cell r="G8141" t="str">
            <v>SP-Spread Corporate</v>
          </cell>
          <cell r="H8141" t="str">
            <v>SPREADS</v>
          </cell>
          <cell r="I8141" t="str">
            <v>Corporate HY USD - Volatility</v>
          </cell>
        </row>
        <row r="8142">
          <cell r="A8142" t="str">
            <v>[AUD_AUD_FX2_USD+EUR_EUR_FX2_USD-EUR_AUD_FX2_USD-EUR_AUD_FX2_USD]</v>
          </cell>
          <cell r="B8142" t="str">
            <v>AUD/EUR ^2</v>
          </cell>
          <cell r="C8142" t="str">
            <v>BRS_GOLD__2_FX:FX2:AUD_AUD_FX2_EUR</v>
          </cell>
          <cell r="E8142" t="str">
            <v>FX</v>
          </cell>
          <cell r="F8142" t="str">
            <v>Other</v>
          </cell>
          <cell r="G8142" t="str">
            <v>Other</v>
          </cell>
          <cell r="H8142" t="str">
            <v>OTHER</v>
          </cell>
          <cell r="I8142" t="str">
            <v>FX^2</v>
          </cell>
        </row>
        <row r="8143">
          <cell r="A8143" t="str">
            <v>[BRL_BRL_FX2_USD+EUR_EUR_FX2_USD-EUR_BRL_FX2_USD-EUR_BRL_FX2_USD]</v>
          </cell>
          <cell r="B8143" t="str">
            <v>BRL/EUR ^2</v>
          </cell>
          <cell r="C8143" t="str">
            <v>BRS_GOLD__2_FX:FX2:BRL_BRL_FX2_EUR</v>
          </cell>
          <cell r="E8143" t="str">
            <v>FX</v>
          </cell>
          <cell r="F8143" t="str">
            <v>Other</v>
          </cell>
          <cell r="G8143" t="str">
            <v>Other</v>
          </cell>
          <cell r="H8143" t="str">
            <v>OTHER</v>
          </cell>
          <cell r="I8143" t="str">
            <v>FX^2</v>
          </cell>
        </row>
        <row r="8144">
          <cell r="A8144" t="str">
            <v>[CAD_CAD_FX2_USD+EUR_EUR_FX2_USD-EUR_CAD_FX2_USD-EUR_CAD_FX2_USD]</v>
          </cell>
          <cell r="B8144" t="str">
            <v>CAD/EUR ^2</v>
          </cell>
          <cell r="C8144" t="str">
            <v>BRS_GOLD__2_FX:FX2:CAD_CAD_FX2_EUR</v>
          </cell>
          <cell r="E8144" t="str">
            <v>FX</v>
          </cell>
          <cell r="F8144" t="str">
            <v>Other</v>
          </cell>
          <cell r="G8144" t="str">
            <v>Other</v>
          </cell>
          <cell r="H8144" t="str">
            <v>OTHER</v>
          </cell>
          <cell r="I8144" t="str">
            <v>FX^2</v>
          </cell>
        </row>
        <row r="8145">
          <cell r="A8145" t="str">
            <v>[CHF_CHF_FX2_USD+EUR_EUR_FX2_USD-EUR_CHF_FX2_USD-EUR_CHF_FX2_USD]</v>
          </cell>
          <cell r="B8145" t="str">
            <v>CHF/EUR ^2</v>
          </cell>
          <cell r="C8145" t="str">
            <v>BRS_GOLD__2_FX:FX2:CHF_CHF_FX2_EUR</v>
          </cell>
          <cell r="E8145" t="str">
            <v>FX</v>
          </cell>
          <cell r="F8145" t="str">
            <v>Other</v>
          </cell>
          <cell r="G8145" t="str">
            <v>Other</v>
          </cell>
          <cell r="H8145" t="str">
            <v>OTHER</v>
          </cell>
          <cell r="I8145" t="str">
            <v>FX^2</v>
          </cell>
        </row>
        <row r="8146">
          <cell r="A8146" t="str">
            <v>[CNY_CNY_FX2_USD+EUR_EUR_FX2_USD-EUR_CNY_FX2_USD-EUR_CNY_FX2_USD]</v>
          </cell>
          <cell r="B8146" t="str">
            <v>CNY/EUR ^2</v>
          </cell>
          <cell r="C8146" t="str">
            <v>BRS_GOLD__2_FX:FX2:CNY_CNY_FX2_EUR</v>
          </cell>
          <cell r="E8146" t="str">
            <v>FX</v>
          </cell>
          <cell r="F8146" t="str">
            <v>Other</v>
          </cell>
          <cell r="G8146" t="str">
            <v>Other</v>
          </cell>
          <cell r="H8146" t="str">
            <v>OTHER</v>
          </cell>
          <cell r="I8146" t="str">
            <v>FX^2</v>
          </cell>
        </row>
        <row r="8147">
          <cell r="A8147" t="str">
            <v>[CZK_CZK_FX2_USD+EUR_EUR_FX2_USD-EUR_CZK_FX2_USD-EUR_CZK_FX2_USD]</v>
          </cell>
          <cell r="B8147" t="str">
            <v>CZK/EUR ^2</v>
          </cell>
          <cell r="C8147" t="str">
            <v>BRS_GOLD__2_FX:FX2:CZK_CZK_FX2_EUR</v>
          </cell>
          <cell r="E8147" t="str">
            <v>FX</v>
          </cell>
          <cell r="F8147" t="str">
            <v>Other</v>
          </cell>
          <cell r="G8147" t="str">
            <v>Other</v>
          </cell>
          <cell r="H8147" t="str">
            <v>OTHER</v>
          </cell>
          <cell r="I8147" t="str">
            <v>FX^2</v>
          </cell>
        </row>
        <row r="8148">
          <cell r="A8148" t="str">
            <v>[GBP_GBP_FX2_USD+EUR_EUR_FX2_USD-EUR_GBP_FX2_USD-EUR_GBP_FX2_USD]</v>
          </cell>
          <cell r="B8148" t="str">
            <v>GBP/EUR ^2</v>
          </cell>
          <cell r="C8148" t="str">
            <v>BRS_GOLD__2_FX:FX2:GBP_GBP_FX2_EUR</v>
          </cell>
          <cell r="E8148" t="str">
            <v>FX</v>
          </cell>
          <cell r="F8148" t="str">
            <v>Other</v>
          </cell>
          <cell r="G8148" t="str">
            <v>Other</v>
          </cell>
          <cell r="H8148" t="str">
            <v>OTHER</v>
          </cell>
          <cell r="I8148" t="str">
            <v>FX^2</v>
          </cell>
        </row>
        <row r="8149">
          <cell r="A8149" t="str">
            <v>[HUF_HUF_FX2_USD+EUR_EUR_FX2_USD-EUR_HUF_FX2_USD-EUR_HUF_FX2_USD]</v>
          </cell>
          <cell r="B8149" t="str">
            <v>HUF/EUR ^2</v>
          </cell>
          <cell r="C8149" t="str">
            <v>BRS_GOLD__2_FX:FX2:HUF_HUF_FX2_EUR</v>
          </cell>
          <cell r="E8149" t="str">
            <v>FX</v>
          </cell>
          <cell r="F8149" t="str">
            <v>Other</v>
          </cell>
          <cell r="G8149" t="str">
            <v>Other</v>
          </cell>
          <cell r="H8149" t="str">
            <v>OTHER</v>
          </cell>
          <cell r="I8149" t="str">
            <v>FX^2</v>
          </cell>
        </row>
        <row r="8150">
          <cell r="A8150" t="str">
            <v>[IDR_IDR_FX2_USD+EUR_EUR_FX2_USD-EUR_IDR_FX2_USD-EUR_IDR_FX2_USD]</v>
          </cell>
          <cell r="B8150" t="str">
            <v>IDR/EUR ^2</v>
          </cell>
          <cell r="C8150" t="str">
            <v>BRS_GOLD__2_FX:FX2:IDR_IDR_FX2_EUR</v>
          </cell>
          <cell r="E8150" t="str">
            <v>FX</v>
          </cell>
          <cell r="F8150" t="str">
            <v>Other</v>
          </cell>
          <cell r="G8150" t="str">
            <v>Other</v>
          </cell>
          <cell r="H8150" t="str">
            <v>OTHER</v>
          </cell>
          <cell r="I8150" t="str">
            <v>FX^2</v>
          </cell>
        </row>
        <row r="8151">
          <cell r="A8151" t="str">
            <v>[ILS_ILS_FX2_USD+EUR_EUR_FX2_USD-EUR_ILS_FX2_USD-EUR_ILS_FX2_USD]</v>
          </cell>
          <cell r="B8151" t="str">
            <v>ILS/EUR ^2</v>
          </cell>
          <cell r="C8151" t="str">
            <v>BRS_GOLD__2_FX:FX2:ILS_ILS_FX2_EUR</v>
          </cell>
          <cell r="E8151" t="str">
            <v>FX</v>
          </cell>
          <cell r="F8151" t="str">
            <v>Other</v>
          </cell>
          <cell r="G8151" t="str">
            <v>Other</v>
          </cell>
          <cell r="H8151" t="str">
            <v>OTHER</v>
          </cell>
          <cell r="I8151" t="str">
            <v>FX^2</v>
          </cell>
        </row>
        <row r="8152">
          <cell r="A8152" t="str">
            <v>[INR_INR_FX2_USD+EUR_EUR_FX2_USD-EUR_INR_FX2_USD-EUR_INR_FX2_USD]</v>
          </cell>
          <cell r="B8152" t="str">
            <v>INR/EUR ^2</v>
          </cell>
          <cell r="C8152" t="str">
            <v>BRS_GOLD__2_FX:FX2:INR_INR_FX2_EUR</v>
          </cell>
          <cell r="E8152" t="str">
            <v>FX</v>
          </cell>
          <cell r="F8152" t="str">
            <v>Other</v>
          </cell>
          <cell r="G8152" t="str">
            <v>Other</v>
          </cell>
          <cell r="H8152" t="str">
            <v>OTHER</v>
          </cell>
          <cell r="I8152" t="str">
            <v>FX^2</v>
          </cell>
        </row>
        <row r="8153">
          <cell r="A8153" t="str">
            <v>[KRW_KRW_FX2_USD+EUR_EUR_FX2_USD-EUR_KRW_FX2_USD-EUR_KRW_FX2_USD]</v>
          </cell>
          <cell r="B8153" t="str">
            <v>KRW/EUR ^2</v>
          </cell>
          <cell r="C8153" t="str">
            <v>BRS_GOLD__2_FX:FX2:KRW_KRW_FX2_EUR</v>
          </cell>
          <cell r="E8153" t="str">
            <v>FX</v>
          </cell>
          <cell r="F8153" t="str">
            <v>Other</v>
          </cell>
          <cell r="G8153" t="str">
            <v>Other</v>
          </cell>
          <cell r="H8153" t="str">
            <v>OTHER</v>
          </cell>
          <cell r="I8153" t="str">
            <v>FX^2</v>
          </cell>
        </row>
        <row r="8154">
          <cell r="A8154" t="str">
            <v>[MXN_MXN_FX2_USD+EUR_EUR_FX2_USD-EUR_MXN_FX2_USD-EUR_MXN_FX2_USD]</v>
          </cell>
          <cell r="B8154" t="str">
            <v>MXN/EUR ^2</v>
          </cell>
          <cell r="C8154" t="str">
            <v>BRS_GOLD__2_FX:FX2:MXN_MXN_FX2_EUR</v>
          </cell>
          <cell r="E8154" t="str">
            <v>FX</v>
          </cell>
          <cell r="F8154" t="str">
            <v>Other</v>
          </cell>
          <cell r="G8154" t="str">
            <v>Other</v>
          </cell>
          <cell r="H8154" t="str">
            <v>OTHER</v>
          </cell>
          <cell r="I8154" t="str">
            <v>FX^2</v>
          </cell>
        </row>
        <row r="8155">
          <cell r="A8155" t="str">
            <v>[MYR_MYR_FX2_USD+EUR_EUR_FX2_USD-EUR_MYR_FX2_USD-EUR_MYR_FX2_USD]</v>
          </cell>
          <cell r="B8155" t="str">
            <v>MYR/EUR ^2</v>
          </cell>
          <cell r="C8155" t="str">
            <v>BRS_GOLD__2_FX:FX2:MYR_MYR_FX2_EUR</v>
          </cell>
          <cell r="E8155" t="str">
            <v>FX</v>
          </cell>
          <cell r="F8155" t="str">
            <v>Other</v>
          </cell>
          <cell r="G8155" t="str">
            <v>Other</v>
          </cell>
          <cell r="H8155" t="str">
            <v>OTHER</v>
          </cell>
          <cell r="I8155" t="str">
            <v>FX^2</v>
          </cell>
        </row>
        <row r="8156">
          <cell r="A8156" t="str">
            <v>[NOK_NOK_FX2_USD+EUR_EUR_FX2_USD-EUR_NOK_FX2_USD-EUR_NOK_FX2_USD]</v>
          </cell>
          <cell r="B8156" t="str">
            <v>NOK/EUR ^2</v>
          </cell>
          <cell r="C8156" t="str">
            <v>BRS_GOLD__2_FX:FX2:NOK_NOK_FX2_EUR</v>
          </cell>
          <cell r="E8156" t="str">
            <v>FX</v>
          </cell>
          <cell r="F8156" t="str">
            <v>Other</v>
          </cell>
          <cell r="G8156" t="str">
            <v>Other</v>
          </cell>
          <cell r="H8156" t="str">
            <v>OTHER</v>
          </cell>
          <cell r="I8156" t="str">
            <v>FX^2</v>
          </cell>
        </row>
        <row r="8157">
          <cell r="A8157" t="str">
            <v>[NZD_NZD_FX2_USD+EUR_EUR_FX2_USD-EUR_NZD_FX2_USD-EUR_NZD_FX2_USD]</v>
          </cell>
          <cell r="B8157" t="str">
            <v>NZD/EUR ^2</v>
          </cell>
          <cell r="C8157" t="str">
            <v>BRS_GOLD__2_FX:FX2:NZD_NZD_FX2_EUR</v>
          </cell>
          <cell r="E8157" t="str">
            <v>FX</v>
          </cell>
          <cell r="F8157" t="str">
            <v>Other</v>
          </cell>
          <cell r="G8157" t="str">
            <v>Other</v>
          </cell>
          <cell r="H8157" t="str">
            <v>OTHER</v>
          </cell>
          <cell r="I8157" t="str">
            <v>FX^2</v>
          </cell>
        </row>
        <row r="8158">
          <cell r="A8158" t="str">
            <v>[PLN_PLN_FX2_USD+EUR_EUR_FX2_USD-EUR_PLN_FX2_USD-EUR_PLN_FX2_USD]</v>
          </cell>
          <cell r="B8158" t="str">
            <v>PLN/EUR ^2</v>
          </cell>
          <cell r="C8158" t="str">
            <v>BRS_GOLD__2_FX:FX2:PLN_PLN_FX2_EUR</v>
          </cell>
          <cell r="E8158" t="str">
            <v>FX</v>
          </cell>
          <cell r="F8158" t="str">
            <v>Other</v>
          </cell>
          <cell r="G8158" t="str">
            <v>Other</v>
          </cell>
          <cell r="H8158" t="str">
            <v>OTHER</v>
          </cell>
          <cell r="I8158" t="str">
            <v>FX^2</v>
          </cell>
        </row>
        <row r="8159">
          <cell r="A8159" t="str">
            <v>[SEK_SEK_FX2_USD+EUR_EUR_FX2_USD-EUR_SEK_FX2_USD-EUR_SEK_FX2_USD]</v>
          </cell>
          <cell r="B8159" t="str">
            <v>SEK/EUR ^2</v>
          </cell>
          <cell r="C8159" t="str">
            <v>BRS_GOLD__2_FX:FX2:SEK_SEK_FX2_EUR</v>
          </cell>
          <cell r="E8159" t="str">
            <v>FX</v>
          </cell>
          <cell r="F8159" t="str">
            <v>Other</v>
          </cell>
          <cell r="G8159" t="str">
            <v>Other</v>
          </cell>
          <cell r="H8159" t="str">
            <v>OTHER</v>
          </cell>
          <cell r="I8159" t="str">
            <v>FX^2</v>
          </cell>
        </row>
        <row r="8160">
          <cell r="A8160" t="str">
            <v>[SGD_SGD_FX2_USD+EUR_EUR_FX2_USD-EUR_SGD_FX2_USD-EUR_SGD_FX2_USD]</v>
          </cell>
          <cell r="B8160" t="str">
            <v>SGD/EUR ^2</v>
          </cell>
          <cell r="C8160" t="str">
            <v>BRS_GOLD__2_FX:FX2:SGD_SGD_FX2_EUR</v>
          </cell>
          <cell r="E8160" t="str">
            <v>FX</v>
          </cell>
          <cell r="F8160" t="str">
            <v>Other</v>
          </cell>
          <cell r="G8160" t="str">
            <v>Other</v>
          </cell>
          <cell r="H8160" t="str">
            <v>OTHER</v>
          </cell>
          <cell r="I8160" t="str">
            <v>FX^2</v>
          </cell>
        </row>
        <row r="8161">
          <cell r="A8161" t="str">
            <v>[TRY_TRY_FX2_USD+EUR_EUR_FX2_USD-EUR_TRY_FX2_USD-EUR_TRY_FX2_USD]</v>
          </cell>
          <cell r="B8161" t="str">
            <v>TRY/EUR ^2</v>
          </cell>
          <cell r="C8161" t="str">
            <v>BRS_GOLD__2_FX:FX2:TRY_TRY_FX2_EUR</v>
          </cell>
          <cell r="E8161" t="str">
            <v>FX</v>
          </cell>
          <cell r="F8161" t="str">
            <v>Other</v>
          </cell>
          <cell r="G8161" t="str">
            <v>Other</v>
          </cell>
          <cell r="H8161" t="str">
            <v>OTHER</v>
          </cell>
          <cell r="I8161" t="str">
            <v>FX^2</v>
          </cell>
        </row>
        <row r="8162">
          <cell r="A8162" t="str">
            <v>[ZAR_ZAR_FX2_USD+EUR_EUR_FX2_USD-EUR_ZAR_FX2_USD-EUR_ZAR_FX2_USD]</v>
          </cell>
          <cell r="B8162" t="str">
            <v>ZAR/EUR ^2</v>
          </cell>
          <cell r="C8162" t="str">
            <v>BRS_GOLD__2_FX:FX2:ZAR_ZAR_FX2_EUR</v>
          </cell>
          <cell r="E8162" t="str">
            <v>FX</v>
          </cell>
          <cell r="F8162" t="str">
            <v>Other</v>
          </cell>
          <cell r="G8162" t="str">
            <v>Other</v>
          </cell>
          <cell r="H8162" t="str">
            <v>OTHER</v>
          </cell>
          <cell r="I8162" t="str">
            <v>FX^2</v>
          </cell>
        </row>
        <row r="8163">
          <cell r="A8163" t="str">
            <v>[JPY_JPY_FX2_USD+EUR_EUR_FX2_USD-EUR_JPY_FX2_USD-EUR_JPY_FX2_USD]</v>
          </cell>
          <cell r="B8163" t="str">
            <v>JPY/EUR ^2</v>
          </cell>
          <cell r="C8163" t="str">
            <v>BRS_GOLD__2_FX:FX2:JPY_JPY_FX2_EUR</v>
          </cell>
          <cell r="E8163" t="str">
            <v>FX</v>
          </cell>
          <cell r="F8163" t="str">
            <v>Other</v>
          </cell>
          <cell r="G8163" t="str">
            <v>Other</v>
          </cell>
          <cell r="H8163" t="str">
            <v>OTHER</v>
          </cell>
          <cell r="I8163" t="str">
            <v>FX^2</v>
          </cell>
        </row>
        <row r="8164">
          <cell r="A8164" t="str">
            <v>[USD_USD_FX2_USD+EUR_EUR_FX2_USD-EUR_USD_FX2_USD-EUR_USD_FX2_USD]</v>
          </cell>
          <cell r="B8164" t="str">
            <v>USD/EUR ^2</v>
          </cell>
          <cell r="C8164" t="str">
            <v>BRS_GOLD__2_FX:FX2:USD_EUR_FX2_EUR</v>
          </cell>
          <cell r="E8164" t="str">
            <v>FX</v>
          </cell>
          <cell r="F8164" t="str">
            <v>Other</v>
          </cell>
          <cell r="G8164" t="str">
            <v>Other</v>
          </cell>
          <cell r="H8164" t="str">
            <v>OTHER</v>
          </cell>
          <cell r="I8164" t="str">
            <v>FX^2</v>
          </cell>
        </row>
        <row r="8165">
          <cell r="A8165" t="str">
            <v>[AUD_AUD_FX2_USD+EUR_EUR_FX2_USD-AUD_EUR_FX2_USD-AUD_EUR_FX2_USD]</v>
          </cell>
          <cell r="B8165" t="str">
            <v>AUD/EUR ^2</v>
          </cell>
          <cell r="C8165" t="str">
            <v>BRS_GOLD__2_FX:FX2:AUD_AUD_FX2_EUR</v>
          </cell>
          <cell r="E8165" t="str">
            <v>FX</v>
          </cell>
          <cell r="F8165" t="str">
            <v>Other</v>
          </cell>
          <cell r="G8165" t="str">
            <v>Other</v>
          </cell>
          <cell r="H8165" t="str">
            <v>OTHER</v>
          </cell>
          <cell r="I8165" t="str">
            <v>FX^2</v>
          </cell>
        </row>
        <row r="8166">
          <cell r="A8166" t="str">
            <v>[BRL_BRL_FX2_USD+EUR_EUR_FX2_USD-BRL_EUR_FX2_USD-BRL_EUR_FX2_USD]</v>
          </cell>
          <cell r="B8166" t="str">
            <v>BRL/EUR ^2</v>
          </cell>
          <cell r="C8166" t="str">
            <v>BRS_GOLD__2_FX:FX2:BRL_BRL_FX2_EUR</v>
          </cell>
          <cell r="E8166" t="str">
            <v>FX</v>
          </cell>
          <cell r="F8166" t="str">
            <v>Other</v>
          </cell>
          <cell r="G8166" t="str">
            <v>Other</v>
          </cell>
          <cell r="H8166" t="str">
            <v>OTHER</v>
          </cell>
          <cell r="I8166" t="str">
            <v>FX^2</v>
          </cell>
        </row>
        <row r="8167">
          <cell r="A8167" t="str">
            <v>[CAD_CAD_FX2_USD+EUR_EUR_FX2_USD-CAD_EUR_FX2_USD-CAD_EUR_FX2_USD]</v>
          </cell>
          <cell r="B8167" t="str">
            <v>CAD/EUR ^2</v>
          </cell>
          <cell r="C8167" t="str">
            <v>BRS_GOLD__2_FX:FX2:CAD_CAD_FX2_EUR</v>
          </cell>
          <cell r="E8167" t="str">
            <v>FX</v>
          </cell>
          <cell r="F8167" t="str">
            <v>Other</v>
          </cell>
          <cell r="G8167" t="str">
            <v>Other</v>
          </cell>
          <cell r="H8167" t="str">
            <v>OTHER</v>
          </cell>
          <cell r="I8167" t="str">
            <v>FX^2</v>
          </cell>
        </row>
        <row r="8168">
          <cell r="A8168" t="str">
            <v>[CHF_CHF_FX2_USD+EUR_EUR_FX2_USD-CHF_EUR_FX2_USD-CHF_EUR_FX2_USD]</v>
          </cell>
          <cell r="B8168" t="str">
            <v>CHF/EUR ^2</v>
          </cell>
          <cell r="C8168" t="str">
            <v>BRS_GOLD__2_FX:FX2:CHF_CHF_FX2_EUR</v>
          </cell>
          <cell r="E8168" t="str">
            <v>FX</v>
          </cell>
          <cell r="F8168" t="str">
            <v>Other</v>
          </cell>
          <cell r="G8168" t="str">
            <v>Other</v>
          </cell>
          <cell r="H8168" t="str">
            <v>OTHER</v>
          </cell>
          <cell r="I8168" t="str">
            <v>FX^2</v>
          </cell>
        </row>
        <row r="8169">
          <cell r="A8169" t="str">
            <v>[CNY_CNY_FX2_USD+EUR_EUR_FX2_USD-CNY_EUR_FX2_USD-CNY_EUR_FX2_USD]</v>
          </cell>
          <cell r="B8169" t="str">
            <v>CNY/EUR ^2</v>
          </cell>
          <cell r="C8169" t="str">
            <v>BRS_GOLD__2_FX:FX2:CNY_CNY_FX2_EUR</v>
          </cell>
          <cell r="E8169" t="str">
            <v>FX</v>
          </cell>
          <cell r="F8169" t="str">
            <v>Other</v>
          </cell>
          <cell r="G8169" t="str">
            <v>Other</v>
          </cell>
          <cell r="H8169" t="str">
            <v>OTHER</v>
          </cell>
          <cell r="I8169" t="str">
            <v>FX^2</v>
          </cell>
        </row>
        <row r="8170">
          <cell r="A8170" t="str">
            <v>[CZK_CZK_FX2_USD+EUR_EUR_FX2_USD-CZK_EUR_FX2_USD-CZK_EUR_FX2_USD]</v>
          </cell>
          <cell r="B8170" t="str">
            <v>CZK/EUR ^2</v>
          </cell>
          <cell r="C8170" t="str">
            <v>BRS_GOLD__2_FX:FX2:CZK_CZK_FX2_EUR</v>
          </cell>
          <cell r="E8170" t="str">
            <v>FX</v>
          </cell>
          <cell r="F8170" t="str">
            <v>Other</v>
          </cell>
          <cell r="G8170" t="str">
            <v>Other</v>
          </cell>
          <cell r="H8170" t="str">
            <v>OTHER</v>
          </cell>
          <cell r="I8170" t="str">
            <v>FX^2</v>
          </cell>
        </row>
        <row r="8171">
          <cell r="A8171" t="str">
            <v>[EUR_EUR_FX2_USD+EUR_EUR_FX2_USD-EUR_EUR_FX2_USD-EUR_EUR_FX2_USD]</v>
          </cell>
          <cell r="B8171" t="str">
            <v>EUR/EUR ^2</v>
          </cell>
          <cell r="C8171" t="str">
            <v>BRS_GOLD__2_FX:FX2:EUR_EUR_FX2_EUR</v>
          </cell>
          <cell r="E8171" t="str">
            <v>FX</v>
          </cell>
          <cell r="F8171" t="str">
            <v>Other</v>
          </cell>
          <cell r="G8171" t="str">
            <v>Other</v>
          </cell>
          <cell r="H8171" t="str">
            <v>OTHER</v>
          </cell>
          <cell r="I8171" t="str">
            <v>FX^2</v>
          </cell>
        </row>
        <row r="8172">
          <cell r="A8172" t="str">
            <v>[GBP_GBP_FX2_USD+EUR_EUR_FX2_USD-GBP_EUR_FX2_USD-GBP_EUR_FX2_USD]</v>
          </cell>
          <cell r="B8172" t="str">
            <v>GBP/EUR ^2</v>
          </cell>
          <cell r="C8172" t="str">
            <v>BRS_GOLD__2_FX:FX2:GBP_GBP_FX2_EUR</v>
          </cell>
          <cell r="E8172" t="str">
            <v>FX</v>
          </cell>
          <cell r="F8172" t="str">
            <v>Other</v>
          </cell>
          <cell r="G8172" t="str">
            <v>Other</v>
          </cell>
          <cell r="H8172" t="str">
            <v>OTHER</v>
          </cell>
          <cell r="I8172" t="str">
            <v>FX^2</v>
          </cell>
        </row>
        <row r="8173">
          <cell r="A8173" t="str">
            <v>[HUF_HUF_FX2_USD+EUR_EUR_FX2_USD-HUF_EUR_FX2_USD-HUF_EUR_FX2_USD]</v>
          </cell>
          <cell r="B8173" t="str">
            <v>HUF/EUR ^2</v>
          </cell>
          <cell r="C8173" t="str">
            <v>BRS_GOLD__2_FX:FX2:HUF_HUF_FX2_EUR</v>
          </cell>
          <cell r="E8173" t="str">
            <v>FX</v>
          </cell>
          <cell r="F8173" t="str">
            <v>Other</v>
          </cell>
          <cell r="G8173" t="str">
            <v>Other</v>
          </cell>
          <cell r="H8173" t="str">
            <v>OTHER</v>
          </cell>
          <cell r="I8173" t="str">
            <v>FX^2</v>
          </cell>
        </row>
        <row r="8174">
          <cell r="A8174" t="str">
            <v>[IDR_IDR_FX2_USD+EUR_EUR_FX2_USD-IDR_EUR_FX2_USD-IDR_EUR_FX2_USD]</v>
          </cell>
          <cell r="B8174" t="str">
            <v>IDR/EUR ^2</v>
          </cell>
          <cell r="C8174" t="str">
            <v>BRS_GOLD__2_FX:FX2:IDR_IDR_FX2_EUR</v>
          </cell>
          <cell r="E8174" t="str">
            <v>FX</v>
          </cell>
          <cell r="F8174" t="str">
            <v>Other</v>
          </cell>
          <cell r="G8174" t="str">
            <v>Other</v>
          </cell>
          <cell r="H8174" t="str">
            <v>OTHER</v>
          </cell>
          <cell r="I8174" t="str">
            <v>FX^2</v>
          </cell>
        </row>
        <row r="8175">
          <cell r="A8175" t="str">
            <v>[ILS_ILS_FX2_USD+EUR_EUR_FX2_USD-ILS_EUR_FX2_USD-ILS_EUR_FX2_USD]</v>
          </cell>
          <cell r="B8175" t="str">
            <v>ILS/EUR ^2</v>
          </cell>
          <cell r="C8175" t="str">
            <v>BRS_GOLD__2_FX:FX2:ILS_ILS_FX2_EUR</v>
          </cell>
          <cell r="E8175" t="str">
            <v>FX</v>
          </cell>
          <cell r="F8175" t="str">
            <v>Other</v>
          </cell>
          <cell r="G8175" t="str">
            <v>Other</v>
          </cell>
          <cell r="H8175" t="str">
            <v>OTHER</v>
          </cell>
          <cell r="I8175" t="str">
            <v>FX^2</v>
          </cell>
        </row>
        <row r="8176">
          <cell r="A8176" t="str">
            <v>[INR_INR_FX2_USD+EUR_EUR_FX2_USD-INR_EUR_FX2_USD-INR_EUR_FX2_USD]</v>
          </cell>
          <cell r="B8176" t="str">
            <v>INR/EUR ^2</v>
          </cell>
          <cell r="C8176" t="str">
            <v>BRS_GOLD__2_FX:FX2:INR_INR_FX2_EUR</v>
          </cell>
          <cell r="E8176" t="str">
            <v>FX</v>
          </cell>
          <cell r="F8176" t="str">
            <v>Other</v>
          </cell>
          <cell r="G8176" t="str">
            <v>Other</v>
          </cell>
          <cell r="H8176" t="str">
            <v>OTHER</v>
          </cell>
          <cell r="I8176" t="str">
            <v>FX^2</v>
          </cell>
        </row>
        <row r="8177">
          <cell r="A8177" t="str">
            <v>[KRW_KRW_FX2_USD+EUR_EUR_FX2_USD-KRW_EUR_FX2_USD-KRW_EUR_FX2_USD]</v>
          </cell>
          <cell r="B8177" t="str">
            <v>KRW/EUR ^2</v>
          </cell>
          <cell r="C8177" t="str">
            <v>BRS_GOLD__2_FX:FX2:KRW_KRW_FX2_EUR</v>
          </cell>
          <cell r="E8177" t="str">
            <v>FX</v>
          </cell>
          <cell r="F8177" t="str">
            <v>Other</v>
          </cell>
          <cell r="G8177" t="str">
            <v>Other</v>
          </cell>
          <cell r="H8177" t="str">
            <v>OTHER</v>
          </cell>
          <cell r="I8177" t="str">
            <v>FX^2</v>
          </cell>
        </row>
        <row r="8178">
          <cell r="A8178" t="str">
            <v>[MXN_MXN_FX2_USD+EUR_EUR_FX2_USD-MXN_EUR_FX2_USD-MXN_EUR_FX2_USD]</v>
          </cell>
          <cell r="B8178" t="str">
            <v>MXN/EUR ^2</v>
          </cell>
          <cell r="C8178" t="str">
            <v>BRS_GOLD__2_FX:FX2:MXN_MXN_FX2_EUR</v>
          </cell>
          <cell r="E8178" t="str">
            <v>FX</v>
          </cell>
          <cell r="F8178" t="str">
            <v>Other</v>
          </cell>
          <cell r="G8178" t="str">
            <v>Other</v>
          </cell>
          <cell r="H8178" t="str">
            <v>OTHER</v>
          </cell>
          <cell r="I8178" t="str">
            <v>FX^2</v>
          </cell>
        </row>
        <row r="8179">
          <cell r="A8179" t="str">
            <v>[MYR_MYR_FX2_USD+EUR_EUR_FX2_USD-MYR_EUR_FX2_USD-MYR_EUR_FX2_USD]</v>
          </cell>
          <cell r="B8179" t="str">
            <v>MYR/EUR ^2</v>
          </cell>
          <cell r="C8179" t="str">
            <v>BRS_GOLD__2_FX:FX2:MYR_MYR_FX2_EUR</v>
          </cell>
          <cell r="E8179" t="str">
            <v>FX</v>
          </cell>
          <cell r="F8179" t="str">
            <v>Other</v>
          </cell>
          <cell r="G8179" t="str">
            <v>Other</v>
          </cell>
          <cell r="H8179" t="str">
            <v>OTHER</v>
          </cell>
          <cell r="I8179" t="str">
            <v>FX^2</v>
          </cell>
        </row>
        <row r="8180">
          <cell r="A8180" t="str">
            <v>[NOK_NOK_FX2_USD+EUR_EUR_FX2_USD-NOK_EUR_FX2_USD-NOK_EUR_FX2_USD]</v>
          </cell>
          <cell r="B8180" t="str">
            <v>NOK/EUR ^2</v>
          </cell>
          <cell r="C8180" t="str">
            <v>BRS_GOLD__2_FX:FX2:NOK_NOK_FX2_EUR</v>
          </cell>
          <cell r="E8180" t="str">
            <v>FX</v>
          </cell>
          <cell r="F8180" t="str">
            <v>Other</v>
          </cell>
          <cell r="G8180" t="str">
            <v>Other</v>
          </cell>
          <cell r="H8180" t="str">
            <v>OTHER</v>
          </cell>
          <cell r="I8180" t="str">
            <v>FX^2</v>
          </cell>
        </row>
        <row r="8181">
          <cell r="A8181" t="str">
            <v>[NZD_NZD_FX2_USD+EUR_EUR_FX2_USD-NZD_EUR_FX2_USD-NZD_EUR_FX2_USD]</v>
          </cell>
          <cell r="B8181" t="str">
            <v>NZD/EUR ^2</v>
          </cell>
          <cell r="C8181" t="str">
            <v>BRS_GOLD__2_FX:FX2:NZD_NZD_FX2_EUR</v>
          </cell>
          <cell r="E8181" t="str">
            <v>FX</v>
          </cell>
          <cell r="F8181" t="str">
            <v>Other</v>
          </cell>
          <cell r="G8181" t="str">
            <v>Other</v>
          </cell>
          <cell r="H8181" t="str">
            <v>OTHER</v>
          </cell>
          <cell r="I8181" t="str">
            <v>FX^2</v>
          </cell>
        </row>
        <row r="8182">
          <cell r="A8182" t="str">
            <v>[PLN_PLN_FX2_USD+EUR_EUR_FX2_USD-PLN_EUR_FX2_USD-PLN_EUR_FX2_USD]</v>
          </cell>
          <cell r="B8182" t="str">
            <v>PLN/EUR ^2</v>
          </cell>
          <cell r="C8182" t="str">
            <v>BRS_GOLD__2_FX:FX2:PLN_PLN_FX2_EUR</v>
          </cell>
          <cell r="E8182" t="str">
            <v>FX</v>
          </cell>
          <cell r="F8182" t="str">
            <v>Other</v>
          </cell>
          <cell r="G8182" t="str">
            <v>Other</v>
          </cell>
          <cell r="H8182" t="str">
            <v>OTHER</v>
          </cell>
          <cell r="I8182" t="str">
            <v>FX^2</v>
          </cell>
        </row>
        <row r="8183">
          <cell r="A8183" t="str">
            <v>[SEK_SEK_FX2_USD+EUR_EUR_FX2_USD-SEK_EUR_FX2_USD-SEK_EUR_FX2_USD]</v>
          </cell>
          <cell r="B8183" t="str">
            <v>SEK/EUR ^2</v>
          </cell>
          <cell r="C8183" t="str">
            <v>BRS_GOLD__2_FX:FX2:SEK_SEK_FX2_EUR</v>
          </cell>
          <cell r="E8183" t="str">
            <v>FX</v>
          </cell>
          <cell r="F8183" t="str">
            <v>Other</v>
          </cell>
          <cell r="G8183" t="str">
            <v>Other</v>
          </cell>
          <cell r="H8183" t="str">
            <v>OTHER</v>
          </cell>
          <cell r="I8183" t="str">
            <v>FX^2</v>
          </cell>
        </row>
        <row r="8184">
          <cell r="A8184" t="str">
            <v>[SGD_SGD_FX2_USD+EUR_EUR_FX2_USD-SGD_EUR_FX2_USD-SGD_EUR_FX2_USD]</v>
          </cell>
          <cell r="B8184" t="str">
            <v>SGD/EUR ^2</v>
          </cell>
          <cell r="C8184" t="str">
            <v>BRS_GOLD__2_FX:FX2:SGD_SGD_FX2_EUR</v>
          </cell>
          <cell r="E8184" t="str">
            <v>FX</v>
          </cell>
          <cell r="F8184" t="str">
            <v>Other</v>
          </cell>
          <cell r="G8184" t="str">
            <v>Other</v>
          </cell>
          <cell r="H8184" t="str">
            <v>OTHER</v>
          </cell>
          <cell r="I8184" t="str">
            <v>FX^2</v>
          </cell>
        </row>
        <row r="8185">
          <cell r="A8185" t="str">
            <v>[TRY_TRY_FX2_USD+EUR_EUR_FX2_USD-TRY_EUR_FX2_USD-TRY_EUR_FX2_USD]</v>
          </cell>
          <cell r="B8185" t="str">
            <v>TRY/EUR ^2</v>
          </cell>
          <cell r="C8185" t="str">
            <v>BRS_GOLD__2_FX:FX2:TRY_TRY_FX2_EUR</v>
          </cell>
          <cell r="E8185" t="str">
            <v>FX</v>
          </cell>
          <cell r="F8185" t="str">
            <v>Other</v>
          </cell>
          <cell r="G8185" t="str">
            <v>Other</v>
          </cell>
          <cell r="H8185" t="str">
            <v>OTHER</v>
          </cell>
          <cell r="I8185" t="str">
            <v>FX^2</v>
          </cell>
        </row>
        <row r="8186">
          <cell r="A8186" t="str">
            <v>[ZAR_ZAR_FX2_USD+EUR_EUR_FX2_USD-ZAR_EUR_FX2_USD-ZAR_EUR_FX2_USD]</v>
          </cell>
          <cell r="B8186" t="str">
            <v>ZAR/EUR ^2</v>
          </cell>
          <cell r="C8186" t="str">
            <v>BRS_GOLD__2_FX:FX2:ZAR_ZAR_FX2_EUR</v>
          </cell>
          <cell r="E8186" t="str">
            <v>FX</v>
          </cell>
          <cell r="F8186" t="str">
            <v>Other</v>
          </cell>
          <cell r="G8186" t="str">
            <v>Other</v>
          </cell>
          <cell r="H8186" t="str">
            <v>OTHER</v>
          </cell>
          <cell r="I8186" t="str">
            <v>FX^2</v>
          </cell>
        </row>
        <row r="8187">
          <cell r="A8187" t="str">
            <v>[JPY_JPY_FX2_USD+EUR_EUR_FX2_USD-JPY_EUR_FX2_USD-JPY_EUR_FX2_USD]</v>
          </cell>
          <cell r="B8187" t="str">
            <v>JPY/EUR ^2</v>
          </cell>
          <cell r="C8187" t="str">
            <v>BRS_GOLD__2_FX:FX2:JPY_JPY_FX2_EUR</v>
          </cell>
          <cell r="E8187" t="str">
            <v>FX</v>
          </cell>
          <cell r="F8187" t="str">
            <v>Other</v>
          </cell>
          <cell r="G8187" t="str">
            <v>Other</v>
          </cell>
          <cell r="H8187" t="str">
            <v>OTHER</v>
          </cell>
          <cell r="I8187" t="str">
            <v>FX^2</v>
          </cell>
        </row>
        <row r="8188">
          <cell r="A8188" t="str">
            <v>[USD_USD_FX2_USD+EUR_EUR_FX2_USD-USD_EUR_FX2_USD-USD_EUR_FX2_USD]</v>
          </cell>
          <cell r="B8188" t="str">
            <v>USD/EUR ^2</v>
          </cell>
          <cell r="C8188" t="str">
            <v>BRS_GOLD__2_FX:FX2:USD_EUR_FX2_EUR</v>
          </cell>
          <cell r="E8188" t="str">
            <v>FX</v>
          </cell>
          <cell r="F8188" t="str">
            <v>Other</v>
          </cell>
          <cell r="G8188" t="str">
            <v>Other</v>
          </cell>
          <cell r="H8188" t="str">
            <v>OTHER</v>
          </cell>
          <cell r="I8188" t="str">
            <v>FX^2</v>
          </cell>
        </row>
        <row r="8189">
          <cell r="A8189" t="str">
            <v>[AUD_USD_FX2_USD+EUR_EUR_FX2_USD-AUD_EUR_FX2_USD-EUR_USD_FX2_USD]</v>
          </cell>
          <cell r="B8189" t="str">
            <v>AUD/EUR*USD/EUR</v>
          </cell>
          <cell r="C8189" t="str">
            <v>BRS_GOLD__2_FX:FX2:AUD_EUR_FX2_EUR</v>
          </cell>
          <cell r="E8189" t="str">
            <v>FX</v>
          </cell>
          <cell r="F8189" t="str">
            <v>Other</v>
          </cell>
          <cell r="G8189" t="str">
            <v>Other</v>
          </cell>
          <cell r="H8189" t="str">
            <v>OTHER</v>
          </cell>
          <cell r="I8189" t="str">
            <v>FX^2</v>
          </cell>
        </row>
        <row r="8190">
          <cell r="A8190" t="str">
            <v>[BRL_USD_FX2_USD+EUR_EUR_FX2_USD-BRL_EUR_FX2_USD-EUR_USD_FX2_USD]</v>
          </cell>
          <cell r="B8190" t="str">
            <v>BRL/EUR*USD/EUR</v>
          </cell>
          <cell r="C8190" t="str">
            <v>BRS_GOLD__2_FX:FX2:BRL_EUR_FX2_EUR</v>
          </cell>
          <cell r="E8190" t="str">
            <v>FX</v>
          </cell>
          <cell r="F8190" t="str">
            <v>Other</v>
          </cell>
          <cell r="G8190" t="str">
            <v>Other</v>
          </cell>
          <cell r="H8190" t="str">
            <v>OTHER</v>
          </cell>
          <cell r="I8190" t="str">
            <v>FX^2</v>
          </cell>
        </row>
        <row r="8191">
          <cell r="A8191" t="str">
            <v>[CAD_USD_FX2_USD+EUR_EUR_FX2_USD-CAD_EUR_FX2_USD-EUR_USD_FX2_USD]</v>
          </cell>
          <cell r="B8191" t="str">
            <v>CAD/EUR*USD/EUR</v>
          </cell>
          <cell r="C8191" t="str">
            <v>BRS_GOLD__2_FX:FX2:CAD_EUR_FX2_EUR</v>
          </cell>
          <cell r="E8191" t="str">
            <v>FX</v>
          </cell>
          <cell r="F8191" t="str">
            <v>Other</v>
          </cell>
          <cell r="G8191" t="str">
            <v>Other</v>
          </cell>
          <cell r="H8191" t="str">
            <v>OTHER</v>
          </cell>
          <cell r="I8191" t="str">
            <v>FX^2</v>
          </cell>
        </row>
        <row r="8192">
          <cell r="A8192" t="str">
            <v>[CHF_USD_FX2_USD+EUR_EUR_FX2_USD-CHF_EUR_FX2_USD-EUR_USD_FX2_USD]</v>
          </cell>
          <cell r="B8192" t="str">
            <v>CHF/EUR*USD/EUR</v>
          </cell>
          <cell r="C8192" t="str">
            <v>BRS_GOLD__2_FX:FX2:CHF_EUR_FX2_EUR</v>
          </cell>
          <cell r="E8192" t="str">
            <v>FX</v>
          </cell>
          <cell r="F8192" t="str">
            <v>Other</v>
          </cell>
          <cell r="G8192" t="str">
            <v>Other</v>
          </cell>
          <cell r="H8192" t="str">
            <v>OTHER</v>
          </cell>
          <cell r="I8192" t="str">
            <v>FX^2</v>
          </cell>
        </row>
        <row r="8193">
          <cell r="A8193" t="str">
            <v>[CNY_USD_FX2_USD+EUR_EUR_FX2_USD-CNY_EUR_FX2_USD-EUR_USD_FX2_USD]</v>
          </cell>
          <cell r="B8193" t="str">
            <v>CNY/EUR*USD/EUR</v>
          </cell>
          <cell r="C8193" t="str">
            <v>BRS_GOLD__2_FX:FX2:CNY_EUR_FX2_EUR</v>
          </cell>
          <cell r="E8193" t="str">
            <v>FX</v>
          </cell>
          <cell r="F8193" t="str">
            <v>Other</v>
          </cell>
          <cell r="G8193" t="str">
            <v>Other</v>
          </cell>
          <cell r="H8193" t="str">
            <v>OTHER</v>
          </cell>
          <cell r="I8193" t="str">
            <v>FX^2</v>
          </cell>
        </row>
        <row r="8194">
          <cell r="A8194" t="str">
            <v>[CZK_USD_FX2_USD+EUR_EUR_FX2_USD-CZK_EUR_FX2_USD-EUR_USD_FX2_USD]</v>
          </cell>
          <cell r="B8194" t="str">
            <v>CZK/EUR*USD/EUR</v>
          </cell>
          <cell r="C8194" t="str">
            <v>BRS_GOLD__2_FX:FX2:CZK_EUR_FX2_EUR</v>
          </cell>
          <cell r="E8194" t="str">
            <v>FX</v>
          </cell>
          <cell r="F8194" t="str">
            <v>Other</v>
          </cell>
          <cell r="G8194" t="str">
            <v>Other</v>
          </cell>
          <cell r="H8194" t="str">
            <v>OTHER</v>
          </cell>
          <cell r="I8194" t="str">
            <v>FX^2</v>
          </cell>
        </row>
        <row r="8195">
          <cell r="A8195" t="str">
            <v>[EUR_USD_FX2_USD+EUR_EUR_FX2_USD-EUR_EUR_FX2_USD-EUR_USD_FX2_USD]</v>
          </cell>
          <cell r="B8195" t="str">
            <v>EUR/EUR*USD/EUR</v>
          </cell>
          <cell r="C8195" t="str">
            <v>BRS_GOLD__2_FX:FX2:EUR_EUR_FX2_EUR</v>
          </cell>
          <cell r="E8195" t="str">
            <v>FX</v>
          </cell>
          <cell r="F8195" t="str">
            <v>Other</v>
          </cell>
          <cell r="G8195" t="str">
            <v>Other</v>
          </cell>
          <cell r="H8195" t="str">
            <v>OTHER</v>
          </cell>
          <cell r="I8195" t="str">
            <v>FX^2</v>
          </cell>
        </row>
        <row r="8196">
          <cell r="A8196" t="str">
            <v>[GBP_USD_FX2_USD+EUR_EUR_FX2_USD-GBP_EUR_FX2_USD-EUR_USD_FX2_USD]</v>
          </cell>
          <cell r="B8196" t="str">
            <v>GBP/EUR*USD/EUR</v>
          </cell>
          <cell r="C8196" t="str">
            <v>BRS_GOLD__2_FX:FX2:GBP_EUR_FX2_EUR</v>
          </cell>
          <cell r="E8196" t="str">
            <v>FX</v>
          </cell>
          <cell r="F8196" t="str">
            <v>Other</v>
          </cell>
          <cell r="G8196" t="str">
            <v>Other</v>
          </cell>
          <cell r="H8196" t="str">
            <v>OTHER</v>
          </cell>
          <cell r="I8196" t="str">
            <v>FX^2</v>
          </cell>
        </row>
        <row r="8197">
          <cell r="A8197" t="str">
            <v>[HUF_USD_FX2_USD+EUR_EUR_FX2_USD-HUF_EUR_FX2_USD-EUR_USD_FX2_USD]</v>
          </cell>
          <cell r="B8197" t="str">
            <v>HUF/EUR*USD/EUR</v>
          </cell>
          <cell r="C8197" t="str">
            <v>BRS_GOLD__2_FX:FX2:HUF_EUR_FX2_EUR</v>
          </cell>
          <cell r="E8197" t="str">
            <v>FX</v>
          </cell>
          <cell r="F8197" t="str">
            <v>Other</v>
          </cell>
          <cell r="G8197" t="str">
            <v>Other</v>
          </cell>
          <cell r="H8197" t="str">
            <v>OTHER</v>
          </cell>
          <cell r="I8197" t="str">
            <v>FX^2</v>
          </cell>
        </row>
        <row r="8198">
          <cell r="A8198" t="str">
            <v>[ILS_USD_FX2_USD+EUR_EUR_FX2_USD-ILS_EUR_FX2_USD-EUR_USD_FX2_USD]</v>
          </cell>
          <cell r="B8198" t="str">
            <v>ILS/EUR*USD/EUR</v>
          </cell>
          <cell r="C8198" t="str">
            <v>BRS_GOLD__2_FX:FX2:ILS_EUR_FX2_EUR</v>
          </cell>
          <cell r="E8198" t="str">
            <v>FX</v>
          </cell>
          <cell r="F8198" t="str">
            <v>Other</v>
          </cell>
          <cell r="G8198" t="str">
            <v>Other</v>
          </cell>
          <cell r="H8198" t="str">
            <v>OTHER</v>
          </cell>
          <cell r="I8198" t="str">
            <v>FX^2</v>
          </cell>
        </row>
        <row r="8199">
          <cell r="A8199" t="str">
            <v>[JPY_USD_FX2_USD+EUR_EUR_FX2_USD-JPY_EUR_FX2_USD-EUR_USD_FX2_USD]</v>
          </cell>
          <cell r="B8199" t="str">
            <v>JPY/EUR*USD/EUR</v>
          </cell>
          <cell r="C8199" t="str">
            <v>BRS_GOLD__2_FX:FX2:JPY_EUR_FX2_EUR</v>
          </cell>
          <cell r="E8199" t="str">
            <v>FX</v>
          </cell>
          <cell r="F8199" t="str">
            <v>Other</v>
          </cell>
          <cell r="G8199" t="str">
            <v>Other</v>
          </cell>
          <cell r="H8199" t="str">
            <v>OTHER</v>
          </cell>
          <cell r="I8199" t="str">
            <v>FX^2</v>
          </cell>
        </row>
        <row r="8200">
          <cell r="A8200" t="str">
            <v>[MXN_USD_FX2_USD+EUR_EUR_FX2_USD-MXN_EUR_FX2_USD-EUR_USD_FX2_USD]</v>
          </cell>
          <cell r="B8200" t="str">
            <v>MXN/EUR*USD/EUR</v>
          </cell>
          <cell r="C8200" t="str">
            <v>BRS_GOLD__2_FX:FX2:MXN_EUR_FX2_EUR</v>
          </cell>
          <cell r="E8200" t="str">
            <v>FX</v>
          </cell>
          <cell r="F8200" t="str">
            <v>Other</v>
          </cell>
          <cell r="G8200" t="str">
            <v>Other</v>
          </cell>
          <cell r="H8200" t="str">
            <v>OTHER</v>
          </cell>
          <cell r="I8200" t="str">
            <v>FX^2</v>
          </cell>
        </row>
        <row r="8201">
          <cell r="A8201" t="str">
            <v>[NOK_USD_FX2_USD+EUR_EUR_FX2_USD-NOK_EUR_FX2_USD-EUR_USD_FX2_USD]</v>
          </cell>
          <cell r="B8201" t="str">
            <v>NOK/EUR*USD/EUR</v>
          </cell>
          <cell r="C8201" t="str">
            <v>BRS_GOLD__2_FX:FX2:NOK_EUR_FX2_EUR</v>
          </cell>
          <cell r="E8201" t="str">
            <v>FX</v>
          </cell>
          <cell r="F8201" t="str">
            <v>Other</v>
          </cell>
          <cell r="G8201" t="str">
            <v>Other</v>
          </cell>
          <cell r="H8201" t="str">
            <v>OTHER</v>
          </cell>
          <cell r="I8201" t="str">
            <v>FX^2</v>
          </cell>
        </row>
        <row r="8202">
          <cell r="A8202" t="str">
            <v>[NZD_USD_FX2_USD+EUR_EUR_FX2_USD-NZD_EUR_FX2_USD-EUR_USD_FX2_USD]</v>
          </cell>
          <cell r="B8202" t="str">
            <v>NZD/EUR*USD/EUR</v>
          </cell>
          <cell r="C8202" t="str">
            <v>BRS_GOLD__2_FX:FX2:NZD_EUR_FX2_EUR</v>
          </cell>
          <cell r="E8202" t="str">
            <v>FX</v>
          </cell>
          <cell r="F8202" t="str">
            <v>Other</v>
          </cell>
          <cell r="G8202" t="str">
            <v>Other</v>
          </cell>
          <cell r="H8202" t="str">
            <v>OTHER</v>
          </cell>
          <cell r="I8202" t="str">
            <v>FX^2</v>
          </cell>
        </row>
        <row r="8203">
          <cell r="A8203" t="str">
            <v>[PLN_USD_FX2_USD+EUR_EUR_FX2_USD-PLN_EUR_FX2_USD-EUR_USD_FX2_USD]</v>
          </cell>
          <cell r="B8203" t="str">
            <v>PLN/EUR*USD/EUR</v>
          </cell>
          <cell r="C8203" t="str">
            <v>BRS_GOLD__2_FX:FX2:PLN_EUR_FX2_EUR</v>
          </cell>
          <cell r="E8203" t="str">
            <v>FX</v>
          </cell>
          <cell r="F8203" t="str">
            <v>Other</v>
          </cell>
          <cell r="G8203" t="str">
            <v>Other</v>
          </cell>
          <cell r="H8203" t="str">
            <v>OTHER</v>
          </cell>
          <cell r="I8203" t="str">
            <v>FX^2</v>
          </cell>
        </row>
        <row r="8204">
          <cell r="A8204" t="str">
            <v>[SEK_USD_FX2_USD+EUR_EUR_FX2_USD-SEK_EUR_FX2_USD-EUR_USD_FX2_USD]</v>
          </cell>
          <cell r="B8204" t="str">
            <v>SEK/EUR*USD/EUR</v>
          </cell>
          <cell r="C8204" t="str">
            <v>BRS_GOLD__2_FX:FX2:SEK_EUR_FX2_EUR</v>
          </cell>
          <cell r="E8204" t="str">
            <v>FX</v>
          </cell>
          <cell r="F8204" t="str">
            <v>Other</v>
          </cell>
          <cell r="G8204" t="str">
            <v>Other</v>
          </cell>
          <cell r="H8204" t="str">
            <v>OTHER</v>
          </cell>
          <cell r="I8204" t="str">
            <v>FX^2</v>
          </cell>
        </row>
        <row r="8205">
          <cell r="A8205" t="str">
            <v>[TRY_USD_FX2_USD+EUR_EUR_FX2_USD-TRY_EUR_FX2_USD-EUR_USD_FX2_USD]</v>
          </cell>
          <cell r="B8205" t="str">
            <v>TRY/EUR*USD/EUR</v>
          </cell>
          <cell r="C8205" t="str">
            <v>BRS_GOLD__2_FX:FX2:TRY_EUR_FX2_EUR</v>
          </cell>
          <cell r="E8205" t="str">
            <v>FX</v>
          </cell>
          <cell r="F8205" t="str">
            <v>Other</v>
          </cell>
          <cell r="G8205" t="str">
            <v>Other</v>
          </cell>
          <cell r="H8205" t="str">
            <v>OTHER</v>
          </cell>
          <cell r="I8205" t="str">
            <v>FX^2</v>
          </cell>
        </row>
        <row r="8206">
          <cell r="A8206" t="str">
            <v>[AUD_BRL_FX2_USD+EUR_EUR_FX2_USD-AUD_EUR_FX2_USD-EUR_BRL_FX2_USD]</v>
          </cell>
          <cell r="B8206" t="str">
            <v>AUD/EUR*BRL/EUR</v>
          </cell>
          <cell r="C8206" t="str">
            <v>BRS_GOLD__2_FX:FX2:AUD_BRL_FX2_EUR</v>
          </cell>
          <cell r="E8206" t="str">
            <v>FX</v>
          </cell>
          <cell r="F8206" t="str">
            <v>Other</v>
          </cell>
          <cell r="G8206" t="str">
            <v>Other</v>
          </cell>
          <cell r="H8206" t="str">
            <v>OTHER</v>
          </cell>
          <cell r="I8206" t="str">
            <v>FX^2</v>
          </cell>
        </row>
        <row r="8207">
          <cell r="A8207" t="str">
            <v>[AUD_CAD_FX2_USD+EUR_EUR_FX2_USD-AUD_EUR_FX2_USD-EUR_CAD_FX2_USD]</v>
          </cell>
          <cell r="B8207" t="str">
            <v>AUD/EUR*CAD/EUR</v>
          </cell>
          <cell r="C8207" t="str">
            <v>BRS_GOLD__2_FX:FX2:AUD_CAD_FX2_EUR</v>
          </cell>
          <cell r="E8207" t="str">
            <v>FX</v>
          </cell>
          <cell r="F8207" t="str">
            <v>Other</v>
          </cell>
          <cell r="G8207" t="str">
            <v>Other</v>
          </cell>
          <cell r="H8207" t="str">
            <v>OTHER</v>
          </cell>
          <cell r="I8207" t="str">
            <v>FX^2</v>
          </cell>
        </row>
        <row r="8208">
          <cell r="A8208" t="str">
            <v>[AUD_CHF_FX2_USD+EUR_EUR_FX2_USD-AUD_EUR_FX2_USD-EUR_CHF_FX2_USD]</v>
          </cell>
          <cell r="B8208" t="str">
            <v>AUD/EUR*CHF/EUR</v>
          </cell>
          <cell r="C8208" t="str">
            <v>BRS_GOLD__2_FX:FX2:AUD_CHF_FX2_EUR</v>
          </cell>
          <cell r="E8208" t="str">
            <v>FX</v>
          </cell>
          <cell r="F8208" t="str">
            <v>Other</v>
          </cell>
          <cell r="G8208" t="str">
            <v>Other</v>
          </cell>
          <cell r="H8208" t="str">
            <v>OTHER</v>
          </cell>
          <cell r="I8208" t="str">
            <v>FX^2</v>
          </cell>
        </row>
        <row r="8209">
          <cell r="A8209" t="str">
            <v>[AUD_CZK_FX2_USD+EUR_EUR_FX2_USD-AUD_EUR_FX2_USD-EUR_CZK_FX2_USD]</v>
          </cell>
          <cell r="B8209" t="str">
            <v>AUD/EUR*CZK/EUR</v>
          </cell>
          <cell r="C8209" t="str">
            <v>BRS_GOLD__2_FX:FX2:AUD_CZK_FX2_EUR</v>
          </cell>
          <cell r="E8209" t="str">
            <v>FX</v>
          </cell>
          <cell r="F8209" t="str">
            <v>Other</v>
          </cell>
          <cell r="G8209" t="str">
            <v>Other</v>
          </cell>
          <cell r="H8209" t="str">
            <v>OTHER</v>
          </cell>
          <cell r="I8209" t="str">
            <v>FX^2</v>
          </cell>
        </row>
        <row r="8210">
          <cell r="A8210" t="str">
            <v>[AUD_EUR_FX2_USD+EUR_EUR_FX2_USD-AUD_EUR_FX2_USD-EUR_EUR_FX2_USD]</v>
          </cell>
          <cell r="B8210" t="str">
            <v>AUD/EUR*EUR/EUR</v>
          </cell>
          <cell r="C8210" t="str">
            <v>BRS_GOLD__2_FX:FX2:AUD_EUR_FX2_EUR</v>
          </cell>
          <cell r="E8210" t="str">
            <v>FX</v>
          </cell>
          <cell r="F8210" t="str">
            <v>Other</v>
          </cell>
          <cell r="G8210" t="str">
            <v>Other</v>
          </cell>
          <cell r="H8210" t="str">
            <v>OTHER</v>
          </cell>
          <cell r="I8210" t="str">
            <v>FX^2</v>
          </cell>
        </row>
        <row r="8211">
          <cell r="A8211" t="str">
            <v>[AUD_GBP_FX2_USD+EUR_EUR_FX2_USD-AUD_EUR_FX2_USD-EUR_GBP_FX2_USD]</v>
          </cell>
          <cell r="B8211" t="str">
            <v>AUD/EUR*GBP/EUR</v>
          </cell>
          <cell r="C8211" t="str">
            <v>BRS_GOLD__2_FX:FX2:AUD_GBP_FX2_EUR</v>
          </cell>
          <cell r="E8211" t="str">
            <v>FX</v>
          </cell>
          <cell r="F8211" t="str">
            <v>Other</v>
          </cell>
          <cell r="G8211" t="str">
            <v>Other</v>
          </cell>
          <cell r="H8211" t="str">
            <v>OTHER</v>
          </cell>
          <cell r="I8211" t="str">
            <v>FX^2</v>
          </cell>
        </row>
        <row r="8212">
          <cell r="A8212" t="str">
            <v>[AUD_HUF_FX2_USD+EUR_EUR_FX2_USD-AUD_EUR_FX2_USD-EUR_HUF_FX2_USD]</v>
          </cell>
          <cell r="B8212" t="str">
            <v>AUD/EUR*HUF/EUR</v>
          </cell>
          <cell r="C8212" t="str">
            <v>BRS_GOLD__2_FX:FX2:AUD_HUF_FX2_EUR</v>
          </cell>
          <cell r="E8212" t="str">
            <v>FX</v>
          </cell>
          <cell r="F8212" t="str">
            <v>Other</v>
          </cell>
          <cell r="G8212" t="str">
            <v>Other</v>
          </cell>
          <cell r="H8212" t="str">
            <v>OTHER</v>
          </cell>
          <cell r="I8212" t="str">
            <v>FX^2</v>
          </cell>
        </row>
        <row r="8213">
          <cell r="A8213" t="str">
            <v>[AUD_IDR_FX2_USD+EUR_EUR_FX2_USD-AUD_EUR_FX2_USD-EUR_IDR_FX2_USD]</v>
          </cell>
          <cell r="B8213" t="str">
            <v>AUD/EUR*IDR/EUR</v>
          </cell>
          <cell r="C8213" t="str">
            <v>BRS_GOLD__2_FX:FX2:AUD_IDR_FX2_EUR</v>
          </cell>
          <cell r="E8213" t="str">
            <v>FX</v>
          </cell>
          <cell r="F8213" t="str">
            <v>Other</v>
          </cell>
          <cell r="G8213" t="str">
            <v>Other</v>
          </cell>
          <cell r="H8213" t="str">
            <v>OTHER</v>
          </cell>
          <cell r="I8213" t="str">
            <v>FX^2</v>
          </cell>
        </row>
        <row r="8214">
          <cell r="A8214" t="str">
            <v>[AUD_ILS_FX2_USD+EUR_EUR_FX2_USD-AUD_EUR_FX2_USD-EUR_ILS_FX2_USD]</v>
          </cell>
          <cell r="B8214" t="str">
            <v>AUD/EUR*ILS/EUR</v>
          </cell>
          <cell r="C8214" t="str">
            <v>BRS_GOLD__2_FX:FX2:AUD_ILS_FX2_EUR</v>
          </cell>
          <cell r="E8214" t="str">
            <v>FX</v>
          </cell>
          <cell r="F8214" t="str">
            <v>Other</v>
          </cell>
          <cell r="G8214" t="str">
            <v>Other</v>
          </cell>
          <cell r="H8214" t="str">
            <v>OTHER</v>
          </cell>
          <cell r="I8214" t="str">
            <v>FX^2</v>
          </cell>
        </row>
        <row r="8215">
          <cell r="A8215" t="str">
            <v>[AUD_INR_FX2_USD+EUR_EUR_FX2_USD-AUD_EUR_FX2_USD-EUR_INR_FX2_USD]</v>
          </cell>
          <cell r="B8215" t="str">
            <v>AUD/EUR*INR/EUR</v>
          </cell>
          <cell r="C8215" t="str">
            <v>BRS_GOLD__2_FX:FX2:AUD_INR_FX2_EUR</v>
          </cell>
          <cell r="E8215" t="str">
            <v>FX</v>
          </cell>
          <cell r="F8215" t="str">
            <v>Other</v>
          </cell>
          <cell r="G8215" t="str">
            <v>Other</v>
          </cell>
          <cell r="H8215" t="str">
            <v>OTHER</v>
          </cell>
          <cell r="I8215" t="str">
            <v>FX^2</v>
          </cell>
        </row>
        <row r="8216">
          <cell r="A8216" t="str">
            <v>[AUD_JPY_FX2_USD+EUR_EUR_FX2_USD-AUD_EUR_FX2_USD-EUR_JPY_FX2_USD]</v>
          </cell>
          <cell r="B8216" t="str">
            <v>AUD/EUR*JPY/EUR</v>
          </cell>
          <cell r="C8216" t="str">
            <v>BRS_GOLD__2_FX:FX2:AUD_JPY_FX2_EUR</v>
          </cell>
          <cell r="E8216" t="str">
            <v>FX</v>
          </cell>
          <cell r="F8216" t="str">
            <v>Other</v>
          </cell>
          <cell r="G8216" t="str">
            <v>Other</v>
          </cell>
          <cell r="H8216" t="str">
            <v>OTHER</v>
          </cell>
          <cell r="I8216" t="str">
            <v>FX^2</v>
          </cell>
        </row>
        <row r="8217">
          <cell r="A8217" t="str">
            <v>[AUD_KRW_FX2_USD+EUR_EUR_FX2_USD-AUD_EUR_FX2_USD-EUR_KRW_FX2_USD]</v>
          </cell>
          <cell r="B8217" t="str">
            <v>AUD/EUR*KRW/EUR</v>
          </cell>
          <cell r="C8217" t="str">
            <v>BRS_GOLD__2_FX:FX2:AUD_KRW_FX2_EUR</v>
          </cell>
          <cell r="E8217" t="str">
            <v>FX</v>
          </cell>
          <cell r="F8217" t="str">
            <v>Other</v>
          </cell>
          <cell r="G8217" t="str">
            <v>Other</v>
          </cell>
          <cell r="H8217" t="str">
            <v>OTHER</v>
          </cell>
          <cell r="I8217" t="str">
            <v>FX^2</v>
          </cell>
        </row>
        <row r="8218">
          <cell r="A8218" t="str">
            <v>[AUD_MXN_FX2_USD+EUR_EUR_FX2_USD-AUD_EUR_FX2_USD-EUR_MXN_FX2_USD]</v>
          </cell>
          <cell r="B8218" t="str">
            <v>AUD/EUR*MXN/EUR</v>
          </cell>
          <cell r="C8218" t="str">
            <v>BRS_GOLD__2_FX:FX2:AUD_MXN_FX2_EUR</v>
          </cell>
          <cell r="E8218" t="str">
            <v>FX</v>
          </cell>
          <cell r="F8218" t="str">
            <v>Other</v>
          </cell>
          <cell r="G8218" t="str">
            <v>Other</v>
          </cell>
          <cell r="H8218" t="str">
            <v>OTHER</v>
          </cell>
          <cell r="I8218" t="str">
            <v>FX^2</v>
          </cell>
        </row>
        <row r="8219">
          <cell r="A8219" t="str">
            <v>[AUD_MYR_FX2_USD+EUR_EUR_FX2_USD-AUD_EUR_FX2_USD-EUR_MYR_FX2_USD]</v>
          </cell>
          <cell r="B8219" t="str">
            <v>AUD/EUR*MYR/EUR</v>
          </cell>
          <cell r="C8219" t="str">
            <v>BRS_GOLD__2_FX:FX2:AUD_MYR_FX2_EUR</v>
          </cell>
          <cell r="E8219" t="str">
            <v>FX</v>
          </cell>
          <cell r="F8219" t="str">
            <v>Other</v>
          </cell>
          <cell r="G8219" t="str">
            <v>Other</v>
          </cell>
          <cell r="H8219" t="str">
            <v>OTHER</v>
          </cell>
          <cell r="I8219" t="str">
            <v>FX^2</v>
          </cell>
        </row>
        <row r="8220">
          <cell r="A8220" t="str">
            <v>[AUD_NOK_FX2_USD+EUR_EUR_FX2_USD-AUD_EUR_FX2_USD-EUR_NOK_FX2_USD]</v>
          </cell>
          <cell r="B8220" t="str">
            <v>AUD/EUR*NOK/EUR</v>
          </cell>
          <cell r="C8220" t="str">
            <v>BRS_GOLD__2_FX:FX2:AUD_NOK_FX2_EUR</v>
          </cell>
          <cell r="E8220" t="str">
            <v>FX</v>
          </cell>
          <cell r="F8220" t="str">
            <v>Other</v>
          </cell>
          <cell r="G8220" t="str">
            <v>Other</v>
          </cell>
          <cell r="H8220" t="str">
            <v>OTHER</v>
          </cell>
          <cell r="I8220" t="str">
            <v>FX^2</v>
          </cell>
        </row>
        <row r="8221">
          <cell r="A8221" t="str">
            <v>[AUD_NZD_FX2_USD+EUR_EUR_FX2_USD-AUD_EUR_FX2_USD-EUR_NZD_FX2_USD]</v>
          </cell>
          <cell r="B8221" t="str">
            <v>AUD/EUR*NZD/EUR</v>
          </cell>
          <cell r="C8221" t="str">
            <v>BRS_GOLD__2_FX:FX2:AUD_NZD_FX2_EUR</v>
          </cell>
          <cell r="E8221" t="str">
            <v>FX</v>
          </cell>
          <cell r="F8221" t="str">
            <v>Other</v>
          </cell>
          <cell r="G8221" t="str">
            <v>Other</v>
          </cell>
          <cell r="H8221" t="str">
            <v>OTHER</v>
          </cell>
          <cell r="I8221" t="str">
            <v>FX^2</v>
          </cell>
        </row>
        <row r="8222">
          <cell r="A8222" t="str">
            <v>[AUD_PLN_FX2_USD+EUR_EUR_FX2_USD-AUD_EUR_FX2_USD-EUR_PLN_FX2_USD]</v>
          </cell>
          <cell r="B8222" t="str">
            <v>AUD/EUR*PLN/EUR</v>
          </cell>
          <cell r="C8222" t="str">
            <v>BRS_GOLD__2_FX:FX2:AUD_PLN_FX2_EUR</v>
          </cell>
          <cell r="E8222" t="str">
            <v>FX</v>
          </cell>
          <cell r="F8222" t="str">
            <v>Other</v>
          </cell>
          <cell r="G8222" t="str">
            <v>Other</v>
          </cell>
          <cell r="H8222" t="str">
            <v>OTHER</v>
          </cell>
          <cell r="I8222" t="str">
            <v>FX^2</v>
          </cell>
        </row>
        <row r="8223">
          <cell r="A8223" t="str">
            <v>[AUD_SEK_FX2_USD+EUR_EUR_FX2_USD-AUD_EUR_FX2_USD-EUR_SEK_FX2_USD]</v>
          </cell>
          <cell r="B8223" t="str">
            <v>AUD/EUR*SEK/EUR</v>
          </cell>
          <cell r="C8223" t="str">
            <v>BRS_GOLD__2_FX:FX2:AUD_SEK_FX2_EUR</v>
          </cell>
          <cell r="E8223" t="str">
            <v>FX</v>
          </cell>
          <cell r="F8223" t="str">
            <v>Other</v>
          </cell>
          <cell r="G8223" t="str">
            <v>Other</v>
          </cell>
          <cell r="H8223" t="str">
            <v>OTHER</v>
          </cell>
          <cell r="I8223" t="str">
            <v>FX^2</v>
          </cell>
        </row>
        <row r="8224">
          <cell r="A8224" t="str">
            <v>[AUD_SGD_FX2_USD+EUR_EUR_FX2_USD-AUD_EUR_FX2_USD-EUR_SGD_FX2_USD]</v>
          </cell>
          <cell r="B8224" t="str">
            <v>AUD/EUR*SGD/EUR</v>
          </cell>
          <cell r="C8224" t="str">
            <v>BRS_GOLD__2_FX:FX2:AUD_SGD_FX2_EUR</v>
          </cell>
          <cell r="E8224" t="str">
            <v>FX</v>
          </cell>
          <cell r="F8224" t="str">
            <v>Other</v>
          </cell>
          <cell r="G8224" t="str">
            <v>Other</v>
          </cell>
          <cell r="H8224" t="str">
            <v>OTHER</v>
          </cell>
          <cell r="I8224" t="str">
            <v>FX^2</v>
          </cell>
        </row>
        <row r="8225">
          <cell r="A8225" t="str">
            <v>[AUD_TRY_FX2_USD+EUR_EUR_FX2_USD-AUD_EUR_FX2_USD-EUR_TRY_FX2_USD]</v>
          </cell>
          <cell r="B8225" t="str">
            <v>AUD/EUR*TRY/EUR</v>
          </cell>
          <cell r="C8225" t="str">
            <v>BRS_GOLD__2_FX:FX2:AUD_TRY_FX2_EUR</v>
          </cell>
          <cell r="E8225" t="str">
            <v>FX</v>
          </cell>
          <cell r="F8225" t="str">
            <v>Other</v>
          </cell>
          <cell r="G8225" t="str">
            <v>Other</v>
          </cell>
          <cell r="H8225" t="str">
            <v>OTHER</v>
          </cell>
          <cell r="I8225" t="str">
            <v>FX^2</v>
          </cell>
        </row>
        <row r="8226">
          <cell r="A8226" t="str">
            <v>[AUD_ZAR_FX2_USD+EUR_EUR_FX2_USD-AUD_EUR_FX2_USD-EUR_ZAR_FX2_USD]</v>
          </cell>
          <cell r="B8226" t="str">
            <v>AUD/EUR*ZAR/EUR</v>
          </cell>
          <cell r="C8226" t="str">
            <v>BRS_GOLD__2_FX:FX2:AUD_ZAR_FX2_EUR</v>
          </cell>
          <cell r="E8226" t="str">
            <v>FX</v>
          </cell>
          <cell r="F8226" t="str">
            <v>Other</v>
          </cell>
          <cell r="G8226" t="str">
            <v>Other</v>
          </cell>
          <cell r="H8226" t="str">
            <v>OTHER</v>
          </cell>
          <cell r="I8226" t="str">
            <v>FX^2</v>
          </cell>
        </row>
        <row r="8227">
          <cell r="A8227" t="str">
            <v>[BRL_EUR_FX2_USD+EUR_EUR_FX2_USD-BRL_EUR_FX2_USD-EUR_EUR_FX2_USD]</v>
          </cell>
          <cell r="B8227" t="str">
            <v>BRL/EUR*EUR/EUR</v>
          </cell>
          <cell r="C8227" t="str">
            <v>BRS_GOLD__2_FX:FX2:BRL_EUR_FX2_EUR</v>
          </cell>
          <cell r="E8227" t="str">
            <v>FX</v>
          </cell>
          <cell r="F8227" t="str">
            <v>Other</v>
          </cell>
          <cell r="G8227" t="str">
            <v>Other</v>
          </cell>
          <cell r="H8227" t="str">
            <v>OTHER</v>
          </cell>
          <cell r="I8227" t="str">
            <v>FX^2</v>
          </cell>
        </row>
        <row r="8228">
          <cell r="A8228" t="str">
            <v>[BRL_GBP_FX2_USD+EUR_EUR_FX2_USD-BRL_EUR_FX2_USD-EUR_GBP_FX2_USD]</v>
          </cell>
          <cell r="B8228" t="str">
            <v>BRL/EUR*GBP/EUR</v>
          </cell>
          <cell r="C8228" t="str">
            <v>BRS_GOLD__2_FX:FX2:BRL_GBP_FX2_EUR</v>
          </cell>
          <cell r="E8228" t="str">
            <v>FX</v>
          </cell>
          <cell r="F8228" t="str">
            <v>Other</v>
          </cell>
          <cell r="G8228" t="str">
            <v>Other</v>
          </cell>
          <cell r="H8228" t="str">
            <v>OTHER</v>
          </cell>
          <cell r="I8228" t="str">
            <v>FX^2</v>
          </cell>
        </row>
        <row r="8229">
          <cell r="A8229" t="str">
            <v>[BRL_JPY_FX2_USD+EUR_EUR_FX2_USD-BRL_EUR_FX2_USD-EUR_JPY_FX2_USD]</v>
          </cell>
          <cell r="B8229" t="str">
            <v>BRL/EUR*JPY/EUR</v>
          </cell>
          <cell r="C8229" t="str">
            <v>BRS_GOLD__2_FX:FX2:BRL_JPY_FX2_EUR</v>
          </cell>
          <cell r="E8229" t="str">
            <v>FX</v>
          </cell>
          <cell r="F8229" t="str">
            <v>Other</v>
          </cell>
          <cell r="G8229" t="str">
            <v>Other</v>
          </cell>
          <cell r="H8229" t="str">
            <v>OTHER</v>
          </cell>
          <cell r="I8229" t="str">
            <v>FX^2</v>
          </cell>
        </row>
        <row r="8230">
          <cell r="A8230" t="str">
            <v>[CAD_CHF_FX2_USD+EUR_EUR_FX2_USD-CAD_EUR_FX2_USD-EUR_CHF_FX2_USD]</v>
          </cell>
          <cell r="B8230" t="str">
            <v>CAD/EUR*CHF/EUR</v>
          </cell>
          <cell r="C8230" t="str">
            <v>BRS_GOLD__2_FX:FX2:CAD_CHF_FX2_EUR</v>
          </cell>
          <cell r="E8230" t="str">
            <v>FX</v>
          </cell>
          <cell r="F8230" t="str">
            <v>Other</v>
          </cell>
          <cell r="G8230" t="str">
            <v>Other</v>
          </cell>
          <cell r="H8230" t="str">
            <v>OTHER</v>
          </cell>
          <cell r="I8230" t="str">
            <v>FX^2</v>
          </cell>
        </row>
        <row r="8231">
          <cell r="A8231" t="str">
            <v>[CAD_EUR_FX2_USD+EUR_EUR_FX2_USD-CAD_EUR_FX2_USD-EUR_EUR_FX2_USD]</v>
          </cell>
          <cell r="B8231" t="str">
            <v>CAD/EUR*EUR/EUR</v>
          </cell>
          <cell r="C8231" t="str">
            <v>BRS_GOLD__2_FX:FX2:CAD_EUR_FX2_EUR</v>
          </cell>
          <cell r="E8231" t="str">
            <v>FX</v>
          </cell>
          <cell r="F8231" t="str">
            <v>Other</v>
          </cell>
          <cell r="G8231" t="str">
            <v>Other</v>
          </cell>
          <cell r="H8231" t="str">
            <v>OTHER</v>
          </cell>
          <cell r="I8231" t="str">
            <v>FX^2</v>
          </cell>
        </row>
        <row r="8232">
          <cell r="A8232" t="str">
            <v>[CAD_GBP_FX2_USD+EUR_EUR_FX2_USD-CAD_EUR_FX2_USD-EUR_GBP_FX2_USD]</v>
          </cell>
          <cell r="B8232" t="str">
            <v>CAD/EUR*GBP/EUR</v>
          </cell>
          <cell r="C8232" t="str">
            <v>BRS_GOLD__2_FX:FX2:CAD_GBP_FX2_EUR</v>
          </cell>
          <cell r="E8232" t="str">
            <v>FX</v>
          </cell>
          <cell r="F8232" t="str">
            <v>Other</v>
          </cell>
          <cell r="G8232" t="str">
            <v>Other</v>
          </cell>
          <cell r="H8232" t="str">
            <v>OTHER</v>
          </cell>
          <cell r="I8232" t="str">
            <v>FX^2</v>
          </cell>
        </row>
        <row r="8233">
          <cell r="A8233" t="str">
            <v>[CAD_JPY_FX2_USD+EUR_EUR_FX2_USD-CAD_EUR_FX2_USD-EUR_JPY_FX2_USD]</v>
          </cell>
          <cell r="B8233" t="str">
            <v>CAD/EUR*JPY/EUR</v>
          </cell>
          <cell r="C8233" t="str">
            <v>BRS_GOLD__2_FX:FX2:CAD_JPY_FX2_EUR</v>
          </cell>
          <cell r="E8233" t="str">
            <v>FX</v>
          </cell>
          <cell r="F8233" t="str">
            <v>Other</v>
          </cell>
          <cell r="G8233" t="str">
            <v>Other</v>
          </cell>
          <cell r="H8233" t="str">
            <v>OTHER</v>
          </cell>
          <cell r="I8233" t="str">
            <v>FX^2</v>
          </cell>
        </row>
        <row r="8234">
          <cell r="A8234" t="str">
            <v>[CHF_EUR_FX2_USD+EUR_EUR_FX2_USD-CHF_EUR_FX2_USD-EUR_EUR_FX2_USD]</v>
          </cell>
          <cell r="B8234" t="str">
            <v>CHF/EUR*EUR/EUR</v>
          </cell>
          <cell r="C8234" t="str">
            <v>BRS_GOLD__2_FX:FX2:CHF_EUR_FX2_EUR</v>
          </cell>
          <cell r="E8234" t="str">
            <v>FX</v>
          </cell>
          <cell r="F8234" t="str">
            <v>Other</v>
          </cell>
          <cell r="G8234" t="str">
            <v>Other</v>
          </cell>
          <cell r="H8234" t="str">
            <v>OTHER</v>
          </cell>
          <cell r="I8234" t="str">
            <v>FX^2</v>
          </cell>
        </row>
        <row r="8235">
          <cell r="A8235" t="str">
            <v>[CHF_GBP_FX2_USD+EUR_EUR_FX2_USD-CHF_EUR_FX2_USD-EUR_GBP_FX2_USD]</v>
          </cell>
          <cell r="B8235" t="str">
            <v>CHF/EUR*GBP/EUR</v>
          </cell>
          <cell r="C8235" t="str">
            <v>BRS_GOLD__2_FX:FX2:CHF_GBP_FX2_EUR</v>
          </cell>
          <cell r="E8235" t="str">
            <v>FX</v>
          </cell>
          <cell r="F8235" t="str">
            <v>Other</v>
          </cell>
          <cell r="G8235" t="str">
            <v>Other</v>
          </cell>
          <cell r="H8235" t="str">
            <v>OTHER</v>
          </cell>
          <cell r="I8235" t="str">
            <v>FX^2</v>
          </cell>
        </row>
        <row r="8236">
          <cell r="A8236" t="str">
            <v>[CHF_JPY_FX2_USD+EUR_EUR_FX2_USD-CHF_EUR_FX2_USD-EUR_JPY_FX2_USD]</v>
          </cell>
          <cell r="B8236" t="str">
            <v>CHF/EUR*JPY/EUR</v>
          </cell>
          <cell r="C8236" t="str">
            <v>BRS_GOLD__2_FX:FX2:CHF_JPY_FX2_EUR</v>
          </cell>
          <cell r="E8236" t="str">
            <v>FX</v>
          </cell>
          <cell r="F8236" t="str">
            <v>Other</v>
          </cell>
          <cell r="G8236" t="str">
            <v>Other</v>
          </cell>
          <cell r="H8236" t="str">
            <v>OTHER</v>
          </cell>
          <cell r="I8236" t="str">
            <v>FX^2</v>
          </cell>
        </row>
        <row r="8237">
          <cell r="A8237" t="str">
            <v>[CHF_SEK_FX2_USD+EUR_EUR_FX2_USD-CHF_EUR_FX2_USD-EUR_SEK_FX2_USD]</v>
          </cell>
          <cell r="B8237" t="str">
            <v>CHF/EUR*SEK/EUR</v>
          </cell>
          <cell r="C8237" t="str">
            <v>BRS_GOLD__2_FX:FX2:CHF_SEK_FX2_EUR</v>
          </cell>
          <cell r="E8237" t="str">
            <v>FX</v>
          </cell>
          <cell r="F8237" t="str">
            <v>Other</v>
          </cell>
          <cell r="G8237" t="str">
            <v>Other</v>
          </cell>
          <cell r="H8237" t="str">
            <v>OTHER</v>
          </cell>
          <cell r="I8237" t="str">
            <v>FX^2</v>
          </cell>
        </row>
        <row r="8238">
          <cell r="A8238" t="str">
            <v>[CZK_EUR_FX2_USD+EUR_EUR_FX2_USD-CZK_EUR_FX2_USD-EUR_EUR_FX2_USD]</v>
          </cell>
          <cell r="B8238" t="str">
            <v>CZK/EUR*EUR/EUR</v>
          </cell>
          <cell r="C8238" t="str">
            <v>BRS_GOLD__2_FX:FX2:CZK_EUR_FX2_EUR</v>
          </cell>
          <cell r="E8238" t="str">
            <v>FX</v>
          </cell>
          <cell r="F8238" t="str">
            <v>Other</v>
          </cell>
          <cell r="G8238" t="str">
            <v>Other</v>
          </cell>
          <cell r="H8238" t="str">
            <v>OTHER</v>
          </cell>
          <cell r="I8238" t="str">
            <v>FX^2</v>
          </cell>
        </row>
        <row r="8239">
          <cell r="A8239" t="str">
            <v>[CZK_GBP_FX2_USD+EUR_EUR_FX2_USD-CZK_EUR_FX2_USD-EUR_GBP_FX2_USD]</v>
          </cell>
          <cell r="B8239" t="str">
            <v>CZK/EUR*GBP/EUR</v>
          </cell>
          <cell r="C8239" t="str">
            <v>BRS_GOLD__2_FX:FX2:CZK_GBP_FX2_EUR</v>
          </cell>
          <cell r="E8239" t="str">
            <v>FX</v>
          </cell>
          <cell r="F8239" t="str">
            <v>Other</v>
          </cell>
          <cell r="G8239" t="str">
            <v>Other</v>
          </cell>
          <cell r="H8239" t="str">
            <v>OTHER</v>
          </cell>
          <cell r="I8239" t="str">
            <v>FX^2</v>
          </cell>
        </row>
        <row r="8240">
          <cell r="A8240" t="str">
            <v>[CZK_JPY_FX2_USD+EUR_EUR_FX2_USD-CZK_EUR_FX2_USD-EUR_JPY_FX2_USD]</v>
          </cell>
          <cell r="B8240" t="str">
            <v>CZK/EUR*JPY/EUR</v>
          </cell>
          <cell r="C8240" t="str">
            <v>BRS_GOLD__2_FX:FX2:CZK_JPY_FX2_EUR</v>
          </cell>
          <cell r="E8240" t="str">
            <v>FX</v>
          </cell>
          <cell r="F8240" t="str">
            <v>Other</v>
          </cell>
          <cell r="G8240" t="str">
            <v>Other</v>
          </cell>
          <cell r="H8240" t="str">
            <v>OTHER</v>
          </cell>
          <cell r="I8240" t="str">
            <v>FX^2</v>
          </cell>
        </row>
        <row r="8241">
          <cell r="A8241" t="str">
            <v>[EUR_BRL_FX2_USD+EUR_EUR_FX2_USD-EUR_EUR_FX2_USD-EUR_BRL_FX2_USD]</v>
          </cell>
          <cell r="B8241" t="str">
            <v>EUR/EUR*BRL/EUR</v>
          </cell>
          <cell r="C8241" t="str">
            <v>BRS_GOLD__2_FX:FX2:EUR_BRL_FX2_EUR</v>
          </cell>
          <cell r="E8241" t="str">
            <v>FX</v>
          </cell>
          <cell r="F8241" t="str">
            <v>Other</v>
          </cell>
          <cell r="G8241" t="str">
            <v>Other</v>
          </cell>
          <cell r="H8241" t="str">
            <v>OTHER</v>
          </cell>
          <cell r="I8241" t="str">
            <v>FX^2</v>
          </cell>
        </row>
        <row r="8242">
          <cell r="A8242" t="str">
            <v>[EUR_CAD_FX2_USD+EUR_EUR_FX2_USD-EUR_EUR_FX2_USD-EUR_CAD_FX2_USD]</v>
          </cell>
          <cell r="B8242" t="str">
            <v>EUR/EUR*CAD/EUR</v>
          </cell>
          <cell r="C8242" t="str">
            <v>BRS_GOLD__2_FX:FX2:EUR_CAD_FX2_EUR</v>
          </cell>
          <cell r="E8242" t="str">
            <v>FX</v>
          </cell>
          <cell r="F8242" t="str">
            <v>Other</v>
          </cell>
          <cell r="G8242" t="str">
            <v>Other</v>
          </cell>
          <cell r="H8242" t="str">
            <v>OTHER</v>
          </cell>
          <cell r="I8242" t="str">
            <v>FX^2</v>
          </cell>
        </row>
        <row r="8243">
          <cell r="A8243" t="str">
            <v>[EUR_CHF_FX2_USD+EUR_EUR_FX2_USD-EUR_EUR_FX2_USD-EUR_CHF_FX2_USD]</v>
          </cell>
          <cell r="B8243" t="str">
            <v>EUR/EUR*CHF/EUR</v>
          </cell>
          <cell r="C8243" t="str">
            <v>BRS_GOLD__2_FX:FX2:EUR_CHF_FX2_EUR</v>
          </cell>
          <cell r="E8243" t="str">
            <v>FX</v>
          </cell>
          <cell r="F8243" t="str">
            <v>Other</v>
          </cell>
          <cell r="G8243" t="str">
            <v>Other</v>
          </cell>
          <cell r="H8243" t="str">
            <v>OTHER</v>
          </cell>
          <cell r="I8243" t="str">
            <v>FX^2</v>
          </cell>
        </row>
        <row r="8244">
          <cell r="A8244" t="str">
            <v>[EUR_CNH_FX2_USD+EUR_EUR_FX2_USD-EUR_EUR_FX2_USD-EUR_CNH_FX2_USD]</v>
          </cell>
          <cell r="B8244" t="str">
            <v>EUR/EUR*CNH/EUR</v>
          </cell>
          <cell r="C8244" t="str">
            <v>BRS_GOLD__2_FX:FX2:EUR_CNH_FX2_EUR</v>
          </cell>
          <cell r="E8244" t="str">
            <v>FX</v>
          </cell>
          <cell r="F8244" t="str">
            <v>Other</v>
          </cell>
          <cell r="G8244" t="str">
            <v>Other</v>
          </cell>
          <cell r="H8244" t="str">
            <v>OTHER</v>
          </cell>
          <cell r="I8244" t="str">
            <v>FX^2</v>
          </cell>
        </row>
        <row r="8245">
          <cell r="A8245" t="str">
            <v>[EUR_CZK_FX2_USD+EUR_EUR_FX2_USD-EUR_EUR_FX2_USD-EUR_CZK_FX2_USD]</v>
          </cell>
          <cell r="B8245" t="str">
            <v>EUR/EUR*CZK/EUR</v>
          </cell>
          <cell r="C8245" t="str">
            <v>BRS_GOLD__2_FX:FX2:EUR_CZK_FX2_EUR</v>
          </cell>
          <cell r="E8245" t="str">
            <v>FX</v>
          </cell>
          <cell r="F8245" t="str">
            <v>Other</v>
          </cell>
          <cell r="G8245" t="str">
            <v>Other</v>
          </cell>
          <cell r="H8245" t="str">
            <v>OTHER</v>
          </cell>
          <cell r="I8245" t="str">
            <v>FX^2</v>
          </cell>
        </row>
        <row r="8246">
          <cell r="A8246" t="str">
            <v>[EUR_GBP_FX2_USD+EUR_EUR_FX2_USD-EUR_EUR_FX2_USD-EUR_GBP_FX2_USD]</v>
          </cell>
          <cell r="B8246" t="str">
            <v>EUR/EUR*GBP/EUR</v>
          </cell>
          <cell r="C8246" t="str">
            <v>BRS_GOLD__2_FX:FX2:EUR_GBP_FX2_EUR</v>
          </cell>
          <cell r="E8246" t="str">
            <v>FX</v>
          </cell>
          <cell r="F8246" t="str">
            <v>Other</v>
          </cell>
          <cell r="G8246" t="str">
            <v>Other</v>
          </cell>
          <cell r="H8246" t="str">
            <v>OTHER</v>
          </cell>
          <cell r="I8246" t="str">
            <v>FX^2</v>
          </cell>
        </row>
        <row r="8247">
          <cell r="A8247" t="str">
            <v>[EUR_HKD_FX2_USD+EUR_EUR_FX2_USD-EUR_EUR_FX2_USD-EUR_HKD_FX2_USD]</v>
          </cell>
          <cell r="B8247" t="str">
            <v>EUR/EUR*HKD/EUR</v>
          </cell>
          <cell r="C8247" t="str">
            <v>BRS_GOLD__2_FX:FX2:EUR_HKD_FX2_EUR</v>
          </cell>
          <cell r="E8247" t="str">
            <v>FX</v>
          </cell>
          <cell r="F8247" t="str">
            <v>Other</v>
          </cell>
          <cell r="G8247" t="str">
            <v>Other</v>
          </cell>
          <cell r="H8247" t="str">
            <v>OTHER</v>
          </cell>
          <cell r="I8247" t="str">
            <v>FX^2</v>
          </cell>
        </row>
        <row r="8248">
          <cell r="A8248" t="str">
            <v>[EUR_HUF_FX2_USD+EUR_EUR_FX2_USD-EUR_EUR_FX2_USD-EUR_HUF_FX2_USD]</v>
          </cell>
          <cell r="B8248" t="str">
            <v>EUR/EUR*HUF/EUR</v>
          </cell>
          <cell r="C8248" t="str">
            <v>BRS_GOLD__2_FX:FX2:EUR_HUF_FX2_EUR</v>
          </cell>
          <cell r="E8248" t="str">
            <v>FX</v>
          </cell>
          <cell r="F8248" t="str">
            <v>Other</v>
          </cell>
          <cell r="G8248" t="str">
            <v>Other</v>
          </cell>
          <cell r="H8248" t="str">
            <v>OTHER</v>
          </cell>
          <cell r="I8248" t="str">
            <v>FX^2</v>
          </cell>
        </row>
        <row r="8249">
          <cell r="A8249" t="str">
            <v>[EUR_IDR_FX2_USD+EUR_EUR_FX2_USD-EUR_EUR_FX2_USD-EUR_IDR_FX2_USD]</v>
          </cell>
          <cell r="B8249" t="str">
            <v>EUR/EUR*IDR/EUR</v>
          </cell>
          <cell r="C8249" t="str">
            <v>BRS_GOLD__2_FX:FX2:EUR_IDR_FX2_EUR</v>
          </cell>
          <cell r="E8249" t="str">
            <v>FX</v>
          </cell>
          <cell r="F8249" t="str">
            <v>Other</v>
          </cell>
          <cell r="G8249" t="str">
            <v>Other</v>
          </cell>
          <cell r="H8249" t="str">
            <v>OTHER</v>
          </cell>
          <cell r="I8249" t="str">
            <v>FX^2</v>
          </cell>
        </row>
        <row r="8250">
          <cell r="A8250" t="str">
            <v>[EUR_ILS_FX2_USD+EUR_EUR_FX2_USD-EUR_EUR_FX2_USD-EUR_ILS_FX2_USD]</v>
          </cell>
          <cell r="B8250" t="str">
            <v>EUR/EUR*ILS/EUR</v>
          </cell>
          <cell r="C8250" t="str">
            <v>BRS_GOLD__2_FX:FX2:EUR_ILS_FX2_EUR</v>
          </cell>
          <cell r="E8250" t="str">
            <v>FX</v>
          </cell>
          <cell r="F8250" t="str">
            <v>Other</v>
          </cell>
          <cell r="G8250" t="str">
            <v>Other</v>
          </cell>
          <cell r="H8250" t="str">
            <v>OTHER</v>
          </cell>
          <cell r="I8250" t="str">
            <v>FX^2</v>
          </cell>
        </row>
        <row r="8251">
          <cell r="A8251" t="str">
            <v>[EUR_INR_FX2_USD+EUR_EUR_FX2_USD-EUR_EUR_FX2_USD-EUR_INR_FX2_USD]</v>
          </cell>
          <cell r="B8251" t="str">
            <v>EUR/EUR*INR/EUR</v>
          </cell>
          <cell r="C8251" t="str">
            <v>BRS_GOLD__2_FX:FX2:EUR_INR_FX2_EUR</v>
          </cell>
          <cell r="E8251" t="str">
            <v>FX</v>
          </cell>
          <cell r="F8251" t="str">
            <v>Other</v>
          </cell>
          <cell r="G8251" t="str">
            <v>Other</v>
          </cell>
          <cell r="H8251" t="str">
            <v>OTHER</v>
          </cell>
          <cell r="I8251" t="str">
            <v>FX^2</v>
          </cell>
        </row>
        <row r="8252">
          <cell r="A8252" t="str">
            <v>[EUR_JPY_FX2_USD+EUR_EUR_FX2_USD-EUR_EUR_FX2_USD-EUR_JPY_FX2_USD]</v>
          </cell>
          <cell r="B8252" t="str">
            <v>EUR/EUR*JPY/EUR</v>
          </cell>
          <cell r="C8252" t="str">
            <v>BRS_GOLD__2_FX:FX2:EUR_JPY_FX2_EUR</v>
          </cell>
          <cell r="E8252" t="str">
            <v>FX</v>
          </cell>
          <cell r="F8252" t="str">
            <v>Other</v>
          </cell>
          <cell r="G8252" t="str">
            <v>Other</v>
          </cell>
          <cell r="H8252" t="str">
            <v>OTHER</v>
          </cell>
          <cell r="I8252" t="str">
            <v>FX^2</v>
          </cell>
        </row>
        <row r="8253">
          <cell r="A8253" t="str">
            <v>[EUR_KRW_FX2_USD+EUR_EUR_FX2_USD-EUR_EUR_FX2_USD-EUR_KRW_FX2_USD]</v>
          </cell>
          <cell r="B8253" t="str">
            <v>EUR/EUR*KRW/EUR</v>
          </cell>
          <cell r="C8253" t="str">
            <v>BRS_GOLD__2_FX:FX2:EUR_KRW_FX2_EUR</v>
          </cell>
          <cell r="E8253" t="str">
            <v>FX</v>
          </cell>
          <cell r="F8253" t="str">
            <v>Other</v>
          </cell>
          <cell r="G8253" t="str">
            <v>Other</v>
          </cell>
          <cell r="H8253" t="str">
            <v>OTHER</v>
          </cell>
          <cell r="I8253" t="str">
            <v>FX^2</v>
          </cell>
        </row>
        <row r="8254">
          <cell r="A8254" t="str">
            <v>[EUR_MXN_FX2_USD+EUR_EUR_FX2_USD-EUR_EUR_FX2_USD-EUR_MXN_FX2_USD]</v>
          </cell>
          <cell r="B8254" t="str">
            <v>EUR/EUR*MXN/EUR</v>
          </cell>
          <cell r="C8254" t="str">
            <v>BRS_GOLD__2_FX:FX2:EUR_MXN_FX2_EUR</v>
          </cell>
          <cell r="E8254" t="str">
            <v>FX</v>
          </cell>
          <cell r="F8254" t="str">
            <v>Other</v>
          </cell>
          <cell r="G8254" t="str">
            <v>Other</v>
          </cell>
          <cell r="H8254" t="str">
            <v>OTHER</v>
          </cell>
          <cell r="I8254" t="str">
            <v>FX^2</v>
          </cell>
        </row>
        <row r="8255">
          <cell r="A8255" t="str">
            <v>[EUR_MYR_FX2_USD+EUR_EUR_FX2_USD-EUR_EUR_FX2_USD-EUR_MYR_FX2_USD]</v>
          </cell>
          <cell r="B8255" t="str">
            <v>EUR/EUR*MYR/EUR</v>
          </cell>
          <cell r="C8255" t="str">
            <v>BRS_GOLD__2_FX:FX2:EUR_MYR_FX2_EUR</v>
          </cell>
          <cell r="E8255" t="str">
            <v>FX</v>
          </cell>
          <cell r="F8255" t="str">
            <v>Other</v>
          </cell>
          <cell r="G8255" t="str">
            <v>Other</v>
          </cell>
          <cell r="H8255" t="str">
            <v>OTHER</v>
          </cell>
          <cell r="I8255" t="str">
            <v>FX^2</v>
          </cell>
        </row>
        <row r="8256">
          <cell r="A8256" t="str">
            <v>[EUR_NOK_FX2_USD+EUR_EUR_FX2_USD-EUR_EUR_FX2_USD-EUR_NOK_FX2_USD]</v>
          </cell>
          <cell r="B8256" t="str">
            <v>EUR/EUR*NOK/EUR</v>
          </cell>
          <cell r="C8256" t="str">
            <v>BRS_GOLD__2_FX:FX2:EUR_NOK_FX2_EUR</v>
          </cell>
          <cell r="E8256" t="str">
            <v>FX</v>
          </cell>
          <cell r="F8256" t="str">
            <v>Other</v>
          </cell>
          <cell r="G8256" t="str">
            <v>Other</v>
          </cell>
          <cell r="H8256" t="str">
            <v>OTHER</v>
          </cell>
          <cell r="I8256" t="str">
            <v>FX^2</v>
          </cell>
        </row>
        <row r="8257">
          <cell r="A8257" t="str">
            <v>[EUR_NZD_FX2_USD+EUR_EUR_FX2_USD-EUR_EUR_FX2_USD-EUR_NZD_FX2_USD]</v>
          </cell>
          <cell r="B8257" t="str">
            <v>EUR/EUR*NZD/EUR</v>
          </cell>
          <cell r="C8257" t="str">
            <v>BRS_GOLD__2_FX:FX2:EUR_NZD_FX2_EUR</v>
          </cell>
          <cell r="E8257" t="str">
            <v>FX</v>
          </cell>
          <cell r="F8257" t="str">
            <v>Other</v>
          </cell>
          <cell r="G8257" t="str">
            <v>Other</v>
          </cell>
          <cell r="H8257" t="str">
            <v>OTHER</v>
          </cell>
          <cell r="I8257" t="str">
            <v>FX^2</v>
          </cell>
        </row>
        <row r="8258">
          <cell r="A8258" t="str">
            <v>[EUR_PLN_FX2_USD+EUR_EUR_FX2_USD-EUR_EUR_FX2_USD-EUR_PLN_FX2_USD]</v>
          </cell>
          <cell r="B8258" t="str">
            <v>EUR/EUR*PLN/EUR</v>
          </cell>
          <cell r="C8258" t="str">
            <v>BRS_GOLD__2_FX:FX2:EUR_PLN_FX2_EUR</v>
          </cell>
          <cell r="E8258" t="str">
            <v>FX</v>
          </cell>
          <cell r="F8258" t="str">
            <v>Other</v>
          </cell>
          <cell r="G8258" t="str">
            <v>Other</v>
          </cell>
          <cell r="H8258" t="str">
            <v>OTHER</v>
          </cell>
          <cell r="I8258" t="str">
            <v>FX^2</v>
          </cell>
        </row>
        <row r="8259">
          <cell r="A8259" t="str">
            <v>[EUR_SEK_FX2_USD+EUR_EUR_FX2_USD-EUR_EUR_FX2_USD-EUR_SEK_FX2_USD]</v>
          </cell>
          <cell r="B8259" t="str">
            <v>EUR/EUR*SEK/EUR</v>
          </cell>
          <cell r="C8259" t="str">
            <v>BRS_GOLD__2_FX:FX2:EUR_SEK_FX2_EUR</v>
          </cell>
          <cell r="E8259" t="str">
            <v>FX</v>
          </cell>
          <cell r="F8259" t="str">
            <v>Other</v>
          </cell>
          <cell r="G8259" t="str">
            <v>Other</v>
          </cell>
          <cell r="H8259" t="str">
            <v>OTHER</v>
          </cell>
          <cell r="I8259" t="str">
            <v>FX^2</v>
          </cell>
        </row>
        <row r="8260">
          <cell r="A8260" t="str">
            <v>[EUR_SGD_FX2_USD+EUR_EUR_FX2_USD-EUR_EUR_FX2_USD-EUR_SGD_FX2_USD]</v>
          </cell>
          <cell r="B8260" t="str">
            <v>EUR/EUR*SGD/EUR</v>
          </cell>
          <cell r="C8260" t="str">
            <v>BRS_GOLD__2_FX:FX2:EUR_SGD_FX2_EUR</v>
          </cell>
          <cell r="E8260" t="str">
            <v>FX</v>
          </cell>
          <cell r="F8260" t="str">
            <v>Other</v>
          </cell>
          <cell r="G8260" t="str">
            <v>Other</v>
          </cell>
          <cell r="H8260" t="str">
            <v>OTHER</v>
          </cell>
          <cell r="I8260" t="str">
            <v>FX^2</v>
          </cell>
        </row>
        <row r="8261">
          <cell r="A8261" t="str">
            <v>[EUR_TRY_FX2_USD+EUR_EUR_FX2_USD-EUR_EUR_FX2_USD-EUR_TRY_FX2_USD]</v>
          </cell>
          <cell r="B8261" t="str">
            <v>EUR/EUR*TRY/EUR</v>
          </cell>
          <cell r="C8261" t="str">
            <v>BRS_GOLD__2_FX:FX2:EUR_TRY_FX2_EUR</v>
          </cell>
          <cell r="E8261" t="str">
            <v>FX</v>
          </cell>
          <cell r="F8261" t="str">
            <v>Other</v>
          </cell>
          <cell r="G8261" t="str">
            <v>Other</v>
          </cell>
          <cell r="H8261" t="str">
            <v>OTHER</v>
          </cell>
          <cell r="I8261" t="str">
            <v>FX^2</v>
          </cell>
        </row>
        <row r="8262">
          <cell r="A8262" t="str">
            <v>[EUR_ZAR_FX2_USD+EUR_EUR_FX2_USD-EUR_EUR_FX2_USD-EUR_ZAR_FX2_USD]</v>
          </cell>
          <cell r="B8262" t="str">
            <v>EUR/EUR*ZAR/EUR</v>
          </cell>
          <cell r="C8262" t="str">
            <v>BRS_GOLD__2_FX:FX2:EUR_ZAR_FX2_EUR</v>
          </cell>
          <cell r="E8262" t="str">
            <v>FX</v>
          </cell>
          <cell r="F8262" t="str">
            <v>Other</v>
          </cell>
          <cell r="G8262" t="str">
            <v>Other</v>
          </cell>
          <cell r="H8262" t="str">
            <v>OTHER</v>
          </cell>
          <cell r="I8262" t="str">
            <v>FX^2</v>
          </cell>
        </row>
        <row r="8263">
          <cell r="A8263" t="str">
            <v>[GBP_AUD_FX2_USD+EUR_EUR_FX2_USD-GBP_EUR_FX2_USD-EUR_AUD_FX2_USD]</v>
          </cell>
          <cell r="B8263" t="str">
            <v>GBP/EUR*AUD/EUR</v>
          </cell>
          <cell r="C8263" t="str">
            <v>BRS_GOLD__2_FX:FX2:GBP_AUD_FX2_EUR</v>
          </cell>
          <cell r="E8263" t="str">
            <v>FX</v>
          </cell>
          <cell r="F8263" t="str">
            <v>Other</v>
          </cell>
          <cell r="G8263" t="str">
            <v>Other</v>
          </cell>
          <cell r="H8263" t="str">
            <v>OTHER</v>
          </cell>
          <cell r="I8263" t="str">
            <v>FX^2</v>
          </cell>
        </row>
        <row r="8264">
          <cell r="A8264" t="str">
            <v>[GBP_CAD_FX2_USD+EUR_EUR_FX2_USD-GBP_EUR_FX2_USD-EUR_CAD_FX2_USD]</v>
          </cell>
          <cell r="B8264" t="str">
            <v>GBP/EUR*CAD/EUR</v>
          </cell>
          <cell r="C8264" t="str">
            <v>BRS_GOLD__2_FX:FX2:GBP_CAD_FX2_EUR</v>
          </cell>
          <cell r="E8264" t="str">
            <v>FX</v>
          </cell>
          <cell r="F8264" t="str">
            <v>Other</v>
          </cell>
          <cell r="G8264" t="str">
            <v>Other</v>
          </cell>
          <cell r="H8264" t="str">
            <v>OTHER</v>
          </cell>
          <cell r="I8264" t="str">
            <v>FX^2</v>
          </cell>
        </row>
        <row r="8265">
          <cell r="A8265" t="str">
            <v>[GBP_CHF_FX2_USD+EUR_EUR_FX2_USD-GBP_EUR_FX2_USD-EUR_CHF_FX2_USD]</v>
          </cell>
          <cell r="B8265" t="str">
            <v>GBP/EUR*CHF/EUR</v>
          </cell>
          <cell r="C8265" t="str">
            <v>BRS_GOLD__2_FX:FX2:GBP_CHF_FX2_EUR</v>
          </cell>
          <cell r="E8265" t="str">
            <v>FX</v>
          </cell>
          <cell r="F8265" t="str">
            <v>Other</v>
          </cell>
          <cell r="G8265" t="str">
            <v>Other</v>
          </cell>
          <cell r="H8265" t="str">
            <v>OTHER</v>
          </cell>
          <cell r="I8265" t="str">
            <v>FX^2</v>
          </cell>
        </row>
        <row r="8266">
          <cell r="A8266" t="str">
            <v>[GBP_HKD_FX2_USD+EUR_EUR_FX2_USD-GBP_EUR_FX2_USD-EUR_HKD_FX2_USD]</v>
          </cell>
          <cell r="B8266" t="str">
            <v>GBP/EUR*HKD/EUR</v>
          </cell>
          <cell r="C8266" t="str">
            <v>BRS_GOLD__2_FX:FX2:GBP_HKD_FX2_EUR</v>
          </cell>
          <cell r="E8266" t="str">
            <v>FX</v>
          </cell>
          <cell r="F8266" t="str">
            <v>Other</v>
          </cell>
          <cell r="G8266" t="str">
            <v>Other</v>
          </cell>
          <cell r="H8266" t="str">
            <v>OTHER</v>
          </cell>
          <cell r="I8266" t="str">
            <v>FX^2</v>
          </cell>
        </row>
        <row r="8267">
          <cell r="A8267" t="str">
            <v>[GBP_HUF_FX2_USD+EUR_EUR_FX2_USD-GBP_EUR_FX2_USD-EUR_HUF_FX2_USD]</v>
          </cell>
          <cell r="B8267" t="str">
            <v>GBP/EUR*HUF/EUR</v>
          </cell>
          <cell r="C8267" t="str">
            <v>BRS_GOLD__2_FX:FX2:GBP_HUF_FX2_EUR</v>
          </cell>
          <cell r="E8267" t="str">
            <v>FX</v>
          </cell>
          <cell r="F8267" t="str">
            <v>Other</v>
          </cell>
          <cell r="G8267" t="str">
            <v>Other</v>
          </cell>
          <cell r="H8267" t="str">
            <v>OTHER</v>
          </cell>
          <cell r="I8267" t="str">
            <v>FX^2</v>
          </cell>
        </row>
        <row r="8268">
          <cell r="A8268" t="str">
            <v>[GBP_IDR_FX2_USD+EUR_EUR_FX2_USD-GBP_EUR_FX2_USD-EUR_IDR_FX2_USD]</v>
          </cell>
          <cell r="B8268" t="str">
            <v>GBP/EUR*IDR/EUR</v>
          </cell>
          <cell r="C8268" t="str">
            <v>BRS_GOLD__2_FX:FX2:GBP_IDR_FX2_EUR</v>
          </cell>
          <cell r="E8268" t="str">
            <v>FX</v>
          </cell>
          <cell r="F8268" t="str">
            <v>Other</v>
          </cell>
          <cell r="G8268" t="str">
            <v>Other</v>
          </cell>
          <cell r="H8268" t="str">
            <v>OTHER</v>
          </cell>
          <cell r="I8268" t="str">
            <v>FX^2</v>
          </cell>
        </row>
        <row r="8269">
          <cell r="A8269" t="str">
            <v>[GBP_ILS_FX2_USD+EUR_EUR_FX2_USD-GBP_EUR_FX2_USD-EUR_ILS_FX2_USD]</v>
          </cell>
          <cell r="B8269" t="str">
            <v>GBP/EUR*ILS/EUR</v>
          </cell>
          <cell r="C8269" t="str">
            <v>BRS_GOLD__2_FX:FX2:GBP_ILS_FX2_EUR</v>
          </cell>
          <cell r="E8269" t="str">
            <v>FX</v>
          </cell>
          <cell r="F8269" t="str">
            <v>Other</v>
          </cell>
          <cell r="G8269" t="str">
            <v>Other</v>
          </cell>
          <cell r="H8269" t="str">
            <v>OTHER</v>
          </cell>
          <cell r="I8269" t="str">
            <v>FX^2</v>
          </cell>
        </row>
        <row r="8270">
          <cell r="A8270" t="str">
            <v>[GBP_INR_FX2_USD+EUR_EUR_FX2_USD-GBP_EUR_FX2_USD-EUR_INR_FX2_USD]</v>
          </cell>
          <cell r="B8270" t="str">
            <v>GBP/EUR*INR/EUR</v>
          </cell>
          <cell r="C8270" t="str">
            <v>BRS_GOLD__2_FX:FX2:GBP_INR_FX2_EUR</v>
          </cell>
          <cell r="E8270" t="str">
            <v>FX</v>
          </cell>
          <cell r="F8270" t="str">
            <v>Other</v>
          </cell>
          <cell r="G8270" t="str">
            <v>Other</v>
          </cell>
          <cell r="H8270" t="str">
            <v>OTHER</v>
          </cell>
          <cell r="I8270" t="str">
            <v>FX^2</v>
          </cell>
        </row>
        <row r="8271">
          <cell r="A8271" t="str">
            <v>[GBP_JPY_FX2_USD+EUR_EUR_FX2_USD-GBP_EUR_FX2_USD-EUR_JPY_FX2_USD]</v>
          </cell>
          <cell r="B8271" t="str">
            <v>GBP/EUR*JPY/EUR</v>
          </cell>
          <cell r="C8271" t="str">
            <v>BRS_GOLD__2_FX:FX2:GBP_JPY_FX2_EUR</v>
          </cell>
          <cell r="E8271" t="str">
            <v>FX</v>
          </cell>
          <cell r="F8271" t="str">
            <v>Other</v>
          </cell>
          <cell r="G8271" t="str">
            <v>Other</v>
          </cell>
          <cell r="H8271" t="str">
            <v>OTHER</v>
          </cell>
          <cell r="I8271" t="str">
            <v>FX^2</v>
          </cell>
        </row>
        <row r="8272">
          <cell r="A8272" t="str">
            <v>[GBP_KRW_FX2_USD+EUR_EUR_FX2_USD-GBP_EUR_FX2_USD-EUR_KRW_FX2_USD]</v>
          </cell>
          <cell r="B8272" t="str">
            <v>GBP/EUR*KRW/EUR</v>
          </cell>
          <cell r="C8272" t="str">
            <v>BRS_GOLD__2_FX:FX2:GBP_KRW_FX2_EUR</v>
          </cell>
          <cell r="E8272" t="str">
            <v>FX</v>
          </cell>
          <cell r="F8272" t="str">
            <v>Other</v>
          </cell>
          <cell r="G8272" t="str">
            <v>Other</v>
          </cell>
          <cell r="H8272" t="str">
            <v>OTHER</v>
          </cell>
          <cell r="I8272" t="str">
            <v>FX^2</v>
          </cell>
        </row>
        <row r="8273">
          <cell r="A8273" t="str">
            <v>[GBP_MXN_FX2_USD+EUR_EUR_FX2_USD-GBP_EUR_FX2_USD-EUR_MXN_FX2_USD]</v>
          </cell>
          <cell r="B8273" t="str">
            <v>GBP/EUR*MXN/EUR</v>
          </cell>
          <cell r="C8273" t="str">
            <v>BRS_GOLD__2_FX:FX2:GBP_MXN_FX2_EUR</v>
          </cell>
          <cell r="E8273" t="str">
            <v>FX</v>
          </cell>
          <cell r="F8273" t="str">
            <v>Other</v>
          </cell>
          <cell r="G8273" t="str">
            <v>Other</v>
          </cell>
          <cell r="H8273" t="str">
            <v>OTHER</v>
          </cell>
          <cell r="I8273" t="str">
            <v>FX^2</v>
          </cell>
        </row>
        <row r="8274">
          <cell r="A8274" t="str">
            <v>[GBP_MYR_FX2_USD+EUR_EUR_FX2_USD-GBP_EUR_FX2_USD-EUR_MYR_FX2_USD]</v>
          </cell>
          <cell r="B8274" t="str">
            <v>GBP/EUR*MYR/EUR</v>
          </cell>
          <cell r="C8274" t="str">
            <v>BRS_GOLD__2_FX:FX2:GBP_MYR_FX2_EUR</v>
          </cell>
          <cell r="E8274" t="str">
            <v>FX</v>
          </cell>
          <cell r="F8274" t="str">
            <v>Other</v>
          </cell>
          <cell r="G8274" t="str">
            <v>Other</v>
          </cell>
          <cell r="H8274" t="str">
            <v>OTHER</v>
          </cell>
          <cell r="I8274" t="str">
            <v>FX^2</v>
          </cell>
        </row>
        <row r="8275">
          <cell r="A8275" t="str">
            <v>[GBP_NOK_FX2_USD+EUR_EUR_FX2_USD-GBP_EUR_FX2_USD-EUR_NOK_FX2_USD]</v>
          </cell>
          <cell r="B8275" t="str">
            <v>GBP/EUR*NOK/EUR</v>
          </cell>
          <cell r="C8275" t="str">
            <v>BRS_GOLD__2_FX:FX2:GBP_NOK_FX2_EUR</v>
          </cell>
          <cell r="E8275" t="str">
            <v>FX</v>
          </cell>
          <cell r="F8275" t="str">
            <v>Other</v>
          </cell>
          <cell r="G8275" t="str">
            <v>Other</v>
          </cell>
          <cell r="H8275" t="str">
            <v>OTHER</v>
          </cell>
          <cell r="I8275" t="str">
            <v>FX^2</v>
          </cell>
        </row>
        <row r="8276">
          <cell r="A8276" t="str">
            <v>[GBP_NZD_FX2_USD+EUR_EUR_FX2_USD-GBP_EUR_FX2_USD-EUR_NZD_FX2_USD]</v>
          </cell>
          <cell r="B8276" t="str">
            <v>GBP/EUR*NZD/EUR</v>
          </cell>
          <cell r="C8276" t="str">
            <v>BRS_GOLD__2_FX:FX2:GBP_NZD_FX2_EUR</v>
          </cell>
          <cell r="E8276" t="str">
            <v>FX</v>
          </cell>
          <cell r="F8276" t="str">
            <v>Other</v>
          </cell>
          <cell r="G8276" t="str">
            <v>Other</v>
          </cell>
          <cell r="H8276" t="str">
            <v>OTHER</v>
          </cell>
          <cell r="I8276" t="str">
            <v>FX^2</v>
          </cell>
        </row>
        <row r="8277">
          <cell r="A8277" t="str">
            <v>[GBP_PLN_FX2_USD+EUR_EUR_FX2_USD-GBP_EUR_FX2_USD-EUR_PLN_FX2_USD]</v>
          </cell>
          <cell r="B8277" t="str">
            <v>GBP/EUR*PLN/EUR</v>
          </cell>
          <cell r="C8277" t="str">
            <v>BRS_GOLD__2_FX:FX2:GBP_PLN_FX2_EUR</v>
          </cell>
          <cell r="E8277" t="str">
            <v>FX</v>
          </cell>
          <cell r="F8277" t="str">
            <v>Other</v>
          </cell>
          <cell r="G8277" t="str">
            <v>Other</v>
          </cell>
          <cell r="H8277" t="str">
            <v>OTHER</v>
          </cell>
          <cell r="I8277" t="str">
            <v>FX^2</v>
          </cell>
        </row>
        <row r="8278">
          <cell r="A8278" t="str">
            <v>[GBP_SEK_FX2_USD+EUR_EUR_FX2_USD-GBP_EUR_FX2_USD-EUR_SEK_FX2_USD]</v>
          </cell>
          <cell r="B8278" t="str">
            <v>GBP/EUR*SEK/EUR</v>
          </cell>
          <cell r="C8278" t="str">
            <v>BRS_GOLD__2_FX:FX2:GBP_SEK_FX2_EUR</v>
          </cell>
          <cell r="E8278" t="str">
            <v>FX</v>
          </cell>
          <cell r="F8278" t="str">
            <v>Other</v>
          </cell>
          <cell r="G8278" t="str">
            <v>Other</v>
          </cell>
          <cell r="H8278" t="str">
            <v>OTHER</v>
          </cell>
          <cell r="I8278" t="str">
            <v>FX^2</v>
          </cell>
        </row>
        <row r="8279">
          <cell r="A8279" t="str">
            <v>[GBP_SGD_FX2_USD+EUR_EUR_FX2_USD-GBP_EUR_FX2_USD-EUR_SGD_FX2_USD]</v>
          </cell>
          <cell r="B8279" t="str">
            <v>GBP/EUR*SGD/EUR</v>
          </cell>
          <cell r="C8279" t="str">
            <v>BRS_GOLD__2_FX:FX2:GBP_SGD_FX2_EUR</v>
          </cell>
          <cell r="E8279" t="str">
            <v>FX</v>
          </cell>
          <cell r="F8279" t="str">
            <v>Other</v>
          </cell>
          <cell r="G8279" t="str">
            <v>Other</v>
          </cell>
          <cell r="H8279" t="str">
            <v>OTHER</v>
          </cell>
          <cell r="I8279" t="str">
            <v>FX^2</v>
          </cell>
        </row>
        <row r="8280">
          <cell r="A8280" t="str">
            <v>[GBP_TRY_FX2_USD+EUR_EUR_FX2_USD-GBP_EUR_FX2_USD-EUR_TRY_FX2_USD]</v>
          </cell>
          <cell r="B8280" t="str">
            <v>GBP/EUR*TRY/EUR</v>
          </cell>
          <cell r="C8280" t="str">
            <v>BRS_GOLD__2_FX:FX2:GBP_TRY_FX2_EUR</v>
          </cell>
          <cell r="E8280" t="str">
            <v>FX</v>
          </cell>
          <cell r="F8280" t="str">
            <v>Other</v>
          </cell>
          <cell r="G8280" t="str">
            <v>Other</v>
          </cell>
          <cell r="H8280" t="str">
            <v>OTHER</v>
          </cell>
          <cell r="I8280" t="str">
            <v>FX^2</v>
          </cell>
        </row>
        <row r="8281">
          <cell r="A8281" t="str">
            <v>[GBP_ZAR_FX2_USD+EUR_EUR_FX2_USD-GBP_EUR_FX2_USD-EUR_ZAR_FX2_USD]</v>
          </cell>
          <cell r="B8281" t="str">
            <v>GBP/EUR*ZAR/EUR</v>
          </cell>
          <cell r="C8281" t="str">
            <v>BRS_GOLD__2_FX:FX2:GBP_ZAR_FX2_EUR</v>
          </cell>
          <cell r="E8281" t="str">
            <v>FX</v>
          </cell>
          <cell r="F8281" t="str">
            <v>Other</v>
          </cell>
          <cell r="G8281" t="str">
            <v>Other</v>
          </cell>
          <cell r="H8281" t="str">
            <v>OTHER</v>
          </cell>
          <cell r="I8281" t="str">
            <v>FX^2</v>
          </cell>
        </row>
        <row r="8282">
          <cell r="A8282" t="str">
            <v>[HUF_JPY_FX2_USD+EUR_EUR_FX2_USD-HUF_EUR_FX2_USD-EUR_JPY_FX2_USD]</v>
          </cell>
          <cell r="B8282" t="str">
            <v>HUF/EUR*JPY/EUR</v>
          </cell>
          <cell r="C8282" t="str">
            <v>BRS_GOLD__2_FX:FX2:HUF_JPY_FX2_EUR</v>
          </cell>
          <cell r="E8282" t="str">
            <v>FX</v>
          </cell>
          <cell r="F8282" t="str">
            <v>Other</v>
          </cell>
          <cell r="G8282" t="str">
            <v>Other</v>
          </cell>
          <cell r="H8282" t="str">
            <v>OTHER</v>
          </cell>
          <cell r="I8282" t="str">
            <v>FX^2</v>
          </cell>
        </row>
        <row r="8283">
          <cell r="A8283" t="str">
            <v>[IDR_EUR_FX2_USD+EUR_EUR_FX2_USD-IDR_EUR_FX2_USD-EUR_EUR_FX2_USD]</v>
          </cell>
          <cell r="B8283" t="str">
            <v>IDR/EUR*USD/EUR</v>
          </cell>
          <cell r="C8283" t="str">
            <v>BRS_GOLD__2_FX:FX2:IDR_EUR_FX2_EUR</v>
          </cell>
          <cell r="E8283" t="str">
            <v>FX</v>
          </cell>
          <cell r="F8283" t="str">
            <v>Other</v>
          </cell>
          <cell r="G8283" t="str">
            <v>Other</v>
          </cell>
          <cell r="H8283" t="str">
            <v>OTHER</v>
          </cell>
          <cell r="I8283" t="str">
            <v>FX^2</v>
          </cell>
        </row>
        <row r="8284">
          <cell r="A8284" t="str">
            <v>[IDR_JPY_FX2_USD+EUR_EUR_FX2_USD-IDR_EUR_FX2_USD-EUR_JPY_FX2_USD]</v>
          </cell>
          <cell r="B8284" t="str">
            <v>IDR/EUR*JPY/EUR</v>
          </cell>
          <cell r="C8284" t="str">
            <v>BRS_GOLD__2_FX:FX2:IDR_JPY_FX2_EUR</v>
          </cell>
          <cell r="E8284" t="str">
            <v>FX</v>
          </cell>
          <cell r="F8284" t="str">
            <v>Other</v>
          </cell>
          <cell r="G8284" t="str">
            <v>Other</v>
          </cell>
          <cell r="H8284" t="str">
            <v>OTHER</v>
          </cell>
          <cell r="I8284" t="str">
            <v>FX^2</v>
          </cell>
        </row>
        <row r="8285">
          <cell r="A8285" t="str">
            <v>[ILS_JPY_FX2_USD+EUR_EUR_FX2_USD-ILS_EUR_FX2_USD-EUR_JPY_FX2_USD]</v>
          </cell>
          <cell r="B8285" t="str">
            <v>ILS/EUR*JPY/EUR</v>
          </cell>
          <cell r="C8285" t="str">
            <v>BRS_GOLD__2_FX:FX2:ILS_JPY_FX2_EUR</v>
          </cell>
          <cell r="E8285" t="str">
            <v>FX</v>
          </cell>
          <cell r="F8285" t="str">
            <v>Other</v>
          </cell>
          <cell r="G8285" t="str">
            <v>Other</v>
          </cell>
          <cell r="H8285" t="str">
            <v>OTHER</v>
          </cell>
          <cell r="I8285" t="str">
            <v>FX^2</v>
          </cell>
        </row>
        <row r="8286">
          <cell r="A8286" t="str">
            <v>[INR_EUR_FX2_USD+EUR_EUR_FX2_USD-INR_EUR_FX2_USD-EUR_EUR_FX2_USD]</v>
          </cell>
          <cell r="B8286" t="str">
            <v>INR/EUR*USD/EUR</v>
          </cell>
          <cell r="C8286" t="str">
            <v>BRS_GOLD__2_FX:FX2:INR_EUR_FX2_EUR</v>
          </cell>
          <cell r="E8286" t="str">
            <v>FX</v>
          </cell>
          <cell r="F8286" t="str">
            <v>Other</v>
          </cell>
          <cell r="G8286" t="str">
            <v>Other</v>
          </cell>
          <cell r="H8286" t="str">
            <v>OTHER</v>
          </cell>
          <cell r="I8286" t="str">
            <v>FX^2</v>
          </cell>
        </row>
        <row r="8287">
          <cell r="A8287" t="str">
            <v>[INR_JPY_FX2_USD+EUR_EUR_FX2_USD-INR_EUR_FX2_USD-EUR_JPY_FX2_USD]</v>
          </cell>
          <cell r="B8287" t="str">
            <v>INR/EUR*JPY/EUR</v>
          </cell>
          <cell r="C8287" t="str">
            <v>BRS_GOLD__2_FX:FX2:INR_JPY_FX2_EUR</v>
          </cell>
          <cell r="E8287" t="str">
            <v>FX</v>
          </cell>
          <cell r="F8287" t="str">
            <v>Other</v>
          </cell>
          <cell r="G8287" t="str">
            <v>Other</v>
          </cell>
          <cell r="H8287" t="str">
            <v>OTHER</v>
          </cell>
          <cell r="I8287" t="str">
            <v>FX^2</v>
          </cell>
        </row>
        <row r="8288">
          <cell r="A8288" t="str">
            <v>[JPY_KRW_FX2_USD+EUR_EUR_FX2_USD-JPY_EUR_FX2_USD-EUR_KRW_FX2_USD]</v>
          </cell>
          <cell r="B8288" t="str">
            <v>JPY/EUR*KRW/EUR</v>
          </cell>
          <cell r="C8288" t="str">
            <v>BRS_GOLD__2_FX:FX2:JPY_KRW_FX2_EUR</v>
          </cell>
          <cell r="E8288" t="str">
            <v>FX</v>
          </cell>
          <cell r="F8288" t="str">
            <v>Other</v>
          </cell>
          <cell r="G8288" t="str">
            <v>Other</v>
          </cell>
          <cell r="H8288" t="str">
            <v>OTHER</v>
          </cell>
          <cell r="I8288" t="str">
            <v>FX^2</v>
          </cell>
        </row>
        <row r="8289">
          <cell r="A8289" t="str">
            <v>[JPY_MXN_FX2_USD+EUR_EUR_FX2_USD-JPY_EUR_FX2_USD-EUR_MXN_FX2_USD]</v>
          </cell>
          <cell r="B8289" t="str">
            <v>JPY/EUR*MXN/EUR</v>
          </cell>
          <cell r="C8289" t="str">
            <v>BRS_GOLD__2_FX:FX2:JPY_MXN_FX2_EUR</v>
          </cell>
          <cell r="E8289" t="str">
            <v>FX</v>
          </cell>
          <cell r="F8289" t="str">
            <v>Other</v>
          </cell>
          <cell r="G8289" t="str">
            <v>Other</v>
          </cell>
          <cell r="H8289" t="str">
            <v>OTHER</v>
          </cell>
          <cell r="I8289" t="str">
            <v>FX^2</v>
          </cell>
        </row>
        <row r="8290">
          <cell r="A8290" t="str">
            <v>[JPY_MYR_FX2_USD+EUR_EUR_FX2_USD-JPY_EUR_FX2_USD-EUR_MYR_FX2_USD]</v>
          </cell>
          <cell r="B8290" t="str">
            <v>JPY/EUR*MYR/EUR</v>
          </cell>
          <cell r="C8290" t="str">
            <v>BRS_GOLD__2_FX:FX2:JPY_MYR_FX2_EUR</v>
          </cell>
          <cell r="E8290" t="str">
            <v>FX</v>
          </cell>
          <cell r="F8290" t="str">
            <v>Other</v>
          </cell>
          <cell r="G8290" t="str">
            <v>Other</v>
          </cell>
          <cell r="H8290" t="str">
            <v>OTHER</v>
          </cell>
          <cell r="I8290" t="str">
            <v>FX^2</v>
          </cell>
        </row>
        <row r="8291">
          <cell r="A8291" t="str">
            <v>[JPY_NOK_FX2_USD+EUR_EUR_FX2_USD-JPY_EUR_FX2_USD-EUR_NOK_FX2_USD]</v>
          </cell>
          <cell r="B8291" t="str">
            <v>JPY/EUR*NOK/EUR</v>
          </cell>
          <cell r="C8291" t="str">
            <v>BRS_GOLD__2_FX:FX2:JPY_NOK_FX2_EUR</v>
          </cell>
          <cell r="E8291" t="str">
            <v>FX</v>
          </cell>
          <cell r="F8291" t="str">
            <v>Other</v>
          </cell>
          <cell r="G8291" t="str">
            <v>Other</v>
          </cell>
          <cell r="H8291" t="str">
            <v>OTHER</v>
          </cell>
          <cell r="I8291" t="str">
            <v>FX^2</v>
          </cell>
        </row>
        <row r="8292">
          <cell r="A8292" t="str">
            <v>[JPY_NZD_FX2_USD+EUR_EUR_FX2_USD-JPY_EUR_FX2_USD-EUR_NZD_FX2_USD]</v>
          </cell>
          <cell r="B8292" t="str">
            <v>JPY/EUR*NZD/EUR</v>
          </cell>
          <cell r="C8292" t="str">
            <v>BRS_GOLD__2_FX:FX2:JPY_NZD_FX2_EUR</v>
          </cell>
          <cell r="E8292" t="str">
            <v>FX</v>
          </cell>
          <cell r="F8292" t="str">
            <v>Other</v>
          </cell>
          <cell r="G8292" t="str">
            <v>Other</v>
          </cell>
          <cell r="H8292" t="str">
            <v>OTHER</v>
          </cell>
          <cell r="I8292" t="str">
            <v>FX^2</v>
          </cell>
        </row>
        <row r="8293">
          <cell r="A8293" t="str">
            <v>[JPY_PLN_FX2_USD+EUR_EUR_FX2_USD-JPY_EUR_FX2_USD-EUR_PLN_FX2_USD]</v>
          </cell>
          <cell r="B8293" t="str">
            <v>JPY/EUR*PLN/EUR</v>
          </cell>
          <cell r="C8293" t="str">
            <v>BRS_GOLD__2_FX:FX2:JPY_PLN_FX2_EUR</v>
          </cell>
          <cell r="E8293" t="str">
            <v>FX</v>
          </cell>
          <cell r="F8293" t="str">
            <v>Other</v>
          </cell>
          <cell r="G8293" t="str">
            <v>Other</v>
          </cell>
          <cell r="H8293" t="str">
            <v>OTHER</v>
          </cell>
          <cell r="I8293" t="str">
            <v>FX^2</v>
          </cell>
        </row>
        <row r="8294">
          <cell r="A8294" t="str">
            <v>[JPY_SEK_FX2_USD+EUR_EUR_FX2_USD-JPY_EUR_FX2_USD-EUR_SEK_FX2_USD]</v>
          </cell>
          <cell r="B8294" t="str">
            <v>JPY/EUR*SEK/EUR</v>
          </cell>
          <cell r="C8294" t="str">
            <v>BRS_GOLD__2_FX:FX2:JPY_SEK_FX2_EUR</v>
          </cell>
          <cell r="E8294" t="str">
            <v>FX</v>
          </cell>
          <cell r="F8294" t="str">
            <v>Other</v>
          </cell>
          <cell r="G8294" t="str">
            <v>Other</v>
          </cell>
          <cell r="H8294" t="str">
            <v>OTHER</v>
          </cell>
          <cell r="I8294" t="str">
            <v>FX^2</v>
          </cell>
        </row>
        <row r="8295">
          <cell r="A8295" t="str">
            <v>[JPY_SGD_FX2_USD+EUR_EUR_FX2_USD-JPY_EUR_FX2_USD-EUR_SGD_FX2_USD]</v>
          </cell>
          <cell r="B8295" t="str">
            <v>JPY/EUR*SGD/EUR</v>
          </cell>
          <cell r="C8295" t="str">
            <v>BRS_GOLD__2_FX:FX2:JPY_SGD_FX2_EUR</v>
          </cell>
          <cell r="E8295" t="str">
            <v>FX</v>
          </cell>
          <cell r="F8295" t="str">
            <v>Other</v>
          </cell>
          <cell r="G8295" t="str">
            <v>Other</v>
          </cell>
          <cell r="H8295" t="str">
            <v>OTHER</v>
          </cell>
          <cell r="I8295" t="str">
            <v>FX^2</v>
          </cell>
        </row>
        <row r="8296">
          <cell r="A8296" t="str">
            <v>[JPY_TRY_FX2_USD+EUR_EUR_FX2_USD-JPY_EUR_FX2_USD-EUR_TRY_FX2_USD]</v>
          </cell>
          <cell r="B8296" t="str">
            <v>JPY/EUR*TRY/EUR</v>
          </cell>
          <cell r="C8296" t="str">
            <v>BRS_GOLD__2_FX:FX2:JPY_TRY_FX2_EUR</v>
          </cell>
          <cell r="E8296" t="str">
            <v>FX</v>
          </cell>
          <cell r="F8296" t="str">
            <v>Other</v>
          </cell>
          <cell r="G8296" t="str">
            <v>Other</v>
          </cell>
          <cell r="H8296" t="str">
            <v>OTHER</v>
          </cell>
          <cell r="I8296" t="str">
            <v>FX^2</v>
          </cell>
        </row>
        <row r="8297">
          <cell r="A8297" t="str">
            <v>[JPY_ZAR_FX2_USD+EUR_EUR_FX2_USD-JPY_EUR_FX2_USD-EUR_ZAR_FX2_USD]</v>
          </cell>
          <cell r="B8297" t="str">
            <v>JPY/EUR*ZAR/EUR</v>
          </cell>
          <cell r="C8297" t="str">
            <v>BRS_GOLD__2_FX:FX2:JPY_ZAR_FX2_EUR</v>
          </cell>
          <cell r="E8297" t="str">
            <v>FX</v>
          </cell>
          <cell r="F8297" t="str">
            <v>Other</v>
          </cell>
          <cell r="G8297" t="str">
            <v>Other</v>
          </cell>
          <cell r="H8297" t="str">
            <v>OTHER</v>
          </cell>
          <cell r="I8297" t="str">
            <v>FX^2</v>
          </cell>
        </row>
        <row r="8298">
          <cell r="A8298" t="str">
            <v>[KRW_EUR_FX2_USD+EUR_EUR_FX2_USD-KRW_EUR_FX2_USD-EUR_EUR_FX2_USD]</v>
          </cell>
          <cell r="B8298" t="str">
            <v>KRW/EUR*USD/EUR</v>
          </cell>
          <cell r="C8298" t="str">
            <v>BRS_GOLD__2_FX:FX2:KRW_EUR_FX2_EUR</v>
          </cell>
          <cell r="E8298" t="str">
            <v>FX</v>
          </cell>
          <cell r="F8298" t="str">
            <v>Other</v>
          </cell>
          <cell r="G8298" t="str">
            <v>Other</v>
          </cell>
          <cell r="H8298" t="str">
            <v>OTHER</v>
          </cell>
          <cell r="I8298" t="str">
            <v>FX^2</v>
          </cell>
        </row>
        <row r="8299">
          <cell r="A8299" t="str">
            <v>[MYR_EUR_FX2_USD+EUR_EUR_FX2_USD-MYR_EUR_FX2_USD-EUR_EUR_FX2_USD]</v>
          </cell>
          <cell r="B8299" t="str">
            <v>MYR/EUR*USD/EUR</v>
          </cell>
          <cell r="C8299" t="str">
            <v>BRS_GOLD__2_FX:FX2:MYR_EUR_FX2_EUR</v>
          </cell>
          <cell r="E8299" t="str">
            <v>FX</v>
          </cell>
          <cell r="F8299" t="str">
            <v>Other</v>
          </cell>
          <cell r="G8299" t="str">
            <v>Other</v>
          </cell>
          <cell r="H8299" t="str">
            <v>OTHER</v>
          </cell>
          <cell r="I8299" t="str">
            <v>FX^2</v>
          </cell>
        </row>
        <row r="8300">
          <cell r="A8300" t="str">
            <v>[NOK_SEK_FX2_USD+EUR_EUR_FX2_USD-NOK_EUR_FX2_USD-EUR_SEK_FX2_USD]</v>
          </cell>
          <cell r="B8300" t="str">
            <v>NOK/EUR*SEK/EUR</v>
          </cell>
          <cell r="C8300" t="str">
            <v>BRS_GOLD__2_FX:FX2:NOK_SEK_FX2_EUR</v>
          </cell>
          <cell r="E8300" t="str">
            <v>FX</v>
          </cell>
          <cell r="F8300" t="str">
            <v>Other</v>
          </cell>
          <cell r="G8300" t="str">
            <v>Other</v>
          </cell>
          <cell r="H8300" t="str">
            <v>OTHER</v>
          </cell>
          <cell r="I8300" t="str">
            <v>FX^2</v>
          </cell>
        </row>
        <row r="8301">
          <cell r="A8301" t="str">
            <v>[NZD_CAD_FX2_USD+EUR_EUR_FX2_USD-NZD_EUR_FX2_USD-EUR_CAD_FX2_USD]</v>
          </cell>
          <cell r="B8301" t="str">
            <v>NZD/EUR*CAD/EUR</v>
          </cell>
          <cell r="C8301" t="str">
            <v>BRS_GOLD__2_FX:FX2:NZD_CAD_FX2_EUR</v>
          </cell>
          <cell r="E8301" t="str">
            <v>FX</v>
          </cell>
          <cell r="F8301" t="str">
            <v>Other</v>
          </cell>
          <cell r="G8301" t="str">
            <v>Other</v>
          </cell>
          <cell r="H8301" t="str">
            <v>OTHER</v>
          </cell>
          <cell r="I8301" t="str">
            <v>FX^2</v>
          </cell>
        </row>
        <row r="8302">
          <cell r="A8302" t="str">
            <v>[NZD_CHF_FX2_USD+EUR_EUR_FX2_USD-NZD_EUR_FX2_USD-EUR_CHF_FX2_USD]</v>
          </cell>
          <cell r="B8302" t="str">
            <v>NZD/EUR*CHF/EUR</v>
          </cell>
          <cell r="C8302" t="str">
            <v>BRS_GOLD__2_FX:FX2:NZD_CHF_FX2_EUR</v>
          </cell>
          <cell r="E8302" t="str">
            <v>FX</v>
          </cell>
          <cell r="F8302" t="str">
            <v>Other</v>
          </cell>
          <cell r="G8302" t="str">
            <v>Other</v>
          </cell>
          <cell r="H8302" t="str">
            <v>OTHER</v>
          </cell>
          <cell r="I8302" t="str">
            <v>FX^2</v>
          </cell>
        </row>
        <row r="8303">
          <cell r="A8303" t="str">
            <v>[NZD_JPY_FX2_USD+EUR_EUR_FX2_USD-NZD_EUR_FX2_USD-EUR_JPY_FX2_USD]</v>
          </cell>
          <cell r="B8303" t="str">
            <v>NZD/EUR*JPY/EUR</v>
          </cell>
          <cell r="C8303" t="str">
            <v>BRS_GOLD__2_FX:FX2:NZD_JPY_FX2_EUR</v>
          </cell>
          <cell r="E8303" t="str">
            <v>FX</v>
          </cell>
          <cell r="F8303" t="str">
            <v>Other</v>
          </cell>
          <cell r="G8303" t="str">
            <v>Other</v>
          </cell>
          <cell r="H8303" t="str">
            <v>OTHER</v>
          </cell>
          <cell r="I8303" t="str">
            <v>FX^2</v>
          </cell>
        </row>
        <row r="8304">
          <cell r="A8304" t="str">
            <v>[SGD_EUR_FX2_USD+EUR_EUR_FX2_USD-SGD_EUR_FX2_USD-EUR_EUR_FX2_USD]</v>
          </cell>
          <cell r="B8304" t="str">
            <v>SGD/EUR*USD/EUR</v>
          </cell>
          <cell r="C8304" t="str">
            <v>BRS_GOLD__2_FX:FX2:SGD_EUR_FX2_EUR</v>
          </cell>
          <cell r="E8304" t="str">
            <v>FX</v>
          </cell>
          <cell r="F8304" t="str">
            <v>Other</v>
          </cell>
          <cell r="G8304" t="str">
            <v>Other</v>
          </cell>
          <cell r="H8304" t="str">
            <v>OTHER</v>
          </cell>
          <cell r="I8304" t="str">
            <v>FX^2</v>
          </cell>
        </row>
        <row r="8305">
          <cell r="A8305" t="str">
            <v>[TRY_JPY_FX2_USD+EUR_EUR_FX2_USD-TRY_EUR_FX2_USD-EUR_JPY_FX2_USD]</v>
          </cell>
          <cell r="B8305" t="str">
            <v>TRY/EUR*JPY/EUR</v>
          </cell>
          <cell r="C8305" t="str">
            <v>BRS_GOLD__2_FX:FX2:TRY_JPY_FX2_EUR</v>
          </cell>
          <cell r="E8305" t="str">
            <v>FX</v>
          </cell>
          <cell r="F8305" t="str">
            <v>Other</v>
          </cell>
          <cell r="G8305" t="str">
            <v>Other</v>
          </cell>
          <cell r="H8305" t="str">
            <v>OTHER</v>
          </cell>
          <cell r="I8305" t="str">
            <v>FX^2</v>
          </cell>
        </row>
        <row r="8306">
          <cell r="A8306" t="str">
            <v>[USD_BRL_FX2_USD+EUR_EUR_FX2_USD-USD_EUR_FX2_USD-EUR_BRL_FX2_USD]</v>
          </cell>
          <cell r="B8306" t="str">
            <v>USD/EUR*BRL/EUR</v>
          </cell>
          <cell r="C8306" t="str">
            <v>BRS_GOLD__2_FX:FX2:USD_BRL_FX2_EUR</v>
          </cell>
          <cell r="E8306" t="str">
            <v>FX</v>
          </cell>
          <cell r="F8306" t="str">
            <v>Other</v>
          </cell>
          <cell r="G8306" t="str">
            <v>Other</v>
          </cell>
          <cell r="H8306" t="str">
            <v>OTHER</v>
          </cell>
          <cell r="I8306" t="str">
            <v>FX^2</v>
          </cell>
        </row>
        <row r="8307">
          <cell r="A8307" t="str">
            <v>[USD_CAD_FX2_USD+EUR_EUR_FX2_USD-USD_EUR_FX2_USD-EUR_CAD_FX2_USD]</v>
          </cell>
          <cell r="B8307" t="str">
            <v>USD/EUR*CAD/EUR</v>
          </cell>
          <cell r="C8307" t="str">
            <v>BRS_GOLD__2_FX:FX2:USD_CAD_FX2_EUR</v>
          </cell>
          <cell r="E8307" t="str">
            <v>FX</v>
          </cell>
          <cell r="F8307" t="str">
            <v>Other</v>
          </cell>
          <cell r="G8307" t="str">
            <v>Other</v>
          </cell>
          <cell r="H8307" t="str">
            <v>OTHER</v>
          </cell>
          <cell r="I8307" t="str">
            <v>FX^2</v>
          </cell>
        </row>
        <row r="8308">
          <cell r="A8308" t="str">
            <v>[USD_CHF_FX2_USD+EUR_EUR_FX2_USD-USD_EUR_FX2_USD-EUR_CHF_FX2_USD]</v>
          </cell>
          <cell r="B8308" t="str">
            <v>USD/EUR*CHF/EUR</v>
          </cell>
          <cell r="C8308" t="str">
            <v>BRS_GOLD__2_FX:FX2:USD_CHF_FX2_EUR</v>
          </cell>
          <cell r="E8308" t="str">
            <v>FX</v>
          </cell>
          <cell r="F8308" t="str">
            <v>Other</v>
          </cell>
          <cell r="G8308" t="str">
            <v>Other</v>
          </cell>
          <cell r="H8308" t="str">
            <v>OTHER</v>
          </cell>
          <cell r="I8308" t="str">
            <v>FX^2</v>
          </cell>
        </row>
        <row r="8309">
          <cell r="A8309" t="str">
            <v>[USD_CLP_FX2_USD+EUR_EUR_FX2_USD-USD_EUR_FX2_USD-EUR_CLP_FX2_USD]</v>
          </cell>
          <cell r="B8309" t="str">
            <v>USD/EUR*CLP/EUR</v>
          </cell>
          <cell r="C8309" t="str">
            <v>BRS_GOLD__2_FX:FX2:USD_CLP_FX2_EUR</v>
          </cell>
          <cell r="E8309" t="str">
            <v>FX</v>
          </cell>
          <cell r="F8309" t="str">
            <v>Other</v>
          </cell>
          <cell r="G8309" t="str">
            <v>Other</v>
          </cell>
          <cell r="H8309" t="str">
            <v>OTHER</v>
          </cell>
          <cell r="I8309" t="str">
            <v>FX^2</v>
          </cell>
        </row>
        <row r="8310">
          <cell r="A8310" t="str">
            <v>[USD_CNH_FX2_USD+EUR_EUR_FX2_USD-USD_EUR_FX2_USD-EUR_CNH_FX2_USD]</v>
          </cell>
          <cell r="B8310" t="str">
            <v>USD/EUR*CNH/EUR</v>
          </cell>
          <cell r="C8310" t="str">
            <v>BRS_GOLD__2_FX:FX2:USD_CNH_FX2_EUR</v>
          </cell>
          <cell r="E8310" t="str">
            <v>FX</v>
          </cell>
          <cell r="F8310" t="str">
            <v>Other</v>
          </cell>
          <cell r="G8310" t="str">
            <v>Other</v>
          </cell>
          <cell r="H8310" t="str">
            <v>OTHER</v>
          </cell>
          <cell r="I8310" t="str">
            <v>FX^2</v>
          </cell>
        </row>
        <row r="8311">
          <cell r="A8311" t="str">
            <v>[USD_CZK_FX2_USD+EUR_EUR_FX2_USD-USD_EUR_FX2_USD-EUR_CZK_FX2_USD]</v>
          </cell>
          <cell r="B8311" t="str">
            <v>USD/EUR*CZK/EUR</v>
          </cell>
          <cell r="C8311" t="str">
            <v>BRS_GOLD__2_FX:FX2:USD_CZK_FX2_EUR</v>
          </cell>
          <cell r="E8311" t="str">
            <v>FX</v>
          </cell>
          <cell r="F8311" t="str">
            <v>Other</v>
          </cell>
          <cell r="G8311" t="str">
            <v>Other</v>
          </cell>
          <cell r="H8311" t="str">
            <v>OTHER</v>
          </cell>
          <cell r="I8311" t="str">
            <v>FX^2</v>
          </cell>
        </row>
        <row r="8312">
          <cell r="A8312" t="str">
            <v>[USD_HKD_FX2_USD+EUR_EUR_FX2_USD-USD_EUR_FX2_USD-EUR_HKD_FX2_USD]</v>
          </cell>
          <cell r="B8312" t="str">
            <v>USD/EUR*HKD/EUR</v>
          </cell>
          <cell r="C8312" t="str">
            <v>BRS_GOLD__2_FX:FX2:USD_HKD_FX2_EUR</v>
          </cell>
          <cell r="E8312" t="str">
            <v>FX</v>
          </cell>
          <cell r="F8312" t="str">
            <v>Other</v>
          </cell>
          <cell r="G8312" t="str">
            <v>Other</v>
          </cell>
          <cell r="H8312" t="str">
            <v>OTHER</v>
          </cell>
          <cell r="I8312" t="str">
            <v>FX^2</v>
          </cell>
        </row>
        <row r="8313">
          <cell r="A8313" t="str">
            <v>[USD_HUF_FX2_USD+EUR_EUR_FX2_USD-USD_EUR_FX2_USD-EUR_HUF_FX2_USD]</v>
          </cell>
          <cell r="B8313" t="str">
            <v>USD/EUR*HUF/EUR</v>
          </cell>
          <cell r="C8313" t="str">
            <v>BRS_GOLD__2_FX:FX2:USD_HUF_FX2_EUR</v>
          </cell>
          <cell r="E8313" t="str">
            <v>FX</v>
          </cell>
          <cell r="F8313" t="str">
            <v>Other</v>
          </cell>
          <cell r="G8313" t="str">
            <v>Other</v>
          </cell>
          <cell r="H8313" t="str">
            <v>OTHER</v>
          </cell>
          <cell r="I8313" t="str">
            <v>FX^2</v>
          </cell>
        </row>
        <row r="8314">
          <cell r="A8314" t="str">
            <v>[USD_IDR_FX2_USD+EUR_EUR_FX2_USD-USD_EUR_FX2_USD-EUR_IDR_FX2_USD]</v>
          </cell>
          <cell r="B8314" t="str">
            <v>USD/EUR*IDR/EUR</v>
          </cell>
          <cell r="C8314" t="str">
            <v>BRS_GOLD__2_FX:FX2:USD_IDR_FX2_EUR</v>
          </cell>
          <cell r="E8314" t="str">
            <v>FX</v>
          </cell>
          <cell r="F8314" t="str">
            <v>Other</v>
          </cell>
          <cell r="G8314" t="str">
            <v>Other</v>
          </cell>
          <cell r="H8314" t="str">
            <v>OTHER</v>
          </cell>
          <cell r="I8314" t="str">
            <v>FX^2</v>
          </cell>
        </row>
        <row r="8315">
          <cell r="A8315" t="str">
            <v>[USD_ILS_FX2_USD+EUR_EUR_FX2_USD-USD_EUR_FX2_USD-EUR_ILS_FX2_USD]</v>
          </cell>
          <cell r="B8315" t="str">
            <v>USD/EUR*ILS/EUR</v>
          </cell>
          <cell r="C8315" t="str">
            <v>BRS_GOLD__2_FX:FX2:USD_ILS_FX2_EUR</v>
          </cell>
          <cell r="E8315" t="str">
            <v>FX</v>
          </cell>
          <cell r="F8315" t="str">
            <v>Other</v>
          </cell>
          <cell r="G8315" t="str">
            <v>Other</v>
          </cell>
          <cell r="H8315" t="str">
            <v>OTHER</v>
          </cell>
          <cell r="I8315" t="str">
            <v>FX^2</v>
          </cell>
        </row>
        <row r="8316">
          <cell r="A8316" t="str">
            <v>[USD_INR_FX2_USD+EUR_EUR_FX2_USD-USD_EUR_FX2_USD-EUR_INR_FX2_USD]</v>
          </cell>
          <cell r="B8316" t="str">
            <v>USD/EUR*INR/EUR</v>
          </cell>
          <cell r="C8316" t="str">
            <v>BRS_GOLD__2_FX:FX2:USD_INR_FX2_EUR</v>
          </cell>
          <cell r="E8316" t="str">
            <v>FX</v>
          </cell>
          <cell r="F8316" t="str">
            <v>Other</v>
          </cell>
          <cell r="G8316" t="str">
            <v>Other</v>
          </cell>
          <cell r="H8316" t="str">
            <v>OTHER</v>
          </cell>
          <cell r="I8316" t="str">
            <v>FX^2</v>
          </cell>
        </row>
        <row r="8317">
          <cell r="A8317" t="str">
            <v>[USD_JPY_FX2_USD+EUR_EUR_FX2_USD-USD_EUR_FX2_USD-EUR_JPY_FX2_USD]</v>
          </cell>
          <cell r="B8317" t="str">
            <v>USD/EUR*JPY/EUR</v>
          </cell>
          <cell r="C8317" t="str">
            <v>BRS_GOLD__2_FX:FX2:USD_JPY_FX2_EUR</v>
          </cell>
          <cell r="E8317" t="str">
            <v>FX</v>
          </cell>
          <cell r="F8317" t="str">
            <v>Other</v>
          </cell>
          <cell r="G8317" t="str">
            <v>Other</v>
          </cell>
          <cell r="H8317" t="str">
            <v>OTHER</v>
          </cell>
          <cell r="I8317" t="str">
            <v>FX^2</v>
          </cell>
        </row>
        <row r="8318">
          <cell r="A8318" t="str">
            <v>[USD_KRW_FX2_USD+EUR_EUR_FX2_USD-USD_EUR_FX2_USD-EUR_KRW_FX2_USD]</v>
          </cell>
          <cell r="B8318" t="str">
            <v>USD/EUR*KRW/EUR</v>
          </cell>
          <cell r="C8318" t="str">
            <v>BRS_GOLD__2_FX:FX2:USD_KRW_FX2_EUR</v>
          </cell>
          <cell r="E8318" t="str">
            <v>FX</v>
          </cell>
          <cell r="F8318" t="str">
            <v>Other</v>
          </cell>
          <cell r="G8318" t="str">
            <v>Other</v>
          </cell>
          <cell r="H8318" t="str">
            <v>OTHER</v>
          </cell>
          <cell r="I8318" t="str">
            <v>FX^2</v>
          </cell>
        </row>
        <row r="8319">
          <cell r="A8319" t="str">
            <v>[USD_MXN_FX2_USD+EUR_EUR_FX2_USD-USD_EUR_FX2_USD-EUR_MXN_FX2_USD]</v>
          </cell>
          <cell r="B8319" t="str">
            <v>USD/EUR*MXN/EUR</v>
          </cell>
          <cell r="C8319" t="str">
            <v>BRS_GOLD__2_FX:FX2:USD_MXN_FX2_EUR</v>
          </cell>
          <cell r="E8319" t="str">
            <v>FX</v>
          </cell>
          <cell r="F8319" t="str">
            <v>Other</v>
          </cell>
          <cell r="G8319" t="str">
            <v>Other</v>
          </cell>
          <cell r="H8319" t="str">
            <v>OTHER</v>
          </cell>
          <cell r="I8319" t="str">
            <v>FX^2</v>
          </cell>
        </row>
        <row r="8320">
          <cell r="A8320" t="str">
            <v>[USD_NOK_FX2_USD+EUR_EUR_FX2_USD-USD_EUR_FX2_USD-EUR_NOK_FX2_USD]</v>
          </cell>
          <cell r="B8320" t="str">
            <v>USD/EUR*NOK/EUR</v>
          </cell>
          <cell r="C8320" t="str">
            <v>BRS_GOLD__2_FX:FX2:USD_NOK_FX2_EUR</v>
          </cell>
          <cell r="E8320" t="str">
            <v>FX</v>
          </cell>
          <cell r="F8320" t="str">
            <v>Other</v>
          </cell>
          <cell r="G8320" t="str">
            <v>Other</v>
          </cell>
          <cell r="H8320" t="str">
            <v>OTHER</v>
          </cell>
          <cell r="I8320" t="str">
            <v>FX^2</v>
          </cell>
        </row>
        <row r="8321">
          <cell r="A8321" t="str">
            <v>[USD_PHP_FX2_USD+EUR_EUR_FX2_USD-USD_EUR_FX2_USD-EUR_PHP_FX2_USD]</v>
          </cell>
          <cell r="B8321" t="str">
            <v>USD/EUR*PHP/EUR</v>
          </cell>
          <cell r="C8321" t="str">
            <v>BRS_GOLD__2_FX:FX2:USD_PHP_FX2_EUR</v>
          </cell>
          <cell r="E8321" t="str">
            <v>FX</v>
          </cell>
          <cell r="F8321" t="str">
            <v>Other</v>
          </cell>
          <cell r="G8321" t="str">
            <v>Other</v>
          </cell>
          <cell r="H8321" t="str">
            <v>OTHER</v>
          </cell>
          <cell r="I8321" t="str">
            <v>FX^2</v>
          </cell>
        </row>
        <row r="8322">
          <cell r="A8322" t="str">
            <v>[USD_PLN_FX2_USD+EUR_EUR_FX2_USD-USD_EUR_FX2_USD-EUR_PLN_FX2_USD]</v>
          </cell>
          <cell r="B8322" t="str">
            <v>USD/EUR*PLN/EUR</v>
          </cell>
          <cell r="C8322" t="str">
            <v>BRS_GOLD__2_FX:FX2:USD_PLN_FX2_EUR</v>
          </cell>
          <cell r="E8322" t="str">
            <v>FX</v>
          </cell>
          <cell r="F8322" t="str">
            <v>Other</v>
          </cell>
          <cell r="G8322" t="str">
            <v>Other</v>
          </cell>
          <cell r="H8322" t="str">
            <v>OTHER</v>
          </cell>
          <cell r="I8322" t="str">
            <v>FX^2</v>
          </cell>
        </row>
        <row r="8323">
          <cell r="A8323" t="str">
            <v>[USD_RUB_FX2_USD+EUR_EUR_FX2_USD-USD_EUR_FX2_USD-EUR_RUB_FX2_USD]</v>
          </cell>
          <cell r="B8323" t="str">
            <v>USD/EUR*RUB/EUR</v>
          </cell>
          <cell r="C8323" t="str">
            <v>BRS_GOLD__2_FX:FX2:USD_RUB_FX2_EUR</v>
          </cell>
          <cell r="E8323" t="str">
            <v>FX</v>
          </cell>
          <cell r="F8323" t="str">
            <v>Other</v>
          </cell>
          <cell r="G8323" t="str">
            <v>Other</v>
          </cell>
          <cell r="H8323" t="str">
            <v>OTHER</v>
          </cell>
          <cell r="I8323" t="str">
            <v>FX^2</v>
          </cell>
        </row>
        <row r="8324">
          <cell r="A8324" t="str">
            <v>[USD_SEK_FX2_USD+EUR_EUR_FX2_USD-USD_EUR_FX2_USD-EUR_SEK_FX2_USD]</v>
          </cell>
          <cell r="B8324" t="str">
            <v>USD/EUR*SEK/EUR</v>
          </cell>
          <cell r="C8324" t="str">
            <v>BRS_GOLD__2_FX:FX2:USD_SEK_FX2_EUR</v>
          </cell>
          <cell r="E8324" t="str">
            <v>FX</v>
          </cell>
          <cell r="F8324" t="str">
            <v>Other</v>
          </cell>
          <cell r="G8324" t="str">
            <v>Other</v>
          </cell>
          <cell r="H8324" t="str">
            <v>OTHER</v>
          </cell>
          <cell r="I8324" t="str">
            <v>FX^2</v>
          </cell>
        </row>
        <row r="8325">
          <cell r="A8325" t="str">
            <v>[USD_SGD_FX2_USD+EUR_EUR_FX2_USD-USD_EUR_FX2_USD-EUR_SGD_FX2_USD]</v>
          </cell>
          <cell r="B8325" t="str">
            <v>USD/EUR*SGD/EUR</v>
          </cell>
          <cell r="C8325" t="str">
            <v>BRS_GOLD__2_FX:FX2:USD_SGD_FX2_EUR</v>
          </cell>
          <cell r="E8325" t="str">
            <v>FX</v>
          </cell>
          <cell r="F8325" t="str">
            <v>Other</v>
          </cell>
          <cell r="G8325" t="str">
            <v>Other</v>
          </cell>
          <cell r="H8325" t="str">
            <v>OTHER</v>
          </cell>
          <cell r="I8325" t="str">
            <v>FX^2</v>
          </cell>
        </row>
        <row r="8326">
          <cell r="A8326" t="str">
            <v>[USD_THB_FX2_USD+EUR_EUR_FX2_USD-USD_EUR_FX2_USD-EUR_THB_FX2_USD]</v>
          </cell>
          <cell r="B8326" t="str">
            <v>USD/EUR*THB/EUR</v>
          </cell>
          <cell r="C8326" t="str">
            <v>BRS_GOLD__2_FX:FX2:USD_THB_FX2_EUR</v>
          </cell>
          <cell r="E8326" t="str">
            <v>FX</v>
          </cell>
          <cell r="F8326" t="str">
            <v>Other</v>
          </cell>
          <cell r="G8326" t="str">
            <v>Other</v>
          </cell>
          <cell r="H8326" t="str">
            <v>OTHER</v>
          </cell>
          <cell r="I8326" t="str">
            <v>FX^2</v>
          </cell>
        </row>
        <row r="8327">
          <cell r="A8327" t="str">
            <v>[USD_TRY_FX2_USD+EUR_EUR_FX2_USD-USD_EUR_FX2_USD-EUR_TRY_FX2_USD]</v>
          </cell>
          <cell r="B8327" t="str">
            <v>USD/EUR*TRY/EUR</v>
          </cell>
          <cell r="C8327" t="str">
            <v>BRS_GOLD__2_FX:FX2:USD_TRY_FX2_EUR</v>
          </cell>
          <cell r="E8327" t="str">
            <v>FX</v>
          </cell>
          <cell r="F8327" t="str">
            <v>Other</v>
          </cell>
          <cell r="G8327" t="str">
            <v>Other</v>
          </cell>
          <cell r="H8327" t="str">
            <v>OTHER</v>
          </cell>
          <cell r="I8327" t="str">
            <v>FX^2</v>
          </cell>
        </row>
        <row r="8328">
          <cell r="A8328" t="str">
            <v>[USD_TWD_FX2_USD+EUR_EUR_FX2_USD-USD_EUR_FX2_USD-EUR_TWD_FX2_USD]</v>
          </cell>
          <cell r="B8328" t="str">
            <v>USD/EUR*TWD/EUR</v>
          </cell>
          <cell r="C8328" t="str">
            <v>BRS_GOLD__2_FX:FX2:USD_TWD_FX2_EUR</v>
          </cell>
          <cell r="E8328" t="str">
            <v>FX</v>
          </cell>
          <cell r="F8328" t="str">
            <v>Other</v>
          </cell>
          <cell r="G8328" t="str">
            <v>Other</v>
          </cell>
          <cell r="H8328" t="str">
            <v>OTHER</v>
          </cell>
          <cell r="I8328" t="str">
            <v>FX^2</v>
          </cell>
        </row>
        <row r="8329">
          <cell r="A8329" t="str">
            <v>[USD_ZAR_FX2_USD+EUR_EUR_FX2_USD-USD_EUR_FX2_USD-EUR_ZAR_FX2_USD]</v>
          </cell>
          <cell r="B8329" t="str">
            <v>USD/EUR*ZAR/EUR</v>
          </cell>
          <cell r="C8329" t="str">
            <v>BRS_GOLD__2_FX:FX2:USD_ZAR_FX2_EUR</v>
          </cell>
          <cell r="E8329" t="str">
            <v>FX</v>
          </cell>
          <cell r="F8329" t="str">
            <v>Other</v>
          </cell>
          <cell r="G8329" t="str">
            <v>Other</v>
          </cell>
          <cell r="H8329" t="str">
            <v>OTHER</v>
          </cell>
          <cell r="I8329" t="str">
            <v>FX^2</v>
          </cell>
        </row>
        <row r="8330">
          <cell r="A8330" t="str">
            <v>SIT_3m</v>
          </cell>
          <cell r="B8330" t="str">
            <v>SIT 3M</v>
          </cell>
          <cell r="C8330" t="str">
            <v>BRS_GOLD__2_RATES:BRS_GOLD__1_EURSPRD:SIT:SIT_3m</v>
          </cell>
          <cell r="D8330" t="str">
            <v>KRD</v>
          </cell>
          <cell r="E8330" t="str">
            <v>Spread Yield (DxS)</v>
          </cell>
          <cell r="F8330" t="str">
            <v>FI-Govt Emerging Markets Spread</v>
          </cell>
          <cell r="G8330" t="str">
            <v>FI-Other</v>
          </cell>
          <cell r="H8330" t="str">
            <v>RATES</v>
          </cell>
          <cell r="I8330" t="str">
            <v>Govt Emerging Markets Spread</v>
          </cell>
        </row>
        <row r="8331">
          <cell r="A8331" t="str">
            <v>SIT_1yr</v>
          </cell>
          <cell r="B8331" t="str">
            <v>SIT 1Y</v>
          </cell>
          <cell r="C8331" t="str">
            <v>BRS_GOLD__2_RATES:BRS_GOLD__1_EURSPRD:SIT:SIT_1yr</v>
          </cell>
          <cell r="D8331" t="str">
            <v>KRD</v>
          </cell>
          <cell r="E8331" t="str">
            <v>Spread Yield (DxS)</v>
          </cell>
          <cell r="F8331" t="str">
            <v>FI-Govt Emerging Markets Spread</v>
          </cell>
          <cell r="G8331" t="str">
            <v>FI-Other</v>
          </cell>
          <cell r="H8331" t="str">
            <v>RATES</v>
          </cell>
          <cell r="I8331" t="str">
            <v>Govt Emerging Markets Spread</v>
          </cell>
        </row>
        <row r="8332">
          <cell r="A8332" t="str">
            <v>SIT_2yr</v>
          </cell>
          <cell r="B8332" t="str">
            <v>SIT 2Y</v>
          </cell>
          <cell r="C8332" t="str">
            <v>BRS_GOLD__2_RATES:BRS_GOLD__1_EURSPRD:SIT:SIT_2yr</v>
          </cell>
          <cell r="D8332" t="str">
            <v>KRD</v>
          </cell>
          <cell r="E8332" t="str">
            <v>Spread Yield (DxS)</v>
          </cell>
          <cell r="F8332" t="str">
            <v>FI-Govt Emerging Markets Spread</v>
          </cell>
          <cell r="G8332" t="str">
            <v>FI-Other</v>
          </cell>
          <cell r="H8332" t="str">
            <v>RATES</v>
          </cell>
          <cell r="I8332" t="str">
            <v>Govt Emerging Markets Spread</v>
          </cell>
        </row>
        <row r="8333">
          <cell r="A8333" t="str">
            <v>SIT_3yr</v>
          </cell>
          <cell r="B8333" t="str">
            <v>SIT 3Y</v>
          </cell>
          <cell r="C8333" t="str">
            <v>BRS_GOLD__2_RATES:BRS_GOLD__1_EURSPRD:SIT:SIT_3yr</v>
          </cell>
          <cell r="D8333" t="str">
            <v>KRD</v>
          </cell>
          <cell r="E8333" t="str">
            <v>Spread Yield (DxS)</v>
          </cell>
          <cell r="F8333" t="str">
            <v>FI-Govt Emerging Markets Spread</v>
          </cell>
          <cell r="G8333" t="str">
            <v>FI-Other</v>
          </cell>
          <cell r="H8333" t="str">
            <v>RATES</v>
          </cell>
          <cell r="I8333" t="str">
            <v>Govt Emerging Markets Spread</v>
          </cell>
        </row>
        <row r="8334">
          <cell r="A8334" t="str">
            <v>SIT_5yr</v>
          </cell>
          <cell r="B8334" t="str">
            <v>SIT 5Y</v>
          </cell>
          <cell r="C8334" t="str">
            <v>BRS_GOLD__2_RATES:BRS_GOLD__1_EURSPRD:SIT:SIT_5yr</v>
          </cell>
          <cell r="D8334" t="str">
            <v>KRD</v>
          </cell>
          <cell r="E8334" t="str">
            <v>Spread Yield (DxS)</v>
          </cell>
          <cell r="F8334" t="str">
            <v>FI-Govt Emerging Markets Spread</v>
          </cell>
          <cell r="G8334" t="str">
            <v>FI-Other</v>
          </cell>
          <cell r="H8334" t="str">
            <v>RATES</v>
          </cell>
          <cell r="I8334" t="str">
            <v>Govt Emerging Markets Spread</v>
          </cell>
        </row>
        <row r="8335">
          <cell r="A8335" t="str">
            <v>SIT_7yr</v>
          </cell>
          <cell r="B8335" t="str">
            <v>SIT 7Y</v>
          </cell>
          <cell r="C8335" t="str">
            <v>BRS_GOLD__2_RATES:BRS_GOLD__1_EURSPRD:SIT:SIT_7yr</v>
          </cell>
          <cell r="D8335" t="str">
            <v>KRD</v>
          </cell>
          <cell r="E8335" t="str">
            <v>Spread Yield (DxS)</v>
          </cell>
          <cell r="F8335" t="str">
            <v>FI-Govt Emerging Markets Spread</v>
          </cell>
          <cell r="G8335" t="str">
            <v>FI-Other</v>
          </cell>
          <cell r="H8335" t="str">
            <v>RATES</v>
          </cell>
          <cell r="I8335" t="str">
            <v>Govt Emerging Markets Spread</v>
          </cell>
        </row>
        <row r="8336">
          <cell r="A8336" t="str">
            <v>SIT_10yr</v>
          </cell>
          <cell r="B8336" t="str">
            <v>SIT 10Y</v>
          </cell>
          <cell r="C8336" t="str">
            <v>BRS_GOLD__2_RATES:BRS_GOLD__1_EURSPRD:SIT:SIT_10yr</v>
          </cell>
          <cell r="D8336" t="str">
            <v>KRD</v>
          </cell>
          <cell r="E8336" t="str">
            <v>Spread Yield (DxS)</v>
          </cell>
          <cell r="F8336" t="str">
            <v>FI-Govt Emerging Markets Spread</v>
          </cell>
          <cell r="G8336" t="str">
            <v>FI-Other</v>
          </cell>
          <cell r="H8336" t="str">
            <v>RATES</v>
          </cell>
          <cell r="I8336" t="str">
            <v>Govt Emerging Markets Spread</v>
          </cell>
        </row>
        <row r="8337">
          <cell r="A8337" t="str">
            <v>SIT_15yr</v>
          </cell>
          <cell r="B8337" t="str">
            <v>SIT 15Y</v>
          </cell>
          <cell r="C8337" t="str">
            <v>BRS_GOLD__2_RATES:BRS_GOLD__1_EURSPRD:SIT:SIT_15yr</v>
          </cell>
          <cell r="D8337" t="str">
            <v>KRD</v>
          </cell>
          <cell r="E8337" t="str">
            <v>Spread Yield (DxS)</v>
          </cell>
          <cell r="F8337" t="str">
            <v>FI-Govt Emerging Markets Spread</v>
          </cell>
          <cell r="G8337" t="str">
            <v>FI-Other</v>
          </cell>
          <cell r="H8337" t="str">
            <v>RATES</v>
          </cell>
          <cell r="I8337" t="str">
            <v>Govt Emerging Markets Spread</v>
          </cell>
        </row>
        <row r="8338">
          <cell r="A8338" t="str">
            <v>SIT_20yr</v>
          </cell>
          <cell r="B8338" t="str">
            <v>SIT 20Y</v>
          </cell>
          <cell r="C8338" t="str">
            <v>BRS_GOLD__2_RATES:BRS_GOLD__1_EURSPRD:SIT:SIT_20yr</v>
          </cell>
          <cell r="D8338" t="str">
            <v>KRD</v>
          </cell>
          <cell r="E8338" t="str">
            <v>Spread Yield (DxS)</v>
          </cell>
          <cell r="F8338" t="str">
            <v>FI-Govt Emerging Markets Spread</v>
          </cell>
          <cell r="G8338" t="str">
            <v>FI-Other</v>
          </cell>
          <cell r="H8338" t="str">
            <v>RATES</v>
          </cell>
          <cell r="I8338" t="str">
            <v>Govt Emerging Markets Spread</v>
          </cell>
        </row>
        <row r="8339">
          <cell r="A8339" t="str">
            <v>SIT_25yr</v>
          </cell>
          <cell r="B8339" t="str">
            <v>SIT 25Y</v>
          </cell>
          <cell r="C8339" t="str">
            <v>BRS_GOLD__2_RATES:BRS_GOLD__1_EURSPRD:SIT:SIT_25yr</v>
          </cell>
          <cell r="D8339" t="str">
            <v>KRD</v>
          </cell>
          <cell r="E8339" t="str">
            <v>Spread Yield (DxS)</v>
          </cell>
          <cell r="F8339" t="str">
            <v>FI-Govt Emerging Markets Spread</v>
          </cell>
          <cell r="G8339" t="str">
            <v>FI-Other</v>
          </cell>
          <cell r="H8339" t="str">
            <v>RATES</v>
          </cell>
          <cell r="I8339" t="str">
            <v>Govt Emerging Markets Spread</v>
          </cell>
        </row>
        <row r="8340">
          <cell r="A8340" t="str">
            <v>SIT_30yr</v>
          </cell>
          <cell r="B8340" t="str">
            <v>SIT 30Y</v>
          </cell>
          <cell r="C8340" t="str">
            <v>BRS_GOLD__2_RATES:BRS_GOLD__1_EURSPRD:SIT:SIT_30yr</v>
          </cell>
          <cell r="D8340" t="str">
            <v>KRD</v>
          </cell>
          <cell r="E8340" t="str">
            <v>Spread Yield (DxS)</v>
          </cell>
          <cell r="F8340" t="str">
            <v>FI-Govt Emerging Markets Spread</v>
          </cell>
          <cell r="G8340" t="str">
            <v>FI-Other</v>
          </cell>
          <cell r="H8340" t="str">
            <v>RATES</v>
          </cell>
          <cell r="I8340" t="str">
            <v>Govt Emerging Markets Spread</v>
          </cell>
        </row>
        <row r="8341">
          <cell r="A8341" t="str">
            <v>GRD_3m</v>
          </cell>
          <cell r="B8341" t="str">
            <v>GRD 3M</v>
          </cell>
          <cell r="C8341" t="str">
            <v>BRS_GOLD__2_RATES:BRS_GOLD__1_EURSPRD:GRD,USD_CDS_GR_2Y,USD_CDS_GR_5Y:GRD:GRD_3m</v>
          </cell>
          <cell r="D8341" t="str">
            <v>KRD</v>
          </cell>
          <cell r="E8341" t="str">
            <v>Spread Yield (DxS)</v>
          </cell>
          <cell r="F8341" t="str">
            <v>FI-Govt Emerging Markets Spread</v>
          </cell>
          <cell r="G8341" t="str">
            <v>FI-Other</v>
          </cell>
          <cell r="H8341" t="str">
            <v>RATES</v>
          </cell>
          <cell r="I8341" t="str">
            <v>Govt Emerging Markets Spread</v>
          </cell>
        </row>
        <row r="8342">
          <cell r="A8342" t="str">
            <v>GRD_1yr</v>
          </cell>
          <cell r="B8342" t="str">
            <v>GRD 1Y</v>
          </cell>
          <cell r="C8342" t="str">
            <v>BRS_GOLD__2_RATES:BRS_GOLD__1_EURSPRD:GRD,USD_CDS_GR_2Y,USD_CDS_GR_5Y:GRD:GRD_1yr</v>
          </cell>
          <cell r="D8342" t="str">
            <v>KRD</v>
          </cell>
          <cell r="E8342" t="str">
            <v>Spread Yield (DxS)</v>
          </cell>
          <cell r="F8342" t="str">
            <v>FI-Govt Emerging Markets Spread</v>
          </cell>
          <cell r="G8342" t="str">
            <v>FI-Other</v>
          </cell>
          <cell r="H8342" t="str">
            <v>RATES</v>
          </cell>
          <cell r="I8342" t="str">
            <v>Govt Emerging Markets Spread</v>
          </cell>
        </row>
        <row r="8343">
          <cell r="A8343" t="str">
            <v>GRD_2yr</v>
          </cell>
          <cell r="B8343" t="str">
            <v>GRD 2Y</v>
          </cell>
          <cell r="C8343" t="str">
            <v>BRS_GOLD__2_RATES:BRS_GOLD__1_EURSPRD:GRD,USD_CDS_GR_2Y,USD_CDS_GR_5Y:GRD:GRD_2yr</v>
          </cell>
          <cell r="D8343" t="str">
            <v>KRD</v>
          </cell>
          <cell r="E8343" t="str">
            <v>Spread Yield (DxS)</v>
          </cell>
          <cell r="F8343" t="str">
            <v>FI-Govt Emerging Markets Spread</v>
          </cell>
          <cell r="G8343" t="str">
            <v>FI-Other</v>
          </cell>
          <cell r="H8343" t="str">
            <v>RATES</v>
          </cell>
          <cell r="I8343" t="str">
            <v>Govt Emerging Markets Spread</v>
          </cell>
        </row>
        <row r="8344">
          <cell r="A8344" t="str">
            <v>GRD_3yr</v>
          </cell>
          <cell r="B8344" t="str">
            <v>GRD 3Y</v>
          </cell>
          <cell r="C8344" t="str">
            <v>BRS_GOLD__2_RATES:BRS_GOLD__1_EURSPRD:GRD,USD_CDS_GR_2Y,USD_CDS_GR_5Y:GRD:GRD_3yr</v>
          </cell>
          <cell r="D8344" t="str">
            <v>KRD</v>
          </cell>
          <cell r="E8344" t="str">
            <v>Spread Yield (DxS)</v>
          </cell>
          <cell r="F8344" t="str">
            <v>FI-Govt Emerging Markets Spread</v>
          </cell>
          <cell r="G8344" t="str">
            <v>FI-Other</v>
          </cell>
          <cell r="H8344" t="str">
            <v>RATES</v>
          </cell>
          <cell r="I8344" t="str">
            <v>Govt Emerging Markets Spread</v>
          </cell>
        </row>
        <row r="8345">
          <cell r="A8345" t="str">
            <v>GRD_5yr</v>
          </cell>
          <cell r="B8345" t="str">
            <v>GRD 5Y</v>
          </cell>
          <cell r="C8345" t="str">
            <v>BRS_GOLD__2_RATES:BRS_GOLD__1_EURSPRD:GRD,USD_CDS_GR_2Y,USD_CDS_GR_5Y:GRD:GRD_5yr</v>
          </cell>
          <cell r="D8345" t="str">
            <v>KRD</v>
          </cell>
          <cell r="E8345" t="str">
            <v>Spread Yield (DxS)</v>
          </cell>
          <cell r="F8345" t="str">
            <v>FI-Govt Emerging Markets Spread</v>
          </cell>
          <cell r="G8345" t="str">
            <v>FI-Other</v>
          </cell>
          <cell r="H8345" t="str">
            <v>RATES</v>
          </cell>
          <cell r="I8345" t="str">
            <v>Govt Emerging Markets Spread</v>
          </cell>
        </row>
        <row r="8346">
          <cell r="A8346" t="str">
            <v>GRD_7yr</v>
          </cell>
          <cell r="B8346" t="str">
            <v>GRD 7Y</v>
          </cell>
          <cell r="C8346" t="str">
            <v>BRS_GOLD__2_RATES:BRS_GOLD__1_EURSPRD:GRD,USD_CDS_GR_2Y,USD_CDS_GR_5Y:GRD:GRD_7yr</v>
          </cell>
          <cell r="D8346" t="str">
            <v>KRD</v>
          </cell>
          <cell r="E8346" t="str">
            <v>Spread Yield (DxS)</v>
          </cell>
          <cell r="F8346" t="str">
            <v>FI-Govt Emerging Markets Spread</v>
          </cell>
          <cell r="G8346" t="str">
            <v>FI-Other</v>
          </cell>
          <cell r="H8346" t="str">
            <v>RATES</v>
          </cell>
          <cell r="I8346" t="str">
            <v>Govt Emerging Markets Spread</v>
          </cell>
        </row>
        <row r="8347">
          <cell r="A8347" t="str">
            <v>GRD_10yr</v>
          </cell>
          <cell r="B8347" t="str">
            <v>GRD 10Y</v>
          </cell>
          <cell r="C8347" t="str">
            <v>BRS_GOLD__2_RATES:BRS_GOLD__1_EURSPRD:GRD,USD_CDS_GR_2Y,USD_CDS_GR_5Y:GRD:GRD_10yr</v>
          </cell>
          <cell r="D8347" t="str">
            <v>KRD</v>
          </cell>
          <cell r="E8347" t="str">
            <v>Spread Yield (DxS)</v>
          </cell>
          <cell r="F8347" t="str">
            <v>FI-Govt Emerging Markets Spread</v>
          </cell>
          <cell r="G8347" t="str">
            <v>FI-Other</v>
          </cell>
          <cell r="H8347" t="str">
            <v>RATES</v>
          </cell>
          <cell r="I8347" t="str">
            <v>Govt Emerging Markets Spread</v>
          </cell>
        </row>
        <row r="8348">
          <cell r="A8348" t="str">
            <v>GRD_15yr</v>
          </cell>
          <cell r="B8348" t="str">
            <v>GRD 15Y</v>
          </cell>
          <cell r="C8348" t="str">
            <v>BRS_GOLD__2_RATES:BRS_GOLD__1_EURSPRD:GRD,USD_CDS_GR_2Y,USD_CDS_GR_5Y:GRD:GRD_15yr</v>
          </cell>
          <cell r="D8348" t="str">
            <v>KRD</v>
          </cell>
          <cell r="E8348" t="str">
            <v>Spread Yield (DxS)</v>
          </cell>
          <cell r="F8348" t="str">
            <v>FI-Govt Emerging Markets Spread</v>
          </cell>
          <cell r="G8348" t="str">
            <v>FI-Other</v>
          </cell>
          <cell r="H8348" t="str">
            <v>RATES</v>
          </cell>
          <cell r="I8348" t="str">
            <v>Govt Emerging Markets Spread</v>
          </cell>
        </row>
        <row r="8349">
          <cell r="A8349" t="str">
            <v>GRD_20yr</v>
          </cell>
          <cell r="B8349" t="str">
            <v>GRD 20Y</v>
          </cell>
          <cell r="C8349" t="str">
            <v>BRS_GOLD__2_RATES:BRS_GOLD__1_EURSPRD:GRD,USD_CDS_GR_2Y,USD_CDS_GR_5Y:GRD:GRD_20yr</v>
          </cell>
          <cell r="D8349" t="str">
            <v>KRD</v>
          </cell>
          <cell r="E8349" t="str">
            <v>Spread Yield (DxS)</v>
          </cell>
          <cell r="F8349" t="str">
            <v>FI-Govt Emerging Markets Spread</v>
          </cell>
          <cell r="G8349" t="str">
            <v>FI-Other</v>
          </cell>
          <cell r="H8349" t="str">
            <v>RATES</v>
          </cell>
          <cell r="I8349" t="str">
            <v>Govt Emerging Markets Spread</v>
          </cell>
        </row>
        <row r="8350">
          <cell r="A8350" t="str">
            <v>GRD_25yr</v>
          </cell>
          <cell r="B8350" t="str">
            <v>GRD 25Y</v>
          </cell>
          <cell r="C8350" t="str">
            <v>BRS_GOLD__2_RATES:BRS_GOLD__1_EURSPRD:GRD,USD_CDS_GR_2Y,USD_CDS_GR_5Y:GRD:GRD_25yr</v>
          </cell>
          <cell r="D8350" t="str">
            <v>KRD</v>
          </cell>
          <cell r="E8350" t="str">
            <v>Spread Yield (DxS)</v>
          </cell>
          <cell r="F8350" t="str">
            <v>FI-Govt Emerging Markets Spread</v>
          </cell>
          <cell r="G8350" t="str">
            <v>FI-Other</v>
          </cell>
          <cell r="H8350" t="str">
            <v>RATES</v>
          </cell>
          <cell r="I8350" t="str">
            <v>Govt Emerging Markets Spread</v>
          </cell>
        </row>
        <row r="8351">
          <cell r="A8351" t="str">
            <v>GRD_30yr</v>
          </cell>
          <cell r="B8351" t="str">
            <v>GRD 30Y</v>
          </cell>
          <cell r="C8351" t="str">
            <v>BRS_GOLD__2_RATES:BRS_GOLD__1_EURSPRD:GRD,USD_CDS_GR_2Y,USD_CDS_GR_5Y:GRD:GRD_30yr</v>
          </cell>
          <cell r="D8351" t="str">
            <v>KRD</v>
          </cell>
          <cell r="E8351" t="str">
            <v>Spread Yield (DxS)</v>
          </cell>
          <cell r="F8351" t="str">
            <v>FI-Govt Emerging Markets Spread</v>
          </cell>
          <cell r="G8351" t="str">
            <v>FI-Other</v>
          </cell>
          <cell r="H8351" t="str">
            <v>RATES</v>
          </cell>
          <cell r="I8351" t="str">
            <v>Govt Emerging Markets Spread</v>
          </cell>
        </row>
        <row r="8352">
          <cell r="A8352" t="str">
            <v>SKK_3m</v>
          </cell>
          <cell r="B8352" t="str">
            <v>SKK 3M</v>
          </cell>
          <cell r="C8352" t="str">
            <v>BRS_GOLD__2_RATES:BRS_GOLD__1_EURSPRD:SKK:SKK_3m</v>
          </cell>
          <cell r="D8352" t="str">
            <v>KRD</v>
          </cell>
          <cell r="E8352" t="str">
            <v>Spread Yield (DxS)</v>
          </cell>
          <cell r="F8352" t="str">
            <v>FI-Govt Emerging Markets Spread</v>
          </cell>
          <cell r="G8352" t="str">
            <v>FI-Other</v>
          </cell>
          <cell r="H8352" t="str">
            <v>RATES</v>
          </cell>
          <cell r="I8352" t="str">
            <v>Govt Emerging Markets Spread</v>
          </cell>
        </row>
        <row r="8353">
          <cell r="A8353" t="str">
            <v>SKK_1yr</v>
          </cell>
          <cell r="B8353" t="str">
            <v>SKK 1Y</v>
          </cell>
          <cell r="C8353" t="str">
            <v>BRS_GOLD__2_RATES:BRS_GOLD__1_EURSPRD:SKK:SKK_1yr</v>
          </cell>
          <cell r="D8353" t="str">
            <v>KRD</v>
          </cell>
          <cell r="E8353" t="str">
            <v>Spread Yield (DxS)</v>
          </cell>
          <cell r="F8353" t="str">
            <v>FI-Govt Emerging Markets Spread</v>
          </cell>
          <cell r="G8353" t="str">
            <v>FI-Other</v>
          </cell>
          <cell r="H8353" t="str">
            <v>RATES</v>
          </cell>
          <cell r="I8353" t="str">
            <v>Govt Emerging Markets Spread</v>
          </cell>
        </row>
        <row r="8354">
          <cell r="A8354" t="str">
            <v>SKK_2yr</v>
          </cell>
          <cell r="B8354" t="str">
            <v>SKK 2Y</v>
          </cell>
          <cell r="C8354" t="str">
            <v>BRS_GOLD__2_RATES:BRS_GOLD__1_EURSPRD:SKK:SKK_2yr</v>
          </cell>
          <cell r="D8354" t="str">
            <v>KRD</v>
          </cell>
          <cell r="E8354" t="str">
            <v>Spread Yield (DxS)</v>
          </cell>
          <cell r="F8354" t="str">
            <v>FI-Govt Emerging Markets Spread</v>
          </cell>
          <cell r="G8354" t="str">
            <v>FI-Other</v>
          </cell>
          <cell r="H8354" t="str">
            <v>RATES</v>
          </cell>
          <cell r="I8354" t="str">
            <v>Govt Emerging Markets Spread</v>
          </cell>
        </row>
        <row r="8355">
          <cell r="A8355" t="str">
            <v>SKK_3yr</v>
          </cell>
          <cell r="B8355" t="str">
            <v>SKK 3Y</v>
          </cell>
          <cell r="C8355" t="str">
            <v>BRS_GOLD__2_RATES:BRS_GOLD__1_EURSPRD:SKK:SKK_3yr</v>
          </cell>
          <cell r="D8355" t="str">
            <v>KRD</v>
          </cell>
          <cell r="E8355" t="str">
            <v>Spread Yield (DxS)</v>
          </cell>
          <cell r="F8355" t="str">
            <v>FI-Govt Emerging Markets Spread</v>
          </cell>
          <cell r="G8355" t="str">
            <v>FI-Other</v>
          </cell>
          <cell r="H8355" t="str">
            <v>RATES</v>
          </cell>
          <cell r="I8355" t="str">
            <v>Govt Emerging Markets Spread</v>
          </cell>
        </row>
        <row r="8356">
          <cell r="A8356" t="str">
            <v>SKK_5yr</v>
          </cell>
          <cell r="B8356" t="str">
            <v>SKK 5Y</v>
          </cell>
          <cell r="C8356" t="str">
            <v>BRS_GOLD__2_RATES:BRS_GOLD__1_EURSPRD:SKK:SKK_5yr</v>
          </cell>
          <cell r="D8356" t="str">
            <v>KRD</v>
          </cell>
          <cell r="E8356" t="str">
            <v>Spread Yield (DxS)</v>
          </cell>
          <cell r="F8356" t="str">
            <v>FI-Govt Emerging Markets Spread</v>
          </cell>
          <cell r="G8356" t="str">
            <v>FI-Other</v>
          </cell>
          <cell r="H8356" t="str">
            <v>RATES</v>
          </cell>
          <cell r="I8356" t="str">
            <v>Govt Emerging Markets Spread</v>
          </cell>
        </row>
        <row r="8357">
          <cell r="A8357" t="str">
            <v>SKK_7yr</v>
          </cell>
          <cell r="B8357" t="str">
            <v>SKK 7Y</v>
          </cell>
          <cell r="C8357" t="str">
            <v>BRS_GOLD__2_RATES:BRS_GOLD__1_EURSPRD:SKK:SKK_7yr</v>
          </cell>
          <cell r="D8357" t="str">
            <v>KRD</v>
          </cell>
          <cell r="E8357" t="str">
            <v>Spread Yield (DxS)</v>
          </cell>
          <cell r="F8357" t="str">
            <v>FI-Govt Emerging Markets Spread</v>
          </cell>
          <cell r="G8357" t="str">
            <v>FI-Other</v>
          </cell>
          <cell r="H8357" t="str">
            <v>RATES</v>
          </cell>
          <cell r="I8357" t="str">
            <v>Govt Emerging Markets Spread</v>
          </cell>
        </row>
        <row r="8358">
          <cell r="A8358" t="str">
            <v>SKK_10yr</v>
          </cell>
          <cell r="B8358" t="str">
            <v>SKK 10Y</v>
          </cell>
          <cell r="C8358" t="str">
            <v>BRS_GOLD__2_RATES:BRS_GOLD__1_EURSPRD:SKK:SKK_10yr</v>
          </cell>
          <cell r="D8358" t="str">
            <v>KRD</v>
          </cell>
          <cell r="E8358" t="str">
            <v>Spread Yield (DxS)</v>
          </cell>
          <cell r="F8358" t="str">
            <v>FI-Govt Emerging Markets Spread</v>
          </cell>
          <cell r="G8358" t="str">
            <v>FI-Other</v>
          </cell>
          <cell r="H8358" t="str">
            <v>RATES</v>
          </cell>
          <cell r="I8358" t="str">
            <v>Govt Emerging Markets Spread</v>
          </cell>
        </row>
        <row r="8359">
          <cell r="A8359" t="str">
            <v>SKK_15yr</v>
          </cell>
          <cell r="B8359" t="str">
            <v>SKK 15Y</v>
          </cell>
          <cell r="C8359" t="str">
            <v>BRS_GOLD__2_RATES:BRS_GOLD__1_EURSPRD:SKK:SKK_15yr</v>
          </cell>
          <cell r="D8359" t="str">
            <v>KRD</v>
          </cell>
          <cell r="E8359" t="str">
            <v>Spread Yield (DxS)</v>
          </cell>
          <cell r="F8359" t="str">
            <v>FI-Govt Emerging Markets Spread</v>
          </cell>
          <cell r="G8359" t="str">
            <v>FI-Other</v>
          </cell>
          <cell r="H8359" t="str">
            <v>RATES</v>
          </cell>
          <cell r="I8359" t="str">
            <v>Govt Emerging Markets Spread</v>
          </cell>
        </row>
        <row r="8360">
          <cell r="A8360" t="str">
            <v>SKK_20yr</v>
          </cell>
          <cell r="B8360" t="str">
            <v>SKK 20Y</v>
          </cell>
          <cell r="C8360" t="str">
            <v>BRS_GOLD__2_RATES:BRS_GOLD__1_EURSPRD:SKK:SKK_20yr</v>
          </cell>
          <cell r="D8360" t="str">
            <v>KRD</v>
          </cell>
          <cell r="E8360" t="str">
            <v>Spread Yield (DxS)</v>
          </cell>
          <cell r="F8360" t="str">
            <v>FI-Govt Emerging Markets Spread</v>
          </cell>
          <cell r="G8360" t="str">
            <v>FI-Other</v>
          </cell>
          <cell r="H8360" t="str">
            <v>RATES</v>
          </cell>
          <cell r="I8360" t="str">
            <v>Govt Emerging Markets Spread</v>
          </cell>
        </row>
        <row r="8361">
          <cell r="A8361" t="str">
            <v>SKK_25yr</v>
          </cell>
          <cell r="B8361" t="str">
            <v>SKK 25Y</v>
          </cell>
          <cell r="C8361" t="str">
            <v>BRS_GOLD__2_RATES:BRS_GOLD__1_EURSPRD:SKK:SKK_25yr</v>
          </cell>
          <cell r="D8361" t="str">
            <v>KRD</v>
          </cell>
          <cell r="E8361" t="str">
            <v>Spread Yield (DxS)</v>
          </cell>
          <cell r="F8361" t="str">
            <v>FI-Govt Emerging Markets Spread</v>
          </cell>
          <cell r="G8361" t="str">
            <v>FI-Other</v>
          </cell>
          <cell r="H8361" t="str">
            <v>RATES</v>
          </cell>
          <cell r="I8361" t="str">
            <v>Govt Emerging Markets Spread</v>
          </cell>
        </row>
        <row r="8362">
          <cell r="A8362" t="str">
            <v>SKK_30yr</v>
          </cell>
          <cell r="B8362" t="str">
            <v>SKK 30Y</v>
          </cell>
          <cell r="C8362" t="str">
            <v>BRS_GOLD__2_RATES:BRS_GOLD__1_EURSPRD:SKK:SKK_30yr</v>
          </cell>
          <cell r="D8362" t="str">
            <v>KRD</v>
          </cell>
          <cell r="E8362" t="str">
            <v>Spread Yield (DxS)</v>
          </cell>
          <cell r="F8362" t="str">
            <v>FI-Govt Emerging Markets Spread</v>
          </cell>
          <cell r="G8362" t="str">
            <v>FI-Other</v>
          </cell>
          <cell r="H8362" t="str">
            <v>RATES</v>
          </cell>
          <cell r="I8362" t="str">
            <v>Govt Emerging Markets Spread</v>
          </cell>
        </row>
        <row r="8363">
          <cell r="A8363" t="str">
            <v>LVL_3m</v>
          </cell>
          <cell r="B8363" t="str">
            <v>LVL 3M</v>
          </cell>
          <cell r="C8363" t="str">
            <v>BRS_GOLD__2_RATES:BRS_GOLD__1_EURSPRD:LVL:LVL_3m</v>
          </cell>
          <cell r="D8363" t="str">
            <v>KRD</v>
          </cell>
          <cell r="E8363" t="str">
            <v>Spread Yield</v>
          </cell>
          <cell r="F8363" t="str">
            <v>FI-Govt Emerging Markets Spread</v>
          </cell>
          <cell r="G8363" t="str">
            <v>FI-Other</v>
          </cell>
          <cell r="H8363" t="str">
            <v>RATES</v>
          </cell>
          <cell r="I8363" t="str">
            <v>Govt Emerging Markets Spread</v>
          </cell>
        </row>
        <row r="8364">
          <cell r="A8364" t="str">
            <v>LVL_1yr</v>
          </cell>
          <cell r="B8364" t="str">
            <v>LVL 1Y</v>
          </cell>
          <cell r="C8364" t="str">
            <v>BRS_GOLD__2_RATES:BRS_GOLD__1_EURSPRD:LVL:LVL_1yr</v>
          </cell>
          <cell r="D8364" t="str">
            <v>KRD</v>
          </cell>
          <cell r="E8364" t="str">
            <v>Spread Yield</v>
          </cell>
          <cell r="F8364" t="str">
            <v>FI-Govt Emerging Markets Spread</v>
          </cell>
          <cell r="G8364" t="str">
            <v>FI-Other</v>
          </cell>
          <cell r="H8364" t="str">
            <v>RATES</v>
          </cell>
          <cell r="I8364" t="str">
            <v>Govt Emerging Markets Spread</v>
          </cell>
        </row>
        <row r="8365">
          <cell r="A8365" t="str">
            <v>LVL_2yr</v>
          </cell>
          <cell r="B8365" t="str">
            <v>LVL 2Y</v>
          </cell>
          <cell r="C8365" t="str">
            <v>BRS_GOLD__2_RATES:BRS_GOLD__1_EURSPRD:LVL:LVL_2yr</v>
          </cell>
          <cell r="D8365" t="str">
            <v>KRD</v>
          </cell>
          <cell r="E8365" t="str">
            <v>Spread Yield</v>
          </cell>
          <cell r="F8365" t="str">
            <v>FI-Govt Emerging Markets Spread</v>
          </cell>
          <cell r="G8365" t="str">
            <v>FI-Other</v>
          </cell>
          <cell r="H8365" t="str">
            <v>RATES</v>
          </cell>
          <cell r="I8365" t="str">
            <v>Govt Emerging Markets Spread</v>
          </cell>
        </row>
        <row r="8366">
          <cell r="A8366" t="str">
            <v>LVL_3yr</v>
          </cell>
          <cell r="B8366" t="str">
            <v>LVL 3Y</v>
          </cell>
          <cell r="C8366" t="str">
            <v>BRS_GOLD__2_RATES:BRS_GOLD__1_EURSPRD:LVL:LVL_3yr</v>
          </cell>
          <cell r="D8366" t="str">
            <v>KRD</v>
          </cell>
          <cell r="E8366" t="str">
            <v>Spread Yield</v>
          </cell>
          <cell r="F8366" t="str">
            <v>FI-Govt Emerging Markets Spread</v>
          </cell>
          <cell r="G8366" t="str">
            <v>FI-Other</v>
          </cell>
          <cell r="H8366" t="str">
            <v>RATES</v>
          </cell>
          <cell r="I8366" t="str">
            <v>Govt Emerging Markets Spread</v>
          </cell>
        </row>
        <row r="8367">
          <cell r="A8367" t="str">
            <v>LVL_5yr</v>
          </cell>
          <cell r="B8367" t="str">
            <v>LVL 5Y</v>
          </cell>
          <cell r="C8367" t="str">
            <v>BRS_GOLD__2_RATES:BRS_GOLD__1_EURSPRD:LVL:LVL_5yr</v>
          </cell>
          <cell r="D8367" t="str">
            <v>KRD</v>
          </cell>
          <cell r="E8367" t="str">
            <v>Spread Yield</v>
          </cell>
          <cell r="F8367" t="str">
            <v>FI-Govt Emerging Markets Spread</v>
          </cell>
          <cell r="G8367" t="str">
            <v>FI-Other</v>
          </cell>
          <cell r="H8367" t="str">
            <v>RATES</v>
          </cell>
          <cell r="I8367" t="str">
            <v>Govt Emerging Markets Spread</v>
          </cell>
        </row>
        <row r="8368">
          <cell r="A8368" t="str">
            <v>LVL_7yr</v>
          </cell>
          <cell r="B8368" t="str">
            <v>LVL 7Y</v>
          </cell>
          <cell r="C8368" t="str">
            <v>BRS_GOLD__2_RATES:BRS_GOLD__1_EURSPRD:LVL:LVL_7yr</v>
          </cell>
          <cell r="D8368" t="str">
            <v>KRD</v>
          </cell>
          <cell r="E8368" t="str">
            <v>Spread Yield</v>
          </cell>
          <cell r="F8368" t="str">
            <v>FI-Govt Emerging Markets Spread</v>
          </cell>
          <cell r="G8368" t="str">
            <v>FI-Other</v>
          </cell>
          <cell r="H8368" t="str">
            <v>RATES</v>
          </cell>
          <cell r="I8368" t="str">
            <v>Govt Emerging Markets Spread</v>
          </cell>
        </row>
        <row r="8369">
          <cell r="A8369" t="str">
            <v>LVL_10yr</v>
          </cell>
          <cell r="B8369" t="str">
            <v>LVL 10Y</v>
          </cell>
          <cell r="C8369" t="str">
            <v>BRS_GOLD__2_RATES:BRS_GOLD__1_EURSPRD:LVL:LVL_10yr</v>
          </cell>
          <cell r="D8369" t="str">
            <v>KRD</v>
          </cell>
          <cell r="E8369" t="str">
            <v>Spread Yield</v>
          </cell>
          <cell r="F8369" t="str">
            <v>FI-Govt Emerging Markets Spread</v>
          </cell>
          <cell r="G8369" t="str">
            <v>FI-Other</v>
          </cell>
          <cell r="H8369" t="str">
            <v>RATES</v>
          </cell>
          <cell r="I8369" t="str">
            <v>Govt Emerging Markets Spread</v>
          </cell>
        </row>
        <row r="8370">
          <cell r="A8370" t="str">
            <v>LVL_15yr</v>
          </cell>
          <cell r="B8370" t="str">
            <v>LVL 15Y</v>
          </cell>
          <cell r="C8370" t="str">
            <v>BRS_GOLD__2_RATES:BRS_GOLD__1_EURSPRD:LVL:LVL_15yr</v>
          </cell>
          <cell r="D8370" t="str">
            <v>KRD</v>
          </cell>
          <cell r="E8370" t="str">
            <v>Spread Yield</v>
          </cell>
          <cell r="F8370" t="str">
            <v>FI-Govt Emerging Markets Spread</v>
          </cell>
          <cell r="G8370" t="str">
            <v>FI-Other</v>
          </cell>
          <cell r="H8370" t="str">
            <v>RATES</v>
          </cell>
          <cell r="I8370" t="str">
            <v>Govt Emerging Markets Spread</v>
          </cell>
        </row>
        <row r="8371">
          <cell r="A8371" t="str">
            <v>LVL_20yr</v>
          </cell>
          <cell r="B8371" t="str">
            <v>LVL 20Y</v>
          </cell>
          <cell r="C8371" t="str">
            <v>BRS_GOLD__2_RATES:BRS_GOLD__1_EURSPRD:LVL:LVL_20yr</v>
          </cell>
          <cell r="D8371" t="str">
            <v>KRD</v>
          </cell>
          <cell r="E8371" t="str">
            <v>Spread Yield</v>
          </cell>
          <cell r="F8371" t="str">
            <v>FI-Govt Emerging Markets Spread</v>
          </cell>
          <cell r="G8371" t="str">
            <v>FI-Other</v>
          </cell>
          <cell r="H8371" t="str">
            <v>RATES</v>
          </cell>
          <cell r="I8371" t="str">
            <v>Govt Emerging Markets Spread</v>
          </cell>
        </row>
        <row r="8372">
          <cell r="A8372" t="str">
            <v>LVL_25yr</v>
          </cell>
          <cell r="B8372" t="str">
            <v>LVL 25Y</v>
          </cell>
          <cell r="C8372" t="str">
            <v>BRS_GOLD__2_RATES:BRS_GOLD__1_EURSPRD:LVL:LVL_25yr</v>
          </cell>
          <cell r="D8372" t="str">
            <v>KRD</v>
          </cell>
          <cell r="E8372" t="str">
            <v>Spread Yield</v>
          </cell>
          <cell r="F8372" t="str">
            <v>FI-Govt Emerging Markets Spread</v>
          </cell>
          <cell r="G8372" t="str">
            <v>FI-Other</v>
          </cell>
          <cell r="H8372" t="str">
            <v>RATES</v>
          </cell>
          <cell r="I8372" t="str">
            <v>Govt Emerging Markets Spread</v>
          </cell>
        </row>
        <row r="8373">
          <cell r="A8373" t="str">
            <v>LVL_30yr</v>
          </cell>
          <cell r="B8373" t="str">
            <v>LVL 30Y</v>
          </cell>
          <cell r="C8373" t="str">
            <v>BRS_GOLD__2_RATES:BRS_GOLD__1_EURSPRD:LVL:LVL_30yr</v>
          </cell>
          <cell r="D8373" t="str">
            <v>KRD</v>
          </cell>
          <cell r="E8373" t="str">
            <v>Spread Yield</v>
          </cell>
          <cell r="F8373" t="str">
            <v>FI-Govt Emerging Markets Spread</v>
          </cell>
          <cell r="G8373" t="str">
            <v>FI-Other</v>
          </cell>
          <cell r="H8373" t="str">
            <v>RATES</v>
          </cell>
          <cell r="I8373" t="str">
            <v>Govt Emerging Markets Spread</v>
          </cell>
        </row>
        <row r="8374">
          <cell r="A8374" t="str">
            <v>LTL_3m</v>
          </cell>
          <cell r="B8374" t="str">
            <v>LTL 3M</v>
          </cell>
          <cell r="C8374" t="str">
            <v>BRS_GOLD__2_RATES:BRS_GOLD__1_EURSPRD:LTL:LTL_3m</v>
          </cell>
          <cell r="D8374" t="str">
            <v>KRD</v>
          </cell>
          <cell r="E8374" t="str">
            <v>Spread Yield</v>
          </cell>
          <cell r="F8374" t="str">
            <v>FI-Govt Emerging Markets Spread</v>
          </cell>
          <cell r="G8374" t="str">
            <v>FI-Other</v>
          </cell>
          <cell r="H8374" t="str">
            <v>RATES</v>
          </cell>
          <cell r="I8374" t="str">
            <v>Govt Emerging Markets Spread</v>
          </cell>
        </row>
        <row r="8375">
          <cell r="A8375" t="str">
            <v>LTL_1yr</v>
          </cell>
          <cell r="B8375" t="str">
            <v>LTL 1Y</v>
          </cell>
          <cell r="C8375" t="str">
            <v>BRS_GOLD__2_RATES:BRS_GOLD__1_EURSPRD:LTL:LTL_1yr</v>
          </cell>
          <cell r="D8375" t="str">
            <v>KRD</v>
          </cell>
          <cell r="E8375" t="str">
            <v>Spread Yield</v>
          </cell>
          <cell r="F8375" t="str">
            <v>FI-Govt Emerging Markets Spread</v>
          </cell>
          <cell r="G8375" t="str">
            <v>FI-Other</v>
          </cell>
          <cell r="H8375" t="str">
            <v>RATES</v>
          </cell>
          <cell r="I8375" t="str">
            <v>Govt Emerging Markets Spread</v>
          </cell>
        </row>
        <row r="8376">
          <cell r="A8376" t="str">
            <v>LTL_2yr</v>
          </cell>
          <cell r="B8376" t="str">
            <v>LTL 2Y</v>
          </cell>
          <cell r="C8376" t="str">
            <v>BRS_GOLD__2_RATES:BRS_GOLD__1_EURSPRD:LTL:LTL_2yr</v>
          </cell>
          <cell r="D8376" t="str">
            <v>KRD</v>
          </cell>
          <cell r="E8376" t="str">
            <v>Spread Yield</v>
          </cell>
          <cell r="F8376" t="str">
            <v>FI-Govt Emerging Markets Spread</v>
          </cell>
          <cell r="G8376" t="str">
            <v>FI-Other</v>
          </cell>
          <cell r="H8376" t="str">
            <v>RATES</v>
          </cell>
          <cell r="I8376" t="str">
            <v>Govt Emerging Markets Spread</v>
          </cell>
        </row>
        <row r="8377">
          <cell r="A8377" t="str">
            <v>LTL_3yr</v>
          </cell>
          <cell r="B8377" t="str">
            <v>LTL 3Y</v>
          </cell>
          <cell r="C8377" t="str">
            <v>BRS_GOLD__2_RATES:BRS_GOLD__1_EURSPRD:LTL:LTL_3yr</v>
          </cell>
          <cell r="D8377" t="str">
            <v>KRD</v>
          </cell>
          <cell r="E8377" t="str">
            <v>Spread Yield</v>
          </cell>
          <cell r="F8377" t="str">
            <v>FI-Govt Emerging Markets Spread</v>
          </cell>
          <cell r="G8377" t="str">
            <v>FI-Other</v>
          </cell>
          <cell r="H8377" t="str">
            <v>RATES</v>
          </cell>
          <cell r="I8377" t="str">
            <v>Govt Emerging Markets Spread</v>
          </cell>
        </row>
        <row r="8378">
          <cell r="A8378" t="str">
            <v>LTL_5yr</v>
          </cell>
          <cell r="B8378" t="str">
            <v>LTL 5Y</v>
          </cell>
          <cell r="C8378" t="str">
            <v>BRS_GOLD__2_RATES:BRS_GOLD__1_EURSPRD:LTL:LTL_5yr</v>
          </cell>
          <cell r="D8378" t="str">
            <v>KRD</v>
          </cell>
          <cell r="E8378" t="str">
            <v>Spread Yield</v>
          </cell>
          <cell r="F8378" t="str">
            <v>FI-Govt Emerging Markets Spread</v>
          </cell>
          <cell r="G8378" t="str">
            <v>FI-Other</v>
          </cell>
          <cell r="H8378" t="str">
            <v>RATES</v>
          </cell>
          <cell r="I8378" t="str">
            <v>Govt Emerging Markets Spread</v>
          </cell>
        </row>
        <row r="8379">
          <cell r="A8379" t="str">
            <v>LTL_7yr</v>
          </cell>
          <cell r="B8379" t="str">
            <v>LTL 7Y</v>
          </cell>
          <cell r="C8379" t="str">
            <v>BRS_GOLD__2_RATES:BRS_GOLD__1_EURSPRD:LTL:LTL_7yr</v>
          </cell>
          <cell r="D8379" t="str">
            <v>KRD</v>
          </cell>
          <cell r="E8379" t="str">
            <v>Spread Yield</v>
          </cell>
          <cell r="F8379" t="str">
            <v>FI-Govt Emerging Markets Spread</v>
          </cell>
          <cell r="G8379" t="str">
            <v>FI-Other</v>
          </cell>
          <cell r="H8379" t="str">
            <v>RATES</v>
          </cell>
          <cell r="I8379" t="str">
            <v>Govt Emerging Markets Spread</v>
          </cell>
        </row>
        <row r="8380">
          <cell r="A8380" t="str">
            <v>LTL_10yr</v>
          </cell>
          <cell r="B8380" t="str">
            <v>LTL 10Y</v>
          </cell>
          <cell r="C8380" t="str">
            <v>BRS_GOLD__2_RATES:BRS_GOLD__1_EURSPRD:LTL:LTL_10yr</v>
          </cell>
          <cell r="D8380" t="str">
            <v>KRD</v>
          </cell>
          <cell r="E8380" t="str">
            <v>Spread Yield</v>
          </cell>
          <cell r="F8380" t="str">
            <v>FI-Govt Emerging Markets Spread</v>
          </cell>
          <cell r="G8380" t="str">
            <v>FI-Other</v>
          </cell>
          <cell r="H8380" t="str">
            <v>RATES</v>
          </cell>
          <cell r="I8380" t="str">
            <v>Govt Emerging Markets Spread</v>
          </cell>
        </row>
        <row r="8381">
          <cell r="A8381" t="str">
            <v>LTL_15yr</v>
          </cell>
          <cell r="B8381" t="str">
            <v>LTL 15Y</v>
          </cell>
          <cell r="C8381" t="str">
            <v>BRS_GOLD__2_RATES:BRS_GOLD__1_EURSPRD:LTL:LTL_15yr</v>
          </cell>
          <cell r="D8381" t="str">
            <v>KRD</v>
          </cell>
          <cell r="E8381" t="str">
            <v>Spread Yield</v>
          </cell>
          <cell r="F8381" t="str">
            <v>FI-Govt Emerging Markets Spread</v>
          </cell>
          <cell r="G8381" t="str">
            <v>FI-Other</v>
          </cell>
          <cell r="H8381" t="str">
            <v>RATES</v>
          </cell>
          <cell r="I8381" t="str">
            <v>Govt Emerging Markets Spread</v>
          </cell>
        </row>
        <row r="8382">
          <cell r="A8382" t="str">
            <v>LTL_20yr</v>
          </cell>
          <cell r="B8382" t="str">
            <v>LTL 20Y</v>
          </cell>
          <cell r="C8382" t="str">
            <v>BRS_GOLD__2_RATES:BRS_GOLD__1_EURSPRD:LTL:LTL_20yr</v>
          </cell>
          <cell r="D8382" t="str">
            <v>KRD</v>
          </cell>
          <cell r="E8382" t="str">
            <v>Spread Yield</v>
          </cell>
          <cell r="F8382" t="str">
            <v>FI-Govt Emerging Markets Spread</v>
          </cell>
          <cell r="G8382" t="str">
            <v>FI-Other</v>
          </cell>
          <cell r="H8382" t="str">
            <v>RATES</v>
          </cell>
          <cell r="I8382" t="str">
            <v>Govt Emerging Markets Spread</v>
          </cell>
        </row>
        <row r="8383">
          <cell r="A8383" t="str">
            <v>LTL_25yr</v>
          </cell>
          <cell r="B8383" t="str">
            <v>LTL 25Y</v>
          </cell>
          <cell r="C8383" t="str">
            <v>BRS_GOLD__2_RATES:BRS_GOLD__1_EURSPRD:LTL:LTL_25yr</v>
          </cell>
          <cell r="D8383" t="str">
            <v>KRD</v>
          </cell>
          <cell r="E8383" t="str">
            <v>Spread Yield</v>
          </cell>
          <cell r="F8383" t="str">
            <v>FI-Govt Emerging Markets Spread</v>
          </cell>
          <cell r="G8383" t="str">
            <v>FI-Other</v>
          </cell>
          <cell r="H8383" t="str">
            <v>RATES</v>
          </cell>
          <cell r="I8383" t="str">
            <v>Govt Emerging Markets Spread</v>
          </cell>
        </row>
        <row r="8384">
          <cell r="A8384" t="str">
            <v>LTL_30yr</v>
          </cell>
          <cell r="B8384" t="str">
            <v>LTL 30Y</v>
          </cell>
          <cell r="C8384" t="str">
            <v>BRS_GOLD__2_RATES:BRS_GOLD__1_EURSPRD:LTL:LTL_30yr</v>
          </cell>
          <cell r="D8384" t="str">
            <v>KRD</v>
          </cell>
          <cell r="E8384" t="str">
            <v>Spread Yield</v>
          </cell>
          <cell r="F8384" t="str">
            <v>FI-Govt Emerging Markets Spread</v>
          </cell>
          <cell r="G8384" t="str">
            <v>FI-Other</v>
          </cell>
          <cell r="H8384" t="str">
            <v>RATES</v>
          </cell>
          <cell r="I8384" t="str">
            <v>Govt Emerging Markets Spread</v>
          </cell>
        </row>
        <row r="8385">
          <cell r="A8385" t="str">
            <v>CYP_3m</v>
          </cell>
          <cell r="B8385" t="str">
            <v>CYP 3M</v>
          </cell>
          <cell r="C8385" t="str">
            <v>BRS_GOLD__2_RATES:BRS_GOLD__1_EURSPRD:CYP:CYP_3m</v>
          </cell>
          <cell r="D8385" t="str">
            <v>KRD</v>
          </cell>
          <cell r="E8385" t="str">
            <v>Spread Yield</v>
          </cell>
          <cell r="F8385" t="str">
            <v>FI-Govt Emerging Markets Spread</v>
          </cell>
          <cell r="G8385" t="str">
            <v>FI-Other</v>
          </cell>
          <cell r="H8385" t="str">
            <v>RATES</v>
          </cell>
          <cell r="I8385" t="str">
            <v>Govt Emerging Markets Spread</v>
          </cell>
        </row>
        <row r="8386">
          <cell r="A8386" t="str">
            <v>CYP_1yr</v>
          </cell>
          <cell r="B8386" t="str">
            <v>CYP 1Y</v>
          </cell>
          <cell r="C8386" t="str">
            <v>BRS_GOLD__2_RATES:BRS_GOLD__1_EURSPRD:CYP:CYP_1yr</v>
          </cell>
          <cell r="D8386" t="str">
            <v>KRD</v>
          </cell>
          <cell r="E8386" t="str">
            <v>Spread Yield</v>
          </cell>
          <cell r="F8386" t="str">
            <v>FI-Govt Emerging Markets Spread</v>
          </cell>
          <cell r="G8386" t="str">
            <v>FI-Other</v>
          </cell>
          <cell r="H8386" t="str">
            <v>RATES</v>
          </cell>
          <cell r="I8386" t="str">
            <v>Govt Emerging Markets Spread</v>
          </cell>
        </row>
        <row r="8387">
          <cell r="A8387" t="str">
            <v>CYP_2yr</v>
          </cell>
          <cell r="B8387" t="str">
            <v>CYP 2Y</v>
          </cell>
          <cell r="C8387" t="str">
            <v>BRS_GOLD__2_RATES:BRS_GOLD__1_EURSPRD:CYP:CYP_2yr</v>
          </cell>
          <cell r="D8387" t="str">
            <v>KRD</v>
          </cell>
          <cell r="E8387" t="str">
            <v>Spread Yield</v>
          </cell>
          <cell r="F8387" t="str">
            <v>FI-Govt Emerging Markets Spread</v>
          </cell>
          <cell r="G8387" t="str">
            <v>FI-Other</v>
          </cell>
          <cell r="H8387" t="str">
            <v>RATES</v>
          </cell>
          <cell r="I8387" t="str">
            <v>Govt Emerging Markets Spread</v>
          </cell>
        </row>
        <row r="8388">
          <cell r="A8388" t="str">
            <v>CYP_3yr</v>
          </cell>
          <cell r="B8388" t="str">
            <v>CYP 3Y</v>
          </cell>
          <cell r="C8388" t="str">
            <v>BRS_GOLD__2_RATES:BRS_GOLD__1_EURSPRD:CYP:CYP_3yr</v>
          </cell>
          <cell r="D8388" t="str">
            <v>KRD</v>
          </cell>
          <cell r="E8388" t="str">
            <v>Spread Yield</v>
          </cell>
          <cell r="F8388" t="str">
            <v>FI-Govt Emerging Markets Spread</v>
          </cell>
          <cell r="G8388" t="str">
            <v>FI-Other</v>
          </cell>
          <cell r="H8388" t="str">
            <v>RATES</v>
          </cell>
          <cell r="I8388" t="str">
            <v>Govt Emerging Markets Spread</v>
          </cell>
        </row>
        <row r="8389">
          <cell r="A8389" t="str">
            <v>CYP_5yr</v>
          </cell>
          <cell r="B8389" t="str">
            <v>CYP 5Y</v>
          </cell>
          <cell r="C8389" t="str">
            <v>BRS_GOLD__2_RATES:BRS_GOLD__1_EURSPRD:CYP:CYP_5yr</v>
          </cell>
          <cell r="D8389" t="str">
            <v>KRD</v>
          </cell>
          <cell r="E8389" t="str">
            <v>Spread Yield</v>
          </cell>
          <cell r="F8389" t="str">
            <v>FI-Govt Emerging Markets Spread</v>
          </cell>
          <cell r="G8389" t="str">
            <v>FI-Other</v>
          </cell>
          <cell r="H8389" t="str">
            <v>RATES</v>
          </cell>
          <cell r="I8389" t="str">
            <v>Govt Emerging Markets Spread</v>
          </cell>
        </row>
        <row r="8390">
          <cell r="A8390" t="str">
            <v>CYP_7yr</v>
          </cell>
          <cell r="B8390" t="str">
            <v>CYP 7Y</v>
          </cell>
          <cell r="C8390" t="str">
            <v>BRS_GOLD__2_RATES:BRS_GOLD__1_EURSPRD:CYP:CYP_7yr</v>
          </cell>
          <cell r="D8390" t="str">
            <v>KRD</v>
          </cell>
          <cell r="E8390" t="str">
            <v>Spread Yield</v>
          </cell>
          <cell r="F8390" t="str">
            <v>FI-Govt Emerging Markets Spread</v>
          </cell>
          <cell r="G8390" t="str">
            <v>FI-Other</v>
          </cell>
          <cell r="H8390" t="str">
            <v>RATES</v>
          </cell>
          <cell r="I8390" t="str">
            <v>Govt Emerging Markets Spread</v>
          </cell>
        </row>
        <row r="8391">
          <cell r="A8391" t="str">
            <v>CYP_10yr</v>
          </cell>
          <cell r="B8391" t="str">
            <v>CYP 10Y</v>
          </cell>
          <cell r="C8391" t="str">
            <v>BRS_GOLD__2_RATES:BRS_GOLD__1_EURSPRD:CYP:CYP_10yr</v>
          </cell>
          <cell r="D8391" t="str">
            <v>KRD</v>
          </cell>
          <cell r="E8391" t="str">
            <v>Spread Yield</v>
          </cell>
          <cell r="F8391" t="str">
            <v>FI-Govt Emerging Markets Spread</v>
          </cell>
          <cell r="G8391" t="str">
            <v>FI-Other</v>
          </cell>
          <cell r="H8391" t="str">
            <v>RATES</v>
          </cell>
          <cell r="I8391" t="str">
            <v>Govt Emerging Markets Spread</v>
          </cell>
        </row>
        <row r="8392">
          <cell r="A8392" t="str">
            <v>CYP_15yr</v>
          </cell>
          <cell r="B8392" t="str">
            <v>CYP 15Y</v>
          </cell>
          <cell r="C8392" t="str">
            <v>BRS_GOLD__2_RATES:BRS_GOLD__1_EURSPRD:CYP:CYP_15yr</v>
          </cell>
          <cell r="D8392" t="str">
            <v>KRD</v>
          </cell>
          <cell r="E8392" t="str">
            <v>Spread Yield</v>
          </cell>
          <cell r="F8392" t="str">
            <v>FI-Govt Emerging Markets Spread</v>
          </cell>
          <cell r="G8392" t="str">
            <v>FI-Other</v>
          </cell>
          <cell r="H8392" t="str">
            <v>RATES</v>
          </cell>
          <cell r="I8392" t="str">
            <v>Govt Emerging Markets Spread</v>
          </cell>
        </row>
        <row r="8393">
          <cell r="A8393" t="str">
            <v>CYP_20yr</v>
          </cell>
          <cell r="B8393" t="str">
            <v>CYP 20Y</v>
          </cell>
          <cell r="C8393" t="str">
            <v>BRS_GOLD__2_RATES:BRS_GOLD__1_EURSPRD:CYP:CYP_20yr</v>
          </cell>
          <cell r="D8393" t="str">
            <v>KRD</v>
          </cell>
          <cell r="E8393" t="str">
            <v>Spread Yield</v>
          </cell>
          <cell r="F8393" t="str">
            <v>FI-Govt Emerging Markets Spread</v>
          </cell>
          <cell r="G8393" t="str">
            <v>FI-Other</v>
          </cell>
          <cell r="H8393" t="str">
            <v>RATES</v>
          </cell>
          <cell r="I8393" t="str">
            <v>Govt Emerging Markets Spread</v>
          </cell>
        </row>
        <row r="8394">
          <cell r="A8394" t="str">
            <v>CYP_25yr</v>
          </cell>
          <cell r="B8394" t="str">
            <v>CYP 25Y</v>
          </cell>
          <cell r="C8394" t="str">
            <v>BRS_GOLD__2_RATES:BRS_GOLD__1_EURSPRD:CYP:CYP_25yr</v>
          </cell>
          <cell r="D8394" t="str">
            <v>KRD</v>
          </cell>
          <cell r="E8394" t="str">
            <v>Spread Yield</v>
          </cell>
          <cell r="F8394" t="str">
            <v>FI-Govt Emerging Markets Spread</v>
          </cell>
          <cell r="G8394" t="str">
            <v>FI-Other</v>
          </cell>
          <cell r="H8394" t="str">
            <v>RATES</v>
          </cell>
          <cell r="I8394" t="str">
            <v>Govt Emerging Markets Spread</v>
          </cell>
        </row>
        <row r="8395">
          <cell r="A8395" t="str">
            <v>CYP_30yr</v>
          </cell>
          <cell r="B8395" t="str">
            <v>CYP 30Y</v>
          </cell>
          <cell r="C8395" t="str">
            <v>BRS_GOLD__2_RATES:BRS_GOLD__1_EURSPRD:CYP:CYP_30yr</v>
          </cell>
          <cell r="D8395" t="str">
            <v>KRD</v>
          </cell>
          <cell r="E8395" t="str">
            <v>Spread Yield</v>
          </cell>
          <cell r="F8395" t="str">
            <v>FI-Govt Emerging Markets Spread</v>
          </cell>
          <cell r="G8395" t="str">
            <v>FI-Other</v>
          </cell>
          <cell r="H8395" t="str">
            <v>RATES</v>
          </cell>
          <cell r="I8395" t="str">
            <v>Govt Emerging Markets Spread</v>
          </cell>
        </row>
        <row r="8396">
          <cell r="A8396" t="str">
            <v>SPX</v>
          </cell>
          <cell r="B8396" t="str">
            <v>S&amp;P 500</v>
          </cell>
          <cell r="C8396" t="str">
            <v>_BRS_GOLD__5_EQ:BRS_GOLD__1_EQX:SPX</v>
          </cell>
          <cell r="D8396" t="str">
            <v>Index</v>
          </cell>
          <cell r="E8396" t="str">
            <v>Index Level</v>
          </cell>
          <cell r="F8396" t="str">
            <v>EQ-Equity Implied Volatility</v>
          </cell>
          <cell r="G8396" t="str">
            <v>EQ-Other</v>
          </cell>
          <cell r="H8396" t="str">
            <v>EQ_INDICES</v>
          </cell>
          <cell r="I8396" t="str">
            <v>Equity Implied Volatility</v>
          </cell>
        </row>
        <row r="8397">
          <cell r="A8397" t="str">
            <v>VIX</v>
          </cell>
          <cell r="B8397" t="str">
            <v>VIX</v>
          </cell>
          <cell r="C8397" t="str">
            <v>_BRS_GOLD__5_EQ:BRS_GOLD__1_EQX:VIX</v>
          </cell>
          <cell r="D8397" t="str">
            <v>Index</v>
          </cell>
          <cell r="E8397" t="str">
            <v>Index Level</v>
          </cell>
          <cell r="F8397" t="str">
            <v>EQ-Equity Implied Volatility</v>
          </cell>
          <cell r="G8397" t="str">
            <v>EQ-Other</v>
          </cell>
          <cell r="H8397" t="str">
            <v>EQ_INDICES</v>
          </cell>
          <cell r="I8397" t="str">
            <v>Equity Implied Volatility</v>
          </cell>
        </row>
        <row r="8398">
          <cell r="A8398" t="str">
            <v>SPTSX</v>
          </cell>
          <cell r="B8398" t="str">
            <v>S&amp;P/TSX</v>
          </cell>
          <cell r="C8398" t="str">
            <v>_BRS_GOLD__5_EQ:BRS_GOLD__1_EQX:SPTSX</v>
          </cell>
          <cell r="D8398" t="str">
            <v>Index</v>
          </cell>
          <cell r="E8398" t="str">
            <v>Index Level</v>
          </cell>
          <cell r="F8398" t="str">
            <v>EQ-Equity Implied Volatility</v>
          </cell>
          <cell r="G8398" t="str">
            <v>EQ-Other</v>
          </cell>
          <cell r="H8398" t="str">
            <v>EQ_INDICES</v>
          </cell>
          <cell r="I8398" t="str">
            <v>Equity Implied Volatility</v>
          </cell>
        </row>
        <row r="8399">
          <cell r="A8399" t="str">
            <v>DAX</v>
          </cell>
          <cell r="B8399" t="str">
            <v>DAX 30</v>
          </cell>
          <cell r="C8399" t="str">
            <v>_BRS_GOLD__5_EQ:BRS_GOLD__1_EQX:DAX</v>
          </cell>
          <cell r="D8399" t="str">
            <v>Index</v>
          </cell>
          <cell r="E8399" t="str">
            <v>Index Level</v>
          </cell>
          <cell r="F8399" t="str">
            <v>EQ-Equity Implied Volatility</v>
          </cell>
          <cell r="G8399" t="str">
            <v>EQ-Other</v>
          </cell>
          <cell r="H8399" t="str">
            <v>EQ_INDICES</v>
          </cell>
          <cell r="I8399" t="str">
            <v>Equity Implied Volatility</v>
          </cell>
        </row>
        <row r="8400">
          <cell r="A8400" t="str">
            <v>VDAX</v>
          </cell>
          <cell r="B8400" t="str">
            <v>VDAX Implied Vol</v>
          </cell>
          <cell r="C8400" t="str">
            <v>_BRS_GOLD__5_EQ:BRS_GOLD__1_EQX:VDAX</v>
          </cell>
          <cell r="D8400" t="str">
            <v>Index</v>
          </cell>
          <cell r="E8400" t="str">
            <v>Index Level</v>
          </cell>
          <cell r="F8400" t="str">
            <v>EQ-Equity Implied Volatility</v>
          </cell>
          <cell r="G8400" t="str">
            <v>EQ-Other</v>
          </cell>
          <cell r="H8400" t="str">
            <v>EQ_INDICES</v>
          </cell>
          <cell r="I8400" t="str">
            <v>Equity Implied Volatility</v>
          </cell>
        </row>
        <row r="8401">
          <cell r="A8401" t="str">
            <v>UKX</v>
          </cell>
          <cell r="B8401" t="str">
            <v>FTSE 100</v>
          </cell>
          <cell r="C8401" t="str">
            <v>_BRS_GOLD__5_EQ:BRS_GOLD__1_EQX:UKX</v>
          </cell>
          <cell r="D8401" t="str">
            <v>Index</v>
          </cell>
          <cell r="E8401" t="str">
            <v>Index Level</v>
          </cell>
          <cell r="F8401" t="str">
            <v>EQ-Equity Implied Volatility</v>
          </cell>
          <cell r="G8401" t="str">
            <v>EQ-Other</v>
          </cell>
          <cell r="H8401" t="str">
            <v>EQ_INDICES</v>
          </cell>
          <cell r="I8401" t="str">
            <v>Equity Implied Volatility</v>
          </cell>
        </row>
        <row r="8402">
          <cell r="A8402" t="str">
            <v>NKY</v>
          </cell>
          <cell r="B8402" t="str">
            <v>NIKKEI 225</v>
          </cell>
          <cell r="C8402" t="str">
            <v>_BRS_GOLD__5_EQ:BRS_GOLD__1_EQX:NKY</v>
          </cell>
          <cell r="D8402" t="str">
            <v>Index</v>
          </cell>
          <cell r="E8402" t="str">
            <v>Index Level</v>
          </cell>
          <cell r="F8402" t="str">
            <v>EQ-Equity Implied Volatility</v>
          </cell>
          <cell r="G8402" t="str">
            <v>EQ-Other</v>
          </cell>
          <cell r="H8402" t="str">
            <v>EQ_INDICES</v>
          </cell>
          <cell r="I8402" t="str">
            <v>Equity Implied Volatility</v>
          </cell>
        </row>
        <row r="8403">
          <cell r="A8403" t="str">
            <v>MXEU</v>
          </cell>
          <cell r="B8403" t="str">
            <v>MSCI EUROPE(EUR)</v>
          </cell>
          <cell r="C8403" t="str">
            <v>_BRS_GOLD__5_EQ:BRS_GOLD__1_EQX:MXEU</v>
          </cell>
          <cell r="D8403" t="str">
            <v>Index</v>
          </cell>
          <cell r="E8403" t="str">
            <v>Index Level</v>
          </cell>
          <cell r="F8403" t="str">
            <v>EQ-Equity Implied Volatility</v>
          </cell>
          <cell r="G8403" t="str">
            <v>EQ-Other</v>
          </cell>
          <cell r="H8403" t="str">
            <v>EQ_INDICES</v>
          </cell>
          <cell r="I8403" t="str">
            <v>Equity Implied Volatility</v>
          </cell>
        </row>
        <row r="8404">
          <cell r="A8404" t="str">
            <v>MXEU0EN</v>
          </cell>
          <cell r="B8404" t="str">
            <v>MXEU ENERGY(EUR)</v>
          </cell>
          <cell r="C8404" t="str">
            <v>_BRS_GOLD__5_EQ:BRS_GOLD__1_EQX:MXEU0EN</v>
          </cell>
          <cell r="D8404" t="str">
            <v>Index</v>
          </cell>
          <cell r="E8404" t="str">
            <v>Index Level</v>
          </cell>
          <cell r="F8404" t="str">
            <v>EQ-Equity Implied Volatility</v>
          </cell>
          <cell r="G8404" t="str">
            <v>EQ-Other</v>
          </cell>
          <cell r="H8404" t="str">
            <v>EQ_INDICES</v>
          </cell>
          <cell r="I8404" t="str">
            <v>Equity Implied Volatility</v>
          </cell>
        </row>
        <row r="8405">
          <cell r="A8405" t="str">
            <v>MXEU0MT</v>
          </cell>
          <cell r="B8405" t="str">
            <v>MXEU MATERIALS(EUR)</v>
          </cell>
          <cell r="C8405" t="str">
            <v>_BRS_GOLD__5_EQ:BRS_GOLD__1_EQX:MXEU0MT</v>
          </cell>
          <cell r="D8405" t="str">
            <v>Index</v>
          </cell>
          <cell r="E8405" t="str">
            <v>Index Level</v>
          </cell>
          <cell r="F8405" t="str">
            <v>EQ-Equity Implied Volatility</v>
          </cell>
          <cell r="G8405" t="str">
            <v>EQ-Other</v>
          </cell>
          <cell r="H8405" t="str">
            <v>EQ_INDICES</v>
          </cell>
          <cell r="I8405" t="str">
            <v>Equity Implied Volatility</v>
          </cell>
        </row>
        <row r="8406">
          <cell r="A8406" t="str">
            <v>MXEU0CD</v>
          </cell>
          <cell r="B8406" t="str">
            <v>MXEU CONSUM DISC(EUR)</v>
          </cell>
          <cell r="C8406" t="str">
            <v>_BRS_GOLD__5_EQ:BRS_GOLD__1_EQX:MXEU0CD</v>
          </cell>
          <cell r="D8406" t="str">
            <v>Index</v>
          </cell>
          <cell r="E8406" t="str">
            <v>Index Level</v>
          </cell>
          <cell r="F8406" t="str">
            <v>EQ-Equity Implied Volatility</v>
          </cell>
          <cell r="G8406" t="str">
            <v>EQ-Other</v>
          </cell>
          <cell r="H8406" t="str">
            <v>EQ_INDICES</v>
          </cell>
          <cell r="I8406" t="str">
            <v>Equity Implied Volatility</v>
          </cell>
        </row>
        <row r="8407">
          <cell r="A8407" t="str">
            <v>MXEU0CS</v>
          </cell>
          <cell r="B8407" t="str">
            <v>MXEU CONSUM STAP(EUR)</v>
          </cell>
          <cell r="C8407" t="str">
            <v>_BRS_GOLD__5_EQ:BRS_GOLD__1_EQX:MXEU0CS</v>
          </cell>
          <cell r="D8407" t="str">
            <v>Index</v>
          </cell>
          <cell r="E8407" t="str">
            <v>Index Level</v>
          </cell>
          <cell r="F8407" t="str">
            <v>EQ-Equity Implied Volatility</v>
          </cell>
          <cell r="G8407" t="str">
            <v>EQ-Other</v>
          </cell>
          <cell r="H8407" t="str">
            <v>EQ_INDICES</v>
          </cell>
          <cell r="I8407" t="str">
            <v>Equity Implied Volatility</v>
          </cell>
        </row>
        <row r="8408">
          <cell r="A8408" t="str">
            <v>MXEU0HC</v>
          </cell>
          <cell r="B8408" t="str">
            <v>MXEU HEALTHCARE(EUR)</v>
          </cell>
          <cell r="C8408" t="str">
            <v>_BRS_GOLD__5_EQ:BRS_GOLD__1_EQX:MXEU0HC</v>
          </cell>
          <cell r="D8408" t="str">
            <v>Index</v>
          </cell>
          <cell r="E8408" t="str">
            <v>Index Level</v>
          </cell>
          <cell r="F8408" t="str">
            <v>EQ-Equity Implied Volatility</v>
          </cell>
          <cell r="G8408" t="str">
            <v>EQ-Other</v>
          </cell>
          <cell r="H8408" t="str">
            <v>EQ_INDICES</v>
          </cell>
          <cell r="I8408" t="str">
            <v>Equity Implied Volatility</v>
          </cell>
        </row>
        <row r="8409">
          <cell r="A8409" t="str">
            <v>MXEU0FN</v>
          </cell>
          <cell r="B8409" t="str">
            <v>MXEU FINANCIALS(EUR)</v>
          </cell>
          <cell r="C8409" t="str">
            <v>_BRS_GOLD__5_EQ:BRS_GOLD__1_EQX:MXEU0FN</v>
          </cell>
          <cell r="D8409" t="str">
            <v>Index</v>
          </cell>
          <cell r="E8409" t="str">
            <v>Index Level</v>
          </cell>
          <cell r="F8409" t="str">
            <v>EQ-Equity Implied Volatility</v>
          </cell>
          <cell r="G8409" t="str">
            <v>EQ-Other</v>
          </cell>
          <cell r="H8409" t="str">
            <v>EQ_INDICES</v>
          </cell>
          <cell r="I8409" t="str">
            <v>Equity Implied Volatility</v>
          </cell>
        </row>
        <row r="8410">
          <cell r="A8410" t="str">
            <v>MXEU0IT</v>
          </cell>
          <cell r="B8410" t="str">
            <v>MXEU INFO TECH(EUR)</v>
          </cell>
          <cell r="C8410" t="str">
            <v>_BRS_GOLD__5_EQ:BRS_GOLD__1_EQX:MXEU0IT</v>
          </cell>
          <cell r="D8410" t="str">
            <v>Index</v>
          </cell>
          <cell r="E8410" t="str">
            <v>Index Level</v>
          </cell>
          <cell r="F8410" t="str">
            <v>EQ-Equity Implied Volatility</v>
          </cell>
          <cell r="G8410" t="str">
            <v>EQ-Other</v>
          </cell>
          <cell r="H8410" t="str">
            <v>EQ_INDICES</v>
          </cell>
          <cell r="I8410" t="str">
            <v>Equity Implied Volatility</v>
          </cell>
        </row>
        <row r="8411">
          <cell r="A8411" t="str">
            <v>MXEU0TC</v>
          </cell>
          <cell r="B8411" t="str">
            <v>MXEU TELECOM SVCS(EUR)</v>
          </cell>
          <cell r="C8411" t="str">
            <v>_BRS_GOLD__5_EQ:BRS_GOLD__1_EQX:MXEU0TC</v>
          </cell>
          <cell r="D8411" t="str">
            <v>Index</v>
          </cell>
          <cell r="E8411" t="str">
            <v>Index Level</v>
          </cell>
          <cell r="F8411" t="str">
            <v>EQ-Equity Implied Volatility</v>
          </cell>
          <cell r="G8411" t="str">
            <v>EQ-Other</v>
          </cell>
          <cell r="H8411" t="str">
            <v>EQ_INDICES</v>
          </cell>
          <cell r="I8411" t="str">
            <v>Equity Implied Volatility</v>
          </cell>
        </row>
        <row r="8412">
          <cell r="A8412" t="str">
            <v>MXEU0UT</v>
          </cell>
          <cell r="B8412" t="str">
            <v>MXEU UTILITIES(EUR)</v>
          </cell>
          <cell r="C8412" t="str">
            <v>_BRS_GOLD__5_EQ:BRS_GOLD__1_EQX:MXEU0UT</v>
          </cell>
          <cell r="D8412" t="str">
            <v>Index</v>
          </cell>
          <cell r="E8412" t="str">
            <v>Index Level</v>
          </cell>
          <cell r="F8412" t="str">
            <v>EQ-Equity Implied Volatility</v>
          </cell>
          <cell r="G8412" t="str">
            <v>EQ-Other</v>
          </cell>
          <cell r="H8412" t="str">
            <v>EQ_INDICES</v>
          </cell>
          <cell r="I8412" t="str">
            <v>Equity Implied Volatility</v>
          </cell>
        </row>
        <row r="8413">
          <cell r="A8413" t="str">
            <v>MXEU0IN</v>
          </cell>
          <cell r="B8413" t="str">
            <v>MXEU INDUSTRIALS(EUR)</v>
          </cell>
          <cell r="C8413" t="str">
            <v>_BRS_GOLD__5_EQ:BRS_GOLD__1_EQX:MXEU0IN</v>
          </cell>
          <cell r="D8413" t="str">
            <v>Index</v>
          </cell>
          <cell r="E8413" t="str">
            <v>Index Level</v>
          </cell>
          <cell r="F8413" t="str">
            <v>EQ-Equity Implied Volatility</v>
          </cell>
          <cell r="G8413" t="str">
            <v>EQ-Other</v>
          </cell>
          <cell r="H8413" t="str">
            <v>EQ_INDICES</v>
          </cell>
          <cell r="I8413" t="str">
            <v>Equity Implied Volatility</v>
          </cell>
        </row>
        <row r="8414">
          <cell r="A8414" t="str">
            <v>VSTOXX</v>
          </cell>
          <cell r="B8414" t="str">
            <v>VSTOXX Implied Vol</v>
          </cell>
          <cell r="C8414" t="str">
            <v>_BRS_GOLD__5_EQ:BRS_GOLD__1_EQX:VSTOXX</v>
          </cell>
          <cell r="D8414" t="str">
            <v>Index</v>
          </cell>
          <cell r="E8414" t="str">
            <v>Index Level</v>
          </cell>
          <cell r="F8414" t="str">
            <v>EQ-Equity Implied Volatility</v>
          </cell>
          <cell r="G8414" t="str">
            <v>EQ-Other</v>
          </cell>
          <cell r="H8414" t="str">
            <v>EQ_INDICES</v>
          </cell>
          <cell r="I8414" t="str">
            <v>Equity Implied Volatility</v>
          </cell>
        </row>
        <row r="8415">
          <cell r="A8415" t="str">
            <v>VSTOXX_R</v>
          </cell>
          <cell r="B8415" t="str">
            <v>VSTOXX Implied Vol R</v>
          </cell>
          <cell r="C8415" t="str">
            <v>_BRS_GOLD__5_EQ:BRS_GOLD__1_EQX:VSTOXX_R</v>
          </cell>
          <cell r="D8415" t="str">
            <v>Index</v>
          </cell>
          <cell r="E8415" t="str">
            <v>Index Level</v>
          </cell>
          <cell r="F8415" t="str">
            <v>EQ-Equity Implied Volatility</v>
          </cell>
          <cell r="G8415" t="str">
            <v>EQ-Other</v>
          </cell>
          <cell r="H8415" t="str">
            <v>EQ_INDICES</v>
          </cell>
          <cell r="I8415" t="str">
            <v>Equity Implied Volatility</v>
          </cell>
        </row>
        <row r="8416">
          <cell r="A8416" t="str">
            <v>TWSE</v>
          </cell>
          <cell r="B8416" t="str">
            <v>Taiwan TWSE</v>
          </cell>
          <cell r="C8416" t="str">
            <v>_BRS_GOLD__5_EQ:BRS_GOLD__1_EQX:TWSE</v>
          </cell>
          <cell r="D8416" t="str">
            <v>Index</v>
          </cell>
          <cell r="E8416" t="str">
            <v>Index Level</v>
          </cell>
          <cell r="F8416" t="str">
            <v>EQ-Equity Implied Volatility</v>
          </cell>
          <cell r="G8416" t="str">
            <v>EQ-Other</v>
          </cell>
          <cell r="H8416" t="str">
            <v>EQ_INDICES</v>
          </cell>
          <cell r="I8416" t="str">
            <v>Equity Implied Volatility</v>
          </cell>
        </row>
        <row r="8417">
          <cell r="A8417" t="str">
            <v>VIX_R</v>
          </cell>
          <cell r="B8417" t="str">
            <v>VIX Implied Vol R</v>
          </cell>
          <cell r="C8417" t="str">
            <v>_BRS_GOLD__5_EQ:BRS_GOLD__1_EQX:VIX_R</v>
          </cell>
          <cell r="D8417" t="str">
            <v>Index</v>
          </cell>
          <cell r="E8417" t="str">
            <v>Index Level</v>
          </cell>
          <cell r="F8417" t="str">
            <v>EQ-Equity Implied Volatility</v>
          </cell>
          <cell r="G8417" t="str">
            <v>EQ-Other</v>
          </cell>
          <cell r="H8417" t="str">
            <v>EQ_INDICES</v>
          </cell>
          <cell r="I8417" t="str">
            <v>Equity Implied Volatility</v>
          </cell>
        </row>
        <row r="8418">
          <cell r="A8418" t="str">
            <v>VIX_1</v>
          </cell>
          <cell r="B8418" t="str">
            <v>CBOE VIX UXc1</v>
          </cell>
          <cell r="C8418" t="str">
            <v>_BRS_GOLD__5_EQ:BRS_GOLD__1_EQX:VIX_1</v>
          </cell>
          <cell r="D8418" t="str">
            <v>Index</v>
          </cell>
          <cell r="E8418" t="str">
            <v>Index Level</v>
          </cell>
          <cell r="F8418" t="str">
            <v>EQ-Equity Implied Volatility</v>
          </cell>
          <cell r="G8418" t="str">
            <v>EQ-Other</v>
          </cell>
          <cell r="H8418" t="str">
            <v>EQ_INDICES</v>
          </cell>
          <cell r="I8418" t="str">
            <v>Equity Implied Volatility</v>
          </cell>
        </row>
        <row r="8419">
          <cell r="A8419" t="str">
            <v>VIX_2</v>
          </cell>
          <cell r="B8419" t="str">
            <v>CBOE VIX UXc2</v>
          </cell>
          <cell r="C8419" t="str">
            <v>_BRS_GOLD__5_EQ:BRS_GOLD__1_EQX:VIX_2</v>
          </cell>
          <cell r="D8419" t="str">
            <v>Index</v>
          </cell>
          <cell r="E8419" t="str">
            <v>Index Level</v>
          </cell>
          <cell r="F8419" t="str">
            <v>EQ-Equity Implied Volatility</v>
          </cell>
          <cell r="G8419" t="str">
            <v>EQ-Other</v>
          </cell>
          <cell r="H8419" t="str">
            <v>EQ_INDICES</v>
          </cell>
          <cell r="I8419" t="str">
            <v>Equity Implied Volatility</v>
          </cell>
        </row>
        <row r="8420">
          <cell r="A8420" t="str">
            <v>VIX_3</v>
          </cell>
          <cell r="B8420" t="str">
            <v>CBOE VIX UXc3</v>
          </cell>
          <cell r="C8420" t="str">
            <v>_BRS_GOLD__5_EQ:BRS_GOLD__1_EQX:VIX_3</v>
          </cell>
          <cell r="D8420" t="str">
            <v>Index</v>
          </cell>
          <cell r="E8420" t="str">
            <v>Index Level</v>
          </cell>
          <cell r="F8420" t="str">
            <v>EQ-Equity Implied Volatility</v>
          </cell>
          <cell r="G8420" t="str">
            <v>EQ-Other</v>
          </cell>
          <cell r="H8420" t="str">
            <v>EQ_INDICES</v>
          </cell>
          <cell r="I8420" t="str">
            <v>Equity Implied Volatility</v>
          </cell>
        </row>
        <row r="8421">
          <cell r="A8421" t="str">
            <v>VIX_4</v>
          </cell>
          <cell r="B8421" t="str">
            <v>CBOE VIX UXc4</v>
          </cell>
          <cell r="C8421" t="str">
            <v>_BRS_GOLD__5_EQ:BRS_GOLD__1_EQX:VIX_4</v>
          </cell>
          <cell r="D8421" t="str">
            <v>Index</v>
          </cell>
          <cell r="E8421" t="str">
            <v>Index Level</v>
          </cell>
          <cell r="F8421" t="str">
            <v>EQ-Equity Implied Volatility</v>
          </cell>
          <cell r="G8421" t="str">
            <v>EQ-Other</v>
          </cell>
          <cell r="H8421" t="str">
            <v>EQ_INDICES</v>
          </cell>
          <cell r="I8421" t="str">
            <v>Equity Implied Volatility</v>
          </cell>
        </row>
        <row r="8422">
          <cell r="A8422" t="str">
            <v>VIX_5</v>
          </cell>
          <cell r="B8422" t="str">
            <v>CBOE VIX UXc5</v>
          </cell>
          <cell r="C8422" t="str">
            <v>_BRS_GOLD__5_EQ:BRS_GOLD__1_EQX:VIX_5</v>
          </cell>
          <cell r="D8422" t="str">
            <v>Index</v>
          </cell>
          <cell r="E8422" t="str">
            <v>Index Level</v>
          </cell>
          <cell r="F8422" t="str">
            <v>EQ-Equity Implied Volatility</v>
          </cell>
          <cell r="G8422" t="str">
            <v>EQ-Other</v>
          </cell>
          <cell r="H8422" t="str">
            <v>EQ_INDICES</v>
          </cell>
          <cell r="I8422" t="str">
            <v>Equity Implied Volatility</v>
          </cell>
        </row>
        <row r="8423">
          <cell r="A8423" t="str">
            <v>VIX_6</v>
          </cell>
          <cell r="B8423" t="str">
            <v>CBOE VIX UXc6</v>
          </cell>
          <cell r="C8423" t="str">
            <v>_BRS_GOLD__5_EQ:BRS_GOLD__1_EQX:VIX_6</v>
          </cell>
          <cell r="D8423" t="str">
            <v>Index</v>
          </cell>
          <cell r="E8423" t="str">
            <v>Index Level</v>
          </cell>
          <cell r="F8423" t="str">
            <v>EQ-Equity Implied Volatility</v>
          </cell>
          <cell r="G8423" t="str">
            <v>EQ-Other</v>
          </cell>
          <cell r="H8423" t="str">
            <v>EQ_INDICES</v>
          </cell>
          <cell r="I8423" t="str">
            <v>Equity Implied Volatility</v>
          </cell>
        </row>
        <row r="8424">
          <cell r="A8424" t="str">
            <v>VIX_7</v>
          </cell>
          <cell r="B8424" t="str">
            <v>CBOE VIX UXc7</v>
          </cell>
          <cell r="C8424" t="str">
            <v>Equity Indices:CBOE VIX UXc7</v>
          </cell>
          <cell r="D8424" t="str">
            <v>Index</v>
          </cell>
          <cell r="E8424" t="str">
            <v>Index Level</v>
          </cell>
          <cell r="F8424" t="str">
            <v>EQ-Equity Implied Volatility</v>
          </cell>
          <cell r="G8424" t="str">
            <v>EQ-Other</v>
          </cell>
          <cell r="H8424" t="str">
            <v>EQ_INDICES</v>
          </cell>
          <cell r="I8424" t="str">
            <v>Equity Implied Volatility</v>
          </cell>
        </row>
        <row r="8425">
          <cell r="A8425" t="str">
            <v>VIX_8</v>
          </cell>
          <cell r="B8425" t="str">
            <v>CBOE VIX UXc8</v>
          </cell>
          <cell r="C8425" t="str">
            <v>_BRS_GOLD__5_EQ:BRS_GOLD__1_EQX:VIX_8</v>
          </cell>
          <cell r="D8425" t="str">
            <v>Index</v>
          </cell>
          <cell r="E8425" t="str">
            <v>Index Level</v>
          </cell>
          <cell r="F8425" t="str">
            <v>EQ-Equity Implied Volatility</v>
          </cell>
          <cell r="G8425" t="str">
            <v>EQ-Other</v>
          </cell>
          <cell r="H8425" t="str">
            <v>EQ_INDICES</v>
          </cell>
          <cell r="I8425" t="str">
            <v>Equity Implied Volatility</v>
          </cell>
        </row>
        <row r="8426">
          <cell r="A8426" t="str">
            <v>VIX_9</v>
          </cell>
          <cell r="B8426" t="str">
            <v>CBOE VIX UXc9</v>
          </cell>
          <cell r="C8426" t="str">
            <v>_BRS_GOLD__5_EQ:BRS_GOLD__1_EQX:VIX_9</v>
          </cell>
          <cell r="D8426" t="str">
            <v>Index</v>
          </cell>
          <cell r="E8426" t="str">
            <v>Index Level</v>
          </cell>
          <cell r="F8426" t="str">
            <v>EQ-Equity Implied Volatility</v>
          </cell>
          <cell r="G8426" t="str">
            <v>EQ-Other</v>
          </cell>
          <cell r="H8426" t="str">
            <v>EQ_INDICES</v>
          </cell>
          <cell r="I8426" t="str">
            <v>Equity Implied Volatility</v>
          </cell>
        </row>
        <row r="8427">
          <cell r="A8427" t="str">
            <v>VIX_10</v>
          </cell>
          <cell r="B8427" t="str">
            <v>CBOE VIX UXc10</v>
          </cell>
          <cell r="C8427" t="str">
            <v>_BRS_GOLD__5_EQ:BRS_GOLD__1_EQX:VIX_10</v>
          </cell>
          <cell r="D8427" t="str">
            <v>Index</v>
          </cell>
          <cell r="E8427" t="str">
            <v>Index Level</v>
          </cell>
          <cell r="F8427" t="str">
            <v>EQ-Equity Implied Volatility</v>
          </cell>
          <cell r="G8427" t="str">
            <v>EQ-Other</v>
          </cell>
          <cell r="H8427" t="str">
            <v>EQ_INDICES</v>
          </cell>
          <cell r="I8427" t="str">
            <v>Equity Implied Volatility</v>
          </cell>
        </row>
        <row r="8428">
          <cell r="A8428" t="str">
            <v>VSTOXX_1</v>
          </cell>
          <cell r="B8428" t="str">
            <v>VSTOXX FUTURE FVSc1</v>
          </cell>
          <cell r="C8428" t="str">
            <v>_BRS_GOLD__5_EQ:BRS_GOLD__1_EQX:VSTOXX_1</v>
          </cell>
          <cell r="D8428" t="str">
            <v>Index</v>
          </cell>
          <cell r="E8428" t="str">
            <v>Index Level</v>
          </cell>
          <cell r="F8428" t="str">
            <v>EQ-Equity Implied Volatility</v>
          </cell>
          <cell r="G8428" t="str">
            <v>EQ-Other</v>
          </cell>
          <cell r="H8428" t="str">
            <v>EQ_INDICES</v>
          </cell>
          <cell r="I8428" t="str">
            <v>Equity Implied Volatility</v>
          </cell>
        </row>
        <row r="8429">
          <cell r="A8429" t="str">
            <v>VSTOXX_2</v>
          </cell>
          <cell r="B8429" t="str">
            <v>VSTOXX FUTURE FVSc2</v>
          </cell>
          <cell r="C8429" t="str">
            <v>_BRS_GOLD__5_EQ:BRS_GOLD__1_EQX:VSTOXX_2</v>
          </cell>
          <cell r="D8429" t="str">
            <v>Index</v>
          </cell>
          <cell r="E8429" t="str">
            <v>Index Level</v>
          </cell>
          <cell r="F8429" t="str">
            <v>EQ-Equity Implied Volatility</v>
          </cell>
          <cell r="G8429" t="str">
            <v>EQ-Other</v>
          </cell>
          <cell r="H8429" t="str">
            <v>EQ_INDICES</v>
          </cell>
          <cell r="I8429" t="str">
            <v>Equity Implied Volatility</v>
          </cell>
        </row>
        <row r="8430">
          <cell r="A8430" t="str">
            <v>VSTOXX_3</v>
          </cell>
          <cell r="B8430" t="str">
            <v>VSTOXX FUTURE FVSc3</v>
          </cell>
          <cell r="C8430" t="str">
            <v>_BRS_GOLD__5_EQ:BRS_GOLD__1_EQX:VSTOXX_3</v>
          </cell>
          <cell r="D8430" t="str">
            <v>Index</v>
          </cell>
          <cell r="E8430" t="str">
            <v>Index Level</v>
          </cell>
          <cell r="F8430" t="str">
            <v>EQ-Equity Implied Volatility</v>
          </cell>
          <cell r="G8430" t="str">
            <v>EQ-Other</v>
          </cell>
          <cell r="H8430" t="str">
            <v>EQ_INDICES</v>
          </cell>
          <cell r="I8430" t="str">
            <v>Equity Implied Volatility</v>
          </cell>
        </row>
        <row r="8431">
          <cell r="A8431" t="str">
            <v>VSTOXX_4</v>
          </cell>
          <cell r="B8431" t="str">
            <v>VSTOXX FUTURE FVSc4</v>
          </cell>
          <cell r="C8431" t="str">
            <v>_BRS_GOLD__5_EQ:BRS_GOLD__1_EQX:VSTOXX_4</v>
          </cell>
          <cell r="D8431" t="str">
            <v>Index</v>
          </cell>
          <cell r="E8431" t="str">
            <v>Index Level</v>
          </cell>
          <cell r="F8431" t="str">
            <v>EQ-Equity Implied Volatility</v>
          </cell>
          <cell r="G8431" t="str">
            <v>EQ-Other</v>
          </cell>
          <cell r="H8431" t="str">
            <v>EQ_INDICES</v>
          </cell>
          <cell r="I8431" t="str">
            <v>Equity Implied Volatility</v>
          </cell>
        </row>
        <row r="8432">
          <cell r="A8432" t="str">
            <v>VSTOXX_5</v>
          </cell>
          <cell r="B8432" t="str">
            <v>VSTOXX FUTURE FVSc5</v>
          </cell>
          <cell r="C8432" t="str">
            <v>_BRS_GOLD__5_EQ:BRS_GOLD__1_EQX:VSTOXX_5</v>
          </cell>
          <cell r="D8432" t="str">
            <v>Index</v>
          </cell>
          <cell r="E8432" t="str">
            <v>Index Level</v>
          </cell>
          <cell r="F8432" t="str">
            <v>EQ-Equity Implied Volatility</v>
          </cell>
          <cell r="G8432" t="str">
            <v>EQ-Other</v>
          </cell>
          <cell r="H8432" t="str">
            <v>EQ_INDICES</v>
          </cell>
          <cell r="I8432" t="str">
            <v>Equity Implied Volatility</v>
          </cell>
        </row>
        <row r="8433">
          <cell r="A8433" t="str">
            <v>VSTOXX_6</v>
          </cell>
          <cell r="B8433" t="str">
            <v>VSTOXX FUTURE FVSc6</v>
          </cell>
          <cell r="C8433" t="str">
            <v>_BRS_GOLD__5_EQ:BRS_GOLD__1_EQX:VSTOXX_6</v>
          </cell>
          <cell r="D8433" t="str">
            <v>Index</v>
          </cell>
          <cell r="E8433" t="str">
            <v>Index Level</v>
          </cell>
          <cell r="F8433" t="str">
            <v>EQ-Equity Implied Volatility</v>
          </cell>
          <cell r="G8433" t="str">
            <v>EQ-Other</v>
          </cell>
          <cell r="H8433" t="str">
            <v>EQ_INDICES</v>
          </cell>
          <cell r="I8433" t="str">
            <v>Equity Implied Volatility</v>
          </cell>
        </row>
        <row r="8434">
          <cell r="A8434" t="str">
            <v>VSTOXX_7</v>
          </cell>
          <cell r="B8434" t="str">
            <v>VSTOXX FUTURE FVSc7</v>
          </cell>
          <cell r="C8434" t="str">
            <v>_BRS_GOLD__5_EQ:BRS_GOLD__1_EQX:VSTOXX_7</v>
          </cell>
          <cell r="D8434" t="str">
            <v>Index</v>
          </cell>
          <cell r="E8434" t="str">
            <v>Index Level</v>
          </cell>
          <cell r="F8434" t="str">
            <v>EQ-Equity Implied Volatility</v>
          </cell>
          <cell r="G8434" t="str">
            <v>EQ-Other</v>
          </cell>
          <cell r="H8434" t="str">
            <v>EQ_INDICES</v>
          </cell>
          <cell r="I8434" t="str">
            <v>Equity Implied Volatility</v>
          </cell>
        </row>
        <row r="8435">
          <cell r="A8435" t="str">
            <v>VSTOXX_8</v>
          </cell>
          <cell r="B8435" t="str">
            <v>VSTOXX FUTURE FVSc8</v>
          </cell>
          <cell r="C8435" t="str">
            <v>_BRS_GOLD__5_EQ:BRS_GOLD__1_EQX:VSTOXX_8</v>
          </cell>
          <cell r="D8435" t="str">
            <v>Index</v>
          </cell>
          <cell r="E8435" t="str">
            <v>Index Level</v>
          </cell>
          <cell r="F8435" t="str">
            <v>EQ-Equity Implied Volatility</v>
          </cell>
          <cell r="G8435" t="str">
            <v>EQ-Other</v>
          </cell>
          <cell r="H8435" t="str">
            <v>EQ_INDICES</v>
          </cell>
          <cell r="I8435" t="str">
            <v>Equity Implied Volatility</v>
          </cell>
        </row>
        <row r="8436">
          <cell r="A8436" t="str">
            <v>MXEA</v>
          </cell>
          <cell r="B8436" t="str">
            <v>MS EAFE</v>
          </cell>
          <cell r="C8436" t="str">
            <v>_BRS_GOLD__5_EQ:BRS_GOLD__1_EQX:MXEA</v>
          </cell>
          <cell r="D8436" t="str">
            <v>Index</v>
          </cell>
          <cell r="E8436" t="str">
            <v>Index Level</v>
          </cell>
          <cell r="F8436" t="str">
            <v>EQ-Equity Implied Volatility</v>
          </cell>
          <cell r="G8436" t="str">
            <v>EQ-Other</v>
          </cell>
          <cell r="H8436" t="str">
            <v>EQ_INDICES</v>
          </cell>
          <cell r="I8436" t="str">
            <v>Equity Implied Volatility</v>
          </cell>
        </row>
        <row r="8437">
          <cell r="A8437" t="str">
            <v>MXWOUCD</v>
          </cell>
          <cell r="B8437" t="str">
            <v>MSCI Wld xUS ConsDsc</v>
          </cell>
          <cell r="C8437" t="str">
            <v>_BRS_GOLD__5_EQ:BRS_GOLD__1_EQX:MXWOUCD</v>
          </cell>
          <cell r="D8437" t="str">
            <v>Index</v>
          </cell>
          <cell r="E8437" t="str">
            <v>Index Level</v>
          </cell>
          <cell r="F8437" t="str">
            <v>EQ-Equity Implied Volatility</v>
          </cell>
          <cell r="G8437" t="str">
            <v>EQ-Other</v>
          </cell>
          <cell r="H8437" t="str">
            <v>EQ_INDICES</v>
          </cell>
          <cell r="I8437" t="str">
            <v>Equity Implied Volatility</v>
          </cell>
        </row>
        <row r="8438">
          <cell r="A8438" t="str">
            <v>MXWOUCS</v>
          </cell>
          <cell r="B8438" t="str">
            <v>MSCI Wld xUS ConsStp</v>
          </cell>
          <cell r="C8438" t="str">
            <v>_BRS_GOLD__5_EQ:BRS_GOLD__1_EQX:MXWOUCS</v>
          </cell>
          <cell r="D8438" t="str">
            <v>Index</v>
          </cell>
          <cell r="E8438" t="str">
            <v>Index Level</v>
          </cell>
          <cell r="F8438" t="str">
            <v>EQ-Equity Implied Volatility</v>
          </cell>
          <cell r="G8438" t="str">
            <v>EQ-Other</v>
          </cell>
          <cell r="H8438" t="str">
            <v>EQ_INDICES</v>
          </cell>
          <cell r="I8438" t="str">
            <v>Equity Implied Volatility</v>
          </cell>
        </row>
        <row r="8439">
          <cell r="A8439" t="str">
            <v>MXWOUEN</v>
          </cell>
          <cell r="B8439" t="str">
            <v>MSCI Wld xUS Energy</v>
          </cell>
          <cell r="C8439" t="str">
            <v>_BRS_GOLD__5_EQ:BRS_GOLD__1_EQX:MXWOUEN</v>
          </cell>
          <cell r="D8439" t="str">
            <v>Index</v>
          </cell>
          <cell r="E8439" t="str">
            <v>Index Level</v>
          </cell>
          <cell r="F8439" t="str">
            <v>EQ-Equity Implied Volatility</v>
          </cell>
          <cell r="G8439" t="str">
            <v>EQ-Other</v>
          </cell>
          <cell r="H8439" t="str">
            <v>EQ_INDICES</v>
          </cell>
          <cell r="I8439" t="str">
            <v>Equity Implied Volatility</v>
          </cell>
        </row>
        <row r="8440">
          <cell r="A8440" t="str">
            <v>MXWOUFN</v>
          </cell>
          <cell r="B8440" t="str">
            <v>MSCI Wld xUS Finance</v>
          </cell>
          <cell r="C8440" t="str">
            <v>_BRS_GOLD__5_EQ:BRS_GOLD__1_EQX:MXWOUFN</v>
          </cell>
          <cell r="D8440" t="str">
            <v>Index</v>
          </cell>
          <cell r="E8440" t="str">
            <v>Index Level</v>
          </cell>
          <cell r="F8440" t="str">
            <v>EQ-Equity Implied Volatility</v>
          </cell>
          <cell r="G8440" t="str">
            <v>EQ-Other</v>
          </cell>
          <cell r="H8440" t="str">
            <v>EQ_INDICES</v>
          </cell>
          <cell r="I8440" t="str">
            <v>Equity Implied Volatility</v>
          </cell>
        </row>
        <row r="8441">
          <cell r="A8441" t="str">
            <v>MXWOUHC</v>
          </cell>
          <cell r="B8441" t="str">
            <v>MSCI Wld xUS Hlth Cr</v>
          </cell>
          <cell r="C8441" t="str">
            <v>_BRS_GOLD__5_EQ:BRS_GOLD__1_EQX:MXWOUHC</v>
          </cell>
          <cell r="D8441" t="str">
            <v>Index</v>
          </cell>
          <cell r="E8441" t="str">
            <v>Index Level</v>
          </cell>
          <cell r="F8441" t="str">
            <v>EQ-Equity Implied Volatility</v>
          </cell>
          <cell r="G8441" t="str">
            <v>EQ-Other</v>
          </cell>
          <cell r="H8441" t="str">
            <v>EQ_INDICES</v>
          </cell>
          <cell r="I8441" t="str">
            <v>Equity Implied Volatility</v>
          </cell>
        </row>
        <row r="8442">
          <cell r="A8442" t="str">
            <v>MXWOUIN</v>
          </cell>
          <cell r="B8442" t="str">
            <v>MSCI Wld xUS Indust</v>
          </cell>
          <cell r="C8442" t="str">
            <v>_BRS_GOLD__5_EQ:BRS_GOLD__1_EQX:MXWOUIN</v>
          </cell>
          <cell r="D8442" t="str">
            <v>Index</v>
          </cell>
          <cell r="E8442" t="str">
            <v>Index Level</v>
          </cell>
          <cell r="F8442" t="str">
            <v>EQ-Equity Implied Volatility</v>
          </cell>
          <cell r="G8442" t="str">
            <v>EQ-Other</v>
          </cell>
          <cell r="H8442" t="str">
            <v>EQ_INDICES</v>
          </cell>
          <cell r="I8442" t="str">
            <v>Equity Implied Volatility</v>
          </cell>
        </row>
        <row r="8443">
          <cell r="A8443" t="str">
            <v>MXWOUMT</v>
          </cell>
          <cell r="B8443" t="str">
            <v>MSCI Wld xUS Materls</v>
          </cell>
          <cell r="C8443" t="str">
            <v>_BRS_GOLD__5_EQ:BRS_GOLD__1_EQX:MXWOUMT</v>
          </cell>
          <cell r="D8443" t="str">
            <v>Index</v>
          </cell>
          <cell r="E8443" t="str">
            <v>Index Level</v>
          </cell>
          <cell r="F8443" t="str">
            <v>EQ-Equity Implied Volatility</v>
          </cell>
          <cell r="G8443" t="str">
            <v>EQ-Other</v>
          </cell>
          <cell r="H8443" t="str">
            <v>EQ_INDICES</v>
          </cell>
          <cell r="I8443" t="str">
            <v>Equity Implied Volatility</v>
          </cell>
        </row>
        <row r="8444">
          <cell r="A8444" t="str">
            <v>MXWOUIT</v>
          </cell>
          <cell r="B8444" t="str">
            <v>MSCI Wld xUS Techno</v>
          </cell>
          <cell r="C8444" t="str">
            <v>_BRS_GOLD__5_EQ:BRS_GOLD__1_EQX:MXWOUIT</v>
          </cell>
          <cell r="D8444" t="str">
            <v>Index</v>
          </cell>
          <cell r="E8444" t="str">
            <v>Index Level</v>
          </cell>
          <cell r="F8444" t="str">
            <v>EQ-Equity Implied Volatility</v>
          </cell>
          <cell r="G8444" t="str">
            <v>EQ-Other</v>
          </cell>
          <cell r="H8444" t="str">
            <v>EQ_INDICES</v>
          </cell>
          <cell r="I8444" t="str">
            <v>Equity Implied Volatility</v>
          </cell>
        </row>
        <row r="8445">
          <cell r="A8445" t="str">
            <v>MXWOUTC</v>
          </cell>
          <cell r="B8445" t="str">
            <v>MSCI Wld xUS Telecom</v>
          </cell>
          <cell r="C8445" t="str">
            <v>_BRS_GOLD__5_EQ:BRS_GOLD__1_EQX:MXWOUTC</v>
          </cell>
          <cell r="D8445" t="str">
            <v>Index</v>
          </cell>
          <cell r="E8445" t="str">
            <v>Index Level</v>
          </cell>
          <cell r="F8445" t="str">
            <v>EQ-Equity Implied Volatility</v>
          </cell>
          <cell r="G8445" t="str">
            <v>EQ-Other</v>
          </cell>
          <cell r="H8445" t="str">
            <v>EQ_INDICES</v>
          </cell>
          <cell r="I8445" t="str">
            <v>Equity Implied Volatility</v>
          </cell>
        </row>
        <row r="8446">
          <cell r="A8446" t="str">
            <v>MXWOUUT</v>
          </cell>
          <cell r="B8446" t="str">
            <v>MSCI Wld xUS Util</v>
          </cell>
          <cell r="C8446" t="str">
            <v>_BRS_GOLD__5_EQ:BRS_GOLD__1_EQX:MXWOUUT</v>
          </cell>
          <cell r="D8446" t="str">
            <v>Index</v>
          </cell>
          <cell r="E8446" t="str">
            <v>Index Level</v>
          </cell>
          <cell r="F8446" t="str">
            <v>EQ-Equity Implied Volatility</v>
          </cell>
          <cell r="G8446" t="str">
            <v>EQ-Other</v>
          </cell>
          <cell r="H8446" t="str">
            <v>EQ_INDICES</v>
          </cell>
          <cell r="I8446" t="str">
            <v>Equity Implied Volatility</v>
          </cell>
        </row>
        <row r="8447">
          <cell r="A8447" t="str">
            <v>INDU</v>
          </cell>
          <cell r="B8447" t="str">
            <v>Dow Jones 30 Industr</v>
          </cell>
          <cell r="C8447" t="str">
            <v>_BRS_GOLD__5_EQ:BRS_GOLD__1_EQX:INDU</v>
          </cell>
          <cell r="D8447" t="str">
            <v>Index</v>
          </cell>
          <cell r="E8447" t="str">
            <v>Index Level</v>
          </cell>
          <cell r="F8447" t="str">
            <v>EQ-Equity Implied Volatility</v>
          </cell>
          <cell r="G8447" t="str">
            <v>EQ-Other</v>
          </cell>
          <cell r="H8447" t="str">
            <v>EQ_INDICES</v>
          </cell>
          <cell r="I8447" t="str">
            <v>Equity Implied Volatility</v>
          </cell>
        </row>
        <row r="8448">
          <cell r="A8448" t="str">
            <v>CCMP</v>
          </cell>
          <cell r="B8448" t="str">
            <v>Nasdaq</v>
          </cell>
          <cell r="C8448" t="str">
            <v>_BRS_GOLD__5_EQ:BRS_GOLD__1_EQX:CCMP</v>
          </cell>
          <cell r="D8448" t="str">
            <v>Index</v>
          </cell>
          <cell r="E8448" t="str">
            <v>Index Level</v>
          </cell>
          <cell r="F8448" t="str">
            <v>EQ-Equity Implied Volatility</v>
          </cell>
          <cell r="G8448" t="str">
            <v>EQ-Other</v>
          </cell>
          <cell r="H8448" t="str">
            <v>EQ_INDICES</v>
          </cell>
          <cell r="I8448" t="str">
            <v>Equity Implied Volatility</v>
          </cell>
        </row>
        <row r="8449">
          <cell r="A8449" t="str">
            <v>NYA</v>
          </cell>
          <cell r="B8449" t="str">
            <v>NYSE Composite Index</v>
          </cell>
          <cell r="C8449" t="str">
            <v>_BRS_GOLD__5_EQ:BRS_GOLD__1_EQX:NYA</v>
          </cell>
          <cell r="D8449" t="str">
            <v>Index</v>
          </cell>
          <cell r="E8449" t="str">
            <v>Index Level</v>
          </cell>
          <cell r="F8449" t="str">
            <v>EQ-Equity Implied Volatility</v>
          </cell>
          <cell r="G8449" t="str">
            <v>EQ-Other</v>
          </cell>
          <cell r="H8449" t="str">
            <v>EQ_INDICES</v>
          </cell>
          <cell r="I8449" t="str">
            <v>Equity Implied Volatility</v>
          </cell>
        </row>
        <row r="8450">
          <cell r="A8450" t="str">
            <v>OEX</v>
          </cell>
          <cell r="B8450" t="str">
            <v>S&amp;P 100</v>
          </cell>
          <cell r="C8450" t="str">
            <v>_BRS_GOLD__5_EQ:BRS_GOLD__1_EQX:OEX</v>
          </cell>
          <cell r="D8450" t="str">
            <v>Index</v>
          </cell>
          <cell r="E8450" t="str">
            <v>Index Level</v>
          </cell>
          <cell r="F8450" t="str">
            <v>EQ-Equity Implied Volatility</v>
          </cell>
          <cell r="G8450" t="str">
            <v>EQ-Other</v>
          </cell>
          <cell r="H8450" t="str">
            <v>EQ_INDICES</v>
          </cell>
          <cell r="I8450" t="str">
            <v>Equity Implied Volatility</v>
          </cell>
        </row>
        <row r="8451">
          <cell r="A8451" t="str">
            <v>S5COND</v>
          </cell>
          <cell r="B8451" t="str">
            <v>SP500 Consum Discr</v>
          </cell>
          <cell r="C8451" t="str">
            <v>_BRS_GOLD__5_EQ:BRS_GOLD__1_EQX:S5COND</v>
          </cell>
          <cell r="D8451" t="str">
            <v>Index</v>
          </cell>
          <cell r="E8451" t="str">
            <v>Index Level</v>
          </cell>
          <cell r="F8451" t="str">
            <v>EQ-Equity Implied Volatility</v>
          </cell>
          <cell r="G8451" t="str">
            <v>EQ-Other</v>
          </cell>
          <cell r="H8451" t="str">
            <v>EQ_INDICES</v>
          </cell>
          <cell r="I8451" t="str">
            <v>Equity Implied Volatility</v>
          </cell>
        </row>
        <row r="8452">
          <cell r="A8452" t="str">
            <v>S5CONS</v>
          </cell>
          <cell r="B8452" t="str">
            <v>SP500 Consum Stapl</v>
          </cell>
          <cell r="C8452" t="str">
            <v>_BRS_GOLD__5_EQ:BRS_GOLD__1_EQX:S5CONS</v>
          </cell>
          <cell r="D8452" t="str">
            <v>Index</v>
          </cell>
          <cell r="E8452" t="str">
            <v>Index Level</v>
          </cell>
          <cell r="F8452" t="str">
            <v>EQ-Equity Implied Volatility</v>
          </cell>
          <cell r="G8452" t="str">
            <v>EQ-Other</v>
          </cell>
          <cell r="H8452" t="str">
            <v>EQ_INDICES</v>
          </cell>
          <cell r="I8452" t="str">
            <v>Equity Implied Volatility</v>
          </cell>
        </row>
        <row r="8453">
          <cell r="A8453" t="str">
            <v>S5ENRS</v>
          </cell>
          <cell r="B8453" t="str">
            <v>S&amp;P 500 Energy</v>
          </cell>
          <cell r="C8453" t="str">
            <v>_BRS_GOLD__5_EQ:BRS_GOLD__1_EQX:S5ENRS</v>
          </cell>
          <cell r="D8453" t="str">
            <v>Index</v>
          </cell>
          <cell r="E8453" t="str">
            <v>Index Level</v>
          </cell>
          <cell r="F8453" t="str">
            <v>EQ-Equity Implied Volatility</v>
          </cell>
          <cell r="G8453" t="str">
            <v>EQ-Other</v>
          </cell>
          <cell r="H8453" t="str">
            <v>EQ_INDICES</v>
          </cell>
          <cell r="I8453" t="str">
            <v>Equity Implied Volatility</v>
          </cell>
        </row>
        <row r="8454">
          <cell r="A8454" t="str">
            <v>S5FINL</v>
          </cell>
          <cell r="B8454" t="str">
            <v>S&amp;P 500 Financials</v>
          </cell>
          <cell r="C8454" t="str">
            <v>_BRS_GOLD__5_EQ:BRS_GOLD__1_EQX:S5FINL</v>
          </cell>
          <cell r="D8454" t="str">
            <v>Index</v>
          </cell>
          <cell r="E8454" t="str">
            <v>Index Level</v>
          </cell>
          <cell r="F8454" t="str">
            <v>EQ-Equity Implied Volatility</v>
          </cell>
          <cell r="G8454" t="str">
            <v>EQ-Other</v>
          </cell>
          <cell r="H8454" t="str">
            <v>EQ_INDICES</v>
          </cell>
          <cell r="I8454" t="str">
            <v>Equity Implied Volatility</v>
          </cell>
        </row>
        <row r="8455">
          <cell r="A8455" t="str">
            <v>S5HLTH</v>
          </cell>
          <cell r="B8455" t="str">
            <v>S&amp;P 500 Health Care</v>
          </cell>
          <cell r="C8455" t="str">
            <v>_BRS_GOLD__5_EQ:BRS_GOLD__1_EQX:S5HLTH</v>
          </cell>
          <cell r="D8455" t="str">
            <v>Index</v>
          </cell>
          <cell r="E8455" t="str">
            <v>Index Level</v>
          </cell>
          <cell r="F8455" t="str">
            <v>EQ-Equity Implied Volatility</v>
          </cell>
          <cell r="G8455" t="str">
            <v>EQ-Other</v>
          </cell>
          <cell r="H8455" t="str">
            <v>EQ_INDICES</v>
          </cell>
          <cell r="I8455" t="str">
            <v>Equity Implied Volatility</v>
          </cell>
        </row>
        <row r="8456">
          <cell r="A8456" t="str">
            <v>S5INDU</v>
          </cell>
          <cell r="B8456" t="str">
            <v>S&amp;P 500 Industrials</v>
          </cell>
          <cell r="C8456" t="str">
            <v>_BRS_GOLD__5_EQ:BRS_GOLD__1_EQX:S5INDU</v>
          </cell>
          <cell r="D8456" t="str">
            <v>Index</v>
          </cell>
          <cell r="E8456" t="str">
            <v>Index Level</v>
          </cell>
          <cell r="F8456" t="str">
            <v>EQ-Equity Implied Volatility</v>
          </cell>
          <cell r="G8456" t="str">
            <v>EQ-Other</v>
          </cell>
          <cell r="H8456" t="str">
            <v>EQ_INDICES</v>
          </cell>
          <cell r="I8456" t="str">
            <v>Equity Implied Volatility</v>
          </cell>
        </row>
        <row r="8457">
          <cell r="A8457" t="str">
            <v>S5MATR</v>
          </cell>
          <cell r="B8457" t="str">
            <v>S&amp;P 500 Materials</v>
          </cell>
          <cell r="C8457" t="str">
            <v>_BRS_GOLD__5_EQ:BRS_GOLD__1_EQX:S5MATR</v>
          </cell>
          <cell r="D8457" t="str">
            <v>Index</v>
          </cell>
          <cell r="E8457" t="str">
            <v>Index Level</v>
          </cell>
          <cell r="F8457" t="str">
            <v>EQ-Equity Implied Volatility</v>
          </cell>
          <cell r="G8457" t="str">
            <v>EQ-Other</v>
          </cell>
          <cell r="H8457" t="str">
            <v>EQ_INDICES</v>
          </cell>
          <cell r="I8457" t="str">
            <v>Equity Implied Volatility</v>
          </cell>
        </row>
        <row r="8458">
          <cell r="A8458" t="str">
            <v>S5INFT</v>
          </cell>
          <cell r="B8458" t="str">
            <v>S&amp;P 500 Technology</v>
          </cell>
          <cell r="C8458" t="str">
            <v>_BRS_GOLD__5_EQ:BRS_GOLD__1_EQX:S5INFT</v>
          </cell>
          <cell r="D8458" t="str">
            <v>Index</v>
          </cell>
          <cell r="E8458" t="str">
            <v>Index Level</v>
          </cell>
          <cell r="F8458" t="str">
            <v>EQ-Equity Implied Volatility</v>
          </cell>
          <cell r="G8458" t="str">
            <v>EQ-Other</v>
          </cell>
          <cell r="H8458" t="str">
            <v>EQ_INDICES</v>
          </cell>
          <cell r="I8458" t="str">
            <v>Equity Implied Volatility</v>
          </cell>
        </row>
        <row r="8459">
          <cell r="A8459" t="str">
            <v>S5TELS</v>
          </cell>
          <cell r="B8459" t="str">
            <v>SP500 Communications</v>
          </cell>
          <cell r="C8459" t="str">
            <v>_BRS_GOLD__5_EQ:BRS_GOLD__1_EQX:S5TELS</v>
          </cell>
          <cell r="D8459" t="str">
            <v>Index</v>
          </cell>
          <cell r="E8459" t="str">
            <v>Index Level</v>
          </cell>
          <cell r="F8459" t="str">
            <v>EQ-Equity Implied Volatility</v>
          </cell>
          <cell r="G8459" t="str">
            <v>EQ-Other</v>
          </cell>
          <cell r="H8459" t="str">
            <v>EQ_INDICES</v>
          </cell>
          <cell r="I8459" t="str">
            <v>Equity Implied Volatility</v>
          </cell>
        </row>
        <row r="8460">
          <cell r="A8460" t="str">
            <v>S5UTIL</v>
          </cell>
          <cell r="B8460" t="str">
            <v>S&amp;P 500 Utilities</v>
          </cell>
          <cell r="C8460" t="str">
            <v>_BRS_GOLD__5_EQ:BRS_GOLD__1_EQX:S5UTIL</v>
          </cell>
          <cell r="D8460" t="str">
            <v>Index</v>
          </cell>
          <cell r="E8460" t="str">
            <v>Index Level</v>
          </cell>
          <cell r="F8460" t="str">
            <v>EQ-Equity Implied Volatility</v>
          </cell>
          <cell r="G8460" t="str">
            <v>EQ-Other</v>
          </cell>
          <cell r="H8460" t="str">
            <v>EQ_INDICES</v>
          </cell>
          <cell r="I8460" t="str">
            <v>Equity Implied Volatility</v>
          </cell>
        </row>
        <row r="8461">
          <cell r="A8461" t="str">
            <v>SPR</v>
          </cell>
          <cell r="B8461" t="str">
            <v>S&amp;P Composite 1500</v>
          </cell>
          <cell r="C8461" t="str">
            <v>_BRS_GOLD__5_EQ:BRS_GOLD__1_EQX:SPR</v>
          </cell>
          <cell r="D8461" t="str">
            <v>Index</v>
          </cell>
          <cell r="E8461" t="str">
            <v>Index Level</v>
          </cell>
          <cell r="F8461" t="str">
            <v>EQ-Equity Implied Volatility</v>
          </cell>
          <cell r="G8461" t="str">
            <v>EQ-Other</v>
          </cell>
          <cell r="H8461" t="str">
            <v>EQ_INDICES</v>
          </cell>
          <cell r="I8461" t="str">
            <v>Equity Implied Volatility</v>
          </cell>
        </row>
        <row r="8462">
          <cell r="A8462" t="str">
            <v>MID</v>
          </cell>
          <cell r="B8462" t="str">
            <v>S&amp;P Mid Cap</v>
          </cell>
          <cell r="C8462" t="str">
            <v>_BRS_GOLD__5_EQ:BRS_GOLD__1_EQX:MID</v>
          </cell>
          <cell r="D8462" t="str">
            <v>Index</v>
          </cell>
          <cell r="E8462" t="str">
            <v>Index Level</v>
          </cell>
          <cell r="F8462" t="str">
            <v>EQ-Equity Implied Volatility</v>
          </cell>
          <cell r="G8462" t="str">
            <v>EQ-Other</v>
          </cell>
          <cell r="H8462" t="str">
            <v>EQ_INDICES</v>
          </cell>
          <cell r="I8462" t="str">
            <v>Equity Implied Volatility</v>
          </cell>
        </row>
        <row r="8463">
          <cell r="A8463" t="str">
            <v>SML</v>
          </cell>
          <cell r="B8463" t="str">
            <v>S&amp;P Small Cap</v>
          </cell>
          <cell r="C8463" t="str">
            <v>_BRS_GOLD__5_EQ:BRS_GOLD__1_EQX:SML</v>
          </cell>
          <cell r="D8463" t="str">
            <v>Index</v>
          </cell>
          <cell r="E8463" t="str">
            <v>Index Level</v>
          </cell>
          <cell r="F8463" t="str">
            <v>EQ-Equity Implied Volatility</v>
          </cell>
          <cell r="G8463" t="str">
            <v>EQ-Other</v>
          </cell>
          <cell r="H8463" t="str">
            <v>EQ_INDICES</v>
          </cell>
          <cell r="I8463" t="str">
            <v>Equity Implied Volatility</v>
          </cell>
        </row>
        <row r="8464">
          <cell r="A8464" t="str">
            <v>RLG</v>
          </cell>
          <cell r="B8464" t="str">
            <v>Russell 1000 Growth</v>
          </cell>
          <cell r="C8464" t="str">
            <v>_BRS_GOLD__5_EQ:BRS_GOLD__1_EQX:RLG</v>
          </cell>
          <cell r="D8464" t="str">
            <v>Index</v>
          </cell>
          <cell r="E8464" t="str">
            <v>Index Level</v>
          </cell>
          <cell r="F8464" t="str">
            <v>EQ-Equity Implied Volatility</v>
          </cell>
          <cell r="G8464" t="str">
            <v>EQ-Other</v>
          </cell>
          <cell r="H8464" t="str">
            <v>EQ_INDICES</v>
          </cell>
          <cell r="I8464" t="str">
            <v>Equity Implied Volatility</v>
          </cell>
        </row>
        <row r="8465">
          <cell r="A8465" t="str">
            <v>RLV</v>
          </cell>
          <cell r="B8465" t="str">
            <v>Russell 1000 Value</v>
          </cell>
          <cell r="C8465" t="str">
            <v>_BRS_GOLD__5_EQ:BRS_GOLD__1_EQX:RLV</v>
          </cell>
          <cell r="D8465" t="str">
            <v>Index</v>
          </cell>
          <cell r="E8465" t="str">
            <v>Index Level</v>
          </cell>
          <cell r="F8465" t="str">
            <v>EQ-Equity Implied Volatility</v>
          </cell>
          <cell r="G8465" t="str">
            <v>EQ-Other</v>
          </cell>
          <cell r="H8465" t="str">
            <v>EQ_INDICES</v>
          </cell>
          <cell r="I8465" t="str">
            <v>Equity Implied Volatility</v>
          </cell>
        </row>
        <row r="8466">
          <cell r="A8466" t="str">
            <v>RTY</v>
          </cell>
          <cell r="B8466" t="str">
            <v>Russell 2000</v>
          </cell>
          <cell r="C8466" t="str">
            <v>_BRS_GOLD__5_EQ:BRS_GOLD__1_EQX:RTY</v>
          </cell>
          <cell r="D8466" t="str">
            <v>Index</v>
          </cell>
          <cell r="E8466" t="str">
            <v>Index Level</v>
          </cell>
          <cell r="F8466" t="str">
            <v>EQ-Equity Implied Volatility</v>
          </cell>
          <cell r="G8466" t="str">
            <v>EQ-Other</v>
          </cell>
          <cell r="H8466" t="str">
            <v>EQ_INDICES</v>
          </cell>
          <cell r="I8466" t="str">
            <v>Equity Implied Volatility</v>
          </cell>
        </row>
        <row r="8467">
          <cell r="A8467" t="str">
            <v>RUO</v>
          </cell>
          <cell r="B8467" t="str">
            <v>Russell 2000 Growth</v>
          </cell>
          <cell r="C8467" t="str">
            <v>_BRS_GOLD__5_EQ:BRS_GOLD__1_EQX:RUO</v>
          </cell>
          <cell r="D8467" t="str">
            <v>Index</v>
          </cell>
          <cell r="E8467" t="str">
            <v>Index Level</v>
          </cell>
          <cell r="F8467" t="str">
            <v>EQ-Equity Implied Volatility</v>
          </cell>
          <cell r="G8467" t="str">
            <v>EQ-Other</v>
          </cell>
          <cell r="H8467" t="str">
            <v>EQ_INDICES</v>
          </cell>
          <cell r="I8467" t="str">
            <v>Equity Implied Volatility</v>
          </cell>
        </row>
        <row r="8468">
          <cell r="A8468" t="str">
            <v>RUJ</v>
          </cell>
          <cell r="B8468" t="str">
            <v>Russell 2000 Value</v>
          </cell>
          <cell r="C8468" t="str">
            <v>_BRS_GOLD__5_EQ:BRS_GOLD__1_EQX:RUJ</v>
          </cell>
          <cell r="D8468" t="str">
            <v>Index</v>
          </cell>
          <cell r="E8468" t="str">
            <v>Index Level</v>
          </cell>
          <cell r="F8468" t="str">
            <v>EQ-Equity Implied Volatility</v>
          </cell>
          <cell r="G8468" t="str">
            <v>EQ-Other</v>
          </cell>
          <cell r="H8468" t="str">
            <v>EQ_INDICES</v>
          </cell>
          <cell r="I8468" t="str">
            <v>Equity Implied Volatility</v>
          </cell>
        </row>
        <row r="8469">
          <cell r="A8469" t="str">
            <v>RAY</v>
          </cell>
          <cell r="B8469" t="str">
            <v>Russell 3000</v>
          </cell>
          <cell r="C8469" t="str">
            <v>_BRS_GOLD__5_EQ:BRS_GOLD__1_EQX:RAY</v>
          </cell>
          <cell r="D8469" t="str">
            <v>Index</v>
          </cell>
          <cell r="E8469" t="str">
            <v>Index Level</v>
          </cell>
          <cell r="F8469" t="str">
            <v>EQ-Equity Implied Volatility</v>
          </cell>
          <cell r="G8469" t="str">
            <v>EQ-Other</v>
          </cell>
          <cell r="H8469" t="str">
            <v>EQ_INDICES</v>
          </cell>
          <cell r="I8469" t="str">
            <v>Equity Implied Volatility</v>
          </cell>
        </row>
        <row r="8470">
          <cell r="A8470" t="str">
            <v>RAG</v>
          </cell>
          <cell r="B8470" t="str">
            <v>Russell 3000 Growth</v>
          </cell>
          <cell r="C8470" t="str">
            <v>_BRS_GOLD__5_EQ:BRS_GOLD__1_EQX:RAG</v>
          </cell>
          <cell r="D8470" t="str">
            <v>Index</v>
          </cell>
          <cell r="E8470" t="str">
            <v>Index Level</v>
          </cell>
          <cell r="F8470" t="str">
            <v>EQ-Equity Implied Volatility</v>
          </cell>
          <cell r="G8470" t="str">
            <v>EQ-Other</v>
          </cell>
          <cell r="H8470" t="str">
            <v>EQ_INDICES</v>
          </cell>
          <cell r="I8470" t="str">
            <v>Equity Implied Volatility</v>
          </cell>
        </row>
        <row r="8471">
          <cell r="A8471" t="str">
            <v>RAV</v>
          </cell>
          <cell r="B8471" t="str">
            <v>Russell 3000 Value</v>
          </cell>
          <cell r="C8471" t="str">
            <v>_BRS_GOLD__5_EQ:BRS_GOLD__1_EQX:RAV</v>
          </cell>
          <cell r="D8471" t="str">
            <v>Index</v>
          </cell>
          <cell r="E8471" t="str">
            <v>Index Level</v>
          </cell>
          <cell r="F8471" t="str">
            <v>EQ-Equity Implied Volatility</v>
          </cell>
          <cell r="G8471" t="str">
            <v>EQ-Other</v>
          </cell>
          <cell r="H8471" t="str">
            <v>EQ_INDICES</v>
          </cell>
          <cell r="I8471" t="str">
            <v>Equity Implied Volatility</v>
          </cell>
        </row>
        <row r="8472">
          <cell r="A8472" t="str">
            <v>RMC</v>
          </cell>
          <cell r="B8472" t="str">
            <v>Russell Mid Cap</v>
          </cell>
          <cell r="C8472" t="str">
            <v>_BRS_GOLD__5_EQ:BRS_GOLD__1_EQX:RMC</v>
          </cell>
          <cell r="D8472" t="str">
            <v>Index</v>
          </cell>
          <cell r="E8472" t="str">
            <v>Index Level</v>
          </cell>
          <cell r="F8472" t="str">
            <v>EQ-Equity Implied Volatility</v>
          </cell>
          <cell r="G8472" t="str">
            <v>EQ-Other</v>
          </cell>
          <cell r="H8472" t="str">
            <v>EQ_INDICES</v>
          </cell>
          <cell r="I8472" t="str">
            <v>Equity Implied Volatility</v>
          </cell>
        </row>
        <row r="8473">
          <cell r="A8473" t="str">
            <v>RDG</v>
          </cell>
          <cell r="B8473" t="str">
            <v>Russell Mid Cap Gro</v>
          </cell>
          <cell r="C8473" t="str">
            <v>_BRS_GOLD__5_EQ:BRS_GOLD__1_EQX:RDG</v>
          </cell>
          <cell r="D8473" t="str">
            <v>Index</v>
          </cell>
          <cell r="E8473" t="str">
            <v>Index Level</v>
          </cell>
          <cell r="F8473" t="str">
            <v>EQ-Equity Implied Volatility</v>
          </cell>
          <cell r="G8473" t="str">
            <v>EQ-Other</v>
          </cell>
          <cell r="H8473" t="str">
            <v>EQ_INDICES</v>
          </cell>
          <cell r="I8473" t="str">
            <v>Equity Implied Volatility</v>
          </cell>
        </row>
        <row r="8474">
          <cell r="A8474" t="str">
            <v>RMV</v>
          </cell>
          <cell r="B8474" t="str">
            <v>Russell Mid Cap Val</v>
          </cell>
          <cell r="C8474" t="str">
            <v>_BRS_GOLD__5_EQ:BRS_GOLD__1_EQX:RMV</v>
          </cell>
          <cell r="D8474" t="str">
            <v>Index</v>
          </cell>
          <cell r="E8474" t="str">
            <v>Index Level</v>
          </cell>
          <cell r="F8474" t="str">
            <v>EQ-Equity Implied Volatility</v>
          </cell>
          <cell r="G8474" t="str">
            <v>EQ-Other</v>
          </cell>
          <cell r="H8474" t="str">
            <v>EQ_INDICES</v>
          </cell>
          <cell r="I8474" t="str">
            <v>Equity Implied Volatility</v>
          </cell>
        </row>
        <row r="8475">
          <cell r="A8475" t="str">
            <v>MSER</v>
          </cell>
          <cell r="B8475" t="str">
            <v>MS Europe</v>
          </cell>
          <cell r="C8475" t="str">
            <v>_BRS_GOLD__5_EQ:BRS_GOLD__1_EQX:MSER</v>
          </cell>
          <cell r="D8475" t="str">
            <v>Index</v>
          </cell>
          <cell r="E8475" t="str">
            <v>Index Level</v>
          </cell>
          <cell r="F8475" t="str">
            <v>EQ-Equity Implied Volatility</v>
          </cell>
          <cell r="G8475" t="str">
            <v>EQ-Other</v>
          </cell>
          <cell r="H8475" t="str">
            <v>EQ_INDICES</v>
          </cell>
          <cell r="I8475" t="str">
            <v>Equity Implied Volatility</v>
          </cell>
        </row>
        <row r="8476">
          <cell r="A8476" t="str">
            <v>N100</v>
          </cell>
          <cell r="B8476" t="str">
            <v>Euronext 100</v>
          </cell>
          <cell r="C8476" t="str">
            <v>_BRS_GOLD__5_EQ:BRS_GOLD__1_EQX:N100</v>
          </cell>
          <cell r="D8476" t="str">
            <v>Index</v>
          </cell>
          <cell r="E8476" t="str">
            <v>Index Level</v>
          </cell>
          <cell r="F8476" t="str">
            <v>EQ-Equity Implied Volatility</v>
          </cell>
          <cell r="G8476" t="str">
            <v>EQ-Other</v>
          </cell>
          <cell r="H8476" t="str">
            <v>EQ_INDICES</v>
          </cell>
          <cell r="I8476" t="str">
            <v>Equity Implied Volatility</v>
          </cell>
        </row>
        <row r="8477">
          <cell r="A8477" t="str">
            <v>E100</v>
          </cell>
          <cell r="B8477" t="str">
            <v>FTSE Eurotop 100</v>
          </cell>
          <cell r="C8477" t="str">
            <v>_BRS_GOLD__5_EQ:BRS_GOLD__1_EQX:E100</v>
          </cell>
          <cell r="D8477" t="str">
            <v>Index</v>
          </cell>
          <cell r="E8477" t="str">
            <v>Index Level</v>
          </cell>
          <cell r="F8477" t="str">
            <v>EQ-Equity Implied Volatility</v>
          </cell>
          <cell r="G8477" t="str">
            <v>EQ-Other</v>
          </cell>
          <cell r="H8477" t="str">
            <v>EQ_INDICES</v>
          </cell>
          <cell r="I8477" t="str">
            <v>Equity Implied Volatility</v>
          </cell>
        </row>
        <row r="8478">
          <cell r="A8478" t="str">
            <v>VFTSE</v>
          </cell>
          <cell r="B8478" t="str">
            <v>FTSE 100 Vol Index</v>
          </cell>
          <cell r="C8478" t="str">
            <v>_BRS_GOLD__5_EQ:BRS_GOLD__1_EQX:VFTSE</v>
          </cell>
          <cell r="D8478" t="str">
            <v>Index</v>
          </cell>
          <cell r="E8478" t="str">
            <v>Index Level</v>
          </cell>
          <cell r="F8478" t="str">
            <v>EQ-Equity Implied Volatility</v>
          </cell>
          <cell r="G8478" t="str">
            <v>EQ-Other</v>
          </cell>
          <cell r="H8478" t="str">
            <v>EQ_INDICES</v>
          </cell>
          <cell r="I8478" t="str">
            <v>Equity Implied Volatility</v>
          </cell>
        </row>
        <row r="8479">
          <cell r="A8479" t="str">
            <v>ATX</v>
          </cell>
          <cell r="B8479" t="str">
            <v>Austria ATX</v>
          </cell>
          <cell r="C8479" t="str">
            <v>_BRS_GOLD__5_EQ:BRS_GOLD__1_EQX:ATX</v>
          </cell>
          <cell r="D8479" t="str">
            <v>Index</v>
          </cell>
          <cell r="E8479" t="str">
            <v>Index Level</v>
          </cell>
          <cell r="F8479" t="str">
            <v>EQ-Equity Implied Volatility</v>
          </cell>
          <cell r="G8479" t="str">
            <v>EQ-Other</v>
          </cell>
          <cell r="H8479" t="str">
            <v>EQ_INDICES</v>
          </cell>
          <cell r="I8479" t="str">
            <v>Equity Implied Volatility</v>
          </cell>
        </row>
        <row r="8480">
          <cell r="A8480" t="str">
            <v>ATXPRIME</v>
          </cell>
          <cell r="B8480" t="str">
            <v>Austria ATX Prime</v>
          </cell>
          <cell r="C8480" t="str">
            <v>_BRS_GOLD__5_EQ:BRS_GOLD__1_EQX:ATXPRIME</v>
          </cell>
          <cell r="D8480" t="str">
            <v>Index</v>
          </cell>
          <cell r="E8480" t="str">
            <v>Index Level</v>
          </cell>
          <cell r="F8480" t="str">
            <v>EQ-Equity Implied Volatility</v>
          </cell>
          <cell r="G8480" t="str">
            <v>EQ-Other</v>
          </cell>
          <cell r="H8480" t="str">
            <v>EQ_INDICES</v>
          </cell>
          <cell r="I8480" t="str">
            <v>Equity Implied Volatility</v>
          </cell>
        </row>
        <row r="8481">
          <cell r="A8481" t="str">
            <v>BEL20</v>
          </cell>
          <cell r="B8481" t="str">
            <v>Belgium 20</v>
          </cell>
          <cell r="C8481" t="str">
            <v>_BRS_GOLD__5_EQ:BRS_GOLD__1_EQX:BEL20</v>
          </cell>
          <cell r="D8481" t="str">
            <v>Index</v>
          </cell>
          <cell r="E8481" t="str">
            <v>Index Level</v>
          </cell>
          <cell r="F8481" t="str">
            <v>EQ-Equity Implied Volatility</v>
          </cell>
          <cell r="G8481" t="str">
            <v>EQ-Other</v>
          </cell>
          <cell r="H8481" t="str">
            <v>EQ_INDICES</v>
          </cell>
          <cell r="I8481" t="str">
            <v>Equity Implied Volatility</v>
          </cell>
        </row>
        <row r="8482">
          <cell r="A8482" t="str">
            <v>KFX</v>
          </cell>
          <cell r="B8482" t="str">
            <v>Denmark OMX Copenhag20</v>
          </cell>
          <cell r="C8482" t="str">
            <v>_BRS_GOLD__5_EQ:BRS_GOLD__1_EQX:KFX</v>
          </cell>
          <cell r="D8482" t="str">
            <v>Index</v>
          </cell>
          <cell r="E8482" t="str">
            <v>Index Level</v>
          </cell>
          <cell r="F8482" t="str">
            <v>EQ-Equity Implied Volatility</v>
          </cell>
          <cell r="G8482" t="str">
            <v>EQ-Other</v>
          </cell>
          <cell r="H8482" t="str">
            <v>EQ_INDICES</v>
          </cell>
          <cell r="I8482" t="str">
            <v>Equity Implied Volatility</v>
          </cell>
        </row>
        <row r="8483">
          <cell r="A8483" t="str">
            <v>HEX</v>
          </cell>
          <cell r="B8483" t="str">
            <v>Finland OMX Helsk All</v>
          </cell>
          <cell r="C8483" t="str">
            <v>_BRS_GOLD__5_EQ:BRS_GOLD__1_EQX:HEX</v>
          </cell>
          <cell r="D8483" t="str">
            <v>Index</v>
          </cell>
          <cell r="E8483" t="str">
            <v>Index Level</v>
          </cell>
          <cell r="F8483" t="str">
            <v>EQ-Equity Implied Volatility</v>
          </cell>
          <cell r="G8483" t="str">
            <v>EQ-Other</v>
          </cell>
          <cell r="H8483" t="str">
            <v>EQ_INDICES</v>
          </cell>
          <cell r="I8483" t="str">
            <v>Equity Implied Volatility</v>
          </cell>
        </row>
        <row r="8484">
          <cell r="A8484" t="str">
            <v>CAC</v>
          </cell>
          <cell r="B8484" t="str">
            <v>France CAC 40</v>
          </cell>
          <cell r="C8484" t="str">
            <v>_BRS_GOLD__5_EQ:BRS_GOLD__1_EQX:CAC</v>
          </cell>
          <cell r="D8484" t="str">
            <v>Index</v>
          </cell>
          <cell r="E8484" t="str">
            <v>Index Level</v>
          </cell>
          <cell r="F8484" t="str">
            <v>EQ-Equity Implied Volatility</v>
          </cell>
          <cell r="G8484" t="str">
            <v>EQ-Other</v>
          </cell>
          <cell r="H8484" t="str">
            <v>EQ_INDICES</v>
          </cell>
          <cell r="I8484" t="str">
            <v>Equity Implied Volatility</v>
          </cell>
        </row>
        <row r="8485">
          <cell r="A8485" t="str">
            <v>SBF120</v>
          </cell>
          <cell r="B8485" t="str">
            <v>France SBF 120</v>
          </cell>
          <cell r="C8485" t="str">
            <v>_BRS_GOLD__5_EQ:BRS_GOLD__1_EQX:SBF120</v>
          </cell>
          <cell r="D8485" t="str">
            <v>Index</v>
          </cell>
          <cell r="E8485" t="str">
            <v>Index Level</v>
          </cell>
          <cell r="F8485" t="str">
            <v>EQ-Equity Implied Volatility</v>
          </cell>
          <cell r="G8485" t="str">
            <v>EQ-Other</v>
          </cell>
          <cell r="H8485" t="str">
            <v>EQ_INDICES</v>
          </cell>
          <cell r="I8485" t="str">
            <v>Equity Implied Volatility</v>
          </cell>
        </row>
        <row r="8486">
          <cell r="A8486" t="str">
            <v>ASE</v>
          </cell>
          <cell r="B8486" t="str">
            <v>Greece ASE/General</v>
          </cell>
          <cell r="C8486" t="str">
            <v>_BRS_GOLD__5_EQ:BRS_GOLD__1_EQX:ASE</v>
          </cell>
          <cell r="D8486" t="str">
            <v>Index</v>
          </cell>
          <cell r="E8486" t="str">
            <v>Index Level</v>
          </cell>
          <cell r="F8486" t="str">
            <v>EQ-Equity Implied Volatility</v>
          </cell>
          <cell r="G8486" t="str">
            <v>EQ-Other</v>
          </cell>
          <cell r="H8486" t="str">
            <v>EQ_INDICES</v>
          </cell>
          <cell r="I8486" t="str">
            <v>Equity Implied Volatility</v>
          </cell>
        </row>
        <row r="8487">
          <cell r="A8487" t="str">
            <v>ISEG</v>
          </cell>
          <cell r="B8487" t="str">
            <v>Ireland ISEQ/General</v>
          </cell>
          <cell r="C8487" t="str">
            <v>_BRS_GOLD__5_EQ:BRS_GOLD__1_EQX:ISEG</v>
          </cell>
          <cell r="D8487" t="str">
            <v>Index</v>
          </cell>
          <cell r="E8487" t="str">
            <v>Index Level</v>
          </cell>
          <cell r="F8487" t="str">
            <v>EQ-Equity Implied Volatility</v>
          </cell>
          <cell r="G8487" t="str">
            <v>EQ-Other</v>
          </cell>
          <cell r="H8487" t="str">
            <v>EQ_INDICES</v>
          </cell>
          <cell r="I8487" t="str">
            <v>Equity Implied Volatility</v>
          </cell>
        </row>
        <row r="8488">
          <cell r="A8488" t="str">
            <v>SPMIB</v>
          </cell>
          <cell r="B8488" t="str">
            <v>Italy S&amp;P MIB</v>
          </cell>
          <cell r="C8488" t="str">
            <v>_BRS_GOLD__5_EQ:BRS_GOLD__1_EQX:SPMIB</v>
          </cell>
          <cell r="D8488" t="str">
            <v>Index</v>
          </cell>
          <cell r="E8488" t="str">
            <v>Index Level</v>
          </cell>
          <cell r="F8488" t="str">
            <v>EQ-Equity Implied Volatility</v>
          </cell>
          <cell r="G8488" t="str">
            <v>EQ-Other</v>
          </cell>
          <cell r="H8488" t="str">
            <v>EQ_INDICES</v>
          </cell>
          <cell r="I8488" t="str">
            <v>Equity Implied Volatility</v>
          </cell>
        </row>
        <row r="8489">
          <cell r="A8489" t="str">
            <v>LUXXX</v>
          </cell>
          <cell r="B8489" t="str">
            <v>Luxembourg LUXX</v>
          </cell>
          <cell r="C8489" t="str">
            <v>_BRS_GOLD__5_EQ:BRS_GOLD__1_EQX:LUXXX</v>
          </cell>
          <cell r="D8489" t="str">
            <v>Index</v>
          </cell>
          <cell r="E8489" t="str">
            <v>Index Level</v>
          </cell>
          <cell r="F8489" t="str">
            <v>EQ-Equity Implied Volatility</v>
          </cell>
          <cell r="G8489" t="str">
            <v>EQ-Other</v>
          </cell>
          <cell r="H8489" t="str">
            <v>EQ_INDICES</v>
          </cell>
          <cell r="I8489" t="str">
            <v>Equity Implied Volatility</v>
          </cell>
        </row>
        <row r="8490">
          <cell r="A8490" t="str">
            <v>AEX</v>
          </cell>
          <cell r="B8490" t="str">
            <v>Netherlands AEX Stk</v>
          </cell>
          <cell r="C8490" t="str">
            <v>_BRS_GOLD__5_EQ:BRS_GOLD__1_EQX:AEX</v>
          </cell>
          <cell r="D8490" t="str">
            <v>Index</v>
          </cell>
          <cell r="E8490" t="str">
            <v>Index Level</v>
          </cell>
          <cell r="F8490" t="str">
            <v>EQ-Equity Implied Volatility</v>
          </cell>
          <cell r="G8490" t="str">
            <v>EQ-Other</v>
          </cell>
          <cell r="H8490" t="str">
            <v>EQ_INDICES</v>
          </cell>
          <cell r="I8490" t="str">
            <v>Equity Implied Volatility</v>
          </cell>
        </row>
        <row r="8491">
          <cell r="A8491" t="str">
            <v>OBX</v>
          </cell>
          <cell r="B8491" t="str">
            <v>Norway OSE OBX</v>
          </cell>
          <cell r="C8491" t="str">
            <v>_BRS_GOLD__5_EQ:BRS_GOLD__1_EQX:OBX</v>
          </cell>
          <cell r="D8491" t="str">
            <v>Index</v>
          </cell>
          <cell r="E8491" t="str">
            <v>Index Level</v>
          </cell>
          <cell r="F8491" t="str">
            <v>EQ-Equity Implied Volatility</v>
          </cell>
          <cell r="G8491" t="str">
            <v>EQ-Other</v>
          </cell>
          <cell r="H8491" t="str">
            <v>EQ_INDICES</v>
          </cell>
          <cell r="I8491" t="str">
            <v>Equity Implied Volatility</v>
          </cell>
        </row>
        <row r="8492">
          <cell r="A8492" t="str">
            <v>WIG</v>
          </cell>
          <cell r="B8492" t="str">
            <v>Poland WIG</v>
          </cell>
          <cell r="C8492" t="str">
            <v>_BRS_GOLD__5_EQ:BRS_GOLD__1_EQX:WIG</v>
          </cell>
          <cell r="D8492" t="str">
            <v>Index</v>
          </cell>
          <cell r="E8492" t="str">
            <v>Index Level</v>
          </cell>
          <cell r="F8492" t="str">
            <v>EQ-Equity Implied Volatility</v>
          </cell>
          <cell r="G8492" t="str">
            <v>EQ-Other</v>
          </cell>
          <cell r="H8492" t="str">
            <v>EQ_INDICES</v>
          </cell>
          <cell r="I8492" t="str">
            <v>Equity Implied Volatility</v>
          </cell>
        </row>
        <row r="8493">
          <cell r="A8493" t="str">
            <v>PSI20</v>
          </cell>
          <cell r="B8493" t="str">
            <v>Portugal PSI 20</v>
          </cell>
          <cell r="C8493" t="str">
            <v>_BRS_GOLD__5_EQ:BRS_GOLD__1_EQX:PSI20</v>
          </cell>
          <cell r="D8493" t="str">
            <v>Index</v>
          </cell>
          <cell r="E8493" t="str">
            <v>Index Level</v>
          </cell>
          <cell r="F8493" t="str">
            <v>EQ-Equity Implied Volatility</v>
          </cell>
          <cell r="G8493" t="str">
            <v>EQ-Other</v>
          </cell>
          <cell r="H8493" t="str">
            <v>EQ_INDICES</v>
          </cell>
          <cell r="I8493" t="str">
            <v>Equity Implied Volatility</v>
          </cell>
        </row>
        <row r="8494">
          <cell r="A8494" t="str">
            <v>BVLX</v>
          </cell>
          <cell r="B8494" t="str">
            <v>Portugal PSI General</v>
          </cell>
          <cell r="C8494" t="str">
            <v>_BRS_GOLD__5_EQ:BRS_GOLD__1_EQX:BVLX</v>
          </cell>
          <cell r="D8494" t="str">
            <v>Index</v>
          </cell>
          <cell r="E8494" t="str">
            <v>Index Level</v>
          </cell>
          <cell r="F8494" t="str">
            <v>EQ-Equity Implied Volatility</v>
          </cell>
          <cell r="G8494" t="str">
            <v>EQ-Other</v>
          </cell>
          <cell r="H8494" t="str">
            <v>EQ_INDICES</v>
          </cell>
          <cell r="I8494" t="str">
            <v>Equity Implied Volatility</v>
          </cell>
        </row>
        <row r="8495">
          <cell r="A8495" t="str">
            <v>IBEX</v>
          </cell>
          <cell r="B8495" t="str">
            <v>Spain IBEX 35</v>
          </cell>
          <cell r="C8495" t="str">
            <v>_BRS_GOLD__5_EQ:BRS_GOLD__1_EQX:IBEX</v>
          </cell>
          <cell r="D8495" t="str">
            <v>Index</v>
          </cell>
          <cell r="E8495" t="str">
            <v>Index Level</v>
          </cell>
          <cell r="F8495" t="str">
            <v>EQ-Equity Implied Volatility</v>
          </cell>
          <cell r="G8495" t="str">
            <v>EQ-Other</v>
          </cell>
          <cell r="H8495" t="str">
            <v>EQ_INDICES</v>
          </cell>
          <cell r="I8495" t="str">
            <v>Equity Implied Volatility</v>
          </cell>
        </row>
        <row r="8496">
          <cell r="A8496" t="str">
            <v>OMX</v>
          </cell>
          <cell r="B8496" t="str">
            <v>Sweden OMX</v>
          </cell>
          <cell r="C8496" t="str">
            <v>_BRS_GOLD__5_EQ:BRS_GOLD__1_EQX:OMX</v>
          </cell>
          <cell r="D8496" t="str">
            <v>Index</v>
          </cell>
          <cell r="E8496" t="str">
            <v>Index Level</v>
          </cell>
          <cell r="F8496" t="str">
            <v>EQ-Equity Implied Volatility</v>
          </cell>
          <cell r="G8496" t="str">
            <v>EQ-Other</v>
          </cell>
          <cell r="H8496" t="str">
            <v>EQ_INDICES</v>
          </cell>
          <cell r="I8496" t="str">
            <v>Equity Implied Volatility</v>
          </cell>
        </row>
        <row r="8497">
          <cell r="A8497" t="str">
            <v>SAX</v>
          </cell>
          <cell r="B8497" t="str">
            <v>SwedenOMX StckhlmAll</v>
          </cell>
          <cell r="C8497" t="str">
            <v>_BRS_GOLD__5_EQ:BRS_GOLD__1_EQX:SAX</v>
          </cell>
          <cell r="D8497" t="str">
            <v>Index</v>
          </cell>
          <cell r="E8497" t="str">
            <v>Index Level</v>
          </cell>
          <cell r="F8497" t="str">
            <v>EQ-Equity Implied Volatility</v>
          </cell>
          <cell r="G8497" t="str">
            <v>EQ-Other</v>
          </cell>
          <cell r="H8497" t="str">
            <v>EQ_INDICES</v>
          </cell>
          <cell r="I8497" t="str">
            <v>Equity Implied Volatility</v>
          </cell>
        </row>
        <row r="8498">
          <cell r="A8498" t="str">
            <v>SMI</v>
          </cell>
          <cell r="B8498" t="str">
            <v>Switzerland SMI</v>
          </cell>
          <cell r="C8498" t="str">
            <v>_BRS_GOLD__5_EQ:BRS_GOLD__1_EQX:SMI</v>
          </cell>
          <cell r="D8498" t="str">
            <v>Index</v>
          </cell>
          <cell r="E8498" t="str">
            <v>Index Level</v>
          </cell>
          <cell r="F8498" t="str">
            <v>EQ-Equity Implied Volatility</v>
          </cell>
          <cell r="G8498" t="str">
            <v>EQ-Other</v>
          </cell>
          <cell r="H8498" t="str">
            <v>EQ_INDICES</v>
          </cell>
          <cell r="I8498" t="str">
            <v>Equity Implied Volatility</v>
          </cell>
        </row>
        <row r="8499">
          <cell r="A8499" t="str">
            <v>MXPC</v>
          </cell>
          <cell r="B8499" t="str">
            <v>MS Pacific</v>
          </cell>
          <cell r="C8499" t="str">
            <v>_BRS_GOLD__5_EQ:BRS_GOLD__1_EQX:MXPC</v>
          </cell>
          <cell r="D8499" t="str">
            <v>Index</v>
          </cell>
          <cell r="E8499" t="str">
            <v>Index Level</v>
          </cell>
          <cell r="F8499" t="str">
            <v>EQ-Equity Implied Volatility</v>
          </cell>
          <cell r="G8499" t="str">
            <v>EQ-Other</v>
          </cell>
          <cell r="H8499" t="str">
            <v>EQ_INDICES</v>
          </cell>
          <cell r="I8499" t="str">
            <v>Equity Implied Volatility</v>
          </cell>
        </row>
        <row r="8500">
          <cell r="A8500" t="str">
            <v>AS30</v>
          </cell>
          <cell r="B8500" t="str">
            <v>Australia All Ord</v>
          </cell>
          <cell r="C8500" t="str">
            <v>_BRS_GOLD__5_EQ:BRS_GOLD__1_EQX:AS30</v>
          </cell>
          <cell r="D8500" t="str">
            <v>Index</v>
          </cell>
          <cell r="E8500" t="str">
            <v>Index Level</v>
          </cell>
          <cell r="F8500" t="str">
            <v>EQ-Equity Implied Volatility</v>
          </cell>
          <cell r="G8500" t="str">
            <v>EQ-Other</v>
          </cell>
          <cell r="H8500" t="str">
            <v>EQ_INDICES</v>
          </cell>
          <cell r="I8500" t="str">
            <v>Equity Implied Volatility</v>
          </cell>
        </row>
        <row r="8501">
          <cell r="A8501" t="str">
            <v>HSI</v>
          </cell>
          <cell r="B8501" t="str">
            <v>Hang Seng</v>
          </cell>
          <cell r="C8501" t="str">
            <v>_BRS_GOLD__5_EQ:BRS_GOLD__1_EQX:HSI</v>
          </cell>
          <cell r="D8501" t="str">
            <v>Index</v>
          </cell>
          <cell r="E8501" t="str">
            <v>Index Level</v>
          </cell>
          <cell r="F8501" t="str">
            <v>EQ-Equity Implied Volatility</v>
          </cell>
          <cell r="G8501" t="str">
            <v>EQ-Other</v>
          </cell>
          <cell r="H8501" t="str">
            <v>EQ_INDICES</v>
          </cell>
          <cell r="I8501" t="str">
            <v>Equity Implied Volatility</v>
          </cell>
        </row>
        <row r="8502">
          <cell r="A8502" t="str">
            <v>HSCI</v>
          </cell>
          <cell r="B8502" t="str">
            <v>Hang Seng Composite</v>
          </cell>
          <cell r="C8502" t="str">
            <v>_BRS_GOLD__5_EQ:BRS_GOLD__1_EQX:HSCI</v>
          </cell>
          <cell r="D8502" t="str">
            <v>Index</v>
          </cell>
          <cell r="E8502" t="str">
            <v>Index Level</v>
          </cell>
          <cell r="F8502" t="str">
            <v>EQ-Equity Implied Volatility</v>
          </cell>
          <cell r="G8502" t="str">
            <v>EQ-Other</v>
          </cell>
          <cell r="H8502" t="str">
            <v>EQ_INDICES</v>
          </cell>
          <cell r="I8502" t="str">
            <v>Equity Implied Volatility</v>
          </cell>
        </row>
        <row r="8503">
          <cell r="A8503" t="str">
            <v>VHSI</v>
          </cell>
          <cell r="B8503" t="str">
            <v>HSI Vol Index</v>
          </cell>
          <cell r="C8503" t="str">
            <v>_BRS_GOLD__5_EQ:BRS_GOLD__1_EQX:VHSI</v>
          </cell>
          <cell r="D8503" t="str">
            <v>Index</v>
          </cell>
          <cell r="E8503" t="str">
            <v>Index Level</v>
          </cell>
          <cell r="F8503" t="str">
            <v>EQ-Equity Implied Volatility</v>
          </cell>
          <cell r="G8503" t="str">
            <v>EQ-Other</v>
          </cell>
          <cell r="H8503" t="str">
            <v>EQ_INDICES</v>
          </cell>
          <cell r="I8503" t="str">
            <v>Equity Implied Volatility</v>
          </cell>
        </row>
        <row r="8504">
          <cell r="A8504" t="str">
            <v>OSA300</v>
          </cell>
          <cell r="B8504" t="str">
            <v>Japan Osaka 300</v>
          </cell>
          <cell r="C8504" t="str">
            <v>_BRS_GOLD__5_EQ:BRS_GOLD__1_EQX:OSA300</v>
          </cell>
          <cell r="D8504" t="str">
            <v>Index</v>
          </cell>
          <cell r="E8504" t="str">
            <v>Index Level</v>
          </cell>
          <cell r="F8504" t="str">
            <v>EQ-Equity Implied Volatility</v>
          </cell>
          <cell r="G8504" t="str">
            <v>EQ-Other</v>
          </cell>
          <cell r="H8504" t="str">
            <v>EQ_INDICES</v>
          </cell>
          <cell r="I8504" t="str">
            <v>Equity Implied Volatility</v>
          </cell>
        </row>
        <row r="8505">
          <cell r="A8505" t="str">
            <v>TPX</v>
          </cell>
          <cell r="B8505" t="str">
            <v>Japan TOPIX</v>
          </cell>
          <cell r="C8505" t="str">
            <v>_BRS_GOLD__5_EQ:BRS_GOLD__1_EQX:TPX</v>
          </cell>
          <cell r="D8505" t="str">
            <v>Index</v>
          </cell>
          <cell r="E8505" t="str">
            <v>Index Level</v>
          </cell>
          <cell r="F8505" t="str">
            <v>EQ-Equity Implied Volatility</v>
          </cell>
          <cell r="G8505" t="str">
            <v>EQ-Other</v>
          </cell>
          <cell r="H8505" t="str">
            <v>EQ_INDICES</v>
          </cell>
          <cell r="I8505" t="str">
            <v>Equity Implied Volatility</v>
          </cell>
        </row>
        <row r="8506">
          <cell r="A8506" t="str">
            <v>VNKY</v>
          </cell>
          <cell r="B8506" t="str">
            <v>NIKKEI Vol Index</v>
          </cell>
          <cell r="C8506" t="str">
            <v>_BRS_GOLD__5_EQ:BRS_GOLD__1_EQX:VNKY</v>
          </cell>
          <cell r="D8506" t="str">
            <v>Index</v>
          </cell>
          <cell r="E8506" t="str">
            <v>Index Level</v>
          </cell>
          <cell r="F8506" t="str">
            <v>EQ-Equity Implied Volatility</v>
          </cell>
          <cell r="G8506" t="str">
            <v>EQ-Other</v>
          </cell>
          <cell r="H8506" t="str">
            <v>EQ_INDICES</v>
          </cell>
          <cell r="I8506" t="str">
            <v>Equity Implied Volatility</v>
          </cell>
        </row>
        <row r="8507">
          <cell r="A8507" t="str">
            <v>TPX100</v>
          </cell>
          <cell r="B8507" t="str">
            <v>Japan TOPIX 100</v>
          </cell>
          <cell r="C8507" t="str">
            <v>_BRS_GOLD__5_EQ:BRS_GOLD__1_EQX:TPX100</v>
          </cell>
          <cell r="D8507" t="str">
            <v>Index</v>
          </cell>
          <cell r="E8507" t="str">
            <v>Index Level</v>
          </cell>
          <cell r="F8507" t="str">
            <v>EQ-Equity Implied Volatility</v>
          </cell>
          <cell r="G8507" t="str">
            <v>EQ-Other</v>
          </cell>
          <cell r="H8507" t="str">
            <v>EQ_INDICES</v>
          </cell>
          <cell r="I8507" t="str">
            <v>Equity Implied Volatility</v>
          </cell>
        </row>
        <row r="8508">
          <cell r="A8508" t="str">
            <v>NZSE50FG</v>
          </cell>
          <cell r="B8508" t="str">
            <v>New Zealand NZSE 50</v>
          </cell>
          <cell r="C8508" t="str">
            <v>_BRS_GOLD__5_EQ:BRS_GOLD__1_EQX:NZSE50FG</v>
          </cell>
          <cell r="D8508" t="str">
            <v>Index</v>
          </cell>
          <cell r="E8508" t="str">
            <v>Index Level</v>
          </cell>
          <cell r="F8508" t="str">
            <v>EQ-Equity Implied Volatility</v>
          </cell>
          <cell r="G8508" t="str">
            <v>EQ-Other</v>
          </cell>
          <cell r="H8508" t="str">
            <v>EQ_INDICES</v>
          </cell>
          <cell r="I8508" t="str">
            <v>Equity Implied Volatility</v>
          </cell>
        </row>
        <row r="8509">
          <cell r="A8509" t="str">
            <v>NZSE</v>
          </cell>
          <cell r="B8509" t="str">
            <v>New Zealand All Ind</v>
          </cell>
          <cell r="C8509" t="str">
            <v>_BRS_GOLD__5_EQ:BRS_GOLD__1_EQX:NZSE</v>
          </cell>
          <cell r="D8509" t="str">
            <v>Index</v>
          </cell>
          <cell r="E8509" t="str">
            <v>Index Level</v>
          </cell>
          <cell r="F8509" t="str">
            <v>EQ-Equity Implied Volatility</v>
          </cell>
          <cell r="G8509" t="str">
            <v>EQ-Other</v>
          </cell>
          <cell r="H8509" t="str">
            <v>EQ_INDICES</v>
          </cell>
          <cell r="I8509" t="str">
            <v>Equity Implied Volatility</v>
          </cell>
        </row>
        <row r="8510">
          <cell r="A8510" t="str">
            <v>STI</v>
          </cell>
          <cell r="B8510" t="str">
            <v>Singapore StraitsTms</v>
          </cell>
          <cell r="C8510" t="str">
            <v>_BRS_GOLD__5_EQ:BRS_GOLD__1_EQX:STI</v>
          </cell>
          <cell r="D8510" t="str">
            <v>Index</v>
          </cell>
          <cell r="E8510" t="str">
            <v>Index Level</v>
          </cell>
          <cell r="F8510" t="str">
            <v>EQ-Equity Implied Volatility</v>
          </cell>
          <cell r="G8510" t="str">
            <v>EQ-Other</v>
          </cell>
          <cell r="H8510" t="str">
            <v>EQ_INDICES</v>
          </cell>
          <cell r="I8510" t="str">
            <v>Equity Implied Volatility</v>
          </cell>
        </row>
        <row r="8511">
          <cell r="A8511" t="str">
            <v>MXEF</v>
          </cell>
          <cell r="B8511" t="str">
            <v>MS Emerging Mkts</v>
          </cell>
          <cell r="C8511" t="str">
            <v>_BRS_GOLD__5_EQ:BRS_GOLD__1_EQX:MXEF</v>
          </cell>
          <cell r="D8511" t="str">
            <v>Index</v>
          </cell>
          <cell r="E8511" t="str">
            <v>Index Level</v>
          </cell>
          <cell r="F8511" t="str">
            <v>EQ-Equity Implied Volatility</v>
          </cell>
          <cell r="G8511" t="str">
            <v>EQ-Other</v>
          </cell>
          <cell r="H8511" t="str">
            <v>EQ_INDICES</v>
          </cell>
          <cell r="I8511" t="str">
            <v>Equity Implied Volatility</v>
          </cell>
        </row>
        <row r="8512">
          <cell r="A8512" t="str">
            <v>MERVAL</v>
          </cell>
          <cell r="B8512" t="str">
            <v>Argentina Merval</v>
          </cell>
          <cell r="C8512" t="str">
            <v>_BRS_GOLD__5_EQ:BRS_GOLD__1_EQX:MERVAL</v>
          </cell>
          <cell r="D8512" t="str">
            <v>Index</v>
          </cell>
          <cell r="E8512" t="str">
            <v>Index Level</v>
          </cell>
          <cell r="F8512" t="str">
            <v>EQ-Equity Implied Volatility</v>
          </cell>
          <cell r="G8512" t="str">
            <v>EQ-Other</v>
          </cell>
          <cell r="H8512" t="str">
            <v>EQ_INDICES</v>
          </cell>
          <cell r="I8512" t="str">
            <v>Equity Implied Volatility</v>
          </cell>
        </row>
        <row r="8513">
          <cell r="A8513" t="str">
            <v>IBOV</v>
          </cell>
          <cell r="B8513" t="str">
            <v>Brazil Bovespa</v>
          </cell>
          <cell r="C8513" t="str">
            <v>_BRS_GOLD__5_EQ:BRS_GOLD__1_EQX:IBOV</v>
          </cell>
          <cell r="D8513" t="str">
            <v>Index</v>
          </cell>
          <cell r="E8513" t="str">
            <v>Index Level</v>
          </cell>
          <cell r="F8513" t="str">
            <v>EQ-Equity Implied Volatility</v>
          </cell>
          <cell r="G8513" t="str">
            <v>EQ-Other</v>
          </cell>
          <cell r="H8513" t="str">
            <v>EQ_INDICES</v>
          </cell>
          <cell r="I8513" t="str">
            <v>Equity Implied Volatility</v>
          </cell>
        </row>
        <row r="8514">
          <cell r="A8514" t="str">
            <v>IPSA</v>
          </cell>
          <cell r="B8514" t="str">
            <v>Chile IPSA</v>
          </cell>
          <cell r="C8514" t="str">
            <v>_BRS_GOLD__5_EQ:BRS_GOLD__1_EQX:IPSA</v>
          </cell>
          <cell r="D8514" t="str">
            <v>Index</v>
          </cell>
          <cell r="E8514" t="str">
            <v>Index Level</v>
          </cell>
          <cell r="F8514" t="str">
            <v>EQ-Equity Implied Volatility</v>
          </cell>
          <cell r="G8514" t="str">
            <v>EQ-Other</v>
          </cell>
          <cell r="H8514" t="str">
            <v>EQ_INDICES</v>
          </cell>
          <cell r="I8514" t="str">
            <v>Equity Implied Volatility</v>
          </cell>
        </row>
        <row r="8515">
          <cell r="A8515" t="str">
            <v>IGBC</v>
          </cell>
          <cell r="B8515" t="str">
            <v>Colombia IGBC</v>
          </cell>
          <cell r="C8515" t="str">
            <v>_BRS_GOLD__5_EQ:BRS_GOLD__1_EQX:IGBC</v>
          </cell>
          <cell r="D8515" t="str">
            <v>Index</v>
          </cell>
          <cell r="E8515" t="str">
            <v>Index Level</v>
          </cell>
          <cell r="F8515" t="str">
            <v>EQ-Equity Implied Volatility</v>
          </cell>
          <cell r="G8515" t="str">
            <v>EQ-Other</v>
          </cell>
          <cell r="H8515" t="str">
            <v>EQ_INDICES</v>
          </cell>
          <cell r="I8515" t="str">
            <v>Equity Implied Volatility</v>
          </cell>
        </row>
        <row r="8516">
          <cell r="A8516" t="str">
            <v>MEXBOL</v>
          </cell>
          <cell r="B8516" t="str">
            <v>Mexican Bolsa</v>
          </cell>
          <cell r="C8516" t="str">
            <v>_BRS_GOLD__5_EQ:BRS_GOLD__1_EQX:MEXBOL</v>
          </cell>
          <cell r="D8516" t="str">
            <v>Index</v>
          </cell>
          <cell r="E8516" t="str">
            <v>Index Level</v>
          </cell>
          <cell r="F8516" t="str">
            <v>EQ-Equity Implied Volatility</v>
          </cell>
          <cell r="G8516" t="str">
            <v>EQ-Other</v>
          </cell>
          <cell r="H8516" t="str">
            <v>EQ_INDICES</v>
          </cell>
          <cell r="I8516" t="str">
            <v>Equity Implied Volatility</v>
          </cell>
        </row>
        <row r="8517">
          <cell r="A8517" t="str">
            <v>VIMEX</v>
          </cell>
          <cell r="B8517" t="str">
            <v>Mexico Vol Index</v>
          </cell>
          <cell r="C8517" t="str">
            <v>_BRS_GOLD__5_EQ:BRS_GOLD__1_EQX:VIMEX</v>
          </cell>
          <cell r="D8517" t="str">
            <v>Index</v>
          </cell>
          <cell r="E8517" t="str">
            <v>Index Level</v>
          </cell>
          <cell r="F8517" t="str">
            <v>EQ-Equity Implied Volatility</v>
          </cell>
          <cell r="G8517" t="str">
            <v>EQ-Other</v>
          </cell>
          <cell r="H8517" t="str">
            <v>EQ_INDICES</v>
          </cell>
          <cell r="I8517" t="str">
            <v>Equity Implied Volatility</v>
          </cell>
        </row>
        <row r="8518">
          <cell r="A8518" t="str">
            <v>IGBVL</v>
          </cell>
          <cell r="B8518" t="str">
            <v>Peru LSE General</v>
          </cell>
          <cell r="C8518" t="str">
            <v>_BRS_GOLD__5_EQ:BRS_GOLD__1_EQX:IGBVL</v>
          </cell>
          <cell r="D8518" t="str">
            <v>Index</v>
          </cell>
          <cell r="E8518" t="str">
            <v>Index Level</v>
          </cell>
          <cell r="F8518" t="str">
            <v>EQ-Equity Implied Volatility</v>
          </cell>
          <cell r="G8518" t="str">
            <v>EQ-Other</v>
          </cell>
          <cell r="H8518" t="str">
            <v>EQ_INDICES</v>
          </cell>
          <cell r="I8518" t="str">
            <v>Equity Implied Volatility</v>
          </cell>
        </row>
        <row r="8519">
          <cell r="A8519" t="str">
            <v>IBVC</v>
          </cell>
          <cell r="B8519" t="str">
            <v>Venezuela CSE General</v>
          </cell>
          <cell r="C8519" t="str">
            <v>_BRS_GOLD__5_EQ:BRS_GOLD__1_EQX:IBVC</v>
          </cell>
          <cell r="D8519" t="str">
            <v>Index</v>
          </cell>
          <cell r="E8519" t="str">
            <v>Index Level</v>
          </cell>
          <cell r="F8519" t="str">
            <v>EQ-Equity Implied Volatility</v>
          </cell>
          <cell r="G8519" t="str">
            <v>EQ-Other</v>
          </cell>
          <cell r="H8519" t="str">
            <v>EQ_INDICES</v>
          </cell>
          <cell r="I8519" t="str">
            <v>Equity Implied Volatility</v>
          </cell>
        </row>
        <row r="8520">
          <cell r="A8520" t="str">
            <v>PX50</v>
          </cell>
          <cell r="B8520" t="str">
            <v>Czech Republic PX 50</v>
          </cell>
          <cell r="C8520" t="str">
            <v>_BRS_GOLD__5_EQ:BRS_GOLD__1_EQX:PX50</v>
          </cell>
          <cell r="D8520" t="str">
            <v>Index</v>
          </cell>
          <cell r="E8520" t="str">
            <v>Index Level</v>
          </cell>
          <cell r="F8520" t="str">
            <v>EQ-Equity Implied Volatility</v>
          </cell>
          <cell r="G8520" t="str">
            <v>EQ-Other</v>
          </cell>
          <cell r="H8520" t="str">
            <v>EQ_INDICES</v>
          </cell>
          <cell r="I8520" t="str">
            <v>Equity Implied Volatility</v>
          </cell>
        </row>
        <row r="8521">
          <cell r="A8521" t="str">
            <v>BUX</v>
          </cell>
          <cell r="B8521" t="str">
            <v>Hungary BUX</v>
          </cell>
          <cell r="C8521" t="str">
            <v>_BRS_GOLD__5_EQ:BRS_GOLD__1_EQX:BUX</v>
          </cell>
          <cell r="D8521" t="str">
            <v>Index</v>
          </cell>
          <cell r="E8521" t="str">
            <v>Index Level</v>
          </cell>
          <cell r="F8521" t="str">
            <v>EQ-Equity Implied Volatility</v>
          </cell>
          <cell r="G8521" t="str">
            <v>EQ-Other</v>
          </cell>
          <cell r="H8521" t="str">
            <v>EQ_INDICES</v>
          </cell>
          <cell r="I8521" t="str">
            <v>Equity Implied Volatility</v>
          </cell>
        </row>
        <row r="8522">
          <cell r="A8522" t="str">
            <v>RTSI</v>
          </cell>
          <cell r="B8522" t="str">
            <v>Russia RTS</v>
          </cell>
          <cell r="C8522" t="str">
            <v>_BRS_GOLD__5_EQ:BRS_GOLD__1_EQX:RTSI</v>
          </cell>
          <cell r="D8522" t="str">
            <v>Index</v>
          </cell>
          <cell r="E8522" t="str">
            <v>Index Level</v>
          </cell>
          <cell r="F8522" t="str">
            <v>EQ-Equity Implied Volatility</v>
          </cell>
          <cell r="G8522" t="str">
            <v>EQ-Other</v>
          </cell>
          <cell r="H8522" t="str">
            <v>EQ_INDICES</v>
          </cell>
          <cell r="I8522" t="str">
            <v>Equity Implied Volatility</v>
          </cell>
        </row>
        <row r="8523">
          <cell r="A8523" t="str">
            <v>XU100</v>
          </cell>
          <cell r="B8523" t="str">
            <v>Turkey ISE Natl 100</v>
          </cell>
          <cell r="C8523" t="str">
            <v>_BRS_GOLD__5_EQ:BRS_GOLD__1_EQX:XU100</v>
          </cell>
          <cell r="D8523" t="str">
            <v>Index</v>
          </cell>
          <cell r="E8523" t="str">
            <v>Index Level</v>
          </cell>
          <cell r="F8523" t="str">
            <v>EQ-Equity Implied Volatility</v>
          </cell>
          <cell r="G8523" t="str">
            <v>EQ-Other</v>
          </cell>
          <cell r="H8523" t="str">
            <v>EQ_INDICES</v>
          </cell>
          <cell r="I8523" t="str">
            <v>Equity Implied Volatility</v>
          </cell>
        </row>
        <row r="8524">
          <cell r="A8524" t="str">
            <v>ISSMGEN</v>
          </cell>
          <cell r="B8524" t="str">
            <v>Israel General</v>
          </cell>
          <cell r="C8524" t="str">
            <v>_BRS_GOLD__5_EQ:BRS_GOLD__1_EQX:ISSMGEN</v>
          </cell>
          <cell r="D8524" t="str">
            <v>Index</v>
          </cell>
          <cell r="E8524" t="str">
            <v>Index Level</v>
          </cell>
          <cell r="F8524" t="str">
            <v>EQ-Equity Implied Volatility</v>
          </cell>
          <cell r="G8524" t="str">
            <v>EQ-Other</v>
          </cell>
          <cell r="H8524" t="str">
            <v>EQ_INDICES</v>
          </cell>
          <cell r="I8524" t="str">
            <v>Equity Implied Volatility</v>
          </cell>
        </row>
        <row r="8525">
          <cell r="A8525" t="str">
            <v>TA_100</v>
          </cell>
          <cell r="B8525" t="str">
            <v>Israel TA-100</v>
          </cell>
          <cell r="C8525" t="str">
            <v>_BRS_GOLD__5_EQ:BRS_GOLD__1_EQX:TA_100</v>
          </cell>
          <cell r="D8525" t="str">
            <v>Index</v>
          </cell>
          <cell r="E8525" t="str">
            <v>Index Level</v>
          </cell>
          <cell r="F8525" t="str">
            <v>EQ-Equity Implied Volatility</v>
          </cell>
          <cell r="G8525" t="str">
            <v>EQ-Other</v>
          </cell>
          <cell r="H8525" t="str">
            <v>EQ_INDICES</v>
          </cell>
          <cell r="I8525" t="str">
            <v>Equity Implied Volatility</v>
          </cell>
        </row>
        <row r="8526">
          <cell r="A8526" t="str">
            <v>JALSH</v>
          </cell>
          <cell r="B8526" t="str">
            <v>FTSE JSE Africa All Shr</v>
          </cell>
          <cell r="C8526" t="str">
            <v>_BRS_GOLD__5_EQ:BRS_GOLD__1_EQX:JALSH</v>
          </cell>
          <cell r="D8526" t="str">
            <v>Index</v>
          </cell>
          <cell r="E8526" t="str">
            <v>Index Level</v>
          </cell>
          <cell r="F8526" t="str">
            <v>EQ-Equity Implied Volatility</v>
          </cell>
          <cell r="G8526" t="str">
            <v>EQ-Other</v>
          </cell>
          <cell r="H8526" t="str">
            <v>EQ_INDICES</v>
          </cell>
          <cell r="I8526" t="str">
            <v>Equity Implied Volatility</v>
          </cell>
        </row>
        <row r="8527">
          <cell r="A8527" t="str">
            <v>CASE</v>
          </cell>
          <cell r="B8527" t="str">
            <v>Egypt CASE 30</v>
          </cell>
          <cell r="C8527" t="str">
            <v>_BRS_GOLD__5_EQ:BRS_GOLD__1_EQX:CASE</v>
          </cell>
          <cell r="D8527" t="str">
            <v>Index</v>
          </cell>
          <cell r="E8527" t="str">
            <v>Index Level</v>
          </cell>
          <cell r="F8527" t="str">
            <v>EQ-Equity Implied Volatility</v>
          </cell>
          <cell r="G8527" t="str">
            <v>EQ-Other</v>
          </cell>
          <cell r="H8527" t="str">
            <v>EQ_INDICES</v>
          </cell>
          <cell r="I8527" t="str">
            <v>Equity Implied Volatility</v>
          </cell>
        </row>
        <row r="8528">
          <cell r="A8528" t="str">
            <v>MOSEMDX</v>
          </cell>
          <cell r="B8528" t="str">
            <v>Morocco MADEX</v>
          </cell>
          <cell r="C8528" t="str">
            <v>_BRS_GOLD__5_EQ:BRS_GOLD__1_EQX:MOSEMDX</v>
          </cell>
          <cell r="D8528" t="str">
            <v>Index</v>
          </cell>
          <cell r="E8528" t="str">
            <v>Index Level</v>
          </cell>
          <cell r="F8528" t="str">
            <v>EQ-Equity Implied Volatility</v>
          </cell>
          <cell r="G8528" t="str">
            <v>EQ-Other</v>
          </cell>
          <cell r="H8528" t="str">
            <v>EQ_INDICES</v>
          </cell>
          <cell r="I8528" t="str">
            <v>Equity Implied Volatility</v>
          </cell>
        </row>
        <row r="8529">
          <cell r="A8529" t="str">
            <v>SHCOMP</v>
          </cell>
          <cell r="B8529" t="str">
            <v>China Shanghai SECmp</v>
          </cell>
          <cell r="C8529" t="str">
            <v>_BRS_GOLD__5_EQ:BRS_GOLD__1_EQX:SHCOMP</v>
          </cell>
          <cell r="D8529" t="str">
            <v>Index</v>
          </cell>
          <cell r="E8529" t="str">
            <v>Index Level</v>
          </cell>
          <cell r="F8529" t="str">
            <v>EQ-Equity Implied Volatility</v>
          </cell>
          <cell r="G8529" t="str">
            <v>EQ-Other</v>
          </cell>
          <cell r="H8529" t="str">
            <v>EQ_INDICES</v>
          </cell>
          <cell r="I8529" t="str">
            <v>Equity Implied Volatility</v>
          </cell>
        </row>
        <row r="8530">
          <cell r="A8530" t="str">
            <v>SZCOMP</v>
          </cell>
          <cell r="B8530" t="str">
            <v>China Shenzhen SEAll</v>
          </cell>
          <cell r="C8530" t="str">
            <v>_BRS_GOLD__5_EQ:BRS_GOLD__1_EQX:SZCOMP</v>
          </cell>
          <cell r="D8530" t="str">
            <v>Index</v>
          </cell>
          <cell r="E8530" t="str">
            <v>Index Level</v>
          </cell>
          <cell r="F8530" t="str">
            <v>EQ-Equity Implied Volatility</v>
          </cell>
          <cell r="G8530" t="str">
            <v>EQ-Other</v>
          </cell>
          <cell r="H8530" t="str">
            <v>EQ_INDICES</v>
          </cell>
          <cell r="I8530" t="str">
            <v>Equity Implied Volatility</v>
          </cell>
        </row>
        <row r="8531">
          <cell r="A8531" t="str">
            <v>FXTID</v>
          </cell>
          <cell r="B8531" t="str">
            <v>FTSE Xinhua China 25</v>
          </cell>
          <cell r="C8531" t="str">
            <v>_BRS_GOLD__5_EQ:BRS_GOLD__1_EQX:FXTID</v>
          </cell>
          <cell r="D8531" t="str">
            <v>Index</v>
          </cell>
          <cell r="E8531" t="str">
            <v>Index Level</v>
          </cell>
          <cell r="F8531" t="str">
            <v>EQ-Equity Implied Volatility</v>
          </cell>
          <cell r="G8531" t="str">
            <v>EQ-Other</v>
          </cell>
          <cell r="H8531" t="str">
            <v>EQ_INDICES</v>
          </cell>
          <cell r="I8531" t="str">
            <v>Equity Implied Volatility</v>
          </cell>
        </row>
        <row r="8532">
          <cell r="A8532" t="str">
            <v>BSE100</v>
          </cell>
          <cell r="B8532" t="str">
            <v>India BSE 100</v>
          </cell>
          <cell r="C8532" t="str">
            <v>_BRS_GOLD__5_EQ:BRS_GOLD__1_EQX:BSE100</v>
          </cell>
          <cell r="D8532" t="str">
            <v>Index</v>
          </cell>
          <cell r="E8532" t="str">
            <v>Index Level</v>
          </cell>
          <cell r="F8532" t="str">
            <v>EQ-Equity Implied Volatility</v>
          </cell>
          <cell r="G8532" t="str">
            <v>EQ-Other</v>
          </cell>
          <cell r="H8532" t="str">
            <v>EQ_INDICES</v>
          </cell>
          <cell r="I8532" t="str">
            <v>Equity Implied Volatility</v>
          </cell>
        </row>
        <row r="8533">
          <cell r="A8533" t="str">
            <v>SENSEX</v>
          </cell>
          <cell r="B8533" t="str">
            <v>Mumbai Sensex</v>
          </cell>
          <cell r="C8533" t="str">
            <v>_BRS_GOLD__5_EQ:BRS_GOLD__1_EQX:SENSEX</v>
          </cell>
          <cell r="D8533" t="str">
            <v>Index</v>
          </cell>
          <cell r="E8533" t="str">
            <v>Index Level</v>
          </cell>
          <cell r="F8533" t="str">
            <v>EQ-Equity Implied Volatility</v>
          </cell>
          <cell r="G8533" t="str">
            <v>EQ-Other</v>
          </cell>
          <cell r="H8533" t="str">
            <v>EQ_INDICES</v>
          </cell>
          <cell r="I8533" t="str">
            <v>Equity Implied Volatility</v>
          </cell>
        </row>
        <row r="8534">
          <cell r="A8534" t="str">
            <v>JCI</v>
          </cell>
          <cell r="B8534" t="str">
            <v>Indonesia JSX Comp</v>
          </cell>
          <cell r="C8534" t="str">
            <v>_BRS_GOLD__5_EQ:BRS_GOLD__1_EQX:JCI</v>
          </cell>
          <cell r="D8534" t="str">
            <v>Index</v>
          </cell>
          <cell r="E8534" t="str">
            <v>Index Level</v>
          </cell>
          <cell r="F8534" t="str">
            <v>EQ-Equity Implied Volatility</v>
          </cell>
          <cell r="G8534" t="str">
            <v>EQ-Other</v>
          </cell>
          <cell r="H8534" t="str">
            <v>EQ_INDICES</v>
          </cell>
          <cell r="I8534" t="str">
            <v>Equity Implied Volatility</v>
          </cell>
        </row>
        <row r="8535">
          <cell r="A8535" t="str">
            <v>KOSPI</v>
          </cell>
          <cell r="B8535" t="str">
            <v>Korea KOSPI Comp</v>
          </cell>
          <cell r="C8535" t="str">
            <v>_BRS_GOLD__5_EQ:BRS_GOLD__1_EQX:KOSPI</v>
          </cell>
          <cell r="D8535" t="str">
            <v>Index</v>
          </cell>
          <cell r="E8535" t="str">
            <v>Index Level</v>
          </cell>
          <cell r="F8535" t="str">
            <v>EQ-Equity Implied Volatility</v>
          </cell>
          <cell r="G8535" t="str">
            <v>EQ-Other</v>
          </cell>
          <cell r="H8535" t="str">
            <v>EQ_INDICES</v>
          </cell>
          <cell r="I8535" t="str">
            <v>Equity Implied Volatility</v>
          </cell>
        </row>
        <row r="8536">
          <cell r="A8536" t="str">
            <v>VKOSPI</v>
          </cell>
          <cell r="B8536" t="str">
            <v>KOSPI 200 Vol Index</v>
          </cell>
          <cell r="C8536" t="str">
            <v>_BRS_GOLD__5_EQ:BRS_GOLD__1_EQX:VKOSPI</v>
          </cell>
          <cell r="D8536" t="str">
            <v>Index</v>
          </cell>
          <cell r="E8536" t="str">
            <v>Index Level</v>
          </cell>
          <cell r="F8536" t="str">
            <v>EQ-Equity Implied Volatility</v>
          </cell>
          <cell r="G8536" t="str">
            <v>EQ-Other</v>
          </cell>
          <cell r="H8536" t="str">
            <v>EQ_INDICES</v>
          </cell>
          <cell r="I8536" t="str">
            <v>Equity Implied Volatility</v>
          </cell>
        </row>
        <row r="8537">
          <cell r="A8537" t="str">
            <v>KLCI</v>
          </cell>
          <cell r="B8537" t="str">
            <v>Malaysia KLSE Comp</v>
          </cell>
          <cell r="C8537" t="str">
            <v>_BRS_GOLD__5_EQ:BRS_GOLD__1_EQX:KLCI</v>
          </cell>
          <cell r="D8537" t="str">
            <v>Index</v>
          </cell>
          <cell r="E8537" t="str">
            <v>Index Level</v>
          </cell>
          <cell r="F8537" t="str">
            <v>EQ-Equity Implied Volatility</v>
          </cell>
          <cell r="G8537" t="str">
            <v>EQ-Other</v>
          </cell>
          <cell r="H8537" t="str">
            <v>EQ_INDICES</v>
          </cell>
          <cell r="I8537" t="str">
            <v>Equity Implied Volatility</v>
          </cell>
        </row>
        <row r="8538">
          <cell r="A8538" t="str">
            <v>KSE100</v>
          </cell>
          <cell r="B8538" t="str">
            <v>Pakistan KSE 100</v>
          </cell>
          <cell r="C8538" t="str">
            <v>_BRS_GOLD__5_EQ:BRS_GOLD__1_EQX:KSE100</v>
          </cell>
          <cell r="D8538" t="str">
            <v>Index</v>
          </cell>
          <cell r="E8538" t="str">
            <v>Index Level</v>
          </cell>
          <cell r="F8538" t="str">
            <v>EQ-Equity Implied Volatility</v>
          </cell>
          <cell r="G8538" t="str">
            <v>EQ-Other</v>
          </cell>
          <cell r="H8538" t="str">
            <v>EQ_INDICES</v>
          </cell>
          <cell r="I8538" t="str">
            <v>Equity Implied Volatility</v>
          </cell>
        </row>
        <row r="8539">
          <cell r="A8539" t="str">
            <v>PCOMP</v>
          </cell>
          <cell r="B8539" t="str">
            <v>Philippines PSEi</v>
          </cell>
          <cell r="C8539" t="str">
            <v>_BRS_GOLD__5_EQ:BRS_GOLD__1_EQX:PCOMP</v>
          </cell>
          <cell r="D8539" t="str">
            <v>Index</v>
          </cell>
          <cell r="E8539" t="str">
            <v>Index Level</v>
          </cell>
          <cell r="F8539" t="str">
            <v>EQ-Equity Implied Volatility</v>
          </cell>
          <cell r="G8539" t="str">
            <v>EQ-Other</v>
          </cell>
          <cell r="H8539" t="str">
            <v>EQ_INDICES</v>
          </cell>
          <cell r="I8539" t="str">
            <v>Equity Implied Volatility</v>
          </cell>
        </row>
        <row r="8540">
          <cell r="A8540" t="str">
            <v>SAVIT40</v>
          </cell>
          <cell r="B8540" t="str">
            <v>S African Vol Index</v>
          </cell>
          <cell r="C8540" t="str">
            <v>_BRS_GOLD__5_EQ:BRS_GOLD__1_EQX:SAVIT40</v>
          </cell>
          <cell r="D8540" t="str">
            <v>Index</v>
          </cell>
          <cell r="E8540" t="str">
            <v>Index Level</v>
          </cell>
          <cell r="F8540" t="str">
            <v>EQ-Equity Implied Volatility</v>
          </cell>
          <cell r="G8540" t="str">
            <v>EQ-Other</v>
          </cell>
          <cell r="H8540" t="str">
            <v>EQ_INDICES</v>
          </cell>
          <cell r="I8540" t="str">
            <v>Equity Implied Volatility</v>
          </cell>
        </row>
        <row r="8541">
          <cell r="A8541" t="str">
            <v>CSEALL</v>
          </cell>
          <cell r="B8541" t="str">
            <v>Sri Lanka CSE AllShr</v>
          </cell>
          <cell r="C8541" t="str">
            <v>_BRS_GOLD__5_EQ:BRS_GOLD__1_EQX:CSEALL</v>
          </cell>
          <cell r="D8541" t="str">
            <v>Index</v>
          </cell>
          <cell r="E8541" t="str">
            <v>Index Level</v>
          </cell>
          <cell r="F8541" t="str">
            <v>EQ-Equity Implied Volatility</v>
          </cell>
          <cell r="G8541" t="str">
            <v>EQ-Other</v>
          </cell>
          <cell r="H8541" t="str">
            <v>EQ_INDICES</v>
          </cell>
          <cell r="I8541" t="str">
            <v>Equity Implied Volatility</v>
          </cell>
        </row>
        <row r="8542">
          <cell r="A8542" t="str">
            <v>V3X</v>
          </cell>
          <cell r="B8542" t="str">
            <v>SMI Vol Index</v>
          </cell>
          <cell r="C8542" t="str">
            <v>_BRS_GOLD__5_EQ:BRS_GOLD__1_EQX:V3X</v>
          </cell>
          <cell r="D8542" t="str">
            <v>Index</v>
          </cell>
          <cell r="E8542" t="str">
            <v>Index Level</v>
          </cell>
          <cell r="F8542" t="str">
            <v>EQ-Equity Implied Volatility</v>
          </cell>
          <cell r="G8542" t="str">
            <v>EQ-Other</v>
          </cell>
          <cell r="H8542" t="str">
            <v>EQ_INDICES</v>
          </cell>
          <cell r="I8542" t="str">
            <v>Equity Implied Volatility</v>
          </cell>
        </row>
        <row r="8543">
          <cell r="A8543" t="str">
            <v>TW50</v>
          </cell>
          <cell r="B8543" t="str">
            <v>Taiwan TSEC</v>
          </cell>
          <cell r="C8543" t="str">
            <v>_BRS_GOLD__5_EQ:BRS_GOLD__1_EQX:TW50</v>
          </cell>
          <cell r="D8543" t="str">
            <v>Index</v>
          </cell>
          <cell r="E8543" t="str">
            <v>Index Level</v>
          </cell>
          <cell r="F8543" t="str">
            <v>EQ-Equity Implied Volatility</v>
          </cell>
          <cell r="G8543" t="str">
            <v>EQ-Other</v>
          </cell>
          <cell r="H8543" t="str">
            <v>EQ_INDICES</v>
          </cell>
          <cell r="I8543" t="str">
            <v>Equity Implied Volatility</v>
          </cell>
        </row>
        <row r="8544">
          <cell r="A8544" t="str">
            <v>SET</v>
          </cell>
          <cell r="B8544" t="str">
            <v>Thailand SET</v>
          </cell>
          <cell r="C8544" t="str">
            <v>_BRS_GOLD__5_EQ:BRS_GOLD__1_EQX:SET</v>
          </cell>
          <cell r="D8544" t="str">
            <v>Index</v>
          </cell>
          <cell r="E8544" t="str">
            <v>Index Level</v>
          </cell>
          <cell r="F8544" t="str">
            <v>EQ-Equity Implied Volatility</v>
          </cell>
          <cell r="G8544" t="str">
            <v>EQ-Other</v>
          </cell>
          <cell r="H8544" t="str">
            <v>EQ_INDICES</v>
          </cell>
          <cell r="I8544" t="str">
            <v>Equity Implied Volatility</v>
          </cell>
        </row>
        <row r="8545">
          <cell r="A8545" t="str">
            <v>UKALL</v>
          </cell>
          <cell r="B8545" t="str">
            <v>FTSE All Share</v>
          </cell>
          <cell r="C8545" t="str">
            <v>_BRS_GOLD__5_EQ:BRS_GOLD__1_EQX:UKALL</v>
          </cell>
          <cell r="D8545" t="str">
            <v>Index</v>
          </cell>
          <cell r="E8545" t="str">
            <v>Index Level</v>
          </cell>
          <cell r="F8545" t="str">
            <v>EQ-Equity Implied Volatility</v>
          </cell>
          <cell r="G8545" t="str">
            <v>EQ-Other</v>
          </cell>
          <cell r="H8545" t="str">
            <v>EQ_INDICES</v>
          </cell>
          <cell r="I8545" t="str">
            <v>Equity Implied Volatility</v>
          </cell>
        </row>
        <row r="8546">
          <cell r="A8546" t="str">
            <v>ASX200</v>
          </cell>
          <cell r="B8546" t="str">
            <v>S&amp;P ASX 200</v>
          </cell>
          <cell r="C8546" t="str">
            <v>_BRS_GOLD__5_EQ:BRS_GOLD__1_EQX:ASX200</v>
          </cell>
          <cell r="D8546" t="str">
            <v>Index</v>
          </cell>
          <cell r="E8546" t="str">
            <v>Index Level</v>
          </cell>
          <cell r="F8546" t="str">
            <v>EQ-Equity Implied Volatility</v>
          </cell>
          <cell r="G8546" t="str">
            <v>EQ-Other</v>
          </cell>
          <cell r="H8546" t="str">
            <v>EQ_INDICES</v>
          </cell>
          <cell r="I8546" t="str">
            <v>Equity Implied Volatility</v>
          </cell>
        </row>
        <row r="8547">
          <cell r="A8547" t="str">
            <v>MSXWOUS</v>
          </cell>
          <cell r="B8547" t="str">
            <v>MSCI World xUS</v>
          </cell>
          <cell r="C8547" t="str">
            <v>_BRS_GOLD__5_EQ:BRS_GOLD__1_EQX:MSXWOUS</v>
          </cell>
          <cell r="D8547" t="str">
            <v>Index</v>
          </cell>
          <cell r="E8547" t="str">
            <v>Index Level</v>
          </cell>
          <cell r="F8547" t="str">
            <v>EQ-Equity Implied Volatility</v>
          </cell>
          <cell r="G8547" t="str">
            <v>EQ-Other</v>
          </cell>
          <cell r="H8547" t="str">
            <v>EQ_INDICES</v>
          </cell>
          <cell r="I8547" t="str">
            <v>Equity Implied Volatility</v>
          </cell>
        </row>
        <row r="8548">
          <cell r="A8548" t="str">
            <v>EURO600</v>
          </cell>
          <cell r="B8548" t="str">
            <v>DJ Euro Stoxx 600</v>
          </cell>
          <cell r="C8548" t="str">
            <v>_BRS_GOLD__5_EQ:BRS_GOLD__1_EQX:EURO600</v>
          </cell>
          <cell r="D8548" t="str">
            <v>Index</v>
          </cell>
          <cell r="E8548" t="str">
            <v>Index Level</v>
          </cell>
          <cell r="F8548" t="str">
            <v>EQ-Equity Implied Volatility</v>
          </cell>
          <cell r="G8548" t="str">
            <v>EQ-Other</v>
          </cell>
          <cell r="H8548" t="str">
            <v>EQ_INDICES</v>
          </cell>
          <cell r="I8548" t="str">
            <v>Equity Implied Volatility</v>
          </cell>
        </row>
        <row r="8549">
          <cell r="A8549" t="str">
            <v>MSCIWLDNET</v>
          </cell>
          <cell r="B8549" t="str">
            <v>MSCI World Net TR</v>
          </cell>
          <cell r="C8549" t="str">
            <v>_BRS_GOLD__5_EQ:BRS_GOLD__1_EQX:MSCIWLDNET</v>
          </cell>
          <cell r="D8549" t="str">
            <v>Index</v>
          </cell>
          <cell r="E8549" t="str">
            <v>Index Level</v>
          </cell>
          <cell r="F8549" t="str">
            <v>EQ-Equity Implied Volatility</v>
          </cell>
          <cell r="G8549" t="str">
            <v>EQ-Other</v>
          </cell>
          <cell r="H8549" t="str">
            <v>EQ_INDICES</v>
          </cell>
          <cell r="I8549" t="str">
            <v>Equity Implied Volatility</v>
          </cell>
        </row>
        <row r="8550">
          <cell r="A8550" t="str">
            <v>MSACWIGDPP</v>
          </cell>
          <cell r="B8550" t="str">
            <v>MSCI ACWI GDP Weighted Index</v>
          </cell>
          <cell r="C8550" t="str">
            <v>_BRS_GOLD__5_EQ:BRS_GOLD__1_EQX:MSACWIGDPP</v>
          </cell>
          <cell r="D8550" t="str">
            <v>Index</v>
          </cell>
          <cell r="E8550" t="str">
            <v>Index Level</v>
          </cell>
          <cell r="F8550" t="str">
            <v>EQ-Equity Implied Volatility</v>
          </cell>
          <cell r="G8550" t="str">
            <v>EQ-Other</v>
          </cell>
          <cell r="H8550" t="str">
            <v>EQ_INDICES</v>
          </cell>
          <cell r="I8550" t="str">
            <v>Equity Implied Volatility</v>
          </cell>
        </row>
        <row r="8551">
          <cell r="A8551" t="str">
            <v>ROY</v>
          </cell>
          <cell r="B8551" t="str">
            <v>Russell 1000</v>
          </cell>
          <cell r="C8551" t="str">
            <v>_BRS_GOLD__5_EQ:BRS_GOLD__1_EQX:ROY</v>
          </cell>
          <cell r="D8551" t="str">
            <v>Index</v>
          </cell>
          <cell r="E8551" t="str">
            <v>Index Level</v>
          </cell>
          <cell r="F8551" t="str">
            <v>EQ-Equity Implied Volatility</v>
          </cell>
          <cell r="G8551" t="str">
            <v>EQ-Other</v>
          </cell>
          <cell r="H8551" t="str">
            <v>EQ_INDICES</v>
          </cell>
          <cell r="I8551" t="str">
            <v>Equity Implied Volatility</v>
          </cell>
        </row>
        <row r="8552">
          <cell r="A8552" t="str">
            <v>NIFVIX</v>
          </cell>
          <cell r="B8552" t="str">
            <v>India Volatility</v>
          </cell>
          <cell r="C8552" t="str">
            <v>_BRS_GOLD__5_EQ:BRS_GOLD__1_EQX:NIFVIX</v>
          </cell>
          <cell r="D8552" t="str">
            <v>Index</v>
          </cell>
          <cell r="E8552" t="str">
            <v>Index Level</v>
          </cell>
          <cell r="F8552" t="str">
            <v>EQ-Equity Implied Volatility</v>
          </cell>
          <cell r="G8552" t="str">
            <v>EQ-Other</v>
          </cell>
          <cell r="H8552" t="str">
            <v>EQ_INDICES</v>
          </cell>
          <cell r="I8552" t="str">
            <v>Equity Implied Volatility</v>
          </cell>
        </row>
        <row r="8553">
          <cell r="A8553" t="str">
            <v>V2X</v>
          </cell>
          <cell r="B8553" t="str">
            <v>Euro STOXX 50 Volatility</v>
          </cell>
          <cell r="C8553" t="str">
            <v>_BRS_GOLD__5_EQ:BRS_GOLD__1_EQX:V2X</v>
          </cell>
          <cell r="D8553" t="str">
            <v>Index</v>
          </cell>
          <cell r="E8553" t="str">
            <v>Index Level</v>
          </cell>
          <cell r="F8553" t="str">
            <v>EQ-Equity Implied Volatility</v>
          </cell>
          <cell r="G8553" t="str">
            <v>EQ-Other</v>
          </cell>
          <cell r="H8553" t="str">
            <v>EQ_INDICES</v>
          </cell>
          <cell r="I8553" t="str">
            <v>Equity Implied Volatility</v>
          </cell>
        </row>
        <row r="8554">
          <cell r="A8554" t="str">
            <v>VAEX</v>
          </cell>
          <cell r="B8554" t="str">
            <v>AEX Volatility</v>
          </cell>
          <cell r="C8554" t="str">
            <v>_BRS_GOLD__5_EQ:BRS_GOLD__1_EQX:VAEX</v>
          </cell>
          <cell r="D8554" t="str">
            <v>Index</v>
          </cell>
          <cell r="E8554" t="str">
            <v>Index Level</v>
          </cell>
          <cell r="F8554" t="str">
            <v>EQ-Equity Implied Volatility</v>
          </cell>
          <cell r="G8554" t="str">
            <v>EQ-Other</v>
          </cell>
          <cell r="H8554" t="str">
            <v>EQ_INDICES</v>
          </cell>
          <cell r="I8554" t="str">
            <v>Equity Implied Volatility</v>
          </cell>
        </row>
        <row r="8555">
          <cell r="A8555" t="str">
            <v>VCAC</v>
          </cell>
          <cell r="B8555" t="str">
            <v>France CAC 40 Volatility</v>
          </cell>
          <cell r="C8555" t="str">
            <v>_BRS_GOLD__5_EQ:BRS_GOLD__1_EQX:VCAC</v>
          </cell>
          <cell r="D8555" t="str">
            <v>Index</v>
          </cell>
          <cell r="E8555" t="str">
            <v>Index Level</v>
          </cell>
          <cell r="F8555" t="str">
            <v>EQ-Equity Implied Volatility</v>
          </cell>
          <cell r="G8555" t="str">
            <v>EQ-Other</v>
          </cell>
          <cell r="H8555" t="str">
            <v>EQ_INDICES</v>
          </cell>
          <cell r="I8555" t="str">
            <v>Equity Implied Volatility</v>
          </cell>
        </row>
        <row r="8556">
          <cell r="A8556" t="str">
            <v>VXEWZ</v>
          </cell>
          <cell r="B8556" t="str">
            <v>CBOE Brazil Volatility</v>
          </cell>
          <cell r="C8556" t="str">
            <v>_BRS_GOLD__5_EQ:BRS_GOLD__1_EQX:VXEWZ</v>
          </cell>
          <cell r="D8556" t="str">
            <v>Index</v>
          </cell>
          <cell r="E8556" t="str">
            <v>Index Level</v>
          </cell>
          <cell r="F8556" t="str">
            <v>EQ-Equity Implied Volatility</v>
          </cell>
          <cell r="G8556" t="str">
            <v>EQ-Other</v>
          </cell>
          <cell r="H8556" t="str">
            <v>EQ_INDICES</v>
          </cell>
          <cell r="I8556" t="str">
            <v>Equity Implied Volatility</v>
          </cell>
        </row>
        <row r="8557">
          <cell r="A8557" t="str">
            <v>JSAVI</v>
          </cell>
          <cell r="B8557" t="str">
            <v>South African Volatility Index</v>
          </cell>
          <cell r="C8557" t="str">
            <v>_BRS_GOLD__5_EQ:BRS_GOLD__1_EQX:JSAVI</v>
          </cell>
          <cell r="D8557" t="str">
            <v>Index</v>
          </cell>
          <cell r="E8557" t="str">
            <v>Index Level</v>
          </cell>
          <cell r="F8557" t="str">
            <v>EQ-Equity Implied Volatility</v>
          </cell>
          <cell r="G8557" t="str">
            <v>EQ-Other</v>
          </cell>
          <cell r="H8557" t="str">
            <v>EQ_INDICES</v>
          </cell>
          <cell r="I8557" t="str">
            <v>Equity Implied Volatility</v>
          </cell>
        </row>
        <row r="8558">
          <cell r="A8558" t="str">
            <v>JNIV</v>
          </cell>
          <cell r="B8558" t="str">
            <v>NIKKEI Volatility Index</v>
          </cell>
          <cell r="C8558" t="str">
            <v>_BRS_GOLD__5_EQ:BRS_GOLD__1_EQX:JNIV</v>
          </cell>
          <cell r="D8558" t="str">
            <v>Index</v>
          </cell>
          <cell r="E8558" t="str">
            <v>Index Level</v>
          </cell>
          <cell r="F8558" t="str">
            <v>EQ-Equity Implied Volatility</v>
          </cell>
          <cell r="G8558" t="str">
            <v>EQ-Other</v>
          </cell>
          <cell r="H8558" t="str">
            <v>EQ_INDICES</v>
          </cell>
          <cell r="I8558" t="str">
            <v>Equity Implied Volatility</v>
          </cell>
        </row>
        <row r="8559">
          <cell r="A8559" t="str">
            <v>RTSVX</v>
          </cell>
          <cell r="B8559" t="str">
            <v>Russian Volatility Index</v>
          </cell>
          <cell r="C8559" t="str">
            <v>_BRS_GOLD__5_EQ:BRS_GOLD__1_EQX:RTSVX</v>
          </cell>
          <cell r="D8559" t="str">
            <v>Index</v>
          </cell>
          <cell r="E8559" t="str">
            <v>Index Level</v>
          </cell>
          <cell r="F8559" t="str">
            <v>EQ-Equity Implied Volatility</v>
          </cell>
          <cell r="G8559" t="str">
            <v>EQ-Other</v>
          </cell>
          <cell r="H8559" t="str">
            <v>EQ_INDICES</v>
          </cell>
          <cell r="I8559" t="str">
            <v>Equity Implied Volatility</v>
          </cell>
        </row>
        <row r="8560">
          <cell r="A8560" t="str">
            <v>VXD</v>
          </cell>
          <cell r="B8560" t="str">
            <v>CBOE DJIA Volatility Index</v>
          </cell>
          <cell r="C8560" t="str">
            <v>_BRS_GOLD__5_EQ:BRS_GOLD__1_EQX:VXD</v>
          </cell>
          <cell r="D8560" t="str">
            <v>Index</v>
          </cell>
          <cell r="E8560" t="str">
            <v>Index Level</v>
          </cell>
          <cell r="F8560" t="str">
            <v>EQ-Equity Implied Volatility</v>
          </cell>
          <cell r="G8560" t="str">
            <v>EQ-Other</v>
          </cell>
          <cell r="H8560" t="str">
            <v>EQ_INDICES</v>
          </cell>
          <cell r="I8560" t="str">
            <v>Equity Implied Volatility</v>
          </cell>
        </row>
        <row r="8561">
          <cell r="A8561" t="str">
            <v>VXN</v>
          </cell>
          <cell r="B8561" t="str">
            <v>CBOE NDX Volatility Index</v>
          </cell>
          <cell r="C8561" t="str">
            <v>_BRS_GOLD__5_EQ:BRS_GOLD__1_EQX:VXN</v>
          </cell>
          <cell r="D8561" t="str">
            <v>Index</v>
          </cell>
          <cell r="E8561" t="str">
            <v>Index Level</v>
          </cell>
          <cell r="F8561" t="str">
            <v>EQ-Equity Implied Volatility</v>
          </cell>
          <cell r="G8561" t="str">
            <v>EQ-Other</v>
          </cell>
          <cell r="H8561" t="str">
            <v>EQ_INDICES</v>
          </cell>
          <cell r="I8561" t="str">
            <v>Equity Implied Volatility</v>
          </cell>
        </row>
        <row r="8562">
          <cell r="A8562" t="str">
            <v>VIX_VOL</v>
          </cell>
          <cell r="B8562" t="str">
            <v>VIX Volatility</v>
          </cell>
          <cell r="C8562" t="str">
            <v>_BRS_GOLD__5_EQ:BRS_GOLD__1_EQX:VIX_VOL</v>
          </cell>
          <cell r="D8562" t="str">
            <v>Index</v>
          </cell>
          <cell r="E8562" t="str">
            <v>Index Level</v>
          </cell>
          <cell r="F8562" t="str">
            <v>EQ-Equity Implied Volatility</v>
          </cell>
          <cell r="G8562" t="str">
            <v>EQ-Other</v>
          </cell>
          <cell r="H8562" t="str">
            <v>EQ_INDICES</v>
          </cell>
          <cell r="I8562" t="str">
            <v>Equity Implied Volatility</v>
          </cell>
        </row>
        <row r="8563">
          <cell r="A8563" t="str">
            <v>VSTOXX_VOL</v>
          </cell>
          <cell r="B8563" t="str">
            <v>VSTOXX Volatility</v>
          </cell>
          <cell r="C8563" t="str">
            <v>_BRS_GOLD__5_EQ:BRS_GOLD__1_EQX:VSTOXX_VOL</v>
          </cell>
          <cell r="D8563" t="str">
            <v>Index</v>
          </cell>
          <cell r="E8563" t="str">
            <v>Index Level</v>
          </cell>
          <cell r="F8563" t="str">
            <v>EQ-Equity Implied Volatility</v>
          </cell>
          <cell r="G8563" t="str">
            <v>EQ-Other</v>
          </cell>
          <cell r="H8563" t="str">
            <v>EQ_INDICES</v>
          </cell>
          <cell r="I8563" t="str">
            <v>Equity Implied Volatility</v>
          </cell>
        </row>
        <row r="8564">
          <cell r="A8564" t="str">
            <v>EOPT_VOL_SPX_1_1</v>
          </cell>
          <cell r="B8564" t="str">
            <v>SPX VOL 2W 60</v>
          </cell>
          <cell r="C8564" t="str">
            <v>_BRS_GOLD__5_EQ:BRS_GOLD__1_EQX:EOPT_VOL_SPX_1_1</v>
          </cell>
          <cell r="D8564" t="str">
            <v>Index</v>
          </cell>
          <cell r="E8564" t="str">
            <v>Index Level</v>
          </cell>
          <cell r="F8564" t="str">
            <v>EQ-Equity Implied Volatility</v>
          </cell>
          <cell r="G8564" t="str">
            <v>EQ-Other</v>
          </cell>
          <cell r="H8564" t="str">
            <v>EQ_INDICES</v>
          </cell>
          <cell r="I8564" t="str">
            <v>Equity Implied Volatility</v>
          </cell>
        </row>
        <row r="8565">
          <cell r="A8565" t="str">
            <v>EOPT_VOL_SPX_1_2</v>
          </cell>
          <cell r="B8565" t="str">
            <v>SPX VOL 2W 90</v>
          </cell>
          <cell r="C8565" t="str">
            <v>_BRS_GOLD__5_EQ:BRS_GOLD__1_EQX:EOPT_VOL_SPX_1_2</v>
          </cell>
          <cell r="D8565" t="str">
            <v>Index</v>
          </cell>
          <cell r="E8565" t="str">
            <v>Index Level</v>
          </cell>
          <cell r="F8565" t="str">
            <v>EQ-Equity Implied Volatility</v>
          </cell>
          <cell r="G8565" t="str">
            <v>EQ-Other</v>
          </cell>
          <cell r="H8565" t="str">
            <v>EQ_INDICES</v>
          </cell>
          <cell r="I8565" t="str">
            <v>Equity Implied Volatility</v>
          </cell>
        </row>
        <row r="8566">
          <cell r="A8566" t="str">
            <v>EOPT_VOL_SPX_1_3</v>
          </cell>
          <cell r="B8566" t="str">
            <v>SPX VOL 2W 110</v>
          </cell>
          <cell r="C8566" t="str">
            <v>_BRS_GOLD__5_EQ:BRS_GOLD__1_EQX:EOPT_VOL_SPX_1_3</v>
          </cell>
          <cell r="D8566" t="str">
            <v>Index</v>
          </cell>
          <cell r="E8566" t="str">
            <v>Index Level</v>
          </cell>
          <cell r="F8566" t="str">
            <v>EQ-Equity Implied Volatility</v>
          </cell>
          <cell r="G8566" t="str">
            <v>EQ-Other</v>
          </cell>
          <cell r="H8566" t="str">
            <v>EQ_INDICES</v>
          </cell>
          <cell r="I8566" t="str">
            <v>Equity Implied Volatility</v>
          </cell>
        </row>
        <row r="8567">
          <cell r="A8567" t="str">
            <v>EOPT_VOL_SPX_1_4</v>
          </cell>
          <cell r="B8567" t="str">
            <v>SPX VOL 2W 140</v>
          </cell>
          <cell r="C8567" t="str">
            <v>_BRS_GOLD__5_EQ:BRS_GOLD__1_EQX:EOPT_VOL_SPX_1_4</v>
          </cell>
          <cell r="D8567" t="str">
            <v>Index</v>
          </cell>
          <cell r="E8567" t="str">
            <v>Index Level</v>
          </cell>
          <cell r="F8567" t="str">
            <v>EQ-Equity Implied Volatility</v>
          </cell>
          <cell r="G8567" t="str">
            <v>EQ-Other</v>
          </cell>
          <cell r="H8567" t="str">
            <v>EQ_INDICES</v>
          </cell>
          <cell r="I8567" t="str">
            <v>Equity Implied Volatility</v>
          </cell>
        </row>
        <row r="8568">
          <cell r="A8568" t="str">
            <v>EOPT_VOL_SPX_2_1</v>
          </cell>
          <cell r="B8568" t="str">
            <v>SPX VOL 2M 60</v>
          </cell>
          <cell r="C8568" t="str">
            <v>_BRS_GOLD__5_EQ:BRS_GOLD__1_EQX:EOPT_VOL_SPX_2_1</v>
          </cell>
          <cell r="D8568" t="str">
            <v>Index</v>
          </cell>
          <cell r="E8568" t="str">
            <v>Index Level</v>
          </cell>
          <cell r="F8568" t="str">
            <v>EQ-Equity Implied Volatility</v>
          </cell>
          <cell r="G8568" t="str">
            <v>EQ-Other</v>
          </cell>
          <cell r="H8568" t="str">
            <v>EQ_INDICES</v>
          </cell>
          <cell r="I8568" t="str">
            <v>Equity Implied Volatility</v>
          </cell>
        </row>
        <row r="8569">
          <cell r="A8569" t="str">
            <v>EOPT_VOL_SPX_2_2</v>
          </cell>
          <cell r="B8569" t="str">
            <v>SPX VOL 2M 90</v>
          </cell>
          <cell r="C8569" t="str">
            <v>_BRS_GOLD__5_EQ:BRS_GOLD__1_EQX:EOPT_VOL_SPX_2_2</v>
          </cell>
          <cell r="D8569" t="str">
            <v>Index</v>
          </cell>
          <cell r="E8569" t="str">
            <v>Index Level</v>
          </cell>
          <cell r="F8569" t="str">
            <v>EQ-Equity Implied Volatility</v>
          </cell>
          <cell r="G8569" t="str">
            <v>EQ-Other</v>
          </cell>
          <cell r="H8569" t="str">
            <v>EQ_INDICES</v>
          </cell>
          <cell r="I8569" t="str">
            <v>Equity Implied Volatility</v>
          </cell>
        </row>
        <row r="8570">
          <cell r="A8570" t="str">
            <v>EOPT_VOL_SPX_2_3</v>
          </cell>
          <cell r="B8570" t="str">
            <v>SPX VOL 2M 110</v>
          </cell>
          <cell r="C8570" t="str">
            <v>_BRS_GOLD__5_EQ:BRS_GOLD__1_EQX:EOPT_VOL_SPX_2_3</v>
          </cell>
          <cell r="D8570" t="str">
            <v>Index</v>
          </cell>
          <cell r="E8570" t="str">
            <v>Index Level</v>
          </cell>
          <cell r="F8570" t="str">
            <v>EQ-Equity Implied Volatility</v>
          </cell>
          <cell r="G8570" t="str">
            <v>EQ-Other</v>
          </cell>
          <cell r="H8570" t="str">
            <v>EQ_INDICES</v>
          </cell>
          <cell r="I8570" t="str">
            <v>Equity Implied Volatility</v>
          </cell>
        </row>
        <row r="8571">
          <cell r="A8571" t="str">
            <v>EOPT_VOL_SPX_2_4</v>
          </cell>
          <cell r="B8571" t="str">
            <v>SPX VOL 2M 140</v>
          </cell>
          <cell r="C8571" t="str">
            <v>_BRS_GOLD__5_EQ:BRS_GOLD__1_EQX:EOPT_VOL_SPX_2_4</v>
          </cell>
          <cell r="D8571" t="str">
            <v>Index</v>
          </cell>
          <cell r="E8571" t="str">
            <v>Index Level</v>
          </cell>
          <cell r="F8571" t="str">
            <v>EQ-Equity Implied Volatility</v>
          </cell>
          <cell r="G8571" t="str">
            <v>EQ-Other</v>
          </cell>
          <cell r="H8571" t="str">
            <v>EQ_INDICES</v>
          </cell>
          <cell r="I8571" t="str">
            <v>Equity Implied Volatility</v>
          </cell>
        </row>
        <row r="8572">
          <cell r="A8572" t="str">
            <v>EOPT_VOL_SPX_3_1</v>
          </cell>
          <cell r="B8572" t="str">
            <v>SPX VOL 1Y 60</v>
          </cell>
          <cell r="C8572" t="str">
            <v>_BRS_GOLD__5_EQ:BRS_GOLD__1_EQX:EOPT_VOL_SPX_3_1</v>
          </cell>
          <cell r="D8572" t="str">
            <v>Index</v>
          </cell>
          <cell r="E8572" t="str">
            <v>Index Level</v>
          </cell>
          <cell r="F8572" t="str">
            <v>EQ-Equity Implied Volatility</v>
          </cell>
          <cell r="G8572" t="str">
            <v>EQ-Other</v>
          </cell>
          <cell r="H8572" t="str">
            <v>EQ_INDICES</v>
          </cell>
          <cell r="I8572" t="str">
            <v>Equity Implied Volatility</v>
          </cell>
        </row>
        <row r="8573">
          <cell r="A8573" t="str">
            <v>EOPT_VOL_SPX_3_2</v>
          </cell>
          <cell r="B8573" t="str">
            <v>SPX VOL 1Y 90</v>
          </cell>
          <cell r="C8573" t="str">
            <v>_BRS_GOLD__5_EQ:BRS_GOLD__1_EQX:EOPT_VOL_SPX_3_2</v>
          </cell>
          <cell r="D8573" t="str">
            <v>Index</v>
          </cell>
          <cell r="E8573" t="str">
            <v>Index Level</v>
          </cell>
          <cell r="F8573" t="str">
            <v>EQ-Equity Implied Volatility</v>
          </cell>
          <cell r="G8573" t="str">
            <v>EQ-Other</v>
          </cell>
          <cell r="H8573" t="str">
            <v>EQ_INDICES</v>
          </cell>
          <cell r="I8573" t="str">
            <v>Equity Implied Volatility</v>
          </cell>
        </row>
        <row r="8574">
          <cell r="A8574" t="str">
            <v>EOPT_VOL_SPX_3_3</v>
          </cell>
          <cell r="B8574" t="str">
            <v>SPX VOL 1Y 110</v>
          </cell>
          <cell r="C8574" t="str">
            <v>_BRS_GOLD__5_EQ:BRS_GOLD__1_EQX:EOPT_VOL_SPX_3_3</v>
          </cell>
          <cell r="D8574" t="str">
            <v>Index</v>
          </cell>
          <cell r="E8574" t="str">
            <v>Index Level</v>
          </cell>
          <cell r="F8574" t="str">
            <v>EQ-Equity Implied Volatility</v>
          </cell>
          <cell r="G8574" t="str">
            <v>EQ-Other</v>
          </cell>
          <cell r="H8574" t="str">
            <v>EQ_INDICES</v>
          </cell>
          <cell r="I8574" t="str">
            <v>Equity Implied Volatility</v>
          </cell>
        </row>
        <row r="8575">
          <cell r="A8575" t="str">
            <v>EOPT_VOL_SPX_3_4</v>
          </cell>
          <cell r="B8575" t="str">
            <v>SPX VOL 1Y 140</v>
          </cell>
          <cell r="C8575" t="str">
            <v>_BRS_GOLD__5_EQ:BRS_GOLD__1_EQX:EOPT_VOL_SPX_3_4</v>
          </cell>
          <cell r="D8575" t="str">
            <v>Index</v>
          </cell>
          <cell r="E8575" t="str">
            <v>Index Level</v>
          </cell>
          <cell r="F8575" t="str">
            <v>EQ-Equity Implied Volatility</v>
          </cell>
          <cell r="G8575" t="str">
            <v>EQ-Other</v>
          </cell>
          <cell r="H8575" t="str">
            <v>EQ_INDICES</v>
          </cell>
          <cell r="I8575" t="str">
            <v>Equity Implied Volatility</v>
          </cell>
        </row>
        <row r="8576">
          <cell r="A8576" t="str">
            <v>EOPT_VOL_SPX_4_1</v>
          </cell>
          <cell r="B8576" t="str">
            <v>SPX VOL 5Y 60</v>
          </cell>
          <cell r="C8576" t="str">
            <v>_BRS_GOLD__5_EQ:BRS_GOLD__1_EQX:EOPT_VOL_SPX_4_1</v>
          </cell>
          <cell r="D8576" t="str">
            <v>Index</v>
          </cell>
          <cell r="E8576" t="str">
            <v>Index Level</v>
          </cell>
          <cell r="F8576" t="str">
            <v>EQ-Equity Implied Volatility</v>
          </cell>
          <cell r="G8576" t="str">
            <v>EQ-Other</v>
          </cell>
          <cell r="H8576" t="str">
            <v>EQ_INDICES</v>
          </cell>
          <cell r="I8576" t="str">
            <v>Equity Implied Volatility</v>
          </cell>
        </row>
        <row r="8577">
          <cell r="A8577" t="str">
            <v>EOPT_VOL_SPX_4_2</v>
          </cell>
          <cell r="B8577" t="str">
            <v>SPX VOL 5Y 90</v>
          </cell>
          <cell r="C8577" t="str">
            <v>_BRS_GOLD__5_EQ:BRS_GOLD__1_EQX:EOPT_VOL_SPX_4_2</v>
          </cell>
          <cell r="D8577" t="str">
            <v>Index</v>
          </cell>
          <cell r="E8577" t="str">
            <v>Index Level</v>
          </cell>
          <cell r="F8577" t="str">
            <v>EQ-Equity Implied Volatility</v>
          </cell>
          <cell r="G8577" t="str">
            <v>EQ-Other</v>
          </cell>
          <cell r="H8577" t="str">
            <v>EQ_INDICES</v>
          </cell>
          <cell r="I8577" t="str">
            <v>Equity Implied Volatility</v>
          </cell>
        </row>
        <row r="8578">
          <cell r="A8578" t="str">
            <v>EOPT_VOL_SPX_4_3</v>
          </cell>
          <cell r="B8578" t="str">
            <v>SPX VOL 5Y 110</v>
          </cell>
          <cell r="C8578" t="str">
            <v>_BRS_GOLD__5_EQ:BRS_GOLD__1_EQX:EOPT_VOL_SPX_4_3</v>
          </cell>
          <cell r="D8578" t="str">
            <v>Index</v>
          </cell>
          <cell r="E8578" t="str">
            <v>Index Level</v>
          </cell>
          <cell r="F8578" t="str">
            <v>EQ-Equity Implied Volatility</v>
          </cell>
          <cell r="G8578" t="str">
            <v>EQ-Other</v>
          </cell>
          <cell r="H8578" t="str">
            <v>EQ_INDICES</v>
          </cell>
          <cell r="I8578" t="str">
            <v>Equity Implied Volatility</v>
          </cell>
        </row>
        <row r="8579">
          <cell r="A8579" t="str">
            <v>EOPT_VOL_SPX_4_4</v>
          </cell>
          <cell r="B8579" t="str">
            <v>SPX VOL 5Y 140</v>
          </cell>
          <cell r="C8579" t="str">
            <v>_BRS_GOLD__5_EQ:BRS_GOLD__1_EQX:EOPT_VOL_SPX_4_4</v>
          </cell>
          <cell r="D8579" t="str">
            <v>Index</v>
          </cell>
          <cell r="E8579" t="str">
            <v>Index Level</v>
          </cell>
          <cell r="F8579" t="str">
            <v>EQ-Equity Implied Volatility</v>
          </cell>
          <cell r="G8579" t="str">
            <v>EQ-Other</v>
          </cell>
          <cell r="H8579" t="str">
            <v>EQ_INDICES</v>
          </cell>
          <cell r="I8579" t="str">
            <v>Equity Implied Volatility</v>
          </cell>
        </row>
        <row r="8580">
          <cell r="A8580" t="str">
            <v>EOPT_VOL_FTSE_1_1</v>
          </cell>
          <cell r="B8580" t="str">
            <v>FTSE VOL 2W 60</v>
          </cell>
          <cell r="C8580" t="str">
            <v>_BRS_GOLD__5_EQ:BRS_GOLD__1_EQX:EOPT_VOL_FTSE_1_1</v>
          </cell>
          <cell r="D8580" t="str">
            <v>Index</v>
          </cell>
          <cell r="E8580" t="str">
            <v>Index Level</v>
          </cell>
          <cell r="F8580" t="str">
            <v>EQ-Equity Implied Volatility</v>
          </cell>
          <cell r="G8580" t="str">
            <v>EQ-Other</v>
          </cell>
          <cell r="H8580" t="str">
            <v>EQ_INDICES</v>
          </cell>
          <cell r="I8580" t="str">
            <v>Equity Implied Volatility</v>
          </cell>
        </row>
        <row r="8581">
          <cell r="A8581" t="str">
            <v>EOPT_VOL_FTSE_1_2</v>
          </cell>
          <cell r="B8581" t="str">
            <v>FTSE VOL 2W 90</v>
          </cell>
          <cell r="C8581" t="str">
            <v>_BRS_GOLD__5_EQ:BRS_GOLD__1_EQX:EOPT_VOL_FTSE_1_2</v>
          </cell>
          <cell r="D8581" t="str">
            <v>Index</v>
          </cell>
          <cell r="E8581" t="str">
            <v>Index Level</v>
          </cell>
          <cell r="F8581" t="str">
            <v>EQ-Equity Implied Volatility</v>
          </cell>
          <cell r="G8581" t="str">
            <v>EQ-Other</v>
          </cell>
          <cell r="H8581" t="str">
            <v>EQ_INDICES</v>
          </cell>
          <cell r="I8581" t="str">
            <v>Equity Implied Volatility</v>
          </cell>
        </row>
        <row r="8582">
          <cell r="A8582" t="str">
            <v>EOPT_VOL_FTSE_1_3</v>
          </cell>
          <cell r="B8582" t="str">
            <v>FTSE VOL 2W 110</v>
          </cell>
          <cell r="C8582" t="str">
            <v>_BRS_GOLD__5_EQ:BRS_GOLD__1_EQX:EOPT_VOL_FTSE_1_3</v>
          </cell>
          <cell r="D8582" t="str">
            <v>Index</v>
          </cell>
          <cell r="E8582" t="str">
            <v>Index Level</v>
          </cell>
          <cell r="F8582" t="str">
            <v>EQ-Equity Implied Volatility</v>
          </cell>
          <cell r="G8582" t="str">
            <v>EQ-Other</v>
          </cell>
          <cell r="H8582" t="str">
            <v>EQ_INDICES</v>
          </cell>
          <cell r="I8582" t="str">
            <v>Equity Implied Volatility</v>
          </cell>
        </row>
        <row r="8583">
          <cell r="A8583" t="str">
            <v>EOPT_VOL_FTSE_1_4</v>
          </cell>
          <cell r="B8583" t="str">
            <v>FTSE VOL 2W 140</v>
          </cell>
          <cell r="C8583" t="str">
            <v>_BRS_GOLD__5_EQ:BRS_GOLD__1_EQX:EOPT_VOL_FTSE_1_4</v>
          </cell>
          <cell r="D8583" t="str">
            <v>Index</v>
          </cell>
          <cell r="E8583" t="str">
            <v>Index Level</v>
          </cell>
          <cell r="F8583" t="str">
            <v>EQ-Equity Implied Volatility</v>
          </cell>
          <cell r="G8583" t="str">
            <v>EQ-Other</v>
          </cell>
          <cell r="H8583" t="str">
            <v>EQ_INDICES</v>
          </cell>
          <cell r="I8583" t="str">
            <v>Equity Implied Volatility</v>
          </cell>
        </row>
        <row r="8584">
          <cell r="A8584" t="str">
            <v>EOPT_VOL_FTSE_2_1</v>
          </cell>
          <cell r="B8584" t="str">
            <v>FTSE VOL 2M 60</v>
          </cell>
          <cell r="C8584" t="str">
            <v>_BRS_GOLD__5_EQ:BRS_GOLD__1_EQX:EOPT_VOL_FTSE_2_1</v>
          </cell>
          <cell r="D8584" t="str">
            <v>Index</v>
          </cell>
          <cell r="E8584" t="str">
            <v>Index Level</v>
          </cell>
          <cell r="F8584" t="str">
            <v>EQ-Equity Implied Volatility</v>
          </cell>
          <cell r="G8584" t="str">
            <v>EQ-Other</v>
          </cell>
          <cell r="H8584" t="str">
            <v>EQ_INDICES</v>
          </cell>
          <cell r="I8584" t="str">
            <v>Equity Implied Volatility</v>
          </cell>
        </row>
        <row r="8585">
          <cell r="A8585" t="str">
            <v>EOPT_VOL_FTSE_2_2</v>
          </cell>
          <cell r="B8585" t="str">
            <v>FTSE VOL 2M 90</v>
          </cell>
          <cell r="C8585" t="str">
            <v>_BRS_GOLD__5_EQ:BRS_GOLD__1_EQX:EOPT_VOL_FTSE_2_2</v>
          </cell>
          <cell r="D8585" t="str">
            <v>Index</v>
          </cell>
          <cell r="E8585" t="str">
            <v>Index Level</v>
          </cell>
          <cell r="F8585" t="str">
            <v>EQ-Equity Implied Volatility</v>
          </cell>
          <cell r="G8585" t="str">
            <v>EQ-Other</v>
          </cell>
          <cell r="H8585" t="str">
            <v>EQ_INDICES</v>
          </cell>
          <cell r="I8585" t="str">
            <v>Equity Implied Volatility</v>
          </cell>
        </row>
        <row r="8586">
          <cell r="A8586" t="str">
            <v>EOPT_VOL_FTSE_2_3</v>
          </cell>
          <cell r="B8586" t="str">
            <v>FTSE VOL 2M 110</v>
          </cell>
          <cell r="C8586" t="str">
            <v>_BRS_GOLD__5_EQ:BRS_GOLD__1_EQX:EOPT_VOL_FTSE_2_3</v>
          </cell>
          <cell r="D8586" t="str">
            <v>Index</v>
          </cell>
          <cell r="E8586" t="str">
            <v>Index Level</v>
          </cell>
          <cell r="F8586" t="str">
            <v>EQ-Equity Implied Volatility</v>
          </cell>
          <cell r="G8586" t="str">
            <v>EQ-Other</v>
          </cell>
          <cell r="H8586" t="str">
            <v>EQ_INDICES</v>
          </cell>
          <cell r="I8586" t="str">
            <v>Equity Implied Volatility</v>
          </cell>
        </row>
        <row r="8587">
          <cell r="A8587" t="str">
            <v>EOPT_VOL_FTSE_2_4</v>
          </cell>
          <cell r="B8587" t="str">
            <v>FTSE VOL 2M 140</v>
          </cell>
          <cell r="C8587" t="str">
            <v>_BRS_GOLD__5_EQ:BRS_GOLD__1_EQX:EOPT_VOL_FTSE_2_4</v>
          </cell>
          <cell r="D8587" t="str">
            <v>Index</v>
          </cell>
          <cell r="E8587" t="str">
            <v>Index Level</v>
          </cell>
          <cell r="F8587" t="str">
            <v>EQ-Equity Implied Volatility</v>
          </cell>
          <cell r="G8587" t="str">
            <v>EQ-Other</v>
          </cell>
          <cell r="H8587" t="str">
            <v>EQ_INDICES</v>
          </cell>
          <cell r="I8587" t="str">
            <v>Equity Implied Volatility</v>
          </cell>
        </row>
        <row r="8588">
          <cell r="A8588" t="str">
            <v>EOPT_VOL_FTSE_3_1</v>
          </cell>
          <cell r="B8588" t="str">
            <v>FTSE VOL 1Y 60</v>
          </cell>
          <cell r="C8588" t="str">
            <v>_BRS_GOLD__5_EQ:BRS_GOLD__1_EQX:EOPT_VOL_FTSE_3_1</v>
          </cell>
          <cell r="D8588" t="str">
            <v>Index</v>
          </cell>
          <cell r="E8588" t="str">
            <v>Index Level</v>
          </cell>
          <cell r="F8588" t="str">
            <v>EQ-Equity Implied Volatility</v>
          </cell>
          <cell r="G8588" t="str">
            <v>EQ-Other</v>
          </cell>
          <cell r="H8588" t="str">
            <v>EQ_INDICES</v>
          </cell>
          <cell r="I8588" t="str">
            <v>Equity Implied Volatility</v>
          </cell>
        </row>
        <row r="8589">
          <cell r="A8589" t="str">
            <v>EOPT_VOL_FTSE_3_2</v>
          </cell>
          <cell r="B8589" t="str">
            <v>FTSE VOL 1Y 90</v>
          </cell>
          <cell r="C8589" t="str">
            <v>_BRS_GOLD__5_EQ:BRS_GOLD__1_EQX:EOPT_VOL_FTSE_3_2</v>
          </cell>
          <cell r="D8589" t="str">
            <v>Index</v>
          </cell>
          <cell r="E8589" t="str">
            <v>Index Level</v>
          </cell>
          <cell r="F8589" t="str">
            <v>EQ-Equity Implied Volatility</v>
          </cell>
          <cell r="G8589" t="str">
            <v>EQ-Other</v>
          </cell>
          <cell r="H8589" t="str">
            <v>EQ_INDICES</v>
          </cell>
          <cell r="I8589" t="str">
            <v>Equity Implied Volatility</v>
          </cell>
        </row>
        <row r="8590">
          <cell r="A8590" t="str">
            <v>EOPT_VOL_FTSE_3_3</v>
          </cell>
          <cell r="B8590" t="str">
            <v>FTSE VOL 1Y 110</v>
          </cell>
          <cell r="C8590" t="str">
            <v>_BRS_GOLD__5_EQ:BRS_GOLD__1_EQX:EOPT_VOL_FTSE_3_3</v>
          </cell>
          <cell r="D8590" t="str">
            <v>Index</v>
          </cell>
          <cell r="E8590" t="str">
            <v>Index Level</v>
          </cell>
          <cell r="F8590" t="str">
            <v>EQ-Equity Implied Volatility</v>
          </cell>
          <cell r="G8590" t="str">
            <v>EQ-Other</v>
          </cell>
          <cell r="H8590" t="str">
            <v>EQ_INDICES</v>
          </cell>
          <cell r="I8590" t="str">
            <v>Equity Implied Volatility</v>
          </cell>
        </row>
        <row r="8591">
          <cell r="A8591" t="str">
            <v>EOPT_VOL_FTSE_3_4</v>
          </cell>
          <cell r="B8591" t="str">
            <v>FTSE VOL 1Y 140</v>
          </cell>
          <cell r="C8591" t="str">
            <v>_BRS_GOLD__5_EQ:BRS_GOLD__1_EQX:EOPT_VOL_FTSE_3_4</v>
          </cell>
          <cell r="D8591" t="str">
            <v>Index</v>
          </cell>
          <cell r="E8591" t="str">
            <v>Index Level</v>
          </cell>
          <cell r="F8591" t="str">
            <v>EQ-Equity Implied Volatility</v>
          </cell>
          <cell r="G8591" t="str">
            <v>EQ-Other</v>
          </cell>
          <cell r="H8591" t="str">
            <v>EQ_INDICES</v>
          </cell>
          <cell r="I8591" t="str">
            <v>Equity Implied Volatility</v>
          </cell>
        </row>
        <row r="8592">
          <cell r="A8592" t="str">
            <v>EOPT_VOL_FTSE_4_1</v>
          </cell>
          <cell r="B8592" t="str">
            <v>FTSE VOL 5Y 60</v>
          </cell>
          <cell r="C8592" t="str">
            <v>_BRS_GOLD__5_EQ:BRS_GOLD__1_EQX:EOPT_VOL_FTSE_4_1</v>
          </cell>
          <cell r="D8592" t="str">
            <v>Index</v>
          </cell>
          <cell r="E8592" t="str">
            <v>Index Level</v>
          </cell>
          <cell r="F8592" t="str">
            <v>EQ-Equity Implied Volatility</v>
          </cell>
          <cell r="G8592" t="str">
            <v>EQ-Other</v>
          </cell>
          <cell r="H8592" t="str">
            <v>EQ_INDICES</v>
          </cell>
          <cell r="I8592" t="str">
            <v>Equity Implied Volatility</v>
          </cell>
        </row>
        <row r="8593">
          <cell r="A8593" t="str">
            <v>EOPT_VOL_FTSE_4_2</v>
          </cell>
          <cell r="B8593" t="str">
            <v>FTSE VOL 5Y 90</v>
          </cell>
          <cell r="C8593" t="str">
            <v>_BRS_GOLD__5_EQ:BRS_GOLD__1_EQX:EOPT_VOL_FTSE_4_2</v>
          </cell>
          <cell r="D8593" t="str">
            <v>Index</v>
          </cell>
          <cell r="E8593" t="str">
            <v>Index Level</v>
          </cell>
          <cell r="F8593" t="str">
            <v>EQ-Equity Implied Volatility</v>
          </cell>
          <cell r="G8593" t="str">
            <v>EQ-Other</v>
          </cell>
          <cell r="H8593" t="str">
            <v>EQ_INDICES</v>
          </cell>
          <cell r="I8593" t="str">
            <v>Equity Implied Volatility</v>
          </cell>
        </row>
        <row r="8594">
          <cell r="A8594" t="str">
            <v>EOPT_VOL_FTSE_4_3</v>
          </cell>
          <cell r="B8594" t="str">
            <v>FTSE VOL 5Y 110</v>
          </cell>
          <cell r="C8594" t="str">
            <v>_BRS_GOLD__5_EQ:BRS_GOLD__1_EQX:EOPT_VOL_FTSE_4_3</v>
          </cell>
          <cell r="D8594" t="str">
            <v>Index</v>
          </cell>
          <cell r="E8594" t="str">
            <v>Index Level</v>
          </cell>
          <cell r="F8594" t="str">
            <v>EQ-Equity Implied Volatility</v>
          </cell>
          <cell r="G8594" t="str">
            <v>EQ-Other</v>
          </cell>
          <cell r="H8594" t="str">
            <v>EQ_INDICES</v>
          </cell>
          <cell r="I8594" t="str">
            <v>Equity Implied Volatility</v>
          </cell>
        </row>
        <row r="8595">
          <cell r="A8595" t="str">
            <v>EOPT_VOL_FTSE_4_4</v>
          </cell>
          <cell r="B8595" t="str">
            <v>FTSE VOL 5Y 140</v>
          </cell>
          <cell r="C8595" t="str">
            <v>_BRS_GOLD__5_EQ:BRS_GOLD__1_EQX:EOPT_VOL_FTSE_4_4</v>
          </cell>
          <cell r="D8595" t="str">
            <v>Index</v>
          </cell>
          <cell r="E8595" t="str">
            <v>Index Level</v>
          </cell>
          <cell r="F8595" t="str">
            <v>EQ-Equity Implied Volatility</v>
          </cell>
          <cell r="G8595" t="str">
            <v>EQ-Other</v>
          </cell>
          <cell r="H8595" t="str">
            <v>EQ_INDICES</v>
          </cell>
          <cell r="I8595" t="str">
            <v>Equity Implied Volatility</v>
          </cell>
        </row>
        <row r="8596">
          <cell r="A8596" t="str">
            <v>EOPT_VOL_STOXX_1_1</v>
          </cell>
          <cell r="B8596" t="str">
            <v>STOXX VOL 2W 60</v>
          </cell>
          <cell r="C8596" t="str">
            <v>_BRS_GOLD__5_EQ:BRS_GOLD__1_EQX:EOPT_VOL_STOXX_1_1</v>
          </cell>
          <cell r="D8596" t="str">
            <v>Index</v>
          </cell>
          <cell r="E8596" t="str">
            <v>Index Level</v>
          </cell>
          <cell r="F8596" t="str">
            <v>EQ-Equity Implied Volatility</v>
          </cell>
          <cell r="G8596" t="str">
            <v>EQ-Other</v>
          </cell>
          <cell r="H8596" t="str">
            <v>EQ_INDICES</v>
          </cell>
          <cell r="I8596" t="str">
            <v>Equity Implied Volatility</v>
          </cell>
        </row>
        <row r="8597">
          <cell r="A8597" t="str">
            <v>EOPT_VOL_STOXX_1_2</v>
          </cell>
          <cell r="B8597" t="str">
            <v>STOXX VOL 2W 90</v>
          </cell>
          <cell r="C8597" t="str">
            <v>_BRS_GOLD__5_EQ:BRS_GOLD__1_EQX:EOPT_VOL_STOXX_1_2</v>
          </cell>
          <cell r="D8597" t="str">
            <v>Index</v>
          </cell>
          <cell r="E8597" t="str">
            <v>Index Level</v>
          </cell>
          <cell r="F8597" t="str">
            <v>EQ-Equity Implied Volatility</v>
          </cell>
          <cell r="G8597" t="str">
            <v>EQ-Other</v>
          </cell>
          <cell r="H8597" t="str">
            <v>EQ_INDICES</v>
          </cell>
          <cell r="I8597" t="str">
            <v>Equity Implied Volatility</v>
          </cell>
        </row>
        <row r="8598">
          <cell r="A8598" t="str">
            <v>EOPT_VOL_STOXX_1_3</v>
          </cell>
          <cell r="B8598" t="str">
            <v>STOXX VOL 2W 110</v>
          </cell>
          <cell r="C8598" t="str">
            <v>_BRS_GOLD__5_EQ:BRS_GOLD__1_EQX:EOPT_VOL_STOXX_1_3</v>
          </cell>
          <cell r="D8598" t="str">
            <v>Index</v>
          </cell>
          <cell r="E8598" t="str">
            <v>Index Level</v>
          </cell>
          <cell r="F8598" t="str">
            <v>EQ-Equity Implied Volatility</v>
          </cell>
          <cell r="G8598" t="str">
            <v>EQ-Other</v>
          </cell>
          <cell r="H8598" t="str">
            <v>EQ_INDICES</v>
          </cell>
          <cell r="I8598" t="str">
            <v>Equity Implied Volatility</v>
          </cell>
        </row>
        <row r="8599">
          <cell r="A8599" t="str">
            <v>EOPT_VOL_STOXX_1_4</v>
          </cell>
          <cell r="B8599" t="str">
            <v>STOXX VOL 2W 140</v>
          </cell>
          <cell r="C8599" t="str">
            <v>_BRS_GOLD__5_EQ:BRS_GOLD__1_EQX:EOPT_VOL_STOXX_1_4</v>
          </cell>
          <cell r="D8599" t="str">
            <v>Index</v>
          </cell>
          <cell r="E8599" t="str">
            <v>Index Level</v>
          </cell>
          <cell r="F8599" t="str">
            <v>EQ-Equity Implied Volatility</v>
          </cell>
          <cell r="G8599" t="str">
            <v>EQ-Other</v>
          </cell>
          <cell r="H8599" t="str">
            <v>EQ_INDICES</v>
          </cell>
          <cell r="I8599" t="str">
            <v>Equity Implied Volatility</v>
          </cell>
        </row>
        <row r="8600">
          <cell r="A8600" t="str">
            <v>EOPT_VOL_STOXX_2_1</v>
          </cell>
          <cell r="B8600" t="str">
            <v>STOXX VOL 2M 60</v>
          </cell>
          <cell r="C8600" t="str">
            <v>_BRS_GOLD__5_EQ:BRS_GOLD__1_EQX:EOPT_VOL_STOXX_2_1</v>
          </cell>
          <cell r="D8600" t="str">
            <v>Index</v>
          </cell>
          <cell r="E8600" t="str">
            <v>Index Level</v>
          </cell>
          <cell r="F8600" t="str">
            <v>EQ-Equity Implied Volatility</v>
          </cell>
          <cell r="G8600" t="str">
            <v>EQ-Other</v>
          </cell>
          <cell r="H8600" t="str">
            <v>EQ_INDICES</v>
          </cell>
          <cell r="I8600" t="str">
            <v>Equity Implied Volatility</v>
          </cell>
        </row>
        <row r="8601">
          <cell r="A8601" t="str">
            <v>EOPT_VOL_STOXX_2_2</v>
          </cell>
          <cell r="B8601" t="str">
            <v>STOXX VOL 2M 90</v>
          </cell>
          <cell r="C8601" t="str">
            <v>_BRS_GOLD__5_EQ:BRS_GOLD__1_EQX:EOPT_VOL_STOXX_2_2</v>
          </cell>
          <cell r="D8601" t="str">
            <v>Index</v>
          </cell>
          <cell r="E8601" t="str">
            <v>Index Level</v>
          </cell>
          <cell r="F8601" t="str">
            <v>EQ-Equity Implied Volatility</v>
          </cell>
          <cell r="G8601" t="str">
            <v>EQ-Other</v>
          </cell>
          <cell r="H8601" t="str">
            <v>EQ_INDICES</v>
          </cell>
          <cell r="I8601" t="str">
            <v>Equity Implied Volatility</v>
          </cell>
        </row>
        <row r="8602">
          <cell r="A8602" t="str">
            <v>EOPT_VOL_STOXX_2_3</v>
          </cell>
          <cell r="B8602" t="str">
            <v>STOXX VOL 2M 110</v>
          </cell>
          <cell r="C8602" t="str">
            <v>_BRS_GOLD__5_EQ:BRS_GOLD__1_EQX:EOPT_VOL_STOXX_2_3</v>
          </cell>
          <cell r="D8602" t="str">
            <v>Index</v>
          </cell>
          <cell r="E8602" t="str">
            <v>Index Level</v>
          </cell>
          <cell r="F8602" t="str">
            <v>EQ-Equity Implied Volatility</v>
          </cell>
          <cell r="G8602" t="str">
            <v>EQ-Other</v>
          </cell>
          <cell r="H8602" t="str">
            <v>EQ_INDICES</v>
          </cell>
          <cell r="I8602" t="str">
            <v>Equity Implied Volatility</v>
          </cell>
        </row>
        <row r="8603">
          <cell r="A8603" t="str">
            <v>EOPT_VOL_STOXX_2_4</v>
          </cell>
          <cell r="B8603" t="str">
            <v>STOXX VOL 2M 140</v>
          </cell>
          <cell r="C8603" t="str">
            <v>_BRS_GOLD__5_EQ:BRS_GOLD__1_EQX:EOPT_VOL_STOXX_2_4</v>
          </cell>
          <cell r="D8603" t="str">
            <v>Index</v>
          </cell>
          <cell r="E8603" t="str">
            <v>Index Level</v>
          </cell>
          <cell r="F8603" t="str">
            <v>EQ-Equity Implied Volatility</v>
          </cell>
          <cell r="G8603" t="str">
            <v>EQ-Other</v>
          </cell>
          <cell r="H8603" t="str">
            <v>EQ_INDICES</v>
          </cell>
          <cell r="I8603" t="str">
            <v>Equity Implied Volatility</v>
          </cell>
        </row>
        <row r="8604">
          <cell r="A8604" t="str">
            <v>EOPT_VOL_STOXX_3_1</v>
          </cell>
          <cell r="B8604" t="str">
            <v>STOXX VOL 1Y 60</v>
          </cell>
          <cell r="C8604" t="str">
            <v>_BRS_GOLD__5_EQ:BRS_GOLD__1_EQX:EOPT_VOL_STOXX_3_1</v>
          </cell>
          <cell r="D8604" t="str">
            <v>Index</v>
          </cell>
          <cell r="E8604" t="str">
            <v>Index Level</v>
          </cell>
          <cell r="F8604" t="str">
            <v>EQ-Equity Implied Volatility</v>
          </cell>
          <cell r="G8604" t="str">
            <v>EQ-Other</v>
          </cell>
          <cell r="H8604" t="str">
            <v>EQ_INDICES</v>
          </cell>
          <cell r="I8604" t="str">
            <v>Equity Implied Volatility</v>
          </cell>
        </row>
        <row r="8605">
          <cell r="A8605" t="str">
            <v>EOPT_VOL_STOXX_3_2</v>
          </cell>
          <cell r="B8605" t="str">
            <v>STOXX VOL 1Y 90</v>
          </cell>
          <cell r="C8605" t="str">
            <v>_BRS_GOLD__5_EQ:BRS_GOLD__1_EQX:EOPT_VOL_STOXX_3_2</v>
          </cell>
          <cell r="D8605" t="str">
            <v>Index</v>
          </cell>
          <cell r="E8605" t="str">
            <v>Index Level</v>
          </cell>
          <cell r="F8605" t="str">
            <v>EQ-Equity Implied Volatility</v>
          </cell>
          <cell r="G8605" t="str">
            <v>EQ-Other</v>
          </cell>
          <cell r="H8605" t="str">
            <v>EQ_INDICES</v>
          </cell>
          <cell r="I8605" t="str">
            <v>Equity Implied Volatility</v>
          </cell>
        </row>
        <row r="8606">
          <cell r="A8606" t="str">
            <v>EOPT_VOL_STOXX_3_3</v>
          </cell>
          <cell r="B8606" t="str">
            <v>STOXX VOL 1Y 110</v>
          </cell>
          <cell r="C8606" t="str">
            <v>_BRS_GOLD__5_EQ:BRS_GOLD__1_EQX:EOPT_VOL_STOXX_3_3</v>
          </cell>
          <cell r="D8606" t="str">
            <v>Index</v>
          </cell>
          <cell r="E8606" t="str">
            <v>Index Level</v>
          </cell>
          <cell r="F8606" t="str">
            <v>EQ-Equity Implied Volatility</v>
          </cell>
          <cell r="G8606" t="str">
            <v>EQ-Other</v>
          </cell>
          <cell r="H8606" t="str">
            <v>EQ_INDICES</v>
          </cell>
          <cell r="I8606" t="str">
            <v>Equity Implied Volatility</v>
          </cell>
        </row>
        <row r="8607">
          <cell r="A8607" t="str">
            <v>EOPT_VOL_STOXX_3_4</v>
          </cell>
          <cell r="B8607" t="str">
            <v>STOXX VOL 1Y 140</v>
          </cell>
          <cell r="C8607" t="str">
            <v>_BRS_GOLD__5_EQ:BRS_GOLD__1_EQX:EOPT_VOL_STOXX_3_4</v>
          </cell>
          <cell r="D8607" t="str">
            <v>Index</v>
          </cell>
          <cell r="E8607" t="str">
            <v>Index Level</v>
          </cell>
          <cell r="F8607" t="str">
            <v>EQ-Equity Implied Volatility</v>
          </cell>
          <cell r="G8607" t="str">
            <v>EQ-Other</v>
          </cell>
          <cell r="H8607" t="str">
            <v>EQ_INDICES</v>
          </cell>
          <cell r="I8607" t="str">
            <v>Equity Implied Volatility</v>
          </cell>
        </row>
        <row r="8608">
          <cell r="A8608" t="str">
            <v>EOPT_VOL_STOXX_4_1</v>
          </cell>
          <cell r="B8608" t="str">
            <v>STOXX VOL 5Y 60</v>
          </cell>
          <cell r="C8608" t="str">
            <v>_BRS_GOLD__5_EQ:BRS_GOLD__1_EQX:EOPT_VOL_STOXX_4_1</v>
          </cell>
          <cell r="D8608" t="str">
            <v>Index</v>
          </cell>
          <cell r="E8608" t="str">
            <v>Index Level</v>
          </cell>
          <cell r="F8608" t="str">
            <v>EQ-Equity Implied Volatility</v>
          </cell>
          <cell r="G8608" t="str">
            <v>EQ-Other</v>
          </cell>
          <cell r="H8608" t="str">
            <v>EQ_INDICES</v>
          </cell>
          <cell r="I8608" t="str">
            <v>Equity Implied Volatility</v>
          </cell>
        </row>
        <row r="8609">
          <cell r="A8609" t="str">
            <v>EOPT_VOL_STOXX_4_2</v>
          </cell>
          <cell r="B8609" t="str">
            <v>STOXX VOL 5Y 90</v>
          </cell>
          <cell r="C8609" t="str">
            <v>_BRS_GOLD__5_EQ:BRS_GOLD__1_EQX:EOPT_VOL_STOXX_4_2</v>
          </cell>
          <cell r="D8609" t="str">
            <v>Index</v>
          </cell>
          <cell r="E8609" t="str">
            <v>Index Level</v>
          </cell>
          <cell r="F8609" t="str">
            <v>EQ-Equity Implied Volatility</v>
          </cell>
          <cell r="G8609" t="str">
            <v>EQ-Other</v>
          </cell>
          <cell r="H8609" t="str">
            <v>EQ_INDICES</v>
          </cell>
          <cell r="I8609" t="str">
            <v>Equity Implied Volatility</v>
          </cell>
        </row>
        <row r="8610">
          <cell r="A8610" t="str">
            <v>EOPT_VOL_STOXX_4_3</v>
          </cell>
          <cell r="B8610" t="str">
            <v>STOXX VOL 5Y 110</v>
          </cell>
          <cell r="C8610" t="str">
            <v>_BRS_GOLD__5_EQ:BRS_GOLD__1_EQX:EOPT_VOL_STOXX_4_3</v>
          </cell>
          <cell r="D8610" t="str">
            <v>Index</v>
          </cell>
          <cell r="E8610" t="str">
            <v>Index Level</v>
          </cell>
          <cell r="F8610" t="str">
            <v>EQ-Equity Implied Volatility</v>
          </cell>
          <cell r="G8610" t="str">
            <v>EQ-Other</v>
          </cell>
          <cell r="H8610" t="str">
            <v>EQ_INDICES</v>
          </cell>
          <cell r="I8610" t="str">
            <v>Equity Implied Volatility</v>
          </cell>
        </row>
        <row r="8611">
          <cell r="A8611" t="str">
            <v>EOPT_VOL_STOXX_4_4</v>
          </cell>
          <cell r="B8611" t="str">
            <v>STOXX VOL 5Y 140</v>
          </cell>
          <cell r="C8611" t="str">
            <v>_BRS_GOLD__5_EQ:BRS_GOLD__1_EQX:EOPT_VOL_STOXX_4_4</v>
          </cell>
          <cell r="D8611" t="str">
            <v>Index</v>
          </cell>
          <cell r="E8611" t="str">
            <v>Index Level</v>
          </cell>
          <cell r="F8611" t="str">
            <v>EQ-Equity Implied Volatility</v>
          </cell>
          <cell r="G8611" t="str">
            <v>EQ-Other</v>
          </cell>
          <cell r="H8611" t="str">
            <v>EQ_INDICES</v>
          </cell>
          <cell r="I8611" t="str">
            <v>Equity Implied Volatility</v>
          </cell>
        </row>
        <row r="8612">
          <cell r="A8612" t="str">
            <v>EOPT_VOL_KOSPI_1_1</v>
          </cell>
          <cell r="B8612" t="str">
            <v>KOSPI VOL 2W 60</v>
          </cell>
          <cell r="C8612" t="str">
            <v>_BRS_GOLD__5_EQ:BRS_GOLD__1_EQX:EOPT_VOL_KOSPI_1_1</v>
          </cell>
          <cell r="D8612" t="str">
            <v>Index</v>
          </cell>
          <cell r="E8612" t="str">
            <v>Index Level</v>
          </cell>
          <cell r="F8612" t="str">
            <v>EQ-Equity Implied Volatility</v>
          </cell>
          <cell r="G8612" t="str">
            <v>EQ-Other</v>
          </cell>
          <cell r="H8612" t="str">
            <v>EQ_INDICES</v>
          </cell>
          <cell r="I8612" t="str">
            <v>Equity Implied Volatility</v>
          </cell>
        </row>
        <row r="8613">
          <cell r="A8613" t="str">
            <v>EOPT_VOL_KOSPI_1_2</v>
          </cell>
          <cell r="B8613" t="str">
            <v>KOSPI VOL 2W 90</v>
          </cell>
          <cell r="C8613" t="str">
            <v>_BRS_GOLD__5_EQ:BRS_GOLD__1_EQX:EOPT_VOL_KOSPI_1_2</v>
          </cell>
          <cell r="D8613" t="str">
            <v>Index</v>
          </cell>
          <cell r="E8613" t="str">
            <v>Index Level</v>
          </cell>
          <cell r="F8613" t="str">
            <v>EQ-Equity Implied Volatility</v>
          </cell>
          <cell r="G8613" t="str">
            <v>EQ-Other</v>
          </cell>
          <cell r="H8613" t="str">
            <v>EQ_INDICES</v>
          </cell>
          <cell r="I8613" t="str">
            <v>Equity Implied Volatility</v>
          </cell>
        </row>
        <row r="8614">
          <cell r="A8614" t="str">
            <v>EOPT_VOL_KOSPI_1_3</v>
          </cell>
          <cell r="B8614" t="str">
            <v>KOSPI VOL 2W 110</v>
          </cell>
          <cell r="C8614" t="str">
            <v>_BRS_GOLD__5_EQ:BRS_GOLD__1_EQX:EOPT_VOL_KOSPI_1_3</v>
          </cell>
          <cell r="D8614" t="str">
            <v>Index</v>
          </cell>
          <cell r="E8614" t="str">
            <v>Index Level</v>
          </cell>
          <cell r="F8614" t="str">
            <v>EQ-Equity Implied Volatility</v>
          </cell>
          <cell r="G8614" t="str">
            <v>EQ-Other</v>
          </cell>
          <cell r="H8614" t="str">
            <v>EQ_INDICES</v>
          </cell>
          <cell r="I8614" t="str">
            <v>Equity Implied Volatility</v>
          </cell>
        </row>
        <row r="8615">
          <cell r="A8615" t="str">
            <v>EOPT_VOL_KOSPI_1_4</v>
          </cell>
          <cell r="B8615" t="str">
            <v>KOSPI VOL 2W 140</v>
          </cell>
          <cell r="C8615" t="str">
            <v>_BRS_GOLD__5_EQ:BRS_GOLD__1_EQX:EOPT_VOL_KOSPI_1_4</v>
          </cell>
          <cell r="D8615" t="str">
            <v>Index</v>
          </cell>
          <cell r="E8615" t="str">
            <v>Index Level</v>
          </cell>
          <cell r="F8615" t="str">
            <v>EQ-Equity Implied Volatility</v>
          </cell>
          <cell r="G8615" t="str">
            <v>EQ-Other</v>
          </cell>
          <cell r="H8615" t="str">
            <v>EQ_INDICES</v>
          </cell>
          <cell r="I8615" t="str">
            <v>Equity Implied Volatility</v>
          </cell>
        </row>
        <row r="8616">
          <cell r="A8616" t="str">
            <v>EOPT_VOL_KOSPI_2_1</v>
          </cell>
          <cell r="B8616" t="str">
            <v>KOSPI VOL 2M 60</v>
          </cell>
          <cell r="C8616" t="str">
            <v>_BRS_GOLD__5_EQ:BRS_GOLD__1_EQX:EOPT_VOL_KOSPI_2_1</v>
          </cell>
          <cell r="D8616" t="str">
            <v>Index</v>
          </cell>
          <cell r="E8616" t="str">
            <v>Index Level</v>
          </cell>
          <cell r="F8616" t="str">
            <v>EQ-Equity Implied Volatility</v>
          </cell>
          <cell r="G8616" t="str">
            <v>EQ-Other</v>
          </cell>
          <cell r="H8616" t="str">
            <v>EQ_INDICES</v>
          </cell>
          <cell r="I8616" t="str">
            <v>Equity Implied Volatility</v>
          </cell>
        </row>
        <row r="8617">
          <cell r="A8617" t="str">
            <v>EOPT_VOL_KOSPI_2_2</v>
          </cell>
          <cell r="B8617" t="str">
            <v>KOSPI VOL 2M 90</v>
          </cell>
          <cell r="C8617" t="str">
            <v>_BRS_GOLD__5_EQ:BRS_GOLD__1_EQX:EOPT_VOL_KOSPI_2_2</v>
          </cell>
          <cell r="D8617" t="str">
            <v>Index</v>
          </cell>
          <cell r="E8617" t="str">
            <v>Index Level</v>
          </cell>
          <cell r="F8617" t="str">
            <v>EQ-Equity Implied Volatility</v>
          </cell>
          <cell r="G8617" t="str">
            <v>EQ-Other</v>
          </cell>
          <cell r="H8617" t="str">
            <v>EQ_INDICES</v>
          </cell>
          <cell r="I8617" t="str">
            <v>Equity Implied Volatility</v>
          </cell>
        </row>
        <row r="8618">
          <cell r="A8618" t="str">
            <v>EOPT_VOL_KOSPI_2_3</v>
          </cell>
          <cell r="B8618" t="str">
            <v>KOSPI VOL 2M 110</v>
          </cell>
          <cell r="C8618" t="str">
            <v>_BRS_GOLD__5_EQ:BRS_GOLD__1_EQX:EOPT_VOL_KOSPI_2_3</v>
          </cell>
          <cell r="D8618" t="str">
            <v>Index</v>
          </cell>
          <cell r="E8618" t="str">
            <v>Index Level</v>
          </cell>
          <cell r="F8618" t="str">
            <v>EQ-Equity Implied Volatility</v>
          </cell>
          <cell r="G8618" t="str">
            <v>EQ-Other</v>
          </cell>
          <cell r="H8618" t="str">
            <v>EQ_INDICES</v>
          </cell>
          <cell r="I8618" t="str">
            <v>Equity Implied Volatility</v>
          </cell>
        </row>
        <row r="8619">
          <cell r="A8619" t="str">
            <v>EOPT_VOL_KOSPI_2_4</v>
          </cell>
          <cell r="B8619" t="str">
            <v>KOSPI VOL 2M 140</v>
          </cell>
          <cell r="C8619" t="str">
            <v>_BRS_GOLD__5_EQ:BRS_GOLD__1_EQX:EOPT_VOL_KOSPI_2_4</v>
          </cell>
          <cell r="D8619" t="str">
            <v>Index</v>
          </cell>
          <cell r="E8619" t="str">
            <v>Index Level</v>
          </cell>
          <cell r="F8619" t="str">
            <v>EQ-Equity Implied Volatility</v>
          </cell>
          <cell r="G8619" t="str">
            <v>EQ-Other</v>
          </cell>
          <cell r="H8619" t="str">
            <v>EQ_INDICES</v>
          </cell>
          <cell r="I8619" t="str">
            <v>Equity Implied Volatility</v>
          </cell>
        </row>
        <row r="8620">
          <cell r="A8620" t="str">
            <v>EOPT_VOL_KOSPI_3_1</v>
          </cell>
          <cell r="B8620" t="str">
            <v>KOSPI VOL 1Y 60</v>
          </cell>
          <cell r="C8620" t="str">
            <v>_BRS_GOLD__5_EQ:BRS_GOLD__1_EQX:EOPT_VOL_KOSPI_3_1</v>
          </cell>
          <cell r="D8620" t="str">
            <v>Index</v>
          </cell>
          <cell r="E8620" t="str">
            <v>Index Level</v>
          </cell>
          <cell r="F8620" t="str">
            <v>EQ-Equity Implied Volatility</v>
          </cell>
          <cell r="G8620" t="str">
            <v>EQ-Other</v>
          </cell>
          <cell r="H8620" t="str">
            <v>EQ_INDICES</v>
          </cell>
          <cell r="I8620" t="str">
            <v>Equity Implied Volatility</v>
          </cell>
        </row>
        <row r="8621">
          <cell r="A8621" t="str">
            <v>EOPT_VOL_KOSPI_3_2</v>
          </cell>
          <cell r="B8621" t="str">
            <v>KOSPI VOL 1Y 90</v>
          </cell>
          <cell r="C8621" t="str">
            <v>_BRS_GOLD__5_EQ:BRS_GOLD__1_EQX:EOPT_VOL_KOSPI_3_2</v>
          </cell>
          <cell r="D8621" t="str">
            <v>Index</v>
          </cell>
          <cell r="E8621" t="str">
            <v>Index Level</v>
          </cell>
          <cell r="F8621" t="str">
            <v>EQ-Equity Implied Volatility</v>
          </cell>
          <cell r="G8621" t="str">
            <v>EQ-Other</v>
          </cell>
          <cell r="H8621" t="str">
            <v>EQ_INDICES</v>
          </cell>
          <cell r="I8621" t="str">
            <v>Equity Implied Volatility</v>
          </cell>
        </row>
        <row r="8622">
          <cell r="A8622" t="str">
            <v>EOPT_VOL_KOSPI_3_3</v>
          </cell>
          <cell r="B8622" t="str">
            <v>KOSPI VOL 1Y 110</v>
          </cell>
          <cell r="C8622" t="str">
            <v>Equity Indices:KOSPI VOL 1Y 110</v>
          </cell>
          <cell r="D8622" t="str">
            <v>Index</v>
          </cell>
          <cell r="E8622" t="str">
            <v>Index Level</v>
          </cell>
          <cell r="F8622" t="str">
            <v>EQ-Equity Implied Volatility</v>
          </cell>
          <cell r="G8622" t="str">
            <v>EQ-Other</v>
          </cell>
          <cell r="H8622" t="str">
            <v>EQ_INDICES</v>
          </cell>
          <cell r="I8622" t="str">
            <v>Equity Implied Volatility</v>
          </cell>
        </row>
        <row r="8623">
          <cell r="A8623" t="str">
            <v>EOPT_VOL_KOSPI_3_4</v>
          </cell>
          <cell r="B8623" t="str">
            <v>KOSPI VOL 1Y 140</v>
          </cell>
          <cell r="C8623" t="str">
            <v>_BRS_GOLD__5_EQ:BRS_GOLD__1_EQX:EOPT_VOL_KOSPI_3_4</v>
          </cell>
          <cell r="D8623" t="str">
            <v>Index</v>
          </cell>
          <cell r="E8623" t="str">
            <v>Index Level</v>
          </cell>
          <cell r="F8623" t="str">
            <v>EQ-Equity Implied Volatility</v>
          </cell>
          <cell r="G8623" t="str">
            <v>EQ-Other</v>
          </cell>
          <cell r="H8623" t="str">
            <v>EQ_INDICES</v>
          </cell>
          <cell r="I8623" t="str">
            <v>Equity Implied Volatility</v>
          </cell>
        </row>
        <row r="8624">
          <cell r="A8624" t="str">
            <v>EOPT_VOL_KOSPI_4_1</v>
          </cell>
          <cell r="B8624" t="str">
            <v>KOSPI VOL 5Y 60</v>
          </cell>
          <cell r="C8624" t="str">
            <v>_BRS_GOLD__5_EQ:BRS_GOLD__1_EQX:EOPT_VOL_KOSPI_4_1</v>
          </cell>
          <cell r="D8624" t="str">
            <v>Index</v>
          </cell>
          <cell r="E8624" t="str">
            <v>Index Level</v>
          </cell>
          <cell r="F8624" t="str">
            <v>EQ-Equity Implied Volatility</v>
          </cell>
          <cell r="G8624" t="str">
            <v>EQ-Other</v>
          </cell>
          <cell r="H8624" t="str">
            <v>EQ_INDICES</v>
          </cell>
          <cell r="I8624" t="str">
            <v>Equity Implied Volatility</v>
          </cell>
        </row>
        <row r="8625">
          <cell r="A8625" t="str">
            <v>EOPT_VOL_KOSPI_4_2</v>
          </cell>
          <cell r="B8625" t="str">
            <v>KOSPI VOL 5Y 90</v>
          </cell>
          <cell r="C8625" t="str">
            <v>_BRS_GOLD__5_EQ:BRS_GOLD__1_EQX:EOPT_VOL_KOSPI_4_2</v>
          </cell>
          <cell r="D8625" t="str">
            <v>Index</v>
          </cell>
          <cell r="E8625" t="str">
            <v>Index Level</v>
          </cell>
          <cell r="F8625" t="str">
            <v>EQ-Equity Implied Volatility</v>
          </cell>
          <cell r="G8625" t="str">
            <v>EQ-Other</v>
          </cell>
          <cell r="H8625" t="str">
            <v>EQ_INDICES</v>
          </cell>
          <cell r="I8625" t="str">
            <v>Equity Implied Volatility</v>
          </cell>
        </row>
        <row r="8626">
          <cell r="A8626" t="str">
            <v>EOPT_VOL_KOSPI_4_3</v>
          </cell>
          <cell r="B8626" t="str">
            <v>KOSPI VOL 5Y 110</v>
          </cell>
          <cell r="C8626" t="str">
            <v>_BRS_GOLD__5_EQ:BRS_GOLD__1_EQX:EOPT_VOL_KOSPI_4_3</v>
          </cell>
          <cell r="D8626" t="str">
            <v>Index</v>
          </cell>
          <cell r="E8626" t="str">
            <v>Index Level</v>
          </cell>
          <cell r="F8626" t="str">
            <v>EQ-Equity Implied Volatility</v>
          </cell>
          <cell r="G8626" t="str">
            <v>EQ-Other</v>
          </cell>
          <cell r="H8626" t="str">
            <v>EQ_INDICES</v>
          </cell>
          <cell r="I8626" t="str">
            <v>Equity Implied Volatility</v>
          </cell>
        </row>
        <row r="8627">
          <cell r="A8627" t="str">
            <v>EOPT_VOL_KOSPI_4_4</v>
          </cell>
          <cell r="B8627" t="str">
            <v>KOSPI VOL 5Y 140</v>
          </cell>
          <cell r="C8627" t="str">
            <v>_BRS_GOLD__5_EQ:BRS_GOLD__1_EQX:EOPT_VOL_KOSPI_4_4</v>
          </cell>
          <cell r="D8627" t="str">
            <v>Index</v>
          </cell>
          <cell r="E8627" t="str">
            <v>Index Level</v>
          </cell>
          <cell r="F8627" t="str">
            <v>EQ-Equity Implied Volatility</v>
          </cell>
          <cell r="G8627" t="str">
            <v>EQ-Other</v>
          </cell>
          <cell r="H8627" t="str">
            <v>EQ_INDICES</v>
          </cell>
          <cell r="I8627" t="str">
            <v>Equity Implied Volatility</v>
          </cell>
        </row>
        <row r="8628">
          <cell r="A8628" t="str">
            <v>EOPT_VOL_HANGSENG_1_1</v>
          </cell>
          <cell r="B8628" t="str">
            <v>HANGSENG VOL 2W 60</v>
          </cell>
          <cell r="C8628" t="str">
            <v>_BRS_GOLD__5_EQ:BRS_GOLD__1_EQX:EOPT_VOL_HANGSENG_1_1</v>
          </cell>
          <cell r="D8628" t="str">
            <v>Index</v>
          </cell>
          <cell r="E8628" t="str">
            <v>Index Level</v>
          </cell>
          <cell r="F8628" t="str">
            <v>EQ-Equity Implied Volatility</v>
          </cell>
          <cell r="G8628" t="str">
            <v>EQ-Other</v>
          </cell>
          <cell r="H8628" t="str">
            <v>EQ_INDICES</v>
          </cell>
          <cell r="I8628" t="str">
            <v>Equity Implied Volatility</v>
          </cell>
        </row>
        <row r="8629">
          <cell r="A8629" t="str">
            <v>EOPT_VOL_HANGSENG_1_2</v>
          </cell>
          <cell r="B8629" t="str">
            <v>HANGSENG VOL 2W 90</v>
          </cell>
          <cell r="C8629" t="str">
            <v>_BRS_GOLD__5_EQ:BRS_GOLD__1_EQX:EOPT_VOL_HANGSENG_1_2</v>
          </cell>
          <cell r="D8629" t="str">
            <v>Index</v>
          </cell>
          <cell r="E8629" t="str">
            <v>Index Level</v>
          </cell>
          <cell r="F8629" t="str">
            <v>EQ-Equity Implied Volatility</v>
          </cell>
          <cell r="G8629" t="str">
            <v>EQ-Other</v>
          </cell>
          <cell r="H8629" t="str">
            <v>EQ_INDICES</v>
          </cell>
          <cell r="I8629" t="str">
            <v>Equity Implied Volatility</v>
          </cell>
        </row>
        <row r="8630">
          <cell r="A8630" t="str">
            <v>EOPT_VOL_HANGSENG_1_3</v>
          </cell>
          <cell r="B8630" t="str">
            <v>HANGSENG VOL 2W 110</v>
          </cell>
          <cell r="C8630" t="str">
            <v>_BRS_GOLD__5_EQ:BRS_GOLD__1_EQX:EOPT_VOL_HANGSENG_1_3</v>
          </cell>
          <cell r="D8630" t="str">
            <v>Index</v>
          </cell>
          <cell r="E8630" t="str">
            <v>Index Level</v>
          </cell>
          <cell r="F8630" t="str">
            <v>EQ-Equity Implied Volatility</v>
          </cell>
          <cell r="G8630" t="str">
            <v>EQ-Other</v>
          </cell>
          <cell r="H8630" t="str">
            <v>EQ_INDICES</v>
          </cell>
          <cell r="I8630" t="str">
            <v>Equity Implied Volatility</v>
          </cell>
        </row>
        <row r="8631">
          <cell r="A8631" t="str">
            <v>EOPT_VOL_HANGSENG_1_4</v>
          </cell>
          <cell r="B8631" t="str">
            <v>HANGSENG VOL 2W 140</v>
          </cell>
          <cell r="C8631" t="str">
            <v>_BRS_GOLD__5_EQ:BRS_GOLD__1_EQX:EOPT_VOL_HANGSENG_1_4</v>
          </cell>
          <cell r="D8631" t="str">
            <v>Index</v>
          </cell>
          <cell r="E8631" t="str">
            <v>Index Level</v>
          </cell>
          <cell r="F8631" t="str">
            <v>EQ-Equity Implied Volatility</v>
          </cell>
          <cell r="G8631" t="str">
            <v>EQ-Other</v>
          </cell>
          <cell r="H8631" t="str">
            <v>EQ_INDICES</v>
          </cell>
          <cell r="I8631" t="str">
            <v>Equity Implied Volatility</v>
          </cell>
        </row>
        <row r="8632">
          <cell r="A8632" t="str">
            <v>EOPT_VOL_HANGSENG_2_1</v>
          </cell>
          <cell r="B8632" t="str">
            <v>HANGSENG VOL 2M 60</v>
          </cell>
          <cell r="C8632" t="str">
            <v>_BRS_GOLD__5_EQ:BRS_GOLD__1_EQX:EOPT_VOL_HANGSENG_2_1</v>
          </cell>
          <cell r="D8632" t="str">
            <v>Index</v>
          </cell>
          <cell r="E8632" t="str">
            <v>Index Level</v>
          </cell>
          <cell r="F8632" t="str">
            <v>EQ-Equity Implied Volatility</v>
          </cell>
          <cell r="G8632" t="str">
            <v>EQ-Other</v>
          </cell>
          <cell r="H8632" t="str">
            <v>EQ_INDICES</v>
          </cell>
          <cell r="I8632" t="str">
            <v>Equity Implied Volatility</v>
          </cell>
        </row>
        <row r="8633">
          <cell r="A8633" t="str">
            <v>EOPT_VOL_HANGSENG_2_2</v>
          </cell>
          <cell r="B8633" t="str">
            <v>HANGSENG VOL 2M 90</v>
          </cell>
          <cell r="C8633" t="str">
            <v>_BRS_GOLD__5_EQ:BRS_GOLD__1_EQX:EOPT_VOL_HANGSENG_2_2</v>
          </cell>
          <cell r="D8633" t="str">
            <v>Index</v>
          </cell>
          <cell r="E8633" t="str">
            <v>Index Level</v>
          </cell>
          <cell r="F8633" t="str">
            <v>EQ-Equity Implied Volatility</v>
          </cell>
          <cell r="G8633" t="str">
            <v>EQ-Other</v>
          </cell>
          <cell r="H8633" t="str">
            <v>EQ_INDICES</v>
          </cell>
          <cell r="I8633" t="str">
            <v>Equity Implied Volatility</v>
          </cell>
        </row>
        <row r="8634">
          <cell r="A8634" t="str">
            <v>EOPT_VOL_HANGSENG_2_3</v>
          </cell>
          <cell r="B8634" t="str">
            <v>HANGSENG VOL 2M 110</v>
          </cell>
          <cell r="C8634" t="str">
            <v>_BRS_GOLD__5_EQ:BRS_GOLD__1_EQX:EOPT_VOL_HANGSENG_2_3</v>
          </cell>
          <cell r="D8634" t="str">
            <v>Index</v>
          </cell>
          <cell r="E8634" t="str">
            <v>Index Level</v>
          </cell>
          <cell r="F8634" t="str">
            <v>EQ-Equity Implied Volatility</v>
          </cell>
          <cell r="G8634" t="str">
            <v>EQ-Other</v>
          </cell>
          <cell r="H8634" t="str">
            <v>EQ_INDICES</v>
          </cell>
          <cell r="I8634" t="str">
            <v>Equity Implied Volatility</v>
          </cell>
        </row>
        <row r="8635">
          <cell r="A8635" t="str">
            <v>EOPT_VOL_HANGSENG_2_4</v>
          </cell>
          <cell r="B8635" t="str">
            <v>HANGSENG VOL 2M 140</v>
          </cell>
          <cell r="C8635" t="str">
            <v>_BRS_GOLD__5_EQ:BRS_GOLD__1_EQX:EOPT_VOL_HANGSENG_2_4</v>
          </cell>
          <cell r="D8635" t="str">
            <v>Index</v>
          </cell>
          <cell r="E8635" t="str">
            <v>Index Level</v>
          </cell>
          <cell r="F8635" t="str">
            <v>EQ-Equity Implied Volatility</v>
          </cell>
          <cell r="G8635" t="str">
            <v>EQ-Other</v>
          </cell>
          <cell r="H8635" t="str">
            <v>EQ_INDICES</v>
          </cell>
          <cell r="I8635" t="str">
            <v>Equity Implied Volatility</v>
          </cell>
        </row>
        <row r="8636">
          <cell r="A8636" t="str">
            <v>EOPT_VOL_HANGSENG_3_1</v>
          </cell>
          <cell r="B8636" t="str">
            <v>HANGSENG VOL 1Y 60</v>
          </cell>
          <cell r="C8636" t="str">
            <v>_BRS_GOLD__5_EQ:BRS_GOLD__1_EQX:EOPT_VOL_HANGSENG_3_1</v>
          </cell>
          <cell r="D8636" t="str">
            <v>Index</v>
          </cell>
          <cell r="E8636" t="str">
            <v>Index Level</v>
          </cell>
          <cell r="F8636" t="str">
            <v>EQ-Equity Implied Volatility</v>
          </cell>
          <cell r="G8636" t="str">
            <v>EQ-Other</v>
          </cell>
          <cell r="H8636" t="str">
            <v>EQ_INDICES</v>
          </cell>
          <cell r="I8636" t="str">
            <v>Equity Implied Volatility</v>
          </cell>
        </row>
        <row r="8637">
          <cell r="A8637" t="str">
            <v>EOPT_VOL_HANGSENG_3_2</v>
          </cell>
          <cell r="B8637" t="str">
            <v>HANGSENG VOL 1Y 90</v>
          </cell>
          <cell r="C8637" t="str">
            <v>_BRS_GOLD__5_EQ:BRS_GOLD__1_EQX:EOPT_VOL_HANGSENG_3_2</v>
          </cell>
          <cell r="D8637" t="str">
            <v>Index</v>
          </cell>
          <cell r="E8637" t="str">
            <v>Index Level</v>
          </cell>
          <cell r="F8637" t="str">
            <v>EQ-Equity Implied Volatility</v>
          </cell>
          <cell r="G8637" t="str">
            <v>EQ-Other</v>
          </cell>
          <cell r="H8637" t="str">
            <v>EQ_INDICES</v>
          </cell>
          <cell r="I8637" t="str">
            <v>Equity Implied Volatility</v>
          </cell>
        </row>
        <row r="8638">
          <cell r="A8638" t="str">
            <v>EOPT_VOL_HANGSENG_3_3</v>
          </cell>
          <cell r="B8638" t="str">
            <v>HANGSENG VOL 1Y 110</v>
          </cell>
          <cell r="C8638" t="str">
            <v>_BRS_GOLD__5_EQ:BRS_GOLD__1_EQX:EOPT_VOL_HANGSENG_3_3</v>
          </cell>
          <cell r="D8638" t="str">
            <v>Index</v>
          </cell>
          <cell r="E8638" t="str">
            <v>Index Level</v>
          </cell>
          <cell r="F8638" t="str">
            <v>EQ-Equity Implied Volatility</v>
          </cell>
          <cell r="G8638" t="str">
            <v>EQ-Other</v>
          </cell>
          <cell r="H8638" t="str">
            <v>EQ_INDICES</v>
          </cell>
          <cell r="I8638" t="str">
            <v>Equity Implied Volatility</v>
          </cell>
        </row>
        <row r="8639">
          <cell r="A8639" t="str">
            <v>EOPT_VOL_HANGSENG_3_4</v>
          </cell>
          <cell r="B8639" t="str">
            <v>HANGSENG VOL 1Y 140</v>
          </cell>
          <cell r="C8639" t="str">
            <v>_BRS_GOLD__5_EQ:BRS_GOLD__1_EQX:EOPT_VOL_HANGSENG_3_4</v>
          </cell>
          <cell r="D8639" t="str">
            <v>Index</v>
          </cell>
          <cell r="E8639" t="str">
            <v>Index Level</v>
          </cell>
          <cell r="F8639" t="str">
            <v>EQ-Equity Implied Volatility</v>
          </cell>
          <cell r="G8639" t="str">
            <v>EQ-Other</v>
          </cell>
          <cell r="H8639" t="str">
            <v>EQ_INDICES</v>
          </cell>
          <cell r="I8639" t="str">
            <v>Equity Implied Volatility</v>
          </cell>
        </row>
        <row r="8640">
          <cell r="A8640" t="str">
            <v>EOPT_VOL_HANGSENG_4_1</v>
          </cell>
          <cell r="B8640" t="str">
            <v>HANGSENG VOL 5Y 60</v>
          </cell>
          <cell r="C8640" t="str">
            <v>_BRS_GOLD__5_EQ:BRS_GOLD__1_EQX:EOPT_VOL_HANGSENG_4_1</v>
          </cell>
          <cell r="D8640" t="str">
            <v>Index</v>
          </cell>
          <cell r="E8640" t="str">
            <v>Index Level</v>
          </cell>
          <cell r="F8640" t="str">
            <v>EQ-Equity Implied Volatility</v>
          </cell>
          <cell r="G8640" t="str">
            <v>EQ-Other</v>
          </cell>
          <cell r="H8640" t="str">
            <v>EQ_INDICES</v>
          </cell>
          <cell r="I8640" t="str">
            <v>Equity Implied Volatility</v>
          </cell>
        </row>
        <row r="8641">
          <cell r="A8641" t="str">
            <v>EOPT_VOL_HANGSENG_4_2</v>
          </cell>
          <cell r="B8641" t="str">
            <v>HANGSENG VOL 5Y 90</v>
          </cell>
          <cell r="C8641" t="str">
            <v>_BRS_GOLD__5_EQ:BRS_GOLD__1_EQX:EOPT_VOL_HANGSENG_4_2</v>
          </cell>
          <cell r="D8641" t="str">
            <v>Index</v>
          </cell>
          <cell r="E8641" t="str">
            <v>Index Level</v>
          </cell>
          <cell r="F8641" t="str">
            <v>EQ-Equity Implied Volatility</v>
          </cell>
          <cell r="G8641" t="str">
            <v>EQ-Other</v>
          </cell>
          <cell r="H8641" t="str">
            <v>EQ_INDICES</v>
          </cell>
          <cell r="I8641" t="str">
            <v>Equity Implied Volatility</v>
          </cell>
        </row>
        <row r="8642">
          <cell r="A8642" t="str">
            <v>EOPT_VOL_HANGSENG_4_3</v>
          </cell>
          <cell r="B8642" t="str">
            <v>HANGSENG VOL 5Y 110</v>
          </cell>
          <cell r="C8642" t="str">
            <v>_BRS_GOLD__5_EQ:BRS_GOLD__1_EQX:EOPT_VOL_HANGSENG_4_3</v>
          </cell>
          <cell r="D8642" t="str">
            <v>Index</v>
          </cell>
          <cell r="E8642" t="str">
            <v>Index Level</v>
          </cell>
          <cell r="F8642" t="str">
            <v>EQ-Equity Implied Volatility</v>
          </cell>
          <cell r="G8642" t="str">
            <v>EQ-Other</v>
          </cell>
          <cell r="H8642" t="str">
            <v>EQ_INDICES</v>
          </cell>
          <cell r="I8642" t="str">
            <v>Equity Implied Volatility</v>
          </cell>
        </row>
        <row r="8643">
          <cell r="A8643" t="str">
            <v>EOPT_VOL_HANGSENG_4_4</v>
          </cell>
          <cell r="B8643" t="str">
            <v>HANGSENG VOL 5Y 140</v>
          </cell>
          <cell r="C8643" t="str">
            <v>_BRS_GOLD__5_EQ:BRS_GOLD__1_EQX:EOPT_VOL_HANGSENG_4_4</v>
          </cell>
          <cell r="D8643" t="str">
            <v>Index</v>
          </cell>
          <cell r="E8643" t="str">
            <v>Index Level</v>
          </cell>
          <cell r="F8643" t="str">
            <v>EQ-Equity Implied Volatility</v>
          </cell>
          <cell r="G8643" t="str">
            <v>EQ-Other</v>
          </cell>
          <cell r="H8643" t="str">
            <v>EQ_INDICES</v>
          </cell>
          <cell r="I8643" t="str">
            <v>Equity Implied Volatility</v>
          </cell>
        </row>
        <row r="8644">
          <cell r="A8644" t="str">
            <v>EOPT_VOL_NIKKEI_1_1</v>
          </cell>
          <cell r="B8644" t="str">
            <v>NIKKEI VOL 2W 60</v>
          </cell>
          <cell r="C8644" t="str">
            <v>_BRS_GOLD__5_EQ:BRS_GOLD__1_EQX:EOPT_VOL_NIKKEI_1_1</v>
          </cell>
          <cell r="D8644" t="str">
            <v>Index</v>
          </cell>
          <cell r="E8644" t="str">
            <v>Index Level</v>
          </cell>
          <cell r="F8644" t="str">
            <v>EQ-Equity Implied Volatility</v>
          </cell>
          <cell r="G8644" t="str">
            <v>EQ-Other</v>
          </cell>
          <cell r="H8644" t="str">
            <v>EQ_INDICES</v>
          </cell>
          <cell r="I8644" t="str">
            <v>Equity Implied Volatility</v>
          </cell>
        </row>
        <row r="8645">
          <cell r="A8645" t="str">
            <v>EOPT_VOL_NIKKEI_1_2</v>
          </cell>
          <cell r="B8645" t="str">
            <v>NIKKEI VOL 2W 90</v>
          </cell>
          <cell r="C8645" t="str">
            <v>_BRS_GOLD__5_EQ:BRS_GOLD__1_EQX:EOPT_VOL_NIKKEI_1_2</v>
          </cell>
          <cell r="D8645" t="str">
            <v>Index</v>
          </cell>
          <cell r="E8645" t="str">
            <v>Index Level</v>
          </cell>
          <cell r="F8645" t="str">
            <v>EQ-Equity Implied Volatility</v>
          </cell>
          <cell r="G8645" t="str">
            <v>EQ-Other</v>
          </cell>
          <cell r="H8645" t="str">
            <v>EQ_INDICES</v>
          </cell>
          <cell r="I8645" t="str">
            <v>Equity Implied Volatility</v>
          </cell>
        </row>
        <row r="8646">
          <cell r="A8646" t="str">
            <v>EOPT_VOL_NIKKEI_1_3</v>
          </cell>
          <cell r="B8646" t="str">
            <v>NIKKEI VOL 2W 110</v>
          </cell>
          <cell r="C8646" t="str">
            <v>_BRS_GOLD__5_EQ:BRS_GOLD__1_EQX:EOPT_VOL_NIKKEI_1_3</v>
          </cell>
          <cell r="D8646" t="str">
            <v>Index</v>
          </cell>
          <cell r="E8646" t="str">
            <v>Index Level</v>
          </cell>
          <cell r="F8646" t="str">
            <v>EQ-Equity Implied Volatility</v>
          </cell>
          <cell r="G8646" t="str">
            <v>EQ-Other</v>
          </cell>
          <cell r="H8646" t="str">
            <v>EQ_INDICES</v>
          </cell>
          <cell r="I8646" t="str">
            <v>Equity Implied Volatility</v>
          </cell>
        </row>
        <row r="8647">
          <cell r="A8647" t="str">
            <v>EOPT_VOL_NIKKEI_1_4</v>
          </cell>
          <cell r="B8647" t="str">
            <v>NIKKEI VOL 2W 140</v>
          </cell>
          <cell r="C8647" t="str">
            <v>_BRS_GOLD__5_EQ:BRS_GOLD__1_EQX:EOPT_VOL_NIKKEI_1_4</v>
          </cell>
          <cell r="D8647" t="str">
            <v>Index</v>
          </cell>
          <cell r="E8647" t="str">
            <v>Index Level</v>
          </cell>
          <cell r="F8647" t="str">
            <v>EQ-Equity Implied Volatility</v>
          </cell>
          <cell r="G8647" t="str">
            <v>EQ-Other</v>
          </cell>
          <cell r="H8647" t="str">
            <v>EQ_INDICES</v>
          </cell>
          <cell r="I8647" t="str">
            <v>Equity Implied Volatility</v>
          </cell>
        </row>
        <row r="8648">
          <cell r="A8648" t="str">
            <v>EOPT_VOL_NIKKEI_2_1</v>
          </cell>
          <cell r="B8648" t="str">
            <v>NIKKEI VOL 2M 60</v>
          </cell>
          <cell r="C8648" t="str">
            <v>_BRS_GOLD__5_EQ:BRS_GOLD__1_EQX:EOPT_VOL_NIKKEI_2_1</v>
          </cell>
          <cell r="D8648" t="str">
            <v>Index</v>
          </cell>
          <cell r="E8648" t="str">
            <v>Index Level</v>
          </cell>
          <cell r="F8648" t="str">
            <v>EQ-Equity Implied Volatility</v>
          </cell>
          <cell r="G8648" t="str">
            <v>EQ-Other</v>
          </cell>
          <cell r="H8648" t="str">
            <v>EQ_INDICES</v>
          </cell>
          <cell r="I8648" t="str">
            <v>Equity Implied Volatility</v>
          </cell>
        </row>
        <row r="8649">
          <cell r="A8649" t="str">
            <v>EOPT_VOL_NIKKEI_2_2</v>
          </cell>
          <cell r="B8649" t="str">
            <v>NIKKEI VOL 2M 90</v>
          </cell>
          <cell r="C8649" t="str">
            <v>_BRS_GOLD__5_EQ:BRS_GOLD__1_EQX:EOPT_VOL_NIKKEI_2_2</v>
          </cell>
          <cell r="D8649" t="str">
            <v>Index</v>
          </cell>
          <cell r="E8649" t="str">
            <v>Index Level</v>
          </cell>
          <cell r="F8649" t="str">
            <v>EQ-Equity Implied Volatility</v>
          </cell>
          <cell r="G8649" t="str">
            <v>EQ-Other</v>
          </cell>
          <cell r="H8649" t="str">
            <v>EQ_INDICES</v>
          </cell>
          <cell r="I8649" t="str">
            <v>Equity Implied Volatility</v>
          </cell>
        </row>
        <row r="8650">
          <cell r="A8650" t="str">
            <v>EOPT_VOL_NIKKEI_2_3</v>
          </cell>
          <cell r="B8650" t="str">
            <v>NIKKEI VOL 2M 110</v>
          </cell>
          <cell r="C8650" t="str">
            <v>_BRS_GOLD__5_EQ:BRS_GOLD__1_EQX:EOPT_VOL_NIKKEI_2_3</v>
          </cell>
          <cell r="D8650" t="str">
            <v>Index</v>
          </cell>
          <cell r="E8650" t="str">
            <v>Index Level</v>
          </cell>
          <cell r="F8650" t="str">
            <v>EQ-Equity Implied Volatility</v>
          </cell>
          <cell r="G8650" t="str">
            <v>EQ-Other</v>
          </cell>
          <cell r="H8650" t="str">
            <v>EQ_INDICES</v>
          </cell>
          <cell r="I8650" t="str">
            <v>Equity Implied Volatility</v>
          </cell>
        </row>
        <row r="8651">
          <cell r="A8651" t="str">
            <v>EOPT_VOL_NIKKEI_2_4</v>
          </cell>
          <cell r="B8651" t="str">
            <v>NIKKEI VOL 2M 140</v>
          </cell>
          <cell r="C8651" t="str">
            <v>_BRS_GOLD__5_EQ:BRS_GOLD__1_EQX:EOPT_VOL_NIKKEI_2_4</v>
          </cell>
          <cell r="D8651" t="str">
            <v>Index</v>
          </cell>
          <cell r="E8651" t="str">
            <v>Index Level</v>
          </cell>
          <cell r="F8651" t="str">
            <v>EQ-Equity Implied Volatility</v>
          </cell>
          <cell r="G8651" t="str">
            <v>EQ-Other</v>
          </cell>
          <cell r="H8651" t="str">
            <v>EQ_INDICES</v>
          </cell>
          <cell r="I8651" t="str">
            <v>Equity Implied Volatility</v>
          </cell>
        </row>
        <row r="8652">
          <cell r="A8652" t="str">
            <v>EOPT_VOL_NIKKEI_3_1</v>
          </cell>
          <cell r="B8652" t="str">
            <v>NIKKEI VOL 1Y 60</v>
          </cell>
          <cell r="C8652" t="str">
            <v>_BRS_GOLD__5_EQ:BRS_GOLD__1_EQX:EOPT_VOL_NIKKEI_3_1</v>
          </cell>
          <cell r="D8652" t="str">
            <v>Index</v>
          </cell>
          <cell r="E8652" t="str">
            <v>Index Level</v>
          </cell>
          <cell r="F8652" t="str">
            <v>EQ-Equity Implied Volatility</v>
          </cell>
          <cell r="G8652" t="str">
            <v>EQ-Other</v>
          </cell>
          <cell r="H8652" t="str">
            <v>EQ_INDICES</v>
          </cell>
          <cell r="I8652" t="str">
            <v>Equity Implied Volatility</v>
          </cell>
        </row>
        <row r="8653">
          <cell r="A8653" t="str">
            <v>EOPT_VOL_NIKKEI_3_2</v>
          </cell>
          <cell r="B8653" t="str">
            <v>NIKKEI VOL 1Y 90</v>
          </cell>
          <cell r="C8653" t="str">
            <v>_BRS_GOLD__5_EQ:BRS_GOLD__1_EQX:EOPT_VOL_NIKKEI_3_2</v>
          </cell>
          <cell r="D8653" t="str">
            <v>Index</v>
          </cell>
          <cell r="E8653" t="str">
            <v>Index Level</v>
          </cell>
          <cell r="F8653" t="str">
            <v>EQ-Equity Implied Volatility</v>
          </cell>
          <cell r="G8653" t="str">
            <v>EQ-Other</v>
          </cell>
          <cell r="H8653" t="str">
            <v>EQ_INDICES</v>
          </cell>
          <cell r="I8653" t="str">
            <v>Equity Implied Volatility</v>
          </cell>
        </row>
        <row r="8654">
          <cell r="A8654" t="str">
            <v>EOPT_VOL_NIKKEI_3_3</v>
          </cell>
          <cell r="B8654" t="str">
            <v>NIKKEI VOL 1Y 110</v>
          </cell>
          <cell r="C8654" t="str">
            <v>_BRS_GOLD__5_EQ:BRS_GOLD__1_EQX:EOPT_VOL_NIKKEI_3_3</v>
          </cell>
          <cell r="D8654" t="str">
            <v>Index</v>
          </cell>
          <cell r="E8654" t="str">
            <v>Index Level</v>
          </cell>
          <cell r="F8654" t="str">
            <v>EQ-Equity Implied Volatility</v>
          </cell>
          <cell r="G8654" t="str">
            <v>EQ-Other</v>
          </cell>
          <cell r="H8654" t="str">
            <v>EQ_INDICES</v>
          </cell>
          <cell r="I8654" t="str">
            <v>Equity Implied Volatility</v>
          </cell>
        </row>
        <row r="8655">
          <cell r="A8655" t="str">
            <v>EOPT_VOL_NIKKEI_3_4</v>
          </cell>
          <cell r="B8655" t="str">
            <v>NIKKEI VOL 1Y 140</v>
          </cell>
          <cell r="C8655" t="str">
            <v>_BRS_GOLD__5_EQ:BRS_GOLD__1_EQX:EOPT_VOL_NIKKEI_3_4</v>
          </cell>
          <cell r="D8655" t="str">
            <v>Index</v>
          </cell>
          <cell r="E8655" t="str">
            <v>Index Level</v>
          </cell>
          <cell r="F8655" t="str">
            <v>EQ-Equity Implied Volatility</v>
          </cell>
          <cell r="G8655" t="str">
            <v>EQ-Other</v>
          </cell>
          <cell r="H8655" t="str">
            <v>EQ_INDICES</v>
          </cell>
          <cell r="I8655" t="str">
            <v>Equity Implied Volatility</v>
          </cell>
        </row>
        <row r="8656">
          <cell r="A8656" t="str">
            <v>EOPT_VOL_NIKKEI_4_1</v>
          </cell>
          <cell r="B8656" t="str">
            <v>NIKKEI VOL 5Y 60</v>
          </cell>
          <cell r="C8656" t="str">
            <v>_BRS_GOLD__5_EQ:BRS_GOLD__1_EQX:EOPT_VOL_NIKKEI_4_1</v>
          </cell>
          <cell r="D8656" t="str">
            <v>Index</v>
          </cell>
          <cell r="E8656" t="str">
            <v>Index Level</v>
          </cell>
          <cell r="F8656" t="str">
            <v>EQ-Equity Implied Volatility</v>
          </cell>
          <cell r="G8656" t="str">
            <v>EQ-Other</v>
          </cell>
          <cell r="H8656" t="str">
            <v>EQ_INDICES</v>
          </cell>
          <cell r="I8656" t="str">
            <v>Equity Implied Volatility</v>
          </cell>
        </row>
        <row r="8657">
          <cell r="A8657" t="str">
            <v>EOPT_VOL_NIKKEI_4_2</v>
          </cell>
          <cell r="B8657" t="str">
            <v>NIKKEI VOL 5Y 90</v>
          </cell>
          <cell r="C8657" t="str">
            <v>_BRS_GOLD__5_EQ:BRS_GOLD__1_EQX:EOPT_VOL_NIKKEI_4_2</v>
          </cell>
          <cell r="D8657" t="str">
            <v>Index</v>
          </cell>
          <cell r="E8657" t="str">
            <v>Index Level</v>
          </cell>
          <cell r="F8657" t="str">
            <v>EQ-Equity Implied Volatility</v>
          </cell>
          <cell r="G8657" t="str">
            <v>EQ-Other</v>
          </cell>
          <cell r="H8657" t="str">
            <v>EQ_INDICES</v>
          </cell>
          <cell r="I8657" t="str">
            <v>Equity Implied Volatility</v>
          </cell>
        </row>
        <row r="8658">
          <cell r="A8658" t="str">
            <v>EOPT_VOL_NIKKEI_4_3</v>
          </cell>
          <cell r="B8658" t="str">
            <v>NIKKEI VOL 5Y 110</v>
          </cell>
          <cell r="C8658" t="str">
            <v>Equity Indices:NIKKEI VOL 5Y 110</v>
          </cell>
          <cell r="D8658" t="str">
            <v>Index</v>
          </cell>
          <cell r="E8658" t="str">
            <v>Index Level</v>
          </cell>
          <cell r="F8658" t="str">
            <v>EQ-Equity Implied Volatility</v>
          </cell>
          <cell r="G8658" t="str">
            <v>EQ-Other</v>
          </cell>
          <cell r="H8658" t="str">
            <v>EQ_INDICES</v>
          </cell>
          <cell r="I8658" t="str">
            <v>Equity Implied Volatility</v>
          </cell>
        </row>
        <row r="8659">
          <cell r="A8659" t="str">
            <v>EOPT_VOL_NIKKEI_4_4</v>
          </cell>
          <cell r="B8659" t="str">
            <v>NIKKEI VOL 5Y 140</v>
          </cell>
          <cell r="C8659" t="str">
            <v>_BRS_GOLD__5_EQ:BRS_GOLD__1_EQX:EOPT_VOL_NIKKEI_4_4</v>
          </cell>
          <cell r="D8659" t="str">
            <v>Index</v>
          </cell>
          <cell r="E8659" t="str">
            <v>Index Level</v>
          </cell>
          <cell r="F8659" t="str">
            <v>EQ-Equity Implied Volatility</v>
          </cell>
          <cell r="G8659" t="str">
            <v>EQ-Other</v>
          </cell>
          <cell r="H8659" t="str">
            <v>EQ_INDICES</v>
          </cell>
          <cell r="I8659" t="str">
            <v>Equity Implied Volatility</v>
          </cell>
        </row>
        <row r="8660">
          <cell r="A8660" t="str">
            <v>EOPT_VOL_DAX_1_1</v>
          </cell>
          <cell r="B8660" t="str">
            <v>DAX VOL 2W 60</v>
          </cell>
          <cell r="C8660" t="str">
            <v>_BRS_GOLD__5_EQ:BRS_GOLD__1_EQX:EOPT_VOL_DAX_1_1</v>
          </cell>
          <cell r="D8660" t="str">
            <v>Index</v>
          </cell>
          <cell r="E8660" t="str">
            <v>Index Level</v>
          </cell>
          <cell r="F8660" t="str">
            <v>EQ-Equity Implied Volatility</v>
          </cell>
          <cell r="G8660" t="str">
            <v>EQ-Other</v>
          </cell>
          <cell r="H8660" t="str">
            <v>EQ_INDICES</v>
          </cell>
          <cell r="I8660" t="str">
            <v>Equity Implied Volatility</v>
          </cell>
        </row>
        <row r="8661">
          <cell r="A8661" t="str">
            <v>EOPT_VOL_DAX_1_2</v>
          </cell>
          <cell r="B8661" t="str">
            <v>DAX VOL 2W 90</v>
          </cell>
          <cell r="C8661" t="str">
            <v>_BRS_GOLD__5_EQ:BRS_GOLD__1_EQX:EOPT_VOL_DAX_1_2</v>
          </cell>
          <cell r="D8661" t="str">
            <v>Index</v>
          </cell>
          <cell r="E8661" t="str">
            <v>Index Level</v>
          </cell>
          <cell r="F8661" t="str">
            <v>EQ-Equity Implied Volatility</v>
          </cell>
          <cell r="G8661" t="str">
            <v>EQ-Other</v>
          </cell>
          <cell r="H8661" t="str">
            <v>EQ_INDICES</v>
          </cell>
          <cell r="I8661" t="str">
            <v>Equity Implied Volatility</v>
          </cell>
        </row>
        <row r="8662">
          <cell r="A8662" t="str">
            <v>EOPT_VOL_DAX_1_3</v>
          </cell>
          <cell r="B8662" t="str">
            <v>DAX VOL 2W 110</v>
          </cell>
          <cell r="C8662" t="str">
            <v>_BRS_GOLD__5_EQ:BRS_GOLD__1_EQX:EOPT_VOL_DAX_1_3</v>
          </cell>
          <cell r="D8662" t="str">
            <v>Index</v>
          </cell>
          <cell r="E8662" t="str">
            <v>Index Level</v>
          </cell>
          <cell r="F8662" t="str">
            <v>EQ-Equity Implied Volatility</v>
          </cell>
          <cell r="G8662" t="str">
            <v>EQ-Other</v>
          </cell>
          <cell r="H8662" t="str">
            <v>EQ_INDICES</v>
          </cell>
          <cell r="I8662" t="str">
            <v>Equity Implied Volatility</v>
          </cell>
        </row>
        <row r="8663">
          <cell r="A8663" t="str">
            <v>EOPT_VOL_DAX_1_4</v>
          </cell>
          <cell r="B8663" t="str">
            <v>DAX VOL 2W 140</v>
          </cell>
          <cell r="C8663" t="str">
            <v>_BRS_GOLD__5_EQ:BRS_GOLD__1_EQX:EOPT_VOL_DAX_1_4</v>
          </cell>
          <cell r="D8663" t="str">
            <v>Index</v>
          </cell>
          <cell r="E8663" t="str">
            <v>Index Level</v>
          </cell>
          <cell r="F8663" t="str">
            <v>EQ-Equity Implied Volatility</v>
          </cell>
          <cell r="G8663" t="str">
            <v>EQ-Other</v>
          </cell>
          <cell r="H8663" t="str">
            <v>EQ_INDICES</v>
          </cell>
          <cell r="I8663" t="str">
            <v>Equity Implied Volatility</v>
          </cell>
        </row>
        <row r="8664">
          <cell r="A8664" t="str">
            <v>EOPT_VOL_DAX_2_1</v>
          </cell>
          <cell r="B8664" t="str">
            <v>DAX VOL 2M 60</v>
          </cell>
          <cell r="C8664" t="str">
            <v>_BRS_GOLD__5_EQ:BRS_GOLD__1_EQX:EOPT_VOL_DAX_2_1</v>
          </cell>
          <cell r="D8664" t="str">
            <v>Index</v>
          </cell>
          <cell r="E8664" t="str">
            <v>Index Level</v>
          </cell>
          <cell r="F8664" t="str">
            <v>EQ-Equity Implied Volatility</v>
          </cell>
          <cell r="G8664" t="str">
            <v>EQ-Other</v>
          </cell>
          <cell r="H8664" t="str">
            <v>EQ_INDICES</v>
          </cell>
          <cell r="I8664" t="str">
            <v>Equity Implied Volatility</v>
          </cell>
        </row>
        <row r="8665">
          <cell r="A8665" t="str">
            <v>EOPT_VOL_DAX_2_2</v>
          </cell>
          <cell r="B8665" t="str">
            <v>DAX VOL 2M 90</v>
          </cell>
          <cell r="C8665" t="str">
            <v>_BRS_GOLD__5_EQ:BRS_GOLD__1_EQX:EOPT_VOL_DAX_2_2</v>
          </cell>
          <cell r="D8665" t="str">
            <v>Index</v>
          </cell>
          <cell r="E8665" t="str">
            <v>Index Level</v>
          </cell>
          <cell r="F8665" t="str">
            <v>EQ-Equity Implied Volatility</v>
          </cell>
          <cell r="G8665" t="str">
            <v>EQ-Other</v>
          </cell>
          <cell r="H8665" t="str">
            <v>EQ_INDICES</v>
          </cell>
          <cell r="I8665" t="str">
            <v>Equity Implied Volatility</v>
          </cell>
        </row>
        <row r="8666">
          <cell r="A8666" t="str">
            <v>EOPT_VOL_DAX_2_3</v>
          </cell>
          <cell r="B8666" t="str">
            <v>DAX VOL 2M 110</v>
          </cell>
          <cell r="C8666" t="str">
            <v>_BRS_GOLD__5_EQ:BRS_GOLD__1_EQX:EOPT_VOL_DAX_2_3</v>
          </cell>
          <cell r="D8666" t="str">
            <v>Index</v>
          </cell>
          <cell r="E8666" t="str">
            <v>Index Level</v>
          </cell>
          <cell r="F8666" t="str">
            <v>EQ-Equity Implied Volatility</v>
          </cell>
          <cell r="G8666" t="str">
            <v>EQ-Other</v>
          </cell>
          <cell r="H8666" t="str">
            <v>EQ_INDICES</v>
          </cell>
          <cell r="I8666" t="str">
            <v>Equity Implied Volatility</v>
          </cell>
        </row>
        <row r="8667">
          <cell r="A8667" t="str">
            <v>EOPT_VOL_DAX_2_4</v>
          </cell>
          <cell r="B8667" t="str">
            <v>DAX VOL 2M 140</v>
          </cell>
          <cell r="C8667" t="str">
            <v>_BRS_GOLD__5_EQ:BRS_GOLD__1_EQX:EOPT_VOL_DAX_2_4</v>
          </cell>
          <cell r="D8667" t="str">
            <v>Index</v>
          </cell>
          <cell r="E8667" t="str">
            <v>Index Level</v>
          </cell>
          <cell r="F8667" t="str">
            <v>EQ-Equity Implied Volatility</v>
          </cell>
          <cell r="G8667" t="str">
            <v>EQ-Other</v>
          </cell>
          <cell r="H8667" t="str">
            <v>EQ_INDICES</v>
          </cell>
          <cell r="I8667" t="str">
            <v>Equity Implied Volatility</v>
          </cell>
        </row>
        <row r="8668">
          <cell r="A8668" t="str">
            <v>EOPT_VOL_DAX_3_1</v>
          </cell>
          <cell r="B8668" t="str">
            <v>DAX VOL 1Y 60</v>
          </cell>
          <cell r="C8668" t="str">
            <v>_BRS_GOLD__5_EQ:BRS_GOLD__1_EQX:EOPT_VOL_DAX_3_1</v>
          </cell>
          <cell r="D8668" t="str">
            <v>Index</v>
          </cell>
          <cell r="E8668" t="str">
            <v>Index Level</v>
          </cell>
          <cell r="F8668" t="str">
            <v>EQ-Equity Implied Volatility</v>
          </cell>
          <cell r="G8668" t="str">
            <v>EQ-Other</v>
          </cell>
          <cell r="H8668" t="str">
            <v>EQ_INDICES</v>
          </cell>
          <cell r="I8668" t="str">
            <v>Equity Implied Volatility</v>
          </cell>
        </row>
        <row r="8669">
          <cell r="A8669" t="str">
            <v>EOPT_VOL_DAX_3_2</v>
          </cell>
          <cell r="B8669" t="str">
            <v>DAX VOL 1Y 90</v>
          </cell>
          <cell r="C8669" t="str">
            <v>_BRS_GOLD__5_EQ:BRS_GOLD__1_EQX:EOPT_VOL_DAX_3_2</v>
          </cell>
          <cell r="D8669" t="str">
            <v>Index</v>
          </cell>
          <cell r="E8669" t="str">
            <v>Index Level</v>
          </cell>
          <cell r="F8669" t="str">
            <v>EQ-Equity Implied Volatility</v>
          </cell>
          <cell r="G8669" t="str">
            <v>EQ-Other</v>
          </cell>
          <cell r="H8669" t="str">
            <v>EQ_INDICES</v>
          </cell>
          <cell r="I8669" t="str">
            <v>Equity Implied Volatility</v>
          </cell>
        </row>
        <row r="8670">
          <cell r="A8670" t="str">
            <v>EOPT_VOL_DAX_3_3</v>
          </cell>
          <cell r="B8670" t="str">
            <v>DAX VOL 1Y 110</v>
          </cell>
          <cell r="C8670" t="str">
            <v>_BRS_GOLD__5_EQ:BRS_GOLD__1_EQX:EOPT_VOL_DAX_3_3</v>
          </cell>
          <cell r="D8670" t="str">
            <v>Index</v>
          </cell>
          <cell r="E8670" t="str">
            <v>Index Level</v>
          </cell>
          <cell r="F8670" t="str">
            <v>EQ-Equity Implied Volatility</v>
          </cell>
          <cell r="G8670" t="str">
            <v>EQ-Other</v>
          </cell>
          <cell r="H8670" t="str">
            <v>EQ_INDICES</v>
          </cell>
          <cell r="I8670" t="str">
            <v>Equity Implied Volatility</v>
          </cell>
        </row>
        <row r="8671">
          <cell r="A8671" t="str">
            <v>EOPT_VOL_DAX_3_4</v>
          </cell>
          <cell r="B8671" t="str">
            <v>DAX VOL 1Y 140</v>
          </cell>
          <cell r="C8671" t="str">
            <v>_BRS_GOLD__5_EQ:BRS_GOLD__1_EQX:EOPT_VOL_DAX_3_4</v>
          </cell>
          <cell r="D8671" t="str">
            <v>Index</v>
          </cell>
          <cell r="E8671" t="str">
            <v>Index Level</v>
          </cell>
          <cell r="F8671" t="str">
            <v>EQ-Equity Implied Volatility</v>
          </cell>
          <cell r="G8671" t="str">
            <v>EQ-Other</v>
          </cell>
          <cell r="H8671" t="str">
            <v>EQ_INDICES</v>
          </cell>
          <cell r="I8671" t="str">
            <v>Equity Implied Volatility</v>
          </cell>
        </row>
        <row r="8672">
          <cell r="A8672" t="str">
            <v>EOPT_VOL_DAX_4_1</v>
          </cell>
          <cell r="B8672" t="str">
            <v>DAX VOL 5Y 60</v>
          </cell>
          <cell r="C8672" t="str">
            <v>_BRS_GOLD__5_EQ:BRS_GOLD__1_EQX:EOPT_VOL_DAX_4_1</v>
          </cell>
          <cell r="D8672" t="str">
            <v>Index</v>
          </cell>
          <cell r="E8672" t="str">
            <v>Index Level</v>
          </cell>
          <cell r="F8672" t="str">
            <v>EQ-Equity Implied Volatility</v>
          </cell>
          <cell r="G8672" t="str">
            <v>EQ-Other</v>
          </cell>
          <cell r="H8672" t="str">
            <v>EQ_INDICES</v>
          </cell>
          <cell r="I8672" t="str">
            <v>Equity Implied Volatility</v>
          </cell>
        </row>
        <row r="8673">
          <cell r="A8673" t="str">
            <v>EOPT_VOL_DAX_4_2</v>
          </cell>
          <cell r="B8673" t="str">
            <v>DAX VOL 5Y 90</v>
          </cell>
          <cell r="C8673" t="str">
            <v>_BRS_GOLD__5_EQ:BRS_GOLD__1_EQX:EOPT_VOL_DAX_4_2</v>
          </cell>
          <cell r="D8673" t="str">
            <v>Index</v>
          </cell>
          <cell r="E8673" t="str">
            <v>Index Level</v>
          </cell>
          <cell r="F8673" t="str">
            <v>EQ-Equity Implied Volatility</v>
          </cell>
          <cell r="G8673" t="str">
            <v>EQ-Other</v>
          </cell>
          <cell r="H8673" t="str">
            <v>EQ_INDICES</v>
          </cell>
          <cell r="I8673" t="str">
            <v>Equity Implied Volatility</v>
          </cell>
        </row>
        <row r="8674">
          <cell r="A8674" t="str">
            <v>EOPT_VOL_DAX_4_3</v>
          </cell>
          <cell r="B8674" t="str">
            <v>DAX VOL 5Y 110</v>
          </cell>
          <cell r="C8674" t="str">
            <v>_BRS_GOLD__5_EQ:BRS_GOLD__1_EQX:EOPT_VOL_DAX_4_3</v>
          </cell>
          <cell r="D8674" t="str">
            <v>Index</v>
          </cell>
          <cell r="E8674" t="str">
            <v>Index Level</v>
          </cell>
          <cell r="F8674" t="str">
            <v>EQ-Equity Implied Volatility</v>
          </cell>
          <cell r="G8674" t="str">
            <v>EQ-Other</v>
          </cell>
          <cell r="H8674" t="str">
            <v>EQ_INDICES</v>
          </cell>
          <cell r="I8674" t="str">
            <v>Equity Implied Volatility</v>
          </cell>
        </row>
        <row r="8675">
          <cell r="A8675" t="str">
            <v>EOPT_VOL_DAX_4_4</v>
          </cell>
          <cell r="B8675" t="str">
            <v>DAX VOL 5Y 140</v>
          </cell>
          <cell r="C8675" t="str">
            <v>_BRS_GOLD__5_EQ:BRS_GOLD__1_EQX:EOPT_VOL_DAX_4_4</v>
          </cell>
          <cell r="D8675" t="str">
            <v>Index</v>
          </cell>
          <cell r="E8675" t="str">
            <v>Index Level</v>
          </cell>
          <cell r="F8675" t="str">
            <v>EQ-Equity Implied Volatility</v>
          </cell>
          <cell r="G8675" t="str">
            <v>EQ-Other</v>
          </cell>
          <cell r="H8675" t="str">
            <v>EQ_INDICES</v>
          </cell>
          <cell r="I8675" t="str">
            <v>Equity Implied Volatility</v>
          </cell>
        </row>
        <row r="8676">
          <cell r="A8676" t="str">
            <v>EOPT_VOL_AS51_1_1</v>
          </cell>
          <cell r="B8676" t="str">
            <v>AS51 VOL 2W 60</v>
          </cell>
          <cell r="C8676" t="str">
            <v>_BRS_GOLD__5_EQ:BRS_GOLD__1_EQX:EOPT_VOL_AS51_1_1</v>
          </cell>
          <cell r="D8676" t="str">
            <v>Index</v>
          </cell>
          <cell r="E8676" t="str">
            <v>Index Level</v>
          </cell>
          <cell r="F8676" t="str">
            <v>EQ-Equity Implied Volatility</v>
          </cell>
          <cell r="G8676" t="str">
            <v>EQ-Other</v>
          </cell>
          <cell r="H8676" t="str">
            <v>EQ_INDICES</v>
          </cell>
          <cell r="I8676" t="str">
            <v>Equity Implied Volatility</v>
          </cell>
        </row>
        <row r="8677">
          <cell r="A8677" t="str">
            <v>EOPT_VOL_AS51_1_2</v>
          </cell>
          <cell r="B8677" t="str">
            <v>AS51 VOL 2W 90</v>
          </cell>
          <cell r="C8677" t="str">
            <v>_BRS_GOLD__5_EQ:BRS_GOLD__1_EQX:EOPT_VOL_AS51_1_2</v>
          </cell>
          <cell r="D8677" t="str">
            <v>Index</v>
          </cell>
          <cell r="E8677" t="str">
            <v>Index Level</v>
          </cell>
          <cell r="F8677" t="str">
            <v>EQ-Equity Implied Volatility</v>
          </cell>
          <cell r="G8677" t="str">
            <v>EQ-Other</v>
          </cell>
          <cell r="H8677" t="str">
            <v>EQ_INDICES</v>
          </cell>
          <cell r="I8677" t="str">
            <v>Equity Implied Volatility</v>
          </cell>
        </row>
        <row r="8678">
          <cell r="A8678" t="str">
            <v>EOPT_VOL_AS51_1_3</v>
          </cell>
          <cell r="B8678" t="str">
            <v>AS51 VOL 2W 110</v>
          </cell>
          <cell r="C8678" t="str">
            <v>_BRS_GOLD__5_EQ:BRS_GOLD__1_EQX:EOPT_VOL_AS51_1_3</v>
          </cell>
          <cell r="D8678" t="str">
            <v>Index</v>
          </cell>
          <cell r="E8678" t="str">
            <v>Index Level</v>
          </cell>
          <cell r="F8678" t="str">
            <v>EQ-Equity Implied Volatility</v>
          </cell>
          <cell r="G8678" t="str">
            <v>EQ-Other</v>
          </cell>
          <cell r="H8678" t="str">
            <v>EQ_INDICES</v>
          </cell>
          <cell r="I8678" t="str">
            <v>Equity Implied Volatility</v>
          </cell>
        </row>
        <row r="8679">
          <cell r="A8679" t="str">
            <v>EOPT_VOL_AS51_1_4</v>
          </cell>
          <cell r="B8679" t="str">
            <v>AS51 VOL 2W 140</v>
          </cell>
          <cell r="C8679" t="str">
            <v>_BRS_GOLD__5_EQ:BRS_GOLD__1_EQX:EOPT_VOL_AS51_1_4</v>
          </cell>
          <cell r="D8679" t="str">
            <v>Index</v>
          </cell>
          <cell r="E8679" t="str">
            <v>Index Level</v>
          </cell>
          <cell r="F8679" t="str">
            <v>EQ-Equity Implied Volatility</v>
          </cell>
          <cell r="G8679" t="str">
            <v>EQ-Other</v>
          </cell>
          <cell r="H8679" t="str">
            <v>EQ_INDICES</v>
          </cell>
          <cell r="I8679" t="str">
            <v>Equity Implied Volatility</v>
          </cell>
        </row>
        <row r="8680">
          <cell r="A8680" t="str">
            <v>EOPT_VOL_AS51_2_1</v>
          </cell>
          <cell r="B8680" t="str">
            <v>AS51 VOL 2M 60</v>
          </cell>
          <cell r="C8680" t="str">
            <v>_BRS_GOLD__5_EQ:BRS_GOLD__1_EQX:EOPT_VOL_AS51_2_1</v>
          </cell>
          <cell r="D8680" t="str">
            <v>Index</v>
          </cell>
          <cell r="E8680" t="str">
            <v>Index Level</v>
          </cell>
          <cell r="F8680" t="str">
            <v>EQ-Equity Implied Volatility</v>
          </cell>
          <cell r="G8680" t="str">
            <v>EQ-Other</v>
          </cell>
          <cell r="H8680" t="str">
            <v>EQ_INDICES</v>
          </cell>
          <cell r="I8680" t="str">
            <v>Equity Implied Volatility</v>
          </cell>
        </row>
        <row r="8681">
          <cell r="A8681" t="str">
            <v>EOPT_VOL_AS51_2_2</v>
          </cell>
          <cell r="B8681" t="str">
            <v>AS51 VOL 2M 90</v>
          </cell>
          <cell r="C8681" t="str">
            <v>_BRS_GOLD__5_EQ:BRS_GOLD__1_EQX:EOPT_VOL_AS51_2_2</v>
          </cell>
          <cell r="D8681" t="str">
            <v>Index</v>
          </cell>
          <cell r="E8681" t="str">
            <v>Index Level</v>
          </cell>
          <cell r="F8681" t="str">
            <v>EQ-Equity Implied Volatility</v>
          </cell>
          <cell r="G8681" t="str">
            <v>EQ-Other</v>
          </cell>
          <cell r="H8681" t="str">
            <v>EQ_INDICES</v>
          </cell>
          <cell r="I8681" t="str">
            <v>Equity Implied Volatility</v>
          </cell>
        </row>
        <row r="8682">
          <cell r="A8682" t="str">
            <v>EOPT_VOL_AS51_2_3</v>
          </cell>
          <cell r="B8682" t="str">
            <v>AS51 VOL 2M 110</v>
          </cell>
          <cell r="C8682" t="str">
            <v>_BRS_GOLD__5_EQ:BRS_GOLD__1_EQX:EOPT_VOL_AS51_2_3</v>
          </cell>
          <cell r="D8682" t="str">
            <v>Index</v>
          </cell>
          <cell r="E8682" t="str">
            <v>Index Level</v>
          </cell>
          <cell r="F8682" t="str">
            <v>EQ-Equity Implied Volatility</v>
          </cell>
          <cell r="G8682" t="str">
            <v>EQ-Other</v>
          </cell>
          <cell r="H8682" t="str">
            <v>EQ_INDICES</v>
          </cell>
          <cell r="I8682" t="str">
            <v>Equity Implied Volatility</v>
          </cell>
        </row>
        <row r="8683">
          <cell r="A8683" t="str">
            <v>EOPT_VOL_AS51_2_4</v>
          </cell>
          <cell r="B8683" t="str">
            <v>AS51 VOL 2M 140</v>
          </cell>
          <cell r="C8683" t="str">
            <v>_BRS_GOLD__5_EQ:BRS_GOLD__1_EQX:EOPT_VOL_AS51_2_4</v>
          </cell>
          <cell r="D8683" t="str">
            <v>Index</v>
          </cell>
          <cell r="E8683" t="str">
            <v>Index Level</v>
          </cell>
          <cell r="F8683" t="str">
            <v>EQ-Equity Implied Volatility</v>
          </cell>
          <cell r="G8683" t="str">
            <v>EQ-Other</v>
          </cell>
          <cell r="H8683" t="str">
            <v>EQ_INDICES</v>
          </cell>
          <cell r="I8683" t="str">
            <v>Equity Implied Volatility</v>
          </cell>
        </row>
        <row r="8684">
          <cell r="A8684" t="str">
            <v>EOPT_VOL_AS51_3_1</v>
          </cell>
          <cell r="B8684" t="str">
            <v>AS51 VOL 1Y 60</v>
          </cell>
          <cell r="C8684" t="str">
            <v>_BRS_GOLD__5_EQ:BRS_GOLD__1_EQX:EOPT_VOL_AS51_3_1</v>
          </cell>
          <cell r="D8684" t="str">
            <v>Index</v>
          </cell>
          <cell r="E8684" t="str">
            <v>Index Level</v>
          </cell>
          <cell r="F8684" t="str">
            <v>EQ-Equity Implied Volatility</v>
          </cell>
          <cell r="G8684" t="str">
            <v>EQ-Other</v>
          </cell>
          <cell r="H8684" t="str">
            <v>EQ_INDICES</v>
          </cell>
          <cell r="I8684" t="str">
            <v>Equity Implied Volatility</v>
          </cell>
        </row>
        <row r="8685">
          <cell r="A8685" t="str">
            <v>EOPT_VOL_AS51_3_2</v>
          </cell>
          <cell r="B8685" t="str">
            <v>AS51 VOL 1Y 90</v>
          </cell>
          <cell r="C8685" t="str">
            <v>_BRS_GOLD__5_EQ:BRS_GOLD__1_EQX:EOPT_VOL_AS51_3_2</v>
          </cell>
          <cell r="D8685" t="str">
            <v>Index</v>
          </cell>
          <cell r="E8685" t="str">
            <v>Index Level</v>
          </cell>
          <cell r="F8685" t="str">
            <v>EQ-Equity Implied Volatility</v>
          </cell>
          <cell r="G8685" t="str">
            <v>EQ-Other</v>
          </cell>
          <cell r="H8685" t="str">
            <v>EQ_INDICES</v>
          </cell>
          <cell r="I8685" t="str">
            <v>Equity Implied Volatility</v>
          </cell>
        </row>
        <row r="8686">
          <cell r="A8686" t="str">
            <v>EOPT_VOL_AS51_3_3</v>
          </cell>
          <cell r="B8686" t="str">
            <v>AS51 VOL 1Y 110</v>
          </cell>
          <cell r="C8686" t="str">
            <v>_BRS_GOLD__5_EQ:BRS_GOLD__1_EQX:EOPT_VOL_AS51_3_3</v>
          </cell>
          <cell r="D8686" t="str">
            <v>Index</v>
          </cell>
          <cell r="E8686" t="str">
            <v>Index Level</v>
          </cell>
          <cell r="F8686" t="str">
            <v>EQ-Equity Implied Volatility</v>
          </cell>
          <cell r="G8686" t="str">
            <v>EQ-Other</v>
          </cell>
          <cell r="H8686" t="str">
            <v>EQ_INDICES</v>
          </cell>
          <cell r="I8686" t="str">
            <v>Equity Implied Volatility</v>
          </cell>
        </row>
        <row r="8687">
          <cell r="A8687" t="str">
            <v>EOPT_VOL_AS51_3_4</v>
          </cell>
          <cell r="B8687" t="str">
            <v>AS51 VOL 1Y 140</v>
          </cell>
          <cell r="C8687" t="str">
            <v>_BRS_GOLD__5_EQ:BRS_GOLD__1_EQX:EOPT_VOL_AS51_3_4</v>
          </cell>
          <cell r="D8687" t="str">
            <v>Index</v>
          </cell>
          <cell r="E8687" t="str">
            <v>Index Level</v>
          </cell>
          <cell r="F8687" t="str">
            <v>EQ-Equity Implied Volatility</v>
          </cell>
          <cell r="G8687" t="str">
            <v>EQ-Other</v>
          </cell>
          <cell r="H8687" t="str">
            <v>EQ_INDICES</v>
          </cell>
          <cell r="I8687" t="str">
            <v>Equity Implied Volatility</v>
          </cell>
        </row>
        <row r="8688">
          <cell r="A8688" t="str">
            <v>EOPT_VOL_AS51_4_1</v>
          </cell>
          <cell r="B8688" t="str">
            <v>AS51 VOL 5Y 60</v>
          </cell>
          <cell r="C8688" t="str">
            <v>_BRS_GOLD__5_EQ:BRS_GOLD__1_EQX:EOPT_VOL_AS51_4_1</v>
          </cell>
          <cell r="D8688" t="str">
            <v>Index</v>
          </cell>
          <cell r="E8688" t="str">
            <v>Index Level</v>
          </cell>
          <cell r="F8688" t="str">
            <v>EQ-Equity Implied Volatility</v>
          </cell>
          <cell r="G8688" t="str">
            <v>EQ-Other</v>
          </cell>
          <cell r="H8688" t="str">
            <v>EQ_INDICES</v>
          </cell>
          <cell r="I8688" t="str">
            <v>Equity Implied Volatility</v>
          </cell>
        </row>
        <row r="8689">
          <cell r="A8689" t="str">
            <v>EOPT_VOL_AS51_4_2</v>
          </cell>
          <cell r="B8689" t="str">
            <v>AS51 VOL 5Y 90</v>
          </cell>
          <cell r="C8689" t="str">
            <v>_BRS_GOLD__5_EQ:BRS_GOLD__1_EQX:EOPT_VOL_AS51_4_2</v>
          </cell>
          <cell r="D8689" t="str">
            <v>Index</v>
          </cell>
          <cell r="E8689" t="str">
            <v>Index Level</v>
          </cell>
          <cell r="F8689" t="str">
            <v>EQ-Equity Implied Volatility</v>
          </cell>
          <cell r="G8689" t="str">
            <v>EQ-Other</v>
          </cell>
          <cell r="H8689" t="str">
            <v>EQ_INDICES</v>
          </cell>
          <cell r="I8689" t="str">
            <v>Equity Implied Volatility</v>
          </cell>
        </row>
        <row r="8690">
          <cell r="A8690" t="str">
            <v>EOPT_VOL_AS51_4_3</v>
          </cell>
          <cell r="B8690" t="str">
            <v>AS51 VOL 5Y 110</v>
          </cell>
          <cell r="C8690" t="str">
            <v>_BRS_GOLD__5_EQ:BRS_GOLD__1_EQX:EOPT_VOL_AS51_4_3</v>
          </cell>
          <cell r="D8690" t="str">
            <v>Index</v>
          </cell>
          <cell r="E8690" t="str">
            <v>Index Level</v>
          </cell>
          <cell r="F8690" t="str">
            <v>EQ-Equity Implied Volatility</v>
          </cell>
          <cell r="G8690" t="str">
            <v>EQ-Other</v>
          </cell>
          <cell r="H8690" t="str">
            <v>EQ_INDICES</v>
          </cell>
          <cell r="I8690" t="str">
            <v>Equity Implied Volatility</v>
          </cell>
        </row>
        <row r="8691">
          <cell r="A8691" t="str">
            <v>EOPT_VOL_AS51_4_4</v>
          </cell>
          <cell r="B8691" t="str">
            <v>AS51 VOL 5Y 140</v>
          </cell>
          <cell r="C8691" t="str">
            <v>_BRS_GOLD__5_EQ:BRS_GOLD__1_EQX:EOPT_VOL_AS51_4_4</v>
          </cell>
          <cell r="D8691" t="str">
            <v>Index</v>
          </cell>
          <cell r="E8691" t="str">
            <v>Index Level</v>
          </cell>
          <cell r="F8691" t="str">
            <v>EQ-Equity Implied Volatility</v>
          </cell>
          <cell r="G8691" t="str">
            <v>EQ-Other</v>
          </cell>
          <cell r="H8691" t="str">
            <v>EQ_INDICES</v>
          </cell>
          <cell r="I8691" t="str">
            <v>Equity Implied Volatility</v>
          </cell>
        </row>
        <row r="8692">
          <cell r="A8692" t="str">
            <v>EOPT_VOL_AS51_1_M</v>
          </cell>
          <cell r="B8692" t="str">
            <v>AS51 VOL 2W 100</v>
          </cell>
          <cell r="C8692" t="str">
            <v>_BRS_GOLD__5_EQ:BRS_GOLD__1_EQX:EOPT_VOL_AS51_1_M</v>
          </cell>
          <cell r="D8692" t="str">
            <v>Index</v>
          </cell>
          <cell r="E8692" t="str">
            <v>Index Level</v>
          </cell>
          <cell r="F8692" t="str">
            <v>EQ-Equity Implied Volatility</v>
          </cell>
          <cell r="G8692" t="str">
            <v>EQ-Other</v>
          </cell>
          <cell r="H8692" t="str">
            <v>EQ_INDICES</v>
          </cell>
          <cell r="I8692" t="str">
            <v>Equity Implied Volatility</v>
          </cell>
        </row>
        <row r="8693">
          <cell r="A8693" t="str">
            <v>EOPT_VOL_AS51_2_M</v>
          </cell>
          <cell r="B8693" t="str">
            <v>AS51 VOL 2M 100</v>
          </cell>
          <cell r="C8693" t="str">
            <v>_BRS_GOLD__5_EQ:BRS_GOLD__1_EQX:EOPT_VOL_AS51_2_M</v>
          </cell>
          <cell r="D8693" t="str">
            <v>Index</v>
          </cell>
          <cell r="E8693" t="str">
            <v>Index Level</v>
          </cell>
          <cell r="F8693" t="str">
            <v>EQ-Equity Implied Volatility</v>
          </cell>
          <cell r="G8693" t="str">
            <v>EQ-Other</v>
          </cell>
          <cell r="H8693" t="str">
            <v>EQ_INDICES</v>
          </cell>
          <cell r="I8693" t="str">
            <v>Equity Implied Volatility</v>
          </cell>
        </row>
        <row r="8694">
          <cell r="A8694" t="str">
            <v>EOPT_VOL_AS51_3_M</v>
          </cell>
          <cell r="B8694" t="str">
            <v>AS51 VOL 1Y 100</v>
          </cell>
          <cell r="C8694" t="str">
            <v>_BRS_GOLD__5_EQ:BRS_GOLD__1_EQX:EOPT_VOL_AS51_3_M</v>
          </cell>
          <cell r="D8694" t="str">
            <v>Index</v>
          </cell>
          <cell r="E8694" t="str">
            <v>Index Level</v>
          </cell>
          <cell r="F8694" t="str">
            <v>EQ-Equity Implied Volatility</v>
          </cell>
          <cell r="G8694" t="str">
            <v>EQ-Other</v>
          </cell>
          <cell r="H8694" t="str">
            <v>EQ_INDICES</v>
          </cell>
          <cell r="I8694" t="str">
            <v>Equity Implied Volatility</v>
          </cell>
        </row>
        <row r="8695">
          <cell r="A8695" t="str">
            <v>EOPT_VOL_AS51_4_M</v>
          </cell>
          <cell r="B8695" t="str">
            <v>AS51 VOL 5Y 100</v>
          </cell>
          <cell r="C8695" t="str">
            <v>_BRS_GOLD__5_EQ:BRS_GOLD__1_EQX:EOPT_VOL_AS51_4_M</v>
          </cell>
          <cell r="D8695" t="str">
            <v>Index</v>
          </cell>
          <cell r="E8695" t="str">
            <v>Index Level</v>
          </cell>
          <cell r="F8695" t="str">
            <v>EQ-Equity Implied Volatility</v>
          </cell>
          <cell r="G8695" t="str">
            <v>EQ-Other</v>
          </cell>
          <cell r="H8695" t="str">
            <v>EQ_INDICES</v>
          </cell>
          <cell r="I8695" t="str">
            <v>Equity Implied Volatility</v>
          </cell>
        </row>
        <row r="8696">
          <cell r="A8696" t="str">
            <v>EOPT_VOL_DAX_1_M</v>
          </cell>
          <cell r="B8696" t="str">
            <v>DAX VOL 2W 100</v>
          </cell>
          <cell r="C8696" t="str">
            <v>_BRS_GOLD__5_EQ:BRS_GOLD__1_EQX:EOPT_VOL_DAX_1_M</v>
          </cell>
          <cell r="D8696" t="str">
            <v>Index</v>
          </cell>
          <cell r="E8696" t="str">
            <v>Index Level</v>
          </cell>
          <cell r="F8696" t="str">
            <v>EQ-Equity Implied Volatility</v>
          </cell>
          <cell r="G8696" t="str">
            <v>EQ-Other</v>
          </cell>
          <cell r="H8696" t="str">
            <v>EQ_INDICES</v>
          </cell>
          <cell r="I8696" t="str">
            <v>Equity Implied Volatility</v>
          </cell>
        </row>
        <row r="8697">
          <cell r="A8697" t="str">
            <v>EOPT_VOL_DAX_2_M</v>
          </cell>
          <cell r="B8697" t="str">
            <v>DAX VOL 2M 100</v>
          </cell>
          <cell r="C8697" t="str">
            <v>_BRS_GOLD__5_EQ:BRS_GOLD__1_EQX:EOPT_VOL_DAX_2_M</v>
          </cell>
          <cell r="D8697" t="str">
            <v>Index</v>
          </cell>
          <cell r="E8697" t="str">
            <v>Index Level</v>
          </cell>
          <cell r="F8697" t="str">
            <v>EQ-Equity Implied Volatility</v>
          </cell>
          <cell r="G8697" t="str">
            <v>EQ-Other</v>
          </cell>
          <cell r="H8697" t="str">
            <v>EQ_INDICES</v>
          </cell>
          <cell r="I8697" t="str">
            <v>Equity Implied Volatility</v>
          </cell>
        </row>
        <row r="8698">
          <cell r="A8698" t="str">
            <v>EOPT_VOL_DAX_3_M</v>
          </cell>
          <cell r="B8698" t="str">
            <v>DAX VOL 1Y 100</v>
          </cell>
          <cell r="C8698" t="str">
            <v>_BRS_GOLD__5_EQ:BRS_GOLD__1_EQX:EOPT_VOL_DAX_3_M</v>
          </cell>
          <cell r="D8698" t="str">
            <v>Index</v>
          </cell>
          <cell r="E8698" t="str">
            <v>Index Level</v>
          </cell>
          <cell r="F8698" t="str">
            <v>EQ-Equity Implied Volatility</v>
          </cell>
          <cell r="G8698" t="str">
            <v>EQ-Other</v>
          </cell>
          <cell r="H8698" t="str">
            <v>EQ_INDICES</v>
          </cell>
          <cell r="I8698" t="str">
            <v>Equity Implied Volatility</v>
          </cell>
        </row>
        <row r="8699">
          <cell r="A8699" t="str">
            <v>EOPT_VOL_DAX_4_M</v>
          </cell>
          <cell r="B8699" t="str">
            <v>DAX VOL 5Y 100</v>
          </cell>
          <cell r="C8699" t="str">
            <v>_BRS_GOLD__5_EQ:BRS_GOLD__1_EQX:EOPT_VOL_DAX_4_M</v>
          </cell>
          <cell r="D8699" t="str">
            <v>Index</v>
          </cell>
          <cell r="E8699" t="str">
            <v>Index Level</v>
          </cell>
          <cell r="F8699" t="str">
            <v>EQ-Equity Implied Volatility</v>
          </cell>
          <cell r="G8699" t="str">
            <v>EQ-Other</v>
          </cell>
          <cell r="H8699" t="str">
            <v>EQ_INDICES</v>
          </cell>
          <cell r="I8699" t="str">
            <v>Equity Implied Volatility</v>
          </cell>
        </row>
        <row r="8700">
          <cell r="A8700" t="str">
            <v>EOPT_VOL_FTSE_1_M</v>
          </cell>
          <cell r="B8700" t="str">
            <v>FTSE VOL 2W 100</v>
          </cell>
          <cell r="C8700" t="str">
            <v>_BRS_GOLD__5_EQ:BRS_GOLD__1_EQX:EOPT_VOL_FTSE_1_M</v>
          </cell>
          <cell r="D8700" t="str">
            <v>Index</v>
          </cell>
          <cell r="E8700" t="str">
            <v>Index Level</v>
          </cell>
          <cell r="F8700" t="str">
            <v>EQ-Equity Implied Volatility</v>
          </cell>
          <cell r="G8700" t="str">
            <v>EQ-Other</v>
          </cell>
          <cell r="H8700" t="str">
            <v>EQ_INDICES</v>
          </cell>
          <cell r="I8700" t="str">
            <v>Equity Implied Volatility</v>
          </cell>
        </row>
        <row r="8701">
          <cell r="A8701" t="str">
            <v>EOPT_VOL_FTSE_2_M</v>
          </cell>
          <cell r="B8701" t="str">
            <v>FTSE VOL 2M 100</v>
          </cell>
          <cell r="C8701" t="str">
            <v>_BRS_GOLD__5_EQ:BRS_GOLD__1_EQX:EOPT_VOL_FTSE_2_M</v>
          </cell>
          <cell r="D8701" t="str">
            <v>Index</v>
          </cell>
          <cell r="E8701" t="str">
            <v>Index Level</v>
          </cell>
          <cell r="F8701" t="str">
            <v>EQ-Equity Implied Volatility</v>
          </cell>
          <cell r="G8701" t="str">
            <v>EQ-Other</v>
          </cell>
          <cell r="H8701" t="str">
            <v>EQ_INDICES</v>
          </cell>
          <cell r="I8701" t="str">
            <v>Equity Implied Volatility</v>
          </cell>
        </row>
        <row r="8702">
          <cell r="A8702" t="str">
            <v>EOPT_VOL_FTSE_3_M</v>
          </cell>
          <cell r="B8702" t="str">
            <v>FTSE VOL 1Y 100</v>
          </cell>
          <cell r="C8702" t="str">
            <v>_BRS_GOLD__5_EQ:BRS_GOLD__1_EQX:EOPT_VOL_FTSE_3_M</v>
          </cell>
          <cell r="D8702" t="str">
            <v>Index</v>
          </cell>
          <cell r="E8702" t="str">
            <v>Index Level</v>
          </cell>
          <cell r="F8702" t="str">
            <v>EQ-Equity Implied Volatility</v>
          </cell>
          <cell r="G8702" t="str">
            <v>EQ-Other</v>
          </cell>
          <cell r="H8702" t="str">
            <v>EQ_INDICES</v>
          </cell>
          <cell r="I8702" t="str">
            <v>Equity Implied Volatility</v>
          </cell>
        </row>
        <row r="8703">
          <cell r="A8703" t="str">
            <v>EOPT_VOL_FTSE_4_M</v>
          </cell>
          <cell r="B8703" t="str">
            <v>FTSE VOL 5Y 100</v>
          </cell>
          <cell r="C8703" t="str">
            <v>_BRS_GOLD__5_EQ:BRS_GOLD__1_EQX:EOPT_VOL_FTSE_4_M</v>
          </cell>
          <cell r="D8703" t="str">
            <v>Index</v>
          </cell>
          <cell r="E8703" t="str">
            <v>Index Level</v>
          </cell>
          <cell r="F8703" t="str">
            <v>EQ-Equity Implied Volatility</v>
          </cell>
          <cell r="G8703" t="str">
            <v>EQ-Other</v>
          </cell>
          <cell r="H8703" t="str">
            <v>EQ_INDICES</v>
          </cell>
          <cell r="I8703" t="str">
            <v>Equity Implied Volatility</v>
          </cell>
        </row>
        <row r="8704">
          <cell r="A8704" t="str">
            <v>EOPT_VOL_HANGSENG_1_M</v>
          </cell>
          <cell r="B8704" t="str">
            <v>HANGSENG VOL 2W 100</v>
          </cell>
          <cell r="C8704" t="str">
            <v>_BRS_GOLD__5_EQ:BRS_GOLD__1_EQX:EOPT_VOL_HANGSENG_1_M</v>
          </cell>
          <cell r="D8704" t="str">
            <v>Index</v>
          </cell>
          <cell r="E8704" t="str">
            <v>Index Level</v>
          </cell>
          <cell r="F8704" t="str">
            <v>EQ-Equity Implied Volatility</v>
          </cell>
          <cell r="G8704" t="str">
            <v>EQ-Other</v>
          </cell>
          <cell r="H8704" t="str">
            <v>EQ_INDICES</v>
          </cell>
          <cell r="I8704" t="str">
            <v>Equity Implied Volatility</v>
          </cell>
        </row>
        <row r="8705">
          <cell r="A8705" t="str">
            <v>EOPT_VOL_HANGSENG_2_M</v>
          </cell>
          <cell r="B8705" t="str">
            <v>HANGSENG VOL 2M 100</v>
          </cell>
          <cell r="C8705" t="str">
            <v>_BRS_GOLD__5_EQ:BRS_GOLD__1_EQX:EOPT_VOL_HANGSENG_2_M</v>
          </cell>
          <cell r="D8705" t="str">
            <v>Index</v>
          </cell>
          <cell r="E8705" t="str">
            <v>Index Level</v>
          </cell>
          <cell r="F8705" t="str">
            <v>EQ-Equity Implied Volatility</v>
          </cell>
          <cell r="G8705" t="str">
            <v>EQ-Other</v>
          </cell>
          <cell r="H8705" t="str">
            <v>EQ_INDICES</v>
          </cell>
          <cell r="I8705" t="str">
            <v>Equity Implied Volatility</v>
          </cell>
        </row>
        <row r="8706">
          <cell r="A8706" t="str">
            <v>EOPT_VOL_HANGSENG_3_M</v>
          </cell>
          <cell r="B8706" t="str">
            <v>HANGSENG VOL 1Y 100</v>
          </cell>
          <cell r="C8706" t="str">
            <v>_BRS_GOLD__5_EQ:BRS_GOLD__1_EQX:EOPT_VOL_HANGSENG_3_M</v>
          </cell>
          <cell r="D8706" t="str">
            <v>Index</v>
          </cell>
          <cell r="E8706" t="str">
            <v>Index Level</v>
          </cell>
          <cell r="F8706" t="str">
            <v>EQ-Equity Implied Volatility</v>
          </cell>
          <cell r="G8706" t="str">
            <v>EQ-Other</v>
          </cell>
          <cell r="H8706" t="str">
            <v>EQ_INDICES</v>
          </cell>
          <cell r="I8706" t="str">
            <v>Equity Implied Volatility</v>
          </cell>
        </row>
        <row r="8707">
          <cell r="A8707" t="str">
            <v>EOPT_VOL_HANGSENG_4_M</v>
          </cell>
          <cell r="B8707" t="str">
            <v>HANGSENG VOL 5Y 100</v>
          </cell>
          <cell r="C8707" t="str">
            <v>_BRS_GOLD__5_EQ:BRS_GOLD__1_EQX:EOPT_VOL_HANGSENG_4_M</v>
          </cell>
          <cell r="D8707" t="str">
            <v>Index</v>
          </cell>
          <cell r="E8707" t="str">
            <v>Index Level</v>
          </cell>
          <cell r="F8707" t="str">
            <v>EQ-Equity Implied Volatility</v>
          </cell>
          <cell r="G8707" t="str">
            <v>EQ-Other</v>
          </cell>
          <cell r="H8707" t="str">
            <v>EQ_INDICES</v>
          </cell>
          <cell r="I8707" t="str">
            <v>Equity Implied Volatility</v>
          </cell>
        </row>
        <row r="8708">
          <cell r="A8708" t="str">
            <v>EOPT_VOL_KOSPI_1_M</v>
          </cell>
          <cell r="B8708" t="str">
            <v>KOSPI VOL 2W 100</v>
          </cell>
          <cell r="C8708" t="str">
            <v>_BRS_GOLD__5_EQ:BRS_GOLD__1_EQX:EOPT_VOL_KOSPI_1_M</v>
          </cell>
          <cell r="D8708" t="str">
            <v>Index</v>
          </cell>
          <cell r="E8708" t="str">
            <v>Index Level</v>
          </cell>
          <cell r="F8708" t="str">
            <v>EQ-Equity Implied Volatility</v>
          </cell>
          <cell r="G8708" t="str">
            <v>EQ-Other</v>
          </cell>
          <cell r="H8708" t="str">
            <v>EQ_INDICES</v>
          </cell>
          <cell r="I8708" t="str">
            <v>Equity Implied Volatility</v>
          </cell>
        </row>
        <row r="8709">
          <cell r="A8709" t="str">
            <v>EOPT_VOL_KOSPI_2_M</v>
          </cell>
          <cell r="B8709" t="str">
            <v>KOSPI VOL 2M 100</v>
          </cell>
          <cell r="C8709" t="str">
            <v>_BRS_GOLD__5_EQ:BRS_GOLD__1_EQX:EOPT_VOL_KOSPI_2_M</v>
          </cell>
          <cell r="D8709" t="str">
            <v>Index</v>
          </cell>
          <cell r="E8709" t="str">
            <v>Index Level</v>
          </cell>
          <cell r="F8709" t="str">
            <v>EQ-Equity Implied Volatility</v>
          </cell>
          <cell r="G8709" t="str">
            <v>EQ-Other</v>
          </cell>
          <cell r="H8709" t="str">
            <v>EQ_INDICES</v>
          </cell>
          <cell r="I8709" t="str">
            <v>Equity Implied Volatility</v>
          </cell>
        </row>
        <row r="8710">
          <cell r="A8710" t="str">
            <v>EOPT_VOL_KOSPI_3_M</v>
          </cell>
          <cell r="B8710" t="str">
            <v>KOSPI VOL 1Y 100</v>
          </cell>
          <cell r="C8710" t="str">
            <v>_BRS_GOLD__5_EQ:BRS_GOLD__1_EQX:EOPT_VOL_KOSPI_3_M</v>
          </cell>
          <cell r="D8710" t="str">
            <v>Index</v>
          </cell>
          <cell r="E8710" t="str">
            <v>Index Level</v>
          </cell>
          <cell r="F8710" t="str">
            <v>EQ-Equity Implied Volatility</v>
          </cell>
          <cell r="G8710" t="str">
            <v>EQ-Other</v>
          </cell>
          <cell r="H8710" t="str">
            <v>EQ_INDICES</v>
          </cell>
          <cell r="I8710" t="str">
            <v>Equity Implied Volatility</v>
          </cell>
        </row>
        <row r="8711">
          <cell r="A8711" t="str">
            <v>EOPT_VOL_KOSPI_4_M</v>
          </cell>
          <cell r="B8711" t="str">
            <v>KOSPI VOL 5Y 100</v>
          </cell>
          <cell r="C8711" t="str">
            <v>_BRS_GOLD__5_EQ:BRS_GOLD__1_EQX:EOPT_VOL_KOSPI_4_M</v>
          </cell>
          <cell r="D8711" t="str">
            <v>Index</v>
          </cell>
          <cell r="E8711" t="str">
            <v>Index Level</v>
          </cell>
          <cell r="F8711" t="str">
            <v>EQ-Equity Implied Volatility</v>
          </cell>
          <cell r="G8711" t="str">
            <v>EQ-Other</v>
          </cell>
          <cell r="H8711" t="str">
            <v>EQ_INDICES</v>
          </cell>
          <cell r="I8711" t="str">
            <v>Equity Implied Volatility</v>
          </cell>
        </row>
        <row r="8712">
          <cell r="A8712" t="str">
            <v>EOPT_VOL_NIKKEI_1_M</v>
          </cell>
          <cell r="B8712" t="str">
            <v>NIKKEI VOL 2W 100</v>
          </cell>
          <cell r="C8712" t="str">
            <v>_BRS_GOLD__5_EQ:BRS_GOLD__1_EQX:EOPT_VOL_NIKKEI_1_M</v>
          </cell>
          <cell r="D8712" t="str">
            <v>Index</v>
          </cell>
          <cell r="E8712" t="str">
            <v>Index Level</v>
          </cell>
          <cell r="F8712" t="str">
            <v>EQ-Equity Implied Volatility</v>
          </cell>
          <cell r="G8712" t="str">
            <v>EQ-Other</v>
          </cell>
          <cell r="H8712" t="str">
            <v>EQ_INDICES</v>
          </cell>
          <cell r="I8712" t="str">
            <v>Equity Implied Volatility</v>
          </cell>
        </row>
        <row r="8713">
          <cell r="A8713" t="str">
            <v>EOPT_VOL_NIKKEI_2_M</v>
          </cell>
          <cell r="B8713" t="str">
            <v>NIKKEI VOL 2M 100</v>
          </cell>
          <cell r="C8713" t="str">
            <v>_BRS_GOLD__5_EQ:BRS_GOLD__1_EQX:EOPT_VOL_NIKKEI_2_M</v>
          </cell>
          <cell r="D8713" t="str">
            <v>Index</v>
          </cell>
          <cell r="E8713" t="str">
            <v>Index Level</v>
          </cell>
          <cell r="F8713" t="str">
            <v>EQ-Equity Implied Volatility</v>
          </cell>
          <cell r="G8713" t="str">
            <v>EQ-Other</v>
          </cell>
          <cell r="H8713" t="str">
            <v>EQ_INDICES</v>
          </cell>
          <cell r="I8713" t="str">
            <v>Equity Implied Volatility</v>
          </cell>
        </row>
        <row r="8714">
          <cell r="A8714" t="str">
            <v>EOPT_VOL_NIKKEI_3_M</v>
          </cell>
          <cell r="B8714" t="str">
            <v>NIKKEI VOL 1Y 100</v>
          </cell>
          <cell r="C8714" t="str">
            <v>_BRS_GOLD__5_EQ:BRS_GOLD__1_EQX:EOPT_VOL_NIKKEI_3_M</v>
          </cell>
          <cell r="D8714" t="str">
            <v>Index</v>
          </cell>
          <cell r="E8714" t="str">
            <v>Index Level</v>
          </cell>
          <cell r="F8714" t="str">
            <v>EQ-Equity Implied Volatility</v>
          </cell>
          <cell r="G8714" t="str">
            <v>EQ-Other</v>
          </cell>
          <cell r="H8714" t="str">
            <v>EQ_INDICES</v>
          </cell>
          <cell r="I8714" t="str">
            <v>Equity Implied Volatility</v>
          </cell>
        </row>
        <row r="8715">
          <cell r="A8715" t="str">
            <v>EOPT_VOL_NIKKEI_4_M</v>
          </cell>
          <cell r="B8715" t="str">
            <v>NIKKEI VOL 5Y 100</v>
          </cell>
          <cell r="C8715" t="str">
            <v>Equity Indices:NIKKEI VOL 5Y 100</v>
          </cell>
          <cell r="D8715" t="str">
            <v>Index</v>
          </cell>
          <cell r="E8715" t="str">
            <v>Index Level</v>
          </cell>
          <cell r="F8715" t="str">
            <v>EQ-Equity Implied Volatility</v>
          </cell>
          <cell r="G8715" t="str">
            <v>EQ-Other</v>
          </cell>
          <cell r="H8715" t="str">
            <v>EQ_INDICES</v>
          </cell>
          <cell r="I8715" t="str">
            <v>Equity Implied Volatility</v>
          </cell>
        </row>
        <row r="8716">
          <cell r="A8716" t="str">
            <v>EOPT_VOL_SPX_1_M</v>
          </cell>
          <cell r="B8716" t="str">
            <v>SPX VOL 2W 100</v>
          </cell>
          <cell r="C8716" t="str">
            <v>_BRS_GOLD__5_EQ:BRS_GOLD__1_EQX:EOPT_VOL_SPX_1_M</v>
          </cell>
          <cell r="D8716" t="str">
            <v>Index</v>
          </cell>
          <cell r="E8716" t="str">
            <v>Index Level</v>
          </cell>
          <cell r="F8716" t="str">
            <v>EQ-Equity Implied Volatility</v>
          </cell>
          <cell r="G8716" t="str">
            <v>EQ-Other</v>
          </cell>
          <cell r="H8716" t="str">
            <v>EQ_INDICES</v>
          </cell>
          <cell r="I8716" t="str">
            <v>Equity Implied Volatility</v>
          </cell>
        </row>
        <row r="8717">
          <cell r="A8717" t="str">
            <v>EOPT_VOL_SPX_2_M</v>
          </cell>
          <cell r="B8717" t="str">
            <v>SPX VOL 2M 100</v>
          </cell>
          <cell r="C8717" t="str">
            <v>_BRS_GOLD__5_EQ:BRS_GOLD__1_EQX:EOPT_VOL_SPX_2_M</v>
          </cell>
          <cell r="D8717" t="str">
            <v>Index</v>
          </cell>
          <cell r="E8717" t="str">
            <v>Index Level</v>
          </cell>
          <cell r="F8717" t="str">
            <v>EQ-Equity Implied Volatility</v>
          </cell>
          <cell r="G8717" t="str">
            <v>EQ-Other</v>
          </cell>
          <cell r="H8717" t="str">
            <v>EQ_INDICES</v>
          </cell>
          <cell r="I8717" t="str">
            <v>Equity Implied Volatility</v>
          </cell>
        </row>
        <row r="8718">
          <cell r="A8718" t="str">
            <v>EOPT_VOL_SPX_3_M</v>
          </cell>
          <cell r="B8718" t="str">
            <v>SPX VOL 1Y 100</v>
          </cell>
          <cell r="C8718" t="str">
            <v>_BRS_GOLD__5_EQ:BRS_GOLD__1_EQX:EOPT_VOL_SPX_3_M</v>
          </cell>
          <cell r="D8718" t="str">
            <v>Index</v>
          </cell>
          <cell r="E8718" t="str">
            <v>Index Level</v>
          </cell>
          <cell r="F8718" t="str">
            <v>EQ-Equity Implied Volatility</v>
          </cell>
          <cell r="G8718" t="str">
            <v>EQ-Other</v>
          </cell>
          <cell r="H8718" t="str">
            <v>EQ_INDICES</v>
          </cell>
          <cell r="I8718" t="str">
            <v>Equity Implied Volatility</v>
          </cell>
        </row>
        <row r="8719">
          <cell r="A8719" t="str">
            <v>EOPT_VOL_SPX_4_M</v>
          </cell>
          <cell r="B8719" t="str">
            <v>SPX VOL 5Y 100</v>
          </cell>
          <cell r="C8719" t="str">
            <v>_BRS_GOLD__5_EQ:BRS_GOLD__1_EQX:EOPT_VOL_SPX_4_M</v>
          </cell>
          <cell r="D8719" t="str">
            <v>Index</v>
          </cell>
          <cell r="E8719" t="str">
            <v>Index Level</v>
          </cell>
          <cell r="F8719" t="str">
            <v>EQ-Equity Implied Volatility</v>
          </cell>
          <cell r="G8719" t="str">
            <v>EQ-Other</v>
          </cell>
          <cell r="H8719" t="str">
            <v>EQ_INDICES</v>
          </cell>
          <cell r="I8719" t="str">
            <v>Equity Implied Volatility</v>
          </cell>
        </row>
        <row r="8720">
          <cell r="A8720" t="str">
            <v>EOPT_VOL_STOXX_1_M</v>
          </cell>
          <cell r="B8720" t="str">
            <v>STOXX VOL 2W 100</v>
          </cell>
          <cell r="C8720" t="str">
            <v>_BRS_GOLD__5_EQ:BRS_GOLD__1_EQX:EOPT_VOL_STOXX_1_M</v>
          </cell>
          <cell r="D8720" t="str">
            <v>Index</v>
          </cell>
          <cell r="E8720" t="str">
            <v>Index Level</v>
          </cell>
          <cell r="F8720" t="str">
            <v>EQ-Equity Implied Volatility</v>
          </cell>
          <cell r="G8720" t="str">
            <v>EQ-Other</v>
          </cell>
          <cell r="H8720" t="str">
            <v>EQ_INDICES</v>
          </cell>
          <cell r="I8720" t="str">
            <v>Equity Implied Volatility</v>
          </cell>
        </row>
        <row r="8721">
          <cell r="A8721" t="str">
            <v>EOPT_VOL_STOXX_2_M</v>
          </cell>
          <cell r="B8721" t="str">
            <v>STOXX VOL 2M 100</v>
          </cell>
          <cell r="C8721" t="str">
            <v>_BRS_GOLD__5_EQ:BRS_GOLD__1_EQX:EOPT_VOL_STOXX_2_M</v>
          </cell>
          <cell r="D8721" t="str">
            <v>Index</v>
          </cell>
          <cell r="E8721" t="str">
            <v>Index Level</v>
          </cell>
          <cell r="F8721" t="str">
            <v>EQ-Equity Implied Volatility</v>
          </cell>
          <cell r="G8721" t="str">
            <v>EQ-Other</v>
          </cell>
          <cell r="H8721" t="str">
            <v>EQ_INDICES</v>
          </cell>
          <cell r="I8721" t="str">
            <v>Equity Implied Volatility</v>
          </cell>
        </row>
        <row r="8722">
          <cell r="A8722" t="str">
            <v>EOPT_VOL_STOXX_3_M</v>
          </cell>
          <cell r="B8722" t="str">
            <v>STOXX VOL 1Y 100</v>
          </cell>
          <cell r="C8722" t="str">
            <v>_BRS_GOLD__5_EQ:BRS_GOLD__1_EQX:EOPT_VOL_STOXX_3_M</v>
          </cell>
          <cell r="D8722" t="str">
            <v>Index</v>
          </cell>
          <cell r="E8722" t="str">
            <v>Index Level</v>
          </cell>
          <cell r="F8722" t="str">
            <v>EQ-Equity Implied Volatility</v>
          </cell>
          <cell r="G8722" t="str">
            <v>EQ-Other</v>
          </cell>
          <cell r="H8722" t="str">
            <v>EQ_INDICES</v>
          </cell>
          <cell r="I8722" t="str">
            <v>Equity Implied Volatility</v>
          </cell>
        </row>
        <row r="8723">
          <cell r="A8723" t="str">
            <v>EOPT_VOL_STOXX_4_M</v>
          </cell>
          <cell r="B8723" t="str">
            <v>STOXX VOL 5Y 100</v>
          </cell>
          <cell r="C8723" t="str">
            <v>_BRS_GOLD__5_EQ:BRS_GOLD__1_EQX:EOPT_VOL_STOXX_4_M</v>
          </cell>
          <cell r="D8723" t="str">
            <v>Index</v>
          </cell>
          <cell r="E8723" t="str">
            <v>Index Level</v>
          </cell>
          <cell r="F8723" t="str">
            <v>EQ-Equity Implied Volatility</v>
          </cell>
          <cell r="G8723" t="str">
            <v>EQ-Other</v>
          </cell>
          <cell r="H8723" t="str">
            <v>EQ_INDICES</v>
          </cell>
          <cell r="I8723" t="str">
            <v>Equity Implied Volatility</v>
          </cell>
        </row>
        <row r="8724">
          <cell r="A8724" t="str">
            <v>EOPT_VOL_VIX_1_1</v>
          </cell>
          <cell r="B8724" t="str">
            <v>VIX VOL 2W 60</v>
          </cell>
          <cell r="C8724" t="str">
            <v>_BRS_GOLD__5_EQ:BRS_GOLD__1_EQX:EOPT_VOL_VIX_1_1</v>
          </cell>
          <cell r="D8724" t="str">
            <v>Index</v>
          </cell>
          <cell r="E8724" t="str">
            <v>Index Level</v>
          </cell>
          <cell r="F8724" t="str">
            <v>EQ-Equity Implied Volatility</v>
          </cell>
          <cell r="G8724" t="str">
            <v>EQ-Other</v>
          </cell>
          <cell r="H8724" t="str">
            <v>EQ_INDICES</v>
          </cell>
          <cell r="I8724" t="str">
            <v>Equity Implied Volatility</v>
          </cell>
        </row>
        <row r="8725">
          <cell r="A8725" t="str">
            <v>EOPT_VOL_VIX_1_2</v>
          </cell>
          <cell r="B8725" t="str">
            <v>VIX VOL 2W 90</v>
          </cell>
          <cell r="C8725" t="str">
            <v>_BRS_GOLD__5_EQ:BRS_GOLD__1_EQX:EOPT_VOL_VIX_1_2</v>
          </cell>
          <cell r="D8725" t="str">
            <v>Index</v>
          </cell>
          <cell r="E8725" t="str">
            <v>Index Level</v>
          </cell>
          <cell r="F8725" t="str">
            <v>EQ-Equity Implied Volatility</v>
          </cell>
          <cell r="G8725" t="str">
            <v>EQ-Other</v>
          </cell>
          <cell r="H8725" t="str">
            <v>EQ_INDICES</v>
          </cell>
          <cell r="I8725" t="str">
            <v>Equity Implied Volatility</v>
          </cell>
        </row>
        <row r="8726">
          <cell r="A8726" t="str">
            <v>EOPT_VOL_VIX_1_3</v>
          </cell>
          <cell r="B8726" t="str">
            <v>VIX VOL 2W 110</v>
          </cell>
          <cell r="C8726" t="str">
            <v>_BRS_GOLD__5_EQ:BRS_GOLD__1_EQX:EOPT_VOL_VIX_1_3</v>
          </cell>
          <cell r="D8726" t="str">
            <v>Index</v>
          </cell>
          <cell r="E8726" t="str">
            <v>Index Level</v>
          </cell>
          <cell r="F8726" t="str">
            <v>EQ-Equity Implied Volatility</v>
          </cell>
          <cell r="G8726" t="str">
            <v>EQ-Other</v>
          </cell>
          <cell r="H8726" t="str">
            <v>EQ_INDICES</v>
          </cell>
          <cell r="I8726" t="str">
            <v>Equity Implied Volatility</v>
          </cell>
        </row>
        <row r="8727">
          <cell r="A8727" t="str">
            <v>EOPT_VOL_VIX_1_4</v>
          </cell>
          <cell r="B8727" t="str">
            <v>VIX VOL 2W 140</v>
          </cell>
          <cell r="C8727" t="str">
            <v>_BRS_GOLD__5_EQ:BRS_GOLD__1_EQX:EOPT_VOL_VIX_1_4</v>
          </cell>
          <cell r="D8727" t="str">
            <v>Index</v>
          </cell>
          <cell r="E8727" t="str">
            <v>Index Level</v>
          </cell>
          <cell r="F8727" t="str">
            <v>EQ-Equity Implied Volatility</v>
          </cell>
          <cell r="G8727" t="str">
            <v>EQ-Other</v>
          </cell>
          <cell r="H8727" t="str">
            <v>EQ_INDICES</v>
          </cell>
          <cell r="I8727" t="str">
            <v>Equity Implied Volatility</v>
          </cell>
        </row>
        <row r="8728">
          <cell r="A8728" t="str">
            <v>EOPT_VOL_VIX_2_1</v>
          </cell>
          <cell r="B8728" t="str">
            <v>VIX VOL 2M 60</v>
          </cell>
          <cell r="C8728" t="str">
            <v>_BRS_GOLD__5_EQ:BRS_GOLD__1_EQX:EOPT_VOL_VIX_2_1</v>
          </cell>
          <cell r="D8728" t="str">
            <v>Index</v>
          </cell>
          <cell r="E8728" t="str">
            <v>Index Level</v>
          </cell>
          <cell r="F8728" t="str">
            <v>EQ-Equity Implied Volatility</v>
          </cell>
          <cell r="G8728" t="str">
            <v>EQ-Other</v>
          </cell>
          <cell r="H8728" t="str">
            <v>EQ_INDICES</v>
          </cell>
          <cell r="I8728" t="str">
            <v>Equity Implied Volatility</v>
          </cell>
        </row>
        <row r="8729">
          <cell r="A8729" t="str">
            <v>EOPT_VOL_VIX_2_2</v>
          </cell>
          <cell r="B8729" t="str">
            <v>VIX VOL 2M 90</v>
          </cell>
          <cell r="C8729" t="str">
            <v>_BRS_GOLD__5_EQ:BRS_GOLD__1_EQX:EOPT_VOL_VIX_2_2</v>
          </cell>
          <cell r="D8729" t="str">
            <v>Index</v>
          </cell>
          <cell r="E8729" t="str">
            <v>Index Level</v>
          </cell>
          <cell r="F8729" t="str">
            <v>EQ-Equity Implied Volatility</v>
          </cell>
          <cell r="G8729" t="str">
            <v>EQ-Other</v>
          </cell>
          <cell r="H8729" t="str">
            <v>EQ_INDICES</v>
          </cell>
          <cell r="I8729" t="str">
            <v>Equity Implied Volatility</v>
          </cell>
        </row>
        <row r="8730">
          <cell r="A8730" t="str">
            <v>EOPT_VOL_VIX_2_3</v>
          </cell>
          <cell r="B8730" t="str">
            <v>VIX VOL 2M 110</v>
          </cell>
          <cell r="C8730" t="str">
            <v>_BRS_GOLD__5_EQ:BRS_GOLD__1_EQX:EOPT_VOL_VIX_2_3</v>
          </cell>
          <cell r="D8730" t="str">
            <v>Index</v>
          </cell>
          <cell r="E8730" t="str">
            <v>Index Level</v>
          </cell>
          <cell r="F8730" t="str">
            <v>EQ-Equity Implied Volatility</v>
          </cell>
          <cell r="G8730" t="str">
            <v>EQ-Other</v>
          </cell>
          <cell r="H8730" t="str">
            <v>EQ_INDICES</v>
          </cell>
          <cell r="I8730" t="str">
            <v>Equity Implied Volatility</v>
          </cell>
        </row>
        <row r="8731">
          <cell r="A8731" t="str">
            <v>EOPT_VOL_VIX_2_4</v>
          </cell>
          <cell r="B8731" t="str">
            <v>VIX VOL 2M 140</v>
          </cell>
          <cell r="C8731" t="str">
            <v>_BRS_GOLD__5_EQ:BRS_GOLD__1_EQX:EOPT_VOL_VIX_2_4</v>
          </cell>
          <cell r="D8731" t="str">
            <v>Index</v>
          </cell>
          <cell r="E8731" t="str">
            <v>Index Level</v>
          </cell>
          <cell r="F8731" t="str">
            <v>EQ-Equity Implied Volatility</v>
          </cell>
          <cell r="G8731" t="str">
            <v>EQ-Other</v>
          </cell>
          <cell r="H8731" t="str">
            <v>EQ_INDICES</v>
          </cell>
          <cell r="I8731" t="str">
            <v>Equity Implied Volatility</v>
          </cell>
        </row>
        <row r="8732">
          <cell r="A8732" t="str">
            <v>EOPT_VOL_VIX_3_1</v>
          </cell>
          <cell r="B8732" t="str">
            <v>VIX VOL 1Y 60</v>
          </cell>
          <cell r="C8732" t="str">
            <v>_BRS_GOLD__5_EQ:BRS_GOLD__1_EQX:EOPT_VOL_VIX_3_1</v>
          </cell>
          <cell r="D8732" t="str">
            <v>Index</v>
          </cell>
          <cell r="E8732" t="str">
            <v>Index Level</v>
          </cell>
          <cell r="F8732" t="str">
            <v>EQ-Equity Implied Volatility</v>
          </cell>
          <cell r="G8732" t="str">
            <v>EQ-Other</v>
          </cell>
          <cell r="H8732" t="str">
            <v>EQ_INDICES</v>
          </cell>
          <cell r="I8732" t="str">
            <v>Equity Implied Volatility</v>
          </cell>
        </row>
        <row r="8733">
          <cell r="A8733" t="str">
            <v>EOPT_VOL_VIX_3_2</v>
          </cell>
          <cell r="B8733" t="str">
            <v>VIX VOL 1Y 90</v>
          </cell>
          <cell r="C8733" t="str">
            <v>_BRS_GOLD__5_EQ:BRS_GOLD__1_EQX:EOPT_VOL_VIX_3_2</v>
          </cell>
          <cell r="D8733" t="str">
            <v>Index</v>
          </cell>
          <cell r="E8733" t="str">
            <v>Index Level</v>
          </cell>
          <cell r="F8733" t="str">
            <v>EQ-Equity Implied Volatility</v>
          </cell>
          <cell r="G8733" t="str">
            <v>EQ-Other</v>
          </cell>
          <cell r="H8733" t="str">
            <v>EQ_INDICES</v>
          </cell>
          <cell r="I8733" t="str">
            <v>Equity Implied Volatility</v>
          </cell>
        </row>
        <row r="8734">
          <cell r="A8734" t="str">
            <v>EOPT_VOL_VIX_3_3</v>
          </cell>
          <cell r="B8734" t="str">
            <v>VIX VOL 1Y 110</v>
          </cell>
          <cell r="C8734" t="str">
            <v>_BRS_GOLD__5_EQ:BRS_GOLD__1_EQX:EOPT_VOL_VIX_3_3</v>
          </cell>
          <cell r="D8734" t="str">
            <v>Index</v>
          </cell>
          <cell r="E8734" t="str">
            <v>Index Level</v>
          </cell>
          <cell r="F8734" t="str">
            <v>EQ-Equity Implied Volatility</v>
          </cell>
          <cell r="G8734" t="str">
            <v>EQ-Other</v>
          </cell>
          <cell r="H8734" t="str">
            <v>EQ_INDICES</v>
          </cell>
          <cell r="I8734" t="str">
            <v>Equity Implied Volatility</v>
          </cell>
        </row>
        <row r="8735">
          <cell r="A8735" t="str">
            <v>EOPT_VOL_VIX_3_4</v>
          </cell>
          <cell r="B8735" t="str">
            <v>VIX VOL 1Y 140</v>
          </cell>
          <cell r="C8735" t="str">
            <v>_BRS_GOLD__5_EQ:BRS_GOLD__1_EQX:EOPT_VOL_VIX_3_4</v>
          </cell>
          <cell r="D8735" t="str">
            <v>Index</v>
          </cell>
          <cell r="E8735" t="str">
            <v>Index Level</v>
          </cell>
          <cell r="F8735" t="str">
            <v>EQ-Equity Implied Volatility</v>
          </cell>
          <cell r="G8735" t="str">
            <v>EQ-Other</v>
          </cell>
          <cell r="H8735" t="str">
            <v>EQ_INDICES</v>
          </cell>
          <cell r="I8735" t="str">
            <v>Equity Implied Volatility</v>
          </cell>
        </row>
        <row r="8736">
          <cell r="A8736" t="str">
            <v>EOPT_VOL_VIX_4_1</v>
          </cell>
          <cell r="B8736" t="str">
            <v>VIX VOL 5Y 60</v>
          </cell>
          <cell r="C8736" t="str">
            <v>_BRS_GOLD__5_EQ:BRS_GOLD__1_EQX:EOPT_VOL_VIX_4_1</v>
          </cell>
          <cell r="D8736" t="str">
            <v>Index</v>
          </cell>
          <cell r="E8736" t="str">
            <v>Index Level</v>
          </cell>
          <cell r="F8736" t="str">
            <v>EQ-Equity Implied Volatility</v>
          </cell>
          <cell r="G8736" t="str">
            <v>EQ-Other</v>
          </cell>
          <cell r="H8736" t="str">
            <v>EQ_INDICES</v>
          </cell>
          <cell r="I8736" t="str">
            <v>Equity Implied Volatility</v>
          </cell>
        </row>
        <row r="8737">
          <cell r="A8737" t="str">
            <v>EOPT_VOL_VIX_4_2</v>
          </cell>
          <cell r="B8737" t="str">
            <v>VIX VOL 5Y 90</v>
          </cell>
          <cell r="C8737" t="str">
            <v>_BRS_GOLD__5_EQ:BRS_GOLD__1_EQX:EOPT_VOL_VIX_4_2</v>
          </cell>
          <cell r="D8737" t="str">
            <v>Index</v>
          </cell>
          <cell r="E8737" t="str">
            <v>Index Level</v>
          </cell>
          <cell r="F8737" t="str">
            <v>EQ-Equity Implied Volatility</v>
          </cell>
          <cell r="G8737" t="str">
            <v>EQ-Other</v>
          </cell>
          <cell r="H8737" t="str">
            <v>EQ_INDICES</v>
          </cell>
          <cell r="I8737" t="str">
            <v>Equity Implied Volatility</v>
          </cell>
        </row>
        <row r="8738">
          <cell r="A8738" t="str">
            <v>EOPT_VOL_VIX_4_3</v>
          </cell>
          <cell r="B8738" t="str">
            <v>VIX VOL 5Y 110</v>
          </cell>
          <cell r="C8738" t="str">
            <v>_BRS_GOLD__5_EQ:BRS_GOLD__1_EQX:EOPT_VOL_VIX_4_3</v>
          </cell>
          <cell r="D8738" t="str">
            <v>Index</v>
          </cell>
          <cell r="E8738" t="str">
            <v>Index Level</v>
          </cell>
          <cell r="F8738" t="str">
            <v>EQ-Equity Implied Volatility</v>
          </cell>
          <cell r="G8738" t="str">
            <v>EQ-Other</v>
          </cell>
          <cell r="H8738" t="str">
            <v>EQ_INDICES</v>
          </cell>
          <cell r="I8738" t="str">
            <v>Equity Implied Volatility</v>
          </cell>
        </row>
        <row r="8739">
          <cell r="A8739" t="str">
            <v>EOPT_VOL_VIX_4_4</v>
          </cell>
          <cell r="B8739" t="str">
            <v>VIX VOL 5Y 140</v>
          </cell>
          <cell r="C8739" t="str">
            <v>_BRS_GOLD__5_EQ:BRS_GOLD__1_EQX:EOPT_VOL_VIX_4_4</v>
          </cell>
          <cell r="D8739" t="str">
            <v>Index</v>
          </cell>
          <cell r="E8739" t="str">
            <v>Index Level</v>
          </cell>
          <cell r="F8739" t="str">
            <v>EQ-Equity Implied Volatility</v>
          </cell>
          <cell r="G8739" t="str">
            <v>EQ-Other</v>
          </cell>
          <cell r="H8739" t="str">
            <v>EQ_INDICES</v>
          </cell>
          <cell r="I8739" t="str">
            <v>Equity Implied Volatility</v>
          </cell>
        </row>
        <row r="8740">
          <cell r="A8740" t="str">
            <v>EOPT_VOL_VIX_1_M</v>
          </cell>
          <cell r="B8740" t="str">
            <v>VIX VOL 2W 100</v>
          </cell>
          <cell r="C8740" t="str">
            <v>_BRS_GOLD__5_EQ:BRS_GOLD__1_EQX:EOPT_VOL_VIX_1_M</v>
          </cell>
          <cell r="D8740" t="str">
            <v>Index</v>
          </cell>
          <cell r="E8740" t="str">
            <v>Index Level</v>
          </cell>
          <cell r="F8740" t="str">
            <v>EQ-Equity Implied Volatility</v>
          </cell>
          <cell r="G8740" t="str">
            <v>EQ-Other</v>
          </cell>
          <cell r="H8740" t="str">
            <v>EQ_INDICES</v>
          </cell>
          <cell r="I8740" t="str">
            <v>Equity Implied Volatility</v>
          </cell>
        </row>
        <row r="8741">
          <cell r="A8741" t="str">
            <v>EOPT_VOL_VIX_2_M</v>
          </cell>
          <cell r="B8741" t="str">
            <v>VIX VOL 2M 100</v>
          </cell>
          <cell r="C8741" t="str">
            <v>_BRS_GOLD__5_EQ:BRS_GOLD__1_EQX:EOPT_VOL_VIX_2_M</v>
          </cell>
          <cell r="D8741" t="str">
            <v>Index</v>
          </cell>
          <cell r="E8741" t="str">
            <v>Index Level</v>
          </cell>
          <cell r="F8741" t="str">
            <v>EQ-Equity Implied Volatility</v>
          </cell>
          <cell r="G8741" t="str">
            <v>EQ-Other</v>
          </cell>
          <cell r="H8741" t="str">
            <v>EQ_INDICES</v>
          </cell>
          <cell r="I8741" t="str">
            <v>Equity Implied Volatility</v>
          </cell>
        </row>
        <row r="8742">
          <cell r="A8742" t="str">
            <v>EOPT_VOL_VIX_3_M</v>
          </cell>
          <cell r="B8742" t="str">
            <v>VIX VOL 1Y 100</v>
          </cell>
          <cell r="C8742" t="str">
            <v>_BRS_GOLD__5_EQ:BRS_GOLD__1_EQX:EOPT_VOL_VIX_3_M</v>
          </cell>
          <cell r="D8742" t="str">
            <v>Index</v>
          </cell>
          <cell r="E8742" t="str">
            <v>Index Level</v>
          </cell>
          <cell r="F8742" t="str">
            <v>EQ-Equity Implied Volatility</v>
          </cell>
          <cell r="G8742" t="str">
            <v>EQ-Other</v>
          </cell>
          <cell r="H8742" t="str">
            <v>EQ_INDICES</v>
          </cell>
          <cell r="I8742" t="str">
            <v>Equity Implied Volatility</v>
          </cell>
        </row>
        <row r="8743">
          <cell r="A8743" t="str">
            <v>EOPT_VOL_VIX_4_M</v>
          </cell>
          <cell r="B8743" t="str">
            <v>VIX VOL 5Y 100</v>
          </cell>
          <cell r="C8743" t="str">
            <v>_BRS_GOLD__5_EQ:BRS_GOLD__1_EQX:EOPT_VOL_VIX_4_M</v>
          </cell>
          <cell r="D8743" t="str">
            <v>Index</v>
          </cell>
          <cell r="E8743" t="str">
            <v>Index Level</v>
          </cell>
          <cell r="F8743" t="str">
            <v>EQ-Equity Implied Volatility</v>
          </cell>
          <cell r="G8743" t="str">
            <v>EQ-Other</v>
          </cell>
          <cell r="H8743" t="str">
            <v>EQ_INDICES</v>
          </cell>
          <cell r="I8743" t="str">
            <v>Equity Implied Volatility</v>
          </cell>
        </row>
        <row r="8744">
          <cell r="A8744" t="str">
            <v>AVXI</v>
          </cell>
          <cell r="B8744" t="str">
            <v>S&amp;P/ASX 200 VIX</v>
          </cell>
          <cell r="C8744" t="str">
            <v>_BRS_GOLD__5_EQ:BRS_GOLD__1_EQX:AVXI</v>
          </cell>
          <cell r="D8744" t="str">
            <v>Index</v>
          </cell>
          <cell r="E8744" t="str">
            <v>Index Level</v>
          </cell>
          <cell r="F8744" t="str">
            <v>EQ-Equity Implied Volatility</v>
          </cell>
          <cell r="G8744" t="str">
            <v>EQ-Other</v>
          </cell>
          <cell r="H8744" t="str">
            <v>EQ_INDICES</v>
          </cell>
          <cell r="I8744" t="str">
            <v>Equity Implied Volatility</v>
          </cell>
        </row>
        <row r="8745">
          <cell r="A8745" t="str">
            <v>VIXC</v>
          </cell>
          <cell r="B8745" t="str">
            <v>S&amp;P/TSX 60 VIX</v>
          </cell>
          <cell r="C8745" t="str">
            <v>_BRS_GOLD__5_EQ:BRS_GOLD__1_EQX:VIXC</v>
          </cell>
          <cell r="D8745" t="str">
            <v>Index</v>
          </cell>
          <cell r="E8745" t="str">
            <v>Index Level</v>
          </cell>
          <cell r="F8745" t="str">
            <v>EQ-Equity Implied Volatility</v>
          </cell>
          <cell r="G8745" t="str">
            <v>EQ-Other</v>
          </cell>
          <cell r="H8745" t="str">
            <v>EQ_INDICES</v>
          </cell>
          <cell r="I8745" t="str">
            <v>Equity Implied Volatility</v>
          </cell>
        </row>
        <row r="8746">
          <cell r="A8746" t="str">
            <v>MSWRLDEUR</v>
          </cell>
          <cell r="B8746" t="str">
            <v>MSCI WORLD PRICE INDEX IN EUR</v>
          </cell>
          <cell r="C8746" t="str">
            <v>_BRS_GOLD__5_EQ:BRS_GOLD__1_EQX:MSWRLDEUR</v>
          </cell>
          <cell r="D8746" t="str">
            <v>Index</v>
          </cell>
          <cell r="E8746" t="str">
            <v>Index Level</v>
          </cell>
          <cell r="F8746" t="str">
            <v>EQ-Equity Implied Volatility</v>
          </cell>
          <cell r="G8746" t="str">
            <v>EQ-Other</v>
          </cell>
          <cell r="H8746" t="str">
            <v>EQ_INDICES</v>
          </cell>
          <cell r="I8746" t="str">
            <v>Equity Implied Volatility</v>
          </cell>
        </row>
        <row r="8747">
          <cell r="A8747" t="str">
            <v>MSEMEUR</v>
          </cell>
          <cell r="B8747" t="str">
            <v>MSCI EM PRICE RETURN IN EUR</v>
          </cell>
          <cell r="C8747" t="str">
            <v>_BRS_GOLD__5_EQ:BRS_GOLD__1_EQX:MSEMEUR</v>
          </cell>
          <cell r="D8747" t="str">
            <v>Index</v>
          </cell>
          <cell r="E8747" t="str">
            <v>Index Level</v>
          </cell>
          <cell r="F8747" t="str">
            <v>EQ-Equity Implied Volatility</v>
          </cell>
          <cell r="G8747" t="str">
            <v>EQ-Other</v>
          </cell>
          <cell r="H8747" t="str">
            <v>EQ_INDICES</v>
          </cell>
          <cell r="I8747" t="str">
            <v>Equity Implied Volatility</v>
          </cell>
        </row>
        <row r="8748">
          <cell r="A8748" t="str">
            <v>RUSGLBLC</v>
          </cell>
          <cell r="B8748" t="str">
            <v>RUSSELL GLB LARGE CAP NET INX</v>
          </cell>
          <cell r="C8748" t="str">
            <v>_BRS_GOLD__5_EQ:BRS_GOLD__1_EQX:RUSGLBLC</v>
          </cell>
          <cell r="D8748" t="str">
            <v>Index</v>
          </cell>
          <cell r="E8748" t="str">
            <v>Index Level</v>
          </cell>
          <cell r="F8748" t="str">
            <v>EQ-Equity Implied Volatility</v>
          </cell>
          <cell r="G8748" t="str">
            <v>EQ-Other</v>
          </cell>
          <cell r="H8748" t="str">
            <v>EQ_INDICES</v>
          </cell>
          <cell r="I8748" t="str">
            <v>Equity Implied Volatility</v>
          </cell>
        </row>
        <row r="8749">
          <cell r="A8749" t="str">
            <v>BASIS_GX_1</v>
          </cell>
          <cell r="B8749" t="str">
            <v>DAX INDEX basis 1</v>
          </cell>
          <cell r="C8749" t="str">
            <v>_BRS_GOLD__5_EQ:BRS_GOLD__1_EQX:BASIS_GX_1</v>
          </cell>
          <cell r="F8749" t="str">
            <v>EQ-Equity Implied Volatility</v>
          </cell>
          <cell r="G8749" t="str">
            <v>EQ-Other</v>
          </cell>
          <cell r="H8749" t="str">
            <v>EQ_INDICES</v>
          </cell>
          <cell r="I8749" t="str">
            <v>Equity Implied Volatility</v>
          </cell>
        </row>
        <row r="8750">
          <cell r="A8750" t="str">
            <v>BASIS_GX_2</v>
          </cell>
          <cell r="B8750" t="str">
            <v>DAX INDEX basis 2</v>
          </cell>
          <cell r="C8750" t="str">
            <v>_BRS_GOLD__5_EQ:BRS_GOLD__1_EQX:BASIS_GX_2</v>
          </cell>
          <cell r="F8750" t="str">
            <v>EQ-Equity Implied Volatility</v>
          </cell>
          <cell r="G8750" t="str">
            <v>EQ-Other</v>
          </cell>
          <cell r="H8750" t="str">
            <v>EQ_INDICES</v>
          </cell>
          <cell r="I8750" t="str">
            <v>Equity Implied Volatility</v>
          </cell>
        </row>
        <row r="8751">
          <cell r="A8751" t="str">
            <v>BASIS_GX_3</v>
          </cell>
          <cell r="B8751" t="str">
            <v>DAX INDEX basis 3</v>
          </cell>
          <cell r="C8751" t="str">
            <v>_BRS_GOLD__5_EQ:BRS_GOLD__1_EQX:BASIS_GX_3</v>
          </cell>
          <cell r="F8751" t="str">
            <v>EQ-Equity Implied Volatility</v>
          </cell>
          <cell r="G8751" t="str">
            <v>EQ-Other</v>
          </cell>
          <cell r="H8751" t="str">
            <v>EQ_INDICES</v>
          </cell>
          <cell r="I8751" t="str">
            <v>Equity Implied Volatility</v>
          </cell>
        </row>
        <row r="8752">
          <cell r="A8752" t="str">
            <v>BASIS_GX_4</v>
          </cell>
          <cell r="B8752" t="str">
            <v>DAX INDEX basis 4</v>
          </cell>
          <cell r="C8752" t="str">
            <v>_BRS_GOLD__5_EQ:BRS_GOLD__1_EQX:BASIS_GX_4</v>
          </cell>
          <cell r="F8752" t="str">
            <v>EQ-Equity Implied Volatility</v>
          </cell>
          <cell r="G8752" t="str">
            <v>EQ-Other</v>
          </cell>
          <cell r="H8752" t="str">
            <v>EQ_INDICES</v>
          </cell>
          <cell r="I8752" t="str">
            <v>Equity Implied Volatility</v>
          </cell>
        </row>
        <row r="8753">
          <cell r="A8753" t="str">
            <v>BASIS_GX_5</v>
          </cell>
          <cell r="B8753" t="str">
            <v>DAX INDEX basis 5</v>
          </cell>
          <cell r="C8753" t="str">
            <v>_BRS_GOLD__5_EQ:BRS_GOLD__1_EQX:BASIS_GX_5</v>
          </cell>
          <cell r="F8753" t="str">
            <v>EQ-Equity Implied Volatility</v>
          </cell>
          <cell r="G8753" t="str">
            <v>EQ-Other</v>
          </cell>
          <cell r="H8753" t="str">
            <v>EQ_INDICES</v>
          </cell>
          <cell r="I8753" t="str">
            <v>Equity Implied Volatility</v>
          </cell>
        </row>
        <row r="8754">
          <cell r="A8754" t="str">
            <v>BASIS_GX_6</v>
          </cell>
          <cell r="B8754" t="str">
            <v>DAX INDEX basis 6</v>
          </cell>
          <cell r="C8754" t="str">
            <v>_BRS_GOLD__5_EQ:BRS_GOLD__1_EQX:BASIS_GX_6</v>
          </cell>
          <cell r="F8754" t="str">
            <v>EQ-Equity Implied Volatility</v>
          </cell>
          <cell r="G8754" t="str">
            <v>EQ-Other</v>
          </cell>
          <cell r="H8754" t="str">
            <v>EQ_INDICES</v>
          </cell>
          <cell r="I8754" t="str">
            <v>Equity Implied Volatility</v>
          </cell>
        </row>
        <row r="8755">
          <cell r="A8755" t="str">
            <v>BASIS_GX_7</v>
          </cell>
          <cell r="B8755" t="str">
            <v>DAX INDEX basis 7</v>
          </cell>
          <cell r="C8755" t="str">
            <v>_BRS_GOLD__5_EQ:BRS_GOLD__1_EQX:BASIS_GX_7</v>
          </cell>
          <cell r="F8755" t="str">
            <v>EQ-Equity Implied Volatility</v>
          </cell>
          <cell r="G8755" t="str">
            <v>EQ-Other</v>
          </cell>
          <cell r="H8755" t="str">
            <v>EQ_INDICES</v>
          </cell>
          <cell r="I8755" t="str">
            <v>Equity Implied Volatility</v>
          </cell>
        </row>
        <row r="8756">
          <cell r="A8756" t="str">
            <v>BASIS_GX_8</v>
          </cell>
          <cell r="B8756" t="str">
            <v>DAX INDEX basis 8</v>
          </cell>
          <cell r="C8756" t="str">
            <v>_BRS_GOLD__5_EQ:BRS_GOLD__1_EQX:BASIS_GX_8</v>
          </cell>
          <cell r="F8756" t="str">
            <v>EQ-Equity Implied Volatility</v>
          </cell>
          <cell r="G8756" t="str">
            <v>EQ-Other</v>
          </cell>
          <cell r="H8756" t="str">
            <v>EQ_INDICES</v>
          </cell>
          <cell r="I8756" t="str">
            <v>Equity Implied Volatility</v>
          </cell>
        </row>
        <row r="8757">
          <cell r="A8757" t="str">
            <v>BASIS_GX_9</v>
          </cell>
          <cell r="B8757" t="str">
            <v>DAX INDEX basis 9</v>
          </cell>
          <cell r="C8757" t="str">
            <v>_BRS_GOLD__5_EQ:BRS_GOLD__1_EQX:BASIS_GX_9</v>
          </cell>
          <cell r="F8757" t="str">
            <v>EQ-Equity Implied Volatility</v>
          </cell>
          <cell r="G8757" t="str">
            <v>EQ-Other</v>
          </cell>
          <cell r="H8757" t="str">
            <v>EQ_INDICES</v>
          </cell>
          <cell r="I8757" t="str">
            <v>Equity Implied Volatility</v>
          </cell>
        </row>
        <row r="8758">
          <cell r="A8758" t="str">
            <v>BASIS_GX_10</v>
          </cell>
          <cell r="B8758" t="str">
            <v>DAX INDEX basis 10</v>
          </cell>
          <cell r="C8758" t="str">
            <v>_BRS_GOLD__5_EQ:BRS_GOLD__1_EQX:BASIS_GX_10</v>
          </cell>
          <cell r="F8758" t="str">
            <v>EQ-Equity Implied Volatility</v>
          </cell>
          <cell r="G8758" t="str">
            <v>EQ-Other</v>
          </cell>
          <cell r="H8758" t="str">
            <v>EQ_INDICES</v>
          </cell>
          <cell r="I8758" t="str">
            <v>Equity Implied Volatility</v>
          </cell>
        </row>
        <row r="8759">
          <cell r="A8759" t="str">
            <v>BASIS_GX_11</v>
          </cell>
          <cell r="B8759" t="str">
            <v>DAX INDEX basis 11</v>
          </cell>
          <cell r="C8759" t="str">
            <v>_BRS_GOLD__5_EQ:BRS_GOLD__1_EQX:BASIS_GX_11</v>
          </cell>
          <cell r="F8759" t="str">
            <v>EQ-Equity Implied Volatility</v>
          </cell>
          <cell r="G8759" t="str">
            <v>EQ-Other</v>
          </cell>
          <cell r="H8759" t="str">
            <v>EQ_INDICES</v>
          </cell>
          <cell r="I8759" t="str">
            <v>Equity Implied Volatility</v>
          </cell>
        </row>
        <row r="8760">
          <cell r="A8760" t="str">
            <v>BASIS_GX_12</v>
          </cell>
          <cell r="B8760" t="str">
            <v>DAX INDEX basis 12</v>
          </cell>
          <cell r="C8760" t="str">
            <v>_BRS_GOLD__5_EQ:BRS_GOLD__1_EQX:BASIS_GX_12</v>
          </cell>
          <cell r="F8760" t="str">
            <v>EQ-Equity Implied Volatility</v>
          </cell>
          <cell r="G8760" t="str">
            <v>EQ-Other</v>
          </cell>
          <cell r="H8760" t="str">
            <v>EQ_INDICES</v>
          </cell>
          <cell r="I8760" t="str">
            <v>Equity Implied Volatility</v>
          </cell>
        </row>
        <row r="8761">
          <cell r="A8761" t="str">
            <v>BASIS_ME_1</v>
          </cell>
          <cell r="B8761" t="str">
            <v>S&amp;P500 EMINI basis 1</v>
          </cell>
          <cell r="C8761" t="str">
            <v>_BRS_GOLD__5_EQ:BRS_GOLD__1_EQX:BASIS_ME_1</v>
          </cell>
          <cell r="F8761" t="str">
            <v>EQ-Equity Implied Volatility</v>
          </cell>
          <cell r="G8761" t="str">
            <v>EQ-Other</v>
          </cell>
          <cell r="H8761" t="str">
            <v>EQ_INDICES</v>
          </cell>
          <cell r="I8761" t="str">
            <v>Equity Implied Volatility</v>
          </cell>
        </row>
        <row r="8762">
          <cell r="A8762" t="str">
            <v>BASIS_ME_2</v>
          </cell>
          <cell r="B8762" t="str">
            <v>S&amp;P500 EMINI basis 2</v>
          </cell>
          <cell r="C8762" t="str">
            <v>_BRS_GOLD__5_EQ:BRS_GOLD__1_EQX:BASIS_ME_2</v>
          </cell>
          <cell r="F8762" t="str">
            <v>EQ-Equity Implied Volatility</v>
          </cell>
          <cell r="G8762" t="str">
            <v>EQ-Other</v>
          </cell>
          <cell r="H8762" t="str">
            <v>EQ_INDICES</v>
          </cell>
          <cell r="I8762" t="str">
            <v>Equity Implied Volatility</v>
          </cell>
        </row>
        <row r="8763">
          <cell r="A8763" t="str">
            <v>BASIS_ME_3</v>
          </cell>
          <cell r="B8763" t="str">
            <v>S&amp;P500 EMINI basis 3</v>
          </cell>
          <cell r="C8763" t="str">
            <v>_BRS_GOLD__5_EQ:BRS_GOLD__1_EQX:BASIS_ME_3</v>
          </cell>
          <cell r="F8763" t="str">
            <v>EQ-Equity Implied Volatility</v>
          </cell>
          <cell r="G8763" t="str">
            <v>EQ-Other</v>
          </cell>
          <cell r="H8763" t="str">
            <v>EQ_INDICES</v>
          </cell>
          <cell r="I8763" t="str">
            <v>Equity Implied Volatility</v>
          </cell>
        </row>
        <row r="8764">
          <cell r="A8764" t="str">
            <v>BASIS_ME_4</v>
          </cell>
          <cell r="B8764" t="str">
            <v>S&amp;P500 EMINI basis 4</v>
          </cell>
          <cell r="C8764" t="str">
            <v>_BRS_GOLD__5_EQ:BRS_GOLD__1_EQX:BASIS_ME_4</v>
          </cell>
          <cell r="F8764" t="str">
            <v>EQ-Equity Implied Volatility</v>
          </cell>
          <cell r="G8764" t="str">
            <v>EQ-Other</v>
          </cell>
          <cell r="H8764" t="str">
            <v>EQ_INDICES</v>
          </cell>
          <cell r="I8764" t="str">
            <v>Equity Implied Volatility</v>
          </cell>
        </row>
        <row r="8765">
          <cell r="A8765" t="str">
            <v>BASIS_ME_5</v>
          </cell>
          <cell r="B8765" t="str">
            <v>S&amp;P500 EMINI basis 5</v>
          </cell>
          <cell r="C8765" t="str">
            <v>_BRS_GOLD__5_EQ:BRS_GOLD__1_EQX:BASIS_ME_5</v>
          </cell>
          <cell r="F8765" t="str">
            <v>EQ-Equity Implied Volatility</v>
          </cell>
          <cell r="G8765" t="str">
            <v>EQ-Other</v>
          </cell>
          <cell r="H8765" t="str">
            <v>EQ_INDICES</v>
          </cell>
          <cell r="I8765" t="str">
            <v>Equity Implied Volatility</v>
          </cell>
        </row>
        <row r="8766">
          <cell r="A8766" t="str">
            <v>BASIS_ME_6</v>
          </cell>
          <cell r="B8766" t="str">
            <v>S&amp;P500 EMINI basis 6</v>
          </cell>
          <cell r="C8766" t="str">
            <v>_BRS_GOLD__5_EQ:BRS_GOLD__1_EQX:BASIS_ME_6</v>
          </cell>
          <cell r="F8766" t="str">
            <v>EQ-Equity Implied Volatility</v>
          </cell>
          <cell r="G8766" t="str">
            <v>EQ-Other</v>
          </cell>
          <cell r="H8766" t="str">
            <v>EQ_INDICES</v>
          </cell>
          <cell r="I8766" t="str">
            <v>Equity Implied Volatility</v>
          </cell>
        </row>
        <row r="8767">
          <cell r="A8767" t="str">
            <v>BASIS_ME_7</v>
          </cell>
          <cell r="B8767" t="str">
            <v>S&amp;P500 EMINI basis 7</v>
          </cell>
          <cell r="C8767" t="str">
            <v>_BRS_GOLD__5_EQ:BRS_GOLD__1_EQX:BASIS_ME_7</v>
          </cell>
          <cell r="F8767" t="str">
            <v>EQ-Equity Implied Volatility</v>
          </cell>
          <cell r="G8767" t="str">
            <v>EQ-Other</v>
          </cell>
          <cell r="H8767" t="str">
            <v>EQ_INDICES</v>
          </cell>
          <cell r="I8767" t="str">
            <v>Equity Implied Volatility</v>
          </cell>
        </row>
        <row r="8768">
          <cell r="A8768" t="str">
            <v>BASIS_ME_8</v>
          </cell>
          <cell r="B8768" t="str">
            <v>S&amp;P500 EMINI basis 8</v>
          </cell>
          <cell r="C8768" t="str">
            <v>_BRS_GOLD__5_EQ:BRS_GOLD__1_EQX:BASIS_ME_8</v>
          </cell>
          <cell r="F8768" t="str">
            <v>EQ-Equity Implied Volatility</v>
          </cell>
          <cell r="G8768" t="str">
            <v>EQ-Other</v>
          </cell>
          <cell r="H8768" t="str">
            <v>EQ_INDICES</v>
          </cell>
          <cell r="I8768" t="str">
            <v>Equity Implied Volatility</v>
          </cell>
        </row>
        <row r="8769">
          <cell r="A8769" t="str">
            <v>BASIS_ME_9</v>
          </cell>
          <cell r="B8769" t="str">
            <v>S&amp;P500 EMINI basis 9</v>
          </cell>
          <cell r="C8769" t="str">
            <v>_BRS_GOLD__5_EQ:BRS_GOLD__1_EQX:BASIS_ME_9</v>
          </cell>
          <cell r="F8769" t="str">
            <v>EQ-Equity Implied Volatility</v>
          </cell>
          <cell r="G8769" t="str">
            <v>EQ-Other</v>
          </cell>
          <cell r="H8769" t="str">
            <v>EQ_INDICES</v>
          </cell>
          <cell r="I8769" t="str">
            <v>Equity Implied Volatility</v>
          </cell>
        </row>
        <row r="8770">
          <cell r="A8770" t="str">
            <v>BASIS_ME_10</v>
          </cell>
          <cell r="B8770" t="str">
            <v>S&amp;P500 EMINI basis 10</v>
          </cell>
          <cell r="C8770" t="str">
            <v>_BRS_GOLD__5_EQ:BRS_GOLD__1_EQX:BASIS_ME_10</v>
          </cell>
          <cell r="F8770" t="str">
            <v>EQ-Equity Implied Volatility</v>
          </cell>
          <cell r="G8770" t="str">
            <v>EQ-Other</v>
          </cell>
          <cell r="H8770" t="str">
            <v>EQ_INDICES</v>
          </cell>
          <cell r="I8770" t="str">
            <v>Equity Implied Volatility</v>
          </cell>
        </row>
        <row r="8771">
          <cell r="A8771" t="str">
            <v>BASIS_ME_11</v>
          </cell>
          <cell r="B8771" t="str">
            <v>S&amp;P500 EMINI basis 11</v>
          </cell>
          <cell r="C8771" t="str">
            <v>_BRS_GOLD__5_EQ:BRS_GOLD__1_EQX:BASIS_ME_11</v>
          </cell>
          <cell r="F8771" t="str">
            <v>EQ-Equity Implied Volatility</v>
          </cell>
          <cell r="G8771" t="str">
            <v>EQ-Other</v>
          </cell>
          <cell r="H8771" t="str">
            <v>EQ_INDICES</v>
          </cell>
          <cell r="I8771" t="str">
            <v>Equity Implied Volatility</v>
          </cell>
        </row>
        <row r="8772">
          <cell r="A8772" t="str">
            <v>BASIS_ME_12</v>
          </cell>
          <cell r="B8772" t="str">
            <v>S&amp;P500 EMINI basis 12</v>
          </cell>
          <cell r="C8772" t="str">
            <v>_BRS_GOLD__5_EQ:BRS_GOLD__1_EQX:BASIS_ME_12</v>
          </cell>
          <cell r="F8772" t="str">
            <v>EQ-Equity Implied Volatility</v>
          </cell>
          <cell r="G8772" t="str">
            <v>EQ-Other</v>
          </cell>
          <cell r="H8772" t="str">
            <v>EQ_INDICES</v>
          </cell>
          <cell r="I8772" t="str">
            <v>Equity Implied Volatility</v>
          </cell>
        </row>
        <row r="8773">
          <cell r="A8773" t="str">
            <v>BASIS_PF_1</v>
          </cell>
          <cell r="B8773" t="str">
            <v>STOXX 600 FOOD basis 1</v>
          </cell>
          <cell r="C8773" t="str">
            <v>_BRS_GOLD__5_EQ:BRS_GOLD__1_EQX:BASIS_PF_1</v>
          </cell>
          <cell r="F8773" t="str">
            <v>EQ-Equity Implied Volatility</v>
          </cell>
          <cell r="G8773" t="str">
            <v>EQ-Other</v>
          </cell>
          <cell r="H8773" t="str">
            <v>EQ_INDICES</v>
          </cell>
          <cell r="I8773" t="str">
            <v>Equity Implied Volatility</v>
          </cell>
        </row>
        <row r="8774">
          <cell r="A8774" t="str">
            <v>BASIS_PF_2</v>
          </cell>
          <cell r="B8774" t="str">
            <v>STOXX 600 FOOD basis 2</v>
          </cell>
          <cell r="C8774" t="str">
            <v>_BRS_GOLD__5_EQ:BRS_GOLD__1_EQX:BASIS_PF_2</v>
          </cell>
          <cell r="F8774" t="str">
            <v>EQ-Equity Implied Volatility</v>
          </cell>
          <cell r="G8774" t="str">
            <v>EQ-Other</v>
          </cell>
          <cell r="H8774" t="str">
            <v>EQ_INDICES</v>
          </cell>
          <cell r="I8774" t="str">
            <v>Equity Implied Volatility</v>
          </cell>
        </row>
        <row r="8775">
          <cell r="A8775" t="str">
            <v>BASIS_PF_3</v>
          </cell>
          <cell r="B8775" t="str">
            <v>STOXX 600 FOOD basis 3</v>
          </cell>
          <cell r="C8775" t="str">
            <v>_BRS_GOLD__5_EQ:BRS_GOLD__1_EQX:BASIS_PF_3</v>
          </cell>
          <cell r="F8775" t="str">
            <v>EQ-Equity Implied Volatility</v>
          </cell>
          <cell r="G8775" t="str">
            <v>EQ-Other</v>
          </cell>
          <cell r="H8775" t="str">
            <v>EQ_INDICES</v>
          </cell>
          <cell r="I8775" t="str">
            <v>Equity Implied Volatility</v>
          </cell>
        </row>
        <row r="8776">
          <cell r="A8776" t="str">
            <v>BASIS_PF_4</v>
          </cell>
          <cell r="B8776" t="str">
            <v>STOXX 600 FOOD basis 4</v>
          </cell>
          <cell r="C8776" t="str">
            <v>_BRS_GOLD__5_EQ:BRS_GOLD__1_EQX:BASIS_PF_4</v>
          </cell>
          <cell r="F8776" t="str">
            <v>EQ-Equity Implied Volatility</v>
          </cell>
          <cell r="G8776" t="str">
            <v>EQ-Other</v>
          </cell>
          <cell r="H8776" t="str">
            <v>EQ_INDICES</v>
          </cell>
          <cell r="I8776" t="str">
            <v>Equity Implied Volatility</v>
          </cell>
        </row>
        <row r="8777">
          <cell r="A8777" t="str">
            <v>BASIS_PF_5</v>
          </cell>
          <cell r="B8777" t="str">
            <v>STOXX 600 FOOD basis 5</v>
          </cell>
          <cell r="C8777" t="str">
            <v>_BRS_GOLD__5_EQ:BRS_GOLD__1_EQX:BASIS_PF_5</v>
          </cell>
          <cell r="F8777" t="str">
            <v>EQ-Equity Implied Volatility</v>
          </cell>
          <cell r="G8777" t="str">
            <v>EQ-Other</v>
          </cell>
          <cell r="H8777" t="str">
            <v>EQ_INDICES</v>
          </cell>
          <cell r="I8777" t="str">
            <v>Equity Implied Volatility</v>
          </cell>
        </row>
        <row r="8778">
          <cell r="A8778" t="str">
            <v>BASIS_PF_6</v>
          </cell>
          <cell r="B8778" t="str">
            <v>STOXX 600 FOOD basis 6</v>
          </cell>
          <cell r="C8778" t="str">
            <v>_BRS_GOLD__5_EQ:BRS_GOLD__1_EQX:BASIS_PF_6</v>
          </cell>
          <cell r="F8778" t="str">
            <v>EQ-Equity Implied Volatility</v>
          </cell>
          <cell r="G8778" t="str">
            <v>EQ-Other</v>
          </cell>
          <cell r="H8778" t="str">
            <v>EQ_INDICES</v>
          </cell>
          <cell r="I8778" t="str">
            <v>Equity Implied Volatility</v>
          </cell>
        </row>
        <row r="8779">
          <cell r="A8779" t="str">
            <v>BASIS_PF_7</v>
          </cell>
          <cell r="B8779" t="str">
            <v>STOXX 600 FOOD basis 7</v>
          </cell>
          <cell r="C8779" t="str">
            <v>_BRS_GOLD__5_EQ:BRS_GOLD__1_EQX:BASIS_PF_7</v>
          </cell>
          <cell r="F8779" t="str">
            <v>EQ-Equity Implied Volatility</v>
          </cell>
          <cell r="G8779" t="str">
            <v>EQ-Other</v>
          </cell>
          <cell r="H8779" t="str">
            <v>EQ_INDICES</v>
          </cell>
          <cell r="I8779" t="str">
            <v>Equity Implied Volatility</v>
          </cell>
        </row>
        <row r="8780">
          <cell r="A8780" t="str">
            <v>BASIS_PF_8</v>
          </cell>
          <cell r="B8780" t="str">
            <v>STOXX 600 FOOD basis 8</v>
          </cell>
          <cell r="C8780" t="str">
            <v>_BRS_GOLD__5_EQ:BRS_GOLD__1_EQX:BASIS_PF_8</v>
          </cell>
          <cell r="F8780" t="str">
            <v>EQ-Equity Implied Volatility</v>
          </cell>
          <cell r="G8780" t="str">
            <v>EQ-Other</v>
          </cell>
          <cell r="H8780" t="str">
            <v>EQ_INDICES</v>
          </cell>
          <cell r="I8780" t="str">
            <v>Equity Implied Volatility</v>
          </cell>
        </row>
        <row r="8781">
          <cell r="A8781" t="str">
            <v>BASIS_PF_9</v>
          </cell>
          <cell r="B8781" t="str">
            <v>STOXX 600 FOOD basis 9</v>
          </cell>
          <cell r="C8781" t="str">
            <v>_BRS_GOLD__5_EQ:BRS_GOLD__1_EQX:BASIS_PF_9</v>
          </cell>
          <cell r="F8781" t="str">
            <v>EQ-Equity Implied Volatility</v>
          </cell>
          <cell r="G8781" t="str">
            <v>EQ-Other</v>
          </cell>
          <cell r="H8781" t="str">
            <v>EQ_INDICES</v>
          </cell>
          <cell r="I8781" t="str">
            <v>Equity Implied Volatility</v>
          </cell>
        </row>
        <row r="8782">
          <cell r="A8782" t="str">
            <v>BASIS_PF_10</v>
          </cell>
          <cell r="B8782" t="str">
            <v>STOXX 600 FOOD basis 10</v>
          </cell>
          <cell r="C8782" t="str">
            <v>_BRS_GOLD__5_EQ:BRS_GOLD__1_EQX:BASIS_PF_10</v>
          </cell>
          <cell r="F8782" t="str">
            <v>EQ-Equity Implied Volatility</v>
          </cell>
          <cell r="G8782" t="str">
            <v>EQ-Other</v>
          </cell>
          <cell r="H8782" t="str">
            <v>EQ_INDICES</v>
          </cell>
          <cell r="I8782" t="str">
            <v>Equity Implied Volatility</v>
          </cell>
        </row>
        <row r="8783">
          <cell r="A8783" t="str">
            <v>BASIS_PF_11</v>
          </cell>
          <cell r="B8783" t="str">
            <v>STOXX 600 FOOD basis 11</v>
          </cell>
          <cell r="C8783" t="str">
            <v>_BRS_GOLD__5_EQ:BRS_GOLD__1_EQX:BASIS_PF_11</v>
          </cell>
          <cell r="F8783" t="str">
            <v>EQ-Equity Implied Volatility</v>
          </cell>
          <cell r="G8783" t="str">
            <v>EQ-Other</v>
          </cell>
          <cell r="H8783" t="str">
            <v>EQ_INDICES</v>
          </cell>
          <cell r="I8783" t="str">
            <v>Equity Implied Volatility</v>
          </cell>
        </row>
        <row r="8784">
          <cell r="A8784" t="str">
            <v>BASIS_PF_12</v>
          </cell>
          <cell r="B8784" t="str">
            <v>STOXX 600 FOOD basis 12</v>
          </cell>
          <cell r="C8784" t="str">
            <v>_BRS_GOLD__5_EQ:BRS_GOLD__1_EQX:BASIS_PF_12</v>
          </cell>
          <cell r="F8784" t="str">
            <v>EQ-Equity Implied Volatility</v>
          </cell>
          <cell r="G8784" t="str">
            <v>EQ-Other</v>
          </cell>
          <cell r="H8784" t="str">
            <v>EQ_INDICES</v>
          </cell>
          <cell r="I8784" t="str">
            <v>Equity Implied Volatility</v>
          </cell>
        </row>
        <row r="8785">
          <cell r="A8785" t="str">
            <v>BASIS_RH_1</v>
          </cell>
          <cell r="B8785" t="str">
            <v>STOXX 600 P HG basis 1</v>
          </cell>
          <cell r="C8785" t="str">
            <v>_BRS_GOLD__5_EQ:BRS_GOLD__1_EQX:BASIS_RH_1</v>
          </cell>
          <cell r="F8785" t="str">
            <v>EQ-Equity Implied Volatility</v>
          </cell>
          <cell r="G8785" t="str">
            <v>EQ-Other</v>
          </cell>
          <cell r="H8785" t="str">
            <v>EQ_INDICES</v>
          </cell>
          <cell r="I8785" t="str">
            <v>Equity Implied Volatility</v>
          </cell>
        </row>
        <row r="8786">
          <cell r="A8786" t="str">
            <v>BASIS_RH_2</v>
          </cell>
          <cell r="B8786" t="str">
            <v>STOXX 600 P HG basis 2</v>
          </cell>
          <cell r="C8786" t="str">
            <v>_BRS_GOLD__5_EQ:BRS_GOLD__1_EQX:BASIS_RH_2</v>
          </cell>
          <cell r="F8786" t="str">
            <v>EQ-Equity Implied Volatility</v>
          </cell>
          <cell r="G8786" t="str">
            <v>EQ-Other</v>
          </cell>
          <cell r="H8786" t="str">
            <v>EQ_INDICES</v>
          </cell>
          <cell r="I8786" t="str">
            <v>Equity Implied Volatility</v>
          </cell>
        </row>
        <row r="8787">
          <cell r="A8787" t="str">
            <v>BASIS_RH_3</v>
          </cell>
          <cell r="B8787" t="str">
            <v>STOXX 600 P HG basis 3</v>
          </cell>
          <cell r="C8787" t="str">
            <v>_BRS_GOLD__5_EQ:BRS_GOLD__1_EQX:BASIS_RH_3</v>
          </cell>
          <cell r="F8787" t="str">
            <v>EQ-Equity Implied Volatility</v>
          </cell>
          <cell r="G8787" t="str">
            <v>EQ-Other</v>
          </cell>
          <cell r="H8787" t="str">
            <v>EQ_INDICES</v>
          </cell>
          <cell r="I8787" t="str">
            <v>Equity Implied Volatility</v>
          </cell>
        </row>
        <row r="8788">
          <cell r="A8788" t="str">
            <v>BASIS_RH_4</v>
          </cell>
          <cell r="B8788" t="str">
            <v>STOXX 600 P HG basis 4</v>
          </cell>
          <cell r="C8788" t="str">
            <v>_BRS_GOLD__5_EQ:BRS_GOLD__1_EQX:BASIS_RH_4</v>
          </cell>
          <cell r="F8788" t="str">
            <v>EQ-Equity Implied Volatility</v>
          </cell>
          <cell r="G8788" t="str">
            <v>EQ-Other</v>
          </cell>
          <cell r="H8788" t="str">
            <v>EQ_INDICES</v>
          </cell>
          <cell r="I8788" t="str">
            <v>Equity Implied Volatility</v>
          </cell>
        </row>
        <row r="8789">
          <cell r="A8789" t="str">
            <v>BASIS_RH_5</v>
          </cell>
          <cell r="B8789" t="str">
            <v>STOXX 600 P HG basis 5</v>
          </cell>
          <cell r="C8789" t="str">
            <v>_BRS_GOLD__5_EQ:BRS_GOLD__1_EQX:BASIS_RH_5</v>
          </cell>
          <cell r="F8789" t="str">
            <v>EQ-Equity Implied Volatility</v>
          </cell>
          <cell r="G8789" t="str">
            <v>EQ-Other</v>
          </cell>
          <cell r="H8789" t="str">
            <v>EQ_INDICES</v>
          </cell>
          <cell r="I8789" t="str">
            <v>Equity Implied Volatility</v>
          </cell>
        </row>
        <row r="8790">
          <cell r="A8790" t="str">
            <v>BASIS_RH_6</v>
          </cell>
          <cell r="B8790" t="str">
            <v>STOXX 600 P HG basis 6</v>
          </cell>
          <cell r="C8790" t="str">
            <v>_BRS_GOLD__5_EQ:BRS_GOLD__1_EQX:BASIS_RH_6</v>
          </cell>
          <cell r="F8790" t="str">
            <v>EQ-Equity Implied Volatility</v>
          </cell>
          <cell r="G8790" t="str">
            <v>EQ-Other</v>
          </cell>
          <cell r="H8790" t="str">
            <v>EQ_INDICES</v>
          </cell>
          <cell r="I8790" t="str">
            <v>Equity Implied Volatility</v>
          </cell>
        </row>
        <row r="8791">
          <cell r="A8791" t="str">
            <v>BASIS_RH_7</v>
          </cell>
          <cell r="B8791" t="str">
            <v>STOXX 600 P HG basis 7</v>
          </cell>
          <cell r="C8791" t="str">
            <v>_BRS_GOLD__5_EQ:BRS_GOLD__1_EQX:BASIS_RH_7</v>
          </cell>
          <cell r="F8791" t="str">
            <v>EQ-Equity Implied Volatility</v>
          </cell>
          <cell r="G8791" t="str">
            <v>EQ-Other</v>
          </cell>
          <cell r="H8791" t="str">
            <v>EQ_INDICES</v>
          </cell>
          <cell r="I8791" t="str">
            <v>Equity Implied Volatility</v>
          </cell>
        </row>
        <row r="8792">
          <cell r="A8792" t="str">
            <v>BASIS_RH_8</v>
          </cell>
          <cell r="B8792" t="str">
            <v>STOXX 600 P HG basis 8</v>
          </cell>
          <cell r="C8792" t="str">
            <v>_BRS_GOLD__5_EQ:BRS_GOLD__1_EQX:BASIS_RH_8</v>
          </cell>
          <cell r="F8792" t="str">
            <v>EQ-Equity Implied Volatility</v>
          </cell>
          <cell r="G8792" t="str">
            <v>EQ-Other</v>
          </cell>
          <cell r="H8792" t="str">
            <v>EQ_INDICES</v>
          </cell>
          <cell r="I8792" t="str">
            <v>Equity Implied Volatility</v>
          </cell>
        </row>
        <row r="8793">
          <cell r="A8793" t="str">
            <v>BASIS_RH_9</v>
          </cell>
          <cell r="B8793" t="str">
            <v>STOXX 600 P HG basis 9</v>
          </cell>
          <cell r="C8793" t="str">
            <v>_BRS_GOLD__5_EQ:BRS_GOLD__1_EQX:BASIS_RH_9</v>
          </cell>
          <cell r="F8793" t="str">
            <v>EQ-Equity Implied Volatility</v>
          </cell>
          <cell r="G8793" t="str">
            <v>EQ-Other</v>
          </cell>
          <cell r="H8793" t="str">
            <v>EQ_INDICES</v>
          </cell>
          <cell r="I8793" t="str">
            <v>Equity Implied Volatility</v>
          </cell>
        </row>
        <row r="8794">
          <cell r="A8794" t="str">
            <v>BASIS_RH_10</v>
          </cell>
          <cell r="B8794" t="str">
            <v>STOXX 600 P HG basis 10</v>
          </cell>
          <cell r="C8794" t="str">
            <v>_BRS_GOLD__5_EQ:BRS_GOLD__1_EQX:BASIS_RH_10</v>
          </cell>
          <cell r="F8794" t="str">
            <v>EQ-Equity Implied Volatility</v>
          </cell>
          <cell r="G8794" t="str">
            <v>EQ-Other</v>
          </cell>
          <cell r="H8794" t="str">
            <v>EQ_INDICES</v>
          </cell>
          <cell r="I8794" t="str">
            <v>Equity Implied Volatility</v>
          </cell>
        </row>
        <row r="8795">
          <cell r="A8795" t="str">
            <v>BASIS_RH_11</v>
          </cell>
          <cell r="B8795" t="str">
            <v>STOXX 600 P HG basis 11</v>
          </cell>
          <cell r="C8795" t="str">
            <v>_BRS_GOLD__5_EQ:BRS_GOLD__1_EQX:BASIS_RH_11</v>
          </cell>
          <cell r="F8795" t="str">
            <v>EQ-Equity Implied Volatility</v>
          </cell>
          <cell r="G8795" t="str">
            <v>EQ-Other</v>
          </cell>
          <cell r="H8795" t="str">
            <v>EQ_INDICES</v>
          </cell>
          <cell r="I8795" t="str">
            <v>Equity Implied Volatility</v>
          </cell>
        </row>
        <row r="8796">
          <cell r="A8796" t="str">
            <v>BASIS_RH_12</v>
          </cell>
          <cell r="B8796" t="str">
            <v>STOXX 600 P HG basis 12</v>
          </cell>
          <cell r="C8796" t="str">
            <v>_BRS_GOLD__5_EQ:BRS_GOLD__1_EQX:BASIS_RH_12</v>
          </cell>
          <cell r="F8796" t="str">
            <v>EQ-Equity Implied Volatility</v>
          </cell>
          <cell r="G8796" t="str">
            <v>EQ-Other</v>
          </cell>
          <cell r="H8796" t="str">
            <v>EQ_INDICES</v>
          </cell>
          <cell r="I8796" t="str">
            <v>Equity Implied Volatility</v>
          </cell>
        </row>
        <row r="8797">
          <cell r="A8797" t="str">
            <v>BASIS_RTA_1</v>
          </cell>
          <cell r="B8797" t="str">
            <v>RUSSELL 2000 EMINI ICE basis 1</v>
          </cell>
          <cell r="C8797" t="str">
            <v>_BRS_GOLD__5_EQ:BRS_GOLD__1_EQX:BASIS_RTA_1</v>
          </cell>
          <cell r="F8797" t="str">
            <v>EQ-Equity Implied Volatility</v>
          </cell>
          <cell r="G8797" t="str">
            <v>EQ-Other</v>
          </cell>
          <cell r="H8797" t="str">
            <v>EQ_INDICES</v>
          </cell>
          <cell r="I8797" t="str">
            <v>Equity Implied Volatility</v>
          </cell>
        </row>
        <row r="8798">
          <cell r="A8798" t="str">
            <v>BASIS_RTA_2</v>
          </cell>
          <cell r="B8798" t="str">
            <v>RUSSELL 2000 EMINI ICE basis 2</v>
          </cell>
          <cell r="C8798" t="str">
            <v>_BRS_GOLD__5_EQ:BRS_GOLD__1_EQX:BASIS_RTA_2</v>
          </cell>
          <cell r="F8798" t="str">
            <v>EQ-Equity Implied Volatility</v>
          </cell>
          <cell r="G8798" t="str">
            <v>EQ-Other</v>
          </cell>
          <cell r="H8798" t="str">
            <v>EQ_INDICES</v>
          </cell>
          <cell r="I8798" t="str">
            <v>Equity Implied Volatility</v>
          </cell>
        </row>
        <row r="8799">
          <cell r="A8799" t="str">
            <v>BASIS_RTA_3</v>
          </cell>
          <cell r="B8799" t="str">
            <v>RUSSELL 2000 EMINI ICE basis 3</v>
          </cell>
          <cell r="C8799" t="str">
            <v>_BRS_GOLD__5_EQ:BRS_GOLD__1_EQX:BASIS_RTA_3</v>
          </cell>
          <cell r="F8799" t="str">
            <v>EQ-Equity Implied Volatility</v>
          </cell>
          <cell r="G8799" t="str">
            <v>EQ-Other</v>
          </cell>
          <cell r="H8799" t="str">
            <v>EQ_INDICES</v>
          </cell>
          <cell r="I8799" t="str">
            <v>Equity Implied Volatility</v>
          </cell>
        </row>
        <row r="8800">
          <cell r="A8800" t="str">
            <v>BASIS_RTA_4</v>
          </cell>
          <cell r="B8800" t="str">
            <v>RUSSELL 2000 EMINI ICE basis 4</v>
          </cell>
          <cell r="C8800" t="str">
            <v>_BRS_GOLD__5_EQ:BRS_GOLD__1_EQX:BASIS_RTA_4</v>
          </cell>
          <cell r="F8800" t="str">
            <v>EQ-Equity Implied Volatility</v>
          </cell>
          <cell r="G8800" t="str">
            <v>EQ-Other</v>
          </cell>
          <cell r="H8800" t="str">
            <v>EQ_INDICES</v>
          </cell>
          <cell r="I8800" t="str">
            <v>Equity Implied Volatility</v>
          </cell>
        </row>
        <row r="8801">
          <cell r="A8801" t="str">
            <v>BASIS_RTA_5</v>
          </cell>
          <cell r="B8801" t="str">
            <v>RUSSELL 2000 EMINI ICE basis 5</v>
          </cell>
          <cell r="C8801" t="str">
            <v>_BRS_GOLD__5_EQ:BRS_GOLD__1_EQX:BASIS_RTA_5</v>
          </cell>
          <cell r="F8801" t="str">
            <v>EQ-Equity Implied Volatility</v>
          </cell>
          <cell r="G8801" t="str">
            <v>EQ-Other</v>
          </cell>
          <cell r="H8801" t="str">
            <v>EQ_INDICES</v>
          </cell>
          <cell r="I8801" t="str">
            <v>Equity Implied Volatility</v>
          </cell>
        </row>
        <row r="8802">
          <cell r="A8802" t="str">
            <v>BASIS_RTA_6</v>
          </cell>
          <cell r="B8802" t="str">
            <v>RUSSELL 2000 EMINI ICE basis 6</v>
          </cell>
          <cell r="C8802" t="str">
            <v>_BRS_GOLD__5_EQ:BRS_GOLD__1_EQX:BASIS_RTA_6</v>
          </cell>
          <cell r="F8802" t="str">
            <v>EQ-Equity Implied Volatility</v>
          </cell>
          <cell r="G8802" t="str">
            <v>EQ-Other</v>
          </cell>
          <cell r="H8802" t="str">
            <v>EQ_INDICES</v>
          </cell>
          <cell r="I8802" t="str">
            <v>Equity Implied Volatility</v>
          </cell>
        </row>
        <row r="8803">
          <cell r="A8803" t="str">
            <v>BASIS_RTA_7</v>
          </cell>
          <cell r="B8803" t="str">
            <v>RUSSELL 2000 EMINI ICE basis 7</v>
          </cell>
          <cell r="C8803" t="str">
            <v>_BRS_GOLD__5_EQ:BRS_GOLD__1_EQX:BASIS_RTA_7</v>
          </cell>
          <cell r="F8803" t="str">
            <v>EQ-Equity Implied Volatility</v>
          </cell>
          <cell r="G8803" t="str">
            <v>EQ-Other</v>
          </cell>
          <cell r="H8803" t="str">
            <v>EQ_INDICES</v>
          </cell>
          <cell r="I8803" t="str">
            <v>Equity Implied Volatility</v>
          </cell>
        </row>
        <row r="8804">
          <cell r="A8804" t="str">
            <v>BASIS_RTA_8</v>
          </cell>
          <cell r="B8804" t="str">
            <v>RUSSELL 2000 EMINI ICE basis 8</v>
          </cell>
          <cell r="C8804" t="str">
            <v>_BRS_GOLD__5_EQ:BRS_GOLD__1_EQX:BASIS_RTA_8</v>
          </cell>
          <cell r="F8804" t="str">
            <v>EQ-Equity Implied Volatility</v>
          </cell>
          <cell r="G8804" t="str">
            <v>EQ-Other</v>
          </cell>
          <cell r="H8804" t="str">
            <v>EQ_INDICES</v>
          </cell>
          <cell r="I8804" t="str">
            <v>Equity Implied Volatility</v>
          </cell>
        </row>
        <row r="8805">
          <cell r="A8805" t="str">
            <v>BASIS_RTA_9</v>
          </cell>
          <cell r="B8805" t="str">
            <v>RUSSELL 2000 EMINI ICE basis 9</v>
          </cell>
          <cell r="C8805" t="str">
            <v>_BRS_GOLD__5_EQ:BRS_GOLD__1_EQX:BASIS_RTA_9</v>
          </cell>
          <cell r="F8805" t="str">
            <v>EQ-Equity Implied Volatility</v>
          </cell>
          <cell r="G8805" t="str">
            <v>EQ-Other</v>
          </cell>
          <cell r="H8805" t="str">
            <v>EQ_INDICES</v>
          </cell>
          <cell r="I8805" t="str">
            <v>Equity Implied Volatility</v>
          </cell>
        </row>
        <row r="8806">
          <cell r="A8806" t="str">
            <v>BASIS_RTA_10</v>
          </cell>
          <cell r="B8806" t="str">
            <v>RUSSELL 2000 EMINI ICE basis10</v>
          </cell>
          <cell r="C8806" t="str">
            <v>_BRS_GOLD__5_EQ:BRS_GOLD__1_EQX:BASIS_RTA_10</v>
          </cell>
          <cell r="F8806" t="str">
            <v>EQ-Equity Implied Volatility</v>
          </cell>
          <cell r="G8806" t="str">
            <v>EQ-Other</v>
          </cell>
          <cell r="H8806" t="str">
            <v>EQ_INDICES</v>
          </cell>
          <cell r="I8806" t="str">
            <v>Equity Implied Volatility</v>
          </cell>
        </row>
        <row r="8807">
          <cell r="A8807" t="str">
            <v>BASIS_RTA_11</v>
          </cell>
          <cell r="B8807" t="str">
            <v>RUSSELL 2000 EMINI ICE basis11</v>
          </cell>
          <cell r="C8807" t="str">
            <v>_BRS_GOLD__5_EQ:BRS_GOLD__1_EQX:BASIS_RTA_11</v>
          </cell>
          <cell r="F8807" t="str">
            <v>EQ-Equity Implied Volatility</v>
          </cell>
          <cell r="G8807" t="str">
            <v>EQ-Other</v>
          </cell>
          <cell r="H8807" t="str">
            <v>EQ_INDICES</v>
          </cell>
          <cell r="I8807" t="str">
            <v>Equity Implied Volatility</v>
          </cell>
        </row>
        <row r="8808">
          <cell r="A8808" t="str">
            <v>BASIS_RTA_12</v>
          </cell>
          <cell r="B8808" t="str">
            <v>RUSSELL 2000 EMINI ICE basis12</v>
          </cell>
          <cell r="C8808" t="str">
            <v>_BRS_GOLD__5_EQ:BRS_GOLD__1_EQX:BASIS_RTA_12</v>
          </cell>
          <cell r="F8808" t="str">
            <v>EQ-Equity Implied Volatility</v>
          </cell>
          <cell r="G8808" t="str">
            <v>EQ-Other</v>
          </cell>
          <cell r="H8808" t="str">
            <v>EQ_INDICES</v>
          </cell>
          <cell r="I8808" t="str">
            <v>Equity Implied Volatility</v>
          </cell>
        </row>
        <row r="8809">
          <cell r="A8809" t="str">
            <v>BASIS_VH_1</v>
          </cell>
          <cell r="B8809" t="str">
            <v>STOXX 50 basis 1</v>
          </cell>
          <cell r="C8809" t="str">
            <v>_BRS_GOLD__5_EQ:BRS_GOLD__1_EQX:BASIS_VH_1</v>
          </cell>
          <cell r="F8809" t="str">
            <v>EQ-Equity Implied Volatility</v>
          </cell>
          <cell r="G8809" t="str">
            <v>EQ-Other</v>
          </cell>
          <cell r="H8809" t="str">
            <v>EQ_INDICES</v>
          </cell>
          <cell r="I8809" t="str">
            <v>Equity Implied Volatility</v>
          </cell>
        </row>
        <row r="8810">
          <cell r="A8810" t="str">
            <v>BASIS_VH_2</v>
          </cell>
          <cell r="B8810" t="str">
            <v>STOXX 50 basis 2</v>
          </cell>
          <cell r="C8810" t="str">
            <v>_BRS_GOLD__5_EQ:BRS_GOLD__1_EQX:BASIS_VH_2</v>
          </cell>
          <cell r="F8810" t="str">
            <v>EQ-Equity Implied Volatility</v>
          </cell>
          <cell r="G8810" t="str">
            <v>EQ-Other</v>
          </cell>
          <cell r="H8810" t="str">
            <v>EQ_INDICES</v>
          </cell>
          <cell r="I8810" t="str">
            <v>Equity Implied Volatility</v>
          </cell>
        </row>
        <row r="8811">
          <cell r="A8811" t="str">
            <v>BASIS_VH_3</v>
          </cell>
          <cell r="B8811" t="str">
            <v>STOXX 50 basis 3</v>
          </cell>
          <cell r="C8811" t="str">
            <v>_BRS_GOLD__5_EQ:BRS_GOLD__1_EQX:BASIS_VH_3</v>
          </cell>
          <cell r="F8811" t="str">
            <v>EQ-Equity Implied Volatility</v>
          </cell>
          <cell r="G8811" t="str">
            <v>EQ-Other</v>
          </cell>
          <cell r="H8811" t="str">
            <v>EQ_INDICES</v>
          </cell>
          <cell r="I8811" t="str">
            <v>Equity Implied Volatility</v>
          </cell>
        </row>
        <row r="8812">
          <cell r="A8812" t="str">
            <v>BASIS_VH_4</v>
          </cell>
          <cell r="B8812" t="str">
            <v>STOXX 50 basis 4</v>
          </cell>
          <cell r="C8812" t="str">
            <v>_BRS_GOLD__5_EQ:BRS_GOLD__1_EQX:BASIS_VH_4</v>
          </cell>
          <cell r="F8812" t="str">
            <v>EQ-Equity Implied Volatility</v>
          </cell>
          <cell r="G8812" t="str">
            <v>EQ-Other</v>
          </cell>
          <cell r="H8812" t="str">
            <v>EQ_INDICES</v>
          </cell>
          <cell r="I8812" t="str">
            <v>Equity Implied Volatility</v>
          </cell>
        </row>
        <row r="8813">
          <cell r="A8813" t="str">
            <v>BASIS_VH_5</v>
          </cell>
          <cell r="B8813" t="str">
            <v>STOXX 50 basis 5</v>
          </cell>
          <cell r="C8813" t="str">
            <v>_BRS_GOLD__5_EQ:BRS_GOLD__1_EQX:BASIS_VH_5</v>
          </cell>
          <cell r="F8813" t="str">
            <v>EQ-Equity Implied Volatility</v>
          </cell>
          <cell r="G8813" t="str">
            <v>EQ-Other</v>
          </cell>
          <cell r="H8813" t="str">
            <v>EQ_INDICES</v>
          </cell>
          <cell r="I8813" t="str">
            <v>Equity Implied Volatility</v>
          </cell>
        </row>
        <row r="8814">
          <cell r="A8814" t="str">
            <v>BASIS_VH_6</v>
          </cell>
          <cell r="B8814" t="str">
            <v>STOXX 50 basis 6</v>
          </cell>
          <cell r="C8814" t="str">
            <v>_BRS_GOLD__5_EQ:BRS_GOLD__1_EQX:BASIS_VH_6</v>
          </cell>
          <cell r="F8814" t="str">
            <v>EQ-Equity Implied Volatility</v>
          </cell>
          <cell r="G8814" t="str">
            <v>EQ-Other</v>
          </cell>
          <cell r="H8814" t="str">
            <v>EQ_INDICES</v>
          </cell>
          <cell r="I8814" t="str">
            <v>Equity Implied Volatility</v>
          </cell>
        </row>
        <row r="8815">
          <cell r="A8815" t="str">
            <v>BASIS_VH_7</v>
          </cell>
          <cell r="B8815" t="str">
            <v>STOXX 50 basis 7</v>
          </cell>
          <cell r="C8815" t="str">
            <v>_BRS_GOLD__5_EQ:BRS_GOLD__1_EQX:BASIS_VH_7</v>
          </cell>
          <cell r="F8815" t="str">
            <v>EQ-Equity Implied Volatility</v>
          </cell>
          <cell r="G8815" t="str">
            <v>EQ-Other</v>
          </cell>
          <cell r="H8815" t="str">
            <v>EQ_INDICES</v>
          </cell>
          <cell r="I8815" t="str">
            <v>Equity Implied Volatility</v>
          </cell>
        </row>
        <row r="8816">
          <cell r="A8816" t="str">
            <v>BASIS_VH_8</v>
          </cell>
          <cell r="B8816" t="str">
            <v>STOXX 50 basis 8</v>
          </cell>
          <cell r="C8816" t="str">
            <v>_BRS_GOLD__5_EQ:BRS_GOLD__1_EQX:BASIS_VH_8</v>
          </cell>
          <cell r="F8816" t="str">
            <v>EQ-Equity Implied Volatility</v>
          </cell>
          <cell r="G8816" t="str">
            <v>EQ-Other</v>
          </cell>
          <cell r="H8816" t="str">
            <v>EQ_INDICES</v>
          </cell>
          <cell r="I8816" t="str">
            <v>Equity Implied Volatility</v>
          </cell>
        </row>
        <row r="8817">
          <cell r="A8817" t="str">
            <v>BASIS_VH_9</v>
          </cell>
          <cell r="B8817" t="str">
            <v>STOXX 50 basis 9</v>
          </cell>
          <cell r="C8817" t="str">
            <v>_BRS_GOLD__5_EQ:BRS_GOLD__1_EQX:BASIS_VH_9</v>
          </cell>
          <cell r="F8817" t="str">
            <v>EQ-Equity Implied Volatility</v>
          </cell>
          <cell r="G8817" t="str">
            <v>EQ-Other</v>
          </cell>
          <cell r="H8817" t="str">
            <v>EQ_INDICES</v>
          </cell>
          <cell r="I8817" t="str">
            <v>Equity Implied Volatility</v>
          </cell>
        </row>
        <row r="8818">
          <cell r="A8818" t="str">
            <v>BASIS_VH_10</v>
          </cell>
          <cell r="B8818" t="str">
            <v>STOXX 50 basis 10</v>
          </cell>
          <cell r="C8818" t="str">
            <v>_BRS_GOLD__5_EQ:BRS_GOLD__1_EQX:BASIS_VH_10</v>
          </cell>
          <cell r="F8818" t="str">
            <v>EQ-Equity Implied Volatility</v>
          </cell>
          <cell r="G8818" t="str">
            <v>EQ-Other</v>
          </cell>
          <cell r="H8818" t="str">
            <v>EQ_INDICES</v>
          </cell>
          <cell r="I8818" t="str">
            <v>Equity Implied Volatility</v>
          </cell>
        </row>
        <row r="8819">
          <cell r="A8819" t="str">
            <v>BASIS_VH_11</v>
          </cell>
          <cell r="B8819" t="str">
            <v>STOXX 50 basis 11</v>
          </cell>
          <cell r="C8819" t="str">
            <v>_BRS_GOLD__5_EQ:BRS_GOLD__1_EQX:BASIS_VH_11</v>
          </cell>
          <cell r="F8819" t="str">
            <v>EQ-Equity Implied Volatility</v>
          </cell>
          <cell r="G8819" t="str">
            <v>EQ-Other</v>
          </cell>
          <cell r="H8819" t="str">
            <v>EQ_INDICES</v>
          </cell>
          <cell r="I8819" t="str">
            <v>Equity Implied Volatility</v>
          </cell>
        </row>
        <row r="8820">
          <cell r="A8820" t="str">
            <v>BASIS_VH_12</v>
          </cell>
          <cell r="B8820" t="str">
            <v>STOXX 50 basis 12</v>
          </cell>
          <cell r="C8820" t="str">
            <v>_BRS_GOLD__5_EQ:BRS_GOLD__1_EQX:BASIS_VH_12</v>
          </cell>
          <cell r="F8820" t="str">
            <v>EQ-Equity Implied Volatility</v>
          </cell>
          <cell r="G8820" t="str">
            <v>EQ-Other</v>
          </cell>
          <cell r="H8820" t="str">
            <v>EQ_INDICES</v>
          </cell>
          <cell r="I8820" t="str">
            <v>Equity Implied Volatility</v>
          </cell>
        </row>
        <row r="8821">
          <cell r="A8821" t="str">
            <v>BASIS_0M_1</v>
          </cell>
          <cell r="B8821" t="str">
            <v>STOXX 600 MEDIA basis 1</v>
          </cell>
          <cell r="C8821" t="str">
            <v>_BRS_GOLD__5_EQ:BRS_GOLD__1_EQX:BASIS_0M_1</v>
          </cell>
          <cell r="F8821" t="str">
            <v>EQ-Equity Implied Volatility</v>
          </cell>
          <cell r="G8821" t="str">
            <v>EQ-Other</v>
          </cell>
          <cell r="H8821" t="str">
            <v>EQ_INDICES</v>
          </cell>
          <cell r="I8821" t="str">
            <v>Equity Implied Volatility</v>
          </cell>
        </row>
        <row r="8822">
          <cell r="A8822" t="str">
            <v>BASIS_0M_10</v>
          </cell>
          <cell r="B8822" t="str">
            <v>STOXX 600 MEDIA basis 10</v>
          </cell>
          <cell r="C8822" t="str">
            <v>_BRS_GOLD__5_EQ:BRS_GOLD__1_EQX:BASIS_0M_10</v>
          </cell>
          <cell r="F8822" t="str">
            <v>EQ-Equity Implied Volatility</v>
          </cell>
          <cell r="G8822" t="str">
            <v>EQ-Other</v>
          </cell>
          <cell r="H8822" t="str">
            <v>EQ_INDICES</v>
          </cell>
          <cell r="I8822" t="str">
            <v>Equity Implied Volatility</v>
          </cell>
        </row>
        <row r="8823">
          <cell r="A8823" t="str">
            <v>BASIS_0M_11</v>
          </cell>
          <cell r="B8823" t="str">
            <v>STOXX 600 MEDIA basis 11</v>
          </cell>
          <cell r="C8823" t="str">
            <v>_BRS_GOLD__5_EQ:BRS_GOLD__1_EQX:BASIS_0M_11</v>
          </cell>
          <cell r="F8823" t="str">
            <v>EQ-Equity Implied Volatility</v>
          </cell>
          <cell r="G8823" t="str">
            <v>EQ-Other</v>
          </cell>
          <cell r="H8823" t="str">
            <v>EQ_INDICES</v>
          </cell>
          <cell r="I8823" t="str">
            <v>Equity Implied Volatility</v>
          </cell>
        </row>
        <row r="8824">
          <cell r="A8824" t="str">
            <v>BASIS_0M_12</v>
          </cell>
          <cell r="B8824" t="str">
            <v>STOXX 600 MEDIA basis 12</v>
          </cell>
          <cell r="C8824" t="str">
            <v>_BRS_GOLD__5_EQ:BRS_GOLD__1_EQX:BASIS_0M_12</v>
          </cell>
          <cell r="F8824" t="str">
            <v>EQ-Equity Implied Volatility</v>
          </cell>
          <cell r="G8824" t="str">
            <v>EQ-Other</v>
          </cell>
          <cell r="H8824" t="str">
            <v>EQ_INDICES</v>
          </cell>
          <cell r="I8824" t="str">
            <v>Equity Implied Volatility</v>
          </cell>
        </row>
        <row r="8825">
          <cell r="A8825" t="str">
            <v>BASIS_0M_2</v>
          </cell>
          <cell r="B8825" t="str">
            <v>STOXX 600 MEDIA basis 2</v>
          </cell>
          <cell r="C8825" t="str">
            <v>_BRS_GOLD__5_EQ:BRS_GOLD__1_EQX:BASIS_0M_2</v>
          </cell>
          <cell r="F8825" t="str">
            <v>EQ-Equity Implied Volatility</v>
          </cell>
          <cell r="G8825" t="str">
            <v>EQ-Other</v>
          </cell>
          <cell r="H8825" t="str">
            <v>EQ_INDICES</v>
          </cell>
          <cell r="I8825" t="str">
            <v>Equity Implied Volatility</v>
          </cell>
        </row>
        <row r="8826">
          <cell r="A8826" t="str">
            <v>BASIS_0M_3</v>
          </cell>
          <cell r="B8826" t="str">
            <v>STOXX 600 MEDIA basis 3</v>
          </cell>
          <cell r="C8826" t="str">
            <v>_BRS_GOLD__5_EQ:BRS_GOLD__1_EQX:BASIS_0M_3</v>
          </cell>
          <cell r="F8826" t="str">
            <v>EQ-Equity Implied Volatility</v>
          </cell>
          <cell r="G8826" t="str">
            <v>EQ-Other</v>
          </cell>
          <cell r="H8826" t="str">
            <v>EQ_INDICES</v>
          </cell>
          <cell r="I8826" t="str">
            <v>Equity Implied Volatility</v>
          </cell>
        </row>
        <row r="8827">
          <cell r="A8827" t="str">
            <v>BASIS_0M_4</v>
          </cell>
          <cell r="B8827" t="str">
            <v>STOXX 600 MEDIA basis 4</v>
          </cell>
          <cell r="C8827" t="str">
            <v>_BRS_GOLD__5_EQ:BRS_GOLD__1_EQX:BASIS_0M_4</v>
          </cell>
          <cell r="F8827" t="str">
            <v>EQ-Equity Implied Volatility</v>
          </cell>
          <cell r="G8827" t="str">
            <v>EQ-Other</v>
          </cell>
          <cell r="H8827" t="str">
            <v>EQ_INDICES</v>
          </cell>
          <cell r="I8827" t="str">
            <v>Equity Implied Volatility</v>
          </cell>
        </row>
        <row r="8828">
          <cell r="A8828" t="str">
            <v>BASIS_0M_5</v>
          </cell>
          <cell r="B8828" t="str">
            <v>STOXX 600 MEDIA basis 5</v>
          </cell>
          <cell r="C8828" t="str">
            <v>_BRS_GOLD__5_EQ:BRS_GOLD__1_EQX:BASIS_0M_5</v>
          </cell>
          <cell r="F8828" t="str">
            <v>EQ-Equity Implied Volatility</v>
          </cell>
          <cell r="G8828" t="str">
            <v>EQ-Other</v>
          </cell>
          <cell r="H8828" t="str">
            <v>EQ_INDICES</v>
          </cell>
          <cell r="I8828" t="str">
            <v>Equity Implied Volatility</v>
          </cell>
        </row>
        <row r="8829">
          <cell r="A8829" t="str">
            <v>BASIS_0M_6</v>
          </cell>
          <cell r="B8829" t="str">
            <v>STOXX 600 MEDIA basis 6</v>
          </cell>
          <cell r="C8829" t="str">
            <v>_BRS_GOLD__5_EQ:BRS_GOLD__1_EQX:BASIS_0M_6</v>
          </cell>
          <cell r="F8829" t="str">
            <v>EQ-Equity Implied Volatility</v>
          </cell>
          <cell r="G8829" t="str">
            <v>EQ-Other</v>
          </cell>
          <cell r="H8829" t="str">
            <v>EQ_INDICES</v>
          </cell>
          <cell r="I8829" t="str">
            <v>Equity Implied Volatility</v>
          </cell>
        </row>
        <row r="8830">
          <cell r="A8830" t="str">
            <v>BASIS_0M_7</v>
          </cell>
          <cell r="B8830" t="str">
            <v>STOXX 600 MEDIA basis 7</v>
          </cell>
          <cell r="C8830" t="str">
            <v>_BRS_GOLD__5_EQ:BRS_GOLD__1_EQX:BASIS_0M_7</v>
          </cell>
          <cell r="F8830" t="str">
            <v>EQ-Equity Implied Volatility</v>
          </cell>
          <cell r="G8830" t="str">
            <v>EQ-Other</v>
          </cell>
          <cell r="H8830" t="str">
            <v>EQ_INDICES</v>
          </cell>
          <cell r="I8830" t="str">
            <v>Equity Implied Volatility</v>
          </cell>
        </row>
        <row r="8831">
          <cell r="A8831" t="str">
            <v>BASIS_0M_8</v>
          </cell>
          <cell r="B8831" t="str">
            <v>STOXX 600 MEDIA basis 8</v>
          </cell>
          <cell r="C8831" t="str">
            <v>_BRS_GOLD__5_EQ:BRS_GOLD__1_EQX:BASIS_0M_8</v>
          </cell>
          <cell r="F8831" t="str">
            <v>EQ-Equity Implied Volatility</v>
          </cell>
          <cell r="G8831" t="str">
            <v>EQ-Other</v>
          </cell>
          <cell r="H8831" t="str">
            <v>EQ_INDICES</v>
          </cell>
          <cell r="I8831" t="str">
            <v>Equity Implied Volatility</v>
          </cell>
        </row>
        <row r="8832">
          <cell r="A8832" t="str">
            <v>BASIS_0M_9</v>
          </cell>
          <cell r="B8832" t="str">
            <v>STOXX 600 MEDIA basis 9</v>
          </cell>
          <cell r="C8832" t="str">
            <v>_BRS_GOLD__5_EQ:BRS_GOLD__1_EQX:BASIS_0M_9</v>
          </cell>
          <cell r="F8832" t="str">
            <v>EQ-Equity Implied Volatility</v>
          </cell>
          <cell r="G8832" t="str">
            <v>EQ-Other</v>
          </cell>
          <cell r="H8832" t="str">
            <v>EQ_INDICES</v>
          </cell>
          <cell r="I8832" t="str">
            <v>Equity Implied Volatility</v>
          </cell>
        </row>
        <row r="8833">
          <cell r="A8833" t="str">
            <v>BASIS_CA_1</v>
          </cell>
          <cell r="B8833" t="str">
            <v>EURO STOXX BANK basis 1</v>
          </cell>
          <cell r="C8833" t="str">
            <v>_BRS_GOLD__5_EQ:BRS_GOLD__1_EQX:BASIS_CA_1</v>
          </cell>
          <cell r="F8833" t="str">
            <v>EQ-Equity Implied Volatility</v>
          </cell>
          <cell r="G8833" t="str">
            <v>EQ-Other</v>
          </cell>
          <cell r="H8833" t="str">
            <v>EQ_INDICES</v>
          </cell>
          <cell r="I8833" t="str">
            <v>Equity Implied Volatility</v>
          </cell>
        </row>
        <row r="8834">
          <cell r="A8834" t="str">
            <v>BASIS_CA_10</v>
          </cell>
          <cell r="B8834" t="str">
            <v>EURO STOXX BANK basis 10</v>
          </cell>
          <cell r="C8834" t="str">
            <v>_BRS_GOLD__5_EQ:BRS_GOLD__1_EQX:BASIS_CA_10</v>
          </cell>
          <cell r="F8834" t="str">
            <v>EQ-Equity Implied Volatility</v>
          </cell>
          <cell r="G8834" t="str">
            <v>EQ-Other</v>
          </cell>
          <cell r="H8834" t="str">
            <v>EQ_INDICES</v>
          </cell>
          <cell r="I8834" t="str">
            <v>Equity Implied Volatility</v>
          </cell>
        </row>
        <row r="8835">
          <cell r="A8835" t="str">
            <v>BASIS_CA_11</v>
          </cell>
          <cell r="B8835" t="str">
            <v>EURO STOXX BANK basis 11</v>
          </cell>
          <cell r="C8835" t="str">
            <v>_BRS_GOLD__5_EQ:BRS_GOLD__1_EQX:BASIS_CA_11</v>
          </cell>
          <cell r="F8835" t="str">
            <v>EQ-Equity Implied Volatility</v>
          </cell>
          <cell r="G8835" t="str">
            <v>EQ-Other</v>
          </cell>
          <cell r="H8835" t="str">
            <v>EQ_INDICES</v>
          </cell>
          <cell r="I8835" t="str">
            <v>Equity Implied Volatility</v>
          </cell>
        </row>
        <row r="8836">
          <cell r="A8836" t="str">
            <v>BASIS_CA_12</v>
          </cell>
          <cell r="B8836" t="str">
            <v>EURO STOXX BANK basis 12</v>
          </cell>
          <cell r="C8836" t="str">
            <v>_BRS_GOLD__5_EQ:BRS_GOLD__1_EQX:BASIS_CA_12</v>
          </cell>
          <cell r="F8836" t="str">
            <v>EQ-Equity Implied Volatility</v>
          </cell>
          <cell r="G8836" t="str">
            <v>EQ-Other</v>
          </cell>
          <cell r="H8836" t="str">
            <v>EQ_INDICES</v>
          </cell>
          <cell r="I8836" t="str">
            <v>Equity Implied Volatility</v>
          </cell>
        </row>
        <row r="8837">
          <cell r="A8837" t="str">
            <v>BASIS_CA_2</v>
          </cell>
          <cell r="B8837" t="str">
            <v>EURO STOXX BANK basis 2</v>
          </cell>
          <cell r="C8837" t="str">
            <v>_BRS_GOLD__5_EQ:BRS_GOLD__1_EQX:BASIS_CA_2</v>
          </cell>
          <cell r="F8837" t="str">
            <v>EQ-Equity Implied Volatility</v>
          </cell>
          <cell r="G8837" t="str">
            <v>EQ-Other</v>
          </cell>
          <cell r="H8837" t="str">
            <v>EQ_INDICES</v>
          </cell>
          <cell r="I8837" t="str">
            <v>Equity Implied Volatility</v>
          </cell>
        </row>
        <row r="8838">
          <cell r="A8838" t="str">
            <v>BASIS_CA_3</v>
          </cell>
          <cell r="B8838" t="str">
            <v>EURO STOXX BANK basis 3</v>
          </cell>
          <cell r="C8838" t="str">
            <v>_BRS_GOLD__5_EQ:BRS_GOLD__1_EQX:BASIS_CA_3</v>
          </cell>
          <cell r="F8838" t="str">
            <v>EQ-Equity Implied Volatility</v>
          </cell>
          <cell r="G8838" t="str">
            <v>EQ-Other</v>
          </cell>
          <cell r="H8838" t="str">
            <v>EQ_INDICES</v>
          </cell>
          <cell r="I8838" t="str">
            <v>Equity Implied Volatility</v>
          </cell>
        </row>
        <row r="8839">
          <cell r="A8839" t="str">
            <v>BASIS_CA_4</v>
          </cell>
          <cell r="B8839" t="str">
            <v>EURO STOXX BANK basis 4</v>
          </cell>
          <cell r="C8839" t="str">
            <v>_BRS_GOLD__5_EQ:BRS_GOLD__1_EQX:BASIS_CA_4</v>
          </cell>
          <cell r="F8839" t="str">
            <v>EQ-Equity Implied Volatility</v>
          </cell>
          <cell r="G8839" t="str">
            <v>EQ-Other</v>
          </cell>
          <cell r="H8839" t="str">
            <v>EQ_INDICES</v>
          </cell>
          <cell r="I8839" t="str">
            <v>Equity Implied Volatility</v>
          </cell>
        </row>
        <row r="8840">
          <cell r="A8840" t="str">
            <v>BASIS_CA_5</v>
          </cell>
          <cell r="B8840" t="str">
            <v>EURO STOXX BANK basis 5</v>
          </cell>
          <cell r="C8840" t="str">
            <v>_BRS_GOLD__5_EQ:BRS_GOLD__1_EQX:BASIS_CA_5</v>
          </cell>
          <cell r="F8840" t="str">
            <v>EQ-Equity Implied Volatility</v>
          </cell>
          <cell r="G8840" t="str">
            <v>EQ-Other</v>
          </cell>
          <cell r="H8840" t="str">
            <v>EQ_INDICES</v>
          </cell>
          <cell r="I8840" t="str">
            <v>Equity Implied Volatility</v>
          </cell>
        </row>
        <row r="8841">
          <cell r="A8841" t="str">
            <v>BASIS_CA_6</v>
          </cell>
          <cell r="B8841" t="str">
            <v>EURO STOXX BANK basis 6</v>
          </cell>
          <cell r="C8841" t="str">
            <v>_BRS_GOLD__5_EQ:BRS_GOLD__1_EQX:BASIS_CA_6</v>
          </cell>
          <cell r="F8841" t="str">
            <v>EQ-Equity Implied Volatility</v>
          </cell>
          <cell r="G8841" t="str">
            <v>EQ-Other</v>
          </cell>
          <cell r="H8841" t="str">
            <v>EQ_INDICES</v>
          </cell>
          <cell r="I8841" t="str">
            <v>Equity Implied Volatility</v>
          </cell>
        </row>
        <row r="8842">
          <cell r="A8842" t="str">
            <v>BASIS_CA_7</v>
          </cell>
          <cell r="B8842" t="str">
            <v>EURO STOXX BANK basis 7</v>
          </cell>
          <cell r="C8842" t="str">
            <v>_BRS_GOLD__5_EQ:BRS_GOLD__1_EQX:BASIS_CA_7</v>
          </cell>
          <cell r="F8842" t="str">
            <v>EQ-Equity Implied Volatility</v>
          </cell>
          <cell r="G8842" t="str">
            <v>EQ-Other</v>
          </cell>
          <cell r="H8842" t="str">
            <v>EQ_INDICES</v>
          </cell>
          <cell r="I8842" t="str">
            <v>Equity Implied Volatility</v>
          </cell>
        </row>
        <row r="8843">
          <cell r="A8843" t="str">
            <v>BASIS_CA_8</v>
          </cell>
          <cell r="B8843" t="str">
            <v>EURO STOXX BANK basis 8</v>
          </cell>
          <cell r="C8843" t="str">
            <v>_BRS_GOLD__5_EQ:BRS_GOLD__1_EQX:BASIS_CA_8</v>
          </cell>
          <cell r="F8843" t="str">
            <v>EQ-Equity Implied Volatility</v>
          </cell>
          <cell r="G8843" t="str">
            <v>EQ-Other</v>
          </cell>
          <cell r="H8843" t="str">
            <v>EQ_INDICES</v>
          </cell>
          <cell r="I8843" t="str">
            <v>Equity Implied Volatility</v>
          </cell>
        </row>
        <row r="8844">
          <cell r="A8844" t="str">
            <v>BASIS_CA_9</v>
          </cell>
          <cell r="B8844" t="str">
            <v>EURO STOXX BANK basis 9</v>
          </cell>
          <cell r="C8844" t="str">
            <v>_BRS_GOLD__5_EQ:BRS_GOLD__1_EQX:BASIS_CA_9</v>
          </cell>
          <cell r="F8844" t="str">
            <v>EQ-Equity Implied Volatility</v>
          </cell>
          <cell r="G8844" t="str">
            <v>EQ-Other</v>
          </cell>
          <cell r="H8844" t="str">
            <v>EQ_INDICES</v>
          </cell>
          <cell r="I8844" t="str">
            <v>Equity Implied Volatility</v>
          </cell>
        </row>
        <row r="8845">
          <cell r="A8845" t="str">
            <v>BASIS_DT_1</v>
          </cell>
          <cell r="B8845" t="str">
            <v>EURO STOXX UTILITIES basis 1</v>
          </cell>
          <cell r="C8845" t="str">
            <v>_BRS_GOLD__5_EQ:BRS_GOLD__1_EQX:BASIS_DT_1</v>
          </cell>
          <cell r="F8845" t="str">
            <v>EQ-Equity Implied Volatility</v>
          </cell>
          <cell r="G8845" t="str">
            <v>EQ-Other</v>
          </cell>
          <cell r="H8845" t="str">
            <v>EQ_INDICES</v>
          </cell>
          <cell r="I8845" t="str">
            <v>Equity Implied Volatility</v>
          </cell>
        </row>
        <row r="8846">
          <cell r="A8846" t="str">
            <v>BASIS_DT_10</v>
          </cell>
          <cell r="B8846" t="str">
            <v>EURO STOXX UTILITIES basis 10</v>
          </cell>
          <cell r="C8846" t="str">
            <v>_BRS_GOLD__5_EQ:BRS_GOLD__1_EQX:BASIS_DT_10</v>
          </cell>
          <cell r="F8846" t="str">
            <v>EQ-Equity Implied Volatility</v>
          </cell>
          <cell r="G8846" t="str">
            <v>EQ-Other</v>
          </cell>
          <cell r="H8846" t="str">
            <v>EQ_INDICES</v>
          </cell>
          <cell r="I8846" t="str">
            <v>Equity Implied Volatility</v>
          </cell>
        </row>
        <row r="8847">
          <cell r="A8847" t="str">
            <v>BASIS_DT_11</v>
          </cell>
          <cell r="B8847" t="str">
            <v>EURO STOXX UTILITIES basis 11</v>
          </cell>
          <cell r="C8847" t="str">
            <v>_BRS_GOLD__5_EQ:BRS_GOLD__1_EQX:BASIS_DT_11</v>
          </cell>
          <cell r="F8847" t="str">
            <v>EQ-Equity Implied Volatility</v>
          </cell>
          <cell r="G8847" t="str">
            <v>EQ-Other</v>
          </cell>
          <cell r="H8847" t="str">
            <v>EQ_INDICES</v>
          </cell>
          <cell r="I8847" t="str">
            <v>Equity Implied Volatility</v>
          </cell>
        </row>
        <row r="8848">
          <cell r="A8848" t="str">
            <v>BASIS_DT_12</v>
          </cell>
          <cell r="B8848" t="str">
            <v>EURO STOXX UTILITIES basis 12</v>
          </cell>
          <cell r="C8848" t="str">
            <v>_BRS_GOLD__5_EQ:BRS_GOLD__1_EQX:BASIS_DT_12</v>
          </cell>
          <cell r="F8848" t="str">
            <v>EQ-Equity Implied Volatility</v>
          </cell>
          <cell r="G8848" t="str">
            <v>EQ-Other</v>
          </cell>
          <cell r="H8848" t="str">
            <v>EQ_INDICES</v>
          </cell>
          <cell r="I8848" t="str">
            <v>Equity Implied Volatility</v>
          </cell>
        </row>
        <row r="8849">
          <cell r="A8849" t="str">
            <v>BASIS_DT_2</v>
          </cell>
          <cell r="B8849" t="str">
            <v>EURO STOXX UTILITIES basis 2</v>
          </cell>
          <cell r="C8849" t="str">
            <v>_BRS_GOLD__5_EQ:BRS_GOLD__1_EQX:BASIS_DT_2</v>
          </cell>
          <cell r="F8849" t="str">
            <v>EQ-Equity Implied Volatility</v>
          </cell>
          <cell r="G8849" t="str">
            <v>EQ-Other</v>
          </cell>
          <cell r="H8849" t="str">
            <v>EQ_INDICES</v>
          </cell>
          <cell r="I8849" t="str">
            <v>Equity Implied Volatility</v>
          </cell>
        </row>
        <row r="8850">
          <cell r="A8850" t="str">
            <v>BASIS_DT_3</v>
          </cell>
          <cell r="B8850" t="str">
            <v>EURO STOXX UTILITIES basis 3</v>
          </cell>
          <cell r="C8850" t="str">
            <v>_BRS_GOLD__5_EQ:BRS_GOLD__1_EQX:BASIS_DT_3</v>
          </cell>
          <cell r="F8850" t="str">
            <v>EQ-Equity Implied Volatility</v>
          </cell>
          <cell r="G8850" t="str">
            <v>EQ-Other</v>
          </cell>
          <cell r="H8850" t="str">
            <v>EQ_INDICES</v>
          </cell>
          <cell r="I8850" t="str">
            <v>Equity Implied Volatility</v>
          </cell>
        </row>
        <row r="8851">
          <cell r="A8851" t="str">
            <v>BASIS_DT_4</v>
          </cell>
          <cell r="B8851" t="str">
            <v>EURO STOXX UTILITIES basis 4</v>
          </cell>
          <cell r="C8851" t="str">
            <v>_BRS_GOLD__5_EQ:BRS_GOLD__1_EQX:BASIS_DT_4</v>
          </cell>
          <cell r="F8851" t="str">
            <v>EQ-Equity Implied Volatility</v>
          </cell>
          <cell r="G8851" t="str">
            <v>EQ-Other</v>
          </cell>
          <cell r="H8851" t="str">
            <v>EQ_INDICES</v>
          </cell>
          <cell r="I8851" t="str">
            <v>Equity Implied Volatility</v>
          </cell>
        </row>
        <row r="8852">
          <cell r="A8852" t="str">
            <v>BASIS_DT_5</v>
          </cell>
          <cell r="B8852" t="str">
            <v>EURO STOXX UTILITIES basis 5</v>
          </cell>
          <cell r="C8852" t="str">
            <v>_BRS_GOLD__5_EQ:BRS_GOLD__1_EQX:BASIS_DT_5</v>
          </cell>
          <cell r="F8852" t="str">
            <v>EQ-Equity Implied Volatility</v>
          </cell>
          <cell r="G8852" t="str">
            <v>EQ-Other</v>
          </cell>
          <cell r="H8852" t="str">
            <v>EQ_INDICES</v>
          </cell>
          <cell r="I8852" t="str">
            <v>Equity Implied Volatility</v>
          </cell>
        </row>
        <row r="8853">
          <cell r="A8853" t="str">
            <v>BASIS_DT_6</v>
          </cell>
          <cell r="B8853" t="str">
            <v>EURO STOXX UTILITIES basis 6</v>
          </cell>
          <cell r="C8853" t="str">
            <v>_BRS_GOLD__5_EQ:BRS_GOLD__1_EQX:BASIS_DT_6</v>
          </cell>
          <cell r="F8853" t="str">
            <v>EQ-Equity Implied Volatility</v>
          </cell>
          <cell r="G8853" t="str">
            <v>EQ-Other</v>
          </cell>
          <cell r="H8853" t="str">
            <v>EQ_INDICES</v>
          </cell>
          <cell r="I8853" t="str">
            <v>Equity Implied Volatility</v>
          </cell>
        </row>
        <row r="8854">
          <cell r="A8854" t="str">
            <v>BASIS_DT_7</v>
          </cell>
          <cell r="B8854" t="str">
            <v>EURO STOXX UTILITIES basis 7</v>
          </cell>
          <cell r="C8854" t="str">
            <v>_BRS_GOLD__5_EQ:BRS_GOLD__1_EQX:BASIS_DT_7</v>
          </cell>
          <cell r="F8854" t="str">
            <v>EQ-Equity Implied Volatility</v>
          </cell>
          <cell r="G8854" t="str">
            <v>EQ-Other</v>
          </cell>
          <cell r="H8854" t="str">
            <v>EQ_INDICES</v>
          </cell>
          <cell r="I8854" t="str">
            <v>Equity Implied Volatility</v>
          </cell>
        </row>
        <row r="8855">
          <cell r="A8855" t="str">
            <v>BASIS_DT_8</v>
          </cell>
          <cell r="B8855" t="str">
            <v>EURO STOXX UTILITIES basis 8</v>
          </cell>
          <cell r="C8855" t="str">
            <v>_BRS_GOLD__5_EQ:BRS_GOLD__1_EQX:BASIS_DT_8</v>
          </cell>
          <cell r="F8855" t="str">
            <v>EQ-Equity Implied Volatility</v>
          </cell>
          <cell r="G8855" t="str">
            <v>EQ-Other</v>
          </cell>
          <cell r="H8855" t="str">
            <v>EQ_INDICES</v>
          </cell>
          <cell r="I8855" t="str">
            <v>Equity Implied Volatility</v>
          </cell>
        </row>
        <row r="8856">
          <cell r="A8856" t="str">
            <v>BASIS_DT_9</v>
          </cell>
          <cell r="B8856" t="str">
            <v>EURO STOXX UTILITIES basis 9</v>
          </cell>
          <cell r="C8856" t="str">
            <v>_BRS_GOLD__5_EQ:BRS_GOLD__1_EQX:BASIS_DT_9</v>
          </cell>
          <cell r="F8856" t="str">
            <v>EQ-Equity Implied Volatility</v>
          </cell>
          <cell r="G8856" t="str">
            <v>EQ-Other</v>
          </cell>
          <cell r="H8856" t="str">
            <v>EQ_INDICES</v>
          </cell>
          <cell r="I8856" t="str">
            <v>Equity Implied Volatility</v>
          </cell>
        </row>
        <row r="8857">
          <cell r="A8857" t="str">
            <v>BASIS_JU_1</v>
          </cell>
          <cell r="B8857" t="str">
            <v>STOXX 600 INSURANCE basis 1</v>
          </cell>
          <cell r="C8857" t="str">
            <v>_BRS_GOLD__5_EQ:BRS_GOLD__1_EQX:BASIS_JU_1</v>
          </cell>
          <cell r="F8857" t="str">
            <v>EQ-Equity Implied Volatility</v>
          </cell>
          <cell r="G8857" t="str">
            <v>EQ-Other</v>
          </cell>
          <cell r="H8857" t="str">
            <v>EQ_INDICES</v>
          </cell>
          <cell r="I8857" t="str">
            <v>Equity Implied Volatility</v>
          </cell>
        </row>
        <row r="8858">
          <cell r="A8858" t="str">
            <v>BASIS_JU_10</v>
          </cell>
          <cell r="B8858" t="str">
            <v>STOXX 600 INSURANCE basis 10</v>
          </cell>
          <cell r="C8858" t="str">
            <v>_BRS_GOLD__5_EQ:BRS_GOLD__1_EQX:BASIS_JU_10</v>
          </cell>
          <cell r="F8858" t="str">
            <v>EQ-Equity Implied Volatility</v>
          </cell>
          <cell r="G8858" t="str">
            <v>EQ-Other</v>
          </cell>
          <cell r="H8858" t="str">
            <v>EQ_INDICES</v>
          </cell>
          <cell r="I8858" t="str">
            <v>Equity Implied Volatility</v>
          </cell>
        </row>
        <row r="8859">
          <cell r="A8859" t="str">
            <v>BASIS_JU_11</v>
          </cell>
          <cell r="B8859" t="str">
            <v>STOXX 600 INSURANCE basis 11</v>
          </cell>
          <cell r="C8859" t="str">
            <v>_BRS_GOLD__5_EQ:BRS_GOLD__1_EQX:BASIS_JU_11</v>
          </cell>
          <cell r="F8859" t="str">
            <v>EQ-Equity Implied Volatility</v>
          </cell>
          <cell r="G8859" t="str">
            <v>EQ-Other</v>
          </cell>
          <cell r="H8859" t="str">
            <v>EQ_INDICES</v>
          </cell>
          <cell r="I8859" t="str">
            <v>Equity Implied Volatility</v>
          </cell>
        </row>
        <row r="8860">
          <cell r="A8860" t="str">
            <v>BASIS_JU_12</v>
          </cell>
          <cell r="B8860" t="str">
            <v>STOXX 600 INSURANCE basis 12</v>
          </cell>
          <cell r="C8860" t="str">
            <v>_BRS_GOLD__5_EQ:BRS_GOLD__1_EQX:BASIS_JU_12</v>
          </cell>
          <cell r="F8860" t="str">
            <v>EQ-Equity Implied Volatility</v>
          </cell>
          <cell r="G8860" t="str">
            <v>EQ-Other</v>
          </cell>
          <cell r="H8860" t="str">
            <v>EQ_INDICES</v>
          </cell>
          <cell r="I8860" t="str">
            <v>Equity Implied Volatility</v>
          </cell>
        </row>
        <row r="8861">
          <cell r="A8861" t="str">
            <v>BASIS_JU_2</v>
          </cell>
          <cell r="B8861" t="str">
            <v>STOXX 600 INSURANCE basis 2</v>
          </cell>
          <cell r="C8861" t="str">
            <v>_BRS_GOLD__5_EQ:BRS_GOLD__1_EQX:BASIS_JU_2</v>
          </cell>
          <cell r="F8861" t="str">
            <v>EQ-Equity Implied Volatility</v>
          </cell>
          <cell r="G8861" t="str">
            <v>EQ-Other</v>
          </cell>
          <cell r="H8861" t="str">
            <v>EQ_INDICES</v>
          </cell>
          <cell r="I8861" t="str">
            <v>Equity Implied Volatility</v>
          </cell>
        </row>
        <row r="8862">
          <cell r="A8862" t="str">
            <v>BASIS_JU_3</v>
          </cell>
          <cell r="B8862" t="str">
            <v>STOXX 600 INSURANCE basis 3</v>
          </cell>
          <cell r="C8862" t="str">
            <v>_BRS_GOLD__5_EQ:BRS_GOLD__1_EQX:BASIS_JU_3</v>
          </cell>
          <cell r="F8862" t="str">
            <v>EQ-Equity Implied Volatility</v>
          </cell>
          <cell r="G8862" t="str">
            <v>EQ-Other</v>
          </cell>
          <cell r="H8862" t="str">
            <v>EQ_INDICES</v>
          </cell>
          <cell r="I8862" t="str">
            <v>Equity Implied Volatility</v>
          </cell>
        </row>
        <row r="8863">
          <cell r="A8863" t="str">
            <v>BASIS_JU_4</v>
          </cell>
          <cell r="B8863" t="str">
            <v>STOXX 600 INSURANCE basis 4</v>
          </cell>
          <cell r="C8863" t="str">
            <v>_BRS_GOLD__5_EQ:BRS_GOLD__1_EQX:BASIS_JU_4</v>
          </cell>
          <cell r="F8863" t="str">
            <v>EQ-Equity Implied Volatility</v>
          </cell>
          <cell r="G8863" t="str">
            <v>EQ-Other</v>
          </cell>
          <cell r="H8863" t="str">
            <v>EQ_INDICES</v>
          </cell>
          <cell r="I8863" t="str">
            <v>Equity Implied Volatility</v>
          </cell>
        </row>
        <row r="8864">
          <cell r="A8864" t="str">
            <v>BASIS_JU_5</v>
          </cell>
          <cell r="B8864" t="str">
            <v>STOXX 600 INSURANCE basis 5</v>
          </cell>
          <cell r="C8864" t="str">
            <v>_BRS_GOLD__5_EQ:BRS_GOLD__1_EQX:BASIS_JU_5</v>
          </cell>
          <cell r="F8864" t="str">
            <v>EQ-Equity Implied Volatility</v>
          </cell>
          <cell r="G8864" t="str">
            <v>EQ-Other</v>
          </cell>
          <cell r="H8864" t="str">
            <v>EQ_INDICES</v>
          </cell>
          <cell r="I8864" t="str">
            <v>Equity Implied Volatility</v>
          </cell>
        </row>
        <row r="8865">
          <cell r="A8865" t="str">
            <v>BASIS_JU_6</v>
          </cell>
          <cell r="B8865" t="str">
            <v>STOXX 600 INSURANCE basis 6</v>
          </cell>
          <cell r="C8865" t="str">
            <v>_BRS_GOLD__5_EQ:BRS_GOLD__1_EQX:BASIS_JU_6</v>
          </cell>
          <cell r="F8865" t="str">
            <v>EQ-Equity Implied Volatility</v>
          </cell>
          <cell r="G8865" t="str">
            <v>EQ-Other</v>
          </cell>
          <cell r="H8865" t="str">
            <v>EQ_INDICES</v>
          </cell>
          <cell r="I8865" t="str">
            <v>Equity Implied Volatility</v>
          </cell>
        </row>
        <row r="8866">
          <cell r="A8866" t="str">
            <v>BASIS_JU_7</v>
          </cell>
          <cell r="B8866" t="str">
            <v>STOXX 600 INSURANCE basis 7</v>
          </cell>
          <cell r="C8866" t="str">
            <v>_BRS_GOLD__5_EQ:BRS_GOLD__1_EQX:BASIS_JU_7</v>
          </cell>
          <cell r="F8866" t="str">
            <v>EQ-Equity Implied Volatility</v>
          </cell>
          <cell r="G8866" t="str">
            <v>EQ-Other</v>
          </cell>
          <cell r="H8866" t="str">
            <v>EQ_INDICES</v>
          </cell>
          <cell r="I8866" t="str">
            <v>Equity Implied Volatility</v>
          </cell>
        </row>
        <row r="8867">
          <cell r="A8867" t="str">
            <v>BASIS_JU_8</v>
          </cell>
          <cell r="B8867" t="str">
            <v>STOXX 600 INSURANCE basis 8</v>
          </cell>
          <cell r="C8867" t="str">
            <v>_BRS_GOLD__5_EQ:BRS_GOLD__1_EQX:BASIS_JU_8</v>
          </cell>
          <cell r="F8867" t="str">
            <v>EQ-Equity Implied Volatility</v>
          </cell>
          <cell r="G8867" t="str">
            <v>EQ-Other</v>
          </cell>
          <cell r="H8867" t="str">
            <v>EQ_INDICES</v>
          </cell>
          <cell r="I8867" t="str">
            <v>Equity Implied Volatility</v>
          </cell>
        </row>
        <row r="8868">
          <cell r="A8868" t="str">
            <v>BASIS_JU_9</v>
          </cell>
          <cell r="B8868" t="str">
            <v>STOXX 600 INSURANCE basis 9</v>
          </cell>
          <cell r="C8868" t="str">
            <v>_BRS_GOLD__5_EQ:BRS_GOLD__1_EQX:BASIS_JU_9</v>
          </cell>
          <cell r="F8868" t="str">
            <v>EQ-Equity Implied Volatility</v>
          </cell>
          <cell r="G8868" t="str">
            <v>EQ-Other</v>
          </cell>
          <cell r="H8868" t="str">
            <v>EQ_INDICES</v>
          </cell>
          <cell r="I8868" t="str">
            <v>Equity Implied Volatility</v>
          </cell>
        </row>
        <row r="8869">
          <cell r="A8869" t="str">
            <v>BASIS_KG_1</v>
          </cell>
          <cell r="B8869" t="str">
            <v>STOXX 600 OIL basis 1</v>
          </cell>
          <cell r="C8869" t="str">
            <v>_BRS_GOLD__5_EQ:BRS_GOLD__1_EQX:BASIS_KG_1</v>
          </cell>
          <cell r="F8869" t="str">
            <v>EQ-Equity Implied Volatility</v>
          </cell>
          <cell r="G8869" t="str">
            <v>EQ-Other</v>
          </cell>
          <cell r="H8869" t="str">
            <v>EQ_INDICES</v>
          </cell>
          <cell r="I8869" t="str">
            <v>Equity Implied Volatility</v>
          </cell>
        </row>
        <row r="8870">
          <cell r="A8870" t="str">
            <v>BASIS_KG_10</v>
          </cell>
          <cell r="B8870" t="str">
            <v>STOXX 600 OIL basis 10</v>
          </cell>
          <cell r="C8870" t="str">
            <v>_BRS_GOLD__5_EQ:BRS_GOLD__1_EQX:BASIS_KG_10</v>
          </cell>
          <cell r="F8870" t="str">
            <v>EQ-Equity Implied Volatility</v>
          </cell>
          <cell r="G8870" t="str">
            <v>EQ-Other</v>
          </cell>
          <cell r="H8870" t="str">
            <v>EQ_INDICES</v>
          </cell>
          <cell r="I8870" t="str">
            <v>Equity Implied Volatility</v>
          </cell>
        </row>
        <row r="8871">
          <cell r="A8871" t="str">
            <v>BASIS_KG_11</v>
          </cell>
          <cell r="B8871" t="str">
            <v>STOXX 600 OIL basis 11</v>
          </cell>
          <cell r="C8871" t="str">
            <v>_BRS_GOLD__5_EQ:BRS_GOLD__1_EQX:BASIS_KG_11</v>
          </cell>
          <cell r="F8871" t="str">
            <v>EQ-Equity Implied Volatility</v>
          </cell>
          <cell r="G8871" t="str">
            <v>EQ-Other</v>
          </cell>
          <cell r="H8871" t="str">
            <v>EQ_INDICES</v>
          </cell>
          <cell r="I8871" t="str">
            <v>Equity Implied Volatility</v>
          </cell>
        </row>
        <row r="8872">
          <cell r="A8872" t="str">
            <v>BASIS_KG_12</v>
          </cell>
          <cell r="B8872" t="str">
            <v>STOXX 600 OIL basis 12</v>
          </cell>
          <cell r="C8872" t="str">
            <v>_BRS_GOLD__5_EQ:BRS_GOLD__1_EQX:BASIS_KG_12</v>
          </cell>
          <cell r="F8872" t="str">
            <v>EQ-Equity Implied Volatility</v>
          </cell>
          <cell r="G8872" t="str">
            <v>EQ-Other</v>
          </cell>
          <cell r="H8872" t="str">
            <v>EQ_INDICES</v>
          </cell>
          <cell r="I8872" t="str">
            <v>Equity Implied Volatility</v>
          </cell>
        </row>
        <row r="8873">
          <cell r="A8873" t="str">
            <v>BASIS_KG_2</v>
          </cell>
          <cell r="B8873" t="str">
            <v>STOXX 600 OIL basis 2</v>
          </cell>
          <cell r="C8873" t="str">
            <v>_BRS_GOLD__5_EQ:BRS_GOLD__1_EQX:BASIS_KG_2</v>
          </cell>
          <cell r="F8873" t="str">
            <v>EQ-Equity Implied Volatility</v>
          </cell>
          <cell r="G8873" t="str">
            <v>EQ-Other</v>
          </cell>
          <cell r="H8873" t="str">
            <v>EQ_INDICES</v>
          </cell>
          <cell r="I8873" t="str">
            <v>Equity Implied Volatility</v>
          </cell>
        </row>
        <row r="8874">
          <cell r="A8874" t="str">
            <v>BASIS_KG_3</v>
          </cell>
          <cell r="B8874" t="str">
            <v>STOXX 600 OIL basis 3</v>
          </cell>
          <cell r="C8874" t="str">
            <v>_BRS_GOLD__5_EQ:BRS_GOLD__1_EQX:BASIS_KG_3</v>
          </cell>
          <cell r="F8874" t="str">
            <v>EQ-Equity Implied Volatility</v>
          </cell>
          <cell r="G8874" t="str">
            <v>EQ-Other</v>
          </cell>
          <cell r="H8874" t="str">
            <v>EQ_INDICES</v>
          </cell>
          <cell r="I8874" t="str">
            <v>Equity Implied Volatility</v>
          </cell>
        </row>
        <row r="8875">
          <cell r="A8875" t="str">
            <v>BASIS_KG_4</v>
          </cell>
          <cell r="B8875" t="str">
            <v>STOXX 600 OIL basis 4</v>
          </cell>
          <cell r="C8875" t="str">
            <v>_BRS_GOLD__5_EQ:BRS_GOLD__1_EQX:BASIS_KG_4</v>
          </cell>
          <cell r="F8875" t="str">
            <v>EQ-Equity Implied Volatility</v>
          </cell>
          <cell r="G8875" t="str">
            <v>EQ-Other</v>
          </cell>
          <cell r="H8875" t="str">
            <v>EQ_INDICES</v>
          </cell>
          <cell r="I8875" t="str">
            <v>Equity Implied Volatility</v>
          </cell>
        </row>
        <row r="8876">
          <cell r="A8876" t="str">
            <v>BASIS_KG_5</v>
          </cell>
          <cell r="B8876" t="str">
            <v>STOXX 600 OIL basis 5</v>
          </cell>
          <cell r="C8876" t="str">
            <v>_BRS_GOLD__5_EQ:BRS_GOLD__1_EQX:BASIS_KG_5</v>
          </cell>
          <cell r="F8876" t="str">
            <v>EQ-Equity Implied Volatility</v>
          </cell>
          <cell r="G8876" t="str">
            <v>EQ-Other</v>
          </cell>
          <cell r="H8876" t="str">
            <v>EQ_INDICES</v>
          </cell>
          <cell r="I8876" t="str">
            <v>Equity Implied Volatility</v>
          </cell>
        </row>
        <row r="8877">
          <cell r="A8877" t="str">
            <v>BASIS_KG_6</v>
          </cell>
          <cell r="B8877" t="str">
            <v>STOXX 600 OIL basis 6</v>
          </cell>
          <cell r="C8877" t="str">
            <v>_BRS_GOLD__5_EQ:BRS_GOLD__1_EQX:BASIS_KG_6</v>
          </cell>
          <cell r="F8877" t="str">
            <v>EQ-Equity Implied Volatility</v>
          </cell>
          <cell r="G8877" t="str">
            <v>EQ-Other</v>
          </cell>
          <cell r="H8877" t="str">
            <v>EQ_INDICES</v>
          </cell>
          <cell r="I8877" t="str">
            <v>Equity Implied Volatility</v>
          </cell>
        </row>
        <row r="8878">
          <cell r="A8878" t="str">
            <v>BASIS_KG_7</v>
          </cell>
          <cell r="B8878" t="str">
            <v>STOXX 600 OIL basis 7</v>
          </cell>
          <cell r="C8878" t="str">
            <v>_BRS_GOLD__5_EQ:BRS_GOLD__1_EQX:BASIS_KG_7</v>
          </cell>
          <cell r="F8878" t="str">
            <v>EQ-Equity Implied Volatility</v>
          </cell>
          <cell r="G8878" t="str">
            <v>EQ-Other</v>
          </cell>
          <cell r="H8878" t="str">
            <v>EQ_INDICES</v>
          </cell>
          <cell r="I8878" t="str">
            <v>Equity Implied Volatility</v>
          </cell>
        </row>
        <row r="8879">
          <cell r="A8879" t="str">
            <v>BASIS_KG_8</v>
          </cell>
          <cell r="B8879" t="str">
            <v>STOXX 600 OIL basis 8</v>
          </cell>
          <cell r="C8879" t="str">
            <v>_BRS_GOLD__5_EQ:BRS_GOLD__1_EQX:BASIS_KG_8</v>
          </cell>
          <cell r="F8879" t="str">
            <v>EQ-Equity Implied Volatility</v>
          </cell>
          <cell r="G8879" t="str">
            <v>EQ-Other</v>
          </cell>
          <cell r="H8879" t="str">
            <v>EQ_INDICES</v>
          </cell>
          <cell r="I8879" t="str">
            <v>Equity Implied Volatility</v>
          </cell>
        </row>
        <row r="8880">
          <cell r="A8880" t="str">
            <v>BASIS_KG_9</v>
          </cell>
          <cell r="B8880" t="str">
            <v>STOXX 600 OIL basis 9</v>
          </cell>
          <cell r="C8880" t="str">
            <v>_BRS_GOLD__5_EQ:BRS_GOLD__1_EQX:BASIS_KG_9</v>
          </cell>
          <cell r="F8880" t="str">
            <v>EQ-Equity Implied Volatility</v>
          </cell>
          <cell r="G8880" t="str">
            <v>EQ-Other</v>
          </cell>
          <cell r="H8880" t="str">
            <v>EQ_INDICES</v>
          </cell>
          <cell r="I8880" t="str">
            <v>Equity Implied Volatility</v>
          </cell>
        </row>
        <row r="8881">
          <cell r="A8881" t="str">
            <v>BASIS_MF_1</v>
          </cell>
          <cell r="B8881" t="str">
            <v>MDAX INDEX basis 1</v>
          </cell>
          <cell r="C8881" t="str">
            <v>_BRS_GOLD__5_EQ:BRS_GOLD__1_EQX:BASIS_MF_1</v>
          </cell>
          <cell r="F8881" t="str">
            <v>EQ-Equity Implied Volatility</v>
          </cell>
          <cell r="G8881" t="str">
            <v>EQ-Other</v>
          </cell>
          <cell r="H8881" t="str">
            <v>EQ_INDICES</v>
          </cell>
          <cell r="I8881" t="str">
            <v>Equity Implied Volatility</v>
          </cell>
        </row>
        <row r="8882">
          <cell r="A8882" t="str">
            <v>BASIS_MF_10</v>
          </cell>
          <cell r="B8882" t="str">
            <v>MDAX INDEX basis 10</v>
          </cell>
          <cell r="C8882" t="str">
            <v>_BRS_GOLD__5_EQ:BRS_GOLD__1_EQX:BASIS_MF_10</v>
          </cell>
          <cell r="F8882" t="str">
            <v>EQ-Equity Implied Volatility</v>
          </cell>
          <cell r="G8882" t="str">
            <v>EQ-Other</v>
          </cell>
          <cell r="H8882" t="str">
            <v>EQ_INDICES</v>
          </cell>
          <cell r="I8882" t="str">
            <v>Equity Implied Volatility</v>
          </cell>
        </row>
        <row r="8883">
          <cell r="A8883" t="str">
            <v>BASIS_MF_11</v>
          </cell>
          <cell r="B8883" t="str">
            <v>MDAX INDEX basis 11</v>
          </cell>
          <cell r="C8883" t="str">
            <v>_BRS_GOLD__5_EQ:BRS_GOLD__1_EQX:BASIS_MF_11</v>
          </cell>
          <cell r="F8883" t="str">
            <v>EQ-Equity Implied Volatility</v>
          </cell>
          <cell r="G8883" t="str">
            <v>EQ-Other</v>
          </cell>
          <cell r="H8883" t="str">
            <v>EQ_INDICES</v>
          </cell>
          <cell r="I8883" t="str">
            <v>Equity Implied Volatility</v>
          </cell>
        </row>
        <row r="8884">
          <cell r="A8884" t="str">
            <v>BASIS_MF_12</v>
          </cell>
          <cell r="B8884" t="str">
            <v>MDAX INDEX basis 12</v>
          </cell>
          <cell r="C8884" t="str">
            <v>_BRS_GOLD__5_EQ:BRS_GOLD__1_EQX:BASIS_MF_12</v>
          </cell>
          <cell r="F8884" t="str">
            <v>EQ-Equity Implied Volatility</v>
          </cell>
          <cell r="G8884" t="str">
            <v>EQ-Other</v>
          </cell>
          <cell r="H8884" t="str">
            <v>EQ_INDICES</v>
          </cell>
          <cell r="I8884" t="str">
            <v>Equity Implied Volatility</v>
          </cell>
        </row>
        <row r="8885">
          <cell r="A8885" t="str">
            <v>BASIS_MF_2</v>
          </cell>
          <cell r="B8885" t="str">
            <v>MDAX INDEX basis 2</v>
          </cell>
          <cell r="C8885" t="str">
            <v>_BRS_GOLD__5_EQ:BRS_GOLD__1_EQX:BASIS_MF_2</v>
          </cell>
          <cell r="F8885" t="str">
            <v>EQ-Equity Implied Volatility</v>
          </cell>
          <cell r="G8885" t="str">
            <v>EQ-Other</v>
          </cell>
          <cell r="H8885" t="str">
            <v>EQ_INDICES</v>
          </cell>
          <cell r="I8885" t="str">
            <v>Equity Implied Volatility</v>
          </cell>
        </row>
        <row r="8886">
          <cell r="A8886" t="str">
            <v>BASIS_MF_3</v>
          </cell>
          <cell r="B8886" t="str">
            <v>MDAX INDEX basis 3</v>
          </cell>
          <cell r="C8886" t="str">
            <v>_BRS_GOLD__5_EQ:BRS_GOLD__1_EQX:BASIS_MF_3</v>
          </cell>
          <cell r="F8886" t="str">
            <v>EQ-Equity Implied Volatility</v>
          </cell>
          <cell r="G8886" t="str">
            <v>EQ-Other</v>
          </cell>
          <cell r="H8886" t="str">
            <v>EQ_INDICES</v>
          </cell>
          <cell r="I8886" t="str">
            <v>Equity Implied Volatility</v>
          </cell>
        </row>
        <row r="8887">
          <cell r="A8887" t="str">
            <v>BASIS_MF_4</v>
          </cell>
          <cell r="B8887" t="str">
            <v>MDAX INDEX basis 4</v>
          </cell>
          <cell r="C8887" t="str">
            <v>_BRS_GOLD__5_EQ:BRS_GOLD__1_EQX:BASIS_MF_4</v>
          </cell>
          <cell r="F8887" t="str">
            <v>EQ-Equity Implied Volatility</v>
          </cell>
          <cell r="G8887" t="str">
            <v>EQ-Other</v>
          </cell>
          <cell r="H8887" t="str">
            <v>EQ_INDICES</v>
          </cell>
          <cell r="I8887" t="str">
            <v>Equity Implied Volatility</v>
          </cell>
        </row>
        <row r="8888">
          <cell r="A8888" t="str">
            <v>BASIS_MF_5</v>
          </cell>
          <cell r="B8888" t="str">
            <v>MDAX INDEX basis 5</v>
          </cell>
          <cell r="C8888" t="str">
            <v>_BRS_GOLD__5_EQ:BRS_GOLD__1_EQX:BASIS_MF_5</v>
          </cell>
          <cell r="F8888" t="str">
            <v>EQ-Equity Implied Volatility</v>
          </cell>
          <cell r="G8888" t="str">
            <v>EQ-Other</v>
          </cell>
          <cell r="H8888" t="str">
            <v>EQ_INDICES</v>
          </cell>
          <cell r="I8888" t="str">
            <v>Equity Implied Volatility</v>
          </cell>
        </row>
        <row r="8889">
          <cell r="A8889" t="str">
            <v>BASIS_MF_6</v>
          </cell>
          <cell r="B8889" t="str">
            <v>MDAX INDEX basis 6</v>
          </cell>
          <cell r="C8889" t="str">
            <v>_BRS_GOLD__5_EQ:BRS_GOLD__1_EQX:BASIS_MF_6</v>
          </cell>
          <cell r="F8889" t="str">
            <v>EQ-Equity Implied Volatility</v>
          </cell>
          <cell r="G8889" t="str">
            <v>EQ-Other</v>
          </cell>
          <cell r="H8889" t="str">
            <v>EQ_INDICES</v>
          </cell>
          <cell r="I8889" t="str">
            <v>Equity Implied Volatility</v>
          </cell>
        </row>
        <row r="8890">
          <cell r="A8890" t="str">
            <v>BASIS_MF_7</v>
          </cell>
          <cell r="B8890" t="str">
            <v>MDAX INDEX basis 7</v>
          </cell>
          <cell r="C8890" t="str">
            <v>_BRS_GOLD__5_EQ:BRS_GOLD__1_EQX:BASIS_MF_7</v>
          </cell>
          <cell r="F8890" t="str">
            <v>EQ-Equity Implied Volatility</v>
          </cell>
          <cell r="G8890" t="str">
            <v>EQ-Other</v>
          </cell>
          <cell r="H8890" t="str">
            <v>EQ_INDICES</v>
          </cell>
          <cell r="I8890" t="str">
            <v>Equity Implied Volatility</v>
          </cell>
        </row>
        <row r="8891">
          <cell r="A8891" t="str">
            <v>BASIS_MF_8</v>
          </cell>
          <cell r="B8891" t="str">
            <v>MDAX INDEX basis 8</v>
          </cell>
          <cell r="C8891" t="str">
            <v>_BRS_GOLD__5_EQ:BRS_GOLD__1_EQX:BASIS_MF_8</v>
          </cell>
          <cell r="F8891" t="str">
            <v>EQ-Equity Implied Volatility</v>
          </cell>
          <cell r="G8891" t="str">
            <v>EQ-Other</v>
          </cell>
          <cell r="H8891" t="str">
            <v>EQ_INDICES</v>
          </cell>
          <cell r="I8891" t="str">
            <v>Equity Implied Volatility</v>
          </cell>
        </row>
        <row r="8892">
          <cell r="A8892" t="str">
            <v>BASIS_MF_9</v>
          </cell>
          <cell r="B8892" t="str">
            <v>MDAX INDEX basis 9</v>
          </cell>
          <cell r="C8892" t="str">
            <v>_BRS_GOLD__5_EQ:BRS_GOLD__1_EQX:BASIS_MF_9</v>
          </cell>
          <cell r="F8892" t="str">
            <v>EQ-Equity Implied Volatility</v>
          </cell>
          <cell r="G8892" t="str">
            <v>EQ-Other</v>
          </cell>
          <cell r="H8892" t="str">
            <v>EQ_INDICES</v>
          </cell>
          <cell r="I8892" t="str">
            <v>Equity Implied Volatility</v>
          </cell>
        </row>
        <row r="8893">
          <cell r="A8893" t="str">
            <v>BASIS_NI_1</v>
          </cell>
          <cell r="B8893" t="str">
            <v>NIKKEI 225 (SGX) basis 1</v>
          </cell>
          <cell r="C8893" t="str">
            <v>_BRS_GOLD__5_EQ:BRS_GOLD__1_EQX:BASIS_NI_1</v>
          </cell>
          <cell r="F8893" t="str">
            <v>EQ-Equity Implied Volatility</v>
          </cell>
          <cell r="G8893" t="str">
            <v>EQ-Other</v>
          </cell>
          <cell r="H8893" t="str">
            <v>EQ_INDICES</v>
          </cell>
          <cell r="I8893" t="str">
            <v>Equity Implied Volatility</v>
          </cell>
        </row>
        <row r="8894">
          <cell r="A8894" t="str">
            <v>BASIS_NI_10</v>
          </cell>
          <cell r="B8894" t="str">
            <v>NIKKEI 225 (SGX) basis 10</v>
          </cell>
          <cell r="C8894" t="str">
            <v>_BRS_GOLD__5_EQ:BRS_GOLD__1_EQX:BASIS_NI_10</v>
          </cell>
          <cell r="F8894" t="str">
            <v>EQ-Equity Implied Volatility</v>
          </cell>
          <cell r="G8894" t="str">
            <v>EQ-Other</v>
          </cell>
          <cell r="H8894" t="str">
            <v>EQ_INDICES</v>
          </cell>
          <cell r="I8894" t="str">
            <v>Equity Implied Volatility</v>
          </cell>
        </row>
        <row r="8895">
          <cell r="A8895" t="str">
            <v>BASIS_NI_11</v>
          </cell>
          <cell r="B8895" t="str">
            <v>NIKKEI 225 (SGX) basis 11</v>
          </cell>
          <cell r="C8895" t="str">
            <v>_BRS_GOLD__5_EQ:BRS_GOLD__1_EQX:BASIS_NI_11</v>
          </cell>
          <cell r="F8895" t="str">
            <v>EQ-Equity Implied Volatility</v>
          </cell>
          <cell r="G8895" t="str">
            <v>EQ-Other</v>
          </cell>
          <cell r="H8895" t="str">
            <v>EQ_INDICES</v>
          </cell>
          <cell r="I8895" t="str">
            <v>Equity Implied Volatility</v>
          </cell>
        </row>
        <row r="8896">
          <cell r="A8896" t="str">
            <v>BASIS_NI_12</v>
          </cell>
          <cell r="B8896" t="str">
            <v>NIKKEI 225 (SGX) basis 12</v>
          </cell>
          <cell r="C8896" t="str">
            <v>_BRS_GOLD__5_EQ:BRS_GOLD__1_EQX:BASIS_NI_12</v>
          </cell>
          <cell r="F8896" t="str">
            <v>EQ-Equity Implied Volatility</v>
          </cell>
          <cell r="G8896" t="str">
            <v>EQ-Other</v>
          </cell>
          <cell r="H8896" t="str">
            <v>EQ_INDICES</v>
          </cell>
          <cell r="I8896" t="str">
            <v>Equity Implied Volatility</v>
          </cell>
        </row>
        <row r="8897">
          <cell r="A8897" t="str">
            <v>BASIS_NI_2</v>
          </cell>
          <cell r="B8897" t="str">
            <v>NIKKEI 225 (SGX) basis 2</v>
          </cell>
          <cell r="C8897" t="str">
            <v>_BRS_GOLD__5_EQ:BRS_GOLD__1_EQX:BASIS_NI_2</v>
          </cell>
          <cell r="F8897" t="str">
            <v>EQ-Equity Implied Volatility</v>
          </cell>
          <cell r="G8897" t="str">
            <v>EQ-Other</v>
          </cell>
          <cell r="H8897" t="str">
            <v>EQ_INDICES</v>
          </cell>
          <cell r="I8897" t="str">
            <v>Equity Implied Volatility</v>
          </cell>
        </row>
        <row r="8898">
          <cell r="A8898" t="str">
            <v>BASIS_NI_3</v>
          </cell>
          <cell r="B8898" t="str">
            <v>NIKKEI 225 (SGX) basis 3</v>
          </cell>
          <cell r="C8898" t="str">
            <v>_BRS_GOLD__5_EQ:BRS_GOLD__1_EQX:BASIS_NI_3</v>
          </cell>
          <cell r="F8898" t="str">
            <v>EQ-Equity Implied Volatility</v>
          </cell>
          <cell r="G8898" t="str">
            <v>EQ-Other</v>
          </cell>
          <cell r="H8898" t="str">
            <v>EQ_INDICES</v>
          </cell>
          <cell r="I8898" t="str">
            <v>Equity Implied Volatility</v>
          </cell>
        </row>
        <row r="8899">
          <cell r="A8899" t="str">
            <v>BASIS_NI_4</v>
          </cell>
          <cell r="B8899" t="str">
            <v>NIKKEI 225 (SGX) basis 4</v>
          </cell>
          <cell r="C8899" t="str">
            <v>_BRS_GOLD__5_EQ:BRS_GOLD__1_EQX:BASIS_NI_4</v>
          </cell>
          <cell r="F8899" t="str">
            <v>EQ-Equity Implied Volatility</v>
          </cell>
          <cell r="G8899" t="str">
            <v>EQ-Other</v>
          </cell>
          <cell r="H8899" t="str">
            <v>EQ_INDICES</v>
          </cell>
          <cell r="I8899" t="str">
            <v>Equity Implied Volatility</v>
          </cell>
        </row>
        <row r="8900">
          <cell r="A8900" t="str">
            <v>BASIS_NI_5</v>
          </cell>
          <cell r="B8900" t="str">
            <v>NIKKEI 225 (SGX) basis 5</v>
          </cell>
          <cell r="C8900" t="str">
            <v>_BRS_GOLD__5_EQ:BRS_GOLD__1_EQX:BASIS_NI_5</v>
          </cell>
          <cell r="F8900" t="str">
            <v>EQ-Equity Implied Volatility</v>
          </cell>
          <cell r="G8900" t="str">
            <v>EQ-Other</v>
          </cell>
          <cell r="H8900" t="str">
            <v>EQ_INDICES</v>
          </cell>
          <cell r="I8900" t="str">
            <v>Equity Implied Volatility</v>
          </cell>
        </row>
        <row r="8901">
          <cell r="A8901" t="str">
            <v>BASIS_NI_6</v>
          </cell>
          <cell r="B8901" t="str">
            <v>NIKKEI 225 (SGX) basis 6</v>
          </cell>
          <cell r="C8901" t="str">
            <v>_BRS_GOLD__5_EQ:BRS_GOLD__1_EQX:BASIS_NI_6</v>
          </cell>
          <cell r="F8901" t="str">
            <v>EQ-Equity Implied Volatility</v>
          </cell>
          <cell r="G8901" t="str">
            <v>EQ-Other</v>
          </cell>
          <cell r="H8901" t="str">
            <v>EQ_INDICES</v>
          </cell>
          <cell r="I8901" t="str">
            <v>Equity Implied Volatility</v>
          </cell>
        </row>
        <row r="8902">
          <cell r="A8902" t="str">
            <v>BASIS_NI_7</v>
          </cell>
          <cell r="B8902" t="str">
            <v>NIKKEI 225 (SGX) basis 7</v>
          </cell>
          <cell r="C8902" t="str">
            <v>_BRS_GOLD__5_EQ:BRS_GOLD__1_EQX:BASIS_NI_7</v>
          </cell>
          <cell r="F8902" t="str">
            <v>EQ-Equity Implied Volatility</v>
          </cell>
          <cell r="G8902" t="str">
            <v>EQ-Other</v>
          </cell>
          <cell r="H8902" t="str">
            <v>EQ_INDICES</v>
          </cell>
          <cell r="I8902" t="str">
            <v>Equity Implied Volatility</v>
          </cell>
        </row>
        <row r="8903">
          <cell r="A8903" t="str">
            <v>BASIS_NI_8</v>
          </cell>
          <cell r="B8903" t="str">
            <v>NIKKEI 225 (SGX) basis 8</v>
          </cell>
          <cell r="C8903" t="str">
            <v>_BRS_GOLD__5_EQ:BRS_GOLD__1_EQX:BASIS_NI_8</v>
          </cell>
          <cell r="F8903" t="str">
            <v>EQ-Equity Implied Volatility</v>
          </cell>
          <cell r="G8903" t="str">
            <v>EQ-Other</v>
          </cell>
          <cell r="H8903" t="str">
            <v>EQ_INDICES</v>
          </cell>
          <cell r="I8903" t="str">
            <v>Equity Implied Volatility</v>
          </cell>
        </row>
        <row r="8904">
          <cell r="A8904" t="str">
            <v>BASIS_NI_9</v>
          </cell>
          <cell r="B8904" t="str">
            <v>NIKKEI 225 (SGX) basis 9</v>
          </cell>
          <cell r="C8904" t="str">
            <v>_BRS_GOLD__5_EQ:BRS_GOLD__1_EQX:BASIS_NI_9</v>
          </cell>
          <cell r="F8904" t="str">
            <v>EQ-Equity Implied Volatility</v>
          </cell>
          <cell r="G8904" t="str">
            <v>EQ-Other</v>
          </cell>
          <cell r="H8904" t="str">
            <v>EQ_INDICES</v>
          </cell>
          <cell r="I8904" t="str">
            <v>Equity Implied Volatility</v>
          </cell>
        </row>
        <row r="8905">
          <cell r="A8905" t="str">
            <v>BASIS_NQ_1</v>
          </cell>
          <cell r="B8905" t="str">
            <v>NASDAQ 100 E-MINI basis 1</v>
          </cell>
          <cell r="C8905" t="str">
            <v>_BRS_GOLD__5_EQ:BRS_GOLD__1_EQX:BASIS_NQ_1</v>
          </cell>
          <cell r="F8905" t="str">
            <v>EQ-Equity Implied Volatility</v>
          </cell>
          <cell r="G8905" t="str">
            <v>EQ-Other</v>
          </cell>
          <cell r="H8905" t="str">
            <v>EQ_INDICES</v>
          </cell>
          <cell r="I8905" t="str">
            <v>Equity Implied Volatility</v>
          </cell>
        </row>
        <row r="8906">
          <cell r="A8906" t="str">
            <v>BASIS_NQ_10</v>
          </cell>
          <cell r="B8906" t="str">
            <v>NASDAQ 100 E-MINI basis 10</v>
          </cell>
          <cell r="C8906" t="str">
            <v>_BRS_GOLD__5_EQ:BRS_GOLD__1_EQX:BASIS_NQ_10</v>
          </cell>
          <cell r="F8906" t="str">
            <v>EQ-Equity Implied Volatility</v>
          </cell>
          <cell r="G8906" t="str">
            <v>EQ-Other</v>
          </cell>
          <cell r="H8906" t="str">
            <v>EQ_INDICES</v>
          </cell>
          <cell r="I8906" t="str">
            <v>Equity Implied Volatility</v>
          </cell>
        </row>
        <row r="8907">
          <cell r="A8907" t="str">
            <v>BASIS_NQ_11</v>
          </cell>
          <cell r="B8907" t="str">
            <v>NASDAQ 100 E-MINI basis 11</v>
          </cell>
          <cell r="C8907" t="str">
            <v>_BRS_GOLD__5_EQ:BRS_GOLD__1_EQX:BASIS_NQ_11</v>
          </cell>
          <cell r="F8907" t="str">
            <v>EQ-Equity Implied Volatility</v>
          </cell>
          <cell r="G8907" t="str">
            <v>EQ-Other</v>
          </cell>
          <cell r="H8907" t="str">
            <v>EQ_INDICES</v>
          </cell>
          <cell r="I8907" t="str">
            <v>Equity Implied Volatility</v>
          </cell>
        </row>
        <row r="8908">
          <cell r="A8908" t="str">
            <v>BASIS_NQ_12</v>
          </cell>
          <cell r="B8908" t="str">
            <v>NASDAQ 100 E-MINI basis 12</v>
          </cell>
          <cell r="C8908" t="str">
            <v>_BRS_GOLD__5_EQ:BRS_GOLD__1_EQX:BASIS_NQ_12</v>
          </cell>
          <cell r="F8908" t="str">
            <v>EQ-Equity Implied Volatility</v>
          </cell>
          <cell r="G8908" t="str">
            <v>EQ-Other</v>
          </cell>
          <cell r="H8908" t="str">
            <v>EQ_INDICES</v>
          </cell>
          <cell r="I8908" t="str">
            <v>Equity Implied Volatility</v>
          </cell>
        </row>
        <row r="8909">
          <cell r="A8909" t="str">
            <v>BASIS_NQ_2</v>
          </cell>
          <cell r="B8909" t="str">
            <v>NASDAQ 100 E-MINI basis 2</v>
          </cell>
          <cell r="C8909" t="str">
            <v>_BRS_GOLD__5_EQ:BRS_GOLD__1_EQX:BASIS_NQ_2</v>
          </cell>
          <cell r="F8909" t="str">
            <v>EQ-Equity Implied Volatility</v>
          </cell>
          <cell r="G8909" t="str">
            <v>EQ-Other</v>
          </cell>
          <cell r="H8909" t="str">
            <v>EQ_INDICES</v>
          </cell>
          <cell r="I8909" t="str">
            <v>Equity Implied Volatility</v>
          </cell>
        </row>
        <row r="8910">
          <cell r="A8910" t="str">
            <v>BASIS_NQ_3</v>
          </cell>
          <cell r="B8910" t="str">
            <v>NASDAQ 100 E-MINI basis 3</v>
          </cell>
          <cell r="C8910" t="str">
            <v>_BRS_GOLD__5_EQ:BRS_GOLD__1_EQX:BASIS_NQ_3</v>
          </cell>
          <cell r="F8910" t="str">
            <v>EQ-Equity Implied Volatility</v>
          </cell>
          <cell r="G8910" t="str">
            <v>EQ-Other</v>
          </cell>
          <cell r="H8910" t="str">
            <v>EQ_INDICES</v>
          </cell>
          <cell r="I8910" t="str">
            <v>Equity Implied Volatility</v>
          </cell>
        </row>
        <row r="8911">
          <cell r="A8911" t="str">
            <v>BASIS_NQ_4</v>
          </cell>
          <cell r="B8911" t="str">
            <v>NASDAQ 100 E-MINI basis 4</v>
          </cell>
          <cell r="C8911" t="str">
            <v>_BRS_GOLD__5_EQ:BRS_GOLD__1_EQX:BASIS_NQ_4</v>
          </cell>
          <cell r="F8911" t="str">
            <v>EQ-Equity Implied Volatility</v>
          </cell>
          <cell r="G8911" t="str">
            <v>EQ-Other</v>
          </cell>
          <cell r="H8911" t="str">
            <v>EQ_INDICES</v>
          </cell>
          <cell r="I8911" t="str">
            <v>Equity Implied Volatility</v>
          </cell>
        </row>
        <row r="8912">
          <cell r="A8912" t="str">
            <v>BASIS_NQ_5</v>
          </cell>
          <cell r="B8912" t="str">
            <v>NASDAQ 100 E-MINI basis 5</v>
          </cell>
          <cell r="C8912" t="str">
            <v>_BRS_GOLD__5_EQ:BRS_GOLD__1_EQX:BASIS_NQ_5</v>
          </cell>
          <cell r="F8912" t="str">
            <v>EQ-Equity Implied Volatility</v>
          </cell>
          <cell r="G8912" t="str">
            <v>EQ-Other</v>
          </cell>
          <cell r="H8912" t="str">
            <v>EQ_INDICES</v>
          </cell>
          <cell r="I8912" t="str">
            <v>Equity Implied Volatility</v>
          </cell>
        </row>
        <row r="8913">
          <cell r="A8913" t="str">
            <v>BASIS_NQ_6</v>
          </cell>
          <cell r="B8913" t="str">
            <v>NASDAQ 100 E-MINI basis 6</v>
          </cell>
          <cell r="C8913" t="str">
            <v>_BRS_GOLD__5_EQ:BRS_GOLD__1_EQX:BASIS_NQ_6</v>
          </cell>
          <cell r="F8913" t="str">
            <v>EQ-Equity Implied Volatility</v>
          </cell>
          <cell r="G8913" t="str">
            <v>EQ-Other</v>
          </cell>
          <cell r="H8913" t="str">
            <v>EQ_INDICES</v>
          </cell>
          <cell r="I8913" t="str">
            <v>Equity Implied Volatility</v>
          </cell>
        </row>
        <row r="8914">
          <cell r="A8914" t="str">
            <v>BASIS_NQ_7</v>
          </cell>
          <cell r="B8914" t="str">
            <v>NASDAQ 100 E-MINI basis 7</v>
          </cell>
          <cell r="C8914" t="str">
            <v>_BRS_GOLD__5_EQ:BRS_GOLD__1_EQX:BASIS_NQ_7</v>
          </cell>
          <cell r="F8914" t="str">
            <v>EQ-Equity Implied Volatility</v>
          </cell>
          <cell r="G8914" t="str">
            <v>EQ-Other</v>
          </cell>
          <cell r="H8914" t="str">
            <v>EQ_INDICES</v>
          </cell>
          <cell r="I8914" t="str">
            <v>Equity Implied Volatility</v>
          </cell>
        </row>
        <row r="8915">
          <cell r="A8915" t="str">
            <v>BASIS_NQ_8</v>
          </cell>
          <cell r="B8915" t="str">
            <v>NASDAQ 100 E-MINI basis 8</v>
          </cell>
          <cell r="C8915" t="str">
            <v>_BRS_GOLD__5_EQ:BRS_GOLD__1_EQX:BASIS_NQ_8</v>
          </cell>
          <cell r="F8915" t="str">
            <v>EQ-Equity Implied Volatility</v>
          </cell>
          <cell r="G8915" t="str">
            <v>EQ-Other</v>
          </cell>
          <cell r="H8915" t="str">
            <v>EQ_INDICES</v>
          </cell>
          <cell r="I8915" t="str">
            <v>Equity Implied Volatility</v>
          </cell>
        </row>
        <row r="8916">
          <cell r="A8916" t="str">
            <v>BASIS_NQ_9</v>
          </cell>
          <cell r="B8916" t="str">
            <v>NASDAQ 100 E-MINI basis 9</v>
          </cell>
          <cell r="C8916" t="str">
            <v>_BRS_GOLD__5_EQ:BRS_GOLD__1_EQX:BASIS_NQ_9</v>
          </cell>
          <cell r="F8916" t="str">
            <v>EQ-Equity Implied Volatility</v>
          </cell>
          <cell r="G8916" t="str">
            <v>EQ-Other</v>
          </cell>
          <cell r="H8916" t="str">
            <v>EQ_INDICES</v>
          </cell>
          <cell r="I8916" t="str">
            <v>Equity Implied Volatility</v>
          </cell>
        </row>
        <row r="8917">
          <cell r="A8917" t="str">
            <v>BASIS_SM_1</v>
          </cell>
          <cell r="B8917" t="str">
            <v>SWISS MKT IX basis 1</v>
          </cell>
          <cell r="C8917" t="str">
            <v>_BRS_GOLD__5_EQ:BRS_GOLD__1_EQX:BASIS_SM_1</v>
          </cell>
          <cell r="F8917" t="str">
            <v>EQ-Equity Implied Volatility</v>
          </cell>
          <cell r="G8917" t="str">
            <v>EQ-Other</v>
          </cell>
          <cell r="H8917" t="str">
            <v>EQ_INDICES</v>
          </cell>
          <cell r="I8917" t="str">
            <v>Equity Implied Volatility</v>
          </cell>
        </row>
        <row r="8918">
          <cell r="A8918" t="str">
            <v>BASIS_SM_10</v>
          </cell>
          <cell r="B8918" t="str">
            <v>SWISS MKT IX basis 10</v>
          </cell>
          <cell r="C8918" t="str">
            <v>_BRS_GOLD__5_EQ:BRS_GOLD__1_EQX:BASIS_SM_10</v>
          </cell>
          <cell r="F8918" t="str">
            <v>EQ-Equity Implied Volatility</v>
          </cell>
          <cell r="G8918" t="str">
            <v>EQ-Other</v>
          </cell>
          <cell r="H8918" t="str">
            <v>EQ_INDICES</v>
          </cell>
          <cell r="I8918" t="str">
            <v>Equity Implied Volatility</v>
          </cell>
        </row>
        <row r="8919">
          <cell r="A8919" t="str">
            <v>BASIS_SM_11</v>
          </cell>
          <cell r="B8919" t="str">
            <v>SWISS MKT IX basis 11</v>
          </cell>
          <cell r="C8919" t="str">
            <v>_BRS_GOLD__5_EQ:BRS_GOLD__1_EQX:BASIS_SM_11</v>
          </cell>
          <cell r="F8919" t="str">
            <v>EQ-Equity Implied Volatility</v>
          </cell>
          <cell r="G8919" t="str">
            <v>EQ-Other</v>
          </cell>
          <cell r="H8919" t="str">
            <v>EQ_INDICES</v>
          </cell>
          <cell r="I8919" t="str">
            <v>Equity Implied Volatility</v>
          </cell>
        </row>
        <row r="8920">
          <cell r="A8920" t="str">
            <v>BASIS_SM_12</v>
          </cell>
          <cell r="B8920" t="str">
            <v>SWISS MKT IX basis 12</v>
          </cell>
          <cell r="C8920" t="str">
            <v>_BRS_GOLD__5_EQ:BRS_GOLD__1_EQX:BASIS_SM_12</v>
          </cell>
          <cell r="F8920" t="str">
            <v>EQ-Equity Implied Volatility</v>
          </cell>
          <cell r="G8920" t="str">
            <v>EQ-Other</v>
          </cell>
          <cell r="H8920" t="str">
            <v>EQ_INDICES</v>
          </cell>
          <cell r="I8920" t="str">
            <v>Equity Implied Volatility</v>
          </cell>
        </row>
        <row r="8921">
          <cell r="A8921" t="str">
            <v>BASIS_SM_2</v>
          </cell>
          <cell r="B8921" t="str">
            <v>SWISS MKT IX basis 2</v>
          </cell>
          <cell r="C8921" t="str">
            <v>_BRS_GOLD__5_EQ:BRS_GOLD__1_EQX:BASIS_SM_2</v>
          </cell>
          <cell r="F8921" t="str">
            <v>EQ-Equity Implied Volatility</v>
          </cell>
          <cell r="G8921" t="str">
            <v>EQ-Other</v>
          </cell>
          <cell r="H8921" t="str">
            <v>EQ_INDICES</v>
          </cell>
          <cell r="I8921" t="str">
            <v>Equity Implied Volatility</v>
          </cell>
        </row>
        <row r="8922">
          <cell r="A8922" t="str">
            <v>BASIS_SM_3</v>
          </cell>
          <cell r="B8922" t="str">
            <v>SWISS MKT IX basis 3</v>
          </cell>
          <cell r="C8922" t="str">
            <v>_BRS_GOLD__5_EQ:BRS_GOLD__1_EQX:BASIS_SM_3</v>
          </cell>
          <cell r="F8922" t="str">
            <v>EQ-Equity Implied Volatility</v>
          </cell>
          <cell r="G8922" t="str">
            <v>EQ-Other</v>
          </cell>
          <cell r="H8922" t="str">
            <v>EQ_INDICES</v>
          </cell>
          <cell r="I8922" t="str">
            <v>Equity Implied Volatility</v>
          </cell>
        </row>
        <row r="8923">
          <cell r="A8923" t="str">
            <v>BASIS_SM_4</v>
          </cell>
          <cell r="B8923" t="str">
            <v>SWISS MKT IX basis 4</v>
          </cell>
          <cell r="C8923" t="str">
            <v>_BRS_GOLD__5_EQ:BRS_GOLD__1_EQX:BASIS_SM_4</v>
          </cell>
          <cell r="F8923" t="str">
            <v>EQ-Equity Implied Volatility</v>
          </cell>
          <cell r="G8923" t="str">
            <v>EQ-Other</v>
          </cell>
          <cell r="H8923" t="str">
            <v>EQ_INDICES</v>
          </cell>
          <cell r="I8923" t="str">
            <v>Equity Implied Volatility</v>
          </cell>
        </row>
        <row r="8924">
          <cell r="A8924" t="str">
            <v>BASIS_SM_5</v>
          </cell>
          <cell r="B8924" t="str">
            <v>SWISS MKT IX basis 5</v>
          </cell>
          <cell r="C8924" t="str">
            <v>_BRS_GOLD__5_EQ:BRS_GOLD__1_EQX:BASIS_SM_5</v>
          </cell>
          <cell r="F8924" t="str">
            <v>EQ-Equity Implied Volatility</v>
          </cell>
          <cell r="G8924" t="str">
            <v>EQ-Other</v>
          </cell>
          <cell r="H8924" t="str">
            <v>EQ_INDICES</v>
          </cell>
          <cell r="I8924" t="str">
            <v>Equity Implied Volatility</v>
          </cell>
        </row>
        <row r="8925">
          <cell r="A8925" t="str">
            <v>BASIS_SM_6</v>
          </cell>
          <cell r="B8925" t="str">
            <v>SWISS MKT IX basis 6</v>
          </cell>
          <cell r="C8925" t="str">
            <v>_BRS_GOLD__5_EQ:BRS_GOLD__1_EQX:BASIS_SM_6</v>
          </cell>
          <cell r="F8925" t="str">
            <v>EQ-Equity Implied Volatility</v>
          </cell>
          <cell r="G8925" t="str">
            <v>EQ-Other</v>
          </cell>
          <cell r="H8925" t="str">
            <v>EQ_INDICES</v>
          </cell>
          <cell r="I8925" t="str">
            <v>Equity Implied Volatility</v>
          </cell>
        </row>
        <row r="8926">
          <cell r="A8926" t="str">
            <v>BASIS_SM_7</v>
          </cell>
          <cell r="B8926" t="str">
            <v>SWISS MKT IX basis 7</v>
          </cell>
          <cell r="C8926" t="str">
            <v>_BRS_GOLD__5_EQ:BRS_GOLD__1_EQX:BASIS_SM_7</v>
          </cell>
          <cell r="F8926" t="str">
            <v>EQ-Equity Implied Volatility</v>
          </cell>
          <cell r="G8926" t="str">
            <v>EQ-Other</v>
          </cell>
          <cell r="H8926" t="str">
            <v>EQ_INDICES</v>
          </cell>
          <cell r="I8926" t="str">
            <v>Equity Implied Volatility</v>
          </cell>
        </row>
        <row r="8927">
          <cell r="A8927" t="str">
            <v>BASIS_SM_8</v>
          </cell>
          <cell r="B8927" t="str">
            <v>SWISS MKT IX basis 8</v>
          </cell>
          <cell r="C8927" t="str">
            <v>_BRS_GOLD__5_EQ:BRS_GOLD__1_EQX:BASIS_SM_8</v>
          </cell>
          <cell r="F8927" t="str">
            <v>EQ-Equity Implied Volatility</v>
          </cell>
          <cell r="G8927" t="str">
            <v>EQ-Other</v>
          </cell>
          <cell r="H8927" t="str">
            <v>EQ_INDICES</v>
          </cell>
          <cell r="I8927" t="str">
            <v>Equity Implied Volatility</v>
          </cell>
        </row>
        <row r="8928">
          <cell r="A8928" t="str">
            <v>BASIS_SM_9</v>
          </cell>
          <cell r="B8928" t="str">
            <v>SWISS MKT IX basis 9</v>
          </cell>
          <cell r="C8928" t="str">
            <v>_BRS_GOLD__5_EQ:BRS_GOLD__1_EQX:BASIS_SM_9</v>
          </cell>
          <cell r="F8928" t="str">
            <v>EQ-Equity Implied Volatility</v>
          </cell>
          <cell r="G8928" t="str">
            <v>EQ-Other</v>
          </cell>
          <cell r="H8928" t="str">
            <v>EQ_INDICES</v>
          </cell>
          <cell r="I8928" t="str">
            <v>Equity Implied Volatility</v>
          </cell>
        </row>
        <row r="8929">
          <cell r="A8929" t="str">
            <v>BASIS_SP_1</v>
          </cell>
          <cell r="B8929" t="str">
            <v>S&amp;P 500 basis 1</v>
          </cell>
          <cell r="C8929" t="str">
            <v>_BRS_GOLD__5_EQ:BRS_GOLD__1_EQX:BASIS_SP_1</v>
          </cell>
          <cell r="F8929" t="str">
            <v>EQ-Equity Implied Volatility</v>
          </cell>
          <cell r="G8929" t="str">
            <v>EQ-Other</v>
          </cell>
          <cell r="H8929" t="str">
            <v>EQ_INDICES</v>
          </cell>
          <cell r="I8929" t="str">
            <v>Equity Implied Volatility</v>
          </cell>
        </row>
        <row r="8930">
          <cell r="A8930" t="str">
            <v>BASIS_SP_10</v>
          </cell>
          <cell r="B8930" t="str">
            <v>S&amp;P 500 basis 10</v>
          </cell>
          <cell r="C8930" t="str">
            <v>_BRS_GOLD__5_EQ:BRS_GOLD__1_EQX:BASIS_SP_10</v>
          </cell>
          <cell r="F8930" t="str">
            <v>EQ-Equity Implied Volatility</v>
          </cell>
          <cell r="G8930" t="str">
            <v>EQ-Other</v>
          </cell>
          <cell r="H8930" t="str">
            <v>EQ_INDICES</v>
          </cell>
          <cell r="I8930" t="str">
            <v>Equity Implied Volatility</v>
          </cell>
        </row>
        <row r="8931">
          <cell r="A8931" t="str">
            <v>BASIS_SP_11</v>
          </cell>
          <cell r="B8931" t="str">
            <v>S&amp;P 500 basis 11</v>
          </cell>
          <cell r="C8931" t="str">
            <v>_BRS_GOLD__5_EQ:BRS_GOLD__1_EQX:BASIS_SP_11</v>
          </cell>
          <cell r="F8931" t="str">
            <v>EQ-Equity Implied Volatility</v>
          </cell>
          <cell r="G8931" t="str">
            <v>EQ-Other</v>
          </cell>
          <cell r="H8931" t="str">
            <v>EQ_INDICES</v>
          </cell>
          <cell r="I8931" t="str">
            <v>Equity Implied Volatility</v>
          </cell>
        </row>
        <row r="8932">
          <cell r="A8932" t="str">
            <v>BASIS_SP_12</v>
          </cell>
          <cell r="B8932" t="str">
            <v>S&amp;P 500 basis 12</v>
          </cell>
          <cell r="C8932" t="str">
            <v>_BRS_GOLD__5_EQ:BRS_GOLD__1_EQX:BASIS_SP_12</v>
          </cell>
          <cell r="F8932" t="str">
            <v>EQ-Equity Implied Volatility</v>
          </cell>
          <cell r="G8932" t="str">
            <v>EQ-Other</v>
          </cell>
          <cell r="H8932" t="str">
            <v>EQ_INDICES</v>
          </cell>
          <cell r="I8932" t="str">
            <v>Equity Implied Volatility</v>
          </cell>
        </row>
        <row r="8933">
          <cell r="A8933" t="str">
            <v>BASIS_SP_2</v>
          </cell>
          <cell r="B8933" t="str">
            <v>S&amp;P 500 basis 2</v>
          </cell>
          <cell r="C8933" t="str">
            <v>_BRS_GOLD__5_EQ:BRS_GOLD__1_EQX:BASIS_SP_2</v>
          </cell>
          <cell r="F8933" t="str">
            <v>EQ-Equity Implied Volatility</v>
          </cell>
          <cell r="G8933" t="str">
            <v>EQ-Other</v>
          </cell>
          <cell r="H8933" t="str">
            <v>EQ_INDICES</v>
          </cell>
          <cell r="I8933" t="str">
            <v>Equity Implied Volatility</v>
          </cell>
        </row>
        <row r="8934">
          <cell r="A8934" t="str">
            <v>BASIS_SP_3</v>
          </cell>
          <cell r="B8934" t="str">
            <v>S&amp;P 500 basis 3</v>
          </cell>
          <cell r="C8934" t="str">
            <v>_BRS_GOLD__5_EQ:BRS_GOLD__1_EQX:BASIS_SP_3</v>
          </cell>
          <cell r="F8934" t="str">
            <v>EQ-Equity Implied Volatility</v>
          </cell>
          <cell r="G8934" t="str">
            <v>EQ-Other</v>
          </cell>
          <cell r="H8934" t="str">
            <v>EQ_INDICES</v>
          </cell>
          <cell r="I8934" t="str">
            <v>Equity Implied Volatility</v>
          </cell>
        </row>
        <row r="8935">
          <cell r="A8935" t="str">
            <v>BASIS_SP_4</v>
          </cell>
          <cell r="B8935" t="str">
            <v>S&amp;P 500 basis 4</v>
          </cell>
          <cell r="C8935" t="str">
            <v>_BRS_GOLD__5_EQ:BRS_GOLD__1_EQX:BASIS_SP_4</v>
          </cell>
          <cell r="F8935" t="str">
            <v>EQ-Equity Implied Volatility</v>
          </cell>
          <cell r="G8935" t="str">
            <v>EQ-Other</v>
          </cell>
          <cell r="H8935" t="str">
            <v>EQ_INDICES</v>
          </cell>
          <cell r="I8935" t="str">
            <v>Equity Implied Volatility</v>
          </cell>
        </row>
        <row r="8936">
          <cell r="A8936" t="str">
            <v>BASIS_SP_5</v>
          </cell>
          <cell r="B8936" t="str">
            <v>S&amp;P 500 basis 5</v>
          </cell>
          <cell r="C8936" t="str">
            <v>_BRS_GOLD__5_EQ:BRS_GOLD__1_EQX:BASIS_SP_5</v>
          </cell>
          <cell r="F8936" t="str">
            <v>EQ-Equity Implied Volatility</v>
          </cell>
          <cell r="G8936" t="str">
            <v>EQ-Other</v>
          </cell>
          <cell r="H8936" t="str">
            <v>EQ_INDICES</v>
          </cell>
          <cell r="I8936" t="str">
            <v>Equity Implied Volatility</v>
          </cell>
        </row>
        <row r="8937">
          <cell r="A8937" t="str">
            <v>BASIS_SP_6</v>
          </cell>
          <cell r="B8937" t="str">
            <v>S&amp;P 500 basis 6</v>
          </cell>
          <cell r="C8937" t="str">
            <v>_BRS_GOLD__5_EQ:BRS_GOLD__1_EQX:BASIS_SP_6</v>
          </cell>
          <cell r="F8937" t="str">
            <v>EQ-Equity Implied Volatility</v>
          </cell>
          <cell r="G8937" t="str">
            <v>EQ-Other</v>
          </cell>
          <cell r="H8937" t="str">
            <v>EQ_INDICES</v>
          </cell>
          <cell r="I8937" t="str">
            <v>Equity Implied Volatility</v>
          </cell>
        </row>
        <row r="8938">
          <cell r="A8938" t="str">
            <v>BASIS_SP_7</v>
          </cell>
          <cell r="B8938" t="str">
            <v>S&amp;P 500 basis 7</v>
          </cell>
          <cell r="C8938" t="str">
            <v>_BRS_GOLD__5_EQ:BRS_GOLD__1_EQX:BASIS_SP_7</v>
          </cell>
          <cell r="F8938" t="str">
            <v>EQ-Equity Implied Volatility</v>
          </cell>
          <cell r="G8938" t="str">
            <v>EQ-Other</v>
          </cell>
          <cell r="H8938" t="str">
            <v>EQ_INDICES</v>
          </cell>
          <cell r="I8938" t="str">
            <v>Equity Implied Volatility</v>
          </cell>
        </row>
        <row r="8939">
          <cell r="A8939" t="str">
            <v>BASIS_SP_8</v>
          </cell>
          <cell r="B8939" t="str">
            <v>S&amp;P 500 basis 8</v>
          </cell>
          <cell r="C8939" t="str">
            <v>_BRS_GOLD__5_EQ:BRS_GOLD__1_EQX:BASIS_SP_8</v>
          </cell>
          <cell r="F8939" t="str">
            <v>EQ-Equity Implied Volatility</v>
          </cell>
          <cell r="G8939" t="str">
            <v>EQ-Other</v>
          </cell>
          <cell r="H8939" t="str">
            <v>EQ_INDICES</v>
          </cell>
          <cell r="I8939" t="str">
            <v>Equity Implied Volatility</v>
          </cell>
        </row>
        <row r="8940">
          <cell r="A8940" t="str">
            <v>BASIS_SP_9</v>
          </cell>
          <cell r="B8940" t="str">
            <v>S&amp;P 500 basis 9</v>
          </cell>
          <cell r="C8940" t="str">
            <v>_BRS_GOLD__5_EQ:BRS_GOLD__1_EQX:BASIS_SP_9</v>
          </cell>
          <cell r="F8940" t="str">
            <v>EQ-Equity Implied Volatility</v>
          </cell>
          <cell r="G8940" t="str">
            <v>EQ-Other</v>
          </cell>
          <cell r="H8940" t="str">
            <v>EQ_INDICES</v>
          </cell>
          <cell r="I8940" t="str">
            <v>Equity Implied Volatility</v>
          </cell>
        </row>
        <row r="8941">
          <cell r="A8941" t="str">
            <v>BASIS_SXO_1</v>
          </cell>
          <cell r="B8941" t="str">
            <v>STOXX EUROPE 600 basis 1</v>
          </cell>
          <cell r="C8941" t="str">
            <v>_BRS_GOLD__5_EQ:BRS_GOLD__1_EQX:BASIS_SXO_1</v>
          </cell>
          <cell r="F8941" t="str">
            <v>EQ-Equity Implied Volatility</v>
          </cell>
          <cell r="G8941" t="str">
            <v>EQ-Other</v>
          </cell>
          <cell r="H8941" t="str">
            <v>EQ_INDICES</v>
          </cell>
          <cell r="I8941" t="str">
            <v>Equity Implied Volatility</v>
          </cell>
        </row>
        <row r="8942">
          <cell r="A8942" t="str">
            <v>BASIS_SXO_10</v>
          </cell>
          <cell r="B8942" t="str">
            <v>STOXX EUROPE 600 basis 10</v>
          </cell>
          <cell r="C8942" t="str">
            <v>_BRS_GOLD__5_EQ:BRS_GOLD__1_EQX:BASIS_SXO_10</v>
          </cell>
          <cell r="F8942" t="str">
            <v>EQ-Equity Implied Volatility</v>
          </cell>
          <cell r="G8942" t="str">
            <v>EQ-Other</v>
          </cell>
          <cell r="H8942" t="str">
            <v>EQ_INDICES</v>
          </cell>
          <cell r="I8942" t="str">
            <v>Equity Implied Volatility</v>
          </cell>
        </row>
        <row r="8943">
          <cell r="A8943" t="str">
            <v>BASIS_SXO_11</v>
          </cell>
          <cell r="B8943" t="str">
            <v>STOXX EUROPE 600 basis 11</v>
          </cell>
          <cell r="C8943" t="str">
            <v>_BRS_GOLD__5_EQ:BRS_GOLD__1_EQX:BASIS_SXO_11</v>
          </cell>
          <cell r="F8943" t="str">
            <v>EQ-Equity Implied Volatility</v>
          </cell>
          <cell r="G8943" t="str">
            <v>EQ-Other</v>
          </cell>
          <cell r="H8943" t="str">
            <v>EQ_INDICES</v>
          </cell>
          <cell r="I8943" t="str">
            <v>Equity Implied Volatility</v>
          </cell>
        </row>
        <row r="8944">
          <cell r="A8944" t="str">
            <v>BASIS_SXO_12</v>
          </cell>
          <cell r="B8944" t="str">
            <v>STOXX EUROPE 600 basis 12</v>
          </cell>
          <cell r="C8944" t="str">
            <v>_BRS_GOLD__5_EQ:BRS_GOLD__1_EQX:BASIS_SXO_12</v>
          </cell>
          <cell r="F8944" t="str">
            <v>EQ-Equity Implied Volatility</v>
          </cell>
          <cell r="G8944" t="str">
            <v>EQ-Other</v>
          </cell>
          <cell r="H8944" t="str">
            <v>EQ_INDICES</v>
          </cell>
          <cell r="I8944" t="str">
            <v>Equity Implied Volatility</v>
          </cell>
        </row>
        <row r="8945">
          <cell r="A8945" t="str">
            <v>BASIS_SXO_2</v>
          </cell>
          <cell r="B8945" t="str">
            <v>STOXX EUROPE 600 basis 2</v>
          </cell>
          <cell r="C8945" t="str">
            <v>_BRS_GOLD__5_EQ:BRS_GOLD__1_EQX:BASIS_SXO_2</v>
          </cell>
          <cell r="F8945" t="str">
            <v>EQ-Equity Implied Volatility</v>
          </cell>
          <cell r="G8945" t="str">
            <v>EQ-Other</v>
          </cell>
          <cell r="H8945" t="str">
            <v>EQ_INDICES</v>
          </cell>
          <cell r="I8945" t="str">
            <v>Equity Implied Volatility</v>
          </cell>
        </row>
        <row r="8946">
          <cell r="A8946" t="str">
            <v>BASIS_SXO_3</v>
          </cell>
          <cell r="B8946" t="str">
            <v>STOXX EUROPE 600 basis 3</v>
          </cell>
          <cell r="C8946" t="str">
            <v>_BRS_GOLD__5_EQ:BRS_GOLD__1_EQX:BASIS_SXO_3</v>
          </cell>
          <cell r="F8946" t="str">
            <v>EQ-Equity Implied Volatility</v>
          </cell>
          <cell r="G8946" t="str">
            <v>EQ-Other</v>
          </cell>
          <cell r="H8946" t="str">
            <v>EQ_INDICES</v>
          </cell>
          <cell r="I8946" t="str">
            <v>Equity Implied Volatility</v>
          </cell>
        </row>
        <row r="8947">
          <cell r="A8947" t="str">
            <v>BASIS_SXO_4</v>
          </cell>
          <cell r="B8947" t="str">
            <v>STOXX EUROPE 600 basis 4</v>
          </cell>
          <cell r="C8947" t="str">
            <v>_BRS_GOLD__5_EQ:BRS_GOLD__1_EQX:BASIS_SXO_4</v>
          </cell>
          <cell r="F8947" t="str">
            <v>EQ-Equity Implied Volatility</v>
          </cell>
          <cell r="G8947" t="str">
            <v>EQ-Other</v>
          </cell>
          <cell r="H8947" t="str">
            <v>EQ_INDICES</v>
          </cell>
          <cell r="I8947" t="str">
            <v>Equity Implied Volatility</v>
          </cell>
        </row>
        <row r="8948">
          <cell r="A8948" t="str">
            <v>BASIS_SXO_5</v>
          </cell>
          <cell r="B8948" t="str">
            <v>STOXX EUROPE 600 basis 5</v>
          </cell>
          <cell r="C8948" t="str">
            <v>_BRS_GOLD__5_EQ:BRS_GOLD__1_EQX:BASIS_SXO_5</v>
          </cell>
          <cell r="F8948" t="str">
            <v>EQ-Equity Implied Volatility</v>
          </cell>
          <cell r="G8948" t="str">
            <v>EQ-Other</v>
          </cell>
          <cell r="H8948" t="str">
            <v>EQ_INDICES</v>
          </cell>
          <cell r="I8948" t="str">
            <v>Equity Implied Volatility</v>
          </cell>
        </row>
        <row r="8949">
          <cell r="A8949" t="str">
            <v>BASIS_SXO_6</v>
          </cell>
          <cell r="B8949" t="str">
            <v>STOXX EUROPE 600 basis 6</v>
          </cell>
          <cell r="C8949" t="str">
            <v>_BRS_GOLD__5_EQ:BRS_GOLD__1_EQX:BASIS_SXO_6</v>
          </cell>
          <cell r="F8949" t="str">
            <v>EQ-Equity Implied Volatility</v>
          </cell>
          <cell r="G8949" t="str">
            <v>EQ-Other</v>
          </cell>
          <cell r="H8949" t="str">
            <v>EQ_INDICES</v>
          </cell>
          <cell r="I8949" t="str">
            <v>Equity Implied Volatility</v>
          </cell>
        </row>
        <row r="8950">
          <cell r="A8950" t="str">
            <v>BASIS_SXO_7</v>
          </cell>
          <cell r="B8950" t="str">
            <v>STOXX EUROPE 600 basis 7</v>
          </cell>
          <cell r="C8950" t="str">
            <v>_BRS_GOLD__5_EQ:BRS_GOLD__1_EQX:BASIS_SXO_7</v>
          </cell>
          <cell r="F8950" t="str">
            <v>EQ-Equity Implied Volatility</v>
          </cell>
          <cell r="G8950" t="str">
            <v>EQ-Other</v>
          </cell>
          <cell r="H8950" t="str">
            <v>EQ_INDICES</v>
          </cell>
          <cell r="I8950" t="str">
            <v>Equity Implied Volatility</v>
          </cell>
        </row>
        <row r="8951">
          <cell r="A8951" t="str">
            <v>BASIS_SXO_8</v>
          </cell>
          <cell r="B8951" t="str">
            <v>STOXX EUROPE 600 basis 8</v>
          </cell>
          <cell r="C8951" t="str">
            <v>_BRS_GOLD__5_EQ:BRS_GOLD__1_EQX:BASIS_SXO_8</v>
          </cell>
          <cell r="F8951" t="str">
            <v>EQ-Equity Implied Volatility</v>
          </cell>
          <cell r="G8951" t="str">
            <v>EQ-Other</v>
          </cell>
          <cell r="H8951" t="str">
            <v>EQ_INDICES</v>
          </cell>
          <cell r="I8951" t="str">
            <v>Equity Implied Volatility</v>
          </cell>
        </row>
        <row r="8952">
          <cell r="A8952" t="str">
            <v>BASIS_SXO_9</v>
          </cell>
          <cell r="B8952" t="str">
            <v>STOXX EUROPE 600 basis 9</v>
          </cell>
          <cell r="C8952" t="str">
            <v>_BRS_GOLD__5_EQ:BRS_GOLD__1_EQX:BASIS_SXO_9</v>
          </cell>
          <cell r="F8952" t="str">
            <v>EQ-Equity Implied Volatility</v>
          </cell>
          <cell r="G8952" t="str">
            <v>EQ-Other</v>
          </cell>
          <cell r="H8952" t="str">
            <v>EQ_INDICES</v>
          </cell>
          <cell r="I8952" t="str">
            <v>Equity Implied Volatility</v>
          </cell>
        </row>
        <row r="8953">
          <cell r="A8953" t="str">
            <v>BASIS_SXR_1</v>
          </cell>
          <cell r="B8953" t="str">
            <v>STOXX EUR MID 200 basis 1</v>
          </cell>
          <cell r="C8953" t="str">
            <v>_BRS_GOLD__5_EQ:BRS_GOLD__1_EQX:BASIS_SXR_1</v>
          </cell>
          <cell r="F8953" t="str">
            <v>EQ-Equity Implied Volatility</v>
          </cell>
          <cell r="G8953" t="str">
            <v>EQ-Other</v>
          </cell>
          <cell r="H8953" t="str">
            <v>EQ_INDICES</v>
          </cell>
          <cell r="I8953" t="str">
            <v>Equity Implied Volatility</v>
          </cell>
        </row>
        <row r="8954">
          <cell r="A8954" t="str">
            <v>BASIS_SXR_10</v>
          </cell>
          <cell r="B8954" t="str">
            <v>STOXX EUR MID 200 basis 10</v>
          </cell>
          <cell r="C8954" t="str">
            <v>_BRS_GOLD__5_EQ:BRS_GOLD__1_EQX:BASIS_SXR_10</v>
          </cell>
          <cell r="F8954" t="str">
            <v>EQ-Equity Implied Volatility</v>
          </cell>
          <cell r="G8954" t="str">
            <v>EQ-Other</v>
          </cell>
          <cell r="H8954" t="str">
            <v>EQ_INDICES</v>
          </cell>
          <cell r="I8954" t="str">
            <v>Equity Implied Volatility</v>
          </cell>
        </row>
        <row r="8955">
          <cell r="A8955" t="str">
            <v>BASIS_SXR_11</v>
          </cell>
          <cell r="B8955" t="str">
            <v>STOXX EUR MID 200 basis 11</v>
          </cell>
          <cell r="C8955" t="str">
            <v>_BRS_GOLD__5_EQ:BRS_GOLD__1_EQX:BASIS_SXR_11</v>
          </cell>
          <cell r="F8955" t="str">
            <v>EQ-Equity Implied Volatility</v>
          </cell>
          <cell r="G8955" t="str">
            <v>EQ-Other</v>
          </cell>
          <cell r="H8955" t="str">
            <v>EQ_INDICES</v>
          </cell>
          <cell r="I8955" t="str">
            <v>Equity Implied Volatility</v>
          </cell>
        </row>
        <row r="8956">
          <cell r="A8956" t="str">
            <v>BASIS_SXR_12</v>
          </cell>
          <cell r="B8956" t="str">
            <v>STOXX EUR MID 200 basis 12</v>
          </cell>
          <cell r="C8956" t="str">
            <v>_BRS_GOLD__5_EQ:BRS_GOLD__1_EQX:BASIS_SXR_12</v>
          </cell>
          <cell r="F8956" t="str">
            <v>EQ-Equity Implied Volatility</v>
          </cell>
          <cell r="G8956" t="str">
            <v>EQ-Other</v>
          </cell>
          <cell r="H8956" t="str">
            <v>EQ_INDICES</v>
          </cell>
          <cell r="I8956" t="str">
            <v>Equity Implied Volatility</v>
          </cell>
        </row>
        <row r="8957">
          <cell r="A8957" t="str">
            <v>BASIS_SXR_2</v>
          </cell>
          <cell r="B8957" t="str">
            <v>STOXX EUR MID 200 basis 2</v>
          </cell>
          <cell r="C8957" t="str">
            <v>_BRS_GOLD__5_EQ:BRS_GOLD__1_EQX:BASIS_SXR_2</v>
          </cell>
          <cell r="F8957" t="str">
            <v>EQ-Equity Implied Volatility</v>
          </cell>
          <cell r="G8957" t="str">
            <v>EQ-Other</v>
          </cell>
          <cell r="H8957" t="str">
            <v>EQ_INDICES</v>
          </cell>
          <cell r="I8957" t="str">
            <v>Equity Implied Volatility</v>
          </cell>
        </row>
        <row r="8958">
          <cell r="A8958" t="str">
            <v>BASIS_SXR_3</v>
          </cell>
          <cell r="B8958" t="str">
            <v>STOXX EUR MID 200 basis 3</v>
          </cell>
          <cell r="C8958" t="str">
            <v>_BRS_GOLD__5_EQ:BRS_GOLD__1_EQX:BASIS_SXR_3</v>
          </cell>
          <cell r="F8958" t="str">
            <v>EQ-Equity Implied Volatility</v>
          </cell>
          <cell r="G8958" t="str">
            <v>EQ-Other</v>
          </cell>
          <cell r="H8958" t="str">
            <v>EQ_INDICES</v>
          </cell>
          <cell r="I8958" t="str">
            <v>Equity Implied Volatility</v>
          </cell>
        </row>
        <row r="8959">
          <cell r="A8959" t="str">
            <v>BASIS_SXR_4</v>
          </cell>
          <cell r="B8959" t="str">
            <v>STOXX EUR MID 200 basis 4</v>
          </cell>
          <cell r="C8959" t="str">
            <v>_BRS_GOLD__5_EQ:BRS_GOLD__1_EQX:BASIS_SXR_4</v>
          </cell>
          <cell r="F8959" t="str">
            <v>EQ-Equity Implied Volatility</v>
          </cell>
          <cell r="G8959" t="str">
            <v>EQ-Other</v>
          </cell>
          <cell r="H8959" t="str">
            <v>EQ_INDICES</v>
          </cell>
          <cell r="I8959" t="str">
            <v>Equity Implied Volatility</v>
          </cell>
        </row>
        <row r="8960">
          <cell r="A8960" t="str">
            <v>BASIS_SXR_5</v>
          </cell>
          <cell r="B8960" t="str">
            <v>STOXX EUR MID 200 basis 5</v>
          </cell>
          <cell r="C8960" t="str">
            <v>_BRS_GOLD__5_EQ:BRS_GOLD__1_EQX:BASIS_SXR_5</v>
          </cell>
          <cell r="F8960" t="str">
            <v>EQ-Equity Implied Volatility</v>
          </cell>
          <cell r="G8960" t="str">
            <v>EQ-Other</v>
          </cell>
          <cell r="H8960" t="str">
            <v>EQ_INDICES</v>
          </cell>
          <cell r="I8960" t="str">
            <v>Equity Implied Volatility</v>
          </cell>
        </row>
        <row r="8961">
          <cell r="A8961" t="str">
            <v>BASIS_SXR_6</v>
          </cell>
          <cell r="B8961" t="str">
            <v>STOXX EUR MID 200 basis 6</v>
          </cell>
          <cell r="C8961" t="str">
            <v>_BRS_GOLD__5_EQ:BRS_GOLD__1_EQX:BASIS_SXR_6</v>
          </cell>
          <cell r="F8961" t="str">
            <v>EQ-Equity Implied Volatility</v>
          </cell>
          <cell r="G8961" t="str">
            <v>EQ-Other</v>
          </cell>
          <cell r="H8961" t="str">
            <v>EQ_INDICES</v>
          </cell>
          <cell r="I8961" t="str">
            <v>Equity Implied Volatility</v>
          </cell>
        </row>
        <row r="8962">
          <cell r="A8962" t="str">
            <v>BASIS_SXR_7</v>
          </cell>
          <cell r="B8962" t="str">
            <v>STOXX EUR MID 200 basis 7</v>
          </cell>
          <cell r="C8962" t="str">
            <v>_BRS_GOLD__5_EQ:BRS_GOLD__1_EQX:BASIS_SXR_7</v>
          </cell>
          <cell r="F8962" t="str">
            <v>EQ-Equity Implied Volatility</v>
          </cell>
          <cell r="G8962" t="str">
            <v>EQ-Other</v>
          </cell>
          <cell r="H8962" t="str">
            <v>EQ_INDICES</v>
          </cell>
          <cell r="I8962" t="str">
            <v>Equity Implied Volatility</v>
          </cell>
        </row>
        <row r="8963">
          <cell r="A8963" t="str">
            <v>BASIS_SXR_8</v>
          </cell>
          <cell r="B8963" t="str">
            <v>STOXX EUR MID 200 basis 8</v>
          </cell>
          <cell r="C8963" t="str">
            <v>_BRS_GOLD__5_EQ:BRS_GOLD__1_EQX:BASIS_SXR_8</v>
          </cell>
          <cell r="F8963" t="str">
            <v>EQ-Equity Implied Volatility</v>
          </cell>
          <cell r="G8963" t="str">
            <v>EQ-Other</v>
          </cell>
          <cell r="H8963" t="str">
            <v>EQ_INDICES</v>
          </cell>
          <cell r="I8963" t="str">
            <v>Equity Implied Volatility</v>
          </cell>
        </row>
        <row r="8964">
          <cell r="A8964" t="str">
            <v>BASIS_SXR_9</v>
          </cell>
          <cell r="B8964" t="str">
            <v>STOXX EUR MID 200 basis 9</v>
          </cell>
          <cell r="C8964" t="str">
            <v>_BRS_GOLD__5_EQ:BRS_GOLD__1_EQX:BASIS_SXR_9</v>
          </cell>
          <cell r="F8964" t="str">
            <v>EQ-Equity Implied Volatility</v>
          </cell>
          <cell r="G8964" t="str">
            <v>EQ-Other</v>
          </cell>
          <cell r="H8964" t="str">
            <v>EQ_INDICES</v>
          </cell>
          <cell r="I8964" t="str">
            <v>Equity Implied Volatility</v>
          </cell>
        </row>
        <row r="8965">
          <cell r="A8965" t="str">
            <v>BASIS_UL_1</v>
          </cell>
          <cell r="B8965" t="str">
            <v>STOXX 600 TECH basis 1</v>
          </cell>
          <cell r="C8965" t="str">
            <v>_BRS_GOLD__5_EQ:BRS_GOLD__1_EQX:BASIS_UL_1</v>
          </cell>
          <cell r="F8965" t="str">
            <v>EQ-Equity Implied Volatility</v>
          </cell>
          <cell r="G8965" t="str">
            <v>EQ-Other</v>
          </cell>
          <cell r="H8965" t="str">
            <v>EQ_INDICES</v>
          </cell>
          <cell r="I8965" t="str">
            <v>Equity Implied Volatility</v>
          </cell>
        </row>
        <row r="8966">
          <cell r="A8966" t="str">
            <v>BASIS_UL_10</v>
          </cell>
          <cell r="B8966" t="str">
            <v>STOXX 600 TECH basis 10</v>
          </cell>
          <cell r="C8966" t="str">
            <v>_BRS_GOLD__5_EQ:BRS_GOLD__1_EQX:BASIS_UL_10</v>
          </cell>
          <cell r="F8966" t="str">
            <v>EQ-Equity Implied Volatility</v>
          </cell>
          <cell r="G8966" t="str">
            <v>EQ-Other</v>
          </cell>
          <cell r="H8966" t="str">
            <v>EQ_INDICES</v>
          </cell>
          <cell r="I8966" t="str">
            <v>Equity Implied Volatility</v>
          </cell>
        </row>
        <row r="8967">
          <cell r="A8967" t="str">
            <v>BASIS_UL_11</v>
          </cell>
          <cell r="B8967" t="str">
            <v>STOXX 600 TECH basis 11</v>
          </cell>
          <cell r="C8967" t="str">
            <v>_BRS_GOLD__5_EQ:BRS_GOLD__1_EQX:BASIS_UL_11</v>
          </cell>
          <cell r="F8967" t="str">
            <v>EQ-Equity Implied Volatility</v>
          </cell>
          <cell r="G8967" t="str">
            <v>EQ-Other</v>
          </cell>
          <cell r="H8967" t="str">
            <v>EQ_INDICES</v>
          </cell>
          <cell r="I8967" t="str">
            <v>Equity Implied Volatility</v>
          </cell>
        </row>
        <row r="8968">
          <cell r="A8968" t="str">
            <v>BASIS_UL_12</v>
          </cell>
          <cell r="B8968" t="str">
            <v>STOXX 600 TECH basis 12</v>
          </cell>
          <cell r="C8968" t="str">
            <v>_BRS_GOLD__5_EQ:BRS_GOLD__1_EQX:BASIS_UL_12</v>
          </cell>
          <cell r="F8968" t="str">
            <v>EQ-Equity Implied Volatility</v>
          </cell>
          <cell r="G8968" t="str">
            <v>EQ-Other</v>
          </cell>
          <cell r="H8968" t="str">
            <v>EQ_INDICES</v>
          </cell>
          <cell r="I8968" t="str">
            <v>Equity Implied Volatility</v>
          </cell>
        </row>
        <row r="8969">
          <cell r="A8969" t="str">
            <v>BASIS_UL_2</v>
          </cell>
          <cell r="B8969" t="str">
            <v>STOXX 600 TECH basis 2</v>
          </cell>
          <cell r="C8969" t="str">
            <v>_BRS_GOLD__5_EQ:BRS_GOLD__1_EQX:BASIS_UL_2</v>
          </cell>
          <cell r="F8969" t="str">
            <v>EQ-Equity Implied Volatility</v>
          </cell>
          <cell r="G8969" t="str">
            <v>EQ-Other</v>
          </cell>
          <cell r="H8969" t="str">
            <v>EQ_INDICES</v>
          </cell>
          <cell r="I8969" t="str">
            <v>Equity Implied Volatility</v>
          </cell>
        </row>
        <row r="8970">
          <cell r="A8970" t="str">
            <v>BASIS_UL_3</v>
          </cell>
          <cell r="B8970" t="str">
            <v>STOXX 600 TECH basis 3</v>
          </cell>
          <cell r="C8970" t="str">
            <v>_BRS_GOLD__5_EQ:BRS_GOLD__1_EQX:BASIS_UL_3</v>
          </cell>
          <cell r="F8970" t="str">
            <v>EQ-Equity Implied Volatility</v>
          </cell>
          <cell r="G8970" t="str">
            <v>EQ-Other</v>
          </cell>
          <cell r="H8970" t="str">
            <v>EQ_INDICES</v>
          </cell>
          <cell r="I8970" t="str">
            <v>Equity Implied Volatility</v>
          </cell>
        </row>
        <row r="8971">
          <cell r="A8971" t="str">
            <v>BASIS_UL_4</v>
          </cell>
          <cell r="B8971" t="str">
            <v>STOXX 600 TECH basis 4</v>
          </cell>
          <cell r="C8971" t="str">
            <v>_BRS_GOLD__5_EQ:BRS_GOLD__1_EQX:BASIS_UL_4</v>
          </cell>
          <cell r="F8971" t="str">
            <v>EQ-Equity Implied Volatility</v>
          </cell>
          <cell r="G8971" t="str">
            <v>EQ-Other</v>
          </cell>
          <cell r="H8971" t="str">
            <v>EQ_INDICES</v>
          </cell>
          <cell r="I8971" t="str">
            <v>Equity Implied Volatility</v>
          </cell>
        </row>
        <row r="8972">
          <cell r="A8972" t="str">
            <v>BASIS_UL_5</v>
          </cell>
          <cell r="B8972" t="str">
            <v>STOXX 600 TECH basis 5</v>
          </cell>
          <cell r="C8972" t="str">
            <v>_BRS_GOLD__5_EQ:BRS_GOLD__1_EQX:BASIS_UL_5</v>
          </cell>
          <cell r="F8972" t="str">
            <v>EQ-Equity Implied Volatility</v>
          </cell>
          <cell r="G8972" t="str">
            <v>EQ-Other</v>
          </cell>
          <cell r="H8972" t="str">
            <v>EQ_INDICES</v>
          </cell>
          <cell r="I8972" t="str">
            <v>Equity Implied Volatility</v>
          </cell>
        </row>
        <row r="8973">
          <cell r="A8973" t="str">
            <v>BASIS_UL_6</v>
          </cell>
          <cell r="B8973" t="str">
            <v>STOXX 600 TECH basis 6</v>
          </cell>
          <cell r="C8973" t="str">
            <v>_BRS_GOLD__5_EQ:BRS_GOLD__1_EQX:BASIS_UL_6</v>
          </cell>
          <cell r="F8973" t="str">
            <v>EQ-Equity Implied Volatility</v>
          </cell>
          <cell r="G8973" t="str">
            <v>EQ-Other</v>
          </cell>
          <cell r="H8973" t="str">
            <v>EQ_INDICES</v>
          </cell>
          <cell r="I8973" t="str">
            <v>Equity Implied Volatility</v>
          </cell>
        </row>
        <row r="8974">
          <cell r="A8974" t="str">
            <v>BASIS_UL_7</v>
          </cell>
          <cell r="B8974" t="str">
            <v>STOXX 600 TECH basis 7</v>
          </cell>
          <cell r="C8974" t="str">
            <v>_BRS_GOLD__5_EQ:BRS_GOLD__1_EQX:BASIS_UL_7</v>
          </cell>
          <cell r="F8974" t="str">
            <v>EQ-Equity Implied Volatility</v>
          </cell>
          <cell r="G8974" t="str">
            <v>EQ-Other</v>
          </cell>
          <cell r="H8974" t="str">
            <v>EQ_INDICES</v>
          </cell>
          <cell r="I8974" t="str">
            <v>Equity Implied Volatility</v>
          </cell>
        </row>
        <row r="8975">
          <cell r="A8975" t="str">
            <v>BASIS_UL_8</v>
          </cell>
          <cell r="B8975" t="str">
            <v>STOXX 600 TECH basis 8</v>
          </cell>
          <cell r="C8975" t="str">
            <v>_BRS_GOLD__5_EQ:BRS_GOLD__1_EQX:BASIS_UL_8</v>
          </cell>
          <cell r="F8975" t="str">
            <v>EQ-Equity Implied Volatility</v>
          </cell>
          <cell r="G8975" t="str">
            <v>EQ-Other</v>
          </cell>
          <cell r="H8975" t="str">
            <v>EQ_INDICES</v>
          </cell>
          <cell r="I8975" t="str">
            <v>Equity Implied Volatility</v>
          </cell>
        </row>
        <row r="8976">
          <cell r="A8976" t="str">
            <v>BASIS_UL_9</v>
          </cell>
          <cell r="B8976" t="str">
            <v>STOXX 600 TECH basis 9</v>
          </cell>
          <cell r="C8976" t="str">
            <v>_BRS_GOLD__5_EQ:BRS_GOLD__1_EQX:BASIS_UL_9</v>
          </cell>
          <cell r="F8976" t="str">
            <v>EQ-Equity Implied Volatility</v>
          </cell>
          <cell r="G8976" t="str">
            <v>EQ-Other</v>
          </cell>
          <cell r="H8976" t="str">
            <v>EQ_INDICES</v>
          </cell>
          <cell r="I8976" t="str">
            <v>Equity Implied Volatility</v>
          </cell>
        </row>
        <row r="8977">
          <cell r="A8977" t="str">
            <v>BASIS_Z_1</v>
          </cell>
          <cell r="B8977" t="str">
            <v>FTSE 100 INDEX basis 1</v>
          </cell>
          <cell r="C8977" t="str">
            <v>_BRS_GOLD__5_EQ:BRS_GOLD__1_EQX:BASIS_Z_1</v>
          </cell>
          <cell r="F8977" t="str">
            <v>EQ-Equity Implied Volatility</v>
          </cell>
          <cell r="G8977" t="str">
            <v>EQ-Other</v>
          </cell>
          <cell r="H8977" t="str">
            <v>EQ_INDICES</v>
          </cell>
          <cell r="I8977" t="str">
            <v>Equity Implied Volatility</v>
          </cell>
        </row>
        <row r="8978">
          <cell r="A8978" t="str">
            <v>BASIS_Z_10</v>
          </cell>
          <cell r="B8978" t="str">
            <v>FTSE 100 INDEX basis 10</v>
          </cell>
          <cell r="C8978" t="str">
            <v>_BRS_GOLD__5_EQ:BRS_GOLD__1_EQX:BASIS_Z_10</v>
          </cell>
          <cell r="F8978" t="str">
            <v>EQ-Equity Implied Volatility</v>
          </cell>
          <cell r="G8978" t="str">
            <v>EQ-Other</v>
          </cell>
          <cell r="H8978" t="str">
            <v>EQ_INDICES</v>
          </cell>
          <cell r="I8978" t="str">
            <v>Equity Implied Volatility</v>
          </cell>
        </row>
        <row r="8979">
          <cell r="A8979" t="str">
            <v>BASIS_Z_11</v>
          </cell>
          <cell r="B8979" t="str">
            <v>FTSE 100 INDEX basis 11</v>
          </cell>
          <cell r="C8979" t="str">
            <v>_BRS_GOLD__5_EQ:BRS_GOLD__1_EQX:BASIS_Z_11</v>
          </cell>
          <cell r="F8979" t="str">
            <v>EQ-Equity Implied Volatility</v>
          </cell>
          <cell r="G8979" t="str">
            <v>EQ-Other</v>
          </cell>
          <cell r="H8979" t="str">
            <v>EQ_INDICES</v>
          </cell>
          <cell r="I8979" t="str">
            <v>Equity Implied Volatility</v>
          </cell>
        </row>
        <row r="8980">
          <cell r="A8980" t="str">
            <v>BASIS_Z_12</v>
          </cell>
          <cell r="B8980" t="str">
            <v>FTSE 100 INDEX basis 12</v>
          </cell>
          <cell r="C8980" t="str">
            <v>_BRS_GOLD__5_EQ:BRS_GOLD__1_EQX:BASIS_Z_12</v>
          </cell>
          <cell r="F8980" t="str">
            <v>EQ-Equity Implied Volatility</v>
          </cell>
          <cell r="G8980" t="str">
            <v>EQ-Other</v>
          </cell>
          <cell r="H8980" t="str">
            <v>EQ_INDICES</v>
          </cell>
          <cell r="I8980" t="str">
            <v>Equity Implied Volatility</v>
          </cell>
        </row>
        <row r="8981">
          <cell r="A8981" t="str">
            <v>BASIS_Z_2</v>
          </cell>
          <cell r="B8981" t="str">
            <v>FTSE 100 INDEX basis 2</v>
          </cell>
          <cell r="C8981" t="str">
            <v>_BRS_GOLD__5_EQ:BRS_GOLD__1_EQX:BASIS_Z_2</v>
          </cell>
          <cell r="F8981" t="str">
            <v>EQ-Equity Implied Volatility</v>
          </cell>
          <cell r="G8981" t="str">
            <v>EQ-Other</v>
          </cell>
          <cell r="H8981" t="str">
            <v>EQ_INDICES</v>
          </cell>
          <cell r="I8981" t="str">
            <v>Equity Implied Volatility</v>
          </cell>
        </row>
        <row r="8982">
          <cell r="A8982" t="str">
            <v>BASIS_Z_3</v>
          </cell>
          <cell r="B8982" t="str">
            <v>FTSE 100 INDEX basis 3</v>
          </cell>
          <cell r="C8982" t="str">
            <v>_BRS_GOLD__5_EQ:BRS_GOLD__1_EQX:BASIS_Z_3</v>
          </cell>
          <cell r="F8982" t="str">
            <v>EQ-Equity Implied Volatility</v>
          </cell>
          <cell r="G8982" t="str">
            <v>EQ-Other</v>
          </cell>
          <cell r="H8982" t="str">
            <v>EQ_INDICES</v>
          </cell>
          <cell r="I8982" t="str">
            <v>Equity Implied Volatility</v>
          </cell>
        </row>
        <row r="8983">
          <cell r="A8983" t="str">
            <v>BASIS_Z_4</v>
          </cell>
          <cell r="B8983" t="str">
            <v>FTSE 100 INDEX basis 4</v>
          </cell>
          <cell r="C8983" t="str">
            <v>_BRS_GOLD__5_EQ:BRS_GOLD__1_EQX:BASIS_Z_4</v>
          </cell>
          <cell r="F8983" t="str">
            <v>EQ-Equity Implied Volatility</v>
          </cell>
          <cell r="G8983" t="str">
            <v>EQ-Other</v>
          </cell>
          <cell r="H8983" t="str">
            <v>EQ_INDICES</v>
          </cell>
          <cell r="I8983" t="str">
            <v>Equity Implied Volatility</v>
          </cell>
        </row>
        <row r="8984">
          <cell r="A8984" t="str">
            <v>BASIS_Z_5</v>
          </cell>
          <cell r="B8984" t="str">
            <v>FTSE 100 INDEX basis 5</v>
          </cell>
          <cell r="C8984" t="str">
            <v>_BRS_GOLD__5_EQ:BRS_GOLD__1_EQX:BASIS_Z_5</v>
          </cell>
          <cell r="F8984" t="str">
            <v>EQ-Equity Implied Volatility</v>
          </cell>
          <cell r="G8984" t="str">
            <v>EQ-Other</v>
          </cell>
          <cell r="H8984" t="str">
            <v>EQ_INDICES</v>
          </cell>
          <cell r="I8984" t="str">
            <v>Equity Implied Volatility</v>
          </cell>
        </row>
        <row r="8985">
          <cell r="A8985" t="str">
            <v>BASIS_Z_6</v>
          </cell>
          <cell r="B8985" t="str">
            <v>FTSE 100 INDEX basis 6</v>
          </cell>
          <cell r="C8985" t="str">
            <v>_BRS_GOLD__5_EQ:BRS_GOLD__1_EQX:BASIS_Z_6</v>
          </cell>
          <cell r="F8985" t="str">
            <v>EQ-Equity Implied Volatility</v>
          </cell>
          <cell r="G8985" t="str">
            <v>EQ-Other</v>
          </cell>
          <cell r="H8985" t="str">
            <v>EQ_INDICES</v>
          </cell>
          <cell r="I8985" t="str">
            <v>Equity Implied Volatility</v>
          </cell>
        </row>
        <row r="8986">
          <cell r="A8986" t="str">
            <v>BASIS_Z_7</v>
          </cell>
          <cell r="B8986" t="str">
            <v>FTSE 100 INDEX basis 7</v>
          </cell>
          <cell r="C8986" t="str">
            <v>_BRS_GOLD__5_EQ:BRS_GOLD__1_EQX:BASIS_Z_7</v>
          </cell>
          <cell r="F8986" t="str">
            <v>EQ-Equity Implied Volatility</v>
          </cell>
          <cell r="G8986" t="str">
            <v>EQ-Other</v>
          </cell>
          <cell r="H8986" t="str">
            <v>EQ_INDICES</v>
          </cell>
          <cell r="I8986" t="str">
            <v>Equity Implied Volatility</v>
          </cell>
        </row>
        <row r="8987">
          <cell r="A8987" t="str">
            <v>BASIS_Z_8</v>
          </cell>
          <cell r="B8987" t="str">
            <v>FTSE 100 INDEX basis 8</v>
          </cell>
          <cell r="C8987" t="str">
            <v>_BRS_GOLD__5_EQ:BRS_GOLD__1_EQX:BASIS_Z_8</v>
          </cell>
          <cell r="F8987" t="str">
            <v>EQ-Equity Implied Volatility</v>
          </cell>
          <cell r="G8987" t="str">
            <v>EQ-Other</v>
          </cell>
          <cell r="H8987" t="str">
            <v>EQ_INDICES</v>
          </cell>
          <cell r="I8987" t="str">
            <v>Equity Implied Volatility</v>
          </cell>
        </row>
        <row r="8988">
          <cell r="A8988" t="str">
            <v>BASIS_Z_9</v>
          </cell>
          <cell r="B8988" t="str">
            <v>FTSE 100 INDEX basis 9</v>
          </cell>
          <cell r="C8988" t="str">
            <v>_BRS_GOLD__5_EQ:BRS_GOLD__1_EQX:BASIS_Z_9</v>
          </cell>
          <cell r="F8988" t="str">
            <v>EQ-Equity Implied Volatility</v>
          </cell>
          <cell r="G8988" t="str">
            <v>EQ-Other</v>
          </cell>
          <cell r="H8988" t="str">
            <v>EQ_INDICES</v>
          </cell>
          <cell r="I8988" t="str">
            <v>Equity Implied Volatility</v>
          </cell>
        </row>
        <row r="8989">
          <cell r="A8989" t="str">
            <v>BASIS_BH_1</v>
          </cell>
          <cell r="B8989" t="str">
            <v>STOXX 600 BANKS basis 1</v>
          </cell>
          <cell r="C8989" t="str">
            <v>_BRS_GOLD__5_EQ:BRS_GOLD__1_EQX:BASIS_BH_1</v>
          </cell>
          <cell r="F8989" t="str">
            <v>EQ-Equity Implied Volatility</v>
          </cell>
          <cell r="G8989" t="str">
            <v>EQ-Other</v>
          </cell>
          <cell r="H8989" t="str">
            <v>EQ_INDICES</v>
          </cell>
          <cell r="I8989" t="str">
            <v>Equity Implied Volatility</v>
          </cell>
        </row>
        <row r="8990">
          <cell r="A8990" t="str">
            <v>BASIS_BH_2</v>
          </cell>
          <cell r="B8990" t="str">
            <v>STOXX 600 BANKS basis 2</v>
          </cell>
          <cell r="C8990" t="str">
            <v>_BRS_GOLD__5_EQ:BRS_GOLD__1_EQX:BASIS_BH_2</v>
          </cell>
          <cell r="F8990" t="str">
            <v>EQ-Equity Implied Volatility</v>
          </cell>
          <cell r="G8990" t="str">
            <v>EQ-Other</v>
          </cell>
          <cell r="H8990" t="str">
            <v>EQ_INDICES</v>
          </cell>
          <cell r="I8990" t="str">
            <v>Equity Implied Volatility</v>
          </cell>
        </row>
        <row r="8991">
          <cell r="A8991" t="str">
            <v>BASIS_BH_3</v>
          </cell>
          <cell r="B8991" t="str">
            <v>STOXX 600 BANKS basis 3</v>
          </cell>
          <cell r="C8991" t="str">
            <v>_BRS_GOLD__5_EQ:BRS_GOLD__1_EQX:BASIS_BH_3</v>
          </cell>
          <cell r="F8991" t="str">
            <v>EQ-Equity Implied Volatility</v>
          </cell>
          <cell r="G8991" t="str">
            <v>EQ-Other</v>
          </cell>
          <cell r="H8991" t="str">
            <v>EQ_INDICES</v>
          </cell>
          <cell r="I8991" t="str">
            <v>Equity Implied Volatility</v>
          </cell>
        </row>
        <row r="8992">
          <cell r="A8992" t="str">
            <v>BASIS_BH_4</v>
          </cell>
          <cell r="B8992" t="str">
            <v>STOXX 600 BANKS basis 4</v>
          </cell>
          <cell r="C8992" t="str">
            <v>_BRS_GOLD__5_EQ:BRS_GOLD__1_EQX:BASIS_BH_4</v>
          </cell>
          <cell r="F8992" t="str">
            <v>EQ-Equity Implied Volatility</v>
          </cell>
          <cell r="G8992" t="str">
            <v>EQ-Other</v>
          </cell>
          <cell r="H8992" t="str">
            <v>EQ_INDICES</v>
          </cell>
          <cell r="I8992" t="str">
            <v>Equity Implied Volatility</v>
          </cell>
        </row>
        <row r="8993">
          <cell r="A8993" t="str">
            <v>BASIS_BH_5</v>
          </cell>
          <cell r="B8993" t="str">
            <v>STOXX 600 BANKS basis 5</v>
          </cell>
          <cell r="C8993" t="str">
            <v>_BRS_GOLD__5_EQ:BRS_GOLD__1_EQX:BASIS_BH_5</v>
          </cell>
          <cell r="F8993" t="str">
            <v>EQ-Equity Implied Volatility</v>
          </cell>
          <cell r="G8993" t="str">
            <v>EQ-Other</v>
          </cell>
          <cell r="H8993" t="str">
            <v>EQ_INDICES</v>
          </cell>
          <cell r="I8993" t="str">
            <v>Equity Implied Volatility</v>
          </cell>
        </row>
        <row r="8994">
          <cell r="A8994" t="str">
            <v>BASIS_BH_6</v>
          </cell>
          <cell r="B8994" t="str">
            <v>STOXX 600 BANKS basis 6</v>
          </cell>
          <cell r="C8994" t="str">
            <v>_BRS_GOLD__5_EQ:BRS_GOLD__1_EQX:BASIS_BH_6</v>
          </cell>
          <cell r="F8994" t="str">
            <v>EQ-Equity Implied Volatility</v>
          </cell>
          <cell r="G8994" t="str">
            <v>EQ-Other</v>
          </cell>
          <cell r="H8994" t="str">
            <v>EQ_INDICES</v>
          </cell>
          <cell r="I8994" t="str">
            <v>Equity Implied Volatility</v>
          </cell>
        </row>
        <row r="8995">
          <cell r="A8995" t="str">
            <v>BASIS_BH_7</v>
          </cell>
          <cell r="B8995" t="str">
            <v>STOXX 600 BANKS basis 7</v>
          </cell>
          <cell r="C8995" t="str">
            <v>_BRS_GOLD__5_EQ:BRS_GOLD__1_EQX:BASIS_BH_7</v>
          </cell>
          <cell r="F8995" t="str">
            <v>EQ-Equity Implied Volatility</v>
          </cell>
          <cell r="G8995" t="str">
            <v>EQ-Other</v>
          </cell>
          <cell r="H8995" t="str">
            <v>EQ_INDICES</v>
          </cell>
          <cell r="I8995" t="str">
            <v>Equity Implied Volatility</v>
          </cell>
        </row>
        <row r="8996">
          <cell r="A8996" t="str">
            <v>BASIS_BH_8</v>
          </cell>
          <cell r="B8996" t="str">
            <v>STOXX 600 BANKS basis 8</v>
          </cell>
          <cell r="C8996" t="str">
            <v>_BRS_GOLD__5_EQ:BRS_GOLD__1_EQX:BASIS_BH_8</v>
          </cell>
          <cell r="F8996" t="str">
            <v>EQ-Equity Implied Volatility</v>
          </cell>
          <cell r="G8996" t="str">
            <v>EQ-Other</v>
          </cell>
          <cell r="H8996" t="str">
            <v>EQ_INDICES</v>
          </cell>
          <cell r="I8996" t="str">
            <v>Equity Implied Volatility</v>
          </cell>
        </row>
        <row r="8997">
          <cell r="A8997" t="str">
            <v>BASIS_BH_9</v>
          </cell>
          <cell r="B8997" t="str">
            <v>STOXX 600 BANKS basis 9</v>
          </cell>
          <cell r="C8997" t="str">
            <v>_BRS_GOLD__5_EQ:BRS_GOLD__1_EQX:BASIS_BH_9</v>
          </cell>
          <cell r="F8997" t="str">
            <v>EQ-Equity Implied Volatility</v>
          </cell>
          <cell r="G8997" t="str">
            <v>EQ-Other</v>
          </cell>
          <cell r="H8997" t="str">
            <v>EQ_INDICES</v>
          </cell>
          <cell r="I8997" t="str">
            <v>Equity Implied Volatility</v>
          </cell>
        </row>
        <row r="8998">
          <cell r="A8998" t="str">
            <v>BASIS_BH_10</v>
          </cell>
          <cell r="B8998" t="str">
            <v>STOXX 600 BANKS basis 10</v>
          </cell>
          <cell r="C8998" t="str">
            <v>_BRS_GOLD__5_EQ:BRS_GOLD__1_EQX:BASIS_BH_10</v>
          </cell>
          <cell r="F8998" t="str">
            <v>EQ-Equity Implied Volatility</v>
          </cell>
          <cell r="G8998" t="str">
            <v>EQ-Other</v>
          </cell>
          <cell r="H8998" t="str">
            <v>EQ_INDICES</v>
          </cell>
          <cell r="I8998" t="str">
            <v>Equity Implied Volatility</v>
          </cell>
        </row>
        <row r="8999">
          <cell r="A8999" t="str">
            <v>BASIS_BH_11</v>
          </cell>
          <cell r="B8999" t="str">
            <v>STOXX 600 BANKS basis 11</v>
          </cell>
          <cell r="C8999" t="str">
            <v>_BRS_GOLD__5_EQ:BRS_GOLD__1_EQX:BASIS_BH_11</v>
          </cell>
          <cell r="F8999" t="str">
            <v>EQ-Equity Implied Volatility</v>
          </cell>
          <cell r="G8999" t="str">
            <v>EQ-Other</v>
          </cell>
          <cell r="H8999" t="str">
            <v>EQ_INDICES</v>
          </cell>
          <cell r="I8999" t="str">
            <v>Equity Implied Volatility</v>
          </cell>
        </row>
        <row r="9000">
          <cell r="A9000" t="str">
            <v>BASIS_BH_12</v>
          </cell>
          <cell r="B9000" t="str">
            <v>STOXX 600 BANKS basis 12</v>
          </cell>
          <cell r="C9000" t="str">
            <v>_BRS_GOLD__5_EQ:BRS_GOLD__1_EQX:BASIS_BH_12</v>
          </cell>
          <cell r="F9000" t="str">
            <v>EQ-Equity Implied Volatility</v>
          </cell>
          <cell r="G9000" t="str">
            <v>EQ-Other</v>
          </cell>
          <cell r="H9000" t="str">
            <v>EQ_INDICES</v>
          </cell>
          <cell r="I9000" t="str">
            <v>Equity Implied Volatility</v>
          </cell>
        </row>
        <row r="9001">
          <cell r="A9001" t="str">
            <v>BASIS_DED_1</v>
          </cell>
          <cell r="B9001" t="str">
            <v>STOXX 50 DIVIDEND basis 1</v>
          </cell>
          <cell r="C9001" t="str">
            <v>_BRS_GOLD__5_EQ:BRS_GOLD__1_EQX:BASIS_DED_1</v>
          </cell>
          <cell r="F9001" t="str">
            <v>EQ-Equity Implied Volatility</v>
          </cell>
          <cell r="G9001" t="str">
            <v>EQ-Other</v>
          </cell>
          <cell r="H9001" t="str">
            <v>EQ_INDICES</v>
          </cell>
          <cell r="I9001" t="str">
            <v>Equity Implied Volatility</v>
          </cell>
        </row>
        <row r="9002">
          <cell r="A9002" t="str">
            <v>BASIS_DED_2</v>
          </cell>
          <cell r="B9002" t="str">
            <v>STOXX 50 DIVIDEND basis 2</v>
          </cell>
          <cell r="C9002" t="str">
            <v>_BRS_GOLD__5_EQ:BRS_GOLD__1_EQX:BASIS_DED_2</v>
          </cell>
          <cell r="F9002" t="str">
            <v>EQ-Equity Implied Volatility</v>
          </cell>
          <cell r="G9002" t="str">
            <v>EQ-Other</v>
          </cell>
          <cell r="H9002" t="str">
            <v>EQ_INDICES</v>
          </cell>
          <cell r="I9002" t="str">
            <v>Equity Implied Volatility</v>
          </cell>
        </row>
        <row r="9003">
          <cell r="A9003" t="str">
            <v>BASIS_DED_3</v>
          </cell>
          <cell r="B9003" t="str">
            <v>STOXX 50 DIVIDEND basis 3</v>
          </cell>
          <cell r="C9003" t="str">
            <v>_BRS_GOLD__5_EQ:BRS_GOLD__1_EQX:BASIS_DED_3</v>
          </cell>
          <cell r="F9003" t="str">
            <v>EQ-Equity Implied Volatility</v>
          </cell>
          <cell r="G9003" t="str">
            <v>EQ-Other</v>
          </cell>
          <cell r="H9003" t="str">
            <v>EQ_INDICES</v>
          </cell>
          <cell r="I9003" t="str">
            <v>Equity Implied Volatility</v>
          </cell>
        </row>
        <row r="9004">
          <cell r="A9004" t="str">
            <v>BASIS_DED_4</v>
          </cell>
          <cell r="B9004" t="str">
            <v>STOXX 50 DIVIDEND basis 4</v>
          </cell>
          <cell r="C9004" t="str">
            <v>_BRS_GOLD__5_EQ:BRS_GOLD__1_EQX:BASIS_DED_4</v>
          </cell>
          <cell r="F9004" t="str">
            <v>EQ-Equity Implied Volatility</v>
          </cell>
          <cell r="G9004" t="str">
            <v>EQ-Other</v>
          </cell>
          <cell r="H9004" t="str">
            <v>EQ_INDICES</v>
          </cell>
          <cell r="I9004" t="str">
            <v>Equity Implied Volatility</v>
          </cell>
        </row>
        <row r="9005">
          <cell r="A9005" t="str">
            <v>BASIS_DED_5</v>
          </cell>
          <cell r="B9005" t="str">
            <v>STOXX 50 DIVIDEND basis 5</v>
          </cell>
          <cell r="C9005" t="str">
            <v>_BRS_GOLD__5_EQ:BRS_GOLD__1_EQX:BASIS_DED_5</v>
          </cell>
          <cell r="F9005" t="str">
            <v>EQ-Equity Implied Volatility</v>
          </cell>
          <cell r="G9005" t="str">
            <v>EQ-Other</v>
          </cell>
          <cell r="H9005" t="str">
            <v>EQ_INDICES</v>
          </cell>
          <cell r="I9005" t="str">
            <v>Equity Implied Volatility</v>
          </cell>
        </row>
        <row r="9006">
          <cell r="A9006" t="str">
            <v>BASIS_DED_6</v>
          </cell>
          <cell r="B9006" t="str">
            <v>STOXX 50 DIVIDEND basis 6</v>
          </cell>
          <cell r="C9006" t="str">
            <v>_BRS_GOLD__5_EQ:BRS_GOLD__1_EQX:BASIS_DED_6</v>
          </cell>
          <cell r="F9006" t="str">
            <v>EQ-Equity Implied Volatility</v>
          </cell>
          <cell r="G9006" t="str">
            <v>EQ-Other</v>
          </cell>
          <cell r="H9006" t="str">
            <v>EQ_INDICES</v>
          </cell>
          <cell r="I9006" t="str">
            <v>Equity Implied Volatility</v>
          </cell>
        </row>
        <row r="9007">
          <cell r="A9007" t="str">
            <v>BASIS_DED_7</v>
          </cell>
          <cell r="B9007" t="str">
            <v>STOXX 50 DIVIDEND basis 7</v>
          </cell>
          <cell r="C9007" t="str">
            <v>_BRS_GOLD__5_EQ:BRS_GOLD__1_EQX:BASIS_DED_7</v>
          </cell>
          <cell r="F9007" t="str">
            <v>EQ-Equity Implied Volatility</v>
          </cell>
          <cell r="G9007" t="str">
            <v>EQ-Other</v>
          </cell>
          <cell r="H9007" t="str">
            <v>EQ_INDICES</v>
          </cell>
          <cell r="I9007" t="str">
            <v>Equity Implied Volatility</v>
          </cell>
        </row>
        <row r="9008">
          <cell r="A9008" t="str">
            <v>BASIS_DED_8</v>
          </cell>
          <cell r="B9008" t="str">
            <v>STOXX 50 DIVIDEND basis 8</v>
          </cell>
          <cell r="C9008" t="str">
            <v>_BRS_GOLD__5_EQ:BRS_GOLD__1_EQX:BASIS_DED_8</v>
          </cell>
          <cell r="F9008" t="str">
            <v>EQ-Equity Implied Volatility</v>
          </cell>
          <cell r="G9008" t="str">
            <v>EQ-Other</v>
          </cell>
          <cell r="H9008" t="str">
            <v>EQ_INDICES</v>
          </cell>
          <cell r="I9008" t="str">
            <v>Equity Implied Volatility</v>
          </cell>
        </row>
        <row r="9009">
          <cell r="A9009" t="str">
            <v>BASIS_DED_9</v>
          </cell>
          <cell r="B9009" t="str">
            <v>STOXX 50 DIVIDEND basis 9</v>
          </cell>
          <cell r="C9009" t="str">
            <v>_BRS_GOLD__5_EQ:BRS_GOLD__1_EQX:BASIS_DED_9</v>
          </cell>
          <cell r="F9009" t="str">
            <v>EQ-Equity Implied Volatility</v>
          </cell>
          <cell r="G9009" t="str">
            <v>EQ-Other</v>
          </cell>
          <cell r="H9009" t="str">
            <v>EQ_INDICES</v>
          </cell>
          <cell r="I9009" t="str">
            <v>Equity Implied Volatility</v>
          </cell>
        </row>
        <row r="9010">
          <cell r="A9010" t="str">
            <v>BASIS_DED_10</v>
          </cell>
          <cell r="B9010" t="str">
            <v>STOXX 50 DIVIDEND basis 10</v>
          </cell>
          <cell r="C9010" t="str">
            <v>_BRS_GOLD__5_EQ:BRS_GOLD__1_EQX:BASIS_DED_10</v>
          </cell>
          <cell r="F9010" t="str">
            <v>EQ-Equity Implied Volatility</v>
          </cell>
          <cell r="G9010" t="str">
            <v>EQ-Other</v>
          </cell>
          <cell r="H9010" t="str">
            <v>EQ_INDICES</v>
          </cell>
          <cell r="I9010" t="str">
            <v>Equity Implied Volatility</v>
          </cell>
        </row>
        <row r="9011">
          <cell r="A9011" t="str">
            <v>BASIS_DED_11</v>
          </cell>
          <cell r="B9011" t="str">
            <v>STOXX 50 DIVIDEND basis 11</v>
          </cell>
          <cell r="C9011" t="str">
            <v>_BRS_GOLD__5_EQ:BRS_GOLD__1_EQX:BASIS_DED_11</v>
          </cell>
          <cell r="F9011" t="str">
            <v>EQ-Equity Implied Volatility</v>
          </cell>
          <cell r="G9011" t="str">
            <v>EQ-Other</v>
          </cell>
          <cell r="H9011" t="str">
            <v>EQ_INDICES</v>
          </cell>
          <cell r="I9011" t="str">
            <v>Equity Implied Volatility</v>
          </cell>
        </row>
        <row r="9012">
          <cell r="A9012" t="str">
            <v>BASIS_DED_12</v>
          </cell>
          <cell r="B9012" t="str">
            <v>STOXX 50 DIVIDEND basis 12</v>
          </cell>
          <cell r="C9012" t="str">
            <v>_BRS_GOLD__5_EQ:BRS_GOLD__1_EQX:BASIS_DED_12</v>
          </cell>
          <cell r="F9012" t="str">
            <v>EQ-Equity Implied Volatility</v>
          </cell>
          <cell r="G9012" t="str">
            <v>EQ-Other</v>
          </cell>
          <cell r="H9012" t="str">
            <v>EQ_INDICES</v>
          </cell>
          <cell r="I9012" t="str">
            <v>Equity Implied Volatility</v>
          </cell>
        </row>
        <row r="9013">
          <cell r="A9013" t="str">
            <v>BASIS_HJ_1</v>
          </cell>
          <cell r="B9013" t="str">
            <v>STOXX 600 HEALTHCARE basis 1</v>
          </cell>
          <cell r="C9013" t="str">
            <v>_BRS_GOLD__5_EQ:BRS_GOLD__1_EQX:BASIS_HJ_1</v>
          </cell>
          <cell r="F9013" t="str">
            <v>EQ-Equity Implied Volatility</v>
          </cell>
          <cell r="G9013" t="str">
            <v>EQ-Other</v>
          </cell>
          <cell r="H9013" t="str">
            <v>EQ_INDICES</v>
          </cell>
          <cell r="I9013" t="str">
            <v>Equity Implied Volatility</v>
          </cell>
        </row>
        <row r="9014">
          <cell r="A9014" t="str">
            <v>BASIS_HJ_2</v>
          </cell>
          <cell r="B9014" t="str">
            <v>STOXX 600 HEALTHCARE basis 2</v>
          </cell>
          <cell r="C9014" t="str">
            <v>_BRS_GOLD__5_EQ:BRS_GOLD__1_EQX:BASIS_HJ_2</v>
          </cell>
          <cell r="F9014" t="str">
            <v>EQ-Equity Implied Volatility</v>
          </cell>
          <cell r="G9014" t="str">
            <v>EQ-Other</v>
          </cell>
          <cell r="H9014" t="str">
            <v>EQ_INDICES</v>
          </cell>
          <cell r="I9014" t="str">
            <v>Equity Implied Volatility</v>
          </cell>
        </row>
        <row r="9015">
          <cell r="A9015" t="str">
            <v>BASIS_HJ_3</v>
          </cell>
          <cell r="B9015" t="str">
            <v>STOXX 600 HEALTHCARE basis 3</v>
          </cell>
          <cell r="C9015" t="str">
            <v>_BRS_GOLD__5_EQ:BRS_GOLD__1_EQX:BASIS_HJ_3</v>
          </cell>
          <cell r="F9015" t="str">
            <v>EQ-Equity Implied Volatility</v>
          </cell>
          <cell r="G9015" t="str">
            <v>EQ-Other</v>
          </cell>
          <cell r="H9015" t="str">
            <v>EQ_INDICES</v>
          </cell>
          <cell r="I9015" t="str">
            <v>Equity Implied Volatility</v>
          </cell>
        </row>
        <row r="9016">
          <cell r="A9016" t="str">
            <v>BASIS_HJ_4</v>
          </cell>
          <cell r="B9016" t="str">
            <v>STOXX 600 HEALTHCARE basis 4</v>
          </cell>
          <cell r="C9016" t="str">
            <v>_BRS_GOLD__5_EQ:BRS_GOLD__1_EQX:BASIS_HJ_4</v>
          </cell>
          <cell r="F9016" t="str">
            <v>EQ-Equity Implied Volatility</v>
          </cell>
          <cell r="G9016" t="str">
            <v>EQ-Other</v>
          </cell>
          <cell r="H9016" t="str">
            <v>EQ_INDICES</v>
          </cell>
          <cell r="I9016" t="str">
            <v>Equity Implied Volatility</v>
          </cell>
        </row>
        <row r="9017">
          <cell r="A9017" t="str">
            <v>BASIS_HJ_5</v>
          </cell>
          <cell r="B9017" t="str">
            <v>STOXX 600 HEALTHCARE basis 5</v>
          </cell>
          <cell r="C9017" t="str">
            <v>_BRS_GOLD__5_EQ:BRS_GOLD__1_EQX:BASIS_HJ_5</v>
          </cell>
          <cell r="F9017" t="str">
            <v>EQ-Equity Implied Volatility</v>
          </cell>
          <cell r="G9017" t="str">
            <v>EQ-Other</v>
          </cell>
          <cell r="H9017" t="str">
            <v>EQ_INDICES</v>
          </cell>
          <cell r="I9017" t="str">
            <v>Equity Implied Volatility</v>
          </cell>
        </row>
        <row r="9018">
          <cell r="A9018" t="str">
            <v>BASIS_HJ_6</v>
          </cell>
          <cell r="B9018" t="str">
            <v>STOXX 600 HEALTHCARE basis 6</v>
          </cell>
          <cell r="C9018" t="str">
            <v>_BRS_GOLD__5_EQ:BRS_GOLD__1_EQX:BASIS_HJ_6</v>
          </cell>
          <cell r="F9018" t="str">
            <v>EQ-Equity Implied Volatility</v>
          </cell>
          <cell r="G9018" t="str">
            <v>EQ-Other</v>
          </cell>
          <cell r="H9018" t="str">
            <v>EQ_INDICES</v>
          </cell>
          <cell r="I9018" t="str">
            <v>Equity Implied Volatility</v>
          </cell>
        </row>
        <row r="9019">
          <cell r="A9019" t="str">
            <v>BASIS_HJ_7</v>
          </cell>
          <cell r="B9019" t="str">
            <v>STOXX 600 HEALTHCARE basis 7</v>
          </cell>
          <cell r="C9019" t="str">
            <v>_BRS_GOLD__5_EQ:BRS_GOLD__1_EQX:BASIS_HJ_7</v>
          </cell>
          <cell r="F9019" t="str">
            <v>EQ-Equity Implied Volatility</v>
          </cell>
          <cell r="G9019" t="str">
            <v>EQ-Other</v>
          </cell>
          <cell r="H9019" t="str">
            <v>EQ_INDICES</v>
          </cell>
          <cell r="I9019" t="str">
            <v>Equity Implied Volatility</v>
          </cell>
        </row>
        <row r="9020">
          <cell r="A9020" t="str">
            <v>BASIS_HJ_8</v>
          </cell>
          <cell r="B9020" t="str">
            <v>STOXX 600 HEALTHCARE basis 8</v>
          </cell>
          <cell r="C9020" t="str">
            <v>_BRS_GOLD__5_EQ:BRS_GOLD__1_EQX:BASIS_HJ_8</v>
          </cell>
          <cell r="F9020" t="str">
            <v>EQ-Equity Implied Volatility</v>
          </cell>
          <cell r="G9020" t="str">
            <v>EQ-Other</v>
          </cell>
          <cell r="H9020" t="str">
            <v>EQ_INDICES</v>
          </cell>
          <cell r="I9020" t="str">
            <v>Equity Implied Volatility</v>
          </cell>
        </row>
        <row r="9021">
          <cell r="A9021" t="str">
            <v>BASIS_HJ_9</v>
          </cell>
          <cell r="B9021" t="str">
            <v>STOXX 600 HEALTHCARE basis 9</v>
          </cell>
          <cell r="C9021" t="str">
            <v>_BRS_GOLD__5_EQ:BRS_GOLD__1_EQX:BASIS_HJ_9</v>
          </cell>
          <cell r="F9021" t="str">
            <v>EQ-Equity Implied Volatility</v>
          </cell>
          <cell r="G9021" t="str">
            <v>EQ-Other</v>
          </cell>
          <cell r="H9021" t="str">
            <v>EQ_INDICES</v>
          </cell>
          <cell r="I9021" t="str">
            <v>Equity Implied Volatility</v>
          </cell>
        </row>
        <row r="9022">
          <cell r="A9022" t="str">
            <v>BASIS_HJ_10</v>
          </cell>
          <cell r="B9022" t="str">
            <v>STOXX 600 HEALTHCARE basis 10</v>
          </cell>
          <cell r="C9022" t="str">
            <v>_BRS_GOLD__5_EQ:BRS_GOLD__1_EQX:BASIS_HJ_10</v>
          </cell>
          <cell r="F9022" t="str">
            <v>EQ-Equity Implied Volatility</v>
          </cell>
          <cell r="G9022" t="str">
            <v>EQ-Other</v>
          </cell>
          <cell r="H9022" t="str">
            <v>EQ_INDICES</v>
          </cell>
          <cell r="I9022" t="str">
            <v>Equity Implied Volatility</v>
          </cell>
        </row>
        <row r="9023">
          <cell r="A9023" t="str">
            <v>BASIS_HJ_11</v>
          </cell>
          <cell r="B9023" t="str">
            <v>STOXX 600 HEALTHCARE basis 11</v>
          </cell>
          <cell r="C9023" t="str">
            <v>_BRS_GOLD__5_EQ:BRS_GOLD__1_EQX:BASIS_HJ_11</v>
          </cell>
          <cell r="F9023" t="str">
            <v>EQ-Equity Implied Volatility</v>
          </cell>
          <cell r="G9023" t="str">
            <v>EQ-Other</v>
          </cell>
          <cell r="H9023" t="str">
            <v>EQ_INDICES</v>
          </cell>
          <cell r="I9023" t="str">
            <v>Equity Implied Volatility</v>
          </cell>
        </row>
        <row r="9024">
          <cell r="A9024" t="str">
            <v>BASIS_HJ_12</v>
          </cell>
          <cell r="B9024" t="str">
            <v>STOXX 600 HEALTHCARE basis 12</v>
          </cell>
          <cell r="C9024" t="str">
            <v>_BRS_GOLD__5_EQ:BRS_GOLD__1_EQX:BASIS_HJ_12</v>
          </cell>
          <cell r="F9024" t="str">
            <v>EQ-Equity Implied Volatility</v>
          </cell>
          <cell r="G9024" t="str">
            <v>EQ-Other</v>
          </cell>
          <cell r="H9024" t="str">
            <v>EQ_INDICES</v>
          </cell>
          <cell r="I9024" t="str">
            <v>Equity Implied Volatility</v>
          </cell>
        </row>
        <row r="9025">
          <cell r="A9025" t="str">
            <v>BASIS_MES_1</v>
          </cell>
          <cell r="B9025" t="str">
            <v>MSCI EMERGING basis 1</v>
          </cell>
          <cell r="C9025" t="str">
            <v>_BRS_GOLD__5_EQ:BRS_GOLD__1_EQX:BASIS_MES_1</v>
          </cell>
          <cell r="F9025" t="str">
            <v>EQ-Equity Implied Volatility</v>
          </cell>
          <cell r="G9025" t="str">
            <v>EQ-Other</v>
          </cell>
          <cell r="H9025" t="str">
            <v>EQ_INDICES</v>
          </cell>
          <cell r="I9025" t="str">
            <v>Equity Implied Volatility</v>
          </cell>
        </row>
        <row r="9026">
          <cell r="A9026" t="str">
            <v>BASIS_MES_2</v>
          </cell>
          <cell r="B9026" t="str">
            <v>MSCI EMERGING basis 2</v>
          </cell>
          <cell r="C9026" t="str">
            <v>_BRS_GOLD__5_EQ:BRS_GOLD__1_EQX:BASIS_MES_2</v>
          </cell>
          <cell r="F9026" t="str">
            <v>EQ-Equity Implied Volatility</v>
          </cell>
          <cell r="G9026" t="str">
            <v>EQ-Other</v>
          </cell>
          <cell r="H9026" t="str">
            <v>EQ_INDICES</v>
          </cell>
          <cell r="I9026" t="str">
            <v>Equity Implied Volatility</v>
          </cell>
        </row>
        <row r="9027">
          <cell r="A9027" t="str">
            <v>BASIS_MES_3</v>
          </cell>
          <cell r="B9027" t="str">
            <v>MSCI EMERGING basis 3</v>
          </cell>
          <cell r="C9027" t="str">
            <v>_BRS_GOLD__5_EQ:BRS_GOLD__1_EQX:BASIS_MES_3</v>
          </cell>
          <cell r="F9027" t="str">
            <v>EQ-Equity Implied Volatility</v>
          </cell>
          <cell r="G9027" t="str">
            <v>EQ-Other</v>
          </cell>
          <cell r="H9027" t="str">
            <v>EQ_INDICES</v>
          </cell>
          <cell r="I9027" t="str">
            <v>Equity Implied Volatility</v>
          </cell>
        </row>
        <row r="9028">
          <cell r="A9028" t="str">
            <v>BASIS_MES_4</v>
          </cell>
          <cell r="B9028" t="str">
            <v>MSCI EMERGING basis 4</v>
          </cell>
          <cell r="C9028" t="str">
            <v>_BRS_GOLD__5_EQ:BRS_GOLD__1_EQX:BASIS_MES_4</v>
          </cell>
          <cell r="F9028" t="str">
            <v>EQ-Equity Implied Volatility</v>
          </cell>
          <cell r="G9028" t="str">
            <v>EQ-Other</v>
          </cell>
          <cell r="H9028" t="str">
            <v>EQ_INDICES</v>
          </cell>
          <cell r="I9028" t="str">
            <v>Equity Implied Volatility</v>
          </cell>
        </row>
        <row r="9029">
          <cell r="A9029" t="str">
            <v>BASIS_MES_5</v>
          </cell>
          <cell r="B9029" t="str">
            <v>MSCI EMERGING basis 5</v>
          </cell>
          <cell r="C9029" t="str">
            <v>_BRS_GOLD__5_EQ:BRS_GOLD__1_EQX:BASIS_MES_5</v>
          </cell>
          <cell r="F9029" t="str">
            <v>EQ-Equity Implied Volatility</v>
          </cell>
          <cell r="G9029" t="str">
            <v>EQ-Other</v>
          </cell>
          <cell r="H9029" t="str">
            <v>EQ_INDICES</v>
          </cell>
          <cell r="I9029" t="str">
            <v>Equity Implied Volatility</v>
          </cell>
        </row>
        <row r="9030">
          <cell r="A9030" t="str">
            <v>BASIS_MES_6</v>
          </cell>
          <cell r="B9030" t="str">
            <v>MSCI EMERGING basis 6</v>
          </cell>
          <cell r="C9030" t="str">
            <v>_BRS_GOLD__5_EQ:BRS_GOLD__1_EQX:BASIS_MES_6</v>
          </cell>
          <cell r="F9030" t="str">
            <v>EQ-Equity Implied Volatility</v>
          </cell>
          <cell r="G9030" t="str">
            <v>EQ-Other</v>
          </cell>
          <cell r="H9030" t="str">
            <v>EQ_INDICES</v>
          </cell>
          <cell r="I9030" t="str">
            <v>Equity Implied Volatility</v>
          </cell>
        </row>
        <row r="9031">
          <cell r="A9031" t="str">
            <v>BASIS_MES_7</v>
          </cell>
          <cell r="B9031" t="str">
            <v>MSCI EMERGING basis 7</v>
          </cell>
          <cell r="C9031" t="str">
            <v>_BRS_GOLD__5_EQ:BRS_GOLD__1_EQX:BASIS_MES_7</v>
          </cell>
          <cell r="F9031" t="str">
            <v>EQ-Equity Implied Volatility</v>
          </cell>
          <cell r="G9031" t="str">
            <v>EQ-Other</v>
          </cell>
          <cell r="H9031" t="str">
            <v>EQ_INDICES</v>
          </cell>
          <cell r="I9031" t="str">
            <v>Equity Implied Volatility</v>
          </cell>
        </row>
        <row r="9032">
          <cell r="A9032" t="str">
            <v>BASIS_MES_8</v>
          </cell>
          <cell r="B9032" t="str">
            <v>MSCI EMERGING basis 8</v>
          </cell>
          <cell r="C9032" t="str">
            <v>_BRS_GOLD__5_EQ:BRS_GOLD__1_EQX:BASIS_MES_8</v>
          </cell>
          <cell r="F9032" t="str">
            <v>EQ-Equity Implied Volatility</v>
          </cell>
          <cell r="G9032" t="str">
            <v>EQ-Other</v>
          </cell>
          <cell r="H9032" t="str">
            <v>EQ_INDICES</v>
          </cell>
          <cell r="I9032" t="str">
            <v>Equity Implied Volatility</v>
          </cell>
        </row>
        <row r="9033">
          <cell r="A9033" t="str">
            <v>BASIS_MES_9</v>
          </cell>
          <cell r="B9033" t="str">
            <v>MSCI EMERGING basis 9</v>
          </cell>
          <cell r="C9033" t="str">
            <v>_BRS_GOLD__5_EQ:BRS_GOLD__1_EQX:BASIS_MES_9</v>
          </cell>
          <cell r="F9033" t="str">
            <v>EQ-Equity Implied Volatility</v>
          </cell>
          <cell r="G9033" t="str">
            <v>EQ-Other</v>
          </cell>
          <cell r="H9033" t="str">
            <v>EQ_INDICES</v>
          </cell>
          <cell r="I9033" t="str">
            <v>Equity Implied Volatility</v>
          </cell>
        </row>
        <row r="9034">
          <cell r="A9034" t="str">
            <v>BASIS_MES_10</v>
          </cell>
          <cell r="B9034" t="str">
            <v>MSCI EMERGING basis 10</v>
          </cell>
          <cell r="C9034" t="str">
            <v>_BRS_GOLD__5_EQ:BRS_GOLD__1_EQX:BASIS_MES_10</v>
          </cell>
          <cell r="F9034" t="str">
            <v>EQ-Equity Implied Volatility</v>
          </cell>
          <cell r="G9034" t="str">
            <v>EQ-Other</v>
          </cell>
          <cell r="H9034" t="str">
            <v>EQ_INDICES</v>
          </cell>
          <cell r="I9034" t="str">
            <v>Equity Implied Volatility</v>
          </cell>
        </row>
        <row r="9035">
          <cell r="A9035" t="str">
            <v>BASIS_MES_11</v>
          </cell>
          <cell r="B9035" t="str">
            <v>MSCI EMERGING basis 11</v>
          </cell>
          <cell r="C9035" t="str">
            <v>_BRS_GOLD__5_EQ:BRS_GOLD__1_EQX:BASIS_MES_11</v>
          </cell>
          <cell r="F9035" t="str">
            <v>EQ-Equity Implied Volatility</v>
          </cell>
          <cell r="G9035" t="str">
            <v>EQ-Other</v>
          </cell>
          <cell r="H9035" t="str">
            <v>EQ_INDICES</v>
          </cell>
          <cell r="I9035" t="str">
            <v>Equity Implied Volatility</v>
          </cell>
        </row>
        <row r="9036">
          <cell r="A9036" t="str">
            <v>BASIS_MES_12</v>
          </cell>
          <cell r="B9036" t="str">
            <v>MSCI EMERGING basis 12</v>
          </cell>
          <cell r="C9036" t="str">
            <v>_BRS_GOLD__5_EQ:BRS_GOLD__1_EQX:BASIS_MES_12</v>
          </cell>
          <cell r="F9036" t="str">
            <v>EQ-Equity Implied Volatility</v>
          </cell>
          <cell r="G9036" t="str">
            <v>EQ-Other</v>
          </cell>
          <cell r="H9036" t="str">
            <v>EQ_INDICES</v>
          </cell>
          <cell r="I9036" t="str">
            <v>Equity Implied Volatility</v>
          </cell>
        </row>
        <row r="9037">
          <cell r="A9037" t="str">
            <v>BASIS_MFS_1</v>
          </cell>
          <cell r="B9037" t="str">
            <v>MSCI EAFE basis 1</v>
          </cell>
          <cell r="C9037" t="str">
            <v>_BRS_GOLD__5_EQ:BRS_GOLD__1_EQX:BASIS_MFS_1</v>
          </cell>
          <cell r="F9037" t="str">
            <v>EQ-Equity Implied Volatility</v>
          </cell>
          <cell r="G9037" t="str">
            <v>EQ-Other</v>
          </cell>
          <cell r="H9037" t="str">
            <v>EQ_INDICES</v>
          </cell>
          <cell r="I9037" t="str">
            <v>Equity Implied Volatility</v>
          </cell>
        </row>
        <row r="9038">
          <cell r="A9038" t="str">
            <v>BASIS_MFS_2</v>
          </cell>
          <cell r="B9038" t="str">
            <v>MSCI EAFE basis 2</v>
          </cell>
          <cell r="C9038" t="str">
            <v>_BRS_GOLD__5_EQ:BRS_GOLD__1_EQX:BASIS_MFS_2</v>
          </cell>
          <cell r="F9038" t="str">
            <v>EQ-Equity Implied Volatility</v>
          </cell>
          <cell r="G9038" t="str">
            <v>EQ-Other</v>
          </cell>
          <cell r="H9038" t="str">
            <v>EQ_INDICES</v>
          </cell>
          <cell r="I9038" t="str">
            <v>Equity Implied Volatility</v>
          </cell>
        </row>
        <row r="9039">
          <cell r="A9039" t="str">
            <v>BASIS_MFS_3</v>
          </cell>
          <cell r="B9039" t="str">
            <v>MSCI EAFE basis 3</v>
          </cell>
          <cell r="C9039" t="str">
            <v>_BRS_GOLD__5_EQ:BRS_GOLD__1_EQX:BASIS_MFS_3</v>
          </cell>
          <cell r="F9039" t="str">
            <v>EQ-Equity Implied Volatility</v>
          </cell>
          <cell r="G9039" t="str">
            <v>EQ-Other</v>
          </cell>
          <cell r="H9039" t="str">
            <v>EQ_INDICES</v>
          </cell>
          <cell r="I9039" t="str">
            <v>Equity Implied Volatility</v>
          </cell>
        </row>
        <row r="9040">
          <cell r="A9040" t="str">
            <v>BASIS_MFS_4</v>
          </cell>
          <cell r="B9040" t="str">
            <v>MSCI EAFE basis 4</v>
          </cell>
          <cell r="C9040" t="str">
            <v>_BRS_GOLD__5_EQ:BRS_GOLD__1_EQX:BASIS_MFS_4</v>
          </cell>
          <cell r="F9040" t="str">
            <v>EQ-Equity Implied Volatility</v>
          </cell>
          <cell r="G9040" t="str">
            <v>EQ-Other</v>
          </cell>
          <cell r="H9040" t="str">
            <v>EQ_INDICES</v>
          </cell>
          <cell r="I9040" t="str">
            <v>Equity Implied Volatility</v>
          </cell>
        </row>
        <row r="9041">
          <cell r="A9041" t="str">
            <v>BASIS_MFS_5</v>
          </cell>
          <cell r="B9041" t="str">
            <v>MSCI EAFE basis 5</v>
          </cell>
          <cell r="C9041" t="str">
            <v>_BRS_GOLD__5_EQ:BRS_GOLD__1_EQX:BASIS_MFS_5</v>
          </cell>
          <cell r="F9041" t="str">
            <v>EQ-Equity Implied Volatility</v>
          </cell>
          <cell r="G9041" t="str">
            <v>EQ-Other</v>
          </cell>
          <cell r="H9041" t="str">
            <v>EQ_INDICES</v>
          </cell>
          <cell r="I9041" t="str">
            <v>Equity Implied Volatility</v>
          </cell>
        </row>
        <row r="9042">
          <cell r="A9042" t="str">
            <v>BASIS_MFS_6</v>
          </cell>
          <cell r="B9042" t="str">
            <v>MSCI EAFE basis 6</v>
          </cell>
          <cell r="C9042" t="str">
            <v>_BRS_GOLD__5_EQ:BRS_GOLD__1_EQX:BASIS_MFS_6</v>
          </cell>
          <cell r="F9042" t="str">
            <v>EQ-Equity Implied Volatility</v>
          </cell>
          <cell r="G9042" t="str">
            <v>EQ-Other</v>
          </cell>
          <cell r="H9042" t="str">
            <v>EQ_INDICES</v>
          </cell>
          <cell r="I9042" t="str">
            <v>Equity Implied Volatility</v>
          </cell>
        </row>
        <row r="9043">
          <cell r="A9043" t="str">
            <v>BASIS_MFS_7</v>
          </cell>
          <cell r="B9043" t="str">
            <v>MSCI EAFE basis 7</v>
          </cell>
          <cell r="C9043" t="str">
            <v>_BRS_GOLD__5_EQ:BRS_GOLD__1_EQX:BASIS_MFS_7</v>
          </cell>
          <cell r="F9043" t="str">
            <v>EQ-Equity Implied Volatility</v>
          </cell>
          <cell r="G9043" t="str">
            <v>EQ-Other</v>
          </cell>
          <cell r="H9043" t="str">
            <v>EQ_INDICES</v>
          </cell>
          <cell r="I9043" t="str">
            <v>Equity Implied Volatility</v>
          </cell>
        </row>
        <row r="9044">
          <cell r="A9044" t="str">
            <v>BASIS_MFS_8</v>
          </cell>
          <cell r="B9044" t="str">
            <v>MSCI EAFE basis 8</v>
          </cell>
          <cell r="C9044" t="str">
            <v>_BRS_GOLD__5_EQ:BRS_GOLD__1_EQX:BASIS_MFS_8</v>
          </cell>
          <cell r="F9044" t="str">
            <v>EQ-Equity Implied Volatility</v>
          </cell>
          <cell r="G9044" t="str">
            <v>EQ-Other</v>
          </cell>
          <cell r="H9044" t="str">
            <v>EQ_INDICES</v>
          </cell>
          <cell r="I9044" t="str">
            <v>Equity Implied Volatility</v>
          </cell>
        </row>
        <row r="9045">
          <cell r="A9045" t="str">
            <v>BASIS_MFS_9</v>
          </cell>
          <cell r="B9045" t="str">
            <v>MSCI EAFE basis 9</v>
          </cell>
          <cell r="C9045" t="str">
            <v>_BRS_GOLD__5_EQ:BRS_GOLD__1_EQX:BASIS_MFS_9</v>
          </cell>
          <cell r="F9045" t="str">
            <v>EQ-Equity Implied Volatility</v>
          </cell>
          <cell r="G9045" t="str">
            <v>EQ-Other</v>
          </cell>
          <cell r="H9045" t="str">
            <v>EQ_INDICES</v>
          </cell>
          <cell r="I9045" t="str">
            <v>Equity Implied Volatility</v>
          </cell>
        </row>
        <row r="9046">
          <cell r="A9046" t="str">
            <v>BASIS_MFS_10</v>
          </cell>
          <cell r="B9046" t="str">
            <v>MSCI EAFE basis 10</v>
          </cell>
          <cell r="C9046" t="str">
            <v>_BRS_GOLD__5_EQ:BRS_GOLD__1_EQX:BASIS_MFS_10</v>
          </cell>
          <cell r="F9046" t="str">
            <v>EQ-Equity Implied Volatility</v>
          </cell>
          <cell r="G9046" t="str">
            <v>EQ-Other</v>
          </cell>
          <cell r="H9046" t="str">
            <v>EQ_INDICES</v>
          </cell>
          <cell r="I9046" t="str">
            <v>Equity Implied Volatility</v>
          </cell>
        </row>
        <row r="9047">
          <cell r="A9047" t="str">
            <v>BASIS_MFS_11</v>
          </cell>
          <cell r="B9047" t="str">
            <v>MSCI EAFE basis 11</v>
          </cell>
          <cell r="C9047" t="str">
            <v>_BRS_GOLD__5_EQ:BRS_GOLD__1_EQX:BASIS_MFS_11</v>
          </cell>
          <cell r="F9047" t="str">
            <v>EQ-Equity Implied Volatility</v>
          </cell>
          <cell r="G9047" t="str">
            <v>EQ-Other</v>
          </cell>
          <cell r="H9047" t="str">
            <v>EQ_INDICES</v>
          </cell>
          <cell r="I9047" t="str">
            <v>Equity Implied Volatility</v>
          </cell>
        </row>
        <row r="9048">
          <cell r="A9048" t="str">
            <v>BASIS_MFS_12</v>
          </cell>
          <cell r="B9048" t="str">
            <v>MSCI EAFE basis 12</v>
          </cell>
          <cell r="C9048" t="str">
            <v>_BRS_GOLD__5_EQ:BRS_GOLD__1_EQX:BASIS_MFS_12</v>
          </cell>
          <cell r="F9048" t="str">
            <v>EQ-Equity Implied Volatility</v>
          </cell>
          <cell r="G9048" t="str">
            <v>EQ-Other</v>
          </cell>
          <cell r="H9048" t="str">
            <v>EQ_INDICES</v>
          </cell>
          <cell r="I9048" t="str">
            <v>Equity Implied Volatility</v>
          </cell>
        </row>
        <row r="9049">
          <cell r="A9049" t="str">
            <v>BASIS_PT_1</v>
          </cell>
          <cell r="B9049" t="str">
            <v>S&amp;P TORONTO 60 basis 1</v>
          </cell>
          <cell r="C9049" t="str">
            <v>_BRS_GOLD__5_EQ:BRS_GOLD__1_EQX:BASIS_PT_1</v>
          </cell>
          <cell r="F9049" t="str">
            <v>EQ-Equity Implied Volatility</v>
          </cell>
          <cell r="G9049" t="str">
            <v>EQ-Other</v>
          </cell>
          <cell r="H9049" t="str">
            <v>EQ_INDICES</v>
          </cell>
          <cell r="I9049" t="str">
            <v>Equity Implied Volatility</v>
          </cell>
        </row>
        <row r="9050">
          <cell r="A9050" t="str">
            <v>BASIS_PT_2</v>
          </cell>
          <cell r="B9050" t="str">
            <v>S&amp;P TORONTO 60 basis 2</v>
          </cell>
          <cell r="C9050" t="str">
            <v>_BRS_GOLD__5_EQ:BRS_GOLD__1_EQX:BASIS_PT_2</v>
          </cell>
          <cell r="F9050" t="str">
            <v>EQ-Equity Implied Volatility</v>
          </cell>
          <cell r="G9050" t="str">
            <v>EQ-Other</v>
          </cell>
          <cell r="H9050" t="str">
            <v>EQ_INDICES</v>
          </cell>
          <cell r="I9050" t="str">
            <v>Equity Implied Volatility</v>
          </cell>
        </row>
        <row r="9051">
          <cell r="A9051" t="str">
            <v>BASIS_PT_3</v>
          </cell>
          <cell r="B9051" t="str">
            <v>S&amp;P TORONTO 60 basis 3</v>
          </cell>
          <cell r="C9051" t="str">
            <v>_BRS_GOLD__5_EQ:BRS_GOLD__1_EQX:BASIS_PT_3</v>
          </cell>
          <cell r="F9051" t="str">
            <v>EQ-Equity Implied Volatility</v>
          </cell>
          <cell r="G9051" t="str">
            <v>EQ-Other</v>
          </cell>
          <cell r="H9051" t="str">
            <v>EQ_INDICES</v>
          </cell>
          <cell r="I9051" t="str">
            <v>Equity Implied Volatility</v>
          </cell>
        </row>
        <row r="9052">
          <cell r="A9052" t="str">
            <v>BASIS_PT_4</v>
          </cell>
          <cell r="B9052" t="str">
            <v>S&amp;P TORONTO 60 basis 4</v>
          </cell>
          <cell r="C9052" t="str">
            <v>_BRS_GOLD__5_EQ:BRS_GOLD__1_EQX:BASIS_PT_4</v>
          </cell>
          <cell r="F9052" t="str">
            <v>EQ-Equity Implied Volatility</v>
          </cell>
          <cell r="G9052" t="str">
            <v>EQ-Other</v>
          </cell>
          <cell r="H9052" t="str">
            <v>EQ_INDICES</v>
          </cell>
          <cell r="I9052" t="str">
            <v>Equity Implied Volatility</v>
          </cell>
        </row>
        <row r="9053">
          <cell r="A9053" t="str">
            <v>BASIS_PT_5</v>
          </cell>
          <cell r="B9053" t="str">
            <v>S&amp;P TORONTO 60 basis 5</v>
          </cell>
          <cell r="C9053" t="str">
            <v>_BRS_GOLD__5_EQ:BRS_GOLD__1_EQX:BASIS_PT_5</v>
          </cell>
          <cell r="F9053" t="str">
            <v>EQ-Equity Implied Volatility</v>
          </cell>
          <cell r="G9053" t="str">
            <v>EQ-Other</v>
          </cell>
          <cell r="H9053" t="str">
            <v>EQ_INDICES</v>
          </cell>
          <cell r="I9053" t="str">
            <v>Equity Implied Volatility</v>
          </cell>
        </row>
        <row r="9054">
          <cell r="A9054" t="str">
            <v>BASIS_PT_6</v>
          </cell>
          <cell r="B9054" t="str">
            <v>S&amp;P TORONTO 60 basis 6</v>
          </cell>
          <cell r="C9054" t="str">
            <v>_BRS_GOLD__5_EQ:BRS_GOLD__1_EQX:BASIS_PT_6</v>
          </cell>
          <cell r="F9054" t="str">
            <v>EQ-Equity Implied Volatility</v>
          </cell>
          <cell r="G9054" t="str">
            <v>EQ-Other</v>
          </cell>
          <cell r="H9054" t="str">
            <v>EQ_INDICES</v>
          </cell>
          <cell r="I9054" t="str">
            <v>Equity Implied Volatility</v>
          </cell>
        </row>
        <row r="9055">
          <cell r="A9055" t="str">
            <v>BASIS_PT_7</v>
          </cell>
          <cell r="B9055" t="str">
            <v>S&amp;P TORONTO 60 basis 7</v>
          </cell>
          <cell r="C9055" t="str">
            <v>_BRS_GOLD__5_EQ:BRS_GOLD__1_EQX:BASIS_PT_7</v>
          </cell>
          <cell r="F9055" t="str">
            <v>EQ-Equity Implied Volatility</v>
          </cell>
          <cell r="G9055" t="str">
            <v>EQ-Other</v>
          </cell>
          <cell r="H9055" t="str">
            <v>EQ_INDICES</v>
          </cell>
          <cell r="I9055" t="str">
            <v>Equity Implied Volatility</v>
          </cell>
        </row>
        <row r="9056">
          <cell r="A9056" t="str">
            <v>BASIS_PT_8</v>
          </cell>
          <cell r="B9056" t="str">
            <v>S&amp;P TORONTO 60 basis 8</v>
          </cell>
          <cell r="C9056" t="str">
            <v>_BRS_GOLD__5_EQ:BRS_GOLD__1_EQX:BASIS_PT_8</v>
          </cell>
          <cell r="F9056" t="str">
            <v>EQ-Equity Implied Volatility</v>
          </cell>
          <cell r="G9056" t="str">
            <v>EQ-Other</v>
          </cell>
          <cell r="H9056" t="str">
            <v>EQ_INDICES</v>
          </cell>
          <cell r="I9056" t="str">
            <v>Equity Implied Volatility</v>
          </cell>
        </row>
        <row r="9057">
          <cell r="A9057" t="str">
            <v>BASIS_PT_9</v>
          </cell>
          <cell r="B9057" t="str">
            <v>S&amp;P TORONTO 60 basis 9</v>
          </cell>
          <cell r="C9057" t="str">
            <v>_BRS_GOLD__5_EQ:BRS_GOLD__1_EQX:BASIS_PT_9</v>
          </cell>
          <cell r="F9057" t="str">
            <v>EQ-Equity Implied Volatility</v>
          </cell>
          <cell r="G9057" t="str">
            <v>EQ-Other</v>
          </cell>
          <cell r="H9057" t="str">
            <v>EQ_INDICES</v>
          </cell>
          <cell r="I9057" t="str">
            <v>Equity Implied Volatility</v>
          </cell>
        </row>
        <row r="9058">
          <cell r="A9058" t="str">
            <v>BASIS_PT_10</v>
          </cell>
          <cell r="B9058" t="str">
            <v>S&amp;P TORONTO 60 basis 10</v>
          </cell>
          <cell r="C9058" t="str">
            <v>_BRS_GOLD__5_EQ:BRS_GOLD__1_EQX:BASIS_PT_10</v>
          </cell>
          <cell r="F9058" t="str">
            <v>EQ-Equity Implied Volatility</v>
          </cell>
          <cell r="G9058" t="str">
            <v>EQ-Other</v>
          </cell>
          <cell r="H9058" t="str">
            <v>EQ_INDICES</v>
          </cell>
          <cell r="I9058" t="str">
            <v>Equity Implied Volatility</v>
          </cell>
        </row>
        <row r="9059">
          <cell r="A9059" t="str">
            <v>BASIS_PT_11</v>
          </cell>
          <cell r="B9059" t="str">
            <v>S&amp;P TORONTO 60 basis 11</v>
          </cell>
          <cell r="C9059" t="str">
            <v>_BRS_GOLD__5_EQ:BRS_GOLD__1_EQX:BASIS_PT_11</v>
          </cell>
          <cell r="F9059" t="str">
            <v>EQ-Equity Implied Volatility</v>
          </cell>
          <cell r="G9059" t="str">
            <v>EQ-Other</v>
          </cell>
          <cell r="H9059" t="str">
            <v>EQ_INDICES</v>
          </cell>
          <cell r="I9059" t="str">
            <v>Equity Implied Volatility</v>
          </cell>
        </row>
        <row r="9060">
          <cell r="A9060" t="str">
            <v>BASIS_PT_12</v>
          </cell>
          <cell r="B9060" t="str">
            <v>S&amp;P TORONTO 60 basis 12</v>
          </cell>
          <cell r="C9060" t="str">
            <v>_BRS_GOLD__5_EQ:BRS_GOLD__1_EQX:BASIS_PT_12</v>
          </cell>
          <cell r="F9060" t="str">
            <v>EQ-Equity Implied Volatility</v>
          </cell>
          <cell r="G9060" t="str">
            <v>EQ-Other</v>
          </cell>
          <cell r="H9060" t="str">
            <v>EQ_INDICES</v>
          </cell>
          <cell r="I9060" t="str">
            <v>Equity Implied Volatility</v>
          </cell>
        </row>
        <row r="9061">
          <cell r="A9061" t="str">
            <v>BASIS_SRD_1</v>
          </cell>
          <cell r="B9061" t="str">
            <v>STOXX 600 REAL ESTATE basis 1</v>
          </cell>
          <cell r="C9061" t="str">
            <v>_BRS_GOLD__5_EQ:BRS_GOLD__1_EQX:BASIS_SRD_1</v>
          </cell>
          <cell r="F9061" t="str">
            <v>EQ-Equity Implied Volatility</v>
          </cell>
          <cell r="G9061" t="str">
            <v>EQ-Other</v>
          </cell>
          <cell r="H9061" t="str">
            <v>EQ_INDICES</v>
          </cell>
          <cell r="I9061" t="str">
            <v>Equity Implied Volatility</v>
          </cell>
        </row>
        <row r="9062">
          <cell r="A9062" t="str">
            <v>BASIS_SRD_2</v>
          </cell>
          <cell r="B9062" t="str">
            <v>STOXX 600 REAL ESTATE basis 2</v>
          </cell>
          <cell r="C9062" t="str">
            <v>_BRS_GOLD__5_EQ:BRS_GOLD__1_EQX:BASIS_SRD_2</v>
          </cell>
          <cell r="F9062" t="str">
            <v>EQ-Equity Implied Volatility</v>
          </cell>
          <cell r="G9062" t="str">
            <v>EQ-Other</v>
          </cell>
          <cell r="H9062" t="str">
            <v>EQ_INDICES</v>
          </cell>
          <cell r="I9062" t="str">
            <v>Equity Implied Volatility</v>
          </cell>
        </row>
        <row r="9063">
          <cell r="A9063" t="str">
            <v>BASIS_SRD_3</v>
          </cell>
          <cell r="B9063" t="str">
            <v>STOXX 600 REAL ESTATE basis 3</v>
          </cell>
          <cell r="C9063" t="str">
            <v>_BRS_GOLD__5_EQ:BRS_GOLD__1_EQX:BASIS_SRD_3</v>
          </cell>
          <cell r="F9063" t="str">
            <v>EQ-Equity Implied Volatility</v>
          </cell>
          <cell r="G9063" t="str">
            <v>EQ-Other</v>
          </cell>
          <cell r="H9063" t="str">
            <v>EQ_INDICES</v>
          </cell>
          <cell r="I9063" t="str">
            <v>Equity Implied Volatility</v>
          </cell>
        </row>
        <row r="9064">
          <cell r="A9064" t="str">
            <v>BASIS_SRD_4</v>
          </cell>
          <cell r="B9064" t="str">
            <v>STOXX 600 REAL ESTATE basis 4</v>
          </cell>
          <cell r="C9064" t="str">
            <v>_BRS_GOLD__5_EQ:BRS_GOLD__1_EQX:BASIS_SRD_4</v>
          </cell>
          <cell r="F9064" t="str">
            <v>EQ-Equity Implied Volatility</v>
          </cell>
          <cell r="G9064" t="str">
            <v>EQ-Other</v>
          </cell>
          <cell r="H9064" t="str">
            <v>EQ_INDICES</v>
          </cell>
          <cell r="I9064" t="str">
            <v>Equity Implied Volatility</v>
          </cell>
        </row>
        <row r="9065">
          <cell r="A9065" t="str">
            <v>BASIS_SRD_5</v>
          </cell>
          <cell r="B9065" t="str">
            <v>STOXX 600 REAL ESTATE basis 5</v>
          </cell>
          <cell r="C9065" t="str">
            <v>_BRS_GOLD__5_EQ:BRS_GOLD__1_EQX:BASIS_SRD_5</v>
          </cell>
          <cell r="F9065" t="str">
            <v>EQ-Equity Implied Volatility</v>
          </cell>
          <cell r="G9065" t="str">
            <v>EQ-Other</v>
          </cell>
          <cell r="H9065" t="str">
            <v>EQ_INDICES</v>
          </cell>
          <cell r="I9065" t="str">
            <v>Equity Implied Volatility</v>
          </cell>
        </row>
        <row r="9066">
          <cell r="A9066" t="str">
            <v>BASIS_SRD_6</v>
          </cell>
          <cell r="B9066" t="str">
            <v>STOXX 600 REAL ESTATE basis 6</v>
          </cell>
          <cell r="C9066" t="str">
            <v>_BRS_GOLD__5_EQ:BRS_GOLD__1_EQX:BASIS_SRD_6</v>
          </cell>
          <cell r="F9066" t="str">
            <v>EQ-Equity Implied Volatility</v>
          </cell>
          <cell r="G9066" t="str">
            <v>EQ-Other</v>
          </cell>
          <cell r="H9066" t="str">
            <v>EQ_INDICES</v>
          </cell>
          <cell r="I9066" t="str">
            <v>Equity Implied Volatility</v>
          </cell>
        </row>
        <row r="9067">
          <cell r="A9067" t="str">
            <v>BASIS_SRD_7</v>
          </cell>
          <cell r="B9067" t="str">
            <v>STOXX 600 REAL ESTATE basis 7</v>
          </cell>
          <cell r="C9067" t="str">
            <v>_BRS_GOLD__5_EQ:BRS_GOLD__1_EQX:BASIS_SRD_7</v>
          </cell>
          <cell r="F9067" t="str">
            <v>EQ-Equity Implied Volatility</v>
          </cell>
          <cell r="G9067" t="str">
            <v>EQ-Other</v>
          </cell>
          <cell r="H9067" t="str">
            <v>EQ_INDICES</v>
          </cell>
          <cell r="I9067" t="str">
            <v>Equity Implied Volatility</v>
          </cell>
        </row>
        <row r="9068">
          <cell r="A9068" t="str">
            <v>BASIS_SRD_8</v>
          </cell>
          <cell r="B9068" t="str">
            <v>STOXX 600 REAL ESTATE basis 8</v>
          </cell>
          <cell r="C9068" t="str">
            <v>_BRS_GOLD__5_EQ:BRS_GOLD__1_EQX:BASIS_SRD_8</v>
          </cell>
          <cell r="F9068" t="str">
            <v>EQ-Equity Implied Volatility</v>
          </cell>
          <cell r="G9068" t="str">
            <v>EQ-Other</v>
          </cell>
          <cell r="H9068" t="str">
            <v>EQ_INDICES</v>
          </cell>
          <cell r="I9068" t="str">
            <v>Equity Implied Volatility</v>
          </cell>
        </row>
        <row r="9069">
          <cell r="A9069" t="str">
            <v>BASIS_SRD_9</v>
          </cell>
          <cell r="B9069" t="str">
            <v>STOXX 600 REAL ESTATE basis 9</v>
          </cell>
          <cell r="C9069" t="str">
            <v>_BRS_GOLD__5_EQ:BRS_GOLD__1_EQX:BASIS_SRD_9</v>
          </cell>
          <cell r="F9069" t="str">
            <v>EQ-Equity Implied Volatility</v>
          </cell>
          <cell r="G9069" t="str">
            <v>EQ-Other</v>
          </cell>
          <cell r="H9069" t="str">
            <v>EQ_INDICES</v>
          </cell>
          <cell r="I9069" t="str">
            <v>Equity Implied Volatility</v>
          </cell>
        </row>
        <row r="9070">
          <cell r="A9070" t="str">
            <v>BASIS_SRD_10</v>
          </cell>
          <cell r="B9070" t="str">
            <v>STOXX 600 REAL ESTATE basis 10</v>
          </cell>
          <cell r="C9070" t="str">
            <v>_BRS_GOLD__5_EQ:BRS_GOLD__1_EQX:BASIS_SRD_10</v>
          </cell>
          <cell r="F9070" t="str">
            <v>EQ-Equity Implied Volatility</v>
          </cell>
          <cell r="G9070" t="str">
            <v>EQ-Other</v>
          </cell>
          <cell r="H9070" t="str">
            <v>EQ_INDICES</v>
          </cell>
          <cell r="I9070" t="str">
            <v>Equity Implied Volatility</v>
          </cell>
        </row>
        <row r="9071">
          <cell r="A9071" t="str">
            <v>BASIS_SRD_11</v>
          </cell>
          <cell r="B9071" t="str">
            <v>STOXX 600 REAL ESTATE basis 11</v>
          </cell>
          <cell r="C9071" t="str">
            <v>_BRS_GOLD__5_EQ:BRS_GOLD__1_EQX:BASIS_SRD_11</v>
          </cell>
          <cell r="F9071" t="str">
            <v>EQ-Equity Implied Volatility</v>
          </cell>
          <cell r="G9071" t="str">
            <v>EQ-Other</v>
          </cell>
          <cell r="H9071" t="str">
            <v>EQ_INDICES</v>
          </cell>
          <cell r="I9071" t="str">
            <v>Equity Implied Volatility</v>
          </cell>
        </row>
        <row r="9072">
          <cell r="A9072" t="str">
            <v>BASIS_SRD_12</v>
          </cell>
          <cell r="B9072" t="str">
            <v>STOXX 600 REAL ESTATE basis 12</v>
          </cell>
          <cell r="C9072" t="str">
            <v>_BRS_GOLD__5_EQ:BRS_GOLD__1_EQX:BASIS_SRD_12</v>
          </cell>
          <cell r="F9072" t="str">
            <v>EQ-Equity Implied Volatility</v>
          </cell>
          <cell r="G9072" t="str">
            <v>EQ-Other</v>
          </cell>
          <cell r="H9072" t="str">
            <v>EQ_INDICES</v>
          </cell>
          <cell r="I9072" t="str">
            <v>Equity Implied Volatility</v>
          </cell>
        </row>
        <row r="9073">
          <cell r="A9073" t="str">
            <v>BASIS_ST_1</v>
          </cell>
          <cell r="B9073" t="str">
            <v>FTSE MIB basis 1</v>
          </cell>
          <cell r="C9073" t="str">
            <v>_BRS_GOLD__5_EQ:BRS_GOLD__1_EQX:BASIS_ST_1</v>
          </cell>
          <cell r="F9073" t="str">
            <v>EQ-Equity Implied Volatility</v>
          </cell>
          <cell r="G9073" t="str">
            <v>EQ-Other</v>
          </cell>
          <cell r="H9073" t="str">
            <v>EQ_INDICES</v>
          </cell>
          <cell r="I9073" t="str">
            <v>Equity Implied Volatility</v>
          </cell>
        </row>
        <row r="9074">
          <cell r="A9074" t="str">
            <v>BASIS_ST_2</v>
          </cell>
          <cell r="B9074" t="str">
            <v>FTSE MIB basis 2</v>
          </cell>
          <cell r="C9074" t="str">
            <v>_BRS_GOLD__5_EQ:BRS_GOLD__1_EQX:BASIS_ST_2</v>
          </cell>
          <cell r="F9074" t="str">
            <v>EQ-Equity Implied Volatility</v>
          </cell>
          <cell r="G9074" t="str">
            <v>EQ-Other</v>
          </cell>
          <cell r="H9074" t="str">
            <v>EQ_INDICES</v>
          </cell>
          <cell r="I9074" t="str">
            <v>Equity Implied Volatility</v>
          </cell>
        </row>
        <row r="9075">
          <cell r="A9075" t="str">
            <v>BASIS_ST_3</v>
          </cell>
          <cell r="B9075" t="str">
            <v>FTSE MIB basis 3</v>
          </cell>
          <cell r="C9075" t="str">
            <v>_BRS_GOLD__5_EQ:BRS_GOLD__1_EQX:BASIS_ST_3</v>
          </cell>
          <cell r="F9075" t="str">
            <v>EQ-Equity Implied Volatility</v>
          </cell>
          <cell r="G9075" t="str">
            <v>EQ-Other</v>
          </cell>
          <cell r="H9075" t="str">
            <v>EQ_INDICES</v>
          </cell>
          <cell r="I9075" t="str">
            <v>Equity Implied Volatility</v>
          </cell>
        </row>
        <row r="9076">
          <cell r="A9076" t="str">
            <v>BASIS_ST_4</v>
          </cell>
          <cell r="B9076" t="str">
            <v>FTSE MIB basis 4</v>
          </cell>
          <cell r="C9076" t="str">
            <v>_BRS_GOLD__5_EQ:BRS_GOLD__1_EQX:BASIS_ST_4</v>
          </cell>
          <cell r="F9076" t="str">
            <v>EQ-Equity Implied Volatility</v>
          </cell>
          <cell r="G9076" t="str">
            <v>EQ-Other</v>
          </cell>
          <cell r="H9076" t="str">
            <v>EQ_INDICES</v>
          </cell>
          <cell r="I9076" t="str">
            <v>Equity Implied Volatility</v>
          </cell>
        </row>
        <row r="9077">
          <cell r="A9077" t="str">
            <v>BASIS_ST_5</v>
          </cell>
          <cell r="B9077" t="str">
            <v>FTSE MIB basis 5</v>
          </cell>
          <cell r="C9077" t="str">
            <v>_BRS_GOLD__5_EQ:BRS_GOLD__1_EQX:BASIS_ST_5</v>
          </cell>
          <cell r="F9077" t="str">
            <v>EQ-Equity Implied Volatility</v>
          </cell>
          <cell r="G9077" t="str">
            <v>EQ-Other</v>
          </cell>
          <cell r="H9077" t="str">
            <v>EQ_INDICES</v>
          </cell>
          <cell r="I9077" t="str">
            <v>Equity Implied Volatility</v>
          </cell>
        </row>
        <row r="9078">
          <cell r="A9078" t="str">
            <v>BASIS_ST_6</v>
          </cell>
          <cell r="B9078" t="str">
            <v>FTSE MIB basis 6</v>
          </cell>
          <cell r="C9078" t="str">
            <v>_BRS_GOLD__5_EQ:BRS_GOLD__1_EQX:BASIS_ST_6</v>
          </cell>
          <cell r="F9078" t="str">
            <v>EQ-Equity Implied Volatility</v>
          </cell>
          <cell r="G9078" t="str">
            <v>EQ-Other</v>
          </cell>
          <cell r="H9078" t="str">
            <v>EQ_INDICES</v>
          </cell>
          <cell r="I9078" t="str">
            <v>Equity Implied Volatility</v>
          </cell>
        </row>
        <row r="9079">
          <cell r="A9079" t="str">
            <v>BASIS_ST_7</v>
          </cell>
          <cell r="B9079" t="str">
            <v>FTSE MIB basis 7</v>
          </cell>
          <cell r="C9079" t="str">
            <v>_BRS_GOLD__5_EQ:BRS_GOLD__1_EQX:BASIS_ST_7</v>
          </cell>
          <cell r="F9079" t="str">
            <v>EQ-Equity Implied Volatility</v>
          </cell>
          <cell r="G9079" t="str">
            <v>EQ-Other</v>
          </cell>
          <cell r="H9079" t="str">
            <v>EQ_INDICES</v>
          </cell>
          <cell r="I9079" t="str">
            <v>Equity Implied Volatility</v>
          </cell>
        </row>
        <row r="9080">
          <cell r="A9080" t="str">
            <v>BASIS_ST_8</v>
          </cell>
          <cell r="B9080" t="str">
            <v>FTSE MIB basis 8</v>
          </cell>
          <cell r="C9080" t="str">
            <v>_BRS_GOLD__5_EQ:BRS_GOLD__1_EQX:BASIS_ST_8</v>
          </cell>
          <cell r="F9080" t="str">
            <v>EQ-Equity Implied Volatility</v>
          </cell>
          <cell r="G9080" t="str">
            <v>EQ-Other</v>
          </cell>
          <cell r="H9080" t="str">
            <v>EQ_INDICES</v>
          </cell>
          <cell r="I9080" t="str">
            <v>Equity Implied Volatility</v>
          </cell>
        </row>
        <row r="9081">
          <cell r="A9081" t="str">
            <v>BASIS_ST_9</v>
          </cell>
          <cell r="B9081" t="str">
            <v>FTSE MIB basis 9</v>
          </cell>
          <cell r="C9081" t="str">
            <v>_BRS_GOLD__5_EQ:BRS_GOLD__1_EQX:BASIS_ST_9</v>
          </cell>
          <cell r="F9081" t="str">
            <v>EQ-Equity Implied Volatility</v>
          </cell>
          <cell r="G9081" t="str">
            <v>EQ-Other</v>
          </cell>
          <cell r="H9081" t="str">
            <v>EQ_INDICES</v>
          </cell>
          <cell r="I9081" t="str">
            <v>Equity Implied Volatility</v>
          </cell>
        </row>
        <row r="9082">
          <cell r="A9082" t="str">
            <v>BASIS_ST_10</v>
          </cell>
          <cell r="B9082" t="str">
            <v>FTSE MIB basis 10</v>
          </cell>
          <cell r="C9082" t="str">
            <v>_BRS_GOLD__5_EQ:BRS_GOLD__1_EQX:BASIS_ST_10</v>
          </cell>
          <cell r="F9082" t="str">
            <v>EQ-Equity Implied Volatility</v>
          </cell>
          <cell r="G9082" t="str">
            <v>EQ-Other</v>
          </cell>
          <cell r="H9082" t="str">
            <v>EQ_INDICES</v>
          </cell>
          <cell r="I9082" t="str">
            <v>Equity Implied Volatility</v>
          </cell>
        </row>
        <row r="9083">
          <cell r="A9083" t="str">
            <v>BASIS_ST_11</v>
          </cell>
          <cell r="B9083" t="str">
            <v>FTSE MIB basis 11</v>
          </cell>
          <cell r="C9083" t="str">
            <v>_BRS_GOLD__5_EQ:BRS_GOLD__1_EQX:BASIS_ST_11</v>
          </cell>
          <cell r="F9083" t="str">
            <v>EQ-Equity Implied Volatility</v>
          </cell>
          <cell r="G9083" t="str">
            <v>EQ-Other</v>
          </cell>
          <cell r="H9083" t="str">
            <v>EQ_INDICES</v>
          </cell>
          <cell r="I9083" t="str">
            <v>Equity Implied Volatility</v>
          </cell>
        </row>
        <row r="9084">
          <cell r="A9084" t="str">
            <v>BASIS_ST_12</v>
          </cell>
          <cell r="B9084" t="str">
            <v>FTSE MIB basis 12</v>
          </cell>
          <cell r="C9084" t="str">
            <v>_BRS_GOLD__5_EQ:BRS_GOLD__1_EQX:BASIS_ST_12</v>
          </cell>
          <cell r="F9084" t="str">
            <v>EQ-Equity Implied Volatility</v>
          </cell>
          <cell r="G9084" t="str">
            <v>EQ-Other</v>
          </cell>
          <cell r="H9084" t="str">
            <v>EQ_INDICES</v>
          </cell>
          <cell r="I9084" t="str">
            <v>Equity Implied Volatility</v>
          </cell>
        </row>
        <row r="9085">
          <cell r="A9085" t="str">
            <v>BASIS_SXT_1</v>
          </cell>
          <cell r="B9085" t="str">
            <v>STOXX SMALL 200 basis 1</v>
          </cell>
          <cell r="C9085" t="str">
            <v>_BRS_GOLD__5_EQ:BRS_GOLD__1_EQX:BASIS_SXT_1</v>
          </cell>
          <cell r="F9085" t="str">
            <v>EQ-Equity Implied Volatility</v>
          </cell>
          <cell r="G9085" t="str">
            <v>EQ-Other</v>
          </cell>
          <cell r="H9085" t="str">
            <v>EQ_INDICES</v>
          </cell>
          <cell r="I9085" t="str">
            <v>Equity Implied Volatility</v>
          </cell>
        </row>
        <row r="9086">
          <cell r="A9086" t="str">
            <v>BASIS_SXT_2</v>
          </cell>
          <cell r="B9086" t="str">
            <v>STOXX SMALL 200 basis 2</v>
          </cell>
          <cell r="C9086" t="str">
            <v>_BRS_GOLD__5_EQ:BRS_GOLD__1_EQX:BASIS_SXT_2</v>
          </cell>
          <cell r="F9086" t="str">
            <v>EQ-Equity Implied Volatility</v>
          </cell>
          <cell r="G9086" t="str">
            <v>EQ-Other</v>
          </cell>
          <cell r="H9086" t="str">
            <v>EQ_INDICES</v>
          </cell>
          <cell r="I9086" t="str">
            <v>Equity Implied Volatility</v>
          </cell>
        </row>
        <row r="9087">
          <cell r="A9087" t="str">
            <v>BASIS_SXT_3</v>
          </cell>
          <cell r="B9087" t="str">
            <v>STOXX SMALL 200 basis 3</v>
          </cell>
          <cell r="C9087" t="str">
            <v>_BRS_GOLD__5_EQ:BRS_GOLD__1_EQX:BASIS_SXT_3</v>
          </cell>
          <cell r="F9087" t="str">
            <v>EQ-Equity Implied Volatility</v>
          </cell>
          <cell r="G9087" t="str">
            <v>EQ-Other</v>
          </cell>
          <cell r="H9087" t="str">
            <v>EQ_INDICES</v>
          </cell>
          <cell r="I9087" t="str">
            <v>Equity Implied Volatility</v>
          </cell>
        </row>
        <row r="9088">
          <cell r="A9088" t="str">
            <v>BASIS_SXT_4</v>
          </cell>
          <cell r="B9088" t="str">
            <v>STOXX SMALL 200 basis 4</v>
          </cell>
          <cell r="C9088" t="str">
            <v>_BRS_GOLD__5_EQ:BRS_GOLD__1_EQX:BASIS_SXT_4</v>
          </cell>
          <cell r="F9088" t="str">
            <v>EQ-Equity Implied Volatility</v>
          </cell>
          <cell r="G9088" t="str">
            <v>EQ-Other</v>
          </cell>
          <cell r="H9088" t="str">
            <v>EQ_INDICES</v>
          </cell>
          <cell r="I9088" t="str">
            <v>Equity Implied Volatility</v>
          </cell>
        </row>
        <row r="9089">
          <cell r="A9089" t="str">
            <v>BASIS_SXT_5</v>
          </cell>
          <cell r="B9089" t="str">
            <v>STOXX SMALL 200 basis 5</v>
          </cell>
          <cell r="C9089" t="str">
            <v>_BRS_GOLD__5_EQ:BRS_GOLD__1_EQX:BASIS_SXT_5</v>
          </cell>
          <cell r="F9089" t="str">
            <v>EQ-Equity Implied Volatility</v>
          </cell>
          <cell r="G9089" t="str">
            <v>EQ-Other</v>
          </cell>
          <cell r="H9089" t="str">
            <v>EQ_INDICES</v>
          </cell>
          <cell r="I9089" t="str">
            <v>Equity Implied Volatility</v>
          </cell>
        </row>
        <row r="9090">
          <cell r="A9090" t="str">
            <v>BASIS_SXT_6</v>
          </cell>
          <cell r="B9090" t="str">
            <v>STOXX SMALL 200 basis 6</v>
          </cell>
          <cell r="C9090" t="str">
            <v>_BRS_GOLD__5_EQ:BRS_GOLD__1_EQX:BASIS_SXT_6</v>
          </cell>
          <cell r="F9090" t="str">
            <v>EQ-Equity Implied Volatility</v>
          </cell>
          <cell r="G9090" t="str">
            <v>EQ-Other</v>
          </cell>
          <cell r="H9090" t="str">
            <v>EQ_INDICES</v>
          </cell>
          <cell r="I9090" t="str">
            <v>Equity Implied Volatility</v>
          </cell>
        </row>
        <row r="9091">
          <cell r="A9091" t="str">
            <v>BASIS_SXT_7</v>
          </cell>
          <cell r="B9091" t="str">
            <v>STOXX SMALL 200 basis 7</v>
          </cell>
          <cell r="C9091" t="str">
            <v>_BRS_GOLD__5_EQ:BRS_GOLD__1_EQX:BASIS_SXT_7</v>
          </cell>
          <cell r="F9091" t="str">
            <v>EQ-Equity Implied Volatility</v>
          </cell>
          <cell r="G9091" t="str">
            <v>EQ-Other</v>
          </cell>
          <cell r="H9091" t="str">
            <v>EQ_INDICES</v>
          </cell>
          <cell r="I9091" t="str">
            <v>Equity Implied Volatility</v>
          </cell>
        </row>
        <row r="9092">
          <cell r="A9092" t="str">
            <v>BASIS_SXT_8</v>
          </cell>
          <cell r="B9092" t="str">
            <v>STOXX SMALL 200 basis 8</v>
          </cell>
          <cell r="C9092" t="str">
            <v>_BRS_GOLD__5_EQ:BRS_GOLD__1_EQX:BASIS_SXT_8</v>
          </cell>
          <cell r="F9092" t="str">
            <v>EQ-Equity Implied Volatility</v>
          </cell>
          <cell r="G9092" t="str">
            <v>EQ-Other</v>
          </cell>
          <cell r="H9092" t="str">
            <v>EQ_INDICES</v>
          </cell>
          <cell r="I9092" t="str">
            <v>Equity Implied Volatility</v>
          </cell>
        </row>
        <row r="9093">
          <cell r="A9093" t="str">
            <v>BASIS_SXT_9</v>
          </cell>
          <cell r="B9093" t="str">
            <v>STOXX SMALL 200 basis 9</v>
          </cell>
          <cell r="C9093" t="str">
            <v>_BRS_GOLD__5_EQ:BRS_GOLD__1_EQX:BASIS_SXT_9</v>
          </cell>
          <cell r="F9093" t="str">
            <v>EQ-Equity Implied Volatility</v>
          </cell>
          <cell r="G9093" t="str">
            <v>EQ-Other</v>
          </cell>
          <cell r="H9093" t="str">
            <v>EQ_INDICES</v>
          </cell>
          <cell r="I9093" t="str">
            <v>Equity Implied Volatility</v>
          </cell>
        </row>
        <row r="9094">
          <cell r="A9094" t="str">
            <v>BASIS_SXT_10</v>
          </cell>
          <cell r="B9094" t="str">
            <v>STOXX SMALL 200 basis 10</v>
          </cell>
          <cell r="C9094" t="str">
            <v>_BRS_GOLD__5_EQ:BRS_GOLD__1_EQX:BASIS_SXT_10</v>
          </cell>
          <cell r="F9094" t="str">
            <v>EQ-Equity Implied Volatility</v>
          </cell>
          <cell r="G9094" t="str">
            <v>EQ-Other</v>
          </cell>
          <cell r="H9094" t="str">
            <v>EQ_INDICES</v>
          </cell>
          <cell r="I9094" t="str">
            <v>Equity Implied Volatility</v>
          </cell>
        </row>
        <row r="9095">
          <cell r="A9095" t="str">
            <v>BASIS_SXT_11</v>
          </cell>
          <cell r="B9095" t="str">
            <v>STOXX SMALL 200 basis 11</v>
          </cell>
          <cell r="C9095" t="str">
            <v>_BRS_GOLD__5_EQ:BRS_GOLD__1_EQX:BASIS_SXT_11</v>
          </cell>
          <cell r="F9095" t="str">
            <v>EQ-Equity Implied Volatility</v>
          </cell>
          <cell r="G9095" t="str">
            <v>EQ-Other</v>
          </cell>
          <cell r="H9095" t="str">
            <v>EQ_INDICES</v>
          </cell>
          <cell r="I9095" t="str">
            <v>Equity Implied Volatility</v>
          </cell>
        </row>
        <row r="9096">
          <cell r="A9096" t="str">
            <v>BASIS_SXT_12</v>
          </cell>
          <cell r="B9096" t="str">
            <v>STOXX SMALL 200 basis 12</v>
          </cell>
          <cell r="C9096" t="str">
            <v>_BRS_GOLD__5_EQ:BRS_GOLD__1_EQX:BASIS_SXT_12</v>
          </cell>
          <cell r="F9096" t="str">
            <v>EQ-Equity Implied Volatility</v>
          </cell>
          <cell r="G9096" t="str">
            <v>EQ-Other</v>
          </cell>
          <cell r="H9096" t="str">
            <v>EQ_INDICES</v>
          </cell>
          <cell r="I9096" t="str">
            <v>Equity Implied Volatility</v>
          </cell>
        </row>
        <row r="9097">
          <cell r="A9097" t="str">
            <v>BASIS_TP_1</v>
          </cell>
          <cell r="B9097" t="str">
            <v>TOPIX basis 1</v>
          </cell>
          <cell r="C9097" t="str">
            <v>_BRS_GOLD__5_EQ:BRS_GOLD__1_EQX:BASIS_TP_1</v>
          </cell>
          <cell r="F9097" t="str">
            <v>EQ-Equity Implied Volatility</v>
          </cell>
          <cell r="G9097" t="str">
            <v>EQ-Other</v>
          </cell>
          <cell r="H9097" t="str">
            <v>EQ_INDICES</v>
          </cell>
          <cell r="I9097" t="str">
            <v>Equity Implied Volatility</v>
          </cell>
        </row>
        <row r="9098">
          <cell r="A9098" t="str">
            <v>BASIS_TP_2</v>
          </cell>
          <cell r="B9098" t="str">
            <v>TOPIX basis 2</v>
          </cell>
          <cell r="C9098" t="str">
            <v>_BRS_GOLD__5_EQ:BRS_GOLD__1_EQX:BASIS_TP_2</v>
          </cell>
          <cell r="F9098" t="str">
            <v>EQ-Equity Implied Volatility</v>
          </cell>
          <cell r="G9098" t="str">
            <v>EQ-Other</v>
          </cell>
          <cell r="H9098" t="str">
            <v>EQ_INDICES</v>
          </cell>
          <cell r="I9098" t="str">
            <v>Equity Implied Volatility</v>
          </cell>
        </row>
        <row r="9099">
          <cell r="A9099" t="str">
            <v>BASIS_TP_3</v>
          </cell>
          <cell r="B9099" t="str">
            <v>TOPIX basis 3</v>
          </cell>
          <cell r="C9099" t="str">
            <v>_BRS_GOLD__5_EQ:BRS_GOLD__1_EQX:BASIS_TP_3</v>
          </cell>
          <cell r="F9099" t="str">
            <v>EQ-Equity Implied Volatility</v>
          </cell>
          <cell r="G9099" t="str">
            <v>EQ-Other</v>
          </cell>
          <cell r="H9099" t="str">
            <v>EQ_INDICES</v>
          </cell>
          <cell r="I9099" t="str">
            <v>Equity Implied Volatility</v>
          </cell>
        </row>
        <row r="9100">
          <cell r="A9100" t="str">
            <v>BASIS_TP_4</v>
          </cell>
          <cell r="B9100" t="str">
            <v>TOPIX basis 4</v>
          </cell>
          <cell r="C9100" t="str">
            <v>_BRS_GOLD__5_EQ:BRS_GOLD__1_EQX:BASIS_TP_4</v>
          </cell>
          <cell r="F9100" t="str">
            <v>EQ-Equity Implied Volatility</v>
          </cell>
          <cell r="G9100" t="str">
            <v>EQ-Other</v>
          </cell>
          <cell r="H9100" t="str">
            <v>EQ_INDICES</v>
          </cell>
          <cell r="I9100" t="str">
            <v>Equity Implied Volatility</v>
          </cell>
        </row>
        <row r="9101">
          <cell r="A9101" t="str">
            <v>BASIS_TP_5</v>
          </cell>
          <cell r="B9101" t="str">
            <v>TOPIX basis 5</v>
          </cell>
          <cell r="C9101" t="str">
            <v>_BRS_GOLD__5_EQ:BRS_GOLD__1_EQX:BASIS_TP_5</v>
          </cell>
          <cell r="F9101" t="str">
            <v>EQ-Equity Implied Volatility</v>
          </cell>
          <cell r="G9101" t="str">
            <v>EQ-Other</v>
          </cell>
          <cell r="H9101" t="str">
            <v>EQ_INDICES</v>
          </cell>
          <cell r="I9101" t="str">
            <v>Equity Implied Volatility</v>
          </cell>
        </row>
        <row r="9102">
          <cell r="A9102" t="str">
            <v>BASIS_TP_6</v>
          </cell>
          <cell r="B9102" t="str">
            <v>TOPIX basis 6</v>
          </cell>
          <cell r="C9102" t="str">
            <v>_BRS_GOLD__5_EQ:BRS_GOLD__1_EQX:BASIS_TP_6</v>
          </cell>
          <cell r="F9102" t="str">
            <v>EQ-Equity Implied Volatility</v>
          </cell>
          <cell r="G9102" t="str">
            <v>EQ-Other</v>
          </cell>
          <cell r="H9102" t="str">
            <v>EQ_INDICES</v>
          </cell>
          <cell r="I9102" t="str">
            <v>Equity Implied Volatility</v>
          </cell>
        </row>
        <row r="9103">
          <cell r="A9103" t="str">
            <v>BASIS_TP_7</v>
          </cell>
          <cell r="B9103" t="str">
            <v>TOPIX basis 7</v>
          </cell>
          <cell r="C9103" t="str">
            <v>_BRS_GOLD__5_EQ:BRS_GOLD__1_EQX:BASIS_TP_7</v>
          </cell>
          <cell r="F9103" t="str">
            <v>EQ-Equity Implied Volatility</v>
          </cell>
          <cell r="G9103" t="str">
            <v>EQ-Other</v>
          </cell>
          <cell r="H9103" t="str">
            <v>EQ_INDICES</v>
          </cell>
          <cell r="I9103" t="str">
            <v>Equity Implied Volatility</v>
          </cell>
        </row>
        <row r="9104">
          <cell r="A9104" t="str">
            <v>BASIS_TP_8</v>
          </cell>
          <cell r="B9104" t="str">
            <v>TOPIX basis 8</v>
          </cell>
          <cell r="C9104" t="str">
            <v>_BRS_GOLD__5_EQ:BRS_GOLD__1_EQX:BASIS_TP_8</v>
          </cell>
          <cell r="F9104" t="str">
            <v>EQ-Equity Implied Volatility</v>
          </cell>
          <cell r="G9104" t="str">
            <v>EQ-Other</v>
          </cell>
          <cell r="H9104" t="str">
            <v>EQ_INDICES</v>
          </cell>
          <cell r="I9104" t="str">
            <v>Equity Implied Volatility</v>
          </cell>
        </row>
        <row r="9105">
          <cell r="A9105" t="str">
            <v>BASIS_TP_9</v>
          </cell>
          <cell r="B9105" t="str">
            <v>TOPIX basis 9</v>
          </cell>
          <cell r="C9105" t="str">
            <v>_BRS_GOLD__5_EQ:BRS_GOLD__1_EQX:BASIS_TP_9</v>
          </cell>
          <cell r="F9105" t="str">
            <v>EQ-Equity Implied Volatility</v>
          </cell>
          <cell r="G9105" t="str">
            <v>EQ-Other</v>
          </cell>
          <cell r="H9105" t="str">
            <v>EQ_INDICES</v>
          </cell>
          <cell r="I9105" t="str">
            <v>Equity Implied Volatility</v>
          </cell>
        </row>
        <row r="9106">
          <cell r="A9106" t="str">
            <v>BASIS_TP_10</v>
          </cell>
          <cell r="B9106" t="str">
            <v>TOPIX basis 10</v>
          </cell>
          <cell r="C9106" t="str">
            <v>_BRS_GOLD__5_EQ:BRS_GOLD__1_EQX:BASIS_TP_10</v>
          </cell>
          <cell r="F9106" t="str">
            <v>EQ-Equity Implied Volatility</v>
          </cell>
          <cell r="G9106" t="str">
            <v>EQ-Other</v>
          </cell>
          <cell r="H9106" t="str">
            <v>EQ_INDICES</v>
          </cell>
          <cell r="I9106" t="str">
            <v>Equity Implied Volatility</v>
          </cell>
        </row>
        <row r="9107">
          <cell r="A9107" t="str">
            <v>BASIS_TP_11</v>
          </cell>
          <cell r="B9107" t="str">
            <v>TOPIX basis 11</v>
          </cell>
          <cell r="C9107" t="str">
            <v>_BRS_GOLD__5_EQ:BRS_GOLD__1_EQX:BASIS_TP_11</v>
          </cell>
          <cell r="F9107" t="str">
            <v>EQ-Equity Implied Volatility</v>
          </cell>
          <cell r="G9107" t="str">
            <v>EQ-Other</v>
          </cell>
          <cell r="H9107" t="str">
            <v>EQ_INDICES</v>
          </cell>
          <cell r="I9107" t="str">
            <v>Equity Implied Volatility</v>
          </cell>
        </row>
        <row r="9108">
          <cell r="A9108" t="str">
            <v>BASIS_TP_12</v>
          </cell>
          <cell r="B9108" t="str">
            <v>TOPIX basis 12</v>
          </cell>
          <cell r="C9108" t="str">
            <v>_BRS_GOLD__5_EQ:BRS_GOLD__1_EQX:BASIS_TP_12</v>
          </cell>
          <cell r="F9108" t="str">
            <v>EQ-Equity Implied Volatility</v>
          </cell>
          <cell r="G9108" t="str">
            <v>EQ-Other</v>
          </cell>
          <cell r="H9108" t="str">
            <v>EQ_INDICES</v>
          </cell>
          <cell r="I9108" t="str">
            <v>Equity Implied Volatility</v>
          </cell>
        </row>
        <row r="9109">
          <cell r="A9109" t="str">
            <v>BASIS_VG_1</v>
          </cell>
          <cell r="B9109" t="str">
            <v>STOXX EUROZONE 50 basis 1</v>
          </cell>
          <cell r="C9109" t="str">
            <v>_BRS_GOLD__5_EQ:BRS_GOLD__1_EQX:BASIS_VG_1</v>
          </cell>
          <cell r="F9109" t="str">
            <v>EQ-Equity Implied Volatility</v>
          </cell>
          <cell r="G9109" t="str">
            <v>EQ-Other</v>
          </cell>
          <cell r="H9109" t="str">
            <v>EQ_INDICES</v>
          </cell>
          <cell r="I9109" t="str">
            <v>Equity Implied Volatility</v>
          </cell>
        </row>
        <row r="9110">
          <cell r="A9110" t="str">
            <v>BASIS_VG_2</v>
          </cell>
          <cell r="B9110" t="str">
            <v>STOXX EUROZONE 50 basis 2</v>
          </cell>
          <cell r="C9110" t="str">
            <v>_BRS_GOLD__5_EQ:BRS_GOLD__1_EQX:BASIS_VG_2</v>
          </cell>
          <cell r="F9110" t="str">
            <v>EQ-Equity Implied Volatility</v>
          </cell>
          <cell r="G9110" t="str">
            <v>EQ-Other</v>
          </cell>
          <cell r="H9110" t="str">
            <v>EQ_INDICES</v>
          </cell>
          <cell r="I9110" t="str">
            <v>Equity Implied Volatility</v>
          </cell>
        </row>
        <row r="9111">
          <cell r="A9111" t="str">
            <v>BASIS_VG_3</v>
          </cell>
          <cell r="B9111" t="str">
            <v>STOXX EUROZONE 50 basis 3</v>
          </cell>
          <cell r="C9111" t="str">
            <v>_BRS_GOLD__5_EQ:BRS_GOLD__1_EQX:BASIS_VG_3</v>
          </cell>
          <cell r="F9111" t="str">
            <v>EQ-Equity Implied Volatility</v>
          </cell>
          <cell r="G9111" t="str">
            <v>EQ-Other</v>
          </cell>
          <cell r="H9111" t="str">
            <v>EQ_INDICES</v>
          </cell>
          <cell r="I9111" t="str">
            <v>Equity Implied Volatility</v>
          </cell>
        </row>
        <row r="9112">
          <cell r="A9112" t="str">
            <v>BASIS_VG_4</v>
          </cell>
          <cell r="B9112" t="str">
            <v>STOXX EUROZONE 50 basis 4</v>
          </cell>
          <cell r="C9112" t="str">
            <v>_BRS_GOLD__5_EQ:BRS_GOLD__1_EQX:BASIS_VG_4</v>
          </cell>
          <cell r="F9112" t="str">
            <v>EQ-Equity Implied Volatility</v>
          </cell>
          <cell r="G9112" t="str">
            <v>EQ-Other</v>
          </cell>
          <cell r="H9112" t="str">
            <v>EQ_INDICES</v>
          </cell>
          <cell r="I9112" t="str">
            <v>Equity Implied Volatility</v>
          </cell>
        </row>
        <row r="9113">
          <cell r="A9113" t="str">
            <v>BASIS_VG_5</v>
          </cell>
          <cell r="B9113" t="str">
            <v>STOXX EUROZONE 50 basis 5</v>
          </cell>
          <cell r="C9113" t="str">
            <v>_BRS_GOLD__5_EQ:BRS_GOLD__1_EQX:BASIS_VG_5</v>
          </cell>
          <cell r="F9113" t="str">
            <v>EQ-Equity Implied Volatility</v>
          </cell>
          <cell r="G9113" t="str">
            <v>EQ-Other</v>
          </cell>
          <cell r="H9113" t="str">
            <v>EQ_INDICES</v>
          </cell>
          <cell r="I9113" t="str">
            <v>Equity Implied Volatility</v>
          </cell>
        </row>
        <row r="9114">
          <cell r="A9114" t="str">
            <v>BASIS_VG_6</v>
          </cell>
          <cell r="B9114" t="str">
            <v>STOXX EUROZONE 50 basis 6</v>
          </cell>
          <cell r="C9114" t="str">
            <v>_BRS_GOLD__5_EQ:BRS_GOLD__1_EQX:BASIS_VG_6</v>
          </cell>
          <cell r="F9114" t="str">
            <v>EQ-Equity Implied Volatility</v>
          </cell>
          <cell r="G9114" t="str">
            <v>EQ-Other</v>
          </cell>
          <cell r="H9114" t="str">
            <v>EQ_INDICES</v>
          </cell>
          <cell r="I9114" t="str">
            <v>Equity Implied Volatility</v>
          </cell>
        </row>
        <row r="9115">
          <cell r="A9115" t="str">
            <v>BASIS_VG_7</v>
          </cell>
          <cell r="B9115" t="str">
            <v>STOXX EUROZONE 50 basis 7</v>
          </cell>
          <cell r="C9115" t="str">
            <v>_BRS_GOLD__5_EQ:BRS_GOLD__1_EQX:BASIS_VG_7</v>
          </cell>
          <cell r="F9115" t="str">
            <v>EQ-Equity Implied Volatility</v>
          </cell>
          <cell r="G9115" t="str">
            <v>EQ-Other</v>
          </cell>
          <cell r="H9115" t="str">
            <v>EQ_INDICES</v>
          </cell>
          <cell r="I9115" t="str">
            <v>Equity Implied Volatility</v>
          </cell>
        </row>
        <row r="9116">
          <cell r="A9116" t="str">
            <v>BASIS_VG_8</v>
          </cell>
          <cell r="B9116" t="str">
            <v>STOXX EUROZONE 50 basis 8</v>
          </cell>
          <cell r="C9116" t="str">
            <v>_BRS_GOLD__5_EQ:BRS_GOLD__1_EQX:BASIS_VG_8</v>
          </cell>
          <cell r="F9116" t="str">
            <v>EQ-Equity Implied Volatility</v>
          </cell>
          <cell r="G9116" t="str">
            <v>EQ-Other</v>
          </cell>
          <cell r="H9116" t="str">
            <v>EQ_INDICES</v>
          </cell>
          <cell r="I9116" t="str">
            <v>Equity Implied Volatility</v>
          </cell>
        </row>
        <row r="9117">
          <cell r="A9117" t="str">
            <v>BASIS_VG_9</v>
          </cell>
          <cell r="B9117" t="str">
            <v>STOXX EUROZONE 50 basis 9</v>
          </cell>
          <cell r="C9117" t="str">
            <v>_BRS_GOLD__5_EQ:BRS_GOLD__1_EQX:BASIS_VG_9</v>
          </cell>
          <cell r="F9117" t="str">
            <v>EQ-Equity Implied Volatility</v>
          </cell>
          <cell r="G9117" t="str">
            <v>EQ-Other</v>
          </cell>
          <cell r="H9117" t="str">
            <v>EQ_INDICES</v>
          </cell>
          <cell r="I9117" t="str">
            <v>Equity Implied Volatility</v>
          </cell>
        </row>
        <row r="9118">
          <cell r="A9118" t="str">
            <v>BASIS_VG_10</v>
          </cell>
          <cell r="B9118" t="str">
            <v>STOXX EUROZONE 50 basis 10</v>
          </cell>
          <cell r="C9118" t="str">
            <v>_BRS_GOLD__5_EQ:BRS_GOLD__1_EQX:BASIS_VG_10</v>
          </cell>
          <cell r="F9118" t="str">
            <v>EQ-Equity Implied Volatility</v>
          </cell>
          <cell r="G9118" t="str">
            <v>EQ-Other</v>
          </cell>
          <cell r="H9118" t="str">
            <v>EQ_INDICES</v>
          </cell>
          <cell r="I9118" t="str">
            <v>Equity Implied Volatility</v>
          </cell>
        </row>
        <row r="9119">
          <cell r="A9119" t="str">
            <v>BASIS_VG_11</v>
          </cell>
          <cell r="B9119" t="str">
            <v>STOXX EUROZONE 50 basis 11</v>
          </cell>
          <cell r="C9119" t="str">
            <v>_BRS_GOLD__5_EQ:BRS_GOLD__1_EQX:BASIS_VG_11</v>
          </cell>
          <cell r="F9119" t="str">
            <v>EQ-Equity Implied Volatility</v>
          </cell>
          <cell r="G9119" t="str">
            <v>EQ-Other</v>
          </cell>
          <cell r="H9119" t="str">
            <v>EQ_INDICES</v>
          </cell>
          <cell r="I9119" t="str">
            <v>Equity Implied Volatility</v>
          </cell>
        </row>
        <row r="9120">
          <cell r="A9120" t="str">
            <v>BASIS_VG_12</v>
          </cell>
          <cell r="B9120" t="str">
            <v>STOXX EUROZONE 50 basis 12</v>
          </cell>
          <cell r="C9120" t="str">
            <v>_BRS_GOLD__5_EQ:BRS_GOLD__1_EQX:BASIS_VG_12</v>
          </cell>
          <cell r="F9120" t="str">
            <v>EQ-Equity Implied Volatility</v>
          </cell>
          <cell r="G9120" t="str">
            <v>EQ-Other</v>
          </cell>
          <cell r="H9120" t="str">
            <v>EQ_INDICES</v>
          </cell>
          <cell r="I9120" t="str">
            <v>Equity Implied Volatility</v>
          </cell>
        </row>
        <row r="9121">
          <cell r="A9121" t="str">
            <v>BASIS_XP_1</v>
          </cell>
          <cell r="B9121" t="str">
            <v>S&amp;P AUSTRALIA 200 basis 1</v>
          </cell>
          <cell r="C9121" t="str">
            <v>_BRS_GOLD__5_EQ:BRS_GOLD__1_EQX:BASIS_XP_1</v>
          </cell>
          <cell r="F9121" t="str">
            <v>EQ-Equity Implied Volatility</v>
          </cell>
          <cell r="G9121" t="str">
            <v>EQ-Other</v>
          </cell>
          <cell r="H9121" t="str">
            <v>EQ_INDICES</v>
          </cell>
          <cell r="I9121" t="str">
            <v>Equity Implied Volatility</v>
          </cell>
        </row>
        <row r="9122">
          <cell r="A9122" t="str">
            <v>BASIS_XP_2</v>
          </cell>
          <cell r="B9122" t="str">
            <v>S&amp;P AUSTRALIA 200 basis 2</v>
          </cell>
          <cell r="C9122" t="str">
            <v>_BRS_GOLD__5_EQ:BRS_GOLD__1_EQX:BASIS_XP_2</v>
          </cell>
          <cell r="F9122" t="str">
            <v>EQ-Equity Implied Volatility</v>
          </cell>
          <cell r="G9122" t="str">
            <v>EQ-Other</v>
          </cell>
          <cell r="H9122" t="str">
            <v>EQ_INDICES</v>
          </cell>
          <cell r="I9122" t="str">
            <v>Equity Implied Volatility</v>
          </cell>
        </row>
        <row r="9123">
          <cell r="A9123" t="str">
            <v>BASIS_XP_3</v>
          </cell>
          <cell r="B9123" t="str">
            <v>S&amp;P AUSTRALIA 200 basis 3</v>
          </cell>
          <cell r="C9123" t="str">
            <v>_BRS_GOLD__5_EQ:BRS_GOLD__1_EQX:BASIS_XP_3</v>
          </cell>
          <cell r="F9123" t="str">
            <v>EQ-Equity Implied Volatility</v>
          </cell>
          <cell r="G9123" t="str">
            <v>EQ-Other</v>
          </cell>
          <cell r="H9123" t="str">
            <v>EQ_INDICES</v>
          </cell>
          <cell r="I9123" t="str">
            <v>Equity Implied Volatility</v>
          </cell>
        </row>
        <row r="9124">
          <cell r="A9124" t="str">
            <v>BASIS_XP_4</v>
          </cell>
          <cell r="B9124" t="str">
            <v>S&amp;P AUSTRALIA 200 basis 4</v>
          </cell>
          <cell r="C9124" t="str">
            <v>_BRS_GOLD__5_EQ:BRS_GOLD__1_EQX:BASIS_XP_4</v>
          </cell>
          <cell r="F9124" t="str">
            <v>EQ-Equity Implied Volatility</v>
          </cell>
          <cell r="G9124" t="str">
            <v>EQ-Other</v>
          </cell>
          <cell r="H9124" t="str">
            <v>EQ_INDICES</v>
          </cell>
          <cell r="I9124" t="str">
            <v>Equity Implied Volatility</v>
          </cell>
        </row>
        <row r="9125">
          <cell r="A9125" t="str">
            <v>BASIS_XP_5</v>
          </cell>
          <cell r="B9125" t="str">
            <v>S&amp;P AUSTRALIA 200 basis 5</v>
          </cell>
          <cell r="C9125" t="str">
            <v>_BRS_GOLD__5_EQ:BRS_GOLD__1_EQX:BASIS_XP_5</v>
          </cell>
          <cell r="F9125" t="str">
            <v>EQ-Equity Implied Volatility</v>
          </cell>
          <cell r="G9125" t="str">
            <v>EQ-Other</v>
          </cell>
          <cell r="H9125" t="str">
            <v>EQ_INDICES</v>
          </cell>
          <cell r="I9125" t="str">
            <v>Equity Implied Volatility</v>
          </cell>
        </row>
        <row r="9126">
          <cell r="A9126" t="str">
            <v>BASIS_XP_6</v>
          </cell>
          <cell r="B9126" t="str">
            <v>S&amp;P AUSTRALIA 200 basis 6</v>
          </cell>
          <cell r="C9126" t="str">
            <v>_BRS_GOLD__5_EQ:BRS_GOLD__1_EQX:BASIS_XP_6</v>
          </cell>
          <cell r="F9126" t="str">
            <v>EQ-Equity Implied Volatility</v>
          </cell>
          <cell r="G9126" t="str">
            <v>EQ-Other</v>
          </cell>
          <cell r="H9126" t="str">
            <v>EQ_INDICES</v>
          </cell>
          <cell r="I9126" t="str">
            <v>Equity Implied Volatility</v>
          </cell>
        </row>
        <row r="9127">
          <cell r="A9127" t="str">
            <v>BASIS_XP_7</v>
          </cell>
          <cell r="B9127" t="str">
            <v>S&amp;P AUSTRALIA 200 basis 7</v>
          </cell>
          <cell r="C9127" t="str">
            <v>_BRS_GOLD__5_EQ:BRS_GOLD__1_EQX:BASIS_XP_7</v>
          </cell>
          <cell r="F9127" t="str">
            <v>EQ-Equity Implied Volatility</v>
          </cell>
          <cell r="G9127" t="str">
            <v>EQ-Other</v>
          </cell>
          <cell r="H9127" t="str">
            <v>EQ_INDICES</v>
          </cell>
          <cell r="I9127" t="str">
            <v>Equity Implied Volatility</v>
          </cell>
        </row>
        <row r="9128">
          <cell r="A9128" t="str">
            <v>BASIS_XP_8</v>
          </cell>
          <cell r="B9128" t="str">
            <v>S&amp;P AUSTRALIA 200 basis 8</v>
          </cell>
          <cell r="C9128" t="str">
            <v>_BRS_GOLD__5_EQ:BRS_GOLD__1_EQX:BASIS_XP_8</v>
          </cell>
          <cell r="F9128" t="str">
            <v>EQ-Equity Implied Volatility</v>
          </cell>
          <cell r="G9128" t="str">
            <v>EQ-Other</v>
          </cell>
          <cell r="H9128" t="str">
            <v>EQ_INDICES</v>
          </cell>
          <cell r="I9128" t="str">
            <v>Equity Implied Volatility</v>
          </cell>
        </row>
        <row r="9129">
          <cell r="A9129" t="str">
            <v>BASIS_XP_9</v>
          </cell>
          <cell r="B9129" t="str">
            <v>S&amp;P AUSTRALIA 200 basis 9</v>
          </cell>
          <cell r="C9129" t="str">
            <v>_BRS_GOLD__5_EQ:BRS_GOLD__1_EQX:BASIS_XP_9</v>
          </cell>
          <cell r="F9129" t="str">
            <v>EQ-Equity Implied Volatility</v>
          </cell>
          <cell r="G9129" t="str">
            <v>EQ-Other</v>
          </cell>
          <cell r="H9129" t="str">
            <v>EQ_INDICES</v>
          </cell>
          <cell r="I9129" t="str">
            <v>Equity Implied Volatility</v>
          </cell>
        </row>
        <row r="9130">
          <cell r="A9130" t="str">
            <v>BASIS_XP_10</v>
          </cell>
          <cell r="B9130" t="str">
            <v>S&amp;P AUSTRALIA 200 basis 10</v>
          </cell>
          <cell r="C9130" t="str">
            <v>_BRS_GOLD__5_EQ:BRS_GOLD__1_EQX:BASIS_XP_10</v>
          </cell>
          <cell r="F9130" t="str">
            <v>EQ-Equity Implied Volatility</v>
          </cell>
          <cell r="G9130" t="str">
            <v>EQ-Other</v>
          </cell>
          <cell r="H9130" t="str">
            <v>EQ_INDICES</v>
          </cell>
          <cell r="I9130" t="str">
            <v>Equity Implied Volatility</v>
          </cell>
        </row>
        <row r="9131">
          <cell r="A9131" t="str">
            <v>BASIS_XP_11</v>
          </cell>
          <cell r="B9131" t="str">
            <v>S&amp;P AUSTRALIA 200 basis 11</v>
          </cell>
          <cell r="C9131" t="str">
            <v>_BRS_GOLD__5_EQ:BRS_GOLD__1_EQX:BASIS_XP_11</v>
          </cell>
          <cell r="F9131" t="str">
            <v>EQ-Equity Implied Volatility</v>
          </cell>
          <cell r="G9131" t="str">
            <v>EQ-Other</v>
          </cell>
          <cell r="H9131" t="str">
            <v>EQ_INDICES</v>
          </cell>
          <cell r="I9131" t="str">
            <v>Equity Implied Volatility</v>
          </cell>
        </row>
        <row r="9132">
          <cell r="A9132" t="str">
            <v>BASIS_XP_12</v>
          </cell>
          <cell r="B9132" t="str">
            <v>S&amp;P AUSTRALIA 200 basis 12</v>
          </cell>
          <cell r="C9132" t="str">
            <v>_BRS_GOLD__5_EQ:BRS_GOLD__1_EQX:BASIS_XP_12</v>
          </cell>
          <cell r="F9132" t="str">
            <v>EQ-Equity Implied Volatility</v>
          </cell>
          <cell r="G9132" t="str">
            <v>EQ-Other</v>
          </cell>
          <cell r="H9132" t="str">
            <v>EQ_INDICES</v>
          </cell>
          <cell r="I9132" t="str">
            <v>Equity Implied Volatility</v>
          </cell>
        </row>
        <row r="9133">
          <cell r="A9133" t="str">
            <v>BASIS_DP_1</v>
          </cell>
          <cell r="B9133" t="str">
            <v>TECDAX basis 1</v>
          </cell>
          <cell r="C9133" t="str">
            <v>_BRS_GOLD__5_EQ:BRS_GOLD__1_EQX:BASIS_DP_1</v>
          </cell>
          <cell r="F9133" t="str">
            <v>EQ-Equity Implied Volatility</v>
          </cell>
          <cell r="G9133" t="str">
            <v>EQ-Other</v>
          </cell>
          <cell r="H9133" t="str">
            <v>EQ_INDICES</v>
          </cell>
          <cell r="I9133" t="str">
            <v>Equity Implied Volatility</v>
          </cell>
        </row>
        <row r="9134">
          <cell r="A9134" t="str">
            <v>BASIS_DP_2</v>
          </cell>
          <cell r="B9134" t="str">
            <v>TECDAX basis 2</v>
          </cell>
          <cell r="C9134" t="str">
            <v>_BRS_GOLD__5_EQ:BRS_GOLD__1_EQX:BASIS_DP_2</v>
          </cell>
          <cell r="F9134" t="str">
            <v>EQ-Equity Implied Volatility</v>
          </cell>
          <cell r="G9134" t="str">
            <v>EQ-Other</v>
          </cell>
          <cell r="H9134" t="str">
            <v>EQ_INDICES</v>
          </cell>
          <cell r="I9134" t="str">
            <v>Equity Implied Volatility</v>
          </cell>
        </row>
        <row r="9135">
          <cell r="A9135" t="str">
            <v>BASIS_DP_3</v>
          </cell>
          <cell r="B9135" t="str">
            <v>TECDAX basis 3</v>
          </cell>
          <cell r="C9135" t="str">
            <v>_BRS_GOLD__5_EQ:BRS_GOLD__1_EQX:BASIS_DP_3</v>
          </cell>
          <cell r="F9135" t="str">
            <v>EQ-Equity Implied Volatility</v>
          </cell>
          <cell r="G9135" t="str">
            <v>EQ-Other</v>
          </cell>
          <cell r="H9135" t="str">
            <v>EQ_INDICES</v>
          </cell>
          <cell r="I9135" t="str">
            <v>Equity Implied Volatility</v>
          </cell>
        </row>
        <row r="9136">
          <cell r="A9136" t="str">
            <v>BASIS_DP_4</v>
          </cell>
          <cell r="B9136" t="str">
            <v>TECDAX basis 4</v>
          </cell>
          <cell r="C9136" t="str">
            <v>_BRS_GOLD__5_EQ:BRS_GOLD__1_EQX:BASIS_DP_4</v>
          </cell>
          <cell r="F9136" t="str">
            <v>EQ-Equity Implied Volatility</v>
          </cell>
          <cell r="G9136" t="str">
            <v>EQ-Other</v>
          </cell>
          <cell r="H9136" t="str">
            <v>EQ_INDICES</v>
          </cell>
          <cell r="I9136" t="str">
            <v>Equity Implied Volatility</v>
          </cell>
        </row>
        <row r="9137">
          <cell r="A9137" t="str">
            <v>BASIS_DP_5</v>
          </cell>
          <cell r="B9137" t="str">
            <v>TECDAX basis 5</v>
          </cell>
          <cell r="C9137" t="str">
            <v>_BRS_GOLD__5_EQ:BRS_GOLD__1_EQX:BASIS_DP_5</v>
          </cell>
          <cell r="F9137" t="str">
            <v>EQ-Equity Implied Volatility</v>
          </cell>
          <cell r="G9137" t="str">
            <v>EQ-Other</v>
          </cell>
          <cell r="H9137" t="str">
            <v>EQ_INDICES</v>
          </cell>
          <cell r="I9137" t="str">
            <v>Equity Implied Volatility</v>
          </cell>
        </row>
        <row r="9138">
          <cell r="A9138" t="str">
            <v>BASIS_DP_6</v>
          </cell>
          <cell r="B9138" t="str">
            <v>TECDAX basis 6</v>
          </cell>
          <cell r="C9138" t="str">
            <v>_BRS_GOLD__5_EQ:BRS_GOLD__1_EQX:BASIS_DP_6</v>
          </cell>
          <cell r="F9138" t="str">
            <v>EQ-Equity Implied Volatility</v>
          </cell>
          <cell r="G9138" t="str">
            <v>EQ-Other</v>
          </cell>
          <cell r="H9138" t="str">
            <v>EQ_INDICES</v>
          </cell>
          <cell r="I9138" t="str">
            <v>Equity Implied Volatility</v>
          </cell>
        </row>
        <row r="9139">
          <cell r="A9139" t="str">
            <v>BASIS_DP_7</v>
          </cell>
          <cell r="B9139" t="str">
            <v>TECDAX basis 7</v>
          </cell>
          <cell r="C9139" t="str">
            <v>_BRS_GOLD__5_EQ:BRS_GOLD__1_EQX:BASIS_DP_7</v>
          </cell>
          <cell r="F9139" t="str">
            <v>EQ-Equity Implied Volatility</v>
          </cell>
          <cell r="G9139" t="str">
            <v>EQ-Other</v>
          </cell>
          <cell r="H9139" t="str">
            <v>EQ_INDICES</v>
          </cell>
          <cell r="I9139" t="str">
            <v>Equity Implied Volatility</v>
          </cell>
        </row>
        <row r="9140">
          <cell r="A9140" t="str">
            <v>BASIS_DP_8</v>
          </cell>
          <cell r="B9140" t="str">
            <v>TECDAX basis 8</v>
          </cell>
          <cell r="C9140" t="str">
            <v>_BRS_GOLD__5_EQ:BRS_GOLD__1_EQX:BASIS_DP_8</v>
          </cell>
          <cell r="F9140" t="str">
            <v>EQ-Equity Implied Volatility</v>
          </cell>
          <cell r="G9140" t="str">
            <v>EQ-Other</v>
          </cell>
          <cell r="H9140" t="str">
            <v>EQ_INDICES</v>
          </cell>
          <cell r="I9140" t="str">
            <v>Equity Implied Volatility</v>
          </cell>
        </row>
        <row r="9141">
          <cell r="A9141" t="str">
            <v>BASIS_DP_9</v>
          </cell>
          <cell r="B9141" t="str">
            <v>TECDAX basis 9</v>
          </cell>
          <cell r="C9141" t="str">
            <v>_BRS_GOLD__5_EQ:BRS_GOLD__1_EQX:BASIS_DP_9</v>
          </cell>
          <cell r="F9141" t="str">
            <v>EQ-Equity Implied Volatility</v>
          </cell>
          <cell r="G9141" t="str">
            <v>EQ-Other</v>
          </cell>
          <cell r="H9141" t="str">
            <v>EQ_INDICES</v>
          </cell>
          <cell r="I9141" t="str">
            <v>Equity Implied Volatility</v>
          </cell>
        </row>
        <row r="9142">
          <cell r="A9142" t="str">
            <v>BASIS_DP_10</v>
          </cell>
          <cell r="B9142" t="str">
            <v>TECDAX basis 10</v>
          </cell>
          <cell r="C9142" t="str">
            <v>_BRS_GOLD__5_EQ:BRS_GOLD__1_EQX:BASIS_DP_10</v>
          </cell>
          <cell r="F9142" t="str">
            <v>EQ-Equity Implied Volatility</v>
          </cell>
          <cell r="G9142" t="str">
            <v>EQ-Other</v>
          </cell>
          <cell r="H9142" t="str">
            <v>EQ_INDICES</v>
          </cell>
          <cell r="I9142" t="str">
            <v>Equity Implied Volatility</v>
          </cell>
        </row>
        <row r="9143">
          <cell r="A9143" t="str">
            <v>BASIS_DP_11</v>
          </cell>
          <cell r="B9143" t="str">
            <v>TECDAX basis 11</v>
          </cell>
          <cell r="C9143" t="str">
            <v>_BRS_GOLD__5_EQ:BRS_GOLD__1_EQX:BASIS_DP_11</v>
          </cell>
          <cell r="F9143" t="str">
            <v>EQ-Equity Implied Volatility</v>
          </cell>
          <cell r="G9143" t="str">
            <v>EQ-Other</v>
          </cell>
          <cell r="H9143" t="str">
            <v>EQ_INDICES</v>
          </cell>
          <cell r="I9143" t="str">
            <v>Equity Implied Volatility</v>
          </cell>
        </row>
        <row r="9144">
          <cell r="A9144" t="str">
            <v>BASIS_DP_12</v>
          </cell>
          <cell r="B9144" t="str">
            <v>TECDAX basis 12</v>
          </cell>
          <cell r="C9144" t="str">
            <v>_BRS_GOLD__5_EQ:BRS_GOLD__1_EQX:BASIS_DP_12</v>
          </cell>
          <cell r="F9144" t="str">
            <v>EQ-Equity Implied Volatility</v>
          </cell>
          <cell r="G9144" t="str">
            <v>EQ-Other</v>
          </cell>
          <cell r="H9144" t="str">
            <v>EQ_INDICES</v>
          </cell>
          <cell r="I9144" t="str">
            <v>Equity Implied Volatility</v>
          </cell>
        </row>
        <row r="9145">
          <cell r="A9145" t="str">
            <v>BASIS_HC_1</v>
          </cell>
          <cell r="B9145" t="str">
            <v>HANG SENG CHINA basis 1</v>
          </cell>
          <cell r="C9145" t="str">
            <v>_BRS_GOLD__5_EQ:BRS_GOLD__1_EQX:BASIS_HC_1</v>
          </cell>
          <cell r="F9145" t="str">
            <v>EQ-Equity Implied Volatility</v>
          </cell>
          <cell r="G9145" t="str">
            <v>EQ-Other</v>
          </cell>
          <cell r="H9145" t="str">
            <v>EQ_INDICES</v>
          </cell>
          <cell r="I9145" t="str">
            <v>Equity Implied Volatility</v>
          </cell>
        </row>
        <row r="9146">
          <cell r="A9146" t="str">
            <v>BASIS_HC_2</v>
          </cell>
          <cell r="B9146" t="str">
            <v>HANG SENG CHINA basis 2</v>
          </cell>
          <cell r="C9146" t="str">
            <v>_BRS_GOLD__5_EQ:BRS_GOLD__1_EQX:BASIS_HC_2</v>
          </cell>
          <cell r="F9146" t="str">
            <v>EQ-Equity Implied Volatility</v>
          </cell>
          <cell r="G9146" t="str">
            <v>EQ-Other</v>
          </cell>
          <cell r="H9146" t="str">
            <v>EQ_INDICES</v>
          </cell>
          <cell r="I9146" t="str">
            <v>Equity Implied Volatility</v>
          </cell>
        </row>
        <row r="9147">
          <cell r="A9147" t="str">
            <v>BASIS_HC_3</v>
          </cell>
          <cell r="B9147" t="str">
            <v>HANG SENG CHINA basis 3</v>
          </cell>
          <cell r="C9147" t="str">
            <v>_BRS_GOLD__5_EQ:BRS_GOLD__1_EQX:BASIS_HC_3</v>
          </cell>
          <cell r="F9147" t="str">
            <v>EQ-Equity Implied Volatility</v>
          </cell>
          <cell r="G9147" t="str">
            <v>EQ-Other</v>
          </cell>
          <cell r="H9147" t="str">
            <v>EQ_INDICES</v>
          </cell>
          <cell r="I9147" t="str">
            <v>Equity Implied Volatility</v>
          </cell>
        </row>
        <row r="9148">
          <cell r="A9148" t="str">
            <v>BASIS_HC_4</v>
          </cell>
          <cell r="B9148" t="str">
            <v>HANG SENG CHINA basis 4</v>
          </cell>
          <cell r="C9148" t="str">
            <v>_BRS_GOLD__5_EQ:BRS_GOLD__1_EQX:BASIS_HC_4</v>
          </cell>
          <cell r="F9148" t="str">
            <v>EQ-Equity Implied Volatility</v>
          </cell>
          <cell r="G9148" t="str">
            <v>EQ-Other</v>
          </cell>
          <cell r="H9148" t="str">
            <v>EQ_INDICES</v>
          </cell>
          <cell r="I9148" t="str">
            <v>Equity Implied Volatility</v>
          </cell>
        </row>
        <row r="9149">
          <cell r="A9149" t="str">
            <v>BASIS_HC_5</v>
          </cell>
          <cell r="B9149" t="str">
            <v>HANG SENG CHINA basis 5</v>
          </cell>
          <cell r="C9149" t="str">
            <v>_BRS_GOLD__5_EQ:BRS_GOLD__1_EQX:BASIS_HC_5</v>
          </cell>
          <cell r="F9149" t="str">
            <v>EQ-Equity Implied Volatility</v>
          </cell>
          <cell r="G9149" t="str">
            <v>EQ-Other</v>
          </cell>
          <cell r="H9149" t="str">
            <v>EQ_INDICES</v>
          </cell>
          <cell r="I9149" t="str">
            <v>Equity Implied Volatility</v>
          </cell>
        </row>
        <row r="9150">
          <cell r="A9150" t="str">
            <v>BASIS_HC_6</v>
          </cell>
          <cell r="B9150" t="str">
            <v>HANG SENG CHINA basis 6</v>
          </cell>
          <cell r="C9150" t="str">
            <v>_BRS_GOLD__5_EQ:BRS_GOLD__1_EQX:BASIS_HC_6</v>
          </cell>
          <cell r="F9150" t="str">
            <v>EQ-Equity Implied Volatility</v>
          </cell>
          <cell r="G9150" t="str">
            <v>EQ-Other</v>
          </cell>
          <cell r="H9150" t="str">
            <v>EQ_INDICES</v>
          </cell>
          <cell r="I9150" t="str">
            <v>Equity Implied Volatility</v>
          </cell>
        </row>
        <row r="9151">
          <cell r="A9151" t="str">
            <v>BASIS_HC_7</v>
          </cell>
          <cell r="B9151" t="str">
            <v>HANG SENG CHINA basis 7</v>
          </cell>
          <cell r="C9151" t="str">
            <v>_BRS_GOLD__5_EQ:BRS_GOLD__1_EQX:BASIS_HC_7</v>
          </cell>
          <cell r="F9151" t="str">
            <v>EQ-Equity Implied Volatility</v>
          </cell>
          <cell r="G9151" t="str">
            <v>EQ-Other</v>
          </cell>
          <cell r="H9151" t="str">
            <v>EQ_INDICES</v>
          </cell>
          <cell r="I9151" t="str">
            <v>Equity Implied Volatility</v>
          </cell>
        </row>
        <row r="9152">
          <cell r="A9152" t="str">
            <v>BASIS_HC_8</v>
          </cell>
          <cell r="B9152" t="str">
            <v>HANG SENG CHINA basis 8</v>
          </cell>
          <cell r="C9152" t="str">
            <v>_BRS_GOLD__5_EQ:BRS_GOLD__1_EQX:BASIS_HC_8</v>
          </cell>
          <cell r="F9152" t="str">
            <v>EQ-Equity Implied Volatility</v>
          </cell>
          <cell r="G9152" t="str">
            <v>EQ-Other</v>
          </cell>
          <cell r="H9152" t="str">
            <v>EQ_INDICES</v>
          </cell>
          <cell r="I9152" t="str">
            <v>Equity Implied Volatility</v>
          </cell>
        </row>
        <row r="9153">
          <cell r="A9153" t="str">
            <v>BASIS_HC_9</v>
          </cell>
          <cell r="B9153" t="str">
            <v>HANG SENG CHINA basis 9</v>
          </cell>
          <cell r="C9153" t="str">
            <v>_BRS_GOLD__5_EQ:BRS_GOLD__1_EQX:BASIS_HC_9</v>
          </cell>
          <cell r="F9153" t="str">
            <v>EQ-Equity Implied Volatility</v>
          </cell>
          <cell r="G9153" t="str">
            <v>EQ-Other</v>
          </cell>
          <cell r="H9153" t="str">
            <v>EQ_INDICES</v>
          </cell>
          <cell r="I9153" t="str">
            <v>Equity Implied Volatility</v>
          </cell>
        </row>
        <row r="9154">
          <cell r="A9154" t="str">
            <v>BASIS_HC_10</v>
          </cell>
          <cell r="B9154" t="str">
            <v>HANG SENG CHINA basis 10</v>
          </cell>
          <cell r="C9154" t="str">
            <v>_BRS_GOLD__5_EQ:BRS_GOLD__1_EQX:BASIS_HC_10</v>
          </cell>
          <cell r="F9154" t="str">
            <v>EQ-Equity Implied Volatility</v>
          </cell>
          <cell r="G9154" t="str">
            <v>EQ-Other</v>
          </cell>
          <cell r="H9154" t="str">
            <v>EQ_INDICES</v>
          </cell>
          <cell r="I9154" t="str">
            <v>Equity Implied Volatility</v>
          </cell>
        </row>
        <row r="9155">
          <cell r="A9155" t="str">
            <v>BASIS_HC_11</v>
          </cell>
          <cell r="B9155" t="str">
            <v>HANG SENG CHINA basis 11</v>
          </cell>
          <cell r="C9155" t="str">
            <v>_BRS_GOLD__5_EQ:BRS_GOLD__1_EQX:BASIS_HC_11</v>
          </cell>
          <cell r="F9155" t="str">
            <v>EQ-Equity Implied Volatility</v>
          </cell>
          <cell r="G9155" t="str">
            <v>EQ-Other</v>
          </cell>
          <cell r="H9155" t="str">
            <v>EQ_INDICES</v>
          </cell>
          <cell r="I9155" t="str">
            <v>Equity Implied Volatility</v>
          </cell>
        </row>
        <row r="9156">
          <cell r="A9156" t="str">
            <v>BASIS_HC_12</v>
          </cell>
          <cell r="B9156" t="str">
            <v>HANG SENG CHINA basis 12</v>
          </cell>
          <cell r="C9156" t="str">
            <v>_BRS_GOLD__5_EQ:BRS_GOLD__1_EQX:BASIS_HC_12</v>
          </cell>
          <cell r="F9156" t="str">
            <v>EQ-Equity Implied Volatility</v>
          </cell>
          <cell r="G9156" t="str">
            <v>EQ-Other</v>
          </cell>
          <cell r="H9156" t="str">
            <v>EQ_INDICES</v>
          </cell>
          <cell r="I9156" t="str">
            <v>Equity Implied Volatility</v>
          </cell>
        </row>
        <row r="9157">
          <cell r="A9157" t="str">
            <v>BASIS_IB_1</v>
          </cell>
          <cell r="B9157" t="str">
            <v>IBEX basis 1</v>
          </cell>
          <cell r="C9157" t="str">
            <v>_BRS_GOLD__5_EQ:BRS_GOLD__1_EQX:BASIS_IB_1</v>
          </cell>
          <cell r="F9157" t="str">
            <v>EQ-Equity Implied Volatility</v>
          </cell>
          <cell r="G9157" t="str">
            <v>EQ-Other</v>
          </cell>
          <cell r="H9157" t="str">
            <v>EQ_INDICES</v>
          </cell>
          <cell r="I9157" t="str">
            <v>Equity Implied Volatility</v>
          </cell>
        </row>
        <row r="9158">
          <cell r="A9158" t="str">
            <v>BASIS_IB_2</v>
          </cell>
          <cell r="B9158" t="str">
            <v>IBEX basis 2</v>
          </cell>
          <cell r="C9158" t="str">
            <v>_BRS_GOLD__5_EQ:BRS_GOLD__1_EQX:BASIS_IB_2</v>
          </cell>
          <cell r="F9158" t="str">
            <v>EQ-Equity Implied Volatility</v>
          </cell>
          <cell r="G9158" t="str">
            <v>EQ-Other</v>
          </cell>
          <cell r="H9158" t="str">
            <v>EQ_INDICES</v>
          </cell>
          <cell r="I9158" t="str">
            <v>Equity Implied Volatility</v>
          </cell>
        </row>
        <row r="9159">
          <cell r="A9159" t="str">
            <v>BASIS_IB_3</v>
          </cell>
          <cell r="B9159" t="str">
            <v>IBEX basis 3</v>
          </cell>
          <cell r="C9159" t="str">
            <v>_BRS_GOLD__5_EQ:BRS_GOLD__1_EQX:BASIS_IB_3</v>
          </cell>
          <cell r="F9159" t="str">
            <v>EQ-Equity Implied Volatility</v>
          </cell>
          <cell r="G9159" t="str">
            <v>EQ-Other</v>
          </cell>
          <cell r="H9159" t="str">
            <v>EQ_INDICES</v>
          </cell>
          <cell r="I9159" t="str">
            <v>Equity Implied Volatility</v>
          </cell>
        </row>
        <row r="9160">
          <cell r="A9160" t="str">
            <v>BASIS_IB_4</v>
          </cell>
          <cell r="B9160" t="str">
            <v>IBEX basis 4</v>
          </cell>
          <cell r="C9160" t="str">
            <v>_BRS_GOLD__5_EQ:BRS_GOLD__1_EQX:BASIS_IB_4</v>
          </cell>
          <cell r="F9160" t="str">
            <v>EQ-Equity Implied Volatility</v>
          </cell>
          <cell r="G9160" t="str">
            <v>EQ-Other</v>
          </cell>
          <cell r="H9160" t="str">
            <v>EQ_INDICES</v>
          </cell>
          <cell r="I9160" t="str">
            <v>Equity Implied Volatility</v>
          </cell>
        </row>
        <row r="9161">
          <cell r="A9161" t="str">
            <v>BASIS_IB_5</v>
          </cell>
          <cell r="B9161" t="str">
            <v>IBEX basis 5</v>
          </cell>
          <cell r="C9161" t="str">
            <v>_BRS_GOLD__5_EQ:BRS_GOLD__1_EQX:BASIS_IB_5</v>
          </cell>
          <cell r="F9161" t="str">
            <v>EQ-Equity Implied Volatility</v>
          </cell>
          <cell r="G9161" t="str">
            <v>EQ-Other</v>
          </cell>
          <cell r="H9161" t="str">
            <v>EQ_INDICES</v>
          </cell>
          <cell r="I9161" t="str">
            <v>Equity Implied Volatility</v>
          </cell>
        </row>
        <row r="9162">
          <cell r="A9162" t="str">
            <v>BASIS_IB_6</v>
          </cell>
          <cell r="B9162" t="str">
            <v>IBEX basis 6</v>
          </cell>
          <cell r="C9162" t="str">
            <v>_BRS_GOLD__5_EQ:BRS_GOLD__1_EQX:BASIS_IB_6</v>
          </cell>
          <cell r="F9162" t="str">
            <v>EQ-Equity Implied Volatility</v>
          </cell>
          <cell r="G9162" t="str">
            <v>EQ-Other</v>
          </cell>
          <cell r="H9162" t="str">
            <v>EQ_INDICES</v>
          </cell>
          <cell r="I9162" t="str">
            <v>Equity Implied Volatility</v>
          </cell>
        </row>
        <row r="9163">
          <cell r="A9163" t="str">
            <v>BASIS_IB_7</v>
          </cell>
          <cell r="B9163" t="str">
            <v>IBEX basis 7</v>
          </cell>
          <cell r="C9163" t="str">
            <v>_BRS_GOLD__5_EQ:BRS_GOLD__1_EQX:BASIS_IB_7</v>
          </cell>
          <cell r="F9163" t="str">
            <v>EQ-Equity Implied Volatility</v>
          </cell>
          <cell r="G9163" t="str">
            <v>EQ-Other</v>
          </cell>
          <cell r="H9163" t="str">
            <v>EQ_INDICES</v>
          </cell>
          <cell r="I9163" t="str">
            <v>Equity Implied Volatility</v>
          </cell>
        </row>
        <row r="9164">
          <cell r="A9164" t="str">
            <v>BASIS_IB_8</v>
          </cell>
          <cell r="B9164" t="str">
            <v>IBEX basis 8</v>
          </cell>
          <cell r="C9164" t="str">
            <v>_BRS_GOLD__5_EQ:BRS_GOLD__1_EQX:BASIS_IB_8</v>
          </cell>
          <cell r="F9164" t="str">
            <v>EQ-Equity Implied Volatility</v>
          </cell>
          <cell r="G9164" t="str">
            <v>EQ-Other</v>
          </cell>
          <cell r="H9164" t="str">
            <v>EQ_INDICES</v>
          </cell>
          <cell r="I9164" t="str">
            <v>Equity Implied Volatility</v>
          </cell>
        </row>
        <row r="9165">
          <cell r="A9165" t="str">
            <v>BASIS_IB_9</v>
          </cell>
          <cell r="B9165" t="str">
            <v>IBEX basis 9</v>
          </cell>
          <cell r="C9165" t="str">
            <v>_BRS_GOLD__5_EQ:BRS_GOLD__1_EQX:BASIS_IB_9</v>
          </cell>
          <cell r="F9165" t="str">
            <v>EQ-Equity Implied Volatility</v>
          </cell>
          <cell r="G9165" t="str">
            <v>EQ-Other</v>
          </cell>
          <cell r="H9165" t="str">
            <v>EQ_INDICES</v>
          </cell>
          <cell r="I9165" t="str">
            <v>Equity Implied Volatility</v>
          </cell>
        </row>
        <row r="9166">
          <cell r="A9166" t="str">
            <v>BASIS_IB_10</v>
          </cell>
          <cell r="B9166" t="str">
            <v>IBEX basis 10</v>
          </cell>
          <cell r="C9166" t="str">
            <v>_BRS_GOLD__5_EQ:BRS_GOLD__1_EQX:BASIS_IB_10</v>
          </cell>
          <cell r="F9166" t="str">
            <v>EQ-Equity Implied Volatility</v>
          </cell>
          <cell r="G9166" t="str">
            <v>EQ-Other</v>
          </cell>
          <cell r="H9166" t="str">
            <v>EQ_INDICES</v>
          </cell>
          <cell r="I9166" t="str">
            <v>Equity Implied Volatility</v>
          </cell>
        </row>
        <row r="9167">
          <cell r="A9167" t="str">
            <v>BASIS_IB_11</v>
          </cell>
          <cell r="B9167" t="str">
            <v>IBEX basis 11</v>
          </cell>
          <cell r="C9167" t="str">
            <v>_BRS_GOLD__5_EQ:BRS_GOLD__1_EQX:BASIS_IB_11</v>
          </cell>
          <cell r="F9167" t="str">
            <v>EQ-Equity Implied Volatility</v>
          </cell>
          <cell r="G9167" t="str">
            <v>EQ-Other</v>
          </cell>
          <cell r="H9167" t="str">
            <v>EQ_INDICES</v>
          </cell>
          <cell r="I9167" t="str">
            <v>Equity Implied Volatility</v>
          </cell>
        </row>
        <row r="9168">
          <cell r="A9168" t="str">
            <v>BASIS_IB_12</v>
          </cell>
          <cell r="B9168" t="str">
            <v>IBEX basis 12</v>
          </cell>
          <cell r="C9168" t="str">
            <v>_BRS_GOLD__5_EQ:BRS_GOLD__1_EQX:BASIS_IB_12</v>
          </cell>
          <cell r="F9168" t="str">
            <v>EQ-Equity Implied Volatility</v>
          </cell>
          <cell r="G9168" t="str">
            <v>EQ-Other</v>
          </cell>
          <cell r="H9168" t="str">
            <v>EQ_INDICES</v>
          </cell>
          <cell r="I9168" t="str">
            <v>Equity Implied Volatility</v>
          </cell>
        </row>
        <row r="9169">
          <cell r="A9169" t="str">
            <v>BASIS_IS_1</v>
          </cell>
          <cell r="B9169" t="str">
            <v>BOLSA basis 1</v>
          </cell>
          <cell r="C9169" t="str">
            <v>_BRS_GOLD__5_EQ:BRS_GOLD__1_EQX:BASIS_IS_1</v>
          </cell>
          <cell r="F9169" t="str">
            <v>EQ-Equity Implied Volatility</v>
          </cell>
          <cell r="G9169" t="str">
            <v>EQ-Other</v>
          </cell>
          <cell r="H9169" t="str">
            <v>EQ_INDICES</v>
          </cell>
          <cell r="I9169" t="str">
            <v>Equity Implied Volatility</v>
          </cell>
        </row>
        <row r="9170">
          <cell r="A9170" t="str">
            <v>BASIS_IS_2</v>
          </cell>
          <cell r="B9170" t="str">
            <v>BOLSA basis 2</v>
          </cell>
          <cell r="C9170" t="str">
            <v>_BRS_GOLD__5_EQ:BRS_GOLD__1_EQX:BASIS_IS_2</v>
          </cell>
          <cell r="F9170" t="str">
            <v>EQ-Equity Implied Volatility</v>
          </cell>
          <cell r="G9170" t="str">
            <v>EQ-Other</v>
          </cell>
          <cell r="H9170" t="str">
            <v>EQ_INDICES</v>
          </cell>
          <cell r="I9170" t="str">
            <v>Equity Implied Volatility</v>
          </cell>
        </row>
        <row r="9171">
          <cell r="A9171" t="str">
            <v>BASIS_IS_3</v>
          </cell>
          <cell r="B9171" t="str">
            <v>BOLSA basis 3</v>
          </cell>
          <cell r="C9171" t="str">
            <v>_BRS_GOLD__5_EQ:BRS_GOLD__1_EQX:BASIS_IS_3</v>
          </cell>
          <cell r="F9171" t="str">
            <v>EQ-Equity Implied Volatility</v>
          </cell>
          <cell r="G9171" t="str">
            <v>EQ-Other</v>
          </cell>
          <cell r="H9171" t="str">
            <v>EQ_INDICES</v>
          </cell>
          <cell r="I9171" t="str">
            <v>Equity Implied Volatility</v>
          </cell>
        </row>
        <row r="9172">
          <cell r="A9172" t="str">
            <v>BASIS_IS_4</v>
          </cell>
          <cell r="B9172" t="str">
            <v>BOLSA basis 4</v>
          </cell>
          <cell r="C9172" t="str">
            <v>_BRS_GOLD__5_EQ:BRS_GOLD__1_EQX:BASIS_IS_4</v>
          </cell>
          <cell r="F9172" t="str">
            <v>EQ-Equity Implied Volatility</v>
          </cell>
          <cell r="G9172" t="str">
            <v>EQ-Other</v>
          </cell>
          <cell r="H9172" t="str">
            <v>EQ_INDICES</v>
          </cell>
          <cell r="I9172" t="str">
            <v>Equity Implied Volatility</v>
          </cell>
        </row>
        <row r="9173">
          <cell r="A9173" t="str">
            <v>BASIS_IS_5</v>
          </cell>
          <cell r="B9173" t="str">
            <v>BOLSA basis 5</v>
          </cell>
          <cell r="C9173" t="str">
            <v>_BRS_GOLD__5_EQ:BRS_GOLD__1_EQX:BASIS_IS_5</v>
          </cell>
          <cell r="F9173" t="str">
            <v>EQ-Equity Implied Volatility</v>
          </cell>
          <cell r="G9173" t="str">
            <v>EQ-Other</v>
          </cell>
          <cell r="H9173" t="str">
            <v>EQ_INDICES</v>
          </cell>
          <cell r="I9173" t="str">
            <v>Equity Implied Volatility</v>
          </cell>
        </row>
        <row r="9174">
          <cell r="A9174" t="str">
            <v>BASIS_IS_6</v>
          </cell>
          <cell r="B9174" t="str">
            <v>BOLSA basis 6</v>
          </cell>
          <cell r="C9174" t="str">
            <v>_BRS_GOLD__5_EQ:BRS_GOLD__1_EQX:BASIS_IS_6</v>
          </cell>
          <cell r="F9174" t="str">
            <v>EQ-Equity Implied Volatility</v>
          </cell>
          <cell r="G9174" t="str">
            <v>EQ-Other</v>
          </cell>
          <cell r="H9174" t="str">
            <v>EQ_INDICES</v>
          </cell>
          <cell r="I9174" t="str">
            <v>Equity Implied Volatility</v>
          </cell>
        </row>
        <row r="9175">
          <cell r="A9175" t="str">
            <v>BASIS_IS_7</v>
          </cell>
          <cell r="B9175" t="str">
            <v>BOLSA basis 7</v>
          </cell>
          <cell r="C9175" t="str">
            <v>_BRS_GOLD__5_EQ:BRS_GOLD__1_EQX:BASIS_IS_7</v>
          </cell>
          <cell r="F9175" t="str">
            <v>EQ-Equity Implied Volatility</v>
          </cell>
          <cell r="G9175" t="str">
            <v>EQ-Other</v>
          </cell>
          <cell r="H9175" t="str">
            <v>EQ_INDICES</v>
          </cell>
          <cell r="I9175" t="str">
            <v>Equity Implied Volatility</v>
          </cell>
        </row>
        <row r="9176">
          <cell r="A9176" t="str">
            <v>BASIS_IS_8</v>
          </cell>
          <cell r="B9176" t="str">
            <v>BOLSA basis 8</v>
          </cell>
          <cell r="C9176" t="str">
            <v>_BRS_GOLD__5_EQ:BRS_GOLD__1_EQX:BASIS_IS_8</v>
          </cell>
          <cell r="F9176" t="str">
            <v>EQ-Equity Implied Volatility</v>
          </cell>
          <cell r="G9176" t="str">
            <v>EQ-Other</v>
          </cell>
          <cell r="H9176" t="str">
            <v>EQ_INDICES</v>
          </cell>
          <cell r="I9176" t="str">
            <v>Equity Implied Volatility</v>
          </cell>
        </row>
        <row r="9177">
          <cell r="A9177" t="str">
            <v>BASIS_IS_9</v>
          </cell>
          <cell r="B9177" t="str">
            <v>BOLSA basis 9</v>
          </cell>
          <cell r="C9177" t="str">
            <v>_BRS_GOLD__5_EQ:BRS_GOLD__1_EQX:BASIS_IS_9</v>
          </cell>
          <cell r="F9177" t="str">
            <v>EQ-Equity Implied Volatility</v>
          </cell>
          <cell r="G9177" t="str">
            <v>EQ-Other</v>
          </cell>
          <cell r="H9177" t="str">
            <v>EQ_INDICES</v>
          </cell>
          <cell r="I9177" t="str">
            <v>Equity Implied Volatility</v>
          </cell>
        </row>
        <row r="9178">
          <cell r="A9178" t="str">
            <v>BASIS_IS_10</v>
          </cell>
          <cell r="B9178" t="str">
            <v>BOLSA basis 10</v>
          </cell>
          <cell r="C9178" t="str">
            <v>_BRS_GOLD__5_EQ:BRS_GOLD__1_EQX:BASIS_IS_10</v>
          </cell>
          <cell r="F9178" t="str">
            <v>EQ-Equity Implied Volatility</v>
          </cell>
          <cell r="G9178" t="str">
            <v>EQ-Other</v>
          </cell>
          <cell r="H9178" t="str">
            <v>EQ_INDICES</v>
          </cell>
          <cell r="I9178" t="str">
            <v>Equity Implied Volatility</v>
          </cell>
        </row>
        <row r="9179">
          <cell r="A9179" t="str">
            <v>BASIS_IS_11</v>
          </cell>
          <cell r="B9179" t="str">
            <v>BOLSA basis 11</v>
          </cell>
          <cell r="C9179" t="str">
            <v>_BRS_GOLD__5_EQ:BRS_GOLD__1_EQX:BASIS_IS_11</v>
          </cell>
          <cell r="F9179" t="str">
            <v>EQ-Equity Implied Volatility</v>
          </cell>
          <cell r="G9179" t="str">
            <v>EQ-Other</v>
          </cell>
          <cell r="H9179" t="str">
            <v>EQ_INDICES</v>
          </cell>
          <cell r="I9179" t="str">
            <v>Equity Implied Volatility</v>
          </cell>
        </row>
        <row r="9180">
          <cell r="A9180" t="str">
            <v>BASIS_IS_12</v>
          </cell>
          <cell r="B9180" t="str">
            <v>BOLSA basis 12</v>
          </cell>
          <cell r="C9180" t="str">
            <v>_BRS_GOLD__5_EQ:BRS_GOLD__1_EQX:BASIS_IS_12</v>
          </cell>
          <cell r="F9180" t="str">
            <v>EQ-Equity Implied Volatility</v>
          </cell>
          <cell r="G9180" t="str">
            <v>EQ-Other</v>
          </cell>
          <cell r="H9180" t="str">
            <v>EQ_INDICES</v>
          </cell>
          <cell r="I9180" t="str">
            <v>Equity Implied Volatility</v>
          </cell>
        </row>
        <row r="9181">
          <cell r="A9181" t="str">
            <v>BASIS_MME_1</v>
          </cell>
          <cell r="B9181" t="str">
            <v>MSCI DAILY RETURN basis 1</v>
          </cell>
          <cell r="C9181" t="str">
            <v>_BRS_GOLD__5_EQ:BRS_GOLD__1_EQX:BASIS_MME_1</v>
          </cell>
          <cell r="F9181" t="str">
            <v>EQ-Equity Implied Volatility</v>
          </cell>
          <cell r="G9181" t="str">
            <v>EQ-Other</v>
          </cell>
          <cell r="H9181" t="str">
            <v>EQ_INDICES</v>
          </cell>
          <cell r="I9181" t="str">
            <v>Equity Implied Volatility</v>
          </cell>
        </row>
        <row r="9182">
          <cell r="A9182" t="str">
            <v>BASIS_MME_2</v>
          </cell>
          <cell r="B9182" t="str">
            <v>MSCI DAILY RETURN basis 2</v>
          </cell>
          <cell r="C9182" t="str">
            <v>_BRS_GOLD__5_EQ:BRS_GOLD__1_EQX:BASIS_MME_2</v>
          </cell>
          <cell r="F9182" t="str">
            <v>EQ-Equity Implied Volatility</v>
          </cell>
          <cell r="G9182" t="str">
            <v>EQ-Other</v>
          </cell>
          <cell r="H9182" t="str">
            <v>EQ_INDICES</v>
          </cell>
          <cell r="I9182" t="str">
            <v>Equity Implied Volatility</v>
          </cell>
        </row>
        <row r="9183">
          <cell r="A9183" t="str">
            <v>BASIS_MME_3</v>
          </cell>
          <cell r="B9183" t="str">
            <v>MSCI DAILY RETURN basis 3</v>
          </cell>
          <cell r="C9183" t="str">
            <v>_BRS_GOLD__5_EQ:BRS_GOLD__1_EQX:BASIS_MME_3</v>
          </cell>
          <cell r="F9183" t="str">
            <v>EQ-Equity Implied Volatility</v>
          </cell>
          <cell r="G9183" t="str">
            <v>EQ-Other</v>
          </cell>
          <cell r="H9183" t="str">
            <v>EQ_INDICES</v>
          </cell>
          <cell r="I9183" t="str">
            <v>Equity Implied Volatility</v>
          </cell>
        </row>
        <row r="9184">
          <cell r="A9184" t="str">
            <v>BASIS_MME_4</v>
          </cell>
          <cell r="B9184" t="str">
            <v>MSCI DAILY RETURN basis 4</v>
          </cell>
          <cell r="C9184" t="str">
            <v>_BRS_GOLD__5_EQ:BRS_GOLD__1_EQX:BASIS_MME_4</v>
          </cell>
          <cell r="F9184" t="str">
            <v>EQ-Equity Implied Volatility</v>
          </cell>
          <cell r="G9184" t="str">
            <v>EQ-Other</v>
          </cell>
          <cell r="H9184" t="str">
            <v>EQ_INDICES</v>
          </cell>
          <cell r="I9184" t="str">
            <v>Equity Implied Volatility</v>
          </cell>
        </row>
        <row r="9185">
          <cell r="A9185" t="str">
            <v>BASIS_MME_5</v>
          </cell>
          <cell r="B9185" t="str">
            <v>MSCI DAILY RETURN basis 5</v>
          </cell>
          <cell r="C9185" t="str">
            <v>_BRS_GOLD__5_EQ:BRS_GOLD__1_EQX:BASIS_MME_5</v>
          </cell>
          <cell r="F9185" t="str">
            <v>EQ-Equity Implied Volatility</v>
          </cell>
          <cell r="G9185" t="str">
            <v>EQ-Other</v>
          </cell>
          <cell r="H9185" t="str">
            <v>EQ_INDICES</v>
          </cell>
          <cell r="I9185" t="str">
            <v>Equity Implied Volatility</v>
          </cell>
        </row>
        <row r="9186">
          <cell r="A9186" t="str">
            <v>BASIS_MME_6</v>
          </cell>
          <cell r="B9186" t="str">
            <v>MSCI DAILY RETURN basis 6</v>
          </cell>
          <cell r="C9186" t="str">
            <v>_BRS_GOLD__5_EQ:BRS_GOLD__1_EQX:BASIS_MME_6</v>
          </cell>
          <cell r="F9186" t="str">
            <v>EQ-Equity Implied Volatility</v>
          </cell>
          <cell r="G9186" t="str">
            <v>EQ-Other</v>
          </cell>
          <cell r="H9186" t="str">
            <v>EQ_INDICES</v>
          </cell>
          <cell r="I9186" t="str">
            <v>Equity Implied Volatility</v>
          </cell>
        </row>
        <row r="9187">
          <cell r="A9187" t="str">
            <v>BASIS_MME_7</v>
          </cell>
          <cell r="B9187" t="str">
            <v>MSCI DAILY RETURN basis 7</v>
          </cell>
          <cell r="C9187" t="str">
            <v>_BRS_GOLD__5_EQ:BRS_GOLD__1_EQX:BASIS_MME_7</v>
          </cell>
          <cell r="F9187" t="str">
            <v>EQ-Equity Implied Volatility</v>
          </cell>
          <cell r="G9187" t="str">
            <v>EQ-Other</v>
          </cell>
          <cell r="H9187" t="str">
            <v>EQ_INDICES</v>
          </cell>
          <cell r="I9187" t="str">
            <v>Equity Implied Volatility</v>
          </cell>
        </row>
        <row r="9188">
          <cell r="A9188" t="str">
            <v>BASIS_MME_8</v>
          </cell>
          <cell r="B9188" t="str">
            <v>MSCI DAILY RETURN basis 8</v>
          </cell>
          <cell r="C9188" t="str">
            <v>_BRS_GOLD__5_EQ:BRS_GOLD__1_EQX:BASIS_MME_8</v>
          </cell>
          <cell r="F9188" t="str">
            <v>EQ-Equity Implied Volatility</v>
          </cell>
          <cell r="G9188" t="str">
            <v>EQ-Other</v>
          </cell>
          <cell r="H9188" t="str">
            <v>EQ_INDICES</v>
          </cell>
          <cell r="I9188" t="str">
            <v>Equity Implied Volatility</v>
          </cell>
        </row>
        <row r="9189">
          <cell r="A9189" t="str">
            <v>BASIS_MME_9</v>
          </cell>
          <cell r="B9189" t="str">
            <v>MSCI DAILY RETURN basis 9</v>
          </cell>
          <cell r="C9189" t="str">
            <v>_BRS_GOLD__5_EQ:BRS_GOLD__1_EQX:BASIS_MME_9</v>
          </cell>
          <cell r="F9189" t="str">
            <v>EQ-Equity Implied Volatility</v>
          </cell>
          <cell r="G9189" t="str">
            <v>EQ-Other</v>
          </cell>
          <cell r="H9189" t="str">
            <v>EQ_INDICES</v>
          </cell>
          <cell r="I9189" t="str">
            <v>Equity Implied Volatility</v>
          </cell>
        </row>
        <row r="9190">
          <cell r="A9190" t="str">
            <v>BASIS_MME_10</v>
          </cell>
          <cell r="B9190" t="str">
            <v>MSCI DAILY RETURN basis 10</v>
          </cell>
          <cell r="C9190" t="str">
            <v>_BRS_GOLD__5_EQ:BRS_GOLD__1_EQX:BASIS_MME_10</v>
          </cell>
          <cell r="F9190" t="str">
            <v>EQ-Equity Implied Volatility</v>
          </cell>
          <cell r="G9190" t="str">
            <v>EQ-Other</v>
          </cell>
          <cell r="H9190" t="str">
            <v>EQ_INDICES</v>
          </cell>
          <cell r="I9190" t="str">
            <v>Equity Implied Volatility</v>
          </cell>
        </row>
        <row r="9191">
          <cell r="A9191" t="str">
            <v>BASIS_MME_11</v>
          </cell>
          <cell r="B9191" t="str">
            <v>MSCI DAILY RETURN basis 11</v>
          </cell>
          <cell r="C9191" t="str">
            <v>_BRS_GOLD__5_EQ:BRS_GOLD__1_EQX:BASIS_MME_11</v>
          </cell>
          <cell r="F9191" t="str">
            <v>EQ-Equity Implied Volatility</v>
          </cell>
          <cell r="G9191" t="str">
            <v>EQ-Other</v>
          </cell>
          <cell r="H9191" t="str">
            <v>EQ_INDICES</v>
          </cell>
          <cell r="I9191" t="str">
            <v>Equity Implied Volatility</v>
          </cell>
        </row>
        <row r="9192">
          <cell r="A9192" t="str">
            <v>BASIS_MME_12</v>
          </cell>
          <cell r="B9192" t="str">
            <v>MSCI DAILY RETURN basis 12</v>
          </cell>
          <cell r="C9192" t="str">
            <v>_BRS_GOLD__5_EQ:BRS_GOLD__1_EQX:BASIS_MME_12</v>
          </cell>
          <cell r="F9192" t="str">
            <v>EQ-Equity Implied Volatility</v>
          </cell>
          <cell r="G9192" t="str">
            <v>EQ-Other</v>
          </cell>
          <cell r="H9192" t="str">
            <v>EQ_INDICES</v>
          </cell>
          <cell r="I9192" t="str">
            <v>Equity Implied Volatility</v>
          </cell>
        </row>
        <row r="9193">
          <cell r="A9193" t="str">
            <v>BASIS_NK_1</v>
          </cell>
          <cell r="B9193" t="str">
            <v>NIKKEI 225 basis 1</v>
          </cell>
          <cell r="C9193" t="str">
            <v>_BRS_GOLD__5_EQ:BRS_GOLD__1_EQX:BASIS_NK_1</v>
          </cell>
          <cell r="F9193" t="str">
            <v>EQ-Equity Implied Volatility</v>
          </cell>
          <cell r="G9193" t="str">
            <v>EQ-Other</v>
          </cell>
          <cell r="H9193" t="str">
            <v>EQ_INDICES</v>
          </cell>
          <cell r="I9193" t="str">
            <v>Equity Implied Volatility</v>
          </cell>
        </row>
        <row r="9194">
          <cell r="A9194" t="str">
            <v>BASIS_NK_2</v>
          </cell>
          <cell r="B9194" t="str">
            <v>NIKKEI 225 basis 2</v>
          </cell>
          <cell r="C9194" t="str">
            <v>_BRS_GOLD__5_EQ:BRS_GOLD__1_EQX:BASIS_NK_2</v>
          </cell>
          <cell r="F9194" t="str">
            <v>EQ-Equity Implied Volatility</v>
          </cell>
          <cell r="G9194" t="str">
            <v>EQ-Other</v>
          </cell>
          <cell r="H9194" t="str">
            <v>EQ_INDICES</v>
          </cell>
          <cell r="I9194" t="str">
            <v>Equity Implied Volatility</v>
          </cell>
        </row>
        <row r="9195">
          <cell r="A9195" t="str">
            <v>BASIS_NK_3</v>
          </cell>
          <cell r="B9195" t="str">
            <v>NIKKEI 225 basis 3</v>
          </cell>
          <cell r="C9195" t="str">
            <v>_BRS_GOLD__5_EQ:BRS_GOLD__1_EQX:BASIS_NK_3</v>
          </cell>
          <cell r="F9195" t="str">
            <v>EQ-Equity Implied Volatility</v>
          </cell>
          <cell r="G9195" t="str">
            <v>EQ-Other</v>
          </cell>
          <cell r="H9195" t="str">
            <v>EQ_INDICES</v>
          </cell>
          <cell r="I9195" t="str">
            <v>Equity Implied Volatility</v>
          </cell>
        </row>
        <row r="9196">
          <cell r="A9196" t="str">
            <v>BASIS_NK_4</v>
          </cell>
          <cell r="B9196" t="str">
            <v>NIKKEI 225 basis 4</v>
          </cell>
          <cell r="C9196" t="str">
            <v>_BRS_GOLD__5_EQ:BRS_GOLD__1_EQX:BASIS_NK_4</v>
          </cell>
          <cell r="F9196" t="str">
            <v>EQ-Equity Implied Volatility</v>
          </cell>
          <cell r="G9196" t="str">
            <v>EQ-Other</v>
          </cell>
          <cell r="H9196" t="str">
            <v>EQ_INDICES</v>
          </cell>
          <cell r="I9196" t="str">
            <v>Equity Implied Volatility</v>
          </cell>
        </row>
        <row r="9197">
          <cell r="A9197" t="str">
            <v>BASIS_NK_5</v>
          </cell>
          <cell r="B9197" t="str">
            <v>NIKKEI 225 basis 5</v>
          </cell>
          <cell r="C9197" t="str">
            <v>_BRS_GOLD__5_EQ:BRS_GOLD__1_EQX:BASIS_NK_5</v>
          </cell>
          <cell r="F9197" t="str">
            <v>EQ-Equity Implied Volatility</v>
          </cell>
          <cell r="G9197" t="str">
            <v>EQ-Other</v>
          </cell>
          <cell r="H9197" t="str">
            <v>EQ_INDICES</v>
          </cell>
          <cell r="I9197" t="str">
            <v>Equity Implied Volatility</v>
          </cell>
        </row>
        <row r="9198">
          <cell r="A9198" t="str">
            <v>BASIS_NK_6</v>
          </cell>
          <cell r="B9198" t="str">
            <v>NIKKEI 225 basis 6</v>
          </cell>
          <cell r="C9198" t="str">
            <v>_BRS_GOLD__5_EQ:BRS_GOLD__1_EQX:BASIS_NK_6</v>
          </cell>
          <cell r="F9198" t="str">
            <v>EQ-Equity Implied Volatility</v>
          </cell>
          <cell r="G9198" t="str">
            <v>EQ-Other</v>
          </cell>
          <cell r="H9198" t="str">
            <v>EQ_INDICES</v>
          </cell>
          <cell r="I9198" t="str">
            <v>Equity Implied Volatility</v>
          </cell>
        </row>
        <row r="9199">
          <cell r="A9199" t="str">
            <v>BASIS_NK_7</v>
          </cell>
          <cell r="B9199" t="str">
            <v>NIKKEI 225 basis 7</v>
          </cell>
          <cell r="C9199" t="str">
            <v>_BRS_GOLD__5_EQ:BRS_GOLD__1_EQX:BASIS_NK_7</v>
          </cell>
          <cell r="F9199" t="str">
            <v>EQ-Equity Implied Volatility</v>
          </cell>
          <cell r="G9199" t="str">
            <v>EQ-Other</v>
          </cell>
          <cell r="H9199" t="str">
            <v>EQ_INDICES</v>
          </cell>
          <cell r="I9199" t="str">
            <v>Equity Implied Volatility</v>
          </cell>
        </row>
        <row r="9200">
          <cell r="A9200" t="str">
            <v>BASIS_NK_8</v>
          </cell>
          <cell r="B9200" t="str">
            <v>NIKKEI 225 basis 8</v>
          </cell>
          <cell r="C9200" t="str">
            <v>_BRS_GOLD__5_EQ:BRS_GOLD__1_EQX:BASIS_NK_8</v>
          </cell>
          <cell r="F9200" t="str">
            <v>EQ-Equity Implied Volatility</v>
          </cell>
          <cell r="G9200" t="str">
            <v>EQ-Other</v>
          </cell>
          <cell r="H9200" t="str">
            <v>EQ_INDICES</v>
          </cell>
          <cell r="I9200" t="str">
            <v>Equity Implied Volatility</v>
          </cell>
        </row>
        <row r="9201">
          <cell r="A9201" t="str">
            <v>BASIS_NK_9</v>
          </cell>
          <cell r="B9201" t="str">
            <v>NIKKEI 225 basis 9</v>
          </cell>
          <cell r="C9201" t="str">
            <v>_BRS_GOLD__5_EQ:BRS_GOLD__1_EQX:BASIS_NK_9</v>
          </cell>
          <cell r="F9201" t="str">
            <v>EQ-Equity Implied Volatility</v>
          </cell>
          <cell r="G9201" t="str">
            <v>EQ-Other</v>
          </cell>
          <cell r="H9201" t="str">
            <v>EQ_INDICES</v>
          </cell>
          <cell r="I9201" t="str">
            <v>Equity Implied Volatility</v>
          </cell>
        </row>
        <row r="9202">
          <cell r="A9202" t="str">
            <v>BASIS_NK_10</v>
          </cell>
          <cell r="B9202" t="str">
            <v>NIKKEI 225 basis 10</v>
          </cell>
          <cell r="C9202" t="str">
            <v>_BRS_GOLD__5_EQ:BRS_GOLD__1_EQX:BASIS_NK_10</v>
          </cell>
          <cell r="F9202" t="str">
            <v>EQ-Equity Implied Volatility</v>
          </cell>
          <cell r="G9202" t="str">
            <v>EQ-Other</v>
          </cell>
          <cell r="H9202" t="str">
            <v>EQ_INDICES</v>
          </cell>
          <cell r="I9202" t="str">
            <v>Equity Implied Volatility</v>
          </cell>
        </row>
        <row r="9203">
          <cell r="A9203" t="str">
            <v>BASIS_NK_11</v>
          </cell>
          <cell r="B9203" t="str">
            <v>NIKKEI 225 basis 11</v>
          </cell>
          <cell r="C9203" t="str">
            <v>_BRS_GOLD__5_EQ:BRS_GOLD__1_EQX:BASIS_NK_11</v>
          </cell>
          <cell r="F9203" t="str">
            <v>EQ-Equity Implied Volatility</v>
          </cell>
          <cell r="G9203" t="str">
            <v>EQ-Other</v>
          </cell>
          <cell r="H9203" t="str">
            <v>EQ_INDICES</v>
          </cell>
          <cell r="I9203" t="str">
            <v>Equity Implied Volatility</v>
          </cell>
        </row>
        <row r="9204">
          <cell r="A9204" t="str">
            <v>BASIS_NK_12</v>
          </cell>
          <cell r="B9204" t="str">
            <v>NIKKEI 225 basis 12</v>
          </cell>
          <cell r="C9204" t="str">
            <v>_BRS_GOLD__5_EQ:BRS_GOLD__1_EQX:BASIS_NK_12</v>
          </cell>
          <cell r="F9204" t="str">
            <v>EQ-Equity Implied Volatility</v>
          </cell>
          <cell r="G9204" t="str">
            <v>EQ-Other</v>
          </cell>
          <cell r="H9204" t="str">
            <v>EQ_INDICES</v>
          </cell>
          <cell r="I9204" t="str">
            <v>Equity Implied Volatility</v>
          </cell>
        </row>
        <row r="9205">
          <cell r="A9205" t="str">
            <v>BASIS_TW_1</v>
          </cell>
          <cell r="B9205" t="str">
            <v>MSCI TAIWAN HEDGED basis 1</v>
          </cell>
          <cell r="C9205" t="str">
            <v>_BRS_GOLD__5_EQ:BRS_GOLD__1_EQX:BASIS_TW_1</v>
          </cell>
          <cell r="F9205" t="str">
            <v>EQ-Equity Implied Volatility</v>
          </cell>
          <cell r="G9205" t="str">
            <v>EQ-Other</v>
          </cell>
          <cell r="H9205" t="str">
            <v>EQ_INDICES</v>
          </cell>
          <cell r="I9205" t="str">
            <v>Equity Implied Volatility</v>
          </cell>
        </row>
        <row r="9206">
          <cell r="A9206" t="str">
            <v>BASIS_TW_2</v>
          </cell>
          <cell r="B9206" t="str">
            <v>MSCI TAIWAN HEDGED basis 2</v>
          </cell>
          <cell r="C9206" t="str">
            <v>_BRS_GOLD__5_EQ:BRS_GOLD__1_EQX:BASIS_TW_2</v>
          </cell>
          <cell r="F9206" t="str">
            <v>EQ-Equity Implied Volatility</v>
          </cell>
          <cell r="G9206" t="str">
            <v>EQ-Other</v>
          </cell>
          <cell r="H9206" t="str">
            <v>EQ_INDICES</v>
          </cell>
          <cell r="I9206" t="str">
            <v>Equity Implied Volatility</v>
          </cell>
        </row>
        <row r="9207">
          <cell r="A9207" t="str">
            <v>BASIS_TW_3</v>
          </cell>
          <cell r="B9207" t="str">
            <v>MSCI TAIWAN HEDGED basis 3</v>
          </cell>
          <cell r="C9207" t="str">
            <v>_BRS_GOLD__5_EQ:BRS_GOLD__1_EQX:BASIS_TW_3</v>
          </cell>
          <cell r="F9207" t="str">
            <v>EQ-Equity Implied Volatility</v>
          </cell>
          <cell r="G9207" t="str">
            <v>EQ-Other</v>
          </cell>
          <cell r="H9207" t="str">
            <v>EQ_INDICES</v>
          </cell>
          <cell r="I9207" t="str">
            <v>Equity Implied Volatility</v>
          </cell>
        </row>
        <row r="9208">
          <cell r="A9208" t="str">
            <v>BASIS_TW_4</v>
          </cell>
          <cell r="B9208" t="str">
            <v>MSCI TAIWAN HEDGED basis 4</v>
          </cell>
          <cell r="C9208" t="str">
            <v>_BRS_GOLD__5_EQ:BRS_GOLD__1_EQX:BASIS_TW_4</v>
          </cell>
          <cell r="F9208" t="str">
            <v>EQ-Equity Implied Volatility</v>
          </cell>
          <cell r="G9208" t="str">
            <v>EQ-Other</v>
          </cell>
          <cell r="H9208" t="str">
            <v>EQ_INDICES</v>
          </cell>
          <cell r="I9208" t="str">
            <v>Equity Implied Volatility</v>
          </cell>
        </row>
        <row r="9209">
          <cell r="A9209" t="str">
            <v>BASIS_TW_5</v>
          </cell>
          <cell r="B9209" t="str">
            <v>MSCI TAIWAN HEDGED basis 5</v>
          </cell>
          <cell r="C9209" t="str">
            <v>_BRS_GOLD__5_EQ:BRS_GOLD__1_EQX:BASIS_TW_5</v>
          </cell>
          <cell r="F9209" t="str">
            <v>EQ-Equity Implied Volatility</v>
          </cell>
          <cell r="G9209" t="str">
            <v>EQ-Other</v>
          </cell>
          <cell r="H9209" t="str">
            <v>EQ_INDICES</v>
          </cell>
          <cell r="I9209" t="str">
            <v>Equity Implied Volatility</v>
          </cell>
        </row>
        <row r="9210">
          <cell r="A9210" t="str">
            <v>BASIS_TW_6</v>
          </cell>
          <cell r="B9210" t="str">
            <v>MSCI TAIWAN HEDGED basis 6</v>
          </cell>
          <cell r="C9210" t="str">
            <v>_BRS_GOLD__5_EQ:BRS_GOLD__1_EQX:BASIS_TW_6</v>
          </cell>
          <cell r="F9210" t="str">
            <v>EQ-Equity Implied Volatility</v>
          </cell>
          <cell r="G9210" t="str">
            <v>EQ-Other</v>
          </cell>
          <cell r="H9210" t="str">
            <v>EQ_INDICES</v>
          </cell>
          <cell r="I9210" t="str">
            <v>Equity Implied Volatility</v>
          </cell>
        </row>
        <row r="9211">
          <cell r="A9211" t="str">
            <v>BASIS_TW_7</v>
          </cell>
          <cell r="B9211" t="str">
            <v>MSCI TAIWAN HEDGED basis 7</v>
          </cell>
          <cell r="C9211" t="str">
            <v>_BRS_GOLD__5_EQ:BRS_GOLD__1_EQX:BASIS_TW_7</v>
          </cell>
          <cell r="F9211" t="str">
            <v>EQ-Equity Implied Volatility</v>
          </cell>
          <cell r="G9211" t="str">
            <v>EQ-Other</v>
          </cell>
          <cell r="H9211" t="str">
            <v>EQ_INDICES</v>
          </cell>
          <cell r="I9211" t="str">
            <v>Equity Implied Volatility</v>
          </cell>
        </row>
        <row r="9212">
          <cell r="A9212" t="str">
            <v>BASIS_TW_8</v>
          </cell>
          <cell r="B9212" t="str">
            <v>MSCI TAIWAN HEDGED basis 8</v>
          </cell>
          <cell r="C9212" t="str">
            <v>_BRS_GOLD__5_EQ:BRS_GOLD__1_EQX:BASIS_TW_8</v>
          </cell>
          <cell r="F9212" t="str">
            <v>EQ-Equity Implied Volatility</v>
          </cell>
          <cell r="G9212" t="str">
            <v>EQ-Other</v>
          </cell>
          <cell r="H9212" t="str">
            <v>EQ_INDICES</v>
          </cell>
          <cell r="I9212" t="str">
            <v>Equity Implied Volatility</v>
          </cell>
        </row>
        <row r="9213">
          <cell r="A9213" t="str">
            <v>BASIS_TW_9</v>
          </cell>
          <cell r="B9213" t="str">
            <v>MSCI TAIWAN HEDGED basis 9</v>
          </cell>
          <cell r="C9213" t="str">
            <v>_BRS_GOLD__5_EQ:BRS_GOLD__1_EQX:BASIS_TW_9</v>
          </cell>
          <cell r="F9213" t="str">
            <v>EQ-Equity Implied Volatility</v>
          </cell>
          <cell r="G9213" t="str">
            <v>EQ-Other</v>
          </cell>
          <cell r="H9213" t="str">
            <v>EQ_INDICES</v>
          </cell>
          <cell r="I9213" t="str">
            <v>Equity Implied Volatility</v>
          </cell>
        </row>
        <row r="9214">
          <cell r="A9214" t="str">
            <v>BASIS_TW_10</v>
          </cell>
          <cell r="B9214" t="str">
            <v>MSCI TAIWAN HEDGED basis 10</v>
          </cell>
          <cell r="C9214" t="str">
            <v>_BRS_GOLD__5_EQ:BRS_GOLD__1_EQX:BASIS_TW_10</v>
          </cell>
          <cell r="F9214" t="str">
            <v>EQ-Equity Implied Volatility</v>
          </cell>
          <cell r="G9214" t="str">
            <v>EQ-Other</v>
          </cell>
          <cell r="H9214" t="str">
            <v>EQ_INDICES</v>
          </cell>
          <cell r="I9214" t="str">
            <v>Equity Implied Volatility</v>
          </cell>
        </row>
        <row r="9215">
          <cell r="A9215" t="str">
            <v>BASIS_TW_11</v>
          </cell>
          <cell r="B9215" t="str">
            <v>MSCI TAIWAN HEDGED basis 11</v>
          </cell>
          <cell r="C9215" t="str">
            <v>_BRS_GOLD__5_EQ:BRS_GOLD__1_EQX:BASIS_TW_11</v>
          </cell>
          <cell r="F9215" t="str">
            <v>EQ-Equity Implied Volatility</v>
          </cell>
          <cell r="G9215" t="str">
            <v>EQ-Other</v>
          </cell>
          <cell r="H9215" t="str">
            <v>EQ_INDICES</v>
          </cell>
          <cell r="I9215" t="str">
            <v>Equity Implied Volatility</v>
          </cell>
        </row>
        <row r="9216">
          <cell r="A9216" t="str">
            <v>BASIS_TW_12</v>
          </cell>
          <cell r="B9216" t="str">
            <v>MSCI TAIWAN HEDGED basis 12</v>
          </cell>
          <cell r="C9216" t="str">
            <v>_BRS_GOLD__5_EQ:BRS_GOLD__1_EQX:BASIS_TW_12</v>
          </cell>
          <cell r="F9216" t="str">
            <v>EQ-Equity Implied Volatility</v>
          </cell>
          <cell r="G9216" t="str">
            <v>EQ-Other</v>
          </cell>
          <cell r="H9216" t="str">
            <v>EQ_INDICES</v>
          </cell>
          <cell r="I9216" t="str">
            <v>Equity Implied Volatility</v>
          </cell>
        </row>
        <row r="9217">
          <cell r="A9217" t="str">
            <v>BASIS_ZAP_1</v>
          </cell>
          <cell r="B9217" t="str">
            <v>MSCI APAC EX JAPAN basis 1</v>
          </cell>
          <cell r="C9217" t="str">
            <v>_BRS_GOLD__5_EQ:BRS_GOLD__1_EQX:BASIS_ZAP_1</v>
          </cell>
          <cell r="F9217" t="str">
            <v>EQ-Equity Implied Volatility</v>
          </cell>
          <cell r="G9217" t="str">
            <v>EQ-Other</v>
          </cell>
          <cell r="H9217" t="str">
            <v>EQ_INDICES</v>
          </cell>
          <cell r="I9217" t="str">
            <v>Equity Implied Volatility</v>
          </cell>
        </row>
        <row r="9218">
          <cell r="A9218" t="str">
            <v>BASIS_ZAP_2</v>
          </cell>
          <cell r="B9218" t="str">
            <v>MSCI APAC EX JAPAN basis 2</v>
          </cell>
          <cell r="C9218" t="str">
            <v>_BRS_GOLD__5_EQ:BRS_GOLD__1_EQX:BASIS_ZAP_2</v>
          </cell>
          <cell r="F9218" t="str">
            <v>EQ-Equity Implied Volatility</v>
          </cell>
          <cell r="G9218" t="str">
            <v>EQ-Other</v>
          </cell>
          <cell r="H9218" t="str">
            <v>EQ_INDICES</v>
          </cell>
          <cell r="I9218" t="str">
            <v>Equity Implied Volatility</v>
          </cell>
        </row>
        <row r="9219">
          <cell r="A9219" t="str">
            <v>BASIS_ZAP_3</v>
          </cell>
          <cell r="B9219" t="str">
            <v>MSCI APAC EX JAPAN basis 3</v>
          </cell>
          <cell r="C9219" t="str">
            <v>_BRS_GOLD__5_EQ:BRS_GOLD__1_EQX:BASIS_ZAP_3</v>
          </cell>
          <cell r="F9219" t="str">
            <v>EQ-Equity Implied Volatility</v>
          </cell>
          <cell r="G9219" t="str">
            <v>EQ-Other</v>
          </cell>
          <cell r="H9219" t="str">
            <v>EQ_INDICES</v>
          </cell>
          <cell r="I9219" t="str">
            <v>Equity Implied Volatility</v>
          </cell>
        </row>
        <row r="9220">
          <cell r="A9220" t="str">
            <v>BASIS_ZAP_4</v>
          </cell>
          <cell r="B9220" t="str">
            <v>MSCI APAC EX JAPAN basis 4</v>
          </cell>
          <cell r="C9220" t="str">
            <v>_BRS_GOLD__5_EQ:BRS_GOLD__1_EQX:BASIS_ZAP_4</v>
          </cell>
          <cell r="F9220" t="str">
            <v>EQ-Equity Implied Volatility</v>
          </cell>
          <cell r="G9220" t="str">
            <v>EQ-Other</v>
          </cell>
          <cell r="H9220" t="str">
            <v>EQ_INDICES</v>
          </cell>
          <cell r="I9220" t="str">
            <v>Equity Implied Volatility</v>
          </cell>
        </row>
        <row r="9221">
          <cell r="A9221" t="str">
            <v>BASIS_ZAP_5</v>
          </cell>
          <cell r="B9221" t="str">
            <v>MSCI APAC EX JAPAN basis 5</v>
          </cell>
          <cell r="C9221" t="str">
            <v>_BRS_GOLD__5_EQ:BRS_GOLD__1_EQX:BASIS_ZAP_5</v>
          </cell>
          <cell r="F9221" t="str">
            <v>EQ-Equity Implied Volatility</v>
          </cell>
          <cell r="G9221" t="str">
            <v>EQ-Other</v>
          </cell>
          <cell r="H9221" t="str">
            <v>EQ_INDICES</v>
          </cell>
          <cell r="I9221" t="str">
            <v>Equity Implied Volatility</v>
          </cell>
        </row>
        <row r="9222">
          <cell r="A9222" t="str">
            <v>BASIS_ZAP_6</v>
          </cell>
          <cell r="B9222" t="str">
            <v>MSCI APAC EX JAPAN basis 6</v>
          </cell>
          <cell r="C9222" t="str">
            <v>_BRS_GOLD__5_EQ:BRS_GOLD__1_EQX:BASIS_ZAP_6</v>
          </cell>
          <cell r="F9222" t="str">
            <v>EQ-Equity Implied Volatility</v>
          </cell>
          <cell r="G9222" t="str">
            <v>EQ-Other</v>
          </cell>
          <cell r="H9222" t="str">
            <v>EQ_INDICES</v>
          </cell>
          <cell r="I9222" t="str">
            <v>Equity Implied Volatility</v>
          </cell>
        </row>
        <row r="9223">
          <cell r="A9223" t="str">
            <v>BASIS_ZAP_7</v>
          </cell>
          <cell r="B9223" t="str">
            <v>MSCI APAC EX JAPAN basis 7</v>
          </cell>
          <cell r="C9223" t="str">
            <v>_BRS_GOLD__5_EQ:BRS_GOLD__1_EQX:BASIS_ZAP_7</v>
          </cell>
          <cell r="F9223" t="str">
            <v>EQ-Equity Implied Volatility</v>
          </cell>
          <cell r="G9223" t="str">
            <v>EQ-Other</v>
          </cell>
          <cell r="H9223" t="str">
            <v>EQ_INDICES</v>
          </cell>
          <cell r="I9223" t="str">
            <v>Equity Implied Volatility</v>
          </cell>
        </row>
        <row r="9224">
          <cell r="A9224" t="str">
            <v>BASIS_ZAP_8</v>
          </cell>
          <cell r="B9224" t="str">
            <v>MSCI APAC EX JAPAN basis 8</v>
          </cell>
          <cell r="C9224" t="str">
            <v>_BRS_GOLD__5_EQ:BRS_GOLD__1_EQX:BASIS_ZAP_8</v>
          </cell>
          <cell r="F9224" t="str">
            <v>EQ-Equity Implied Volatility</v>
          </cell>
          <cell r="G9224" t="str">
            <v>EQ-Other</v>
          </cell>
          <cell r="H9224" t="str">
            <v>EQ_INDICES</v>
          </cell>
          <cell r="I9224" t="str">
            <v>Equity Implied Volatility</v>
          </cell>
        </row>
        <row r="9225">
          <cell r="A9225" t="str">
            <v>BASIS_ZAP_9</v>
          </cell>
          <cell r="B9225" t="str">
            <v>MSCI APAC EX JAPAN basis 9</v>
          </cell>
          <cell r="C9225" t="str">
            <v>_BRS_GOLD__5_EQ:BRS_GOLD__1_EQX:BASIS_ZAP_9</v>
          </cell>
          <cell r="F9225" t="str">
            <v>EQ-Equity Implied Volatility</v>
          </cell>
          <cell r="G9225" t="str">
            <v>EQ-Other</v>
          </cell>
          <cell r="H9225" t="str">
            <v>EQ_INDICES</v>
          </cell>
          <cell r="I9225" t="str">
            <v>Equity Implied Volatility</v>
          </cell>
        </row>
        <row r="9226">
          <cell r="A9226" t="str">
            <v>BASIS_ZAP_10</v>
          </cell>
          <cell r="B9226" t="str">
            <v>MSCI APAC EX JAPAN basis 10</v>
          </cell>
          <cell r="C9226" t="str">
            <v>_BRS_GOLD__5_EQ:BRS_GOLD__1_EQX:BASIS_ZAP_10</v>
          </cell>
          <cell r="F9226" t="str">
            <v>EQ-Equity Implied Volatility</v>
          </cell>
          <cell r="G9226" t="str">
            <v>EQ-Other</v>
          </cell>
          <cell r="H9226" t="str">
            <v>EQ_INDICES</v>
          </cell>
          <cell r="I9226" t="str">
            <v>Equity Implied Volatility</v>
          </cell>
        </row>
        <row r="9227">
          <cell r="A9227" t="str">
            <v>BASIS_ZAP_11</v>
          </cell>
          <cell r="B9227" t="str">
            <v>MSCI APAC EX JAPAN basis 11</v>
          </cell>
          <cell r="C9227" t="str">
            <v>_BRS_GOLD__5_EQ:BRS_GOLD__1_EQX:BASIS_ZAP_11</v>
          </cell>
          <cell r="F9227" t="str">
            <v>EQ-Equity Implied Volatility</v>
          </cell>
          <cell r="G9227" t="str">
            <v>EQ-Other</v>
          </cell>
          <cell r="H9227" t="str">
            <v>EQ_INDICES</v>
          </cell>
          <cell r="I9227" t="str">
            <v>Equity Implied Volatility</v>
          </cell>
        </row>
        <row r="9228">
          <cell r="A9228" t="str">
            <v>BASIS_ZAP_12</v>
          </cell>
          <cell r="B9228" t="str">
            <v>MSCI APAC EX JAPAN basis 12</v>
          </cell>
          <cell r="C9228" t="str">
            <v>_BRS_GOLD__5_EQ:BRS_GOLD__1_EQX:BASIS_ZAP_12</v>
          </cell>
          <cell r="F9228" t="str">
            <v>EQ-Equity Implied Volatility</v>
          </cell>
          <cell r="G9228" t="str">
            <v>EQ-Other</v>
          </cell>
          <cell r="H9228" t="str">
            <v>EQ_INDICES</v>
          </cell>
          <cell r="I9228" t="str">
            <v>Equity Implied Volatility</v>
          </cell>
        </row>
        <row r="9229">
          <cell r="A9229" t="str">
            <v>BASIS_FVS_1</v>
          </cell>
          <cell r="B9229" t="str">
            <v>VSTOXX MINI FUTURE basis 1</v>
          </cell>
          <cell r="C9229" t="str">
            <v>_BRS_GOLD__5_EQ:BRS_GOLD__1_EQX:BASIS_FVS_1</v>
          </cell>
          <cell r="F9229" t="str">
            <v>EQ-Equity Implied Volatility</v>
          </cell>
          <cell r="G9229" t="str">
            <v>EQ-Other</v>
          </cell>
          <cell r="H9229" t="str">
            <v>EQ_INDICES</v>
          </cell>
          <cell r="I9229" t="str">
            <v>Equity Implied Volatility</v>
          </cell>
        </row>
        <row r="9230">
          <cell r="A9230" t="str">
            <v>BASIS_FVS_2</v>
          </cell>
          <cell r="B9230" t="str">
            <v>VSTOXX MINI FUTURE basis 2</v>
          </cell>
          <cell r="C9230" t="str">
            <v>_BRS_GOLD__5_EQ:BRS_GOLD__1_EQX:BASIS_FVS_2</v>
          </cell>
          <cell r="F9230" t="str">
            <v>EQ-Equity Implied Volatility</v>
          </cell>
          <cell r="G9230" t="str">
            <v>EQ-Other</v>
          </cell>
          <cell r="H9230" t="str">
            <v>EQ_INDICES</v>
          </cell>
          <cell r="I9230" t="str">
            <v>Equity Implied Volatility</v>
          </cell>
        </row>
        <row r="9231">
          <cell r="A9231" t="str">
            <v>BASIS_FVS_3</v>
          </cell>
          <cell r="B9231" t="str">
            <v>VSTOXX MINI FUTURE basis 3</v>
          </cell>
          <cell r="C9231" t="str">
            <v>_BRS_GOLD__5_EQ:BRS_GOLD__1_EQX:BASIS_FVS_3</v>
          </cell>
          <cell r="F9231" t="str">
            <v>EQ-Equity Implied Volatility</v>
          </cell>
          <cell r="G9231" t="str">
            <v>EQ-Other</v>
          </cell>
          <cell r="H9231" t="str">
            <v>EQ_INDICES</v>
          </cell>
          <cell r="I9231" t="str">
            <v>Equity Implied Volatility</v>
          </cell>
        </row>
        <row r="9232">
          <cell r="A9232" t="str">
            <v>BASIS_FVS_4</v>
          </cell>
          <cell r="B9232" t="str">
            <v>VSTOXX MINI FUTURE basis 4</v>
          </cell>
          <cell r="C9232" t="str">
            <v>_BRS_GOLD__5_EQ:BRS_GOLD__1_EQX:BASIS_FVS_4</v>
          </cell>
          <cell r="F9232" t="str">
            <v>EQ-Equity Implied Volatility</v>
          </cell>
          <cell r="G9232" t="str">
            <v>EQ-Other</v>
          </cell>
          <cell r="H9232" t="str">
            <v>EQ_INDICES</v>
          </cell>
          <cell r="I9232" t="str">
            <v>Equity Implied Volatility</v>
          </cell>
        </row>
        <row r="9233">
          <cell r="A9233" t="str">
            <v>BASIS_FVS_5</v>
          </cell>
          <cell r="B9233" t="str">
            <v>VSTOXX MINI FUTURE basis 5</v>
          </cell>
          <cell r="C9233" t="str">
            <v>_BRS_GOLD__5_EQ:BRS_GOLD__1_EQX:BASIS_FVS_5</v>
          </cell>
          <cell r="F9233" t="str">
            <v>EQ-Equity Implied Volatility</v>
          </cell>
          <cell r="G9233" t="str">
            <v>EQ-Other</v>
          </cell>
          <cell r="H9233" t="str">
            <v>EQ_INDICES</v>
          </cell>
          <cell r="I9233" t="str">
            <v>Equity Implied Volatility</v>
          </cell>
        </row>
        <row r="9234">
          <cell r="A9234" t="str">
            <v>BASIS_FVS_6</v>
          </cell>
          <cell r="B9234" t="str">
            <v>VSTOXX MINI FUTURE basis 6</v>
          </cell>
          <cell r="C9234" t="str">
            <v>_BRS_GOLD__5_EQ:BRS_GOLD__1_EQX:BASIS_FVS_6</v>
          </cell>
          <cell r="F9234" t="str">
            <v>EQ-Equity Implied Volatility</v>
          </cell>
          <cell r="G9234" t="str">
            <v>EQ-Other</v>
          </cell>
          <cell r="H9234" t="str">
            <v>EQ_INDICES</v>
          </cell>
          <cell r="I9234" t="str">
            <v>Equity Implied Volatility</v>
          </cell>
        </row>
        <row r="9235">
          <cell r="A9235" t="str">
            <v>BASIS_FVS_7</v>
          </cell>
          <cell r="B9235" t="str">
            <v>VSTOXX MINI FUTURE basis 7</v>
          </cell>
          <cell r="C9235" t="str">
            <v>_BRS_GOLD__5_EQ:BRS_GOLD__1_EQX:BASIS_FVS_7</v>
          </cell>
          <cell r="F9235" t="str">
            <v>EQ-Equity Implied Volatility</v>
          </cell>
          <cell r="G9235" t="str">
            <v>EQ-Other</v>
          </cell>
          <cell r="H9235" t="str">
            <v>EQ_INDICES</v>
          </cell>
          <cell r="I9235" t="str">
            <v>Equity Implied Volatility</v>
          </cell>
        </row>
        <row r="9236">
          <cell r="A9236" t="str">
            <v>BASIS_FVS_8</v>
          </cell>
          <cell r="B9236" t="str">
            <v>VSTOXX MINI FUTURE basis 8</v>
          </cell>
          <cell r="C9236" t="str">
            <v>_BRS_GOLD__5_EQ:BRS_GOLD__1_EQX:BASIS_FVS_8</v>
          </cell>
          <cell r="F9236" t="str">
            <v>EQ-Equity Implied Volatility</v>
          </cell>
          <cell r="G9236" t="str">
            <v>EQ-Other</v>
          </cell>
          <cell r="H9236" t="str">
            <v>EQ_INDICES</v>
          </cell>
          <cell r="I9236" t="str">
            <v>Equity Implied Volatility</v>
          </cell>
        </row>
        <row r="9237">
          <cell r="A9237" t="str">
            <v>BASIS_FVS_9</v>
          </cell>
          <cell r="B9237" t="str">
            <v>VSTOXX MINI FUTURE basis 9</v>
          </cell>
          <cell r="C9237" t="str">
            <v>_BRS_GOLD__5_EQ:BRS_GOLD__1_EQX:BASIS_FVS_9</v>
          </cell>
          <cell r="F9237" t="str">
            <v>EQ-Equity Implied Volatility</v>
          </cell>
          <cell r="G9237" t="str">
            <v>EQ-Other</v>
          </cell>
          <cell r="H9237" t="str">
            <v>EQ_INDICES</v>
          </cell>
          <cell r="I9237" t="str">
            <v>Equity Implied Volatility</v>
          </cell>
        </row>
        <row r="9238">
          <cell r="A9238" t="str">
            <v>BASIS_FVS_10</v>
          </cell>
          <cell r="B9238" t="str">
            <v>VSTOXX MINI FUTURE basis 10</v>
          </cell>
          <cell r="C9238" t="str">
            <v>_BRS_GOLD__5_EQ:BRS_GOLD__1_EQX:BASIS_FVS_10</v>
          </cell>
          <cell r="F9238" t="str">
            <v>EQ-Equity Implied Volatility</v>
          </cell>
          <cell r="G9238" t="str">
            <v>EQ-Other</v>
          </cell>
          <cell r="H9238" t="str">
            <v>EQ_INDICES</v>
          </cell>
          <cell r="I9238" t="str">
            <v>Equity Implied Volatility</v>
          </cell>
        </row>
        <row r="9239">
          <cell r="A9239" t="str">
            <v>BASIS_FVS_11</v>
          </cell>
          <cell r="B9239" t="str">
            <v>VSTOXX MINI FUTURE basis 11</v>
          </cell>
          <cell r="C9239" t="str">
            <v>_BRS_GOLD__5_EQ:BRS_GOLD__1_EQX:BASIS_FVS_11</v>
          </cell>
          <cell r="F9239" t="str">
            <v>EQ-Equity Implied Volatility</v>
          </cell>
          <cell r="G9239" t="str">
            <v>EQ-Other</v>
          </cell>
          <cell r="H9239" t="str">
            <v>EQ_INDICES</v>
          </cell>
          <cell r="I9239" t="str">
            <v>Equity Implied Volatility</v>
          </cell>
        </row>
        <row r="9240">
          <cell r="A9240" t="str">
            <v>BASIS_FVS_12</v>
          </cell>
          <cell r="B9240" t="str">
            <v>VSTOXX MINI FUTURE basis 12</v>
          </cell>
          <cell r="C9240" t="str">
            <v>_BRS_GOLD__5_EQ:BRS_GOLD__1_EQX:BASIS_FVS_12</v>
          </cell>
          <cell r="F9240" t="str">
            <v>EQ-Equity Implied Volatility</v>
          </cell>
          <cell r="G9240" t="str">
            <v>EQ-Other</v>
          </cell>
          <cell r="H9240" t="str">
            <v>EQ_INDICES</v>
          </cell>
          <cell r="I9240" t="str">
            <v>Equity Implied Volatility</v>
          </cell>
        </row>
        <row r="9241">
          <cell r="A9241" t="str">
            <v>BASIS_NX_1</v>
          </cell>
          <cell r="B9241" t="str">
            <v>NIKKEI 225 HEDGED basis 1</v>
          </cell>
          <cell r="C9241" t="str">
            <v>_BRS_GOLD__5_EQ:BRS_GOLD__1_EQX:BASIS_NX_1</v>
          </cell>
          <cell r="F9241" t="str">
            <v>EQ-Equity Implied Volatility</v>
          </cell>
          <cell r="G9241" t="str">
            <v>EQ-Other</v>
          </cell>
          <cell r="H9241" t="str">
            <v>EQ_INDICES</v>
          </cell>
          <cell r="I9241" t="str">
            <v>Equity Implied Volatility</v>
          </cell>
        </row>
        <row r="9242">
          <cell r="A9242" t="str">
            <v>BASIS_NX_2</v>
          </cell>
          <cell r="B9242" t="str">
            <v>NIKKEI 225 HEDGED basis 2</v>
          </cell>
          <cell r="C9242" t="str">
            <v>_BRS_GOLD__5_EQ:BRS_GOLD__1_EQX:BASIS_NX_2</v>
          </cell>
          <cell r="F9242" t="str">
            <v>EQ-Equity Implied Volatility</v>
          </cell>
          <cell r="G9242" t="str">
            <v>EQ-Other</v>
          </cell>
          <cell r="H9242" t="str">
            <v>EQ_INDICES</v>
          </cell>
          <cell r="I9242" t="str">
            <v>Equity Implied Volatility</v>
          </cell>
        </row>
        <row r="9243">
          <cell r="A9243" t="str">
            <v>BASIS_NX_3</v>
          </cell>
          <cell r="B9243" t="str">
            <v>NIKKEI 225 HEDGED basis 3</v>
          </cell>
          <cell r="C9243" t="str">
            <v>_BRS_GOLD__5_EQ:BRS_GOLD__1_EQX:BASIS_NX_3</v>
          </cell>
          <cell r="F9243" t="str">
            <v>EQ-Equity Implied Volatility</v>
          </cell>
          <cell r="G9243" t="str">
            <v>EQ-Other</v>
          </cell>
          <cell r="H9243" t="str">
            <v>EQ_INDICES</v>
          </cell>
          <cell r="I9243" t="str">
            <v>Equity Implied Volatility</v>
          </cell>
        </row>
        <row r="9244">
          <cell r="A9244" t="str">
            <v>BASIS_NX_4</v>
          </cell>
          <cell r="B9244" t="str">
            <v>NIKKEI 225 HEDGED basis 4</v>
          </cell>
          <cell r="C9244" t="str">
            <v>_BRS_GOLD__5_EQ:BRS_GOLD__1_EQX:BASIS_NX_4</v>
          </cell>
          <cell r="F9244" t="str">
            <v>EQ-Equity Implied Volatility</v>
          </cell>
          <cell r="G9244" t="str">
            <v>EQ-Other</v>
          </cell>
          <cell r="H9244" t="str">
            <v>EQ_INDICES</v>
          </cell>
          <cell r="I9244" t="str">
            <v>Equity Implied Volatility</v>
          </cell>
        </row>
        <row r="9245">
          <cell r="A9245" t="str">
            <v>BASIS_NX_5</v>
          </cell>
          <cell r="B9245" t="str">
            <v>NIKKEI 225 HEDGED basis 5</v>
          </cell>
          <cell r="C9245" t="str">
            <v>_BRS_GOLD__5_EQ:BRS_GOLD__1_EQX:BASIS_NX_5</v>
          </cell>
          <cell r="F9245" t="str">
            <v>EQ-Equity Implied Volatility</v>
          </cell>
          <cell r="G9245" t="str">
            <v>EQ-Other</v>
          </cell>
          <cell r="H9245" t="str">
            <v>EQ_INDICES</v>
          </cell>
          <cell r="I9245" t="str">
            <v>Equity Implied Volatility</v>
          </cell>
        </row>
        <row r="9246">
          <cell r="A9246" t="str">
            <v>BASIS_NX_6</v>
          </cell>
          <cell r="B9246" t="str">
            <v>NIKKEI 225 HEDGED basis 6</v>
          </cell>
          <cell r="C9246" t="str">
            <v>_BRS_GOLD__5_EQ:BRS_GOLD__1_EQX:BASIS_NX_6</v>
          </cell>
          <cell r="F9246" t="str">
            <v>EQ-Equity Implied Volatility</v>
          </cell>
          <cell r="G9246" t="str">
            <v>EQ-Other</v>
          </cell>
          <cell r="H9246" t="str">
            <v>EQ_INDICES</v>
          </cell>
          <cell r="I9246" t="str">
            <v>Equity Implied Volatility</v>
          </cell>
        </row>
        <row r="9247">
          <cell r="A9247" t="str">
            <v>BASIS_NX_7</v>
          </cell>
          <cell r="B9247" t="str">
            <v>NIKKEI 225 HEDGED basis 7</v>
          </cell>
          <cell r="C9247" t="str">
            <v>_BRS_GOLD__5_EQ:BRS_GOLD__1_EQX:BASIS_NX_7</v>
          </cell>
          <cell r="F9247" t="str">
            <v>EQ-Equity Implied Volatility</v>
          </cell>
          <cell r="G9247" t="str">
            <v>EQ-Other</v>
          </cell>
          <cell r="H9247" t="str">
            <v>EQ_INDICES</v>
          </cell>
          <cell r="I9247" t="str">
            <v>Equity Implied Volatility</v>
          </cell>
        </row>
        <row r="9248">
          <cell r="A9248" t="str">
            <v>BASIS_NX_8</v>
          </cell>
          <cell r="B9248" t="str">
            <v>NIKKEI 225 HEDGED basis 8</v>
          </cell>
          <cell r="C9248" t="str">
            <v>_BRS_GOLD__5_EQ:BRS_GOLD__1_EQX:BASIS_NX_8</v>
          </cell>
          <cell r="F9248" t="str">
            <v>EQ-Equity Implied Volatility</v>
          </cell>
          <cell r="G9248" t="str">
            <v>EQ-Other</v>
          </cell>
          <cell r="H9248" t="str">
            <v>EQ_INDICES</v>
          </cell>
          <cell r="I9248" t="str">
            <v>Equity Implied Volatility</v>
          </cell>
        </row>
        <row r="9249">
          <cell r="A9249" t="str">
            <v>BASIS_NX_9</v>
          </cell>
          <cell r="B9249" t="str">
            <v>NIKKEI 225 HEDGED basis 9</v>
          </cell>
          <cell r="C9249" t="str">
            <v>_BRS_GOLD__5_EQ:BRS_GOLD__1_EQX:BASIS_NX_9</v>
          </cell>
          <cell r="F9249" t="str">
            <v>EQ-Equity Implied Volatility</v>
          </cell>
          <cell r="G9249" t="str">
            <v>EQ-Other</v>
          </cell>
          <cell r="H9249" t="str">
            <v>EQ_INDICES</v>
          </cell>
          <cell r="I9249" t="str">
            <v>Equity Implied Volatility</v>
          </cell>
        </row>
        <row r="9250">
          <cell r="A9250" t="str">
            <v>BASIS_NX_10</v>
          </cell>
          <cell r="B9250" t="str">
            <v>NIKKEI 225 HEDGED basis 10</v>
          </cell>
          <cell r="C9250" t="str">
            <v>_BRS_GOLD__5_EQ:BRS_GOLD__1_EQX:BASIS_NX_10</v>
          </cell>
          <cell r="F9250" t="str">
            <v>EQ-Equity Implied Volatility</v>
          </cell>
          <cell r="G9250" t="str">
            <v>EQ-Other</v>
          </cell>
          <cell r="H9250" t="str">
            <v>EQ_INDICES</v>
          </cell>
          <cell r="I9250" t="str">
            <v>Equity Implied Volatility</v>
          </cell>
        </row>
        <row r="9251">
          <cell r="A9251" t="str">
            <v>BASIS_NX_11</v>
          </cell>
          <cell r="B9251" t="str">
            <v>NIKKEI 225 HEDGED basis 11</v>
          </cell>
          <cell r="C9251" t="str">
            <v>_BRS_GOLD__5_EQ:BRS_GOLD__1_EQX:BASIS_NX_11</v>
          </cell>
          <cell r="F9251" t="str">
            <v>EQ-Equity Implied Volatility</v>
          </cell>
          <cell r="G9251" t="str">
            <v>EQ-Other</v>
          </cell>
          <cell r="H9251" t="str">
            <v>EQ_INDICES</v>
          </cell>
          <cell r="I9251" t="str">
            <v>Equity Implied Volatility</v>
          </cell>
        </row>
        <row r="9252">
          <cell r="A9252" t="str">
            <v>BASIS_NX_12</v>
          </cell>
          <cell r="B9252" t="str">
            <v>NIKKEI 225 HEDGED basis 12</v>
          </cell>
          <cell r="C9252" t="str">
            <v>_BRS_GOLD__5_EQ:BRS_GOLD__1_EQX:BASIS_NX_12</v>
          </cell>
          <cell r="F9252" t="str">
            <v>EQ-Equity Implied Volatility</v>
          </cell>
          <cell r="G9252" t="str">
            <v>EQ-Other</v>
          </cell>
          <cell r="H9252" t="str">
            <v>EQ_INDICES</v>
          </cell>
          <cell r="I9252" t="str">
            <v>Equity Implied Volatility</v>
          </cell>
        </row>
        <row r="9253">
          <cell r="A9253" t="str">
            <v>BASIS_UX_1</v>
          </cell>
          <cell r="B9253" t="str">
            <v>CBOE VIX basis 1</v>
          </cell>
          <cell r="C9253" t="str">
            <v>_BRS_GOLD__5_EQ:BRS_GOLD__1_EQX:BASIS_UX_1</v>
          </cell>
          <cell r="F9253" t="str">
            <v>EQ-Equity Implied Volatility</v>
          </cell>
          <cell r="G9253" t="str">
            <v>EQ-Other</v>
          </cell>
          <cell r="H9253" t="str">
            <v>EQ_INDICES</v>
          </cell>
          <cell r="I9253" t="str">
            <v>Equity Implied Volatility</v>
          </cell>
        </row>
        <row r="9254">
          <cell r="A9254" t="str">
            <v>BASIS_UX_2</v>
          </cell>
          <cell r="B9254" t="str">
            <v>CBOE VIX basis 2</v>
          </cell>
          <cell r="C9254" t="str">
            <v>_BRS_GOLD__5_EQ:BRS_GOLD__1_EQX:BASIS_UX_2</v>
          </cell>
          <cell r="F9254" t="str">
            <v>EQ-Equity Implied Volatility</v>
          </cell>
          <cell r="G9254" t="str">
            <v>EQ-Other</v>
          </cell>
          <cell r="H9254" t="str">
            <v>EQ_INDICES</v>
          </cell>
          <cell r="I9254" t="str">
            <v>Equity Implied Volatility</v>
          </cell>
        </row>
        <row r="9255">
          <cell r="A9255" t="str">
            <v>BASIS_UX_3</v>
          </cell>
          <cell r="B9255" t="str">
            <v>CBOE VIX basis 3</v>
          </cell>
          <cell r="C9255" t="str">
            <v>_BRS_GOLD__5_EQ:BRS_GOLD__1_EQX:BASIS_UX_3</v>
          </cell>
          <cell r="F9255" t="str">
            <v>EQ-Equity Implied Volatility</v>
          </cell>
          <cell r="G9255" t="str">
            <v>EQ-Other</v>
          </cell>
          <cell r="H9255" t="str">
            <v>EQ_INDICES</v>
          </cell>
          <cell r="I9255" t="str">
            <v>Equity Implied Volatility</v>
          </cell>
        </row>
        <row r="9256">
          <cell r="A9256" t="str">
            <v>BASIS_UX_4</v>
          </cell>
          <cell r="B9256" t="str">
            <v>CBOE VIX basis 4</v>
          </cell>
          <cell r="C9256" t="str">
            <v>_BRS_GOLD__5_EQ:BRS_GOLD__1_EQX:BASIS_UX_4</v>
          </cell>
          <cell r="F9256" t="str">
            <v>EQ-Equity Implied Volatility</v>
          </cell>
          <cell r="G9256" t="str">
            <v>EQ-Other</v>
          </cell>
          <cell r="H9256" t="str">
            <v>EQ_INDICES</v>
          </cell>
          <cell r="I9256" t="str">
            <v>Equity Implied Volatility</v>
          </cell>
        </row>
        <row r="9257">
          <cell r="A9257" t="str">
            <v>BASIS_UX_5</v>
          </cell>
          <cell r="B9257" t="str">
            <v>CBOE VIX basis 5</v>
          </cell>
          <cell r="C9257" t="str">
            <v>_BRS_GOLD__5_EQ:BRS_GOLD__1_EQX:BASIS_UX_5</v>
          </cell>
          <cell r="F9257" t="str">
            <v>EQ-Equity Implied Volatility</v>
          </cell>
          <cell r="G9257" t="str">
            <v>EQ-Other</v>
          </cell>
          <cell r="H9257" t="str">
            <v>EQ_INDICES</v>
          </cell>
          <cell r="I9257" t="str">
            <v>Equity Implied Volatility</v>
          </cell>
        </row>
        <row r="9258">
          <cell r="A9258" t="str">
            <v>BASIS_UX_6</v>
          </cell>
          <cell r="B9258" t="str">
            <v>CBOE VIX basis 6</v>
          </cell>
          <cell r="C9258" t="str">
            <v>_BRS_GOLD__5_EQ:BRS_GOLD__1_EQX:BASIS_UX_6</v>
          </cell>
          <cell r="F9258" t="str">
            <v>EQ-Equity Implied Volatility</v>
          </cell>
          <cell r="G9258" t="str">
            <v>EQ-Other</v>
          </cell>
          <cell r="H9258" t="str">
            <v>EQ_INDICES</v>
          </cell>
          <cell r="I9258" t="str">
            <v>Equity Implied Volatility</v>
          </cell>
        </row>
        <row r="9259">
          <cell r="A9259" t="str">
            <v>BASIS_UX_7</v>
          </cell>
          <cell r="B9259" t="str">
            <v>CBOE VIX basis 7</v>
          </cell>
          <cell r="C9259" t="str">
            <v>_BRS_GOLD__5_EQ:BRS_GOLD__1_EQX:BASIS_UX_7</v>
          </cell>
          <cell r="F9259" t="str">
            <v>EQ-Equity Implied Volatility</v>
          </cell>
          <cell r="G9259" t="str">
            <v>EQ-Other</v>
          </cell>
          <cell r="H9259" t="str">
            <v>EQ_INDICES</v>
          </cell>
          <cell r="I9259" t="str">
            <v>Equity Implied Volatility</v>
          </cell>
        </row>
        <row r="9260">
          <cell r="A9260" t="str">
            <v>BASIS_UX_8</v>
          </cell>
          <cell r="B9260" t="str">
            <v>CBOE VIX basis 8</v>
          </cell>
          <cell r="C9260" t="str">
            <v>_BRS_GOLD__5_EQ:BRS_GOLD__1_EQX:BASIS_UX_8</v>
          </cell>
          <cell r="F9260" t="str">
            <v>EQ-Equity Implied Volatility</v>
          </cell>
          <cell r="G9260" t="str">
            <v>EQ-Other</v>
          </cell>
          <cell r="H9260" t="str">
            <v>EQ_INDICES</v>
          </cell>
          <cell r="I9260" t="str">
            <v>Equity Implied Volatility</v>
          </cell>
        </row>
        <row r="9261">
          <cell r="A9261" t="str">
            <v>BASIS_UX_9</v>
          </cell>
          <cell r="B9261" t="str">
            <v>CBOE VIX basis 9</v>
          </cell>
          <cell r="C9261" t="str">
            <v>_BRS_GOLD__5_EQ:BRS_GOLD__1_EQX:BASIS_UX_9</v>
          </cell>
          <cell r="F9261" t="str">
            <v>EQ-Equity Implied Volatility</v>
          </cell>
          <cell r="G9261" t="str">
            <v>EQ-Other</v>
          </cell>
          <cell r="H9261" t="str">
            <v>EQ_INDICES</v>
          </cell>
          <cell r="I9261" t="str">
            <v>Equity Implied Volatility</v>
          </cell>
        </row>
        <row r="9262">
          <cell r="A9262" t="str">
            <v>BASIS_UX_10</v>
          </cell>
          <cell r="B9262" t="str">
            <v>CBOE VIX basis 10</v>
          </cell>
          <cell r="C9262" t="str">
            <v>_BRS_GOLD__5_EQ:BRS_GOLD__1_EQX:BASIS_UX_10</v>
          </cell>
          <cell r="F9262" t="str">
            <v>EQ-Equity Implied Volatility</v>
          </cell>
          <cell r="G9262" t="str">
            <v>EQ-Other</v>
          </cell>
          <cell r="H9262" t="str">
            <v>EQ_INDICES</v>
          </cell>
          <cell r="I9262" t="str">
            <v>Equity Implied Volatility</v>
          </cell>
        </row>
        <row r="9263">
          <cell r="A9263" t="str">
            <v>BASIS_UX_11</v>
          </cell>
          <cell r="B9263" t="str">
            <v>CBOE VIX basis 11</v>
          </cell>
          <cell r="C9263" t="str">
            <v>_BRS_GOLD__5_EQ:BRS_GOLD__1_EQX:BASIS_UX_11</v>
          </cell>
          <cell r="F9263" t="str">
            <v>EQ-Equity Implied Volatility</v>
          </cell>
          <cell r="G9263" t="str">
            <v>EQ-Other</v>
          </cell>
          <cell r="H9263" t="str">
            <v>EQ_INDICES</v>
          </cell>
          <cell r="I9263" t="str">
            <v>Equity Implied Volatility</v>
          </cell>
        </row>
        <row r="9264">
          <cell r="A9264" t="str">
            <v>BASIS_UX_12</v>
          </cell>
          <cell r="B9264" t="str">
            <v>CBOE VIX basis 12</v>
          </cell>
          <cell r="C9264" t="str">
            <v>_BRS_GOLD__5_EQ:BRS_GOLD__1_EQX:BASIS_UX_12</v>
          </cell>
          <cell r="F9264" t="str">
            <v>EQ-Equity Implied Volatility</v>
          </cell>
          <cell r="G9264" t="str">
            <v>EQ-Other</v>
          </cell>
          <cell r="H9264" t="str">
            <v>EQ_INDICES</v>
          </cell>
          <cell r="I9264" t="str">
            <v>Equity Implied Volatility</v>
          </cell>
        </row>
        <row r="9265">
          <cell r="A9265" t="str">
            <v>[AED_FX_USD-HUF_FX_USD]</v>
          </cell>
          <cell r="B9265" t="str">
            <v>AED/HUF</v>
          </cell>
          <cell r="C9265" t="str">
            <v>Foreign Exchange:AED/HUF</v>
          </cell>
          <cell r="D9265" t="str">
            <v>FX</v>
          </cell>
          <cell r="E9265" t="str">
            <v>FX</v>
          </cell>
          <cell r="F9265" t="str">
            <v>FX-Emerging Currency</v>
          </cell>
          <cell r="G9265" t="str">
            <v>FX-Emerging Currency</v>
          </cell>
          <cell r="H9265" t="str">
            <v>FX</v>
          </cell>
          <cell r="I9265" t="str">
            <v>Emerging Currency</v>
          </cell>
        </row>
        <row r="9266">
          <cell r="A9266" t="str">
            <v>[ARS_FX_USD-HUF_FX_USD]</v>
          </cell>
          <cell r="B9266" t="str">
            <v>ARS/HUF</v>
          </cell>
          <cell r="C9266" t="str">
            <v>Foreign Exchange:ARS/HUF</v>
          </cell>
          <cell r="D9266" t="str">
            <v>FX</v>
          </cell>
          <cell r="E9266" t="str">
            <v>FX</v>
          </cell>
          <cell r="F9266" t="str">
            <v>FX-Emerging Currency</v>
          </cell>
          <cell r="G9266" t="str">
            <v>FX-Emerging Currency</v>
          </cell>
          <cell r="H9266" t="str">
            <v>FX</v>
          </cell>
          <cell r="I9266" t="str">
            <v>Emerging Currency</v>
          </cell>
        </row>
        <row r="9267">
          <cell r="A9267" t="str">
            <v>AUD_FX_USD</v>
          </cell>
          <cell r="B9267" t="str">
            <v>AUD/USD</v>
          </cell>
          <cell r="C9267" t="str">
            <v>BRS_GOLD__2_FX:FX:AUD_FX_USD</v>
          </cell>
          <cell r="D9267" t="str">
            <v>FX</v>
          </cell>
          <cell r="E9267" t="str">
            <v>FX</v>
          </cell>
          <cell r="F9267" t="str">
            <v>FX-Developed Currency</v>
          </cell>
          <cell r="G9267" t="str">
            <v>FX-Developed Currency</v>
          </cell>
          <cell r="H9267" t="str">
            <v>FX</v>
          </cell>
          <cell r="I9267" t="str">
            <v>Developed Currency</v>
          </cell>
        </row>
        <row r="9268">
          <cell r="A9268" t="str">
            <v>[BRL_FX_USD-HUF_FX_USD]</v>
          </cell>
          <cell r="B9268" t="str">
            <v>BRL/HUF</v>
          </cell>
          <cell r="C9268" t="str">
            <v>Foreign Exchange:BRL/HUF</v>
          </cell>
          <cell r="D9268" t="str">
            <v>FX</v>
          </cell>
          <cell r="E9268" t="str">
            <v>FX</v>
          </cell>
          <cell r="F9268" t="str">
            <v>FX-Emerging Currency</v>
          </cell>
          <cell r="G9268" t="str">
            <v>FX-Emerging Currency</v>
          </cell>
          <cell r="H9268" t="str">
            <v>FX</v>
          </cell>
          <cell r="I9268" t="str">
            <v>Emerging Currency</v>
          </cell>
        </row>
        <row r="9269">
          <cell r="A9269" t="str">
            <v>[CAD_FX_USD-JPY_FX_USD]</v>
          </cell>
          <cell r="B9269" t="str">
            <v>CAD/JPY</v>
          </cell>
          <cell r="C9269" t="str">
            <v>Foreign Exchange:CAD/JPY</v>
          </cell>
          <cell r="D9269">
            <v>0</v>
          </cell>
          <cell r="E9269" t="str">
            <v>Yield</v>
          </cell>
          <cell r="F9269" t="str">
            <v>FX-Developed Currency</v>
          </cell>
          <cell r="G9269" t="str">
            <v>FX-Developed Currency</v>
          </cell>
          <cell r="H9269" t="str">
            <v>FX</v>
          </cell>
          <cell r="I9269" t="str">
            <v>Developed Currency</v>
          </cell>
        </row>
        <row r="9270">
          <cell r="A9270" t="str">
            <v>CAD_FX_USD</v>
          </cell>
          <cell r="B9270" t="str">
            <v>CAD/USD</v>
          </cell>
          <cell r="C9270" t="str">
            <v>BRS_GOLD__2_FX:FX:CAD_FX_USD</v>
          </cell>
          <cell r="D9270" t="str">
            <v>FX</v>
          </cell>
          <cell r="E9270" t="str">
            <v>FX</v>
          </cell>
          <cell r="F9270" t="str">
            <v>FX-Developed Currency</v>
          </cell>
          <cell r="G9270" t="str">
            <v>FX-Developed Currency</v>
          </cell>
          <cell r="H9270" t="str">
            <v>FX</v>
          </cell>
          <cell r="I9270" t="str">
            <v>Developed Currency</v>
          </cell>
        </row>
        <row r="9271">
          <cell r="A9271" t="str">
            <v>CHF_FX_USD</v>
          </cell>
          <cell r="B9271" t="str">
            <v>CHF/USD</v>
          </cell>
          <cell r="C9271" t="str">
            <v>BRS_GOLD__2_FX:FX:CHF_FX_USD</v>
          </cell>
          <cell r="D9271" t="str">
            <v>FX</v>
          </cell>
          <cell r="E9271" t="str">
            <v>FX</v>
          </cell>
          <cell r="F9271" t="str">
            <v>FX-Developed Currency</v>
          </cell>
          <cell r="G9271" t="str">
            <v>FX-Developed Currency</v>
          </cell>
          <cell r="H9271" t="str">
            <v>FX</v>
          </cell>
          <cell r="I9271" t="str">
            <v>Developed Currency</v>
          </cell>
        </row>
        <row r="9272">
          <cell r="A9272" t="str">
            <v>[BRL_FX_USD-GBP_FX_USD]</v>
          </cell>
          <cell r="B9272" t="str">
            <v>BRL/GBP</v>
          </cell>
          <cell r="C9272" t="str">
            <v>Foreign Exchange:BRL/GBP</v>
          </cell>
          <cell r="D9272" t="str">
            <v>FX</v>
          </cell>
          <cell r="E9272" t="str">
            <v>FX</v>
          </cell>
          <cell r="F9272" t="str">
            <v>FX-Emerging Currency</v>
          </cell>
          <cell r="G9272" t="str">
            <v>FX-Emerging Currency</v>
          </cell>
          <cell r="H9272" t="str">
            <v>FX</v>
          </cell>
          <cell r="I9272" t="str">
            <v>Emerging Currency</v>
          </cell>
        </row>
        <row r="9273">
          <cell r="A9273" t="str">
            <v>CAD_PROV</v>
          </cell>
          <cell r="B9273" t="str">
            <v>CAD PROVINCIALS</v>
          </cell>
          <cell r="C9273" t="str">
            <v>CAD PROVINCIALS</v>
          </cell>
          <cell r="D9273" t="str">
            <v>WITHOUT TYPE</v>
          </cell>
          <cell r="E9273" t="str">
            <v>WITHOUT TYPE</v>
          </cell>
          <cell r="F9273" t="str">
            <v>FX-Developed Currency</v>
          </cell>
          <cell r="G9273" t="str">
            <v>FX-Developed Currency</v>
          </cell>
          <cell r="H9273" t="str">
            <v>FX</v>
          </cell>
          <cell r="I9273" t="str">
            <v>Developed Currency</v>
          </cell>
        </row>
        <row r="9274">
          <cell r="A9274" t="str">
            <v>CAD_USD_FX2_USD</v>
          </cell>
          <cell r="B9274" t="str">
            <v>CAD/USD*USD/USD</v>
          </cell>
          <cell r="C9274" t="str">
            <v>BRS_GOLD__2_FX:FX2:CAD_USD_FX2_USD</v>
          </cell>
          <cell r="D9274" t="str">
            <v>FX</v>
          </cell>
          <cell r="E9274" t="str">
            <v>FX</v>
          </cell>
          <cell r="F9274" t="str">
            <v>Other</v>
          </cell>
          <cell r="G9274" t="str">
            <v>Other</v>
          </cell>
          <cell r="H9274" t="str">
            <v>OTHER</v>
          </cell>
          <cell r="I9274" t="str">
            <v>FX^2</v>
          </cell>
        </row>
        <row r="9275">
          <cell r="A9275" t="str">
            <v>[CHF_FX_USD-HUF_FX_USD]</v>
          </cell>
          <cell r="B9275" t="str">
            <v>CHF/HUF</v>
          </cell>
          <cell r="C9275" t="str">
            <v>Foreign Exchange:CHF/HUF</v>
          </cell>
          <cell r="D9275" t="str">
            <v>FX</v>
          </cell>
          <cell r="E9275" t="str">
            <v>FX</v>
          </cell>
          <cell r="F9275" t="str">
            <v>FX-Developed Currency</v>
          </cell>
          <cell r="G9275" t="str">
            <v>FX-Developed Currency</v>
          </cell>
          <cell r="H9275" t="str">
            <v>FX</v>
          </cell>
          <cell r="I9275" t="str">
            <v>Developed Currency</v>
          </cell>
        </row>
        <row r="9276">
          <cell r="A9276" t="str">
            <v>[CHF_FX_USD-JPY_FX_USD]</v>
          </cell>
          <cell r="B9276" t="str">
            <v>CHF/JPY</v>
          </cell>
          <cell r="C9276" t="str">
            <v>Foreign Exchange:CHF/JPY</v>
          </cell>
          <cell r="D9276" t="str">
            <v>FX</v>
          </cell>
          <cell r="E9276" t="str">
            <v>FX</v>
          </cell>
          <cell r="F9276" t="str">
            <v>FX-Developed Currency</v>
          </cell>
          <cell r="G9276" t="str">
            <v>FX-Developed Currency</v>
          </cell>
          <cell r="H9276" t="str">
            <v>FX</v>
          </cell>
          <cell r="I9276" t="str">
            <v>Developed Currency</v>
          </cell>
        </row>
        <row r="9277">
          <cell r="A9277" t="str">
            <v>CLP_FX_USD</v>
          </cell>
          <cell r="B9277" t="str">
            <v>CLP/USD</v>
          </cell>
          <cell r="C9277" t="str">
            <v>BRS_GOLD__2_FX:FX:CLP_FX_USD</v>
          </cell>
          <cell r="D9277" t="str">
            <v>FX</v>
          </cell>
          <cell r="E9277" t="str">
            <v>FX</v>
          </cell>
          <cell r="F9277" t="str">
            <v>FX-Emerging Currency</v>
          </cell>
          <cell r="G9277" t="str">
            <v>FX-Emerging Currency</v>
          </cell>
          <cell r="H9277" t="str">
            <v>FX</v>
          </cell>
          <cell r="I9277" t="str">
            <v>Emerging Currency</v>
          </cell>
        </row>
        <row r="9278">
          <cell r="A9278" t="str">
            <v>[CZK_FX_USD-GBP_FX_USD]</v>
          </cell>
          <cell r="B9278" t="str">
            <v>CZK/GBP</v>
          </cell>
          <cell r="C9278" t="str">
            <v>Foreign Exchange:CZK/GBP</v>
          </cell>
          <cell r="D9278" t="str">
            <v>FX</v>
          </cell>
          <cell r="E9278" t="str">
            <v>FX</v>
          </cell>
          <cell r="F9278" t="str">
            <v>FX-Emerging Currency</v>
          </cell>
          <cell r="G9278" t="str">
            <v>FX-Emerging Currency</v>
          </cell>
          <cell r="H9278" t="str">
            <v>FX</v>
          </cell>
          <cell r="I9278" t="str">
            <v>Emerging Currency</v>
          </cell>
        </row>
        <row r="9279">
          <cell r="A9279" t="str">
            <v>[DOP_FX_USD-HUF_FX_USD]</v>
          </cell>
          <cell r="B9279" t="str">
            <v>DOP/HUF</v>
          </cell>
          <cell r="C9279" t="str">
            <v>Foreign Exchange:DOP/HUF</v>
          </cell>
          <cell r="D9279" t="str">
            <v>FX</v>
          </cell>
          <cell r="E9279" t="str">
            <v>FX</v>
          </cell>
          <cell r="F9279" t="str">
            <v>FX-Emerging Currency</v>
          </cell>
          <cell r="G9279" t="str">
            <v>FX-Emerging Currency</v>
          </cell>
          <cell r="H9279" t="str">
            <v>FX</v>
          </cell>
          <cell r="I9279" t="str">
            <v>Emerging Currency</v>
          </cell>
        </row>
        <row r="9280">
          <cell r="A9280" t="str">
            <v>[ARS_FX_USD-GBP_FX_USD]</v>
          </cell>
          <cell r="B9280" t="str">
            <v>ARS/GBP</v>
          </cell>
          <cell r="C9280" t="str">
            <v>Foreign Exchange:ARS/GBP</v>
          </cell>
          <cell r="D9280" t="str">
            <v>WITHOUT TYPE</v>
          </cell>
          <cell r="E9280" t="str">
            <v>WITHOUT TYPE</v>
          </cell>
          <cell r="F9280" t="str">
            <v>FX-Emerging Currency</v>
          </cell>
          <cell r="G9280" t="str">
            <v>FX-Emerging Currency</v>
          </cell>
          <cell r="H9280" t="str">
            <v>FX</v>
          </cell>
          <cell r="I9280" t="str">
            <v>Emerging Currency</v>
          </cell>
        </row>
        <row r="9281">
          <cell r="A9281" t="str">
            <v>[CNY_FX_USD-HUF_FX_USD]</v>
          </cell>
          <cell r="B9281" t="str">
            <v>CNY/HUF</v>
          </cell>
          <cell r="C9281" t="str">
            <v>Foreign Exchange:CNY/HUF</v>
          </cell>
          <cell r="D9281" t="str">
            <v>FX</v>
          </cell>
          <cell r="E9281" t="str">
            <v>FX</v>
          </cell>
          <cell r="F9281" t="str">
            <v>FX-Emerging Currency</v>
          </cell>
          <cell r="G9281" t="str">
            <v>FX-Emerging Currency</v>
          </cell>
          <cell r="H9281" t="str">
            <v>FX</v>
          </cell>
          <cell r="I9281" t="str">
            <v>Emerging Currency</v>
          </cell>
        </row>
        <row r="9282">
          <cell r="A9282" t="str">
            <v>[COP_FX_USD-HUF_FX_USD]</v>
          </cell>
          <cell r="B9282" t="str">
            <v>COP/HUF</v>
          </cell>
          <cell r="C9282" t="str">
            <v>Foreign Exchange:COP/HUF</v>
          </cell>
          <cell r="D9282" t="str">
            <v>FX</v>
          </cell>
          <cell r="E9282" t="str">
            <v>FX</v>
          </cell>
          <cell r="F9282" t="str">
            <v>FX-Emerging Currency</v>
          </cell>
          <cell r="G9282" t="str">
            <v>FX-Emerging Currency</v>
          </cell>
          <cell r="H9282" t="str">
            <v>FX</v>
          </cell>
          <cell r="I9282" t="str">
            <v>Emerging Currency</v>
          </cell>
        </row>
        <row r="9283">
          <cell r="A9283" t="str">
            <v>[DKK_FX_USD-HUF_FX_USD]</v>
          </cell>
          <cell r="B9283" t="str">
            <v>DKK/HUF</v>
          </cell>
          <cell r="C9283" t="str">
            <v>Foreign Exchange:DKK/HUF</v>
          </cell>
          <cell r="D9283" t="str">
            <v>FX</v>
          </cell>
          <cell r="E9283" t="str">
            <v>FX</v>
          </cell>
          <cell r="F9283" t="str">
            <v>FX-Developed Currency</v>
          </cell>
          <cell r="G9283" t="str">
            <v>FX-Developed Currency</v>
          </cell>
          <cell r="H9283" t="str">
            <v>FX</v>
          </cell>
          <cell r="I9283" t="str">
            <v>Developed Currency</v>
          </cell>
        </row>
        <row r="9284">
          <cell r="A9284" t="str">
            <v>DKK_FX_USD</v>
          </cell>
          <cell r="B9284" t="str">
            <v>DKK/USD</v>
          </cell>
          <cell r="C9284" t="str">
            <v>BRS_GOLD__2_FX:FX:DKK_FX_USD</v>
          </cell>
          <cell r="D9284" t="str">
            <v>FX</v>
          </cell>
          <cell r="E9284" t="str">
            <v>FX</v>
          </cell>
          <cell r="F9284" t="str">
            <v>FX-Developed Currency</v>
          </cell>
          <cell r="G9284" t="str">
            <v>FX-Developed Currency</v>
          </cell>
          <cell r="H9284" t="str">
            <v>FX</v>
          </cell>
          <cell r="I9284" t="str">
            <v>Developed Currency</v>
          </cell>
        </row>
        <row r="9285">
          <cell r="A9285" t="str">
            <v>[AUD_FX_USD-HUF_FX_USD]</v>
          </cell>
          <cell r="B9285" t="str">
            <v>AUD/HUF</v>
          </cell>
          <cell r="C9285" t="str">
            <v>Foreign Exchange:AUD/HUF</v>
          </cell>
          <cell r="D9285" t="str">
            <v>FX</v>
          </cell>
          <cell r="E9285" t="str">
            <v>FX</v>
          </cell>
          <cell r="F9285" t="str">
            <v>FX-Developed Currency</v>
          </cell>
          <cell r="G9285" t="str">
            <v>FX-Developed Currency</v>
          </cell>
          <cell r="H9285" t="str">
            <v>FX</v>
          </cell>
          <cell r="I9285" t="str">
            <v>Developed Currency</v>
          </cell>
        </row>
        <row r="9286">
          <cell r="A9286" t="str">
            <v>[CAD_FX_USD-HUF_FX_USD]</v>
          </cell>
          <cell r="B9286" t="str">
            <v>CAD/HUF</v>
          </cell>
          <cell r="C9286" t="str">
            <v>Foreign Exchange:CAD/HUF</v>
          </cell>
          <cell r="D9286" t="str">
            <v>FX</v>
          </cell>
          <cell r="E9286" t="str">
            <v>FX</v>
          </cell>
          <cell r="F9286" t="str">
            <v>FX-Developed Currency</v>
          </cell>
          <cell r="G9286" t="str">
            <v>FX-Developed Currency</v>
          </cell>
          <cell r="H9286" t="str">
            <v>FX</v>
          </cell>
          <cell r="I9286" t="str">
            <v>Developed Currency</v>
          </cell>
        </row>
        <row r="9287">
          <cell r="A9287" t="str">
            <v>[CHF_FX_USD-GBP_FX_USD]</v>
          </cell>
          <cell r="B9287" t="str">
            <v>CHF/GBP</v>
          </cell>
          <cell r="C9287" t="str">
            <v>Foreign Exchange:CHF/GBP</v>
          </cell>
          <cell r="D9287" t="str">
            <v>WITHOUT TYPE</v>
          </cell>
          <cell r="E9287" t="str">
            <v>WITHOUT TYPE</v>
          </cell>
          <cell r="F9287" t="str">
            <v>FX-Developed Currency</v>
          </cell>
          <cell r="G9287" t="str">
            <v>FX-Developed Currency</v>
          </cell>
          <cell r="H9287" t="str">
            <v>FX</v>
          </cell>
          <cell r="I9287" t="str">
            <v>Developed Currency</v>
          </cell>
        </row>
        <row r="9288">
          <cell r="A9288" t="str">
            <v>[CLP_FX_USD-GBP_FX_USD]</v>
          </cell>
          <cell r="B9288" t="str">
            <v>CLP/GBP</v>
          </cell>
          <cell r="C9288" t="str">
            <v>Foreign Exchange:CLP/GBP</v>
          </cell>
          <cell r="D9288" t="str">
            <v>FX</v>
          </cell>
          <cell r="E9288" t="str">
            <v>FX</v>
          </cell>
          <cell r="F9288" t="str">
            <v>FX-Emerging Currency</v>
          </cell>
          <cell r="G9288" t="str">
            <v>FX-Emerging Currency</v>
          </cell>
          <cell r="H9288" t="str">
            <v>FX</v>
          </cell>
          <cell r="I9288" t="str">
            <v>Emerging Currency</v>
          </cell>
        </row>
        <row r="9289">
          <cell r="A9289" t="str">
            <v>[GBP_FX_USD-HUF_FX_USD]</v>
          </cell>
          <cell r="B9289" t="str">
            <v>GBP/HUF</v>
          </cell>
          <cell r="E9289" t="str">
            <v>FX</v>
          </cell>
          <cell r="F9289" t="str">
            <v>FX-GBP</v>
          </cell>
          <cell r="G9289" t="str">
            <v>FX-GBP</v>
          </cell>
          <cell r="H9289" t="str">
            <v>FX</v>
          </cell>
          <cell r="I9289" t="str">
            <v>GBP</v>
          </cell>
        </row>
        <row r="9290">
          <cell r="A9290" t="str">
            <v>[GBP_GBP_FX2_USD+HUF_HUF_FX2_USD-GBP_HUF_FX2_USD-GBP_HUF_FX2_USD]</v>
          </cell>
          <cell r="B9290" t="str">
            <v>GBP/HUF ^2</v>
          </cell>
          <cell r="D9290" t="str">
            <v>FX</v>
          </cell>
          <cell r="E9290" t="str">
            <v>FX</v>
          </cell>
          <cell r="F9290" t="str">
            <v>Other</v>
          </cell>
          <cell r="G9290" t="str">
            <v>Other</v>
          </cell>
          <cell r="H9290" t="str">
            <v>OTHER</v>
          </cell>
          <cell r="I9290" t="str">
            <v>FX^2</v>
          </cell>
        </row>
        <row r="9291">
          <cell r="A9291" t="str">
            <v>[GBP_FX_USD-JPY_FX_USD]</v>
          </cell>
          <cell r="B9291" t="str">
            <v>GBP/JPY</v>
          </cell>
          <cell r="E9291" t="str">
            <v>FX</v>
          </cell>
          <cell r="F9291" t="str">
            <v>FX-GBP</v>
          </cell>
          <cell r="G9291" t="str">
            <v>FX-GBP</v>
          </cell>
          <cell r="H9291" t="str">
            <v>FX</v>
          </cell>
          <cell r="I9291" t="str">
            <v>GBP</v>
          </cell>
        </row>
        <row r="9292">
          <cell r="A9292" t="str">
            <v>[DKK_FX_USD-JPY_FX_USD]</v>
          </cell>
          <cell r="B9292" t="str">
            <v>DKK/JPY</v>
          </cell>
          <cell r="C9292" t="str">
            <v>Foreign Exchange:DKK/JPY</v>
          </cell>
          <cell r="D9292">
            <v>0</v>
          </cell>
          <cell r="E9292" t="str">
            <v>Yield</v>
          </cell>
          <cell r="F9292" t="str">
            <v>FX-Developed Currency</v>
          </cell>
          <cell r="G9292" t="str">
            <v>FX-Developed Currency</v>
          </cell>
          <cell r="H9292" t="str">
            <v>FX</v>
          </cell>
          <cell r="I9292" t="str">
            <v>Developed Currency</v>
          </cell>
        </row>
        <row r="9293">
          <cell r="A9293" t="str">
            <v>[EGP_FX_USD-HUF_FX_USD]</v>
          </cell>
          <cell r="B9293" t="str">
            <v>EGP/HUF</v>
          </cell>
          <cell r="C9293" t="str">
            <v>Foreign Exchange:EGP/HUF</v>
          </cell>
          <cell r="D9293" t="str">
            <v>FX</v>
          </cell>
          <cell r="E9293" t="str">
            <v>FX</v>
          </cell>
          <cell r="F9293" t="str">
            <v>FX-Emerging Currency</v>
          </cell>
          <cell r="G9293" t="str">
            <v>FX-Emerging Currency</v>
          </cell>
          <cell r="H9293" t="str">
            <v>FX</v>
          </cell>
          <cell r="I9293" t="str">
            <v>Emerging Currency</v>
          </cell>
        </row>
        <row r="9294">
          <cell r="A9294" t="str">
            <v>[HRK_FX_USD-HUF_FX_USD]</v>
          </cell>
          <cell r="B9294" t="str">
            <v>HRK/HUF</v>
          </cell>
          <cell r="C9294" t="str">
            <v>Foreign Exchange:HRK/HUF</v>
          </cell>
          <cell r="D9294" t="str">
            <v>FX</v>
          </cell>
          <cell r="E9294" t="str">
            <v>FX</v>
          </cell>
          <cell r="F9294" t="str">
            <v>FX-Emerging Currency</v>
          </cell>
          <cell r="G9294" t="str">
            <v>FX-Emerging Currency</v>
          </cell>
          <cell r="H9294" t="str">
            <v>FX</v>
          </cell>
          <cell r="I9294" t="str">
            <v>Emerging Currency</v>
          </cell>
        </row>
        <row r="9295">
          <cell r="A9295" t="str">
            <v>[IDR_FX_USD-HUF_FX_USD]</v>
          </cell>
          <cell r="B9295" t="str">
            <v>IDR/HUF</v>
          </cell>
          <cell r="C9295" t="str">
            <v>Foreign Exchange:IDR/HUF</v>
          </cell>
          <cell r="D9295" t="str">
            <v>FX</v>
          </cell>
          <cell r="E9295" t="str">
            <v>FX</v>
          </cell>
          <cell r="F9295" t="str">
            <v>FX-Emerging Currency</v>
          </cell>
          <cell r="G9295" t="str">
            <v>FX-Emerging Currency</v>
          </cell>
          <cell r="H9295" t="str">
            <v>FX</v>
          </cell>
          <cell r="I9295" t="str">
            <v>Emerging Currency</v>
          </cell>
        </row>
        <row r="9296">
          <cell r="A9296" t="str">
            <v>[ILS_FX_USD-HUF_FX_USD]</v>
          </cell>
          <cell r="B9296" t="str">
            <v>ILS/HUF</v>
          </cell>
          <cell r="C9296" t="str">
            <v>Foreign Exchange:ILS/HUF</v>
          </cell>
          <cell r="D9296" t="str">
            <v>FX</v>
          </cell>
          <cell r="E9296" t="str">
            <v>FX</v>
          </cell>
          <cell r="F9296" t="str">
            <v>FX-Emerging Currency</v>
          </cell>
          <cell r="G9296" t="str">
            <v>FX-Emerging Currency</v>
          </cell>
          <cell r="H9296" t="str">
            <v>FX</v>
          </cell>
          <cell r="I9296" t="str">
            <v>Emerging Currency</v>
          </cell>
        </row>
        <row r="9297">
          <cell r="A9297" t="str">
            <v>[INR_FX_USD-GBP_FX_USD]</v>
          </cell>
          <cell r="B9297" t="str">
            <v>INR/GBP</v>
          </cell>
          <cell r="C9297" t="str">
            <v>Foreign Exchange:INR/GBP</v>
          </cell>
          <cell r="D9297" t="str">
            <v>FX</v>
          </cell>
          <cell r="E9297" t="str">
            <v>FX</v>
          </cell>
          <cell r="F9297" t="str">
            <v>FX-Emerging Currency</v>
          </cell>
          <cell r="G9297" t="str">
            <v>FX-Emerging Currency</v>
          </cell>
          <cell r="H9297" t="str">
            <v>FX</v>
          </cell>
          <cell r="I9297" t="str">
            <v>Emerging Currency</v>
          </cell>
        </row>
        <row r="9298">
          <cell r="A9298" t="str">
            <v>INR_USD_FX2_USD</v>
          </cell>
          <cell r="B9298" t="str">
            <v>INR/USD*USD/USD</v>
          </cell>
          <cell r="C9298" t="str">
            <v>BRS_GOLD__2_FX:FX2:INR_USD_FX2_USD</v>
          </cell>
          <cell r="D9298" t="str">
            <v>FX</v>
          </cell>
          <cell r="E9298" t="str">
            <v>FX</v>
          </cell>
          <cell r="F9298" t="str">
            <v>Other</v>
          </cell>
          <cell r="G9298" t="str">
            <v>Other</v>
          </cell>
          <cell r="H9298" t="str">
            <v>OTHER</v>
          </cell>
          <cell r="I9298" t="str">
            <v>FX^2</v>
          </cell>
        </row>
        <row r="9299">
          <cell r="A9299" t="str">
            <v>[JPY_JPY_FX2_USD+HUF_HUF_FX2_USD-HUF_JPY_FX2_USD-HUF_JPY_FX2_USD]</v>
          </cell>
          <cell r="B9299" t="str">
            <v>JPY/HUF ^2</v>
          </cell>
          <cell r="D9299" t="str">
            <v>FX</v>
          </cell>
          <cell r="E9299" t="str">
            <v>FX</v>
          </cell>
          <cell r="F9299" t="str">
            <v>Other</v>
          </cell>
          <cell r="G9299" t="str">
            <v>Other</v>
          </cell>
          <cell r="H9299" t="str">
            <v>OTHER</v>
          </cell>
          <cell r="I9299" t="str">
            <v>FX^2</v>
          </cell>
        </row>
        <row r="9300">
          <cell r="A9300" t="str">
            <v>JPY_FX_USD</v>
          </cell>
          <cell r="B9300" t="str">
            <v>JPY/USD</v>
          </cell>
          <cell r="C9300" t="str">
            <v>BRS_GOLD__2_FX:FX:JPY_FX_USD</v>
          </cell>
          <cell r="D9300" t="str">
            <v>FX</v>
          </cell>
          <cell r="E9300" t="str">
            <v>FX</v>
          </cell>
          <cell r="F9300" t="str">
            <v>FX-JPY</v>
          </cell>
          <cell r="G9300" t="str">
            <v>FX-JPY</v>
          </cell>
          <cell r="H9300" t="str">
            <v>FX</v>
          </cell>
          <cell r="I9300" t="str">
            <v>JPY</v>
          </cell>
        </row>
        <row r="9301">
          <cell r="A9301" t="str">
            <v>[KRW_FX_USD-HUF_FX_USD]</v>
          </cell>
          <cell r="B9301" t="str">
            <v>KRW/HUF</v>
          </cell>
          <cell r="C9301" t="str">
            <v>Foreign Exchange:KRW/HUF</v>
          </cell>
          <cell r="D9301" t="str">
            <v>FX</v>
          </cell>
          <cell r="E9301" t="str">
            <v>FX</v>
          </cell>
          <cell r="F9301" t="str">
            <v>FX-Emerging Currency</v>
          </cell>
          <cell r="G9301" t="str">
            <v>FX-Emerging Currency</v>
          </cell>
          <cell r="H9301" t="str">
            <v>FX</v>
          </cell>
          <cell r="I9301" t="str">
            <v>Emerging Currency</v>
          </cell>
        </row>
        <row r="9302">
          <cell r="A9302" t="str">
            <v>[GBP_USD_FX2_USD+EUR_EUR_FX2_USD-EUR_GBP_FX2_USD-EUR_USD_FX2_USD]</v>
          </cell>
          <cell r="B9302" t="str">
            <v>GBP/EUR*USD/EUR</v>
          </cell>
          <cell r="D9302" t="str">
            <v>FX</v>
          </cell>
          <cell r="E9302" t="str">
            <v>FX</v>
          </cell>
          <cell r="F9302" t="str">
            <v>Other</v>
          </cell>
          <cell r="G9302" t="str">
            <v>Other</v>
          </cell>
          <cell r="H9302" t="str">
            <v>OTHER</v>
          </cell>
          <cell r="I9302" t="str">
            <v>FX^2</v>
          </cell>
        </row>
        <row r="9303">
          <cell r="A9303" t="str">
            <v>[GBP_FX_USD-GBP_FX_USD]</v>
          </cell>
          <cell r="B9303" t="str">
            <v>GBP/GBP</v>
          </cell>
          <cell r="E9303" t="str">
            <v>FX</v>
          </cell>
          <cell r="F9303" t="str">
            <v>FX-GBP</v>
          </cell>
          <cell r="G9303" t="str">
            <v>FX-GBP</v>
          </cell>
          <cell r="H9303" t="str">
            <v>FX</v>
          </cell>
          <cell r="I9303" t="str">
            <v>GBP</v>
          </cell>
        </row>
        <row r="9304">
          <cell r="A9304" t="str">
            <v>[HKD_FX_USD-GBP_FX_USD]</v>
          </cell>
          <cell r="B9304" t="str">
            <v>HKD/GBP</v>
          </cell>
          <cell r="C9304" t="str">
            <v>Foreign Exchange:HKD/GBP</v>
          </cell>
          <cell r="D9304" t="str">
            <v>WITHOUT TYPE</v>
          </cell>
          <cell r="E9304" t="str">
            <v>WITHOUT TYPE</v>
          </cell>
          <cell r="F9304" t="str">
            <v>FX-Developed Currency</v>
          </cell>
          <cell r="G9304" t="str">
            <v>FX-Developed Currency</v>
          </cell>
          <cell r="H9304" t="str">
            <v>FX</v>
          </cell>
          <cell r="I9304" t="str">
            <v>Developed Currency</v>
          </cell>
        </row>
        <row r="9305">
          <cell r="A9305" t="str">
            <v>[HKD_FX_USD-HUF_FX_USD]</v>
          </cell>
          <cell r="B9305" t="str">
            <v>HKD/HUF</v>
          </cell>
          <cell r="C9305" t="str">
            <v>Foreign Exchange:HKD/HUF</v>
          </cell>
          <cell r="D9305" t="str">
            <v>FX</v>
          </cell>
          <cell r="E9305" t="str">
            <v>FX</v>
          </cell>
          <cell r="F9305" t="str">
            <v>FX-Developed Currency</v>
          </cell>
          <cell r="G9305" t="str">
            <v>FX-Developed Currency</v>
          </cell>
          <cell r="H9305" t="str">
            <v>FX</v>
          </cell>
          <cell r="I9305" t="str">
            <v>Developed Currency</v>
          </cell>
        </row>
        <row r="9306">
          <cell r="A9306" t="str">
            <v>[NOK_USD_FX2_USD+EUR_EUR_FX2_USD-EUR_NOK_FX2_USD-EUR_USD_FX2_USD]</v>
          </cell>
          <cell r="B9306" t="str">
            <v>NOK/EUR*USD/EUR</v>
          </cell>
          <cell r="C9306" t="str">
            <v>Foreign Exchange^2:NOK/EUR*USD/EUR</v>
          </cell>
          <cell r="D9306" t="str">
            <v>FX</v>
          </cell>
          <cell r="E9306" t="str">
            <v>FX</v>
          </cell>
          <cell r="F9306" t="str">
            <v>Other</v>
          </cell>
          <cell r="G9306" t="str">
            <v>Other</v>
          </cell>
          <cell r="H9306" t="str">
            <v>OTHER</v>
          </cell>
          <cell r="I9306" t="str">
            <v>FX^2</v>
          </cell>
        </row>
        <row r="9307">
          <cell r="A9307" t="str">
            <v>[HUF_FX_USD-HUF_FX_USD]</v>
          </cell>
          <cell r="B9307" t="str">
            <v>HUF/HUF</v>
          </cell>
          <cell r="C9307" t="str">
            <v>Foreign Exchange:HUF/HUF</v>
          </cell>
          <cell r="D9307" t="str">
            <v>FX</v>
          </cell>
          <cell r="E9307" t="str">
            <v>FX</v>
          </cell>
          <cell r="F9307" t="str">
            <v>FX-Emerging Currency</v>
          </cell>
          <cell r="G9307" t="str">
            <v>FX-Emerging Currency</v>
          </cell>
          <cell r="H9307" t="str">
            <v>FX</v>
          </cell>
          <cell r="I9307" t="str">
            <v>Emerging Currency</v>
          </cell>
        </row>
        <row r="9308">
          <cell r="A9308" t="str">
            <v>[IDR_FX_USD-GBP_FX_USD]</v>
          </cell>
          <cell r="B9308" t="str">
            <v>IDR/GBP</v>
          </cell>
          <cell r="C9308" t="str">
            <v>Foreign Exchange:IDR/GBP</v>
          </cell>
          <cell r="D9308" t="str">
            <v>FX</v>
          </cell>
          <cell r="E9308" t="str">
            <v>FX</v>
          </cell>
          <cell r="F9308" t="str">
            <v>FX-Emerging Currency</v>
          </cell>
          <cell r="G9308" t="str">
            <v>FX-Emerging Currency</v>
          </cell>
          <cell r="H9308" t="str">
            <v>FX</v>
          </cell>
          <cell r="I9308" t="str">
            <v>Emerging Currency</v>
          </cell>
        </row>
        <row r="9309">
          <cell r="A9309" t="str">
            <v>[INR_USD_FX2_USD+EUR_EUR_FX2_USD-EUR_INR_FX2_USD-EUR_USD_FX2_USD]</v>
          </cell>
          <cell r="B9309" t="str">
            <v>INR/EUR*USD/EUR</v>
          </cell>
          <cell r="C9309" t="str">
            <v>Foreign Exchange^2:INR/EUR*USD/EUR</v>
          </cell>
          <cell r="D9309" t="str">
            <v>FX</v>
          </cell>
          <cell r="E9309" t="str">
            <v>FX</v>
          </cell>
          <cell r="F9309" t="str">
            <v>Other</v>
          </cell>
          <cell r="G9309" t="str">
            <v>Other</v>
          </cell>
          <cell r="H9309" t="str">
            <v>OTHER</v>
          </cell>
          <cell r="I9309" t="str">
            <v>FX^2</v>
          </cell>
        </row>
        <row r="9310">
          <cell r="A9310" t="str">
            <v>[INR_FX_USD-HUF_FX_USD]</v>
          </cell>
          <cell r="B9310" t="str">
            <v>INR/HUF</v>
          </cell>
          <cell r="C9310" t="str">
            <v>Foreign Exchange:INR/HUF</v>
          </cell>
          <cell r="D9310" t="str">
            <v>FX</v>
          </cell>
          <cell r="E9310" t="str">
            <v>FX</v>
          </cell>
          <cell r="F9310" t="str">
            <v>FX-Emerging Currency</v>
          </cell>
          <cell r="G9310" t="str">
            <v>FX-Emerging Currency</v>
          </cell>
          <cell r="H9310" t="str">
            <v>FX</v>
          </cell>
          <cell r="I9310" t="str">
            <v>Emerging Currency</v>
          </cell>
        </row>
        <row r="9311">
          <cell r="A9311" t="str">
            <v>INR_INR_FX2_USD</v>
          </cell>
          <cell r="B9311" t="str">
            <v>INR/USD ^2</v>
          </cell>
          <cell r="C9311" t="str">
            <v>BRS_GOLD__2_FX:FX2:INR_INR_FX2_USD</v>
          </cell>
          <cell r="D9311" t="str">
            <v>FX</v>
          </cell>
          <cell r="E9311" t="str">
            <v>FX</v>
          </cell>
          <cell r="F9311" t="str">
            <v>Other</v>
          </cell>
          <cell r="G9311" t="str">
            <v>Other</v>
          </cell>
          <cell r="H9311" t="str">
            <v>OTHER</v>
          </cell>
          <cell r="I9311" t="str">
            <v>FX^2</v>
          </cell>
        </row>
        <row r="9312">
          <cell r="A9312" t="str">
            <v>[JPY_FX_USD-JPY_FX_USD]</v>
          </cell>
          <cell r="B9312" t="str">
            <v>JPY/JPY</v>
          </cell>
          <cell r="E9312" t="str">
            <v>FX</v>
          </cell>
          <cell r="F9312" t="str">
            <v>FX-JPY</v>
          </cell>
          <cell r="G9312" t="str">
            <v>FX-JPY</v>
          </cell>
          <cell r="H9312" t="str">
            <v>FX</v>
          </cell>
          <cell r="I9312" t="str">
            <v>JPY</v>
          </cell>
        </row>
        <row r="9313">
          <cell r="A9313" t="str">
            <v>ILS_FX_USD</v>
          </cell>
          <cell r="B9313" t="str">
            <v>ILS/USD</v>
          </cell>
          <cell r="C9313" t="str">
            <v>BRS_GOLD__2_FX:FX:ILS_FX_USD</v>
          </cell>
          <cell r="D9313" t="str">
            <v>FX</v>
          </cell>
          <cell r="E9313" t="str">
            <v>FX</v>
          </cell>
          <cell r="F9313" t="str">
            <v>FX-Emerging Currency</v>
          </cell>
          <cell r="G9313" t="str">
            <v>FX-Emerging Currency</v>
          </cell>
          <cell r="H9313" t="str">
            <v>FX</v>
          </cell>
          <cell r="I9313" t="str">
            <v>Emerging Currency</v>
          </cell>
        </row>
        <row r="9314">
          <cell r="A9314" t="str">
            <v>INR_FX_USD</v>
          </cell>
          <cell r="B9314" t="str">
            <v>INR/USD</v>
          </cell>
          <cell r="C9314" t="str">
            <v>BRS_GOLD__2_FX:FX:INR_FX_USD</v>
          </cell>
          <cell r="D9314" t="str">
            <v>FX</v>
          </cell>
          <cell r="E9314" t="str">
            <v>FX</v>
          </cell>
          <cell r="F9314" t="str">
            <v>FX-Emerging Currency</v>
          </cell>
          <cell r="G9314" t="str">
            <v>FX-Emerging Currency</v>
          </cell>
          <cell r="H9314" t="str">
            <v>FX</v>
          </cell>
          <cell r="I9314" t="str">
            <v>Emerging Currency</v>
          </cell>
        </row>
        <row r="9315">
          <cell r="A9315" t="str">
            <v>[JPY_FX_USD-HUF_FX_USD]</v>
          </cell>
          <cell r="B9315" t="str">
            <v>JPY/HUF</v>
          </cell>
          <cell r="E9315" t="str">
            <v>FX</v>
          </cell>
          <cell r="F9315" t="str">
            <v>FX-JPY</v>
          </cell>
          <cell r="G9315" t="str">
            <v>FX-JPY</v>
          </cell>
          <cell r="H9315" t="str">
            <v>FX</v>
          </cell>
          <cell r="I9315" t="str">
            <v>JPY</v>
          </cell>
        </row>
        <row r="9316">
          <cell r="A9316" t="str">
            <v>[JPY_USD_FX2_USD+HUF_HUF_FX2_USD-HUF_JPY_FX2_USD-HUF_USD_FX2_USD]</v>
          </cell>
          <cell r="B9316" t="str">
            <v>JPY/HUF*USD/HUF</v>
          </cell>
          <cell r="D9316" t="str">
            <v>FX</v>
          </cell>
          <cell r="E9316" t="str">
            <v>FX</v>
          </cell>
          <cell r="F9316" t="str">
            <v>Other</v>
          </cell>
          <cell r="G9316" t="str">
            <v>Other</v>
          </cell>
          <cell r="H9316" t="str">
            <v>OTHER</v>
          </cell>
          <cell r="I9316" t="str">
            <v>FX^2</v>
          </cell>
        </row>
        <row r="9317">
          <cell r="A9317" t="str">
            <v>[KZT_FX_USD-HUF_FX_USD]</v>
          </cell>
          <cell r="B9317" t="str">
            <v>KZT/HUF</v>
          </cell>
          <cell r="C9317" t="str">
            <v>Foreign Exchange:KZT/HUF</v>
          </cell>
          <cell r="D9317" t="str">
            <v>FX</v>
          </cell>
          <cell r="E9317" t="str">
            <v>FX</v>
          </cell>
          <cell r="F9317" t="str">
            <v>FX-Emerging Currency</v>
          </cell>
          <cell r="G9317" t="str">
            <v>FX-Emerging Currency</v>
          </cell>
          <cell r="H9317" t="str">
            <v>FX</v>
          </cell>
          <cell r="I9317" t="str">
            <v>Emerging Currency</v>
          </cell>
        </row>
        <row r="9318">
          <cell r="A9318" t="str">
            <v>NZD_FX_USD</v>
          </cell>
          <cell r="B9318" t="str">
            <v>NZD/USD</v>
          </cell>
          <cell r="C9318" t="str">
            <v>BRS_GOLD__2_FX:FX:NZD_FX_USD</v>
          </cell>
          <cell r="D9318" t="str">
            <v>FX</v>
          </cell>
          <cell r="E9318" t="str">
            <v>FX</v>
          </cell>
          <cell r="F9318" t="str">
            <v>FX-Developed Currency</v>
          </cell>
          <cell r="G9318" t="str">
            <v>FX-Developed Currency</v>
          </cell>
          <cell r="H9318" t="str">
            <v>FX</v>
          </cell>
          <cell r="I9318" t="str">
            <v>Developed Currency</v>
          </cell>
        </row>
        <row r="9319">
          <cell r="A9319" t="str">
            <v>ARS_FX_USD</v>
          </cell>
          <cell r="B9319" t="str">
            <v>ARS/USD</v>
          </cell>
          <cell r="C9319" t="str">
            <v>BRS_GOLD__2_FX:FX:ARS_FX_USD</v>
          </cell>
          <cell r="D9319" t="str">
            <v>FX</v>
          </cell>
          <cell r="E9319" t="str">
            <v>FX</v>
          </cell>
          <cell r="F9319" t="str">
            <v>FX-Emerging Currency</v>
          </cell>
          <cell r="G9319" t="str">
            <v>FX-Emerging Currency</v>
          </cell>
          <cell r="H9319" t="str">
            <v>FX</v>
          </cell>
          <cell r="I9319" t="str">
            <v>Emerging Currency</v>
          </cell>
        </row>
        <row r="9320">
          <cell r="A9320" t="str">
            <v>[MXN_FX_USD-GBP_FX_USD]</v>
          </cell>
          <cell r="B9320" t="str">
            <v>MXN/GBP</v>
          </cell>
          <cell r="C9320" t="str">
            <v>Foreign Exchange:MXN/GBP</v>
          </cell>
          <cell r="D9320" t="str">
            <v>FX</v>
          </cell>
          <cell r="E9320" t="str">
            <v>FX</v>
          </cell>
          <cell r="F9320" t="str">
            <v>FX-Emerging Currency</v>
          </cell>
          <cell r="G9320" t="str">
            <v>FX-Emerging Currency</v>
          </cell>
          <cell r="H9320" t="str">
            <v>FX</v>
          </cell>
          <cell r="I9320" t="str">
            <v>Emerging Currency</v>
          </cell>
        </row>
        <row r="9321">
          <cell r="A9321" t="str">
            <v>MXN_USD_FX2_USD</v>
          </cell>
          <cell r="B9321" t="str">
            <v>MXN/USD*USD/USD</v>
          </cell>
          <cell r="C9321" t="str">
            <v>BRS_GOLD__2_FX:FX2:MXN_USD_FX2_USD</v>
          </cell>
          <cell r="D9321" t="str">
            <v>FX</v>
          </cell>
          <cell r="E9321" t="str">
            <v>FX</v>
          </cell>
          <cell r="F9321" t="str">
            <v>Other</v>
          </cell>
          <cell r="G9321" t="str">
            <v>Other</v>
          </cell>
          <cell r="H9321" t="str">
            <v>OTHER</v>
          </cell>
          <cell r="I9321" t="str">
            <v>FX^2</v>
          </cell>
        </row>
        <row r="9322">
          <cell r="A9322" t="str">
            <v>[MYR_FX_USD-GBP_FX_USD]</v>
          </cell>
          <cell r="B9322" t="str">
            <v>MYR/GBP</v>
          </cell>
          <cell r="C9322" t="str">
            <v>Foreign Exchange:MYR/GBP</v>
          </cell>
          <cell r="D9322" t="str">
            <v>FX</v>
          </cell>
          <cell r="E9322" t="str">
            <v>FX</v>
          </cell>
          <cell r="F9322" t="str">
            <v>FX-Emerging Currency</v>
          </cell>
          <cell r="G9322" t="str">
            <v>FX-Emerging Currency</v>
          </cell>
          <cell r="H9322" t="str">
            <v>FX</v>
          </cell>
          <cell r="I9322" t="str">
            <v>Emerging Currency</v>
          </cell>
        </row>
        <row r="9323">
          <cell r="A9323" t="str">
            <v>[MYR_FX_USD-HUF_FX_USD]</v>
          </cell>
          <cell r="B9323" t="str">
            <v>MYR/HUF</v>
          </cell>
          <cell r="C9323" t="str">
            <v>Foreign Exchange:MYR/HUF</v>
          </cell>
          <cell r="D9323" t="str">
            <v>FX</v>
          </cell>
          <cell r="E9323" t="str">
            <v>FX</v>
          </cell>
          <cell r="F9323" t="str">
            <v>FX-Emerging Currency</v>
          </cell>
          <cell r="G9323" t="str">
            <v>FX-Emerging Currency</v>
          </cell>
          <cell r="H9323" t="str">
            <v>FX</v>
          </cell>
          <cell r="I9323" t="str">
            <v>Emerging Currency</v>
          </cell>
        </row>
        <row r="9324">
          <cell r="A9324" t="str">
            <v>[NOK_FX_USD-HUF_FX_USD]</v>
          </cell>
          <cell r="B9324" t="str">
            <v>NOK/HUF</v>
          </cell>
          <cell r="C9324" t="str">
            <v>Foreign Exchange:NOK/HUF</v>
          </cell>
          <cell r="D9324" t="str">
            <v>FX</v>
          </cell>
          <cell r="E9324" t="str">
            <v>FX</v>
          </cell>
          <cell r="F9324" t="str">
            <v>FX-Developed Currency</v>
          </cell>
          <cell r="G9324" t="str">
            <v>FX-Developed Currency</v>
          </cell>
          <cell r="H9324" t="str">
            <v>FX</v>
          </cell>
          <cell r="I9324" t="str">
            <v>Developed Currency</v>
          </cell>
        </row>
        <row r="9325">
          <cell r="A9325" t="str">
            <v>CAD_CAD_FX2_USD</v>
          </cell>
          <cell r="B9325" t="str">
            <v>CAD/USD ^2</v>
          </cell>
          <cell r="C9325" t="str">
            <v>BRS_GOLD__2_FX:FX2:CAD_CAD_FX2_USD</v>
          </cell>
          <cell r="D9325" t="str">
            <v>FX</v>
          </cell>
          <cell r="E9325" t="str">
            <v>FX</v>
          </cell>
          <cell r="F9325" t="str">
            <v>Other</v>
          </cell>
          <cell r="G9325" t="str">
            <v>Other</v>
          </cell>
          <cell r="H9325" t="str">
            <v>OTHER</v>
          </cell>
          <cell r="I9325" t="str">
            <v>FX^2</v>
          </cell>
        </row>
        <row r="9326">
          <cell r="A9326" t="str">
            <v>[CLP_FX_USD-HUF_FX_USD]</v>
          </cell>
          <cell r="B9326" t="str">
            <v>CLP/HUF</v>
          </cell>
          <cell r="C9326" t="str">
            <v>Foreign Exchange:CLP/HUF</v>
          </cell>
          <cell r="D9326" t="str">
            <v>FX</v>
          </cell>
          <cell r="E9326" t="str">
            <v>FX</v>
          </cell>
          <cell r="F9326" t="str">
            <v>FX-Emerging Currency</v>
          </cell>
          <cell r="G9326" t="str">
            <v>FX-Emerging Currency</v>
          </cell>
          <cell r="H9326" t="str">
            <v>FX</v>
          </cell>
          <cell r="I9326" t="str">
            <v>Emerging Currency</v>
          </cell>
        </row>
        <row r="9327">
          <cell r="A9327" t="str">
            <v>[NZD_FX_USD-HUF_FX_USD]</v>
          </cell>
          <cell r="B9327" t="str">
            <v>NZD/HUF</v>
          </cell>
          <cell r="C9327" t="str">
            <v>Foreign Exchange:NZD/HUF</v>
          </cell>
          <cell r="D9327" t="str">
            <v>FX</v>
          </cell>
          <cell r="E9327" t="str">
            <v>FX</v>
          </cell>
          <cell r="F9327" t="str">
            <v>FX-Developed Currency</v>
          </cell>
          <cell r="G9327" t="str">
            <v>FX-Developed Currency</v>
          </cell>
          <cell r="H9327" t="str">
            <v>FX</v>
          </cell>
          <cell r="I9327" t="str">
            <v>Developed Currency</v>
          </cell>
        </row>
        <row r="9328">
          <cell r="A9328" t="str">
            <v>[PHP_FX_USD-HUF_FX_USD]</v>
          </cell>
          <cell r="B9328" t="str">
            <v>PHP/HUF</v>
          </cell>
          <cell r="C9328" t="str">
            <v>Foreign Exchange:PHP/HUF</v>
          </cell>
          <cell r="D9328" t="str">
            <v>FX</v>
          </cell>
          <cell r="E9328" t="str">
            <v>FX</v>
          </cell>
          <cell r="F9328" t="str">
            <v>FX-Emerging Currency</v>
          </cell>
          <cell r="G9328" t="str">
            <v>FX-Emerging Currency</v>
          </cell>
          <cell r="H9328" t="str">
            <v>FX</v>
          </cell>
          <cell r="I9328" t="str">
            <v>Emerging Currency</v>
          </cell>
        </row>
        <row r="9329">
          <cell r="A9329" t="str">
            <v>[PLN_FX_USD-GBP_FX_USD]</v>
          </cell>
          <cell r="B9329" t="str">
            <v>PLN/GBP</v>
          </cell>
          <cell r="C9329" t="str">
            <v>Foreign Exchange:PLN/GBP</v>
          </cell>
          <cell r="D9329" t="str">
            <v>FX</v>
          </cell>
          <cell r="E9329" t="str">
            <v>FX</v>
          </cell>
          <cell r="F9329" t="str">
            <v>FX-Emerging Currency</v>
          </cell>
          <cell r="G9329" t="str">
            <v>FX-Emerging Currency</v>
          </cell>
          <cell r="H9329" t="str">
            <v>FX</v>
          </cell>
          <cell r="I9329" t="str">
            <v>Emerging Currency</v>
          </cell>
        </row>
        <row r="9330">
          <cell r="A9330" t="str">
            <v>[PLN_FX_USD-HUF_FX_USD]</v>
          </cell>
          <cell r="B9330" t="str">
            <v>PLN/HUF</v>
          </cell>
          <cell r="C9330" t="str">
            <v>Foreign Exchange:PLN/HUF</v>
          </cell>
          <cell r="D9330" t="str">
            <v>FX</v>
          </cell>
          <cell r="E9330" t="str">
            <v>FX</v>
          </cell>
          <cell r="F9330" t="str">
            <v>FX-Emerging Currency</v>
          </cell>
          <cell r="G9330" t="str">
            <v>FX-Emerging Currency</v>
          </cell>
          <cell r="H9330" t="str">
            <v>FX</v>
          </cell>
          <cell r="I9330" t="str">
            <v>Emerging Currency</v>
          </cell>
        </row>
        <row r="9331">
          <cell r="A9331" t="str">
            <v>[CNH_FX_USD-HUF_FX_USD]</v>
          </cell>
          <cell r="B9331" t="str">
            <v>CNH/HUF</v>
          </cell>
          <cell r="C9331" t="str">
            <v>Foreign Exchange:CNH/HUF</v>
          </cell>
          <cell r="D9331" t="str">
            <v>FX</v>
          </cell>
          <cell r="E9331" t="str">
            <v>FX</v>
          </cell>
          <cell r="F9331" t="str">
            <v>FX-Emerging Currency</v>
          </cell>
          <cell r="G9331" t="str">
            <v>FX-Emerging Currency</v>
          </cell>
          <cell r="H9331" t="str">
            <v>FX</v>
          </cell>
          <cell r="I9331" t="str">
            <v>Emerging Currency</v>
          </cell>
        </row>
        <row r="9332">
          <cell r="A9332" t="str">
            <v>[CNY_FX_USD-GBP_FX_USD]</v>
          </cell>
          <cell r="B9332" t="str">
            <v>CNY/GBP</v>
          </cell>
          <cell r="C9332" t="str">
            <v>Foreign Exchange:CNY/GBP</v>
          </cell>
          <cell r="D9332" t="str">
            <v>FX</v>
          </cell>
          <cell r="E9332" t="str">
            <v>FX</v>
          </cell>
          <cell r="F9332" t="str">
            <v>FX-Emerging Currency</v>
          </cell>
          <cell r="G9332" t="str">
            <v>FX-Emerging Currency</v>
          </cell>
          <cell r="H9332" t="str">
            <v>FX</v>
          </cell>
          <cell r="I9332" t="str">
            <v>Emerging Currency</v>
          </cell>
        </row>
        <row r="9333">
          <cell r="A9333" t="str">
            <v>[COP_FX_USD-GBP_FX_USD]</v>
          </cell>
          <cell r="B9333" t="str">
            <v>COP/GBP</v>
          </cell>
          <cell r="C9333" t="str">
            <v>Foreign Exchange:COP/GBP</v>
          </cell>
          <cell r="D9333" t="str">
            <v>FX</v>
          </cell>
          <cell r="E9333" t="str">
            <v>FX</v>
          </cell>
          <cell r="F9333" t="str">
            <v>FX-Emerging Currency</v>
          </cell>
          <cell r="G9333" t="str">
            <v>FX-Emerging Currency</v>
          </cell>
          <cell r="H9333" t="str">
            <v>FX</v>
          </cell>
          <cell r="I9333" t="str">
            <v>Emerging Currency</v>
          </cell>
        </row>
        <row r="9334">
          <cell r="A9334" t="str">
            <v>[CZK_FX_USD-HUF_FX_USD]</v>
          </cell>
          <cell r="B9334" t="str">
            <v>CZK/HUF</v>
          </cell>
          <cell r="C9334" t="str">
            <v>Foreign Exchange:CZK/HUF</v>
          </cell>
          <cell r="D9334" t="str">
            <v>FX</v>
          </cell>
          <cell r="E9334" t="str">
            <v>FX</v>
          </cell>
          <cell r="F9334" t="str">
            <v>FX-Emerging Currency</v>
          </cell>
          <cell r="G9334" t="str">
            <v>FX-Emerging Currency</v>
          </cell>
          <cell r="H9334" t="str">
            <v>FX</v>
          </cell>
          <cell r="I9334" t="str">
            <v>Emerging Currency</v>
          </cell>
        </row>
        <row r="9335">
          <cell r="A9335" t="str">
            <v>CZK_FX_USD</v>
          </cell>
          <cell r="B9335" t="str">
            <v>CZK/USD</v>
          </cell>
          <cell r="C9335" t="str">
            <v>BRS_GOLD__2_FX:FX:CZK_FX_USD</v>
          </cell>
          <cell r="D9335" t="str">
            <v>FX</v>
          </cell>
          <cell r="E9335" t="str">
            <v>FX</v>
          </cell>
          <cell r="F9335" t="str">
            <v>FX-Emerging Currency</v>
          </cell>
          <cell r="G9335" t="str">
            <v>FX-Emerging Currency</v>
          </cell>
          <cell r="H9335" t="str">
            <v>FX</v>
          </cell>
          <cell r="I9335" t="str">
            <v>Emerging Currency</v>
          </cell>
        </row>
        <row r="9336">
          <cell r="A9336" t="str">
            <v>[RON_FX_USD-HUF_FX_USD]</v>
          </cell>
          <cell r="B9336" t="str">
            <v>RON/HUF</v>
          </cell>
          <cell r="C9336" t="str">
            <v>Foreign Exchange:RON/HUF</v>
          </cell>
          <cell r="D9336" t="str">
            <v>FX</v>
          </cell>
          <cell r="E9336" t="str">
            <v>FX</v>
          </cell>
          <cell r="F9336" t="str">
            <v>FX-Emerging Currency</v>
          </cell>
          <cell r="G9336" t="str">
            <v>FX-Emerging Currency</v>
          </cell>
          <cell r="H9336" t="str">
            <v>FX</v>
          </cell>
          <cell r="I9336" t="str">
            <v>Emerging Currency</v>
          </cell>
        </row>
        <row r="9337">
          <cell r="A9337" t="str">
            <v>RUB_FX_USD</v>
          </cell>
          <cell r="B9337" t="str">
            <v>RUB/USD</v>
          </cell>
          <cell r="C9337" t="str">
            <v>BRS_GOLD__2_FX:FX:RUB_FX_USD</v>
          </cell>
          <cell r="D9337" t="str">
            <v>FX</v>
          </cell>
          <cell r="E9337" t="str">
            <v>FX</v>
          </cell>
          <cell r="F9337" t="str">
            <v>FX-Emerging Currency</v>
          </cell>
          <cell r="G9337" t="str">
            <v>FX-Emerging Currency</v>
          </cell>
          <cell r="H9337" t="str">
            <v>FX</v>
          </cell>
          <cell r="I9337" t="str">
            <v>Emerging Currency</v>
          </cell>
        </row>
        <row r="9338">
          <cell r="A9338" t="str">
            <v>[SEK_FX_USD-HUF_FX_USD]</v>
          </cell>
          <cell r="B9338" t="str">
            <v>SEK/HUF</v>
          </cell>
          <cell r="C9338" t="str">
            <v>Foreign Exchange:SEK/HUF</v>
          </cell>
          <cell r="D9338" t="str">
            <v>FX</v>
          </cell>
          <cell r="E9338" t="str">
            <v>FX</v>
          </cell>
          <cell r="F9338" t="str">
            <v>FX-Developed Currency</v>
          </cell>
          <cell r="G9338" t="str">
            <v>FX-Developed Currency</v>
          </cell>
          <cell r="H9338" t="str">
            <v>FX</v>
          </cell>
          <cell r="I9338" t="str">
            <v>Developed Currency</v>
          </cell>
        </row>
        <row r="9339">
          <cell r="A9339" t="str">
            <v>SEK_FX_USD</v>
          </cell>
          <cell r="B9339" t="str">
            <v>SEK/USD</v>
          </cell>
          <cell r="C9339" t="str">
            <v>BRS_GOLD__2_FX:FX:SEK_FX_USD</v>
          </cell>
          <cell r="D9339" t="str">
            <v>FX</v>
          </cell>
          <cell r="E9339" t="str">
            <v>FX</v>
          </cell>
          <cell r="F9339" t="str">
            <v>FX-Developed Currency</v>
          </cell>
          <cell r="G9339" t="str">
            <v>FX-Developed Currency</v>
          </cell>
          <cell r="H9339" t="str">
            <v>FX</v>
          </cell>
          <cell r="I9339" t="str">
            <v>Developed Currency</v>
          </cell>
        </row>
        <row r="9340">
          <cell r="A9340" t="str">
            <v>[SGD_FX_USD-HUF_FX_USD]</v>
          </cell>
          <cell r="B9340" t="str">
            <v>SGD/HUF</v>
          </cell>
          <cell r="C9340" t="str">
            <v>Foreign Exchange:SGD/HUF</v>
          </cell>
          <cell r="D9340" t="str">
            <v>FX</v>
          </cell>
          <cell r="E9340" t="str">
            <v>FX</v>
          </cell>
          <cell r="F9340" t="str">
            <v>FX-Developed Currency</v>
          </cell>
          <cell r="G9340" t="str">
            <v>FX-Developed Currency</v>
          </cell>
          <cell r="H9340" t="str">
            <v>FX</v>
          </cell>
          <cell r="I9340" t="str">
            <v>Developed Currency</v>
          </cell>
        </row>
        <row r="9341">
          <cell r="A9341" t="str">
            <v>SGD_FX_USD</v>
          </cell>
          <cell r="B9341" t="str">
            <v>SGD/USD</v>
          </cell>
          <cell r="C9341" t="str">
            <v>BRS_GOLD__2_FX:FX:SGD_FX_USD</v>
          </cell>
          <cell r="D9341" t="str">
            <v>FX</v>
          </cell>
          <cell r="E9341" t="str">
            <v>FX</v>
          </cell>
          <cell r="F9341" t="str">
            <v>FX-Developed Currency</v>
          </cell>
          <cell r="G9341" t="str">
            <v>FX-Developed Currency</v>
          </cell>
          <cell r="H9341" t="str">
            <v>FX</v>
          </cell>
          <cell r="I9341" t="str">
            <v>Developed Currency</v>
          </cell>
        </row>
        <row r="9342">
          <cell r="A9342" t="str">
            <v>PLN_FX_USD</v>
          </cell>
          <cell r="B9342" t="str">
            <v>PLN/USD</v>
          </cell>
          <cell r="C9342" t="str">
            <v>BRS_GOLD__2_FX:FX:PLN_FX_USD</v>
          </cell>
          <cell r="D9342" t="str">
            <v>FX</v>
          </cell>
          <cell r="E9342" t="str">
            <v>FX</v>
          </cell>
          <cell r="F9342" t="str">
            <v>FX-Emerging Currency</v>
          </cell>
          <cell r="G9342" t="str">
            <v>FX-Emerging Currency</v>
          </cell>
          <cell r="H9342" t="str">
            <v>FX</v>
          </cell>
          <cell r="I9342" t="str">
            <v>Emerging Currency</v>
          </cell>
        </row>
        <row r="9343">
          <cell r="A9343" t="str">
            <v>[TRY_FX_USD-GBP_FX_USD]</v>
          </cell>
          <cell r="B9343" t="str">
            <v>TRY/GBP</v>
          </cell>
          <cell r="C9343" t="str">
            <v>Foreign Exchange:TRY/GBP</v>
          </cell>
          <cell r="D9343" t="str">
            <v>FX</v>
          </cell>
          <cell r="E9343" t="str">
            <v>FX</v>
          </cell>
          <cell r="F9343" t="str">
            <v>FX-Emerging Currency</v>
          </cell>
          <cell r="G9343" t="str">
            <v>FX-Emerging Currency</v>
          </cell>
          <cell r="H9343" t="str">
            <v>FX</v>
          </cell>
          <cell r="I9343" t="str">
            <v>Emerging Currency</v>
          </cell>
        </row>
        <row r="9344">
          <cell r="A9344" t="str">
            <v>[TRY_FX_USD-HUF_FX_USD]</v>
          </cell>
          <cell r="B9344" t="str">
            <v>TRY/HUF</v>
          </cell>
          <cell r="C9344" t="str">
            <v>Foreign Exchange:TRY/HUF</v>
          </cell>
          <cell r="D9344" t="str">
            <v>FX</v>
          </cell>
          <cell r="E9344" t="str">
            <v>FX</v>
          </cell>
          <cell r="F9344" t="str">
            <v>FX-Emerging Currency</v>
          </cell>
          <cell r="G9344" t="str">
            <v>FX-Emerging Currency</v>
          </cell>
          <cell r="H9344" t="str">
            <v>FX</v>
          </cell>
          <cell r="I9344" t="str">
            <v>Emerging Currency</v>
          </cell>
        </row>
        <row r="9345">
          <cell r="A9345" t="str">
            <v>[TWD_FX_USD-HUF_FX_USD]</v>
          </cell>
          <cell r="B9345" t="str">
            <v>TWD/HUF</v>
          </cell>
          <cell r="C9345" t="str">
            <v>Foreign Exchange:TWD/HUF</v>
          </cell>
          <cell r="D9345" t="str">
            <v>FX</v>
          </cell>
          <cell r="E9345" t="str">
            <v>FX</v>
          </cell>
          <cell r="F9345" t="str">
            <v>FX-Emerging Currency</v>
          </cell>
          <cell r="G9345" t="str">
            <v>FX-Emerging Currency</v>
          </cell>
          <cell r="H9345" t="str">
            <v>FX</v>
          </cell>
          <cell r="I9345" t="str">
            <v>Emerging Currency</v>
          </cell>
        </row>
        <row r="9346">
          <cell r="A9346" t="str">
            <v>[UAH_FX_USD-HUF_FX_USD]</v>
          </cell>
          <cell r="B9346" t="str">
            <v>UAH/HUF</v>
          </cell>
          <cell r="C9346" t="str">
            <v>Foreign Exchange:UAH/HUF</v>
          </cell>
          <cell r="D9346" t="str">
            <v>FX</v>
          </cell>
          <cell r="E9346" t="str">
            <v>FX</v>
          </cell>
          <cell r="F9346" t="str">
            <v>FX-Emerging Currency</v>
          </cell>
          <cell r="G9346" t="str">
            <v>FX-Emerging Currency</v>
          </cell>
          <cell r="H9346" t="str">
            <v>FX</v>
          </cell>
          <cell r="I9346" t="str">
            <v>Emerging Currency</v>
          </cell>
        </row>
        <row r="9347">
          <cell r="A9347" t="str">
            <v>[EGP_FX_USD-GBP_FX_USD]</v>
          </cell>
          <cell r="B9347" t="str">
            <v>EGP/GBP</v>
          </cell>
          <cell r="C9347" t="str">
            <v>Foreign Exchange:EGP/GBP</v>
          </cell>
          <cell r="D9347" t="str">
            <v>FX</v>
          </cell>
          <cell r="E9347" t="str">
            <v>FX</v>
          </cell>
          <cell r="F9347" t="str">
            <v>FX-Emerging Currency</v>
          </cell>
          <cell r="G9347" t="str">
            <v>FX-Emerging Currency</v>
          </cell>
          <cell r="H9347" t="str">
            <v>FX</v>
          </cell>
          <cell r="I9347" t="str">
            <v>Emerging Currency</v>
          </cell>
        </row>
        <row r="9348">
          <cell r="A9348" t="str">
            <v>[USD_ZAR_FX2_USD+EUR_EUR_FX2_USD-EUR_USD_FX2_USD-EUR_ZAR_FX2_USD]</v>
          </cell>
          <cell r="B9348" t="str">
            <v>USD/EUR*ZAR/EUR</v>
          </cell>
          <cell r="C9348" t="str">
            <v>Foreign Exchange^2:USD/EUR*ZAR/EUR</v>
          </cell>
          <cell r="D9348" t="str">
            <v>FX</v>
          </cell>
          <cell r="E9348" t="str">
            <v>FX</v>
          </cell>
          <cell r="F9348" t="str">
            <v>Other</v>
          </cell>
          <cell r="G9348" t="str">
            <v>Other</v>
          </cell>
          <cell r="H9348" t="str">
            <v>OTHER</v>
          </cell>
          <cell r="I9348" t="str">
            <v>FX^2</v>
          </cell>
        </row>
        <row r="9349">
          <cell r="A9349" t="str">
            <v>[USD_USD_FX2_USD+HUF_HUF_FX2_USD-HUF_USD_FX2_USD-HUF_USD_FX2_USD]</v>
          </cell>
          <cell r="B9349" t="str">
            <v>USD/HUF ^2</v>
          </cell>
          <cell r="C9349" t="str">
            <v>Foreign Exchange^2:USD/HUF ^2</v>
          </cell>
          <cell r="D9349" t="str">
            <v>FX</v>
          </cell>
          <cell r="E9349" t="str">
            <v>FX</v>
          </cell>
          <cell r="F9349" t="str">
            <v>Other</v>
          </cell>
          <cell r="G9349" t="str">
            <v>Other</v>
          </cell>
          <cell r="H9349" t="str">
            <v>OTHER</v>
          </cell>
          <cell r="I9349" t="str">
            <v>FX^2</v>
          </cell>
        </row>
        <row r="9350">
          <cell r="A9350" t="str">
            <v>[USD_FX_USD-JPY_FX_USD]</v>
          </cell>
          <cell r="B9350" t="str">
            <v>USD/JPY</v>
          </cell>
          <cell r="C9350" t="str">
            <v>Foreign Exchange:USD/JPY</v>
          </cell>
          <cell r="D9350" t="str">
            <v>FX</v>
          </cell>
          <cell r="E9350" t="str">
            <v>FX</v>
          </cell>
          <cell r="F9350" t="str">
            <v>FX-USD</v>
          </cell>
          <cell r="G9350" t="str">
            <v>FX-USD</v>
          </cell>
          <cell r="H9350" t="str">
            <v>FX</v>
          </cell>
          <cell r="I9350" t="str">
            <v>USD</v>
          </cell>
        </row>
        <row r="9351">
          <cell r="A9351" t="str">
            <v>GBP_FX_USD</v>
          </cell>
          <cell r="B9351" t="str">
            <v>GBP/USD</v>
          </cell>
          <cell r="C9351" t="str">
            <v>BRS_GOLD__2_FX:FX:GBP_FX_USD</v>
          </cell>
          <cell r="D9351" t="str">
            <v>FX</v>
          </cell>
          <cell r="E9351" t="str">
            <v>FX</v>
          </cell>
          <cell r="F9351" t="str">
            <v>FX-GBP</v>
          </cell>
          <cell r="G9351" t="str">
            <v>FX-GBP</v>
          </cell>
          <cell r="H9351" t="str">
            <v>FX</v>
          </cell>
          <cell r="I9351" t="str">
            <v>GBP</v>
          </cell>
        </row>
        <row r="9352">
          <cell r="A9352" t="str">
            <v>[HKD_FX_USD-JPY_FX_USD]</v>
          </cell>
          <cell r="B9352" t="str">
            <v>HKD/JPY</v>
          </cell>
          <cell r="C9352" t="str">
            <v>Foreign Exchange:HKD/JPY</v>
          </cell>
          <cell r="D9352" t="str">
            <v>WITHOUT TYPE</v>
          </cell>
          <cell r="E9352" t="str">
            <v>WITHOUT TYPE</v>
          </cell>
          <cell r="F9352" t="str">
            <v>FX-Developed Currency</v>
          </cell>
          <cell r="G9352" t="str">
            <v>FX-Developed Currency</v>
          </cell>
          <cell r="H9352" t="str">
            <v>FX</v>
          </cell>
          <cell r="I9352" t="str">
            <v>Developed Currency</v>
          </cell>
        </row>
        <row r="9353">
          <cell r="A9353" t="str">
            <v>HKD_FX_USD</v>
          </cell>
          <cell r="B9353" t="str">
            <v>HKD/USD</v>
          </cell>
          <cell r="C9353" t="str">
            <v>BRS_GOLD__2_FX:FX:HKD_FX_USD</v>
          </cell>
          <cell r="D9353" t="str">
            <v>FX</v>
          </cell>
          <cell r="E9353" t="str">
            <v>FX</v>
          </cell>
          <cell r="F9353" t="str">
            <v>FX-Developed Currency</v>
          </cell>
          <cell r="G9353" t="str">
            <v>FX-Developed Currency</v>
          </cell>
          <cell r="H9353" t="str">
            <v>FX</v>
          </cell>
          <cell r="I9353" t="str">
            <v>Developed Currency</v>
          </cell>
        </row>
        <row r="9354">
          <cell r="A9354" t="str">
            <v>[HRK_FX_USD-HRK_FX_USD]</v>
          </cell>
          <cell r="B9354" t="str">
            <v>HRK/HRK</v>
          </cell>
          <cell r="C9354" t="str">
            <v>Foreign Exchange:HRK/HRK</v>
          </cell>
          <cell r="D9354" t="str">
            <v>FX</v>
          </cell>
          <cell r="E9354" t="str">
            <v>FX</v>
          </cell>
          <cell r="F9354" t="str">
            <v>FX-Emerging Currency</v>
          </cell>
          <cell r="G9354" t="str">
            <v>FX-Emerging Currency</v>
          </cell>
          <cell r="H9354" t="str">
            <v>FX</v>
          </cell>
          <cell r="I9354" t="str">
            <v>Emerging Currency</v>
          </cell>
        </row>
        <row r="9355">
          <cell r="A9355" t="str">
            <v>HRK_FX_USD</v>
          </cell>
          <cell r="B9355" t="str">
            <v>HRK/USD</v>
          </cell>
          <cell r="C9355" t="str">
            <v>BRS_GOLD__2_FX:FX:HRK_FX_USD</v>
          </cell>
          <cell r="D9355" t="str">
            <v>FX</v>
          </cell>
          <cell r="E9355" t="str">
            <v>FX</v>
          </cell>
          <cell r="F9355" t="str">
            <v>FX-Emerging Currency</v>
          </cell>
          <cell r="G9355" t="str">
            <v>FX-Emerging Currency</v>
          </cell>
          <cell r="H9355" t="str">
            <v>FX</v>
          </cell>
          <cell r="I9355" t="str">
            <v>Emerging Currency</v>
          </cell>
        </row>
        <row r="9356">
          <cell r="A9356" t="str">
            <v>[HUF_FX_USD-GBP_FX_USD]</v>
          </cell>
          <cell r="B9356" t="str">
            <v>HUF/GBP</v>
          </cell>
          <cell r="C9356" t="str">
            <v>Foreign Exchange:HUF/GBP</v>
          </cell>
          <cell r="D9356" t="str">
            <v>FX</v>
          </cell>
          <cell r="E9356" t="str">
            <v>FX</v>
          </cell>
          <cell r="F9356" t="str">
            <v>FX-Emerging Currency</v>
          </cell>
          <cell r="G9356" t="str">
            <v>FX-Emerging Currency</v>
          </cell>
          <cell r="H9356" t="str">
            <v>FX</v>
          </cell>
          <cell r="I9356" t="str">
            <v>Emerging Currency</v>
          </cell>
        </row>
        <row r="9357">
          <cell r="A9357" t="str">
            <v>[ISK_FX_USD-HUF_FX_USD]</v>
          </cell>
          <cell r="B9357" t="str">
            <v>ISK/HUF</v>
          </cell>
          <cell r="C9357" t="str">
            <v>Foreign Exchange:ISK/HUF</v>
          </cell>
          <cell r="D9357" t="str">
            <v>FX</v>
          </cell>
          <cell r="E9357" t="str">
            <v>FX</v>
          </cell>
          <cell r="F9357" t="str">
            <v>FX-Developed Currency</v>
          </cell>
          <cell r="G9357" t="str">
            <v>FX-Developed Currency</v>
          </cell>
          <cell r="H9357" t="str">
            <v>FX</v>
          </cell>
          <cell r="I9357" t="str">
            <v>Developed Currency</v>
          </cell>
        </row>
        <row r="9358">
          <cell r="A9358" t="str">
            <v>[JPY_NZD_FX2_USD+EUR_EUR_FX2_USD-EUR_JPY_FX2_USD-EUR_NZD_FX2_USD]</v>
          </cell>
          <cell r="B9358" t="str">
            <v>JPY/EUR*NZD/EUR</v>
          </cell>
          <cell r="D9358" t="str">
            <v>FX</v>
          </cell>
          <cell r="E9358" t="str">
            <v>FX</v>
          </cell>
          <cell r="F9358" t="str">
            <v>Other</v>
          </cell>
          <cell r="G9358" t="str">
            <v>Other</v>
          </cell>
          <cell r="H9358" t="str">
            <v>OTHER</v>
          </cell>
          <cell r="I9358" t="str">
            <v>FX^2</v>
          </cell>
        </row>
        <row r="9359">
          <cell r="A9359" t="str">
            <v>[JPY_USD_FX2_USD+EUR_EUR_FX2_USD-EUR_JPY_FX2_USD-EUR_USD_FX2_USD]</v>
          </cell>
          <cell r="B9359" t="str">
            <v>JPY/EUR*USD/EUR</v>
          </cell>
          <cell r="D9359" t="str">
            <v>FX</v>
          </cell>
          <cell r="E9359" t="str">
            <v>FX</v>
          </cell>
          <cell r="F9359" t="str">
            <v>Other</v>
          </cell>
          <cell r="G9359" t="str">
            <v>Other</v>
          </cell>
          <cell r="H9359" t="str">
            <v>OTHER</v>
          </cell>
          <cell r="I9359" t="str">
            <v>FX^2</v>
          </cell>
        </row>
        <row r="9360">
          <cell r="A9360" t="str">
            <v>KRW_FX_USD</v>
          </cell>
          <cell r="B9360" t="str">
            <v>KRW/USD</v>
          </cell>
          <cell r="C9360" t="str">
            <v>BRS_GOLD__2_FX:FX:KRW_FX_USD</v>
          </cell>
          <cell r="D9360" t="str">
            <v>FX</v>
          </cell>
          <cell r="E9360" t="str">
            <v>FX</v>
          </cell>
          <cell r="F9360" t="str">
            <v>FX-Emerging Currency</v>
          </cell>
          <cell r="G9360" t="str">
            <v>FX-Emerging Currency</v>
          </cell>
          <cell r="H9360" t="str">
            <v>FX</v>
          </cell>
          <cell r="I9360" t="str">
            <v>Emerging Currency</v>
          </cell>
        </row>
        <row r="9361">
          <cell r="A9361" t="str">
            <v>[KWD_FX_USD-HUF_FX_USD]</v>
          </cell>
          <cell r="B9361" t="str">
            <v>KWD/HUF</v>
          </cell>
          <cell r="C9361" t="str">
            <v>Foreign Exchange:KWD/HUF</v>
          </cell>
          <cell r="D9361" t="str">
            <v>FX</v>
          </cell>
          <cell r="E9361" t="str">
            <v>FX</v>
          </cell>
          <cell r="F9361" t="str">
            <v>FX-Emerging Currency</v>
          </cell>
          <cell r="G9361" t="str">
            <v>FX-Emerging Currency</v>
          </cell>
          <cell r="H9361" t="str">
            <v>FX</v>
          </cell>
          <cell r="I9361" t="str">
            <v>Emerging Currency</v>
          </cell>
        </row>
        <row r="9362">
          <cell r="A9362" t="str">
            <v>[THB_FX_USD-HUF_FX_USD]</v>
          </cell>
          <cell r="B9362" t="str">
            <v>THB/HUF</v>
          </cell>
          <cell r="C9362" t="str">
            <v>Foreign Exchange:THB/HUF</v>
          </cell>
          <cell r="D9362" t="str">
            <v>FX</v>
          </cell>
          <cell r="E9362" t="str">
            <v>FX</v>
          </cell>
          <cell r="F9362" t="str">
            <v>FX-Emerging Currency</v>
          </cell>
          <cell r="G9362" t="str">
            <v>FX-Emerging Currency</v>
          </cell>
          <cell r="H9362" t="str">
            <v>FX</v>
          </cell>
          <cell r="I9362" t="str">
            <v>Emerging Currency</v>
          </cell>
        </row>
        <row r="9363">
          <cell r="A9363" t="str">
            <v>TWD_FX_USD</v>
          </cell>
          <cell r="B9363" t="str">
            <v>TWD/USD</v>
          </cell>
          <cell r="C9363" t="str">
            <v>BRS_GOLD__2_FX:FX:TWD_FX_USD</v>
          </cell>
          <cell r="D9363" t="str">
            <v>FX</v>
          </cell>
          <cell r="E9363" t="str">
            <v>FX</v>
          </cell>
          <cell r="F9363" t="str">
            <v>FX-Emerging Currency</v>
          </cell>
          <cell r="G9363" t="str">
            <v>FX-Emerging Currency</v>
          </cell>
          <cell r="H9363" t="str">
            <v>FX</v>
          </cell>
          <cell r="I9363" t="str">
            <v>Emerging Currency</v>
          </cell>
        </row>
        <row r="9364">
          <cell r="A9364" t="str">
            <v>[MXN_FX_USD-HUF_FX_USD]</v>
          </cell>
          <cell r="B9364" t="str">
            <v>MXN/HUF</v>
          </cell>
          <cell r="C9364" t="str">
            <v>Foreign Exchange:MXN/HUF</v>
          </cell>
          <cell r="D9364" t="str">
            <v>FX</v>
          </cell>
          <cell r="E9364" t="str">
            <v>FX</v>
          </cell>
          <cell r="F9364" t="str">
            <v>FX-Emerging Currency</v>
          </cell>
          <cell r="G9364" t="str">
            <v>FX-Emerging Currency</v>
          </cell>
          <cell r="H9364" t="str">
            <v>FX</v>
          </cell>
          <cell r="I9364" t="str">
            <v>Emerging Currency</v>
          </cell>
        </row>
        <row r="9365">
          <cell r="A9365" t="str">
            <v>NOK_FX_USD</v>
          </cell>
          <cell r="B9365" t="str">
            <v>NOK/USD</v>
          </cell>
          <cell r="C9365" t="str">
            <v>BRS_GOLD__2_FX:FX:NOK_FX_USD</v>
          </cell>
          <cell r="D9365" t="str">
            <v>FX</v>
          </cell>
          <cell r="E9365" t="str">
            <v>FX</v>
          </cell>
          <cell r="F9365" t="str">
            <v>FX-Developed Currency</v>
          </cell>
          <cell r="G9365" t="str">
            <v>FX-Developed Currency</v>
          </cell>
          <cell r="H9365" t="str">
            <v>FX</v>
          </cell>
          <cell r="I9365" t="str">
            <v>Developed Currency</v>
          </cell>
        </row>
        <row r="9366">
          <cell r="A9366" t="str">
            <v>[MXN_USD_FX2_USD+EUR_EUR_FX2_USD-EUR_MXN_FX2_USD-EUR_USD_FX2_USD]</v>
          </cell>
          <cell r="B9366" t="str">
            <v>MXN/EUR*USD/EUR</v>
          </cell>
          <cell r="C9366" t="str">
            <v>Foreign Exchange^2:MXN/EUR*USD/EUR</v>
          </cell>
          <cell r="D9366" t="str">
            <v>FX</v>
          </cell>
          <cell r="E9366" t="str">
            <v>FX</v>
          </cell>
          <cell r="F9366" t="str">
            <v>Other</v>
          </cell>
          <cell r="G9366" t="str">
            <v>Other</v>
          </cell>
          <cell r="H9366" t="str">
            <v>OTHER</v>
          </cell>
          <cell r="I9366" t="str">
            <v>FX^2</v>
          </cell>
        </row>
        <row r="9367">
          <cell r="A9367" t="str">
            <v>MXN_MXN_FX2_USD</v>
          </cell>
          <cell r="B9367" t="str">
            <v>MXN/USD ^2</v>
          </cell>
          <cell r="C9367" t="str">
            <v>BRS_GOLD__2_FX:FX2:MXN_MXN_FX2_USD</v>
          </cell>
          <cell r="D9367" t="str">
            <v>FX</v>
          </cell>
          <cell r="E9367" t="str">
            <v>FX</v>
          </cell>
          <cell r="F9367" t="str">
            <v>Other</v>
          </cell>
          <cell r="G9367" t="str">
            <v>Other</v>
          </cell>
          <cell r="H9367" t="str">
            <v>OTHER</v>
          </cell>
          <cell r="I9367" t="str">
            <v>FX^2</v>
          </cell>
        </row>
        <row r="9368">
          <cell r="A9368" t="str">
            <v>[NZD_USD_FX2_USD+EUR_EUR_FX2_USD-EUR_NZD_FX2_USD-EUR_USD_FX2_USD]</v>
          </cell>
          <cell r="B9368" t="str">
            <v>NZD/EUR*USD/EUR</v>
          </cell>
          <cell r="C9368" t="str">
            <v>Foreign Exchange^2:NZD/EUR*USD/EUR</v>
          </cell>
          <cell r="D9368" t="str">
            <v>FX</v>
          </cell>
          <cell r="E9368" t="str">
            <v>FX</v>
          </cell>
          <cell r="F9368" t="str">
            <v>Other</v>
          </cell>
          <cell r="G9368" t="str">
            <v>Other</v>
          </cell>
          <cell r="H9368" t="str">
            <v>OTHER</v>
          </cell>
          <cell r="I9368" t="str">
            <v>FX^2</v>
          </cell>
        </row>
        <row r="9369">
          <cell r="A9369" t="str">
            <v>[PEN_FX_USD-GBP_FX_USD]</v>
          </cell>
          <cell r="B9369" t="str">
            <v>PEN/GBP</v>
          </cell>
          <cell r="C9369" t="str">
            <v>Foreign Exchange:PEN/GBP</v>
          </cell>
          <cell r="D9369" t="str">
            <v>FX</v>
          </cell>
          <cell r="E9369" t="str">
            <v>FX</v>
          </cell>
          <cell r="F9369" t="str">
            <v>FX-Emerging Currency</v>
          </cell>
          <cell r="G9369" t="str">
            <v>FX-Emerging Currency</v>
          </cell>
          <cell r="H9369" t="str">
            <v>FX</v>
          </cell>
          <cell r="I9369" t="str">
            <v>Emerging Currency</v>
          </cell>
        </row>
        <row r="9370">
          <cell r="A9370" t="str">
            <v>[PEN_FX_USD-HUF_FX_USD]</v>
          </cell>
          <cell r="B9370" t="str">
            <v>PEN/HUF</v>
          </cell>
          <cell r="C9370" t="str">
            <v>Foreign Exchange:PEN/HUF</v>
          </cell>
          <cell r="D9370" t="str">
            <v>FX</v>
          </cell>
          <cell r="E9370" t="str">
            <v>FX</v>
          </cell>
          <cell r="F9370" t="str">
            <v>FX-Emerging Currency</v>
          </cell>
          <cell r="G9370" t="str">
            <v>FX-Emerging Currency</v>
          </cell>
          <cell r="H9370" t="str">
            <v>FX</v>
          </cell>
          <cell r="I9370" t="str">
            <v>Emerging Currency</v>
          </cell>
        </row>
        <row r="9371">
          <cell r="A9371" t="str">
            <v>[PKR_FX_USD-HUF_FX_USD]</v>
          </cell>
          <cell r="B9371" t="str">
            <v>PKR/HUF</v>
          </cell>
          <cell r="C9371" t="str">
            <v>Foreign Exchange:PKR/HUF</v>
          </cell>
          <cell r="D9371" t="str">
            <v>FX</v>
          </cell>
          <cell r="E9371" t="str">
            <v>FX</v>
          </cell>
          <cell r="F9371" t="str">
            <v>FX-Emerging Currency</v>
          </cell>
          <cell r="G9371" t="str">
            <v>FX-Emerging Currency</v>
          </cell>
          <cell r="H9371" t="str">
            <v>FX</v>
          </cell>
          <cell r="I9371" t="str">
            <v>Emerging Currency</v>
          </cell>
        </row>
        <row r="9372">
          <cell r="A9372" t="str">
            <v>[QAR_FX_USD-HUF_FX_USD]</v>
          </cell>
          <cell r="B9372" t="str">
            <v>QAR/HUF</v>
          </cell>
          <cell r="C9372" t="str">
            <v>Foreign Exchange:QAR/HUF</v>
          </cell>
          <cell r="D9372" t="str">
            <v>FX</v>
          </cell>
          <cell r="E9372" t="str">
            <v>FX</v>
          </cell>
          <cell r="F9372" t="str">
            <v>FX-Emerging Currency</v>
          </cell>
          <cell r="G9372" t="str">
            <v>FX-Emerging Currency</v>
          </cell>
          <cell r="H9372" t="str">
            <v>FX</v>
          </cell>
          <cell r="I9372" t="str">
            <v>Emerging Currency</v>
          </cell>
        </row>
        <row r="9373">
          <cell r="A9373" t="str">
            <v>[RON_FX_USD-GBP_FX_USD]</v>
          </cell>
          <cell r="B9373" t="str">
            <v>RON/GBP</v>
          </cell>
          <cell r="C9373" t="str">
            <v>Foreign Exchange:RON/GBP</v>
          </cell>
          <cell r="D9373" t="str">
            <v>FX</v>
          </cell>
          <cell r="E9373" t="str">
            <v>FX</v>
          </cell>
          <cell r="F9373" t="str">
            <v>FX-Emerging Currency</v>
          </cell>
          <cell r="G9373" t="str">
            <v>FX-Emerging Currency</v>
          </cell>
          <cell r="H9373" t="str">
            <v>FX</v>
          </cell>
          <cell r="I9373" t="str">
            <v>Emerging Currency</v>
          </cell>
        </row>
        <row r="9374">
          <cell r="A9374" t="str">
            <v>[RSD_FX_USD-HUF_FX_USD]</v>
          </cell>
          <cell r="B9374" t="str">
            <v>RSD/HUF</v>
          </cell>
          <cell r="C9374" t="str">
            <v>Foreign Exchange:RSD/HUF</v>
          </cell>
          <cell r="D9374" t="str">
            <v>FX</v>
          </cell>
          <cell r="E9374" t="str">
            <v>FX</v>
          </cell>
          <cell r="F9374" t="str">
            <v>FX-Emerging Currency</v>
          </cell>
          <cell r="G9374" t="str">
            <v>FX-Emerging Currency</v>
          </cell>
          <cell r="H9374" t="str">
            <v>FX</v>
          </cell>
          <cell r="I9374" t="str">
            <v>Emerging Currency</v>
          </cell>
        </row>
        <row r="9375">
          <cell r="A9375" t="str">
            <v>[RUB_FX_USD-GBP_FX_USD]</v>
          </cell>
          <cell r="B9375" t="str">
            <v>RUB/GBP</v>
          </cell>
          <cell r="C9375" t="str">
            <v>Foreign Exchange:RUB/GBP</v>
          </cell>
          <cell r="D9375" t="str">
            <v>FX</v>
          </cell>
          <cell r="E9375" t="str">
            <v>FX</v>
          </cell>
          <cell r="F9375" t="str">
            <v>FX-Emerging Currency</v>
          </cell>
          <cell r="G9375" t="str">
            <v>FX-Emerging Currency</v>
          </cell>
          <cell r="H9375" t="str">
            <v>FX</v>
          </cell>
          <cell r="I9375" t="str">
            <v>Emerging Currency</v>
          </cell>
        </row>
        <row r="9376">
          <cell r="A9376" t="str">
            <v>[RUB_FX_USD-HUF_FX_USD]</v>
          </cell>
          <cell r="B9376" t="str">
            <v>RUB/HUF</v>
          </cell>
          <cell r="C9376" t="str">
            <v>Foreign Exchange:RUB/HUF</v>
          </cell>
          <cell r="D9376" t="str">
            <v>FX</v>
          </cell>
          <cell r="E9376" t="str">
            <v>FX</v>
          </cell>
          <cell r="F9376" t="str">
            <v>FX-Emerging Currency</v>
          </cell>
          <cell r="G9376" t="str">
            <v>FX-Emerging Currency</v>
          </cell>
          <cell r="H9376" t="str">
            <v>FX</v>
          </cell>
          <cell r="I9376" t="str">
            <v>Emerging Currency</v>
          </cell>
        </row>
        <row r="9377">
          <cell r="A9377" t="str">
            <v>[SAR_FX_USD-HUF_FX_USD]</v>
          </cell>
          <cell r="B9377" t="str">
            <v>SAR/HUF</v>
          </cell>
          <cell r="C9377" t="str">
            <v>Foreign Exchange:SAR/HUF</v>
          </cell>
          <cell r="D9377" t="str">
            <v>FX</v>
          </cell>
          <cell r="E9377" t="str">
            <v>FX</v>
          </cell>
          <cell r="F9377" t="str">
            <v>FX-Emerging Currency</v>
          </cell>
          <cell r="G9377" t="str">
            <v>FX-Emerging Currency</v>
          </cell>
          <cell r="H9377" t="str">
            <v>FX</v>
          </cell>
          <cell r="I9377" t="str">
            <v>Emerging Currency</v>
          </cell>
        </row>
        <row r="9378">
          <cell r="A9378" t="str">
            <v>[TRY_USD_FX2_USD+EUR_EUR_FX2_USD-EUR_TRY_FX2_USD-EUR_USD_FX2_USD]</v>
          </cell>
          <cell r="B9378" t="str">
            <v>TRY/EUR*USD/EUR</v>
          </cell>
          <cell r="C9378" t="str">
            <v>Foreign Exchange^2:TRY/EUR*USD/EUR</v>
          </cell>
          <cell r="D9378" t="str">
            <v>FX</v>
          </cell>
          <cell r="E9378" t="str">
            <v>FX</v>
          </cell>
          <cell r="F9378" t="str">
            <v>Other</v>
          </cell>
          <cell r="G9378" t="str">
            <v>Other</v>
          </cell>
          <cell r="H9378" t="str">
            <v>OTHER</v>
          </cell>
          <cell r="I9378" t="str">
            <v>FX^2</v>
          </cell>
        </row>
        <row r="9379">
          <cell r="A9379" t="str">
            <v>[THB_FX_USD-GBP_FX_USD]</v>
          </cell>
          <cell r="B9379" t="str">
            <v>THB/GBP</v>
          </cell>
          <cell r="C9379" t="str">
            <v>Foreign Exchange:THB/GBP</v>
          </cell>
          <cell r="D9379" t="str">
            <v>FX</v>
          </cell>
          <cell r="E9379" t="str">
            <v>FX</v>
          </cell>
          <cell r="F9379" t="str">
            <v>FX-Emerging Currency</v>
          </cell>
          <cell r="G9379" t="str">
            <v>FX-Emerging Currency</v>
          </cell>
          <cell r="H9379" t="str">
            <v>FX</v>
          </cell>
          <cell r="I9379" t="str">
            <v>Emerging Currency</v>
          </cell>
        </row>
        <row r="9380">
          <cell r="A9380" t="str">
            <v>[USD_FX_USD-GBP_FX_USD]</v>
          </cell>
          <cell r="B9380" t="str">
            <v>USD/GBP</v>
          </cell>
          <cell r="C9380" t="str">
            <v>Foreign Exchange:USD/GBP</v>
          </cell>
          <cell r="D9380" t="str">
            <v>FX</v>
          </cell>
          <cell r="E9380" t="str">
            <v>FX</v>
          </cell>
          <cell r="F9380" t="str">
            <v>FX-USD</v>
          </cell>
          <cell r="G9380" t="str">
            <v>FX-USD</v>
          </cell>
          <cell r="H9380" t="str">
            <v>FX</v>
          </cell>
          <cell r="I9380" t="str">
            <v>USD</v>
          </cell>
        </row>
        <row r="9381">
          <cell r="A9381" t="str">
            <v>[USD_FX_USD-HUF_FX_USD]</v>
          </cell>
          <cell r="B9381" t="str">
            <v>USD/HUF</v>
          </cell>
          <cell r="C9381" t="str">
            <v>Foreign Exchange:USD/HUF</v>
          </cell>
          <cell r="D9381" t="str">
            <v>FX</v>
          </cell>
          <cell r="E9381" t="str">
            <v>FX</v>
          </cell>
          <cell r="F9381" t="str">
            <v>FX-USD</v>
          </cell>
          <cell r="G9381" t="str">
            <v>FX-USD</v>
          </cell>
          <cell r="H9381" t="str">
            <v>FX</v>
          </cell>
          <cell r="I9381" t="str">
            <v>USD</v>
          </cell>
        </row>
        <row r="9382">
          <cell r="A9382" t="str">
            <v>[VND_FX_USD-HUF_FX_USD]</v>
          </cell>
          <cell r="B9382" t="str">
            <v>VND/HUF</v>
          </cell>
          <cell r="C9382" t="str">
            <v>Foreign Exchange:VND/HUF</v>
          </cell>
          <cell r="D9382" t="str">
            <v>FX</v>
          </cell>
          <cell r="E9382" t="str">
            <v>FX</v>
          </cell>
          <cell r="F9382" t="str">
            <v>FX-Emerging Currency</v>
          </cell>
          <cell r="G9382" t="str">
            <v>FX-Emerging Currency</v>
          </cell>
          <cell r="H9382" t="str">
            <v>FX</v>
          </cell>
          <cell r="I9382" t="str">
            <v>Emerging Currency</v>
          </cell>
        </row>
        <row r="9383">
          <cell r="A9383" t="str">
            <v>[USD_FX_USD-HRK_FX_USD]</v>
          </cell>
          <cell r="B9383" t="str">
            <v>USD/HRK</v>
          </cell>
          <cell r="C9383" t="str">
            <v>Foreign Exchange:USD/HRK</v>
          </cell>
          <cell r="D9383" t="str">
            <v>FX</v>
          </cell>
          <cell r="E9383" t="str">
            <v>FX</v>
          </cell>
          <cell r="F9383" t="str">
            <v>FX-USD</v>
          </cell>
          <cell r="G9383" t="str">
            <v>FX-USD</v>
          </cell>
          <cell r="H9383" t="str">
            <v>FX</v>
          </cell>
          <cell r="I9383" t="str">
            <v>USD</v>
          </cell>
        </row>
        <row r="9384">
          <cell r="A9384" t="str">
            <v>[ZAR_FX_USD-GBP_FX_USD]</v>
          </cell>
          <cell r="B9384" t="str">
            <v>ZAR/GBP</v>
          </cell>
          <cell r="C9384" t="str">
            <v>Foreign Exchange:ZAR/GBP</v>
          </cell>
          <cell r="D9384" t="str">
            <v>FX</v>
          </cell>
          <cell r="E9384" t="str">
            <v>FX</v>
          </cell>
          <cell r="F9384" t="str">
            <v>FX-Emerging Currency</v>
          </cell>
          <cell r="G9384" t="str">
            <v>FX-Emerging Currency</v>
          </cell>
          <cell r="H9384" t="str">
            <v>FX</v>
          </cell>
          <cell r="I9384" t="str">
            <v>Emerging Currency</v>
          </cell>
        </row>
        <row r="9385">
          <cell r="A9385" t="str">
            <v>[USD_USD_FX2_USD+GBP_GBP_FX2_USD-GBP_USD_FX2_USD-GBP_USD_FX2_USD]</v>
          </cell>
          <cell r="B9385" t="str">
            <v>USD/GBP ^2</v>
          </cell>
          <cell r="C9385" t="str">
            <v>Foreign Exchange^2:USD/GBP ^2</v>
          </cell>
          <cell r="D9385" t="str">
            <v>WITHOUT TYPE</v>
          </cell>
          <cell r="E9385" t="str">
            <v>WITHOUT TYPE</v>
          </cell>
          <cell r="F9385" t="str">
            <v>Other</v>
          </cell>
          <cell r="G9385" t="str">
            <v>Other</v>
          </cell>
          <cell r="H9385" t="str">
            <v>OTHER</v>
          </cell>
          <cell r="I9385" t="str">
            <v>FX^2</v>
          </cell>
        </row>
        <row r="9386">
          <cell r="A9386" t="str">
            <v>USD_FX_USD</v>
          </cell>
          <cell r="B9386" t="str">
            <v>USD/USD</v>
          </cell>
          <cell r="C9386" t="str">
            <v>BRS_GOLD__2_FX:FX:USD_FX_USD</v>
          </cell>
          <cell r="D9386" t="str">
            <v>FX</v>
          </cell>
          <cell r="E9386" t="str">
            <v>FX</v>
          </cell>
          <cell r="F9386" t="str">
            <v>FX-USD</v>
          </cell>
          <cell r="G9386" t="str">
            <v>FX-USD</v>
          </cell>
          <cell r="H9386" t="str">
            <v>FX</v>
          </cell>
          <cell r="I9386" t="str">
            <v>USD</v>
          </cell>
        </row>
        <row r="9387">
          <cell r="A9387" t="str">
            <v>[UYU_FX_USD-HUF_FX_USD]</v>
          </cell>
          <cell r="B9387" t="str">
            <v>UYU/HUF</v>
          </cell>
          <cell r="C9387" t="str">
            <v>Foreign Exchange:UYU/HUF</v>
          </cell>
          <cell r="D9387" t="str">
            <v>FX</v>
          </cell>
          <cell r="E9387" t="str">
            <v>FX</v>
          </cell>
          <cell r="F9387" t="str">
            <v>FX-Emerging Currency</v>
          </cell>
          <cell r="G9387" t="str">
            <v>FX-Emerging Currency</v>
          </cell>
          <cell r="H9387" t="str">
            <v>FX</v>
          </cell>
          <cell r="I9387" t="str">
            <v>Emerging Currency</v>
          </cell>
        </row>
        <row r="9388">
          <cell r="A9388" t="str">
            <v>[ZAR_FX_USD-HUF_FX_USD]</v>
          </cell>
          <cell r="B9388" t="str">
            <v>ZAR/HUF</v>
          </cell>
          <cell r="C9388" t="str">
            <v>Foreign Exchange:ZAR/HUF</v>
          </cell>
          <cell r="D9388" t="str">
            <v>FX</v>
          </cell>
          <cell r="E9388" t="str">
            <v>FX</v>
          </cell>
          <cell r="F9388" t="str">
            <v>FX-Emerging Currency</v>
          </cell>
          <cell r="G9388" t="str">
            <v>FX-Emerging Currency</v>
          </cell>
          <cell r="H9388" t="str">
            <v>FX</v>
          </cell>
          <cell r="I9388" t="str">
            <v>Emerging Currency</v>
          </cell>
        </row>
        <row r="9389">
          <cell r="A9389" t="str">
            <v>USD_sofr_40yr</v>
          </cell>
          <cell r="B9389" t="str">
            <v>SOFR 40Y</v>
          </cell>
          <cell r="C9389" t="str">
            <v>-BRS_GOLD_1:USD_sofr_40yr</v>
          </cell>
          <cell r="F9389" t="str">
            <v>SP-Other</v>
          </cell>
          <cell r="G9389" t="str">
            <v>SP-Other</v>
          </cell>
          <cell r="H9389" t="str">
            <v>SPREADS</v>
          </cell>
          <cell r="I9389" t="str">
            <v>Swap Spread - OIS</v>
          </cell>
        </row>
        <row r="9390">
          <cell r="A9390" t="str">
            <v>USD_sofr_50yr</v>
          </cell>
          <cell r="B9390" t="str">
            <v>SOFR 50Y</v>
          </cell>
          <cell r="C9390" t="str">
            <v>-BRS_GOLD_1:USD_sofr_50yr</v>
          </cell>
          <cell r="F9390" t="str">
            <v>SP-Other</v>
          </cell>
          <cell r="G9390" t="str">
            <v>SP-Other</v>
          </cell>
          <cell r="H9390" t="str">
            <v>SPREADS</v>
          </cell>
          <cell r="I9390" t="str">
            <v>Swap Spread - OIS</v>
          </cell>
        </row>
        <row r="9391">
          <cell r="A9391" t="str">
            <v>SPX_SPX</v>
          </cell>
          <cell r="B9391" t="str">
            <v>S&amp;P 500 ^2</v>
          </cell>
          <cell r="C9391" t="str">
            <v>_BRS_GOLD__5_EQ:EQX2:SPX_SPX</v>
          </cell>
          <cell r="D9391" t="str">
            <v>Index</v>
          </cell>
          <cell r="E9391" t="str">
            <v>Index Level</v>
          </cell>
          <cell r="F9391" t="str">
            <v>EQ-Equity Gamma</v>
          </cell>
          <cell r="G9391" t="str">
            <v>EQ-Other</v>
          </cell>
          <cell r="H9391" t="str">
            <v>EQ_INDICES</v>
          </cell>
          <cell r="I9391" t="str">
            <v>Equity Gamma</v>
          </cell>
        </row>
        <row r="9392">
          <cell r="A9392" t="str">
            <v>DAX_DAX</v>
          </cell>
          <cell r="B9392" t="str">
            <v>Dax ^2</v>
          </cell>
          <cell r="C9392" t="str">
            <v>_BRS_GOLD__5_EQ:EQX2:DAX_DAX</v>
          </cell>
          <cell r="D9392" t="str">
            <v>Index</v>
          </cell>
          <cell r="E9392" t="str">
            <v>Index Level</v>
          </cell>
          <cell r="F9392" t="str">
            <v>EQ-Equity Gamma</v>
          </cell>
          <cell r="G9392" t="str">
            <v>EQ-Other</v>
          </cell>
          <cell r="H9392" t="str">
            <v>EQ_INDICES</v>
          </cell>
          <cell r="I9392" t="str">
            <v>Equity Gamma</v>
          </cell>
        </row>
        <row r="9393">
          <cell r="A9393" t="str">
            <v>UKX_UKX</v>
          </cell>
          <cell r="B9393" t="str">
            <v>UKX ^2</v>
          </cell>
          <cell r="C9393" t="str">
            <v>_BRS_GOLD__5_EQ:EQX2:UKX_UKX</v>
          </cell>
          <cell r="D9393" t="str">
            <v>Index</v>
          </cell>
          <cell r="E9393" t="str">
            <v>Index Level</v>
          </cell>
          <cell r="F9393" t="str">
            <v>EQ-Equity Gamma</v>
          </cell>
          <cell r="G9393" t="str">
            <v>EQ-Other</v>
          </cell>
          <cell r="H9393" t="str">
            <v>EQ_INDICES</v>
          </cell>
          <cell r="I9393" t="str">
            <v>Equity Gamma</v>
          </cell>
        </row>
        <row r="9394">
          <cell r="A9394" t="str">
            <v>NKY_NKY</v>
          </cell>
          <cell r="B9394" t="str">
            <v>NKY ^2</v>
          </cell>
          <cell r="C9394" t="str">
            <v>_BRS_GOLD__5_EQ:EQX2:NKY_NKY</v>
          </cell>
          <cell r="D9394" t="str">
            <v>Index</v>
          </cell>
          <cell r="E9394" t="str">
            <v>Index Level</v>
          </cell>
          <cell r="F9394" t="str">
            <v>EQ-Equity Gamma</v>
          </cell>
          <cell r="G9394" t="str">
            <v>EQ-Other</v>
          </cell>
          <cell r="H9394" t="str">
            <v>EQ_INDICES</v>
          </cell>
          <cell r="I9394" t="str">
            <v>Equity Gamma</v>
          </cell>
        </row>
        <row r="9395">
          <cell r="A9395" t="str">
            <v>SPTSX_SPTSX</v>
          </cell>
          <cell r="B9395" t="str">
            <v>SPTSX ^2</v>
          </cell>
          <cell r="C9395" t="str">
            <v>_BRS_GOLD__5_EQ:EQX2:SPTSX_SPTSX</v>
          </cell>
          <cell r="D9395" t="str">
            <v>Index</v>
          </cell>
          <cell r="E9395" t="str">
            <v>Index Level</v>
          </cell>
          <cell r="F9395" t="str">
            <v>EQ-Equity Gamma</v>
          </cell>
          <cell r="G9395" t="str">
            <v>EQ-Other</v>
          </cell>
          <cell r="H9395" t="str">
            <v>EQ_INDICES</v>
          </cell>
          <cell r="I9395" t="str">
            <v>Equity Gamma</v>
          </cell>
        </row>
        <row r="9396">
          <cell r="A9396" t="str">
            <v>ASX200_ASX200</v>
          </cell>
          <cell r="B9396" t="str">
            <v>ASX200 ^2</v>
          </cell>
          <cell r="C9396" t="str">
            <v>_BRS_GOLD__5_EQ:EQX2:ASX200_ASX200</v>
          </cell>
          <cell r="D9396" t="str">
            <v>Index</v>
          </cell>
          <cell r="E9396" t="str">
            <v>Index Level</v>
          </cell>
          <cell r="F9396" t="str">
            <v>EQ-Equity Gamma</v>
          </cell>
          <cell r="G9396" t="str">
            <v>EQ-Other</v>
          </cell>
          <cell r="H9396" t="str">
            <v>EQ_INDICES</v>
          </cell>
          <cell r="I9396" t="str">
            <v>Equity Gamma</v>
          </cell>
        </row>
        <row r="9397">
          <cell r="A9397" t="str">
            <v>ALT_SP_RISK</v>
          </cell>
          <cell r="B9397" t="str">
            <v>Alternative Idiosyncratic</v>
          </cell>
          <cell r="C9397" t="str">
            <v>Specific:Alternative Idiosyncratic</v>
          </cell>
          <cell r="E9397" t="str">
            <v>Specific Risk</v>
          </cell>
          <cell r="F9397" t="str">
            <v>Idiosyncratic</v>
          </cell>
          <cell r="G9397" t="str">
            <v>Other</v>
          </cell>
          <cell r="H9397" t="str">
            <v>OTHER_SPECIFIC</v>
          </cell>
          <cell r="I9397" t="str">
            <v>Alternative - Idiosyncratic</v>
          </cell>
        </row>
        <row r="9398">
          <cell r="A9398" t="str">
            <v>PEQ_SP_RISK</v>
          </cell>
          <cell r="B9398" t="str">
            <v>Priv Eq Idiosyncratic</v>
          </cell>
          <cell r="C9398" t="str">
            <v>Specific:Priv Eq Idiosyncratic</v>
          </cell>
          <cell r="E9398" t="str">
            <v>Specific Risk</v>
          </cell>
          <cell r="F9398" t="str">
            <v>Idiosyncratic</v>
          </cell>
          <cell r="G9398" t="str">
            <v>Other</v>
          </cell>
          <cell r="H9398" t="str">
            <v>OTHER_SPECIFIC</v>
          </cell>
          <cell r="I9398" t="str">
            <v>Alternative - Idiosyncratic</v>
          </cell>
        </row>
        <row r="9399">
          <cell r="A9399" t="str">
            <v>[NOK_SEK_FX2_USD+EUR_EUR_FX2_USD-EUR_NOK_FX2_USD-EUR_SEK_FX2_USD]</v>
          </cell>
          <cell r="B9399" t="str">
            <v>NOK/EUR*SEK/EUR</v>
          </cell>
          <cell r="C9399" t="str">
            <v>Foreign Exchange^2:NOK/EUR*SEK/EUR</v>
          </cell>
          <cell r="E9399" t="str">
            <v>FX</v>
          </cell>
          <cell r="F9399" t="str">
            <v>Other</v>
          </cell>
          <cell r="G9399" t="str">
            <v>Other</v>
          </cell>
          <cell r="H9399" t="str">
            <v>OTHER</v>
          </cell>
          <cell r="I9399" t="str">
            <v>FX^2</v>
          </cell>
        </row>
        <row r="9400">
          <cell r="A9400" t="str">
            <v>[KRW_USD_FX2_USD+EUR_EUR_FX2_USD-EUR_KRW_FX2_USD-EUR_USD_FX2_USD]</v>
          </cell>
          <cell r="B9400" t="str">
            <v>KRW/EUR*USD/EUR</v>
          </cell>
          <cell r="C9400" t="str">
            <v>Foreign Exchange^2:KRW/EUR*USD/EUR</v>
          </cell>
          <cell r="E9400" t="str">
            <v>FX</v>
          </cell>
          <cell r="F9400" t="str">
            <v>Other</v>
          </cell>
          <cell r="G9400" t="str">
            <v>Other</v>
          </cell>
          <cell r="H9400" t="str">
            <v>OTHER</v>
          </cell>
          <cell r="I9400" t="str">
            <v>FX^2</v>
          </cell>
        </row>
        <row r="9401">
          <cell r="A9401" t="str">
            <v>[RSD_FX_USD-GBP_FX_USD]</v>
          </cell>
          <cell r="B9401" t="str">
            <v>RSD/GBP</v>
          </cell>
          <cell r="C9401" t="str">
            <v>Foreign Exchange:RSD/GBP</v>
          </cell>
          <cell r="E9401" t="str">
            <v>FX</v>
          </cell>
          <cell r="F9401" t="str">
            <v>FX-Emerging Currency</v>
          </cell>
          <cell r="G9401" t="str">
            <v>FX-Emerging Currency</v>
          </cell>
          <cell r="H9401" t="str">
            <v>FX</v>
          </cell>
          <cell r="I9401" t="str">
            <v>Emerging Currency</v>
          </cell>
        </row>
        <row r="9402">
          <cell r="A9402" t="str">
            <v>[DOP_FX_USD-GBP_FX_USD]</v>
          </cell>
          <cell r="B9402" t="str">
            <v>DOP/GBP</v>
          </cell>
          <cell r="C9402" t="str">
            <v>Foreign Exchange:DOP/GBP</v>
          </cell>
          <cell r="E9402" t="str">
            <v>FX</v>
          </cell>
          <cell r="F9402" t="str">
            <v>FX-Emerging Currency</v>
          </cell>
          <cell r="G9402" t="str">
            <v>FX-Emerging Currency</v>
          </cell>
          <cell r="H9402" t="str">
            <v>FX</v>
          </cell>
          <cell r="I9402" t="str">
            <v>Emerging Currency</v>
          </cell>
        </row>
        <row r="9403">
          <cell r="A9403" t="str">
            <v>[UYU_FX_USD-GBP_FX_USD]</v>
          </cell>
          <cell r="B9403" t="str">
            <v>UYU/GBP</v>
          </cell>
          <cell r="C9403" t="str">
            <v>Foreign Exchange:UYU/GBP</v>
          </cell>
          <cell r="E9403" t="str">
            <v>FX</v>
          </cell>
          <cell r="F9403" t="str">
            <v>FX-Emerging Currency</v>
          </cell>
          <cell r="G9403" t="str">
            <v>FX-Emerging Currency</v>
          </cell>
          <cell r="H9403" t="str">
            <v>FX</v>
          </cell>
          <cell r="I9403" t="str">
            <v>Emerging Currency</v>
          </cell>
        </row>
        <row r="9404">
          <cell r="A9404" t="str">
            <v>[PHP_FX_USD-GBP_FX_USD]</v>
          </cell>
          <cell r="B9404" t="str">
            <v>PHP/GBP</v>
          </cell>
          <cell r="C9404" t="str">
            <v>Foreign Exchange:PHP/GBP</v>
          </cell>
          <cell r="E9404" t="str">
            <v>FX</v>
          </cell>
          <cell r="F9404" t="str">
            <v>FX-Emerging Currency</v>
          </cell>
          <cell r="G9404" t="str">
            <v>FX-Emerging Currency</v>
          </cell>
          <cell r="H9404" t="str">
            <v>FX</v>
          </cell>
          <cell r="I9404" t="str">
            <v>Emerging Currency</v>
          </cell>
        </row>
        <row r="9405">
          <cell r="A9405" t="str">
            <v>AED_FX_USD</v>
          </cell>
          <cell r="B9405" t="str">
            <v>AED/USD</v>
          </cell>
          <cell r="C9405" t="str">
            <v>Foreign Exchange:AED/USD</v>
          </cell>
          <cell r="E9405" t="str">
            <v>FX</v>
          </cell>
          <cell r="F9405" t="str">
            <v>FX-Emerging Currency</v>
          </cell>
          <cell r="G9405" t="str">
            <v>FX-Emerging Currency</v>
          </cell>
          <cell r="H9405" t="str">
            <v>FX</v>
          </cell>
          <cell r="I9405" t="str">
            <v>Emerging Currency</v>
          </cell>
        </row>
        <row r="9406">
          <cell r="A9406" t="str">
            <v>BRL_FX_USD</v>
          </cell>
          <cell r="B9406" t="str">
            <v>BRL/USD</v>
          </cell>
          <cell r="C9406" t="str">
            <v>Foreign Exchange:BRL/USD</v>
          </cell>
          <cell r="E9406" t="str">
            <v>FX</v>
          </cell>
          <cell r="F9406" t="str">
            <v>FX-Emerging Currency</v>
          </cell>
          <cell r="G9406" t="str">
            <v>FX-Emerging Currency</v>
          </cell>
          <cell r="H9406" t="str">
            <v>FX</v>
          </cell>
          <cell r="I9406" t="str">
            <v>Emerging Currency</v>
          </cell>
        </row>
        <row r="9407">
          <cell r="A9407" t="str">
            <v>CNH_FX_USD</v>
          </cell>
          <cell r="B9407" t="str">
            <v>CNH/USD</v>
          </cell>
          <cell r="C9407" t="str">
            <v>Foreign Exchange:CNH/USD</v>
          </cell>
          <cell r="E9407" t="str">
            <v>FX</v>
          </cell>
          <cell r="F9407" t="str">
            <v>FX-Emerging Currency</v>
          </cell>
          <cell r="G9407" t="str">
            <v>FX-Emerging Currency</v>
          </cell>
          <cell r="H9407" t="str">
            <v>FX</v>
          </cell>
          <cell r="I9407" t="str">
            <v>Emerging Currency</v>
          </cell>
        </row>
        <row r="9408">
          <cell r="A9408" t="str">
            <v>CNY_FX_USD</v>
          </cell>
          <cell r="B9408" t="str">
            <v>CNY/USD</v>
          </cell>
          <cell r="C9408" t="str">
            <v>Foreign Exchange:CNY/USD</v>
          </cell>
          <cell r="E9408" t="str">
            <v>FX</v>
          </cell>
          <cell r="F9408" t="str">
            <v>FX-Emerging Currency</v>
          </cell>
          <cell r="G9408" t="str">
            <v>FX-Emerging Currency</v>
          </cell>
          <cell r="H9408" t="str">
            <v>FX</v>
          </cell>
          <cell r="I9408" t="str">
            <v>Emerging Currency</v>
          </cell>
        </row>
        <row r="9409">
          <cell r="A9409" t="str">
            <v>COP_FX_USD</v>
          </cell>
          <cell r="B9409" t="str">
            <v>COP/USD</v>
          </cell>
          <cell r="C9409" t="str">
            <v>Foreign Exchange:COP/USD</v>
          </cell>
          <cell r="E9409" t="str">
            <v>FX</v>
          </cell>
          <cell r="F9409" t="str">
            <v>FX-Emerging Currency</v>
          </cell>
          <cell r="G9409" t="str">
            <v>FX-Emerging Currency</v>
          </cell>
          <cell r="H9409" t="str">
            <v>FX</v>
          </cell>
          <cell r="I9409" t="str">
            <v>Emerging Currency</v>
          </cell>
        </row>
        <row r="9410">
          <cell r="A9410" t="str">
            <v>EGP_FX_USD</v>
          </cell>
          <cell r="B9410" t="str">
            <v>EGP/USD</v>
          </cell>
          <cell r="C9410" t="str">
            <v>Foreign Exchange:EGP/USD</v>
          </cell>
          <cell r="E9410" t="str">
            <v>FX</v>
          </cell>
          <cell r="F9410" t="str">
            <v>FX-Emerging Currency</v>
          </cell>
          <cell r="G9410" t="str">
            <v>FX-Emerging Currency</v>
          </cell>
          <cell r="H9410" t="str">
            <v>FX</v>
          </cell>
          <cell r="I9410" t="str">
            <v>Emerging Currency</v>
          </cell>
        </row>
        <row r="9411">
          <cell r="A9411" t="str">
            <v>HUF_FX_USD</v>
          </cell>
          <cell r="B9411" t="str">
            <v>HUF/USD</v>
          </cell>
          <cell r="C9411" t="str">
            <v>Foreign Exchange:HUF/USD</v>
          </cell>
          <cell r="E9411" t="str">
            <v>FX</v>
          </cell>
          <cell r="F9411" t="str">
            <v>FX-Emerging Currency</v>
          </cell>
          <cell r="G9411" t="str">
            <v>FX-Emerging Currency</v>
          </cell>
          <cell r="H9411" t="str">
            <v>FX</v>
          </cell>
          <cell r="I9411" t="str">
            <v>Emerging Currency</v>
          </cell>
        </row>
        <row r="9412">
          <cell r="A9412" t="str">
            <v>IDR_FX_USD</v>
          </cell>
          <cell r="B9412" t="str">
            <v>IDR/USD</v>
          </cell>
          <cell r="C9412" t="str">
            <v>Foreign Exchange:IDR/USD</v>
          </cell>
          <cell r="E9412" t="str">
            <v>FX</v>
          </cell>
          <cell r="F9412" t="str">
            <v>FX-Emerging Currency</v>
          </cell>
          <cell r="G9412" t="str">
            <v>FX-Emerging Currency</v>
          </cell>
          <cell r="H9412" t="str">
            <v>FX</v>
          </cell>
          <cell r="I9412" t="str">
            <v>Emerging Currency</v>
          </cell>
        </row>
        <row r="9413">
          <cell r="A9413" t="str">
            <v>KWD_FX_USD</v>
          </cell>
          <cell r="B9413" t="str">
            <v>KWD/USD</v>
          </cell>
          <cell r="C9413" t="str">
            <v>Foreign Exchange:KWD/USD</v>
          </cell>
          <cell r="E9413" t="str">
            <v>FX</v>
          </cell>
          <cell r="F9413" t="str">
            <v>FX-Emerging Currency</v>
          </cell>
          <cell r="G9413" t="str">
            <v>FX-Emerging Currency</v>
          </cell>
          <cell r="H9413" t="str">
            <v>FX</v>
          </cell>
          <cell r="I9413" t="str">
            <v>Emerging Currency</v>
          </cell>
        </row>
        <row r="9414">
          <cell r="A9414" t="str">
            <v>MXN_FX_USD</v>
          </cell>
          <cell r="B9414" t="str">
            <v>MXN/USD</v>
          </cell>
          <cell r="C9414" t="str">
            <v>Foreign Exchange:MXN/USD</v>
          </cell>
          <cell r="E9414" t="str">
            <v>FX</v>
          </cell>
          <cell r="F9414" t="str">
            <v>FX-Emerging Currency</v>
          </cell>
          <cell r="G9414" t="str">
            <v>FX-Emerging Currency</v>
          </cell>
          <cell r="H9414" t="str">
            <v>FX</v>
          </cell>
          <cell r="I9414" t="str">
            <v>Emerging Currency</v>
          </cell>
        </row>
        <row r="9415">
          <cell r="A9415" t="str">
            <v>MYR_FX_USD</v>
          </cell>
          <cell r="B9415" t="str">
            <v>MYR/USD</v>
          </cell>
          <cell r="C9415" t="str">
            <v>Foreign Exchange:MYR/USD</v>
          </cell>
          <cell r="E9415" t="str">
            <v>FX</v>
          </cell>
          <cell r="F9415" t="str">
            <v>FX-Emerging Currency</v>
          </cell>
          <cell r="G9415" t="str">
            <v>FX-Emerging Currency</v>
          </cell>
          <cell r="H9415" t="str">
            <v>FX</v>
          </cell>
          <cell r="I9415" t="str">
            <v>Emerging Currency</v>
          </cell>
        </row>
        <row r="9416">
          <cell r="A9416" t="str">
            <v>PEN_FX_USD</v>
          </cell>
          <cell r="B9416" t="str">
            <v>PEN/USD</v>
          </cell>
          <cell r="C9416" t="str">
            <v>Foreign Exchange:PEN/USD</v>
          </cell>
          <cell r="E9416" t="str">
            <v>FX</v>
          </cell>
          <cell r="F9416" t="str">
            <v>FX-Emerging Currency</v>
          </cell>
          <cell r="G9416" t="str">
            <v>FX-Emerging Currency</v>
          </cell>
          <cell r="H9416" t="str">
            <v>FX</v>
          </cell>
          <cell r="I9416" t="str">
            <v>Emerging Currency</v>
          </cell>
        </row>
        <row r="9417">
          <cell r="A9417" t="str">
            <v>PHP_FX_USD</v>
          </cell>
          <cell r="B9417" t="str">
            <v>PHP/USD</v>
          </cell>
          <cell r="C9417" t="str">
            <v>Foreign Exchange:PHP/USD</v>
          </cell>
          <cell r="E9417" t="str">
            <v>FX</v>
          </cell>
          <cell r="F9417" t="str">
            <v>FX-Emerging Currency</v>
          </cell>
          <cell r="G9417" t="str">
            <v>FX-Emerging Currency</v>
          </cell>
          <cell r="H9417" t="str">
            <v>FX</v>
          </cell>
          <cell r="I9417" t="str">
            <v>Emerging Currency</v>
          </cell>
        </row>
        <row r="9418">
          <cell r="A9418" t="str">
            <v>PKR_FX_USD</v>
          </cell>
          <cell r="B9418" t="str">
            <v>PKR/USD</v>
          </cell>
          <cell r="C9418" t="str">
            <v>Foreign Exchange:PKR/USD</v>
          </cell>
          <cell r="E9418" t="str">
            <v>FX</v>
          </cell>
          <cell r="F9418" t="str">
            <v>FX-Emerging Currency</v>
          </cell>
          <cell r="G9418" t="str">
            <v>FX-Emerging Currency</v>
          </cell>
          <cell r="H9418" t="str">
            <v>FX</v>
          </cell>
          <cell r="I9418" t="str">
            <v>Emerging Currency</v>
          </cell>
        </row>
        <row r="9419">
          <cell r="A9419" t="str">
            <v>QAR_FX_USD</v>
          </cell>
          <cell r="B9419" t="str">
            <v>QAR/USD</v>
          </cell>
          <cell r="C9419" t="str">
            <v>Foreign Exchange:QAR/USD</v>
          </cell>
          <cell r="E9419" t="str">
            <v>FX</v>
          </cell>
          <cell r="F9419" t="str">
            <v>FX-Emerging Currency</v>
          </cell>
          <cell r="G9419" t="str">
            <v>FX-Emerging Currency</v>
          </cell>
          <cell r="H9419" t="str">
            <v>FX</v>
          </cell>
          <cell r="I9419" t="str">
            <v>Emerging Currency</v>
          </cell>
        </row>
        <row r="9420">
          <cell r="A9420" t="str">
            <v>RON_FX_USD</v>
          </cell>
          <cell r="B9420" t="str">
            <v>RON/USD</v>
          </cell>
          <cell r="C9420" t="str">
            <v>Foreign Exchange:RON/USD</v>
          </cell>
          <cell r="E9420" t="str">
            <v>FX</v>
          </cell>
          <cell r="F9420" t="str">
            <v>FX-Emerging Currency</v>
          </cell>
          <cell r="G9420" t="str">
            <v>FX-Emerging Currency</v>
          </cell>
          <cell r="H9420" t="str">
            <v>FX</v>
          </cell>
          <cell r="I9420" t="str">
            <v>Emerging Currency</v>
          </cell>
        </row>
        <row r="9421">
          <cell r="A9421" t="str">
            <v>SAR_FX_USD</v>
          </cell>
          <cell r="B9421" t="str">
            <v>SAR/USD</v>
          </cell>
          <cell r="C9421" t="str">
            <v>Foreign Exchange:SAR/USD</v>
          </cell>
          <cell r="E9421" t="str">
            <v>FX</v>
          </cell>
          <cell r="F9421" t="str">
            <v>FX-Emerging Currency</v>
          </cell>
          <cell r="G9421" t="str">
            <v>FX-Emerging Currency</v>
          </cell>
          <cell r="H9421" t="str">
            <v>FX</v>
          </cell>
          <cell r="I9421" t="str">
            <v>Emerging Currency</v>
          </cell>
        </row>
        <row r="9422">
          <cell r="A9422" t="str">
            <v>THB_FX_USD</v>
          </cell>
          <cell r="B9422" t="str">
            <v>THB/USD</v>
          </cell>
          <cell r="C9422" t="str">
            <v>Foreign Exchange:THB/USD</v>
          </cell>
          <cell r="E9422" t="str">
            <v>FX</v>
          </cell>
          <cell r="F9422" t="str">
            <v>FX-Emerging Currency</v>
          </cell>
          <cell r="G9422" t="str">
            <v>FX-Emerging Currency</v>
          </cell>
          <cell r="H9422" t="str">
            <v>FX</v>
          </cell>
          <cell r="I9422" t="str">
            <v>Emerging Currency</v>
          </cell>
        </row>
        <row r="9423">
          <cell r="A9423" t="str">
            <v>TRY_FX_USD</v>
          </cell>
          <cell r="B9423" t="str">
            <v>TRY/USD</v>
          </cell>
          <cell r="C9423" t="str">
            <v>Foreign Exchange:TRY/USD</v>
          </cell>
          <cell r="E9423" t="str">
            <v>FX</v>
          </cell>
          <cell r="F9423" t="str">
            <v>FX-Emerging Currency</v>
          </cell>
          <cell r="G9423" t="str">
            <v>FX-Emerging Currency</v>
          </cell>
          <cell r="H9423" t="str">
            <v>FX</v>
          </cell>
          <cell r="I9423" t="str">
            <v>Emerging Currency</v>
          </cell>
        </row>
        <row r="9424">
          <cell r="A9424" t="str">
            <v>UAH_FX_USD</v>
          </cell>
          <cell r="B9424" t="str">
            <v>UAH/USD</v>
          </cell>
          <cell r="C9424" t="str">
            <v>Foreign Exchange:UAH/USD</v>
          </cell>
          <cell r="E9424" t="str">
            <v>FX</v>
          </cell>
          <cell r="F9424" t="str">
            <v>FX-Emerging Currency</v>
          </cell>
          <cell r="G9424" t="str">
            <v>FX-Emerging Currency</v>
          </cell>
          <cell r="H9424" t="str">
            <v>FX</v>
          </cell>
          <cell r="I9424" t="str">
            <v>Emerging Currency</v>
          </cell>
        </row>
        <row r="9425">
          <cell r="A9425" t="str">
            <v>ZAR_FX_USD</v>
          </cell>
          <cell r="B9425" t="str">
            <v>ZAR/USD</v>
          </cell>
          <cell r="C9425" t="str">
            <v>Foreign Exchange:ZAR/USD</v>
          </cell>
          <cell r="E9425" t="str">
            <v>FX</v>
          </cell>
          <cell r="F9425" t="str">
            <v>FX-Emerging Currency</v>
          </cell>
          <cell r="G9425" t="str">
            <v>FX-Emerging Currency</v>
          </cell>
          <cell r="H9425" t="str">
            <v>FX</v>
          </cell>
          <cell r="I9425" t="str">
            <v>Emerging Currency</v>
          </cell>
        </row>
        <row r="9426">
          <cell r="A9426" t="str">
            <v>[HUF_FX_USD-HRK_FX_USD]</v>
          </cell>
          <cell r="B9426" t="str">
            <v>HUF/HRK</v>
          </cell>
          <cell r="C9426" t="str">
            <v>Foreign Exchange:HUF/HRK</v>
          </cell>
          <cell r="E9426" t="str">
            <v>FX</v>
          </cell>
          <cell r="F9426" t="str">
            <v>FX-Emerging Currency</v>
          </cell>
          <cell r="G9426" t="str">
            <v>FX-Emerging Currency</v>
          </cell>
          <cell r="H9426" t="str">
            <v>FX</v>
          </cell>
          <cell r="I9426" t="str">
            <v>Emerging Currency</v>
          </cell>
        </row>
        <row r="9427">
          <cell r="A9427" t="str">
            <v>AI_SUBPRIME</v>
          </cell>
          <cell r="B9427" t="str">
            <v>Credit - Residential [S]</v>
          </cell>
          <cell r="C9427" t="str">
            <v>Other:Credit - Residential [S]</v>
          </cell>
          <cell r="D9427" t="str">
            <v>Index</v>
          </cell>
          <cell r="E9427" t="str">
            <v>Index Level</v>
          </cell>
          <cell r="F9427" t="str">
            <v>Alternative</v>
          </cell>
          <cell r="G9427" t="str">
            <v>Other</v>
          </cell>
          <cell r="H9427" t="str">
            <v>ALTS</v>
          </cell>
          <cell r="I9427" t="str">
            <v>Alternative - Hedge Fund</v>
          </cell>
        </row>
        <row r="9428">
          <cell r="A9428" t="str">
            <v>[ALL_FX_USD-EUR_FX_USD]</v>
          </cell>
          <cell r="B9428" t="str">
            <v>*/EUR</v>
          </cell>
          <cell r="C9428" t="str">
            <v>Foreign Exchange:*/EUR</v>
          </cell>
          <cell r="F9428" t="str">
            <v>FX-Emerging Currency</v>
          </cell>
          <cell r="G9428" t="str">
            <v>FX-Emerging Currency</v>
          </cell>
          <cell r="H9428" t="str">
            <v>FX</v>
          </cell>
          <cell r="I9428" t="str">
            <v>Emerging Currency</v>
          </cell>
        </row>
        <row r="9429">
          <cell r="A9429" t="str">
            <v>DKK_MBS_OTM</v>
          </cell>
          <cell r="B9429" t="str">
            <v>DKK MBS OTM</v>
          </cell>
          <cell r="C9429" t="str">
            <v>Other:DKK MBS OTM</v>
          </cell>
          <cell r="F9429" t="str">
            <v>Alternative</v>
          </cell>
          <cell r="G9429" t="str">
            <v>Other</v>
          </cell>
          <cell r="H9429" t="str">
            <v>ALTS</v>
          </cell>
          <cell r="I9429" t="str">
            <v>Mortgage - Moneyness</v>
          </cell>
        </row>
        <row r="9430">
          <cell r="A9430" t="str">
            <v>DKK_MBS_NONCALL</v>
          </cell>
          <cell r="B9430" t="str">
            <v>DKK MBS Noncallable</v>
          </cell>
          <cell r="C9430" t="str">
            <v>Other:DKK MBS Noncallable</v>
          </cell>
          <cell r="F9430" t="str">
            <v>Alternative</v>
          </cell>
          <cell r="G9430" t="str">
            <v>Other</v>
          </cell>
          <cell r="H9430" t="str">
            <v>ALTS</v>
          </cell>
          <cell r="I9430" t="str">
            <v>Mortgage - Moneyness</v>
          </cell>
        </row>
        <row r="9431">
          <cell r="A9431" t="str">
            <v>USD_USE3_SP_RISK</v>
          </cell>
          <cell r="B9431" t="str">
            <v>Idiosyncratic</v>
          </cell>
          <cell r="C9431" t="str">
            <v>Specific:Idiosyncratic</v>
          </cell>
          <cell r="F9431" t="str">
            <v>Idiosyncratic</v>
          </cell>
          <cell r="G9431" t="str">
            <v>Other</v>
          </cell>
          <cell r="H9431" t="str">
            <v>OTHER_SPECIFIC</v>
          </cell>
          <cell r="I9431" t="str">
            <v>Other - Idiosyncratic</v>
          </cell>
        </row>
        <row r="9432">
          <cell r="A9432" t="str">
            <v>[DEM_FX_USD-EUR_FX_USD]</v>
          </cell>
          <cell r="B9432" t="str">
            <v>DEM/EUR</v>
          </cell>
          <cell r="C9432" t="str">
            <v>Foreign Exchange:DEM/USD</v>
          </cell>
          <cell r="F9432" t="str">
            <v>FX-Emerging Currency</v>
          </cell>
          <cell r="G9432" t="str">
            <v>FX-Emerging Currency</v>
          </cell>
          <cell r="H9432" t="str">
            <v>FX</v>
          </cell>
          <cell r="I9432" t="str">
            <v>EUR</v>
          </cell>
        </row>
        <row r="9433">
          <cell r="A9433" t="str">
            <v>[EUR_FX_USD-EUR_FX_USD]</v>
          </cell>
          <cell r="B9433" t="str">
            <v>EUR/EUR</v>
          </cell>
          <cell r="C9433" t="str">
            <v>Foreign Exchange:EUR/USD</v>
          </cell>
          <cell r="F9433" t="str">
            <v>FX-Emerging Currency</v>
          </cell>
          <cell r="G9433" t="str">
            <v>FX-Emerging Currency</v>
          </cell>
          <cell r="H9433" t="str">
            <v>FX</v>
          </cell>
          <cell r="I9433" t="str">
            <v>EUR</v>
          </cell>
        </row>
        <row r="9434">
          <cell r="A9434" t="str">
            <v>[FRF_FX_USD-EUR_FX_USD]</v>
          </cell>
          <cell r="B9434" t="str">
            <v>FRF/EUR</v>
          </cell>
          <cell r="C9434" t="str">
            <v>Foreign Exchange:FRF/USD</v>
          </cell>
          <cell r="F9434" t="str">
            <v>FX-Emerging Currency</v>
          </cell>
          <cell r="G9434" t="str">
            <v>FX-Emerging Currency</v>
          </cell>
          <cell r="H9434" t="str">
            <v>FX</v>
          </cell>
          <cell r="I9434" t="str">
            <v>EUR</v>
          </cell>
        </row>
        <row r="9435">
          <cell r="A9435" t="str">
            <v>[ITL_FX_USD-EUR_FX_USD]</v>
          </cell>
          <cell r="B9435" t="str">
            <v>ITL/EUR</v>
          </cell>
          <cell r="C9435" t="str">
            <v>Foreign Exchange:ITL/USD</v>
          </cell>
          <cell r="F9435" t="str">
            <v>FX-Emerging Currency</v>
          </cell>
          <cell r="G9435" t="str">
            <v>FX-Emerging Currency</v>
          </cell>
          <cell r="H9435" t="str">
            <v>FX</v>
          </cell>
          <cell r="I9435" t="str">
            <v>EUR</v>
          </cell>
        </row>
        <row r="9436">
          <cell r="A9436" t="str">
            <v>[EUR_USD_FX2_USD+GBP_GBP_FX2_USD-EUR_GBP_FX2_USD-GBP_USD_FX2_USD]</v>
          </cell>
          <cell r="B9436" t="str">
            <v>EUR/GBP*USD/GBP</v>
          </cell>
          <cell r="C9436" t="str">
            <v>Foreign Exchange^2:EUR/GBP*USD/GBP</v>
          </cell>
          <cell r="D9436" t="str">
            <v>WITHOUT TYPE</v>
          </cell>
          <cell r="E9436" t="str">
            <v>WITHOUT TYPE</v>
          </cell>
          <cell r="F9436" t="str">
            <v>Other</v>
          </cell>
          <cell r="G9436" t="str">
            <v>Other</v>
          </cell>
          <cell r="H9436" t="str">
            <v>OTHER</v>
          </cell>
          <cell r="I9436" t="str">
            <v>FX^2</v>
          </cell>
        </row>
        <row r="9437">
          <cell r="A9437" t="str">
            <v>[EUR_JPY_FX2_USD+HUF_HUF_FX2_USD-EUR_HUF_FX2_USD-HUF_JPY_FX2_USD]</v>
          </cell>
          <cell r="B9437" t="str">
            <v>EUR/HUF*JPY/HUF</v>
          </cell>
          <cell r="C9437" t="str">
            <v>Foreign Exchange^2:EUR/HUF*JPY/HUF</v>
          </cell>
          <cell r="D9437" t="str">
            <v>FX</v>
          </cell>
          <cell r="E9437" t="str">
            <v>FX</v>
          </cell>
          <cell r="F9437" t="str">
            <v>Other</v>
          </cell>
          <cell r="G9437" t="str">
            <v>Other</v>
          </cell>
          <cell r="H9437" t="str">
            <v>OTHER</v>
          </cell>
          <cell r="I9437" t="str">
            <v>FX^2</v>
          </cell>
        </row>
        <row r="9438">
          <cell r="A9438" t="str">
            <v>[EUR_FX_USD-JPY_FX_USD]</v>
          </cell>
          <cell r="B9438" t="str">
            <v>EUR/JPY</v>
          </cell>
          <cell r="C9438" t="str">
            <v>Foreign Exchange:EUR/JPY</v>
          </cell>
          <cell r="D9438" t="str">
            <v>FX</v>
          </cell>
          <cell r="E9438" t="str">
            <v>FX</v>
          </cell>
          <cell r="F9438" t="str">
            <v>EUR</v>
          </cell>
          <cell r="G9438" t="str">
            <v>EUR</v>
          </cell>
          <cell r="H9438" t="str">
            <v>FX</v>
          </cell>
          <cell r="I9438" t="str">
            <v>EUR</v>
          </cell>
        </row>
        <row r="9439">
          <cell r="A9439" t="str">
            <v>[EUR_FX_USD-GBP_FX_USD]</v>
          </cell>
          <cell r="B9439" t="str">
            <v>EUR/GBP</v>
          </cell>
          <cell r="C9439" t="str">
            <v>Foreign Exchange:EUR/GBP</v>
          </cell>
          <cell r="D9439" t="str">
            <v>FX</v>
          </cell>
          <cell r="E9439" t="str">
            <v>FX</v>
          </cell>
          <cell r="F9439" t="str">
            <v>EUR</v>
          </cell>
          <cell r="G9439" t="str">
            <v>EUR</v>
          </cell>
          <cell r="H9439" t="str">
            <v>FX</v>
          </cell>
          <cell r="I9439" t="str">
            <v>EUR</v>
          </cell>
        </row>
        <row r="9440">
          <cell r="A9440" t="str">
            <v>[EUR_EUR_FX2_USD+GBP_GBP_FX2_USD-EUR_GBP_FX2_USD-EUR_GBP_FX2_USD]</v>
          </cell>
          <cell r="B9440" t="str">
            <v>EUR/GBP ^2</v>
          </cell>
          <cell r="C9440" t="str">
            <v>Foreign Exchange^2:EUR/GBP ^2</v>
          </cell>
          <cell r="D9440" t="str">
            <v>WITHOUT TYPE</v>
          </cell>
          <cell r="E9440" t="str">
            <v>WITHOUT TYPE</v>
          </cell>
          <cell r="F9440" t="str">
            <v>Other</v>
          </cell>
          <cell r="G9440" t="str">
            <v>Other</v>
          </cell>
          <cell r="H9440" t="str">
            <v>OTHER</v>
          </cell>
          <cell r="I9440" t="str">
            <v>FX^2</v>
          </cell>
        </row>
        <row r="9441">
          <cell r="A9441" t="str">
            <v>[EUR_FX_USD-HRK_FX_USD]</v>
          </cell>
          <cell r="B9441" t="str">
            <v>EUR/HRK</v>
          </cell>
          <cell r="C9441" t="str">
            <v>Foreign Exchange:EUR/HRK</v>
          </cell>
          <cell r="D9441" t="str">
            <v>FX</v>
          </cell>
          <cell r="E9441" t="str">
            <v>FX</v>
          </cell>
          <cell r="F9441" t="str">
            <v>EUR</v>
          </cell>
          <cell r="G9441" t="str">
            <v>EUR</v>
          </cell>
          <cell r="H9441" t="str">
            <v>FX</v>
          </cell>
          <cell r="I9441" t="str">
            <v>EUR</v>
          </cell>
        </row>
        <row r="9442">
          <cell r="A9442" t="str">
            <v>[EUR_FX_USD-HUF_FX_USD]</v>
          </cell>
          <cell r="B9442" t="str">
            <v>EUR/HUF</v>
          </cell>
          <cell r="C9442" t="str">
            <v>Foreign Exchange:EUR/HUF</v>
          </cell>
          <cell r="D9442" t="str">
            <v>FX</v>
          </cell>
          <cell r="E9442" t="str">
            <v>FX</v>
          </cell>
          <cell r="F9442" t="str">
            <v>EUR</v>
          </cell>
          <cell r="G9442" t="str">
            <v>EUR</v>
          </cell>
          <cell r="H9442" t="str">
            <v>FX</v>
          </cell>
          <cell r="I9442" t="str">
            <v>EUR</v>
          </cell>
        </row>
        <row r="9443">
          <cell r="A9443" t="str">
            <v>[EUR_GBP_FX2_USD+HUF_HUF_FX2_USD-EUR_HUF_FX2_USD-GBP_HUF_FX2_USD]</v>
          </cell>
          <cell r="B9443" t="str">
            <v>EUR/HUF*GBP/HUF</v>
          </cell>
          <cell r="C9443" t="str">
            <v>Foreign Exchange^2:EUR/HUF*GBP/HUF</v>
          </cell>
          <cell r="D9443" t="str">
            <v>FX</v>
          </cell>
          <cell r="E9443" t="str">
            <v>FX</v>
          </cell>
          <cell r="F9443" t="str">
            <v>Other</v>
          </cell>
          <cell r="G9443" t="str">
            <v>Other</v>
          </cell>
          <cell r="H9443" t="str">
            <v>OTHER</v>
          </cell>
          <cell r="I9443" t="str">
            <v>FX^2</v>
          </cell>
        </row>
        <row r="9444">
          <cell r="A9444" t="str">
            <v>EUR_FX_USD</v>
          </cell>
          <cell r="B9444" t="str">
            <v>EUR/USD</v>
          </cell>
          <cell r="C9444" t="str">
            <v>BRS_GOLD__2_FX:FX:EUR_FX_USD</v>
          </cell>
          <cell r="F9444" t="str">
            <v>EUR</v>
          </cell>
          <cell r="G9444" t="str">
            <v>EUR</v>
          </cell>
          <cell r="H9444" t="str">
            <v>FX</v>
          </cell>
          <cell r="I9444" t="str">
            <v>EUR</v>
          </cell>
        </row>
        <row r="9445">
          <cell r="A9445" t="str">
            <v>[EUR_EUR_FX2_USD+HUF_HUF_FX2_USD-EUR_HUF_FX2_USD-EUR_HUF_FX2_USD]</v>
          </cell>
          <cell r="B9445" t="str">
            <v>EUR/HUF ^2</v>
          </cell>
          <cell r="C9445" t="str">
            <v>Foreign Exchange^2:EUR/HUF ^2</v>
          </cell>
          <cell r="D9445" t="str">
            <v>FX</v>
          </cell>
          <cell r="E9445" t="str">
            <v>FX</v>
          </cell>
          <cell r="F9445" t="str">
            <v>Other</v>
          </cell>
          <cell r="G9445" t="str">
            <v>Other</v>
          </cell>
          <cell r="H9445" t="str">
            <v>OTHER</v>
          </cell>
          <cell r="I9445" t="str">
            <v>FX^2</v>
          </cell>
        </row>
        <row r="9446">
          <cell r="A9446" t="str">
            <v>[EUR_USD_FX2_USD+HUF_HUF_FX2_USD-EUR_HUF_FX2_USD-HUF_USD_FX2_USD]</v>
          </cell>
          <cell r="B9446" t="str">
            <v>EUR/HUF*USD/HUF</v>
          </cell>
          <cell r="C9446" t="str">
            <v>Foreign Exchange^2:EUR/HUF*USD/HUF</v>
          </cell>
          <cell r="D9446" t="str">
            <v>FX</v>
          </cell>
          <cell r="E9446" t="str">
            <v>FX</v>
          </cell>
          <cell r="F9446" t="str">
            <v>Other</v>
          </cell>
          <cell r="G9446" t="str">
            <v>Other</v>
          </cell>
          <cell r="H9446" t="str">
            <v>OTHER</v>
          </cell>
          <cell r="I9446" t="str">
            <v>FX^2</v>
          </cell>
        </row>
        <row r="9447">
          <cell r="A9447" t="str">
            <v>[DEM_FX_USD-HUF_FX_USD]</v>
          </cell>
          <cell r="B9447" t="str">
            <v>DEM/HUF</v>
          </cell>
          <cell r="C9447" t="str">
            <v>Foreign Exchange:DEM/HUF</v>
          </cell>
          <cell r="F9447" t="str">
            <v>FX-Emerging Currency</v>
          </cell>
          <cell r="G9447" t="str">
            <v>FX-Emerging Currency</v>
          </cell>
          <cell r="H9447" t="str">
            <v>FX</v>
          </cell>
          <cell r="I9447" t="str">
            <v>EUR</v>
          </cell>
        </row>
        <row r="9448">
          <cell r="A9448" t="str">
            <v>[FRF_FX_USD-HUF_FX_USD]</v>
          </cell>
          <cell r="B9448" t="str">
            <v>FRF/HUF</v>
          </cell>
          <cell r="C9448" t="str">
            <v>Foreign Exchange:FRF/HUF</v>
          </cell>
          <cell r="F9448" t="str">
            <v>FX-Emerging Currency</v>
          </cell>
          <cell r="G9448" t="str">
            <v>FX-Emerging Currency</v>
          </cell>
          <cell r="H9448" t="str">
            <v>FX</v>
          </cell>
          <cell r="I9448" t="str">
            <v>EUR</v>
          </cell>
        </row>
        <row r="9449">
          <cell r="A9449" t="str">
            <v>EUR_EM_DS_ALBANIA</v>
          </cell>
          <cell r="B9449" t="str">
            <v>Albania</v>
          </cell>
          <cell r="E9449" t="str">
            <v>Spread Yield (DxS)</v>
          </cell>
          <cell r="F9449" t="str">
            <v>SP-Spread Emerging Markets - Country</v>
          </cell>
          <cell r="G9449" t="str">
            <v>SP-Spread Emerging Markets</v>
          </cell>
          <cell r="H9449" t="str">
            <v>SPREADS</v>
          </cell>
          <cell r="I9449" t="str">
            <v>Spread Emerging Markets - Country</v>
          </cell>
        </row>
        <row r="9450">
          <cell r="A9450" t="str">
            <v>EUR_EM_DS_ARGENTINA</v>
          </cell>
          <cell r="B9450" t="str">
            <v>Argentina</v>
          </cell>
          <cell r="E9450" t="str">
            <v>Spread Yield (DxS)</v>
          </cell>
          <cell r="F9450" t="str">
            <v>SP-Spread Emerging Markets - Country</v>
          </cell>
          <cell r="G9450" t="str">
            <v>SP-Spread Emerging Markets</v>
          </cell>
          <cell r="H9450" t="str">
            <v>SPREADS</v>
          </cell>
          <cell r="I9450" t="str">
            <v>Spread Emerging Markets - Country</v>
          </cell>
        </row>
        <row r="9451">
          <cell r="A9451" t="str">
            <v>EUR_EM_DS_BENIN</v>
          </cell>
          <cell r="B9451" t="str">
            <v>Benin</v>
          </cell>
          <cell r="E9451" t="str">
            <v>Spread Yield (DxS)</v>
          </cell>
          <cell r="F9451" t="str">
            <v>SP-Spread Emerging Markets - Country</v>
          </cell>
          <cell r="G9451" t="str">
            <v>SP-Spread Emerging Markets</v>
          </cell>
          <cell r="H9451" t="str">
            <v>SPREADS</v>
          </cell>
          <cell r="I9451" t="str">
            <v>Spread Emerging Markets - Country</v>
          </cell>
        </row>
        <row r="9452">
          <cell r="A9452" t="str">
            <v>EUR_EM_DS_COLOMBIA</v>
          </cell>
          <cell r="B9452" t="str">
            <v>Colombia</v>
          </cell>
          <cell r="E9452" t="str">
            <v>Spread Yield (DxS)</v>
          </cell>
          <cell r="F9452" t="str">
            <v>SP-Spread Emerging Markets - Country</v>
          </cell>
          <cell r="G9452" t="str">
            <v>SP-Spread Emerging Markets</v>
          </cell>
          <cell r="H9452" t="str">
            <v>SPREADS</v>
          </cell>
          <cell r="I9452" t="str">
            <v>Spread Emerging Markets - Country</v>
          </cell>
        </row>
        <row r="9453">
          <cell r="A9453" t="str">
            <v>EUR_EM_DS_IVOIRE</v>
          </cell>
          <cell r="B9453" t="str">
            <v>Cote dIvoire</v>
          </cell>
          <cell r="E9453" t="str">
            <v>Spread Yield (DxS)</v>
          </cell>
          <cell r="F9453" t="str">
            <v>SP-Spread Emerging Markets - Country</v>
          </cell>
          <cell r="G9453" t="str">
            <v>SP-Spread Emerging Markets</v>
          </cell>
          <cell r="H9453" t="str">
            <v>SPREADS</v>
          </cell>
          <cell r="I9453" t="str">
            <v>Spread Emerging Markets - Country</v>
          </cell>
        </row>
        <row r="9454">
          <cell r="A9454" t="str">
            <v>EUR_EM_DS_EGYPT</v>
          </cell>
          <cell r="B9454" t="str">
            <v>Egypt</v>
          </cell>
          <cell r="E9454" t="str">
            <v>Spread Yield (DxS)</v>
          </cell>
          <cell r="F9454" t="str">
            <v>SP-Spread Emerging Markets - Country</v>
          </cell>
          <cell r="G9454" t="str">
            <v>SP-Spread Emerging Markets</v>
          </cell>
          <cell r="H9454" t="str">
            <v>SPREADS</v>
          </cell>
          <cell r="I9454" t="str">
            <v>Spread Emerging Markets - Country</v>
          </cell>
        </row>
        <row r="9455">
          <cell r="A9455" t="str">
            <v>EUR_EM_DS_ESTONIA</v>
          </cell>
          <cell r="B9455" t="str">
            <v>Estonia</v>
          </cell>
          <cell r="E9455" t="str">
            <v>Spread Yield (DxS)</v>
          </cell>
          <cell r="F9455" t="str">
            <v>SP-Spread Emerging Markets - Country</v>
          </cell>
          <cell r="G9455" t="str">
            <v>SP-Spread Emerging Markets</v>
          </cell>
          <cell r="H9455" t="str">
            <v>SPREADS</v>
          </cell>
          <cell r="I9455" t="str">
            <v>Spread Emerging Markets - Country</v>
          </cell>
        </row>
        <row r="9456">
          <cell r="A9456" t="str">
            <v>EUR_EM_DS_MACEDONIA</v>
          </cell>
          <cell r="B9456" t="str">
            <v>Macedonia, The former Yugoslav</v>
          </cell>
          <cell r="E9456" t="str">
            <v>Spread Yield (DxS)</v>
          </cell>
          <cell r="F9456" t="str">
            <v>SP-Spread Emerging Markets - Country</v>
          </cell>
          <cell r="G9456" t="str">
            <v>SP-Spread Emerging Markets</v>
          </cell>
          <cell r="H9456" t="str">
            <v>SPREADS</v>
          </cell>
          <cell r="I9456" t="str">
            <v>Spread Emerging Markets - Country</v>
          </cell>
        </row>
        <row r="9457">
          <cell r="A9457" t="str">
            <v>EUR_EM_DS_MONTENEGRO</v>
          </cell>
          <cell r="B9457" t="str">
            <v>Montenegro, Republic of</v>
          </cell>
          <cell r="E9457" t="str">
            <v>Spread Yield (DxS)</v>
          </cell>
          <cell r="F9457" t="str">
            <v>SP-Spread Emerging Markets - Country</v>
          </cell>
          <cell r="G9457" t="str">
            <v>SP-Spread Emerging Markets</v>
          </cell>
          <cell r="H9457" t="str">
            <v>SPREADS</v>
          </cell>
          <cell r="I9457" t="str">
            <v>Spread Emerging Markets - Country</v>
          </cell>
        </row>
        <row r="9458">
          <cell r="A9458" t="str">
            <v>EUR_EM_DS_MOROCCO</v>
          </cell>
          <cell r="B9458" t="str">
            <v>Morocco</v>
          </cell>
          <cell r="E9458" t="str">
            <v>Spread Yield (DxS)</v>
          </cell>
          <cell r="F9458" t="str">
            <v>SP-Spread Emerging Markets - Country</v>
          </cell>
          <cell r="G9458" t="str">
            <v>SP-Spread Emerging Markets</v>
          </cell>
          <cell r="H9458" t="str">
            <v>SPREADS</v>
          </cell>
          <cell r="I9458" t="str">
            <v>Spread Emerging Markets - Country</v>
          </cell>
        </row>
        <row r="9459">
          <cell r="A9459" t="str">
            <v>EUR_EM_DS_SENEGAL</v>
          </cell>
          <cell r="B9459" t="str">
            <v>Senegal</v>
          </cell>
          <cell r="E9459" t="str">
            <v>Spread Yield (DxS)</v>
          </cell>
          <cell r="F9459" t="str">
            <v>SP-Spread Emerging Markets - Country</v>
          </cell>
          <cell r="G9459" t="str">
            <v>SP-Spread Emerging Markets</v>
          </cell>
          <cell r="H9459" t="str">
            <v>SPREADS</v>
          </cell>
          <cell r="I9459" t="str">
            <v>Spread Emerging Markets - Country</v>
          </cell>
        </row>
        <row r="9460">
          <cell r="A9460" t="str">
            <v>EUR_EM_DS_SERBIA</v>
          </cell>
          <cell r="B9460" t="str">
            <v>Serbia, Republic of</v>
          </cell>
          <cell r="E9460" t="str">
            <v>Spread Yield (DxS)</v>
          </cell>
          <cell r="F9460" t="str">
            <v>SP-Spread Emerging Markets - Country</v>
          </cell>
          <cell r="G9460" t="str">
            <v>SP-Spread Emerging Markets</v>
          </cell>
          <cell r="H9460" t="str">
            <v>SPREADS</v>
          </cell>
          <cell r="I9460" t="str">
            <v>Spread Emerging Markets - Country</v>
          </cell>
        </row>
        <row r="9461">
          <cell r="A9461" t="str">
            <v>EUR_EM_DS_SAFRICA</v>
          </cell>
          <cell r="B9461" t="str">
            <v>South Africa</v>
          </cell>
          <cell r="E9461" t="str">
            <v>Spread Yield (DxS)</v>
          </cell>
          <cell r="F9461" t="str">
            <v>SP-Spread Emerging Markets - Country</v>
          </cell>
          <cell r="G9461" t="str">
            <v>SP-Spread Emerging Markets</v>
          </cell>
          <cell r="H9461" t="str">
            <v>SPREADS</v>
          </cell>
          <cell r="I9461" t="str">
            <v>Spread Emerging Markets - Country</v>
          </cell>
        </row>
        <row r="9462">
          <cell r="A9462" t="str">
            <v>EUR_EM_DS_TUNISIA</v>
          </cell>
          <cell r="B9462" t="str">
            <v>Tunisia</v>
          </cell>
          <cell r="E9462" t="str">
            <v>Spread Yield (DxS)</v>
          </cell>
          <cell r="F9462" t="str">
            <v>SP-Spread Emerging Markets - Country</v>
          </cell>
          <cell r="G9462" t="str">
            <v>SP-Spread Emerging Markets</v>
          </cell>
          <cell r="H9462" t="str">
            <v>SPREADS</v>
          </cell>
          <cell r="I9462" t="str">
            <v>Spread Emerging Markets - Country</v>
          </cell>
        </row>
        <row r="9463">
          <cell r="A9463" t="str">
            <v>EUR_EM_DS_TURKEY</v>
          </cell>
          <cell r="B9463" t="str">
            <v>Turkey</v>
          </cell>
          <cell r="E9463" t="str">
            <v>Spread Yield (DxS)</v>
          </cell>
          <cell r="F9463" t="str">
            <v>SP-Spread Emerging Markets - Country</v>
          </cell>
          <cell r="G9463" t="str">
            <v>SP-Spread Emerging Markets</v>
          </cell>
          <cell r="H9463" t="str">
            <v>SPREADS</v>
          </cell>
          <cell r="I9463" t="str">
            <v>Spread Emerging Markets - Country</v>
          </cell>
        </row>
        <row r="9464">
          <cell r="A9464" t="str">
            <v>EUR_EM_DS_UKRAINE</v>
          </cell>
          <cell r="B9464" t="str">
            <v>Ukraine</v>
          </cell>
          <cell r="E9464" t="str">
            <v>Spread Yield (DxS)</v>
          </cell>
          <cell r="F9464" t="str">
            <v>SP-Spread Emerging Markets - Country</v>
          </cell>
          <cell r="G9464" t="str">
            <v>SP-Spread Emerging Markets</v>
          </cell>
          <cell r="H9464" t="str">
            <v>SPREADS</v>
          </cell>
          <cell r="I9464" t="str">
            <v>Spread Emerging Markets - Country</v>
          </cell>
        </row>
        <row r="9465">
          <cell r="A9465" t="str">
            <v>EUR_EM_DS_EE</v>
          </cell>
          <cell r="B9465" t="str">
            <v>Emerg Mkt E Europe</v>
          </cell>
          <cell r="E9465" t="str">
            <v>Spread Yield (DxS)</v>
          </cell>
          <cell r="F9465" t="str">
            <v>SP-Spread Emerging Markets - Country</v>
          </cell>
          <cell r="G9465" t="str">
            <v>SP-Spread Emerging Markets</v>
          </cell>
          <cell r="H9465" t="str">
            <v>SPREADS</v>
          </cell>
          <cell r="I9465" t="str">
            <v>Spread Emerging Markets - Country</v>
          </cell>
        </row>
        <row r="9466">
          <cell r="A9466" t="str">
            <v>[GBP_SEK_FX2_USD+EUR_EUR_FX2_USD-EUR_GBP_FX2_USD-EUR_SEK_FX2_USD]</v>
          </cell>
          <cell r="B9466" t="str">
            <v>GBP/EUR*SEK/EUR</v>
          </cell>
          <cell r="E9466" t="str">
            <v>FX</v>
          </cell>
          <cell r="F9466" t="str">
            <v>Other</v>
          </cell>
          <cell r="G9466" t="str">
            <v>Other</v>
          </cell>
          <cell r="H9466" t="str">
            <v>OTHER</v>
          </cell>
          <cell r="I9466" t="str">
            <v>FX^2</v>
          </cell>
        </row>
        <row r="9467">
          <cell r="A9467" t="str">
            <v>EUR_EM_DS_BULGARIA</v>
          </cell>
          <cell r="B9467" t="str">
            <v>Bulgaria</v>
          </cell>
          <cell r="C9467" t="str">
            <v>EM Factors:Bulgaria</v>
          </cell>
          <cell r="D9467" t="str">
            <v>Spread Duration</v>
          </cell>
          <cell r="E9467" t="str">
            <v>Spread Yield (DxS)</v>
          </cell>
          <cell r="F9467" t="str">
            <v>SP-Spread Emerging Markets - Country</v>
          </cell>
          <cell r="G9467" t="str">
            <v>SP-Spread Emerging Markets</v>
          </cell>
          <cell r="H9467" t="str">
            <v>SPREADS</v>
          </cell>
          <cell r="I9467" t="str">
            <v>Spread Emerging Markets - Country</v>
          </cell>
        </row>
        <row r="9468">
          <cell r="A9468" t="str">
            <v>EUR_EM_DS_CHILE</v>
          </cell>
          <cell r="B9468" t="str">
            <v>Chile</v>
          </cell>
          <cell r="C9468" t="str">
            <v>EM Factors:Chile</v>
          </cell>
          <cell r="D9468" t="str">
            <v>Spread Duration</v>
          </cell>
          <cell r="E9468" t="str">
            <v>Spread Yield (DxS)</v>
          </cell>
          <cell r="F9468" t="str">
            <v>SP-Spread Emerging Markets - Country</v>
          </cell>
          <cell r="G9468" t="str">
            <v>SP-Spread Emerging Markets</v>
          </cell>
          <cell r="H9468" t="str">
            <v>SPREADS</v>
          </cell>
          <cell r="I9468" t="str">
            <v>Spread Emerging Markets - Country</v>
          </cell>
        </row>
        <row r="9469">
          <cell r="A9469" t="str">
            <v>EUR_EM_DS_CHINA</v>
          </cell>
          <cell r="B9469" t="str">
            <v>China</v>
          </cell>
          <cell r="C9469" t="str">
            <v>EM Factors:China</v>
          </cell>
          <cell r="D9469" t="str">
            <v>Spread Duration</v>
          </cell>
          <cell r="E9469" t="str">
            <v>Spread Yield (DxS)</v>
          </cell>
          <cell r="F9469" t="str">
            <v>SP-Spread Emerging Markets - Country</v>
          </cell>
          <cell r="G9469" t="str">
            <v>SP-Spread Emerging Markets</v>
          </cell>
          <cell r="H9469" t="str">
            <v>SPREADS</v>
          </cell>
          <cell r="I9469" t="str">
            <v>Spread Emerging Markets - Country</v>
          </cell>
        </row>
        <row r="9470">
          <cell r="A9470" t="str">
            <v>EUR_EM_DS_CROATIA</v>
          </cell>
          <cell r="B9470" t="str">
            <v>Croatia</v>
          </cell>
          <cell r="C9470" t="str">
            <v>EM Factors:Croatia</v>
          </cell>
          <cell r="D9470" t="str">
            <v>Spread Duration</v>
          </cell>
          <cell r="E9470" t="str">
            <v>Spread Yield (DxS)</v>
          </cell>
          <cell r="F9470" t="str">
            <v>SP-Spread Emerging Markets - Country</v>
          </cell>
          <cell r="G9470" t="str">
            <v>SP-Spread Emerging Markets</v>
          </cell>
          <cell r="H9470" t="str">
            <v>SPREADS</v>
          </cell>
          <cell r="I9470" t="str">
            <v>Spread Emerging Markets - Country</v>
          </cell>
        </row>
        <row r="9471">
          <cell r="A9471" t="str">
            <v>EUR_EM_DS_CZECHIA</v>
          </cell>
          <cell r="B9471" t="str">
            <v>Czech Republic</v>
          </cell>
          <cell r="C9471" t="str">
            <v>EM Factors:Czech Republic</v>
          </cell>
          <cell r="D9471" t="str">
            <v>Spread Duration</v>
          </cell>
          <cell r="E9471" t="str">
            <v>Spread Yield (DxS)</v>
          </cell>
          <cell r="F9471" t="str">
            <v>SP-Spread Emerging Markets - Country</v>
          </cell>
          <cell r="G9471" t="str">
            <v>SP-Spread Emerging Markets</v>
          </cell>
          <cell r="H9471" t="str">
            <v>SPREADS</v>
          </cell>
          <cell r="I9471" t="str">
            <v>Spread Emerging Markets - Country</v>
          </cell>
        </row>
        <row r="9472">
          <cell r="A9472" t="str">
            <v>USD_EM_DS_G</v>
          </cell>
          <cell r="B9472" t="str">
            <v>EMBIG DxS</v>
          </cell>
          <cell r="C9472" t="str">
            <v>EM Factors:EMBIG DxS</v>
          </cell>
          <cell r="D9472" t="str">
            <v>Spread Duration</v>
          </cell>
          <cell r="E9472" t="str">
            <v>Spread Yield (DxS)</v>
          </cell>
          <cell r="F9472" t="str">
            <v>SP-Spread Emerging Markets - Country</v>
          </cell>
          <cell r="G9472" t="str">
            <v>SP-Spread Emerging Markets</v>
          </cell>
          <cell r="H9472" t="str">
            <v>SPREADS</v>
          </cell>
          <cell r="I9472" t="str">
            <v>Spread Emerging Markets - Country</v>
          </cell>
        </row>
        <row r="9473">
          <cell r="A9473" t="str">
            <v>EUR_EM_DS_ME</v>
          </cell>
          <cell r="B9473" t="str">
            <v>Emerg Mkt Mid East</v>
          </cell>
          <cell r="C9473" t="str">
            <v>EM Factors:Emerg Mkt Mid East</v>
          </cell>
          <cell r="D9473" t="str">
            <v>Spread Duration</v>
          </cell>
          <cell r="E9473" t="str">
            <v>Spread Yield (DxS)</v>
          </cell>
          <cell r="F9473" t="str">
            <v>SP-Spread Emerging Markets - Country</v>
          </cell>
          <cell r="G9473" t="str">
            <v>SP-Spread Emerging Markets</v>
          </cell>
          <cell r="H9473" t="str">
            <v>SPREADS</v>
          </cell>
          <cell r="I9473" t="str">
            <v>Spread Emerging Markets - Country</v>
          </cell>
        </row>
        <row r="9474">
          <cell r="A9474" t="str">
            <v>EUR_EM_DS_HUNGARY</v>
          </cell>
          <cell r="B9474" t="str">
            <v>Hungary</v>
          </cell>
          <cell r="C9474" t="str">
            <v>EM Factors:Hungary</v>
          </cell>
          <cell r="D9474" t="str">
            <v>Spread Duration</v>
          </cell>
          <cell r="E9474" t="str">
            <v>Spread Yield (DxS)</v>
          </cell>
          <cell r="F9474" t="str">
            <v>SP-Spread Emerging Markets - Country</v>
          </cell>
          <cell r="G9474" t="str">
            <v>SP-Spread Emerging Markets</v>
          </cell>
          <cell r="H9474" t="str">
            <v>SPREADS</v>
          </cell>
          <cell r="I9474" t="str">
            <v>Spread Emerging Markets - Country</v>
          </cell>
        </row>
        <row r="9475">
          <cell r="A9475" t="str">
            <v>EUR_EM_DS_INDONESIA</v>
          </cell>
          <cell r="B9475" t="str">
            <v>Indonesia</v>
          </cell>
          <cell r="C9475" t="str">
            <v>EM Factors:Indonesia</v>
          </cell>
          <cell r="D9475" t="str">
            <v>Spread Duration</v>
          </cell>
          <cell r="E9475" t="str">
            <v>Spread Yield (DxS)</v>
          </cell>
          <cell r="F9475" t="str">
            <v>SP-Spread Emerging Markets - Country</v>
          </cell>
          <cell r="G9475" t="str">
            <v>SP-Spread Emerging Markets</v>
          </cell>
          <cell r="H9475" t="str">
            <v>SPREADS</v>
          </cell>
          <cell r="I9475" t="str">
            <v>Spread Emerging Markets - Country</v>
          </cell>
        </row>
        <row r="9476">
          <cell r="A9476" t="str">
            <v>EUR_EM_DS_KAZAKHSTAN</v>
          </cell>
          <cell r="B9476" t="str">
            <v>Kazakhstan</v>
          </cell>
          <cell r="C9476" t="str">
            <v>EM Factors:Kazakhstan</v>
          </cell>
          <cell r="D9476" t="str">
            <v>Spread Duration</v>
          </cell>
          <cell r="E9476" t="str">
            <v>Spread Yield (DxS)</v>
          </cell>
          <cell r="F9476" t="str">
            <v>SP-Spread Emerging Markets - Country</v>
          </cell>
          <cell r="G9476" t="str">
            <v>SP-Spread Emerging Markets</v>
          </cell>
          <cell r="H9476" t="str">
            <v>SPREADS</v>
          </cell>
          <cell r="I9476" t="str">
            <v>Spread Emerging Markets - Country</v>
          </cell>
        </row>
        <row r="9477">
          <cell r="A9477" t="str">
            <v>EUR_EM_DS_MEXICO</v>
          </cell>
          <cell r="B9477" t="str">
            <v>Mexico</v>
          </cell>
          <cell r="C9477" t="str">
            <v>EM Factors:Mexico</v>
          </cell>
          <cell r="D9477" t="str">
            <v>Spread Duration</v>
          </cell>
          <cell r="E9477" t="str">
            <v>Spread Yield (DxS)</v>
          </cell>
          <cell r="F9477" t="str">
            <v>SP-Spread Emerging Markets - Country</v>
          </cell>
          <cell r="G9477" t="str">
            <v>SP-Spread Emerging Markets</v>
          </cell>
          <cell r="H9477" t="str">
            <v>SPREADS</v>
          </cell>
          <cell r="I9477" t="str">
            <v>Spread Emerging Markets - Country</v>
          </cell>
        </row>
        <row r="9478">
          <cell r="A9478" t="str">
            <v>EUR_EM_DS_PERU</v>
          </cell>
          <cell r="B9478" t="str">
            <v>Peru</v>
          </cell>
          <cell r="C9478" t="str">
            <v>EM Factors:Peru</v>
          </cell>
          <cell r="D9478" t="str">
            <v>Spread Duration</v>
          </cell>
          <cell r="E9478" t="str">
            <v>Spread Yield (DxS)</v>
          </cell>
          <cell r="F9478" t="str">
            <v>SP-Spread Emerging Markets - Country</v>
          </cell>
          <cell r="G9478" t="str">
            <v>SP-Spread Emerging Markets</v>
          </cell>
          <cell r="H9478" t="str">
            <v>SPREADS</v>
          </cell>
          <cell r="I9478" t="str">
            <v>Spread Emerging Markets - Country</v>
          </cell>
        </row>
        <row r="9479">
          <cell r="A9479" t="str">
            <v>EUR_EM_DS_PHILIPPINES</v>
          </cell>
          <cell r="B9479" t="str">
            <v>Philippines</v>
          </cell>
          <cell r="C9479" t="str">
            <v>EM Factors:Philippines</v>
          </cell>
          <cell r="D9479" t="str">
            <v>Spread Duration</v>
          </cell>
          <cell r="E9479" t="str">
            <v>Spread Yield (DxS)</v>
          </cell>
          <cell r="F9479" t="str">
            <v>SP-Spread Emerging Markets - Country</v>
          </cell>
          <cell r="G9479" t="str">
            <v>SP-Spread Emerging Markets</v>
          </cell>
          <cell r="H9479" t="str">
            <v>SPREADS</v>
          </cell>
          <cell r="I9479" t="str">
            <v>Spread Emerging Markets - Country</v>
          </cell>
        </row>
        <row r="9480">
          <cell r="A9480" t="str">
            <v>EUR_EM_DS_POLAND</v>
          </cell>
          <cell r="B9480" t="str">
            <v>Poland</v>
          </cell>
          <cell r="C9480" t="str">
            <v>EM Factors:Poland</v>
          </cell>
          <cell r="D9480" t="str">
            <v>Spread Duration</v>
          </cell>
          <cell r="E9480" t="str">
            <v>Spread Yield (DxS)</v>
          </cell>
          <cell r="F9480" t="str">
            <v>SP-Spread Emerging Markets - Country</v>
          </cell>
          <cell r="G9480" t="str">
            <v>SP-Spread Emerging Markets</v>
          </cell>
          <cell r="H9480" t="str">
            <v>SPREADS</v>
          </cell>
          <cell r="I9480" t="str">
            <v>Spread Emerging Markets - Country</v>
          </cell>
        </row>
        <row r="9481">
          <cell r="A9481" t="str">
            <v>EUR_EM_DS_ROMANIA</v>
          </cell>
          <cell r="B9481" t="str">
            <v>Romania</v>
          </cell>
          <cell r="C9481" t="str">
            <v>EM Factors:Romania</v>
          </cell>
          <cell r="D9481" t="str">
            <v>Spread Duration</v>
          </cell>
          <cell r="E9481" t="str">
            <v>Spread Yield (DxS)</v>
          </cell>
          <cell r="F9481" t="str">
            <v>SP-Spread Emerging Markets - Country</v>
          </cell>
          <cell r="G9481" t="str">
            <v>SP-Spread Emerging Markets</v>
          </cell>
          <cell r="H9481" t="str">
            <v>SPREADS</v>
          </cell>
          <cell r="I9481" t="str">
            <v>Spread Emerging Markets - Country</v>
          </cell>
        </row>
        <row r="9482">
          <cell r="A9482" t="str">
            <v>EUR_EM_DS_RUSSIA</v>
          </cell>
          <cell r="B9482" t="str">
            <v>Russian Federation</v>
          </cell>
          <cell r="C9482" t="str">
            <v>EM Factors:Russian Federation</v>
          </cell>
          <cell r="D9482" t="str">
            <v>Spread Duration</v>
          </cell>
          <cell r="E9482" t="str">
            <v>Spread Yield (DxS)</v>
          </cell>
          <cell r="F9482" t="str">
            <v>SP-Spread Emerging Markets - Country</v>
          </cell>
          <cell r="G9482" t="str">
            <v>SP-Spread Emerging Markets</v>
          </cell>
          <cell r="H9482" t="str">
            <v>SPREADS</v>
          </cell>
          <cell r="I9482" t="str">
            <v>Spread Emerging Markets - Country</v>
          </cell>
        </row>
        <row r="9483">
          <cell r="A9483" t="str">
            <v>EUR_EM_DS_SARABIA</v>
          </cell>
          <cell r="B9483" t="str">
            <v>Saudi Arabia</v>
          </cell>
          <cell r="C9483" t="str">
            <v>EM Factors:Saudi Arabia</v>
          </cell>
          <cell r="D9483" t="str">
            <v>Spread Duration</v>
          </cell>
          <cell r="E9483" t="str">
            <v>Spread Yield (DxS)</v>
          </cell>
          <cell r="F9483" t="str">
            <v>SP-Spread Emerging Markets - Country</v>
          </cell>
          <cell r="G9483" t="str">
            <v>SP-Spread Emerging Markets</v>
          </cell>
          <cell r="H9483" t="str">
            <v>SPREADS</v>
          </cell>
          <cell r="I9483" t="str">
            <v>Spread Emerging Markets - Country</v>
          </cell>
        </row>
        <row r="9484">
          <cell r="A9484" t="str">
            <v>EUR_EM_DS_UAE</v>
          </cell>
          <cell r="B9484" t="str">
            <v>United Arab Emirates</v>
          </cell>
          <cell r="C9484" t="str">
            <v>EM Factors:United Arab Emirates</v>
          </cell>
          <cell r="D9484" t="str">
            <v>Spread Duration</v>
          </cell>
          <cell r="E9484" t="str">
            <v>Spread Yield (DxS)</v>
          </cell>
          <cell r="F9484" t="str">
            <v>SP-Spread Emerging Markets - Country</v>
          </cell>
          <cell r="G9484" t="str">
            <v>SP-Spread Emerging Markets</v>
          </cell>
          <cell r="H9484" t="str">
            <v>SPREADS</v>
          </cell>
          <cell r="I9484" t="str">
            <v>Spread Emerging Markets - Country</v>
          </cell>
        </row>
        <row r="9485">
          <cell r="A9485" t="str">
            <v>[GBP_JPY_FX2_USD+EUR_EUR_FX2_USD-EUR_GBP_FX2_USD-EUR_JPY_FX2_USD]</v>
          </cell>
          <cell r="B9485" t="str">
            <v>GBP/EUR*JPY/EUR</v>
          </cell>
          <cell r="C9485" t="str">
            <v>Foreign Exchange^2:GBP/EUR*JPY/EUR</v>
          </cell>
          <cell r="E9485" t="str">
            <v>FX</v>
          </cell>
          <cell r="F9485" t="str">
            <v>Other</v>
          </cell>
          <cell r="G9485" t="str">
            <v>Other</v>
          </cell>
          <cell r="H9485" t="str">
            <v>OTHER</v>
          </cell>
          <cell r="I9485" t="str">
            <v>FX^2</v>
          </cell>
        </row>
        <row r="9486">
          <cell r="A9486" t="str">
            <v>CAD_LEH_CREDIT</v>
          </cell>
          <cell r="B9486" t="str">
            <v>CA Cash Bonds</v>
          </cell>
          <cell r="C9486" t="str">
            <v>Canadian Corporate Factors:CA Cash Bonds</v>
          </cell>
          <cell r="D9486" t="str">
            <v>Spread Duration</v>
          </cell>
          <cell r="E9486" t="str">
            <v>Spread Yield (DxS)</v>
          </cell>
          <cell r="F9486" t="str">
            <v>SP-Corporate IG Other</v>
          </cell>
          <cell r="G9486" t="str">
            <v>SP-Spread Corporate</v>
          </cell>
          <cell r="H9486" t="str">
            <v>SPREADS</v>
          </cell>
          <cell r="I9486" t="str">
            <v>Corporate IG Other - Other</v>
          </cell>
        </row>
        <row r="9487">
          <cell r="A9487" t="str">
            <v>GBP_LEH_CREDIT</v>
          </cell>
          <cell r="B9487" t="str">
            <v>UK Credit</v>
          </cell>
          <cell r="C9487" t="str">
            <v>Corporate 4.0:UK Credit</v>
          </cell>
          <cell r="D9487" t="str">
            <v>Spread Duration</v>
          </cell>
          <cell r="E9487" t="str">
            <v>Spread Yield (DxS)</v>
          </cell>
          <cell r="F9487" t="str">
            <v>SP-Corporate IG Other</v>
          </cell>
          <cell r="G9487" t="str">
            <v>SP-Spread Corporate</v>
          </cell>
          <cell r="H9487" t="str">
            <v>SPREADS</v>
          </cell>
          <cell r="I9487" t="str">
            <v>Corporate IG Other - Other</v>
          </cell>
        </row>
        <row r="9488">
          <cell r="A9488" t="str">
            <v>ALL_GLB_CORP_AGG_5Y</v>
          </cell>
          <cell r="B9488" t="str">
            <v>Global 5</v>
          </cell>
          <cell r="C9488" t="str">
            <v>Global 5</v>
          </cell>
          <cell r="D9488" t="str">
            <v>Spread Duration</v>
          </cell>
          <cell r="E9488" t="str">
            <v>Spread Yield (DxS)</v>
          </cell>
          <cell r="F9488" t="str">
            <v>SP-Corporate IG Other</v>
          </cell>
          <cell r="G9488" t="str">
            <v>SP-Spread Corporate</v>
          </cell>
          <cell r="H9488" t="str">
            <v>SPREADS</v>
          </cell>
          <cell r="I9488" t="str">
            <v>Corporate IG Other - Maturity</v>
          </cell>
        </row>
        <row r="9489">
          <cell r="A9489" t="str">
            <v>JPY_GOVGRMUNI</v>
          </cell>
          <cell r="B9489" t="str">
            <v>JP GovGuar/Muni</v>
          </cell>
          <cell r="C9489" t="str">
            <v>Other:JP GovGuar/Muni</v>
          </cell>
          <cell r="E9489" t="str">
            <v>Spread Yield</v>
          </cell>
          <cell r="F9489" t="str">
            <v>Other</v>
          </cell>
          <cell r="G9489" t="str">
            <v>Other</v>
          </cell>
          <cell r="H9489" t="str">
            <v>OTHER</v>
          </cell>
          <cell r="I9489" t="str">
            <v>Spread - Municipals</v>
          </cell>
        </row>
        <row r="9490">
          <cell r="A9490" t="str">
            <v>AI_PE_WRLD</v>
          </cell>
          <cell r="B9490" t="str">
            <v>World Equity</v>
          </cell>
          <cell r="C9490" t="str">
            <v>Alternatives:World Equity</v>
          </cell>
          <cell r="D9490" t="str">
            <v>Index</v>
          </cell>
          <cell r="E9490" t="str">
            <v>Index Level</v>
          </cell>
          <cell r="F9490" t="str">
            <v>ALT PE-Index</v>
          </cell>
          <cell r="G9490" t="str">
            <v>Other</v>
          </cell>
          <cell r="H9490" t="str">
            <v>ALTS</v>
          </cell>
          <cell r="I9490" t="str">
            <v>Alternative - Private Equity</v>
          </cell>
        </row>
        <row r="9491">
          <cell r="A9491" t="str">
            <v>ALL_10yr_10yr</v>
          </cell>
          <cell r="B9491" t="str">
            <v>other ccy 10Y ^2</v>
          </cell>
          <cell r="C9491" t="str">
            <v>Convexity:other ccy 10Y ^2</v>
          </cell>
          <cell r="D9491" t="str">
            <v>Convexity</v>
          </cell>
          <cell r="E9491" t="str">
            <v>Convexity</v>
          </cell>
          <cell r="F9491" t="str">
            <v>FI-Convexity</v>
          </cell>
          <cell r="G9491" t="str">
            <v>FI-Other</v>
          </cell>
          <cell r="H9491" t="str">
            <v>RATES</v>
          </cell>
          <cell r="I9491" t="str">
            <v>Convexity</v>
          </cell>
        </row>
        <row r="9492">
          <cell r="A9492" t="str">
            <v>[MAD_FX_USD-HUF_FX_USD]</v>
          </cell>
          <cell r="B9492" t="str">
            <v>MAD/HUF</v>
          </cell>
          <cell r="C9492" t="str">
            <v>Foreign Exchange:MAD/HUF</v>
          </cell>
          <cell r="D9492" t="str">
            <v>FX</v>
          </cell>
          <cell r="E9492" t="str">
            <v>FX</v>
          </cell>
          <cell r="F9492" t="str">
            <v>FX-Emerging Currency</v>
          </cell>
          <cell r="G9492" t="str">
            <v>FX-Emerging Currency</v>
          </cell>
          <cell r="H9492" t="str">
            <v>FX</v>
          </cell>
          <cell r="I9492" t="str">
            <v>Emerging Currency</v>
          </cell>
        </row>
        <row r="9493">
          <cell r="A9493" t="str">
            <v>[BHD_FX_USD-HUF_FX_USD]</v>
          </cell>
          <cell r="B9493" t="str">
            <v>BHD/HUF</v>
          </cell>
          <cell r="C9493" t="str">
            <v>Foreign Exchange:BHD/HUF</v>
          </cell>
          <cell r="D9493" t="str">
            <v>FX</v>
          </cell>
          <cell r="E9493" t="str">
            <v>FX</v>
          </cell>
          <cell r="F9493" t="str">
            <v>FX-Emerging Currency</v>
          </cell>
          <cell r="G9493" t="str">
            <v>FX-Emerging Currency</v>
          </cell>
          <cell r="H9493" t="str">
            <v>FX</v>
          </cell>
          <cell r="I9493" t="str">
            <v>Emerging Currency</v>
          </cell>
        </row>
        <row r="9494">
          <cell r="A9494" t="str">
            <v>BHD_FX_USD</v>
          </cell>
          <cell r="B9494" t="str">
            <v>BHD/USD</v>
          </cell>
          <cell r="C9494" t="str">
            <v>Foreign Exchange:BHD/USD</v>
          </cell>
          <cell r="D9494" t="str">
            <v>FX</v>
          </cell>
          <cell r="E9494" t="str">
            <v>FX</v>
          </cell>
          <cell r="F9494" t="str">
            <v>FX-Emerging Currency</v>
          </cell>
          <cell r="G9494" t="str">
            <v>FX-Emerging Currency</v>
          </cell>
          <cell r="H9494" t="str">
            <v>FX</v>
          </cell>
          <cell r="I9494" t="str">
            <v>Emerging Currency</v>
          </cell>
        </row>
        <row r="9495">
          <cell r="A9495" t="str">
            <v>[CNH_FX_USD-GBP_FX_USD]</v>
          </cell>
          <cell r="B9495" t="str">
            <v>CNH/GBP</v>
          </cell>
          <cell r="C9495" t="str">
            <v>Foreign Exchange:CNH/GBP</v>
          </cell>
          <cell r="D9495" t="str">
            <v>FX</v>
          </cell>
          <cell r="E9495" t="str">
            <v>FX</v>
          </cell>
          <cell r="F9495" t="str">
            <v>FX-Emerging Currency</v>
          </cell>
          <cell r="G9495" t="str">
            <v>FX-Emerging Currency</v>
          </cell>
          <cell r="H9495" t="str">
            <v>FX</v>
          </cell>
          <cell r="I9495" t="str">
            <v>Emerging Currency</v>
          </cell>
        </row>
        <row r="9496">
          <cell r="A9496" t="str">
            <v>ISK_FX_USD</v>
          </cell>
          <cell r="B9496" t="str">
            <v>ISK/USD</v>
          </cell>
          <cell r="C9496" t="str">
            <v>Foreign Exchange:ISK/USD</v>
          </cell>
          <cell r="D9496" t="str">
            <v>FX</v>
          </cell>
          <cell r="E9496" t="str">
            <v>FX</v>
          </cell>
          <cell r="F9496" t="str">
            <v>FX-Emerging Currency</v>
          </cell>
          <cell r="G9496" t="str">
            <v>FX-Emerging Currency</v>
          </cell>
          <cell r="H9496" t="str">
            <v>FX</v>
          </cell>
          <cell r="I9496" t="str">
            <v>Emerging Currency</v>
          </cell>
        </row>
        <row r="9497">
          <cell r="A9497" t="str">
            <v>[AUD_AUD_FX2_USD+HUF_HUF_FX2_USD-AUD_HUF_FX2_USD-AUD_HUF_FX2_USD]</v>
          </cell>
          <cell r="B9497" t="str">
            <v>AUD/HUF ^2</v>
          </cell>
          <cell r="C9497" t="str">
            <v>Foreign Exchange^2:AUD/HUF ^2</v>
          </cell>
          <cell r="D9497" t="str">
            <v>FX</v>
          </cell>
          <cell r="E9497" t="str">
            <v>FX</v>
          </cell>
          <cell r="F9497" t="str">
            <v>Other</v>
          </cell>
          <cell r="G9497" t="str">
            <v>Other</v>
          </cell>
          <cell r="H9497" t="str">
            <v>OTHER</v>
          </cell>
          <cell r="I9497" t="str">
            <v>FX^2</v>
          </cell>
        </row>
        <row r="9498">
          <cell r="A9498" t="str">
            <v>[AUD_USD_FX2_USD+HUF_HUF_FX2_USD-AUD_HUF_FX2_USD-HUF_USD_FX2_USD]</v>
          </cell>
          <cell r="B9498" t="str">
            <v>AUD/HUF*USD/HUF</v>
          </cell>
          <cell r="C9498" t="str">
            <v>Foreign Exchange^2:AUD/HUF*USD/HUF</v>
          </cell>
          <cell r="D9498" t="str">
            <v>FX</v>
          </cell>
          <cell r="E9498" t="str">
            <v>FX</v>
          </cell>
          <cell r="F9498" t="str">
            <v>Other</v>
          </cell>
          <cell r="G9498" t="str">
            <v>Other</v>
          </cell>
          <cell r="H9498" t="str">
            <v>OTHER</v>
          </cell>
          <cell r="I9498" t="str">
            <v>FX^2</v>
          </cell>
        </row>
        <row r="9499">
          <cell r="A9499" t="str">
            <v>EUR_PLN_FX2_USD</v>
          </cell>
          <cell r="B9499" t="str">
            <v>EUR/USD*PLN/USD</v>
          </cell>
          <cell r="C9499" t="str">
            <v>Foreign Exchange^2:EUR/USD*PLN/USD</v>
          </cell>
          <cell r="D9499" t="str">
            <v>FX</v>
          </cell>
          <cell r="E9499" t="str">
            <v>FX</v>
          </cell>
          <cell r="F9499" t="str">
            <v>Other</v>
          </cell>
          <cell r="G9499" t="str">
            <v>Other</v>
          </cell>
          <cell r="H9499" t="str">
            <v>OTHER</v>
          </cell>
          <cell r="I9499" t="str">
            <v>FX^2</v>
          </cell>
        </row>
        <row r="9500">
          <cell r="A9500" t="str">
            <v>[HUF_USD_FX2_USD+EUR_EUR_FX2_USD-EUR_HUF_FX2_USD-EUR_USD_FX2_USD]</v>
          </cell>
          <cell r="B9500" t="str">
            <v>HUF/EUR*USD/EUR</v>
          </cell>
          <cell r="C9500" t="str">
            <v>Foreign Exchange^2:HUF/EUR*USD/EUR</v>
          </cell>
          <cell r="D9500" t="str">
            <v>FX</v>
          </cell>
          <cell r="E9500" t="str">
            <v>FX</v>
          </cell>
          <cell r="F9500" t="str">
            <v>Other</v>
          </cell>
          <cell r="G9500" t="str">
            <v>Other</v>
          </cell>
          <cell r="H9500" t="str">
            <v>OTHER</v>
          </cell>
          <cell r="I9500" t="str">
            <v>FX^2</v>
          </cell>
        </row>
        <row r="9501">
          <cell r="A9501" t="str">
            <v>[PLN_USD_FX2_USD+EUR_EUR_FX2_USD-EUR_PLN_FX2_USD-EUR_USD_FX2_USD]</v>
          </cell>
          <cell r="B9501" t="str">
            <v>PLN/EUR*USD/EUR</v>
          </cell>
          <cell r="C9501" t="str">
            <v>Foreign Exchange^2:PLN/EUR*USD/EUR</v>
          </cell>
          <cell r="D9501" t="str">
            <v>FX</v>
          </cell>
          <cell r="E9501" t="str">
            <v>FX</v>
          </cell>
          <cell r="F9501" t="str">
            <v>Other</v>
          </cell>
          <cell r="G9501" t="str">
            <v>Other</v>
          </cell>
          <cell r="H9501" t="str">
            <v>OTHER</v>
          </cell>
          <cell r="I9501" t="str">
            <v>FX^2</v>
          </cell>
        </row>
        <row r="9502">
          <cell r="A9502" t="str">
            <v>PLN_PLN_FX2_USD</v>
          </cell>
          <cell r="B9502" t="str">
            <v>PLN/USD ^2</v>
          </cell>
          <cell r="C9502" t="str">
            <v>Foreign Exchange^2:PLN/USD ^2</v>
          </cell>
          <cell r="D9502" t="str">
            <v>FX</v>
          </cell>
          <cell r="E9502" t="str">
            <v>FX</v>
          </cell>
          <cell r="F9502" t="str">
            <v>Other</v>
          </cell>
          <cell r="G9502" t="str">
            <v>Other</v>
          </cell>
          <cell r="H9502" t="str">
            <v>OTHER</v>
          </cell>
          <cell r="I9502" t="str">
            <v>FX^2</v>
          </cell>
        </row>
        <row r="9503">
          <cell r="A9503" t="str">
            <v>CMBS_SP_RISK</v>
          </cell>
          <cell r="B9503" t="str">
            <v>CMBS Idiosyncratic</v>
          </cell>
          <cell r="D9503" t="str">
            <v>Specific Risk</v>
          </cell>
          <cell r="E9503" t="str">
            <v>Specific Risk</v>
          </cell>
          <cell r="F9503" t="str">
            <v>Idiosyncratic</v>
          </cell>
          <cell r="G9503" t="str">
            <v>Other</v>
          </cell>
          <cell r="H9503" t="str">
            <v>SPREADS_SPECIFIC</v>
          </cell>
          <cell r="I9503" t="str">
            <v>ABS - Idiosyncratic</v>
          </cell>
        </row>
        <row r="9504">
          <cell r="A9504" t="str">
            <v>[JPY_SEK_FX2_USD+EUR_EUR_FX2_USD-EUR_JPY_FX2_USD-EUR_SEK_FX2_USD]</v>
          </cell>
          <cell r="B9504" t="str">
            <v>JPY/EUR*SEK/EUR</v>
          </cell>
          <cell r="D9504" t="str">
            <v>FX</v>
          </cell>
          <cell r="E9504" t="str">
            <v>FX</v>
          </cell>
          <cell r="F9504" t="str">
            <v>Other</v>
          </cell>
          <cell r="G9504" t="str">
            <v>Other</v>
          </cell>
          <cell r="H9504" t="str">
            <v>OTHER</v>
          </cell>
          <cell r="I9504" t="str">
            <v>FX^2</v>
          </cell>
        </row>
        <row r="9505">
          <cell r="A9505" t="str">
            <v>[AUD_CHF_FX2_USD+EUR_EUR_FX2_USD-AUD_EUR_FX2_USD-CHF_EUR_FX2_USD]</v>
          </cell>
          <cell r="B9505" t="str">
            <v>AUD/EUR*CHF/EUR</v>
          </cell>
          <cell r="D9505" t="str">
            <v>FX</v>
          </cell>
          <cell r="E9505" t="str">
            <v>FX</v>
          </cell>
          <cell r="F9505" t="str">
            <v>Other</v>
          </cell>
          <cell r="G9505" t="str">
            <v>Other</v>
          </cell>
          <cell r="H9505" t="str">
            <v>OTHER</v>
          </cell>
          <cell r="I9505" t="str">
            <v>FX^2</v>
          </cell>
        </row>
        <row r="9506">
          <cell r="A9506" t="str">
            <v>ALL_EM_DS_G</v>
          </cell>
          <cell r="B9506" t="str">
            <v>Non$ Emerg Mkts General</v>
          </cell>
          <cell r="D9506" t="str">
            <v>Spread Duration</v>
          </cell>
          <cell r="E9506" t="str">
            <v>Spread Yield (DxS)</v>
          </cell>
          <cell r="F9506" t="str">
            <v>SP-Spread Emerging Markets - Country</v>
          </cell>
          <cell r="G9506" t="str">
            <v>SP-Spread Emerging Markets</v>
          </cell>
          <cell r="H9506" t="str">
            <v>SPREADS</v>
          </cell>
          <cell r="I9506" t="str">
            <v>Spread Emerging Markets - Country</v>
          </cell>
        </row>
        <row r="9507">
          <cell r="A9507" t="str">
            <v>[SEK_USD_FX2_USD+EUR_EUR_FX2_USD-EUR_SEK_FX2_USD-EUR_USD_FX2_USD]</v>
          </cell>
          <cell r="B9507" t="str">
            <v>SEK/EUR*USD/EUR</v>
          </cell>
          <cell r="C9507" t="str">
            <v>Foreign Exchange^2:SEK/EUR*USD/EUR</v>
          </cell>
          <cell r="D9507" t="str">
            <v>FX</v>
          </cell>
          <cell r="E9507" t="str">
            <v>FX</v>
          </cell>
          <cell r="F9507" t="str">
            <v>Other</v>
          </cell>
          <cell r="G9507" t="str">
            <v>Other</v>
          </cell>
          <cell r="H9507" t="str">
            <v>OTHER</v>
          </cell>
          <cell r="I9507" t="str">
            <v>FX^2</v>
          </cell>
        </row>
        <row r="9508">
          <cell r="A9508" t="str">
            <v>ABX_SP_RISK</v>
          </cell>
          <cell r="B9508" t="str">
            <v>Non-Agency Idiosyncratic</v>
          </cell>
          <cell r="C9508" t="str">
            <v>Specific:Non-Agency Idiosyncratic</v>
          </cell>
          <cell r="D9508" t="str">
            <v>Specific Risk</v>
          </cell>
          <cell r="E9508" t="str">
            <v>Specific Risk</v>
          </cell>
          <cell r="F9508" t="str">
            <v>Idiosyncratic</v>
          </cell>
          <cell r="G9508" t="str">
            <v>Other</v>
          </cell>
          <cell r="H9508" t="str">
            <v>SPREADS_SPECIFIC</v>
          </cell>
          <cell r="I9508" t="str">
            <v>ABS - Idiosyncratic</v>
          </cell>
        </row>
        <row r="9509">
          <cell r="A9509" t="str">
            <v>ALL_GLB_CORP_HY_5Y</v>
          </cell>
          <cell r="B9509" t="str">
            <v>Global HY 5</v>
          </cell>
          <cell r="C9509" t="str">
            <v>Global HY 5</v>
          </cell>
          <cell r="D9509" t="str">
            <v>Spread Duration</v>
          </cell>
          <cell r="E9509" t="str">
            <v>Spread Yield (DxS)</v>
          </cell>
          <cell r="F9509" t="str">
            <v>SP-Corporate IG Other</v>
          </cell>
          <cell r="G9509" t="str">
            <v>SP-Spread Corporate</v>
          </cell>
          <cell r="H9509" t="str">
            <v>SPREADS</v>
          </cell>
          <cell r="I9509" t="str">
            <v>Corporate HY Other - Maturity</v>
          </cell>
        </row>
        <row r="9510">
          <cell r="A9510" t="str">
            <v>USD_BMA_swap_Sprd_1m</v>
          </cell>
          <cell r="B9510" t="str">
            <v>BMA Swap Sprd 1m</v>
          </cell>
          <cell r="C9510" t="str">
            <v>Money Market Factors:BMA Swap Sprd 1m</v>
          </cell>
          <cell r="D9510" t="str">
            <v>KRD</v>
          </cell>
          <cell r="E9510" t="str">
            <v>Spread Yield</v>
          </cell>
          <cell r="F9510" t="str">
            <v>Other</v>
          </cell>
          <cell r="G9510" t="str">
            <v>Other</v>
          </cell>
          <cell r="H9510" t="str">
            <v>OTHER</v>
          </cell>
          <cell r="I9510" t="str">
            <v>Other - KRD</v>
          </cell>
        </row>
        <row r="9511">
          <cell r="A9511" t="str">
            <v>USD_MUNI_ESCROWED2</v>
          </cell>
          <cell r="B9511" t="str">
            <v>Escrowed</v>
          </cell>
          <cell r="C9511" t="str">
            <v>Muni Credit DxS:Escrowed</v>
          </cell>
          <cell r="D9511" t="str">
            <v>Spread Duration</v>
          </cell>
          <cell r="E9511" t="str">
            <v>Spread Yield</v>
          </cell>
          <cell r="F9511" t="str">
            <v>Other</v>
          </cell>
          <cell r="G9511" t="str">
            <v>Other</v>
          </cell>
          <cell r="H9511" t="str">
            <v>OTHER</v>
          </cell>
          <cell r="I9511" t="str">
            <v>Spread - Municipals</v>
          </cell>
        </row>
        <row r="9512">
          <cell r="A9512" t="str">
            <v>CNY_CNY_FX2_USD</v>
          </cell>
          <cell r="B9512" t="str">
            <v>CNY/USD ^2</v>
          </cell>
          <cell r="C9512" t="str">
            <v>Foreign Exchange^2:CNY/USD ^2</v>
          </cell>
          <cell r="D9512" t="str">
            <v>FX</v>
          </cell>
          <cell r="E9512" t="str">
            <v>FX</v>
          </cell>
          <cell r="F9512" t="str">
            <v>Other</v>
          </cell>
          <cell r="G9512" t="str">
            <v>Other</v>
          </cell>
          <cell r="H9512" t="str">
            <v>OTHER</v>
          </cell>
          <cell r="I9512" t="str">
            <v>FX^2</v>
          </cell>
        </row>
        <row r="9513">
          <cell r="A9513" t="str">
            <v>CNY_USD_FX2_USD</v>
          </cell>
          <cell r="B9513" t="str">
            <v>CNY/USD*USD/USD</v>
          </cell>
          <cell r="C9513" t="str">
            <v>Foreign Exchange^2:CNY/USD*USD/USD</v>
          </cell>
          <cell r="D9513" t="str">
            <v>FX</v>
          </cell>
          <cell r="E9513" t="str">
            <v>FX</v>
          </cell>
          <cell r="F9513" t="str">
            <v>Other</v>
          </cell>
          <cell r="G9513" t="str">
            <v>Other</v>
          </cell>
          <cell r="H9513" t="str">
            <v>OTHER</v>
          </cell>
          <cell r="I9513" t="str">
            <v>FX^2</v>
          </cell>
        </row>
        <row r="9514">
          <cell r="A9514" t="str">
            <v>JPY_ARR</v>
          </cell>
          <cell r="B9514" t="str">
            <v>JPY TONAR Sprd</v>
          </cell>
          <cell r="F9514" t="str">
            <v>SP-Other</v>
          </cell>
          <cell r="G9514" t="str">
            <v>SP-Other</v>
          </cell>
          <cell r="H9514" t="str">
            <v>SPREADS</v>
          </cell>
          <cell r="I9514" t="str">
            <v>Swap Spread - OIS</v>
          </cell>
        </row>
        <row r="9515">
          <cell r="A9515" t="str">
            <v>USD_normvol_sofr</v>
          </cell>
          <cell r="B9515" t="str">
            <v>Norm Impl SOFR Vol 5x10</v>
          </cell>
          <cell r="D9515" t="str">
            <v>Implied Vol Duration</v>
          </cell>
          <cell r="E9515" t="str">
            <v>Implied Vol</v>
          </cell>
          <cell r="F9515" t="str">
            <v>Rates Implied Volatility</v>
          </cell>
          <cell r="G9515" t="str">
            <v>Other</v>
          </cell>
          <cell r="H9515" t="str">
            <v>VOLATILITY</v>
          </cell>
          <cell r="I9515" t="str">
            <v>Rates Implied Volatility</v>
          </cell>
        </row>
        <row r="9516">
          <cell r="A9516" t="str">
            <v>USD_normvol_sofr_1y_10y</v>
          </cell>
          <cell r="B9516" t="str">
            <v>Norm Impl SOFR Vol 1x10</v>
          </cell>
          <cell r="D9516" t="str">
            <v>Implied Vol Duration</v>
          </cell>
          <cell r="E9516" t="str">
            <v>Implied Vol</v>
          </cell>
          <cell r="F9516" t="str">
            <v>Rates Implied Volatility</v>
          </cell>
          <cell r="G9516" t="str">
            <v>Other</v>
          </cell>
          <cell r="H9516" t="str">
            <v>VOLATILITY</v>
          </cell>
          <cell r="I9516" t="str">
            <v>Rates Implied Volatility</v>
          </cell>
        </row>
        <row r="9517">
          <cell r="A9517" t="str">
            <v>USD_normvol_sofr_1y_1y</v>
          </cell>
          <cell r="B9517" t="str">
            <v>Norm Impl SOFR Vol 1x1</v>
          </cell>
          <cell r="D9517" t="str">
            <v>Implied Vol Duration</v>
          </cell>
          <cell r="E9517" t="str">
            <v>Implied Vol</v>
          </cell>
          <cell r="F9517" t="str">
            <v>Rates Implied Volatility</v>
          </cell>
          <cell r="G9517" t="str">
            <v>Other</v>
          </cell>
          <cell r="H9517" t="str">
            <v>VOLATILITY</v>
          </cell>
          <cell r="I9517" t="str">
            <v>Rates Implied Volatility</v>
          </cell>
        </row>
        <row r="9518">
          <cell r="A9518" t="str">
            <v>USD_normvol_sofr_2y_10y</v>
          </cell>
          <cell r="B9518" t="str">
            <v>Norm Impl SOFR Vol 2x10</v>
          </cell>
          <cell r="D9518" t="str">
            <v>Implied Vol Duration</v>
          </cell>
          <cell r="E9518" t="str">
            <v>Implied Vol</v>
          </cell>
          <cell r="F9518" t="str">
            <v>Rates Implied Volatility</v>
          </cell>
          <cell r="G9518" t="str">
            <v>Other</v>
          </cell>
          <cell r="H9518" t="str">
            <v>VOLATILITY</v>
          </cell>
          <cell r="I9518" t="str">
            <v>Rates Implied Volatility</v>
          </cell>
        </row>
        <row r="9519">
          <cell r="A9519" t="str">
            <v>USD_normvol_sofr_2y_2y</v>
          </cell>
          <cell r="B9519" t="str">
            <v>Norm Impl SOFR Vol 2x2</v>
          </cell>
          <cell r="D9519" t="str">
            <v>Implied Vol Duration</v>
          </cell>
          <cell r="E9519" t="str">
            <v>Implied Vol</v>
          </cell>
          <cell r="F9519" t="str">
            <v>Rates Implied Volatility</v>
          </cell>
          <cell r="G9519" t="str">
            <v>Other</v>
          </cell>
          <cell r="H9519" t="str">
            <v>VOLATILITY</v>
          </cell>
          <cell r="I9519" t="str">
            <v>Rates Implied Volatility</v>
          </cell>
        </row>
        <row r="9520">
          <cell r="A9520" t="str">
            <v>USD_normvol_sofr_2y_5y</v>
          </cell>
          <cell r="B9520" t="str">
            <v>Norm Impl SOFR Vol 2x5</v>
          </cell>
          <cell r="D9520" t="str">
            <v>Implied Vol Duration</v>
          </cell>
          <cell r="E9520" t="str">
            <v>Implied Vol</v>
          </cell>
          <cell r="F9520" t="str">
            <v>Rates Implied Volatility</v>
          </cell>
          <cell r="G9520" t="str">
            <v>Other</v>
          </cell>
          <cell r="H9520" t="str">
            <v>VOLATILITY</v>
          </cell>
          <cell r="I9520" t="str">
            <v>Rates Implied Volatility</v>
          </cell>
        </row>
        <row r="9521">
          <cell r="A9521" t="str">
            <v>USD_normvol_sofr_3y_10y</v>
          </cell>
          <cell r="B9521" t="str">
            <v>Norm Impl SOFR Vol 3x10</v>
          </cell>
          <cell r="D9521" t="str">
            <v>Implied Vol Duration</v>
          </cell>
          <cell r="E9521" t="str">
            <v>Implied Vol</v>
          </cell>
          <cell r="F9521" t="str">
            <v>Rates Implied Volatility</v>
          </cell>
          <cell r="G9521" t="str">
            <v>Other</v>
          </cell>
          <cell r="H9521" t="str">
            <v>VOLATILITY</v>
          </cell>
          <cell r="I9521" t="str">
            <v>Rates Implied Volatility</v>
          </cell>
        </row>
        <row r="9522">
          <cell r="A9522" t="str">
            <v>USD_normvol_sofr_5y_5y</v>
          </cell>
          <cell r="B9522" t="str">
            <v>Norm Impl SOFR Vol 5x5</v>
          </cell>
          <cell r="D9522" t="str">
            <v>Implied Vol Duration</v>
          </cell>
          <cell r="E9522" t="str">
            <v>Implied Vol</v>
          </cell>
          <cell r="F9522" t="str">
            <v>Rates Implied Volatility</v>
          </cell>
          <cell r="G9522" t="str">
            <v>Other</v>
          </cell>
          <cell r="H9522" t="str">
            <v>VOLATILITY</v>
          </cell>
          <cell r="I9522" t="str">
            <v>Rates Implied Volatility</v>
          </cell>
        </row>
        <row r="9523">
          <cell r="A9523" t="str">
            <v>USD_normvol_sofr_6m_10y</v>
          </cell>
          <cell r="B9523" t="str">
            <v>Norm Impl SOFR Vol 6Mx10</v>
          </cell>
          <cell r="D9523" t="str">
            <v>Implied Vol Duration</v>
          </cell>
          <cell r="E9523" t="str">
            <v>Implied Vol</v>
          </cell>
          <cell r="F9523" t="str">
            <v>Rates Implied Volatility</v>
          </cell>
          <cell r="G9523" t="str">
            <v>Other</v>
          </cell>
          <cell r="H9523" t="str">
            <v>VOLATILITY</v>
          </cell>
          <cell r="I9523" t="str">
            <v>Rates Implied Volatility</v>
          </cell>
        </row>
        <row r="9524">
          <cell r="A9524" t="str">
            <v>USD_normvol_sofr_6m_1y</v>
          </cell>
          <cell r="B9524" t="str">
            <v>Norm Impl SOFR Vol 6Mx1</v>
          </cell>
          <cell r="D9524" t="str">
            <v>Implied Vol Duration</v>
          </cell>
          <cell r="E9524" t="str">
            <v>Implied Vol</v>
          </cell>
          <cell r="F9524" t="str">
            <v>Rates Implied Volatility</v>
          </cell>
          <cell r="G9524" t="str">
            <v>Other</v>
          </cell>
          <cell r="H9524" t="str">
            <v>VOLATILITY</v>
          </cell>
          <cell r="I9524" t="str">
            <v>Rates Implied Volatility</v>
          </cell>
        </row>
        <row r="9525">
          <cell r="A9525" t="str">
            <v>USD_normvol_sofr_6m_2y</v>
          </cell>
          <cell r="B9525" t="str">
            <v>Norm Impl SOFR Vol 6Mx2</v>
          </cell>
          <cell r="D9525" t="str">
            <v>Implied Vol Duration</v>
          </cell>
          <cell r="E9525" t="str">
            <v>Implied Vol</v>
          </cell>
          <cell r="F9525" t="str">
            <v>Rates Implied Volatility</v>
          </cell>
          <cell r="G9525" t="str">
            <v>Other</v>
          </cell>
          <cell r="H9525" t="str">
            <v>VOLATILITY</v>
          </cell>
          <cell r="I9525" t="str">
            <v>Rates Implied Volatility</v>
          </cell>
        </row>
        <row r="9526">
          <cell r="A9526" t="str">
            <v>USD_CMO_IO_OTM30_V610</v>
          </cell>
          <cell r="B9526" t="str">
            <v>CMO IO OTM300 V610</v>
          </cell>
          <cell r="D9526" t="str">
            <v>Spread Duration</v>
          </cell>
          <cell r="E9526" t="str">
            <v>Spread Yield</v>
          </cell>
          <cell r="F9526" t="str">
            <v>Alternative</v>
          </cell>
          <cell r="G9526" t="str">
            <v>Other</v>
          </cell>
          <cell r="H9526" t="str">
            <v>ALTS</v>
          </cell>
          <cell r="I9526" t="str">
            <v>Mortgage - Moneyness</v>
          </cell>
        </row>
        <row r="9527">
          <cell r="A9527" t="str">
            <v>DKK_MBS_ATM</v>
          </cell>
          <cell r="B9527" t="str">
            <v>DKK MBS ATM</v>
          </cell>
          <cell r="D9527" t="str">
            <v>Spread Duration</v>
          </cell>
          <cell r="E9527" t="str">
            <v>Spread Yield</v>
          </cell>
          <cell r="F9527" t="str">
            <v>Alternative</v>
          </cell>
          <cell r="G9527" t="str">
            <v>Other</v>
          </cell>
          <cell r="H9527" t="str">
            <v>ALTS</v>
          </cell>
          <cell r="I9527" t="str">
            <v>Mortgage - Moneyness</v>
          </cell>
        </row>
        <row r="9528">
          <cell r="A9528" t="str">
            <v>PAYUP</v>
          </cell>
          <cell r="B9528" t="str">
            <v>Mtg Spec Pool Payup</v>
          </cell>
          <cell r="D9528" t="str">
            <v>WITHOUT TYPE</v>
          </cell>
          <cell r="E9528" t="str">
            <v>WITHOUT TYPE</v>
          </cell>
          <cell r="F9528" t="str">
            <v>Alternative</v>
          </cell>
          <cell r="G9528" t="str">
            <v>Other</v>
          </cell>
          <cell r="H9528" t="str">
            <v>ALTS</v>
          </cell>
          <cell r="I9528" t="str">
            <v>Mortgage</v>
          </cell>
        </row>
        <row r="9529">
          <cell r="A9529" t="str">
            <v>USD_CMO_IO_OTM20_V620</v>
          </cell>
          <cell r="B9529" t="str">
            <v>CMO IO OTM200 V620</v>
          </cell>
          <cell r="D9529" t="str">
            <v>Spread Duration</v>
          </cell>
          <cell r="E9529" t="str">
            <v>Spread Yield</v>
          </cell>
          <cell r="F9529" t="str">
            <v>Alternative</v>
          </cell>
          <cell r="G9529" t="str">
            <v>Other</v>
          </cell>
          <cell r="H9529" t="str">
            <v>ALTS</v>
          </cell>
          <cell r="I9529" t="str">
            <v>Mortgage - Moneyness</v>
          </cell>
        </row>
        <row r="9530">
          <cell r="A9530" t="str">
            <v>USD_CMO_IO_OTM35_V620</v>
          </cell>
          <cell r="B9530" t="str">
            <v>CMO IO OTM350 V620</v>
          </cell>
          <cell r="D9530" t="str">
            <v>Spread Duration</v>
          </cell>
          <cell r="E9530" t="str">
            <v>Spread Yield</v>
          </cell>
          <cell r="F9530" t="str">
            <v>Alternative</v>
          </cell>
          <cell r="G9530" t="str">
            <v>Other</v>
          </cell>
          <cell r="H9530" t="str">
            <v>ALTS</v>
          </cell>
          <cell r="I9530" t="str">
            <v>Mortgage - Moneyness</v>
          </cell>
        </row>
        <row r="9531">
          <cell r="A9531" t="str">
            <v>USD_CMO_IO_OTM15_V620</v>
          </cell>
          <cell r="B9531" t="str">
            <v>CMO IO OTM150 V620</v>
          </cell>
          <cell r="D9531" t="str">
            <v>Spread Duration</v>
          </cell>
          <cell r="E9531" t="str">
            <v>Spread Yield</v>
          </cell>
          <cell r="F9531" t="str">
            <v>Alternative</v>
          </cell>
          <cell r="G9531" t="str">
            <v>Other</v>
          </cell>
          <cell r="H9531" t="str">
            <v>ALTS</v>
          </cell>
          <cell r="I9531" t="str">
            <v>Mortgage - Moneyness</v>
          </cell>
        </row>
        <row r="9532">
          <cell r="A9532" t="str">
            <v>USD_CMO_IO_OTM20_V610</v>
          </cell>
          <cell r="B9532" t="str">
            <v>CMO IO OTM200 V610</v>
          </cell>
          <cell r="D9532" t="str">
            <v>Spread Duration</v>
          </cell>
          <cell r="E9532" t="str">
            <v>Spread Yield</v>
          </cell>
          <cell r="F9532" t="str">
            <v>Alternative</v>
          </cell>
          <cell r="G9532" t="str">
            <v>Other</v>
          </cell>
          <cell r="H9532" t="str">
            <v>ALTS</v>
          </cell>
          <cell r="I9532" t="str">
            <v>Mortgage - Moneyness</v>
          </cell>
        </row>
        <row r="9533">
          <cell r="A9533" t="str">
            <v>USD_CMO_IO_OTM25_V610</v>
          </cell>
          <cell r="B9533" t="str">
            <v>CMO IO OTM250 V610</v>
          </cell>
          <cell r="D9533" t="str">
            <v>Spread Duration</v>
          </cell>
          <cell r="E9533" t="str">
            <v>Spread Yield</v>
          </cell>
          <cell r="F9533" t="str">
            <v>Alternative</v>
          </cell>
          <cell r="G9533" t="str">
            <v>Other</v>
          </cell>
          <cell r="H9533" t="str">
            <v>ALTS</v>
          </cell>
          <cell r="I9533" t="str">
            <v>Mortgage - Moneyness</v>
          </cell>
        </row>
        <row r="9534">
          <cell r="A9534" t="str">
            <v>USD_CMO_IO_OTM25_V620</v>
          </cell>
          <cell r="B9534" t="str">
            <v>CMO IO OTM250 V620</v>
          </cell>
          <cell r="D9534" t="str">
            <v>Spread Duration</v>
          </cell>
          <cell r="E9534" t="str">
            <v>Spread Yield</v>
          </cell>
          <cell r="F9534" t="str">
            <v>Alternative</v>
          </cell>
          <cell r="G9534" t="str">
            <v>Other</v>
          </cell>
          <cell r="H9534" t="str">
            <v>ALTS</v>
          </cell>
          <cell r="I9534" t="str">
            <v>Mortgage - Moneyness</v>
          </cell>
        </row>
        <row r="9535">
          <cell r="A9535" t="str">
            <v>USD_CMO_IO_OTM30_V620</v>
          </cell>
          <cell r="B9535" t="str">
            <v>CMO IO OTM300 V620</v>
          </cell>
          <cell r="D9535" t="str">
            <v>Spread Duration</v>
          </cell>
          <cell r="E9535" t="str">
            <v>Spread Yield</v>
          </cell>
          <cell r="F9535" t="str">
            <v>Alternative</v>
          </cell>
          <cell r="G9535" t="str">
            <v>Other</v>
          </cell>
          <cell r="H9535" t="str">
            <v>ALTS</v>
          </cell>
          <cell r="I9535" t="str">
            <v>Mortgage - Moneyness</v>
          </cell>
        </row>
        <row r="9536">
          <cell r="A9536" t="str">
            <v>AI_PE2_GEO_USA</v>
          </cell>
          <cell r="B9536" t="str">
            <v>United States PE</v>
          </cell>
          <cell r="D9536" t="str">
            <v>BFRE Country</v>
          </cell>
          <cell r="E9536" t="str">
            <v>Country Return</v>
          </cell>
          <cell r="F9536" t="str">
            <v>ALT PE-North America</v>
          </cell>
          <cell r="G9536" t="str">
            <v>Other</v>
          </cell>
          <cell r="H9536" t="str">
            <v>ALTS</v>
          </cell>
          <cell r="I9536" t="str">
            <v>Alternative - Private Equity</v>
          </cell>
        </row>
        <row r="9537">
          <cell r="A9537" t="str">
            <v>PE2_SP_RISK</v>
          </cell>
          <cell r="B9537" t="str">
            <v>Private Equity Idiosyncratic</v>
          </cell>
          <cell r="D9537" t="str">
            <v>Specific Risk</v>
          </cell>
          <cell r="E9537" t="str">
            <v>Specific Risk</v>
          </cell>
          <cell r="F9537" t="str">
            <v>Idiosyncratic</v>
          </cell>
          <cell r="G9537" t="str">
            <v>Other</v>
          </cell>
          <cell r="H9537" t="str">
            <v>OTHER_SPECIFIC</v>
          </cell>
          <cell r="I9537" t="str">
            <v>Alternative - Idiosyncratic</v>
          </cell>
        </row>
        <row r="9538">
          <cell r="A9538" t="str">
            <v>AI_PE2_STY_LEVERAGE</v>
          </cell>
          <cell r="B9538" t="str">
            <v>Leverage PE</v>
          </cell>
          <cell r="D9538" t="str">
            <v>BFRE Characteristics</v>
          </cell>
          <cell r="E9538" t="str">
            <v>Style Return</v>
          </cell>
          <cell r="F9538" t="str">
            <v>ALT PE-Style</v>
          </cell>
          <cell r="G9538" t="str">
            <v>Other</v>
          </cell>
          <cell r="H9538" t="str">
            <v>ALTS</v>
          </cell>
          <cell r="I9538" t="str">
            <v>Alternative - Private Equity</v>
          </cell>
        </row>
        <row r="9539">
          <cell r="A9539" t="str">
            <v>AI_PE2_STY_LIQUIDITY</v>
          </cell>
          <cell r="B9539" t="str">
            <v>Liquidity PE</v>
          </cell>
          <cell r="D9539" t="str">
            <v>BFRE Characteristics</v>
          </cell>
          <cell r="E9539" t="str">
            <v>Style Return</v>
          </cell>
          <cell r="F9539" t="str">
            <v>ALT PE-Style</v>
          </cell>
          <cell r="G9539" t="str">
            <v>Other</v>
          </cell>
          <cell r="H9539" t="str">
            <v>ALTS</v>
          </cell>
          <cell r="I9539" t="str">
            <v>Alternative - Private Equity</v>
          </cell>
        </row>
        <row r="9540">
          <cell r="A9540" t="str">
            <v>AI_PE2_STY_MARKET</v>
          </cell>
          <cell r="B9540" t="str">
            <v>Market PE</v>
          </cell>
          <cell r="D9540" t="str">
            <v>BFRE Characteristics</v>
          </cell>
          <cell r="E9540" t="str">
            <v>Style Return</v>
          </cell>
          <cell r="F9540" t="str">
            <v>ALT PE-Style</v>
          </cell>
          <cell r="G9540" t="str">
            <v>Other</v>
          </cell>
          <cell r="H9540" t="str">
            <v>ALTS</v>
          </cell>
          <cell r="I9540" t="str">
            <v>Alternative - Private Equity</v>
          </cell>
        </row>
        <row r="9541">
          <cell r="A9541" t="str">
            <v>AI_PE2_STY_SIZE</v>
          </cell>
          <cell r="B9541" t="str">
            <v>Size PE</v>
          </cell>
          <cell r="D9541" t="str">
            <v>BFRE Characteristics</v>
          </cell>
          <cell r="E9541" t="str">
            <v>Style Return</v>
          </cell>
          <cell r="F9541" t="str">
            <v>ALT PE-Style</v>
          </cell>
          <cell r="G9541" t="str">
            <v>Other</v>
          </cell>
          <cell r="H9541" t="str">
            <v>ALTS</v>
          </cell>
          <cell r="I9541" t="str">
            <v>Alternative - Private Equity</v>
          </cell>
        </row>
        <row r="9542">
          <cell r="A9542" t="str">
            <v>AI_PE2_STY_SMALLCAP</v>
          </cell>
          <cell r="B9542" t="str">
            <v>SmallCap PE</v>
          </cell>
          <cell r="D9542" t="str">
            <v>BFRE Characteristics</v>
          </cell>
          <cell r="E9542" t="str">
            <v>Style Return</v>
          </cell>
          <cell r="F9542" t="str">
            <v>ALT PE-Style</v>
          </cell>
          <cell r="G9542" t="str">
            <v>Other</v>
          </cell>
          <cell r="H9542" t="str">
            <v>ALTS</v>
          </cell>
          <cell r="I9542" t="str">
            <v>Alternative - Private Equity</v>
          </cell>
        </row>
        <row r="9543">
          <cell r="A9543" t="str">
            <v>AI_PE2_STY_VOLATILITY</v>
          </cell>
          <cell r="B9543" t="str">
            <v>Volatility PE</v>
          </cell>
          <cell r="D9543" t="str">
            <v>BFRE Characteristics</v>
          </cell>
          <cell r="E9543" t="str">
            <v>Style Return</v>
          </cell>
          <cell r="F9543" t="str">
            <v>ALT PE-Style</v>
          </cell>
          <cell r="G9543" t="str">
            <v>Other</v>
          </cell>
          <cell r="H9543" t="str">
            <v>ALTS</v>
          </cell>
          <cell r="I9543" t="str">
            <v>Alternative - Private Equity</v>
          </cell>
        </row>
        <row r="9544">
          <cell r="A9544" t="str">
            <v>AI_PE2_STY_DIVYIELD</v>
          </cell>
          <cell r="B9544" t="str">
            <v>Dividend Yield PE</v>
          </cell>
          <cell r="D9544" t="str">
            <v>BFRE Characteristics</v>
          </cell>
          <cell r="E9544" t="str">
            <v>Style Return</v>
          </cell>
          <cell r="F9544" t="str">
            <v>ALT PE-Style</v>
          </cell>
          <cell r="G9544" t="str">
            <v>Other</v>
          </cell>
          <cell r="H9544" t="str">
            <v>ALTS</v>
          </cell>
          <cell r="I9544" t="str">
            <v>Alternative - Private Equity</v>
          </cell>
        </row>
        <row r="9545">
          <cell r="A9545" t="str">
            <v>AI_PE2_STY_GROWTH</v>
          </cell>
          <cell r="B9545" t="str">
            <v>Growth PE</v>
          </cell>
          <cell r="D9545" t="str">
            <v>BFRE Characteristics</v>
          </cell>
          <cell r="E9545" t="str">
            <v>Style Return</v>
          </cell>
          <cell r="F9545" t="str">
            <v>ALT PE-Style</v>
          </cell>
          <cell r="G9545" t="str">
            <v>Other</v>
          </cell>
          <cell r="H9545" t="str">
            <v>ALTS</v>
          </cell>
          <cell r="I9545" t="str">
            <v>Alternative - Private Equity</v>
          </cell>
        </row>
        <row r="9546">
          <cell r="A9546" t="str">
            <v>AI_PE2_STY_EARNYIELD</v>
          </cell>
          <cell r="B9546" t="str">
            <v>Earnings Yield PE</v>
          </cell>
          <cell r="D9546" t="str">
            <v>BFRE Characteristics</v>
          </cell>
          <cell r="E9546" t="str">
            <v>Style Return</v>
          </cell>
          <cell r="F9546" t="str">
            <v>ALT PE-Style</v>
          </cell>
          <cell r="G9546" t="str">
            <v>Other</v>
          </cell>
          <cell r="H9546" t="str">
            <v>ALTS</v>
          </cell>
          <cell r="I9546" t="str">
            <v>Alternative - Private Equity</v>
          </cell>
        </row>
        <row r="9547">
          <cell r="A9547" t="str">
            <v>AI_PE2_STY_EMERGING</v>
          </cell>
          <cell r="B9547" t="str">
            <v>Emerging PE</v>
          </cell>
          <cell r="D9547" t="str">
            <v>BFRE Characteristics</v>
          </cell>
          <cell r="E9547" t="str">
            <v>Style Return</v>
          </cell>
          <cell r="F9547" t="str">
            <v>ALT PE-Style</v>
          </cell>
          <cell r="G9547" t="str">
            <v>Other</v>
          </cell>
          <cell r="H9547" t="str">
            <v>ALTS</v>
          </cell>
          <cell r="I9547" t="str">
            <v>Alternative - Private Equity</v>
          </cell>
        </row>
        <row r="9548">
          <cell r="A9548" t="str">
            <v>AI_PE2_STY_REVERSAL</v>
          </cell>
          <cell r="B9548" t="str">
            <v>Reversal PE</v>
          </cell>
          <cell r="D9548" t="str">
            <v>BFRE Characteristics</v>
          </cell>
          <cell r="E9548" t="str">
            <v>Style Return</v>
          </cell>
          <cell r="F9548" t="str">
            <v>ALT PE-Style</v>
          </cell>
          <cell r="G9548" t="str">
            <v>Other</v>
          </cell>
          <cell r="H9548" t="str">
            <v>ALTS</v>
          </cell>
          <cell r="I9548" t="str">
            <v>Alternative - Private Equity</v>
          </cell>
        </row>
        <row r="9549">
          <cell r="A9549" t="str">
            <v>AI_PE2_STY_VALUE</v>
          </cell>
          <cell r="B9549" t="str">
            <v>Value PE</v>
          </cell>
          <cell r="D9549" t="str">
            <v>BFRE Characteristics</v>
          </cell>
          <cell r="E9549" t="str">
            <v>Style Return</v>
          </cell>
          <cell r="F9549" t="str">
            <v>ALT PE-Style</v>
          </cell>
          <cell r="G9549" t="str">
            <v>Other</v>
          </cell>
          <cell r="H9549" t="str">
            <v>ALTS</v>
          </cell>
          <cell r="I9549" t="str">
            <v>Alternative - Private Equity</v>
          </cell>
        </row>
        <row r="9550">
          <cell r="A9550" t="str">
            <v>AI_PE2_STY_OIL</v>
          </cell>
          <cell r="B9550" t="str">
            <v>Oil PE</v>
          </cell>
          <cell r="D9550" t="str">
            <v>BFRE Characteristics</v>
          </cell>
          <cell r="E9550" t="str">
            <v>Style Return</v>
          </cell>
          <cell r="F9550" t="str">
            <v>ALT PE-Style</v>
          </cell>
          <cell r="G9550" t="str">
            <v>Other</v>
          </cell>
          <cell r="H9550" t="str">
            <v>ALTS</v>
          </cell>
          <cell r="I9550" t="str">
            <v>Alternative - Private Equity</v>
          </cell>
        </row>
        <row r="9551">
          <cell r="A9551" t="str">
            <v>AI_PE2_STY_PROFIT</v>
          </cell>
          <cell r="B9551" t="str">
            <v>Profitability PE</v>
          </cell>
          <cell r="D9551" t="str">
            <v>BFRE Characteristics</v>
          </cell>
          <cell r="E9551" t="str">
            <v>Style Return</v>
          </cell>
          <cell r="F9551" t="str">
            <v>ALT PE-Style</v>
          </cell>
          <cell r="G9551" t="str">
            <v>Other</v>
          </cell>
          <cell r="H9551" t="str">
            <v>ALTS</v>
          </cell>
          <cell r="I9551" t="str">
            <v>Alternative - Private Equity</v>
          </cell>
        </row>
        <row r="9552">
          <cell r="A9552" t="str">
            <v>AI_PE2_STY_SENTIMENT</v>
          </cell>
          <cell r="B9552" t="str">
            <v>Sentiment PE</v>
          </cell>
          <cell r="D9552" t="str">
            <v>BFRE Characteristics</v>
          </cell>
          <cell r="E9552" t="str">
            <v>Style Return</v>
          </cell>
          <cell r="F9552" t="str">
            <v>ALT PE-Style</v>
          </cell>
          <cell r="G9552" t="str">
            <v>Other</v>
          </cell>
          <cell r="H9552" t="str">
            <v>ALTS</v>
          </cell>
          <cell r="I9552" t="str">
            <v>Alternative - Private Equity</v>
          </cell>
        </row>
        <row r="9553">
          <cell r="A9553" t="str">
            <v>AI_PE2_STY_MOMENTUM</v>
          </cell>
          <cell r="B9553" t="str">
            <v>Momentum PE</v>
          </cell>
          <cell r="D9553" t="str">
            <v>BFRE Characteristics</v>
          </cell>
          <cell r="E9553" t="str">
            <v>Style Return</v>
          </cell>
          <cell r="F9553" t="str">
            <v>ALT PE-Style</v>
          </cell>
          <cell r="G9553" t="str">
            <v>Other</v>
          </cell>
          <cell r="H9553" t="str">
            <v>ALTS</v>
          </cell>
          <cell r="I9553" t="str">
            <v>Alternative - Private Equity</v>
          </cell>
        </row>
        <row r="9554">
          <cell r="A9554" t="str">
            <v>[TWD_FX_USD-GBP_FX_USD]</v>
          </cell>
          <cell r="B9554" t="str">
            <v>TWD/GBP</v>
          </cell>
          <cell r="D9554" t="str">
            <v>FX</v>
          </cell>
          <cell r="E9554" t="str">
            <v>FX</v>
          </cell>
          <cell r="F9554" t="str">
            <v>FX-Emerging Currency</v>
          </cell>
          <cell r="G9554" t="str">
            <v>FX-Emerging Currency</v>
          </cell>
          <cell r="H9554" t="str">
            <v>FX</v>
          </cell>
          <cell r="I9554" t="str">
            <v>Emerging Currency</v>
          </cell>
        </row>
        <row r="9555">
          <cell r="A9555" t="str">
            <v>[JPY_FX_USD-GBP_FX_USD]</v>
          </cell>
          <cell r="B9555" t="str">
            <v>JPY/GBP</v>
          </cell>
          <cell r="D9555" t="str">
            <v>FX</v>
          </cell>
          <cell r="E9555" t="str">
            <v>FX</v>
          </cell>
          <cell r="F9555" t="str">
            <v>FX-JPY</v>
          </cell>
          <cell r="G9555" t="str">
            <v>FX-JPY</v>
          </cell>
          <cell r="H9555" t="str">
            <v>FX</v>
          </cell>
          <cell r="I9555" t="str">
            <v>JPY</v>
          </cell>
        </row>
        <row r="9556">
          <cell r="A9556" t="str">
            <v>[MUR_FX_USD-HUF_FX_USD]</v>
          </cell>
          <cell r="B9556" t="str">
            <v>MUR/HUF</v>
          </cell>
          <cell r="D9556" t="str">
            <v>FX</v>
          </cell>
          <cell r="E9556" t="str">
            <v>FX</v>
          </cell>
          <cell r="F9556" t="str">
            <v>FX-Emerging Currency</v>
          </cell>
          <cell r="G9556" t="str">
            <v>FX-Emerging Currency</v>
          </cell>
          <cell r="H9556" t="str">
            <v>FX</v>
          </cell>
          <cell r="I9556" t="str">
            <v>Emerging Currency</v>
          </cell>
        </row>
        <row r="9557">
          <cell r="A9557" t="str">
            <v>BRL_BRL_FX2_USD</v>
          </cell>
          <cell r="B9557" t="str">
            <v>BRL/USD ^2</v>
          </cell>
          <cell r="D9557" t="str">
            <v>FX</v>
          </cell>
          <cell r="E9557" t="str">
            <v>FX</v>
          </cell>
          <cell r="F9557" t="str">
            <v>Other</v>
          </cell>
          <cell r="G9557" t="str">
            <v>Other</v>
          </cell>
          <cell r="H9557" t="str">
            <v>OTHER</v>
          </cell>
          <cell r="I9557" t="str">
            <v>FX^2</v>
          </cell>
        </row>
        <row r="9558">
          <cell r="A9558" t="str">
            <v>BRL_USD_FX2_USD</v>
          </cell>
          <cell r="B9558" t="str">
            <v>BRL/USD*USD/USD</v>
          </cell>
          <cell r="D9558" t="str">
            <v>FX</v>
          </cell>
          <cell r="E9558" t="str">
            <v>FX</v>
          </cell>
          <cell r="F9558" t="str">
            <v>Other</v>
          </cell>
          <cell r="G9558" t="str">
            <v>Other</v>
          </cell>
          <cell r="H9558" t="str">
            <v>OTHER</v>
          </cell>
          <cell r="I9558" t="str">
            <v>FX^2</v>
          </cell>
        </row>
        <row r="9559">
          <cell r="A9559" t="str">
            <v>[NGN_FX_USD-HUF_FX_USD]</v>
          </cell>
          <cell r="B9559" t="str">
            <v>NGN/HUF</v>
          </cell>
          <cell r="D9559" t="str">
            <v>FX</v>
          </cell>
          <cell r="E9559" t="str">
            <v>FX</v>
          </cell>
          <cell r="F9559" t="str">
            <v>FX-Emerging Currency</v>
          </cell>
          <cell r="G9559" t="str">
            <v>FX-Emerging Currency</v>
          </cell>
          <cell r="H9559" t="str">
            <v>FX</v>
          </cell>
          <cell r="I9559" t="str">
            <v>Emerging Currency</v>
          </cell>
        </row>
        <row r="9560">
          <cell r="A9560" t="str">
            <v>USD_ZAR_FX2_USD</v>
          </cell>
          <cell r="B9560" t="str">
            <v>USD/USD*ZAR/USD</v>
          </cell>
          <cell r="D9560" t="str">
            <v>FX</v>
          </cell>
          <cell r="E9560" t="str">
            <v>FX</v>
          </cell>
          <cell r="F9560" t="str">
            <v>Other</v>
          </cell>
          <cell r="G9560" t="str">
            <v>Other</v>
          </cell>
          <cell r="H9560" t="str">
            <v>OTHER</v>
          </cell>
          <cell r="I9560" t="str">
            <v>FX^2</v>
          </cell>
        </row>
        <row r="9561">
          <cell r="A9561" t="str">
            <v>ZAR_ZAR_FX2_USD</v>
          </cell>
          <cell r="B9561" t="str">
            <v>ZAR/USD ^2</v>
          </cell>
          <cell r="D9561" t="str">
            <v>FX</v>
          </cell>
          <cell r="E9561" t="str">
            <v>FX</v>
          </cell>
          <cell r="F9561" t="str">
            <v>Other</v>
          </cell>
          <cell r="G9561" t="str">
            <v>Other</v>
          </cell>
          <cell r="H9561" t="str">
            <v>OTHER</v>
          </cell>
          <cell r="I9561" t="str">
            <v>FX^2</v>
          </cell>
        </row>
        <row r="9562">
          <cell r="A9562" t="str">
            <v>[ITL_FX_USD-HUF_FX_USD]</v>
          </cell>
          <cell r="B9562" t="str">
            <v>ITL/HUF</v>
          </cell>
          <cell r="D9562" t="str">
            <v>FX</v>
          </cell>
          <cell r="E9562" t="str">
            <v>FX</v>
          </cell>
          <cell r="F9562" t="str">
            <v>FX-Emerging Currency</v>
          </cell>
          <cell r="G9562" t="str">
            <v>FX-Emerging Currency</v>
          </cell>
          <cell r="H9562" t="str">
            <v>FX</v>
          </cell>
          <cell r="I9562" t="str">
            <v>Emerging Currency</v>
          </cell>
        </row>
        <row r="9563">
          <cell r="A9563" t="str">
            <v>[BWP_FX_USD-HUF_FX_USD]</v>
          </cell>
          <cell r="B9563" t="str">
            <v>BWP/HUF</v>
          </cell>
          <cell r="D9563" t="str">
            <v>FX</v>
          </cell>
          <cell r="E9563" t="str">
            <v>FX</v>
          </cell>
          <cell r="F9563" t="str">
            <v>FX-Emerging Currency</v>
          </cell>
          <cell r="G9563" t="str">
            <v>FX-Emerging Currency</v>
          </cell>
          <cell r="H9563" t="str">
            <v>FX</v>
          </cell>
          <cell r="I9563" t="str">
            <v>Emerging Currency</v>
          </cell>
        </row>
        <row r="9564">
          <cell r="A9564" t="str">
            <v>[SHP_FX_USD-EUR_FX_USD]</v>
          </cell>
          <cell r="B9564" t="str">
            <v>SHP/EUR</v>
          </cell>
          <cell r="D9564" t="str">
            <v>FX</v>
          </cell>
          <cell r="E9564" t="str">
            <v>FX</v>
          </cell>
          <cell r="F9564" t="str">
            <v>FX-Emerging Currency</v>
          </cell>
          <cell r="G9564" t="str">
            <v>FX-Emerging Currency</v>
          </cell>
          <cell r="H9564" t="str">
            <v>FX</v>
          </cell>
          <cell r="I9564" t="str">
            <v>Emerging Currency</v>
          </cell>
        </row>
        <row r="9565">
          <cell r="A9565" t="str">
            <v>[MTL_FX_USD-EUR_FX_USD]</v>
          </cell>
          <cell r="B9565" t="str">
            <v>MTL/EUR</v>
          </cell>
          <cell r="D9565" t="str">
            <v>FX</v>
          </cell>
          <cell r="E9565" t="str">
            <v>FX</v>
          </cell>
          <cell r="F9565" t="str">
            <v>FX-Emerging Currency</v>
          </cell>
          <cell r="G9565" t="str">
            <v>FX-Emerging Currency</v>
          </cell>
          <cell r="H9565" t="str">
            <v>FX</v>
          </cell>
          <cell r="I9565" t="str">
            <v>Emerging Currency</v>
          </cell>
        </row>
        <row r="9566">
          <cell r="A9566" t="str">
            <v>[GHS_FX_USD-HUF_FX_USD]</v>
          </cell>
          <cell r="B9566" t="str">
            <v>GHS/HUF</v>
          </cell>
          <cell r="D9566" t="str">
            <v>FX</v>
          </cell>
          <cell r="E9566" t="str">
            <v>FX</v>
          </cell>
          <cell r="F9566" t="str">
            <v>FX-Emerging Currency</v>
          </cell>
          <cell r="G9566" t="str">
            <v>FX-Emerging Currency</v>
          </cell>
          <cell r="H9566" t="str">
            <v>FX</v>
          </cell>
          <cell r="I9566" t="str">
            <v>Emerging Currency</v>
          </cell>
        </row>
        <row r="9567">
          <cell r="A9567" t="str">
            <v>[KES_FX_USD-HUF_FX_USD]</v>
          </cell>
          <cell r="B9567" t="str">
            <v>KES/HUF</v>
          </cell>
          <cell r="D9567" t="str">
            <v>x</v>
          </cell>
          <cell r="E9567" t="str">
            <v>FX</v>
          </cell>
          <cell r="F9567" t="str">
            <v>FX-Emerging Currency</v>
          </cell>
          <cell r="G9567" t="str">
            <v>FX-Emerging Currency</v>
          </cell>
          <cell r="H9567" t="str">
            <v>FX</v>
          </cell>
          <cell r="I9567" t="str">
            <v>Emerging Currency</v>
          </cell>
        </row>
        <row r="9568">
          <cell r="A9568" t="str">
            <v>[UGX_FX_USD-HUF_FX_USD]</v>
          </cell>
          <cell r="B9568" t="str">
            <v>UGX/HUF</v>
          </cell>
          <cell r="D9568" t="str">
            <v>FX</v>
          </cell>
          <cell r="E9568" t="str">
            <v>FX</v>
          </cell>
          <cell r="F9568" t="str">
            <v>FX-Emerging Currency</v>
          </cell>
          <cell r="G9568" t="str">
            <v>FX-Emerging Currency</v>
          </cell>
          <cell r="H9568" t="str">
            <v>FX</v>
          </cell>
          <cell r="I9568" t="str">
            <v>Emerging Currency</v>
          </cell>
        </row>
        <row r="9569">
          <cell r="A9569" t="str">
            <v>[ZMW_FX_USD-HUF_FX_USD]</v>
          </cell>
          <cell r="B9569" t="str">
            <v>ZMW/HUF</v>
          </cell>
          <cell r="D9569" t="str">
            <v>FX</v>
          </cell>
          <cell r="E9569" t="str">
            <v>FX</v>
          </cell>
          <cell r="F9569" t="str">
            <v>FX-Emerging Currency</v>
          </cell>
          <cell r="G9569" t="str">
            <v>FX-Emerging Currency</v>
          </cell>
          <cell r="H9569" t="str">
            <v>FX</v>
          </cell>
          <cell r="I9569" t="str">
            <v>Emerging Currency</v>
          </cell>
        </row>
        <row r="9570">
          <cell r="A9570" t="str">
            <v>[SDG_FX_USD-EUR_FX_USD]</v>
          </cell>
          <cell r="B9570" t="str">
            <v>SDG/EUR</v>
          </cell>
          <cell r="D9570" t="str">
            <v>FX</v>
          </cell>
          <cell r="E9570" t="str">
            <v>FX</v>
          </cell>
          <cell r="F9570" t="str">
            <v>FX-Emerging Currency</v>
          </cell>
          <cell r="G9570" t="str">
            <v>FX-Emerging Currency</v>
          </cell>
          <cell r="H9570" t="str">
            <v>FX</v>
          </cell>
          <cell r="I9570" t="str">
            <v>Emerging Currency</v>
          </cell>
        </row>
        <row r="9571">
          <cell r="A9571" t="str">
            <v>JPY_tonar_40yr</v>
          </cell>
          <cell r="B9571" t="str">
            <v>TONAR JGB BASIS  40Y</v>
          </cell>
          <cell r="D9571" t="str">
            <v>Libor KRD</v>
          </cell>
          <cell r="E9571" t="str">
            <v>Yield</v>
          </cell>
          <cell r="F9571" t="str">
            <v>SP-Corporate IG Other</v>
          </cell>
          <cell r="G9571" t="str">
            <v>SP-Spread Corporate</v>
          </cell>
          <cell r="H9571" t="str">
            <v>SPREADS</v>
          </cell>
          <cell r="I9571" t="str">
            <v>Swap Spread - OIS</v>
          </cell>
        </row>
        <row r="9572">
          <cell r="A9572" t="str">
            <v>CNY_CORP_5y</v>
          </cell>
          <cell r="B9572" t="str">
            <v>CNY IG  Maturity 5y</v>
          </cell>
          <cell r="D9572" t="str">
            <v>Spread Duration</v>
          </cell>
          <cell r="E9572" t="str">
            <v>Spread Yield (DxS)</v>
          </cell>
          <cell r="F9572" t="str">
            <v>SP-Corporate IG Other</v>
          </cell>
          <cell r="G9572" t="str">
            <v>SP-Spread Corporate</v>
          </cell>
          <cell r="H9572" t="str">
            <v>SPREADS</v>
          </cell>
          <cell r="I9572" t="str">
            <v>Corporate IG Other - Maturity</v>
          </cell>
        </row>
        <row r="9573">
          <cell r="A9573" t="str">
            <v>CNY_CORP_BANK</v>
          </cell>
          <cell r="B9573" t="str">
            <v>CNY IG Banking</v>
          </cell>
          <cell r="D9573" t="str">
            <v>Spread Duration</v>
          </cell>
          <cell r="E9573" t="str">
            <v>Spread Yield (DxS)</v>
          </cell>
          <cell r="F9573" t="str">
            <v>SP-Corporate IG Other</v>
          </cell>
          <cell r="G9573" t="str">
            <v>SP-Spread Corporate</v>
          </cell>
          <cell r="H9573" t="str">
            <v>SPREADS</v>
          </cell>
          <cell r="I9573" t="str">
            <v>Corporate IG Other - Industry</v>
          </cell>
        </row>
        <row r="9574">
          <cell r="A9574" t="str">
            <v>CNY_CORP_ENERGY</v>
          </cell>
          <cell r="B9574" t="str">
            <v>CNY IG Energy</v>
          </cell>
          <cell r="D9574" t="str">
            <v>Spread Duration</v>
          </cell>
          <cell r="E9574" t="str">
            <v>Spread Yield (DxS)</v>
          </cell>
          <cell r="F9574" t="str">
            <v>SP-Corporate IG Other</v>
          </cell>
          <cell r="G9574" t="str">
            <v>SP-Spread Corporate</v>
          </cell>
          <cell r="H9574" t="str">
            <v>SPREADS</v>
          </cell>
          <cell r="I9574" t="str">
            <v>Corporate IG Other - Industry</v>
          </cell>
        </row>
        <row r="9575">
          <cell r="A9575" t="str">
            <v>CNY_CORP_FINANCE</v>
          </cell>
          <cell r="B9575" t="str">
            <v>CNY IG Finance</v>
          </cell>
          <cell r="D9575" t="str">
            <v>Spread Duration</v>
          </cell>
          <cell r="E9575" t="str">
            <v>Spread Yield (DxS)</v>
          </cell>
          <cell r="F9575" t="str">
            <v>SP-Corporate IG Other</v>
          </cell>
          <cell r="G9575" t="str">
            <v>SP-Spread Corporate</v>
          </cell>
          <cell r="H9575" t="str">
            <v>SPREADS</v>
          </cell>
          <cell r="I9575" t="str">
            <v>Corporate IG Other - Industry</v>
          </cell>
        </row>
        <row r="9576">
          <cell r="A9576" t="str">
            <v>CNY_CORP_1y</v>
          </cell>
          <cell r="B9576" t="str">
            <v>CNY IG Maturity 1y</v>
          </cell>
          <cell r="D9576" t="str">
            <v>Spread Duration</v>
          </cell>
          <cell r="E9576" t="str">
            <v>Spread Yield (DxS)</v>
          </cell>
          <cell r="F9576" t="str">
            <v>SP-Corporate IG Other</v>
          </cell>
          <cell r="G9576" t="str">
            <v>SP-Spread Corporate</v>
          </cell>
          <cell r="H9576" t="str">
            <v>SPREADS</v>
          </cell>
          <cell r="I9576" t="str">
            <v>Corporate IG Other - Maturity</v>
          </cell>
        </row>
        <row r="9577">
          <cell r="A9577" t="str">
            <v>CNY_CORP_3y</v>
          </cell>
          <cell r="B9577" t="str">
            <v>CNY IG Maturity 3y</v>
          </cell>
          <cell r="D9577" t="str">
            <v>Spread Duration</v>
          </cell>
          <cell r="E9577" t="str">
            <v>Spread Yield (DxS)</v>
          </cell>
          <cell r="F9577" t="str">
            <v>SP-Corporate IG Other</v>
          </cell>
          <cell r="G9577" t="str">
            <v>SP-Spread Corporate</v>
          </cell>
          <cell r="H9577" t="str">
            <v>SPREADS</v>
          </cell>
          <cell r="I9577" t="str">
            <v>Corporate IG Other - Maturity</v>
          </cell>
        </row>
        <row r="9578">
          <cell r="A9578" t="str">
            <v>CNY_CORP_TRANSPORT</v>
          </cell>
          <cell r="B9578" t="str">
            <v>CNY IG Transportation</v>
          </cell>
          <cell r="D9578" t="str">
            <v>Spread Duration</v>
          </cell>
          <cell r="E9578" t="str">
            <v>Spread Yield (DxS)</v>
          </cell>
          <cell r="F9578" t="str">
            <v>SP-Corporate IG Other</v>
          </cell>
          <cell r="G9578" t="str">
            <v>SP-Spread Corporate</v>
          </cell>
          <cell r="H9578" t="str">
            <v>SPREADS</v>
          </cell>
          <cell r="I9578" t="str">
            <v>Corporate IG Other - Industry</v>
          </cell>
        </row>
        <row r="9579">
          <cell r="A9579" t="str">
            <v>CNY_CORP_UTILITY</v>
          </cell>
          <cell r="B9579" t="str">
            <v>CNY IG Utility</v>
          </cell>
          <cell r="D9579" t="str">
            <v>Spread Duration</v>
          </cell>
          <cell r="E9579" t="str">
            <v>Spread Yield (DxS)</v>
          </cell>
          <cell r="F9579" t="str">
            <v>SP-Corporate IG Other</v>
          </cell>
          <cell r="G9579" t="str">
            <v>SP-Spread Corporate</v>
          </cell>
          <cell r="H9579" t="str">
            <v>SPREADS</v>
          </cell>
          <cell r="I9579" t="str">
            <v>Corporate IG Other - Industry</v>
          </cell>
        </row>
        <row r="9580">
          <cell r="A9580" t="str">
            <v>CNY_CORP_METALS</v>
          </cell>
          <cell r="B9580" t="str">
            <v>CNY IG Metal</v>
          </cell>
          <cell r="D9580" t="str">
            <v>Spread Duration</v>
          </cell>
          <cell r="E9580" t="str">
            <v>Spread Yield (DxS)</v>
          </cell>
          <cell r="F9580" t="str">
            <v>SP-Corporate IG Other</v>
          </cell>
          <cell r="G9580" t="str">
            <v>SP-Spread Corporate</v>
          </cell>
          <cell r="H9580" t="str">
            <v>SPREADS</v>
          </cell>
          <cell r="I9580" t="str">
            <v>Corporate IG Other - Industry</v>
          </cell>
        </row>
        <row r="9581">
          <cell r="A9581" t="str">
            <v>CNY_CORP_BLDG</v>
          </cell>
          <cell r="B9581" t="str">
            <v>CNY IG Building Materials</v>
          </cell>
          <cell r="D9581" t="str">
            <v>Spread Duration</v>
          </cell>
          <cell r="E9581" t="str">
            <v>Spread Yield (DxS)</v>
          </cell>
          <cell r="F9581" t="str">
            <v>SP-Other</v>
          </cell>
          <cell r="G9581" t="str">
            <v>SP-Other</v>
          </cell>
          <cell r="H9581" t="str">
            <v>SPREADS</v>
          </cell>
          <cell r="I9581" t="str">
            <v>Corporate IG Other - Industry</v>
          </cell>
        </row>
        <row r="9582">
          <cell r="A9582" t="str">
            <v>CNY_DISTRESS</v>
          </cell>
          <cell r="B9582" t="str">
            <v>CNY Distressed Bonds</v>
          </cell>
          <cell r="D9582" t="str">
            <v>Price</v>
          </cell>
          <cell r="E9582" t="str">
            <v>Price Level</v>
          </cell>
          <cell r="F9582" t="str">
            <v>SP-Other</v>
          </cell>
          <cell r="G9582" t="str">
            <v>SP-Other</v>
          </cell>
          <cell r="H9582" t="str">
            <v>SPREADS</v>
          </cell>
          <cell r="I9582" t="str">
            <v>Corporate Distressed</v>
          </cell>
        </row>
        <row r="9583">
          <cell r="A9583" t="str">
            <v>CNY_CORP_HOMECON</v>
          </cell>
          <cell r="B9583" t="str">
            <v>CNY IG Home Construct</v>
          </cell>
          <cell r="D9583" t="str">
            <v>Spread Duration</v>
          </cell>
          <cell r="E9583" t="str">
            <v>Spread Yield (DxS)</v>
          </cell>
          <cell r="F9583" t="str">
            <v>SP-Corporate IG Other</v>
          </cell>
          <cell r="G9583" t="str">
            <v>SP-Spread Corporate</v>
          </cell>
          <cell r="H9583" t="str">
            <v>SPREADS</v>
          </cell>
          <cell r="I9583" t="str">
            <v>Corporate IG Other - Industry</v>
          </cell>
        </row>
        <row r="9584">
          <cell r="A9584" t="str">
            <v>CNY_CORP_REIT</v>
          </cell>
          <cell r="B9584" t="str">
            <v>CNY IG REIT</v>
          </cell>
          <cell r="D9584" t="str">
            <v>Spread Duration</v>
          </cell>
          <cell r="E9584" t="str">
            <v>Spread Yield (DxS)</v>
          </cell>
          <cell r="F9584" t="str">
            <v>SP-Corporate IG Other</v>
          </cell>
          <cell r="G9584" t="str">
            <v>SP-Spread Corporate</v>
          </cell>
          <cell r="H9584" t="str">
            <v>SPREADS</v>
          </cell>
          <cell r="I9584" t="str">
            <v>Corporate IG Other - Industry</v>
          </cell>
        </row>
        <row r="9585">
          <cell r="A9585" t="str">
            <v>CNY_CORP_IND</v>
          </cell>
          <cell r="B9585" t="str">
            <v>CNY IG Other Industrial</v>
          </cell>
          <cell r="D9585" t="str">
            <v>Spread Duration</v>
          </cell>
          <cell r="E9585" t="str">
            <v>Spread Yield (DxS)</v>
          </cell>
          <cell r="F9585" t="str">
            <v>SP-Corporate IG Other</v>
          </cell>
          <cell r="G9585" t="str">
            <v>SP-Spread Corporate</v>
          </cell>
          <cell r="H9585" t="str">
            <v>SPREADS</v>
          </cell>
          <cell r="I9585" t="str">
            <v>Corporate IG Other - Industry</v>
          </cell>
        </row>
        <row r="9586">
          <cell r="A9586" t="str">
            <v>CNY_CORP_RETAIL</v>
          </cell>
          <cell r="B9586" t="str">
            <v>CNY IG Retail</v>
          </cell>
          <cell r="D9586" t="str">
            <v>Spread Duration</v>
          </cell>
          <cell r="E9586" t="str">
            <v>Spread Yield (DxS)</v>
          </cell>
          <cell r="F9586" t="str">
            <v>SP-Corporate IG Other</v>
          </cell>
          <cell r="G9586" t="str">
            <v>SP-Spread Corporate</v>
          </cell>
          <cell r="H9586" t="str">
            <v>SPREADS</v>
          </cell>
          <cell r="I9586" t="str">
            <v>Corporate IG Other - Industry</v>
          </cell>
        </row>
        <row r="9587">
          <cell r="A9587" t="str">
            <v>USD_normvol_sofr_3m_10y</v>
          </cell>
          <cell r="B9587" t="str">
            <v>Norm Impl SOFR Vol 3Mx10</v>
          </cell>
          <cell r="D9587" t="str">
            <v>Implied Vol Duration</v>
          </cell>
          <cell r="E9587" t="str">
            <v>Implied Vol</v>
          </cell>
          <cell r="F9587" t="str">
            <v>Rates Implied Volatility</v>
          </cell>
          <cell r="G9587" t="str">
            <v>Other</v>
          </cell>
          <cell r="H9587" t="str">
            <v>VOLATILITY</v>
          </cell>
          <cell r="I9587" t="str">
            <v>Rates Implied Volatility</v>
          </cell>
        </row>
        <row r="9588">
          <cell r="A9588" t="str">
            <v>USD_normvol_sofr_3m_5y</v>
          </cell>
          <cell r="B9588" t="str">
            <v>Norm Impl SOFR Vol 3Mx5</v>
          </cell>
          <cell r="D9588" t="str">
            <v>Implied Vol Duration</v>
          </cell>
          <cell r="E9588" t="str">
            <v>Implied Vol</v>
          </cell>
          <cell r="F9588" t="str">
            <v>Rates Implied Volatility</v>
          </cell>
          <cell r="G9588" t="str">
            <v>Other</v>
          </cell>
          <cell r="H9588" t="str">
            <v>VOLATILITY</v>
          </cell>
          <cell r="I9588" t="str">
            <v>Rates Implied Volatility</v>
          </cell>
        </row>
        <row r="9589">
          <cell r="A9589" t="str">
            <v>USD_normvol_sofr_3m_15y</v>
          </cell>
          <cell r="B9589" t="str">
            <v>Norm Impl SOFR Vol 3Mx15</v>
          </cell>
          <cell r="D9589" t="str">
            <v>Implied Vol Duration</v>
          </cell>
          <cell r="E9589" t="str">
            <v>Implied Vol</v>
          </cell>
          <cell r="F9589" t="str">
            <v>Rates Implied Volatility</v>
          </cell>
          <cell r="G9589" t="str">
            <v>Other</v>
          </cell>
          <cell r="H9589" t="str">
            <v>VOLATILITY</v>
          </cell>
          <cell r="I9589" t="str">
            <v>Rates Implied Volatility</v>
          </cell>
        </row>
        <row r="9590">
          <cell r="A9590" t="str">
            <v>USD_normvol_sofr_3m_2y</v>
          </cell>
          <cell r="B9590" t="str">
            <v>Norm Impl SOFR Vol 3Mx2</v>
          </cell>
          <cell r="D9590" t="str">
            <v>Implied Vol Duration</v>
          </cell>
          <cell r="E9590" t="str">
            <v>Implied Vol</v>
          </cell>
          <cell r="F9590" t="str">
            <v>Rates Implied Volatility</v>
          </cell>
          <cell r="G9590" t="str">
            <v>Other</v>
          </cell>
          <cell r="H9590" t="str">
            <v>VOLATILITY</v>
          </cell>
          <cell r="I9590" t="str">
            <v>Rates Implied Volatility</v>
          </cell>
        </row>
        <row r="9591">
          <cell r="A9591" t="str">
            <v>USD_normvol_sofr_6m_5y</v>
          </cell>
          <cell r="B9591" t="str">
            <v>Norm Impl SOFR Vol 6Mx5</v>
          </cell>
          <cell r="D9591" t="str">
            <v>Implied Vol Duration</v>
          </cell>
          <cell r="E9591" t="str">
            <v>Implied Vol</v>
          </cell>
          <cell r="F9591" t="str">
            <v>Rates Implied Volatility</v>
          </cell>
          <cell r="G9591" t="str">
            <v>Other</v>
          </cell>
          <cell r="H9591" t="str">
            <v>VOLATILITY</v>
          </cell>
          <cell r="I9591" t="str">
            <v>Rates Implied Volatility</v>
          </cell>
        </row>
        <row r="9592">
          <cell r="A9592" t="str">
            <v>USD_normvol_sofr_1y_2y</v>
          </cell>
          <cell r="B9592" t="str">
            <v>Norm Impl SOFR Vol 1x2</v>
          </cell>
          <cell r="D9592" t="str">
            <v>Implied Vol Duration</v>
          </cell>
          <cell r="E9592" t="str">
            <v>Implied Vol</v>
          </cell>
          <cell r="F9592" t="str">
            <v>Rates Implied Volatility</v>
          </cell>
          <cell r="G9592" t="str">
            <v>Other</v>
          </cell>
          <cell r="H9592" t="str">
            <v>VOLATILITY</v>
          </cell>
          <cell r="I9592" t="str">
            <v>Rates Implied Volatility</v>
          </cell>
        </row>
        <row r="9593">
          <cell r="A9593" t="str">
            <v>USD_normvol_sofr_3m_1y</v>
          </cell>
          <cell r="B9593" t="str">
            <v>Norm Impl SOFR Vol 3Mx1</v>
          </cell>
          <cell r="D9593" t="str">
            <v>Implied Vol Duration</v>
          </cell>
          <cell r="E9593" t="str">
            <v>Implied Vol</v>
          </cell>
          <cell r="F9593" t="str">
            <v>Rates Implied Volatility</v>
          </cell>
          <cell r="G9593" t="str">
            <v>Other</v>
          </cell>
          <cell r="H9593" t="str">
            <v>VOLATILITY</v>
          </cell>
          <cell r="I9593" t="str">
            <v>Rates Implied Volatility</v>
          </cell>
        </row>
        <row r="9594">
          <cell r="A9594" t="str">
            <v>USD_CMO_IO_OTM10_V620</v>
          </cell>
          <cell r="B9594" t="str">
            <v>CMO IO OTM100 V620</v>
          </cell>
          <cell r="D9594" t="str">
            <v>Spread Duration</v>
          </cell>
          <cell r="E9594" t="str">
            <v>Spread Yield</v>
          </cell>
          <cell r="F9594" t="str">
            <v>Alternative</v>
          </cell>
          <cell r="G9594" t="str">
            <v>Other</v>
          </cell>
          <cell r="H9594" t="str">
            <v>ALTS</v>
          </cell>
          <cell r="I9594" t="str">
            <v>Mortgage - Moneyness</v>
          </cell>
        </row>
        <row r="9595">
          <cell r="A9595" t="str">
            <v>USD_CMO_IO_OTM15_V610</v>
          </cell>
          <cell r="B9595" t="str">
            <v>CMO IO OTM150 V610</v>
          </cell>
          <cell r="D9595" t="str">
            <v>Spread Duration</v>
          </cell>
          <cell r="E9595" t="str">
            <v>Spread Yield</v>
          </cell>
          <cell r="F9595" t="str">
            <v>Alternative</v>
          </cell>
          <cell r="G9595" t="str">
            <v>Other</v>
          </cell>
          <cell r="H9595" t="str">
            <v>ALTS</v>
          </cell>
          <cell r="I9595" t="str">
            <v>Mortgage - Moneyness</v>
          </cell>
        </row>
        <row r="9596">
          <cell r="A9596" t="str">
            <v>USD_normvol_sofr_1y_20y</v>
          </cell>
          <cell r="B9596" t="str">
            <v>Norm Impl SOFR Vol 1x20</v>
          </cell>
          <cell r="D9596" t="str">
            <v>Implied Vol Duration</v>
          </cell>
          <cell r="E9596" t="str">
            <v>Implied Vol</v>
          </cell>
          <cell r="F9596" t="str">
            <v>Rates Implied Volatility</v>
          </cell>
          <cell r="G9596" t="str">
            <v>Other</v>
          </cell>
          <cell r="H9596" t="str">
            <v>VOLATILITY</v>
          </cell>
          <cell r="I9596" t="str">
            <v>Rates Implied Volatility</v>
          </cell>
        </row>
        <row r="9597">
          <cell r="A9597" t="str">
            <v>USD_mtg15_tsy_V630</v>
          </cell>
          <cell r="B9597" t="str">
            <v>15yr Mtg Tsy Basis V630</v>
          </cell>
          <cell r="C9597" t="str">
            <v>Mortgage Basis:15yr Mtg Tsy Basis V630</v>
          </cell>
          <cell r="D9597" t="str">
            <v>Mortgage Basis Duration</v>
          </cell>
          <cell r="E9597" t="str">
            <v>Mortgage Basis</v>
          </cell>
          <cell r="F9597" t="str">
            <v>Alternative</v>
          </cell>
          <cell r="G9597" t="str">
            <v>Other</v>
          </cell>
          <cell r="H9597" t="str">
            <v>ALTS</v>
          </cell>
          <cell r="I9597" t="str">
            <v>Mortgage Basis</v>
          </cell>
        </row>
        <row r="9598">
          <cell r="A9598" t="str">
            <v>USD_mtg30_tsy_V630</v>
          </cell>
          <cell r="B9598" t="str">
            <v>30yr Mtg Tsy Basis V630</v>
          </cell>
          <cell r="C9598" t="str">
            <v>Mortgage Basis:30yr Mtg Tsy Basis V630</v>
          </cell>
          <cell r="D9598" t="str">
            <v>Mortgage Basis Duration</v>
          </cell>
          <cell r="E9598" t="str">
            <v>Mortgage Basis</v>
          </cell>
          <cell r="F9598" t="str">
            <v>Alternative</v>
          </cell>
          <cell r="G9598" t="str">
            <v>Other</v>
          </cell>
          <cell r="H9598" t="str">
            <v>ALTS</v>
          </cell>
          <cell r="I9598" t="str">
            <v>Mortgage Basis</v>
          </cell>
        </row>
        <row r="9599">
          <cell r="A9599" t="str">
            <v>USD_TBA15_OTM15_V630</v>
          </cell>
          <cell r="B9599" t="str">
            <v>TBA15 OTM150 V630</v>
          </cell>
          <cell r="C9599" t="str">
            <v>TBA 630:TBA15 OTM150 V630</v>
          </cell>
          <cell r="D9599" t="str">
            <v>Spread Duration</v>
          </cell>
          <cell r="E9599" t="str">
            <v>Spread Yield</v>
          </cell>
          <cell r="F9599" t="str">
            <v>Alternative</v>
          </cell>
          <cell r="G9599" t="str">
            <v>Other</v>
          </cell>
          <cell r="H9599" t="str">
            <v>ALTS</v>
          </cell>
          <cell r="I9599" t="str">
            <v>Mortgage - Moneyness</v>
          </cell>
        </row>
        <row r="9600">
          <cell r="A9600" t="str">
            <v>USD_TBA_ATM_V630</v>
          </cell>
          <cell r="B9600" t="str">
            <v>TBA30 ATM V630</v>
          </cell>
          <cell r="C9600" t="str">
            <v>TBA 630:TBA30 ATM V630</v>
          </cell>
          <cell r="D9600" t="str">
            <v>Spread Duration</v>
          </cell>
          <cell r="E9600" t="str">
            <v>Spread Yield</v>
          </cell>
          <cell r="F9600" t="str">
            <v>Alternative</v>
          </cell>
          <cell r="G9600" t="str">
            <v>Other</v>
          </cell>
          <cell r="H9600" t="str">
            <v>ALTS</v>
          </cell>
          <cell r="I9600" t="str">
            <v>Mortgage - Moneyness</v>
          </cell>
        </row>
        <row r="9601">
          <cell r="A9601" t="str">
            <v>USD_TBA_GN_V630</v>
          </cell>
          <cell r="B9601" t="str">
            <v>TBA GNvsFN V630</v>
          </cell>
          <cell r="C9601" t="str">
            <v>TBA 630:TBA GNvsFN V630</v>
          </cell>
          <cell r="D9601" t="str">
            <v>Spread Duration</v>
          </cell>
          <cell r="E9601" t="str">
            <v>Other Spread Yield</v>
          </cell>
          <cell r="F9601" t="str">
            <v>Alternative</v>
          </cell>
          <cell r="G9601" t="str">
            <v>Other</v>
          </cell>
          <cell r="H9601" t="str">
            <v>ALTS</v>
          </cell>
          <cell r="I9601" t="str">
            <v>Mortgage - Moneyness</v>
          </cell>
        </row>
        <row r="9602">
          <cell r="A9602" t="str">
            <v>USD_TBA15_OTM35_V630</v>
          </cell>
          <cell r="B9602" t="str">
            <v>TBA15 OTM350 V630</v>
          </cell>
          <cell r="C9602" t="str">
            <v>TBA 630:TBA15 OTM350 V630</v>
          </cell>
          <cell r="D9602" t="str">
            <v>Spread Duration</v>
          </cell>
          <cell r="E9602" t="str">
            <v>Spread Yield</v>
          </cell>
          <cell r="F9602" t="str">
            <v>Alternative</v>
          </cell>
          <cell r="G9602" t="str">
            <v>Other</v>
          </cell>
          <cell r="H9602" t="str">
            <v>ALTS</v>
          </cell>
          <cell r="I9602" t="str">
            <v>Mortgage - Moneyness</v>
          </cell>
        </row>
        <row r="9603">
          <cell r="A9603" t="str">
            <v>USD_TBA_OTM15_V630</v>
          </cell>
          <cell r="B9603" t="str">
            <v>TBA30 OTM150 V630</v>
          </cell>
          <cell r="C9603" t="str">
            <v>TBA 630:TBA30 OTM150 V630</v>
          </cell>
          <cell r="D9603" t="str">
            <v>Spread Duration</v>
          </cell>
          <cell r="E9603" t="str">
            <v>Spread Yield</v>
          </cell>
          <cell r="F9603" t="str">
            <v>Alternative</v>
          </cell>
          <cell r="G9603" t="str">
            <v>Other</v>
          </cell>
          <cell r="H9603" t="str">
            <v>ALTS</v>
          </cell>
          <cell r="I9603" t="str">
            <v>Mortgage - Moneyness</v>
          </cell>
        </row>
        <row r="9604">
          <cell r="A9604" t="str">
            <v>USD_TBA_OTM20_V630</v>
          </cell>
          <cell r="B9604" t="str">
            <v>TBA30 OTM200 V630</v>
          </cell>
          <cell r="C9604" t="str">
            <v>TBA 630:TBA30 OTM200 V630</v>
          </cell>
          <cell r="D9604" t="str">
            <v>Spread Duration</v>
          </cell>
          <cell r="E9604" t="str">
            <v>Spread Yield</v>
          </cell>
          <cell r="F9604" t="str">
            <v>Alternative</v>
          </cell>
          <cell r="G9604" t="str">
            <v>Other</v>
          </cell>
          <cell r="H9604" t="str">
            <v>ALTS</v>
          </cell>
          <cell r="I9604" t="str">
            <v>Mortgage - Moneyness</v>
          </cell>
        </row>
        <row r="9605">
          <cell r="A9605" t="str">
            <v>USD_TBA_OTM30_V630</v>
          </cell>
          <cell r="B9605" t="str">
            <v>TBA30 OTM300 V630</v>
          </cell>
          <cell r="C9605" t="str">
            <v>TBA 630:TBA30 OTM300 V630</v>
          </cell>
          <cell r="D9605" t="str">
            <v>Spread Duration</v>
          </cell>
          <cell r="E9605" t="str">
            <v>Spread Yield</v>
          </cell>
          <cell r="F9605" t="str">
            <v>Alternative</v>
          </cell>
          <cell r="G9605" t="str">
            <v>Other</v>
          </cell>
          <cell r="H9605" t="str">
            <v>ALTS</v>
          </cell>
          <cell r="I9605" t="str">
            <v>Mortgage - Moneyness</v>
          </cell>
        </row>
        <row r="9606">
          <cell r="A9606" t="str">
            <v>USD_TBA_OTM35_V630</v>
          </cell>
          <cell r="B9606" t="str">
            <v>TBA30 OTM350 V630</v>
          </cell>
          <cell r="C9606" t="str">
            <v>TBA 630:TBA30 OTM350 V630</v>
          </cell>
          <cell r="D9606" t="str">
            <v>Spread Duration</v>
          </cell>
          <cell r="E9606" t="str">
            <v>Spread Yield</v>
          </cell>
          <cell r="F9606" t="str">
            <v>Alternative</v>
          </cell>
          <cell r="G9606" t="str">
            <v>Other</v>
          </cell>
          <cell r="H9606" t="str">
            <v>ALTS</v>
          </cell>
          <cell r="I9606" t="str">
            <v>Mortgage - Moneyness</v>
          </cell>
        </row>
        <row r="9607">
          <cell r="A9607" t="str">
            <v>USD_TBA_OTM5_V630</v>
          </cell>
          <cell r="B9607" t="str">
            <v>TBA30 OTM50 V630</v>
          </cell>
          <cell r="C9607" t="str">
            <v>TBA 630:TBA30 OTM50 V630</v>
          </cell>
          <cell r="D9607" t="str">
            <v>Spread Duration</v>
          </cell>
          <cell r="E9607" t="str">
            <v>Spread Yield</v>
          </cell>
          <cell r="F9607" t="str">
            <v>Alternative</v>
          </cell>
          <cell r="G9607" t="str">
            <v>Other</v>
          </cell>
          <cell r="H9607" t="str">
            <v>ALTS</v>
          </cell>
          <cell r="I9607" t="str">
            <v>Mortgage - Moneyness</v>
          </cell>
        </row>
        <row r="9608">
          <cell r="A9608" t="str">
            <v>USD_TBA_15_V630</v>
          </cell>
          <cell r="B9608" t="str">
            <v>TBA 15vs30 V630</v>
          </cell>
          <cell r="C9608" t="str">
            <v>TBA 630:TBA 15vs30 V630</v>
          </cell>
          <cell r="D9608" t="str">
            <v>Spread Duration</v>
          </cell>
          <cell r="E9608" t="str">
            <v>Spread Yield</v>
          </cell>
          <cell r="F9608" t="str">
            <v>Alternative</v>
          </cell>
          <cell r="G9608" t="str">
            <v>Other</v>
          </cell>
          <cell r="H9608" t="str">
            <v>ALTS</v>
          </cell>
          <cell r="I9608" t="str">
            <v>Mortgage - Moneyness</v>
          </cell>
        </row>
        <row r="9609">
          <cell r="A9609" t="str">
            <v>USD_TBA15_OTM10_V630</v>
          </cell>
          <cell r="B9609" t="str">
            <v>TBA15 OTM100 V630</v>
          </cell>
          <cell r="C9609" t="str">
            <v>TBA 630:TBA15 OTM100 V630</v>
          </cell>
          <cell r="D9609" t="str">
            <v>Spread Duration</v>
          </cell>
          <cell r="E9609" t="str">
            <v>Spread Yield</v>
          </cell>
          <cell r="F9609" t="str">
            <v>Alternative</v>
          </cell>
          <cell r="G9609" t="str">
            <v>Other</v>
          </cell>
          <cell r="H9609" t="str">
            <v>ALTS</v>
          </cell>
          <cell r="I9609" t="str">
            <v>Mortgage - Moneyness</v>
          </cell>
        </row>
        <row r="9610">
          <cell r="A9610" t="str">
            <v>USD_TBA15_OTM20_V630</v>
          </cell>
          <cell r="B9610" t="str">
            <v>TBA15 OTM200 V630</v>
          </cell>
          <cell r="C9610" t="str">
            <v>TBA 630:TBA15 OTM200 V630</v>
          </cell>
          <cell r="D9610" t="str">
            <v>Spread Duration</v>
          </cell>
          <cell r="E9610" t="str">
            <v>Spread Yield</v>
          </cell>
          <cell r="F9610" t="str">
            <v>Alternative</v>
          </cell>
          <cell r="G9610" t="str">
            <v>Other</v>
          </cell>
          <cell r="H9610" t="str">
            <v>ALTS</v>
          </cell>
          <cell r="I9610" t="str">
            <v>Mortgage - Moneyness</v>
          </cell>
        </row>
        <row r="9611">
          <cell r="A9611" t="str">
            <v>USD_TBA15_OTM25_V630</v>
          </cell>
          <cell r="B9611" t="str">
            <v>TBA15 OTM250 V630</v>
          </cell>
          <cell r="C9611" t="str">
            <v>TBA 630:TBA15 OTM250 V630</v>
          </cell>
          <cell r="D9611" t="str">
            <v>Spread Duration</v>
          </cell>
          <cell r="E9611" t="str">
            <v>Spread Yield</v>
          </cell>
          <cell r="F9611" t="str">
            <v>Alternative</v>
          </cell>
          <cell r="G9611" t="str">
            <v>Other</v>
          </cell>
          <cell r="H9611" t="str">
            <v>ALTS</v>
          </cell>
          <cell r="I9611" t="str">
            <v>Mortgage - Moneyness</v>
          </cell>
        </row>
        <row r="9612">
          <cell r="A9612" t="str">
            <v>USD_TBA15_OTM30_V630</v>
          </cell>
          <cell r="B9612" t="str">
            <v>TBA15 OTM300 V630</v>
          </cell>
          <cell r="C9612" t="str">
            <v>TBA 630:TBA15 OTM300 V630</v>
          </cell>
          <cell r="D9612" t="str">
            <v>Spread Duration</v>
          </cell>
          <cell r="E9612" t="str">
            <v>Spread Yield</v>
          </cell>
          <cell r="F9612" t="str">
            <v>Alternative</v>
          </cell>
          <cell r="G9612" t="str">
            <v>Other</v>
          </cell>
          <cell r="H9612" t="str">
            <v>ALTS</v>
          </cell>
          <cell r="I9612" t="str">
            <v>Mortgage - Moneyness</v>
          </cell>
        </row>
        <row r="9613">
          <cell r="A9613" t="str">
            <v>USD_TBA_ITM5_V630</v>
          </cell>
          <cell r="B9613" t="str">
            <v>TBA30 ITM50 V630</v>
          </cell>
          <cell r="C9613" t="str">
            <v>TBA 630:TBA30 ITM50 V630</v>
          </cell>
          <cell r="D9613" t="str">
            <v>Spread Duration</v>
          </cell>
          <cell r="E9613" t="str">
            <v>Spread Yield</v>
          </cell>
          <cell r="F9613" t="str">
            <v>Alternative</v>
          </cell>
          <cell r="G9613" t="str">
            <v>Other</v>
          </cell>
          <cell r="H9613" t="str">
            <v>ALTS</v>
          </cell>
          <cell r="I9613" t="str">
            <v>Mortgage - Moneyness</v>
          </cell>
        </row>
        <row r="9614">
          <cell r="A9614" t="str">
            <v>USD_TBA_OTM10_V630</v>
          </cell>
          <cell r="B9614" t="str">
            <v>TBA30 OTM100 V630</v>
          </cell>
          <cell r="C9614" t="str">
            <v>TBA 630:TBA30 OTM100 V630</v>
          </cell>
          <cell r="D9614" t="str">
            <v>Spread Duration</v>
          </cell>
          <cell r="E9614" t="str">
            <v>Spread Yield</v>
          </cell>
          <cell r="F9614" t="str">
            <v>Alternative</v>
          </cell>
          <cell r="G9614" t="str">
            <v>Other</v>
          </cell>
          <cell r="H9614" t="str">
            <v>ALTS</v>
          </cell>
          <cell r="I9614" t="str">
            <v>Mortgage - Moneyness</v>
          </cell>
        </row>
        <row r="9615">
          <cell r="A9615" t="str">
            <v>USD_TBA_OTM25_V630</v>
          </cell>
          <cell r="B9615" t="str">
            <v>TBA30 OTM250 V630</v>
          </cell>
          <cell r="C9615" t="str">
            <v>TBA 630:TBA30 OTM250 V630</v>
          </cell>
          <cell r="D9615" t="str">
            <v>Spread Duration</v>
          </cell>
          <cell r="E9615" t="str">
            <v>Spread Yield</v>
          </cell>
          <cell r="F9615" t="str">
            <v>Alternative</v>
          </cell>
          <cell r="G9615" t="str">
            <v>Other</v>
          </cell>
          <cell r="H9615" t="str">
            <v>ALTS</v>
          </cell>
          <cell r="I9615" t="str">
            <v>Mortgage - Moneyness</v>
          </cell>
        </row>
        <row r="9616">
          <cell r="A9616" t="str">
            <v>USD_TBA15_OTM5_V630</v>
          </cell>
          <cell r="B9616" t="str">
            <v>TBA15 OTM50 V630</v>
          </cell>
          <cell r="C9616" t="str">
            <v>TBA 630:TBA15 OTM50 V630</v>
          </cell>
          <cell r="D9616" t="str">
            <v>Spread Duration</v>
          </cell>
          <cell r="E9616" t="str">
            <v>Spread Yield</v>
          </cell>
          <cell r="F9616" t="str">
            <v>Alternative</v>
          </cell>
          <cell r="G9616" t="str">
            <v>Other</v>
          </cell>
          <cell r="H9616" t="str">
            <v>ALTS</v>
          </cell>
          <cell r="I9616" t="str">
            <v>Mortgage - Moneyness</v>
          </cell>
        </row>
        <row r="9617">
          <cell r="A9617" t="str">
            <v>AI_PE2_GEO_AUT</v>
          </cell>
          <cell r="B9617" t="str">
            <v>Austria PE</v>
          </cell>
          <cell r="C9617" t="str">
            <v>Other:Austria PE</v>
          </cell>
          <cell r="D9617" t="str">
            <v>BFRE Country</v>
          </cell>
          <cell r="E9617" t="str">
            <v>Country Return</v>
          </cell>
          <cell r="F9617" t="str">
            <v>ALT PE-Europe</v>
          </cell>
          <cell r="G9617" t="str">
            <v>Other</v>
          </cell>
          <cell r="H9617" t="str">
            <v>ALTS</v>
          </cell>
          <cell r="I9617" t="str">
            <v>Alternative - Private Equity</v>
          </cell>
        </row>
        <row r="9618">
          <cell r="A9618" t="str">
            <v>AI_PE2_GEO_BEL</v>
          </cell>
          <cell r="B9618" t="str">
            <v>Belgium and Luxembourg PE</v>
          </cell>
          <cell r="C9618" t="str">
            <v>Other:Belgium and Luxembourg PE</v>
          </cell>
          <cell r="D9618" t="str">
            <v>BFRE Country</v>
          </cell>
          <cell r="E9618" t="str">
            <v>Country Return</v>
          </cell>
          <cell r="F9618" t="str">
            <v>ALT PE-Europe</v>
          </cell>
          <cell r="G9618" t="str">
            <v>Other</v>
          </cell>
          <cell r="H9618" t="str">
            <v>ALTS</v>
          </cell>
          <cell r="I9618" t="str">
            <v>Alternative - Private Equity</v>
          </cell>
        </row>
        <row r="9619">
          <cell r="A9619" t="str">
            <v>AI_PE2_GEO_DNK</v>
          </cell>
          <cell r="B9619" t="str">
            <v>Denmark PE</v>
          </cell>
          <cell r="C9619" t="str">
            <v>Other:Denmark PE</v>
          </cell>
          <cell r="D9619" t="str">
            <v>BFRE Country</v>
          </cell>
          <cell r="E9619" t="str">
            <v>Country Return</v>
          </cell>
          <cell r="F9619" t="str">
            <v>ALT PE-Europe</v>
          </cell>
          <cell r="G9619" t="str">
            <v>Other</v>
          </cell>
          <cell r="H9619" t="str">
            <v>ALTS</v>
          </cell>
          <cell r="I9619" t="str">
            <v>Alternative - Private Equity</v>
          </cell>
        </row>
        <row r="9620">
          <cell r="A9620" t="str">
            <v>AI_PE2_GEO_FIN</v>
          </cell>
          <cell r="B9620" t="str">
            <v>Finland PE</v>
          </cell>
          <cell r="C9620" t="str">
            <v>Other:Finland PE</v>
          </cell>
          <cell r="D9620" t="str">
            <v>BFRE Country</v>
          </cell>
          <cell r="E9620" t="str">
            <v>Country Return</v>
          </cell>
          <cell r="F9620" t="str">
            <v>ALT PE-Europe</v>
          </cell>
          <cell r="G9620" t="str">
            <v>Other</v>
          </cell>
          <cell r="H9620" t="str">
            <v>ALTS</v>
          </cell>
          <cell r="I9620" t="str">
            <v>Alternative - Private Equity</v>
          </cell>
        </row>
        <row r="9621">
          <cell r="A9621" t="str">
            <v>AI_PE2_GEO_FRA</v>
          </cell>
          <cell r="B9621" t="str">
            <v>France PE</v>
          </cell>
          <cell r="C9621" t="str">
            <v>Other:France PE</v>
          </cell>
          <cell r="D9621" t="str">
            <v>BFRE Country</v>
          </cell>
          <cell r="E9621" t="str">
            <v>Country Return</v>
          </cell>
          <cell r="F9621" t="str">
            <v>ALT PE-Europe</v>
          </cell>
          <cell r="G9621" t="str">
            <v>Other</v>
          </cell>
          <cell r="H9621" t="str">
            <v>ALTS</v>
          </cell>
          <cell r="I9621" t="str">
            <v>Alternative - Private Equity</v>
          </cell>
        </row>
        <row r="9622">
          <cell r="A9622" t="str">
            <v>AI_PE2_GEO_DEU</v>
          </cell>
          <cell r="B9622" t="str">
            <v>Germany PE</v>
          </cell>
          <cell r="C9622" t="str">
            <v>Other:Germany PE</v>
          </cell>
          <cell r="D9622" t="str">
            <v>BFRE Country</v>
          </cell>
          <cell r="E9622" t="str">
            <v>Country Return</v>
          </cell>
          <cell r="F9622" t="str">
            <v>ALT PE-Europe</v>
          </cell>
          <cell r="G9622" t="str">
            <v>Other</v>
          </cell>
          <cell r="H9622" t="str">
            <v>ALTS</v>
          </cell>
          <cell r="I9622" t="str">
            <v>Alternative - Private Equity</v>
          </cell>
        </row>
        <row r="9623">
          <cell r="A9623" t="str">
            <v>AI_PE2_GEO_GRC</v>
          </cell>
          <cell r="B9623" t="str">
            <v>Greece PE</v>
          </cell>
          <cell r="C9623" t="str">
            <v>Other:Greece PE</v>
          </cell>
          <cell r="D9623" t="str">
            <v>BFRE Country</v>
          </cell>
          <cell r="E9623" t="str">
            <v>Country Return</v>
          </cell>
          <cell r="F9623" t="str">
            <v>ALT PE-Europe</v>
          </cell>
          <cell r="G9623" t="str">
            <v>Other</v>
          </cell>
          <cell r="H9623" t="str">
            <v>ALTS</v>
          </cell>
          <cell r="I9623" t="str">
            <v>Alternative - Private Equity</v>
          </cell>
        </row>
        <row r="9624">
          <cell r="A9624" t="str">
            <v>AI_PE2_GEO_IRL</v>
          </cell>
          <cell r="B9624" t="str">
            <v>Ireland PE</v>
          </cell>
          <cell r="C9624" t="str">
            <v>Other:Ireland PE</v>
          </cell>
          <cell r="D9624" t="str">
            <v>BFRE Country</v>
          </cell>
          <cell r="E9624" t="str">
            <v>Country Return</v>
          </cell>
          <cell r="F9624" t="str">
            <v>ALT PE-Europe</v>
          </cell>
          <cell r="G9624" t="str">
            <v>Other</v>
          </cell>
          <cell r="H9624" t="str">
            <v>ALTS</v>
          </cell>
          <cell r="I9624" t="str">
            <v>Alternative - Private Equity</v>
          </cell>
        </row>
        <row r="9625">
          <cell r="A9625" t="str">
            <v>AI_PE2_GEO_ITA</v>
          </cell>
          <cell r="B9625" t="str">
            <v>Italy PE</v>
          </cell>
          <cell r="C9625" t="str">
            <v>Other:Italy PE</v>
          </cell>
          <cell r="D9625" t="str">
            <v>BFRE Country</v>
          </cell>
          <cell r="E9625" t="str">
            <v>Country Return</v>
          </cell>
          <cell r="F9625" t="str">
            <v>ALT PE-Europe</v>
          </cell>
          <cell r="G9625" t="str">
            <v>Other</v>
          </cell>
          <cell r="H9625" t="str">
            <v>ALTS</v>
          </cell>
          <cell r="I9625" t="str">
            <v>Alternative - Private Equity</v>
          </cell>
        </row>
        <row r="9626">
          <cell r="A9626" t="str">
            <v>AI_PE2_GEO_NLD</v>
          </cell>
          <cell r="B9626" t="str">
            <v>Netherlands PE</v>
          </cell>
          <cell r="C9626" t="str">
            <v>Other:Netherlands PE</v>
          </cell>
          <cell r="D9626" t="str">
            <v>BFRE Country</v>
          </cell>
          <cell r="E9626" t="str">
            <v>Country Return</v>
          </cell>
          <cell r="F9626" t="str">
            <v>ALT PE-Europe</v>
          </cell>
          <cell r="G9626" t="str">
            <v>Other</v>
          </cell>
          <cell r="H9626" t="str">
            <v>ALTS</v>
          </cell>
          <cell r="I9626" t="str">
            <v>Alternative - Private Equity</v>
          </cell>
        </row>
        <row r="9627">
          <cell r="A9627" t="str">
            <v>AI_PE2_GEO_NOR</v>
          </cell>
          <cell r="B9627" t="str">
            <v>Norway PE</v>
          </cell>
          <cell r="C9627" t="str">
            <v>Other:Norway PE</v>
          </cell>
          <cell r="D9627" t="str">
            <v>BFRE Country</v>
          </cell>
          <cell r="E9627" t="str">
            <v>Country Return</v>
          </cell>
          <cell r="F9627" t="str">
            <v>ALT PE-Europe</v>
          </cell>
          <cell r="G9627" t="str">
            <v>Other</v>
          </cell>
          <cell r="H9627" t="str">
            <v>ALTS</v>
          </cell>
          <cell r="I9627" t="str">
            <v>Alternative - Private Equity</v>
          </cell>
        </row>
        <row r="9628">
          <cell r="A9628" t="str">
            <v>AI_PE2_GEO_POL</v>
          </cell>
          <cell r="B9628" t="str">
            <v>Poland PE</v>
          </cell>
          <cell r="C9628" t="str">
            <v>Other:Poland PE</v>
          </cell>
          <cell r="D9628" t="str">
            <v>BFRE Country</v>
          </cell>
          <cell r="E9628" t="str">
            <v>Country Return</v>
          </cell>
          <cell r="F9628" t="str">
            <v>ALT PE-Emerging Markets</v>
          </cell>
          <cell r="G9628" t="str">
            <v>Other</v>
          </cell>
          <cell r="H9628" t="str">
            <v>ALTS</v>
          </cell>
          <cell r="I9628" t="str">
            <v>Alternative - Private Equity</v>
          </cell>
        </row>
        <row r="9629">
          <cell r="A9629" t="str">
            <v>AI_PE2_GEO_ROU</v>
          </cell>
          <cell r="B9629" t="str">
            <v>Romania PE</v>
          </cell>
          <cell r="C9629" t="str">
            <v>Other:Romania PE</v>
          </cell>
          <cell r="D9629" t="str">
            <v>BFRE Country</v>
          </cell>
          <cell r="E9629" t="str">
            <v>Country Return</v>
          </cell>
          <cell r="F9629" t="str">
            <v>ALT PE-Emerging Markets</v>
          </cell>
          <cell r="G9629" t="str">
            <v>Other</v>
          </cell>
          <cell r="H9629" t="str">
            <v>ALTS</v>
          </cell>
          <cell r="I9629" t="str">
            <v>Alternative - Private Equity</v>
          </cell>
        </row>
        <row r="9630">
          <cell r="A9630" t="str">
            <v>AI_PE2_GEO_RUS</v>
          </cell>
          <cell r="B9630" t="str">
            <v>Russian Federation PE</v>
          </cell>
          <cell r="C9630" t="str">
            <v>Other:Russian Federation PE</v>
          </cell>
          <cell r="D9630" t="str">
            <v>BFRE Country</v>
          </cell>
          <cell r="E9630" t="str">
            <v>Country Return</v>
          </cell>
          <cell r="F9630" t="str">
            <v>ALT PE-Emerging Markets</v>
          </cell>
          <cell r="G9630" t="str">
            <v>Other</v>
          </cell>
          <cell r="H9630" t="str">
            <v>ALTS</v>
          </cell>
          <cell r="I9630" t="str">
            <v>Alternative - Private Equity</v>
          </cell>
        </row>
        <row r="9631">
          <cell r="A9631" t="str">
            <v>AI_PE2_GEO_ESP</v>
          </cell>
          <cell r="B9631" t="str">
            <v>Spain PE</v>
          </cell>
          <cell r="C9631" t="str">
            <v>Other:Spain PE</v>
          </cell>
          <cell r="D9631" t="str">
            <v>BFRE Country</v>
          </cell>
          <cell r="E9631" t="str">
            <v>Country Return</v>
          </cell>
          <cell r="F9631" t="str">
            <v>ALT PE-Europe</v>
          </cell>
          <cell r="G9631" t="str">
            <v>Other</v>
          </cell>
          <cell r="H9631" t="str">
            <v>ALTS</v>
          </cell>
          <cell r="I9631" t="str">
            <v>Alternative - Private Equity</v>
          </cell>
        </row>
        <row r="9632">
          <cell r="A9632" t="str">
            <v>AI_PE2_GEO_SWE</v>
          </cell>
          <cell r="B9632" t="str">
            <v>Sweden PE</v>
          </cell>
          <cell r="C9632" t="str">
            <v>Other:Sweden PE</v>
          </cell>
          <cell r="D9632" t="str">
            <v>BFRE Country</v>
          </cell>
          <cell r="E9632" t="str">
            <v>Country Return</v>
          </cell>
          <cell r="F9632" t="str">
            <v>ALT PE-Europe</v>
          </cell>
          <cell r="G9632" t="str">
            <v>Other</v>
          </cell>
          <cell r="H9632" t="str">
            <v>ALTS</v>
          </cell>
          <cell r="I9632" t="str">
            <v>Alternative - Private Equity</v>
          </cell>
        </row>
        <row r="9633">
          <cell r="A9633" t="str">
            <v>AI_PE2_GEO_CHE</v>
          </cell>
          <cell r="B9633" t="str">
            <v>Switzerland PE</v>
          </cell>
          <cell r="C9633" t="str">
            <v>Other:Switzerland PE</v>
          </cell>
          <cell r="D9633" t="str">
            <v>BFRE Country</v>
          </cell>
          <cell r="E9633" t="str">
            <v>Country Return</v>
          </cell>
          <cell r="F9633" t="str">
            <v>ALT PE-Europe</v>
          </cell>
          <cell r="G9633" t="str">
            <v>Other</v>
          </cell>
          <cell r="H9633" t="str">
            <v>ALTS</v>
          </cell>
          <cell r="I9633" t="str">
            <v>Alternative - Private Equity</v>
          </cell>
        </row>
        <row r="9634">
          <cell r="A9634" t="str">
            <v>AI_PE2_GEO_TUR</v>
          </cell>
          <cell r="B9634" t="str">
            <v>Turkey PE</v>
          </cell>
          <cell r="C9634" t="str">
            <v>Other:Turkey PE</v>
          </cell>
          <cell r="D9634" t="str">
            <v>BFRE Country</v>
          </cell>
          <cell r="E9634" t="str">
            <v>Country Return</v>
          </cell>
          <cell r="F9634" t="str">
            <v>ALT PE-Emerging Markets</v>
          </cell>
          <cell r="G9634" t="str">
            <v>Other</v>
          </cell>
          <cell r="H9634" t="str">
            <v>ALTS</v>
          </cell>
          <cell r="I9634" t="str">
            <v>Alternative - Private Equity</v>
          </cell>
        </row>
        <row r="9635">
          <cell r="A9635" t="str">
            <v>AI_PE2_GEO_GBR</v>
          </cell>
          <cell r="B9635" t="str">
            <v>United Kingdom PE</v>
          </cell>
          <cell r="C9635" t="str">
            <v>Other:United Kingdom PE</v>
          </cell>
          <cell r="D9635" t="str">
            <v>BFRE Country</v>
          </cell>
          <cell r="E9635" t="str">
            <v>Country Return</v>
          </cell>
          <cell r="F9635" t="str">
            <v>ALT PE-Europe</v>
          </cell>
          <cell r="G9635" t="str">
            <v>Other</v>
          </cell>
          <cell r="H9635" t="str">
            <v>ALTS</v>
          </cell>
          <cell r="I9635" t="str">
            <v>Alternative - Private Equity</v>
          </cell>
        </row>
        <row r="9636">
          <cell r="A9636" t="str">
            <v>CAD_JPY_FX2_USD</v>
          </cell>
          <cell r="B9636" t="str">
            <v>CAD/USD*JPY/USD</v>
          </cell>
          <cell r="C9636" t="str">
            <v>Foreign Exchange^2:CAD/USD*JPY/USD</v>
          </cell>
          <cell r="D9636" t="str">
            <v>FX</v>
          </cell>
          <cell r="E9636" t="str">
            <v>FX</v>
          </cell>
          <cell r="F9636" t="str">
            <v>Other</v>
          </cell>
          <cell r="G9636" t="str">
            <v>Other</v>
          </cell>
          <cell r="H9636" t="str">
            <v>OTHER</v>
          </cell>
          <cell r="I9636" t="str">
            <v>FX^2</v>
          </cell>
        </row>
        <row r="9637">
          <cell r="A9637" t="str">
            <v>USD_ARM_AGY_10_1_V630</v>
          </cell>
          <cell r="B9637" t="str">
            <v>10/1 Conventional Hyb ARM V630</v>
          </cell>
          <cell r="C9637" t="str">
            <v>Mortgage Basis:10/1 Conventional Hyb ARM V630</v>
          </cell>
          <cell r="D9637" t="str">
            <v>Spread Duration</v>
          </cell>
          <cell r="E9637" t="str">
            <v>Spread Yield</v>
          </cell>
          <cell r="F9637" t="str">
            <v>Alternative</v>
          </cell>
          <cell r="G9637" t="str">
            <v>Other</v>
          </cell>
          <cell r="H9637" t="str">
            <v>ALTS</v>
          </cell>
          <cell r="I9637" t="str">
            <v>Mortgage - Moneyness</v>
          </cell>
        </row>
        <row r="9638">
          <cell r="A9638" t="str">
            <v>USD_ARM_AGY_5_1_V630</v>
          </cell>
          <cell r="B9638" t="str">
            <v>5/1 Conventional Hyb ARM V630</v>
          </cell>
          <cell r="C9638" t="str">
            <v>Mortgage Basis:5/1 Conventional Hyb ARM V630</v>
          </cell>
          <cell r="D9638" t="str">
            <v>Spread Duration</v>
          </cell>
          <cell r="E9638" t="str">
            <v>Spread Yield</v>
          </cell>
          <cell r="F9638" t="str">
            <v>Alternative</v>
          </cell>
          <cell r="G9638" t="str">
            <v>Other</v>
          </cell>
          <cell r="H9638" t="str">
            <v>ALTS</v>
          </cell>
          <cell r="I9638" t="str">
            <v>Mortgage - Moneyness</v>
          </cell>
        </row>
        <row r="9639">
          <cell r="A9639" t="str">
            <v>USD_ARM_AGY_7_1_V630</v>
          </cell>
          <cell r="B9639" t="str">
            <v>7/1 Conventional Hyb ARM V630</v>
          </cell>
          <cell r="C9639" t="str">
            <v>Mortgage Basis:7/1 Conventional Hyb ARM V630</v>
          </cell>
          <cell r="D9639" t="str">
            <v>Spread Duration</v>
          </cell>
          <cell r="E9639" t="str">
            <v>Spread Yield</v>
          </cell>
          <cell r="F9639" t="str">
            <v>Alternative</v>
          </cell>
          <cell r="G9639" t="str">
            <v>Other</v>
          </cell>
          <cell r="H9639" t="str">
            <v>ALTS</v>
          </cell>
          <cell r="I9639" t="str">
            <v>Mortgage - Moneyness</v>
          </cell>
        </row>
        <row r="9640">
          <cell r="A9640" t="str">
            <v>USD_TBA_ITM10_V630</v>
          </cell>
          <cell r="B9640" t="str">
            <v>TBA30 ITM100 V630</v>
          </cell>
          <cell r="C9640" t="str">
            <v>TBA 630:TBA30 ITM100 V630</v>
          </cell>
          <cell r="D9640" t="str">
            <v>Spread Duration</v>
          </cell>
          <cell r="E9640" t="str">
            <v>Spread Yield</v>
          </cell>
          <cell r="F9640" t="str">
            <v>Alternative</v>
          </cell>
          <cell r="G9640" t="str">
            <v>Other</v>
          </cell>
          <cell r="H9640" t="str">
            <v>ALTS</v>
          </cell>
          <cell r="I9640" t="str">
            <v>Mortgage - Moneyness</v>
          </cell>
        </row>
        <row r="9641">
          <cell r="A9641" t="str">
            <v>USD_TBA_ITM15_V630</v>
          </cell>
          <cell r="B9641" t="str">
            <v>TBA30 ITM150 V630</v>
          </cell>
          <cell r="C9641" t="str">
            <v>TBA 630:TBA30 ITM150 V630</v>
          </cell>
          <cell r="D9641" t="str">
            <v>Spread Duration</v>
          </cell>
          <cell r="E9641" t="str">
            <v>Spread Yield</v>
          </cell>
          <cell r="F9641" t="str">
            <v>Alternative</v>
          </cell>
          <cell r="G9641" t="str">
            <v>Other</v>
          </cell>
          <cell r="H9641" t="str">
            <v>ALTS</v>
          </cell>
          <cell r="I9641" t="str">
            <v>Mortgage - Moneyness</v>
          </cell>
        </row>
        <row r="9642">
          <cell r="A9642" t="str">
            <v>USD_TBA15_ATM_V630</v>
          </cell>
          <cell r="B9642" t="str">
            <v>TBA15 ATM V630</v>
          </cell>
          <cell r="C9642" t="str">
            <v>TBA 630:TBA15 ATM V630</v>
          </cell>
          <cell r="D9642" t="str">
            <v>Spread Duration</v>
          </cell>
          <cell r="E9642" t="str">
            <v>Spread Yield</v>
          </cell>
          <cell r="F9642" t="str">
            <v>Alternative</v>
          </cell>
          <cell r="G9642" t="str">
            <v>Other</v>
          </cell>
          <cell r="H9642" t="str">
            <v>ALTS</v>
          </cell>
          <cell r="I9642" t="str">
            <v>Mortgage - Moneyness</v>
          </cell>
        </row>
        <row r="9643">
          <cell r="A9643" t="str">
            <v>USD_TBA15_ITM10_V630</v>
          </cell>
          <cell r="B9643" t="str">
            <v>TBA15 ITM100 V630</v>
          </cell>
          <cell r="C9643" t="str">
            <v>TBA 630:TBA15 ITM100 V630</v>
          </cell>
          <cell r="D9643" t="str">
            <v>Spread Duration</v>
          </cell>
          <cell r="E9643" t="str">
            <v>Spread Yield</v>
          </cell>
          <cell r="F9643" t="str">
            <v>Alternative</v>
          </cell>
          <cell r="G9643" t="str">
            <v>Other</v>
          </cell>
          <cell r="H9643" t="str">
            <v>ALTS</v>
          </cell>
          <cell r="I9643" t="str">
            <v>Mortgage - Moneyness</v>
          </cell>
        </row>
        <row r="9644">
          <cell r="A9644" t="str">
            <v>USD_TBA15_ITM5_V630</v>
          </cell>
          <cell r="B9644" t="str">
            <v>TBA15 ITM50 V630</v>
          </cell>
          <cell r="C9644" t="str">
            <v>TBA 630:TBA15 ITM50 V630</v>
          </cell>
          <cell r="D9644" t="str">
            <v>Spread Duration</v>
          </cell>
          <cell r="E9644" t="str">
            <v>Spread Yield</v>
          </cell>
          <cell r="F9644" t="str">
            <v>Alternative</v>
          </cell>
          <cell r="G9644" t="str">
            <v>Other</v>
          </cell>
          <cell r="H9644" t="str">
            <v>ALTS</v>
          </cell>
          <cell r="I9644" t="str">
            <v>Mortgage - Moneyness</v>
          </cell>
        </row>
        <row r="9645">
          <cell r="A9645" t="str">
            <v>USD_CMO_IO_OTM5_V620</v>
          </cell>
          <cell r="B9645" t="str">
            <v>CMO IO OTM50 V620</v>
          </cell>
          <cell r="C9645" t="str">
            <v>Mortgage Basis:CMO IO OTM50 V620</v>
          </cell>
          <cell r="D9645" t="str">
            <v>Spread Duration</v>
          </cell>
          <cell r="E9645" t="str">
            <v>Spread Yield</v>
          </cell>
          <cell r="F9645" t="str">
            <v>Alternative</v>
          </cell>
          <cell r="G9645" t="str">
            <v>Other</v>
          </cell>
          <cell r="H9645" t="str">
            <v>ALTS</v>
          </cell>
          <cell r="I9645" t="str">
            <v>Mortgage - Moneyness</v>
          </cell>
        </row>
        <row r="9646">
          <cell r="A9646" t="str">
            <v>CHF_ARR</v>
          </cell>
          <cell r="B9646" t="str">
            <v>CHF SARON Sprd</v>
          </cell>
          <cell r="C9646" t="str">
            <v>CHF SARON Sprd</v>
          </cell>
          <cell r="F9646" t="str">
            <v>SP-Other</v>
          </cell>
          <cell r="G9646" t="str">
            <v>SP-Other</v>
          </cell>
          <cell r="H9646" t="str">
            <v>SPREADS</v>
          </cell>
          <cell r="I9646" t="str">
            <v>Swap Spread - OIS</v>
          </cell>
        </row>
        <row r="9647">
          <cell r="A9647" t="str">
            <v>USD_normvol_sofr_6m_15y</v>
          </cell>
          <cell r="B9647" t="str">
            <v>Norm Impl SOFR Vol 6Mx15</v>
          </cell>
          <cell r="C9647" t="str">
            <v>Swaption Vol:Norm Impl SOFR Vol 6Mx15</v>
          </cell>
          <cell r="D9647" t="str">
            <v>Implied Vol Duration</v>
          </cell>
          <cell r="E9647" t="str">
            <v>Implied Vol</v>
          </cell>
          <cell r="F9647" t="str">
            <v>Rates Implied Volatility</v>
          </cell>
          <cell r="G9647" t="str">
            <v>Other</v>
          </cell>
          <cell r="H9647" t="str">
            <v>VOLATILITY</v>
          </cell>
          <cell r="I9647" t="str">
            <v>Rates Implied Volatility</v>
          </cell>
        </row>
        <row r="9648">
          <cell r="A9648" t="str">
            <v>USD_normvol_sofr_1y_5y</v>
          </cell>
          <cell r="B9648" t="str">
            <v>Norm Impl SOFR Vol 1x5</v>
          </cell>
          <cell r="C9648" t="str">
            <v>Swaption Vol:Norm Impl SOFR Vol 1x5</v>
          </cell>
          <cell r="D9648" t="str">
            <v>Implied Vol Duration</v>
          </cell>
          <cell r="E9648" t="str">
            <v>Implied Vol</v>
          </cell>
          <cell r="F9648" t="str">
            <v>Rates Implied Volatility</v>
          </cell>
          <cell r="G9648" t="str">
            <v>Other</v>
          </cell>
          <cell r="H9648" t="str">
            <v>VOLATILITY</v>
          </cell>
          <cell r="I9648" t="str">
            <v>Rates Implied Volatility</v>
          </cell>
        </row>
        <row r="9649">
          <cell r="A9649" t="str">
            <v>ALL_CMO_V630</v>
          </cell>
          <cell r="B9649" t="str">
            <v>Non$ CMO V630</v>
          </cell>
          <cell r="C9649" t="str">
            <v>Mortgage Basis:Non$ CMO V630</v>
          </cell>
          <cell r="D9649" t="str">
            <v>Spread Duration</v>
          </cell>
          <cell r="E9649" t="str">
            <v>Spread Yield</v>
          </cell>
          <cell r="F9649" t="str">
            <v>Alternative</v>
          </cell>
          <cell r="G9649" t="str">
            <v>Other</v>
          </cell>
          <cell r="H9649" t="str">
            <v>ALTS</v>
          </cell>
          <cell r="I9649" t="str">
            <v>Mortgage - Moneyness</v>
          </cell>
        </row>
        <row r="9650">
          <cell r="A9650" t="str">
            <v>EUR_EM_DS_G</v>
          </cell>
          <cell r="B9650" t="str">
            <v>EMBIG DxS</v>
          </cell>
          <cell r="C9650" t="str">
            <v>EM Factors:EMBIG DxS</v>
          </cell>
          <cell r="D9650" t="str">
            <v>Spread Duration</v>
          </cell>
          <cell r="E9650" t="str">
            <v>Spread Yield (DxS)</v>
          </cell>
          <cell r="F9650" t="str">
            <v>SP-Spread Emerging Markets - Country</v>
          </cell>
          <cell r="G9650" t="str">
            <v>SP-Spread Emerging Markets</v>
          </cell>
          <cell r="H9650" t="str">
            <v>SPREADS</v>
          </cell>
          <cell r="I9650" t="str">
            <v>Spread Emerging Markets - Country</v>
          </cell>
        </row>
        <row r="9651">
          <cell r="A9651" t="str">
            <v>USD_CMO_IO_OTM10_V630</v>
          </cell>
          <cell r="B9651" t="str">
            <v>CMO IO OTM100 V630</v>
          </cell>
          <cell r="C9651" t="str">
            <v>Mortgage Basis:CMO IO OTM100 V630</v>
          </cell>
          <cell r="D9651" t="str">
            <v>Spread Duration</v>
          </cell>
          <cell r="E9651" t="str">
            <v>Spread Yield</v>
          </cell>
          <cell r="F9651" t="str">
            <v>Alternative</v>
          </cell>
          <cell r="G9651" t="str">
            <v>Other</v>
          </cell>
          <cell r="H9651" t="str">
            <v>ALTS</v>
          </cell>
          <cell r="I9651" t="str">
            <v>Mortgage - Moneyness</v>
          </cell>
        </row>
        <row r="9652">
          <cell r="A9652" t="str">
            <v>USD_CMO_IO_OTM15_V630</v>
          </cell>
          <cell r="B9652" t="str">
            <v>CMO IO OTM150 V630</v>
          </cell>
          <cell r="C9652" t="str">
            <v>Mortgage Basis:CMO IO OTM150 V630</v>
          </cell>
          <cell r="D9652" t="str">
            <v>Spread Duration</v>
          </cell>
          <cell r="E9652" t="str">
            <v>Spread Yield</v>
          </cell>
          <cell r="F9652" t="str">
            <v>Alternative</v>
          </cell>
          <cell r="G9652" t="str">
            <v>Other</v>
          </cell>
          <cell r="H9652" t="str">
            <v>ALTS</v>
          </cell>
          <cell r="I9652" t="str">
            <v>Mortgage - Moneyness</v>
          </cell>
        </row>
        <row r="9653">
          <cell r="A9653" t="str">
            <v>USD_CMO_IO_OTM20_V630</v>
          </cell>
          <cell r="B9653" t="str">
            <v>CMO IO OTM200 V630</v>
          </cell>
          <cell r="C9653" t="str">
            <v>Mortgage Basis:CMO IO OTM200 V630</v>
          </cell>
          <cell r="D9653" t="str">
            <v>Spread Duration</v>
          </cell>
          <cell r="E9653" t="str">
            <v>Spread Yield</v>
          </cell>
          <cell r="F9653" t="str">
            <v>Alternative</v>
          </cell>
          <cell r="G9653" t="str">
            <v>Other</v>
          </cell>
          <cell r="H9653" t="str">
            <v>ALTS</v>
          </cell>
          <cell r="I9653" t="str">
            <v>Mortgage - Moneyness</v>
          </cell>
        </row>
        <row r="9654">
          <cell r="A9654" t="str">
            <v>USD_CMO_IO_OTM25_V630</v>
          </cell>
          <cell r="B9654" t="str">
            <v>CMO IO OTM250 V630</v>
          </cell>
          <cell r="C9654" t="str">
            <v>Mortgage Basis:CMO IO OTM250 V630</v>
          </cell>
          <cell r="D9654" t="str">
            <v>Spread Duration</v>
          </cell>
          <cell r="E9654" t="str">
            <v>Spread Yield</v>
          </cell>
          <cell r="F9654" t="str">
            <v>Alternative</v>
          </cell>
          <cell r="G9654" t="str">
            <v>Other</v>
          </cell>
          <cell r="H9654" t="str">
            <v>ALTS</v>
          </cell>
          <cell r="I9654" t="str">
            <v>Mortgage - Moneyness</v>
          </cell>
        </row>
        <row r="9655">
          <cell r="A9655" t="str">
            <v>USD_CMO_IO_OTM30_V630</v>
          </cell>
          <cell r="B9655" t="str">
            <v>CMO IO OTM300 V630</v>
          </cell>
          <cell r="C9655" t="str">
            <v>Mortgage Basis:CMO IO OTM300 V630</v>
          </cell>
          <cell r="D9655" t="str">
            <v>Spread Duration</v>
          </cell>
          <cell r="E9655" t="str">
            <v>Spread Yield</v>
          </cell>
          <cell r="F9655" t="str">
            <v>Alternative</v>
          </cell>
          <cell r="G9655" t="str">
            <v>Other</v>
          </cell>
          <cell r="H9655" t="str">
            <v>ALTS</v>
          </cell>
          <cell r="I9655" t="str">
            <v>Mortgage - Moneyness</v>
          </cell>
        </row>
        <row r="9656">
          <cell r="A9656" t="str">
            <v>USD_CMO_IO_OTM35_V630</v>
          </cell>
          <cell r="B9656" t="str">
            <v>CMO IO OTM350 V630</v>
          </cell>
          <cell r="C9656" t="str">
            <v>Mortgage Basis:CMO IO OTM350 V630</v>
          </cell>
          <cell r="D9656" t="str">
            <v>Spread Duration</v>
          </cell>
          <cell r="E9656" t="str">
            <v>Spread Yield</v>
          </cell>
          <cell r="F9656" t="str">
            <v>Alternative</v>
          </cell>
          <cell r="G9656" t="str">
            <v>Other</v>
          </cell>
          <cell r="H9656" t="str">
            <v>ALTS</v>
          </cell>
          <cell r="I9656" t="str">
            <v>Mortgage - Moneyness</v>
          </cell>
        </row>
        <row r="9657">
          <cell r="A9657" t="str">
            <v>USD_CMO_PAC_LNG_V630</v>
          </cell>
          <cell r="B9657" t="str">
            <v>CMO PAC Long V630</v>
          </cell>
          <cell r="C9657" t="str">
            <v>Mortgage Basis:CMO PAC Long V630</v>
          </cell>
          <cell r="D9657" t="str">
            <v>Spread Duration</v>
          </cell>
          <cell r="E9657" t="str">
            <v>Spread Yield</v>
          </cell>
          <cell r="F9657" t="str">
            <v>Alternative</v>
          </cell>
          <cell r="G9657" t="str">
            <v>Other</v>
          </cell>
          <cell r="H9657" t="str">
            <v>ALTS</v>
          </cell>
          <cell r="I9657" t="str">
            <v>Mortgage - Moneyness</v>
          </cell>
        </row>
        <row r="9658">
          <cell r="A9658" t="str">
            <v>USD_CMO_V630</v>
          </cell>
          <cell r="B9658" t="str">
            <v>CMO V630</v>
          </cell>
          <cell r="C9658" t="str">
            <v>Mortgage Basis:CMO V630</v>
          </cell>
          <cell r="D9658" t="str">
            <v>Spread Duration</v>
          </cell>
          <cell r="E9658" t="str">
            <v>Spread Yield</v>
          </cell>
          <cell r="F9658" t="str">
            <v>Alternative</v>
          </cell>
          <cell r="G9658" t="str">
            <v>Other</v>
          </cell>
          <cell r="H9658" t="str">
            <v>ALTS</v>
          </cell>
          <cell r="I9658" t="str">
            <v>Mortgage - Moneyness</v>
          </cell>
        </row>
        <row r="9659">
          <cell r="A9659" t="str">
            <v>USD_EM_DS_EE_MAT5</v>
          </cell>
          <cell r="B9659" t="str">
            <v>EM E Europe Mat 5</v>
          </cell>
          <cell r="C9659" t="str">
            <v>EM Factors:EM E Europe Mat 5</v>
          </cell>
          <cell r="D9659" t="str">
            <v>Spread Duration</v>
          </cell>
          <cell r="E9659" t="str">
            <v>Spread Yield (DxS)</v>
          </cell>
          <cell r="F9659" t="str">
            <v>SP-Spread Emerging Markets - Maturity</v>
          </cell>
          <cell r="G9659" t="str">
            <v>SP-Spread Emerging Markets</v>
          </cell>
          <cell r="H9659" t="str">
            <v>SPREADS</v>
          </cell>
          <cell r="I9659" t="str">
            <v>Spread Emerging Markets - Maturity</v>
          </cell>
        </row>
        <row r="9660">
          <cell r="A9660" t="str">
            <v>USD_EM_DS_ME_MAT1</v>
          </cell>
          <cell r="B9660" t="str">
            <v>EM Mid East Mat 1</v>
          </cell>
          <cell r="C9660" t="str">
            <v>EM Factors:EM Mid East Mat 1</v>
          </cell>
          <cell r="D9660" t="str">
            <v>Spread Duration</v>
          </cell>
          <cell r="E9660" t="str">
            <v>Spread Yield (DxS)</v>
          </cell>
          <cell r="F9660" t="str">
            <v>SP-Spread Emerging Markets - Maturity</v>
          </cell>
          <cell r="G9660" t="str">
            <v>SP-Spread Emerging Markets</v>
          </cell>
          <cell r="H9660" t="str">
            <v>SPREADS</v>
          </cell>
          <cell r="I9660" t="str">
            <v>Spread Emerging Markets - Maturity</v>
          </cell>
        </row>
        <row r="9661">
          <cell r="A9661" t="str">
            <v>USD_EM_DS_AF_MAT1</v>
          </cell>
          <cell r="B9661" t="str">
            <v>EM Africa Mat 1</v>
          </cell>
          <cell r="C9661" t="str">
            <v>EM Factors:EM Africa Mat 1</v>
          </cell>
          <cell r="D9661" t="str">
            <v>Spread Duration</v>
          </cell>
          <cell r="E9661" t="str">
            <v>Spread Yield (DxS)</v>
          </cell>
          <cell r="F9661" t="str">
            <v>SP-Spread Emerging Markets - Maturity</v>
          </cell>
          <cell r="G9661" t="str">
            <v>SP-Spread Emerging Markets</v>
          </cell>
          <cell r="H9661" t="str">
            <v>SPREADS</v>
          </cell>
          <cell r="I9661" t="str">
            <v>Spread Emerging Markets - Maturity</v>
          </cell>
        </row>
        <row r="9662">
          <cell r="A9662" t="str">
            <v>USD_EM_DS_AF_MAT3</v>
          </cell>
          <cell r="B9662" t="str">
            <v>EM Africa Mat 3</v>
          </cell>
          <cell r="C9662" t="str">
            <v>EM Factors:EM Africa Mat 3</v>
          </cell>
          <cell r="D9662" t="str">
            <v>Spread Duration</v>
          </cell>
          <cell r="E9662" t="str">
            <v>Spread Yield (DxS)</v>
          </cell>
          <cell r="F9662" t="str">
            <v>SP-Spread Emerging Markets - Maturity</v>
          </cell>
          <cell r="G9662" t="str">
            <v>SP-Spread Emerging Markets</v>
          </cell>
          <cell r="H9662" t="str">
            <v>SPREADS</v>
          </cell>
          <cell r="I9662" t="str">
            <v>Spread Emerging Markets - Maturity</v>
          </cell>
        </row>
        <row r="9663">
          <cell r="A9663" t="str">
            <v>USD_EM_DS_AF_MAT5</v>
          </cell>
          <cell r="B9663" t="str">
            <v>EM Africa Mat 5</v>
          </cell>
          <cell r="C9663" t="str">
            <v>EM Factors:EM Africa Mat 5</v>
          </cell>
          <cell r="D9663" t="str">
            <v>Spread Duration</v>
          </cell>
          <cell r="E9663" t="str">
            <v>Spread Yield (DxS)</v>
          </cell>
          <cell r="F9663" t="str">
            <v>SP-Spread Emerging Markets - Maturity</v>
          </cell>
          <cell r="G9663" t="str">
            <v>SP-Spread Emerging Markets</v>
          </cell>
          <cell r="H9663" t="str">
            <v>SPREADS</v>
          </cell>
          <cell r="I9663" t="str">
            <v>Spread Emerging Markets - Maturity</v>
          </cell>
        </row>
        <row r="9664">
          <cell r="A9664" t="str">
            <v>USD_EM_DS_EE_MAT1</v>
          </cell>
          <cell r="B9664" t="str">
            <v>EM E Europe Mat 1</v>
          </cell>
          <cell r="C9664" t="str">
            <v>EM Factors:EM E Europe Mat 1</v>
          </cell>
          <cell r="D9664" t="str">
            <v>Spread Duration</v>
          </cell>
          <cell r="E9664" t="str">
            <v>Spread Yield (DxS)</v>
          </cell>
          <cell r="F9664" t="str">
            <v>SP-Spread Emerging Markets - Maturity</v>
          </cell>
          <cell r="G9664" t="str">
            <v>SP-Spread Emerging Markets</v>
          </cell>
          <cell r="H9664" t="str">
            <v>SPREADS</v>
          </cell>
          <cell r="I9664" t="str">
            <v>Spread Emerging Markets - Maturity</v>
          </cell>
        </row>
        <row r="9665">
          <cell r="A9665" t="str">
            <v>USD_EM_DS_EE_MAT3</v>
          </cell>
          <cell r="B9665" t="str">
            <v>EM E Europe Mat 3</v>
          </cell>
          <cell r="C9665" t="str">
            <v>EM Factors:EM E Europe Mat 3</v>
          </cell>
          <cell r="D9665" t="str">
            <v>Spread Duration</v>
          </cell>
          <cell r="E9665" t="str">
            <v>Spread Yield (DxS)</v>
          </cell>
          <cell r="F9665" t="str">
            <v>SP-Spread Emerging Markets - Maturity</v>
          </cell>
          <cell r="G9665" t="str">
            <v>SP-Spread Emerging Markets</v>
          </cell>
          <cell r="H9665" t="str">
            <v>SPREADS</v>
          </cell>
          <cell r="I9665" t="str">
            <v>Spread Emerging Markets - Maturity</v>
          </cell>
        </row>
        <row r="9666">
          <cell r="A9666" t="str">
            <v>USD_EM_DS_ME_MAT3</v>
          </cell>
          <cell r="B9666" t="str">
            <v>EM Mid East Mat 3</v>
          </cell>
          <cell r="C9666" t="str">
            <v>EM Factors:EM Mid East Mat 3</v>
          </cell>
          <cell r="D9666" t="str">
            <v>Spread Duration</v>
          </cell>
          <cell r="E9666" t="str">
            <v>Spread Yield (DxS)</v>
          </cell>
          <cell r="F9666" t="str">
            <v>SP-Spread Emerging Markets - Maturity</v>
          </cell>
          <cell r="G9666" t="str">
            <v>SP-Spread Emerging Markets</v>
          </cell>
          <cell r="H9666" t="str">
            <v>SPREADS</v>
          </cell>
          <cell r="I9666" t="str">
            <v>Spread Emerging Markets - Maturity</v>
          </cell>
        </row>
        <row r="9667">
          <cell r="A9667" t="str">
            <v>USD_EM_DS_ME_MAT5</v>
          </cell>
          <cell r="B9667" t="str">
            <v>EM Mid East Mat 5</v>
          </cell>
          <cell r="C9667" t="str">
            <v>EM Factors:EM Mid East Mat 5</v>
          </cell>
          <cell r="D9667" t="str">
            <v>Spread Duration</v>
          </cell>
          <cell r="E9667" t="str">
            <v>Spread Yield (DxS)</v>
          </cell>
          <cell r="F9667" t="str">
            <v>SP-Spread Emerging Markets - Maturity</v>
          </cell>
          <cell r="G9667" t="str">
            <v>SP-Spread Emerging Markets</v>
          </cell>
          <cell r="H9667" t="str">
            <v>SPREADS</v>
          </cell>
          <cell r="I9667" t="str">
            <v>Spread Emerging Markets - Maturity</v>
          </cell>
        </row>
        <row r="9668">
          <cell r="A9668" t="str">
            <v>USD_EM_DS_SA_MAT1</v>
          </cell>
          <cell r="B9668" t="str">
            <v>EM S America Mat 1</v>
          </cell>
          <cell r="C9668" t="str">
            <v>EM Factors:EM S America Mat 1</v>
          </cell>
          <cell r="D9668" t="str">
            <v>Spread Duration</v>
          </cell>
          <cell r="E9668" t="str">
            <v>Spread Yield (DxS)</v>
          </cell>
          <cell r="F9668" t="str">
            <v>SP-Spread Emerging Markets - Maturity</v>
          </cell>
          <cell r="G9668" t="str">
            <v>SP-Spread Emerging Markets</v>
          </cell>
          <cell r="H9668" t="str">
            <v>SPREADS</v>
          </cell>
          <cell r="I9668" t="str">
            <v>Spread Emerging Markets - Maturity</v>
          </cell>
        </row>
        <row r="9669">
          <cell r="A9669" t="str">
            <v>USD_EM_DS_SA_MAT3</v>
          </cell>
          <cell r="B9669" t="str">
            <v>EM S America Mat 3</v>
          </cell>
          <cell r="C9669" t="str">
            <v>EM Factors:EM S America Mat 3</v>
          </cell>
          <cell r="D9669" t="str">
            <v>Spread Duration</v>
          </cell>
          <cell r="E9669" t="str">
            <v>Spread Yield (DxS)</v>
          </cell>
          <cell r="F9669" t="str">
            <v>SP-Spread Emerging Markets - Maturity</v>
          </cell>
          <cell r="G9669" t="str">
            <v>SP-Spread Emerging Markets</v>
          </cell>
          <cell r="H9669" t="str">
            <v>SPREADS</v>
          </cell>
          <cell r="I9669" t="str">
            <v>Spread Emerging Markets - Maturity</v>
          </cell>
        </row>
        <row r="9670">
          <cell r="A9670" t="str">
            <v>USD_EM_DS_SA_MAT5</v>
          </cell>
          <cell r="B9670" t="str">
            <v>EM S America Mat 5</v>
          </cell>
          <cell r="C9670" t="str">
            <v>EM Factors:EM S America Mat 5</v>
          </cell>
          <cell r="D9670" t="str">
            <v>Spread Duration</v>
          </cell>
          <cell r="E9670" t="str">
            <v>Spread Yield (DxS)</v>
          </cell>
          <cell r="F9670" t="str">
            <v>SP-Spread Emerging Markets - Maturity</v>
          </cell>
          <cell r="G9670" t="str">
            <v>SP-Spread Emerging Markets</v>
          </cell>
          <cell r="H9670" t="str">
            <v>SPREADS</v>
          </cell>
          <cell r="I9670" t="str">
            <v>Spread Emerging Markets - Maturity</v>
          </cell>
        </row>
        <row r="9671">
          <cell r="A9671" t="str">
            <v>USD_EM_DS_SEA_MAT1</v>
          </cell>
          <cell r="B9671" t="str">
            <v>EM SE Asia Mat 1</v>
          </cell>
          <cell r="C9671" t="str">
            <v>EM Factors:EM SE Asia Mat 1</v>
          </cell>
          <cell r="D9671" t="str">
            <v>Spread Duration</v>
          </cell>
          <cell r="E9671" t="str">
            <v>Spread Yield (DxS)</v>
          </cell>
          <cell r="F9671" t="str">
            <v>SP-Spread Emerging Markets - Maturity</v>
          </cell>
          <cell r="G9671" t="str">
            <v>SP-Spread Emerging Markets</v>
          </cell>
          <cell r="H9671" t="str">
            <v>SPREADS</v>
          </cell>
          <cell r="I9671" t="str">
            <v>Spread Emerging Markets - Maturity</v>
          </cell>
        </row>
        <row r="9672">
          <cell r="A9672" t="str">
            <v>USD_EM_DS_SEA_MAT3</v>
          </cell>
          <cell r="B9672" t="str">
            <v>EM SE Asia Mat 3</v>
          </cell>
          <cell r="C9672" t="str">
            <v>EM Factors:EM SE Asia Mat 3</v>
          </cell>
          <cell r="D9672" t="str">
            <v>Spread Duration</v>
          </cell>
          <cell r="E9672" t="str">
            <v>Spread Yield (DxS)</v>
          </cell>
          <cell r="F9672" t="str">
            <v>SP-Spread Emerging Markets - Maturity</v>
          </cell>
          <cell r="G9672" t="str">
            <v>SP-Spread Emerging Markets</v>
          </cell>
          <cell r="H9672" t="str">
            <v>SPREADS</v>
          </cell>
          <cell r="I9672" t="str">
            <v>Spread Emerging Markets - Maturity</v>
          </cell>
        </row>
        <row r="9673">
          <cell r="A9673" t="str">
            <v>USD_EM_DS_SEA_MAT5</v>
          </cell>
          <cell r="B9673" t="str">
            <v>EM SE Asia Mat 5</v>
          </cell>
          <cell r="C9673" t="str">
            <v>EM Factors:EM SE Asia Mat 5</v>
          </cell>
          <cell r="D9673" t="str">
            <v>Spread Duration</v>
          </cell>
          <cell r="E9673" t="str">
            <v>Spread Yield (DxS)</v>
          </cell>
          <cell r="F9673" t="str">
            <v>SP-Spread Emerging Markets - Maturity</v>
          </cell>
          <cell r="G9673" t="str">
            <v>SP-Spread Emerging Markets</v>
          </cell>
          <cell r="H9673" t="str">
            <v>SPREADS</v>
          </cell>
          <cell r="I9673" t="str">
            <v>Spread Emerging Markets - Maturity</v>
          </cell>
        </row>
        <row r="9674">
          <cell r="A9674" t="str">
            <v>USD_TBA15_ITM35_V630</v>
          </cell>
          <cell r="B9674" t="str">
            <v>TBA15 ITM350 V630</v>
          </cell>
          <cell r="C9674" t="str">
            <v>TBA 630:TBA15 ITM350 V630</v>
          </cell>
          <cell r="D9674" t="str">
            <v>Spread Duration</v>
          </cell>
          <cell r="E9674" t="str">
            <v>Spread Yield</v>
          </cell>
          <cell r="F9674" t="str">
            <v>Alternative</v>
          </cell>
          <cell r="G9674" t="str">
            <v>Other</v>
          </cell>
          <cell r="H9674" t="str">
            <v>ALTS</v>
          </cell>
          <cell r="I9674" t="str">
            <v>Mortgage - Moneyness</v>
          </cell>
        </row>
        <row r="9675">
          <cell r="A9675" t="str">
            <v>TBA_630_EXT</v>
          </cell>
          <cell r="B9675" t="str">
            <v>TBA 630 External</v>
          </cell>
          <cell r="C9675" t="str">
            <v>TBA 630 External</v>
          </cell>
          <cell r="D9675" t="str">
            <v>WITHOUT TYPE</v>
          </cell>
          <cell r="E9675" t="str">
            <v>WITHOUT TYPE</v>
          </cell>
          <cell r="F9675" t="str">
            <v>Alternative</v>
          </cell>
          <cell r="G9675" t="str">
            <v>Other</v>
          </cell>
          <cell r="H9675" t="str">
            <v>ALTS</v>
          </cell>
          <cell r="I9675" t="str">
            <v>Mortgage - Moneyness</v>
          </cell>
        </row>
        <row r="9676">
          <cell r="A9676" t="str">
            <v>USD_TBA_15_V630_E</v>
          </cell>
          <cell r="B9676" t="str">
            <v>TBA 15vs30 V630</v>
          </cell>
          <cell r="C9676" t="str">
            <v>TBA 630 External:TBA 15vs30 V630</v>
          </cell>
          <cell r="D9676" t="str">
            <v>Spread Duration</v>
          </cell>
          <cell r="E9676" t="str">
            <v>Spread Yield</v>
          </cell>
          <cell r="F9676" t="str">
            <v>Alternative</v>
          </cell>
          <cell r="G9676" t="str">
            <v>Other</v>
          </cell>
          <cell r="H9676" t="str">
            <v>ALTS</v>
          </cell>
          <cell r="I9676" t="str">
            <v>Mortgage - Moneyness</v>
          </cell>
        </row>
        <row r="9677">
          <cell r="A9677" t="str">
            <v>USD_TBA_ATM_V630_E</v>
          </cell>
          <cell r="B9677" t="str">
            <v>TBA30 ATM V630</v>
          </cell>
          <cell r="C9677" t="str">
            <v>TBA 630 External:TBA30 ATM V630</v>
          </cell>
          <cell r="D9677" t="str">
            <v>Spread Duration</v>
          </cell>
          <cell r="E9677" t="str">
            <v>Spread Yield</v>
          </cell>
          <cell r="F9677" t="str">
            <v>Alternative</v>
          </cell>
          <cell r="G9677" t="str">
            <v>Other</v>
          </cell>
          <cell r="H9677" t="str">
            <v>ALTS</v>
          </cell>
          <cell r="I9677" t="str">
            <v>Mortgage - Moneyness</v>
          </cell>
        </row>
        <row r="9678">
          <cell r="A9678" t="str">
            <v>USD_TBA_GN_V630_E</v>
          </cell>
          <cell r="B9678" t="str">
            <v>TBA GNvsFN V630</v>
          </cell>
          <cell r="C9678" t="str">
            <v>TBA 630 External:TBA GNvsFN V630</v>
          </cell>
          <cell r="D9678" t="str">
            <v>Spread Duration</v>
          </cell>
          <cell r="E9678" t="str">
            <v>Other Spread Yield</v>
          </cell>
          <cell r="F9678" t="str">
            <v>Alternative</v>
          </cell>
          <cell r="G9678" t="str">
            <v>Other</v>
          </cell>
          <cell r="H9678" t="str">
            <v>ALTS</v>
          </cell>
          <cell r="I9678" t="str">
            <v>Mortgage - Moneyness</v>
          </cell>
        </row>
        <row r="9679">
          <cell r="A9679" t="str">
            <v>USD_TBA_OTM10_V630_E</v>
          </cell>
          <cell r="B9679" t="str">
            <v>TBA30 OTM100 V630</v>
          </cell>
          <cell r="C9679" t="str">
            <v>TBA 630 External:TBA30 OTM100 V630</v>
          </cell>
          <cell r="D9679" t="str">
            <v>Spread Duration</v>
          </cell>
          <cell r="E9679" t="str">
            <v>Spread Yield</v>
          </cell>
          <cell r="F9679" t="str">
            <v>Alternative</v>
          </cell>
          <cell r="G9679" t="str">
            <v>Other</v>
          </cell>
          <cell r="H9679" t="str">
            <v>ALTS</v>
          </cell>
          <cell r="I9679" t="str">
            <v>Mortgage - Moneyness</v>
          </cell>
        </row>
        <row r="9680">
          <cell r="A9680" t="str">
            <v>USD_TBA_OTM15_V630_E</v>
          </cell>
          <cell r="B9680" t="str">
            <v>TBA30 OTM150 V630</v>
          </cell>
          <cell r="C9680" t="str">
            <v>TBA 630 External:TBA30 OTM150 V630</v>
          </cell>
          <cell r="D9680" t="str">
            <v>Spread Duration</v>
          </cell>
          <cell r="E9680" t="str">
            <v>Spread Yield</v>
          </cell>
          <cell r="F9680" t="str">
            <v>Alternative</v>
          </cell>
          <cell r="G9680" t="str">
            <v>Other</v>
          </cell>
          <cell r="H9680" t="str">
            <v>ALTS</v>
          </cell>
          <cell r="I9680" t="str">
            <v>Mortgage - Moneyness</v>
          </cell>
        </row>
        <row r="9681">
          <cell r="A9681" t="str">
            <v>USD_TBA_OTM20_V630_E</v>
          </cell>
          <cell r="B9681" t="str">
            <v>TBA30 OTM200 V630</v>
          </cell>
          <cell r="C9681" t="str">
            <v>TBA 630 External:TBA30 OTM200 V630</v>
          </cell>
          <cell r="D9681" t="str">
            <v>Spread Duration</v>
          </cell>
          <cell r="E9681" t="str">
            <v>Spread Yield</v>
          </cell>
          <cell r="F9681" t="str">
            <v>Alternative</v>
          </cell>
          <cell r="G9681" t="str">
            <v>Other</v>
          </cell>
          <cell r="H9681" t="str">
            <v>ALTS</v>
          </cell>
          <cell r="I9681" t="str">
            <v>Mortgage - Moneyness</v>
          </cell>
        </row>
        <row r="9682">
          <cell r="A9682" t="str">
            <v>USD_TBA_OTM25_V630_E</v>
          </cell>
          <cell r="B9682" t="str">
            <v>TBA30 OTM250 V630</v>
          </cell>
          <cell r="C9682" t="str">
            <v>TBA 630 External:TBA30 OTM250 V630</v>
          </cell>
          <cell r="D9682" t="str">
            <v>Spread Duration</v>
          </cell>
          <cell r="E9682" t="str">
            <v>Spread Yield</v>
          </cell>
          <cell r="F9682" t="str">
            <v>Alternative</v>
          </cell>
          <cell r="G9682" t="str">
            <v>Other</v>
          </cell>
          <cell r="H9682" t="str">
            <v>ALTS</v>
          </cell>
          <cell r="I9682" t="str">
            <v>Mortgage - Moneyness</v>
          </cell>
        </row>
        <row r="9683">
          <cell r="A9683" t="str">
            <v>USD_TBA_OTM30_V630_E</v>
          </cell>
          <cell r="B9683" t="str">
            <v>TBA30 OTM300 V630</v>
          </cell>
          <cell r="C9683" t="str">
            <v>TBA 630 External:TBA30 OTM300 V630</v>
          </cell>
          <cell r="D9683" t="str">
            <v>Spread Duration</v>
          </cell>
          <cell r="E9683" t="str">
            <v>Spread Yield</v>
          </cell>
          <cell r="F9683" t="str">
            <v>Alternative</v>
          </cell>
          <cell r="G9683" t="str">
            <v>Other</v>
          </cell>
          <cell r="H9683" t="str">
            <v>ALTS</v>
          </cell>
          <cell r="I9683" t="str">
            <v>Mortgage - Moneyness</v>
          </cell>
        </row>
        <row r="9684">
          <cell r="A9684" t="str">
            <v>USD_TBA_OTM35_V630_E</v>
          </cell>
          <cell r="B9684" t="str">
            <v>TBA30 OTM350 V630</v>
          </cell>
          <cell r="C9684" t="str">
            <v>TBA 630 External:TBA30 OTM350 V630</v>
          </cell>
          <cell r="D9684" t="str">
            <v>Spread Duration</v>
          </cell>
          <cell r="E9684" t="str">
            <v>Spread Yield</v>
          </cell>
          <cell r="F9684" t="str">
            <v>Alternative</v>
          </cell>
          <cell r="G9684" t="str">
            <v>Other</v>
          </cell>
          <cell r="H9684" t="str">
            <v>ALTS</v>
          </cell>
          <cell r="I9684" t="str">
            <v>Mortgage - Moneyness</v>
          </cell>
        </row>
        <row r="9685">
          <cell r="A9685" t="str">
            <v>USD_TBA_OTM5_V630_E</v>
          </cell>
          <cell r="B9685" t="str">
            <v>TBA30 OTM50 V630</v>
          </cell>
          <cell r="C9685" t="str">
            <v>TBA 630 External:TBA30 OTM50 V630</v>
          </cell>
          <cell r="D9685" t="str">
            <v>Spread Duration</v>
          </cell>
          <cell r="E9685" t="str">
            <v>Spread Yield</v>
          </cell>
          <cell r="F9685" t="str">
            <v>Alternative</v>
          </cell>
          <cell r="G9685" t="str">
            <v>Other</v>
          </cell>
          <cell r="H9685" t="str">
            <v>ALTS</v>
          </cell>
          <cell r="I9685" t="str">
            <v>Mortgage - Moneyness</v>
          </cell>
        </row>
        <row r="9686">
          <cell r="A9686" t="str">
            <v>USD_TBA15_OTM20_V630_E</v>
          </cell>
          <cell r="B9686" t="str">
            <v>TBA15 OTM200 V630</v>
          </cell>
          <cell r="C9686" t="str">
            <v>TBA 630 External:TBA15 OTM200 V630</v>
          </cell>
          <cell r="D9686" t="str">
            <v>Spread Duration</v>
          </cell>
          <cell r="E9686" t="str">
            <v>Spread Yield</v>
          </cell>
          <cell r="F9686" t="str">
            <v>Alternative</v>
          </cell>
          <cell r="G9686" t="str">
            <v>Other</v>
          </cell>
          <cell r="H9686" t="str">
            <v>ALTS</v>
          </cell>
          <cell r="I9686" t="str">
            <v>Mortgage - Moneyness</v>
          </cell>
        </row>
        <row r="9687">
          <cell r="A9687" t="str">
            <v>USD_TBA15_OTM25_V630_E</v>
          </cell>
          <cell r="B9687" t="str">
            <v>TBA15 OTM250 V630</v>
          </cell>
          <cell r="C9687" t="str">
            <v>TBA 630 External:TBA15 OTM250 V630</v>
          </cell>
          <cell r="D9687" t="str">
            <v>Spread Duration</v>
          </cell>
          <cell r="E9687" t="str">
            <v>Spread Yield</v>
          </cell>
          <cell r="F9687" t="str">
            <v>Alternative</v>
          </cell>
          <cell r="G9687" t="str">
            <v>Other</v>
          </cell>
          <cell r="H9687" t="str">
            <v>ALTS</v>
          </cell>
          <cell r="I9687" t="str">
            <v>Mortgage - Moneyness</v>
          </cell>
        </row>
        <row r="9688">
          <cell r="A9688" t="str">
            <v>USD_TBA15_OTM30_V630_E</v>
          </cell>
          <cell r="B9688" t="str">
            <v>TBA15 OTM300 V630</v>
          </cell>
          <cell r="C9688" t="str">
            <v>TBA 630 External:TBA15 OTM300 V630</v>
          </cell>
          <cell r="D9688" t="str">
            <v>Spread Duration</v>
          </cell>
          <cell r="E9688" t="str">
            <v>Spread Yield</v>
          </cell>
          <cell r="F9688" t="str">
            <v>Alternative</v>
          </cell>
          <cell r="G9688" t="str">
            <v>Other</v>
          </cell>
          <cell r="H9688" t="str">
            <v>ALTS</v>
          </cell>
          <cell r="I9688" t="str">
            <v>Mortgage - Moneyness</v>
          </cell>
        </row>
        <row r="9689">
          <cell r="A9689" t="str">
            <v>USD_TBA15_OTM35_V630_E</v>
          </cell>
          <cell r="B9689" t="str">
            <v>TBA15 OTM350 V630</v>
          </cell>
          <cell r="C9689" t="str">
            <v>TBA 630 External:TBA15 OTM350 V630</v>
          </cell>
          <cell r="D9689" t="str">
            <v>Spread Duration</v>
          </cell>
          <cell r="E9689" t="str">
            <v>Spread Yield</v>
          </cell>
          <cell r="F9689" t="str">
            <v>Alternative</v>
          </cell>
          <cell r="G9689" t="str">
            <v>Other</v>
          </cell>
          <cell r="H9689" t="str">
            <v>ALTS</v>
          </cell>
          <cell r="I9689" t="str">
            <v>Mortgage - Moneyness</v>
          </cell>
        </row>
        <row r="9690">
          <cell r="A9690" t="str">
            <v>CNY_CORP_TECH</v>
          </cell>
          <cell r="B9690" t="str">
            <v>CNY IG Tech</v>
          </cell>
          <cell r="C9690" t="str">
            <v>Other:CNY IG Tech</v>
          </cell>
          <cell r="D9690" t="str">
            <v>Spread Duration</v>
          </cell>
          <cell r="E9690" t="str">
            <v>Spread Yield (DxS)</v>
          </cell>
          <cell r="F9690" t="str">
            <v>SP-Corporate IG Other</v>
          </cell>
          <cell r="G9690" t="str">
            <v>SP-Spread Corporate</v>
          </cell>
          <cell r="H9690" t="str">
            <v>SPREADS</v>
          </cell>
          <cell r="I9690" t="str">
            <v>Corporate IG Other - Industry</v>
          </cell>
        </row>
        <row r="9691">
          <cell r="A9691" t="str">
            <v>USD_CLO_GENERIC_BLK</v>
          </cell>
          <cell r="B9691" t="str">
            <v>USD CLO</v>
          </cell>
          <cell r="C9691" t="str">
            <v>CLO:USD CLO</v>
          </cell>
          <cell r="D9691" t="str">
            <v>Spread Duration</v>
          </cell>
          <cell r="E9691" t="str">
            <v>Spread Yield (DxS)</v>
          </cell>
          <cell r="F9691" t="str">
            <v>Alternative</v>
          </cell>
          <cell r="G9691" t="str">
            <v>Other</v>
          </cell>
          <cell r="H9691" t="str">
            <v>ALTS</v>
          </cell>
          <cell r="I9691" t="str">
            <v>Leveraged Loans</v>
          </cell>
        </row>
        <row r="9692">
          <cell r="A9692" t="str">
            <v>USD_TBA_ITM5_V630_E</v>
          </cell>
          <cell r="B9692" t="str">
            <v>TBA30 ITM50 V630</v>
          </cell>
          <cell r="C9692" t="str">
            <v>TBA 630 External:TBA30 ITM50 V630</v>
          </cell>
          <cell r="D9692" t="str">
            <v>Spread Duration</v>
          </cell>
          <cell r="E9692" t="str">
            <v>Spread Yield</v>
          </cell>
          <cell r="F9692" t="str">
            <v>Alternative</v>
          </cell>
          <cell r="G9692" t="str">
            <v>Other</v>
          </cell>
          <cell r="H9692" t="str">
            <v>ALTS</v>
          </cell>
          <cell r="I9692" t="str">
            <v>Mortgage - Moneyness</v>
          </cell>
        </row>
        <row r="9693">
          <cell r="A9693" t="str">
            <v>CHF_CHF_FX2_USD</v>
          </cell>
          <cell r="B9693" t="str">
            <v>CHF/USD ^2</v>
          </cell>
          <cell r="C9693" t="str">
            <v>Foreign Exchange^2:CHF/USD ^2</v>
          </cell>
          <cell r="D9693" t="str">
            <v>FX</v>
          </cell>
          <cell r="E9693" t="str">
            <v>FX</v>
          </cell>
          <cell r="F9693" t="str">
            <v>Other</v>
          </cell>
          <cell r="G9693" t="str">
            <v>Other</v>
          </cell>
          <cell r="H9693" t="str">
            <v>OTHER</v>
          </cell>
          <cell r="I9693" t="str">
            <v>FX^2</v>
          </cell>
        </row>
        <row r="9694">
          <cell r="A9694" t="str">
            <v>CHF_EUR_FX2_USD</v>
          </cell>
          <cell r="B9694" t="str">
            <v>CHF/USD*EUR/USD</v>
          </cell>
          <cell r="C9694" t="str">
            <v>Foreign Exchange^2:CHF/USD*EUR/USD</v>
          </cell>
          <cell r="D9694" t="str">
            <v>FX</v>
          </cell>
          <cell r="E9694" t="str">
            <v>FX</v>
          </cell>
          <cell r="F9694" t="str">
            <v>Other</v>
          </cell>
          <cell r="G9694" t="str">
            <v>Other</v>
          </cell>
          <cell r="H9694" t="str">
            <v>OTHER</v>
          </cell>
          <cell r="I9694" t="str">
            <v>FX^2</v>
          </cell>
        </row>
        <row r="9695">
          <cell r="A9695" t="str">
            <v>TBA_640</v>
          </cell>
          <cell r="B9695" t="str">
            <v>TBA 640</v>
          </cell>
          <cell r="C9695" t="str">
            <v>TBA 640</v>
          </cell>
          <cell r="D9695" t="str">
            <v>WITHOUT TYPE</v>
          </cell>
          <cell r="E9695" t="str">
            <v>WITHOUT TYPE</v>
          </cell>
          <cell r="F9695" t="str">
            <v>Alternative</v>
          </cell>
          <cell r="G9695" t="str">
            <v>Other</v>
          </cell>
          <cell r="H9695" t="str">
            <v>ALTS</v>
          </cell>
          <cell r="I9695" t="str">
            <v>Mortgage - Moneyness</v>
          </cell>
        </row>
        <row r="9696">
          <cell r="A9696" t="str">
            <v>USD_mtg15_tsy_V640</v>
          </cell>
          <cell r="B9696" t="str">
            <v>15yr Mtg Tsy Basis V640</v>
          </cell>
          <cell r="C9696" t="str">
            <v>Mortgage Basis:15yr Mtg Tsy Basis V640</v>
          </cell>
          <cell r="D9696" t="str">
            <v>Mortgage Basis Duration</v>
          </cell>
          <cell r="E9696" t="str">
            <v>Mortgage Basis</v>
          </cell>
          <cell r="F9696" t="str">
            <v>Alternative</v>
          </cell>
          <cell r="G9696" t="str">
            <v>Other</v>
          </cell>
          <cell r="H9696" t="str">
            <v>ALTS</v>
          </cell>
          <cell r="I9696" t="str">
            <v>Mortgage Basis</v>
          </cell>
        </row>
        <row r="9697">
          <cell r="A9697" t="str">
            <v>USD_mtg30_tsy_V640</v>
          </cell>
          <cell r="B9697" t="str">
            <v>30yr Mtg Tsy Basis V640</v>
          </cell>
          <cell r="C9697" t="str">
            <v>Mortgage Basis:30yr Mtg Tsy Basis V640</v>
          </cell>
          <cell r="D9697" t="str">
            <v>Mortgage Basis Duration</v>
          </cell>
          <cell r="E9697" t="str">
            <v>Mortgage Basis</v>
          </cell>
          <cell r="F9697" t="str">
            <v>Alternative</v>
          </cell>
          <cell r="G9697" t="str">
            <v>Other</v>
          </cell>
          <cell r="H9697" t="str">
            <v>ALTS</v>
          </cell>
          <cell r="I9697" t="str">
            <v>Mortgage Basis</v>
          </cell>
        </row>
        <row r="9698">
          <cell r="A9698" t="str">
            <v>USD_TBA_15_V640</v>
          </cell>
          <cell r="B9698" t="str">
            <v>TBA 15vs30 V640</v>
          </cell>
          <cell r="C9698" t="str">
            <v>TBA 640:TBA 15vs30 V640</v>
          </cell>
          <cell r="D9698" t="str">
            <v>Spread Duration</v>
          </cell>
          <cell r="E9698" t="str">
            <v>Spread Yield</v>
          </cell>
          <cell r="F9698" t="str">
            <v>Alternative</v>
          </cell>
          <cell r="G9698" t="str">
            <v>Other</v>
          </cell>
          <cell r="H9698" t="str">
            <v>ALTS</v>
          </cell>
          <cell r="I9698" t="str">
            <v>Mortgage - Moneyness</v>
          </cell>
        </row>
        <row r="9699">
          <cell r="A9699" t="str">
            <v>USD_TBA_ATM_V640</v>
          </cell>
          <cell r="B9699" t="str">
            <v>TBA30 ATM V640</v>
          </cell>
          <cell r="C9699" t="str">
            <v>TBA 640:TBA30 ATM V640</v>
          </cell>
          <cell r="D9699" t="str">
            <v>Spread Duration</v>
          </cell>
          <cell r="E9699" t="str">
            <v>Spread Yield</v>
          </cell>
          <cell r="F9699" t="str">
            <v>Alternative</v>
          </cell>
          <cell r="G9699" t="str">
            <v>Other</v>
          </cell>
          <cell r="H9699" t="str">
            <v>ALTS</v>
          </cell>
          <cell r="I9699" t="str">
            <v>Mortgage - Moneyness</v>
          </cell>
        </row>
        <row r="9700">
          <cell r="A9700" t="str">
            <v>USD_TBA_GN_V640</v>
          </cell>
          <cell r="B9700" t="str">
            <v>TBA GNvsFN V640</v>
          </cell>
          <cell r="C9700" t="str">
            <v>TBA 640:TBA GNvsFN V640</v>
          </cell>
          <cell r="D9700" t="str">
            <v>Spread Duration</v>
          </cell>
          <cell r="E9700" t="str">
            <v>Other Spread Yield</v>
          </cell>
          <cell r="F9700" t="str">
            <v>Alternative</v>
          </cell>
          <cell r="G9700" t="str">
            <v>Other</v>
          </cell>
          <cell r="H9700" t="str">
            <v>ALTS</v>
          </cell>
          <cell r="I9700" t="str">
            <v>Mortgage - Moneyness</v>
          </cell>
        </row>
        <row r="9701">
          <cell r="A9701" t="str">
            <v>USD_TBA_ITM10_V640</v>
          </cell>
          <cell r="B9701" t="str">
            <v>TBA30 ITM100 V640</v>
          </cell>
          <cell r="C9701" t="str">
            <v>TBA 640:TBA30 ITM100 V640</v>
          </cell>
          <cell r="D9701" t="str">
            <v>Spread Duration</v>
          </cell>
          <cell r="E9701" t="str">
            <v>Spread Yield</v>
          </cell>
          <cell r="F9701" t="str">
            <v>Alternative</v>
          </cell>
          <cell r="G9701" t="str">
            <v>Other</v>
          </cell>
          <cell r="H9701" t="str">
            <v>ALTS</v>
          </cell>
          <cell r="I9701" t="str">
            <v>Mortgage - Moneyness</v>
          </cell>
        </row>
        <row r="9702">
          <cell r="A9702" t="str">
            <v>USD_TBA_ITM5_V640</v>
          </cell>
          <cell r="B9702" t="str">
            <v>TBA30 ITM50 V640</v>
          </cell>
          <cell r="C9702" t="str">
            <v>TBA 640:TBA30 ITM50 V640</v>
          </cell>
          <cell r="D9702" t="str">
            <v>Spread Duration</v>
          </cell>
          <cell r="E9702" t="str">
            <v>Spread Yield</v>
          </cell>
          <cell r="F9702" t="str">
            <v>Alternative</v>
          </cell>
          <cell r="G9702" t="str">
            <v>Other</v>
          </cell>
          <cell r="H9702" t="str">
            <v>ALTS</v>
          </cell>
          <cell r="I9702" t="str">
            <v>Mortgage - Moneyness</v>
          </cell>
        </row>
        <row r="9703">
          <cell r="A9703" t="str">
            <v>USD_TBA_OTM10_V640</v>
          </cell>
          <cell r="B9703" t="str">
            <v>TBA30 OTM100 V640</v>
          </cell>
          <cell r="C9703" t="str">
            <v>TBA 640:TBA30 OTM100 V640</v>
          </cell>
          <cell r="D9703" t="str">
            <v>Spread Duration</v>
          </cell>
          <cell r="E9703" t="str">
            <v>Spread Yield</v>
          </cell>
          <cell r="F9703" t="str">
            <v>Alternative</v>
          </cell>
          <cell r="G9703" t="str">
            <v>Other</v>
          </cell>
          <cell r="H9703" t="str">
            <v>ALTS</v>
          </cell>
          <cell r="I9703" t="str">
            <v>Mortgage - Moneyness</v>
          </cell>
        </row>
        <row r="9704">
          <cell r="A9704" t="str">
            <v>USD_TBA_OTM15_V640</v>
          </cell>
          <cell r="B9704" t="str">
            <v>TBA30 OTM150 V640</v>
          </cell>
          <cell r="C9704" t="str">
            <v>TBA 640:TBA30 OTM150 V640</v>
          </cell>
          <cell r="D9704" t="str">
            <v>Spread Duration</v>
          </cell>
          <cell r="E9704" t="str">
            <v>Spread Yield</v>
          </cell>
          <cell r="F9704" t="str">
            <v>Alternative</v>
          </cell>
          <cell r="G9704" t="str">
            <v>Other</v>
          </cell>
          <cell r="H9704" t="str">
            <v>ALTS</v>
          </cell>
          <cell r="I9704" t="str">
            <v>Mortgage - Moneyness</v>
          </cell>
        </row>
        <row r="9705">
          <cell r="A9705" t="str">
            <v>USD_TBA_OTM20_V640</v>
          </cell>
          <cell r="B9705" t="str">
            <v>TBA30 OTM200 V640</v>
          </cell>
          <cell r="C9705" t="str">
            <v>TBA 640:TBA30 OTM200 V640</v>
          </cell>
          <cell r="D9705" t="str">
            <v>Spread Duration</v>
          </cell>
          <cell r="E9705" t="str">
            <v>Spread Yield</v>
          </cell>
          <cell r="F9705" t="str">
            <v>Alternative</v>
          </cell>
          <cell r="G9705" t="str">
            <v>Other</v>
          </cell>
          <cell r="H9705" t="str">
            <v>ALTS</v>
          </cell>
          <cell r="I9705" t="str">
            <v>Mortgage - Moneyness</v>
          </cell>
        </row>
        <row r="9706">
          <cell r="A9706" t="str">
            <v>USD_TBA_OTM25_V640</v>
          </cell>
          <cell r="B9706" t="str">
            <v>TBA30 OTM250 V640</v>
          </cell>
          <cell r="C9706" t="str">
            <v>TBA 640:TBA30 OTM250 V640</v>
          </cell>
          <cell r="D9706" t="str">
            <v>Spread Duration</v>
          </cell>
          <cell r="E9706" t="str">
            <v>Spread Yield</v>
          </cell>
          <cell r="F9706" t="str">
            <v>Alternative</v>
          </cell>
          <cell r="G9706" t="str">
            <v>Other</v>
          </cell>
          <cell r="H9706" t="str">
            <v>ALTS</v>
          </cell>
          <cell r="I9706" t="str">
            <v>Mortgage - Moneyness</v>
          </cell>
        </row>
        <row r="9707">
          <cell r="A9707" t="str">
            <v>USD_TBA_OTM30_V640</v>
          </cell>
          <cell r="B9707" t="str">
            <v>TBA30 OTM300 V640</v>
          </cell>
          <cell r="C9707" t="str">
            <v>TBA 640:TBA30 OTM300 V640</v>
          </cell>
          <cell r="D9707" t="str">
            <v>Spread Duration</v>
          </cell>
          <cell r="E9707" t="str">
            <v>Spread Yield</v>
          </cell>
          <cell r="F9707" t="str">
            <v>Alternative</v>
          </cell>
          <cell r="G9707" t="str">
            <v>Other</v>
          </cell>
          <cell r="H9707" t="str">
            <v>ALTS</v>
          </cell>
          <cell r="I9707" t="str">
            <v>Mortgage - Moneyness</v>
          </cell>
        </row>
        <row r="9708">
          <cell r="A9708" t="str">
            <v>USD_TBA_OTM35_V640</v>
          </cell>
          <cell r="B9708" t="str">
            <v>TBA30 OTM350 V640</v>
          </cell>
          <cell r="C9708" t="str">
            <v>TBA 640:TBA30 OTM350 V640</v>
          </cell>
          <cell r="D9708" t="str">
            <v>Spread Duration</v>
          </cell>
          <cell r="E9708" t="str">
            <v>Spread Yield</v>
          </cell>
          <cell r="F9708" t="str">
            <v>Alternative</v>
          </cell>
          <cell r="G9708" t="str">
            <v>Other</v>
          </cell>
          <cell r="H9708" t="str">
            <v>ALTS</v>
          </cell>
          <cell r="I9708" t="str">
            <v>Mortgage - Moneyness</v>
          </cell>
        </row>
        <row r="9709">
          <cell r="A9709" t="str">
            <v>USD_TBA_OTM5_V640</v>
          </cell>
          <cell r="B9709" t="str">
            <v>TBA30 OTM50 V640</v>
          </cell>
          <cell r="C9709" t="str">
            <v>TBA 640:TBA30 OTM50 V640</v>
          </cell>
          <cell r="D9709" t="str">
            <v>Spread Duration</v>
          </cell>
          <cell r="E9709" t="str">
            <v>Spread Yield</v>
          </cell>
          <cell r="F9709" t="str">
            <v>Alternative</v>
          </cell>
          <cell r="G9709" t="str">
            <v>Other</v>
          </cell>
          <cell r="H9709" t="str">
            <v>ALTS</v>
          </cell>
          <cell r="I9709" t="str">
            <v>Mortgage - Moneyness</v>
          </cell>
        </row>
        <row r="9710">
          <cell r="A9710" t="str">
            <v>USD_TBA15_OTM10_V640</v>
          </cell>
          <cell r="B9710" t="str">
            <v>TBA15 OTM100 V640</v>
          </cell>
          <cell r="C9710" t="str">
            <v>TBA 640:TBA15 OTM100 V640</v>
          </cell>
          <cell r="D9710" t="str">
            <v>Spread Duration</v>
          </cell>
          <cell r="E9710" t="str">
            <v>Spread Yield</v>
          </cell>
          <cell r="F9710" t="str">
            <v>Alternative</v>
          </cell>
          <cell r="G9710" t="str">
            <v>Other</v>
          </cell>
          <cell r="H9710" t="str">
            <v>ALTS</v>
          </cell>
          <cell r="I9710" t="str">
            <v>Mortgage - Moneyness</v>
          </cell>
        </row>
        <row r="9711">
          <cell r="A9711" t="str">
            <v>USD_TBA15_OTM15_V640</v>
          </cell>
          <cell r="B9711" t="str">
            <v>TBA15 OTM150 V640</v>
          </cell>
          <cell r="C9711" t="str">
            <v>TBA 640:TBA15 OTM150 V640</v>
          </cell>
          <cell r="D9711" t="str">
            <v>Spread Duration</v>
          </cell>
          <cell r="E9711" t="str">
            <v>Spread Yield</v>
          </cell>
          <cell r="F9711" t="str">
            <v>Alternative</v>
          </cell>
          <cell r="G9711" t="str">
            <v>Other</v>
          </cell>
          <cell r="H9711" t="str">
            <v>ALTS</v>
          </cell>
          <cell r="I9711" t="str">
            <v>Mortgage - Moneyness</v>
          </cell>
        </row>
        <row r="9712">
          <cell r="A9712" t="str">
            <v>USD_TBA15_OTM20_V640</v>
          </cell>
          <cell r="B9712" t="str">
            <v>TBA15 OTM200 V640</v>
          </cell>
          <cell r="C9712" t="str">
            <v>TBA 640:TBA15 OTM200 V640</v>
          </cell>
          <cell r="D9712" t="str">
            <v>Spread Duration</v>
          </cell>
          <cell r="E9712" t="str">
            <v>Spread Yield</v>
          </cell>
          <cell r="F9712" t="str">
            <v>Alternative</v>
          </cell>
          <cell r="G9712" t="str">
            <v>Other</v>
          </cell>
          <cell r="H9712" t="str">
            <v>ALTS</v>
          </cell>
          <cell r="I9712" t="str">
            <v>Mortgage - Moneyness</v>
          </cell>
        </row>
        <row r="9713">
          <cell r="A9713" t="str">
            <v>USD_TBA15_OTM25_V640</v>
          </cell>
          <cell r="B9713" t="str">
            <v>TBA15 OTM250 V640</v>
          </cell>
          <cell r="C9713" t="str">
            <v>TBA 640:TBA15 OTM250 V640</v>
          </cell>
          <cell r="D9713" t="str">
            <v>Spread Duration</v>
          </cell>
          <cell r="E9713" t="str">
            <v>Spread Yield</v>
          </cell>
          <cell r="F9713" t="str">
            <v>Alternative</v>
          </cell>
          <cell r="G9713" t="str">
            <v>Other</v>
          </cell>
          <cell r="H9713" t="str">
            <v>ALTS</v>
          </cell>
          <cell r="I9713" t="str">
            <v>Mortgage - Moneyness</v>
          </cell>
        </row>
        <row r="9714">
          <cell r="A9714" t="str">
            <v>USD_TBA15_OTM30_V640</v>
          </cell>
          <cell r="B9714" t="str">
            <v>TBA15 OTM300 V640</v>
          </cell>
          <cell r="C9714" t="str">
            <v>TBA 640:TBA15 OTM300 V640</v>
          </cell>
          <cell r="D9714" t="str">
            <v>Spread Duration</v>
          </cell>
          <cell r="E9714" t="str">
            <v>Spread Yield</v>
          </cell>
          <cell r="F9714" t="str">
            <v>Alternative</v>
          </cell>
          <cell r="G9714" t="str">
            <v>Other</v>
          </cell>
          <cell r="H9714" t="str">
            <v>ALTS</v>
          </cell>
          <cell r="I9714" t="str">
            <v>Mortgage - Moneyness</v>
          </cell>
        </row>
        <row r="9715">
          <cell r="A9715" t="str">
            <v>USD_TBA15_OTM35_V640</v>
          </cell>
          <cell r="B9715" t="str">
            <v>TBA15 OTM350 V640</v>
          </cell>
          <cell r="C9715" t="str">
            <v>TBA 640:TBA15 OTM350 V640</v>
          </cell>
          <cell r="D9715" t="str">
            <v>Spread Duration</v>
          </cell>
          <cell r="E9715" t="str">
            <v>Spread Yield</v>
          </cell>
          <cell r="F9715" t="str">
            <v>Alternative</v>
          </cell>
          <cell r="G9715" t="str">
            <v>Other</v>
          </cell>
          <cell r="H9715" t="str">
            <v>ALTS</v>
          </cell>
          <cell r="I9715" t="str">
            <v>Mortgage - Moneyness</v>
          </cell>
        </row>
        <row r="9716">
          <cell r="A9716" t="str">
            <v>USD_CMO_IO_OTM35_V610</v>
          </cell>
          <cell r="B9716" t="str">
            <v>CMO IO OTM350 V610</v>
          </cell>
          <cell r="C9716" t="str">
            <v>Mortgage Basis:CMO IO OTM350 V610</v>
          </cell>
          <cell r="D9716" t="str">
            <v>Spread Duration</v>
          </cell>
          <cell r="E9716" t="str">
            <v>Spread Yield</v>
          </cell>
          <cell r="F9716" t="str">
            <v>Alternative</v>
          </cell>
          <cell r="G9716" t="str">
            <v>Other</v>
          </cell>
          <cell r="H9716" t="str">
            <v>ALTS</v>
          </cell>
          <cell r="I9716" t="str">
            <v>Mortgage - Moneyness</v>
          </cell>
        </row>
        <row r="9717">
          <cell r="A9717" t="str">
            <v>USD_TBA_ITM20_V630</v>
          </cell>
          <cell r="B9717" t="str">
            <v>TBA30 ITM200 V630</v>
          </cell>
          <cell r="C9717" t="str">
            <v>TBA 630:TBA30 ITM200 V630</v>
          </cell>
          <cell r="D9717" t="str">
            <v>Spread Duration</v>
          </cell>
          <cell r="E9717" t="str">
            <v>Spread Yield</v>
          </cell>
          <cell r="F9717" t="str">
            <v>Alternative</v>
          </cell>
          <cell r="G9717" t="str">
            <v>Other</v>
          </cell>
          <cell r="H9717" t="str">
            <v>ALTS</v>
          </cell>
          <cell r="I9717" t="str">
            <v>Mortgage - Moneyness</v>
          </cell>
        </row>
        <row r="9718">
          <cell r="A9718" t="str">
            <v>[AMD_FX_USD-HUF_FX_USD]</v>
          </cell>
          <cell r="B9718" t="str">
            <v>AMD/HUF</v>
          </cell>
          <cell r="C9718" t="str">
            <v>Foreign Exchange:AMD/HUF</v>
          </cell>
          <cell r="D9718" t="str">
            <v>FX</v>
          </cell>
          <cell r="E9718" t="str">
            <v>FX</v>
          </cell>
          <cell r="F9718" t="str">
            <v>FX-Emerging Currency</v>
          </cell>
          <cell r="G9718" t="str">
            <v>FX-Emerging Currency</v>
          </cell>
          <cell r="H9718" t="str">
            <v>FX</v>
          </cell>
          <cell r="I9718" t="str">
            <v>Emerging Currency</v>
          </cell>
        </row>
        <row r="9719">
          <cell r="A9719" t="str">
            <v>USD_TBA15_OTM15_V630_E</v>
          </cell>
          <cell r="B9719" t="str">
            <v>TBA15 OTM150 V630</v>
          </cell>
          <cell r="C9719" t="str">
            <v>TBA 630 External:TBA15 OTM150 V630</v>
          </cell>
          <cell r="D9719" t="str">
            <v>Spread Duration</v>
          </cell>
          <cell r="E9719" t="str">
            <v>Spread Yield</v>
          </cell>
          <cell r="F9719" t="str">
            <v>Alternative</v>
          </cell>
          <cell r="G9719" t="str">
            <v>Other</v>
          </cell>
          <cell r="H9719" t="str">
            <v>ALTS</v>
          </cell>
          <cell r="I9719" t="str">
            <v>Mortgage - Moneyness</v>
          </cell>
        </row>
        <row r="9720">
          <cell r="A9720" t="str">
            <v>ALL_EM_DS_MIDAF</v>
          </cell>
          <cell r="B9720" t="str">
            <v>Non$ Emerg Mkt Mid E Africa</v>
          </cell>
          <cell r="C9720" t="str">
            <v>EM Factors:Non$ Emerg Mkt Mid E Africa</v>
          </cell>
          <cell r="D9720" t="str">
            <v>Spread Duration</v>
          </cell>
          <cell r="E9720" t="str">
            <v>Spread Yield (DxS)</v>
          </cell>
          <cell r="F9720" t="str">
            <v>SP-Spread Emerging Markets - Country</v>
          </cell>
          <cell r="G9720" t="str">
            <v>SP-Spread Emerging Markets</v>
          </cell>
          <cell r="H9720" t="str">
            <v>SPREADS</v>
          </cell>
          <cell r="I9720" t="str">
            <v>Spread Emerging Markets - Country</v>
          </cell>
        </row>
        <row r="9721">
          <cell r="A9721" t="str">
            <v>EUR_EM_DS_AF</v>
          </cell>
          <cell r="B9721" t="str">
            <v>Emerg Mkt Africa</v>
          </cell>
          <cell r="C9721" t="str">
            <v>EM Factors:Emerg Mkt Africa</v>
          </cell>
          <cell r="D9721" t="str">
            <v>Spread Duration</v>
          </cell>
          <cell r="E9721" t="str">
            <v>Spread Yield (DxS)</v>
          </cell>
          <cell r="F9721" t="str">
            <v>SP-Spread Emerging Markets - Country</v>
          </cell>
          <cell r="G9721" t="str">
            <v>SP-Spread Emerging Markets</v>
          </cell>
          <cell r="H9721" t="str">
            <v>SPREADS</v>
          </cell>
          <cell r="I9721" t="str">
            <v>Spread Emerging Markets - Country</v>
          </cell>
        </row>
        <row r="9722">
          <cell r="A9722" t="str">
            <v>EUR_EM_DS_LATVIA</v>
          </cell>
          <cell r="B9722" t="str">
            <v>Latvia</v>
          </cell>
          <cell r="C9722" t="str">
            <v>EM Factors:Latvia</v>
          </cell>
          <cell r="D9722" t="str">
            <v>Spread Duration</v>
          </cell>
          <cell r="E9722" t="str">
            <v>Spread Yield (DxS)</v>
          </cell>
          <cell r="F9722" t="str">
            <v>SP-Spread Emerging Markets - Country</v>
          </cell>
          <cell r="G9722" t="str">
            <v>SP-Spread Emerging Markets</v>
          </cell>
          <cell r="H9722" t="str">
            <v>SPREADS</v>
          </cell>
          <cell r="I9722" t="str">
            <v>Spread Emerging Markets - Country</v>
          </cell>
        </row>
        <row r="9723">
          <cell r="A9723" t="str">
            <v>EUR_EM_DS_LITHUANIA</v>
          </cell>
          <cell r="B9723" t="str">
            <v>Lithuania</v>
          </cell>
          <cell r="C9723" t="str">
            <v>EM Factors:Lithuania</v>
          </cell>
          <cell r="D9723" t="str">
            <v>Spread Duration</v>
          </cell>
          <cell r="E9723" t="str">
            <v>Spread Yield (DxS)</v>
          </cell>
          <cell r="F9723" t="str">
            <v>SP-Spread Emerging Markets - Country</v>
          </cell>
          <cell r="G9723" t="str">
            <v>SP-Spread Emerging Markets</v>
          </cell>
          <cell r="H9723" t="str">
            <v>SPREADS</v>
          </cell>
          <cell r="I9723" t="str">
            <v>Spread Emerging Markets - Country</v>
          </cell>
        </row>
        <row r="9724">
          <cell r="A9724" t="str">
            <v>EUR_EM_DS_SA</v>
          </cell>
          <cell r="B9724" t="str">
            <v>Emerg Mkt S America</v>
          </cell>
          <cell r="C9724" t="str">
            <v>EM Factors:Emerg Mkt S America</v>
          </cell>
          <cell r="D9724" t="str">
            <v>Spread Duration</v>
          </cell>
          <cell r="E9724" t="str">
            <v>Spread Yield (DxS)</v>
          </cell>
          <cell r="F9724" t="str">
            <v>SP-Spread Emerging Markets - Country</v>
          </cell>
          <cell r="G9724" t="str">
            <v>SP-Spread Emerging Markets</v>
          </cell>
          <cell r="H9724" t="str">
            <v>SPREADS</v>
          </cell>
          <cell r="I9724" t="str">
            <v>Spread Emerging Markets - Country</v>
          </cell>
        </row>
        <row r="9725">
          <cell r="A9725" t="str">
            <v>EUR_EM_DS_SEA</v>
          </cell>
          <cell r="B9725" t="str">
            <v>Emerg Mkt SE Asia</v>
          </cell>
          <cell r="C9725" t="str">
            <v>EM Factors:Emerg Mkt SE Asia</v>
          </cell>
          <cell r="D9725" t="str">
            <v>Spread Duration</v>
          </cell>
          <cell r="E9725" t="str">
            <v>Spread Yield (DxS)</v>
          </cell>
          <cell r="F9725" t="str">
            <v>SP-Spread Emerging Markets - Country</v>
          </cell>
          <cell r="G9725" t="str">
            <v>SP-Spread Emerging Markets</v>
          </cell>
          <cell r="H9725" t="str">
            <v>SPREADS</v>
          </cell>
          <cell r="I9725" t="str">
            <v>Spread Emerging Markets - Country</v>
          </cell>
        </row>
        <row r="9726">
          <cell r="A9726" t="str">
            <v>USD_ARM_AGY_10_1_V640</v>
          </cell>
          <cell r="B9726" t="str">
            <v>10/1 Conventional Hyb ARM V640</v>
          </cell>
          <cell r="C9726" t="str">
            <v>Mortgage Basis:10/1 Conventional Hyb ARM V640</v>
          </cell>
          <cell r="D9726" t="str">
            <v>Spread Duration</v>
          </cell>
          <cell r="E9726" t="str">
            <v>Spread Yield</v>
          </cell>
          <cell r="F9726" t="str">
            <v>Alternative</v>
          </cell>
          <cell r="G9726" t="str">
            <v>Other</v>
          </cell>
          <cell r="H9726" t="str">
            <v>ALTS</v>
          </cell>
          <cell r="I9726" t="str">
            <v>Mortgage - Moneyness</v>
          </cell>
        </row>
        <row r="9727">
          <cell r="A9727" t="str">
            <v>USD_ARM_AGY_5_1_V640</v>
          </cell>
          <cell r="B9727" t="str">
            <v>5/1 Conventional Hyb ARM V640</v>
          </cell>
          <cell r="C9727" t="str">
            <v>Mortgage Basis:5/1 Conventional Hyb ARM V640</v>
          </cell>
          <cell r="D9727" t="str">
            <v>Spread Duration</v>
          </cell>
          <cell r="E9727" t="str">
            <v>Spread Yield</v>
          </cell>
          <cell r="F9727" t="str">
            <v>Alternative</v>
          </cell>
          <cell r="G9727" t="str">
            <v>Other</v>
          </cell>
          <cell r="H9727" t="str">
            <v>ALTS</v>
          </cell>
          <cell r="I9727" t="str">
            <v>Mortgage - Moneyness</v>
          </cell>
        </row>
        <row r="9728">
          <cell r="A9728" t="str">
            <v>USD_ARM_AGY_7_1_V640</v>
          </cell>
          <cell r="B9728" t="str">
            <v>7/1 Conventional Hyb ARM V640</v>
          </cell>
          <cell r="C9728" t="str">
            <v>Mortgage Basis:7/1 Conventional Hyb ARM V640</v>
          </cell>
          <cell r="D9728" t="str">
            <v>Spread Duration</v>
          </cell>
          <cell r="E9728" t="str">
            <v>Spread Yield</v>
          </cell>
          <cell r="F9728" t="str">
            <v>Alternative</v>
          </cell>
          <cell r="G9728" t="str">
            <v>Other</v>
          </cell>
          <cell r="H9728" t="str">
            <v>ALTS</v>
          </cell>
          <cell r="I9728" t="str">
            <v>Mortgage - Moneyness</v>
          </cell>
        </row>
        <row r="9729">
          <cell r="A9729" t="str">
            <v>USD_EM_DS_AF_MAT30</v>
          </cell>
          <cell r="B9729" t="str">
            <v>EM Africa Mat 30</v>
          </cell>
          <cell r="C9729" t="str">
            <v>EM Factors:EM Africa Mat 30</v>
          </cell>
          <cell r="D9729" t="str">
            <v>Spread Duration</v>
          </cell>
          <cell r="E9729" t="str">
            <v>Spread Yield (DxS)</v>
          </cell>
          <cell r="F9729" t="str">
            <v>SP-Spread Emerging Markets - Maturity</v>
          </cell>
          <cell r="G9729" t="str">
            <v>SP-Spread Emerging Markets</v>
          </cell>
          <cell r="H9729" t="str">
            <v>SPREADS</v>
          </cell>
          <cell r="I9729" t="str">
            <v>Spread Emerging Markets - Maturity</v>
          </cell>
        </row>
        <row r="9730">
          <cell r="A9730" t="str">
            <v>USD_EM_DS_EE_MAT30</v>
          </cell>
          <cell r="B9730" t="str">
            <v>EM E Europe Mat 30</v>
          </cell>
          <cell r="C9730" t="str">
            <v>EM Factors:EM E Europe Mat 30</v>
          </cell>
          <cell r="D9730" t="str">
            <v>Spread Duration</v>
          </cell>
          <cell r="E9730" t="str">
            <v>Spread Yield (DxS)</v>
          </cell>
          <cell r="F9730" t="str">
            <v>SP-Spread Emerging Markets - Maturity</v>
          </cell>
          <cell r="G9730" t="str">
            <v>SP-Spread Emerging Markets</v>
          </cell>
          <cell r="H9730" t="str">
            <v>SPREADS</v>
          </cell>
          <cell r="I9730" t="str">
            <v>Spread Emerging Markets - Maturity</v>
          </cell>
        </row>
        <row r="9731">
          <cell r="A9731" t="str">
            <v>USD_EM_DS_ME_MAT30</v>
          </cell>
          <cell r="B9731" t="str">
            <v>EM Mid East Mat 30</v>
          </cell>
          <cell r="C9731" t="str">
            <v>EM Factors:EM Mid East Mat 30</v>
          </cell>
          <cell r="D9731" t="str">
            <v>Spread Duration</v>
          </cell>
          <cell r="E9731" t="str">
            <v>Spread Yield (DxS)</v>
          </cell>
          <cell r="F9731" t="str">
            <v>SP-Spread Emerging Markets - Maturity</v>
          </cell>
          <cell r="G9731" t="str">
            <v>SP-Spread Emerging Markets</v>
          </cell>
          <cell r="H9731" t="str">
            <v>SPREADS</v>
          </cell>
          <cell r="I9731" t="str">
            <v>Spread Emerging Markets - Maturity</v>
          </cell>
        </row>
        <row r="9732">
          <cell r="A9732" t="str">
            <v>USD_EM_DS_SA_MAT30</v>
          </cell>
          <cell r="B9732" t="str">
            <v>EM S America Mat 30</v>
          </cell>
          <cell r="C9732" t="str">
            <v>EM Factors:EM S America Mat 30</v>
          </cell>
          <cell r="D9732" t="str">
            <v>Spread Duration</v>
          </cell>
          <cell r="E9732" t="str">
            <v>Spread Yield (DxS)</v>
          </cell>
          <cell r="F9732" t="str">
            <v>SP-Spread Emerging Markets - Maturity</v>
          </cell>
          <cell r="G9732" t="str">
            <v>SP-Spread Emerging Markets</v>
          </cell>
          <cell r="H9732" t="str">
            <v>SPREADS</v>
          </cell>
          <cell r="I9732" t="str">
            <v>Spread Emerging Markets - Maturity</v>
          </cell>
        </row>
        <row r="9733">
          <cell r="A9733" t="str">
            <v>USD_EM_DS_MIDAF</v>
          </cell>
          <cell r="B9733" t="str">
            <v>Emerg Mkt Mid E Africa</v>
          </cell>
          <cell r="C9733" t="str">
            <v>EM Factors:Emerg Mkt Mid E Africa</v>
          </cell>
          <cell r="D9733" t="str">
            <v>Spread Duration</v>
          </cell>
          <cell r="E9733" t="str">
            <v>Spread Yield (DxS)</v>
          </cell>
          <cell r="F9733" t="str">
            <v>SP-Spread Emerging Markets - Country</v>
          </cell>
          <cell r="G9733" t="str">
            <v>SP-Spread Emerging Markets</v>
          </cell>
          <cell r="H9733" t="str">
            <v>SPREADS</v>
          </cell>
          <cell r="I9733" t="str">
            <v>Spread Emerging Markets - Country</v>
          </cell>
        </row>
        <row r="9734">
          <cell r="A9734" t="str">
            <v>USD_EM_DS_SEA_MAT30</v>
          </cell>
          <cell r="B9734" t="str">
            <v>EM SE Asia Mat 30</v>
          </cell>
          <cell r="C9734" t="str">
            <v>EM Factors:EM SE Asia Mat 30</v>
          </cell>
          <cell r="D9734" t="str">
            <v>Spread Duration</v>
          </cell>
          <cell r="E9734" t="str">
            <v>Spread Yield (DxS)</v>
          </cell>
          <cell r="F9734" t="str">
            <v>SP-Spread Emerging Markets - Maturity</v>
          </cell>
          <cell r="G9734" t="str">
            <v>SP-Spread Emerging Markets</v>
          </cell>
          <cell r="H9734" t="str">
            <v>SPREADS</v>
          </cell>
          <cell r="I9734" t="str">
            <v>Spread Emerging Markets - Maturity</v>
          </cell>
        </row>
        <row r="9735">
          <cell r="A9735" t="str">
            <v>USD_TBA_ITM15_V640</v>
          </cell>
          <cell r="B9735" t="str">
            <v>TBA30 ITM150 V640</v>
          </cell>
          <cell r="C9735" t="str">
            <v>TBA 640:TBA30 ITM150 V640</v>
          </cell>
          <cell r="D9735" t="str">
            <v>Spread Duration</v>
          </cell>
          <cell r="E9735" t="str">
            <v>Spread Yield</v>
          </cell>
          <cell r="F9735" t="str">
            <v>Alternative</v>
          </cell>
          <cell r="G9735" t="str">
            <v>Other</v>
          </cell>
          <cell r="H9735" t="str">
            <v>ALTS</v>
          </cell>
          <cell r="I9735" t="str">
            <v>Mortgage - Moneyness</v>
          </cell>
        </row>
        <row r="9736">
          <cell r="A9736" t="str">
            <v>USD_TBA15_ATM_V640</v>
          </cell>
          <cell r="B9736" t="str">
            <v>TBA15 ATM V640</v>
          </cell>
          <cell r="C9736" t="str">
            <v>TBA 640:TBA15 ATM V640</v>
          </cell>
          <cell r="D9736" t="str">
            <v>Spread Duration</v>
          </cell>
          <cell r="E9736" t="str">
            <v>Spread Yield</v>
          </cell>
          <cell r="F9736" t="str">
            <v>Alternative</v>
          </cell>
          <cell r="G9736" t="str">
            <v>Other</v>
          </cell>
          <cell r="H9736" t="str">
            <v>ALTS</v>
          </cell>
          <cell r="I9736" t="str">
            <v>Mortgage - Moneyness</v>
          </cell>
        </row>
        <row r="9737">
          <cell r="A9737" t="str">
            <v>USD_TBA15_OTM5_V640</v>
          </cell>
          <cell r="B9737" t="str">
            <v>TBA15 OTM50 V640</v>
          </cell>
          <cell r="C9737" t="str">
            <v>TBA 640:TBA15 OTM50 V640</v>
          </cell>
          <cell r="D9737" t="str">
            <v>Spread Duration</v>
          </cell>
          <cell r="E9737" t="str">
            <v>Spread Yield</v>
          </cell>
          <cell r="F9737" t="str">
            <v>Alternative</v>
          </cell>
          <cell r="G9737" t="str">
            <v>Other</v>
          </cell>
          <cell r="H9737" t="str">
            <v>ALTS</v>
          </cell>
          <cell r="I9737" t="str">
            <v>Mortgage - Moneyness</v>
          </cell>
        </row>
        <row r="9738">
          <cell r="A9738" t="str">
            <v>CNY_CORP_HY</v>
          </cell>
          <cell r="B9738" t="str">
            <v>CNY HY</v>
          </cell>
          <cell r="C9738" t="str">
            <v>Other:CNY HY</v>
          </cell>
          <cell r="D9738" t="str">
            <v>Spread Duration</v>
          </cell>
          <cell r="E9738" t="str">
            <v>Spread Yield (DxS)</v>
          </cell>
          <cell r="F9738" t="str">
            <v>Sp-Corporate HY Other</v>
          </cell>
          <cell r="G9738" t="str">
            <v>SP-Spread Corporate</v>
          </cell>
          <cell r="H9738" t="str">
            <v>SPREADS</v>
          </cell>
          <cell r="I9738" t="str">
            <v>Corporate HY Other - Other</v>
          </cell>
        </row>
        <row r="9739">
          <cell r="A9739" t="str">
            <v>USD_TBA_ITM10_V630_E</v>
          </cell>
          <cell r="B9739" t="str">
            <v>TBA30 ITM100 V630</v>
          </cell>
          <cell r="C9739" t="str">
            <v>TBA 630 External:TBA30 ITM100 V630</v>
          </cell>
          <cell r="D9739" t="str">
            <v>Spread Duration</v>
          </cell>
          <cell r="E9739" t="str">
            <v>Spread Yield</v>
          </cell>
          <cell r="F9739" t="str">
            <v>Alternative</v>
          </cell>
          <cell r="G9739" t="str">
            <v>Other</v>
          </cell>
          <cell r="H9739" t="str">
            <v>ALTS</v>
          </cell>
          <cell r="I9739" t="str">
            <v>Mortgage - Moneyness</v>
          </cell>
        </row>
        <row r="9740">
          <cell r="A9740" t="str">
            <v>USD_TBA15_OTM10_V630_E</v>
          </cell>
          <cell r="B9740" t="str">
            <v>TBA15 OTM100 V630</v>
          </cell>
          <cell r="C9740" t="str">
            <v>TBA 630 External:TBA15 OTM100 V630</v>
          </cell>
          <cell r="D9740" t="str">
            <v>Spread Duration</v>
          </cell>
          <cell r="E9740" t="str">
            <v>Spread Yield</v>
          </cell>
          <cell r="F9740" t="str">
            <v>Alternative</v>
          </cell>
          <cell r="G9740" t="str">
            <v>Other</v>
          </cell>
          <cell r="H9740" t="str">
            <v>ALTS</v>
          </cell>
          <cell r="I9740" t="str">
            <v>Mortgage - Moneyness</v>
          </cell>
        </row>
        <row r="9741">
          <cell r="A9741" t="str">
            <v>USD_TBA_ITM20_V640</v>
          </cell>
          <cell r="B9741" t="str">
            <v>TBA30 ITM200 V640</v>
          </cell>
          <cell r="C9741" t="str">
            <v>TBA 640:TBA30 ITM200 V640</v>
          </cell>
          <cell r="D9741" t="str">
            <v>Spread Duration</v>
          </cell>
          <cell r="E9741" t="str">
            <v>Spread Yield</v>
          </cell>
          <cell r="F9741" t="str">
            <v>Alternative</v>
          </cell>
          <cell r="G9741" t="str">
            <v>Other</v>
          </cell>
          <cell r="H9741" t="str">
            <v>ALTS</v>
          </cell>
          <cell r="I9741" t="str">
            <v>Mortgage - Moneyness</v>
          </cell>
        </row>
        <row r="9742">
          <cell r="A9742" t="str">
            <v>CLP_libor_1yr</v>
          </cell>
          <cell r="B9742" t="str">
            <v>CLP OIS-GOVT 1Y</v>
          </cell>
          <cell r="C9742" t="str">
            <v>CLP OIS-GOVT Sprd:CLP OIS-GOVT 1Y</v>
          </cell>
          <cell r="D9742" t="str">
            <v>Libor KRD</v>
          </cell>
          <cell r="E9742" t="str">
            <v>Yield</v>
          </cell>
          <cell r="F9742" t="str">
            <v>SP-Other</v>
          </cell>
          <cell r="G9742" t="str">
            <v>SP-Other</v>
          </cell>
          <cell r="H9742" t="str">
            <v>SPREADS</v>
          </cell>
          <cell r="I9742" t="str">
            <v>Swap Spread - Libor</v>
          </cell>
        </row>
        <row r="9743">
          <cell r="A9743" t="str">
            <v>CLP_libor_2yr</v>
          </cell>
          <cell r="B9743" t="str">
            <v>CLP OIS-GOVT 2Y</v>
          </cell>
          <cell r="C9743" t="str">
            <v>CLP OIS-GOVT Sprd:CLP OIS-GOVT 2Y</v>
          </cell>
          <cell r="D9743" t="str">
            <v>Libor KRD</v>
          </cell>
          <cell r="E9743" t="str">
            <v>Yield</v>
          </cell>
          <cell r="F9743" t="str">
            <v>SP-Other</v>
          </cell>
          <cell r="G9743" t="str">
            <v>SP-Other</v>
          </cell>
          <cell r="H9743" t="str">
            <v>SPREADS</v>
          </cell>
          <cell r="I9743" t="str">
            <v>Swap Spread - Libor</v>
          </cell>
        </row>
        <row r="9744">
          <cell r="A9744" t="str">
            <v>CLP_libor_3m</v>
          </cell>
          <cell r="B9744" t="str">
            <v>CLP OIS-GOVT 3M</v>
          </cell>
          <cell r="C9744" t="str">
            <v>CLP OIS-GOVT Sprd:CLP OIS-GOVT 3M</v>
          </cell>
          <cell r="D9744" t="str">
            <v>Libor KRD</v>
          </cell>
          <cell r="E9744" t="str">
            <v>Yield</v>
          </cell>
          <cell r="F9744" t="str">
            <v>SP-Other</v>
          </cell>
          <cell r="G9744" t="str">
            <v>SP-Other</v>
          </cell>
          <cell r="H9744" t="str">
            <v>SPREADS</v>
          </cell>
          <cell r="I9744" t="str">
            <v>Swap Spread - Libor</v>
          </cell>
        </row>
        <row r="9745">
          <cell r="A9745" t="str">
            <v>EGP_10yr</v>
          </cell>
          <cell r="B9745" t="str">
            <v>EGP 10Y</v>
          </cell>
          <cell r="C9745" t="str">
            <v>Other:EGP 10Y</v>
          </cell>
          <cell r="D9745" t="str">
            <v>KRD</v>
          </cell>
          <cell r="E9745" t="str">
            <v>Convexity</v>
          </cell>
          <cell r="F9745" t="str">
            <v>FI-Govt Emerging Markets</v>
          </cell>
          <cell r="G9745" t="str">
            <v>FI-Other</v>
          </cell>
          <cell r="H9745" t="str">
            <v>RATES</v>
          </cell>
          <cell r="I9745" t="str">
            <v>Govt Emerging Markets</v>
          </cell>
        </row>
        <row r="9746">
          <cell r="A9746" t="str">
            <v>EGP_10yr_10yr</v>
          </cell>
          <cell r="B9746" t="str">
            <v>EGP 10Y ^2</v>
          </cell>
          <cell r="C9746" t="str">
            <v>Convexity:EGP 10Y ^2</v>
          </cell>
          <cell r="D9746" t="str">
            <v>Convexity</v>
          </cell>
          <cell r="E9746" t="str">
            <v>Convexity</v>
          </cell>
          <cell r="F9746" t="str">
            <v>FI-Convexity</v>
          </cell>
          <cell r="G9746" t="str">
            <v>FI-Other</v>
          </cell>
          <cell r="H9746" t="str">
            <v>RATES</v>
          </cell>
          <cell r="I9746" t="str">
            <v>Convexity</v>
          </cell>
        </row>
        <row r="9747">
          <cell r="A9747" t="str">
            <v>EGP_15yr</v>
          </cell>
          <cell r="B9747" t="str">
            <v>EGP 15Y</v>
          </cell>
          <cell r="C9747" t="str">
            <v>Other:EGP 15Y</v>
          </cell>
          <cell r="D9747" t="str">
            <v>KRD</v>
          </cell>
          <cell r="E9747" t="str">
            <v>Yield</v>
          </cell>
          <cell r="F9747" t="str">
            <v>FI-Govt Emerging Markets</v>
          </cell>
          <cell r="G9747" t="str">
            <v>FI-Other</v>
          </cell>
          <cell r="H9747" t="str">
            <v>RATES</v>
          </cell>
          <cell r="I9747" t="str">
            <v>Govt Emerging Markets</v>
          </cell>
        </row>
        <row r="9748">
          <cell r="A9748" t="str">
            <v>EGP_1yr</v>
          </cell>
          <cell r="B9748" t="str">
            <v>EGP 1Y</v>
          </cell>
          <cell r="C9748" t="str">
            <v>Other:EGP 1Y</v>
          </cell>
          <cell r="D9748" t="str">
            <v>KRD</v>
          </cell>
          <cell r="E9748" t="str">
            <v>Yield</v>
          </cell>
          <cell r="F9748" t="str">
            <v>FI-Govt Emerging Markets</v>
          </cell>
          <cell r="G9748" t="str">
            <v>FI-Other</v>
          </cell>
          <cell r="H9748" t="str">
            <v>RATES</v>
          </cell>
          <cell r="I9748" t="str">
            <v>Govt Emerging Markets</v>
          </cell>
        </row>
        <row r="9749">
          <cell r="A9749" t="str">
            <v>EGP_2yr</v>
          </cell>
          <cell r="B9749" t="str">
            <v>EGP 2Y</v>
          </cell>
          <cell r="C9749" t="str">
            <v>Other:EGP 2Y</v>
          </cell>
          <cell r="D9749" t="str">
            <v>KRD</v>
          </cell>
          <cell r="E9749" t="str">
            <v>Yield</v>
          </cell>
          <cell r="F9749" t="str">
            <v>FI-Govt Emerging Markets</v>
          </cell>
          <cell r="G9749" t="str">
            <v>FI-Other</v>
          </cell>
          <cell r="H9749" t="str">
            <v>RATES</v>
          </cell>
          <cell r="I9749" t="str">
            <v>Govt Emerging Markets</v>
          </cell>
        </row>
        <row r="9750">
          <cell r="A9750" t="str">
            <v>EGP_3m</v>
          </cell>
          <cell r="B9750" t="str">
            <v>EGP 3M</v>
          </cell>
          <cell r="C9750" t="str">
            <v>Other:EGP 3M</v>
          </cell>
          <cell r="D9750" t="str">
            <v>KRD</v>
          </cell>
          <cell r="E9750" t="str">
            <v>Yield</v>
          </cell>
          <cell r="F9750" t="str">
            <v>FI-Govt Emerging Markets</v>
          </cell>
          <cell r="G9750" t="str">
            <v>FI-Other</v>
          </cell>
          <cell r="H9750" t="str">
            <v>RATES</v>
          </cell>
          <cell r="I9750" t="str">
            <v>Govt Emerging Markets</v>
          </cell>
        </row>
        <row r="9751">
          <cell r="A9751" t="str">
            <v>EGP_3yr</v>
          </cell>
          <cell r="B9751" t="str">
            <v>EGP 3Y</v>
          </cell>
          <cell r="C9751" t="str">
            <v>Other:EGP 3Y</v>
          </cell>
          <cell r="D9751" t="str">
            <v>KRD</v>
          </cell>
          <cell r="E9751" t="str">
            <v>Yield</v>
          </cell>
          <cell r="F9751" t="str">
            <v>FI-Govt Emerging Markets</v>
          </cell>
          <cell r="G9751" t="str">
            <v>FI-Other</v>
          </cell>
          <cell r="H9751" t="str">
            <v>RATES</v>
          </cell>
          <cell r="I9751" t="str">
            <v>Govt Emerging Markets</v>
          </cell>
        </row>
        <row r="9752">
          <cell r="A9752" t="str">
            <v>EGP_5yr</v>
          </cell>
          <cell r="B9752" t="str">
            <v>EGP 5Y</v>
          </cell>
          <cell r="C9752" t="str">
            <v>Other:EGP 5Y</v>
          </cell>
          <cell r="D9752" t="str">
            <v>KRD</v>
          </cell>
          <cell r="E9752" t="str">
            <v>Yield</v>
          </cell>
          <cell r="F9752" t="str">
            <v>FI-Govt Emerging Markets</v>
          </cell>
          <cell r="G9752" t="str">
            <v>FI-Other</v>
          </cell>
          <cell r="H9752" t="str">
            <v>RATES</v>
          </cell>
          <cell r="I9752" t="str">
            <v>Govt Emerging Markets</v>
          </cell>
        </row>
        <row r="9753">
          <cell r="A9753" t="str">
            <v>EGP_7yr</v>
          </cell>
          <cell r="B9753" t="str">
            <v>EGP 7Y</v>
          </cell>
          <cell r="C9753" t="str">
            <v>Other:EGP 7Y</v>
          </cell>
          <cell r="D9753" t="str">
            <v>KRD</v>
          </cell>
          <cell r="E9753" t="str">
            <v>Yield</v>
          </cell>
          <cell r="F9753" t="str">
            <v>FI-Govt Emerging Markets</v>
          </cell>
          <cell r="G9753" t="str">
            <v>FI-Other</v>
          </cell>
          <cell r="H9753" t="str">
            <v>RATES</v>
          </cell>
          <cell r="I9753" t="str">
            <v>Govt Emerging Markets</v>
          </cell>
        </row>
        <row r="9754">
          <cell r="A9754" t="str">
            <v>SAR_10yr</v>
          </cell>
          <cell r="B9754" t="str">
            <v>SAR 10Y</v>
          </cell>
          <cell r="C9754" t="str">
            <v>Other:SAR 10Y</v>
          </cell>
          <cell r="D9754" t="str">
            <v>KRD</v>
          </cell>
          <cell r="E9754" t="str">
            <v>Yield</v>
          </cell>
          <cell r="F9754" t="str">
            <v>FI-Govt Emerging Markets</v>
          </cell>
          <cell r="G9754" t="str">
            <v>FI-Other</v>
          </cell>
          <cell r="H9754" t="str">
            <v>RATES</v>
          </cell>
          <cell r="I9754" t="str">
            <v>Govt Emerging Markets</v>
          </cell>
        </row>
        <row r="9755">
          <cell r="A9755" t="str">
            <v>SAR_10yr_10yr</v>
          </cell>
          <cell r="B9755" t="str">
            <v>SAR 10Y ^2</v>
          </cell>
          <cell r="C9755" t="str">
            <v>Convexity:SAR 10Y ^2</v>
          </cell>
          <cell r="D9755" t="str">
            <v>Convexity</v>
          </cell>
          <cell r="E9755" t="str">
            <v>Convexity</v>
          </cell>
          <cell r="F9755" t="str">
            <v>FI-Convexity</v>
          </cell>
          <cell r="G9755" t="str">
            <v>FI-Other</v>
          </cell>
          <cell r="H9755" t="str">
            <v>RATES</v>
          </cell>
          <cell r="I9755" t="str">
            <v>Convexity</v>
          </cell>
        </row>
        <row r="9756">
          <cell r="A9756" t="str">
            <v>SAR_15yr</v>
          </cell>
          <cell r="B9756" t="str">
            <v>SAR 15Y</v>
          </cell>
          <cell r="C9756" t="str">
            <v>Other:SAR 15Y</v>
          </cell>
          <cell r="D9756" t="str">
            <v>KRD</v>
          </cell>
          <cell r="E9756" t="str">
            <v>Yield</v>
          </cell>
          <cell r="F9756" t="str">
            <v>FI-Govt Emerging Markets</v>
          </cell>
          <cell r="G9756" t="str">
            <v>FI-Other</v>
          </cell>
          <cell r="H9756" t="str">
            <v>RATES</v>
          </cell>
          <cell r="I9756" t="str">
            <v>Govt Emerging Markets</v>
          </cell>
        </row>
        <row r="9757">
          <cell r="A9757" t="str">
            <v>SAR_1yr</v>
          </cell>
          <cell r="B9757" t="str">
            <v>SAR 1Y</v>
          </cell>
          <cell r="C9757" t="str">
            <v>Other:SAR 1Y</v>
          </cell>
          <cell r="D9757" t="str">
            <v>KRD</v>
          </cell>
          <cell r="E9757" t="str">
            <v>Yield</v>
          </cell>
          <cell r="F9757" t="str">
            <v>FI-Govt Emerging Markets</v>
          </cell>
          <cell r="G9757" t="str">
            <v>FI-Other</v>
          </cell>
          <cell r="H9757" t="str">
            <v>RATES</v>
          </cell>
          <cell r="I9757" t="str">
            <v>Govt Emerging Markets</v>
          </cell>
        </row>
        <row r="9758">
          <cell r="A9758" t="str">
            <v>SAR_20yr</v>
          </cell>
          <cell r="B9758" t="str">
            <v>SAR 20Y</v>
          </cell>
          <cell r="C9758" t="str">
            <v>Other:SAR 20Y</v>
          </cell>
          <cell r="D9758" t="str">
            <v>KRD</v>
          </cell>
          <cell r="E9758" t="str">
            <v>Yield</v>
          </cell>
          <cell r="F9758" t="str">
            <v>FI-Govt Emerging Markets</v>
          </cell>
          <cell r="G9758" t="str">
            <v>FI-Other</v>
          </cell>
          <cell r="H9758" t="str">
            <v>RATES</v>
          </cell>
          <cell r="I9758" t="str">
            <v>Govt Emerging Markets</v>
          </cell>
        </row>
        <row r="9759">
          <cell r="A9759" t="str">
            <v>SAR_25yr</v>
          </cell>
          <cell r="B9759" t="str">
            <v>SAR 25Y</v>
          </cell>
          <cell r="C9759" t="str">
            <v>Other:SAR 25Y</v>
          </cell>
          <cell r="D9759" t="str">
            <v>KRD</v>
          </cell>
          <cell r="E9759" t="str">
            <v>Yield</v>
          </cell>
          <cell r="F9759" t="str">
            <v>FI-Govt Emerging Markets</v>
          </cell>
          <cell r="G9759" t="str">
            <v>FI-Other</v>
          </cell>
          <cell r="H9759" t="str">
            <v>RATES</v>
          </cell>
          <cell r="I9759" t="str">
            <v>Govt Emerging Markets</v>
          </cell>
        </row>
        <row r="9760">
          <cell r="A9760" t="str">
            <v>SAR_2yr</v>
          </cell>
          <cell r="B9760" t="str">
            <v>SAR 2Y</v>
          </cell>
          <cell r="C9760" t="str">
            <v>Other:SAR 2Y</v>
          </cell>
          <cell r="D9760" t="str">
            <v>KRD</v>
          </cell>
          <cell r="E9760" t="str">
            <v>Yield</v>
          </cell>
          <cell r="F9760" t="str">
            <v>FI-Govt Emerging Markets</v>
          </cell>
          <cell r="G9760" t="str">
            <v>FI-Other</v>
          </cell>
          <cell r="H9760" t="str">
            <v>RATES</v>
          </cell>
          <cell r="I9760" t="str">
            <v>Govt Emerging Markets</v>
          </cell>
        </row>
        <row r="9761">
          <cell r="A9761" t="str">
            <v>SAR_30yr</v>
          </cell>
          <cell r="B9761" t="str">
            <v>SAR 30Y</v>
          </cell>
          <cell r="C9761" t="str">
            <v>Other:SAR 30Y</v>
          </cell>
          <cell r="D9761" t="str">
            <v>KRD</v>
          </cell>
          <cell r="E9761" t="str">
            <v>Yield</v>
          </cell>
          <cell r="F9761" t="str">
            <v>FI-Govt Emerging Markets</v>
          </cell>
          <cell r="G9761" t="str">
            <v>FI-Other</v>
          </cell>
          <cell r="H9761" t="str">
            <v>RATES</v>
          </cell>
          <cell r="I9761" t="str">
            <v>Govt Emerging Markets</v>
          </cell>
        </row>
        <row r="9762">
          <cell r="A9762" t="str">
            <v>SAR_3m</v>
          </cell>
          <cell r="B9762" t="str">
            <v>SAR 3M</v>
          </cell>
          <cell r="C9762" t="str">
            <v>Other:SAR 3M</v>
          </cell>
          <cell r="D9762" t="str">
            <v>KRD</v>
          </cell>
          <cell r="E9762" t="str">
            <v>Yield</v>
          </cell>
          <cell r="F9762" t="str">
            <v>FI-Govt Emerging Markets</v>
          </cell>
          <cell r="G9762" t="str">
            <v>FI-Other</v>
          </cell>
          <cell r="H9762" t="str">
            <v>RATES</v>
          </cell>
          <cell r="I9762" t="str">
            <v>Govt Emerging Markets</v>
          </cell>
        </row>
        <row r="9763">
          <cell r="A9763" t="str">
            <v>SAR_3yr</v>
          </cell>
          <cell r="B9763" t="str">
            <v>SAR 3Y</v>
          </cell>
          <cell r="C9763" t="str">
            <v>Other:SAR 3Y</v>
          </cell>
          <cell r="D9763" t="str">
            <v>KRD</v>
          </cell>
          <cell r="E9763" t="str">
            <v>Yield</v>
          </cell>
          <cell r="F9763" t="str">
            <v>FI-Govt Emerging Markets</v>
          </cell>
          <cell r="G9763" t="str">
            <v>FI-Other</v>
          </cell>
          <cell r="H9763" t="str">
            <v>RATES</v>
          </cell>
          <cell r="I9763" t="str">
            <v>Govt Emerging Markets</v>
          </cell>
        </row>
        <row r="9764">
          <cell r="A9764" t="str">
            <v>SAR_5yr</v>
          </cell>
          <cell r="B9764" t="str">
            <v>SAR 5Y</v>
          </cell>
          <cell r="C9764" t="str">
            <v>Other:SAR 5Y</v>
          </cell>
          <cell r="D9764" t="str">
            <v>KRD</v>
          </cell>
          <cell r="E9764" t="str">
            <v>Yield</v>
          </cell>
          <cell r="F9764" t="str">
            <v>FI-Govt Emerging Markets</v>
          </cell>
          <cell r="G9764" t="str">
            <v>FI-Other</v>
          </cell>
          <cell r="H9764" t="str">
            <v>RATES</v>
          </cell>
          <cell r="I9764" t="str">
            <v>Govt Emerging Markets</v>
          </cell>
        </row>
        <row r="9765">
          <cell r="A9765" t="str">
            <v>SAR_7yr</v>
          </cell>
          <cell r="B9765" t="str">
            <v>SAR 7Y</v>
          </cell>
          <cell r="C9765" t="str">
            <v>Other:SAR 7Y</v>
          </cell>
          <cell r="D9765" t="str">
            <v>KRD</v>
          </cell>
          <cell r="E9765" t="str">
            <v>Yield</v>
          </cell>
          <cell r="F9765" t="str">
            <v>FI-Govt Emerging Markets</v>
          </cell>
          <cell r="G9765" t="str">
            <v>FI-Other</v>
          </cell>
          <cell r="H9765" t="str">
            <v>RATES</v>
          </cell>
          <cell r="I9765" t="str">
            <v>Govt Emerging Markets</v>
          </cell>
        </row>
        <row r="9766">
          <cell r="A9766" t="str">
            <v>CAD_corra_1yr</v>
          </cell>
          <cell r="B9766" t="str">
            <v>CAD CORRA 1Y</v>
          </cell>
          <cell r="C9766" t="str">
            <v>CAD CORRA:CAD CORRA 1Y</v>
          </cell>
          <cell r="D9766" t="str">
            <v>Libor KRD</v>
          </cell>
          <cell r="E9766" t="str">
            <v>Yield</v>
          </cell>
          <cell r="F9766" t="str">
            <v>SP-Other</v>
          </cell>
          <cell r="G9766" t="str">
            <v>SP-Other</v>
          </cell>
          <cell r="H9766" t="str">
            <v>SPREADS</v>
          </cell>
          <cell r="I9766" t="str">
            <v>Swap Spread - OIS</v>
          </cell>
        </row>
        <row r="9767">
          <cell r="A9767" t="str">
            <v>CAD_corra_2yr</v>
          </cell>
          <cell r="B9767" t="str">
            <v>CAD CORRA 2Y</v>
          </cell>
          <cell r="C9767" t="str">
            <v>CAD CORRA:CAD CORRA 2Y</v>
          </cell>
          <cell r="D9767" t="str">
            <v>Libor KRD</v>
          </cell>
          <cell r="E9767" t="str">
            <v>Yield</v>
          </cell>
          <cell r="F9767" t="str">
            <v>SP-Other</v>
          </cell>
          <cell r="G9767" t="str">
            <v>SP-Other</v>
          </cell>
          <cell r="H9767" t="str">
            <v>SPREADS</v>
          </cell>
          <cell r="I9767" t="str">
            <v>Swap Spread - OIS</v>
          </cell>
        </row>
        <row r="9768">
          <cell r="A9768" t="str">
            <v>CAD_corra_3m</v>
          </cell>
          <cell r="B9768" t="str">
            <v>CAD CORRA 3M</v>
          </cell>
          <cell r="C9768" t="str">
            <v>CAD CORRA:CAD CORRA 3M</v>
          </cell>
          <cell r="D9768" t="str">
            <v>Libor KRD</v>
          </cell>
          <cell r="E9768" t="str">
            <v>Yield</v>
          </cell>
          <cell r="F9768" t="str">
            <v>SP-Other</v>
          </cell>
          <cell r="G9768" t="str">
            <v>SP-Other</v>
          </cell>
          <cell r="H9768" t="str">
            <v>SPREADS</v>
          </cell>
          <cell r="I9768" t="str">
            <v>Swap Spread - OIS</v>
          </cell>
        </row>
        <row r="9769">
          <cell r="A9769" t="str">
            <v>CAD_corra_3yr</v>
          </cell>
          <cell r="B9769" t="str">
            <v>CAD CORRA 3Y</v>
          </cell>
          <cell r="C9769" t="str">
            <v>CAD CORRA:CAD CORRA 3Y</v>
          </cell>
          <cell r="D9769" t="str">
            <v>Libor KRD</v>
          </cell>
          <cell r="E9769" t="str">
            <v>Yield</v>
          </cell>
          <cell r="F9769" t="str">
            <v>SP-Other</v>
          </cell>
          <cell r="G9769" t="str">
            <v>SP-Other</v>
          </cell>
          <cell r="H9769" t="str">
            <v>SPREADS</v>
          </cell>
          <cell r="I9769" t="str">
            <v>Swap Spread - OIS</v>
          </cell>
        </row>
        <row r="9770">
          <cell r="A9770" t="str">
            <v>CAD_corra_5yr</v>
          </cell>
          <cell r="B9770" t="str">
            <v>CAD CORRA 5Y</v>
          </cell>
          <cell r="C9770" t="str">
            <v>CAD CORRA:CAD CORRA 5Y</v>
          </cell>
          <cell r="D9770" t="str">
            <v>Libor KRD</v>
          </cell>
          <cell r="E9770" t="str">
            <v>Yield</v>
          </cell>
          <cell r="F9770" t="str">
            <v>SP-Other</v>
          </cell>
          <cell r="G9770" t="str">
            <v>SP-Other</v>
          </cell>
          <cell r="H9770" t="str">
            <v>SPREADS</v>
          </cell>
          <cell r="I9770" t="str">
            <v>Swap Spread - OIS</v>
          </cell>
        </row>
        <row r="9771">
          <cell r="A9771" t="str">
            <v>CAD_corra_7Yr</v>
          </cell>
          <cell r="B9771" t="str">
            <v>CAD CORRA 7Y</v>
          </cell>
          <cell r="C9771" t="str">
            <v>CAD CORRA:CAD CORRA 7Y</v>
          </cell>
          <cell r="D9771" t="str">
            <v>Libor KRD</v>
          </cell>
          <cell r="E9771" t="str">
            <v>Yield</v>
          </cell>
          <cell r="F9771" t="str">
            <v>SP-Other</v>
          </cell>
          <cell r="G9771" t="str">
            <v>SP-Other</v>
          </cell>
          <cell r="H9771" t="str">
            <v>SPREADS</v>
          </cell>
          <cell r="I9771" t="str">
            <v>Swap Spread - OIS</v>
          </cell>
        </row>
        <row r="9772">
          <cell r="A9772" t="str">
            <v>CLP_libor_3yr</v>
          </cell>
          <cell r="B9772" t="str">
            <v>CLP OIS-GOVT 3Y</v>
          </cell>
          <cell r="C9772" t="str">
            <v>CLP OIS-GOVT Sprd:CLP OIS-GOVT 3Y</v>
          </cell>
          <cell r="D9772" t="str">
            <v>Libor KRD</v>
          </cell>
          <cell r="E9772" t="str">
            <v>Yield</v>
          </cell>
          <cell r="F9772" t="str">
            <v>SP-Other</v>
          </cell>
          <cell r="G9772" t="str">
            <v>SP-Other</v>
          </cell>
          <cell r="H9772" t="str">
            <v>SPREADS</v>
          </cell>
          <cell r="I9772" t="str">
            <v>Swap Spread - Libor</v>
          </cell>
        </row>
        <row r="9773">
          <cell r="A9773" t="str">
            <v>CLP_libor_5yr</v>
          </cell>
          <cell r="B9773" t="str">
            <v>CLP OIS-GOVT 5Y</v>
          </cell>
          <cell r="C9773" t="str">
            <v>CLP OIS-GOVT Sprd:CLP OIS-GOVT 5Y</v>
          </cell>
          <cell r="D9773" t="str">
            <v>Libor KRD</v>
          </cell>
          <cell r="E9773" t="str">
            <v>Yield</v>
          </cell>
          <cell r="F9773" t="str">
            <v>SP-Other</v>
          </cell>
          <cell r="G9773" t="str">
            <v>SP-Other</v>
          </cell>
          <cell r="H9773" t="str">
            <v>SPREADS</v>
          </cell>
          <cell r="I9773" t="str">
            <v>Swap Spread - Libor</v>
          </cell>
        </row>
        <row r="9774">
          <cell r="A9774" t="str">
            <v>USD_CMO_V640</v>
          </cell>
          <cell r="B9774" t="str">
            <v>CMO V640</v>
          </cell>
          <cell r="C9774" t="str">
            <v>Mortgage Basis:CMO V640</v>
          </cell>
          <cell r="D9774" t="str">
            <v>Spread Duration</v>
          </cell>
          <cell r="E9774" t="str">
            <v>Spread Yield</v>
          </cell>
          <cell r="F9774" t="str">
            <v>Alternative</v>
          </cell>
          <cell r="G9774" t="str">
            <v>Other</v>
          </cell>
          <cell r="H9774" t="str">
            <v>ALTS</v>
          </cell>
          <cell r="I9774" t="str">
            <v>Mortgage - Moneyness</v>
          </cell>
        </row>
        <row r="9775">
          <cell r="A9775" t="str">
            <v>USD_CMO_IO_OTM20_V640</v>
          </cell>
          <cell r="B9775" t="str">
            <v>CMO IO OTM200 V640</v>
          </cell>
          <cell r="C9775" t="str">
            <v>Mortgage Basis:CMO IO OTM200 V640</v>
          </cell>
          <cell r="D9775" t="str">
            <v>Spread Duration</v>
          </cell>
          <cell r="E9775" t="str">
            <v>Spread Yield</v>
          </cell>
          <cell r="F9775" t="str">
            <v>Alternative</v>
          </cell>
          <cell r="G9775" t="str">
            <v>Other</v>
          </cell>
          <cell r="H9775" t="str">
            <v>ALTS</v>
          </cell>
          <cell r="I9775" t="str">
            <v>Mortgage - Moneyness</v>
          </cell>
        </row>
        <row r="9776">
          <cell r="A9776" t="str">
            <v>USD_CMO_IO_OTM25_V640</v>
          </cell>
          <cell r="B9776" t="str">
            <v>CMO IO OTM250 V640</v>
          </cell>
          <cell r="C9776" t="str">
            <v>Mortgage Basis:CMO IO OTM250 V640</v>
          </cell>
          <cell r="D9776" t="str">
            <v>Spread Duration</v>
          </cell>
          <cell r="E9776" t="str">
            <v>Spread Yield</v>
          </cell>
          <cell r="F9776" t="str">
            <v>Alternative</v>
          </cell>
          <cell r="G9776" t="str">
            <v>Other</v>
          </cell>
          <cell r="H9776" t="str">
            <v>ALTS</v>
          </cell>
          <cell r="I9776" t="str">
            <v>Mortgage - Moneyness</v>
          </cell>
        </row>
        <row r="9777">
          <cell r="A9777" t="str">
            <v>USD_CMO_IO_OTM30_V640</v>
          </cell>
          <cell r="B9777" t="str">
            <v>CMO IO OTM300 V640</v>
          </cell>
          <cell r="C9777" t="str">
            <v>Mortgage Basis:CMO IO OTM300 V640</v>
          </cell>
          <cell r="D9777" t="str">
            <v>Spread Duration</v>
          </cell>
          <cell r="E9777" t="str">
            <v>Spread Yield</v>
          </cell>
          <cell r="F9777" t="str">
            <v>Alternative</v>
          </cell>
          <cell r="G9777" t="str">
            <v>Other</v>
          </cell>
          <cell r="H9777" t="str">
            <v>ALTS</v>
          </cell>
          <cell r="I9777" t="str">
            <v>Mortgage - Moneyness</v>
          </cell>
        </row>
        <row r="9778">
          <cell r="A9778" t="str">
            <v>USD_CMO_IO_OTM35_V640</v>
          </cell>
          <cell r="B9778" t="str">
            <v>CMO IO OTM350 V640</v>
          </cell>
          <cell r="C9778" t="str">
            <v>Mortgage Basis:CMO IO OTM350 V640</v>
          </cell>
          <cell r="D9778" t="str">
            <v>Spread Duration</v>
          </cell>
          <cell r="E9778" t="str">
            <v>Spread Yield</v>
          </cell>
          <cell r="F9778" t="str">
            <v>Alternative</v>
          </cell>
          <cell r="G9778" t="str">
            <v>Other</v>
          </cell>
          <cell r="H9778" t="str">
            <v>ALTS</v>
          </cell>
          <cell r="I9778" t="str">
            <v>Mortgage - Moneyness</v>
          </cell>
        </row>
        <row r="9779">
          <cell r="A9779" t="str">
            <v>USD_CMO_PAC_LNG_V640</v>
          </cell>
          <cell r="B9779" t="str">
            <v>CMO PAC Long V640</v>
          </cell>
          <cell r="C9779" t="str">
            <v>Mortgage Basis:CMO PAC Long V640</v>
          </cell>
          <cell r="D9779" t="str">
            <v>Spread Duration</v>
          </cell>
          <cell r="E9779" t="str">
            <v>Spread Yield</v>
          </cell>
          <cell r="F9779" t="str">
            <v>Alternative</v>
          </cell>
          <cell r="G9779" t="str">
            <v>Other</v>
          </cell>
          <cell r="H9779" t="str">
            <v>ALTS</v>
          </cell>
          <cell r="I9779" t="str">
            <v>Mortgage - Moneyness</v>
          </cell>
        </row>
        <row r="9780">
          <cell r="A9780" t="str">
            <v>CNH_BANK_DEPOSIT</v>
          </cell>
          <cell r="B9780" t="str">
            <v>CNH BANK DEPOSIT Sprd</v>
          </cell>
          <cell r="C9780" t="str">
            <v>CNH BANK DEPOSIT Sprd</v>
          </cell>
          <cell r="D9780" t="str">
            <v>WITHOUT TYPE</v>
          </cell>
          <cell r="E9780" t="str">
            <v>WITHOUT TYPE</v>
          </cell>
          <cell r="F9780" t="str">
            <v>SP-Other</v>
          </cell>
          <cell r="G9780" t="str">
            <v>SP-Other</v>
          </cell>
          <cell r="H9780" t="str">
            <v>SPREADS</v>
          </cell>
          <cell r="I9780" t="str">
            <v>Swap Spread - Libor</v>
          </cell>
        </row>
        <row r="9781">
          <cell r="A9781" t="str">
            <v>AI_PE2_SEC_ITCDATAOUT</v>
          </cell>
          <cell r="B9781" t="str">
            <v>Data Processing &amp; Outsource PE</v>
          </cell>
          <cell r="C9781" t="str">
            <v>Other:Data Processing &amp; Outsource PE</v>
          </cell>
          <cell r="D9781" t="str">
            <v>BFRE Industry</v>
          </cell>
          <cell r="E9781" t="str">
            <v>Industry Return</v>
          </cell>
          <cell r="F9781" t="str">
            <v>ALT PE-Information Technology</v>
          </cell>
          <cell r="G9781" t="str">
            <v>Other</v>
          </cell>
          <cell r="H9781" t="str">
            <v>ALTS</v>
          </cell>
          <cell r="I9781" t="str">
            <v>Alternative - Private Equity</v>
          </cell>
        </row>
        <row r="9782">
          <cell r="A9782" t="str">
            <v>AI_PE2_SEC_ITCSOFTXDA</v>
          </cell>
          <cell r="B9782" t="str">
            <v>Software &amp; Svcs x Data Proc PE</v>
          </cell>
          <cell r="C9782" t="str">
            <v>Other:Software &amp; Svcs x Data Proc PE</v>
          </cell>
          <cell r="D9782" t="str">
            <v>BFRE Industry</v>
          </cell>
          <cell r="E9782" t="str">
            <v>Industry Return</v>
          </cell>
          <cell r="F9782" t="str">
            <v>ALT PE-Information Technology</v>
          </cell>
          <cell r="G9782" t="str">
            <v>Other</v>
          </cell>
          <cell r="H9782" t="str">
            <v>ALTS</v>
          </cell>
          <cell r="I9782" t="str">
            <v>Alternative - Private Equity</v>
          </cell>
        </row>
        <row r="9783">
          <cell r="A9783" t="str">
            <v>USD_CMO_V640_E</v>
          </cell>
          <cell r="B9783" t="str">
            <v>CMO V640</v>
          </cell>
          <cell r="C9783" t="str">
            <v>Mortgage Basis:CMO V640</v>
          </cell>
          <cell r="D9783" t="str">
            <v>Spread Duration</v>
          </cell>
          <cell r="E9783" t="str">
            <v>Spread Yield</v>
          </cell>
          <cell r="F9783" t="str">
            <v>Alternative</v>
          </cell>
          <cell r="G9783" t="str">
            <v>Other</v>
          </cell>
          <cell r="H9783" t="str">
            <v>ALTS</v>
          </cell>
          <cell r="I9783" t="str">
            <v>Mortgage - Moneyness</v>
          </cell>
        </row>
        <row r="9784">
          <cell r="A9784" t="str">
            <v>USD_TBA15_ITM5_V640</v>
          </cell>
          <cell r="B9784" t="str">
            <v>TBA15 ITM50 V640</v>
          </cell>
          <cell r="C9784" t="str">
            <v>TBA 640:TBA15 ITM50 V640</v>
          </cell>
          <cell r="D9784" t="str">
            <v>Spread Duration</v>
          </cell>
          <cell r="E9784" t="str">
            <v>Spread Yield</v>
          </cell>
          <cell r="F9784" t="str">
            <v>Alternative</v>
          </cell>
          <cell r="G9784" t="str">
            <v>Other</v>
          </cell>
          <cell r="H9784" t="str">
            <v>ALTS</v>
          </cell>
          <cell r="I9784" t="str">
            <v>Mortgage - Moneyness</v>
          </cell>
        </row>
        <row r="9785">
          <cell r="A9785" t="str">
            <v>[UZS_FX_USD-EUR_FX_USD]</v>
          </cell>
          <cell r="B9785" t="str">
            <v>UZS/EUR</v>
          </cell>
          <cell r="C9785" t="str">
            <v>Foreign Exchange:UZS/EUR</v>
          </cell>
          <cell r="D9785" t="str">
            <v>FX</v>
          </cell>
          <cell r="E9785" t="str">
            <v>FX</v>
          </cell>
          <cell r="F9785" t="str">
            <v>FX-Emerging Currency</v>
          </cell>
          <cell r="G9785" t="str">
            <v>FX-Emerging Currency</v>
          </cell>
          <cell r="H9785" t="str">
            <v>FX</v>
          </cell>
          <cell r="I9785" t="str">
            <v>Emerging Currency</v>
          </cell>
        </row>
        <row r="9786">
          <cell r="A9786" t="str">
            <v>[GBP_JPY_FX2_USD+HUF_HUF_FX2_USD-GBP_HUF_FX2_USD-HUF_JPY_FX2_USD]</v>
          </cell>
          <cell r="B9786" t="str">
            <v>GBP/HUF*JPY/HUF</v>
          </cell>
          <cell r="C9786" t="str">
            <v>Foreign Exchange^2:GBP/HUF*JPY/HUF</v>
          </cell>
          <cell r="D9786" t="str">
            <v>FX</v>
          </cell>
          <cell r="E9786" t="str">
            <v>FX</v>
          </cell>
          <cell r="F9786" t="str">
            <v>Other</v>
          </cell>
          <cell r="G9786" t="str">
            <v>Other</v>
          </cell>
          <cell r="H9786" t="str">
            <v>OTHER</v>
          </cell>
          <cell r="I9786" t="str">
            <v>FX^2</v>
          </cell>
        </row>
        <row r="9787">
          <cell r="A9787" t="str">
            <v>USD_TBA_ITM15_V630_E</v>
          </cell>
          <cell r="B9787" t="str">
            <v>TBA30 ITM150 V630</v>
          </cell>
          <cell r="C9787" t="str">
            <v>TBA 630 External:TBA30 ITM150 V630</v>
          </cell>
          <cell r="D9787" t="str">
            <v>Spread Duration</v>
          </cell>
          <cell r="E9787" t="str">
            <v>Spread Yield</v>
          </cell>
          <cell r="F9787" t="str">
            <v>Alternative</v>
          </cell>
          <cell r="G9787" t="str">
            <v>Other</v>
          </cell>
          <cell r="H9787" t="str">
            <v>ALTS</v>
          </cell>
          <cell r="I9787" t="str">
            <v>Mortgage - Moneyness</v>
          </cell>
        </row>
        <row r="9788">
          <cell r="A9788" t="str">
            <v>USD_CLO_GENERIC_V1</v>
          </cell>
          <cell r="B9788" t="str">
            <v>USD CLO</v>
          </cell>
          <cell r="C9788" t="str">
            <v>CLO:USD CLO</v>
          </cell>
          <cell r="D9788" t="str">
            <v>Spread Duration</v>
          </cell>
          <cell r="E9788" t="str">
            <v>Spread Yield (DxS)</v>
          </cell>
          <cell r="F9788" t="str">
            <v>Alternative</v>
          </cell>
          <cell r="G9788" t="str">
            <v>Other</v>
          </cell>
          <cell r="H9788" t="str">
            <v>ALTS</v>
          </cell>
          <cell r="I9788" t="str">
            <v>Leveraged Loans</v>
          </cell>
        </row>
        <row r="9789">
          <cell r="A9789" t="str">
            <v>USD_TBA15_ITM10_V640</v>
          </cell>
          <cell r="B9789" t="str">
            <v>TBA15 ITM100 V640</v>
          </cell>
          <cell r="C9789" t="str">
            <v>TBA 640:TBA15 ITM100 V640</v>
          </cell>
          <cell r="D9789" t="str">
            <v>Spread Duration</v>
          </cell>
          <cell r="E9789" t="str">
            <v>Spread Yield</v>
          </cell>
          <cell r="F9789" t="str">
            <v>Alternative</v>
          </cell>
          <cell r="G9789" t="str">
            <v>Other</v>
          </cell>
          <cell r="H9789" t="str">
            <v>ALTS</v>
          </cell>
          <cell r="I9789" t="str">
            <v>Mortgage - Moneyness</v>
          </cell>
        </row>
        <row r="9790">
          <cell r="A9790" t="str">
            <v>AI_RE_PRIV_IDIO</v>
          </cell>
          <cell r="B9790" t="str">
            <v>RE Private Excess</v>
          </cell>
          <cell r="C9790" t="str">
            <v>Specific:RE Private Excess</v>
          </cell>
          <cell r="D9790" t="str">
            <v>Price</v>
          </cell>
          <cell r="E9790" t="str">
            <v>Price Level</v>
          </cell>
          <cell r="F9790" t="str">
            <v>Idiosyncratic</v>
          </cell>
          <cell r="G9790" t="str">
            <v>Other</v>
          </cell>
          <cell r="H9790" t="str">
            <v>OTHER_SPECIFIC</v>
          </cell>
          <cell r="I9790" t="str">
            <v>Alternative - Idiosyncratic</v>
          </cell>
        </row>
        <row r="9791">
          <cell r="A9791" t="str">
            <v>RE_SP_RISK</v>
          </cell>
          <cell r="B9791" t="str">
            <v>Real Estate Idiosyncratic</v>
          </cell>
          <cell r="C9791" t="str">
            <v>Specific:Real Estate Idiosyncratic</v>
          </cell>
          <cell r="D9791" t="str">
            <v>Specific Risk</v>
          </cell>
          <cell r="E9791" t="str">
            <v>Specific Risk</v>
          </cell>
          <cell r="F9791" t="str">
            <v>Idiosyncratic</v>
          </cell>
          <cell r="G9791" t="str">
            <v>Other</v>
          </cell>
          <cell r="H9791" t="str">
            <v>OTHER_SPECIFIC</v>
          </cell>
          <cell r="I9791" t="str">
            <v>Alternative - Idiosyncratic</v>
          </cell>
        </row>
        <row r="9792">
          <cell r="A9792" t="str">
            <v>CAD_ARR</v>
          </cell>
          <cell r="B9792" t="str">
            <v>CAD CORRA</v>
          </cell>
          <cell r="D9792" t="str">
            <v>WITHOUT TYPE</v>
          </cell>
          <cell r="E9792" t="str">
            <v>WITHOUT TYPE</v>
          </cell>
          <cell r="F9792" t="str">
            <v>SP-Other</v>
          </cell>
          <cell r="G9792" t="str">
            <v>SP-Other</v>
          </cell>
          <cell r="H9792" t="str">
            <v>SPREADS</v>
          </cell>
          <cell r="I9792" t="str">
            <v>Swap Spread - OIS</v>
          </cell>
        </row>
        <row r="9793">
          <cell r="A9793" t="str">
            <v>USD_normvol_sofr_3m_3y</v>
          </cell>
          <cell r="B9793" t="str">
            <v>Norm Impl SOFR Vol 3Mx3</v>
          </cell>
          <cell r="C9793" t="str">
            <v>Swaption Vol:Norm Impl SOFR Vol 3Mx3</v>
          </cell>
          <cell r="D9793" t="str">
            <v>Implied Vol Duration</v>
          </cell>
          <cell r="E9793" t="str">
            <v>Implied Vol</v>
          </cell>
          <cell r="F9793" t="str">
            <v>Rates Implied Volatility</v>
          </cell>
          <cell r="G9793" t="str">
            <v>Other</v>
          </cell>
          <cell r="H9793" t="str">
            <v>VOLATILITY</v>
          </cell>
          <cell r="I9793" t="str">
            <v>Rates Implied Volatility</v>
          </cell>
        </row>
        <row r="9794">
          <cell r="A9794" t="str">
            <v>[ZWG_FX_USD-EUR_FX_USD]</v>
          </cell>
          <cell r="B9794" t="str">
            <v>ZWG/EUR</v>
          </cell>
          <cell r="C9794" t="str">
            <v>Foreign Exchange:ZWG/EUR</v>
          </cell>
          <cell r="D9794" t="str">
            <v>FX</v>
          </cell>
          <cell r="E9794" t="str">
            <v>FX</v>
          </cell>
          <cell r="F9794" t="str">
            <v>FX-Emerging Currency</v>
          </cell>
          <cell r="G9794" t="str">
            <v>FX-Emerging Currency</v>
          </cell>
          <cell r="H9794" t="str">
            <v>FX</v>
          </cell>
          <cell r="I9794" t="str">
            <v>Emerging Currency</v>
          </cell>
        </row>
        <row r="9795">
          <cell r="A9795" t="str">
            <v>AI_RE2_APAC_JPN_OFF</v>
          </cell>
          <cell r="B9795" t="str">
            <v>APAC Japan Off RE</v>
          </cell>
          <cell r="C9795" t="str">
            <v>Other:APAC Japan Off RE</v>
          </cell>
          <cell r="D9795" t="str">
            <v>Index</v>
          </cell>
          <cell r="E9795" t="str">
            <v>Index Level</v>
          </cell>
          <cell r="F9795" t="str">
            <v>Alternative</v>
          </cell>
          <cell r="G9795" t="str">
            <v>Other</v>
          </cell>
          <cell r="H9795" t="str">
            <v>ALTS</v>
          </cell>
          <cell r="I9795" t="str">
            <v>Alternative - Index</v>
          </cell>
        </row>
        <row r="9796">
          <cell r="A9796" t="str">
            <v>AI_RE2_APAC_JPN_RES</v>
          </cell>
          <cell r="B9796" t="str">
            <v>APAC Japan Res RE</v>
          </cell>
          <cell r="C9796" t="str">
            <v>Other:APAC Japan Res RE</v>
          </cell>
          <cell r="D9796" t="str">
            <v>Index</v>
          </cell>
          <cell r="E9796" t="str">
            <v>Index Level</v>
          </cell>
          <cell r="F9796" t="str">
            <v>Alternative</v>
          </cell>
          <cell r="G9796" t="str">
            <v>Other</v>
          </cell>
          <cell r="H9796" t="str">
            <v>ALTS</v>
          </cell>
          <cell r="I9796" t="str">
            <v>Alternative - Index</v>
          </cell>
        </row>
        <row r="9797">
          <cell r="A9797" t="str">
            <v>AI_RE2_APAC_JPN_RET</v>
          </cell>
          <cell r="B9797" t="str">
            <v>APAC Japan Ret RE</v>
          </cell>
          <cell r="C9797" t="str">
            <v>Other:APAC Japan Ret RE</v>
          </cell>
          <cell r="D9797" t="str">
            <v>Index</v>
          </cell>
          <cell r="E9797" t="str">
            <v>Index Level</v>
          </cell>
          <cell r="F9797" t="str">
            <v>Alternative</v>
          </cell>
          <cell r="G9797" t="str">
            <v>Other</v>
          </cell>
          <cell r="H9797" t="str">
            <v>ALTS</v>
          </cell>
          <cell r="I9797" t="str">
            <v>Alternative - Index</v>
          </cell>
        </row>
        <row r="9798">
          <cell r="A9798" t="str">
            <v>USD_CMO_IO_OTM15_V640</v>
          </cell>
          <cell r="B9798" t="str">
            <v>CMO IO OTM150 V640</v>
          </cell>
          <cell r="C9798" t="str">
            <v>Mortgage Basis:CMO IO OTM150 V640</v>
          </cell>
          <cell r="D9798" t="str">
            <v>Spread Duration</v>
          </cell>
          <cell r="E9798" t="str">
            <v>Spread Yield</v>
          </cell>
          <cell r="F9798" t="str">
            <v>Alternative</v>
          </cell>
          <cell r="G9798" t="str">
            <v>Other</v>
          </cell>
          <cell r="H9798" t="str">
            <v>ALTS</v>
          </cell>
          <cell r="I9798" t="str">
            <v>Mortgage - Moneyness</v>
          </cell>
        </row>
        <row r="9799">
          <cell r="A9799" t="str">
            <v>USD_TBA15_OTM5_V630_E</v>
          </cell>
          <cell r="B9799" t="str">
            <v>TBA15 OTM50 V630</v>
          </cell>
          <cell r="C9799" t="str">
            <v>TBA 630 External:TBA15 OTM50 V630</v>
          </cell>
          <cell r="D9799" t="str">
            <v>Spread Duration</v>
          </cell>
          <cell r="E9799" t="str">
            <v>Spread Yield</v>
          </cell>
          <cell r="F9799" t="str">
            <v>Alternative</v>
          </cell>
          <cell r="G9799" t="str">
            <v>Other</v>
          </cell>
          <cell r="H9799" t="str">
            <v>ALTS</v>
          </cell>
          <cell r="I9799" t="str">
            <v>Mortgage - Moneyness</v>
          </cell>
        </row>
        <row r="9800">
          <cell r="A9800" t="str">
            <v>CRT_SP_RISK</v>
          </cell>
          <cell r="B9800" t="str">
            <v>CRT Idiosyncratic</v>
          </cell>
          <cell r="C9800" t="str">
            <v>Specific:CRT Idiosyncratic</v>
          </cell>
          <cell r="D9800" t="str">
            <v>Specific Risk</v>
          </cell>
          <cell r="E9800" t="str">
            <v>Specific Risk</v>
          </cell>
          <cell r="F9800" t="str">
            <v>Idiosyncratic</v>
          </cell>
          <cell r="G9800" t="str">
            <v>Other</v>
          </cell>
          <cell r="H9800" t="str">
            <v>OTHER_SPECIFIC</v>
          </cell>
          <cell r="I9800" t="str">
            <v>Alternative - Idiosyncratic</v>
          </cell>
        </row>
        <row r="9801">
          <cell r="A9801" t="str">
            <v>[SGD_USD_FX2_USD+EUR_EUR_FX2_USD-EUR_SGD_FX2_USD-EUR_USD_FX2_USD]</v>
          </cell>
          <cell r="B9801" t="str">
            <v>SGD/EUR*USD/EUR</v>
          </cell>
          <cell r="D9801" t="str">
            <v>FX</v>
          </cell>
          <cell r="E9801" t="str">
            <v>FX</v>
          </cell>
          <cell r="F9801" t="str">
            <v>Other</v>
          </cell>
          <cell r="G9801" t="str">
            <v>Other</v>
          </cell>
          <cell r="H9801" t="str">
            <v>OTHER</v>
          </cell>
          <cell r="I9801" t="str">
            <v>FX^2</v>
          </cell>
        </row>
        <row r="9802">
          <cell r="A9802" t="str">
            <v>[GBP_USD_FX2_USD+HUF_HUF_FX2_USD-GBP_HUF_FX2_USD-HUF_USD_FX2_USD]</v>
          </cell>
          <cell r="B9802" t="str">
            <v>GBP/HUF*USD/HUF</v>
          </cell>
          <cell r="C9802" t="str">
            <v>Foreign Exchange^2:GBP/HUF*USD/HUF</v>
          </cell>
          <cell r="D9802" t="str">
            <v>FX</v>
          </cell>
          <cell r="E9802" t="str">
            <v>FX</v>
          </cell>
          <cell r="F9802" t="str">
            <v>Other</v>
          </cell>
          <cell r="G9802" t="str">
            <v>Other</v>
          </cell>
          <cell r="H9802" t="str">
            <v>OTHER</v>
          </cell>
          <cell r="I9802" t="str">
            <v>FX^2</v>
          </cell>
        </row>
        <row r="9803">
          <cell r="A9803" t="str">
            <v>[IDR_USD_FX2_USD+EUR_EUR_FX2_USD-EUR_IDR_FX2_USD-EUR_USD_FX2_USD]</v>
          </cell>
          <cell r="B9803" t="str">
            <v>IDR/EUR*USD/EUR</v>
          </cell>
          <cell r="C9803" t="str">
            <v>Foreign Exchange^2:IDR/EUR*USD/EUR</v>
          </cell>
          <cell r="D9803" t="str">
            <v>FX</v>
          </cell>
          <cell r="E9803" t="str">
            <v>FX</v>
          </cell>
          <cell r="F9803" t="str">
            <v>Other</v>
          </cell>
          <cell r="G9803" t="str">
            <v>Other</v>
          </cell>
          <cell r="H9803" t="str">
            <v>OTHER</v>
          </cell>
          <cell r="I9803" t="str">
            <v>FX^2</v>
          </cell>
        </row>
        <row r="9804">
          <cell r="A9804" t="str">
            <v>USD_CMO_SEQ_LNG_V640</v>
          </cell>
          <cell r="B9804" t="str">
            <v>CMO Seq Long V640</v>
          </cell>
          <cell r="C9804" t="str">
            <v>Mortgage Basis:CMO Seq Long V640</v>
          </cell>
          <cell r="D9804" t="str">
            <v>Spread Duration</v>
          </cell>
          <cell r="E9804" t="str">
            <v>Spread Yield</v>
          </cell>
          <cell r="F9804" t="str">
            <v>Alternative</v>
          </cell>
          <cell r="G9804" t="str">
            <v>Other</v>
          </cell>
          <cell r="H9804" t="str">
            <v>ALTS</v>
          </cell>
          <cell r="I9804" t="str">
            <v>Mortgage - Moneyness</v>
          </cell>
        </row>
        <row r="9805">
          <cell r="A9805" t="str">
            <v>USD_TBA_ITM25_V630_E</v>
          </cell>
          <cell r="B9805" t="str">
            <v>TBA30 ITM250 V630</v>
          </cell>
          <cell r="C9805" t="str">
            <v>TBA 630 External:TBA30 ITM250 V630</v>
          </cell>
          <cell r="D9805" t="str">
            <v>Spread Duration</v>
          </cell>
          <cell r="E9805" t="str">
            <v>Spread Yield</v>
          </cell>
          <cell r="F9805" t="str">
            <v>Alternative</v>
          </cell>
          <cell r="G9805" t="str">
            <v>Other</v>
          </cell>
          <cell r="H9805" t="str">
            <v>ALTS</v>
          </cell>
          <cell r="I9805" t="str">
            <v>Mortgage - Moneyness</v>
          </cell>
        </row>
        <row r="9806">
          <cell r="A9806" t="str">
            <v>USD_TBA15_ITM15_V630_E</v>
          </cell>
          <cell r="B9806" t="str">
            <v>TBA15 ITM150 V630</v>
          </cell>
          <cell r="C9806" t="str">
            <v>TBA 630 External:TBA15 ITM150 V630</v>
          </cell>
          <cell r="D9806" t="str">
            <v>Spread Duration</v>
          </cell>
          <cell r="E9806" t="str">
            <v>Spread Yield</v>
          </cell>
          <cell r="F9806" t="str">
            <v>Alternative</v>
          </cell>
          <cell r="G9806" t="str">
            <v>Other</v>
          </cell>
          <cell r="H9806" t="str">
            <v>ALTS</v>
          </cell>
          <cell r="I9806" t="str">
            <v>Mortgage - Moneyness</v>
          </cell>
        </row>
        <row r="9807">
          <cell r="A9807" t="str">
            <v>USD_VINT_PAYUP_ATM_E</v>
          </cell>
          <cell r="B9807" t="str">
            <v>Vint Payup ATM</v>
          </cell>
          <cell r="C9807" t="str">
            <v>Vintage Payup:Vint Payup ATM</v>
          </cell>
          <cell r="D9807" t="str">
            <v>Price</v>
          </cell>
          <cell r="E9807" t="str">
            <v>Price Level</v>
          </cell>
          <cell r="F9807" t="str">
            <v>Alternative</v>
          </cell>
          <cell r="G9807" t="str">
            <v>Other</v>
          </cell>
          <cell r="H9807" t="str">
            <v>ALTS</v>
          </cell>
          <cell r="I9807" t="str">
            <v>Mortgage</v>
          </cell>
        </row>
        <row r="9808">
          <cell r="A9808" t="str">
            <v>USD_VINT_PAYUP_ITM10_E</v>
          </cell>
          <cell r="B9808" t="str">
            <v>Vint Payup ITM100</v>
          </cell>
          <cell r="C9808" t="str">
            <v>Vintage Payup:Vint Payup ITM100</v>
          </cell>
          <cell r="D9808" t="str">
            <v>Price</v>
          </cell>
          <cell r="E9808" t="str">
            <v>Price Level</v>
          </cell>
          <cell r="F9808" t="str">
            <v>Alternative</v>
          </cell>
          <cell r="G9808" t="str">
            <v>Other</v>
          </cell>
          <cell r="H9808" t="str">
            <v>ALTS</v>
          </cell>
          <cell r="I9808" t="str">
            <v>Mortgage</v>
          </cell>
        </row>
        <row r="9809">
          <cell r="A9809" t="str">
            <v>USD_VINT_PAYUP_ITM15_E</v>
          </cell>
          <cell r="B9809" t="str">
            <v>Vint Payup ITM150</v>
          </cell>
          <cell r="C9809" t="str">
            <v>Vintage Payup:Vint Payup ITM150</v>
          </cell>
          <cell r="D9809" t="str">
            <v>Price</v>
          </cell>
          <cell r="E9809" t="str">
            <v>Price Level</v>
          </cell>
          <cell r="F9809" t="str">
            <v>Alternative</v>
          </cell>
          <cell r="G9809" t="str">
            <v>Other</v>
          </cell>
          <cell r="H9809" t="str">
            <v>ALTS</v>
          </cell>
          <cell r="I9809" t="str">
            <v>Mortgage</v>
          </cell>
        </row>
        <row r="9810">
          <cell r="A9810" t="str">
            <v>USD_VINT_PAYUP_ITM5_E</v>
          </cell>
          <cell r="B9810" t="str">
            <v>Vint Payup ITM50</v>
          </cell>
          <cell r="C9810" t="str">
            <v>Vintage Payup:Vint Payup ITM50</v>
          </cell>
          <cell r="D9810" t="str">
            <v>Price</v>
          </cell>
          <cell r="E9810" t="str">
            <v>Price Level</v>
          </cell>
          <cell r="F9810" t="str">
            <v>Alternative</v>
          </cell>
          <cell r="G9810" t="str">
            <v>Other</v>
          </cell>
          <cell r="H9810" t="str">
            <v>ALTS</v>
          </cell>
          <cell r="I9810" t="str">
            <v>Mortgage</v>
          </cell>
        </row>
        <row r="9811">
          <cell r="A9811" t="str">
            <v>USD_VINT_PAYUP_OTM10_E</v>
          </cell>
          <cell r="B9811" t="str">
            <v>Vint Payup OTM100</v>
          </cell>
          <cell r="C9811" t="str">
            <v>Vintage Payup:Vint Payup OTM100</v>
          </cell>
          <cell r="D9811" t="str">
            <v>Price</v>
          </cell>
          <cell r="E9811" t="str">
            <v>Price Level</v>
          </cell>
          <cell r="F9811" t="str">
            <v>Alternative</v>
          </cell>
          <cell r="G9811" t="str">
            <v>Other</v>
          </cell>
          <cell r="H9811" t="str">
            <v>ALTS</v>
          </cell>
          <cell r="I9811" t="str">
            <v>Mortgage</v>
          </cell>
        </row>
        <row r="9812">
          <cell r="A9812" t="str">
            <v>USD_VINT_PAYUP_OTM15_E</v>
          </cell>
          <cell r="B9812" t="str">
            <v>Vint Payup OTM150</v>
          </cell>
          <cell r="C9812" t="str">
            <v>Vintage Payup:Vint Payup OTM150</v>
          </cell>
          <cell r="D9812" t="str">
            <v>Price</v>
          </cell>
          <cell r="E9812" t="str">
            <v>Price Level</v>
          </cell>
          <cell r="F9812" t="str">
            <v>Alternative</v>
          </cell>
          <cell r="G9812" t="str">
            <v>Other</v>
          </cell>
          <cell r="H9812" t="str">
            <v>ALTS</v>
          </cell>
          <cell r="I9812" t="str">
            <v>Mortgage</v>
          </cell>
        </row>
        <row r="9813">
          <cell r="A9813" t="str">
            <v>USD_VINT_PAYUP_OTM20_E</v>
          </cell>
          <cell r="B9813" t="str">
            <v>Vint Payup OTM200</v>
          </cell>
          <cell r="C9813" t="str">
            <v>Vintage Payup:Vint Payup OTM200</v>
          </cell>
          <cell r="D9813" t="str">
            <v>Price</v>
          </cell>
          <cell r="E9813" t="str">
            <v>Price Level</v>
          </cell>
          <cell r="F9813" t="str">
            <v>Alternative</v>
          </cell>
          <cell r="G9813" t="str">
            <v>Other</v>
          </cell>
          <cell r="H9813" t="str">
            <v>ALTS</v>
          </cell>
          <cell r="I9813" t="str">
            <v>Mortgage</v>
          </cell>
        </row>
        <row r="9814">
          <cell r="A9814" t="str">
            <v>USD_VINT_PAYUP_OTM25_E</v>
          </cell>
          <cell r="B9814" t="str">
            <v>Vint Payup OTM250</v>
          </cell>
          <cell r="C9814" t="str">
            <v>Vintage Payup:Vint Payup OTM250</v>
          </cell>
          <cell r="D9814" t="str">
            <v>Price</v>
          </cell>
          <cell r="E9814" t="str">
            <v>Price Level</v>
          </cell>
          <cell r="F9814" t="str">
            <v>Alternative</v>
          </cell>
          <cell r="G9814" t="str">
            <v>Other</v>
          </cell>
          <cell r="H9814" t="str">
            <v>ALTS</v>
          </cell>
          <cell r="I9814" t="str">
            <v>Mortgage</v>
          </cell>
        </row>
        <row r="9815">
          <cell r="A9815" t="str">
            <v>USD_VINT_PAYUP_OTM30_E</v>
          </cell>
          <cell r="B9815" t="str">
            <v>Vint Payup OTM300</v>
          </cell>
          <cell r="C9815" t="str">
            <v>Vintage Payup:Vint Payup OTM300</v>
          </cell>
          <cell r="D9815" t="str">
            <v>Price</v>
          </cell>
          <cell r="E9815" t="str">
            <v>Price Level</v>
          </cell>
          <cell r="F9815" t="str">
            <v>Alternative</v>
          </cell>
          <cell r="G9815" t="str">
            <v>Other</v>
          </cell>
          <cell r="H9815" t="str">
            <v>ALTS</v>
          </cell>
          <cell r="I9815" t="str">
            <v>Mortgage</v>
          </cell>
        </row>
        <row r="9816">
          <cell r="A9816" t="str">
            <v>USD_VINT_PAYUP_OTM35_E</v>
          </cell>
          <cell r="B9816" t="str">
            <v>Vint Payup OTM350</v>
          </cell>
          <cell r="C9816" t="str">
            <v>Vintage Payup:Vint Payup OTM350</v>
          </cell>
          <cell r="D9816" t="str">
            <v>Price</v>
          </cell>
          <cell r="E9816" t="str">
            <v>Price Level</v>
          </cell>
          <cell r="F9816" t="str">
            <v>Alternative</v>
          </cell>
          <cell r="G9816" t="str">
            <v>Other</v>
          </cell>
          <cell r="H9816" t="str">
            <v>ALTS</v>
          </cell>
          <cell r="I9816" t="str">
            <v>Mortgage</v>
          </cell>
        </row>
        <row r="9817">
          <cell r="A9817" t="str">
            <v>USD_VINT_PAYUP_OTM5_E</v>
          </cell>
          <cell r="B9817" t="str">
            <v>Vint Payup OTM50</v>
          </cell>
          <cell r="C9817" t="str">
            <v>Vintage Payup:Vint Payup OTM50</v>
          </cell>
          <cell r="D9817" t="str">
            <v>Price</v>
          </cell>
          <cell r="E9817" t="str">
            <v>Price Level</v>
          </cell>
          <cell r="F9817" t="str">
            <v>Alternative</v>
          </cell>
          <cell r="G9817" t="str">
            <v>Other</v>
          </cell>
          <cell r="H9817" t="str">
            <v>ALTS</v>
          </cell>
          <cell r="I9817" t="str">
            <v>Mortgage</v>
          </cell>
        </row>
        <row r="9818">
          <cell r="A9818" t="str">
            <v>VINT_PAYUP_I,VINT_PAYUP_E</v>
          </cell>
          <cell r="B9818" t="str">
            <v>Vintage Payup</v>
          </cell>
          <cell r="C9818" t="str">
            <v>Vintage Payup</v>
          </cell>
          <cell r="D9818" t="str">
            <v>WITHOUT TYPE</v>
          </cell>
          <cell r="E9818" t="str">
            <v>WITHOUT TYPE</v>
          </cell>
          <cell r="F9818" t="str">
            <v>Alternative</v>
          </cell>
          <cell r="G9818" t="str">
            <v>Other</v>
          </cell>
          <cell r="H9818" t="str">
            <v>ALTS</v>
          </cell>
          <cell r="I9818" t="str">
            <v>Mortgage</v>
          </cell>
        </row>
        <row r="9819">
          <cell r="A9819" t="str">
            <v>US_MUNI_HY</v>
          </cell>
          <cell r="B9819" t="str">
            <v>US Muni HY</v>
          </cell>
          <cell r="C9819" t="str">
            <v>US Muni HY</v>
          </cell>
          <cell r="D9819" t="str">
            <v>WITHOUT TYPE</v>
          </cell>
          <cell r="E9819" t="str">
            <v>WITHOUT TYPE</v>
          </cell>
          <cell r="F9819" t="str">
            <v>Other</v>
          </cell>
          <cell r="G9819" t="str">
            <v>Other</v>
          </cell>
          <cell r="H9819" t="str">
            <v>OTHER</v>
          </cell>
          <cell r="I9819" t="str">
            <v>Spread - Municipals</v>
          </cell>
        </row>
        <row r="9820">
          <cell r="A9820" t="str">
            <v>US_MUNI_IG</v>
          </cell>
          <cell r="B9820" t="str">
            <v>US Muni IG</v>
          </cell>
          <cell r="C9820" t="str">
            <v>US Muni IG</v>
          </cell>
          <cell r="D9820" t="str">
            <v>WITHOUT TYPE</v>
          </cell>
          <cell r="E9820" t="str">
            <v>WITHOUT TYPE</v>
          </cell>
          <cell r="F9820" t="str">
            <v>Other</v>
          </cell>
          <cell r="G9820" t="str">
            <v>Other</v>
          </cell>
          <cell r="H9820" t="str">
            <v>OTHER</v>
          </cell>
          <cell r="I9820" t="str">
            <v>Spread - Municipals</v>
          </cell>
        </row>
        <row r="9821">
          <cell r="A9821" t="str">
            <v>USD_MUNI_AAA_GO_OTH</v>
          </cell>
          <cell r="B9821" t="str">
            <v>AAA Go Other</v>
          </cell>
          <cell r="C9821" t="str">
            <v>US Muni IG:AAA Go Other</v>
          </cell>
          <cell r="D9821" t="str">
            <v>Spread Duration</v>
          </cell>
          <cell r="E9821" t="str">
            <v>Spread Yield</v>
          </cell>
          <cell r="F9821" t="str">
            <v>Other</v>
          </cell>
          <cell r="G9821" t="str">
            <v>Other</v>
          </cell>
          <cell r="H9821" t="str">
            <v>OTHER</v>
          </cell>
          <cell r="I9821" t="str">
            <v>Spread - Municipals</v>
          </cell>
        </row>
        <row r="9822">
          <cell r="A9822" t="str">
            <v>USD_MUNI_AAA_REV_OTH</v>
          </cell>
          <cell r="B9822" t="str">
            <v>AAA Rev Other</v>
          </cell>
          <cell r="C9822" t="str">
            <v>US Muni IG:AAA Rev Other</v>
          </cell>
          <cell r="D9822" t="str">
            <v>Spread Duration</v>
          </cell>
          <cell r="E9822" t="str">
            <v>Spread Yield</v>
          </cell>
          <cell r="F9822" t="str">
            <v>Other</v>
          </cell>
          <cell r="G9822" t="str">
            <v>Other</v>
          </cell>
          <cell r="H9822" t="str">
            <v>OTHER</v>
          </cell>
          <cell r="I9822" t="str">
            <v>Spread - Municipals</v>
          </cell>
        </row>
        <row r="9823">
          <cell r="A9823" t="str">
            <v>USD_MUNI_AAA_TAXLOCAL</v>
          </cell>
          <cell r="B9823" t="str">
            <v>AAA Local Tax</v>
          </cell>
          <cell r="C9823" t="str">
            <v>US Muni IG:AAA Local Tax</v>
          </cell>
          <cell r="D9823" t="str">
            <v>Spread Duration</v>
          </cell>
          <cell r="E9823" t="str">
            <v>Spread Yield</v>
          </cell>
          <cell r="F9823" t="str">
            <v>Other</v>
          </cell>
          <cell r="G9823" t="str">
            <v>Other</v>
          </cell>
          <cell r="H9823" t="str">
            <v>OTHER</v>
          </cell>
          <cell r="I9823" t="str">
            <v>Spread - Municipals</v>
          </cell>
        </row>
        <row r="9824">
          <cell r="A9824" t="str">
            <v>USD_MUNI_AAA_TAXSTATE</v>
          </cell>
          <cell r="B9824" t="str">
            <v>AAA State Tax</v>
          </cell>
          <cell r="C9824" t="str">
            <v>US Muni IG:AAA State Tax</v>
          </cell>
          <cell r="D9824" t="str">
            <v>Spread Duration</v>
          </cell>
          <cell r="E9824" t="str">
            <v>Spread Yield</v>
          </cell>
          <cell r="F9824" t="str">
            <v>Other</v>
          </cell>
          <cell r="G9824" t="str">
            <v>Other</v>
          </cell>
          <cell r="H9824" t="str">
            <v>OTHER</v>
          </cell>
          <cell r="I9824" t="str">
            <v>Spread - Municipals</v>
          </cell>
        </row>
        <row r="9825">
          <cell r="A9825" t="str">
            <v>USD_MUNI_AAA_UTIL</v>
          </cell>
          <cell r="B9825" t="str">
            <v>AAA Utility</v>
          </cell>
          <cell r="C9825" t="str">
            <v>US Muni IG:AAA Utility</v>
          </cell>
          <cell r="D9825" t="str">
            <v>Spread Duration</v>
          </cell>
          <cell r="E9825" t="str">
            <v>Spread Yield</v>
          </cell>
          <cell r="F9825" t="str">
            <v>Other</v>
          </cell>
          <cell r="G9825" t="str">
            <v>Other</v>
          </cell>
          <cell r="H9825" t="str">
            <v>OTHER</v>
          </cell>
          <cell r="I9825" t="str">
            <v>Spread - Municipals</v>
          </cell>
        </row>
        <row r="9826">
          <cell r="A9826" t="str">
            <v>USD_MUNI_DISTRESS</v>
          </cell>
          <cell r="B9826" t="str">
            <v>US Muni Distressed</v>
          </cell>
          <cell r="C9826" t="str">
            <v>US Muni Distressed</v>
          </cell>
          <cell r="D9826" t="str">
            <v>Price</v>
          </cell>
          <cell r="E9826" t="str">
            <v>Price Level</v>
          </cell>
          <cell r="F9826" t="str">
            <v>Other</v>
          </cell>
          <cell r="G9826" t="str">
            <v>Other</v>
          </cell>
          <cell r="H9826" t="str">
            <v>OTHER</v>
          </cell>
          <cell r="I9826" t="str">
            <v>Spread - Municipals</v>
          </cell>
        </row>
        <row r="9827">
          <cell r="A9827" t="str">
            <v>USD_MUNI_HY_AIRPT</v>
          </cell>
          <cell r="B9827" t="str">
            <v>HY Airport</v>
          </cell>
          <cell r="C9827" t="str">
            <v>US Muni HY:HY Airport</v>
          </cell>
          <cell r="D9827" t="str">
            <v>Spread Duration</v>
          </cell>
          <cell r="E9827" t="str">
            <v>Spread Yield (DxS)</v>
          </cell>
          <cell r="F9827" t="str">
            <v>Other</v>
          </cell>
          <cell r="G9827" t="str">
            <v>Other</v>
          </cell>
          <cell r="H9827" t="str">
            <v>OTHER</v>
          </cell>
          <cell r="I9827" t="str">
            <v>Spread - Municipals</v>
          </cell>
        </row>
        <row r="9828">
          <cell r="A9828" t="str">
            <v>USD_MUNI_HY_CA_LAND</v>
          </cell>
          <cell r="B9828" t="str">
            <v>HY California Dev. Dis</v>
          </cell>
          <cell r="C9828" t="str">
            <v>US Muni HY:HY California Dev. Dis</v>
          </cell>
          <cell r="D9828" t="str">
            <v>Spread Duration</v>
          </cell>
          <cell r="E9828" t="str">
            <v>Spread Yield (DxS)</v>
          </cell>
          <cell r="F9828" t="str">
            <v>Other</v>
          </cell>
          <cell r="G9828" t="str">
            <v>Other</v>
          </cell>
          <cell r="H9828" t="str">
            <v>OTHER</v>
          </cell>
          <cell r="I9828" t="str">
            <v>Spread - Municipals</v>
          </cell>
        </row>
        <row r="9829">
          <cell r="A9829" t="str">
            <v>USD_MUNI_HY_CHRT_SCHL</v>
          </cell>
          <cell r="B9829" t="str">
            <v>HY Charter School</v>
          </cell>
          <cell r="C9829" t="str">
            <v>US Muni HY:HY Charter School</v>
          </cell>
          <cell r="D9829" t="str">
            <v>Spread Duration</v>
          </cell>
          <cell r="E9829" t="str">
            <v>Spread Yield (DxS)</v>
          </cell>
          <cell r="F9829" t="str">
            <v>Other</v>
          </cell>
          <cell r="G9829" t="str">
            <v>Other</v>
          </cell>
          <cell r="H9829" t="str">
            <v>OTHER</v>
          </cell>
          <cell r="I9829" t="str">
            <v>Spread - Municipals</v>
          </cell>
        </row>
        <row r="9830">
          <cell r="A9830" t="str">
            <v>USD_MUNI_HY_CO_LAND</v>
          </cell>
          <cell r="B9830" t="str">
            <v>HY Colorado Dev. Dist.</v>
          </cell>
          <cell r="C9830" t="str">
            <v>US Muni HY:HY Colorado Dev. Dist.</v>
          </cell>
          <cell r="D9830" t="str">
            <v>Spread Duration</v>
          </cell>
          <cell r="E9830" t="str">
            <v>Spread Yield (DxS)</v>
          </cell>
          <cell r="F9830" t="str">
            <v>Other</v>
          </cell>
          <cell r="G9830" t="str">
            <v>Other</v>
          </cell>
          <cell r="H9830" t="str">
            <v>OTHER</v>
          </cell>
          <cell r="I9830" t="str">
            <v>Spread - Municipals</v>
          </cell>
        </row>
        <row r="9831">
          <cell r="A9831" t="str">
            <v>USD_MUNI_HY_COMM_LAND</v>
          </cell>
          <cell r="B9831" t="str">
            <v>HY Commercial Land Dev</v>
          </cell>
          <cell r="C9831" t="str">
            <v>US Muni HY:HY Commercial Land Dev</v>
          </cell>
          <cell r="D9831" t="str">
            <v>Spread Duration</v>
          </cell>
          <cell r="E9831" t="str">
            <v>Spread Yield (DxS)</v>
          </cell>
          <cell r="F9831" t="str">
            <v>Other</v>
          </cell>
          <cell r="G9831" t="str">
            <v>Other</v>
          </cell>
          <cell r="H9831" t="str">
            <v>OTHER</v>
          </cell>
          <cell r="I9831" t="str">
            <v>Spread - Municipals</v>
          </cell>
        </row>
        <row r="9832">
          <cell r="A9832" t="str">
            <v>USD_MUNI_HY_CORP_OTH</v>
          </cell>
          <cell r="B9832" t="str">
            <v>HY Corp Other</v>
          </cell>
          <cell r="C9832" t="str">
            <v>US Muni HY:HY Corp Other</v>
          </cell>
          <cell r="D9832" t="str">
            <v>Spread Duration</v>
          </cell>
          <cell r="E9832" t="str">
            <v>Spread Yield (DxS)</v>
          </cell>
          <cell r="F9832" t="str">
            <v>Other</v>
          </cell>
          <cell r="G9832" t="str">
            <v>Other</v>
          </cell>
          <cell r="H9832" t="str">
            <v>OTHER</v>
          </cell>
          <cell r="I9832" t="str">
            <v>Spread - Municipals</v>
          </cell>
        </row>
        <row r="9833">
          <cell r="A9833" t="str">
            <v>USD_MUNI_HY_EDUC_OTH</v>
          </cell>
          <cell r="B9833" t="str">
            <v>HY Education Other</v>
          </cell>
          <cell r="C9833" t="str">
            <v>US Muni HY:HY Education Other</v>
          </cell>
          <cell r="D9833" t="str">
            <v>Spread Duration</v>
          </cell>
          <cell r="E9833" t="str">
            <v>Spread Yield (DxS)</v>
          </cell>
          <cell r="F9833" t="str">
            <v>Other</v>
          </cell>
          <cell r="G9833" t="str">
            <v>Other</v>
          </cell>
          <cell r="H9833" t="str">
            <v>OTHER</v>
          </cell>
          <cell r="I9833" t="str">
            <v>Spread - Municipals</v>
          </cell>
        </row>
        <row r="9834">
          <cell r="A9834" t="str">
            <v>USD_MUNI_HY_FL_LAND</v>
          </cell>
          <cell r="B9834" t="str">
            <v>HY Florida Dev. Dist.</v>
          </cell>
          <cell r="C9834" t="str">
            <v>US Muni HY:HY Florida Dev. Dist.</v>
          </cell>
          <cell r="D9834" t="str">
            <v>Spread Duration</v>
          </cell>
          <cell r="E9834" t="str">
            <v>Spread Yield (DxS)</v>
          </cell>
          <cell r="F9834" t="str">
            <v>Other</v>
          </cell>
          <cell r="G9834" t="str">
            <v>Other</v>
          </cell>
          <cell r="H9834" t="str">
            <v>OTHER</v>
          </cell>
          <cell r="I9834" t="str">
            <v>Spread - Municipals</v>
          </cell>
        </row>
        <row r="9835">
          <cell r="A9835" t="str">
            <v>USD_MUNI_HY_GO_10</v>
          </cell>
          <cell r="B9835" t="str">
            <v>HY GO Maturity 10</v>
          </cell>
          <cell r="C9835" t="str">
            <v>US Muni HY:HY GO Maturity 10</v>
          </cell>
          <cell r="D9835" t="str">
            <v>Spread Duration</v>
          </cell>
          <cell r="E9835" t="str">
            <v>Spread Yield (DxS)</v>
          </cell>
          <cell r="F9835" t="str">
            <v>Other</v>
          </cell>
          <cell r="G9835" t="str">
            <v>Other</v>
          </cell>
          <cell r="H9835" t="str">
            <v>OTHER</v>
          </cell>
          <cell r="I9835" t="str">
            <v>Spread - Municipals</v>
          </cell>
        </row>
        <row r="9836">
          <cell r="A9836" t="str">
            <v>USD_MUNI_HY_GO_2</v>
          </cell>
          <cell r="B9836" t="str">
            <v>HY GO Maturity 2</v>
          </cell>
          <cell r="C9836" t="str">
            <v>US Muni HY:HY GO Maturity 2</v>
          </cell>
          <cell r="D9836" t="str">
            <v>Spread Duration</v>
          </cell>
          <cell r="E9836" t="str">
            <v>Spread Yield (DxS)</v>
          </cell>
          <cell r="F9836" t="str">
            <v>Other</v>
          </cell>
          <cell r="G9836" t="str">
            <v>Other</v>
          </cell>
          <cell r="H9836" t="str">
            <v>OTHER</v>
          </cell>
          <cell r="I9836" t="str">
            <v>Spread - Municipals</v>
          </cell>
        </row>
        <row r="9837">
          <cell r="A9837" t="str">
            <v>USD_MUNI_HY_GO_30</v>
          </cell>
          <cell r="B9837" t="str">
            <v>HY GO Maturity 30</v>
          </cell>
          <cell r="C9837" t="str">
            <v>US Muni HY:HY GO Maturity 30</v>
          </cell>
          <cell r="D9837" t="str">
            <v>Spread Duration</v>
          </cell>
          <cell r="E9837" t="str">
            <v>Spread Yield (DxS)</v>
          </cell>
          <cell r="F9837" t="str">
            <v>Other</v>
          </cell>
          <cell r="G9837" t="str">
            <v>Other</v>
          </cell>
          <cell r="H9837" t="str">
            <v>OTHER</v>
          </cell>
          <cell r="I9837" t="str">
            <v>Spread - Municipals</v>
          </cell>
        </row>
        <row r="9838">
          <cell r="A9838" t="str">
            <v>USD_MUNI_HY_HEALTH_OTH</v>
          </cell>
          <cell r="B9838" t="str">
            <v>HY Health Other</v>
          </cell>
          <cell r="C9838" t="str">
            <v>US Muni HY:HY Health Other</v>
          </cell>
          <cell r="D9838" t="str">
            <v>Spread Duration</v>
          </cell>
          <cell r="E9838" t="str">
            <v>Spread Yield (DxS)</v>
          </cell>
          <cell r="F9838" t="str">
            <v>Other</v>
          </cell>
          <cell r="G9838" t="str">
            <v>Other</v>
          </cell>
          <cell r="H9838" t="str">
            <v>OTHER</v>
          </cell>
          <cell r="I9838" t="str">
            <v>Spread - Municipals</v>
          </cell>
        </row>
        <row r="9839">
          <cell r="A9839" t="str">
            <v>USD_MUNI_HY_HOSP</v>
          </cell>
          <cell r="B9839" t="str">
            <v>HY Hospital</v>
          </cell>
          <cell r="C9839" t="str">
            <v>US Muni HY:HY Hospital</v>
          </cell>
          <cell r="D9839" t="str">
            <v>Spread Duration</v>
          </cell>
          <cell r="E9839" t="str">
            <v>Spread Yield (DxS)</v>
          </cell>
          <cell r="F9839" t="str">
            <v>Other</v>
          </cell>
          <cell r="G9839" t="str">
            <v>Other</v>
          </cell>
          <cell r="H9839" t="str">
            <v>OTHER</v>
          </cell>
          <cell r="I9839" t="str">
            <v>Spread - Municipals</v>
          </cell>
        </row>
        <row r="9840">
          <cell r="A9840" t="str">
            <v>USD_MUNI_HY_HOTEL</v>
          </cell>
          <cell r="B9840" t="str">
            <v>HY Hotels</v>
          </cell>
          <cell r="C9840" t="str">
            <v>US Muni HY:HY Hotels</v>
          </cell>
          <cell r="D9840" t="str">
            <v>Spread Duration</v>
          </cell>
          <cell r="E9840" t="str">
            <v>Spread Yield (DxS)</v>
          </cell>
          <cell r="F9840" t="str">
            <v>Other</v>
          </cell>
          <cell r="G9840" t="str">
            <v>Other</v>
          </cell>
          <cell r="H9840" t="str">
            <v>OTHER</v>
          </cell>
          <cell r="I9840" t="str">
            <v>Spread - Municipals</v>
          </cell>
        </row>
        <row r="9841">
          <cell r="A9841" t="str">
            <v>USD_MUNI_HY_HSG</v>
          </cell>
          <cell r="B9841" t="str">
            <v>HY Housing</v>
          </cell>
          <cell r="C9841" t="str">
            <v>US Muni HY:HY Housing</v>
          </cell>
          <cell r="D9841" t="str">
            <v>Spread Duration</v>
          </cell>
          <cell r="E9841" t="str">
            <v>Spread Yield (DxS)</v>
          </cell>
          <cell r="F9841" t="str">
            <v>Other</v>
          </cell>
          <cell r="G9841" t="str">
            <v>Other</v>
          </cell>
          <cell r="H9841" t="str">
            <v>OTHER</v>
          </cell>
          <cell r="I9841" t="str">
            <v>Spread - Municipals</v>
          </cell>
        </row>
        <row r="9842">
          <cell r="A9842" t="str">
            <v>USD_MUNI_HY_METL</v>
          </cell>
          <cell r="B9842" t="str">
            <v>HY Metal</v>
          </cell>
          <cell r="C9842" t="str">
            <v>US Muni HY:HY Metal</v>
          </cell>
          <cell r="D9842" t="str">
            <v>Spread Duration</v>
          </cell>
          <cell r="E9842" t="str">
            <v>Spread Yield (DxS)</v>
          </cell>
          <cell r="F9842" t="str">
            <v>Other</v>
          </cell>
          <cell r="G9842" t="str">
            <v>Other</v>
          </cell>
          <cell r="H9842" t="str">
            <v>OTHER</v>
          </cell>
          <cell r="I9842" t="str">
            <v>Spread - Municipals</v>
          </cell>
        </row>
        <row r="9843">
          <cell r="A9843" t="str">
            <v>USD_MUNI_HY_OTH_LAND</v>
          </cell>
          <cell r="B9843" t="str">
            <v>HY Other Land Dev Dist</v>
          </cell>
          <cell r="C9843" t="str">
            <v>US Muni HY:HY Other Land Dev Dist</v>
          </cell>
          <cell r="D9843" t="str">
            <v>Spread Duration</v>
          </cell>
          <cell r="E9843" t="str">
            <v>Spread Yield (DxS)</v>
          </cell>
          <cell r="F9843" t="str">
            <v>Other</v>
          </cell>
          <cell r="G9843" t="str">
            <v>Other</v>
          </cell>
          <cell r="H9843" t="str">
            <v>OTHER</v>
          </cell>
          <cell r="I9843" t="str">
            <v>Spread - Municipals</v>
          </cell>
        </row>
        <row r="9844">
          <cell r="A9844" t="str">
            <v>USD_MUNI_HY_PAPR</v>
          </cell>
          <cell r="B9844" t="str">
            <v>HY Paper</v>
          </cell>
          <cell r="C9844" t="str">
            <v>US Muni HY:HY Paper</v>
          </cell>
          <cell r="D9844" t="str">
            <v>Spread Duration</v>
          </cell>
          <cell r="E9844" t="str">
            <v>Spread Yield (DxS)</v>
          </cell>
          <cell r="F9844" t="str">
            <v>Other</v>
          </cell>
          <cell r="G9844" t="str">
            <v>Other</v>
          </cell>
          <cell r="H9844" t="str">
            <v>OTHER</v>
          </cell>
          <cell r="I9844" t="str">
            <v>Spread - Municipals</v>
          </cell>
        </row>
        <row r="9845">
          <cell r="A9845" t="str">
            <v>USD_MUNI_HY_PROJ_FIN</v>
          </cell>
          <cell r="B9845" t="str">
            <v>HY Fin. Project</v>
          </cell>
          <cell r="C9845" t="str">
            <v>US Muni HY:HY Fin. Project</v>
          </cell>
          <cell r="D9845" t="str">
            <v>Spread Duration</v>
          </cell>
          <cell r="E9845" t="str">
            <v>Spread Yield (DxS)</v>
          </cell>
          <cell r="F9845" t="str">
            <v>Other</v>
          </cell>
          <cell r="G9845" t="str">
            <v>Other</v>
          </cell>
          <cell r="H9845" t="str">
            <v>OTHER</v>
          </cell>
          <cell r="I9845" t="str">
            <v>Spread - Municipals</v>
          </cell>
        </row>
        <row r="9846">
          <cell r="A9846" t="str">
            <v>USD_MUNI_HY_REV_10</v>
          </cell>
          <cell r="B9846" t="str">
            <v>HY REV Maturity 10</v>
          </cell>
          <cell r="C9846" t="str">
            <v>US Muni HY:HY REV Maturity 10</v>
          </cell>
          <cell r="D9846" t="str">
            <v>Spread Duration</v>
          </cell>
          <cell r="E9846" t="str">
            <v>Spread Yield (DxS)</v>
          </cell>
          <cell r="F9846" t="str">
            <v>Other</v>
          </cell>
          <cell r="G9846" t="str">
            <v>Other</v>
          </cell>
          <cell r="H9846" t="str">
            <v>OTHER</v>
          </cell>
          <cell r="I9846" t="str">
            <v>Spread - Municipals</v>
          </cell>
        </row>
        <row r="9847">
          <cell r="A9847" t="str">
            <v>USD_MUNI_HY_REV_2</v>
          </cell>
          <cell r="B9847" t="str">
            <v>HY REV Maturity 2</v>
          </cell>
          <cell r="C9847" t="str">
            <v>US Muni HY:HY REV Maturity 2</v>
          </cell>
          <cell r="D9847" t="str">
            <v>Spread Duration</v>
          </cell>
          <cell r="E9847" t="str">
            <v>Spread Yield (DxS)</v>
          </cell>
          <cell r="F9847" t="str">
            <v>Other</v>
          </cell>
          <cell r="G9847" t="str">
            <v>Other</v>
          </cell>
          <cell r="H9847" t="str">
            <v>OTHER</v>
          </cell>
          <cell r="I9847" t="str">
            <v>Spread - Municipals</v>
          </cell>
        </row>
        <row r="9848">
          <cell r="A9848" t="str">
            <v>USD_MUNI_HY_REV_30</v>
          </cell>
          <cell r="B9848" t="str">
            <v>HY REV Maturity 30</v>
          </cell>
          <cell r="C9848" t="str">
            <v>US Muni HY:HY REV Maturity 30</v>
          </cell>
          <cell r="D9848" t="str">
            <v>Spread Duration</v>
          </cell>
          <cell r="E9848" t="str">
            <v>Spread Yield (DxS)</v>
          </cell>
          <cell r="F9848" t="str">
            <v>Other</v>
          </cell>
          <cell r="G9848" t="str">
            <v>Other</v>
          </cell>
          <cell r="H9848" t="str">
            <v>OTHER</v>
          </cell>
          <cell r="I9848" t="str">
            <v>Spread - Municipals</v>
          </cell>
        </row>
        <row r="9849">
          <cell r="A9849" t="str">
            <v>USD_MUNI_HY_SCHL_DIST</v>
          </cell>
          <cell r="B9849" t="str">
            <v>HY School Dist.</v>
          </cell>
          <cell r="C9849" t="str">
            <v>US Muni HY:HY School Dist.</v>
          </cell>
          <cell r="D9849" t="str">
            <v>Spread Duration</v>
          </cell>
          <cell r="E9849" t="str">
            <v>Spread Yield (DxS)</v>
          </cell>
          <cell r="F9849" t="str">
            <v>Other</v>
          </cell>
          <cell r="G9849" t="str">
            <v>Other</v>
          </cell>
          <cell r="H9849" t="str">
            <v>OTHER</v>
          </cell>
          <cell r="I9849" t="str">
            <v>Spread - Municipals</v>
          </cell>
        </row>
        <row r="9850">
          <cell r="A9850" t="str">
            <v>USD_MUNI_HY_STD_HSG</v>
          </cell>
          <cell r="B9850" t="str">
            <v>HY Student Housing</v>
          </cell>
          <cell r="C9850" t="str">
            <v>US Muni HY:HY Student Housing</v>
          </cell>
          <cell r="D9850" t="str">
            <v>Spread Duration</v>
          </cell>
          <cell r="E9850" t="str">
            <v>Spread Yield (DxS)</v>
          </cell>
          <cell r="F9850" t="str">
            <v>Other</v>
          </cell>
          <cell r="G9850" t="str">
            <v>Other</v>
          </cell>
          <cell r="H9850" t="str">
            <v>OTHER</v>
          </cell>
          <cell r="I9850" t="str">
            <v>Spread - Municipals</v>
          </cell>
        </row>
        <row r="9851">
          <cell r="A9851" t="str">
            <v>USD_MUNI_HY_TAX</v>
          </cell>
          <cell r="B9851" t="str">
            <v>HY Tax</v>
          </cell>
          <cell r="C9851" t="str">
            <v>US Muni HY:HY Tax</v>
          </cell>
          <cell r="D9851" t="str">
            <v>Spread Duration</v>
          </cell>
          <cell r="E9851" t="str">
            <v>Spread Yield (DxS)</v>
          </cell>
          <cell r="F9851" t="str">
            <v>Other</v>
          </cell>
          <cell r="G9851" t="str">
            <v>Other</v>
          </cell>
          <cell r="H9851" t="str">
            <v>OTHER</v>
          </cell>
          <cell r="I9851" t="str">
            <v>Spread - Municipals</v>
          </cell>
        </row>
        <row r="9852">
          <cell r="A9852" t="str">
            <v>USD_MUNI_HY_TERRI_OTH</v>
          </cell>
          <cell r="B9852" t="str">
            <v>HY Territories Other</v>
          </cell>
          <cell r="C9852" t="str">
            <v>US Muni HY:HY Territories Other</v>
          </cell>
          <cell r="D9852" t="str">
            <v>Spread Duration</v>
          </cell>
          <cell r="E9852" t="str">
            <v>Spread Yield (DxS)</v>
          </cell>
          <cell r="F9852" t="str">
            <v>Other</v>
          </cell>
          <cell r="G9852" t="str">
            <v>Other</v>
          </cell>
          <cell r="H9852" t="str">
            <v>OTHER</v>
          </cell>
          <cell r="I9852" t="str">
            <v>Spread - Municipals</v>
          </cell>
        </row>
        <row r="9853">
          <cell r="A9853" t="str">
            <v>USD_MUNI_HY_TERRI_PR</v>
          </cell>
          <cell r="B9853" t="str">
            <v>HY Puerto Rico</v>
          </cell>
          <cell r="C9853" t="str">
            <v>US Muni HY:HY Puerto Rico</v>
          </cell>
          <cell r="D9853" t="str">
            <v>Spread Duration</v>
          </cell>
          <cell r="E9853" t="str">
            <v>Spread Yield (DxS)</v>
          </cell>
          <cell r="F9853" t="str">
            <v>Other</v>
          </cell>
          <cell r="G9853" t="str">
            <v>Other</v>
          </cell>
          <cell r="H9853" t="str">
            <v>OTHER</v>
          </cell>
          <cell r="I9853" t="str">
            <v>Spread - Municipals</v>
          </cell>
        </row>
        <row r="9854">
          <cell r="A9854" t="str">
            <v>USD_MUNI_HY_TOBACCO</v>
          </cell>
          <cell r="B9854" t="str">
            <v>HY Tobacco</v>
          </cell>
          <cell r="C9854" t="str">
            <v>US Muni HY:HY Tobacco</v>
          </cell>
          <cell r="D9854" t="str">
            <v>Spread Duration</v>
          </cell>
          <cell r="E9854" t="str">
            <v>Spread Yield (DxS)</v>
          </cell>
          <cell r="F9854" t="str">
            <v>Other</v>
          </cell>
          <cell r="G9854" t="str">
            <v>Other</v>
          </cell>
          <cell r="H9854" t="str">
            <v>OTHER</v>
          </cell>
          <cell r="I9854" t="str">
            <v>Spread - Municipals</v>
          </cell>
        </row>
        <row r="9855">
          <cell r="A9855" t="str">
            <v>USD_MUNI_HY_UTIL</v>
          </cell>
          <cell r="B9855" t="str">
            <v>HY Public Utility</v>
          </cell>
          <cell r="C9855" t="str">
            <v>US Muni HY:HY Public Utility</v>
          </cell>
          <cell r="D9855" t="str">
            <v>Spread Duration</v>
          </cell>
          <cell r="E9855" t="str">
            <v>Spread Yield (DxS)</v>
          </cell>
          <cell r="F9855" t="str">
            <v>Other</v>
          </cell>
          <cell r="G9855" t="str">
            <v>Other</v>
          </cell>
          <cell r="H9855" t="str">
            <v>OTHER</v>
          </cell>
          <cell r="I9855" t="str">
            <v>Spread - Municipals</v>
          </cell>
        </row>
        <row r="9856">
          <cell r="A9856" t="str">
            <v>USD_MUNI_IG_10</v>
          </cell>
          <cell r="B9856" t="str">
            <v>IG Maturity 10</v>
          </cell>
          <cell r="C9856" t="str">
            <v>US Muni IG:IG Maturity 10</v>
          </cell>
          <cell r="D9856" t="str">
            <v>Spread Duration</v>
          </cell>
          <cell r="E9856" t="str">
            <v>Spread Yield (DxS)</v>
          </cell>
          <cell r="F9856" t="str">
            <v>Other</v>
          </cell>
          <cell r="G9856" t="str">
            <v>Other</v>
          </cell>
          <cell r="H9856" t="str">
            <v>OTHER</v>
          </cell>
          <cell r="I9856" t="str">
            <v>Spread - Municipals</v>
          </cell>
        </row>
        <row r="9857">
          <cell r="A9857" t="str">
            <v>USD_MUNI_IG_2</v>
          </cell>
          <cell r="B9857" t="str">
            <v>IG Maturity 2</v>
          </cell>
          <cell r="C9857" t="str">
            <v>US Muni IG:IG Maturity 2</v>
          </cell>
          <cell r="D9857" t="str">
            <v>Spread Duration</v>
          </cell>
          <cell r="E9857" t="str">
            <v>Spread Yield (DxS)</v>
          </cell>
          <cell r="F9857" t="str">
            <v>Other</v>
          </cell>
          <cell r="G9857" t="str">
            <v>Other</v>
          </cell>
          <cell r="H9857" t="str">
            <v>OTHER</v>
          </cell>
          <cell r="I9857" t="str">
            <v>Spread - Municipals</v>
          </cell>
        </row>
        <row r="9858">
          <cell r="A9858" t="str">
            <v>USD_MUNI_IG_30</v>
          </cell>
          <cell r="B9858" t="str">
            <v>IG Maturity 30</v>
          </cell>
          <cell r="C9858" t="str">
            <v>US Muni IG:IG Maturity 30</v>
          </cell>
          <cell r="D9858" t="str">
            <v>Spread Duration</v>
          </cell>
          <cell r="E9858" t="str">
            <v>Spread Yield (DxS)</v>
          </cell>
          <cell r="F9858" t="str">
            <v>Other</v>
          </cell>
          <cell r="G9858" t="str">
            <v>Other</v>
          </cell>
          <cell r="H9858" t="str">
            <v>OTHER</v>
          </cell>
          <cell r="I9858" t="str">
            <v>Spread - Municipals</v>
          </cell>
        </row>
        <row r="9859">
          <cell r="A9859" t="str">
            <v>USD_MUNI_IG_AIRPRT</v>
          </cell>
          <cell r="B9859" t="str">
            <v>IG Airport</v>
          </cell>
          <cell r="C9859" t="str">
            <v>US Muni IG:IG Airport</v>
          </cell>
          <cell r="D9859" t="str">
            <v>Spread Duration</v>
          </cell>
          <cell r="E9859" t="str">
            <v>Spread Yield (DxS)</v>
          </cell>
          <cell r="F9859" t="str">
            <v>Other</v>
          </cell>
          <cell r="G9859" t="str">
            <v>Other</v>
          </cell>
          <cell r="H9859" t="str">
            <v>OTHER</v>
          </cell>
          <cell r="I9859" t="str">
            <v>Spread - Municipals</v>
          </cell>
        </row>
        <row r="9860">
          <cell r="A9860" t="str">
            <v>USD_MUNI_IG_CA_LAND</v>
          </cell>
          <cell r="B9860" t="str">
            <v>IG California</v>
          </cell>
          <cell r="C9860" t="str">
            <v>US Muni IG:IG California</v>
          </cell>
          <cell r="D9860" t="str">
            <v>Spread Duration</v>
          </cell>
          <cell r="E9860" t="str">
            <v>Spread Yield (DxS)</v>
          </cell>
          <cell r="F9860" t="str">
            <v>Other</v>
          </cell>
          <cell r="G9860" t="str">
            <v>Other</v>
          </cell>
          <cell r="H9860" t="str">
            <v>OTHER</v>
          </cell>
          <cell r="I9860" t="str">
            <v>Spread - Municipals</v>
          </cell>
        </row>
        <row r="9861">
          <cell r="A9861" t="str">
            <v>USD_MUNI_IG_CORP_OTH</v>
          </cell>
          <cell r="B9861" t="str">
            <v>IG Corp Other</v>
          </cell>
          <cell r="C9861" t="str">
            <v>US Muni IG:IG Corp Other</v>
          </cell>
          <cell r="D9861" t="str">
            <v>Spread Duration</v>
          </cell>
          <cell r="E9861" t="str">
            <v>Spread Yield (DxS)</v>
          </cell>
          <cell r="F9861" t="str">
            <v>Other</v>
          </cell>
          <cell r="G9861" t="str">
            <v>Other</v>
          </cell>
          <cell r="H9861" t="str">
            <v>OTHER</v>
          </cell>
          <cell r="I9861" t="str">
            <v>Spread - Municipals</v>
          </cell>
        </row>
        <row r="9862">
          <cell r="A9862" t="str">
            <v>USD_MUNI_IG_CT_LAND</v>
          </cell>
          <cell r="B9862" t="str">
            <v>IG Connecticut</v>
          </cell>
          <cell r="C9862" t="str">
            <v>US Muni IG:IG Connecticut</v>
          </cell>
          <cell r="D9862" t="str">
            <v>Spread Duration</v>
          </cell>
          <cell r="E9862" t="str">
            <v>Spread Yield (DxS)</v>
          </cell>
          <cell r="F9862" t="str">
            <v>Other</v>
          </cell>
          <cell r="G9862" t="str">
            <v>Other</v>
          </cell>
          <cell r="H9862" t="str">
            <v>OTHER</v>
          </cell>
          <cell r="I9862" t="str">
            <v>Spread - Municipals</v>
          </cell>
        </row>
        <row r="9863">
          <cell r="A9863" t="str">
            <v>USD_MUNI_IG_EDUC</v>
          </cell>
          <cell r="B9863" t="str">
            <v>IG Education</v>
          </cell>
          <cell r="C9863" t="str">
            <v>US Muni IG:IG Education</v>
          </cell>
          <cell r="D9863" t="str">
            <v>Spread Duration</v>
          </cell>
          <cell r="E9863" t="str">
            <v>Spread Yield (DxS)</v>
          </cell>
          <cell r="F9863" t="str">
            <v>Other</v>
          </cell>
          <cell r="G9863" t="str">
            <v>Other</v>
          </cell>
          <cell r="H9863" t="str">
            <v>OTHER</v>
          </cell>
          <cell r="I9863" t="str">
            <v>Spread - Municipals</v>
          </cell>
        </row>
        <row r="9864">
          <cell r="A9864" t="str">
            <v>USD_MUNI_IG_ESCROWED</v>
          </cell>
          <cell r="B9864" t="str">
            <v>Escrowed</v>
          </cell>
          <cell r="C9864" t="str">
            <v>US Muni IG:Escrowed</v>
          </cell>
          <cell r="D9864" t="str">
            <v>Spread Duration</v>
          </cell>
          <cell r="E9864" t="str">
            <v>Spread Yield</v>
          </cell>
          <cell r="F9864" t="str">
            <v>Other</v>
          </cell>
          <cell r="G9864" t="str">
            <v>Other</v>
          </cell>
          <cell r="H9864" t="str">
            <v>OTHER</v>
          </cell>
          <cell r="I9864" t="str">
            <v>Spread - Municipals</v>
          </cell>
        </row>
        <row r="9865">
          <cell r="A9865" t="str">
            <v>USD_MUNI_IG_ESSENTIAL</v>
          </cell>
          <cell r="B9865" t="str">
            <v>IG Essential Services</v>
          </cell>
          <cell r="C9865" t="str">
            <v>US Muni IG:IG Essential Services</v>
          </cell>
          <cell r="D9865" t="str">
            <v>Spread Duration</v>
          </cell>
          <cell r="E9865" t="str">
            <v>Spread Yield (DxS)</v>
          </cell>
          <cell r="F9865" t="str">
            <v>Other</v>
          </cell>
          <cell r="G9865" t="str">
            <v>Other</v>
          </cell>
          <cell r="H9865" t="str">
            <v>OTHER</v>
          </cell>
          <cell r="I9865" t="str">
            <v>Spread - Municipals</v>
          </cell>
        </row>
        <row r="9866">
          <cell r="A9866" t="str">
            <v>USD_MUNI_IG_FL_LAND</v>
          </cell>
          <cell r="B9866" t="str">
            <v>IG Florida</v>
          </cell>
          <cell r="C9866" t="str">
            <v>US Muni IG:IG Florida</v>
          </cell>
          <cell r="D9866" t="str">
            <v>Spread Duration</v>
          </cell>
          <cell r="E9866" t="str">
            <v>Spread Yield (DxS)</v>
          </cell>
          <cell r="F9866" t="str">
            <v>Other</v>
          </cell>
          <cell r="G9866" t="str">
            <v>Other</v>
          </cell>
          <cell r="H9866" t="str">
            <v>OTHER</v>
          </cell>
          <cell r="I9866" t="str">
            <v>Spread - Municipals</v>
          </cell>
        </row>
        <row r="9867">
          <cell r="A9867" t="str">
            <v>USD_MUNI_IG_HEALTH</v>
          </cell>
          <cell r="B9867" t="str">
            <v>IG Health</v>
          </cell>
          <cell r="C9867" t="str">
            <v>US Muni IG:IG Health</v>
          </cell>
          <cell r="D9867" t="str">
            <v>Spread Duration</v>
          </cell>
          <cell r="E9867" t="str">
            <v>Spread Yield (DxS)</v>
          </cell>
          <cell r="F9867" t="str">
            <v>Other</v>
          </cell>
          <cell r="G9867" t="str">
            <v>Other</v>
          </cell>
          <cell r="H9867" t="str">
            <v>OTHER</v>
          </cell>
          <cell r="I9867" t="str">
            <v>Spread - Municipals</v>
          </cell>
        </row>
        <row r="9868">
          <cell r="A9868" t="str">
            <v>USD_MUNI_IG_HOTEL</v>
          </cell>
          <cell r="B9868" t="str">
            <v>IG Hotel</v>
          </cell>
          <cell r="C9868" t="str">
            <v>US Muni IG:IG Hotel</v>
          </cell>
          <cell r="D9868" t="str">
            <v>Spread Duration</v>
          </cell>
          <cell r="E9868" t="str">
            <v>Spread Yield (DxS)</v>
          </cell>
          <cell r="F9868" t="str">
            <v>Other</v>
          </cell>
          <cell r="G9868" t="str">
            <v>Other</v>
          </cell>
          <cell r="H9868" t="str">
            <v>OTHER</v>
          </cell>
          <cell r="I9868" t="str">
            <v>Spread - Municipals</v>
          </cell>
        </row>
        <row r="9869">
          <cell r="A9869" t="str">
            <v>USD_MUNI_IG_HSG_MULT</v>
          </cell>
          <cell r="B9869" t="str">
            <v>IG Multi Family Housin</v>
          </cell>
          <cell r="C9869" t="str">
            <v>US Muni IG:IG Multi Family Housin</v>
          </cell>
          <cell r="D9869" t="str">
            <v>Spread Duration</v>
          </cell>
          <cell r="E9869" t="str">
            <v>Spread Yield (DxS)</v>
          </cell>
          <cell r="F9869" t="str">
            <v>Other</v>
          </cell>
          <cell r="G9869" t="str">
            <v>Other</v>
          </cell>
          <cell r="H9869" t="str">
            <v>OTHER</v>
          </cell>
          <cell r="I9869" t="str">
            <v>Spread - Municipals</v>
          </cell>
        </row>
        <row r="9870">
          <cell r="A9870" t="str">
            <v>USD_MUNI_IG_IL_LAND</v>
          </cell>
          <cell r="B9870" t="str">
            <v>IG Illinois</v>
          </cell>
          <cell r="C9870" t="str">
            <v>US Muni IG:IG Illinois</v>
          </cell>
          <cell r="D9870" t="str">
            <v>Spread Duration</v>
          </cell>
          <cell r="E9870" t="str">
            <v>Spread Yield (DxS)</v>
          </cell>
          <cell r="F9870" t="str">
            <v>Other</v>
          </cell>
          <cell r="G9870" t="str">
            <v>Other</v>
          </cell>
          <cell r="H9870" t="str">
            <v>OTHER</v>
          </cell>
          <cell r="I9870" t="str">
            <v>Spread - Municipals</v>
          </cell>
        </row>
        <row r="9871">
          <cell r="A9871" t="str">
            <v>USD_MUNI_IG_MA_LAND</v>
          </cell>
          <cell r="B9871" t="str">
            <v>IG Massachusetts</v>
          </cell>
          <cell r="C9871" t="str">
            <v>US Muni IG:IG Massachusetts</v>
          </cell>
          <cell r="D9871" t="str">
            <v>Spread Duration</v>
          </cell>
          <cell r="E9871" t="str">
            <v>Spread Yield (DxS)</v>
          </cell>
          <cell r="F9871" t="str">
            <v>Other</v>
          </cell>
          <cell r="G9871" t="str">
            <v>Other</v>
          </cell>
          <cell r="H9871" t="str">
            <v>OTHER</v>
          </cell>
          <cell r="I9871" t="str">
            <v>Spread - Municipals</v>
          </cell>
        </row>
        <row r="9872">
          <cell r="A9872" t="str">
            <v>USD_MUNI_IG_NJ_LAND</v>
          </cell>
          <cell r="B9872" t="str">
            <v>IG New Jersey</v>
          </cell>
          <cell r="C9872" t="str">
            <v>US Muni IG:IG New Jersey</v>
          </cell>
          <cell r="D9872" t="str">
            <v>Spread Duration</v>
          </cell>
          <cell r="E9872" t="str">
            <v>Spread Yield (DxS)</v>
          </cell>
          <cell r="F9872" t="str">
            <v>Other</v>
          </cell>
          <cell r="G9872" t="str">
            <v>Other</v>
          </cell>
          <cell r="H9872" t="str">
            <v>OTHER</v>
          </cell>
          <cell r="I9872" t="str">
            <v>Spread - Municipals</v>
          </cell>
        </row>
        <row r="9873">
          <cell r="A9873" t="str">
            <v>USD_MUNI_IG_NY_LAND</v>
          </cell>
          <cell r="B9873" t="str">
            <v>IG New York</v>
          </cell>
          <cell r="C9873" t="str">
            <v>US Muni IG:IG New York</v>
          </cell>
          <cell r="D9873" t="str">
            <v>Spread Duration</v>
          </cell>
          <cell r="E9873" t="str">
            <v>Spread Yield (DxS)</v>
          </cell>
          <cell r="F9873" t="str">
            <v>Other</v>
          </cell>
          <cell r="G9873" t="str">
            <v>Other</v>
          </cell>
          <cell r="H9873" t="str">
            <v>OTHER</v>
          </cell>
          <cell r="I9873" t="str">
            <v>Spread - Municipals</v>
          </cell>
        </row>
        <row r="9874">
          <cell r="A9874" t="str">
            <v>USD_MUNI_IG_PA_LAND</v>
          </cell>
          <cell r="B9874" t="str">
            <v>IG Penn</v>
          </cell>
          <cell r="C9874" t="str">
            <v>US Muni IG:IG Penn</v>
          </cell>
          <cell r="D9874" t="str">
            <v>Spread Duration</v>
          </cell>
          <cell r="E9874" t="str">
            <v>Spread Yield (DxS)</v>
          </cell>
          <cell r="F9874" t="str">
            <v>Other</v>
          </cell>
          <cell r="G9874" t="str">
            <v>Other</v>
          </cell>
          <cell r="H9874" t="str">
            <v>OTHER</v>
          </cell>
          <cell r="I9874" t="str">
            <v>Spread - Municipals</v>
          </cell>
        </row>
        <row r="9875">
          <cell r="A9875" t="str">
            <v>USD_MUNI_IG_PREPAID</v>
          </cell>
          <cell r="B9875" t="str">
            <v>IG Prepaid Gas</v>
          </cell>
          <cell r="C9875" t="str">
            <v>US Muni IG:IG Prepaid Gas</v>
          </cell>
          <cell r="D9875" t="str">
            <v>Spread Duration</v>
          </cell>
          <cell r="E9875" t="str">
            <v>Spread Yield (DxS)</v>
          </cell>
          <cell r="F9875" t="str">
            <v>Other</v>
          </cell>
          <cell r="G9875" t="str">
            <v>Other</v>
          </cell>
          <cell r="H9875" t="str">
            <v>OTHER</v>
          </cell>
          <cell r="I9875" t="str">
            <v>Spread - Municipals</v>
          </cell>
        </row>
        <row r="9876">
          <cell r="A9876" t="str">
            <v>USD_MUNI_IG_SCHL_DIST</v>
          </cell>
          <cell r="B9876" t="str">
            <v>IG School Dist.</v>
          </cell>
          <cell r="C9876" t="str">
            <v>US Muni IG:IG School Dist.</v>
          </cell>
          <cell r="D9876" t="str">
            <v>Spread Duration</v>
          </cell>
          <cell r="E9876" t="str">
            <v>Spread Yield (DxS)</v>
          </cell>
          <cell r="F9876" t="str">
            <v>Other</v>
          </cell>
          <cell r="G9876" t="str">
            <v>Other</v>
          </cell>
          <cell r="H9876" t="str">
            <v>OTHER</v>
          </cell>
          <cell r="I9876" t="str">
            <v>Spread - Municipals</v>
          </cell>
        </row>
        <row r="9877">
          <cell r="A9877" t="str">
            <v>USD_MUNI_IG_STATE_OTH</v>
          </cell>
          <cell r="B9877" t="str">
            <v>IG State Other</v>
          </cell>
          <cell r="C9877" t="str">
            <v>US Muni IG:IG State Other</v>
          </cell>
          <cell r="D9877" t="str">
            <v>Spread Duration</v>
          </cell>
          <cell r="E9877" t="str">
            <v>Spread Yield (DxS)</v>
          </cell>
          <cell r="F9877" t="str">
            <v>Other</v>
          </cell>
          <cell r="G9877" t="str">
            <v>Other</v>
          </cell>
          <cell r="H9877" t="str">
            <v>OTHER</v>
          </cell>
          <cell r="I9877" t="str">
            <v>Spread - Municipals</v>
          </cell>
        </row>
        <row r="9878">
          <cell r="A9878" t="str">
            <v>USD_MUNI_IG_TERRI</v>
          </cell>
          <cell r="B9878" t="str">
            <v>IG Territories</v>
          </cell>
          <cell r="C9878" t="str">
            <v>US Muni IG:IG Territories</v>
          </cell>
          <cell r="D9878" t="str">
            <v>Spread Duration</v>
          </cell>
          <cell r="E9878" t="str">
            <v>Spread Yield (DxS)</v>
          </cell>
          <cell r="F9878" t="str">
            <v>Other</v>
          </cell>
          <cell r="G9878" t="str">
            <v>Other</v>
          </cell>
          <cell r="H9878" t="str">
            <v>OTHER</v>
          </cell>
          <cell r="I9878" t="str">
            <v>Spread - Municipals</v>
          </cell>
        </row>
        <row r="9879">
          <cell r="A9879" t="str">
            <v>USD_MUNI_IG_TOBACCO</v>
          </cell>
          <cell r="B9879" t="str">
            <v>IG Tobacco</v>
          </cell>
          <cell r="C9879" t="str">
            <v>US Muni IG:IG Tobacco</v>
          </cell>
          <cell r="D9879" t="str">
            <v>Spread Duration</v>
          </cell>
          <cell r="E9879" t="str">
            <v>Spread Yield (DxS)</v>
          </cell>
          <cell r="F9879" t="str">
            <v>Other</v>
          </cell>
          <cell r="G9879" t="str">
            <v>Other</v>
          </cell>
          <cell r="H9879" t="str">
            <v>OTHER</v>
          </cell>
          <cell r="I9879" t="str">
            <v>Spread - Municipals</v>
          </cell>
        </row>
        <row r="9880">
          <cell r="A9880" t="str">
            <v>USD_MUNI_IG_TRANS_OTH</v>
          </cell>
          <cell r="B9880" t="str">
            <v>IG Transport Other</v>
          </cell>
          <cell r="C9880" t="str">
            <v>US Muni IG:IG Transport Other</v>
          </cell>
          <cell r="D9880" t="str">
            <v>Spread Duration</v>
          </cell>
          <cell r="E9880" t="str">
            <v>Spread Yield (DxS)</v>
          </cell>
          <cell r="F9880" t="str">
            <v>Other</v>
          </cell>
          <cell r="G9880" t="str">
            <v>Other</v>
          </cell>
          <cell r="H9880" t="str">
            <v>OTHER</v>
          </cell>
          <cell r="I9880" t="str">
            <v>Spread - Municipals</v>
          </cell>
        </row>
        <row r="9881">
          <cell r="A9881" t="str">
            <v>USD_MUNI_IG_TX_LAND</v>
          </cell>
          <cell r="B9881" t="str">
            <v>IG Texas</v>
          </cell>
          <cell r="C9881" t="str">
            <v>US Muni IG:IG Texas</v>
          </cell>
          <cell r="D9881" t="str">
            <v>Spread Duration</v>
          </cell>
          <cell r="E9881" t="str">
            <v>Spread Yield (DxS)</v>
          </cell>
          <cell r="F9881" t="str">
            <v>Other</v>
          </cell>
          <cell r="G9881" t="str">
            <v>Other</v>
          </cell>
          <cell r="H9881" t="str">
            <v>OTHER</v>
          </cell>
          <cell r="I9881" t="str">
            <v>Spread - Municipals</v>
          </cell>
        </row>
        <row r="9882">
          <cell r="A9882" t="str">
            <v>USD_MUNI_IG_UTIL</v>
          </cell>
          <cell r="B9882" t="str">
            <v>IG Public Utility</v>
          </cell>
          <cell r="C9882" t="str">
            <v>US Muni IG:IG Public Utility</v>
          </cell>
          <cell r="D9882" t="str">
            <v>Spread Duration</v>
          </cell>
          <cell r="E9882" t="str">
            <v>Spread Yield (DxS)</v>
          </cell>
          <cell r="F9882" t="str">
            <v>Other</v>
          </cell>
          <cell r="G9882" t="str">
            <v>Other</v>
          </cell>
          <cell r="H9882" t="str">
            <v>OTHER</v>
          </cell>
          <cell r="I9882" t="str">
            <v>Spread - Municipals</v>
          </cell>
        </row>
        <row r="9883">
          <cell r="A9883" t="str">
            <v>CAD_corra_10yr</v>
          </cell>
          <cell r="B9883" t="str">
            <v>CAD CORRA 10Y</v>
          </cell>
          <cell r="C9883" t="str">
            <v>CAD CORRA:CAD CORRA 10Y</v>
          </cell>
          <cell r="D9883" t="str">
            <v>Libor KRD</v>
          </cell>
          <cell r="E9883" t="str">
            <v>Yield</v>
          </cell>
          <cell r="F9883" t="str">
            <v>SP-Other</v>
          </cell>
          <cell r="G9883" t="str">
            <v>SP-Other</v>
          </cell>
          <cell r="H9883" t="str">
            <v>SPREADS</v>
          </cell>
          <cell r="I9883" t="str">
            <v>Swap Spread - OIS</v>
          </cell>
        </row>
        <row r="9884">
          <cell r="A9884" t="str">
            <v>CAD_corra_15yr</v>
          </cell>
          <cell r="B9884" t="str">
            <v>CAD CORRA 15Y</v>
          </cell>
          <cell r="C9884" t="str">
            <v>CAD CORRA:CAD CORRA 15Y</v>
          </cell>
          <cell r="D9884" t="str">
            <v>Libor KRD</v>
          </cell>
          <cell r="E9884" t="str">
            <v>Yield</v>
          </cell>
          <cell r="F9884" t="str">
            <v>SP-Other</v>
          </cell>
          <cell r="G9884" t="str">
            <v>SP-Other</v>
          </cell>
          <cell r="H9884" t="str">
            <v>SPREADS</v>
          </cell>
          <cell r="I9884" t="str">
            <v>Swap Spread - OIS</v>
          </cell>
        </row>
        <row r="9885">
          <cell r="A9885" t="str">
            <v>CAD_corra_20yr</v>
          </cell>
          <cell r="B9885" t="str">
            <v>CAD CORRA 20Y</v>
          </cell>
          <cell r="C9885" t="str">
            <v>CAD CORRA:CAD CORRA 20Y</v>
          </cell>
          <cell r="D9885" t="str">
            <v>Libor KRD</v>
          </cell>
          <cell r="E9885" t="str">
            <v>Yield</v>
          </cell>
          <cell r="F9885" t="str">
            <v>SP-Other</v>
          </cell>
          <cell r="G9885" t="str">
            <v>SP-Other</v>
          </cell>
          <cell r="H9885" t="str">
            <v>SPREADS</v>
          </cell>
          <cell r="I9885" t="str">
            <v>Swap Spread - OIS</v>
          </cell>
        </row>
        <row r="9886">
          <cell r="A9886" t="str">
            <v>CAD_corra_25yr</v>
          </cell>
          <cell r="B9886" t="str">
            <v>CAD CORRA 25Y</v>
          </cell>
          <cell r="C9886" t="str">
            <v>CAD CORRA:CAD CORRA 25Y</v>
          </cell>
          <cell r="D9886" t="str">
            <v>Libor KRD</v>
          </cell>
          <cell r="E9886" t="str">
            <v>Yield</v>
          </cell>
          <cell r="F9886" t="str">
            <v>SP-Other</v>
          </cell>
          <cell r="G9886" t="str">
            <v>SP-Other</v>
          </cell>
          <cell r="H9886" t="str">
            <v>SPREADS</v>
          </cell>
          <cell r="I9886" t="str">
            <v>Swap Spread - OIS</v>
          </cell>
        </row>
        <row r="9887">
          <cell r="A9887" t="str">
            <v>CAD_corra_30yr</v>
          </cell>
          <cell r="B9887" t="str">
            <v>CAD CORRA 30Y</v>
          </cell>
          <cell r="C9887" t="str">
            <v>CAD CORRA:CAD CORRA 30Y</v>
          </cell>
          <cell r="D9887" t="str">
            <v>Libor KRD</v>
          </cell>
          <cell r="E9887" t="str">
            <v>Yield</v>
          </cell>
          <cell r="F9887" t="str">
            <v>SP-Other</v>
          </cell>
          <cell r="G9887" t="str">
            <v>SP-Other</v>
          </cell>
          <cell r="H9887" t="str">
            <v>SPREADS</v>
          </cell>
          <cell r="I9887" t="str">
            <v>Swap Spread - OIS</v>
          </cell>
        </row>
        <row r="9888">
          <cell r="A9888" t="str">
            <v>INR_LOCAL_2yr</v>
          </cell>
          <cell r="B9888" t="str">
            <v>INR Local 2Y</v>
          </cell>
          <cell r="C9888" t="str">
            <v>Non$ EM Govt Related:INR Local 2Y</v>
          </cell>
          <cell r="D9888" t="str">
            <v>Spread Duration</v>
          </cell>
          <cell r="E9888" t="str">
            <v>Other Spread Yield</v>
          </cell>
          <cell r="F9888" t="str">
            <v>FI-Govt Emerging Markets Spread</v>
          </cell>
          <cell r="G9888" t="str">
            <v>FI-Other</v>
          </cell>
          <cell r="H9888" t="str">
            <v>RATES</v>
          </cell>
          <cell r="I9888" t="str">
            <v>Govt Emerging Markets Spread</v>
          </cell>
        </row>
        <row r="9889">
          <cell r="A9889" t="str">
            <v>TBA_650</v>
          </cell>
          <cell r="B9889" t="str">
            <v>Total</v>
          </cell>
          <cell r="C9889" t="str">
            <v>Total</v>
          </cell>
          <cell r="D9889" t="str">
            <v>WITHOUT TYPE</v>
          </cell>
          <cell r="E9889" t="str">
            <v>WITHOUT TYPE</v>
          </cell>
          <cell r="F9889" t="str">
            <v>Alternative</v>
          </cell>
          <cell r="G9889" t="str">
            <v>Other</v>
          </cell>
          <cell r="H9889" t="str">
            <v>ALTS</v>
          </cell>
          <cell r="I9889" t="str">
            <v>Mortgage - Moneyness</v>
          </cell>
        </row>
        <row r="9890">
          <cell r="A9890" t="str">
            <v>USD_mtg15_tsy_V650</v>
          </cell>
          <cell r="B9890" t="str">
            <v>15yr Mtg Tsy Basis V650</v>
          </cell>
          <cell r="C9890" t="str">
            <v>Mortgage Basis:15yr Mtg Tsy Basis V650</v>
          </cell>
          <cell r="D9890" t="str">
            <v>Mortgage Basis Duration</v>
          </cell>
          <cell r="E9890" t="str">
            <v>Mortgage Basis</v>
          </cell>
          <cell r="F9890" t="str">
            <v>Alternative</v>
          </cell>
          <cell r="G9890" t="str">
            <v>Other</v>
          </cell>
          <cell r="H9890" t="str">
            <v>ALTS</v>
          </cell>
          <cell r="I9890" t="str">
            <v>Mortgage Basis</v>
          </cell>
        </row>
        <row r="9891">
          <cell r="A9891" t="str">
            <v>USD_mtg30_tsy_V650</v>
          </cell>
          <cell r="B9891" t="str">
            <v>30yr Mtg Tsy Basis V650</v>
          </cell>
          <cell r="C9891" t="str">
            <v>Mortgage Basis:30yr Mtg Tsy Basis V650</v>
          </cell>
          <cell r="D9891" t="str">
            <v>Mortgage Basis Duration</v>
          </cell>
          <cell r="E9891" t="str">
            <v>Mortgage Basis</v>
          </cell>
          <cell r="F9891" t="str">
            <v>Alternative</v>
          </cell>
          <cell r="G9891" t="str">
            <v>Other</v>
          </cell>
          <cell r="H9891" t="str">
            <v>ALTS</v>
          </cell>
          <cell r="I9891" t="str">
            <v>Mortgage Basis</v>
          </cell>
        </row>
        <row r="9892">
          <cell r="A9892" t="str">
            <v>USD_TBA_15_V650</v>
          </cell>
          <cell r="B9892" t="str">
            <v>TBA 15vs30 V650</v>
          </cell>
          <cell r="C9892" t="str">
            <v>Total:TBA 15vs30 V650</v>
          </cell>
          <cell r="D9892" t="str">
            <v>Spread Duration</v>
          </cell>
          <cell r="E9892" t="str">
            <v>Spread Yield</v>
          </cell>
          <cell r="F9892" t="str">
            <v>Alternative</v>
          </cell>
          <cell r="G9892" t="str">
            <v>Other</v>
          </cell>
          <cell r="H9892" t="str">
            <v>ALTS</v>
          </cell>
          <cell r="I9892" t="str">
            <v>Mortgage - Moneyness</v>
          </cell>
        </row>
        <row r="9893">
          <cell r="A9893" t="str">
            <v>USD_TBA_ATM_V650</v>
          </cell>
          <cell r="B9893" t="str">
            <v>TBA30 ATM V650</v>
          </cell>
          <cell r="C9893" t="str">
            <v>Total:TBA30 ATM V650</v>
          </cell>
          <cell r="D9893" t="str">
            <v>Spread Duration</v>
          </cell>
          <cell r="E9893" t="str">
            <v>Spread Yield</v>
          </cell>
          <cell r="F9893" t="str">
            <v>Alternative</v>
          </cell>
          <cell r="G9893" t="str">
            <v>Other</v>
          </cell>
          <cell r="H9893" t="str">
            <v>ALTS</v>
          </cell>
          <cell r="I9893" t="str">
            <v>Mortgage - Moneyness</v>
          </cell>
        </row>
        <row r="9894">
          <cell r="A9894" t="str">
            <v>USD_TBA_GN_V650</v>
          </cell>
          <cell r="B9894" t="str">
            <v>TBA GNvsFN V650</v>
          </cell>
          <cell r="C9894" t="str">
            <v>Total:TBA GNvsFN V650</v>
          </cell>
          <cell r="D9894" t="str">
            <v>Spread Duration</v>
          </cell>
          <cell r="E9894" t="str">
            <v>Other Spread Yield</v>
          </cell>
          <cell r="F9894" t="str">
            <v>Alternative</v>
          </cell>
          <cell r="G9894" t="str">
            <v>Other</v>
          </cell>
          <cell r="H9894" t="str">
            <v>ALTS</v>
          </cell>
          <cell r="I9894" t="str">
            <v>Mortgage - Moneyness</v>
          </cell>
        </row>
        <row r="9895">
          <cell r="A9895" t="str">
            <v>USD_TBA_ITM10_V650</v>
          </cell>
          <cell r="B9895" t="str">
            <v>TBA30 ITM100 V650</v>
          </cell>
          <cell r="C9895" t="str">
            <v>Total:TBA30 ITM100 V650</v>
          </cell>
          <cell r="D9895" t="str">
            <v>Spread Duration</v>
          </cell>
          <cell r="E9895" t="str">
            <v>Spread Yield</v>
          </cell>
          <cell r="F9895" t="str">
            <v>Alternative</v>
          </cell>
          <cell r="G9895" t="str">
            <v>Other</v>
          </cell>
          <cell r="H9895" t="str">
            <v>ALTS</v>
          </cell>
          <cell r="I9895" t="str">
            <v>Mortgage - Moneyness</v>
          </cell>
        </row>
        <row r="9896">
          <cell r="A9896" t="str">
            <v>USD_TBA_ITM5_V650</v>
          </cell>
          <cell r="B9896" t="str">
            <v>TBA30 ITM50 V650</v>
          </cell>
          <cell r="C9896" t="str">
            <v>Total:TBA30 ITM50 V650</v>
          </cell>
          <cell r="D9896" t="str">
            <v>Spread Duration</v>
          </cell>
          <cell r="E9896" t="str">
            <v>Spread Yield</v>
          </cell>
          <cell r="F9896" t="str">
            <v>Alternative</v>
          </cell>
          <cell r="G9896" t="str">
            <v>Other</v>
          </cell>
          <cell r="H9896" t="str">
            <v>ALTS</v>
          </cell>
          <cell r="I9896" t="str">
            <v>Mortgage - Moneyness</v>
          </cell>
        </row>
        <row r="9897">
          <cell r="A9897" t="str">
            <v>USD_TBA_OTM10_V650</v>
          </cell>
          <cell r="B9897" t="str">
            <v>TBA30 OTM100 V650</v>
          </cell>
          <cell r="C9897" t="str">
            <v>Total:TBA30 OTM100 V650</v>
          </cell>
          <cell r="D9897" t="str">
            <v>Spread Duration</v>
          </cell>
          <cell r="E9897" t="str">
            <v>Spread Yield</v>
          </cell>
          <cell r="F9897" t="str">
            <v>Alternative</v>
          </cell>
          <cell r="G9897" t="str">
            <v>Other</v>
          </cell>
          <cell r="H9897" t="str">
            <v>ALTS</v>
          </cell>
          <cell r="I9897" t="str">
            <v>Mortgage - Moneyness</v>
          </cell>
        </row>
        <row r="9898">
          <cell r="A9898" t="str">
            <v>USD_TBA_OTM15_V650</v>
          </cell>
          <cell r="B9898" t="str">
            <v>TBA30 OTM150 V650</v>
          </cell>
          <cell r="C9898" t="str">
            <v>Total:TBA30 OTM150 V650</v>
          </cell>
          <cell r="D9898" t="str">
            <v>Spread Duration</v>
          </cell>
          <cell r="E9898" t="str">
            <v>Spread Yield</v>
          </cell>
          <cell r="F9898" t="str">
            <v>Alternative</v>
          </cell>
          <cell r="G9898" t="str">
            <v>Other</v>
          </cell>
          <cell r="H9898" t="str">
            <v>ALTS</v>
          </cell>
          <cell r="I9898" t="str">
            <v>Mortgage - Moneyness</v>
          </cell>
        </row>
        <row r="9899">
          <cell r="A9899" t="str">
            <v>USD_TBA_OTM20_V650</v>
          </cell>
          <cell r="B9899" t="str">
            <v>TBA30 OTM200 V650</v>
          </cell>
          <cell r="C9899" t="str">
            <v>Total:TBA30 OTM200 V650</v>
          </cell>
          <cell r="D9899" t="str">
            <v>Spread Duration</v>
          </cell>
          <cell r="E9899" t="str">
            <v>Spread Yield</v>
          </cell>
          <cell r="F9899" t="str">
            <v>Alternative</v>
          </cell>
          <cell r="G9899" t="str">
            <v>Other</v>
          </cell>
          <cell r="H9899" t="str">
            <v>ALTS</v>
          </cell>
          <cell r="I9899" t="str">
            <v>Mortgage - Moneyness</v>
          </cell>
        </row>
        <row r="9900">
          <cell r="A9900" t="str">
            <v>USD_TBA_OTM25_V650</v>
          </cell>
          <cell r="B9900" t="str">
            <v>TBA30 OTM250 V650</v>
          </cell>
          <cell r="C9900" t="str">
            <v>Total:TBA30 OTM250 V650</v>
          </cell>
          <cell r="D9900" t="str">
            <v>Spread Duration</v>
          </cell>
          <cell r="E9900" t="str">
            <v>Spread Yield</v>
          </cell>
          <cell r="F9900" t="str">
            <v>Alternative</v>
          </cell>
          <cell r="G9900" t="str">
            <v>Other</v>
          </cell>
          <cell r="H9900" t="str">
            <v>ALTS</v>
          </cell>
          <cell r="I9900" t="str">
            <v>Mortgage - Moneyness</v>
          </cell>
        </row>
        <row r="9901">
          <cell r="A9901" t="str">
            <v>USD_TBA_OTM30_V650</v>
          </cell>
          <cell r="B9901" t="str">
            <v>TBA30 OTM300 V650</v>
          </cell>
          <cell r="C9901" t="str">
            <v>Total:TBA30 OTM300 V650</v>
          </cell>
          <cell r="D9901" t="str">
            <v>Spread Duration</v>
          </cell>
          <cell r="E9901" t="str">
            <v>Spread Yield</v>
          </cell>
          <cell r="F9901" t="str">
            <v>Alternative</v>
          </cell>
          <cell r="G9901" t="str">
            <v>Other</v>
          </cell>
          <cell r="H9901" t="str">
            <v>ALTS</v>
          </cell>
          <cell r="I9901" t="str">
            <v>Mortgage - Moneyness</v>
          </cell>
        </row>
        <row r="9902">
          <cell r="A9902" t="str">
            <v>USD_TBA_OTM35_V650</v>
          </cell>
          <cell r="B9902" t="str">
            <v>TBA30 OTM350 V650</v>
          </cell>
          <cell r="C9902" t="str">
            <v>Total:TBA30 OTM350 V650</v>
          </cell>
          <cell r="D9902" t="str">
            <v>Spread Duration</v>
          </cell>
          <cell r="E9902" t="str">
            <v>Spread Yield</v>
          </cell>
          <cell r="F9902" t="str">
            <v>Alternative</v>
          </cell>
          <cell r="G9902" t="str">
            <v>Other</v>
          </cell>
          <cell r="H9902" t="str">
            <v>ALTS</v>
          </cell>
          <cell r="I9902" t="str">
            <v>Mortgage - Moneyness</v>
          </cell>
        </row>
        <row r="9903">
          <cell r="A9903" t="str">
            <v>USD_TBA_OTM5_V650</v>
          </cell>
          <cell r="B9903" t="str">
            <v>TBA30 OTM50 V650</v>
          </cell>
          <cell r="C9903" t="str">
            <v>Total:TBA30 OTM50 V650</v>
          </cell>
          <cell r="D9903" t="str">
            <v>Spread Duration</v>
          </cell>
          <cell r="E9903" t="str">
            <v>Spread Yield</v>
          </cell>
          <cell r="F9903" t="str">
            <v>Alternative</v>
          </cell>
          <cell r="G9903" t="str">
            <v>Other</v>
          </cell>
          <cell r="H9903" t="str">
            <v>ALTS</v>
          </cell>
          <cell r="I9903" t="str">
            <v>Mortgage - Moneyness</v>
          </cell>
        </row>
        <row r="9904">
          <cell r="A9904" t="str">
            <v>USD_TBA15_OTM10_V650</v>
          </cell>
          <cell r="B9904" t="str">
            <v>TBA15 OTM100 V650</v>
          </cell>
          <cell r="C9904" t="str">
            <v>Total:TBA15 OTM100 V650</v>
          </cell>
          <cell r="D9904" t="str">
            <v>Spread Duration</v>
          </cell>
          <cell r="E9904" t="str">
            <v>Spread Yield</v>
          </cell>
          <cell r="F9904" t="str">
            <v>Alternative</v>
          </cell>
          <cell r="G9904" t="str">
            <v>Other</v>
          </cell>
          <cell r="H9904" t="str">
            <v>ALTS</v>
          </cell>
          <cell r="I9904" t="str">
            <v>Mortgage - Moneyness</v>
          </cell>
        </row>
        <row r="9905">
          <cell r="A9905" t="str">
            <v>USD_TBA15_OTM15_V650</v>
          </cell>
          <cell r="B9905" t="str">
            <v>TBA15 OTM150 V650</v>
          </cell>
          <cell r="C9905" t="str">
            <v>Total:TBA15 OTM150 V650</v>
          </cell>
          <cell r="D9905" t="str">
            <v>Spread Duration</v>
          </cell>
          <cell r="E9905" t="str">
            <v>Spread Yield</v>
          </cell>
          <cell r="F9905" t="str">
            <v>Alternative</v>
          </cell>
          <cell r="G9905" t="str">
            <v>Other</v>
          </cell>
          <cell r="H9905" t="str">
            <v>ALTS</v>
          </cell>
          <cell r="I9905" t="str">
            <v>Mortgage - Moneyness</v>
          </cell>
        </row>
        <row r="9906">
          <cell r="A9906" t="str">
            <v>USD_TBA15_OTM20_V650</v>
          </cell>
          <cell r="B9906" t="str">
            <v>TBA15 OTM200 V650</v>
          </cell>
          <cell r="C9906" t="str">
            <v>Total:TBA15 OTM200 V650</v>
          </cell>
          <cell r="D9906" t="str">
            <v>Spread Duration</v>
          </cell>
          <cell r="E9906" t="str">
            <v>Spread Yield</v>
          </cell>
          <cell r="F9906" t="str">
            <v>Alternative</v>
          </cell>
          <cell r="G9906" t="str">
            <v>Other</v>
          </cell>
          <cell r="H9906" t="str">
            <v>ALTS</v>
          </cell>
          <cell r="I9906" t="str">
            <v>Mortgage - Moneyness</v>
          </cell>
        </row>
        <row r="9907">
          <cell r="A9907" t="str">
            <v>USD_TBA15_OTM25_V650</v>
          </cell>
          <cell r="B9907" t="str">
            <v>TBA15 OTM250 V650</v>
          </cell>
          <cell r="C9907" t="str">
            <v>Total:TBA15 OTM250 V650</v>
          </cell>
          <cell r="D9907" t="str">
            <v>Spread Duration</v>
          </cell>
          <cell r="E9907" t="str">
            <v>Spread Yield</v>
          </cell>
          <cell r="F9907" t="str">
            <v>Alternative</v>
          </cell>
          <cell r="G9907" t="str">
            <v>Other</v>
          </cell>
          <cell r="H9907" t="str">
            <v>ALTS</v>
          </cell>
          <cell r="I9907" t="str">
            <v>Mortgage - Moneyness</v>
          </cell>
        </row>
        <row r="9908">
          <cell r="A9908" t="str">
            <v>USD_TBA15_OTM30_V650</v>
          </cell>
          <cell r="B9908" t="str">
            <v>TBA15 OTM300 V650</v>
          </cell>
          <cell r="C9908" t="str">
            <v>Total:TBA15 OTM300 V650</v>
          </cell>
          <cell r="D9908" t="str">
            <v>Spread Duration</v>
          </cell>
          <cell r="E9908" t="str">
            <v>Spread Yield</v>
          </cell>
          <cell r="F9908" t="str">
            <v>Alternative</v>
          </cell>
          <cell r="G9908" t="str">
            <v>Other</v>
          </cell>
          <cell r="H9908" t="str">
            <v>ALTS</v>
          </cell>
          <cell r="I9908" t="str">
            <v>Mortgage - Moneyness</v>
          </cell>
        </row>
        <row r="9909">
          <cell r="A9909" t="str">
            <v>USD_TBA15_OTM35_V650</v>
          </cell>
          <cell r="B9909" t="str">
            <v>TBA15 OTM350 V650</v>
          </cell>
          <cell r="C9909" t="str">
            <v>Total:TBA15 OTM350 V650</v>
          </cell>
          <cell r="D9909" t="str">
            <v>Spread Duration</v>
          </cell>
          <cell r="E9909" t="str">
            <v>Spread Yield</v>
          </cell>
          <cell r="F9909" t="str">
            <v>Alternative</v>
          </cell>
          <cell r="G9909" t="str">
            <v>Other</v>
          </cell>
          <cell r="H9909" t="str">
            <v>ALTS</v>
          </cell>
          <cell r="I9909" t="str">
            <v>Mortgage - Moneyness</v>
          </cell>
        </row>
        <row r="9910">
          <cell r="A9910" t="str">
            <v>USD_MUNI_HY_TRANS_OTH</v>
          </cell>
          <cell r="B9910" t="str">
            <v>HY Transport Other</v>
          </cell>
          <cell r="C9910" t="str">
            <v>Muni HY:HY Transport Other</v>
          </cell>
          <cell r="D9910" t="str">
            <v>Spread Duration</v>
          </cell>
          <cell r="E9910" t="str">
            <v>Spread Yield (DxS)</v>
          </cell>
          <cell r="F9910" t="str">
            <v>Other</v>
          </cell>
          <cell r="G9910" t="str">
            <v>Other</v>
          </cell>
          <cell r="H9910" t="str">
            <v>OTHER</v>
          </cell>
          <cell r="I9910" t="str">
            <v>Spread - Municipals</v>
          </cell>
        </row>
        <row r="9911">
          <cell r="A9911" t="str">
            <v>DKK_MBS_ITM</v>
          </cell>
          <cell r="B9911" t="str">
            <v>DKK MBS ITM</v>
          </cell>
          <cell r="C9911" t="str">
            <v>Other:DKK MBS ITM</v>
          </cell>
          <cell r="D9911" t="str">
            <v>Spread Duration</v>
          </cell>
          <cell r="E9911" t="str">
            <v>Spread Yield</v>
          </cell>
          <cell r="F9911" t="str">
            <v>Alternative</v>
          </cell>
          <cell r="G9911" t="str">
            <v>Other</v>
          </cell>
          <cell r="H9911" t="str">
            <v>ALTS</v>
          </cell>
          <cell r="I9911" t="str">
            <v>Mortgage - Moneyness</v>
          </cell>
        </row>
        <row r="9912">
          <cell r="A9912" t="str">
            <v>AI_RE2_APAC_JPN_IND</v>
          </cell>
          <cell r="B9912" t="str">
            <v>APAC Japan Ind RE</v>
          </cell>
          <cell r="C9912" t="str">
            <v>Other:APAC Japan Ind RE</v>
          </cell>
          <cell r="D9912" t="str">
            <v>Index</v>
          </cell>
          <cell r="E9912" t="str">
            <v>Index Level</v>
          </cell>
          <cell r="F9912" t="str">
            <v>Alternative</v>
          </cell>
          <cell r="G9912" t="str">
            <v>Other</v>
          </cell>
          <cell r="H9912" t="str">
            <v>ALTS</v>
          </cell>
          <cell r="I9912" t="str">
            <v>Alternative - Index</v>
          </cell>
        </row>
        <row r="9913">
          <cell r="A9913" t="str">
            <v>USD_TBA15_OTM5_V650</v>
          </cell>
          <cell r="B9913" t="str">
            <v>TBA15 OTM50 V650</v>
          </cell>
          <cell r="C9913" t="str">
            <v>Total:TBA15 OTM50 V650</v>
          </cell>
          <cell r="D9913" t="str">
            <v>Spread Duration</v>
          </cell>
          <cell r="E9913" t="str">
            <v>Spread Yield</v>
          </cell>
          <cell r="F9913" t="str">
            <v>Alternative</v>
          </cell>
          <cell r="G9913" t="str">
            <v>Other</v>
          </cell>
          <cell r="H9913" t="str">
            <v>ALTS</v>
          </cell>
          <cell r="I9913" t="str">
            <v>Mortgage - Moneyness</v>
          </cell>
        </row>
        <row r="9914">
          <cell r="A9914" t="str">
            <v>USD_ABS_DS</v>
          </cell>
          <cell r="B9914" t="str">
            <v>ABS</v>
          </cell>
          <cell r="C9914" t="str">
            <v>ABS</v>
          </cell>
          <cell r="D9914" t="str">
            <v>WITHOUT TYPE</v>
          </cell>
          <cell r="E9914" t="str">
            <v>WITHOUT TYPE</v>
          </cell>
          <cell r="F9914" t="str">
            <v>Alternative</v>
          </cell>
          <cell r="G9914" t="str">
            <v>Other</v>
          </cell>
          <cell r="H9914" t="str">
            <v>ALTS</v>
          </cell>
          <cell r="I9914" t="str">
            <v>ABS - Swap Spread</v>
          </cell>
        </row>
        <row r="9915">
          <cell r="A9915" t="str">
            <v>USD_ARM_AGY_10_1_V650</v>
          </cell>
          <cell r="B9915" t="str">
            <v>10/1 Conventional Hyb ARM V650</v>
          </cell>
          <cell r="C9915" t="str">
            <v>Mortgage Basis:10/1 Conventional Hyb ARM V650</v>
          </cell>
          <cell r="D9915" t="str">
            <v>Spread Duration</v>
          </cell>
          <cell r="E9915" t="str">
            <v>Spread Yield</v>
          </cell>
          <cell r="F9915" t="str">
            <v>Alternative</v>
          </cell>
          <cell r="G9915" t="str">
            <v>Other</v>
          </cell>
          <cell r="H9915" t="str">
            <v>ALTS</v>
          </cell>
          <cell r="I9915" t="str">
            <v>Mortgage - Moneyness</v>
          </cell>
        </row>
        <row r="9916">
          <cell r="A9916" t="str">
            <v>USD_ARM_AGY_5_1_V650</v>
          </cell>
          <cell r="B9916" t="str">
            <v>5/1 Conventional Hyb ARM V650</v>
          </cell>
          <cell r="C9916" t="str">
            <v>Mortgage Basis:5/1 Conventional Hyb ARM V650</v>
          </cell>
          <cell r="D9916" t="str">
            <v>Spread Duration</v>
          </cell>
          <cell r="E9916" t="str">
            <v>Spread Yield</v>
          </cell>
          <cell r="F9916" t="str">
            <v>Alternative</v>
          </cell>
          <cell r="G9916" t="str">
            <v>Other</v>
          </cell>
          <cell r="H9916" t="str">
            <v>ALTS</v>
          </cell>
          <cell r="I9916" t="str">
            <v>Mortgage - Moneyness</v>
          </cell>
        </row>
        <row r="9917">
          <cell r="A9917" t="str">
            <v>USD_ARM_AGY_7_1_V650</v>
          </cell>
          <cell r="B9917" t="str">
            <v>7/1 Conventional Hyb ARM V650</v>
          </cell>
          <cell r="C9917" t="str">
            <v>Mortgage Basis:7/1 Conventional Hyb ARM V650</v>
          </cell>
          <cell r="D9917" t="str">
            <v>Spread Duration</v>
          </cell>
          <cell r="E9917" t="str">
            <v>Spread Yield</v>
          </cell>
          <cell r="F9917" t="str">
            <v>Alternative</v>
          </cell>
          <cell r="G9917" t="str">
            <v>Other</v>
          </cell>
          <cell r="H9917" t="str">
            <v>ALTS</v>
          </cell>
          <cell r="I9917" t="str">
            <v>Mortgage - Moneyness</v>
          </cell>
        </row>
        <row r="9918">
          <cell r="A9918" t="str">
            <v>USD_TBA_ITM15_V650</v>
          </cell>
          <cell r="B9918" t="str">
            <v>TBA30 ITM150 V650</v>
          </cell>
          <cell r="C9918" t="str">
            <v>Total:TBA30 ITM150 V650</v>
          </cell>
          <cell r="D9918" t="str">
            <v>Spread Duration</v>
          </cell>
          <cell r="E9918" t="str">
            <v>Spread Yield</v>
          </cell>
          <cell r="F9918" t="str">
            <v>Alternative</v>
          </cell>
          <cell r="G9918" t="str">
            <v>Other</v>
          </cell>
          <cell r="H9918" t="str">
            <v>ALTS</v>
          </cell>
          <cell r="I9918" t="str">
            <v>Mortgage - Moneyness</v>
          </cell>
        </row>
        <row r="9919">
          <cell r="A9919" t="str">
            <v>USD_TBA15_ATM_V650</v>
          </cell>
          <cell r="B9919" t="str">
            <v>TBA15 ATM V650</v>
          </cell>
          <cell r="C9919" t="str">
            <v>Total:TBA15 ATM V650</v>
          </cell>
          <cell r="D9919" t="str">
            <v>Spread Duration</v>
          </cell>
          <cell r="E9919" t="str">
            <v>Spread Yield</v>
          </cell>
          <cell r="F9919" t="str">
            <v>Alternative</v>
          </cell>
          <cell r="G9919" t="str">
            <v>Other</v>
          </cell>
          <cell r="H9919" t="str">
            <v>ALTS</v>
          </cell>
          <cell r="I9919" t="str">
            <v>Mortgage - Moneyness</v>
          </cell>
        </row>
        <row r="9920">
          <cell r="A9920" t="str">
            <v>USD_TBA15_ITM5_V650</v>
          </cell>
          <cell r="B9920" t="str">
            <v>TBA15 ITM50 V650</v>
          </cell>
          <cell r="C9920" t="str">
            <v>Total:TBA15 ITM50 V650</v>
          </cell>
          <cell r="D9920" t="str">
            <v>Spread Duration</v>
          </cell>
          <cell r="E9920" t="str">
            <v>Spread Yield</v>
          </cell>
          <cell r="F9920" t="str">
            <v>Alternative</v>
          </cell>
          <cell r="G9920" t="str">
            <v>Other</v>
          </cell>
          <cell r="H9920" t="str">
            <v>ALTS</v>
          </cell>
          <cell r="I9920" t="str">
            <v>Mortgage - Moneyness</v>
          </cell>
        </row>
        <row r="9921">
          <cell r="A9921" t="str">
            <v>USD_MUNI_IG_HSG_SFM</v>
          </cell>
          <cell r="B9921" t="str">
            <v>IG Single Family Housing</v>
          </cell>
          <cell r="C9921" t="str">
            <v>Muni IG:IG Single Family Housing</v>
          </cell>
          <cell r="D9921" t="str">
            <v>Spread Duration</v>
          </cell>
          <cell r="E9921" t="str">
            <v>Spread Yield (DxS)</v>
          </cell>
          <cell r="F9921" t="str">
            <v>Other</v>
          </cell>
          <cell r="G9921" t="str">
            <v>Other</v>
          </cell>
          <cell r="H9921" t="str">
            <v>OTHER</v>
          </cell>
          <cell r="I9921" t="str">
            <v>Spread - Municipals</v>
          </cell>
        </row>
        <row r="9922">
          <cell r="A9922" t="str">
            <v>USD_CMO_PAC_LNG_V650</v>
          </cell>
          <cell r="B9922" t="str">
            <v>CMO PAC Long V650</v>
          </cell>
          <cell r="C9922" t="str">
            <v>Mortgage Basis:CMO PAC Long V650</v>
          </cell>
          <cell r="D9922" t="str">
            <v>Spread Duration</v>
          </cell>
          <cell r="E9922" t="str">
            <v>Spread Yield</v>
          </cell>
          <cell r="F9922" t="str">
            <v>Alternative</v>
          </cell>
          <cell r="G9922" t="str">
            <v>Other</v>
          </cell>
          <cell r="H9922" t="str">
            <v>ALTS</v>
          </cell>
          <cell r="I9922" t="str">
            <v>Mortgage - Moneyness</v>
          </cell>
        </row>
        <row r="9923">
          <cell r="A9923" t="str">
            <v>USD_CMO_SEQ_LNG_V650</v>
          </cell>
          <cell r="B9923" t="str">
            <v>CMO Seq Long V650</v>
          </cell>
          <cell r="C9923" t="str">
            <v>Mortgage Basis:CMO Seq Long V650</v>
          </cell>
          <cell r="D9923" t="str">
            <v>Spread Duration</v>
          </cell>
          <cell r="E9923" t="str">
            <v>Spread Yield</v>
          </cell>
          <cell r="F9923" t="str">
            <v>Alternative</v>
          </cell>
          <cell r="G9923" t="str">
            <v>Other</v>
          </cell>
          <cell r="H9923" t="str">
            <v>ALTS</v>
          </cell>
          <cell r="I9923" t="str">
            <v>Mortgage - Moneyness</v>
          </cell>
        </row>
        <row r="9924">
          <cell r="A9924" t="str">
            <v>USD_TBA15_ITM10_V650</v>
          </cell>
          <cell r="B9924" t="str">
            <v>TBA15 ITM100 V650</v>
          </cell>
          <cell r="C9924" t="str">
            <v>Total:TBA15 ITM100 V650</v>
          </cell>
          <cell r="D9924" t="str">
            <v>Spread Duration</v>
          </cell>
          <cell r="E9924" t="str">
            <v>Spread Yield</v>
          </cell>
          <cell r="F9924" t="str">
            <v>Alternative</v>
          </cell>
          <cell r="G9924" t="str">
            <v>Other</v>
          </cell>
          <cell r="H9924" t="str">
            <v>ALTS</v>
          </cell>
          <cell r="I9924" t="str">
            <v>Mortgage - Moneyness</v>
          </cell>
        </row>
        <row r="9925">
          <cell r="A9925" t="str">
            <v>USD_TBA_ITM20_V650</v>
          </cell>
          <cell r="B9925" t="str">
            <v>TBA30 ITM200 V650</v>
          </cell>
          <cell r="C9925" t="str">
            <v>Total:TBA30 ITM200 V650</v>
          </cell>
          <cell r="D9925" t="str">
            <v>Spread Duration</v>
          </cell>
          <cell r="E9925" t="str">
            <v>Spread Yield</v>
          </cell>
          <cell r="F9925" t="str">
            <v>Alternative</v>
          </cell>
          <cell r="G9925" t="str">
            <v>Other</v>
          </cell>
          <cell r="H9925" t="str">
            <v>ALTS</v>
          </cell>
          <cell r="I9925" t="str">
            <v>Mortgage - Moneyness</v>
          </cell>
        </row>
        <row r="9926">
          <cell r="A9926" t="str">
            <v>USD_MUNI_HY_ESSENTIAL</v>
          </cell>
          <cell r="B9926" t="str">
            <v>HY Essential Services</v>
          </cell>
          <cell r="C9926" t="str">
            <v>Muni HY:HY Essential Services</v>
          </cell>
          <cell r="D9926" t="str">
            <v>Spread Duration</v>
          </cell>
          <cell r="E9926" t="str">
            <v>Spread Yield (DxS)</v>
          </cell>
          <cell r="F9926" t="str">
            <v>Other</v>
          </cell>
          <cell r="G9926" t="str">
            <v>Other</v>
          </cell>
          <cell r="H9926" t="str">
            <v>OTHER</v>
          </cell>
          <cell r="I9926" t="str">
            <v>Spread - Municipals</v>
          </cell>
        </row>
        <row r="9927">
          <cell r="A9927" t="str">
            <v>[JPY_MXN_FX2_USD+EUR_EUR_FX2_USD-EUR_JPY_FX2_USD-EUR_MXN_FX2_USD]</v>
          </cell>
          <cell r="B9927" t="str">
            <v>JPY/EUR*MXN/EUR</v>
          </cell>
          <cell r="C9927" t="str">
            <v>Foreign Exchange^2:JPY/EUR*MXN/EUR</v>
          </cell>
          <cell r="D9927" t="str">
            <v>FX</v>
          </cell>
          <cell r="E9927" t="str">
            <v>FX</v>
          </cell>
          <cell r="F9927" t="str">
            <v>Other</v>
          </cell>
          <cell r="G9927" t="str">
            <v>Other</v>
          </cell>
          <cell r="H9927" t="str">
            <v>OTHER</v>
          </cell>
          <cell r="I9927" t="str">
            <v>FX^2</v>
          </cell>
        </row>
        <row r="9928">
          <cell r="A9928" t="str">
            <v>USD_CMO_IO_OTM20_V650</v>
          </cell>
          <cell r="B9928" t="str">
            <v>CMO IO OTM200 V650</v>
          </cell>
          <cell r="C9928" t="str">
            <v>Mortgage Basis:CMO IO OTM200 V650</v>
          </cell>
          <cell r="D9928" t="str">
            <v>Spread Duration</v>
          </cell>
          <cell r="E9928" t="str">
            <v>Spread Yield</v>
          </cell>
          <cell r="F9928" t="str">
            <v>Alternative</v>
          </cell>
          <cell r="G9928" t="str">
            <v>Other</v>
          </cell>
          <cell r="H9928" t="str">
            <v>ALTS</v>
          </cell>
          <cell r="I9928" t="str">
            <v>Mortgage - Moneyness</v>
          </cell>
        </row>
        <row r="9929">
          <cell r="A9929" t="str">
            <v>USD_CMO_IO_OTM25_V650</v>
          </cell>
          <cell r="B9929" t="str">
            <v>CMO IO OTM250 V650</v>
          </cell>
          <cell r="C9929" t="str">
            <v>Mortgage Basis:CMO IO OTM250 V650</v>
          </cell>
          <cell r="D9929" t="str">
            <v>Spread Duration</v>
          </cell>
          <cell r="E9929" t="str">
            <v>Spread Yield</v>
          </cell>
          <cell r="F9929" t="str">
            <v>Alternative</v>
          </cell>
          <cell r="G9929" t="str">
            <v>Other</v>
          </cell>
          <cell r="H9929" t="str">
            <v>ALTS</v>
          </cell>
          <cell r="I9929" t="str">
            <v>Mortgage - Moneyness</v>
          </cell>
        </row>
        <row r="9930">
          <cell r="A9930" t="str">
            <v>USD_CMO_IO_OTM30_V650</v>
          </cell>
          <cell r="B9930" t="str">
            <v>CMO IO OTM300 V650</v>
          </cell>
          <cell r="C9930" t="str">
            <v>Mortgage Basis:CMO IO OTM300 V650</v>
          </cell>
          <cell r="D9930" t="str">
            <v>Spread Duration</v>
          </cell>
          <cell r="E9930" t="str">
            <v>Spread Yield</v>
          </cell>
          <cell r="F9930" t="str">
            <v>Alternative</v>
          </cell>
          <cell r="G9930" t="str">
            <v>Other</v>
          </cell>
          <cell r="H9930" t="str">
            <v>ALTS</v>
          </cell>
          <cell r="I9930" t="str">
            <v>Mortgage - Moneyness</v>
          </cell>
        </row>
        <row r="9931">
          <cell r="A9931" t="str">
            <v>USD_CMO_IO_OTM35_V650</v>
          </cell>
          <cell r="B9931" t="str">
            <v>CMO IO OTM350 V650</v>
          </cell>
          <cell r="C9931" t="str">
            <v>Mortgage Basis:CMO IO OTM350 V650</v>
          </cell>
          <cell r="D9931" t="str">
            <v>Spread Duration</v>
          </cell>
          <cell r="E9931" t="str">
            <v>Spread Yield</v>
          </cell>
          <cell r="F9931" t="str">
            <v>Alternative</v>
          </cell>
          <cell r="G9931" t="str">
            <v>Other</v>
          </cell>
          <cell r="H9931" t="str">
            <v>ALTS</v>
          </cell>
          <cell r="I9931" t="str">
            <v>Mortgage - Moneyness</v>
          </cell>
        </row>
        <row r="9932">
          <cell r="A9932" t="str">
            <v>USD_CMO_V650</v>
          </cell>
          <cell r="B9932" t="str">
            <v>CMO V650</v>
          </cell>
          <cell r="C9932" t="str">
            <v>Mortgage Basis:CMO V650</v>
          </cell>
          <cell r="D9932" t="str">
            <v>Spread Duration</v>
          </cell>
          <cell r="E9932" t="str">
            <v>Spread Yield</v>
          </cell>
          <cell r="F9932" t="str">
            <v>Alternative</v>
          </cell>
          <cell r="G9932" t="str">
            <v>Other</v>
          </cell>
          <cell r="H9932" t="str">
            <v>ALTS</v>
          </cell>
          <cell r="I9932" t="str">
            <v>Mortgage - Moneyness</v>
          </cell>
        </row>
        <row r="9933">
          <cell r="A9933" t="str">
            <v>JPY_CORP_10Y_V1</v>
          </cell>
          <cell r="B9933" t="str">
            <v>JP Corp Maturity 10</v>
          </cell>
          <cell r="C9933" t="str">
            <v>JP Corp Maturity:JP Corp Maturity 10</v>
          </cell>
          <cell r="D9933" t="str">
            <v>Spread Duration</v>
          </cell>
          <cell r="E9933" t="str">
            <v>Spread Yield (DxS)</v>
          </cell>
          <cell r="F9933" t="str">
            <v>SP-Corporate IG Other</v>
          </cell>
          <cell r="G9933" t="str">
            <v>SP-Spread Corporate</v>
          </cell>
          <cell r="H9933" t="str">
            <v>SPREADS</v>
          </cell>
          <cell r="I9933" t="str">
            <v>Corporate IG Other - Maturity</v>
          </cell>
        </row>
        <row r="9934">
          <cell r="A9934" t="str">
            <v>JPY_CORP_20Y_V1</v>
          </cell>
          <cell r="B9934" t="str">
            <v>JP Corp Maturity 20</v>
          </cell>
          <cell r="C9934" t="str">
            <v>JP Corp Maturity:JP Corp Maturity 20</v>
          </cell>
          <cell r="D9934" t="str">
            <v>Spread Duration</v>
          </cell>
          <cell r="E9934" t="str">
            <v>Spread Yield (DxS)</v>
          </cell>
          <cell r="F9934" t="str">
            <v>SP-Corporate IG Other</v>
          </cell>
          <cell r="G9934" t="str">
            <v>SP-Spread Corporate</v>
          </cell>
          <cell r="H9934" t="str">
            <v>SPREADS</v>
          </cell>
          <cell r="I9934" t="str">
            <v>Corporate IG Other - Maturity</v>
          </cell>
        </row>
        <row r="9935">
          <cell r="A9935" t="str">
            <v>JPY_CORP_2Y_V1</v>
          </cell>
          <cell r="B9935" t="str">
            <v>JP Corp Maturity 2</v>
          </cell>
          <cell r="C9935" t="str">
            <v>JP Corp Maturity:JP Corp Maturity 2</v>
          </cell>
          <cell r="D9935" t="str">
            <v>Spread Duration</v>
          </cell>
          <cell r="E9935" t="str">
            <v>Spread Yield (DxS)</v>
          </cell>
          <cell r="F9935" t="str">
            <v>SP-Corporate IG Other</v>
          </cell>
          <cell r="G9935" t="str">
            <v>SP-Spread Corporate</v>
          </cell>
          <cell r="H9935" t="str">
            <v>SPREADS</v>
          </cell>
          <cell r="I9935" t="str">
            <v>Corporate IG Other - Maturity</v>
          </cell>
        </row>
        <row r="9936">
          <cell r="A9936" t="str">
            <v>JPY_CORP_COMMTECH_V1</v>
          </cell>
          <cell r="B9936" t="str">
            <v>JP Corp Comm Tech</v>
          </cell>
          <cell r="C9936" t="str">
            <v>JP Corp Ind IG:JP Corp Comm Tech</v>
          </cell>
          <cell r="D9936" t="str">
            <v>Spread Duration</v>
          </cell>
          <cell r="E9936" t="str">
            <v>Spread Yield (DxS)</v>
          </cell>
          <cell r="F9936" t="str">
            <v>SP-Corporate IG Other</v>
          </cell>
          <cell r="G9936" t="str">
            <v>SP-Spread Corporate</v>
          </cell>
          <cell r="H9936" t="str">
            <v>SPREADS</v>
          </cell>
          <cell r="I9936" t="str">
            <v>Corporate IG Other - Industry</v>
          </cell>
        </row>
        <row r="9937">
          <cell r="A9937" t="str">
            <v>JPY_CORP_CONSCYC_V1</v>
          </cell>
          <cell r="B9937" t="str">
            <v>JP Corp Cyclical</v>
          </cell>
          <cell r="C9937" t="str">
            <v>JP Corp Ind IG:JP Corp Cyclical</v>
          </cell>
          <cell r="D9937" t="str">
            <v>Spread Duration</v>
          </cell>
          <cell r="E9937" t="str">
            <v>Spread Yield (DxS)</v>
          </cell>
          <cell r="F9937" t="str">
            <v>SP-Corporate IG Other</v>
          </cell>
          <cell r="G9937" t="str">
            <v>SP-Spread Corporate</v>
          </cell>
          <cell r="H9937" t="str">
            <v>SPREADS</v>
          </cell>
          <cell r="I9937" t="str">
            <v>Corporate IG Other - Industry</v>
          </cell>
        </row>
        <row r="9938">
          <cell r="A9938" t="str">
            <v>JPY_CORP_CONSSTA_V1</v>
          </cell>
          <cell r="B9938" t="str">
            <v>JP Corp Noncyclical</v>
          </cell>
          <cell r="C9938" t="str">
            <v>JP Corp Ind IG:JP Corp Noncyclical</v>
          </cell>
          <cell r="D9938" t="str">
            <v>Spread Duration</v>
          </cell>
          <cell r="E9938" t="str">
            <v>Spread Yield (DxS)</v>
          </cell>
          <cell r="F9938" t="str">
            <v>SP-Corporate IG Other</v>
          </cell>
          <cell r="G9938" t="str">
            <v>SP-Spread Corporate</v>
          </cell>
          <cell r="H9938" t="str">
            <v>SPREADS</v>
          </cell>
          <cell r="I9938" t="str">
            <v>Corporate IG Other - Industry</v>
          </cell>
        </row>
        <row r="9939">
          <cell r="A9939" t="str">
            <v>JPY_CORP_FINANCIAL_V1</v>
          </cell>
          <cell r="B9939" t="str">
            <v>JP Corp Finance</v>
          </cell>
          <cell r="C9939" t="str">
            <v>JP Corp Ind IG:JP Corp Finance</v>
          </cell>
          <cell r="D9939" t="str">
            <v>Spread Duration</v>
          </cell>
          <cell r="E9939" t="str">
            <v>Spread Yield (DxS)</v>
          </cell>
          <cell r="F9939" t="str">
            <v>SP-Corporate IG Other</v>
          </cell>
          <cell r="G9939" t="str">
            <v>SP-Spread Corporate</v>
          </cell>
          <cell r="H9939" t="str">
            <v>SPREADS</v>
          </cell>
          <cell r="I9939" t="str">
            <v>Corporate IG Other - Industry</v>
          </cell>
        </row>
        <row r="9940">
          <cell r="A9940" t="str">
            <v>JPY_CORP_GOVERNMENT_V1</v>
          </cell>
          <cell r="B9940" t="str">
            <v>JP Corp Government</v>
          </cell>
          <cell r="C9940" t="str">
            <v>JP Corp Ind IG:JP Corp Government</v>
          </cell>
          <cell r="D9940" t="str">
            <v>Spread Duration</v>
          </cell>
          <cell r="E9940" t="str">
            <v>Spread Yield (DxS)</v>
          </cell>
          <cell r="F9940" t="str">
            <v>SP-Corporate IG Other</v>
          </cell>
          <cell r="G9940" t="str">
            <v>SP-Spread Corporate</v>
          </cell>
          <cell r="H9940" t="str">
            <v>SPREADS</v>
          </cell>
          <cell r="I9940" t="str">
            <v>Corporate IG Other - Industry</v>
          </cell>
        </row>
        <row r="9941">
          <cell r="A9941" t="str">
            <v>JPY_CORP_MATERIALS_V1</v>
          </cell>
          <cell r="B9941" t="str">
            <v>JP Corp Basic Industry</v>
          </cell>
          <cell r="C9941" t="str">
            <v>JP Corp Ind IG:JP Corp Basic Industry</v>
          </cell>
          <cell r="D9941" t="str">
            <v>Spread Duration</v>
          </cell>
          <cell r="E9941" t="str">
            <v>Spread Yield (DxS)</v>
          </cell>
          <cell r="F9941" t="str">
            <v>SP-Corporate IG Other</v>
          </cell>
          <cell r="G9941" t="str">
            <v>SP-Spread Corporate</v>
          </cell>
          <cell r="H9941" t="str">
            <v>SPREADS</v>
          </cell>
          <cell r="I9941" t="str">
            <v>Corporate IG Other - Industry</v>
          </cell>
        </row>
        <row r="9942">
          <cell r="A9942" t="str">
            <v>JPY_CORP_MKTSPRD_V1</v>
          </cell>
          <cell r="B9942" t="str">
            <v>JP Corp Market</v>
          </cell>
          <cell r="C9942" t="str">
            <v>JP Corp Ind IG:JP Corp Market</v>
          </cell>
          <cell r="D9942" t="str">
            <v>Spread Duration</v>
          </cell>
          <cell r="E9942" t="str">
            <v>Spread Yield (DxS)</v>
          </cell>
          <cell r="F9942" t="str">
            <v>SP-Corporate IG Other</v>
          </cell>
          <cell r="G9942" t="str">
            <v>SP-Spread Corporate</v>
          </cell>
          <cell r="H9942" t="str">
            <v>SPREADS</v>
          </cell>
          <cell r="I9942" t="str">
            <v>Corporate IG Other - Industry</v>
          </cell>
        </row>
        <row r="9943">
          <cell r="A9943" t="str">
            <v>JPY_CORP_OTHERIND_V1</v>
          </cell>
          <cell r="B9943" t="str">
            <v>JP Corp Other Industry</v>
          </cell>
          <cell r="C9943" t="str">
            <v>JP Corp Ind IG:JP Corp Other Industry</v>
          </cell>
          <cell r="D9943" t="str">
            <v>Spread Duration</v>
          </cell>
          <cell r="E9943" t="str">
            <v>Spread Yield (DxS)</v>
          </cell>
          <cell r="F9943" t="str">
            <v>SP-Corporate IG Other</v>
          </cell>
          <cell r="G9943" t="str">
            <v>SP-Spread Corporate</v>
          </cell>
          <cell r="H9943" t="str">
            <v>SPREADS</v>
          </cell>
          <cell r="I9943" t="str">
            <v>Corporate IG Other - Industry</v>
          </cell>
        </row>
        <row r="9944">
          <cell r="A9944" t="str">
            <v>JPY_CORP_UTILENER_V1</v>
          </cell>
          <cell r="B9944" t="str">
            <v>JP Corp Energy Utility</v>
          </cell>
          <cell r="C9944" t="str">
            <v>JP Corp Ind IG:JP Corp Energy Utility</v>
          </cell>
          <cell r="D9944" t="str">
            <v>Spread Duration</v>
          </cell>
          <cell r="E9944" t="str">
            <v>Spread Yield (DxS)</v>
          </cell>
          <cell r="F9944" t="str">
            <v>SP-Corporate IG Other</v>
          </cell>
          <cell r="G9944" t="str">
            <v>SP-Spread Corporate</v>
          </cell>
          <cell r="H9944" t="str">
            <v>SPREADS</v>
          </cell>
          <cell r="I9944" t="str">
            <v>Corporate IG Other - Industry</v>
          </cell>
        </row>
        <row r="9945">
          <cell r="A9945" t="str">
            <v>JPY_GOVGRMUNI_V1</v>
          </cell>
          <cell r="B9945" t="str">
            <v>JP GovGuar Muni</v>
          </cell>
          <cell r="C9945" t="str">
            <v>Other:JP GovGuar Muni</v>
          </cell>
          <cell r="D9945" t="str">
            <v>Spread Duration</v>
          </cell>
          <cell r="E9945" t="str">
            <v>Spread Yield</v>
          </cell>
          <cell r="F9945" t="str">
            <v>Other</v>
          </cell>
          <cell r="G9945" t="str">
            <v>Other</v>
          </cell>
          <cell r="H9945" t="str">
            <v>OTHER</v>
          </cell>
          <cell r="I9945" t="str">
            <v>Spread - Municipals</v>
          </cell>
        </row>
        <row r="9946">
          <cell r="A9946" t="str">
            <v>TBA_650_EXT</v>
          </cell>
          <cell r="B9946" t="str">
            <v>Total</v>
          </cell>
          <cell r="C9946" t="str">
            <v>Total</v>
          </cell>
          <cell r="D9946" t="str">
            <v>WITHOUT TYPE</v>
          </cell>
          <cell r="E9946" t="str">
            <v>WITHOUT TYPE</v>
          </cell>
          <cell r="F9946" t="str">
            <v>Alternative</v>
          </cell>
          <cell r="G9946" t="str">
            <v>Other</v>
          </cell>
          <cell r="H9946" t="str">
            <v>ALTS</v>
          </cell>
          <cell r="I9946" t="str">
            <v>Mortgage - Moneyness</v>
          </cell>
        </row>
        <row r="9947">
          <cell r="A9947" t="str">
            <v>USD_TBA_GN_V650_E</v>
          </cell>
          <cell r="B9947" t="str">
            <v>TBA GNvsFN V650</v>
          </cell>
          <cell r="C9947" t="str">
            <v>Total:TBA GNvsFN V650</v>
          </cell>
          <cell r="D9947" t="str">
            <v>Spread Duration</v>
          </cell>
          <cell r="E9947" t="str">
            <v>Other Spread Yield</v>
          </cell>
          <cell r="F9947" t="str">
            <v>Alternative</v>
          </cell>
          <cell r="G9947" t="str">
            <v>Other</v>
          </cell>
          <cell r="H9947" t="str">
            <v>ALTS</v>
          </cell>
          <cell r="I9947" t="str">
            <v>Mortgage - Moneyness</v>
          </cell>
        </row>
        <row r="9948">
          <cell r="A9948" t="str">
            <v>USD_TBA_OTM15_V650_E</v>
          </cell>
          <cell r="B9948" t="str">
            <v>TBA30 OTM150 V650</v>
          </cell>
          <cell r="C9948" t="str">
            <v>Total:TBA30 OTM150 V650</v>
          </cell>
          <cell r="D9948" t="str">
            <v>Spread Duration</v>
          </cell>
          <cell r="E9948" t="str">
            <v>Spread Yield</v>
          </cell>
          <cell r="F9948" t="str">
            <v>Alternative</v>
          </cell>
          <cell r="G9948" t="str">
            <v>Other</v>
          </cell>
          <cell r="H9948" t="str">
            <v>ALTS</v>
          </cell>
          <cell r="I9948" t="str">
            <v>Mortgage - Moneyness</v>
          </cell>
        </row>
        <row r="9949">
          <cell r="A9949" t="str">
            <v>USD_TBA_OTM20_V650_E</v>
          </cell>
          <cell r="B9949" t="str">
            <v>TBA30 OTM200 V650</v>
          </cell>
          <cell r="C9949" t="str">
            <v>Total:TBA30 OTM200 V650</v>
          </cell>
          <cell r="D9949" t="str">
            <v>Spread Duration</v>
          </cell>
          <cell r="E9949" t="str">
            <v>Spread Yield</v>
          </cell>
          <cell r="F9949" t="str">
            <v>Alternative</v>
          </cell>
          <cell r="G9949" t="str">
            <v>Other</v>
          </cell>
          <cell r="H9949" t="str">
            <v>ALTS</v>
          </cell>
          <cell r="I9949" t="str">
            <v>Mortgage - Moneyness</v>
          </cell>
        </row>
        <row r="9950">
          <cell r="A9950" t="str">
            <v>CLP_libor_10yr</v>
          </cell>
          <cell r="B9950" t="str">
            <v>CLP OIS-GOVT 10Y</v>
          </cell>
          <cell r="C9950" t="str">
            <v>CLP OIS-GOVT Sprd:CLP OIS-GOVT 10Y</v>
          </cell>
          <cell r="D9950" t="str">
            <v>Libor KRD</v>
          </cell>
          <cell r="E9950" t="str">
            <v>Yield</v>
          </cell>
          <cell r="F9950" t="str">
            <v>SP-Other</v>
          </cell>
          <cell r="G9950" t="str">
            <v>SP-Other</v>
          </cell>
          <cell r="H9950" t="str">
            <v>SPREADS</v>
          </cell>
          <cell r="I9950" t="str">
            <v>Swap Spread - Libor</v>
          </cell>
        </row>
        <row r="9951">
          <cell r="A9951" t="str">
            <v>COU_1yr</v>
          </cell>
          <cell r="B9951" t="str">
            <v>COU 1Y</v>
          </cell>
          <cell r="C9951" t="str">
            <v>COU Int Rates:COU 1Y</v>
          </cell>
          <cell r="D9951" t="str">
            <v>KRD</v>
          </cell>
          <cell r="E9951" t="str">
            <v>Yield</v>
          </cell>
          <cell r="F9951" t="str">
            <v>FI-Govt Emerging Markets</v>
          </cell>
          <cell r="G9951" t="str">
            <v>FI-Other</v>
          </cell>
          <cell r="H9951" t="str">
            <v>RATES</v>
          </cell>
          <cell r="I9951" t="str">
            <v>Govt Emerging Markets</v>
          </cell>
        </row>
        <row r="9952">
          <cell r="A9952" t="str">
            <v>COU_2yr</v>
          </cell>
          <cell r="B9952" t="str">
            <v>COU 2Y</v>
          </cell>
          <cell r="C9952" t="str">
            <v>COU Int Rates:COU 2Y</v>
          </cell>
          <cell r="D9952" t="str">
            <v>KRD</v>
          </cell>
          <cell r="E9952" t="str">
            <v>Yield</v>
          </cell>
          <cell r="F9952" t="str">
            <v>FI-Govt Emerging Markets</v>
          </cell>
          <cell r="G9952" t="str">
            <v>FI-Other</v>
          </cell>
          <cell r="H9952" t="str">
            <v>RATES</v>
          </cell>
          <cell r="I9952" t="str">
            <v>Govt Emerging Markets</v>
          </cell>
        </row>
        <row r="9953">
          <cell r="A9953" t="str">
            <v>COU_3m</v>
          </cell>
          <cell r="B9953" t="str">
            <v>COU 3M</v>
          </cell>
          <cell r="C9953" t="str">
            <v>COU Int Rates:COU 3M</v>
          </cell>
          <cell r="D9953" t="str">
            <v>KRD</v>
          </cell>
          <cell r="E9953" t="str">
            <v>Yield</v>
          </cell>
          <cell r="F9953" t="str">
            <v>FI-Govt Emerging Markets</v>
          </cell>
          <cell r="G9953" t="str">
            <v>FI-Other</v>
          </cell>
          <cell r="H9953" t="str">
            <v>RATES</v>
          </cell>
          <cell r="I9953" t="str">
            <v>Govt Emerging Markets</v>
          </cell>
        </row>
        <row r="9954">
          <cell r="A9954" t="str">
            <v>COU_3yr</v>
          </cell>
          <cell r="B9954" t="str">
            <v>COU 3Y</v>
          </cell>
          <cell r="C9954" t="str">
            <v>COU Int Rates:COU 3Y</v>
          </cell>
          <cell r="D9954" t="str">
            <v>KRD</v>
          </cell>
          <cell r="E9954" t="str">
            <v>Yield</v>
          </cell>
          <cell r="F9954" t="str">
            <v>FI-Govt Emerging Markets</v>
          </cell>
          <cell r="G9954" t="str">
            <v>FI-Other</v>
          </cell>
          <cell r="H9954" t="str">
            <v>RATES</v>
          </cell>
          <cell r="I9954" t="str">
            <v>Govt Emerging Markets</v>
          </cell>
        </row>
        <row r="9955">
          <cell r="A9955" t="str">
            <v>COU_5yr</v>
          </cell>
          <cell r="B9955" t="str">
            <v>COU 5Y</v>
          </cell>
          <cell r="C9955" t="str">
            <v>COU Int Rates:COU 5Y</v>
          </cell>
          <cell r="D9955" t="str">
            <v>KRD</v>
          </cell>
          <cell r="E9955" t="str">
            <v>Yield</v>
          </cell>
          <cell r="F9955" t="str">
            <v>FI-Govt Emerging Markets</v>
          </cell>
          <cell r="G9955" t="str">
            <v>FI-Other</v>
          </cell>
          <cell r="H9955" t="str">
            <v>RATES</v>
          </cell>
          <cell r="I9955" t="str">
            <v>Govt Emerging Markets</v>
          </cell>
        </row>
        <row r="9956">
          <cell r="A9956" t="str">
            <v>COU_7yr</v>
          </cell>
          <cell r="B9956" t="str">
            <v>COU 7Y</v>
          </cell>
          <cell r="C9956" t="str">
            <v>COU Int Rates:COU 7Y</v>
          </cell>
          <cell r="D9956" t="str">
            <v>KRD</v>
          </cell>
          <cell r="E9956" t="str">
            <v>Yield</v>
          </cell>
          <cell r="F9956" t="str">
            <v>FI-Govt Emerging Markets</v>
          </cell>
          <cell r="G9956" t="str">
            <v>FI-Other</v>
          </cell>
          <cell r="H9956" t="str">
            <v>RATES</v>
          </cell>
          <cell r="I9956" t="str">
            <v>Govt Emerging Markets</v>
          </cell>
        </row>
        <row r="9957">
          <cell r="A9957" t="str">
            <v>COU_IR</v>
          </cell>
          <cell r="B9957" t="str">
            <v>COU Int Rates</v>
          </cell>
          <cell r="C9957" t="str">
            <v>COU Int Rates</v>
          </cell>
          <cell r="D9957" t="str">
            <v>WITHOUT TYPE</v>
          </cell>
          <cell r="E9957" t="str">
            <v>WITHOUT TYPE</v>
          </cell>
          <cell r="F9957" t="str">
            <v>FI-Govt Emerging Markets</v>
          </cell>
          <cell r="G9957" t="str">
            <v>FI-Other</v>
          </cell>
          <cell r="H9957" t="str">
            <v>RATES</v>
          </cell>
          <cell r="I9957" t="str">
            <v>Govt Emerging Markets</v>
          </cell>
        </row>
        <row r="9958">
          <cell r="A9958" t="str">
            <v>[XPT_FX_USD-EUR_FX_USD]</v>
          </cell>
          <cell r="B9958" t="str">
            <v>XPT/EUR</v>
          </cell>
          <cell r="C9958" t="str">
            <v>Foreign Exchange:XPT/EUR</v>
          </cell>
          <cell r="D9958" t="str">
            <v>FX</v>
          </cell>
          <cell r="E9958" t="str">
            <v>FX</v>
          </cell>
          <cell r="F9958" t="str">
            <v>FX-Emerging Currency</v>
          </cell>
          <cell r="G9958" t="str">
            <v>FX-Emerging Currency</v>
          </cell>
          <cell r="H9958" t="str">
            <v>FX</v>
          </cell>
          <cell r="I9958" t="str">
            <v>Emerging Currency</v>
          </cell>
        </row>
        <row r="9959">
          <cell r="A9959" t="str">
            <v>HF2_SP_RISK</v>
          </cell>
          <cell r="B9959" t="str">
            <v>HF Idiosyncratic</v>
          </cell>
          <cell r="C9959" t="str">
            <v>Specific:HF Idiosyncratic</v>
          </cell>
          <cell r="D9959" t="str">
            <v>Specific Risk</v>
          </cell>
          <cell r="E9959" t="str">
            <v>Specific Risk</v>
          </cell>
          <cell r="F9959" t="str">
            <v>Idiosyncratic</v>
          </cell>
          <cell r="G9959" t="str">
            <v>Other</v>
          </cell>
          <cell r="H9959" t="str">
            <v>OTHER_SPECIFIC</v>
          </cell>
          <cell r="I9959" t="str">
            <v>Alternative - Idiosyncratic</v>
          </cell>
        </row>
        <row r="9960">
          <cell r="A9960" t="str">
            <v>USD_TBA_15_V650_E</v>
          </cell>
          <cell r="B9960" t="str">
            <v>TBA 15vs30 V650</v>
          </cell>
          <cell r="C9960" t="str">
            <v>Total:TBA 15vs30 V650</v>
          </cell>
          <cell r="D9960" t="str">
            <v>Spread Duration</v>
          </cell>
          <cell r="E9960" t="str">
            <v>Spread Yield</v>
          </cell>
          <cell r="F9960" t="str">
            <v>Alternative</v>
          </cell>
          <cell r="G9960" t="str">
            <v>Other</v>
          </cell>
          <cell r="H9960" t="str">
            <v>ALTS</v>
          </cell>
          <cell r="I9960" t="str">
            <v>Mortgage - Moneyness</v>
          </cell>
        </row>
        <row r="9961">
          <cell r="A9961" t="str">
            <v>USD_TBA_ATM_V650_E</v>
          </cell>
          <cell r="B9961" t="str">
            <v>TBA30 ATM V650</v>
          </cell>
          <cell r="C9961" t="str">
            <v>Total:TBA30 ATM V650</v>
          </cell>
          <cell r="D9961" t="str">
            <v>Spread Duration</v>
          </cell>
          <cell r="E9961" t="str">
            <v>Spread Yield</v>
          </cell>
          <cell r="F9961" t="str">
            <v>Alternative</v>
          </cell>
          <cell r="G9961" t="str">
            <v>Other</v>
          </cell>
          <cell r="H9961" t="str">
            <v>ALTS</v>
          </cell>
          <cell r="I9961" t="str">
            <v>Mortgage - Moneyness</v>
          </cell>
        </row>
        <row r="9962">
          <cell r="A9962" t="str">
            <v>USD_TBA_ITM10_V650_E</v>
          </cell>
          <cell r="B9962" t="str">
            <v>TBA30 ITM100 V650</v>
          </cell>
          <cell r="C9962" t="str">
            <v>Total:TBA30 ITM100 V650</v>
          </cell>
          <cell r="D9962" t="str">
            <v>Spread Duration</v>
          </cell>
          <cell r="E9962" t="str">
            <v>Spread Yield</v>
          </cell>
          <cell r="F9962" t="str">
            <v>Alternative</v>
          </cell>
          <cell r="G9962" t="str">
            <v>Other</v>
          </cell>
          <cell r="H9962" t="str">
            <v>ALTS</v>
          </cell>
          <cell r="I9962" t="str">
            <v>Mortgage - Moneyness</v>
          </cell>
        </row>
        <row r="9963">
          <cell r="A9963" t="str">
            <v>USD_TBA_ITM5_V650_E</v>
          </cell>
          <cell r="B9963" t="str">
            <v>TBA30 ITM50 V650</v>
          </cell>
          <cell r="C9963" t="str">
            <v>Total:TBA30 ITM50 V650</v>
          </cell>
          <cell r="D9963" t="str">
            <v>Spread Duration</v>
          </cell>
          <cell r="E9963" t="str">
            <v>Spread Yield</v>
          </cell>
          <cell r="F9963" t="str">
            <v>Alternative</v>
          </cell>
          <cell r="G9963" t="str">
            <v>Other</v>
          </cell>
          <cell r="H9963" t="str">
            <v>ALTS</v>
          </cell>
          <cell r="I9963" t="str">
            <v>Mortgage - Moneyness</v>
          </cell>
        </row>
        <row r="9964">
          <cell r="A9964" t="str">
            <v>USD_TBA_OTM10_V650_E</v>
          </cell>
          <cell r="B9964" t="str">
            <v>TBA30 OTM100 V650</v>
          </cell>
          <cell r="C9964" t="str">
            <v>Total:TBA30 OTM100 V650</v>
          </cell>
          <cell r="D9964" t="str">
            <v>Spread Duration</v>
          </cell>
          <cell r="E9964" t="str">
            <v>Spread Yield</v>
          </cell>
          <cell r="F9964" t="str">
            <v>Alternative</v>
          </cell>
          <cell r="G9964" t="str">
            <v>Other</v>
          </cell>
          <cell r="H9964" t="str">
            <v>ALTS</v>
          </cell>
          <cell r="I9964" t="str">
            <v>Mortgage - Moneyness</v>
          </cell>
        </row>
        <row r="9965">
          <cell r="A9965" t="str">
            <v>USD_TBA_OTM25_V650_E</v>
          </cell>
          <cell r="B9965" t="str">
            <v>TBA30 OTM250 V650</v>
          </cell>
          <cell r="C9965" t="str">
            <v>Total:TBA30 OTM250 V650</v>
          </cell>
          <cell r="D9965" t="str">
            <v>Spread Duration</v>
          </cell>
          <cell r="E9965" t="str">
            <v>Spread Yield</v>
          </cell>
          <cell r="F9965" t="str">
            <v>Alternative</v>
          </cell>
          <cell r="G9965" t="str">
            <v>Other</v>
          </cell>
          <cell r="H9965" t="str">
            <v>ALTS</v>
          </cell>
          <cell r="I9965" t="str">
            <v>Mortgage - Moneyness</v>
          </cell>
        </row>
        <row r="9966">
          <cell r="A9966" t="str">
            <v>USD_TBA_OTM30_V650_E</v>
          </cell>
          <cell r="B9966" t="str">
            <v>TBA30 OTM300 V650</v>
          </cell>
          <cell r="C9966" t="str">
            <v>Total:TBA30 OTM300 V650</v>
          </cell>
          <cell r="D9966" t="str">
            <v>Spread Duration</v>
          </cell>
          <cell r="E9966" t="str">
            <v>Spread Yield</v>
          </cell>
          <cell r="F9966" t="str">
            <v>Alternative</v>
          </cell>
          <cell r="G9966" t="str">
            <v>Other</v>
          </cell>
          <cell r="H9966" t="str">
            <v>ALTS</v>
          </cell>
          <cell r="I9966" t="str">
            <v>Mortgage - Moneyness</v>
          </cell>
        </row>
        <row r="9967">
          <cell r="A9967" t="str">
            <v>USD_TBA_OTM35_V650_E</v>
          </cell>
          <cell r="B9967" t="str">
            <v>TBA30 OTM350 V650</v>
          </cell>
          <cell r="C9967" t="str">
            <v>Total:TBA30 OTM350 V650</v>
          </cell>
          <cell r="D9967" t="str">
            <v>Spread Duration</v>
          </cell>
          <cell r="E9967" t="str">
            <v>Spread Yield</v>
          </cell>
          <cell r="F9967" t="str">
            <v>Alternative</v>
          </cell>
          <cell r="G9967" t="str">
            <v>Other</v>
          </cell>
          <cell r="H9967" t="str">
            <v>ALTS</v>
          </cell>
          <cell r="I9967" t="str">
            <v>Mortgage - Moneyness</v>
          </cell>
        </row>
        <row r="9968">
          <cell r="A9968" t="str">
            <v>USD_TBA_OTM5_V650_E</v>
          </cell>
          <cell r="B9968" t="str">
            <v>TBA30 OTM50 V650</v>
          </cell>
          <cell r="C9968" t="str">
            <v>Total:TBA30 OTM50 V650</v>
          </cell>
          <cell r="D9968" t="str">
            <v>Spread Duration</v>
          </cell>
          <cell r="E9968" t="str">
            <v>Spread Yield</v>
          </cell>
          <cell r="F9968" t="str">
            <v>Alternative</v>
          </cell>
          <cell r="G9968" t="str">
            <v>Other</v>
          </cell>
          <cell r="H9968" t="str">
            <v>ALTS</v>
          </cell>
          <cell r="I9968" t="str">
            <v>Mortgage - Moneyness</v>
          </cell>
        </row>
        <row r="9969">
          <cell r="A9969" t="str">
            <v>USD_TBA15_OTM20_V650_E</v>
          </cell>
          <cell r="B9969" t="str">
            <v>TBA15 OTM200 V650</v>
          </cell>
          <cell r="C9969" t="str">
            <v>Total:TBA15 OTM200 V650</v>
          </cell>
          <cell r="D9969" t="str">
            <v>Spread Duration</v>
          </cell>
          <cell r="E9969" t="str">
            <v>Spread Yield</v>
          </cell>
          <cell r="F9969" t="str">
            <v>Alternative</v>
          </cell>
          <cell r="G9969" t="str">
            <v>Other</v>
          </cell>
          <cell r="H9969" t="str">
            <v>ALTS</v>
          </cell>
          <cell r="I9969" t="str">
            <v>Mortgage - Moneyness</v>
          </cell>
        </row>
        <row r="9970">
          <cell r="A9970" t="str">
            <v>USD_TBA15_OTM25_V650_E</v>
          </cell>
          <cell r="B9970" t="str">
            <v>TBA15 OTM250 V650</v>
          </cell>
          <cell r="C9970" t="str">
            <v>Total:TBA15 OTM250 V650</v>
          </cell>
          <cell r="D9970" t="str">
            <v>Spread Duration</v>
          </cell>
          <cell r="E9970" t="str">
            <v>Spread Yield</v>
          </cell>
          <cell r="F9970" t="str">
            <v>Alternative</v>
          </cell>
          <cell r="G9970" t="str">
            <v>Other</v>
          </cell>
          <cell r="H9970" t="str">
            <v>ALTS</v>
          </cell>
          <cell r="I9970" t="str">
            <v>Mortgage - Moneyness</v>
          </cell>
        </row>
        <row r="9971">
          <cell r="A9971" t="str">
            <v>USD_CMO_IO_OTM15_V650</v>
          </cell>
          <cell r="B9971" t="str">
            <v>CMO IO OTM150 V650</v>
          </cell>
          <cell r="C9971" t="str">
            <v>Mortgage Basis:CMO IO OTM150 V650</v>
          </cell>
          <cell r="D9971" t="str">
            <v>Spread Duration</v>
          </cell>
          <cell r="E9971" t="str">
            <v>Spread Yield</v>
          </cell>
          <cell r="F9971" t="str">
            <v>Alternative</v>
          </cell>
          <cell r="G9971" t="str">
            <v>Other</v>
          </cell>
          <cell r="H9971" t="str">
            <v>ALTS</v>
          </cell>
          <cell r="I9971" t="str">
            <v>Mortgage - Moneyness</v>
          </cell>
        </row>
        <row r="9972">
          <cell r="A9972" t="str">
            <v>USD_TBA_ITM15_V650_E</v>
          </cell>
          <cell r="B9972" t="str">
            <v>TBA30 ITM150 V650</v>
          </cell>
          <cell r="C9972" t="str">
            <v>Total:TBA30 ITM150 V650</v>
          </cell>
          <cell r="D9972" t="str">
            <v>Spread Duration</v>
          </cell>
          <cell r="E9972" t="str">
            <v>Spread Yield</v>
          </cell>
          <cell r="F9972" t="str">
            <v>Alternative</v>
          </cell>
          <cell r="G9972" t="str">
            <v>Other</v>
          </cell>
          <cell r="H9972" t="str">
            <v>ALTS</v>
          </cell>
          <cell r="I9972" t="str">
            <v>Mortgage - Moneyness</v>
          </cell>
        </row>
        <row r="9973">
          <cell r="A9973" t="str">
            <v>USD_TBA15_ATM_V650_E</v>
          </cell>
          <cell r="B9973" t="str">
            <v>TBA15 ATM V650</v>
          </cell>
          <cell r="C9973" t="str">
            <v>Total:TBA15 ATM V650</v>
          </cell>
          <cell r="D9973" t="str">
            <v>Spread Duration</v>
          </cell>
          <cell r="E9973" t="str">
            <v>Spread Yield</v>
          </cell>
          <cell r="F9973" t="str">
            <v>Alternative</v>
          </cell>
          <cell r="G9973" t="str">
            <v>Other</v>
          </cell>
          <cell r="H9973" t="str">
            <v>ALTS</v>
          </cell>
          <cell r="I9973" t="str">
            <v>Mortgage - Moneyness</v>
          </cell>
        </row>
        <row r="9974">
          <cell r="A9974" t="str">
            <v>USD_TBA15_ITM15_V650</v>
          </cell>
          <cell r="B9974" t="str">
            <v>TBA15 ITM150 V650</v>
          </cell>
          <cell r="C9974" t="str">
            <v>Total:TBA15 ITM150 V650</v>
          </cell>
          <cell r="D9974" t="str">
            <v>Spread Duration</v>
          </cell>
          <cell r="E9974" t="str">
            <v>Spread Yield</v>
          </cell>
          <cell r="F9974" t="str">
            <v>Alternative</v>
          </cell>
          <cell r="G9974" t="str">
            <v>Other</v>
          </cell>
          <cell r="H9974" t="str">
            <v>ALTS</v>
          </cell>
          <cell r="I9974" t="str">
            <v>Mortgage - Moneyness</v>
          </cell>
        </row>
        <row r="9975">
          <cell r="A9975" t="str">
            <v>USD_TBA15_ITM5_V650_E</v>
          </cell>
          <cell r="B9975" t="str">
            <v>TBA15 ITM50 V650</v>
          </cell>
          <cell r="C9975" t="str">
            <v>Total:TBA15 ITM50 V650</v>
          </cell>
          <cell r="D9975" t="str">
            <v>Spread Duration</v>
          </cell>
          <cell r="E9975" t="str">
            <v>Spread Yield</v>
          </cell>
          <cell r="F9975" t="str">
            <v>Alternative</v>
          </cell>
          <cell r="G9975" t="str">
            <v>Other</v>
          </cell>
          <cell r="H9975" t="str">
            <v>ALTS</v>
          </cell>
          <cell r="I9975" t="str">
            <v>Mortgage - Moneyness</v>
          </cell>
        </row>
        <row r="9976">
          <cell r="A9976" t="str">
            <v>USD_TBA15_OTM10_V650_E</v>
          </cell>
          <cell r="B9976" t="str">
            <v>TBA15 OTM100 V650</v>
          </cell>
          <cell r="C9976" t="str">
            <v>Total:TBA15 OTM100 V650</v>
          </cell>
          <cell r="D9976" t="str">
            <v>Spread Duration</v>
          </cell>
          <cell r="E9976" t="str">
            <v>Spread Yield</v>
          </cell>
          <cell r="F9976" t="str">
            <v>Alternative</v>
          </cell>
          <cell r="G9976" t="str">
            <v>Other</v>
          </cell>
          <cell r="H9976" t="str">
            <v>ALTS</v>
          </cell>
          <cell r="I9976" t="str">
            <v>Mortgage - Moneyness</v>
          </cell>
        </row>
        <row r="9977">
          <cell r="A9977" t="str">
            <v>USD_TBA15_OTM15_V650_E</v>
          </cell>
          <cell r="B9977" t="str">
            <v>TBA15 OTM150 V650</v>
          </cell>
          <cell r="C9977" t="str">
            <v>Total:TBA15 OTM150 V650</v>
          </cell>
          <cell r="D9977" t="str">
            <v>Spread Duration</v>
          </cell>
          <cell r="E9977" t="str">
            <v>Spread Yield</v>
          </cell>
          <cell r="F9977" t="str">
            <v>Alternative</v>
          </cell>
          <cell r="G9977" t="str">
            <v>Other</v>
          </cell>
          <cell r="H9977" t="str">
            <v>ALTS</v>
          </cell>
          <cell r="I9977" t="str">
            <v>Mortgage - Moneyness</v>
          </cell>
        </row>
        <row r="9978">
          <cell r="A9978" t="str">
            <v>USD_TBA15_OTM30_V650_E</v>
          </cell>
          <cell r="B9978" t="str">
            <v>TBA15 OTM300 V650</v>
          </cell>
          <cell r="C9978" t="str">
            <v>Total:TBA15 OTM300 V650</v>
          </cell>
          <cell r="D9978" t="str">
            <v>Spread Duration</v>
          </cell>
          <cell r="E9978" t="str">
            <v>Spread Yield</v>
          </cell>
          <cell r="F9978" t="str">
            <v>Alternative</v>
          </cell>
          <cell r="G9978" t="str">
            <v>Other</v>
          </cell>
          <cell r="H9978" t="str">
            <v>ALTS</v>
          </cell>
          <cell r="I9978" t="str">
            <v>Mortgage - Moneyness</v>
          </cell>
        </row>
        <row r="9979">
          <cell r="A9979" t="str">
            <v>USD_TBA15_OTM35_V650_E</v>
          </cell>
          <cell r="B9979" t="str">
            <v>TBA15 OTM350 V650</v>
          </cell>
          <cell r="C9979" t="str">
            <v>Total:TBA15 OTM350 V650</v>
          </cell>
          <cell r="D9979" t="str">
            <v>Spread Duration</v>
          </cell>
          <cell r="E9979" t="str">
            <v>Spread Yield</v>
          </cell>
          <cell r="F9979" t="str">
            <v>Alternative</v>
          </cell>
          <cell r="G9979" t="str">
            <v>Other</v>
          </cell>
          <cell r="H9979" t="str">
            <v>ALTS</v>
          </cell>
          <cell r="I9979" t="str">
            <v>Mortgage - Moneyness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DIANO PAOLO" refreshedDate="46079.669258101851" createdVersion="8" refreshedVersion="8" minRefreshableVersion="3" recordCount="1794" xr:uid="{63381E4D-E18F-4F98-B174-FFB1F491D2B4}">
  <cacheSource type="worksheet">
    <worksheetSource ref="A1:O1048576" sheet="MAIN"/>
  </cacheSource>
  <cacheFields count="15">
    <cacheField name="Stress_Scenarios" numFmtId="0">
      <sharedItems containsBlank="1" count="208">
        <s v="1995_MCADJ"/>
        <s v="AICHEV"/>
        <s v="AICHRET"/>
        <s v="AITWNBL"/>
        <s v="ALLUP24"/>
        <s v="APR24REV"/>
        <s v="BRTRANS18"/>
        <s v="BTAX_AMB"/>
        <s v="BTAX_COMP"/>
        <s v="C07_ABS"/>
        <s v="C08_REL"/>
        <s v="CB_OVER"/>
        <s v="CB_UNDER"/>
        <s v="CEIL_DEF"/>
        <s v="CEIL_LAST"/>
        <s v="CEM_ASIA"/>
        <s v="CEM_LATAM"/>
        <s v="CHINA15A"/>
        <s v="CHINA15R"/>
        <s v="CHNTD_GLB"/>
        <s v="CHNTD_LOC"/>
        <s v="CHNTD_TAT"/>
        <s v="CHN_CPMISS"/>
        <s v="CHN_GROW"/>
        <s v="CHN_NEWREG"/>
        <s v="CHN_NOMG"/>
        <s v="CHN_SLOWG"/>
        <s v="CONF_CHI"/>
        <s v="CONF_RUS"/>
        <s v="CONF_TER"/>
        <s v="COVID_L"/>
        <s v="COVID_U"/>
        <s v="COVID_V"/>
        <s v="CRASH08"/>
        <s v="CREDIT07"/>
        <s v="CVIRUS_GC"/>
        <s v="CYBER"/>
        <s v="CYBERCLDV2"/>
        <s v="CYBERFINV2"/>
        <s v="CYBERUTLV2"/>
        <s v="CYBER_CLD"/>
        <s v="CYBER_FIN"/>
        <s v="DEF_SCEN"/>
        <s v="DIV24"/>
        <s v="DOV_CB"/>
        <s v="EL_NINO24"/>
        <s v="EM16_CHN"/>
        <s v="EM16_FED"/>
        <s v="EM16_REB"/>
        <s v="EM_COMD"/>
        <s v="EM_CRISIS"/>
        <s v="EM_DIFF"/>
        <s v="EM_DMDIFF"/>
        <s v="EM_REBOUND"/>
        <s v="EM_SELLOFF"/>
        <s v="EM_TAPE"/>
        <s v="EUDR24"/>
        <s v="EUFIN_DIV"/>
        <s v="EUFIN_DWN"/>
        <s v="EUFIN_UP"/>
        <s v="EUFRAG_EX"/>
        <s v="EUFRAG_MT"/>
        <s v="EUFRAG_PC"/>
        <s v="EUPOP_DOWN"/>
        <s v="EUPOP_GAIN"/>
        <s v="EUPOP_SURG"/>
        <s v="EU_CBAM"/>
        <s v="EU_ETSEXT"/>
        <s v="EU_USPART"/>
        <s v="FED13_ABS"/>
        <s v="FEDTAP13"/>
        <s v="FED_CUTS50"/>
        <s v="FED_GEO"/>
        <s v="FED_HOLDS"/>
        <s v="FED_PAUSE"/>
        <s v="FED_STAY"/>
        <s v="FISC_NO"/>
        <s v="FISC_SUC"/>
        <s v="FISC_UNC"/>
        <s v="FOMC_EASY"/>
        <s v="FOMC_HARD"/>
        <s v="FOMC_QT23"/>
        <s v="FOMC_TIGHT"/>
        <s v="GEO_TER"/>
        <s v="GROWTH_EXT"/>
        <s v="GROWTH_T"/>
        <s v="GROWTH_US"/>
        <s v="GULF_ACT"/>
        <s v="GULF_ATCK"/>
        <s v="GULF_DEAL"/>
        <s v="GULF_MBS"/>
        <s v="GULF_NUC"/>
        <s v="GULF_SA"/>
        <s v="HAWK_CB"/>
        <s v="HAWK_NR"/>
        <s v="INF18_FA"/>
        <s v="INF18_FB"/>
        <s v="INF18_GL"/>
        <s v="INF_COMD"/>
        <s v="INF_CORE"/>
        <s v="INF_DIS"/>
        <s v="INF_OVER"/>
        <s v="INF_REF"/>
        <s v="INF_REFL"/>
        <s v="INF_STAGFL"/>
        <s v="INF_STAGN"/>
        <s v="INPK_CONF"/>
        <s v="IR_GRO"/>
        <s v="IR_STAG"/>
        <s v="JAPAN_NEG"/>
        <s v="JAPAN_NEW"/>
        <s v="JAPAN_POS"/>
        <s v="JUL03_MTG"/>
        <s v="LAPOP_DWN"/>
        <s v="LAPOP_MEX"/>
        <s v="LAPOP_UP"/>
        <s v="M03_ABS"/>
        <s v="MAHAPI"/>
        <s v="MAHATTL"/>
        <s v="MAHAUT"/>
        <s v="MEDIRECT24"/>
        <s v="MEDIRECT25"/>
        <s v="MEPROXY24"/>
        <s v="MSGOLD_dn"/>
        <s v="MSOIL_dn"/>
        <s v="MSVIX_up"/>
        <s v="MS_EUCPIUP"/>
        <s v="MS_EUCRDUP"/>
        <s v="MS_EURO"/>
        <s v="MS_EUYC_UP"/>
        <s v="MS_JAPAN"/>
        <s v="MS_JPCPIUP"/>
        <s v="MS_JPYC_UP"/>
        <s v="MS_US"/>
        <s v="MS_USCPIUP"/>
        <s v="MS_USCRDUP"/>
        <s v="MS_USD_DN"/>
        <s v="MS_USYC_UP"/>
        <s v="MS_WORLD"/>
        <s v="MV_MORE"/>
        <s v="MV_POL"/>
        <s v="MV_SENT"/>
        <s v="NAFTA_P"/>
        <s v="NAFTA_S"/>
        <s v="NAFTA_W"/>
        <s v="NEW_OLD"/>
        <s v="NK_ESCA"/>
        <s v="NK_LTD"/>
        <s v="NODEAL18"/>
        <s v="NRG_REBAL"/>
        <s v="NRG_STAGF"/>
        <s v="OIL_LTSS"/>
        <s v="OIL_PEAKD"/>
        <s v="OIL_STSS"/>
        <s v="OMI_CHN"/>
        <s v="OMI_END"/>
        <s v="OPEN_FULL"/>
        <s v="OPEN_HALF"/>
        <s v="OPEN_USEU"/>
        <s v="POL_DIV"/>
        <s v="POL_GLO"/>
        <s v="POL_UNC"/>
        <s v="RAPID_DF"/>
        <s v="RAT_DELAY"/>
        <s v="RAT_GROWTH"/>
        <s v="RAT_INF"/>
        <s v="RECESSION1"/>
        <s v="REC_ABS"/>
        <s v="RQAST10"/>
        <s v="RQAST2"/>
        <s v="RQAST3"/>
        <s v="RQAST4"/>
        <s v="RQAST5"/>
        <s v="RQAST6"/>
        <s v="RQAST7"/>
        <s v="RQAST8"/>
        <s v="RQAST9"/>
        <s v="RUS_DESC"/>
        <s v="RUS_ESC"/>
        <s v="RUS_PCONF"/>
        <s v="S03_ABS"/>
        <s v="SARS_03"/>
        <s v="SLOW_DF"/>
        <s v="STAG_1974"/>
        <s v="SUMMER03"/>
        <s v="TAX_COMP"/>
        <s v="TAX_FULL"/>
        <s v="TAX_NONE"/>
        <s v="TECH_DOWN"/>
        <s v="UKRU_ANX"/>
        <s v="UKRU_INV"/>
        <s v="USCHNTECH"/>
        <s v="USCN_TWE"/>
        <s v="USCN_TWN"/>
        <s v="USDN_ABS"/>
        <s v="USDOWN11"/>
        <s v="USEUAUTOS"/>
        <s v="USGRN_ALL"/>
        <s v="USGRN_COMP"/>
        <s v="USGRN_GRID"/>
        <s v="USTRFS"/>
        <s v="US_EUR"/>
        <s v="VAL_CONT"/>
        <s v="VAL_DIFF"/>
        <s v="VAL_REV"/>
        <s v="VOLREG"/>
        <s v="VOLSPIKE"/>
        <m/>
      </sharedItems>
    </cacheField>
    <cacheField name="Short_des" numFmtId="0">
      <sharedItems containsBlank="1"/>
    </cacheField>
    <cacheField name="code" numFmtId="0">
      <sharedItems containsString="0" containsBlank="1" containsNumber="1" containsInteger="1" minValue="2002" maxValue="2556"/>
    </cacheField>
    <cacheField name="Long_des" numFmtId="0">
      <sharedItems containsBlank="1" longText="1"/>
    </cacheField>
    <cacheField name="Unnamed: 6" numFmtId="0">
      <sharedItems containsBlank="1" count="1227">
        <s v="Tsy 3M USD_3m - Yield: -76.00bps,"/>
        <s v="Tsy 1Y USD_1yr - Yield: -129.00bps,"/>
        <s v="Tsy 2Y USD_2yr - Yield: -164.00bps,"/>
        <s v="Tsy 5Y USD_5yr - Yield: -169.00bps,"/>
        <s v="Tsy 10Y USD_10yr - Yield: -162.00bps,"/>
        <s v="Tsy 30Y USD_30yr - Yield: -139.00bps,"/>
        <s v="SP500 Consum Discr S5COND - Index Level: 17.00pct,"/>
        <s v="SP500 Consum Stapl S5CONS - Index Level: 24.00pct,"/>
        <s v="S&amp;P 500 Energy S5ENRS - Index Level: 29.00pct,"/>
        <s v="S&amp;P 500 Financials S5FINL - Index Level: 38.00pct,"/>
        <s v="S&amp;P 500 Health Care S5HLTH - Index Level: 33.00pct,"/>
        <s v="S&amp;P 500 Industrials S5INDU - Index Level: 26.00pct,"/>
        <s v="S&amp;P 500 Materials S5MATR - Index Level: 8.00pct,"/>
        <s v="S&amp;P 500 Technology S5INFT - Index Level: 29.00pct,"/>
        <s v="SP500 Communications S5TELS - Index Level: 49.00pct,"/>
        <s v="S&amp;P 500 Utilities S5UTIL - Index Level: 37.00pct,"/>
        <s v="S&amp;P Mid Cap MID - Index Level: 32.00pctc,"/>
        <s v="S&amp;P Small Cap SML - Index Level: 47.00pct"/>
        <s v="GSCI PRECIOUS METALS GSPMSPOT - Price Level_x0009_: 15.00pct,"/>
        <s v="CNY/USD CNY_FX_USD - FX: 2.50pct,"/>
        <s v="Electrical Equipment - Electrical Equipment [FMI_CHNA_INDELECEQ-FMI_NAMR_INDELECEQ] - Industry Return: 10.00pct,"/>
        <s v="Semiconductors - Semiconductors &amp; Equipment [FMI_CHNA_ITCSEMICON-FMI_NAMR_ITCSEMICEQ] - Industry Return: 30.00pct,"/>
        <s v="US HY Other Technology - US HY Market [USD_HY_TECHOTHR_SF-USD_HY_MARKET_SF] - Spread Yield: 50.00bps"/>
        <s v="GSCI PRECIOUS METALS GSPMSPOT - Price Level: 15.00pct,"/>
        <s v="Alum Div Metals &amp; Mining FMI_NAMR_MATALUDIV - Industry Return: 10.00pct,"/>
        <s v="Electrical Equipment FMI_NAMR_INDELECEQ - Industry Return: -15.00pct,"/>
        <s v="Software &amp; Internet Services FMI_CHNA_ITCSOFTNET - Industry Return: 10.00pct,"/>
        <s v="US HY Tech Hardware - US HY Market [USD_HY_HARDWARE_SF-USD_HY_MARKET_SF] - Spread Yield: 100.00bps"/>
        <s v="Tsy 5Y USD_5yr - Yield: 100.00bps,"/>
        <s v="GSCI PRECIOUS METALS GSPMSPOT - Price Level: -10.00pct,"/>
        <s v="CNY/USD CNY_FX_USD - FX: 5.00pct,"/>
        <s v="Taiwan TWSE TWSE - Index Level: -30.00pct,"/>
        <s v="Aerospace &amp; Defense FMI_NAMR_INDAIRDEF - Industry Return: 25.00pct,"/>
        <s v="Semiconductors &amp; Equipment FMI_NAMR_ITCSEMICEQ - Industry Return: -35.00pct,"/>
        <s v="US HY Tech Hardware - US HY Market [USD_HY_HARDWARE_SF-USD_HY_MARKET_SF] - Spread Yield: 150.00bps"/>
        <s v="Tsy 1Y USD_1yr - Yield: 87.00bps,"/>
        <s v="CPI 1yr USD_CPI_1yr - Yield: -20.00bps,"/>
        <s v="DEM 1Y EUR_1yr - Yield: 94.00bps,"/>
        <s v="JPY 1Y JPY_1yr - Yield: 10.00bps,"/>
        <s v="JPY/USD JPY_FX_USD - FX: 2.00pct,"/>
        <s v="S&amp;P 500 SPX - Index Level: -7.00pct,"/>
        <s v="MSCI EUROPE(EUR) MXEU - Index Level: -8.00pct"/>
        <s v="Tsy 1Y USD_1yr - Yield: -34.14bps,"/>
        <s v="CPI 1yr USD_CPI_1yr - Yield: 30.28bps,"/>
        <s v="DEM 1Y EUR_1yr - Yield:_x0009_-11.26bps,"/>
        <s v="JPY 1Y JPY_1yr - Yield: -10.96bps,"/>
        <s v="JPY/USD JPY_FX_USD - FX: 7.26pct,"/>
        <s v="S&amp;P 500 SPX - Index Level: 7.94pct,"/>
        <s v="MSCI EUROPE(EUR) MXEU - Index Level: 2.84pct,"/>
        <s v="MSCI World IT MSIT_LCL - Index Level: 6.00pct"/>
        <s v="GBP 2Y GBP_2yr - Yield: 10.00bps,"/>
        <s v="GBP 10Y GBP_10yr - Yield: 10.00bps,"/>
        <s v="EUR/USD EUR_FX_USD - FX: 0.00pct,"/>
        <s v="GBP/USD GBP_FX_USD - FX: 5.00pct,"/>
        <s v="FTSE 100 UKX - Index Level: 4.00pct,"/>
        <s v="MSCI World Net TR MSCIWLDNET - Index Level: 0.00pct,"/>
        <s v="UK Credit GBP_LEH_CREDIT - Spread Yield: -25.00bps,"/>
        <s v="Time ALL_TIME - Time: 21.00days,"/>
        <s v="FTSE All Share - FTSE 100 [UKALL-UKX] - Index Level: 1.00pct"/>
        <s v="Tsy 10Y USD_10yr - Yield: -10.00bps,"/>
        <s v="Muni Spread 10Y USD_muni_10yr - Other Spread Yield: -20.00bps,"/>
        <s v="DXY DXY - Index Level: -2.00pct,"/>
        <s v="MSCI World Net TR MSCIWLDNET - Index Level: -4.00pct,"/>
        <s v="Time ALL_TIME - Time: 30.00days,"/>
        <s v="Media FMI_NAMR_CDIMEDIA - Industry Return: -8.00pct,"/>
        <s v="Pharmaceuticals FMI_NAMR_HLCPHARMA - Industry Return: -8.00pct,"/>
        <s v="Utilities FMI_NAMR_UTLUTIL - Industry Return: -2.00pct,"/>
        <s v="US HY Market USD_HY_MARKET - Spread Yield: 20.00bps,"/>
        <s v="S&amp;P 500 Technology - S&amp;P 500 [S5INFT-SPX] - Index Level: -6.00pct,"/>
        <s v="S&amp;P 500 - MSCI World Net TR [SPX-MSCIWLDNET] - Index Level: -2.00pct"/>
        <s v="Tsy 10Y USD_10yr - Yield: 20.00bps,"/>
        <s v="Muni Spread 10Y USD_muni_10yr - Other Spread Yield: -10.00bps,"/>
        <s v="DXY DXY - Index Level: -1.00pct,"/>
        <s v="MSCI World Net TR MSCIWLDNET - Index Level: -2.00pct,"/>
        <s v="Internet &amp; Catalog Retail FMI_NAMR_CDIRETNET - Industry Return: -5.00pct,"/>
        <s v="IT Services FMI_NAMR_ITCITSERV - Industry Return: -5.00pct,"/>
        <s v="Textiles Apparel Luxury Goods FMI_EMEA_CDITXTLUX - Industry Return: -5.00pct,"/>
        <s v="US HY Market USD_HY_MARKET - Spread Yield: 8.00bps,"/>
        <s v="MSCI EUROPE(EUR) - MSCI World Net TR [MXEU-MSCIWLDNET] - Index Level: -2.00pct"/>
        <s v="-"/>
        <s v="Tsy 2Y USD_2yr - Yield: 20.00bps,"/>
        <s v="Tsy 10Y USD_10yr - Yield: 45.00bps,"/>
        <s v="USD INF 10Y USD_INF_10yr - Yield: -50.00bps,"/>
        <s v="15yr Mtg Tsy Basis USD_mtg15_tsy - Mortgage Basis: 20.00bps,"/>
        <s v="Brent Crude ICE 1 USD_COMD_CO_1 - Price Level: 7.00pct,"/>
        <s v="Gold COMEX 1 USD_COMD_GC_1 - Price Level: 5.00pct,"/>
        <s v="US Cash Bonds IG USD_LEH_CREDIT3 - Spread Yield: 20.00bps,"/>
        <s v="DXY DXY - Index Level: 3.00pct,"/>
        <s v="S&amp;P 500 SPX - Index Level: -8.00pct,"/>
        <s v="US HY Market USD_HY_MARKET - Spread Yield: 50.00bps,"/>
        <s v="S&amp;P 500 Consumer Staples Index - S&amp;P 500 [SPCS-SPX] - Index Level: 10.00pct"/>
        <s v="Tsy 10Y USD_10yr - Yield: -40.00bps,"/>
        <s v="Tsy 30Y USD_30yr - Yield: -50.00bps,"/>
        <s v="15yr Mtg Tsy Basis USD_mtg15_tsy - Mortgage Basis: -15.00bps,"/>
        <s v="Brent Crude ICE 1 USD_COMD_CO_1 - Price Level_x0009_: -25.00pct,"/>
        <s v="US Cash Bonds IG USD_LEH_CREDIT3 - Spread Yield: 35.00bps,"/>
        <s v="DXY DXY - Index Level: -3.00pct,"/>
        <s v="S&amp;P 500 SPX - Index Level: -10.00pct,"/>
        <s v="Airlines FMI_NAMR_INDAIRLINE - Industry Return: -12.00pct,"/>
        <s v="Software FMI_NAMR_ITCSOFTW - Industry Return: 5.00pct,"/>
        <s v="US HY Market USD_HY_MARKET - Spread Yield: 65.00bps,"/>
        <s v="ABS Consumer USD_ABS_CONSUMER - Spread Yield: 40.00bps,"/>
        <s v="CRT BB USD_CRT_BB - Price Level: -1.50pct,"/>
        <s v="CRT NR USD_CRT_NR - Price Level: -3.50pct"/>
        <s v="Gold COMEX 1 USD_COMD_GC_1 - Price Level 10.00 pct,"/>
        <s v="DEM 10Y EUR_10yr - Yield -30.00 bps,"/>
        <s v="DXY DXY - Index Level -2.50 pct,"/>
        <s v="S&amp;P 500 SPX - Index Level -20.00 pct,"/>
        <s v="US HY Banking USD_HY_BANKBROK_SF - Spread Yield 200.00 bps,"/>
        <s v="DEM 10Y - Tsy 10Y [DEM_10yr-USD_10yr] - Spread Yield -60.00 bps,"/>
        <s v="S&amp;P 500 Financials - S&amp;P 500 [S5FINL-SPX] - Index Level -12.50 pct,"/>
        <s v="Tsy 2Y - Tsy 10Y [USD_2yr-USD_10yr] - Yield 30.00 bps"/>
        <s v="Tsy 10Y USD_10yr - Yield -100.00 bps,"/>
        <s v="Gold COMEX 1 USD_COMD_GC_1 - Price Level 5.00 pct,"/>
        <s v="DXY DXY - Index Level 2.50 pct,"/>
        <s v="S&amp;P 500 SPX - Index Level -12.50 pct,"/>
        <s v="US HY Banking USD_HY_BANKBROK_SF - Spread Yield 75.00 bps,"/>
        <s v="S&amp;P 500 Financials - S&amp;P 500 [S5FINL-SPX] - Index Level -5.00 pct"/>
        <s v="Tsy 10Y USD_10yr - Yield -20.00 bps,"/>
        <s v="Brent Crude ICE 1 USD_COMD_CO_1 - Price Level -30.00 pct,"/>
        <s v="CNY/USD CNY_FX_USD - FX -4.00 pct,"/>
        <s v="JPY/USD JPY_FX_USD - FX 5.00 pct,"/>
        <s v="Time ALL_TIME - Time 30.00 days,"/>
        <s v="Construction Materials FMI_APXJ_MATCONSTM - Industry Return 10.00 pct,"/>
        <s v="Consumer Services FMI_APXJ_CDICONSVCS - Industry Return -10.00 pct,"/>
        <s v="EMBIG DxS USD_EM_DS_G - Spread Yield 150.00 bps,"/>
        <s v="China Corp HY USD_CN_CORP_HY - Spread Yield 400.00 bps,"/>
        <s v="MSCI China Index (USD) MSCINDRCHN - Index Level -20.00 pct,"/>
        <s v="MSCI World Net TR - MSCI China Index (USD) [MSCIWLDNET-MSCINDRCHN] - Index Level 10.00 pct"/>
        <s v="ITL 10Y ITL_10yr - Spread Yield 80.00 bps,"/>
        <s v="RUB 10Y RUB_10yr - Yield 80.00 bps,"/>
        <s v="CZK/USD CZK_FX_USD - FX -5.00 pct,"/>
        <s v="RUB/USD RUB_FX_USD - FX -10.00 pct,"/>
        <s v="DXY DXY - Index Level 3.00 pct,"/>
        <s v="MSCI EUROPE(EUR) MXEU - Index Level -10.00 pct,"/>
        <s v="Hotels Restaurants &amp; Leisure FMI_EMEA_CDIHOTREST - Industry Return -15.00 pct,"/>
        <s v="Saudi Arabia FMI_WRLD_SAU - Country Return -10.00 pct,"/>
        <s v="EMBIG DxS USD_EM_DS_G - Spread Yield 100.00 bps,"/>
        <s v="Middle East and Africa USD_EM_CORP_MIDAF - Spread Yield 200.00 bps"/>
        <s v="BRL 3M BRL_3m - Yield -100.00 bps,"/>
        <s v="BRL 10Y BRL_10yr - Yield 100.00 bps,"/>
        <s v="BRL/USD BRL_FX_USD - FX -20.00 pct,"/>
        <s v="VIX VIX - Index Level 30.00 pct,"/>
        <s v="Cons Staples x Alcohol &amp; Tob FMI_LATC_CSTXALCTOB - Industry Return 10.00 pct,"/>
        <s v="Banks FMI_LATC_FINBANK - Industry Return -10.00 pct,"/>
        <s v="Mexico USD_EM_DS_MEXICO - Spread Yield 200.00 bps,"/>
        <s v="MSCI EM Latin America (Loc) MS_LA_LCL - Index Level -20.00 pct,"/>
        <s v="LA Industrial USD_EM_CORP_SA_INDU - Spread Yield 200.00 bps"/>
        <s v="Tsy 10Y USD_10yr - Yield -35.00 bps,"/>
        <s v="USD INF 10Y USD_INF_10yr - Yield -20.00 bps,"/>
        <s v="Copper CMX 1 USD_COMD_HG_1 - Price Level -10.00 pct,"/>
        <s v="Gold COMEX 1 USD_COMD_GC_1 - Price Level 6.00 pct,"/>
        <s v="MXN 10Y MXN_10yr - Yield 80.00 bps,"/>
        <s v="CNY/USD CNY_FX_USD - FX -2.00 pct,"/>
        <s v="MXN/USD MXN_FX_USD - FX -8.00 pct,"/>
        <s v="S&amp;P 500 SPX - Index Level -8.00 pct,"/>
        <s v="Global HY 5 ALL_GLB_CORP_HY_5Y - Spread Yield 60.00 bps,"/>
        <s v="EMBIG DxS USD_EM_DS_G - Spread Yield 80.00 bps,"/>
        <s v="China Corp HY USD_CN_CORP_HY - Spread Yield 150.00 bps,"/>
        <s v="MSCI China MS_CN_LCL - Index Level -20.00 pct,"/>
        <s v="MS Emerging Mkts - MSCI World Net TR [MXEF-MSCIWLDNET] - Index Level -5.00 pct"/>
        <s v="Tsy 2Y USD_2yr - Yield 25.00 bps,"/>
        <s v="Tsy 10Y USD_10yr - Yield 3.00 bps,"/>
        <s v="Brent Crude ICE 1 USD_COMD_CO_1 - Price Level -10.00 pct,"/>
        <s v="Gold GOLD_SPOT - Price Level 5.00 pct,"/>
        <s v="US Tech IG USD_TECH_IG3 - Spread Yield 15.00 bps,"/>
        <s v="CNY/USD CNY_FX_USD - FX -0.50 pct,"/>
        <s v="DXY DXY - Index Level -4.00 pct,"/>
        <s v="Growth FMI_WRLD_GROWTH - Style Return -70.00 bps,"/>
        <s v="Non$ China Corp HY ALL_CN_CORP_HY - Spread Yield 100.00 bps,"/>
        <s v="MSCI China MS_CN_LCL - Index Level -15.00 pct,"/>
        <s v="S&amp;P 500 Technology - S&amp;P 500 [S5INFT-SPX] - Index Level -5.00 pct"/>
        <s v="USD INF 10Y USD_INF_10yr - Yield -10.00 bps,"/>
        <s v="Soybeans CBOT 1 USD_COMD_S_1 - Price Level -4.00 pct,"/>
        <s v="US Auto IG USD_AUTO_IG3 - Spread Yield 5.00 bps,"/>
        <s v="CNY/USD CNY_FX_USD - FX -1.00 pct,"/>
        <s v="DXY DXY - Index Level 1.00 pct,"/>
        <s v="S&amp;P 500 SPX - Index Level -2.50 pct,"/>
        <s v="Chemicals FMI_NAMR_MATCHEM - Industry Return -1.00 pct,"/>
        <s v="Aerospace &amp; Defense FMI_NAMR_INDAIRDEF - Industry Return -2.00 pct,"/>
        <s v="Automobiles &amp; Components FMI_NAMR_CDIAUTOCMP - Industry Return -2.00 pct,"/>
        <s v="Aerospace &amp; Def Const &amp; Eng FMI_APXJ_INDDEFENG - Industry Return -1.00 pct,"/>
        <s v="Communications Equipment FMI_APXJ_ITCCOMMEQ - Industry Return -6.00 pct,"/>
        <s v="Elec Eq Instr Comp &amp; Off Elec FMI_APXJ_ITCELECEQO - Industry Return -6.00 pct,"/>
        <s v="MSCI China Index (USD) MSCINDRCHN - Index Level -4.00 pct"/>
        <s v="Brent Crude ICE 1 USD_COMD_CO_1 - Price Level -20.00 pct,"/>
        <s v="Copper LME 1 USD_COMD_LP_1 - Price Level -15.00 pct,"/>
        <s v="CNY 2Y CNY_2yr - Yield -10.00 bps,"/>
        <s v="CNY 10Y CNY_10yr - Yield 20.00 bps,"/>
        <s v="MSCI World Net TR MSCIWLDNET - Index Level -4.00 pct,"/>
        <s v="Energy FMI_APXJ_EGYENERGY - Industry Return -4.00 pct,"/>
        <s v="Construction Materials FMI_APXJ_MATCONSTM - Industry Return -5.00 pct,"/>
        <s v="Industrial Conglomerates FMI_APXJ_INDCONGLOM - Industry Return -5.00 pct,"/>
        <s v="Real Estate Management &amp; Dev FMI_APXJ_FINREALMGT - Industry Return -3.00 pct,"/>
        <s v="China Corp HY USD_CN_CORP_HY - Spread Yield 50.00 bps,"/>
        <s v="MSCI China MS_CN_LCL - Index Level -10.00 pct"/>
        <s v="Copper LME 1 USD_COMD_LP_1 - Price Level -20.00 pct,"/>
        <s v="AUD/USD AUD_FX_USD - FX -2.00 pct,"/>
        <s v="JPY/USD JPY_FX_USD - FX 3.00 pct,"/>
        <s v="MSCI World Net TR MSCIWLDNET - Index Level -10.00 pct,"/>
        <s v="Textiles Apparel Luxury Goods FMI_EMEA_CDITXTLUX - Industry Return -15.00 pct,"/>
        <s v="Automobiles &amp; Components FMI_WRLD_CDIAUTOCMP - Industry Return -10.00 pct,"/>
        <s v="US HY Market USD_HY_MARKET_SF - Spread Yield 65.00 bps,"/>
        <s v="MSCI China - MSCI World Net TR [MS_CN_LCL-MSCIWLDNET] - Index Level -5.00 pct,"/>
        <s v="MSCI EUROPE(EUR) - MSCI World Net TR [MXEU-MSCIWLDNET] - Index Level -12.00 pct"/>
        <s v="Copper LME 1 USD_COMD_LP_1 - Price Level 10.00 pct,"/>
        <s v="CNY 10Y CNY_10yr - Yield 0.00 bps,"/>
        <s v="Software &amp; Internet Services FMI_APXJ_ITCSOFTNET - Industry Return 5.00 pct,"/>
        <s v="China Corp HY USD_CN_CORP_HY - Spread Yield -100.00 bps,"/>
        <s v="China Property HY USD_CN_PROP_HY - Spread Yield -200.00 bps,"/>
        <s v="MSCI China MS_CN_LCL - Index Level 12.00 pct"/>
        <s v="Brent Crude ICE 1 USD_COMD_CO_1 - Price Level 20.00 pct,"/>
        <s v="CNY 2Y CNY_2yr - Yield -20.00 bps,"/>
        <s v="China Shanghai SECmp SHCOMP - Index Level 15.00 pct,"/>
        <s v="Household Durables FMI_CHNA_CDIHHDUR - Industry Return 6.50 pct,"/>
        <s v="Retailing FMI_CHNA_CDIRETAIL - Industry Return 5.00 pct,"/>
        <s v="Real Estate Management &amp; Dev FMI_CHNA_FINREALMGT - Industry Return 6.00 pct,"/>
        <s v="China Corp HY USD_CN_CORP_HY - Spread Yield -200.00 bps"/>
        <s v="Copper LME 1 USD_COMD_LP_1 - Price Level -10.00 pct,"/>
        <s v="CNY 10Y CNY_10yr - Yield -20.00 bps,"/>
        <s v="MS Europe MSER - Index Level -16.00 pct,"/>
        <s v="China Shanghai SECmp SHCOMP - Index Level -20.00 pct,"/>
        <s v="Household Durables FMI_CHNA_CDIHHDUR - Industry Return -6.50 pct,"/>
        <s v="Retailing FMI_CHNA_CDIRETAIL - Industry Return -5.00 pct,"/>
        <s v="China Corp HY USD_CN_CORP_HY - Spread Yield 300.00 bps,"/>
        <s v="MSCI AC Asia Pacific (Loc) - China Shanghai SECmp [MSAC_APLCL-SHCOMP] - Index Level 5.00 pct"/>
        <s v="JPY/USD JPY_FX_USD - FX 2.00 pct,"/>
        <s v="VIX VIX - Index Level 10.00 pct,"/>
        <s v="China Shanghai SECmp SHCOMP - Index Level -10.00 pct,"/>
        <s v="Philippines PSEi PCOMP - Index Level -10.00 pct,"/>
        <s v="MSCI World Net TR MSCIWLDNET - Index Level -5.00 pct,"/>
        <s v="Asia Corp IG USD_ASIA_CORP_IG - Spread Yield 20.00 bps,"/>
        <s v="China Corp HY USD_CN_CORP_HY - Spread Yield 50.00 bps"/>
        <s v="RUB/USD RUB_FX_USD - FX -20.00 pct,"/>
        <s v="Russia RTS RTSI - Index Level -25.00 pct,"/>
        <s v="EMBIG DxS USD_EM_DS_G - Spread Yield 25.00 bps,"/>
        <s v="Russia USD_EM_DS_RUSSIA - Spread Yield 100.00 bps,"/>
        <s v="Russia USD_EM_CORP_EE_RU - Spread Yield 100.00 bps"/>
        <s v="Tsy 10Y USD_10yr - Yield -40.00 bps,"/>
        <s v="VIX VIX - Index Level 20.00 pct,"/>
        <s v="CDX.NA.HY.5 USD_CORP_HY_5YN - Spread Yield 80.00 bps"/>
        <s v="Tsy 2Y USD_2yr - Yield -20.00 bps,"/>
        <s v="Tsy 10Y USD_10yr - Yield -70.00 bps,"/>
        <s v="CPI 10yr USD_CPI_10yr - Yield 50.00 bps,"/>
        <s v="Gold COMEX 1 USD_COMD_GC_1 - Price Level 20.00 pct,"/>
        <s v="US Cash Bonds IG USD_LEH_CREDIT3 - Spread Yield 300.00 bps,"/>
        <s v="US Banking IG USD_BANKBROK_IG3 - Spread Yield 500.00 bps,"/>
        <s v="MXN 5Y MXN_5yr - Yield 300.00 bps,"/>
        <s v="JPY/USD JPY_FX_USD - FX 9.00 pct,"/>
        <s v="DXY DXY - Index Level 10.00 pct,"/>
        <s v="S&amp;P 500 SPX - Index Level -30.00 pct,"/>
        <s v="VIX VIX - Index Level 50.00 pct,"/>
        <s v="Leisure Equipment &amp; Products FMI_WRLD_CDILEISEQ - Industry Return -20.00 pct,"/>
        <s v="S&amp;P 500 Financials - S&amp;P 500 [S5FINL-SPX] - Index Level -20.00 pct"/>
        <s v="Tsy 10Y USD_10yr - Yield -30.00 bps,"/>
        <s v="US Cash Bonds IG USD_LEH_CREDIT3 - Spread Yield 100.00 bps,"/>
        <s v="MXN 5Y MXN_5yr - Yield 80.00 bps,"/>
        <s v="VIX VIX - Index Level 15.00 pct,"/>
        <s v="MSCI World Net TR MSCIWLDNET - Index Level -15.00 pct,"/>
        <s v="Textiles Apparel Luxury Goods FMI_WRLD_CDITXTLUX - Industry Return -10.00 pct,"/>
        <s v="Asia Corp IG USD_ASIA_CORP_IG - Spread Yield 60.00 bps,"/>
        <s v="MSCI World Cons. Discretionary - MSCI World Consumer Staples [MSCODS_LCL-MSCOST_LCL] - Index Level -10.00 pct,"/>
        <s v="US Energy IG - US Cash Bonds IG [USD_ENERGY_IG3-USD_LEH_CREDIT3] - Spread Yield 40.00 bps"/>
        <s v="Tsy 2Y USD_2yr - Yield -10.00 bps,"/>
        <s v="MXN 5Y MXN_5yr - Yield -30.00 bps,"/>
        <s v="MXN/USD MXN_FX_USD - FX 6.00 pct,"/>
        <s v="VIX VIX - Index Level -12.00 pct,"/>
        <s v="MSCI World Net TR MSCIWLDNET - Index Level 15.00 pct,"/>
        <s v="EU Credit IG EUR_LEH_CREDIT - Spread Yield -40.00 bps,"/>
        <s v="Value FMI_WRLD_VALUE - Style Return 200.00 bps,"/>
        <s v="EMBIG DxS USD_EM_DS_G - Spread Yield -130.00 bps,"/>
        <s v="MSCI World Consumer Staples - MSCI World Net TR [MSCOST_LCL-MSCIWLDNET] - Index Level -6.00 pct,"/>
        <s v="MS Emerging Mkts - MSCI World Net TR [MXEF-MSCIWLDNET] - Index Level -2.00 pct,"/>
        <s v="Tsy 30Y - Tsy 2Y [USD_30yr-USD_2yr] - Yield 25.00 bps,"/>
        <s v="US Cash Bonds IG - EU Credit IG [USD_LEH_CREDIT3-EUR_LEH_CREDIT] - Spread Yield -30.00 bps"/>
        <s v="MXN 5Y MXN_5yr - Yield 50.00 bps,"/>
        <s v="ZAR 10Y ZAR_10yr - Yield 100.00 bps,"/>
        <s v="PLN 5Y PLN_5yr - Yield -30.00 bps,"/>
        <s v="CHF/USD CHF_FX_USD - FX 2.00 pct,"/>
        <s v="CNY/USD CNY_FX_USD - FX -3.50 pct,"/>
        <s v="TWD/USD TWD_FX_USD - FX -3.00 pct,"/>
        <s v="MSCI World Net TR MSCIWLDNET - Index Level -8.00 pct,"/>
        <s v="Time ALL_TIME - Time 21.00 days,"/>
        <s v="Transportation FMI_WRLD_INDTRAN - Industry Return -4.00 pct,"/>
        <s v="Textiles Apparel Luxury Goods FMI_WRLD_CDITXTLUX - Industry Return -4.50 pct,"/>
        <s v="Consumer Services FMI_WRLD_CDICONSVCS - Industry Return -4.00 pct,"/>
        <s v="EMBIG DxS USD_EM_DS_G - Spread Yield 40.00 bps,"/>
        <s v="Venezuela USD_EM_DS_VENEZUELA - Spread Yield 0.00 bps,"/>
        <s v="Asia Corp HY USD_ASIA_CORP_HY - Spread Yield 70.00 bps,"/>
        <s v="MSCI Japan - MSCI EUROPE(EUR) [MS_JP-MXEU] - Index Level -5.00 pct"/>
        <s v="Tsy 10Y USD_10yr - Yield -25.00 bps,"/>
        <s v="Natural gas NYME 1 USD_COMD_NG_1 - Price Level 15.00 pct,"/>
        <s v="Public Utilities USD_MUNI_UTIL2 - Spread Yield 5.00 bps,"/>
        <s v="VIX VIX - Index Level 3.00 pct,"/>
        <s v="S&amp;P 500 Industrials S5INDU - Index Level -6.00 pct,"/>
        <s v="S&amp;P 500 Utilities S5UTIL - Index Level -9.00 pct,"/>
        <s v="US HY Utility USD_HY_UTILITY - Spread Yield 80.00 bps"/>
        <s v="Tsy 10Y USD_10yr - Yield -20.00"/>
        <s v="Gold COMEX 1 USD_COMD_GC_1 - Price Level 3.00 pct,"/>
        <s v="DEM 10Y EUR_10yr - Yield -20.00 bps,"/>
        <s v="JPY/USD JPY_FX_USD - FX 1.00 pct,"/>
        <s v="DXY DXY - Index Level 2.00 pct,"/>
        <s v="Multiline Retail FMI_NAMR_CDIRETMULT - Industry Return -10.00 pct,"/>
        <s v="Property Casualty Ins &amp; Brkrs FMI_NAMR_FINPROPINS - Industry Return -5.00 pct,"/>
        <s v="Internet Software &amp; Services FMI_NAMR_ITCNET - Industry Return -10.00 pct,"/>
        <s v="US HY Insurance USD_HY_INSURANCE - Spread Yield 50.00 bps,"/>
        <s v="US HY Retail USD_HY_RETAIL - Spread Yield 80.00 bps,"/>
        <s v="US Tech IG USD_TECH_IGN - Spread Yield 10.00 bps,"/>
        <s v="Russell 1000 - Russell 2000 [ROY-RTY] - Index Level -10.00 pct"/>
        <s v="US Cash Bonds IG USD_LEH_CREDIT3 - Spread Yield 25.00 bps,"/>
        <s v="US Banking IG USD_BANKBROK_IG3 - Spread Yield 45.00 bps,"/>
        <s v="DXY DXY - Index Level 5.00 pct,"/>
        <s v="S&amp;P 500 SPX - Index Level -10.00 pct,"/>
        <s v="S&amp;P 500 Financials - S&amp;P 500 [S5FINL-SPX] - Index Level -8.00 pct"/>
        <s v="USD INF 10Y USD_INF_10yr - Yield 10.00 bps,"/>
        <s v="US HY Retail USD_HY_RETAIL - Spread Yield 80.00"/>
        <s v="USD INF 10Y USD_INF_10yr - Yield 15.00 bps,"/>
        <s v="Gold COMEX 1 USD_COMD_GC_1 - Price Level 8.00 pct,"/>
        <s v="US Banking IG USD_BANKBROK_IG3 - Spread Yield 30.00 bps,"/>
        <s v="JPY/USD JPY_FX_USD - FX 4.00 pct,"/>
        <s v="DXY DXY - Index Level 8.00 pct,"/>
        <s v="S&amp;P 500 SPX - Index Level -15.00 pct,"/>
        <s v="S&amp;P 500 Financials S5FINL - Index Level -20.00 pct"/>
        <s v="USD INF 10Y USD_INF_10yr - Yield 30.00 bps,"/>
        <s v="Crude Oil NYME 1 USD_COMD_CL_1 - Price Level -35.00 pct,"/>
        <s v="US Metals HY USD_METALS_HY3 - Spread Yield 100.00 bps,"/>
        <s v="S&amp;P 500 SPX - Index Level -6.00 pct,"/>
        <s v="DJ Glob Select Real Est - MSCI World Net TR [DWGRST-MSCIWLDNET] - Index Level -4.00 pct"/>
        <s v="Tsy 1Y USD_1yr - Yield 62.00 bps,"/>
        <s v="CPI 1yr USD_CPI_1yr - Yield -20.00 bps,"/>
        <s v="DEM 1Y EUR_1yr - Yield -25.00 bps,"/>
        <s v="EUR INF 1Y EUR_INF_1yr - Yield 20.00 bps,"/>
        <s v="S&amp;P 500 SPX - Index Level -3.00 pct,"/>
        <s v="MSCI EUROPE(EUR) MXEU - Index Level 9.00 pct,"/>
        <s v="MSCI World Materials - MSCI World IT [MSMTRL_LCL-MSIT_LCL] - Index Level 3.00 pct,"/>
        <s v="US IG Market - EU Credit IG [USD_IG_MARKET_SF-EUR_LEH_CREDIT_SF] - Spread Yield 15.00 bps"/>
        <s v="Tsy 2Y USD_2yr - Yield -25.00 bps,"/>
        <s v="US Cash Bonds HY USD_LEH_HY3 - Spread Yield -20.00 bps,"/>
        <s v="ESP 5Y ESP_5yr - Spread Yield -10.00 bps,"/>
        <s v="MSCI World Net TR MSCIWLDNET - Index Level 2.00 pct"/>
        <s v="GSCI AGRICULTURE GSSASPOT - Price Level 5.00 pct,"/>
        <s v="Copper CMX 1 USD_COMD_HG_1 - Price Level 8.00 pct,"/>
        <s v="Soybeans CBOT 1 USD_COMD_S_1 - Price Level -7.00 pct,"/>
        <s v="USD Palm Oil 1 USD_COMD_CP_1 - Price Level 10.00 pct,"/>
        <s v="BRL 1Y BRL_1yr - Yield 60.00 bps,"/>
        <s v="BRL/USD BRL_FX_USD - FX -7.00 pct,"/>
        <s v="BRL INF 1Y BRL_INF_1yr - Yield -125.00 bps,"/>
        <s v="Marine FMI_EMEA_INDMARINE - Industry Return -8.00 pct,"/>
        <s v="Market FMI_LATC_MARKET - Style Return -800.00 bps,"/>
        <s v="Argentina USD_EM_DS_ARGENTINA - Spread Yield -300.00 bps,"/>
        <s v="Emerg Mkt S America USD_EM_DS_SA - Spread Yield 50.00 bps,"/>
        <s v="BRL INF 1Y - USD INF 1Y [BRL_INF_1yr-USD_INF_1yr] - Yield -100.00 bps"/>
        <s v="USD INF 1Y USD_INF_1yr - Yield 25.00 bps,"/>
        <s v="AUD 10Y AUD_10yr - Yield -35.00 bps,"/>
        <s v="CNY/USD CNY_FX_USD - FX -3.00 pct,"/>
        <s v="KRW/USD KRW_FX_USD - FX -8.00 pct,"/>
        <s v="MYR/USD MYR_FX_USD - FX -12.00 pct,"/>
        <s v="UK Banking GBP_BANKBROK_IG - Spread Yield 65.00 bps,"/>
        <s v="Volatility FMI_WRLD_VOLATILITY - Style Return -300.00 bps,"/>
        <s v="China Corp HY USD_CN_CORP_HY - Spread Yield 250.00 bps,"/>
        <s v="China Corp IG USD_CN_CORP_IG - Spread Yield 40.00 bps,"/>
        <s v="MS Emerging Mkts - MSCI World Net TR [MXEF-MSCIWLDNET] - Index Level -7.00 pct"/>
        <s v="Tsy 1Y USD_1yr - Yield 25.00 bps,"/>
        <s v="Tsy 10Y USD_10yr - Yield 50.00 bps,"/>
        <s v="USD INF 2Y USD_INF_2yr - Yield 20.00 bps,"/>
        <s v="Crude Oil NYME 1 USD_COMD_CL_1 - Price Level -3.00 pct,"/>
        <s v="MXN/USD MXN_FX_USD - FX -10.00 pct,"/>
        <s v="ZAR/USD ZAR_FX_USD - FX -15.00 pct,"/>
        <s v="S&amp;P 500 SPX - Index Level 0.00 pct,"/>
        <s v="MS Emerging Mkts MXEF - Index Level -10.00 pct,"/>
        <s v="Brazil Bovespa IBOV - Index Level -15.00 pct,"/>
        <s v="Turkey ISE Natl 100 XU100 - Index Level -15.00 pct,"/>
        <s v="EMBIG DxS USD_EM_DS_G - Spread Yield 15.00 bps,"/>
        <s v="OIS 3m USD_OIS_3m - Yield 20.00 bps,"/>
        <s v="DEPO Sprd 3m USD_DEPO_Sprd_3m - Spread Yield 10.00 bps,"/>
        <s v="CP A1P1 Sprd 3m USD_CP_A1P1_Sprd_3m - Spread Yield 10.00 bps"/>
        <s v="EMBIG DxS USD_EM_DS_G - Spread Yield -70.00 bps,"/>
        <s v="MSCI World Industrials MSINDU_LCL - Index Level 5.00 pct,"/>
        <s v="MSCI World IT - MSCI World Financials [MSIT_LCL-MSFNCL_LCL] - Index Level 7.00 pct,"/>
        <s v="MSCI China - MSCI World Net TR [MS_CN_LCL-MSCIWLDNET] - Index Level 8.00 pct,"/>
        <s v="US Cash Bonds HY - US Cash Bonds IG [USD_LEH_HY3-USD_LEH_CREDIT3] - Spread Yield -20.00 bps"/>
        <s v="GSCI INDUSTRIAL METALS GSINSPOT - Price Level -15.00 pct,"/>
        <s v="US HY Market USD_HY_MARKET - Spread Yield 40.00 bps,"/>
        <s v="MSCI China MS_CN_LCL - Index Level -10.00 pct,"/>
        <s v="MSCI EM Latin America (Loc) MS_LA_LCL - Index Level -10.00 pct,"/>
        <s v="MS Emerging Mkts - MSCI World Net TR [MXEF-MSCIWLDNET] - Index Level -8.00 pct,"/>
        <s v="RUB/USD [RUB_FX_USD-USD_FX_USD] - FX -8.00 pct"/>
        <s v="RUB 10Y RUB_10yr - Yield 25.00 bps,"/>
        <s v="TRY/USD TRY_FX_USD - FX -5.00 pct,"/>
        <s v="DXY DXY - Index Level -1.00 pct,"/>
        <s v="Brazil Bovespa IBOV - Index Level -7.00 pct,"/>
        <s v="Taiwan TSEC TW50 - Index Level 10.00 pct,"/>
        <s v="Transportation FMI_APXJ_INDTRAN - Industry Return 3.00 pct,"/>
        <s v="Cons Staples x Alcohol &amp; Tob FMI_LATC_CSTXALCTOB - Industry Return 5.00 pct,"/>
        <s v="Brazil USD_EM_DS_BRAZIL - Spread Yield 75.00 bps,"/>
        <s v="EMBIG DxS USD_EM_DS_G - Spread Yield -15.00 bps,"/>
        <s v="Emerg Mkt S America USD_EM_DS_SA - Spread Yield 25.00 bps,"/>
        <s v="MSCI India - MS Emerging Mkts [MS_IN-MXEF] - Index Level -5.00 pct,"/>
        <s v="MSCI EM Latin America (USD) - MS Emerging Mkts [MS_LA-MXEF] - Index Level -10.00 pct"/>
        <s v="Tsy 2Y USD_2yr - Yield 10.00 bps,"/>
        <s v="Brent Crude ICE 1 USD_COMD_CO_1 - Price Level 10.00 pct,"/>
        <s v="ZAR 10Y ZAR_10yr - Yield 75.00 bps,"/>
        <s v="TRY/USD TRY_FX_USD - FX -15.00 pct,"/>
        <s v="ZAR/USD ZAR_FX_USD - FX -8.00 pct,"/>
        <s v="DXY DXY - Index Level 4.00 pct,"/>
        <s v="Brazil Bovespa IBOV - Index Level 10.00 pct,"/>
        <s v="Russia RTS RTSI - Index Level 15.00 pct,"/>
        <s v="MSCI World Net TR MSCIWLDNET - Index Level 2.00 pct,"/>
        <s v="Brazil USD_EM_DS_BRAZIL - Spread Yield -20.00 bps,"/>
        <s v="Russia USD_EM_DS_RUSSIA - Spread Yield -30.00 bps,"/>
        <s v="South Africa USD_EM_DS_SAFRICA - Spread Yield 30.00 bps,"/>
        <s v="Turkey USD_EM_DS_TURKEY - Spread Yield 50.00 bps,"/>
        <s v="MS Emerging Mkts - MSCI World Net TR [MXEF-MSCIWLDNET] - Index Level -4.00 pct"/>
        <s v="Tsy 2Y USD_2yr - Yield 5.00 bps,"/>
        <s v="DXY DXY - Index Level 1.50 pct,"/>
        <s v="MS Emerging Mkts MXEF - Index Level -5.00 pct,"/>
        <s v="MSCI World Net TR MSCIWLDNET - Index Level 3.00 pct,"/>
        <s v="EMBIG DxS USD_EM_DS_G - Spread Yield 30.00 bps,"/>
        <s v="Tsy 10Y USD_10yr - Yield 5.00 bps,"/>
        <s v="DXY DXY - Index Level -4.50 pct,"/>
        <s v="MS Emerging Mkts MXEF - Index Level 12.00 pct,"/>
        <s v="EMBIG DxS USD_EM_DS_G - Spread Yield -40.00 bps,"/>
        <s v="MSCI China - MS Emerging Mkts [MS_CN_LCL-MXEF] - Index Level 10.00 pct"/>
        <s v="Gold GOLD_SPOT - Price Level 4.00 pct,"/>
        <s v="MXN 20Y MXN_20yr - Yield 100.00 bps,"/>
        <s v="MXN/USD MXN_FX_USD - FX -15.00 pct,"/>
        <s v="S&amp;P 500 SPX - Index Level 1.00 pct,"/>
        <s v="MS Emerging Mkts MXEF - Index Level -15.00 pct,"/>
        <s v="EMBIG DxS USD_EM_DS_G - Spread Yield 100.00 bps"/>
        <s v="Tsy 10Y USD_10yr - Yield 40.00 bps,"/>
        <s v="USD INF 10Y USD_INF_10yr - Yield -30.00 bps,"/>
        <s v="Brent Crude ICE 1 USD_COMD_CO_1 - Price Level 3.00 pct,"/>
        <s v="DEM 10Y EUR_10yr - Yield 28.00 bps,"/>
        <s v="BRL 10Y BRL_10yr - Yield 90.00 bps,"/>
        <s v="MXN/USD MXN_FX_USD - FX -5.00 pct,"/>
        <s v="RUB/USD RUB_FX_USD - FX 2.00 pct,"/>
        <s v="MSCI World Net TR MSCIWLDNET - Index Level -6.00 pct,"/>
        <s v="US HY Market USD_HY_MARKET - Spread Yield 90.00 bps"/>
        <s v="Cocoa NYBOT 1 USD_COMD_CC_1 - Price Level 35.00 pct,"/>
        <s v="Coffee NYBOT 1 USD_COMD_KC_1 - Price Level 22.00 pct,"/>
        <s v="Live Cattle CME 1 USD_COMD_LC_1 - Price Level 8.00 pct,"/>
        <s v="Soybeans CBOT 1 USD_COMD_S_1 - Price Level 10.00 pct,"/>
        <s v="Containers &amp; Packaging FMI_EMEA_MATPAK - Industry Return -7.00 pct,"/>
        <s v="Food Household &amp; Personal Prod FMI_EMEA_CSTFOODHH - Industry Return -4.00 pct,"/>
        <s v="Brazil USD_EM_DS_BRAZIL - Spread Yield 20.00 bps,"/>
        <s v="Indonesia USD_EM_DS_INDONESIA - Spread Yield 25.00 bps,"/>
        <s v="Paper &amp; Forest Products - Paper &amp; Forest Products [FMI_EMEA_MATPAPER-FMI_WRLD_MATPAPER] - Industry Return 5.00 pct"/>
        <s v="Tsy 10Y USD_10yr - Yield 20.00 bps,"/>
        <s v="US Banking IG USD_BANKBROK_IG3 - Spread Yield -30.00 bps,"/>
        <s v="US Cash Bonds HY USD_LEH_HY3 - Spread Yield -40.00 bps,"/>
        <s v="DEM 10Y EUR_10yr - Yield -15.00 bps,"/>
        <s v="ITL 10Y ITL_10yr - Spread Yield 40.00 bps,"/>
        <s v="EUR/USD EUR_FX_USD - FX -5.00 pct,"/>
        <s v="EUR INF 10Y EUR_INF_10yr - Yield 20.00 bps,"/>
        <s v="S&amp;P 500 SPX - Index Level 4.00 pct,"/>
        <s v="VIX VIX - Index Level -2.50 pct,"/>
        <s v="MSCI EUROPE(EUR) MXEU - Index Level -5.00 pct,"/>
        <s v="EU Banking IG EUR_BANKBROK_IG_V3 - Spread Yield 30.00 bps,"/>
        <s v="DEPO 3m USD_DEPO_3m - Yield 10.00 bps,"/>
        <s v="CP A1P1 3m USD_CP_A1P1_3m - Yield 10.00 bps,"/>
        <s v="DEM 30Y - DEM 10Y [EUR_30yr-EUR_10yr] - Yield -20.00 bps,"/>
        <s v="MXEU FINANCIALS(EUR) - MSCI EUROPE(EUR) [MXEU0FN-MXEU] - Index Level -10.00 pct,"/>
        <s v="S&amp;P 500 Financials - S&amp;P 500 [S5FINL-SPX] - Index Level 5.00 pct,"/>
        <s v="Tsy 30Y - Tsy 10Y [USD_30yr-USD_10yr] - Yield 25.00 bps"/>
        <s v="VSTOXX Implied Vol VSTOXX - Index Level 20.00 pct,"/>
        <s v="MSCI World Net TR MSCIWLDNET - Index Level -2.50 pct,"/>
        <s v="Regional Banks FMI_EMEA_FINREG - Industry Return -12.50 pct,"/>
        <s v="MSCI EUROPE(EUR) - MSCI World Net TR [MXEU-MSCIWLDNET] - Index Level -5.00 pct"/>
        <s v="DEM 2Y EUR_2yr - Yield 5.00 bps,"/>
        <s v="DEM 10Y EUR_10yr - Yield 15.00 bps,"/>
        <s v="ITL 10Y ITL_10yr - Spread Yield -40.00 bps,"/>
        <s v="EUR/USD EUR_FX_USD - FX 2.50 pct,"/>
        <s v="EUR INF 10Y EUR_INF_10yr - Yield -20.00 bps,"/>
        <s v="MSCI EUROPE(EUR) MXEU - Index Level 7.00 pct,"/>
        <s v="EU Banking IG EUR_BANKBROK_IG_V3 - Spread Yield -30.00 bps,"/>
        <s v="OIS 3m USD_OIS_3m - Yield 5.00 bps,"/>
        <s v="DEPO 3m USD_DEPO_3m - Yield -5.00 bps,"/>
        <s v="CP A1P1 3m USD_CP_A1P1_3m - Yield -5.00 bps,"/>
        <s v="MXEU FINANCIALS(EUR) - MSCI EUROPE(EUR) [MXEU0FN-MXEU] - Index Level 10.00 pct"/>
        <s v="Gold COMEX 1 USD_COMD_GC_1 - Price Level 15.00 pct,"/>
        <s v="US Cash Bonds IG USD_LEH_CREDIT3 - Spread Yield 30.00 bps,"/>
        <s v="DEM 10Y EUR_10yr - Yield -50.00 bps,"/>
        <s v="ITL 10Y ITL_10yr - Spread Yield 400.00 bps,"/>
        <s v="EUR/USD EUR_FX_USD - FX -10.00 pct,"/>
        <s v="EU Credit IG EUR_LEH_CREDIT - Spread Yield 100.00 bps,"/>
        <s v="EU Corp Italy - EU Credit IG [EUR_CORP_IT-EUR_LEH_CREDIT] - Spread Yield 200.00 bps,"/>
        <s v="ITL 2Y - ITL 10Y [ITL_2yr-ITL_10yr] - Spread Yield 200.00 bps,"/>
        <s v="Italy S&amp;P MIB - MSCI EUROPE(EUR) [SPMIB-MXEU] - Index Level -10.00 pct"/>
        <s v="Gold COMEX 1 USD_COMD_GC_1 - Price Level 25.00 pct,"/>
        <s v="US Cash Bonds IG USD_LEH_CREDIT3 - Spread Yield 50.00 bps,"/>
        <s v="DEM 10Y EUR_10yr - Yield -100.00 bps,"/>
        <s v="FRF 10Y FRF_10yr - Spread Yield 300.00 bps,"/>
        <s v="ITL 2Y ITL_2yr - Spread Yield 900.00 bps,"/>
        <s v="ITL 10Y ITL_10yr - Spread Yield 700.00 bps,"/>
        <s v="EUR/USD EUR_FX_USD - FX -20.00 pct,"/>
        <s v="JPY/USD JPY_FX_USD - FX 12.00 pct,"/>
        <s v="VIX VIX - Index Level 50.00"/>
        <s v="MSCI EUROPE(EUR) MXEU - Index Level -30.00 pct,"/>
        <s v="EU Credit IG EUR_LEH_CREDIT - Spread Yield 175.00 bps,"/>
        <s v="MXEU FINANCIALS(EUR) - MSCI EUROPE(EUR) [MXEU0FN-MXEU] - Index Level -20.00 pct,"/>
        <s v="Italy S&amp;P MIB - MSCI EUROPE(EUR) [SPMIB-MXEU] - Index Level -20.00 pct"/>
        <s v="DEM 2Y EUR_2yr - Yield 16.00 bps,"/>
        <s v="DEM 10Y EUR_10yr - Yield 20.00 bps,"/>
        <s v="ITL 10Y ITL_10yr - Spread Yield -100.00 bps,"/>
        <s v="EUR/USD EUR_FX_USD - FX 4.00 pct,"/>
        <s v="MSCI EUROPE(EUR) MXEU - Index Level 5.00 pct,"/>
        <s v="ITL 2Y - ITL 10Y [ITL_2yr-ITL_10yr] - Spread Yield -20.00 bps,"/>
        <s v="MXEU FINANCIALS(EUR) - MSCI EUROPE(EUR) [MXEU0FN-MXEU] - Index Level 5.00 pct,"/>
        <s v="Italy S&amp;P MIB - MSCI EUROPE(EUR) [SPMIB-MXEU] - Index Level 5.00 pct"/>
        <s v="Gold COMEX 1 USD_COMD_GC_1 - Price Level -9.00 pct,"/>
        <s v="DEM 10Y EUR_10yr - Yield 40.00 bps,"/>
        <s v="FRF 10Y FRF_10yr - Spread Yield -40.00 bps,"/>
        <s v="EUR/USD EUR_FX_USD - FX 5.00 pct,"/>
        <s v="S&amp;P 500 SPX - Index Level 2.00 pct,"/>
        <s v="MSCI EUROPE(EUR) MXEU - Index Level 8.00 pct,"/>
        <s v="VSTOXX Implied Vol VSTOXX - Index Level -10.00 pct,"/>
        <s v="EU Credit IG EUR_LEH_CREDIT - Spread Yield -15.00 bps,"/>
        <s v="EUR DEPO Sprd 3m EUR_DEPO_Sprd_3m - Spread Yield 5.00 bps,"/>
        <s v="EUR CP A1P1 Sprd 3m EUR_CP_A1P1_Sprd_3m - Spread Yield 5.00 bps,"/>
        <s v="MXEU FINANCIALS(EUR) - MSCI EUROPE(EUR) [MXEU0FN-MXEU] - Index Level 8.00 pct"/>
        <s v="FRF 10Y FRF_10yr - Spread Yield 50.00 bps,"/>
        <s v="EUR/USD EUR_FX_USD - FX -3.00 pct,"/>
        <s v="EUR INF 10Y EUR_INF_10yr - Yield 30.00 bps,"/>
        <s v="EU Credit IG EUR_LEH_CREDIT - Spread Yield 20.00 bps,"/>
        <s v="EUR OIS 3m EUR_OIS_3m - Yield -5.00 bps,"/>
        <s v="MXEU FINANCIALS(EUR) - MXEU CONSUM STAP(EUR) [MXEU0FN-MXEU0CS] - Index Level -15.00 pct,"/>
        <s v="MXEU INDUSTRIALS(EUR) - MSCI EUROPE(EUR) [MXEU0IN-MXEU] - Index Level 3.00 pct"/>
        <s v="Gold COMEX 1 USD_COMD_GC_1 - Price Level 24.00 pct,"/>
        <s v="FRF 10Y FRF_10yr - Spread Yield 150.00 bps,"/>
        <s v="EUR/USD EUR_FX_USD - FX -6.00 pct,"/>
        <s v="EUR INF 10Y EUR_INF_10yr - Yield 50.00 bps,"/>
        <s v="MSCI EUROPE(EUR) MXEU - Index Level -20.00 pct,"/>
        <s v="VSTOXX Implied Vol VSTOXX - Index Level 40.00 pct,"/>
        <s v="EU Credit IG EUR_LEH_CREDIT - Spread Yield 44.00 bps,"/>
        <s v="Momentum FMI_EMEA_MOMENTUM - Style Return -100.00 bps,"/>
        <s v="EUR OIS 3m EUR_OIS_3m - Yield -15.00 bps,"/>
        <s v="MXEU FINANCIALS(EUR) - MSCI EUROPE(EUR) [MXEU0FN-MXEU] - Index Level -15.00 pct"/>
        <s v="Natural gas NYME 1 USD_COMD_NG_1 - Price Level 20.00 pct,"/>
        <s v="Carbon Emission ICE EUA 2 EUR_COMD_MO_2 - Price Level 25.00 pct,"/>
        <s v="EUR INF 5Y EUR_INF_5yr - Yield -30.00 bps,"/>
        <s v="Turkey ISE Natl 100 XU100 - Index Level -30.00 pct,"/>
        <s v="Construction Materials FMI_EMEA_MATCONSTM - Industry Return 8.00 pct,"/>
        <s v="Steel FMI_EMEA_MATSTEEL - Industry Return 8.00 pct,"/>
        <s v="Alum Div Metals &amp; Mining FMI_EMKT_MATALUDIV - Industry Return -8.00 pct,"/>
        <s v="Construction &amp; Engineering FMI_EMKT_INDCONENG - Industry Return -4.00 pct,"/>
        <s v="Utilities FMI_EMKT_UTLUTIL - Industry Return -2.00 pct,"/>
        <s v="E Oil and Gas USD_EM_CORP_EE_OGAS - Spread Yield 80.00 bps,"/>
        <s v="MS Emerging Mkts - MSCI EUROPE(EUR) [MXEF-MXEU] - Index Level -14.00 pct"/>
        <s v="Nickel LME 2 USD_COMD_LN_2 - Price Level 15.00 pct,"/>
        <s v="Copper LME 2 USD_COMD_LP_2 - Price Level 6.00 pct,"/>
        <s v="Carbon Emission ICE EUA 2 EUR_COMD_MO_2 - Price Level 20.00 pct,"/>
        <s v="EUR INF 5Y EUR_INF_5yr - Yield -20.00 bps,"/>
        <s v="EU Transport IG EUR_TRANSPORT_IG_V3_SF - Spread Yield 15.00 bps,"/>
        <s v="Electrical Equipment FMI_EMEA_INDELECEQ - Industry Return 9.00 pct,"/>
        <s v="Airlines FMI_EMEA_INDAIRLINE - Industry Return -10.00 pct,"/>
        <s v="Marine FMI_EMEA_INDMARINE - Industry Return -12.00 pct,"/>
        <s v="Transportation Infrastructure FMI_EMEA_INDTRANINF - Industry Return -4.00 pct,"/>
        <s v="Semiconductors &amp; Equipment FMI_EMEA_ITCSEMICEQ - Industry Return 6.00 pct,"/>
        <s v="Energy Equip Oil &amp; Gas Exp FMI_WRLD_EQYEQEXP - Industry Return -4.00 pct,"/>
        <s v="E Oil and Gas USD_EM_CORP_EE_OGAS - Spread Yield 50.00 bps"/>
        <s v="Tsy 10Y USD_10yr - Yield -15.00 bps,"/>
        <s v="Aluminum LME 1 USD_COMD_LA_1 - Price Level 15.00 pct,"/>
        <s v="CNH/USD CNH_FX_USD - FX -3.00 pct,"/>
        <s v="EUR INF 10Y EUR_INF_10yr - Yield -60.00 bps,"/>
        <s v="VIX VIX - Index Level 40.00 pct,"/>
        <s v="Chemicals &amp; Industrial Gases FMI_CHNA_MATCHEMIND - Industry Return -15.00 pct,"/>
        <s v="MSCI India MS_IN - Index Level -15.00 pct,"/>
        <s v="Automobiles &amp; Components - Automobiles &amp; Components [FMI_USAM_CDIAUTOCMP-FMI_APXJ_CDIAUTOCMP] - Industry Return 15.00 pct,"/>
        <s v="MXEU CONSUM DISC(EUR) - MSCI EUROPE(EUR) [MXEU0CD-MXEU] - Index Level -10.00 pct"/>
        <s v="Tsy 1Y USD_1yr - Yield -50.00 bps,"/>
        <s v="USD INF 1Y USD_INF_1yr - Yield 50.00 bps,"/>
        <s v="USD INF 10Y USD_INF_10yr - Yield 0.00 bps,"/>
        <s v="US HY Market USD_HY_MARKET_SF - Spread Yield -30.00 bps,"/>
        <s v="S&amp;P 500 Consumer Staples Index SPCS - Index Level 10.00 pct,"/>
        <s v="S&amp;P 500 Information Technology SPIT - Index Level 15.00 pct"/>
        <s v="Tsy 2Y USD_2yr - Yield -50.00 bps,"/>
        <s v="DXY DXY - Index Level -5.00 pct,"/>
        <s v="US HY Market USD_HY_MARKET - Spread Yield 100.00 bps,"/>
        <s v="S&amp;P 500 Consumer Staples Index - S&amp;P 500 Cons. Disc. Index [SPCS-SPCD] - Index Level 12.00 pct"/>
        <s v="Tsy 1Y USD_1yr - Yield 50.00 bps,"/>
        <s v="Tsy 10Y USD_10yr - Yield 25.00 bps,"/>
        <s v="USD INF 1Y USD_INF_1yr - Yield -40.00 bps,"/>
        <s v="US HY Market USD_HY_MARKET_SF - Spread Yield 75.00 bps,"/>
        <s v="Value - Growth [FMI_NAMR_VALUE-FMI_NAMR_GROWTH] - Style Return 250.00 bps"/>
        <s v="Tsy 10Y USD_10yr - Yield 10.00 bps,"/>
        <s v="US HY Market USD_HY_MARKET - Spread Yield -5.00 bps"/>
        <s v="Tsy 2Y USD_2yr - Yield 35.00 bps,"/>
        <s v="S&amp;P 500 SPX - Index Level -5.00 pct,"/>
        <s v="MS Emerging Mkts MXEF - Index Level -8.00 pct,"/>
        <s v="EMBIG DxS USD_EM_DS_G - Spread Yield 50.00 bps,"/>
        <s v="S&amp;P 500 Cons. Disc. Index - S&amp;P 500 Consumer Staples Index [SPCD-SPCS] - Index Level 8.00 pct"/>
        <s v="Tsy 2Y USD_2yr - Yield -5.00 bps,"/>
        <s v="US Cash Bonds HY USD_LEH_HY3 - Spread Yield -35.00 bps,"/>
        <s v="DEM 2Y EUR_2yr - Yield -10.00 bps,"/>
        <s v="EUR/USD EUR_FX_USD - FX -2.00 pct,"/>
        <s v="EMBIG DxS USD_EM_DS_G - Spread Yield -20.00 bps,"/>
        <s v="MSCI World Utilities - MSCI World IT [MSUTIL_LCL-MSIT_LCL] - Index Level 5.00 pct,"/>
        <s v="China Corp HY - India Corp HY [USD_CN_CORP_HY-USD_IN_CORP_HY] - Spread Yield 25.00 bps,"/>
        <s v="US Cash Bonds HY - US Cash Bonds IG [USD_LEH_HY3-USD_LEH_CREDIT3] - Spread Yield -15.00 bps"/>
        <s v="Tsy 10Y USD_10yr - Yield 30.00 bps,"/>
        <s v="USD INF 10Y USD_INF_10yr - Yield -15.00 bps,"/>
        <s v="Brent Crude ICE 1 USD_COMD_CO_1 - Price Level 6.00 pct,"/>
        <s v="US Cash Bonds HY USD_LEH_HY3 - Spread Yield -50.00 bps,"/>
        <s v="MSCI World Net TR MSCIWLDNET - Index Level 4.00 pct,"/>
        <s v="MSCI World Industrials - MSCI World Net TR [MSINDU_LCL-MSCIWLDNET] - Index Level 2.00 pct,"/>
        <s v="Tsy 30Y - Tsy 10Y [USD_30yr-USD_10yr] - Yield 15.00 bps"/>
        <s v="EUR/USD EUR_FX_USD - FX 2.00 pct,"/>
        <s v="S&amp;P 500 Industrials S5INDU - Index Level -10.00 pct,"/>
        <s v="MSCI World Net TR MSCIWLDNET - Index Level -7.50 pct,"/>
        <s v="JPY 2Y - JPY 10Y [JPY_2yr-JPY_10yr] - Yield 20.00 bps,"/>
        <s v="Tsy 10Y - Tsy 2Y [USD_10yr-USD_2yr] - Yield -25.00 bps"/>
        <s v="Tsy 2Y USD_2yr - Yield -75.00 bps,"/>
        <s v="USD INF 2Y USD_INF_2yr - Yield 100.00 bps,"/>
        <s v="Brent Crude ICE 1 USD_COMD_CO_1 - Price Level -5.00 pct,"/>
        <s v="Norm Impl Vol 1x10 USD_normvol_1y_10y - Implied Vol -25.00 bps,"/>
        <s v="US IG Market USD_IG_MARKET_SF - Spread Yield -40.00 bps,"/>
        <s v="S&amp;P 500 SPX - Index Level 15.00 pct,"/>
        <s v="Energy Equipment &amp; Services FMI_NAMR_EGYEQ - Industry Return -4.00 pct,"/>
        <s v="Diversified Consumer Services FMI_NAMR_CDIDIVSVCS - Industry Return 8.00 pct,"/>
        <s v="Growth FMI_NAMR_GROWTH - Style Return 500.00 bps,"/>
        <s v="US HY Independent Energy - US HY Market [USD_HY_INDE_SF-USD_HY_MARKET_SF] - Spread Yield 20.00 bps"/>
        <s v="Brent Crude ICE 1 USD_COMD_CO_1 - Price Level -23.00 pct,"/>
        <s v="Copper CMX 1 USD_COMD_HG_1 - Price Level -20.00 pct,"/>
        <s v="tim"/>
        <s v="DXY DXY - Index Level -5.00"/>
        <s v="S&amp;P 500 SPX - Index Level -25.00 pct,"/>
        <s v="SP500 Consum Discr S5COND - Index Level -35.00 pct,"/>
        <s v="US HY Market USD_HY_MARKET_SF - Spread Yield 350.00 bps,"/>
        <s v="ABS Auto Subprime USD_ABS_AUTOSBPRM - Spread Yield 100.00 bps,"/>
        <s v="MS Emerging Mkts - MSCI World Net TR [MXEF-MSCIWLDNET] - Index Level 8.00 pct"/>
        <s v="Tsy 2Y USD_2yr - Yield 60.00 bps,"/>
        <s v="Tsy 10Y USD_10yr - Yield 80.00 bps,"/>
        <s v="USD INF 2Y USD_INF_2yr - Yield -50.00 bps,"/>
        <s v="30yr Mtg Tsy Basis V620 USD_mtg30_tsy_V620 - Mortgage Basis 25.00 bps,"/>
        <s v="Brent Crude ICE 1 USD_COMD_CO_1 - Price Level 2.00 pct,"/>
        <s v="Norm Impl Vol 1x10 USD_normvol_1y_10y - Implied Vol 30.00 bps,"/>
        <s v="Growth FMI_NAMR_GROWTH - Style Return -60.00 bps,"/>
        <s v="US HY Market USD_HY_MARKET_SF - Spread Yield 130.00 bps,"/>
        <s v="Tsy 2Y USD_2yr - Yield 75.00 bps,"/>
        <s v="USD INF 2Y USD_INF_2yr - Yield -25.00 bps,"/>
        <s v="30yr Mtg Tsy Basis V620 USD_mtg30_tsy_V620 - Mortgage Basis 30.00 bps,"/>
        <s v="Brent Crude ICE 1 USD_COMD_CO_1 - Price Level -15.00 pct,"/>
        <s v="Norm Impl Vol 1x10 USD_normvol_1y_10y - Implied Vol 15.00 bps,"/>
        <s v="US IG Market USD_IG_MARKET_SF - Spread Yield 50.00 bps,"/>
        <s v="Pharmaceuticals FMI_WRLD_HLCPHARMA - Industry Return 5.00 pct,"/>
        <s v="Software &amp; Svcs x Data Proc FMI_WRLD_ITCSOFTXDA - Industry Return -6.00 pct,"/>
        <s v="US HY Market - US IG Market [USD_HY_MARKET_SF-USD_IG_MARKET_SF] - Spread Yield 250.00 bps"/>
        <s v="Tsy 10Y USD_10yr - Yield -10.00 bps,"/>
        <s v="DEM 10Y EUR_10yr - Yield -25.00 bps,"/>
        <s v="MSCI EUROPE(EUR) MXEU - Index Level -3.00 pct,"/>
        <s v="Airlines FMI_EMEA_INDAIRLINE - Industry Return -6.00 pct"/>
        <s v="GSCI GSCIINDX - Price Level -4.00 pct,"/>
        <s v="ESP 10Y - DEM 10Y [ESP_10yr-DEM_10yr] - Spread Yield -15.00 bps,"/>
        <s v="MSCI World xUS - S&amp;P 500 [MSXWOUS-SPX] - Index Level -3.00 pct"/>
        <s v="Crude Oil NYME 1 USD_COMD_CL_1 - Price Level -20.00 pct,"/>
        <s v="US HY Market USD_HY_MARKET - Spread Yield 120.00 bps,"/>
        <s v="MS Emerging Mkts - S&amp;P 500 [MXEF-SPX] - Index Level -5.00 pct"/>
        <s v="US Cash Bonds HY USD_LEH_HY3 - Spread Yield 70.00 bps,"/>
        <s v="S&amp;P 500 SPX - Index Level -12.00 pct,"/>
        <s v="S&amp;P 500 Consumer Staples Index - S&amp;P 500 Cons. Disc. Index [SPCS-SPCD] - Index Level 10.00 pct"/>
        <s v="Brent Crude ICE 1 USD_COMD_CO_1 - Price Level 35.00 pct,"/>
        <s v="MSCI World Net TR MSCIWLDNET - Index Level -12.00 pct,"/>
        <s v="MSCI World Energy - MSCI World Net TR [MSENRG_LCL-MSCIWLDNET] - Index Level 12.00 pct"/>
        <s v="Brent Crude ICE 1 USD_COMD_CO_1 - Price Level 25.00 pct,"/>
        <s v="Aerospace &amp; Defense FMI_WRLD_INDAIRDEF - Industry Return 6.00 pct,"/>
        <s v="US HY Oil Field Services USD_HY_OILM - Spread Yield 10.00 bps,"/>
        <s v="US HY Market USD_HY_MARKET - Spread Yield 60.00 bps,"/>
        <s v="MSCI World Energy MSENRG_LCL - Index Level 5.00 pct"/>
        <s v="Brent Crude ICE 12 USD_COMD_CO_12 - Price Level 5.00 pct,"/>
        <s v="China Shenzhen SEAll SZCOMP - Index Level 3.00 pct,"/>
        <s v="Integrated Oil &amp; Gas - MSCI EUROPE(EUR) [FMI_EMEA_EGYINT-MXEU] - Industry Return -5.00 pct,"/>
        <s v="US Cash Bonds IG - EU Credit IG [USD_LEH_CREDIT3-EUR_LEH_CREDIT] - Spread Yield 15.00 bps"/>
        <s v="Brent Crude ICE 6 USD_COMD_CO_6 - Price Level 8.00 pct,"/>
        <s v="MSCI World Net TR MSCIWLDNET - Index Level -2.00 pct,"/>
        <s v="Qatar FMI_WRLD_QAT - Country Return -6.00 pct,"/>
        <s v="Saudi Arabia FMI_WRLD_SAU - Country Return -12.00 pct,"/>
        <s v="US HY Oil Field Services USD_HY_OILM - Spread Yield -60.00 bps,"/>
        <s v="US HY Market USD_HY_MARKET - Spread Yield -30.00 bps"/>
        <s v="Brent Crude ICE 12 USD_COMD_CO_12 - Price Level 25.00 pct,"/>
        <s v="S&amp;P 500 SPX - Index Level -2.00 pct,"/>
        <s v="VIX VIX - Index Level 12.00 pct,"/>
        <s v="China Shenzhen SEAll SZCOMP - Index Level -5.00 pct,"/>
        <s v="US HY Oil Field Services USD_HY_OILM - Spread Yield 15.00 bps,"/>
        <s v="MSCI World Energy - MSCI World Net TR [MSENRG_LCL-MSCIWLDNET] - Index Level 5.00 pct"/>
        <s v="Brent Crude ICE 1 USD_COMD_CO_1 - Price Level 5.00 pct,"/>
        <s v="Saudi Arabia FMI_WRLD_SAU - Country Return -5.00 pct,"/>
        <s v="Emerg Mkt Mid E Africa USD_EM_DS_MIDAF - Spread Yield 50.00 bps"/>
        <s v="Gold COMEX 1 USD_COMD_GC_1 - Price Level -5.00 pct,"/>
        <s v="Tsy 10Y - DEM 10Y [USD_10yr-EUR_10yr] - Yield 30.00 bps,"/>
        <s v="Tsy 30Y - Tsy 5Y [USD_30yr-USD_5yr] - Yield -30.00 bps"/>
        <s v="EUR/USD EUR_FX_USD - FX -2.00 pct"/>
        <s v="Tsy 10Y USD_10yr - Yield 15.00 bps,"/>
        <s v="Crude Oil NYME 1 USD_COMD_CL_1 - Price Level 10.00 pct,"/>
        <s v="US Cash Bonds IG USD_LEH_CREDIT3 - Spread Yield 15.00 bps,"/>
        <s v="US Cash Bonds HY USD_LEH_HY3 - Spread Yield 50.00 bps,"/>
        <s v="ESP 10Y ESP_10yr - Spread Yield 20.00 bps,"/>
        <s v="JPY 10Y JPY_10yr - Yield 5.00 bps,"/>
        <s v="MXN 10Y MXN_10yr - Yield 50.00 bps,"/>
        <s v="EMBIG DxS USD_EM_DS_G - Spread Yield 35.00 bps,"/>
        <s v="OIS 3m USD_OIS_3m - Yield 37.50 bps,"/>
        <s v="S&amp;P 500 Utilities - S&amp;P 500 [S5UTIL-SPX] - Index Level 0.00 pct"/>
        <s v="Tsy 10Y USD_10yr - Yield 45.00 bps,"/>
        <s v="USD INF 10Y USD_INF_10yr - Yield -25.00 bps,"/>
        <s v="Crude Oil NYME 1 USD_COMD_CL_1 - Price Level 8.00 pct,"/>
        <s v="US Cash Bonds IG USD_LEH_CREDIT3 - Spread Yield -12.00 bps,"/>
        <s v="S&amp;P 500 SPX - Index Level 5.00 pct,"/>
        <s v="S&amp;P 500 Energy - S&amp;P 500 [S5ENRS-SPX] - Index Level 5.00 pct,"/>
        <s v="S&amp;P 500 Industrials - S&amp;P 500 [S5INDU-SPX] - Index Level 3.00 pct,"/>
        <s v="S&amp;P 500 Consumer Staples Index - S&amp;P 500 [SPCS-SPX] - Index Level -3.00 pct"/>
        <s v="JPY 2Y JPY_2yr - Yield 10.00 bps,"/>
        <s v="EUR/USD EUR_FX_USD - FX 3.00 pct,"/>
        <s v="EUR INF 10Y EUR_INF_10yr - Yield -25.00 bps,"/>
        <s v="MS Emerging Mkts - MSCI World Net TR [MXEF-MSCIWLDNET] - Index Level 5.00 pct"/>
        <s v="Crude Oil NYME 1 USD_COMD_CL_1 - Price Level 30.00 pct,"/>
        <s v="RUB/USD RUB_FX_USD - FX 15.00 pct,"/>
        <s v="SP500 Consum Discr - S&amp;P 500 Consumer Staples Index [S5COND-SPCS] - Index Level -6.00 pct,"/>
        <s v="S&amp;P 500 Energy - S&amp;P 500 [S5ENRS-SPX] - Index Level 10.00 pct"/>
        <s v="Tsy 10Y USD_10yr - Yield 55.00 bps,"/>
        <s v="USD INF 10Y USD_INF_10yr - Yield -50.00 bps,"/>
        <s v="GSCI ENERGY GSENSPOT - Price Level 10.00 pct,"/>
        <s v="S&amp;P 500 Cons. Disc. Index - S&amp;P 500 Consumer Staples Index [SPCD-SPCS] - Index Level 5.00 pct"/>
        <s v="USD INF 10Y USD_INF_10yr - Yield 50.00 bps,"/>
        <s v="US HY Market USD_HY_MARKET - Spread Yield 50.00 bps,"/>
        <s v="MSCI World Consumer Staples - MSCI World Net TR [MSCOST_LCL-MSCIWLDNET] - Index Level 3.00 pct,"/>
        <s v="MSCI World Industrials - MSCI World Net TR [MSINDU_LCL-MSCIWLDNET] - Index Level -5.00 pct,"/>
        <s v="MSCI World Utilities - MSCI World Net TR [MSUTIL_LCL-MSCIWLDNET] - Index Level 3.00 pct,"/>
        <s v="MSCI Japan - MSCI World Net TR [MS_JP-MSCIWLDNET] - Index Level 2.00 pct"/>
        <s v="Tsy 10Y USD_10yr - Yield 90.00 bps,"/>
        <s v="USD INF 10Y USD_INF_10yr - Yield -70.00 bps,"/>
        <s v="BRL INF 10Y BRL_INF_10yr - Yield -130.00 bps,"/>
        <s v="Pan Euro Credit HY EUR_LEH_HY - Spread Yield 80.00 bps,"/>
        <s v="MSCI World Cons. Discretionary - MSCI World IT [MSCODS_LCL-MSIT_LCL] - Index Level 10.00 pct,"/>
        <s v="MSCI World Utilities - MSCI World Net TR [MSUTIL_LCL-MSCIWLDNET] - Index Level -3.00 pct,"/>
        <s v="MS Emerging Mkts - MSCI World Net TR [MXEF-MSCIWLDNET] - Index Level -2.00 pct"/>
        <s v="Brent Crude ICE 1 USD_COMD_CO_1 - Price Level 8.00 pct,"/>
        <s v="DXY DXY - Index Level -2.00 pct,"/>
        <s v="MSCI World Net TR MSCIWLDNET - Index Level 5.00 pct,"/>
        <s v="US HY Market USD_HY_MARKET - Spread Yield -10.00 bps,"/>
        <s v="MSCI World Cons. Discretionary - MSCI World Net TR [MSCODS_LCL-MSCIWLDNET] - Index Level 3.00 pct,"/>
        <s v="MSCI World Financials - MSCI World Net TR [MSFNCL_LCL-MSCIWLDNET] - Index Level -3.00 pct"/>
        <s v="DEM 10Y EUR_10yr - Yield 30.00 bps,"/>
        <s v="MSCI EUROPE(EUR) MXEU - Index Level 10.00 pct,"/>
        <s v="Pan Euro Credit HY EUR_LEH_HY - Spread Yield -40.00 bps,"/>
        <s v="MSCI World Cons. Discretionary - MSCI World Consumer Staples [MSCODS_LCL-MSCOST_LCL] - Index Level 7.00 pct,"/>
        <s v="S&amp;P 500 - MSCI EUROPE(EUR) [SPX-MXEU] - Index Level -5.00 pct"/>
        <s v="CPI 10yr USD_CPI_10yr - Yield -20.00 bps,"/>
        <s v="US HY Market USD_HY_MARKET - Spread Yield 90.00 bps,"/>
        <s v="SP500 Consum Discr - S&amp;P 500 [S5COND-SPX] - Index Level 5.00 pct"/>
        <s v="CPI 10yr USD_CPI_10yr - Yield 15.00 bps,"/>
        <s v="Brent Crude ICE 1 USD_COMD_CO_1 - Price Level -9.00 pct,"/>
        <s v="US HY Market USD_HY_MARKET - Spread Yield 35.00 bps,"/>
        <s v="S&amp;P 500 Industrials - S&amp;P 500 [S5INDU-SPX] - Index Level -5.00 pct"/>
        <s v="Tsy 10Y USD_10yr - Yield -8.00 bps,"/>
        <s v="US Cash Bonds IG USD_LEH_CREDIT3 - Spread Yield 10.00 bps,"/>
        <s v="INR/USD INR_FX_USD - FX -6.00 pct,"/>
        <s v="PKR/USD PKR_FX_USD - FX -9.00 pct,"/>
        <s v="India BSE 100 BSE100 - Index Level -12.00 pct,"/>
        <s v="Pakistan KSE 100 KSE100 - Index Level -18.00 pct,"/>
        <s v="Aerospace &amp; Defense FMI_WRLD_INDAIRDEF - Industry Return 5.00 pct,"/>
        <s v="Pakistan USD_EM_DS_PAKISTAN - Spread Yield 150.00 bps"/>
        <s v="DEM 3M EUR_3m - Yield -5.00 bps,"/>
        <s v="DEM 10Y EUR_10yr - Yield 50.00 bps,"/>
        <s v="JPY 3M JPY_3m - Yield -5.00 bps,"/>
        <s v="JPY 10Y JPY_10yr - Yield 30.00 bps,"/>
        <s v="MXN/USD MXN_FX_USD - FX 4.00 pct,"/>
        <s v="JPY INF 10Y JPY_INF_10yr - Yield -30.00 bps,"/>
        <s v="Pan Euro Credit HY EUR_LEH_HY - Spread Yield -70.00 bps,"/>
        <s v="Value FMI_WRLD_VALUE - Style Return 100.00 bps,"/>
        <s v="EMBIG DxS USD_EM_DS_G - Spread Yield -35.00 bps,"/>
        <s v="MSCI EUROPE(EUR) - MSCI World Net TR [MXEU-MSCIWLDNET] - Index Level 5.00 pct"/>
        <s v="JPY 2Y JPY_2yr - Yield -10.00 bps,"/>
        <s v="JPY 10Y JPY_10yr - Yield -25.00 bps,"/>
        <s v="MSCI World Net TR MSCIWLDNET - Index Level -10.00"/>
        <s v="Pan Euro Credit HY EUR_LEH_HY - Spread Yield 100.00 bps,"/>
        <s v="EMBIG DxS USD_EM_DS_G - Spread Yield 60.00 bps,"/>
        <s v="EU Banking IG - EU Noncyclical IG [EUR_BANKBROK_IG-EUR_NONCYCLICAL_IG] - Spread Yield 40.00 bps,"/>
        <s v="MSCI World Financials - MSCI World Net TR [MSFNCL_LCL-MSCIWLDNET] - Index Level -7.50 pct,"/>
        <s v="Crude Oil NYME 1 USD_COMD_CL_1 - Price Level 0.00 pct,"/>
        <s v="JPY Vol 1x10 JPY_normvol_1y_10y - Implied Vol 20.00 bps,"/>
        <s v="NIKKEI 225 NKY - Index Level -7.50 pct,"/>
        <s v="JP Maturity 5 JPY_CORP_AGG_5Y - Spread Yield -10.00 bps,"/>
        <s v="Banks FMI_JAPN_FINBANK - Industry Return -15.00 pct,"/>
        <s v="OIS 1m USD_OIS_1m - Yield -5.00 bps"/>
        <s v="GSCI ENERGY GSENSPOT - Price Level 8.00 pct,"/>
        <s v="JPY 10Y JPY_10yr - Yield 35.00 bps,"/>
        <s v="JPY/USD JPY_FX_USD - FX -5.00 pct,"/>
        <s v="JPY INF 10Y JPY_INF_10yr - Yield -25.00 bps,"/>
        <s v="MSCI World Cons. Discretionary - MSCI World Consumer Staples [MSCODS_LCL-MSCOST_LCL] - Index Level 5.00 pct,"/>
        <s v="NIKKEI 225 - MSCI World Net TR [NKY-MSCIWLDNET] - Index Level 7.50 pct"/>
        <s v="US Cash Bonds IG USD_LEH_CREDIT3 - Spread Yield -10.00 bps,"/>
        <s v="JPY 3M JPY_3m - Yield -10.00 bps,"/>
        <s v="JPY 15Y JPY_15yr - Yield 15.00 bps,"/>
        <s v="JPY/USD JPY_FX_USD - FX -7.50 pct,"/>
        <s v="JPY INF 10Y JPY_INF_10yr - Yield -20.00 bps,"/>
        <s v="NIKKEI 225 NKY - Index Level 8.00 pct,"/>
        <s v="JP Maturity 10 JPY_CORP_AGG_10Y - Spread Yield -25.00 bps"/>
        <s v="BRL 10Y BRL_10yr - Yield 50.00 bps,"/>
        <s v="BRL/USD BRL_FX_USD - FX 5.00 pct,"/>
        <s v="MXN/USD MXN_FX_USD - FX 5.00 pct,"/>
        <s v="MS Emerging Mkts MXEF - Index Level 8.00 pct,"/>
        <s v="EMBIG DxS USD_EM_DS_G - Spread Yield -25.00 bps,"/>
        <s v="MSCI EM Latin America (USD) - MSCI World Net TR [MS_LA-MSCIWLDNET] - Index Level 10.00 pct"/>
        <s v="Tsy 10Y USD_10yr - Yield -5.00 bps,"/>
        <s v="MXN/USD MXN_FX_USD - FX -7.00 pct,"/>
        <s v="Mexican Bolsa MEXBOL - Index Level -15.00 pct,"/>
        <s v="MSCI World Net TR MSCIWLDNET - Index Level -1.00 pct,"/>
        <s v="MSCI EM Latin America (USD) MS_LA - Index Level -5.00 pct"/>
        <s v="US HY Market USD_HY_MARKET - Spread Yield 25.00 bps,"/>
        <s v="MSCI EM Latin America (USD) MS_LA - Index Level -15.00 pct"/>
        <s v="Food &amp; Staples Retailing FMI_NAMR_CSTFOODSTA - Industry Return -5.00 pct,"/>
        <s v="Pharmaceuticals FMI_NAMR_HLCPHARMA - Industry Return -5.00 pct,"/>
        <s v="US HY Market USD_HY_MARKET_SF - Spread Yield 0.00 bps,"/>
        <s v="US HY Pharmaceuticals - US HY Market [USD_HY_PHARMA_SF-USD_HY_MARKET_SF] - Spread Yield 35.00 bps,"/>
        <s v="US HY Retail - US HY Market [USD_HY_RETAIL_SF-USD_HY_MARKET_SF] - Spread Yield 20.00 bps"/>
        <s v="Media FMI_NAMR_CDIMEDIA - Industry Return -5.00 pct,"/>
        <s v="Food &amp; Staples Retailing FMI_NAMR_CSTFOODSTA - Industry Return -15.00 pct,"/>
        <s v="Pharmaceuticals FMI_NAMR_HLCPHARMA - Industry Return -15.00 pct,"/>
        <s v="Market FMI_NAMR_MARKET - Style Return 0.00 bps,"/>
        <s v="US HY Pharmaceuticals - US HY Market [USD_HY_PHARMA_SF-USD_HY_MARKET_SF] - Spread Yield 100.00 bps,"/>
        <s v="US HY Retail - US HY Market [USD_HY_RETAIL_SF-USD_HY_MARKET_SF] - Spread Yield 40.00 bps"/>
        <s v="Media FMI_NAMR_CDIMEDIA - Industry Return 5.00 pct,"/>
        <s v="Food &amp; Staples Retailing FMI_NAMR_CSTFOODSTA - Industry Return 7.00 pct,"/>
        <s v="Pharmaceuticals FMI_NAMR_HLCPHARMA - Industry Return 5.00 pct,"/>
        <s v="US HY Pharmaceuticals - US HY Market [USD_HY_PHARMA_SF-USD_HY_MARKET_SF] - Spread Yield -70.00 bps,"/>
        <s v="US HY Retail - US HY Market [USD_HY_RETAIL_SF-USD_HY_MARKET_SF] - Spread Yield -20.00 bps"/>
        <s v="USD INF 1Y USD_INF_1yr - Yield -120.00 bps,"/>
        <s v="Brent Crude ICE 1 USD_COMD_CO_1 - Price Level 100.00 pct,"/>
        <s v="US IG Market USD_IG_MARKET_SF - Spread Yield 45.00 bps,"/>
        <s v="MS Emerging Mkts MXEF - Index Level -17.00 pct,"/>
        <s v="Emerg Mkt Mid East USD_EM_DS_ME - Spread Yield 200.00 bps"/>
        <s v="Tsy 10Y USD_10yr - Yield -50.00 bps,"/>
        <s v="USD INF 1Y USD_INF_1yr - Yield -75.00 bps,"/>
        <s v="Brent Crude ICE 1 USD_COMD_CO_1 - Price Level 30.00 pct,"/>
        <s v="Gold GOLD_SPOT - Price Level 10.00 pct,"/>
        <s v="Aerospace &amp; Defense FMI_NAMR_INDAIRDEF - Industry Return 10.00 pct,"/>
        <s v="Emerg Mkt Mid East USD_EM_DS_ME - Spread Yield 100.00 bps,"/>
        <s v="US HY Market USD_HY_MARKET_SF - Spread Yield 50.00 bps"/>
        <s v="USD INF 1Y USD_INF_1yr - Yield -30.00 bps,"/>
        <s v="VIX VIX - Index Level 8.00 pct,"/>
        <s v="Emerg Mkt Mid East USD_EM_DS_ME - Spread Yield 35.00 bps"/>
        <s v="Gold COMEX 1 USD_COMD_GC_1 - Price Level -12.00 pct"/>
        <s v="Crude Oil NYME 1 USD_COMD_CL_1 - Price Level -28.00 pct"/>
        <s v="VIX VIX - Index Level 16.50 pct"/>
        <s v="EUR INF 10Y EUR_INF_10yr - Yield -35.00 bps"/>
        <s v="EU Credit IG EUR_LEH_CREDIT - Spread Yield 26.50"/>
        <s v="DAX 30 DAX - Index Level -18.00 pct"/>
        <s v="DEM 10Y EUR_10yr - Yield 40.00 bps"/>
        <s v="NIKKEI 225 NKY - Index Level -14.00 pct"/>
        <s v="JPY INF 3Y JPY_INF_3yr - Yield -70.00 bps"/>
        <s v="JPY 10Y JPY_10yr - Yield 25.00 bps"/>
        <s v="S&amp;P 500 SPX - Index Level -9.50 pct"/>
        <s v="USD INF 10Y USD_INF_10yr - Yield -30.00 bps"/>
        <s v="US Cash Bonds IG USD_LEH_CREDIT3 - Spread Yield 23.00"/>
        <s v="DXY DXY - Index Level -4.00 pct"/>
        <s v="Tsy 10Y USD_10yr - Yield 55.00 bps"/>
        <s v="MSCI World Net TR MSCIWLDNET - Index Level -10.00 pct"/>
        <s v="US Cash Bonds HY USD_LEH_HY3 - Spread Yield -60.00 bps,"/>
        <s v="ESP 10Y ESP_10yr - Spread Yield -10.00 bps,"/>
        <s v="S&amp;P 500 SPX - Index Level 3.00 pct,"/>
        <s v="Profitability FMI_NAMR_PROFIT - Style Return 65.00 bps,"/>
        <s v="Profitability FMI_EMEA_PROFIT - Style Return 65.00 bps,"/>
        <s v="DEPO Sprd 6m USD_DEPO_Sprd_6m - Spread Yield -10.00 bps,"/>
        <s v="CP A1P1 Sprd 6m USD_CP_A1P1_Sprd_6m - Spread Yield -10.00 bps,"/>
        <s v="Currency Carry [S] AI_CRNCY_CARRY - Index Level 3.00 pct,"/>
        <s v="S&amp;P 500 Utilities - S&amp;P 500 [S5UTIL-SPX] - Index Level 5.00 pct"/>
        <s v="US Cash Bonds HY USD_LEH_HY3 - Spread Yield 75.00 bps,"/>
        <s v="ESP 10Y ESP_10yr - Spread Yield 10.00 bps,"/>
        <s v="EU Credit IG EUR_LEH_CREDIT - Spread Yield 7.00 bps,"/>
        <s v="Profitability FMI_NAMR_PROFIT - Style Return -65.00 bps,"/>
        <s v="Profitability FMI_EMEA_PROFIT - Style Return -65.00 bps,"/>
        <s v="OIS 3m USD_OIS_3m - Yield 10.00 bps,"/>
        <s v="CP A1P1 Sprd 3m USD_CP_A1P1_Sprd_3m - Spread Yield 10.00 bps,"/>
        <s v="S&amp;P 500 Utilities - S&amp;P 500 [S5UTIL-SPX] - Index Level -5.00 pct"/>
        <s v="US Cash Bonds HY USD_LEH_HY3 - Spread Yield 85.00 bps,"/>
        <s v="Profitability FMI_NAMR_PROFIT - Style Return -130.00 bps,"/>
        <s v="Profitability FMI_EMEA_PROFIT - Style Return -130.00 bps,"/>
        <s v="Currency Carry [S] AI_CRNCY_CARRY - Index Level -3.00 pct,"/>
        <s v="S&amp;P 500 Technology - S&amp;P 500 [S5INFT-SPX] - Index Level 2.00 pct,"/>
        <s v="S&amp;P 500 Utilities - S&amp;P 500 [S5UTIL-SPX] - Index Level -10.00 pct"/>
        <s v="CAD/USD CAD_FX_USD - FX -4.00 pct,"/>
        <s v="CNH/USD CNH_FX_USD - FX -2.00 pct,"/>
        <s v="MXN/USD MXN_FX_USD - FX -12.00 pct,"/>
        <s v="ZAR/USD ZAR_FX_USD - FX -5.00 pct,"/>
        <s v="Global HY 5 ALL_GLB_CORP_HY_5Y - Spread Yield 40.00 bps,"/>
        <s v="Automobiles &amp; Components FMI_USAM_CDIAUTOCMP - Industry Return -5.00 pct,"/>
        <s v="S&amp;P 500 Industrials - S&amp;P 500 [S5INDU-SPX] - Index Level 2.00 pct"/>
        <s v="US Auto IG USD_AUTO_IG3 - Spread Yield -10.00 bps,"/>
        <s v="CAD/USD CAD_FX_USD - FX 2.50 pct,"/>
        <s v="Automobiles &amp; Components FMI_NAMR_CDIAUTOCMP - Industry Return 2.50 pct,"/>
        <s v="Cons Dur &amp; Apparel x Homebuild FMI_NAMR_CDIDURXHMB - Industry Return 1.50 pct,"/>
        <s v="EMBIG DxS USD_EM_DS_G - Spread Yield -15.00 bps"/>
        <s v="Gold COMEX 1 USD_COMD_GC_1 - Price Level 2.00 pct,"/>
        <s v="US Auto IG USD_AUTO_IG3 - Spread Yield 12.00 bps,"/>
        <s v="CAD/USD CAD_FX_USD - FX -3.50 pct,"/>
        <s v="MS Emerging Mkts MXEF - Index Level -4.00 pct,"/>
        <s v="Automobiles &amp; Components FMI_NAMR_CDIAUTOCMP - Industry Return -4.00 pct,"/>
        <s v="EMBIG DxS USD_EM_DS_G - Spread Yield 15.00 bps"/>
        <s v="US Cash Bonds HY USD_LEH_HY3 - Spread Yield -15.00 bps,"/>
        <s v="S&amp;P 500 Technology S5INFT - Index Level 0.00 pct,"/>
        <s v="Internet &amp; Catalog Retail FMI_NAMR_CDIRETNET - Industry Return -15.00 pct,"/>
        <s v="Comp Peripherals &amp; Office Eq FMI_NAMR_ITCCOMPOFF - Industry Return 6.00 pct,"/>
        <s v="Semiconductors &amp; Equipment FMI_NAMR_ITCSEMICEQ - Industry Return 6.00 pct,"/>
        <s v="Profitability FMI_NAMR_PROFIT - Style Return 106.00 bps"/>
        <s v="Tsy 10Y USD_10yr - Yield -40.00"/>
        <s v="Korea KOSPI Comp KOSPI - Index Level -20.00 pct,"/>
        <s v="Aerospace &amp; Defense FMI_WRLD_INDAIRDEF - Industry Return 1.50 pct,"/>
        <s v="Volatility FMI_WRLD_VOLATILITY - Style Return -250.00 bps,"/>
        <s v="Asia Corp HY USD_ASIA_CORP_HY - Spread Yield 80.00 bps,"/>
        <s v="MSCI EUROPE(EUR) - MSCI World Net TR [MXEU-MSCIWLDNET] - Index Level 5.00 pct,"/>
        <s v="Tsy 10Y - Tsy 2Y [USD_10yr-USD_2yr] - Yield -30.00 bps"/>
        <s v="KRW 10Y KRW_10yr - Yield -20.00 bps,"/>
        <s v="JPY/USD JPY_FX_USD - FX 6.00 pct,"/>
        <s v="KRW/USD KRW_FX_USD - FX -4.00 pct,"/>
        <s v="S&amp;P 500 SPX - Index Level -1.00 pct,"/>
        <s v="Singapore StraitsTms STI - Index Level -5.00 pct,"/>
        <s v="Korea KOSPI Comp KOSPI - Index Level -10.00 pct,"/>
        <s v="Transportation FMI_APXJ_INDTRAN - Industry Return -3.00 pct,"/>
        <s v="Asia Corp HY USD_ASIA_CORP_HY - Spread Yield 40.00 bps"/>
        <s v="GBP 2Y GBP_2yr - Yield -50.00 bps,"/>
        <s v="GBP 10Y GBP_10yr - Yield -75.00 bps,"/>
        <s v="GBP/USD GBP_FX_USD - FX -10.00 pct,"/>
        <s v="GBP INF 2Y GBP_INF_2yr - Yield -50.00 bps,"/>
        <s v="FTSE 100 UKX - Index Level -5.00 pct,"/>
        <s v="MS Emerging Mkts MXEF - Index Level 0.00 pct,"/>
        <s v="EU Credit IG EUR_LEH_CREDIT - Spread Yield 25.00 bps,"/>
        <s v="UK Credit GBP_LEH_CREDIT - Spread Yield 50.00 bps,"/>
        <s v="UK Banking GBP_BANKBROK_IG_V3 - Spread Yield 80.00 bps,"/>
        <s v="Pan Euro RMBS UK Prime EUR_ERMBS_GB_P - Spread Yield 15.00 bps,"/>
        <s v="FTSE All Share - FTSE 100 [UKALL-UKX] - Index Level -1.50 pct"/>
        <s v="Tsy 30Y USD_30yr - Yield 50.00 bps,"/>
        <s v="USD INF 10Y USD_INF_10yr - Yield -40.00 bps,"/>
        <s v="Brent Crude ICE 1 USD_COMD_CO_1 - Price Level 50.00 pct,"/>
        <s v="Natural gas NYME 1 USD_COMD_NG_1 - Price Level 50.00 pct,"/>
        <s v="Coal ICE Rotters 1 USD_COMD_XA_1 - Price Level 30.00 pct,"/>
        <s v="US IG Market USD_IG_MARKET_SF - Spread Yield 15.00 bps,"/>
        <s v="Fuels Refining Storage &amp; Trans FMI_WRLD_EGYINTSTR - Industry Return 10.00 pct,"/>
        <s v="Steel FMI_WRLD_MATSTEEL - Industry Return -20.00 pct,"/>
        <s v="Transportation FMI_WRLD_INDTRAN - Industry Return -10.00 pct,"/>
        <s v="US HY Market USD_HY_MARKET_SF - Spread Yield 60.00 bps,"/>
        <s v="US HY Metals - US HY Market [USD_HY_METALS_SF-USD_HY_MARKET_SF] - Spread Yield 40.00 bps"/>
        <s v="Tsy 2Y USD_2yr - Yield 50.00 bps,"/>
        <s v="Tsy 30Y USD_30yr - Yield 10.00 bps,"/>
        <s v="Brent Crude ICE 1 USD_COMD_CO_1 - Price Level 60.00 pct,"/>
        <s v="US IG Market USD_IG_MARKET_SF - Spread Yield 20.00 bps,"/>
        <s v="EUR INF 2Y EUR_INF_2yr - Yield -50.00 bps,"/>
        <s v="MSCI World Net TR MSCIWLDNET - Index Level -20.00 pct,"/>
        <s v="Transportation FMI_WRLD_INDTRAN - Industry Return -5.00 pct,"/>
        <s v="Dist Net Catalog Multi Retail FMI_WRLD_CDIDISTNET - Industry Return -5.00 pct,"/>
        <s v="EMBIG DxS USD_EM_DS_G - Spread Yield 75.00 bps,"/>
        <s v="US HY Market USD_HY_MARKET_SF - Spread Yield 75.00 bps"/>
        <s v="Brent Crude ICE 1 USD_COMD_CO_1 - Price Level 40.00 pct,"/>
        <s v="BRL/USD BRL_FX_USD - FX 8.50 pct,"/>
        <s v="Energy Equip Oil &amp; Gas Exp FMI_WRLD_EQYEQEXP - Industry Return 15.00 pct,"/>
        <s v="Utilities FMI_WRLD_UTLUTIL - Industry Return -6.00 pct,"/>
        <s v="US HY Oil Field Services USD_HY_OILM - Spread Yield -120.00 bps,"/>
        <s v="US HY Market USD_HY_MARKET - Spread Yield -60.00 bps"/>
        <s v="Brent Crude ICE 1 USD_COMD_CO_1 - Price Level -25.00 pct,"/>
        <s v="BRL/USD BRL_FX_USD - FX -10.00 pct,"/>
        <s v="Russia RTS RTSI - Index Level -15.00 pct,"/>
        <s v="US HY Oil Field Services USD_HY_OILM - Spread Yield 100.00 bps,"/>
        <s v="MSCI World Energy MSENRG_LCL - Index Level -8.00 pct"/>
        <s v="Tsy 10Y USD_10yr - Yield 20.00"/>
        <s v="MXN 10Y MXN_10yr - Yield -40.00 bps,"/>
        <s v="Fuels Refining Storage &amp; Trans FMI_WRLD_EGYINTSTR - Industry Return 5.00 pct,"/>
        <s v="Transportation FMI_WRLD_INDTRAN - Industry Return -3.00 pct,"/>
        <s v="Tsy 2Y USD_2yr - Yield 40.00 bps,"/>
        <s v="Tsy 10Y USD_10yr - Yield 60.00 bps,"/>
        <s v="USD INF 1Y USD_INF_1yr - Yield -100.00 bps,"/>
        <s v="USD INF 5Y USD_INF_5yr - Yield 15.00 bps,"/>
        <s v="MSCI World Net TR MSCIWLDNET - Index Level -7.00 pct,"/>
        <s v="China Corp HY USD_CN_CORP_HY - Spread Yield 100.00 bps,"/>
        <s v="US HY Market USD_HY_MARKET_SF - Spread Yield 8.00 bps,"/>
        <s v="MSCI China MS_CN_LCL - Index Level -16.00 pct,"/>
        <s v="MSCI EUROPE(EUR) - MSCI World Net TR [MXEU-MSCIWLDNET] - Index Level -4.00 pct"/>
        <s v="Tsy 10Y USD_10yr - Yield 0.00 bps,"/>
        <s v="DEM 2Y EUR_2yr - Yield 10.00 bps,"/>
        <s v="DEM 10Y EUR_10yr - Yield 10.00 bps,"/>
        <s v="Transportation FMI_WRLD_INDTRAN - Industry Return 5.00 pct,"/>
        <s v="Leisure Equipment &amp; Products FMI_WRLD_CDILEISEQ - Industry Return 5.00 pct,"/>
        <s v="Diversified Banks FMI_WRLD_FINDIVBANK - Industry Return 8.00 pct,"/>
        <s v="Software &amp; Svcs x Data Proc FMI_WRLD_ITCSOFTXDA - Industry Return -7.00 pct,"/>
        <s v="US HY Transport USD_HY_TRANSPORT_SF - Spread Yield 20.00 bps,"/>
        <s v="US HY Market USD_HY_MARKET_SF - Spread Yield 70.00 bps"/>
        <s v="CMBS MEZZ post09 USD_CMBS_MEZZNEW - Spread Yield -50.00 bps,"/>
        <s v="Energy Equip Oil &amp; Gas Exp FMI_WRLD_EQYEQEXP - Industry Return 6.00 pct,"/>
        <s v="Consumer Services FMI_WRLD_CDICONSVCS - Industry Return 10.00 pct,"/>
        <s v="Computers &amp; Peripherals FMI_WRLD_ITCCOMP - Industry Return -5.00 pct,"/>
        <s v="US HY Market USD_HY_MARKET - Spread Yield -50.00 bps,"/>
        <s v="US HY Midstream &amp; Refining - US HY Market [USD_HY_MDST-USD_HY_MARKET] - Spread Yield -20.00 bps,"/>
        <s v="Transportation - REV [USD_MUNI_TRANS2-USD_MUNI_REV2] - Spread Yield -5.00 bps"/>
        <s v="Dist Net Catalog Multi Retail FMI_WRLD_CDIDISTNET - Industry Return 3.00 pct,"/>
        <s v="Biotechnology &amp; Life Sciences FMI_WRLD_HLCBIOLIFE - Industry Return 6.00 pct,"/>
        <s v="Real Estate Investment Trusts FMI_WRLD_FINREIT - Industry Return -4.00 pct,"/>
        <s v="US HY Midstream &amp; Refining - US HY Market [USD_HY_MDST-USD_HY_MARKET] - Spread Yield 20.00 bps"/>
        <s v="ITL 10Y ITL_10yr - Spread Yield 15.00 bps,"/>
        <s v="Restaurants FMI_NAMR_CDIRESTRNT - Industry Return 6.00 pct,"/>
        <s v="Hotels Restaurants &amp; Leisure FMI_EMEA_CDIHOTREST - Industry Return -5.00 pct,"/>
        <s v="US HY Market USD_HY_MARKET - Spread Yield -20.00 bps,"/>
        <s v="Pan Euro Credit HY - US HY Market [EUR_LEH_HY-USD_HY_MARKET] - Spread Yield 30.00 bps,"/>
        <s v="Airlines - Airlines [FMI_NAMR_INDAIRLINE-FMI_EMEA_INDAIRLINE] - Industry Return 10.00"/>
        <s v="MSCI EUROPE(EUR) - S&amp;P 500 [MXEU-SPX] - Index Level -8.00 pct"/>
        <s v="CNY/USD CNY_FX_USD - FX 5.00 pct,"/>
        <s v="MSCI World Net TR MSCIWLDNET - Index Level 0.00 pct,"/>
        <s v="Emerging FMI_WRLD_EMERGING - Style Return 25.00 bps,"/>
        <s v="EMBIG DxS USD_EM_DS_G - Spread Yield -30.00 bps,"/>
        <s v="China Corp HY USD_CN_CORP_HY - Spread Yield -60.00 bps,"/>
        <s v="MSCI China MS_CN_LCL - Index Level 7.50 pct"/>
        <s v="Tsy 3M USD_3m - Yield -25.00 bps,"/>
        <s v="S&amp;P 500 SPX - Index Level 10.00 pct,"/>
        <s v="Aerospace &amp; Defense FMI_NAMR_INDAIRDEF - Industry Return 5.00 pct,"/>
        <s v="Transportation x Airlines FMI_NAMR_INDTRAXAIR - Industry Return 5.00 pct,"/>
        <s v="US HY Market USD_HY_MARKET - Spread Yield -50.00 bps"/>
        <s v="Tsy 3M USD_3m - Yield -5.00 bps,"/>
        <s v="DXY DXY - Index Level 0.00 pct,"/>
        <s v="S&amp;P 500 SPX - Index Level 2.50 pct,"/>
        <s v="EU Banking IG EUR_BANKBROK_IG_V3 - Spread Yield -15.00 bps,"/>
        <s v="Time ALL_TIME - Time 21.00"/>
        <s v="Tsy 3M USD_3m - Yield 0.00 bps,"/>
        <s v="Tsy 1Y USD_1yr - Yield 0.00 bps,"/>
        <s v="USD INF 3M USD_INF_3m - Yield 450.00 bps,"/>
        <s v="USD INF 1Y USD_INF_1yr - Yield 350.00 bps,"/>
        <s v="Crude Oil NYME 1 USD_COMD_CL_1 - Price Level -60.00 pct,"/>
        <s v="TBA30 ATM v540 USD_TBA_ATM_V540 - Spread Yield -25.00 bps"/>
        <s v="Tsy 2Y USD_2yr - Yield -15.00 bps,"/>
        <s v="OIS 3m USD_OIS_3m - Yield -10.00 bps,"/>
        <s v="MSCI World Consumer Staples MSCOST_LCL - Index Level 7.00 pct,"/>
        <s v="MSCI World Financials MSFNCL_LCL - Index Level -20.00 pct,"/>
        <s v="Tsy 30Y - Tsy 10Y [USD_30yr-USD_10yr] - Yield 0.00 bps"/>
        <s v="Tsy 2Y USD_2yr - Yield 30.00 bps,"/>
        <s v="GSCI GSCIINDX - Price Level 10.00 pct,"/>
        <s v="US Cash Bonds HY USD_LEH_HY3 - Spread Yield -80.00 bps,"/>
        <s v="S&amp;P 500 Cons. Disc. Index - S&amp;P 500 Consumer Staples Index [SPCD-SPCS] - Index Level 5.00 pct,"/>
        <s v="US Cash Bonds HY USD_LEH_HY3 - Spread Yield 40.00 bps,"/>
        <s v="EUR/USD EUR_FX_USD - FX -4.00 pct,"/>
        <s v="Value FMI_NAMR_VALUE - Style Return 70.00 bps,"/>
        <s v="DXY DXY - Index Level -8.00 pct"/>
        <s v="Tsy 10Y USD_10yr - Yield 115.00 bps,"/>
        <s v="MSCI World Net TR MSCIWLDNET - Index Level 32.00 pct"/>
        <s v="MSCI World Net TR MSCIWLDNET - Index Level -32.00 pct"/>
        <s v="Tsy 10Y USD_10yr - Yield -115.00 bps,"/>
        <s v="Russell 3000 Growth - Russell 3000 Value [RAG-RAV] - Index Level -13.00 pct"/>
        <s v="MS Emerging Mkts - MSCI World Net TR [MXEF-MSCIWLDNET] - Index Level -23.00 pct"/>
        <s v="Tsy 10Y - Tsy 2Y [USD_10yr-USD_2yr] - Yield -100.00 bps"/>
        <s v="Gold COMEX 1 USD_COMD_GC_1 - Price Level -19.00 pct"/>
        <s v="Crude Oil NYME 1 USD_COMD_CL_1 - Price Level -76.00 pct"/>
        <s v="Natural gas NYME 1 USD_COMD_NG_1 - Price Level -30.00 pct,"/>
        <s v="DEM 2Y EUR_2yr - Yield 30.00 bps,"/>
        <s v="Russia RTS RTSI - Index Level 5.00 pct,"/>
        <s v="China Shanghai SECmp SHCOMP - Index Level 5.00 pct,"/>
        <s v="DJ Euro Stoxx 600 EURO600 - Index Level 10.00 pct,"/>
        <s v="Pan Euro Credit HY EUR_LEH_HY - Spread Yield -75.00 bps,"/>
        <s v="EUR/USD [EUR_FX_USD-USD_FX_USD] - FX 4.00 pct,"/>
        <s v="RUB/USD [RUB_FX_USD-USD_FX_USD] - FX 8.00 pct"/>
        <s v="Tsy 2Y USD_2yr - Yield -100.00 bps,"/>
        <s v="EUR/USD EUR_FX_USD - FX -8.00 pct,"/>
        <s v="DJ Euro Stoxx 600 EURO600 - Index Level -20.00 pct,"/>
        <s v="EMBIG DxS USD_EM_DS_G - Spread Yield 300.00 bps,"/>
        <s v="Pan Euro Energy HY - Pan Euro Credit HY [EUR_ENERGY_HY_V3_SF-EUR_LEH_HY_SF] - Spread Yield -80.00 bps,"/>
        <s v="GSCI PRECIOUS METALS GSPMSPOT - Price Level 10.00 pct,"/>
        <s v="Natural gas NYME 1 USD_COMD_NG_1 - Price Level 60.00 pct,"/>
        <s v="DEM 2Y EUR_2yr - Yield 40.00 bps,"/>
        <s v="EUR INF 10Y EUR_INF_10yr - Yield -50.00 bps,"/>
        <s v="Russia RTS RTSI - Index Level -55.00 pct,"/>
        <s v="DJ Euro Stoxx 600 EURO600 - Index Level -13.00 pct,"/>
        <s v="EU Credit IG EUR_LEH_CREDIT_SF - Spread Yield 30.00 bps,"/>
        <s v="Diversified Financials FMI_EMEA_FINDIV - Industry Return -4.00 pct,"/>
        <s v="Software &amp; Services FMI_EMEA_ITCSOFTSVC - Industry Return -4.50 pct"/>
        <s v="USD INF 10Y USD_INF_10yr - Yield 200.00 bps,"/>
        <s v="Tsy 5Y USD_5yr - Yield 50.00 bps,"/>
        <s v="Brent Crude ICE 1 USD_COMD_CO_1 - Price Level 130.00 pct,"/>
        <s v="Gold COMEX 1 USD_COMD_GC_1 - Price Level 53.00 pct,"/>
        <s v="US IG Market USD_IG_MARKET_SF - Spread Yield 165.00 bps,"/>
        <s v="EUR/USD EUR_FX_USD - FX 7.00 pct,"/>
        <s v="Metals &amp; Mining Ex Steel FMI_USAM_MATMETXSTL - Industry Return -20.00 pct,"/>
        <s v="Automobiles &amp; Components FMI_USAM_CDIAUTOCMP - Industry Return -15.00 pct,"/>
        <s v="Market FMI_USAM_MARKET - Style Return -4335.00 bps,"/>
        <s v="Size FMI_USAM_SIZE - Style Return 23.00 bps,"/>
        <s v="Momentum FMI_USAM_MOMENTUM - Style Return 498.00 bps,"/>
        <s v="Value FMI_USAM_VALUE - Style Return 539.00 bps,"/>
        <s v="Profitability FMI_USAM_PROFIT - Style Return -293.00 bps"/>
        <s v="Muni Spread 10Y USD_muni_10yr - Other Spread Yield 30.00 bps,"/>
        <s v="US Cash Bonds IG USD_LEH_CREDIT3 - Spread Yield -15.00 bps,"/>
        <s v="US HY Market USD_HY_MARKET - Spread Yield -25.00 bps,"/>
        <s v="SP500 Consum Discr - S&amp;P 500 [S5COND-SPX] - Index Level 3.00 pct"/>
        <s v="Muni Spread 10Y USD_muni_10yr - Other Spread Yield 50.00 bps,"/>
        <s v="US Banking IG USD_BANKBROK_IG3 - Spread Yield -25.00 bps,"/>
        <s v="US Retail IG USD_RETAIL_IG3 - Spread Yield -25.00 bps,"/>
        <s v="Restaurants FMI_NAMR_CDIRESTRNT - Industry Return 7.50 pct,"/>
        <s v="Commercial Banks FMI_NAMR_FINCOMBANK - Industry Return 15.00 pct,"/>
        <s v="Semiconductors &amp; Equipment FMI_NAMR_ITCSEMICEQ - Industry Return -5.00 pct,"/>
        <s v="Utilities FMI_NAMR_UTLUTIL - Industry Return -5.00 pct,"/>
        <s v="MS EAFE - S&amp;P 500 [MXEA-SPX] - Index Level -5.00 pct"/>
        <s v="Muni Spread 10Y USD_muni_10yr - Other Spread Yield -25.00 bps,"/>
        <s v="US Cash Bonds IG USD_LEH_CREDIT3 - Spread Yield 20.00 bps,"/>
        <s v="Value FMI_WRLD_VALUE - Style Return -125.00 bps"/>
        <s v="Growth FMI_NAMR_GROWTH - Style Return -106.00 bps,"/>
        <s v="Brent Crude ICE 1 USD_COMD_CO_1 - Price Level 15.00 pct,"/>
        <s v="Natural gas NYME 1 USD_COMD_NG_1 - Price Level 25.00 pct,"/>
        <s v="RUB/USD RUB_FX_USD - FX -12.50 pct,"/>
        <s v="TRY/USD TRY_FX_USD - FX 0.00 pct,"/>
        <s v="Russia RTS RTSI - Index Level -23.00 pct,"/>
        <s v="EU Credit IG EUR_LEH_CREDIT_SF - Spread Yield 20.00 bps,"/>
        <s v="Integrated Oil &amp; Gas FMI_EMEA_EGYINT - Industry Return -10.00 pct,"/>
        <s v="Diversified Financials FMI_EMEA_FINDIV - Industry Return -3.00 pct,"/>
        <s v="Russia USD_EM_DS_RUSSIA - Spread Yield 60.00 bps,"/>
        <s v="Ukraine USD_EM_DS_UKRAINE - Spread Yield 200.00 bps,"/>
        <s v="CPI 10yr USD_CPI_10yr - Yield -30.00 bps,"/>
        <s v="Natural gas NYME 1 USD_COMD_NG_1 - Price Level 90.00 pct,"/>
        <s v="RUB/USD RUB_FX_USD - FX -25.00 pct,"/>
        <s v="S&amp;P 500 SPX - Index Level -13.00 pct,"/>
        <s v="Russia RTS RTSI - Index Level -40.00 pct,"/>
        <s v="EU Credit IG EUR_LEH_CREDIT_SF - Spread Yield 35.00 bps,"/>
        <s v="Integrated Oil &amp; Gas FMI_EMEA_EGYINT - Industry Return -12.00 pct,"/>
        <s v="Diversified Financials FMI_EMEA_FINDIV - Industry Return -6.00 pct,"/>
        <s v="Semiconductors &amp; Equipment FMI_EMEA_ITCSEMICEQ - Industry Return -10.00 pct,"/>
        <s v="Ukraine USD_EM_DS_UKRAINE - Spread Yield 400.00 bps"/>
        <s v="US Cash Bonds IG USD_LEH_CREDIT3 - Spread Yield 5.00 bps,"/>
        <s v="US Tech IG USD_TECH_IG3 - Spread Yield 10.00 bps,"/>
        <s v="Semiconductors &amp; Equipment FMI_NAMR_ITCSEMICEQ - Industry Return -10.00 pct,"/>
        <s v="Taiwan FMI_APXJ_TWN - Country Return 5.00 pct,"/>
        <s v="Electrical Equipment FMI_APXJ_INDELECEQ - Industry Return -8.00 pct,"/>
        <s v="Communications Equipment FMI_APXJ_ITCCOMMEQ - Industry Return -8.00 pct,"/>
        <s v="Semiconductors FMI_APXJ_ITCSEMICON - Industry Return 10.00 pct"/>
        <s v="MYR 5Y MYR_5yr - Yield 60.00 bps,"/>
        <s v="CHF/USD CHF_FX_USD - FX 3.00 pct,"/>
        <s v="CNY/USD CNY_FX_USD - FX -6.00 pct,"/>
        <s v="Viet Nam FMI_WRLD_VNM - Country Return 3.00 pct,"/>
        <s v="Aerospace &amp; Def Const &amp; Eng FMI_APXJ_INDDEFENG - Industry Return -3.00 pct,"/>
        <s v="MSCI China Index (USD) MSCINDRCHN - Index Level -15.00 pct,"/>
        <s v="MSCI China Index (USD) - S&amp;P 500 [MSCINDRCHN-SPX] - Index Level -5.00 pct"/>
        <s v="US Tech IG USD_TECH_IG3 - Spread Yield 50.00 bps,"/>
        <s v="TWD/USD TWD_FX_USD - FX -5.00 pct,"/>
        <s v="China Offshore FMI_WRLD_CHB - Country Return -12.00 pct,"/>
        <s v="Taiwan FMI_WRLD_TWN - Country Return -15.00 pct,"/>
        <s v="Computers &amp; Peripherals FMI_WRLD_ITCCOMP - Industry Return -4.00 pct,"/>
        <s v="Semiconductors &amp; Equipment FMI_WRLD_ITCSEMICEQ - Industry Return -8.00 pct,"/>
        <s v="China Corp HY USD_CN_CORP_HY - Spread Yield 180.00 bps"/>
        <s v="CPI 10yr USD_CPI_10yr - Yield -3.00 bps,"/>
        <s v="EU Auto IG EUR_AUTO_IG_V3 - Spread Yield 12.00 bps,"/>
        <s v="Automobiles FMI_EMEA_CDIAUTOS - Industry Return -9.00 pct,"/>
        <s v="MSCI EUROPE(EUR) - S&amp;P 500 [MXEU-SPX] - Index Level -5.00 pct"/>
        <s v="Copper LME 1 USD_COMD_LP_1 - Price Level 8.00 pct,"/>
        <s v="Crude Oil NYME 1 USD_COMD_CL_1 - Price Level 5.00 pct,"/>
        <s v="DXY DXY - Index Level -3.00 pct,"/>
        <s v="VIX VIX - Index Level 2.00 pct,"/>
        <s v="Building Products FMI_NAMR_INDBLDPRD - Industry Return 15.00 pct,"/>
        <s v="Automobiles &amp; Components FMI_NAMR_CDIAUTOCMP - Industry Return 2.00 pct,"/>
        <s v="Semiconductors &amp; Equipment FMI_NAMR_ITCSEMICEQ - Industry Return 10.00 pct,"/>
        <s v="Utilities FMI_NAMR_UTLUTIL - Industry Return 8.00 pct,"/>
        <s v="Electrical Equipment FMI_APXJ_INDELECEQ - Industry Return 8.00 pct,"/>
        <s v="MSCI China - S&amp;P 500 [MS_CN_LCL-SPX] - Index Level -3.00 pct,"/>
        <s v="US Energy IG - US Cash Bonds IG [USD_ENERGY_IG3-USD_LEH_CREDIT3] - Spread Yield 20.00 bps,"/>
        <s v="Transportation - REV [USD_MUNI_TRANS2-USD_MUNI_REV2] - Spread Yield -3.00 bps"/>
        <s v="US Cash Bonds IG USD_LEH_CREDIT3 - Spread Yield -2.00 bps,"/>
        <s v="VIX VIX - Index Level -5.00 pct,"/>
        <s v="Building Products FMI_NAMR_INDBLDPRD - Industry Return 12.00 pct,"/>
        <s v="Utilities FMI_NAMR_UTLUTIL - Industry Return 5.00 pct,"/>
        <s v="MSCI China - S&amp;P 500 [MS_CN_LCL-SPX] - Index Level -6.00 pct,"/>
        <s v="US Energy IG - US Cash Bonds IG [USD_ENERGY_IG3-USD_LEH_CREDIT3] - Spread Yield -25.00 bps"/>
        <s v="Tsy 2Y USD_2yr - Yield -2.00 bps,"/>
        <s v="Copper LME 1 USD_COMD_LP_1 - Price Level -6.00 pct,"/>
        <s v="Crude Oil NYME 1 USD_COMD_CL_1 - Price Level 2.00 pct,"/>
        <s v="Gold COMEX 1 USD_COMD_GC_1 - Price Level 1.00 pct,"/>
        <s v="DXY DXY - Index Level -0.25 pct,"/>
        <s v="Construction Materials FMI_NAMR_MATCONSTM - Industry Return -10.00 pct,"/>
        <s v="Building Products FMI_NAMR_INDBLDPRD - Industry Return -5.00 pct,"/>
        <s v="Automobiles &amp; Components FMI_NAMR_CDIAUTOCMP - Industry Return -5.00 pct,"/>
        <s v="MSCI China - S&amp;P 500 [MS_CN_LCL-SPX] - Index Level 5.00 pct,"/>
        <s v="US Energy IG - US Cash Bonds IG [USD_ENERGY_IG3-USD_LEH_CREDIT3] - Spread Yield -8.00 bps"/>
        <s v="Tsy 2Y USD_2yr - Yield 85.00 bps,"/>
        <s v="USD INF 2Y USD_INF_2yr - Yield -65.00 bps,"/>
        <s v="Canada FMI_NAMR_CAN - Country Return -5.00 pct,"/>
        <s v="Electrical Equipment FMI_NAMR_INDELECEQ - Industry Return -8.00 pct,"/>
        <s v="Ind Mach Cong Trade Co &amp; Dist FMI_NAMR_INDCONMACT - Industry Return -7.00 pct,"/>
        <s v="Distrib &amp; Speciality Retail FMI_NAMR_CDIDISTRET - Industry Return -8.00 pct,"/>
        <s v="Canada FMI_WRLD_CAN - Country Return -5.00 pct,"/>
        <s v="China Offshore FMI_WRLD_CHB - Country Return -30.00 pct,"/>
        <s v="China Domestic FMI_WRLD_CHN - Country Return -30.00 pct,"/>
        <s v="Mexico FMI_WRLD_MEX - Country Return -7.00 pct,"/>
        <s v="China Offshore FMI_APXJ_CHB - Country Return -30.00 pct,"/>
        <s v="China Domestic FMI_APXJ_CHN - Country Return -30.00 pct,"/>
        <s v="Mexico FMI_LATC_MEX - Country Return -7.00 pct,"/>
        <s v="Market FMI_CAND_MARKET - Style Return -700.00 bps,"/>
        <s v="China Offshore FMI_EMKT_CHB - Country Return -30.00 pct,"/>
        <s v="China Domestic FMI_EMKT_CHN - Country Return -30.00 pct,"/>
        <s v="Mexico FMI_EMKT_MEX - Country Return -7.00 pct,"/>
        <s v="Market FMI_CHNA_MARKET - Style Return -3000.00 bps,"/>
        <s v="Canada FMI_NAHC_CAN - Country Return -5.00 pct,"/>
        <s v="China Corp HY USD_CN_CORP_HY - Spread Yield 500.00 bps,"/>
        <s v="Mexico USD_EM_CORP_SA_MX - Spread Yield 35.00 bps,"/>
        <s v="S&amp;P 500 - MSCI World xUS [SPX-MSXWOUS] - Index Level 7.00 pct,"/>
        <s v="US Maturity HY 5 - Global HY 5 [USD_CORP_HY_5Y-ALL_GLB_CORP_HY_5Y] - Spread Yield -50.00 bps"/>
        <s v="Pan Euro Credit HY EUR_LEH_HY_SF - Spread Yield 60.00 bps,"/>
        <s v="Ukraine FMI_WRLD_UKR - Country Return -15.00 pct,"/>
        <s v="MSCI China Index (USD) MSCINDRCHN - Index Level 5.00 pct,"/>
        <s v="S&amp;P 500 - MSCI EUROPE(EUR) [SPX-MXEU] - Index Level 5.00 pct"/>
        <s v="Copper CMX 1 USD_COMD_HG_1 - Price Level 2.00 pct,"/>
        <s v="Gold GOLD_SPOT - Price Level -8.00 pct,"/>
        <s v="DEM 10Y EUR_10yr - Yield 7.50 bps,"/>
        <s v="MSCI EUROPE(EUR) MXEU - Index Level 2.00 pct,"/>
        <s v="S&amp;P 500 Financials - SP500 Consum Stapl [S5FINL-S5CONS] - Index Level 8.00 pct,"/>
        <s v="US Banking IG - US Noncyclical IG [USD_BANKBROK_IG3-USD_NONCYCLICAL_IG3] - Spread Yield -10.00 bps,"/>
        <s v="US HY Market - Pan Euro Credit HY [USD_HY_MARKET-EUR_LEH_HY] - Spread Yield -10.00 bps"/>
        <s v="Gold COMEX 1 USD_COMD_GC_1 - Price Level -4.00 pct,"/>
        <s v="MSCI EUROPE(EUR) MXEU - Index Level -4.00 pct,"/>
        <s v="Pan Euro Credit HY EUR_LEH_HY - Spread Yield 25.00 bps,"/>
        <s v="US HY Market USD_HY_MARKET - Spread Yield -30.00 bps,"/>
        <s v="DEM 10Y - Tsy 10Y [EUR_10yr-USD_10yr] - Yield -40.00 bps,"/>
        <s v="MXEU FINANCIALS(EUR) - MSCI EUROPE(EUR) [MXEU0FN-MXEU] - Index Level -5.00 pct,"/>
        <s v="S&amp;P 500 Financials - S&amp;P 500 [S5FINL-SPX] - Index Level 4.00 pct"/>
        <s v="US Cash Bonds IG USD_LEH_CREDIT3 - Spread Yield 7.00 bps,"/>
        <s v="DEM 10Y EUR_10yr - Yield -5.00 bps,"/>
        <s v="Pan Euro Credit HY EUR_LEH_HY - Spread Yield 10.00 bps,"/>
        <s v="S&amp;P 500 Financials - S&amp;P 500 [S5FINL-SPX] - Index Level -10.00 pct,"/>
        <s v="S&amp;P 500 Industrials - S&amp;P 500 [S5INDU-SPX] - Index Level -6.00 pct,"/>
        <s v="US Banking IG - US Noncyclical IG [USD_BANKBROK_IG3-USD_NONCYCLICAL_IG3] - Spread Yield 15.00 bps"/>
        <s v="ITL 10Y ITL_10yr - Spread Yield 50.00 bps,"/>
        <s v="JPY/USD JPY_FX_USD - FX 10.00 pct,"/>
        <s v="VIX VIX - Index Level 7.00 pct,"/>
        <s v="S&amp;P 500 Health Care - S&amp;P 500 [S5HLTH-SPX] - Index Level -7.00 pct,"/>
        <s v="S&amp;P 500 Technology - S&amp;P 500 [S5INFT-SPX] - Index Level -7.00 pct,"/>
        <s v="US HY Auto - US HY Market [USD_HY_AUTO-USD_HY_MARKET] - Spread Yield 25.00 bps,"/>
        <s v="US HY Wirelines - US HY Market [USD_HY_WIRELINES-USD_HY_MARKET] - Spread Yield 25.00 bps"/>
        <s v="MS Emerging Mkts - MSCI World Net TR [MXEF-MSCIWLDNET] - Index Level -4.00 pct,"/>
        <s v="S&amp;P 500 Industrials - S&amp;P 500 Consumer Staples Index [S5INDU-SPCS] - Index Level -5.00 pct,"/>
        <s v="US HY Pharmaceuticals - US HY Market [USD_HY_PHARMA-USD_HY_MARKET] - Spread Yield -50.00 bps"/>
        <m/>
      </sharedItems>
    </cacheField>
    <cacheField name="Factors1" numFmtId="0">
      <sharedItems containsBlank="1"/>
    </cacheField>
    <cacheField name="TITLE" numFmtId="0">
      <sharedItems containsBlank="1"/>
    </cacheField>
    <cacheField name="Factors2" numFmtId="0">
      <sharedItems containsBlank="1"/>
    </cacheField>
    <cacheField name="FACTOR_TAG" numFmtId="0">
      <sharedItems containsBlank="1"/>
    </cacheField>
    <cacheField name="Check" numFmtId="0">
      <sharedItems containsBlank="1"/>
    </cacheField>
    <cacheField name="Mapping 3 livello" numFmtId="0">
      <sharedItems containsBlank="1" count="74">
        <s v="Govt USD"/>
        <s v="Equity Implied Volatility"/>
        <s v="Alternative - Commodity"/>
        <s v="Emerging Currency"/>
        <s v="Industrials"/>
        <s v="Information Technology"/>
        <s v="Corporate HY USD - Industry"/>
        <s v="Materials"/>
        <s v="USD Inflation"/>
        <s v="Govt EUR (Ger)"/>
        <s v="Govt Developed Other (AU, GB, JP, ...)"/>
        <s v="JPY"/>
        <s v="Other - Index"/>
        <s v="EUR"/>
        <s v="GBP"/>
        <s v="Corporate IG Other - Other"/>
        <s v="Time"/>
        <s v="Spread - Municipals"/>
        <s v="Dollar Index"/>
        <s v="Communication Services"/>
        <s v="Health Care"/>
        <s v="Utilities"/>
        <s v="Corporate HY USD - Other"/>
        <s v="Consumer Discretionary"/>
        <s v="-"/>
        <s v="Mortgage Basis"/>
        <s v="Corporate IG USD - Other"/>
        <s v="ABS - Swap Spread"/>
        <s v="Mortgage"/>
        <s v="Spread Emerging Markets - Country"/>
        <s v="Spread Govt ITA"/>
        <s v="Govt Emerging Markets"/>
        <s v="Emerging Markets"/>
        <s v="Other - Spread Yield"/>
        <s v="Consumer Staples"/>
        <s v="Financials"/>
        <s v="Corporate HY Other - Maturity"/>
        <s v="Corporate IG USD - Industry"/>
        <s v="Local Styles"/>
        <s v="Corporate HY EUR - Industry"/>
        <s v="Energy"/>
        <s v="Real Estate"/>
        <s v="Developed Currency"/>
        <s v="Corporate HY USD - Country"/>
        <s v="Corporate HY USD - CDX"/>
        <s v="Corporate IG EUR - Other"/>
        <s v="Value"/>
        <s v="Alternative - Index"/>
        <s v="EUR Inflation"/>
        <s v="Corporate IG USD - Market"/>
        <s v="Spread Govt Peripheral EUR (ex ITA)"/>
        <s v="Commodity"/>
        <s v="Other - Inflation"/>
        <s v="Market"/>
        <s v="Corporate IG Other - Industry"/>
        <s v="Volatility"/>
        <s v="Money Market"/>
        <s v="Spread Yield"/>
        <s v="Corporate IG EUR - Industry"/>
        <s v="Other - KRD"/>
        <s v="Corporate IG EUR - Country"/>
        <s v="Spread Govt Quasi-Core EUR"/>
        <s v="Momentum"/>
        <s v="Rates Implied Volatility"/>
        <s v="Time "/>
        <s v="Corporate HY EUR - Other"/>
        <s v="Corporate IG Other - Maturity"/>
        <s v="Alternative - Hedge Fund"/>
        <s v="Agency / Supranational"/>
        <s v="Mortgage - Moneyness"/>
        <s v="Size"/>
        <s v="North America"/>
        <s v="Corporate HY USD - Maturity"/>
        <m/>
      </sharedItems>
    </cacheField>
    <cacheField name="Factor_type" numFmtId="0">
      <sharedItems containsBlank="1"/>
    </cacheField>
    <cacheField name="Mapping 2 livello" numFmtId="0">
      <sharedItems containsBlank="1" count="17">
        <s v="Curve (Local)"/>
        <s v="Equity Derivatives"/>
        <s v="Alternative"/>
        <s v="FX"/>
        <s v="Industry Allocation"/>
        <s v="Spread"/>
        <s v="Inflation"/>
        <s v="Other"/>
        <s v="Time"/>
        <s v="Index Level"/>
        <s v=""/>
        <s v="Spread Govt"/>
        <s v="Country Allocation"/>
        <s v="Style"/>
        <s v="Spread Yield"/>
        <s v="Rates Implied Volatility"/>
        <m/>
      </sharedItems>
    </cacheField>
    <cacheField name="Mapping 1 Livello" numFmtId="0">
      <sharedItems containsBlank="1" count="7">
        <s v="Term Structure"/>
        <s v="Equity"/>
        <s v="Other"/>
        <s v="FX"/>
        <s v="Spread"/>
        <s v=""/>
        <m/>
      </sharedItems>
    </cacheField>
    <cacheField name="Shock_Value" numFmtId="0">
      <sharedItems containsBlank="1" count="260">
        <s v="-76.00bps"/>
        <s v="-129.00bps"/>
        <s v="-164.00bps"/>
        <s v="-169.00bps"/>
        <s v="-162.00bps"/>
        <s v="-139.00bps"/>
        <s v="17.00pct"/>
        <s v="24.00pct"/>
        <s v="29.00pct"/>
        <s v="38.00pct"/>
        <s v="33.00pct"/>
        <s v="26.00pct"/>
        <s v="8.00pct"/>
        <s v="49.00pct"/>
        <s v="37.00pct"/>
        <s v="32.00pct"/>
        <s v="47.00pct"/>
        <s v="15.00pct"/>
        <s v="2.50pct"/>
        <s v="10.00pct"/>
        <s v="30.00pct"/>
        <s v="50.00bps"/>
        <s v="-15.00pct"/>
        <s v="100.00bps"/>
        <s v="-10.00pct"/>
        <s v="5.00pct"/>
        <s v="-30.00pct"/>
        <s v="25.00pct"/>
        <s v="-35.00pct"/>
        <s v="150.00bps"/>
        <s v="87.00bps"/>
        <s v="-20.00bps"/>
        <s v="94.00bps"/>
        <s v="10.00bps"/>
        <s v="2.00pct"/>
        <s v="-7.00pct"/>
        <s v="-8.00pct"/>
        <s v="-34.14bps"/>
        <s v="30.28bps"/>
        <s v="-11.26bps"/>
        <s v="-10.96bps"/>
        <s v="7.26pct"/>
        <s v="7.94pct"/>
        <s v="2.84pct"/>
        <s v="6.00pct"/>
        <s v="0.00pct"/>
        <s v="4.00pct"/>
        <s v="-25.00bps"/>
        <s v="21.00days"/>
        <s v="1.00pct"/>
        <s v="-10.00bps"/>
        <s v="-2.00pct"/>
        <s v="-4.00pct"/>
        <s v="30.00days"/>
        <s v="20.00bps"/>
        <s v="-6.00pct"/>
        <s v="-1.00pct"/>
        <s v="-5.00pct"/>
        <s v="8.00bps"/>
        <m/>
        <s v="45.00bps"/>
        <s v="-50.00bps"/>
        <s v="7.00pct"/>
        <s v="3.00pct"/>
        <s v="-40.00bps"/>
        <s v="-15.00bps"/>
        <s v="-25.00pct"/>
        <s v="35.00bps"/>
        <s v="-3.00pct"/>
        <s v="-12.00pct"/>
        <s v="65.00bps"/>
        <s v="40.00bps"/>
        <s v="-1.50pct"/>
        <s v="-3.50pct"/>
        <s v="-30.00bps"/>
        <s v="-2.50pct"/>
        <s v="-20.00pct"/>
        <s v="200.00bps"/>
        <s v="-60.00bps"/>
        <s v="-12.50pct"/>
        <s v="30.00bps"/>
        <s v="-100.00bps"/>
        <s v="75.00bps"/>
        <s v="400.00bps"/>
        <s v="80.00bps"/>
        <s v="-35.00bps"/>
        <s v="60.00bps"/>
        <s v="25.00bps"/>
        <s v="3.00bps"/>
        <s v="15.00bps"/>
        <s v="-0.50pct"/>
        <s v="-70.00bps"/>
        <s v="5.00bps"/>
        <s v="0.00bps"/>
        <s v="-200.00bps"/>
        <s v="12.00pct"/>
        <s v="20.00pct"/>
        <s v="6.50pct"/>
        <s v="-16.00pct"/>
        <s v="-6.50pct"/>
        <s v="300.00bps"/>
        <s v="500.00bps"/>
        <s v="9.00pct"/>
        <s v="50.00pct"/>
        <s v="-130.00bps"/>
        <s v="-30.00 bps"/>
        <s v="-10.00 pct"/>
        <s v="6.00 pct"/>
        <s v="50.00 bps"/>
        <s v="100.00 bps"/>
        <s v="2.00 pct"/>
        <s v="-3.50 pct"/>
        <s v="3.00 pct"/>
        <s v="-3.00 pct"/>
        <s v="-8.00 pct"/>
        <s v="21.00 days"/>
        <s v="-4.00 pct"/>
        <s v="-4.50 pct"/>
        <s v="40.00 bps"/>
        <s v="0.00 bps"/>
        <s v="70.00 bps"/>
        <s v="-15.00 pct"/>
        <s v="-5.00 pct"/>
        <s v="-25.00 bps"/>
        <s v="-10.00 bps"/>
        <s v="5.00 pct"/>
        <s v="15.00 pct"/>
        <s v="5.00 bps"/>
        <s v="-6.00 pct"/>
        <s v="-9.00 pct"/>
        <s v="80.00 bps"/>
        <s v="-20bps"/>
        <s v="-20.00 bps"/>
        <s v="1.00 pct"/>
        <s v="10.00 bps"/>
        <s v="25.00 bps"/>
        <s v="45.00 bps"/>
        <s v="-40.00 bps"/>
        <s v="15.00 bps"/>
        <s v="8.00 pct"/>
        <s v="30.00 bps"/>
        <s v="4.00 pct"/>
        <s v="-20.00 pct"/>
        <s v="-35.00 pct"/>
        <s v="62.00 bps"/>
        <s v="20.00 bps"/>
        <s v="9.00 pct"/>
        <s v="-7.00 pct"/>
        <s v="10.00 pct"/>
        <s v="60.00 bps"/>
        <s v="-125.00 bps"/>
        <s v="30.00 days"/>
        <s v="-800.00 bps"/>
        <s v="-300.00 bps"/>
        <s v="-100.00 bps"/>
        <s v="-35.00 bps"/>
        <s v="-12.00 pct"/>
        <s v="65.00 bps"/>
        <s v="250.00 bps"/>
        <s v="0.00 pct"/>
        <s v="-70.00 bps"/>
        <s v="7.00 pct"/>
        <s v="-1.00 pct"/>
        <s v="75.00 bps"/>
        <s v="-15.00 bps"/>
        <s v="1.50 pct"/>
        <s v="12.00 pct"/>
        <s v="28.00 bps"/>
        <s v="90.00 bps"/>
        <s v="35.00 pct"/>
        <s v="22.00 pct"/>
        <s v="-2.50 pct"/>
        <s v="20.00 pct"/>
        <s v="-12.50 pct"/>
        <s v="2.50 pct"/>
        <s v="-5.00 bps"/>
        <s v="-50.00 bps"/>
        <s v="400.00 bps"/>
        <s v="200.00 bps"/>
        <s v="25.00 pct"/>
        <s v="300.00 bps"/>
        <s v="900.00 bps"/>
        <s v="700.00 bps"/>
        <s v="50 bps"/>
        <s v="-30.00 pct"/>
        <s v="175.00 bps"/>
        <s v="16.00 bps"/>
        <s v="24.00 pct"/>
        <s v="150.00 bps"/>
        <s v="40.00 pct"/>
        <s v="44.00 bps"/>
        <s v="-2.00 pct"/>
        <s v="-14.00 pct"/>
        <s v="-60.00 bps"/>
        <s v="30.00 pct"/>
        <s v="35.00 bps"/>
        <s v="-7.50 pct"/>
        <s v="-75.00 bps"/>
        <s v="500.00 bps"/>
        <s v="-23.00 pct"/>
        <s v="-25.00 pct"/>
        <s v="350.00 bps"/>
        <s v="130.00 bps"/>
        <s v="120.00 bps"/>
        <s v="37.50 bps"/>
        <s v="-12.00 bps"/>
        <s v="55.00 bps"/>
        <s v="-130.00 bps"/>
        <s v="-8.00 bps"/>
        <s v="-18.00 pct"/>
        <s v="7.50 pct"/>
        <s v="-120.00 bps"/>
        <s v="100.00 pct"/>
        <s v="-17.00 pct"/>
        <s v="-28.00 pct"/>
        <s v="16.50 pct"/>
        <s v="26.5 rel %"/>
        <s v="-9.50 pct"/>
        <s v="23.00 rel %"/>
        <s v="7.00 bps"/>
        <s v="-65.00 bps"/>
        <s v="85.00 bps"/>
        <s v="12.00 bps"/>
        <s v="106.00 bps"/>
        <s v="-250.00 bps"/>
        <s v="-1.50 pct"/>
        <s v="50.00 pct"/>
        <s v="60.00 pct"/>
        <s v="8.50 pct"/>
        <s v="8.00 bps"/>
        <s v="-16.00 pct"/>
        <s v="450.00 bps"/>
        <s v="-60.00 pct"/>
        <s v="-80.00 bps"/>
        <s v="115.00 bps"/>
        <s v="32.00 pct"/>
        <s v="-32.00 pct"/>
        <s v="-115.00 bps"/>
        <s v="-13.00 pct"/>
        <s v="-19.00 pct"/>
        <s v="-76.00 pct"/>
        <s v="-55.00 pct"/>
        <s v="130.00 pct"/>
        <s v="53.00 pct"/>
        <s v="165.00 bps"/>
        <s v="-4335.00 bps"/>
        <s v="23.00 bps"/>
        <s v="498.00 bps"/>
        <s v="539.00 bps"/>
        <s v="-293.00 bps"/>
        <s v="-106.00 bps"/>
        <s v="90.00 pct"/>
        <s v="-40.00 pct"/>
        <s v="180.00 bps"/>
        <s v="-3.00 bps"/>
        <s v="-2.00 bps"/>
        <s v="-0.25 pct"/>
        <s v="-700.00 bps"/>
        <s v="-3000.00 bps"/>
        <s v="7.50 bp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94">
  <r>
    <x v="0"/>
    <s v="Mid-cycle adjustment Mar 1995-Dec 1995                      "/>
    <n v="2302"/>
    <s v="Scenario to capture the mid-cycle adjustment of the 1995, based on historical factor returns during the period Mar1995 to Dec1995."/>
    <x v="0"/>
    <s v="Tsy 3M"/>
    <s v="Govt USD"/>
    <s v="USD_3m"/>
    <s v="Govt USD"/>
    <s v="OK"/>
    <x v="0"/>
    <s v="Yield"/>
    <x v="0"/>
    <x v="0"/>
    <x v="0"/>
  </r>
  <r>
    <x v="0"/>
    <s v="Mid-cycle adjustment Mar 1995-Dec 1995                      "/>
    <n v="2302"/>
    <s v="Scenario to capture the mid-cycle adjustment of the 1995, based on historical factor returns during the period Mar1995 to Dec1995."/>
    <x v="1"/>
    <s v="Tsy 1Y"/>
    <s v="Govt USD"/>
    <s v="USD_1yr"/>
    <s v="Govt USD"/>
    <s v="OK"/>
    <x v="0"/>
    <s v="Yield"/>
    <x v="0"/>
    <x v="0"/>
    <x v="1"/>
  </r>
  <r>
    <x v="0"/>
    <s v="Mid-cycle adjustment Mar 1995-Dec 1995                      "/>
    <n v="2302"/>
    <s v="Scenario to capture the mid-cycle adjustment of the 1995, based on historical factor returns during the period Mar1995 to Dec1995."/>
    <x v="2"/>
    <s v="Tsy 2Y"/>
    <s v="Govt USD"/>
    <s v="USD_2yr"/>
    <s v="Govt USD"/>
    <s v="OK"/>
    <x v="0"/>
    <s v="Yield"/>
    <x v="0"/>
    <x v="0"/>
    <x v="2"/>
  </r>
  <r>
    <x v="0"/>
    <s v="Mid-cycle adjustment Mar 1995-Dec 1995                      "/>
    <n v="2302"/>
    <s v="Scenario to capture the mid-cycle adjustment of the 1995, based on historical factor returns during the period Mar1995 to Dec1995."/>
    <x v="3"/>
    <s v="Tsy 5Y"/>
    <s v="Govt USD"/>
    <s v="USD_5yr"/>
    <s v="Govt USD"/>
    <s v="OK"/>
    <x v="0"/>
    <s v="Yield"/>
    <x v="0"/>
    <x v="0"/>
    <x v="3"/>
  </r>
  <r>
    <x v="0"/>
    <s v="Mid-cycle adjustment Mar 1995-Dec 1995                      "/>
    <n v="2302"/>
    <s v="Scenario to capture the mid-cycle adjustment of the 1995, based on historical factor returns during the period Mar1995 to Dec1995."/>
    <x v="4"/>
    <s v="Tsy 10Y"/>
    <s v="Govt USD"/>
    <s v="USD_10yr"/>
    <s v="Govt USD"/>
    <s v="OK"/>
    <x v="0"/>
    <s v="Yield"/>
    <x v="0"/>
    <x v="0"/>
    <x v="4"/>
  </r>
  <r>
    <x v="0"/>
    <s v="Mid-cycle adjustment Mar 1995-Dec 1995                      "/>
    <n v="2302"/>
    <s v="Scenario to capture the mid-cycle adjustment of the 1995, based on historical factor returns during the period Mar1995 to Dec1995."/>
    <x v="5"/>
    <s v="Tsy 30Y"/>
    <s v="Govt USD"/>
    <s v="USD_30yr"/>
    <s v="Govt USD"/>
    <s v="OK"/>
    <x v="0"/>
    <s v="Yield"/>
    <x v="0"/>
    <x v="0"/>
    <x v="5"/>
  </r>
  <r>
    <x v="0"/>
    <s v="Mid-cycle adjustment Mar 1995-Dec 1995                      "/>
    <n v="2302"/>
    <s v="Scenario to capture the mid-cycle adjustment of the 1995, based on historical factor returns during the period Mar1995 to Dec1995."/>
    <x v="6"/>
    <s v="SP500 Consum Discr"/>
    <s v="Equity Implied Volatility"/>
    <s v="S5COND"/>
    <s v="Equity Implied Volatility"/>
    <s v="OK"/>
    <x v="1"/>
    <s v="Index Level"/>
    <x v="1"/>
    <x v="1"/>
    <x v="6"/>
  </r>
  <r>
    <x v="0"/>
    <s v="Mid-cycle adjustment Mar 1995-Dec 1995                      "/>
    <n v="2302"/>
    <s v="Scenario to capture the mid-cycle adjustment of the 1995, based on historical factor returns during the period Mar1995 to Dec1995."/>
    <x v="7"/>
    <s v="SP500 Consum Stapl"/>
    <s v="Equity Implied Volatility"/>
    <s v="S5CONS"/>
    <s v="Equity Implied Volatility"/>
    <s v="OK"/>
    <x v="1"/>
    <s v="Index Level"/>
    <x v="1"/>
    <x v="1"/>
    <x v="7"/>
  </r>
  <r>
    <x v="0"/>
    <s v="Mid-cycle adjustment Mar 1995-Dec 1995                      "/>
    <n v="2302"/>
    <s v="Scenario to capture the mid-cycle adjustment of the 1995, based on historical factor returns during the period Mar1995 to Dec1995."/>
    <x v="8"/>
    <s v="S&amp;P 500 Energy"/>
    <s v="Equity Implied Volatility"/>
    <s v="S5ENRS"/>
    <s v="Equity Implied Volatility"/>
    <s v="OK"/>
    <x v="1"/>
    <s v="Index Level"/>
    <x v="1"/>
    <x v="1"/>
    <x v="8"/>
  </r>
  <r>
    <x v="0"/>
    <s v="Mid-cycle adjustment Mar 1995-Dec 1995                      "/>
    <n v="2302"/>
    <s v="Scenario to capture the mid-cycle adjustment of the 1995, based on historical factor returns during the period Mar1995 to Dec1995."/>
    <x v="9"/>
    <s v="S&amp;P 500 Financials"/>
    <s v="Equity Implied Volatility"/>
    <s v="S5FINL"/>
    <s v="Equity Implied Volatility"/>
    <s v="OK"/>
    <x v="1"/>
    <s v="Index Level"/>
    <x v="1"/>
    <x v="1"/>
    <x v="9"/>
  </r>
  <r>
    <x v="0"/>
    <s v="Mid-cycle adjustment Mar 1995-Dec 1995                      "/>
    <n v="2302"/>
    <s v="Scenario to capture the mid-cycle adjustment of the 1995, based on historical factor returns during the period Mar1995 to Dec1995."/>
    <x v="10"/>
    <s v="S&amp;P 500 Health Care"/>
    <s v="Equity Implied Volatility"/>
    <s v="S5HLTH"/>
    <s v="Equity Implied Volatility"/>
    <s v="OK"/>
    <x v="1"/>
    <s v="Index Level"/>
    <x v="1"/>
    <x v="1"/>
    <x v="10"/>
  </r>
  <r>
    <x v="0"/>
    <s v="Mid-cycle adjustment Mar 1995-Dec 1995                      "/>
    <n v="2302"/>
    <s v="Scenario to capture the mid-cycle adjustment of the 1995, based on historical factor returns during the period Mar1995 to Dec1995."/>
    <x v="11"/>
    <s v="S&amp;P 500 Industrials"/>
    <s v="Equity Implied Volatility"/>
    <s v="S5INDU"/>
    <s v="Equity Implied Volatility"/>
    <s v="OK"/>
    <x v="1"/>
    <s v="Index Level"/>
    <x v="1"/>
    <x v="1"/>
    <x v="11"/>
  </r>
  <r>
    <x v="0"/>
    <s v="Mid-cycle adjustment Mar 1995-Dec 1995                      "/>
    <n v="2302"/>
    <s v="Scenario to capture the mid-cycle adjustment of the 1995, based on historical factor returns during the period Mar1995 to Dec1995."/>
    <x v="12"/>
    <s v="S&amp;P 500 Materials"/>
    <s v="Equity Implied Volatility"/>
    <s v="S5MATR"/>
    <s v="Equity Implied Volatility"/>
    <s v="OK"/>
    <x v="1"/>
    <s v="Index Level"/>
    <x v="1"/>
    <x v="1"/>
    <x v="12"/>
  </r>
  <r>
    <x v="0"/>
    <s v="Mid-cycle adjustment Mar 1995-Dec 1995                      "/>
    <n v="2302"/>
    <s v="Scenario to capture the mid-cycle adjustment of the 1995, based on historical factor returns during the period Mar1995 to Dec1995."/>
    <x v="13"/>
    <s v="S&amp;P 500 Technology"/>
    <s v="Equity Implied Volatility"/>
    <s v="S5INFT"/>
    <s v="Equity Implied Volatility"/>
    <s v="OK"/>
    <x v="1"/>
    <s v="Index Level"/>
    <x v="1"/>
    <x v="1"/>
    <x v="8"/>
  </r>
  <r>
    <x v="0"/>
    <s v="Mid-cycle adjustment Mar 1995-Dec 1995                      "/>
    <n v="2302"/>
    <s v="Scenario to capture the mid-cycle adjustment of the 1995, based on historical factor returns during the period Mar1995 to Dec1995."/>
    <x v="14"/>
    <s v="SP500 Communications"/>
    <s v="Equity Implied Volatility"/>
    <s v="S5TELS"/>
    <s v="Equity Implied Volatility"/>
    <s v="OK"/>
    <x v="1"/>
    <s v="Index Level"/>
    <x v="1"/>
    <x v="1"/>
    <x v="13"/>
  </r>
  <r>
    <x v="0"/>
    <s v="Mid-cycle adjustment Mar 1995-Dec 1995                      "/>
    <n v="2302"/>
    <s v="Scenario to capture the mid-cycle adjustment of the 1995, based on historical factor returns during the period Mar1995 to Dec1995."/>
    <x v="15"/>
    <s v="S&amp;P 500 Utilities"/>
    <s v="Equity Implied Volatility"/>
    <s v="S5UTIL"/>
    <s v="Equity Implied Volatility"/>
    <s v="OK"/>
    <x v="1"/>
    <s v="Index Level"/>
    <x v="1"/>
    <x v="1"/>
    <x v="14"/>
  </r>
  <r>
    <x v="0"/>
    <s v="Mid-cycle adjustment Mar 1995-Dec 1995                      "/>
    <n v="2302"/>
    <s v="Scenario to capture the mid-cycle adjustment of the 1995, based on historical factor returns during the period Mar1995 to Dec1995."/>
    <x v="16"/>
    <s v="SP Mid Cap"/>
    <e v="#N/A"/>
    <s v="MID"/>
    <s v="Equity Implied Volatility"/>
    <s v="OK"/>
    <x v="1"/>
    <s v="Index Level"/>
    <x v="1"/>
    <x v="1"/>
    <x v="15"/>
  </r>
  <r>
    <x v="0"/>
    <s v="Mid-cycle adjustment Mar 1995-Dec 1995                      "/>
    <n v="2302"/>
    <s v="Scenario to capture the mid-cycle adjustment of the 1995, based on historical factor returns during the period Mar1995 to Dec1995."/>
    <x v="17"/>
    <s v="SP Small Cap"/>
    <e v="#N/A"/>
    <s v="SML"/>
    <s v="Equity Implied Volatility"/>
    <s v="OK"/>
    <x v="1"/>
    <s v="Index Level"/>
    <x v="1"/>
    <x v="1"/>
    <x v="16"/>
  </r>
  <r>
    <x v="1"/>
    <s v="U.S. Global AI Diffusion: Evasion &amp; Diversion (06/2025)     "/>
    <n v="2109"/>
    <s v="Increased technology flow to allies under the replacement framework enables China and other adversaries to successfully acquire advanced US AI chips through evasion."/>
    <x v="18"/>
    <s v="GSCI PRECIOUS METALS"/>
    <s v="Alternative - Commodity"/>
    <s v="GSPMSPOT"/>
    <s v="Alternative - Commodity"/>
    <s v="OK"/>
    <x v="2"/>
    <s v="Price Level"/>
    <x v="2"/>
    <x v="2"/>
    <x v="17"/>
  </r>
  <r>
    <x v="1"/>
    <s v="U.S. Global AI Diffusion: Evasion &amp; Diversion (06/2025)     "/>
    <n v="2109"/>
    <s v="Increased technology flow to allies under the replacement framework enables China and other adversaries to successfully acquire advanced US AI chips through evasion."/>
    <x v="19"/>
    <s v="CNYUSD"/>
    <e v="#N/A"/>
    <s v="CNY_FX_USD"/>
    <s v="Emerging Currency"/>
    <s v="OK"/>
    <x v="3"/>
    <s v="FX"/>
    <x v="3"/>
    <x v="3"/>
    <x v="18"/>
  </r>
  <r>
    <x v="1"/>
    <s v="U.S. Global AI Diffusion: Evasion &amp; Diversion (06/2025)     "/>
    <n v="2109"/>
    <s v="Increased technology flow to allies under the replacement framework enables China and other adversaries to successfully acquire advanced US AI chips through evasion."/>
    <x v="20"/>
    <s v="Electrical Equipment"/>
    <s v="Industrials"/>
    <s v="Equipment"/>
    <e v="#N/A"/>
    <s v="OK"/>
    <x v="4"/>
    <s v="Industry Return"/>
    <x v="4"/>
    <x v="1"/>
    <x v="19"/>
  </r>
  <r>
    <x v="1"/>
    <s v="U.S. Global AI Diffusion: Evasion &amp; Diversion (06/2025)     "/>
    <n v="2109"/>
    <s v="Increased technology flow to allies under the replacement framework enables China and other adversaries to successfully acquire advanced US AI chips through evasion."/>
    <x v="21"/>
    <s v="Semiconductors &amp; Equipment"/>
    <s v="Information Technology"/>
    <m/>
    <e v="#N/A"/>
    <s v="OK"/>
    <x v="5"/>
    <s v="Industry Return"/>
    <x v="4"/>
    <x v="1"/>
    <x v="20"/>
  </r>
  <r>
    <x v="1"/>
    <s v="U.S. Global AI Diffusion: Evasion &amp; Diversion (06/2025)     "/>
    <n v="2109"/>
    <s v="Increased technology flow to allies under the replacement framework enables China and other adversaries to successfully acquire advanced US AI chips through evasion."/>
    <x v="22"/>
    <s v="US HY Other Technology"/>
    <s v="Corporate HY USD - Industry"/>
    <s v="Technology"/>
    <e v="#N/A"/>
    <s v="OK"/>
    <x v="6"/>
    <s v="Spread Yield"/>
    <x v="5"/>
    <x v="4"/>
    <x v="21"/>
  </r>
  <r>
    <x v="2"/>
    <s v="U.S. Global AI Diffusion: China Retaliation (06/2025)       "/>
    <n v="2108"/>
    <s v="In response to the US export restrictions under the replacement framework, China?s retaliatory response involves imposing rare earth export limits to hinder U.S. chip manufacturing."/>
    <x v="23"/>
    <s v="GSCI PRECIOUS METALS"/>
    <s v="Alternative - Commodity"/>
    <s v="GSPMSPOT"/>
    <s v="Alternative - Commodity"/>
    <s v="OK"/>
    <x v="2"/>
    <s v="Price Level"/>
    <x v="2"/>
    <x v="2"/>
    <x v="17"/>
  </r>
  <r>
    <x v="2"/>
    <s v="U.S. Global AI Diffusion: China Retaliation (06/2025)       "/>
    <n v="2108"/>
    <s v="In response to the US export restrictions under the replacement framework, China?s retaliatory response involves imposing rare earth export limits to hinder U.S. chip manufacturing."/>
    <x v="24"/>
    <s v="Alum Div Metals &amp; Mining"/>
    <e v="#N/A"/>
    <s v="FMI_NAMR_MATALUDIV"/>
    <e v="#N/A"/>
    <s v="BOTH #N/A"/>
    <x v="7"/>
    <s v="Materials"/>
    <x v="4"/>
    <x v="1"/>
    <x v="19"/>
  </r>
  <r>
    <x v="2"/>
    <s v="U.S. Global AI Diffusion: China Retaliation (06/2025)       "/>
    <n v="2108"/>
    <s v="In response to the US export restrictions under the replacement framework, China?s retaliatory response involves imposing rare earth export limits to hinder U.S. chip manufacturing."/>
    <x v="25"/>
    <s v="Electrical Equipment"/>
    <s v="Industrials"/>
    <s v="FMI_NAMR_INDELECEQ"/>
    <e v="#N/A"/>
    <s v="OK"/>
    <x v="4"/>
    <s v="Industry Return"/>
    <x v="4"/>
    <x v="1"/>
    <x v="22"/>
  </r>
  <r>
    <x v="2"/>
    <s v="U.S. Global AI Diffusion: China Retaliation (06/2025)       "/>
    <n v="2108"/>
    <s v="In response to the US export restrictions under the replacement framework, China?s retaliatory response involves imposing rare earth export limits to hinder U.S. chip manufacturing."/>
    <x v="26"/>
    <s v="Software &amp; Internet Services"/>
    <e v="#N/A"/>
    <s v="FMI_CHNA_ITCSOFTNET"/>
    <e v="#N/A"/>
    <s v="BOTH #N/A"/>
    <x v="5"/>
    <s v="Information Technology"/>
    <x v="4"/>
    <x v="1"/>
    <x v="19"/>
  </r>
  <r>
    <x v="2"/>
    <s v="U.S. Global AI Diffusion: China Retaliation (06/2025)       "/>
    <n v="2108"/>
    <s v="In response to the US export restrictions under the replacement framework, China?s retaliatory response involves imposing rare earth export limits to hinder U.S. chip manufacturing."/>
    <x v="27"/>
    <s v="US HY Tech Hardware"/>
    <s v="Corporate HY USD - Industry"/>
    <s v="Hardware"/>
    <e v="#N/A"/>
    <s v="OK"/>
    <x v="6"/>
    <s v="Spread Yield"/>
    <x v="5"/>
    <x v="4"/>
    <x v="23"/>
  </r>
  <r>
    <x v="3"/>
    <s v="U.S. Global AI Diffusion: China Blockade on Taiwan (06/2025)"/>
    <n v="2107"/>
    <s v="As an ultimatum to the AI war, China imposes a blockade of Taiwan, forcing it to stop chip exports to the US, causing the largest major supply chain disruption the US semiconductor industry has ever experienced."/>
    <x v="28"/>
    <s v="Tsy 5Y"/>
    <s v="Govt USD"/>
    <s v="USD_5yr"/>
    <s v="Govt USD"/>
    <s v="OK"/>
    <x v="0"/>
    <s v="Yield"/>
    <x v="0"/>
    <x v="0"/>
    <x v="23"/>
  </r>
  <r>
    <x v="3"/>
    <s v="U.S. Global AI Diffusion: China Blockade on Taiwan (06/2025)"/>
    <n v="2107"/>
    <s v="As an ultimatum to the AI war, China imposes a blockade of Taiwan, forcing it to stop chip exports to the US, causing the largest major supply chain disruption the US semiconductor industry has ever experienced."/>
    <x v="29"/>
    <s v="GSCI PRECIOUS METALS"/>
    <s v="Alternative - Commodity"/>
    <s v="GSPMSPOT"/>
    <s v="Alternative - Commodity"/>
    <s v="OK"/>
    <x v="2"/>
    <s v="Price Level"/>
    <x v="2"/>
    <x v="2"/>
    <x v="24"/>
  </r>
  <r>
    <x v="3"/>
    <s v="U.S. Global AI Diffusion: China Blockade on Taiwan (06/2025)"/>
    <n v="2107"/>
    <s v="As an ultimatum to the AI war, China imposes a blockade of Taiwan, forcing it to stop chip exports to the US, causing the largest major supply chain disruption the US semiconductor industry has ever experienced."/>
    <x v="30"/>
    <s v="CNYUSD"/>
    <e v="#N/A"/>
    <s v="CNY_FX_USD"/>
    <s v="Emerging Currency"/>
    <s v="OK"/>
    <x v="3"/>
    <s v="FX"/>
    <x v="3"/>
    <x v="3"/>
    <x v="25"/>
  </r>
  <r>
    <x v="3"/>
    <s v="U.S. Global AI Diffusion: China Blockade on Taiwan (06/2025)"/>
    <n v="2107"/>
    <s v="As an ultimatum to the AI war, China imposes a blockade of Taiwan, forcing it to stop chip exports to the US, causing the largest major supply chain disruption the US semiconductor industry has ever experienced."/>
    <x v="31"/>
    <s v="Taiwan TWSE"/>
    <s v="Equity Implied Volatility"/>
    <s v="TWSE"/>
    <s v="Equity Implied Volatility"/>
    <s v="OK"/>
    <x v="1"/>
    <s v="Index Level"/>
    <x v="1"/>
    <x v="1"/>
    <x v="26"/>
  </r>
  <r>
    <x v="3"/>
    <s v="U.S. Global AI Diffusion: China Blockade on Taiwan (06/2025)"/>
    <n v="2107"/>
    <s v="As an ultimatum to the AI war, China imposes a blockade of Taiwan, forcing it to stop chip exports to the US, causing the largest major supply chain disruption the US semiconductor industry has ever experienced."/>
    <x v="32"/>
    <s v="Aerospace &amp; Defense"/>
    <s v="Industrials"/>
    <s v="FMI_NAMR_INDAIRDEF"/>
    <e v="#N/A"/>
    <s v="OK"/>
    <x v="4"/>
    <s v="Industry Return"/>
    <x v="4"/>
    <x v="1"/>
    <x v="27"/>
  </r>
  <r>
    <x v="3"/>
    <s v="U.S. Global AI Diffusion: China Blockade on Taiwan (06/2025)"/>
    <n v="2107"/>
    <s v="As an ultimatum to the AI war, China imposes a blockade of Taiwan, forcing it to stop chip exports to the US, causing the largest major supply chain disruption the US semiconductor industry has ever experienced."/>
    <x v="33"/>
    <s v="Semiconductors &amp; Equipment"/>
    <s v="Information Technology"/>
    <s v="FMI_NAMR_ITCSEMICEQ"/>
    <e v="#N/A"/>
    <s v="OK"/>
    <x v="5"/>
    <s v="Industry Return"/>
    <x v="4"/>
    <x v="1"/>
    <x v="28"/>
  </r>
  <r>
    <x v="3"/>
    <s v="U.S. Global AI Diffusion: China Blockade on Taiwan (06/2025)"/>
    <n v="2107"/>
    <s v="As an ultimatum to the AI war, China imposes a blockade of Taiwan, forcing it to stop chip exports to the US, causing the largest major supply chain disruption the US semiconductor industry has ever experienced."/>
    <x v="34"/>
    <s v="US HY Tech Hardware"/>
    <s v="Corporate HY USD - Industry"/>
    <s v="Hardware"/>
    <e v="#N/A"/>
    <s v="OK"/>
    <x v="6"/>
    <s v="Spread Yield"/>
    <x v="5"/>
    <x v="4"/>
    <x v="29"/>
  </r>
  <r>
    <x v="4"/>
    <s v="Global Monetary Policy - All Hike/Hold Steady               "/>
    <n v="2101"/>
    <s v="All Hike / Hold Steady Monetary Policy Scenario- FED hikes and ECB keeps rates steady as inflation measures reaccelerates in both regions. BoJ hikes ahead of schedule."/>
    <x v="35"/>
    <s v="Tsy 1Y"/>
    <s v="Govt USD"/>
    <s v="USD_1yr"/>
    <s v="Govt USD"/>
    <s v="OK"/>
    <x v="0"/>
    <s v="Yield"/>
    <x v="0"/>
    <x v="0"/>
    <x v="30"/>
  </r>
  <r>
    <x v="4"/>
    <s v="Global Monetary Policy - All Hike/Hold Steady               "/>
    <n v="2101"/>
    <s v="All Hike / Hold Steady Monetary Policy Scenario- FED hikes and ECB keeps rates steady as inflation measures reaccelerates in both regions. BoJ hikes ahead of schedule."/>
    <x v="36"/>
    <s v="CPI 1yr"/>
    <s v="USD Inflation"/>
    <s v="USD_CPI_1yr"/>
    <s v="USD Inflation"/>
    <s v="OK"/>
    <x v="8"/>
    <s v="Yield"/>
    <x v="6"/>
    <x v="2"/>
    <x v="31"/>
  </r>
  <r>
    <x v="4"/>
    <s v="Global Monetary Policy - All Hike/Hold Steady               "/>
    <n v="2101"/>
    <s v="All Hike / Hold Steady Monetary Policy Scenario- FED hikes and ECB keeps rates steady as inflation measures reaccelerates in both regions. BoJ hikes ahead of schedule."/>
    <x v="37"/>
    <s v="DEM 1Y"/>
    <s v="Govt EUR (Ger)"/>
    <s v="EUR_1yr"/>
    <s v="Govt EUR (Ger)"/>
    <s v="OK"/>
    <x v="9"/>
    <s v="Yield"/>
    <x v="0"/>
    <x v="0"/>
    <x v="32"/>
  </r>
  <r>
    <x v="4"/>
    <s v="Global Monetary Policy - All Hike/Hold Steady               "/>
    <n v="2101"/>
    <s v="All Hike / Hold Steady Monetary Policy Scenario- FED hikes and ECB keeps rates steady as inflation measures reaccelerates in both regions. BoJ hikes ahead of schedule."/>
    <x v="38"/>
    <s v="JPY 1Y"/>
    <s v="Govt Developed Other (AU, GB, JP, ...)"/>
    <s v="JPY_1yr"/>
    <s v="Govt Developed Other (AU, GB, JP, ...)"/>
    <s v="OK"/>
    <x v="10"/>
    <s v="Yield"/>
    <x v="0"/>
    <x v="0"/>
    <x v="33"/>
  </r>
  <r>
    <x v="4"/>
    <s v="Global Monetary Policy - All Hike/Hold Steady               "/>
    <n v="2101"/>
    <s v="All Hike / Hold Steady Monetary Policy Scenario- FED hikes and ECB keeps rates steady as inflation measures reaccelerates in both regions. BoJ hikes ahead of schedule."/>
    <x v="39"/>
    <s v="JPY/USD"/>
    <s v="JPY"/>
    <s v="JPY_FX_USD"/>
    <s v="JPY"/>
    <s v="OK"/>
    <x v="11"/>
    <s v="FX"/>
    <x v="3"/>
    <x v="3"/>
    <x v="34"/>
  </r>
  <r>
    <x v="4"/>
    <s v="Global Monetary Policy - All Hike/Hold Steady               "/>
    <n v="2101"/>
    <s v="All Hike / Hold Steady Monetary Policy Scenario- FED hikes and ECB keeps rates steady as inflation measures reaccelerates in both regions. BoJ hikes ahead of schedule."/>
    <x v="40"/>
    <s v="S&amp;P 500"/>
    <s v="Equity Implied Volatility"/>
    <s v="SPX"/>
    <s v="Equity Implied Volatility"/>
    <s v="OK"/>
    <x v="1"/>
    <s v="Index Level"/>
    <x v="1"/>
    <x v="1"/>
    <x v="35"/>
  </r>
  <r>
    <x v="4"/>
    <s v="Global Monetary Policy - All Hike/Hold Steady               "/>
    <n v="2101"/>
    <s v="All Hike / Hold Steady Monetary Policy Scenario- FED hikes and ECB keeps rates steady as inflation measures reaccelerates in both regions. BoJ hikes ahead of schedule."/>
    <x v="41"/>
    <s v="MSCI EUROPE(EUR)"/>
    <s v="Equity Implied Volatility"/>
    <s v="MXEU"/>
    <s v="Equity Implied Volatility"/>
    <s v="OK"/>
    <x v="1"/>
    <s v="Index Level"/>
    <x v="1"/>
    <x v="1"/>
    <x v="36"/>
  </r>
  <r>
    <x v="5"/>
    <s v="Global Monetary Policy - Reversal of April 2024 x2          "/>
    <n v="2103"/>
    <s v="Reversal of April 2024 x 2 Monetary Policy Scenario- A reversal of market movements over April 2024, magnified by 2x"/>
    <x v="42"/>
    <s v="Tsy 1Y"/>
    <s v="Govt USD"/>
    <s v="USD_1yr"/>
    <s v="Govt USD"/>
    <s v="OK"/>
    <x v="0"/>
    <s v="Yield"/>
    <x v="0"/>
    <x v="0"/>
    <x v="37"/>
  </r>
  <r>
    <x v="5"/>
    <s v="Global Monetary Policy - Reversal of April 2024 x2          "/>
    <n v="2103"/>
    <s v="Reversal of April 2024 x 2 Monetary Policy Scenario- A reversal of market movements over April 2024, magnified by 2x"/>
    <x v="43"/>
    <s v="CPI 1yr"/>
    <s v="USD Inflation"/>
    <s v="USD_CPI_1yr"/>
    <s v="USD Inflation"/>
    <s v="OK"/>
    <x v="8"/>
    <s v="Yield"/>
    <x v="6"/>
    <x v="2"/>
    <x v="38"/>
  </r>
  <r>
    <x v="5"/>
    <s v="Global Monetary Policy - Reversal of April 2024 x2          "/>
    <n v="2103"/>
    <s v="Reversal of April 2024 x 2 Monetary Policy Scenario- A reversal of market movements over April 2024, magnified by 2x"/>
    <x v="44"/>
    <s v="DEM 1Y"/>
    <s v="Govt EUR (Ger)"/>
    <s v="EUR_1yr"/>
    <s v="Govt EUR (Ger)"/>
    <s v="OK"/>
    <x v="9"/>
    <s v="Yield"/>
    <x v="0"/>
    <x v="0"/>
    <x v="39"/>
  </r>
  <r>
    <x v="5"/>
    <s v="Global Monetary Policy - Reversal of April 2024 x2          "/>
    <n v="2103"/>
    <s v="Reversal of April 2024 x 2 Monetary Policy Scenario- A reversal of market movements over April 2024, magnified by 2x"/>
    <x v="45"/>
    <s v="JPY 1Y"/>
    <s v="Govt Developed Other (AU, GB, JP, ...)"/>
    <s v="JPY_1yr"/>
    <s v="Govt Developed Other (AU, GB, JP, ...)"/>
    <s v="OK"/>
    <x v="10"/>
    <s v="Yield"/>
    <x v="0"/>
    <x v="0"/>
    <x v="40"/>
  </r>
  <r>
    <x v="5"/>
    <s v="Global Monetary Policy - Reversal of April 2024 x2          "/>
    <n v="2103"/>
    <s v="Reversal of April 2024 x 2 Monetary Policy Scenario- A reversal of market movements over April 2024, magnified by 2x"/>
    <x v="46"/>
    <s v="JPY/USD"/>
    <s v="JPY"/>
    <s v="JPY_FX_USD"/>
    <s v="JPY"/>
    <s v="OK"/>
    <x v="11"/>
    <s v="FX"/>
    <x v="3"/>
    <x v="3"/>
    <x v="41"/>
  </r>
  <r>
    <x v="5"/>
    <s v="Global Monetary Policy - Reversal of April 2024 x2          "/>
    <n v="2103"/>
    <s v="Reversal of April 2024 x 2 Monetary Policy Scenario- A reversal of market movements over April 2024, magnified by 2x"/>
    <x v="47"/>
    <s v="S&amp;P 500"/>
    <s v="Equity Implied Volatility"/>
    <s v="SPX"/>
    <s v="Equity Implied Volatility"/>
    <s v="OK"/>
    <x v="1"/>
    <s v="Index Level"/>
    <x v="1"/>
    <x v="1"/>
    <x v="42"/>
  </r>
  <r>
    <x v="5"/>
    <s v="Global Monetary Policy - Reversal of April 2024 x2          "/>
    <n v="2103"/>
    <s v="Reversal of April 2024 x 2 Monetary Policy Scenario- A reversal of market movements over April 2024, magnified by 2x"/>
    <x v="48"/>
    <s v="MSCI EUROPE(EUR)"/>
    <s v="Equity Implied Volatility"/>
    <s v="MXEU"/>
    <s v="Equity Implied Volatility"/>
    <s v="OK"/>
    <x v="1"/>
    <s v="Index Level"/>
    <x v="1"/>
    <x v="1"/>
    <x v="43"/>
  </r>
  <r>
    <x v="5"/>
    <s v="Global Monetary Policy - Reversal of April 2024 x2          "/>
    <n v="2103"/>
    <s v="Reversal of April 2024 x 2 Monetary Policy Scenario- A reversal of market movements over April 2024, magnified by 2x"/>
    <x v="49"/>
    <s v="MSCI World IT"/>
    <s v="Other - Index"/>
    <s v="MSIT_LCL"/>
    <s v="Other - Index"/>
    <s v="OK"/>
    <x v="12"/>
    <s v="Index Level"/>
    <x v="7"/>
    <x v="2"/>
    <x v="44"/>
  </r>
  <r>
    <x v="6"/>
    <s v="BREXIT - Soft Deal                                          "/>
    <n v="2537"/>
    <s v="Soft Deal: UK and the 27 EU member states reach an agreement on the terms of Brexit that is approved by UK Parliament and ratified by the EU. The relatively short-lived scenario provides muted relief for risk assets and sterling as fears of a no-deal dissipate. However, an air of uncertainty remains over longer term prospects."/>
    <x v="50"/>
    <s v="GBP 2Y"/>
    <s v="Govt Developed Other (AU, GB, JP, ...)"/>
    <s v="GBP_2yr"/>
    <s v="Govt Developed Other (AU, GB, JP, ...)"/>
    <s v="OK"/>
    <x v="10"/>
    <s v="Yield"/>
    <x v="0"/>
    <x v="0"/>
    <x v="33"/>
  </r>
  <r>
    <x v="6"/>
    <s v="BREXIT - Soft Deal                                          "/>
    <n v="2537"/>
    <s v="Soft Deal: UK and the 27 EU member states reach an agreement on the terms of Brexit that is approved by UK Parliament and ratified by the EU. The relatively short-lived scenario provides muted relief for risk assets and sterling as fears of a no-deal dissipate. However, an air of uncertainty remains over longer term prospects."/>
    <x v="51"/>
    <s v="GBP 10Y"/>
    <s v="Govt Developed Other (AU, GB, JP, ...)"/>
    <s v="GBP_10yr"/>
    <s v="Govt Developed Other (AU, GB, JP, ...)"/>
    <s v="OK"/>
    <x v="10"/>
    <s v="Yield"/>
    <x v="0"/>
    <x v="0"/>
    <x v="33"/>
  </r>
  <r>
    <x v="6"/>
    <s v="BREXIT - Soft Deal                                          "/>
    <n v="2537"/>
    <s v="Soft Deal: UK and the 27 EU member states reach an agreement on the terms of Brexit that is approved by UK Parliament and ratified by the EU. The relatively short-lived scenario provides muted relief for risk assets and sterling as fears of a no-deal dissipate. However, an air of uncertainty remains over longer term prospects."/>
    <x v="52"/>
    <s v="EUR/USD"/>
    <s v="EUR"/>
    <s v="EUR_FX_USD"/>
    <s v="EUR"/>
    <s v="OK"/>
    <x v="13"/>
    <s v="FX"/>
    <x v="3"/>
    <x v="3"/>
    <x v="45"/>
  </r>
  <r>
    <x v="6"/>
    <s v="BREXIT - Soft Deal                                          "/>
    <n v="2537"/>
    <s v="Soft Deal: UK and the 27 EU member states reach an agreement on the terms of Brexit that is approved by UK Parliament and ratified by the EU. The relatively short-lived scenario provides muted relief for risk assets and sterling as fears of a no-deal dissipate. However, an air of uncertainty remains over longer term prospects."/>
    <x v="53"/>
    <s v="GBPUSD"/>
    <e v="#N/A"/>
    <s v="GBP_FX_USD"/>
    <s v="GBP"/>
    <s v="OK"/>
    <x v="14"/>
    <s v="FX"/>
    <x v="3"/>
    <x v="3"/>
    <x v="25"/>
  </r>
  <r>
    <x v="6"/>
    <s v="BREXIT - Soft Deal                                          "/>
    <n v="2537"/>
    <s v="Soft Deal: UK and the 27 EU member states reach an agreement on the terms of Brexit that is approved by UK Parliament and ratified by the EU. The relatively short-lived scenario provides muted relief for risk assets and sterling as fears of a no-deal dissipate. However, an air of uncertainty remains over longer term prospects."/>
    <x v="54"/>
    <s v="FTSE 100"/>
    <s v="Equity Implied Volatility"/>
    <s v="UKX"/>
    <s v="Equity Implied Volatility"/>
    <s v="OK"/>
    <x v="1"/>
    <s v="Index Level"/>
    <x v="1"/>
    <x v="1"/>
    <x v="46"/>
  </r>
  <r>
    <x v="6"/>
    <s v="BREXIT - Soft Deal                                          "/>
    <n v="2537"/>
    <s v="Soft Deal: UK and the 27 EU member states reach an agreement on the terms of Brexit that is approved by UK Parliament and ratified by the EU. The relatively short-lived scenario provides muted relief for risk assets and sterling as fears of a no-deal dissipate. However, an air of uncertainty remains over longer term prospects."/>
    <x v="55"/>
    <s v="MSCI World Net TR"/>
    <s v="Equity Implied Volatility"/>
    <s v="MSCIWLDNET"/>
    <s v="Equity Implied Volatility"/>
    <s v="OK"/>
    <x v="1"/>
    <s v="Index Level"/>
    <x v="1"/>
    <x v="1"/>
    <x v="45"/>
  </r>
  <r>
    <x v="6"/>
    <s v="BREXIT - Soft Deal                                          "/>
    <n v="2537"/>
    <s v="Soft Deal: UK and the 27 EU member states reach an agreement on the terms of Brexit that is approved by UK Parliament and ratified by the EU. The relatively short-lived scenario provides muted relief for risk assets and sterling as fears of a no-deal dissipate. However, an air of uncertainty remains over longer term prospects."/>
    <x v="56"/>
    <s v="UK Credit"/>
    <s v="Corporate IG Other - Other"/>
    <s v="GBP_LEH_CREDIT"/>
    <s v="Corporate IG Other - Other"/>
    <s v="OK"/>
    <x v="15"/>
    <s v="Spread Yield"/>
    <x v="5"/>
    <x v="4"/>
    <x v="47"/>
  </r>
  <r>
    <x v="6"/>
    <s v="BREXIT - Soft Deal                                          "/>
    <n v="2537"/>
    <s v="Soft Deal: UK and the 27 EU member states reach an agreement on the terms of Brexit that is approved by UK Parliament and ratified by the EU. The relatively short-lived scenario provides muted relief for risk assets and sterling as fears of a no-deal dissipate. However, an air of uncertainty remains over longer term prospects."/>
    <x v="57"/>
    <s v="Time"/>
    <e v="#N/A"/>
    <s v="ALL_TIME"/>
    <e v="#N/A"/>
    <s v="BOTH #N/A"/>
    <x v="16"/>
    <s v="Time"/>
    <x v="8"/>
    <x v="2"/>
    <x v="48"/>
  </r>
  <r>
    <x v="6"/>
    <s v="BREXIT - Soft Deal                                          "/>
    <n v="2537"/>
    <s v="Soft Deal: UK and the 27 EU member states reach an agreement on the terms of Brexit that is approved by UK Parliament and ratified by the EU. The relatively short-lived scenario provides muted relief for risk assets and sterling as fears of a no-deal dissipate. However, an air of uncertainty remains over longer term prospects."/>
    <x v="58"/>
    <s v="FTSE All Share"/>
    <s v="Equity Implied Volatility"/>
    <s v="Share"/>
    <e v="#N/A"/>
    <s v="OK"/>
    <x v="1"/>
    <s v="Index Level"/>
    <x v="1"/>
    <x v="1"/>
    <x v="49"/>
  </r>
  <r>
    <x v="7"/>
    <s v="US Corporate Tax Reform - Ambitious Plan (07/2021)          "/>
    <n v="2459"/>
    <s v="Major US corporate tax increases and a global minimum tax framework are enacted."/>
    <x v="59"/>
    <s v="Tsy 10Y"/>
    <s v="Govt USD"/>
    <s v="USD_10yr"/>
    <s v="Govt USD"/>
    <s v="OK"/>
    <x v="0"/>
    <s v="Yield"/>
    <x v="0"/>
    <x v="0"/>
    <x v="50"/>
  </r>
  <r>
    <x v="7"/>
    <s v="US Corporate Tax Reform - Ambitious Plan (07/2021)          "/>
    <n v="2459"/>
    <s v="Major US corporate tax increases and a global minimum tax framework are enacted."/>
    <x v="60"/>
    <s v="Muni Spread 10Y"/>
    <s v="Spread - Municipals"/>
    <s v="USD_muni_10yr"/>
    <s v="Spread - Municipals"/>
    <s v="OK"/>
    <x v="17"/>
    <s v="Other Spread Yield"/>
    <x v="5"/>
    <x v="4"/>
    <x v="31"/>
  </r>
  <r>
    <x v="7"/>
    <s v="US Corporate Tax Reform - Ambitious Plan (07/2021)          "/>
    <n v="2459"/>
    <s v="Major US corporate tax increases and a global minimum tax framework are enacted."/>
    <x v="61"/>
    <s v="DXY"/>
    <e v="#N/A"/>
    <s v="DXY"/>
    <e v="#N/A"/>
    <s v="BOTH #N/A"/>
    <x v="18"/>
    <s v="Dollar Index"/>
    <x v="9"/>
    <x v="2"/>
    <x v="51"/>
  </r>
  <r>
    <x v="7"/>
    <s v="US Corporate Tax Reform - Ambitious Plan (07/2021)          "/>
    <n v="2459"/>
    <s v="Major US corporate tax increases and a global minimum tax framework are enacted."/>
    <x v="62"/>
    <s v="MSCI World Net TR"/>
    <s v="Equity Implied Volatility"/>
    <s v="MSCIWLDNET"/>
    <s v="Equity Implied Volatility"/>
    <s v="OK"/>
    <x v="1"/>
    <s v="Index Level"/>
    <x v="1"/>
    <x v="1"/>
    <x v="52"/>
  </r>
  <r>
    <x v="7"/>
    <s v="US Corporate Tax Reform - Ambitious Plan (07/2021)          "/>
    <n v="2459"/>
    <s v="Major US corporate tax increases and a global minimum tax framework are enacted."/>
    <x v="63"/>
    <s v="Time"/>
    <e v="#N/A"/>
    <s v="ALL_TIME"/>
    <e v="#N/A"/>
    <s v="BOTH #N/A"/>
    <x v="16"/>
    <s v="Time"/>
    <x v="8"/>
    <x v="2"/>
    <x v="53"/>
  </r>
  <r>
    <x v="7"/>
    <s v="US Corporate Tax Reform - Ambitious Plan (07/2021)          "/>
    <n v="2459"/>
    <s v="Major US corporate tax increases and a global minimum tax framework are enacted."/>
    <x v="64"/>
    <s v="Media"/>
    <e v="#N/A"/>
    <s v="FMI_NAMR_CDIMEDIA"/>
    <e v="#N/A"/>
    <s v="BOTH #N/A"/>
    <x v="19"/>
    <s v="Communication Services"/>
    <x v="4"/>
    <x v="1"/>
    <x v="36"/>
  </r>
  <r>
    <x v="7"/>
    <s v="US Corporate Tax Reform - Ambitious Plan (07/2021)          "/>
    <n v="2459"/>
    <s v="Major US corporate tax increases and a global minimum tax framework are enacted."/>
    <x v="65"/>
    <s v="Pharmaceuticals"/>
    <s v="Health Care"/>
    <s v="FMI_NAMR_HLCPHARMA"/>
    <e v="#N/A"/>
    <s v="OK"/>
    <x v="20"/>
    <s v="Industry Return"/>
    <x v="4"/>
    <x v="1"/>
    <x v="36"/>
  </r>
  <r>
    <x v="7"/>
    <s v="US Corporate Tax Reform - Ambitious Plan (07/2021)          "/>
    <n v="2459"/>
    <s v="Major US corporate tax increases and a global minimum tax framework are enacted."/>
    <x v="66"/>
    <s v="Utilities"/>
    <s v="Utilities"/>
    <s v="FMI_NAMR_UTLUTIL"/>
    <e v="#N/A"/>
    <s v="OK"/>
    <x v="21"/>
    <s v="Industry Return"/>
    <x v="4"/>
    <x v="1"/>
    <x v="51"/>
  </r>
  <r>
    <x v="7"/>
    <s v="US Corporate Tax Reform - Ambitious Plan (07/2021)          "/>
    <n v="2459"/>
    <s v="Major US corporate tax increases and a global minimum tax framework are enacted."/>
    <x v="67"/>
    <s v="US HY Market"/>
    <s v="Corporate HY USD - Other"/>
    <s v="USD_HY_MARKET"/>
    <s v="Corporate HY USD - Other"/>
    <s v="OK"/>
    <x v="22"/>
    <s v="Spread Yield"/>
    <x v="5"/>
    <x v="4"/>
    <x v="54"/>
  </r>
  <r>
    <x v="7"/>
    <s v="US Corporate Tax Reform - Ambitious Plan (07/2021)          "/>
    <n v="2459"/>
    <s v="Major US corporate tax increases and a global minimum tax framework are enacted."/>
    <x v="68"/>
    <s v="S&amp;P 500 Technology"/>
    <s v="Equity Implied Volatility"/>
    <s v="Technology"/>
    <e v="#N/A"/>
    <s v="OK"/>
    <x v="1"/>
    <s v="Index Level"/>
    <x v="1"/>
    <x v="1"/>
    <x v="55"/>
  </r>
  <r>
    <x v="7"/>
    <s v="US Corporate Tax Reform - Ambitious Plan (07/2021)          "/>
    <n v="2459"/>
    <s v="Major US corporate tax increases and a global minimum tax framework are enacted."/>
    <x v="69"/>
    <s v="S&amp;P 500"/>
    <s v="Equity Implied Volatility"/>
    <s v="500"/>
    <e v="#N/A"/>
    <s v="OK"/>
    <x v="1"/>
    <s v="Index Level"/>
    <x v="1"/>
    <x v="1"/>
    <x v="51"/>
  </r>
  <r>
    <x v="8"/>
    <s v="US Corporate Tax Reform - Compromise Plan (07/2021)         "/>
    <n v="2460"/>
    <s v="A dialed down tax reform package passes, but US EU trade tensions rise over digital services taxes."/>
    <x v="70"/>
    <s v="Tsy 10Y"/>
    <s v="Govt USD"/>
    <s v="USD_10yr"/>
    <s v="Govt USD"/>
    <s v="OK"/>
    <x v="0"/>
    <s v="Yield"/>
    <x v="0"/>
    <x v="0"/>
    <x v="54"/>
  </r>
  <r>
    <x v="8"/>
    <s v="US Corporate Tax Reform - Compromise Plan (07/2021)         "/>
    <n v="2460"/>
    <s v="A dialed down tax reform package passes, but US EU trade tensions rise over digital services taxes."/>
    <x v="71"/>
    <s v="Muni Spread 10Y"/>
    <s v="Spread - Municipals"/>
    <s v="USD_muni_10yr"/>
    <s v="Spread - Municipals"/>
    <s v="OK"/>
    <x v="17"/>
    <s v="Other Spread Yield"/>
    <x v="5"/>
    <x v="4"/>
    <x v="50"/>
  </r>
  <r>
    <x v="8"/>
    <s v="US Corporate Tax Reform - Compromise Plan (07/2021)         "/>
    <n v="2460"/>
    <s v="A dialed down tax reform package passes, but US EU trade tensions rise over digital services taxes."/>
    <x v="72"/>
    <s v="DXY"/>
    <e v="#N/A"/>
    <s v="DXY"/>
    <e v="#N/A"/>
    <s v="BOTH #N/A"/>
    <x v="18"/>
    <s v="Dollar Index"/>
    <x v="9"/>
    <x v="2"/>
    <x v="56"/>
  </r>
  <r>
    <x v="8"/>
    <s v="US Corporate Tax Reform - Compromise Plan (07/2021)         "/>
    <n v="2460"/>
    <s v="A dialed down tax reform package passes, but US EU trade tensions rise over digital services taxes."/>
    <x v="73"/>
    <s v="MSCI World Net TR"/>
    <s v="Equity Implied Volatility"/>
    <s v="MSCIWLDNET"/>
    <s v="Equity Implied Volatility"/>
    <s v="OK"/>
    <x v="1"/>
    <s v="Index Level"/>
    <x v="1"/>
    <x v="1"/>
    <x v="51"/>
  </r>
  <r>
    <x v="8"/>
    <s v="US Corporate Tax Reform - Compromise Plan (07/2021)         "/>
    <n v="2460"/>
    <s v="A dialed down tax reform package passes, but US EU trade tensions rise over digital services taxes."/>
    <x v="63"/>
    <s v="Time"/>
    <e v="#N/A"/>
    <s v="ALL_TIME"/>
    <e v="#N/A"/>
    <s v="BOTH #N/A"/>
    <x v="16"/>
    <s v="Time"/>
    <x v="8"/>
    <x v="2"/>
    <x v="53"/>
  </r>
  <r>
    <x v="8"/>
    <s v="US Corporate Tax Reform - Compromise Plan (07/2021)         "/>
    <n v="2460"/>
    <s v="A dialed down tax reform package passes, but US EU trade tensions rise over digital services taxes."/>
    <x v="74"/>
    <s v="Internet &amp; Catalog Retail"/>
    <e v="#N/A"/>
    <s v="FMI_NAMR_CDIRETNET"/>
    <e v="#N/A"/>
    <s v="BOTH #N/A"/>
    <x v="5"/>
    <s v="Information Technology"/>
    <x v="4"/>
    <x v="1"/>
    <x v="57"/>
  </r>
  <r>
    <x v="8"/>
    <s v="US Corporate Tax Reform - Compromise Plan (07/2021)         "/>
    <n v="2460"/>
    <s v="A dialed down tax reform package passes, but US EU trade tensions rise over digital services taxes."/>
    <x v="75"/>
    <s v="IT Services"/>
    <e v="#N/A"/>
    <s v="FMI_NAMR_ITCITSERV"/>
    <e v="#N/A"/>
    <s v="BOTH #N/A"/>
    <x v="5"/>
    <s v="Information Technology"/>
    <x v="4"/>
    <x v="1"/>
    <x v="57"/>
  </r>
  <r>
    <x v="8"/>
    <s v="US Corporate Tax Reform - Compromise Plan (07/2021)         "/>
    <n v="2460"/>
    <s v="A dialed down tax reform package passes, but US EU trade tensions rise over digital services taxes."/>
    <x v="76"/>
    <s v="Textiles Apparel Luxury Goods"/>
    <s v="Consumer Discretionary"/>
    <s v="FMI_EMEA_CDITXTLUX"/>
    <e v="#N/A"/>
    <s v="OK"/>
    <x v="23"/>
    <s v="Industry Return"/>
    <x v="4"/>
    <x v="1"/>
    <x v="57"/>
  </r>
  <r>
    <x v="8"/>
    <s v="US Corporate Tax Reform - Compromise Plan (07/2021)         "/>
    <n v="2460"/>
    <s v="A dialed down tax reform package passes, but US EU trade tensions rise over digital services taxes."/>
    <x v="77"/>
    <s v="US HY Market"/>
    <s v="Corporate HY USD - Other"/>
    <s v="USD_HY_MARKET"/>
    <s v="Corporate HY USD - Other"/>
    <s v="OK"/>
    <x v="22"/>
    <s v="Spread Yield"/>
    <x v="5"/>
    <x v="4"/>
    <x v="58"/>
  </r>
  <r>
    <x v="8"/>
    <s v="US Corporate Tax Reform - Compromise Plan (07/2021)         "/>
    <n v="2460"/>
    <s v="A dialed down tax reform package passes, but US EU trade tensions rise over digital services taxes."/>
    <x v="78"/>
    <s v="MSCI EUROPE(EUR)"/>
    <s v="Equity Implied Volatility"/>
    <s v="EUROPEEUR"/>
    <e v="#N/A"/>
    <s v="OK"/>
    <x v="1"/>
    <s v="Index Level"/>
    <x v="1"/>
    <x v="1"/>
    <x v="51"/>
  </r>
  <r>
    <x v="9"/>
    <s v="Credit '07 - Absolute, Jul 01, 2007 - Jul 01, 2008          "/>
    <n v="2308"/>
    <s v="Credit &amp; liquidity crisis stemming from a severe slowdown in the housing market causing significant widening of credit spreads and increased implied volatility. Shocks for DxS Factors are spreads."/>
    <x v="79"/>
    <m/>
    <e v="#N/A"/>
    <s v="-"/>
    <e v="#N/A"/>
    <s v="BOTH #N/A"/>
    <x v="24"/>
    <s v="-"/>
    <x v="10"/>
    <x v="5"/>
    <x v="59"/>
  </r>
  <r>
    <x v="10"/>
    <s v="Crash '08 - Relative, Sep 12 - Nov 03, 2008                 "/>
    <n v="2309"/>
    <s v="Credit &amp; liquidity crisis and equity market crash set off by Lehman Brothers bankruptcy. Significant credit spreads widening caused by massive deleveraging. Shocks for DxS Factors are percentages of spread."/>
    <x v="79"/>
    <m/>
    <e v="#N/A"/>
    <s v="-"/>
    <e v="#N/A"/>
    <s v="BOTH #N/A"/>
    <x v="24"/>
    <s v="-"/>
    <x v="10"/>
    <x v="5"/>
    <x v="59"/>
  </r>
  <r>
    <x v="11"/>
    <s v="Fed Policy at Growth Inflection-Economy Overheats(08/2021)  "/>
    <n v="2461"/>
    <s v="The US economy recovers sharply following a successful vaccine rollout, leading to elevated risk asset valuations and unexpectedly high inflation. Faced with apparent economic overheating, the Fed hastens its tapering of asset purchases and pulls rate hike expectations forward to early 2022."/>
    <x v="80"/>
    <s v="Tsy 2Y"/>
    <s v="Govt USD"/>
    <s v="USD_2yr"/>
    <s v="Govt USD"/>
    <s v="OK"/>
    <x v="0"/>
    <s v="Yield"/>
    <x v="0"/>
    <x v="0"/>
    <x v="54"/>
  </r>
  <r>
    <x v="11"/>
    <s v="Fed Policy at Growth Inflection-Economy Overheats(08/2021)  "/>
    <n v="2461"/>
    <s v="The US economy recovers sharply following a successful vaccine rollout, leading to elevated risk asset valuations and unexpectedly high inflation. Faced with apparent economic overheating, the Fed hastens its tapering of asset purchases and pulls rate hike expectations forward to early 2022."/>
    <x v="81"/>
    <s v="Tsy 10Y"/>
    <s v="Govt USD"/>
    <s v="USD_10yr"/>
    <s v="Govt USD"/>
    <s v="OK"/>
    <x v="0"/>
    <s v="Yield"/>
    <x v="0"/>
    <x v="0"/>
    <x v="60"/>
  </r>
  <r>
    <x v="11"/>
    <s v="Fed Policy at Growth Inflection-Economy Overheats(08/2021)  "/>
    <n v="2461"/>
    <s v="The US economy recovers sharply following a successful vaccine rollout, leading to elevated risk asset valuations and unexpectedly high inflation. Faced with apparent economic overheating, the Fed hastens its tapering of asset purchases and pulls rate hike expectations forward to early 2022."/>
    <x v="82"/>
    <s v="USD INF 10Y"/>
    <s v="USD Inflation"/>
    <s v="USD_INF_10yr"/>
    <s v="USD Inflation"/>
    <s v="OK"/>
    <x v="8"/>
    <s v="Yield"/>
    <x v="6"/>
    <x v="2"/>
    <x v="61"/>
  </r>
  <r>
    <x v="11"/>
    <s v="Fed Policy at Growth Inflection-Economy Overheats(08/2021)  "/>
    <n v="2461"/>
    <s v="The US economy recovers sharply following a successful vaccine rollout, leading to elevated risk asset valuations and unexpectedly high inflation. Faced with apparent economic overheating, the Fed hastens its tapering of asset purchases and pulls rate hike expectations forward to early 2022."/>
    <x v="83"/>
    <s v="15yr Mtg Tsy Basis"/>
    <s v="Mortgage Basis"/>
    <s v="USD_mtg15_tsy"/>
    <s v="Mortgage Basis"/>
    <s v="OK"/>
    <x v="25"/>
    <s v="Mortgage Basis"/>
    <x v="2"/>
    <x v="2"/>
    <x v="54"/>
  </r>
  <r>
    <x v="11"/>
    <s v="Fed Policy at Growth Inflection-Economy Overheats(08/2021)  "/>
    <n v="2461"/>
    <s v="The US economy recovers sharply following a successful vaccine rollout, leading to elevated risk asset valuations and unexpectedly high inflation. Faced with apparent economic overheating, the Fed hastens its tapering of asset purchases and pulls rate hike expectations forward to early 2022."/>
    <x v="84"/>
    <s v="Brent Crude ICE 1"/>
    <s v="Alternative - Commodity"/>
    <s v="USD_COMD_CO_1"/>
    <s v="Alternative - Commodity"/>
    <s v="OK"/>
    <x v="2"/>
    <s v="Price Level"/>
    <x v="2"/>
    <x v="2"/>
    <x v="62"/>
  </r>
  <r>
    <x v="11"/>
    <s v="Fed Policy at Growth Inflection-Economy Overheats(08/2021)  "/>
    <n v="2461"/>
    <s v="The US economy recovers sharply following a successful vaccine rollout, leading to elevated risk asset valuations and unexpectedly high inflation. Faced with apparent economic overheating, the Fed hastens its tapering of asset purchases and pulls rate hike expectations forward to early 2022."/>
    <x v="85"/>
    <s v="Gold COMEX 1"/>
    <s v="Alternative - Commodity"/>
    <s v="USD_COMD_GC_1"/>
    <s v="Alternative - Commodity"/>
    <s v="OK"/>
    <x v="2"/>
    <s v="Price Level"/>
    <x v="2"/>
    <x v="2"/>
    <x v="25"/>
  </r>
  <r>
    <x v="11"/>
    <s v="Fed Policy at Growth Inflection-Economy Overheats(08/2021)  "/>
    <n v="2461"/>
    <s v="The US economy recovers sharply following a successful vaccine rollout, leading to elevated risk asset valuations and unexpectedly high inflation. Faced with apparent economic overheating, the Fed hastens its tapering of asset purchases and pulls rate hike expectations forward to early 2022."/>
    <x v="86"/>
    <s v="US Cash Bonds IG"/>
    <s v="Corporate IG USD - Other"/>
    <s v="USD_LEH_CREDIT3"/>
    <s v="Corporate IG USD - Other"/>
    <s v="OK"/>
    <x v="26"/>
    <s v="Corporate IG USD - Other"/>
    <x v="5"/>
    <x v="4"/>
    <x v="54"/>
  </r>
  <r>
    <x v="11"/>
    <s v="Fed Policy at Growth Inflection-Economy Overheats(08/2021)  "/>
    <n v="2461"/>
    <s v="The US economy recovers sharply following a successful vaccine rollout, leading to elevated risk asset valuations and unexpectedly high inflation. Faced with apparent economic overheating, the Fed hastens its tapering of asset purchases and pulls rate hike expectations forward to early 2022."/>
    <x v="87"/>
    <s v="DXY"/>
    <e v="#N/A"/>
    <s v="DXY"/>
    <e v="#N/A"/>
    <s v="BOTH #N/A"/>
    <x v="18"/>
    <s v="Dollar Index"/>
    <x v="9"/>
    <x v="2"/>
    <x v="63"/>
  </r>
  <r>
    <x v="11"/>
    <s v="Fed Policy at Growth Inflection-Economy Overheats(08/2021)  "/>
    <n v="2461"/>
    <s v="The US economy recovers sharply following a successful vaccine rollout, leading to elevated risk asset valuations and unexpectedly high inflation. Faced with apparent economic overheating, the Fed hastens its tapering of asset purchases and pulls rate hike expectations forward to early 2022."/>
    <x v="88"/>
    <s v="S&amp;P 500"/>
    <s v="Equity Implied Volatility"/>
    <s v="SPX"/>
    <s v="Equity Implied Volatility"/>
    <s v="OK"/>
    <x v="1"/>
    <s v="Index Level"/>
    <x v="1"/>
    <x v="1"/>
    <x v="36"/>
  </r>
  <r>
    <x v="11"/>
    <s v="Fed Policy at Growth Inflection-Economy Overheats(08/2021)  "/>
    <n v="2461"/>
    <s v="The US economy recovers sharply following a successful vaccine rollout, leading to elevated risk asset valuations and unexpectedly high inflation. Faced with apparent economic overheating, the Fed hastens its tapering of asset purchases and pulls rate hike expectations forward to early 2022."/>
    <x v="63"/>
    <s v="Time"/>
    <e v="#N/A"/>
    <s v="ALL_TIME"/>
    <e v="#N/A"/>
    <s v="BOTH #N/A"/>
    <x v="16"/>
    <s v="Time"/>
    <x v="8"/>
    <x v="2"/>
    <x v="53"/>
  </r>
  <r>
    <x v="11"/>
    <s v="Fed Policy at Growth Inflection-Economy Overheats(08/2021)  "/>
    <n v="2461"/>
    <s v="The US economy recovers sharply following a successful vaccine rollout, leading to elevated risk asset valuations and unexpectedly high inflation. Faced with apparent economic overheating, the Fed hastens its tapering of asset purchases and pulls rate hike expectations forward to early 2022."/>
    <x v="89"/>
    <s v="US HY Market"/>
    <s v="Corporate HY USD - Other"/>
    <s v="USD_HY_MARKET"/>
    <s v="Corporate HY USD - Other"/>
    <s v="OK"/>
    <x v="22"/>
    <s v="Spread Yield"/>
    <x v="5"/>
    <x v="4"/>
    <x v="21"/>
  </r>
  <r>
    <x v="11"/>
    <s v="Fed Policy at Growth Inflection-Economy Overheats(08/2021)  "/>
    <n v="2461"/>
    <s v="The US economy recovers sharply following a successful vaccine rollout, leading to elevated risk asset valuations and unexpectedly high inflation. Faced with apparent economic overheating, the Fed hastens its tapering of asset purchases and pulls rate hike expectations forward to early 2022."/>
    <x v="90"/>
    <s v="S&amp;P 500 Consumer Staples Index"/>
    <s v="Other - Index"/>
    <s v="Index"/>
    <e v="#N/A"/>
    <s v="OK"/>
    <x v="12"/>
    <s v="Index Level"/>
    <x v="7"/>
    <x v="2"/>
    <x v="19"/>
  </r>
  <r>
    <x v="12"/>
    <s v="Fed Policy at Growth Inflection-Growth Disappoints(08/2021) "/>
    <n v="2462"/>
    <s v="Reopening of the US economy is put on hold as COVID 19 variants drive infection rates up, resulting in another round of lockdowns."/>
    <x v="91"/>
    <s v="Tsy 10Y"/>
    <s v="Govt USD"/>
    <s v="USD_10yr"/>
    <s v="Govt USD"/>
    <s v="OK"/>
    <x v="0"/>
    <s v="Yield"/>
    <x v="0"/>
    <x v="0"/>
    <x v="64"/>
  </r>
  <r>
    <x v="12"/>
    <s v="Fed Policy at Growth Inflection-Growth Disappoints(08/2021) "/>
    <n v="2462"/>
    <s v="Reopening of the US economy is put on hold as COVID 19 variants drive infection rates up, resulting in another round of lockdowns."/>
    <x v="92"/>
    <s v="Tsy 30Y"/>
    <s v="Govt USD"/>
    <s v="USD_30yr"/>
    <s v="Govt USD"/>
    <s v="OK"/>
    <x v="0"/>
    <s v="Yield"/>
    <x v="0"/>
    <x v="0"/>
    <x v="61"/>
  </r>
  <r>
    <x v="12"/>
    <s v="Fed Policy at Growth Inflection-Growth Disappoints(08/2021) "/>
    <n v="2462"/>
    <s v="Reopening of the US economy is put on hold as COVID 19 variants drive infection rates up, resulting in another round of lockdowns."/>
    <x v="93"/>
    <s v="15yr Mtg Tsy Basis"/>
    <s v="Mortgage Basis"/>
    <s v="USD_mtg15_tsy"/>
    <s v="Mortgage Basis"/>
    <s v="OK"/>
    <x v="25"/>
    <s v="Mortgage Basis"/>
    <x v="2"/>
    <x v="2"/>
    <x v="65"/>
  </r>
  <r>
    <x v="12"/>
    <s v="Fed Policy at Growth Inflection-Growth Disappoints(08/2021) "/>
    <n v="2462"/>
    <s v="Reopening of the US economy is put on hold as COVID 19 variants drive infection rates up, resulting in another round of lockdowns."/>
    <x v="94"/>
    <s v="Brent Crude ICE 1"/>
    <s v="Alternative - Commodity"/>
    <s v="USD_COMD_CO_1"/>
    <s v="Alternative - Commodity"/>
    <s v="OK"/>
    <x v="2"/>
    <s v="Price Level"/>
    <x v="2"/>
    <x v="2"/>
    <x v="66"/>
  </r>
  <r>
    <x v="12"/>
    <s v="Fed Policy at Growth Inflection-Growth Disappoints(08/2021) "/>
    <n v="2462"/>
    <s v="Reopening of the US economy is put on hold as COVID 19 variants drive infection rates up, resulting in another round of lockdowns."/>
    <x v="95"/>
    <s v="US Cash Bonds IG"/>
    <s v="Corporate IG USD - Other"/>
    <s v="USD_LEH_CREDIT3"/>
    <s v="Corporate IG USD - Other"/>
    <s v="OK"/>
    <x v="26"/>
    <s v="Corporate IG USD - Other"/>
    <x v="5"/>
    <x v="4"/>
    <x v="67"/>
  </r>
  <r>
    <x v="12"/>
    <s v="Fed Policy at Growth Inflection-Growth Disappoints(08/2021) "/>
    <n v="2462"/>
    <s v="Reopening of the US economy is put on hold as COVID 19 variants drive infection rates up, resulting in another round of lockdowns."/>
    <x v="96"/>
    <s v="DXY"/>
    <e v="#N/A"/>
    <s v="DXY"/>
    <e v="#N/A"/>
    <s v="BOTH #N/A"/>
    <x v="18"/>
    <s v="Dollar Index"/>
    <x v="9"/>
    <x v="2"/>
    <x v="68"/>
  </r>
  <r>
    <x v="12"/>
    <s v="Fed Policy at Growth Inflection-Growth Disappoints(08/2021) "/>
    <n v="2462"/>
    <s v="Reopening of the US economy is put on hold as COVID 19 variants drive infection rates up, resulting in another round of lockdowns."/>
    <x v="97"/>
    <s v="S&amp;P 500"/>
    <s v="Equity Implied Volatility"/>
    <s v="SPX"/>
    <s v="Equity Implied Volatility"/>
    <s v="OK"/>
    <x v="1"/>
    <s v="Index Level"/>
    <x v="1"/>
    <x v="1"/>
    <x v="24"/>
  </r>
  <r>
    <x v="12"/>
    <s v="Fed Policy at Growth Inflection-Growth Disappoints(08/2021) "/>
    <n v="2462"/>
    <s v="Reopening of the US economy is put on hold as COVID 19 variants drive infection rates up, resulting in another round of lockdowns."/>
    <x v="63"/>
    <s v="Time"/>
    <e v="#N/A"/>
    <s v="ALL_TIME"/>
    <e v="#N/A"/>
    <s v="BOTH #N/A"/>
    <x v="16"/>
    <s v="Time"/>
    <x v="8"/>
    <x v="2"/>
    <x v="53"/>
  </r>
  <r>
    <x v="12"/>
    <s v="Fed Policy at Growth Inflection-Growth Disappoints(08/2021) "/>
    <n v="2462"/>
    <s v="Reopening of the US economy is put on hold as COVID 19 variants drive infection rates up, resulting in another round of lockdowns."/>
    <x v="98"/>
    <s v="Airlines"/>
    <e v="#N/A"/>
    <s v="FMI_NAMR_INDAIRLINE"/>
    <e v="#N/A"/>
    <s v="BOTH #N/A"/>
    <x v="4"/>
    <s v="Industrials"/>
    <x v="4"/>
    <x v="1"/>
    <x v="69"/>
  </r>
  <r>
    <x v="12"/>
    <s v="Fed Policy at Growth Inflection-Growth Disappoints(08/2021) "/>
    <n v="2462"/>
    <s v="Reopening of the US economy is put on hold as COVID 19 variants drive infection rates up, resulting in another round of lockdowns."/>
    <x v="99"/>
    <s v="Software"/>
    <e v="#N/A"/>
    <s v="FMI_NAMR_ITCSOFTW"/>
    <e v="#N/A"/>
    <s v="BOTH #N/A"/>
    <x v="5"/>
    <s v="Information Technology"/>
    <x v="4"/>
    <x v="1"/>
    <x v="25"/>
  </r>
  <r>
    <x v="12"/>
    <s v="Fed Policy at Growth Inflection-Growth Disappoints(08/2021) "/>
    <n v="2462"/>
    <s v="Reopening of the US economy is put on hold as COVID 19 variants drive infection rates up, resulting in another round of lockdowns."/>
    <x v="100"/>
    <s v="US HY Market"/>
    <s v="Corporate HY USD - Other"/>
    <s v="USD_HY_MARKET"/>
    <s v="Corporate HY USD - Other"/>
    <s v="OK"/>
    <x v="22"/>
    <s v="Spread Yield"/>
    <x v="5"/>
    <x v="4"/>
    <x v="70"/>
  </r>
  <r>
    <x v="12"/>
    <s v="Fed Policy at Growth Inflection-Growth Disappoints(08/2021) "/>
    <n v="2462"/>
    <s v="Reopening of the US economy is put on hold as COVID 19 variants drive infection rates up, resulting in another round of lockdowns."/>
    <x v="101"/>
    <s v="ABS Consumer"/>
    <s v="ABS - Swap Spread"/>
    <s v="USD_ABS_CONSUMER"/>
    <s v="ABS - Swap Spread"/>
    <s v="OK"/>
    <x v="27"/>
    <s v="Spread Yield"/>
    <x v="2"/>
    <x v="2"/>
    <x v="71"/>
  </r>
  <r>
    <x v="12"/>
    <s v="Fed Policy at Growth Inflection-Growth Disappoints(08/2021) "/>
    <n v="2462"/>
    <s v="Reopening of the US economy is put on hold as COVID 19 variants drive infection rates up, resulting in another round of lockdowns."/>
    <x v="102"/>
    <s v="CRT BB"/>
    <s v="Mortgage"/>
    <s v="USD_CRT_BB"/>
    <s v="Mortgage"/>
    <s v="OK"/>
    <x v="28"/>
    <s v="Price Level"/>
    <x v="2"/>
    <x v="2"/>
    <x v="72"/>
  </r>
  <r>
    <x v="12"/>
    <s v="Fed Policy at Growth Inflection-Growth Disappoints(08/2021) "/>
    <n v="2462"/>
    <s v="Reopening of the US economy is put on hold as COVID 19 variants drive infection rates up, resulting in another round of lockdowns."/>
    <x v="103"/>
    <s v="CRT NR"/>
    <s v="Mortgage"/>
    <s v="USD_CRT_NR"/>
    <s v="Mortgage"/>
    <s v="OK"/>
    <x v="28"/>
    <s v="Price Level"/>
    <x v="2"/>
    <x v="2"/>
    <x v="73"/>
  </r>
  <r>
    <x v="13"/>
    <s v="US Debt Ceiling - Technical Default (5/2023)                "/>
    <n v="2484"/>
    <s v="Negotiations are not reached in time for the x-date, government has a technical default."/>
    <x v="104"/>
    <s v="Gold COMEX 1"/>
    <s v="Alternative - Commodity"/>
    <s v="USD_COMD_GC_1"/>
    <s v="Alternative - Commodity"/>
    <s v="OK"/>
    <x v="2"/>
    <s v="Price Level"/>
    <x v="2"/>
    <x v="2"/>
    <x v="19"/>
  </r>
  <r>
    <x v="13"/>
    <s v="US Debt Ceiling - Technical Default (5/2023)                "/>
    <n v="2484"/>
    <s v="Negotiations are not reached in time for the x-date, government has a technical default."/>
    <x v="105"/>
    <s v="DEM 10Y"/>
    <s v="Govt EUR (Ger)"/>
    <s v="EUR_10yr"/>
    <s v="Govt EUR (Ger)"/>
    <s v="OK"/>
    <x v="9"/>
    <s v="Yield"/>
    <x v="0"/>
    <x v="0"/>
    <x v="74"/>
  </r>
  <r>
    <x v="13"/>
    <s v="US Debt Ceiling - Technical Default (5/2023)                "/>
    <n v="2484"/>
    <s v="Negotiations are not reached in time for the x-date, government has a technical default."/>
    <x v="106"/>
    <s v="DXY"/>
    <e v="#N/A"/>
    <s v="DXY"/>
    <e v="#N/A"/>
    <s v="BOTH #N/A"/>
    <x v="18"/>
    <s v="Dollar Index"/>
    <x v="9"/>
    <x v="2"/>
    <x v="75"/>
  </r>
  <r>
    <x v="13"/>
    <s v="US Debt Ceiling - Technical Default (5/2023)                "/>
    <n v="2484"/>
    <s v="Negotiations are not reached in time for the x-date, government has a technical default."/>
    <x v="107"/>
    <s v="S&amp;P 500"/>
    <s v="Equity Implied Volatility"/>
    <s v="SPX"/>
    <s v="Equity Implied Volatility"/>
    <s v="OK"/>
    <x v="1"/>
    <s v="Index Level"/>
    <x v="1"/>
    <x v="1"/>
    <x v="76"/>
  </r>
  <r>
    <x v="13"/>
    <s v="US Debt Ceiling - Technical Default (5/2023)                "/>
    <n v="2484"/>
    <s v="Negotiations are not reached in time for the x-date, government has a technical default."/>
    <x v="108"/>
    <s v="US HY Banking"/>
    <s v="Corporate HY USD - Industry"/>
    <s v="USD_HY_BANKBROK_SF"/>
    <s v="Corporate HY USD - Industry"/>
    <s v="OK"/>
    <x v="6"/>
    <s v="Spread Yield"/>
    <x v="5"/>
    <x v="4"/>
    <x v="77"/>
  </r>
  <r>
    <x v="13"/>
    <s v="US Debt Ceiling - Technical Default (5/2023)                "/>
    <n v="2484"/>
    <s v="Negotiations are not reached in time for the x-date, government has a technical default."/>
    <x v="109"/>
    <s v="DEM 10Y"/>
    <s v="Govt EUR (Ger)"/>
    <s v="10Y"/>
    <e v="#N/A"/>
    <s v="OK"/>
    <x v="9"/>
    <s v="Spread Yield"/>
    <x v="0"/>
    <x v="0"/>
    <x v="78"/>
  </r>
  <r>
    <x v="13"/>
    <s v="US Debt Ceiling - Technical Default (5/2023)                "/>
    <n v="2484"/>
    <s v="Negotiations are not reached in time for the x-date, government has a technical default."/>
    <x v="110"/>
    <s v="S&amp;P 500 Financials"/>
    <s v="Equity Implied Volatility"/>
    <s v="Financials"/>
    <e v="#N/A"/>
    <s v="OK"/>
    <x v="1"/>
    <s v="Index Level"/>
    <x v="1"/>
    <x v="1"/>
    <x v="79"/>
  </r>
  <r>
    <x v="13"/>
    <s v="US Debt Ceiling - Technical Default (5/2023)                "/>
    <n v="2484"/>
    <s v="Negotiations are not reached in time for the x-date, government has a technical default."/>
    <x v="111"/>
    <s v="Tsy 2y"/>
    <s v="Govt USD"/>
    <s v="2Y"/>
    <e v="#N/A"/>
    <s v="OK"/>
    <x v="0"/>
    <s v="Yield"/>
    <x v="0"/>
    <x v="0"/>
    <x v="80"/>
  </r>
  <r>
    <x v="14"/>
    <s v="US Debt Ceiling - Last Minute Agreement (5/2023)            "/>
    <n v="2483"/>
    <s v="Negotiations are reached close to the X-date, with a risk-off in the markets"/>
    <x v="112"/>
    <s v="Tsy 10Y"/>
    <s v="Govt USD"/>
    <s v="USD_10yr"/>
    <s v="Govt USD"/>
    <s v="OK"/>
    <x v="0"/>
    <s v="Yield"/>
    <x v="0"/>
    <x v="0"/>
    <x v="81"/>
  </r>
  <r>
    <x v="14"/>
    <s v="US Debt Ceiling - Last Minute Agreement (5/2023)            "/>
    <n v="2483"/>
    <s v="Negotiations are reached close to the X-date, with a risk-off in the markets"/>
    <x v="113"/>
    <s v="Gold COMEX 1"/>
    <s v="Alternative - Commodity"/>
    <s v="USD_COMD_GC_1"/>
    <s v="Alternative - Commodity"/>
    <s v="OK"/>
    <x v="2"/>
    <s v="Price Level"/>
    <x v="2"/>
    <x v="2"/>
    <x v="25"/>
  </r>
  <r>
    <x v="14"/>
    <s v="US Debt Ceiling - Last Minute Agreement (5/2023)            "/>
    <n v="2483"/>
    <s v="Negotiations are reached close to the X-date, with a risk-off in the markets"/>
    <x v="114"/>
    <s v="DXY"/>
    <e v="#N/A"/>
    <s v="DXY"/>
    <e v="#N/A"/>
    <s v="BOTH #N/A"/>
    <x v="18"/>
    <s v="Dollar Index"/>
    <x v="9"/>
    <x v="2"/>
    <x v="18"/>
  </r>
  <r>
    <x v="14"/>
    <s v="US Debt Ceiling - Last Minute Agreement (5/2023)            "/>
    <n v="2483"/>
    <s v="Negotiations are reached close to the X-date, with a risk-off in the markets"/>
    <x v="115"/>
    <s v="S&amp;P 500"/>
    <s v="Equity Implied Volatility"/>
    <s v="SPX"/>
    <s v="Equity Implied Volatility"/>
    <s v="OK"/>
    <x v="1"/>
    <s v="Index Level"/>
    <x v="1"/>
    <x v="1"/>
    <x v="79"/>
  </r>
  <r>
    <x v="14"/>
    <s v="US Debt Ceiling - Last Minute Agreement (5/2023)            "/>
    <n v="2483"/>
    <s v="Negotiations are reached close to the X-date, with a risk-off in the markets"/>
    <x v="116"/>
    <s v="US HY Banking"/>
    <s v="Corporate HY USD - Industry"/>
    <s v="USD_HY_BANKBROK_SF"/>
    <s v="Corporate HY USD - Industry"/>
    <s v="OK"/>
    <x v="6"/>
    <s v="Spread Yield"/>
    <x v="5"/>
    <x v="4"/>
    <x v="82"/>
  </r>
  <r>
    <x v="14"/>
    <s v="US Debt Ceiling - Last Minute Agreement (5/2023)            "/>
    <n v="2483"/>
    <s v="Negotiations are reached close to the X-date, with a risk-off in the markets"/>
    <x v="117"/>
    <s v="S&amp;P 500 Financials"/>
    <s v="Equity Implied Volatility"/>
    <s v="Financials"/>
    <e v="#N/A"/>
    <s v="OK"/>
    <x v="1"/>
    <s v="Index Level"/>
    <x v="1"/>
    <x v="1"/>
    <x v="57"/>
  </r>
  <r>
    <x v="15"/>
    <s v="EM Pandemic Crisis - Second Wave Outbreak in China          "/>
    <n v="2446"/>
    <s v="After moving to normalize economic activity, China experiences a second wave of COVID-19 cases. Chinese policymakers intervene to ensure stability, despite having scrapped a numerical GDP growth target for 2020."/>
    <x v="118"/>
    <s v="Tsy 10Y"/>
    <s v="Govt USD"/>
    <s v="USD_10yr"/>
    <s v="Govt USD"/>
    <s v="OK"/>
    <x v="0"/>
    <s v="Yield"/>
    <x v="0"/>
    <x v="0"/>
    <x v="31"/>
  </r>
  <r>
    <x v="15"/>
    <s v="EM Pandemic Crisis - Second Wave Outbreak in China          "/>
    <n v="2446"/>
    <s v="After moving to normalize economic activity, China experiences a second wave of COVID-19 cases. Chinese policymakers intervene to ensure stability, despite having scrapped a numerical GDP growth target for 2020."/>
    <x v="119"/>
    <s v="Brent Crude ICE 1"/>
    <s v="Alternative - Commodity"/>
    <s v="USD_COMD_CO_1"/>
    <s v="Alternative - Commodity"/>
    <s v="OK"/>
    <x v="2"/>
    <s v="Price Level"/>
    <x v="2"/>
    <x v="2"/>
    <x v="26"/>
  </r>
  <r>
    <x v="15"/>
    <s v="EM Pandemic Crisis - Second Wave Outbreak in China          "/>
    <n v="2446"/>
    <s v="After moving to normalize economic activity, China experiences a second wave of COVID-19 cases. Chinese policymakers intervene to ensure stability, despite having scrapped a numerical GDP growth target for 2020."/>
    <x v="120"/>
    <s v="CNYUSD"/>
    <e v="#N/A"/>
    <s v="CNY_FX_USD"/>
    <s v="Emerging Currency"/>
    <s v="OK"/>
    <x v="3"/>
    <s v="FX"/>
    <x v="3"/>
    <x v="3"/>
    <x v="52"/>
  </r>
  <r>
    <x v="15"/>
    <s v="EM Pandemic Crisis - Second Wave Outbreak in China          "/>
    <n v="2446"/>
    <s v="After moving to normalize economic activity, China experiences a second wave of COVID-19 cases. Chinese policymakers intervene to ensure stability, despite having scrapped a numerical GDP growth target for 2020."/>
    <x v="121"/>
    <s v="JPY/USD"/>
    <s v="JPY"/>
    <s v="JPY_FX_USD"/>
    <s v="JPY"/>
    <s v="OK"/>
    <x v="11"/>
    <s v="FX"/>
    <x v="3"/>
    <x v="3"/>
    <x v="25"/>
  </r>
  <r>
    <x v="15"/>
    <s v="EM Pandemic Crisis - Second Wave Outbreak in China          "/>
    <n v="2446"/>
    <s v="After moving to normalize economic activity, China experiences a second wave of COVID-19 cases. Chinese policymakers intervene to ensure stability, despite having scrapped a numerical GDP growth target for 2020."/>
    <x v="122"/>
    <s v="Time"/>
    <e v="#N/A"/>
    <s v="ALL_TIME"/>
    <e v="#N/A"/>
    <s v="BOTH #N/A"/>
    <x v="16"/>
    <s v="Time"/>
    <x v="8"/>
    <x v="2"/>
    <x v="53"/>
  </r>
  <r>
    <x v="15"/>
    <s v="EM Pandemic Crisis - Second Wave Outbreak in China          "/>
    <n v="2446"/>
    <s v="After moving to normalize economic activity, China experiences a second wave of COVID-19 cases. Chinese policymakers intervene to ensure stability, despite having scrapped a numerical GDP growth target for 2020."/>
    <x v="123"/>
    <s v="Construction Materials"/>
    <s v="Materials"/>
    <s v="FMI_APXJ_MATCONSTM"/>
    <e v="#N/A"/>
    <s v="OK"/>
    <x v="7"/>
    <s v="Industry Return"/>
    <x v="4"/>
    <x v="1"/>
    <x v="19"/>
  </r>
  <r>
    <x v="15"/>
    <s v="EM Pandemic Crisis - Second Wave Outbreak in China          "/>
    <n v="2446"/>
    <s v="After moving to normalize economic activity, China experiences a second wave of COVID-19 cases. Chinese policymakers intervene to ensure stability, despite having scrapped a numerical GDP growth target for 2020."/>
    <x v="124"/>
    <s v="Consumer Services"/>
    <s v="Consumer Discretionary"/>
    <s v="FMI_APXJ_CDICONSVCS"/>
    <e v="#N/A"/>
    <s v="OK"/>
    <x v="23"/>
    <s v="Industry Return"/>
    <x v="4"/>
    <x v="1"/>
    <x v="24"/>
  </r>
  <r>
    <x v="15"/>
    <s v="EM Pandemic Crisis - Second Wave Outbreak in China          "/>
    <n v="2446"/>
    <s v="After moving to normalize economic activity, China experiences a second wave of COVID-19 cases. Chinese policymakers intervene to ensure stability, despite having scrapped a numerical GDP growth target for 2020."/>
    <x v="125"/>
    <s v="EMBIG DxS"/>
    <s v="Spread Emerging Markets - Country"/>
    <s v="USD_EM_DS_G"/>
    <s v="Spread Emerging Markets - Country"/>
    <s v="OK"/>
    <x v="29"/>
    <s v="Spread Yield"/>
    <x v="5"/>
    <x v="4"/>
    <x v="29"/>
  </r>
  <r>
    <x v="15"/>
    <s v="EM Pandemic Crisis - Second Wave Outbreak in China          "/>
    <n v="2446"/>
    <s v="After moving to normalize economic activity, China experiences a second wave of COVID-19 cases. Chinese policymakers intervene to ensure stability, despite having scrapped a numerical GDP growth target for 2020."/>
    <x v="126"/>
    <s v="China Corp HY"/>
    <s v="Corporate HY USD - Industry"/>
    <s v="USD_CN_CORP_HY"/>
    <s v="Corporate HY USD - Industry"/>
    <s v="OK"/>
    <x v="6"/>
    <s v="Spread Yield"/>
    <x v="5"/>
    <x v="4"/>
    <x v="83"/>
  </r>
  <r>
    <x v="15"/>
    <s v="EM Pandemic Crisis - Second Wave Outbreak in China          "/>
    <n v="2446"/>
    <s v="After moving to normalize economic activity, China experiences a second wave of COVID-19 cases. Chinese policymakers intervene to ensure stability, despite having scrapped a numerical GDP growth target for 2020."/>
    <x v="127"/>
    <s v="MSCI China Index USD"/>
    <e v="#N/A"/>
    <s v="MSCINDRCHN"/>
    <s v="Other - Index"/>
    <s v="OK"/>
    <x v="12"/>
    <s v="Index Level"/>
    <x v="7"/>
    <x v="2"/>
    <x v="76"/>
  </r>
  <r>
    <x v="15"/>
    <s v="EM Pandemic Crisis - Second Wave Outbreak in China          "/>
    <n v="2446"/>
    <s v="After moving to normalize economic activity, China experiences a second wave of COVID-19 cases. Chinese policymakers intervene to ensure stability, despite having scrapped a numerical GDP growth target for 2020."/>
    <x v="128"/>
    <s v="MSCI World Net TR"/>
    <s v="Equity Implied Volatility"/>
    <s v="TR"/>
    <e v="#N/A"/>
    <s v="OK"/>
    <x v="1"/>
    <s v="Index Level"/>
    <x v="1"/>
    <x v="1"/>
    <x v="19"/>
  </r>
  <r>
    <x v="16"/>
    <s v="EM Pandemic Crisis - Widespread Infections Devastate LatAm  "/>
    <n v="2445"/>
    <s v="A jump in infection rates results in strict lockdowns across most of LatAm. Regional central banks loosen monetary policy in an effort to stimulate their economies, but markets panic as political instability rises and lockdown measures persist."/>
    <x v="118"/>
    <s v="Tsy 10Y"/>
    <s v="Govt USD"/>
    <s v="USD_10yr"/>
    <s v="Govt USD"/>
    <s v="OK"/>
    <x v="0"/>
    <s v="Yield"/>
    <x v="0"/>
    <x v="0"/>
    <x v="31"/>
  </r>
  <r>
    <x v="16"/>
    <s v="EM Pandemic Crisis - Widespread Infections Devastate LatAm  "/>
    <n v="2445"/>
    <s v="A jump in infection rates results in strict lockdowns across most of LatAm. Regional central banks loosen monetary policy in an effort to stimulate their economies, but markets panic as political instability rises and lockdown measures persist."/>
    <x v="119"/>
    <s v="Brent Crude ICE 1"/>
    <s v="Alternative - Commodity"/>
    <s v="USD_COMD_CO_1"/>
    <s v="Alternative - Commodity"/>
    <s v="OK"/>
    <x v="2"/>
    <s v="Price Level"/>
    <x v="2"/>
    <x v="2"/>
    <x v="26"/>
  </r>
  <r>
    <x v="16"/>
    <s v="EM Pandemic Crisis - Widespread Infections Devastate LatAm  "/>
    <n v="2445"/>
    <s v="A jump in infection rates results in strict lockdowns across most of LatAm. Regional central banks loosen monetary policy in an effort to stimulate their economies, but markets panic as political instability rises and lockdown measures persist."/>
    <x v="129"/>
    <s v="ITL 10Y"/>
    <s v="Spread Govt ITA"/>
    <s v="ITL_10yr"/>
    <s v="Spread Govt ITA"/>
    <s v="OK"/>
    <x v="30"/>
    <s v="Spread Yield"/>
    <x v="11"/>
    <x v="0"/>
    <x v="84"/>
  </r>
  <r>
    <x v="16"/>
    <s v="EM Pandemic Crisis - Widespread Infections Devastate LatAm  "/>
    <n v="2445"/>
    <s v="A jump in infection rates results in strict lockdowns across most of LatAm. Regional central banks loosen monetary policy in an effort to stimulate their economies, but markets panic as political instability rises and lockdown measures persist."/>
    <x v="130"/>
    <s v="RUB 10Y"/>
    <s v="Govt Emerging Markets"/>
    <s v="RUB_10yr"/>
    <s v="Govt Emerging Markets"/>
    <s v="OK"/>
    <x v="31"/>
    <s v="Yield"/>
    <x v="0"/>
    <x v="0"/>
    <x v="84"/>
  </r>
  <r>
    <x v="16"/>
    <s v="EM Pandemic Crisis - Widespread Infections Devastate LatAm  "/>
    <n v="2445"/>
    <s v="A jump in infection rates results in strict lockdowns across most of LatAm. Regional central banks loosen monetary policy in an effort to stimulate their economies, but markets panic as political instability rises and lockdown measures persist."/>
    <x v="131"/>
    <s v="CZKUSD"/>
    <e v="#N/A"/>
    <s v="CZK_FX_USD"/>
    <s v="Emerging Currency"/>
    <s v="OK"/>
    <x v="3"/>
    <s v="FX"/>
    <x v="3"/>
    <x v="3"/>
    <x v="57"/>
  </r>
  <r>
    <x v="16"/>
    <s v="EM Pandemic Crisis - Widespread Infections Devastate LatAm  "/>
    <n v="2445"/>
    <s v="A jump in infection rates results in strict lockdowns across most of LatAm. Regional central banks loosen monetary policy in an effort to stimulate their economies, but markets panic as political instability rises and lockdown measures persist."/>
    <x v="132"/>
    <s v="RUBUSD"/>
    <e v="#N/A"/>
    <s v="RUB_FX_USD"/>
    <s v="Emerging Currency"/>
    <s v="OK"/>
    <x v="3"/>
    <s v="FX"/>
    <x v="3"/>
    <x v="3"/>
    <x v="24"/>
  </r>
  <r>
    <x v="16"/>
    <s v="EM Pandemic Crisis - Widespread Infections Devastate LatAm  "/>
    <n v="2445"/>
    <s v="A jump in infection rates results in strict lockdowns across most of LatAm. Regional central banks loosen monetary policy in an effort to stimulate their economies, but markets panic as political instability rises and lockdown measures persist."/>
    <x v="133"/>
    <s v="DXY"/>
    <e v="#N/A"/>
    <s v="DXY"/>
    <e v="#N/A"/>
    <s v="BOTH #N/A"/>
    <x v="18"/>
    <s v="Dollar Index"/>
    <x v="9"/>
    <x v="2"/>
    <x v="63"/>
  </r>
  <r>
    <x v="16"/>
    <s v="EM Pandemic Crisis - Widespread Infections Devastate LatAm  "/>
    <n v="2445"/>
    <s v="A jump in infection rates results in strict lockdowns across most of LatAm. Regional central banks loosen monetary policy in an effort to stimulate their economies, but markets panic as political instability rises and lockdown measures persist."/>
    <x v="134"/>
    <s v="MSCI EUROPE(EUR)"/>
    <s v="Equity Implied Volatility"/>
    <s v="MXEU"/>
    <s v="Equity Implied Volatility"/>
    <s v="OK"/>
    <x v="1"/>
    <s v="Index Level"/>
    <x v="1"/>
    <x v="1"/>
    <x v="24"/>
  </r>
  <r>
    <x v="16"/>
    <s v="EM Pandemic Crisis - Widespread Infections Devastate LatAm  "/>
    <n v="2445"/>
    <s v="A jump in infection rates results in strict lockdowns across most of LatAm. Regional central banks loosen monetary policy in an effort to stimulate their economies, but markets panic as political instability rises and lockdown measures persist."/>
    <x v="122"/>
    <s v="Time"/>
    <e v="#N/A"/>
    <s v="ALL_TIME"/>
    <e v="#N/A"/>
    <s v="BOTH #N/A"/>
    <x v="16"/>
    <s v="Time"/>
    <x v="8"/>
    <x v="2"/>
    <x v="53"/>
  </r>
  <r>
    <x v="16"/>
    <s v="EM Pandemic Crisis - Widespread Infections Devastate LatAm  "/>
    <n v="2445"/>
    <s v="A jump in infection rates results in strict lockdowns across most of LatAm. Regional central banks loosen monetary policy in an effort to stimulate their economies, but markets panic as political instability rises and lockdown measures persist."/>
    <x v="135"/>
    <s v="Hotels Restaurants &amp; Leisure"/>
    <e v="#N/A"/>
    <s v="FMI_EMEA_CDIHOTREST"/>
    <e v="#N/A"/>
    <s v="BOTH #N/A"/>
    <x v="23"/>
    <s v="Consumer Discretionary"/>
    <x v="4"/>
    <x v="1"/>
    <x v="22"/>
  </r>
  <r>
    <x v="16"/>
    <s v="EM Pandemic Crisis - Widespread Infections Devastate LatAm  "/>
    <n v="2445"/>
    <s v="A jump in infection rates results in strict lockdowns across most of LatAm. Regional central banks loosen monetary policy in an effort to stimulate their economies, but markets panic as political instability rises and lockdown measures persist."/>
    <x v="136"/>
    <s v="Saudi Arabia"/>
    <s v="Emerging Markets"/>
    <s v="FMI_WRLD_SAU"/>
    <s v="Emerging Markets"/>
    <s v="OK"/>
    <x v="32"/>
    <s v="Country Return"/>
    <x v="12"/>
    <x v="1"/>
    <x v="24"/>
  </r>
  <r>
    <x v="16"/>
    <s v="EM Pandemic Crisis - Widespread Infections Devastate LatAm  "/>
    <n v="2445"/>
    <s v="A jump in infection rates results in strict lockdowns across most of LatAm. Regional central banks loosen monetary policy in an effort to stimulate their economies, but markets panic as political instability rises and lockdown measures persist."/>
    <x v="137"/>
    <s v="EMBIG DxS"/>
    <s v="Spread Emerging Markets - Country"/>
    <s v="USD_EM_DS_G"/>
    <s v="Spread Emerging Markets - Country"/>
    <s v="OK"/>
    <x v="29"/>
    <s v="Spread Yield"/>
    <x v="5"/>
    <x v="4"/>
    <x v="23"/>
  </r>
  <r>
    <x v="16"/>
    <s v="EM Pandemic Crisis - Widespread Infections Devastate LatAm  "/>
    <n v="2445"/>
    <s v="A jump in infection rates results in strict lockdowns across most of LatAm. Regional central banks loosen monetary policy in an effort to stimulate their economies, but markets panic as political instability rises and lockdown measures persist."/>
    <x v="138"/>
    <s v="Middle East and Africa"/>
    <s v="Spread Yield"/>
    <s v="USD_EM_CORP_MIDAF"/>
    <s v="Other - Spread Yield"/>
    <s v="OK"/>
    <x v="33"/>
    <s v="Spread Yield"/>
    <x v="10"/>
    <x v="5"/>
    <x v="77"/>
  </r>
  <r>
    <x v="16"/>
    <s v="EM Pandemic Crisis - Widespread Infections Devastate LatAm  "/>
    <n v="2445"/>
    <s v="A jump in infection rates results in strict lockdowns across most of LatAm. Regional central banks loosen monetary policy in an effort to stimulate their economies, but markets panic as political instability rises and lockdown measures persist."/>
    <x v="139"/>
    <s v="BRL 3M"/>
    <s v="Govt Emerging Markets"/>
    <s v="BRL_3m"/>
    <s v="Govt Emerging Markets"/>
    <s v="OK"/>
    <x v="31"/>
    <s v="Yield"/>
    <x v="0"/>
    <x v="0"/>
    <x v="81"/>
  </r>
  <r>
    <x v="16"/>
    <s v="EM Pandemic Crisis - Widespread Infections Devastate LatAm  "/>
    <n v="2445"/>
    <s v="A jump in infection rates results in strict lockdowns across most of LatAm. Regional central banks loosen monetary policy in an effort to stimulate their economies, but markets panic as political instability rises and lockdown measures persist."/>
    <x v="140"/>
    <s v="BRL 10Y"/>
    <s v="Govt Emerging Markets"/>
    <s v="BRL_10yr"/>
    <s v="Govt Emerging Markets"/>
    <s v="OK"/>
    <x v="31"/>
    <s v="Yield"/>
    <x v="0"/>
    <x v="0"/>
    <x v="23"/>
  </r>
  <r>
    <x v="16"/>
    <s v="EM Pandemic Crisis - Widespread Infections Devastate LatAm  "/>
    <n v="2445"/>
    <s v="A jump in infection rates results in strict lockdowns across most of LatAm. Regional central banks loosen monetary policy in an effort to stimulate their economies, but markets panic as political instability rises and lockdown measures persist."/>
    <x v="141"/>
    <s v="BRLUSD"/>
    <e v="#N/A"/>
    <s v="BRL_FX_USD"/>
    <s v="Emerging Currency"/>
    <s v="OK"/>
    <x v="3"/>
    <s v="FX"/>
    <x v="3"/>
    <x v="3"/>
    <x v="76"/>
  </r>
  <r>
    <x v="16"/>
    <s v="EM Pandemic Crisis - Widespread Infections Devastate LatAm  "/>
    <n v="2445"/>
    <s v="A jump in infection rates results in strict lockdowns across most of LatAm. Regional central banks loosen monetary policy in an effort to stimulate their economies, but markets panic as political instability rises and lockdown measures persist."/>
    <x v="142"/>
    <s v="VIX"/>
    <s v="Equity Implied Volatility"/>
    <s v="VIX"/>
    <s v="Equity Implied Volatility"/>
    <s v="OK"/>
    <x v="1"/>
    <s v="Index Level"/>
    <x v="1"/>
    <x v="1"/>
    <x v="20"/>
  </r>
  <r>
    <x v="16"/>
    <s v="EM Pandemic Crisis - Widespread Infections Devastate LatAm  "/>
    <n v="2445"/>
    <s v="A jump in infection rates results in strict lockdowns across most of LatAm. Regional central banks loosen monetary policy in an effort to stimulate their economies, but markets panic as political instability rises and lockdown measures persist."/>
    <x v="122"/>
    <s v="Time"/>
    <e v="#N/A"/>
    <s v="ALL_TIME"/>
    <e v="#N/A"/>
    <s v="BOTH #N/A"/>
    <x v="16"/>
    <s v="Time"/>
    <x v="8"/>
    <x v="2"/>
    <x v="53"/>
  </r>
  <r>
    <x v="16"/>
    <s v="EM Pandemic Crisis - Widespread Infections Devastate LatAm  "/>
    <n v="2445"/>
    <s v="A jump in infection rates results in strict lockdowns across most of LatAm. Regional central banks loosen monetary policy in an effort to stimulate their economies, but markets panic as political instability rises and lockdown measures persist."/>
    <x v="143"/>
    <s v="Cons Staples x Alcohol &amp; Tob"/>
    <s v="Consumer Staples"/>
    <s v="FMI_LATC_CSTXALCTOB"/>
    <e v="#N/A"/>
    <s v="OK"/>
    <x v="34"/>
    <s v="Industry Return"/>
    <x v="4"/>
    <x v="1"/>
    <x v="19"/>
  </r>
  <r>
    <x v="16"/>
    <s v="EM Pandemic Crisis - Widespread Infections Devastate LatAm  "/>
    <n v="2445"/>
    <s v="A jump in infection rates results in strict lockdowns across most of LatAm. Regional central banks loosen monetary policy in an effort to stimulate their economies, but markets panic as political instability rises and lockdown measures persist."/>
    <x v="144"/>
    <s v="Banks"/>
    <e v="#N/A"/>
    <s v="FMI_LATC_FINBANK"/>
    <e v="#N/A"/>
    <s v="BOTH #N/A"/>
    <x v="35"/>
    <s v="Financials"/>
    <x v="4"/>
    <x v="1"/>
    <x v="24"/>
  </r>
  <r>
    <x v="16"/>
    <s v="EM Pandemic Crisis - Widespread Infections Devastate LatAm  "/>
    <n v="2445"/>
    <s v="A jump in infection rates results in strict lockdowns across most of LatAm. Regional central banks loosen monetary policy in an effort to stimulate their economies, but markets panic as political instability rises and lockdown measures persist."/>
    <x v="137"/>
    <s v="EMBIG DxS"/>
    <s v="Spread Emerging Markets - Country"/>
    <s v="USD_EM_DS_G"/>
    <s v="Spread Emerging Markets - Country"/>
    <s v="OK"/>
    <x v="29"/>
    <s v="Spread Yield"/>
    <x v="5"/>
    <x v="4"/>
    <x v="23"/>
  </r>
  <r>
    <x v="16"/>
    <s v="EM Pandemic Crisis - Widespread Infections Devastate LatAm  "/>
    <n v="2445"/>
    <s v="A jump in infection rates results in strict lockdowns across most of LatAm. Regional central banks loosen monetary policy in an effort to stimulate their economies, but markets panic as political instability rises and lockdown measures persist."/>
    <x v="145"/>
    <s v="Mexico"/>
    <s v="Emerging Markets"/>
    <s v="USD_EM_DS_MEXICO"/>
    <s v="Spread Emerging Markets - Country"/>
    <s v="OK"/>
    <x v="29"/>
    <s v="Spread Yield"/>
    <x v="5"/>
    <x v="4"/>
    <x v="77"/>
  </r>
  <r>
    <x v="16"/>
    <s v="EM Pandemic Crisis - Widespread Infections Devastate LatAm  "/>
    <n v="2445"/>
    <s v="A jump in infection rates results in strict lockdowns across most of LatAm. Regional central banks loosen monetary policy in an effort to stimulate their economies, but markets panic as political instability rises and lockdown measures persist."/>
    <x v="146"/>
    <s v="MSCI EM Latin America Loc"/>
    <e v="#N/A"/>
    <s v="MS_LA_LCL"/>
    <s v="Other - Index"/>
    <s v="OK"/>
    <x v="12"/>
    <s v="Index Level"/>
    <x v="7"/>
    <x v="2"/>
    <x v="76"/>
  </r>
  <r>
    <x v="16"/>
    <s v="EM Pandemic Crisis - Widespread Infections Devastate LatAm  "/>
    <n v="2445"/>
    <s v="A jump in infection rates results in strict lockdowns across most of LatAm. Regional central banks loosen monetary policy in an effort to stimulate their economies, but markets panic as political instability rises and lockdown measures persist."/>
    <x v="147"/>
    <s v="LA Industrial"/>
    <s v="Corporate HY USD - Industry"/>
    <s v="USD_EM_CORP_SA_INDU"/>
    <s v="Corporate HY USD - Industry"/>
    <s v="OK"/>
    <x v="6"/>
    <s v="Spread Yield"/>
    <x v="5"/>
    <x v="4"/>
    <x v="77"/>
  </r>
  <r>
    <x v="17"/>
    <s v="Chinese Market Crash '15 - Absolute, June 12 - Aug 26, 2015 "/>
    <n v="2318"/>
    <s v="A jump in infection rates results in strict lockdowns across most of LatAm. Regional central banks loosen monetary policy in an effort to stimulate their economies, but markets panic as political instability rises and lockdown measures persist."/>
    <x v="79"/>
    <m/>
    <e v="#N/A"/>
    <s v="-"/>
    <e v="#N/A"/>
    <s v="BOTH #N/A"/>
    <x v="24"/>
    <s v="-"/>
    <x v="10"/>
    <x v="5"/>
    <x v="59"/>
  </r>
  <r>
    <x v="18"/>
    <s v="Chinese Market Crash '15 - Relative, June 12 - Aug 26, 2015 "/>
    <n v="2317"/>
    <s v="A jump in infection rates results in strict lockdowns across most of LatAm. Regional central banks loosen monetary policy in an effort to stimulate their economies, but markets panic as political instability rises and lockdown measures persist."/>
    <x v="79"/>
    <m/>
    <e v="#N/A"/>
    <s v="-"/>
    <e v="#N/A"/>
    <s v="BOTH #N/A"/>
    <x v="24"/>
    <s v="-"/>
    <x v="10"/>
    <x v="5"/>
    <x v="59"/>
  </r>
  <r>
    <x v="19"/>
    <s v="US-China Trade Relations - Global Trade Protectionism       "/>
    <n v="2412"/>
    <s v="A jump in infection rates results in strict lockdowns across most of LatAm. Regional central banks loosen monetary policy in an effort to stimulate their economies, but markets panic as political instability rises and lockdown measures persist."/>
    <x v="148"/>
    <s v="Tsy 10Y"/>
    <s v="Govt USD"/>
    <s v="USD_10yr"/>
    <s v="Govt USD"/>
    <s v="OK"/>
    <x v="0"/>
    <s v="Yield"/>
    <x v="0"/>
    <x v="0"/>
    <x v="85"/>
  </r>
  <r>
    <x v="19"/>
    <s v="US-China Trade Relations - Global Trade Protectionism       "/>
    <n v="2412"/>
    <s v="A jump in infection rates results in strict lockdowns across most of LatAm. Regional central banks loosen monetary policy in an effort to stimulate their economies, but markets panic as political instability rises and lockdown measures persist."/>
    <x v="149"/>
    <s v="USD INF 10Y"/>
    <s v="USD Inflation"/>
    <s v="USD_INF_10yr"/>
    <s v="USD Inflation"/>
    <s v="OK"/>
    <x v="8"/>
    <s v="Yield"/>
    <x v="6"/>
    <x v="2"/>
    <x v="31"/>
  </r>
  <r>
    <x v="19"/>
    <s v="US-China Trade Relations - Global Trade Protectionism       "/>
    <n v="2412"/>
    <s v="A jump in infection rates results in strict lockdowns across most of LatAm. Regional central banks loosen monetary policy in an effort to stimulate their economies, but markets panic as political instability rises and lockdown measures persist."/>
    <x v="150"/>
    <s v="Copper CMX 1"/>
    <s v="Alternative - Commodity"/>
    <s v="USD_COMD_HG_1"/>
    <s v="Alternative - Commodity"/>
    <s v="OK"/>
    <x v="2"/>
    <s v="Price Level"/>
    <x v="2"/>
    <x v="2"/>
    <x v="24"/>
  </r>
  <r>
    <x v="19"/>
    <s v="US-China Trade Relations - Global Trade Protectionism       "/>
    <n v="2412"/>
    <s v="A jump in infection rates results in strict lockdowns across most of LatAm. Regional central banks loosen monetary policy in an effort to stimulate their economies, but markets panic as political instability rises and lockdown measures persist."/>
    <x v="151"/>
    <s v="Gold COMEX 1"/>
    <s v="Alternative - Commodity"/>
    <s v="USD_COMD_GC_1"/>
    <s v="Alternative - Commodity"/>
    <s v="OK"/>
    <x v="2"/>
    <s v="Price Level"/>
    <x v="2"/>
    <x v="2"/>
    <x v="44"/>
  </r>
  <r>
    <x v="19"/>
    <s v="US-China Trade Relations - Global Trade Protectionism       "/>
    <n v="2412"/>
    <s v="A jump in infection rates results in strict lockdowns across most of LatAm. Regional central banks loosen monetary policy in an effort to stimulate their economies, but markets panic as political instability rises and lockdown measures persist."/>
    <x v="152"/>
    <s v="MXN 10Y"/>
    <s v="Govt Emerging Markets"/>
    <s v="MXN_10yr"/>
    <s v="Govt Emerging Markets"/>
    <s v="OK"/>
    <x v="31"/>
    <s v="Yield"/>
    <x v="0"/>
    <x v="0"/>
    <x v="84"/>
  </r>
  <r>
    <x v="19"/>
    <s v="US-China Trade Relations - Global Trade Protectionism       "/>
    <n v="2412"/>
    <s v="A jump in infection rates results in strict lockdowns across most of LatAm. Regional central banks loosen monetary policy in an effort to stimulate their economies, but markets panic as political instability rises and lockdown measures persist."/>
    <x v="153"/>
    <s v="CNYUSD"/>
    <e v="#N/A"/>
    <s v="CNY_FX_USD"/>
    <s v="Emerging Currency"/>
    <s v="OK"/>
    <x v="3"/>
    <s v="FX"/>
    <x v="3"/>
    <x v="3"/>
    <x v="51"/>
  </r>
  <r>
    <x v="19"/>
    <s v="US-China Trade Relations - Global Trade Protectionism       "/>
    <n v="2412"/>
    <s v="A jump in infection rates results in strict lockdowns across most of LatAm. Regional central banks loosen monetary policy in an effort to stimulate their economies, but markets panic as political instability rises and lockdown measures persist."/>
    <x v="154"/>
    <s v="MXNUSD"/>
    <e v="#N/A"/>
    <s v="MXN_FX_USD"/>
    <s v="Emerging Currency"/>
    <s v="OK"/>
    <x v="3"/>
    <s v="FX"/>
    <x v="3"/>
    <x v="3"/>
    <x v="36"/>
  </r>
  <r>
    <x v="19"/>
    <s v="US-China Trade Relations - Global Trade Protectionism       "/>
    <n v="2412"/>
    <s v="Chinese stock market crash beginning with the popping of the stock market bubble on 12 June 2015"/>
    <x v="133"/>
    <s v="DXY"/>
    <e v="#N/A"/>
    <s v="DXY"/>
    <e v="#N/A"/>
    <s v="BOTH #N/A"/>
    <x v="18"/>
    <s v="Dollar Index"/>
    <x v="9"/>
    <x v="2"/>
    <x v="63"/>
  </r>
  <r>
    <x v="19"/>
    <s v="US-China Trade Relations - Global Trade Protectionism       "/>
    <n v="2412"/>
    <s v="Chinese stock market crash beginning with the popping of the stock market bubble on 12 June 2015"/>
    <x v="155"/>
    <s v="S&amp;P 500"/>
    <s v="Equity Implied Volatility"/>
    <s v="SPX"/>
    <s v="Equity Implied Volatility"/>
    <s v="OK"/>
    <x v="1"/>
    <s v="Index Level"/>
    <x v="1"/>
    <x v="1"/>
    <x v="36"/>
  </r>
  <r>
    <x v="19"/>
    <s v="US-China Trade Relations - Global Trade Protectionism       "/>
    <n v="2412"/>
    <s v="US-China Trade Relations - Global Trade Protectionism: US protectionism escalates trade disputes, and market sentiment deteriorates amid fears of a global trade war."/>
    <x v="156"/>
    <s v="Global HY 5"/>
    <s v="Corporate HY Other - Maturity"/>
    <s v="ALL_GLB_CORP_HY_5Y"/>
    <s v="Corporate HY Other - Maturity"/>
    <s v="OK"/>
    <x v="36"/>
    <s v="Spread Yield"/>
    <x v="5"/>
    <x v="4"/>
    <x v="86"/>
  </r>
  <r>
    <x v="19"/>
    <s v="US-China Trade Relations - Global Trade Protectionism       "/>
    <n v="2412"/>
    <s v="US-China Trade Relations - Global Trade Protectionism: US protectionism escalates trade disputes, and market sentiment deteriorates amid fears of a global trade war."/>
    <x v="157"/>
    <s v="EMBIG DxS"/>
    <s v="Spread Emerging Markets - Country"/>
    <s v="USD_EM_DS_G"/>
    <s v="Spread Emerging Markets - Country"/>
    <s v="OK"/>
    <x v="29"/>
    <s v="Spread Yield"/>
    <x v="5"/>
    <x v="4"/>
    <x v="84"/>
  </r>
  <r>
    <x v="19"/>
    <s v="US-China Trade Relations - Global Trade Protectionism       "/>
    <n v="2412"/>
    <s v="US-China Trade Relations - Global Trade Protectionism: US protectionism escalates trade disputes, and market sentiment deteriorates amid fears of a global trade war."/>
    <x v="158"/>
    <s v="China Corp HY"/>
    <s v="Corporate HY USD - Industry"/>
    <s v="USD_CN_CORP_HY"/>
    <s v="Corporate HY USD - Industry"/>
    <s v="OK"/>
    <x v="6"/>
    <s v="Spread Yield"/>
    <x v="5"/>
    <x v="4"/>
    <x v="29"/>
  </r>
  <r>
    <x v="19"/>
    <s v="US-China Trade Relations - Global Trade Protectionism       "/>
    <n v="2412"/>
    <s v="US-China Trade Relations - Global Trade Protectionism: US protectionism escalates trade disputes, and market sentiment deteriorates amid fears of a global trade war."/>
    <x v="159"/>
    <s v="MSCI China"/>
    <s v="Other - Index"/>
    <s v="MS_CN_LCL"/>
    <s v="Other - Index"/>
    <s v="OK"/>
    <x v="12"/>
    <s v="Index Level"/>
    <x v="7"/>
    <x v="2"/>
    <x v="76"/>
  </r>
  <r>
    <x v="19"/>
    <s v="US-China Trade Relations - Global Trade Protectionism       "/>
    <n v="2412"/>
    <s v="US-China Trade Relations - Global Trade Protectionism: US protectionism escalates trade disputes, and market sentiment deteriorates amid fears of a global trade war."/>
    <x v="160"/>
    <s v="MS Emerging Mkts"/>
    <s v="Equity Implied Volatility"/>
    <s v="Mkts"/>
    <e v="#N/A"/>
    <s v="OK"/>
    <x v="1"/>
    <s v="Index Level"/>
    <x v="1"/>
    <x v="1"/>
    <x v="57"/>
  </r>
  <r>
    <x v="20"/>
    <s v="US-China Trade Relations - Tariffs &amp; Investment Restrictions"/>
    <n v="2411"/>
    <s v="US-China Trade Relations - Global Trade Protectionism: US protectionism escalates trade disputes, and market sentiment deteriorates amid fears of a global trade war."/>
    <x v="161"/>
    <s v="Tsy 2Y"/>
    <s v="Govt USD"/>
    <s v="USD_2yr"/>
    <s v="Govt USD"/>
    <s v="OK"/>
    <x v="0"/>
    <s v="Yield"/>
    <x v="0"/>
    <x v="0"/>
    <x v="87"/>
  </r>
  <r>
    <x v="20"/>
    <s v="US-China Trade Relations - Tariffs &amp; Investment Restrictions"/>
    <n v="2411"/>
    <s v="US-China Trade Relations - Global Trade Protectionism: US protectionism escalates trade disputes, and market sentiment deteriorates amid fears of a global trade war."/>
    <x v="162"/>
    <s v="Tsy 10Y"/>
    <s v="Govt USD"/>
    <s v="USD_10yr"/>
    <s v="Govt USD"/>
    <s v="OK"/>
    <x v="0"/>
    <s v="Yield"/>
    <x v="0"/>
    <x v="0"/>
    <x v="88"/>
  </r>
  <r>
    <x v="20"/>
    <s v="US-China Trade Relations - Tariffs &amp; Investment Restrictions"/>
    <n v="2411"/>
    <s v="US-China Trade Relations - Global Trade Protectionism: US protectionism escalates trade disputes, and market sentiment deteriorates amid fears of a global trade war."/>
    <x v="149"/>
    <s v="USD INF 10Y"/>
    <s v="USD Inflation"/>
    <s v="USD_INF_10yr"/>
    <s v="USD Inflation"/>
    <s v="OK"/>
    <x v="8"/>
    <s v="Yield"/>
    <x v="6"/>
    <x v="2"/>
    <x v="31"/>
  </r>
  <r>
    <x v="20"/>
    <s v="US-China Trade Relations - Tariffs &amp; Investment Restrictions"/>
    <n v="2411"/>
    <s v="US-China Trade Relations - Global Trade Protectionism: US protectionism escalates trade disputes, and market sentiment deteriorates amid fears of a global trade war."/>
    <x v="163"/>
    <s v="Brent Crude ICE 1"/>
    <s v="Alternative - Commodity"/>
    <s v="USD_COMD_CO_1"/>
    <s v="Alternative - Commodity"/>
    <s v="OK"/>
    <x v="2"/>
    <s v="Price Level"/>
    <x v="2"/>
    <x v="2"/>
    <x v="24"/>
  </r>
  <r>
    <x v="20"/>
    <s v="US-China Trade Relations - Tariffs &amp; Investment Restrictions"/>
    <n v="2411"/>
    <s v="US-China Trade Relations - Global Trade Protectionism: US protectionism escalates trade disputes, and market sentiment deteriorates amid fears of a global trade war."/>
    <x v="150"/>
    <s v="Copper CMX 1"/>
    <s v="Alternative - Commodity"/>
    <s v="USD_COMD_HG_1"/>
    <s v="Alternative - Commodity"/>
    <s v="OK"/>
    <x v="2"/>
    <s v="Price Level"/>
    <x v="2"/>
    <x v="2"/>
    <x v="24"/>
  </r>
  <r>
    <x v="20"/>
    <s v="US-China Trade Relations - Tariffs &amp; Investment Restrictions"/>
    <n v="2411"/>
    <s v="US-China Trade Relations - Global Trade Protectionism: US protectionism escalates trade disputes, and market sentiment deteriorates amid fears of a global trade war."/>
    <x v="164"/>
    <s v="Gold"/>
    <s v="Materials"/>
    <s v="GOLD_SPOT"/>
    <s v="Alternative - Commodity"/>
    <s v="OK"/>
    <x v="2"/>
    <s v="Price Level"/>
    <x v="2"/>
    <x v="2"/>
    <x v="25"/>
  </r>
  <r>
    <x v="20"/>
    <s v="US-China Trade Relations - Tariffs &amp; Investment Restrictions"/>
    <n v="2411"/>
    <s v="US-China Trade Relations - Global Trade Protectionism: US protectionism escalates trade disputes, and market sentiment deteriorates amid fears of a global trade war."/>
    <x v="165"/>
    <s v="US Tech IG"/>
    <s v="Corporate IG USD - Industry"/>
    <s v="USD_TECH_IG3"/>
    <s v="Corporate IG USD - Industry"/>
    <s v="OK"/>
    <x v="37"/>
    <s v="Spread Yield"/>
    <x v="5"/>
    <x v="4"/>
    <x v="89"/>
  </r>
  <r>
    <x v="20"/>
    <s v="US-China Trade Relations - Tariffs &amp; Investment Restrictions"/>
    <n v="2411"/>
    <s v="US-China Trade Relations - Global Trade Protectionism: US protectionism escalates trade disputes, and market sentiment deteriorates amid fears of a global trade war."/>
    <x v="166"/>
    <s v="CNYUSD"/>
    <e v="#N/A"/>
    <s v="CNY_FX_USD"/>
    <s v="Emerging Currency"/>
    <s v="OK"/>
    <x v="3"/>
    <s v="FX"/>
    <x v="3"/>
    <x v="3"/>
    <x v="90"/>
  </r>
  <r>
    <x v="20"/>
    <s v="US-China Trade Relations - Tariffs &amp; Investment Restrictions"/>
    <n v="2411"/>
    <s v="US-China Trade Relations - Global Trade Protectionism: US protectionism escalates trade disputes, and market sentiment deteriorates amid fears of a global trade war."/>
    <x v="167"/>
    <s v="DXY"/>
    <e v="#N/A"/>
    <s v="DXY"/>
    <e v="#N/A"/>
    <s v="BOTH #N/A"/>
    <x v="18"/>
    <s v="Dollar Index"/>
    <x v="9"/>
    <x v="2"/>
    <x v="52"/>
  </r>
  <r>
    <x v="20"/>
    <s v="US-China Trade Relations - Tariffs &amp; Investment Restrictions"/>
    <n v="2411"/>
    <s v="US-China Trade Relations - Tariffs &amp; Investment Restrictions : Trade relations are strained due to broad US sanctions on China and investment restrictions from both countries."/>
    <x v="168"/>
    <s v="Growth"/>
    <s v="Local Styles"/>
    <s v="FMI_WRLD_GROWTH"/>
    <s v="Local Styles"/>
    <s v="OK"/>
    <x v="38"/>
    <s v="Style Return"/>
    <x v="13"/>
    <x v="1"/>
    <x v="91"/>
  </r>
  <r>
    <x v="20"/>
    <s v="US-China Trade Relations - Tariffs &amp; Investment Restrictions"/>
    <n v="2411"/>
    <s v="US-China Trade Relations - Tariffs &amp; Investment Restrictions : Trade relations are strained due to broad US sanctions on China and investment restrictions from both countries."/>
    <x v="169"/>
    <s v="Non China Corp HY"/>
    <e v="#N/A"/>
    <s v="ALL_CN_CORP_HY"/>
    <s v="Corporate HY EUR - Industry"/>
    <s v="OK"/>
    <x v="39"/>
    <s v="Spread Yield"/>
    <x v="5"/>
    <x v="4"/>
    <x v="23"/>
  </r>
  <r>
    <x v="20"/>
    <s v="US-China Trade Relations - Tariffs &amp; Investment Restrictions"/>
    <n v="2411"/>
    <s v="US-China Trade Relations - Tariffs &amp; Investment Restrictions : Trade relations are strained due to broad US sanctions on China and investment restrictions from both countries."/>
    <x v="170"/>
    <s v="MSCI China"/>
    <s v="Other - Index"/>
    <s v="MS_CN_LCL"/>
    <s v="Other - Index"/>
    <s v="OK"/>
    <x v="12"/>
    <s v="Index Level"/>
    <x v="7"/>
    <x v="2"/>
    <x v="22"/>
  </r>
  <r>
    <x v="20"/>
    <s v="US-China Trade Relations - Tariffs &amp; Investment Restrictions"/>
    <n v="2411"/>
    <s v="US-China Trade Relations - Tariffs &amp; Investment Restrictions : Trade relations are strained due to broad US sanctions on China and investment restrictions from both countries."/>
    <x v="171"/>
    <s v="S&amp;P 500 Technology"/>
    <s v="Equity Implied Volatility"/>
    <s v="Technology"/>
    <e v="#N/A"/>
    <s v="OK"/>
    <x v="1"/>
    <s v="Index Level"/>
    <x v="1"/>
    <x v="1"/>
    <x v="57"/>
  </r>
  <r>
    <x v="21"/>
    <s v="US-China Trade Relations - Trade Stand-Off                  "/>
    <n v="2410"/>
    <s v="US-China Trade Relations - Tariffs &amp; Investment Restrictions : Trade relations are strained due to broad US sanctions on China and investment restrictions from both countries."/>
    <x v="172"/>
    <s v="USD INF 10Y"/>
    <s v="USD Inflation"/>
    <s v="USD_INF_10yr"/>
    <s v="USD Inflation"/>
    <s v="OK"/>
    <x v="8"/>
    <s v="Yield"/>
    <x v="6"/>
    <x v="2"/>
    <x v="50"/>
  </r>
  <r>
    <x v="21"/>
    <s v="US-China Trade Relations - Trade Stand-Off                  "/>
    <n v="2410"/>
    <s v="US-China Trade Relations - Tariffs &amp; Investment Restrictions : Trade relations are strained due to broad US sanctions on China and investment restrictions from both countries."/>
    <x v="173"/>
    <s v="Soybeans CBOT 1"/>
    <s v="Alternative - Commodity"/>
    <s v="USD_COMD_S_1"/>
    <s v="Alternative - Commodity"/>
    <s v="OK"/>
    <x v="2"/>
    <s v="Price Level"/>
    <x v="2"/>
    <x v="2"/>
    <x v="52"/>
  </r>
  <r>
    <x v="21"/>
    <s v="US-China Trade Relations - Trade Stand-Off                  "/>
    <n v="2410"/>
    <s v="US-China Trade Relations - Tariffs &amp; Investment Restrictions : Trade relations are strained due to broad US sanctions on China and investment restrictions from both countries."/>
    <x v="174"/>
    <s v="US Auto IG"/>
    <s v="Corporate IG USD - Industry"/>
    <s v="USD_AUTO_IG3"/>
    <s v="Corporate IG USD - Industry"/>
    <s v="OK"/>
    <x v="37"/>
    <s v="Spread Yield"/>
    <x v="5"/>
    <x v="4"/>
    <x v="92"/>
  </r>
  <r>
    <x v="21"/>
    <s v="US-China Trade Relations - Trade Stand-Off                  "/>
    <n v="2410"/>
    <s v="US-China Trade Relations - Tariffs &amp; Investment Restrictions : Trade relations are strained due to broad US sanctions on China and investment restrictions from both countries."/>
    <x v="175"/>
    <s v="CNYUSD"/>
    <e v="#N/A"/>
    <s v="CNY_FX_USD"/>
    <s v="Emerging Currency"/>
    <s v="OK"/>
    <x v="3"/>
    <s v="FX"/>
    <x v="3"/>
    <x v="3"/>
    <x v="56"/>
  </r>
  <r>
    <x v="21"/>
    <s v="US-China Trade Relations - Trade Stand-Off                  "/>
    <n v="2410"/>
    <s v="US-China Trade Relations - Tariffs &amp; Investment Restrictions : Trade relations are strained due to broad US sanctions on China and investment restrictions from both countries."/>
    <x v="176"/>
    <s v="DXY"/>
    <e v="#N/A"/>
    <s v="DXY"/>
    <e v="#N/A"/>
    <s v="BOTH #N/A"/>
    <x v="18"/>
    <s v="Dollar Index"/>
    <x v="9"/>
    <x v="2"/>
    <x v="49"/>
  </r>
  <r>
    <x v="21"/>
    <s v="US-China Trade Relations - Trade Stand-Off                  "/>
    <n v="2410"/>
    <s v="US-China Trade Relations - Tariffs &amp; Investment Restrictions : Trade relations are strained due to broad US sanctions on China and investment restrictions from both countries."/>
    <x v="177"/>
    <s v="S&amp;P 500"/>
    <s v="Equity Implied Volatility"/>
    <s v="SPX"/>
    <s v="Equity Implied Volatility"/>
    <s v="OK"/>
    <x v="1"/>
    <s v="Index Level"/>
    <x v="1"/>
    <x v="1"/>
    <x v="75"/>
  </r>
  <r>
    <x v="21"/>
    <s v="US-China Trade Relations - Trade Stand-Off                  "/>
    <n v="2410"/>
    <s v="US-China Trade Relations - Tariffs &amp; Investment Restrictions : Trade relations are strained due to broad US sanctions on China and investment restrictions from both countries."/>
    <x v="178"/>
    <s v="Chemicals"/>
    <s v="Materials"/>
    <s v="FMI_NAMR_MATCHEM"/>
    <e v="#N/A"/>
    <s v="OK"/>
    <x v="7"/>
    <s v="Industry Return"/>
    <x v="4"/>
    <x v="1"/>
    <x v="56"/>
  </r>
  <r>
    <x v="21"/>
    <s v="US-China Trade Relations - Trade Stand-Off                  "/>
    <n v="2410"/>
    <s v="US-China Trade Relations - Tariffs &amp; Investment Restrictions : Trade relations are strained due to broad US sanctions on China and investment restrictions from both countries."/>
    <x v="179"/>
    <s v="Aerospace &amp; Defense"/>
    <s v="Industrials"/>
    <s v="FMI_NAMR_INDAIRDEF"/>
    <e v="#N/A"/>
    <s v="OK"/>
    <x v="4"/>
    <s v="Industry Return"/>
    <x v="4"/>
    <x v="1"/>
    <x v="51"/>
  </r>
  <r>
    <x v="21"/>
    <s v="US-China Trade Relations - Trade Stand-Off                  "/>
    <n v="2410"/>
    <s v="US-China Trade Relations - Tariffs &amp; Investment Restrictions : Trade relations are strained due to broad US sanctions on China and investment restrictions from both countries."/>
    <x v="180"/>
    <s v="Automobiles &amp; Components"/>
    <s v="Consumer Discretionary"/>
    <s v="FMI_NAMR_CDIAUTOCMP"/>
    <e v="#N/A"/>
    <s v="OK"/>
    <x v="23"/>
    <s v="Industry Return"/>
    <x v="4"/>
    <x v="1"/>
    <x v="51"/>
  </r>
  <r>
    <x v="21"/>
    <s v="US-China Trade Relations - Trade Stand-Off                  "/>
    <n v="2410"/>
    <s v="US-China Trade Relations - Trade Stand-Off : The US imposes import tariffs and China retaliates, but a full-blown trade war is avoided."/>
    <x v="181"/>
    <s v="Aerospace &amp; Def Const &amp; Eng"/>
    <e v="#N/A"/>
    <s v="FMI_APXJ_INDDEFENG"/>
    <e v="#N/A"/>
    <s v="BOTH #N/A"/>
    <x v="4"/>
    <s v="Industrials"/>
    <x v="4"/>
    <x v="1"/>
    <x v="56"/>
  </r>
  <r>
    <x v="21"/>
    <s v="US-China Trade Relations - Trade Stand-Off                  "/>
    <n v="2410"/>
    <s v="US-China Trade Relations - Trade Stand-Off : The US imposes import tariffs and China retaliates, but a full-blown trade war is avoided."/>
    <x v="182"/>
    <s v="Communications Equipment"/>
    <s v="Information Technology"/>
    <s v="FMI_APXJ_ITCCOMMEQ"/>
    <e v="#N/A"/>
    <s v="OK"/>
    <x v="5"/>
    <s v="Industry Return"/>
    <x v="4"/>
    <x v="1"/>
    <x v="55"/>
  </r>
  <r>
    <x v="21"/>
    <s v="US-China Trade Relations - Trade Stand-Off                  "/>
    <n v="2410"/>
    <s v="US-China Trade Relations - Trade Stand-Off : The US imposes import tariffs and China retaliates, but a full-blown trade war is avoided."/>
    <x v="183"/>
    <s v="Elec Eq Instr Comp &amp; Off Elec"/>
    <s v="Information Technology"/>
    <s v="FMI_APXJ_ITCELECEQO"/>
    <e v="#N/A"/>
    <s v="OK"/>
    <x v="5"/>
    <s v="Industry Return"/>
    <x v="4"/>
    <x v="1"/>
    <x v="55"/>
  </r>
  <r>
    <x v="21"/>
    <s v="US-China Trade Relations - Trade Stand-Off                  "/>
    <n v="2410"/>
    <s v="US-China Trade Relations - Trade Stand-Off : The US imposes import tariffs and China retaliates, but a full-blown trade war is avoided."/>
    <x v="184"/>
    <s v="MSCI China Index USD"/>
    <e v="#N/A"/>
    <s v="MSCINDRCHN"/>
    <s v="Other - Index"/>
    <s v="OK"/>
    <x v="12"/>
    <s v="Index Level"/>
    <x v="7"/>
    <x v="2"/>
    <x v="52"/>
  </r>
  <r>
    <x v="22"/>
    <s v="China Corp Reg - Common Prosperity Policy Misstep (10/2021) "/>
    <n v="2464"/>
    <s v="US-China Trade Relations - Trade Stand-Off : The US imposes import tariffs and China retaliates, but a full-blown trade war is avoided."/>
    <x v="185"/>
    <s v="Brent Crude ICE 1"/>
    <s v="Alternative - Commodity"/>
    <s v="USD_COMD_CO_1"/>
    <s v="Alternative - Commodity"/>
    <s v="OK"/>
    <x v="2"/>
    <s v="Price Level"/>
    <x v="2"/>
    <x v="2"/>
    <x v="76"/>
  </r>
  <r>
    <x v="22"/>
    <s v="China Corp Reg - Common Prosperity Policy Misstep (10/2021) "/>
    <n v="2464"/>
    <s v="US-China Trade Relations - Trade Stand-Off : The US imposes import tariffs and China retaliates, but a full-blown trade war is avoided."/>
    <x v="186"/>
    <s v="Copper LME 1"/>
    <s v="Alternative - Commodity"/>
    <s v="USD_COMD_LP_1"/>
    <s v="Alternative - Commodity"/>
    <s v="OK"/>
    <x v="2"/>
    <s v="Price Level"/>
    <x v="2"/>
    <x v="2"/>
    <x v="22"/>
  </r>
  <r>
    <x v="22"/>
    <s v="China Corp Reg - Common Prosperity Policy Misstep (10/2021) "/>
    <n v="2464"/>
    <s v="US-China Trade Relations - Trade Stand-Off : The US imposes import tariffs and China retaliates, but a full-blown trade war is avoided."/>
    <x v="187"/>
    <s v="CNY 2Y"/>
    <s v="Govt Emerging Markets"/>
    <s v="CNY_2yr"/>
    <s v="Govt Emerging Markets"/>
    <s v="OK"/>
    <x v="31"/>
    <s v="Yield"/>
    <x v="0"/>
    <x v="0"/>
    <x v="50"/>
  </r>
  <r>
    <x v="22"/>
    <s v="China Corp Reg - Common Prosperity Policy Misstep (10/2021) "/>
    <n v="2464"/>
    <s v="US-China Trade Relations - Trade Stand-Off : The US imposes import tariffs and China retaliates, but a full-blown trade war is avoided."/>
    <x v="188"/>
    <s v="CNY 10Y"/>
    <s v="Govt Emerging Markets"/>
    <s v="CNY_10yr"/>
    <s v="Govt Emerging Markets"/>
    <s v="OK"/>
    <x v="31"/>
    <s v="Yield"/>
    <x v="0"/>
    <x v="0"/>
    <x v="54"/>
  </r>
  <r>
    <x v="22"/>
    <s v="China Corp Reg - Common Prosperity Policy Misstep (10/2021) "/>
    <n v="2464"/>
    <s v="US-China Trade Relations - Trade Stand-Off : The US imposes import tariffs and China retaliates, but a full-blown trade war is avoided."/>
    <x v="189"/>
    <s v="MSCI World Net TR"/>
    <s v="Equity Implied Volatility"/>
    <s v="MSCIWLDNET"/>
    <s v="Equity Implied Volatility"/>
    <s v="OK"/>
    <x v="1"/>
    <s v="Index Level"/>
    <x v="1"/>
    <x v="1"/>
    <x v="52"/>
  </r>
  <r>
    <x v="22"/>
    <s v="China Corp Reg - Common Prosperity Policy Misstep (10/2021) "/>
    <n v="2464"/>
    <s v="US-China Trade Relations - Trade Stand-Off : The US imposes import tariffs and China retaliates, but a full-blown trade war is avoided."/>
    <x v="122"/>
    <s v="Time"/>
    <e v="#N/A"/>
    <s v="ALL_TIME"/>
    <e v="#N/A"/>
    <s v="BOTH #N/A"/>
    <x v="16"/>
    <s v="Time"/>
    <x v="8"/>
    <x v="2"/>
    <x v="53"/>
  </r>
  <r>
    <x v="22"/>
    <s v="China Corp Reg - Common Prosperity Policy Misstep (10/2021) "/>
    <n v="2464"/>
    <s v="US-China Trade Relations - Trade Stand-Off : The US imposes import tariffs and China retaliates, but a full-blown trade war is avoided."/>
    <x v="190"/>
    <s v="Energy"/>
    <e v="#N/A"/>
    <s v="FMI_APXJ_EGYENERGY"/>
    <e v="#N/A"/>
    <s v="BOTH #N/A"/>
    <x v="40"/>
    <s v="Energy"/>
    <x v="4"/>
    <x v="1"/>
    <x v="52"/>
  </r>
  <r>
    <x v="22"/>
    <s v="China Corp Reg - Common Prosperity Policy Misstep (10/2021) "/>
    <n v="2464"/>
    <s v="US-China Trade Relations - Trade Stand-Off : The US imposes import tariffs and China retaliates, but a full-blown trade war is avoided."/>
    <x v="191"/>
    <s v="Construction Materials"/>
    <s v="Materials"/>
    <s v="FMI_APXJ_MATCONSTM"/>
    <e v="#N/A"/>
    <s v="OK"/>
    <x v="7"/>
    <s v="Industry Return"/>
    <x v="4"/>
    <x v="1"/>
    <x v="57"/>
  </r>
  <r>
    <x v="22"/>
    <s v="China Corp Reg - Common Prosperity Policy Misstep (10/2021) "/>
    <n v="2464"/>
    <s v="US-China Trade Relations - Trade Stand-Off : The US imposes import tariffs and China retaliates, but a full-blown trade war is avoided."/>
    <x v="192"/>
    <s v="Industrial Conglomerates"/>
    <s v="Industrials"/>
    <s v="FMI_APXJ_INDCONGLOM"/>
    <e v="#N/A"/>
    <s v="OK"/>
    <x v="4"/>
    <s v="Industry Return"/>
    <x v="4"/>
    <x v="1"/>
    <x v="57"/>
  </r>
  <r>
    <x v="22"/>
    <s v="China Corp Reg - Common Prosperity Policy Misstep (10/2021) "/>
    <n v="2464"/>
    <s v=" Common Prosperity Policy Misstep: Regulatory reforms and hawkish PBOC policy continue, while social policies offset slowing growth."/>
    <x v="193"/>
    <s v="Real Estate Management &amp; Dev"/>
    <s v="Real Estate"/>
    <s v="FMI_APXJ_FINREALMGT"/>
    <e v="#N/A"/>
    <s v="OK"/>
    <x v="41"/>
    <s v="Industry Return"/>
    <x v="4"/>
    <x v="1"/>
    <x v="68"/>
  </r>
  <r>
    <x v="22"/>
    <s v="China Corp Reg - Common Prosperity Policy Misstep (10/2021) "/>
    <n v="2464"/>
    <s v=" Common Prosperity Policy Misstep: Regulatory reforms and hawkish PBOC policy continue, while social policies offset slowing growth."/>
    <x v="194"/>
    <s v="China Corp HY"/>
    <s v="Corporate HY USD - Industry"/>
    <s v="USD_CN_CORP_HY"/>
    <s v="Corporate HY USD - Industry"/>
    <s v="OK"/>
    <x v="6"/>
    <s v="Spread Yield"/>
    <x v="5"/>
    <x v="4"/>
    <x v="21"/>
  </r>
  <r>
    <x v="22"/>
    <s v="China Corp Reg - Common Prosperity Policy Misstep (10/2021) "/>
    <n v="2464"/>
    <s v=" Common Prosperity Policy Misstep: Regulatory reforms and hawkish PBOC policy continue, while social policies offset slowing growth."/>
    <x v="195"/>
    <s v="MSCI China"/>
    <s v="Other - Index"/>
    <s v="MS_CN_LCL"/>
    <s v="Other - Index"/>
    <s v="OK"/>
    <x v="12"/>
    <s v="Index Level"/>
    <x v="7"/>
    <x v="2"/>
    <x v="24"/>
  </r>
  <r>
    <x v="23"/>
    <s v="China Corp Reg - Growth Slowdown Spillover (10/2021)        "/>
    <n v="2465"/>
    <s v=" Common Prosperity Policy Misstep: Regulatory reforms and hawkish PBOC policy continue, while social policies offset slowing growth."/>
    <x v="118"/>
    <s v="Tsy 10Y"/>
    <s v="Govt USD"/>
    <s v="USD_10yr"/>
    <s v="Govt USD"/>
    <s v="OK"/>
    <x v="0"/>
    <s v="Yield"/>
    <x v="0"/>
    <x v="0"/>
    <x v="31"/>
  </r>
  <r>
    <x v="23"/>
    <s v="China Corp Reg - Growth Slowdown Spillover (10/2021)        "/>
    <n v="2465"/>
    <s v=" Common Prosperity Policy Misstep: Regulatory reforms and hawkish PBOC policy continue, while social policies offset slowing growth."/>
    <x v="185"/>
    <s v="Brent Crude ICE 1"/>
    <s v="Alternative - Commodity"/>
    <s v="USD_COMD_CO_1"/>
    <s v="Alternative - Commodity"/>
    <s v="OK"/>
    <x v="2"/>
    <s v="Price Level"/>
    <x v="2"/>
    <x v="2"/>
    <x v="76"/>
  </r>
  <r>
    <x v="23"/>
    <s v="China Corp Reg - Growth Slowdown Spillover (10/2021)        "/>
    <n v="2465"/>
    <s v=" Common Prosperity Policy Misstep: Regulatory reforms and hawkish PBOC policy continue, while social policies offset slowing growth."/>
    <x v="196"/>
    <s v="Copper LME 1"/>
    <s v="Alternative - Commodity"/>
    <s v="USD_COMD_LP_1"/>
    <s v="Alternative - Commodity"/>
    <s v="OK"/>
    <x v="2"/>
    <s v="Price Level"/>
    <x v="2"/>
    <x v="2"/>
    <x v="76"/>
  </r>
  <r>
    <x v="23"/>
    <s v="China Corp Reg - Growth Slowdown Spillover (10/2021)        "/>
    <n v="2465"/>
    <s v=" Common Prosperity Policy Misstep: Regulatory reforms and hawkish PBOC policy continue, while social policies offset slowing growth."/>
    <x v="151"/>
    <s v="Gold COMEX 1"/>
    <s v="Alternative - Commodity"/>
    <s v="USD_COMD_GC_1"/>
    <s v="Alternative - Commodity"/>
    <s v="OK"/>
    <x v="2"/>
    <s v="Price Level"/>
    <x v="2"/>
    <x v="2"/>
    <x v="44"/>
  </r>
  <r>
    <x v="23"/>
    <s v="China Corp Reg - Growth Slowdown Spillover (10/2021)        "/>
    <n v="2465"/>
    <s v=" Common Prosperity Policy Misstep: Regulatory reforms and hawkish PBOC policy continue, while social policies offset slowing growth."/>
    <x v="197"/>
    <s v="AUDUSD"/>
    <e v="#N/A"/>
    <s v="AUD_FX_USD"/>
    <s v="Developed Currency"/>
    <s v="OK"/>
    <x v="42"/>
    <s v="FX"/>
    <x v="3"/>
    <x v="3"/>
    <x v="51"/>
  </r>
  <r>
    <x v="23"/>
    <s v="China Corp Reg - Growth Slowdown Spillover (10/2021)        "/>
    <n v="2465"/>
    <s v=" Common Prosperity Policy Misstep: Regulatory reforms and hawkish PBOC policy continue, while social policies offset slowing growth."/>
    <x v="198"/>
    <s v="JPY/USD"/>
    <s v="JPY"/>
    <s v="JPY_FX_USD"/>
    <s v="JPY"/>
    <s v="OK"/>
    <x v="11"/>
    <s v="FX"/>
    <x v="3"/>
    <x v="3"/>
    <x v="63"/>
  </r>
  <r>
    <x v="23"/>
    <s v="China Corp Reg - Growth Slowdown Spillover (10/2021)        "/>
    <n v="2465"/>
    <s v=" Common Prosperity Policy Misstep: Regulatory reforms and hawkish PBOC policy continue, while social policies offset slowing growth."/>
    <x v="199"/>
    <s v="MSCI World Net TR"/>
    <s v="Equity Implied Volatility"/>
    <s v="MSCIWLDNET"/>
    <s v="Equity Implied Volatility"/>
    <s v="OK"/>
    <x v="1"/>
    <s v="Index Level"/>
    <x v="1"/>
    <x v="1"/>
    <x v="24"/>
  </r>
  <r>
    <x v="23"/>
    <s v="China Corp Reg - Growth Slowdown Spillover (10/2021)        "/>
    <n v="2465"/>
    <s v=" Common Prosperity Policy Misstep: Regulatory reforms and hawkish PBOC policy continue, while social policies offset slowing growth."/>
    <x v="122"/>
    <s v="Time"/>
    <e v="#N/A"/>
    <s v="ALL_TIME"/>
    <e v="#N/A"/>
    <s v="BOTH #N/A"/>
    <x v="16"/>
    <s v="Time"/>
    <x v="8"/>
    <x v="2"/>
    <x v="53"/>
  </r>
  <r>
    <x v="23"/>
    <s v="China Corp Reg - Growth Slowdown Spillover (10/2021)        "/>
    <n v="2465"/>
    <s v=" Common Prosperity Policy Misstep: Regulatory reforms and hawkish PBOC policy continue, while social policies offset slowing growth."/>
    <x v="200"/>
    <s v="Textiles Apparel Luxury Goods"/>
    <s v="Consumer Discretionary"/>
    <s v="FMI_EMEA_CDITXTLUX"/>
    <e v="#N/A"/>
    <s v="OK"/>
    <x v="23"/>
    <s v="Industry Return"/>
    <x v="4"/>
    <x v="1"/>
    <x v="22"/>
  </r>
  <r>
    <x v="23"/>
    <s v="China Corp Reg - Growth Slowdown Spillover (10/2021)        "/>
    <n v="2465"/>
    <s v="Growth Slowdown Spillover: Global sentiment turns negative, as the effects of China?s regulatory tightening and stagnating growth spill over."/>
    <x v="201"/>
    <s v="Automobiles  Components"/>
    <e v="#N/A"/>
    <s v="FMI_WRLD_CDIAUTOCMP"/>
    <s v="Consumer Discretionary"/>
    <s v="OK"/>
    <x v="23"/>
    <s v="Industry Return"/>
    <x v="4"/>
    <x v="1"/>
    <x v="24"/>
  </r>
  <r>
    <x v="23"/>
    <s v="China Corp Reg - Growth Slowdown Spillover (10/2021)        "/>
    <n v="2465"/>
    <s v="Growth Slowdown Spillover: Global sentiment turns negative, as the effects of China?s regulatory tightening and stagnating growth spill over."/>
    <x v="202"/>
    <s v="US HY Market"/>
    <s v="Corporate HY USD - Other"/>
    <s v="USD_HY_MARKET_SF"/>
    <s v="Corporate HY USD - Other"/>
    <s v="OK"/>
    <x v="22"/>
    <s v="Spread Yield"/>
    <x v="5"/>
    <x v="4"/>
    <x v="70"/>
  </r>
  <r>
    <x v="23"/>
    <s v="China Corp Reg - Growth Slowdown Spillover (10/2021)        "/>
    <n v="2465"/>
    <s v="Growth Slowdown Spillover: Global sentiment turns negative, as the effects of China?s regulatory tightening and stagnating growth spill over."/>
    <x v="203"/>
    <s v="MSCI China"/>
    <s v="Other - Index"/>
    <s v="China"/>
    <e v="#N/A"/>
    <s v="OK"/>
    <x v="12"/>
    <s v="Index Level"/>
    <x v="7"/>
    <x v="2"/>
    <x v="57"/>
  </r>
  <r>
    <x v="23"/>
    <s v="China Corp Reg - Growth Slowdown Spillover (10/2021)        "/>
    <n v="2465"/>
    <s v="Growth Slowdown Spillover: Global sentiment turns negative, as the effects of China?s regulatory tightening and stagnating growth spill over."/>
    <x v="204"/>
    <s v="MSCI EUROPE(EUR)"/>
    <s v="Equity Implied Volatility"/>
    <s v="EUROPEEUR"/>
    <e v="#N/A"/>
    <s v="OK"/>
    <x v="1"/>
    <s v="Index Level"/>
    <x v="1"/>
    <x v="1"/>
    <x v="69"/>
  </r>
  <r>
    <x v="24"/>
    <s v="China Corp Reg - New Regulatory Normal (10/2021)            "/>
    <n v="2463"/>
    <s v="Growth Slowdown Spillover: Global sentiment turns negative, as the effects of China?s regulatory tightening and stagnating growth spill over."/>
    <x v="163"/>
    <s v="Brent Crude ICE 1"/>
    <s v="Alternative - Commodity"/>
    <s v="USD_COMD_CO_1"/>
    <s v="Alternative - Commodity"/>
    <s v="OK"/>
    <x v="2"/>
    <s v="Price Level"/>
    <x v="2"/>
    <x v="2"/>
    <x v="24"/>
  </r>
  <r>
    <x v="24"/>
    <s v="China Corp Reg - New Regulatory Normal (10/2021)            "/>
    <n v="2463"/>
    <s v="Growth Slowdown Spillover: Global sentiment turns negative, as the effects of China?s regulatory tightening and stagnating growth spill over."/>
    <x v="205"/>
    <s v="Copper LME 1"/>
    <s v="Alternative - Commodity"/>
    <s v="USD_COMD_LP_1"/>
    <s v="Alternative - Commodity"/>
    <s v="OK"/>
    <x v="2"/>
    <s v="Price Level"/>
    <x v="2"/>
    <x v="2"/>
    <x v="19"/>
  </r>
  <r>
    <x v="24"/>
    <s v="China Corp Reg - New Regulatory Normal (10/2021)            "/>
    <n v="2463"/>
    <s v="Growth Slowdown Spillover: Global sentiment turns negative, as the effects of China?s regulatory tightening and stagnating growth spill over."/>
    <x v="187"/>
    <s v="CNY 2Y"/>
    <s v="Govt Emerging Markets"/>
    <s v="CNY_2yr"/>
    <s v="Govt Emerging Markets"/>
    <s v="OK"/>
    <x v="31"/>
    <s v="Yield"/>
    <x v="0"/>
    <x v="0"/>
    <x v="50"/>
  </r>
  <r>
    <x v="24"/>
    <s v="China Corp Reg - New Regulatory Normal (10/2021)            "/>
    <n v="2463"/>
    <s v="Growth Slowdown Spillover: Global sentiment turns negative, as the effects of China?s regulatory tightening and stagnating growth spill over."/>
    <x v="206"/>
    <s v="CNY 10Y"/>
    <s v="Govt Emerging Markets"/>
    <s v="CNY_10yr"/>
    <s v="Govt Emerging Markets"/>
    <s v="OK"/>
    <x v="31"/>
    <s v="Yield"/>
    <x v="0"/>
    <x v="0"/>
    <x v="93"/>
  </r>
  <r>
    <x v="24"/>
    <s v="China Corp Reg - New Regulatory Normal (10/2021)            "/>
    <n v="2463"/>
    <s v="Growth Slowdown Spillover: Global sentiment turns negative, as the effects of China?s regulatory tightening and stagnating growth spill over."/>
    <x v="122"/>
    <s v="Time"/>
    <e v="#N/A"/>
    <s v="ALL_TIME"/>
    <e v="#N/A"/>
    <s v="BOTH #N/A"/>
    <x v="16"/>
    <s v="Time"/>
    <x v="8"/>
    <x v="2"/>
    <x v="53"/>
  </r>
  <r>
    <x v="24"/>
    <s v="China Corp Reg - New Regulatory Normal (10/2021)            "/>
    <n v="2463"/>
    <s v="Growth Slowdown Spillover: Global sentiment turns negative, as the effects of China?s regulatory tightening and stagnating growth spill over."/>
    <x v="207"/>
    <s v="Software &amp; Internet Services"/>
    <e v="#N/A"/>
    <s v="FMI_APXJ_ITCSOFTNET"/>
    <e v="#N/A"/>
    <s v="BOTH #N/A"/>
    <x v="5"/>
    <s v="Information Technology"/>
    <x v="4"/>
    <x v="1"/>
    <x v="25"/>
  </r>
  <r>
    <x v="24"/>
    <s v="China Corp Reg - New Regulatory Normal (10/2021)            "/>
    <n v="2463"/>
    <s v="Growth Slowdown Spillover: Global sentiment turns negative, as the effects of China?s regulatory tightening and stagnating growth spill over."/>
    <x v="208"/>
    <s v="China Corp HY"/>
    <s v="Corporate HY USD - Industry"/>
    <s v="USD_CN_CORP_HY"/>
    <s v="Corporate HY USD - Industry"/>
    <s v="OK"/>
    <x v="6"/>
    <s v="Spread Yield"/>
    <x v="5"/>
    <x v="4"/>
    <x v="81"/>
  </r>
  <r>
    <x v="24"/>
    <s v="China Corp Reg - New Regulatory Normal (10/2021)            "/>
    <n v="2463"/>
    <s v="Growth Slowdown Spillover: Global sentiment turns negative, as the effects of China?s regulatory tightening and stagnating growth spill over."/>
    <x v="209"/>
    <s v="China Property HY"/>
    <s v="Corporate HY USD - Industry"/>
    <s v="USD_CN_PROP_HY"/>
    <s v="Corporate HY USD - Industry"/>
    <s v="OK"/>
    <x v="6"/>
    <s v="Spread Yield"/>
    <x v="5"/>
    <x v="4"/>
    <x v="94"/>
  </r>
  <r>
    <x v="24"/>
    <s v="China Corp Reg - New Regulatory Normal (10/2021)            "/>
    <n v="2463"/>
    <s v="Growth Slowdown Spillover: Global sentiment turns negative, as the effects of China?s regulatory tightening and stagnating growth spill over."/>
    <x v="210"/>
    <s v="MSCI China"/>
    <s v="Other - Index"/>
    <s v="MS_CN_LCL"/>
    <s v="Other - Index"/>
    <s v="OK"/>
    <x v="12"/>
    <s v="Index Level"/>
    <x v="7"/>
    <x v="2"/>
    <x v="95"/>
  </r>
  <r>
    <x v="25"/>
    <s v="China Stabilizes Economic Growth (07/2022)                  "/>
    <n v="2478"/>
    <s v="A New Regulatory Normal: China halts further regulatory tightening and employs pro-cyclical policies to combat waning growth, attracting foreign and domestic investors."/>
    <x v="211"/>
    <s v="Brent Crude ICE 1"/>
    <s v="Alternative - Commodity"/>
    <s v="USD_COMD_CO_1"/>
    <s v="Alternative - Commodity"/>
    <s v="OK"/>
    <x v="2"/>
    <s v="Price Level"/>
    <x v="2"/>
    <x v="2"/>
    <x v="96"/>
  </r>
  <r>
    <x v="25"/>
    <s v="China Stabilizes Economic Growth (07/2022)                  "/>
    <n v="2478"/>
    <s v="A New Regulatory Normal: China halts further regulatory tightening and employs pro-cyclical policies to combat waning growth, attracting foreign and domestic investors."/>
    <x v="205"/>
    <s v="Copper LME 1"/>
    <s v="Alternative - Commodity"/>
    <s v="USD_COMD_LP_1"/>
    <s v="Alternative - Commodity"/>
    <s v="OK"/>
    <x v="2"/>
    <s v="Price Level"/>
    <x v="2"/>
    <x v="2"/>
    <x v="19"/>
  </r>
  <r>
    <x v="25"/>
    <s v="China Stabilizes Economic Growth (07/2022)                  "/>
    <n v="2478"/>
    <s v="A New Regulatory Normal: China halts further regulatory tightening and employs pro-cyclical policies to combat waning growth, attracting foreign and domestic investors."/>
    <x v="212"/>
    <s v="CNY 2Y"/>
    <s v="Govt Emerging Markets"/>
    <s v="CNY_2yr"/>
    <s v="Govt Emerging Markets"/>
    <s v="OK"/>
    <x v="31"/>
    <s v="Yield"/>
    <x v="0"/>
    <x v="0"/>
    <x v="31"/>
  </r>
  <r>
    <x v="25"/>
    <s v="China Stabilizes Economic Growth (07/2022)                  "/>
    <n v="2478"/>
    <s v="A New Regulatory Normal: China halts further regulatory tightening and employs pro-cyclical policies to combat waning growth, attracting foreign and domestic investors."/>
    <x v="188"/>
    <s v="CNY 10Y"/>
    <s v="Govt Emerging Markets"/>
    <s v="CNY_10yr"/>
    <s v="Govt Emerging Markets"/>
    <s v="OK"/>
    <x v="31"/>
    <s v="Yield"/>
    <x v="0"/>
    <x v="0"/>
    <x v="54"/>
  </r>
  <r>
    <x v="25"/>
    <s v="China Stabilizes Economic Growth (07/2022)                  "/>
    <n v="2478"/>
    <s v="A New Regulatory Normal: China halts further regulatory tightening and employs pro-cyclical policies to combat waning growth, attracting foreign and domestic investors."/>
    <x v="213"/>
    <s v="China Shanghai SECmp"/>
    <s v="Equity Implied Volatility"/>
    <s v="SHCOMP"/>
    <s v="Equity Implied Volatility"/>
    <s v="OK"/>
    <x v="1"/>
    <s v="Index Level"/>
    <x v="1"/>
    <x v="1"/>
    <x v="17"/>
  </r>
  <r>
    <x v="25"/>
    <s v="China Stabilizes Economic Growth (07/2022)                  "/>
    <n v="2478"/>
    <s v="A New Regulatory Normal: China halts further regulatory tightening and employs pro-cyclical policies to combat waning growth, attracting foreign and domestic investors."/>
    <x v="122"/>
    <s v="Time"/>
    <e v="#N/A"/>
    <s v="ALL_TIME"/>
    <e v="#N/A"/>
    <s v="BOTH #N/A"/>
    <x v="16"/>
    <s v="Time"/>
    <x v="8"/>
    <x v="2"/>
    <x v="53"/>
  </r>
  <r>
    <x v="25"/>
    <s v="China Stabilizes Economic Growth (07/2022)                  "/>
    <n v="2478"/>
    <s v="A New Regulatory Normal: China halts further regulatory tightening and employs pro-cyclical policies to combat waning growth, attracting foreign and domestic investors."/>
    <x v="214"/>
    <s v="Household Durables"/>
    <s v="Consumer Discretionary"/>
    <s v="FMI_CHNA_CDIHHDUR"/>
    <e v="#N/A"/>
    <s v="OK"/>
    <x v="23"/>
    <s v="Industry Return"/>
    <x v="4"/>
    <x v="1"/>
    <x v="97"/>
  </r>
  <r>
    <x v="25"/>
    <s v="China Stabilizes Economic Growth (07/2022)                  "/>
    <n v="2478"/>
    <s v="A New Regulatory Normal: China halts further regulatory tightening and employs pro-cyclical policies to combat waning growth, attracting foreign and domestic investors."/>
    <x v="215"/>
    <s v="Retailing"/>
    <e v="#N/A"/>
    <s v="FMI_CHNA_CDIRETAIL"/>
    <e v="#N/A"/>
    <s v="BOTH #N/A"/>
    <x v="23"/>
    <s v="Consumer Discretionary"/>
    <x v="4"/>
    <x v="1"/>
    <x v="25"/>
  </r>
  <r>
    <x v="25"/>
    <s v="China Stabilizes Economic Growth (07/2022)                  "/>
    <n v="2478"/>
    <s v="A New Regulatory Normal: China halts further regulatory tightening and employs pro-cyclical policies to combat waning growth, attracting foreign and domestic investors."/>
    <x v="216"/>
    <s v="Real Estate Management &amp; Dev"/>
    <s v="Real Estate"/>
    <s v="FMI_CHNA_FINREALMGT"/>
    <e v="#N/A"/>
    <s v="OK"/>
    <x v="41"/>
    <s v="Industry Return"/>
    <x v="4"/>
    <x v="1"/>
    <x v="44"/>
  </r>
  <r>
    <x v="25"/>
    <s v="China Stabilizes Economic Growth (07/2022)                  "/>
    <n v="2478"/>
    <s v="China Stabilizes Economic Growth: China's growth rate recovers to pre-COVID levels, supported by easing COVID restrictions, more dovish policy, and an improved trade relationship with the US."/>
    <x v="217"/>
    <s v="China Corp HY"/>
    <s v="Corporate HY USD - Industry"/>
    <s v="USD_CN_CORP_HY"/>
    <s v="Corporate HY USD - Industry"/>
    <s v="OK"/>
    <x v="6"/>
    <s v="Spread Yield"/>
    <x v="5"/>
    <x v="4"/>
    <x v="94"/>
  </r>
  <r>
    <x v="26"/>
    <s v="China Growth Slowdown (07/2022)                             "/>
    <n v="2477"/>
    <s v="China Stabilizes Economic Growth: China's growth rate recovers to pre-COVID levels, supported by easing COVID restrictions, more dovish policy, and an improved trade relationship with the US."/>
    <x v="185"/>
    <s v="Brent Crude ICE 1"/>
    <s v="Alternative - Commodity"/>
    <s v="USD_COMD_CO_1"/>
    <s v="Alternative - Commodity"/>
    <s v="OK"/>
    <x v="2"/>
    <s v="Price Level"/>
    <x v="2"/>
    <x v="2"/>
    <x v="76"/>
  </r>
  <r>
    <x v="26"/>
    <s v="China Growth Slowdown (07/2022)                             "/>
    <n v="2477"/>
    <s v="China Stabilizes Economic Growth: China's growth rate recovers to pre-COVID levels, supported by easing COVID restrictions, more dovish policy, and an improved trade relationship with the US."/>
    <x v="218"/>
    <s v="Copper LME 1"/>
    <s v="Alternative - Commodity"/>
    <s v="USD_COMD_LP_1"/>
    <s v="Alternative - Commodity"/>
    <s v="OK"/>
    <x v="2"/>
    <s v="Price Level"/>
    <x v="2"/>
    <x v="2"/>
    <x v="24"/>
  </r>
  <r>
    <x v="26"/>
    <s v="China Growth Slowdown (07/2022)                             "/>
    <n v="2477"/>
    <s v="China Stabilizes Economic Growth: China's growth rate recovers to pre-COVID levels, supported by easing COVID restrictions, more dovish policy, and an improved trade relationship with the US."/>
    <x v="219"/>
    <s v="CNY 10Y"/>
    <s v="Govt Emerging Markets"/>
    <s v="CNY_10yr"/>
    <s v="Govt Emerging Markets"/>
    <s v="OK"/>
    <x v="31"/>
    <s v="Yield"/>
    <x v="0"/>
    <x v="0"/>
    <x v="31"/>
  </r>
  <r>
    <x v="26"/>
    <s v="China Growth Slowdown (07/2022)                             "/>
    <n v="2477"/>
    <s v="China Stabilizes Economic Growth: China's growth rate recovers to pre-COVID levels, supported by easing COVID restrictions, more dovish policy, and an improved trade relationship with the US."/>
    <x v="153"/>
    <s v="CNYUSD"/>
    <e v="#N/A"/>
    <s v="CNY_FX_USD"/>
    <s v="Emerging Currency"/>
    <s v="OK"/>
    <x v="3"/>
    <s v="FX"/>
    <x v="3"/>
    <x v="3"/>
    <x v="51"/>
  </r>
  <r>
    <x v="26"/>
    <s v="China Growth Slowdown (07/2022)                             "/>
    <n v="2477"/>
    <s v="China Stabilizes Economic Growth: China's growth rate recovers to pre-COVID levels, supported by easing COVID restrictions, more dovish policy, and an improved trade relationship with the US."/>
    <x v="220"/>
    <s v="MS Europe"/>
    <s v="Equity Implied Volatility"/>
    <s v="MSER"/>
    <s v="Equity Implied Volatility"/>
    <s v="OK"/>
    <x v="1"/>
    <s v="Index Level"/>
    <x v="1"/>
    <x v="1"/>
    <x v="98"/>
  </r>
  <r>
    <x v="26"/>
    <s v="China Growth Slowdown (07/2022)                             "/>
    <n v="2477"/>
    <s v="China Stabilizes Economic Growth: China's growth rate recovers to pre-COVID levels, supported by easing COVID restrictions, more dovish policy, and an improved trade relationship with the US."/>
    <x v="221"/>
    <s v="China Shanghai SECmp"/>
    <s v="Equity Implied Volatility"/>
    <s v="SHCOMP"/>
    <s v="Equity Implied Volatility"/>
    <s v="OK"/>
    <x v="1"/>
    <s v="Index Level"/>
    <x v="1"/>
    <x v="1"/>
    <x v="76"/>
  </r>
  <r>
    <x v="26"/>
    <s v="China Growth Slowdown (07/2022)                             "/>
    <n v="2477"/>
    <s v="China Stabilizes Economic Growth: China's growth rate recovers to pre-COVID levels, supported by easing COVID restrictions, more dovish policy, and an improved trade relationship with the US."/>
    <x v="122"/>
    <s v="Time"/>
    <e v="#N/A"/>
    <s v="ALL_TIME"/>
    <e v="#N/A"/>
    <s v="BOTH #N/A"/>
    <x v="16"/>
    <s v="Time"/>
    <x v="8"/>
    <x v="2"/>
    <x v="53"/>
  </r>
  <r>
    <x v="26"/>
    <s v="China Growth Slowdown (07/2022)                             "/>
    <n v="2477"/>
    <s v="China Stabilizes Economic Growth: China's growth rate recovers to pre-COVID levels, supported by easing COVID restrictions, more dovish policy, and an improved trade relationship with the US."/>
    <x v="222"/>
    <s v="Household Durables"/>
    <s v="Consumer Discretionary"/>
    <s v="FMI_CHNA_CDIHHDUR"/>
    <e v="#N/A"/>
    <s v="OK"/>
    <x v="23"/>
    <s v="Industry Return"/>
    <x v="4"/>
    <x v="1"/>
    <x v="99"/>
  </r>
  <r>
    <x v="26"/>
    <s v="China Growth Slowdown (07/2022)                             "/>
    <n v="2477"/>
    <s v="China Stabilizes Economic Growth: China's growth rate recovers to pre-COVID levels, supported by easing COVID restrictions, more dovish policy, and an improved trade relationship with the US."/>
    <x v="223"/>
    <s v="Retailing"/>
    <e v="#N/A"/>
    <s v="FMI_CHNA_CDIRETAIL"/>
    <e v="#N/A"/>
    <s v="BOTH #N/A"/>
    <x v="23"/>
    <s v="Consumer Discretionary"/>
    <x v="4"/>
    <x v="1"/>
    <x v="57"/>
  </r>
  <r>
    <x v="26"/>
    <s v="China Growth Slowdown (07/2022)                             "/>
    <n v="2477"/>
    <s v="China Growth Slowdown: China enters an era of slower growth on the back of several factors, including a return to harsh zero-COVID measures, worsening foreign investor sentiment, and insufficient policy easing."/>
    <x v="224"/>
    <s v="China Corp HY"/>
    <s v="Corporate HY USD - Industry"/>
    <s v="USD_CN_CORP_HY"/>
    <s v="Corporate HY USD - Industry"/>
    <s v="OK"/>
    <x v="6"/>
    <s v="Spread Yield"/>
    <x v="5"/>
    <x v="4"/>
    <x v="100"/>
  </r>
  <r>
    <x v="26"/>
    <s v="China Growth Slowdown (07/2022)                             "/>
    <n v="2477"/>
    <s v="China Growth Slowdown: China enters an era of slower growth on the back of several factors, including a return to harsh zero-COVID measures, worsening foreign investor sentiment, and insufficient policy easing."/>
    <x v="225"/>
    <s v="MSCI AC Asia Pacific (Loc)"/>
    <s v="Other - Index"/>
    <s v="Loc"/>
    <e v="#N/A"/>
    <s v="OK"/>
    <x v="12"/>
    <s v="Index Level"/>
    <x v="7"/>
    <x v="2"/>
    <x v="25"/>
  </r>
  <r>
    <x v="27"/>
    <s v="Global Conflicts - South China Sea Conflict                 "/>
    <n v="2407"/>
    <s v="China Growth Slowdown: China enters an era of slower growth on the back of several factors, including a return to harsh zero-COVID measures, worsening foreign investor sentiment, and insufficient policy easing."/>
    <x v="118"/>
    <s v="Tsy 10Y"/>
    <s v="Govt USD"/>
    <s v="USD_10yr"/>
    <s v="Govt USD"/>
    <s v="OK"/>
    <x v="0"/>
    <s v="Yield"/>
    <x v="0"/>
    <x v="0"/>
    <x v="31"/>
  </r>
  <r>
    <x v="27"/>
    <s v="Global Conflicts - South China Sea Conflict                 "/>
    <n v="2407"/>
    <s v="China Growth Slowdown: China enters an era of slower growth on the back of several factors, including a return to harsh zero-COVID measures, worsening foreign investor sentiment, and insufficient policy easing."/>
    <x v="226"/>
    <s v="JPY/USD"/>
    <s v="JPY"/>
    <s v="JPY_FX_USD"/>
    <s v="JPY"/>
    <s v="OK"/>
    <x v="11"/>
    <s v="FX"/>
    <x v="3"/>
    <x v="3"/>
    <x v="34"/>
  </r>
  <r>
    <x v="27"/>
    <s v="Global Conflicts - South China Sea Conflict                 "/>
    <n v="2407"/>
    <s v="China Growth Slowdown: China enters an era of slower growth on the back of several factors, including a return to harsh zero-COVID measures, worsening foreign investor sentiment, and insufficient policy easing."/>
    <x v="227"/>
    <s v="VIX"/>
    <s v="Equity Implied Volatility"/>
    <s v="VIX"/>
    <s v="Equity Implied Volatility"/>
    <s v="OK"/>
    <x v="1"/>
    <s v="Index Level"/>
    <x v="1"/>
    <x v="1"/>
    <x v="19"/>
  </r>
  <r>
    <x v="27"/>
    <s v="Global Conflicts - South China Sea Conflict                 "/>
    <n v="2407"/>
    <s v="China Growth Slowdown: China enters an era of slower growth on the back of several factors, including a return to harsh zero-COVID measures, worsening foreign investor sentiment, and insufficient policy easing."/>
    <x v="228"/>
    <s v="China Shanghai SECmp"/>
    <s v="Equity Implied Volatility"/>
    <s v="SHCOMP"/>
    <s v="Equity Implied Volatility"/>
    <s v="OK"/>
    <x v="1"/>
    <s v="Index Level"/>
    <x v="1"/>
    <x v="1"/>
    <x v="24"/>
  </r>
  <r>
    <x v="27"/>
    <s v="Global Conflicts - South China Sea Conflict                 "/>
    <n v="2407"/>
    <s v="China Growth Slowdown: China enters an era of slower growth on the back of several factors, including a return to harsh zero-COVID measures, worsening foreign investor sentiment, and insufficient policy easing."/>
    <x v="229"/>
    <s v="Philippines PSEi"/>
    <s v="Equity Implied Volatility"/>
    <s v="PCOMP"/>
    <s v="Equity Implied Volatility"/>
    <s v="OK"/>
    <x v="1"/>
    <s v="Index Level"/>
    <x v="1"/>
    <x v="1"/>
    <x v="24"/>
  </r>
  <r>
    <x v="27"/>
    <s v="Global Conflicts - South China Sea Conflict                 "/>
    <n v="2407"/>
    <s v="China Growth Slowdown: China enters an era of slower growth on the back of several factors, including a return to harsh zero-COVID measures, worsening foreign investor sentiment, and insufficient policy easing."/>
    <x v="230"/>
    <s v="MSCI World Net TR"/>
    <s v="Equity Implied Volatility"/>
    <s v="MSCIWLDNET"/>
    <s v="Equity Implied Volatility"/>
    <s v="OK"/>
    <x v="1"/>
    <s v="Index Level"/>
    <x v="1"/>
    <x v="1"/>
    <x v="57"/>
  </r>
  <r>
    <x v="27"/>
    <s v="Global Conflicts - South China Sea Conflict                 "/>
    <n v="2407"/>
    <s v="China Growth Slowdown: China enters an era of slower growth on the back of several factors, including a return to harsh zero-COVID measures, worsening foreign investor sentiment, and insufficient policy easing."/>
    <x v="231"/>
    <s v="Asia Corp IG"/>
    <s v="Corporate IG USD - Industry"/>
    <s v="USD_ASIA_CORP_IG"/>
    <s v="Corporate IG USD - Industry"/>
    <s v="OK"/>
    <x v="37"/>
    <s v="Spread Yield"/>
    <x v="5"/>
    <x v="4"/>
    <x v="54"/>
  </r>
  <r>
    <x v="27"/>
    <s v="Global Conflicts - South China Sea Conflict                 "/>
    <n v="2407"/>
    <s v="China Growth Slowdown: China enters an era of slower growth on the back of several factors, including a return to harsh zero-COVID measures, worsening foreign investor sentiment, and insufficient policy easing."/>
    <x v="232"/>
    <s v="China Corp HY"/>
    <s v="Corporate HY USD - Industry"/>
    <s v="USD_CN_CORP_HY"/>
    <s v="Corporate HY USD - Industry"/>
    <s v="OK"/>
    <x v="6"/>
    <s v="Spread Yield"/>
    <x v="5"/>
    <x v="4"/>
    <x v="21"/>
  </r>
  <r>
    <x v="28"/>
    <s v="Global Conflicts - Russia and NATO Military Conflict        "/>
    <n v="2408"/>
    <s v="Although regional tensions have cooled, the risk of an accidental, or deliberate, clash in the South China Sea remains."/>
    <x v="118"/>
    <s v="Tsy 10Y"/>
    <s v="Govt USD"/>
    <s v="USD_10yr"/>
    <s v="Govt USD"/>
    <s v="OK"/>
    <x v="0"/>
    <s v="Yield"/>
    <x v="0"/>
    <x v="0"/>
    <x v="31"/>
  </r>
  <r>
    <x v="28"/>
    <s v="Global Conflicts - Russia and NATO Military Conflict        "/>
    <n v="2408"/>
    <s v="Although regional tensions have cooled, the risk of an accidental, or deliberate, clash in the South China Sea remains."/>
    <x v="233"/>
    <s v="RUBUSD"/>
    <e v="#N/A"/>
    <s v="RUB_FX_USD"/>
    <s v="Emerging Currency"/>
    <s v="OK"/>
    <x v="3"/>
    <s v="FX"/>
    <x v="3"/>
    <x v="3"/>
    <x v="76"/>
  </r>
  <r>
    <x v="28"/>
    <s v="Global Conflicts - Russia and NATO Military Conflict        "/>
    <n v="2408"/>
    <s v="Although regional tensions have cooled, the risk of an accidental, or deliberate, clash in the South China Sea remains."/>
    <x v="227"/>
    <s v="VIX"/>
    <s v="Equity Implied Volatility"/>
    <s v="VIX"/>
    <s v="Equity Implied Volatility"/>
    <s v="OK"/>
    <x v="1"/>
    <s v="Index Level"/>
    <x v="1"/>
    <x v="1"/>
    <x v="19"/>
  </r>
  <r>
    <x v="28"/>
    <s v="Global Conflicts - Russia and NATO Military Conflict        "/>
    <n v="2408"/>
    <s v="Although regional tensions have cooled, the risk of an accidental, or deliberate, clash in the South China Sea remains."/>
    <x v="234"/>
    <s v="Russia RTS"/>
    <s v="Equity Implied Volatility"/>
    <s v="RTSI"/>
    <s v="Equity Implied Volatility"/>
    <s v="OK"/>
    <x v="1"/>
    <s v="Index Level"/>
    <x v="1"/>
    <x v="1"/>
    <x v="66"/>
  </r>
  <r>
    <x v="28"/>
    <s v="Global Conflicts - Russia and NATO Military Conflict        "/>
    <n v="2408"/>
    <s v="Although regional tensions have cooled, the risk of an accidental, or deliberate, clash in the South China Sea remains."/>
    <x v="199"/>
    <s v="MSCI World Net TR"/>
    <s v="Equity Implied Volatility"/>
    <s v="MSCIWLDNET"/>
    <s v="Equity Implied Volatility"/>
    <s v="OK"/>
    <x v="1"/>
    <s v="Index Level"/>
    <x v="1"/>
    <x v="1"/>
    <x v="24"/>
  </r>
  <r>
    <x v="28"/>
    <s v="Global Conflicts - Russia and NATO Military Conflict        "/>
    <n v="2408"/>
    <s v="Although regional tensions have cooled, the risk of an accidental, or deliberate, clash in the South China Sea remains."/>
    <x v="235"/>
    <s v="EMBIG DxS"/>
    <s v="Spread Emerging Markets - Country"/>
    <s v="USD_EM_DS_G"/>
    <s v="Spread Emerging Markets - Country"/>
    <s v="OK"/>
    <x v="29"/>
    <s v="Spread Yield"/>
    <x v="5"/>
    <x v="4"/>
    <x v="87"/>
  </r>
  <r>
    <x v="28"/>
    <s v="Global Conflicts - Russia and NATO Military Conflict        "/>
    <n v="2408"/>
    <s v="Although regional tensions have cooled, the risk of an accidental, or deliberate, clash in the South China Sea remains."/>
    <x v="236"/>
    <s v="Russia"/>
    <s v="Spread Emerging Markets - Country"/>
    <s v="USD_EM_DS_RUSSIA"/>
    <s v="Spread Emerging Markets - Country"/>
    <s v="OK"/>
    <x v="29"/>
    <s v="Spread Yield"/>
    <x v="5"/>
    <x v="4"/>
    <x v="23"/>
  </r>
  <r>
    <x v="28"/>
    <s v="Global Conflicts - Russia and NATO Military Conflict        "/>
    <n v="2408"/>
    <s v="Although regional tensions have cooled, the risk of an accidental, or deliberate, clash in the South China Sea remains."/>
    <x v="237"/>
    <s v="Russia"/>
    <s v="Spread Emerging Markets - Country"/>
    <s v="USD_EM_CORP_EE_RU"/>
    <s v="Corporate HY USD - Country"/>
    <s v="OK"/>
    <x v="43"/>
    <s v="Spread Yield"/>
    <x v="10"/>
    <x v="5"/>
    <x v="23"/>
  </r>
  <r>
    <x v="29"/>
    <s v="Global Conflicts - Major Terror Attack                      "/>
    <n v="2409"/>
    <s v="Tensions between Russia and NATO are heightened due to the erosion of an arms control agreement and competing military exercises. World powers, on both sides, are highly cautious and increasingly suspicious of each other."/>
    <x v="238"/>
    <s v="Tsy 10Y"/>
    <s v="Govt USD"/>
    <s v="USD_10yr"/>
    <s v="Govt USD"/>
    <s v="OK"/>
    <x v="0"/>
    <s v="Yield"/>
    <x v="0"/>
    <x v="0"/>
    <x v="64"/>
  </r>
  <r>
    <x v="29"/>
    <s v="Global Conflicts - Major Terror Attack                      "/>
    <n v="2409"/>
    <s v="Tensions between Russia and NATO are heightened due to the erosion of an arms control agreement and competing military exercises. World powers, on both sides, are highly cautious and increasingly suspicious of each other."/>
    <x v="104"/>
    <s v="Gold COMEX 1"/>
    <s v="Alternative - Commodity"/>
    <s v="USD_COMD_GC_1"/>
    <s v="Alternative - Commodity"/>
    <s v="OK"/>
    <x v="2"/>
    <s v="Price Level"/>
    <x v="2"/>
    <x v="2"/>
    <x v="19"/>
  </r>
  <r>
    <x v="29"/>
    <s v="Global Conflicts - Major Terror Attack                      "/>
    <n v="2409"/>
    <s v="Tensions between Russia and NATO are heightened due to the erosion of an arms control agreement and competing military exercises. World powers, on both sides, are highly cautious and increasingly suspicious of each other."/>
    <x v="133"/>
    <s v="DXY"/>
    <e v="#N/A"/>
    <s v="DXY"/>
    <e v="#N/A"/>
    <s v="BOTH #N/A"/>
    <x v="18"/>
    <s v="Dollar Index"/>
    <x v="9"/>
    <x v="2"/>
    <x v="63"/>
  </r>
  <r>
    <x v="29"/>
    <s v="Global Conflicts - Major Terror Attack                      "/>
    <n v="2409"/>
    <s v="Tensions between Russia and NATO are heightened due to the erosion of an arms control agreement and competing military exercises. World powers, on both sides, are highly cautious and increasingly suspicious of each other."/>
    <x v="239"/>
    <s v="VIX"/>
    <s v="Equity Implied Volatility"/>
    <s v="VIX"/>
    <s v="Equity Implied Volatility"/>
    <s v="OK"/>
    <x v="1"/>
    <s v="Index Level"/>
    <x v="1"/>
    <x v="1"/>
    <x v="96"/>
  </r>
  <r>
    <x v="29"/>
    <s v="Global Conflicts - Major Terror Attack                      "/>
    <n v="2409"/>
    <s v="Tensions between Russia and NATO are heightened due to the erosion of an arms control agreement and competing military exercises. World powers, on both sides, are highly cautious and increasingly suspicious of each other."/>
    <x v="199"/>
    <s v="MSCI World Net TR"/>
    <s v="Equity Implied Volatility"/>
    <s v="MSCIWLDNET"/>
    <s v="Equity Implied Volatility"/>
    <s v="OK"/>
    <x v="1"/>
    <s v="Index Level"/>
    <x v="1"/>
    <x v="1"/>
    <x v="24"/>
  </r>
  <r>
    <x v="29"/>
    <s v="Global Conflicts - Major Terror Attack                      "/>
    <n v="2409"/>
    <s v="Tensions between Russia and NATO are heightened due to the erosion of an arms control agreement and competing military exercises. World powers, on both sides, are highly cautious and increasingly suspicious of each other."/>
    <x v="240"/>
    <s v="CDXNAHY5"/>
    <e v="#N/A"/>
    <s v="USD_CORP_HY_5YN"/>
    <s v="Corporate HY USD - CDX"/>
    <s v="OK"/>
    <x v="44"/>
    <s v="Spread Yield"/>
    <x v="5"/>
    <x v="4"/>
    <x v="84"/>
  </r>
  <r>
    <x v="30"/>
    <s v="Pandemic Recession - Depression Fears                       "/>
    <n v="2444"/>
    <s v="A more sophisticated attack, especially in a financial center like New York or London, could have a significant impact on markets."/>
    <x v="241"/>
    <s v="Tsy 2Y"/>
    <s v="Govt USD"/>
    <s v="USD_2yr"/>
    <s v="Govt USD"/>
    <s v="OK"/>
    <x v="0"/>
    <s v="Yield"/>
    <x v="0"/>
    <x v="0"/>
    <x v="31"/>
  </r>
  <r>
    <x v="30"/>
    <s v="Pandemic Recession - Depression Fears                       "/>
    <n v="2444"/>
    <s v="A more sophisticated attack, especially in a financial center like New York or London, could have a significant impact on markets."/>
    <x v="242"/>
    <s v="Tsy 10Y"/>
    <s v="Govt USD"/>
    <s v="USD_10yr"/>
    <s v="Govt USD"/>
    <s v="OK"/>
    <x v="0"/>
    <s v="Yield"/>
    <x v="0"/>
    <x v="0"/>
    <x v="91"/>
  </r>
  <r>
    <x v="30"/>
    <s v="Pandemic Recession - Depression Fears                       "/>
    <n v="2444"/>
    <s v="A more sophisticated attack, especially in a financial center like New York or London, could have a significant impact on markets."/>
    <x v="243"/>
    <s v="CPI 10yr"/>
    <s v="USD Inflation"/>
    <s v="USD_CPI_10yr"/>
    <s v="USD Inflation"/>
    <s v="OK"/>
    <x v="8"/>
    <s v="Yield"/>
    <x v="6"/>
    <x v="2"/>
    <x v="21"/>
  </r>
  <r>
    <x v="30"/>
    <s v="Pandemic Recession - Depression Fears                       "/>
    <n v="2444"/>
    <s v="A more sophisticated attack, especially in a financial center like New York or London, could have a significant impact on markets."/>
    <x v="244"/>
    <s v="Gold COMEX 1"/>
    <s v="Alternative - Commodity"/>
    <s v="USD_COMD_GC_1"/>
    <s v="Alternative - Commodity"/>
    <s v="OK"/>
    <x v="2"/>
    <s v="Price Level"/>
    <x v="2"/>
    <x v="2"/>
    <x v="96"/>
  </r>
  <r>
    <x v="30"/>
    <s v="Pandemic Recession - Depression Fears                       "/>
    <n v="2444"/>
    <s v="A more sophisticated attack, especially in a financial center like New York or London, could have a significant impact on markets."/>
    <x v="245"/>
    <s v="US Cash Bonds IG"/>
    <s v="Corporate IG USD - Other"/>
    <s v="USD_LEH_CREDIT3"/>
    <s v="Corporate IG USD - Other"/>
    <s v="OK"/>
    <x v="26"/>
    <s v="Corporate IG USD - Other"/>
    <x v="5"/>
    <x v="4"/>
    <x v="100"/>
  </r>
  <r>
    <x v="30"/>
    <s v="Pandemic Recession - Depression Fears                       "/>
    <n v="2444"/>
    <s v="A more sophisticated attack, especially in a financial center like New York or London, could have a significant impact on markets."/>
    <x v="246"/>
    <s v="US Banking IG"/>
    <s v="Corporate IG USD - Industry"/>
    <s v="USD_BANKBROK_IG3"/>
    <s v="Corporate IG USD - Industry"/>
    <s v="OK"/>
    <x v="37"/>
    <s v="Spread Yield"/>
    <x v="5"/>
    <x v="4"/>
    <x v="101"/>
  </r>
  <r>
    <x v="30"/>
    <s v="Pandemic Recession - Depression Fears                       "/>
    <n v="2444"/>
    <s v="A more sophisticated attack, especially in a financial center like New York or London, could have a significant impact on markets."/>
    <x v="247"/>
    <s v="MXN 5Y"/>
    <s v="Govt Emerging Markets"/>
    <s v="MXN_5yr"/>
    <s v="Govt Emerging Markets"/>
    <s v="OK"/>
    <x v="31"/>
    <s v="Yield"/>
    <x v="0"/>
    <x v="0"/>
    <x v="100"/>
  </r>
  <r>
    <x v="30"/>
    <s v="Pandemic Recession - Depression Fears                       "/>
    <n v="2444"/>
    <s v="A more sophisticated attack, especially in a financial center like New York or London, could have a significant impact on markets."/>
    <x v="248"/>
    <s v="JPY/USD"/>
    <s v="JPY"/>
    <s v="JPY_FX_USD"/>
    <s v="JPY"/>
    <s v="OK"/>
    <x v="11"/>
    <s v="FX"/>
    <x v="3"/>
    <x v="3"/>
    <x v="102"/>
  </r>
  <r>
    <x v="30"/>
    <s v="Pandemic Recession - Depression Fears                       "/>
    <n v="2444"/>
    <s v="A more sophisticated attack, especially in a financial center like New York or London, could have a significant impact on markets."/>
    <x v="249"/>
    <s v="DXY"/>
    <e v="#N/A"/>
    <s v="DXY"/>
    <e v="#N/A"/>
    <s v="BOTH #N/A"/>
    <x v="18"/>
    <s v="Dollar Index"/>
    <x v="9"/>
    <x v="2"/>
    <x v="19"/>
  </r>
  <r>
    <x v="30"/>
    <s v="Pandemic Recession - Depression Fears                       "/>
    <n v="2444"/>
    <s v="COVID-19 continues its global spread deep into Q2 2020. Fiscal and monetary stimulus efforts fail to prevent increased bankruptcies, defaults, and unemployment. An economic depression threatens to engulf major industries, with the financial sector at the forefront of the crisis."/>
    <x v="250"/>
    <s v="S&amp;P 500"/>
    <s v="Equity Implied Volatility"/>
    <s v="SPX"/>
    <s v="Equity Implied Volatility"/>
    <s v="OK"/>
    <x v="1"/>
    <s v="Index Level"/>
    <x v="1"/>
    <x v="1"/>
    <x v="26"/>
  </r>
  <r>
    <x v="30"/>
    <s v="Pandemic Recession - Depression Fears                       "/>
    <n v="2444"/>
    <s v="COVID-19 continues its global spread deep into Q2 2020. Fiscal and monetary stimulus efforts fail to prevent increased bankruptcies, defaults, and unemployment. An economic depression threatens to engulf major industries, with the financial sector at the forefront of the crisis."/>
    <x v="251"/>
    <s v="VIX"/>
    <s v="Equity Implied Volatility"/>
    <s v="VIX"/>
    <s v="Equity Implied Volatility"/>
    <s v="OK"/>
    <x v="1"/>
    <s v="Index Level"/>
    <x v="1"/>
    <x v="1"/>
    <x v="103"/>
  </r>
  <r>
    <x v="30"/>
    <s v="Pandemic Recession - Depression Fears                       "/>
    <n v="2444"/>
    <s v="COVID-19 continues its global spread deep into Q2 2020. Fiscal and monetary stimulus efforts fail to prevent increased bankruptcies, defaults, and unemployment. An economic depression threatens to engulf major industries, with the financial sector at the forefront of the crisis."/>
    <x v="122"/>
    <s v="Time"/>
    <e v="#N/A"/>
    <s v="ALL_TIME"/>
    <e v="#N/A"/>
    <s v="BOTH #N/A"/>
    <x v="16"/>
    <s v="Time"/>
    <x v="8"/>
    <x v="2"/>
    <x v="53"/>
  </r>
  <r>
    <x v="30"/>
    <s v="Pandemic Recession - Depression Fears                       "/>
    <n v="2444"/>
    <s v="COVID-19 continues its global spread deep into Q2 2020. Fiscal and monetary stimulus efforts fail to prevent increased bankruptcies, defaults, and unemployment. An economic depression threatens to engulf major industries, with the financial sector at the forefront of the crisis."/>
    <x v="252"/>
    <s v="Leisure Equipment  Products"/>
    <e v="#N/A"/>
    <s v="FMI_WRLD_CDILEISEQ"/>
    <s v="Consumer Discretionary"/>
    <s v="OK"/>
    <x v="23"/>
    <s v="Industry Return"/>
    <x v="4"/>
    <x v="1"/>
    <x v="76"/>
  </r>
  <r>
    <x v="30"/>
    <s v="Pandemic Recession - Depression Fears                       "/>
    <n v="2444"/>
    <s v="COVID-19 continues its global spread deep into Q2 2020. Fiscal and monetary stimulus efforts fail to prevent increased bankruptcies, defaults, and unemployment. An economic depression threatens to engulf major industries, with the financial sector at the forefront of the crisis."/>
    <x v="253"/>
    <s v="S&amp;P 500 Financials"/>
    <s v="Equity Implied Volatility"/>
    <s v="Financials"/>
    <e v="#N/A"/>
    <s v="OK"/>
    <x v="1"/>
    <s v="Index Level"/>
    <x v="1"/>
    <x v="1"/>
    <x v="76"/>
  </r>
  <r>
    <x v="31"/>
    <s v="Pandemic Recession - Global Recession                       "/>
    <n v="2443"/>
    <s v="COVID-19 continues its global spread deep into Q2 2020. Fiscal and monetary stimulus efforts fail to prevent increased bankruptcies, defaults, and unemployment. An economic depression threatens to engulf major industries, with the financial sector at the forefront of the crisis."/>
    <x v="254"/>
    <s v="Tsy 10Y"/>
    <s v="Govt USD"/>
    <s v="USD_10yr"/>
    <s v="Govt USD"/>
    <s v="OK"/>
    <x v="0"/>
    <s v="Yield"/>
    <x v="0"/>
    <x v="0"/>
    <x v="74"/>
  </r>
  <r>
    <x v="31"/>
    <s v="Pandemic Recession - Global Recession                       "/>
    <n v="2443"/>
    <s v="COVID-19 continues its global spread deep into Q2 2020. Fiscal and monetary stimulus efforts fail to prevent increased bankruptcies, defaults, and unemployment. An economic depression threatens to engulf major industries, with the financial sector at the forefront of the crisis."/>
    <x v="255"/>
    <s v="US Cash Bonds IG"/>
    <s v="Corporate IG USD - Other"/>
    <s v="USD_LEH_CREDIT3"/>
    <s v="Corporate IG USD - Other"/>
    <s v="OK"/>
    <x v="26"/>
    <s v="Corporate IG USD - Other"/>
    <x v="5"/>
    <x v="4"/>
    <x v="23"/>
  </r>
  <r>
    <x v="31"/>
    <s v="Pandemic Recession - Global Recession                       "/>
    <n v="2443"/>
    <s v="COVID-19 continues its global spread deep into Q2 2020. Fiscal and monetary stimulus efforts fail to prevent increased bankruptcies, defaults, and unemployment. An economic depression threatens to engulf major industries, with the financial sector at the forefront of the crisis."/>
    <x v="256"/>
    <s v="MXN 5Y"/>
    <s v="Govt Emerging Markets"/>
    <s v="MXN_5yr"/>
    <s v="Govt Emerging Markets"/>
    <s v="OK"/>
    <x v="31"/>
    <s v="Yield"/>
    <x v="0"/>
    <x v="0"/>
    <x v="84"/>
  </r>
  <r>
    <x v="31"/>
    <s v="Pandemic Recession - Global Recession                       "/>
    <n v="2443"/>
    <s v="COVID-19 continues its global spread deep into Q2 2020. Fiscal and monetary stimulus efforts fail to prevent increased bankruptcies, defaults, and unemployment. An economic depression threatens to engulf major industries, with the financial sector at the forefront of the crisis."/>
    <x v="121"/>
    <s v="JPY/USD"/>
    <s v="JPY"/>
    <s v="JPY_FX_USD"/>
    <s v="JPY"/>
    <s v="OK"/>
    <x v="11"/>
    <s v="FX"/>
    <x v="3"/>
    <x v="3"/>
    <x v="25"/>
  </r>
  <r>
    <x v="31"/>
    <s v="Pandemic Recession - Global Recession                       "/>
    <n v="2443"/>
    <s v="COVID-19 continues its global spread deep into Q2 2020. Fiscal and monetary stimulus efforts fail to prevent increased bankruptcies, defaults, and unemployment. An economic depression threatens to engulf major industries, with the financial sector at the forefront of the crisis."/>
    <x v="133"/>
    <s v="DXY"/>
    <e v="#N/A"/>
    <s v="DXY"/>
    <e v="#N/A"/>
    <s v="BOTH #N/A"/>
    <x v="18"/>
    <s v="Dollar Index"/>
    <x v="9"/>
    <x v="2"/>
    <x v="63"/>
  </r>
  <r>
    <x v="31"/>
    <s v="Pandemic Recession - Global Recession                       "/>
    <n v="2443"/>
    <s v="COVID-19 continues its global spread deep into Q2 2020. Fiscal and monetary stimulus efforts fail to prevent increased bankruptcies, defaults, and unemployment. An economic depression threatens to engulf major industries, with the financial sector at the forefront of the crisis."/>
    <x v="257"/>
    <s v="VIX"/>
    <s v="Equity Implied Volatility"/>
    <s v="VIX"/>
    <s v="Equity Implied Volatility"/>
    <s v="OK"/>
    <x v="1"/>
    <s v="Index Level"/>
    <x v="1"/>
    <x v="1"/>
    <x v="17"/>
  </r>
  <r>
    <x v="31"/>
    <s v="Pandemic Recession - Global Recession                       "/>
    <n v="2443"/>
    <s v="COVID-19 continues its global spread deep into Q2 2020. Fiscal and monetary stimulus efforts fail to prevent increased bankruptcies, defaults, and unemployment. An economic depression threatens to engulf major industries, with the financial sector at the forefront of the crisis."/>
    <x v="258"/>
    <s v="MSCI World Net TR"/>
    <s v="Equity Implied Volatility"/>
    <s v="MSCIWLDNET"/>
    <s v="Equity Implied Volatility"/>
    <s v="OK"/>
    <x v="1"/>
    <s v="Index Level"/>
    <x v="1"/>
    <x v="1"/>
    <x v="22"/>
  </r>
  <r>
    <x v="31"/>
    <s v="Pandemic Recession - Global Recession                       "/>
    <n v="2443"/>
    <s v="COVID-19 continues its global spread deep into Q2 2020. Fiscal and monetary stimulus efforts fail to prevent increased bankruptcies, defaults, and unemployment. An economic depression threatens to engulf major industries, with the financial sector at the forefront of the crisis."/>
    <x v="122"/>
    <s v="Time"/>
    <e v="#N/A"/>
    <s v="ALL_TIME"/>
    <e v="#N/A"/>
    <s v="BOTH #N/A"/>
    <x v="16"/>
    <s v="Time"/>
    <x v="8"/>
    <x v="2"/>
    <x v="53"/>
  </r>
  <r>
    <x v="31"/>
    <s v="Pandemic Recession - Global Recession                       "/>
    <n v="2443"/>
    <s v="COVID-19 continues its global spread deep into Q2 2020. Fiscal and monetary stimulus efforts fail to prevent increased bankruptcies, defaults, and unemployment. An economic depression threatens to engulf major industries, with the financial sector at the forefront of the crisis."/>
    <x v="259"/>
    <s v="Textiles Apparel Luxury Goods"/>
    <s v="Consumer Discretionary"/>
    <s v="FMI_WRLD_CDITXTLUX"/>
    <s v="Consumer Discretionary"/>
    <s v="OK"/>
    <x v="23"/>
    <s v="Industry Return"/>
    <x v="4"/>
    <x v="1"/>
    <x v="24"/>
  </r>
  <r>
    <x v="31"/>
    <s v="Pandemic Recession - Global Recession                       "/>
    <n v="2443"/>
    <s v="Strict lockdown measures take a toll on global growth, as the world faces an increasingly negative demand shock. Fears of a deepening recession rise as the duration of the lockdown increases, unnerving financial markets."/>
    <x v="260"/>
    <s v="Asia Corp IG"/>
    <s v="Corporate IG USD - Industry"/>
    <s v="USD_ASIA_CORP_IG"/>
    <s v="Corporate IG USD - Industry"/>
    <s v="OK"/>
    <x v="37"/>
    <s v="Spread Yield"/>
    <x v="5"/>
    <x v="4"/>
    <x v="86"/>
  </r>
  <r>
    <x v="31"/>
    <s v="Pandemic Recession - Global Recession                       "/>
    <n v="2443"/>
    <s v="Strict lockdown measures take a toll on global growth, as the world faces an increasingly negative demand shock. Fears of a deepening recession rise as the duration of the lockdown increases, unnerving financial markets."/>
    <x v="261"/>
    <s v="MSCI World Cons. Discretionary"/>
    <s v="Other - Index"/>
    <s v="Discretionary"/>
    <e v="#N/A"/>
    <s v="OK"/>
    <x v="12"/>
    <s v="Index Level"/>
    <x v="7"/>
    <x v="2"/>
    <x v="24"/>
  </r>
  <r>
    <x v="31"/>
    <s v="Pandemic Recession - Global Recession                       "/>
    <n v="2443"/>
    <s v="Strict lockdown measures take a toll on global growth, as the world faces an increasingly negative demand shock. Fears of a deepening recession rise as the duration of the lockdown increases, unnerving financial markets."/>
    <x v="262"/>
    <s v="US Energy IG"/>
    <s v="Corporate IG USD - Industry"/>
    <s v="IG"/>
    <e v="#N/A"/>
    <s v="OK"/>
    <x v="37"/>
    <s v="Spread Yield"/>
    <x v="5"/>
    <x v="4"/>
    <x v="71"/>
  </r>
  <r>
    <x v="32"/>
    <s v="Pandemic Recession - Moderate Recovery                      "/>
    <n v="2442"/>
    <s v="Strict lockdown measures take a toll on global growth, as the world faces an increasingly negative demand shock. Fears of a deepening recession rise as the duration of the lockdown increases, unnerving financial markets."/>
    <x v="263"/>
    <s v="Tsy 2Y"/>
    <s v="Govt USD"/>
    <s v="USD_2yr"/>
    <s v="Govt USD"/>
    <s v="OK"/>
    <x v="0"/>
    <s v="Yield"/>
    <x v="0"/>
    <x v="0"/>
    <x v="50"/>
  </r>
  <r>
    <x v="32"/>
    <s v="Pandemic Recession - Moderate Recovery                      "/>
    <n v="2442"/>
    <s v="Strict lockdown measures take a toll on global growth, as the world faces an increasingly negative demand shock. Fears of a deepening recession rise as the duration of the lockdown increases, unnerving financial markets."/>
    <x v="264"/>
    <s v="MXN 5Y"/>
    <s v="Govt Emerging Markets"/>
    <s v="MXN_5yr"/>
    <s v="Govt Emerging Markets"/>
    <s v="OK"/>
    <x v="31"/>
    <s v="Yield"/>
    <x v="0"/>
    <x v="0"/>
    <x v="74"/>
  </r>
  <r>
    <x v="32"/>
    <s v="Pandemic Recession - Moderate Recovery                      "/>
    <n v="2442"/>
    <s v="Strict lockdown measures take a toll on global growth, as the world faces an increasingly negative demand shock. Fears of a deepening recession rise as the duration of the lockdown increases, unnerving financial markets."/>
    <x v="265"/>
    <s v="MXNUSD"/>
    <e v="#N/A"/>
    <s v="MXN_FX_USD"/>
    <s v="Emerging Currency"/>
    <s v="OK"/>
    <x v="3"/>
    <s v="FX"/>
    <x v="3"/>
    <x v="3"/>
    <x v="44"/>
  </r>
  <r>
    <x v="32"/>
    <s v="Pandemic Recession - Moderate Recovery                      "/>
    <n v="2442"/>
    <s v="Strict lockdown measures take a toll on global growth, as the world faces an increasingly negative demand shock. Fears of a deepening recession rise as the duration of the lockdown increases, unnerving financial markets."/>
    <x v="266"/>
    <s v="VIX"/>
    <s v="Equity Implied Volatility"/>
    <s v="VIX"/>
    <s v="Equity Implied Volatility"/>
    <s v="OK"/>
    <x v="1"/>
    <s v="Index Level"/>
    <x v="1"/>
    <x v="1"/>
    <x v="69"/>
  </r>
  <r>
    <x v="32"/>
    <s v="Pandemic Recession - Moderate Recovery                      "/>
    <n v="2442"/>
    <s v="Strict lockdown measures take a toll on global growth, as the world faces an increasingly negative demand shock. Fears of a deepening recession rise as the duration of the lockdown increases, unnerving financial markets."/>
    <x v="267"/>
    <s v="MSCI World Net TR"/>
    <s v="Equity Implied Volatility"/>
    <s v="MSCIWLDNET"/>
    <s v="Equity Implied Volatility"/>
    <s v="OK"/>
    <x v="1"/>
    <s v="Index Level"/>
    <x v="1"/>
    <x v="1"/>
    <x v="17"/>
  </r>
  <r>
    <x v="32"/>
    <s v="Pandemic Recession - Moderate Recovery                      "/>
    <n v="2442"/>
    <s v="Strict lockdown measures take a toll on global growth, as the world faces an increasingly negative demand shock. Fears of a deepening recession rise as the duration of the lockdown increases, unnerving financial markets."/>
    <x v="268"/>
    <s v="EU Credit IG"/>
    <s v="Corporate IG EUR - Other"/>
    <s v="EUR_LEH_CREDIT"/>
    <s v="Corporate IG EUR - Other"/>
    <s v="OK"/>
    <x v="45"/>
    <s v="Spread Yield"/>
    <x v="5"/>
    <x v="4"/>
    <x v="64"/>
  </r>
  <r>
    <x v="32"/>
    <s v="Pandemic Recession - Moderate Recovery                      "/>
    <n v="2442"/>
    <s v="Strict lockdown measures take a toll on global growth, as the world faces an increasingly negative demand shock. Fears of a deepening recession rise as the duration of the lockdown increases, unnerving financial markets."/>
    <x v="122"/>
    <s v="Time"/>
    <e v="#N/A"/>
    <s v="ALL_TIME"/>
    <e v="#N/A"/>
    <s v="BOTH #N/A"/>
    <x v="16"/>
    <s v="Time"/>
    <x v="8"/>
    <x v="2"/>
    <x v="53"/>
  </r>
  <r>
    <x v="32"/>
    <s v="Pandemic Recession - Moderate Recovery                      "/>
    <n v="2442"/>
    <s v="Strict lockdown measures take a toll on global growth, as the world faces an increasingly negative demand shock. Fears of a deepening recession rise as the duration of the lockdown increases, unnerving financial markets."/>
    <x v="269"/>
    <s v="Value"/>
    <s v="Value"/>
    <s v="FMI_WRLD_VALUE"/>
    <s v="Value"/>
    <s v="OK"/>
    <x v="46"/>
    <s v="Style Return"/>
    <x v="13"/>
    <x v="1"/>
    <x v="77"/>
  </r>
  <r>
    <x v="32"/>
    <s v="Pandemic Recession - Moderate Recovery                      "/>
    <n v="2442"/>
    <s v="Strict lockdown measures take a toll on global growth, as the world faces an increasingly negative demand shock. Fears of a deepening recession rise as the duration of the lockdown increases, unnerving financial markets."/>
    <x v="270"/>
    <s v="EMBIG DxS"/>
    <s v="Spread Emerging Markets - Country"/>
    <s v="USD_EM_DS_G"/>
    <s v="Spread Emerging Markets - Country"/>
    <s v="OK"/>
    <x v="29"/>
    <s v="Spread Yield"/>
    <x v="5"/>
    <x v="4"/>
    <x v="104"/>
  </r>
  <r>
    <x v="32"/>
    <s v="Pandemic Recession - Moderate Recovery                      "/>
    <n v="2442"/>
    <s v="Governments relax lockdown measures after successfully containing the COVID-19 outbreak. A moderate recovery in global growth follows a sharp contraction and significant policy easing."/>
    <x v="271"/>
    <s v="MSCI World Consumer Staples"/>
    <s v="Other - Index"/>
    <s v="Staples"/>
    <e v="#N/A"/>
    <s v="OK"/>
    <x v="12"/>
    <s v="Index Level"/>
    <x v="7"/>
    <x v="2"/>
    <x v="55"/>
  </r>
  <r>
    <x v="32"/>
    <s v="Pandemic Recession - Moderate Recovery                      "/>
    <n v="2442"/>
    <s v="Governments relax lockdown measures after successfully containing the COVID-19 outbreak. A moderate recovery in global growth follows a sharp contraction and significant policy easing."/>
    <x v="272"/>
    <s v="MS Emerging Mkts"/>
    <s v="Equity Implied Volatility"/>
    <s v="Mkts"/>
    <e v="#N/A"/>
    <s v="OK"/>
    <x v="1"/>
    <s v="Index Level"/>
    <x v="1"/>
    <x v="1"/>
    <x v="51"/>
  </r>
  <r>
    <x v="32"/>
    <s v="Pandemic Recession - Moderate Recovery                      "/>
    <n v="2442"/>
    <s v="Governments relax lockdown measures after successfully containing the COVID-19 outbreak. A moderate recovery in global growth follows a sharp contraction and significant policy easing."/>
    <x v="273"/>
    <s v="Tsy 30Y"/>
    <s v="Govt USD"/>
    <s v="30Y"/>
    <e v="#N/A"/>
    <s v="OK"/>
    <x v="0"/>
    <s v="Yield"/>
    <x v="0"/>
    <x v="0"/>
    <x v="87"/>
  </r>
  <r>
    <x v="32"/>
    <s v="Pandemic Recession - Moderate Recovery                      "/>
    <n v="2442"/>
    <s v="Governments relax lockdown measures after successfully containing the COVID-19 outbreak. A moderate recovery in global growth follows a sharp contraction and significant policy easing."/>
    <x v="274"/>
    <s v="US Cash Bonds IG"/>
    <s v="Corporate IG USD - Other"/>
    <s v="IG"/>
    <e v="#N/A"/>
    <s v="OK"/>
    <x v="26"/>
    <s v="Corporate IG USD - Other"/>
    <x v="5"/>
    <x v="4"/>
    <x v="74"/>
  </r>
  <r>
    <x v="33"/>
    <s v="Crash '08 - Absolute, Sep 12 - Nov 03, 2008                 "/>
    <n v="2310"/>
    <s v="Governments relax lockdown measures after successfully containing the COVID-19 outbreak. A moderate recovery in global growth follows a sharp contraction and significant policy easing."/>
    <x v="79"/>
    <m/>
    <e v="#N/A"/>
    <s v="-"/>
    <e v="#N/A"/>
    <s v="BOTH #N/A"/>
    <x v="24"/>
    <s v="-"/>
    <x v="10"/>
    <x v="5"/>
    <x v="59"/>
  </r>
  <r>
    <x v="34"/>
    <s v="Credit '07 - Relative, Jul 01, 2007 - Jul 01, 2008          "/>
    <n v="2307"/>
    <s v="Governments relax lockdown measures after successfully containing the COVID-19 outbreak. A moderate recovery in global growth follows a sharp contraction and significant policy easing."/>
    <x v="79"/>
    <m/>
    <e v="#N/A"/>
    <s v="-"/>
    <e v="#N/A"/>
    <s v="BOTH #N/A"/>
    <x v="24"/>
    <s v="-"/>
    <x v="10"/>
    <x v="5"/>
    <x v="59"/>
  </r>
  <r>
    <x v="35"/>
    <s v="Coronavirus - Coronavirus Global Contagion                  "/>
    <n v="2438"/>
    <s v="Governments relax lockdown measures after successfully containing the COVID-19 outbreak. A moderate recovery in global growth follows a sharp contraction and significant policy easing."/>
    <x v="254"/>
    <s v="Tsy 10Y"/>
    <s v="Govt USD"/>
    <s v="USD_10yr"/>
    <s v="Govt USD"/>
    <s v="OK"/>
    <x v="0"/>
    <s v="Yield"/>
    <x v="0"/>
    <x v="0"/>
    <x v="105"/>
  </r>
  <r>
    <x v="35"/>
    <s v="Coronavirus - Coronavirus Global Contagion                  "/>
    <n v="2438"/>
    <s v="Governments relax lockdown measures after successfully containing the COVID-19 outbreak. A moderate recovery in global growth follows a sharp contraction and significant policy easing."/>
    <x v="163"/>
    <s v="Brent Crude ICE 1"/>
    <s v="Alternative - Commodity"/>
    <s v="USD_COMD_CO_1"/>
    <s v="Alternative - Commodity"/>
    <s v="OK"/>
    <x v="2"/>
    <s v="Price Level"/>
    <x v="2"/>
    <x v="2"/>
    <x v="106"/>
  </r>
  <r>
    <x v="35"/>
    <s v="Coronavirus - Coronavirus Global Contagion                  "/>
    <n v="2438"/>
    <s v="Governments relax lockdown measures after successfully containing the COVID-19 outbreak. A moderate recovery in global growth follows a sharp contraction and significant policy easing."/>
    <x v="151"/>
    <s v="Gold COMEX 1"/>
    <s v="Alternative - Commodity"/>
    <s v="USD_COMD_GC_1"/>
    <s v="Alternative - Commodity"/>
    <s v="OK"/>
    <x v="2"/>
    <s v="Price Level"/>
    <x v="2"/>
    <x v="2"/>
    <x v="107"/>
  </r>
  <r>
    <x v="35"/>
    <s v="Coronavirus - Coronavirus Global Contagion                  "/>
    <n v="2438"/>
    <s v="Governments relax lockdown measures after successfully containing the COVID-19 outbreak. A moderate recovery in global growth follows a sharp contraction and significant policy easing."/>
    <x v="275"/>
    <s v="MXN 5Y"/>
    <s v="Govt Emerging Markets"/>
    <s v="MXN_5yr"/>
    <s v="Govt Emerging Markets"/>
    <s v="OK"/>
    <x v="31"/>
    <s v="Yield"/>
    <x v="0"/>
    <x v="0"/>
    <x v="108"/>
  </r>
  <r>
    <x v="35"/>
    <s v="Coronavirus - Coronavirus Global Contagion                  "/>
    <n v="2438"/>
    <s v="Governments relax lockdown measures after successfully containing the COVID-19 outbreak. A moderate recovery in global growth follows a sharp contraction and significant policy easing."/>
    <x v="276"/>
    <s v="ZAR 10Y"/>
    <s v="Govt Emerging Markets"/>
    <s v="ZAR_10yr"/>
    <s v="Govt Emerging Markets"/>
    <s v="OK"/>
    <x v="31"/>
    <s v="Yield"/>
    <x v="0"/>
    <x v="0"/>
    <x v="109"/>
  </r>
  <r>
    <x v="35"/>
    <s v="Coronavirus - Coronavirus Global Contagion                  "/>
    <n v="2438"/>
    <s v="Governments relax lockdown measures after successfully containing the COVID-19 outbreak. A moderate recovery in global growth follows a sharp contraction and significant policy easing."/>
    <x v="277"/>
    <s v="PLN 5Y"/>
    <s v="Govt Emerging Markets"/>
    <s v="PLN_5yr"/>
    <s v="Govt Emerging Markets"/>
    <s v="OK"/>
    <x v="31"/>
    <s v="Yield"/>
    <x v="0"/>
    <x v="0"/>
    <x v="105"/>
  </r>
  <r>
    <x v="35"/>
    <s v="Coronavirus - Coronavirus Global Contagion                  "/>
    <n v="2438"/>
    <s v="Governments relax lockdown measures after successfully containing the COVID-19 outbreak. A moderate recovery in global growth follows a sharp contraction and significant policy easing."/>
    <x v="278"/>
    <s v="CHFUSD"/>
    <e v="#N/A"/>
    <s v="CHF_FX_USD"/>
    <s v="Developed Currency"/>
    <s v="OK"/>
    <x v="42"/>
    <s v="FX"/>
    <x v="3"/>
    <x v="3"/>
    <x v="110"/>
  </r>
  <r>
    <x v="35"/>
    <s v="Coronavirus - Coronavirus Global Contagion                  "/>
    <n v="2438"/>
    <s v="Credit &amp; liquidity crisis and equity market crash set off by Lehman Brothers bankruptcy. Significant credit spreads widening caused by massive deleveraging. Shocks for DxS Factors are spreads."/>
    <x v="279"/>
    <s v="CNYUSD"/>
    <e v="#N/A"/>
    <s v="CNY_FX_USD"/>
    <s v="Emerging Currency"/>
    <s v="OK"/>
    <x v="3"/>
    <s v="FX"/>
    <x v="3"/>
    <x v="3"/>
    <x v="111"/>
  </r>
  <r>
    <x v="35"/>
    <s v="Coronavirus - Coronavirus Global Contagion                  "/>
    <n v="2438"/>
    <s v="Credit &amp; liquidity crisis stemming from a severe slowdown in the housing market causing significant widening of credit spreads and increased implied volatility. Shocks for DxS Factors are percentages of spread."/>
    <x v="198"/>
    <s v="JPY/USD"/>
    <s v="JPY"/>
    <s v="JPY_FX_USD"/>
    <s v="JPY"/>
    <s v="OK"/>
    <x v="11"/>
    <s v="FX"/>
    <x v="3"/>
    <x v="3"/>
    <x v="112"/>
  </r>
  <r>
    <x v="35"/>
    <s v="Coronavirus - Coronavirus Global Contagion                  "/>
    <n v="2438"/>
    <s v="A hypothetical scenario in which the coronavirus spreads globally, with increasing numbers of infections and deaths beyond China. More cities are placed on lockdown in an attempt to contain the virus, transport systems are closed, and flights are grounded. Reduced economic activity impacts global growth."/>
    <x v="280"/>
    <s v="TWDUSD"/>
    <e v="#N/A"/>
    <s v="TWD_FX_USD"/>
    <s v="Emerging Currency"/>
    <s v="OK"/>
    <x v="3"/>
    <s v="FX"/>
    <x v="3"/>
    <x v="3"/>
    <x v="113"/>
  </r>
  <r>
    <x v="35"/>
    <s v="Coronavirus - Coronavirus Global Contagion                  "/>
    <n v="2438"/>
    <s v="A hypothetical scenario in which the coronavirus spreads globally, with increasing numbers of infections and deaths beyond China. More cities are placed on lockdown in an attempt to contain the virus, transport systems are closed, and flights are grounded. Reduced economic activity impacts global growth."/>
    <x v="281"/>
    <s v="MSCI World Net TR"/>
    <s v="Equity Implied Volatility"/>
    <s v="MSCIWLDNET"/>
    <s v="Equity Implied Volatility"/>
    <s v="OK"/>
    <x v="1"/>
    <s v="Index Level"/>
    <x v="1"/>
    <x v="1"/>
    <x v="114"/>
  </r>
  <r>
    <x v="35"/>
    <s v="Coronavirus - Coronavirus Global Contagion                  "/>
    <n v="2438"/>
    <s v="A hypothetical scenario in which the coronavirus spreads globally, with increasing numbers of infections and deaths beyond China. More cities are placed on lockdown in an attempt to contain the virus, transport systems are closed, and flights are grounded. Reduced economic activity impacts global growth."/>
    <x v="282"/>
    <s v="Time"/>
    <e v="#N/A"/>
    <s v="ALL_TIME"/>
    <e v="#N/A"/>
    <s v="BOTH #N/A"/>
    <x v="16"/>
    <s v="Time"/>
    <x v="8"/>
    <x v="2"/>
    <x v="115"/>
  </r>
  <r>
    <x v="35"/>
    <s v="Coronavirus - Coronavirus Global Contagion                  "/>
    <n v="2438"/>
    <s v="A hypothetical scenario in which the coronavirus spreads globally, with increasing numbers of infections and deaths beyond China. More cities are placed on lockdown in an attempt to contain the virus, transport systems are closed, and flights are grounded. Reduced economic activity impacts global growth."/>
    <x v="283"/>
    <s v="Transportation"/>
    <s v="Industrials"/>
    <s v="FMI_WRLD_INDTRAN"/>
    <s v="Industrials"/>
    <s v="OK"/>
    <x v="4"/>
    <s v="Industry Return"/>
    <x v="4"/>
    <x v="1"/>
    <x v="116"/>
  </r>
  <r>
    <x v="35"/>
    <s v="Coronavirus - Coronavirus Global Contagion                  "/>
    <n v="2438"/>
    <s v="A hypothetical scenario in which the coronavirus spreads globally, with increasing numbers of infections and deaths beyond China. More cities are placed on lockdown in an attempt to contain the virus, transport systems are closed, and flights are grounded. Reduced economic activity impacts global growth."/>
    <x v="284"/>
    <s v="Textiles Apparel Luxury Goods"/>
    <s v="Consumer Discretionary"/>
    <s v="FMI_WRLD_CDITXTLUX"/>
    <s v="Consumer Discretionary"/>
    <s v="OK"/>
    <x v="23"/>
    <s v="Industry Return"/>
    <x v="4"/>
    <x v="1"/>
    <x v="117"/>
  </r>
  <r>
    <x v="35"/>
    <s v="Coronavirus - Coronavirus Global Contagion                  "/>
    <n v="2438"/>
    <s v="A hypothetical scenario in which the coronavirus spreads globally, with increasing numbers of infections and deaths beyond China. More cities are placed on lockdown in an attempt to contain the virus, transport systems are closed, and flights are grounded. Reduced economic activity impacts global growth."/>
    <x v="285"/>
    <s v="Consumer Services"/>
    <s v="Consumer Discretionary"/>
    <s v="FMI_WRLD_CDICONSVCS"/>
    <s v="Consumer Discretionary"/>
    <s v="OK"/>
    <x v="23"/>
    <s v="Industry Return"/>
    <x v="4"/>
    <x v="1"/>
    <x v="116"/>
  </r>
  <r>
    <x v="35"/>
    <s v="Coronavirus - Coronavirus Global Contagion                  "/>
    <n v="2438"/>
    <s v="A hypothetical scenario in which the coronavirus spreads globally, with increasing numbers of infections and deaths beyond China. More cities are placed on lockdown in an attempt to contain the virus, transport systems are closed, and flights are grounded. Reduced economic activity impacts global growth."/>
    <x v="286"/>
    <s v="EMBIG DxS"/>
    <s v="Spread Emerging Markets - Country"/>
    <s v="USD_EM_DS_G"/>
    <s v="Spread Emerging Markets - Country"/>
    <s v="OK"/>
    <x v="29"/>
    <s v="Spread Yield"/>
    <x v="5"/>
    <x v="4"/>
    <x v="118"/>
  </r>
  <r>
    <x v="35"/>
    <s v="Coronavirus - Coronavirus Global Contagion                  "/>
    <n v="2438"/>
    <s v="A hypothetical scenario in which the coronavirus spreads globally, with increasing numbers of infections and deaths beyond China. More cities are placed on lockdown in an attempt to contain the virus, transport systems are closed, and flights are grounded. Reduced economic activity impacts global growth."/>
    <x v="287"/>
    <s v="Venezuela"/>
    <s v="Emerging Markets"/>
    <s v="USD_EM_DS_VENEZUELA"/>
    <s v="Spread Emerging Markets - Country"/>
    <s v="OK"/>
    <x v="29"/>
    <s v="Spread Yield"/>
    <x v="5"/>
    <x v="4"/>
    <x v="119"/>
  </r>
  <r>
    <x v="35"/>
    <s v="Coronavirus - Coronavirus Global Contagion                  "/>
    <n v="2438"/>
    <s v="A hypothetical scenario in which the coronavirus spreads globally, with increasing numbers of infections and deaths beyond China. More cities are placed on lockdown in an attempt to contain the virus, transport systems are closed, and flights are grounded. Reduced economic activity impacts global growth."/>
    <x v="288"/>
    <s v="Asia Corp HY"/>
    <s v="Corporate HY USD - Industry"/>
    <s v="USD_ASIA_CORP_HY"/>
    <s v="Corporate HY USD - Industry"/>
    <s v="OK"/>
    <x v="6"/>
    <s v="Spread Yield"/>
    <x v="5"/>
    <x v="4"/>
    <x v="120"/>
  </r>
  <r>
    <x v="35"/>
    <s v="Coronavirus - Coronavirus Global Contagion                  "/>
    <n v="2438"/>
    <s v="A hypothetical scenario in which the coronavirus spreads globally, with increasing numbers of infections and deaths beyond China. More cities are placed on lockdown in an attempt to contain the virus, transport systems are closed, and flights are grounded. Reduced economic activity impacts global growth."/>
    <x v="170"/>
    <s v="MSCI China"/>
    <s v="Other - Index"/>
    <s v="MS_CN_LCL"/>
    <s v="Other - Index"/>
    <s v="OK"/>
    <x v="12"/>
    <s v="Index Level"/>
    <x v="7"/>
    <x v="2"/>
    <x v="121"/>
  </r>
  <r>
    <x v="35"/>
    <s v="Coronavirus - Coronavirus Global Contagion                  "/>
    <n v="2438"/>
    <s v="A hypothetical scenario in which the coronavirus spreads globally, with increasing numbers of infections and deaths beyond China. More cities are placed on lockdown in an attempt to contain the virus, transport systems are closed, and flights are grounded. Reduced economic activity impacts global growth."/>
    <x v="289"/>
    <s v="MSCI Japan"/>
    <s v="Other - Index"/>
    <s v="Japan"/>
    <e v="#N/A"/>
    <s v="OK"/>
    <x v="12"/>
    <s v="Index Level"/>
    <x v="7"/>
    <x v="2"/>
    <x v="122"/>
  </r>
  <r>
    <x v="36"/>
    <s v="Major cyber attack(s)                                       "/>
    <n v="2202"/>
    <s v="A hypothetical scenario in which the coronavirus spreads globally, with increasing numbers of infections and deaths beyond China. More cities are placed on lockdown in an attempt to contain the virus, transport systems are closed, and flights are grounded. Reduced economic activity impacts global growth."/>
    <x v="290"/>
    <s v="Tsy 10Y"/>
    <s v="Govt USD"/>
    <s v="USD_10yr"/>
    <s v="Govt USD"/>
    <s v="OK"/>
    <x v="0"/>
    <s v="Yield"/>
    <x v="0"/>
    <x v="0"/>
    <x v="123"/>
  </r>
  <r>
    <x v="36"/>
    <s v="Major cyber attack(s)                                       "/>
    <n v="2202"/>
    <s v="A hypothetical scenario in which the coronavirus spreads globally, with increasing numbers of infections and deaths beyond China. More cities are placed on lockdown in an attempt to contain the virus, transport systems are closed, and flights are grounded. Reduced economic activity impacts global growth."/>
    <x v="172"/>
    <s v="USD INF 10Y"/>
    <s v="USD Inflation"/>
    <s v="USD_INF_10yr"/>
    <s v="USD Inflation"/>
    <s v="OK"/>
    <x v="8"/>
    <s v="Yield"/>
    <x v="6"/>
    <x v="2"/>
    <x v="124"/>
  </r>
  <r>
    <x v="36"/>
    <s v="Major cyber attack(s)                                       "/>
    <n v="2202"/>
    <s v="A hypothetical scenario in which the coronavirus spreads globally, with increasing numbers of infections and deaths beyond China. More cities are placed on lockdown in an attempt to contain the virus, transport systems are closed, and flights are grounded. Reduced economic activity impacts global growth."/>
    <x v="113"/>
    <s v="Gold COMEX 1"/>
    <s v="Alternative - Commodity"/>
    <s v="USD_COMD_GC_1"/>
    <s v="Alternative - Commodity"/>
    <s v="OK"/>
    <x v="2"/>
    <s v="Price Level"/>
    <x v="2"/>
    <x v="2"/>
    <x v="125"/>
  </r>
  <r>
    <x v="36"/>
    <s v="Major cyber attack(s)                                       "/>
    <n v="2202"/>
    <s v="A hypothetical scenario in which the coronavirus spreads globally, with increasing numbers of infections and deaths beyond China. More cities are placed on lockdown in an attempt to contain the virus, transport systems are closed, and flights are grounded. Reduced economic activity impacts global growth."/>
    <x v="291"/>
    <s v="Natural gas NYME 1"/>
    <s v="Alternative - Commodity"/>
    <s v="USD_COMD_NG_1"/>
    <s v="Alternative - Commodity"/>
    <s v="OK"/>
    <x v="2"/>
    <s v="Price Level"/>
    <x v="2"/>
    <x v="2"/>
    <x v="126"/>
  </r>
  <r>
    <x v="36"/>
    <s v="Major cyber attack(s)                                       "/>
    <n v="2202"/>
    <s v="A hypothetical scenario in which the coronavirus spreads globally, with increasing numbers of infections and deaths beyond China. More cities are placed on lockdown in an attempt to contain the virus, transport systems are closed, and flights are grounded. Reduced economic activity impacts global growth."/>
    <x v="292"/>
    <s v="Public Utilities"/>
    <s v="Spread - Municipals"/>
    <s v="USD_MUNI_UTIL2"/>
    <s v="Spread - Municipals"/>
    <s v="OK"/>
    <x v="17"/>
    <s v="Spread Yield"/>
    <x v="5"/>
    <x v="4"/>
    <x v="127"/>
  </r>
  <r>
    <x v="36"/>
    <s v="Major cyber attack(s)                                       "/>
    <n v="2202"/>
    <s v="A hypothetical scenario in which the coronavirus spreads globally, with increasing numbers of infections and deaths beyond China. More cities are placed on lockdown in an attempt to contain the virus, transport systems are closed, and flights are grounded. Reduced economic activity impacts global growth."/>
    <x v="226"/>
    <s v="JPY/USD"/>
    <s v="JPY"/>
    <s v="JPY_FX_USD"/>
    <s v="JPY"/>
    <s v="OK"/>
    <x v="11"/>
    <s v="FX"/>
    <x v="3"/>
    <x v="3"/>
    <x v="110"/>
  </r>
  <r>
    <x v="36"/>
    <s v="Major cyber attack(s)                                       "/>
    <n v="2202"/>
    <s v="A hypothetical scenario in which the coronavirus spreads globally, with increasing numbers of infections and deaths beyond China. More cities are placed on lockdown in an attempt to contain the virus, transport systems are closed, and flights are grounded. Reduced economic activity impacts global growth."/>
    <x v="133"/>
    <s v="DXY"/>
    <e v="#N/A"/>
    <s v="DXY"/>
    <e v="#N/A"/>
    <s v="BOTH #N/A"/>
    <x v="18"/>
    <s v="Dollar Index"/>
    <x v="9"/>
    <x v="2"/>
    <x v="112"/>
  </r>
  <r>
    <x v="36"/>
    <s v="Major cyber attack(s)                                       "/>
    <n v="2202"/>
    <s v="A hypothetical scenario in which the coronavirus spreads globally, with increasing numbers of infections and deaths beyond China. More cities are placed on lockdown in an attempt to contain the virus, transport systems are closed, and flights are grounded. Reduced economic activity impacts global growth."/>
    <x v="293"/>
    <s v="VIX"/>
    <s v="Equity Implied Volatility"/>
    <s v="VIX"/>
    <s v="Equity Implied Volatility"/>
    <s v="OK"/>
    <x v="1"/>
    <s v="Index Level"/>
    <x v="1"/>
    <x v="1"/>
    <x v="112"/>
  </r>
  <r>
    <x v="36"/>
    <s v="Major cyber attack(s)                                       "/>
    <n v="2202"/>
    <s v="A hypothetical scenario in which the coronavirus spreads globally, with increasing numbers of infections and deaths beyond China. More cities are placed on lockdown in an attempt to contain the virus, transport systems are closed, and flights are grounded. Reduced economic activity impacts global growth."/>
    <x v="294"/>
    <s v="S&amp;P 500 Industrials"/>
    <s v="Equity Implied Volatility"/>
    <s v="S5INDU"/>
    <s v="Equity Implied Volatility"/>
    <s v="OK"/>
    <x v="1"/>
    <s v="Index Level"/>
    <x v="1"/>
    <x v="1"/>
    <x v="128"/>
  </r>
  <r>
    <x v="36"/>
    <s v="Major cyber attack(s)                                       "/>
    <n v="2202"/>
    <s v="Cyber attacks cause sustained disruption to critical physical and digital infrastructure"/>
    <x v="295"/>
    <s v="S&amp;P 500 Utilities"/>
    <s v="Equity Implied Volatility"/>
    <s v="S5UTIL"/>
    <s v="Equity Implied Volatility"/>
    <s v="OK"/>
    <x v="1"/>
    <s v="Index Level"/>
    <x v="1"/>
    <x v="1"/>
    <x v="129"/>
  </r>
  <r>
    <x v="36"/>
    <s v="Major cyber attack(s)                                       "/>
    <n v="2202"/>
    <s v="Cyber attacks cause sustained disruption to critical physical and digital infrastructure"/>
    <x v="296"/>
    <s v="US HY Utility"/>
    <s v="Corporate HY USD - Industry"/>
    <s v="USD_HY_UTILITY"/>
    <s v="Corporate HY USD - Industry"/>
    <s v="OK"/>
    <x v="6"/>
    <s v="Spread Yield"/>
    <x v="5"/>
    <x v="4"/>
    <x v="130"/>
  </r>
  <r>
    <x v="37"/>
    <s v="Cyber Attacks Rising - Attack on the Cloud                  "/>
    <n v="2422"/>
    <s v="Cyber attacks cause sustained disruption to critical physical and digital infrastructure"/>
    <x v="297"/>
    <s v="Tsy 10Y"/>
    <s v="Govt USD"/>
    <s v="USD_10yr"/>
    <s v="Govt USD"/>
    <s v="OK"/>
    <x v="0"/>
    <s v="Yield"/>
    <x v="0"/>
    <x v="0"/>
    <x v="131"/>
  </r>
  <r>
    <x v="37"/>
    <s v="Cyber Attacks Rising - Attack on the Cloud                  "/>
    <n v="2422"/>
    <s v="Cyber attacks cause sustained disruption to critical physical and digital infrastructure"/>
    <x v="298"/>
    <s v="Gold COMEX 1"/>
    <s v="Alternative - Commodity"/>
    <s v="USD_COMD_GC_1"/>
    <s v="Alternative - Commodity"/>
    <s v="OK"/>
    <x v="2"/>
    <s v="Price Level"/>
    <x v="2"/>
    <x v="2"/>
    <x v="112"/>
  </r>
  <r>
    <x v="37"/>
    <s v="Cyber Attacks Rising - Attack on the Cloud                  "/>
    <n v="2422"/>
    <s v="Cyber attacks cause sustained disruption to critical physical and digital infrastructure"/>
    <x v="299"/>
    <s v="DEM 10Y"/>
    <s v="Govt EUR (Ger)"/>
    <s v="EUR_10yr"/>
    <s v="Govt EUR (Ger)"/>
    <s v="OK"/>
    <x v="9"/>
    <s v="Yield"/>
    <x v="0"/>
    <x v="0"/>
    <x v="132"/>
  </r>
  <r>
    <x v="37"/>
    <s v="Cyber Attacks Rising - Attack on the Cloud                  "/>
    <n v="2422"/>
    <s v="Cyber attacks cause sustained disruption to critical physical and digital infrastructure"/>
    <x v="300"/>
    <s v="JPY/USD"/>
    <s v="JPY"/>
    <s v="JPY_FX_USD"/>
    <s v="JPY"/>
    <s v="OK"/>
    <x v="11"/>
    <s v="FX"/>
    <x v="3"/>
    <x v="3"/>
    <x v="133"/>
  </r>
  <r>
    <x v="37"/>
    <s v="Cyber Attacks Rising - Attack on the Cloud                  "/>
    <n v="2422"/>
    <s v="Cyber attacks cause sustained disruption to critical physical and digital infrastructure"/>
    <x v="301"/>
    <s v="DXY"/>
    <e v="#N/A"/>
    <s v="DXY"/>
    <e v="#N/A"/>
    <s v="BOTH #N/A"/>
    <x v="18"/>
    <s v="Dollar Index"/>
    <x v="9"/>
    <x v="2"/>
    <x v="110"/>
  </r>
  <r>
    <x v="37"/>
    <s v="Cyber Attacks Rising - Attack on the Cloud                  "/>
    <n v="2422"/>
    <s v="Cyber attacks cause sustained disruption to critical physical and digital infrastructure"/>
    <x v="293"/>
    <s v="VIX"/>
    <s v="Equity Implied Volatility"/>
    <s v="VIX"/>
    <s v="Equity Implied Volatility"/>
    <s v="OK"/>
    <x v="1"/>
    <s v="Index Level"/>
    <x v="1"/>
    <x v="1"/>
    <x v="112"/>
  </r>
  <r>
    <x v="37"/>
    <s v="Cyber Attacks Rising - Attack on the Cloud                  "/>
    <n v="2422"/>
    <s v="Cyber attacks cause sustained disruption to critical physical and digital infrastructure"/>
    <x v="282"/>
    <s v="Time"/>
    <e v="#N/A"/>
    <s v="ALL_TIME"/>
    <e v="#N/A"/>
    <s v="BOTH #N/A"/>
    <x v="16"/>
    <s v="Time"/>
    <x v="8"/>
    <x v="2"/>
    <x v="115"/>
  </r>
  <r>
    <x v="37"/>
    <s v="Cyber Attacks Rising - Attack on the Cloud                  "/>
    <n v="2422"/>
    <s v="Cyber attacks cause sustained disruption to critical physical and digital infrastructure"/>
    <x v="302"/>
    <s v="Multiline Retail"/>
    <e v="#N/A"/>
    <s v="FMI_NAMR_CDIRETMULT"/>
    <e v="#N/A"/>
    <s v="BOTH #N/A"/>
    <x v="23"/>
    <s v="Consumer Discretionary"/>
    <x v="4"/>
    <x v="1"/>
    <x v="106"/>
  </r>
  <r>
    <x v="37"/>
    <s v="Cyber Attacks Rising - Attack on the Cloud                  "/>
    <n v="2422"/>
    <s v="Cyber attacks cause sustained disruption to critical physical and digital infrastructure"/>
    <x v="303"/>
    <s v="Property Casualty Ins  Brkrs"/>
    <e v="#N/A"/>
    <s v="FMI_NAMR_FINPROPINS"/>
    <e v="#N/A"/>
    <s v="BOTH #N/A"/>
    <x v="35"/>
    <s v="Financials"/>
    <x v="4"/>
    <x v="1"/>
    <x v="122"/>
  </r>
  <r>
    <x v="37"/>
    <s v="Cyber Attacks Rising - Attack on the Cloud                  "/>
    <n v="2422"/>
    <s v="Hackers take over the infrastructure of key cloud service providers, with repercussions across industries."/>
    <x v="304"/>
    <s v="Internet Software &amp; Services"/>
    <e v="#N/A"/>
    <s v="FMI_NAMR_ITCNET"/>
    <e v="#N/A"/>
    <s v="BOTH #N/A"/>
    <x v="5"/>
    <s v="Information Technology"/>
    <x v="4"/>
    <x v="1"/>
    <x v="106"/>
  </r>
  <r>
    <x v="37"/>
    <s v="Cyber Attacks Rising - Attack on the Cloud                  "/>
    <n v="2422"/>
    <s v="Hackers take over the infrastructure of key cloud service providers, with repercussions across industries."/>
    <x v="305"/>
    <s v="US HY Insurance"/>
    <s v="Corporate HY USD - Industry"/>
    <s v="USD_HY_INSURANCE"/>
    <s v="Corporate HY USD - Industry"/>
    <s v="OK"/>
    <x v="6"/>
    <s v="Spread Yield"/>
    <x v="5"/>
    <x v="4"/>
    <x v="108"/>
  </r>
  <r>
    <x v="37"/>
    <s v="Cyber Attacks Rising - Attack on the Cloud                  "/>
    <n v="2422"/>
    <s v="Hackers take over the infrastructure of key cloud service providers, with repercussions across industries."/>
    <x v="306"/>
    <s v="US HY Retail"/>
    <s v="Corporate HY USD - Industry"/>
    <s v="USD_HY_RETAIL"/>
    <s v="Corporate HY USD - Industry"/>
    <s v="OK"/>
    <x v="6"/>
    <s v="Spread Yield"/>
    <x v="5"/>
    <x v="4"/>
    <x v="130"/>
  </r>
  <r>
    <x v="37"/>
    <s v="Cyber Attacks Rising - Attack on the Cloud                  "/>
    <n v="2422"/>
    <s v="Hackers take over the infrastructure of key cloud service providers, with repercussions across industries."/>
    <x v="307"/>
    <s v="US Tech IG"/>
    <s v="Corporate IG USD - Industry"/>
    <s v="USD_TECH_IGN"/>
    <e v="#N/A"/>
    <s v="OK"/>
    <x v="37"/>
    <s v="Spread Yield"/>
    <x v="5"/>
    <x v="4"/>
    <x v="134"/>
  </r>
  <r>
    <x v="37"/>
    <s v="Cyber Attacks Rising - Attack on the Cloud                  "/>
    <n v="2422"/>
    <s v="Hackers take over the infrastructure of key cloud service providers, with repercussions across industries."/>
    <x v="308"/>
    <s v="Russell 1000"/>
    <s v="Equity Implied Volatility"/>
    <s v="1000"/>
    <e v="#N/A"/>
    <s v="OK"/>
    <x v="1"/>
    <s v="Index Level"/>
    <x v="1"/>
    <x v="1"/>
    <x v="106"/>
  </r>
  <r>
    <x v="38"/>
    <s v="Cyber Attacks Rising - Financial Services Defenses Breached "/>
    <n v="2424"/>
    <s v="Hackers take over the infrastructure of key cloud service providers, with repercussions across industries."/>
    <x v="254"/>
    <s v="Tsy 10Y"/>
    <s v="Govt USD"/>
    <s v="USD_10yr"/>
    <s v="Govt USD"/>
    <s v="OK"/>
    <x v="0"/>
    <s v="Yield"/>
    <x v="0"/>
    <x v="0"/>
    <x v="105"/>
  </r>
  <r>
    <x v="38"/>
    <s v="Cyber Attacks Rising - Financial Services Defenses Breached "/>
    <n v="2424"/>
    <s v="Hackers take over the infrastructure of key cloud service providers, with repercussions across industries."/>
    <x v="113"/>
    <s v="Gold COMEX 1"/>
    <s v="Alternative - Commodity"/>
    <s v="USD_COMD_GC_1"/>
    <s v="Alternative - Commodity"/>
    <s v="OK"/>
    <x v="2"/>
    <s v="Price Level"/>
    <x v="2"/>
    <x v="2"/>
    <x v="125"/>
  </r>
  <r>
    <x v="38"/>
    <s v="Cyber Attacks Rising - Financial Services Defenses Breached "/>
    <n v="2424"/>
    <s v="Hackers take over the infrastructure of key cloud service providers, with repercussions across industries."/>
    <x v="309"/>
    <s v="US Cash Bonds IG"/>
    <s v="Corporate IG USD - Other"/>
    <s v="USD_LEH_CREDIT3"/>
    <s v="Corporate IG USD - Other"/>
    <s v="OK"/>
    <x v="26"/>
    <s v="Corporate IG USD - Other"/>
    <x v="5"/>
    <x v="4"/>
    <x v="135"/>
  </r>
  <r>
    <x v="38"/>
    <s v="Cyber Attacks Rising - Financial Services Defenses Breached "/>
    <n v="2424"/>
    <s v="Hackers take over the infrastructure of key cloud service providers, with repercussions across industries."/>
    <x v="310"/>
    <s v="US Banking IG"/>
    <s v="Corporate IG USD - Industry"/>
    <s v="USD_BANKBROK_IG3"/>
    <s v="Corporate IG USD - Industry"/>
    <s v="OK"/>
    <x v="37"/>
    <s v="Spread Yield"/>
    <x v="5"/>
    <x v="4"/>
    <x v="136"/>
  </r>
  <r>
    <x v="38"/>
    <s v="Cyber Attacks Rising - Financial Services Defenses Breached "/>
    <n v="2424"/>
    <s v="Hackers take over the infrastructure of key cloud service providers, with repercussions across industries."/>
    <x v="198"/>
    <s v="JPY/USD"/>
    <s v="JPY"/>
    <s v="JPY_FX_USD"/>
    <s v="JPY"/>
    <s v="OK"/>
    <x v="11"/>
    <s v="FX"/>
    <x v="3"/>
    <x v="3"/>
    <x v="112"/>
  </r>
  <r>
    <x v="38"/>
    <s v="Cyber Attacks Rising - Financial Services Defenses Breached "/>
    <n v="2424"/>
    <s v="Hackers take over the infrastructure of key cloud service providers, with repercussions across industries."/>
    <x v="311"/>
    <s v="DXY"/>
    <e v="#N/A"/>
    <s v="DXY"/>
    <e v="#N/A"/>
    <s v="BOTH #N/A"/>
    <x v="18"/>
    <s v="Dollar Index"/>
    <x v="9"/>
    <x v="2"/>
    <x v="125"/>
  </r>
  <r>
    <x v="38"/>
    <s v="Cyber Attacks Rising - Financial Services Defenses Breached "/>
    <n v="2424"/>
    <s v="Hackers take over the infrastructure of key cloud service providers, with repercussions across industries."/>
    <x v="312"/>
    <s v="S&amp;P 500"/>
    <s v="Equity Implied Volatility"/>
    <s v="SPX"/>
    <s v="Equity Implied Volatility"/>
    <s v="OK"/>
    <x v="1"/>
    <s v="Index Level"/>
    <x v="1"/>
    <x v="1"/>
    <x v="106"/>
  </r>
  <r>
    <x v="38"/>
    <s v="Cyber Attacks Rising - Financial Services Defenses Breached "/>
    <n v="2424"/>
    <s v="Hackers take over the infrastructure of key cloud service providers, with repercussions across industries."/>
    <x v="282"/>
    <s v="Time"/>
    <e v="#N/A"/>
    <s v="ALL_TIME"/>
    <e v="#N/A"/>
    <s v="BOTH #N/A"/>
    <x v="16"/>
    <s v="Time"/>
    <x v="8"/>
    <x v="2"/>
    <x v="115"/>
  </r>
  <r>
    <x v="38"/>
    <s v="Cyber Attacks Rising - Financial Services Defenses Breached "/>
    <n v="2424"/>
    <s v="Hackers take over the infrastructure of key cloud service providers, with repercussions across industries."/>
    <x v="313"/>
    <s v="S&amp;P 500 Financials"/>
    <s v="Equity Implied Volatility"/>
    <s v="Financials"/>
    <e v="#N/A"/>
    <s v="OK"/>
    <x v="1"/>
    <s v="Index Level"/>
    <x v="1"/>
    <x v="1"/>
    <x v="114"/>
  </r>
  <r>
    <x v="39"/>
    <s v="Cyber Attacks Rising - US Power Grid Targeted               "/>
    <n v="2423"/>
    <s v="The US financial system is hit by a series of cyber attacks, forcing a shutdown of operations."/>
    <x v="290"/>
    <s v="Tsy 10Y"/>
    <s v="Govt USD"/>
    <s v="USD_10yr"/>
    <s v="Govt USD"/>
    <s v="OK"/>
    <x v="0"/>
    <s v="Yield"/>
    <x v="0"/>
    <x v="0"/>
    <x v="123"/>
  </r>
  <r>
    <x v="39"/>
    <s v="Cyber Attacks Rising - US Power Grid Targeted               "/>
    <n v="2423"/>
    <s v="The US financial system is hit by a series of cyber attacks, forcing a shutdown of operations."/>
    <x v="314"/>
    <s v="USD INF 10Y"/>
    <s v="USD Inflation"/>
    <s v="USD_INF_10yr"/>
    <s v="USD Inflation"/>
    <s v="OK"/>
    <x v="8"/>
    <s v="Yield"/>
    <x v="6"/>
    <x v="2"/>
    <x v="134"/>
  </r>
  <r>
    <x v="39"/>
    <s v="Cyber Attacks Rising - US Power Grid Targeted               "/>
    <n v="2423"/>
    <s v="The US financial system is hit by a series of cyber attacks, forcing a shutdown of operations."/>
    <x v="113"/>
    <s v="Gold COMEX 1"/>
    <s v="Alternative - Commodity"/>
    <s v="USD_COMD_GC_1"/>
    <s v="Alternative - Commodity"/>
    <s v="OK"/>
    <x v="2"/>
    <s v="Price Level"/>
    <x v="2"/>
    <x v="2"/>
    <x v="125"/>
  </r>
  <r>
    <x v="39"/>
    <s v="Cyber Attacks Rising - US Power Grid Targeted               "/>
    <n v="2423"/>
    <s v="The US financial system is hit by a series of cyber attacks, forcing a shutdown of operations."/>
    <x v="291"/>
    <s v="Natural gas NYME 1"/>
    <s v="Alternative - Commodity"/>
    <s v="USD_COMD_NG_1"/>
    <s v="Alternative - Commodity"/>
    <s v="OK"/>
    <x v="2"/>
    <s v="Price Level"/>
    <x v="2"/>
    <x v="2"/>
    <x v="126"/>
  </r>
  <r>
    <x v="39"/>
    <s v="Cyber Attacks Rising - US Power Grid Targeted               "/>
    <n v="2423"/>
    <s v="The US financial system is hit by a series of cyber attacks, forcing a shutdown of operations."/>
    <x v="292"/>
    <s v="Public Utilities"/>
    <s v="Spread - Municipals"/>
    <s v="USD_MUNI_UTIL2"/>
    <s v="Spread - Municipals"/>
    <s v="OK"/>
    <x v="17"/>
    <s v="Spread Yield"/>
    <x v="5"/>
    <x v="4"/>
    <x v="127"/>
  </r>
  <r>
    <x v="39"/>
    <s v="Cyber Attacks Rising - US Power Grid Targeted               "/>
    <n v="2423"/>
    <s v="The US financial system is hit by a series of cyber attacks, forcing a shutdown of operations."/>
    <x v="226"/>
    <s v="JPY/USD"/>
    <s v="JPY"/>
    <s v="JPY_FX_USD"/>
    <s v="JPY"/>
    <s v="OK"/>
    <x v="11"/>
    <s v="FX"/>
    <x v="3"/>
    <x v="3"/>
    <x v="110"/>
  </r>
  <r>
    <x v="39"/>
    <s v="Cyber Attacks Rising - US Power Grid Targeted               "/>
    <n v="2423"/>
    <s v="The US financial system is hit by a series of cyber attacks, forcing a shutdown of operations."/>
    <x v="133"/>
    <s v="DXY"/>
    <e v="#N/A"/>
    <s v="DXY"/>
    <e v="#N/A"/>
    <s v="BOTH #N/A"/>
    <x v="18"/>
    <s v="Dollar Index"/>
    <x v="9"/>
    <x v="2"/>
    <x v="112"/>
  </r>
  <r>
    <x v="39"/>
    <s v="Cyber Attacks Rising - US Power Grid Targeted               "/>
    <n v="2423"/>
    <s v="The US financial system is hit by a series of cyber attacks, forcing a shutdown of operations."/>
    <x v="293"/>
    <s v="VIX"/>
    <s v="Equity Implied Volatility"/>
    <s v="VIX"/>
    <s v="Equity Implied Volatility"/>
    <s v="OK"/>
    <x v="1"/>
    <s v="Index Level"/>
    <x v="1"/>
    <x v="1"/>
    <x v="112"/>
  </r>
  <r>
    <x v="39"/>
    <s v="Cyber Attacks Rising - US Power Grid Targeted               "/>
    <n v="2423"/>
    <s v="The US financial system is hit by a series of cyber attacks, forcing a shutdown of operations."/>
    <x v="294"/>
    <s v="S&amp;P 500 Industrials"/>
    <s v="Equity Implied Volatility"/>
    <s v="S5INDU"/>
    <s v="Equity Implied Volatility"/>
    <s v="OK"/>
    <x v="1"/>
    <s v="Index Level"/>
    <x v="1"/>
    <x v="1"/>
    <x v="128"/>
  </r>
  <r>
    <x v="39"/>
    <s v="Cyber Attacks Rising - US Power Grid Targeted               "/>
    <n v="2423"/>
    <s v="A cyber attack on the US power grid results in sustained power outages and economic damage."/>
    <x v="295"/>
    <s v="S&amp;P 500 Utilities"/>
    <s v="Equity Implied Volatility"/>
    <s v="S5UTIL"/>
    <s v="Equity Implied Volatility"/>
    <s v="OK"/>
    <x v="1"/>
    <s v="Index Level"/>
    <x v="1"/>
    <x v="1"/>
    <x v="129"/>
  </r>
  <r>
    <x v="39"/>
    <s v="Cyber Attacks Rising - US Power Grid Targeted               "/>
    <n v="2423"/>
    <s v="A cyber attack on the US power grid results in sustained power outages and economic damage."/>
    <x v="282"/>
    <s v="Time"/>
    <e v="#N/A"/>
    <s v="ALL_TIME"/>
    <e v="#N/A"/>
    <s v="BOTH #N/A"/>
    <x v="16"/>
    <s v="Time"/>
    <x v="8"/>
    <x v="2"/>
    <x v="115"/>
  </r>
  <r>
    <x v="39"/>
    <s v="Cyber Attacks Rising - US Power Grid Targeted               "/>
    <n v="2423"/>
    <s v="A cyber attack on the US power grid results in sustained power outages and economic damage."/>
    <x v="296"/>
    <s v="US HY Utility"/>
    <s v="Corporate HY USD - Industry"/>
    <s v="USD_HY_UTILITY"/>
    <s v="Corporate HY USD - Industry"/>
    <s v="OK"/>
    <x v="6"/>
    <s v="Spread Yield"/>
    <x v="5"/>
    <x v="4"/>
    <x v="130"/>
  </r>
  <r>
    <x v="40"/>
    <s v="Cyber Attacks - Attack on the Cloud                         "/>
    <n v="2528"/>
    <s v="A cyber attack on the US power grid results in sustained power outages and economic damage."/>
    <x v="118"/>
    <s v="Tsy 10Y"/>
    <s v="Govt USD"/>
    <s v="USD_10yr"/>
    <s v="Govt USD"/>
    <s v="OK"/>
    <x v="0"/>
    <s v="Yield"/>
    <x v="0"/>
    <x v="0"/>
    <x v="132"/>
  </r>
  <r>
    <x v="40"/>
    <s v="Cyber Attacks - Attack on the Cloud                         "/>
    <n v="2528"/>
    <s v="A cyber attack on the US power grid results in sustained power outages and economic damage."/>
    <x v="298"/>
    <s v="Gold COMEX 1"/>
    <s v="Alternative - Commodity"/>
    <s v="USD_COMD_GC_1"/>
    <s v="Alternative - Commodity"/>
    <s v="OK"/>
    <x v="2"/>
    <s v="Price Level"/>
    <x v="2"/>
    <x v="2"/>
    <x v="112"/>
  </r>
  <r>
    <x v="40"/>
    <s v="Cyber Attacks - Attack on the Cloud                         "/>
    <n v="2528"/>
    <s v="A cyber attack on the US power grid results in sustained power outages and economic damage."/>
    <x v="299"/>
    <s v="DEM 10Y"/>
    <s v="Govt EUR (Ger)"/>
    <s v="EUR_10yr"/>
    <s v="Govt EUR (Ger)"/>
    <s v="OK"/>
    <x v="9"/>
    <s v="Yield"/>
    <x v="0"/>
    <x v="0"/>
    <x v="132"/>
  </r>
  <r>
    <x v="40"/>
    <s v="Cyber Attacks - Attack on the Cloud                         "/>
    <n v="2528"/>
    <s v="A cyber attack on the US power grid results in sustained power outages and economic damage."/>
    <x v="300"/>
    <s v="JPY/USD"/>
    <s v="JPY"/>
    <s v="JPY_FX_USD"/>
    <s v="JPY"/>
    <s v="OK"/>
    <x v="11"/>
    <s v="FX"/>
    <x v="3"/>
    <x v="3"/>
    <x v="133"/>
  </r>
  <r>
    <x v="40"/>
    <s v="Cyber Attacks - Attack on the Cloud                         "/>
    <n v="2528"/>
    <s v="A cyber attack on the US power grid results in sustained power outages and economic damage."/>
    <x v="301"/>
    <s v="DXY"/>
    <e v="#N/A"/>
    <s v="DXY"/>
    <e v="#N/A"/>
    <s v="BOTH #N/A"/>
    <x v="18"/>
    <s v="Dollar Index"/>
    <x v="9"/>
    <x v="2"/>
    <x v="110"/>
  </r>
  <r>
    <x v="40"/>
    <s v="Cyber Attacks - Attack on the Cloud                         "/>
    <n v="2528"/>
    <s v="A cyber attack on the US power grid results in sustained power outages and economic damage."/>
    <x v="293"/>
    <s v="VIX"/>
    <s v="Equity Implied Volatility"/>
    <s v="VIX"/>
    <s v="Equity Implied Volatility"/>
    <s v="OK"/>
    <x v="1"/>
    <s v="Index Level"/>
    <x v="1"/>
    <x v="1"/>
    <x v="112"/>
  </r>
  <r>
    <x v="40"/>
    <s v="Cyber Attacks - Attack on the Cloud                         "/>
    <n v="2528"/>
    <s v="A cyber attack on the US power grid results in sustained power outages and economic damage."/>
    <x v="302"/>
    <s v="Multiline Retail"/>
    <e v="#N/A"/>
    <s v="FMI_NAMR_CDIRETMULT"/>
    <e v="#N/A"/>
    <s v="BOTH #N/A"/>
    <x v="23"/>
    <s v="Consumer Discretionary"/>
    <x v="4"/>
    <x v="1"/>
    <x v="106"/>
  </r>
  <r>
    <x v="40"/>
    <s v="Cyber Attacks - Attack on the Cloud                         "/>
    <n v="2528"/>
    <s v="A cyber attack on the US power grid results in sustained power outages and economic damage."/>
    <x v="303"/>
    <s v="Property Casualty Ins &amp; Brkrs"/>
    <e v="#N/A"/>
    <s v="FMI_NAMR_FINPROPINS"/>
    <e v="#N/A"/>
    <s v="BOTH #N/A"/>
    <x v="35"/>
    <s v="Financials"/>
    <x v="4"/>
    <x v="1"/>
    <x v="122"/>
  </r>
  <r>
    <x v="40"/>
    <s v="Cyber Attacks - Attack on the Cloud                         "/>
    <n v="2528"/>
    <s v="A cyber attack on the US power grid results in sustained power outages and economic damage."/>
    <x v="304"/>
    <s v="Internet Software &amp; Services"/>
    <e v="#N/A"/>
    <s v="FMI_NAMR_ITCNET"/>
    <e v="#N/A"/>
    <s v="BOTH #N/A"/>
    <x v="5"/>
    <s v="Information Technology"/>
    <x v="4"/>
    <x v="1"/>
    <x v="106"/>
  </r>
  <r>
    <x v="40"/>
    <s v="Cyber Attacks - Attack on the Cloud                         "/>
    <n v="2528"/>
    <s v="Hackers take over the infrastructure of key cloud service providers resulting in repercussions across industries"/>
    <x v="305"/>
    <s v="US HY Insurance"/>
    <s v="Corporate HY USD - Industry"/>
    <s v="USD_HY_INSURANCE"/>
    <s v="Corporate HY USD - Industry"/>
    <s v="OK"/>
    <x v="6"/>
    <s v="Spread Yield"/>
    <x v="5"/>
    <x v="4"/>
    <x v="108"/>
  </r>
  <r>
    <x v="40"/>
    <s v="Cyber Attacks - Attack on the Cloud                         "/>
    <n v="2528"/>
    <s v="Hackers take over the infrastructure of key cloud service providers resulting in repercussions across industries"/>
    <x v="315"/>
    <s v="US HY Retail"/>
    <s v="Corporate HY USD - Industry"/>
    <s v="USD_HY_RETAIL"/>
    <s v="Corporate HY USD - Industry"/>
    <s v="OK"/>
    <x v="6"/>
    <s v="Spread Yield"/>
    <x v="5"/>
    <x v="4"/>
    <x v="130"/>
  </r>
  <r>
    <x v="40"/>
    <s v="Cyber Attacks - Attack on the Cloud                         "/>
    <n v="2528"/>
    <s v="Hackers take over the infrastructure of key cloud service providers resulting in repercussions across industries"/>
    <x v="307"/>
    <s v="US Tech IG"/>
    <s v="Corporate IG USD - Industry"/>
    <s v="USD_TECH_IGN"/>
    <e v="#N/A"/>
    <s v="OK"/>
    <x v="37"/>
    <s v="Spread Yield"/>
    <x v="5"/>
    <x v="4"/>
    <x v="134"/>
  </r>
  <r>
    <x v="40"/>
    <s v="Cyber Attacks - Attack on the Cloud                         "/>
    <n v="2528"/>
    <s v="Hackers take over the infrastructure of key cloud service providers resulting in repercussions across industries"/>
    <x v="308"/>
    <s v="Russell 1000"/>
    <s v="Equity Implied Volatility"/>
    <s v="1000"/>
    <e v="#N/A"/>
    <s v="OK"/>
    <x v="1"/>
    <s v="Index Level"/>
    <x v="1"/>
    <x v="1"/>
    <x v="106"/>
  </r>
  <r>
    <x v="41"/>
    <s v="Cyber Attacks - Financial Services - Defenses Breached      "/>
    <n v="2530"/>
    <s v="Hackers take over the infrastructure of key cloud service providers resulting in repercussions across industries"/>
    <x v="238"/>
    <s v="Tsy 10Y"/>
    <s v="Govt USD"/>
    <s v="USD_10yr"/>
    <s v="Govt USD"/>
    <s v="OK"/>
    <x v="0"/>
    <s v="Yield"/>
    <x v="0"/>
    <x v="0"/>
    <x v="137"/>
  </r>
  <r>
    <x v="41"/>
    <s v="Cyber Attacks - Financial Services - Defenses Breached      "/>
    <n v="2530"/>
    <s v="Hackers take over the infrastructure of key cloud service providers resulting in repercussions across industries"/>
    <x v="316"/>
    <s v="USD INF 10Y"/>
    <s v="USD Inflation"/>
    <s v="USD_INF_10yr"/>
    <s v="USD Inflation"/>
    <s v="OK"/>
    <x v="8"/>
    <s v="Yield"/>
    <x v="6"/>
    <x v="2"/>
    <x v="138"/>
  </r>
  <r>
    <x v="41"/>
    <s v="Cyber Attacks - Financial Services - Defenses Breached      "/>
    <n v="2530"/>
    <s v="Hackers take over the infrastructure of key cloud service providers resulting in repercussions across industries"/>
    <x v="317"/>
    <s v="Gold COMEX 1"/>
    <s v="Alternative - Commodity"/>
    <s v="USD_COMD_GC_1"/>
    <s v="Alternative - Commodity"/>
    <s v="OK"/>
    <x v="2"/>
    <s v="Price Level"/>
    <x v="2"/>
    <x v="2"/>
    <x v="139"/>
  </r>
  <r>
    <x v="41"/>
    <s v="Cyber Attacks - Financial Services - Defenses Breached      "/>
    <n v="2530"/>
    <s v="Hackers take over the infrastructure of key cloud service providers resulting in repercussions across industries"/>
    <x v="318"/>
    <s v="US Banking IG"/>
    <s v="Corporate IG USD - Industry"/>
    <s v="USD_BANKBROK_IG3"/>
    <s v="Corporate IG USD - Industry"/>
    <s v="OK"/>
    <x v="37"/>
    <s v="Spread Yield"/>
    <x v="5"/>
    <x v="4"/>
    <x v="140"/>
  </r>
  <r>
    <x v="41"/>
    <s v="Cyber Attacks - Financial Services - Defenses Breached      "/>
    <n v="2530"/>
    <s v="Hackers take over the infrastructure of key cloud service providers resulting in repercussions across industries"/>
    <x v="319"/>
    <s v="JPY/USD"/>
    <s v="JPY"/>
    <s v="JPY_FX_USD"/>
    <s v="JPY"/>
    <s v="OK"/>
    <x v="11"/>
    <s v="FX"/>
    <x v="3"/>
    <x v="3"/>
    <x v="141"/>
  </r>
  <r>
    <x v="41"/>
    <s v="Cyber Attacks - Financial Services - Defenses Breached      "/>
    <n v="2530"/>
    <s v="Hackers take over the infrastructure of key cloud service providers resulting in repercussions across industries"/>
    <x v="320"/>
    <s v="DXY"/>
    <e v="#N/A"/>
    <s v="DXY"/>
    <e v="#N/A"/>
    <s v="BOTH #N/A"/>
    <x v="18"/>
    <s v="Dollar Index"/>
    <x v="9"/>
    <x v="2"/>
    <x v="139"/>
  </r>
  <r>
    <x v="41"/>
    <s v="Cyber Attacks - Financial Services - Defenses Breached      "/>
    <n v="2530"/>
    <s v="Hackers take over the infrastructure of key cloud service providers resulting in repercussions across industries"/>
    <x v="321"/>
    <s v="S&amp;P 500"/>
    <s v="Equity Implied Volatility"/>
    <s v="SPX"/>
    <s v="Equity Implied Volatility"/>
    <s v="OK"/>
    <x v="1"/>
    <s v="Index Level"/>
    <x v="1"/>
    <x v="1"/>
    <x v="121"/>
  </r>
  <r>
    <x v="41"/>
    <s v="Cyber Attacks - Financial Services - Defenses Breached      "/>
    <n v="2530"/>
    <s v="Hackers take over the infrastructure of key cloud service providers resulting in repercussions across industries"/>
    <x v="322"/>
    <s v="S&amp;P 500 Financials"/>
    <s v="Equity Implied Volatility"/>
    <s v="S5FINL"/>
    <s v="Equity Implied Volatility"/>
    <s v="OK"/>
    <x v="1"/>
    <s v="Index Level"/>
    <x v="1"/>
    <x v="1"/>
    <x v="142"/>
  </r>
  <r>
    <x v="42"/>
    <s v="Reflation - Deflation                                       "/>
    <n v="2489"/>
    <s v="A cyber attack on the US power grid results in sustained power outages and has economic impact"/>
    <x v="290"/>
    <s v="Tsy 10Y"/>
    <s v="Govt USD"/>
    <s v="USD_10yr"/>
    <s v="Govt USD"/>
    <s v="OK"/>
    <x v="0"/>
    <s v="Yield"/>
    <x v="0"/>
    <x v="0"/>
    <x v="123"/>
  </r>
  <r>
    <x v="42"/>
    <s v="Reflation - Deflation                                       "/>
    <n v="2489"/>
    <s v="A cyber attack on the US power grid results in sustained power outages and has economic impact"/>
    <x v="314"/>
    <s v="USD INF 10Y"/>
    <s v="USD Inflation"/>
    <s v="USD_INF_10yr"/>
    <s v="USD Inflation"/>
    <s v="OK"/>
    <x v="8"/>
    <s v="Yield"/>
    <x v="6"/>
    <x v="2"/>
    <x v="134"/>
  </r>
  <r>
    <x v="42"/>
    <s v="Reflation - Deflation                                       "/>
    <n v="2489"/>
    <s v="A cyber attack on the US power grid results in sustained power outages and has economic impact"/>
    <x v="113"/>
    <s v="Gold COMEX 1"/>
    <s v="Alternative - Commodity"/>
    <s v="USD_COMD_GC_1"/>
    <s v="Alternative - Commodity"/>
    <s v="OK"/>
    <x v="2"/>
    <s v="Price Level"/>
    <x v="2"/>
    <x v="2"/>
    <x v="125"/>
  </r>
  <r>
    <x v="42"/>
    <s v="Reflation - Deflation                                       "/>
    <n v="2489"/>
    <s v="A cyber attack on the US power grid results in sustained power outages and has economic impact"/>
    <x v="291"/>
    <s v="Natural gas NYME 1"/>
    <s v="Alternative - Commodity"/>
    <s v="USD_COMD_NG_1"/>
    <s v="Alternative - Commodity"/>
    <s v="OK"/>
    <x v="2"/>
    <s v="Price Level"/>
    <x v="2"/>
    <x v="2"/>
    <x v="126"/>
  </r>
  <r>
    <x v="42"/>
    <s v="Reflation - Deflation                                       "/>
    <n v="2489"/>
    <s v="A cyber attack on the US power grid results in sustained power outages and has economic impact"/>
    <x v="292"/>
    <s v="Public Utilities"/>
    <s v="Spread - Municipals"/>
    <s v="USD_MUNI_UTIL2"/>
    <s v="Spread - Municipals"/>
    <s v="OK"/>
    <x v="17"/>
    <s v="Spread Yield"/>
    <x v="5"/>
    <x v="4"/>
    <x v="127"/>
  </r>
  <r>
    <x v="42"/>
    <s v="Reflation - Deflation                                       "/>
    <n v="2489"/>
    <s v="A cyber attack on the US power grid results in sustained power outages and has economic impact"/>
    <x v="226"/>
    <s v="JPY/USD"/>
    <s v="JPY"/>
    <s v="JPY_FX_USD"/>
    <s v="JPY"/>
    <s v="OK"/>
    <x v="11"/>
    <s v="FX"/>
    <x v="3"/>
    <x v="3"/>
    <x v="110"/>
  </r>
  <r>
    <x v="42"/>
    <s v="Reflation - Deflation                                       "/>
    <n v="2489"/>
    <s v="A cyber attack on the US power grid results in sustained power outages and has economic impact"/>
    <x v="133"/>
    <s v="DXY"/>
    <e v="#N/A"/>
    <s v="DXY"/>
    <e v="#N/A"/>
    <s v="BOTH #N/A"/>
    <x v="18"/>
    <s v="Dollar Index"/>
    <x v="9"/>
    <x v="2"/>
    <x v="112"/>
  </r>
  <r>
    <x v="42"/>
    <s v="Reflation - Deflation                                       "/>
    <n v="2489"/>
    <s v="A cyber attack on the US power grid results in sustained power outages and has economic impact"/>
    <x v="293"/>
    <s v="VIX"/>
    <s v="Equity Implied Volatility"/>
    <s v="VIX"/>
    <s v="Equity Implied Volatility"/>
    <s v="OK"/>
    <x v="1"/>
    <s v="Index Level"/>
    <x v="1"/>
    <x v="1"/>
    <x v="112"/>
  </r>
  <r>
    <x v="42"/>
    <s v="Reflation - Deflation                                       "/>
    <n v="2489"/>
    <s v="A cyber attack on the US power grid results in sustained power outages and has economic impact"/>
    <x v="294"/>
    <s v="S&amp;P 500 Industrials"/>
    <s v="Equity Implied Volatility"/>
    <s v="S5INDU"/>
    <s v="Equity Implied Volatility"/>
    <s v="OK"/>
    <x v="1"/>
    <s v="Index Level"/>
    <x v="1"/>
    <x v="1"/>
    <x v="128"/>
  </r>
  <r>
    <x v="42"/>
    <s v="Reflation - Deflation                                       "/>
    <n v="2489"/>
    <s v="Sluggish economic growth and weak oil prices drive down inflation expectations"/>
    <x v="295"/>
    <s v="S&amp;P 500 Utilities"/>
    <s v="Equity Implied Volatility"/>
    <s v="S5UTIL"/>
    <s v="Equity Implied Volatility"/>
    <s v="OK"/>
    <x v="1"/>
    <s v="Index Level"/>
    <x v="1"/>
    <x v="1"/>
    <x v="129"/>
  </r>
  <r>
    <x v="42"/>
    <s v="Reflation - Deflation                                       "/>
    <n v="2489"/>
    <s v="Sluggish economic growth and weak oil prices drive down inflation expectations"/>
    <x v="296"/>
    <s v="US HY Utility"/>
    <s v="Corporate HY USD - Industry"/>
    <s v="USD_HY_UTILITY"/>
    <s v="Corporate HY USD - Industry"/>
    <s v="OK"/>
    <x v="6"/>
    <s v="Spread Yield"/>
    <x v="5"/>
    <x v="4"/>
    <x v="130"/>
  </r>
  <r>
    <x v="42"/>
    <s v="Reflation - Deflation                                       "/>
    <n v="2489"/>
    <s v="Sluggish economic growth and weak oil prices drive down inflation expectations"/>
    <x v="254"/>
    <s v="Tsy 10Y"/>
    <s v="Govt USD"/>
    <s v="USD_10yr"/>
    <s v="Govt USD"/>
    <s v="OK"/>
    <x v="0"/>
    <s v="Yield"/>
    <x v="0"/>
    <x v="0"/>
    <x v="105"/>
  </r>
  <r>
    <x v="42"/>
    <s v="Reflation - Deflation                                       "/>
    <n v="2489"/>
    <s v="Sluggish economic growth and weak oil prices drive down inflation expectations"/>
    <x v="323"/>
    <s v="USD INF 10Y"/>
    <s v="USD Inflation"/>
    <s v="USD_INF_10yr"/>
    <s v="USD Inflation"/>
    <s v="OK"/>
    <x v="8"/>
    <s v="Yield"/>
    <x v="6"/>
    <x v="2"/>
    <x v="140"/>
  </r>
  <r>
    <x v="42"/>
    <s v="Reflation - Deflation                                       "/>
    <n v="2489"/>
    <s v="Sluggish economic growth and weak oil prices drive down inflation expectations"/>
    <x v="324"/>
    <s v="Crude Oil NYME 1"/>
    <s v="Alternative - Commodity"/>
    <s v="USD_COMD_CL_1"/>
    <s v="Alternative - Commodity"/>
    <s v="OK"/>
    <x v="2"/>
    <s v="Price Level"/>
    <x v="2"/>
    <x v="2"/>
    <x v="143"/>
  </r>
  <r>
    <x v="42"/>
    <s v="Reflation - Deflation                                       "/>
    <n v="2489"/>
    <s v="Sluggish economic growth and weak oil prices drive down inflation expectations"/>
    <x v="325"/>
    <s v="US Metals HY"/>
    <s v="Corporate HY USD - Industry"/>
    <s v="USD_METALS_HY3"/>
    <s v="Corporate HY USD - Industry"/>
    <s v="OK"/>
    <x v="6"/>
    <s v="Spread Yield"/>
    <x v="5"/>
    <x v="4"/>
    <x v="109"/>
  </r>
  <r>
    <x v="42"/>
    <s v="Reflation - Deflation                                       "/>
    <n v="2489"/>
    <s v="Sluggish economic growth and weak oil prices drive down inflation expectations"/>
    <x v="132"/>
    <s v="RUBUSD"/>
    <e v="#N/A"/>
    <s v="RUB_FX_USD"/>
    <s v="Emerging Currency"/>
    <s v="OK"/>
    <x v="3"/>
    <s v="FX"/>
    <x v="3"/>
    <x v="3"/>
    <x v="106"/>
  </r>
  <r>
    <x v="42"/>
    <s v="Reflation - Deflation                                       "/>
    <n v="2489"/>
    <s v="Sluggish economic growth and weak oil prices drive down inflation expectations"/>
    <x v="326"/>
    <s v="S&amp;P 500"/>
    <s v="Equity Implied Volatility"/>
    <s v="SPX"/>
    <s v="Equity Implied Volatility"/>
    <s v="OK"/>
    <x v="1"/>
    <s v="Index Level"/>
    <x v="1"/>
    <x v="1"/>
    <x v="128"/>
  </r>
  <r>
    <x v="42"/>
    <s v="Reflation - Deflation                                       "/>
    <n v="2489"/>
    <s v="Sluggish economic growth and weak oil prices drive down inflation expectations"/>
    <x v="327"/>
    <s v="DJ Glob Select Real Est"/>
    <s v="Alternative - Index"/>
    <s v="Est"/>
    <e v="#N/A"/>
    <s v="OK"/>
    <x v="47"/>
    <s v="Index Level"/>
    <x v="2"/>
    <x v="2"/>
    <x v="116"/>
  </r>
  <r>
    <x v="43"/>
    <s v="Global Monetary Policy - ECB/FED Divergence                 "/>
    <n v="2102"/>
    <s v="Sluggish economic growth and weak oil prices drive down inflation expectations"/>
    <x v="328"/>
    <s v="Tsy 1Y"/>
    <s v="Govt USD"/>
    <s v="USD_1yr"/>
    <s v="Govt USD"/>
    <s v="OK"/>
    <x v="0"/>
    <s v="Yield"/>
    <x v="0"/>
    <x v="0"/>
    <x v="144"/>
  </r>
  <r>
    <x v="43"/>
    <s v="Global Monetary Policy - ECB/FED Divergence                 "/>
    <n v="2102"/>
    <s v="Sluggish economic growth and weak oil prices drive down inflation expectations"/>
    <x v="329"/>
    <s v="CPI 1yr"/>
    <s v="USD Inflation"/>
    <s v="USD_CPI_1yr"/>
    <s v="USD Inflation"/>
    <s v="OK"/>
    <x v="8"/>
    <s v="Yield"/>
    <x v="6"/>
    <x v="2"/>
    <x v="132"/>
  </r>
  <r>
    <x v="43"/>
    <s v="Global Monetary Policy - ECB/FED Divergence                 "/>
    <n v="2102"/>
    <s v="Sluggish economic growth and weak oil prices drive down inflation expectations"/>
    <x v="330"/>
    <s v="DEM 1Y"/>
    <s v="Govt EUR (Ger)"/>
    <s v="EUR_1yr"/>
    <s v="Govt EUR (Ger)"/>
    <s v="OK"/>
    <x v="9"/>
    <s v="Yield"/>
    <x v="0"/>
    <x v="0"/>
    <x v="123"/>
  </r>
  <r>
    <x v="43"/>
    <s v="Global Monetary Policy - ECB/FED Divergence                 "/>
    <n v="2102"/>
    <s v="Sluggish economic growth and weak oil prices drive down inflation expectations"/>
    <x v="226"/>
    <s v="JPY/USD"/>
    <s v="JPY"/>
    <s v="JPY_FX_USD"/>
    <s v="JPY"/>
    <s v="OK"/>
    <x v="11"/>
    <s v="FX"/>
    <x v="3"/>
    <x v="3"/>
    <x v="110"/>
  </r>
  <r>
    <x v="43"/>
    <s v="Global Monetary Policy - ECB/FED Divergence                 "/>
    <n v="2102"/>
    <s v="Sluggish economic growth and weak oil prices drive down inflation expectations"/>
    <x v="331"/>
    <s v="EUR INF 1Y"/>
    <s v="EUR Inflation"/>
    <s v="EUR_INF_1yr"/>
    <s v="EUR Inflation"/>
    <s v="OK"/>
    <x v="48"/>
    <s v="Yield"/>
    <x v="6"/>
    <x v="2"/>
    <x v="145"/>
  </r>
  <r>
    <x v="43"/>
    <s v="Global Monetary Policy - ECB/FED Divergence                 "/>
    <n v="2102"/>
    <s v="Sluggish economic growth and weak oil prices drive down inflation expectations"/>
    <x v="332"/>
    <s v="S&amp;P 500"/>
    <s v="Equity Implied Volatility"/>
    <s v="SPX"/>
    <s v="Equity Implied Volatility"/>
    <s v="OK"/>
    <x v="1"/>
    <s v="Index Level"/>
    <x v="1"/>
    <x v="1"/>
    <x v="113"/>
  </r>
  <r>
    <x v="43"/>
    <s v="Global Monetary Policy - ECB/FED Divergence                 "/>
    <n v="2102"/>
    <s v="Sluggish economic growth and weak oil prices drive down inflation expectations"/>
    <x v="333"/>
    <s v="MSCI EUROPE(EUR)"/>
    <s v="Equity Implied Volatility"/>
    <s v="MXEU"/>
    <s v="Equity Implied Volatility"/>
    <s v="OK"/>
    <x v="1"/>
    <s v="Index Level"/>
    <x v="1"/>
    <x v="1"/>
    <x v="146"/>
  </r>
  <r>
    <x v="43"/>
    <s v="Global Monetary Policy - ECB/FED Divergence                 "/>
    <n v="2102"/>
    <s v="Sluggish economic growth and weak oil prices drive down inflation expectations"/>
    <x v="334"/>
    <s v="MSCI World Materials"/>
    <s v="Other - Index"/>
    <s v="Materials"/>
    <e v="#N/A"/>
    <s v="OK"/>
    <x v="12"/>
    <s v="Spread Yield"/>
    <x v="7"/>
    <x v="2"/>
    <x v="112"/>
  </r>
  <r>
    <x v="43"/>
    <s v="Global Monetary Policy - ECB/FED Divergence                 "/>
    <n v="2102"/>
    <s v="Sluggish economic growth and weak oil prices drive down inflation expectations"/>
    <x v="335"/>
    <s v="US IG Market"/>
    <s v="Corporate IG USD - Market"/>
    <s v="Market"/>
    <e v="#N/A"/>
    <s v="OK"/>
    <x v="49"/>
    <s v="Yield"/>
    <x v="5"/>
    <x v="4"/>
    <x v="138"/>
  </r>
  <r>
    <x v="44"/>
    <s v="Global CB Policy - Goldilocks Continues As Real Yields Fall "/>
    <n v="2519"/>
    <s v="ECB and FED Divergence Monetary Policy Scenario- ECB cuts rates ahead of FED as they hold steady. BoJ stays on track to continue rate hikes"/>
    <x v="336"/>
    <s v="Tsy 2Y"/>
    <s v="Govt USD"/>
    <s v="USD_2yr"/>
    <s v="Govt USD"/>
    <s v="OK"/>
    <x v="0"/>
    <s v="Yield"/>
    <x v="0"/>
    <x v="0"/>
    <x v="123"/>
  </r>
  <r>
    <x v="44"/>
    <s v="Global CB Policy - Goldilocks Continues As Real Yields Fall "/>
    <n v="2519"/>
    <s v="ECB and FED Divergence Monetary Policy Scenario- ECB cuts rates ahead of FED as they hold steady. BoJ stays on track to continue rate hikes"/>
    <x v="238"/>
    <s v="Tsy 10Y"/>
    <s v="Govt USD"/>
    <s v="USD_10yr"/>
    <s v="Govt USD"/>
    <s v="OK"/>
    <x v="0"/>
    <s v="Yield"/>
    <x v="0"/>
    <x v="0"/>
    <x v="137"/>
  </r>
  <r>
    <x v="44"/>
    <s v="Global CB Policy - Goldilocks Continues As Real Yields Fall "/>
    <n v="2519"/>
    <s v="ECB and FED Divergence Monetary Policy Scenario- ECB cuts rates ahead of FED as they hold steady. BoJ stays on track to continue rate hikes"/>
    <x v="314"/>
    <s v="USD INF 10Y"/>
    <s v="USD Inflation"/>
    <s v="USD_INF_10yr"/>
    <s v="USD Inflation"/>
    <s v="OK"/>
    <x v="8"/>
    <s v="Spread Yield"/>
    <x v="6"/>
    <x v="2"/>
    <x v="134"/>
  </r>
  <r>
    <x v="44"/>
    <s v="Global CB Policy - Goldilocks Continues As Real Yields Fall "/>
    <n v="2519"/>
    <s v="ECB and FED Divergence Monetary Policy Scenario- ECB cuts rates ahead of FED as they hold steady. BoJ stays on track to continue rate hikes"/>
    <x v="337"/>
    <s v="US Cash Bonds HY"/>
    <e v="#N/A"/>
    <s v="USD_LEH_HY3"/>
    <e v="#N/A"/>
    <s v="BOTH #N/A"/>
    <x v="26"/>
    <s v="Corporate IG USD - Other"/>
    <x v="5"/>
    <x v="4"/>
    <x v="132"/>
  </r>
  <r>
    <x v="44"/>
    <s v="Global CB Policy - Goldilocks Continues As Real Yields Fall "/>
    <n v="2519"/>
    <s v="ECB and FED Divergence Monetary Policy Scenario- ECB cuts rates ahead of FED as they hold steady. BoJ stays on track to continue rate hikes"/>
    <x v="338"/>
    <s v="ESP 5Y"/>
    <s v="Spread Govt Peripheral EUR (ex ITA)"/>
    <s v="ESP_5yr"/>
    <s v="Spread Govt Peripheral EUR (ex ITA)"/>
    <s v="OK"/>
    <x v="50"/>
    <s v="Index Level"/>
    <x v="11"/>
    <x v="0"/>
    <x v="124"/>
  </r>
  <r>
    <x v="44"/>
    <s v="Global CB Policy - Goldilocks Continues As Real Yields Fall "/>
    <n v="2519"/>
    <s v="ECB and FED Divergence Monetary Policy Scenario- ECB cuts rates ahead of FED as they hold steady. BoJ stays on track to continue rate hikes"/>
    <x v="339"/>
    <s v="MSCI World Net TR"/>
    <s v="Equity Implied Volatility"/>
    <s v="MSCIWLDNET"/>
    <s v="Equity Implied Volatility"/>
    <s v="OK"/>
    <x v="1"/>
    <s v="Price Level"/>
    <x v="1"/>
    <x v="1"/>
    <x v="110"/>
  </r>
  <r>
    <x v="45"/>
    <s v="El Nino 2024                                                "/>
    <n v="2104"/>
    <s v="El Nino 2023-2024 - El Nino phase comes to its anticipated peak and physical climate impacts are more pronounced than meteorologist's expectations."/>
    <x v="340"/>
    <s v="GSCI AGRICULTURE"/>
    <s v="Alternative - Commodity"/>
    <s v="GSSASPOT"/>
    <s v="Alternative - Commodity"/>
    <s v="OK"/>
    <x v="2"/>
    <s v="Price Level"/>
    <x v="2"/>
    <x v="2"/>
    <x v="125"/>
  </r>
  <r>
    <x v="45"/>
    <s v="El Nino 2024                                                "/>
    <n v="2104"/>
    <s v="El Nino 2023-2024 - El Nino phase comes to its anticipated peak and physical climate impacts are more pronounced than meteorologist's expectations."/>
    <x v="341"/>
    <s v="Copper CMX 1"/>
    <s v="Alternative - Commodity"/>
    <s v="USD_COMD_HG_1"/>
    <s v="Alternative - Commodity"/>
    <s v="OK"/>
    <x v="2"/>
    <s v="Price Level"/>
    <x v="2"/>
    <x v="2"/>
    <x v="139"/>
  </r>
  <r>
    <x v="45"/>
    <s v="El Nino 2024                                                "/>
    <n v="2104"/>
    <s v="El Nino 2023-2024 - El Nino phase comes to its anticipated peak and physical climate impacts are more pronounced than meteorologist's expectations."/>
    <x v="342"/>
    <s v="Soybeans CBOT 1"/>
    <s v="Alternative - Commodity"/>
    <s v="USD_COMD_S_1"/>
    <s v="Alternative - Commodity"/>
    <s v="OK"/>
    <x v="2"/>
    <s v="Price Level"/>
    <x v="2"/>
    <x v="2"/>
    <x v="147"/>
  </r>
  <r>
    <x v="45"/>
    <s v="El Nino 2024                                                "/>
    <n v="2104"/>
    <s v="El Nino 2023-2024 - El Nino phase comes to its anticipated peak and physical climate impacts are more pronounced than meteorologist's expectations."/>
    <x v="343"/>
    <s v="USD Palm Oil 1"/>
    <s v="Commodity"/>
    <s v="USD_COMD_CP_1"/>
    <s v="Commodity"/>
    <s v="OK"/>
    <x v="51"/>
    <s v="Yield"/>
    <x v="2"/>
    <x v="2"/>
    <x v="148"/>
  </r>
  <r>
    <x v="45"/>
    <s v="El Nino 2024                                                "/>
    <n v="2104"/>
    <s v="El Nino 2023-2024 - El Nino phase comes to its anticipated peak and physical climate impacts are more pronounced than meteorologist's expectations."/>
    <x v="344"/>
    <s v="BRL 1Y"/>
    <s v="Govt Emerging Markets"/>
    <s v="BRL_1yr"/>
    <s v="Govt Emerging Markets"/>
    <s v="OK"/>
    <x v="31"/>
    <s v="FX"/>
    <x v="0"/>
    <x v="0"/>
    <x v="149"/>
  </r>
  <r>
    <x v="45"/>
    <s v="El Nino 2024                                                "/>
    <n v="2104"/>
    <s v="El Nino 2023-2024 - El Nino phase comes to its anticipated peak and physical climate impacts are more pronounced than meteorologist's expectations."/>
    <x v="345"/>
    <s v="BRLUSD"/>
    <e v="#N/A"/>
    <s v="BRL_FX_USD"/>
    <s v="Emerging Currency"/>
    <s v="OK"/>
    <x v="3"/>
    <s v="Yield"/>
    <x v="3"/>
    <x v="3"/>
    <x v="147"/>
  </r>
  <r>
    <x v="45"/>
    <s v="El Nino 2024                                                "/>
    <n v="2104"/>
    <s v="El Nino 2023-2024 - El Nino phase comes to its anticipated peak and physical climate impacts are more pronounced than meteorologist's expectations."/>
    <x v="346"/>
    <s v="BRL INF 1Y"/>
    <s v="Other - Inflation"/>
    <s v="BRL_INF_1yr"/>
    <s v="Other - Inflation"/>
    <s v="OK"/>
    <x v="52"/>
    <s v="Yield"/>
    <x v="7"/>
    <x v="2"/>
    <x v="150"/>
  </r>
  <r>
    <x v="45"/>
    <s v="El Nino 2024                                                "/>
    <n v="2104"/>
    <s v="El Nino 2023-2024 - El Nino phase comes to its anticipated peak and physical climate impacts are more pronounced than meteorologist's expectations."/>
    <x v="122"/>
    <s v="Time"/>
    <e v="#N/A"/>
    <s v="ALL_TIME"/>
    <e v="#N/A"/>
    <s v="BOTH #N/A"/>
    <x v="16"/>
    <s v="Time"/>
    <x v="8"/>
    <x v="2"/>
    <x v="151"/>
  </r>
  <r>
    <x v="45"/>
    <s v="El Nino 2024                                                "/>
    <n v="2104"/>
    <s v="El Nino 2023-2024 - El Nino phase comes to its anticipated peak and physical climate impacts are more pronounced than meteorologist's expectations."/>
    <x v="347"/>
    <s v="Marine"/>
    <e v="#N/A"/>
    <s v="FMI_EMEA_INDMARINE"/>
    <e v="#N/A"/>
    <s v="BOTH #N/A"/>
    <x v="4"/>
    <s v="Industrials"/>
    <x v="4"/>
    <x v="1"/>
    <x v="114"/>
  </r>
  <r>
    <x v="45"/>
    <s v="El Nino 2024                                                "/>
    <n v="2104"/>
    <s v="El Nino 2023-2024 - El Nino phase comes to its anticipated peak and physical climate impacts are more pronounced than meteorologist's expectations."/>
    <x v="348"/>
    <s v="Market"/>
    <s v="Market"/>
    <s v="FMI_LATC_MARKET"/>
    <e v="#N/A"/>
    <s v="OK"/>
    <x v="53"/>
    <s v="Spread Yield"/>
    <x v="13"/>
    <x v="1"/>
    <x v="152"/>
  </r>
  <r>
    <x v="45"/>
    <s v="El Nino 2024                                                "/>
    <n v="2104"/>
    <s v="El Nino 2023-2024 - El Nino phase comes to its anticipated peak and physical climate impacts are more pronounced than meteorologist's expectations."/>
    <x v="349"/>
    <s v="Argentina"/>
    <s v="Emerging Markets"/>
    <s v="USD_EM_DS_ARGENTINA"/>
    <s v="Spread Emerging Markets - Country"/>
    <s v="OK"/>
    <x v="29"/>
    <s v="Spread Yield"/>
    <x v="5"/>
    <x v="4"/>
    <x v="153"/>
  </r>
  <r>
    <x v="45"/>
    <s v="El Nino 2024                                                "/>
    <n v="2104"/>
    <s v="El Nino 2023-2024 - El Nino phase comes to its anticipated peak and physical climate impacts are more pronounced than meteorologist's expectations."/>
    <x v="350"/>
    <s v="Emerg Mkt S America"/>
    <s v="Spread Emerging Markets - Country"/>
    <s v="USD_EM_DS_SA"/>
    <s v="Spread Emerging Markets - Country"/>
    <s v="OK"/>
    <x v="29"/>
    <s v="Yield"/>
    <x v="5"/>
    <x v="4"/>
    <x v="108"/>
  </r>
  <r>
    <x v="45"/>
    <s v="El Nino 2024                                                "/>
    <n v="2104"/>
    <s v="El Nino 2023-2024 - El Nino phase comes to its anticipated peak and physical climate impacts are more pronounced than meteorologist's expectations."/>
    <x v="351"/>
    <s v="BRL INF 1Y"/>
    <s v="Other - Inflation"/>
    <s v="1Y"/>
    <e v="#N/A"/>
    <s v="OK"/>
    <x v="52"/>
    <s v="Yield"/>
    <x v="7"/>
    <x v="2"/>
    <x v="154"/>
  </r>
  <r>
    <x v="46"/>
    <s v="EM Financial Conditions - China Credit Crunch               "/>
    <n v="2498"/>
    <s v="A credit crunch leads to disorderly defaults of corporate and real-estate loans in China. An interconnected financial system of banks and shadow banking increases the contagion, to emerging markets in particular."/>
    <x v="290"/>
    <s v="Tsy 10Y"/>
    <s v="Govt USD"/>
    <s v="USD_10yr"/>
    <s v="Govt USD"/>
    <s v="OK"/>
    <x v="0"/>
    <s v="Yield"/>
    <x v="0"/>
    <x v="0"/>
    <x v="123"/>
  </r>
  <r>
    <x v="46"/>
    <s v="EM Financial Conditions - China Credit Crunch               "/>
    <n v="2498"/>
    <s v="A credit crunch leads to disorderly defaults of corporate and real-estate loans in China. An interconnected financial system of banks and shadow banking increases the contagion, to emerging markets in particular."/>
    <x v="352"/>
    <s v="USD INF 1Y"/>
    <s v="USD Inflation"/>
    <s v="USD_INF_1yr"/>
    <s v="USD Inflation"/>
    <s v="OK"/>
    <x v="8"/>
    <s v="Price Level"/>
    <x v="6"/>
    <x v="2"/>
    <x v="135"/>
  </r>
  <r>
    <x v="46"/>
    <s v="EM Financial Conditions - China Credit Crunch               "/>
    <n v="2498"/>
    <s v="A credit crunch leads to disorderly defaults of corporate and real-estate loans in China. An interconnected financial system of banks and shadow banking increases the contagion, to emerging markets in particular."/>
    <x v="218"/>
    <s v="Copper LME 1"/>
    <s v="Alternative - Commodity"/>
    <s v="USD_COMD_LP_1"/>
    <s v="Alternative - Commodity"/>
    <s v="OK"/>
    <x v="2"/>
    <s v="Yield"/>
    <x v="2"/>
    <x v="2"/>
    <x v="106"/>
  </r>
  <r>
    <x v="46"/>
    <s v="EM Financial Conditions - China Credit Crunch               "/>
    <n v="2498"/>
    <s v="A credit crunch leads to disorderly defaults of corporate and real-estate loans in China. An interconnected financial system of banks and shadow banking increases the contagion, to emerging markets in particular."/>
    <x v="353"/>
    <s v="AUD 10Y"/>
    <s v="Govt Developed Other (AU, GB, JP, ...)"/>
    <s v="AUD_10yr"/>
    <s v="Govt Developed Other (AU, GB, JP, ...)"/>
    <s v="OK"/>
    <x v="10"/>
    <s v="FX"/>
    <x v="0"/>
    <x v="0"/>
    <x v="155"/>
  </r>
  <r>
    <x v="46"/>
    <s v="EM Financial Conditions - China Credit Crunch               "/>
    <n v="2498"/>
    <s v="A credit crunch leads to disorderly defaults of corporate and real-estate loans in China. An interconnected financial system of banks and shadow banking increases the contagion, to emerging markets in particular."/>
    <x v="354"/>
    <s v="CNYUSD"/>
    <e v="#N/A"/>
    <s v="CNY_FX_USD"/>
    <s v="Emerging Currency"/>
    <s v="OK"/>
    <x v="3"/>
    <s v="FX"/>
    <x v="3"/>
    <x v="3"/>
    <x v="113"/>
  </r>
  <r>
    <x v="46"/>
    <s v="EM Financial Conditions - China Credit Crunch               "/>
    <n v="2498"/>
    <s v="A credit crunch leads to disorderly defaults of corporate and real-estate loans in China. An interconnected financial system of banks and shadow banking increases the contagion, to emerging markets in particular."/>
    <x v="121"/>
    <s v="JPY/USD"/>
    <s v="JPY"/>
    <s v="JPY_FX_USD"/>
    <s v="JPY"/>
    <s v="OK"/>
    <x v="11"/>
    <s v="FX"/>
    <x v="3"/>
    <x v="3"/>
    <x v="125"/>
  </r>
  <r>
    <x v="46"/>
    <s v="EM Financial Conditions - China Credit Crunch               "/>
    <n v="2498"/>
    <s v="A credit crunch leads to disorderly defaults of corporate and real-estate loans in China. An interconnected financial system of banks and shadow banking increases the contagion, to emerging markets in particular."/>
    <x v="355"/>
    <s v="KRWUSD"/>
    <e v="#N/A"/>
    <s v="KRW_FX_USD"/>
    <s v="Emerging Currency"/>
    <s v="OK"/>
    <x v="3"/>
    <s v="FX"/>
    <x v="3"/>
    <x v="3"/>
    <x v="114"/>
  </r>
  <r>
    <x v="46"/>
    <s v="EM Financial Conditions - China Credit Crunch               "/>
    <n v="2498"/>
    <s v="A credit crunch leads to disorderly defaults of corporate and real-estate loans in China. An interconnected financial system of banks and shadow banking increases the contagion, to emerging markets in particular."/>
    <x v="356"/>
    <s v="MYRUSD"/>
    <e v="#N/A"/>
    <s v="MYR_FX_USD"/>
    <s v="Emerging Currency"/>
    <s v="OK"/>
    <x v="3"/>
    <s v="Spread Yield"/>
    <x v="3"/>
    <x v="3"/>
    <x v="156"/>
  </r>
  <r>
    <x v="46"/>
    <s v="EM Financial Conditions - China Credit Crunch               "/>
    <n v="2498"/>
    <s v="A credit crunch leads to disorderly defaults of corporate and real-estate loans in China. An interconnected financial system of banks and shadow banking increases the contagion, to emerging markets in particular."/>
    <x v="357"/>
    <s v="UK Banking"/>
    <s v="Corporate IG Other - Industry"/>
    <s v="GBP_BANKBROK_IG"/>
    <s v="Corporate IG Other - Industry"/>
    <s v="OK"/>
    <x v="54"/>
    <s v="Style Return"/>
    <x v="5"/>
    <x v="4"/>
    <x v="157"/>
  </r>
  <r>
    <x v="46"/>
    <s v="EM Financial Conditions - China Credit Crunch               "/>
    <n v="2498"/>
    <s v="A credit crunch leads to disorderly defaults of corporate and real-estate loans in China. An interconnected financial system of banks and shadow banking increases the contagion, to emerging markets in particular."/>
    <x v="358"/>
    <s v="Volatility"/>
    <s v="Volatility"/>
    <s v="FMI_WRLD_VOLATILITY"/>
    <s v="Volatility"/>
    <s v="OK"/>
    <x v="55"/>
    <s v="Spread Yield"/>
    <x v="13"/>
    <x v="1"/>
    <x v="153"/>
  </r>
  <r>
    <x v="46"/>
    <s v="EM Financial Conditions - China Credit Crunch               "/>
    <n v="2498"/>
    <s v="A credit crunch leads to disorderly defaults of corporate and real-estate loans in China. An interconnected financial system of banks and shadow banking increases the contagion, to emerging markets in particular."/>
    <x v="359"/>
    <s v="China Corp HY"/>
    <s v="Corporate HY USD - Industry"/>
    <s v="USD_CN_CORP_HY"/>
    <s v="Corporate HY USD - Industry"/>
    <s v="OK"/>
    <x v="6"/>
    <s v="Spread Yield"/>
    <x v="5"/>
    <x v="4"/>
    <x v="158"/>
  </r>
  <r>
    <x v="46"/>
    <s v="EM Financial Conditions - China Credit Crunch               "/>
    <n v="2498"/>
    <s v="A credit crunch leads to disorderly defaults of corporate and real-estate loans in China. An interconnected financial system of banks and shadow banking increases the contagion, to emerging markets in particular."/>
    <x v="360"/>
    <s v="China Corp IG"/>
    <s v="Corporate IG USD - Industry"/>
    <s v="USD_CN_CORP_IG"/>
    <s v="Corporate IG USD - Industry"/>
    <s v="OK"/>
    <x v="37"/>
    <s v="Index Level"/>
    <x v="5"/>
    <x v="4"/>
    <x v="118"/>
  </r>
  <r>
    <x v="46"/>
    <s v="EM Financial Conditions - China Credit Crunch               "/>
    <n v="2498"/>
    <s v="A credit crunch leads to disorderly defaults of corporate and real-estate loans in China. An interconnected financial system of banks and shadow banking increases the contagion, to emerging markets in particular."/>
    <x v="170"/>
    <s v="MSCI China"/>
    <s v="Other - Index"/>
    <s v="MS_CN_LCL"/>
    <s v="Other - Index"/>
    <s v="OK"/>
    <x v="12"/>
    <s v="Index Level"/>
    <x v="7"/>
    <x v="2"/>
    <x v="121"/>
  </r>
  <r>
    <x v="46"/>
    <s v="EM Financial Conditions - China Credit Crunch               "/>
    <n v="2498"/>
    <s v="A credit crunch leads to disorderly defaults of corporate and real-estate loans in China. An interconnected financial system of banks and shadow banking increases the contagion, to emerging markets in particular."/>
    <x v="361"/>
    <s v="MS Emerging Mkts"/>
    <s v="Equity Implied Volatility"/>
    <s v="Mkts"/>
    <e v="#N/A"/>
    <s v="OK"/>
    <x v="1"/>
    <s v="Yield"/>
    <x v="1"/>
    <x v="1"/>
    <x v="147"/>
  </r>
  <r>
    <x v="47"/>
    <s v="EM Financial Conditions - Derailed by DM                    "/>
    <n v="2499"/>
    <s v="A hawkish Fed, combined with other central banks commitment to raising long-term yields, reverses the inflows to emerging market bonds"/>
    <x v="362"/>
    <s v="Tsy 1Y"/>
    <s v="Govt USD"/>
    <s v="USD_1yr"/>
    <s v="Govt USD"/>
    <s v="OK"/>
    <x v="0"/>
    <s v="Yield"/>
    <x v="0"/>
    <x v="0"/>
    <x v="135"/>
  </r>
  <r>
    <x v="47"/>
    <s v="EM Financial Conditions - Derailed by DM                    "/>
    <n v="2499"/>
    <s v="A hawkish Fed, combined with other central banks commitment to raising long-term yields, reverses the inflows to emerging market bonds"/>
    <x v="363"/>
    <s v="Tsy 10Y"/>
    <s v="Govt USD"/>
    <s v="USD_10yr"/>
    <s v="Govt USD"/>
    <s v="OK"/>
    <x v="0"/>
    <s v="Yield"/>
    <x v="0"/>
    <x v="0"/>
    <x v="108"/>
  </r>
  <r>
    <x v="47"/>
    <s v="EM Financial Conditions - Derailed by DM                    "/>
    <n v="2499"/>
    <s v="A hawkish Fed, combined with other central banks commitment to raising long-term yields, reverses the inflows to emerging market bonds"/>
    <x v="364"/>
    <s v="USD INF 2Y"/>
    <s v="USD Inflation"/>
    <s v="USD_INF_2yr"/>
    <s v="USD Inflation"/>
    <s v="OK"/>
    <x v="8"/>
    <s v="Price Level"/>
    <x v="6"/>
    <x v="2"/>
    <x v="145"/>
  </r>
  <r>
    <x v="47"/>
    <s v="EM Financial Conditions - Derailed by DM                    "/>
    <n v="2499"/>
    <s v="A hawkish Fed, combined with other central banks commitment to raising long-term yields, reverses the inflows to emerging market bonds"/>
    <x v="365"/>
    <s v="Crude Oil NYME 1"/>
    <s v="Alternative - Commodity"/>
    <s v="USD_COMD_CL_1"/>
    <s v="Alternative - Commodity"/>
    <s v="OK"/>
    <x v="2"/>
    <s v="FX"/>
    <x v="2"/>
    <x v="2"/>
    <x v="113"/>
  </r>
  <r>
    <x v="47"/>
    <s v="EM Financial Conditions - Derailed by DM                    "/>
    <n v="2499"/>
    <s v="A hawkish Fed, combined with other central banks commitment to raising long-term yields, reverses the inflows to emerging market bonds"/>
    <x v="366"/>
    <s v="MXNUSD"/>
    <e v="#N/A"/>
    <s v="MXN_FX_USD"/>
    <s v="Emerging Currency"/>
    <s v="OK"/>
    <x v="3"/>
    <s v="FX"/>
    <x v="3"/>
    <x v="3"/>
    <x v="106"/>
  </r>
  <r>
    <x v="47"/>
    <s v="EM Financial Conditions - Derailed by DM                    "/>
    <n v="2499"/>
    <s v="A hawkish Fed, combined with other central banks commitment to raising long-term yields, reverses the inflows to emerging market bonds"/>
    <x v="367"/>
    <s v="ZARUSD"/>
    <e v="#N/A"/>
    <s v="ZAR_FX_USD"/>
    <s v="Emerging Currency"/>
    <s v="OK"/>
    <x v="3"/>
    <s v="Index Level"/>
    <x v="3"/>
    <x v="3"/>
    <x v="121"/>
  </r>
  <r>
    <x v="47"/>
    <s v="EM Financial Conditions - Derailed by DM                    "/>
    <n v="2499"/>
    <s v="A hawkish Fed, combined with other central banks commitment to raising long-term yields, reverses the inflows to emerging market bonds"/>
    <x v="368"/>
    <s v="S&amp;P 500"/>
    <s v="Equity Implied Volatility"/>
    <s v="SPX"/>
    <s v="Equity Implied Volatility"/>
    <s v="OK"/>
    <x v="1"/>
    <s v="Index Level"/>
    <x v="1"/>
    <x v="1"/>
    <x v="159"/>
  </r>
  <r>
    <x v="47"/>
    <s v="EM Financial Conditions - Derailed by DM                    "/>
    <n v="2499"/>
    <s v="A hawkish Fed, combined with other central banks commitment to raising long-term yields, reverses the inflows to emerging market bonds"/>
    <x v="369"/>
    <s v="MS Emerging Mkts"/>
    <s v="Equity Implied Volatility"/>
    <s v="MXEF"/>
    <s v="Equity Implied Volatility"/>
    <s v="OK"/>
    <x v="1"/>
    <s v="Index Level"/>
    <x v="1"/>
    <x v="1"/>
    <x v="106"/>
  </r>
  <r>
    <x v="47"/>
    <s v="EM Financial Conditions - Derailed by DM                    "/>
    <n v="2499"/>
    <s v="A hawkish Fed, combined with other central banks commitment to raising long-term yields, reverses the inflows to emerging market bonds"/>
    <x v="370"/>
    <s v="Brazil Bovespa"/>
    <s v="Equity Implied Volatility"/>
    <s v="IBOV"/>
    <s v="Equity Implied Volatility"/>
    <s v="OK"/>
    <x v="1"/>
    <s v="Index Level"/>
    <x v="1"/>
    <x v="1"/>
    <x v="121"/>
  </r>
  <r>
    <x v="47"/>
    <s v="EM Financial Conditions - Derailed by DM                    "/>
    <n v="2499"/>
    <s v="A hawkish Fed, combined with other central banks commitment to raising long-term yields, reverses the inflows to emerging market bonds"/>
    <x v="371"/>
    <s v="Turkey ISE Natl 100"/>
    <s v="Equity Implied Volatility"/>
    <s v="XU100"/>
    <s v="Equity Implied Volatility"/>
    <s v="OK"/>
    <x v="1"/>
    <s v="Spread Yield"/>
    <x v="1"/>
    <x v="1"/>
    <x v="121"/>
  </r>
  <r>
    <x v="47"/>
    <s v="EM Financial Conditions - Derailed by DM                    "/>
    <n v="2499"/>
    <s v="A hawkish Fed, combined with other central banks commitment to raising long-term yields, reverses the inflows to emerging market bonds"/>
    <x v="372"/>
    <s v="EMBIG DxS"/>
    <s v="Spread Emerging Markets - Country"/>
    <s v="USD_EM_DS_G"/>
    <s v="Spread Emerging Markets - Country"/>
    <s v="OK"/>
    <x v="29"/>
    <s v="Yield"/>
    <x v="5"/>
    <x v="4"/>
    <x v="138"/>
  </r>
  <r>
    <x v="47"/>
    <s v="EM Financial Conditions - Derailed by DM                    "/>
    <n v="2499"/>
    <s v="A hawkish Fed, combined with other central banks commitment to raising long-term yields, reverses the inflows to emerging market bonds"/>
    <x v="373"/>
    <s v="OIS 3m"/>
    <s v="Govt USD"/>
    <s v="USD_OIS_3m"/>
    <s v="Govt USD"/>
    <s v="OK"/>
    <x v="0"/>
    <s v="Spread Yield"/>
    <x v="0"/>
    <x v="0"/>
    <x v="145"/>
  </r>
  <r>
    <x v="47"/>
    <s v="EM Financial Conditions - Derailed by DM                    "/>
    <n v="2499"/>
    <s v="A hawkish Fed, combined with other central banks commitment to raising long-term yields, reverses the inflows to emerging market bonds"/>
    <x v="374"/>
    <s v="DEPO Sprd 3m"/>
    <s v="Money Market"/>
    <s v="USD_DEPO_Sprd_3m"/>
    <s v="Money Market"/>
    <s v="OK"/>
    <x v="56"/>
    <s v="Spread Yield"/>
    <x v="7"/>
    <x v="2"/>
    <x v="134"/>
  </r>
  <r>
    <x v="47"/>
    <s v="EM Financial Conditions - Derailed by DM                    "/>
    <n v="2499"/>
    <s v="A hawkish Fed, combined with other central banks commitment to raising long-term yields, reverses the inflows to emerging market bonds"/>
    <x v="375"/>
    <s v="CP A1P1 Sprd 3m"/>
    <s v="Money Market"/>
    <s v="USD_CP_A1P1_Sprd_3m"/>
    <s v="Money Market"/>
    <s v="OK"/>
    <x v="56"/>
    <s v="Yield"/>
    <x v="7"/>
    <x v="2"/>
    <x v="134"/>
  </r>
  <r>
    <x v="48"/>
    <s v="EM Financial Conditions - Carry On                          "/>
    <n v="2500"/>
    <s v="Stable Chinese growth creates an environment that is supportive for EM. Higher-yielding EM assets outperform"/>
    <x v="263"/>
    <s v="Tsy 2Y"/>
    <s v="Govt USD"/>
    <s v="USD_2yr"/>
    <s v="Govt USD"/>
    <s v="OK"/>
    <x v="0"/>
    <s v="Yield"/>
    <x v="0"/>
    <x v="0"/>
    <x v="124"/>
  </r>
  <r>
    <x v="48"/>
    <s v="EM Financial Conditions - Carry On                          "/>
    <n v="2500"/>
    <s v="Stable Chinese growth creates an environment that is supportive for EM. Higher-yielding EM assets outperform"/>
    <x v="254"/>
    <s v="Tsy 10Y"/>
    <s v="Govt USD"/>
    <s v="USD_10yr"/>
    <s v="Govt USD"/>
    <s v="OK"/>
    <x v="0"/>
    <s v="Spread Yield"/>
    <x v="0"/>
    <x v="0"/>
    <x v="105"/>
  </r>
  <r>
    <x v="48"/>
    <s v="EM Financial Conditions - Carry On                          "/>
    <n v="2500"/>
    <s v="Stable Chinese growth creates an environment that is supportive for EM. Higher-yielding EM assets outperform"/>
    <x v="376"/>
    <s v="EMBIG DxS"/>
    <s v="Spread Emerging Markets - Country"/>
    <s v="USD_EM_DS_G"/>
    <s v="Spread Emerging Markets - Country"/>
    <s v="OK"/>
    <x v="29"/>
    <s v="Index Level"/>
    <x v="5"/>
    <x v="4"/>
    <x v="160"/>
  </r>
  <r>
    <x v="48"/>
    <s v="EM Financial Conditions - Carry On                          "/>
    <n v="2500"/>
    <s v="Stable Chinese growth creates an environment that is supportive for EM. Higher-yielding EM assets outperform"/>
    <x v="377"/>
    <s v="MSCI World Industrials"/>
    <s v="Other - Index"/>
    <s v="MSINDU_LCL"/>
    <s v="Other - Index"/>
    <s v="OK"/>
    <x v="12"/>
    <s v="Index Level"/>
    <x v="7"/>
    <x v="2"/>
    <x v="125"/>
  </r>
  <r>
    <x v="48"/>
    <s v="EM Financial Conditions - Carry On                          "/>
    <n v="2500"/>
    <s v="Stable Chinese growth creates an environment that is supportive for EM. Higher-yielding EM assets outperform"/>
    <x v="378"/>
    <s v="MSCI World IT"/>
    <s v="Other - Index"/>
    <s v="IT"/>
    <e v="#N/A"/>
    <s v="OK"/>
    <x v="12"/>
    <s v="Index Level"/>
    <x v="7"/>
    <x v="2"/>
    <x v="161"/>
  </r>
  <r>
    <x v="48"/>
    <s v="EM Financial Conditions - Carry On                          "/>
    <n v="2500"/>
    <s v="Stable Chinese growth creates an environment that is supportive for EM. Higher-yielding EM assets outperform"/>
    <x v="379"/>
    <s v="MSCI China"/>
    <s v="Other - Index"/>
    <s v="China"/>
    <e v="#N/A"/>
    <s v="OK"/>
    <x v="12"/>
    <s v="Spread Yield"/>
    <x v="7"/>
    <x v="2"/>
    <x v="139"/>
  </r>
  <r>
    <x v="48"/>
    <s v="EM Financial Conditions - Carry On                          "/>
    <n v="2500"/>
    <s v="Stable Chinese growth creates an environment that is supportive for EM. Higher-yielding EM assets outperform"/>
    <x v="380"/>
    <s v="US Cash Bonds HY"/>
    <e v="#N/A"/>
    <s v="HY"/>
    <e v="#N/A"/>
    <s v="BOTH #N/A"/>
    <x v="26"/>
    <s v="Corporate IG USD - Other"/>
    <x v="5"/>
    <x v="4"/>
    <x v="132"/>
  </r>
  <r>
    <x v="49"/>
    <s v="EM Crises - Commodity Boom Unwind (05/2021)                 "/>
    <n v="2458"/>
    <s v="Expectations for a rapid global economic restart have triggered a strong commodities rally in 2021."/>
    <x v="118"/>
    <s v="Tsy 10Y"/>
    <s v="Govt USD"/>
    <s v="USD_10yr"/>
    <s v="Govt USD"/>
    <s v="OK"/>
    <x v="0"/>
    <s v="Price Level"/>
    <x v="0"/>
    <x v="0"/>
    <x v="132"/>
  </r>
  <r>
    <x v="49"/>
    <s v="EM Crises - Commodity Boom Unwind (05/2021)                 "/>
    <n v="2458"/>
    <s v="Expectations for a rapid global economic restart have triggered a strong commodities rally in 2021."/>
    <x v="381"/>
    <s v="GSCI INDUSTRIAL METALS"/>
    <s v="Alternative - Commodity"/>
    <s v="GSINSPOT"/>
    <s v="Alternative - Commodity"/>
    <s v="OK"/>
    <x v="2"/>
    <s v="Price Level"/>
    <x v="2"/>
    <x v="2"/>
    <x v="121"/>
  </r>
  <r>
    <x v="49"/>
    <s v="EM Crises - Commodity Boom Unwind (05/2021)                 "/>
    <n v="2458"/>
    <s v="Expectations for a rapid global economic restart have triggered a strong commodities rally in 2021."/>
    <x v="185"/>
    <s v="Brent Crude ICE 1"/>
    <s v="Alternative - Commodity"/>
    <s v="USD_COMD_CO_1"/>
    <s v="Alternative - Commodity"/>
    <s v="OK"/>
    <x v="2"/>
    <s v="Yield"/>
    <x v="2"/>
    <x v="2"/>
    <x v="142"/>
  </r>
  <r>
    <x v="49"/>
    <s v="EM Crises - Commodity Boom Unwind (05/2021)                 "/>
    <n v="2458"/>
    <s v="Expectations for a rapid global economic restart have triggered a strong commodities rally in 2021."/>
    <x v="188"/>
    <s v="CNY 10Y"/>
    <s v="Govt Emerging Markets"/>
    <s v="CNY_10yr"/>
    <s v="Govt Emerging Markets"/>
    <s v="OK"/>
    <x v="31"/>
    <s v="FX"/>
    <x v="0"/>
    <x v="0"/>
    <x v="145"/>
  </r>
  <r>
    <x v="49"/>
    <s v="EM Crises - Commodity Boom Unwind (05/2021)                 "/>
    <n v="2458"/>
    <s v="Expectations for a rapid global economic restart have triggered a strong commodities rally in 2021."/>
    <x v="226"/>
    <s v="JPY/USD"/>
    <s v="JPY"/>
    <s v="JPY_FX_USD"/>
    <s v="JPY"/>
    <s v="OK"/>
    <x v="11"/>
    <s v="FX"/>
    <x v="3"/>
    <x v="3"/>
    <x v="110"/>
  </r>
  <r>
    <x v="49"/>
    <s v="EM Crises - Commodity Boom Unwind (05/2021)                 "/>
    <n v="2458"/>
    <s v="Expectations for a rapid global economic restart have triggered a strong commodities rally in 2021."/>
    <x v="122"/>
    <s v="Time"/>
    <e v="#N/A"/>
    <s v="ALL_TIME"/>
    <e v="#N/A"/>
    <s v="BOTH #N/A"/>
    <x v="16"/>
    <s v="Time"/>
    <x v="8"/>
    <x v="2"/>
    <x v="151"/>
  </r>
  <r>
    <x v="49"/>
    <s v="EM Crises - Commodity Boom Unwind (05/2021)                 "/>
    <n v="2458"/>
    <s v="Expectations for a rapid global economic restart have triggered a strong commodities rally in 2021."/>
    <x v="235"/>
    <s v="EMBIG DxS"/>
    <s v="Spread Emerging Markets - Country"/>
    <s v="USD_EM_DS_G"/>
    <s v="Spread Emerging Markets - Country"/>
    <s v="OK"/>
    <x v="29"/>
    <s v="Spread Yield"/>
    <x v="5"/>
    <x v="4"/>
    <x v="135"/>
  </r>
  <r>
    <x v="49"/>
    <s v="EM Crises - Commodity Boom Unwind (05/2021)                 "/>
    <n v="2458"/>
    <s v="Expectations for a rapid global economic restart have triggered a strong commodities rally in 2021."/>
    <x v="194"/>
    <s v="China Corp HY"/>
    <s v="Corporate HY USD - Industry"/>
    <s v="USD_CN_CORP_HY"/>
    <s v="Corporate HY USD - Industry"/>
    <s v="OK"/>
    <x v="6"/>
    <s v="Spread Yield"/>
    <x v="5"/>
    <x v="4"/>
    <x v="108"/>
  </r>
  <r>
    <x v="49"/>
    <s v="EM Crises - Commodity Boom Unwind (05/2021)                 "/>
    <n v="2458"/>
    <s v="Expectations for a rapid global economic restart have triggered a strong commodities rally in 2021."/>
    <x v="382"/>
    <s v="US HY Market"/>
    <s v="Corporate HY USD - Other"/>
    <s v="USD_HY_MARKET"/>
    <s v="Corporate HY USD - Other"/>
    <s v="OK"/>
    <x v="22"/>
    <s v="Index Level"/>
    <x v="5"/>
    <x v="4"/>
    <x v="118"/>
  </r>
  <r>
    <x v="49"/>
    <s v="EM Crises - Commodity Boom Unwind (05/2021)                 "/>
    <n v="2458"/>
    <s v="Expectations for a rapid global economic restart have triggered a strong commodities rally in 2021."/>
    <x v="383"/>
    <s v="MSCI China"/>
    <s v="Other - Index"/>
    <s v="MS_CN_LCL"/>
    <s v="Other - Index"/>
    <s v="OK"/>
    <x v="12"/>
    <s v="Index Level"/>
    <x v="7"/>
    <x v="2"/>
    <x v="106"/>
  </r>
  <r>
    <x v="49"/>
    <s v="EM Crises - Commodity Boom Unwind (05/2021)                 "/>
    <n v="2458"/>
    <s v="Expectations for a rapid global economic restart have triggered a strong commodities rally in 2021."/>
    <x v="384"/>
    <s v="MSCI EM Latin America Loc"/>
    <e v="#N/A"/>
    <s v="MS_LA_LCL"/>
    <s v="Other - Index"/>
    <s v="OK"/>
    <x v="12"/>
    <s v="Index Level"/>
    <x v="7"/>
    <x v="2"/>
    <x v="106"/>
  </r>
  <r>
    <x v="49"/>
    <s v="EM Crises - Commodity Boom Unwind (05/2021)                 "/>
    <n v="2458"/>
    <s v="Expectations for a rapid global economic restart have triggered a strong commodities rally in 2021."/>
    <x v="385"/>
    <s v="MS Emerging Mkts"/>
    <s v="Equity Implied Volatility"/>
    <s v="Mkts"/>
    <e v="#N/A"/>
    <s v="OK"/>
    <x v="1"/>
    <s v="FX"/>
    <x v="1"/>
    <x v="1"/>
    <x v="114"/>
  </r>
  <r>
    <x v="49"/>
    <s v="EM Crises - Commodity Boom Unwind (05/2021)                 "/>
    <n v="2458"/>
    <s v="Expectations for a rapid global economic restart have triggered a strong commodities rally in 2021."/>
    <x v="386"/>
    <s v="RUBUSD"/>
    <e v="#N/A"/>
    <s v="RUB_FX_USD"/>
    <s v="Emerging Currency"/>
    <s v="OK"/>
    <x v="3"/>
    <s v="Price Level"/>
    <x v="3"/>
    <x v="3"/>
    <x v="114"/>
  </r>
  <r>
    <x v="50"/>
    <s v="Emerging markets political crisis                           "/>
    <n v="2203"/>
    <s v="Increased global fragmentation severely stresses EM political systems and institutions."/>
    <x v="104"/>
    <s v="Gold COMEX 1"/>
    <s v="Alternative - Commodity"/>
    <s v="USD_COMD_GC_1"/>
    <s v="Alternative - Commodity"/>
    <s v="OK"/>
    <x v="2"/>
    <s v="Yield"/>
    <x v="2"/>
    <x v="2"/>
    <x v="148"/>
  </r>
  <r>
    <x v="50"/>
    <s v="Emerging markets political crisis                           "/>
    <n v="2203"/>
    <s v="Increased global fragmentation severely stresses EM political systems and institutions."/>
    <x v="387"/>
    <s v="RUB 10Y"/>
    <s v="Govt Emerging Markets"/>
    <s v="RUB_10yr"/>
    <s v="Govt Emerging Markets"/>
    <s v="OK"/>
    <x v="31"/>
    <s v="FX"/>
    <x v="0"/>
    <x v="0"/>
    <x v="135"/>
  </r>
  <r>
    <x v="50"/>
    <s v="Emerging markets political crisis                           "/>
    <n v="2203"/>
    <s v="Increased global fragmentation severely stresses EM political systems and institutions."/>
    <x v="388"/>
    <s v="TRYUSD"/>
    <e v="#N/A"/>
    <s v="TRY_FX_USD"/>
    <s v="Emerging Currency"/>
    <s v="OK"/>
    <x v="3"/>
    <s v="Index Level"/>
    <x v="3"/>
    <x v="3"/>
    <x v="122"/>
  </r>
  <r>
    <x v="50"/>
    <s v="Emerging markets political crisis                           "/>
    <n v="2203"/>
    <s v="Increased global fragmentation severely stresses EM political systems and institutions."/>
    <x v="389"/>
    <s v="DXY"/>
    <e v="#N/A"/>
    <s v="DXY"/>
    <e v="#N/A"/>
    <s v="BOTH #N/A"/>
    <x v="18"/>
    <s v="Dollar Index"/>
    <x v="9"/>
    <x v="2"/>
    <x v="162"/>
  </r>
  <r>
    <x v="50"/>
    <s v="Emerging markets political crisis                           "/>
    <n v="2203"/>
    <s v="Increased global fragmentation severely stresses EM political systems and institutions."/>
    <x v="390"/>
    <s v="Brazil Bovespa"/>
    <s v="Equity Implied Volatility"/>
    <s v="IBOV"/>
    <s v="Equity Implied Volatility"/>
    <s v="OK"/>
    <x v="1"/>
    <s v="Index Level"/>
    <x v="1"/>
    <x v="1"/>
    <x v="147"/>
  </r>
  <r>
    <x v="50"/>
    <s v="Emerging markets political crisis                           "/>
    <n v="2203"/>
    <s v="Increased global fragmentation severely stresses EM political systems and institutions."/>
    <x v="391"/>
    <s v="Taiwan TSEC"/>
    <s v="Equity Implied Volatility"/>
    <s v="TW50"/>
    <s v="Equity Implied Volatility"/>
    <s v="OK"/>
    <x v="1"/>
    <s v="Industry Return"/>
    <x v="1"/>
    <x v="1"/>
    <x v="148"/>
  </r>
  <r>
    <x v="50"/>
    <s v="Emerging markets political crisis                           "/>
    <n v="2203"/>
    <s v="Increased global fragmentation severely stresses EM political systems and institutions."/>
    <x v="392"/>
    <s v="Transportation"/>
    <s v="Industrials"/>
    <s v="FMI_APXJ_INDTRAN"/>
    <e v="#N/A"/>
    <s v="OK"/>
    <x v="4"/>
    <s v="Industry Return"/>
    <x v="4"/>
    <x v="1"/>
    <x v="112"/>
  </r>
  <r>
    <x v="50"/>
    <s v="Emerging markets political crisis                           "/>
    <n v="2203"/>
    <s v="Increased global fragmentation severely stresses EM political systems and institutions."/>
    <x v="393"/>
    <s v="Cons Staples x Alcohol &amp; Tob"/>
    <s v="Consumer Staples"/>
    <s v="FMI_LATC_CSTXALCTOB"/>
    <e v="#N/A"/>
    <s v="OK"/>
    <x v="34"/>
    <s v="Spread Yield"/>
    <x v="4"/>
    <x v="1"/>
    <x v="125"/>
  </r>
  <r>
    <x v="50"/>
    <s v="Emerging markets political crisis                           "/>
    <n v="2203"/>
    <s v="Increased global fragmentation severely stresses EM political systems and institutions."/>
    <x v="394"/>
    <s v="Brazil"/>
    <s v="Emerging Markets"/>
    <s v="USD_EM_DS_BRAZIL"/>
    <s v="Spread Emerging Markets - Country"/>
    <s v="OK"/>
    <x v="29"/>
    <s v="Spread Yield"/>
    <x v="5"/>
    <x v="4"/>
    <x v="163"/>
  </r>
  <r>
    <x v="50"/>
    <s v="Emerging markets political crisis                           "/>
    <n v="2203"/>
    <s v="Increased global fragmentation severely stresses EM political systems and institutions."/>
    <x v="395"/>
    <s v="EMBIG DxS"/>
    <s v="Spread Emerging Markets - Country"/>
    <s v="USD_EM_DS_G"/>
    <s v="Spread Emerging Markets - Country"/>
    <s v="OK"/>
    <x v="29"/>
    <s v="Spread Yield"/>
    <x v="5"/>
    <x v="4"/>
    <x v="164"/>
  </r>
  <r>
    <x v="50"/>
    <s v="Emerging markets political crisis                           "/>
    <n v="2203"/>
    <s v="Increased global fragmentation severely stresses EM political systems and institutions."/>
    <x v="396"/>
    <s v="Emerg Mkt S America"/>
    <s v="Spread Emerging Markets - Country"/>
    <s v="USD_EM_DS_SA"/>
    <s v="Spread Emerging Markets - Country"/>
    <s v="OK"/>
    <x v="29"/>
    <s v="Index Level"/>
    <x v="5"/>
    <x v="4"/>
    <x v="135"/>
  </r>
  <r>
    <x v="50"/>
    <s v="Emerging markets political crisis                           "/>
    <n v="2203"/>
    <s v="Increased global fragmentation severely stresses EM political systems and institutions."/>
    <x v="397"/>
    <s v="MSCI India"/>
    <s v="Other - Index"/>
    <s v="India"/>
    <e v="#N/A"/>
    <s v="OK"/>
    <x v="12"/>
    <s v="Index Level"/>
    <x v="7"/>
    <x v="2"/>
    <x v="122"/>
  </r>
  <r>
    <x v="50"/>
    <s v="Emerging markets political crisis                           "/>
    <n v="2203"/>
    <s v="Increased global fragmentation severely stresses EM political systems and institutions."/>
    <x v="398"/>
    <s v="MSCI EM Latin America (USD)"/>
    <s v="Other - Index"/>
    <s v="USD"/>
    <e v="#N/A"/>
    <s v="OK"/>
    <x v="12"/>
    <s v="Yield"/>
    <x v="7"/>
    <x v="2"/>
    <x v="106"/>
  </r>
  <r>
    <x v="51"/>
    <s v="Emerging Markets Post-QE - Differentiation in EM            "/>
    <n v="2417"/>
    <s v="An oil price shock, coupled with a rising dollar and US rates, drives different outcomes across EMs."/>
    <x v="399"/>
    <s v="Tsy 2Y"/>
    <s v="Govt USD"/>
    <s v="USD_2yr"/>
    <s v="Govt USD"/>
    <s v="OK"/>
    <x v="0"/>
    <s v="Price Level"/>
    <x v="0"/>
    <x v="0"/>
    <x v="134"/>
  </r>
  <r>
    <x v="51"/>
    <s v="Emerging Markets Post-QE - Differentiation in EM            "/>
    <n v="2417"/>
    <s v="An oil price shock, coupled with a rising dollar and US rates, drives different outcomes across EMs."/>
    <x v="400"/>
    <s v="Brent Crude ICE 1"/>
    <s v="Alternative - Commodity"/>
    <s v="USD_COMD_CO_1"/>
    <s v="Alternative - Commodity"/>
    <s v="OK"/>
    <x v="2"/>
    <s v="Yield"/>
    <x v="2"/>
    <x v="2"/>
    <x v="148"/>
  </r>
  <r>
    <x v="51"/>
    <s v="Emerging Markets Post-QE - Differentiation in EM            "/>
    <n v="2417"/>
    <s v="An oil price shock, coupled with a rising dollar and US rates, drives different outcomes across EMs."/>
    <x v="401"/>
    <s v="ZAR 10Y"/>
    <s v="Govt Emerging Markets"/>
    <s v="ZAR_10yr"/>
    <s v="Govt Emerging Markets"/>
    <s v="OK"/>
    <x v="31"/>
    <s v="FX"/>
    <x v="0"/>
    <x v="0"/>
    <x v="163"/>
  </r>
  <r>
    <x v="51"/>
    <s v="Emerging Markets Post-QE - Differentiation in EM            "/>
    <n v="2417"/>
    <s v="An oil price shock, coupled with a rising dollar and US rates, drives different outcomes across EMs."/>
    <x v="402"/>
    <s v="TRYUSD"/>
    <e v="#N/A"/>
    <s v="TRY_FX_USD"/>
    <s v="Emerging Currency"/>
    <s v="OK"/>
    <x v="3"/>
    <s v="FX"/>
    <x v="3"/>
    <x v="3"/>
    <x v="121"/>
  </r>
  <r>
    <x v="51"/>
    <s v="Emerging Markets Post-QE - Differentiation in EM            "/>
    <n v="2417"/>
    <s v="An oil price shock, coupled with a rising dollar and US rates, drives different outcomes across EMs."/>
    <x v="403"/>
    <s v="ZARUSD"/>
    <e v="#N/A"/>
    <s v="ZAR_FX_USD"/>
    <s v="Emerging Currency"/>
    <s v="OK"/>
    <x v="3"/>
    <s v="Index Level"/>
    <x v="3"/>
    <x v="3"/>
    <x v="114"/>
  </r>
  <r>
    <x v="51"/>
    <s v="Emerging Markets Post-QE - Differentiation in EM            "/>
    <n v="2417"/>
    <s v="An oil price shock, coupled with a rising dollar and US rates, drives different outcomes across EMs."/>
    <x v="404"/>
    <s v="DXY"/>
    <e v="#N/A"/>
    <s v="DXY"/>
    <e v="#N/A"/>
    <s v="BOTH #N/A"/>
    <x v="18"/>
    <s v="Dollar Index"/>
    <x v="9"/>
    <x v="2"/>
    <x v="141"/>
  </r>
  <r>
    <x v="51"/>
    <s v="Emerging Markets Post-QE - Differentiation in EM            "/>
    <n v="2417"/>
    <s v="An oil price shock, coupled with a rising dollar and US rates, drives different outcomes across EMs."/>
    <x v="405"/>
    <s v="Brazil Bovespa"/>
    <s v="Equity Implied Volatility"/>
    <s v="IBOV"/>
    <s v="Equity Implied Volatility"/>
    <s v="OK"/>
    <x v="1"/>
    <s v="Index Level"/>
    <x v="1"/>
    <x v="1"/>
    <x v="148"/>
  </r>
  <r>
    <x v="51"/>
    <s v="Emerging Markets Post-QE - Differentiation in EM            "/>
    <n v="2417"/>
    <s v="An oil price shock, coupled with a rising dollar and US rates, drives different outcomes across EMs."/>
    <x v="406"/>
    <s v="Russia RTS"/>
    <s v="Equity Implied Volatility"/>
    <s v="RTSI"/>
    <s v="Equity Implied Volatility"/>
    <s v="OK"/>
    <x v="1"/>
    <s v="Index Level"/>
    <x v="1"/>
    <x v="1"/>
    <x v="126"/>
  </r>
  <r>
    <x v="51"/>
    <s v="Emerging Markets Post-QE - Differentiation in EM            "/>
    <n v="2417"/>
    <s v="An oil price shock, coupled with a rising dollar and US rates, drives different outcomes across EMs."/>
    <x v="407"/>
    <s v="MSCI World Net TR"/>
    <s v="Equity Implied Volatility"/>
    <s v="MSCIWLDNET"/>
    <s v="Equity Implied Volatility"/>
    <s v="OK"/>
    <x v="1"/>
    <s v="Spread Yield"/>
    <x v="1"/>
    <x v="1"/>
    <x v="110"/>
  </r>
  <r>
    <x v="51"/>
    <s v="Emerging Markets Post-QE - Differentiation in EM            "/>
    <n v="2417"/>
    <s v="An oil price shock, coupled with a rising dollar and US rates, drives different outcomes across EMs."/>
    <x v="408"/>
    <s v="Brazil"/>
    <s v="Emerging Markets"/>
    <s v="USD_EM_DS_BRAZIL"/>
    <s v="Spread Emerging Markets - Country"/>
    <s v="OK"/>
    <x v="29"/>
    <s v="Spread Yield"/>
    <x v="5"/>
    <x v="4"/>
    <x v="132"/>
  </r>
  <r>
    <x v="51"/>
    <s v="Emerging Markets Post-QE - Differentiation in EM            "/>
    <n v="2417"/>
    <s v="An oil price shock, coupled with a rising dollar and US rates, drives different outcomes across EMs."/>
    <x v="409"/>
    <s v="Russia"/>
    <s v="Spread Emerging Markets - Country"/>
    <s v="USD_EM_DS_RUSSIA"/>
    <s v="Spread Emerging Markets - Country"/>
    <s v="OK"/>
    <x v="29"/>
    <s v="Spread Yield"/>
    <x v="5"/>
    <x v="4"/>
    <x v="105"/>
  </r>
  <r>
    <x v="51"/>
    <s v="Emerging Markets Post-QE - Differentiation in EM            "/>
    <n v="2417"/>
    <s v="An oil price shock, coupled with a rising dollar and US rates, drives different outcomes across EMs."/>
    <x v="410"/>
    <s v="South Africa"/>
    <s v="Emerging Markets"/>
    <s v="USD_EM_DS_SAFRICA"/>
    <s v="Spread Emerging Markets - Country"/>
    <s v="OK"/>
    <x v="29"/>
    <s v="Spread Yield"/>
    <x v="5"/>
    <x v="4"/>
    <x v="140"/>
  </r>
  <r>
    <x v="51"/>
    <s v="Emerging Markets Post-QE - Differentiation in EM            "/>
    <n v="2417"/>
    <s v="An oil price shock, coupled with a rising dollar and US rates, drives different outcomes across EMs."/>
    <x v="411"/>
    <s v="Turkey"/>
    <s v="Emerging Markets"/>
    <s v="USD_EM_DS_TURKEY"/>
    <s v="Spread Emerging Markets - Country"/>
    <s v="OK"/>
    <x v="29"/>
    <s v="Index Level"/>
    <x v="5"/>
    <x v="4"/>
    <x v="108"/>
  </r>
  <r>
    <x v="51"/>
    <s v="Emerging Markets Post-QE - Differentiation in EM            "/>
    <n v="2417"/>
    <s v="An oil price shock, coupled with a rising dollar and US rates, drives different outcomes across EMs."/>
    <x v="412"/>
    <s v="MS Emerging Mkts"/>
    <s v="Equity Implied Volatility"/>
    <s v="Mkts"/>
    <e v="#N/A"/>
    <s v="OK"/>
    <x v="1"/>
    <s v="Yield"/>
    <x v="1"/>
    <x v="1"/>
    <x v="116"/>
  </r>
  <r>
    <x v="52"/>
    <s v="EM Crises - EM Recovery Differentiation (05/2021)           "/>
    <n v="2456"/>
    <s v="Regional recovery differences emerge across EM, driven by disparities in vaccine rollouts, challenging fiscal backdrops, and the possibility of political unrest."/>
    <x v="413"/>
    <s v="Tsy 2Y"/>
    <s v="Govt USD"/>
    <s v="USD_2yr"/>
    <s v="Govt USD"/>
    <s v="OK"/>
    <x v="0"/>
    <s v="Price Level"/>
    <x v="0"/>
    <x v="0"/>
    <x v="127"/>
  </r>
  <r>
    <x v="52"/>
    <s v="EM Crises - EM Recovery Differentiation (05/2021)           "/>
    <n v="2456"/>
    <s v="Regional recovery differences emerge across EM, driven by disparities in vaccine rollouts, challenging fiscal backdrops, and the possibility of political unrest."/>
    <x v="400"/>
    <s v="Brent Crude ICE 1"/>
    <s v="Alternative - Commodity"/>
    <s v="USD_COMD_CO_1"/>
    <s v="Alternative - Commodity"/>
    <s v="OK"/>
    <x v="2"/>
    <s v="Yield"/>
    <x v="2"/>
    <x v="2"/>
    <x v="148"/>
  </r>
  <r>
    <x v="52"/>
    <s v="EM Crises - EM Recovery Differentiation (05/2021)           "/>
    <n v="2456"/>
    <s v="Regional recovery differences emerge across EM, driven by disparities in vaccine rollouts, challenging fiscal backdrops, and the possibility of political unrest."/>
    <x v="387"/>
    <s v="RUB 10Y"/>
    <s v="Govt Emerging Markets"/>
    <s v="RUB_10yr"/>
    <s v="Govt Emerging Markets"/>
    <s v="OK"/>
    <x v="31"/>
    <s v="Index Level"/>
    <x v="0"/>
    <x v="0"/>
    <x v="135"/>
  </r>
  <r>
    <x v="52"/>
    <s v="EM Crises - EM Recovery Differentiation (05/2021)           "/>
    <n v="2456"/>
    <s v="Regional recovery differences emerge across EM, driven by disparities in vaccine rollouts, challenging fiscal backdrops, and the possibility of political unrest."/>
    <x v="414"/>
    <s v="DXY"/>
    <e v="#N/A"/>
    <s v="DXY"/>
    <e v="#N/A"/>
    <s v="BOTH #N/A"/>
    <x v="18"/>
    <s v="Dollar Index"/>
    <x v="9"/>
    <x v="2"/>
    <x v="165"/>
  </r>
  <r>
    <x v="52"/>
    <s v="EM Crises - EM Recovery Differentiation (05/2021)           "/>
    <n v="2456"/>
    <s v="Regional recovery differences emerge across EM, driven by disparities in vaccine rollouts, challenging fiscal backdrops, and the possibility of political unrest."/>
    <x v="415"/>
    <s v="MS Emerging Mkts"/>
    <s v="Equity Implied Volatility"/>
    <s v="MXEF"/>
    <s v="Equity Implied Volatility"/>
    <s v="OK"/>
    <x v="1"/>
    <s v="Index Level"/>
    <x v="1"/>
    <x v="1"/>
    <x v="122"/>
  </r>
  <r>
    <x v="52"/>
    <s v="EM Crises - EM Recovery Differentiation (05/2021)           "/>
    <n v="2456"/>
    <s v="Regional recovery differences emerge across EM, driven by disparities in vaccine rollouts, challenging fiscal backdrops, and the possibility of political unrest."/>
    <x v="391"/>
    <s v="Taiwan TSEC"/>
    <s v="Equity Implied Volatility"/>
    <s v="TW50"/>
    <s v="Equity Implied Volatility"/>
    <s v="OK"/>
    <x v="1"/>
    <s v="Index Level"/>
    <x v="1"/>
    <x v="1"/>
    <x v="148"/>
  </r>
  <r>
    <x v="52"/>
    <s v="EM Crises - EM Recovery Differentiation (05/2021)           "/>
    <n v="2456"/>
    <s v="Regional recovery differences emerge across EM, driven by disparities in vaccine rollouts, challenging fiscal backdrops, and the possibility of political unrest."/>
    <x v="416"/>
    <s v="MSCI World Net TR"/>
    <s v="Equity Implied Volatility"/>
    <s v="MSCIWLDNET"/>
    <s v="Equity Implied Volatility"/>
    <s v="OK"/>
    <x v="1"/>
    <s v="Index Level"/>
    <x v="1"/>
    <x v="1"/>
    <x v="112"/>
  </r>
  <r>
    <x v="52"/>
    <s v="EM Crises - EM Recovery Differentiation (05/2021)           "/>
    <n v="2456"/>
    <s v="Regional recovery differences emerge across EM, driven by disparities in vaccine rollouts, challenging fiscal backdrops, and the possibility of political unrest."/>
    <x v="122"/>
    <s v="Time"/>
    <e v="#N/A"/>
    <s v="ALL_TIME"/>
    <e v="#N/A"/>
    <s v="BOTH #N/A"/>
    <x v="16"/>
    <s v="Time"/>
    <x v="8"/>
    <x v="2"/>
    <x v="151"/>
  </r>
  <r>
    <x v="52"/>
    <s v="EM Crises - EM Recovery Differentiation (05/2021)           "/>
    <n v="2456"/>
    <s v="Regional recovery differences emerge across EM, driven by disparities in vaccine rollouts, challenging fiscal backdrops, and the possibility of political unrest."/>
    <x v="392"/>
    <s v="Transportation"/>
    <s v="Industrials"/>
    <s v="FMI_APXJ_INDTRAN"/>
    <e v="#N/A"/>
    <s v="OK"/>
    <x v="4"/>
    <s v="Industry Return"/>
    <x v="4"/>
    <x v="1"/>
    <x v="112"/>
  </r>
  <r>
    <x v="52"/>
    <s v="EM Crises - EM Recovery Differentiation (05/2021)           "/>
    <n v="2456"/>
    <s v="Regional recovery differences emerge across EM, driven by disparities in vaccine rollouts, challenging fiscal backdrops, and the possibility of political unrest."/>
    <x v="393"/>
    <s v="Cons Staples x Alcohol &amp; Tob"/>
    <s v="Consumer Staples"/>
    <s v="FMI_LATC_CSTXALCTOB"/>
    <e v="#N/A"/>
    <s v="OK"/>
    <x v="34"/>
    <s v="Spread Yield"/>
    <x v="4"/>
    <x v="1"/>
    <x v="125"/>
  </r>
  <r>
    <x v="52"/>
    <s v="EM Crises - EM Recovery Differentiation (05/2021)           "/>
    <n v="2456"/>
    <s v="Regional recovery differences emerge across EM, driven by disparities in vaccine rollouts, challenging fiscal backdrops, and the possibility of political unrest."/>
    <x v="394"/>
    <s v="Brazil"/>
    <s v="Emerging Markets"/>
    <s v="USD_EM_DS_BRAZIL"/>
    <s v="Spread Emerging Markets - Country"/>
    <s v="OK"/>
    <x v="29"/>
    <s v="Spread Yield"/>
    <x v="5"/>
    <x v="4"/>
    <x v="163"/>
  </r>
  <r>
    <x v="52"/>
    <s v="EM Crises - EM Recovery Differentiation (05/2021)           "/>
    <n v="2456"/>
    <s v="Regional recovery differences emerge across EM, driven by disparities in vaccine rollouts, challenging fiscal backdrops, and the possibility of political unrest."/>
    <x v="417"/>
    <s v="EMBIG DxS"/>
    <s v="Spread Emerging Markets - Country"/>
    <s v="USD_EM_DS_G"/>
    <s v="Spread Emerging Markets - Country"/>
    <s v="OK"/>
    <x v="29"/>
    <s v="Index Level"/>
    <x v="5"/>
    <x v="4"/>
    <x v="140"/>
  </r>
  <r>
    <x v="52"/>
    <s v="EM Crises - EM Recovery Differentiation (05/2021)           "/>
    <n v="2456"/>
    <s v="Regional recovery differences emerge across EM, driven by disparities in vaccine rollouts, challenging fiscal backdrops, and the possibility of political unrest."/>
    <x v="397"/>
    <s v="MSCI India"/>
    <s v="Other - Index"/>
    <s v="India"/>
    <e v="#N/A"/>
    <s v="OK"/>
    <x v="12"/>
    <s v="Index Level"/>
    <x v="7"/>
    <x v="2"/>
    <x v="122"/>
  </r>
  <r>
    <x v="52"/>
    <s v="EM Crises - EM Recovery Differentiation (05/2021)           "/>
    <n v="2456"/>
    <s v="Regional recovery differences emerge across EM, driven by disparities in vaccine rollouts, challenging fiscal backdrops, and the possibility of political unrest."/>
    <x v="398"/>
    <s v="MSCI EM Latin America (USD)"/>
    <s v="Other - Index"/>
    <s v="USD"/>
    <e v="#N/A"/>
    <s v="OK"/>
    <x v="12"/>
    <s v="Yield"/>
    <x v="7"/>
    <x v="2"/>
    <x v="106"/>
  </r>
  <r>
    <x v="53"/>
    <s v="Emerging Markets Post-QE - EM Rebound                       "/>
    <n v="2418"/>
    <s v="Driven by growth surprises, confidence in EM countries is renewed, sparking a surge in EM markets and flows."/>
    <x v="418"/>
    <s v="Tsy 10Y"/>
    <s v="Govt USD"/>
    <s v="USD_10yr"/>
    <s v="Govt USD"/>
    <s v="OK"/>
    <x v="0"/>
    <s v="Index Level"/>
    <x v="0"/>
    <x v="0"/>
    <x v="127"/>
  </r>
  <r>
    <x v="53"/>
    <s v="Emerging Markets Post-QE - EM Rebound                       "/>
    <n v="2418"/>
    <s v="Driven by growth surprises, confidence in EM countries is renewed, sparking a surge in EM markets and flows."/>
    <x v="419"/>
    <s v="DXY"/>
    <e v="#N/A"/>
    <s v="DXY"/>
    <e v="#N/A"/>
    <s v="BOTH #N/A"/>
    <x v="18"/>
    <s v="Dollar Index"/>
    <x v="9"/>
    <x v="2"/>
    <x v="117"/>
  </r>
  <r>
    <x v="53"/>
    <s v="Emerging Markets Post-QE - EM Rebound                       "/>
    <n v="2418"/>
    <s v="Driven by growth surprises, confidence in EM countries is renewed, sparking a surge in EM markets and flows."/>
    <x v="420"/>
    <s v="MS Emerging Mkts"/>
    <s v="Equity Implied Volatility"/>
    <s v="MXEF"/>
    <s v="Equity Implied Volatility"/>
    <s v="OK"/>
    <x v="1"/>
    <s v="Spread Yield"/>
    <x v="1"/>
    <x v="1"/>
    <x v="166"/>
  </r>
  <r>
    <x v="53"/>
    <s v="Emerging Markets Post-QE - EM Rebound                       "/>
    <n v="2418"/>
    <s v="Driven by growth surprises, confidence in EM countries is renewed, sparking a surge in EM markets and flows."/>
    <x v="421"/>
    <s v="EMBIG DxS"/>
    <s v="Spread Emerging Markets - Country"/>
    <s v="USD_EM_DS_G"/>
    <s v="Spread Emerging Markets - Country"/>
    <s v="OK"/>
    <x v="29"/>
    <s v="Index Level"/>
    <x v="5"/>
    <x v="4"/>
    <x v="137"/>
  </r>
  <r>
    <x v="53"/>
    <s v="Emerging Markets Post-QE - EM Rebound                       "/>
    <n v="2418"/>
    <s v="Driven by growth surprises, confidence in EM countries is renewed, sparking a surge in EM markets and flows."/>
    <x v="422"/>
    <s v="MSCI China"/>
    <s v="Other - Index"/>
    <s v="China"/>
    <e v="#N/A"/>
    <s v="OK"/>
    <x v="12"/>
    <s v="Yield"/>
    <x v="7"/>
    <x v="2"/>
    <x v="148"/>
  </r>
  <r>
    <x v="54"/>
    <s v="Emerging Markets Post-QE - Knee-jerk EM Sell-Off            "/>
    <n v="2416"/>
    <s v="Heightened trade tensions and rising US rates drive increased negative sentiment toward EMs. The scenario is calibrated using the 'China Market Crash' covariance matrix (July 31, 2015), which is reflective of the EM environment the scenario portrays."/>
    <x v="254"/>
    <s v="Tsy 10Y"/>
    <s v="Govt USD"/>
    <s v="USD_10yr"/>
    <s v="Govt USD"/>
    <s v="OK"/>
    <x v="0"/>
    <s v="Price Level"/>
    <x v="0"/>
    <x v="0"/>
    <x v="105"/>
  </r>
  <r>
    <x v="54"/>
    <s v="Emerging Markets Post-QE - Knee-jerk EM Sell-Off            "/>
    <n v="2416"/>
    <s v="Heightened trade tensions and rising US rates drive increased negative sentiment toward EMs. The scenario is calibrated using the 'China Market Crash' covariance matrix (July 31, 2015), which is reflective of the EM environment the scenario portrays."/>
    <x v="423"/>
    <s v="Gold"/>
    <s v="Materials"/>
    <s v="GOLD_SPOT"/>
    <s v="Alternative - Commodity"/>
    <s v="OK"/>
    <x v="2"/>
    <s v="Yield"/>
    <x v="2"/>
    <x v="2"/>
    <x v="141"/>
  </r>
  <r>
    <x v="54"/>
    <s v="Emerging Markets Post-QE - Knee-jerk EM Sell-Off            "/>
    <n v="2416"/>
    <s v="Heightened trade tensions and rising US rates drive increased negative sentiment toward EMs. The scenario is calibrated using the 'China Market Crash' covariance matrix (July 31, 2015), which is reflective of the EM environment the scenario portrays."/>
    <x v="424"/>
    <s v="MXN 20Y"/>
    <s v="Govt Emerging Markets"/>
    <s v="MXN_20yr"/>
    <s v="Govt Emerging Markets"/>
    <s v="OK"/>
    <x v="31"/>
    <s v="FX"/>
    <x v="0"/>
    <x v="0"/>
    <x v="109"/>
  </r>
  <r>
    <x v="54"/>
    <s v="Emerging Markets Post-QE - Knee-jerk EM Sell-Off            "/>
    <n v="2416"/>
    <s v="Heightened trade tensions and rising US rates drive increased negative sentiment toward EMs. The scenario is calibrated using the 'China Market Crash' covariance matrix (July 31, 2015), which is reflective of the EM environment the scenario portrays."/>
    <x v="425"/>
    <s v="MXNUSD"/>
    <e v="#N/A"/>
    <s v="MXN_FX_USD"/>
    <s v="Emerging Currency"/>
    <s v="OK"/>
    <x v="3"/>
    <s v="Index Level"/>
    <x v="3"/>
    <x v="3"/>
    <x v="121"/>
  </r>
  <r>
    <x v="54"/>
    <s v="Emerging Markets Post-QE - Knee-jerk EM Sell-Off            "/>
    <n v="2416"/>
    <s v="Heightened trade tensions and rising US rates drive increased negative sentiment toward EMs. The scenario is calibrated using the 'China Market Crash' covariance matrix (July 31, 2015), which is reflective of the EM environment the scenario portrays."/>
    <x v="311"/>
    <s v="DXY"/>
    <e v="#N/A"/>
    <s v="DXY"/>
    <e v="#N/A"/>
    <s v="BOTH #N/A"/>
    <x v="18"/>
    <s v="Dollar Index"/>
    <x v="9"/>
    <x v="2"/>
    <x v="125"/>
  </r>
  <r>
    <x v="54"/>
    <s v="Emerging Markets Post-QE - Knee-jerk EM Sell-Off            "/>
    <n v="2416"/>
    <s v="Heightened trade tensions and rising US rates drive increased negative sentiment toward EMs. The scenario is calibrated using the 'China Market Crash' covariance matrix (July 31, 2015), which is reflective of the EM environment the scenario portrays."/>
    <x v="426"/>
    <s v="S&amp;P 500"/>
    <s v="Equity Implied Volatility"/>
    <s v="SPX"/>
    <s v="Equity Implied Volatility"/>
    <s v="OK"/>
    <x v="1"/>
    <s v="Index Level"/>
    <x v="1"/>
    <x v="1"/>
    <x v="133"/>
  </r>
  <r>
    <x v="54"/>
    <s v="Emerging Markets Post-QE - Knee-jerk EM Sell-Off            "/>
    <n v="2416"/>
    <s v="Heightened trade tensions and rising US rates drive increased negative sentiment toward EMs. The scenario is calibrated using the 'China Market Crash' covariance matrix (July 31, 2015), which is reflective of the EM environment the scenario portrays."/>
    <x v="427"/>
    <s v="MS Emerging Mkts"/>
    <s v="Equity Implied Volatility"/>
    <s v="MXEF"/>
    <s v="Equity Implied Volatility"/>
    <s v="OK"/>
    <x v="1"/>
    <s v="Spread Yield"/>
    <x v="1"/>
    <x v="1"/>
    <x v="121"/>
  </r>
  <r>
    <x v="54"/>
    <s v="Emerging Markets Post-QE - Knee-jerk EM Sell-Off            "/>
    <n v="2416"/>
    <s v="Heightened trade tensions and rising US rates drive increased negative sentiment toward EMs. The scenario is calibrated using the 'China Market Crash' covariance matrix (July 31, 2015), which is reflective of the EM environment the scenario portrays."/>
    <x v="428"/>
    <s v="EMBIG DxS"/>
    <s v="Spread Emerging Markets - Country"/>
    <s v="USD_EM_DS_G"/>
    <s v="Spread Emerging Markets - Country"/>
    <s v="OK"/>
    <x v="29"/>
    <s v="Yield"/>
    <x v="5"/>
    <x v="4"/>
    <x v="109"/>
  </r>
  <r>
    <x v="55"/>
    <s v="EM Crises - DM Policy Derails EM (05/2021)                  "/>
    <n v="2457"/>
    <s v="High growth in developed markets leads to monetary policy normalization, making EM assets less attractive."/>
    <x v="429"/>
    <s v="Tsy 10Y"/>
    <s v="Govt USD"/>
    <s v="USD_10yr"/>
    <s v="Govt USD"/>
    <s v="OK"/>
    <x v="0"/>
    <s v="Yield"/>
    <x v="0"/>
    <x v="0"/>
    <x v="118"/>
  </r>
  <r>
    <x v="55"/>
    <s v="EM Crises - DM Policy Derails EM (05/2021)                  "/>
    <n v="2457"/>
    <s v="High growth in developed markets leads to monetary policy normalization, making EM assets less attractive."/>
    <x v="430"/>
    <s v="USD INF 10Y"/>
    <s v="USD Inflation"/>
    <s v="USD_INF_10yr"/>
    <s v="USD Inflation"/>
    <s v="OK"/>
    <x v="8"/>
    <s v="Price Level"/>
    <x v="6"/>
    <x v="2"/>
    <x v="105"/>
  </r>
  <r>
    <x v="55"/>
    <s v="EM Crises - DM Policy Derails EM (05/2021)                  "/>
    <n v="2457"/>
    <s v="High growth in developed markets leads to monetary policy normalization, making EM assets less attractive."/>
    <x v="431"/>
    <s v="Brent Crude ICE 1"/>
    <s v="Alternative - Commodity"/>
    <s v="USD_COMD_CO_1"/>
    <s v="Alternative - Commodity"/>
    <s v="OK"/>
    <x v="2"/>
    <s v="Yield"/>
    <x v="2"/>
    <x v="2"/>
    <x v="112"/>
  </r>
  <r>
    <x v="55"/>
    <s v="EM Crises - DM Policy Derails EM (05/2021)                  "/>
    <n v="2457"/>
    <s v="High growth in developed markets leads to monetary policy normalization, making EM assets less attractive."/>
    <x v="188"/>
    <s v="CNY 10Y"/>
    <s v="Govt Emerging Markets"/>
    <s v="CNY_10yr"/>
    <s v="Govt Emerging Markets"/>
    <s v="OK"/>
    <x v="31"/>
    <s v="Yield"/>
    <x v="0"/>
    <x v="0"/>
    <x v="145"/>
  </r>
  <r>
    <x v="55"/>
    <s v="EM Crises - DM Policy Derails EM (05/2021)                  "/>
    <n v="2457"/>
    <s v="High growth in developed markets leads to monetary policy normalization, making EM assets less attractive."/>
    <x v="432"/>
    <s v="DEM 10Y"/>
    <s v="Govt EUR (Ger)"/>
    <s v="EUR_10yr"/>
    <s v="Govt EUR (Ger)"/>
    <s v="OK"/>
    <x v="9"/>
    <s v="Yield"/>
    <x v="0"/>
    <x v="0"/>
    <x v="167"/>
  </r>
  <r>
    <x v="55"/>
    <s v="EM Crises - DM Policy Derails EM (05/2021)                  "/>
    <n v="2457"/>
    <s v="High growth in developed markets leads to monetary policy normalization, making EM assets less attractive."/>
    <x v="433"/>
    <s v="BRL 10Y"/>
    <s v="Govt Emerging Markets"/>
    <s v="BRL_10yr"/>
    <s v="Govt Emerging Markets"/>
    <s v="OK"/>
    <x v="31"/>
    <s v="FX"/>
    <x v="0"/>
    <x v="0"/>
    <x v="168"/>
  </r>
  <r>
    <x v="55"/>
    <s v="EM Crises - DM Policy Derails EM (05/2021)                  "/>
    <n v="2457"/>
    <s v="High growth in developed markets leads to monetary policy normalization, making EM assets less attractive."/>
    <x v="434"/>
    <s v="MXNUSD"/>
    <e v="#N/A"/>
    <s v="MXN_FX_USD"/>
    <s v="Emerging Currency"/>
    <s v="OK"/>
    <x v="3"/>
    <s v="FX"/>
    <x v="3"/>
    <x v="3"/>
    <x v="122"/>
  </r>
  <r>
    <x v="55"/>
    <s v="EM Crises - DM Policy Derails EM (05/2021)                  "/>
    <n v="2457"/>
    <s v="High growth in developed markets leads to monetary policy normalization, making EM assets less attractive."/>
    <x v="435"/>
    <s v="RUBUSD"/>
    <e v="#N/A"/>
    <s v="RUB_FX_USD"/>
    <s v="Emerging Currency"/>
    <s v="OK"/>
    <x v="3"/>
    <s v="Index Level"/>
    <x v="3"/>
    <x v="3"/>
    <x v="110"/>
  </r>
  <r>
    <x v="55"/>
    <s v="EM Crises - DM Policy Derails EM (05/2021)                  "/>
    <n v="2457"/>
    <s v="High growth in developed markets leads to monetary policy normalization, making EM assets less attractive."/>
    <x v="301"/>
    <s v="DXY"/>
    <e v="#N/A"/>
    <s v="DXY"/>
    <e v="#N/A"/>
    <s v="BOTH #N/A"/>
    <x v="18"/>
    <s v="Dollar Index"/>
    <x v="9"/>
    <x v="2"/>
    <x v="110"/>
  </r>
  <r>
    <x v="55"/>
    <s v="EM Crises - DM Policy Derails EM (05/2021)                  "/>
    <n v="2457"/>
    <s v="High growth in developed markets leads to monetary policy normalization, making EM assets less attractive."/>
    <x v="369"/>
    <s v="MS Emerging Mkts"/>
    <s v="Equity Implied Volatility"/>
    <s v="MXEF"/>
    <s v="Equity Implied Volatility"/>
    <s v="OK"/>
    <x v="1"/>
    <s v="Index Level"/>
    <x v="1"/>
    <x v="1"/>
    <x v="106"/>
  </r>
  <r>
    <x v="55"/>
    <s v="EM Crises - DM Policy Derails EM (05/2021)                  "/>
    <n v="2457"/>
    <s v="High growth in developed markets leads to monetary policy normalization, making EM assets less attractive."/>
    <x v="436"/>
    <s v="MSCI World Net TR"/>
    <s v="Equity Implied Volatility"/>
    <s v="MSCIWLDNET"/>
    <s v="Equity Implied Volatility"/>
    <s v="OK"/>
    <x v="1"/>
    <s v="Index Level"/>
    <x v="1"/>
    <x v="1"/>
    <x v="128"/>
  </r>
  <r>
    <x v="55"/>
    <s v="EM Crises - DM Policy Derails EM (05/2021)                  "/>
    <n v="2457"/>
    <s v="High growth in developed markets leads to monetary policy normalization, making EM assets less attractive."/>
    <x v="122"/>
    <s v="Time"/>
    <e v="#N/A"/>
    <s v="ALL_TIME"/>
    <e v="#N/A"/>
    <s v="BOTH #N/A"/>
    <x v="16"/>
    <s v="Time"/>
    <x v="8"/>
    <x v="2"/>
    <x v="151"/>
  </r>
  <r>
    <x v="55"/>
    <s v="EM Crises - DM Policy Derails EM (05/2021)                  "/>
    <n v="2457"/>
    <s v="High growth in developed markets leads to monetary policy normalization, making EM assets less attractive."/>
    <x v="437"/>
    <s v="US HY Market"/>
    <s v="Corporate HY USD - Other"/>
    <s v="USD_HY_MARKET"/>
    <s v="Corporate HY USD - Other"/>
    <s v="OK"/>
    <x v="22"/>
    <s v="Price Level"/>
    <x v="5"/>
    <x v="4"/>
    <x v="168"/>
  </r>
  <r>
    <x v="56"/>
    <s v="EU Deforestation Regulation                                 "/>
    <n v="2105"/>
    <s v="The EUDR comes into effect despite challenges, forcing a shift in the European commodity markets. The lack of anticipation and preparation across markets causes asset price shocks to ripple through the supply chain, impacting dependent equity sectors and global producers."/>
    <x v="438"/>
    <s v="Cocoa NYBOT 1"/>
    <s v="Alternative - Commodity"/>
    <s v="USD_COMD_CC_1"/>
    <s v="Alternative - Commodity"/>
    <s v="OK"/>
    <x v="2"/>
    <s v="Price Level"/>
    <x v="2"/>
    <x v="2"/>
    <x v="169"/>
  </r>
  <r>
    <x v="56"/>
    <s v="EU Deforestation Regulation                                 "/>
    <n v="2105"/>
    <s v="The EUDR comes into effect despite challenges, forcing a shift in the European commodity markets. The lack of anticipation and preparation across markets causes asset price shocks to ripple through the supply chain, impacting dependent equity sectors and global producers."/>
    <x v="439"/>
    <s v="Coffee NYBOT 1"/>
    <s v="Alternative - Commodity"/>
    <s v="USD_COMD_KC_1"/>
    <s v="Alternative - Commodity"/>
    <s v="OK"/>
    <x v="2"/>
    <s v="Price Level"/>
    <x v="2"/>
    <x v="2"/>
    <x v="170"/>
  </r>
  <r>
    <x v="56"/>
    <s v="EU Deforestation Regulation                                 "/>
    <n v="2105"/>
    <s v="The EUDR comes into effect despite challenges, forcing a shift in the European commodity markets. The lack of anticipation and preparation across markets causes asset price shocks to ripple through the supply chain, impacting dependent equity sectors and global producers."/>
    <x v="440"/>
    <s v="Live Cattle CME 1"/>
    <s v="Alternative - Commodity"/>
    <s v="USD_COMD_LC_1"/>
    <s v="Alternative - Commodity"/>
    <s v="OK"/>
    <x v="2"/>
    <s v="Price Level"/>
    <x v="2"/>
    <x v="2"/>
    <x v="139"/>
  </r>
  <r>
    <x v="56"/>
    <s v="EU Deforestation Regulation                                 "/>
    <n v="2105"/>
    <s v="The EUDR comes into effect despite challenges, forcing a shift in the European commodity markets. The lack of anticipation and preparation across markets causes asset price shocks to ripple through the supply chain, impacting dependent equity sectors and global producers."/>
    <x v="441"/>
    <s v="Soybeans CBOT 1"/>
    <s v="Alternative - Commodity"/>
    <s v="USD_COMD_S_1"/>
    <s v="Alternative - Commodity"/>
    <s v="OK"/>
    <x v="2"/>
    <s v="Price Level"/>
    <x v="2"/>
    <x v="2"/>
    <x v="148"/>
  </r>
  <r>
    <x v="56"/>
    <s v="EU Deforestation Regulation                                 "/>
    <n v="2105"/>
    <s v="The EUDR comes into effect despite challenges, forcing a shift in the European commodity markets. The lack of anticipation and preparation across markets causes asset price shocks to ripple through the supply chain, impacting dependent equity sectors and global producers."/>
    <x v="343"/>
    <s v="USD Palm Oil 1"/>
    <s v="Commodity"/>
    <s v="USD_COMD_CP_1"/>
    <s v="Commodity"/>
    <s v="OK"/>
    <x v="51"/>
    <s v="Industry Return"/>
    <x v="2"/>
    <x v="2"/>
    <x v="148"/>
  </r>
  <r>
    <x v="56"/>
    <s v="EU Deforestation Regulation                                 "/>
    <n v="2105"/>
    <s v="The EUDR comes into effect despite challenges, forcing a shift in the European commodity markets. The lack of anticipation and preparation across markets causes asset price shocks to ripple through the supply chain, impacting dependent equity sectors and global producers."/>
    <x v="442"/>
    <s v="Containers &amp; Packaging"/>
    <s v="Materials"/>
    <s v="FMI_EMEA_MATPAK"/>
    <e v="#N/A"/>
    <s v="OK"/>
    <x v="7"/>
    <s v="Industry Return"/>
    <x v="4"/>
    <x v="1"/>
    <x v="147"/>
  </r>
  <r>
    <x v="56"/>
    <s v="EU Deforestation Regulation                                 "/>
    <n v="2105"/>
    <s v="The EUDR comes into effect despite challenges, forcing a shift in the European commodity markets. The lack of anticipation and preparation across markets causes asset price shocks to ripple through the supply chain, impacting dependent equity sectors and global producers."/>
    <x v="443"/>
    <s v="Food Household &amp; Personal Prod"/>
    <e v="#N/A"/>
    <s v="FMI_EMEA_CSTFOODHH"/>
    <e v="#N/A"/>
    <s v="BOTH #N/A"/>
    <x v="57"/>
    <s v="Spread Yield"/>
    <x v="14"/>
    <x v="4"/>
    <x v="116"/>
  </r>
  <r>
    <x v="56"/>
    <s v="EU Deforestation Regulation                                 "/>
    <n v="2105"/>
    <s v="The EUDR comes into effect despite challenges, forcing a shift in the European commodity markets. The lack of anticipation and preparation across markets causes asset price shocks to ripple through the supply chain, impacting dependent equity sectors and global producers."/>
    <x v="444"/>
    <s v="Brazil"/>
    <s v="Emerging Markets"/>
    <s v="USD_EM_DS_BRAZIL"/>
    <s v="Spread Emerging Markets - Country"/>
    <s v="OK"/>
    <x v="29"/>
    <s v="Spread Yield"/>
    <x v="5"/>
    <x v="4"/>
    <x v="145"/>
  </r>
  <r>
    <x v="56"/>
    <s v="EU Deforestation Regulation                                 "/>
    <n v="2105"/>
    <s v="The EUDR comes into effect despite challenges, forcing a shift in the European commodity markets. The lack of anticipation and preparation across markets causes asset price shocks to ripple through the supply chain, impacting dependent equity sectors and global producers."/>
    <x v="445"/>
    <s v="Indonesia"/>
    <s v="Emerging Markets"/>
    <s v="USD_EM_DS_INDONESIA"/>
    <s v="Spread Emerging Markets - Country"/>
    <s v="OK"/>
    <x v="29"/>
    <s v="Yield"/>
    <x v="5"/>
    <x v="4"/>
    <x v="135"/>
  </r>
  <r>
    <x v="56"/>
    <s v="EU Deforestation Regulation                                 "/>
    <n v="2105"/>
    <s v="The EUDR comes into effect despite challenges, forcing a shift in the European commodity markets. The lack of anticipation and preparation across markets causes asset price shocks to ripple through the supply chain, impacting dependent equity sectors and global producers."/>
    <x v="446"/>
    <s v="Paper &amp; Forest Products"/>
    <s v="Materials"/>
    <s v="Products"/>
    <e v="#N/A"/>
    <s v="OK"/>
    <x v="7"/>
    <s v="Yield"/>
    <x v="4"/>
    <x v="1"/>
    <x v="125"/>
  </r>
  <r>
    <x v="57"/>
    <s v="European Bank Woes - Regional Divergence                    "/>
    <n v="2504"/>
    <s v="Large-scale fiscal expansion and Fed rate hikes provides a favorable environment for US financials. Europe is a mirror image with political risks rising and a poor growth outlook"/>
    <x v="447"/>
    <s v="Tsy 10Y"/>
    <s v="Govt USD"/>
    <s v="USD_10yr"/>
    <s v="Govt USD"/>
    <s v="OK"/>
    <x v="0"/>
    <s v="Spread Yield"/>
    <x v="0"/>
    <x v="0"/>
    <x v="145"/>
  </r>
  <r>
    <x v="57"/>
    <s v="European Bank Woes - Regional Divergence                    "/>
    <n v="2504"/>
    <s v="Large-scale fiscal expansion and Fed rate hikes provides a favorable environment for US financials. Europe is a mirror image with political risks rising and a poor growth outlook"/>
    <x v="149"/>
    <s v="USD INF 10Y"/>
    <s v="USD Inflation"/>
    <s v="USD_INF_10yr"/>
    <s v="USD Inflation"/>
    <s v="OK"/>
    <x v="8"/>
    <s v="Spread Yield"/>
    <x v="6"/>
    <x v="2"/>
    <x v="132"/>
  </r>
  <r>
    <x v="57"/>
    <s v="European Bank Woes - Regional Divergence                    "/>
    <n v="2504"/>
    <s v="Large-scale fiscal expansion and Fed rate hikes provides a favorable environment for US financials. Europe is a mirror image with political risks rising and a poor growth outlook"/>
    <x v="448"/>
    <s v="US Banking IG"/>
    <s v="Corporate IG USD - Industry"/>
    <s v="USD_BANKBROK_IG3"/>
    <s v="Corporate IG USD - Industry"/>
    <s v="OK"/>
    <x v="37"/>
    <s v="Yield"/>
    <x v="5"/>
    <x v="4"/>
    <x v="105"/>
  </r>
  <r>
    <x v="57"/>
    <s v="European Bank Woes - Regional Divergence                    "/>
    <n v="2504"/>
    <s v="Large-scale fiscal expansion and Fed rate hikes provides a favorable environment for US financials. Europe is a mirror image with political risks rising and a poor growth outlook"/>
    <x v="449"/>
    <s v="US Cash Bonds HY"/>
    <e v="#N/A"/>
    <s v="USD_LEH_HY3"/>
    <e v="#N/A"/>
    <s v="BOTH #N/A"/>
    <x v="26"/>
    <s v="Corporate IG USD - Other"/>
    <x v="5"/>
    <x v="4"/>
    <x v="137"/>
  </r>
  <r>
    <x v="57"/>
    <s v="European Bank Woes - Regional Divergence                    "/>
    <n v="2504"/>
    <s v="Large-scale fiscal expansion and Fed rate hikes provides a favorable environment for US financials. Europe is a mirror image with political risks rising and a poor growth outlook"/>
    <x v="450"/>
    <s v="DEM 10Y"/>
    <s v="Govt EUR (Ger)"/>
    <s v="EUR_10yr"/>
    <s v="Govt EUR (Ger)"/>
    <s v="OK"/>
    <x v="9"/>
    <s v="FX"/>
    <x v="0"/>
    <x v="0"/>
    <x v="164"/>
  </r>
  <r>
    <x v="57"/>
    <s v="European Bank Woes - Regional Divergence                    "/>
    <n v="2504"/>
    <s v="Large-scale fiscal expansion and Fed rate hikes provides a favorable environment for US financials. Europe is a mirror image with political risks rising and a poor growth outlook"/>
    <x v="451"/>
    <s v="ITL 10Y"/>
    <s v="Spread Govt ITA"/>
    <s v="ITL_10yr"/>
    <s v="Spread Govt ITA"/>
    <s v="OK"/>
    <x v="30"/>
    <s v="Yield"/>
    <x v="11"/>
    <x v="0"/>
    <x v="118"/>
  </r>
  <r>
    <x v="57"/>
    <s v="European Bank Woes - Regional Divergence                    "/>
    <n v="2504"/>
    <s v="Large-scale fiscal expansion and Fed rate hikes provides a favorable environment for US financials. Europe is a mirror image with political risks rising and a poor growth outlook"/>
    <x v="452"/>
    <s v="EUR/USD"/>
    <s v="EUR"/>
    <s v="EUR_FX_USD"/>
    <s v="EUR"/>
    <s v="OK"/>
    <x v="13"/>
    <s v="Index Level"/>
    <x v="3"/>
    <x v="3"/>
    <x v="122"/>
  </r>
  <r>
    <x v="57"/>
    <s v="European Bank Woes - Regional Divergence                    "/>
    <n v="2504"/>
    <s v="Large-scale fiscal expansion and Fed rate hikes provides a favorable environment for US financials. Europe is a mirror image with political risks rising and a poor growth outlook"/>
    <x v="453"/>
    <s v="EUR INF 10Y"/>
    <s v="EUR Inflation"/>
    <s v="EUR_INF_10yr"/>
    <s v="EUR Inflation"/>
    <s v="OK"/>
    <x v="48"/>
    <s v="Index Level"/>
    <x v="6"/>
    <x v="2"/>
    <x v="145"/>
  </r>
  <r>
    <x v="57"/>
    <s v="European Bank Woes - Regional Divergence                    "/>
    <n v="2504"/>
    <s v="Large-scale fiscal expansion and Fed rate hikes provides a favorable environment for US financials. Europe is a mirror image with political risks rising and a poor growth outlook"/>
    <x v="454"/>
    <s v="S&amp;P 500"/>
    <s v="Equity Implied Volatility"/>
    <s v="SPX"/>
    <s v="Equity Implied Volatility"/>
    <s v="OK"/>
    <x v="1"/>
    <s v="Index Level"/>
    <x v="1"/>
    <x v="1"/>
    <x v="141"/>
  </r>
  <r>
    <x v="57"/>
    <s v="European Bank Woes - Regional Divergence                    "/>
    <n v="2504"/>
    <s v="Large-scale fiscal expansion and Fed rate hikes provides a favorable environment for US financials. Europe is a mirror image with political risks rising and a poor growth outlook"/>
    <x v="455"/>
    <s v="VIX"/>
    <s v="Equity Implied Volatility"/>
    <s v="VIX"/>
    <s v="Equity Implied Volatility"/>
    <s v="OK"/>
    <x v="1"/>
    <s v="Spread Yield"/>
    <x v="1"/>
    <x v="1"/>
    <x v="171"/>
  </r>
  <r>
    <x v="57"/>
    <s v="European Bank Woes - Regional Divergence                    "/>
    <n v="2504"/>
    <s v="Large-scale fiscal expansion and Fed rate hikes provides a favorable environment for US financials. Europe is a mirror image with political risks rising and a poor growth outlook"/>
    <x v="456"/>
    <s v="MSCI EUROPE(EUR)"/>
    <s v="Equity Implied Volatility"/>
    <s v="MXEU"/>
    <s v="Equity Implied Volatility"/>
    <s v="OK"/>
    <x v="1"/>
    <s v="Yield"/>
    <x v="1"/>
    <x v="1"/>
    <x v="122"/>
  </r>
  <r>
    <x v="57"/>
    <s v="European Bank Woes - Regional Divergence                    "/>
    <n v="2504"/>
    <s v="Large-scale fiscal expansion and Fed rate hikes provides a favorable environment for US financials. Europe is a mirror image with political risks rising and a poor growth outlook"/>
    <x v="457"/>
    <s v="EU Banking IG"/>
    <s v="Corporate IG EUR - Industry"/>
    <s v="EUR_BANKBROK_IG_V3"/>
    <s v="Corporate IG EUR - Industry"/>
    <s v="OK"/>
    <x v="58"/>
    <s v="Yield"/>
    <x v="5"/>
    <x v="4"/>
    <x v="140"/>
  </r>
  <r>
    <x v="57"/>
    <s v="European Bank Woes - Regional Divergence                    "/>
    <n v="2504"/>
    <s v="Large-scale fiscal expansion and Fed rate hikes provides a favorable environment for US financials. Europe is a mirror image with political risks rising and a poor growth outlook"/>
    <x v="458"/>
    <s v="DEPO 3m"/>
    <s v="Other - KRD"/>
    <s v="USD_DEPO_3m"/>
    <s v="Other - KRD"/>
    <s v="OK"/>
    <x v="59"/>
    <s v="Yield"/>
    <x v="7"/>
    <x v="2"/>
    <x v="134"/>
  </r>
  <r>
    <x v="57"/>
    <s v="European Bank Woes - Regional Divergence                    "/>
    <n v="2504"/>
    <s v="Large-scale fiscal expansion and Fed rate hikes provides a favorable environment for US financials. Europe is a mirror image with political risks rising and a poor growth outlook"/>
    <x v="459"/>
    <s v="CP A1P1 3m"/>
    <s v="Other - KRD"/>
    <s v="USD_CP_A1P1_3m"/>
    <s v="Other - KRD"/>
    <s v="OK"/>
    <x v="59"/>
    <s v="Index Level"/>
    <x v="7"/>
    <x v="2"/>
    <x v="134"/>
  </r>
  <r>
    <x v="57"/>
    <s v="European Bank Woes - Regional Divergence                    "/>
    <n v="2504"/>
    <s v="Large-scale fiscal expansion and Fed rate hikes provides a favorable environment for US financials. Europe is a mirror image with political risks rising and a poor growth outlook"/>
    <x v="460"/>
    <s v="DEM 30Y"/>
    <s v="Govt EUR (Ger)"/>
    <s v="30Y"/>
    <e v="#N/A"/>
    <s v="OK"/>
    <x v="9"/>
    <s v="Index Level"/>
    <x v="0"/>
    <x v="0"/>
    <x v="132"/>
  </r>
  <r>
    <x v="57"/>
    <s v="European Bank Woes - Regional Divergence                    "/>
    <n v="2504"/>
    <s v="Large-scale fiscal expansion and Fed rate hikes provides a favorable environment for US financials. Europe is a mirror image with political risks rising and a poor growth outlook"/>
    <x v="461"/>
    <s v="MXEU FINANCIALS(EUR)"/>
    <s v="Equity Implied Volatility"/>
    <s v="FINANCIALSEUR"/>
    <e v="#N/A"/>
    <s v="OK"/>
    <x v="1"/>
    <s v="Yield"/>
    <x v="1"/>
    <x v="1"/>
    <x v="106"/>
  </r>
  <r>
    <x v="57"/>
    <s v="European Bank Woes - Regional Divergence                    "/>
    <n v="2504"/>
    <s v="Large-scale fiscal expansion and Fed rate hikes provides a favorable environment for US financials. Europe is a mirror image with political risks rising and a poor growth outlook"/>
    <x v="462"/>
    <s v="S&amp;P 500 Financials"/>
    <s v="Equity Implied Volatility"/>
    <s v="Financials"/>
    <e v="#N/A"/>
    <s v="OK"/>
    <x v="1"/>
    <s v="Spread Yield"/>
    <x v="1"/>
    <x v="1"/>
    <x v="125"/>
  </r>
  <r>
    <x v="57"/>
    <s v="European Bank Woes - Regional Divergence                    "/>
    <n v="2504"/>
    <s v="Large-scale fiscal expansion and Fed rate hikes provides a favorable environment for US financials. Europe is a mirror image with political risks rising and a poor growth outlook"/>
    <x v="463"/>
    <s v="Tsy 30Y"/>
    <s v="Govt USD"/>
    <s v="30Y"/>
    <e v="#N/A"/>
    <s v="OK"/>
    <x v="0"/>
    <s v="FX"/>
    <x v="0"/>
    <x v="0"/>
    <x v="135"/>
  </r>
  <r>
    <x v="58"/>
    <s v="European Bank Woes - Struggle Continues for EU Banks        "/>
    <n v="2505"/>
    <s v="European banks continue to struggle due to profitability concerns. Regional political uncertainty also undermines investor confidence in the industry"/>
    <x v="450"/>
    <s v="DEM 10Y"/>
    <s v="Govt EUR (Ger)"/>
    <s v="EUR_10yr"/>
    <s v="Govt EUR (Ger)"/>
    <s v="OK"/>
    <x v="9"/>
    <s v="Index Level"/>
    <x v="0"/>
    <x v="0"/>
    <x v="164"/>
  </r>
  <r>
    <x v="58"/>
    <s v="European Bank Woes - Struggle Continues for EU Banks        "/>
    <n v="2505"/>
    <s v="European banks continue to struggle due to profitability concerns. Regional political uncertainty also undermines investor confidence in the industry"/>
    <x v="451"/>
    <s v="ITL 10Y"/>
    <s v="Spread Govt ITA"/>
    <s v="ITL_10yr"/>
    <s v="Spread Govt ITA"/>
    <s v="OK"/>
    <x v="30"/>
    <s v="Index Level"/>
    <x v="11"/>
    <x v="0"/>
    <x v="118"/>
  </r>
  <r>
    <x v="58"/>
    <s v="European Bank Woes - Struggle Continues for EU Banks        "/>
    <n v="2505"/>
    <s v="European banks continue to struggle due to profitability concerns. Regional political uncertainty also undermines investor confidence in the industry"/>
    <x v="452"/>
    <s v="EUR/USD"/>
    <s v="EUR"/>
    <s v="EUR_FX_USD"/>
    <s v="EUR"/>
    <s v="OK"/>
    <x v="13"/>
    <s v="Index Level"/>
    <x v="3"/>
    <x v="3"/>
    <x v="122"/>
  </r>
  <r>
    <x v="58"/>
    <s v="European Bank Woes - Struggle Continues for EU Banks        "/>
    <n v="2505"/>
    <s v="European banks continue to struggle due to profitability concerns. Regional political uncertainty also undermines investor confidence in the industry"/>
    <x v="227"/>
    <s v="VIX"/>
    <s v="Equity Implied Volatility"/>
    <s v="VIX"/>
    <s v="Equity Implied Volatility"/>
    <s v="OK"/>
    <x v="1"/>
    <s v="Spread Yield"/>
    <x v="1"/>
    <x v="1"/>
    <x v="148"/>
  </r>
  <r>
    <x v="58"/>
    <s v="European Bank Woes - Struggle Continues for EU Banks        "/>
    <n v="2505"/>
    <s v="European banks continue to struggle due to profitability concerns. Regional political uncertainty also undermines investor confidence in the industry"/>
    <x v="464"/>
    <s v="VSTOXX Implied Vol"/>
    <s v="Equity Implied Volatility"/>
    <s v="VSTOXX"/>
    <s v="Equity Implied Volatility"/>
    <s v="OK"/>
    <x v="1"/>
    <s v="Industry Return"/>
    <x v="1"/>
    <x v="1"/>
    <x v="172"/>
  </r>
  <r>
    <x v="58"/>
    <s v="European Bank Woes - Struggle Continues for EU Banks        "/>
    <n v="2505"/>
    <s v="European banks continue to struggle due to profitability concerns. Regional political uncertainty also undermines investor confidence in the industry"/>
    <x v="465"/>
    <s v="MSCI World Net TR"/>
    <s v="Equity Implied Volatility"/>
    <s v="MSCIWLDNET"/>
    <s v="Equity Implied Volatility"/>
    <s v="OK"/>
    <x v="1"/>
    <s v="Index Level"/>
    <x v="1"/>
    <x v="1"/>
    <x v="171"/>
  </r>
  <r>
    <x v="58"/>
    <s v="European Bank Woes - Struggle Continues for EU Banks        "/>
    <n v="2505"/>
    <s v="European banks continue to struggle due to profitability concerns. Regional political uncertainty also undermines investor confidence in the industry"/>
    <x v="457"/>
    <s v="EU Banking IG"/>
    <s v="Corporate IG EUR - Industry"/>
    <s v="EUR_BANKBROK_IG_V3"/>
    <s v="Corporate IG EUR - Industry"/>
    <s v="OK"/>
    <x v="58"/>
    <s v="Yield"/>
    <x v="5"/>
    <x v="4"/>
    <x v="140"/>
  </r>
  <r>
    <x v="58"/>
    <s v="European Bank Woes - Struggle Continues for EU Banks        "/>
    <n v="2505"/>
    <s v="European banks continue to struggle due to profitability concerns. Regional political uncertainty also undermines investor confidence in the industry"/>
    <x v="466"/>
    <s v="Regional Banks"/>
    <e v="#N/A"/>
    <s v="FMI_EMEA_FINREG"/>
    <e v="#N/A"/>
    <s v="BOTH #N/A"/>
    <x v="35"/>
    <s v="Financials"/>
    <x v="4"/>
    <x v="1"/>
    <x v="173"/>
  </r>
  <r>
    <x v="58"/>
    <s v="European Bank Woes - Struggle Continues for EU Banks        "/>
    <n v="2505"/>
    <s v="European banks continue to struggle due to profitability concerns. Regional political uncertainty also undermines investor confidence in the industry"/>
    <x v="467"/>
    <s v="MSCI EUROPE(EUR)"/>
    <s v="Equity Implied Volatility"/>
    <s v="EUROPEEUR"/>
    <e v="#N/A"/>
    <s v="OK"/>
    <x v="1"/>
    <s v="Spread Yield"/>
    <x v="1"/>
    <x v="1"/>
    <x v="122"/>
  </r>
  <r>
    <x v="59"/>
    <s v="European Bank Woes - Bargains on EU Banks                   "/>
    <n v="2506"/>
    <s v="European banks boosted by attractive valuations, improving economic growth, subsiding political risk, and stable balance sheets"/>
    <x v="468"/>
    <s v="DEM 2Y"/>
    <s v="Govt EUR (Ger)"/>
    <s v="EUR_2yr"/>
    <s v="Govt EUR (Ger)"/>
    <s v="OK"/>
    <x v="9"/>
    <s v="FX"/>
    <x v="0"/>
    <x v="0"/>
    <x v="127"/>
  </r>
  <r>
    <x v="59"/>
    <s v="European Bank Woes - Bargains on EU Banks                   "/>
    <n v="2506"/>
    <s v="European banks boosted by attractive valuations, improving economic growth, subsiding political risk, and stable balance sheets"/>
    <x v="469"/>
    <s v="DEM 10Y"/>
    <s v="Govt EUR (Ger)"/>
    <s v="EUR_10yr"/>
    <s v="Govt EUR (Ger)"/>
    <s v="OK"/>
    <x v="9"/>
    <s v="Yield"/>
    <x v="0"/>
    <x v="0"/>
    <x v="138"/>
  </r>
  <r>
    <x v="59"/>
    <s v="European Bank Woes - Bargains on EU Banks                   "/>
    <n v="2506"/>
    <s v="European banks boosted by attractive valuations, improving economic growth, subsiding political risk, and stable balance sheets"/>
    <x v="470"/>
    <s v="ITL 10Y"/>
    <s v="Spread Govt ITA"/>
    <s v="ITL_10yr"/>
    <s v="Spread Govt ITA"/>
    <s v="OK"/>
    <x v="30"/>
    <s v="Index Level"/>
    <x v="11"/>
    <x v="0"/>
    <x v="137"/>
  </r>
  <r>
    <x v="59"/>
    <s v="European Bank Woes - Bargains on EU Banks                   "/>
    <n v="2506"/>
    <s v="European banks boosted by attractive valuations, improving economic growth, subsiding political risk, and stable balance sheets"/>
    <x v="471"/>
    <s v="EUR/USD"/>
    <s v="EUR"/>
    <s v="EUR_FX_USD"/>
    <s v="EUR"/>
    <s v="OK"/>
    <x v="13"/>
    <s v="Spread Yield"/>
    <x v="3"/>
    <x v="3"/>
    <x v="174"/>
  </r>
  <r>
    <x v="59"/>
    <s v="European Bank Woes - Bargains on EU Banks                   "/>
    <n v="2506"/>
    <s v="European banks boosted by attractive valuations, improving economic growth, subsiding political risk, and stable balance sheets"/>
    <x v="472"/>
    <s v="EUR INF 10Y"/>
    <s v="EUR Inflation"/>
    <s v="EUR_INF_10yr"/>
    <s v="EUR Inflation"/>
    <s v="OK"/>
    <x v="48"/>
    <s v="Yield"/>
    <x v="6"/>
    <x v="2"/>
    <x v="132"/>
  </r>
  <r>
    <x v="59"/>
    <s v="European Bank Woes - Bargains on EU Banks                   "/>
    <n v="2506"/>
    <s v="European banks boosted by attractive valuations, improving economic growth, subsiding political risk, and stable balance sheets"/>
    <x v="473"/>
    <s v="MSCI EUROPE(EUR)"/>
    <s v="Equity Implied Volatility"/>
    <s v="MXEU"/>
    <s v="Equity Implied Volatility"/>
    <s v="OK"/>
    <x v="1"/>
    <s v="Yield"/>
    <x v="1"/>
    <x v="1"/>
    <x v="161"/>
  </r>
  <r>
    <x v="59"/>
    <s v="European Bank Woes - Bargains on EU Banks                   "/>
    <n v="2506"/>
    <s v="European banks boosted by attractive valuations, improving economic growth, subsiding political risk, and stable balance sheets"/>
    <x v="474"/>
    <s v="EU Banking IG"/>
    <s v="Corporate IG EUR - Industry"/>
    <s v="EUR_BANKBROK_IG_V3"/>
    <s v="Corporate IG EUR - Industry"/>
    <s v="OK"/>
    <x v="58"/>
    <s v="Yield"/>
    <x v="5"/>
    <x v="4"/>
    <x v="105"/>
  </r>
  <r>
    <x v="59"/>
    <s v="European Bank Woes - Bargains on EU Banks                   "/>
    <n v="2506"/>
    <s v="European banks boosted by attractive valuations, improving economic growth, subsiding political risk, and stable balance sheets"/>
    <x v="475"/>
    <s v="OIS 3m"/>
    <s v="Govt USD"/>
    <s v="USD_OIS_3m"/>
    <s v="Govt USD"/>
    <s v="OK"/>
    <x v="0"/>
    <s v="Index Level"/>
    <x v="0"/>
    <x v="0"/>
    <x v="127"/>
  </r>
  <r>
    <x v="59"/>
    <s v="European Bank Woes - Bargains on EU Banks                   "/>
    <n v="2506"/>
    <s v="European banks boosted by attractive valuations, improving economic growth, subsiding political risk, and stable balance sheets"/>
    <x v="476"/>
    <s v="DEPO 3m"/>
    <s v="Other - KRD"/>
    <s v="USD_DEPO_3m"/>
    <s v="Other - KRD"/>
    <s v="OK"/>
    <x v="59"/>
    <s v="Price Level"/>
    <x v="7"/>
    <x v="2"/>
    <x v="175"/>
  </r>
  <r>
    <x v="59"/>
    <s v="European Bank Woes - Bargains on EU Banks                   "/>
    <n v="2506"/>
    <s v="European banks boosted by attractive valuations, improving economic growth, subsiding political risk, and stable balance sheets"/>
    <x v="477"/>
    <s v="CP A1P1 3m"/>
    <s v="Other - KRD"/>
    <s v="USD_CP_A1P1_3m"/>
    <s v="Other - KRD"/>
    <s v="OK"/>
    <x v="59"/>
    <s v="Spread Yield"/>
    <x v="7"/>
    <x v="2"/>
    <x v="175"/>
  </r>
  <r>
    <x v="59"/>
    <s v="European Bank Woes - Bargains on EU Banks                   "/>
    <n v="2506"/>
    <s v="European banks boosted by attractive valuations, improving economic growth, subsiding political risk, and stable balance sheets"/>
    <x v="478"/>
    <s v="MXEU FINANCIALS(EUR)"/>
    <s v="Equity Implied Volatility"/>
    <s v="FINANCIALSEUR"/>
    <e v="#N/A"/>
    <s v="OK"/>
    <x v="1"/>
    <s v="Yield"/>
    <x v="1"/>
    <x v="1"/>
    <x v="148"/>
  </r>
  <r>
    <x v="60"/>
    <s v="Europe Fragmentation - Italian Populism Threatens the Eurozo"/>
    <n v="2413"/>
    <s v="The Italian left-right coalition government implements fiscal policies inconsistent with EU membership."/>
    <x v="479"/>
    <s v="Gold COMEX 1"/>
    <s v="Alternative - Commodity"/>
    <s v="USD_COMD_GC_1"/>
    <s v="Alternative - Commodity"/>
    <s v="OK"/>
    <x v="2"/>
    <s v="Spread Yield"/>
    <x v="2"/>
    <x v="2"/>
    <x v="126"/>
  </r>
  <r>
    <x v="60"/>
    <s v="Europe Fragmentation - Italian Populism Threatens the Eurozo"/>
    <n v="2413"/>
    <s v="The Italian left-right coalition government implements fiscal policies inconsistent with EU membership."/>
    <x v="480"/>
    <s v="US Cash Bonds IG"/>
    <s v="Corporate IG USD - Other"/>
    <s v="USD_LEH_CREDIT3"/>
    <s v="Corporate IG USD - Other"/>
    <s v="OK"/>
    <x v="26"/>
    <s v="Corporate IG USD - Other"/>
    <x v="5"/>
    <x v="4"/>
    <x v="140"/>
  </r>
  <r>
    <x v="60"/>
    <s v="Europe Fragmentation - Italian Populism Threatens the Eurozo"/>
    <n v="2413"/>
    <s v="The Italian left-right coalition government implements fiscal policies inconsistent with EU membership."/>
    <x v="481"/>
    <s v="DEM 10Y"/>
    <s v="Govt EUR (Ger)"/>
    <s v="EUR_10yr"/>
    <s v="Govt EUR (Ger)"/>
    <s v="OK"/>
    <x v="9"/>
    <s v="Index Level"/>
    <x v="0"/>
    <x v="0"/>
    <x v="176"/>
  </r>
  <r>
    <x v="60"/>
    <s v="Europe Fragmentation - Italian Populism Threatens the Eurozo"/>
    <n v="2413"/>
    <s v="The Italian left-right coalition government implements fiscal policies inconsistent with EU membership."/>
    <x v="482"/>
    <s v="ITL 10Y"/>
    <s v="Spread Govt ITA"/>
    <s v="ITL_10yr"/>
    <s v="Spread Govt ITA"/>
    <s v="OK"/>
    <x v="30"/>
    <s v="Spread Yield"/>
    <x v="11"/>
    <x v="0"/>
    <x v="177"/>
  </r>
  <r>
    <x v="60"/>
    <s v="Europe Fragmentation - Italian Populism Threatens the Eurozo"/>
    <n v="2413"/>
    <s v="The Italian left-right coalition government implements fiscal policies inconsistent with EU membership."/>
    <x v="483"/>
    <s v="EUR/USD"/>
    <s v="EUR"/>
    <s v="EUR_FX_USD"/>
    <s v="EUR"/>
    <s v="OK"/>
    <x v="13"/>
    <s v="Spread Yield"/>
    <x v="3"/>
    <x v="3"/>
    <x v="106"/>
  </r>
  <r>
    <x v="60"/>
    <s v="Europe Fragmentation - Italian Populism Threatens the Eurozo"/>
    <n v="2413"/>
    <s v="The Italian left-right coalition government implements fiscal policies inconsistent with EU membership."/>
    <x v="134"/>
    <s v="MSCI EUROPE(EUR)"/>
    <s v="Equity Implied Volatility"/>
    <s v="MXEU"/>
    <s v="Equity Implied Volatility"/>
    <s v="OK"/>
    <x v="1"/>
    <s v="Spread Yield"/>
    <x v="1"/>
    <x v="1"/>
    <x v="106"/>
  </r>
  <r>
    <x v="60"/>
    <s v="Europe Fragmentation - Italian Populism Threatens the Eurozo"/>
    <n v="2413"/>
    <s v="The Italian left-right coalition government implements fiscal policies inconsistent with EU membership."/>
    <x v="484"/>
    <s v="EU Credit IG"/>
    <s v="Corporate IG EUR - Other"/>
    <s v="EUR_LEH_CREDIT"/>
    <s v="Corporate IG EUR - Other"/>
    <s v="OK"/>
    <x v="45"/>
    <s v="Index Level"/>
    <x v="5"/>
    <x v="4"/>
    <x v="109"/>
  </r>
  <r>
    <x v="60"/>
    <s v="Europe Fragmentation - Italian Populism Threatens the Eurozo"/>
    <n v="2413"/>
    <s v="The Italian left-right coalition government implements fiscal policies inconsistent with EU membership."/>
    <x v="485"/>
    <s v="EU Corp Italy"/>
    <s v="Corporate IG EUR - Country"/>
    <s v="Italy"/>
    <e v="#N/A"/>
    <s v="OK"/>
    <x v="60"/>
    <s v="Index Level"/>
    <x v="5"/>
    <x v="4"/>
    <x v="178"/>
  </r>
  <r>
    <x v="60"/>
    <s v="Europe Fragmentation - Italian Populism Threatens the Eurozo"/>
    <n v="2413"/>
    <s v="The Italian left-right coalition government implements fiscal policies inconsistent with EU membership."/>
    <x v="486"/>
    <s v="ITL 2Y"/>
    <s v="Spread Govt ITA"/>
    <s v="2Y"/>
    <e v="#N/A"/>
    <s v="OK"/>
    <x v="30"/>
    <s v="Price Level"/>
    <x v="11"/>
    <x v="0"/>
    <x v="178"/>
  </r>
  <r>
    <x v="60"/>
    <s v="Europe Fragmentation - Italian Populism Threatens the Eurozo"/>
    <n v="2413"/>
    <s v="The Italian left-right coalition government implements fiscal policies inconsistent with EU membership."/>
    <x v="461"/>
    <s v="MXEU FINANCIALS(EUR)"/>
    <s v="Equity Implied Volatility"/>
    <s v="FINANCIALSEUR"/>
    <e v="#N/A"/>
    <s v="OK"/>
    <x v="1"/>
    <s v="Spread Yield"/>
    <x v="1"/>
    <x v="1"/>
    <x v="106"/>
  </r>
  <r>
    <x v="60"/>
    <s v="Europe Fragmentation - Italian Populism Threatens the Eurozo"/>
    <n v="2413"/>
    <s v="The Italian left-right coalition government implements fiscal policies inconsistent with EU membership."/>
    <x v="487"/>
    <s v="Italy S&amp;P MIB"/>
    <s v="Equity Implied Volatility"/>
    <s v="MIB"/>
    <e v="#N/A"/>
    <s v="OK"/>
    <x v="1"/>
    <s v="Yield"/>
    <x v="1"/>
    <x v="1"/>
    <x v="106"/>
  </r>
  <r>
    <x v="61"/>
    <s v="Europe Fragmentation - Eurozone Breakup                     "/>
    <n v="2414"/>
    <s v="The Italian left-right coalition government implements fiscal policies inconsistent with EU membership. The EU is unwilling to address the economic woes of less competitive EU nations."/>
    <x v="488"/>
    <s v="Gold COMEX 1"/>
    <s v="Alternative - Commodity"/>
    <s v="USD_COMD_GC_1"/>
    <s v="Alternative - Commodity"/>
    <s v="OK"/>
    <x v="2"/>
    <s v="Spread Yield"/>
    <x v="2"/>
    <x v="2"/>
    <x v="179"/>
  </r>
  <r>
    <x v="61"/>
    <s v="Europe Fragmentation - Eurozone Breakup                     "/>
    <n v="2414"/>
    <s v="The Italian left-right coalition government implements fiscal policies inconsistent with EU membership. The EU is unwilling to address the economic woes of less competitive EU nations."/>
    <x v="489"/>
    <s v="US Cash Bonds IG"/>
    <s v="Corporate IG USD - Other"/>
    <s v="USD_LEH_CREDIT3"/>
    <s v="Corporate IG USD - Other"/>
    <s v="OK"/>
    <x v="26"/>
    <s v="Corporate IG USD - Other"/>
    <x v="5"/>
    <x v="4"/>
    <x v="108"/>
  </r>
  <r>
    <x v="61"/>
    <s v="Europe Fragmentation - Eurozone Breakup                     "/>
    <n v="2414"/>
    <s v="The Italian left-right coalition government implements fiscal policies inconsistent with EU membership. The EU is unwilling to address the economic woes of less competitive EU nations."/>
    <x v="490"/>
    <s v="DEM 10Y"/>
    <s v="Govt EUR (Ger)"/>
    <s v="EUR_10yr"/>
    <s v="Govt EUR (Ger)"/>
    <s v="OK"/>
    <x v="9"/>
    <s v="Spread Yield"/>
    <x v="0"/>
    <x v="0"/>
    <x v="154"/>
  </r>
  <r>
    <x v="61"/>
    <s v="Europe Fragmentation - Eurozone Breakup                     "/>
    <n v="2414"/>
    <s v="The Italian left-right coalition government implements fiscal policies inconsistent with EU membership. The EU is unwilling to address the economic woes of less competitive EU nations."/>
    <x v="491"/>
    <s v="FRF 10Y"/>
    <s v="Spread Govt Quasi-Core EUR"/>
    <s v="FRF_10yr"/>
    <s v="Spread Govt Quasi-Core EUR"/>
    <s v="OK"/>
    <x v="61"/>
    <s v="FX"/>
    <x v="11"/>
    <x v="0"/>
    <x v="180"/>
  </r>
  <r>
    <x v="61"/>
    <s v="Europe Fragmentation - Eurozone Breakup                     "/>
    <n v="2414"/>
    <s v="The Italian left-right coalition government implements fiscal policies inconsistent with EU membership. The EU is unwilling to address the economic woes of less competitive EU nations."/>
    <x v="492"/>
    <s v="ITL 2Y"/>
    <s v="Spread Govt ITA"/>
    <s v="ITL_2yr"/>
    <s v="Spread Govt ITA"/>
    <s v="OK"/>
    <x v="30"/>
    <s v="FX"/>
    <x v="11"/>
    <x v="0"/>
    <x v="181"/>
  </r>
  <r>
    <x v="61"/>
    <s v="Europe Fragmentation - Eurozone Breakup                     "/>
    <n v="2414"/>
    <s v="The Italian left-right coalition government implements fiscal policies inconsistent with EU membership. The EU is unwilling to address the economic woes of less competitive EU nations."/>
    <x v="493"/>
    <s v="ITL 10Y"/>
    <s v="Spread Govt ITA"/>
    <s v="ITL_10yr"/>
    <s v="Spread Govt ITA"/>
    <s v="OK"/>
    <x v="30"/>
    <s v="Index Level"/>
    <x v="11"/>
    <x v="0"/>
    <x v="182"/>
  </r>
  <r>
    <x v="61"/>
    <s v="Europe Fragmentation - Eurozone Breakup                     "/>
    <n v="2414"/>
    <s v="The Italian left-right coalition government implements fiscal policies inconsistent with EU membership. The EU is unwilling to address the economic woes of less competitive EU nations."/>
    <x v="494"/>
    <s v="EUR/USD"/>
    <s v="EUR"/>
    <s v="EUR_FX_USD"/>
    <s v="EUR"/>
    <s v="OK"/>
    <x v="13"/>
    <s v="Index Level"/>
    <x v="3"/>
    <x v="3"/>
    <x v="142"/>
  </r>
  <r>
    <x v="61"/>
    <s v="Europe Fragmentation - Eurozone Breakup                     "/>
    <n v="2414"/>
    <s v="The Italian left-right coalition government implements fiscal policies inconsistent with EU membership. The EU is unwilling to address the economic woes of less competitive EU nations."/>
    <x v="495"/>
    <s v="JPY/USD"/>
    <s v="JPY"/>
    <s v="JPY_FX_USD"/>
    <s v="JPY"/>
    <s v="OK"/>
    <x v="11"/>
    <s v="Spread Yield"/>
    <x v="3"/>
    <x v="3"/>
    <x v="166"/>
  </r>
  <r>
    <x v="61"/>
    <s v="Europe Fragmentation - Eurozone Breakup                     "/>
    <n v="2414"/>
    <s v="The Italian left-right coalition government implements fiscal policies inconsistent with EU membership. The EU is unwilling to address the economic woes of less competitive EU nations."/>
    <x v="496"/>
    <s v="VIX"/>
    <s v="Equity Implied Volatility"/>
    <s v="VIX"/>
    <s v="Equity Implied Volatility"/>
    <s v="OK"/>
    <x v="1"/>
    <s v="Spread Yield"/>
    <x v="1"/>
    <x v="1"/>
    <x v="183"/>
  </r>
  <r>
    <x v="61"/>
    <s v="Europe Fragmentation - Eurozone Breakup                     "/>
    <n v="2414"/>
    <s v="The Italian left-right coalition government implements fiscal policies inconsistent with EU membership. The EU is unwilling to address the economic woes of less competitive EU nations."/>
    <x v="497"/>
    <s v="MSCI EUROPE(EUR)"/>
    <s v="Equity Implied Volatility"/>
    <s v="MXEU"/>
    <s v="Equity Implied Volatility"/>
    <s v="OK"/>
    <x v="1"/>
    <s v="Index Level"/>
    <x v="1"/>
    <x v="1"/>
    <x v="184"/>
  </r>
  <r>
    <x v="61"/>
    <s v="Europe Fragmentation - Eurozone Breakup                     "/>
    <n v="2414"/>
    <s v="The Italian left-right coalition government implements fiscal policies inconsistent with EU membership. The EU is unwilling to address the economic woes of less competitive EU nations."/>
    <x v="498"/>
    <s v="EU Credit IG"/>
    <s v="Corporate IG EUR - Other"/>
    <s v="EUR_LEH_CREDIT"/>
    <s v="Corporate IG EUR - Other"/>
    <s v="OK"/>
    <x v="45"/>
    <s v="Index Level"/>
    <x v="5"/>
    <x v="4"/>
    <x v="185"/>
  </r>
  <r>
    <x v="61"/>
    <s v="Europe Fragmentation - Eurozone Breakup                     "/>
    <n v="2414"/>
    <s v="The Italian left-right coalition government implements fiscal policies inconsistent with EU membership. The EU is unwilling to address the economic woes of less competitive EU nations."/>
    <x v="485"/>
    <s v="EU Corp Italy"/>
    <s v="Corporate IG EUR - Country"/>
    <s v="Italy"/>
    <e v="#N/A"/>
    <s v="OK"/>
    <x v="60"/>
    <s v="Yield"/>
    <x v="5"/>
    <x v="4"/>
    <x v="178"/>
  </r>
  <r>
    <x v="61"/>
    <s v="Europe Fragmentation - Eurozone Breakup                     "/>
    <n v="2414"/>
    <s v="The Italian left-right coalition government implements fiscal policies inconsistent with EU membership. The EU is unwilling to address the economic woes of less competitive EU nations."/>
    <x v="499"/>
    <s v="MXEU FINANCIALS(EUR)"/>
    <s v="Equity Implied Volatility"/>
    <s v="FINANCIALSEUR"/>
    <e v="#N/A"/>
    <s v="OK"/>
    <x v="1"/>
    <s v="Yield"/>
    <x v="1"/>
    <x v="1"/>
    <x v="142"/>
  </r>
  <r>
    <x v="61"/>
    <s v="Europe Fragmentation - Eurozone Breakup                     "/>
    <n v="2414"/>
    <s v="The Italian left-right coalition government implements fiscal policies inconsistent with EU membership. The EU is unwilling to address the economic woes of less competitive EU nations."/>
    <x v="500"/>
    <s v="Italy S&amp;P MIB"/>
    <s v="Equity Implied Volatility"/>
    <s v="MIB"/>
    <e v="#N/A"/>
    <s v="OK"/>
    <x v="1"/>
    <s v="Spread Yield"/>
    <x v="1"/>
    <x v="1"/>
    <x v="142"/>
  </r>
  <r>
    <x v="62"/>
    <s v="Europe Fragmentation - Meaningful Policy Change             "/>
    <n v="2415"/>
    <s v="A growing band of EU countries pressures the European core to reconsider their fiscal responsibility."/>
    <x v="501"/>
    <s v="DEM 2Y"/>
    <s v="Govt EUR (Ger)"/>
    <s v="EUR_2yr"/>
    <s v="Govt EUR (Ger)"/>
    <s v="OK"/>
    <x v="9"/>
    <s v="FX"/>
    <x v="0"/>
    <x v="0"/>
    <x v="186"/>
  </r>
  <r>
    <x v="62"/>
    <s v="Europe Fragmentation - Meaningful Policy Change             "/>
    <n v="2415"/>
    <s v="A growing band of EU countries pressures the European core to reconsider their fiscal responsibility."/>
    <x v="502"/>
    <s v="DEM 10Y"/>
    <s v="Govt EUR (Ger)"/>
    <s v="EUR_10yr"/>
    <s v="Govt EUR (Ger)"/>
    <s v="OK"/>
    <x v="9"/>
    <s v="Index Level"/>
    <x v="0"/>
    <x v="0"/>
    <x v="145"/>
  </r>
  <r>
    <x v="62"/>
    <s v="Europe Fragmentation - Meaningful Policy Change             "/>
    <n v="2415"/>
    <s v="A growing band of EU countries pressures the European core to reconsider their fiscal responsibility."/>
    <x v="503"/>
    <s v="ITL 10Y"/>
    <s v="Spread Govt ITA"/>
    <s v="ITL_10yr"/>
    <s v="Spread Govt ITA"/>
    <s v="OK"/>
    <x v="30"/>
    <s v="Spread Yield"/>
    <x v="11"/>
    <x v="0"/>
    <x v="154"/>
  </r>
  <r>
    <x v="62"/>
    <s v="Europe Fragmentation - Meaningful Policy Change             "/>
    <n v="2415"/>
    <s v="A growing band of EU countries pressures the European core to reconsider their fiscal responsibility."/>
    <x v="504"/>
    <s v="EUR/USD"/>
    <s v="EUR"/>
    <s v="EUR_FX_USD"/>
    <s v="EUR"/>
    <s v="OK"/>
    <x v="13"/>
    <s v="Spread Yield"/>
    <x v="3"/>
    <x v="3"/>
    <x v="141"/>
  </r>
  <r>
    <x v="62"/>
    <s v="Europe Fragmentation - Meaningful Policy Change             "/>
    <n v="2415"/>
    <s v="A growing band of EU countries pressures the European core to reconsider their fiscal responsibility."/>
    <x v="505"/>
    <s v="MSCI EUROPE(EUR)"/>
    <s v="Equity Implied Volatility"/>
    <s v="MXEU"/>
    <s v="Equity Implied Volatility"/>
    <s v="OK"/>
    <x v="1"/>
    <s v="Index Level"/>
    <x v="1"/>
    <x v="1"/>
    <x v="125"/>
  </r>
  <r>
    <x v="62"/>
    <s v="Europe Fragmentation - Meaningful Policy Change             "/>
    <n v="2415"/>
    <s v="A growing band of EU countries pressures the European core to reconsider their fiscal responsibility."/>
    <x v="268"/>
    <s v="EU Credit IG"/>
    <s v="Corporate IG EUR - Other"/>
    <s v="EUR_LEH_CREDIT"/>
    <s v="Corporate IG EUR - Other"/>
    <s v="OK"/>
    <x v="45"/>
    <s v="Index Level"/>
    <x v="5"/>
    <x v="4"/>
    <x v="137"/>
  </r>
  <r>
    <x v="62"/>
    <s v="Europe Fragmentation - Meaningful Policy Change             "/>
    <n v="2415"/>
    <s v="A growing band of EU countries pressures the European core to reconsider their fiscal responsibility."/>
    <x v="506"/>
    <s v="ITL 2Y"/>
    <s v="Spread Govt ITA"/>
    <s v="2Y"/>
    <e v="#N/A"/>
    <s v="OK"/>
    <x v="30"/>
    <s v="Price Level"/>
    <x v="11"/>
    <x v="0"/>
    <x v="132"/>
  </r>
  <r>
    <x v="62"/>
    <s v="Europe Fragmentation - Meaningful Policy Change             "/>
    <n v="2415"/>
    <s v="A growing band of EU countries pressures the European core to reconsider their fiscal responsibility."/>
    <x v="507"/>
    <s v="MXEU FINANCIALS(EUR)"/>
    <s v="Equity Implied Volatility"/>
    <s v="FINANCIALSEUR"/>
    <e v="#N/A"/>
    <s v="OK"/>
    <x v="1"/>
    <s v="Yield"/>
    <x v="1"/>
    <x v="1"/>
    <x v="125"/>
  </r>
  <r>
    <x v="62"/>
    <s v="Europe Fragmentation - Meaningful Policy Change             "/>
    <n v="2415"/>
    <s v="A growing band of EU countries pressures the European core to reconsider their fiscal responsibility."/>
    <x v="508"/>
    <s v="Italy S&amp;P MIB"/>
    <s v="Equity Implied Volatility"/>
    <s v="MIB"/>
    <e v="#N/A"/>
    <s v="OK"/>
    <x v="1"/>
    <s v="Spread Yield"/>
    <x v="1"/>
    <x v="1"/>
    <x v="125"/>
  </r>
  <r>
    <x v="63"/>
    <s v="Eurozone Populist Elections - EU Cohesion as Populism Falls "/>
    <n v="2513"/>
    <s v="confidence in the cohesion of the Eurozone grows, as populist parties disappoint in the elections"/>
    <x v="509"/>
    <s v="Gold COMEX 1"/>
    <s v="Alternative - Commodity"/>
    <s v="USD_COMD_GC_1"/>
    <s v="Alternative - Commodity"/>
    <s v="OK"/>
    <x v="2"/>
    <s v="FX"/>
    <x v="2"/>
    <x v="2"/>
    <x v="129"/>
  </r>
  <r>
    <x v="63"/>
    <s v="Eurozone Populist Elections - EU Cohesion as Populism Falls "/>
    <n v="2513"/>
    <s v="confidence in the cohesion of the Eurozone grows, as populist parties disappoint in the elections"/>
    <x v="510"/>
    <s v="DEM 10Y"/>
    <s v="Govt EUR (Ger)"/>
    <s v="EUR_10yr"/>
    <s v="Govt EUR (Ger)"/>
    <s v="OK"/>
    <x v="9"/>
    <s v="Yield"/>
    <x v="0"/>
    <x v="0"/>
    <x v="118"/>
  </r>
  <r>
    <x v="63"/>
    <s v="Eurozone Populist Elections - EU Cohesion as Populism Falls "/>
    <n v="2513"/>
    <s v="confidence in the cohesion of the Eurozone grows, as populist parties disappoint in the elections"/>
    <x v="511"/>
    <s v="FRF 10Y"/>
    <s v="Spread Govt Quasi-Core EUR"/>
    <s v="FRF_10yr"/>
    <s v="Spread Govt Quasi-Core EUR"/>
    <s v="OK"/>
    <x v="61"/>
    <s v="Index Level"/>
    <x v="11"/>
    <x v="0"/>
    <x v="137"/>
  </r>
  <r>
    <x v="63"/>
    <s v="Eurozone Populist Elections - EU Cohesion as Populism Falls "/>
    <n v="2513"/>
    <s v="confidence in the cohesion of the Eurozone grows, as populist parties disappoint in the elections"/>
    <x v="512"/>
    <s v="EUR/USD"/>
    <s v="EUR"/>
    <s v="EUR_FX_USD"/>
    <s v="EUR"/>
    <s v="OK"/>
    <x v="13"/>
    <s v="Index Level"/>
    <x v="3"/>
    <x v="3"/>
    <x v="125"/>
  </r>
  <r>
    <x v="63"/>
    <s v="Eurozone Populist Elections - EU Cohesion as Populism Falls "/>
    <n v="2513"/>
    <s v="confidence in the cohesion of the Eurozone grows, as populist parties disappoint in the elections"/>
    <x v="472"/>
    <s v="EUR INF 10Y"/>
    <s v="EUR Inflation"/>
    <s v="EUR_INF_10yr"/>
    <s v="EUR Inflation"/>
    <s v="OK"/>
    <x v="48"/>
    <s v="Index Level"/>
    <x v="6"/>
    <x v="2"/>
    <x v="132"/>
  </r>
  <r>
    <x v="63"/>
    <s v="Eurozone Populist Elections - EU Cohesion as Populism Falls "/>
    <n v="2513"/>
    <s v="confidence in the cohesion of the Eurozone grows, as populist parties disappoint in the elections"/>
    <x v="513"/>
    <s v="S&amp;P 500"/>
    <s v="Equity Implied Volatility"/>
    <s v="SPX"/>
    <s v="Equity Implied Volatility"/>
    <s v="OK"/>
    <x v="1"/>
    <s v="Spread Yield"/>
    <x v="1"/>
    <x v="1"/>
    <x v="110"/>
  </r>
  <r>
    <x v="63"/>
    <s v="Eurozone Populist Elections - EU Cohesion as Populism Falls "/>
    <n v="2513"/>
    <s v="confidence in the cohesion of the Eurozone grows, as populist parties disappoint in the elections"/>
    <x v="514"/>
    <s v="MSCI EUROPE(EUR)"/>
    <s v="Equity Implied Volatility"/>
    <s v="MXEU"/>
    <s v="Equity Implied Volatility"/>
    <s v="OK"/>
    <x v="1"/>
    <s v="Spread Yield"/>
    <x v="1"/>
    <x v="1"/>
    <x v="139"/>
  </r>
  <r>
    <x v="63"/>
    <s v="Eurozone Populist Elections - EU Cohesion as Populism Falls "/>
    <n v="2513"/>
    <s v="confidence in the cohesion of the Eurozone grows, as populist parties disappoint in the elections"/>
    <x v="515"/>
    <s v="VSTOXX Implied Vol"/>
    <s v="Equity Implied Volatility"/>
    <s v="VSTOXX"/>
    <s v="Equity Implied Volatility"/>
    <s v="OK"/>
    <x v="1"/>
    <s v="Spread Yield"/>
    <x v="1"/>
    <x v="1"/>
    <x v="106"/>
  </r>
  <r>
    <x v="63"/>
    <s v="Eurozone Populist Elections - EU Cohesion as Populism Falls "/>
    <n v="2513"/>
    <s v="confidence in the cohesion of the Eurozone grows, as populist parties disappoint in the elections"/>
    <x v="516"/>
    <s v="EU Credit IG"/>
    <s v="Corporate IG EUR - Other"/>
    <s v="EUR_LEH_CREDIT"/>
    <s v="Corporate IG EUR - Other"/>
    <s v="OK"/>
    <x v="45"/>
    <s v="Index Level"/>
    <x v="5"/>
    <x v="4"/>
    <x v="164"/>
  </r>
  <r>
    <x v="63"/>
    <s v="Eurozone Populist Elections - EU Cohesion as Populism Falls "/>
    <n v="2513"/>
    <s v="confidence in the cohesion of the Eurozone grows, as populist parties disappoint in the elections"/>
    <x v="517"/>
    <s v="EUR DEPO Sprd 3m"/>
    <s v="Money Market"/>
    <s v="EUR_DEPO_Sprd_3m"/>
    <s v="Money Market"/>
    <s v="OK"/>
    <x v="56"/>
    <s v="Price Level"/>
    <x v="7"/>
    <x v="2"/>
    <x v="127"/>
  </r>
  <r>
    <x v="63"/>
    <s v="Eurozone Populist Elections - EU Cohesion as Populism Falls "/>
    <n v="2513"/>
    <s v="confidence in the cohesion of the Eurozone grows, as populist parties disappoint in the elections"/>
    <x v="518"/>
    <s v="EUR CP A1P1 Sprd 3m"/>
    <s v="Money Market"/>
    <s v="EUR_CP_A1P1_Sprd_3m"/>
    <s v="Money Market"/>
    <s v="OK"/>
    <x v="56"/>
    <s v="Yield"/>
    <x v="7"/>
    <x v="2"/>
    <x v="127"/>
  </r>
  <r>
    <x v="63"/>
    <s v="Eurozone Populist Elections - EU Cohesion as Populism Falls "/>
    <n v="2513"/>
    <s v="confidence in the cohesion of the Eurozone grows, as populist parties disappoint in the elections"/>
    <x v="519"/>
    <s v="MXEU FINANCIALS(EUR)"/>
    <s v="Equity Implied Volatility"/>
    <s v="FINANCIALSEUR"/>
    <e v="#N/A"/>
    <s v="OK"/>
    <x v="1"/>
    <s v="Spread Yield"/>
    <x v="1"/>
    <x v="1"/>
    <x v="139"/>
  </r>
  <r>
    <x v="64"/>
    <s v="Eurozone Populist Elections - Populism Soars in Elections   "/>
    <n v="2514"/>
    <s v="populism gains much more than expected, and moderate politicians are forced to adopt more populist positions to maintain voter share"/>
    <x v="104"/>
    <s v="Gold COMEX 1"/>
    <s v="Alternative - Commodity"/>
    <s v="USD_COMD_GC_1"/>
    <s v="Alternative - Commodity"/>
    <s v="OK"/>
    <x v="2"/>
    <s v="FX"/>
    <x v="2"/>
    <x v="2"/>
    <x v="148"/>
  </r>
  <r>
    <x v="64"/>
    <s v="Eurozone Populist Elections - Populism Soars in Elections   "/>
    <n v="2514"/>
    <s v="populism gains much more than expected, and moderate politicians are forced to adopt more populist positions to maintain voter share"/>
    <x v="105"/>
    <s v="DEM 10Y"/>
    <s v="Govt EUR (Ger)"/>
    <s v="EUR_10yr"/>
    <s v="Govt EUR (Ger)"/>
    <s v="OK"/>
    <x v="9"/>
    <s v="Yield"/>
    <x v="0"/>
    <x v="0"/>
    <x v="105"/>
  </r>
  <r>
    <x v="64"/>
    <s v="Eurozone Populist Elections - Populism Soars in Elections   "/>
    <n v="2514"/>
    <s v="populism gains much more than expected, and moderate politicians are forced to adopt more populist positions to maintain voter share"/>
    <x v="520"/>
    <s v="FRF 10Y"/>
    <s v="Spread Govt Quasi-Core EUR"/>
    <s v="FRF_10yr"/>
    <s v="Spread Govt Quasi-Core EUR"/>
    <s v="OK"/>
    <x v="61"/>
    <s v="Index Level"/>
    <x v="11"/>
    <x v="0"/>
    <x v="108"/>
  </r>
  <r>
    <x v="64"/>
    <s v="Eurozone Populist Elections - Populism Soars in Elections   "/>
    <n v="2514"/>
    <s v="populism gains much more than expected, and moderate politicians are forced to adopt more populist positions to maintain voter share"/>
    <x v="521"/>
    <s v="EUR/USD"/>
    <s v="EUR"/>
    <s v="EUR_FX_USD"/>
    <s v="EUR"/>
    <s v="OK"/>
    <x v="13"/>
    <s v="Index Level"/>
    <x v="3"/>
    <x v="3"/>
    <x v="113"/>
  </r>
  <r>
    <x v="64"/>
    <s v="Eurozone Populist Elections - Populism Soars in Elections   "/>
    <n v="2514"/>
    <s v="populism gains much more than expected, and moderate politicians are forced to adopt more populist positions to maintain voter share"/>
    <x v="522"/>
    <s v="EUR INF 10Y"/>
    <s v="EUR Inflation"/>
    <s v="EUR_INF_10yr"/>
    <s v="EUR Inflation"/>
    <s v="OK"/>
    <x v="48"/>
    <s v="Spread Yield"/>
    <x v="6"/>
    <x v="2"/>
    <x v="140"/>
  </r>
  <r>
    <x v="64"/>
    <s v="Eurozone Populist Elections - Populism Soars in Elections   "/>
    <n v="2514"/>
    <s v="populism gains much more than expected, and moderate politicians are forced to adopt more populist positions to maintain voter share"/>
    <x v="456"/>
    <s v="MSCI EUROPE(EUR)"/>
    <s v="Equity Implied Volatility"/>
    <s v="MXEU"/>
    <s v="Equity Implied Volatility"/>
    <s v="OK"/>
    <x v="1"/>
    <s v="Yield"/>
    <x v="1"/>
    <x v="1"/>
    <x v="122"/>
  </r>
  <r>
    <x v="64"/>
    <s v="Eurozone Populist Elections - Populism Soars in Elections   "/>
    <n v="2514"/>
    <s v="populism gains much more than expected, and moderate politicians are forced to adopt more populist positions to maintain voter share"/>
    <x v="464"/>
    <s v="VSTOXX Implied Vol"/>
    <s v="Equity Implied Volatility"/>
    <s v="VSTOXX"/>
    <s v="Equity Implied Volatility"/>
    <s v="OK"/>
    <x v="1"/>
    <s v="Index Level"/>
    <x v="1"/>
    <x v="1"/>
    <x v="172"/>
  </r>
  <r>
    <x v="64"/>
    <s v="Eurozone Populist Elections - Populism Soars in Elections   "/>
    <n v="2514"/>
    <s v="populism gains much more than expected, and moderate politicians are forced to adopt more populist positions to maintain voter share"/>
    <x v="523"/>
    <s v="EU Credit IG"/>
    <s v="Corporate IG EUR - Other"/>
    <s v="EUR_LEH_CREDIT"/>
    <s v="Corporate IG EUR - Other"/>
    <s v="OK"/>
    <x v="45"/>
    <s v="Index Level"/>
    <x v="5"/>
    <x v="4"/>
    <x v="145"/>
  </r>
  <r>
    <x v="64"/>
    <s v="Eurozone Populist Elections - Populism Soars in Elections   "/>
    <n v="2514"/>
    <s v="populism gains much more than expected, and moderate politicians are forced to adopt more populist positions to maintain voter share"/>
    <x v="524"/>
    <s v="EUR OIS 3m"/>
    <s v="Govt EUR (Ger)"/>
    <s v="EUR_OIS_3m"/>
    <s v="Govt EUR (Ger)"/>
    <s v="OK"/>
    <x v="9"/>
    <s v="Price Level"/>
    <x v="0"/>
    <x v="0"/>
    <x v="175"/>
  </r>
  <r>
    <x v="64"/>
    <s v="Eurozone Populist Elections - Populism Soars in Elections   "/>
    <n v="2514"/>
    <s v="populism gains much more than expected, and moderate politicians are forced to adopt more populist positions to maintain voter share"/>
    <x v="525"/>
    <s v="MXEU FINANCIALS(EUR)"/>
    <s v="Equity Implied Volatility"/>
    <s v="FINANCIALSEUR"/>
    <e v="#N/A"/>
    <s v="OK"/>
    <x v="1"/>
    <s v="Yield"/>
    <x v="1"/>
    <x v="1"/>
    <x v="121"/>
  </r>
  <r>
    <x v="64"/>
    <s v="Eurozone Populist Elections - Populism Soars in Elections   "/>
    <n v="2514"/>
    <s v="populism gains much more than expected, and moderate politicians are forced to adopt more populist positions to maintain voter share"/>
    <x v="526"/>
    <s v="MXEU FINANCIALS(EUR)"/>
    <s v="Equity Implied Volatility"/>
    <s v="INDUSTRIALSEUR"/>
    <e v="#N/A"/>
    <s v="OK"/>
    <x v="1"/>
    <s v="Spread Yield"/>
    <x v="1"/>
    <x v="1"/>
    <x v="112"/>
  </r>
  <r>
    <x v="65"/>
    <s v="Eurozone Populist Elections - Eurozone Break-up             "/>
    <n v="2515"/>
    <s v="a tail-risk scenario where anti-EU politicians sweep to victory across Europe, raising serious concerns about the future of the Eurozone"/>
    <x v="527"/>
    <s v="Gold COMEX 1"/>
    <s v="Alternative - Commodity"/>
    <s v="USD_COMD_GC_1"/>
    <s v="Alternative - Commodity"/>
    <s v="OK"/>
    <x v="2"/>
    <s v="FX"/>
    <x v="2"/>
    <x v="2"/>
    <x v="187"/>
  </r>
  <r>
    <x v="65"/>
    <s v="Eurozone Populist Elections - Eurozone Break-up             "/>
    <n v="2515"/>
    <s v="a tail-risk scenario where anti-EU politicians sweep to victory across Europe, raising serious concerns about the future of the Eurozone"/>
    <x v="481"/>
    <s v="DEM 10Y"/>
    <s v="Govt EUR (Ger)"/>
    <s v="EUR_10yr"/>
    <s v="Govt EUR (Ger)"/>
    <s v="OK"/>
    <x v="9"/>
    <s v="Yield"/>
    <x v="0"/>
    <x v="0"/>
    <x v="176"/>
  </r>
  <r>
    <x v="65"/>
    <s v="Eurozone Populist Elections - Eurozone Break-up             "/>
    <n v="2515"/>
    <s v="a tail-risk scenario where anti-EU politicians sweep to victory across Europe, raising serious concerns about the future of the Eurozone"/>
    <x v="528"/>
    <s v="FRF 10Y"/>
    <s v="Spread Govt Quasi-Core EUR"/>
    <s v="FRF_10yr"/>
    <s v="Spread Govt Quasi-Core EUR"/>
    <s v="OK"/>
    <x v="61"/>
    <s v="Index Level"/>
    <x v="11"/>
    <x v="0"/>
    <x v="188"/>
  </r>
  <r>
    <x v="65"/>
    <s v="Eurozone Populist Elections - Eurozone Break-up             "/>
    <n v="2515"/>
    <s v="a tail-risk scenario where anti-EU politicians sweep to victory across Europe, raising serious concerns about the future of the Eurozone"/>
    <x v="529"/>
    <s v="EUR/USD"/>
    <s v="EUR"/>
    <s v="EUR_FX_USD"/>
    <s v="EUR"/>
    <s v="OK"/>
    <x v="13"/>
    <s v="Index Level"/>
    <x v="3"/>
    <x v="3"/>
    <x v="128"/>
  </r>
  <r>
    <x v="65"/>
    <s v="Eurozone Populist Elections - Eurozone Break-up             "/>
    <n v="2515"/>
    <s v="a tail-risk scenario where anti-EU politicians sweep to victory across Europe, raising serious concerns about the future of the Eurozone"/>
    <x v="530"/>
    <s v="EUR INF 10Y"/>
    <s v="EUR Inflation"/>
    <s v="EUR_INF_10yr"/>
    <s v="EUR Inflation"/>
    <s v="OK"/>
    <x v="48"/>
    <s v="Spread Yield"/>
    <x v="6"/>
    <x v="2"/>
    <x v="108"/>
  </r>
  <r>
    <x v="65"/>
    <s v="Eurozone Populist Elections - Eurozone Break-up             "/>
    <n v="2515"/>
    <s v="a tail-risk scenario where anti-EU politicians sweep to victory across Europe, raising serious concerns about the future of the Eurozone"/>
    <x v="531"/>
    <s v="MSCI EUROPE(EUR)"/>
    <s v="Equity Implied Volatility"/>
    <s v="MXEU"/>
    <s v="Equity Implied Volatility"/>
    <s v="OK"/>
    <x v="1"/>
    <s v="Style Return"/>
    <x v="1"/>
    <x v="1"/>
    <x v="142"/>
  </r>
  <r>
    <x v="65"/>
    <s v="Eurozone Populist Elections - Eurozone Break-up             "/>
    <n v="2515"/>
    <s v="a tail-risk scenario where anti-EU politicians sweep to victory across Europe, raising serious concerns about the future of the Eurozone"/>
    <x v="532"/>
    <s v="VSTOXX Implied Vol"/>
    <s v="Equity Implied Volatility"/>
    <s v="VSTOXX"/>
    <s v="Equity Implied Volatility"/>
    <s v="OK"/>
    <x v="1"/>
    <s v="Yield"/>
    <x v="1"/>
    <x v="1"/>
    <x v="189"/>
  </r>
  <r>
    <x v="65"/>
    <s v="Eurozone Populist Elections - Eurozone Break-up             "/>
    <n v="2515"/>
    <s v="a tail-risk scenario where anti-EU politicians sweep to victory across Europe, raising serious concerns about the future of the Eurozone"/>
    <x v="533"/>
    <s v="EU Credit IG"/>
    <s v="Corporate IG EUR - Other"/>
    <s v="EUR_LEH_CREDIT"/>
    <s v="Corporate IG EUR - Other"/>
    <s v="OK"/>
    <x v="45"/>
    <s v="Index Level"/>
    <x v="5"/>
    <x v="4"/>
    <x v="190"/>
  </r>
  <r>
    <x v="65"/>
    <s v="Eurozone Populist Elections - Eurozone Break-up             "/>
    <n v="2515"/>
    <s v="a tail-risk scenario where anti-EU politicians sweep to victory across Europe, raising serious concerns about the future of the Eurozone"/>
    <x v="534"/>
    <s v="Momentum"/>
    <s v="Momentum"/>
    <s v="FMI_EMEA_MOMENTUM"/>
    <e v="#N/A"/>
    <s v="OK"/>
    <x v="62"/>
    <s v="Price Level"/>
    <x v="13"/>
    <x v="1"/>
    <x v="154"/>
  </r>
  <r>
    <x v="65"/>
    <s v="Eurozone Populist Elections - Eurozone Break-up             "/>
    <n v="2515"/>
    <s v="a tail-risk scenario where anti-EU politicians sweep to victory across Europe, raising serious concerns about the future of the Eurozone"/>
    <x v="535"/>
    <s v="EUR OIS 3m"/>
    <s v="Govt EUR (Ger)"/>
    <s v="EUR_OIS_3m"/>
    <s v="Govt EUR (Ger)"/>
    <s v="OK"/>
    <x v="9"/>
    <s v="Price Level"/>
    <x v="0"/>
    <x v="0"/>
    <x v="164"/>
  </r>
  <r>
    <x v="65"/>
    <s v="Eurozone Populist Elections - Eurozone Break-up             "/>
    <n v="2515"/>
    <s v="a tail-risk scenario where anti-EU politicians sweep to victory across Europe, raising serious concerns about the future of the Eurozone"/>
    <x v="536"/>
    <s v="MXEU FINANCIALS(EUR)"/>
    <s v="Equity Implied Volatility"/>
    <s v="FINANCIALSEUR"/>
    <e v="#N/A"/>
    <s v="OK"/>
    <x v="1"/>
    <s v="FX"/>
    <x v="1"/>
    <x v="1"/>
    <x v="121"/>
  </r>
  <r>
    <x v="66"/>
    <s v="EU Carbon Policies - EU CBAM Full Support (04/2022)         "/>
    <n v="2472"/>
    <s v="EU CBAM Full Support - Strong support for the EU's Carbon Border Adjustment Mechanism (CBAM) triggers fears of trade challenges on imported carbon-intensive goods"/>
    <x v="537"/>
    <s v="Natural gas NYME 1"/>
    <s v="Alternative - Commodity"/>
    <s v="USD_COMD_NG_1"/>
    <s v="Alternative - Commodity"/>
    <s v="OK"/>
    <x v="2"/>
    <s v="Yield"/>
    <x v="2"/>
    <x v="2"/>
    <x v="172"/>
  </r>
  <r>
    <x v="66"/>
    <s v="EU Carbon Policies - EU CBAM Full Support (04/2022)         "/>
    <n v="2472"/>
    <s v="EU CBAM Full Support - Strong support for the EU's Carbon Border Adjustment Mechanism (CBAM) triggers fears of trade challenges on imported carbon-intensive goods"/>
    <x v="538"/>
    <s v="Carbon Emission ICE EUA 2"/>
    <e v="#N/A"/>
    <s v="EUR_COMD_MO_2"/>
    <e v="#N/A"/>
    <s v="BOTH #N/A"/>
    <x v="2"/>
    <s v="Alternative - Commodity"/>
    <x v="2"/>
    <x v="2"/>
    <x v="179"/>
  </r>
  <r>
    <x v="66"/>
    <s v="EU Carbon Policies - EU CBAM Full Support (04/2022)         "/>
    <n v="2472"/>
    <s v="EU CBAM Full Support - Strong support for the EU's Carbon Border Adjustment Mechanism (CBAM) triggers fears of trade challenges on imported carbon-intensive goods"/>
    <x v="504"/>
    <s v="EUR/USD"/>
    <s v="EUR"/>
    <s v="EUR_FX_USD"/>
    <s v="EUR"/>
    <s v="OK"/>
    <x v="13"/>
    <s v="FX"/>
    <x v="3"/>
    <x v="3"/>
    <x v="141"/>
  </r>
  <r>
    <x v="66"/>
    <s v="EU Carbon Policies - EU CBAM Full Support (04/2022)         "/>
    <n v="2472"/>
    <s v="EU CBAM Full Support - Strong support for the EU's Carbon Border Adjustment Mechanism (CBAM) triggers fears of trade challenges on imported carbon-intensive goods"/>
    <x v="539"/>
    <s v="EUR INF 5Y"/>
    <s v="EUR Inflation"/>
    <s v="EUR_INF_5yr"/>
    <s v="EUR Inflation"/>
    <s v="OK"/>
    <x v="48"/>
    <s v="Industry Return"/>
    <x v="6"/>
    <x v="2"/>
    <x v="105"/>
  </r>
  <r>
    <x v="66"/>
    <s v="EU Carbon Policies - EU CBAM Full Support (04/2022)         "/>
    <n v="2472"/>
    <s v="EU CBAM Full Support - Strong support for the EU's Carbon Border Adjustment Mechanism (CBAM) triggers fears of trade challenges on imported carbon-intensive goods"/>
    <x v="540"/>
    <s v="Turkey ISE Natl 100"/>
    <s v="Equity Implied Volatility"/>
    <s v="XU100"/>
    <s v="Equity Implied Volatility"/>
    <s v="OK"/>
    <x v="1"/>
    <s v="Industry Return"/>
    <x v="1"/>
    <x v="1"/>
    <x v="184"/>
  </r>
  <r>
    <x v="66"/>
    <s v="EU Carbon Policies - EU CBAM Full Support (04/2022)         "/>
    <n v="2472"/>
    <s v="EU CBAM Full Support - Strong support for the EU's Carbon Border Adjustment Mechanism (CBAM) triggers fears of trade challenges on imported carbon-intensive goods"/>
    <x v="122"/>
    <s v="Time"/>
    <e v="#N/A"/>
    <s v="ALL_TIME"/>
    <e v="#N/A"/>
    <s v="BOTH #N/A"/>
    <x v="16"/>
    <s v="Time"/>
    <x v="8"/>
    <x v="2"/>
    <x v="151"/>
  </r>
  <r>
    <x v="66"/>
    <s v="EU Carbon Policies - EU CBAM Full Support (04/2022)         "/>
    <n v="2472"/>
    <s v="EU CBAM Full Support - Strong support for the EU's Carbon Border Adjustment Mechanism (CBAM) triggers fears of trade challenges on imported carbon-intensive goods"/>
    <x v="541"/>
    <s v="Construction Materials"/>
    <s v="Materials"/>
    <s v="FMI_EMEA_MATCONSTM"/>
    <e v="#N/A"/>
    <s v="OK"/>
    <x v="7"/>
    <s v="Industry Return"/>
    <x v="4"/>
    <x v="1"/>
    <x v="139"/>
  </r>
  <r>
    <x v="66"/>
    <s v="EU Carbon Policies - EU CBAM Full Support (04/2022)         "/>
    <n v="2472"/>
    <s v="EU CBAM Full Support - Strong support for the EU's Carbon Border Adjustment Mechanism (CBAM) triggers fears of trade challenges on imported carbon-intensive goods"/>
    <x v="542"/>
    <s v="Steel"/>
    <s v="Materials"/>
    <s v="FMI_EMEA_MATSTEEL"/>
    <e v="#N/A"/>
    <s v="OK"/>
    <x v="7"/>
    <s v="Industry Return"/>
    <x v="4"/>
    <x v="1"/>
    <x v="139"/>
  </r>
  <r>
    <x v="66"/>
    <s v="EU Carbon Policies - EU CBAM Full Support (04/2022)         "/>
    <n v="2472"/>
    <s v="EU CBAM Full Support - Strong support for the EU's Carbon Border Adjustment Mechanism (CBAM) triggers fears of trade challenges on imported carbon-intensive goods"/>
    <x v="543"/>
    <s v="Alum Div Metals  Mining"/>
    <e v="#N/A"/>
    <s v="FMI_EMKT_MATALUDIV"/>
    <e v="#N/A"/>
    <s v="BOTH #N/A"/>
    <x v="57"/>
    <s v="Spread Yield"/>
    <x v="14"/>
    <x v="4"/>
    <x v="114"/>
  </r>
  <r>
    <x v="66"/>
    <s v="EU Carbon Policies - EU CBAM Full Support (04/2022)         "/>
    <n v="2472"/>
    <s v="EU CBAM Full Support - Strong support for the EU's Carbon Border Adjustment Mechanism (CBAM) triggers fears of trade challenges on imported carbon-intensive goods"/>
    <x v="544"/>
    <s v="Construction &amp; Engineering"/>
    <s v="Industrials"/>
    <s v="FMI_EMKT_INDCONENG"/>
    <e v="#N/A"/>
    <s v="OK"/>
    <x v="4"/>
    <s v="Index Level"/>
    <x v="4"/>
    <x v="1"/>
    <x v="116"/>
  </r>
  <r>
    <x v="66"/>
    <s v="EU Carbon Policies - EU CBAM Full Support (04/2022)         "/>
    <n v="2472"/>
    <s v="EU CBAM Full Support - Strong support for the EU's Carbon Border Adjustment Mechanism (CBAM) triggers fears of trade challenges on imported carbon-intensive goods"/>
    <x v="545"/>
    <s v="Utilities"/>
    <s v="Utilities"/>
    <s v="FMI_EMKT_UTLUTIL"/>
    <e v="#N/A"/>
    <s v="OK"/>
    <x v="21"/>
    <s v="Price Level"/>
    <x v="4"/>
    <x v="1"/>
    <x v="191"/>
  </r>
  <r>
    <x v="66"/>
    <s v="EU Carbon Policies - EU CBAM Full Support (04/2022)         "/>
    <n v="2472"/>
    <s v="EU CBAM Full Support - Strong support for the EU's Carbon Border Adjustment Mechanism (CBAM) triggers fears of trade challenges on imported carbon-intensive goods"/>
    <x v="546"/>
    <s v="E Oil and Gas"/>
    <s v="Corporate HY USD - Industry"/>
    <s v="USD_EM_CORP_EE_OGAS"/>
    <s v="Corporate HY USD - Industry"/>
    <s v="OK"/>
    <x v="6"/>
    <s v="Price Level"/>
    <x v="5"/>
    <x v="4"/>
    <x v="130"/>
  </r>
  <r>
    <x v="66"/>
    <s v="EU Carbon Policies - EU CBAM Full Support (04/2022)         "/>
    <n v="2472"/>
    <s v="EU CBAM Full Support - Strong support for the EU's Carbon Border Adjustment Mechanism (CBAM) triggers fears of trade challenges on imported carbon-intensive goods"/>
    <x v="547"/>
    <s v="MS Emerging Mkts"/>
    <s v="Equity Implied Volatility"/>
    <s v="Mkts"/>
    <e v="#N/A"/>
    <s v="OK"/>
    <x v="1"/>
    <s v="Index Level"/>
    <x v="1"/>
    <x v="1"/>
    <x v="192"/>
  </r>
  <r>
    <x v="67"/>
    <s v="EU Carbon Policies - EU ETS Extension (04/2022)             "/>
    <n v="2471"/>
    <s v="EU ETS Extension - An extension of the EU Emission Trading Scheme (ETS) to include buildings, transport and maritime sectors is fully approved, accelerating the sectors' economic climate transition"/>
    <x v="548"/>
    <s v="Nickel LME 2"/>
    <s v="Alternative - Commodity"/>
    <s v="USD_COMD_LN_2"/>
    <s v="Alternative - Commodity"/>
    <s v="OK"/>
    <x v="2"/>
    <s v="Yield"/>
    <x v="2"/>
    <x v="2"/>
    <x v="126"/>
  </r>
  <r>
    <x v="67"/>
    <s v="EU Carbon Policies - EU ETS Extension (04/2022)             "/>
    <n v="2471"/>
    <s v="EU ETS Extension - An extension of the EU Emission Trading Scheme (ETS) to include buildings, transport and maritime sectors is fully approved, accelerating the sectors' economic climate transition"/>
    <x v="549"/>
    <s v="Copper LME 2"/>
    <s v="Alternative - Commodity"/>
    <s v="USD_COMD_LP_2"/>
    <s v="Alternative - Commodity"/>
    <s v="OK"/>
    <x v="2"/>
    <s v="Spread Yield"/>
    <x v="2"/>
    <x v="2"/>
    <x v="107"/>
  </r>
  <r>
    <x v="67"/>
    <s v="EU Carbon Policies - EU ETS Extension (04/2022)             "/>
    <n v="2471"/>
    <s v="EU ETS Extension - An extension of the EU Emission Trading Scheme (ETS) to include buildings, transport and maritime sectors is fully approved, accelerating the sectors' economic climate transition"/>
    <x v="550"/>
    <s v="Carbon Emission ICE EUA 2"/>
    <e v="#N/A"/>
    <s v="EUR_COMD_MO_2"/>
    <e v="#N/A"/>
    <s v="BOTH #N/A"/>
    <x v="2"/>
    <s v="Alternative - Commodity"/>
    <x v="2"/>
    <x v="2"/>
    <x v="172"/>
  </r>
  <r>
    <x v="67"/>
    <s v="EU Carbon Policies - EU ETS Extension (04/2022)             "/>
    <n v="2471"/>
    <s v="EU ETS Extension - An extension of the EU Emission Trading Scheme (ETS) to include buildings, transport and maritime sectors is fully approved, accelerating the sectors' economic climate transition"/>
    <x v="551"/>
    <s v="EUR INF 5Y"/>
    <s v="EUR Inflation"/>
    <s v="EUR_INF_5yr"/>
    <s v="EUR Inflation"/>
    <s v="OK"/>
    <x v="48"/>
    <s v="Industry Return"/>
    <x v="6"/>
    <x v="2"/>
    <x v="132"/>
  </r>
  <r>
    <x v="67"/>
    <s v="EU Carbon Policies - EU ETS Extension (04/2022)             "/>
    <n v="2471"/>
    <s v="EU ETS Extension - An extension of the EU Emission Trading Scheme (ETS) to include buildings, transport and maritime sectors is fully approved, accelerating the sectors' economic climate transition"/>
    <x v="552"/>
    <s v="EU Transport IG"/>
    <s v="Corporate IG EUR - Industry"/>
    <s v="EUR_TRANSPORT_IG_V3_SF"/>
    <s v="Corporate IG EUR - Industry"/>
    <s v="OK"/>
    <x v="58"/>
    <s v="Industry Return"/>
    <x v="5"/>
    <x v="4"/>
    <x v="138"/>
  </r>
  <r>
    <x v="67"/>
    <s v="EU Carbon Policies - EU ETS Extension (04/2022)             "/>
    <n v="2471"/>
    <s v="EU ETS Extension - An extension of the EU Emission Trading Scheme (ETS) to include buildings, transport and maritime sectors is fully approved, accelerating the sectors' economic climate transition"/>
    <x v="122"/>
    <s v="Time"/>
    <e v="#N/A"/>
    <s v="ALL_TIME"/>
    <e v="#N/A"/>
    <s v="BOTH #N/A"/>
    <x v="16"/>
    <s v="Time"/>
    <x v="8"/>
    <x v="2"/>
    <x v="151"/>
  </r>
  <r>
    <x v="67"/>
    <s v="EU Carbon Policies - EU ETS Extension (04/2022)             "/>
    <n v="2471"/>
    <s v="EU ETS Extension - An extension of the EU Emission Trading Scheme (ETS) to include buildings, transport and maritime sectors is fully approved, accelerating the sectors' economic climate transition"/>
    <x v="553"/>
    <s v="Electrical Equipment"/>
    <s v="Industrials"/>
    <s v="FMI_EMEA_INDELECEQ"/>
    <e v="#N/A"/>
    <s v="OK"/>
    <x v="4"/>
    <s v="Industry Return"/>
    <x v="4"/>
    <x v="1"/>
    <x v="146"/>
  </r>
  <r>
    <x v="67"/>
    <s v="EU Carbon Policies - EU ETS Extension (04/2022)             "/>
    <n v="2471"/>
    <s v="EU ETS Extension - An extension of the EU Emission Trading Scheme (ETS) to include buildings, transport and maritime sectors is fully approved, accelerating the sectors' economic climate transition"/>
    <x v="554"/>
    <s v="Airlines"/>
    <e v="#N/A"/>
    <s v="FMI_EMEA_INDAIRLINE"/>
    <e v="#N/A"/>
    <s v="BOTH #N/A"/>
    <x v="4"/>
    <s v="Industrials"/>
    <x v="4"/>
    <x v="1"/>
    <x v="106"/>
  </r>
  <r>
    <x v="67"/>
    <s v="EU Carbon Policies - EU ETS Extension (04/2022)             "/>
    <n v="2471"/>
    <s v="EU ETS Extension - An extension of the EU Emission Trading Scheme (ETS) to include buildings, transport and maritime sectors is fully approved, accelerating the sectors' economic climate transition"/>
    <x v="555"/>
    <s v="Marine"/>
    <e v="#N/A"/>
    <s v="FMI_EMEA_INDMARINE"/>
    <e v="#N/A"/>
    <s v="BOTH #N/A"/>
    <x v="4"/>
    <s v="Industrials"/>
    <x v="4"/>
    <x v="1"/>
    <x v="156"/>
  </r>
  <r>
    <x v="67"/>
    <s v="EU Carbon Policies - EU ETS Extension (04/2022)             "/>
    <n v="2471"/>
    <s v="EU ETS Extension - An extension of the EU Emission Trading Scheme (ETS) to include buildings, transport and maritime sectors is fully approved, accelerating the sectors' economic climate transition"/>
    <x v="556"/>
    <s v="Transportation Infrastructure"/>
    <e v="#N/A"/>
    <s v="FMI_EMEA_INDTRANINF"/>
    <e v="#N/A"/>
    <s v="BOTH #N/A"/>
    <x v="57"/>
    <s v="Spread Yield"/>
    <x v="14"/>
    <x v="4"/>
    <x v="116"/>
  </r>
  <r>
    <x v="67"/>
    <s v="EU Carbon Policies - EU ETS Extension (04/2022)             "/>
    <n v="2471"/>
    <s v="EU ETS Extension - An extension of the EU Emission Trading Scheme (ETS) to include buildings, transport and maritime sectors is fully approved, accelerating the sectors' economic climate transition"/>
    <x v="557"/>
    <s v="Semiconductors  Equipment"/>
    <e v="#N/A"/>
    <s v="FMI_EMEA_ITCSEMICEQ"/>
    <e v="#N/A"/>
    <s v="BOTH #N/A"/>
    <x v="5"/>
    <s v="Information Technology"/>
    <x v="4"/>
    <x v="1"/>
    <x v="107"/>
  </r>
  <r>
    <x v="67"/>
    <s v="EU Carbon Policies - EU ETS Extension (04/2022)             "/>
    <n v="2471"/>
    <s v="EU ETS Extension - An extension of the EU Emission Trading Scheme (ETS) to include buildings, transport and maritime sectors is fully approved, accelerating the sectors' economic climate transition"/>
    <x v="558"/>
    <s v="Energy Equip Oil  Gas Exp"/>
    <e v="#N/A"/>
    <s v="FMI_WRLD_EQYEQEXP"/>
    <s v="Energy"/>
    <s v="OK"/>
    <x v="40"/>
    <s v="Price Level"/>
    <x v="4"/>
    <x v="1"/>
    <x v="116"/>
  </r>
  <r>
    <x v="67"/>
    <s v="EU Carbon Policies - EU ETS Extension (04/2022)             "/>
    <n v="2471"/>
    <s v="EU ETS Extension - An extension of the EU Emission Trading Scheme (ETS) to include buildings, transport and maritime sectors is fully approved, accelerating the sectors' economic climate transition"/>
    <x v="559"/>
    <s v="E Oil and Gas"/>
    <s v="Corporate HY USD - Industry"/>
    <s v="USD_EM_CORP_EE_OGAS"/>
    <s v="Corporate HY USD - Industry"/>
    <s v="OK"/>
    <x v="6"/>
    <s v="FX"/>
    <x v="5"/>
    <x v="4"/>
    <x v="108"/>
  </r>
  <r>
    <x v="68"/>
    <s v="EU Carbon Policies - EU/US Partner on CBAM (04/2022)        "/>
    <n v="2473"/>
    <s v="EU/US Partner on CBAM - An unexpected climate alliance formed between the US and the EU leaves China out, and fears of a trade war escalate"/>
    <x v="560"/>
    <s v="Tsy 10Y"/>
    <s v="Govt USD"/>
    <s v="USD_10yr"/>
    <s v="Govt USD"/>
    <s v="OK"/>
    <x v="0"/>
    <s v="Yield"/>
    <x v="0"/>
    <x v="0"/>
    <x v="164"/>
  </r>
  <r>
    <x v="68"/>
    <s v="EU Carbon Policies - EU/US Partner on CBAM (04/2022)        "/>
    <n v="2473"/>
    <s v="EU/US Partner on CBAM - An unexpected climate alliance formed between the US and the EU leaves China out, and fears of a trade war escalate"/>
    <x v="561"/>
    <s v="Aluminum LME 1"/>
    <s v="Alternative - Commodity"/>
    <s v="USD_COMD_LA_1"/>
    <s v="Alternative - Commodity"/>
    <s v="OK"/>
    <x v="2"/>
    <s v="Index Level"/>
    <x v="2"/>
    <x v="2"/>
    <x v="126"/>
  </r>
  <r>
    <x v="68"/>
    <s v="EU Carbon Policies - EU/US Partner on CBAM (04/2022)        "/>
    <n v="2473"/>
    <s v="EU/US Partner on CBAM - An unexpected climate alliance formed between the US and the EU leaves China out, and fears of a trade war escalate"/>
    <x v="562"/>
    <s v="CNHUSD"/>
    <e v="#N/A"/>
    <s v="CNH_FX_USD"/>
    <s v="Emerging Currency"/>
    <s v="OK"/>
    <x v="3"/>
    <s v="FX"/>
    <x v="3"/>
    <x v="3"/>
    <x v="113"/>
  </r>
  <r>
    <x v="68"/>
    <s v="EU Carbon Policies - EU/US Partner on CBAM (04/2022)        "/>
    <n v="2473"/>
    <s v="EU/US Partner on CBAM - An unexpected climate alliance formed between the US and the EU leaves China out, and fears of a trade war escalate"/>
    <x v="563"/>
    <s v="EUR INF 10Y"/>
    <s v="EUR Inflation"/>
    <s v="EUR_INF_10yr"/>
    <s v="EUR Inflation"/>
    <s v="OK"/>
    <x v="48"/>
    <s v="Industry Return"/>
    <x v="6"/>
    <x v="2"/>
    <x v="193"/>
  </r>
  <r>
    <x v="68"/>
    <s v="EU Carbon Policies - EU/US Partner on CBAM (04/2022)        "/>
    <n v="2473"/>
    <s v="EU/US Partner on CBAM - An unexpected climate alliance formed between the US and the EU leaves China out, and fears of a trade war escalate"/>
    <x v="564"/>
    <s v="VIX"/>
    <s v="Equity Implied Volatility"/>
    <s v="VIX"/>
    <s v="Equity Implied Volatility"/>
    <s v="OK"/>
    <x v="1"/>
    <s v="Index Level"/>
    <x v="1"/>
    <x v="1"/>
    <x v="189"/>
  </r>
  <r>
    <x v="68"/>
    <s v="EU Carbon Policies - EU/US Partner on CBAM (04/2022)        "/>
    <n v="2473"/>
    <s v="EU/US Partner on CBAM - An unexpected climate alliance formed between the US and the EU leaves China out, and fears of a trade war escalate"/>
    <x v="122"/>
    <s v="Time"/>
    <e v="#N/A"/>
    <s v="ALL_TIME"/>
    <e v="#N/A"/>
    <s v="BOTH #N/A"/>
    <x v="16"/>
    <s v="Time"/>
    <x v="8"/>
    <x v="2"/>
    <x v="151"/>
  </r>
  <r>
    <x v="68"/>
    <s v="EU Carbon Policies - EU/US Partner on CBAM (04/2022)        "/>
    <n v="2473"/>
    <s v="EU/US Partner on CBAM - An unexpected climate alliance formed between the US and the EU leaves China out, and fears of a trade war escalate"/>
    <x v="565"/>
    <s v="Chemicals  Industrial Gases"/>
    <e v="#N/A"/>
    <s v="FMI_CHNA_MATCHEMIND"/>
    <e v="#N/A"/>
    <s v="BOTH #N/A"/>
    <x v="7"/>
    <s v="Materials"/>
    <x v="4"/>
    <x v="1"/>
    <x v="121"/>
  </r>
  <r>
    <x v="68"/>
    <s v="EU Carbon Policies - EU/US Partner on CBAM (04/2022)        "/>
    <n v="2473"/>
    <s v="EU/US Partner on CBAM - An unexpected climate alliance formed between the US and the EU leaves China out, and fears of a trade war escalate"/>
    <x v="159"/>
    <s v="MSCI China"/>
    <s v="Other - Index"/>
    <s v="MS_CN_LCL"/>
    <s v="Other - Index"/>
    <s v="OK"/>
    <x v="12"/>
    <s v="Index Level"/>
    <x v="7"/>
    <x v="2"/>
    <x v="142"/>
  </r>
  <r>
    <x v="68"/>
    <s v="EU Carbon Policies - EU/US Partner on CBAM (04/2022)        "/>
    <n v="2473"/>
    <s v="EU/US Partner on CBAM - An unexpected climate alliance formed between the US and the EU leaves China out, and fears of a trade war escalate"/>
    <x v="566"/>
    <s v="MSCI India"/>
    <s v="Other - Index"/>
    <s v="MS_IN"/>
    <s v="Other - Index"/>
    <s v="OK"/>
    <x v="12"/>
    <s v="Index Level"/>
    <x v="7"/>
    <x v="2"/>
    <x v="121"/>
  </r>
  <r>
    <x v="68"/>
    <s v="EU Carbon Policies - EU/US Partner on CBAM (04/2022)        "/>
    <n v="2473"/>
    <s v="EU/US Partner on CBAM - An unexpected climate alliance formed between the US and the EU leaves China out, and fears of a trade war escalate"/>
    <x v="567"/>
    <s v="Automobiles"/>
    <e v="#N/A"/>
    <s v="Components"/>
    <e v="#N/A"/>
    <s v="BOTH #N/A"/>
    <x v="23"/>
    <s v="Consumer Discretionary"/>
    <x v="4"/>
    <x v="1"/>
    <x v="126"/>
  </r>
  <r>
    <x v="68"/>
    <s v="EU Carbon Policies - EU/US Partner on CBAM (04/2022)        "/>
    <n v="2473"/>
    <s v="EU/US Partner on CBAM - An unexpected climate alliance formed between the US and the EU leaves China out, and fears of a trade war escalate"/>
    <x v="568"/>
    <s v="MXEU CONSUM DISC(EUR)"/>
    <s v="Equity Implied Volatility"/>
    <s v="DISCEUR"/>
    <e v="#N/A"/>
    <s v="OK"/>
    <x v="1"/>
    <s v="Index Level"/>
    <x v="1"/>
    <x v="1"/>
    <x v="106"/>
  </r>
  <r>
    <x v="69"/>
    <s v="Fed Tapering '13 - Absolute, May 21 - June 24, 2013         "/>
    <n v="2316"/>
    <s v="Congress Testimony by Bernanke on tapering mortgage purchases caused both equity and bond markets to sell-off. Emerging Markets suffered as expectations of higher US rates caused an unwind in Carry trades. Shocks for DxS Factors are spreads."/>
    <x v="79"/>
    <m/>
    <e v="#N/A"/>
    <s v="-"/>
    <e v="#N/A"/>
    <s v="BOTH #N/A"/>
    <x v="24"/>
    <s v="-"/>
    <x v="10"/>
    <x v="5"/>
    <x v="59"/>
  </r>
  <r>
    <x v="70"/>
    <s v="Fed Tapering '13 - Relative, May 21 - June 24, 2013         "/>
    <n v="2315"/>
    <s v="Congress Testimony by Bernanke on tapering mortgage purchases caused both equity and bond markets to sell-off. Emerging Markets suffered as expectations of higher US rates caused an unwind in Carry trades. Shocks for DxS Factors are percentages of spread."/>
    <x v="79"/>
    <m/>
    <e v="#N/A"/>
    <s v="-"/>
    <e v="#N/A"/>
    <s v="BOTH #N/A"/>
    <x v="24"/>
    <s v="-"/>
    <x v="10"/>
    <x v="5"/>
    <x v="59"/>
  </r>
  <r>
    <x v="71"/>
    <s v="Fed Cuts Rates 50 bps Sep 2025 Scenario                     "/>
    <n v="2111"/>
    <s v="The Fed surprises markets by delivering a 50bp rate cut, beyond the expected 25bp first cut, and signals that another cut may still occur later this year. The Fed is acting proactively easing financial conditions to engineer a soft landing rather than a crisis reaction."/>
    <x v="569"/>
    <s v="Tsy 1Y"/>
    <s v="Govt USD"/>
    <s v="USD_1yr"/>
    <s v="Govt USD"/>
    <s v="OK"/>
    <x v="0"/>
    <s v="Yield  "/>
    <x v="0"/>
    <x v="0"/>
    <x v="176"/>
  </r>
  <r>
    <x v="71"/>
    <s v="Fed Cuts Rates 50 bps Sep 2025 Scenario                     "/>
    <n v="2111"/>
    <s v="The Fed surprises markets by delivering a 50bp rate cut, beyond the expected 25bp first cut, and signals that another cut may still occur later this year. The Fed is acting proactively easing financial conditions to engineer a soft landing rather than a crisis reaction."/>
    <x v="254"/>
    <s v="Tsy 10Y"/>
    <s v="Govt USD"/>
    <s v="USD_10yr"/>
    <s v="Govt USD"/>
    <s v="OK"/>
    <x v="0"/>
    <s v="Yield  "/>
    <x v="0"/>
    <x v="0"/>
    <x v="105"/>
  </r>
  <r>
    <x v="71"/>
    <s v="Fed Cuts Rates 50 bps Sep 2025 Scenario                     "/>
    <n v="2111"/>
    <s v="The Fed surprises markets by delivering a 50bp rate cut, beyond the expected 25bp first cut, and signals that another cut may still occur later this year. The Fed is acting proactively easing financial conditions to engineer a soft landing rather than a crisis reaction."/>
    <x v="570"/>
    <s v="USD INF 1Y"/>
    <s v="USD Inflation"/>
    <s v="USD_INF_1yr"/>
    <s v="USD Inflation"/>
    <s v="OK"/>
    <x v="8"/>
    <s v="Yield  "/>
    <x v="6"/>
    <x v="2"/>
    <x v="108"/>
  </r>
  <r>
    <x v="71"/>
    <s v="Fed Cuts Rates 50 bps Sep 2025 Scenario                     "/>
    <n v="2111"/>
    <s v="The Fed surprises markets by delivering a 50bp rate cut, beyond the expected 25bp first cut, and signals that another cut may still occur later this year. The Fed is acting proactively easing financial conditions to engineer a soft landing rather than a crisis reaction."/>
    <x v="571"/>
    <s v="USD INF 10Y"/>
    <s v="USD Inflation"/>
    <s v="USD_INF_10yr"/>
    <s v="USD Inflation"/>
    <s v="OK"/>
    <x v="8"/>
    <s v="Yield  "/>
    <x v="6"/>
    <x v="2"/>
    <x v="119"/>
  </r>
  <r>
    <x v="71"/>
    <s v="Fed Cuts Rates 50 bps Sep 2025 Scenario                     "/>
    <n v="2111"/>
    <s v="The Fed surprises markets by delivering a 50bp rate cut, beyond the expected 25bp first cut, and signals that another cut may still occur later this year. The Fed is acting proactively easing financial conditions to engineer a soft landing rather than a crisis reaction."/>
    <x v="113"/>
    <s v="Gold COMEX 1"/>
    <s v="Alternative - Commodity"/>
    <s v="USD_COMD_GC_1"/>
    <s v="Alternative - Commodity"/>
    <s v="OK"/>
    <x v="2"/>
    <s v="Price Level  "/>
    <x v="2"/>
    <x v="2"/>
    <x v="125"/>
  </r>
  <r>
    <x v="71"/>
    <s v="Fed Cuts Rates 50 bps Sep 2025 Scenario                     "/>
    <n v="2111"/>
    <s v="The Fed surprises markets by delivering a 50bp rate cut, beyond the expected 25bp first cut, and signals that another cut may still occur later this year. The Fed is acting proactively easing financial conditions to engineer a soft landing rather than a crisis reaction."/>
    <x v="572"/>
    <s v="US HY Market"/>
    <s v="Corporate HY USD - Other"/>
    <s v="USD_HY_MARKET_SF"/>
    <s v="Corporate HY USD - Other"/>
    <s v="OK"/>
    <x v="22"/>
    <s v="Spread Yield"/>
    <x v="5"/>
    <x v="4"/>
    <x v="105"/>
  </r>
  <r>
    <x v="71"/>
    <s v="Fed Cuts Rates 50 bps Sep 2025 Scenario                     "/>
    <n v="2111"/>
    <s v="The Fed surprises markets by delivering a 50bp rate cut, beyond the expected 25bp first cut, and signals that another cut may still occur later this year. The Fed is acting proactively easing financial conditions to engineer a soft landing rather than a crisis reaction."/>
    <x v="573"/>
    <s v="S&amp;P 500 Consumer Staples Index"/>
    <s v="Other - Index"/>
    <s v="SPCS"/>
    <s v="Other - Index"/>
    <s v="OK"/>
    <x v="12"/>
    <s v="Index Level"/>
    <x v="7"/>
    <x v="2"/>
    <x v="148"/>
  </r>
  <r>
    <x v="71"/>
    <s v="Fed Cuts Rates 50 bps Sep 2025 Scenario                     "/>
    <n v="2111"/>
    <s v="The Fed surprises markets by delivering a 50bp rate cut, beyond the expected 25bp first cut, and signals that another cut may still occur later this year. The Fed is acting proactively easing financial conditions to engineer a soft landing rather than a crisis reaction."/>
    <x v="574"/>
    <s v="S&amp;P 500 Information Technology"/>
    <s v="Other - Index"/>
    <s v="SPIT"/>
    <s v="Other - Index"/>
    <s v="OK"/>
    <x v="12"/>
    <s v="Index Level"/>
    <x v="7"/>
    <x v="2"/>
    <x v="126"/>
  </r>
  <r>
    <x v="72"/>
    <s v="Fed Interest Rate Regimes - Growth Concerns                 "/>
    <n v="2419"/>
    <s v="Growth Concerns : Tail risks, such as geopolitical and macroeconomic concerns, cause the Fed to adopt a more dovish stance."/>
    <x v="575"/>
    <s v="Tsy 2Y"/>
    <s v="Govt USD"/>
    <s v="USD_2yr"/>
    <s v="Govt USD"/>
    <s v="OK"/>
    <x v="0"/>
    <s v="Yield  "/>
    <x v="0"/>
    <x v="0"/>
    <x v="176"/>
  </r>
  <r>
    <x v="72"/>
    <s v="Fed Interest Rate Regimes - Growth Concerns                 "/>
    <n v="2419"/>
    <s v="Growth Concerns : Tail risks, such as geopolitical and macroeconomic concerns, cause the Fed to adopt a more dovish stance."/>
    <x v="238"/>
    <s v="Tsy 10Y"/>
    <s v="Govt USD"/>
    <s v="USD_10yr"/>
    <s v="Govt USD"/>
    <s v="OK"/>
    <x v="0"/>
    <s v="Yield  "/>
    <x v="0"/>
    <x v="0"/>
    <x v="137"/>
  </r>
  <r>
    <x v="72"/>
    <s v="Fed Interest Rate Regimes - Growth Concerns                 "/>
    <n v="2419"/>
    <s v="Growth Concerns : Tail risks, such as geopolitical and macroeconomic concerns, cause the Fed to adopt a more dovish stance."/>
    <x v="576"/>
    <s v="DXY"/>
    <e v="#N/A"/>
    <s v="DXY"/>
    <e v="#N/A"/>
    <s v="BOTH #N/A"/>
    <x v="18"/>
    <s v="Dollar Index"/>
    <x v="9"/>
    <x v="2"/>
    <x v="122"/>
  </r>
  <r>
    <x v="72"/>
    <s v="Fed Interest Rate Regimes - Growth Concerns                 "/>
    <n v="2419"/>
    <s v="Growth Concerns : Tail risks, such as geopolitical and macroeconomic concerns, cause the Fed to adopt a more dovish stance."/>
    <x v="312"/>
    <s v="S&amp;P 500"/>
    <s v="Equity Implied Volatility"/>
    <s v="SPX"/>
    <s v="Equity Implied Volatility"/>
    <s v="OK"/>
    <x v="1"/>
    <s v="Index Level"/>
    <x v="1"/>
    <x v="1"/>
    <x v="106"/>
  </r>
  <r>
    <x v="72"/>
    <s v="Fed Interest Rate Regimes - Growth Concerns                 "/>
    <n v="2419"/>
    <s v="Growth Concerns : Tail risks, such as geopolitical and macroeconomic concerns, cause the Fed to adopt a more dovish stance."/>
    <x v="142"/>
    <s v="VIX"/>
    <s v="Equity Implied Volatility"/>
    <s v="VIX"/>
    <s v="Equity Implied Volatility"/>
    <s v="OK"/>
    <x v="1"/>
    <s v="Index Level"/>
    <x v="1"/>
    <x v="1"/>
    <x v="194"/>
  </r>
  <r>
    <x v="72"/>
    <s v="Fed Interest Rate Regimes - Growth Concerns                 "/>
    <n v="2419"/>
    <s v="Growth Concerns : Tail risks, such as geopolitical and macroeconomic concerns, cause the Fed to adopt a more dovish stance."/>
    <x v="577"/>
    <s v="US HY Market"/>
    <s v="Corporate HY USD - Other"/>
    <s v="USD_HY_MARKET"/>
    <s v="Corporate HY USD - Other"/>
    <s v="OK"/>
    <x v="22"/>
    <s v="Spread Yield"/>
    <x v="5"/>
    <x v="4"/>
    <x v="109"/>
  </r>
  <r>
    <x v="72"/>
    <s v="Fed Interest Rate Regimes - Growth Concerns                 "/>
    <n v="2419"/>
    <s v="Growth Concerns : Tail risks, such as geopolitical and macroeconomic concerns, cause the Fed to adopt a more dovish stance."/>
    <x v="578"/>
    <s v="S&amp;P 500 Consumer Staples Index"/>
    <s v="Other - Index"/>
    <s v="Index"/>
    <e v="#N/A"/>
    <s v="OK"/>
    <x v="12"/>
    <s v="Index Level"/>
    <x v="7"/>
    <x v="2"/>
    <x v="166"/>
  </r>
  <r>
    <x v="73"/>
    <s v="Fed Hold Rates Sep 2025 Scenario                            "/>
    <n v="2110"/>
    <s v="The Fed decides to maintain the current policy rate at its existing level, foregoing the widely anticipated 25bps cut. This signals a potential pause for the remainder of the year, emphasizing the Fed commitment to fighting sticky inflation."/>
    <x v="579"/>
    <s v="Tsy 1Y"/>
    <s v="Govt USD"/>
    <s v="USD_1yr"/>
    <s v="Govt USD"/>
    <s v="OK"/>
    <x v="0"/>
    <s v="Yield  "/>
    <x v="0"/>
    <x v="0"/>
    <x v="108"/>
  </r>
  <r>
    <x v="73"/>
    <s v="Fed Hold Rates Sep 2025 Scenario                            "/>
    <n v="2110"/>
    <s v="The Fed decides to maintain the current policy rate at its existing level, foregoing the widely anticipated 25bps cut. This signals a potential pause for the remainder of the year, emphasizing the Fed commitment to fighting sticky inflation."/>
    <x v="580"/>
    <s v="Tsy 10Y"/>
    <s v="Govt USD"/>
    <s v="USD_10yr"/>
    <s v="Govt USD"/>
    <s v="OK"/>
    <x v="0"/>
    <s v="Yield  "/>
    <x v="0"/>
    <x v="0"/>
    <x v="135"/>
  </r>
  <r>
    <x v="73"/>
    <s v="Fed Hold Rates Sep 2025 Scenario                            "/>
    <n v="2110"/>
    <s v="The Fed decides to maintain the current policy rate at its existing level, foregoing the widely anticipated 25bps cut. This signals a potential pause for the remainder of the year, emphasizing the Fed commitment to fighting sticky inflation."/>
    <x v="581"/>
    <s v="USD INF 1Y"/>
    <s v="USD Inflation"/>
    <s v="USD_INF_1yr"/>
    <s v="USD Inflation"/>
    <s v="OK"/>
    <x v="8"/>
    <s v="Yield  "/>
    <x v="6"/>
    <x v="2"/>
    <x v="137"/>
  </r>
  <r>
    <x v="73"/>
    <s v="Fed Hold Rates Sep 2025 Scenario                            "/>
    <n v="2110"/>
    <s v="The Fed decides to maintain the current policy rate at its existing level, foregoing the widely anticipated 25bps cut. This signals a potential pause for the remainder of the year, emphasizing the Fed commitment to fighting sticky inflation."/>
    <x v="314"/>
    <s v="USD INF 10Y"/>
    <s v="USD Inflation"/>
    <s v="USD_INF_10yr"/>
    <s v="USD Inflation"/>
    <s v="OK"/>
    <x v="8"/>
    <s v="Yield  "/>
    <x v="6"/>
    <x v="2"/>
    <x v="134"/>
  </r>
  <r>
    <x v="73"/>
    <s v="Fed Hold Rates Sep 2025 Scenario                            "/>
    <n v="2110"/>
    <s v="The Fed decides to maintain the current policy rate at its existing level, foregoing the widely anticipated 25bps cut. This signals a potential pause for the remainder of the year, emphasizing the Fed commitment to fighting sticky inflation."/>
    <x v="104"/>
    <s v="Gold COMEX 1"/>
    <s v="Alternative - Commodity"/>
    <s v="USD_COMD_GC_1"/>
    <s v="Alternative - Commodity"/>
    <s v="OK"/>
    <x v="2"/>
    <s v="Price Level  "/>
    <x v="2"/>
    <x v="2"/>
    <x v="148"/>
  </r>
  <r>
    <x v="73"/>
    <s v="Fed Hold Rates Sep 2025 Scenario                            "/>
    <n v="2110"/>
    <s v="The Fed decides to maintain the current policy rate at its existing level, foregoing the widely anticipated 25bps cut. This signals a potential pause for the remainder of the year, emphasizing the Fed commitment to fighting sticky inflation."/>
    <x v="312"/>
    <s v="S&amp;P 500"/>
    <s v="Equity Implied Volatility"/>
    <s v="SPX"/>
    <s v="Equity Implied Volatility"/>
    <s v="OK"/>
    <x v="1"/>
    <s v="Index Level"/>
    <x v="1"/>
    <x v="1"/>
    <x v="106"/>
  </r>
  <r>
    <x v="73"/>
    <s v="Fed Hold Rates Sep 2025 Scenario                            "/>
    <n v="2110"/>
    <s v="The Fed decides to maintain the current policy rate at its existing level, foregoing the widely anticipated 25bps cut. This signals a potential pause for the remainder of the year, emphasizing the Fed commitment to fighting sticky inflation."/>
    <x v="142"/>
    <s v="VIX"/>
    <s v="Equity Implied Volatility"/>
    <s v="VIX"/>
    <s v="Equity Implied Volatility"/>
    <s v="OK"/>
    <x v="1"/>
    <s v="Index Level"/>
    <x v="1"/>
    <x v="1"/>
    <x v="194"/>
  </r>
  <r>
    <x v="73"/>
    <s v="Fed Hold Rates Sep 2025 Scenario                            "/>
    <n v="2110"/>
    <s v="The Fed decides to maintain the current policy rate at its existing level, foregoing the widely anticipated 25bps cut. This signals a potential pause for the remainder of the year, emphasizing the Fed commitment to fighting sticky inflation."/>
    <x v="582"/>
    <s v="US HY Market"/>
    <s v="Corporate HY USD - Other"/>
    <s v="USD_HY_MARKET_SF"/>
    <s v="Corporate HY USD - Other"/>
    <s v="OK"/>
    <x v="22"/>
    <s v="Spread Yield"/>
    <x v="5"/>
    <x v="4"/>
    <x v="163"/>
  </r>
  <r>
    <x v="73"/>
    <s v="Fed Hold Rates Sep 2025 Scenario                            "/>
    <n v="2110"/>
    <s v="The Fed decides to maintain the current policy rate at its existing level, foregoing the widely anticipated 25bps cut. This signals a potential pause for the remainder of the year, emphasizing the Fed commitment to fighting sticky inflation."/>
    <x v="583"/>
    <s v="Value"/>
    <s v="Value"/>
    <m/>
    <e v="#N/A"/>
    <s v="OK"/>
    <x v="46"/>
    <s v=" Style Return"/>
    <x v="13"/>
    <x v="1"/>
    <x v="158"/>
  </r>
  <r>
    <x v="74"/>
    <s v="Fed Interest Rate Regimes - Fed Pauses                      "/>
    <n v="2420"/>
    <s v="Fed Pauses : The Fed pauses its tightening cycle after two rate hikes in 2019."/>
    <x v="399"/>
    <s v="Tsy 2Y"/>
    <s v="Govt USD"/>
    <s v="USD_2yr"/>
    <s v="Govt USD"/>
    <s v="OK"/>
    <x v="0"/>
    <s v="Yield  "/>
    <x v="0"/>
    <x v="0"/>
    <x v="134"/>
  </r>
  <r>
    <x v="74"/>
    <s v="Fed Interest Rate Regimes - Fed Pauses                      "/>
    <n v="2420"/>
    <s v="Fed Pauses : The Fed pauses its tightening cycle after two rate hikes in 2019."/>
    <x v="584"/>
    <s v="Tsy 10Y"/>
    <s v="Govt USD"/>
    <s v="USD_10yr"/>
    <s v="Govt USD"/>
    <s v="OK"/>
    <x v="0"/>
    <s v="Yield  "/>
    <x v="0"/>
    <x v="0"/>
    <x v="134"/>
  </r>
  <r>
    <x v="74"/>
    <s v="Fed Interest Rate Regimes - Fed Pauses                      "/>
    <n v="2420"/>
    <s v="Fed Pauses : The Fed pauses its tightening cycle after two rate hikes in 2019."/>
    <x v="389"/>
    <s v="DXY"/>
    <e v="#N/A"/>
    <s v="DXY"/>
    <e v="#N/A"/>
    <s v="BOTH #N/A"/>
    <x v="18"/>
    <s v="Dollar Index"/>
    <x v="9"/>
    <x v="2"/>
    <x v="162"/>
  </r>
  <r>
    <x v="74"/>
    <s v="Fed Interest Rate Regimes - Fed Pauses                      "/>
    <n v="2420"/>
    <s v="Fed Pauses : The Fed pauses its tightening cycle after two rate hikes in 2019."/>
    <x v="426"/>
    <s v="S&amp;P 500"/>
    <s v="Equity Implied Volatility"/>
    <s v="SPX"/>
    <s v="Equity Implied Volatility"/>
    <s v="OK"/>
    <x v="1"/>
    <s v="Index Level"/>
    <x v="1"/>
    <x v="1"/>
    <x v="133"/>
  </r>
  <r>
    <x v="74"/>
    <s v="Fed Interest Rate Regimes - Fed Pauses                      "/>
    <n v="2420"/>
    <s v="Fed Pauses : The Fed pauses its tightening cycle after two rate hikes in 2019."/>
    <x v="585"/>
    <s v="US HY Market"/>
    <s v="Corporate HY USD - Other"/>
    <s v="USD_HY_MARKET"/>
    <s v="Corporate HY USD - Other"/>
    <s v="OK"/>
    <x v="22"/>
    <s v="Spread Yield"/>
    <x v="5"/>
    <x v="4"/>
    <x v="175"/>
  </r>
  <r>
    <x v="75"/>
    <s v="Fed Interest Rate Regimes - Fed Stays the Course            "/>
    <n v="2421"/>
    <s v="Fed Stays the Course : The Fed raises rates three to four times in 2019, leading to a short-term correction in risk assets."/>
    <x v="586"/>
    <s v="Tsy 2Y"/>
    <s v="Govt USD"/>
    <s v="USD_2yr"/>
    <s v="Govt USD"/>
    <s v="OK"/>
    <x v="0"/>
    <s v="Yield  "/>
    <x v="0"/>
    <x v="0"/>
    <x v="195"/>
  </r>
  <r>
    <x v="75"/>
    <s v="Fed Interest Rate Regimes - Fed Stays the Course            "/>
    <n v="2421"/>
    <s v="Fed Stays the Course : The Fed raises rates three to four times in 2019, leading to a short-term correction in risk assets."/>
    <x v="580"/>
    <s v="Tsy 10Y"/>
    <s v="Govt USD"/>
    <s v="USD_10yr"/>
    <s v="Govt USD"/>
    <s v="OK"/>
    <x v="0"/>
    <s v="Yield  "/>
    <x v="0"/>
    <x v="0"/>
    <x v="135"/>
  </r>
  <r>
    <x v="75"/>
    <s v="Fed Interest Rate Regimes - Fed Stays the Course            "/>
    <n v="2421"/>
    <s v="Fed Stays the Course : The Fed raises rates three to four times in 2019, leading to a short-term correction in risk assets."/>
    <x v="133"/>
    <s v="DXY"/>
    <e v="#N/A"/>
    <s v="DXY"/>
    <e v="#N/A"/>
    <s v="BOTH #N/A"/>
    <x v="18"/>
    <s v="Dollar Index"/>
    <x v="9"/>
    <x v="2"/>
    <x v="112"/>
  </r>
  <r>
    <x v="75"/>
    <s v="Fed Interest Rate Regimes - Fed Stays the Course            "/>
    <n v="2421"/>
    <s v="Fed Stays the Course : The Fed raises rates three to four times in 2019, leading to a short-term correction in risk assets."/>
    <x v="587"/>
    <s v="S&amp;P 500"/>
    <s v="Equity Implied Volatility"/>
    <s v="SPX"/>
    <s v="Equity Implied Volatility"/>
    <s v="OK"/>
    <x v="1"/>
    <s v="Index Level"/>
    <x v="1"/>
    <x v="1"/>
    <x v="122"/>
  </r>
  <r>
    <x v="75"/>
    <s v="Fed Interest Rate Regimes - Fed Stays the Course            "/>
    <n v="2421"/>
    <s v="Fed Stays the Course : The Fed raises rates three to four times in 2019, leading to a short-term correction in risk assets."/>
    <x v="239"/>
    <s v="VIX"/>
    <s v="Equity Implied Volatility"/>
    <s v="VIX"/>
    <s v="Equity Implied Volatility"/>
    <s v="OK"/>
    <x v="1"/>
    <s v="Index Level"/>
    <x v="1"/>
    <x v="1"/>
    <x v="172"/>
  </r>
  <r>
    <x v="75"/>
    <s v="Fed Interest Rate Regimes - Fed Stays the Course            "/>
    <n v="2421"/>
    <s v="Fed Stays the Course : The Fed raises rates three to four times in 2019, leading to a short-term correction in risk assets."/>
    <x v="588"/>
    <s v="MS Emerging Mkts"/>
    <s v="Equity Implied Volatility"/>
    <s v="MXEF"/>
    <s v="Equity Implied Volatility"/>
    <s v="OK"/>
    <x v="1"/>
    <s v="Index Level"/>
    <x v="1"/>
    <x v="1"/>
    <x v="114"/>
  </r>
  <r>
    <x v="75"/>
    <s v="Fed Interest Rate Regimes - Fed Stays the Course            "/>
    <n v="2421"/>
    <s v="Fed Stays the Course : The Fed raises rates three to four times in 2019, leading to a short-term correction in risk assets."/>
    <x v="589"/>
    <s v="EMBIG DxS"/>
    <s v="Spread Emerging Markets - Country"/>
    <s v="USD_EM_DS_G"/>
    <s v="Spread Emerging Markets - Country"/>
    <s v="OK"/>
    <x v="29"/>
    <s v="Spread Yield"/>
    <x v="5"/>
    <x v="4"/>
    <x v="108"/>
  </r>
  <r>
    <x v="75"/>
    <s v="Fed Interest Rate Regimes - Fed Stays the Course            "/>
    <n v="2421"/>
    <s v="Fed Stays the Course : The Fed raises rates three to four times in 2019, leading to a short-term correction in risk assets."/>
    <x v="382"/>
    <s v="US HY Market"/>
    <s v="Corporate HY USD - Other"/>
    <s v="USD_HY_MARKET"/>
    <s v="Corporate HY USD - Other"/>
    <s v="OK"/>
    <x v="22"/>
    <s v="Spread Yield"/>
    <x v="5"/>
    <x v="4"/>
    <x v="118"/>
  </r>
  <r>
    <x v="75"/>
    <s v="Fed Interest Rate Regimes - Fed Stays the Course            "/>
    <n v="2421"/>
    <s v="Fed Stays the Course : The Fed raises rates three to four times in 2019, leading to a short-term correction in risk assets."/>
    <x v="590"/>
    <s v="S&amp;P 500 Cons. Disc. Index"/>
    <s v="Other - Index"/>
    <s v="Index"/>
    <e v="#N/A"/>
    <s v="OK"/>
    <x v="12"/>
    <s v="Index Level"/>
    <x v="7"/>
    <x v="2"/>
    <x v="139"/>
  </r>
  <r>
    <x v="76"/>
    <s v="Fiscal Policy Stance - Neutral                              "/>
    <n v="2501"/>
    <s v="Political discord in US and Europe stalls fiscal stimulus, resulting in a continuation of low short-end interest rates and investors search for yield"/>
    <x v="591"/>
    <s v="Tsy 2Y"/>
    <s v="Govt USD"/>
    <s v="USD_2yr"/>
    <s v="Govt USD"/>
    <s v="OK"/>
    <x v="0"/>
    <s v="Yield  "/>
    <x v="0"/>
    <x v="0"/>
    <x v="175"/>
  </r>
  <r>
    <x v="76"/>
    <s v="Fiscal Policy Stance - Neutral                              "/>
    <n v="2501"/>
    <s v="Political discord in US and Europe stalls fiscal stimulus, resulting in a continuation of low short-end interest rates and investors search for yield"/>
    <x v="560"/>
    <s v="Tsy 10Y"/>
    <s v="Govt USD"/>
    <s v="USD_10yr"/>
    <s v="Govt USD"/>
    <s v="OK"/>
    <x v="0"/>
    <s v="Yield  "/>
    <x v="0"/>
    <x v="0"/>
    <x v="164"/>
  </r>
  <r>
    <x v="76"/>
    <s v="Fiscal Policy Stance - Neutral                              "/>
    <n v="2501"/>
    <s v="Political discord in US and Europe stalls fiscal stimulus, resulting in a continuation of low short-end interest rates and investors search for yield"/>
    <x v="592"/>
    <s v="US Cash Bonds HY"/>
    <e v="#N/A"/>
    <s v="USD_LEH_HY3"/>
    <e v="#N/A"/>
    <s v="BOTH #N/A"/>
    <x v="26"/>
    <s v="Corporate IG USD - Other"/>
    <x v="5"/>
    <x v="4"/>
    <x v="155"/>
  </r>
  <r>
    <x v="76"/>
    <s v="Fiscal Policy Stance - Neutral                              "/>
    <n v="2501"/>
    <s v="Political discord in US and Europe stalls fiscal stimulus, resulting in a continuation of low short-end interest rates and investors search for yield"/>
    <x v="593"/>
    <s v="DEM 2Y"/>
    <s v="Govt EUR (Ger)"/>
    <s v="EUR_2yr"/>
    <s v="Govt EUR (Ger)"/>
    <s v="OK"/>
    <x v="9"/>
    <s v="Yield  "/>
    <x v="0"/>
    <x v="0"/>
    <x v="124"/>
  </r>
  <r>
    <x v="76"/>
    <s v="Fiscal Policy Stance - Neutral                              "/>
    <n v="2501"/>
    <s v="Political discord in US and Europe stalls fiscal stimulus, resulting in a continuation of low short-end interest rates and investors search for yield"/>
    <x v="299"/>
    <s v="DEM 10Y"/>
    <s v="Govt EUR (Ger)"/>
    <s v="EUR_10yr"/>
    <s v="Govt EUR (Ger)"/>
    <s v="OK"/>
    <x v="9"/>
    <s v="Yield  "/>
    <x v="0"/>
    <x v="0"/>
    <x v="132"/>
  </r>
  <r>
    <x v="76"/>
    <s v="Fiscal Policy Stance - Neutral                              "/>
    <n v="2501"/>
    <s v="Political discord in US and Europe stalls fiscal stimulus, resulting in a continuation of low short-end interest rates and investors search for yield"/>
    <x v="594"/>
    <s v="EUR/USD"/>
    <s v="EUR"/>
    <s v="EUR_FX_USD"/>
    <s v="EUR"/>
    <s v="OK"/>
    <x v="13"/>
    <s v="FX  "/>
    <x v="3"/>
    <x v="3"/>
    <x v="191"/>
  </r>
  <r>
    <x v="76"/>
    <s v="Fiscal Policy Stance - Neutral                              "/>
    <n v="2501"/>
    <s v="Political discord in US and Europe stalls fiscal stimulus, resulting in a continuation of low short-end interest rates and investors search for yield"/>
    <x v="595"/>
    <s v="EMBIG DxS"/>
    <s v="Spread Emerging Markets - Country"/>
    <s v="USD_EM_DS_G"/>
    <s v="Spread Emerging Markets - Country"/>
    <s v="OK"/>
    <x v="29"/>
    <s v="Spread Yield"/>
    <x v="5"/>
    <x v="4"/>
    <x v="132"/>
  </r>
  <r>
    <x v="76"/>
    <s v="Fiscal Policy Stance - Neutral                              "/>
    <n v="2501"/>
    <s v="Political discord in US and Europe stalls fiscal stimulus, resulting in a continuation of low short-end interest rates and investors search for yield"/>
    <x v="596"/>
    <s v="MSCI World Utilities"/>
    <s v="Other - Index"/>
    <s v="Utilities"/>
    <e v="#N/A"/>
    <s v="OK"/>
    <x v="12"/>
    <s v="Index Level"/>
    <x v="7"/>
    <x v="2"/>
    <x v="125"/>
  </r>
  <r>
    <x v="76"/>
    <s v="Fiscal Policy Stance - Neutral                              "/>
    <n v="2501"/>
    <s v="Political discord in US and Europe stalls fiscal stimulus, resulting in a continuation of low short-end interest rates and investors search for yield"/>
    <x v="597"/>
    <s v="China Corp HY"/>
    <s v="Corporate HY USD - Industry"/>
    <s v="HY"/>
    <e v="#N/A"/>
    <s v="OK"/>
    <x v="6"/>
    <s v="Spread Yield"/>
    <x v="5"/>
    <x v="4"/>
    <x v="135"/>
  </r>
  <r>
    <x v="76"/>
    <s v="Fiscal Policy Stance - Neutral                              "/>
    <n v="2501"/>
    <s v="Political discord in US and Europe stalls fiscal stimulus, resulting in a continuation of low short-end interest rates and investors search for yield"/>
    <x v="598"/>
    <s v="US Cash Bonds HY"/>
    <e v="#N/A"/>
    <s v="HY"/>
    <e v="#N/A"/>
    <s v="BOTH #N/A"/>
    <x v="26"/>
    <s v="Corporate IG USD - Other"/>
    <x v="5"/>
    <x v="4"/>
    <x v="164"/>
  </r>
  <r>
    <x v="77"/>
    <s v="Fiscal Policy Stance - Credible Fiscal Policy               "/>
    <n v="2503"/>
    <s v="Credible, full-scale fiscal expansion drive a rally in risky assets along with rising long-term yields and tightening credit spreads."/>
    <x v="599"/>
    <s v="Tsy 10Y"/>
    <s v="Govt USD"/>
    <s v="USD_10yr"/>
    <s v="Govt USD"/>
    <s v="OK"/>
    <x v="0"/>
    <s v="Yield  "/>
    <x v="0"/>
    <x v="0"/>
    <x v="140"/>
  </r>
  <r>
    <x v="77"/>
    <s v="Fiscal Policy Stance - Credible Fiscal Policy               "/>
    <n v="2503"/>
    <s v="Credible, full-scale fiscal expansion drive a rally in risky assets along with rising long-term yields and tightening credit spreads."/>
    <x v="600"/>
    <s v="USD INF 10Y"/>
    <s v="USD Inflation"/>
    <s v="USD_INF_10yr"/>
    <s v="USD Inflation"/>
    <s v="OK"/>
    <x v="8"/>
    <s v="Yield  "/>
    <x v="6"/>
    <x v="2"/>
    <x v="164"/>
  </r>
  <r>
    <x v="77"/>
    <s v="Fiscal Policy Stance - Credible Fiscal Policy               "/>
    <n v="2503"/>
    <s v="Credible, full-scale fiscal expansion drive a rally in risky assets along with rising long-term yields and tightening credit spreads."/>
    <x v="601"/>
    <s v="Brent Crude ICE 1"/>
    <s v="Alternative - Commodity"/>
    <s v="USD_COMD_CO_1"/>
    <s v="Alternative - Commodity"/>
    <s v="OK"/>
    <x v="2"/>
    <s v="Price Level  "/>
    <x v="2"/>
    <x v="2"/>
    <x v="107"/>
  </r>
  <r>
    <x v="77"/>
    <s v="Fiscal Policy Stance - Credible Fiscal Policy               "/>
    <n v="2503"/>
    <s v="Credible, full-scale fiscal expansion drive a rally in risky assets along with rising long-term yields and tightening credit spreads."/>
    <x v="602"/>
    <s v="US Cash Bonds HY"/>
    <e v="#N/A"/>
    <s v="USD_LEH_HY3"/>
    <e v="#N/A"/>
    <s v="BOTH #N/A"/>
    <x v="26"/>
    <s v="Corporate IG USD - Other"/>
    <x v="5"/>
    <x v="4"/>
    <x v="176"/>
  </r>
  <r>
    <x v="77"/>
    <s v="Fiscal Policy Stance - Credible Fiscal Policy               "/>
    <n v="2504"/>
    <s v="Credible, full-scale fiscal expansion drive a rally in risky assets along with rising long-term yields and tightening credit spreads."/>
    <x v="594"/>
    <s v="EUR/USD"/>
    <s v="EUR"/>
    <s v="EUR_FX_USD"/>
    <s v="EUR"/>
    <s v="OK"/>
    <x v="13"/>
    <s v="FX  "/>
    <x v="3"/>
    <x v="3"/>
    <x v="191"/>
  </r>
  <r>
    <x v="77"/>
    <s v="Fiscal Policy Stance - Credible Fiscal Policy               "/>
    <n v="2505"/>
    <s v="Credible, full-scale fiscal expansion drive a rally in risky assets along with rising long-term yields and tightening credit spreads."/>
    <x v="603"/>
    <s v="MSCI World Net TR"/>
    <s v="Equity Implied Volatility"/>
    <s v="MSCIWLDNET"/>
    <s v="Equity Implied Volatility"/>
    <s v="OK"/>
    <x v="1"/>
    <s v="Index Level"/>
    <x v="1"/>
    <x v="1"/>
    <x v="141"/>
  </r>
  <r>
    <x v="77"/>
    <s v="Fiscal Policy Stance - Credible Fiscal Policy               "/>
    <n v="2506"/>
    <s v="Credible, full-scale fiscal expansion drive a rally in risky assets along with rising long-term yields and tightening credit spreads."/>
    <x v="604"/>
    <s v="MSCI World Industrials"/>
    <s v="Other - Index"/>
    <s v="Industrials"/>
    <e v="#N/A"/>
    <s v="OK"/>
    <x v="12"/>
    <s v="Index Level"/>
    <x v="7"/>
    <x v="2"/>
    <x v="110"/>
  </r>
  <r>
    <x v="77"/>
    <s v="Fiscal Policy Stance - Credible Fiscal Policy               "/>
    <n v="2507"/>
    <s v="Credible, full-scale fiscal expansion drive a rally in risky assets along with rising long-term yields and tightening credit spreads."/>
    <x v="605"/>
    <s v="Tsy 30Y"/>
    <s v="Govt USD"/>
    <s v="30Y"/>
    <e v="#N/A"/>
    <s v="OK"/>
    <x v="0"/>
    <s v=" Yield"/>
    <x v="0"/>
    <x v="0"/>
    <x v="138"/>
  </r>
  <r>
    <x v="78"/>
    <s v="Fiscal Policy Stance - Ineffective Spending                 "/>
    <n v="2502"/>
    <s v="Announcements of major fiscal packages by US and Japan fail to have the impact governments expect, resulting in a loss of market confidence"/>
    <x v="606"/>
    <s v="EUR/USD"/>
    <s v="EUR"/>
    <s v="EUR_FX_USD"/>
    <s v="EUR"/>
    <s v="OK"/>
    <x v="13"/>
    <s v="FX  "/>
    <x v="3"/>
    <x v="3"/>
    <x v="110"/>
  </r>
  <r>
    <x v="78"/>
    <s v="Fiscal Policy Stance - Ineffective Spending                 "/>
    <n v="2502"/>
    <s v="Announcements of major fiscal packages by US and Japan fail to have the impact governments expect, resulting in a loss of market confidence"/>
    <x v="607"/>
    <s v="S&amp;P 500 Industrials"/>
    <s v="Equity Implied Volatility"/>
    <s v="S5INDU"/>
    <s v="Equity Implied Volatility"/>
    <s v="OK"/>
    <x v="1"/>
    <s v="Index Level"/>
    <x v="1"/>
    <x v="1"/>
    <x v="106"/>
  </r>
  <r>
    <x v="78"/>
    <s v="Fiscal Policy Stance - Ineffective Spending                 "/>
    <n v="2502"/>
    <s v="Announcements of major fiscal packages by US and Japan fail to have the impact governments expect, resulting in a loss of market confidence"/>
    <x v="608"/>
    <s v="MSCI World Net TR"/>
    <s v="Equity Implied Volatility"/>
    <s v="MSCIWLDNET"/>
    <s v="Equity Implied Volatility"/>
    <s v="OK"/>
    <x v="1"/>
    <s v="Index Level"/>
    <x v="1"/>
    <x v="1"/>
    <x v="196"/>
  </r>
  <r>
    <x v="78"/>
    <s v="Fiscal Policy Stance - Ineffective Spending                 "/>
    <n v="2502"/>
    <s v="Announcements of major fiscal packages by US and Japan fail to have the impact governments expect, resulting in a loss of market confidence"/>
    <x v="609"/>
    <s v="JPY 2Y"/>
    <s v="Govt Developed Other (AU, GB, JP, ...)"/>
    <s v="2Y"/>
    <e v="#N/A"/>
    <s v="OK"/>
    <x v="10"/>
    <s v=" Yield"/>
    <x v="0"/>
    <x v="0"/>
    <x v="145"/>
  </r>
  <r>
    <x v="78"/>
    <s v="Fiscal Policy Stance - Ineffective Spending                 "/>
    <n v="2502"/>
    <s v="Announcements of major fiscal packages by US and Japan fail to have the impact governments expect, resulting in a loss of market confidence"/>
    <x v="610"/>
    <s v="Tsy 10Y"/>
    <s v="Govt USD"/>
    <s v="10Y"/>
    <e v="#N/A"/>
    <s v="OK"/>
    <x v="0"/>
    <s v=" Yield"/>
    <x v="0"/>
    <x v="0"/>
    <x v="123"/>
  </r>
  <r>
    <x v="79"/>
    <s v="FOMC Policy Paths-Easing Inflation Spur Dovish Fed(6/2022)  "/>
    <n v="2479"/>
    <s v="Easing Inflation Spurs Dovish Fed: Inflation tops out and begins easing gradually over the next several months driven, in part, by consumption shifting from goods to services and diminishing global supply imbalances. Fed eases its hawkish stance and markets partially offset 2022 losses."/>
    <x v="611"/>
    <s v="Tsy 2Y"/>
    <s v="Govt USD"/>
    <s v="USD_2yr"/>
    <s v="Govt USD"/>
    <s v="OK"/>
    <x v="0"/>
    <s v="Yield  "/>
    <x v="0"/>
    <x v="0"/>
    <x v="197"/>
  </r>
  <r>
    <x v="79"/>
    <s v="FOMC Policy Paths-Easing Inflation Spur Dovish Fed(6/2022)  "/>
    <n v="2479"/>
    <s v="Easing Inflation Spurs Dovish Fed: Inflation tops out and begins easing gradually over the next several months driven, in part, by consumption shifting from goods to services and diminishing global supply imbalances. Fed eases its hawkish stance and markets partially offset 2022 losses."/>
    <x v="254"/>
    <s v="Tsy 10Y"/>
    <s v="Govt USD"/>
    <s v="USD_10yr"/>
    <s v="Govt USD"/>
    <s v="OK"/>
    <x v="0"/>
    <s v="Yield  "/>
    <x v="0"/>
    <x v="0"/>
    <x v="105"/>
  </r>
  <r>
    <x v="79"/>
    <s v="FOMC Policy Paths-Easing Inflation Spur Dovish Fed(6/2022)  "/>
    <n v="2479"/>
    <s v="Easing Inflation Spurs Dovish Fed: Inflation tops out and begins easing gradually over the next several months driven, in part, by consumption shifting from goods to services and diminishing global supply imbalances. Fed eases its hawkish stance and markets partially offset 2022 losses."/>
    <x v="612"/>
    <s v="USD INF 2Y"/>
    <s v="USD Inflation"/>
    <s v="USD_INF_2yr"/>
    <s v="USD Inflation"/>
    <s v="OK"/>
    <x v="8"/>
    <s v="Yield  "/>
    <x v="6"/>
    <x v="2"/>
    <x v="109"/>
  </r>
  <r>
    <x v="79"/>
    <s v="FOMC Policy Paths-Easing Inflation Spur Dovish Fed(6/2022)  "/>
    <n v="2479"/>
    <s v="Easing Inflation Spurs Dovish Fed: Inflation tops out and begins easing gradually over the next several months driven, in part, by consumption shifting from goods to services and diminishing global supply imbalances. Fed eases its hawkish stance and markets partially offset 2022 losses."/>
    <x v="613"/>
    <s v="Brent Crude ICE 1"/>
    <s v="Alternative - Commodity"/>
    <s v="USD_COMD_CO_1"/>
    <s v="Alternative - Commodity"/>
    <s v="OK"/>
    <x v="2"/>
    <s v="Price Level  "/>
    <x v="2"/>
    <x v="2"/>
    <x v="122"/>
  </r>
  <r>
    <x v="79"/>
    <s v="FOMC Policy Paths-Easing Inflation Spur Dovish Fed(6/2022)  "/>
    <n v="2479"/>
    <s v="Easing Inflation Spurs Dovish Fed: Inflation tops out and begins easing gradually over the next several months driven, in part, by consumption shifting from goods to services and diminishing global supply imbalances. Fed eases its hawkish stance and markets partially offset 2022 losses."/>
    <x v="614"/>
    <s v="Norm Impl Vol 1x10"/>
    <s v="Rates Implied Volatility"/>
    <s v="USD_normvol_1y_10y"/>
    <s v="Rates Implied Volatility"/>
    <s v="OK"/>
    <x v="63"/>
    <s v="Implied Vol  "/>
    <x v="15"/>
    <x v="2"/>
    <x v="123"/>
  </r>
  <r>
    <x v="79"/>
    <s v="FOMC Policy Paths-Easing Inflation Spur Dovish Fed(6/2022)  "/>
    <n v="2479"/>
    <s v="Easing Inflation Spurs Dovish Fed: Inflation tops out and begins easing gradually over the next several months driven, in part, by consumption shifting from goods to services and diminishing global supply imbalances. Fed eases its hawkish stance and markets partially offset 2022 losses."/>
    <x v="615"/>
    <s v="US IG Market"/>
    <s v="Corporate IG USD - Market"/>
    <s v="USD_IG_MARKET_SF"/>
    <s v="Corporate IG USD - Market"/>
    <s v="OK"/>
    <x v="49"/>
    <s v="Spread Yield"/>
    <x v="5"/>
    <x v="4"/>
    <x v="137"/>
  </r>
  <r>
    <x v="79"/>
    <s v="FOMC Policy Paths-Easing Inflation Spur Dovish Fed(6/2022)  "/>
    <n v="2479"/>
    <s v="Easing Inflation Spurs Dovish Fed: Inflation tops out and begins easing gradually over the next several months driven, in part, by consumption shifting from goods to services and diminishing global supply imbalances. Fed eases its hawkish stance and markets partially offset 2022 losses."/>
    <x v="616"/>
    <s v="S&amp;P 500"/>
    <s v="Equity Implied Volatility"/>
    <s v="SPX"/>
    <s v="Equity Implied Volatility"/>
    <s v="OK"/>
    <x v="1"/>
    <s v="Index Level"/>
    <x v="1"/>
    <x v="1"/>
    <x v="126"/>
  </r>
  <r>
    <x v="79"/>
    <s v="FOMC Policy Paths-Easing Inflation Spur Dovish Fed(6/2022)  "/>
    <n v="2479"/>
    <s v="Easing Inflation Spurs Dovish Fed: Inflation tops out and begins easing gradually over the next several months driven, in part, by consumption shifting from goods to services and diminishing global supply imbalances. Fed eases its hawkish stance and markets partially offset 2022 losses."/>
    <x v="122"/>
    <s v="Time"/>
    <e v="#N/A"/>
    <s v="ALL_TIME"/>
    <e v="#N/A"/>
    <s v="BOTH #N/A"/>
    <x v="64"/>
    <s v="Time "/>
    <x v="8"/>
    <x v="2"/>
    <x v="151"/>
  </r>
  <r>
    <x v="79"/>
    <s v="FOMC Policy Paths-Easing Inflation Spur Dovish Fed(6/2022)  "/>
    <n v="2479"/>
    <s v="Easing Inflation Spurs Dovish Fed: Inflation tops out and begins easing gradually over the next several months driven, in part, by consumption shifting from goods to services and diminishing global supply imbalances. Fed eases its hawkish stance and markets partially offset 2022 losses."/>
    <x v="617"/>
    <s v="Energy Equipment &amp; Services"/>
    <e v="#N/A"/>
    <s v="FMI_NAMR_EGYEQ"/>
    <e v="#N/A"/>
    <s v="BOTH #N/A"/>
    <x v="40"/>
    <s v="Energy"/>
    <x v="4"/>
    <x v="1"/>
    <x v="116"/>
  </r>
  <r>
    <x v="79"/>
    <s v="FOMC Policy Paths-Easing Inflation Spur Dovish Fed(6/2022)  "/>
    <n v="2479"/>
    <s v="Easing Inflation Spurs Dovish Fed: Inflation tops out and begins easing gradually over the next several months driven, in part, by consumption shifting from goods to services and diminishing global supply imbalances. Fed eases its hawkish stance and markets partially offset 2022 losses."/>
    <x v="618"/>
    <s v="Diversified Consumer Services"/>
    <e v="#N/A"/>
    <s v="FMI_NAMR_CDIDIVSVCS"/>
    <e v="#N/A"/>
    <s v="BOTH #N/A"/>
    <x v="23"/>
    <s v="Consumer Discretionary"/>
    <x v="4"/>
    <x v="1"/>
    <x v="139"/>
  </r>
  <r>
    <x v="79"/>
    <s v="FOMC Policy Paths-Easing Inflation Spur Dovish Fed(6/2022)  "/>
    <n v="2479"/>
    <s v="Easing Inflation Spurs Dovish Fed: Inflation tops out and begins easing gradually over the next several months driven, in part, by consumption shifting from goods to services and diminishing global supply imbalances. Fed eases its hawkish stance and markets partially offset 2022 losses."/>
    <x v="619"/>
    <s v="Growth"/>
    <s v="Local Styles"/>
    <s v="FMI_NAMR_GROWTH"/>
    <e v="#N/A"/>
    <s v="OK"/>
    <x v="38"/>
    <s v="Style Return  "/>
    <x v="13"/>
    <x v="1"/>
    <x v="198"/>
  </r>
  <r>
    <x v="79"/>
    <s v="FOMC Policy Paths-Easing Inflation Spur Dovish Fed(6/2022)  "/>
    <n v="2479"/>
    <s v="Easing Inflation Spurs Dovish Fed: Inflation tops out and begins easing gradually over the next several months driven, in part, by consumption shifting from goods to services and diminishing global supply imbalances. Fed eases its hawkish stance and markets partially offset 2022 losses."/>
    <x v="620"/>
    <s v="US HY Independent Energy"/>
    <s v="Corporate HY USD - Industry"/>
    <s v="Energy"/>
    <e v="#N/A"/>
    <s v="OK"/>
    <x v="6"/>
    <s v="Spread Yield"/>
    <x v="5"/>
    <x v="4"/>
    <x v="145"/>
  </r>
  <r>
    <x v="80"/>
    <s v="Fed Policy Paths - Fed Engineers a Hard Landing(03/2023)    "/>
    <n v="2482"/>
    <s v="Fed Policy Paths Reconsidered - The effects of the Feds policy response in 2022-23 are lagged and prove to be more significant than expected. Growth slows and cracks in the labor market begin to show.. Market prices in a significant recession in the US, driving a sizable risk-off react"/>
    <x v="611"/>
    <s v="Tsy 2Y"/>
    <s v="Govt USD"/>
    <s v="USD_2yr"/>
    <s v="Govt USD"/>
    <s v="OK"/>
    <x v="0"/>
    <s v="Yield  "/>
    <x v="0"/>
    <x v="0"/>
    <x v="197"/>
  </r>
  <r>
    <x v="80"/>
    <s v="Fed Policy Paths - Fed Engineers a Hard Landing(03/2023)    "/>
    <n v="2482"/>
    <s v="Fed Policy Paths Reconsidered - The effects of the Feds policy response in 2022-23 are lagged and prove to be more significant than expected. Growth slows and cracks in the labor market begin to show.. Market prices in a significant recession in the US, driving a sizable risk-off react"/>
    <x v="621"/>
    <s v="Brent Crude ICE 1"/>
    <s v="Alternative - Commodity"/>
    <s v="USD_COMD_CO_1"/>
    <s v="Alternative - Commodity"/>
    <s v="OK"/>
    <x v="2"/>
    <s v="Price Level  "/>
    <x v="2"/>
    <x v="2"/>
    <x v="199"/>
  </r>
  <r>
    <x v="80"/>
    <s v="Fed Policy Paths - Fed Engineers a Hard Landing(03/2023)    "/>
    <n v="2482"/>
    <s v="Fed Policy Paths Reconsidered - The effects of the Feds policy response in 2022-23 are lagged and prove to be more significant than expected. Growth slows and cracks in the labor market begin to show.. Market prices in a significant recession in the US, driving a sizable risk-off react"/>
    <x v="622"/>
    <s v="Copper CMX 1"/>
    <s v="Alternative - Commodity"/>
    <s v="USD_COMD_HG_1"/>
    <s v="Alternative - Commodity"/>
    <s v="OK"/>
    <x v="2"/>
    <s v="Price Level  "/>
    <x v="2"/>
    <x v="2"/>
    <x v="142"/>
  </r>
  <r>
    <x v="80"/>
    <s v="Fed Policy Paths - Fed Engineers a Hard Landing(03/2023)    "/>
    <n v="2482"/>
    <s v="Fed Policy Paths Reconsidered - The effects of the Feds policy response in 2022-23 are lagged and prove to be more significant than expected. Growth slows and cracks in the labor market begin to show.. Market prices in a significant recession in the US, driving a sizable risk-off react"/>
    <x v="623"/>
    <s v="US IG Market"/>
    <s v="Corporate IG USD - Market"/>
    <s v="USD_IG_MARKET_SF"/>
    <s v="Corporate IG USD - Market"/>
    <s v="OK"/>
    <x v="49"/>
    <s v="Spread Yield"/>
    <x v="5"/>
    <x v="4"/>
    <x v="130"/>
  </r>
  <r>
    <x v="80"/>
    <s v="Fed Policy Paths - Fed Engineers a Hard Landing(03/2023)    "/>
    <n v="2482"/>
    <s v="Fed Policy Paths Reconsidered - The effects of the Feds policy response in 2022-23 are lagged and prove to be more significant than expected. Growth slows and cracks in the labor market begin to show.. Market prices in a significant recession in the US, driving a sizable risk-off react"/>
    <x v="624"/>
    <s v="DXY"/>
    <e v="#N/A"/>
    <s v="DXY"/>
    <e v="#N/A"/>
    <s v="BOTH #N/A"/>
    <x v="18"/>
    <s v="Dollar Index"/>
    <x v="9"/>
    <x v="2"/>
    <x v="122"/>
  </r>
  <r>
    <x v="80"/>
    <s v="Fed Policy Paths - Fed Engineers a Hard Landing(03/2023)    "/>
    <n v="2482"/>
    <s v="Fed Policy Paths Reconsidered - The effects of the Feds policy response in 2022-23 are lagged and prove to be more significant than expected. Growth slows and cracks in the labor market begin to show.. Market prices in a significant recession in the US, driving a sizable risk-off react"/>
    <x v="625"/>
    <s v="S&amp;P 500"/>
    <s v="Equity Implied Volatility"/>
    <s v="SPX"/>
    <s v="Equity Implied Volatility"/>
    <s v="OK"/>
    <x v="1"/>
    <s v="Index Level"/>
    <x v="1"/>
    <x v="1"/>
    <x v="200"/>
  </r>
  <r>
    <x v="80"/>
    <s v="Fed Policy Paths - Fed Engineers a Hard Landing(03/2023)    "/>
    <n v="2482"/>
    <s v="Fed Policy Paths Reconsidered - The effects of the Feds policy response in 2022-23 are lagged and prove to be more significant than expected. Growth slows and cracks in the labor market begin to show.. Market prices in a significant recession in the US, driving a sizable risk-off react"/>
    <x v="626"/>
    <s v="SP500 Consum Discr"/>
    <s v="Equity Implied Volatility"/>
    <s v="S5COND"/>
    <s v="Equity Implied Volatility"/>
    <s v="OK"/>
    <x v="1"/>
    <s v="Index Level"/>
    <x v="1"/>
    <x v="1"/>
    <x v="143"/>
  </r>
  <r>
    <x v="80"/>
    <s v="Fed Policy Paths - Fed Engineers a Hard Landing(03/2023)    "/>
    <n v="2482"/>
    <s v="Fed Policy Paths Reconsidered - The effects of the Feds policy response in 2022-23 are lagged and prove to be more significant than expected. Growth slows and cracks in the labor market begin to show.. Market prices in a significant recession in the US, driving a sizable risk-off react"/>
    <x v="122"/>
    <s v="Time"/>
    <e v="#N/A"/>
    <s v="ALL_TIME"/>
    <e v="#N/A"/>
    <s v="BOTH #N/A"/>
    <x v="64"/>
    <s v="Time "/>
    <x v="8"/>
    <x v="2"/>
    <x v="151"/>
  </r>
  <r>
    <x v="80"/>
    <s v="Fed Policy Paths - Fed Engineers a Hard Landing(03/2023)    "/>
    <n v="2482"/>
    <s v="Fed Policy Paths Reconsidered - The effects of the Feds policy response in 2022-23 are lagged and prove to be more significant than expected. Growth slows and cracks in the labor market begin to show.. Market prices in a significant recession in the US, driving a sizable risk-off react"/>
    <x v="627"/>
    <s v="US HY Market"/>
    <s v="Corporate HY USD - Other"/>
    <s v="USD_HY_MARKET_SF"/>
    <s v="Corporate HY USD - Other"/>
    <s v="OK"/>
    <x v="22"/>
    <s v="Spread Yield"/>
    <x v="5"/>
    <x v="4"/>
    <x v="201"/>
  </r>
  <r>
    <x v="80"/>
    <s v="Fed Policy Paths - Fed Engineers a Hard Landing(03/2023)    "/>
    <n v="2482"/>
    <s v="Fed Policy Paths Reconsidered - The effects of the Feds policy response in 2022-23 are lagged and prove to be more significant than expected. Growth slows and cracks in the labor market begin to show.. Market prices in a significant recession in the US, driving a sizable risk-off react"/>
    <x v="628"/>
    <s v="ABS Auto Subprime"/>
    <s v="ABS - Swap Spread"/>
    <s v="USD_ABS_AUTOSBPRM"/>
    <s v="ABS - Swap Spread"/>
    <s v="OK"/>
    <x v="27"/>
    <s v="Spread Yield"/>
    <x v="2"/>
    <x v="2"/>
    <x v="109"/>
  </r>
  <r>
    <x v="80"/>
    <s v="Fed Policy Paths - Fed Engineers a Hard Landing(03/2023)    "/>
    <n v="2482"/>
    <s v="Fed Policy Paths Reconsidered - The effects of the Feds policy response in 2022-23 are lagged and prove to be more significant than expected. Growth slows and cracks in the labor market begin to show.. Market prices in a significant recession in the US, driving a sizable risk-off react"/>
    <x v="629"/>
    <s v="MS Emerging Mkts"/>
    <s v="Equity Implied Volatility"/>
    <s v="Mkts"/>
    <e v="#N/A"/>
    <s v="OK"/>
    <x v="1"/>
    <s v="Index Level"/>
    <x v="1"/>
    <x v="1"/>
    <x v="139"/>
  </r>
  <r>
    <x v="81"/>
    <s v="Fed Policy Paths - Lingering Inflation (03/2023)            "/>
    <n v="2481"/>
    <s v="Fed Policy Paths Reconsidered - Lingering Inflation Proves Markets Wrong"/>
    <x v="630"/>
    <s v="Tsy 2Y"/>
    <s v="Govt USD"/>
    <s v="USD_2yr"/>
    <s v="Govt USD"/>
    <s v="OK"/>
    <x v="0"/>
    <s v="Yield  "/>
    <x v="0"/>
    <x v="0"/>
    <x v="149"/>
  </r>
  <r>
    <x v="81"/>
    <s v="Fed Policy Paths - Lingering Inflation (03/2023)            "/>
    <n v="2481"/>
    <s v="Fed Policy Paths Reconsidered - Lingering Inflation Proves Markets Wrong"/>
    <x v="631"/>
    <s v="Tsy 10Y"/>
    <s v="Govt USD"/>
    <s v="USD_10yr"/>
    <s v="Govt USD"/>
    <s v="OK"/>
    <x v="0"/>
    <s v="Yield  "/>
    <x v="0"/>
    <x v="0"/>
    <x v="130"/>
  </r>
  <r>
    <x v="81"/>
    <s v="Fed Policy Paths - Lingering Inflation (03/2023)            "/>
    <n v="2481"/>
    <s v="Fed Policy Paths Reconsidered - Lingering Inflation Proves Markets Wrong"/>
    <x v="632"/>
    <s v="USD INF 2Y"/>
    <s v="USD Inflation"/>
    <s v="USD_INF_2yr"/>
    <s v="USD Inflation"/>
    <s v="OK"/>
    <x v="8"/>
    <s v="Yield  "/>
    <x v="6"/>
    <x v="2"/>
    <x v="176"/>
  </r>
  <r>
    <x v="81"/>
    <s v="Fed Policy Paths - Lingering Inflation (03/2023)            "/>
    <n v="2481"/>
    <s v="Fed Policy Paths Reconsidered - Lingering Inflation Proves Markets Wrong"/>
    <x v="633"/>
    <s v="30yr Mtg Tsy Basis V620"/>
    <s v="Mortgage Basis"/>
    <s v="USD_mtg30_tsy_V620"/>
    <s v="Mortgage Basis"/>
    <s v="OK"/>
    <x v="25"/>
    <s v="Mortgage Basis  "/>
    <x v="2"/>
    <x v="2"/>
    <x v="135"/>
  </r>
  <r>
    <x v="81"/>
    <s v="Fed Policy Paths - Lingering Inflation (03/2023)            "/>
    <n v="2481"/>
    <s v="Fed Policy Paths Reconsidered - Lingering Inflation Proves Markets Wrong"/>
    <x v="634"/>
    <s v="Brent Crude ICE 1"/>
    <s v="Alternative - Commodity"/>
    <s v="USD_COMD_CO_1"/>
    <s v="Alternative - Commodity"/>
    <s v="OK"/>
    <x v="2"/>
    <s v="Price Level  "/>
    <x v="2"/>
    <x v="2"/>
    <x v="110"/>
  </r>
  <r>
    <x v="81"/>
    <s v="Fed Policy Paths - Lingering Inflation (03/2023)            "/>
    <n v="2481"/>
    <s v="Fed Policy Paths Reconsidered - Lingering Inflation Proves Markets Wrong"/>
    <x v="635"/>
    <s v="Norm Impl Vol 1x10"/>
    <s v="Rates Implied Volatility"/>
    <s v="USD_normvol_1y_10y"/>
    <s v="Rates Implied Volatility"/>
    <s v="OK"/>
    <x v="63"/>
    <s v="Implied Vol  "/>
    <x v="15"/>
    <x v="2"/>
    <x v="140"/>
  </r>
  <r>
    <x v="81"/>
    <s v="Fed Policy Paths - Lingering Inflation (03/2023)            "/>
    <n v="2481"/>
    <s v="Fed Policy Paths Reconsidered - Lingering Inflation Proves Markets Wrong"/>
    <x v="321"/>
    <s v="S&amp;P 500"/>
    <s v="Equity Implied Volatility"/>
    <s v="SPX"/>
    <s v="Equity Implied Volatility"/>
    <s v="OK"/>
    <x v="1"/>
    <s v="Index Level"/>
    <x v="1"/>
    <x v="1"/>
    <x v="121"/>
  </r>
  <r>
    <x v="81"/>
    <s v="Fed Policy Paths - Lingering Inflation (03/2023)            "/>
    <n v="2481"/>
    <s v="Fed Policy Paths Reconsidered - Lingering Inflation Proves Markets Wrong"/>
    <x v="122"/>
    <s v="Time"/>
    <e v="#N/A"/>
    <s v="ALL_TIME"/>
    <e v="#N/A"/>
    <s v="BOTH #N/A"/>
    <x v="64"/>
    <s v="Time "/>
    <x v="8"/>
    <x v="2"/>
    <x v="151"/>
  </r>
  <r>
    <x v="81"/>
    <s v="Fed Policy Paths - Lingering Inflation (03/2023)            "/>
    <n v="2481"/>
    <s v="Fed Policy Paths Reconsidered - Lingering Inflation Proves Markets Wrong"/>
    <x v="636"/>
    <s v="Growth"/>
    <s v="Local Styles"/>
    <s v="FMI_NAMR_GROWTH"/>
    <e v="#N/A"/>
    <s v="OK"/>
    <x v="38"/>
    <s v="Style Return  "/>
    <x v="13"/>
    <x v="1"/>
    <x v="193"/>
  </r>
  <r>
    <x v="81"/>
    <s v="Fed Policy Paths - Lingering Inflation (03/2023)            "/>
    <n v="2481"/>
    <s v="Fed Policy Paths Reconsidered - Lingering Inflation Proves Markets Wrong"/>
    <x v="637"/>
    <s v="US HY Market"/>
    <s v="Corporate HY USD - Other"/>
    <s v="USD_HY_MARKET_SF"/>
    <s v="Corporate HY USD - Other"/>
    <s v="OK"/>
    <x v="22"/>
    <s v="Spread Yield"/>
    <x v="5"/>
    <x v="4"/>
    <x v="202"/>
  </r>
  <r>
    <x v="81"/>
    <s v="Fed Policy Paths - Lingering Inflation (03/2023)            "/>
    <n v="2481"/>
    <s v="Fed Policy Paths Reconsidered - Lingering Inflation Proves Markets Wrong"/>
    <x v="160"/>
    <s v="MS Emerging Mkts"/>
    <s v="Equity Implied Volatility"/>
    <s v="Mkts"/>
    <e v="#N/A"/>
    <s v="OK"/>
    <x v="1"/>
    <s v="Index Level"/>
    <x v="1"/>
    <x v="1"/>
    <x v="122"/>
  </r>
  <r>
    <x v="82"/>
    <s v="FOMC Policy Paths-Hike Cycle Force US into Recession(6/2022)"/>
    <n v="2480"/>
    <s v="Hiking Cycle Forces US into a Recession: Due to continued inflation pressures from existing and potentially unforeseen supply shocks, the Fed is unable to engineer a soft landing. A US recession follows, resulting in a significant extension of losses incurred so far in 2022."/>
    <x v="638"/>
    <s v="Tsy 2Y"/>
    <s v="Govt USD"/>
    <s v="USD_2yr"/>
    <s v="Govt USD"/>
    <s v="OK"/>
    <x v="0"/>
    <s v="Yield  "/>
    <x v="0"/>
    <x v="0"/>
    <x v="163"/>
  </r>
  <r>
    <x v="82"/>
    <s v="FOMC Policy Paths-Hike Cycle Force US into Recession(6/2022)"/>
    <n v="2480"/>
    <s v="Hiking Cycle Forces US into a Recession: Due to continued inflation pressures from existing and potentially unforeseen supply shocks, the Fed is unable to engineer a soft landing. A US recession follows, resulting in a significant extension of losses incurred so far in 2022."/>
    <x v="599"/>
    <s v="Tsy 10Y"/>
    <s v="Govt USD"/>
    <s v="USD_10yr"/>
    <s v="Govt USD"/>
    <s v="OK"/>
    <x v="0"/>
    <s v="Yield  "/>
    <x v="0"/>
    <x v="0"/>
    <x v="140"/>
  </r>
  <r>
    <x v="82"/>
    <s v="FOMC Policy Paths-Hike Cycle Force US into Recession(6/2022)"/>
    <n v="2480"/>
    <s v="Hiking Cycle Forces US into a Recession: Due to continued inflation pressures from existing and potentially unforeseen supply shocks, the Fed is unable to engineer a soft landing. A US recession follows, resulting in a significant extension of losses incurred so far in 2022."/>
    <x v="639"/>
    <s v="USD INF 2Y"/>
    <s v="USD Inflation"/>
    <s v="USD_INF_2yr"/>
    <s v="USD Inflation"/>
    <s v="OK"/>
    <x v="8"/>
    <s v="Yield  "/>
    <x v="6"/>
    <x v="2"/>
    <x v="123"/>
  </r>
  <r>
    <x v="82"/>
    <s v="FOMC Policy Paths-Hike Cycle Force US into Recession(6/2022)"/>
    <n v="2480"/>
    <s v="Hiking Cycle Forces US into a Recession: Due to continued inflation pressures from existing and potentially unforeseen supply shocks, the Fed is unable to engineer a soft landing. A US recession follows, resulting in a significant extension of losses incurred so far in 2022."/>
    <x v="640"/>
    <s v="30yr Mtg Tsy Basis V620"/>
    <s v="Mortgage Basis"/>
    <s v="USD_mtg30_tsy_V620"/>
    <s v="Mortgage Basis"/>
    <s v="OK"/>
    <x v="25"/>
    <s v="Mortgage Basis  "/>
    <x v="2"/>
    <x v="2"/>
    <x v="140"/>
  </r>
  <r>
    <x v="82"/>
    <s v="FOMC Policy Paths-Hike Cycle Force US into Recession(6/2022)"/>
    <n v="2480"/>
    <s v="Hiking Cycle Forces US into a Recession: Due to continued inflation pressures from existing and potentially unforeseen supply shocks, the Fed is unable to engineer a soft landing. A US recession follows, resulting in a significant extension of losses incurred so far in 2022."/>
    <x v="641"/>
    <s v="Brent Crude ICE 1"/>
    <s v="Alternative - Commodity"/>
    <s v="USD_COMD_CO_1"/>
    <s v="Alternative - Commodity"/>
    <s v="OK"/>
    <x v="2"/>
    <s v="Price Level  "/>
    <x v="2"/>
    <x v="2"/>
    <x v="121"/>
  </r>
  <r>
    <x v="82"/>
    <s v="FOMC Policy Paths-Hike Cycle Force US into Recession(6/2022)"/>
    <n v="2480"/>
    <s v="Hiking Cycle Forces US into a Recession: Due to continued inflation pressures from existing and potentially unforeseen supply shocks, the Fed is unable to engineer a soft landing. A US recession follows, resulting in a significant extension of losses incurred so far in 2022."/>
    <x v="642"/>
    <s v="Norm Impl Vol 1x10"/>
    <s v="Rates Implied Volatility"/>
    <s v="USD_normvol_1y_10y"/>
    <s v="Rates Implied Volatility"/>
    <s v="OK"/>
    <x v="63"/>
    <s v="Implied Vol  "/>
    <x v="15"/>
    <x v="2"/>
    <x v="138"/>
  </r>
  <r>
    <x v="82"/>
    <s v="FOMC Policy Paths-Hike Cycle Force US into Recession(6/2022)"/>
    <n v="2480"/>
    <s v="Hiking Cycle Forces US into a Recession: Due to continued inflation pressures from existing and potentially unforeseen supply shocks, the Fed is unable to engineer a soft landing. A US recession follows, resulting in a significant extension of losses incurred so far in 2022."/>
    <x v="643"/>
    <s v="US IG Market"/>
    <s v="Corporate IG USD - Market"/>
    <s v="USD_IG_MARKET_SF"/>
    <s v="Corporate IG USD - Market"/>
    <s v="OK"/>
    <x v="49"/>
    <s v="Spread Yield"/>
    <x v="5"/>
    <x v="4"/>
    <x v="108"/>
  </r>
  <r>
    <x v="82"/>
    <s v="FOMC Policy Paths-Hike Cycle Force US into Recession(6/2022)"/>
    <n v="2480"/>
    <s v="Hiking Cycle Forces US into a Recession: Due to continued inflation pressures from existing and potentially unforeseen supply shocks, the Fed is unable to engineer a soft landing. A US recession follows, resulting in a significant extension of losses incurred so far in 2022."/>
    <x v="107"/>
    <s v="S&amp;P 500"/>
    <s v="Equity Implied Volatility"/>
    <s v="SPX"/>
    <s v="Equity Implied Volatility"/>
    <s v="OK"/>
    <x v="1"/>
    <s v="Index Level"/>
    <x v="1"/>
    <x v="1"/>
    <x v="142"/>
  </r>
  <r>
    <x v="82"/>
    <s v="FOMC Policy Paths-Hike Cycle Force US into Recession(6/2022)"/>
    <n v="2480"/>
    <s v="Hiking Cycle Forces US into a Recession: Due to continued inflation pressures from existing and potentially unforeseen supply shocks, the Fed is unable to engineer a soft landing. A US recession follows, resulting in a significant extension of losses incurred so far in 2022."/>
    <x v="122"/>
    <s v="Time"/>
    <e v="#N/A"/>
    <s v="ALL_TIME"/>
    <e v="#N/A"/>
    <s v="BOTH #N/A"/>
    <x v="64"/>
    <s v="Time "/>
    <x v="8"/>
    <x v="2"/>
    <x v="151"/>
  </r>
  <r>
    <x v="82"/>
    <s v="FOMC Policy Paths-Hike Cycle Force US into Recession(6/2022)"/>
    <n v="2480"/>
    <s v="Hiking Cycle Forces US into a Recession: Due to continued inflation pressures from existing and potentially unforeseen supply shocks, the Fed is unable to engineer a soft landing. A US recession follows, resulting in a significant extension of losses incurred so far in 2022."/>
    <x v="644"/>
    <s v="Pharmaceuticals"/>
    <s v="Health Care"/>
    <s v="FMI_WRLD_HLCPHARMA"/>
    <s v="Health Care"/>
    <s v="OK"/>
    <x v="20"/>
    <s v="Industry Return  "/>
    <x v="4"/>
    <x v="1"/>
    <x v="125"/>
  </r>
  <r>
    <x v="82"/>
    <s v="FOMC Policy Paths-Hike Cycle Force US into Recession(6/2022)"/>
    <n v="2480"/>
    <s v="Hiking Cycle Forces US into a Recession: Due to continued inflation pressures from existing and potentially unforeseen supply shocks, the Fed is unable to engineer a soft landing. A US recession follows, resulting in a significant extension of losses incurred so far in 2022."/>
    <x v="645"/>
    <s v="Software  Svcs x Data Proc"/>
    <e v="#N/A"/>
    <s v="FMI_WRLD_ITCSOFTXDA"/>
    <s v="Information Technology"/>
    <s v="OK"/>
    <x v="5"/>
    <s v="Industry Return  "/>
    <x v="4"/>
    <x v="1"/>
    <x v="128"/>
  </r>
  <r>
    <x v="82"/>
    <s v="FOMC Policy Paths-Hike Cycle Force US into Recession(6/2022)"/>
    <n v="2480"/>
    <s v="Hiking Cycle Forces US into a Recession: Due to continued inflation pressures from existing and potentially unforeseen supply shocks, the Fed is unable to engineer a soft landing. A US recession follows, resulting in a significant extension of losses incurred so far in 2022."/>
    <x v="646"/>
    <s v="US HY Market"/>
    <s v="Corporate HY USD - Other"/>
    <s v="Market"/>
    <e v="#N/A"/>
    <s v="OK"/>
    <x v="22"/>
    <s v="Spread Yield"/>
    <x v="5"/>
    <x v="4"/>
    <x v="158"/>
  </r>
  <r>
    <x v="83"/>
    <s v="Major terror attack(s)                                      "/>
    <n v="2204"/>
    <s v="A terror attack leads to significant loss of life and commercial disruption."/>
    <x v="647"/>
    <s v="Tsy 10Y"/>
    <s v="Govt USD"/>
    <s v="USD_10yr"/>
    <s v="Govt USD"/>
    <s v="OK"/>
    <x v="0"/>
    <s v="Yield  "/>
    <x v="0"/>
    <x v="0"/>
    <x v="124"/>
  </r>
  <r>
    <x v="83"/>
    <s v="Major terror attack(s)                                      "/>
    <n v="2204"/>
    <s v="A terror attack leads to significant loss of life and commercial disruption."/>
    <x v="648"/>
    <s v="DEM 10Y"/>
    <s v="Govt EUR (Ger)"/>
    <s v="EUR_10yr"/>
    <s v="Govt EUR (Ger)"/>
    <s v="OK"/>
    <x v="9"/>
    <s v="Yield  "/>
    <x v="0"/>
    <x v="0"/>
    <x v="123"/>
  </r>
  <r>
    <x v="83"/>
    <s v="Major terror attack(s)                                      "/>
    <n v="2204"/>
    <s v="A terror attack leads to significant loss of life and commercial disruption."/>
    <x v="198"/>
    <s v="JPY/USD"/>
    <s v="JPY"/>
    <s v="JPY_FX_USD"/>
    <s v="JPY"/>
    <s v="OK"/>
    <x v="11"/>
    <s v="FX  "/>
    <x v="3"/>
    <x v="3"/>
    <x v="112"/>
  </r>
  <r>
    <x v="83"/>
    <s v="Major terror attack(s)                                      "/>
    <n v="2204"/>
    <s v="A terror attack leads to significant loss of life and commercial disruption."/>
    <x v="649"/>
    <s v="MSCI EUROPE(EUR)"/>
    <s v="Equity Implied Volatility"/>
    <s v="MXEU"/>
    <s v="Equity Implied Volatility"/>
    <s v="OK"/>
    <x v="1"/>
    <s v="Index Level"/>
    <x v="1"/>
    <x v="1"/>
    <x v="113"/>
  </r>
  <r>
    <x v="83"/>
    <s v="Major terror attack(s)                                      "/>
    <n v="2204"/>
    <s v="A terror attack leads to significant loss of life and commercial disruption."/>
    <x v="650"/>
    <s v="Airlines"/>
    <e v="#N/A"/>
    <s v="FMI_EMEA_INDAIRLINE"/>
    <e v="#N/A"/>
    <s v="BOTH #N/A"/>
    <x v="4"/>
    <s v="Industrials"/>
    <x v="4"/>
    <x v="1"/>
    <x v="128"/>
  </r>
  <r>
    <x v="84"/>
    <s v="Global Growth Uncertainty - Central Banks Extend the Cycle  "/>
    <n v="2433"/>
    <s v="Central banks continue easing in an effort to prolong the current economic cycle, though heightened uncertainty results in increased market volatility."/>
    <x v="651"/>
    <s v="GSCI"/>
    <s v="Alternative - Commodity"/>
    <s v="GSCIINDX"/>
    <s v="Alternative - Commodity"/>
    <s v="OK"/>
    <x v="2"/>
    <s v="Price Level  "/>
    <x v="2"/>
    <x v="2"/>
    <x v="116"/>
  </r>
  <r>
    <x v="84"/>
    <s v="Global Growth Uncertainty - Central Banks Extend the Cycle  "/>
    <n v="2433"/>
    <s v="Central banks continue easing in an effort to prolong the current economic cycle, though heightened uncertainty results in increased market volatility."/>
    <x v="133"/>
    <s v="DXY"/>
    <e v="#N/A"/>
    <s v="DXY"/>
    <e v="#N/A"/>
    <s v="BOTH #N/A"/>
    <x v="18"/>
    <s v="Dollar Index"/>
    <x v="9"/>
    <x v="2"/>
    <x v="112"/>
  </r>
  <r>
    <x v="84"/>
    <s v="Global Growth Uncertainty - Central Banks Extend the Cycle  "/>
    <n v="2433"/>
    <s v="Central banks continue easing in an effort to prolong the current economic cycle, though heightened uncertainty results in increased market volatility."/>
    <x v="293"/>
    <s v="VIX"/>
    <s v="Equity Implied Volatility"/>
    <s v="VIX"/>
    <s v="Equity Implied Volatility"/>
    <s v="OK"/>
    <x v="1"/>
    <s v="Index Level"/>
    <x v="1"/>
    <x v="1"/>
    <x v="112"/>
  </r>
  <r>
    <x v="84"/>
    <s v="Global Growth Uncertainty - Central Banks Extend the Cycle  "/>
    <n v="2433"/>
    <s v="Central banks continue easing in an effort to prolong the current economic cycle, though heightened uncertainty results in increased market volatility."/>
    <x v="282"/>
    <s v="Time"/>
    <e v="#N/A"/>
    <s v="ALL_TIME"/>
    <e v="#N/A"/>
    <s v="BOTH #N/A"/>
    <x v="64"/>
    <s v="Time "/>
    <x v="8"/>
    <x v="2"/>
    <x v="115"/>
  </r>
  <r>
    <x v="84"/>
    <s v="Global Growth Uncertainty - Central Banks Extend the Cycle  "/>
    <n v="2433"/>
    <s v="Central banks continue easing in an effort to prolong the current economic cycle, though heightened uncertainty results in increased market volatility."/>
    <x v="652"/>
    <s v="ESP 10Y"/>
    <s v="Spread Govt Peripheral EUR (ex ITA)"/>
    <s v="10Y"/>
    <e v="#N/A"/>
    <s v="OK"/>
    <x v="50"/>
    <s v="Spread Yield"/>
    <x v="11"/>
    <x v="0"/>
    <x v="164"/>
  </r>
  <r>
    <x v="84"/>
    <s v="Global Growth Uncertainty - Central Banks Extend the Cycle  "/>
    <n v="2433"/>
    <s v="Central banks continue easing in an effort to prolong the current economic cycle, though heightened uncertainty results in increased market volatility."/>
    <x v="653"/>
    <s v="MSCI World xUS"/>
    <s v="Equity Implied Volatility"/>
    <s v="xUS"/>
    <e v="#N/A"/>
    <s v="OK"/>
    <x v="1"/>
    <s v="Index Level"/>
    <x v="1"/>
    <x v="1"/>
    <x v="113"/>
  </r>
  <r>
    <x v="85"/>
    <s v="Global Growth Uncertainty - Trade Tensions Risk Recession   "/>
    <n v="2432"/>
    <s v="Trade tensions continue to weigh on margins and profitability, thereby hampering business confidence and capex. Further escalation between China and the US edges economies closer to recession."/>
    <x v="611"/>
    <s v="Tsy 2Y"/>
    <s v="Govt USD"/>
    <s v="USD_2yr"/>
    <s v="Govt USD"/>
    <s v="OK"/>
    <x v="0"/>
    <s v="Yield  "/>
    <x v="0"/>
    <x v="0"/>
    <x v="197"/>
  </r>
  <r>
    <x v="85"/>
    <s v="Global Growth Uncertainty - Trade Tensions Risk Recession   "/>
    <n v="2432"/>
    <s v="Trade tensions continue to weigh on margins and profitability, thereby hampering business confidence and capex. Further escalation between China and the US edges economies closer to recession."/>
    <x v="148"/>
    <s v="Tsy 10Y"/>
    <s v="Govt USD"/>
    <s v="USD_10yr"/>
    <s v="Govt USD"/>
    <s v="OK"/>
    <x v="0"/>
    <s v="Yield  "/>
    <x v="0"/>
    <x v="0"/>
    <x v="155"/>
  </r>
  <r>
    <x v="85"/>
    <s v="Global Growth Uncertainty - Trade Tensions Risk Recession   "/>
    <n v="2432"/>
    <s v="Trade tensions continue to weigh on margins and profitability, thereby hampering business confidence and capex. Further escalation between China and the US edges economies closer to recession."/>
    <x v="654"/>
    <s v="Crude Oil NYME 1"/>
    <s v="Alternative - Commodity"/>
    <s v="USD_COMD_CL_1"/>
    <s v="Alternative - Commodity"/>
    <s v="OK"/>
    <x v="2"/>
    <s v="Price Level  "/>
    <x v="2"/>
    <x v="2"/>
    <x v="142"/>
  </r>
  <r>
    <x v="85"/>
    <s v="Global Growth Uncertainty - Trade Tensions Risk Recession   "/>
    <n v="2432"/>
    <s v="Trade tensions continue to weigh on margins and profitability, thereby hampering business confidence and capex. Further escalation between China and the US edges economies closer to recession."/>
    <x v="121"/>
    <s v="JPY/USD"/>
    <s v="JPY"/>
    <s v="JPY_FX_USD"/>
    <s v="JPY"/>
    <s v="OK"/>
    <x v="11"/>
    <s v="FX  "/>
    <x v="3"/>
    <x v="3"/>
    <x v="125"/>
  </r>
  <r>
    <x v="85"/>
    <s v="Global Growth Uncertainty - Trade Tensions Risk Recession   "/>
    <n v="2432"/>
    <s v="Trade tensions continue to weigh on margins and profitability, thereby hampering business confidence and capex. Further escalation between China and the US edges economies closer to recession."/>
    <x v="133"/>
    <s v="DXY"/>
    <e v="#N/A"/>
    <s v="DXY"/>
    <e v="#N/A"/>
    <s v="BOTH #N/A"/>
    <x v="18"/>
    <s v="Dollar Index"/>
    <x v="9"/>
    <x v="2"/>
    <x v="112"/>
  </r>
  <r>
    <x v="85"/>
    <s v="Global Growth Uncertainty - Trade Tensions Risk Recession   "/>
    <n v="2432"/>
    <s v="Trade tensions continue to weigh on margins and profitability, thereby hampering business confidence and capex. Further escalation between China and the US edges economies closer to recession."/>
    <x v="258"/>
    <s v="MSCI World Net TR"/>
    <s v="Equity Implied Volatility"/>
    <s v="MSCIWLDNET"/>
    <s v="Equity Implied Volatility"/>
    <s v="OK"/>
    <x v="1"/>
    <s v="Index Level"/>
    <x v="1"/>
    <x v="1"/>
    <x v="121"/>
  </r>
  <r>
    <x v="85"/>
    <s v="Global Growth Uncertainty - Trade Tensions Risk Recession   "/>
    <n v="2432"/>
    <s v="Trade tensions continue to weigh on margins and profitability, thereby hampering business confidence and capex. Further escalation between China and the US edges economies closer to recession."/>
    <x v="282"/>
    <s v="Time"/>
    <e v="#N/A"/>
    <s v="ALL_TIME"/>
    <e v="#N/A"/>
    <s v="BOTH #N/A"/>
    <x v="64"/>
    <s v="Time "/>
    <x v="8"/>
    <x v="2"/>
    <x v="115"/>
  </r>
  <r>
    <x v="85"/>
    <s v="Global Growth Uncertainty - Trade Tensions Risk Recession   "/>
    <n v="2432"/>
    <s v="Trade tensions continue to weigh on margins and profitability, thereby hampering business confidence and capex. Further escalation between China and the US edges economies closer to recession."/>
    <x v="137"/>
    <s v="EMBIG DxS"/>
    <s v="Spread Emerging Markets - Country"/>
    <s v="USD_EM_DS_G"/>
    <s v="Spread Emerging Markets - Country"/>
    <s v="OK"/>
    <x v="29"/>
    <s v="Spread Yield"/>
    <x v="5"/>
    <x v="4"/>
    <x v="109"/>
  </r>
  <r>
    <x v="85"/>
    <s v="Global Growth Uncertainty - Trade Tensions Risk Recession   "/>
    <n v="2432"/>
    <s v="Trade tensions continue to weigh on margins and profitability, thereby hampering business confidence and capex. Further escalation between China and the US edges economies closer to recession."/>
    <x v="655"/>
    <s v="US HY Market"/>
    <s v="Corporate HY USD - Other"/>
    <s v="USD_HY_MARKET"/>
    <s v="Corporate HY USD - Other"/>
    <s v="OK"/>
    <x v="22"/>
    <s v="Spread Yield"/>
    <x v="5"/>
    <x v="4"/>
    <x v="203"/>
  </r>
  <r>
    <x v="85"/>
    <s v="Global Growth Uncertainty - Trade Tensions Risk Recession   "/>
    <n v="2432"/>
    <s v="Trade tensions continue to weigh on margins and profitability, thereby hampering business confidence and capex. Further escalation between China and the US edges economies closer to recession."/>
    <x v="656"/>
    <s v="MS Emerging Mkts"/>
    <s v="Equity Implied Volatility"/>
    <s v="Mkts"/>
    <e v="#N/A"/>
    <s v="OK"/>
    <x v="1"/>
    <s v="Index Level"/>
    <x v="1"/>
    <x v="1"/>
    <x v="122"/>
  </r>
  <r>
    <x v="86"/>
    <s v="Global Growth Uncertainty - US Policy Mistake               "/>
    <n v="2431"/>
    <s v="Markets expect central banks to continue easing in order to ward off the downside risks of a contraction. However, central banks disappoint with less accommodative monetary policy than anticipated."/>
    <x v="586"/>
    <s v="Tsy 2Y"/>
    <s v="Govt USD"/>
    <s v="USD_2yr"/>
    <s v="Govt USD"/>
    <s v="OK"/>
    <x v="0"/>
    <s v="Yield  "/>
    <x v="0"/>
    <x v="0"/>
    <x v="195"/>
  </r>
  <r>
    <x v="86"/>
    <s v="Global Growth Uncertainty - US Policy Mistake               "/>
    <n v="2431"/>
    <s v="Markets expect central banks to continue easing in order to ward off the downside risks of a contraction. However, central banks disappoint with less accommodative monetary policy than anticipated."/>
    <x v="657"/>
    <s v="US Cash Bonds HY"/>
    <e v="#N/A"/>
    <s v="USD_LEH_HY3"/>
    <e v="#N/A"/>
    <s v="BOTH #N/A"/>
    <x v="26"/>
    <s v="Corporate IG USD - Other"/>
    <x v="5"/>
    <x v="4"/>
    <x v="120"/>
  </r>
  <r>
    <x v="86"/>
    <s v="Global Growth Uncertainty - US Policy Mistake               "/>
    <n v="2431"/>
    <s v="Markets expect central banks to continue easing in order to ward off the downside risks of a contraction. However, central banks disappoint with less accommodative monetary policy than anticipated."/>
    <x v="658"/>
    <s v="S&amp;P 500"/>
    <s v="Equity Implied Volatility"/>
    <s v="SPX"/>
    <s v="Equity Implied Volatility"/>
    <s v="OK"/>
    <x v="1"/>
    <s v="Index Level"/>
    <x v="1"/>
    <x v="1"/>
    <x v="156"/>
  </r>
  <r>
    <x v="86"/>
    <s v="Global Growth Uncertainty - US Policy Mistake               "/>
    <n v="2431"/>
    <s v="Markets expect central banks to continue easing in order to ward off the downside risks of a contraction. However, central banks disappoint with less accommodative monetary policy than anticipated."/>
    <x v="227"/>
    <s v="VIX"/>
    <s v="Equity Implied Volatility"/>
    <s v="VIX"/>
    <s v="Equity Implied Volatility"/>
    <s v="OK"/>
    <x v="1"/>
    <s v="Index Level"/>
    <x v="1"/>
    <x v="1"/>
    <x v="148"/>
  </r>
  <r>
    <x v="86"/>
    <s v="Global Growth Uncertainty - US Policy Mistake               "/>
    <n v="2431"/>
    <s v="Markets expect central banks to continue easing in order to ward off the downside risks of a contraction. However, central banks disappoint with less accommodative monetary policy than anticipated."/>
    <x v="282"/>
    <s v="Time"/>
    <e v="#N/A"/>
    <s v="ALL_TIME"/>
    <e v="#N/A"/>
    <s v="BOTH #N/A"/>
    <x v="64"/>
    <s v="Time "/>
    <x v="8"/>
    <x v="2"/>
    <x v="115"/>
  </r>
  <r>
    <x v="86"/>
    <s v="Global Growth Uncertainty - US Policy Mistake               "/>
    <n v="2431"/>
    <s v="Markets expect central banks to continue easing in order to ward off the downside risks of a contraction. However, central banks disappoint with less accommodative monetary policy than anticipated."/>
    <x v="272"/>
    <s v="MS Emerging Mkts"/>
    <s v="Equity Implied Volatility"/>
    <s v="Mkts"/>
    <e v="#N/A"/>
    <s v="OK"/>
    <x v="1"/>
    <s v="Index Level"/>
    <x v="1"/>
    <x v="1"/>
    <x v="191"/>
  </r>
  <r>
    <x v="86"/>
    <s v="Global Growth Uncertainty - US Policy Mistake               "/>
    <n v="2431"/>
    <s v="Markets expect central banks to continue easing in order to ward off the downside risks of a contraction. However, central banks disappoint with less accommodative monetary policy than anticipated."/>
    <x v="659"/>
    <s v="S&amp;P 500 Consumer Staples Index"/>
    <s v="Other - Index"/>
    <s v="Index"/>
    <e v="#N/A"/>
    <s v="OK"/>
    <x v="12"/>
    <s v="Index Level"/>
    <x v="7"/>
    <x v="2"/>
    <x v="148"/>
  </r>
  <r>
    <x v="87"/>
    <s v="Gulf Escalation - Military Action in the Gulf               "/>
    <n v="2425"/>
    <s v="Escalating tensions in the Gulf lead to direct military action in the region."/>
    <x v="238"/>
    <s v="Tsy 10Y"/>
    <s v="Govt USD"/>
    <s v="USD_10yr"/>
    <s v="Govt USD"/>
    <s v="OK"/>
    <x v="0"/>
    <s v="Yield  "/>
    <x v="0"/>
    <x v="0"/>
    <x v="137"/>
  </r>
  <r>
    <x v="87"/>
    <s v="Gulf Escalation - Military Action in the Gulf               "/>
    <n v="2425"/>
    <s v="Escalating tensions in the Gulf lead to direct military action in the region."/>
    <x v="660"/>
    <s v="Brent Crude ICE 1"/>
    <s v="Alternative - Commodity"/>
    <s v="USD_COMD_CO_1"/>
    <s v="Alternative - Commodity"/>
    <s v="OK"/>
    <x v="2"/>
    <s v="Price Level  "/>
    <x v="2"/>
    <x v="2"/>
    <x v="169"/>
  </r>
  <r>
    <x v="87"/>
    <s v="Gulf Escalation - Military Action in the Gulf               "/>
    <n v="2425"/>
    <s v="Escalating tensions in the Gulf lead to direct military action in the region."/>
    <x v="317"/>
    <s v="Gold COMEX 1"/>
    <s v="Alternative - Commodity"/>
    <s v="USD_COMD_GC_1"/>
    <s v="Alternative - Commodity"/>
    <s v="OK"/>
    <x v="2"/>
    <s v="Price Level  "/>
    <x v="2"/>
    <x v="2"/>
    <x v="139"/>
  </r>
  <r>
    <x v="87"/>
    <s v="Gulf Escalation - Military Action in the Gulf               "/>
    <n v="2425"/>
    <s v="Escalating tensions in the Gulf lead to direct military action in the region."/>
    <x v="155"/>
    <s v="S&amp;P 500"/>
    <s v="Equity Implied Volatility"/>
    <s v="SPX"/>
    <s v="Equity Implied Volatility"/>
    <s v="OK"/>
    <x v="1"/>
    <s v="Index Level"/>
    <x v="1"/>
    <x v="1"/>
    <x v="114"/>
  </r>
  <r>
    <x v="87"/>
    <s v="Gulf Escalation - Military Action in the Gulf               "/>
    <n v="2425"/>
    <s v="Escalating tensions in the Gulf lead to direct military action in the region."/>
    <x v="661"/>
    <s v="MSCI World Net TR"/>
    <s v="Equity Implied Volatility"/>
    <s v="MSCIWLDNET"/>
    <s v="Equity Implied Volatility"/>
    <s v="OK"/>
    <x v="1"/>
    <s v="Index Level"/>
    <x v="1"/>
    <x v="1"/>
    <x v="156"/>
  </r>
  <r>
    <x v="87"/>
    <s v="Gulf Escalation - Military Action in the Gulf               "/>
    <n v="2425"/>
    <s v="Escalating tensions in the Gulf lead to direct military action in the region."/>
    <x v="282"/>
    <s v="Time"/>
    <e v="#N/A"/>
    <s v="ALL_TIME"/>
    <e v="#N/A"/>
    <s v="BOTH #N/A"/>
    <x v="64"/>
    <s v="Time "/>
    <x v="8"/>
    <x v="2"/>
    <x v="115"/>
  </r>
  <r>
    <x v="87"/>
    <s v="Gulf Escalation - Military Action in the Gulf               "/>
    <n v="2425"/>
    <s v="Escalating tensions in the Gulf lead to direct military action in the region."/>
    <x v="577"/>
    <s v="US HY Market"/>
    <s v="Corporate HY USD - Other"/>
    <s v="USD_HY_MARKET"/>
    <s v="Corporate HY USD - Other"/>
    <s v="OK"/>
    <x v="22"/>
    <s v="Spread Yield"/>
    <x v="5"/>
    <x v="4"/>
    <x v="109"/>
  </r>
  <r>
    <x v="87"/>
    <s v="Gulf Escalation - Military Action in the Gulf               "/>
    <n v="2425"/>
    <s v="Escalating tensions in the Gulf lead to direct military action in the region."/>
    <x v="662"/>
    <s v="MSCI World Energy"/>
    <s v="Other - Index"/>
    <s v="Energy"/>
    <e v="#N/A"/>
    <s v="OK"/>
    <x v="12"/>
    <s v="Index Level"/>
    <x v="7"/>
    <x v="2"/>
    <x v="166"/>
  </r>
  <r>
    <x v="88"/>
    <s v="Gulf Tensions - Missile Strikes Hit Saudi Arabia            "/>
    <n v="2534"/>
    <s v="US backs Saudi Arabia in its response to a series of missile strikes, causing oil prices to rise significantly as global markets underperform."/>
    <x v="238"/>
    <s v="Tsy 10Y"/>
    <s v="Govt USD"/>
    <s v="USD_10yr"/>
    <s v="Govt USD"/>
    <s v="OK"/>
    <x v="0"/>
    <s v="Yield  "/>
    <x v="0"/>
    <x v="0"/>
    <x v="137"/>
  </r>
  <r>
    <x v="88"/>
    <s v="Gulf Tensions - Missile Strikes Hit Saudi Arabia            "/>
    <n v="2534"/>
    <s v="US backs Saudi Arabia in its response to a series of missile strikes, causing oil prices to rise significantly as global markets underperform."/>
    <x v="663"/>
    <s v="Brent Crude ICE 1"/>
    <s v="Alternative - Commodity"/>
    <s v="USD_COMD_CO_1"/>
    <s v="Alternative - Commodity"/>
    <s v="OK"/>
    <x v="2"/>
    <s v="Price Level  "/>
    <x v="2"/>
    <x v="2"/>
    <x v="179"/>
  </r>
  <r>
    <x v="88"/>
    <s v="Gulf Tensions - Missile Strikes Hit Saudi Arabia            "/>
    <n v="2534"/>
    <s v="US backs Saudi Arabia in its response to a series of missile strikes, causing oil prices to rise significantly as global markets underperform."/>
    <x v="133"/>
    <s v="DXY"/>
    <e v="#N/A"/>
    <s v="DXY"/>
    <e v="#N/A"/>
    <s v="BOTH #N/A"/>
    <x v="18"/>
    <s v="Dollar Index"/>
    <x v="9"/>
    <x v="2"/>
    <x v="112"/>
  </r>
  <r>
    <x v="88"/>
    <s v="Gulf Tensions - Missile Strikes Hit Saudi Arabia            "/>
    <n v="2534"/>
    <s v="US backs Saudi Arabia in its response to a series of missile strikes, causing oil prices to rise significantly as global markets underperform."/>
    <x v="281"/>
    <s v="MSCI World Net TR"/>
    <s v="Equity Implied Volatility"/>
    <s v="MSCIWLDNET"/>
    <s v="Equity Implied Volatility"/>
    <s v="OK"/>
    <x v="1"/>
    <s v="Index Level"/>
    <x v="1"/>
    <x v="1"/>
    <x v="114"/>
  </r>
  <r>
    <x v="88"/>
    <s v="Gulf Tensions - Missile Strikes Hit Saudi Arabia            "/>
    <n v="2534"/>
    <s v="US backs Saudi Arabia in its response to a series of missile strikes, causing oil prices to rise significantly as global markets underperform."/>
    <x v="282"/>
    <s v="Time"/>
    <e v="#N/A"/>
    <s v="ALL_TIME"/>
    <e v="#N/A"/>
    <s v="BOTH #N/A"/>
    <x v="64"/>
    <s v="Time "/>
    <x v="8"/>
    <x v="2"/>
    <x v="115"/>
  </r>
  <r>
    <x v="88"/>
    <s v="Gulf Tensions - Missile Strikes Hit Saudi Arabia            "/>
    <n v="2534"/>
    <s v="US backs Saudi Arabia in its response to a series of missile strikes, causing oil prices to rise significantly as global markets underperform."/>
    <x v="664"/>
    <s v="Aerospace &amp; Defense"/>
    <s v="Industrials"/>
    <s v="FMI_WRLD_INDAIRDEF"/>
    <s v="Industrials"/>
    <s v="OK"/>
    <x v="4"/>
    <s v="Industry Return  "/>
    <x v="4"/>
    <x v="1"/>
    <x v="107"/>
  </r>
  <r>
    <x v="88"/>
    <s v="Gulf Tensions - Missile Strikes Hit Saudi Arabia            "/>
    <n v="2534"/>
    <s v="US backs Saudi Arabia in its response to a series of missile strikes, causing oil prices to rise significantly as global markets underperform."/>
    <x v="665"/>
    <s v="US HY Oil Field Services"/>
    <s v="Corporate HY USD - Industry"/>
    <s v="USD_HY_OILM"/>
    <s v="Corporate HY USD - Industry"/>
    <s v="OK"/>
    <x v="6"/>
    <s v="Spread Yield"/>
    <x v="5"/>
    <x v="4"/>
    <x v="134"/>
  </r>
  <r>
    <x v="88"/>
    <s v="Gulf Tensions - Missile Strikes Hit Saudi Arabia            "/>
    <n v="2534"/>
    <s v="US backs Saudi Arabia in its response to a series of missile strikes, causing oil prices to rise significantly as global markets underperform."/>
    <x v="666"/>
    <s v="US HY Market"/>
    <s v="Corporate HY USD - Other"/>
    <s v="USD_HY_MARKET"/>
    <s v="Corporate HY USD - Other"/>
    <s v="OK"/>
    <x v="22"/>
    <s v="Spread Yield"/>
    <x v="5"/>
    <x v="4"/>
    <x v="149"/>
  </r>
  <r>
    <x v="88"/>
    <s v="Gulf Tensions - Missile Strikes Hit Saudi Arabia            "/>
    <n v="2534"/>
    <s v="US backs Saudi Arabia in its response to a series of missile strikes, causing oil prices to rise significantly as global markets underperform."/>
    <x v="667"/>
    <s v="MSCI World Energy"/>
    <s v="Other - Index"/>
    <s v="MSENRG_LCL"/>
    <s v="Other - Index"/>
    <s v="OK"/>
    <x v="12"/>
    <s v="Index Level"/>
    <x v="7"/>
    <x v="2"/>
    <x v="125"/>
  </r>
  <r>
    <x v="89"/>
    <s v="Gulf Tensions - US Leaves Iran Nuclear Deal                 "/>
    <n v="2535"/>
    <s v="US leaves the nuclear deal with Iran and re-imposes sanctions triggering a flight-to-safety."/>
    <x v="254"/>
    <s v="Tsy 10Y"/>
    <s v="Govt USD"/>
    <s v="USD_10yr"/>
    <s v="Govt USD"/>
    <s v="OK"/>
    <x v="0"/>
    <s v="Yield  "/>
    <x v="0"/>
    <x v="0"/>
    <x v="105"/>
  </r>
  <r>
    <x v="89"/>
    <s v="Gulf Tensions - US Leaves Iran Nuclear Deal                 "/>
    <n v="2535"/>
    <s v="US leaves the nuclear deal with Iran and re-imposes sanctions triggering a flight-to-safety."/>
    <x v="298"/>
    <s v="Gold COMEX 1"/>
    <s v="Alternative - Commodity"/>
    <s v="USD_COMD_GC_1"/>
    <s v="Alternative - Commodity"/>
    <s v="OK"/>
    <x v="2"/>
    <s v="Price Level  "/>
    <x v="2"/>
    <x v="2"/>
    <x v="112"/>
  </r>
  <r>
    <x v="89"/>
    <s v="Gulf Tensions - US Leaves Iran Nuclear Deal                 "/>
    <n v="2535"/>
    <s v="US leaves the nuclear deal with Iran and re-imposes sanctions triggering a flight-to-safety."/>
    <x v="668"/>
    <s v="Brent Crude ICE 12"/>
    <s v="Alternative - Commodity"/>
    <s v="USD_COMD_CO_12"/>
    <s v="Alternative - Commodity"/>
    <s v="OK"/>
    <x v="2"/>
    <s v="Price Level  "/>
    <x v="2"/>
    <x v="2"/>
    <x v="125"/>
  </r>
  <r>
    <x v="89"/>
    <s v="Gulf Tensions - US Leaves Iran Nuclear Deal                 "/>
    <n v="2535"/>
    <s v="US leaves the nuclear deal with Iran and re-imposes sanctions triggering a flight-to-safety."/>
    <x v="105"/>
    <s v="DEM 10Y"/>
    <s v="Govt EUR (Ger)"/>
    <s v="EUR_10yr"/>
    <s v="Govt EUR (Ger)"/>
    <s v="OK"/>
    <x v="9"/>
    <s v="Yield  "/>
    <x v="0"/>
    <x v="0"/>
    <x v="105"/>
  </r>
  <r>
    <x v="89"/>
    <s v="Gulf Tensions - US Leaves Iran Nuclear Deal                 "/>
    <n v="2535"/>
    <s v="US leaves the nuclear deal with Iran and re-imposes sanctions triggering a flight-to-safety."/>
    <x v="121"/>
    <s v="JPY/USD"/>
    <s v="JPY"/>
    <s v="JPY_FX_USD"/>
    <s v="JPY"/>
    <s v="OK"/>
    <x v="11"/>
    <s v="FX  "/>
    <x v="3"/>
    <x v="3"/>
    <x v="125"/>
  </r>
  <r>
    <x v="89"/>
    <s v="Gulf Tensions - US Leaves Iran Nuclear Deal                 "/>
    <n v="2535"/>
    <s v="US leaves the nuclear deal with Iran and re-imposes sanctions triggering a flight-to-safety."/>
    <x v="587"/>
    <s v="S&amp;P 500"/>
    <s v="Equity Implied Volatility"/>
    <s v="SPX"/>
    <s v="Equity Implied Volatility"/>
    <s v="OK"/>
    <x v="1"/>
    <s v="Index Level"/>
    <x v="1"/>
    <x v="1"/>
    <x v="122"/>
  </r>
  <r>
    <x v="89"/>
    <s v="Gulf Tensions - US Leaves Iran Nuclear Deal                 "/>
    <n v="2535"/>
    <s v="US leaves the nuclear deal with Iran and re-imposes sanctions triggering a flight-to-safety."/>
    <x v="669"/>
    <s v="China Shenzhen SEAll"/>
    <s v="Equity Implied Volatility"/>
    <s v="SZCOMP"/>
    <s v="Equity Implied Volatility"/>
    <s v="OK"/>
    <x v="1"/>
    <s v="Index Level"/>
    <x v="1"/>
    <x v="1"/>
    <x v="112"/>
  </r>
  <r>
    <x v="89"/>
    <s v="Gulf Tensions - US Leaves Iran Nuclear Deal                 "/>
    <n v="2535"/>
    <s v="US leaves the nuclear deal with Iran and re-imposes sanctions triggering a flight-to-safety."/>
    <x v="282"/>
    <s v="Time"/>
    <e v="#N/A"/>
    <s v="ALL_TIME"/>
    <e v="#N/A"/>
    <s v="BOTH #N/A"/>
    <x v="64"/>
    <s v="Time "/>
    <x v="8"/>
    <x v="2"/>
    <x v="115"/>
  </r>
  <r>
    <x v="89"/>
    <s v="Gulf Tensions - US Leaves Iran Nuclear Deal                 "/>
    <n v="2535"/>
    <s v="US leaves the nuclear deal with Iran and re-imposes sanctions triggering a flight-to-safety."/>
    <x v="670"/>
    <s v="Integrated Oil &amp; Gas"/>
    <e v="#N/A"/>
    <s v="Gas"/>
    <e v="#N/A"/>
    <s v="BOTH #N/A"/>
    <x v="40"/>
    <s v="Energy"/>
    <x v="4"/>
    <x v="1"/>
    <x v="122"/>
  </r>
  <r>
    <x v="89"/>
    <s v="Gulf Tensions - US Leaves Iran Nuclear Deal                 "/>
    <n v="2535"/>
    <s v="US leaves the nuclear deal with Iran and re-imposes sanctions triggering a flight-to-safety."/>
    <x v="671"/>
    <s v="US Cash Bonds IG"/>
    <s v="Corporate IG USD - Other"/>
    <s v="IG"/>
    <e v="#N/A"/>
    <s v="OK"/>
    <x v="26"/>
    <s v="Corporate IG USD - Other"/>
    <x v="5"/>
    <x v="4"/>
    <x v="138"/>
  </r>
  <r>
    <x v="90"/>
    <s v="Gulf Tensions - Internal Strife in Saudi Arabia             "/>
    <n v="2536"/>
    <s v="A rise in political instability in Saudi Arabia roils regional markets and puts upward pressure on oil prices."/>
    <x v="400"/>
    <s v="Brent Crude ICE 1"/>
    <s v="Alternative - Commodity"/>
    <s v="USD_COMD_CO_1"/>
    <s v="Alternative - Commodity"/>
    <s v="OK"/>
    <x v="2"/>
    <s v="Price Level  "/>
    <x v="2"/>
    <x v="2"/>
    <x v="148"/>
  </r>
  <r>
    <x v="90"/>
    <s v="Gulf Tensions - Internal Strife in Saudi Arabia             "/>
    <n v="2536"/>
    <s v="A rise in political instability in Saudi Arabia roils regional markets and puts upward pressure on oil prices."/>
    <x v="672"/>
    <s v="Brent Crude ICE 6"/>
    <s v="Alternative - Commodity"/>
    <s v="USD_COMD_CO_6"/>
    <s v="Alternative - Commodity"/>
    <s v="OK"/>
    <x v="2"/>
    <s v="Price Level  "/>
    <x v="2"/>
    <x v="2"/>
    <x v="139"/>
  </r>
  <r>
    <x v="90"/>
    <s v="Gulf Tensions - Internal Strife in Saudi Arabia             "/>
    <n v="2536"/>
    <s v="A rise in political instability in Saudi Arabia roils regional markets and puts upward pressure on oil prices."/>
    <x v="673"/>
    <s v="MSCI World Net TR"/>
    <s v="Equity Implied Volatility"/>
    <s v="MSCIWLDNET"/>
    <s v="Equity Implied Volatility"/>
    <s v="OK"/>
    <x v="1"/>
    <s v="Index Level"/>
    <x v="1"/>
    <x v="1"/>
    <x v="191"/>
  </r>
  <r>
    <x v="90"/>
    <s v="Gulf Tensions - Internal Strife in Saudi Arabia             "/>
    <n v="2536"/>
    <s v="A rise in political instability in Saudi Arabia roils regional markets and puts upward pressure on oil prices."/>
    <x v="282"/>
    <s v="Time"/>
    <e v="#N/A"/>
    <s v="ALL_TIME"/>
    <e v="#N/A"/>
    <s v="BOTH #N/A"/>
    <x v="64"/>
    <s v="Time "/>
    <x v="8"/>
    <x v="2"/>
    <x v="115"/>
  </r>
  <r>
    <x v="90"/>
    <s v="Gulf Tensions - Internal Strife in Saudi Arabia             "/>
    <n v="2536"/>
    <s v="A rise in political instability in Saudi Arabia roils regional markets and puts upward pressure on oil prices."/>
    <x v="674"/>
    <s v="Qatar"/>
    <s v="Emerging Markets"/>
    <s v="FMI_WRLD_QAT"/>
    <s v="Emerging Markets"/>
    <s v="OK"/>
    <x v="32"/>
    <s v="Country Return  "/>
    <x v="12"/>
    <x v="1"/>
    <x v="128"/>
  </r>
  <r>
    <x v="90"/>
    <s v="Gulf Tensions - Internal Strife in Saudi Arabia             "/>
    <n v="2536"/>
    <s v="A rise in political instability in Saudi Arabia roils regional markets and puts upward pressure on oil prices."/>
    <x v="675"/>
    <s v="Saudi Arabia"/>
    <s v="Emerging Markets"/>
    <s v="FMI_WRLD_SAU"/>
    <s v="Emerging Markets"/>
    <s v="OK"/>
    <x v="32"/>
    <s v="Country Return  "/>
    <x v="12"/>
    <x v="1"/>
    <x v="156"/>
  </r>
  <r>
    <x v="90"/>
    <s v="Gulf Tensions - Internal Strife in Saudi Arabia             "/>
    <n v="2536"/>
    <s v="A rise in political instability in Saudi Arabia roils regional markets and puts upward pressure on oil prices."/>
    <x v="676"/>
    <s v="US HY Oil Field Services"/>
    <s v="Corporate HY USD - Industry"/>
    <s v="USD_HY_OILM"/>
    <s v="Corporate HY USD - Industry"/>
    <s v="OK"/>
    <x v="6"/>
    <s v="Spread Yield"/>
    <x v="5"/>
    <x v="4"/>
    <x v="193"/>
  </r>
  <r>
    <x v="90"/>
    <s v="Gulf Tensions - Internal Strife in Saudi Arabia             "/>
    <n v="2536"/>
    <s v="A rise in political instability in Saudi Arabia roils regional markets and puts upward pressure on oil prices."/>
    <x v="677"/>
    <s v="US HY Market"/>
    <s v="Corporate HY USD - Other"/>
    <s v="USD_HY_MARKET"/>
    <s v="Corporate HY USD - Other"/>
    <s v="OK"/>
    <x v="22"/>
    <s v="Spread Yield"/>
    <x v="5"/>
    <x v="4"/>
    <x v="105"/>
  </r>
  <r>
    <x v="91"/>
    <s v="Gulf Escalation - Iran Restarts Nuclear Program             "/>
    <n v="2426"/>
    <s v="The Iran nuclear deal deteriorates, leading Iran to restart its nuclear program in an effort to gain political leverage."/>
    <x v="118"/>
    <s v="Tsy 10Y"/>
    <s v="Govt USD"/>
    <s v="USD_10yr"/>
    <s v="Govt USD"/>
    <s v="OK"/>
    <x v="0"/>
    <s v="Yield  "/>
    <x v="0"/>
    <x v="0"/>
    <x v="132"/>
  </r>
  <r>
    <x v="91"/>
    <s v="Gulf Escalation - Iran Restarts Nuclear Program             "/>
    <n v="2426"/>
    <s v="The Iran nuclear deal deteriorates, leading Iran to restart its nuclear program in an effort to gain political leverage."/>
    <x v="113"/>
    <s v="Gold COMEX 1"/>
    <s v="Alternative - Commodity"/>
    <s v="USD_COMD_GC_1"/>
    <s v="Alternative - Commodity"/>
    <s v="OK"/>
    <x v="2"/>
    <s v="Price Level  "/>
    <x v="2"/>
    <x v="2"/>
    <x v="125"/>
  </r>
  <r>
    <x v="91"/>
    <s v="Gulf Escalation - Iran Restarts Nuclear Program             "/>
    <n v="2426"/>
    <s v="The Iran nuclear deal deteriorates, leading Iran to restart its nuclear program in an effort to gain political leverage."/>
    <x v="678"/>
    <s v="Brent Crude ICE 12"/>
    <s v="Alternative - Commodity"/>
    <s v="USD_COMD_CO_12"/>
    <s v="Alternative - Commodity"/>
    <s v="OK"/>
    <x v="2"/>
    <s v="Price Level  "/>
    <x v="2"/>
    <x v="2"/>
    <x v="179"/>
  </r>
  <r>
    <x v="91"/>
    <s v="Gulf Escalation - Iran Restarts Nuclear Program             "/>
    <n v="2426"/>
    <s v="The Iran nuclear deal deteriorates, leading Iran to restart its nuclear program in an effort to gain political leverage."/>
    <x v="679"/>
    <s v="S&amp;P 500"/>
    <s v="Equity Implied Volatility"/>
    <s v="SPX"/>
    <s v="Equity Implied Volatility"/>
    <s v="OK"/>
    <x v="1"/>
    <s v="Index Level"/>
    <x v="1"/>
    <x v="1"/>
    <x v="191"/>
  </r>
  <r>
    <x v="91"/>
    <s v="Gulf Escalation - Iran Restarts Nuclear Program             "/>
    <n v="2426"/>
    <s v="The Iran nuclear deal deteriorates, leading Iran to restart its nuclear program in an effort to gain political leverage."/>
    <x v="680"/>
    <s v="VIX"/>
    <s v="Equity Implied Volatility"/>
    <s v="VIX"/>
    <s v="Equity Implied Volatility"/>
    <s v="OK"/>
    <x v="1"/>
    <s v="Index Level"/>
    <x v="1"/>
    <x v="1"/>
    <x v="166"/>
  </r>
  <r>
    <x v="91"/>
    <s v="Gulf Escalation - Iran Restarts Nuclear Program             "/>
    <n v="2426"/>
    <s v="The Iran nuclear deal deteriorates, leading Iran to restart its nuclear program in an effort to gain political leverage."/>
    <x v="681"/>
    <s v="China Shenzhen SEAll"/>
    <s v="Equity Implied Volatility"/>
    <s v="SZCOMP"/>
    <s v="Equity Implied Volatility"/>
    <s v="OK"/>
    <x v="1"/>
    <s v="Index Level"/>
    <x v="1"/>
    <x v="1"/>
    <x v="122"/>
  </r>
  <r>
    <x v="91"/>
    <s v="Gulf Escalation - Iran Restarts Nuclear Program             "/>
    <n v="2426"/>
    <s v="The Iran nuclear deal deteriorates, leading Iran to restart its nuclear program in an effort to gain political leverage."/>
    <x v="282"/>
    <s v="Time"/>
    <e v="#N/A"/>
    <s v="ALL_TIME"/>
    <e v="#N/A"/>
    <s v="BOTH #N/A"/>
    <x v="64"/>
    <s v="Time "/>
    <x v="8"/>
    <x v="2"/>
    <x v="115"/>
  </r>
  <r>
    <x v="91"/>
    <s v="Gulf Escalation - Iran Restarts Nuclear Program             "/>
    <n v="2426"/>
    <s v="The Iran nuclear deal deteriorates, leading Iran to restart its nuclear program in an effort to gain political leverage."/>
    <x v="682"/>
    <s v="US HY Oil Field Services"/>
    <s v="Corporate HY USD - Industry"/>
    <s v="USD_HY_OILM"/>
    <s v="Corporate HY USD - Industry"/>
    <s v="OK"/>
    <x v="6"/>
    <s v="Spread Yield"/>
    <x v="5"/>
    <x v="4"/>
    <x v="138"/>
  </r>
  <r>
    <x v="91"/>
    <s v="Gulf Escalation - Iran Restarts Nuclear Program             "/>
    <n v="2426"/>
    <s v="The Iran nuclear deal deteriorates, leading Iran to restart its nuclear program in an effort to gain political leverage."/>
    <x v="382"/>
    <s v="US HY Market"/>
    <s v="Corporate HY USD - Other"/>
    <s v="USD_HY_MARKET"/>
    <s v="Corporate HY USD - Other"/>
    <s v="OK"/>
    <x v="22"/>
    <s v="Spread Yield"/>
    <x v="5"/>
    <x v="4"/>
    <x v="118"/>
  </r>
  <r>
    <x v="91"/>
    <s v="Gulf Escalation - Iran Restarts Nuclear Program             "/>
    <n v="2426"/>
    <s v="The Iran nuclear deal deteriorates, leading Iran to restart its nuclear program in an effort to gain political leverage."/>
    <x v="683"/>
    <s v="MSCI World Energy"/>
    <s v="Other - Index"/>
    <s v="Energy"/>
    <e v="#N/A"/>
    <s v="OK"/>
    <x v="12"/>
    <s v="Index Level"/>
    <x v="7"/>
    <x v="2"/>
    <x v="125"/>
  </r>
  <r>
    <x v="92"/>
    <s v="Gulf Escalation - Saudi Arabia Uncertainty                  "/>
    <n v="2427"/>
    <s v="Backlash against the war in Yemen and the killing of a prominent Saudi journalist intensifies, increasing economic uncertainty in Saudi Arabia."/>
    <x v="684"/>
    <s v="Brent Crude ICE 1"/>
    <s v="Alternative - Commodity"/>
    <s v="USD_COMD_CO_1"/>
    <s v="Alternative - Commodity"/>
    <s v="OK"/>
    <x v="2"/>
    <s v="Price Level  "/>
    <x v="2"/>
    <x v="2"/>
    <x v="125"/>
  </r>
  <r>
    <x v="92"/>
    <s v="Gulf Escalation - Saudi Arabia Uncertainty                  "/>
    <n v="2427"/>
    <s v="Backlash against the war in Yemen and the killing of a prominent Saudi journalist intensifies, increasing economic uncertainty in Saudi Arabia."/>
    <x v="282"/>
    <s v="Time"/>
    <e v="#N/A"/>
    <s v="ALL_TIME"/>
    <e v="#N/A"/>
    <s v="BOTH #N/A"/>
    <x v="64"/>
    <s v="Time "/>
    <x v="8"/>
    <x v="2"/>
    <x v="115"/>
  </r>
  <r>
    <x v="92"/>
    <s v="Gulf Escalation - Saudi Arabia Uncertainty                  "/>
    <n v="2427"/>
    <s v="Backlash against the war in Yemen and the killing of a prominent Saudi journalist intensifies, increasing economic uncertainty in Saudi Arabia."/>
    <x v="685"/>
    <s v="Saudi Arabia"/>
    <s v="Emerging Markets"/>
    <s v="FMI_WRLD_SAU"/>
    <s v="Emerging Markets"/>
    <s v="OK"/>
    <x v="32"/>
    <s v="Country Return  "/>
    <x v="12"/>
    <x v="1"/>
    <x v="122"/>
  </r>
  <r>
    <x v="92"/>
    <s v="Gulf Escalation - Saudi Arabia Uncertainty                  "/>
    <n v="2427"/>
    <s v="Backlash against the war in Yemen and the killing of a prominent Saudi journalist intensifies, increasing economic uncertainty in Saudi Arabia."/>
    <x v="686"/>
    <s v="Emerg Mkt Mid E Africa"/>
    <s v="Spread Emerging Markets - Country"/>
    <s v="USD_EM_DS_MIDAF"/>
    <s v="Spread Emerging Markets - Country"/>
    <s v="OK"/>
    <x v="29"/>
    <s v="Spread Yield"/>
    <x v="5"/>
    <x v="4"/>
    <x v="108"/>
  </r>
  <r>
    <x v="93"/>
    <s v="Global CB Policy - Simultaneous Tightening Unsettles Markets"/>
    <n v="2520"/>
    <s v="Balance sheet reduction by the Fed and tapering by the ECB and BoJ lead to a ?Taper Tantrum? like sell-off (September 2017)"/>
    <x v="631"/>
    <s v="Tsy 10Y"/>
    <s v="Govt USD"/>
    <s v="USD_10yr"/>
    <s v="Govt USD"/>
    <s v="OK"/>
    <x v="0"/>
    <s v="Yield  "/>
    <x v="0"/>
    <x v="0"/>
    <x v="130"/>
  </r>
  <r>
    <x v="93"/>
    <s v="Global CB Policy - Simultaneous Tightening Unsettles Markets"/>
    <n v="2520"/>
    <s v="Balance sheet reduction by the Fed and tapering by the ECB and BoJ lead to a ?Taper Tantrum? like sell-off (September 2017)"/>
    <x v="323"/>
    <s v="USD INF 10Y"/>
    <s v="USD Inflation"/>
    <s v="USD_INF_10yr"/>
    <s v="USD Inflation"/>
    <s v="OK"/>
    <x v="8"/>
    <s v="Yield  "/>
    <x v="6"/>
    <x v="2"/>
    <x v="140"/>
  </r>
  <r>
    <x v="93"/>
    <s v="Global CB Policy - Simultaneous Tightening Unsettles Markets"/>
    <n v="2520"/>
    <s v="Balance sheet reduction by the Fed and tapering by the ECB and BoJ lead to a ?Taper Tantrum? like sell-off (September 2017)"/>
    <x v="687"/>
    <s v="Gold COMEX 1"/>
    <s v="Alternative - Commodity"/>
    <s v="USD_COMD_GC_1"/>
    <s v="Alternative - Commodity"/>
    <s v="OK"/>
    <x v="2"/>
    <s v="Price Level  "/>
    <x v="2"/>
    <x v="2"/>
    <x v="122"/>
  </r>
  <r>
    <x v="93"/>
    <s v="Global CB Policy - Simultaneous Tightening Unsettles Markets"/>
    <n v="2520"/>
    <s v="Balance sheet reduction by the Fed and tapering by the ECB and BoJ lead to a ?Taper Tantrum? like sell-off (September 2017)"/>
    <x v="319"/>
    <s v="JPY/USD"/>
    <s v="JPY"/>
    <s v="JPY_FX_USD"/>
    <s v="JPY"/>
    <s v="OK"/>
    <x v="11"/>
    <s v="FX  "/>
    <x v="3"/>
    <x v="3"/>
    <x v="141"/>
  </r>
  <r>
    <x v="93"/>
    <s v="Global CB Policy - Simultaneous Tightening Unsettles Markets"/>
    <n v="2520"/>
    <s v="Balance sheet reduction by the Fed and tapering by the ECB and BoJ lead to a ?Taper Tantrum? like sell-off (September 2017)"/>
    <x v="688"/>
    <s v="Tsy 10Y"/>
    <s v="Govt USD"/>
    <s v="10Y"/>
    <e v="#N/A"/>
    <s v="OK"/>
    <x v="0"/>
    <s v="Yield  "/>
    <x v="0"/>
    <x v="0"/>
    <x v="140"/>
  </r>
  <r>
    <x v="93"/>
    <s v="Global CB Policy - Simultaneous Tightening Unsettles Markets"/>
    <n v="2520"/>
    <s v="Balance sheet reduction by the Fed and tapering by the ECB and BoJ lead to a ?Taper Tantrum? like sell-off (September 2017)"/>
    <x v="689"/>
    <s v="Tsy 30Y"/>
    <s v="Govt USD"/>
    <s v="30Y"/>
    <e v="#N/A"/>
    <s v="OK"/>
    <x v="0"/>
    <s v="Yield  "/>
    <x v="0"/>
    <x v="0"/>
    <x v="105"/>
  </r>
  <r>
    <x v="94"/>
    <s v="Global CB Policy - Benign Real Yields Rise                  "/>
    <n v="2521"/>
    <s v="Well-telegraphed guidance on monetary policy normalization leads to rising real yields without market disruption (September 2017)"/>
    <x v="161"/>
    <s v="Tsy 2Y"/>
    <s v="Govt USD"/>
    <s v="USD_2yr"/>
    <s v="Govt USD"/>
    <s v="OK"/>
    <x v="0"/>
    <s v="Yield  "/>
    <x v="0"/>
    <x v="0"/>
    <x v="135"/>
  </r>
  <r>
    <x v="94"/>
    <s v="Global CB Policy - Benign Real Yields Rise                  "/>
    <n v="2521"/>
    <s v="Well-telegraphed guidance on monetary policy normalization leads to rising real yields without market disruption (September 2017)"/>
    <x v="429"/>
    <s v="Tsy 10Y"/>
    <s v="Govt USD"/>
    <s v="USD_10yr"/>
    <s v="Govt USD"/>
    <s v="OK"/>
    <x v="0"/>
    <s v="Yield  "/>
    <x v="0"/>
    <x v="0"/>
    <x v="118"/>
  </r>
  <r>
    <x v="94"/>
    <s v="Global CB Policy - Benign Real Yields Rise                  "/>
    <n v="2521"/>
    <s v="Well-telegraphed guidance on monetary policy normalization leads to rising real yields without market disruption (September 2017)"/>
    <x v="172"/>
    <s v="USD INF 10Y"/>
    <s v="USD Inflation"/>
    <s v="USD_INF_10yr"/>
    <s v="USD Inflation"/>
    <s v="OK"/>
    <x v="8"/>
    <s v="Yield  "/>
    <x v="6"/>
    <x v="2"/>
    <x v="124"/>
  </r>
  <r>
    <x v="94"/>
    <s v="Global CB Policy - Benign Real Yields Rise                  "/>
    <n v="2521"/>
    <s v="Well-telegraphed guidance on monetary policy normalization leads to rising real yields without market disruption (September 2017)"/>
    <x v="690"/>
    <s v="EUR/USD"/>
    <s v="EUR"/>
    <s v="EUR_FX_USD"/>
    <s v="EUR"/>
    <s v="OK"/>
    <x v="13"/>
    <s v="FX  "/>
    <x v="3"/>
    <x v="3"/>
    <x v="191"/>
  </r>
  <r>
    <x v="95"/>
    <s v="Rising Inflation - US - Fed Tightens More Than Expected     "/>
    <n v="2531"/>
    <s v="Higher inflation than expected forces the Fed to change tack, tightening more than priced-in by the market"/>
    <x v="630"/>
    <s v="Tsy 2Y"/>
    <s v="Govt USD"/>
    <s v="USD_2yr"/>
    <s v="Govt USD"/>
    <s v="OK"/>
    <x v="0"/>
    <s v="Yield  "/>
    <x v="0"/>
    <x v="0"/>
    <x v="149"/>
  </r>
  <r>
    <x v="95"/>
    <s v="Rising Inflation - US - Fed Tightens More Than Expected     "/>
    <n v="2531"/>
    <s v="Higher inflation than expected forces the Fed to change tack, tightening more than priced-in by the market"/>
    <x v="691"/>
    <s v="Tsy 10Y"/>
    <s v="Govt USD"/>
    <s v="USD_10yr"/>
    <s v="Govt USD"/>
    <s v="OK"/>
    <x v="0"/>
    <s v="Yield  "/>
    <x v="0"/>
    <x v="0"/>
    <x v="138"/>
  </r>
  <r>
    <x v="95"/>
    <s v="Rising Inflation - US - Fed Tightens More Than Expected     "/>
    <n v="2531"/>
    <s v="Higher inflation than expected forces the Fed to change tack, tightening more than priced-in by the market"/>
    <x v="172"/>
    <s v="USD INF 10Y"/>
    <s v="USD Inflation"/>
    <s v="USD_INF_10yr"/>
    <s v="USD Inflation"/>
    <s v="OK"/>
    <x v="8"/>
    <s v="Yield  "/>
    <x v="6"/>
    <x v="2"/>
    <x v="124"/>
  </r>
  <r>
    <x v="95"/>
    <s v="Rising Inflation - US - Fed Tightens More Than Expected     "/>
    <n v="2531"/>
    <s v="Higher inflation than expected forces the Fed to change tack, tightening more than priced-in by the market"/>
    <x v="692"/>
    <s v="Crude Oil NYME 1"/>
    <s v="Alternative - Commodity"/>
    <s v="USD_COMD_CL_1"/>
    <s v="Alternative - Commodity"/>
    <s v="OK"/>
    <x v="2"/>
    <s v="Price Level  "/>
    <x v="2"/>
    <x v="2"/>
    <x v="148"/>
  </r>
  <r>
    <x v="95"/>
    <s v="Rising Inflation - US - Fed Tightens More Than Expected     "/>
    <n v="2531"/>
    <s v="Higher inflation than expected forces the Fed to change tack, tightening more than priced-in by the market"/>
    <x v="693"/>
    <s v="US Cash Bonds IG"/>
    <s v="Corporate IG USD - Other"/>
    <s v="USD_LEH_CREDIT3"/>
    <s v="Corporate IG USD - Other"/>
    <s v="OK"/>
    <x v="26"/>
    <s v="Corporate IG USD - Other"/>
    <x v="5"/>
    <x v="4"/>
    <x v="138"/>
  </r>
  <r>
    <x v="95"/>
    <s v="Rising Inflation - US - Fed Tightens More Than Expected     "/>
    <n v="2531"/>
    <s v="Higher inflation than expected forces the Fed to change tack, tightening more than priced-in by the market"/>
    <x v="694"/>
    <s v="US Cash Bonds HY"/>
    <e v="#N/A"/>
    <s v="USD_LEH_HY3"/>
    <e v="#N/A"/>
    <s v="BOTH #N/A"/>
    <x v="26"/>
    <s v="Corporate IG USD - Other"/>
    <x v="5"/>
    <x v="4"/>
    <x v="108"/>
  </r>
  <r>
    <x v="95"/>
    <s v="Rising Inflation - US - Fed Tightens More Than Expected     "/>
    <n v="2531"/>
    <s v="Higher inflation than expected forces the Fed to change tack, tightening more than priced-in by the market"/>
    <x v="695"/>
    <s v="ESP 10Y"/>
    <s v="Spread Govt Peripheral EUR (ex ITA)"/>
    <s v="ESP_10yr"/>
    <s v="Spread Govt Peripheral EUR (ex ITA)"/>
    <s v="OK"/>
    <x v="50"/>
    <s v="Spread Yield"/>
    <x v="11"/>
    <x v="0"/>
    <x v="145"/>
  </r>
  <r>
    <x v="95"/>
    <s v="Rising Inflation - US - Fed Tightens More Than Expected     "/>
    <n v="2531"/>
    <s v="Higher inflation than expected forces the Fed to change tack, tightening more than priced-in by the market"/>
    <x v="696"/>
    <s v="JPY 10Y"/>
    <s v="Govt Developed Other (AU, GB, JP, ...)"/>
    <s v="JPY_10yr"/>
    <s v="Govt Developed Other (AU, GB, JP, ...)"/>
    <s v="OK"/>
    <x v="10"/>
    <s v="Yield  "/>
    <x v="0"/>
    <x v="0"/>
    <x v="127"/>
  </r>
  <r>
    <x v="95"/>
    <s v="Rising Inflation - US - Fed Tightens More Than Expected     "/>
    <n v="2531"/>
    <s v="Higher inflation than expected forces the Fed to change tack, tightening more than priced-in by the market"/>
    <x v="697"/>
    <s v="MXN 10Y"/>
    <s v="Govt Emerging Markets"/>
    <s v="MXN_10yr"/>
    <s v="Govt Emerging Markets"/>
    <s v="OK"/>
    <x v="31"/>
    <s v="Yield  "/>
    <x v="0"/>
    <x v="0"/>
    <x v="108"/>
  </r>
  <r>
    <x v="95"/>
    <s v="Rising Inflation - US - Fed Tightens More Than Expected     "/>
    <n v="2531"/>
    <s v="Higher inflation than expected forces the Fed to change tack, tightening more than priced-in by the market"/>
    <x v="521"/>
    <s v="EUR/USD"/>
    <s v="EUR"/>
    <s v="EUR_FX_USD"/>
    <s v="EUR"/>
    <s v="OK"/>
    <x v="13"/>
    <s v="FX  "/>
    <x v="3"/>
    <x v="3"/>
    <x v="113"/>
  </r>
  <r>
    <x v="95"/>
    <s v="Rising Inflation - US - Fed Tightens More Than Expected     "/>
    <n v="2531"/>
    <s v="Higher inflation than expected forces the Fed to change tack, tightening more than priced-in by the market"/>
    <x v="319"/>
    <s v="JPY/USD"/>
    <s v="JPY"/>
    <s v="JPY_FX_USD"/>
    <s v="JPY"/>
    <s v="OK"/>
    <x v="11"/>
    <s v="FX  "/>
    <x v="3"/>
    <x v="3"/>
    <x v="141"/>
  </r>
  <r>
    <x v="95"/>
    <s v="Rising Inflation - US - Fed Tightens More Than Expected     "/>
    <n v="2531"/>
    <s v="Higher inflation than expected forces the Fed to change tack, tightening more than priced-in by the market"/>
    <x v="312"/>
    <s v="S&amp;P 500"/>
    <s v="Equity Implied Volatility"/>
    <s v="SPX"/>
    <s v="Equity Implied Volatility"/>
    <s v="OK"/>
    <x v="1"/>
    <s v="Index Level"/>
    <x v="1"/>
    <x v="1"/>
    <x v="106"/>
  </r>
  <r>
    <x v="95"/>
    <s v="Rising Inflation - US - Fed Tightens More Than Expected     "/>
    <n v="2531"/>
    <s v="Higher inflation than expected forces the Fed to change tack, tightening more than priced-in by the market"/>
    <x v="456"/>
    <s v="MSCI EUROPE(EUR)"/>
    <s v="Equity Implied Volatility"/>
    <s v="MXEU"/>
    <s v="Equity Implied Volatility"/>
    <s v="OK"/>
    <x v="1"/>
    <s v="Index Level"/>
    <x v="1"/>
    <x v="1"/>
    <x v="122"/>
  </r>
  <r>
    <x v="95"/>
    <s v="Rising Inflation - US - Fed Tightens More Than Expected     "/>
    <n v="2531"/>
    <s v="Higher inflation than expected forces the Fed to change tack, tightening more than priced-in by the market"/>
    <x v="282"/>
    <s v="Time"/>
    <e v="#N/A"/>
    <s v="ALL_TIME"/>
    <e v="#N/A"/>
    <s v="BOTH #N/A"/>
    <x v="64"/>
    <s v="Time "/>
    <x v="8"/>
    <x v="2"/>
    <x v="115"/>
  </r>
  <r>
    <x v="95"/>
    <s v="Rising Inflation - US - Fed Tightens More Than Expected     "/>
    <n v="2531"/>
    <s v="Higher inflation than expected forces the Fed to change tack, tightening more than priced-in by the market"/>
    <x v="698"/>
    <s v="EMBIG DxS"/>
    <s v="Spread Emerging Markets - Country"/>
    <s v="USD_EM_DS_G"/>
    <s v="Spread Emerging Markets - Country"/>
    <s v="OK"/>
    <x v="29"/>
    <s v="Spread Yield"/>
    <x v="5"/>
    <x v="4"/>
    <x v="195"/>
  </r>
  <r>
    <x v="95"/>
    <s v="Rising Inflation - US - Fed Tightens More Than Expected     "/>
    <n v="2531"/>
    <s v="Higher inflation than expected forces the Fed to change tack, tightening more than priced-in by the market"/>
    <x v="699"/>
    <s v="OIS 3m"/>
    <s v="Govt USD"/>
    <s v="USD_OIS_3m"/>
    <s v="Govt USD"/>
    <s v="OK"/>
    <x v="0"/>
    <s v="Yield  "/>
    <x v="0"/>
    <x v="0"/>
    <x v="204"/>
  </r>
  <r>
    <x v="95"/>
    <s v="Rising Inflation - US - Fed Tightens More Than Expected     "/>
    <n v="2531"/>
    <s v="Higher inflation than expected forces the Fed to change tack, tightening more than priced-in by the market"/>
    <x v="462"/>
    <s v="S&amp;P 500 Financials"/>
    <s v="Equity Implied Volatility"/>
    <s v="Financials"/>
    <e v="#N/A"/>
    <s v="OK"/>
    <x v="1"/>
    <s v="Index Level"/>
    <x v="1"/>
    <x v="1"/>
    <x v="125"/>
  </r>
  <r>
    <x v="95"/>
    <s v="Rising Inflation - US - Fed Tightens More Than Expected     "/>
    <n v="2531"/>
    <s v="Higher inflation than expected forces the Fed to change tack, tightening more than priced-in by the market"/>
    <x v="700"/>
    <s v="S&amp;P 500 utilities"/>
    <s v="Equity Implied Volatility"/>
    <s v="Utilities"/>
    <e v="#N/A"/>
    <s v="OK"/>
    <x v="1"/>
    <s v="Index Level"/>
    <x v="1"/>
    <x v="1"/>
    <x v="159"/>
  </r>
  <r>
    <x v="96"/>
    <s v="Rising Inflation - US - Steady Pace                         "/>
    <n v="2532"/>
    <s v="Inflation surprises to the upside, catching the Fed off guard. Nonetheless, the Fed maintains the current pace of tightening."/>
    <x v="161"/>
    <s v="Tsy 2Y"/>
    <s v="Govt USD"/>
    <s v="USD_2yr"/>
    <s v="Govt USD"/>
    <s v="OK"/>
    <x v="0"/>
    <s v="Yield  "/>
    <x v="0"/>
    <x v="0"/>
    <x v="135"/>
  </r>
  <r>
    <x v="96"/>
    <s v="Rising Inflation - US - Steady Pace                         "/>
    <n v="2532"/>
    <s v="Inflation surprises to the upside, catching the Fed off guard. Nonetheless, the Fed maintains the current pace of tightening."/>
    <x v="701"/>
    <s v="Tsy 10Y"/>
    <s v="Govt USD"/>
    <s v="USD_10yr"/>
    <s v="Govt USD"/>
    <s v="OK"/>
    <x v="0"/>
    <s v="Yield  "/>
    <x v="0"/>
    <x v="0"/>
    <x v="136"/>
  </r>
  <r>
    <x v="96"/>
    <s v="Rising Inflation - US - Steady Pace                         "/>
    <n v="2532"/>
    <s v="Inflation surprises to the upside, catching the Fed off guard. Nonetheless, the Fed maintains the current pace of tightening."/>
    <x v="702"/>
    <s v="USD INF 10Y"/>
    <s v="USD Inflation"/>
    <s v="USD_INF_10yr"/>
    <s v="USD Inflation"/>
    <s v="OK"/>
    <x v="8"/>
    <s v="Yield  "/>
    <x v="6"/>
    <x v="2"/>
    <x v="123"/>
  </r>
  <r>
    <x v="96"/>
    <s v="Rising Inflation - US - Steady Pace                         "/>
    <n v="2532"/>
    <s v="Inflation surprises to the upside, catching the Fed off guard. Nonetheless, the Fed maintains the current pace of tightening."/>
    <x v="703"/>
    <s v="Crude Oil NYME 1"/>
    <s v="Alternative - Commodity"/>
    <s v="USD_COMD_CL_1"/>
    <s v="Alternative - Commodity"/>
    <s v="OK"/>
    <x v="2"/>
    <s v="Price Level  "/>
    <x v="2"/>
    <x v="2"/>
    <x v="139"/>
  </r>
  <r>
    <x v="96"/>
    <s v="Rising Inflation - US - Steady Pace                         "/>
    <n v="2532"/>
    <s v="Inflation surprises to the upside, catching the Fed off guard. Nonetheless, the Fed maintains the current pace of tightening."/>
    <x v="704"/>
    <s v="US Cash Bonds IG"/>
    <s v="Corporate IG USD - Other"/>
    <s v="USD_LEH_CREDIT3"/>
    <s v="Corporate IG USD - Other"/>
    <s v="OK"/>
    <x v="26"/>
    <s v="Corporate IG USD - Other"/>
    <x v="5"/>
    <x v="4"/>
    <x v="205"/>
  </r>
  <r>
    <x v="96"/>
    <s v="Rising Inflation - US - Steady Pace                         "/>
    <n v="2532"/>
    <s v="Inflation surprises to the upside, catching the Fed off guard. Nonetheless, the Fed maintains the current pace of tightening."/>
    <x v="106"/>
    <s v="DXY"/>
    <e v="#N/A"/>
    <s v="DXY"/>
    <e v="#N/A"/>
    <s v="BOTH #N/A"/>
    <x v="18"/>
    <s v="Dollar Index"/>
    <x v="9"/>
    <x v="2"/>
    <x v="171"/>
  </r>
  <r>
    <x v="96"/>
    <s v="Rising Inflation - US - Steady Pace                         "/>
    <n v="2532"/>
    <s v="Inflation surprises to the upside, catching the Fed off guard. Nonetheless, the Fed maintains the current pace of tightening."/>
    <x v="705"/>
    <s v="S&amp;P 500"/>
    <s v="Equity Implied Volatility"/>
    <s v="SPX"/>
    <s v="Equity Implied Volatility"/>
    <s v="OK"/>
    <x v="1"/>
    <s v="Index Level"/>
    <x v="1"/>
    <x v="1"/>
    <x v="125"/>
  </r>
  <r>
    <x v="96"/>
    <s v="Rising Inflation - US - Steady Pace                         "/>
    <n v="2532"/>
    <s v="Inflation surprises to the upside, catching the Fed off guard. Nonetheless, the Fed maintains the current pace of tightening."/>
    <x v="282"/>
    <s v="Time"/>
    <e v="#N/A"/>
    <s v="ALL_TIME"/>
    <e v="#N/A"/>
    <s v="BOTH #N/A"/>
    <x v="64"/>
    <s v="Time "/>
    <x v="8"/>
    <x v="2"/>
    <x v="115"/>
  </r>
  <r>
    <x v="96"/>
    <s v="Rising Inflation - US - Steady Pace                         "/>
    <n v="2532"/>
    <s v="Inflation surprises to the upside, catching the Fed off guard. Nonetheless, the Fed maintains the current pace of tightening."/>
    <x v="706"/>
    <s v="S&amp;P 500 Energy"/>
    <s v="Equity Implied Volatility"/>
    <s v="Energy"/>
    <e v="#N/A"/>
    <s v="OK"/>
    <x v="1"/>
    <s v="Index Level"/>
    <x v="1"/>
    <x v="1"/>
    <x v="125"/>
  </r>
  <r>
    <x v="96"/>
    <s v="Rising Inflation - US - Steady Pace                         "/>
    <n v="2532"/>
    <s v="Inflation surprises to the upside, catching the Fed off guard. Nonetheless, the Fed maintains the current pace of tightening."/>
    <x v="707"/>
    <s v="S&amp;P 500 Industrials"/>
    <s v="Equity Implied Volatility"/>
    <s v="Industrials"/>
    <e v="#N/A"/>
    <s v="OK"/>
    <x v="1"/>
    <s v="Index Level"/>
    <x v="1"/>
    <x v="1"/>
    <x v="112"/>
  </r>
  <r>
    <x v="96"/>
    <s v="Rising Inflation - US - Steady Pace                         "/>
    <n v="2532"/>
    <s v="Inflation surprises to the upside, catching the Fed off guard. Nonetheless, the Fed maintains the current pace of tightening."/>
    <x v="708"/>
    <s v="S&amp;P 500 Consumer Staples Index"/>
    <s v="Other - Index"/>
    <s v="Index"/>
    <e v="#N/A"/>
    <s v="OK"/>
    <x v="12"/>
    <s v="Index Level"/>
    <x v="7"/>
    <x v="2"/>
    <x v="113"/>
  </r>
  <r>
    <x v="97"/>
    <s v="Rising Inflation - Global Rate Hikes                        "/>
    <n v="2533"/>
    <s v=" A combination of rising oil prices, an increase in Chinese export prices, and a strong-footed Euro economy leads to a pick-up in inflation globally"/>
    <x v="600"/>
    <s v="USD INF 10Y"/>
    <s v="USD Inflation"/>
    <s v="USD_INF_10yr"/>
    <s v="USD Inflation"/>
    <s v="OK"/>
    <x v="8"/>
    <s v="Yield  "/>
    <x v="6"/>
    <x v="2"/>
    <x v="164"/>
  </r>
  <r>
    <x v="97"/>
    <s v="Rising Inflation - Global Rate Hikes                        "/>
    <n v="2533"/>
    <s v=" A combination of rising oil prices, an increase in Chinese export prices, and a strong-footed Euro economy leads to a pick-up in inflation globally"/>
    <x v="561"/>
    <s v="Aluminum LME 1"/>
    <s v="Alternative - Commodity"/>
    <s v="USD_COMD_LA_1"/>
    <s v="Alternative - Commodity"/>
    <s v="OK"/>
    <x v="2"/>
    <s v="Price Level  "/>
    <x v="2"/>
    <x v="2"/>
    <x v="126"/>
  </r>
  <r>
    <x v="97"/>
    <s v="Rising Inflation - Global Rate Hikes                        "/>
    <n v="2533"/>
    <s v=" A combination of rising oil prices, an increase in Chinese export prices, and a strong-footed Euro economy leads to a pick-up in inflation globally"/>
    <x v="692"/>
    <s v="Crude Oil NYME 1"/>
    <s v="Alternative - Commodity"/>
    <s v="USD_COMD_CL_1"/>
    <s v="Alternative - Commodity"/>
    <s v="OK"/>
    <x v="2"/>
    <s v="Price Level  "/>
    <x v="2"/>
    <x v="2"/>
    <x v="148"/>
  </r>
  <r>
    <x v="97"/>
    <s v="Rising Inflation - Global Rate Hikes                        "/>
    <n v="2533"/>
    <s v=" A combination of rising oil prices, an increase in Chinese export prices, and a strong-footed Euro economy leads to a pick-up in inflation globally"/>
    <x v="709"/>
    <s v="JPY 2Y"/>
    <s v="Govt Developed Other (AU, GB, JP, ...)"/>
    <s v="JPY_2yr"/>
    <s v="Govt Developed Other (AU, GB, JP, ...)"/>
    <s v="OK"/>
    <x v="10"/>
    <s v="Yield  "/>
    <x v="0"/>
    <x v="0"/>
    <x v="134"/>
  </r>
  <r>
    <x v="97"/>
    <s v="Rising Inflation - Global Rate Hikes                        "/>
    <n v="2533"/>
    <s v=" A combination of rising oil prices, an increase in Chinese export prices, and a strong-footed Euro economy leads to a pick-up in inflation globally"/>
    <x v="710"/>
    <s v="EUR/USD"/>
    <s v="EUR"/>
    <s v="EUR_FX_USD"/>
    <s v="EUR"/>
    <s v="OK"/>
    <x v="13"/>
    <s v="FX  "/>
    <x v="3"/>
    <x v="3"/>
    <x v="112"/>
  </r>
  <r>
    <x v="97"/>
    <s v="Rising Inflation - Global Rate Hikes                        "/>
    <n v="2533"/>
    <s v=" A combination of rising oil prices, an increase in Chinese export prices, and a strong-footed Euro economy leads to a pick-up in inflation globally"/>
    <x v="711"/>
    <s v="EUR INF 10Y"/>
    <s v="EUR Inflation"/>
    <s v="EUR_INF_10yr"/>
    <s v="EUR Inflation"/>
    <s v="OK"/>
    <x v="48"/>
    <s v="Yield  "/>
    <x v="6"/>
    <x v="2"/>
    <x v="123"/>
  </r>
  <r>
    <x v="97"/>
    <s v="Rising Inflation - Global Rate Hikes                        "/>
    <n v="2533"/>
    <s v=" A combination of rising oil prices, an increase in Chinese export prices, and a strong-footed Euro economy leads to a pick-up in inflation globally"/>
    <x v="523"/>
    <s v="EU Credit IG"/>
    <s v="Corporate IG EUR - Other"/>
    <s v="EUR_LEH_CREDIT"/>
    <s v="Corporate IG EUR - Other"/>
    <s v="OK"/>
    <x v="45"/>
    <s v="Spread Yield"/>
    <x v="5"/>
    <x v="4"/>
    <x v="145"/>
  </r>
  <r>
    <x v="97"/>
    <s v="Rising Inflation - Global Rate Hikes                        "/>
    <n v="2533"/>
    <s v=" A combination of rising oil prices, an increase in Chinese export prices, and a strong-footed Euro economy leads to a pick-up in inflation globally"/>
    <x v="282"/>
    <s v="Time"/>
    <e v="#N/A"/>
    <s v="ALL_TIME"/>
    <e v="#N/A"/>
    <s v="BOTH #N/A"/>
    <x v="64"/>
    <s v="Time "/>
    <x v="8"/>
    <x v="2"/>
    <x v="115"/>
  </r>
  <r>
    <x v="97"/>
    <s v="Rising Inflation - Global Rate Hikes                        "/>
    <n v="2533"/>
    <s v=" A combination of rising oil prices, an increase in Chinese export prices, and a strong-footed Euro economy leads to a pick-up in inflation globally"/>
    <x v="712"/>
    <s v="MS Emerging Mkts"/>
    <s v="Equity Implied Volatility"/>
    <s v="Mkts"/>
    <e v="#N/A"/>
    <s v="OK"/>
    <x v="1"/>
    <s v="Index Level"/>
    <x v="1"/>
    <x v="1"/>
    <x v="125"/>
  </r>
  <r>
    <x v="98"/>
    <s v="Reflation - Commodity Driven Inflation                      "/>
    <n v="2487"/>
    <s v="Disruption in oil supply boosts commodity prices putting pressure on global growth outlook"/>
    <x v="599"/>
    <s v="Tsy 10Y"/>
    <s v="Govt USD"/>
    <s v="USD_10yr"/>
    <s v="Govt USD"/>
    <s v="OK"/>
    <x v="0"/>
    <s v="Yield  "/>
    <x v="0"/>
    <x v="0"/>
    <x v="140"/>
  </r>
  <r>
    <x v="98"/>
    <s v="Reflation - Commodity Driven Inflation                      "/>
    <n v="2487"/>
    <s v="Disruption in oil supply boosts commodity prices putting pressure on global growth outlook"/>
    <x v="713"/>
    <s v="Crude Oil NYME 1"/>
    <s v="Alternative - Commodity"/>
    <s v="USD_COMD_CL_1"/>
    <s v="Alternative - Commodity"/>
    <s v="OK"/>
    <x v="2"/>
    <s v="Price Level  "/>
    <x v="2"/>
    <x v="2"/>
    <x v="194"/>
  </r>
  <r>
    <x v="98"/>
    <s v="Reflation - Commodity Driven Inflation                      "/>
    <n v="2487"/>
    <s v="Disruption in oil supply boosts commodity prices putting pressure on global growth outlook"/>
    <x v="714"/>
    <s v="RUBUSD"/>
    <e v="#N/A"/>
    <s v="RUB_FX_USD"/>
    <s v="Emerging Currency"/>
    <s v="OK"/>
    <x v="3"/>
    <s v="FX  "/>
    <x v="3"/>
    <x v="3"/>
    <x v="126"/>
  </r>
  <r>
    <x v="98"/>
    <s v="Reflation - Commodity Driven Inflation                      "/>
    <n v="2487"/>
    <s v="Disruption in oil supply boosts commodity prices putting pressure on global growth outlook"/>
    <x v="368"/>
    <s v="S&amp;P 500"/>
    <s v="Equity Implied Volatility"/>
    <s v="SPX"/>
    <s v="Equity Implied Volatility"/>
    <s v="OK"/>
    <x v="1"/>
    <s v="Index Level"/>
    <x v="1"/>
    <x v="1"/>
    <x v="159"/>
  </r>
  <r>
    <x v="98"/>
    <s v="Reflation - Commodity Driven Inflation                      "/>
    <n v="2487"/>
    <s v="Disruption in oil supply boosts commodity prices putting pressure on global growth outlook"/>
    <x v="415"/>
    <s v="MS Emerging Mkts"/>
    <s v="Equity Implied Volatility"/>
    <s v="MXEF"/>
    <s v="Equity Implied Volatility"/>
    <s v="OK"/>
    <x v="1"/>
    <s v="Index Level"/>
    <x v="1"/>
    <x v="1"/>
    <x v="122"/>
  </r>
  <r>
    <x v="98"/>
    <s v="Reflation - Commodity Driven Inflation                      "/>
    <n v="2487"/>
    <s v="Disruption in oil supply boosts commodity prices putting pressure on global growth outlook"/>
    <x v="715"/>
    <s v="S&amp;P 500 Cons. Disc. Index"/>
    <s v="Other - Index"/>
    <s v="Discr"/>
    <e v="#N/A"/>
    <s v="OK"/>
    <x v="12"/>
    <s v="Index Level"/>
    <x v="7"/>
    <x v="2"/>
    <x v="128"/>
  </r>
  <r>
    <x v="98"/>
    <s v="Reflation - Commodity Driven Inflation                      "/>
    <n v="2487"/>
    <s v="Disruption in oil supply boosts commodity prices putting pressure on global growth outlook"/>
    <x v="716"/>
    <s v="S&amp;P 500"/>
    <s v="Equity Implied Volatility"/>
    <s v="Energy"/>
    <e v="#N/A"/>
    <s v="OK"/>
    <x v="1"/>
    <s v="Index Level"/>
    <x v="1"/>
    <x v="1"/>
    <x v="148"/>
  </r>
  <r>
    <x v="99"/>
    <s v="Reflation - Core Inflation Rises                            "/>
    <n v="2488"/>
    <s v="Stable economic growth and improving market sentiment stimulates the rise of core inflation"/>
    <x v="161"/>
    <s v="Tsy 2Y"/>
    <s v="Govt USD"/>
    <s v="USD_2yr"/>
    <s v="Govt USD"/>
    <s v="OK"/>
    <x v="0"/>
    <s v="Yield  "/>
    <x v="0"/>
    <x v="0"/>
    <x v="135"/>
  </r>
  <r>
    <x v="99"/>
    <s v="Reflation - Core Inflation Rises                            "/>
    <n v="2488"/>
    <s v="Stable economic growth and improving market sentiment stimulates the rise of core inflation"/>
    <x v="717"/>
    <s v="Tsy 10Y"/>
    <s v="Govt USD"/>
    <s v="USD_10yr"/>
    <s v="Govt USD"/>
    <s v="OK"/>
    <x v="0"/>
    <s v="Yield  "/>
    <x v="0"/>
    <x v="0"/>
    <x v="206"/>
  </r>
  <r>
    <x v="99"/>
    <s v="Reflation - Core Inflation Rises                            "/>
    <n v="2488"/>
    <s v="Stable economic growth and improving market sentiment stimulates the rise of core inflation"/>
    <x v="718"/>
    <s v="USD INF 10Y"/>
    <s v="USD Inflation"/>
    <s v="USD_INF_10yr"/>
    <s v="USD Inflation"/>
    <s v="OK"/>
    <x v="8"/>
    <s v="Yield  "/>
    <x v="6"/>
    <x v="2"/>
    <x v="176"/>
  </r>
  <r>
    <x v="99"/>
    <s v="Reflation - Core Inflation Rises                            "/>
    <n v="2488"/>
    <s v="Stable economic growth and improving market sentiment stimulates the rise of core inflation"/>
    <x v="719"/>
    <s v="GSCI ENERGY"/>
    <s v="Alternative - Commodity"/>
    <s v="GSENSPOT"/>
    <s v="Alternative - Commodity"/>
    <s v="OK"/>
    <x v="2"/>
    <s v="Price Level  "/>
    <x v="2"/>
    <x v="2"/>
    <x v="148"/>
  </r>
  <r>
    <x v="99"/>
    <s v="Reflation - Core Inflation Rises                            "/>
    <n v="2488"/>
    <s v="Stable economic growth and improving market sentiment stimulates the rise of core inflation"/>
    <x v="404"/>
    <s v="DXY"/>
    <e v="#N/A"/>
    <s v="DXY"/>
    <e v="#N/A"/>
    <s v="BOTH #N/A"/>
    <x v="18"/>
    <s v="Dollar Index"/>
    <x v="9"/>
    <x v="2"/>
    <x v="141"/>
  </r>
  <r>
    <x v="99"/>
    <s v="Reflation - Core Inflation Rises                            "/>
    <n v="2488"/>
    <s v="Stable economic growth and improving market sentiment stimulates the rise of core inflation"/>
    <x v="705"/>
    <s v="S&amp;P 500"/>
    <s v="Equity Implied Volatility"/>
    <s v="SPX"/>
    <s v="Equity Implied Volatility"/>
    <s v="OK"/>
    <x v="1"/>
    <s v="Index Level"/>
    <x v="1"/>
    <x v="1"/>
    <x v="125"/>
  </r>
  <r>
    <x v="99"/>
    <s v="Reflation - Core Inflation Rises                            "/>
    <n v="2488"/>
    <s v="Stable economic growth and improving market sentiment stimulates the rise of core inflation"/>
    <x v="720"/>
    <s v="S&amp;P 500 Cons. Disc. Index"/>
    <s v="Other - Index"/>
    <s v="Index"/>
    <e v="#N/A"/>
    <s v="OK"/>
    <x v="12"/>
    <s v="Index Level"/>
    <x v="7"/>
    <x v="2"/>
    <x v="125"/>
  </r>
  <r>
    <x v="100"/>
    <s v="Inflation Expectations - Inflation Disappointment (02/2021) "/>
    <n v="2447"/>
    <s v="Inflation fails to materialize across regions, driven by COVID-19 related setbacks."/>
    <x v="591"/>
    <s v="Tsy 2Y"/>
    <s v="Govt USD"/>
    <s v="USD_2yr"/>
    <s v="Govt USD"/>
    <s v="OK"/>
    <x v="0"/>
    <s v="Yield  "/>
    <x v="0"/>
    <x v="0"/>
    <x v="175"/>
  </r>
  <r>
    <x v="100"/>
    <s v="Inflation Expectations - Inflation Disappointment (02/2021) "/>
    <n v="2447"/>
    <s v="Inflation fails to materialize across regions, driven by COVID-19 related setbacks."/>
    <x v="254"/>
    <s v="Tsy 10Y"/>
    <s v="Govt USD"/>
    <s v="USD_10yr"/>
    <s v="Govt USD"/>
    <s v="OK"/>
    <x v="0"/>
    <s v="Yield  "/>
    <x v="0"/>
    <x v="0"/>
    <x v="105"/>
  </r>
  <r>
    <x v="100"/>
    <s v="Inflation Expectations - Inflation Disappointment (02/2021) "/>
    <n v="2447"/>
    <s v="Inflation fails to materialize across regions, driven by COVID-19 related setbacks."/>
    <x v="721"/>
    <s v="USD INF 10Y"/>
    <s v="USD Inflation"/>
    <s v="USD_INF_10yr"/>
    <s v="USD Inflation"/>
    <s v="OK"/>
    <x v="8"/>
    <s v="Yield  "/>
    <x v="6"/>
    <x v="2"/>
    <x v="108"/>
  </r>
  <r>
    <x v="100"/>
    <s v="Inflation Expectations - Inflation Disappointment (02/2021) "/>
    <n v="2447"/>
    <s v="Inflation fails to materialize across regions, driven by COVID-19 related setbacks."/>
    <x v="119"/>
    <s v="Brent Crude ICE 1"/>
    <s v="Alternative - Commodity"/>
    <s v="USD_COMD_CO_1"/>
    <s v="Alternative - Commodity"/>
    <s v="OK"/>
    <x v="2"/>
    <s v="Price Level  "/>
    <x v="2"/>
    <x v="2"/>
    <x v="184"/>
  </r>
  <r>
    <x v="100"/>
    <s v="Inflation Expectations - Inflation Disappointment (02/2021) "/>
    <n v="2447"/>
    <s v="Inflation fails to materialize across regions, driven by COVID-19 related setbacks."/>
    <x v="114"/>
    <s v="DXY"/>
    <e v="#N/A"/>
    <s v="DXY"/>
    <e v="#N/A"/>
    <s v="BOTH #N/A"/>
    <x v="18"/>
    <s v="Dollar Index"/>
    <x v="9"/>
    <x v="2"/>
    <x v="174"/>
  </r>
  <r>
    <x v="100"/>
    <s v="Inflation Expectations - Inflation Disappointment (02/2021) "/>
    <n v="2447"/>
    <s v="Inflation fails to materialize across regions, driven by COVID-19 related setbacks."/>
    <x v="281"/>
    <s v="MSCI World Net TR"/>
    <s v="Equity Implied Volatility"/>
    <s v="MSCIWLDNET"/>
    <s v="Equity Implied Volatility"/>
    <s v="OK"/>
    <x v="1"/>
    <s v="Index Level"/>
    <x v="1"/>
    <x v="1"/>
    <x v="114"/>
  </r>
  <r>
    <x v="100"/>
    <s v="Inflation Expectations - Inflation Disappointment (02/2021) "/>
    <n v="2447"/>
    <s v="Inflation fails to materialize across regions, driven by COVID-19 related setbacks."/>
    <x v="122"/>
    <s v="Time"/>
    <e v="#N/A"/>
    <s v="ALL_TIME"/>
    <e v="#N/A"/>
    <s v="BOTH #N/A"/>
    <x v="64"/>
    <s v="Time "/>
    <x v="8"/>
    <x v="2"/>
    <x v="151"/>
  </r>
  <r>
    <x v="100"/>
    <s v="Inflation Expectations - Inflation Disappointment (02/2021) "/>
    <n v="2447"/>
    <s v="Inflation fails to materialize across regions, driven by COVID-19 related setbacks."/>
    <x v="722"/>
    <s v="US HY Market"/>
    <s v="Corporate HY USD - Other"/>
    <s v="USD_HY_MARKET"/>
    <s v="Corporate HY USD - Other"/>
    <s v="OK"/>
    <x v="22"/>
    <s v="Spread Yield"/>
    <x v="5"/>
    <x v="4"/>
    <x v="108"/>
  </r>
  <r>
    <x v="100"/>
    <s v="Inflation Expectations - Inflation Disappointment (02/2021) "/>
    <n v="2447"/>
    <s v="Inflation fails to materialize across regions, driven by COVID-19 related setbacks."/>
    <x v="723"/>
    <s v="MSCI World Consumer Staples"/>
    <s v="Other - Index"/>
    <s v="Staples"/>
    <e v="#N/A"/>
    <s v="OK"/>
    <x v="12"/>
    <s v="Index Level"/>
    <x v="7"/>
    <x v="2"/>
    <x v="112"/>
  </r>
  <r>
    <x v="100"/>
    <s v="Inflation Expectations - Inflation Disappointment (02/2021) "/>
    <n v="2447"/>
    <s v="Inflation fails to materialize across regions, driven by COVID-19 related setbacks."/>
    <x v="724"/>
    <s v="MSCI World Industrials"/>
    <s v="Other - Index"/>
    <s v="Industrials"/>
    <e v="#N/A"/>
    <s v="OK"/>
    <x v="12"/>
    <s v="Index Level"/>
    <x v="7"/>
    <x v="2"/>
    <x v="122"/>
  </r>
  <r>
    <x v="100"/>
    <s v="Inflation Expectations - Inflation Disappointment (02/2021) "/>
    <n v="2447"/>
    <s v="Inflation fails to materialize across regions, driven by COVID-19 related setbacks."/>
    <x v="725"/>
    <s v="MSCI World Utilities"/>
    <s v="Other - Index"/>
    <s v="Utilities"/>
    <e v="#N/A"/>
    <s v="OK"/>
    <x v="12"/>
    <s v="Index Level"/>
    <x v="7"/>
    <x v="2"/>
    <x v="112"/>
  </r>
  <r>
    <x v="100"/>
    <s v="Inflation Expectations - Inflation Disappointment (02/2021) "/>
    <n v="2447"/>
    <s v="Inflation fails to materialize across regions, driven by COVID-19 related setbacks."/>
    <x v="726"/>
    <s v="MSCI Japan"/>
    <s v="Other - Index"/>
    <s v="Japan"/>
    <e v="#N/A"/>
    <s v="OK"/>
    <x v="12"/>
    <s v="Index Level"/>
    <x v="7"/>
    <x v="2"/>
    <x v="110"/>
  </r>
  <r>
    <x v="101"/>
    <s v="Inflation Expectations - Inflation Overshoot (02/2021)      "/>
    <n v="2449"/>
    <s v="Economic recovery, pent-up demand, supply chain bottlenecks, and fiscal stimulus cause a surge in inflation, prompting higher interest rates in a taper tantrum-style sell-off."/>
    <x v="727"/>
    <s v="Tsy 10Y"/>
    <s v="Govt USD"/>
    <s v="USD_10yr"/>
    <s v="Govt USD"/>
    <s v="OK"/>
    <x v="0"/>
    <s v="Yield  "/>
    <x v="0"/>
    <x v="0"/>
    <x v="168"/>
  </r>
  <r>
    <x v="101"/>
    <s v="Inflation Expectations - Inflation Overshoot (02/2021)      "/>
    <n v="2449"/>
    <s v="Economic recovery, pent-up demand, supply chain bottlenecks, and fiscal stimulus cause a surge in inflation, prompting higher interest rates in a taper tantrum-style sell-off."/>
    <x v="728"/>
    <s v="USD INF 10Y"/>
    <s v="USD Inflation"/>
    <s v="USD_INF_10yr"/>
    <s v="USD Inflation"/>
    <s v="OK"/>
    <x v="8"/>
    <s v="Yield  "/>
    <x v="6"/>
    <x v="2"/>
    <x v="160"/>
  </r>
  <r>
    <x v="101"/>
    <s v="Inflation Expectations - Inflation Overshoot (02/2021)      "/>
    <n v="2449"/>
    <s v="Economic recovery, pent-up demand, supply chain bottlenecks, and fiscal stimulus cause a surge in inflation, prompting higher interest rates in a taper tantrum-style sell-off."/>
    <x v="400"/>
    <s v="Brent Crude ICE 1"/>
    <s v="Alternative - Commodity"/>
    <s v="USD_COMD_CO_1"/>
    <s v="Alternative - Commodity"/>
    <s v="OK"/>
    <x v="2"/>
    <s v="Price Level  "/>
    <x v="2"/>
    <x v="2"/>
    <x v="148"/>
  </r>
  <r>
    <x v="101"/>
    <s v="Inflation Expectations - Inflation Overshoot (02/2021)      "/>
    <n v="2449"/>
    <s v="Economic recovery, pent-up demand, supply chain bottlenecks, and fiscal stimulus cause a surge in inflation, prompting higher interest rates in a taper tantrum-style sell-off."/>
    <x v="311"/>
    <s v="DXY"/>
    <e v="#N/A"/>
    <s v="DXY"/>
    <e v="#N/A"/>
    <s v="BOTH #N/A"/>
    <x v="18"/>
    <s v="Dollar Index"/>
    <x v="9"/>
    <x v="2"/>
    <x v="125"/>
  </r>
  <r>
    <x v="101"/>
    <s v="Inflation Expectations - Inflation Overshoot (02/2021)      "/>
    <n v="2449"/>
    <s v="Economic recovery, pent-up demand, supply chain bottlenecks, and fiscal stimulus cause a surge in inflation, prompting higher interest rates in a taper tantrum-style sell-off."/>
    <x v="729"/>
    <s v="BRL INF 10Y"/>
    <s v="Other - Inflation"/>
    <s v="BRL_INF_10yr"/>
    <s v="Other - Inflation"/>
    <s v="OK"/>
    <x v="52"/>
    <s v="Yield  "/>
    <x v="7"/>
    <x v="2"/>
    <x v="207"/>
  </r>
  <r>
    <x v="101"/>
    <s v="Inflation Expectations - Inflation Overshoot (02/2021)      "/>
    <n v="2449"/>
    <s v="Economic recovery, pent-up demand, supply chain bottlenecks, and fiscal stimulus cause a surge in inflation, prompting higher interest rates in a taper tantrum-style sell-off."/>
    <x v="258"/>
    <s v="MSCI World Net TR"/>
    <s v="Equity Implied Volatility"/>
    <s v="MSCIWLDNET"/>
    <s v="Equity Implied Volatility"/>
    <s v="OK"/>
    <x v="1"/>
    <s v="Index Level"/>
    <x v="1"/>
    <x v="1"/>
    <x v="121"/>
  </r>
  <r>
    <x v="101"/>
    <s v="Inflation Expectations - Inflation Overshoot (02/2021)      "/>
    <n v="2449"/>
    <s v="Economic recovery, pent-up demand, supply chain bottlenecks, and fiscal stimulus cause a surge in inflation, prompting higher interest rates in a taper tantrum-style sell-off."/>
    <x v="730"/>
    <s v="Pan Euro Credit HY"/>
    <s v="Corporate HY EUR - Other"/>
    <s v="EUR_LEH_HY"/>
    <s v="Corporate HY EUR - Other"/>
    <s v="OK"/>
    <x v="65"/>
    <s v="Spread Yield"/>
    <x v="5"/>
    <x v="4"/>
    <x v="130"/>
  </r>
  <r>
    <x v="101"/>
    <s v="Inflation Expectations - Inflation Overshoot (02/2021)      "/>
    <n v="2449"/>
    <s v="Economic recovery, pent-up demand, supply chain bottlenecks, and fiscal stimulus cause a surge in inflation, prompting higher interest rates in a taper tantrum-style sell-off."/>
    <x v="282"/>
    <s v="Time"/>
    <e v="#N/A"/>
    <s v="ALL_TIME"/>
    <e v="#N/A"/>
    <s v="BOTH #N/A"/>
    <x v="64"/>
    <s v="Time "/>
    <x v="8"/>
    <x v="2"/>
    <x v="115"/>
  </r>
  <r>
    <x v="101"/>
    <s v="Inflation Expectations - Inflation Overshoot (02/2021)      "/>
    <n v="2449"/>
    <s v="Economic recovery, pent-up demand, supply chain bottlenecks, and fiscal stimulus cause a surge in inflation, prompting higher interest rates in a taper tantrum-style sell-off."/>
    <x v="137"/>
    <s v="EMBIG DxS"/>
    <s v="Spread Emerging Markets - Country"/>
    <s v="USD_EM_DS_G"/>
    <s v="Spread Emerging Markets - Country"/>
    <s v="OK"/>
    <x v="29"/>
    <s v="Spread Yield"/>
    <x v="5"/>
    <x v="4"/>
    <x v="109"/>
  </r>
  <r>
    <x v="101"/>
    <s v="Inflation Expectations - Inflation Overshoot (02/2021)      "/>
    <n v="2449"/>
    <s v="Economic recovery, pent-up demand, supply chain bottlenecks, and fiscal stimulus cause a surge in inflation, prompting higher interest rates in a taper tantrum-style sell-off."/>
    <x v="577"/>
    <s v="US HY Market"/>
    <s v="Corporate HY USD - Other"/>
    <s v="USD_HY_MARKET"/>
    <s v="Corporate HY USD - Other"/>
    <s v="OK"/>
    <x v="22"/>
    <s v="Spread Yield"/>
    <x v="5"/>
    <x v="4"/>
    <x v="109"/>
  </r>
  <r>
    <x v="101"/>
    <s v="Inflation Expectations - Inflation Overshoot (02/2021)      "/>
    <n v="2449"/>
    <s v="Economic recovery, pent-up demand, supply chain bottlenecks, and fiscal stimulus cause a surge in inflation, prompting higher interest rates in a taper tantrum-style sell-off."/>
    <x v="731"/>
    <s v="MSCI World Cons. Discretionary"/>
    <s v="Other - Index"/>
    <s v="Discretionary"/>
    <e v="#N/A"/>
    <s v="OK"/>
    <x v="12"/>
    <s v="Index Level"/>
    <x v="7"/>
    <x v="2"/>
    <x v="148"/>
  </r>
  <r>
    <x v="101"/>
    <s v="Inflation Expectations - Inflation Overshoot (02/2021)      "/>
    <n v="2449"/>
    <s v="Economic recovery, pent-up demand, supply chain bottlenecks, and fiscal stimulus cause a surge in inflation, prompting higher interest rates in a taper tantrum-style sell-off."/>
    <x v="732"/>
    <s v="MSCI World Utilities"/>
    <s v="Other - Index"/>
    <s v="Utilities"/>
    <e v="#N/A"/>
    <s v="OK"/>
    <x v="12"/>
    <s v="Index Level"/>
    <x v="7"/>
    <x v="2"/>
    <x v="113"/>
  </r>
  <r>
    <x v="101"/>
    <s v="Inflation Expectations - Inflation Overshoot (02/2021)      "/>
    <n v="2449"/>
    <s v="Economic recovery, pent-up demand, supply chain bottlenecks, and fiscal stimulus cause a surge in inflation, prompting higher interest rates in a taper tantrum-style sell-off."/>
    <x v="733"/>
    <s v="MS Emerging Mkts"/>
    <s v="Equity Implied Volatility"/>
    <s v="Mkts"/>
    <e v="#N/A"/>
    <s v="OK"/>
    <x v="1"/>
    <s v="Index Level"/>
    <x v="1"/>
    <x v="1"/>
    <x v="191"/>
  </r>
  <r>
    <x v="102"/>
    <s v="Inflation Expectations - Reopening Reflation (02/2021)      "/>
    <n v="2448"/>
    <s v="Reopening of economies and easy financial conditions drive inflation expectations toward target levels, while nominal interest rates remain anchored by central bank asset purchases."/>
    <x v="118"/>
    <s v="Tsy 10Y"/>
    <s v="Govt USD"/>
    <s v="USD_10yr"/>
    <s v="Govt USD"/>
    <s v="OK"/>
    <x v="0"/>
    <s v="Yield  "/>
    <x v="0"/>
    <x v="0"/>
    <x v="132"/>
  </r>
  <r>
    <x v="102"/>
    <s v="Inflation Expectations - Reopening Reflation (02/2021)      "/>
    <n v="2448"/>
    <s v="Reopening of economies and easy financial conditions drive inflation expectations toward target levels, while nominal interest rates remain anchored by central bank asset purchases."/>
    <x v="702"/>
    <s v="USD INF 10Y"/>
    <s v="USD Inflation"/>
    <s v="USD_INF_10yr"/>
    <s v="USD Inflation"/>
    <s v="OK"/>
    <x v="8"/>
    <s v="Yield  "/>
    <x v="6"/>
    <x v="2"/>
    <x v="123"/>
  </r>
  <r>
    <x v="102"/>
    <s v="Inflation Expectations - Reopening Reflation (02/2021)      "/>
    <n v="2448"/>
    <s v="Reopening of economies and easy financial conditions drive inflation expectations toward target levels, while nominal interest rates remain anchored by central bank asset purchases."/>
    <x v="734"/>
    <s v="Brent Crude ICE 1"/>
    <s v="Alternative - Commodity"/>
    <s v="USD_COMD_CO_1"/>
    <s v="Alternative - Commodity"/>
    <s v="OK"/>
    <x v="2"/>
    <s v="Price Level  "/>
    <x v="2"/>
    <x v="2"/>
    <x v="139"/>
  </r>
  <r>
    <x v="102"/>
    <s v="Inflation Expectations - Reopening Reflation (02/2021)      "/>
    <n v="2448"/>
    <s v="Reopening of economies and easy financial conditions drive inflation expectations toward target levels, while nominal interest rates remain anchored by central bank asset purchases."/>
    <x v="151"/>
    <s v="Gold COMEX 1"/>
    <s v="Alternative - Commodity"/>
    <s v="USD_COMD_GC_1"/>
    <s v="Alternative - Commodity"/>
    <s v="OK"/>
    <x v="2"/>
    <s v="Price Level  "/>
    <x v="2"/>
    <x v="2"/>
    <x v="107"/>
  </r>
  <r>
    <x v="102"/>
    <s v="Inflation Expectations - Reopening Reflation (02/2021)      "/>
    <n v="2448"/>
    <s v="Reopening of economies and easy financial conditions drive inflation expectations toward target levels, while nominal interest rates remain anchored by central bank asset purchases."/>
    <x v="735"/>
    <s v="DXY"/>
    <e v="#N/A"/>
    <s v="DXY"/>
    <e v="#N/A"/>
    <s v="BOTH #N/A"/>
    <x v="18"/>
    <s v="Dollar Index"/>
    <x v="9"/>
    <x v="2"/>
    <x v="191"/>
  </r>
  <r>
    <x v="102"/>
    <s v="Inflation Expectations - Reopening Reflation (02/2021)      "/>
    <n v="2448"/>
    <s v="Reopening of economies and easy financial conditions drive inflation expectations toward target levels, while nominal interest rates remain anchored by central bank asset purchases."/>
    <x v="736"/>
    <s v="MSCI World Net TR"/>
    <s v="Equity Implied Volatility"/>
    <s v="MSCIWLDNET"/>
    <s v="Equity Implied Volatility"/>
    <s v="OK"/>
    <x v="1"/>
    <s v="Index Level"/>
    <x v="1"/>
    <x v="1"/>
    <x v="125"/>
  </r>
  <r>
    <x v="102"/>
    <s v="Inflation Expectations - Reopening Reflation (02/2021)      "/>
    <n v="2448"/>
    <s v="Reopening of economies and easy financial conditions drive inflation expectations toward target levels, while nominal interest rates remain anchored by central bank asset purchases."/>
    <x v="122"/>
    <s v="Time"/>
    <e v="#N/A"/>
    <s v="ALL_TIME"/>
    <e v="#N/A"/>
    <s v="BOTH #N/A"/>
    <x v="64"/>
    <s v="Time "/>
    <x v="8"/>
    <x v="2"/>
    <x v="151"/>
  </r>
  <r>
    <x v="102"/>
    <s v="Inflation Expectations - Reopening Reflation (02/2021)      "/>
    <n v="2448"/>
    <s v="Reopening of economies and easy financial conditions drive inflation expectations toward target levels, while nominal interest rates remain anchored by central bank asset purchases."/>
    <x v="737"/>
    <s v="US HY Market"/>
    <s v="Corporate HY USD - Other"/>
    <s v="USD_HY_MARKET"/>
    <s v="Corporate HY USD - Other"/>
    <s v="OK"/>
    <x v="22"/>
    <s v="Spread Yield"/>
    <x v="5"/>
    <x v="4"/>
    <x v="124"/>
  </r>
  <r>
    <x v="102"/>
    <s v="Inflation Expectations - Reopening Reflation (02/2021)      "/>
    <n v="2448"/>
    <s v="Reopening of economies and easy financial conditions drive inflation expectations toward target levels, while nominal interest rates remain anchored by central bank asset purchases."/>
    <x v="738"/>
    <s v="MSCI World Cons. Discretionary"/>
    <s v="Other - Index"/>
    <s v="Discretionary"/>
    <e v="#N/A"/>
    <s v="OK"/>
    <x v="12"/>
    <s v="Index Level"/>
    <x v="7"/>
    <x v="2"/>
    <x v="112"/>
  </r>
  <r>
    <x v="102"/>
    <s v="Inflation Expectations - Reopening Reflation (02/2021)      "/>
    <n v="2448"/>
    <s v="Reopening of economies and easy financial conditions drive inflation expectations toward target levels, while nominal interest rates remain anchored by central bank asset purchases."/>
    <x v="739"/>
    <s v="MSCI World Financials"/>
    <s v="Other - Index"/>
    <s v="Financials"/>
    <e v="#N/A"/>
    <s v="OK"/>
    <x v="12"/>
    <s v="Index Level"/>
    <x v="7"/>
    <x v="2"/>
    <x v="113"/>
  </r>
  <r>
    <x v="103"/>
    <s v="Inflation Regimes - Europe-Led Reflation                    "/>
    <n v="2441"/>
    <s v="Expansionary fiscal policy in Europe, followed by US fiscal stimulus, drives growth and inflation up and leads to global reflation."/>
    <x v="413"/>
    <s v="Tsy 2Y"/>
    <s v="Govt USD"/>
    <s v="USD_2yr"/>
    <s v="Govt USD"/>
    <s v="OK"/>
    <x v="0"/>
    <s v="Yield  "/>
    <x v="0"/>
    <x v="0"/>
    <x v="127"/>
  </r>
  <r>
    <x v="103"/>
    <s v="Inflation Regimes - Europe-Led Reflation                    "/>
    <n v="2441"/>
    <s v="Expansionary fiscal policy in Europe, followed by US fiscal stimulus, drives growth and inflation up and leads to global reflation."/>
    <x v="599"/>
    <s v="Tsy 10Y"/>
    <s v="Govt USD"/>
    <s v="USD_10yr"/>
    <s v="Govt USD"/>
    <s v="OK"/>
    <x v="0"/>
    <s v="Yield  "/>
    <x v="0"/>
    <x v="0"/>
    <x v="140"/>
  </r>
  <r>
    <x v="103"/>
    <s v="Inflation Regimes - Europe-Led Reflation                    "/>
    <n v="2441"/>
    <s v="Expansionary fiscal policy in Europe, followed by US fiscal stimulus, drives growth and inflation up and leads to global reflation."/>
    <x v="468"/>
    <s v="DEM 2Y"/>
    <s v="Govt EUR (Ger)"/>
    <s v="EUR_2yr"/>
    <s v="Govt EUR (Ger)"/>
    <s v="OK"/>
    <x v="9"/>
    <s v="Yield  "/>
    <x v="0"/>
    <x v="0"/>
    <x v="127"/>
  </r>
  <r>
    <x v="103"/>
    <s v="Inflation Regimes - Europe-Led Reflation                    "/>
    <n v="2441"/>
    <s v="Expansionary fiscal policy in Europe, followed by US fiscal stimulus, drives growth and inflation up and leads to global reflation."/>
    <x v="740"/>
    <s v="DEM 10Y"/>
    <s v="Govt EUR (Ger)"/>
    <s v="EUR_10yr"/>
    <s v="Govt EUR (Ger)"/>
    <s v="OK"/>
    <x v="9"/>
    <s v="Yield  "/>
    <x v="0"/>
    <x v="0"/>
    <x v="140"/>
  </r>
  <r>
    <x v="103"/>
    <s v="Inflation Regimes - Europe-Led Reflation                    "/>
    <n v="2441"/>
    <s v="Expansionary fiscal policy in Europe, followed by US fiscal stimulus, drives growth and inflation up and leads to global reflation."/>
    <x v="594"/>
    <s v="EUR/USD"/>
    <s v="EUR"/>
    <s v="EUR_FX_USD"/>
    <s v="EUR"/>
    <s v="OK"/>
    <x v="13"/>
    <s v="FX  "/>
    <x v="3"/>
    <x v="3"/>
    <x v="191"/>
  </r>
  <r>
    <x v="103"/>
    <s v="Inflation Regimes - Europe-Led Reflation                    "/>
    <n v="2441"/>
    <s v="Expansionary fiscal policy in Europe, followed by US fiscal stimulus, drives growth and inflation up and leads to global reflation."/>
    <x v="472"/>
    <s v="EUR INF 10Y"/>
    <s v="EUR Inflation"/>
    <s v="EUR_INF_10yr"/>
    <s v="EUR Inflation"/>
    <s v="OK"/>
    <x v="48"/>
    <s v="Yield  "/>
    <x v="6"/>
    <x v="2"/>
    <x v="132"/>
  </r>
  <r>
    <x v="103"/>
    <s v="Inflation Regimes - Europe-Led Reflation                    "/>
    <n v="2441"/>
    <s v="Expansionary fiscal policy in Europe, followed by US fiscal stimulus, drives growth and inflation up and leads to global reflation."/>
    <x v="741"/>
    <s v="MSCI EUROPE(EUR)"/>
    <s v="Equity Implied Volatility"/>
    <s v="MXEU"/>
    <s v="Equity Implied Volatility"/>
    <s v="OK"/>
    <x v="1"/>
    <s v="Index Level"/>
    <x v="1"/>
    <x v="1"/>
    <x v="148"/>
  </r>
  <r>
    <x v="103"/>
    <s v="Inflation Regimes - Europe-Led Reflation                    "/>
    <n v="2441"/>
    <s v="Expansionary fiscal policy in Europe, followed by US fiscal stimulus, drives growth and inflation up and leads to global reflation."/>
    <x v="742"/>
    <s v="Pan Euro Credit HY"/>
    <s v="Corporate HY EUR - Other"/>
    <s v="EUR_LEH_HY"/>
    <s v="Corporate HY EUR - Other"/>
    <s v="OK"/>
    <x v="65"/>
    <s v="Spread Yield"/>
    <x v="5"/>
    <x v="4"/>
    <x v="137"/>
  </r>
  <r>
    <x v="103"/>
    <s v="Inflation Regimes - Europe-Led Reflation                    "/>
    <n v="2441"/>
    <s v="Expansionary fiscal policy in Europe, followed by US fiscal stimulus, drives growth and inflation up and leads to global reflation."/>
    <x v="282"/>
    <s v="Time"/>
    <e v="#N/A"/>
    <s v="ALL_TIME"/>
    <e v="#N/A"/>
    <s v="BOTH #N/A"/>
    <x v="64"/>
    <s v="Time "/>
    <x v="8"/>
    <x v="2"/>
    <x v="115"/>
  </r>
  <r>
    <x v="103"/>
    <s v="Inflation Regimes - Europe-Led Reflation                    "/>
    <n v="2441"/>
    <s v="Expansionary fiscal policy in Europe, followed by US fiscal stimulus, drives growth and inflation up and leads to global reflation."/>
    <x v="743"/>
    <s v="MSCI World Cons. Discretionary"/>
    <s v="Other - Index"/>
    <s v="Discretionary"/>
    <e v="#N/A"/>
    <s v="OK"/>
    <x v="12"/>
    <s v="Index Level"/>
    <x v="7"/>
    <x v="2"/>
    <x v="161"/>
  </r>
  <r>
    <x v="103"/>
    <s v="Inflation Regimes - Europe-Led Reflation                    "/>
    <n v="2441"/>
    <s v="Expansionary fiscal policy in Europe, followed by US fiscal stimulus, drives growth and inflation up and leads to global reflation."/>
    <x v="744"/>
    <s v="S&amp;P 500"/>
    <s v="Equity Implied Volatility"/>
    <s v="500"/>
    <e v="#N/A"/>
    <s v="OK"/>
    <x v="1"/>
    <s v="Index Level"/>
    <x v="1"/>
    <x v="1"/>
    <x v="122"/>
  </r>
  <r>
    <x v="104"/>
    <s v="Inflation Regimes - Policy Change Catalyzes Stagflation.    "/>
    <n v="2439"/>
    <s v="A change in policy effectively targets wealth inequality and increases wages. However, central banks are ineffective at boosting growth, leading the economy into stagflation."/>
    <x v="263"/>
    <s v="Tsy 2Y"/>
    <s v="Govt USD"/>
    <s v="USD_2yr"/>
    <s v="Govt USD"/>
    <s v="OK"/>
    <x v="0"/>
    <s v="Yield  "/>
    <x v="0"/>
    <x v="0"/>
    <x v="124"/>
  </r>
  <r>
    <x v="104"/>
    <s v="Inflation Regimes - Policy Change Catalyzes Stagflation.    "/>
    <n v="2439"/>
    <s v="A change in policy effectively targets wealth inequality and increases wages. However, central banks are ineffective at boosting growth, leading the economy into stagflation."/>
    <x v="447"/>
    <s v="Tsy 10Y"/>
    <s v="Govt USD"/>
    <s v="USD_10yr"/>
    <s v="Govt USD"/>
    <s v="OK"/>
    <x v="0"/>
    <s v="Yield  "/>
    <x v="0"/>
    <x v="0"/>
    <x v="145"/>
  </r>
  <r>
    <x v="104"/>
    <s v="Inflation Regimes - Policy Change Catalyzes Stagflation.    "/>
    <n v="2439"/>
    <s v="A change in policy effectively targets wealth inequality and increases wages. However, central banks are ineffective at boosting growth, leading the economy into stagflation."/>
    <x v="745"/>
    <s v="CPI 10yr"/>
    <s v="USD Inflation"/>
    <s v="USD_CPI_10yr"/>
    <s v="USD Inflation"/>
    <s v="OK"/>
    <x v="8"/>
    <s v="Yield  "/>
    <x v="6"/>
    <x v="2"/>
    <x v="132"/>
  </r>
  <r>
    <x v="104"/>
    <s v="Inflation Regimes - Policy Change Catalyzes Stagflation.    "/>
    <n v="2439"/>
    <s v="A change in policy effectively targets wealth inequality and increases wages. However, central banks are ineffective at boosting growth, leading the economy into stagflation."/>
    <x v="312"/>
    <s v="S&amp;P 500"/>
    <s v="Equity Implied Volatility"/>
    <s v="SPX"/>
    <s v="Equity Implied Volatility"/>
    <s v="OK"/>
    <x v="1"/>
    <s v="Index Level"/>
    <x v="1"/>
    <x v="1"/>
    <x v="106"/>
  </r>
  <r>
    <x v="104"/>
    <s v="Inflation Regimes - Policy Change Catalyzes Stagflation.    "/>
    <n v="2439"/>
    <s v="A change in policy effectively targets wealth inequality and increases wages. However, central banks are ineffective at boosting growth, leading the economy into stagflation."/>
    <x v="282"/>
    <s v="Time"/>
    <e v="#N/A"/>
    <s v="ALL_TIME"/>
    <e v="#N/A"/>
    <s v="BOTH #N/A"/>
    <x v="64"/>
    <s v="Time "/>
    <x v="8"/>
    <x v="2"/>
    <x v="115"/>
  </r>
  <r>
    <x v="104"/>
    <s v="Inflation Regimes - Policy Change Catalyzes Stagflation.    "/>
    <n v="2439"/>
    <s v="A change in policy effectively targets wealth inequality and increases wages. However, central banks are ineffective at boosting growth, leading the economy into stagflation."/>
    <x v="746"/>
    <s v="US HY Market"/>
    <s v="Corporate HY USD - Other"/>
    <s v="USD_HY_MARKET"/>
    <s v="Corporate HY USD - Other"/>
    <s v="OK"/>
    <x v="22"/>
    <s v="Spread Yield"/>
    <x v="5"/>
    <x v="4"/>
    <x v="168"/>
  </r>
  <r>
    <x v="104"/>
    <s v="Inflation Regimes - Policy Change Catalyzes Stagflation.    "/>
    <n v="2439"/>
    <s v="A change in policy effectively targets wealth inequality and increases wages. However, central banks are ineffective at boosting growth, leading the economy into stagflation."/>
    <x v="747"/>
    <s v="S&amp;P 500 Cons. Disc. Index"/>
    <s v="Other - Index"/>
    <s v="Discr"/>
    <e v="#N/A"/>
    <s v="OK"/>
    <x v="12"/>
    <s v="Index Level"/>
    <x v="7"/>
    <x v="2"/>
    <x v="125"/>
  </r>
  <r>
    <x v="105"/>
    <s v="Inflation Regimes - Global Stagnation                       "/>
    <n v="2440"/>
    <s v="Weak global economic data and central banks? ineffectiveness in providing stimulus drive growth and inflation down."/>
    <x v="263"/>
    <s v="Tsy 2Y"/>
    <s v="Govt USD"/>
    <s v="USD_2yr"/>
    <s v="Govt USD"/>
    <s v="OK"/>
    <x v="0"/>
    <s v="Yield  "/>
    <x v="0"/>
    <x v="0"/>
    <x v="124"/>
  </r>
  <r>
    <x v="105"/>
    <s v="Inflation Regimes - Global Stagnation                       "/>
    <n v="2440"/>
    <s v="Weak global economic data and central banks? ineffectiveness in providing stimulus drive growth and inflation down."/>
    <x v="118"/>
    <s v="Tsy 10Y"/>
    <s v="Govt USD"/>
    <s v="USD_10yr"/>
    <s v="Govt USD"/>
    <s v="OK"/>
    <x v="0"/>
    <s v="Yield  "/>
    <x v="0"/>
    <x v="0"/>
    <x v="132"/>
  </r>
  <r>
    <x v="105"/>
    <s v="Inflation Regimes - Global Stagnation                       "/>
    <n v="2440"/>
    <s v="Weak global economic data and central banks? ineffectiveness in providing stimulus drive growth and inflation down."/>
    <x v="748"/>
    <s v="CPI 10yr"/>
    <s v="USD Inflation"/>
    <s v="USD_CPI_10yr"/>
    <s v="USD Inflation"/>
    <s v="OK"/>
    <x v="8"/>
    <s v="Yield  "/>
    <x v="6"/>
    <x v="2"/>
    <x v="138"/>
  </r>
  <r>
    <x v="105"/>
    <s v="Inflation Regimes - Global Stagnation                       "/>
    <n v="2440"/>
    <s v="Weak global economic data and central banks? ineffectiveness in providing stimulus drive growth and inflation down."/>
    <x v="749"/>
    <s v="Brent Crude ICE 1"/>
    <s v="Alternative - Commodity"/>
    <s v="USD_COMD_CO_1"/>
    <s v="Alternative - Commodity"/>
    <s v="OK"/>
    <x v="2"/>
    <s v="Price Level  "/>
    <x v="2"/>
    <x v="2"/>
    <x v="129"/>
  </r>
  <r>
    <x v="105"/>
    <s v="Inflation Regimes - Global Stagnation                       "/>
    <n v="2440"/>
    <s v="Weak global economic data and central banks? ineffectiveness in providing stimulus drive growth and inflation down."/>
    <x v="113"/>
    <s v="Gold COMEX 1"/>
    <s v="Alternative - Commodity"/>
    <s v="USD_COMD_GC_1"/>
    <s v="Alternative - Commodity"/>
    <s v="OK"/>
    <x v="2"/>
    <s v="Price Level  "/>
    <x v="2"/>
    <x v="2"/>
    <x v="125"/>
  </r>
  <r>
    <x v="105"/>
    <s v="Inflation Regimes - Global Stagnation                       "/>
    <n v="2440"/>
    <s v="Weak global economic data and central banks? ineffectiveness in providing stimulus drive growth and inflation down."/>
    <x v="155"/>
    <s v="S&amp;P 500"/>
    <s v="Equity Implied Volatility"/>
    <s v="SPX"/>
    <s v="Equity Implied Volatility"/>
    <s v="OK"/>
    <x v="1"/>
    <s v="Index Level"/>
    <x v="1"/>
    <x v="1"/>
    <x v="114"/>
  </r>
  <r>
    <x v="105"/>
    <s v="Inflation Regimes - Global Stagnation                       "/>
    <n v="2440"/>
    <s v="Weak global economic data and central banks? ineffectiveness in providing stimulus drive growth and inflation down."/>
    <x v="282"/>
    <s v="Time"/>
    <e v="#N/A"/>
    <s v="ALL_TIME"/>
    <e v="#N/A"/>
    <s v="BOTH #N/A"/>
    <x v="64"/>
    <s v="Time "/>
    <x v="8"/>
    <x v="2"/>
    <x v="115"/>
  </r>
  <r>
    <x v="105"/>
    <s v="Inflation Regimes - Global Stagnation                       "/>
    <n v="2440"/>
    <s v="Weak global economic data and central banks? ineffectiveness in providing stimulus drive growth and inflation down."/>
    <x v="750"/>
    <s v="US HY Market"/>
    <s v="Corporate HY USD - Other"/>
    <s v="USD_HY_MARKET"/>
    <s v="Corporate HY USD - Other"/>
    <s v="OK"/>
    <x v="22"/>
    <s v="Spread Yield"/>
    <x v="5"/>
    <x v="4"/>
    <x v="195"/>
  </r>
  <r>
    <x v="105"/>
    <s v="Inflation Regimes - Global Stagnation                       "/>
    <n v="2440"/>
    <s v="Weak global economic data and central banks? ineffectiveness in providing stimulus drive growth and inflation down."/>
    <x v="751"/>
    <s v="S&amp;P 500 Industrials"/>
    <s v="Equity Implied Volatility"/>
    <s v="Industrials"/>
    <e v="#N/A"/>
    <s v="OK"/>
    <x v="1"/>
    <s v="Index Level"/>
    <x v="1"/>
    <x v="1"/>
    <x v="122"/>
  </r>
  <r>
    <x v="106"/>
    <s v="South Asia Tensions - India-Pakistan Military Conflict      "/>
    <n v="2428"/>
    <s v="Another terror attack by Pakistan-based militants leads India to respond more forcefully, using air strikes and ground troops. Pakistan responds and limited war ensues along the Line of Control in Kashmir."/>
    <x v="752"/>
    <s v="Tsy 10Y"/>
    <s v="Govt USD"/>
    <s v="USD_10yr"/>
    <s v="Govt USD"/>
    <s v="OK"/>
    <x v="0"/>
    <s v="Yield  "/>
    <x v="0"/>
    <x v="0"/>
    <x v="208"/>
  </r>
  <r>
    <x v="106"/>
    <s v="South Asia Tensions - India-Pakistan Military Conflict      "/>
    <n v="2428"/>
    <s v="Another terror attack by Pakistan-based militants leads India to respond more forcefully, using air strikes and ground troops. Pakistan responds and limited war ensues along the Line of Control in Kashmir."/>
    <x v="298"/>
    <s v="Gold COMEX 1"/>
    <s v="Alternative - Commodity"/>
    <s v="USD_COMD_GC_1"/>
    <s v="Alternative - Commodity"/>
    <s v="OK"/>
    <x v="2"/>
    <s v="Price Level  "/>
    <x v="2"/>
    <x v="2"/>
    <x v="112"/>
  </r>
  <r>
    <x v="106"/>
    <s v="South Asia Tensions - India-Pakistan Military Conflict      "/>
    <n v="2428"/>
    <s v="Another terror attack by Pakistan-based militants leads India to respond more forcefully, using air strikes and ground troops. Pakistan responds and limited war ensues along the Line of Control in Kashmir."/>
    <x v="753"/>
    <s v="US Cash Bonds IG"/>
    <s v="Corporate IG USD - Other"/>
    <s v="USD_LEH_CREDIT3"/>
    <s v="Corporate IG USD - Other"/>
    <s v="OK"/>
    <x v="26"/>
    <s v="Corporate IG USD - Other"/>
    <x v="5"/>
    <x v="4"/>
    <x v="134"/>
  </r>
  <r>
    <x v="106"/>
    <s v="South Asia Tensions - India-Pakistan Military Conflict      "/>
    <n v="2428"/>
    <s v="Another terror attack by Pakistan-based militants leads India to respond more forcefully, using air strikes and ground troops. Pakistan responds and limited war ensues along the Line of Control in Kashmir."/>
    <x v="754"/>
    <s v="INR/USD"/>
    <s v="Emerging Currency"/>
    <s v="INR_FX_USD"/>
    <s v="Emerging Currency"/>
    <s v="OK"/>
    <x v="3"/>
    <s v="FX  "/>
    <x v="3"/>
    <x v="3"/>
    <x v="128"/>
  </r>
  <r>
    <x v="106"/>
    <s v="South Asia Tensions - India-Pakistan Military Conflict      "/>
    <n v="2428"/>
    <s v="Another terror attack by Pakistan-based militants leads India to respond more forcefully, using air strikes and ground troops. Pakistan responds and limited war ensues along the Line of Control in Kashmir."/>
    <x v="226"/>
    <s v="JPY/USD"/>
    <s v="JPY"/>
    <s v="JPY_FX_USD"/>
    <s v="JPY"/>
    <s v="OK"/>
    <x v="11"/>
    <s v="FX  "/>
    <x v="3"/>
    <x v="3"/>
    <x v="110"/>
  </r>
  <r>
    <x v="106"/>
    <s v="South Asia Tensions - India-Pakistan Military Conflict      "/>
    <n v="2428"/>
    <s v="Another terror attack by Pakistan-based militants leads India to respond more forcefully, using air strikes and ground troops. Pakistan responds and limited war ensues along the Line of Control in Kashmir."/>
    <x v="755"/>
    <s v="PKR/USD"/>
    <s v="Emerging Currency"/>
    <s v="PKR_FX_USD"/>
    <s v="Emerging Currency"/>
    <s v="OK"/>
    <x v="3"/>
    <s v="FX  "/>
    <x v="3"/>
    <x v="3"/>
    <x v="129"/>
  </r>
  <r>
    <x v="106"/>
    <s v="South Asia Tensions - India-Pakistan Military Conflict      "/>
    <n v="2428"/>
    <s v="Another terror attack by Pakistan-based militants leads India to respond more forcefully, using air strikes and ground troops. Pakistan responds and limited war ensues along the Line of Control in Kashmir."/>
    <x v="756"/>
    <s v="India BSE 100"/>
    <s v="Equity Implied Volatility"/>
    <s v="BSE100"/>
    <s v="Equity Implied Volatility"/>
    <s v="OK"/>
    <x v="1"/>
    <s v="Index Level"/>
    <x v="1"/>
    <x v="1"/>
    <x v="156"/>
  </r>
  <r>
    <x v="106"/>
    <s v="South Asia Tensions - India-Pakistan Military Conflict      "/>
    <n v="2428"/>
    <s v="Another terror attack by Pakistan-based militants leads India to respond more forcefully, using air strikes and ground troops. Pakistan responds and limited war ensues along the Line of Control in Kashmir."/>
    <x v="757"/>
    <s v="Pakistan KSE 100"/>
    <s v="Equity Implied Volatility"/>
    <s v="KSE100"/>
    <s v="Equity Implied Volatility"/>
    <s v="OK"/>
    <x v="1"/>
    <s v="Index Level"/>
    <x v="1"/>
    <x v="1"/>
    <x v="209"/>
  </r>
  <r>
    <x v="106"/>
    <s v="South Asia Tensions - India-Pakistan Military Conflict      "/>
    <n v="2428"/>
    <s v="Another terror attack by Pakistan-based militants leads India to respond more forcefully, using air strikes and ground troops. Pakistan responds and limited war ensues along the Line of Control in Kashmir."/>
    <x v="673"/>
    <s v="MSCI World Net TR"/>
    <s v="Equity Implied Volatility"/>
    <s v="MSCIWLDNET"/>
    <s v="Equity Implied Volatility"/>
    <s v="OK"/>
    <x v="1"/>
    <s v="Index Level"/>
    <x v="1"/>
    <x v="1"/>
    <x v="191"/>
  </r>
  <r>
    <x v="106"/>
    <s v="South Asia Tensions - India-Pakistan Military Conflict      "/>
    <n v="2428"/>
    <s v="Another terror attack by Pakistan-based militants leads India to respond more forcefully, using air strikes and ground troops. Pakistan responds and limited war ensues along the Line of Control in Kashmir."/>
    <x v="758"/>
    <s v="Aerospace &amp; Defense"/>
    <s v="Industrials"/>
    <s v="FMI_WRLD_INDAIRDEF"/>
    <s v="Industrials"/>
    <s v="OK"/>
    <x v="4"/>
    <s v="Industry Return  "/>
    <x v="4"/>
    <x v="1"/>
    <x v="125"/>
  </r>
  <r>
    <x v="106"/>
    <s v="South Asia Tensions - India-Pakistan Military Conflict      "/>
    <n v="2428"/>
    <s v="Another terror attack by Pakistan-based militants leads India to respond more forcefully, using air strikes and ground troops. Pakistan responds and limited war ensues along the Line of Control in Kashmir."/>
    <x v="759"/>
    <s v="Pakistan"/>
    <s v="Emerging Markets"/>
    <s v="USD_EM_DS_PAKISTAN"/>
    <s v="Spread Emerging Markets - Country"/>
    <s v="OK"/>
    <x v="29"/>
    <s v="Spread Yield"/>
    <x v="5"/>
    <x v="4"/>
    <x v="188"/>
  </r>
  <r>
    <x v="107"/>
    <s v="Financial Stress - NIRP Works                               "/>
    <n v="2486"/>
    <s v="Negative rates stimulate growth and bank profitability improves due to steeper yield curves"/>
    <x v="760"/>
    <s v="DEM 3M"/>
    <s v="Govt EUR (Ger)"/>
    <s v="EUR_3m"/>
    <s v="Govt EUR (Ger)"/>
    <s v="OK"/>
    <x v="9"/>
    <s v="Yield  "/>
    <x v="0"/>
    <x v="0"/>
    <x v="175"/>
  </r>
  <r>
    <x v="107"/>
    <s v="Financial Stress - NIRP Works                               "/>
    <n v="2486"/>
    <s v="Negative rates stimulate growth and bank profitability improves due to steeper yield curves"/>
    <x v="761"/>
    <s v="DEM 10Y"/>
    <s v="Govt EUR (Ger)"/>
    <s v="EUR_10yr"/>
    <s v="Govt EUR (Ger)"/>
    <s v="OK"/>
    <x v="9"/>
    <s v="Yield  "/>
    <x v="0"/>
    <x v="0"/>
    <x v="108"/>
  </r>
  <r>
    <x v="107"/>
    <s v="Financial Stress - NIRP Works                               "/>
    <n v="2486"/>
    <s v="Negative rates stimulate growth and bank profitability improves due to steeper yield curves"/>
    <x v="762"/>
    <s v="JPY 3M"/>
    <s v="Govt Developed Other (AU, GB, JP, ...)"/>
    <s v="JPY_3m"/>
    <s v="Govt Developed Other (AU, GB, JP, ...)"/>
    <s v="OK"/>
    <x v="10"/>
    <s v="Yield  "/>
    <x v="0"/>
    <x v="0"/>
    <x v="175"/>
  </r>
  <r>
    <x v="107"/>
    <s v="Financial Stress - NIRP Works                               "/>
    <n v="2486"/>
    <s v="Negative rates stimulate growth and bank profitability improves due to steeper yield curves"/>
    <x v="763"/>
    <s v="JPY 10Y"/>
    <s v="Govt Developed Other (AU, GB, JP, ...)"/>
    <s v="JPY_10yr"/>
    <s v="Govt Developed Other (AU, GB, JP, ...)"/>
    <s v="OK"/>
    <x v="10"/>
    <s v="Yield  "/>
    <x v="0"/>
    <x v="0"/>
    <x v="140"/>
  </r>
  <r>
    <x v="107"/>
    <s v="Financial Stress - NIRP Works                               "/>
    <n v="2486"/>
    <s v="Negative rates stimulate growth and bank profitability improves due to steeper yield curves"/>
    <x v="452"/>
    <s v="EUR/USD"/>
    <s v="EUR"/>
    <s v="EUR_FX_USD"/>
    <s v="EUR"/>
    <s v="OK"/>
    <x v="13"/>
    <s v="FX  "/>
    <x v="3"/>
    <x v="3"/>
    <x v="122"/>
  </r>
  <r>
    <x v="107"/>
    <s v="Financial Stress - NIRP Works                               "/>
    <n v="2486"/>
    <s v="Negative rates stimulate growth and bank profitability improves due to steeper yield curves"/>
    <x v="764"/>
    <s v="MXNUSD"/>
    <e v="#N/A"/>
    <s v="MXN_FX_USD"/>
    <s v="Emerging Currency"/>
    <s v="OK"/>
    <x v="3"/>
    <s v="FX  "/>
    <x v="3"/>
    <x v="3"/>
    <x v="141"/>
  </r>
  <r>
    <x v="107"/>
    <s v="Financial Stress - NIRP Works                               "/>
    <n v="2486"/>
    <s v="Negative rates stimulate growth and bank profitability improves due to steeper yield curves"/>
    <x v="711"/>
    <s v="EUR INF 10Y"/>
    <s v="EUR Inflation"/>
    <s v="EUR_INF_10yr"/>
    <s v="EUR Inflation"/>
    <s v="OK"/>
    <x v="48"/>
    <s v="Yield  "/>
    <x v="6"/>
    <x v="2"/>
    <x v="123"/>
  </r>
  <r>
    <x v="107"/>
    <s v="Financial Stress - NIRP Works                               "/>
    <n v="2486"/>
    <s v="Negative rates stimulate growth and bank profitability improves due to steeper yield curves"/>
    <x v="765"/>
    <s v="JPY INF 10Y"/>
    <s v="Other - Inflation"/>
    <s v="JPY_INF_10yr"/>
    <s v="Other - Inflation"/>
    <s v="OK"/>
    <x v="52"/>
    <s v="Yield  "/>
    <x v="7"/>
    <x v="2"/>
    <x v="105"/>
  </r>
  <r>
    <x v="107"/>
    <s v="Financial Stress - NIRP Works                               "/>
    <n v="2486"/>
    <s v="Negative rates stimulate growth and bank profitability improves due to steeper yield curves"/>
    <x v="416"/>
    <s v="MSCI World Net TR"/>
    <s v="Equity Implied Volatility"/>
    <s v="MSCIWLDNET"/>
    <s v="Equity Implied Volatility"/>
    <s v="OK"/>
    <x v="1"/>
    <s v="Index Level"/>
    <x v="1"/>
    <x v="1"/>
    <x v="112"/>
  </r>
  <r>
    <x v="107"/>
    <s v="Financial Stress - NIRP Works                               "/>
    <n v="2486"/>
    <s v="Negative rates stimulate growth and bank profitability improves due to steeper yield curves"/>
    <x v="766"/>
    <s v="Pan Euro Credit HY"/>
    <s v="Corporate HY EUR - Other"/>
    <s v="EUR_LEH_HY"/>
    <s v="Corporate HY EUR - Other"/>
    <s v="OK"/>
    <x v="65"/>
    <s v="Spread Yield"/>
    <x v="5"/>
    <x v="4"/>
    <x v="160"/>
  </r>
  <r>
    <x v="107"/>
    <s v="Financial Stress - NIRP Works                               "/>
    <n v="2486"/>
    <s v="Negative rates stimulate growth and bank profitability improves due to steeper yield curves"/>
    <x v="767"/>
    <s v="Value"/>
    <s v="Value"/>
    <s v="FMI_WRLD_VALUE"/>
    <s v="Value"/>
    <s v="OK"/>
    <x v="46"/>
    <s v="Style Return  "/>
    <x v="13"/>
    <x v="1"/>
    <x v="109"/>
  </r>
  <r>
    <x v="107"/>
    <s v="Financial Stress - NIRP Works                               "/>
    <n v="2486"/>
    <s v="Negative rates stimulate growth and bank profitability improves due to steeper yield curves"/>
    <x v="768"/>
    <s v="EMBIG DxS"/>
    <s v="Spread Emerging Markets - Country"/>
    <s v="USD_EM_DS_G"/>
    <s v="Spread Emerging Markets - Country"/>
    <s v="OK"/>
    <x v="29"/>
    <s v="Spread Yield"/>
    <x v="5"/>
    <x v="4"/>
    <x v="155"/>
  </r>
  <r>
    <x v="107"/>
    <s v="Financial Stress - NIRP Works                               "/>
    <n v="2486"/>
    <s v="Negative rates stimulate growth and bank profitability improves due to steeper yield curves"/>
    <x v="769"/>
    <s v="MSCI EUROPE(EUR)"/>
    <s v="Equity Implied Volatility"/>
    <s v="EUROPEEUR"/>
    <e v="#N/A"/>
    <s v="OK"/>
    <x v="1"/>
    <s v="Index Level"/>
    <x v="1"/>
    <x v="1"/>
    <x v="125"/>
  </r>
  <r>
    <x v="108"/>
    <s v="Financial Stress - Financial Pressure                       "/>
    <n v="2485"/>
    <s v="Negative rates pressure bank profits, curbing credit creation"/>
    <x v="481"/>
    <s v="DEM 10Y"/>
    <s v="Govt EUR (Ger)"/>
    <s v="EUR_10yr"/>
    <s v="Govt EUR (Ger)"/>
    <s v="OK"/>
    <x v="9"/>
    <s v="Yield  "/>
    <x v="0"/>
    <x v="0"/>
    <x v="176"/>
  </r>
  <r>
    <x v="108"/>
    <s v="Financial Stress - Financial Pressure                       "/>
    <n v="2485"/>
    <s v="Negative rates pressure bank profits, curbing credit creation"/>
    <x v="770"/>
    <s v="JPY 2Y"/>
    <s v="Govt Developed Other (AU, GB, JP, ...)"/>
    <s v="JPY_2yr"/>
    <s v="Govt Developed Other (AU, GB, JP, ...)"/>
    <s v="OK"/>
    <x v="10"/>
    <s v="Yield  "/>
    <x v="0"/>
    <x v="0"/>
    <x v="124"/>
  </r>
  <r>
    <x v="108"/>
    <s v="Financial Stress - Financial Pressure                       "/>
    <n v="2485"/>
    <s v="Negative rates pressure bank profits, curbing credit creation"/>
    <x v="771"/>
    <s v="JPY 10Y"/>
    <s v="Govt Developed Other (AU, GB, JP, ...)"/>
    <s v="JPY_10yr"/>
    <s v="Govt Developed Other (AU, GB, JP, ...)"/>
    <s v="OK"/>
    <x v="10"/>
    <s v="Yield  "/>
    <x v="0"/>
    <x v="0"/>
    <x v="123"/>
  </r>
  <r>
    <x v="108"/>
    <s v="Financial Stress - Financial Pressure                       "/>
    <n v="2485"/>
    <s v="Negative rates pressure bank profits, curbing credit creation"/>
    <x v="512"/>
    <s v="EUR/USD"/>
    <s v="EUR"/>
    <s v="EUR_FX_USD"/>
    <s v="EUR"/>
    <s v="OK"/>
    <x v="13"/>
    <s v="FX  "/>
    <x v="3"/>
    <x v="3"/>
    <x v="125"/>
  </r>
  <r>
    <x v="108"/>
    <s v="Financial Stress - Financial Pressure                       "/>
    <n v="2485"/>
    <s v="Negative rates pressure bank profits, curbing credit creation"/>
    <x v="434"/>
    <s v="MXNUSD"/>
    <e v="#N/A"/>
    <s v="MXN_FX_USD"/>
    <s v="Emerging Currency"/>
    <s v="OK"/>
    <x v="3"/>
    <s v="FX  "/>
    <x v="3"/>
    <x v="3"/>
    <x v="122"/>
  </r>
  <r>
    <x v="108"/>
    <s v="Financial Stress - Financial Pressure                       "/>
    <n v="2485"/>
    <s v="Negative rates pressure bank profits, curbing credit creation"/>
    <x v="522"/>
    <s v="EUR INF 10Y"/>
    <s v="EUR Inflation"/>
    <s v="EUR_INF_10yr"/>
    <s v="EUR Inflation"/>
    <s v="OK"/>
    <x v="48"/>
    <s v="Yield  "/>
    <x v="6"/>
    <x v="2"/>
    <x v="140"/>
  </r>
  <r>
    <x v="108"/>
    <s v="Financial Stress - Financial Pressure                       "/>
    <n v="2485"/>
    <s v="Negative rates pressure bank profits, curbing credit creation"/>
    <x v="772"/>
    <s v="MSCI World Net TR"/>
    <s v="Equity Implied Volatility"/>
    <s v="MSCIWLDNET"/>
    <s v="Equity Implied Volatility"/>
    <s v="OK"/>
    <x v="1"/>
    <s v="Index Level"/>
    <x v="1"/>
    <x v="1"/>
    <x v="106"/>
  </r>
  <r>
    <x v="108"/>
    <s v="Financial Stress - Financial Pressure                       "/>
    <n v="2485"/>
    <s v="Negative rates pressure bank profits, curbing credit creation"/>
    <x v="773"/>
    <s v="Pan Euro Credit HY"/>
    <s v="Corporate HY EUR - Other"/>
    <s v="EUR_LEH_HY"/>
    <s v="Corporate HY EUR - Other"/>
    <s v="OK"/>
    <x v="65"/>
    <s v="Spread Yield"/>
    <x v="5"/>
    <x v="4"/>
    <x v="109"/>
  </r>
  <r>
    <x v="108"/>
    <s v="Financial Stress - Financial Pressure                       "/>
    <n v="2485"/>
    <s v="Negative rates pressure bank profits, curbing credit creation"/>
    <x v="774"/>
    <s v="EMBIG DxS"/>
    <s v="Spread Emerging Markets - Country"/>
    <s v="USD_EM_DS_G"/>
    <s v="Spread Emerging Markets - Country"/>
    <s v="OK"/>
    <x v="29"/>
    <s v="Spread Yield"/>
    <x v="5"/>
    <x v="4"/>
    <x v="149"/>
  </r>
  <r>
    <x v="108"/>
    <s v="Financial Stress - Financial Pressure                       "/>
    <n v="2485"/>
    <s v="Negative rates pressure bank profits, curbing credit creation"/>
    <x v="775"/>
    <s v="EU Banking IG"/>
    <s v="Corporate IG EUR - Industry"/>
    <s v="IG"/>
    <e v="#N/A"/>
    <s v="OK"/>
    <x v="58"/>
    <s v="Spread Yield"/>
    <x v="5"/>
    <x v="4"/>
    <x v="118"/>
  </r>
  <r>
    <x v="108"/>
    <s v="Financial Stress - Financial Pressure                       "/>
    <n v="2485"/>
    <s v="Negative rates pressure bank profits, curbing credit creation"/>
    <x v="776"/>
    <s v="MSCI World Financials"/>
    <s v="Other - Index"/>
    <s v="Financials"/>
    <e v="#N/A"/>
    <s v="OK"/>
    <x v="12"/>
    <s v="Index Level"/>
    <x v="7"/>
    <x v="2"/>
    <x v="196"/>
  </r>
  <r>
    <x v="108"/>
    <s v="Financial Stress - Financial Pressure                       "/>
    <n v="2485"/>
    <s v="Negative rates pressure bank profits, curbing credit creation"/>
    <x v="467"/>
    <s v="MSCI EUROPE(EUR)"/>
    <s v="Equity Implied Volatility"/>
    <s v="EUROPEEUR"/>
    <e v="#N/A"/>
    <s v="OK"/>
    <x v="1"/>
    <s v="Index Level"/>
    <x v="1"/>
    <x v="1"/>
    <x v="122"/>
  </r>
  <r>
    <x v="109"/>
    <s v="Abenomics - NIRP Bank Suffering                             "/>
    <n v="2492"/>
    <s v="Bank of Japan begins to run out of ammunition as banks come under further pressure and liquidity dries up"/>
    <x v="118"/>
    <s v="Tsy 10Y"/>
    <s v="Govt USD"/>
    <s v="USD_10yr"/>
    <s v="Govt USD"/>
    <s v="OK"/>
    <x v="0"/>
    <s v="Yield  "/>
    <x v="0"/>
    <x v="0"/>
    <x v="132"/>
  </r>
  <r>
    <x v="109"/>
    <s v="Abenomics - NIRP Bank Suffering                             "/>
    <n v="2492"/>
    <s v="Bank of Japan begins to run out of ammunition as banks come under further pressure and liquidity dries up"/>
    <x v="777"/>
    <s v="Crude Oil NYME 1"/>
    <s v="Alternative - Commodity"/>
    <s v="USD_COMD_CL_1"/>
    <s v="Alternative - Commodity"/>
    <s v="OK"/>
    <x v="2"/>
    <s v="Price Level  "/>
    <x v="2"/>
    <x v="2"/>
    <x v="159"/>
  </r>
  <r>
    <x v="109"/>
    <s v="Abenomics - NIRP Bank Suffering                             "/>
    <n v="2492"/>
    <s v="Bank of Japan begins to run out of ammunition as banks come under further pressure and liquidity dries up"/>
    <x v="778"/>
    <s v="JPY Vol 1x10"/>
    <s v="Rates Implied Volatility"/>
    <s v="JPY_normvol_1y_10y"/>
    <s v="Rates Implied Volatility"/>
    <s v="OK"/>
    <x v="63"/>
    <s v="Implied Vol  "/>
    <x v="15"/>
    <x v="2"/>
    <x v="145"/>
  </r>
  <r>
    <x v="109"/>
    <s v="Abenomics - NIRP Bank Suffering                             "/>
    <n v="2492"/>
    <s v="Bank of Japan begins to run out of ammunition as banks come under further pressure and liquidity dries up"/>
    <x v="771"/>
    <s v="JPY 10Y"/>
    <s v="Govt Developed Other (AU, GB, JP, ...)"/>
    <s v="JPY_10yr"/>
    <s v="Govt Developed Other (AU, GB, JP, ...)"/>
    <s v="OK"/>
    <x v="10"/>
    <s v="Yield  "/>
    <x v="0"/>
    <x v="0"/>
    <x v="123"/>
  </r>
  <r>
    <x v="109"/>
    <s v="Abenomics - NIRP Bank Suffering                             "/>
    <n v="2492"/>
    <s v="Bank of Japan begins to run out of ammunition as banks come under further pressure and liquidity dries up"/>
    <x v="779"/>
    <s v="NIKKEI 225"/>
    <s v="Equity Implied Volatility"/>
    <s v="NKY"/>
    <s v="Equity Implied Volatility"/>
    <s v="OK"/>
    <x v="1"/>
    <s v="Index Level"/>
    <x v="1"/>
    <x v="1"/>
    <x v="196"/>
  </r>
  <r>
    <x v="109"/>
    <s v="Abenomics - NIRP Bank Suffering                             "/>
    <n v="2492"/>
    <s v="Bank of Japan begins to run out of ammunition as banks come under further pressure and liquidity dries up"/>
    <x v="465"/>
    <s v="MSCI World Net TR"/>
    <s v="Equity Implied Volatility"/>
    <s v="MSCIWLDNET"/>
    <s v="Equity Implied Volatility"/>
    <s v="OK"/>
    <x v="1"/>
    <s v="Index Level"/>
    <x v="1"/>
    <x v="1"/>
    <x v="171"/>
  </r>
  <r>
    <x v="109"/>
    <s v="Abenomics - NIRP Bank Suffering                             "/>
    <n v="2492"/>
    <s v="Bank of Japan begins to run out of ammunition as banks come under further pressure and liquidity dries up"/>
    <x v="780"/>
    <s v="JP Maturity 5"/>
    <s v="Corporate IG Other - Maturity"/>
    <s v="JPY_CORP_AGG_5Y"/>
    <s v="Corporate IG Other - Maturity"/>
    <s v="OK"/>
    <x v="66"/>
    <s v="Spread Yield"/>
    <x v="5"/>
    <x v="4"/>
    <x v="124"/>
  </r>
  <r>
    <x v="109"/>
    <s v="Abenomics - NIRP Bank Suffering                             "/>
    <n v="2492"/>
    <s v="Bank of Japan begins to run out of ammunition as banks come under further pressure and liquidity dries up"/>
    <x v="781"/>
    <s v="Banks"/>
    <e v="#N/A"/>
    <s v="FMI_JAPN_FINBANK"/>
    <e v="#N/A"/>
    <s v="BOTH #N/A"/>
    <x v="35"/>
    <s v="Financials"/>
    <x v="4"/>
    <x v="1"/>
    <x v="121"/>
  </r>
  <r>
    <x v="109"/>
    <s v="Abenomics - NIRP Bank Suffering                             "/>
    <n v="2492"/>
    <s v="Bank of Japan begins to run out of ammunition as banks come under further pressure and liquidity dries up"/>
    <x v="782"/>
    <s v="OIS 1m"/>
    <s v="Govt USD"/>
    <s v="USD_OIS_1m"/>
    <s v="Govt USD"/>
    <s v="OK"/>
    <x v="0"/>
    <s v="Yield  "/>
    <x v="0"/>
    <x v="0"/>
    <x v="175"/>
  </r>
  <r>
    <x v="110"/>
    <s v="Abenomics - Helicopter Money                                "/>
    <n v="2494"/>
    <s v="Untried policies of helicopter money combined with fiscal expansion are deployed to curb deflationary pressures"/>
    <x v="783"/>
    <s v="GSCI ENERGY"/>
    <s v="Alternative - Commodity"/>
    <s v="GSENSPOT"/>
    <s v="Alternative - Commodity"/>
    <s v="OK"/>
    <x v="2"/>
    <s v="Price Level  "/>
    <x v="2"/>
    <x v="2"/>
    <x v="139"/>
  </r>
  <r>
    <x v="110"/>
    <s v="Abenomics - Helicopter Money                                "/>
    <n v="2494"/>
    <s v="Untried policies of helicopter money combined with fiscal expansion are deployed to curb deflationary pressures"/>
    <x v="709"/>
    <s v="JPY 2Y"/>
    <s v="Govt Developed Other (AU, GB, JP, ...)"/>
    <s v="JPY_2yr"/>
    <s v="Govt Developed Other (AU, GB, JP, ...)"/>
    <s v="OK"/>
    <x v="10"/>
    <s v="Yield  "/>
    <x v="0"/>
    <x v="0"/>
    <x v="134"/>
  </r>
  <r>
    <x v="110"/>
    <s v="Abenomics - Helicopter Money                                "/>
    <n v="2494"/>
    <s v="Untried policies of helicopter money combined with fiscal expansion are deployed to curb deflationary pressures"/>
    <x v="784"/>
    <s v="JPY 10Y"/>
    <s v="Govt Developed Other (AU, GB, JP, ...)"/>
    <s v="JPY_10yr"/>
    <s v="Govt Developed Other (AU, GB, JP, ...)"/>
    <s v="OK"/>
    <x v="10"/>
    <s v="Yield  "/>
    <x v="0"/>
    <x v="0"/>
    <x v="195"/>
  </r>
  <r>
    <x v="110"/>
    <s v="Abenomics - Helicopter Money                                "/>
    <n v="2494"/>
    <s v="Untried policies of helicopter money combined with fiscal expansion are deployed to curb deflationary pressures"/>
    <x v="785"/>
    <s v="JPY/USD"/>
    <s v="JPY"/>
    <s v="JPY_FX_USD"/>
    <s v="JPY"/>
    <s v="OK"/>
    <x v="11"/>
    <s v="FX  "/>
    <x v="3"/>
    <x v="3"/>
    <x v="122"/>
  </r>
  <r>
    <x v="110"/>
    <s v="Abenomics - Helicopter Money                                "/>
    <n v="2494"/>
    <s v="Untried policies of helicopter money combined with fiscal expansion are deployed to curb deflationary pressures"/>
    <x v="786"/>
    <s v="JPY INF 10Y"/>
    <s v="Other - Inflation"/>
    <s v="JPY_INF_10yr"/>
    <s v="Other - Inflation"/>
    <s v="OK"/>
    <x v="52"/>
    <s v="Yield  "/>
    <x v="7"/>
    <x v="2"/>
    <x v="123"/>
  </r>
  <r>
    <x v="110"/>
    <s v="Abenomics - Helicopter Money                                "/>
    <n v="2494"/>
    <s v="Untried policies of helicopter money combined with fiscal expansion are deployed to curb deflationary pressures"/>
    <x v="787"/>
    <s v="MSCI World Cons. Discretionary"/>
    <s v="Other - Index"/>
    <s v="Discretionary"/>
    <e v="#N/A"/>
    <s v="OK"/>
    <x v="12"/>
    <s v="Index Level"/>
    <x v="7"/>
    <x v="2"/>
    <x v="125"/>
  </r>
  <r>
    <x v="110"/>
    <s v="Abenomics - Helicopter Money                                "/>
    <n v="2494"/>
    <s v="Untried policies of helicopter money combined with fiscal expansion are deployed to curb deflationary pressures"/>
    <x v="788"/>
    <s v="NIKKEI 225"/>
    <s v="Equity Implied Volatility"/>
    <s v="225"/>
    <e v="#N/A"/>
    <s v="OK"/>
    <x v="1"/>
    <s v="Index Level"/>
    <x v="1"/>
    <x v="1"/>
    <x v="210"/>
  </r>
  <r>
    <x v="111"/>
    <s v="Abenomics  - Additional Abenomics Works                     "/>
    <n v="2493"/>
    <s v="Further rate cut from the BoJ combined with expansionary fiscal policy drives risk-on sentiment in markets"/>
    <x v="789"/>
    <s v="US Cash Bonds IG"/>
    <s v="Corporate IG USD - Other"/>
    <s v="USD_LEH_CREDIT3"/>
    <s v="Corporate IG USD - Other"/>
    <s v="OK"/>
    <x v="26"/>
    <s v="Corporate IG USD - Other"/>
    <x v="5"/>
    <x v="4"/>
    <x v="124"/>
  </r>
  <r>
    <x v="111"/>
    <s v="Abenomics  - Additional Abenomics Works                     "/>
    <n v="2493"/>
    <s v="Further rate cut from the BoJ combined with expansionary fiscal policy drives risk-on sentiment in markets"/>
    <x v="790"/>
    <s v="JPY 3M"/>
    <s v="Govt Developed Other (AU, GB, JP, ...)"/>
    <s v="JPY_3m"/>
    <s v="Govt Developed Other (AU, GB, JP, ...)"/>
    <s v="OK"/>
    <x v="10"/>
    <s v="Yield  "/>
    <x v="0"/>
    <x v="0"/>
    <x v="124"/>
  </r>
  <r>
    <x v="111"/>
    <s v="Abenomics  - Additional Abenomics Works                     "/>
    <n v="2493"/>
    <s v="Further rate cut from the BoJ combined with expansionary fiscal policy drives risk-on sentiment in markets"/>
    <x v="791"/>
    <s v="JPY 15Y"/>
    <s v="Govt Developed Other (AU, GB, JP, ...)"/>
    <s v="JPY_15yr"/>
    <s v="Govt Developed Other (AU, GB, JP, ...)"/>
    <s v="OK"/>
    <x v="10"/>
    <s v="Yield  "/>
    <x v="0"/>
    <x v="0"/>
    <x v="138"/>
  </r>
  <r>
    <x v="111"/>
    <s v="Abenomics  - Additional Abenomics Works                     "/>
    <n v="2493"/>
    <s v="Further rate cut from the BoJ combined with expansionary fiscal policy drives risk-on sentiment in markets"/>
    <x v="792"/>
    <s v="JPY/USD"/>
    <s v="JPY"/>
    <s v="JPY_FX_USD"/>
    <s v="JPY"/>
    <s v="OK"/>
    <x v="11"/>
    <s v="FX  "/>
    <x v="3"/>
    <x v="3"/>
    <x v="196"/>
  </r>
  <r>
    <x v="111"/>
    <s v="Abenomics  - Additional Abenomics Works                     "/>
    <n v="2493"/>
    <s v="Further rate cut from the BoJ combined with expansionary fiscal policy drives risk-on sentiment in markets"/>
    <x v="793"/>
    <s v="JPY INF 10Y"/>
    <s v="Other - Inflation"/>
    <s v="JPY_INF_10yr"/>
    <s v="Other - Inflation"/>
    <s v="OK"/>
    <x v="52"/>
    <s v="Yield  "/>
    <x v="7"/>
    <x v="2"/>
    <x v="132"/>
  </r>
  <r>
    <x v="111"/>
    <s v="Abenomics  - Additional Abenomics Works                     "/>
    <n v="2493"/>
    <s v="Further rate cut from the BoJ combined with expansionary fiscal policy drives risk-on sentiment in markets"/>
    <x v="794"/>
    <s v="NIKKEI 225"/>
    <s v="Equity Implied Volatility"/>
    <s v="NKY"/>
    <s v="Equity Implied Volatility"/>
    <s v="OK"/>
    <x v="1"/>
    <s v="Index Level"/>
    <x v="1"/>
    <x v="1"/>
    <x v="139"/>
  </r>
  <r>
    <x v="111"/>
    <s v="Abenomics  - Additional Abenomics Works                     "/>
    <n v="2493"/>
    <s v="Further rate cut from the BoJ combined with expansionary fiscal policy drives risk-on sentiment in markets"/>
    <x v="416"/>
    <s v="MSCI World Net TR"/>
    <s v="Equity Implied Volatility"/>
    <s v="MSCIWLDNET"/>
    <s v="Equity Implied Volatility"/>
    <s v="OK"/>
    <x v="1"/>
    <s v="Index Level"/>
    <x v="1"/>
    <x v="1"/>
    <x v="112"/>
  </r>
  <r>
    <x v="111"/>
    <s v="Abenomics  - Additional Abenomics Works                     "/>
    <n v="2493"/>
    <s v="Further rate cut from the BoJ combined with expansionary fiscal policy drives risk-on sentiment in markets"/>
    <x v="795"/>
    <s v="JP Maturity 10"/>
    <s v="Corporate IG Other - Maturity"/>
    <s v="JPY_CORP_AGG_10Y"/>
    <s v="Corporate IG Other - Maturity"/>
    <s v="OK"/>
    <x v="66"/>
    <s v="Spread Yield"/>
    <x v="5"/>
    <x v="4"/>
    <x v="123"/>
  </r>
  <r>
    <x v="112"/>
    <s v="MTG Widen - Relative, Jul 14 - Aug 01, 2003                 "/>
    <n v="2305"/>
    <s v="Convexity selling as mortgage durations lengthen. Shocks for DxS Factors are spreads."/>
    <x v="79"/>
    <m/>
    <e v="#N/A"/>
    <s v="-"/>
    <e v="#N/A"/>
    <s v="BOTH #N/A"/>
    <x v="24"/>
    <s v="-"/>
    <x v="10"/>
    <x v="5"/>
    <x v="59"/>
  </r>
  <r>
    <x v="113"/>
    <s v="Latin America Populism - Populism Falls in Latin America    "/>
    <n v="2404"/>
    <s v="Populist candidates disappoint in the lead up to major elections in Latin America. Market-friendly candidates are ahead in the polls, leading to the deterioration of populism in Latin America. Markets stabilize, anticipating less disruption from new regulations."/>
    <x v="584"/>
    <s v="Tsy 10Y"/>
    <s v="Govt USD"/>
    <s v="USD_10yr"/>
    <s v="Govt USD"/>
    <s v="OK"/>
    <x v="0"/>
    <s v="Yield  "/>
    <x v="0"/>
    <x v="0"/>
    <x v="134"/>
  </r>
  <r>
    <x v="113"/>
    <s v="Latin America Populism - Populism Falls in Latin America    "/>
    <n v="2404"/>
    <s v="Populist candidates disappoint in the lead up to major elections in Latin America. Market-friendly candidates are ahead in the polls, leading to the deterioration of populism in Latin America. Markets stabilize, anticipating less disruption from new regulations."/>
    <x v="796"/>
    <s v="BRL 10Y"/>
    <s v="Govt Emerging Markets"/>
    <s v="BRL_10yr"/>
    <s v="Govt Emerging Markets"/>
    <s v="OK"/>
    <x v="31"/>
    <s v="Yield  "/>
    <x v="0"/>
    <x v="0"/>
    <x v="108"/>
  </r>
  <r>
    <x v="113"/>
    <s v="Latin America Populism - Populism Falls in Latin America    "/>
    <n v="2404"/>
    <s v="Populist candidates disappoint in the lead up to major elections in Latin America. Market-friendly candidates are ahead in the polls, leading to the deterioration of populism in Latin America. Markets stabilize, anticipating less disruption from new regulations."/>
    <x v="797"/>
    <s v="BRLUSD"/>
    <e v="#N/A"/>
    <s v="BRL_FX_USD"/>
    <s v="Emerging Currency"/>
    <s v="OK"/>
    <x v="3"/>
    <s v="FX  "/>
    <x v="3"/>
    <x v="3"/>
    <x v="125"/>
  </r>
  <r>
    <x v="113"/>
    <s v="Latin America Populism - Populism Falls in Latin America    "/>
    <n v="2404"/>
    <s v="Populist candidates disappoint in the lead up to major elections in Latin America. Market-friendly candidates are ahead in the polls, leading to the deterioration of populism in Latin America. Markets stabilize, anticipating less disruption from new regulations."/>
    <x v="798"/>
    <s v="MXNUSD"/>
    <e v="#N/A"/>
    <s v="MXN_FX_USD"/>
    <s v="Emerging Currency"/>
    <s v="OK"/>
    <x v="3"/>
    <s v="FX  "/>
    <x v="3"/>
    <x v="3"/>
    <x v="125"/>
  </r>
  <r>
    <x v="113"/>
    <s v="Latin America Populism - Populism Falls in Latin America    "/>
    <n v="2404"/>
    <s v="Populist candidates disappoint in the lead up to major elections in Latin America. Market-friendly candidates are ahead in the polls, leading to the deterioration of populism in Latin America. Markets stabilize, anticipating less disruption from new regulations."/>
    <x v="799"/>
    <s v="MS Emerging Mkts"/>
    <s v="Equity Implied Volatility"/>
    <s v="MXEF"/>
    <s v="Equity Implied Volatility"/>
    <s v="OK"/>
    <x v="1"/>
    <s v="Index Level"/>
    <x v="1"/>
    <x v="1"/>
    <x v="139"/>
  </r>
  <r>
    <x v="113"/>
    <s v="Latin America Populism - Populism Falls in Latin America    "/>
    <n v="2404"/>
    <s v="Populist candidates disappoint in the lead up to major elections in Latin America. Market-friendly candidates are ahead in the polls, leading to the deterioration of populism in Latin America. Markets stabilize, anticipating less disruption from new regulations."/>
    <x v="800"/>
    <s v="EMBIG DxS"/>
    <s v="Spread Emerging Markets - Country"/>
    <s v="USD_EM_DS_G"/>
    <s v="Spread Emerging Markets - Country"/>
    <s v="OK"/>
    <x v="29"/>
    <s v="Spread Yield"/>
    <x v="5"/>
    <x v="4"/>
    <x v="123"/>
  </r>
  <r>
    <x v="113"/>
    <s v="Latin America Populism - Populism Falls in Latin America    "/>
    <n v="2404"/>
    <s v="Populist candidates disappoint in the lead up to major elections in Latin America. Market-friendly candidates are ahead in the polls, leading to the deterioration of populism in Latin America. Markets stabilize, anticipating less disruption from new regulations."/>
    <x v="801"/>
    <s v="MSCI EM Latin America (USD)"/>
    <s v="Other - Index"/>
    <s v="USD"/>
    <e v="#N/A"/>
    <s v="OK"/>
    <x v="12"/>
    <s v="Index Level"/>
    <x v="7"/>
    <x v="2"/>
    <x v="148"/>
  </r>
  <r>
    <x v="114"/>
    <s v="Latin America Populism - Mexican Populist Win               "/>
    <n v="2405"/>
    <s v="Populism in Mexico continues its ascent after a decade of soaring violence and widespread corruption. Corruption issues have led a large part of the population to place little trust in mainstream parties? candidates. Left-wing populist candidate Andrs Manuel Lpez Obrador (AMLO) wins the Mexican presidential election, by a wide margin. A strong AMLO win signals a potential majority in the Congress and political capital to push a more nationalist agenda."/>
    <x v="802"/>
    <s v="Tsy 10Y"/>
    <s v="Govt USD"/>
    <s v="USD_10yr"/>
    <s v="Govt USD"/>
    <s v="OK"/>
    <x v="0"/>
    <s v="Yield  "/>
    <x v="0"/>
    <x v="0"/>
    <x v="175"/>
  </r>
  <r>
    <x v="114"/>
    <s v="Latin America Populism - Mexican Populist Win               "/>
    <n v="2405"/>
    <s v="Populism in Mexico continues its ascent after a decade of soaring violence and widespread corruption. Corruption issues have led a large part of the population to place little trust in mainstream parties? candidates. Left-wing populist candidate Andrs Manuel Lpez Obrador (AMLO) wins the Mexican presidential election, by a wide margin. A strong AMLO win signals a potential majority in the Congress and political capital to push a more nationalist agenda."/>
    <x v="803"/>
    <s v="MXNUSD"/>
    <e v="#N/A"/>
    <s v="MXN_FX_USD"/>
    <s v="Emerging Currency"/>
    <s v="OK"/>
    <x v="3"/>
    <s v="FX  "/>
    <x v="3"/>
    <x v="3"/>
    <x v="147"/>
  </r>
  <r>
    <x v="114"/>
    <s v="Latin America Populism - Mexican Populist Win               "/>
    <n v="2405"/>
    <s v="Populism in Mexico continues its ascent after a decade of soaring violence and widespread corruption. Corruption issues have led a large part of the population to place little trust in mainstream parties? candidates. Left-wing populist candidate Andrs Manuel Lpez Obrador (AMLO) wins the Mexican presidential election, by a wide margin. A strong AMLO win signals a potential majority in the Congress and political capital to push a more nationalist agenda."/>
    <x v="176"/>
    <s v="DXY"/>
    <e v="#N/A"/>
    <s v="DXY"/>
    <e v="#N/A"/>
    <s v="BOTH #N/A"/>
    <x v="18"/>
    <s v="Dollar Index"/>
    <x v="9"/>
    <x v="2"/>
    <x v="133"/>
  </r>
  <r>
    <x v="114"/>
    <s v="Latin America Populism - Mexican Populist Win               "/>
    <n v="2405"/>
    <s v="Populism in Mexico continues its ascent after a decade of soaring violence and widespread corruption. Corruption issues have led a large part of the population to place little trust in mainstream parties? candidates. Left-wing populist candidate Andrs Manuel Lpez Obrador (AMLO) wins the Mexican presidential election, by a wide margin. A strong AMLO win signals a potential majority in the Congress and political capital to push a more nationalist agenda."/>
    <x v="804"/>
    <s v="Mexican Bolsa"/>
    <s v="Equity Implied Volatility"/>
    <s v="MEXBOL"/>
    <s v="Equity Implied Volatility"/>
    <s v="OK"/>
    <x v="1"/>
    <s v="Index Level"/>
    <x v="1"/>
    <x v="1"/>
    <x v="121"/>
  </r>
  <r>
    <x v="114"/>
    <s v="Latin America Populism - Mexican Populist Win               "/>
    <n v="2405"/>
    <s v="Populism in Mexico continues its ascent after a decade of soaring violence and widespread corruption. Corruption issues have led a large part of the population to place little trust in mainstream parties? candidates. Left-wing populist candidate Andrs Manuel Lpez Obrador (AMLO) wins the Mexican presidential election, by a wide margin. A strong AMLO win signals a potential majority in the Congress and political capital to push a more nationalist agenda."/>
    <x v="805"/>
    <s v="MSCI World Net TR"/>
    <s v="Equity Implied Volatility"/>
    <s v="MSCIWLDNET"/>
    <s v="Equity Implied Volatility"/>
    <s v="OK"/>
    <x v="1"/>
    <s v="Index Level"/>
    <x v="1"/>
    <x v="1"/>
    <x v="162"/>
  </r>
  <r>
    <x v="114"/>
    <s v="Latin America Populism - Mexican Populist Win               "/>
    <n v="2405"/>
    <s v="Populism in Mexico continues its ascent after a decade of soaring violence and widespread corruption. Corruption issues have led a large part of the population to place little trust in mainstream parties? candidates. Left-wing populist candidate Andrs Manuel Lpez Obrador (AMLO) wins the Mexican presidential election, by a wide margin. A strong AMLO win signals a potential majority in the Congress and political capital to push a more nationalist agenda."/>
    <x v="372"/>
    <s v="EMBIG DxS"/>
    <s v="Spread Emerging Markets - Country"/>
    <s v="USD_EM_DS_G"/>
    <s v="Spread Emerging Markets - Country"/>
    <s v="OK"/>
    <x v="29"/>
    <s v="Spread Yield"/>
    <x v="5"/>
    <x v="4"/>
    <x v="138"/>
  </r>
  <r>
    <x v="114"/>
    <s v="Latin America Populism - Mexican Populist Win               "/>
    <n v="2405"/>
    <s v="Populism in Mexico continues its ascent after a decade of soaring violence and widespread corruption. Corruption issues have led a large part of the population to place little trust in mainstream parties? candidates. Left-wing populist candidate Andrs Manuel Lpez Obrador (AMLO) wins the Mexican presidential election, by a wide margin. A strong AMLO win signals a potential majority in the Congress and political capital to push a more nationalist agenda."/>
    <x v="806"/>
    <s v="MSCI EM Latin America USD"/>
    <e v="#N/A"/>
    <s v="MS_LA"/>
    <s v="Other - Index"/>
    <s v="OK"/>
    <x v="12"/>
    <s v="Index Level"/>
    <x v="7"/>
    <x v="2"/>
    <x v="122"/>
  </r>
  <r>
    <x v="115"/>
    <s v="Latin America Populism - Surge in Latin American Populism   "/>
    <n v="2406"/>
    <s v="The trend towards pro-business, technocratic governments in Latin America might reverse with upcoming elections in Latin America. Elections take place against a backdrop of low growth and declining support for democracy. Populist candidates, rather than market-friendly centrists, rise in the polls across Latin America."/>
    <x v="647"/>
    <s v="Tsy 10Y"/>
    <s v="Govt USD"/>
    <s v="USD_10yr"/>
    <s v="Govt USD"/>
    <s v="OK"/>
    <x v="0"/>
    <s v="Yield  "/>
    <x v="0"/>
    <x v="0"/>
    <x v="124"/>
  </r>
  <r>
    <x v="115"/>
    <s v="Latin America Populism - Surge in Latin American Populism   "/>
    <n v="2406"/>
    <s v="The trend towards pro-business, technocratic governments in Latin America might reverse with upcoming elections in Latin America. Elections take place against a backdrop of low growth and declining support for democracy. Populist candidates, rather than market-friendly centrists, rise in the polls across Latin America."/>
    <x v="113"/>
    <s v="Gold COMEX 1"/>
    <s v="Alternative - Commodity"/>
    <s v="USD_COMD_GC_1"/>
    <s v="Alternative - Commodity"/>
    <s v="OK"/>
    <x v="2"/>
    <s v="Price Level  "/>
    <x v="2"/>
    <x v="2"/>
    <x v="125"/>
  </r>
  <r>
    <x v="115"/>
    <s v="Latin America Populism - Surge in Latin American Populism   "/>
    <n v="2406"/>
    <s v="The trend towards pro-business, technocratic governments in Latin America might reverse with upcoming elections in Latin America. Elections take place against a backdrop of low growth and declining support for democracy. Populist candidates, rather than market-friendly centrists, rise in the polls across Latin America."/>
    <x v="697"/>
    <s v="MXN 10Y"/>
    <s v="Govt Emerging Markets"/>
    <s v="MXN_10yr"/>
    <s v="Govt Emerging Markets"/>
    <s v="OK"/>
    <x v="31"/>
    <s v="Yield  "/>
    <x v="0"/>
    <x v="0"/>
    <x v="108"/>
  </r>
  <r>
    <x v="115"/>
    <s v="Latin America Populism - Surge in Latin American Populism   "/>
    <n v="2406"/>
    <s v="The trend towards pro-business, technocratic governments in Latin America might reverse with upcoming elections in Latin America. Elections take place against a backdrop of low growth and declining support for democracy. Populist candidates, rather than market-friendly centrists, rise in the polls across Latin America."/>
    <x v="140"/>
    <s v="BRL 10Y"/>
    <s v="Govt Emerging Markets"/>
    <s v="BRL_10yr"/>
    <s v="Govt Emerging Markets"/>
    <s v="OK"/>
    <x v="31"/>
    <s v="Yield  "/>
    <x v="0"/>
    <x v="0"/>
    <x v="109"/>
  </r>
  <r>
    <x v="115"/>
    <s v="Latin America Populism - Surge in Latin American Populism   "/>
    <n v="2406"/>
    <s v="The trend towards pro-business, technocratic governments in Latin America might reverse with upcoming elections in Latin America. Elections take place against a backdrop of low growth and declining support for democracy. Populist candidates, rather than market-friendly centrists, rise in the polls across Latin America."/>
    <x v="345"/>
    <s v="BRLUSD"/>
    <e v="#N/A"/>
    <s v="BRL_FX_USD"/>
    <s v="Emerging Currency"/>
    <s v="OK"/>
    <x v="3"/>
    <s v="FX  "/>
    <x v="3"/>
    <x v="3"/>
    <x v="147"/>
  </r>
  <r>
    <x v="115"/>
    <s v="Latin America Populism - Surge in Latin American Populism   "/>
    <n v="2406"/>
    <s v="The trend towards pro-business, technocratic governments in Latin America might reverse with upcoming elections in Latin America. Elections take place against a backdrop of low growth and declining support for democracy. Populist candidates, rather than market-friendly centrists, rise in the polls across Latin America."/>
    <x v="803"/>
    <s v="MXNUSD"/>
    <e v="#N/A"/>
    <s v="MXN_FX_USD"/>
    <s v="Emerging Currency"/>
    <s v="OK"/>
    <x v="3"/>
    <s v="FX  "/>
    <x v="3"/>
    <x v="3"/>
    <x v="147"/>
  </r>
  <r>
    <x v="115"/>
    <s v="Latin America Populism - Surge in Latin American Populism   "/>
    <n v="2406"/>
    <s v="The trend towards pro-business, technocratic governments in Latin America might reverse with upcoming elections in Latin America. Elections take place against a backdrop of low growth and declining support for democracy. Populist candidates, rather than market-friendly centrists, rise in the polls across Latin America."/>
    <x v="286"/>
    <s v="EMBIG DxS"/>
    <s v="Spread Emerging Markets - Country"/>
    <s v="USD_EM_DS_G"/>
    <s v="Spread Emerging Markets - Country"/>
    <s v="OK"/>
    <x v="29"/>
    <s v="Spread Yield"/>
    <x v="5"/>
    <x v="4"/>
    <x v="118"/>
  </r>
  <r>
    <x v="115"/>
    <s v="Latin America Populism - Surge in Latin American Populism   "/>
    <n v="2406"/>
    <s v="The trend towards pro-business, technocratic governments in Latin America might reverse with upcoming elections in Latin America. Elections take place against a backdrop of low growth and declining support for democracy. Populist candidates, rather than market-friendly centrists, rise in the polls across Latin America."/>
    <x v="807"/>
    <s v="US HY Market"/>
    <s v="Corporate HY USD - Other"/>
    <s v="USD_HY_MARKET"/>
    <s v="Corporate HY USD - Other"/>
    <s v="OK"/>
    <x v="22"/>
    <s v="Spread Yield"/>
    <x v="5"/>
    <x v="4"/>
    <x v="135"/>
  </r>
  <r>
    <x v="115"/>
    <s v="Latin America Populism - Surge in Latin American Populism   "/>
    <n v="2406"/>
    <s v="The trend towards pro-business, technocratic governments in Latin America might reverse with upcoming elections in Latin America. Elections take place against a backdrop of low growth and declining support for democracy. Populist candidates, rather than market-friendly centrists, rise in the polls across Latin America."/>
    <x v="808"/>
    <s v="MSCI EM Latin America USD"/>
    <e v="#N/A"/>
    <s v="MS_LA"/>
    <s v="Other - Index"/>
    <s v="OK"/>
    <x v="12"/>
    <s v="Index Level"/>
    <x v="7"/>
    <x v="2"/>
    <x v="121"/>
  </r>
  <r>
    <x v="116"/>
    <s v="MTG Widen - Absolute, Jul 14 - Aug 01, 2003                 "/>
    <n v="2306"/>
    <s v="Convexity selling as mortgage durations lengthen. Shocks for DxS Factors are spreads."/>
    <x v="79"/>
    <m/>
    <e v="#N/A"/>
    <s v="-"/>
    <e v="#N/A"/>
    <s v="BOTH #N/A"/>
    <x v="24"/>
    <s v="-"/>
    <x v="10"/>
    <x v="5"/>
    <x v="59"/>
  </r>
  <r>
    <x v="117"/>
    <s v="MAHA Pragmatic Implementation Scenario                      "/>
    <n v="2112"/>
    <s v="MAHA Pragmatic Implementation: RFK Jr. and the commission is ambitious on MAHA policy if core Republican supporters are not impacted."/>
    <x v="809"/>
    <s v="Food &amp; Staples Retailing"/>
    <e v="#N/A"/>
    <s v="FMI_NAMR_CSTFOODSTA"/>
    <e v="#N/A"/>
    <s v="BOTH #N/A"/>
    <x v="34"/>
    <s v="Consumer Staples"/>
    <x v="4"/>
    <x v="1"/>
    <x v="122"/>
  </r>
  <r>
    <x v="117"/>
    <s v="MAHA Pragmatic Implementation Scenario                      "/>
    <n v="2112"/>
    <s v="MAHA Pragmatic Implementation: RFK Jr. and the commission is ambitious on MAHA policy if core Republican supporters are not impacted."/>
    <x v="810"/>
    <s v="Pharmaceuticals"/>
    <s v="Health Care"/>
    <s v="FMI_NAMR_HLCPHARMA"/>
    <e v="#N/A"/>
    <s v="OK"/>
    <x v="20"/>
    <s v="Industry Return  "/>
    <x v="4"/>
    <x v="1"/>
    <x v="122"/>
  </r>
  <r>
    <x v="117"/>
    <s v="MAHA Pragmatic Implementation Scenario                      "/>
    <n v="2112"/>
    <s v="MAHA Pragmatic Implementation: RFK Jr. and the commission is ambitious on MAHA policy if core Republican supporters are not impacted."/>
    <x v="811"/>
    <s v="US HY Market"/>
    <s v="Corporate HY USD - Other"/>
    <s v="USD_HY_MARKET_SF"/>
    <s v="Corporate HY USD - Other"/>
    <s v="OK"/>
    <x v="22"/>
    <s v="Spread Yield"/>
    <x v="5"/>
    <x v="4"/>
    <x v="119"/>
  </r>
  <r>
    <x v="117"/>
    <s v="MAHA Pragmatic Implementation Scenario                      "/>
    <n v="2112"/>
    <s v="MAHA Pragmatic Implementation: RFK Jr. and the commission is ambitious on MAHA policy if core Republican supporters are not impacted."/>
    <x v="812"/>
    <s v="US HY Pharmaceuticals"/>
    <s v="Corporate HY USD - Industry"/>
    <s v="Pharmaceuticals"/>
    <e v="#N/A"/>
    <s v="OK"/>
    <x v="6"/>
    <s v="Spread Yield"/>
    <x v="5"/>
    <x v="4"/>
    <x v="195"/>
  </r>
  <r>
    <x v="117"/>
    <s v="MAHA Pragmatic Implementation Scenario                      "/>
    <n v="2112"/>
    <s v="MAHA Pragmatic Implementation: RFK Jr. and the commission is ambitious on MAHA policy if core Republican supporters are not impacted."/>
    <x v="813"/>
    <s v="US HY Retail"/>
    <s v="Corporate HY USD - Industry"/>
    <s v="Retail"/>
    <e v="#N/A"/>
    <s v="OK"/>
    <x v="6"/>
    <s v="Spread Yield"/>
    <x v="5"/>
    <x v="4"/>
    <x v="145"/>
  </r>
  <r>
    <x v="118"/>
    <s v="MAHA To the Letter Scenario                                 "/>
    <n v="2113"/>
    <s v="MAHA To the Letter: Policy action directly corresponds to issues and solutions raised in the MAHA report."/>
    <x v="814"/>
    <s v="Media"/>
    <e v="#N/A"/>
    <s v="FMI_NAMR_CDIMEDIA"/>
    <e v="#N/A"/>
    <s v="BOTH #N/A"/>
    <x v="19"/>
    <s v="Communication Services"/>
    <x v="4"/>
    <x v="1"/>
    <x v="122"/>
  </r>
  <r>
    <x v="118"/>
    <s v="MAHA To the Letter Scenario                                 "/>
    <n v="2113"/>
    <s v="MAHA To the Letter: Policy action directly corresponds to issues and solutions raised in the MAHA report."/>
    <x v="815"/>
    <s v="Food  Staples Retailing"/>
    <e v="#N/A"/>
    <s v="FMI_NAMR_CSTFOODSTA"/>
    <e v="#N/A"/>
    <s v="BOTH #N/A"/>
    <x v="34"/>
    <s v="Consumer Staples"/>
    <x v="4"/>
    <x v="1"/>
    <x v="121"/>
  </r>
  <r>
    <x v="118"/>
    <s v="MAHA To the Letter Scenario                                 "/>
    <n v="2113"/>
    <s v="MAHA To the Letter: Policy action directly corresponds to issues and solutions raised in the MAHA report."/>
    <x v="816"/>
    <s v="Pharmaceuticals"/>
    <s v="Health Care"/>
    <s v="FMI_NAMR_HLCPHARMA"/>
    <e v="#N/A"/>
    <s v="OK"/>
    <x v="20"/>
    <s v="Industry Return  "/>
    <x v="4"/>
    <x v="1"/>
    <x v="121"/>
  </r>
  <r>
    <x v="118"/>
    <s v="MAHA To the Letter Scenario                                 "/>
    <n v="2113"/>
    <s v="MAHA To the Letter: Policy action directly corresponds to issues and solutions raised in the MAHA report."/>
    <x v="817"/>
    <s v="Market"/>
    <s v="Market"/>
    <s v="FMI_NAMR_MARKET"/>
    <e v="#N/A"/>
    <s v="OK"/>
    <x v="53"/>
    <s v="Style Return  "/>
    <x v="13"/>
    <x v="1"/>
    <x v="119"/>
  </r>
  <r>
    <x v="118"/>
    <s v="MAHA To the Letter Scenario                                 "/>
    <n v="2113"/>
    <s v="MAHA To the Letter: Policy action directly corresponds to issues and solutions raised in the MAHA report."/>
    <x v="811"/>
    <s v="US HY Market"/>
    <s v="Corporate HY USD - Other"/>
    <s v="USD_HY_MARKET_SF"/>
    <s v="Corporate HY USD - Other"/>
    <s v="OK"/>
    <x v="22"/>
    <s v="Spread Yield"/>
    <x v="5"/>
    <x v="4"/>
    <x v="119"/>
  </r>
  <r>
    <x v="118"/>
    <s v="MAHA To the Letter Scenario                                 "/>
    <n v="2113"/>
    <s v="MAHA To the Letter: Policy action directly corresponds to issues and solutions raised in the MAHA report."/>
    <x v="818"/>
    <s v="US HY Pharmaceuticals"/>
    <s v="Corporate HY USD - Industry"/>
    <s v="Pharmaceuticals"/>
    <e v="#N/A"/>
    <s v="OK"/>
    <x v="6"/>
    <s v="Spread Yield"/>
    <x v="5"/>
    <x v="4"/>
    <x v="109"/>
  </r>
  <r>
    <x v="118"/>
    <s v="MAHA To the Letter Scenario                                 "/>
    <n v="2113"/>
    <s v="MAHA To the Letter: Policy action directly corresponds to issues and solutions raised in the MAHA report."/>
    <x v="819"/>
    <s v="US HY Retail"/>
    <s v="Corporate HY USD - Industry"/>
    <s v="Retail"/>
    <e v="#N/A"/>
    <s v="OK"/>
    <x v="6"/>
    <s v="Spread Yield"/>
    <x v="5"/>
    <x v="4"/>
    <x v="118"/>
  </r>
  <r>
    <x v="119"/>
    <s v="MAHA U-Turn Scenario                                        "/>
    <n v="2114"/>
    <s v="MAHA U-Turn: A clash with the Trump base threatens RFK Jr. role"/>
    <x v="820"/>
    <s v="Media"/>
    <e v="#N/A"/>
    <s v="FMI_NAMR_CDIMEDIA"/>
    <e v="#N/A"/>
    <s v="BOTH #N/A"/>
    <x v="19"/>
    <s v="Communication Services"/>
    <x v="4"/>
    <x v="1"/>
    <x v="125"/>
  </r>
  <r>
    <x v="119"/>
    <s v="MAHA U-Turn Scenario                                        "/>
    <n v="2114"/>
    <s v="MAHA U-Turn: A clash with the Trump base threatens RFK Jr. role"/>
    <x v="821"/>
    <s v="Food  Staples Retailing"/>
    <e v="#N/A"/>
    <s v="FMI_NAMR_CSTFOODSTA"/>
    <e v="#N/A"/>
    <s v="BOTH #N/A"/>
    <x v="34"/>
    <s v="Consumer Staples"/>
    <x v="4"/>
    <x v="1"/>
    <x v="161"/>
  </r>
  <r>
    <x v="119"/>
    <s v="MAHA U-Turn Scenario                                        "/>
    <n v="2114"/>
    <s v="MAHA U-Turn: A clash with the Trump base threatens RFK Jr. role"/>
    <x v="822"/>
    <s v="Pharmaceuticals"/>
    <s v="Health Care"/>
    <s v="FMI_NAMR_HLCPHARMA"/>
    <e v="#N/A"/>
    <s v="OK"/>
    <x v="20"/>
    <s v="Industry Return  "/>
    <x v="4"/>
    <x v="1"/>
    <x v="125"/>
  </r>
  <r>
    <x v="119"/>
    <s v="MAHA U-Turn Scenario                                        "/>
    <n v="2114"/>
    <s v="MAHA U-Turn: A clash with the Trump base threatens RFK Jr. role"/>
    <x v="811"/>
    <s v="US HY Market"/>
    <s v="Corporate HY USD - Other"/>
    <s v="USD_HY_MARKET_SF"/>
    <s v="Corporate HY USD - Other"/>
    <s v="OK"/>
    <x v="22"/>
    <s v="Spread Yield"/>
    <x v="5"/>
    <x v="4"/>
    <x v="119"/>
  </r>
  <r>
    <x v="119"/>
    <s v="MAHA U-Turn Scenario                                        "/>
    <n v="2114"/>
    <s v="MAHA U-Turn: A clash with the Trump base threatens RFK Jr. role"/>
    <x v="823"/>
    <s v="US HY Pharmaceuticals"/>
    <s v="Corporate HY USD - Industry"/>
    <s v="Pharmaceuticals"/>
    <e v="#N/A"/>
    <s v="OK"/>
    <x v="6"/>
    <s v="Spread Yield"/>
    <x v="5"/>
    <x v="4"/>
    <x v="160"/>
  </r>
  <r>
    <x v="119"/>
    <s v="MAHA U-Turn Scenario                                        "/>
    <n v="2114"/>
    <s v="MAHA U-Turn: A clash with the Trump base threatens RFK Jr. role"/>
    <x v="824"/>
    <s v="US HY Retail"/>
    <s v="Corporate HY USD - Industry"/>
    <s v="Retail"/>
    <e v="#N/A"/>
    <s v="OK"/>
    <x v="6"/>
    <s v="Spread Yield"/>
    <x v="5"/>
    <x v="4"/>
    <x v="132"/>
  </r>
  <r>
    <x v="120"/>
    <s v="Middle East regional war                                    "/>
    <n v="2205"/>
    <s v="Direct War Scenario- With no end in sight to Israeli occupation of Gaza, Iran comes to the aid of Hamas and seeks to activate its network of militia partners. A proxy war between Israel and Iran escalates into direct confrontation between the US and Iran."/>
    <x v="112"/>
    <s v="Tsy 10Y"/>
    <s v="Govt USD"/>
    <s v="USD_10yr"/>
    <s v="Govt USD"/>
    <s v="OK"/>
    <x v="0"/>
    <s v="Yield  "/>
    <x v="0"/>
    <x v="0"/>
    <x v="154"/>
  </r>
  <r>
    <x v="120"/>
    <s v="Middle East regional war                                    "/>
    <n v="2205"/>
    <s v="Direct War Scenario- With no end in sight to Israeli occupation of Gaza, Iran comes to the aid of Hamas and seeks to activate its network of militia partners. A proxy war between Israel and Iran escalates into direct confrontation between the US and Iran."/>
    <x v="825"/>
    <s v="USD INF 1Y"/>
    <s v="USD Inflation"/>
    <s v="USD_INF_1yr"/>
    <s v="USD Inflation"/>
    <s v="OK"/>
    <x v="8"/>
    <s v="Yield  "/>
    <x v="6"/>
    <x v="2"/>
    <x v="211"/>
  </r>
  <r>
    <x v="120"/>
    <s v="Middle East regional war                                    "/>
    <n v="2205"/>
    <s v="Direct War Scenario- With no end in sight to Israeli occupation of Gaza, Iran comes to the aid of Hamas and seeks to activate its network of militia partners. A proxy war between Israel and Iran escalates into direct confrontation between the US and Iran."/>
    <x v="826"/>
    <s v="Brent Crude ICE 1"/>
    <s v="Alternative - Commodity"/>
    <s v="USD_COMD_CO_1"/>
    <s v="Alternative - Commodity"/>
    <s v="OK"/>
    <x v="2"/>
    <s v="Price Level  "/>
    <x v="2"/>
    <x v="2"/>
    <x v="212"/>
  </r>
  <r>
    <x v="120"/>
    <s v="Middle East regional war                                    "/>
    <n v="2205"/>
    <s v="Direct War Scenario- With no end in sight to Israeli occupation of Gaza, Iran comes to the aid of Hamas and seeks to activate its network of militia partners. A proxy war between Israel and Iran escalates into direct confrontation between the US and Iran."/>
    <x v="827"/>
    <s v="US IG Market"/>
    <s v="Corporate IG USD - Market"/>
    <s v="USD_IG_MARKET_SF"/>
    <s v="Corporate IG USD - Market"/>
    <s v="OK"/>
    <x v="49"/>
    <s v="Spread Yield"/>
    <x v="5"/>
    <x v="4"/>
    <x v="136"/>
  </r>
  <r>
    <x v="120"/>
    <s v="Middle East regional war                                    "/>
    <n v="2205"/>
    <s v="Direct War Scenario- With no end in sight to Israeli occupation of Gaza, Iran comes to the aid of Hamas and seeks to activate its network of militia partners. A proxy war between Israel and Iran escalates into direct confrontation between the US and Iran."/>
    <x v="404"/>
    <s v="DXY"/>
    <e v="#N/A"/>
    <s v="DXY"/>
    <e v="#N/A"/>
    <s v="BOTH #N/A"/>
    <x v="18"/>
    <s v="Dollar Index"/>
    <x v="9"/>
    <x v="2"/>
    <x v="141"/>
  </r>
  <r>
    <x v="120"/>
    <s v="Middle East regional war                                    "/>
    <n v="2205"/>
    <s v="Direct War Scenario- With no end in sight to Israeli occupation of Gaza, Iran comes to the aid of Hamas and seeks to activate its network of militia partners. A proxy war between Israel and Iran escalates into direct confrontation between the US and Iran."/>
    <x v="828"/>
    <s v="MS Emerging Mkts"/>
    <s v="Equity Implied Volatility"/>
    <s v="MXEF"/>
    <s v="Equity Implied Volatility"/>
    <s v="OK"/>
    <x v="1"/>
    <s v="Index Level"/>
    <x v="1"/>
    <x v="1"/>
    <x v="213"/>
  </r>
  <r>
    <x v="120"/>
    <s v="Middle East regional war                                    "/>
    <n v="2205"/>
    <s v="Direct War Scenario- With no end in sight to Israeli occupation of Gaza, Iran comes to the aid of Hamas and seeks to activate its network of militia partners. A proxy war between Israel and Iran escalates into direct confrontation between the US and Iran."/>
    <x v="661"/>
    <s v="MSCI World Net TR"/>
    <s v="Equity Implied Volatility"/>
    <s v="MSCIWLDNET"/>
    <s v="Equity Implied Volatility"/>
    <s v="OK"/>
    <x v="1"/>
    <s v="Index Level"/>
    <x v="1"/>
    <x v="1"/>
    <x v="156"/>
  </r>
  <r>
    <x v="120"/>
    <s v="Middle East regional war                                    "/>
    <n v="2205"/>
    <s v="Direct War Scenario- With no end in sight to Israeli occupation of Gaza, Iran comes to the aid of Hamas and seeks to activate its network of militia partners. A proxy war between Israel and Iran escalates into direct confrontation between the US and Iran."/>
    <x v="829"/>
    <s v="Emerg Mkt Mid East"/>
    <s v="Spread Emerging Markets - Country"/>
    <s v="USD_EM_DS_ME"/>
    <s v="Spread Emerging Markets - Country"/>
    <s v="OK"/>
    <x v="29"/>
    <s v="Spread Yield"/>
    <x v="5"/>
    <x v="4"/>
    <x v="178"/>
  </r>
  <r>
    <x v="121"/>
    <s v="Middle East Tensions (rerelease) Direct War 2025 Scenario   "/>
    <n v="2212"/>
    <s v="Middle East Tensions (rerelease) Scenario: Iran covertly advance towards reconstituting its nuclear program, prompting Israel to strike on Iranian nuclear facilities. The strike triggers a direct response from Iran against Israel, and the ceasefire collapses, causing instability around the Strait of Hormuz."/>
    <x v="830"/>
    <s v="Tsy 10Y"/>
    <s v="Govt USD"/>
    <s v="USD_10yr"/>
    <s v="Govt USD"/>
    <s v="OK"/>
    <x v="0"/>
    <s v="Yield  "/>
    <x v="0"/>
    <x v="0"/>
    <x v="176"/>
  </r>
  <r>
    <x v="121"/>
    <s v="Middle East Tensions (rerelease) Direct War 2025 Scenario   "/>
    <n v="2212"/>
    <s v="Middle East Tensions (rerelease) Scenario: Iran covertly advance towards reconstituting its nuclear program, prompting Israel to strike on Iranian nuclear facilities. The strike triggers a direct response from Iran against Israel, and the ceasefire collapses, causing instability around the Strait of Hormuz."/>
    <x v="831"/>
    <s v="USD INF 1Y"/>
    <s v="USD Inflation"/>
    <s v="USD_INF_1yr"/>
    <s v="USD Inflation"/>
    <s v="OK"/>
    <x v="8"/>
    <s v="Yield  "/>
    <x v="6"/>
    <x v="2"/>
    <x v="197"/>
  </r>
  <r>
    <x v="121"/>
    <s v="Middle East Tensions (rerelease) Direct War 2025 Scenario   "/>
    <n v="2212"/>
    <s v="Middle East Tensions (rerelease) Scenario: Iran covertly advance towards reconstituting its nuclear program, prompting Israel to strike on Iranian nuclear facilities. The strike triggers a direct response from Iran against Israel, and the ceasefire collapses, causing instability around the Strait of Hormuz."/>
    <x v="832"/>
    <s v="Brent Crude ICE 1"/>
    <s v="Alternative - Commodity"/>
    <s v="USD_COMD_CO_1"/>
    <s v="Alternative - Commodity"/>
    <s v="OK"/>
    <x v="2"/>
    <s v="Price Level  "/>
    <x v="2"/>
    <x v="2"/>
    <x v="194"/>
  </r>
  <r>
    <x v="121"/>
    <s v="Middle East Tensions (rerelease) Direct War 2025 Scenario   "/>
    <n v="2212"/>
    <s v="Middle East Tensions (rerelease) Scenario: Iran covertly advance towards reconstituting its nuclear program, prompting Israel to strike on Iranian nuclear facilities. The strike triggers a direct response from Iran against Israel, and the ceasefire collapses, causing instability around the Strait of Hormuz."/>
    <x v="833"/>
    <s v="Gold"/>
    <s v="Materials"/>
    <s v="GOLD_SPOT"/>
    <s v="Alternative - Commodity"/>
    <s v="OK"/>
    <x v="2"/>
    <s v="Price Level  "/>
    <x v="2"/>
    <x v="2"/>
    <x v="148"/>
  </r>
  <r>
    <x v="121"/>
    <s v="Middle East Tensions (rerelease) Direct War 2025 Scenario   "/>
    <n v="2212"/>
    <s v="Middle East Tensions (rerelease) Scenario: Iran covertly advance towards reconstituting its nuclear program, prompting Israel to strike on Iranian nuclear facilities. The strike triggers a direct response from Iran against Israel, and the ceasefire collapses, causing instability around the Strait of Hormuz."/>
    <x v="404"/>
    <s v="DXY"/>
    <e v="#N/A"/>
    <s v="DXY"/>
    <e v="#N/A"/>
    <s v="BOTH #N/A"/>
    <x v="18"/>
    <s v="Dollar Index"/>
    <x v="9"/>
    <x v="2"/>
    <x v="141"/>
  </r>
  <r>
    <x v="121"/>
    <s v="Middle East Tensions (rerelease) Direct War 2025 Scenario   "/>
    <n v="2212"/>
    <s v="Middle East Tensions (rerelease) Scenario: Iran covertly advance towards reconstituting its nuclear program, prompting Israel to strike on Iranian nuclear facilities. The strike triggers a direct response from Iran against Israel, and the ceasefire collapses, causing instability around the Strait of Hormuz."/>
    <x v="427"/>
    <s v="MS Emerging Mkts"/>
    <s v="Equity Implied Volatility"/>
    <s v="MXEF"/>
    <s v="Equity Implied Volatility"/>
    <s v="OK"/>
    <x v="1"/>
    <s v="Index Level"/>
    <x v="1"/>
    <x v="1"/>
    <x v="121"/>
  </r>
  <r>
    <x v="121"/>
    <s v="Middle East Tensions (rerelease) Direct War 2025 Scenario   "/>
    <n v="2212"/>
    <s v="Middle East Tensions (rerelease) Scenario: Iran covertly advance towards reconstituting its nuclear program, prompting Israel to strike on Iranian nuclear facilities. The strike triggers a direct response from Iran against Israel, and the ceasefire collapses, causing instability around the Strait of Hormuz."/>
    <x v="199"/>
    <s v="MSCI World Net TR"/>
    <s v="Equity Implied Volatility"/>
    <s v="MSCIWLDNET"/>
    <s v="Equity Implied Volatility"/>
    <s v="OK"/>
    <x v="1"/>
    <s v="Index Level"/>
    <x v="1"/>
    <x v="1"/>
    <x v="106"/>
  </r>
  <r>
    <x v="121"/>
    <s v="Middle East Tensions (rerelease) Direct War 2025 Scenario   "/>
    <n v="2212"/>
    <s v="Middle East Tensions (rerelease) Scenario: Iran covertly advance towards reconstituting its nuclear program, prompting Israel to strike on Iranian nuclear facilities. The strike triggers a direct response from Iran against Israel, and the ceasefire collapses, causing instability around the Strait of Hormuz."/>
    <x v="834"/>
    <s v="Aerospace &amp; Defense"/>
    <s v="Industrials"/>
    <s v="FMI_NAMR_INDAIRDEF"/>
    <e v="#N/A"/>
    <s v="OK"/>
    <x v="4"/>
    <s v="Industry Return  "/>
    <x v="4"/>
    <x v="1"/>
    <x v="148"/>
  </r>
  <r>
    <x v="121"/>
    <s v="Middle East Tensions (rerelease) Direct War 2025 Scenario   "/>
    <n v="2212"/>
    <s v="Middle East Tensions (rerelease) Scenario: Iran covertly advance towards reconstituting its nuclear program, prompting Israel to strike on Iranian nuclear facilities. The strike triggers a direct response from Iran against Israel, and the ceasefire collapses, causing instability around the Strait of Hormuz."/>
    <x v="835"/>
    <s v="Emerg Mkt Mid East"/>
    <s v="Spread Emerging Markets - Country"/>
    <s v="USD_EM_DS_ME"/>
    <s v="Spread Emerging Markets - Country"/>
    <s v="OK"/>
    <x v="29"/>
    <s v="Spread Yield"/>
    <x v="5"/>
    <x v="4"/>
    <x v="178"/>
  </r>
  <r>
    <x v="121"/>
    <s v="Middle East Tensions (rerelease) Direct War 2025 Scenario   "/>
    <n v="2212"/>
    <s v="Middle East Tensions (rerelease) Scenario: Iran covertly advance towards reconstituting its nuclear program, prompting Israel to strike on Iranian nuclear facilities. The strike triggers a direct response from Iran against Israel, and the ceasefire collapses, causing instability around the Strait of Hormuz."/>
    <x v="836"/>
    <s v="US HY Market"/>
    <s v="Corporate HY USD - Other"/>
    <s v="USD_HY_MARKET_SF"/>
    <s v="Corporate HY USD - Other"/>
    <s v="OK"/>
    <x v="22"/>
    <s v="Spread Yield"/>
    <x v="5"/>
    <x v="4"/>
    <x v="108"/>
  </r>
  <r>
    <x v="122"/>
    <s v="Middle East Tensions: Proxy War                             "/>
    <n v="2106"/>
    <s v="Proxy War Scenario- Israel and Iran engage in a proxy war, involving Iran-backed militia groups in the region. Conflict spills into neighboring Arab States (Lebanon, Syria), but Gulf States remain neutral, avoiding a larger regional conflict."/>
    <x v="254"/>
    <s v="Tsy 10Y"/>
    <s v="Govt USD"/>
    <s v="USD_10yr"/>
    <s v="Govt USD"/>
    <s v="OK"/>
    <x v="0"/>
    <s v="Yield  "/>
    <x v="0"/>
    <x v="0"/>
    <x v="105"/>
  </r>
  <r>
    <x v="122"/>
    <s v="Middle East Tensions: Proxy War                             "/>
    <n v="2106"/>
    <s v="Proxy War Scenario- Israel and Iran engage in a proxy war, involving Iran-backed militia groups in the region. Conflict spills into neighboring Arab States (Lebanon, Syria), but Gulf States remain neutral, avoiding a larger regional conflict."/>
    <x v="837"/>
    <s v="USD INF 1Y"/>
    <s v="USD Inflation"/>
    <s v="USD_INF_1yr"/>
    <s v="USD Inflation"/>
    <s v="OK"/>
    <x v="8"/>
    <s v="Yield  "/>
    <x v="6"/>
    <x v="2"/>
    <x v="105"/>
  </r>
  <r>
    <x v="122"/>
    <s v="Middle East Tensions: Proxy War                             "/>
    <n v="2106"/>
    <s v="Proxy War Scenario- Israel and Iran engage in a proxy war, involving Iran-backed militia groups in the region. Conflict spills into neighboring Arab States (Lebanon, Syria), but Gulf States remain neutral, avoiding a larger regional conflict."/>
    <x v="400"/>
    <s v="Brent Crude ICE 1"/>
    <s v="Alternative - Commodity"/>
    <s v="USD_COMD_CO_1"/>
    <s v="Alternative - Commodity"/>
    <s v="OK"/>
    <x v="2"/>
    <s v="Price Level  "/>
    <x v="2"/>
    <x v="2"/>
    <x v="148"/>
  </r>
  <r>
    <x v="122"/>
    <s v="Middle East Tensions: Proxy War                             "/>
    <n v="2106"/>
    <s v="Proxy War Scenario- Israel and Iran engage in a proxy war, involving Iran-backed militia groups in the region. Conflict spills into neighboring Arab States (Lebanon, Syria), but Gulf States remain neutral, avoiding a larger regional conflict."/>
    <x v="838"/>
    <s v="VIX"/>
    <s v="Equity Implied Volatility"/>
    <s v="VIX"/>
    <s v="Equity Implied Volatility"/>
    <s v="OK"/>
    <x v="1"/>
    <s v="Index Level"/>
    <x v="1"/>
    <x v="1"/>
    <x v="139"/>
  </r>
  <r>
    <x v="122"/>
    <s v="Middle East Tensions: Proxy War                             "/>
    <n v="2106"/>
    <s v="Proxy War Scenario- Israel and Iran engage in a proxy war, involving Iran-backed militia groups in the region. Conflict spills into neighboring Arab States (Lebanon, Syria), but Gulf States remain neutral, avoiding a larger regional conflict."/>
    <x v="839"/>
    <s v="Emerg Mkt Mid East"/>
    <s v="Spread Emerging Markets - Country"/>
    <s v="USD_EM_DS_ME"/>
    <s v="Spread Emerging Markets - Country"/>
    <s v="OK"/>
    <x v="29"/>
    <s v="Spread Yield"/>
    <x v="5"/>
    <x v="4"/>
    <x v="195"/>
  </r>
  <r>
    <x v="123"/>
    <s v="Gold Down                                                   "/>
    <n v="2554"/>
    <s v="1% probability Gold Down movement"/>
    <x v="840"/>
    <s v="Gold COMEX 1"/>
    <s v="Alternative - Commodity"/>
    <s v="USD_COMD_GC_1"/>
    <s v="Alternative - Commodity"/>
    <s v="OK"/>
    <x v="2"/>
    <s v="Price Level  "/>
    <x v="2"/>
    <x v="2"/>
    <x v="156"/>
  </r>
  <r>
    <x v="124"/>
    <s v="Oil Down                                                    "/>
    <n v="2553"/>
    <s v="1% probablity oil down movement"/>
    <x v="841"/>
    <s v="Crude Oil NYME 1"/>
    <s v="Alternative - Commodity"/>
    <s v="USD_COMD_CL_1"/>
    <s v="Alternative - Commodity"/>
    <s v="OK"/>
    <x v="2"/>
    <s v="Price Level  "/>
    <x v="2"/>
    <x v="2"/>
    <x v="214"/>
  </r>
  <r>
    <x v="125"/>
    <s v="Equity Volatility Increase                                  "/>
    <n v="2552"/>
    <s v="1% probability VIX Up movement"/>
    <x v="842"/>
    <s v="VIX"/>
    <s v="Equity Implied Volatility"/>
    <s v="VIX"/>
    <s v="Equity Implied Volatility"/>
    <s v="OK"/>
    <x v="1"/>
    <s v="Index Level"/>
    <x v="1"/>
    <x v="1"/>
    <x v="215"/>
  </r>
  <r>
    <x v="126"/>
    <s v="Rising Inflation Europe                                     "/>
    <n v="2547"/>
    <s v="Rising Euro Inflation 1% probability"/>
    <x v="843"/>
    <s v="EUR INF 10Y"/>
    <s v="EUR Inflation"/>
    <s v="EUR_INF_10yr"/>
    <s v="EUR Inflation"/>
    <s v="OK"/>
    <x v="48"/>
    <s v="Yield  "/>
    <x v="6"/>
    <x v="2"/>
    <x v="155"/>
  </r>
  <r>
    <x v="127"/>
    <s v="Credit Spread Widening Europe                               "/>
    <n v="2550"/>
    <s v="1% probability movement of European Credit Spread Widening"/>
    <x v="844"/>
    <s v="EU Credit IG"/>
    <s v="Corporate IG EUR - Other"/>
    <s v="EUR_LEH_CREDIT"/>
    <s v="Corporate IG EUR - Other"/>
    <s v="OK"/>
    <x v="45"/>
    <s v="Spread Yield"/>
    <x v="5"/>
    <x v="4"/>
    <x v="216"/>
  </r>
  <r>
    <x v="128"/>
    <s v="Stock Market Drop Europe                                    "/>
    <n v="2541"/>
    <s v="1% probability Downward movement in Europe Equity Market"/>
    <x v="845"/>
    <s v="DAX 30"/>
    <s v="Equity Implied Volatility"/>
    <s v="DAX"/>
    <s v="Equity Implied Volatility"/>
    <s v="OK"/>
    <x v="1"/>
    <s v="Index Level"/>
    <x v="1"/>
    <x v="1"/>
    <x v="209"/>
  </r>
  <r>
    <x v="129"/>
    <s v="Interest Rates Back-up Europe                               "/>
    <n v="2544"/>
    <s v="Europe Int Rates Up 1% probability"/>
    <x v="846"/>
    <s v="DEM 10Y"/>
    <s v="Govt EUR (Ger)"/>
    <s v="EUR_10yr"/>
    <s v="Govt EUR (Ger)"/>
    <s v="OK"/>
    <x v="9"/>
    <s v="Yield  "/>
    <x v="0"/>
    <x v="0"/>
    <x v="118"/>
  </r>
  <r>
    <x v="130"/>
    <s v="Stock Market Drop Japan                                     "/>
    <n v="2542"/>
    <s v="Japan Equity Market Down 1% probability"/>
    <x v="847"/>
    <s v="NIKKEI 225"/>
    <s v="Equity Implied Volatility"/>
    <s v="NKY"/>
    <s v="Equity Implied Volatility"/>
    <s v="OK"/>
    <x v="1"/>
    <s v="Index Level"/>
    <x v="1"/>
    <x v="1"/>
    <x v="192"/>
  </r>
  <r>
    <x v="131"/>
    <s v="Rising Inflation Japan                                      "/>
    <n v="2548"/>
    <s v="Rising Japan Inflation 1% probability"/>
    <x v="848"/>
    <s v="JPY INF 3Y"/>
    <s v="Other - Inflation"/>
    <s v="JPY_INF_3yr"/>
    <s v="Other - Inflation"/>
    <s v="OK"/>
    <x v="52"/>
    <s v="Yield  "/>
    <x v="7"/>
    <x v="2"/>
    <x v="160"/>
  </r>
  <r>
    <x v="132"/>
    <s v="Interest Rates Back-up Japan                                "/>
    <n v="2545"/>
    <s v="Japan Int Rates Up 1% probability"/>
    <x v="849"/>
    <s v="JPY 10Y"/>
    <s v="Govt Developed Other (AU, GB, JP, ...)"/>
    <s v="JPY_10yr"/>
    <s v="Govt Developed Other (AU, GB, JP, ...)"/>
    <s v="OK"/>
    <x v="10"/>
    <s v="Yield  "/>
    <x v="0"/>
    <x v="0"/>
    <x v="135"/>
  </r>
  <r>
    <x v="133"/>
    <s v="Stock Market Drop US                                        "/>
    <n v="2540"/>
    <s v="US Equity Market Down 1% probability"/>
    <x v="850"/>
    <s v="S&amp;P 500"/>
    <s v="Equity Implied Volatility"/>
    <s v="SPX"/>
    <s v="Equity Implied Volatility"/>
    <s v="OK"/>
    <x v="1"/>
    <s v="Index Level"/>
    <x v="1"/>
    <x v="1"/>
    <x v="217"/>
  </r>
  <r>
    <x v="134"/>
    <s v="Rising Inflation US                                         "/>
    <n v="2546"/>
    <s v="Rising US Inflation 1% probability"/>
    <x v="851"/>
    <s v="USD INF 10Y"/>
    <s v="USD Inflation"/>
    <s v="USD_INF_10yr"/>
    <s v="USD Inflation"/>
    <s v="OK"/>
    <x v="8"/>
    <s v="Yield  "/>
    <x v="6"/>
    <x v="2"/>
    <x v="105"/>
  </r>
  <r>
    <x v="135"/>
    <s v="Credit Spread Widening US                                   "/>
    <n v="2549"/>
    <s v="US Credit Spread Widen 1% probability"/>
    <x v="852"/>
    <s v="US Cash Bonds IG"/>
    <s v="Corporate IG USD - Other"/>
    <s v="USD_LEH_CREDIT3"/>
    <s v="Corporate IG USD - Other"/>
    <s v="OK"/>
    <x v="26"/>
    <s v="Corporate IG USD - Other"/>
    <x v="5"/>
    <x v="4"/>
    <x v="218"/>
  </r>
  <r>
    <x v="136"/>
    <s v="Weak US Dollar                                              "/>
    <n v="2551"/>
    <s v="1% probability movement of US dollar weakening"/>
    <x v="853"/>
    <s v="DXY"/>
    <e v="#N/A"/>
    <s v="DXY"/>
    <e v="#N/A"/>
    <s v="BOTH #N/A"/>
    <x v="18"/>
    <s v="Dollar Index"/>
    <x v="9"/>
    <x v="2"/>
    <x v="116"/>
  </r>
  <r>
    <x v="137"/>
    <s v="Interest Rates Back-up US                                   "/>
    <n v="2543"/>
    <s v="US Int Rates Up 1% probability"/>
    <x v="854"/>
    <s v="Tsy 10Y"/>
    <s v="Govt USD"/>
    <s v="USD_10yr"/>
    <s v="Govt USD"/>
    <s v="OK"/>
    <x v="0"/>
    <s v="Yield  "/>
    <x v="0"/>
    <x v="0"/>
    <x v="206"/>
  </r>
  <r>
    <x v="138"/>
    <s v="Stock Market Drop Global                                    "/>
    <n v="2539"/>
    <s v="1% probability movement of MSCI World Market Down"/>
    <x v="855"/>
    <s v="MSCI World Net TR"/>
    <s v="Equity Implied Volatility"/>
    <s v="MSCIWLDNET"/>
    <s v="Equity Implied Volatility"/>
    <s v="OK"/>
    <x v="1"/>
    <s v="Index Level"/>
    <x v="1"/>
    <x v="1"/>
    <x v="106"/>
  </r>
  <r>
    <x v="139"/>
    <s v="Safety Trade - Search for Yield Continues                   "/>
    <n v="2495"/>
    <s v="Continuing trend to reach for riskier sources of yield as the perception of a central bank put persists"/>
    <x v="802"/>
    <s v="Tsy 10Y"/>
    <s v="Govt USD"/>
    <s v="USD_10yr"/>
    <s v="Govt USD"/>
    <s v="OK"/>
    <x v="0"/>
    <s v="Yield  "/>
    <x v="0"/>
    <x v="0"/>
    <x v="175"/>
  </r>
  <r>
    <x v="139"/>
    <s v="Safety Trade - Search for Yield Continues                   "/>
    <n v="2495"/>
    <s v="Continuing trend to reach for riskier sources of yield as the perception of a central bank put persists"/>
    <x v="856"/>
    <s v="US Cash Bonds HY"/>
    <e v="#N/A"/>
    <s v="USD_LEH_HY3"/>
    <e v="#N/A"/>
    <s v="BOTH #N/A"/>
    <x v="26"/>
    <s v="Corporate IG USD - Other"/>
    <x v="5"/>
    <x v="4"/>
    <x v="193"/>
  </r>
  <r>
    <x v="139"/>
    <s v="Safety Trade - Search for Yield Continues                   "/>
    <n v="2495"/>
    <s v="Continuing trend to reach for riskier sources of yield as the perception of a central bank put persists"/>
    <x v="857"/>
    <s v="ESP 10Y"/>
    <s v="Spread Govt Peripheral EUR (ex ITA)"/>
    <s v="ESP_10yr"/>
    <s v="Spread Govt Peripheral EUR (ex ITA)"/>
    <s v="OK"/>
    <x v="50"/>
    <s v="Spread Yield"/>
    <x v="11"/>
    <x v="0"/>
    <x v="124"/>
  </r>
  <r>
    <x v="139"/>
    <s v="Safety Trade - Search for Yield Continues                   "/>
    <n v="2495"/>
    <s v="Continuing trend to reach for riskier sources of yield as the perception of a central bank put persists"/>
    <x v="858"/>
    <s v="S&amp;P 500"/>
    <s v="Equity Implied Volatility"/>
    <s v="SPX"/>
    <s v="Equity Implied Volatility"/>
    <s v="OK"/>
    <x v="1"/>
    <s v="Index Level"/>
    <x v="1"/>
    <x v="1"/>
    <x v="112"/>
  </r>
  <r>
    <x v="139"/>
    <s v="Safety Trade - Search for Yield Continues                   "/>
    <n v="2495"/>
    <s v="Continuing trend to reach for riskier sources of yield as the perception of a central bank put persists"/>
    <x v="859"/>
    <s v="Profitability"/>
    <s v="Local Styles"/>
    <s v="FMI_NAMR_PROFIT"/>
    <e v="#N/A"/>
    <s v="OK"/>
    <x v="38"/>
    <s v="Style Return  "/>
    <x v="13"/>
    <x v="1"/>
    <x v="157"/>
  </r>
  <r>
    <x v="139"/>
    <s v="Safety Trade - Search for Yield Continues                   "/>
    <n v="2495"/>
    <s v="Continuing trend to reach for riskier sources of yield as the perception of a central bank put persists"/>
    <x v="860"/>
    <s v="Profitability"/>
    <s v="Local Styles"/>
    <s v="FMI_EMEA_PROFIT"/>
    <e v="#N/A"/>
    <s v="OK"/>
    <x v="38"/>
    <s v="Style Return  "/>
    <x v="13"/>
    <x v="1"/>
    <x v="157"/>
  </r>
  <r>
    <x v="139"/>
    <s v="Safety Trade - Search for Yield Continues                   "/>
    <n v="2495"/>
    <s v="Continuing trend to reach for riskier sources of yield as the perception of a central bank put persists"/>
    <x v="861"/>
    <s v="DEPO Sprd 6m"/>
    <s v="Money Market"/>
    <s v="USD_DEPO_Sprd_6m"/>
    <s v="Money Market"/>
    <s v="OK"/>
    <x v="56"/>
    <s v="Spread Yield"/>
    <x v="7"/>
    <x v="2"/>
    <x v="124"/>
  </r>
  <r>
    <x v="139"/>
    <s v="Safety Trade - Search for Yield Continues                   "/>
    <n v="2495"/>
    <s v="Continuing trend to reach for riskier sources of yield as the perception of a central bank put persists"/>
    <x v="862"/>
    <s v="CP A1P1 Sprd 6m"/>
    <s v="Money Market"/>
    <s v="USD_CP_A1P1_Sprd_6m"/>
    <s v="Money Market"/>
    <s v="OK"/>
    <x v="56"/>
    <s v="Spread Yield"/>
    <x v="7"/>
    <x v="2"/>
    <x v="124"/>
  </r>
  <r>
    <x v="139"/>
    <s v="Safety Trade - Search for Yield Continues                   "/>
    <n v="2495"/>
    <s v="Continuing trend to reach for riskier sources of yield as the perception of a central bank put persists"/>
    <x v="863"/>
    <s v="Currency Carry S"/>
    <e v="#N/A"/>
    <s v="AI_CRNCY_CARRY"/>
    <s v="Alternative - Hedge Fund"/>
    <s v="OK"/>
    <x v="67"/>
    <s v="Index Level"/>
    <x v="2"/>
    <x v="2"/>
    <x v="112"/>
  </r>
  <r>
    <x v="139"/>
    <s v="Safety Trade - Search for Yield Continues                   "/>
    <n v="2495"/>
    <s v="Continuing trend to reach for riskier sources of yield as the perception of a central bank put persists"/>
    <x v="864"/>
    <s v="S&amp;P 500 utilities"/>
    <s v="Equity Implied Volatility"/>
    <s v="Utilities"/>
    <e v="#N/A"/>
    <s v="OK"/>
    <x v="1"/>
    <s v="Index Level"/>
    <x v="1"/>
    <x v="1"/>
    <x v="125"/>
  </r>
  <r>
    <x v="140"/>
    <s v="Safety Trade - Yield Trade Unwind - Policy Driven           "/>
    <n v="2496"/>
    <s v="An unwind of the yield trade after the Fed raises rates"/>
    <x v="599"/>
    <s v="Tsy 10Y"/>
    <s v="Govt USD"/>
    <s v="USD_10yr"/>
    <s v="Govt USD"/>
    <s v="OK"/>
    <x v="0"/>
    <s v="Yield  "/>
    <x v="0"/>
    <x v="0"/>
    <x v="140"/>
  </r>
  <r>
    <x v="140"/>
    <s v="Safety Trade - Yield Trade Unwind - Policy Driven           "/>
    <n v="2496"/>
    <s v="An unwind of the yield trade after the Fed raises rates"/>
    <x v="865"/>
    <s v="US Cash Bonds HY"/>
    <e v="#N/A"/>
    <s v="USD_LEH_HY3"/>
    <e v="#N/A"/>
    <s v="BOTH #N/A"/>
    <x v="26"/>
    <s v="Corporate IG USD - Other"/>
    <x v="5"/>
    <x v="4"/>
    <x v="163"/>
  </r>
  <r>
    <x v="140"/>
    <s v="Safety Trade - Yield Trade Unwind - Policy Driven           "/>
    <n v="2496"/>
    <s v="An unwind of the yield trade after the Fed raises rates"/>
    <x v="866"/>
    <s v="ESP 10Y"/>
    <s v="Spread Govt Peripheral EUR (ex ITA)"/>
    <s v="ESP_10yr"/>
    <s v="Spread Govt Peripheral EUR (ex ITA)"/>
    <s v="OK"/>
    <x v="50"/>
    <s v="Spread Yield"/>
    <x v="11"/>
    <x v="0"/>
    <x v="134"/>
  </r>
  <r>
    <x v="140"/>
    <s v="Safety Trade - Yield Trade Unwind - Policy Driven           "/>
    <n v="2496"/>
    <s v="An unwind of the yield trade after the Fed raises rates"/>
    <x v="133"/>
    <s v="DXY"/>
    <e v="#N/A"/>
    <s v="DXY"/>
    <e v="#N/A"/>
    <s v="BOTH #N/A"/>
    <x v="18"/>
    <s v="Dollar Index"/>
    <x v="9"/>
    <x v="2"/>
    <x v="112"/>
  </r>
  <r>
    <x v="140"/>
    <s v="Safety Trade - Yield Trade Unwind - Policy Driven           "/>
    <n v="2496"/>
    <s v="An unwind of the yield trade after the Fed raises rates"/>
    <x v="332"/>
    <s v="S&amp;P 500"/>
    <s v="Equity Implied Volatility"/>
    <s v="SPX"/>
    <s v="Equity Implied Volatility"/>
    <s v="OK"/>
    <x v="1"/>
    <s v="Index Level"/>
    <x v="1"/>
    <x v="1"/>
    <x v="113"/>
  </r>
  <r>
    <x v="140"/>
    <s v="Safety Trade - Yield Trade Unwind - Policy Driven           "/>
    <n v="2496"/>
    <s v="An unwind of the yield trade after the Fed raises rates"/>
    <x v="867"/>
    <s v="EU Credit IG"/>
    <s v="Corporate IG EUR - Other"/>
    <s v="EUR_LEH_CREDIT"/>
    <s v="Corporate IG EUR - Other"/>
    <s v="OK"/>
    <x v="45"/>
    <s v="Spread Yield"/>
    <x v="5"/>
    <x v="4"/>
    <x v="219"/>
  </r>
  <r>
    <x v="140"/>
    <s v="Safety Trade - Yield Trade Unwind - Policy Driven           "/>
    <n v="2496"/>
    <s v="An unwind of the yield trade after the Fed raises rates"/>
    <x v="868"/>
    <s v="Profitability"/>
    <s v="Local Styles"/>
    <s v="FMI_NAMR_PROFIT"/>
    <e v="#N/A"/>
    <s v="OK"/>
    <x v="38"/>
    <s v="Style Return  "/>
    <x v="13"/>
    <x v="1"/>
    <x v="220"/>
  </r>
  <r>
    <x v="140"/>
    <s v="Safety Trade - Yield Trade Unwind - Policy Driven           "/>
    <n v="2496"/>
    <s v="An unwind of the yield trade after the Fed raises rates"/>
    <x v="869"/>
    <s v="Profitability"/>
    <s v="Local Styles"/>
    <s v="FMI_EMEA_PROFIT"/>
    <e v="#N/A"/>
    <s v="OK"/>
    <x v="38"/>
    <s v="Style Return  "/>
    <x v="13"/>
    <x v="1"/>
    <x v="220"/>
  </r>
  <r>
    <x v="140"/>
    <s v="Safety Trade - Yield Trade Unwind - Policy Driven           "/>
    <n v="2496"/>
    <s v="An unwind of the yield trade after the Fed raises rates"/>
    <x v="870"/>
    <s v="OIS 3m"/>
    <s v="Govt USD"/>
    <s v="USD_OIS_3m"/>
    <s v="Govt USD"/>
    <s v="OK"/>
    <x v="0"/>
    <s v="Yield  "/>
    <x v="0"/>
    <x v="0"/>
    <x v="134"/>
  </r>
  <r>
    <x v="140"/>
    <s v="Safety Trade - Yield Trade Unwind - Policy Driven           "/>
    <n v="2496"/>
    <s v="An unwind of the yield trade after the Fed raises rates"/>
    <x v="374"/>
    <s v="DEPO Sprd 3m"/>
    <s v="Money Market"/>
    <s v="USD_DEPO_Sprd_3m"/>
    <s v="Money Market"/>
    <s v="OK"/>
    <x v="56"/>
    <s v="Spread Yield"/>
    <x v="7"/>
    <x v="2"/>
    <x v="134"/>
  </r>
  <r>
    <x v="140"/>
    <s v="Safety Trade - Yield Trade Unwind - Policy Driven           "/>
    <n v="2496"/>
    <s v="An unwind of the yield trade after the Fed raises rates"/>
    <x v="871"/>
    <s v="CP A1P1 Sprd 3m"/>
    <s v="Money Market"/>
    <s v="USD_CP_A1P1_Sprd_3m"/>
    <s v="Money Market"/>
    <s v="OK"/>
    <x v="56"/>
    <s v="Spread Yield"/>
    <x v="7"/>
    <x v="2"/>
    <x v="134"/>
  </r>
  <r>
    <x v="140"/>
    <s v="Safety Trade - Yield Trade Unwind - Policy Driven           "/>
    <n v="2496"/>
    <s v="An unwind of the yield trade after the Fed raises rates"/>
    <x v="872"/>
    <s v="S&amp;P 500 utilities"/>
    <s v="Equity Implied Volatility"/>
    <s v="Utilities"/>
    <e v="#N/A"/>
    <s v="OK"/>
    <x v="1"/>
    <s v="Index Level"/>
    <x v="1"/>
    <x v="1"/>
    <x v="122"/>
  </r>
  <r>
    <x v="141"/>
    <s v="Safety Trade - Yield Trade Unwind - Sentiment Driven        "/>
    <n v="2497"/>
    <s v="Stretched valuations in US credit and defensive equity sectors lead to an unwind of crowded trades"/>
    <x v="873"/>
    <s v="US Cash Bonds HY"/>
    <e v="#N/A"/>
    <s v="USD_LEH_HY3"/>
    <e v="#N/A"/>
    <s v="BOTH #N/A"/>
    <x v="26"/>
    <s v="Corporate IG USD - Other"/>
    <x v="5"/>
    <x v="4"/>
    <x v="221"/>
  </r>
  <r>
    <x v="141"/>
    <s v="Safety Trade - Yield Trade Unwind - Sentiment Driven        "/>
    <n v="2497"/>
    <s v="Stretched valuations in US credit and defensive equity sectors lead to an unwind of crowded trades"/>
    <x v="368"/>
    <s v="S&amp;P 500"/>
    <s v="Equity Implied Volatility"/>
    <s v="SPX"/>
    <s v="Equity Implied Volatility"/>
    <s v="OK"/>
    <x v="1"/>
    <s v="Index Level"/>
    <x v="1"/>
    <x v="1"/>
    <x v="159"/>
  </r>
  <r>
    <x v="141"/>
    <s v="Safety Trade - Yield Trade Unwind - Sentiment Driven        "/>
    <n v="2497"/>
    <s v="Stretched valuations in US credit and defensive equity sectors lead to an unwind of crowded trades"/>
    <x v="874"/>
    <s v="Profitability"/>
    <s v="Local Styles"/>
    <s v="FMI_NAMR_PROFIT"/>
    <e v="#N/A"/>
    <s v="OK"/>
    <x v="38"/>
    <s v="Style Return  "/>
    <x v="13"/>
    <x v="1"/>
    <x v="207"/>
  </r>
  <r>
    <x v="141"/>
    <s v="Safety Trade - Yield Trade Unwind - Sentiment Driven        "/>
    <n v="2497"/>
    <s v="Stretched valuations in US credit and defensive equity sectors lead to an unwind of crowded trades"/>
    <x v="875"/>
    <s v="Profitability"/>
    <s v="Local Styles"/>
    <s v="FMI_EMEA_PROFIT"/>
    <e v="#N/A"/>
    <s v="OK"/>
    <x v="38"/>
    <s v="Style Return  "/>
    <x v="13"/>
    <x v="1"/>
    <x v="207"/>
  </r>
  <r>
    <x v="141"/>
    <s v="Safety Trade - Yield Trade Unwind - Sentiment Driven        "/>
    <n v="2497"/>
    <s v="Stretched valuations in US credit and defensive equity sectors lead to an unwind of crowded trades"/>
    <x v="372"/>
    <s v="EMBIG DxS"/>
    <s v="Spread Emerging Markets - Country"/>
    <s v="USD_EM_DS_G"/>
    <s v="Spread Emerging Markets - Country"/>
    <s v="OK"/>
    <x v="29"/>
    <s v="Spread Yield"/>
    <x v="5"/>
    <x v="4"/>
    <x v="138"/>
  </r>
  <r>
    <x v="141"/>
    <s v="Safety Trade - Yield Trade Unwind - Sentiment Driven        "/>
    <n v="2497"/>
    <s v="Stretched valuations in US credit and defensive equity sectors lead to an unwind of crowded trades"/>
    <x v="374"/>
    <s v="DEPO Sprd 3m"/>
    <s v="Money Market"/>
    <s v="USD_DEPO_Sprd_3m"/>
    <s v="Money Market"/>
    <s v="OK"/>
    <x v="56"/>
    <s v="Spread Yield"/>
    <x v="7"/>
    <x v="2"/>
    <x v="134"/>
  </r>
  <r>
    <x v="141"/>
    <s v="Safety Trade - Yield Trade Unwind - Sentiment Driven        "/>
    <n v="2497"/>
    <s v="Stretched valuations in US credit and defensive equity sectors lead to an unwind of crowded trades"/>
    <x v="871"/>
    <s v="CP A1P1 Sprd 3m"/>
    <s v="Money Market"/>
    <s v="USD_CP_A1P1_Sprd_3m"/>
    <s v="Money Market"/>
    <s v="OK"/>
    <x v="56"/>
    <s v="Spread Yield"/>
    <x v="7"/>
    <x v="2"/>
    <x v="134"/>
  </r>
  <r>
    <x v="141"/>
    <s v="Safety Trade - Yield Trade Unwind - Sentiment Driven        "/>
    <n v="2497"/>
    <s v="Stretched valuations in US credit and defensive equity sectors lead to an unwind of crowded trades"/>
    <x v="876"/>
    <s v="Currency Carry S"/>
    <e v="#N/A"/>
    <s v="AI_CRNCY_CARRY"/>
    <s v="Alternative - Hedge Fund"/>
    <s v="OK"/>
    <x v="67"/>
    <s v="Index Level"/>
    <x v="2"/>
    <x v="2"/>
    <x v="113"/>
  </r>
  <r>
    <x v="141"/>
    <s v="Safety Trade - Yield Trade Unwind - Sentiment Driven        "/>
    <n v="2497"/>
    <s v="Stretched valuations in US credit and defensive equity sectors lead to an unwind of crowded trades"/>
    <x v="877"/>
    <s v="S&amp;P 500 Technology"/>
    <s v="Equity Implied Volatility"/>
    <s v="Technology"/>
    <e v="#N/A"/>
    <s v="OK"/>
    <x v="1"/>
    <s v="Index Level"/>
    <x v="1"/>
    <x v="1"/>
    <x v="110"/>
  </r>
  <r>
    <x v="141"/>
    <s v="Safety Trade - Yield Trade Unwind - Sentiment Driven        "/>
    <n v="2497"/>
    <s v="Stretched valuations in US credit and defensive equity sectors lead to an unwind of crowded trades"/>
    <x v="878"/>
    <s v="S&amp;P 500 utilities"/>
    <s v="Equity Implied Volatility"/>
    <s v="Utilities"/>
    <e v="#N/A"/>
    <s v="OK"/>
    <x v="1"/>
    <s v="Index Level"/>
    <x v="1"/>
    <x v="1"/>
    <x v="106"/>
  </r>
  <r>
    <x v="142"/>
    <s v="NAFTA Negotiations - US Leaves with Protectionist Steps     "/>
    <n v="2526"/>
    <s v="NAFTA Negotiations - US Leaves with Protectionist Steps - US leaves NAFTA with strong anti-trade / protectionist rhetoric"/>
    <x v="290"/>
    <s v="Tsy 10Y"/>
    <s v="Govt USD"/>
    <s v="USD_10yr"/>
    <s v="Govt USD"/>
    <s v="OK"/>
    <x v="0"/>
    <s v="Yield  "/>
    <x v="0"/>
    <x v="0"/>
    <x v="123"/>
  </r>
  <r>
    <x v="142"/>
    <s v="NAFTA Negotiations - US Leaves with Protectionist Steps     "/>
    <n v="2526"/>
    <s v="NAFTA Negotiations - US Leaves with Protectionist Steps - US leaves NAFTA with strong anti-trade / protectionist rhetoric"/>
    <x v="600"/>
    <s v="USD INF 10Y"/>
    <s v="USD Inflation"/>
    <s v="USD_INF_10yr"/>
    <s v="USD Inflation"/>
    <s v="OK"/>
    <x v="8"/>
    <s v="Yield  "/>
    <x v="6"/>
    <x v="2"/>
    <x v="164"/>
  </r>
  <r>
    <x v="142"/>
    <s v="NAFTA Negotiations - US Leaves with Protectionist Steps     "/>
    <n v="2526"/>
    <s v="NAFTA Negotiations - US Leaves with Protectionist Steps - US leaves NAFTA with strong anti-trade / protectionist rhetoric"/>
    <x v="150"/>
    <s v="Copper CMX 1"/>
    <s v="Alternative - Commodity"/>
    <s v="USD_COMD_HG_1"/>
    <s v="Alternative - Commodity"/>
    <s v="OK"/>
    <x v="2"/>
    <s v="Price Level  "/>
    <x v="2"/>
    <x v="2"/>
    <x v="106"/>
  </r>
  <r>
    <x v="142"/>
    <s v="NAFTA Negotiations - US Leaves with Protectionist Steps     "/>
    <n v="2526"/>
    <s v="NAFTA Negotiations - US Leaves with Protectionist Steps - US leaves NAFTA with strong anti-trade / protectionist rhetoric"/>
    <x v="151"/>
    <s v="Gold COMEX 1"/>
    <s v="Alternative - Commodity"/>
    <s v="USD_COMD_GC_1"/>
    <s v="Alternative - Commodity"/>
    <s v="OK"/>
    <x v="2"/>
    <s v="Price Level  "/>
    <x v="2"/>
    <x v="2"/>
    <x v="107"/>
  </r>
  <r>
    <x v="142"/>
    <s v="NAFTA Negotiations - US Leaves with Protectionist Steps     "/>
    <n v="2526"/>
    <s v="NAFTA Negotiations - US Leaves with Protectionist Steps - US leaves NAFTA with strong anti-trade / protectionist rhetoric"/>
    <x v="697"/>
    <s v="MXN 10Y"/>
    <s v="Govt Emerging Markets"/>
    <s v="MXN_10yr"/>
    <s v="Govt Emerging Markets"/>
    <s v="OK"/>
    <x v="31"/>
    <s v="Yield  "/>
    <x v="0"/>
    <x v="0"/>
    <x v="108"/>
  </r>
  <r>
    <x v="142"/>
    <s v="NAFTA Negotiations - US Leaves with Protectionist Steps     "/>
    <n v="2526"/>
    <s v="NAFTA Negotiations - US Leaves with Protectionist Steps - US leaves NAFTA with strong anti-trade / protectionist rhetoric"/>
    <x v="879"/>
    <s v="CADUSD"/>
    <e v="#N/A"/>
    <s v="CAD_FX_USD"/>
    <s v="Developed Currency"/>
    <s v="OK"/>
    <x v="42"/>
    <s v="FX  "/>
    <x v="3"/>
    <x v="3"/>
    <x v="116"/>
  </r>
  <r>
    <x v="142"/>
    <s v="NAFTA Negotiations - US Leaves with Protectionist Steps     "/>
    <n v="2526"/>
    <s v="NAFTA Negotiations - US Leaves with Protectionist Steps - US leaves NAFTA with strong anti-trade / protectionist rhetoric"/>
    <x v="880"/>
    <s v="CNHUSD"/>
    <e v="#N/A"/>
    <s v="CNH_FX_USD"/>
    <s v="Emerging Currency"/>
    <s v="OK"/>
    <x v="3"/>
    <s v="FX  "/>
    <x v="3"/>
    <x v="3"/>
    <x v="191"/>
  </r>
  <r>
    <x v="142"/>
    <s v="NAFTA Negotiations - US Leaves with Protectionist Steps     "/>
    <n v="2526"/>
    <s v="NAFTA Negotiations - US Leaves with Protectionist Steps - US leaves NAFTA with strong anti-trade / protectionist rhetoric"/>
    <x v="881"/>
    <s v="MXNUSD"/>
    <e v="#N/A"/>
    <s v="MXN_FX_USD"/>
    <s v="Emerging Currency"/>
    <s v="OK"/>
    <x v="3"/>
    <s v="FX  "/>
    <x v="3"/>
    <x v="3"/>
    <x v="156"/>
  </r>
  <r>
    <x v="142"/>
    <s v="NAFTA Negotiations - US Leaves with Protectionist Steps     "/>
    <n v="2526"/>
    <s v="NAFTA Negotiations - US Leaves with Protectionist Steps - US leaves NAFTA with strong anti-trade / protectionist rhetoric"/>
    <x v="882"/>
    <s v="ZARUSD"/>
    <e v="#N/A"/>
    <s v="ZAR_FX_USD"/>
    <s v="Emerging Currency"/>
    <s v="OK"/>
    <x v="3"/>
    <s v="FX  "/>
    <x v="3"/>
    <x v="3"/>
    <x v="122"/>
  </r>
  <r>
    <x v="142"/>
    <s v="NAFTA Negotiations - US Leaves with Protectionist Steps     "/>
    <n v="2526"/>
    <s v="NAFTA Negotiations - US Leaves with Protectionist Steps - US leaves NAFTA with strong anti-trade / protectionist rhetoric"/>
    <x v="133"/>
    <s v="DXY"/>
    <e v="#N/A"/>
    <s v="DXY"/>
    <e v="#N/A"/>
    <s v="BOTH #N/A"/>
    <x v="18"/>
    <s v="Dollar Index"/>
    <x v="9"/>
    <x v="2"/>
    <x v="112"/>
  </r>
  <r>
    <x v="142"/>
    <s v="NAFTA Negotiations - US Leaves with Protectionist Steps     "/>
    <n v="2526"/>
    <s v="NAFTA Negotiations - US Leaves with Protectionist Steps - US leaves NAFTA with strong anti-trade / protectionist rhetoric"/>
    <x v="587"/>
    <s v="S&amp;P 500"/>
    <s v="Equity Implied Volatility"/>
    <s v="SPX"/>
    <s v="Equity Implied Volatility"/>
    <s v="OK"/>
    <x v="1"/>
    <s v="Index Level"/>
    <x v="1"/>
    <x v="1"/>
    <x v="122"/>
  </r>
  <r>
    <x v="142"/>
    <s v="NAFTA Negotiations - US Leaves with Protectionist Steps     "/>
    <n v="2526"/>
    <s v="NAFTA Negotiations - US Leaves with Protectionist Steps - US leaves NAFTA with strong anti-trade / protectionist rhetoric"/>
    <x v="588"/>
    <s v="MS Emerging Mkts"/>
    <s v="Equity Implied Volatility"/>
    <s v="MXEF"/>
    <s v="Equity Implied Volatility"/>
    <s v="OK"/>
    <x v="1"/>
    <s v="Index Level"/>
    <x v="1"/>
    <x v="1"/>
    <x v="114"/>
  </r>
  <r>
    <x v="142"/>
    <s v="NAFTA Negotiations - US Leaves with Protectionist Steps     "/>
    <n v="2526"/>
    <s v="NAFTA Negotiations - US Leaves with Protectionist Steps - US leaves NAFTA with strong anti-trade / protectionist rhetoric"/>
    <x v="883"/>
    <s v="Global HY 5"/>
    <s v="Corporate HY Other - Maturity"/>
    <s v="ALL_GLB_CORP_HY_5Y"/>
    <s v="Corporate HY Other - Maturity"/>
    <s v="OK"/>
    <x v="36"/>
    <s v="Spread Yield"/>
    <x v="5"/>
    <x v="4"/>
    <x v="118"/>
  </r>
  <r>
    <x v="142"/>
    <s v="NAFTA Negotiations - US Leaves with Protectionist Steps     "/>
    <n v="2526"/>
    <s v="NAFTA Negotiations - US Leaves with Protectionist Steps - US leaves NAFTA with strong anti-trade / protectionist rhetoric"/>
    <x v="884"/>
    <s v="Automobiles &amp; Components"/>
    <s v="Consumer Discretionary"/>
    <s v="FMI_USAM_CDIAUTOCMP"/>
    <e v="#N/A"/>
    <s v="OK"/>
    <x v="23"/>
    <s v="Industry Return  "/>
    <x v="4"/>
    <x v="1"/>
    <x v="122"/>
  </r>
  <r>
    <x v="142"/>
    <s v="NAFTA Negotiations - US Leaves with Protectionist Steps     "/>
    <n v="2526"/>
    <s v="NAFTA Negotiations - US Leaves with Protectionist Steps - US leaves NAFTA with strong anti-trade / protectionist rhetoric"/>
    <x v="589"/>
    <s v="EMBIG DxS"/>
    <s v="Spread Emerging Markets - Country"/>
    <s v="USD_EM_DS_G"/>
    <s v="Spread Emerging Markets - Country"/>
    <s v="OK"/>
    <x v="29"/>
    <s v="Spread Yield"/>
    <x v="5"/>
    <x v="4"/>
    <x v="108"/>
  </r>
  <r>
    <x v="142"/>
    <s v="NAFTA Negotiations - US Leaves with Protectionist Steps     "/>
    <n v="2526"/>
    <s v="NAFTA Negotiations - US Leaves with Protectionist Steps - US leaves NAFTA with strong anti-trade / protectionist rhetoric"/>
    <x v="885"/>
    <s v="S&amp;P 500 Industrials"/>
    <s v="Equity Implied Volatility"/>
    <s v="Industrials"/>
    <e v="#N/A"/>
    <s v="OK"/>
    <x v="1"/>
    <s v="Index Level"/>
    <x v="1"/>
    <x v="1"/>
    <x v="110"/>
  </r>
  <r>
    <x v="143"/>
    <s v="NAFTA Negotiations - Successful Negotiations                "/>
    <n v="2527"/>
    <s v="NAFTA Negotiations - Successful Negotiations - Concessions from all sides refocus negotiations that eventually lead to an agreement on NAFTA 2.0"/>
    <x v="886"/>
    <s v="US Auto IG"/>
    <s v="Corporate IG USD - Industry"/>
    <s v="USD_AUTO_IG3"/>
    <s v="Corporate IG USD - Industry"/>
    <s v="OK"/>
    <x v="37"/>
    <s v="Spread Yield"/>
    <x v="5"/>
    <x v="4"/>
    <x v="124"/>
  </r>
  <r>
    <x v="143"/>
    <s v="NAFTA Negotiations - Successful Negotiations                "/>
    <n v="2527"/>
    <s v="NAFTA Negotiations - Successful Negotiations - Concessions from all sides refocus negotiations that eventually lead to an agreement on NAFTA 2.0"/>
    <x v="887"/>
    <s v="CADUSD"/>
    <e v="#N/A"/>
    <s v="CAD_FX_USD"/>
    <s v="Developed Currency"/>
    <s v="OK"/>
    <x v="42"/>
    <s v="FX  "/>
    <x v="3"/>
    <x v="3"/>
    <x v="174"/>
  </r>
  <r>
    <x v="143"/>
    <s v="NAFTA Negotiations - Successful Negotiations                "/>
    <n v="2527"/>
    <s v="NAFTA Negotiations - Successful Negotiations - Concessions from all sides refocus negotiations that eventually lead to an agreement on NAFTA 2.0"/>
    <x v="265"/>
    <s v="MXNUSD"/>
    <e v="#N/A"/>
    <s v="MXN_FX_USD"/>
    <s v="Emerging Currency"/>
    <s v="OK"/>
    <x v="3"/>
    <s v="FX  "/>
    <x v="3"/>
    <x v="3"/>
    <x v="107"/>
  </r>
  <r>
    <x v="143"/>
    <s v="NAFTA Negotiations - Successful Negotiations                "/>
    <n v="2527"/>
    <s v="NAFTA Negotiations - Successful Negotiations - Concessions from all sides refocus negotiations that eventually lead to an agreement on NAFTA 2.0"/>
    <x v="389"/>
    <s v="DXY"/>
    <e v="#N/A"/>
    <s v="DXY"/>
    <e v="#N/A"/>
    <s v="BOTH #N/A"/>
    <x v="18"/>
    <s v="Dollar Index"/>
    <x v="9"/>
    <x v="2"/>
    <x v="162"/>
  </r>
  <r>
    <x v="143"/>
    <s v="NAFTA Negotiations - Successful Negotiations                "/>
    <n v="2527"/>
    <s v="NAFTA Negotiations - Successful Negotiations - Concessions from all sides refocus negotiations that eventually lead to an agreement on NAFTA 2.0"/>
    <x v="426"/>
    <s v="S&amp;P 500"/>
    <s v="Equity Implied Volatility"/>
    <s v="SPX"/>
    <s v="Equity Implied Volatility"/>
    <s v="OK"/>
    <x v="1"/>
    <s v="Index Level"/>
    <x v="1"/>
    <x v="1"/>
    <x v="133"/>
  </r>
  <r>
    <x v="143"/>
    <s v="NAFTA Negotiations - Successful Negotiations                "/>
    <n v="2527"/>
    <s v="NAFTA Negotiations - Successful Negotiations - Concessions from all sides refocus negotiations that eventually lead to an agreement on NAFTA 2.0"/>
    <x v="888"/>
    <s v="Automobiles &amp; Components"/>
    <s v="Consumer Discretionary"/>
    <s v="FMI_NAMR_CDIAUTOCMP"/>
    <e v="#N/A"/>
    <s v="OK"/>
    <x v="23"/>
    <s v="Industry Return  "/>
    <x v="4"/>
    <x v="1"/>
    <x v="174"/>
  </r>
  <r>
    <x v="143"/>
    <s v="NAFTA Negotiations - Successful Negotiations                "/>
    <n v="2527"/>
    <s v="NAFTA Negotiations - Successful Negotiations - Concessions from all sides refocus negotiations that eventually lead to an agreement on NAFTA 2.0"/>
    <x v="889"/>
    <s v="Cons Dur &amp; Apparel x Homebuild"/>
    <e v="#N/A"/>
    <s v="FMI_NAMR_CDIDURXHMB"/>
    <e v="#N/A"/>
    <s v="BOTH #N/A"/>
    <x v="23"/>
    <s v="Consumer Discretionary"/>
    <x v="4"/>
    <x v="1"/>
    <x v="165"/>
  </r>
  <r>
    <x v="143"/>
    <s v="NAFTA Negotiations - Successful Negotiations                "/>
    <n v="2527"/>
    <s v="NAFTA Negotiations - Successful Negotiations - Concessions from all sides refocus negotiations that eventually lead to an agreement on NAFTA 2.0"/>
    <x v="890"/>
    <s v="EMBIG DxS"/>
    <s v="Spread Emerging Markets - Country"/>
    <s v="USD_EM_DS_G"/>
    <s v="Spread Emerging Markets - Country"/>
    <s v="OK"/>
    <x v="29"/>
    <s v="Spread Yield"/>
    <x v="5"/>
    <x v="4"/>
    <x v="164"/>
  </r>
  <r>
    <x v="144"/>
    <s v="NAFTA Negotiations - US Withdrawal                          "/>
    <n v="2525"/>
    <s v="NAFTA Negotiations - US Withdrawal - Derailed renegotiation prompts the US to withdraw from NAFTA"/>
    <x v="802"/>
    <s v="Tsy 10Y"/>
    <s v="Govt USD"/>
    <s v="USD_10yr"/>
    <s v="Govt USD"/>
    <s v="OK"/>
    <x v="0"/>
    <s v="Yield  "/>
    <x v="0"/>
    <x v="0"/>
    <x v="175"/>
  </r>
  <r>
    <x v="144"/>
    <s v="NAFTA Negotiations - US Withdrawal                          "/>
    <n v="2525"/>
    <s v="NAFTA Negotiations - US Withdrawal - Derailed renegotiation prompts the US to withdraw from NAFTA"/>
    <x v="891"/>
    <s v="Gold COMEX 1"/>
    <s v="Alternative - Commodity"/>
    <s v="USD_COMD_GC_1"/>
    <s v="Alternative - Commodity"/>
    <s v="OK"/>
    <x v="2"/>
    <s v="Price Level  "/>
    <x v="2"/>
    <x v="2"/>
    <x v="110"/>
  </r>
  <r>
    <x v="144"/>
    <s v="NAFTA Negotiations - US Withdrawal                          "/>
    <n v="2525"/>
    <s v="NAFTA Negotiations - US Withdrawal - Derailed renegotiation prompts the US to withdraw from NAFTA"/>
    <x v="892"/>
    <s v="US Auto IG"/>
    <s v="Corporate IG USD - Industry"/>
    <s v="USD_AUTO_IG3"/>
    <s v="Corporate IG USD - Industry"/>
    <s v="OK"/>
    <x v="37"/>
    <s v="Spread Yield"/>
    <x v="5"/>
    <x v="4"/>
    <x v="222"/>
  </r>
  <r>
    <x v="144"/>
    <s v="NAFTA Negotiations - US Withdrawal                          "/>
    <n v="2525"/>
    <s v="NAFTA Negotiations - US Withdrawal - Derailed renegotiation prompts the US to withdraw from NAFTA"/>
    <x v="893"/>
    <s v="CADUSD"/>
    <e v="#N/A"/>
    <s v="CAD_FX_USD"/>
    <s v="Developed Currency"/>
    <s v="OK"/>
    <x v="42"/>
    <s v="FX  "/>
    <x v="3"/>
    <x v="3"/>
    <x v="111"/>
  </r>
  <r>
    <x v="144"/>
    <s v="NAFTA Negotiations - US Withdrawal                          "/>
    <n v="2525"/>
    <s v="NAFTA Negotiations - US Withdrawal - Derailed renegotiation prompts the US to withdraw from NAFTA"/>
    <x v="154"/>
    <s v="MXNUSD"/>
    <e v="#N/A"/>
    <s v="MXN_FX_USD"/>
    <s v="Emerging Currency"/>
    <s v="OK"/>
    <x v="3"/>
    <s v="FX  "/>
    <x v="3"/>
    <x v="3"/>
    <x v="114"/>
  </r>
  <r>
    <x v="144"/>
    <s v="NAFTA Negotiations - US Withdrawal                          "/>
    <n v="2525"/>
    <s v="NAFTA Negotiations - US Withdrawal - Derailed renegotiation prompts the US to withdraw from NAFTA"/>
    <x v="414"/>
    <s v="DXY"/>
    <e v="#N/A"/>
    <s v="DXY"/>
    <e v="#N/A"/>
    <s v="BOTH #N/A"/>
    <x v="18"/>
    <s v="Dollar Index"/>
    <x v="9"/>
    <x v="2"/>
    <x v="165"/>
  </r>
  <r>
    <x v="144"/>
    <s v="NAFTA Negotiations - US Withdrawal                          "/>
    <n v="2525"/>
    <s v="NAFTA Negotiations - US Withdrawal - Derailed renegotiation prompts the US to withdraw from NAFTA"/>
    <x v="679"/>
    <s v="S&amp;P 500"/>
    <s v="Equity Implied Volatility"/>
    <s v="SPX"/>
    <s v="Equity Implied Volatility"/>
    <s v="OK"/>
    <x v="1"/>
    <s v="Index Level"/>
    <x v="1"/>
    <x v="1"/>
    <x v="191"/>
  </r>
  <r>
    <x v="144"/>
    <s v="NAFTA Negotiations - US Withdrawal                          "/>
    <n v="2525"/>
    <s v="NAFTA Negotiations - US Withdrawal - Derailed renegotiation prompts the US to withdraw from NAFTA"/>
    <x v="894"/>
    <s v="MS Emerging Mkts"/>
    <s v="Equity Implied Volatility"/>
    <s v="MXEF"/>
    <s v="Equity Implied Volatility"/>
    <s v="OK"/>
    <x v="1"/>
    <s v="Index Level"/>
    <x v="1"/>
    <x v="1"/>
    <x v="116"/>
  </r>
  <r>
    <x v="144"/>
    <s v="NAFTA Negotiations - US Withdrawal                          "/>
    <n v="2525"/>
    <s v="NAFTA Negotiations - US Withdrawal - Derailed renegotiation prompts the US to withdraw from NAFTA"/>
    <x v="895"/>
    <s v="Automobiles &amp; Components"/>
    <s v="Consumer Discretionary"/>
    <s v="FMI_NAMR_CDIAUTOCMP"/>
    <e v="#N/A"/>
    <s v="OK"/>
    <x v="23"/>
    <s v="Industry Return  "/>
    <x v="4"/>
    <x v="1"/>
    <x v="116"/>
  </r>
  <r>
    <x v="144"/>
    <s v="NAFTA Negotiations - US Withdrawal                          "/>
    <n v="2525"/>
    <s v="NAFTA Negotiations - US Withdrawal - Derailed renegotiation prompts the US to withdraw from NAFTA"/>
    <x v="896"/>
    <s v="EMBIG DxS"/>
    <s v="Spread Emerging Markets - Country"/>
    <s v="USD_EM_DS_G"/>
    <s v="Spread Emerging Markets - Country"/>
    <s v="OK"/>
    <x v="29"/>
    <s v="Spread Yield"/>
    <x v="5"/>
    <x v="4"/>
    <x v="138"/>
  </r>
  <r>
    <x v="145"/>
    <s v="Tech Calamity - Older is Wiser                              "/>
    <n v="2491"/>
    <s v="North American new tech companies underperform old tech companies due to weak fundamentals and negative sentiment"/>
    <x v="418"/>
    <s v="Tsy 10Y"/>
    <s v="Govt USD"/>
    <s v="USD_10yr"/>
    <s v="Govt USD"/>
    <s v="OK"/>
    <x v="0"/>
    <s v="Yield  "/>
    <x v="0"/>
    <x v="0"/>
    <x v="127"/>
  </r>
  <r>
    <x v="145"/>
    <s v="Tech Calamity - Older is Wiser                              "/>
    <n v="2491"/>
    <s v="North American new tech companies underperform old tech companies due to weak fundamentals and negative sentiment"/>
    <x v="897"/>
    <s v="US Cash Bonds HY"/>
    <e v="#N/A"/>
    <s v="USD_LEH_HY3"/>
    <e v="#N/A"/>
    <s v="BOTH #N/A"/>
    <x v="26"/>
    <s v="Corporate IG USD - Other"/>
    <x v="5"/>
    <x v="4"/>
    <x v="164"/>
  </r>
  <r>
    <x v="145"/>
    <s v="Tech Calamity - Older is Wiser                              "/>
    <n v="2491"/>
    <s v="North American new tech companies underperform old tech companies due to weak fundamentals and negative sentiment"/>
    <x v="898"/>
    <s v="S&amp;P 500 Technology"/>
    <s v="Equity Implied Volatility"/>
    <s v="S5INFT"/>
    <s v="Equity Implied Volatility"/>
    <s v="OK"/>
    <x v="1"/>
    <s v="Index Level"/>
    <x v="1"/>
    <x v="1"/>
    <x v="159"/>
  </r>
  <r>
    <x v="145"/>
    <s v="Tech Calamity - Older is Wiser                              "/>
    <n v="2491"/>
    <s v="North American new tech companies underperform old tech companies due to weak fundamentals and negative sentiment"/>
    <x v="899"/>
    <s v="Internet &amp; Catalog Retail"/>
    <e v="#N/A"/>
    <s v="FMI_NAMR_CDIRETNET"/>
    <e v="#N/A"/>
    <s v="BOTH #N/A"/>
    <x v="5"/>
    <s v="Information Technology"/>
    <x v="4"/>
    <x v="1"/>
    <x v="121"/>
  </r>
  <r>
    <x v="145"/>
    <s v="Tech Calamity - Older is Wiser                              "/>
    <n v="2491"/>
    <s v="North American new tech companies underperform old tech companies due to weak fundamentals and negative sentiment"/>
    <x v="304"/>
    <s v="Internet Software &amp; Services"/>
    <e v="#N/A"/>
    <s v="FMI_NAMR_ITCNET"/>
    <e v="#N/A"/>
    <s v="BOTH #N/A"/>
    <x v="5"/>
    <s v="Information Technology"/>
    <x v="4"/>
    <x v="1"/>
    <x v="106"/>
  </r>
  <r>
    <x v="145"/>
    <s v="Tech Calamity - Older is Wiser                              "/>
    <n v="2491"/>
    <s v="North American new tech companies underperform old tech companies due to weak fundamentals and negative sentiment"/>
    <x v="900"/>
    <s v="Comp Peripherals &amp; Office Eq"/>
    <e v="#N/A"/>
    <s v="FMI_NAMR_ITCCOMPOFF"/>
    <e v="#N/A"/>
    <s v="BOTH #N/A"/>
    <x v="5"/>
    <s v="Information Technology"/>
    <x v="4"/>
    <x v="1"/>
    <x v="107"/>
  </r>
  <r>
    <x v="145"/>
    <s v="Tech Calamity - Older is Wiser                              "/>
    <n v="2491"/>
    <s v="North American new tech companies underperform old tech companies due to weak fundamentals and negative sentiment"/>
    <x v="901"/>
    <s v="Semiconductors &amp; Equipment"/>
    <s v="Information Technology"/>
    <s v="FMI_NAMR_ITCSEMICEQ"/>
    <e v="#N/A"/>
    <s v="OK"/>
    <x v="5"/>
    <s v="Industry Return  "/>
    <x v="4"/>
    <x v="1"/>
    <x v="107"/>
  </r>
  <r>
    <x v="145"/>
    <s v="Tech Calamity - Older is Wiser                              "/>
    <n v="2491"/>
    <s v="North American new tech companies underperform old tech companies due to weak fundamentals and negative sentiment"/>
    <x v="902"/>
    <s v="Profitability"/>
    <s v="Local Styles"/>
    <s v="FMI_NAMR_PROFIT"/>
    <e v="#N/A"/>
    <s v="OK"/>
    <x v="38"/>
    <s v="Style Return  "/>
    <x v="13"/>
    <x v="1"/>
    <x v="223"/>
  </r>
  <r>
    <x v="146"/>
    <s v="North Korea Tensions - Escalating Military Conflict         "/>
    <n v="2401"/>
    <s v="Aggressive North Korean retaliation leads to a generalized military conflict"/>
    <x v="903"/>
    <s v="Tsy 10Y"/>
    <s v="Govt USD"/>
    <s v="USD_10yr"/>
    <s v="Govt USD"/>
    <s v="OK"/>
    <x v="0"/>
    <s v="Yield "/>
    <x v="0"/>
    <x v="0"/>
    <x v="137"/>
  </r>
  <r>
    <x v="146"/>
    <s v="North Korea Tensions - Escalating Military Conflict         "/>
    <n v="2401"/>
    <s v="Aggressive North Korean retaliation leads to a generalized military conflict"/>
    <x v="218"/>
    <s v="Copper LME 1"/>
    <s v="Alternative - Commodity"/>
    <s v="USD_COMD_LP_1"/>
    <s v="Alternative - Commodity"/>
    <s v="OK"/>
    <x v="2"/>
    <s v="Price Level  "/>
    <x v="2"/>
    <x v="2"/>
    <x v="106"/>
  </r>
  <r>
    <x v="146"/>
    <s v="North Korea Tensions - Escalating Military Conflict         "/>
    <n v="2401"/>
    <s v="Aggressive North Korean retaliation leads to a generalized military conflict"/>
    <x v="104"/>
    <s v="Gold COMEX 1"/>
    <s v="Alternative - Commodity"/>
    <s v="USD_COMD_GC_1"/>
    <s v="Alternative - Commodity"/>
    <s v="OK"/>
    <x v="2"/>
    <s v="Price Level  "/>
    <x v="2"/>
    <x v="2"/>
    <x v="148"/>
  </r>
  <r>
    <x v="146"/>
    <s v="North Korea Tensions - Escalating Military Conflict         "/>
    <n v="2401"/>
    <s v="Aggressive North Korean retaliation leads to a generalized military conflict"/>
    <x v="735"/>
    <s v="DXY"/>
    <e v="#N/A"/>
    <s v="DXY"/>
    <e v="#N/A"/>
    <s v="BOTH #N/A"/>
    <x v="18"/>
    <s v="Dollar Index"/>
    <x v="9"/>
    <x v="2"/>
    <x v="191"/>
  </r>
  <r>
    <x v="146"/>
    <s v="North Korea Tensions - Escalating Military Conflict         "/>
    <n v="2401"/>
    <s v="Aggressive North Korean retaliation leads to a generalized military conflict"/>
    <x v="904"/>
    <s v="Korea KOSPI Comp"/>
    <s v="Equity Implied Volatility"/>
    <s v="KOSPI"/>
    <s v="Equity Implied Volatility"/>
    <s v="OK"/>
    <x v="1"/>
    <s v="Index Level"/>
    <x v="1"/>
    <x v="1"/>
    <x v="142"/>
  </r>
  <r>
    <x v="146"/>
    <s v="North Korea Tensions - Escalating Military Conflict         "/>
    <n v="2401"/>
    <s v="Aggressive North Korean retaliation leads to a generalized military conflict"/>
    <x v="883"/>
    <s v="Global HY 5"/>
    <s v="Corporate HY Other - Maturity"/>
    <s v="ALL_GLB_CORP_HY_5Y"/>
    <s v="Corporate HY Other - Maturity"/>
    <s v="OK"/>
    <x v="36"/>
    <s v="Spread Yield"/>
    <x v="5"/>
    <x v="4"/>
    <x v="118"/>
  </r>
  <r>
    <x v="146"/>
    <s v="North Korea Tensions - Escalating Military Conflict         "/>
    <n v="2401"/>
    <s v="Aggressive North Korean retaliation leads to a generalized military conflict"/>
    <x v="905"/>
    <s v="Aerospace &amp; Defense"/>
    <s v="Industrials"/>
    <s v="FMI_WRLD_INDAIRDEF"/>
    <s v="Industrials"/>
    <s v="OK"/>
    <x v="4"/>
    <s v="Industry Return  "/>
    <x v="4"/>
    <x v="1"/>
    <x v="165"/>
  </r>
  <r>
    <x v="146"/>
    <s v="North Korea Tensions - Escalating Military Conflict         "/>
    <n v="2401"/>
    <s v="Aggressive North Korean retaliation leads to a generalized military conflict"/>
    <x v="906"/>
    <s v="Volatility"/>
    <s v="Volatility"/>
    <s v="FMI_WRLD_VOLATILITY"/>
    <s v="Volatility"/>
    <s v="OK"/>
    <x v="55"/>
    <s v="Style Return  "/>
    <x v="13"/>
    <x v="1"/>
    <x v="224"/>
  </r>
  <r>
    <x v="146"/>
    <s v="North Korea Tensions - Escalating Military Conflict         "/>
    <n v="2401"/>
    <s v="Aggressive North Korean retaliation leads to a generalized military conflict"/>
    <x v="907"/>
    <s v="Asia Corp HY"/>
    <s v="Corporate HY USD - Industry"/>
    <s v="USD_ASIA_CORP_HY"/>
    <s v="Corporate HY USD - Industry"/>
    <s v="OK"/>
    <x v="6"/>
    <s v="Spread Yield"/>
    <x v="5"/>
    <x v="4"/>
    <x v="130"/>
  </r>
  <r>
    <x v="146"/>
    <s v="North Korea Tensions - Escalating Military Conflict         "/>
    <n v="2401"/>
    <s v="Aggressive North Korean retaliation leads to a generalized military conflict"/>
    <x v="908"/>
    <s v="MSCI EUROPE(EUR)"/>
    <s v="Equity Implied Volatility"/>
    <s v="EUROPEEUR"/>
    <e v="#N/A"/>
    <s v="OK"/>
    <x v="1"/>
    <s v="Index Level"/>
    <x v="1"/>
    <x v="1"/>
    <x v="125"/>
  </r>
  <r>
    <x v="146"/>
    <s v="North Korea Tensions - Escalating Military Conflict         "/>
    <n v="2401"/>
    <s v="Aggressive North Korean retaliation leads to a generalized military conflict"/>
    <x v="909"/>
    <s v="Tsy 10Y"/>
    <s v="Govt USD"/>
    <s v="10Y"/>
    <e v="#N/A"/>
    <s v="OK"/>
    <x v="0"/>
    <s v="Yield  "/>
    <x v="0"/>
    <x v="0"/>
    <x v="105"/>
  </r>
  <r>
    <x v="147"/>
    <s v="North Korea conflict                                        "/>
    <n v="2206"/>
    <s v="US unilateral strikes result in limited North Korean retaliation"/>
    <x v="802"/>
    <s v="Tsy 10Y"/>
    <s v="Govt USD"/>
    <s v="USD_10yr"/>
    <s v="Govt USD"/>
    <s v="OK"/>
    <x v="0"/>
    <s v="Yield  "/>
    <x v="0"/>
    <x v="0"/>
    <x v="175"/>
  </r>
  <r>
    <x v="147"/>
    <s v="North Korea conflict                                        "/>
    <n v="2206"/>
    <s v="US unilateral strikes result in limited North Korean retaliation"/>
    <x v="910"/>
    <s v="KRW 10Y"/>
    <s v="Govt Emerging Markets"/>
    <s v="KRW_10yr"/>
    <s v="Govt Emerging Markets"/>
    <s v="OK"/>
    <x v="31"/>
    <s v="Yield  "/>
    <x v="0"/>
    <x v="0"/>
    <x v="132"/>
  </r>
  <r>
    <x v="147"/>
    <s v="North Korea conflict                                        "/>
    <n v="2206"/>
    <s v="US unilateral strikes result in limited North Korean retaliation"/>
    <x v="911"/>
    <s v="JPY/USD"/>
    <s v="JPY"/>
    <s v="JPY_FX_USD"/>
    <s v="JPY"/>
    <s v="OK"/>
    <x v="11"/>
    <s v="FX  "/>
    <x v="3"/>
    <x v="3"/>
    <x v="107"/>
  </r>
  <r>
    <x v="147"/>
    <s v="North Korea conflict                                        "/>
    <n v="2206"/>
    <s v="US unilateral strikes result in limited North Korean retaliation"/>
    <x v="912"/>
    <s v="KRWUSD"/>
    <e v="#N/A"/>
    <s v="KRW_FX_USD"/>
    <s v="Emerging Currency"/>
    <s v="OK"/>
    <x v="3"/>
    <s v="FX  "/>
    <x v="3"/>
    <x v="3"/>
    <x v="116"/>
  </r>
  <r>
    <x v="147"/>
    <s v="North Korea conflict                                        "/>
    <n v="2206"/>
    <s v="US unilateral strikes result in limited North Korean retaliation"/>
    <x v="913"/>
    <s v="S&amp;P 500"/>
    <s v="Equity Implied Volatility"/>
    <s v="SPX"/>
    <s v="Equity Implied Volatility"/>
    <s v="OK"/>
    <x v="1"/>
    <s v="Index Level"/>
    <x v="1"/>
    <x v="1"/>
    <x v="162"/>
  </r>
  <r>
    <x v="147"/>
    <s v="North Korea conflict                                        "/>
    <n v="2206"/>
    <s v="US unilateral strikes result in limited North Korean retaliation"/>
    <x v="914"/>
    <s v="Singapore StraitsTms"/>
    <s v="Equity Implied Volatility"/>
    <s v="STI"/>
    <s v="Equity Implied Volatility"/>
    <s v="OK"/>
    <x v="1"/>
    <s v="Index Level"/>
    <x v="1"/>
    <x v="1"/>
    <x v="122"/>
  </r>
  <r>
    <x v="147"/>
    <s v="North Korea conflict                                        "/>
    <n v="2206"/>
    <s v="US unilateral strikes result in limited North Korean retaliation"/>
    <x v="915"/>
    <s v="Korea KOSPI Comp"/>
    <s v="Equity Implied Volatility"/>
    <s v="KOSPI"/>
    <s v="Equity Implied Volatility"/>
    <s v="OK"/>
    <x v="1"/>
    <s v="Index Level"/>
    <x v="1"/>
    <x v="1"/>
    <x v="159"/>
  </r>
  <r>
    <x v="147"/>
    <s v="North Korea conflict                                        "/>
    <n v="2206"/>
    <s v="US unilateral strikes result in limited North Korean retaliation"/>
    <x v="916"/>
    <s v="Transportation"/>
    <s v="Industrials"/>
    <s v="FMI_APXJ_INDTRAN"/>
    <e v="#N/A"/>
    <s v="OK"/>
    <x v="4"/>
    <s v="Industry Return  "/>
    <x v="4"/>
    <x v="1"/>
    <x v="113"/>
  </r>
  <r>
    <x v="147"/>
    <s v="North Korea conflict                                        "/>
    <n v="2206"/>
    <s v="US unilateral strikes result in limited North Korean retaliation"/>
    <x v="917"/>
    <s v="Asia Corp HY"/>
    <s v="Corporate HY USD - Industry"/>
    <s v="USD_ASIA_CORP_HY"/>
    <s v="Corporate HY USD - Industry"/>
    <s v="OK"/>
    <x v="6"/>
    <s v="Spread Yield"/>
    <x v="5"/>
    <x v="4"/>
    <x v="118"/>
  </r>
  <r>
    <x v="148"/>
    <s v="BREXIT - No-Deal Exit Looms                                 "/>
    <n v="2538"/>
    <s v="No-Deal Exit Looms: A UK political crisis leads markets to price in a significantly increased probability of a no-deal Brexit. The scenario proposes a strong negative impact on UK risk assets and sterling."/>
    <x v="918"/>
    <s v="GBP 2Y"/>
    <s v="Govt Developed Other (AU, GB, JP, ...)"/>
    <s v="GBP_2yr"/>
    <s v="Govt Developed Other (AU, GB, JP, ...)"/>
    <s v="OK"/>
    <x v="10"/>
    <s v="Yield  "/>
    <x v="0"/>
    <x v="0"/>
    <x v="176"/>
  </r>
  <r>
    <x v="148"/>
    <s v="BREXIT - No-Deal Exit Looms                                 "/>
    <n v="2538"/>
    <s v="No-Deal Exit Looms: A UK political crisis leads markets to price in a significantly increased probability of a no-deal Brexit. The scenario proposes a strong negative impact on UK risk assets and sterling."/>
    <x v="919"/>
    <s v="GBP 10Y"/>
    <s v="Govt Developed Other (AU, GB, JP, ...)"/>
    <s v="GBP_10yr"/>
    <s v="Govt Developed Other (AU, GB, JP, ...)"/>
    <s v="OK"/>
    <x v="10"/>
    <s v="Yield  "/>
    <x v="0"/>
    <x v="0"/>
    <x v="197"/>
  </r>
  <r>
    <x v="148"/>
    <s v="BREXIT - No-Deal Exit Looms                                 "/>
    <n v="2538"/>
    <s v="No-Deal Exit Looms: A UK political crisis leads markets to price in a significantly increased probability of a no-deal Brexit. The scenario proposes a strong negative impact on UK risk assets and sterling."/>
    <x v="521"/>
    <s v="EUR/USD"/>
    <s v="EUR"/>
    <s v="EUR_FX_USD"/>
    <s v="EUR"/>
    <s v="OK"/>
    <x v="13"/>
    <s v="FX  "/>
    <x v="3"/>
    <x v="3"/>
    <x v="113"/>
  </r>
  <r>
    <x v="148"/>
    <s v="BREXIT - No-Deal Exit Looms                                 "/>
    <n v="2538"/>
    <s v="No-Deal Exit Looms: A UK political crisis leads markets to price in a significantly increased probability of a no-deal Brexit. The scenario proposes a strong negative impact on UK risk assets and sterling."/>
    <x v="920"/>
    <s v="GBPUSD"/>
    <e v="#N/A"/>
    <s v="GBP_FX_USD"/>
    <s v="GBP"/>
    <s v="OK"/>
    <x v="14"/>
    <s v="FX  "/>
    <x v="3"/>
    <x v="3"/>
    <x v="106"/>
  </r>
  <r>
    <x v="148"/>
    <s v="BREXIT - No-Deal Exit Looms                                 "/>
    <n v="2538"/>
    <s v="No-Deal Exit Looms: A UK political crisis leads markets to price in a significantly increased probability of a no-deal Brexit. The scenario proposes a strong negative impact on UK risk assets and sterling."/>
    <x v="921"/>
    <s v="GBP INF 2Y"/>
    <s v="Other - Inflation"/>
    <s v="GBP_INF_2yr"/>
    <s v="Other - Inflation"/>
    <s v="OK"/>
    <x v="52"/>
    <s v="Yield  "/>
    <x v="7"/>
    <x v="2"/>
    <x v="176"/>
  </r>
  <r>
    <x v="148"/>
    <s v="BREXIT - No-Deal Exit Looms                                 "/>
    <n v="2538"/>
    <s v="No-Deal Exit Looms: A UK political crisis leads markets to price in a significantly increased probability of a no-deal Brexit. The scenario proposes a strong negative impact on UK risk assets and sterling."/>
    <x v="922"/>
    <s v="FTSE 100"/>
    <s v="Equity Implied Volatility"/>
    <s v="UKX"/>
    <s v="Equity Implied Volatility"/>
    <s v="OK"/>
    <x v="1"/>
    <s v="Index Level"/>
    <x v="1"/>
    <x v="1"/>
    <x v="122"/>
  </r>
  <r>
    <x v="148"/>
    <s v="BREXIT - No-Deal Exit Looms                                 "/>
    <n v="2538"/>
    <s v="No-Deal Exit Looms: A UK political crisis leads markets to price in a significantly increased probability of a no-deal Brexit. The scenario proposes a strong negative impact on UK risk assets and sterling."/>
    <x v="923"/>
    <s v="MS Emerging Mkts"/>
    <s v="Equity Implied Volatility"/>
    <s v="MXEF"/>
    <s v="Equity Implied Volatility"/>
    <s v="OK"/>
    <x v="1"/>
    <s v="Index Level"/>
    <x v="1"/>
    <x v="1"/>
    <x v="159"/>
  </r>
  <r>
    <x v="148"/>
    <s v="BREXIT - No-Deal Exit Looms                                 "/>
    <n v="2538"/>
    <s v="No-Deal Exit Looms: A UK political crisis leads markets to price in a significantly increased probability of a no-deal Brexit. The scenario proposes a strong negative impact on UK risk assets and sterling."/>
    <x v="673"/>
    <s v="MSCI World Net TR"/>
    <s v="Equity Implied Volatility"/>
    <s v="MSCIWLDNET"/>
    <s v="Equity Implied Volatility"/>
    <s v="OK"/>
    <x v="1"/>
    <s v="Index Level"/>
    <x v="1"/>
    <x v="1"/>
    <x v="191"/>
  </r>
  <r>
    <x v="148"/>
    <s v="BREXIT - No-Deal Exit Looms                                 "/>
    <n v="2538"/>
    <s v="No-Deal Exit Looms: A UK political crisis leads markets to price in a significantly increased probability of a no-deal Brexit. The scenario proposes a strong negative impact on UK risk assets and sterling."/>
    <x v="924"/>
    <s v="EU Credit IG"/>
    <s v="Corporate IG EUR - Other"/>
    <s v="EUR_LEH_CREDIT"/>
    <s v="Corporate IG EUR - Other"/>
    <s v="OK"/>
    <x v="45"/>
    <s v="Spread Yield"/>
    <x v="5"/>
    <x v="4"/>
    <x v="135"/>
  </r>
  <r>
    <x v="148"/>
    <s v="BREXIT - No-Deal Exit Looms                                 "/>
    <n v="2538"/>
    <s v="No-Deal Exit Looms: A UK political crisis leads markets to price in a significantly increased probability of a no-deal Brexit. The scenario proposes a strong negative impact on UK risk assets and sterling."/>
    <x v="925"/>
    <s v="UK Credit"/>
    <s v="Corporate IG Other - Other"/>
    <s v="GBP_LEH_CREDIT"/>
    <s v="Corporate IG Other - Other"/>
    <s v="OK"/>
    <x v="15"/>
    <s v="Spread Yield"/>
    <x v="5"/>
    <x v="4"/>
    <x v="108"/>
  </r>
  <r>
    <x v="148"/>
    <s v="BREXIT - No-Deal Exit Looms                                 "/>
    <n v="2538"/>
    <s v="No-Deal Exit Looms: A UK political crisis leads markets to price in a significantly increased probability of a no-deal Brexit. The scenario proposes a strong negative impact on UK risk assets and sterling."/>
    <x v="926"/>
    <s v="UK Banking"/>
    <s v="Corporate IG Other - Industry"/>
    <s v="GBP_BANKBROK_IG_V3"/>
    <s v="Corporate IG Other - Industry"/>
    <s v="OK"/>
    <x v="54"/>
    <s v="Spread Yield"/>
    <x v="5"/>
    <x v="4"/>
    <x v="130"/>
  </r>
  <r>
    <x v="148"/>
    <s v="BREXIT - No-Deal Exit Looms                                 "/>
    <n v="2538"/>
    <s v="No-Deal Exit Looms: A UK political crisis leads markets to price in a significantly increased probability of a no-deal Brexit. The scenario proposes a strong negative impact on UK risk assets and sterling."/>
    <x v="927"/>
    <s v="Pan Euro RMBS UK Prime"/>
    <s v="ABS - Swap Spread"/>
    <s v="EUR_ERMBS_GB_P"/>
    <s v="ABS - Swap Spread"/>
    <s v="OK"/>
    <x v="27"/>
    <s v="Spread Yield"/>
    <x v="2"/>
    <x v="2"/>
    <x v="138"/>
  </r>
  <r>
    <x v="148"/>
    <s v="BREXIT - No-Deal Exit Looms                                 "/>
    <n v="2538"/>
    <s v="No-Deal Exit Looms: A UK political crisis leads markets to price in a significantly increased probability of a no-deal Brexit. The scenario proposes a strong negative impact on UK risk assets and sterling."/>
    <x v="282"/>
    <s v="Time"/>
    <e v="#N/A"/>
    <s v="ALL_TIME"/>
    <e v="#N/A"/>
    <s v="BOTH #N/A"/>
    <x v="64"/>
    <s v="Time "/>
    <x v="8"/>
    <x v="2"/>
    <x v="115"/>
  </r>
  <r>
    <x v="148"/>
    <s v="BREXIT - No-Deal Exit Looms                                 "/>
    <n v="2538"/>
    <s v="No-Deal Exit Looms: A UK political crisis leads markets to price in a significantly increased probability of a no-deal Brexit. The scenario proposes a strong negative impact on UK risk assets and sterling."/>
    <x v="928"/>
    <s v="FTSE All Share"/>
    <s v="Equity Implied Volatility"/>
    <s v="Share"/>
    <e v="#N/A"/>
    <s v="OK"/>
    <x v="1"/>
    <s v="Index Level"/>
    <x v="1"/>
    <x v="1"/>
    <x v="225"/>
  </r>
  <r>
    <x v="149"/>
    <s v="Higher Infl &amp; Climate Policy-Bumpy Energy Rebalance(12/2021)"/>
    <n v="2466"/>
    <s v="Bumpy Energy Rebalance: As governments and corporates commit to more aggressive net-zero targets, a supply-demand shock triggered by an unusually cold winter drives inflation up, although not enough to derail the broader economic restart."/>
    <x v="413"/>
    <s v="Tsy 2Y"/>
    <s v="Govt USD"/>
    <s v="USD_2yr"/>
    <s v="Govt USD"/>
    <s v="OK"/>
    <x v="0"/>
    <s v="Yield  "/>
    <x v="0"/>
    <x v="0"/>
    <x v="127"/>
  </r>
  <r>
    <x v="149"/>
    <s v="Higher Infl &amp; Climate Policy-Bumpy Energy Rebalance(12/2021)"/>
    <n v="2466"/>
    <s v="Bumpy Energy Rebalance: As governments and corporates commit to more aggressive net-zero targets, a supply-demand shock triggered by an unusually cold winter drives inflation up, although not enough to derail the broader economic restart."/>
    <x v="429"/>
    <s v="Tsy 10Y"/>
    <s v="Govt USD"/>
    <s v="USD_10yr"/>
    <s v="Govt USD"/>
    <s v="OK"/>
    <x v="0"/>
    <s v="Yield  "/>
    <x v="0"/>
    <x v="0"/>
    <x v="118"/>
  </r>
  <r>
    <x v="149"/>
    <s v="Higher Infl &amp; Climate Policy-Bumpy Energy Rebalance(12/2021)"/>
    <n v="2466"/>
    <s v="Bumpy Energy Rebalance: As governments and corporates commit to more aggressive net-zero targets, a supply-demand shock triggered by an unusually cold winter drives inflation up, although not enough to derail the broader economic restart."/>
    <x v="929"/>
    <s v="Tsy 30Y"/>
    <s v="Govt USD"/>
    <s v="USD_30yr"/>
    <s v="Govt USD"/>
    <s v="OK"/>
    <x v="0"/>
    <s v="Yield  "/>
    <x v="0"/>
    <x v="0"/>
    <x v="108"/>
  </r>
  <r>
    <x v="149"/>
    <s v="Higher Infl &amp; Climate Policy-Bumpy Energy Rebalance(12/2021)"/>
    <n v="2466"/>
    <s v="Bumpy Energy Rebalance: As governments and corporates commit to more aggressive net-zero targets, a supply-demand shock triggered by an unusually cold winter drives inflation up, although not enough to derail the broader economic restart."/>
    <x v="930"/>
    <s v="USD INF 10Y"/>
    <s v="USD Inflation"/>
    <s v="USD_INF_10yr"/>
    <s v="USD Inflation"/>
    <s v="OK"/>
    <x v="8"/>
    <s v="Yield  "/>
    <x v="6"/>
    <x v="2"/>
    <x v="137"/>
  </r>
  <r>
    <x v="149"/>
    <s v="Higher Infl &amp; Climate Policy-Bumpy Energy Rebalance(12/2021)"/>
    <n v="2466"/>
    <s v="Bumpy Energy Rebalance: As governments and corporates commit to more aggressive net-zero targets, a supply-demand shock triggered by an unusually cold winter drives inflation up, although not enough to derail the broader economic restart."/>
    <x v="931"/>
    <s v="Brent Crude ICE 1"/>
    <s v="Alternative - Commodity"/>
    <s v="USD_COMD_CO_1"/>
    <s v="Alternative - Commodity"/>
    <s v="OK"/>
    <x v="2"/>
    <s v="Price Level  "/>
    <x v="2"/>
    <x v="2"/>
    <x v="226"/>
  </r>
  <r>
    <x v="149"/>
    <s v="Higher Infl &amp; Climate Policy-Bumpy Energy Rebalance(12/2021)"/>
    <n v="2466"/>
    <s v="Bumpy Energy Rebalance: As governments and corporates commit to more aggressive net-zero targets, a supply-demand shock triggered by an unusually cold winter drives inflation up, although not enough to derail the broader economic restart."/>
    <x v="932"/>
    <s v="Natural gas NYME 1"/>
    <s v="Alternative - Commodity"/>
    <s v="USD_COMD_NG_1"/>
    <s v="Alternative - Commodity"/>
    <s v="OK"/>
    <x v="2"/>
    <s v="Price Level  "/>
    <x v="2"/>
    <x v="2"/>
    <x v="226"/>
  </r>
  <r>
    <x v="149"/>
    <s v="Higher Infl &amp; Climate Policy-Bumpy Energy Rebalance(12/2021)"/>
    <n v="2466"/>
    <s v="Bumpy Energy Rebalance: As governments and corporates commit to more aggressive net-zero targets, a supply-demand shock triggered by an unusually cold winter drives inflation up, although not enough to derail the broader economic restart."/>
    <x v="933"/>
    <s v="Coal ICE Rotters 1"/>
    <s v="Alternative - Commodity"/>
    <s v="USD_COMD_XA_1"/>
    <s v="Alternative - Commodity"/>
    <s v="OK"/>
    <x v="2"/>
    <s v="Price Level  "/>
    <x v="2"/>
    <x v="2"/>
    <x v="194"/>
  </r>
  <r>
    <x v="149"/>
    <s v="Higher Infl &amp; Climate Policy-Bumpy Energy Rebalance(12/2021)"/>
    <n v="2466"/>
    <s v="Bumpy Energy Rebalance: As governments and corporates commit to more aggressive net-zero targets, a supply-demand shock triggered by an unusually cold winter drives inflation up, although not enough to derail the broader economic restart."/>
    <x v="934"/>
    <s v="US IG Market"/>
    <s v="Corporate IG USD - Market"/>
    <s v="USD_IG_MARKET_SF"/>
    <s v="Corporate IG USD - Market"/>
    <s v="OK"/>
    <x v="49"/>
    <s v="Spread Yield"/>
    <x v="5"/>
    <x v="4"/>
    <x v="138"/>
  </r>
  <r>
    <x v="149"/>
    <s v="Higher Infl &amp; Climate Policy-Bumpy Energy Rebalance(12/2021)"/>
    <n v="2466"/>
    <s v="Bumpy Energy Rebalance: As governments and corporates commit to more aggressive net-zero targets, a supply-demand shock triggered by an unusually cold winter drives inflation up, although not enough to derail the broader economic restart."/>
    <x v="311"/>
    <s v="DXY"/>
    <e v="#N/A"/>
    <s v="DXY"/>
    <e v="#N/A"/>
    <s v="BOTH #N/A"/>
    <x v="18"/>
    <s v="Dollar Index"/>
    <x v="9"/>
    <x v="2"/>
    <x v="125"/>
  </r>
  <r>
    <x v="149"/>
    <s v="Higher Infl &amp; Climate Policy-Bumpy Energy Rebalance(12/2021)"/>
    <n v="2466"/>
    <s v="Bumpy Energy Rebalance: As governments and corporates commit to more aggressive net-zero targets, a supply-demand shock triggered by an unusually cold winter drives inflation up, although not enough to derail the broader economic restart."/>
    <x v="281"/>
    <s v="MSCI World Net TR"/>
    <s v="Equity Implied Volatility"/>
    <s v="MSCIWLDNET"/>
    <s v="Equity Implied Volatility"/>
    <s v="OK"/>
    <x v="1"/>
    <s v="Index Level"/>
    <x v="1"/>
    <x v="1"/>
    <x v="114"/>
  </r>
  <r>
    <x v="149"/>
    <s v="Higher Infl &amp; Climate Policy-Bumpy Energy Rebalance(12/2021)"/>
    <n v="2466"/>
    <s v="Bumpy Energy Rebalance: As governments and corporates commit to more aggressive net-zero targets, a supply-demand shock triggered by an unusually cold winter drives inflation up, although not enough to derail the broader economic restart."/>
    <x v="122"/>
    <s v="Time"/>
    <e v="#N/A"/>
    <s v="ALL_TIME"/>
    <e v="#N/A"/>
    <s v="BOTH #N/A"/>
    <x v="64"/>
    <s v="Time "/>
    <x v="8"/>
    <x v="2"/>
    <x v="151"/>
  </r>
  <r>
    <x v="149"/>
    <s v="Higher Infl &amp; Climate Policy-Bumpy Energy Rebalance(12/2021)"/>
    <n v="2466"/>
    <s v="Bumpy Energy Rebalance: As governments and corporates commit to more aggressive net-zero targets, a supply-demand shock triggered by an unusually cold winter drives inflation up, although not enough to derail the broader economic restart."/>
    <x v="935"/>
    <s v="Fuels Refining Storage  Trans"/>
    <e v="#N/A"/>
    <s v="FMI_WRLD_EGYINTSTR"/>
    <s v="Energy"/>
    <s v="OK"/>
    <x v="40"/>
    <s v="Industry Return  "/>
    <x v="4"/>
    <x v="1"/>
    <x v="148"/>
  </r>
  <r>
    <x v="149"/>
    <s v="Higher Infl &amp; Climate Policy-Bumpy Energy Rebalance(12/2021)"/>
    <n v="2466"/>
    <s v="Bumpy Energy Rebalance: As governments and corporates commit to more aggressive net-zero targets, a supply-demand shock triggered by an unusually cold winter drives inflation up, although not enough to derail the broader economic restart."/>
    <x v="936"/>
    <s v="Steel"/>
    <s v="Materials"/>
    <s v="FMI_WRLD_MATSTEEL"/>
    <s v="Materials"/>
    <s v="OK"/>
    <x v="7"/>
    <s v="Industry Return  "/>
    <x v="4"/>
    <x v="1"/>
    <x v="142"/>
  </r>
  <r>
    <x v="149"/>
    <s v="Higher Infl &amp; Climate Policy-Bumpy Energy Rebalance(12/2021)"/>
    <n v="2466"/>
    <s v="Bumpy Energy Rebalance: As governments and corporates commit to more aggressive net-zero targets, a supply-demand shock triggered by an unusually cold winter drives inflation up, although not enough to derail the broader economic restart."/>
    <x v="937"/>
    <s v="Transportation"/>
    <s v="Industrials"/>
    <s v="FMI_WRLD_INDTRAN"/>
    <s v="Industrials"/>
    <s v="OK"/>
    <x v="4"/>
    <s v="Industry Return  "/>
    <x v="4"/>
    <x v="1"/>
    <x v="106"/>
  </r>
  <r>
    <x v="149"/>
    <s v="Higher Infl &amp; Climate Policy-Bumpy Energy Rebalance(12/2021)"/>
    <n v="2466"/>
    <s v="Bumpy Energy Rebalance: As governments and corporates commit to more aggressive net-zero targets, a supply-demand shock triggered by an unusually cold winter drives inflation up, although not enough to derail the broader economic restart."/>
    <x v="938"/>
    <s v="US HY Market"/>
    <s v="Corporate HY USD - Other"/>
    <s v="USD_HY_MARKET_SF"/>
    <s v="Corporate HY USD - Other"/>
    <s v="OK"/>
    <x v="22"/>
    <s v="Spread Yield"/>
    <x v="5"/>
    <x v="4"/>
    <x v="149"/>
  </r>
  <r>
    <x v="149"/>
    <s v="Higher Infl &amp; Climate Policy-Bumpy Energy Rebalance(12/2021)"/>
    <n v="2466"/>
    <s v="Bumpy Energy Rebalance: As governments and corporates commit to more aggressive net-zero targets, a supply-demand shock triggered by an unusually cold winter drives inflation up, although not enough to derail the broader economic restart."/>
    <x v="939"/>
    <s v="US HY Metals"/>
    <s v="Corporate HY USD - Industry"/>
    <s v="Metals"/>
    <e v="#N/A"/>
    <s v="OK"/>
    <x v="6"/>
    <s v="Spread Yield"/>
    <x v="5"/>
    <x v="4"/>
    <x v="118"/>
  </r>
  <r>
    <x v="150"/>
    <s v="Higher Infl &amp; Climate Policy-Tipping Pt Stagflation(12/2021)"/>
    <n v="2467"/>
    <s v="Tipping Point Stagflation: Increased demand for cleaner alternatives to coal such as natural gas, along with shortages in Europe going into a colder winter, stretch global energy supply chains. Coupled with slower growth, stagflation sets in."/>
    <x v="940"/>
    <s v="Tsy 2Y"/>
    <s v="Govt USD"/>
    <s v="USD_2yr"/>
    <s v="Govt USD"/>
    <s v="OK"/>
    <x v="0"/>
    <s v="Yield  "/>
    <x v="0"/>
    <x v="0"/>
    <x v="108"/>
  </r>
  <r>
    <x v="150"/>
    <s v="Higher Infl &amp; Climate Policy-Tipping Pt Stagflation(12/2021)"/>
    <n v="2467"/>
    <s v="Tipping Point Stagflation: Increased demand for cleaner alternatives to coal such as natural gas, along with shortages in Europe going into a colder winter, stretch global energy supply chains. Coupled with slower growth, stagflation sets in."/>
    <x v="580"/>
    <s v="Tsy 10Y"/>
    <s v="Govt USD"/>
    <s v="USD_10yr"/>
    <s v="Govt USD"/>
    <s v="OK"/>
    <x v="0"/>
    <s v="Yield  "/>
    <x v="0"/>
    <x v="0"/>
    <x v="135"/>
  </r>
  <r>
    <x v="150"/>
    <s v="Higher Infl &amp; Climate Policy-Tipping Pt Stagflation(12/2021)"/>
    <n v="2467"/>
    <s v="Tipping Point Stagflation: Increased demand for cleaner alternatives to coal such as natural gas, along with shortages in Europe going into a colder winter, stretch global energy supply chains. Coupled with slower growth, stagflation sets in."/>
    <x v="941"/>
    <s v="Tsy 30Y"/>
    <s v="Govt USD"/>
    <s v="USD_30yr"/>
    <s v="Govt USD"/>
    <s v="OK"/>
    <x v="0"/>
    <s v="Yield  "/>
    <x v="0"/>
    <x v="0"/>
    <x v="134"/>
  </r>
  <r>
    <x v="150"/>
    <s v="Higher Infl &amp; Climate Policy-Tipping Pt Stagflation(12/2021)"/>
    <n v="2467"/>
    <s v="Tipping Point Stagflation: Increased demand for cleaner alternatives to coal such as natural gas, along with shortages in Europe going into a colder winter, stretch global energy supply chains. Coupled with slower growth, stagflation sets in."/>
    <x v="632"/>
    <s v="USD INF 2Y"/>
    <s v="USD Inflation"/>
    <s v="USD_INF_2yr"/>
    <s v="USD Inflation"/>
    <s v="OK"/>
    <x v="8"/>
    <s v="Yield  "/>
    <x v="6"/>
    <x v="2"/>
    <x v="176"/>
  </r>
  <r>
    <x v="150"/>
    <s v="Higher Infl &amp; Climate Policy-Tipping Pt Stagflation(12/2021)"/>
    <n v="2467"/>
    <s v="Tipping Point Stagflation: Increased demand for cleaner alternatives to coal such as natural gas, along with shortages in Europe going into a colder winter, stretch global energy supply chains. Coupled with slower growth, stagflation sets in."/>
    <x v="942"/>
    <s v="Brent Crude ICE 1"/>
    <s v="Alternative - Commodity"/>
    <s v="USD_COMD_CO_1"/>
    <s v="Alternative - Commodity"/>
    <s v="OK"/>
    <x v="2"/>
    <s v="Price Level  "/>
    <x v="2"/>
    <x v="2"/>
    <x v="227"/>
  </r>
  <r>
    <x v="150"/>
    <s v="Higher Infl &amp; Climate Policy-Tipping Pt Stagflation(12/2021)"/>
    <n v="2467"/>
    <s v="Tipping Point Stagflation: Increased demand for cleaner alternatives to coal such as natural gas, along with shortages in Europe going into a colder winter, stretch global energy supply chains. Coupled with slower growth, stagflation sets in."/>
    <x v="479"/>
    <s v="Gold COMEX 1"/>
    <s v="Alternative - Commodity"/>
    <s v="USD_COMD_GC_1"/>
    <s v="Alternative - Commodity"/>
    <s v="OK"/>
    <x v="2"/>
    <s v="Price Level  "/>
    <x v="2"/>
    <x v="2"/>
    <x v="126"/>
  </r>
  <r>
    <x v="150"/>
    <s v="Higher Infl &amp; Climate Policy-Tipping Pt Stagflation(12/2021)"/>
    <n v="2467"/>
    <s v="Tipping Point Stagflation: Increased demand for cleaner alternatives to coal such as natural gas, along with shortages in Europe going into a colder winter, stretch global energy supply chains. Coupled with slower growth, stagflation sets in."/>
    <x v="943"/>
    <s v="US IG Market"/>
    <s v="Corporate IG USD - Market"/>
    <s v="USD_IG_MARKET_SF"/>
    <s v="Corporate IG USD - Market"/>
    <s v="OK"/>
    <x v="49"/>
    <s v="Spread Yield"/>
    <x v="5"/>
    <x v="4"/>
    <x v="145"/>
  </r>
  <r>
    <x v="150"/>
    <s v="Higher Infl &amp; Climate Policy-Tipping Pt Stagflation(12/2021)"/>
    <n v="2467"/>
    <s v="Tipping Point Stagflation: Increased demand for cleaner alternatives to coal such as natural gas, along with shortages in Europe going into a colder winter, stretch global energy supply chains. Coupled with slower growth, stagflation sets in."/>
    <x v="452"/>
    <s v="EUR/USD"/>
    <s v="EUR"/>
    <s v="EUR_FX_USD"/>
    <s v="EUR"/>
    <s v="OK"/>
    <x v="13"/>
    <s v="FX  "/>
    <x v="3"/>
    <x v="3"/>
    <x v="122"/>
  </r>
  <r>
    <x v="150"/>
    <s v="Higher Infl &amp; Climate Policy-Tipping Pt Stagflation(12/2021)"/>
    <n v="2467"/>
    <s v="Tipping Point Stagflation: Increased demand for cleaner alternatives to coal such as natural gas, along with shortages in Europe going into a colder winter, stretch global energy supply chains. Coupled with slower growth, stagflation sets in."/>
    <x v="944"/>
    <s v="EUR INF 2Y"/>
    <s v="EUR Inflation"/>
    <s v="EUR_INF_2yr"/>
    <s v="EUR Inflation"/>
    <s v="OK"/>
    <x v="48"/>
    <s v="Yield  "/>
    <x v="6"/>
    <x v="2"/>
    <x v="176"/>
  </r>
  <r>
    <x v="150"/>
    <s v="Higher Infl &amp; Climate Policy-Tipping Pt Stagflation(12/2021)"/>
    <n v="2467"/>
    <s v="Tipping Point Stagflation: Increased demand for cleaner alternatives to coal such as natural gas, along with shortages in Europe going into a colder winter, stretch global energy supply chains. Coupled with slower growth, stagflation sets in."/>
    <x v="945"/>
    <s v="MSCI World Net TR"/>
    <s v="Equity Implied Volatility"/>
    <s v="MSCIWLDNET"/>
    <s v="Equity Implied Volatility"/>
    <s v="OK"/>
    <x v="1"/>
    <s v="Index Level"/>
    <x v="1"/>
    <x v="1"/>
    <x v="142"/>
  </r>
  <r>
    <x v="150"/>
    <s v="Higher Infl &amp; Climate Policy-Tipping Pt Stagflation(12/2021)"/>
    <n v="2467"/>
    <s v="Tipping Point Stagflation: Increased demand for cleaner alternatives to coal such as natural gas, along with shortages in Europe going into a colder winter, stretch global energy supply chains. Coupled with slower growth, stagflation sets in."/>
    <x v="122"/>
    <s v="Time"/>
    <e v="#N/A"/>
    <s v="ALL_TIME"/>
    <e v="#N/A"/>
    <s v="BOTH #N/A"/>
    <x v="64"/>
    <s v="Time "/>
    <x v="8"/>
    <x v="2"/>
    <x v="151"/>
  </r>
  <r>
    <x v="150"/>
    <s v="Higher Infl &amp; Climate Policy-Tipping Pt Stagflation(12/2021)"/>
    <n v="2467"/>
    <s v="Tipping Point Stagflation: Increased demand for cleaner alternatives to coal such as natural gas, along with shortages in Europe going into a colder winter, stretch global energy supply chains. Coupled with slower growth, stagflation sets in."/>
    <x v="946"/>
    <s v="Transportation"/>
    <s v="Industrials"/>
    <s v="FMI_WRLD_INDTRAN"/>
    <s v="Industrials"/>
    <s v="OK"/>
    <x v="4"/>
    <s v="Industry Return  "/>
    <x v="4"/>
    <x v="1"/>
    <x v="122"/>
  </r>
  <r>
    <x v="150"/>
    <s v="Higher Infl &amp; Climate Policy-Tipping Pt Stagflation(12/2021)"/>
    <n v="2467"/>
    <s v="Tipping Point Stagflation: Increased demand for cleaner alternatives to coal such as natural gas, along with shortages in Europe going into a colder winter, stretch global energy supply chains. Coupled with slower growth, stagflation sets in."/>
    <x v="947"/>
    <s v="Dist Net Catalog Multi Retail"/>
    <s v="Consumer Discretionary"/>
    <s v="FMI_WRLD_CDIDISTNET"/>
    <s v="Consumer Discretionary"/>
    <s v="OK"/>
    <x v="23"/>
    <s v="Industry Return  "/>
    <x v="4"/>
    <x v="1"/>
    <x v="122"/>
  </r>
  <r>
    <x v="150"/>
    <s v="Higher Infl &amp; Climate Policy-Tipping Pt Stagflation(12/2021)"/>
    <n v="2467"/>
    <s v="Tipping Point Stagflation: Increased demand for cleaner alternatives to coal such as natural gas, along with shortages in Europe going into a colder winter, stretch global energy supply chains. Coupled with slower growth, stagflation sets in."/>
    <x v="948"/>
    <s v="EMBIG DxS"/>
    <s v="Spread Emerging Markets - Country"/>
    <s v="USD_EM_DS_G"/>
    <s v="Spread Emerging Markets - Country"/>
    <s v="OK"/>
    <x v="29"/>
    <s v="Spread Yield"/>
    <x v="5"/>
    <x v="4"/>
    <x v="163"/>
  </r>
  <r>
    <x v="150"/>
    <s v="Higher Infl &amp; Climate Policy-Tipping Pt Stagflation(12/2021)"/>
    <n v="2467"/>
    <s v="Tipping Point Stagflation: Increased demand for cleaner alternatives to coal such as natural gas, along with shortages in Europe going into a colder winter, stretch global energy supply chains. Coupled with slower growth, stagflation sets in."/>
    <x v="949"/>
    <s v="US HY Market"/>
    <s v="Corporate HY USD - Other"/>
    <s v="USD_HY_MARKET_SF"/>
    <s v="Corporate HY USD - Other"/>
    <s v="OK"/>
    <x v="22"/>
    <s v="Spread Yield"/>
    <x v="5"/>
    <x v="4"/>
    <x v="163"/>
  </r>
  <r>
    <x v="151"/>
    <s v="Uncertain Future of Oil - Long-Term Supply Squeeze          "/>
    <n v="2524"/>
    <s v="Continuous underinvestment in technology and equipment by oil-producing companies leads to less optimal production processes and a long-term supply squeeze"/>
    <x v="429"/>
    <s v="Tsy 10Y"/>
    <s v="Govt USD"/>
    <s v="USD_10yr"/>
    <s v="Govt USD"/>
    <s v="OK"/>
    <x v="0"/>
    <s v="Yield  "/>
    <x v="0"/>
    <x v="0"/>
    <x v="118"/>
  </r>
  <r>
    <x v="151"/>
    <s v="Uncertain Future of Oil - Long-Term Supply Squeeze          "/>
    <n v="2524"/>
    <s v="Continuous underinvestment in technology and equipment by oil-producing companies leads to less optimal production processes and a long-term supply squeeze"/>
    <x v="930"/>
    <s v="USD INF 10Y"/>
    <s v="USD Inflation"/>
    <s v="USD_INF_10yr"/>
    <s v="USD Inflation"/>
    <s v="OK"/>
    <x v="8"/>
    <s v="Yield  "/>
    <x v="6"/>
    <x v="2"/>
    <x v="137"/>
  </r>
  <r>
    <x v="151"/>
    <s v="Uncertain Future of Oil - Long-Term Supply Squeeze          "/>
    <n v="2524"/>
    <s v="Continuous underinvestment in technology and equipment by oil-producing companies leads to less optimal production processes and a long-term supply squeeze"/>
    <x v="950"/>
    <s v="Brent Crude ICE 1"/>
    <s v="Alternative - Commodity"/>
    <s v="USD_COMD_CO_1"/>
    <s v="Alternative - Commodity"/>
    <s v="OK"/>
    <x v="2"/>
    <s v="Price Level  "/>
    <x v="2"/>
    <x v="2"/>
    <x v="189"/>
  </r>
  <r>
    <x v="151"/>
    <s v="Uncertain Future of Oil - Long-Term Supply Squeeze          "/>
    <n v="2524"/>
    <s v="Continuous underinvestment in technology and equipment by oil-producing companies leads to less optimal production processes and a long-term supply squeeze"/>
    <x v="951"/>
    <s v="BRLUSD"/>
    <e v="#N/A"/>
    <s v="BRL_FX_USD"/>
    <s v="Emerging Currency"/>
    <s v="OK"/>
    <x v="3"/>
    <s v="FX  "/>
    <x v="3"/>
    <x v="3"/>
    <x v="228"/>
  </r>
  <r>
    <x v="151"/>
    <s v="Uncertain Future of Oil - Long-Term Supply Squeeze          "/>
    <n v="2524"/>
    <s v="Continuous underinvestment in technology and equipment by oil-producing companies leads to less optimal production processes and a long-term supply squeeze"/>
    <x v="952"/>
    <s v="Energy Equip Oil  Gas Exp"/>
    <e v="#N/A"/>
    <s v="FMI_WRLD_EQYEQEXP"/>
    <s v="Energy"/>
    <s v="OK"/>
    <x v="40"/>
    <s v="Industry Return  "/>
    <x v="4"/>
    <x v="1"/>
    <x v="126"/>
  </r>
  <r>
    <x v="151"/>
    <s v="Uncertain Future of Oil - Long-Term Supply Squeeze          "/>
    <n v="2524"/>
    <s v="Continuous underinvestment in technology and equipment by oil-producing companies leads to less optimal production processes and a long-term supply squeeze"/>
    <x v="953"/>
    <s v="Utilities"/>
    <s v="Utilities"/>
    <s v="FMI_WRLD_UTLUTIL"/>
    <s v="Utilities"/>
    <s v="OK"/>
    <x v="21"/>
    <s v="Industry Return  "/>
    <x v="4"/>
    <x v="1"/>
    <x v="128"/>
  </r>
  <r>
    <x v="151"/>
    <s v="Uncertain Future of Oil - Long-Term Supply Squeeze          "/>
    <n v="2524"/>
    <s v="Continuous underinvestment in technology and equipment by oil-producing companies leads to less optimal production processes and a long-term supply squeeze"/>
    <x v="954"/>
    <s v="US HY Oil Field Services"/>
    <s v="Corporate HY USD - Industry"/>
    <s v="USD_HY_OILM"/>
    <s v="Corporate HY USD - Industry"/>
    <s v="OK"/>
    <x v="6"/>
    <s v="Spread Yield"/>
    <x v="5"/>
    <x v="4"/>
    <x v="211"/>
  </r>
  <r>
    <x v="151"/>
    <s v="Uncertain Future of Oil - Long-Term Supply Squeeze          "/>
    <n v="2524"/>
    <s v="Continuous underinvestment in technology and equipment by oil-producing companies leads to less optimal production processes and a long-term supply squeeze"/>
    <x v="955"/>
    <s v="US HY Market"/>
    <s v="Corporate HY USD - Other"/>
    <s v="USD_HY_MARKET"/>
    <s v="Corporate HY USD - Other"/>
    <s v="OK"/>
    <x v="22"/>
    <s v="Spread Yield"/>
    <x v="5"/>
    <x v="4"/>
    <x v="193"/>
  </r>
  <r>
    <x v="152"/>
    <s v="Uncertain Future of Oil - Peak Demand                       "/>
    <n v="2522"/>
    <s v="Energy efficiency gains and substitution effects accelerate, causing a shift in expectations for future oil demand"/>
    <x v="161"/>
    <s v="Tsy 2Y"/>
    <s v="Govt USD"/>
    <s v="USD_2yr"/>
    <s v="Govt USD"/>
    <s v="OK"/>
    <x v="0"/>
    <s v="Yield  "/>
    <x v="0"/>
    <x v="0"/>
    <x v="135"/>
  </r>
  <r>
    <x v="152"/>
    <s v="Uncertain Future of Oil - Peak Demand                       "/>
    <n v="2522"/>
    <s v="Energy efficiency gains and substitution effects accelerate, causing a shift in expectations for future oil demand"/>
    <x v="118"/>
    <s v="Tsy 10Y"/>
    <s v="Govt USD"/>
    <s v="USD_10yr"/>
    <s v="Govt USD"/>
    <s v="OK"/>
    <x v="0"/>
    <s v="Yield  "/>
    <x v="0"/>
    <x v="0"/>
    <x v="132"/>
  </r>
  <r>
    <x v="152"/>
    <s v="Uncertain Future of Oil - Peak Demand                       "/>
    <n v="2522"/>
    <s v="Energy efficiency gains and substitution effects accelerate, causing a shift in expectations for future oil demand"/>
    <x v="956"/>
    <s v="Brent Crude ICE 1"/>
    <s v="Alternative - Commodity"/>
    <s v="USD_COMD_CO_1"/>
    <s v="Alternative - Commodity"/>
    <s v="OK"/>
    <x v="2"/>
    <s v="Price Level  "/>
    <x v="2"/>
    <x v="2"/>
    <x v="200"/>
  </r>
  <r>
    <x v="152"/>
    <s v="Uncertain Future of Oil - Peak Demand                       "/>
    <n v="2522"/>
    <s v="Energy efficiency gains and substitution effects accelerate, causing a shift in expectations for future oil demand"/>
    <x v="957"/>
    <s v="BRLUSD"/>
    <e v="#N/A"/>
    <s v="BRL_FX_USD"/>
    <s v="Emerging Currency"/>
    <s v="OK"/>
    <x v="3"/>
    <s v="FX  "/>
    <x v="3"/>
    <x v="3"/>
    <x v="106"/>
  </r>
  <r>
    <x v="152"/>
    <s v="Uncertain Future of Oil - Peak Demand                       "/>
    <n v="2522"/>
    <s v="Energy efficiency gains and substitution effects accelerate, causing a shift in expectations for future oil demand"/>
    <x v="132"/>
    <s v="RUBUSD"/>
    <e v="#N/A"/>
    <s v="RUB_FX_USD"/>
    <s v="Emerging Currency"/>
    <s v="OK"/>
    <x v="3"/>
    <s v="FX  "/>
    <x v="3"/>
    <x v="3"/>
    <x v="106"/>
  </r>
  <r>
    <x v="152"/>
    <s v="Uncertain Future of Oil - Peak Demand                       "/>
    <n v="2522"/>
    <s v="Energy efficiency gains and substitution effects accelerate, causing a shift in expectations for future oil demand"/>
    <x v="370"/>
    <s v="Brazil Bovespa"/>
    <s v="Equity Implied Volatility"/>
    <s v="IBOV"/>
    <s v="Equity Implied Volatility"/>
    <s v="OK"/>
    <x v="1"/>
    <s v="Index Level"/>
    <x v="1"/>
    <x v="1"/>
    <x v="121"/>
  </r>
  <r>
    <x v="152"/>
    <s v="Uncertain Future of Oil - Peak Demand                       "/>
    <n v="2522"/>
    <s v="Energy efficiency gains and substitution effects accelerate, causing a shift in expectations for future oil demand"/>
    <x v="958"/>
    <s v="Russia RTS"/>
    <s v="Equity Implied Volatility"/>
    <s v="RTSI"/>
    <s v="Equity Implied Volatility"/>
    <s v="OK"/>
    <x v="1"/>
    <s v="Index Level"/>
    <x v="1"/>
    <x v="1"/>
    <x v="121"/>
  </r>
  <r>
    <x v="152"/>
    <s v="Uncertain Future of Oil - Peak Demand                       "/>
    <n v="2522"/>
    <s v="Energy efficiency gains and substitution effects accelerate, causing a shift in expectations for future oil demand"/>
    <x v="407"/>
    <s v="MSCI World Net TR"/>
    <s v="Equity Implied Volatility"/>
    <s v="MSCIWLDNET"/>
    <s v="Equity Implied Volatility"/>
    <s v="OK"/>
    <x v="1"/>
    <s v="Index Level"/>
    <x v="1"/>
    <x v="1"/>
    <x v="110"/>
  </r>
  <r>
    <x v="152"/>
    <s v="Uncertain Future of Oil - Peak Demand                       "/>
    <n v="2522"/>
    <s v="Energy efficiency gains and substitution effects accelerate, causing a shift in expectations for future oil demand"/>
    <x v="959"/>
    <s v="US HY Oil Field Services"/>
    <s v="Corporate HY USD - Industry"/>
    <s v="USD_HY_OILM"/>
    <s v="Corporate HY USD - Industry"/>
    <s v="OK"/>
    <x v="6"/>
    <s v="Spread Yield"/>
    <x v="5"/>
    <x v="4"/>
    <x v="109"/>
  </r>
  <r>
    <x v="152"/>
    <s v="Uncertain Future of Oil - Peak Demand                       "/>
    <n v="2522"/>
    <s v="Energy efficiency gains and substitution effects accelerate, causing a shift in expectations for future oil demand"/>
    <x v="722"/>
    <s v="US HY Market"/>
    <s v="Corporate HY USD - Other"/>
    <s v="USD_HY_MARKET"/>
    <s v="Corporate HY USD - Other"/>
    <s v="OK"/>
    <x v="22"/>
    <s v="Spread Yield"/>
    <x v="5"/>
    <x v="4"/>
    <x v="108"/>
  </r>
  <r>
    <x v="152"/>
    <s v="Uncertain Future of Oil - Peak Demand                       "/>
    <n v="2522"/>
    <s v="Energy efficiency gains and substitution effects accelerate, causing a shift in expectations for future oil demand"/>
    <x v="960"/>
    <s v="MSCI World Energy"/>
    <s v="Other - Index"/>
    <s v="MSENRG_LCL"/>
    <s v="Other - Index"/>
    <s v="OK"/>
    <x v="12"/>
    <s v="Index Level"/>
    <x v="7"/>
    <x v="2"/>
    <x v="114"/>
  </r>
  <r>
    <x v="153"/>
    <s v="Uncertain Future of Oil - Short-Term Supply Squeeze         "/>
    <n v="2523"/>
    <s v="Natural disasters or OPEC cuts result in a short-term supply squeeze"/>
    <x v="961"/>
    <s v="Tsy 10Y"/>
    <s v="Govt USD"/>
    <s v="USD_10yr"/>
    <s v="Govt USD"/>
    <s v="OK"/>
    <x v="0"/>
    <s v="Yield "/>
    <x v="0"/>
    <x v="0"/>
    <x v="145"/>
  </r>
  <r>
    <x v="153"/>
    <s v="Uncertain Future of Oil - Short-Term Supply Squeeze         "/>
    <n v="2523"/>
    <s v="Natural disasters or OPEC cuts result in a short-term supply squeeze"/>
    <x v="400"/>
    <s v="Brent Crude ICE 1"/>
    <s v="Alternative - Commodity"/>
    <s v="USD_COMD_CO_1"/>
    <s v="Alternative - Commodity"/>
    <s v="OK"/>
    <x v="2"/>
    <s v="Price Level  "/>
    <x v="2"/>
    <x v="2"/>
    <x v="148"/>
  </r>
  <r>
    <x v="153"/>
    <s v="Uncertain Future of Oil - Short-Term Supply Squeeze         "/>
    <n v="2523"/>
    <s v="Natural disasters or OPEC cuts result in a short-term supply squeeze"/>
    <x v="962"/>
    <s v="MXN 10Y"/>
    <s v="Govt Emerging Markets"/>
    <s v="MXN_10yr"/>
    <s v="Govt Emerging Markets"/>
    <s v="OK"/>
    <x v="31"/>
    <s v="Yield  "/>
    <x v="0"/>
    <x v="0"/>
    <x v="137"/>
  </r>
  <r>
    <x v="153"/>
    <s v="Uncertain Future of Oil - Short-Term Supply Squeeze         "/>
    <n v="2523"/>
    <s v="Natural disasters or OPEC cuts result in a short-term supply squeeze"/>
    <x v="963"/>
    <s v="Fuels Refining Storage  Trans"/>
    <e v="#N/A"/>
    <s v="FMI_WRLD_EGYINTSTR"/>
    <s v="Energy"/>
    <s v="OK"/>
    <x v="40"/>
    <s v="Industry Return  "/>
    <x v="4"/>
    <x v="1"/>
    <x v="125"/>
  </r>
  <r>
    <x v="153"/>
    <s v="Uncertain Future of Oil - Short-Term Supply Squeeze         "/>
    <n v="2523"/>
    <s v="Natural disasters or OPEC cuts result in a short-term supply squeeze"/>
    <x v="964"/>
    <s v="Transportation"/>
    <s v="Industrials"/>
    <s v="FMI_WRLD_INDTRAN"/>
    <s v="Industrials"/>
    <s v="OK"/>
    <x v="4"/>
    <s v="Industry Return  "/>
    <x v="4"/>
    <x v="1"/>
    <x v="113"/>
  </r>
  <r>
    <x v="153"/>
    <s v="Uncertain Future of Oil - Short-Term Supply Squeeze         "/>
    <n v="2523"/>
    <s v="Natural disasters or OPEC cuts result in a short-term supply squeeze"/>
    <x v="676"/>
    <s v="US HY Oil Field Services"/>
    <s v="Corporate HY USD - Industry"/>
    <s v="USD_HY_OILM"/>
    <s v="Corporate HY USD - Industry"/>
    <s v="OK"/>
    <x v="6"/>
    <s v="Spread Yield"/>
    <x v="5"/>
    <x v="4"/>
    <x v="193"/>
  </r>
  <r>
    <x v="153"/>
    <s v="Uncertain Future of Oil - Short-Term Supply Squeeze         "/>
    <n v="2523"/>
    <s v="Natural disasters or OPEC cuts result in a short-term supply squeeze"/>
    <x v="677"/>
    <s v="US HY Market"/>
    <s v="Corporate HY USD - Other"/>
    <s v="USD_HY_MARKET"/>
    <s v="Corporate HY USD - Other"/>
    <s v="OK"/>
    <x v="22"/>
    <s v="Spread Yield"/>
    <x v="5"/>
    <x v="4"/>
    <x v="105"/>
  </r>
  <r>
    <x v="154"/>
    <s v="Omicron Uncertainties-China Lockdown Spur Inflation (1/2022)"/>
    <n v="2468"/>
    <s v="China Lockdowns Spur Inflation: The implication of China's zero-COVID policy is a key unknown in the evolution of Omicron. Widespread lockdowns in China caused by an outbreak would tighten manufacturing capacity and add to existing supply chain issues."/>
    <x v="965"/>
    <s v="Tsy 2Y"/>
    <s v="Govt USD"/>
    <s v="USD_2yr"/>
    <s v="Govt USD"/>
    <s v="OK"/>
    <x v="0"/>
    <s v="Yield  "/>
    <x v="0"/>
    <x v="0"/>
    <x v="118"/>
  </r>
  <r>
    <x v="154"/>
    <s v="Omicron Uncertainties-China Lockdown Spur Inflation (1/2022)"/>
    <n v="2468"/>
    <s v="China Lockdowns Spur Inflation: The implication of China's zero-COVID policy is a key unknown in the evolution of Omicron. Widespread lockdowns in China caused by an outbreak would tighten manufacturing capacity and add to existing supply chain issues."/>
    <x v="966"/>
    <s v="Tsy 10Y"/>
    <s v="Govt USD"/>
    <s v="USD_10yr"/>
    <s v="Govt USD"/>
    <s v="OK"/>
    <x v="0"/>
    <s v="Yield  "/>
    <x v="0"/>
    <x v="0"/>
    <x v="149"/>
  </r>
  <r>
    <x v="154"/>
    <s v="Omicron Uncertainties-China Lockdown Spur Inflation (1/2022)"/>
    <n v="2468"/>
    <s v="China Lockdowns Spur Inflation: The implication of China's zero-COVID policy is a key unknown in the evolution of Omicron. Widespread lockdowns in China caused by an outbreak would tighten manufacturing capacity and add to existing supply chain issues."/>
    <x v="967"/>
    <s v="USD INF 1Y"/>
    <s v="USD Inflation"/>
    <s v="USD_INF_1yr"/>
    <s v="USD Inflation"/>
    <s v="OK"/>
    <x v="8"/>
    <s v="Yield  "/>
    <x v="6"/>
    <x v="2"/>
    <x v="154"/>
  </r>
  <r>
    <x v="154"/>
    <s v="Omicron Uncertainties-China Lockdown Spur Inflation (1/2022)"/>
    <n v="2468"/>
    <s v="China Lockdowns Spur Inflation: The implication of China's zero-COVID policy is a key unknown in the evolution of Omicron. Widespread lockdowns in China caused by an outbreak would tighten manufacturing capacity and add to existing supply chain issues."/>
    <x v="968"/>
    <s v="USD INF 5Y"/>
    <s v="USD Inflation"/>
    <s v="USD_INF_5yr"/>
    <s v="USD Inflation"/>
    <s v="OK"/>
    <x v="8"/>
    <s v="Yield  "/>
    <x v="6"/>
    <x v="2"/>
    <x v="138"/>
  </r>
  <r>
    <x v="154"/>
    <s v="Omicron Uncertainties-China Lockdown Spur Inflation (1/2022)"/>
    <n v="2468"/>
    <s v="China Lockdowns Spur Inflation: The implication of China's zero-COVID policy is a key unknown in the evolution of Omicron. Widespread lockdowns in China caused by an outbreak would tighten manufacturing capacity and add to existing supply chain issues."/>
    <x v="186"/>
    <s v="Copper LME 1"/>
    <s v="Alternative - Commodity"/>
    <s v="USD_COMD_LP_1"/>
    <s v="Alternative - Commodity"/>
    <s v="OK"/>
    <x v="2"/>
    <s v="Price Level  "/>
    <x v="2"/>
    <x v="2"/>
    <x v="121"/>
  </r>
  <r>
    <x v="154"/>
    <s v="Omicron Uncertainties-China Lockdown Spur Inflation (1/2022)"/>
    <n v="2468"/>
    <s v="China Lockdowns Spur Inflation: The implication of China's zero-COVID policy is a key unknown in the evolution of Omicron. Widespread lockdowns in China caused by an outbreak would tighten manufacturing capacity and add to existing supply chain issues."/>
    <x v="212"/>
    <s v="CNY 2Y"/>
    <s v="Govt Emerging Markets"/>
    <s v="CNY_2yr"/>
    <s v="Govt Emerging Markets"/>
    <s v="OK"/>
    <x v="31"/>
    <s v="Yield  "/>
    <x v="0"/>
    <x v="0"/>
    <x v="132"/>
  </r>
  <r>
    <x v="154"/>
    <s v="Omicron Uncertainties-China Lockdown Spur Inflation (1/2022)"/>
    <n v="2468"/>
    <s v="China Lockdowns Spur Inflation: The implication of China's zero-COVID policy is a key unknown in the evolution of Omicron. Widespread lockdowns in China caused by an outbreak would tighten manufacturing capacity and add to existing supply chain issues."/>
    <x v="969"/>
    <s v="MSCI World Net TR"/>
    <s v="Equity Implied Volatility"/>
    <s v="MSCIWLDNET"/>
    <s v="Equity Implied Volatility"/>
    <s v="OK"/>
    <x v="1"/>
    <s v="Index Level"/>
    <x v="1"/>
    <x v="1"/>
    <x v="147"/>
  </r>
  <r>
    <x v="154"/>
    <s v="Omicron Uncertainties-China Lockdown Spur Inflation (1/2022)"/>
    <n v="2468"/>
    <s v="China Lockdowns Spur Inflation: The implication of China's zero-COVID policy is a key unknown in the evolution of Omicron. Widespread lockdowns in China caused by an outbreak would tighten manufacturing capacity and add to existing supply chain issues."/>
    <x v="122"/>
    <s v="Time"/>
    <e v="#N/A"/>
    <s v="ALL_TIME"/>
    <e v="#N/A"/>
    <s v="BOTH #N/A"/>
    <x v="64"/>
    <s v="Time "/>
    <x v="8"/>
    <x v="2"/>
    <x v="151"/>
  </r>
  <r>
    <x v="154"/>
    <s v="Omicron Uncertainties-China Lockdown Spur Inflation (1/2022)"/>
    <n v="2468"/>
    <s v="China Lockdowns Spur Inflation: The implication of China's zero-COVID policy is a key unknown in the evolution of Omicron. Widespread lockdowns in China caused by an outbreak would tighten manufacturing capacity and add to existing supply chain issues."/>
    <x v="970"/>
    <s v="China Corp HY"/>
    <s v="Corporate HY USD - Industry"/>
    <s v="USD_CN_CORP_HY"/>
    <s v="Corporate HY USD - Industry"/>
    <s v="OK"/>
    <x v="6"/>
    <s v="Spread Yield"/>
    <x v="5"/>
    <x v="4"/>
    <x v="109"/>
  </r>
  <r>
    <x v="154"/>
    <s v="Omicron Uncertainties-China Lockdown Spur Inflation (1/2022)"/>
    <n v="2468"/>
    <s v="China Lockdowns Spur Inflation: The implication of China's zero-COVID policy is a key unknown in the evolution of Omicron. Widespread lockdowns in China caused by an outbreak would tighten manufacturing capacity and add to existing supply chain issues."/>
    <x v="971"/>
    <s v="US HY Market"/>
    <s v="Corporate HY USD - Other"/>
    <s v="USD_HY_MARKET_SF"/>
    <s v="Corporate HY USD - Other"/>
    <s v="OK"/>
    <x v="22"/>
    <s v="Spread Yield"/>
    <x v="5"/>
    <x v="4"/>
    <x v="229"/>
  </r>
  <r>
    <x v="154"/>
    <s v="Omicron Uncertainties-China Lockdown Spur Inflation (1/2022)"/>
    <n v="2468"/>
    <s v="China Lockdowns Spur Inflation: The implication of China's zero-COVID policy is a key unknown in the evolution of Omicron. Widespread lockdowns in China caused by an outbreak would tighten manufacturing capacity and add to existing supply chain issues."/>
    <x v="972"/>
    <s v="MSCI China"/>
    <s v="Other - Index"/>
    <s v="MS_CN_LCL"/>
    <s v="Other - Index"/>
    <s v="OK"/>
    <x v="12"/>
    <s v="Index Level"/>
    <x v="7"/>
    <x v="2"/>
    <x v="230"/>
  </r>
  <r>
    <x v="154"/>
    <s v="Omicron Uncertainties-China Lockdown Spur Inflation (1/2022)"/>
    <n v="2468"/>
    <s v="China Lockdowns Spur Inflation: The implication of China's zero-COVID policy is a key unknown in the evolution of Omicron. Widespread lockdowns in China caused by an outbreak would tighten manufacturing capacity and add to existing supply chain issues."/>
    <x v="973"/>
    <s v="MSCI EUROPE(EUR)"/>
    <s v="Equity Implied Volatility"/>
    <s v="EUROPEEUR"/>
    <e v="#N/A"/>
    <s v="OK"/>
    <x v="1"/>
    <s v="Index Level"/>
    <x v="1"/>
    <x v="1"/>
    <x v="116"/>
  </r>
  <r>
    <x v="155"/>
    <s v="Omicron Uncertainties-Endemic Sees Broad Tightening (1/2022)"/>
    <n v="2469"/>
    <s v="COVID Endemic Sees Broad Tightening: The milder severity and rapid spread of the Omicron variant (and/or future variants) may pave the way for COVID to transition from pandemic to endemic. Policymakers rethink measures put in place to support markets as a result, heightening the risk of a policy error."/>
    <x v="638"/>
    <s v="Tsy 2Y"/>
    <s v="Govt USD"/>
    <s v="USD_2yr"/>
    <s v="Govt USD"/>
    <s v="OK"/>
    <x v="0"/>
    <s v="Yield  "/>
    <x v="0"/>
    <x v="0"/>
    <x v="163"/>
  </r>
  <r>
    <x v="155"/>
    <s v="Omicron Uncertainties-Endemic Sees Broad Tightening (1/2022)"/>
    <n v="2469"/>
    <s v="COVID Endemic Sees Broad Tightening: The milder severity and rapid spread of the Omicron variant (and/or future variants) may pave the way for COVID to transition from pandemic to endemic. Policymakers rethink measures put in place to support markets as a result, heightening the risk of a policy error."/>
    <x v="974"/>
    <s v="Tsy 10Y"/>
    <s v="Govt USD"/>
    <s v="USD_10yr"/>
    <s v="Govt USD"/>
    <s v="OK"/>
    <x v="0"/>
    <s v="Yield  "/>
    <x v="0"/>
    <x v="0"/>
    <x v="119"/>
  </r>
  <r>
    <x v="155"/>
    <s v="Omicron Uncertainties-Endemic Sees Broad Tightening (1/2022)"/>
    <n v="2469"/>
    <s v="COVID Endemic Sees Broad Tightening: The milder severity and rapid spread of the Omicron variant (and/or future variants) may pave the way for COVID to transition from pandemic to endemic. Policymakers rethink measures put in place to support markets as a result, heightening the risk of a policy error."/>
    <x v="612"/>
    <s v="USD INF 2Y"/>
    <s v="USD Inflation"/>
    <s v="USD_INF_2yr"/>
    <s v="USD Inflation"/>
    <s v="OK"/>
    <x v="8"/>
    <s v="Yield  "/>
    <x v="6"/>
    <x v="2"/>
    <x v="109"/>
  </r>
  <r>
    <x v="155"/>
    <s v="Omicron Uncertainties-Endemic Sees Broad Tightening (1/2022)"/>
    <n v="2469"/>
    <s v="COVID Endemic Sees Broad Tightening: The milder severity and rapid spread of the Omicron variant (and/or future variants) may pave the way for COVID to transition from pandemic to endemic. Policymakers rethink measures put in place to support markets as a result, heightening the risk of a policy error."/>
    <x v="943"/>
    <s v="US IG Market"/>
    <s v="Corporate IG USD - Market"/>
    <s v="USD_IG_MARKET_SF"/>
    <s v="Corporate IG USD - Market"/>
    <s v="OK"/>
    <x v="49"/>
    <s v="Spread Yield"/>
    <x v="5"/>
    <x v="4"/>
    <x v="145"/>
  </r>
  <r>
    <x v="155"/>
    <s v="Omicron Uncertainties-Endemic Sees Broad Tightening (1/2022)"/>
    <n v="2469"/>
    <s v="COVID Endemic Sees Broad Tightening: The milder severity and rapid spread of the Omicron variant (and/or future variants) may pave the way for COVID to transition from pandemic to endemic. Policymakers rethink measures put in place to support markets as a result, heightening the risk of a policy error."/>
    <x v="975"/>
    <s v="DEM 2Y"/>
    <s v="Govt EUR (Ger)"/>
    <s v="EUR_2yr"/>
    <s v="Govt EUR (Ger)"/>
    <s v="OK"/>
    <x v="9"/>
    <s v="Yield  "/>
    <x v="0"/>
    <x v="0"/>
    <x v="134"/>
  </r>
  <r>
    <x v="155"/>
    <s v="Omicron Uncertainties-Endemic Sees Broad Tightening (1/2022)"/>
    <n v="2469"/>
    <s v="COVID Endemic Sees Broad Tightening: The milder severity and rapid spread of the Omicron variant (and/or future variants) may pave the way for COVID to transition from pandemic to endemic. Policymakers rethink measures put in place to support markets as a result, heightening the risk of a policy error."/>
    <x v="976"/>
    <s v="DEM 10Y"/>
    <s v="Govt EUR (Ger)"/>
    <s v="EUR_10yr"/>
    <s v="Govt EUR (Ger)"/>
    <s v="OK"/>
    <x v="9"/>
    <s v="Yield  "/>
    <x v="0"/>
    <x v="0"/>
    <x v="134"/>
  </r>
  <r>
    <x v="155"/>
    <s v="Omicron Uncertainties-Endemic Sees Broad Tightening (1/2022)"/>
    <n v="2469"/>
    <s v="COVID Endemic Sees Broad Tightening: The milder severity and rapid spread of the Omicron variant (and/or future variants) may pave the way for COVID to transition from pandemic to endemic. Policymakers rethink measures put in place to support markets as a result, heightening the risk of a policy error."/>
    <x v="945"/>
    <s v="MSCI World Net TR"/>
    <s v="Equity Implied Volatility"/>
    <s v="MSCIWLDNET"/>
    <s v="Equity Implied Volatility"/>
    <s v="OK"/>
    <x v="1"/>
    <s v="Index Level"/>
    <x v="1"/>
    <x v="1"/>
    <x v="142"/>
  </r>
  <r>
    <x v="155"/>
    <s v="Omicron Uncertainties-Endemic Sees Broad Tightening (1/2022)"/>
    <n v="2469"/>
    <s v="COVID Endemic Sees Broad Tightening: The milder severity and rapid spread of the Omicron variant (and/or future variants) may pave the way for COVID to transition from pandemic to endemic. Policymakers rethink measures put in place to support markets as a result, heightening the risk of a policy error."/>
    <x v="122"/>
    <s v="Time"/>
    <e v="#N/A"/>
    <s v="ALL_TIME"/>
    <e v="#N/A"/>
    <s v="BOTH #N/A"/>
    <x v="64"/>
    <s v="Time "/>
    <x v="8"/>
    <x v="2"/>
    <x v="151"/>
  </r>
  <r>
    <x v="155"/>
    <s v="Omicron Uncertainties-Endemic Sees Broad Tightening (1/2022)"/>
    <n v="2469"/>
    <s v="COVID Endemic Sees Broad Tightening: The milder severity and rapid spread of the Omicron variant (and/or future variants) may pave the way for COVID to transition from pandemic to endemic. Policymakers rethink measures put in place to support markets as a result, heightening the risk of a policy error."/>
    <x v="977"/>
    <s v="Transportation"/>
    <s v="Industrials"/>
    <s v="FMI_WRLD_INDTRAN"/>
    <s v="Industrials"/>
    <s v="OK"/>
    <x v="4"/>
    <s v="Industry Return  "/>
    <x v="4"/>
    <x v="1"/>
    <x v="125"/>
  </r>
  <r>
    <x v="155"/>
    <s v="Omicron Uncertainties-Endemic Sees Broad Tightening (1/2022)"/>
    <n v="2469"/>
    <s v="COVID Endemic Sees Broad Tightening: The milder severity and rapid spread of the Omicron variant (and/or future variants) may pave the way for COVID to transition from pandemic to endemic. Policymakers rethink measures put in place to support markets as a result, heightening the risk of a policy error."/>
    <x v="978"/>
    <s v="Leisure Equipment  Products"/>
    <e v="#N/A"/>
    <s v="FMI_WRLD_CDILEISEQ"/>
    <s v="Consumer Discretionary"/>
    <s v="OK"/>
    <x v="23"/>
    <s v="Industry Return  "/>
    <x v="4"/>
    <x v="1"/>
    <x v="125"/>
  </r>
  <r>
    <x v="155"/>
    <s v="Omicron Uncertainties-Endemic Sees Broad Tightening (1/2022)"/>
    <n v="2469"/>
    <s v="COVID Endemic Sees Broad Tightening: The milder severity and rapid spread of the Omicron variant (and/or future variants) may pave the way for COVID to transition from pandemic to endemic. Policymakers rethink measures put in place to support markets as a result, heightening the risk of a policy error."/>
    <x v="979"/>
    <s v="Diversified Banks"/>
    <s v="Financials"/>
    <s v="FMI_WRLD_FINDIVBANK"/>
    <s v="Financials"/>
    <s v="OK"/>
    <x v="35"/>
    <s v="Industry Return  "/>
    <x v="4"/>
    <x v="1"/>
    <x v="139"/>
  </r>
  <r>
    <x v="155"/>
    <s v="Omicron Uncertainties-Endemic Sees Broad Tightening (1/2022)"/>
    <n v="2469"/>
    <s v="COVID Endemic Sees Broad Tightening: The milder severity and rapid spread of the Omicron variant (and/or future variants) may pave the way for COVID to transition from pandemic to endemic. Policymakers rethink measures put in place to support markets as a result, heightening the risk of a policy error."/>
    <x v="980"/>
    <s v="Software  Svcs x Data Proc"/>
    <e v="#N/A"/>
    <s v="FMI_WRLD_ITCSOFTXDA"/>
    <s v="Information Technology"/>
    <s v="OK"/>
    <x v="5"/>
    <s v="Industry Return  "/>
    <x v="4"/>
    <x v="1"/>
    <x v="147"/>
  </r>
  <r>
    <x v="155"/>
    <s v="Omicron Uncertainties-Endemic Sees Broad Tightening (1/2022)"/>
    <n v="2469"/>
    <s v="COVID Endemic Sees Broad Tightening: The milder severity and rapid spread of the Omicron variant (and/or future variants) may pave the way for COVID to transition from pandemic to endemic. Policymakers rethink measures put in place to support markets as a result, heightening the risk of a policy error."/>
    <x v="981"/>
    <s v="US HY Transport"/>
    <s v="Corporate HY USD - Industry"/>
    <s v="USD_HY_TRANSPORT_SF"/>
    <s v="Corporate HY USD - Industry"/>
    <s v="OK"/>
    <x v="6"/>
    <s v="Spread Yield"/>
    <x v="5"/>
    <x v="4"/>
    <x v="145"/>
  </r>
  <r>
    <x v="155"/>
    <s v="Omicron Uncertainties-Endemic Sees Broad Tightening (1/2022)"/>
    <n v="2469"/>
    <s v="COVID Endemic Sees Broad Tightening: The milder severity and rapid spread of the Omicron variant (and/or future variants) may pave the way for COVID to transition from pandemic to endemic. Policymakers rethink measures put in place to support markets as a result, heightening the risk of a policy error."/>
    <x v="982"/>
    <s v="US HY Market"/>
    <s v="Corporate HY USD - Other"/>
    <s v="USD_HY_MARKET_SF"/>
    <s v="Corporate HY USD - Other"/>
    <s v="OK"/>
    <x v="22"/>
    <s v="Spread Yield"/>
    <x v="5"/>
    <x v="4"/>
    <x v="120"/>
  </r>
  <r>
    <x v="156"/>
    <s v="Economic Restart - Optimistic Reopening (04/2021)           "/>
    <n v="2453"/>
    <s v="Global economies reopen rapidly after vaccine rollout, leading to a risk on environment with sector rotation."/>
    <x v="399"/>
    <s v="Tsy 2Y"/>
    <s v="Govt USD"/>
    <s v="USD_2yr"/>
    <s v="Govt USD"/>
    <s v="OK"/>
    <x v="0"/>
    <s v="Yield  "/>
    <x v="0"/>
    <x v="0"/>
    <x v="134"/>
  </r>
  <r>
    <x v="156"/>
    <s v="Economic Restart - Optimistic Reopening (04/2021)           "/>
    <n v="2453"/>
    <s v="Global economies reopen rapidly after vaccine rollout, leading to a risk on environment with sector rotation."/>
    <x v="363"/>
    <s v="Tsy 10Y"/>
    <s v="Govt USD"/>
    <s v="USD_10yr"/>
    <s v="Govt USD"/>
    <s v="OK"/>
    <x v="0"/>
    <s v="Yield  "/>
    <x v="0"/>
    <x v="0"/>
    <x v="108"/>
  </r>
  <r>
    <x v="156"/>
    <s v="Economic Restart - Optimistic Reopening (04/2021)           "/>
    <n v="2453"/>
    <s v="Global economies reopen rapidly after vaccine rollout, leading to a risk on environment with sector rotation."/>
    <x v="983"/>
    <s v="CMBS MEZZ post09"/>
    <s v="Agency / Supranational"/>
    <s v="USD_CMBS_MEZZNEW"/>
    <s v="Agency / Supranational"/>
    <s v="OK"/>
    <x v="68"/>
    <s v="Spread Yield"/>
    <x v="5"/>
    <x v="4"/>
    <x v="176"/>
  </r>
  <r>
    <x v="156"/>
    <s v="Economic Restart - Optimistic Reopening (04/2021)           "/>
    <n v="2453"/>
    <s v="Global economies reopen rapidly after vaccine rollout, leading to a risk on environment with sector rotation."/>
    <x v="211"/>
    <s v="Brent Crude ICE 1"/>
    <s v="Alternative - Commodity"/>
    <s v="USD_COMD_CO_1"/>
    <s v="Alternative - Commodity"/>
    <s v="OK"/>
    <x v="2"/>
    <s v="Price Level  "/>
    <x v="2"/>
    <x v="2"/>
    <x v="172"/>
  </r>
  <r>
    <x v="156"/>
    <s v="Economic Restart - Optimistic Reopening (04/2021)           "/>
    <n v="2453"/>
    <s v="Global economies reopen rapidly after vaccine rollout, leading to a risk on environment with sector rotation."/>
    <x v="389"/>
    <s v="DXY"/>
    <e v="#N/A"/>
    <s v="DXY"/>
    <e v="#N/A"/>
    <s v="BOTH #N/A"/>
    <x v="18"/>
    <s v="Dollar Index"/>
    <x v="9"/>
    <x v="2"/>
    <x v="162"/>
  </r>
  <r>
    <x v="156"/>
    <s v="Economic Restart - Optimistic Reopening (04/2021)           "/>
    <n v="2453"/>
    <s v="Global economies reopen rapidly after vaccine rollout, leading to a risk on environment with sector rotation."/>
    <x v="267"/>
    <s v="MSCI World Net TR"/>
    <s v="Equity Implied Volatility"/>
    <s v="MSCIWLDNET"/>
    <s v="Equity Implied Volatility"/>
    <s v="OK"/>
    <x v="1"/>
    <s v="Index Level"/>
    <x v="1"/>
    <x v="1"/>
    <x v="126"/>
  </r>
  <r>
    <x v="156"/>
    <s v="Economic Restart - Optimistic Reopening (04/2021)           "/>
    <n v="2453"/>
    <s v="Global economies reopen rapidly after vaccine rollout, leading to a risk on environment with sector rotation."/>
    <x v="122"/>
    <s v="Time"/>
    <e v="#N/A"/>
    <s v="ALL_TIME"/>
    <e v="#N/A"/>
    <s v="BOTH #N/A"/>
    <x v="64"/>
    <s v="Time "/>
    <x v="8"/>
    <x v="2"/>
    <x v="151"/>
  </r>
  <r>
    <x v="156"/>
    <s v="Economic Restart - Optimistic Reopening (04/2021)           "/>
    <n v="2453"/>
    <s v="Global economies reopen rapidly after vaccine rollout, leading to a risk on environment with sector rotation."/>
    <x v="984"/>
    <s v="Energy Equip Oil  Gas Exp"/>
    <e v="#N/A"/>
    <s v="FMI_WRLD_EQYEQEXP"/>
    <s v="Energy"/>
    <s v="OK"/>
    <x v="40"/>
    <s v="Industry Return  "/>
    <x v="4"/>
    <x v="1"/>
    <x v="107"/>
  </r>
  <r>
    <x v="156"/>
    <s v="Economic Restart - Optimistic Reopening (04/2021)           "/>
    <n v="2453"/>
    <s v="Global economies reopen rapidly after vaccine rollout, leading to a risk on environment with sector rotation."/>
    <x v="985"/>
    <s v="Consumer Services"/>
    <s v="Consumer Discretionary"/>
    <s v="FMI_WRLD_CDICONSVCS"/>
    <s v="Consumer Discretionary"/>
    <s v="OK"/>
    <x v="23"/>
    <s v="Industry Return  "/>
    <x v="4"/>
    <x v="1"/>
    <x v="148"/>
  </r>
  <r>
    <x v="156"/>
    <s v="Economic Restart - Optimistic Reopening (04/2021)           "/>
    <n v="2453"/>
    <s v="Global economies reopen rapidly after vaccine rollout, leading to a risk on environment with sector rotation."/>
    <x v="986"/>
    <s v="Computers  Peripherals"/>
    <e v="#N/A"/>
    <s v="FMI_WRLD_ITCCOMP"/>
    <s v="Information Technology"/>
    <s v="OK"/>
    <x v="5"/>
    <s v="Industry Return  "/>
    <x v="4"/>
    <x v="1"/>
    <x v="122"/>
  </r>
  <r>
    <x v="156"/>
    <s v="Economic Restart - Optimistic Reopening (04/2021)           "/>
    <n v="2453"/>
    <s v="Global economies reopen rapidly after vaccine rollout, leading to a risk on environment with sector rotation."/>
    <x v="987"/>
    <s v="US HY Market"/>
    <s v="Corporate HY USD - Other"/>
    <s v="USD_HY_MARKET"/>
    <s v="Corporate HY USD - Other"/>
    <s v="OK"/>
    <x v="22"/>
    <s v="Spread Yield"/>
    <x v="5"/>
    <x v="4"/>
    <x v="176"/>
  </r>
  <r>
    <x v="156"/>
    <s v="Economic Restart - Optimistic Reopening (04/2021)           "/>
    <n v="2453"/>
    <s v="Global economies reopen rapidly after vaccine rollout, leading to a risk on environment with sector rotation."/>
    <x v="988"/>
    <s v="US HY Midstream &amp; Refining"/>
    <s v="Corporate HY USD - Industry"/>
    <s v="Refining"/>
    <e v="#N/A"/>
    <s v="OK"/>
    <x v="6"/>
    <s v="Spread Yield"/>
    <x v="5"/>
    <x v="4"/>
    <x v="132"/>
  </r>
  <r>
    <x v="156"/>
    <s v="Economic Restart - Optimistic Reopening (04/2021)           "/>
    <n v="2453"/>
    <s v="Global economies reopen rapidly after vaccine rollout, leading to a risk on environment with sector rotation."/>
    <x v="989"/>
    <s v="Transportation"/>
    <s v="Industrials"/>
    <m/>
    <e v="#N/A"/>
    <s v="OK"/>
    <x v="4"/>
    <s v="Spread Yield"/>
    <x v="4"/>
    <x v="1"/>
    <x v="175"/>
  </r>
  <r>
    <x v="157"/>
    <s v="Economic Restart - Partial Reopening (04/2021)              "/>
    <n v="2454"/>
    <s v="Restrictions are lifted slower than expected as vaccines prove ineffective against COVID 19 mutations."/>
    <x v="413"/>
    <s v="Tsy 2Y"/>
    <s v="Govt USD"/>
    <s v="USD_2yr"/>
    <s v="Govt USD"/>
    <s v="OK"/>
    <x v="0"/>
    <s v="Yield  "/>
    <x v="0"/>
    <x v="0"/>
    <x v="127"/>
  </r>
  <r>
    <x v="157"/>
    <s v="Economic Restart - Partial Reopening (04/2021)              "/>
    <n v="2454"/>
    <s v="Restrictions are lifted slower than expected as vaccines prove ineffective against COVID 19 mutations."/>
    <x v="580"/>
    <s v="Tsy 10Y"/>
    <s v="Govt USD"/>
    <s v="USD_10yr"/>
    <s v="Govt USD"/>
    <s v="OK"/>
    <x v="0"/>
    <s v="Yield  "/>
    <x v="0"/>
    <x v="0"/>
    <x v="135"/>
  </r>
  <r>
    <x v="157"/>
    <s v="Economic Restart - Partial Reopening (04/2021)              "/>
    <n v="2454"/>
    <s v="Restrictions are lifted slower than expected as vaccines prove ineffective against COVID 19 mutations."/>
    <x v="133"/>
    <s v="DXY"/>
    <e v="#N/A"/>
    <s v="DXY"/>
    <e v="#N/A"/>
    <s v="BOTH #N/A"/>
    <x v="18"/>
    <s v="Dollar Index"/>
    <x v="9"/>
    <x v="2"/>
    <x v="112"/>
  </r>
  <r>
    <x v="157"/>
    <s v="Economic Restart - Partial Reopening (04/2021)              "/>
    <n v="2454"/>
    <s v="Restrictions are lifted slower than expected as vaccines prove ineffective against COVID 19 mutations."/>
    <x v="230"/>
    <s v="MSCI World Net TR"/>
    <s v="Equity Implied Volatility"/>
    <s v="MSCIWLDNET"/>
    <s v="Equity Implied Volatility"/>
    <s v="OK"/>
    <x v="1"/>
    <s v="Index Level"/>
    <x v="1"/>
    <x v="1"/>
    <x v="122"/>
  </r>
  <r>
    <x v="157"/>
    <s v="Economic Restart - Partial Reopening (04/2021)              "/>
    <n v="2454"/>
    <s v="Restrictions are lifted slower than expected as vaccines prove ineffective against COVID 19 mutations."/>
    <x v="122"/>
    <s v="Time"/>
    <e v="#N/A"/>
    <s v="ALL_TIME"/>
    <e v="#N/A"/>
    <s v="BOTH #N/A"/>
    <x v="64"/>
    <s v="Time "/>
    <x v="8"/>
    <x v="2"/>
    <x v="151"/>
  </r>
  <r>
    <x v="157"/>
    <s v="Economic Restart - Partial Reopening (04/2021)              "/>
    <n v="2454"/>
    <s v="Restrictions are lifted slower than expected as vaccines prove ineffective against COVID 19 mutations."/>
    <x v="990"/>
    <s v="Dist Net Catalog Multi Retail"/>
    <s v="Consumer Discretionary"/>
    <s v="FMI_WRLD_CDIDISTNET"/>
    <s v="Consumer Discretionary"/>
    <s v="OK"/>
    <x v="23"/>
    <s v="Industry Return  "/>
    <x v="4"/>
    <x v="1"/>
    <x v="112"/>
  </r>
  <r>
    <x v="157"/>
    <s v="Economic Restart - Partial Reopening (04/2021)              "/>
    <n v="2454"/>
    <s v="Restrictions are lifted slower than expected as vaccines prove ineffective against COVID 19 mutations."/>
    <x v="991"/>
    <s v="Biotechnology  Life Sciences"/>
    <e v="#N/A"/>
    <s v="FMI_WRLD_HLCBIOLIFE"/>
    <s v="Health Care"/>
    <s v="OK"/>
    <x v="20"/>
    <s v="Industry Return  "/>
    <x v="4"/>
    <x v="1"/>
    <x v="107"/>
  </r>
  <r>
    <x v="157"/>
    <s v="Economic Restart - Partial Reopening (04/2021)              "/>
    <n v="2454"/>
    <s v="Restrictions are lifted slower than expected as vaccines prove ineffective against COVID 19 mutations."/>
    <x v="992"/>
    <s v="Real Estate Investment Trusts"/>
    <s v="Real Estate"/>
    <s v="FMI_WRLD_FINREIT"/>
    <s v="Real Estate"/>
    <s v="OK"/>
    <x v="41"/>
    <s v="Industry Return  "/>
    <x v="4"/>
    <x v="1"/>
    <x v="116"/>
  </r>
  <r>
    <x v="157"/>
    <s v="Economic Restart - Partial Reopening (04/2021)              "/>
    <n v="2454"/>
    <s v="Restrictions are lifted slower than expected as vaccines prove ineffective against COVID 19 mutations."/>
    <x v="382"/>
    <s v="US HY Market"/>
    <s v="Corporate HY USD - Other"/>
    <s v="USD_HY_MARKET"/>
    <s v="Corporate HY USD - Other"/>
    <s v="OK"/>
    <x v="22"/>
    <s v="Spread Yield"/>
    <x v="5"/>
    <x v="4"/>
    <x v="118"/>
  </r>
  <r>
    <x v="157"/>
    <s v="Economic Restart - Partial Reopening (04/2021)              "/>
    <n v="2454"/>
    <s v="Restrictions are lifted slower than expected as vaccines prove ineffective against COVID 19 mutations."/>
    <x v="993"/>
    <s v="US HY Midstream &amp; Refining"/>
    <s v="Corporate HY USD - Industry"/>
    <s v="Refining"/>
    <e v="#N/A"/>
    <s v="OK"/>
    <x v="6"/>
    <s v="Spread Yield"/>
    <x v="5"/>
    <x v="4"/>
    <x v="145"/>
  </r>
  <r>
    <x v="158"/>
    <s v="Economic Restart - US Outpaces the EU (04/2021)             "/>
    <n v="2455"/>
    <s v="The US reopens rapidly on the back of faster than expected vaccine distribution, while the EU lags behind."/>
    <x v="429"/>
    <s v="Tsy 10Y"/>
    <s v="Govt USD"/>
    <s v="USD_10yr"/>
    <s v="Govt USD"/>
    <s v="OK"/>
    <x v="0"/>
    <s v="Yield  "/>
    <x v="0"/>
    <x v="0"/>
    <x v="118"/>
  </r>
  <r>
    <x v="158"/>
    <s v="Economic Restart - US Outpaces the EU (04/2021)             "/>
    <n v="2455"/>
    <s v="The US reopens rapidly on the back of faster than expected vaccine distribution, while the EU lags behind."/>
    <x v="502"/>
    <s v="DEM 10Y"/>
    <s v="Govt EUR (Ger)"/>
    <s v="EUR_10yr"/>
    <s v="Govt EUR (Ger)"/>
    <s v="OK"/>
    <x v="9"/>
    <s v="Yield  "/>
    <x v="0"/>
    <x v="0"/>
    <x v="145"/>
  </r>
  <r>
    <x v="158"/>
    <s v="Economic Restart - US Outpaces the EU (04/2021)             "/>
    <n v="2455"/>
    <s v="The US reopens rapidly on the back of faster than expected vaccine distribution, while the EU lags behind."/>
    <x v="994"/>
    <s v="ITL 10Y"/>
    <s v="Spread Govt ITA"/>
    <s v="ITL_10yr"/>
    <s v="Spread Govt ITA"/>
    <s v="OK"/>
    <x v="30"/>
    <s v="Spread Yield"/>
    <x v="11"/>
    <x v="0"/>
    <x v="138"/>
  </r>
  <r>
    <x v="158"/>
    <s v="Economic Restart - US Outpaces the EU (04/2021)             "/>
    <n v="2455"/>
    <s v="The US reopens rapidly on the back of faster than expected vaccine distribution, while the EU lags behind."/>
    <x v="403"/>
    <s v="ZARUSD"/>
    <e v="#N/A"/>
    <s v="ZAR_FX_USD"/>
    <s v="Emerging Currency"/>
    <s v="OK"/>
    <x v="3"/>
    <s v="FX  "/>
    <x v="3"/>
    <x v="3"/>
    <x v="114"/>
  </r>
  <r>
    <x v="158"/>
    <s v="Economic Restart - US Outpaces the EU (04/2021)             "/>
    <n v="2455"/>
    <s v="The US reopens rapidly on the back of faster than expected vaccine distribution, while the EU lags behind."/>
    <x v="311"/>
    <s v="DXY"/>
    <e v="#N/A"/>
    <s v="DXY"/>
    <e v="#N/A"/>
    <s v="BOTH #N/A"/>
    <x v="18"/>
    <s v="Dollar Index"/>
    <x v="9"/>
    <x v="2"/>
    <x v="125"/>
  </r>
  <r>
    <x v="158"/>
    <s v="Economic Restart - US Outpaces the EU (04/2021)             "/>
    <n v="2455"/>
    <s v="The US reopens rapidly on the back of faster than expected vaccine distribution, while the EU lags behind."/>
    <x v="705"/>
    <s v="S&amp;P 500"/>
    <s v="Equity Implied Volatility"/>
    <s v="SPX"/>
    <s v="Equity Implied Volatility"/>
    <s v="OK"/>
    <x v="1"/>
    <s v="Index Level"/>
    <x v="1"/>
    <x v="1"/>
    <x v="125"/>
  </r>
  <r>
    <x v="158"/>
    <s v="Economic Restart - US Outpaces the EU (04/2021)             "/>
    <n v="2455"/>
    <s v="The US reopens rapidly on the back of faster than expected vaccine distribution, while the EU lags behind."/>
    <x v="122"/>
    <s v="Time"/>
    <e v="#N/A"/>
    <s v="ALL_TIME"/>
    <e v="#N/A"/>
    <s v="BOTH #N/A"/>
    <x v="64"/>
    <s v="Time "/>
    <x v="8"/>
    <x v="2"/>
    <x v="151"/>
  </r>
  <r>
    <x v="158"/>
    <s v="Economic Restart - US Outpaces the EU (04/2021)             "/>
    <n v="2455"/>
    <s v="The US reopens rapidly on the back of faster than expected vaccine distribution, while the EU lags behind."/>
    <x v="995"/>
    <s v="Restaurants"/>
    <e v="#N/A"/>
    <s v="FMI_NAMR_CDIRESTRNT"/>
    <e v="#N/A"/>
    <s v="BOTH #N/A"/>
    <x v="23"/>
    <s v="Consumer Discretionary"/>
    <x v="4"/>
    <x v="1"/>
    <x v="107"/>
  </r>
  <r>
    <x v="158"/>
    <s v="Economic Restart - US Outpaces the EU (04/2021)             "/>
    <n v="2455"/>
    <s v="The US reopens rapidly on the back of faster than expected vaccine distribution, while the EU lags behind."/>
    <x v="996"/>
    <s v="Hotels Restaurants &amp; Leisure"/>
    <e v="#N/A"/>
    <s v="FMI_EMEA_CDIHOTREST"/>
    <e v="#N/A"/>
    <s v="BOTH #N/A"/>
    <x v="23"/>
    <s v="Consumer Discretionary"/>
    <x v="4"/>
    <x v="1"/>
    <x v="122"/>
  </r>
  <r>
    <x v="158"/>
    <s v="Economic Restart - US Outpaces the EU (04/2021)             "/>
    <n v="2455"/>
    <s v="The US reopens rapidly on the back of faster than expected vaccine distribution, while the EU lags behind."/>
    <x v="589"/>
    <s v="EMBIG DxS"/>
    <s v="Spread Emerging Markets - Country"/>
    <s v="USD_EM_DS_G"/>
    <s v="Spread Emerging Markets - Country"/>
    <s v="OK"/>
    <x v="29"/>
    <s v="Spread Yield"/>
    <x v="5"/>
    <x v="4"/>
    <x v="108"/>
  </r>
  <r>
    <x v="158"/>
    <s v="Economic Restart - US Outpaces the EU (04/2021)             "/>
    <n v="2455"/>
    <s v="The US reopens rapidly on the back of faster than expected vaccine distribution, while the EU lags behind."/>
    <x v="997"/>
    <s v="US HY Market"/>
    <s v="Corporate HY USD - Other"/>
    <s v="USD_HY_MARKET"/>
    <s v="Corporate HY USD - Other"/>
    <s v="OK"/>
    <x v="22"/>
    <s v="Spread Yield"/>
    <x v="5"/>
    <x v="4"/>
    <x v="132"/>
  </r>
  <r>
    <x v="158"/>
    <s v="Economic Restart - US Outpaces the EU (04/2021)             "/>
    <n v="2455"/>
    <s v="The US reopens rapidly on the back of faster than expected vaccine distribution, while the EU lags behind."/>
    <x v="998"/>
    <s v="Pan Euro Credit HY"/>
    <s v="Corporate HY EUR - Other"/>
    <s v="HY"/>
    <e v="#N/A"/>
    <s v="OK"/>
    <x v="65"/>
    <s v="Spread Yield"/>
    <x v="5"/>
    <x v="4"/>
    <x v="140"/>
  </r>
  <r>
    <x v="158"/>
    <s v="Economic Restart - US Outpaces the EU (04/2021)             "/>
    <n v="2455"/>
    <s v="The US reopens rapidly on the back of faster than expected vaccine distribution, while the EU lags behind."/>
    <x v="999"/>
    <s v="Airlines"/>
    <e v="#N/A"/>
    <m/>
    <e v="#N/A"/>
    <s v="BOTH #N/A"/>
    <x v="4"/>
    <s v="Industrials"/>
    <x v="4"/>
    <x v="1"/>
    <x v="148"/>
  </r>
  <r>
    <x v="158"/>
    <s v="Economic Restart - US Outpaces the EU (04/2021)             "/>
    <n v="2455"/>
    <s v="The US reopens rapidly on the back of faster than expected vaccine distribution, while the EU lags behind."/>
    <x v="1000"/>
    <s v="MSCI EUROPE(EUR)"/>
    <s v="Equity Implied Volatility"/>
    <s v="EUROPEEUR"/>
    <e v="#N/A"/>
    <s v="OK"/>
    <x v="1"/>
    <s v="Index Level"/>
    <x v="1"/>
    <x v="1"/>
    <x v="114"/>
  </r>
  <r>
    <x v="159"/>
    <s v="Policy Effectiveness - China Leads Fiscal Policy Push       "/>
    <n v="2434"/>
    <s v="China Leads Fiscal Policy Push: Contrary to major developed economies that are currently faced with fiscal implementation challenges, China and Brazil deliver with favorable fiscal initiatives."/>
    <x v="418"/>
    <s v="Tsy 10Y"/>
    <s v="Govt USD"/>
    <s v="USD_10yr"/>
    <s v="Govt USD"/>
    <s v="OK"/>
    <x v="0"/>
    <s v="Yield  "/>
    <x v="0"/>
    <x v="0"/>
    <x v="127"/>
  </r>
  <r>
    <x v="159"/>
    <s v="Policy Effectiveness - China Leads Fiscal Policy Push       "/>
    <n v="2434"/>
    <s v="China Leads Fiscal Policy Push: Contrary to major developed economies that are currently faced with fiscal implementation challenges, China and Brazil deliver with favorable fiscal initiatives."/>
    <x v="1001"/>
    <s v="CNYUSD"/>
    <e v="#N/A"/>
    <s v="CNY_FX_USD"/>
    <s v="Emerging Currency"/>
    <s v="OK"/>
    <x v="3"/>
    <s v="FX  "/>
    <x v="3"/>
    <x v="3"/>
    <x v="125"/>
  </r>
  <r>
    <x v="159"/>
    <s v="Policy Effectiveness - China Leads Fiscal Policy Push       "/>
    <n v="2434"/>
    <s v="China Leads Fiscal Policy Push: Contrary to major developed economies that are currently faced with fiscal implementation challenges, China and Brazil deliver with favorable fiscal initiatives."/>
    <x v="389"/>
    <s v="DXY"/>
    <e v="#N/A"/>
    <s v="DXY"/>
    <e v="#N/A"/>
    <s v="BOTH #N/A"/>
    <x v="18"/>
    <s v="Dollar Index"/>
    <x v="9"/>
    <x v="2"/>
    <x v="162"/>
  </r>
  <r>
    <x v="159"/>
    <s v="Policy Effectiveness - China Leads Fiscal Policy Push       "/>
    <n v="2434"/>
    <s v="China Leads Fiscal Policy Push: Contrary to major developed economies that are currently faced with fiscal implementation challenges, China and Brazil deliver with favorable fiscal initiatives."/>
    <x v="1002"/>
    <s v="MSCI World Net TR"/>
    <s v="Equity Implied Volatility"/>
    <s v="MSCIWLDNET"/>
    <s v="Equity Implied Volatility"/>
    <s v="OK"/>
    <x v="1"/>
    <s v="Index Level"/>
    <x v="1"/>
    <x v="1"/>
    <x v="159"/>
  </r>
  <r>
    <x v="159"/>
    <s v="Policy Effectiveness - China Leads Fiscal Policy Push       "/>
    <n v="2434"/>
    <s v="China Leads Fiscal Policy Push: Contrary to major developed economies that are currently faced with fiscal implementation challenges, China and Brazil deliver with favorable fiscal initiatives."/>
    <x v="282"/>
    <s v="Time"/>
    <e v="#N/A"/>
    <s v="ALL_TIME"/>
    <e v="#N/A"/>
    <s v="BOTH #N/A"/>
    <x v="64"/>
    <s v="Time "/>
    <x v="8"/>
    <x v="2"/>
    <x v="115"/>
  </r>
  <r>
    <x v="159"/>
    <s v="Policy Effectiveness - China Leads Fiscal Policy Push       "/>
    <n v="2434"/>
    <s v="China Leads Fiscal Policy Push: Contrary to major developed economies that are currently faced with fiscal implementation challenges, China and Brazil deliver with favorable fiscal initiatives."/>
    <x v="1003"/>
    <s v="Emerging"/>
    <s v="Local Styles"/>
    <s v="FMI_WRLD_EMERGING"/>
    <s v="Local Styles"/>
    <s v="OK"/>
    <x v="38"/>
    <s v="Style Return  "/>
    <x v="13"/>
    <x v="1"/>
    <x v="135"/>
  </r>
  <r>
    <x v="159"/>
    <s v="Policy Effectiveness - China Leads Fiscal Policy Push       "/>
    <n v="2434"/>
    <s v="China Leads Fiscal Policy Push: Contrary to major developed economies that are currently faced with fiscal implementation challenges, China and Brazil deliver with favorable fiscal initiatives."/>
    <x v="1004"/>
    <s v="EMBIG DxS"/>
    <s v="Spread Emerging Markets - Country"/>
    <s v="USD_EM_DS_G"/>
    <s v="Spread Emerging Markets - Country"/>
    <s v="OK"/>
    <x v="29"/>
    <s v="Spread Yield"/>
    <x v="5"/>
    <x v="4"/>
    <x v="105"/>
  </r>
  <r>
    <x v="159"/>
    <s v="Policy Effectiveness - China Leads Fiscal Policy Push       "/>
    <n v="2434"/>
    <s v="China Leads Fiscal Policy Push: Contrary to major developed economies that are currently faced with fiscal implementation challenges, China and Brazil deliver with favorable fiscal initiatives."/>
    <x v="1005"/>
    <s v="China Corp HY"/>
    <s v="Corporate HY USD - Industry"/>
    <s v="USD_CN_CORP_HY"/>
    <s v="Corporate HY USD - Industry"/>
    <s v="OK"/>
    <x v="6"/>
    <s v="Spread Yield"/>
    <x v="5"/>
    <x v="4"/>
    <x v="193"/>
  </r>
  <r>
    <x v="159"/>
    <s v="Policy Effectiveness - China Leads Fiscal Policy Push       "/>
    <n v="2434"/>
    <s v="China Leads Fiscal Policy Push: Contrary to major developed economies that are currently faced with fiscal implementation challenges, China and Brazil deliver with favorable fiscal initiatives."/>
    <x v="1006"/>
    <s v="MSCI China"/>
    <s v="Other - Index"/>
    <s v="MS_CN_LCL"/>
    <s v="Other - Index"/>
    <s v="OK"/>
    <x v="12"/>
    <s v="Index Level"/>
    <x v="7"/>
    <x v="2"/>
    <x v="210"/>
  </r>
  <r>
    <x v="160"/>
    <s v="Policy Effectiveness-Monetary and Fiscal Policy Coordination"/>
    <n v="2436"/>
    <s v="Monetary and Fiscal Policy Coordination: As monetary tools are close to being exhausted and fiscal policy alone is proven less effective, a new and unconventional coordination between monetary and fiscal helps boost growth. This scenario is inspired by the BII's August 2019 publication titled 'Dealing with the next downturn'."/>
    <x v="1007"/>
    <s v="Tsy 3M"/>
    <s v="Govt USD"/>
    <s v="USD_3m"/>
    <s v="Govt USD"/>
    <s v="OK"/>
    <x v="0"/>
    <s v="Yield  "/>
    <x v="0"/>
    <x v="0"/>
    <x v="123"/>
  </r>
  <r>
    <x v="160"/>
    <s v="Policy Effectiveness-Monetary and Fiscal Policy Coordination"/>
    <n v="2436"/>
    <s v="Monetary and Fiscal Policy Coordination: As monetary tools are close to being exhausted and fiscal policy alone is proven less effective, a new and unconventional coordination between monetary and fiscal helps boost growth. This scenario is inspired by the BII's August 2019 publication titled 'Dealing with the next downturn'."/>
    <x v="580"/>
    <s v="Tsy 10Y"/>
    <s v="Govt USD"/>
    <s v="USD_10yr"/>
    <s v="Govt USD"/>
    <s v="OK"/>
    <x v="0"/>
    <s v="Yield  "/>
    <x v="0"/>
    <x v="0"/>
    <x v="135"/>
  </r>
  <r>
    <x v="160"/>
    <s v="Policy Effectiveness-Monetary and Fiscal Policy Coordination"/>
    <n v="2436"/>
    <s v="Monetary and Fiscal Policy Coordination: As monetary tools are close to being exhausted and fiscal policy alone is proven less effective, a new and unconventional coordination between monetary and fiscal helps boost growth. This scenario is inspired by the BII's August 2019 publication titled 'Dealing with the next downturn'."/>
    <x v="702"/>
    <s v="USD INF 10Y"/>
    <s v="USD Inflation"/>
    <s v="USD_INF_10yr"/>
    <s v="USD Inflation"/>
    <s v="OK"/>
    <x v="8"/>
    <s v="Yield  "/>
    <x v="6"/>
    <x v="2"/>
    <x v="123"/>
  </r>
  <r>
    <x v="160"/>
    <s v="Policy Effectiveness-Monetary and Fiscal Policy Coordination"/>
    <n v="2436"/>
    <s v="Monetary and Fiscal Policy Coordination: As monetary tools are close to being exhausted and fiscal policy alone is proven less effective, a new and unconventional coordination between monetary and fiscal helps boost growth. This scenario is inspired by the BII's August 2019 publication titled 'Dealing with the next downturn'."/>
    <x v="789"/>
    <s v="US Cash Bonds IG"/>
    <s v="Corporate IG USD - Other"/>
    <s v="USD_LEH_CREDIT3"/>
    <s v="Corporate IG USD - Other"/>
    <s v="OK"/>
    <x v="26"/>
    <s v="Corporate IG USD - Other"/>
    <x v="5"/>
    <x v="4"/>
    <x v="124"/>
  </r>
  <r>
    <x v="160"/>
    <s v="Policy Effectiveness-Monetary and Fiscal Policy Coordination"/>
    <n v="2436"/>
    <s v="Monetary and Fiscal Policy Coordination: As monetary tools are close to being exhausted and fiscal policy alone is proven less effective, a new and unconventional coordination between monetary and fiscal helps boost growth. This scenario is inspired by the BII's August 2019 publication titled 'Dealing with the next downturn'."/>
    <x v="1008"/>
    <s v="S&amp;P 500"/>
    <s v="Equity Implied Volatility"/>
    <s v="SPX"/>
    <s v="Equity Implied Volatility"/>
    <s v="OK"/>
    <x v="1"/>
    <s v="Index Level"/>
    <x v="1"/>
    <x v="1"/>
    <x v="148"/>
  </r>
  <r>
    <x v="160"/>
    <s v="Policy Effectiveness-Monetary and Fiscal Policy Coordination"/>
    <n v="2436"/>
    <s v="Monetary and Fiscal Policy Coordination: As monetary tools are close to being exhausted and fiscal policy alone is proven less effective, a new and unconventional coordination between monetary and fiscal helps boost growth. This scenario is inspired by the BII's August 2019 publication titled 'Dealing with the next downturn'."/>
    <x v="227"/>
    <s v="VIX"/>
    <s v="Equity Implied Volatility"/>
    <s v="VIX"/>
    <s v="Equity Implied Volatility"/>
    <s v="OK"/>
    <x v="1"/>
    <s v="Index Level"/>
    <x v="1"/>
    <x v="1"/>
    <x v="148"/>
  </r>
  <r>
    <x v="160"/>
    <s v="Policy Effectiveness-Monetary and Fiscal Policy Coordination"/>
    <n v="2436"/>
    <s v="Monetary and Fiscal Policy Coordination: As monetary tools are close to being exhausted and fiscal policy alone is proven less effective, a new and unconventional coordination between monetary and fiscal helps boost growth. This scenario is inspired by the BII's August 2019 publication titled 'Dealing with the next downturn'."/>
    <x v="282"/>
    <s v="Time"/>
    <e v="#N/A"/>
    <s v="ALL_TIME"/>
    <e v="#N/A"/>
    <s v="BOTH #N/A"/>
    <x v="64"/>
    <s v="Time "/>
    <x v="8"/>
    <x v="2"/>
    <x v="115"/>
  </r>
  <r>
    <x v="160"/>
    <s v="Policy Effectiveness-Monetary and Fiscal Policy Coordination"/>
    <n v="2436"/>
    <s v="Monetary and Fiscal Policy Coordination: As monetary tools are close to being exhausted and fiscal policy alone is proven less effective, a new and unconventional coordination between monetary and fiscal helps boost growth. This scenario is inspired by the BII's August 2019 publication titled 'Dealing with the next downturn'."/>
    <x v="1009"/>
    <s v="Aerospace &amp; Defense"/>
    <s v="Industrials"/>
    <s v="FMI_NAMR_INDAIRDEF"/>
    <e v="#N/A"/>
    <s v="OK"/>
    <x v="4"/>
    <s v="Industry Return  "/>
    <x v="4"/>
    <x v="1"/>
    <x v="125"/>
  </r>
  <r>
    <x v="160"/>
    <s v="Policy Effectiveness-Monetary and Fiscal Policy Coordination"/>
    <n v="2436"/>
    <s v="Monetary and Fiscal Policy Coordination: As monetary tools are close to being exhausted and fiscal policy alone is proven less effective, a new and unconventional coordination between monetary and fiscal helps boost growth. This scenario is inspired by the BII's August 2019 publication titled 'Dealing with the next downturn'."/>
    <x v="1010"/>
    <s v="Transportation x Airlines"/>
    <e v="#N/A"/>
    <s v="FMI_NAMR_INDTRAXAIR"/>
    <e v="#N/A"/>
    <s v="BOTH #N/A"/>
    <x v="4"/>
    <s v="Industrials"/>
    <x v="4"/>
    <x v="1"/>
    <x v="125"/>
  </r>
  <r>
    <x v="160"/>
    <s v="Policy Effectiveness-Monetary and Fiscal Policy Coordination"/>
    <n v="2436"/>
    <s v="Monetary and Fiscal Policy Coordination: As monetary tools are close to being exhausted and fiscal policy alone is proven less effective, a new and unconventional coordination between monetary and fiscal helps boost growth. This scenario is inspired by the BII's August 2019 publication titled 'Dealing with the next downturn'."/>
    <x v="1011"/>
    <s v="US HY Market"/>
    <s v="Corporate HY USD - Other"/>
    <s v="USD_HY_MARKET"/>
    <s v="Corporate HY USD - Other"/>
    <s v="OK"/>
    <x v="22"/>
    <s v="Spread Yield"/>
    <x v="5"/>
    <x v="4"/>
    <x v="176"/>
  </r>
  <r>
    <x v="161"/>
    <s v="Policy Effectiveness - ECB Expands the QE-Eligible Universe "/>
    <n v="2435"/>
    <s v="ECB Expands the QE-Eligible Universe: Political and legal constraints leave little room for aggressive fiscal action in near term in the US and in the EU. The ECB will surprise the market, pursuing new, untraditional accommodative tools to help the region break out of longstanding stagnation."/>
    <x v="1012"/>
    <s v="Tsy 3M"/>
    <s v="Govt USD"/>
    <s v="USD_3m"/>
    <s v="Govt USD"/>
    <s v="OK"/>
    <x v="0"/>
    <s v="Yield  "/>
    <x v="0"/>
    <x v="0"/>
    <x v="175"/>
  </r>
  <r>
    <x v="161"/>
    <s v="Policy Effectiveness - ECB Expands the QE-Eligible Universe "/>
    <n v="2435"/>
    <s v="ECB Expands the QE-Eligible Universe: Political and legal constraints leave little room for aggressive fiscal action in near term in the US and in the EU. The ECB will surprise the market, pursuing new, untraditional accommodative tools to help the region break out of longstanding stagnation."/>
    <x v="418"/>
    <s v="Tsy 10Y"/>
    <s v="Govt USD"/>
    <s v="USD_10yr"/>
    <s v="Govt USD"/>
    <s v="OK"/>
    <x v="0"/>
    <s v="Yield  "/>
    <x v="0"/>
    <x v="0"/>
    <x v="127"/>
  </r>
  <r>
    <x v="161"/>
    <s v="Policy Effectiveness - ECB Expands the QE-Eligible Universe "/>
    <n v="2435"/>
    <s v="ECB Expands the QE-Eligible Universe: Political and legal constraints leave little room for aggressive fiscal action in near term in the US and in the EU. The ECB will surprise the market, pursuing new, untraditional accommodative tools to help the region break out of longstanding stagnation."/>
    <x v="857"/>
    <s v="ESP 10Y"/>
    <s v="Spread Govt Peripheral EUR (ex ITA)"/>
    <s v="ESP_10yr"/>
    <s v="Spread Govt Peripheral EUR (ex ITA)"/>
    <s v="OK"/>
    <x v="50"/>
    <s v="Spread Yield"/>
    <x v="11"/>
    <x v="0"/>
    <x v="124"/>
  </r>
  <r>
    <x v="161"/>
    <s v="Policy Effectiveness - ECB Expands the QE-Eligible Universe "/>
    <n v="2435"/>
    <s v="ECB Expands the QE-Eligible Universe: Political and legal constraints leave little room for aggressive fiscal action in near term in the US and in the EU. The ECB will surprise the market, pursuing new, untraditional accommodative tools to help the region break out of longstanding stagnation."/>
    <x v="760"/>
    <s v="DEM 3M"/>
    <s v="Govt EUR (Ger)"/>
    <s v="EUR_3m"/>
    <s v="Govt EUR (Ger)"/>
    <s v="OK"/>
    <x v="9"/>
    <s v="Yield  "/>
    <x v="0"/>
    <x v="0"/>
    <x v="175"/>
  </r>
  <r>
    <x v="161"/>
    <s v="Policy Effectiveness - ECB Expands the QE-Eligible Universe "/>
    <n v="2435"/>
    <s v="ECB Expands the QE-Eligible Universe: Political and legal constraints leave little room for aggressive fiscal action in near term in the US and in the EU. The ECB will surprise the market, pursuing new, untraditional accommodative tools to help the region break out of longstanding stagnation."/>
    <x v="976"/>
    <s v="DEM 10Y"/>
    <s v="Govt EUR (Ger)"/>
    <s v="EUR_10yr"/>
    <s v="Govt EUR (Ger)"/>
    <s v="OK"/>
    <x v="9"/>
    <s v="Yield  "/>
    <x v="0"/>
    <x v="0"/>
    <x v="134"/>
  </r>
  <r>
    <x v="161"/>
    <s v="Policy Effectiveness - ECB Expands the QE-Eligible Universe "/>
    <n v="2435"/>
    <s v="ECB Expands the QE-Eligible Universe: Political and legal constraints leave little room for aggressive fiscal action in near term in the US and in the EU. The ECB will surprise the market, pursuing new, untraditional accommodative tools to help the region break out of longstanding stagnation."/>
    <x v="452"/>
    <s v="EUR/USD"/>
    <s v="EUR"/>
    <s v="EUR_FX_USD"/>
    <s v="EUR"/>
    <s v="OK"/>
    <x v="13"/>
    <s v="FX  "/>
    <x v="3"/>
    <x v="3"/>
    <x v="122"/>
  </r>
  <r>
    <x v="161"/>
    <s v="Policy Effectiveness - ECB Expands the QE-Eligible Universe "/>
    <n v="2435"/>
    <s v="ECB Expands the QE-Eligible Universe: Political and legal constraints leave little room for aggressive fiscal action in near term in the US and in the EU. The ECB will surprise the market, pursuing new, untraditional accommodative tools to help the region break out of longstanding stagnation."/>
    <x v="1013"/>
    <s v="DXY"/>
    <e v="#N/A"/>
    <s v="DXY"/>
    <e v="#N/A"/>
    <s v="BOTH #N/A"/>
    <x v="18"/>
    <s v="Dollar Index"/>
    <x v="9"/>
    <x v="2"/>
    <x v="159"/>
  </r>
  <r>
    <x v="161"/>
    <s v="Policy Effectiveness - ECB Expands the QE-Eligible Universe "/>
    <n v="2435"/>
    <s v="ECB Expands the QE-Eligible Universe: Political and legal constraints leave little room for aggressive fiscal action in near term in the US and in the EU. The ECB will surprise the market, pursuing new, untraditional accommodative tools to help the region break out of longstanding stagnation."/>
    <x v="1014"/>
    <s v="S&amp;P 500"/>
    <s v="Equity Implied Volatility"/>
    <s v="SPX"/>
    <s v="Equity Implied Volatility"/>
    <s v="OK"/>
    <x v="1"/>
    <s v="Index Level"/>
    <x v="1"/>
    <x v="1"/>
    <x v="174"/>
  </r>
  <r>
    <x v="161"/>
    <s v="Policy Effectiveness - ECB Expands the QE-Eligible Universe "/>
    <n v="2435"/>
    <s v="ECB Expands the QE-Eligible Universe: Political and legal constraints leave little room for aggressive fiscal action in near term in the US and in the EU. The ECB will surprise the market, pursuing new, untraditional accommodative tools to help the region break out of longstanding stagnation."/>
    <x v="741"/>
    <s v="MSCI EUROPE(EUR)"/>
    <s v="Equity Implied Volatility"/>
    <s v="MXEU"/>
    <s v="Equity Implied Volatility"/>
    <s v="OK"/>
    <x v="1"/>
    <s v="Index Level"/>
    <x v="1"/>
    <x v="1"/>
    <x v="148"/>
  </r>
  <r>
    <x v="161"/>
    <s v="Policy Effectiveness - ECB Expands the QE-Eligible Universe "/>
    <n v="2435"/>
    <s v="ECB Expands the QE-Eligible Universe: Political and legal constraints leave little room for aggressive fiscal action in near term in the US and in the EU. The ECB will surprise the market, pursuing new, untraditional accommodative tools to help the region break out of longstanding stagnation."/>
    <x v="1015"/>
    <s v="EU Banking IG"/>
    <s v="Corporate IG EUR - Industry"/>
    <s v="EUR_BANKBROK_IG_V3"/>
    <s v="Corporate IG EUR - Industry"/>
    <s v="OK"/>
    <x v="58"/>
    <s v="Spread Yield"/>
    <x v="5"/>
    <x v="4"/>
    <x v="164"/>
  </r>
  <r>
    <x v="161"/>
    <s v="Policy Effectiveness - ECB Expands the QE-Eligible Universe "/>
    <n v="2435"/>
    <s v="ECB Expands the QE-Eligible Universe: Political and legal constraints leave little room for aggressive fiscal action in near term in the US and in the EU. The ECB will surprise the market, pursuing new, untraditional accommodative tools to help the region break out of longstanding stagnation."/>
    <x v="1016"/>
    <s v="Time"/>
    <e v="#N/A"/>
    <s v="ALL_TIME"/>
    <e v="#N/A"/>
    <s v="BOTH #N/A"/>
    <x v="64"/>
    <s v="Time "/>
    <x v="8"/>
    <x v="2"/>
    <x v="115"/>
  </r>
  <r>
    <x v="162"/>
    <s v="Rapid Deflation                                             "/>
    <n v="2555"/>
    <s v="Oil price drops which causes short-end of the inflation curve to drop. The short end of the nominal curve is held unchanged since nominal rates in the short end are already very low. Due to the new round of quantitative easing agency mortgage rate spreads"/>
    <x v="1017"/>
    <s v="Tsy 3M"/>
    <s v="Govt USD"/>
    <s v="USD_3m"/>
    <s v="Govt USD"/>
    <s v="OK"/>
    <x v="0"/>
    <s v="Yield  "/>
    <x v="0"/>
    <x v="0"/>
    <x v="119"/>
  </r>
  <r>
    <x v="162"/>
    <s v="Rapid Deflation                                             "/>
    <n v="2555"/>
    <s v="Oil price drops which causes short-end of the inflation curve to drop. The short end of the nominal curve is held unchanged since nominal rates in the short end are already very low. Due to the new round of quantitative easing agency mortgage rate spreads"/>
    <x v="1018"/>
    <s v="Tsy 1Y"/>
    <s v="Govt USD"/>
    <s v="USD_1yr"/>
    <s v="Govt USD"/>
    <s v="OK"/>
    <x v="0"/>
    <s v="Yield  "/>
    <x v="0"/>
    <x v="0"/>
    <x v="119"/>
  </r>
  <r>
    <x v="162"/>
    <s v="Rapid Deflation                                             "/>
    <n v="2555"/>
    <s v="Oil price drops which causes short-end of the inflation curve to drop. The short end of the nominal curve is held unchanged since nominal rates in the short end are already very low. Due to the new round of quantitative easing agency mortgage rate spreads"/>
    <x v="1019"/>
    <s v="USD INF 3M"/>
    <s v="USD Inflation"/>
    <s v="USD_INF_3m"/>
    <s v="USD Inflation"/>
    <s v="OK"/>
    <x v="8"/>
    <s v="Yield  "/>
    <x v="6"/>
    <x v="2"/>
    <x v="231"/>
  </r>
  <r>
    <x v="162"/>
    <s v="Rapid Deflation                                             "/>
    <n v="2555"/>
    <s v="Oil price drops which causes short-end of the inflation curve to drop. The short end of the nominal curve is held unchanged since nominal rates in the short end are already very low. Due to the new round of quantitative easing agency mortgage rate spreads"/>
    <x v="1020"/>
    <s v="USD INF 1Y"/>
    <s v="USD Inflation"/>
    <s v="USD_INF_1yr"/>
    <s v="USD Inflation"/>
    <s v="OK"/>
    <x v="8"/>
    <s v="Yield  "/>
    <x v="6"/>
    <x v="2"/>
    <x v="201"/>
  </r>
  <r>
    <x v="162"/>
    <s v="Rapid Deflation                                             "/>
    <n v="2555"/>
    <s v="Oil price drops which causes short-end of the inflation curve to drop. The short end of the nominal curve is held unchanged since nominal rates in the short end are already very low. Due to the new round of quantitative easing agency mortgage rate spreads"/>
    <x v="1021"/>
    <s v="Crude Oil NYME 1"/>
    <s v="Alternative - Commodity"/>
    <s v="USD_COMD_CL_1"/>
    <s v="Alternative - Commodity"/>
    <s v="OK"/>
    <x v="2"/>
    <s v="Price Level  "/>
    <x v="2"/>
    <x v="2"/>
    <x v="232"/>
  </r>
  <r>
    <x v="162"/>
    <s v="Rapid Deflation                                             "/>
    <n v="2555"/>
    <s v="Oil price drops which causes short-end of the inflation curve to drop. The short end of the nominal curve is held unchanged since nominal rates in the short end are already very low. Due to the new round of quantitative easing agency mortgage rate spreads"/>
    <x v="1022"/>
    <s v="TBA30 ATM v540"/>
    <s v="Mortgage - Moneyness"/>
    <s v="USD_TBA_ATM_V540"/>
    <s v="Mortgage - Moneyness"/>
    <s v="OK"/>
    <x v="69"/>
    <s v="Spread Yield"/>
    <x v="2"/>
    <x v="2"/>
    <x v="123"/>
  </r>
  <r>
    <x v="162"/>
    <s v="Rapid Deflation                                             "/>
    <n v="2555"/>
    <s v="Oil price drops which causes short-end of the inflation curve to drop. The short end of the nominal curve is held unchanged since nominal rates in the short end are already very low. Due to the new round of quantitative easing agency mortgage rate spreads"/>
    <x v="1023"/>
    <s v="Tsy 2Y"/>
    <s v="Govt USD"/>
    <s v="USD_2yr"/>
    <s v="Govt USD"/>
    <s v="OK"/>
    <x v="0"/>
    <s v="Yield  "/>
    <x v="0"/>
    <x v="0"/>
    <x v="164"/>
  </r>
  <r>
    <x v="163"/>
    <s v="US Rates Paradigm Shift - Fed Surprise Delay                "/>
    <n v="2509"/>
    <s v="-"/>
    <x v="238"/>
    <s v="Tsy 10Y"/>
    <s v="Govt USD"/>
    <s v="USD_10yr"/>
    <s v="Govt USD"/>
    <s v="OK"/>
    <x v="0"/>
    <s v="Yield  "/>
    <x v="0"/>
    <x v="0"/>
    <x v="137"/>
  </r>
  <r>
    <x v="163"/>
    <s v="US Rates Paradigm Shift - Fed Surprise Delay                "/>
    <n v="2509"/>
    <s v="-"/>
    <x v="316"/>
    <s v="USD INF 10Y"/>
    <s v="USD Inflation"/>
    <s v="USD_INF_10yr"/>
    <s v="USD Inflation"/>
    <s v="OK"/>
    <x v="8"/>
    <s v="Yield  "/>
    <x v="6"/>
    <x v="2"/>
    <x v="138"/>
  </r>
  <r>
    <x v="163"/>
    <s v="US Rates Paradigm Shift - Fed Surprise Delay                "/>
    <n v="2509"/>
    <s v="-"/>
    <x v="512"/>
    <s v="EUR/USD"/>
    <s v="EUR"/>
    <s v="EUR_FX_USD"/>
    <s v="EUR"/>
    <s v="OK"/>
    <x v="13"/>
    <s v="FX  "/>
    <x v="3"/>
    <x v="3"/>
    <x v="125"/>
  </r>
  <r>
    <x v="163"/>
    <s v="US Rates Paradigm Shift - Fed Surprise Delay                "/>
    <n v="2509"/>
    <s v="-"/>
    <x v="587"/>
    <s v="S&amp;P 500"/>
    <s v="Equity Implied Volatility"/>
    <s v="SPX"/>
    <s v="Equity Implied Volatility"/>
    <s v="OK"/>
    <x v="1"/>
    <s v="Index Level"/>
    <x v="1"/>
    <x v="1"/>
    <x v="122"/>
  </r>
  <r>
    <x v="163"/>
    <s v="US Rates Paradigm Shift - Fed Surprise Delay                "/>
    <n v="2509"/>
    <s v="-"/>
    <x v="395"/>
    <s v="EMBIG DxS"/>
    <s v="Spread Emerging Markets - Country"/>
    <s v="USD_EM_DS_G"/>
    <s v="Spread Emerging Markets - Country"/>
    <s v="OK"/>
    <x v="29"/>
    <s v="Spread Yield"/>
    <x v="5"/>
    <x v="4"/>
    <x v="164"/>
  </r>
  <r>
    <x v="163"/>
    <s v="US Rates Paradigm Shift - Fed Surprise Delay                "/>
    <n v="2509"/>
    <s v="-"/>
    <x v="1024"/>
    <s v="OIS 3m"/>
    <s v="Govt USD"/>
    <s v="USD_OIS_3m"/>
    <s v="Govt USD"/>
    <s v="OK"/>
    <x v="0"/>
    <s v="Yield  "/>
    <x v="0"/>
    <x v="0"/>
    <x v="124"/>
  </r>
  <r>
    <x v="163"/>
    <s v="US Rates Paradigm Shift - Fed Surprise Delay                "/>
    <n v="2509"/>
    <s v="-"/>
    <x v="458"/>
    <s v="DEPO 3m"/>
    <s v="Other - KRD"/>
    <s v="USD_DEPO_3m"/>
    <s v="Other - KRD"/>
    <s v="OK"/>
    <x v="59"/>
    <s v="Yield  "/>
    <x v="7"/>
    <x v="2"/>
    <x v="134"/>
  </r>
  <r>
    <x v="163"/>
    <s v="US Rates Paradigm Shift - Fed Surprise Delay                "/>
    <n v="2509"/>
    <s v="-"/>
    <x v="459"/>
    <s v="CP A1P1 3m"/>
    <s v="Other - KRD"/>
    <s v="USD_CP_A1P1_3m"/>
    <s v="Other - KRD"/>
    <s v="OK"/>
    <x v="59"/>
    <s v="Yield  "/>
    <x v="7"/>
    <x v="2"/>
    <x v="134"/>
  </r>
  <r>
    <x v="163"/>
    <s v="US Rates Paradigm Shift - Fed Surprise Delay                "/>
    <n v="2509"/>
    <s v="-"/>
    <x v="1025"/>
    <s v="MSCI World Consumer Staples"/>
    <s v="Other - Index"/>
    <s v="MSCOST_LCL"/>
    <s v="Other - Index"/>
    <s v="OK"/>
    <x v="12"/>
    <s v="Index Level"/>
    <x v="7"/>
    <x v="2"/>
    <x v="161"/>
  </r>
  <r>
    <x v="163"/>
    <s v="US Rates Paradigm Shift - Fed Surprise Delay                "/>
    <n v="2509"/>
    <s v="-"/>
    <x v="1026"/>
    <s v="MSCI World Financials"/>
    <s v="Other - Index"/>
    <s v="MSFNCL_LCL"/>
    <s v="Other - Index"/>
    <s v="OK"/>
    <x v="12"/>
    <s v="Index Level"/>
    <x v="7"/>
    <x v="2"/>
    <x v="142"/>
  </r>
  <r>
    <x v="163"/>
    <s v="US Rates Paradigm Shift - Fed Surprise Delay                "/>
    <n v="2509"/>
    <s v="-"/>
    <x v="1027"/>
    <s v="Tsy 30Y"/>
    <s v="Govt USD"/>
    <s v="30Y"/>
    <e v="#N/A"/>
    <s v="OK"/>
    <x v="0"/>
    <s v="Yield  "/>
    <x v="0"/>
    <x v="0"/>
    <x v="119"/>
  </r>
  <r>
    <x v="164"/>
    <s v="US Rates Paradigm Shift - Real Growth                       "/>
    <n v="2508"/>
    <s v="-"/>
    <x v="1028"/>
    <s v="Tsy 2Y"/>
    <s v="Govt USD"/>
    <s v="USD_2yr"/>
    <s v="Govt USD"/>
    <s v="OK"/>
    <x v="0"/>
    <s v="Yield  "/>
    <x v="0"/>
    <x v="0"/>
    <x v="140"/>
  </r>
  <r>
    <x v="164"/>
    <s v="US Rates Paradigm Shift - Real Growth                       "/>
    <n v="2508"/>
    <s v="-"/>
    <x v="429"/>
    <s v="Tsy 10Y"/>
    <s v="Govt USD"/>
    <s v="USD_10yr"/>
    <s v="Govt USD"/>
    <s v="OK"/>
    <x v="0"/>
    <s v="Yield  "/>
    <x v="0"/>
    <x v="0"/>
    <x v="118"/>
  </r>
  <r>
    <x v="164"/>
    <s v="US Rates Paradigm Shift - Real Growth                       "/>
    <n v="2508"/>
    <s v="-"/>
    <x v="149"/>
    <s v="USD INF 10Y"/>
    <s v="USD Inflation"/>
    <s v="USD_INF_10yr"/>
    <s v="USD Inflation"/>
    <s v="OK"/>
    <x v="8"/>
    <s v="Yield  "/>
    <x v="6"/>
    <x v="2"/>
    <x v="132"/>
  </r>
  <r>
    <x v="164"/>
    <s v="US Rates Paradigm Shift - Real Growth                       "/>
    <n v="2508"/>
    <s v="-"/>
    <x v="1029"/>
    <s v="GSCI"/>
    <s v="Alternative - Commodity"/>
    <s v="GSCIINDX"/>
    <s v="Alternative - Commodity"/>
    <s v="OK"/>
    <x v="2"/>
    <s v="Price Level  "/>
    <x v="2"/>
    <x v="2"/>
    <x v="148"/>
  </r>
  <r>
    <x v="164"/>
    <s v="US Rates Paradigm Shift - Real Growth                       "/>
    <n v="2508"/>
    <s v="-"/>
    <x v="1030"/>
    <s v="US Cash Bonds HY"/>
    <e v="#N/A"/>
    <s v="USD_LEH_HY3"/>
    <e v="#N/A"/>
    <s v="BOTH #N/A"/>
    <x v="26"/>
    <s v="Corporate IG USD - Other"/>
    <x v="5"/>
    <x v="4"/>
    <x v="233"/>
  </r>
  <r>
    <x v="164"/>
    <s v="US Rates Paradigm Shift - Real Growth                       "/>
    <n v="2508"/>
    <s v="-"/>
    <x v="320"/>
    <s v="DXY"/>
    <e v="#N/A"/>
    <s v="DXY"/>
    <e v="#N/A"/>
    <s v="BOTH #N/A"/>
    <x v="18"/>
    <s v="Dollar Index"/>
    <x v="9"/>
    <x v="2"/>
    <x v="139"/>
  </r>
  <r>
    <x v="164"/>
    <s v="US Rates Paradigm Shift - Real Growth                       "/>
    <n v="2508"/>
    <s v="-"/>
    <x v="705"/>
    <s v="S&amp;P 500"/>
    <s v="Equity Implied Volatility"/>
    <s v="SPX"/>
    <s v="Equity Implied Volatility"/>
    <s v="OK"/>
    <x v="1"/>
    <s v="Index Level"/>
    <x v="1"/>
    <x v="1"/>
    <x v="125"/>
  </r>
  <r>
    <x v="164"/>
    <s v="US Rates Paradigm Shift - Real Growth                       "/>
    <n v="2508"/>
    <s v="-"/>
    <x v="286"/>
    <s v="EMBIG DxS"/>
    <s v="Spread Emerging Markets - Country"/>
    <s v="USD_EM_DS_G"/>
    <s v="Spread Emerging Markets - Country"/>
    <s v="OK"/>
    <x v="29"/>
    <s v="Spread Yield"/>
    <x v="5"/>
    <x v="4"/>
    <x v="118"/>
  </r>
  <r>
    <x v="164"/>
    <s v="US Rates Paradigm Shift - Real Growth                       "/>
    <n v="2508"/>
    <s v="-"/>
    <x v="870"/>
    <s v="OIS 3m"/>
    <s v="Govt USD"/>
    <s v="USD_OIS_3m"/>
    <s v="Govt USD"/>
    <s v="OK"/>
    <x v="0"/>
    <s v="Yield  "/>
    <x v="0"/>
    <x v="0"/>
    <x v="134"/>
  </r>
  <r>
    <x v="164"/>
    <s v="US Rates Paradigm Shift - Real Growth                       "/>
    <n v="2508"/>
    <s v="-"/>
    <x v="374"/>
    <s v="DEPO Sprd 3m"/>
    <s v="Money Market"/>
    <s v="USD_DEPO_Sprd_3m"/>
    <s v="Money Market"/>
    <s v="OK"/>
    <x v="56"/>
    <s v="Spread Yield"/>
    <x v="7"/>
    <x v="2"/>
    <x v="134"/>
  </r>
  <r>
    <x v="164"/>
    <s v="US Rates Paradigm Shift - Real Growth                       "/>
    <n v="2508"/>
    <s v="-"/>
    <x v="871"/>
    <s v="CP A1P1 Sprd 3m"/>
    <s v="Money Market"/>
    <s v="USD_CP_A1P1_Sprd_3m"/>
    <s v="Money Market"/>
    <s v="OK"/>
    <x v="56"/>
    <s v="Spread Yield"/>
    <x v="7"/>
    <x v="2"/>
    <x v="134"/>
  </r>
  <r>
    <x v="164"/>
    <s v="US Rates Paradigm Shift - Real Growth                       "/>
    <n v="2508"/>
    <s v="-"/>
    <x v="1031"/>
    <s v="S&amp;P 500 Cons. Disc. Index"/>
    <s v="Other - Index"/>
    <s v="Index"/>
    <e v="#N/A"/>
    <s v="OK"/>
    <x v="12"/>
    <s v="Index Level"/>
    <x v="7"/>
    <x v="2"/>
    <x v="125"/>
  </r>
  <r>
    <x v="164"/>
    <s v="US Rates Paradigm Shift - Real Growth                       "/>
    <n v="2508"/>
    <s v="-"/>
    <x v="1027"/>
    <s v="Tsy 30Y"/>
    <s v="Govt USD"/>
    <s v="30Y"/>
    <e v="#N/A"/>
    <s v="OK"/>
    <x v="0"/>
    <s v="Yield  "/>
    <x v="0"/>
    <x v="0"/>
    <x v="119"/>
  </r>
  <r>
    <x v="165"/>
    <s v="US Rates Paradigm Shift - Stagflation Policy Reaction       "/>
    <n v="2507"/>
    <s v="-"/>
    <x v="161"/>
    <s v="Tsy 2Y"/>
    <s v="Govt USD"/>
    <s v="USD_2yr"/>
    <s v="Govt USD"/>
    <s v="OK"/>
    <x v="0"/>
    <s v="Yield  "/>
    <x v="0"/>
    <x v="0"/>
    <x v="135"/>
  </r>
  <r>
    <x v="165"/>
    <s v="US Rates Paradigm Shift - Stagflation Policy Reaction       "/>
    <n v="2507"/>
    <s v="-"/>
    <x v="599"/>
    <s v="Tsy 10Y"/>
    <s v="Govt USD"/>
    <s v="USD_10yr"/>
    <s v="Govt USD"/>
    <s v="OK"/>
    <x v="0"/>
    <s v="Yield  "/>
    <x v="0"/>
    <x v="0"/>
    <x v="140"/>
  </r>
  <r>
    <x v="165"/>
    <s v="US Rates Paradigm Shift - Stagflation Policy Reaction       "/>
    <n v="2507"/>
    <s v="-"/>
    <x v="702"/>
    <s v="USD INF 10Y"/>
    <s v="USD Inflation"/>
    <s v="USD_INF_10yr"/>
    <s v="USD Inflation"/>
    <s v="OK"/>
    <x v="8"/>
    <s v="Yield  "/>
    <x v="6"/>
    <x v="2"/>
    <x v="123"/>
  </r>
  <r>
    <x v="165"/>
    <s v="US Rates Paradigm Shift - Stagflation Policy Reaction       "/>
    <n v="2507"/>
    <s v="-"/>
    <x v="692"/>
    <s v="Crude Oil NYME 1"/>
    <s v="Alternative - Commodity"/>
    <s v="USD_COMD_CL_1"/>
    <s v="Alternative - Commodity"/>
    <s v="OK"/>
    <x v="2"/>
    <s v="Price Level  "/>
    <x v="2"/>
    <x v="2"/>
    <x v="148"/>
  </r>
  <r>
    <x v="165"/>
    <s v="US Rates Paradigm Shift - Stagflation Policy Reaction       "/>
    <n v="2507"/>
    <s v="-"/>
    <x v="1032"/>
    <s v="US Cash Bonds HY"/>
    <e v="#N/A"/>
    <s v="USD_LEH_HY3"/>
    <e v="#N/A"/>
    <s v="BOTH #N/A"/>
    <x v="26"/>
    <s v="Corporate IG USD - Other"/>
    <x v="5"/>
    <x v="4"/>
    <x v="118"/>
  </r>
  <r>
    <x v="165"/>
    <s v="US Rates Paradigm Shift - Stagflation Policy Reaction       "/>
    <n v="2507"/>
    <s v="-"/>
    <x v="976"/>
    <s v="DEM 10Y"/>
    <s v="Govt EUR (Ger)"/>
    <s v="EUR_10yr"/>
    <s v="Govt EUR (Ger)"/>
    <s v="OK"/>
    <x v="9"/>
    <s v="Yield  "/>
    <x v="0"/>
    <x v="0"/>
    <x v="134"/>
  </r>
  <r>
    <x v="165"/>
    <s v="US Rates Paradigm Shift - Stagflation Policy Reaction       "/>
    <n v="2507"/>
    <s v="-"/>
    <x v="1033"/>
    <s v="EUR/USD"/>
    <s v="EUR"/>
    <s v="EUR_FX_USD"/>
    <s v="EUR"/>
    <s v="OK"/>
    <x v="13"/>
    <s v="FX  "/>
    <x v="3"/>
    <x v="3"/>
    <x v="116"/>
  </r>
  <r>
    <x v="165"/>
    <s v="US Rates Paradigm Shift - Stagflation Policy Reaction       "/>
    <n v="2507"/>
    <s v="-"/>
    <x v="332"/>
    <s v="S&amp;P 500"/>
    <s v="Equity Implied Volatility"/>
    <s v="SPX"/>
    <s v="Equity Implied Volatility"/>
    <s v="OK"/>
    <x v="1"/>
    <s v="Index Level"/>
    <x v="1"/>
    <x v="1"/>
    <x v="113"/>
  </r>
  <r>
    <x v="165"/>
    <s v="US Rates Paradigm Shift - Stagflation Policy Reaction       "/>
    <n v="2507"/>
    <s v="-"/>
    <x v="1034"/>
    <s v="Value"/>
    <s v="Value"/>
    <s v="FMI_NAMR_VALUE"/>
    <e v="#N/A"/>
    <s v="OK"/>
    <x v="46"/>
    <s v="Style Return  "/>
    <x v="13"/>
    <x v="1"/>
    <x v="120"/>
  </r>
  <r>
    <x v="165"/>
    <s v="US Rates Paradigm Shift - Stagflation Policy Reaction       "/>
    <n v="2507"/>
    <s v="-"/>
    <x v="475"/>
    <s v="OIS 3m"/>
    <s v="Govt USD"/>
    <s v="USD_OIS_3m"/>
    <s v="Govt USD"/>
    <s v="OK"/>
    <x v="0"/>
    <s v="Yield  "/>
    <x v="0"/>
    <x v="0"/>
    <x v="127"/>
  </r>
  <r>
    <x v="165"/>
    <s v="US Rates Paradigm Shift - Stagflation Policy Reaction       "/>
    <n v="2507"/>
    <s v="-"/>
    <x v="1027"/>
    <s v="Tsy 30Y"/>
    <s v="Govt USD"/>
    <s v="30Y"/>
    <e v="#N/A"/>
    <s v="OK"/>
    <x v="0"/>
    <s v="Yield  "/>
    <x v="0"/>
    <x v="0"/>
    <x v="119"/>
  </r>
  <r>
    <x v="166"/>
    <s v="Recession - Relative, Dec 3, 2007 - Mar 9, 2009             "/>
    <n v="2311"/>
    <s v="Starting date for this scenario is the official beginning of the latest recession in the US. The end date is the lowest point of S&amp;P 500 in the recent decade. Shocks for DxS Factors are percentages of spread."/>
    <x v="79"/>
    <m/>
    <e v="#N/A"/>
    <s v="-"/>
    <e v="#N/A"/>
    <s v="BOTH #N/A"/>
    <x v="24"/>
    <s v="-"/>
    <x v="10"/>
    <x v="5"/>
    <x v="59"/>
  </r>
  <r>
    <x v="167"/>
    <s v="Recession - Absolute, Dec 3, 2007 - Mar 9, 2009             "/>
    <n v="2312"/>
    <s v="Starting date for this scenario is the official beginning of the latest recession in the US. The end date is the lowest point of S&amp;P 500 in the recent decade. Shocks for DxS Factors are spreads."/>
    <x v="79"/>
    <m/>
    <e v="#N/A"/>
    <s v="-"/>
    <e v="#N/A"/>
    <s v="BOTH #N/A"/>
    <x v="24"/>
    <s v="-"/>
    <x v="10"/>
    <x v="5"/>
    <x v="59"/>
  </r>
  <r>
    <x v="168"/>
    <s v="USD Down                                                    "/>
    <n v="2010"/>
    <s v="US dollar index down 3 Sigma"/>
    <x v="1035"/>
    <s v="DXY"/>
    <e v="#N/A"/>
    <s v="DXY"/>
    <e v="#N/A"/>
    <s v="BOTH #N/A"/>
    <x v="18"/>
    <s v="Dollar Index"/>
    <x v="9"/>
    <x v="2"/>
    <x v="114"/>
  </r>
  <r>
    <x v="169"/>
    <s v="Equity Up / Rates Up                                        "/>
    <n v="2002"/>
    <s v="Equity up 3 Sigma/Rates up 3 Sigma directionally"/>
    <x v="1036"/>
    <s v="Tsy 10Y"/>
    <s v="Govt USD"/>
    <s v="USD_10yr"/>
    <s v="Govt USD"/>
    <s v="OK"/>
    <x v="0"/>
    <s v="Yield  "/>
    <x v="0"/>
    <x v="0"/>
    <x v="234"/>
  </r>
  <r>
    <x v="169"/>
    <s v="Equity Up / Rates Up                                        "/>
    <n v="2002"/>
    <s v="Equity up 3 Sigma/Rates up 3 Sigma directionally"/>
    <x v="1037"/>
    <s v="MSCI World Net TR"/>
    <s v="Equity Implied Volatility"/>
    <s v="MSCIWLDNET"/>
    <s v="Equity Implied Volatility"/>
    <s v="OK"/>
    <x v="1"/>
    <s v="Index Level"/>
    <x v="1"/>
    <x v="1"/>
    <x v="235"/>
  </r>
  <r>
    <x v="170"/>
    <s v="Equity Down / Rates Up                                      "/>
    <n v="2003"/>
    <s v="Equity down 3 Sigma/Rates up 3 Sigma directionally"/>
    <x v="1036"/>
    <s v="Tsy 10Y"/>
    <s v="Govt USD"/>
    <s v="USD_10yr"/>
    <s v="Govt USD"/>
    <s v="OK"/>
    <x v="0"/>
    <s v="Yield  "/>
    <x v="0"/>
    <x v="0"/>
    <x v="234"/>
  </r>
  <r>
    <x v="170"/>
    <s v="Equity Down / Rates Up                                      "/>
    <n v="2003"/>
    <s v="Equity down 3 Sigma/Rates up 3 Sigma directionally"/>
    <x v="1038"/>
    <s v="MSCI World Net TR"/>
    <s v="Equity Implied Volatility"/>
    <s v="MSCIWLDNET"/>
    <s v="Equity Implied Volatility"/>
    <s v="OK"/>
    <x v="1"/>
    <s v="Index Level"/>
    <x v="1"/>
    <x v="1"/>
    <x v="236"/>
  </r>
  <r>
    <x v="171"/>
    <s v="Equity Down / Rates Down                                    "/>
    <n v="2004"/>
    <s v="Equity down 3 Sigma/Rates down 3 Sigma directionally"/>
    <x v="1039"/>
    <s v="Tsy 10Y"/>
    <s v="Govt USD"/>
    <s v="USD_10yr"/>
    <s v="Govt USD"/>
    <s v="OK"/>
    <x v="0"/>
    <s v="Yield  "/>
    <x v="0"/>
    <x v="0"/>
    <x v="237"/>
  </r>
  <r>
    <x v="171"/>
    <s v="Equity Down / Rates Down                                    "/>
    <n v="2004"/>
    <s v="Equity down 3 Sigma/Rates down 3 Sigma directionally"/>
    <x v="1038"/>
    <s v="MSCI World Net TR"/>
    <s v="Equity Implied Volatility"/>
    <s v="MSCIWLDNET"/>
    <s v="Equity Implied Volatility"/>
    <s v="OK"/>
    <x v="1"/>
    <s v="Index Level"/>
    <x v="1"/>
    <x v="1"/>
    <x v="236"/>
  </r>
  <r>
    <x v="172"/>
    <s v="Growth Underperforms Value                                  "/>
    <n v="2005"/>
    <s v="Growth down 3 Sigma relative to Value"/>
    <x v="1040"/>
    <s v="Russell 3000"/>
    <s v="Equity Implied Volatility"/>
    <s v="Growth"/>
    <e v="#N/A"/>
    <s v="OK"/>
    <x v="1"/>
    <s v="Index Level"/>
    <x v="1"/>
    <x v="1"/>
    <x v="238"/>
  </r>
  <r>
    <x v="173"/>
    <s v="Emerging Markets Underperform Developed Markets             "/>
    <n v="2006"/>
    <s v="Emerging Markets down 3 Sigma relative to Developed Markets"/>
    <x v="1041"/>
    <s v="MS Emerging Mkts"/>
    <s v="Equity Implied Volatility"/>
    <s v="Mkts"/>
    <e v="#N/A"/>
    <s v="OK"/>
    <x v="1"/>
    <s v="Index Level"/>
    <x v="1"/>
    <x v="1"/>
    <x v="199"/>
  </r>
  <r>
    <x v="174"/>
    <s v="2s10s Flattener                                             "/>
    <n v="2007"/>
    <s v="Treasury 10-year down 3 Sigma relative to treasury 2-year curve"/>
    <x v="1042"/>
    <s v="Tsy 10Y"/>
    <s v="Govt USD"/>
    <s v="10Y"/>
    <e v="#N/A"/>
    <s v="OK"/>
    <x v="0"/>
    <s v="Yield  "/>
    <x v="0"/>
    <x v="0"/>
    <x v="154"/>
  </r>
  <r>
    <x v="175"/>
    <s v="Gold Down                                                   "/>
    <n v="2008"/>
    <s v="Gold down 3 Sigma"/>
    <x v="1043"/>
    <s v="Gold COMEX 1"/>
    <s v="Alternative - Commodity"/>
    <s v="USD_COMD_GC_1"/>
    <s v="Alternative - Commodity"/>
    <s v="OK"/>
    <x v="2"/>
    <s v="Price Level  "/>
    <x v="2"/>
    <x v="2"/>
    <x v="239"/>
  </r>
  <r>
    <x v="176"/>
    <s v="Oil Down                                                    "/>
    <n v="2009"/>
    <s v="Oil down 3 Sigma"/>
    <x v="1044"/>
    <s v="Crude Oil NYME 1"/>
    <s v="Alternative - Commodity"/>
    <s v="USD_COMD_CL_1"/>
    <s v="Alternative - Commodity"/>
    <s v="OK"/>
    <x v="2"/>
    <s v="Price Level  "/>
    <x v="2"/>
    <x v="2"/>
    <x v="240"/>
  </r>
  <r>
    <x v="177"/>
    <s v="Russia-Ukraine Conflict - Military De-escalation (05/2022)  "/>
    <n v="2474"/>
    <s v="Military De-escalation - Russia stands down as a political settlement is reached."/>
    <x v="641"/>
    <s v="Brent Crude ICE 1"/>
    <s v="Alternative - Commodity"/>
    <s v="USD_COMD_CO_1"/>
    <s v="Alternative - Commodity"/>
    <s v="OK"/>
    <x v="2"/>
    <s v="Price Level  "/>
    <x v="2"/>
    <x v="2"/>
    <x v="121"/>
  </r>
  <r>
    <x v="177"/>
    <s v="Russia-Ukraine Conflict - Military De-escalation (05/2022)  "/>
    <n v="2474"/>
    <s v="Military De-escalation - Russia stands down as a political settlement is reached."/>
    <x v="1045"/>
    <s v="Natural gas NYME 1"/>
    <s v="Alternative - Commodity"/>
    <s v="USD_COMD_NG_1"/>
    <s v="Alternative - Commodity"/>
    <s v="OK"/>
    <x v="2"/>
    <s v="Price Level  "/>
    <x v="2"/>
    <x v="2"/>
    <x v="184"/>
  </r>
  <r>
    <x v="177"/>
    <s v="Russia-Ukraine Conflict - Military De-escalation (05/2022)  "/>
    <n v="2474"/>
    <s v="Military De-escalation - Russia stands down as a political settlement is reached."/>
    <x v="1046"/>
    <s v="DEM 2Y"/>
    <s v="Govt EUR (Ger)"/>
    <s v="EUR_2yr"/>
    <s v="Govt EUR (Ger)"/>
    <s v="OK"/>
    <x v="9"/>
    <s v="Yield  "/>
    <x v="0"/>
    <x v="0"/>
    <x v="140"/>
  </r>
  <r>
    <x v="177"/>
    <s v="Russia-Ukraine Conflict - Military De-escalation (05/2022)  "/>
    <n v="2474"/>
    <s v="Military De-escalation - Russia stands down as a political settlement is reached."/>
    <x v="539"/>
    <s v="EUR INF 5Y"/>
    <s v="EUR Inflation"/>
    <s v="EUR_INF_5yr"/>
    <s v="EUR Inflation"/>
    <s v="OK"/>
    <x v="48"/>
    <s v="Yield  "/>
    <x v="6"/>
    <x v="2"/>
    <x v="105"/>
  </r>
  <r>
    <x v="177"/>
    <s v="Russia-Ukraine Conflict - Military De-escalation (05/2022)  "/>
    <n v="2474"/>
    <s v="Military De-escalation - Russia stands down as a political settlement is reached."/>
    <x v="1047"/>
    <s v="Russia RTS"/>
    <s v="Equity Implied Volatility"/>
    <s v="RTSI"/>
    <s v="Equity Implied Volatility"/>
    <s v="OK"/>
    <x v="1"/>
    <s v="Index Level"/>
    <x v="1"/>
    <x v="1"/>
    <x v="125"/>
  </r>
  <r>
    <x v="177"/>
    <s v="Russia-Ukraine Conflict - Military De-escalation (05/2022)  "/>
    <n v="2474"/>
    <s v="Military De-escalation - Russia stands down as a political settlement is reached."/>
    <x v="1048"/>
    <s v="China Shanghai SECmp"/>
    <s v="Equity Implied Volatility"/>
    <s v="SHCOMP"/>
    <s v="Equity Implied Volatility"/>
    <s v="OK"/>
    <x v="1"/>
    <s v="Index Level"/>
    <x v="1"/>
    <x v="1"/>
    <x v="125"/>
  </r>
  <r>
    <x v="177"/>
    <s v="Russia-Ukraine Conflict - Military De-escalation (05/2022)  "/>
    <n v="2474"/>
    <s v="Military De-escalation - Russia stands down as a political settlement is reached."/>
    <x v="1049"/>
    <s v="DJ Euro Stoxx 600"/>
    <s v="Equity Implied Volatility"/>
    <s v="EURO600"/>
    <s v="Equity Implied Volatility"/>
    <s v="OK"/>
    <x v="1"/>
    <s v="Index Level"/>
    <x v="1"/>
    <x v="1"/>
    <x v="148"/>
  </r>
  <r>
    <x v="177"/>
    <s v="Russia-Ukraine Conflict - Military De-escalation (05/2022)  "/>
    <n v="2474"/>
    <s v="Military De-escalation - Russia stands down as a political settlement is reached."/>
    <x v="1050"/>
    <s v="Pan Euro Credit HY"/>
    <s v="Corporate HY EUR - Other"/>
    <s v="EUR_LEH_HY"/>
    <s v="Corporate HY EUR - Other"/>
    <s v="OK"/>
    <x v="65"/>
    <s v="Spread Yield"/>
    <x v="5"/>
    <x v="4"/>
    <x v="197"/>
  </r>
  <r>
    <x v="177"/>
    <s v="Russia-Ukraine Conflict - Military De-escalation (05/2022)  "/>
    <n v="2474"/>
    <s v="Military De-escalation - Russia stands down as a political settlement is reached."/>
    <x v="122"/>
    <s v="Time"/>
    <e v="#N/A"/>
    <s v="ALL_TIME"/>
    <e v="#N/A"/>
    <s v="BOTH #N/A"/>
    <x v="64"/>
    <s v="Time "/>
    <x v="8"/>
    <x v="2"/>
    <x v="151"/>
  </r>
  <r>
    <x v="177"/>
    <s v="Russia-Ukraine Conflict - Military De-escalation (05/2022)  "/>
    <n v="2474"/>
    <s v="Military De-escalation - Russia stands down as a political settlement is reached."/>
    <x v="1051"/>
    <s v="EUR/USD"/>
    <s v="EUR"/>
    <s v="EUR_FX_USD"/>
    <s v="EUR"/>
    <s v="OK"/>
    <x v="13"/>
    <s v="FX"/>
    <x v="3"/>
    <x v="3"/>
    <x v="141"/>
  </r>
  <r>
    <x v="177"/>
    <s v="Russia-Ukraine Conflict - Military De-escalation (05/2022)  "/>
    <n v="2474"/>
    <s v="Military De-escalation - Russia stands down as a political settlement is reached."/>
    <x v="1052"/>
    <s v="RUBUSD"/>
    <e v="#N/A"/>
    <s v="RUB_FX_USD"/>
    <s v="Emerging Currency"/>
    <s v="OK"/>
    <x v="3"/>
    <s v="FX"/>
    <x v="3"/>
    <x v="3"/>
    <x v="139"/>
  </r>
  <r>
    <x v="178"/>
    <s v="Russia-Ukraine Conflict - Russia-NATO Escalation(05/2022)   "/>
    <n v="2476"/>
    <s v="Russia-NATO Escalation - An intensifying conflict in Ukraine brings Russia and the West into direct conflict."/>
    <x v="1053"/>
    <s v="Tsy 2Y"/>
    <s v="Govt USD"/>
    <s v="USD_2yr"/>
    <s v="Govt USD"/>
    <s v="OK"/>
    <x v="0"/>
    <s v="Yield  "/>
    <x v="0"/>
    <x v="0"/>
    <x v="154"/>
  </r>
  <r>
    <x v="178"/>
    <s v="Russia-Ukraine Conflict - Russia-NATO Escalation(05/2022)   "/>
    <n v="2476"/>
    <s v="Russia-NATO Escalation - An intensifying conflict in Ukraine brings Russia and the West into direct conflict."/>
    <x v="112"/>
    <s v="Tsy 10Y"/>
    <s v="Govt USD"/>
    <s v="USD_10yr"/>
    <s v="Govt USD"/>
    <s v="OK"/>
    <x v="0"/>
    <s v="Yield  "/>
    <x v="0"/>
    <x v="0"/>
    <x v="154"/>
  </r>
  <r>
    <x v="178"/>
    <s v="Russia-Ukraine Conflict - Russia-NATO Escalation(05/2022)   "/>
    <n v="2476"/>
    <s v="Russia-NATO Escalation - An intensifying conflict in Ukraine brings Russia and the West into direct conflict."/>
    <x v="826"/>
    <s v="Brent Crude ICE 1"/>
    <s v="Alternative - Commodity"/>
    <s v="USD_COMD_CO_1"/>
    <s v="Alternative - Commodity"/>
    <s v="OK"/>
    <x v="2"/>
    <s v="Price Level  "/>
    <x v="2"/>
    <x v="2"/>
    <x v="212"/>
  </r>
  <r>
    <x v="178"/>
    <s v="Russia-Ukraine Conflict - Russia-NATO Escalation(05/2022)   "/>
    <n v="2476"/>
    <s v="Russia-NATO Escalation - An intensifying conflict in Ukraine brings Russia and the West into direct conflict."/>
    <x v="1054"/>
    <s v="EUR/USD"/>
    <s v="EUR"/>
    <s v="EUR_FX_USD"/>
    <s v="EUR"/>
    <s v="OK"/>
    <x v="13"/>
    <s v="FX  "/>
    <x v="3"/>
    <x v="3"/>
    <x v="114"/>
  </r>
  <r>
    <x v="178"/>
    <s v="Russia-Ukraine Conflict - Russia-NATO Escalation(05/2022)   "/>
    <n v="2476"/>
    <s v="Russia-NATO Escalation - An intensifying conflict in Ukraine brings Russia and the West into direct conflict."/>
    <x v="564"/>
    <s v="VIX"/>
    <s v="Equity Implied Volatility"/>
    <s v="VIX"/>
    <s v="Equity Implied Volatility"/>
    <s v="OK"/>
    <x v="1"/>
    <s v="Index Level"/>
    <x v="1"/>
    <x v="1"/>
    <x v="189"/>
  </r>
  <r>
    <x v="178"/>
    <s v="Russia-Ukraine Conflict - Russia-NATO Escalation(05/2022)   "/>
    <n v="2476"/>
    <s v="Russia-NATO Escalation - An intensifying conflict in Ukraine brings Russia and the West into direct conflict."/>
    <x v="1055"/>
    <s v="DJ Euro Stoxx 600"/>
    <s v="Equity Implied Volatility"/>
    <s v="EURO600"/>
    <s v="Equity Implied Volatility"/>
    <s v="OK"/>
    <x v="1"/>
    <s v="Index Level"/>
    <x v="1"/>
    <x v="1"/>
    <x v="142"/>
  </r>
  <r>
    <x v="178"/>
    <s v="Russia-Ukraine Conflict - Russia-NATO Escalation(05/2022)   "/>
    <n v="2476"/>
    <s v="Russia-NATO Escalation - An intensifying conflict in Ukraine brings Russia and the West into direct conflict."/>
    <x v="122"/>
    <s v="Time"/>
    <e v="#N/A"/>
    <s v="ALL_TIME"/>
    <e v="#N/A"/>
    <s v="BOTH #N/A"/>
    <x v="64"/>
    <s v="Time "/>
    <x v="8"/>
    <x v="2"/>
    <x v="151"/>
  </r>
  <r>
    <x v="178"/>
    <s v="Russia-Ukraine Conflict - Russia-NATO Escalation(05/2022)   "/>
    <n v="2476"/>
    <s v="Russia-NATO Escalation - An intensifying conflict in Ukraine brings Russia and the West into direct conflict."/>
    <x v="1056"/>
    <s v="EMBIG DxS"/>
    <s v="Spread Emerging Markets - Country"/>
    <s v="USD_EM_DS_G"/>
    <s v="Spread Emerging Markets - Country"/>
    <s v="OK"/>
    <x v="29"/>
    <s v="Spread Yield"/>
    <x v="5"/>
    <x v="4"/>
    <x v="180"/>
  </r>
  <r>
    <x v="178"/>
    <s v="Russia-Ukraine Conflict - Russia-NATO Escalation(05/2022)   "/>
    <n v="2476"/>
    <s v="Russia-NATO Escalation - An intensifying conflict in Ukraine brings Russia and the West into direct conflict."/>
    <x v="1057"/>
    <s v="Pan Euro Energy HY"/>
    <s v="Corporate HY EUR - Industry"/>
    <s v="HY"/>
    <e v="#N/A"/>
    <s v="OK"/>
    <x v="39"/>
    <s v="Spread Yield"/>
    <x v="5"/>
    <x v="4"/>
    <x v="233"/>
  </r>
  <r>
    <x v="178"/>
    <s v="Russia-Ukraine Conflict - Russia-NATO Escalation(05/2022)   "/>
    <n v="2476"/>
    <s v="Russia-NATO Escalation - An intensifying conflict in Ukraine brings Russia and the West into direct conflict."/>
    <x v="160"/>
    <s v="MS Emerging Mkts"/>
    <s v="Equity Implied Volatility"/>
    <s v="Mkts"/>
    <e v="#N/A"/>
    <s v="OK"/>
    <x v="1"/>
    <s v="Index Level"/>
    <x v="1"/>
    <x v="1"/>
    <x v="122"/>
  </r>
  <r>
    <x v="179"/>
    <s v="Russia-Ukraine Protracted Conflict Trigger Stagflation(5/22)"/>
    <n v="2475"/>
    <s v="Prolonged Conflict Triggers Stagflation - Europe's economy suffers as the war in Ukraine enters a new, extended phase."/>
    <x v="1058"/>
    <s v="GSCI PRECIOUS METALS"/>
    <s v="Alternative - Commodity"/>
    <s v="GSPMSPOT"/>
    <s v="Alternative - Commodity"/>
    <s v="OK"/>
    <x v="2"/>
    <s v="Price Level  "/>
    <x v="2"/>
    <x v="2"/>
    <x v="148"/>
  </r>
  <r>
    <x v="179"/>
    <s v="Russia-Ukraine Protracted Conflict Trigger Stagflation(5/22)"/>
    <n v="2475"/>
    <s v="Prolonged Conflict Triggers Stagflation - Europe's economy suffers as the war in Ukraine enters a new, extended phase."/>
    <x v="663"/>
    <s v="Brent Crude ICE 1"/>
    <s v="Alternative - Commodity"/>
    <s v="USD_COMD_CO_1"/>
    <s v="Alternative - Commodity"/>
    <s v="OK"/>
    <x v="2"/>
    <s v="Price Level  "/>
    <x v="2"/>
    <x v="2"/>
    <x v="179"/>
  </r>
  <r>
    <x v="179"/>
    <s v="Russia-Ukraine Protracted Conflict Trigger Stagflation(5/22)"/>
    <n v="2475"/>
    <s v="Prolonged Conflict Triggers Stagflation - Europe's economy suffers as the war in Ukraine enters a new, extended phase."/>
    <x v="1059"/>
    <s v="Natural gas NYME 1"/>
    <s v="Alternative - Commodity"/>
    <s v="USD_COMD_NG_1"/>
    <s v="Alternative - Commodity"/>
    <s v="OK"/>
    <x v="2"/>
    <s v="Price Level  "/>
    <x v="2"/>
    <x v="2"/>
    <x v="227"/>
  </r>
  <r>
    <x v="179"/>
    <s v="Russia-Ukraine Protracted Conflict Trigger Stagflation(5/22)"/>
    <n v="2475"/>
    <s v="Prolonged Conflict Triggers Stagflation - Europe's economy suffers as the war in Ukraine enters a new, extended phase."/>
    <x v="1060"/>
    <s v="DEM 2Y"/>
    <s v="Govt EUR (Ger)"/>
    <s v="EUR_2yr"/>
    <s v="Govt EUR (Ger)"/>
    <s v="OK"/>
    <x v="9"/>
    <s v="Yield  "/>
    <x v="0"/>
    <x v="0"/>
    <x v="118"/>
  </r>
  <r>
    <x v="179"/>
    <s v="Russia-Ukraine Protracted Conflict Trigger Stagflation(5/22)"/>
    <n v="2475"/>
    <s v="Prolonged Conflict Triggers Stagflation - Europe's economy suffers as the war in Ukraine enters a new, extended phase."/>
    <x v="502"/>
    <s v="DEM 10Y"/>
    <s v="Govt EUR (Ger)"/>
    <s v="EUR_10yr"/>
    <s v="Govt EUR (Ger)"/>
    <s v="OK"/>
    <x v="9"/>
    <s v="Yield  "/>
    <x v="0"/>
    <x v="0"/>
    <x v="145"/>
  </r>
  <r>
    <x v="179"/>
    <s v="Russia-Ukraine Protracted Conflict Trigger Stagflation(5/22)"/>
    <n v="2475"/>
    <s v="Prolonged Conflict Triggers Stagflation - Europe's economy suffers as the war in Ukraine enters a new, extended phase."/>
    <x v="404"/>
    <s v="DXY"/>
    <e v="#N/A"/>
    <s v="DXY"/>
    <e v="#N/A"/>
    <s v="BOTH #N/A"/>
    <x v="18"/>
    <s v="Dollar Index"/>
    <x v="9"/>
    <x v="2"/>
    <x v="141"/>
  </r>
  <r>
    <x v="179"/>
    <s v="Russia-Ukraine Protracted Conflict Trigger Stagflation(5/22)"/>
    <n v="2475"/>
    <s v="Prolonged Conflict Triggers Stagflation - Europe's economy suffers as the war in Ukraine enters a new, extended phase."/>
    <x v="1061"/>
    <s v="EUR INF 10Y"/>
    <s v="EUR Inflation"/>
    <s v="EUR_INF_10yr"/>
    <s v="EUR Inflation"/>
    <s v="OK"/>
    <x v="48"/>
    <s v="Yield  "/>
    <x v="6"/>
    <x v="2"/>
    <x v="176"/>
  </r>
  <r>
    <x v="179"/>
    <s v="Russia-Ukraine Protracted Conflict Trigger Stagflation(5/22)"/>
    <n v="2475"/>
    <s v="Prolonged Conflict Triggers Stagflation - Europe's economy suffers as the war in Ukraine enters a new, extended phase."/>
    <x v="1062"/>
    <s v="Russia RTS"/>
    <s v="Equity Implied Volatility"/>
    <s v="RTSI"/>
    <s v="Equity Implied Volatility"/>
    <s v="OK"/>
    <x v="1"/>
    <s v="Index Level"/>
    <x v="1"/>
    <x v="1"/>
    <x v="241"/>
  </r>
  <r>
    <x v="179"/>
    <s v="Russia-Ukraine Protracted Conflict Trigger Stagflation(5/22)"/>
    <n v="2475"/>
    <s v="Prolonged Conflict Triggers Stagflation - Europe's economy suffers as the war in Ukraine enters a new, extended phase."/>
    <x v="1063"/>
    <s v="DJ Euro Stoxx 600"/>
    <s v="Equity Implied Volatility"/>
    <s v="EURO600"/>
    <s v="Equity Implied Volatility"/>
    <s v="OK"/>
    <x v="1"/>
    <s v="Index Level"/>
    <x v="1"/>
    <x v="1"/>
    <x v="238"/>
  </r>
  <r>
    <x v="179"/>
    <s v="Russia-Ukraine Protracted Conflict Trigger Stagflation(5/22)"/>
    <n v="2475"/>
    <s v="Prolonged Conflict Triggers Stagflation - Europe's economy suffers as the war in Ukraine enters a new, extended phase."/>
    <x v="1064"/>
    <s v="EU Credit IG"/>
    <s v="Corporate IG EUR - Other"/>
    <s v="EUR_LEH_CREDIT_SF"/>
    <s v="Corporate IG EUR - Other"/>
    <s v="OK"/>
    <x v="45"/>
    <s v="Spread Yield"/>
    <x v="5"/>
    <x v="4"/>
    <x v="140"/>
  </r>
  <r>
    <x v="179"/>
    <s v="Russia-Ukraine Protracted Conflict Trigger Stagflation(5/22)"/>
    <n v="2475"/>
    <s v="Prolonged Conflict Triggers Stagflation - Europe's economy suffers as the war in Ukraine enters a new, extended phase."/>
    <x v="122"/>
    <s v="Time"/>
    <e v="#N/A"/>
    <s v="ALL_TIME"/>
    <e v="#N/A"/>
    <s v="BOTH #N/A"/>
    <x v="64"/>
    <s v="Time "/>
    <x v="8"/>
    <x v="2"/>
    <x v="151"/>
  </r>
  <r>
    <x v="179"/>
    <s v="Russia-Ukraine Protracted Conflict Trigger Stagflation(5/22)"/>
    <n v="2475"/>
    <s v="Prolonged Conflict Triggers Stagflation - Europe's economy suffers as the war in Ukraine enters a new, extended phase."/>
    <x v="1065"/>
    <s v="Diversified Financials"/>
    <e v="#N/A"/>
    <s v="FMI_EMEA_FINDIV"/>
    <e v="#N/A"/>
    <s v="BOTH #N/A"/>
    <x v="35"/>
    <s v="Financials"/>
    <x v="4"/>
    <x v="1"/>
    <x v="116"/>
  </r>
  <r>
    <x v="179"/>
    <s v="Russia-Ukraine Protracted Conflict Trigger Stagflation(5/22)"/>
    <n v="2475"/>
    <s v="Prolonged Conflict Triggers Stagflation - Europe's economy suffers as the war in Ukraine enters a new, extended phase."/>
    <x v="1066"/>
    <s v="Software &amp; Services"/>
    <e v="#N/A"/>
    <s v="FMI_EMEA_ITCSOFTSVC"/>
    <e v="#N/A"/>
    <s v="BOTH #N/A"/>
    <x v="5"/>
    <s v="Information Technology"/>
    <x v="4"/>
    <x v="1"/>
    <x v="117"/>
  </r>
  <r>
    <x v="180"/>
    <s v="Summer '03 - Absolute, Jun 13 - Jul 31, 2003                "/>
    <n v="2304"/>
    <s v="Treasury sell-off. Shocks for DxS Factors are spreads."/>
    <x v="79"/>
    <m/>
    <e v="#N/A"/>
    <s v="-"/>
    <e v="#N/A"/>
    <s v="BOTH #N/A"/>
    <x v="24"/>
    <s v="-"/>
    <x v="10"/>
    <x v="5"/>
    <x v="59"/>
  </r>
  <r>
    <x v="181"/>
    <s v="Coronavirus - 2003 SARS Outbreak (Historical)               "/>
    <n v="2437"/>
    <s v="A historical scenario capturing the APAC-driven sell-off from April 18-25, 2003, when China revealed there were many more SARS cases than first reported."/>
    <x v="79"/>
    <m/>
    <e v="#N/A"/>
    <s v="-"/>
    <e v="#N/A"/>
    <s v="BOTH #N/A"/>
    <x v="24"/>
    <s v="-"/>
    <x v="10"/>
    <x v="5"/>
    <x v="59"/>
  </r>
  <r>
    <x v="182"/>
    <s v="Slow Deflation                                              "/>
    <n v="2556"/>
    <s v="Oil price is kept unchanged. The 10yr inflation rate drops 200 bps. The 10yr nominal rate drops to historical lows while short-term nominal rates are held constant. Agency mortgage rate spreads tighten."/>
    <x v="1017"/>
    <s v="Tsy 3M"/>
    <s v="Govt USD"/>
    <s v="USD_3m"/>
    <s v="Govt USD"/>
    <s v="OK"/>
    <x v="0"/>
    <s v="Yield  "/>
    <x v="0"/>
    <x v="0"/>
    <x v="119"/>
  </r>
  <r>
    <x v="182"/>
    <s v="Slow Deflation                                              "/>
    <n v="2556"/>
    <s v="Oil price is kept unchanged. The 10yr inflation rate drops 200 bps. The 10yr nominal rate drops to historical lows while short-term nominal rates are held constant. Agency mortgage rate spreads tighten."/>
    <x v="1018"/>
    <s v="Tsy 1Y"/>
    <s v="Govt USD"/>
    <s v="USD_1yr"/>
    <s v="Govt USD"/>
    <s v="OK"/>
    <x v="0"/>
    <s v="Yield  "/>
    <x v="0"/>
    <x v="0"/>
    <x v="119"/>
  </r>
  <r>
    <x v="182"/>
    <s v="Slow Deflation                                              "/>
    <n v="2556"/>
    <s v="Oil price is kept unchanged. The 10yr inflation rate drops 200 bps. The 10yr nominal rate drops to historical lows while short-term nominal rates are held constant. Agency mortgage rate spreads tighten."/>
    <x v="112"/>
    <s v="Tsy 10Y"/>
    <s v="Govt USD"/>
    <s v="USD_10yr"/>
    <s v="Govt USD"/>
    <s v="OK"/>
    <x v="0"/>
    <s v="Yield  "/>
    <x v="0"/>
    <x v="0"/>
    <x v="154"/>
  </r>
  <r>
    <x v="182"/>
    <s v="Slow Deflation                                              "/>
    <n v="2556"/>
    <s v="Oil price is kept unchanged. The 10yr inflation rate drops 200 bps. The 10yr nominal rate drops to historical lows while short-term nominal rates are held constant. Agency mortgage rate spreads tighten."/>
    <x v="1067"/>
    <s v="USD INF 10Y"/>
    <s v="USD Inflation"/>
    <s v="USD_INF_10yr"/>
    <s v="USD Inflation"/>
    <s v="OK"/>
    <x v="8"/>
    <s v="Yield  "/>
    <x v="6"/>
    <x v="2"/>
    <x v="178"/>
  </r>
  <r>
    <x v="182"/>
    <s v="Slow Deflation                                              "/>
    <n v="2556"/>
    <s v="Oil price is kept unchanged. The 10yr inflation rate drops 200 bps. The 10yr nominal rate drops to historical lows while short-term nominal rates are held constant. Agency mortgage rate spreads tighten."/>
    <x v="777"/>
    <s v="Crude Oil NYME 1"/>
    <s v="Alternative - Commodity"/>
    <s v="USD_COMD_CL_1"/>
    <s v="Alternative - Commodity"/>
    <s v="OK"/>
    <x v="2"/>
    <s v="Price Level  "/>
    <x v="2"/>
    <x v="2"/>
    <x v="159"/>
  </r>
  <r>
    <x v="182"/>
    <s v="Slow Deflation                                              "/>
    <n v="2556"/>
    <s v="Oil price is kept unchanged. The 10yr inflation rate drops 200 bps. The 10yr nominal rate drops to historical lows while short-term nominal rates are held constant. Agency mortgage rate spreads tighten."/>
    <x v="1022"/>
    <s v="TBA30 ATM v540"/>
    <s v="Mortgage - Moneyness"/>
    <s v="USD_TBA_ATM_V540"/>
    <s v="Mortgage - Moneyness"/>
    <s v="OK"/>
    <x v="69"/>
    <s v="Spread Yield"/>
    <x v="2"/>
    <x v="2"/>
    <x v="123"/>
  </r>
  <r>
    <x v="183"/>
    <s v="Stagflation 1974                                            "/>
    <n v="2301"/>
    <s v="1974 Historical Stagflation Scenario. Policy variable shocks are based on actual factor returns in the year 1974. BFRE USAM equity factors are proxied by Fama French factors with volatility adjustment."/>
    <x v="1068"/>
    <s v="Tsy 5Y"/>
    <s v="Govt USD"/>
    <s v="USD_5yr"/>
    <s v="Govt USD"/>
    <s v="OK"/>
    <x v="0"/>
    <s v="Yield  "/>
    <x v="0"/>
    <x v="0"/>
    <x v="108"/>
  </r>
  <r>
    <x v="183"/>
    <s v="Stagflation 1974                                            "/>
    <n v="2301"/>
    <s v="1974 Historical Stagflation Scenario. Policy variable shocks are based on actual factor returns in the year 1974. BFRE USAM equity factors are proxied by Fama French factors with volatility adjustment."/>
    <x v="363"/>
    <s v="Tsy 10Y"/>
    <s v="Govt USD"/>
    <s v="USD_10yr"/>
    <s v="Govt USD"/>
    <s v="OK"/>
    <x v="0"/>
    <s v="Yield  "/>
    <x v="0"/>
    <x v="0"/>
    <x v="108"/>
  </r>
  <r>
    <x v="183"/>
    <s v="Stagflation 1974                                            "/>
    <n v="2301"/>
    <s v="1974 Historical Stagflation Scenario. Policy variable shocks are based on actual factor returns in the year 1974. BFRE USAM equity factors are proxied by Fama French factors with volatility adjustment."/>
    <x v="1069"/>
    <s v="Brent Crude ICE 1"/>
    <s v="Alternative - Commodity"/>
    <s v="USD_COMD_CO_1"/>
    <s v="Alternative - Commodity"/>
    <s v="OK"/>
    <x v="2"/>
    <s v="Price Level  "/>
    <x v="2"/>
    <x v="2"/>
    <x v="242"/>
  </r>
  <r>
    <x v="183"/>
    <s v="Stagflation 1974                                            "/>
    <n v="2301"/>
    <s v="1974 Historical Stagflation Scenario. Policy variable shocks are based on actual factor returns in the year 1974. BFRE USAM equity factors are proxied by Fama French factors with volatility adjustment."/>
    <x v="1070"/>
    <s v="Gold COMEX 1"/>
    <s v="Alternative - Commodity"/>
    <s v="USD_COMD_GC_1"/>
    <s v="Alternative - Commodity"/>
    <s v="OK"/>
    <x v="2"/>
    <s v="Price Level  "/>
    <x v="2"/>
    <x v="2"/>
    <x v="243"/>
  </r>
  <r>
    <x v="183"/>
    <s v="Stagflation 1974                                            "/>
    <n v="2301"/>
    <s v="1974 Historical Stagflation Scenario. Policy variable shocks are based on actual factor returns in the year 1974. BFRE USAM equity factors are proxied by Fama French factors with volatility adjustment."/>
    <x v="1071"/>
    <s v="US IG Market"/>
    <s v="Corporate IG USD - Market"/>
    <s v="USD_IG_MARKET_SF"/>
    <s v="Corporate IG USD - Market"/>
    <s v="OK"/>
    <x v="49"/>
    <s v="Spread Yield"/>
    <x v="5"/>
    <x v="4"/>
    <x v="244"/>
  </r>
  <r>
    <x v="183"/>
    <s v="Stagflation 1974                                            "/>
    <n v="2301"/>
    <s v="1974 Historical Stagflation Scenario. Policy variable shocks are based on actual factor returns in the year 1974. BFRE USAM equity factors are proxied by Fama French factors with volatility adjustment."/>
    <x v="1072"/>
    <s v="EUR/USD"/>
    <s v="EUR"/>
    <s v="EUR_FX_USD"/>
    <s v="EUR"/>
    <s v="OK"/>
    <x v="13"/>
    <s v="FX  "/>
    <x v="3"/>
    <x v="3"/>
    <x v="161"/>
  </r>
  <r>
    <x v="183"/>
    <s v="Stagflation 1974                                            "/>
    <n v="2301"/>
    <s v="1974 Historical Stagflation Scenario. Policy variable shocks are based on actual factor returns in the year 1974. BFRE USAM equity factors are proxied by Fama French factors with volatility adjustment."/>
    <x v="250"/>
    <s v="S&amp;P 500"/>
    <s v="Equity Implied Volatility"/>
    <s v="SPX"/>
    <s v="Equity Implied Volatility"/>
    <s v="OK"/>
    <x v="1"/>
    <s v="Index Level"/>
    <x v="1"/>
    <x v="1"/>
    <x v="184"/>
  </r>
  <r>
    <x v="183"/>
    <s v="Stagflation 1974                                            "/>
    <n v="2301"/>
    <s v="1974 Historical Stagflation Scenario. Policy variable shocks are based on actual factor returns in the year 1974. BFRE USAM equity factors are proxied by Fama French factors with volatility adjustment."/>
    <x v="1073"/>
    <s v="Metals &amp; Mining Ex Steel"/>
    <e v="#N/A"/>
    <s v="FMI_USAM_MATMETXSTL"/>
    <e v="#N/A"/>
    <s v="BOTH #N/A"/>
    <x v="7"/>
    <s v="Materials"/>
    <x v="4"/>
    <x v="1"/>
    <x v="142"/>
  </r>
  <r>
    <x v="183"/>
    <s v="Stagflation 1974                                            "/>
    <n v="2301"/>
    <s v="1974 Historical Stagflation Scenario. Policy variable shocks are based on actual factor returns in the year 1974. BFRE USAM equity factors are proxied by Fama French factors with volatility adjustment."/>
    <x v="1074"/>
    <s v="Automobiles &amp; Components"/>
    <s v="Consumer Discretionary"/>
    <s v="FMI_USAM_CDIAUTOCMP"/>
    <e v="#N/A"/>
    <s v="OK"/>
    <x v="23"/>
    <s v="Industry Return  "/>
    <x v="4"/>
    <x v="1"/>
    <x v="121"/>
  </r>
  <r>
    <x v="183"/>
    <s v="Stagflation 1974                                            "/>
    <n v="2301"/>
    <s v="1974 Historical Stagflation Scenario. Policy variable shocks are based on actual factor returns in the year 1974. BFRE USAM equity factors are proxied by Fama French factors with volatility adjustment."/>
    <x v="1075"/>
    <s v="Market"/>
    <s v="Market"/>
    <s v="FMI_USAM_MARKET"/>
    <e v="#N/A"/>
    <s v="OK"/>
    <x v="53"/>
    <s v="Style Return  "/>
    <x v="13"/>
    <x v="1"/>
    <x v="245"/>
  </r>
  <r>
    <x v="183"/>
    <s v="Stagflation 1974                                            "/>
    <n v="2301"/>
    <s v="1974 Historical Stagflation Scenario. Policy variable shocks are based on actual factor returns in the year 1974. BFRE USAM equity factors are proxied by Fama French factors with volatility adjustment."/>
    <x v="1076"/>
    <s v="Size"/>
    <s v="Size"/>
    <s v="FMI_USAM_SIZE"/>
    <e v="#N/A"/>
    <s v="OK"/>
    <x v="70"/>
    <s v="Style Return  "/>
    <x v="13"/>
    <x v="1"/>
    <x v="246"/>
  </r>
  <r>
    <x v="183"/>
    <s v="Stagflation 1974                                            "/>
    <n v="2301"/>
    <s v="1974 Historical Stagflation Scenario. Policy variable shocks are based on actual factor returns in the year 1974. BFRE USAM equity factors are proxied by Fama French factors with volatility adjustment."/>
    <x v="1077"/>
    <s v="Momentum"/>
    <s v="Momentum"/>
    <s v="FMI_USAM_MOMENTUM"/>
    <e v="#N/A"/>
    <s v="OK"/>
    <x v="62"/>
    <s v="Style Return  "/>
    <x v="13"/>
    <x v="1"/>
    <x v="247"/>
  </r>
  <r>
    <x v="183"/>
    <s v="Stagflation 1974                                            "/>
    <n v="2301"/>
    <s v="1974 Historical Stagflation Scenario. Policy variable shocks are based on actual factor returns in the year 1974. BFRE USAM equity factors are proxied by Fama French factors with volatility adjustment."/>
    <x v="1078"/>
    <s v="Value"/>
    <s v="Value"/>
    <s v="FMI_USAM_VALUE"/>
    <e v="#N/A"/>
    <s v="OK"/>
    <x v="46"/>
    <s v="Style Return  "/>
    <x v="13"/>
    <x v="1"/>
    <x v="248"/>
  </r>
  <r>
    <x v="183"/>
    <s v="Stagflation 1974                                            "/>
    <n v="2301"/>
    <s v="1974 Historical Stagflation Scenario. Policy variable shocks are based on actual factor returns in the year 1974. BFRE USAM equity factors are proxied by Fama French factors with volatility adjustment."/>
    <x v="1079"/>
    <s v="Profitability"/>
    <s v="Local Styles"/>
    <s v="FMI_USAM_PROFIT"/>
    <e v="#N/A"/>
    <s v="OK"/>
    <x v="38"/>
    <s v="Style Return  "/>
    <x v="13"/>
    <x v="1"/>
    <x v="249"/>
  </r>
  <r>
    <x v="184"/>
    <s v="Summer '03 - Relative, Jun 13 - Jul 31, 2003                "/>
    <n v="2303"/>
    <s v="Treasury sell-off. Shocks for DxS Factors are percentages of spread."/>
    <x v="79"/>
    <m/>
    <e v="#N/A"/>
    <s v="-"/>
    <e v="#N/A"/>
    <s v="BOTH #N/A"/>
    <x v="24"/>
    <s v="-"/>
    <x v="10"/>
    <x v="5"/>
    <x v="59"/>
  </r>
  <r>
    <x v="185"/>
    <s v="US Tax Reform - Tax Reform Compromise                       "/>
    <n v="2517"/>
    <s v="a dialed-down tax reform package is passed with moderate tax cuts but a larger budget deficit."/>
    <x v="161"/>
    <s v="Tsy 2Y"/>
    <s v="Govt USD"/>
    <s v="USD_2yr"/>
    <s v="Govt USD"/>
    <s v="OK"/>
    <x v="0"/>
    <s v="Yield  "/>
    <x v="0"/>
    <x v="0"/>
    <x v="135"/>
  </r>
  <r>
    <x v="185"/>
    <s v="US Tax Reform - Tax Reform Compromise                       "/>
    <n v="2517"/>
    <s v="a dialed-down tax reform package is passed with moderate tax cuts but a larger budget deficit."/>
    <x v="363"/>
    <s v="Tsy 10Y"/>
    <s v="Govt USD"/>
    <s v="USD_10yr"/>
    <s v="Govt USD"/>
    <s v="OK"/>
    <x v="0"/>
    <s v="Yield  "/>
    <x v="0"/>
    <x v="0"/>
    <x v="108"/>
  </r>
  <r>
    <x v="185"/>
    <s v="US Tax Reform - Tax Reform Compromise                       "/>
    <n v="2517"/>
    <s v="a dialed-down tax reform package is passed with moderate tax cuts but a larger budget deficit."/>
    <x v="600"/>
    <s v="USD INF 10Y"/>
    <s v="USD Inflation"/>
    <s v="USD_INF_10yr"/>
    <s v="USD Inflation"/>
    <s v="OK"/>
    <x v="8"/>
    <s v="Yield  "/>
    <x v="6"/>
    <x v="2"/>
    <x v="164"/>
  </r>
  <r>
    <x v="185"/>
    <s v="US Tax Reform - Tax Reform Compromise                       "/>
    <n v="2517"/>
    <s v="a dialed-down tax reform package is passed with moderate tax cuts but a larger budget deficit."/>
    <x v="1080"/>
    <s v="Muni Spread 10Y"/>
    <s v="Spread - Municipals"/>
    <s v="USD_muni_10yr"/>
    <s v="Spread - Municipals"/>
    <s v="OK"/>
    <x v="17"/>
    <s v="Other Spread Yield  "/>
    <x v="5"/>
    <x v="4"/>
    <x v="140"/>
  </r>
  <r>
    <x v="185"/>
    <s v="US Tax Reform - Tax Reform Compromise                       "/>
    <n v="2517"/>
    <s v="a dialed-down tax reform package is passed with moderate tax cuts but a larger budget deficit."/>
    <x v="1081"/>
    <s v="US Cash Bonds IG"/>
    <s v="Corporate IG USD - Other"/>
    <s v="USD_LEH_CREDIT3"/>
    <s v="Corporate IG USD - Other"/>
    <s v="OK"/>
    <x v="26"/>
    <s v="Corporate IG USD - Other"/>
    <x v="5"/>
    <x v="4"/>
    <x v="164"/>
  </r>
  <r>
    <x v="185"/>
    <s v="US Tax Reform - Tax Reform Compromise                       "/>
    <n v="2517"/>
    <s v="a dialed-down tax reform package is passed with moderate tax cuts but a larger budget deficit."/>
    <x v="705"/>
    <s v="S&amp;P 500"/>
    <s v="Equity Implied Volatility"/>
    <s v="SPX"/>
    <s v="Equity Implied Volatility"/>
    <s v="OK"/>
    <x v="1"/>
    <s v="Index Level"/>
    <x v="1"/>
    <x v="1"/>
    <x v="125"/>
  </r>
  <r>
    <x v="185"/>
    <s v="US Tax Reform - Tax Reform Compromise                       "/>
    <n v="2517"/>
    <s v="a dialed-down tax reform package is passed with moderate tax cuts but a larger budget deficit."/>
    <x v="1082"/>
    <s v="US HY Market"/>
    <s v="Corporate HY USD - Other"/>
    <s v="USD_HY_MARKET"/>
    <s v="Corporate HY USD - Other"/>
    <s v="OK"/>
    <x v="22"/>
    <s v="Spread Yield"/>
    <x v="5"/>
    <x v="4"/>
    <x v="123"/>
  </r>
  <r>
    <x v="185"/>
    <s v="US Tax Reform - Tax Reform Compromise                       "/>
    <n v="2517"/>
    <s v="a dialed-down tax reform package is passed with moderate tax cuts but a larger budget deficit."/>
    <x v="1083"/>
    <s v="S&amp;P 500 Cons. Disc. Index"/>
    <s v="Other - Index"/>
    <s v="Discr"/>
    <e v="#N/A"/>
    <s v="OK"/>
    <x v="12"/>
    <s v="Index Level"/>
    <x v="7"/>
    <x v="2"/>
    <x v="112"/>
  </r>
  <r>
    <x v="186"/>
    <s v="US Tax Reform - Trump Grand Tax Deal                        "/>
    <n v="2516"/>
    <s v="comprehensive tax-reform package is passed and post-election market exuberance regains its strength."/>
    <x v="161"/>
    <s v="Tsy 2Y"/>
    <s v="Govt USD"/>
    <s v="USD_2yr"/>
    <s v="Govt USD"/>
    <s v="OK"/>
    <x v="0"/>
    <s v="Yield  "/>
    <x v="0"/>
    <x v="0"/>
    <x v="135"/>
  </r>
  <r>
    <x v="186"/>
    <s v="US Tax Reform - Trump Grand Tax Deal                        "/>
    <n v="2516"/>
    <s v="comprehensive tax-reform package is passed and post-election market exuberance regains its strength."/>
    <x v="363"/>
    <s v="Tsy 10Y"/>
    <s v="Govt USD"/>
    <s v="USD_10yr"/>
    <s v="Govt USD"/>
    <s v="OK"/>
    <x v="0"/>
    <s v="Yield  "/>
    <x v="0"/>
    <x v="0"/>
    <x v="108"/>
  </r>
  <r>
    <x v="186"/>
    <s v="US Tax Reform - Trump Grand Tax Deal                        "/>
    <n v="2516"/>
    <s v="comprehensive tax-reform package is passed and post-election market exuberance regains its strength."/>
    <x v="149"/>
    <s v="USD INF 10Y"/>
    <s v="USD Inflation"/>
    <s v="USD_INF_10yr"/>
    <s v="USD Inflation"/>
    <s v="OK"/>
    <x v="8"/>
    <s v="Yield  "/>
    <x v="6"/>
    <x v="2"/>
    <x v="132"/>
  </r>
  <r>
    <x v="186"/>
    <s v="US Tax Reform - Trump Grand Tax Deal                        "/>
    <n v="2516"/>
    <s v="comprehensive tax-reform package is passed and post-election market exuberance regains its strength."/>
    <x v="613"/>
    <s v="Brent Crude ICE 1"/>
    <s v="Alternative - Commodity"/>
    <s v="USD_COMD_CO_1"/>
    <s v="Alternative - Commodity"/>
    <s v="OK"/>
    <x v="2"/>
    <s v="Price Level  "/>
    <x v="2"/>
    <x v="2"/>
    <x v="122"/>
  </r>
  <r>
    <x v="186"/>
    <s v="US Tax Reform - Trump Grand Tax Deal                        "/>
    <n v="2516"/>
    <s v="comprehensive tax-reform package is passed and post-election market exuberance regains its strength."/>
    <x v="777"/>
    <s v="Crude Oil NYME 1"/>
    <s v="Alternative - Commodity"/>
    <s v="USD_COMD_CL_1"/>
    <s v="Alternative - Commodity"/>
    <s v="OK"/>
    <x v="2"/>
    <s v="Price Level  "/>
    <x v="2"/>
    <x v="2"/>
    <x v="159"/>
  </r>
  <r>
    <x v="186"/>
    <s v="US Tax Reform - Trump Grand Tax Deal                        "/>
    <n v="2516"/>
    <s v="comprehensive tax-reform package is passed and post-election market exuberance regains its strength."/>
    <x v="1084"/>
    <s v="Muni Spread 10Y"/>
    <s v="Spread - Municipals"/>
    <s v="USD_muni_10yr"/>
    <s v="Spread - Municipals"/>
    <s v="OK"/>
    <x v="17"/>
    <s v="Other Spread Yield  "/>
    <x v="5"/>
    <x v="4"/>
    <x v="108"/>
  </r>
  <r>
    <x v="186"/>
    <s v="US Tax Reform - Trump Grand Tax Deal                        "/>
    <n v="2516"/>
    <s v="comprehensive tax-reform package is passed and post-election market exuberance regains its strength."/>
    <x v="789"/>
    <s v="US Cash Bonds IG"/>
    <s v="Corporate IG USD - Other"/>
    <s v="USD_LEH_CREDIT3"/>
    <s v="Corporate IG USD - Other"/>
    <s v="OK"/>
    <x v="26"/>
    <s v="Corporate IG USD - Other"/>
    <x v="5"/>
    <x v="4"/>
    <x v="124"/>
  </r>
  <r>
    <x v="186"/>
    <s v="US Tax Reform - Trump Grand Tax Deal                        "/>
    <n v="2516"/>
    <s v="comprehensive tax-reform package is passed and post-election market exuberance regains its strength."/>
    <x v="1085"/>
    <s v="US Banking IG"/>
    <s v="Corporate IG USD - Industry"/>
    <s v="USD_BANKBROK_IG3"/>
    <s v="Corporate IG USD - Industry"/>
    <s v="OK"/>
    <x v="37"/>
    <s v="Spread Yield"/>
    <x v="5"/>
    <x v="4"/>
    <x v="123"/>
  </r>
  <r>
    <x v="186"/>
    <s v="US Tax Reform - Trump Grand Tax Deal                        "/>
    <n v="2516"/>
    <s v="comprehensive tax-reform package is passed and post-election market exuberance regains its strength."/>
    <x v="1086"/>
    <s v="US Retail IG"/>
    <s v="Corporate IG USD - Industry"/>
    <s v="USD_RETAIL_IG3"/>
    <s v="Corporate IG USD - Industry"/>
    <s v="OK"/>
    <x v="37"/>
    <s v="Spread Yield"/>
    <x v="5"/>
    <x v="4"/>
    <x v="123"/>
  </r>
  <r>
    <x v="186"/>
    <s v="US Tax Reform - Trump Grand Tax Deal                        "/>
    <n v="2516"/>
    <s v="comprehensive tax-reform package is passed and post-election market exuberance regains its strength."/>
    <x v="705"/>
    <s v="S&amp;P 500"/>
    <s v="Equity Implied Volatility"/>
    <s v="SPX"/>
    <s v="Equity Implied Volatility"/>
    <s v="OK"/>
    <x v="1"/>
    <s v="Index Level"/>
    <x v="1"/>
    <x v="1"/>
    <x v="125"/>
  </r>
  <r>
    <x v="186"/>
    <s v="US Tax Reform - Trump Grand Tax Deal                        "/>
    <n v="2516"/>
    <s v="comprehensive tax-reform package is passed and post-election market exuberance regains its strength."/>
    <x v="1087"/>
    <s v="Restaurants"/>
    <e v="#N/A"/>
    <s v="FMI_NAMR_CDIRESTRNT"/>
    <e v="#N/A"/>
    <s v="BOTH #N/A"/>
    <x v="23"/>
    <s v="Consumer Discretionary"/>
    <x v="4"/>
    <x v="1"/>
    <x v="210"/>
  </r>
  <r>
    <x v="186"/>
    <s v="US Tax Reform - Trump Grand Tax Deal                        "/>
    <n v="2516"/>
    <s v="comprehensive tax-reform package is passed and post-election market exuberance regains its strength."/>
    <x v="1088"/>
    <s v="Commercial Banks"/>
    <e v="#N/A"/>
    <s v="FMI_NAMR_FINCOMBANK"/>
    <e v="#N/A"/>
    <s v="BOTH #N/A"/>
    <x v="35"/>
    <s v="Financials"/>
    <x v="4"/>
    <x v="1"/>
    <x v="126"/>
  </r>
  <r>
    <x v="186"/>
    <s v="US Tax Reform - Trump Grand Tax Deal                        "/>
    <n v="2516"/>
    <s v="comprehensive tax-reform package is passed and post-election market exuberance regains its strength."/>
    <x v="1089"/>
    <s v="Semiconductors &amp; Equipment"/>
    <s v="Information Technology"/>
    <s v="FMI_NAMR_ITCSEMICEQ"/>
    <e v="#N/A"/>
    <s v="OK"/>
    <x v="5"/>
    <s v="Industry Return  "/>
    <x v="4"/>
    <x v="1"/>
    <x v="122"/>
  </r>
  <r>
    <x v="186"/>
    <s v="US Tax Reform - Trump Grand Tax Deal                        "/>
    <n v="2516"/>
    <s v="comprehensive tax-reform package is passed and post-election market exuberance regains its strength."/>
    <x v="1090"/>
    <s v="Utilities"/>
    <s v="Utilities"/>
    <s v="FMI_NAMR_UTLUTIL"/>
    <e v="#N/A"/>
    <s v="OK"/>
    <x v="21"/>
    <s v="Industry Return  "/>
    <x v="4"/>
    <x v="1"/>
    <x v="122"/>
  </r>
  <r>
    <x v="186"/>
    <s v="US Tax Reform - Trump Grand Tax Deal                        "/>
    <n v="2516"/>
    <s v="comprehensive tax-reform package is passed and post-election market exuberance regains its strength."/>
    <x v="417"/>
    <s v="EMBIG DxS"/>
    <s v="Spread Emerging Markets - Country"/>
    <s v="USD_EM_DS_G"/>
    <s v="Spread Emerging Markets - Country"/>
    <s v="OK"/>
    <x v="29"/>
    <s v="Spread Yield"/>
    <x v="5"/>
    <x v="4"/>
    <x v="140"/>
  </r>
  <r>
    <x v="186"/>
    <s v="US Tax Reform - Trump Grand Tax Deal                        "/>
    <n v="2516"/>
    <s v="comprehensive tax-reform package is passed and post-election market exuberance regains its strength."/>
    <x v="1091"/>
    <s v="MS EAFE"/>
    <s v="Equity Implied Volatility"/>
    <s v="EAFE"/>
    <e v="#N/A"/>
    <s v="OK"/>
    <x v="1"/>
    <s v="Index Level"/>
    <x v="1"/>
    <x v="1"/>
    <x v="122"/>
  </r>
  <r>
    <x v="187"/>
    <s v="US Tax Reform - Tax Reform Derailed                         "/>
    <n v="2518"/>
    <s v="a failure to reach an agreement on tax reform leads to an unwind of the reflation trade."/>
    <x v="290"/>
    <s v="Tsy 10Y"/>
    <s v="Govt USD"/>
    <s v="USD_10yr"/>
    <s v="Govt USD"/>
    <s v="OK"/>
    <x v="0"/>
    <s v="Yield  "/>
    <x v="0"/>
    <x v="0"/>
    <x v="123"/>
  </r>
  <r>
    <x v="187"/>
    <s v="US Tax Reform - Tax Reform Derailed                         "/>
    <n v="2518"/>
    <s v="a failure to reach an agreement on tax reform leads to an unwind of the reflation trade."/>
    <x v="1092"/>
    <s v="Muni Spread 10Y"/>
    <s v="Spread - Municipals"/>
    <s v="USD_muni_10yr"/>
    <s v="Spread - Municipals"/>
    <s v="OK"/>
    <x v="17"/>
    <s v="Other Spread Yield  "/>
    <x v="5"/>
    <x v="4"/>
    <x v="123"/>
  </r>
  <r>
    <x v="187"/>
    <s v="US Tax Reform - Tax Reform Derailed                         "/>
    <n v="2518"/>
    <s v="a failure to reach an agreement on tax reform leads to an unwind of the reflation trade."/>
    <x v="1093"/>
    <s v="US Cash Bonds IG"/>
    <s v="Corporate IG USD - Other"/>
    <s v="USD_LEH_CREDIT3"/>
    <s v="Corporate IG USD - Other"/>
    <s v="OK"/>
    <x v="26"/>
    <s v="Corporate IG USD - Other"/>
    <x v="5"/>
    <x v="4"/>
    <x v="145"/>
  </r>
  <r>
    <x v="187"/>
    <s v="US Tax Reform - Tax Reform Derailed                         "/>
    <n v="2518"/>
    <s v="a failure to reach an agreement on tax reform leads to an unwind of the reflation trade."/>
    <x v="1072"/>
    <s v="EUR/USD"/>
    <s v="EUR"/>
    <s v="EUR_FX_USD"/>
    <s v="EUR"/>
    <s v="OK"/>
    <x v="13"/>
    <s v="FX  "/>
    <x v="3"/>
    <x v="3"/>
    <x v="161"/>
  </r>
  <r>
    <x v="187"/>
    <s v="US Tax Reform - Tax Reform Derailed                         "/>
    <n v="2518"/>
    <s v="a failure to reach an agreement on tax reform leads to an unwind of the reflation trade."/>
    <x v="155"/>
    <s v="S&amp;P 500"/>
    <s v="Equity Implied Volatility"/>
    <s v="SPX"/>
    <s v="Equity Implied Volatility"/>
    <s v="OK"/>
    <x v="1"/>
    <s v="Index Level"/>
    <x v="1"/>
    <x v="1"/>
    <x v="114"/>
  </r>
  <r>
    <x v="187"/>
    <s v="US Tax Reform - Tax Reform Derailed                         "/>
    <n v="2518"/>
    <s v="a failure to reach an agreement on tax reform leads to an unwind of the reflation trade."/>
    <x v="680"/>
    <s v="VIX"/>
    <s v="Equity Implied Volatility"/>
    <s v="VIX"/>
    <s v="Equity Implied Volatility"/>
    <s v="OK"/>
    <x v="1"/>
    <s v="Index Level"/>
    <x v="1"/>
    <x v="1"/>
    <x v="166"/>
  </r>
  <r>
    <x v="187"/>
    <s v="US Tax Reform - Tax Reform Derailed                         "/>
    <n v="2518"/>
    <s v="a failure to reach an agreement on tax reform leads to an unwind of the reflation trade."/>
    <x v="1094"/>
    <s v="Value"/>
    <s v="Value"/>
    <s v="FMI_WRLD_VALUE"/>
    <s v="Value"/>
    <s v="OK"/>
    <x v="46"/>
    <s v="Style Return  "/>
    <x v="13"/>
    <x v="1"/>
    <x v="150"/>
  </r>
  <r>
    <x v="188"/>
    <s v="Tech Calamity - Bursting Bubbles                            "/>
    <n v="2490"/>
    <s v="North American new tech companies lead a sell-off in the broader tech sector due to negative investor sentiment"/>
    <x v="587"/>
    <s v="S&amp;P 500"/>
    <s v="Equity Implied Volatility"/>
    <s v="SPX"/>
    <s v="Equity Implied Volatility"/>
    <s v="OK"/>
    <x v="1"/>
    <s v="Index Level"/>
    <x v="1"/>
    <x v="1"/>
    <x v="122"/>
  </r>
  <r>
    <x v="188"/>
    <s v="Tech Calamity - Bursting Bubbles                            "/>
    <n v="2490"/>
    <s v="North American new tech companies lead a sell-off in the broader tech sector due to negative investor sentiment"/>
    <x v="899"/>
    <s v="Internet &amp; Catalog Retail"/>
    <e v="#N/A"/>
    <s v="FMI_NAMR_CDIRETNET"/>
    <e v="#N/A"/>
    <s v="BOTH #N/A"/>
    <x v="19"/>
    <s v="Communication Services"/>
    <x v="4"/>
    <x v="1"/>
    <x v="121"/>
  </r>
  <r>
    <x v="188"/>
    <s v="Tech Calamity - Bursting Bubbles                            "/>
    <n v="2490"/>
    <s v="North American new tech companies lead a sell-off in the broader tech sector due to negative investor sentiment"/>
    <x v="304"/>
    <s v="Internet Software &amp; Services"/>
    <e v="#N/A"/>
    <s v="FMI_NAMR_ITCNET"/>
    <e v="#N/A"/>
    <s v="BOTH #N/A"/>
    <x v="5"/>
    <s v="Information Technology"/>
    <x v="4"/>
    <x v="1"/>
    <x v="106"/>
  </r>
  <r>
    <x v="188"/>
    <s v="Tech Calamity - Bursting Bubbles                            "/>
    <n v="2490"/>
    <s v="North American new tech companies lead a sell-off in the broader tech sector due to negative investor sentiment"/>
    <x v="1095"/>
    <s v="Growth"/>
    <s v="Local Styles"/>
    <s v="FMI_NAMR_GROWTH"/>
    <e v="#N/A"/>
    <s v="OK"/>
    <x v="38"/>
    <s v="Style Return  "/>
    <x v="13"/>
    <x v="1"/>
    <x v="250"/>
  </r>
  <r>
    <x v="188"/>
    <s v="Tech Calamity - Bursting Bubbles                            "/>
    <n v="2490"/>
    <s v="North American new tech companies lead a sell-off in the broader tech sector due to negative investor sentiment"/>
    <x v="902"/>
    <s v="Profitability"/>
    <s v="Local Styles"/>
    <s v="FMI_NAMR_PROFIT"/>
    <e v="#N/A"/>
    <s v="OK"/>
    <x v="38"/>
    <s v="Style Return  "/>
    <x v="13"/>
    <x v="1"/>
    <x v="223"/>
  </r>
  <r>
    <x v="189"/>
    <s v="Russia-Ukraine Tensions-Annexation of Donbass Region(2/22)  "/>
    <n v="2470"/>
    <s v="Annexation of Donbass Region: Russia annexes the areas of Donetsk and Luhansk but does not invade any further."/>
    <x v="560"/>
    <s v="Tsy 10Y"/>
    <s v="Govt USD"/>
    <s v="USD_10yr"/>
    <s v="Govt USD"/>
    <s v="OK"/>
    <x v="0"/>
    <s v="Yield  "/>
    <x v="0"/>
    <x v="0"/>
    <x v="164"/>
  </r>
  <r>
    <x v="189"/>
    <s v="Russia-Ukraine Tensions-Annexation of Donbass Region(2/22)  "/>
    <n v="2470"/>
    <s v="Annexation of Donbass Region: Russia annexes the areas of Donetsk and Luhansk but does not invade any further."/>
    <x v="1096"/>
    <s v="Brent Crude ICE 1"/>
    <s v="Alternative - Commodity"/>
    <s v="USD_COMD_CO_1"/>
    <s v="Alternative - Commodity"/>
    <s v="OK"/>
    <x v="2"/>
    <s v="Price Level  "/>
    <x v="2"/>
    <x v="2"/>
    <x v="126"/>
  </r>
  <r>
    <x v="189"/>
    <s v="Russia-Ukraine Tensions-Annexation of Donbass Region(2/22)  "/>
    <n v="2470"/>
    <s v="Annexation of Donbass Region: Russia annexes the areas of Donetsk and Luhansk but does not invade any further."/>
    <x v="113"/>
    <s v="Gold COMEX 1"/>
    <s v="Alternative - Commodity"/>
    <s v="USD_COMD_GC_1"/>
    <s v="Alternative - Commodity"/>
    <s v="OK"/>
    <x v="2"/>
    <s v="Price Level  "/>
    <x v="2"/>
    <x v="2"/>
    <x v="125"/>
  </r>
  <r>
    <x v="189"/>
    <s v="Russia-Ukraine Tensions-Annexation of Donbass Region(2/22)  "/>
    <n v="2470"/>
    <s v="Annexation of Donbass Region: Russia annexes the areas of Donetsk and Luhansk but does not invade any further."/>
    <x v="1097"/>
    <s v="Natural gas NYME 1"/>
    <s v="Alternative - Commodity"/>
    <s v="USD_COMD_NG_1"/>
    <s v="Alternative - Commodity"/>
    <s v="OK"/>
    <x v="2"/>
    <s v="Price Level  "/>
    <x v="2"/>
    <x v="2"/>
    <x v="179"/>
  </r>
  <r>
    <x v="189"/>
    <s v="Russia-Ukraine Tensions-Annexation of Donbass Region(2/22)  "/>
    <n v="2470"/>
    <s v="Annexation of Donbass Region: Russia annexes the areas of Donetsk and Luhansk but does not invade any further."/>
    <x v="594"/>
    <s v="EUR/USD"/>
    <s v="EUR"/>
    <s v="EUR_FX_USD"/>
    <s v="EUR"/>
    <s v="OK"/>
    <x v="13"/>
    <s v="FX  "/>
    <x v="3"/>
    <x v="3"/>
    <x v="191"/>
  </r>
  <r>
    <x v="189"/>
    <s v="Russia-Ukraine Tensions-Annexation of Donbass Region(2/22)  "/>
    <n v="2470"/>
    <s v="Annexation of Donbass Region: Russia annexes the areas of Donetsk and Luhansk but does not invade any further."/>
    <x v="319"/>
    <s v="JPY/USD"/>
    <s v="JPY"/>
    <s v="JPY_FX_USD"/>
    <s v="JPY"/>
    <s v="OK"/>
    <x v="11"/>
    <s v="FX  "/>
    <x v="3"/>
    <x v="3"/>
    <x v="141"/>
  </r>
  <r>
    <x v="189"/>
    <s v="Russia-Ukraine Tensions-Annexation of Donbass Region(2/22)  "/>
    <n v="2470"/>
    <s v="Annexation of Donbass Region: Russia annexes the areas of Donetsk and Luhansk but does not invade any further."/>
    <x v="1098"/>
    <s v="RUBUSD"/>
    <e v="#N/A"/>
    <s v="RUB_FX_USD"/>
    <s v="Emerging Currency"/>
    <s v="OK"/>
    <x v="3"/>
    <s v="FX  "/>
    <x v="3"/>
    <x v="3"/>
    <x v="173"/>
  </r>
  <r>
    <x v="189"/>
    <s v="Russia-Ukraine Tensions-Annexation of Donbass Region(2/22)  "/>
    <n v="2470"/>
    <s v="Annexation of Donbass Region: Russia annexes the areas of Donetsk and Luhansk but does not invade any further."/>
    <x v="1099"/>
    <s v="TRYUSD"/>
    <e v="#N/A"/>
    <s v="TRY_FX_USD"/>
    <s v="Emerging Currency"/>
    <s v="OK"/>
    <x v="3"/>
    <s v="FX  "/>
    <x v="3"/>
    <x v="3"/>
    <x v="159"/>
  </r>
  <r>
    <x v="189"/>
    <s v="Russia-Ukraine Tensions-Annexation of Donbass Region(2/22)  "/>
    <n v="2470"/>
    <s v="Annexation of Donbass Region: Russia annexes the areas of Donetsk and Luhansk but does not invade any further."/>
    <x v="257"/>
    <s v="VIX"/>
    <s v="Equity Implied Volatility"/>
    <s v="VIX"/>
    <s v="Equity Implied Volatility"/>
    <s v="OK"/>
    <x v="1"/>
    <s v="Index Level"/>
    <x v="1"/>
    <x v="1"/>
    <x v="126"/>
  </r>
  <r>
    <x v="189"/>
    <s v="Russia-Ukraine Tensions-Annexation of Donbass Region(2/22)  "/>
    <n v="2470"/>
    <s v="Annexation of Donbass Region: Russia annexes the areas of Donetsk and Luhansk but does not invade any further."/>
    <x v="1100"/>
    <s v="Russia RTS"/>
    <s v="Equity Implied Volatility"/>
    <s v="RTSI"/>
    <s v="Equity Implied Volatility"/>
    <s v="OK"/>
    <x v="1"/>
    <s v="Index Level"/>
    <x v="1"/>
    <x v="1"/>
    <x v="199"/>
  </r>
  <r>
    <x v="189"/>
    <s v="Russia-Ukraine Tensions-Annexation of Donbass Region(2/22)  "/>
    <n v="2470"/>
    <s v="Annexation of Donbass Region: Russia annexes the areas of Donetsk and Luhansk but does not invade any further."/>
    <x v="1101"/>
    <s v="EU Credit IG"/>
    <s v="Corporate IG EUR - Other"/>
    <s v="EUR_LEH_CREDIT_SF"/>
    <s v="Corporate IG EUR - Other"/>
    <s v="OK"/>
    <x v="45"/>
    <s v="Spread Yield"/>
    <x v="5"/>
    <x v="4"/>
    <x v="145"/>
  </r>
  <r>
    <x v="189"/>
    <s v="Russia-Ukraine Tensions-Annexation of Donbass Region(2/22)  "/>
    <n v="2470"/>
    <s v="Annexation of Donbass Region: Russia annexes the areas of Donetsk and Luhansk but does not invade any further."/>
    <x v="122"/>
    <s v="Time"/>
    <e v="#N/A"/>
    <s v="ALL_TIME"/>
    <e v="#N/A"/>
    <s v="BOTH #N/A"/>
    <x v="64"/>
    <s v="Time "/>
    <x v="8"/>
    <x v="2"/>
    <x v="151"/>
  </r>
  <r>
    <x v="189"/>
    <s v="Russia-Ukraine Tensions-Annexation of Donbass Region(2/22)  "/>
    <n v="2470"/>
    <s v="Annexation of Donbass Region: Russia annexes the areas of Donetsk and Luhansk but does not invade any further."/>
    <x v="1102"/>
    <s v="Integrated Oil &amp; Gas"/>
    <e v="#N/A"/>
    <s v="FMI_EMEA_EGYINT"/>
    <e v="#N/A"/>
    <s v="BOTH #N/A"/>
    <x v="40"/>
    <s v="Energy"/>
    <x v="4"/>
    <x v="1"/>
    <x v="106"/>
  </r>
  <r>
    <x v="189"/>
    <s v="Russia-Ukraine Tensions-Annexation of Donbass Region(2/22)  "/>
    <n v="2470"/>
    <s v="Annexation of Donbass Region: Russia annexes the areas of Donetsk and Luhansk but does not invade any further."/>
    <x v="1103"/>
    <s v="Diversified Financials"/>
    <e v="#N/A"/>
    <s v="FMI_EMEA_FINDIV"/>
    <e v="#N/A"/>
    <s v="BOTH #N/A"/>
    <x v="35"/>
    <s v="Financials"/>
    <x v="4"/>
    <x v="1"/>
    <x v="113"/>
  </r>
  <r>
    <x v="189"/>
    <s v="Russia-Ukraine Tensions-Annexation of Donbass Region(2/22)  "/>
    <n v="2470"/>
    <s v="Annexation of Donbass Region: Russia annexes the areas of Donetsk and Luhansk but does not invade any further."/>
    <x v="286"/>
    <s v="EMBIG DxS"/>
    <s v="Spread Emerging Markets - Country"/>
    <s v="USD_EM_DS_G"/>
    <s v="Spread Emerging Markets - Country"/>
    <s v="OK"/>
    <x v="29"/>
    <s v="Spread Yield"/>
    <x v="5"/>
    <x v="4"/>
    <x v="118"/>
  </r>
  <r>
    <x v="189"/>
    <s v="Russia-Ukraine Tensions-Annexation of Donbass Region(2/22)  "/>
    <n v="2470"/>
    <s v="Annexation of Donbass Region: Russia annexes the areas of Donetsk and Luhansk but does not invade any further."/>
    <x v="1104"/>
    <s v="Russia"/>
    <s v="Spread Emerging Markets - Country"/>
    <s v="USD_EM_DS_RUSSIA"/>
    <s v="Spread Emerging Markets - Country"/>
    <s v="OK"/>
    <x v="29"/>
    <s v="Spread Yield"/>
    <x v="5"/>
    <x v="4"/>
    <x v="149"/>
  </r>
  <r>
    <x v="189"/>
    <s v="Russia-Ukraine Tensions-Annexation of Donbass Region(2/22)  "/>
    <n v="2470"/>
    <s v="Annexation of Donbass Region: Russia annexes the areas of Donetsk and Luhansk but does not invade any further."/>
    <x v="1105"/>
    <s v="Ukraine"/>
    <s v="Emerging Markets"/>
    <s v="USD_EM_DS_UKRAINE"/>
    <s v="Spread Emerging Markets - Country"/>
    <s v="OK"/>
    <x v="29"/>
    <s v="Spread Yield"/>
    <x v="5"/>
    <x v="4"/>
    <x v="178"/>
  </r>
  <r>
    <x v="189"/>
    <s v="Russia-Ukraine Tensions-Annexation of Donbass Region(2/22)  "/>
    <n v="2470"/>
    <s v="Annexation of Donbass Region: Russia annexes the areas of Donetsk and Luhansk but does not invade any further."/>
    <x v="733"/>
    <s v="MS Emerging Mkts"/>
    <s v="Equity Implied Volatility"/>
    <s v="Mkts"/>
    <e v="#N/A"/>
    <s v="OK"/>
    <x v="1"/>
    <s v="Index Level"/>
    <x v="1"/>
    <x v="1"/>
    <x v="191"/>
  </r>
  <r>
    <x v="190"/>
    <s v="Russia-NATO conflict                                        "/>
    <n v="2207"/>
    <s v="Invasion of Ukraine: Russia-Ukraine tensions rise to the point where Russian troops invade Ukraine, going farther than the Donbass region."/>
    <x v="290"/>
    <s v="Tsy 10Y"/>
    <s v="Govt USD"/>
    <s v="USD_10yr"/>
    <s v="Govt USD"/>
    <s v="OK"/>
    <x v="0"/>
    <s v="Yield  "/>
    <x v="0"/>
    <x v="0"/>
    <x v="123"/>
  </r>
  <r>
    <x v="190"/>
    <s v="Russia-NATO conflict                                        "/>
    <n v="2207"/>
    <s v="Invasion of Ukraine: Russia-Ukraine tensions rise to the point where Russian troops invade Ukraine, going farther than the Donbass region."/>
    <x v="1106"/>
    <s v="CPI 10yr"/>
    <s v="USD Inflation"/>
    <s v="USD_CPI_10yr"/>
    <s v="USD Inflation"/>
    <s v="OK"/>
    <x v="8"/>
    <s v="Yield  "/>
    <x v="6"/>
    <x v="2"/>
    <x v="105"/>
  </r>
  <r>
    <x v="190"/>
    <s v="Russia-NATO conflict                                        "/>
    <n v="2207"/>
    <s v="Invasion of Ukraine: Russia-Ukraine tensions rise to the point where Russian troops invade Ukraine, going farther than the Donbass region."/>
    <x v="832"/>
    <s v="Brent Crude ICE 1"/>
    <s v="Alternative - Commodity"/>
    <s v="USD_COMD_CO_1"/>
    <s v="Alternative - Commodity"/>
    <s v="OK"/>
    <x v="2"/>
    <s v="Price Level  "/>
    <x v="2"/>
    <x v="2"/>
    <x v="194"/>
  </r>
  <r>
    <x v="190"/>
    <s v="Russia-NATO conflict                                        "/>
    <n v="2207"/>
    <s v="Invasion of Ukraine: Russia-Ukraine tensions rise to the point where Russian troops invade Ukraine, going farther than the Donbass region."/>
    <x v="104"/>
    <s v="Gold COMEX 1"/>
    <s v="Alternative - Commodity"/>
    <s v="USD_COMD_GC_1"/>
    <s v="Alternative - Commodity"/>
    <s v="OK"/>
    <x v="2"/>
    <s v="Price Level  "/>
    <x v="2"/>
    <x v="2"/>
    <x v="148"/>
  </r>
  <r>
    <x v="190"/>
    <s v="Russia-NATO conflict                                        "/>
    <n v="2207"/>
    <s v="Invasion of Ukraine: Russia-Ukraine tensions rise to the point where Russian troops invade Ukraine, going farther than the Donbass region."/>
    <x v="1107"/>
    <s v="Natural gas NYME 1"/>
    <s v="Alternative - Commodity"/>
    <s v="USD_COMD_NG_1"/>
    <s v="Alternative - Commodity"/>
    <s v="OK"/>
    <x v="2"/>
    <s v="Price Level  "/>
    <x v="2"/>
    <x v="2"/>
    <x v="251"/>
  </r>
  <r>
    <x v="190"/>
    <s v="Russia-NATO conflict                                        "/>
    <n v="2207"/>
    <s v="Invasion of Ukraine: Russia-Ukraine tensions rise to the point where Russian troops invade Ukraine, going farther than the Donbass region."/>
    <x v="1033"/>
    <s v="EUR/USD"/>
    <s v="EUR"/>
    <s v="EUR_FX_USD"/>
    <s v="EUR"/>
    <s v="OK"/>
    <x v="13"/>
    <s v="FX  "/>
    <x v="3"/>
    <x v="3"/>
    <x v="116"/>
  </r>
  <r>
    <x v="190"/>
    <s v="Russia-NATO conflict                                        "/>
    <n v="2207"/>
    <s v="Invasion of Ukraine: Russia-Ukraine tensions rise to the point where Russian troops invade Ukraine, going farther than the Donbass region."/>
    <x v="121"/>
    <s v="JPY/USD"/>
    <s v="JPY"/>
    <s v="JPY_FX_USD"/>
    <s v="JPY"/>
    <s v="OK"/>
    <x v="11"/>
    <s v="FX  "/>
    <x v="3"/>
    <x v="3"/>
    <x v="125"/>
  </r>
  <r>
    <x v="190"/>
    <s v="Russia-NATO conflict                                        "/>
    <n v="2207"/>
    <s v="Invasion of Ukraine: Russia-Ukraine tensions rise to the point where Russian troops invade Ukraine, going farther than the Donbass region."/>
    <x v="1108"/>
    <s v="RUBUSD"/>
    <e v="#N/A"/>
    <s v="RUB_FX_USD"/>
    <s v="Emerging Currency"/>
    <s v="OK"/>
    <x v="3"/>
    <s v="FX  "/>
    <x v="3"/>
    <x v="3"/>
    <x v="200"/>
  </r>
  <r>
    <x v="190"/>
    <s v="Russia-NATO conflict                                        "/>
    <n v="2207"/>
    <s v="Invasion of Ukraine: Russia-Ukraine tensions rise to the point where Russian troops invade Ukraine, going farther than the Donbass region."/>
    <x v="1099"/>
    <s v="TRYUSD"/>
    <e v="#N/A"/>
    <s v="TRY_FX_USD"/>
    <s v="Emerging Currency"/>
    <s v="OK"/>
    <x v="3"/>
    <s v="FX  "/>
    <x v="3"/>
    <x v="3"/>
    <x v="159"/>
  </r>
  <r>
    <x v="190"/>
    <s v="Russia-NATO conflict                                        "/>
    <n v="2207"/>
    <s v="Invasion of Ukraine: Russia-Ukraine tensions rise to the point where Russian troops invade Ukraine, going farther than the Donbass region."/>
    <x v="1109"/>
    <s v="S&amp;P 500"/>
    <s v="Equity Implied Volatility"/>
    <s v="SPX"/>
    <s v="Equity Implied Volatility"/>
    <s v="OK"/>
    <x v="1"/>
    <s v="Index Level"/>
    <x v="1"/>
    <x v="1"/>
    <x v="238"/>
  </r>
  <r>
    <x v="190"/>
    <s v="Russia-NATO conflict                                        "/>
    <n v="2207"/>
    <s v="Invasion of Ukraine: Russia-Ukraine tensions rise to the point where Russian troops invade Ukraine, going farther than the Donbass region."/>
    <x v="1110"/>
    <s v="Russia RTS"/>
    <s v="Equity Implied Volatility"/>
    <s v="RTSI"/>
    <s v="Equity Implied Volatility"/>
    <s v="OK"/>
    <x v="1"/>
    <s v="Index Level"/>
    <x v="1"/>
    <x v="1"/>
    <x v="252"/>
  </r>
  <r>
    <x v="190"/>
    <s v="Russia-NATO conflict                                        "/>
    <n v="2207"/>
    <s v="Invasion of Ukraine: Russia-Ukraine tensions rise to the point where Russian troops invade Ukraine, going farther than the Donbass region."/>
    <x v="1111"/>
    <s v="EU Credit IG"/>
    <s v="Corporate IG EUR - Other"/>
    <s v="EUR_LEH_CREDIT_SF"/>
    <s v="Corporate IG EUR - Other"/>
    <s v="OK"/>
    <x v="45"/>
    <s v="Spread Yield"/>
    <x v="5"/>
    <x v="4"/>
    <x v="195"/>
  </r>
  <r>
    <x v="190"/>
    <s v="Russia-NATO conflict                                        "/>
    <n v="2207"/>
    <s v="Invasion of Ukraine: Russia-Ukraine tensions rise to the point where Russian troops invade Ukraine, going farther than the Donbass region."/>
    <x v="122"/>
    <s v="Time"/>
    <e v="#N/A"/>
    <s v="ALL_TIME"/>
    <e v="#N/A"/>
    <s v="BOTH #N/A"/>
    <x v="64"/>
    <s v="Time "/>
    <x v="8"/>
    <x v="2"/>
    <x v="151"/>
  </r>
  <r>
    <x v="190"/>
    <s v="Russia-NATO conflict                                        "/>
    <n v="2207"/>
    <s v="Invasion of Ukraine: Russia-Ukraine tensions rise to the point where Russian troops invade Ukraine, going farther than the Donbass region."/>
    <x v="1112"/>
    <s v="Integrated Oil &amp; Gas"/>
    <e v="#N/A"/>
    <s v="FMI_EMEA_EGYINT"/>
    <e v="#N/A"/>
    <s v="BOTH #N/A"/>
    <x v="40"/>
    <s v="Energy"/>
    <x v="4"/>
    <x v="1"/>
    <x v="156"/>
  </r>
  <r>
    <x v="190"/>
    <s v="Russia-NATO conflict                                        "/>
    <n v="2207"/>
    <s v="Invasion of Ukraine: Russia-Ukraine tensions rise to the point where Russian troops invade Ukraine, going farther than the Donbass region."/>
    <x v="1113"/>
    <s v="Diversified Financials"/>
    <e v="#N/A"/>
    <s v="FMI_EMEA_FINDIV"/>
    <e v="#N/A"/>
    <s v="BOTH #N/A"/>
    <x v="35"/>
    <s v="Financials"/>
    <x v="4"/>
    <x v="1"/>
    <x v="128"/>
  </r>
  <r>
    <x v="190"/>
    <s v="Russia-NATO conflict                                        "/>
    <n v="2207"/>
    <s v="Invasion of Ukraine: Russia-Ukraine tensions rise to the point where Russian troops invade Ukraine, going farther than the Donbass region."/>
    <x v="1114"/>
    <s v="Semiconductors &amp; Equipment"/>
    <s v="Information Technology"/>
    <s v="FMI_EMEA_ITCSEMICEQ"/>
    <e v="#N/A"/>
    <s v="OK"/>
    <x v="5"/>
    <s v="Industry Return  "/>
    <x v="4"/>
    <x v="1"/>
    <x v="106"/>
  </r>
  <r>
    <x v="190"/>
    <s v="Russia-NATO conflict                                        "/>
    <n v="2207"/>
    <s v="Invasion of Ukraine: Russia-Ukraine tensions rise to the point where Russian troops invade Ukraine, going farther than the Donbass region."/>
    <x v="774"/>
    <s v="EMBIG DxS"/>
    <s v="Spread Emerging Markets - Country"/>
    <s v="USD_EM_DS_G"/>
    <s v="Spread Emerging Markets - Country"/>
    <s v="OK"/>
    <x v="29"/>
    <s v="Spread Yield"/>
    <x v="5"/>
    <x v="4"/>
    <x v="149"/>
  </r>
  <r>
    <x v="190"/>
    <s v="Russia-NATO conflict                                        "/>
    <n v="2207"/>
    <s v="Invasion of Ukraine: Russia-Ukraine tensions rise to the point where Russian troops invade Ukraine, going farther than the Donbass region."/>
    <x v="236"/>
    <s v="Russia"/>
    <s v="Spread Emerging Markets - Country"/>
    <s v="USD_EM_DS_RUSSIA"/>
    <s v="Spread Emerging Markets - Country"/>
    <s v="OK"/>
    <x v="29"/>
    <s v="Spread Yield"/>
    <x v="5"/>
    <x v="4"/>
    <x v="109"/>
  </r>
  <r>
    <x v="190"/>
    <s v="Russia-NATO conflict                                        "/>
    <n v="2207"/>
    <s v="Invasion of Ukraine: Russia-Ukraine tensions rise to the point where Russian troops invade Ukraine, going farther than the Donbass region."/>
    <x v="1115"/>
    <s v="Ukraine"/>
    <s v="Emerging Markets"/>
    <s v="USD_EM_DS_UKRAINE"/>
    <s v="Spread Emerging Markets - Country"/>
    <s v="OK"/>
    <x v="29"/>
    <s v="Spread Yield"/>
    <x v="5"/>
    <x v="4"/>
    <x v="177"/>
  </r>
  <r>
    <x v="191"/>
    <s v="Global Strategic Competition - Jousting for Tech Dominance  "/>
    <n v="2429"/>
    <s v="Jousting for Tech Dominance: In the competition for dominance in advanced technology, the US bans all exports of semiconductors to China citing national security concerns."/>
    <x v="1116"/>
    <s v="US Cash Bonds IG"/>
    <s v="Corporate IG USD - Other"/>
    <s v="USD_LEH_CREDIT3"/>
    <s v="Corporate IG USD - Other"/>
    <s v="OK"/>
    <x v="26"/>
    <s v="Corporate IG USD - Other"/>
    <x v="5"/>
    <x v="4"/>
    <x v="127"/>
  </r>
  <r>
    <x v="191"/>
    <s v="Global Strategic Competition - Jousting for Tech Dominance  "/>
    <n v="2429"/>
    <s v="Jousting for Tech Dominance: In the competition for dominance in advanced technology, the US bans all exports of semiconductors to China citing national security concerns."/>
    <x v="1117"/>
    <s v="US Tech IG"/>
    <s v="Corporate IG USD - Industry"/>
    <s v="USD_TECH_IG3"/>
    <s v="Corporate IG USD - Industry"/>
    <s v="OK"/>
    <x v="37"/>
    <s v="Spread Yield"/>
    <x v="5"/>
    <x v="4"/>
    <x v="134"/>
  </r>
  <r>
    <x v="191"/>
    <s v="Global Strategic Competition - Jousting for Tech Dominance  "/>
    <n v="2429"/>
    <s v="Jousting for Tech Dominance: In the competition for dominance in advanced technology, the US bans all exports of semiconductors to China citing national security concerns."/>
    <x v="679"/>
    <s v="S&amp;P 500"/>
    <s v="Equity Implied Volatility"/>
    <s v="SPX"/>
    <s v="Equity Implied Volatility"/>
    <s v="OK"/>
    <x v="1"/>
    <s v="Index Level"/>
    <x v="1"/>
    <x v="1"/>
    <x v="191"/>
  </r>
  <r>
    <x v="191"/>
    <s v="Global Strategic Competition - Jousting for Tech Dominance  "/>
    <n v="2429"/>
    <s v="Jousting for Tech Dominance: In the competition for dominance in advanced technology, the US bans all exports of semiconductors to China citing national security concerns."/>
    <x v="282"/>
    <s v="Time"/>
    <e v="#N/A"/>
    <s v="ALL_TIME"/>
    <e v="#N/A"/>
    <s v="BOTH #N/A"/>
    <x v="64"/>
    <s v="Time "/>
    <x v="8"/>
    <x v="2"/>
    <x v="115"/>
  </r>
  <r>
    <x v="191"/>
    <s v="Global Strategic Competition - Jousting for Tech Dominance  "/>
    <n v="2429"/>
    <s v="Jousting for Tech Dominance: In the competition for dominance in advanced technology, the US bans all exports of semiconductors to China citing national security concerns."/>
    <x v="1118"/>
    <s v="Semiconductors &amp; Equipment"/>
    <s v="Information Technology"/>
    <s v="FMI_NAMR_ITCSEMICEQ"/>
    <e v="#N/A"/>
    <s v="OK"/>
    <x v="5"/>
    <s v="Industry Return  "/>
    <x v="4"/>
    <x v="1"/>
    <x v="106"/>
  </r>
  <r>
    <x v="191"/>
    <s v="Global Strategic Competition - Jousting for Tech Dominance  "/>
    <n v="2429"/>
    <s v="Jousting for Tech Dominance: In the competition for dominance in advanced technology, the US bans all exports of semiconductors to China citing national security concerns."/>
    <x v="1119"/>
    <s v="Taiwan"/>
    <s v="Emerging Markets"/>
    <s v="FMI_APXJ_TWN"/>
    <e v="#N/A"/>
    <s v="OK"/>
    <x v="32"/>
    <s v="Country Return  "/>
    <x v="12"/>
    <x v="1"/>
    <x v="125"/>
  </r>
  <r>
    <x v="191"/>
    <s v="Global Strategic Competition - Jousting for Tech Dominance  "/>
    <n v="2429"/>
    <s v="Jousting for Tech Dominance: In the competition for dominance in advanced technology, the US bans all exports of semiconductors to China citing national security concerns."/>
    <x v="1120"/>
    <s v="Electrical Equipment"/>
    <s v="Industrials"/>
    <s v="FMI_APXJ_INDELECEQ"/>
    <e v="#N/A"/>
    <s v="OK"/>
    <x v="4"/>
    <s v="Industry Return  "/>
    <x v="4"/>
    <x v="1"/>
    <x v="114"/>
  </r>
  <r>
    <x v="191"/>
    <s v="Global Strategic Competition - Jousting for Tech Dominance  "/>
    <n v="2429"/>
    <s v="Jousting for Tech Dominance: In the competition for dominance in advanced technology, the US bans all exports of semiconductors to China citing national security concerns."/>
    <x v="1121"/>
    <s v="Communications Equipment"/>
    <s v="Information Technology"/>
    <s v="FMI_APXJ_ITCCOMMEQ"/>
    <e v="#N/A"/>
    <s v="OK"/>
    <x v="5"/>
    <s v="Industry Return  "/>
    <x v="4"/>
    <x v="1"/>
    <x v="114"/>
  </r>
  <r>
    <x v="191"/>
    <s v="Global Strategic Competition - Jousting for Tech Dominance  "/>
    <n v="2429"/>
    <s v="Jousting for Tech Dominance: In the competition for dominance in advanced technology, the US bans all exports of semiconductors to China citing national security concerns."/>
    <x v="1122"/>
    <s v="Semiconductors"/>
    <e v="#N/A"/>
    <s v="FMI_APXJ_ITCSEMICON"/>
    <e v="#N/A"/>
    <s v="BOTH #N/A"/>
    <x v="5"/>
    <s v="Information Technology"/>
    <x v="4"/>
    <x v="1"/>
    <x v="148"/>
  </r>
  <r>
    <x v="192"/>
    <s v="Global technology decoupling                                "/>
    <n v="2208"/>
    <s v="US-China relations come under unprecedented strain, exacerbated by the COVID-19 crisis and ongoing trade and technology disputes. The Phase One trade deal collapses, reigniting a full-blown trade war as both sides impose tariffs and non-tariff barriers."/>
    <x v="254"/>
    <s v="Tsy 10Y"/>
    <s v="Govt USD"/>
    <s v="USD_10yr"/>
    <s v="Govt USD"/>
    <s v="OK"/>
    <x v="0"/>
    <s v="Yield  "/>
    <x v="0"/>
    <x v="0"/>
    <x v="105"/>
  </r>
  <r>
    <x v="192"/>
    <s v="Global technology decoupling                                "/>
    <n v="2208"/>
    <s v="US-China relations come under unprecedented strain, exacerbated by the COVID-19 crisis and ongoing trade and technology disputes. The Phase One trade deal collapses, reigniting a full-blown trade war as both sides impose tariffs and non-tariff barriers."/>
    <x v="745"/>
    <s v="CPI 10yr"/>
    <s v="USD Inflation"/>
    <s v="USD_CPI_10yr"/>
    <s v="USD Inflation"/>
    <s v="OK"/>
    <x v="8"/>
    <s v="Yield  "/>
    <x v="6"/>
    <x v="2"/>
    <x v="132"/>
  </r>
  <r>
    <x v="192"/>
    <s v="Global technology decoupling                                "/>
    <n v="2208"/>
    <s v="US-China relations come under unprecedented strain, exacerbated by the COVID-19 crisis and ongoing trade and technology disputes. The Phase One trade deal collapses, reigniting a full-blown trade war as both sides impose tariffs and non-tariff barriers."/>
    <x v="489"/>
    <s v="US Cash Bonds IG"/>
    <s v="Corporate IG USD - Other"/>
    <s v="USD_LEH_CREDIT3"/>
    <s v="Corporate IG USD - Other"/>
    <s v="OK"/>
    <x v="26"/>
    <s v="Corporate IG USD - Other"/>
    <x v="5"/>
    <x v="4"/>
    <x v="108"/>
  </r>
  <r>
    <x v="192"/>
    <s v="Global technology decoupling                                "/>
    <n v="2208"/>
    <s v="US-China relations come under unprecedented strain, exacerbated by the COVID-19 crisis and ongoing trade and technology disputes. The Phase One trade deal collapses, reigniting a full-blown trade war as both sides impose tariffs and non-tariff barriers."/>
    <x v="1123"/>
    <s v="MYR 5Y"/>
    <s v="Govt Emerging Markets"/>
    <s v="MYR_5yr"/>
    <s v="Govt Emerging Markets"/>
    <s v="OK"/>
    <x v="31"/>
    <s v="Yield  "/>
    <x v="0"/>
    <x v="0"/>
    <x v="149"/>
  </r>
  <r>
    <x v="192"/>
    <s v="Global technology decoupling                                "/>
    <n v="2208"/>
    <s v="US-China relations come under unprecedented strain, exacerbated by the COVID-19 crisis and ongoing trade and technology disputes. The Phase One trade deal collapses, reigniting a full-blown trade war as both sides impose tariffs and non-tariff barriers."/>
    <x v="1124"/>
    <s v="CHFUSD"/>
    <e v="#N/A"/>
    <s v="CHF_FX_USD"/>
    <s v="Developed Currency"/>
    <s v="OK"/>
    <x v="42"/>
    <s v="FX  "/>
    <x v="3"/>
    <x v="3"/>
    <x v="112"/>
  </r>
  <r>
    <x v="192"/>
    <s v="Global technology decoupling                                "/>
    <n v="2208"/>
    <s v="US-China relations come under unprecedented strain, exacerbated by the COVID-19 crisis and ongoing trade and technology disputes. The Phase One trade deal collapses, reigniting a full-blown trade war as both sides impose tariffs and non-tariff barriers."/>
    <x v="1125"/>
    <s v="CNYUSD"/>
    <e v="#N/A"/>
    <s v="CNY_FX_USD"/>
    <s v="Emerging Currency"/>
    <s v="OK"/>
    <x v="3"/>
    <s v="FX  "/>
    <x v="3"/>
    <x v="3"/>
    <x v="128"/>
  </r>
  <r>
    <x v="192"/>
    <s v="Global technology decoupling                                "/>
    <n v="2208"/>
    <s v="US-China relations come under unprecedented strain, exacerbated by the COVID-19 crisis and ongoing trade and technology disputes. The Phase One trade deal collapses, reigniting a full-blown trade war as both sides impose tariffs and non-tariff barriers."/>
    <x v="133"/>
    <s v="DXY"/>
    <e v="#N/A"/>
    <s v="DXY"/>
    <e v="#N/A"/>
    <s v="BOTH #N/A"/>
    <x v="18"/>
    <s v="Dollar Index"/>
    <x v="9"/>
    <x v="2"/>
    <x v="112"/>
  </r>
  <r>
    <x v="192"/>
    <s v="Global technology decoupling                                "/>
    <n v="2208"/>
    <s v="US-China relations come under unprecedented strain, exacerbated by the COVID-19 crisis and ongoing trade and technology disputes. The Phase One trade deal collapses, reigniting a full-blown trade war as both sides impose tariffs and non-tariff barriers."/>
    <x v="122"/>
    <s v="Time"/>
    <e v="#N/A"/>
    <s v="ALL_TIME"/>
    <e v="#N/A"/>
    <s v="BOTH #N/A"/>
    <x v="64"/>
    <s v="Time "/>
    <x v="8"/>
    <x v="2"/>
    <x v="151"/>
  </r>
  <r>
    <x v="192"/>
    <s v="Global technology decoupling                                "/>
    <n v="2208"/>
    <s v="US-China relations come under unprecedented strain, exacerbated by the COVID-19 crisis and ongoing trade and technology disputes. The Phase One trade deal collapses, reigniting a full-blown trade war as both sides impose tariffs and non-tariff barriers."/>
    <x v="1126"/>
    <s v="Viet Nam"/>
    <s v="Emerging Markets"/>
    <s v="FMI_WRLD_VNM"/>
    <s v="Emerging Markets"/>
    <s v="OK"/>
    <x v="32"/>
    <s v="Country Return  "/>
    <x v="12"/>
    <x v="1"/>
    <x v="112"/>
  </r>
  <r>
    <x v="192"/>
    <s v="Global technology decoupling                                "/>
    <n v="2208"/>
    <s v="US-China relations come under unprecedented strain, exacerbated by the COVID-19 crisis and ongoing trade and technology disputes. The Phase One trade deal collapses, reigniting a full-blown trade war as both sides impose tariffs and non-tariff barriers."/>
    <x v="1127"/>
    <s v="Aerospace &amp; Def Const &amp; Eng"/>
    <e v="#N/A"/>
    <s v="FMI_APXJ_INDDEFENG"/>
    <e v="#N/A"/>
    <s v="BOTH #N/A"/>
    <x v="4"/>
    <s v="Industrials"/>
    <x v="4"/>
    <x v="1"/>
    <x v="113"/>
  </r>
  <r>
    <x v="192"/>
    <s v="Global technology decoupling                                "/>
    <n v="2208"/>
    <s v="US-China relations come under unprecedented strain, exacerbated by the COVID-19 crisis and ongoing trade and technology disputes. The Phase One trade deal collapses, reigniting a full-blown trade war as both sides impose tariffs and non-tariff barriers."/>
    <x v="1120"/>
    <s v="Electrical Equipment"/>
    <s v="Industrials"/>
    <s v="FMI_APXJ_INDELECEQ"/>
    <e v="#N/A"/>
    <s v="OK"/>
    <x v="4"/>
    <s v="Industry Return  "/>
    <x v="4"/>
    <x v="1"/>
    <x v="114"/>
  </r>
  <r>
    <x v="192"/>
    <s v="Global technology decoupling                                "/>
    <n v="2208"/>
    <s v="US-China relations come under unprecedented strain, exacerbated by the COVID-19 crisis and ongoing trade and technology disputes. The Phase One trade deal collapses, reigniting a full-blown trade war as both sides impose tariffs and non-tariff barriers."/>
    <x v="207"/>
    <s v="Software &amp; Internet Services"/>
    <e v="#N/A"/>
    <s v="FMI_APXJ_ITCSOFTNET"/>
    <e v="#N/A"/>
    <s v="BOTH #N/A"/>
    <x v="5"/>
    <s v="Information Technology"/>
    <x v="4"/>
    <x v="1"/>
    <x v="125"/>
  </r>
  <r>
    <x v="192"/>
    <s v="Global technology decoupling                                "/>
    <n v="2208"/>
    <s v="US-China relations come under unprecedented strain, exacerbated by the COVID-19 crisis and ongoing trade and technology disputes. The Phase One trade deal collapses, reigniting a full-blown trade war as both sides impose tariffs and non-tariff barriers."/>
    <x v="1128"/>
    <s v="MSCI China Index USD"/>
    <e v="#N/A"/>
    <s v="MSCINDRCHN"/>
    <s v="Other - Index"/>
    <s v="OK"/>
    <x v="12"/>
    <s v="Index Level"/>
    <x v="7"/>
    <x v="2"/>
    <x v="121"/>
  </r>
  <r>
    <x v="192"/>
    <s v="Global technology decoupling                                "/>
    <n v="2208"/>
    <s v="US-China relations come under unprecedented strain, exacerbated by the COVID-19 crisis and ongoing trade and technology disputes. The Phase One trade deal collapses, reigniting a full-blown trade war as both sides impose tariffs and non-tariff barriers."/>
    <x v="1129"/>
    <s v="MSCI China Index (USD)"/>
    <s v="Other - Index"/>
    <s v="USD"/>
    <e v="#N/A"/>
    <s v="OK"/>
    <x v="12"/>
    <s v="Index Level"/>
    <x v="7"/>
    <x v="2"/>
    <x v="122"/>
  </r>
  <r>
    <x v="193"/>
    <s v="U.S.-China strategic competition                            "/>
    <n v="2209"/>
    <s v="Worsening US-China relations and a perceived challenge to the status quo 'One China' principle trigger US-China military tensions in the Taiwan Strait."/>
    <x v="290"/>
    <s v="Tsy 10Y"/>
    <s v="Govt USD"/>
    <s v="USD_10yr"/>
    <s v="Govt USD"/>
    <s v="OK"/>
    <x v="0"/>
    <s v="Yield  "/>
    <x v="0"/>
    <x v="0"/>
    <x v="200"/>
  </r>
  <r>
    <x v="193"/>
    <s v="U.S.-China strategic competition                            "/>
    <n v="2209"/>
    <s v="Worsening US-China relations and a perceived challenge to the status quo 'One China' principle trigger US-China military tensions in the Taiwan Strait."/>
    <x v="151"/>
    <s v="Gold COMEX 1"/>
    <s v="Alternative - Commodity"/>
    <s v="USD_COMD_GC_1"/>
    <s v="Alternative - Commodity"/>
    <s v="OK"/>
    <x v="2"/>
    <s v="Price Level  "/>
    <x v="2"/>
    <x v="2"/>
    <x v="107"/>
  </r>
  <r>
    <x v="193"/>
    <s v="U.S.-China strategic competition                            "/>
    <n v="2209"/>
    <s v="Worsening US-China relations and a perceived challenge to the status quo 'One China' principle trigger US-China military tensions in the Taiwan Strait."/>
    <x v="1130"/>
    <s v="US Tech IG"/>
    <s v="Corporate IG USD - Industry"/>
    <s v="USD_TECH_IG3"/>
    <s v="Corporate IG USD - Industry"/>
    <s v="OK"/>
    <x v="37"/>
    <s v="Spread Yield"/>
    <x v="5"/>
    <x v="4"/>
    <x v="108"/>
  </r>
  <r>
    <x v="193"/>
    <s v="U.S.-China strategic competition                            "/>
    <n v="2209"/>
    <s v="Worsening US-China relations and a perceived challenge to the status quo 'One China' principle trigger US-China military tensions in the Taiwan Strait."/>
    <x v="120"/>
    <s v="CNYUSD"/>
    <e v="#N/A"/>
    <s v="CNY_FX_USD"/>
    <s v="Emerging Currency"/>
    <s v="OK"/>
    <x v="3"/>
    <s v="FX  "/>
    <x v="3"/>
    <x v="3"/>
    <x v="116"/>
  </r>
  <r>
    <x v="193"/>
    <s v="U.S.-China strategic competition                            "/>
    <n v="2209"/>
    <s v="Worsening US-China relations and a perceived challenge to the status quo 'One China' principle trigger US-China military tensions in the Taiwan Strait."/>
    <x v="319"/>
    <s v="JPY/USD"/>
    <s v="JPY"/>
    <s v="JPY_FX_USD"/>
    <s v="JPY"/>
    <s v="OK"/>
    <x v="11"/>
    <s v="FX  "/>
    <x v="3"/>
    <x v="3"/>
    <x v="141"/>
  </r>
  <r>
    <x v="193"/>
    <s v="U.S.-China strategic competition                            "/>
    <n v="2209"/>
    <s v="Worsening US-China relations and a perceived challenge to the status quo 'One China' principle trigger US-China military tensions in the Taiwan Strait."/>
    <x v="1131"/>
    <s v="TWDUSD"/>
    <e v="#N/A"/>
    <s v="TWD_FX_USD"/>
    <s v="Emerging Currency"/>
    <s v="OK"/>
    <x v="3"/>
    <s v="FX  "/>
    <x v="3"/>
    <x v="3"/>
    <x v="122"/>
  </r>
  <r>
    <x v="193"/>
    <s v="U.S.-China strategic competition                            "/>
    <n v="2209"/>
    <s v="Worsening US-China relations and a perceived challenge to the status quo 'One China' principle trigger US-China military tensions in the Taiwan Strait."/>
    <x v="404"/>
    <s v="DXY"/>
    <e v="#N/A"/>
    <s v="DXY"/>
    <e v="#N/A"/>
    <s v="BOTH #N/A"/>
    <x v="18"/>
    <s v="Dollar Index"/>
    <x v="9"/>
    <x v="2"/>
    <x v="141"/>
  </r>
  <r>
    <x v="193"/>
    <s v="U.S.-China strategic competition                            "/>
    <n v="2209"/>
    <s v="Worsening US-China relations and a perceived challenge to the status quo 'One China' principle trigger US-China military tensions in the Taiwan Strait."/>
    <x v="155"/>
    <s v="S&amp;P 500"/>
    <s v="Equity Implied Volatility"/>
    <s v="SPX"/>
    <s v="Equity Implied Volatility"/>
    <s v="OK"/>
    <x v="1"/>
    <s v="Index Level"/>
    <x v="1"/>
    <x v="1"/>
    <x v="114"/>
  </r>
  <r>
    <x v="193"/>
    <s v="U.S.-China strategic competition                            "/>
    <n v="2209"/>
    <s v="Worsening US-China relations and a perceived challenge to the status quo 'One China' principle trigger US-China military tensions in the Taiwan Strait."/>
    <x v="122"/>
    <s v="Time"/>
    <e v="#N/A"/>
    <s v="ALL_TIME"/>
    <e v="#N/A"/>
    <s v="BOTH #N/A"/>
    <x v="64"/>
    <s v="Time "/>
    <x v="8"/>
    <x v="2"/>
    <x v="151"/>
  </r>
  <r>
    <x v="193"/>
    <s v="U.S.-China strategic competition                            "/>
    <n v="2209"/>
    <s v="Worsening US-China relations and a perceived challenge to the status quo 'One China' principle trigger US-China military tensions in the Taiwan Strait."/>
    <x v="1132"/>
    <s v="China Offshore"/>
    <s v="Emerging Markets"/>
    <s v="FMI_WRLD_CHB"/>
    <s v="Emerging Markets"/>
    <s v="OK"/>
    <x v="32"/>
    <s v="Country Return  "/>
    <x v="12"/>
    <x v="1"/>
    <x v="156"/>
  </r>
  <r>
    <x v="193"/>
    <s v="U.S.-China strategic competition                            "/>
    <n v="2209"/>
    <s v="Worsening US-China relations and a perceived challenge to the status quo 'One China' principle trigger US-China military tensions in the Taiwan Strait."/>
    <x v="1133"/>
    <s v="Taiwan"/>
    <s v="Emerging Markets"/>
    <s v="FMI_WRLD_TWN"/>
    <s v="Emerging Markets"/>
    <s v="OK"/>
    <x v="32"/>
    <s v="Country Return  "/>
    <x v="12"/>
    <x v="1"/>
    <x v="121"/>
  </r>
  <r>
    <x v="193"/>
    <s v="U.S.-China strategic competition                            "/>
    <n v="2209"/>
    <s v="Worsening US-China relations and a perceived challenge to the status quo 'One China' principle trigger US-China military tensions in the Taiwan Strait."/>
    <x v="1134"/>
    <s v="Computers  Peripherals"/>
    <e v="#N/A"/>
    <s v="FMI_WRLD_ITCCOMP"/>
    <s v="Information Technology"/>
    <s v="OK"/>
    <x v="5"/>
    <s v="Industry Return  "/>
    <x v="4"/>
    <x v="1"/>
    <x v="116"/>
  </r>
  <r>
    <x v="193"/>
    <s v="U.S.-China strategic competition                            "/>
    <n v="2209"/>
    <s v="Worsening US-China relations and a perceived challenge to the status quo 'One China' principle trigger US-China military tensions in the Taiwan Strait."/>
    <x v="1135"/>
    <s v="Semiconductors  Equipment"/>
    <e v="#N/A"/>
    <s v="FMI_WRLD_ITCSEMICEQ"/>
    <s v="Information Technology"/>
    <s v="OK"/>
    <x v="5"/>
    <s v="Industry Return  "/>
    <x v="4"/>
    <x v="1"/>
    <x v="114"/>
  </r>
  <r>
    <x v="193"/>
    <s v="U.S.-China strategic competition                            "/>
    <n v="2209"/>
    <s v="Worsening US-China relations and a perceived challenge to the status quo 'One China' principle trigger US-China military tensions in the Taiwan Strait."/>
    <x v="1136"/>
    <s v="China Corp HY"/>
    <s v="Corporate HY USD - Industry"/>
    <s v="USD_CN_CORP_HY"/>
    <s v="Corporate HY USD - Industry"/>
    <s v="OK"/>
    <x v="6"/>
    <s v="Spread Yield"/>
    <x v="5"/>
    <x v="4"/>
    <x v="253"/>
  </r>
  <r>
    <x v="194"/>
    <s v="US Downgrade '11 - Absolute, July 21 - Sept 20, 2011        "/>
    <n v="2314"/>
    <s v="The period starts with 50% chance US downgrade indication from S&amp;P Standards and ends with Operational Twist announcement by Fed. Stock market incurred losses while bonds markets saw gains due to flight to safety. Shocks for DxS Factors are spreads."/>
    <x v="79"/>
    <m/>
    <e v="#N/A"/>
    <s v="-"/>
    <e v="#N/A"/>
    <s v="BOTH #N/A"/>
    <x v="24"/>
    <s v="-"/>
    <x v="10"/>
    <x v="5"/>
    <x v="59"/>
  </r>
  <r>
    <x v="195"/>
    <s v="US Downgrade '11 - Relative, July 21 - Sept 20, 2011        "/>
    <n v="2313"/>
    <s v="The period starts with 50% chance US downgrade indication from S&amp;P Standards and ends with Operational Twist announcement by Fed. Stock market incurred losses while bonds markets saw gains due to flight to safety. Shocks for DxS Factors are percentages of spread."/>
    <x v="79"/>
    <m/>
    <e v="#N/A"/>
    <s v="-"/>
    <e v="#N/A"/>
    <s v="BOTH #N/A"/>
    <x v="24"/>
    <s v="-"/>
    <x v="10"/>
    <x v="5"/>
    <x v="59"/>
  </r>
  <r>
    <x v="196"/>
    <s v="Global Strategic Competition - US Auto Tariffs on EU        "/>
    <n v="2430"/>
    <s v="US Auto Tariffs on EU: In an effort to reduce the US trade deficit, the Trump administration imposes 25% tariffs on all autos and auto components imported from Europe."/>
    <x v="1023"/>
    <s v="Tsy 2Y"/>
    <s v="Govt USD"/>
    <s v="USD_2yr"/>
    <s v="Govt USD"/>
    <s v="OK"/>
    <x v="0"/>
    <s v="Yield  "/>
    <x v="0"/>
    <x v="0"/>
    <x v="164"/>
  </r>
  <r>
    <x v="196"/>
    <s v="Global Strategic Competition - US Auto Tariffs on EU        "/>
    <n v="2430"/>
    <s v="US Auto Tariffs on EU: In an effort to reduce the US trade deficit, the Trump administration imposes 25% tariffs on all autos and auto components imported from Europe."/>
    <x v="647"/>
    <s v="Tsy 10Y"/>
    <s v="Govt USD"/>
    <s v="USD_10yr"/>
    <s v="Govt USD"/>
    <s v="OK"/>
    <x v="0"/>
    <s v="Yield  "/>
    <x v="0"/>
    <x v="0"/>
    <x v="124"/>
  </r>
  <r>
    <x v="196"/>
    <s v="Global Strategic Competition - US Auto Tariffs on EU        "/>
    <n v="2430"/>
    <s v="US Auto Tariffs on EU: In an effort to reduce the US trade deficit, the Trump administration imposes 25% tariffs on all autos and auto components imported from Europe."/>
    <x v="1137"/>
    <s v="CPI 10yr"/>
    <s v="USD Inflation"/>
    <s v="USD_CPI_10yr"/>
    <s v="USD Inflation"/>
    <s v="OK"/>
    <x v="8"/>
    <s v="Yield  "/>
    <x v="6"/>
    <x v="2"/>
    <x v="254"/>
  </r>
  <r>
    <x v="196"/>
    <s v="Global Strategic Competition - US Auto Tariffs on EU        "/>
    <n v="2430"/>
    <s v="US Auto Tariffs on EU: In an effort to reduce the US trade deficit, the Trump administration imposes 25% tariffs on all autos and auto components imported from Europe."/>
    <x v="679"/>
    <s v="S&amp;P 500"/>
    <s v="Equity Implied Volatility"/>
    <s v="SPX"/>
    <s v="Equity Implied Volatility"/>
    <s v="OK"/>
    <x v="1"/>
    <s v="Index Level"/>
    <x v="1"/>
    <x v="1"/>
    <x v="191"/>
  </r>
  <r>
    <x v="196"/>
    <s v="Global Strategic Competition - US Auto Tariffs on EU        "/>
    <n v="2430"/>
    <s v="US Auto Tariffs on EU: In an effort to reduce the US trade deficit, the Trump administration imposes 25% tariffs on all autos and auto components imported from Europe."/>
    <x v="1138"/>
    <s v="EU Auto IG"/>
    <s v="Corporate IG EUR - Industry"/>
    <s v="EUR_AUTO_IG_V3"/>
    <s v="Corporate IG EUR - Industry"/>
    <s v="OK"/>
    <x v="58"/>
    <s v="Spread Yield"/>
    <x v="5"/>
    <x v="4"/>
    <x v="222"/>
  </r>
  <r>
    <x v="196"/>
    <s v="Global Strategic Competition - US Auto Tariffs on EU        "/>
    <n v="2430"/>
    <s v="US Auto Tariffs on EU: In an effort to reduce the US trade deficit, the Trump administration imposes 25% tariffs on all autos and auto components imported from Europe."/>
    <x v="282"/>
    <s v="Time"/>
    <e v="#N/A"/>
    <s v="ALL_TIME"/>
    <e v="#N/A"/>
    <s v="BOTH #N/A"/>
    <x v="64"/>
    <s v="Time "/>
    <x v="8"/>
    <x v="2"/>
    <x v="115"/>
  </r>
  <r>
    <x v="196"/>
    <s v="Global Strategic Competition - US Auto Tariffs on EU        "/>
    <n v="2430"/>
    <s v="US Auto Tariffs on EU: In an effort to reduce the US trade deficit, the Trump administration imposes 25% tariffs on all autos and auto components imported from Europe."/>
    <x v="1139"/>
    <s v="Automobiles"/>
    <e v="#N/A"/>
    <s v="FMI_EMEA_CDIAUTOS"/>
    <e v="#N/A"/>
    <s v="BOTH #N/A"/>
    <x v="23"/>
    <s v="Consumer Discretionary"/>
    <x v="4"/>
    <x v="1"/>
    <x v="129"/>
  </r>
  <r>
    <x v="196"/>
    <s v="Global Strategic Competition - US Auto Tariffs on EU        "/>
    <n v="2430"/>
    <s v="US Auto Tariffs on EU: In an effort to reduce the US trade deficit, the Trump administration imposes 25% tariffs on all autos and auto components imported from Europe."/>
    <x v="1140"/>
    <s v="MSCI EUROPE(EUR)"/>
    <s v="Equity Implied Volatility"/>
    <s v="EUROPEEUR"/>
    <e v="#N/A"/>
    <s v="OK"/>
    <x v="1"/>
    <s v="Index Level"/>
    <x v="1"/>
    <x v="1"/>
    <x v="122"/>
  </r>
  <r>
    <x v="197"/>
    <s v="US Green Plan - All Green(03/2021)                          "/>
    <n v="2450"/>
    <s v="US Green Plan: The US administrations 'Build Back Better' agenda gathers popular momentum and bipartisan support, resulting in a green-oriented fiscal stimulus package."/>
    <x v="399"/>
    <s v="Tsy 2Y"/>
    <s v="Govt USD"/>
    <s v="USD_2yr"/>
    <s v="Govt USD"/>
    <s v="OK"/>
    <x v="0"/>
    <s v="Yield  "/>
    <x v="0"/>
    <x v="0"/>
    <x v="134"/>
  </r>
  <r>
    <x v="197"/>
    <s v="US Green Plan - All Green(03/2021)                          "/>
    <n v="2450"/>
    <s v="US Green Plan: The US administrations 'Build Back Better' agenda gathers popular momentum and bipartisan support, resulting in a green-oriented fiscal stimulus package."/>
    <x v="599"/>
    <s v="Tsy 10Y"/>
    <s v="Govt USD"/>
    <s v="USD_10yr"/>
    <s v="Govt USD"/>
    <s v="OK"/>
    <x v="0"/>
    <s v="Yield  "/>
    <x v="0"/>
    <x v="0"/>
    <x v="140"/>
  </r>
  <r>
    <x v="197"/>
    <s v="US Green Plan - All Green(03/2021)                          "/>
    <n v="2450"/>
    <s v="US Green Plan: The US administrations 'Build Back Better' agenda gathers popular momentum and bipartisan support, resulting in a green-oriented fiscal stimulus package."/>
    <x v="1141"/>
    <s v="Copper LME 1"/>
    <s v="Alternative - Commodity"/>
    <s v="USD_COMD_LP_1"/>
    <s v="Alternative - Commodity"/>
    <s v="OK"/>
    <x v="2"/>
    <s v="Price Level  "/>
    <x v="2"/>
    <x v="2"/>
    <x v="139"/>
  </r>
  <r>
    <x v="197"/>
    <s v="US Green Plan - All Green(03/2021)                          "/>
    <n v="2450"/>
    <s v="US Green Plan: The US administrations 'Build Back Better' agenda gathers popular momentum and bipartisan support, resulting in a green-oriented fiscal stimulus package."/>
    <x v="1142"/>
    <s v="Crude Oil NYME 1"/>
    <s v="Alternative - Commodity"/>
    <s v="USD_COMD_CL_1"/>
    <s v="Alternative - Commodity"/>
    <s v="OK"/>
    <x v="2"/>
    <s v="Price Level  "/>
    <x v="2"/>
    <x v="2"/>
    <x v="125"/>
  </r>
  <r>
    <x v="197"/>
    <s v="US Green Plan - All Green(03/2021)                          "/>
    <n v="2450"/>
    <s v="US Green Plan: The US administrations 'Build Back Better' agenda gathers popular momentum and bipartisan support, resulting in a green-oriented fiscal stimulus package."/>
    <x v="789"/>
    <s v="US Cash Bonds IG"/>
    <s v="Corporate IG USD - Other"/>
    <s v="USD_LEH_CREDIT3"/>
    <s v="Corporate IG USD - Other"/>
    <s v="OK"/>
    <x v="26"/>
    <s v="Corporate IG USD - Other"/>
    <x v="5"/>
    <x v="4"/>
    <x v="124"/>
  </r>
  <r>
    <x v="197"/>
    <s v="US Green Plan - All Green(03/2021)                          "/>
    <n v="2450"/>
    <s v="US Green Plan: The US administrations 'Build Back Better' agenda gathers popular momentum and bipartisan support, resulting in a green-oriented fiscal stimulus package."/>
    <x v="1143"/>
    <s v="DXY"/>
    <e v="#N/A"/>
    <s v="DXY"/>
    <e v="#N/A"/>
    <s v="BOTH #N/A"/>
    <x v="18"/>
    <s v="Dollar Index"/>
    <x v="9"/>
    <x v="2"/>
    <x v="113"/>
  </r>
  <r>
    <x v="197"/>
    <s v="US Green Plan - All Green(03/2021)                          "/>
    <n v="2450"/>
    <s v="US Green Plan: The US administrations 'Build Back Better' agenda gathers popular momentum and bipartisan support, resulting in a green-oriented fiscal stimulus package."/>
    <x v="1144"/>
    <s v="VIX"/>
    <s v="Equity Implied Volatility"/>
    <s v="VIX"/>
    <s v="Equity Implied Volatility"/>
    <s v="OK"/>
    <x v="1"/>
    <s v="Index Level"/>
    <x v="1"/>
    <x v="1"/>
    <x v="110"/>
  </r>
  <r>
    <x v="197"/>
    <s v="US Green Plan - All Green(03/2021)                          "/>
    <n v="2450"/>
    <s v="US Green Plan: The US administrations 'Build Back Better' agenda gathers popular momentum and bipartisan support, resulting in a green-oriented fiscal stimulus package."/>
    <x v="122"/>
    <s v="Time"/>
    <e v="#N/A"/>
    <s v="ALL_TIME"/>
    <e v="#N/A"/>
    <s v="BOTH #N/A"/>
    <x v="64"/>
    <s v="Time "/>
    <x v="8"/>
    <x v="2"/>
    <x v="151"/>
  </r>
  <r>
    <x v="197"/>
    <s v="US Green Plan - All Green(03/2021)                          "/>
    <n v="2450"/>
    <s v="US Green Plan: The US administrations 'Build Back Better' agenda gathers popular momentum and bipartisan support, resulting in a green-oriented fiscal stimulus package."/>
    <x v="1145"/>
    <s v="Building Products"/>
    <s v="Industrials"/>
    <s v="FMI_NAMR_INDBLDPRD"/>
    <e v="#N/A"/>
    <s v="OK"/>
    <x v="4"/>
    <s v="Industry Return  "/>
    <x v="4"/>
    <x v="1"/>
    <x v="126"/>
  </r>
  <r>
    <x v="197"/>
    <s v="US Green Plan - All Green(03/2021)                          "/>
    <n v="2450"/>
    <s v="US Green Plan: The US administrations 'Build Back Better' agenda gathers popular momentum and bipartisan support, resulting in a green-oriented fiscal stimulus package."/>
    <x v="1146"/>
    <s v="Automobiles &amp; Components"/>
    <s v="Consumer Discretionary"/>
    <s v="FMI_NAMR_CDIAUTOCMP"/>
    <e v="#N/A"/>
    <s v="OK"/>
    <x v="23"/>
    <s v="Industry Return  "/>
    <x v="4"/>
    <x v="1"/>
    <x v="110"/>
  </r>
  <r>
    <x v="197"/>
    <s v="US Green Plan - All Green(03/2021)                          "/>
    <n v="2450"/>
    <s v="US Green Plan: The US administrations 'Build Back Better' agenda gathers popular momentum and bipartisan support, resulting in a green-oriented fiscal stimulus package."/>
    <x v="1147"/>
    <s v="Semiconductors &amp; Equipment"/>
    <s v="Information Technology"/>
    <s v="FMI_NAMR_ITCSEMICEQ"/>
    <e v="#N/A"/>
    <s v="OK"/>
    <x v="5"/>
    <s v="Industry Return  "/>
    <x v="4"/>
    <x v="1"/>
    <x v="148"/>
  </r>
  <r>
    <x v="197"/>
    <s v="US Green Plan - All Green(03/2021)                          "/>
    <n v="2450"/>
    <s v="US Green Plan: The US administrations 'Build Back Better' agenda gathers popular momentum and bipartisan support, resulting in a green-oriented fiscal stimulus package."/>
    <x v="1148"/>
    <s v="Utilities"/>
    <s v="Utilities"/>
    <s v="FMI_NAMR_UTLUTIL"/>
    <e v="#N/A"/>
    <s v="OK"/>
    <x v="21"/>
    <s v="Industry Return  "/>
    <x v="4"/>
    <x v="1"/>
    <x v="139"/>
  </r>
  <r>
    <x v="197"/>
    <s v="US Green Plan - All Green(03/2021)                          "/>
    <n v="2450"/>
    <s v="US Green Plan: The US administrations 'Build Back Better' agenda gathers popular momentum and bipartisan support, resulting in a green-oriented fiscal stimulus package."/>
    <x v="1149"/>
    <s v="Electrical Equipment"/>
    <s v="Industrials"/>
    <s v="FMI_APXJ_INDELECEQ"/>
    <e v="#N/A"/>
    <s v="OK"/>
    <x v="4"/>
    <s v="Industry Return  "/>
    <x v="4"/>
    <x v="1"/>
    <x v="139"/>
  </r>
  <r>
    <x v="197"/>
    <s v="US Green Plan - All Green(03/2021)                          "/>
    <n v="2450"/>
    <s v="US Green Plan: The US administrations 'Build Back Better' agenda gathers popular momentum and bipartisan support, resulting in a green-oriented fiscal stimulus package."/>
    <x v="1150"/>
    <s v="MSCI China"/>
    <s v="Other - Index"/>
    <s v="China"/>
    <e v="#N/A"/>
    <s v="OK"/>
    <x v="12"/>
    <s v="Index Level"/>
    <x v="7"/>
    <x v="2"/>
    <x v="113"/>
  </r>
  <r>
    <x v="197"/>
    <s v="US Green Plan - All Green(03/2021)                          "/>
    <n v="2450"/>
    <s v="US Green Plan: The US administrations 'Build Back Better' agenda gathers popular momentum and bipartisan support, resulting in a green-oriented fiscal stimulus package."/>
    <x v="1151"/>
    <s v="US Energy IG"/>
    <s v="Corporate IG USD - Industry"/>
    <s v="IG"/>
    <e v="#N/A"/>
    <s v="OK"/>
    <x v="37"/>
    <s v="Spread Yield"/>
    <x v="5"/>
    <x v="4"/>
    <x v="145"/>
  </r>
  <r>
    <x v="197"/>
    <s v="US Green Plan - All Green(03/2021)                          "/>
    <n v="2450"/>
    <s v="US Green Plan: The US administrations 'Build Back Better' agenda gathers popular momentum and bipartisan support, resulting in a green-oriented fiscal stimulus package."/>
    <x v="1152"/>
    <s v="Transportation"/>
    <s v="Industrials"/>
    <m/>
    <e v="#N/A"/>
    <s v="OK"/>
    <x v="4"/>
    <s v="Spread Yield"/>
    <x v="4"/>
    <x v="1"/>
    <x v="254"/>
  </r>
  <r>
    <x v="198"/>
    <s v="US Green Plan - Compromise(03/2021)                         "/>
    <n v="2451"/>
    <s v="US Green Plan: Compromise - An infrastructure-focused fiscal bill garners bipartisan support, but falls short of the initial green proposal."/>
    <x v="413"/>
    <s v="Tsy 2Y"/>
    <s v="Govt USD"/>
    <s v="USD_2yr"/>
    <s v="Govt USD"/>
    <s v="OK"/>
    <x v="0"/>
    <s v="Yield  "/>
    <x v="0"/>
    <x v="0"/>
    <x v="127"/>
  </r>
  <r>
    <x v="198"/>
    <s v="US Green Plan - Compromise(03/2021)                         "/>
    <n v="2451"/>
    <s v="US Green Plan: Compromise - An infrastructure-focused fiscal bill garners bipartisan support, but falls short of the initial green proposal."/>
    <x v="691"/>
    <s v="Tsy 10Y"/>
    <s v="Govt USD"/>
    <s v="USD_10yr"/>
    <s v="Govt USD"/>
    <s v="OK"/>
    <x v="0"/>
    <s v="Yield  "/>
    <x v="0"/>
    <x v="0"/>
    <x v="138"/>
  </r>
  <r>
    <x v="198"/>
    <s v="US Green Plan - Compromise(03/2021)                         "/>
    <n v="2451"/>
    <s v="US Green Plan: Compromise - An infrastructure-focused fiscal bill garners bipartisan support, but falls short of the initial green proposal."/>
    <x v="1142"/>
    <s v="Crude Oil NYME 1"/>
    <s v="Alternative - Commodity"/>
    <s v="USD_COMD_CL_1"/>
    <s v="Alternative - Commodity"/>
    <s v="OK"/>
    <x v="2"/>
    <s v="Price Level  "/>
    <x v="2"/>
    <x v="2"/>
    <x v="125"/>
  </r>
  <r>
    <x v="198"/>
    <s v="US Green Plan - Compromise(03/2021)                         "/>
    <n v="2451"/>
    <s v="US Green Plan: Compromise - An infrastructure-focused fiscal bill garners bipartisan support, but falls short of the initial green proposal."/>
    <x v="1153"/>
    <s v="US Cash Bonds IG"/>
    <s v="Corporate IG USD - Other"/>
    <s v="USD_LEH_CREDIT3"/>
    <s v="Corporate IG USD - Other"/>
    <s v="OK"/>
    <x v="26"/>
    <s v="Corporate IG USD - Other"/>
    <x v="5"/>
    <x v="4"/>
    <x v="255"/>
  </r>
  <r>
    <x v="198"/>
    <s v="US Green Plan - Compromise(03/2021)                         "/>
    <n v="2451"/>
    <s v="US Green Plan: Compromise - An infrastructure-focused fiscal bill garners bipartisan support, but falls short of the initial green proposal."/>
    <x v="1154"/>
    <s v="VIX"/>
    <s v="Equity Implied Volatility"/>
    <s v="VIX"/>
    <s v="Equity Implied Volatility"/>
    <s v="OK"/>
    <x v="1"/>
    <s v="Index Level"/>
    <x v="1"/>
    <x v="1"/>
    <x v="122"/>
  </r>
  <r>
    <x v="198"/>
    <s v="US Green Plan - Compromise(03/2021)                         "/>
    <n v="2451"/>
    <s v="US Green Plan: Compromise - An infrastructure-focused fiscal bill garners bipartisan support, but falls short of the initial green proposal."/>
    <x v="122"/>
    <s v="Time"/>
    <e v="#N/A"/>
    <s v="ALL_TIME"/>
    <e v="#N/A"/>
    <s v="BOTH #N/A"/>
    <x v="64"/>
    <s v="Time "/>
    <x v="8"/>
    <x v="2"/>
    <x v="151"/>
  </r>
  <r>
    <x v="198"/>
    <s v="US Green Plan - Compromise(03/2021)                         "/>
    <n v="2451"/>
    <s v="US Green Plan: Compromise - An infrastructure-focused fiscal bill garners bipartisan support, but falls short of the initial green proposal."/>
    <x v="1155"/>
    <s v="Building Products"/>
    <s v="Industrials"/>
    <s v="FMI_NAMR_INDBLDPRD"/>
    <e v="#N/A"/>
    <s v="OK"/>
    <x v="4"/>
    <s v="Industry Return  "/>
    <x v="4"/>
    <x v="1"/>
    <x v="166"/>
  </r>
  <r>
    <x v="198"/>
    <s v="US Green Plan - Compromise(03/2021)                         "/>
    <n v="2451"/>
    <s v="US Green Plan: Compromise - An infrastructure-focused fiscal bill garners bipartisan support, but falls short of the initial green proposal."/>
    <x v="1156"/>
    <s v="Utilities"/>
    <s v="Utilities"/>
    <s v="FMI_NAMR_UTLUTIL"/>
    <e v="#N/A"/>
    <s v="OK"/>
    <x v="21"/>
    <s v="Industry Return  "/>
    <x v="4"/>
    <x v="1"/>
    <x v="125"/>
  </r>
  <r>
    <x v="198"/>
    <s v="US Green Plan - Compromise(03/2021)                         "/>
    <n v="2451"/>
    <s v="US Green Plan: Compromise - An infrastructure-focused fiscal bill garners bipartisan support, but falls short of the initial green proposal."/>
    <x v="1157"/>
    <s v="MSCI China"/>
    <s v="Other - Index"/>
    <s v="China"/>
    <e v="#N/A"/>
    <s v="OK"/>
    <x v="12"/>
    <s v="Index Level"/>
    <x v="7"/>
    <x v="2"/>
    <x v="128"/>
  </r>
  <r>
    <x v="198"/>
    <s v="US Green Plan - Compromise(03/2021)                         "/>
    <n v="2451"/>
    <s v="US Green Plan: Compromise - An infrastructure-focused fiscal bill garners bipartisan support, but falls short of the initial green proposal."/>
    <x v="1158"/>
    <s v="US Energy IG"/>
    <s v="Corporate IG USD - Industry"/>
    <s v="IG"/>
    <e v="#N/A"/>
    <s v="OK"/>
    <x v="37"/>
    <s v="Spread Yield"/>
    <x v="5"/>
    <x v="4"/>
    <x v="123"/>
  </r>
  <r>
    <x v="199"/>
    <s v="US Green Plan - Gridlock(03/2021)                           "/>
    <n v="2452"/>
    <s v="US Green Plan: Gridlock scenario - The US administration?s push to pass the 'Build Back Better' plan is stymied by political obstacles in the House and Senate."/>
    <x v="1159"/>
    <s v="Tsy 2Y"/>
    <s v="Govt USD"/>
    <s v="USD_2yr"/>
    <s v="Govt USD"/>
    <s v="OK"/>
    <x v="0"/>
    <s v="Yield  "/>
    <x v="0"/>
    <x v="0"/>
    <x v="255"/>
  </r>
  <r>
    <x v="199"/>
    <s v="US Green Plan - Gridlock(03/2021)                           "/>
    <n v="2452"/>
    <s v="US Green Plan: Gridlock scenario - The US administration?s push to pass the 'Build Back Better' plan is stymied by political obstacles in the House and Senate."/>
    <x v="560"/>
    <s v="Tsy 10Y"/>
    <s v="Govt USD"/>
    <s v="USD_10yr"/>
    <s v="Govt USD"/>
    <s v="OK"/>
    <x v="0"/>
    <s v="Yield  "/>
    <x v="0"/>
    <x v="0"/>
    <x v="164"/>
  </r>
  <r>
    <x v="199"/>
    <s v="US Green Plan - Gridlock(03/2021)                           "/>
    <n v="2452"/>
    <s v="US Green Plan: Gridlock scenario - The US administration?s push to pass the 'Build Back Better' plan is stymied by political obstacles in the House and Senate."/>
    <x v="1160"/>
    <s v="Copper LME 1"/>
    <s v="Alternative - Commodity"/>
    <s v="USD_COMD_LP_1"/>
    <s v="Alternative - Commodity"/>
    <s v="OK"/>
    <x v="2"/>
    <s v="Price Level  "/>
    <x v="2"/>
    <x v="2"/>
    <x v="128"/>
  </r>
  <r>
    <x v="199"/>
    <s v="US Green Plan - Gridlock(03/2021)                           "/>
    <n v="2452"/>
    <s v="US Green Plan: Gridlock scenario - The US administration?s push to pass the 'Build Back Better' plan is stymied by political obstacles in the House and Senate."/>
    <x v="1161"/>
    <s v="Crude Oil NYME 1"/>
    <s v="Alternative - Commodity"/>
    <s v="USD_COMD_CL_1"/>
    <s v="Alternative - Commodity"/>
    <s v="OK"/>
    <x v="2"/>
    <s v="Price Level  "/>
    <x v="2"/>
    <x v="2"/>
    <x v="110"/>
  </r>
  <r>
    <x v="199"/>
    <s v="US Green Plan - Gridlock(03/2021)                           "/>
    <n v="2452"/>
    <s v="US Green Plan: Gridlock scenario - The US administration?s push to pass the 'Build Back Better' plan is stymied by political obstacles in the House and Senate."/>
    <x v="1162"/>
    <s v="Gold COMEX 1"/>
    <s v="Alternative - Commodity"/>
    <s v="USD_COMD_GC_1"/>
    <s v="Alternative - Commodity"/>
    <s v="OK"/>
    <x v="2"/>
    <s v="Price Level  "/>
    <x v="2"/>
    <x v="2"/>
    <x v="133"/>
  </r>
  <r>
    <x v="199"/>
    <s v="US Green Plan - Gridlock(03/2021)                           "/>
    <n v="2452"/>
    <s v="US Green Plan: Gridlock scenario - The US administration?s push to pass the 'Build Back Better' plan is stymied by political obstacles in the House and Senate."/>
    <x v="1163"/>
    <s v="DXY"/>
    <e v="#N/A"/>
    <s v="DXY"/>
    <e v="#N/A"/>
    <s v="BOTH #N/A"/>
    <x v="18"/>
    <s v="Dollar Index"/>
    <x v="9"/>
    <x v="2"/>
    <x v="256"/>
  </r>
  <r>
    <x v="199"/>
    <s v="US Green Plan - Gridlock(03/2021)                           "/>
    <n v="2452"/>
    <s v="US Green Plan: Gridlock scenario - The US administration?s push to pass the 'Build Back Better' plan is stymied by political obstacles in the House and Senate."/>
    <x v="838"/>
    <s v="VIX"/>
    <s v="Equity Implied Volatility"/>
    <s v="VIX"/>
    <s v="Equity Implied Volatility"/>
    <s v="OK"/>
    <x v="1"/>
    <s v="Index Level"/>
    <x v="1"/>
    <x v="1"/>
    <x v="139"/>
  </r>
  <r>
    <x v="199"/>
    <s v="US Green Plan - Gridlock(03/2021)                           "/>
    <n v="2452"/>
    <s v="US Green Plan: Gridlock scenario - The US administration?s push to pass the 'Build Back Better' plan is stymied by political obstacles in the House and Senate."/>
    <x v="122"/>
    <s v="Time"/>
    <e v="#N/A"/>
    <s v="ALL_TIME"/>
    <e v="#N/A"/>
    <s v="BOTH #N/A"/>
    <x v="64"/>
    <s v="Time "/>
    <x v="8"/>
    <x v="2"/>
    <x v="151"/>
  </r>
  <r>
    <x v="199"/>
    <s v="US Green Plan - Gridlock(03/2021)                           "/>
    <n v="2452"/>
    <s v="US Green Plan: Gridlock scenario - The US administration?s push to pass the 'Build Back Better' plan is stymied by political obstacles in the House and Senate."/>
    <x v="1164"/>
    <s v="Construction Materials"/>
    <s v="Materials"/>
    <s v="FMI_NAMR_MATCONSTM"/>
    <e v="#N/A"/>
    <s v="OK"/>
    <x v="7"/>
    <s v="Industry Return  "/>
    <x v="4"/>
    <x v="1"/>
    <x v="106"/>
  </r>
  <r>
    <x v="199"/>
    <s v="US Green Plan - Gridlock(03/2021)                           "/>
    <n v="2452"/>
    <s v="US Green Plan: Gridlock scenario - The US administration?s push to pass the 'Build Back Better' plan is stymied by political obstacles in the House and Senate."/>
    <x v="1165"/>
    <s v="Building Products"/>
    <s v="Industrials"/>
    <s v="FMI_NAMR_INDBLDPRD"/>
    <e v="#N/A"/>
    <s v="OK"/>
    <x v="4"/>
    <s v="Industry Return  "/>
    <x v="4"/>
    <x v="1"/>
    <x v="122"/>
  </r>
  <r>
    <x v="199"/>
    <s v="US Green Plan - Gridlock(03/2021)                           "/>
    <n v="2452"/>
    <s v="US Green Plan: Gridlock scenario - The US administration?s push to pass the 'Build Back Better' plan is stymied by political obstacles in the House and Senate."/>
    <x v="1166"/>
    <s v="Automobiles &amp; Components"/>
    <s v="Consumer Discretionary"/>
    <s v="FMI_NAMR_CDIAUTOCMP"/>
    <e v="#N/A"/>
    <s v="OK"/>
    <x v="23"/>
    <s v="Industry Return  "/>
    <x v="4"/>
    <x v="1"/>
    <x v="122"/>
  </r>
  <r>
    <x v="199"/>
    <s v="US Green Plan - Gridlock(03/2021)                           "/>
    <n v="2452"/>
    <s v="US Green Plan: Gridlock scenario - The US administration?s push to pass the 'Build Back Better' plan is stymied by political obstacles in the House and Senate."/>
    <x v="1089"/>
    <s v="Semiconductors &amp; Equipment"/>
    <s v="Information Technology"/>
    <s v="FMI_NAMR_ITCSEMICEQ"/>
    <e v="#N/A"/>
    <s v="OK"/>
    <x v="5"/>
    <s v="Industry Return  "/>
    <x v="4"/>
    <x v="1"/>
    <x v="122"/>
  </r>
  <r>
    <x v="199"/>
    <s v="US Green Plan - Gridlock(03/2021)                           "/>
    <n v="2452"/>
    <s v="US Green Plan: Gridlock scenario - The US administration?s push to pass the 'Build Back Better' plan is stymied by political obstacles in the House and Senate."/>
    <x v="1148"/>
    <s v="Utilities"/>
    <s v="Utilities"/>
    <s v="FMI_NAMR_UTLUTIL"/>
    <e v="#N/A"/>
    <s v="OK"/>
    <x v="21"/>
    <s v="Industry Return  "/>
    <x v="4"/>
    <x v="1"/>
    <x v="139"/>
  </r>
  <r>
    <x v="199"/>
    <s v="US Green Plan - Gridlock(03/2021)                           "/>
    <n v="2452"/>
    <s v="US Green Plan: Gridlock scenario - The US administration?s push to pass the 'Build Back Better' plan is stymied by political obstacles in the House and Senate."/>
    <x v="1167"/>
    <s v="MSCI China"/>
    <s v="Other - Index"/>
    <s v="China"/>
    <e v="#N/A"/>
    <s v="OK"/>
    <x v="12"/>
    <s v="Index Level"/>
    <x v="7"/>
    <x v="2"/>
    <x v="125"/>
  </r>
  <r>
    <x v="199"/>
    <s v="US Green Plan - Gridlock(03/2021)                           "/>
    <n v="2452"/>
    <s v="US Green Plan: Gridlock scenario - The US administration?s push to pass the 'Build Back Better' plan is stymied by political obstacles in the House and Senate."/>
    <x v="1168"/>
    <s v="US Energy IG"/>
    <s v="Corporate IG USD - Industry"/>
    <s v="IG"/>
    <e v="#N/A"/>
    <s v="OK"/>
    <x v="37"/>
    <s v="Spread Yield"/>
    <x v="5"/>
    <x v="4"/>
    <x v="208"/>
  </r>
  <r>
    <x v="200"/>
    <s v="Global trade protectionism                                  "/>
    <n v="2210"/>
    <s v="Tariffs increase dramatically on goods entering the U.S., negatively impacting the macro outlook."/>
    <x v="1169"/>
    <s v="Tsy 2Y"/>
    <s v="Govt USD"/>
    <s v="USD_2yr"/>
    <s v="Govt USD"/>
    <s v="OK"/>
    <x v="0"/>
    <s v="Yield  "/>
    <x v="0"/>
    <x v="0"/>
    <x v="221"/>
  </r>
  <r>
    <x v="200"/>
    <s v="Global trade protectionism                                  "/>
    <n v="2210"/>
    <s v="Tariffs increase dramatically on goods entering the U.S., negatively impacting the macro outlook."/>
    <x v="1170"/>
    <s v="USD INF 2Y"/>
    <s v="USD Inflation"/>
    <s v="USD_INF_2yr"/>
    <s v="USD Inflation"/>
    <s v="OK"/>
    <x v="8"/>
    <s v="Yield  "/>
    <x v="6"/>
    <x v="2"/>
    <x v="220"/>
  </r>
  <r>
    <x v="200"/>
    <s v="Global trade protectionism                                  "/>
    <n v="2210"/>
    <s v="Tariffs increase dramatically on goods entering the U.S., negatively impacting the macro outlook."/>
    <x v="354"/>
    <s v="CNYUSD"/>
    <e v="#N/A"/>
    <s v="CNY_FX_USD"/>
    <s v="Emerging Currency"/>
    <s v="OK"/>
    <x v="3"/>
    <s v="FX  "/>
    <x v="3"/>
    <x v="3"/>
    <x v="113"/>
  </r>
  <r>
    <x v="200"/>
    <s v="Global trade protectionism                                  "/>
    <n v="2210"/>
    <s v="Tariffs increase dramatically on goods entering the U.S., negatively impacting the macro outlook."/>
    <x v="366"/>
    <s v="MXNUSD"/>
    <e v="#N/A"/>
    <s v="MXN_FX_USD"/>
    <s v="Emerging Currency"/>
    <s v="OK"/>
    <x v="3"/>
    <s v="FX  "/>
    <x v="3"/>
    <x v="3"/>
    <x v="106"/>
  </r>
  <r>
    <x v="200"/>
    <s v="Global trade protectionism                                  "/>
    <n v="2210"/>
    <s v="Tariffs increase dramatically on goods entering the U.S., negatively impacting the macro outlook."/>
    <x v="311"/>
    <s v="DXY"/>
    <e v="#N/A"/>
    <s v="DXY"/>
    <e v="#N/A"/>
    <s v="BOTH #N/A"/>
    <x v="18"/>
    <s v="Dollar Index"/>
    <x v="9"/>
    <x v="2"/>
    <x v="125"/>
  </r>
  <r>
    <x v="200"/>
    <s v="Global trade protectionism                                  "/>
    <n v="2210"/>
    <s v="Tariffs increase dramatically on goods entering the U.S., negatively impacting the macro outlook."/>
    <x v="1171"/>
    <s v="Canada"/>
    <s v="North America"/>
    <s v="FMI_NAMR_CAN"/>
    <e v="#N/A"/>
    <s v="OK"/>
    <x v="71"/>
    <s v="Country Return  "/>
    <x v="12"/>
    <x v="1"/>
    <x v="122"/>
  </r>
  <r>
    <x v="200"/>
    <s v="Global trade protectionism                                  "/>
    <n v="2210"/>
    <s v="Tariffs increase dramatically on goods entering the U.S., negatively impacting the macro outlook."/>
    <x v="1172"/>
    <s v="Electrical Equipment"/>
    <s v="Industrials"/>
    <s v="FMI_NAMR_INDELECEQ"/>
    <e v="#N/A"/>
    <s v="OK"/>
    <x v="4"/>
    <s v="Industry Return  "/>
    <x v="4"/>
    <x v="1"/>
    <x v="114"/>
  </r>
  <r>
    <x v="200"/>
    <s v="Global trade protectionism                                  "/>
    <n v="2210"/>
    <s v="Tariffs increase dramatically on goods entering the U.S., negatively impacting the macro outlook."/>
    <x v="1173"/>
    <s v="Ind Mach Cong Trade Co &amp; Dist"/>
    <e v="#N/A"/>
    <s v="FMI_NAMR_INDCONMACT"/>
    <e v="#N/A"/>
    <s v="BOTH #N/A"/>
    <x v="4"/>
    <s v="Industrials"/>
    <x v="4"/>
    <x v="1"/>
    <x v="147"/>
  </r>
  <r>
    <x v="200"/>
    <s v="Global trade protectionism                                  "/>
    <n v="2210"/>
    <s v="Tariffs increase dramatically on goods entering the U.S., negatively impacting the macro outlook."/>
    <x v="1174"/>
    <s v="Distrib &amp; Speciality Retail"/>
    <e v="#N/A"/>
    <s v="FMI_NAMR_CDIDISTRET"/>
    <e v="#N/A"/>
    <s v="BOTH #N/A"/>
    <x v="23"/>
    <s v="Consumer Discretionary"/>
    <x v="4"/>
    <x v="1"/>
    <x v="114"/>
  </r>
  <r>
    <x v="200"/>
    <s v="Global trade protectionism                                  "/>
    <n v="2210"/>
    <s v="Tariffs increase dramatically on goods entering the U.S., negatively impacting the macro outlook."/>
    <x v="1175"/>
    <s v="Canada"/>
    <s v="North America"/>
    <s v="FMI_WRLD_CAN"/>
    <s v="North America"/>
    <s v="OK"/>
    <x v="71"/>
    <s v="Country Return  "/>
    <x v="12"/>
    <x v="1"/>
    <x v="122"/>
  </r>
  <r>
    <x v="200"/>
    <s v="Global trade protectionism                                  "/>
    <n v="2210"/>
    <s v="Tariffs increase dramatically on goods entering the U.S., negatively impacting the macro outlook."/>
    <x v="1176"/>
    <s v="China Offshore"/>
    <s v="Emerging Markets"/>
    <s v="FMI_WRLD_CHB"/>
    <s v="Emerging Markets"/>
    <s v="OK"/>
    <x v="32"/>
    <s v="Country Return  "/>
    <x v="12"/>
    <x v="1"/>
    <x v="184"/>
  </r>
  <r>
    <x v="200"/>
    <s v="Global trade protectionism                                  "/>
    <n v="2210"/>
    <s v="Tariffs increase dramatically on goods entering the U.S., negatively impacting the macro outlook."/>
    <x v="1177"/>
    <s v="China Domestic"/>
    <s v="Emerging Markets"/>
    <s v="FMI_WRLD_CHN"/>
    <s v="Emerging Markets"/>
    <s v="OK"/>
    <x v="32"/>
    <s v="Country Return  "/>
    <x v="12"/>
    <x v="1"/>
    <x v="184"/>
  </r>
  <r>
    <x v="200"/>
    <s v="Global trade protectionism                                  "/>
    <n v="2210"/>
    <s v="Tariffs increase dramatically on goods entering the U.S., negatively impacting the macro outlook."/>
    <x v="1178"/>
    <s v="Mexico"/>
    <s v="Emerging Markets"/>
    <s v="FMI_WRLD_MEX"/>
    <s v="Emerging Markets"/>
    <s v="OK"/>
    <x v="32"/>
    <s v="Country Return  "/>
    <x v="12"/>
    <x v="1"/>
    <x v="147"/>
  </r>
  <r>
    <x v="200"/>
    <s v="Global trade protectionism                                  "/>
    <n v="2210"/>
    <s v="Tariffs increase dramatically on goods entering the U.S., negatively impacting the macro outlook."/>
    <x v="1179"/>
    <s v="China Offshore"/>
    <s v="Emerging Markets"/>
    <s v="FMI_APXJ_CHB"/>
    <e v="#N/A"/>
    <s v="OK"/>
    <x v="32"/>
    <s v="Country Return  "/>
    <x v="12"/>
    <x v="1"/>
    <x v="184"/>
  </r>
  <r>
    <x v="200"/>
    <s v="Global trade protectionism                                  "/>
    <n v="2210"/>
    <s v="Tariffs increase dramatically on goods entering the U.S., negatively impacting the macro outlook."/>
    <x v="1180"/>
    <s v="China Domestic"/>
    <s v="Emerging Markets"/>
    <s v="FMI_APXJ_CHN"/>
    <e v="#N/A"/>
    <s v="OK"/>
    <x v="32"/>
    <s v="Country Return  "/>
    <x v="12"/>
    <x v="1"/>
    <x v="184"/>
  </r>
  <r>
    <x v="200"/>
    <s v="Global trade protectionism                                  "/>
    <n v="2210"/>
    <s v="Tariffs increase dramatically on goods entering the U.S., negatively impacting the macro outlook."/>
    <x v="1181"/>
    <s v="Mexico"/>
    <s v="Emerging Markets"/>
    <s v="FMI_LATC_MEX"/>
    <e v="#N/A"/>
    <s v="OK"/>
    <x v="32"/>
    <s v="Country Return  "/>
    <x v="12"/>
    <x v="1"/>
    <x v="147"/>
  </r>
  <r>
    <x v="200"/>
    <s v="Global trade protectionism                                  "/>
    <n v="2210"/>
    <s v="Tariffs increase dramatically on goods entering the U.S., negatively impacting the macro outlook."/>
    <x v="1182"/>
    <s v="Market"/>
    <s v="Market"/>
    <s v="FMI_CAND_MARKET"/>
    <e v="#N/A"/>
    <s v="OK"/>
    <x v="53"/>
    <s v="Style Return  "/>
    <x v="13"/>
    <x v="1"/>
    <x v="257"/>
  </r>
  <r>
    <x v="200"/>
    <s v="Global trade protectionism                                  "/>
    <n v="2210"/>
    <s v="Tariffs increase dramatically on goods entering the U.S., negatively impacting the macro outlook."/>
    <x v="1183"/>
    <s v="China Offshore"/>
    <s v="Emerging Markets"/>
    <s v="FMI_EMKT_CHB"/>
    <e v="#N/A"/>
    <s v="OK"/>
    <x v="32"/>
    <s v="Country Return  "/>
    <x v="12"/>
    <x v="1"/>
    <x v="184"/>
  </r>
  <r>
    <x v="200"/>
    <s v="Global trade protectionism                                  "/>
    <n v="2210"/>
    <s v="Tariffs increase dramatically on goods entering the U.S., negatively impacting the macro outlook."/>
    <x v="1184"/>
    <s v="China Domestic"/>
    <s v="Emerging Markets"/>
    <s v="FMI_EMKT_CHN"/>
    <e v="#N/A"/>
    <s v="OK"/>
    <x v="32"/>
    <s v="Country Return  "/>
    <x v="12"/>
    <x v="1"/>
    <x v="184"/>
  </r>
  <r>
    <x v="200"/>
    <s v="Global trade protectionism                                  "/>
    <n v="2210"/>
    <s v="Tariffs increase dramatically on goods entering the U.S., negatively impacting the macro outlook."/>
    <x v="1185"/>
    <s v="Mexico"/>
    <s v="Emerging Markets"/>
    <s v="FMI_EMKT_MEX"/>
    <e v="#N/A"/>
    <s v="OK"/>
    <x v="32"/>
    <s v="Country Return  "/>
    <x v="12"/>
    <x v="1"/>
    <x v="147"/>
  </r>
  <r>
    <x v="200"/>
    <s v="Global trade protectionism                                  "/>
    <n v="2210"/>
    <s v="Tariffs increase dramatically on goods entering the U.S., negatively impacting the macro outlook."/>
    <x v="1186"/>
    <s v="Market"/>
    <s v="Market"/>
    <s v="FMI_CHNA_MARKET"/>
    <e v="#N/A"/>
    <s v="OK"/>
    <x v="53"/>
    <s v="Style Return  "/>
    <x v="13"/>
    <x v="1"/>
    <x v="258"/>
  </r>
  <r>
    <x v="200"/>
    <s v="Global trade protectionism                                  "/>
    <n v="2210"/>
    <s v="Tariffs increase dramatically on goods entering the U.S., negatively impacting the macro outlook."/>
    <x v="1187"/>
    <s v="Canada"/>
    <s v="North America"/>
    <s v="FMI_NAHC_CAN"/>
    <e v="#N/A"/>
    <s v="OK"/>
    <x v="71"/>
    <s v="Country Return  "/>
    <x v="12"/>
    <x v="1"/>
    <x v="122"/>
  </r>
  <r>
    <x v="200"/>
    <s v="Global trade protectionism                                  "/>
    <n v="2210"/>
    <s v="Tariffs increase dramatically on goods entering the U.S., negatively impacting the macro outlook."/>
    <x v="1188"/>
    <s v="China Corp HY"/>
    <s v="Corporate HY USD - Industry"/>
    <s v="USD_CN_CORP_HY"/>
    <s v="Corporate HY USD - Industry"/>
    <s v="OK"/>
    <x v="6"/>
    <s v="Spread Yield"/>
    <x v="5"/>
    <x v="4"/>
    <x v="198"/>
  </r>
  <r>
    <x v="200"/>
    <s v="Global trade protectionism                                  "/>
    <n v="2210"/>
    <s v="Tariffs increase dramatically on goods entering the U.S., negatively impacting the macro outlook."/>
    <x v="1189"/>
    <s v="Mexico"/>
    <s v="Emerging Markets"/>
    <s v="USD_EM_CORP_SA_MX"/>
    <s v="Corporate HY USD - Country"/>
    <s v="OK"/>
    <x v="43"/>
    <s v="Spread Yield"/>
    <x v="10"/>
    <x v="5"/>
    <x v="195"/>
  </r>
  <r>
    <x v="200"/>
    <s v="Global trade protectionism                                  "/>
    <n v="2210"/>
    <s v="Tariffs increase dramatically on goods entering the U.S., negatively impacting the macro outlook."/>
    <x v="1190"/>
    <s v="S&amp;P 500"/>
    <s v="Equity Implied Volatility"/>
    <s v="500"/>
    <e v="#N/A"/>
    <s v="OK"/>
    <x v="1"/>
    <s v="Index Level"/>
    <x v="1"/>
    <x v="1"/>
    <x v="161"/>
  </r>
  <r>
    <x v="200"/>
    <s v="Global trade protectionism                                  "/>
    <n v="2210"/>
    <s v="Tariffs increase dramatically on goods entering the U.S., negatively impacting the macro outlook."/>
    <x v="1191"/>
    <s v="US Maturity HY 5"/>
    <s v="Corporate HY USD - Maturity"/>
    <s v="5"/>
    <e v="#N/A"/>
    <s v="OK"/>
    <x v="72"/>
    <s v="Spread Yield"/>
    <x v="5"/>
    <x v="4"/>
    <x v="176"/>
  </r>
  <r>
    <x v="201"/>
    <s v="US-Europe Decoupling Scenario                               "/>
    <n v="2211"/>
    <s v="The U.S. announces it will scale back its military presence in Europe, triggering uncertainty around European security."/>
    <x v="974"/>
    <s v="Tsy 10Y"/>
    <s v="Govt USD"/>
    <s v="USD_10yr"/>
    <s v="Govt USD"/>
    <s v="OK"/>
    <x v="0"/>
    <s v="Yield  "/>
    <x v="0"/>
    <x v="0"/>
    <x v="119"/>
  </r>
  <r>
    <x v="201"/>
    <s v="US-Europe Decoupling Scenario                               "/>
    <n v="2211"/>
    <s v="The U.S. announces it will scale back its military presence in Europe, triggering uncertainty around European security."/>
    <x v="692"/>
    <s v="Crude Oil NYME 1"/>
    <s v="Alternative - Commodity"/>
    <s v="USD_COMD_CL_1"/>
    <s v="Alternative - Commodity"/>
    <s v="OK"/>
    <x v="2"/>
    <s v="Price Level  "/>
    <x v="2"/>
    <x v="2"/>
    <x v="148"/>
  </r>
  <r>
    <x v="201"/>
    <s v="US-Europe Decoupling Scenario                               "/>
    <n v="2211"/>
    <s v="The U.S. announces it will scale back its military presence in Europe, triggering uncertainty around European security."/>
    <x v="164"/>
    <s v="Gold"/>
    <s v="Materials"/>
    <s v="GOLD_SPOT"/>
    <s v="Alternative - Commodity"/>
    <s v="OK"/>
    <x v="2"/>
    <s v="Price Level  "/>
    <x v="2"/>
    <x v="2"/>
    <x v="125"/>
  </r>
  <r>
    <x v="201"/>
    <s v="US-Europe Decoupling Scenario                               "/>
    <n v="2211"/>
    <s v="The U.S. announces it will scale back its military presence in Europe, triggering uncertainty around European security."/>
    <x v="761"/>
    <s v="DEM 10Y"/>
    <s v="Govt EUR (Ger)"/>
    <s v="EUR_10yr"/>
    <s v="Govt EUR (Ger)"/>
    <s v="OK"/>
    <x v="9"/>
    <s v="Yield  "/>
    <x v="0"/>
    <x v="0"/>
    <x v="108"/>
  </r>
  <r>
    <x v="201"/>
    <s v="US-Europe Decoupling Scenario                               "/>
    <n v="2211"/>
    <s v="The U.S. announces it will scale back its military presence in Europe, triggering uncertainty around European security."/>
    <x v="594"/>
    <s v="EUR/USD"/>
    <s v="EUR"/>
    <s v="EUR_FX_USD"/>
    <s v="EUR"/>
    <s v="OK"/>
    <x v="13"/>
    <s v="FX  "/>
    <x v="3"/>
    <x v="3"/>
    <x v="191"/>
  </r>
  <r>
    <x v="201"/>
    <s v="US-Europe Decoupling Scenario                               "/>
    <n v="2211"/>
    <s v="The U.S. announces it will scale back its military presence in Europe, triggering uncertainty around European security."/>
    <x v="239"/>
    <s v="VIX"/>
    <s v="Equity Implied Volatility"/>
    <s v="VIX"/>
    <s v="Equity Implied Volatility"/>
    <s v="OK"/>
    <x v="1"/>
    <s v="Index Level"/>
    <x v="1"/>
    <x v="1"/>
    <x v="172"/>
  </r>
  <r>
    <x v="201"/>
    <s v="US-Europe Decoupling Scenario                               "/>
    <n v="2211"/>
    <s v="The U.S. announces it will scale back its military presence in Europe, triggering uncertainty around European security."/>
    <x v="1192"/>
    <s v="Pan Euro Credit HY"/>
    <s v="Corporate HY EUR - Other"/>
    <s v="EUR_LEH_HY_SF"/>
    <s v="Corporate HY EUR - Other"/>
    <s v="OK"/>
    <x v="65"/>
    <s v="Spread Yield"/>
    <x v="5"/>
    <x v="4"/>
    <x v="149"/>
  </r>
  <r>
    <x v="201"/>
    <s v="US-Europe Decoupling Scenario                               "/>
    <n v="2211"/>
    <s v="The U.S. announces it will scale back its military presence in Europe, triggering uncertainty around European security."/>
    <x v="1193"/>
    <s v="Ukraine"/>
    <s v="Emerging Markets"/>
    <s v="FMI_WRLD_UKR"/>
    <s v="Emerging Markets"/>
    <s v="OK"/>
    <x v="32"/>
    <s v="Country Return  "/>
    <x v="12"/>
    <x v="1"/>
    <x v="121"/>
  </r>
  <r>
    <x v="201"/>
    <s v="US-Europe Decoupling Scenario                               "/>
    <n v="2211"/>
    <s v="The U.S. announces it will scale back its military presence in Europe, triggering uncertainty around European security."/>
    <x v="1194"/>
    <s v="MSCI China Index USD"/>
    <e v="#N/A"/>
    <s v="MSCINDRCHN"/>
    <s v="Other - Index"/>
    <s v="OK"/>
    <x v="12"/>
    <s v="Index Level"/>
    <x v="7"/>
    <x v="2"/>
    <x v="125"/>
  </r>
  <r>
    <x v="201"/>
    <s v="US-Europe Decoupling Scenario                               "/>
    <n v="2211"/>
    <s v="The U.S. announces it will scale back its military presence in Europe, triggering uncertainty around European security."/>
    <x v="1195"/>
    <s v="S&amp;P 500"/>
    <s v="Equity Implied Volatility"/>
    <s v="500"/>
    <e v="#N/A"/>
    <s v="OK"/>
    <x v="1"/>
    <s v="Index Level"/>
    <x v="1"/>
    <x v="1"/>
    <x v="125"/>
  </r>
  <r>
    <x v="202"/>
    <s v="Value Sustainability - Continued Outperformance             "/>
    <n v="2510"/>
    <s v="Wage growth and aggregate demand surprise on the upside and indicate that the US-led reflationary phase has further room to run"/>
    <x v="580"/>
    <s v="Tsy 10Y"/>
    <s v="Govt USD"/>
    <s v="USD_10yr"/>
    <s v="Govt USD"/>
    <s v="OK"/>
    <x v="0"/>
    <s v="Yield  "/>
    <x v="0"/>
    <x v="0"/>
    <x v="135"/>
  </r>
  <r>
    <x v="202"/>
    <s v="Value Sustainability - Continued Outperformance             "/>
    <n v="2510"/>
    <s v="Wage growth and aggregate demand surprise on the upside and indicate that the US-led reflationary phase has further room to run"/>
    <x v="149"/>
    <s v="USD INF 10Y"/>
    <s v="USD Inflation"/>
    <s v="USD_INF_10yr"/>
    <s v="USD Inflation"/>
    <s v="OK"/>
    <x v="8"/>
    <s v="Yield  "/>
    <x v="6"/>
    <x v="2"/>
    <x v="132"/>
  </r>
  <r>
    <x v="202"/>
    <s v="Value Sustainability - Continued Outperformance             "/>
    <n v="2510"/>
    <s v="Wage growth and aggregate demand surprise on the upside and indicate that the US-led reflationary phase has further room to run"/>
    <x v="1196"/>
    <s v="Copper CMX 1"/>
    <s v="Alternative - Commodity"/>
    <s v="USD_COMD_HG_1"/>
    <s v="Alternative - Commodity"/>
    <s v="OK"/>
    <x v="2"/>
    <s v="Price Level  "/>
    <x v="2"/>
    <x v="2"/>
    <x v="110"/>
  </r>
  <r>
    <x v="202"/>
    <s v="Value Sustainability - Continued Outperformance             "/>
    <n v="2510"/>
    <s v="Wage growth and aggregate demand surprise on the upside and indicate that the US-led reflationary phase has further room to run"/>
    <x v="1197"/>
    <s v="Gold"/>
    <s v="Materials"/>
    <s v="GOLD_SPOT"/>
    <s v="Alternative - Commodity"/>
    <s v="OK"/>
    <x v="2"/>
    <s v="Price Level  "/>
    <x v="2"/>
    <x v="2"/>
    <x v="114"/>
  </r>
  <r>
    <x v="202"/>
    <s v="Value Sustainability - Continued Outperformance             "/>
    <n v="2510"/>
    <s v="Wage growth and aggregate demand surprise on the upside and indicate that the US-led reflationary phase has further room to run"/>
    <x v="789"/>
    <s v="US Cash Bonds IG"/>
    <s v="Corporate IG USD - Other"/>
    <s v="USD_LEH_CREDIT3"/>
    <s v="Corporate IG USD - Other"/>
    <s v="OK"/>
    <x v="26"/>
    <s v="Corporate IG USD - Other"/>
    <x v="5"/>
    <x v="4"/>
    <x v="124"/>
  </r>
  <r>
    <x v="202"/>
    <s v="Value Sustainability - Continued Outperformance             "/>
    <n v="2510"/>
    <s v="Wage growth and aggregate demand surprise on the upside and indicate that the US-led reflationary phase has further room to run"/>
    <x v="1198"/>
    <s v="DEM 10Y"/>
    <s v="Govt EUR (Ger)"/>
    <s v="EUR_10yr"/>
    <s v="Govt EUR (Ger)"/>
    <s v="OK"/>
    <x v="9"/>
    <s v="Yield  "/>
    <x v="0"/>
    <x v="0"/>
    <x v="259"/>
  </r>
  <r>
    <x v="202"/>
    <s v="Value Sustainability - Continued Outperformance             "/>
    <n v="2510"/>
    <s v="Wage growth and aggregate demand surprise on the upside and indicate that the US-led reflationary phase has further room to run"/>
    <x v="594"/>
    <s v="EUR/USD"/>
    <s v="EUR"/>
    <s v="EUR_FX_USD"/>
    <s v="EUR"/>
    <s v="OK"/>
    <x v="13"/>
    <s v="FX  "/>
    <x v="3"/>
    <x v="3"/>
    <x v="191"/>
  </r>
  <r>
    <x v="202"/>
    <s v="Value Sustainability - Continued Outperformance             "/>
    <n v="2510"/>
    <s v="Wage growth and aggregate demand surprise on the upside and indicate that the US-led reflationary phase has further room to run"/>
    <x v="858"/>
    <s v="S&amp;P 500"/>
    <s v="Equity Implied Volatility"/>
    <s v="SPX"/>
    <s v="Equity Implied Volatility"/>
    <s v="OK"/>
    <x v="1"/>
    <s v="Index Level"/>
    <x v="1"/>
    <x v="1"/>
    <x v="112"/>
  </r>
  <r>
    <x v="202"/>
    <s v="Value Sustainability - Continued Outperformance             "/>
    <n v="2510"/>
    <s v="Wage growth and aggregate demand surprise on the upside and indicate that the US-led reflationary phase has further room to run"/>
    <x v="1199"/>
    <s v="MSCI EUROPE(EUR)"/>
    <s v="Equity Implied Volatility"/>
    <s v="MXEU"/>
    <s v="Equity Implied Volatility"/>
    <s v="OK"/>
    <x v="1"/>
    <s v="Index Level"/>
    <x v="1"/>
    <x v="1"/>
    <x v="110"/>
  </r>
  <r>
    <x v="202"/>
    <s v="Value Sustainability - Continued Outperformance             "/>
    <n v="2510"/>
    <s v="Wage growth and aggregate demand surprise on the upside and indicate that the US-led reflationary phase has further room to run"/>
    <x v="1200"/>
    <s v="S&amp;P 500 Financials"/>
    <s v="Equity Implied Volatility"/>
    <s v="Financials"/>
    <e v="#N/A"/>
    <s v="OK"/>
    <x v="1"/>
    <s v="Index Level"/>
    <x v="1"/>
    <x v="1"/>
    <x v="139"/>
  </r>
  <r>
    <x v="202"/>
    <s v="Value Sustainability - Continued Outperformance             "/>
    <n v="2510"/>
    <s v="Wage growth and aggregate demand surprise on the upside and indicate that the US-led reflationary phase has further room to run"/>
    <x v="1201"/>
    <s v="US Banking IG"/>
    <s v="Corporate IG USD - Industry"/>
    <s v="IG"/>
    <e v="#N/A"/>
    <s v="OK"/>
    <x v="37"/>
    <s v="Spread Yield"/>
    <x v="5"/>
    <x v="4"/>
    <x v="124"/>
  </r>
  <r>
    <x v="202"/>
    <s v="Value Sustainability - Continued Outperformance             "/>
    <n v="2510"/>
    <s v="Wage growth and aggregate demand surprise on the upside and indicate that the US-led reflationary phase has further room to run"/>
    <x v="1202"/>
    <s v="US HY Market"/>
    <s v="Corporate HY USD - Other"/>
    <s v="Market"/>
    <e v="#N/A"/>
    <s v="OK"/>
    <x v="22"/>
    <s v="Spread Yield"/>
    <x v="5"/>
    <x v="4"/>
    <x v="124"/>
  </r>
  <r>
    <x v="203"/>
    <s v="Value Sustainability - European Underperformance            "/>
    <n v="2511"/>
    <s v="Political uncertainty driven by Brexit negotiations, upcoming elections, and the risk of political crisis in the periphery weigh on investors in Europe"/>
    <x v="580"/>
    <s v="Tsy 10Y"/>
    <s v="Govt USD"/>
    <s v="USD_10yr"/>
    <s v="Govt USD"/>
    <s v="OK"/>
    <x v="0"/>
    <s v="Yield  "/>
    <x v="0"/>
    <x v="0"/>
    <x v="135"/>
  </r>
  <r>
    <x v="203"/>
    <s v="Value Sustainability - European Underperformance            "/>
    <n v="2511"/>
    <s v="Political uncertainty driven by Brexit negotiations, upcoming elections, and the risk of political crisis in the periphery weigh on investors in Europe"/>
    <x v="1203"/>
    <s v="Gold COMEX 1"/>
    <s v="Alternative - Commodity"/>
    <s v="USD_COMD_GC_1"/>
    <s v="Alternative - Commodity"/>
    <s v="OK"/>
    <x v="2"/>
    <s v="Price Level  "/>
    <x v="2"/>
    <x v="2"/>
    <x v="116"/>
  </r>
  <r>
    <x v="203"/>
    <s v="Value Sustainability - European Underperformance            "/>
    <n v="2511"/>
    <s v="Political uncertainty driven by Brexit negotiations, upcoming elections, and the risk of political crisis in the periphery weigh on investors in Europe"/>
    <x v="521"/>
    <s v="EUR/USD"/>
    <s v="EUR"/>
    <s v="EUR_FX_USD"/>
    <s v="EUR"/>
    <s v="OK"/>
    <x v="13"/>
    <s v="FX  "/>
    <x v="3"/>
    <x v="3"/>
    <x v="113"/>
  </r>
  <r>
    <x v="203"/>
    <s v="Value Sustainability - European Underperformance            "/>
    <n v="2511"/>
    <s v="Political uncertainty driven by Brexit negotiations, upcoming elections, and the risk of political crisis in the periphery weigh on investors in Europe"/>
    <x v="858"/>
    <s v="S&amp;P 500"/>
    <s v="Equity Implied Volatility"/>
    <s v="SPX"/>
    <s v="Equity Implied Volatility"/>
    <s v="OK"/>
    <x v="1"/>
    <s v="Index Level"/>
    <x v="1"/>
    <x v="1"/>
    <x v="112"/>
  </r>
  <r>
    <x v="203"/>
    <s v="Value Sustainability - European Underperformance            "/>
    <n v="2511"/>
    <s v="Political uncertainty driven by Brexit negotiations, upcoming elections, and the risk of political crisis in the periphery weigh on investors in Europe"/>
    <x v="1204"/>
    <s v="MSCI EUROPE(EUR)"/>
    <s v="Equity Implied Volatility"/>
    <s v="MXEU"/>
    <s v="Equity Implied Volatility"/>
    <s v="OK"/>
    <x v="1"/>
    <s v="Index Level"/>
    <x v="1"/>
    <x v="1"/>
    <x v="116"/>
  </r>
  <r>
    <x v="203"/>
    <s v="Value Sustainability - European Underperformance            "/>
    <n v="2511"/>
    <s v="Political uncertainty driven by Brexit negotiations, upcoming elections, and the risk of political crisis in the periphery weigh on investors in Europe"/>
    <x v="1205"/>
    <s v="Pan Euro Credit HY"/>
    <s v="Corporate HY EUR - Other"/>
    <s v="EUR_LEH_HY"/>
    <s v="Corporate HY EUR - Other"/>
    <s v="OK"/>
    <x v="65"/>
    <s v="Spread Yield"/>
    <x v="5"/>
    <x v="4"/>
    <x v="135"/>
  </r>
  <r>
    <x v="203"/>
    <s v="Value Sustainability - European Underperformance            "/>
    <n v="2511"/>
    <s v="Political uncertainty driven by Brexit negotiations, upcoming elections, and the risk of political crisis in the periphery weigh on investors in Europe"/>
    <x v="1206"/>
    <s v="US HY Market"/>
    <s v="Corporate HY USD - Other"/>
    <s v="USD_HY_MARKET"/>
    <s v="Corporate HY USD - Other"/>
    <s v="OK"/>
    <x v="22"/>
    <s v="Spread Yield"/>
    <x v="5"/>
    <x v="4"/>
    <x v="105"/>
  </r>
  <r>
    <x v="203"/>
    <s v="Value Sustainability - European Underperformance            "/>
    <n v="2511"/>
    <s v="Political uncertainty driven by Brexit negotiations, upcoming elections, and the risk of political crisis in the periphery weigh on investors in Europe"/>
    <x v="1207"/>
    <s v="DEM 10Y"/>
    <s v="Govt EUR (Ger)"/>
    <s v="10Y"/>
    <e v="#N/A"/>
    <s v="OK"/>
    <x v="9"/>
    <s v="Yield  "/>
    <x v="0"/>
    <x v="0"/>
    <x v="137"/>
  </r>
  <r>
    <x v="203"/>
    <s v="Value Sustainability - European Underperformance            "/>
    <n v="2511"/>
    <s v="Political uncertainty driven by Brexit negotiations, upcoming elections, and the risk of political crisis in the periphery weigh on investors in Europe"/>
    <x v="1208"/>
    <s v="MXEU FINANCIALS(EUR)"/>
    <s v="Equity Implied Volatility"/>
    <s v="FINANCIALSEUR"/>
    <e v="#N/A"/>
    <s v="OK"/>
    <x v="1"/>
    <s v="Index Level"/>
    <x v="1"/>
    <x v="1"/>
    <x v="122"/>
  </r>
  <r>
    <x v="203"/>
    <s v="Value Sustainability - European Underperformance            "/>
    <n v="2511"/>
    <s v="Political uncertainty driven by Brexit negotiations, upcoming elections, and the risk of political crisis in the periphery weigh on investors in Europe"/>
    <x v="1209"/>
    <s v="S&amp;P 500 Financials"/>
    <s v="Equity Implied Volatility"/>
    <s v="Financials"/>
    <e v="#N/A"/>
    <s v="OK"/>
    <x v="1"/>
    <s v="Index Level"/>
    <x v="1"/>
    <x v="1"/>
    <x v="141"/>
  </r>
  <r>
    <x v="204"/>
    <s v="Value Sustainability - Reversal                             "/>
    <n v="2512"/>
    <s v="President Trump fails to deliver on the magnitude of infrastructure promises and tax cuts"/>
    <x v="802"/>
    <s v="Tsy 10Y"/>
    <s v="Govt USD"/>
    <s v="USD_10yr"/>
    <s v="Govt USD"/>
    <s v="OK"/>
    <x v="0"/>
    <s v="Yield  "/>
    <x v="0"/>
    <x v="0"/>
    <x v="175"/>
  </r>
  <r>
    <x v="204"/>
    <s v="Value Sustainability - Reversal                             "/>
    <n v="2512"/>
    <s v="President Trump fails to deliver on the magnitude of infrastructure promises and tax cuts"/>
    <x v="150"/>
    <s v="Copper CMX 1"/>
    <s v="Alternative - Commodity"/>
    <s v="USD_COMD_HG_1"/>
    <s v="Alternative - Commodity"/>
    <s v="OK"/>
    <x v="2"/>
    <s v="Price Level  "/>
    <x v="2"/>
    <x v="2"/>
    <x v="106"/>
  </r>
  <r>
    <x v="204"/>
    <s v="Value Sustainability - Reversal                             "/>
    <n v="2512"/>
    <s v="President Trump fails to deliver on the magnitude of infrastructure promises and tax cuts"/>
    <x v="833"/>
    <s v="Gold"/>
    <s v="Materials"/>
    <s v="GOLD_SPOT"/>
    <s v="Alternative - Commodity"/>
    <s v="OK"/>
    <x v="2"/>
    <s v="Price Level  "/>
    <x v="2"/>
    <x v="2"/>
    <x v="148"/>
  </r>
  <r>
    <x v="204"/>
    <s v="Value Sustainability - Reversal                             "/>
    <n v="2512"/>
    <s v="President Trump fails to deliver on the magnitude of infrastructure promises and tax cuts"/>
    <x v="1210"/>
    <s v="US Cash Bonds IG"/>
    <s v="Corporate IG USD - Other"/>
    <s v="USD_LEH_CREDIT3"/>
    <s v="Corporate IG USD - Other"/>
    <s v="OK"/>
    <x v="26"/>
    <s v="Corporate IG USD - Other"/>
    <x v="5"/>
    <x v="4"/>
    <x v="219"/>
  </r>
  <r>
    <x v="204"/>
    <s v="Value Sustainability - Reversal                             "/>
    <n v="2512"/>
    <s v="President Trump fails to deliver on the magnitude of infrastructure promises and tax cuts"/>
    <x v="1211"/>
    <s v="DEM 10Y"/>
    <s v="Govt EUR (Ger)"/>
    <s v="EUR_10yr"/>
    <s v="Govt EUR (Ger)"/>
    <s v="OK"/>
    <x v="9"/>
    <s v="Yield  "/>
    <x v="0"/>
    <x v="0"/>
    <x v="175"/>
  </r>
  <r>
    <x v="204"/>
    <s v="Value Sustainability - Reversal                             "/>
    <n v="2512"/>
    <s v="President Trump fails to deliver on the magnitude of infrastructure promises and tax cuts"/>
    <x v="1143"/>
    <s v="DXY"/>
    <e v="#N/A"/>
    <s v="DXY"/>
    <e v="#N/A"/>
    <s v="BOTH #N/A"/>
    <x v="18"/>
    <s v="Dollar Index"/>
    <x v="9"/>
    <x v="2"/>
    <x v="113"/>
  </r>
  <r>
    <x v="204"/>
    <s v="Value Sustainability - Reversal                             "/>
    <n v="2512"/>
    <s v="President Trump fails to deliver on the magnitude of infrastructure promises and tax cuts"/>
    <x v="587"/>
    <s v="S&amp;P 500"/>
    <s v="Equity Implied Volatility"/>
    <s v="SPX"/>
    <s v="Equity Implied Volatility"/>
    <s v="OK"/>
    <x v="1"/>
    <s v="Index Level"/>
    <x v="1"/>
    <x v="1"/>
    <x v="122"/>
  </r>
  <r>
    <x v="204"/>
    <s v="Value Sustainability - Reversal                             "/>
    <n v="2512"/>
    <s v="President Trump fails to deliver on the magnitude of infrastructure promises and tax cuts"/>
    <x v="1212"/>
    <s v="Pan Euro Credit HY"/>
    <s v="Corporate HY EUR - Other"/>
    <s v="EUR_LEH_HY"/>
    <s v="Corporate HY EUR - Other"/>
    <s v="OK"/>
    <x v="65"/>
    <s v="Spread Yield"/>
    <x v="5"/>
    <x v="4"/>
    <x v="134"/>
  </r>
  <r>
    <x v="204"/>
    <s v="Value Sustainability - Reversal                             "/>
    <n v="2512"/>
    <s v="President Trump fails to deliver on the magnitude of infrastructure promises and tax cuts"/>
    <x v="1213"/>
    <s v="S&amp;P 500 Financials"/>
    <s v="Equity Implied Volatility"/>
    <s v="Financials"/>
    <e v="#N/A"/>
    <s v="OK"/>
    <x v="1"/>
    <s v="Index Level"/>
    <x v="1"/>
    <x v="1"/>
    <x v="106"/>
  </r>
  <r>
    <x v="204"/>
    <s v="Value Sustainability - Reversal                             "/>
    <n v="2512"/>
    <s v="President Trump fails to deliver on the magnitude of infrastructure promises and tax cuts"/>
    <x v="1214"/>
    <s v="S&amp;P 500 industrials"/>
    <s v="Equity Implied Volatility"/>
    <s v="Industrials"/>
    <e v="#N/A"/>
    <s v="OK"/>
    <x v="1"/>
    <s v="Index Level"/>
    <x v="1"/>
    <x v="1"/>
    <x v="128"/>
  </r>
  <r>
    <x v="204"/>
    <s v="Value Sustainability - Reversal                             "/>
    <n v="2512"/>
    <s v="President Trump fails to deliver on the magnitude of infrastructure promises and tax cuts"/>
    <x v="1215"/>
    <s v="US Banking IG"/>
    <s v="Corporate IG USD - Industry"/>
    <s v="IG"/>
    <e v="#N/A"/>
    <s v="OK"/>
    <x v="37"/>
    <s v="Spread Yield"/>
    <x v="5"/>
    <x v="4"/>
    <x v="138"/>
  </r>
  <r>
    <x v="205"/>
    <s v="Volatility Regimes - Regime Change in Vol                   "/>
    <n v="2402"/>
    <s v="Regime Change in Volatility: expectations for stagnant economic growth are resurrected, paired with recessionary fears in economically weaker regions."/>
    <x v="429"/>
    <s v="Tsy 10Y"/>
    <s v="Govt USD"/>
    <s v="USD_10yr"/>
    <s v="Govt USD"/>
    <s v="OK"/>
    <x v="0"/>
    <s v="Yield  "/>
    <x v="0"/>
    <x v="0"/>
    <x v="118"/>
  </r>
  <r>
    <x v="205"/>
    <s v="Volatility Regimes - Regime Change in Vol                   "/>
    <n v="2402"/>
    <s v="Regime Change in Volatility: expectations for stagnant economic growth are resurrected, paired with recessionary fears in economically weaker regions."/>
    <x v="323"/>
    <s v="USD INF 10Y"/>
    <s v="USD Inflation"/>
    <s v="USD_INF_10yr"/>
    <s v="USD Inflation"/>
    <s v="OK"/>
    <x v="8"/>
    <s v="Yield  "/>
    <x v="6"/>
    <x v="2"/>
    <x v="140"/>
  </r>
  <r>
    <x v="205"/>
    <s v="Volatility Regimes - Regime Change in Vol                   "/>
    <n v="2402"/>
    <s v="Regime Change in Volatility: expectations for stagnant economic growth are resurrected, paired with recessionary fears in economically weaker regions."/>
    <x v="104"/>
    <s v="Gold COMEX 1"/>
    <s v="Alternative - Commodity"/>
    <s v="USD_COMD_GC_1"/>
    <s v="Alternative - Commodity"/>
    <s v="OK"/>
    <x v="2"/>
    <s v="Price Level  "/>
    <x v="2"/>
    <x v="2"/>
    <x v="148"/>
  </r>
  <r>
    <x v="205"/>
    <s v="Volatility Regimes - Regime Change in Vol                   "/>
    <n v="2402"/>
    <s v="Regime Change in Volatility: expectations for stagnant economic growth are resurrected, paired with recessionary fears in economically weaker regions."/>
    <x v="1216"/>
    <s v="ITL 10Y"/>
    <s v="Spread Govt ITA"/>
    <s v="ITL_10yr"/>
    <s v="Spread Govt ITA"/>
    <s v="OK"/>
    <x v="30"/>
    <s v="Spread Yield"/>
    <x v="11"/>
    <x v="0"/>
    <x v="108"/>
  </r>
  <r>
    <x v="205"/>
    <s v="Volatility Regimes - Regime Change in Vol                   "/>
    <n v="2402"/>
    <s v="Regime Change in Volatility: expectations for stagnant economic growth are resurrected, paired with recessionary fears in economically weaker regions."/>
    <x v="1217"/>
    <s v="JPY/USD"/>
    <s v="JPY"/>
    <s v="JPY_FX_USD"/>
    <s v="JPY"/>
    <s v="OK"/>
    <x v="11"/>
    <s v="FX  "/>
    <x v="3"/>
    <x v="3"/>
    <x v="148"/>
  </r>
  <r>
    <x v="205"/>
    <s v="Volatility Regimes - Regime Change in Vol                   "/>
    <n v="2402"/>
    <s v="Regime Change in Volatility: expectations for stagnant economic growth are resurrected, paired with recessionary fears in economically weaker regions."/>
    <x v="312"/>
    <s v="S&amp;P 500"/>
    <s v="Equity Implied Volatility"/>
    <s v="SPX"/>
    <s v="Equity Implied Volatility"/>
    <s v="OK"/>
    <x v="1"/>
    <s v="Index Level"/>
    <x v="1"/>
    <x v="1"/>
    <x v="106"/>
  </r>
  <r>
    <x v="205"/>
    <s v="Volatility Regimes - Regime Change in Vol                   "/>
    <n v="2402"/>
    <s v="Regime Change in Volatility: expectations for stagnant economic growth are resurrected, paired with recessionary fears in economically weaker regions."/>
    <x v="1218"/>
    <s v="VIX"/>
    <s v="Equity Implied Volatility"/>
    <s v="VIX"/>
    <s v="Equity Implied Volatility"/>
    <s v="OK"/>
    <x v="1"/>
    <s v="Index Level"/>
    <x v="1"/>
    <x v="1"/>
    <x v="161"/>
  </r>
  <r>
    <x v="205"/>
    <s v="Volatility Regimes - Regime Change in Vol                   "/>
    <n v="2402"/>
    <s v="Regime Change in Volatility: expectations for stagnant economic growth are resurrected, paired with recessionary fears in economically weaker regions."/>
    <x v="774"/>
    <s v="EMBIG DxS"/>
    <s v="Spread Emerging Markets - Country"/>
    <s v="USD_EM_DS_G"/>
    <s v="Spread Emerging Markets - Country"/>
    <s v="OK"/>
    <x v="29"/>
    <s v="Spread Yield"/>
    <x v="5"/>
    <x v="4"/>
    <x v="149"/>
  </r>
  <r>
    <x v="205"/>
    <s v="Volatility Regimes - Regime Change in Vol                   "/>
    <n v="2402"/>
    <s v="Regime Change in Volatility: expectations for stagnant economic growth are resurrected, paired with recessionary fears in economically weaker regions."/>
    <x v="577"/>
    <s v="US HY Market"/>
    <s v="Corporate HY USD - Other"/>
    <s v="USD_HY_MARKET"/>
    <s v="Corporate HY USD - Other"/>
    <s v="OK"/>
    <x v="22"/>
    <s v="Spread Yield"/>
    <x v="5"/>
    <x v="4"/>
    <x v="109"/>
  </r>
  <r>
    <x v="205"/>
    <s v="Volatility Regimes - Regime Change in Vol                   "/>
    <n v="2402"/>
    <s v="Regime Change in Volatility: expectations for stagnant economic growth are resurrected, paired with recessionary fears in economically weaker regions."/>
    <x v="1219"/>
    <s v="S&amp;P 500 Health Care"/>
    <s v="Equity Implied Volatility"/>
    <s v="Care"/>
    <e v="#N/A"/>
    <s v="OK"/>
    <x v="1"/>
    <s v="Index Level"/>
    <x v="1"/>
    <x v="1"/>
    <x v="147"/>
  </r>
  <r>
    <x v="205"/>
    <s v="Volatility Regimes - Regime Change in Vol                   "/>
    <n v="2402"/>
    <s v="Regime Change in Volatility: expectations for stagnant economic growth are resurrected, paired with recessionary fears in economically weaker regions."/>
    <x v="1220"/>
    <s v="S&amp;P 500 Technology"/>
    <s v="Equity Implied Volatility"/>
    <s v="Technology"/>
    <e v="#N/A"/>
    <s v="OK"/>
    <x v="1"/>
    <s v="Index Level"/>
    <x v="1"/>
    <x v="1"/>
    <x v="147"/>
  </r>
  <r>
    <x v="205"/>
    <s v="Volatility Regimes - Regime Change in Vol                   "/>
    <n v="2402"/>
    <s v="Regime Change in Volatility: expectations for stagnant economic growth are resurrected, paired with recessionary fears in economically weaker regions."/>
    <x v="1221"/>
    <s v="US HY Auto"/>
    <s v="Corporate HY USD - Industry"/>
    <s v="Auto"/>
    <e v="#N/A"/>
    <s v="OK"/>
    <x v="6"/>
    <s v="Spread Yield"/>
    <x v="5"/>
    <x v="4"/>
    <x v="135"/>
  </r>
  <r>
    <x v="205"/>
    <s v="Volatility Regimes - Regime Change in Vol                   "/>
    <n v="2402"/>
    <s v="Regime Change in Volatility: expectations for stagnant economic growth are resurrected, paired with recessionary fears in economically weaker regions."/>
    <x v="1222"/>
    <s v="US HY Wirelines"/>
    <s v="Corporate HY USD - Industry"/>
    <s v="Wirelines"/>
    <e v="#N/A"/>
    <s v="OK"/>
    <x v="6"/>
    <s v="Spread Yield"/>
    <x v="5"/>
    <x v="4"/>
    <x v="135"/>
  </r>
  <r>
    <x v="206"/>
    <s v="Volatility Regimes - Transitory Spike in Vol                "/>
    <n v="2403"/>
    <s v="Transitory Spike in Volatility: temporary jumps in volatility occur, potentially relating to various political events"/>
    <x v="290"/>
    <s v="Tsy 10Y"/>
    <s v="Govt USD"/>
    <s v="USD_10yr"/>
    <s v="Govt USD"/>
    <s v="OK"/>
    <x v="0"/>
    <s v="Yield  "/>
    <x v="0"/>
    <x v="0"/>
    <x v="123"/>
  </r>
  <r>
    <x v="206"/>
    <s v="Volatility Regimes - Transitory Spike in Vol                "/>
    <n v="2403"/>
    <s v="Transitory Spike in Volatility: temporary jumps in volatility occur, potentially relating to various political events"/>
    <x v="316"/>
    <s v="USD INF 10Y"/>
    <s v="USD Inflation"/>
    <s v="USD_INF_10yr"/>
    <s v="USD Inflation"/>
    <s v="OK"/>
    <x v="8"/>
    <s v="Yield  "/>
    <x v="6"/>
    <x v="2"/>
    <x v="138"/>
  </r>
  <r>
    <x v="206"/>
    <s v="Volatility Regimes - Transitory Spike in Vol                "/>
    <n v="2403"/>
    <s v="Transitory Spike in Volatility: temporary jumps in volatility occur, potentially relating to various political events"/>
    <x v="113"/>
    <s v="Gold COMEX 1"/>
    <s v="Alternative - Commodity"/>
    <s v="USD_COMD_GC_1"/>
    <s v="Alternative - Commodity"/>
    <s v="OK"/>
    <x v="2"/>
    <s v="Price Level  "/>
    <x v="2"/>
    <x v="2"/>
    <x v="125"/>
  </r>
  <r>
    <x v="206"/>
    <s v="Volatility Regimes - Transitory Spike in Vol                "/>
    <n v="2403"/>
    <s v="Transitory Spike in Volatility: temporary jumps in volatility occur, potentially relating to various political events"/>
    <x v="239"/>
    <s v="VIX"/>
    <s v="Equity Implied Volatility"/>
    <s v="VIX"/>
    <s v="Equity Implied Volatility"/>
    <s v="OK"/>
    <x v="1"/>
    <s v="Index Level"/>
    <x v="1"/>
    <x v="1"/>
    <x v="172"/>
  </r>
  <r>
    <x v="206"/>
    <s v="Volatility Regimes - Transitory Spike in Vol                "/>
    <n v="2403"/>
    <s v="Transitory Spike in Volatility: temporary jumps in volatility occur, potentially relating to various political events"/>
    <x v="969"/>
    <s v="MSCI World Net TR"/>
    <s v="Equity Implied Volatility"/>
    <s v="MSCIWLDNET"/>
    <s v="Equity Implied Volatility"/>
    <s v="OK"/>
    <x v="1"/>
    <s v="Index Level"/>
    <x v="1"/>
    <x v="1"/>
    <x v="147"/>
  </r>
  <r>
    <x v="206"/>
    <s v="Volatility Regimes - Transitory Spike in Vol                "/>
    <n v="2403"/>
    <s v="Transitory Spike in Volatility: temporary jumps in volatility occur, potentially relating to various political events"/>
    <x v="577"/>
    <s v="US HY Market"/>
    <s v="Corporate HY USD - Other"/>
    <s v="USD_HY_MARKET"/>
    <s v="Corporate HY USD - Other"/>
    <s v="OK"/>
    <x v="22"/>
    <s v="Spread Yield"/>
    <x v="5"/>
    <x v="4"/>
    <x v="109"/>
  </r>
  <r>
    <x v="206"/>
    <s v="Volatility Regimes - Transitory Spike in Vol                "/>
    <n v="2403"/>
    <s v="Transitory Spike in Volatility: temporary jumps in volatility occur, potentially relating to various political events"/>
    <x v="1223"/>
    <s v="MS Emerging Mkts"/>
    <s v="Equity Implied Volatility"/>
    <s v="Mkts"/>
    <e v="#N/A"/>
    <s v="OK"/>
    <x v="1"/>
    <s v="Index Level"/>
    <x v="1"/>
    <x v="1"/>
    <x v="116"/>
  </r>
  <r>
    <x v="206"/>
    <s v="Volatility Regimes - Transitory Spike in Vol                "/>
    <n v="2403"/>
    <s v="Transitory Spike in Volatility: temporary jumps in volatility occur, potentially relating to various political events"/>
    <x v="1224"/>
    <s v="S&amp;P 500 industrials"/>
    <s v="Equity Implied Volatility"/>
    <s v="Industrials"/>
    <e v="#N/A"/>
    <s v="OK"/>
    <x v="1"/>
    <s v="Index Level"/>
    <x v="1"/>
    <x v="1"/>
    <x v="122"/>
  </r>
  <r>
    <x v="206"/>
    <s v="Volatility Regimes - Transitory Spike in Vol                "/>
    <n v="2403"/>
    <s v="Transitory Spike in Volatility: temporary jumps in volatility occur, potentially relating to various political events"/>
    <x v="1225"/>
    <s v="US HY Pharmaceuticals"/>
    <s v="Corporate HY USD - Industry"/>
    <s v="Pharmaceuticals"/>
    <e v="#N/A"/>
    <s v="OK"/>
    <x v="6"/>
    <s v="Spread Yield"/>
    <x v="5"/>
    <x v="4"/>
    <x v="176"/>
  </r>
  <r>
    <x v="207"/>
    <m/>
    <m/>
    <m/>
    <x v="1226"/>
    <m/>
    <m/>
    <m/>
    <m/>
    <m/>
    <x v="73"/>
    <m/>
    <x v="16"/>
    <x v="6"/>
    <x v="5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1D758C-E819-48E4-8BA7-8FE4236C74C9}" name="PivotTable3"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F1793" firstHeaderRow="1" firstDataRow="1" firstDataCol="6"/>
  <pivotFields count="15">
    <pivotField axis="axisRow" compact="0" outline="0" showAll="0" defaultSubtotal="0">
      <items count="208">
        <item x="0"/>
        <item x="1"/>
        <item x="2"/>
        <item x="3"/>
        <item x="4"/>
        <item x="5"/>
        <item x="6"/>
        <item x="7"/>
        <item x="8"/>
        <item x="9"/>
        <item x="10"/>
        <item x="11"/>
        <item x="12"/>
        <item x="13"/>
        <item x="14"/>
        <item x="15"/>
        <item x="16"/>
        <item x="17"/>
        <item x="18"/>
        <item x="22"/>
        <item x="23"/>
        <item x="24"/>
        <item x="25"/>
        <item x="26"/>
        <item x="19"/>
        <item x="20"/>
        <item x="21"/>
        <item x="27"/>
        <item x="28"/>
        <item x="29"/>
        <item x="30"/>
        <item x="31"/>
        <item x="32"/>
        <item x="33"/>
        <item x="34"/>
        <item x="35"/>
        <item x="36"/>
        <item x="40"/>
        <item x="41"/>
        <item x="37"/>
        <item x="38"/>
        <item x="39"/>
        <item x="42"/>
        <item x="43"/>
        <item x="44"/>
        <item x="45"/>
        <item x="49"/>
        <item x="50"/>
        <item x="51"/>
        <item x="52"/>
        <item x="53"/>
        <item x="54"/>
        <item x="55"/>
        <item x="46"/>
        <item x="47"/>
        <item x="48"/>
        <item x="66"/>
        <item x="67"/>
        <item x="68"/>
        <item x="56"/>
        <item x="57"/>
        <item x="58"/>
        <item x="59"/>
        <item x="60"/>
        <item x="61"/>
        <item x="62"/>
        <item x="63"/>
        <item x="64"/>
        <item x="65"/>
        <item x="71"/>
        <item x="72"/>
        <item x="73"/>
        <item x="74"/>
        <item x="75"/>
        <item x="69"/>
        <item x="70"/>
        <item x="76"/>
        <item x="77"/>
        <item x="78"/>
        <item x="79"/>
        <item x="80"/>
        <item x="81"/>
        <item x="82"/>
        <item x="83"/>
        <item x="84"/>
        <item x="85"/>
        <item x="86"/>
        <item x="87"/>
        <item x="88"/>
        <item x="89"/>
        <item x="90"/>
        <item x="91"/>
        <item x="92"/>
        <item x="93"/>
        <item x="94"/>
        <item x="98"/>
        <item x="99"/>
        <item x="100"/>
        <item x="101"/>
        <item x="102"/>
        <item x="103"/>
        <item x="104"/>
        <item x="105"/>
        <item x="95"/>
        <item x="96"/>
        <item x="97"/>
        <item x="106"/>
        <item x="107"/>
        <item x="108"/>
        <item x="109"/>
        <item x="110"/>
        <item x="111"/>
        <item x="112"/>
        <item x="113"/>
        <item x="114"/>
        <item x="115"/>
        <item x="116"/>
        <item x="117"/>
        <item x="118"/>
        <item x="119"/>
        <item x="120"/>
        <item x="121"/>
        <item x="122"/>
        <item x="126"/>
        <item x="127"/>
        <item x="128"/>
        <item x="129"/>
        <item x="130"/>
        <item x="131"/>
        <item x="132"/>
        <item x="133"/>
        <item x="134"/>
        <item x="135"/>
        <item x="136"/>
        <item x="137"/>
        <item x="138"/>
        <item x="123"/>
        <item x="124"/>
        <item x="125"/>
        <item x="139"/>
        <item x="140"/>
        <item x="141"/>
        <item x="142"/>
        <item x="143"/>
        <item x="144"/>
        <item x="145"/>
        <item x="146"/>
        <item x="147"/>
        <item x="148"/>
        <item x="149"/>
        <item x="150"/>
        <item x="151"/>
        <item x="152"/>
        <item x="153"/>
        <item x="154"/>
        <item x="155"/>
        <item x="156"/>
        <item x="157"/>
        <item x="158"/>
        <item x="159"/>
        <item x="160"/>
        <item x="161"/>
        <item x="162"/>
        <item x="163"/>
        <item x="164"/>
        <item x="165"/>
        <item x="167"/>
        <item x="166"/>
        <item x="168"/>
        <item x="169"/>
        <item x="170"/>
        <item x="171"/>
        <item x="172"/>
        <item x="173"/>
        <item x="174"/>
        <item x="175"/>
        <item x="176"/>
        <item x="177"/>
        <item x="178"/>
        <item x="179"/>
        <item x="180"/>
        <item x="181"/>
        <item x="182"/>
        <item x="183"/>
        <item x="184"/>
        <item x="185"/>
        <item x="186"/>
        <item x="187"/>
        <item x="188"/>
        <item x="189"/>
        <item x="190"/>
        <item x="201"/>
        <item x="191"/>
        <item x="192"/>
        <item x="193"/>
        <item x="194"/>
        <item x="195"/>
        <item x="196"/>
        <item x="197"/>
        <item x="198"/>
        <item x="199"/>
        <item x="200"/>
        <item x="202"/>
        <item x="203"/>
        <item x="204"/>
        <item x="205"/>
        <item x="206"/>
        <item h="1" x="20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227">
        <item x="79"/>
        <item x="93"/>
        <item x="83"/>
        <item x="633"/>
        <item x="640"/>
        <item x="628"/>
        <item x="101"/>
        <item x="181"/>
        <item x="1127"/>
        <item x="834"/>
        <item x="179"/>
        <item x="1009"/>
        <item x="32"/>
        <item x="905"/>
        <item x="758"/>
        <item x="664"/>
        <item x="999"/>
        <item x="554"/>
        <item x="650"/>
        <item x="98"/>
        <item x="543"/>
        <item x="24"/>
        <item x="561"/>
        <item x="349"/>
        <item x="917"/>
        <item x="288"/>
        <item x="907"/>
        <item x="231"/>
        <item x="260"/>
        <item x="353"/>
        <item x="197"/>
        <item x="567"/>
        <item x="1146"/>
        <item x="180"/>
        <item x="888"/>
        <item x="895"/>
        <item x="1166"/>
        <item x="1074"/>
        <item x="884"/>
        <item x="201"/>
        <item x="1139"/>
        <item x="781"/>
        <item x="144"/>
        <item x="991"/>
        <item x="405"/>
        <item x="370"/>
        <item x="390"/>
        <item x="444"/>
        <item x="408"/>
        <item x="394"/>
        <item x="400"/>
        <item x="163"/>
        <item x="826"/>
        <item x="1069"/>
        <item x="1096"/>
        <item x="641"/>
        <item x="634"/>
        <item x="211"/>
        <item x="185"/>
        <item x="621"/>
        <item x="663"/>
        <item x="956"/>
        <item x="431"/>
        <item x="832"/>
        <item x="119"/>
        <item x="660"/>
        <item x="950"/>
        <item x="684"/>
        <item x="613"/>
        <item x="931"/>
        <item x="601"/>
        <item x="942"/>
        <item x="734"/>
        <item x="749"/>
        <item x="94"/>
        <item x="84"/>
        <item x="678"/>
        <item x="668"/>
        <item x="672"/>
        <item x="140"/>
        <item x="796"/>
        <item x="433"/>
        <item x="344"/>
        <item x="139"/>
        <item x="729"/>
        <item x="351"/>
        <item x="346"/>
        <item x="957"/>
        <item x="141"/>
        <item x="797"/>
        <item x="345"/>
        <item x="951"/>
        <item x="1155"/>
        <item x="1145"/>
        <item x="1165"/>
        <item x="887"/>
        <item x="893"/>
        <item x="879"/>
        <item x="1187"/>
        <item x="1171"/>
        <item x="1175"/>
        <item x="550"/>
        <item x="538"/>
        <item x="240"/>
        <item x="565"/>
        <item x="178"/>
        <item x="278"/>
        <item x="1124"/>
        <item x="597"/>
        <item x="970"/>
        <item x="208"/>
        <item x="158"/>
        <item x="1136"/>
        <item x="217"/>
        <item x="359"/>
        <item x="224"/>
        <item x="126"/>
        <item x="232"/>
        <item x="194"/>
        <item x="1188"/>
        <item x="1005"/>
        <item x="360"/>
        <item x="1180"/>
        <item x="1184"/>
        <item x="1177"/>
        <item x="1179"/>
        <item x="1183"/>
        <item x="1132"/>
        <item x="1176"/>
        <item x="209"/>
        <item x="228"/>
        <item x="213"/>
        <item x="221"/>
        <item x="1048"/>
        <item x="669"/>
        <item x="681"/>
        <item x="983"/>
        <item x="880"/>
        <item x="562"/>
        <item x="206"/>
        <item x="188"/>
        <item x="219"/>
        <item x="187"/>
        <item x="212"/>
        <item x="166"/>
        <item x="175"/>
        <item x="153"/>
        <item x="354"/>
        <item x="279"/>
        <item x="120"/>
        <item x="1001"/>
        <item x="1125"/>
        <item x="19"/>
        <item x="30"/>
        <item x="933"/>
        <item x="438"/>
        <item x="439"/>
        <item x="1088"/>
        <item x="182"/>
        <item x="1121"/>
        <item x="900"/>
        <item x="1134"/>
        <item x="986"/>
        <item x="889"/>
        <item x="143"/>
        <item x="393"/>
        <item x="544"/>
        <item x="123"/>
        <item x="191"/>
        <item x="541"/>
        <item x="1164"/>
        <item x="124"/>
        <item x="985"/>
        <item x="285"/>
        <item x="442"/>
        <item x="150"/>
        <item x="1196"/>
        <item x="622"/>
        <item x="341"/>
        <item x="205"/>
        <item x="218"/>
        <item x="186"/>
        <item x="196"/>
        <item x="1160"/>
        <item x="1141"/>
        <item x="549"/>
        <item x="459"/>
        <item x="477"/>
        <item x="375"/>
        <item x="871"/>
        <item x="862"/>
        <item x="748"/>
        <item x="745"/>
        <item x="1137"/>
        <item x="1106"/>
        <item x="243"/>
        <item x="329"/>
        <item x="36"/>
        <item x="43"/>
        <item x="102"/>
        <item x="103"/>
        <item x="777"/>
        <item x="692"/>
        <item x="1161"/>
        <item x="654"/>
        <item x="841"/>
        <item x="365"/>
        <item x="713"/>
        <item x="324"/>
        <item x="1142"/>
        <item x="1021"/>
        <item x="1044"/>
        <item x="703"/>
        <item x="863"/>
        <item x="876"/>
        <item x="131"/>
        <item x="845"/>
        <item x="109"/>
        <item x="1207"/>
        <item x="976"/>
        <item x="490"/>
        <item x="469"/>
        <item x="450"/>
        <item x="502"/>
        <item x="299"/>
        <item x="648"/>
        <item x="432"/>
        <item x="740"/>
        <item x="105"/>
        <item x="846"/>
        <item x="510"/>
        <item x="1211"/>
        <item x="761"/>
        <item x="481"/>
        <item x="1198"/>
        <item x="330"/>
        <item x="37"/>
        <item x="44"/>
        <item x="975"/>
        <item x="593"/>
        <item x="501"/>
        <item x="1046"/>
        <item x="1060"/>
        <item x="468"/>
        <item x="460"/>
        <item x="760"/>
        <item x="458"/>
        <item x="476"/>
        <item x="374"/>
        <item x="861"/>
        <item x="990"/>
        <item x="947"/>
        <item x="1174"/>
        <item x="979"/>
        <item x="618"/>
        <item x="1103"/>
        <item x="1065"/>
        <item x="1113"/>
        <item x="1049"/>
        <item x="1063"/>
        <item x="1055"/>
        <item x="327"/>
        <item x="1013"/>
        <item x="1163"/>
        <item x="176"/>
        <item x="389"/>
        <item x="414"/>
        <item x="249"/>
        <item x="301"/>
        <item x="735"/>
        <item x="114"/>
        <item x="106"/>
        <item x="133"/>
        <item x="1143"/>
        <item x="853"/>
        <item x="404"/>
        <item x="167"/>
        <item x="419"/>
        <item x="624"/>
        <item x="311"/>
        <item x="576"/>
        <item x="1035"/>
        <item x="320"/>
        <item x="72"/>
        <item x="61"/>
        <item x="87"/>
        <item x="96"/>
        <item x="559"/>
        <item x="546"/>
        <item x="183"/>
        <item x="20"/>
        <item x="1149"/>
        <item x="1120"/>
        <item x="553"/>
        <item x="1172"/>
        <item x="25"/>
        <item x="428"/>
        <item x="137"/>
        <item x="270"/>
        <item x="896"/>
        <item x="890"/>
        <item x="372"/>
        <item x="395"/>
        <item x="125"/>
        <item x="595"/>
        <item x="235"/>
        <item x="800"/>
        <item x="417"/>
        <item x="1004"/>
        <item x="1056"/>
        <item x="698"/>
        <item x="768"/>
        <item x="286"/>
        <item x="421"/>
        <item x="589"/>
        <item x="774"/>
        <item x="376"/>
        <item x="948"/>
        <item x="157"/>
        <item x="686"/>
        <item x="835"/>
        <item x="829"/>
        <item x="839"/>
        <item x="396"/>
        <item x="350"/>
        <item x="1003"/>
        <item x="952"/>
        <item x="558"/>
        <item x="984"/>
        <item x="617"/>
        <item x="190"/>
        <item x="652"/>
        <item x="866"/>
        <item x="857"/>
        <item x="695"/>
        <item x="338"/>
        <item x="1138"/>
        <item x="775"/>
        <item x="1015"/>
        <item x="457"/>
        <item x="474"/>
        <item x="485"/>
        <item x="484"/>
        <item x="516"/>
        <item x="498"/>
        <item x="523"/>
        <item x="924"/>
        <item x="844"/>
        <item x="268"/>
        <item x="533"/>
        <item x="867"/>
        <item x="1101"/>
        <item x="1064"/>
        <item x="1111"/>
        <item x="552"/>
        <item x="518"/>
        <item x="517"/>
        <item x="453"/>
        <item x="472"/>
        <item x="711"/>
        <item x="522"/>
        <item x="843"/>
        <item x="530"/>
        <item x="1061"/>
        <item x="563"/>
        <item x="331"/>
        <item x="944"/>
        <item x="551"/>
        <item x="539"/>
        <item x="535"/>
        <item x="524"/>
        <item x="1051"/>
        <item x="483"/>
        <item x="690"/>
        <item x="606"/>
        <item x="594"/>
        <item x="471"/>
        <item x="494"/>
        <item x="710"/>
        <item x="521"/>
        <item x="504"/>
        <item x="1033"/>
        <item x="512"/>
        <item x="452"/>
        <item x="529"/>
        <item x="1072"/>
        <item x="1054"/>
        <item x="52"/>
        <item x="815"/>
        <item x="809"/>
        <item x="821"/>
        <item x="443"/>
        <item x="528"/>
        <item x="491"/>
        <item x="511"/>
        <item x="520"/>
        <item x="922"/>
        <item x="54"/>
        <item x="928"/>
        <item x="58"/>
        <item x="935"/>
        <item x="963"/>
        <item x="919"/>
        <item x="51"/>
        <item x="918"/>
        <item x="50"/>
        <item x="921"/>
        <item x="920"/>
        <item x="53"/>
        <item x="883"/>
        <item x="156"/>
        <item x="1162"/>
        <item x="104"/>
        <item x="840"/>
        <item x="479"/>
        <item x="1043"/>
        <item x="891"/>
        <item x="244"/>
        <item x="527"/>
        <item x="488"/>
        <item x="298"/>
        <item x="1203"/>
        <item x="113"/>
        <item x="687"/>
        <item x="1070"/>
        <item x="151"/>
        <item x="317"/>
        <item x="509"/>
        <item x="85"/>
        <item x="833"/>
        <item x="423"/>
        <item x="164"/>
        <item x="1197"/>
        <item x="1095"/>
        <item x="619"/>
        <item x="636"/>
        <item x="168"/>
        <item x="340"/>
        <item x="719"/>
        <item x="783"/>
        <item x="1029"/>
        <item x="651"/>
        <item x="381"/>
        <item x="1058"/>
        <item x="18"/>
        <item x="29"/>
        <item x="23"/>
        <item x="135"/>
        <item x="996"/>
        <item x="214"/>
        <item x="222"/>
        <item x="1173"/>
        <item x="756"/>
        <item x="445"/>
        <item x="192"/>
        <item x="754"/>
        <item x="670"/>
        <item x="1102"/>
        <item x="1112"/>
        <item x="899"/>
        <item x="74"/>
        <item x="304"/>
        <item x="75"/>
        <item x="487"/>
        <item x="500"/>
        <item x="508"/>
        <item x="503"/>
        <item x="994"/>
        <item x="451"/>
        <item x="470"/>
        <item x="482"/>
        <item x="1216"/>
        <item x="493"/>
        <item x="129"/>
        <item x="506"/>
        <item x="486"/>
        <item x="492"/>
        <item x="795"/>
        <item x="780"/>
        <item x="849"/>
        <item x="771"/>
        <item x="763"/>
        <item x="784"/>
        <item x="696"/>
        <item x="791"/>
        <item x="38"/>
        <item x="45"/>
        <item x="609"/>
        <item x="709"/>
        <item x="770"/>
        <item x="790"/>
        <item x="762"/>
        <item x="793"/>
        <item x="786"/>
        <item x="765"/>
        <item x="848"/>
        <item x="778"/>
        <item x="300"/>
        <item x="1217"/>
        <item x="495"/>
        <item x="226"/>
        <item x="198"/>
        <item x="319"/>
        <item x="121"/>
        <item x="785"/>
        <item x="911"/>
        <item x="792"/>
        <item x="248"/>
        <item x="39"/>
        <item x="46"/>
        <item x="915"/>
        <item x="904"/>
        <item x="910"/>
        <item x="912"/>
        <item x="355"/>
        <item x="147"/>
        <item x="252"/>
        <item x="978"/>
        <item x="440"/>
        <item x="555"/>
        <item x="347"/>
        <item x="1182"/>
        <item x="1186"/>
        <item x="348"/>
        <item x="817"/>
        <item x="1075"/>
        <item x="820"/>
        <item x="814"/>
        <item x="64"/>
        <item x="1073"/>
        <item x="804"/>
        <item x="1185"/>
        <item x="1181"/>
        <item x="1178"/>
        <item x="1189"/>
        <item x="145"/>
        <item x="138"/>
        <item x="534"/>
        <item x="1077"/>
        <item x="1091"/>
        <item x="547"/>
        <item x="733"/>
        <item x="272"/>
        <item x="1041"/>
        <item x="412"/>
        <item x="1223"/>
        <item x="712"/>
        <item x="160"/>
        <item x="361"/>
        <item x="629"/>
        <item x="385"/>
        <item x="656"/>
        <item x="923"/>
        <item x="369"/>
        <item x="420"/>
        <item x="427"/>
        <item x="828"/>
        <item x="894"/>
        <item x="415"/>
        <item x="799"/>
        <item x="588"/>
        <item x="220"/>
        <item x="225"/>
        <item x="422"/>
        <item x="203"/>
        <item x="379"/>
        <item x="1150"/>
        <item x="1167"/>
        <item x="1157"/>
        <item x="1129"/>
        <item x="1128"/>
        <item x="127"/>
        <item x="184"/>
        <item x="1194"/>
        <item x="195"/>
        <item x="383"/>
        <item x="210"/>
        <item x="170"/>
        <item x="972"/>
        <item x="159"/>
        <item x="1006"/>
        <item x="384"/>
        <item x="146"/>
        <item x="398"/>
        <item x="801"/>
        <item x="808"/>
        <item x="806"/>
        <item x="204"/>
        <item x="973"/>
        <item x="769"/>
        <item x="467"/>
        <item x="908"/>
        <item x="78"/>
        <item x="1140"/>
        <item x="1000"/>
        <item x="741"/>
        <item x="134"/>
        <item x="1199"/>
        <item x="531"/>
        <item x="649"/>
        <item x="497"/>
        <item x="1204"/>
        <item x="505"/>
        <item x="456"/>
        <item x="473"/>
        <item x="514"/>
        <item x="333"/>
        <item x="48"/>
        <item x="41"/>
        <item x="397"/>
        <item x="566"/>
        <item x="289"/>
        <item x="726"/>
        <item x="261"/>
        <item x="787"/>
        <item x="743"/>
        <item x="731"/>
        <item x="738"/>
        <item x="723"/>
        <item x="271"/>
        <item x="1025"/>
        <item x="662"/>
        <item x="683"/>
        <item x="667"/>
        <item x="960"/>
        <item x="739"/>
        <item x="776"/>
        <item x="1026"/>
        <item x="604"/>
        <item x="724"/>
        <item x="377"/>
        <item x="378"/>
        <item x="49"/>
        <item x="334"/>
        <item x="128"/>
        <item x="1002"/>
        <item x="805"/>
        <item x="772"/>
        <item x="855"/>
        <item x="199"/>
        <item x="661"/>
        <item x="267"/>
        <item x="258"/>
        <item x="339"/>
        <item x="407"/>
        <item x="673"/>
        <item x="465"/>
        <item x="945"/>
        <item x="416"/>
        <item x="1037"/>
        <item x="1038"/>
        <item x="603"/>
        <item x="189"/>
        <item x="736"/>
        <item x="230"/>
        <item x="436"/>
        <item x="969"/>
        <item x="608"/>
        <item x="281"/>
        <item x="55"/>
        <item x="73"/>
        <item x="62"/>
        <item x="596"/>
        <item x="725"/>
        <item x="732"/>
        <item x="653"/>
        <item x="302"/>
        <item x="1092"/>
        <item x="1080"/>
        <item x="1084"/>
        <item x="71"/>
        <item x="60"/>
        <item x="568"/>
        <item x="478"/>
        <item x="461"/>
        <item x="536"/>
        <item x="499"/>
        <item x="507"/>
        <item x="1208"/>
        <item x="519"/>
        <item x="525"/>
        <item x="526"/>
        <item x="962"/>
        <item x="697"/>
        <item x="152"/>
        <item x="424"/>
        <item x="264"/>
        <item x="247"/>
        <item x="275"/>
        <item x="256"/>
        <item x="366"/>
        <item x="881"/>
        <item x="425"/>
        <item x="764"/>
        <item x="798"/>
        <item x="434"/>
        <item x="265"/>
        <item x="803"/>
        <item x="154"/>
        <item x="1123"/>
        <item x="356"/>
        <item x="291"/>
        <item x="537"/>
        <item x="1097"/>
        <item x="1045"/>
        <item x="932"/>
        <item x="1059"/>
        <item x="1107"/>
        <item x="548"/>
        <item x="788"/>
        <item x="847"/>
        <item x="779"/>
        <item x="794"/>
        <item x="169"/>
        <item x="642"/>
        <item x="614"/>
        <item x="635"/>
        <item x="782"/>
        <item x="870"/>
        <item x="1024"/>
        <item x="373"/>
        <item x="699"/>
        <item x="475"/>
        <item x="757"/>
        <item x="759"/>
        <item x="998"/>
        <item x="1212"/>
        <item x="773"/>
        <item x="1205"/>
        <item x="742"/>
        <item x="766"/>
        <item x="1050"/>
        <item x="730"/>
        <item x="1192"/>
        <item x="1057"/>
        <item x="927"/>
        <item x="446"/>
        <item x="816"/>
        <item x="822"/>
        <item x="810"/>
        <item x="65"/>
        <item x="644"/>
        <item x="229"/>
        <item x="755"/>
        <item x="277"/>
        <item x="875"/>
        <item x="860"/>
        <item x="869"/>
        <item x="902"/>
        <item x="874"/>
        <item x="859"/>
        <item x="868"/>
        <item x="1079"/>
        <item x="303"/>
        <item x="292"/>
        <item x="674"/>
        <item x="992"/>
        <item x="193"/>
        <item x="216"/>
        <item x="466"/>
        <item x="995"/>
        <item x="1087"/>
        <item x="215"/>
        <item x="223"/>
        <item x="387"/>
        <item x="130"/>
        <item x="1052"/>
        <item x="386"/>
        <item x="132"/>
        <item x="1098"/>
        <item x="714"/>
        <item x="435"/>
        <item x="233"/>
        <item x="1108"/>
        <item x="308"/>
        <item x="1040"/>
        <item x="406"/>
        <item x="958"/>
        <item x="1100"/>
        <item x="234"/>
        <item x="1110"/>
        <item x="1047"/>
        <item x="1062"/>
        <item x="237"/>
        <item x="236"/>
        <item x="409"/>
        <item x="1104"/>
        <item x="1195"/>
        <item x="744"/>
        <item x="69"/>
        <item x="1190"/>
        <item x="720"/>
        <item x="1031"/>
        <item x="590"/>
        <item x="708"/>
        <item x="90"/>
        <item x="659"/>
        <item x="578"/>
        <item x="573"/>
        <item x="716"/>
        <item x="706"/>
        <item x="8"/>
        <item x="1213"/>
        <item x="110"/>
        <item x="253"/>
        <item x="1209"/>
        <item x="117"/>
        <item x="462"/>
        <item x="313"/>
        <item x="1200"/>
        <item x="322"/>
        <item x="9"/>
        <item x="1219"/>
        <item x="10"/>
        <item x="885"/>
        <item x="707"/>
        <item x="751"/>
        <item x="1214"/>
        <item x="1224"/>
        <item x="607"/>
        <item x="294"/>
        <item x="11"/>
        <item x="574"/>
        <item x="12"/>
        <item x="368"/>
        <item x="426"/>
        <item x="913"/>
        <item x="1008"/>
        <item x="312"/>
        <item x="658"/>
        <item x="115"/>
        <item x="1109"/>
        <item x="616"/>
        <item x="321"/>
        <item x="513"/>
        <item x="679"/>
        <item x="1014"/>
        <item x="177"/>
        <item x="107"/>
        <item x="625"/>
        <item x="858"/>
        <item x="332"/>
        <item x="250"/>
        <item x="454"/>
        <item x="705"/>
        <item x="587"/>
        <item x="326"/>
        <item x="155"/>
        <item x="850"/>
        <item x="97"/>
        <item x="40"/>
        <item x="47"/>
        <item x="88"/>
        <item x="877"/>
        <item x="171"/>
        <item x="1220"/>
        <item x="68"/>
        <item x="898"/>
        <item x="13"/>
        <item x="700"/>
        <item x="878"/>
        <item x="864"/>
        <item x="872"/>
        <item x="295"/>
        <item x="15"/>
        <item x="16"/>
        <item x="17"/>
        <item x="136"/>
        <item x="675"/>
        <item x="685"/>
        <item x="21"/>
        <item x="1114"/>
        <item x="557"/>
        <item x="1147"/>
        <item x="1118"/>
        <item x="1089"/>
        <item x="901"/>
        <item x="33"/>
        <item x="1135"/>
        <item x="1122"/>
        <item x="914"/>
        <item x="1076"/>
        <item x="207"/>
        <item x="26"/>
        <item x="1066"/>
        <item x="645"/>
        <item x="980"/>
        <item x="99"/>
        <item x="410"/>
        <item x="441"/>
        <item x="173"/>
        <item x="342"/>
        <item x="14"/>
        <item x="1083"/>
        <item x="747"/>
        <item x="715"/>
        <item x="626"/>
        <item x="6"/>
        <item x="7"/>
        <item x="542"/>
        <item x="936"/>
        <item x="1119"/>
        <item x="1133"/>
        <item x="391"/>
        <item x="31"/>
        <item x="1022"/>
        <item x="200"/>
        <item x="76"/>
        <item x="259"/>
        <item x="284"/>
        <item x="623"/>
        <item x="1016"/>
        <item x="282"/>
        <item x="122"/>
        <item x="57"/>
        <item x="63"/>
        <item x="1152"/>
        <item x="989"/>
        <item x="392"/>
        <item x="916"/>
        <item x="937"/>
        <item x="964"/>
        <item x="283"/>
        <item x="977"/>
        <item x="946"/>
        <item x="556"/>
        <item x="1010"/>
        <item x="1099"/>
        <item x="402"/>
        <item x="388"/>
        <item x="688"/>
        <item x="1042"/>
        <item x="610"/>
        <item x="909"/>
        <item x="974"/>
        <item x="584"/>
        <item x="647"/>
        <item x="112"/>
        <item x="1036"/>
        <item x="1039"/>
        <item x="691"/>
        <item x="560"/>
        <item x="961"/>
        <item x="297"/>
        <item x="447"/>
        <item x="118"/>
        <item x="580"/>
        <item x="290"/>
        <item x="162"/>
        <item x="599"/>
        <item x="254"/>
        <item x="148"/>
        <item x="903"/>
        <item x="429"/>
        <item x="238"/>
        <item x="701"/>
        <item x="418"/>
        <item x="802"/>
        <item x="363"/>
        <item x="830"/>
        <item x="854"/>
        <item x="717"/>
        <item x="966"/>
        <item x="242"/>
        <item x="752"/>
        <item x="631"/>
        <item x="727"/>
        <item x="59"/>
        <item x="4"/>
        <item x="70"/>
        <item x="91"/>
        <item x="81"/>
        <item x="1018"/>
        <item x="362"/>
        <item x="579"/>
        <item x="569"/>
        <item x="328"/>
        <item x="1"/>
        <item x="42"/>
        <item x="35"/>
        <item x="111"/>
        <item x="399"/>
        <item x="263"/>
        <item x="1053"/>
        <item x="1023"/>
        <item x="1159"/>
        <item x="241"/>
        <item x="161"/>
        <item x="336"/>
        <item x="1028"/>
        <item x="586"/>
        <item x="965"/>
        <item x="413"/>
        <item x="591"/>
        <item x="940"/>
        <item x="575"/>
        <item x="630"/>
        <item x="638"/>
        <item x="611"/>
        <item x="1169"/>
        <item x="2"/>
        <item x="80"/>
        <item x="1027"/>
        <item x="605"/>
        <item x="463"/>
        <item x="273"/>
        <item x="689"/>
        <item x="941"/>
        <item x="929"/>
        <item x="5"/>
        <item x="92"/>
        <item x="1017"/>
        <item x="1007"/>
        <item x="1012"/>
        <item x="0"/>
        <item x="1068"/>
        <item x="28"/>
        <item x="3"/>
        <item x="371"/>
        <item x="540"/>
        <item x="411"/>
        <item x="280"/>
        <item x="1131"/>
        <item x="357"/>
        <item x="926"/>
        <item x="925"/>
        <item x="56"/>
        <item x="1193"/>
        <item x="1105"/>
        <item x="1115"/>
        <item x="886"/>
        <item x="892"/>
        <item x="174"/>
        <item x="1201"/>
        <item x="1215"/>
        <item x="1085"/>
        <item x="318"/>
        <item x="448"/>
        <item x="310"/>
        <item x="246"/>
        <item x="598"/>
        <item x="380"/>
        <item x="897"/>
        <item x="337"/>
        <item x="592"/>
        <item x="1032"/>
        <item x="449"/>
        <item x="694"/>
        <item x="602"/>
        <item x="856"/>
        <item x="657"/>
        <item x="865"/>
        <item x="1030"/>
        <item x="873"/>
        <item x="671"/>
        <item x="274"/>
        <item x="753"/>
        <item x="789"/>
        <item x="255"/>
        <item x="704"/>
        <item x="693"/>
        <item x="1081"/>
        <item x="1153"/>
        <item x="1093"/>
        <item x="852"/>
        <item x="309"/>
        <item x="480"/>
        <item x="245"/>
        <item x="1116"/>
        <item x="489"/>
        <item x="1210"/>
        <item x="86"/>
        <item x="95"/>
        <item x="1151"/>
        <item x="1158"/>
        <item x="262"/>
        <item x="1168"/>
        <item x="1221"/>
        <item x="108"/>
        <item x="116"/>
        <item x="620"/>
        <item x="305"/>
        <item x="1202"/>
        <item x="646"/>
        <item x="737"/>
        <item x="577"/>
        <item x="655"/>
        <item x="997"/>
        <item x="807"/>
        <item x="1082"/>
        <item x="677"/>
        <item x="1206"/>
        <item x="750"/>
        <item x="382"/>
        <item x="585"/>
        <item x="1011"/>
        <item x="722"/>
        <item x="987"/>
        <item x="955"/>
        <item x="666"/>
        <item x="437"/>
        <item x="746"/>
        <item x="67"/>
        <item x="89"/>
        <item x="100"/>
        <item x="77"/>
        <item x="811"/>
        <item x="637"/>
        <item x="572"/>
        <item x="627"/>
        <item x="836"/>
        <item x="938"/>
        <item x="202"/>
        <item x="982"/>
        <item x="949"/>
        <item x="582"/>
        <item x="971"/>
        <item x="939"/>
        <item x="993"/>
        <item x="988"/>
        <item x="665"/>
        <item x="959"/>
        <item x="954"/>
        <item x="682"/>
        <item x="676"/>
        <item x="22"/>
        <item x="818"/>
        <item x="812"/>
        <item x="823"/>
        <item x="1225"/>
        <item x="813"/>
        <item x="824"/>
        <item x="819"/>
        <item x="315"/>
        <item x="306"/>
        <item x="27"/>
        <item x="34"/>
        <item x="981"/>
        <item x="296"/>
        <item x="1222"/>
        <item x="335"/>
        <item x="934"/>
        <item x="1071"/>
        <item x="943"/>
        <item x="615"/>
        <item x="827"/>
        <item x="643"/>
        <item x="1191"/>
        <item x="325"/>
        <item x="1086"/>
        <item x="1117"/>
        <item x="165"/>
        <item x="1130"/>
        <item x="307"/>
        <item x="571"/>
        <item x="314"/>
        <item x="172"/>
        <item x="316"/>
        <item x="600"/>
        <item x="149"/>
        <item x="1067"/>
        <item x="702"/>
        <item x="851"/>
        <item x="323"/>
        <item x="430"/>
        <item x="930"/>
        <item x="721"/>
        <item x="718"/>
        <item x="728"/>
        <item x="82"/>
        <item x="967"/>
        <item x="825"/>
        <item x="352"/>
        <item x="837"/>
        <item x="1020"/>
        <item x="581"/>
        <item x="570"/>
        <item x="831"/>
        <item x="612"/>
        <item x="364"/>
        <item x="639"/>
        <item x="632"/>
        <item x="1170"/>
        <item x="1019"/>
        <item x="968"/>
        <item x="343"/>
        <item x="545"/>
        <item x="1156"/>
        <item x="1090"/>
        <item x="1148"/>
        <item x="66"/>
        <item x="953"/>
        <item x="583"/>
        <item x="1034"/>
        <item x="1078"/>
        <item x="767"/>
        <item x="1094"/>
        <item x="269"/>
        <item x="287"/>
        <item x="1126"/>
        <item x="227"/>
        <item x="680"/>
        <item x="266"/>
        <item x="257"/>
        <item x="842"/>
        <item x="1144"/>
        <item x="455"/>
        <item x="239"/>
        <item x="293"/>
        <item x="142"/>
        <item x="564"/>
        <item x="1154"/>
        <item x="496"/>
        <item x="251"/>
        <item x="1218"/>
        <item x="838"/>
        <item x="906"/>
        <item x="358"/>
        <item x="515"/>
        <item x="464"/>
        <item x="532"/>
        <item x="276"/>
        <item x="401"/>
        <item x="367"/>
        <item x="882"/>
        <item x="403"/>
        <item x="122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4">
        <item x="24"/>
        <item x="27"/>
        <item x="68"/>
        <item x="2"/>
        <item x="67"/>
        <item x="47"/>
        <item x="51"/>
        <item x="19"/>
        <item x="23"/>
        <item x="34"/>
        <item x="39"/>
        <item x="65"/>
        <item x="36"/>
        <item x="44"/>
        <item x="43"/>
        <item x="6"/>
        <item x="72"/>
        <item x="22"/>
        <item x="60"/>
        <item x="58"/>
        <item x="45"/>
        <item x="54"/>
        <item x="66"/>
        <item x="15"/>
        <item x="37"/>
        <item x="49"/>
        <item x="26"/>
        <item x="42"/>
        <item x="18"/>
        <item x="3"/>
        <item x="32"/>
        <item x="40"/>
        <item x="1"/>
        <item x="13"/>
        <item x="48"/>
        <item x="35"/>
        <item x="14"/>
        <item x="10"/>
        <item x="31"/>
        <item x="9"/>
        <item x="0"/>
        <item x="20"/>
        <item x="4"/>
        <item x="5"/>
        <item x="11"/>
        <item x="38"/>
        <item x="53"/>
        <item x="7"/>
        <item x="62"/>
        <item x="56"/>
        <item x="28"/>
        <item x="69"/>
        <item x="25"/>
        <item x="71"/>
        <item x="12"/>
        <item x="52"/>
        <item x="59"/>
        <item x="33"/>
        <item x="63"/>
        <item x="41"/>
        <item x="70"/>
        <item x="17"/>
        <item x="29"/>
        <item x="30"/>
        <item x="50"/>
        <item x="61"/>
        <item x="57"/>
        <item x="16"/>
        <item x="64"/>
        <item x="8"/>
        <item x="21"/>
        <item x="46"/>
        <item x="55"/>
        <item x="7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7">
        <item x="10"/>
        <item x="2"/>
        <item x="12"/>
        <item x="0"/>
        <item x="1"/>
        <item x="3"/>
        <item x="9"/>
        <item x="4"/>
        <item x="6"/>
        <item x="7"/>
        <item x="15"/>
        <item x="5"/>
        <item x="11"/>
        <item x="14"/>
        <item x="13"/>
        <item x="8"/>
        <item x="16"/>
      </items>
      <extLst>
        <ext xmlns:x14="http://schemas.microsoft.com/office/spreadsheetml/2009/9/main" uri="{2946ED86-A175-432a-8AC1-64E0C546D7DE}">
          <x14:pivotField fillDownLabels="1"/>
        </ext>
      </extLst>
    </pivotField>
    <pivotField axis="axisRow" compact="0" outline="0" showAll="0" defaultSubtotal="0">
      <items count="7">
        <item x="5"/>
        <item x="1"/>
        <item x="3"/>
        <item x="2"/>
        <item x="4"/>
        <item x="0"/>
        <item x="6"/>
      </items>
      <extLst>
        <ext xmlns:x14="http://schemas.microsoft.com/office/spreadsheetml/2009/9/main" uri="{2946ED86-A175-432a-8AC1-64E0C546D7DE}">
          <x14:pivotField fillDownLabels="1"/>
        </ext>
      </extLst>
    </pivotField>
    <pivotField axis="axisRow" compact="0" outline="0" showAll="0" defaultSubtotal="0">
      <items count="260">
        <item x="119"/>
        <item x="159"/>
        <item x="93"/>
        <item x="45"/>
        <item x="256"/>
        <item x="90"/>
        <item x="133"/>
        <item x="162"/>
        <item x="49"/>
        <item x="56"/>
        <item x="165"/>
        <item x="225"/>
        <item x="72"/>
        <item x="134"/>
        <item x="124"/>
        <item x="148"/>
        <item x="106"/>
        <item x="33"/>
        <item x="50"/>
        <item x="19"/>
        <item x="24"/>
        <item x="40"/>
        <item x="109"/>
        <item x="154"/>
        <item x="212"/>
        <item x="23"/>
        <item x="81"/>
        <item x="223"/>
        <item x="250"/>
        <item x="39"/>
        <item x="234"/>
        <item x="237"/>
        <item x="222"/>
        <item x="205"/>
        <item x="166"/>
        <item x="156"/>
        <item x="95"/>
        <item x="69"/>
        <item x="173"/>
        <item x="79"/>
        <item x="203"/>
        <item x="211"/>
        <item x="150"/>
        <item x="1"/>
        <item x="238"/>
        <item x="202"/>
        <item x="207"/>
        <item x="242"/>
        <item x="104"/>
        <item x="5"/>
        <item x="192"/>
        <item x="138"/>
        <item x="164"/>
        <item x="126"/>
        <item x="121"/>
        <item x="89"/>
        <item x="65"/>
        <item x="17"/>
        <item x="22"/>
        <item x="188"/>
        <item x="29"/>
        <item x="186"/>
        <item x="230"/>
        <item x="98"/>
        <item x="215"/>
        <item x="4"/>
        <item x="2"/>
        <item x="244"/>
        <item x="3"/>
        <item x="213"/>
        <item x="6"/>
        <item x="185"/>
        <item x="209"/>
        <item x="253"/>
        <item x="239"/>
        <item x="255"/>
        <item x="110"/>
        <item x="191"/>
        <item x="34"/>
        <item x="51"/>
        <item x="174"/>
        <item x="171"/>
        <item x="18"/>
        <item x="75"/>
        <item x="43"/>
        <item x="145"/>
        <item x="132"/>
        <item x="172"/>
        <item x="142"/>
        <item x="54"/>
        <item x="31"/>
        <item x="96"/>
        <item x="76"/>
        <item x="178"/>
        <item x="77"/>
        <item x="94"/>
        <item x="131"/>
        <item x="115"/>
        <item x="48"/>
        <item x="170"/>
        <item x="246"/>
        <item x="199"/>
        <item x="218"/>
        <item x="187"/>
        <item x="7"/>
        <item x="135"/>
        <item x="123"/>
        <item x="179"/>
        <item x="200"/>
        <item x="87"/>
        <item x="47"/>
        <item x="27"/>
        <item x="66"/>
        <item x="158"/>
        <item x="224"/>
        <item x="11"/>
        <item x="216"/>
        <item x="167"/>
        <item x="214"/>
        <item x="8"/>
        <item x="249"/>
        <item x="254"/>
        <item x="112"/>
        <item x="113"/>
        <item x="88"/>
        <item x="63"/>
        <item x="68"/>
        <item x="111"/>
        <item x="73"/>
        <item x="140"/>
        <item x="105"/>
        <item x="151"/>
        <item x="194"/>
        <item x="184"/>
        <item x="80"/>
        <item x="74"/>
        <item x="53"/>
        <item x="20"/>
        <item x="26"/>
        <item x="38"/>
        <item x="180"/>
        <item x="153"/>
        <item x="100"/>
        <item x="258"/>
        <item x="235"/>
        <item x="236"/>
        <item x="15"/>
        <item x="10"/>
        <item x="37"/>
        <item x="195"/>
        <item x="155"/>
        <item x="169"/>
        <item x="143"/>
        <item x="67"/>
        <item x="85"/>
        <item x="28"/>
        <item x="201"/>
        <item x="14"/>
        <item x="204"/>
        <item x="9"/>
        <item x="141"/>
        <item x="116"/>
        <item x="46"/>
        <item x="52"/>
        <item x="117"/>
        <item x="118"/>
        <item x="137"/>
        <item x="189"/>
        <item x="252"/>
        <item x="71"/>
        <item x="64"/>
        <item x="177"/>
        <item x="83"/>
        <item x="245"/>
        <item x="190"/>
        <item x="136"/>
        <item x="60"/>
        <item x="231"/>
        <item x="16"/>
        <item x="13"/>
        <item x="247"/>
        <item x="127"/>
        <item x="175"/>
        <item x="125"/>
        <item x="122"/>
        <item x="92"/>
        <item x="25"/>
        <item x="57"/>
        <item x="183"/>
        <item x="108"/>
        <item x="176"/>
        <item x="226"/>
        <item x="21"/>
        <item x="61"/>
        <item x="103"/>
        <item x="198"/>
        <item x="101"/>
        <item x="243"/>
        <item x="248"/>
        <item x="206"/>
        <item x="241"/>
        <item x="107"/>
        <item x="128"/>
        <item x="44"/>
        <item x="55"/>
        <item x="97"/>
        <item x="99"/>
        <item x="149"/>
        <item x="193"/>
        <item x="227"/>
        <item x="232"/>
        <item x="86"/>
        <item x="78"/>
        <item x="144"/>
        <item x="157"/>
        <item x="220"/>
        <item x="70"/>
        <item x="219"/>
        <item x="161"/>
        <item x="147"/>
        <item x="62"/>
        <item x="35"/>
        <item x="41"/>
        <item x="259"/>
        <item x="210"/>
        <item x="196"/>
        <item x="42"/>
        <item x="120"/>
        <item x="160"/>
        <item x="91"/>
        <item x="182"/>
        <item x="257"/>
        <item x="163"/>
        <item x="197"/>
        <item x="82"/>
        <item x="240"/>
        <item x="0"/>
        <item x="229"/>
        <item x="208"/>
        <item x="139"/>
        <item x="114"/>
        <item x="58"/>
        <item x="12"/>
        <item x="36"/>
        <item x="228"/>
        <item x="130"/>
        <item x="233"/>
        <item x="84"/>
        <item x="152"/>
        <item x="221"/>
        <item x="30"/>
        <item x="146"/>
        <item x="129"/>
        <item x="102"/>
        <item x="217"/>
        <item x="168"/>
        <item x="251"/>
        <item x="181"/>
        <item x="32"/>
        <item x="59"/>
      </items>
      <extLst>
        <ext xmlns:x14="http://schemas.microsoft.com/office/spreadsheetml/2009/9/main" uri="{2946ED86-A175-432a-8AC1-64E0C546D7DE}">
          <x14:pivotField fillDownLabels="1"/>
        </ext>
      </extLst>
    </pivotField>
  </pivotFields>
  <rowFields count="6">
    <field x="0"/>
    <field x="13"/>
    <field x="12"/>
    <field x="10"/>
    <field x="14"/>
    <field x="4"/>
  </rowFields>
  <rowItems count="1792">
    <i>
      <x/>
      <x v="1"/>
      <x v="4"/>
      <x v="32"/>
      <x v="70"/>
      <x v="897"/>
    </i>
    <i r="4">
      <x v="104"/>
      <x v="898"/>
    </i>
    <i r="4">
      <x v="115"/>
      <x v="821"/>
    </i>
    <i r="4">
      <x v="119"/>
      <x v="801"/>
    </i>
    <i r="5">
      <x v="858"/>
    </i>
    <i r="4">
      <x v="146"/>
      <x v="865"/>
    </i>
    <i r="4">
      <x v="147"/>
      <x v="813"/>
    </i>
    <i r="4">
      <x v="157"/>
      <x v="864"/>
    </i>
    <i r="4">
      <x v="159"/>
      <x v="811"/>
    </i>
    <i r="4">
      <x v="178"/>
      <x v="866"/>
    </i>
    <i r="4">
      <x v="179"/>
      <x v="892"/>
    </i>
    <i r="4">
      <x v="242"/>
      <x v="823"/>
    </i>
    <i r="1">
      <x v="5"/>
      <x v="3"/>
      <x v="40"/>
      <x v="43"/>
      <x v="977"/>
    </i>
    <i r="4">
      <x v="49"/>
      <x v="1009"/>
    </i>
    <i r="4">
      <x v="65"/>
      <x v="968"/>
    </i>
    <i r="4">
      <x v="66"/>
      <x v="1000"/>
    </i>
    <i r="4">
      <x v="68"/>
      <x v="1017"/>
    </i>
    <i r="4">
      <x v="236"/>
      <x v="1014"/>
    </i>
    <i>
      <x v="1"/>
      <x v="1"/>
      <x v="7"/>
      <x v="42"/>
      <x v="19"/>
      <x v="290"/>
    </i>
    <i r="3">
      <x v="43"/>
      <x v="137"/>
      <x v="870"/>
    </i>
    <i r="1">
      <x v="2"/>
      <x v="5"/>
      <x v="29"/>
      <x v="82"/>
      <x v="152"/>
    </i>
    <i r="1">
      <x v="3"/>
      <x v="1"/>
      <x v="3"/>
      <x v="57"/>
      <x v="444"/>
    </i>
    <i r="1">
      <x v="4"/>
      <x v="11"/>
      <x v="15"/>
      <x v="192"/>
      <x v="1125"/>
    </i>
    <i>
      <x v="2"/>
      <x v="1"/>
      <x v="7"/>
      <x v="42"/>
      <x v="58"/>
      <x v="295"/>
    </i>
    <i r="3">
      <x v="43"/>
      <x v="19"/>
      <x v="883"/>
    </i>
    <i r="3">
      <x v="47"/>
      <x v="19"/>
      <x v="21"/>
    </i>
    <i r="1">
      <x v="3"/>
      <x v="1"/>
      <x v="3"/>
      <x v="57"/>
      <x v="446"/>
    </i>
    <i r="1">
      <x v="4"/>
      <x v="11"/>
      <x v="15"/>
      <x v="25"/>
      <x v="1135"/>
    </i>
    <i>
      <x v="3"/>
      <x v="1"/>
      <x v="4"/>
      <x v="32"/>
      <x v="138"/>
      <x v="904"/>
    </i>
    <i r="2">
      <x v="7"/>
      <x v="42"/>
      <x v="111"/>
      <x v="12"/>
    </i>
    <i r="3">
      <x v="43"/>
      <x v="155"/>
      <x v="877"/>
    </i>
    <i r="1">
      <x v="2"/>
      <x v="5"/>
      <x v="29"/>
      <x v="186"/>
      <x v="153"/>
    </i>
    <i r="1">
      <x v="3"/>
      <x v="1"/>
      <x v="3"/>
      <x v="20"/>
      <x v="445"/>
    </i>
    <i r="1">
      <x v="4"/>
      <x v="11"/>
      <x v="15"/>
      <x v="60"/>
      <x v="1136"/>
    </i>
    <i r="1">
      <x v="5"/>
      <x v="3"/>
      <x v="40"/>
      <x v="25"/>
      <x v="1016"/>
    </i>
    <i>
      <x v="4"/>
      <x v="1"/>
      <x v="4"/>
      <x v="32"/>
      <x v="221"/>
      <x v="850"/>
    </i>
    <i r="4">
      <x v="243"/>
      <x v="608"/>
    </i>
    <i r="1">
      <x v="2"/>
      <x v="5"/>
      <x v="44"/>
      <x v="78"/>
      <x v="508"/>
    </i>
    <i r="1">
      <x v="3"/>
      <x v="8"/>
      <x v="69"/>
      <x v="90"/>
      <x v="197"/>
    </i>
    <i r="1">
      <x v="5"/>
      <x v="3"/>
      <x v="37"/>
      <x v="17"/>
      <x v="485"/>
    </i>
    <i r="3">
      <x v="39"/>
      <x v="258"/>
      <x v="236"/>
    </i>
    <i r="3">
      <x v="40"/>
      <x v="250"/>
      <x v="979"/>
    </i>
    <i>
      <x v="5"/>
      <x v="1"/>
      <x v="4"/>
      <x v="32"/>
      <x v="84"/>
      <x v="607"/>
    </i>
    <i r="4">
      <x v="226"/>
      <x v="851"/>
    </i>
    <i r="1">
      <x v="2"/>
      <x v="5"/>
      <x v="44"/>
      <x v="222"/>
      <x v="509"/>
    </i>
    <i r="1">
      <x v="3"/>
      <x v="8"/>
      <x v="69"/>
      <x v="139"/>
      <x v="198"/>
    </i>
    <i r="2">
      <x v="9"/>
      <x v="54"/>
      <x v="203"/>
      <x v="632"/>
    </i>
    <i r="1">
      <x v="5"/>
      <x v="3"/>
      <x v="37"/>
      <x v="21"/>
      <x v="486"/>
    </i>
    <i r="3">
      <x v="39"/>
      <x v="29"/>
      <x v="237"/>
    </i>
    <i r="3">
      <x v="40"/>
      <x v="148"/>
      <x v="978"/>
    </i>
    <i>
      <x v="6"/>
      <x v="1"/>
      <x v="4"/>
      <x v="32"/>
      <x v="3"/>
      <x v="659"/>
    </i>
    <i r="4">
      <x v="8"/>
      <x v="399"/>
    </i>
    <i r="4">
      <x v="162"/>
      <x v="397"/>
    </i>
    <i r="1">
      <x v="2"/>
      <x v="5"/>
      <x v="33"/>
      <x v="3"/>
      <x v="387"/>
    </i>
    <i r="3">
      <x v="36"/>
      <x v="186"/>
      <x v="408"/>
    </i>
    <i r="1">
      <x v="3"/>
      <x v="15"/>
      <x v="67"/>
      <x v="98"/>
      <x v="914"/>
    </i>
    <i r="1">
      <x v="4"/>
      <x v="11"/>
      <x v="23"/>
      <x v="110"/>
      <x v="1026"/>
    </i>
    <i r="1">
      <x v="5"/>
      <x v="3"/>
      <x v="37"/>
      <x v="17"/>
      <x v="403"/>
    </i>
    <i r="5">
      <x v="405"/>
    </i>
    <i>
      <x v="7"/>
      <x v="1"/>
      <x v="4"/>
      <x v="32"/>
      <x v="79"/>
      <x v="789"/>
    </i>
    <i r="4">
      <x v="163"/>
      <x v="661"/>
    </i>
    <i r="4">
      <x v="204"/>
      <x v="856"/>
    </i>
    <i r="2">
      <x v="7"/>
      <x v="7"/>
      <x v="243"/>
      <x v="528"/>
    </i>
    <i r="3">
      <x v="41"/>
      <x v="243"/>
      <x v="740"/>
    </i>
    <i r="3">
      <x v="70"/>
      <x v="79"/>
      <x v="1190"/>
    </i>
    <i r="1">
      <x v="3"/>
      <x v="6"/>
      <x v="28"/>
      <x v="79"/>
      <x v="284"/>
    </i>
    <i r="2">
      <x v="15"/>
      <x v="67"/>
      <x v="136"/>
      <x v="915"/>
    </i>
    <i r="1">
      <x v="4"/>
      <x v="11"/>
      <x v="17"/>
      <x v="89"/>
      <x v="1102"/>
    </i>
    <i r="3">
      <x v="61"/>
      <x v="90"/>
      <x v="671"/>
    </i>
    <i r="1">
      <x v="5"/>
      <x v="3"/>
      <x v="40"/>
      <x v="18"/>
      <x v="967"/>
    </i>
    <i>
      <x v="8"/>
      <x v="1"/>
      <x v="4"/>
      <x v="32"/>
      <x v="79"/>
      <x v="592"/>
    </i>
    <i r="5">
      <x v="660"/>
    </i>
    <i r="2">
      <x v="7"/>
      <x v="8"/>
      <x v="187"/>
      <x v="907"/>
    </i>
    <i r="3">
      <x v="43"/>
      <x v="187"/>
      <x v="460"/>
    </i>
    <i r="5">
      <x v="462"/>
    </i>
    <i r="1">
      <x v="3"/>
      <x v="6"/>
      <x v="28"/>
      <x v="9"/>
      <x v="283"/>
    </i>
    <i r="2">
      <x v="15"/>
      <x v="67"/>
      <x v="136"/>
      <x v="915"/>
    </i>
    <i r="1">
      <x v="4"/>
      <x v="11"/>
      <x v="17"/>
      <x v="241"/>
      <x v="1105"/>
    </i>
    <i r="3">
      <x v="61"/>
      <x v="18"/>
      <x v="670"/>
    </i>
    <i r="1">
      <x v="5"/>
      <x v="3"/>
      <x v="40"/>
      <x v="89"/>
      <x v="969"/>
    </i>
    <i>
      <x v="9"/>
      <x/>
      <x/>
      <x/>
      <x v="259"/>
      <x/>
    </i>
    <i>
      <x v="10"/>
      <x/>
      <x/>
      <x/>
      <x v="259"/>
      <x/>
    </i>
    <i>
      <x v="11"/>
      <x v="1"/>
      <x v="4"/>
      <x v="32"/>
      <x v="243"/>
      <x v="852"/>
    </i>
    <i r="1">
      <x v="3"/>
      <x v="1"/>
      <x v="3"/>
      <x v="186"/>
      <x v="428"/>
    </i>
    <i r="4">
      <x v="220"/>
      <x v="75"/>
    </i>
    <i r="3">
      <x v="52"/>
      <x v="89"/>
      <x v="2"/>
    </i>
    <i r="2">
      <x v="6"/>
      <x v="28"/>
      <x v="125"/>
      <x v="285"/>
    </i>
    <i r="2">
      <x v="8"/>
      <x v="69"/>
      <x v="193"/>
      <x v="1169"/>
    </i>
    <i r="2">
      <x v="9"/>
      <x v="54"/>
      <x v="19"/>
      <x v="795"/>
    </i>
    <i r="2">
      <x v="15"/>
      <x v="67"/>
      <x v="136"/>
      <x v="915"/>
    </i>
    <i r="1">
      <x v="4"/>
      <x v="11"/>
      <x v="17"/>
      <x v="192"/>
      <x v="1103"/>
    </i>
    <i r="3">
      <x v="26"/>
      <x v="89"/>
      <x v="1071"/>
    </i>
    <i r="1">
      <x v="5"/>
      <x v="3"/>
      <x v="40"/>
      <x v="89"/>
      <x v="1001"/>
    </i>
    <i r="4">
      <x v="176"/>
      <x v="971"/>
    </i>
    <i>
      <x v="12"/>
      <x v="1"/>
      <x v="4"/>
      <x v="32"/>
      <x v="20"/>
      <x v="849"/>
    </i>
    <i r="2">
      <x v="7"/>
      <x v="42"/>
      <x v="37"/>
      <x v="19"/>
    </i>
    <i r="3">
      <x v="43"/>
      <x v="186"/>
      <x v="887"/>
    </i>
    <i r="1">
      <x v="3"/>
      <x v="1"/>
      <x v="1"/>
      <x v="169"/>
      <x v="6"/>
    </i>
    <i r="3">
      <x v="3"/>
      <x v="112"/>
      <x v="74"/>
    </i>
    <i r="3">
      <x v="50"/>
      <x v="12"/>
      <x v="199"/>
    </i>
    <i r="4">
      <x v="128"/>
      <x v="200"/>
    </i>
    <i r="3">
      <x v="52"/>
      <x v="56"/>
      <x v="1"/>
    </i>
    <i r="2">
      <x v="6"/>
      <x v="28"/>
      <x v="126"/>
      <x v="286"/>
    </i>
    <i r="2">
      <x v="15"/>
      <x v="67"/>
      <x v="136"/>
      <x v="915"/>
    </i>
    <i r="1">
      <x v="4"/>
      <x v="11"/>
      <x v="17"/>
      <x v="216"/>
      <x v="1104"/>
    </i>
    <i r="3">
      <x v="26"/>
      <x v="153"/>
      <x v="1072"/>
    </i>
    <i r="1">
      <x v="5"/>
      <x v="3"/>
      <x v="40"/>
      <x v="170"/>
      <x v="970"/>
    </i>
    <i r="4">
      <x v="193"/>
      <x v="1010"/>
    </i>
    <i>
      <x v="13"/>
      <x v="1"/>
      <x v="4"/>
      <x v="32"/>
      <x v="39"/>
      <x v="803"/>
    </i>
    <i r="4">
      <x v="92"/>
      <x v="838"/>
    </i>
    <i r="1">
      <x v="3"/>
      <x v="1"/>
      <x v="3"/>
      <x v="19"/>
      <x v="412"/>
    </i>
    <i r="2">
      <x v="6"/>
      <x v="28"/>
      <x v="83"/>
      <x v="271"/>
    </i>
    <i r="1">
      <x v="4"/>
      <x v="11"/>
      <x v="15"/>
      <x v="94"/>
      <x v="1078"/>
    </i>
    <i r="1">
      <x v="5"/>
      <x v="3"/>
      <x v="39"/>
      <x v="135"/>
      <x v="228"/>
    </i>
    <i r="4">
      <x v="212"/>
      <x v="217"/>
    </i>
    <i r="3">
      <x v="40"/>
      <x v="134"/>
      <x v="980"/>
    </i>
    <i>
      <x v="14"/>
      <x v="1"/>
      <x v="4"/>
      <x v="32"/>
      <x v="39"/>
      <x v="830"/>
    </i>
    <i r="4">
      <x v="187"/>
      <x v="806"/>
    </i>
    <i r="1">
      <x v="3"/>
      <x v="1"/>
      <x v="3"/>
      <x v="186"/>
      <x v="422"/>
    </i>
    <i r="2">
      <x v="6"/>
      <x v="28"/>
      <x v="82"/>
      <x v="270"/>
    </i>
    <i r="1">
      <x v="4"/>
      <x v="11"/>
      <x v="15"/>
      <x v="234"/>
      <x v="1079"/>
    </i>
    <i r="1">
      <x v="5"/>
      <x v="3"/>
      <x v="40"/>
      <x v="26"/>
      <x v="937"/>
    </i>
    <i>
      <x v="15"/>
      <x v="1"/>
      <x v="4"/>
      <x v="32"/>
      <x v="19"/>
      <x v="634"/>
    </i>
    <i r="2">
      <x v="7"/>
      <x v="8"/>
      <x v="20"/>
      <x v="171"/>
    </i>
    <i r="3">
      <x v="47"/>
      <x v="19"/>
      <x v="167"/>
    </i>
    <i r="1">
      <x v="2"/>
      <x v="5"/>
      <x v="29"/>
      <x v="163"/>
      <x v="149"/>
    </i>
    <i r="3">
      <x v="44"/>
      <x v="186"/>
      <x v="503"/>
    </i>
    <i r="1">
      <x v="3"/>
      <x v="1"/>
      <x v="3"/>
      <x v="138"/>
      <x v="64"/>
    </i>
    <i r="2">
      <x v="9"/>
      <x v="54"/>
      <x v="92"/>
      <x v="571"/>
    </i>
    <i r="2">
      <x v="15"/>
      <x v="67"/>
      <x v="136"/>
      <x v="913"/>
    </i>
    <i r="1">
      <x v="4"/>
      <x v="11"/>
      <x v="15"/>
      <x v="172"/>
      <x v="116"/>
    </i>
    <i r="3">
      <x v="62"/>
      <x v="60"/>
      <x v="303"/>
    </i>
    <i r="1">
      <x v="5"/>
      <x v="3"/>
      <x v="40"/>
      <x v="90"/>
      <x v="945"/>
    </i>
    <i>
      <x v="16"/>
      <x/>
      <x/>
      <x v="57"/>
      <x v="94"/>
      <x v="536"/>
    </i>
    <i r="1">
      <x v="1"/>
      <x v="2"/>
      <x v="30"/>
      <x v="20"/>
      <x v="867"/>
    </i>
    <i r="2">
      <x v="4"/>
      <x v="32"/>
      <x v="20"/>
      <x v="596"/>
    </i>
    <i r="4">
      <x v="137"/>
      <x v="1209"/>
    </i>
    <i r="2">
      <x v="7"/>
      <x v="8"/>
      <x v="58"/>
      <x v="447"/>
    </i>
    <i r="3">
      <x v="9"/>
      <x v="19"/>
      <x v="164"/>
    </i>
    <i r="3">
      <x v="35"/>
      <x v="20"/>
      <x v="42"/>
    </i>
    <i r="1">
      <x v="2"/>
      <x v="5"/>
      <x v="29"/>
      <x v="20"/>
      <x v="768"/>
    </i>
    <i r="4">
      <x v="92"/>
      <x v="88"/>
    </i>
    <i r="4">
      <x v="187"/>
      <x v="215"/>
    </i>
    <i r="1">
      <x v="3"/>
      <x v="1"/>
      <x v="3"/>
      <x v="138"/>
      <x v="64"/>
    </i>
    <i r="2">
      <x v="6"/>
      <x v="28"/>
      <x v="125"/>
      <x v="272"/>
    </i>
    <i r="2">
      <x v="9"/>
      <x v="54"/>
      <x v="92"/>
      <x v="582"/>
    </i>
    <i r="2">
      <x v="15"/>
      <x v="67"/>
      <x v="136"/>
      <x v="913"/>
    </i>
    <i r="1">
      <x v="4"/>
      <x v="11"/>
      <x v="15"/>
      <x v="94"/>
      <x v="515"/>
    </i>
    <i r="3">
      <x v="62"/>
      <x v="25"/>
      <x v="297"/>
    </i>
    <i r="4">
      <x v="94"/>
      <x v="535"/>
    </i>
    <i r="1">
      <x v="5"/>
      <x v="3"/>
      <x v="38"/>
      <x v="25"/>
      <x v="79"/>
    </i>
    <i r="4">
      <x v="26"/>
      <x v="83"/>
    </i>
    <i r="4">
      <x v="247"/>
      <x v="765"/>
    </i>
    <i r="3">
      <x v="40"/>
      <x v="90"/>
      <x v="945"/>
    </i>
    <i r="2">
      <x v="12"/>
      <x v="63"/>
      <x v="247"/>
      <x v="473"/>
    </i>
    <i>
      <x v="17"/>
      <x/>
      <x/>
      <x/>
      <x v="259"/>
      <x/>
    </i>
    <i>
      <x v="18"/>
      <x/>
      <x/>
      <x/>
      <x v="259"/>
      <x/>
    </i>
    <i>
      <x v="19"/>
      <x v="1"/>
      <x v="4"/>
      <x v="32"/>
      <x v="163"/>
      <x v="652"/>
    </i>
    <i r="2">
      <x v="7"/>
      <x v="31"/>
      <x v="163"/>
      <x v="330"/>
    </i>
    <i r="3">
      <x v="42"/>
      <x v="187"/>
      <x v="454"/>
    </i>
    <i r="3">
      <x v="47"/>
      <x v="187"/>
      <x v="168"/>
    </i>
    <i r="3">
      <x v="59"/>
      <x v="126"/>
      <x v="757"/>
    </i>
    <i r="1">
      <x v="3"/>
      <x v="1"/>
      <x v="3"/>
      <x v="58"/>
      <x v="181"/>
    </i>
    <i r="4">
      <x v="92"/>
      <x v="58"/>
    </i>
    <i r="2">
      <x v="9"/>
      <x v="54"/>
      <x v="20"/>
      <x v="574"/>
    </i>
    <i r="2">
      <x v="15"/>
      <x v="67"/>
      <x v="136"/>
      <x v="913"/>
    </i>
    <i r="1">
      <x v="4"/>
      <x v="11"/>
      <x v="15"/>
      <x v="192"/>
      <x v="118"/>
    </i>
    <i r="1">
      <x v="5"/>
      <x v="3"/>
      <x v="38"/>
      <x v="18"/>
      <x v="142"/>
    </i>
    <i r="4">
      <x v="89"/>
      <x v="140"/>
    </i>
    <i>
      <x v="20"/>
      <x v="1"/>
      <x v="4"/>
      <x v="32"/>
      <x v="20"/>
      <x v="639"/>
    </i>
    <i r="4">
      <x v="37"/>
      <x v="587"/>
    </i>
    <i r="2">
      <x v="7"/>
      <x v="8"/>
      <x v="20"/>
      <x v="39"/>
    </i>
    <i r="4">
      <x v="58"/>
      <x v="906"/>
    </i>
    <i r="1">
      <x v="2"/>
      <x v="5"/>
      <x v="27"/>
      <x v="79"/>
      <x v="30"/>
    </i>
    <i r="3">
      <x v="44"/>
      <x v="125"/>
      <x v="501"/>
    </i>
    <i r="1">
      <x v="3"/>
      <x v="1"/>
      <x v="3"/>
      <x v="92"/>
      <x v="58"/>
    </i>
    <i r="5">
      <x v="182"/>
    </i>
    <i r="4">
      <x v="203"/>
      <x v="425"/>
    </i>
    <i r="2">
      <x v="9"/>
      <x v="54"/>
      <x v="187"/>
      <x v="564"/>
    </i>
    <i r="2">
      <x v="15"/>
      <x v="67"/>
      <x v="136"/>
      <x v="913"/>
    </i>
    <i r="1">
      <x v="4"/>
      <x v="11"/>
      <x v="17"/>
      <x v="216"/>
      <x v="1112"/>
    </i>
    <i r="1">
      <x v="5"/>
      <x v="3"/>
      <x v="40"/>
      <x v="90"/>
      <x v="945"/>
    </i>
    <i>
      <x v="21"/>
      <x v="1"/>
      <x v="7"/>
      <x v="43"/>
      <x v="186"/>
      <x v="882"/>
    </i>
    <i r="1">
      <x v="3"/>
      <x v="1"/>
      <x v="3"/>
      <x v="19"/>
      <x v="179"/>
    </i>
    <i r="4">
      <x v="20"/>
      <x v="51"/>
    </i>
    <i r="2">
      <x v="9"/>
      <x v="54"/>
      <x v="36"/>
      <x v="576"/>
    </i>
    <i r="2">
      <x v="15"/>
      <x v="67"/>
      <x v="136"/>
      <x v="913"/>
    </i>
    <i r="1">
      <x v="4"/>
      <x v="11"/>
      <x v="15"/>
      <x v="26"/>
      <x v="110"/>
    </i>
    <i r="4">
      <x v="95"/>
      <x v="129"/>
    </i>
    <i r="1">
      <x v="5"/>
      <x v="3"/>
      <x v="38"/>
      <x v="2"/>
      <x v="139"/>
    </i>
    <i r="4">
      <x v="18"/>
      <x v="142"/>
    </i>
    <i>
      <x v="22"/>
      <x v="1"/>
      <x v="4"/>
      <x v="32"/>
      <x v="57"/>
      <x v="131"/>
    </i>
    <i r="2">
      <x v="7"/>
      <x v="8"/>
      <x v="186"/>
      <x v="762"/>
    </i>
    <i r="4">
      <x v="205"/>
      <x v="449"/>
    </i>
    <i r="3">
      <x v="59"/>
      <x v="203"/>
      <x v="758"/>
    </i>
    <i r="1">
      <x v="3"/>
      <x v="1"/>
      <x v="3"/>
      <x v="19"/>
      <x v="179"/>
    </i>
    <i r="4">
      <x v="91"/>
      <x v="57"/>
    </i>
    <i r="2">
      <x v="15"/>
      <x v="67"/>
      <x v="136"/>
      <x v="913"/>
    </i>
    <i r="1">
      <x v="4"/>
      <x v="11"/>
      <x v="15"/>
      <x v="95"/>
      <x v="113"/>
    </i>
    <i r="1">
      <x v="5"/>
      <x v="3"/>
      <x v="38"/>
      <x v="89"/>
      <x v="140"/>
    </i>
    <i r="4">
      <x v="90"/>
      <x v="143"/>
    </i>
    <i>
      <x v="23"/>
      <x v="1"/>
      <x v="4"/>
      <x v="32"/>
      <x v="63"/>
      <x v="561"/>
    </i>
    <i r="4">
      <x v="92"/>
      <x v="132"/>
    </i>
    <i r="2">
      <x v="7"/>
      <x v="8"/>
      <x v="187"/>
      <x v="763"/>
    </i>
    <i r="4">
      <x v="206"/>
      <x v="450"/>
    </i>
    <i r="1">
      <x v="2"/>
      <x v="5"/>
      <x v="29"/>
      <x v="79"/>
      <x v="146"/>
    </i>
    <i r="1">
      <x v="3"/>
      <x v="1"/>
      <x v="3"/>
      <x v="20"/>
      <x v="180"/>
    </i>
    <i r="4">
      <x v="92"/>
      <x v="58"/>
    </i>
    <i r="2">
      <x v="9"/>
      <x v="54"/>
      <x v="186"/>
      <x v="562"/>
    </i>
    <i r="2">
      <x v="15"/>
      <x v="67"/>
      <x v="136"/>
      <x v="913"/>
    </i>
    <i r="1">
      <x v="4"/>
      <x v="11"/>
      <x v="15"/>
      <x v="142"/>
      <x v="115"/>
    </i>
    <i r="1">
      <x v="5"/>
      <x v="3"/>
      <x v="38"/>
      <x v="90"/>
      <x v="141"/>
    </i>
    <i>
      <x v="24"/>
      <x v="1"/>
      <x v="4"/>
      <x v="32"/>
      <x v="187"/>
      <x v="547"/>
    </i>
    <i r="4">
      <x v="243"/>
      <x v="847"/>
    </i>
    <i r="1">
      <x v="2"/>
      <x v="5"/>
      <x v="29"/>
      <x v="79"/>
      <x v="146"/>
    </i>
    <i r="4">
      <x v="243"/>
      <x v="698"/>
    </i>
    <i r="1">
      <x v="3"/>
      <x v="1"/>
      <x v="3"/>
      <x v="20"/>
      <x v="175"/>
    </i>
    <i r="4">
      <x v="203"/>
      <x v="425"/>
    </i>
    <i r="2">
      <x v="6"/>
      <x v="28"/>
      <x v="125"/>
      <x v="272"/>
    </i>
    <i r="2">
      <x v="8"/>
      <x v="69"/>
      <x v="90"/>
      <x v="1159"/>
    </i>
    <i r="2">
      <x v="9"/>
      <x v="54"/>
      <x v="92"/>
      <x v="579"/>
    </i>
    <i r="1">
      <x v="4"/>
      <x v="11"/>
      <x v="12"/>
      <x v="211"/>
      <x v="410"/>
    </i>
    <i r="3">
      <x v="15"/>
      <x v="60"/>
      <x v="111"/>
    </i>
    <i r="3">
      <x v="62"/>
      <x v="247"/>
      <x v="318"/>
    </i>
    <i r="1">
      <x v="5"/>
      <x v="3"/>
      <x v="38"/>
      <x v="247"/>
      <x v="684"/>
    </i>
    <i r="3">
      <x v="40"/>
      <x v="154"/>
      <x v="951"/>
    </i>
    <i>
      <x v="25"/>
      <x v="1"/>
      <x v="4"/>
      <x v="32"/>
      <x v="187"/>
      <x v="854"/>
    </i>
    <i r="2">
      <x v="14"/>
      <x v="45"/>
      <x v="229"/>
      <x v="436"/>
    </i>
    <i r="1">
      <x v="2"/>
      <x v="5"/>
      <x v="29"/>
      <x v="5"/>
      <x v="144"/>
    </i>
    <i r="1">
      <x v="3"/>
      <x v="1"/>
      <x v="3"/>
      <x v="20"/>
      <x v="51"/>
    </i>
    <i r="5">
      <x v="175"/>
    </i>
    <i r="4">
      <x v="186"/>
      <x v="431"/>
    </i>
    <i r="2">
      <x v="6"/>
      <x v="28"/>
      <x v="163"/>
      <x v="276"/>
    </i>
    <i r="2">
      <x v="8"/>
      <x v="69"/>
      <x v="90"/>
      <x v="1159"/>
    </i>
    <i r="2">
      <x v="9"/>
      <x v="54"/>
      <x v="58"/>
      <x v="577"/>
    </i>
    <i r="1">
      <x v="4"/>
      <x v="11"/>
      <x v="10"/>
      <x v="25"/>
      <x v="713"/>
    </i>
    <i r="3">
      <x v="24"/>
      <x v="55"/>
      <x v="1151"/>
    </i>
    <i r="1">
      <x v="5"/>
      <x v="3"/>
      <x v="40"/>
      <x v="109"/>
      <x v="987"/>
    </i>
    <i r="4">
      <x v="124"/>
      <x v="948"/>
    </i>
    <i>
      <x v="26"/>
      <x v="1"/>
      <x v="4"/>
      <x v="32"/>
      <x v="83"/>
      <x v="837"/>
    </i>
    <i r="2">
      <x v="7"/>
      <x v="8"/>
      <x v="79"/>
      <x v="33"/>
    </i>
    <i r="3">
      <x v="42"/>
      <x v="9"/>
      <x v="7"/>
    </i>
    <i r="4">
      <x v="79"/>
      <x v="10"/>
    </i>
    <i r="3">
      <x v="43"/>
      <x v="204"/>
      <x v="158"/>
    </i>
    <i r="5">
      <x v="289"/>
    </i>
    <i r="3">
      <x v="47"/>
      <x v="9"/>
      <x v="105"/>
    </i>
    <i r="1">
      <x v="2"/>
      <x v="5"/>
      <x v="29"/>
      <x v="9"/>
      <x v="145"/>
    </i>
    <i r="1">
      <x v="3"/>
      <x v="1"/>
      <x v="3"/>
      <x v="163"/>
      <x v="890"/>
    </i>
    <i r="2">
      <x v="6"/>
      <x v="28"/>
      <x v="8"/>
      <x v="264"/>
    </i>
    <i r="2">
      <x v="8"/>
      <x v="69"/>
      <x v="18"/>
      <x v="1156"/>
    </i>
    <i r="2">
      <x v="9"/>
      <x v="54"/>
      <x v="163"/>
      <x v="572"/>
    </i>
    <i r="1">
      <x v="4"/>
      <x v="11"/>
      <x v="24"/>
      <x v="185"/>
      <x v="1032"/>
    </i>
    <i>
      <x v="27"/>
      <x v="1"/>
      <x v="4"/>
      <x v="32"/>
      <x v="19"/>
      <x v="1200"/>
    </i>
    <i r="4">
      <x v="20"/>
      <x v="130"/>
    </i>
    <i r="5">
      <x v="742"/>
    </i>
    <i r="4">
      <x v="187"/>
      <x v="654"/>
    </i>
    <i r="1">
      <x v="2"/>
      <x v="5"/>
      <x v="44"/>
      <x v="78"/>
      <x v="500"/>
    </i>
    <i r="1">
      <x v="4"/>
      <x v="11"/>
      <x v="15"/>
      <x v="192"/>
      <x v="117"/>
    </i>
    <i r="3">
      <x v="24"/>
      <x v="89"/>
      <x v="27"/>
    </i>
    <i r="1">
      <x v="5"/>
      <x v="3"/>
      <x v="40"/>
      <x v="90"/>
      <x v="945"/>
    </i>
    <i>
      <x v="28"/>
      <x/>
      <x/>
      <x v="14"/>
      <x v="25"/>
      <x v="783"/>
    </i>
    <i r="1">
      <x v="1"/>
      <x v="4"/>
      <x v="32"/>
      <x v="19"/>
      <x v="1200"/>
    </i>
    <i r="4">
      <x v="20"/>
      <x v="639"/>
    </i>
    <i r="4">
      <x v="112"/>
      <x v="779"/>
    </i>
    <i r="1">
      <x v="2"/>
      <x v="5"/>
      <x v="29"/>
      <x v="92"/>
      <x v="772"/>
    </i>
    <i r="1">
      <x v="4"/>
      <x v="11"/>
      <x v="62"/>
      <x v="25"/>
      <x v="784"/>
    </i>
    <i r="4">
      <x v="109"/>
      <x v="305"/>
    </i>
    <i r="1">
      <x v="5"/>
      <x v="3"/>
      <x v="40"/>
      <x v="90"/>
      <x v="945"/>
    </i>
    <i>
      <x v="29"/>
      <x v="1"/>
      <x v="4"/>
      <x v="32"/>
      <x v="20"/>
      <x v="639"/>
    </i>
    <i r="4">
      <x v="91"/>
      <x v="1207"/>
    </i>
    <i r="1">
      <x v="3"/>
      <x v="1"/>
      <x v="3"/>
      <x v="19"/>
      <x v="412"/>
    </i>
    <i r="2">
      <x v="6"/>
      <x v="28"/>
      <x v="125"/>
      <x v="272"/>
    </i>
    <i r="1">
      <x v="4"/>
      <x v="11"/>
      <x v="13"/>
      <x v="247"/>
      <x v="103"/>
    </i>
    <i r="1">
      <x v="5"/>
      <x v="3"/>
      <x v="40"/>
      <x v="170"/>
      <x v="954"/>
    </i>
    <i>
      <x v="30"/>
      <x v="1"/>
      <x v="4"/>
      <x v="32"/>
      <x v="92"/>
      <x v="804"/>
    </i>
    <i r="4">
      <x v="138"/>
      <x v="842"/>
    </i>
    <i r="4">
      <x v="194"/>
      <x v="1213"/>
    </i>
    <i r="2">
      <x v="7"/>
      <x v="8"/>
      <x v="92"/>
      <x v="516"/>
    </i>
    <i r="1">
      <x v="2"/>
      <x v="5"/>
      <x v="44"/>
      <x v="253"/>
      <x v="507"/>
    </i>
    <i r="1">
      <x v="3"/>
      <x v="1"/>
      <x v="3"/>
      <x v="91"/>
      <x v="417"/>
    </i>
    <i r="2">
      <x v="6"/>
      <x v="28"/>
      <x v="19"/>
      <x v="267"/>
    </i>
    <i r="2">
      <x v="8"/>
      <x v="69"/>
      <x v="192"/>
      <x v="195"/>
    </i>
    <i r="2">
      <x v="15"/>
      <x v="67"/>
      <x v="136"/>
      <x v="913"/>
    </i>
    <i r="1">
      <x v="4"/>
      <x v="11"/>
      <x v="24"/>
      <x v="196"/>
      <x v="1039"/>
    </i>
    <i r="3">
      <x v="26"/>
      <x v="142"/>
      <x v="1067"/>
    </i>
    <i r="1">
      <x v="5"/>
      <x v="3"/>
      <x v="38"/>
      <x v="142"/>
      <x v="687"/>
    </i>
    <i r="3">
      <x v="40"/>
      <x v="90"/>
      <x v="986"/>
    </i>
    <i r="4">
      <x v="229"/>
      <x v="963"/>
    </i>
    <i>
      <x v="31"/>
      <x v="1"/>
      <x v="4"/>
      <x v="32"/>
      <x v="57"/>
      <x v="1203"/>
    </i>
    <i r="4">
      <x v="58"/>
      <x v="642"/>
    </i>
    <i r="2">
      <x v="7"/>
      <x v="8"/>
      <x v="20"/>
      <x v="908"/>
    </i>
    <i r="1">
      <x v="2"/>
      <x v="5"/>
      <x v="44"/>
      <x v="186"/>
      <x v="503"/>
    </i>
    <i r="1">
      <x v="3"/>
      <x v="6"/>
      <x v="28"/>
      <x v="125"/>
      <x v="272"/>
    </i>
    <i r="2">
      <x v="9"/>
      <x v="54"/>
      <x v="20"/>
      <x v="613"/>
    </i>
    <i r="2">
      <x v="15"/>
      <x v="67"/>
      <x v="136"/>
      <x v="913"/>
    </i>
    <i r="1">
      <x v="4"/>
      <x v="11"/>
      <x v="24"/>
      <x v="169"/>
      <x v="1075"/>
    </i>
    <i r="4">
      <x v="211"/>
      <x v="28"/>
    </i>
    <i r="3">
      <x v="26"/>
      <x v="25"/>
      <x v="1058"/>
    </i>
    <i r="1">
      <x v="5"/>
      <x v="3"/>
      <x v="38"/>
      <x v="247"/>
      <x v="689"/>
    </i>
    <i r="3">
      <x v="40"/>
      <x v="135"/>
      <x v="950"/>
    </i>
    <i>
      <x v="32"/>
      <x v="1"/>
      <x v="4"/>
      <x v="32"/>
      <x v="37"/>
      <x v="1202"/>
    </i>
    <i r="4">
      <x v="57"/>
      <x v="641"/>
    </i>
    <i r="4">
      <x v="79"/>
      <x v="542"/>
    </i>
    <i r="2">
      <x v="14"/>
      <x v="71"/>
      <x v="94"/>
      <x v="1197"/>
    </i>
    <i r="1">
      <x v="2"/>
      <x v="5"/>
      <x v="29"/>
      <x v="203"/>
      <x v="696"/>
    </i>
    <i r="1">
      <x v="3"/>
      <x v="9"/>
      <x v="54"/>
      <x v="204"/>
      <x v="619"/>
    </i>
    <i r="2">
      <x v="15"/>
      <x v="67"/>
      <x v="136"/>
      <x v="913"/>
    </i>
    <i r="1">
      <x v="4"/>
      <x v="11"/>
      <x v="20"/>
      <x v="170"/>
      <x v="348"/>
    </i>
    <i r="3">
      <x v="26"/>
      <x v="135"/>
      <x v="1055"/>
    </i>
    <i r="3">
      <x v="62"/>
      <x v="48"/>
      <x v="298"/>
    </i>
    <i r="1">
      <x v="5"/>
      <x v="3"/>
      <x v="38"/>
      <x v="135"/>
      <x v="686"/>
    </i>
    <i r="3">
      <x v="40"/>
      <x v="18"/>
      <x v="982"/>
    </i>
    <i r="4">
      <x v="109"/>
      <x v="1005"/>
    </i>
    <i>
      <x v="33"/>
      <x/>
      <x/>
      <x/>
      <x v="259"/>
      <x/>
    </i>
    <i>
      <x v="34"/>
      <x/>
      <x/>
      <x/>
      <x v="259"/>
      <x/>
    </i>
    <i>
      <x v="35"/>
      <x v="1"/>
      <x v="4"/>
      <x v="32"/>
      <x v="240"/>
      <x v="658"/>
    </i>
    <i r="2">
      <x v="7"/>
      <x v="8"/>
      <x v="161"/>
      <x v="173"/>
    </i>
    <i r="4">
      <x v="164"/>
      <x v="909"/>
    </i>
    <i r="3">
      <x v="42"/>
      <x v="161"/>
      <x v="922"/>
    </i>
    <i r="1">
      <x v="2"/>
      <x v="5"/>
      <x v="27"/>
      <x v="76"/>
      <x v="106"/>
    </i>
    <i r="3">
      <x v="29"/>
      <x v="123"/>
      <x v="1021"/>
    </i>
    <i r="4">
      <x v="127"/>
      <x v="148"/>
    </i>
    <i r="3">
      <x v="44"/>
      <x v="122"/>
      <x v="501"/>
    </i>
    <i r="1">
      <x v="3"/>
      <x v="1"/>
      <x v="3"/>
      <x v="16"/>
      <x v="51"/>
    </i>
    <i r="4">
      <x v="201"/>
      <x v="425"/>
    </i>
    <i r="2">
      <x v="9"/>
      <x v="54"/>
      <x v="54"/>
      <x v="577"/>
    </i>
    <i r="4">
      <x v="184"/>
      <x v="611"/>
    </i>
    <i r="2">
      <x v="15"/>
      <x v="67"/>
      <x v="97"/>
      <x v="912"/>
    </i>
    <i r="1">
      <x v="4"/>
      <x v="11"/>
      <x v="15"/>
      <x v="227"/>
      <x v="25"/>
    </i>
    <i r="3">
      <x v="62"/>
      <x/>
      <x v="1198"/>
    </i>
    <i r="4">
      <x v="165"/>
      <x v="312"/>
    </i>
    <i r="1">
      <x v="5"/>
      <x v="3"/>
      <x v="38"/>
      <x v="22"/>
      <x v="1221"/>
    </i>
    <i r="4">
      <x v="130"/>
      <x v="744"/>
    </i>
    <i r="4">
      <x v="189"/>
      <x v="688"/>
    </i>
    <i r="3">
      <x v="40"/>
      <x v="130"/>
      <x v="950"/>
    </i>
    <i>
      <x v="36"/>
      <x v="1"/>
      <x v="4"/>
      <x v="32"/>
      <x v="122"/>
      <x v="1208"/>
    </i>
    <i r="4">
      <x v="202"/>
      <x v="820"/>
    </i>
    <i r="4">
      <x v="252"/>
      <x v="863"/>
    </i>
    <i r="1">
      <x v="2"/>
      <x v="5"/>
      <x v="44"/>
      <x v="76"/>
      <x v="500"/>
    </i>
    <i r="1">
      <x v="3"/>
      <x v="1"/>
      <x v="3"/>
      <x v="53"/>
      <x v="701"/>
    </i>
    <i r="4">
      <x v="183"/>
      <x v="422"/>
    </i>
    <i r="2">
      <x v="6"/>
      <x v="28"/>
      <x v="122"/>
      <x v="272"/>
    </i>
    <i r="2">
      <x v="8"/>
      <x v="69"/>
      <x v="14"/>
      <x v="1156"/>
    </i>
    <i r="1">
      <x v="4"/>
      <x v="11"/>
      <x v="15"/>
      <x v="245"/>
      <x v="1138"/>
    </i>
    <i r="3">
      <x v="61"/>
      <x v="181"/>
      <x v="754"/>
    </i>
    <i r="1">
      <x v="5"/>
      <x v="3"/>
      <x v="40"/>
      <x v="106"/>
      <x v="947"/>
    </i>
    <i>
      <x v="37"/>
      <x v="1"/>
      <x v="4"/>
      <x v="32"/>
      <x v="16"/>
      <x v="774"/>
    </i>
    <i r="4">
      <x v="122"/>
      <x v="1208"/>
    </i>
    <i r="2">
      <x v="7"/>
      <x v="8"/>
      <x v="16"/>
      <x v="666"/>
    </i>
    <i r="3">
      <x v="35"/>
      <x v="184"/>
      <x v="753"/>
    </i>
    <i r="3">
      <x v="43"/>
      <x v="16"/>
      <x v="461"/>
    </i>
    <i r="1">
      <x v="2"/>
      <x v="5"/>
      <x v="44"/>
      <x v="6"/>
      <x v="497"/>
    </i>
    <i r="1">
      <x v="3"/>
      <x v="1"/>
      <x v="3"/>
      <x v="122"/>
      <x v="420"/>
    </i>
    <i r="2">
      <x v="6"/>
      <x v="28"/>
      <x v="76"/>
      <x v="268"/>
    </i>
    <i r="1">
      <x v="4"/>
      <x v="11"/>
      <x v="15"/>
      <x v="189"/>
      <x v="1081"/>
    </i>
    <i r="4">
      <x v="245"/>
      <x v="1133"/>
    </i>
    <i r="3">
      <x v="24"/>
      <x v="13"/>
      <x v="1153"/>
    </i>
    <i r="1">
      <x v="5"/>
      <x v="3"/>
      <x v="39"/>
      <x v="86"/>
      <x v="224"/>
    </i>
    <i r="3">
      <x v="40"/>
      <x v="86"/>
      <x v="945"/>
    </i>
    <i>
      <x v="38"/>
      <x v="1"/>
      <x v="4"/>
      <x v="32"/>
      <x v="54"/>
      <x v="833"/>
    </i>
    <i r="4">
      <x v="88"/>
      <x v="810"/>
    </i>
    <i r="1">
      <x v="2"/>
      <x v="5"/>
      <x v="44"/>
      <x v="160"/>
      <x v="502"/>
    </i>
    <i r="1">
      <x v="3"/>
      <x v="1"/>
      <x v="3"/>
      <x v="239"/>
      <x v="426"/>
    </i>
    <i r="2">
      <x v="6"/>
      <x v="28"/>
      <x v="239"/>
      <x v="282"/>
    </i>
    <i r="2">
      <x v="8"/>
      <x v="69"/>
      <x v="51"/>
      <x v="1157"/>
    </i>
    <i r="1">
      <x v="4"/>
      <x v="11"/>
      <x v="24"/>
      <x v="129"/>
      <x v="1036"/>
    </i>
    <i r="1">
      <x v="5"/>
      <x v="3"/>
      <x v="40"/>
      <x v="166"/>
      <x v="954"/>
    </i>
    <i>
      <x v="39"/>
      <x v="1"/>
      <x v="4"/>
      <x v="32"/>
      <x v="16"/>
      <x v="774"/>
    </i>
    <i r="4">
      <x v="122"/>
      <x v="1208"/>
    </i>
    <i r="2">
      <x v="7"/>
      <x v="8"/>
      <x v="16"/>
      <x v="666"/>
    </i>
    <i r="3">
      <x v="35"/>
      <x v="184"/>
      <x v="753"/>
    </i>
    <i r="3">
      <x v="43"/>
      <x v="16"/>
      <x v="461"/>
    </i>
    <i r="1">
      <x v="2"/>
      <x v="5"/>
      <x v="44"/>
      <x v="6"/>
      <x v="497"/>
    </i>
    <i r="1">
      <x v="3"/>
      <x v="1"/>
      <x v="3"/>
      <x v="122"/>
      <x v="420"/>
    </i>
    <i r="2">
      <x v="6"/>
      <x v="28"/>
      <x v="76"/>
      <x v="268"/>
    </i>
    <i r="2">
      <x v="15"/>
      <x v="67"/>
      <x v="97"/>
      <x v="912"/>
    </i>
    <i r="1">
      <x v="4"/>
      <x v="11"/>
      <x v="15"/>
      <x v="189"/>
      <x v="1081"/>
    </i>
    <i r="4">
      <x v="245"/>
      <x v="1134"/>
    </i>
    <i r="3">
      <x v="24"/>
      <x v="13"/>
      <x v="1153"/>
    </i>
    <i r="1">
      <x v="5"/>
      <x v="3"/>
      <x v="39"/>
      <x v="86"/>
      <x v="224"/>
    </i>
    <i r="3">
      <x v="40"/>
      <x v="96"/>
      <x v="943"/>
    </i>
    <i>
      <x v="40"/>
      <x v="1"/>
      <x v="4"/>
      <x v="32"/>
      <x v="16"/>
      <x v="828"/>
    </i>
    <i r="4">
      <x v="240"/>
      <x v="808"/>
    </i>
    <i r="1">
      <x v="2"/>
      <x v="5"/>
      <x v="44"/>
      <x v="122"/>
      <x v="501"/>
    </i>
    <i r="1">
      <x v="3"/>
      <x v="1"/>
      <x v="3"/>
      <x v="183"/>
      <x v="422"/>
    </i>
    <i r="2">
      <x v="6"/>
      <x v="28"/>
      <x v="183"/>
      <x v="279"/>
    </i>
    <i r="2">
      <x v="15"/>
      <x v="67"/>
      <x v="97"/>
      <x v="912"/>
    </i>
    <i r="1">
      <x v="4"/>
      <x v="11"/>
      <x v="24"/>
      <x v="175"/>
      <x v="1038"/>
    </i>
    <i r="3">
      <x v="26"/>
      <x v="105"/>
      <x v="1065"/>
    </i>
    <i r="1">
      <x v="5"/>
      <x v="3"/>
      <x v="40"/>
      <x v="130"/>
      <x v="950"/>
    </i>
    <i>
      <x v="41"/>
      <x v="1"/>
      <x v="4"/>
      <x v="32"/>
      <x v="122"/>
      <x v="1208"/>
    </i>
    <i r="4">
      <x v="202"/>
      <x v="820"/>
    </i>
    <i r="4">
      <x v="252"/>
      <x v="863"/>
    </i>
    <i r="1">
      <x v="2"/>
      <x v="5"/>
      <x v="44"/>
      <x v="76"/>
      <x v="500"/>
    </i>
    <i r="1">
      <x v="3"/>
      <x v="1"/>
      <x v="3"/>
      <x v="53"/>
      <x v="701"/>
    </i>
    <i r="4">
      <x v="183"/>
      <x v="422"/>
    </i>
    <i r="2">
      <x v="6"/>
      <x v="28"/>
      <x v="122"/>
      <x v="272"/>
    </i>
    <i r="2">
      <x v="8"/>
      <x v="69"/>
      <x v="13"/>
      <x v="1155"/>
    </i>
    <i r="2">
      <x v="15"/>
      <x v="67"/>
      <x v="97"/>
      <x v="912"/>
    </i>
    <i r="1">
      <x v="4"/>
      <x v="11"/>
      <x v="15"/>
      <x v="245"/>
      <x v="1138"/>
    </i>
    <i r="3">
      <x v="61"/>
      <x v="181"/>
      <x v="754"/>
    </i>
    <i r="1">
      <x v="5"/>
      <x v="3"/>
      <x v="40"/>
      <x v="106"/>
      <x v="947"/>
    </i>
    <i>
      <x v="42"/>
      <x v="1"/>
      <x v="4"/>
      <x v="32"/>
      <x v="122"/>
      <x v="1208"/>
    </i>
    <i r="4">
      <x v="202"/>
      <x v="820"/>
    </i>
    <i r="5">
      <x v="846"/>
    </i>
    <i r="4">
      <x v="252"/>
      <x v="863"/>
    </i>
    <i r="1">
      <x v="2"/>
      <x v="5"/>
      <x v="29"/>
      <x v="16"/>
      <x v="768"/>
    </i>
    <i r="3">
      <x v="44"/>
      <x v="76"/>
      <x v="500"/>
    </i>
    <i r="1">
      <x v="3"/>
      <x v="1"/>
      <x v="3"/>
      <x v="53"/>
      <x v="701"/>
    </i>
    <i r="4">
      <x v="152"/>
      <x v="208"/>
    </i>
    <i r="4">
      <x v="183"/>
      <x v="422"/>
    </i>
    <i r="3">
      <x v="5"/>
      <x v="161"/>
      <x v="261"/>
    </i>
    <i r="2">
      <x v="6"/>
      <x v="28"/>
      <x v="122"/>
      <x v="272"/>
    </i>
    <i r="2">
      <x v="8"/>
      <x v="69"/>
      <x v="13"/>
      <x v="1155"/>
    </i>
    <i r="4">
      <x v="129"/>
      <x v="1163"/>
    </i>
    <i r="1">
      <x v="4"/>
      <x v="11"/>
      <x v="15"/>
      <x v="22"/>
      <x v="1148"/>
    </i>
    <i r="4">
      <x v="245"/>
      <x v="1138"/>
    </i>
    <i r="3">
      <x v="61"/>
      <x v="181"/>
      <x v="754"/>
    </i>
    <i r="1">
      <x v="5"/>
      <x v="3"/>
      <x v="40"/>
      <x v="106"/>
      <x v="947"/>
    </i>
    <i r="4">
      <x v="130"/>
      <x v="950"/>
    </i>
    <i>
      <x v="43"/>
      <x v="1"/>
      <x v="4"/>
      <x v="32"/>
      <x v="123"/>
      <x v="841"/>
    </i>
    <i r="4">
      <x v="251"/>
      <x v="606"/>
    </i>
    <i r="1">
      <x v="2"/>
      <x v="5"/>
      <x v="44"/>
      <x v="76"/>
      <x v="500"/>
    </i>
    <i r="1">
      <x v="3"/>
      <x v="8"/>
      <x v="34"/>
      <x v="85"/>
      <x v="365"/>
    </i>
    <i r="3">
      <x v="69"/>
      <x v="86"/>
      <x v="196"/>
    </i>
    <i r="2">
      <x v="9"/>
      <x v="54"/>
      <x v="122"/>
      <x v="633"/>
    </i>
    <i r="1">
      <x v="4"/>
      <x v="11"/>
      <x v="25"/>
      <x v="51"/>
      <x v="1140"/>
    </i>
    <i r="1">
      <x v="5"/>
      <x v="3"/>
      <x v="39"/>
      <x v="106"/>
      <x v="235"/>
    </i>
    <i r="3">
      <x v="40"/>
      <x v="213"/>
      <x v="976"/>
    </i>
    <i>
      <x v="44"/>
      <x v="1"/>
      <x v="4"/>
      <x v="32"/>
      <x v="76"/>
      <x v="643"/>
    </i>
    <i r="1">
      <x v="3"/>
      <x v="8"/>
      <x v="69"/>
      <x v="13"/>
      <x v="1155"/>
    </i>
    <i r="1">
      <x v="4"/>
      <x v="11"/>
      <x v="26"/>
      <x v="86"/>
      <x v="1043"/>
    </i>
    <i r="1">
      <x v="5"/>
      <x v="3"/>
      <x v="40"/>
      <x v="106"/>
      <x v="988"/>
    </i>
    <i r="4">
      <x v="166"/>
      <x v="954"/>
    </i>
    <i r="2">
      <x v="12"/>
      <x v="64"/>
      <x v="14"/>
      <x v="335"/>
    </i>
    <i>
      <x v="45"/>
      <x v="1"/>
      <x v="7"/>
      <x v="42"/>
      <x v="240"/>
      <x v="520"/>
    </i>
    <i r="2">
      <x v="14"/>
      <x v="46"/>
      <x v="248"/>
      <x v="523"/>
    </i>
    <i r="1">
      <x v="2"/>
      <x v="5"/>
      <x v="29"/>
      <x v="219"/>
      <x v="90"/>
    </i>
    <i r="1">
      <x v="3"/>
      <x v="1"/>
      <x v="3"/>
      <x v="183"/>
      <x v="437"/>
    </i>
    <i r="4">
      <x v="219"/>
      <x v="891"/>
    </i>
    <i r="4">
      <x v="239"/>
      <x v="178"/>
    </i>
    <i r="3">
      <x v="6"/>
      <x v="15"/>
      <x v="1185"/>
    </i>
    <i r="2">
      <x v="9"/>
      <x v="55"/>
      <x v="23"/>
      <x v="85"/>
    </i>
    <i r="4">
      <x v="42"/>
      <x v="86"/>
    </i>
    <i r="2">
      <x v="15"/>
      <x v="67"/>
      <x v="131"/>
      <x v="913"/>
    </i>
    <i r="1">
      <x v="4"/>
      <x v="11"/>
      <x v="62"/>
      <x v="141"/>
      <x v="23"/>
    </i>
    <i r="4">
      <x v="189"/>
      <x v="324"/>
    </i>
    <i r="1">
      <x v="5"/>
      <x v="3"/>
      <x v="38"/>
      <x v="207"/>
      <x v="82"/>
    </i>
    <i>
      <x v="46"/>
      <x v="1"/>
      <x v="4"/>
      <x v="32"/>
      <x v="240"/>
      <x v="550"/>
    </i>
    <i r="1">
      <x v="2"/>
      <x v="5"/>
      <x v="29"/>
      <x v="240"/>
      <x v="767"/>
    </i>
    <i r="3">
      <x v="44"/>
      <x v="76"/>
      <x v="500"/>
    </i>
    <i r="1">
      <x v="3"/>
      <x v="1"/>
      <x v="3"/>
      <x v="54"/>
      <x v="442"/>
    </i>
    <i r="4">
      <x v="88"/>
      <x v="58"/>
    </i>
    <i r="2">
      <x v="9"/>
      <x v="54"/>
      <x v="16"/>
      <x v="575"/>
    </i>
    <i r="5">
      <x v="581"/>
    </i>
    <i r="2">
      <x v="15"/>
      <x v="67"/>
      <x v="131"/>
      <x v="913"/>
    </i>
    <i r="1">
      <x v="4"/>
      <x v="11"/>
      <x v="15"/>
      <x v="189"/>
      <x v="118"/>
    </i>
    <i r="3">
      <x v="17"/>
      <x v="165"/>
      <x v="1093"/>
    </i>
    <i r="3">
      <x v="62"/>
      <x v="105"/>
      <x v="305"/>
    </i>
    <i r="1">
      <x v="5"/>
      <x v="3"/>
      <x v="38"/>
      <x v="85"/>
      <x v="140"/>
    </i>
    <i r="3">
      <x v="40"/>
      <x v="86"/>
      <x v="945"/>
    </i>
    <i>
      <x v="47"/>
      <x v="1"/>
      <x v="4"/>
      <x v="32"/>
      <x v="15"/>
      <x v="903"/>
    </i>
    <i r="4">
      <x v="219"/>
      <x v="46"/>
    </i>
    <i r="2">
      <x v="7"/>
      <x v="9"/>
      <x v="183"/>
      <x v="165"/>
    </i>
    <i r="3">
      <x v="42"/>
      <x v="122"/>
      <x v="918"/>
    </i>
    <i r="1">
      <x v="2"/>
      <x v="5"/>
      <x v="29"/>
      <x v="184"/>
      <x v="929"/>
    </i>
    <i r="1">
      <x v="3"/>
      <x v="1"/>
      <x v="3"/>
      <x v="15"/>
      <x v="412"/>
    </i>
    <i r="2">
      <x v="6"/>
      <x v="28"/>
      <x v="7"/>
      <x v="265"/>
    </i>
    <i r="2">
      <x v="9"/>
      <x v="54"/>
      <x v="16"/>
      <x v="583"/>
    </i>
    <i r="4">
      <x v="184"/>
      <x v="609"/>
    </i>
    <i r="1">
      <x v="4"/>
      <x v="11"/>
      <x v="62"/>
      <x v="52"/>
      <x v="302"/>
    </i>
    <i r="4">
      <x v="105"/>
      <x v="323"/>
    </i>
    <i r="4">
      <x v="232"/>
      <x v="49"/>
    </i>
    <i r="1">
      <x v="5"/>
      <x v="3"/>
      <x v="38"/>
      <x v="105"/>
      <x v="764"/>
    </i>
    <i>
      <x v="48"/>
      <x v="1"/>
      <x v="4"/>
      <x v="32"/>
      <x v="15"/>
      <x v="44"/>
    </i>
    <i r="4">
      <x v="53"/>
      <x v="776"/>
    </i>
    <i r="4">
      <x v="76"/>
      <x v="644"/>
    </i>
    <i r="4">
      <x v="161"/>
      <x v="544"/>
    </i>
    <i r="1">
      <x v="2"/>
      <x v="5"/>
      <x v="29"/>
      <x v="54"/>
      <x v="928"/>
    </i>
    <i r="4">
      <x v="240"/>
      <x v="1225"/>
    </i>
    <i r="1">
      <x v="3"/>
      <x v="1"/>
      <x v="3"/>
      <x v="15"/>
      <x v="50"/>
    </i>
    <i r="2">
      <x v="6"/>
      <x v="28"/>
      <x v="160"/>
      <x v="275"/>
    </i>
    <i r="1">
      <x v="4"/>
      <x v="11"/>
      <x v="62"/>
      <x v="86"/>
      <x v="48"/>
    </i>
    <i r="4">
      <x v="129"/>
      <x v="888"/>
    </i>
    <i r="4">
      <x v="130"/>
      <x v="785"/>
    </i>
    <i r="4">
      <x v="189"/>
      <x v="1020"/>
    </i>
    <i r="1">
      <x v="5"/>
      <x v="3"/>
      <x v="38"/>
      <x v="232"/>
      <x v="1222"/>
    </i>
    <i r="3">
      <x v="40"/>
      <x v="13"/>
      <x v="981"/>
    </i>
    <i>
      <x v="49"/>
      <x v="1"/>
      <x v="4"/>
      <x v="32"/>
      <x v="15"/>
      <x v="903"/>
    </i>
    <i r="4">
      <x v="122"/>
      <x v="648"/>
    </i>
    <i r="4">
      <x v="184"/>
      <x v="558"/>
    </i>
    <i r="2">
      <x v="7"/>
      <x v="9"/>
      <x v="183"/>
      <x v="165"/>
    </i>
    <i r="3">
      <x v="42"/>
      <x v="122"/>
      <x v="918"/>
    </i>
    <i r="1">
      <x v="3"/>
      <x v="1"/>
      <x v="3"/>
      <x v="15"/>
      <x v="50"/>
    </i>
    <i r="2">
      <x v="6"/>
      <x v="28"/>
      <x v="10"/>
      <x v="266"/>
    </i>
    <i r="2">
      <x v="9"/>
      <x v="54"/>
      <x v="16"/>
      <x v="583"/>
    </i>
    <i r="4">
      <x v="184"/>
      <x v="609"/>
    </i>
    <i r="2">
      <x v="15"/>
      <x v="67"/>
      <x v="131"/>
      <x v="913"/>
    </i>
    <i r="1">
      <x v="4"/>
      <x v="11"/>
      <x v="62"/>
      <x v="129"/>
      <x v="307"/>
    </i>
    <i r="4">
      <x v="232"/>
      <x v="49"/>
    </i>
    <i r="1">
      <x v="5"/>
      <x v="3"/>
      <x v="38"/>
      <x v="105"/>
      <x v="764"/>
    </i>
    <i r="3">
      <x v="40"/>
      <x v="181"/>
      <x v="992"/>
    </i>
    <i>
      <x v="50"/>
      <x v="1"/>
      <x v="4"/>
      <x v="32"/>
      <x v="34"/>
      <x v="554"/>
    </i>
    <i r="1">
      <x v="3"/>
      <x v="6"/>
      <x v="28"/>
      <x v="164"/>
      <x v="277"/>
    </i>
    <i r="2">
      <x v="9"/>
      <x v="54"/>
      <x v="15"/>
      <x v="563"/>
    </i>
    <i r="1">
      <x v="4"/>
      <x v="11"/>
      <x v="62"/>
      <x v="166"/>
      <x v="313"/>
    </i>
    <i r="1">
      <x v="5"/>
      <x v="3"/>
      <x v="40"/>
      <x v="181"/>
      <x v="956"/>
    </i>
    <i>
      <x v="51"/>
      <x v="1"/>
      <x v="4"/>
      <x v="32"/>
      <x v="6"/>
      <x v="825"/>
    </i>
    <i r="4">
      <x v="54"/>
      <x v="555"/>
    </i>
    <i r="1">
      <x v="2"/>
      <x v="5"/>
      <x v="29"/>
      <x v="54"/>
      <x v="692"/>
    </i>
    <i r="1">
      <x v="3"/>
      <x v="1"/>
      <x v="3"/>
      <x v="160"/>
      <x v="430"/>
    </i>
    <i r="2">
      <x v="6"/>
      <x v="28"/>
      <x v="183"/>
      <x v="279"/>
    </i>
    <i r="1">
      <x v="4"/>
      <x v="11"/>
      <x v="62"/>
      <x v="22"/>
      <x v="296"/>
    </i>
    <i r="1">
      <x v="5"/>
      <x v="3"/>
      <x v="38"/>
      <x v="22"/>
      <x v="685"/>
    </i>
    <i r="3">
      <x v="40"/>
      <x v="130"/>
      <x v="950"/>
    </i>
    <i>
      <x v="52"/>
      <x v="1"/>
      <x v="4"/>
      <x v="32"/>
      <x v="16"/>
      <x v="553"/>
    </i>
    <i r="4">
      <x v="202"/>
      <x v="655"/>
    </i>
    <i r="1">
      <x v="2"/>
      <x v="5"/>
      <x v="29"/>
      <x v="76"/>
      <x v="771"/>
    </i>
    <i r="4">
      <x v="184"/>
      <x v="695"/>
    </i>
    <i r="1">
      <x v="3"/>
      <x v="1"/>
      <x v="3"/>
      <x v="122"/>
      <x v="62"/>
    </i>
    <i r="2">
      <x v="6"/>
      <x v="28"/>
      <x v="76"/>
      <x v="268"/>
    </i>
    <i r="2">
      <x v="8"/>
      <x v="69"/>
      <x v="130"/>
      <x v="1164"/>
    </i>
    <i r="2">
      <x v="15"/>
      <x v="67"/>
      <x v="131"/>
      <x v="913"/>
    </i>
    <i r="1">
      <x v="4"/>
      <x v="11"/>
      <x v="17"/>
      <x v="255"/>
      <x v="1100"/>
    </i>
    <i r="1">
      <x v="5"/>
      <x v="3"/>
      <x v="38"/>
      <x v="85"/>
      <x v="140"/>
    </i>
    <i r="4">
      <x v="255"/>
      <x v="81"/>
    </i>
    <i r="3">
      <x v="39"/>
      <x v="117"/>
      <x v="226"/>
    </i>
    <i r="3">
      <x v="40"/>
      <x v="165"/>
      <x v="953"/>
    </i>
    <i>
      <x v="53"/>
      <x v="1"/>
      <x v="4"/>
      <x v="32"/>
      <x v="219"/>
      <x v="548"/>
    </i>
    <i r="2">
      <x v="14"/>
      <x v="72"/>
      <x v="141"/>
      <x v="1217"/>
    </i>
    <i r="1">
      <x v="2"/>
      <x v="5"/>
      <x v="29"/>
      <x v="35"/>
      <x v="700"/>
    </i>
    <i r="4">
      <x v="123"/>
      <x v="147"/>
    </i>
    <i r="4">
      <x v="240"/>
      <x v="514"/>
    </i>
    <i r="3">
      <x v="44"/>
      <x v="183"/>
      <x v="503"/>
    </i>
    <i r="1">
      <x v="3"/>
      <x v="1"/>
      <x v="3"/>
      <x v="16"/>
      <x v="180"/>
    </i>
    <i r="2">
      <x v="8"/>
      <x v="69"/>
      <x v="105"/>
      <x v="1172"/>
    </i>
    <i r="2">
      <x v="9"/>
      <x v="54"/>
      <x v="54"/>
      <x v="577"/>
    </i>
    <i r="1">
      <x v="4"/>
      <x v="11"/>
      <x v="15"/>
      <x v="113"/>
      <x v="114"/>
    </i>
    <i r="3">
      <x v="21"/>
      <x v="214"/>
      <x v="1023"/>
    </i>
    <i r="3">
      <x v="24"/>
      <x v="165"/>
      <x v="121"/>
    </i>
    <i r="1">
      <x v="5"/>
      <x v="3"/>
      <x v="37"/>
      <x v="150"/>
      <x v="29"/>
    </i>
    <i r="3">
      <x v="40"/>
      <x v="106"/>
      <x v="947"/>
    </i>
    <i>
      <x v="54"/>
      <x v="1"/>
      <x v="4"/>
      <x v="32"/>
      <x v="1"/>
      <x v="824"/>
    </i>
    <i r="4">
      <x v="16"/>
      <x v="553"/>
    </i>
    <i r="4">
      <x v="54"/>
      <x v="45"/>
    </i>
    <i r="5">
      <x v="1018"/>
    </i>
    <i r="1">
      <x v="2"/>
      <x v="5"/>
      <x v="29"/>
      <x v="16"/>
      <x v="690"/>
    </i>
    <i r="4">
      <x v="54"/>
      <x v="1223"/>
    </i>
    <i r="1">
      <x v="3"/>
      <x v="1"/>
      <x v="3"/>
      <x v="123"/>
      <x v="206"/>
    </i>
    <i r="2">
      <x v="8"/>
      <x v="69"/>
      <x v="85"/>
      <x v="1179"/>
    </i>
    <i r="2">
      <x v="9"/>
      <x v="49"/>
      <x v="13"/>
      <x v="188"/>
    </i>
    <i r="5">
      <x v="248"/>
    </i>
    <i r="1">
      <x v="4"/>
      <x v="11"/>
      <x v="62"/>
      <x v="51"/>
      <x v="301"/>
    </i>
    <i r="1">
      <x v="5"/>
      <x v="3"/>
      <x v="40"/>
      <x v="85"/>
      <x v="720"/>
    </i>
    <i r="4">
      <x v="105"/>
      <x v="973"/>
    </i>
    <i r="4">
      <x v="189"/>
      <x v="958"/>
    </i>
    <i>
      <x v="55"/>
      <x v="3"/>
      <x v="9"/>
      <x v="54"/>
      <x v="183"/>
      <x v="630"/>
    </i>
    <i r="4">
      <x v="218"/>
      <x v="631"/>
    </i>
    <i r="4">
      <x v="239"/>
      <x v="565"/>
    </i>
    <i r="1">
      <x v="4"/>
      <x v="11"/>
      <x v="26"/>
      <x v="86"/>
      <x v="1041"/>
    </i>
    <i r="3">
      <x v="62"/>
      <x v="228"/>
      <x v="316"/>
    </i>
    <i r="1">
      <x v="5"/>
      <x v="3"/>
      <x v="40"/>
      <x v="14"/>
      <x v="982"/>
    </i>
    <i r="4">
      <x v="130"/>
      <x v="950"/>
    </i>
    <i>
      <x v="56"/>
      <x v="1"/>
      <x v="4"/>
      <x v="32"/>
      <x v="50"/>
      <x v="540"/>
    </i>
    <i r="4">
      <x v="133"/>
      <x v="1019"/>
    </i>
    <i r="2">
      <x v="7"/>
      <x v="42"/>
      <x v="161"/>
      <x v="166"/>
    </i>
    <i r="3">
      <x v="47"/>
      <x v="239"/>
      <x v="169"/>
    </i>
    <i r="5">
      <x v="899"/>
    </i>
    <i r="3">
      <x v="70"/>
      <x v="77"/>
      <x v="1186"/>
    </i>
    <i r="1">
      <x v="2"/>
      <x v="5"/>
      <x v="33"/>
      <x v="160"/>
      <x v="380"/>
    </i>
    <i r="1">
      <x v="3"/>
      <x v="1"/>
      <x v="3"/>
      <x v="87"/>
      <x v="702"/>
    </i>
    <i r="4">
      <x v="107"/>
      <x v="102"/>
    </i>
    <i r="2">
      <x v="8"/>
      <x v="34"/>
      <x v="130"/>
      <x v="368"/>
    </i>
    <i r="2">
      <x v="15"/>
      <x v="67"/>
      <x v="131"/>
      <x v="913"/>
    </i>
    <i r="1">
      <x v="4"/>
      <x v="11"/>
      <x v="15"/>
      <x v="245"/>
      <x v="288"/>
    </i>
    <i r="2">
      <x v="13"/>
      <x v="66"/>
      <x v="240"/>
      <x v="20"/>
    </i>
    <i>
      <x v="57"/>
      <x v="1"/>
      <x v="7"/>
      <x v="31"/>
      <x v="161"/>
      <x v="327"/>
    </i>
    <i r="3">
      <x v="42"/>
      <x v="16"/>
      <x v="17"/>
    </i>
    <i r="4">
      <x v="35"/>
      <x v="519"/>
    </i>
    <i r="4">
      <x v="251"/>
      <x v="293"/>
    </i>
    <i r="3">
      <x v="43"/>
      <x v="201"/>
      <x v="872"/>
    </i>
    <i r="1">
      <x v="3"/>
      <x v="1"/>
      <x v="3"/>
      <x v="53"/>
      <x v="708"/>
    </i>
    <i r="4">
      <x v="87"/>
      <x v="101"/>
    </i>
    <i r="4">
      <x v="201"/>
      <x v="185"/>
    </i>
    <i r="2">
      <x v="8"/>
      <x v="34"/>
      <x v="86"/>
      <x v="367"/>
    </i>
    <i r="2">
      <x v="15"/>
      <x v="67"/>
      <x v="131"/>
      <x v="913"/>
    </i>
    <i r="1">
      <x v="4"/>
      <x v="11"/>
      <x v="15"/>
      <x v="189"/>
      <x v="287"/>
    </i>
    <i r="3">
      <x v="19"/>
      <x v="51"/>
      <x v="354"/>
    </i>
    <i r="2">
      <x v="13"/>
      <x v="66"/>
      <x v="161"/>
      <x v="925"/>
    </i>
    <i>
      <x v="58"/>
      <x v="1"/>
      <x v="4"/>
      <x v="32"/>
      <x v="16"/>
      <x v="672"/>
    </i>
    <i r="4">
      <x v="167"/>
      <x v="1210"/>
    </i>
    <i r="2">
      <x v="7"/>
      <x v="8"/>
      <x v="53"/>
      <x v="31"/>
    </i>
    <i r="3">
      <x v="47"/>
      <x v="54"/>
      <x v="104"/>
    </i>
    <i r="1">
      <x v="2"/>
      <x v="5"/>
      <x v="29"/>
      <x v="123"/>
      <x v="138"/>
    </i>
    <i r="1">
      <x v="3"/>
      <x v="1"/>
      <x v="3"/>
      <x v="53"/>
      <x v="22"/>
    </i>
    <i r="2">
      <x v="8"/>
      <x v="34"/>
      <x v="208"/>
      <x v="364"/>
    </i>
    <i r="2">
      <x v="9"/>
      <x v="54"/>
      <x v="54"/>
      <x v="610"/>
    </i>
    <i r="4">
      <x v="88"/>
      <x v="579"/>
    </i>
    <i r="2">
      <x v="15"/>
      <x v="67"/>
      <x v="131"/>
      <x v="913"/>
    </i>
    <i r="1">
      <x v="5"/>
      <x v="3"/>
      <x v="40"/>
      <x v="52"/>
      <x v="941"/>
    </i>
    <i>
      <x v="59"/>
      <x v="1"/>
      <x v="7"/>
      <x v="47"/>
      <x v="183"/>
      <x v="736"/>
    </i>
    <i r="4">
      <x v="219"/>
      <x v="174"/>
    </i>
    <i r="1">
      <x v="3"/>
      <x v="1"/>
      <x v="3"/>
      <x v="15"/>
      <x v="889"/>
    </i>
    <i r="4">
      <x v="99"/>
      <x v="156"/>
    </i>
    <i r="4">
      <x v="151"/>
      <x v="155"/>
    </i>
    <i r="4">
      <x v="239"/>
      <x v="518"/>
    </i>
    <i r="3">
      <x v="6"/>
      <x v="15"/>
      <x v="1185"/>
    </i>
    <i r="1">
      <x v="4"/>
      <x v="11"/>
      <x v="62"/>
      <x v="85"/>
      <x v="47"/>
    </i>
    <i r="4">
      <x v="105"/>
      <x v="453"/>
    </i>
    <i r="2">
      <x v="13"/>
      <x v="66"/>
      <x v="161"/>
      <x v="391"/>
    </i>
    <i>
      <x v="60"/>
      <x v="1"/>
      <x v="4"/>
      <x v="32"/>
      <x v="16"/>
      <x v="674"/>
    </i>
    <i r="4">
      <x v="81"/>
      <x v="1206"/>
    </i>
    <i r="4">
      <x v="160"/>
      <x v="843"/>
    </i>
    <i r="4">
      <x v="183"/>
      <x v="807"/>
    </i>
    <i r="4">
      <x v="184"/>
      <x v="603"/>
    </i>
    <i r="1">
      <x v="2"/>
      <x v="5"/>
      <x v="33"/>
      <x v="184"/>
      <x v="383"/>
    </i>
    <i r="1">
      <x v="3"/>
      <x v="8"/>
      <x v="34"/>
      <x v="85"/>
      <x v="357"/>
    </i>
    <i r="3">
      <x v="69"/>
      <x v="86"/>
      <x v="1159"/>
    </i>
    <i r="2">
      <x v="9"/>
      <x v="56"/>
      <x v="13"/>
      <x v="186"/>
    </i>
    <i r="5">
      <x v="246"/>
    </i>
    <i r="1">
      <x v="4"/>
      <x v="11"/>
      <x v="19"/>
      <x v="129"/>
      <x v="339"/>
    </i>
    <i r="3">
      <x v="24"/>
      <x v="130"/>
      <x v="1037"/>
    </i>
    <i r="3">
      <x v="26"/>
      <x v="166"/>
      <x v="1046"/>
    </i>
    <i r="1">
      <x v="5"/>
      <x v="3"/>
      <x v="39"/>
      <x v="52"/>
      <x v="222"/>
    </i>
    <i r="4">
      <x v="86"/>
      <x v="244"/>
    </i>
    <i r="3">
      <x v="40"/>
      <x v="85"/>
      <x v="944"/>
    </i>
    <i r="4">
      <x v="105"/>
      <x v="1004"/>
    </i>
    <i r="2">
      <x v="12"/>
      <x v="63"/>
      <x v="165"/>
      <x v="468"/>
    </i>
    <i>
      <x v="61"/>
      <x v="1"/>
      <x v="4"/>
      <x v="32"/>
      <x v="15"/>
      <x v="1200"/>
    </i>
    <i r="4">
      <x v="81"/>
      <x v="646"/>
    </i>
    <i r="4">
      <x v="87"/>
      <x v="1219"/>
    </i>
    <i r="4">
      <x v="184"/>
      <x v="590"/>
    </i>
    <i r="2">
      <x v="7"/>
      <x v="35"/>
      <x v="38"/>
      <x v="759"/>
    </i>
    <i r="1">
      <x v="2"/>
      <x v="5"/>
      <x v="33"/>
      <x v="184"/>
      <x v="383"/>
    </i>
    <i r="1">
      <x v="4"/>
      <x v="11"/>
      <x v="19"/>
      <x v="129"/>
      <x v="339"/>
    </i>
    <i r="1">
      <x v="5"/>
      <x v="3"/>
      <x v="39"/>
      <x v="52"/>
      <x v="222"/>
    </i>
    <i r="2">
      <x v="12"/>
      <x v="63"/>
      <x v="165"/>
      <x v="468"/>
    </i>
    <i>
      <x v="62"/>
      <x v="1"/>
      <x v="4"/>
      <x v="32"/>
      <x v="15"/>
      <x v="673"/>
    </i>
    <i r="4">
      <x v="218"/>
      <x v="604"/>
    </i>
    <i r="1">
      <x v="2"/>
      <x v="5"/>
      <x v="33"/>
      <x v="80"/>
      <x v="376"/>
    </i>
    <i r="1">
      <x v="3"/>
      <x v="8"/>
      <x v="34"/>
      <x v="86"/>
      <x v="358"/>
    </i>
    <i r="2">
      <x v="9"/>
      <x v="56"/>
      <x v="182"/>
      <x v="187"/>
    </i>
    <i r="5">
      <x v="247"/>
    </i>
    <i r="1">
      <x v="4"/>
      <x v="11"/>
      <x v="19"/>
      <x v="130"/>
      <x v="340"/>
    </i>
    <i r="1">
      <x v="5"/>
      <x v="3"/>
      <x v="39"/>
      <x v="51"/>
      <x v="221"/>
    </i>
    <i r="4">
      <x v="181"/>
      <x v="243"/>
    </i>
    <i r="3">
      <x v="40"/>
      <x v="181"/>
      <x v="722"/>
    </i>
    <i r="2">
      <x v="12"/>
      <x v="63"/>
      <x v="166"/>
      <x v="469"/>
    </i>
    <i>
      <x v="63"/>
      <x v="1"/>
      <x v="4"/>
      <x v="32"/>
      <x v="16"/>
      <x v="463"/>
    </i>
    <i r="5">
      <x v="596"/>
    </i>
    <i r="5">
      <x v="674"/>
    </i>
    <i r="1">
      <x v="2"/>
      <x v="5"/>
      <x v="33"/>
      <x v="16"/>
      <x v="372"/>
    </i>
    <i r="1">
      <x v="3"/>
      <x v="1"/>
      <x v="3"/>
      <x v="53"/>
      <x v="414"/>
    </i>
    <i r="1">
      <x v="4"/>
      <x v="11"/>
      <x v="18"/>
      <x v="93"/>
      <x v="341"/>
    </i>
    <i r="3">
      <x v="20"/>
      <x v="22"/>
      <x v="342"/>
    </i>
    <i r="3">
      <x v="26"/>
      <x v="129"/>
      <x v="1066"/>
    </i>
    <i r="1">
      <x v="5"/>
      <x v="3"/>
      <x v="39"/>
      <x v="190"/>
      <x v="233"/>
    </i>
    <i r="2">
      <x v="12"/>
      <x v="63"/>
      <x v="93"/>
      <x v="475"/>
    </i>
    <i r="4">
      <x v="171"/>
      <x v="470"/>
    </i>
    <i>
      <x v="64"/>
      <x v="1"/>
      <x v="4"/>
      <x v="32"/>
      <x v="88"/>
      <x v="464"/>
    </i>
    <i r="5">
      <x v="676"/>
    </i>
    <i r="4">
      <x v="133"/>
      <x v="600"/>
    </i>
    <i r="4">
      <x v="188"/>
      <x v="1212"/>
    </i>
    <i r="1">
      <x v="2"/>
      <x v="5"/>
      <x v="33"/>
      <x v="88"/>
      <x v="377"/>
    </i>
    <i r="3">
      <x v="44"/>
      <x v="34"/>
      <x v="499"/>
    </i>
    <i r="1">
      <x v="3"/>
      <x v="1"/>
      <x v="3"/>
      <x v="107"/>
      <x v="419"/>
    </i>
    <i r="1">
      <x v="4"/>
      <x v="11"/>
      <x v="18"/>
      <x v="93"/>
      <x v="341"/>
    </i>
    <i r="3">
      <x v="20"/>
      <x v="71"/>
      <x v="344"/>
    </i>
    <i r="3">
      <x v="26"/>
      <x v="189"/>
      <x v="1069"/>
    </i>
    <i r="1">
      <x v="5"/>
      <x v="3"/>
      <x v="39"/>
      <x v="23"/>
      <x v="220"/>
    </i>
    <i r="2">
      <x v="12"/>
      <x v="63"/>
      <x v="230"/>
      <x v="472"/>
    </i>
    <i r="4">
      <x v="257"/>
      <x v="476"/>
    </i>
    <i r="3">
      <x v="65"/>
      <x v="140"/>
      <x v="393"/>
    </i>
    <i>
      <x v="65"/>
      <x v="1"/>
      <x v="4"/>
      <x v="32"/>
      <x v="183"/>
      <x v="465"/>
    </i>
    <i r="5">
      <x v="602"/>
    </i>
    <i r="5">
      <x v="677"/>
    </i>
    <i r="1">
      <x v="2"/>
      <x v="5"/>
      <x v="33"/>
      <x v="160"/>
      <x v="380"/>
    </i>
    <i r="1">
      <x v="4"/>
      <x v="11"/>
      <x v="20"/>
      <x v="166"/>
      <x v="348"/>
    </i>
    <i r="1">
      <x v="5"/>
      <x v="3"/>
      <x v="39"/>
      <x v="61"/>
      <x v="240"/>
    </i>
    <i r="4">
      <x v="85"/>
      <x v="223"/>
    </i>
    <i r="2">
      <x v="12"/>
      <x v="63"/>
      <x v="23"/>
      <x v="466"/>
    </i>
    <i r="4">
      <x v="86"/>
      <x v="474"/>
    </i>
    <i>
      <x v="66"/>
      <x v="1"/>
      <x v="4"/>
      <x v="32"/>
      <x v="16"/>
      <x v="1218"/>
    </i>
    <i r="4">
      <x v="76"/>
      <x v="834"/>
    </i>
    <i r="4">
      <x v="239"/>
      <x v="605"/>
    </i>
    <i r="5">
      <x v="679"/>
    </i>
    <i r="1">
      <x v="2"/>
      <x v="5"/>
      <x v="33"/>
      <x v="183"/>
      <x v="382"/>
    </i>
    <i r="1">
      <x v="3"/>
      <x v="1"/>
      <x v="3"/>
      <x v="252"/>
      <x v="427"/>
    </i>
    <i r="2">
      <x v="8"/>
      <x v="34"/>
      <x v="86"/>
      <x v="358"/>
    </i>
    <i r="2">
      <x v="9"/>
      <x v="49"/>
      <x v="181"/>
      <x v="355"/>
    </i>
    <i r="5">
      <x v="356"/>
    </i>
    <i r="1">
      <x v="4"/>
      <x v="11"/>
      <x v="20"/>
      <x v="52"/>
      <x v="343"/>
    </i>
    <i r="1">
      <x v="5"/>
      <x v="3"/>
      <x v="39"/>
      <x v="165"/>
      <x v="230"/>
    </i>
    <i r="2">
      <x v="12"/>
      <x v="65"/>
      <x v="166"/>
      <x v="394"/>
    </i>
    <i>
      <x v="67"/>
      <x v="1"/>
      <x v="4"/>
      <x v="32"/>
      <x v="54"/>
      <x v="680"/>
    </i>
    <i r="4">
      <x v="87"/>
      <x v="1219"/>
    </i>
    <i r="4">
      <x v="122"/>
      <x v="681"/>
    </i>
    <i r="4">
      <x v="184"/>
      <x v="603"/>
    </i>
    <i r="1">
      <x v="2"/>
      <x v="5"/>
      <x v="33"/>
      <x v="123"/>
      <x v="379"/>
    </i>
    <i r="1">
      <x v="3"/>
      <x v="1"/>
      <x v="3"/>
      <x v="15"/>
      <x v="412"/>
    </i>
    <i r="2">
      <x v="8"/>
      <x v="34"/>
      <x v="129"/>
      <x v="360"/>
    </i>
    <i r="1">
      <x v="4"/>
      <x v="11"/>
      <x v="20"/>
      <x v="85"/>
      <x v="345"/>
    </i>
    <i r="1">
      <x v="5"/>
      <x v="3"/>
      <x v="39"/>
      <x v="130"/>
      <x v="228"/>
    </i>
    <i r="4">
      <x v="182"/>
      <x v="370"/>
    </i>
    <i r="2">
      <x v="12"/>
      <x v="65"/>
      <x v="189"/>
      <x v="395"/>
    </i>
    <i>
      <x v="68"/>
      <x v="1"/>
      <x v="4"/>
      <x v="32"/>
      <x v="54"/>
      <x v="675"/>
    </i>
    <i r="4">
      <x v="88"/>
      <x v="598"/>
    </i>
    <i r="4">
      <x v="167"/>
      <x v="1220"/>
    </i>
    <i r="2">
      <x v="14"/>
      <x v="48"/>
      <x v="23"/>
      <x v="537"/>
    </i>
    <i r="1">
      <x v="2"/>
      <x v="5"/>
      <x v="33"/>
      <x v="202"/>
      <x v="384"/>
    </i>
    <i r="1">
      <x v="3"/>
      <x v="1"/>
      <x v="3"/>
      <x v="103"/>
      <x v="418"/>
    </i>
    <i r="2">
      <x v="8"/>
      <x v="34"/>
      <x v="189"/>
      <x v="362"/>
    </i>
    <i r="1">
      <x v="4"/>
      <x v="11"/>
      <x v="20"/>
      <x v="174"/>
      <x v="349"/>
    </i>
    <i r="1">
      <x v="5"/>
      <x v="3"/>
      <x v="39"/>
      <x v="52"/>
      <x v="369"/>
    </i>
    <i r="4">
      <x v="190"/>
      <x v="233"/>
    </i>
    <i r="2">
      <x v="12"/>
      <x v="65"/>
      <x v="59"/>
      <x v="392"/>
    </i>
    <i>
      <x v="69"/>
      <x v="3"/>
      <x v="1"/>
      <x v="3"/>
      <x v="183"/>
      <x v="422"/>
    </i>
    <i r="2">
      <x v="8"/>
      <x v="69"/>
      <x/>
      <x v="1154"/>
    </i>
    <i r="4">
      <x v="189"/>
      <x v="1176"/>
    </i>
    <i r="2">
      <x v="9"/>
      <x v="54"/>
      <x v="15"/>
      <x v="798"/>
    </i>
    <i r="4">
      <x v="53"/>
      <x v="822"/>
    </i>
    <i r="1">
      <x v="4"/>
      <x v="11"/>
      <x v="17"/>
      <x v="130"/>
      <x v="1108"/>
    </i>
    <i r="1">
      <x v="5"/>
      <x v="3"/>
      <x v="40"/>
      <x v="130"/>
      <x v="950"/>
    </i>
    <i r="4">
      <x v="190"/>
      <x v="975"/>
    </i>
    <i>
      <x v="70"/>
      <x v="1"/>
      <x v="4"/>
      <x v="32"/>
      <x v="16"/>
      <x v="828"/>
    </i>
    <i r="4">
      <x v="132"/>
      <x v="1209"/>
    </i>
    <i r="1">
      <x v="3"/>
      <x v="6"/>
      <x v="28"/>
      <x v="184"/>
      <x v="280"/>
    </i>
    <i r="2">
      <x v="9"/>
      <x v="54"/>
      <x v="34"/>
      <x v="797"/>
    </i>
    <i r="1">
      <x v="4"/>
      <x v="11"/>
      <x v="17"/>
      <x v="22"/>
      <x v="1085"/>
    </i>
    <i r="1">
      <x v="5"/>
      <x v="3"/>
      <x v="40"/>
      <x v="166"/>
      <x v="954"/>
    </i>
    <i r="4">
      <x v="190"/>
      <x v="995"/>
    </i>
    <i>
      <x v="71"/>
      <x v="1"/>
      <x v="4"/>
      <x v="32"/>
      <x v="16"/>
      <x v="828"/>
    </i>
    <i r="4">
      <x v="132"/>
      <x v="1209"/>
    </i>
    <i r="2">
      <x v="14"/>
      <x v="71"/>
      <x v="113"/>
      <x v="1192"/>
    </i>
    <i r="1">
      <x v="3"/>
      <x v="1"/>
      <x v="3"/>
      <x v="15"/>
      <x v="412"/>
    </i>
    <i r="2">
      <x v="8"/>
      <x v="69"/>
      <x v="13"/>
      <x v="1155"/>
    </i>
    <i r="4">
      <x v="166"/>
      <x v="1175"/>
    </i>
    <i r="1">
      <x v="4"/>
      <x v="11"/>
      <x v="17"/>
      <x v="232"/>
      <x v="1115"/>
    </i>
    <i r="1">
      <x v="5"/>
      <x v="3"/>
      <x v="40"/>
      <x v="105"/>
      <x v="946"/>
    </i>
    <i r="4">
      <x v="189"/>
      <x v="974"/>
    </i>
    <i>
      <x v="72"/>
      <x v="1"/>
      <x v="4"/>
      <x v="32"/>
      <x v="6"/>
      <x v="825"/>
    </i>
    <i r="1">
      <x v="3"/>
      <x v="6"/>
      <x v="28"/>
      <x v="7"/>
      <x v="265"/>
    </i>
    <i r="1">
      <x v="4"/>
      <x v="11"/>
      <x v="17"/>
      <x v="182"/>
      <x v="1094"/>
    </i>
    <i r="1">
      <x v="5"/>
      <x v="3"/>
      <x v="40"/>
      <x v="13"/>
      <x v="935"/>
    </i>
    <i r="5">
      <x v="981"/>
    </i>
    <i>
      <x v="73"/>
      <x v="1"/>
      <x v="4"/>
      <x v="32"/>
      <x v="87"/>
      <x v="1207"/>
    </i>
    <i r="4">
      <x v="184"/>
      <x v="845"/>
    </i>
    <i r="4">
      <x v="240"/>
      <x v="560"/>
    </i>
    <i r="1">
      <x v="3"/>
      <x v="6"/>
      <x v="28"/>
      <x v="122"/>
      <x v="272"/>
    </i>
    <i r="2">
      <x v="9"/>
      <x v="54"/>
      <x v="239"/>
      <x v="793"/>
    </i>
    <i r="1">
      <x v="4"/>
      <x v="11"/>
      <x v="17"/>
      <x v="165"/>
      <x v="1093"/>
    </i>
    <i r="3">
      <x v="62"/>
      <x v="189"/>
      <x v="314"/>
    </i>
    <i r="1">
      <x v="5"/>
      <x v="3"/>
      <x v="40"/>
      <x v="105"/>
      <x v="946"/>
    </i>
    <i r="4">
      <x v="149"/>
      <x v="990"/>
    </i>
    <i>
      <x v="74"/>
      <x/>
      <x/>
      <x/>
      <x v="259"/>
      <x/>
    </i>
    <i>
      <x v="75"/>
      <x/>
      <x/>
      <x/>
      <x v="259"/>
      <x/>
    </i>
    <i>
      <x v="76"/>
      <x v="2"/>
      <x v="5"/>
      <x v="33"/>
      <x v="77"/>
      <x v="375"/>
    </i>
    <i r="1">
      <x v="3"/>
      <x v="9"/>
      <x v="54"/>
      <x v="183"/>
      <x v="662"/>
    </i>
    <i r="1">
      <x v="4"/>
      <x v="11"/>
      <x v="15"/>
      <x v="105"/>
      <x v="108"/>
    </i>
    <i r="3">
      <x v="26"/>
      <x v="52"/>
      <x v="1040"/>
    </i>
    <i r="4">
      <x v="150"/>
      <x v="1044"/>
    </i>
    <i r="3">
      <x v="62"/>
      <x v="86"/>
      <x v="304"/>
    </i>
    <i r="1">
      <x v="5"/>
      <x v="3"/>
      <x v="39"/>
      <x v="14"/>
      <x v="239"/>
    </i>
    <i r="4">
      <x v="86"/>
      <x v="224"/>
    </i>
    <i r="3">
      <x v="40"/>
      <x v="52"/>
      <x v="941"/>
    </i>
    <i r="4">
      <x v="182"/>
      <x v="993"/>
    </i>
    <i>
      <x v="77"/>
      <x v="1"/>
      <x v="4"/>
      <x v="32"/>
      <x v="160"/>
      <x v="651"/>
    </i>
    <i r="1">
      <x v="2"/>
      <x v="5"/>
      <x v="33"/>
      <x v="77"/>
      <x v="375"/>
    </i>
    <i r="1">
      <x v="3"/>
      <x v="1"/>
      <x v="3"/>
      <x v="201"/>
      <x v="70"/>
    </i>
    <i r="2">
      <x v="8"/>
      <x v="69"/>
      <x v="52"/>
      <x v="1158"/>
    </i>
    <i r="2">
      <x v="9"/>
      <x v="54"/>
      <x v="76"/>
      <x v="628"/>
    </i>
    <i r="1">
      <x v="4"/>
      <x v="11"/>
      <x v="26"/>
      <x v="190"/>
      <x v="1048"/>
    </i>
    <i r="1">
      <x v="5"/>
      <x v="3"/>
      <x v="40"/>
      <x v="51"/>
      <x v="1003"/>
    </i>
    <i r="4">
      <x v="129"/>
      <x v="949"/>
    </i>
    <i>
      <x v="78"/>
      <x v="1"/>
      <x v="4"/>
      <x v="32"/>
      <x v="16"/>
      <x v="819"/>
    </i>
    <i r="4">
      <x v="225"/>
      <x v="657"/>
    </i>
    <i r="1">
      <x v="2"/>
      <x v="5"/>
      <x v="33"/>
      <x v="76"/>
      <x v="374"/>
    </i>
    <i r="1">
      <x v="5"/>
      <x v="3"/>
      <x v="37"/>
      <x v="85"/>
      <x v="487"/>
    </i>
    <i r="3">
      <x v="40"/>
      <x v="106"/>
      <x v="932"/>
    </i>
    <i>
      <x v="79"/>
      <x v="1"/>
      <x v="4"/>
      <x v="32"/>
      <x v="53"/>
      <x v="832"/>
    </i>
    <i r="2">
      <x v="7"/>
      <x v="8"/>
      <x v="239"/>
      <x v="254"/>
    </i>
    <i r="3">
      <x v="31"/>
      <x v="161"/>
      <x v="329"/>
    </i>
    <i r="2">
      <x v="14"/>
      <x v="45"/>
      <x v="195"/>
      <x v="434"/>
    </i>
    <i r="1">
      <x v="3"/>
      <x v="1"/>
      <x v="3"/>
      <x v="184"/>
      <x v="68"/>
    </i>
    <i r="2">
      <x v="8"/>
      <x v="69"/>
      <x v="22"/>
      <x v="1178"/>
    </i>
    <i r="2">
      <x v="10"/>
      <x v="58"/>
      <x v="106"/>
      <x v="715"/>
    </i>
    <i r="2">
      <x v="15"/>
      <x v="68"/>
      <x v="131"/>
      <x v="913"/>
    </i>
    <i r="1">
      <x v="4"/>
      <x v="11"/>
      <x v="15"/>
      <x v="85"/>
      <x v="1080"/>
    </i>
    <i r="3">
      <x v="25"/>
      <x v="166"/>
      <x v="1144"/>
    </i>
    <i r="1">
      <x v="5"/>
      <x v="3"/>
      <x v="40"/>
      <x v="130"/>
      <x v="950"/>
    </i>
    <i r="4">
      <x v="233"/>
      <x v="998"/>
    </i>
    <i>
      <x v="80"/>
      <x v="1"/>
      <x v="4"/>
      <x v="32"/>
      <x v="108"/>
      <x v="839"/>
    </i>
    <i r="4">
      <x v="152"/>
      <x v="896"/>
    </i>
    <i r="4">
      <x v="239"/>
      <x v="549"/>
    </i>
    <i r="1">
      <x v="3"/>
      <x v="1"/>
      <x v="1"/>
      <x v="22"/>
      <x v="5"/>
    </i>
    <i r="3">
      <x v="3"/>
      <x v="88"/>
      <x v="177"/>
    </i>
    <i r="4">
      <x v="101"/>
      <x v="59"/>
    </i>
    <i r="2">
      <x v="6"/>
      <x v="28"/>
      <x v="184"/>
      <x v="278"/>
    </i>
    <i r="2">
      <x v="15"/>
      <x v="68"/>
      <x v="131"/>
      <x v="913"/>
    </i>
    <i r="1">
      <x v="4"/>
      <x v="11"/>
      <x v="17"/>
      <x v="156"/>
      <x v="1109"/>
    </i>
    <i r="3">
      <x v="25"/>
      <x v="245"/>
      <x v="910"/>
    </i>
    <i r="1">
      <x v="5"/>
      <x v="3"/>
      <x v="40"/>
      <x v="233"/>
      <x v="998"/>
    </i>
    <i>
      <x v="81"/>
      <x v="1"/>
      <x v="4"/>
      <x v="32"/>
      <x v="54"/>
      <x v="833"/>
    </i>
    <i r="4">
      <x v="184"/>
      <x v="547"/>
    </i>
    <i r="2">
      <x v="14"/>
      <x v="45"/>
      <x v="208"/>
      <x v="435"/>
    </i>
    <i r="1">
      <x v="3"/>
      <x v="1"/>
      <x v="3"/>
      <x v="76"/>
      <x v="56"/>
    </i>
    <i r="3">
      <x v="52"/>
      <x v="105"/>
      <x v="3"/>
    </i>
    <i r="2">
      <x v="8"/>
      <x v="69"/>
      <x v="190"/>
      <x v="1181"/>
    </i>
    <i r="2">
      <x v="10"/>
      <x v="58"/>
      <x v="129"/>
      <x v="716"/>
    </i>
    <i r="2">
      <x v="15"/>
      <x v="68"/>
      <x v="131"/>
      <x v="913"/>
    </i>
    <i r="1">
      <x v="4"/>
      <x v="11"/>
      <x v="17"/>
      <x v="45"/>
      <x v="1107"/>
    </i>
    <i r="1">
      <x v="5"/>
      <x v="3"/>
      <x v="40"/>
      <x v="207"/>
      <x v="996"/>
    </i>
    <i r="4">
      <x v="245"/>
      <x v="965"/>
    </i>
    <i>
      <x v="82"/>
      <x v="1"/>
      <x v="4"/>
      <x v="32"/>
      <x v="88"/>
      <x v="838"/>
    </i>
    <i r="2">
      <x v="7"/>
      <x v="41"/>
      <x v="183"/>
      <x v="741"/>
    </i>
    <i r="3">
      <x v="43"/>
      <x v="202"/>
      <x v="885"/>
    </i>
    <i r="1">
      <x v="3"/>
      <x v="1"/>
      <x v="3"/>
      <x v="54"/>
      <x v="55"/>
    </i>
    <i r="3">
      <x v="52"/>
      <x v="129"/>
      <x v="4"/>
    </i>
    <i r="2">
      <x v="8"/>
      <x v="69"/>
      <x v="106"/>
      <x v="1180"/>
    </i>
    <i r="2">
      <x v="10"/>
      <x v="58"/>
      <x v="51"/>
      <x v="714"/>
    </i>
    <i r="2">
      <x v="15"/>
      <x v="68"/>
      <x v="131"/>
      <x v="913"/>
    </i>
    <i r="1">
      <x v="4"/>
      <x v="11"/>
      <x v="17"/>
      <x v="113"/>
      <x v="1083"/>
    </i>
    <i r="3">
      <x v="25"/>
      <x v="189"/>
      <x v="1146"/>
    </i>
    <i r="1">
      <x v="5"/>
      <x v="3"/>
      <x v="40"/>
      <x v="129"/>
      <x v="949"/>
    </i>
    <i r="4">
      <x v="232"/>
      <x v="997"/>
    </i>
    <i>
      <x v="83"/>
      <x v="1"/>
      <x v="4"/>
      <x v="32"/>
      <x v="123"/>
      <x v="599"/>
    </i>
    <i r="2">
      <x v="7"/>
      <x v="42"/>
      <x v="202"/>
      <x v="18"/>
    </i>
    <i r="1">
      <x v="2"/>
      <x v="5"/>
      <x v="44"/>
      <x v="122"/>
      <x v="501"/>
    </i>
    <i r="1">
      <x v="5"/>
      <x v="3"/>
      <x v="39"/>
      <x v="106"/>
      <x v="225"/>
    </i>
    <i r="3">
      <x v="40"/>
      <x v="14"/>
      <x v="936"/>
    </i>
    <i>
      <x v="84"/>
      <x v="1"/>
      <x v="4"/>
      <x v="32"/>
      <x v="122"/>
      <x v="1208"/>
    </i>
    <i r="4">
      <x v="123"/>
      <x v="665"/>
    </i>
    <i r="1">
      <x v="3"/>
      <x v="1"/>
      <x v="3"/>
      <x v="161"/>
      <x v="441"/>
    </i>
    <i r="2">
      <x v="6"/>
      <x v="28"/>
      <x v="122"/>
      <x v="272"/>
    </i>
    <i r="2">
      <x v="15"/>
      <x v="68"/>
      <x v="97"/>
      <x v="912"/>
    </i>
    <i r="1">
      <x v="5"/>
      <x v="12"/>
      <x v="64"/>
      <x v="52"/>
      <x v="331"/>
    </i>
    <i>
      <x v="85"/>
      <x v="1"/>
      <x v="4"/>
      <x v="32"/>
      <x v="54"/>
      <x v="642"/>
    </i>
    <i r="4">
      <x v="184"/>
      <x v="551"/>
    </i>
    <i r="1">
      <x v="2"/>
      <x v="5"/>
      <x v="44"/>
      <x v="183"/>
      <x v="503"/>
    </i>
    <i r="1">
      <x v="3"/>
      <x v="1"/>
      <x v="3"/>
      <x v="88"/>
      <x v="204"/>
    </i>
    <i r="2">
      <x v="6"/>
      <x v="28"/>
      <x v="122"/>
      <x v="272"/>
    </i>
    <i r="2">
      <x v="15"/>
      <x v="68"/>
      <x v="97"/>
      <x v="912"/>
    </i>
    <i r="1">
      <x v="4"/>
      <x v="11"/>
      <x v="17"/>
      <x v="40"/>
      <x v="1086"/>
    </i>
    <i r="3">
      <x v="62"/>
      <x v="22"/>
      <x v="297"/>
    </i>
    <i r="1">
      <x v="5"/>
      <x v="3"/>
      <x v="40"/>
      <x v="150"/>
      <x v="951"/>
    </i>
    <i r="4">
      <x v="233"/>
      <x v="998"/>
    </i>
    <i>
      <x v="86"/>
      <x v="1"/>
      <x v="4"/>
      <x v="32"/>
      <x v="15"/>
      <x v="1200"/>
    </i>
    <i r="4">
      <x v="35"/>
      <x v="829"/>
    </i>
    <i r="4">
      <x v="77"/>
      <x v="542"/>
    </i>
    <i r="1">
      <x v="3"/>
      <x v="9"/>
      <x v="54"/>
      <x v="15"/>
      <x v="796"/>
    </i>
    <i r="2">
      <x v="15"/>
      <x v="68"/>
      <x v="97"/>
      <x v="912"/>
    </i>
    <i r="1">
      <x v="4"/>
      <x v="11"/>
      <x v="26"/>
      <x v="227"/>
      <x v="1050"/>
    </i>
    <i r="1">
      <x v="5"/>
      <x v="3"/>
      <x v="40"/>
      <x v="149"/>
      <x v="990"/>
    </i>
    <i>
      <x v="87"/>
      <x v="1"/>
      <x v="4"/>
      <x v="32"/>
      <x v="35"/>
      <x v="640"/>
    </i>
    <i r="4">
      <x v="240"/>
      <x v="847"/>
    </i>
    <i r="1">
      <x v="3"/>
      <x v="1"/>
      <x v="3"/>
      <x v="151"/>
      <x v="65"/>
    </i>
    <i r="4">
      <x v="239"/>
      <x v="426"/>
    </i>
    <i r="2">
      <x v="9"/>
      <x v="54"/>
      <x v="34"/>
      <x v="621"/>
    </i>
    <i r="2">
      <x v="15"/>
      <x v="68"/>
      <x v="97"/>
      <x v="912"/>
    </i>
    <i r="1">
      <x v="4"/>
      <x v="11"/>
      <x v="17"/>
      <x v="22"/>
      <x v="1085"/>
    </i>
    <i r="1">
      <x v="5"/>
      <x v="3"/>
      <x v="40"/>
      <x v="166"/>
      <x v="954"/>
    </i>
    <i>
      <x v="88"/>
      <x v="1"/>
      <x v="4"/>
      <x v="32"/>
      <x v="240"/>
      <x v="658"/>
    </i>
    <i r="2">
      <x v="7"/>
      <x v="42"/>
      <x v="201"/>
      <x v="15"/>
    </i>
    <i r="1">
      <x v="3"/>
      <x v="1"/>
      <x v="3"/>
      <x v="107"/>
      <x v="60"/>
    </i>
    <i r="2">
      <x v="6"/>
      <x v="28"/>
      <x v="122"/>
      <x v="272"/>
    </i>
    <i r="2">
      <x v="9"/>
      <x v="54"/>
      <x v="183"/>
      <x v="623"/>
    </i>
    <i r="2">
      <x v="15"/>
      <x v="68"/>
      <x v="97"/>
      <x v="912"/>
    </i>
    <i r="1">
      <x v="4"/>
      <x v="11"/>
      <x v="15"/>
      <x v="13"/>
      <x v="1120"/>
    </i>
    <i r="3">
      <x v="17"/>
      <x v="207"/>
      <x v="1099"/>
    </i>
    <i r="1">
      <x v="5"/>
      <x v="3"/>
      <x v="40"/>
      <x v="166"/>
      <x v="954"/>
    </i>
    <i>
      <x v="89"/>
      <x v="1"/>
      <x v="4"/>
      <x v="32"/>
      <x v="122"/>
      <x v="134"/>
    </i>
    <i r="4">
      <x v="184"/>
      <x v="845"/>
    </i>
    <i r="2">
      <x v="7"/>
      <x v="31"/>
      <x v="184"/>
      <x v="456"/>
    </i>
    <i r="1">
      <x v="2"/>
      <x v="5"/>
      <x v="44"/>
      <x v="183"/>
      <x v="503"/>
    </i>
    <i r="1">
      <x v="3"/>
      <x v="1"/>
      <x v="3"/>
      <x v="122"/>
      <x v="420"/>
    </i>
    <i r="4">
      <x v="183"/>
      <x v="77"/>
    </i>
    <i r="2">
      <x v="15"/>
      <x v="68"/>
      <x v="97"/>
      <x v="912"/>
    </i>
    <i r="1">
      <x v="4"/>
      <x v="11"/>
      <x v="26"/>
      <x v="51"/>
      <x v="1054"/>
    </i>
    <i r="1">
      <x v="5"/>
      <x v="3"/>
      <x v="39"/>
      <x v="130"/>
      <x v="228"/>
    </i>
    <i r="3">
      <x v="40"/>
      <x v="130"/>
      <x v="950"/>
    </i>
    <i>
      <x v="90"/>
      <x v="1"/>
      <x v="2"/>
      <x v="30"/>
      <x v="35"/>
      <x v="868"/>
    </i>
    <i r="4">
      <x v="202"/>
      <x v="755"/>
    </i>
    <i r="2">
      <x v="4"/>
      <x v="32"/>
      <x v="77"/>
      <x v="645"/>
    </i>
    <i r="1">
      <x v="3"/>
      <x v="1"/>
      <x v="3"/>
      <x v="15"/>
      <x v="50"/>
    </i>
    <i r="4">
      <x v="239"/>
      <x v="78"/>
    </i>
    <i r="2">
      <x v="15"/>
      <x v="68"/>
      <x v="97"/>
      <x v="912"/>
    </i>
    <i r="1">
      <x v="4"/>
      <x v="11"/>
      <x v="15"/>
      <x v="208"/>
      <x v="1124"/>
    </i>
    <i r="3">
      <x v="17"/>
      <x v="130"/>
      <x v="1090"/>
    </i>
    <i>
      <x v="91"/>
      <x v="1"/>
      <x v="4"/>
      <x v="32"/>
      <x v="34"/>
      <x v="1201"/>
    </i>
    <i r="4">
      <x v="77"/>
      <x v="835"/>
    </i>
    <i r="4">
      <x v="184"/>
      <x v="135"/>
    </i>
    <i r="1">
      <x v="3"/>
      <x v="1"/>
      <x v="3"/>
      <x v="107"/>
      <x v="76"/>
    </i>
    <i r="4">
      <x v="183"/>
      <x v="422"/>
    </i>
    <i r="2">
      <x v="9"/>
      <x v="54"/>
      <x v="183"/>
      <x v="622"/>
    </i>
    <i r="2">
      <x v="15"/>
      <x v="68"/>
      <x v="97"/>
      <x v="912"/>
    </i>
    <i r="1">
      <x v="4"/>
      <x v="11"/>
      <x v="15"/>
      <x v="51"/>
      <x v="1123"/>
    </i>
    <i r="3">
      <x v="17"/>
      <x v="165"/>
      <x v="1093"/>
    </i>
    <i r="1">
      <x v="5"/>
      <x v="3"/>
      <x v="40"/>
      <x v="86"/>
      <x v="945"/>
    </i>
    <i>
      <x v="92"/>
      <x v="1"/>
      <x v="2"/>
      <x v="30"/>
      <x v="184"/>
      <x v="869"/>
    </i>
    <i r="1">
      <x v="3"/>
      <x v="1"/>
      <x v="3"/>
      <x v="183"/>
      <x v="67"/>
    </i>
    <i r="2">
      <x v="15"/>
      <x v="68"/>
      <x v="97"/>
      <x v="912"/>
    </i>
    <i r="1">
      <x v="4"/>
      <x v="11"/>
      <x v="62"/>
      <x v="189"/>
      <x v="319"/>
    </i>
    <i>
      <x v="93"/>
      <x v="2"/>
      <x v="5"/>
      <x v="44"/>
      <x v="160"/>
      <x v="502"/>
    </i>
    <i r="1">
      <x v="3"/>
      <x v="1"/>
      <x v="3"/>
      <x v="184"/>
      <x v="423"/>
    </i>
    <i r="2">
      <x v="8"/>
      <x v="69"/>
      <x v="129"/>
      <x v="1163"/>
    </i>
    <i r="1">
      <x v="5"/>
      <x v="3"/>
      <x v="40"/>
      <x v="129"/>
      <x v="930"/>
    </i>
    <i r="4">
      <x v="130"/>
      <x v="1006"/>
    </i>
    <i r="4">
      <x v="245"/>
      <x v="965"/>
    </i>
    <i>
      <x v="94"/>
      <x v="2"/>
      <x v="5"/>
      <x v="33"/>
      <x v="77"/>
      <x v="373"/>
    </i>
    <i r="1">
      <x v="3"/>
      <x v="8"/>
      <x v="69"/>
      <x v="14"/>
      <x v="1156"/>
    </i>
    <i r="1">
      <x v="5"/>
      <x v="3"/>
      <x v="40"/>
      <x v="105"/>
      <x v="987"/>
    </i>
    <i r="4">
      <x v="165"/>
      <x v="953"/>
    </i>
    <i>
      <x v="95"/>
      <x v="1"/>
      <x v="4"/>
      <x v="32"/>
      <x v="1"/>
      <x v="824"/>
    </i>
    <i r="4">
      <x v="15"/>
      <x v="799"/>
    </i>
    <i r="4">
      <x v="184"/>
      <x v="558"/>
    </i>
    <i r="1">
      <x v="2"/>
      <x v="5"/>
      <x v="29"/>
      <x v="53"/>
      <x v="770"/>
    </i>
    <i r="1">
      <x v="3"/>
      <x v="1"/>
      <x v="3"/>
      <x v="132"/>
      <x v="207"/>
    </i>
    <i r="2">
      <x v="9"/>
      <x v="54"/>
      <x v="202"/>
      <x v="895"/>
    </i>
    <i r="1">
      <x v="5"/>
      <x v="3"/>
      <x v="40"/>
      <x v="129"/>
      <x v="949"/>
    </i>
    <i>
      <x v="96"/>
      <x v="1"/>
      <x v="4"/>
      <x v="32"/>
      <x v="183"/>
      <x v="844"/>
    </i>
    <i r="1">
      <x v="3"/>
      <x v="1"/>
      <x v="3"/>
      <x v="15"/>
      <x v="438"/>
    </i>
    <i r="2">
      <x v="6"/>
      <x v="28"/>
      <x v="160"/>
      <x v="275"/>
    </i>
    <i r="2">
      <x v="8"/>
      <x v="69"/>
      <x v="190"/>
      <x v="1167"/>
    </i>
    <i r="2">
      <x v="9"/>
      <x v="54"/>
      <x v="183"/>
      <x v="791"/>
    </i>
    <i r="1">
      <x v="5"/>
      <x v="3"/>
      <x v="40"/>
      <x v="105"/>
      <x v="987"/>
    </i>
    <i r="4">
      <x v="199"/>
      <x v="961"/>
    </i>
    <i>
      <x v="97"/>
      <x v="1"/>
      <x v="4"/>
      <x v="32"/>
      <x v="240"/>
      <x v="658"/>
    </i>
    <i r="1">
      <x v="3"/>
      <x v="1"/>
      <x v="3"/>
      <x v="133"/>
      <x v="64"/>
    </i>
    <i r="2">
      <x v="6"/>
      <x v="28"/>
      <x v="80"/>
      <x v="270"/>
    </i>
    <i r="2">
      <x v="8"/>
      <x v="69"/>
      <x v="189"/>
      <x v="1166"/>
    </i>
    <i r="2">
      <x v="9"/>
      <x v="54"/>
      <x v="76"/>
      <x v="612"/>
    </i>
    <i r="4">
      <x v="122"/>
      <x v="618"/>
    </i>
    <i r="5">
      <x v="663"/>
    </i>
    <i r="4">
      <x v="184"/>
      <x v="629"/>
    </i>
    <i r="2">
      <x v="15"/>
      <x v="68"/>
      <x v="131"/>
      <x v="913"/>
    </i>
    <i r="1">
      <x v="4"/>
      <x v="11"/>
      <x v="17"/>
      <x v="189"/>
      <x v="1096"/>
    </i>
    <i r="1">
      <x v="5"/>
      <x v="3"/>
      <x v="40"/>
      <x v="130"/>
      <x v="950"/>
    </i>
    <i r="4">
      <x v="182"/>
      <x v="993"/>
    </i>
    <i>
      <x v="98"/>
      <x v="1"/>
      <x v="4"/>
      <x v="32"/>
      <x v="54"/>
      <x v="642"/>
    </i>
    <i r="4">
      <x v="77"/>
      <x v="541"/>
    </i>
    <i r="1">
      <x v="3"/>
      <x v="1"/>
      <x v="3"/>
      <x v="15"/>
      <x v="50"/>
    </i>
    <i r="2">
      <x v="6"/>
      <x v="28"/>
      <x v="183"/>
      <x v="279"/>
    </i>
    <i r="2">
      <x v="8"/>
      <x v="69"/>
      <x v="228"/>
      <x v="1168"/>
    </i>
    <i r="2">
      <x v="9"/>
      <x v="54"/>
      <x v="15"/>
      <x v="616"/>
    </i>
    <i r="4">
      <x v="123"/>
      <x v="664"/>
    </i>
    <i r="3">
      <x v="55"/>
      <x v="46"/>
      <x v="84"/>
    </i>
    <i r="2">
      <x v="15"/>
      <x v="68"/>
      <x v="97"/>
      <x v="912"/>
    </i>
    <i r="1">
      <x v="4"/>
      <x v="11"/>
      <x v="11"/>
      <x v="245"/>
      <x v="732"/>
    </i>
    <i r="3">
      <x v="17"/>
      <x v="22"/>
      <x v="1085"/>
    </i>
    <i r="3">
      <x v="62"/>
      <x v="22"/>
      <x v="297"/>
    </i>
    <i r="1">
      <x v="5"/>
      <x v="3"/>
      <x v="40"/>
      <x v="255"/>
      <x v="966"/>
    </i>
    <i>
      <x v="99"/>
      <x v="1"/>
      <x v="4"/>
      <x v="32"/>
      <x v="183"/>
      <x v="653"/>
    </i>
    <i r="1">
      <x v="3"/>
      <x v="1"/>
      <x v="3"/>
      <x v="201"/>
      <x v="425"/>
    </i>
    <i r="4">
      <x v="239"/>
      <x v="72"/>
    </i>
    <i r="2">
      <x v="6"/>
      <x v="28"/>
      <x v="77"/>
      <x v="269"/>
    </i>
    <i r="2">
      <x v="8"/>
      <x v="69"/>
      <x v="106"/>
      <x v="1161"/>
    </i>
    <i r="2">
      <x v="9"/>
      <x v="54"/>
      <x v="122"/>
      <x v="617"/>
    </i>
    <i r="4">
      <x v="123"/>
      <x v="625"/>
    </i>
    <i r="2">
      <x v="15"/>
      <x v="68"/>
      <x v="131"/>
      <x v="913"/>
    </i>
    <i r="1">
      <x v="4"/>
      <x v="11"/>
      <x v="17"/>
      <x v="14"/>
      <x v="1084"/>
    </i>
    <i r="1">
      <x v="5"/>
      <x v="3"/>
      <x v="40"/>
      <x v="86"/>
      <x v="945"/>
    </i>
    <i>
      <x v="100"/>
      <x v="1"/>
      <x v="4"/>
      <x v="32"/>
      <x v="15"/>
      <x v="595"/>
    </i>
    <i r="4">
      <x v="184"/>
      <x v="788"/>
    </i>
    <i r="1">
      <x v="2"/>
      <x v="5"/>
      <x v="33"/>
      <x v="77"/>
      <x v="375"/>
    </i>
    <i r="1">
      <x v="3"/>
      <x v="8"/>
      <x v="34"/>
      <x v="86"/>
      <x v="358"/>
    </i>
    <i r="2">
      <x v="9"/>
      <x v="54"/>
      <x v="218"/>
      <x v="615"/>
    </i>
    <i r="2">
      <x v="15"/>
      <x v="68"/>
      <x v="97"/>
      <x v="912"/>
    </i>
    <i r="1">
      <x v="4"/>
      <x v="11"/>
      <x v="11"/>
      <x v="166"/>
      <x v="729"/>
    </i>
    <i r="1">
      <x v="5"/>
      <x v="3"/>
      <x v="39"/>
      <x v="129"/>
      <x v="227"/>
    </i>
    <i r="4">
      <x v="181"/>
      <x v="243"/>
    </i>
    <i r="3">
      <x v="40"/>
      <x v="129"/>
      <x v="949"/>
    </i>
    <i r="4">
      <x v="181"/>
      <x v="992"/>
    </i>
    <i>
      <x v="101"/>
      <x v="1"/>
      <x v="4"/>
      <x v="32"/>
      <x v="16"/>
      <x v="828"/>
    </i>
    <i r="1">
      <x v="3"/>
      <x v="8"/>
      <x v="69"/>
      <x v="86"/>
      <x v="192"/>
    </i>
    <i r="2">
      <x v="9"/>
      <x v="54"/>
      <x v="183"/>
      <x v="894"/>
    </i>
    <i r="2">
      <x v="15"/>
      <x v="68"/>
      <x v="97"/>
      <x v="912"/>
    </i>
    <i r="1">
      <x v="4"/>
      <x v="11"/>
      <x v="17"/>
      <x v="255"/>
      <x v="1101"/>
    </i>
    <i r="1">
      <x v="5"/>
      <x v="3"/>
      <x v="40"/>
      <x v="14"/>
      <x v="982"/>
    </i>
    <i r="4">
      <x v="85"/>
      <x v="944"/>
    </i>
    <i>
      <x v="102"/>
      <x v="1"/>
      <x v="4"/>
      <x v="32"/>
      <x v="184"/>
      <x v="816"/>
    </i>
    <i r="4">
      <x v="240"/>
      <x v="847"/>
    </i>
    <i r="1">
      <x v="3"/>
      <x v="1"/>
      <x v="3"/>
      <x v="183"/>
      <x v="422"/>
    </i>
    <i r="4">
      <x v="252"/>
      <x v="73"/>
    </i>
    <i r="2">
      <x v="8"/>
      <x v="69"/>
      <x v="51"/>
      <x v="191"/>
    </i>
    <i r="2">
      <x v="15"/>
      <x v="68"/>
      <x v="97"/>
      <x v="912"/>
    </i>
    <i r="1">
      <x v="4"/>
      <x v="11"/>
      <x v="17"/>
      <x v="149"/>
      <x v="1092"/>
    </i>
    <i r="1">
      <x v="5"/>
      <x v="3"/>
      <x v="40"/>
      <x v="14"/>
      <x v="982"/>
    </i>
    <i r="4">
      <x v="86"/>
      <x v="945"/>
    </i>
    <i>
      <x v="103"/>
      <x v="1"/>
      <x v="4"/>
      <x v="32"/>
      <x v="1"/>
      <x v="859"/>
    </i>
    <i r="4">
      <x v="16"/>
      <x v="828"/>
    </i>
    <i r="4">
      <x v="183"/>
      <x v="807"/>
    </i>
    <i r="4">
      <x v="184"/>
      <x v="603"/>
    </i>
    <i r="1">
      <x v="2"/>
      <x v="5"/>
      <x v="33"/>
      <x v="123"/>
      <x v="379"/>
    </i>
    <i r="3">
      <x v="44"/>
      <x v="160"/>
      <x v="502"/>
    </i>
    <i r="1">
      <x v="3"/>
      <x v="1"/>
      <x v="3"/>
      <x v="15"/>
      <x v="202"/>
    </i>
    <i r="2">
      <x v="8"/>
      <x v="69"/>
      <x v="14"/>
      <x v="1156"/>
    </i>
    <i r="2">
      <x v="15"/>
      <x v="68"/>
      <x v="97"/>
      <x v="912"/>
    </i>
    <i r="1">
      <x v="4"/>
      <x v="11"/>
      <x v="26"/>
      <x v="51"/>
      <x v="1060"/>
    </i>
    <i r="4">
      <x v="189"/>
      <x v="1047"/>
    </i>
    <i r="3">
      <x v="62"/>
      <x v="149"/>
      <x v="310"/>
    </i>
    <i r="1">
      <x v="5"/>
      <x v="3"/>
      <x v="37"/>
      <x v="181"/>
      <x v="483"/>
    </i>
    <i r="3">
      <x v="38"/>
      <x v="189"/>
      <x v="683"/>
    </i>
    <i r="3">
      <x v="40"/>
      <x v="51"/>
      <x v="940"/>
    </i>
    <i r="4">
      <x v="158"/>
      <x v="721"/>
    </i>
    <i r="4">
      <x v="207"/>
      <x v="996"/>
    </i>
    <i r="2">
      <x v="12"/>
      <x v="64"/>
      <x v="85"/>
      <x v="334"/>
    </i>
    <i>
      <x v="104"/>
      <x v="1"/>
      <x v="4"/>
      <x v="32"/>
      <x v="122"/>
      <x v="815"/>
    </i>
    <i r="4">
      <x v="183"/>
      <x v="800"/>
    </i>
    <i r="5">
      <x v="844"/>
    </i>
    <i r="1">
      <x v="3"/>
      <x v="1"/>
      <x v="3"/>
      <x v="239"/>
      <x v="212"/>
    </i>
    <i r="2">
      <x v="6"/>
      <x v="28"/>
      <x v="81"/>
      <x v="271"/>
    </i>
    <i r="2">
      <x v="8"/>
      <x v="69"/>
      <x v="106"/>
      <x v="1161"/>
    </i>
    <i r="2">
      <x v="9"/>
      <x v="54"/>
      <x v="123"/>
      <x v="794"/>
    </i>
    <i r="2">
      <x v="15"/>
      <x v="68"/>
      <x v="97"/>
      <x v="912"/>
    </i>
    <i r="1">
      <x v="4"/>
      <x v="11"/>
      <x v="26"/>
      <x v="33"/>
      <x v="1059"/>
    </i>
    <i r="1">
      <x v="5"/>
      <x v="3"/>
      <x v="40"/>
      <x v="105"/>
      <x v="987"/>
    </i>
    <i r="4">
      <x v="175"/>
      <x v="955"/>
    </i>
    <i>
      <x v="105"/>
      <x v="1"/>
      <x v="4"/>
      <x v="32"/>
      <x v="183"/>
      <x v="546"/>
    </i>
    <i r="1">
      <x v="2"/>
      <x v="5"/>
      <x v="33"/>
      <x v="122"/>
      <x v="378"/>
    </i>
    <i r="1">
      <x v="3"/>
      <x v="1"/>
      <x v="3"/>
      <x v="15"/>
      <x v="202"/>
    </i>
    <i r="4">
      <x v="53"/>
      <x v="22"/>
    </i>
    <i r="2">
      <x v="8"/>
      <x v="34"/>
      <x v="106"/>
      <x v="359"/>
    </i>
    <i r="3">
      <x v="69"/>
      <x v="52"/>
      <x v="1158"/>
    </i>
    <i r="2">
      <x v="15"/>
      <x v="68"/>
      <x v="97"/>
      <x v="912"/>
    </i>
    <i r="1">
      <x v="4"/>
      <x v="11"/>
      <x v="20"/>
      <x v="85"/>
      <x v="345"/>
    </i>
    <i r="1">
      <x v="5"/>
      <x v="3"/>
      <x v="37"/>
      <x v="13"/>
      <x v="488"/>
    </i>
    <i>
      <x v="106"/>
      <x v="1"/>
      <x v="4"/>
      <x v="32"/>
      <x v="35"/>
      <x v="452"/>
    </i>
    <i r="4">
      <x v="72"/>
      <x v="723"/>
    </i>
    <i r="4">
      <x v="77"/>
      <x v="645"/>
    </i>
    <i r="2">
      <x v="7"/>
      <x v="42"/>
      <x v="183"/>
      <x v="14"/>
    </i>
    <i r="1">
      <x v="2"/>
      <x v="5"/>
      <x v="29"/>
      <x v="202"/>
      <x v="455"/>
    </i>
    <i r="4">
      <x v="252"/>
      <x v="743"/>
    </i>
    <i r="3">
      <x v="44"/>
      <x v="76"/>
      <x v="500"/>
    </i>
    <i r="1">
      <x v="3"/>
      <x v="1"/>
      <x v="3"/>
      <x v="122"/>
      <x v="420"/>
    </i>
    <i r="1">
      <x v="4"/>
      <x v="11"/>
      <x v="26"/>
      <x v="13"/>
      <x v="1056"/>
    </i>
    <i r="3">
      <x v="62"/>
      <x v="59"/>
      <x v="724"/>
    </i>
    <i r="1">
      <x v="5"/>
      <x v="3"/>
      <x v="40"/>
      <x v="238"/>
      <x v="964"/>
    </i>
    <i>
      <x v="107"/>
      <x v="1"/>
      <x v="4"/>
      <x v="32"/>
      <x v="122"/>
      <x v="648"/>
    </i>
    <i r="4">
      <x v="183"/>
      <x v="589"/>
    </i>
    <i r="2">
      <x v="14"/>
      <x v="71"/>
      <x v="22"/>
      <x v="1195"/>
    </i>
    <i r="1">
      <x v="2"/>
      <x v="5"/>
      <x v="29"/>
      <x v="160"/>
      <x v="693"/>
    </i>
    <i r="3">
      <x v="33"/>
      <x v="184"/>
      <x v="383"/>
    </i>
    <i r="1">
      <x v="3"/>
      <x v="8"/>
      <x v="34"/>
      <x v="106"/>
      <x v="359"/>
    </i>
    <i r="2">
      <x v="9"/>
      <x v="55"/>
      <x v="130"/>
      <x v="494"/>
    </i>
    <i r="1">
      <x v="4"/>
      <x v="11"/>
      <x v="11"/>
      <x v="228"/>
      <x v="730"/>
    </i>
    <i r="3">
      <x v="62"/>
      <x v="150"/>
      <x v="311"/>
    </i>
    <i r="1">
      <x v="5"/>
      <x v="3"/>
      <x v="37"/>
      <x v="129"/>
      <x v="481"/>
    </i>
    <i r="4">
      <x v="182"/>
      <x v="491"/>
    </i>
    <i r="3">
      <x v="39"/>
      <x v="182"/>
      <x v="245"/>
    </i>
    <i r="4">
      <x v="189"/>
      <x v="232"/>
    </i>
    <i>
      <x v="108"/>
      <x v="1"/>
      <x v="4"/>
      <x v="32"/>
      <x v="16"/>
      <x v="637"/>
    </i>
    <i r="4">
      <x v="184"/>
      <x v="590"/>
    </i>
    <i r="1">
      <x v="2"/>
      <x v="5"/>
      <x v="29"/>
      <x v="184"/>
      <x v="695"/>
    </i>
    <i r="3">
      <x v="33"/>
      <x v="183"/>
      <x v="382"/>
    </i>
    <i r="1">
      <x v="3"/>
      <x v="8"/>
      <x v="34"/>
      <x v="129"/>
      <x v="360"/>
    </i>
    <i r="2">
      <x v="9"/>
      <x v="54"/>
      <x v="225"/>
      <x v="626"/>
    </i>
    <i r="1">
      <x v="4"/>
      <x v="11"/>
      <x v="11"/>
      <x v="22"/>
      <x v="727"/>
    </i>
    <i r="3">
      <x v="19"/>
      <x v="165"/>
      <x v="337"/>
    </i>
    <i r="3">
      <x v="62"/>
      <x v="207"/>
      <x v="315"/>
    </i>
    <i r="1">
      <x v="5"/>
      <x v="3"/>
      <x v="37"/>
      <x v="14"/>
      <x v="489"/>
    </i>
    <i r="4">
      <x v="106"/>
      <x v="480"/>
    </i>
    <i r="3">
      <x v="39"/>
      <x v="190"/>
      <x v="233"/>
    </i>
    <i>
      <x v="109"/>
      <x v="1"/>
      <x v="4"/>
      <x v="32"/>
      <x v="81"/>
      <x v="646"/>
    </i>
    <i r="4">
      <x v="225"/>
      <x v="711"/>
    </i>
    <i r="2">
      <x v="7"/>
      <x v="35"/>
      <x v="54"/>
      <x v="41"/>
    </i>
    <i r="1">
      <x v="3"/>
      <x v="1"/>
      <x v="3"/>
      <x v="1"/>
      <x v="201"/>
    </i>
    <i r="2">
      <x v="10"/>
      <x v="58"/>
      <x v="85"/>
      <x v="496"/>
    </i>
    <i r="1">
      <x v="4"/>
      <x v="11"/>
      <x v="22"/>
      <x v="14"/>
      <x v="478"/>
    </i>
    <i r="1">
      <x v="5"/>
      <x v="3"/>
      <x v="37"/>
      <x v="106"/>
      <x v="480"/>
    </i>
    <i r="3">
      <x v="40"/>
      <x v="86"/>
      <x v="945"/>
    </i>
    <i r="4">
      <x v="182"/>
      <x v="717"/>
    </i>
    <i>
      <x v="110"/>
      <x v="1"/>
      <x v="4"/>
      <x v="32"/>
      <x v="224"/>
      <x v="709"/>
    </i>
    <i r="1">
      <x v="2"/>
      <x v="5"/>
      <x v="44"/>
      <x v="184"/>
      <x v="504"/>
    </i>
    <i r="1">
      <x v="3"/>
      <x v="1"/>
      <x v="3"/>
      <x v="239"/>
      <x v="439"/>
    </i>
    <i r="2">
      <x v="9"/>
      <x v="54"/>
      <x v="183"/>
      <x v="614"/>
    </i>
    <i r="3">
      <x v="55"/>
      <x v="106"/>
      <x v="493"/>
    </i>
    <i r="1">
      <x v="5"/>
      <x v="3"/>
      <x v="37"/>
      <x v="13"/>
      <x v="488"/>
    </i>
    <i r="4">
      <x v="149"/>
      <x v="482"/>
    </i>
    <i>
      <x v="111"/>
      <x v="1"/>
      <x v="4"/>
      <x v="32"/>
      <x v="122"/>
      <x v="648"/>
    </i>
    <i r="4">
      <x v="239"/>
      <x v="712"/>
    </i>
    <i r="1">
      <x v="2"/>
      <x v="5"/>
      <x v="44"/>
      <x v="225"/>
      <x v="506"/>
    </i>
    <i r="1">
      <x v="3"/>
      <x v="9"/>
      <x v="55"/>
      <x v="86"/>
      <x v="492"/>
    </i>
    <i r="1">
      <x v="4"/>
      <x v="11"/>
      <x v="22"/>
      <x v="106"/>
      <x v="477"/>
    </i>
    <i r="3">
      <x v="26"/>
      <x v="14"/>
      <x v="1057"/>
    </i>
    <i r="1">
      <x v="5"/>
      <x v="3"/>
      <x v="37"/>
      <x v="14"/>
      <x v="490"/>
    </i>
    <i r="4">
      <x v="51"/>
      <x v="484"/>
    </i>
    <i>
      <x v="112"/>
      <x/>
      <x/>
      <x/>
      <x v="259"/>
      <x/>
    </i>
    <i>
      <x v="113"/>
      <x v="1"/>
      <x v="4"/>
      <x v="32"/>
      <x v="239"/>
      <x v="559"/>
    </i>
    <i r="1">
      <x v="2"/>
      <x v="5"/>
      <x v="29"/>
      <x v="183"/>
      <x v="89"/>
    </i>
    <i r="5">
      <x v="694"/>
    </i>
    <i r="1">
      <x v="3"/>
      <x v="9"/>
      <x v="54"/>
      <x v="15"/>
      <x v="584"/>
    </i>
    <i r="1">
      <x v="4"/>
      <x v="11"/>
      <x v="62"/>
      <x v="106"/>
      <x v="306"/>
    </i>
    <i r="1">
      <x v="5"/>
      <x v="3"/>
      <x v="38"/>
      <x v="189"/>
      <x v="80"/>
    </i>
    <i r="3">
      <x v="40"/>
      <x v="13"/>
      <x v="935"/>
    </i>
    <i>
      <x v="114"/>
      <x v="1"/>
      <x v="4"/>
      <x v="32"/>
      <x v="7"/>
      <x v="636"/>
    </i>
    <i r="4">
      <x v="54"/>
      <x v="530"/>
    </i>
    <i r="1">
      <x v="2"/>
      <x v="5"/>
      <x v="29"/>
      <x v="219"/>
      <x v="697"/>
    </i>
    <i r="1">
      <x v="3"/>
      <x v="6"/>
      <x v="28"/>
      <x v="6"/>
      <x v="264"/>
    </i>
    <i r="2">
      <x v="9"/>
      <x v="54"/>
      <x v="184"/>
      <x v="586"/>
    </i>
    <i r="1">
      <x v="4"/>
      <x v="11"/>
      <x v="62"/>
      <x v="51"/>
      <x v="301"/>
    </i>
    <i r="1">
      <x v="5"/>
      <x v="3"/>
      <x v="40"/>
      <x v="182"/>
      <x v="957"/>
    </i>
    <i>
      <x v="115"/>
      <x v="2"/>
      <x v="5"/>
      <x v="29"/>
      <x v="219"/>
      <x v="90"/>
    </i>
    <i r="5">
      <x v="697"/>
    </i>
    <i r="1">
      <x v="3"/>
      <x v="1"/>
      <x v="3"/>
      <x v="183"/>
      <x v="422"/>
    </i>
    <i r="2">
      <x v="9"/>
      <x v="54"/>
      <x v="54"/>
      <x v="585"/>
    </i>
    <i r="1">
      <x v="4"/>
      <x v="11"/>
      <x v="17"/>
      <x v="105"/>
      <x v="1088"/>
    </i>
    <i r="3">
      <x v="62"/>
      <x v="165"/>
      <x v="312"/>
    </i>
    <i r="1">
      <x v="5"/>
      <x v="3"/>
      <x v="38"/>
      <x v="22"/>
      <x v="79"/>
    </i>
    <i r="4">
      <x v="189"/>
      <x v="683"/>
    </i>
    <i r="3">
      <x v="40"/>
      <x v="14"/>
      <x v="936"/>
    </i>
    <i>
      <x v="116"/>
      <x/>
      <x/>
      <x/>
      <x v="259"/>
      <x/>
    </i>
    <i>
      <x v="117"/>
      <x v="1"/>
      <x v="7"/>
      <x v="9"/>
      <x v="184"/>
      <x v="389"/>
    </i>
    <i r="3">
      <x v="41"/>
      <x v="184"/>
      <x v="739"/>
    </i>
    <i r="1">
      <x v="4"/>
      <x v="11"/>
      <x v="15"/>
      <x v="85"/>
      <x v="1130"/>
    </i>
    <i r="4">
      <x v="149"/>
      <x v="1127"/>
    </i>
    <i r="3">
      <x v="17"/>
      <x/>
      <x v="1106"/>
    </i>
    <i>
      <x v="118"/>
      <x v="1"/>
      <x v="7"/>
      <x v="7"/>
      <x v="184"/>
      <x v="527"/>
    </i>
    <i r="3">
      <x v="9"/>
      <x v="54"/>
      <x v="388"/>
    </i>
    <i r="3">
      <x v="41"/>
      <x v="54"/>
      <x v="737"/>
    </i>
    <i r="2">
      <x v="14"/>
      <x v="46"/>
      <x/>
      <x v="524"/>
    </i>
    <i r="1">
      <x v="4"/>
      <x v="11"/>
      <x v="15"/>
      <x v="22"/>
      <x v="1126"/>
    </i>
    <i r="4">
      <x v="165"/>
      <x v="1132"/>
    </i>
    <i r="3">
      <x v="17"/>
      <x/>
      <x v="1106"/>
    </i>
    <i>
      <x v="119"/>
      <x v="1"/>
      <x v="7"/>
      <x v="7"/>
      <x v="183"/>
      <x v="526"/>
    </i>
    <i r="3">
      <x v="9"/>
      <x v="218"/>
      <x v="390"/>
    </i>
    <i r="3">
      <x v="41"/>
      <x v="183"/>
      <x v="738"/>
    </i>
    <i r="1">
      <x v="4"/>
      <x v="11"/>
      <x v="15"/>
      <x v="86"/>
      <x v="1131"/>
    </i>
    <i r="4">
      <x v="228"/>
      <x v="1128"/>
    </i>
    <i r="3">
      <x v="17"/>
      <x/>
      <x v="1106"/>
    </i>
    <i>
      <x v="120"/>
      <x v="1"/>
      <x v="4"/>
      <x v="32"/>
      <x v="35"/>
      <x v="640"/>
    </i>
    <i r="4">
      <x v="69"/>
      <x v="556"/>
    </i>
    <i r="1">
      <x v="3"/>
      <x v="1"/>
      <x v="3"/>
      <x v="24"/>
      <x v="52"/>
    </i>
    <i r="2">
      <x v="6"/>
      <x v="28"/>
      <x v="160"/>
      <x v="275"/>
    </i>
    <i r="2">
      <x v="8"/>
      <x v="69"/>
      <x v="41"/>
      <x v="1171"/>
    </i>
    <i r="1">
      <x v="4"/>
      <x v="11"/>
      <x v="25"/>
      <x v="175"/>
      <x v="1145"/>
    </i>
    <i r="3">
      <x v="62"/>
      <x v="93"/>
      <x v="321"/>
    </i>
    <i r="1">
      <x v="5"/>
      <x v="3"/>
      <x v="40"/>
      <x v="23"/>
      <x v="937"/>
    </i>
    <i>
      <x v="121"/>
      <x v="1"/>
      <x v="4"/>
      <x v="32"/>
      <x v="16"/>
      <x v="639"/>
    </i>
    <i r="4">
      <x v="54"/>
      <x v="555"/>
    </i>
    <i r="2">
      <x v="7"/>
      <x v="42"/>
      <x v="15"/>
      <x v="9"/>
    </i>
    <i r="1">
      <x v="3"/>
      <x v="1"/>
      <x v="3"/>
      <x v="15"/>
      <x v="429"/>
    </i>
    <i r="4">
      <x v="132"/>
      <x v="63"/>
    </i>
    <i r="2">
      <x v="6"/>
      <x v="28"/>
      <x v="160"/>
      <x v="275"/>
    </i>
    <i r="2">
      <x v="8"/>
      <x v="69"/>
      <x v="233"/>
      <x v="1177"/>
    </i>
    <i r="1">
      <x v="4"/>
      <x v="11"/>
      <x v="17"/>
      <x v="189"/>
      <x v="1110"/>
    </i>
    <i r="3">
      <x v="62"/>
      <x v="93"/>
      <x v="320"/>
    </i>
    <i r="1">
      <x v="5"/>
      <x v="3"/>
      <x v="40"/>
      <x v="190"/>
      <x v="959"/>
    </i>
    <i>
      <x v="122"/>
      <x v="1"/>
      <x v="4"/>
      <x v="32"/>
      <x v="239"/>
      <x v="1215"/>
    </i>
    <i r="1">
      <x v="3"/>
      <x v="1"/>
      <x v="3"/>
      <x v="15"/>
      <x v="50"/>
    </i>
    <i r="2">
      <x v="8"/>
      <x v="69"/>
      <x v="130"/>
      <x v="1173"/>
    </i>
    <i r="1">
      <x v="4"/>
      <x v="11"/>
      <x v="62"/>
      <x v="149"/>
      <x v="322"/>
    </i>
    <i r="1">
      <x v="5"/>
      <x v="3"/>
      <x v="40"/>
      <x v="130"/>
      <x v="950"/>
    </i>
    <i>
      <x v="123"/>
      <x v="3"/>
      <x v="8"/>
      <x v="34"/>
      <x v="150"/>
      <x v="361"/>
    </i>
    <i>
      <x v="124"/>
      <x v="4"/>
      <x v="11"/>
      <x v="20"/>
      <x v="116"/>
      <x v="347"/>
    </i>
    <i>
      <x v="125"/>
      <x v="1"/>
      <x v="4"/>
      <x v="32"/>
      <x v="72"/>
      <x v="216"/>
    </i>
    <i>
      <x v="126"/>
      <x v="5"/>
      <x v="3"/>
      <x v="39"/>
      <x v="165"/>
      <x v="229"/>
    </i>
    <i>
      <x v="127"/>
      <x v="1"/>
      <x v="4"/>
      <x v="32"/>
      <x v="50"/>
      <x v="710"/>
    </i>
    <i>
      <x v="128"/>
      <x v="3"/>
      <x v="9"/>
      <x v="55"/>
      <x v="228"/>
      <x v="495"/>
    </i>
    <i>
      <x v="129"/>
      <x v="5"/>
      <x v="3"/>
      <x v="37"/>
      <x v="105"/>
      <x v="479"/>
    </i>
    <i>
      <x v="130"/>
      <x v="1"/>
      <x v="4"/>
      <x v="32"/>
      <x v="254"/>
      <x v="848"/>
    </i>
    <i>
      <x v="131"/>
      <x v="3"/>
      <x v="8"/>
      <x v="69"/>
      <x v="130"/>
      <x v="1162"/>
    </i>
    <i>
      <x v="132"/>
      <x v="4"/>
      <x v="11"/>
      <x v="26"/>
      <x v="102"/>
      <x v="1064"/>
    </i>
    <i>
      <x v="133"/>
      <x v="3"/>
      <x v="6"/>
      <x v="28"/>
      <x v="161"/>
      <x v="274"/>
    </i>
    <i>
      <x v="134"/>
      <x v="5"/>
      <x v="3"/>
      <x v="40"/>
      <x v="199"/>
      <x v="960"/>
    </i>
    <i>
      <x v="135"/>
      <x v="1"/>
      <x v="4"/>
      <x v="32"/>
      <x v="16"/>
      <x v="638"/>
    </i>
    <i>
      <x v="136"/>
      <x v="3"/>
      <x v="1"/>
      <x v="3"/>
      <x v="35"/>
      <x v="413"/>
    </i>
    <i>
      <x v="137"/>
      <x v="3"/>
      <x v="1"/>
      <x v="3"/>
      <x v="118"/>
      <x v="205"/>
    </i>
    <i>
      <x v="138"/>
      <x v="1"/>
      <x v="4"/>
      <x v="32"/>
      <x v="64"/>
      <x v="1204"/>
    </i>
    <i>
      <x v="139"/>
      <x v="1"/>
      <x v="4"/>
      <x v="32"/>
      <x v="122"/>
      <x v="840"/>
    </i>
    <i r="4">
      <x v="183"/>
      <x v="861"/>
    </i>
    <i r="2">
      <x v="14"/>
      <x v="45"/>
      <x v="214"/>
      <x v="746"/>
    </i>
    <i r="5">
      <x v="750"/>
    </i>
    <i r="1">
      <x v="3"/>
      <x v="1"/>
      <x v="4"/>
      <x v="122"/>
      <x v="213"/>
    </i>
    <i r="2">
      <x v="9"/>
      <x v="49"/>
      <x v="14"/>
      <x v="190"/>
    </i>
    <i r="5">
      <x v="249"/>
    </i>
    <i r="1">
      <x v="4"/>
      <x v="11"/>
      <x v="26"/>
      <x v="208"/>
      <x v="1049"/>
    </i>
    <i r="1">
      <x v="5"/>
      <x v="3"/>
      <x v="40"/>
      <x v="182"/>
      <x v="957"/>
    </i>
    <i r="2">
      <x v="12"/>
      <x v="64"/>
      <x v="14"/>
      <x v="333"/>
    </i>
    <i>
      <x v="140"/>
      <x v="1"/>
      <x v="4"/>
      <x v="32"/>
      <x v="123"/>
      <x v="841"/>
    </i>
    <i r="4">
      <x v="184"/>
      <x v="862"/>
    </i>
    <i r="2">
      <x v="14"/>
      <x v="45"/>
      <x v="215"/>
      <x v="747"/>
    </i>
    <i r="5">
      <x v="751"/>
    </i>
    <i r="1">
      <x v="3"/>
      <x v="6"/>
      <x v="28"/>
      <x v="122"/>
      <x v="272"/>
    </i>
    <i r="2">
      <x v="9"/>
      <x v="49"/>
      <x v="13"/>
      <x v="189"/>
    </i>
    <i r="5">
      <x v="248"/>
    </i>
    <i r="1">
      <x v="4"/>
      <x v="11"/>
      <x v="20"/>
      <x v="217"/>
      <x v="350"/>
    </i>
    <i r="3">
      <x v="26"/>
      <x v="232"/>
      <x v="1051"/>
    </i>
    <i r="1">
      <x v="5"/>
      <x v="3"/>
      <x v="40"/>
      <x v="13"/>
      <x v="718"/>
    </i>
    <i r="4">
      <x v="129"/>
      <x v="949"/>
    </i>
    <i r="2">
      <x v="12"/>
      <x v="64"/>
      <x v="13"/>
      <x v="332"/>
    </i>
    <i>
      <x v="141"/>
      <x v="1"/>
      <x v="4"/>
      <x v="32"/>
      <x v="1"/>
      <x v="824"/>
    </i>
    <i r="4">
      <x v="16"/>
      <x v="860"/>
    </i>
    <i r="4">
      <x v="76"/>
      <x v="853"/>
    </i>
    <i r="2">
      <x v="14"/>
      <x v="45"/>
      <x v="46"/>
      <x v="745"/>
    </i>
    <i r="5">
      <x v="749"/>
    </i>
    <i r="1">
      <x v="3"/>
      <x v="1"/>
      <x v="4"/>
      <x v="123"/>
      <x v="214"/>
    </i>
    <i r="2">
      <x v="9"/>
      <x v="49"/>
      <x v="13"/>
      <x v="189"/>
    </i>
    <i r="5">
      <x v="248"/>
    </i>
    <i r="1">
      <x v="4"/>
      <x v="11"/>
      <x v="26"/>
      <x v="249"/>
      <x v="1053"/>
    </i>
    <i r="3">
      <x v="62"/>
      <x v="51"/>
      <x v="301"/>
    </i>
    <i>
      <x v="142"/>
      <x v="1"/>
      <x v="4"/>
      <x v="32"/>
      <x v="76"/>
      <x v="814"/>
    </i>
    <i r="4">
      <x v="184"/>
      <x v="845"/>
    </i>
    <i r="4">
      <x v="240"/>
      <x v="560"/>
    </i>
    <i r="2">
      <x v="7"/>
      <x v="8"/>
      <x v="184"/>
      <x v="38"/>
    </i>
    <i r="1">
      <x v="2"/>
      <x v="5"/>
      <x v="27"/>
      <x v="161"/>
      <x v="97"/>
    </i>
    <i r="3">
      <x v="29"/>
      <x v="35"/>
      <x v="691"/>
    </i>
    <i r="4">
      <x v="77"/>
      <x v="137"/>
    </i>
    <i r="4">
      <x v="184"/>
      <x v="1224"/>
    </i>
    <i r="1">
      <x v="3"/>
      <x v="1"/>
      <x v="3"/>
      <x v="16"/>
      <x v="175"/>
    </i>
    <i r="4">
      <x v="201"/>
      <x v="425"/>
    </i>
    <i r="2">
      <x v="6"/>
      <x v="28"/>
      <x v="122"/>
      <x v="272"/>
    </i>
    <i r="2">
      <x v="8"/>
      <x v="69"/>
      <x v="52"/>
      <x v="1158"/>
    </i>
    <i r="1">
      <x v="4"/>
      <x v="11"/>
      <x v="12"/>
      <x v="165"/>
      <x v="409"/>
    </i>
    <i r="3">
      <x v="62"/>
      <x v="189"/>
      <x v="314"/>
    </i>
    <i r="1">
      <x v="5"/>
      <x v="3"/>
      <x v="38"/>
      <x v="189"/>
      <x v="683"/>
    </i>
    <i r="3">
      <x v="40"/>
      <x v="106"/>
      <x v="947"/>
    </i>
    <i>
      <x v="143"/>
      <x v="1"/>
      <x v="4"/>
      <x v="32"/>
      <x v="6"/>
      <x v="825"/>
    </i>
    <i r="2">
      <x v="7"/>
      <x v="8"/>
      <x v="10"/>
      <x v="163"/>
    </i>
    <i r="4">
      <x v="80"/>
      <x v="34"/>
    </i>
    <i r="1">
      <x v="2"/>
      <x v="5"/>
      <x v="27"/>
      <x v="80"/>
      <x v="95"/>
    </i>
    <i r="3">
      <x v="29"/>
      <x v="201"/>
      <x v="696"/>
    </i>
    <i r="1">
      <x v="3"/>
      <x v="6"/>
      <x v="28"/>
      <x v="7"/>
      <x v="265"/>
    </i>
    <i r="1">
      <x v="4"/>
      <x v="11"/>
      <x v="24"/>
      <x v="14"/>
      <x v="1030"/>
    </i>
    <i r="3">
      <x v="62"/>
      <x v="52"/>
      <x v="300"/>
    </i>
    <i>
      <x v="144"/>
      <x v="1"/>
      <x v="4"/>
      <x v="32"/>
      <x v="77"/>
      <x v="835"/>
    </i>
    <i r="4">
      <x v="161"/>
      <x v="557"/>
    </i>
    <i r="2">
      <x v="7"/>
      <x v="8"/>
      <x v="161"/>
      <x v="35"/>
    </i>
    <i r="1">
      <x v="2"/>
      <x v="5"/>
      <x v="27"/>
      <x v="127"/>
      <x v="96"/>
    </i>
    <i r="3">
      <x v="29"/>
      <x v="240"/>
      <x v="698"/>
    </i>
    <i r="1">
      <x v="3"/>
      <x v="1"/>
      <x v="3"/>
      <x v="76"/>
      <x v="416"/>
    </i>
    <i r="2">
      <x v="6"/>
      <x v="28"/>
      <x v="10"/>
      <x v="266"/>
    </i>
    <i r="1">
      <x v="4"/>
      <x v="11"/>
      <x v="24"/>
      <x v="32"/>
      <x v="1031"/>
    </i>
    <i r="3">
      <x v="62"/>
      <x v="51"/>
      <x v="299"/>
    </i>
    <i r="1">
      <x v="5"/>
      <x v="3"/>
      <x v="40"/>
      <x v="182"/>
      <x v="957"/>
    </i>
    <i>
      <x v="145"/>
      <x v="1"/>
      <x v="4"/>
      <x v="32"/>
      <x v="1"/>
      <x v="857"/>
    </i>
    <i r="2">
      <x v="7"/>
      <x v="43"/>
      <x v="16"/>
      <x v="461"/>
    </i>
    <i r="4">
      <x v="54"/>
      <x v="459"/>
    </i>
    <i r="4">
      <x v="201"/>
      <x v="160"/>
    </i>
    <i r="5">
      <x v="876"/>
    </i>
    <i r="2">
      <x v="14"/>
      <x v="45"/>
      <x v="27"/>
      <x v="748"/>
    </i>
    <i r="1">
      <x v="4"/>
      <x v="11"/>
      <x v="26"/>
      <x v="52"/>
      <x v="1042"/>
    </i>
    <i r="1">
      <x v="5"/>
      <x v="3"/>
      <x v="40"/>
      <x v="181"/>
      <x v="956"/>
    </i>
    <i>
      <x v="146"/>
      <x v="1"/>
      <x v="4"/>
      <x v="32"/>
      <x v="88"/>
      <x v="511"/>
    </i>
    <i r="4">
      <x v="183"/>
      <x v="591"/>
    </i>
    <i r="2">
      <x v="7"/>
      <x v="42"/>
      <x v="10"/>
      <x v="13"/>
    </i>
    <i r="2">
      <x v="14"/>
      <x v="72"/>
      <x v="114"/>
      <x v="1216"/>
    </i>
    <i r="1">
      <x v="3"/>
      <x v="1"/>
      <x v="3"/>
      <x v="15"/>
      <x v="412"/>
    </i>
    <i r="4">
      <x v="16"/>
      <x v="180"/>
    </i>
    <i r="2">
      <x v="6"/>
      <x v="28"/>
      <x v="77"/>
      <x v="269"/>
    </i>
    <i r="1">
      <x v="4"/>
      <x v="11"/>
      <x v="12"/>
      <x v="165"/>
      <x v="409"/>
    </i>
    <i r="3">
      <x v="15"/>
      <x v="245"/>
      <x v="26"/>
    </i>
    <i r="1">
      <x v="5"/>
      <x v="3"/>
      <x v="40"/>
      <x v="130"/>
      <x v="933"/>
    </i>
    <i r="4">
      <x v="166"/>
      <x v="952"/>
    </i>
    <i>
      <x v="147"/>
      <x v="1"/>
      <x v="4"/>
      <x v="32"/>
      <x v="1"/>
      <x v="510"/>
    </i>
    <i r="4">
      <x v="7"/>
      <x v="826"/>
    </i>
    <i r="4">
      <x v="184"/>
      <x v="880"/>
    </i>
    <i r="2">
      <x v="7"/>
      <x v="42"/>
      <x v="123"/>
      <x v="919"/>
    </i>
    <i r="1">
      <x v="2"/>
      <x v="5"/>
      <x v="29"/>
      <x v="161"/>
      <x v="513"/>
    </i>
    <i r="3">
      <x v="44"/>
      <x v="201"/>
      <x v="505"/>
    </i>
    <i r="1">
      <x v="4"/>
      <x v="11"/>
      <x v="15"/>
      <x v="165"/>
      <x v="24"/>
    </i>
    <i r="1">
      <x v="5"/>
      <x v="3"/>
      <x v="38"/>
      <x v="86"/>
      <x v="512"/>
    </i>
    <i r="3">
      <x v="40"/>
      <x v="182"/>
      <x v="957"/>
    </i>
    <i>
      <x v="148"/>
      <x v="1"/>
      <x v="4"/>
      <x v="32"/>
      <x v="1"/>
      <x v="552"/>
    </i>
    <i r="4">
      <x v="11"/>
      <x v="398"/>
    </i>
    <i r="4">
      <x v="77"/>
      <x v="645"/>
    </i>
    <i r="4">
      <x v="184"/>
      <x v="396"/>
    </i>
    <i r="1">
      <x v="2"/>
      <x v="5"/>
      <x v="33"/>
      <x v="123"/>
      <x v="379"/>
    </i>
    <i r="3">
      <x v="36"/>
      <x v="16"/>
      <x v="407"/>
    </i>
    <i r="1">
      <x v="3"/>
      <x v="1"/>
      <x v="1"/>
      <x v="51"/>
      <x v="735"/>
    </i>
    <i r="2">
      <x v="9"/>
      <x v="55"/>
      <x v="190"/>
      <x v="406"/>
    </i>
    <i r="2">
      <x v="15"/>
      <x v="68"/>
      <x v="97"/>
      <x v="912"/>
    </i>
    <i r="1">
      <x v="4"/>
      <x v="11"/>
      <x v="20"/>
      <x v="105"/>
      <x v="346"/>
    </i>
    <i r="3">
      <x v="21"/>
      <x v="245"/>
      <x v="1024"/>
    </i>
    <i r="3">
      <x v="23"/>
      <x v="189"/>
      <x v="1025"/>
    </i>
    <i r="1">
      <x v="5"/>
      <x v="3"/>
      <x v="37"/>
      <x v="190"/>
      <x v="404"/>
    </i>
    <i r="4">
      <x v="233"/>
      <x v="402"/>
    </i>
    <i>
      <x v="149"/>
      <x v="1"/>
      <x v="4"/>
      <x v="32"/>
      <x v="240"/>
      <x v="658"/>
    </i>
    <i r="2">
      <x v="7"/>
      <x v="31"/>
      <x v="15"/>
      <x v="400"/>
    </i>
    <i r="3">
      <x v="42"/>
      <x v="16"/>
      <x v="920"/>
    </i>
    <i r="3">
      <x v="47"/>
      <x v="88"/>
      <x v="900"/>
    </i>
    <i r="1">
      <x v="3"/>
      <x v="1"/>
      <x v="3"/>
      <x v="132"/>
      <x v="154"/>
    </i>
    <i r="4">
      <x v="191"/>
      <x v="69"/>
    </i>
    <i r="5">
      <x v="705"/>
    </i>
    <i r="2">
      <x v="6"/>
      <x v="28"/>
      <x v="183"/>
      <x v="279"/>
    </i>
    <i r="2">
      <x v="8"/>
      <x v="69"/>
      <x v="166"/>
      <x v="1165"/>
    </i>
    <i r="2">
      <x v="15"/>
      <x v="68"/>
      <x v="131"/>
      <x v="913"/>
    </i>
    <i r="1">
      <x v="4"/>
      <x v="11"/>
      <x v="15"/>
      <x v="165"/>
      <x v="1117"/>
    </i>
    <i r="3">
      <x v="17"/>
      <x v="207"/>
      <x v="1111"/>
    </i>
    <i r="3">
      <x v="25"/>
      <x v="51"/>
      <x v="1141"/>
    </i>
    <i r="1">
      <x v="5"/>
      <x v="3"/>
      <x v="40"/>
      <x v="165"/>
      <x v="953"/>
    </i>
    <i r="4">
      <x v="181"/>
      <x v="992"/>
    </i>
    <i r="4">
      <x v="189"/>
      <x v="1008"/>
    </i>
    <i>
      <x v="150"/>
      <x v="1"/>
      <x v="4"/>
      <x v="32"/>
      <x v="88"/>
      <x v="647"/>
    </i>
    <i r="2">
      <x v="7"/>
      <x v="8"/>
      <x v="184"/>
      <x v="251"/>
    </i>
    <i r="3">
      <x v="42"/>
      <x v="184"/>
      <x v="924"/>
    </i>
    <i r="1">
      <x v="2"/>
      <x v="5"/>
      <x v="33"/>
      <x v="184"/>
      <x v="383"/>
    </i>
    <i r="1">
      <x v="3"/>
      <x v="1"/>
      <x v="3"/>
      <x v="53"/>
      <x v="414"/>
    </i>
    <i r="4">
      <x v="209"/>
      <x v="71"/>
    </i>
    <i r="2">
      <x v="8"/>
      <x v="34"/>
      <x v="190"/>
      <x v="366"/>
    </i>
    <i r="3">
      <x v="69"/>
      <x v="190"/>
      <x v="1181"/>
    </i>
    <i r="2">
      <x v="15"/>
      <x v="68"/>
      <x v="131"/>
      <x v="913"/>
    </i>
    <i r="1">
      <x v="4"/>
      <x v="11"/>
      <x v="17"/>
      <x v="232"/>
      <x v="1114"/>
    </i>
    <i r="3">
      <x v="25"/>
      <x v="85"/>
      <x v="1143"/>
    </i>
    <i r="3">
      <x v="62"/>
      <x v="232"/>
      <x v="317"/>
    </i>
    <i r="1">
      <x v="5"/>
      <x v="3"/>
      <x v="40"/>
      <x v="13"/>
      <x v="1007"/>
    </i>
    <i r="4">
      <x v="105"/>
      <x v="946"/>
    </i>
    <i r="4">
      <x v="189"/>
      <x v="994"/>
    </i>
    <i>
      <x v="151"/>
      <x v="1"/>
      <x v="7"/>
      <x v="31"/>
      <x v="53"/>
      <x v="326"/>
    </i>
    <i r="3">
      <x v="70"/>
      <x v="202"/>
      <x v="1191"/>
    </i>
    <i r="1">
      <x v="2"/>
      <x v="5"/>
      <x v="29"/>
      <x v="244"/>
      <x v="91"/>
    </i>
    <i r="1">
      <x v="3"/>
      <x v="1"/>
      <x v="3"/>
      <x v="167"/>
      <x v="66"/>
    </i>
    <i r="2">
      <x v="8"/>
      <x v="69"/>
      <x v="166"/>
      <x v="1165"/>
    </i>
    <i r="1">
      <x v="4"/>
      <x v="11"/>
      <x v="15"/>
      <x v="41"/>
      <x v="1122"/>
    </i>
    <i r="3">
      <x v="17"/>
      <x v="208"/>
      <x v="1098"/>
    </i>
    <i r="1">
      <x v="5"/>
      <x v="3"/>
      <x v="40"/>
      <x v="165"/>
      <x v="953"/>
    </i>
    <i>
      <x v="152"/>
      <x v="1"/>
      <x v="4"/>
      <x v="32"/>
      <x v="54"/>
      <x v="45"/>
    </i>
    <i r="5">
      <x v="777"/>
    </i>
    <i r="4">
      <x v="76"/>
      <x v="644"/>
    </i>
    <i r="1">
      <x v="2"/>
      <x v="5"/>
      <x v="29"/>
      <x v="16"/>
      <x v="87"/>
    </i>
    <i r="5">
      <x v="768"/>
    </i>
    <i r="1">
      <x v="3"/>
      <x v="1"/>
      <x v="3"/>
      <x v="108"/>
      <x v="61"/>
    </i>
    <i r="2">
      <x v="9"/>
      <x v="54"/>
      <x v="240"/>
      <x v="624"/>
    </i>
    <i r="1">
      <x v="4"/>
      <x v="11"/>
      <x v="15"/>
      <x v="22"/>
      <x v="1121"/>
    </i>
    <i r="3">
      <x v="17"/>
      <x v="189"/>
      <x v="1096"/>
    </i>
    <i r="1">
      <x v="5"/>
      <x v="3"/>
      <x v="40"/>
      <x v="86"/>
      <x v="945"/>
    </i>
    <i r="4">
      <x v="105"/>
      <x v="987"/>
    </i>
    <i>
      <x v="153"/>
      <x v="1"/>
      <x v="7"/>
      <x v="31"/>
      <x v="183"/>
      <x v="401"/>
    </i>
    <i r="3">
      <x v="42"/>
      <x v="123"/>
      <x v="921"/>
    </i>
    <i r="1">
      <x v="3"/>
      <x v="1"/>
      <x v="3"/>
      <x v="15"/>
      <x v="50"/>
    </i>
    <i r="1">
      <x v="4"/>
      <x v="11"/>
      <x v="15"/>
      <x v="208"/>
      <x v="1124"/>
    </i>
    <i r="3">
      <x v="17"/>
      <x v="130"/>
      <x v="1090"/>
    </i>
    <i r="1">
      <x v="5"/>
      <x v="3"/>
      <x v="38"/>
      <x v="166"/>
      <x v="682"/>
    </i>
    <i r="3">
      <x v="40"/>
      <x v="85"/>
      <x v="942"/>
    </i>
    <i>
      <x v="154"/>
      <x v="1"/>
      <x v="4"/>
      <x v="32"/>
      <x v="161"/>
      <x v="588"/>
    </i>
    <i r="4">
      <x v="219"/>
      <x v="656"/>
    </i>
    <i r="1">
      <x v="3"/>
      <x v="1"/>
      <x v="3"/>
      <x v="54"/>
      <x v="181"/>
    </i>
    <i r="2">
      <x v="8"/>
      <x v="69"/>
      <x v="23"/>
      <x v="1170"/>
    </i>
    <i r="4">
      <x v="51"/>
      <x v="1184"/>
    </i>
    <i r="2">
      <x v="9"/>
      <x v="54"/>
      <x v="62"/>
      <x v="578"/>
    </i>
    <i r="2">
      <x v="15"/>
      <x v="68"/>
      <x v="131"/>
      <x v="913"/>
    </i>
    <i r="1">
      <x v="4"/>
      <x v="11"/>
      <x v="15"/>
      <x v="22"/>
      <x v="109"/>
    </i>
    <i r="3">
      <x v="17"/>
      <x v="237"/>
      <x v="1116"/>
    </i>
    <i r="1">
      <x v="5"/>
      <x v="3"/>
      <x v="38"/>
      <x v="86"/>
      <x v="143"/>
    </i>
    <i r="3">
      <x v="40"/>
      <x v="165"/>
      <x v="991"/>
    </i>
    <i r="4">
      <x v="207"/>
      <x v="962"/>
    </i>
    <i>
      <x v="155"/>
      <x v="1"/>
      <x v="4"/>
      <x v="32"/>
      <x v="88"/>
      <x v="647"/>
    </i>
    <i r="2">
      <x v="7"/>
      <x v="8"/>
      <x v="183"/>
      <x v="517"/>
    </i>
    <i r="3">
      <x v="35"/>
      <x v="239"/>
      <x v="253"/>
    </i>
    <i r="3">
      <x v="42"/>
      <x v="183"/>
      <x v="923"/>
    </i>
    <i r="3">
      <x v="43"/>
      <x v="219"/>
      <x v="886"/>
    </i>
    <i r="1">
      <x v="3"/>
      <x v="8"/>
      <x v="69"/>
      <x v="22"/>
      <x v="1178"/>
    </i>
    <i r="2">
      <x v="15"/>
      <x v="68"/>
      <x v="131"/>
      <x v="913"/>
    </i>
    <i r="1">
      <x v="4"/>
      <x v="11"/>
      <x v="15"/>
      <x v="85"/>
      <x v="1137"/>
    </i>
    <i r="3">
      <x v="17"/>
      <x v="227"/>
      <x v="1113"/>
    </i>
    <i r="3">
      <x v="25"/>
      <x v="85"/>
      <x v="1143"/>
    </i>
    <i r="1">
      <x v="5"/>
      <x v="3"/>
      <x v="39"/>
      <x v="13"/>
      <x v="219"/>
    </i>
    <i r="5">
      <x v="238"/>
    </i>
    <i r="3">
      <x v="40"/>
      <x/>
      <x v="934"/>
    </i>
    <i r="4">
      <x v="232"/>
      <x v="997"/>
    </i>
    <i>
      <x v="156"/>
      <x v="1"/>
      <x v="4"/>
      <x v="32"/>
      <x v="53"/>
      <x v="641"/>
    </i>
    <i r="2">
      <x v="7"/>
      <x v="8"/>
      <x v="15"/>
      <x v="172"/>
    </i>
    <i r="3">
      <x v="31"/>
      <x v="201"/>
      <x v="328"/>
    </i>
    <i r="3">
      <x v="42"/>
      <x v="182"/>
      <x v="917"/>
    </i>
    <i r="3">
      <x v="43"/>
      <x v="184"/>
      <x v="162"/>
    </i>
    <i r="1">
      <x v="3"/>
      <x v="1"/>
      <x v="3"/>
      <x v="87"/>
      <x v="57"/>
    </i>
    <i r="2">
      <x v="6"/>
      <x v="28"/>
      <x v="7"/>
      <x v="265"/>
    </i>
    <i r="2">
      <x v="15"/>
      <x v="68"/>
      <x v="131"/>
      <x v="913"/>
    </i>
    <i r="1">
      <x v="4"/>
      <x v="11"/>
      <x v="2"/>
      <x v="190"/>
      <x v="136"/>
    </i>
    <i r="3">
      <x v="15"/>
      <x v="86"/>
      <x v="1119"/>
    </i>
    <i r="3">
      <x v="17"/>
      <x v="190"/>
      <x v="1097"/>
    </i>
    <i r="1">
      <x v="5"/>
      <x v="3"/>
      <x v="40"/>
      <x v="13"/>
      <x v="981"/>
    </i>
    <i r="4">
      <x v="189"/>
      <x v="958"/>
    </i>
    <i>
      <x v="157"/>
      <x v="1"/>
      <x v="4"/>
      <x v="32"/>
      <x v="184"/>
      <x v="654"/>
    </i>
    <i r="2">
      <x v="7"/>
      <x v="8"/>
      <x v="122"/>
      <x v="250"/>
    </i>
    <i r="3">
      <x v="41"/>
      <x v="201"/>
      <x v="43"/>
    </i>
    <i r="3">
      <x v="59"/>
      <x v="161"/>
      <x v="756"/>
    </i>
    <i r="1">
      <x v="3"/>
      <x v="6"/>
      <x v="28"/>
      <x v="122"/>
      <x v="272"/>
    </i>
    <i r="2">
      <x v="15"/>
      <x v="68"/>
      <x v="131"/>
      <x v="913"/>
    </i>
    <i r="1">
      <x v="4"/>
      <x v="11"/>
      <x v="15"/>
      <x v="85"/>
      <x v="1118"/>
    </i>
    <i r="3">
      <x v="17"/>
      <x v="165"/>
      <x v="1093"/>
    </i>
    <i r="1">
      <x v="5"/>
      <x v="3"/>
      <x v="40"/>
      <x v="105"/>
      <x v="946"/>
    </i>
    <i r="4">
      <x v="181"/>
      <x v="992"/>
    </i>
    <i>
      <x v="158"/>
      <x v="1"/>
      <x v="4"/>
      <x v="32"/>
      <x v="183"/>
      <x v="844"/>
    </i>
    <i r="4">
      <x v="240"/>
      <x v="594"/>
    </i>
    <i r="2">
      <x v="7"/>
      <x v="8"/>
      <x v="184"/>
      <x v="448"/>
    </i>
    <i r="4">
      <x v="201"/>
      <x v="760"/>
    </i>
    <i r="3">
      <x v="42"/>
      <x v="15"/>
      <x v="16"/>
    </i>
    <i r="1">
      <x v="2"/>
      <x v="5"/>
      <x v="29"/>
      <x v="240"/>
      <x v="1225"/>
    </i>
    <i r="1">
      <x v="3"/>
      <x v="6"/>
      <x v="28"/>
      <x v="183"/>
      <x v="279"/>
    </i>
    <i r="2">
      <x v="15"/>
      <x v="68"/>
      <x v="131"/>
      <x v="913"/>
    </i>
    <i r="1">
      <x v="4"/>
      <x v="11"/>
      <x v="11"/>
      <x v="129"/>
      <x v="725"/>
    </i>
    <i r="3">
      <x v="17"/>
      <x v="86"/>
      <x v="1087"/>
    </i>
    <i r="3">
      <x v="62"/>
      <x v="189"/>
      <x v="314"/>
    </i>
    <i r="1">
      <x v="5"/>
      <x v="3"/>
      <x v="39"/>
      <x v="85"/>
      <x v="223"/>
    </i>
    <i r="3">
      <x v="40"/>
      <x v="165"/>
      <x v="953"/>
    </i>
    <i r="2">
      <x v="12"/>
      <x v="63"/>
      <x v="51"/>
      <x v="467"/>
    </i>
    <i>
      <x v="159"/>
      <x v="1"/>
      <x v="4"/>
      <x v="32"/>
      <x v="1"/>
      <x v="635"/>
    </i>
    <i r="2">
      <x v="14"/>
      <x v="45"/>
      <x v="105"/>
      <x v="325"/>
    </i>
    <i r="1">
      <x v="2"/>
      <x v="5"/>
      <x v="29"/>
      <x v="183"/>
      <x v="150"/>
    </i>
    <i r="1">
      <x v="3"/>
      <x v="6"/>
      <x v="28"/>
      <x v="7"/>
      <x v="265"/>
    </i>
    <i r="2">
      <x v="9"/>
      <x v="54"/>
      <x v="224"/>
      <x v="580"/>
    </i>
    <i r="2">
      <x v="15"/>
      <x v="68"/>
      <x v="97"/>
      <x v="912"/>
    </i>
    <i r="1">
      <x v="4"/>
      <x v="11"/>
      <x v="15"/>
      <x v="208"/>
      <x v="120"/>
    </i>
    <i r="3">
      <x v="62"/>
      <x v="130"/>
      <x v="308"/>
    </i>
    <i r="1">
      <x v="5"/>
      <x v="3"/>
      <x v="40"/>
      <x v="181"/>
      <x v="956"/>
    </i>
    <i>
      <x v="160"/>
      <x v="1"/>
      <x v="4"/>
      <x v="32"/>
      <x v="15"/>
      <x v="827"/>
    </i>
    <i r="5">
      <x v="1200"/>
    </i>
    <i r="2">
      <x v="7"/>
      <x v="42"/>
      <x v="183"/>
      <x v="11"/>
    </i>
    <i r="5">
      <x v="926"/>
    </i>
    <i r="1">
      <x v="3"/>
      <x v="8"/>
      <x v="69"/>
      <x v="106"/>
      <x v="1161"/>
    </i>
    <i r="2">
      <x v="15"/>
      <x v="68"/>
      <x v="97"/>
      <x v="912"/>
    </i>
    <i r="1">
      <x v="4"/>
      <x v="11"/>
      <x v="17"/>
      <x v="190"/>
      <x v="1095"/>
    </i>
    <i r="3">
      <x v="26"/>
      <x v="14"/>
      <x v="1057"/>
    </i>
    <i r="1">
      <x v="5"/>
      <x v="3"/>
      <x v="40"/>
      <x v="105"/>
      <x v="946"/>
    </i>
    <i r="4">
      <x v="106"/>
      <x v="1012"/>
    </i>
    <i>
      <x v="161"/>
      <x v="1"/>
      <x v="4"/>
      <x v="32"/>
      <x v="15"/>
      <x v="595"/>
    </i>
    <i r="4">
      <x v="80"/>
      <x v="836"/>
    </i>
    <i r="1">
      <x v="2"/>
      <x v="5"/>
      <x v="33"/>
      <x v="184"/>
      <x v="383"/>
    </i>
    <i r="1">
      <x v="3"/>
      <x v="6"/>
      <x v="28"/>
      <x v="1"/>
      <x v="262"/>
    </i>
    <i r="2">
      <x v="15"/>
      <x v="68"/>
      <x v="97"/>
      <x v="911"/>
    </i>
    <i r="1">
      <x v="4"/>
      <x v="11"/>
      <x v="19"/>
      <x v="52"/>
      <x v="338"/>
    </i>
    <i r="1">
      <x v="5"/>
      <x v="3"/>
      <x v="39"/>
      <x v="13"/>
      <x v="219"/>
    </i>
    <i r="4">
      <x v="182"/>
      <x v="245"/>
    </i>
    <i r="3">
      <x v="40"/>
      <x v="181"/>
      <x v="956"/>
    </i>
    <i r="4">
      <x v="182"/>
      <x v="1013"/>
    </i>
    <i r="2">
      <x v="12"/>
      <x v="64"/>
      <x v="14"/>
      <x v="333"/>
    </i>
    <i>
      <x v="162"/>
      <x v="3"/>
      <x v="1"/>
      <x v="3"/>
      <x v="210"/>
      <x v="210"/>
    </i>
    <i r="3">
      <x v="51"/>
      <x v="106"/>
      <x v="905"/>
    </i>
    <i r="2">
      <x v="8"/>
      <x v="69"/>
      <x v="156"/>
      <x v="1174"/>
    </i>
    <i r="4">
      <x v="177"/>
      <x v="1183"/>
    </i>
    <i r="1">
      <x v="5"/>
      <x v="3"/>
      <x v="40"/>
      <x/>
      <x v="972"/>
    </i>
    <i r="5">
      <x v="1011"/>
    </i>
    <i r="4">
      <x v="52"/>
      <x v="984"/>
    </i>
    <i>
      <x v="163"/>
      <x v="1"/>
      <x v="4"/>
      <x v="32"/>
      <x v="184"/>
      <x v="845"/>
    </i>
    <i r="1">
      <x v="2"/>
      <x v="5"/>
      <x v="33"/>
      <x v="183"/>
      <x v="382"/>
    </i>
    <i r="1">
      <x v="3"/>
      <x v="8"/>
      <x v="69"/>
      <x v="51"/>
      <x v="1157"/>
    </i>
    <i r="2">
      <x v="9"/>
      <x v="54"/>
      <x v="88"/>
      <x v="627"/>
    </i>
    <i r="4">
      <x v="218"/>
      <x v="620"/>
    </i>
    <i r="3">
      <x v="56"/>
      <x v="13"/>
      <x v="186"/>
    </i>
    <i r="5">
      <x v="246"/>
    </i>
    <i r="1">
      <x v="4"/>
      <x v="11"/>
      <x v="62"/>
      <x v="52"/>
      <x v="302"/>
    </i>
    <i r="1">
      <x v="5"/>
      <x v="3"/>
      <x v="40"/>
      <x/>
      <x v="1002"/>
    </i>
    <i r="4">
      <x v="14"/>
      <x v="719"/>
    </i>
    <i r="4">
      <x v="166"/>
      <x v="954"/>
    </i>
    <i>
      <x v="164"/>
      <x v="1"/>
      <x v="4"/>
      <x v="32"/>
      <x v="183"/>
      <x v="844"/>
    </i>
    <i r="1">
      <x v="3"/>
      <x v="1"/>
      <x v="3"/>
      <x v="15"/>
      <x v="440"/>
    </i>
    <i r="2">
      <x v="6"/>
      <x v="28"/>
      <x v="239"/>
      <x v="282"/>
    </i>
    <i r="2">
      <x v="8"/>
      <x v="69"/>
      <x v="86"/>
      <x v="1159"/>
    </i>
    <i r="2">
      <x v="9"/>
      <x v="49"/>
      <x v="13"/>
      <x v="189"/>
    </i>
    <i r="5">
      <x v="248"/>
    </i>
    <i r="3">
      <x v="54"/>
      <x v="183"/>
      <x v="792"/>
    </i>
    <i r="1">
      <x v="4"/>
      <x v="11"/>
      <x v="26"/>
      <x v="246"/>
      <x v="1052"/>
    </i>
    <i r="3">
      <x v="62"/>
      <x v="165"/>
      <x v="312"/>
    </i>
    <i r="1">
      <x v="5"/>
      <x v="3"/>
      <x v="40"/>
      <x/>
      <x v="1002"/>
    </i>
    <i r="4">
      <x v="13"/>
      <x v="718"/>
    </i>
    <i r="4">
      <x v="129"/>
      <x v="989"/>
    </i>
    <i r="4">
      <x v="165"/>
      <x v="953"/>
    </i>
    <i>
      <x v="165"/>
      <x v="1"/>
      <x v="4"/>
      <x v="32"/>
      <x v="123"/>
      <x v="841"/>
    </i>
    <i r="2">
      <x v="14"/>
      <x v="71"/>
      <x v="227"/>
      <x v="1193"/>
    </i>
    <i r="1">
      <x v="2"/>
      <x v="5"/>
      <x v="33"/>
      <x v="161"/>
      <x v="381"/>
    </i>
    <i r="1">
      <x v="3"/>
      <x v="1"/>
      <x v="3"/>
      <x v="15"/>
      <x v="202"/>
    </i>
    <i r="2">
      <x v="8"/>
      <x v="69"/>
      <x v="106"/>
      <x v="1161"/>
    </i>
    <i r="1">
      <x v="4"/>
      <x v="11"/>
      <x v="26"/>
      <x v="165"/>
      <x v="1045"/>
    </i>
    <i r="1">
      <x v="5"/>
      <x v="3"/>
      <x v="39"/>
      <x v="13"/>
      <x v="219"/>
    </i>
    <i r="3">
      <x v="40"/>
      <x/>
      <x v="1002"/>
    </i>
    <i r="4">
      <x v="105"/>
      <x v="987"/>
    </i>
    <i r="4">
      <x v="129"/>
      <x v="949"/>
    </i>
    <i r="4">
      <x v="181"/>
      <x v="722"/>
    </i>
    <i>
      <x v="166"/>
      <x/>
      <x/>
      <x/>
      <x v="259"/>
      <x/>
    </i>
    <i>
      <x v="167"/>
      <x/>
      <x/>
      <x/>
      <x v="259"/>
      <x/>
    </i>
    <i>
      <x v="168"/>
      <x v="3"/>
      <x v="6"/>
      <x v="28"/>
      <x v="240"/>
      <x v="281"/>
    </i>
    <i>
      <x v="169"/>
      <x v="1"/>
      <x v="4"/>
      <x v="32"/>
      <x v="144"/>
      <x v="649"/>
    </i>
    <i r="1">
      <x v="5"/>
      <x v="3"/>
      <x v="40"/>
      <x v="30"/>
      <x v="938"/>
    </i>
    <i>
      <x v="170"/>
      <x v="1"/>
      <x v="4"/>
      <x v="32"/>
      <x v="145"/>
      <x v="650"/>
    </i>
    <i r="1">
      <x v="5"/>
      <x v="3"/>
      <x v="40"/>
      <x v="30"/>
      <x v="938"/>
    </i>
    <i>
      <x v="171"/>
      <x v="1"/>
      <x v="4"/>
      <x v="32"/>
      <x v="145"/>
      <x v="650"/>
    </i>
    <i r="1">
      <x v="5"/>
      <x v="3"/>
      <x v="40"/>
      <x v="31"/>
      <x v="939"/>
    </i>
    <i>
      <x v="172"/>
      <x v="1"/>
      <x v="4"/>
      <x v="32"/>
      <x v="44"/>
      <x v="775"/>
    </i>
    <i>
      <x v="173"/>
      <x v="1"/>
      <x v="4"/>
      <x v="32"/>
      <x v="101"/>
      <x v="543"/>
    </i>
    <i>
      <x v="174"/>
      <x v="5"/>
      <x v="3"/>
      <x v="40"/>
      <x v="23"/>
      <x v="931"/>
    </i>
    <i>
      <x v="175"/>
      <x v="3"/>
      <x v="1"/>
      <x v="3"/>
      <x v="74"/>
      <x v="415"/>
    </i>
    <i>
      <x v="176"/>
      <x v="3"/>
      <x v="1"/>
      <x v="3"/>
      <x v="235"/>
      <x v="211"/>
    </i>
    <i>
      <x v="177"/>
      <x v="1"/>
      <x v="4"/>
      <x v="32"/>
      <x v="15"/>
      <x v="258"/>
    </i>
    <i r="4">
      <x v="183"/>
      <x v="133"/>
    </i>
    <i r="5">
      <x v="781"/>
    </i>
    <i r="1">
      <x v="2"/>
      <x v="5"/>
      <x v="29"/>
      <x v="239"/>
      <x v="766"/>
    </i>
    <i r="3">
      <x v="33"/>
      <x v="160"/>
      <x v="371"/>
    </i>
    <i r="1">
      <x v="3"/>
      <x v="1"/>
      <x v="3"/>
      <x v="54"/>
      <x v="55"/>
    </i>
    <i r="4">
      <x v="133"/>
      <x v="704"/>
    </i>
    <i r="2">
      <x v="8"/>
      <x v="34"/>
      <x v="130"/>
      <x v="368"/>
    </i>
    <i r="2">
      <x v="15"/>
      <x v="68"/>
      <x v="131"/>
      <x v="913"/>
    </i>
    <i r="1">
      <x v="4"/>
      <x v="11"/>
      <x v="11"/>
      <x v="233"/>
      <x v="731"/>
    </i>
    <i r="1">
      <x v="5"/>
      <x v="3"/>
      <x v="39"/>
      <x v="129"/>
      <x v="241"/>
    </i>
    <i>
      <x v="178"/>
      <x v="1"/>
      <x v="4"/>
      <x v="32"/>
      <x v="88"/>
      <x v="260"/>
    </i>
    <i r="4">
      <x v="167"/>
      <x v="1210"/>
    </i>
    <i r="4">
      <x v="184"/>
      <x v="547"/>
    </i>
    <i r="1">
      <x v="2"/>
      <x v="5"/>
      <x v="33"/>
      <x v="240"/>
      <x v="386"/>
    </i>
    <i r="1">
      <x v="3"/>
      <x v="1"/>
      <x v="3"/>
      <x v="24"/>
      <x v="52"/>
    </i>
    <i r="2">
      <x v="15"/>
      <x v="68"/>
      <x v="131"/>
      <x v="913"/>
    </i>
    <i r="1">
      <x v="4"/>
      <x v="11"/>
      <x v="10"/>
      <x v="246"/>
      <x v="734"/>
    </i>
    <i r="3">
      <x v="62"/>
      <x v="140"/>
      <x v="309"/>
    </i>
    <i r="1">
      <x v="5"/>
      <x v="3"/>
      <x v="40"/>
      <x v="23"/>
      <x v="937"/>
    </i>
    <i r="5">
      <x v="983"/>
    </i>
    <i>
      <x v="179"/>
      <x v="1"/>
      <x v="4"/>
      <x v="32"/>
      <x v="44"/>
      <x v="259"/>
    </i>
    <i r="4">
      <x v="200"/>
      <x v="782"/>
    </i>
    <i r="2">
      <x v="7"/>
      <x v="35"/>
      <x v="161"/>
      <x v="256"/>
    </i>
    <i r="3">
      <x v="43"/>
      <x v="164"/>
      <x v="884"/>
    </i>
    <i r="1">
      <x v="3"/>
      <x v="1"/>
      <x v="3"/>
      <x v="15"/>
      <x v="443"/>
    </i>
    <i r="4">
      <x v="107"/>
      <x v="60"/>
    </i>
    <i r="4">
      <x v="209"/>
      <x v="706"/>
    </i>
    <i r="2">
      <x v="6"/>
      <x v="28"/>
      <x v="160"/>
      <x v="275"/>
    </i>
    <i r="2">
      <x v="8"/>
      <x v="34"/>
      <x v="190"/>
      <x v="363"/>
    </i>
    <i r="2">
      <x v="15"/>
      <x v="68"/>
      <x v="131"/>
      <x v="913"/>
    </i>
    <i r="1">
      <x v="4"/>
      <x v="11"/>
      <x v="20"/>
      <x v="129"/>
      <x v="352"/>
    </i>
    <i r="1">
      <x v="5"/>
      <x v="3"/>
      <x v="39"/>
      <x v="85"/>
      <x v="223"/>
    </i>
    <i r="4">
      <x v="165"/>
      <x v="242"/>
    </i>
    <i>
      <x v="180"/>
      <x/>
      <x/>
      <x/>
      <x v="259"/>
      <x/>
    </i>
    <i>
      <x v="181"/>
      <x/>
      <x/>
      <x/>
      <x v="259"/>
      <x/>
    </i>
    <i>
      <x v="182"/>
      <x v="3"/>
      <x v="1"/>
      <x v="3"/>
      <x v="1"/>
      <x v="201"/>
    </i>
    <i r="3">
      <x v="51"/>
      <x v="106"/>
      <x v="905"/>
    </i>
    <i r="2">
      <x v="8"/>
      <x v="69"/>
      <x v="93"/>
      <x v="1160"/>
    </i>
    <i r="1">
      <x v="5"/>
      <x v="3"/>
      <x v="40"/>
      <x/>
      <x v="972"/>
    </i>
    <i r="5">
      <x v="1011"/>
    </i>
    <i r="4">
      <x v="23"/>
      <x v="937"/>
    </i>
    <i>
      <x v="183"/>
      <x v="1"/>
      <x v="4"/>
      <x v="32"/>
      <x v="133"/>
      <x v="842"/>
    </i>
    <i r="2">
      <x v="7"/>
      <x v="8"/>
      <x v="54"/>
      <x v="37"/>
    </i>
    <i r="3">
      <x v="47"/>
      <x v="88"/>
      <x v="529"/>
    </i>
    <i r="2">
      <x v="14"/>
      <x v="45"/>
      <x v="120"/>
      <x v="752"/>
    </i>
    <i r="3">
      <x v="46"/>
      <x v="173"/>
      <x v="525"/>
    </i>
    <i r="3">
      <x v="48"/>
      <x v="180"/>
      <x v="538"/>
    </i>
    <i r="3">
      <x v="60"/>
      <x v="100"/>
      <x v="881"/>
    </i>
    <i r="3">
      <x v="71"/>
      <x v="198"/>
      <x v="1194"/>
    </i>
    <i r="1">
      <x v="2"/>
      <x v="5"/>
      <x v="33"/>
      <x v="218"/>
      <x v="385"/>
    </i>
    <i r="1">
      <x v="3"/>
      <x v="1"/>
      <x v="3"/>
      <x v="47"/>
      <x v="53"/>
    </i>
    <i r="4">
      <x v="197"/>
      <x v="424"/>
    </i>
    <i r="1">
      <x v="4"/>
      <x v="11"/>
      <x v="25"/>
      <x v="67"/>
      <x v="1142"/>
    </i>
    <i r="1">
      <x v="5"/>
      <x v="3"/>
      <x v="40"/>
      <x v="189"/>
      <x v="958"/>
    </i>
    <i r="5">
      <x v="1015"/>
    </i>
    <i>
      <x v="184"/>
      <x/>
      <x/>
      <x/>
      <x v="259"/>
      <x/>
    </i>
    <i>
      <x v="185"/>
      <x v="1"/>
      <x v="4"/>
      <x v="32"/>
      <x v="183"/>
      <x v="844"/>
    </i>
    <i r="1">
      <x v="3"/>
      <x v="8"/>
      <x v="69"/>
      <x v="52"/>
      <x v="1158"/>
    </i>
    <i r="2">
      <x v="9"/>
      <x v="54"/>
      <x v="122"/>
      <x v="893"/>
    </i>
    <i r="1">
      <x v="4"/>
      <x v="11"/>
      <x v="17"/>
      <x v="106"/>
      <x v="1089"/>
    </i>
    <i r="3">
      <x v="26"/>
      <x v="52"/>
      <x v="1061"/>
    </i>
    <i r="3">
      <x v="61"/>
      <x v="129"/>
      <x v="668"/>
    </i>
    <i r="1">
      <x v="5"/>
      <x v="3"/>
      <x v="40"/>
      <x v="105"/>
      <x v="987"/>
    </i>
    <i r="4">
      <x v="189"/>
      <x v="958"/>
    </i>
    <i>
      <x v="186"/>
      <x v="1"/>
      <x v="4"/>
      <x v="32"/>
      <x v="183"/>
      <x v="844"/>
    </i>
    <i r="4">
      <x v="184"/>
      <x v="539"/>
    </i>
    <i r="2">
      <x v="7"/>
      <x v="8"/>
      <x v="224"/>
      <x v="761"/>
    </i>
    <i r="3">
      <x v="35"/>
      <x v="53"/>
      <x v="157"/>
    </i>
    <i r="3">
      <x v="43"/>
      <x v="184"/>
      <x v="875"/>
    </i>
    <i r="3">
      <x v="70"/>
      <x v="184"/>
      <x v="1188"/>
    </i>
    <i r="1">
      <x v="3"/>
      <x v="1"/>
      <x v="3"/>
      <x v="1"/>
      <x v="201"/>
    </i>
    <i r="4">
      <x v="184"/>
      <x v="68"/>
    </i>
    <i r="2">
      <x v="8"/>
      <x v="69"/>
      <x v="86"/>
      <x v="1159"/>
    </i>
    <i r="1">
      <x v="4"/>
      <x v="11"/>
      <x v="24"/>
      <x v="106"/>
      <x v="1035"/>
    </i>
    <i r="5">
      <x v="1149"/>
    </i>
    <i r="3">
      <x v="26"/>
      <x v="14"/>
      <x v="1057"/>
    </i>
    <i r="3">
      <x v="61"/>
      <x v="189"/>
      <x v="669"/>
    </i>
    <i r="3">
      <x v="62"/>
      <x v="129"/>
      <x v="307"/>
    </i>
    <i r="1">
      <x v="5"/>
      <x v="3"/>
      <x v="40"/>
      <x v="105"/>
      <x v="987"/>
    </i>
    <i r="4">
      <x v="189"/>
      <x v="958"/>
    </i>
    <i>
      <x v="187"/>
      <x v="1"/>
      <x v="4"/>
      <x v="32"/>
      <x v="34"/>
      <x v="1201"/>
    </i>
    <i r="4">
      <x v="240"/>
      <x v="847"/>
    </i>
    <i r="2">
      <x v="14"/>
      <x v="71"/>
      <x v="42"/>
      <x v="1196"/>
    </i>
    <i r="1">
      <x v="2"/>
      <x v="5"/>
      <x v="33"/>
      <x v="218"/>
      <x v="385"/>
    </i>
    <i r="1">
      <x v="4"/>
      <x v="11"/>
      <x v="26"/>
      <x v="85"/>
      <x v="1063"/>
    </i>
    <i r="3">
      <x v="61"/>
      <x v="106"/>
      <x v="667"/>
    </i>
    <i r="1">
      <x v="5"/>
      <x v="3"/>
      <x v="40"/>
      <x v="106"/>
      <x v="947"/>
    </i>
    <i>
      <x v="188"/>
      <x v="1"/>
      <x v="4"/>
      <x v="32"/>
      <x v="184"/>
      <x v="845"/>
    </i>
    <i r="2">
      <x v="7"/>
      <x v="7"/>
      <x v="54"/>
      <x v="459"/>
    </i>
    <i r="3">
      <x v="43"/>
      <x v="16"/>
      <x v="461"/>
    </i>
    <i r="2">
      <x v="14"/>
      <x v="45"/>
      <x v="27"/>
      <x v="748"/>
    </i>
    <i r="4">
      <x v="28"/>
      <x v="433"/>
    </i>
    <i>
      <x v="189"/>
      <x v="1"/>
      <x v="4"/>
      <x v="32"/>
      <x v="53"/>
      <x v="1203"/>
    </i>
    <i r="4">
      <x v="77"/>
      <x v="541"/>
    </i>
    <i r="4">
      <x v="101"/>
      <x v="778"/>
    </i>
    <i r="2">
      <x v="7"/>
      <x v="31"/>
      <x v="16"/>
      <x v="457"/>
    </i>
    <i r="3">
      <x v="35"/>
      <x v="123"/>
      <x v="255"/>
    </i>
    <i r="1">
      <x v="2"/>
      <x v="5"/>
      <x v="29"/>
      <x v="1"/>
      <x v="927"/>
    </i>
    <i r="4">
      <x v="38"/>
      <x v="769"/>
    </i>
    <i r="3">
      <x v="33"/>
      <x v="77"/>
      <x v="375"/>
    </i>
    <i r="3">
      <x v="44"/>
      <x v="160"/>
      <x v="502"/>
    </i>
    <i r="1">
      <x v="3"/>
      <x v="1"/>
      <x v="3"/>
      <x v="53"/>
      <x v="54"/>
    </i>
    <i r="4">
      <x v="107"/>
      <x v="703"/>
    </i>
    <i r="4">
      <x v="183"/>
      <x v="422"/>
    </i>
    <i r="2">
      <x v="15"/>
      <x v="68"/>
      <x v="131"/>
      <x v="913"/>
    </i>
    <i r="1">
      <x v="4"/>
      <x v="11"/>
      <x v="20"/>
      <x v="85"/>
      <x v="351"/>
    </i>
    <i r="3">
      <x v="62"/>
      <x v="93"/>
      <x v="1028"/>
    </i>
    <i r="4">
      <x v="165"/>
      <x v="312"/>
    </i>
    <i r="4">
      <x v="207"/>
      <x v="786"/>
    </i>
    <i r="1">
      <x v="5"/>
      <x v="3"/>
      <x v="40"/>
      <x v="52"/>
      <x v="941"/>
    </i>
    <i>
      <x v="190"/>
      <x v="1"/>
      <x v="4"/>
      <x v="32"/>
      <x v="44"/>
      <x v="831"/>
    </i>
    <i r="4">
      <x v="168"/>
      <x v="780"/>
    </i>
    <i r="2">
      <x v="7"/>
      <x v="31"/>
      <x v="35"/>
      <x v="458"/>
    </i>
    <i r="3">
      <x v="35"/>
      <x v="202"/>
      <x v="257"/>
    </i>
    <i r="3">
      <x v="43"/>
      <x v="16"/>
      <x v="871"/>
    </i>
    <i r="1">
      <x v="2"/>
      <x v="5"/>
      <x v="29"/>
      <x v="1"/>
      <x v="927"/>
    </i>
    <i r="4">
      <x v="108"/>
      <x v="773"/>
    </i>
    <i r="3">
      <x v="33"/>
      <x v="161"/>
      <x v="381"/>
    </i>
    <i r="3">
      <x v="44"/>
      <x v="183"/>
      <x v="503"/>
    </i>
    <i r="1">
      <x v="3"/>
      <x v="1"/>
      <x v="3"/>
      <x v="15"/>
      <x v="412"/>
    </i>
    <i r="4">
      <x v="132"/>
      <x v="63"/>
    </i>
    <i r="4">
      <x v="256"/>
      <x v="707"/>
    </i>
    <i r="2">
      <x v="8"/>
      <x v="69"/>
      <x v="130"/>
      <x v="194"/>
    </i>
    <i r="2">
      <x v="15"/>
      <x v="68"/>
      <x v="131"/>
      <x v="913"/>
    </i>
    <i r="1">
      <x v="4"/>
      <x v="11"/>
      <x v="20"/>
      <x v="149"/>
      <x v="353"/>
    </i>
    <i r="3">
      <x v="62"/>
      <x v="22"/>
      <x v="784"/>
    </i>
    <i r="4">
      <x v="171"/>
      <x v="1029"/>
    </i>
    <i r="4">
      <x v="207"/>
      <x v="315"/>
    </i>
    <i r="1">
      <x v="5"/>
      <x v="3"/>
      <x v="40"/>
      <x v="106"/>
      <x v="947"/>
    </i>
    <i>
      <x v="191"/>
      <x v="1"/>
      <x v="2"/>
      <x v="30"/>
      <x v="54"/>
      <x v="1027"/>
    </i>
    <i r="2">
      <x v="4"/>
      <x v="32"/>
      <x v="87"/>
      <x v="1207"/>
    </i>
    <i r="4">
      <x v="183"/>
      <x v="787"/>
    </i>
    <i r="1">
      <x v="2"/>
      <x v="5"/>
      <x v="33"/>
      <x v="77"/>
      <x v="375"/>
    </i>
    <i r="1">
      <x v="3"/>
      <x v="1"/>
      <x v="3"/>
      <x v="15"/>
      <x v="202"/>
    </i>
    <i r="4">
      <x v="183"/>
      <x v="431"/>
    </i>
    <i r="2">
      <x v="9"/>
      <x v="54"/>
      <x v="183"/>
      <x v="573"/>
    </i>
    <i r="1">
      <x v="4"/>
      <x v="11"/>
      <x v="11"/>
      <x v="207"/>
      <x v="733"/>
    </i>
    <i r="1">
      <x v="5"/>
      <x v="3"/>
      <x v="39"/>
      <x v="189"/>
      <x v="232"/>
    </i>
    <i r="3">
      <x v="40"/>
      <x/>
      <x v="934"/>
    </i>
    <i>
      <x v="192"/>
      <x v="1"/>
      <x v="2"/>
      <x v="30"/>
      <x v="183"/>
      <x v="901"/>
    </i>
    <i r="2">
      <x v="4"/>
      <x v="32"/>
      <x v="77"/>
      <x v="835"/>
    </i>
    <i r="2">
      <x v="7"/>
      <x v="42"/>
      <x v="240"/>
      <x v="292"/>
    </i>
    <i r="3">
      <x v="43"/>
      <x v="15"/>
      <x v="879"/>
    </i>
    <i r="4">
      <x v="16"/>
      <x v="874"/>
    </i>
    <i r="4">
      <x v="240"/>
      <x v="159"/>
    </i>
    <i r="1">
      <x v="3"/>
      <x v="15"/>
      <x v="68"/>
      <x v="97"/>
      <x v="912"/>
    </i>
    <i r="1">
      <x v="4"/>
      <x v="11"/>
      <x v="24"/>
      <x v="13"/>
      <x v="1150"/>
    </i>
    <i r="3">
      <x v="26"/>
      <x v="181"/>
      <x v="1068"/>
    </i>
    <i>
      <x v="193"/>
      <x v="1"/>
      <x v="2"/>
      <x v="30"/>
      <x v="122"/>
      <x v="1199"/>
    </i>
    <i r="2">
      <x v="7"/>
      <x v="42"/>
      <x v="123"/>
      <x v="8"/>
    </i>
    <i r="4">
      <x v="240"/>
      <x v="292"/>
    </i>
    <i r="3">
      <x v="43"/>
      <x v="183"/>
      <x v="882"/>
    </i>
    <i r="1">
      <x v="2"/>
      <x v="5"/>
      <x v="27"/>
      <x v="122"/>
      <x v="107"/>
    </i>
    <i r="3">
      <x v="29"/>
      <x v="202"/>
      <x v="151"/>
    </i>
    <i r="1">
      <x v="3"/>
      <x v="6"/>
      <x v="28"/>
      <x v="122"/>
      <x v="272"/>
    </i>
    <i r="2">
      <x v="8"/>
      <x v="69"/>
      <x v="86"/>
      <x v="192"/>
    </i>
    <i r="2">
      <x v="9"/>
      <x v="54"/>
      <x v="54"/>
      <x v="570"/>
    </i>
    <i r="4">
      <x v="184"/>
      <x v="569"/>
    </i>
    <i r="2">
      <x v="15"/>
      <x v="68"/>
      <x v="131"/>
      <x v="913"/>
    </i>
    <i r="1">
      <x v="4"/>
      <x v="11"/>
      <x v="26"/>
      <x v="189"/>
      <x v="1069"/>
    </i>
    <i r="1">
      <x v="5"/>
      <x v="3"/>
      <x v="38"/>
      <x v="207"/>
      <x v="699"/>
    </i>
    <i r="3">
      <x v="40"/>
      <x v="130"/>
      <x v="950"/>
    </i>
    <i>
      <x v="194"/>
      <x v="1"/>
      <x v="2"/>
      <x v="30"/>
      <x v="35"/>
      <x v="127"/>
    </i>
    <i r="4">
      <x v="54"/>
      <x v="902"/>
    </i>
    <i r="2">
      <x v="4"/>
      <x v="32"/>
      <x v="240"/>
      <x v="847"/>
    </i>
    <i r="2">
      <x v="7"/>
      <x v="43"/>
      <x v="161"/>
      <x v="161"/>
    </i>
    <i r="4">
      <x v="240"/>
      <x v="878"/>
    </i>
    <i r="1">
      <x v="2"/>
      <x v="5"/>
      <x v="29"/>
      <x v="161"/>
      <x v="149"/>
    </i>
    <i r="4">
      <x v="184"/>
      <x v="1022"/>
    </i>
    <i r="3">
      <x v="44"/>
      <x v="160"/>
      <x v="502"/>
    </i>
    <i r="1">
      <x v="3"/>
      <x v="1"/>
      <x v="3"/>
      <x v="201"/>
      <x v="425"/>
    </i>
    <i r="2">
      <x v="6"/>
      <x v="28"/>
      <x v="160"/>
      <x v="275"/>
    </i>
    <i r="2">
      <x v="15"/>
      <x v="68"/>
      <x v="131"/>
      <x v="913"/>
    </i>
    <i r="1">
      <x v="4"/>
      <x v="11"/>
      <x v="15"/>
      <x v="73"/>
      <x v="112"/>
    </i>
    <i r="3">
      <x v="24"/>
      <x v="189"/>
      <x v="1152"/>
    </i>
    <i r="1">
      <x v="5"/>
      <x v="3"/>
      <x v="40"/>
      <x v="108"/>
      <x v="947"/>
    </i>
    <i>
      <x v="195"/>
      <x/>
      <x/>
      <x/>
      <x v="259"/>
      <x/>
    </i>
    <i>
      <x v="196"/>
      <x/>
      <x/>
      <x/>
      <x v="259"/>
      <x/>
    </i>
    <i>
      <x v="197"/>
      <x v="1"/>
      <x v="4"/>
      <x v="32"/>
      <x v="77"/>
      <x v="835"/>
    </i>
    <i r="4">
      <x v="184"/>
      <x v="593"/>
    </i>
    <i r="2">
      <x v="7"/>
      <x v="8"/>
      <x v="252"/>
      <x v="40"/>
    </i>
    <i r="1">
      <x v="3"/>
      <x v="8"/>
      <x v="69"/>
      <x v="121"/>
      <x v="193"/>
    </i>
    <i r="2">
      <x v="15"/>
      <x v="68"/>
      <x v="97"/>
      <x v="912"/>
    </i>
    <i r="1">
      <x v="4"/>
      <x v="11"/>
      <x v="19"/>
      <x v="32"/>
      <x v="336"/>
    </i>
    <i r="1">
      <x v="5"/>
      <x v="3"/>
      <x v="40"/>
      <x v="14"/>
      <x v="936"/>
    </i>
    <i r="4">
      <x v="52"/>
      <x v="984"/>
    </i>
    <i>
      <x v="198"/>
      <x v="1"/>
      <x v="4"/>
      <x v="32"/>
      <x v="76"/>
      <x v="1205"/>
    </i>
    <i r="2">
      <x v="7"/>
      <x v="8"/>
      <x v="76"/>
      <x v="32"/>
    </i>
    <i r="3">
      <x v="42"/>
      <x v="53"/>
      <x v="93"/>
    </i>
    <i r="4">
      <x v="121"/>
      <x v="916"/>
    </i>
    <i r="4">
      <x v="239"/>
      <x v="291"/>
    </i>
    <i r="3">
      <x v="43"/>
      <x v="15"/>
      <x v="873"/>
    </i>
    <i r="3">
      <x v="70"/>
      <x v="239"/>
      <x v="1189"/>
    </i>
    <i r="1">
      <x v="3"/>
      <x v="1"/>
      <x v="3"/>
      <x v="183"/>
      <x v="209"/>
    </i>
    <i r="4">
      <x v="239"/>
      <x v="184"/>
    </i>
    <i r="2">
      <x v="6"/>
      <x v="28"/>
      <x v="123"/>
      <x v="273"/>
    </i>
    <i r="2">
      <x v="9"/>
      <x v="54"/>
      <x v="123"/>
      <x v="566"/>
    </i>
    <i r="2">
      <x v="15"/>
      <x v="68"/>
      <x v="131"/>
      <x v="913"/>
    </i>
    <i r="1">
      <x v="4"/>
      <x v="11"/>
      <x v="24"/>
      <x v="85"/>
      <x v="1073"/>
    </i>
    <i r="3">
      <x v="26"/>
      <x v="14"/>
      <x v="1057"/>
    </i>
    <i r="1">
      <x v="5"/>
      <x v="3"/>
      <x v="40"/>
      <x v="13"/>
      <x v="981"/>
    </i>
    <i r="4">
      <x v="129"/>
      <x v="949"/>
    </i>
    <i>
      <x v="199"/>
      <x v="1"/>
      <x v="4"/>
      <x v="32"/>
      <x v="184"/>
      <x v="1211"/>
    </i>
    <i r="2">
      <x v="7"/>
      <x v="42"/>
      <x v="34"/>
      <x v="92"/>
    </i>
    <i r="3">
      <x v="70"/>
      <x v="183"/>
      <x v="1187"/>
    </i>
    <i r="1">
      <x v="3"/>
      <x v="1"/>
      <x v="3"/>
      <x v="183"/>
      <x v="209"/>
    </i>
    <i r="2">
      <x v="9"/>
      <x v="54"/>
      <x v="202"/>
      <x v="568"/>
    </i>
    <i r="2">
      <x v="15"/>
      <x v="68"/>
      <x v="131"/>
      <x v="913"/>
    </i>
    <i r="1">
      <x v="4"/>
      <x v="11"/>
      <x v="24"/>
      <x v="106"/>
      <x v="1074"/>
    </i>
    <i r="3">
      <x v="26"/>
      <x v="75"/>
      <x v="1062"/>
    </i>
    <i r="1">
      <x v="5"/>
      <x v="3"/>
      <x v="40"/>
      <x v="51"/>
      <x v="940"/>
    </i>
    <i r="4">
      <x v="181"/>
      <x v="992"/>
    </i>
    <i>
      <x v="200"/>
      <x v="1"/>
      <x v="4"/>
      <x v="32"/>
      <x v="239"/>
      <x v="1215"/>
    </i>
    <i r="2">
      <x v="7"/>
      <x v="8"/>
      <x v="184"/>
      <x v="36"/>
    </i>
    <i r="3">
      <x v="42"/>
      <x v="184"/>
      <x v="94"/>
    </i>
    <i r="3">
      <x v="43"/>
      <x v="184"/>
      <x v="875"/>
    </i>
    <i r="3">
      <x v="47"/>
      <x v="16"/>
      <x v="170"/>
    </i>
    <i r="3">
      <x v="70"/>
      <x v="239"/>
      <x v="1189"/>
    </i>
    <i r="1">
      <x v="3"/>
      <x v="1"/>
      <x v="3"/>
      <x v="6"/>
      <x v="411"/>
    </i>
    <i r="4">
      <x v="76"/>
      <x v="203"/>
    </i>
    <i r="4">
      <x v="202"/>
      <x v="183"/>
    </i>
    <i r="2">
      <x v="6"/>
      <x v="28"/>
      <x v="4"/>
      <x v="263"/>
    </i>
    <i r="2">
      <x v="9"/>
      <x v="54"/>
      <x v="183"/>
      <x v="567"/>
    </i>
    <i r="2">
      <x v="15"/>
      <x v="68"/>
      <x v="131"/>
      <x v="913"/>
    </i>
    <i r="1">
      <x v="4"/>
      <x v="11"/>
      <x v="24"/>
      <x v="238"/>
      <x v="1076"/>
    </i>
    <i r="1">
      <x v="5"/>
      <x v="3"/>
      <x v="40"/>
      <x v="52"/>
      <x v="941"/>
    </i>
    <i r="4">
      <x v="75"/>
      <x v="985"/>
    </i>
    <i>
      <x v="201"/>
      <x/>
      <x/>
      <x v="14"/>
      <x v="149"/>
      <x v="534"/>
    </i>
    <i r="1">
      <x v="1"/>
      <x v="2"/>
      <x v="30"/>
      <x v="133"/>
      <x v="122"/>
    </i>
    <i r="5">
      <x v="123"/>
    </i>
    <i r="5">
      <x v="124"/>
    </i>
    <i r="5">
      <x v="125"/>
    </i>
    <i r="5">
      <x v="126"/>
    </i>
    <i r="5">
      <x v="128"/>
    </i>
    <i r="4">
      <x v="219"/>
      <x v="531"/>
    </i>
    <i r="5">
      <x v="532"/>
    </i>
    <i r="5">
      <x v="533"/>
    </i>
    <i r="3">
      <x v="53"/>
      <x v="184"/>
      <x v="98"/>
    </i>
    <i r="5">
      <x v="99"/>
    </i>
    <i r="5">
      <x v="100"/>
    </i>
    <i r="2">
      <x v="4"/>
      <x v="32"/>
      <x v="218"/>
      <x v="790"/>
    </i>
    <i r="2">
      <x v="7"/>
      <x v="8"/>
      <x v="240"/>
      <x v="252"/>
    </i>
    <i r="3">
      <x v="42"/>
      <x v="219"/>
      <x v="451"/>
    </i>
    <i r="4">
      <x v="240"/>
      <x v="294"/>
    </i>
    <i r="2">
      <x v="14"/>
      <x v="46"/>
      <x v="143"/>
      <x v="522"/>
    </i>
    <i r="4">
      <x v="231"/>
      <x v="521"/>
    </i>
    <i r="1">
      <x v="2"/>
      <x v="5"/>
      <x v="29"/>
      <x v="16"/>
      <x v="690"/>
    </i>
    <i r="4">
      <x v="123"/>
      <x v="147"/>
    </i>
    <i r="1">
      <x v="3"/>
      <x v="6"/>
      <x v="28"/>
      <x v="183"/>
      <x v="279"/>
    </i>
    <i r="2">
      <x v="8"/>
      <x v="69"/>
      <x v="215"/>
      <x v="1182"/>
    </i>
    <i r="1">
      <x v="4"/>
      <x v="11"/>
      <x v="15"/>
      <x v="195"/>
      <x v="119"/>
    </i>
    <i r="3">
      <x v="16"/>
      <x v="190"/>
      <x v="1147"/>
    </i>
    <i r="1">
      <x v="5"/>
      <x v="3"/>
      <x v="40"/>
      <x v="249"/>
      <x v="999"/>
    </i>
    <i>
      <x v="202"/>
      <x v="1"/>
      <x v="4"/>
      <x v="32"/>
      <x v="76"/>
      <x v="597"/>
    </i>
    <i r="4">
      <x v="122"/>
      <x v="840"/>
    </i>
    <i r="4">
      <x v="239"/>
      <x v="809"/>
    </i>
    <i r="1">
      <x v="2"/>
      <x v="5"/>
      <x v="33"/>
      <x v="77"/>
      <x v="375"/>
    </i>
    <i r="1">
      <x v="3"/>
      <x v="1"/>
      <x v="3"/>
      <x v="76"/>
      <x v="176"/>
    </i>
    <i r="4">
      <x v="240"/>
      <x v="432"/>
    </i>
    <i r="2">
      <x v="8"/>
      <x v="69"/>
      <x v="86"/>
      <x v="1159"/>
    </i>
    <i r="1">
      <x v="4"/>
      <x v="11"/>
      <x v="17"/>
      <x v="14"/>
      <x v="1082"/>
    </i>
    <i r="3">
      <x v="24"/>
      <x v="14"/>
      <x v="1033"/>
    </i>
    <i r="3">
      <x v="26"/>
      <x v="14"/>
      <x v="1057"/>
    </i>
    <i r="1">
      <x v="5"/>
      <x v="3"/>
      <x v="39"/>
      <x v="223"/>
      <x v="234"/>
    </i>
    <i r="3">
      <x v="40"/>
      <x v="105"/>
      <x v="946"/>
    </i>
    <i>
      <x v="203"/>
      <x v="1"/>
      <x v="4"/>
      <x v="32"/>
      <x v="122"/>
      <x v="840"/>
    </i>
    <i r="4">
      <x v="160"/>
      <x v="805"/>
    </i>
    <i r="4">
      <x v="161"/>
      <x v="601"/>
    </i>
    <i r="4">
      <x v="184"/>
      <x v="678"/>
    </i>
    <i r="1">
      <x v="2"/>
      <x v="5"/>
      <x v="33"/>
      <x v="123"/>
      <x v="379"/>
    </i>
    <i r="1">
      <x v="3"/>
      <x v="1"/>
      <x v="3"/>
      <x v="161"/>
      <x v="421"/>
    </i>
    <i r="1">
      <x v="4"/>
      <x v="11"/>
      <x v="11"/>
      <x v="105"/>
      <x v="728"/>
    </i>
    <i r="3">
      <x v="17"/>
      <x v="130"/>
      <x v="1091"/>
    </i>
    <i r="1">
      <x v="5"/>
      <x v="3"/>
      <x v="39"/>
      <x v="166"/>
      <x v="218"/>
    </i>
    <i r="3">
      <x v="40"/>
      <x v="105"/>
      <x v="946"/>
    </i>
    <i>
      <x v="204"/>
      <x v="1"/>
      <x v="4"/>
      <x v="32"/>
      <x v="16"/>
      <x v="802"/>
    </i>
    <i r="4">
      <x v="184"/>
      <x v="845"/>
    </i>
    <i r="4">
      <x v="202"/>
      <x v="817"/>
    </i>
    <i r="1">
      <x v="3"/>
      <x v="1"/>
      <x v="3"/>
      <x v="15"/>
      <x v="429"/>
    </i>
    <i r="4">
      <x v="16"/>
      <x v="175"/>
    </i>
    <i r="2">
      <x v="6"/>
      <x v="28"/>
      <x v="123"/>
      <x v="273"/>
    </i>
    <i r="1">
      <x v="4"/>
      <x v="11"/>
      <x v="11"/>
      <x v="13"/>
      <x v="726"/>
    </i>
    <i r="3">
      <x v="24"/>
      <x v="51"/>
      <x v="1034"/>
    </i>
    <i r="3">
      <x v="26"/>
      <x v="217"/>
      <x v="1070"/>
    </i>
    <i r="1">
      <x v="5"/>
      <x v="3"/>
      <x v="39"/>
      <x v="182"/>
      <x v="231"/>
    </i>
    <i r="3">
      <x v="40"/>
      <x v="182"/>
      <x v="957"/>
    </i>
    <i>
      <x v="205"/>
      <x v="1"/>
      <x v="4"/>
      <x v="32"/>
      <x v="16"/>
      <x v="828"/>
    </i>
    <i r="4">
      <x v="218"/>
      <x v="1214"/>
    </i>
    <i r="4">
      <x v="219"/>
      <x v="812"/>
    </i>
    <i r="5">
      <x v="855"/>
    </i>
    <i r="1">
      <x v="2"/>
      <x v="5"/>
      <x v="44"/>
      <x v="15"/>
      <x v="498"/>
    </i>
    <i r="1">
      <x v="3"/>
      <x v="1"/>
      <x v="3"/>
      <x v="15"/>
      <x v="412"/>
    </i>
    <i r="2">
      <x v="8"/>
      <x v="69"/>
      <x v="129"/>
      <x v="1163"/>
    </i>
    <i r="1">
      <x v="4"/>
      <x v="11"/>
      <x v="15"/>
      <x v="105"/>
      <x v="1077"/>
    </i>
    <i r="5">
      <x v="1139"/>
    </i>
    <i r="3">
      <x v="17"/>
      <x v="22"/>
      <x v="1085"/>
    </i>
    <i r="3">
      <x v="62"/>
      <x v="207"/>
      <x v="315"/>
    </i>
    <i r="1">
      <x v="5"/>
      <x v="3"/>
      <x v="40"/>
      <x v="165"/>
      <x v="953"/>
    </i>
    <i r="2">
      <x v="12"/>
      <x v="63"/>
      <x v="189"/>
      <x v="471"/>
    </i>
    <i>
      <x v="206"/>
      <x v="1"/>
      <x v="4"/>
      <x v="32"/>
      <x v="87"/>
      <x v="1207"/>
    </i>
    <i r="4">
      <x v="161"/>
      <x v="545"/>
    </i>
    <i r="4">
      <x v="184"/>
      <x v="818"/>
    </i>
    <i r="4">
      <x v="219"/>
      <x v="656"/>
    </i>
    <i r="1">
      <x v="3"/>
      <x v="1"/>
      <x v="3"/>
      <x v="183"/>
      <x v="422"/>
    </i>
    <i r="2">
      <x v="8"/>
      <x v="69"/>
      <x v="51"/>
      <x v="1157"/>
    </i>
    <i r="1">
      <x v="4"/>
      <x v="11"/>
      <x v="15"/>
      <x v="190"/>
      <x v="1129"/>
    </i>
    <i r="3">
      <x v="17"/>
      <x v="22"/>
      <x v="1085"/>
    </i>
    <i r="1">
      <x v="5"/>
      <x v="3"/>
      <x v="40"/>
      <x v="106"/>
      <x v="94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O1794"/>
  <sheetViews>
    <sheetView zoomScaleNormal="100" workbookViewId="0">
      <pane ySplit="1" topLeftCell="A1010" activePane="bottomLeft" state="frozen"/>
      <selection activeCell="F1" sqref="F1"/>
      <selection pane="bottomLeft" activeCell="E657" sqref="E657"/>
    </sheetView>
  </sheetViews>
  <sheetFormatPr defaultRowHeight="15" x14ac:dyDescent="0.25"/>
  <cols>
    <col min="1" max="1" width="16.28515625" bestFit="1" customWidth="1"/>
    <col min="2" max="2" width="57.28515625" bestFit="1" customWidth="1"/>
    <col min="3" max="3" width="0" hidden="1" customWidth="1"/>
    <col min="5" max="5" width="127.28515625" bestFit="1" customWidth="1"/>
    <col min="6" max="6" width="30.42578125" customWidth="1"/>
    <col min="7" max="7" width="29.140625" hidden="1" customWidth="1"/>
    <col min="8" max="10" width="25.7109375" hidden="1" customWidth="1"/>
    <col min="11" max="11" width="25.7109375" customWidth="1"/>
    <col min="12" max="12" width="24" customWidth="1"/>
    <col min="13" max="13" width="23.7109375" customWidth="1"/>
    <col min="14" max="14" width="17.5703125" customWidth="1"/>
    <col min="15" max="15" width="12.28515625" customWidth="1"/>
    <col min="16" max="16" width="10.85546875" bestFit="1" customWidth="1"/>
  </cols>
  <sheetData>
    <row r="1" spans="1:15" ht="14.25" customHeight="1" x14ac:dyDescent="0.25">
      <c r="A1" s="1" t="s">
        <v>2907</v>
      </c>
      <c r="B1" s="1" t="s">
        <v>2909</v>
      </c>
      <c r="C1" s="1" t="s">
        <v>2908</v>
      </c>
      <c r="D1" s="1" t="s">
        <v>2910</v>
      </c>
      <c r="E1" s="1" t="s">
        <v>0</v>
      </c>
      <c r="F1" s="1" t="s">
        <v>2912</v>
      </c>
      <c r="G1" s="3" t="s">
        <v>2936</v>
      </c>
      <c r="H1" s="1" t="s">
        <v>2911</v>
      </c>
      <c r="I1" s="3" t="s">
        <v>2937</v>
      </c>
      <c r="J1" s="3" t="s">
        <v>2636</v>
      </c>
      <c r="K1" s="10" t="s">
        <v>2932</v>
      </c>
      <c r="L1" s="1" t="s">
        <v>2913</v>
      </c>
      <c r="M1" s="11" t="s">
        <v>2931</v>
      </c>
      <c r="N1" s="12" t="s">
        <v>2915</v>
      </c>
      <c r="O1" s="1" t="s">
        <v>1</v>
      </c>
    </row>
    <row r="2" spans="1:15" x14ac:dyDescent="0.25">
      <c r="A2" t="s">
        <v>2</v>
      </c>
      <c r="B2" t="s">
        <v>3</v>
      </c>
      <c r="C2">
        <v>2302</v>
      </c>
      <c r="D2" t="s">
        <v>4</v>
      </c>
      <c r="E2" t="s">
        <v>5</v>
      </c>
      <c r="F2" t="s">
        <v>6</v>
      </c>
      <c r="G2" t="str">
        <f>+VLOOKUP(F2,[1]Explore!$B:$I,8,0)</f>
        <v>Govt USD</v>
      </c>
      <c r="H2" t="s">
        <v>7</v>
      </c>
      <c r="I2" t="str">
        <f>+VLOOKUP(H2,[1]Explore!$A:$I,9,0)</f>
        <v>Govt USD</v>
      </c>
      <c r="J2" t="str">
        <f>IF(AND(ISNA(G2),ISNA(I2)),"BOTH #N/A","OK")</f>
        <v>OK</v>
      </c>
      <c r="K2" t="str">
        <f>IFERROR(I2, IFERROR(G2, L2))</f>
        <v>Govt USD</v>
      </c>
      <c r="L2" t="s">
        <v>8</v>
      </c>
      <c r="M2" t="str">
        <f>_xlfn.IFNA(VLOOKUP(K2,'Mapping DEF'!A:C,2,0),"")</f>
        <v>Curve (Local)</v>
      </c>
      <c r="N2" t="str">
        <f>+_xlfn.IFNA(VLOOKUP(M2,'Mapping DEF'!B:C,2,FALSE),"")</f>
        <v>Term Structure</v>
      </c>
      <c r="O2" t="s">
        <v>2692</v>
      </c>
    </row>
    <row r="3" spans="1:15" x14ac:dyDescent="0.25">
      <c r="A3" t="s">
        <v>2</v>
      </c>
      <c r="B3" t="s">
        <v>3</v>
      </c>
      <c r="C3">
        <v>2302</v>
      </c>
      <c r="D3" t="s">
        <v>4</v>
      </c>
      <c r="E3" t="s">
        <v>9</v>
      </c>
      <c r="F3" t="s">
        <v>10</v>
      </c>
      <c r="G3" t="str">
        <f>+VLOOKUP(F3,[1]Explore!$B:$I,8,0)</f>
        <v>Govt USD</v>
      </c>
      <c r="H3" t="s">
        <v>11</v>
      </c>
      <c r="I3" t="str">
        <f>+VLOOKUP(H3,[1]Explore!$A:$I,9,0)</f>
        <v>Govt USD</v>
      </c>
      <c r="J3" t="str">
        <f t="shared" ref="J3:J66" si="0">IF(AND(ISNA(G3),ISNA(I3)),"BOTH #N/A","OK")</f>
        <v>OK</v>
      </c>
      <c r="K3" t="str">
        <f t="shared" ref="K3:K66" si="1">IFERROR(I3, IFERROR(G3, L3))</f>
        <v>Govt USD</v>
      </c>
      <c r="L3" t="s">
        <v>8</v>
      </c>
      <c r="M3" t="str">
        <f>_xlfn.IFNA(VLOOKUP(K3,'Mapping DEF'!A:C,2,0),"")</f>
        <v>Curve (Local)</v>
      </c>
      <c r="N3" t="str">
        <f>+_xlfn.IFNA(VLOOKUP(M3,'Mapping DEF'!B:C,2,FALSE),"")</f>
        <v>Term Structure</v>
      </c>
      <c r="O3" t="s">
        <v>2693</v>
      </c>
    </row>
    <row r="4" spans="1:15" x14ac:dyDescent="0.25">
      <c r="A4" t="s">
        <v>2</v>
      </c>
      <c r="B4" t="s">
        <v>3</v>
      </c>
      <c r="C4">
        <v>2302</v>
      </c>
      <c r="D4" t="s">
        <v>4</v>
      </c>
      <c r="E4" t="s">
        <v>12</v>
      </c>
      <c r="F4" t="s">
        <v>13</v>
      </c>
      <c r="G4" t="str">
        <f>+VLOOKUP(F4,[1]Explore!$B:$I,8,0)</f>
        <v>Govt USD</v>
      </c>
      <c r="H4" t="s">
        <v>14</v>
      </c>
      <c r="I4" t="str">
        <f>+VLOOKUP(H4,[1]Explore!$A:$I,9,0)</f>
        <v>Govt USD</v>
      </c>
      <c r="J4" t="str">
        <f t="shared" si="0"/>
        <v>OK</v>
      </c>
      <c r="K4" t="str">
        <f t="shared" si="1"/>
        <v>Govt USD</v>
      </c>
      <c r="L4" t="s">
        <v>8</v>
      </c>
      <c r="M4" t="str">
        <f>_xlfn.IFNA(VLOOKUP(K4,'Mapping DEF'!A:C,2,0),"")</f>
        <v>Curve (Local)</v>
      </c>
      <c r="N4" t="str">
        <f>+_xlfn.IFNA(VLOOKUP(M4,'Mapping DEF'!B:C,2,FALSE),"")</f>
        <v>Term Structure</v>
      </c>
      <c r="O4" t="s">
        <v>2694</v>
      </c>
    </row>
    <row r="5" spans="1:15" x14ac:dyDescent="0.25">
      <c r="A5" t="s">
        <v>2</v>
      </c>
      <c r="B5" t="s">
        <v>3</v>
      </c>
      <c r="C5">
        <v>2302</v>
      </c>
      <c r="D5" t="s">
        <v>4</v>
      </c>
      <c r="E5" t="s">
        <v>15</v>
      </c>
      <c r="F5" t="s">
        <v>16</v>
      </c>
      <c r="G5" t="str">
        <f>+VLOOKUP(F5,[1]Explore!$B:$I,8,0)</f>
        <v>Govt USD</v>
      </c>
      <c r="H5" t="s">
        <v>17</v>
      </c>
      <c r="I5" t="str">
        <f>+VLOOKUP(H5,[1]Explore!$A:$I,9,0)</f>
        <v>Govt USD</v>
      </c>
      <c r="J5" t="str">
        <f t="shared" si="0"/>
        <v>OK</v>
      </c>
      <c r="K5" t="str">
        <f t="shared" si="1"/>
        <v>Govt USD</v>
      </c>
      <c r="L5" t="s">
        <v>8</v>
      </c>
      <c r="M5" t="str">
        <f>_xlfn.IFNA(VLOOKUP(K5,'Mapping DEF'!A:C,2,0),"")</f>
        <v>Curve (Local)</v>
      </c>
      <c r="N5" t="str">
        <f>+_xlfn.IFNA(VLOOKUP(M5,'Mapping DEF'!B:C,2,FALSE),"")</f>
        <v>Term Structure</v>
      </c>
      <c r="O5" t="s">
        <v>2695</v>
      </c>
    </row>
    <row r="6" spans="1:15" x14ac:dyDescent="0.25">
      <c r="A6" t="s">
        <v>2</v>
      </c>
      <c r="B6" t="s">
        <v>3</v>
      </c>
      <c r="C6">
        <v>2302</v>
      </c>
      <c r="D6" t="s">
        <v>4</v>
      </c>
      <c r="E6" t="s">
        <v>18</v>
      </c>
      <c r="F6" t="s">
        <v>19</v>
      </c>
      <c r="G6" t="str">
        <f>+VLOOKUP(F6,[1]Explore!$B:$I,8,0)</f>
        <v>Govt USD</v>
      </c>
      <c r="H6" t="s">
        <v>20</v>
      </c>
      <c r="I6" t="str">
        <f>+VLOOKUP(H6,[1]Explore!$A:$I,9,0)</f>
        <v>Govt USD</v>
      </c>
      <c r="J6" t="str">
        <f t="shared" si="0"/>
        <v>OK</v>
      </c>
      <c r="K6" t="str">
        <f t="shared" si="1"/>
        <v>Govt USD</v>
      </c>
      <c r="L6" t="s">
        <v>8</v>
      </c>
      <c r="M6" t="str">
        <f>_xlfn.IFNA(VLOOKUP(K6,'Mapping DEF'!A:C,2,0),"")</f>
        <v>Curve (Local)</v>
      </c>
      <c r="N6" t="str">
        <f>+_xlfn.IFNA(VLOOKUP(M6,'Mapping DEF'!B:C,2,FALSE),"")</f>
        <v>Term Structure</v>
      </c>
      <c r="O6" t="s">
        <v>2696</v>
      </c>
    </row>
    <row r="7" spans="1:15" x14ac:dyDescent="0.25">
      <c r="A7" t="s">
        <v>2</v>
      </c>
      <c r="B7" t="s">
        <v>3</v>
      </c>
      <c r="C7">
        <v>2302</v>
      </c>
      <c r="D7" t="s">
        <v>4</v>
      </c>
      <c r="E7" t="s">
        <v>21</v>
      </c>
      <c r="F7" t="s">
        <v>22</v>
      </c>
      <c r="G7" t="str">
        <f>+VLOOKUP(F7,[1]Explore!$B:$I,8,0)</f>
        <v>Govt USD</v>
      </c>
      <c r="H7" t="s">
        <v>23</v>
      </c>
      <c r="I7" t="str">
        <f>+VLOOKUP(H7,[1]Explore!$A:$I,9,0)</f>
        <v>Govt USD</v>
      </c>
      <c r="J7" t="str">
        <f t="shared" si="0"/>
        <v>OK</v>
      </c>
      <c r="K7" t="str">
        <f t="shared" si="1"/>
        <v>Govt USD</v>
      </c>
      <c r="L7" t="s">
        <v>8</v>
      </c>
      <c r="M7" t="str">
        <f>_xlfn.IFNA(VLOOKUP(K7,'Mapping DEF'!A:C,2,0),"")</f>
        <v>Curve (Local)</v>
      </c>
      <c r="N7" t="str">
        <f>+_xlfn.IFNA(VLOOKUP(M7,'Mapping DEF'!B:C,2,FALSE),"")</f>
        <v>Term Structure</v>
      </c>
      <c r="O7" t="s">
        <v>2697</v>
      </c>
    </row>
    <row r="8" spans="1:15" x14ac:dyDescent="0.25">
      <c r="A8" t="s">
        <v>2</v>
      </c>
      <c r="B8" t="s">
        <v>3</v>
      </c>
      <c r="C8">
        <v>2302</v>
      </c>
      <c r="D8" t="s">
        <v>4</v>
      </c>
      <c r="E8" t="s">
        <v>24</v>
      </c>
      <c r="F8" t="s">
        <v>25</v>
      </c>
      <c r="G8" t="str">
        <f>+VLOOKUP(F8,[1]Explore!$B:$I,8,0)</f>
        <v>Equity Implied Volatility</v>
      </c>
      <c r="H8" t="s">
        <v>26</v>
      </c>
      <c r="I8" t="str">
        <f>+VLOOKUP(H8,[1]Explore!$A:$I,9,0)</f>
        <v>Equity Implied Volatility</v>
      </c>
      <c r="J8" t="str">
        <f t="shared" si="0"/>
        <v>OK</v>
      </c>
      <c r="K8" t="str">
        <f t="shared" si="1"/>
        <v>Equity Implied Volatility</v>
      </c>
      <c r="L8" t="s">
        <v>27</v>
      </c>
      <c r="M8" t="str">
        <f>_xlfn.IFNA(VLOOKUP(K8,'Mapping DEF'!A:C,2,0),"")</f>
        <v>Equity Derivatives</v>
      </c>
      <c r="N8" t="str">
        <f>+_xlfn.IFNA(VLOOKUP(M8,'Mapping DEF'!B:C,2,FALSE),"")</f>
        <v>Equity</v>
      </c>
      <c r="O8" t="s">
        <v>28</v>
      </c>
    </row>
    <row r="9" spans="1:15" x14ac:dyDescent="0.25">
      <c r="A9" t="s">
        <v>2</v>
      </c>
      <c r="B9" t="s">
        <v>3</v>
      </c>
      <c r="C9">
        <v>2302</v>
      </c>
      <c r="D9" t="s">
        <v>4</v>
      </c>
      <c r="E9" t="s">
        <v>29</v>
      </c>
      <c r="F9" t="s">
        <v>30</v>
      </c>
      <c r="G9" t="str">
        <f>+VLOOKUP(F9,[1]Explore!$B:$I,8,0)</f>
        <v>Equity Implied Volatility</v>
      </c>
      <c r="H9" t="s">
        <v>31</v>
      </c>
      <c r="I9" t="str">
        <f>+VLOOKUP(H9,[1]Explore!$A:$I,9,0)</f>
        <v>Equity Implied Volatility</v>
      </c>
      <c r="J9" t="str">
        <f t="shared" si="0"/>
        <v>OK</v>
      </c>
      <c r="K9" t="str">
        <f t="shared" si="1"/>
        <v>Equity Implied Volatility</v>
      </c>
      <c r="L9" t="s">
        <v>27</v>
      </c>
      <c r="M9" t="str">
        <f>_xlfn.IFNA(VLOOKUP(K9,'Mapping DEF'!A:C,2,0),"")</f>
        <v>Equity Derivatives</v>
      </c>
      <c r="N9" t="str">
        <f>+_xlfn.IFNA(VLOOKUP(M9,'Mapping DEF'!B:C,2,FALSE),"")</f>
        <v>Equity</v>
      </c>
      <c r="O9" t="s">
        <v>32</v>
      </c>
    </row>
    <row r="10" spans="1:15" x14ac:dyDescent="0.25">
      <c r="A10" t="s">
        <v>2</v>
      </c>
      <c r="B10" t="s">
        <v>3</v>
      </c>
      <c r="C10">
        <v>2302</v>
      </c>
      <c r="D10" t="s">
        <v>4</v>
      </c>
      <c r="E10" t="s">
        <v>33</v>
      </c>
      <c r="F10" t="s">
        <v>2173</v>
      </c>
      <c r="G10" t="str">
        <f>+VLOOKUP(F10,[1]Explore!$B:$I,8,0)</f>
        <v>Equity Implied Volatility</v>
      </c>
      <c r="H10" t="s">
        <v>34</v>
      </c>
      <c r="I10" t="str">
        <f>+VLOOKUP(H10,[1]Explore!$A:$I,9,0)</f>
        <v>Equity Implied Volatility</v>
      </c>
      <c r="J10" t="str">
        <f t="shared" si="0"/>
        <v>OK</v>
      </c>
      <c r="K10" t="str">
        <f t="shared" si="1"/>
        <v>Equity Implied Volatility</v>
      </c>
      <c r="L10" t="s">
        <v>27</v>
      </c>
      <c r="M10" t="str">
        <f>_xlfn.IFNA(VLOOKUP(K10,'Mapping DEF'!A:C,2,0),"")</f>
        <v>Equity Derivatives</v>
      </c>
      <c r="N10" t="str">
        <f>+_xlfn.IFNA(VLOOKUP(M10,'Mapping DEF'!B:C,2,FALSE),"")</f>
        <v>Equity</v>
      </c>
      <c r="O10" t="s">
        <v>35</v>
      </c>
    </row>
    <row r="11" spans="1:15" x14ac:dyDescent="0.25">
      <c r="A11" t="s">
        <v>2</v>
      </c>
      <c r="B11" t="s">
        <v>3</v>
      </c>
      <c r="C11">
        <v>2302</v>
      </c>
      <c r="D11" t="s">
        <v>4</v>
      </c>
      <c r="E11" t="s">
        <v>36</v>
      </c>
      <c r="F11" t="s">
        <v>2157</v>
      </c>
      <c r="G11" t="str">
        <f>+VLOOKUP(F11,[1]Explore!$B:$I,8,0)</f>
        <v>Equity Implied Volatility</v>
      </c>
      <c r="H11" t="s">
        <v>37</v>
      </c>
      <c r="I11" t="str">
        <f>+VLOOKUP(H11,[1]Explore!$A:$I,9,0)</f>
        <v>Equity Implied Volatility</v>
      </c>
      <c r="J11" t="str">
        <f t="shared" si="0"/>
        <v>OK</v>
      </c>
      <c r="K11" t="str">
        <f t="shared" si="1"/>
        <v>Equity Implied Volatility</v>
      </c>
      <c r="L11" t="s">
        <v>27</v>
      </c>
      <c r="M11" t="str">
        <f>_xlfn.IFNA(VLOOKUP(K11,'Mapping DEF'!A:C,2,0),"")</f>
        <v>Equity Derivatives</v>
      </c>
      <c r="N11" t="str">
        <f>+_xlfn.IFNA(VLOOKUP(M11,'Mapping DEF'!B:C,2,FALSE),"")</f>
        <v>Equity</v>
      </c>
      <c r="O11" t="s">
        <v>38</v>
      </c>
    </row>
    <row r="12" spans="1:15" x14ac:dyDescent="0.25">
      <c r="A12" t="s">
        <v>2</v>
      </c>
      <c r="B12" t="s">
        <v>3</v>
      </c>
      <c r="C12">
        <v>2302</v>
      </c>
      <c r="D12" t="s">
        <v>4</v>
      </c>
      <c r="E12" t="s">
        <v>39</v>
      </c>
      <c r="F12" t="s">
        <v>2170</v>
      </c>
      <c r="G12" t="str">
        <f>+VLOOKUP(F12,[1]Explore!$B:$I,8,0)</f>
        <v>Equity Implied Volatility</v>
      </c>
      <c r="H12" t="s">
        <v>40</v>
      </c>
      <c r="I12" t="str">
        <f>+VLOOKUP(H12,[1]Explore!$A:$I,9,0)</f>
        <v>Equity Implied Volatility</v>
      </c>
      <c r="J12" t="str">
        <f t="shared" si="0"/>
        <v>OK</v>
      </c>
      <c r="K12" t="str">
        <f t="shared" si="1"/>
        <v>Equity Implied Volatility</v>
      </c>
      <c r="L12" t="s">
        <v>27</v>
      </c>
      <c r="M12" t="str">
        <f>_xlfn.IFNA(VLOOKUP(K12,'Mapping DEF'!A:C,2,0),"")</f>
        <v>Equity Derivatives</v>
      </c>
      <c r="N12" t="str">
        <f>+_xlfn.IFNA(VLOOKUP(M12,'Mapping DEF'!B:C,2,FALSE),"")</f>
        <v>Equity</v>
      </c>
      <c r="O12" t="s">
        <v>41</v>
      </c>
    </row>
    <row r="13" spans="1:15" x14ac:dyDescent="0.25">
      <c r="A13" t="s">
        <v>2</v>
      </c>
      <c r="B13" t="s">
        <v>3</v>
      </c>
      <c r="C13">
        <v>2302</v>
      </c>
      <c r="D13" t="s">
        <v>4</v>
      </c>
      <c r="E13" t="s">
        <v>42</v>
      </c>
      <c r="F13" t="s">
        <v>2168</v>
      </c>
      <c r="G13" t="str">
        <f>+VLOOKUP(F13,[1]Explore!$B:$I,8,0)</f>
        <v>Equity Implied Volatility</v>
      </c>
      <c r="H13" t="s">
        <v>43</v>
      </c>
      <c r="I13" t="str">
        <f>+VLOOKUP(H13,[1]Explore!$A:$I,9,0)</f>
        <v>Equity Implied Volatility</v>
      </c>
      <c r="J13" t="str">
        <f t="shared" si="0"/>
        <v>OK</v>
      </c>
      <c r="K13" t="str">
        <f t="shared" si="1"/>
        <v>Equity Implied Volatility</v>
      </c>
      <c r="L13" t="s">
        <v>27</v>
      </c>
      <c r="M13" t="str">
        <f>_xlfn.IFNA(VLOOKUP(K13,'Mapping DEF'!A:C,2,0),"")</f>
        <v>Equity Derivatives</v>
      </c>
      <c r="N13" t="str">
        <f>+_xlfn.IFNA(VLOOKUP(M13,'Mapping DEF'!B:C,2,FALSE),"")</f>
        <v>Equity</v>
      </c>
      <c r="O13" t="s">
        <v>44</v>
      </c>
    </row>
    <row r="14" spans="1:15" x14ac:dyDescent="0.25">
      <c r="A14" t="s">
        <v>2</v>
      </c>
      <c r="B14" t="s">
        <v>3</v>
      </c>
      <c r="C14">
        <v>2302</v>
      </c>
      <c r="D14" t="s">
        <v>4</v>
      </c>
      <c r="E14" t="s">
        <v>45</v>
      </c>
      <c r="F14" t="s">
        <v>2939</v>
      </c>
      <c r="G14" t="str">
        <f>+VLOOKUP(F14,[1]Explore!$B:$I,8,0)</f>
        <v>Equity Implied Volatility</v>
      </c>
      <c r="H14" t="s">
        <v>46</v>
      </c>
      <c r="I14" t="str">
        <f>+VLOOKUP(H14,[1]Explore!$A:$I,9,0)</f>
        <v>Equity Implied Volatility</v>
      </c>
      <c r="J14" t="str">
        <f t="shared" si="0"/>
        <v>OK</v>
      </c>
      <c r="K14" t="str">
        <f t="shared" si="1"/>
        <v>Equity Implied Volatility</v>
      </c>
      <c r="L14" t="s">
        <v>27</v>
      </c>
      <c r="M14" t="str">
        <f>_xlfn.IFNA(VLOOKUP(K14,'Mapping DEF'!A:C,2,0),"")</f>
        <v>Equity Derivatives</v>
      </c>
      <c r="N14" t="str">
        <f>+_xlfn.IFNA(VLOOKUP(M14,'Mapping DEF'!B:C,2,FALSE),"")</f>
        <v>Equity</v>
      </c>
      <c r="O14" t="s">
        <v>47</v>
      </c>
    </row>
    <row r="15" spans="1:15" x14ac:dyDescent="0.25">
      <c r="A15" t="s">
        <v>2</v>
      </c>
      <c r="B15" t="s">
        <v>3</v>
      </c>
      <c r="C15">
        <v>2302</v>
      </c>
      <c r="D15" t="s">
        <v>4</v>
      </c>
      <c r="E15" t="s">
        <v>48</v>
      </c>
      <c r="F15" t="s">
        <v>2155</v>
      </c>
      <c r="G15" t="str">
        <f>+VLOOKUP(F15,[1]Explore!$B:$I,8,0)</f>
        <v>Equity Implied Volatility</v>
      </c>
      <c r="H15" t="s">
        <v>49</v>
      </c>
      <c r="I15" t="str">
        <f>+VLOOKUP(H15,[1]Explore!$A:$I,9,0)</f>
        <v>Equity Implied Volatility</v>
      </c>
      <c r="J15" t="str">
        <f t="shared" si="0"/>
        <v>OK</v>
      </c>
      <c r="K15" t="str">
        <f t="shared" si="1"/>
        <v>Equity Implied Volatility</v>
      </c>
      <c r="L15" t="s">
        <v>27</v>
      </c>
      <c r="M15" t="str">
        <f>_xlfn.IFNA(VLOOKUP(K15,'Mapping DEF'!A:C,2,0),"")</f>
        <v>Equity Derivatives</v>
      </c>
      <c r="N15" t="str">
        <f>+_xlfn.IFNA(VLOOKUP(M15,'Mapping DEF'!B:C,2,FALSE),"")</f>
        <v>Equity</v>
      </c>
      <c r="O15" t="s">
        <v>35</v>
      </c>
    </row>
    <row r="16" spans="1:15" x14ac:dyDescent="0.25">
      <c r="A16" t="s">
        <v>2</v>
      </c>
      <c r="B16" t="s">
        <v>3</v>
      </c>
      <c r="C16">
        <v>2302</v>
      </c>
      <c r="D16" t="s">
        <v>4</v>
      </c>
      <c r="E16" t="s">
        <v>50</v>
      </c>
      <c r="F16" t="s">
        <v>51</v>
      </c>
      <c r="G16" t="str">
        <f>+VLOOKUP(F16,[1]Explore!$B:$I,8,0)</f>
        <v>Equity Implied Volatility</v>
      </c>
      <c r="H16" t="s">
        <v>52</v>
      </c>
      <c r="I16" t="str">
        <f>+VLOOKUP(H16,[1]Explore!$A:$I,9,0)</f>
        <v>Equity Implied Volatility</v>
      </c>
      <c r="J16" t="str">
        <f t="shared" si="0"/>
        <v>OK</v>
      </c>
      <c r="K16" t="str">
        <f t="shared" si="1"/>
        <v>Equity Implied Volatility</v>
      </c>
      <c r="L16" t="s">
        <v>27</v>
      </c>
      <c r="M16" t="str">
        <f>_xlfn.IFNA(VLOOKUP(K16,'Mapping DEF'!A:C,2,0),"")</f>
        <v>Equity Derivatives</v>
      </c>
      <c r="N16" t="str">
        <f>+_xlfn.IFNA(VLOOKUP(M16,'Mapping DEF'!B:C,2,FALSE),"")</f>
        <v>Equity</v>
      </c>
      <c r="O16" t="s">
        <v>53</v>
      </c>
    </row>
    <row r="17" spans="1:15" x14ac:dyDescent="0.25">
      <c r="A17" t="s">
        <v>2</v>
      </c>
      <c r="B17" t="s">
        <v>3</v>
      </c>
      <c r="C17">
        <v>2302</v>
      </c>
      <c r="D17" t="s">
        <v>4</v>
      </c>
      <c r="E17" t="s">
        <v>54</v>
      </c>
      <c r="F17" t="s">
        <v>2940</v>
      </c>
      <c r="G17" t="str">
        <f>+VLOOKUP(F17,[1]Explore!$B:$I,8,0)</f>
        <v>Equity Implied Volatility</v>
      </c>
      <c r="H17" t="s">
        <v>55</v>
      </c>
      <c r="I17" t="str">
        <f>+VLOOKUP(H17,[1]Explore!$A:$I,9,0)</f>
        <v>Equity Implied Volatility</v>
      </c>
      <c r="J17" t="str">
        <f t="shared" si="0"/>
        <v>OK</v>
      </c>
      <c r="K17" t="str">
        <f t="shared" si="1"/>
        <v>Equity Implied Volatility</v>
      </c>
      <c r="L17" t="s">
        <v>27</v>
      </c>
      <c r="M17" t="str">
        <f>_xlfn.IFNA(VLOOKUP(K17,'Mapping DEF'!A:C,2,0),"")</f>
        <v>Equity Derivatives</v>
      </c>
      <c r="N17" t="str">
        <f>+_xlfn.IFNA(VLOOKUP(M17,'Mapping DEF'!B:C,2,FALSE),"")</f>
        <v>Equity</v>
      </c>
      <c r="O17" t="s">
        <v>56</v>
      </c>
    </row>
    <row r="18" spans="1:15" x14ac:dyDescent="0.25">
      <c r="A18" t="s">
        <v>2</v>
      </c>
      <c r="B18" t="s">
        <v>3</v>
      </c>
      <c r="C18">
        <v>2302</v>
      </c>
      <c r="D18" t="s">
        <v>4</v>
      </c>
      <c r="E18" t="s">
        <v>57</v>
      </c>
      <c r="F18" t="s">
        <v>58</v>
      </c>
      <c r="G18" t="e">
        <f>+VLOOKUP(F18,[1]Explore!$B:$I,8,0)</f>
        <v>#N/A</v>
      </c>
      <c r="H18" t="s">
        <v>59</v>
      </c>
      <c r="I18" t="str">
        <f>+VLOOKUP(H18,[1]Explore!$A:$I,9,0)</f>
        <v>Equity Implied Volatility</v>
      </c>
      <c r="J18" t="str">
        <f t="shared" si="0"/>
        <v>OK</v>
      </c>
      <c r="K18" t="str">
        <f t="shared" si="1"/>
        <v>Equity Implied Volatility</v>
      </c>
      <c r="L18" t="s">
        <v>27</v>
      </c>
      <c r="M18" t="str">
        <f>_xlfn.IFNA(VLOOKUP(K18,'Mapping DEF'!A:C,2,0),"")</f>
        <v>Equity Derivatives</v>
      </c>
      <c r="N18" t="str">
        <f>+_xlfn.IFNA(VLOOKUP(M18,'Mapping DEF'!B:C,2,FALSE),"")</f>
        <v>Equity</v>
      </c>
      <c r="O18" t="s">
        <v>2698</v>
      </c>
    </row>
    <row r="19" spans="1:15" x14ac:dyDescent="0.25">
      <c r="A19" t="s">
        <v>2</v>
      </c>
      <c r="B19" t="s">
        <v>3</v>
      </c>
      <c r="C19">
        <v>2302</v>
      </c>
      <c r="D19" t="s">
        <v>4</v>
      </c>
      <c r="E19" t="s">
        <v>60</v>
      </c>
      <c r="F19" t="s">
        <v>61</v>
      </c>
      <c r="G19" t="e">
        <f>+VLOOKUP(F19,[1]Explore!$B:$I,8,0)</f>
        <v>#N/A</v>
      </c>
      <c r="H19" t="s">
        <v>62</v>
      </c>
      <c r="I19" t="str">
        <f>+VLOOKUP(H19,[1]Explore!$A:$I,9,0)</f>
        <v>Equity Implied Volatility</v>
      </c>
      <c r="J19" t="str">
        <f t="shared" si="0"/>
        <v>OK</v>
      </c>
      <c r="K19" t="str">
        <f t="shared" si="1"/>
        <v>Equity Implied Volatility</v>
      </c>
      <c r="L19" t="s">
        <v>27</v>
      </c>
      <c r="M19" t="str">
        <f>_xlfn.IFNA(VLOOKUP(K19,'Mapping DEF'!A:C,2,0),"")</f>
        <v>Equity Derivatives</v>
      </c>
      <c r="N19" t="str">
        <f>+_xlfn.IFNA(VLOOKUP(M19,'Mapping DEF'!B:C,2,FALSE),"")</f>
        <v>Equity</v>
      </c>
      <c r="O19" t="s">
        <v>63</v>
      </c>
    </row>
    <row r="20" spans="1:15" x14ac:dyDescent="0.25">
      <c r="A20" t="s">
        <v>64</v>
      </c>
      <c r="B20" t="s">
        <v>65</v>
      </c>
      <c r="C20">
        <v>2109</v>
      </c>
      <c r="D20" t="s">
        <v>66</v>
      </c>
      <c r="E20" t="s">
        <v>67</v>
      </c>
      <c r="F20" t="s">
        <v>68</v>
      </c>
      <c r="G20" t="str">
        <f>+VLOOKUP(F20,[1]Explore!$B:$I,8,0)</f>
        <v>Alternative - Commodity</v>
      </c>
      <c r="H20" t="s">
        <v>69</v>
      </c>
      <c r="I20" t="str">
        <f>+VLOOKUP(H20,[1]Explore!$A:$I,9,0)</f>
        <v>Alternative - Commodity</v>
      </c>
      <c r="J20" t="str">
        <f t="shared" si="0"/>
        <v>OK</v>
      </c>
      <c r="K20" t="str">
        <f t="shared" si="1"/>
        <v>Alternative - Commodity</v>
      </c>
      <c r="L20" t="s">
        <v>70</v>
      </c>
      <c r="M20" t="str">
        <f>_xlfn.IFNA(VLOOKUP(K20,'Mapping DEF'!A:C,2,0),"")</f>
        <v>Alternative</v>
      </c>
      <c r="N20" t="str">
        <f>+_xlfn.IFNA(VLOOKUP(M20,'Mapping DEF'!B:C,2,FALSE),"")</f>
        <v>Other</v>
      </c>
      <c r="O20" t="s">
        <v>71</v>
      </c>
    </row>
    <row r="21" spans="1:15" x14ac:dyDescent="0.25">
      <c r="A21" t="s">
        <v>64</v>
      </c>
      <c r="B21" t="s">
        <v>65</v>
      </c>
      <c r="C21">
        <v>2109</v>
      </c>
      <c r="D21" t="s">
        <v>66</v>
      </c>
      <c r="E21" t="s">
        <v>72</v>
      </c>
      <c r="F21" t="s">
        <v>73</v>
      </c>
      <c r="G21" t="e">
        <f>+VLOOKUP(F21,[1]Explore!$B:$I,8,0)</f>
        <v>#N/A</v>
      </c>
      <c r="H21" t="s">
        <v>74</v>
      </c>
      <c r="I21" t="str">
        <f>+VLOOKUP(H21,[1]Explore!$A:$I,9,0)</f>
        <v>Emerging Currency</v>
      </c>
      <c r="J21" t="str">
        <f t="shared" si="0"/>
        <v>OK</v>
      </c>
      <c r="K21" t="str">
        <f t="shared" si="1"/>
        <v>Emerging Currency</v>
      </c>
      <c r="L21" t="s">
        <v>75</v>
      </c>
      <c r="M21" t="str">
        <f>_xlfn.IFNA(VLOOKUP(K21,'Mapping DEF'!A:C,2,0),"")</f>
        <v>FX</v>
      </c>
      <c r="N21" t="str">
        <f>+_xlfn.IFNA(VLOOKUP(M21,'Mapping DEF'!B:C,2,FALSE),"")</f>
        <v>FX</v>
      </c>
      <c r="O21" t="s">
        <v>76</v>
      </c>
    </row>
    <row r="22" spans="1:15" x14ac:dyDescent="0.25">
      <c r="A22" t="s">
        <v>64</v>
      </c>
      <c r="B22" t="s">
        <v>65</v>
      </c>
      <c r="C22">
        <v>2109</v>
      </c>
      <c r="D22" t="s">
        <v>66</v>
      </c>
      <c r="E22" t="s">
        <v>77</v>
      </c>
      <c r="F22" t="s">
        <v>95</v>
      </c>
      <c r="G22" t="str">
        <f>+VLOOKUP(F22,[1]Explore!$B:$I,8,0)</f>
        <v>Industrials</v>
      </c>
      <c r="H22" t="s">
        <v>78</v>
      </c>
      <c r="I22" t="e">
        <f>+VLOOKUP(H22,[1]Explore!$A:$I,9,0)</f>
        <v>#N/A</v>
      </c>
      <c r="J22" t="str">
        <f t="shared" si="0"/>
        <v>OK</v>
      </c>
      <c r="K22" t="str">
        <f t="shared" si="1"/>
        <v>Industrials</v>
      </c>
      <c r="L22" t="s">
        <v>93</v>
      </c>
      <c r="M22" t="str">
        <f>_xlfn.IFNA(VLOOKUP(K22,'Mapping DEF'!A:C,2,0),"")</f>
        <v>Industry Allocation</v>
      </c>
      <c r="N22" t="str">
        <f>+_xlfn.IFNA(VLOOKUP(M22,'Mapping DEF'!B:C,2,FALSE),"")</f>
        <v>Equity</v>
      </c>
      <c r="O22" t="s">
        <v>79</v>
      </c>
    </row>
    <row r="23" spans="1:15" x14ac:dyDescent="0.25">
      <c r="A23" t="s">
        <v>64</v>
      </c>
      <c r="B23" t="s">
        <v>65</v>
      </c>
      <c r="C23">
        <v>2109</v>
      </c>
      <c r="D23" t="s">
        <v>66</v>
      </c>
      <c r="E23" t="s">
        <v>80</v>
      </c>
      <c r="F23" t="s">
        <v>2162</v>
      </c>
      <c r="G23" t="str">
        <f>+VLOOKUP(F23,[1]Explore!$B:$I,8,0)</f>
        <v>Information Technology</v>
      </c>
      <c r="I23" t="e">
        <f>+VLOOKUP(H23,[1]Explore!$A:$I,9,0)</f>
        <v>#N/A</v>
      </c>
      <c r="J23" t="str">
        <f t="shared" si="0"/>
        <v>OK</v>
      </c>
      <c r="K23" t="str">
        <f t="shared" si="1"/>
        <v>Information Technology</v>
      </c>
      <c r="L23" t="s">
        <v>93</v>
      </c>
      <c r="M23" t="str">
        <f>_xlfn.IFNA(VLOOKUP(K23,'Mapping DEF'!A:C,2,0),"")</f>
        <v>Industry Allocation</v>
      </c>
      <c r="N23" t="str">
        <f>+_xlfn.IFNA(VLOOKUP(M23,'Mapping DEF'!B:C,2,FALSE),"")</f>
        <v>Equity</v>
      </c>
      <c r="O23" t="s">
        <v>82</v>
      </c>
    </row>
    <row r="24" spans="1:15" x14ac:dyDescent="0.25">
      <c r="A24" t="s">
        <v>64</v>
      </c>
      <c r="B24" t="s">
        <v>65</v>
      </c>
      <c r="C24">
        <v>2109</v>
      </c>
      <c r="D24" t="s">
        <v>66</v>
      </c>
      <c r="E24" t="s">
        <v>83</v>
      </c>
      <c r="F24" t="s">
        <v>2163</v>
      </c>
      <c r="G24" t="str">
        <f>+VLOOKUP(F24,[1]Explore!$B:$I,8,0)</f>
        <v>Corporate HY USD - Industry</v>
      </c>
      <c r="H24" t="s">
        <v>84</v>
      </c>
      <c r="I24" t="e">
        <f>+VLOOKUP(H24,[1]Explore!$A:$I,9,0)</f>
        <v>#N/A</v>
      </c>
      <c r="J24" t="str">
        <f t="shared" si="0"/>
        <v>OK</v>
      </c>
      <c r="K24" t="str">
        <f t="shared" si="1"/>
        <v>Corporate HY USD - Industry</v>
      </c>
      <c r="L24" t="s">
        <v>188</v>
      </c>
      <c r="M24" t="str">
        <f>_xlfn.IFNA(VLOOKUP(K24,'Mapping DEF'!A:C,2,0),"")</f>
        <v>Spread</v>
      </c>
      <c r="N24" t="str">
        <f>+_xlfn.IFNA(VLOOKUP(M24,'Mapping DEF'!B:C,2,FALSE),"")</f>
        <v>Spread</v>
      </c>
      <c r="O24" t="s">
        <v>85</v>
      </c>
    </row>
    <row r="25" spans="1:15" x14ac:dyDescent="0.25">
      <c r="A25" t="s">
        <v>86</v>
      </c>
      <c r="B25" t="s">
        <v>87</v>
      </c>
      <c r="C25">
        <v>2108</v>
      </c>
      <c r="D25" t="s">
        <v>88</v>
      </c>
      <c r="E25" t="s">
        <v>89</v>
      </c>
      <c r="F25" t="s">
        <v>68</v>
      </c>
      <c r="G25" t="str">
        <f>+VLOOKUP(F25,[1]Explore!$B:$I,8,0)</f>
        <v>Alternative - Commodity</v>
      </c>
      <c r="H25" t="s">
        <v>69</v>
      </c>
      <c r="I25" t="str">
        <f>+VLOOKUP(H25,[1]Explore!$A:$I,9,0)</f>
        <v>Alternative - Commodity</v>
      </c>
      <c r="J25" t="str">
        <f t="shared" si="0"/>
        <v>OK</v>
      </c>
      <c r="K25" t="str">
        <f t="shared" si="1"/>
        <v>Alternative - Commodity</v>
      </c>
      <c r="L25" t="s">
        <v>70</v>
      </c>
      <c r="M25" t="str">
        <f>_xlfn.IFNA(VLOOKUP(K25,'Mapping DEF'!A:C,2,0),"")</f>
        <v>Alternative</v>
      </c>
      <c r="N25" t="str">
        <f>+_xlfn.IFNA(VLOOKUP(M25,'Mapping DEF'!B:C,2,FALSE),"")</f>
        <v>Other</v>
      </c>
      <c r="O25" t="s">
        <v>71</v>
      </c>
    </row>
    <row r="26" spans="1:15" x14ac:dyDescent="0.25">
      <c r="A26" t="s">
        <v>86</v>
      </c>
      <c r="B26" t="s">
        <v>87</v>
      </c>
      <c r="C26">
        <v>2108</v>
      </c>
      <c r="D26" t="s">
        <v>88</v>
      </c>
      <c r="E26" t="s">
        <v>90</v>
      </c>
      <c r="F26" t="s">
        <v>2612</v>
      </c>
      <c r="G26" t="e">
        <f>+VLOOKUP(F26,[1]Explore!$B:$I,8,0)</f>
        <v>#N/A</v>
      </c>
      <c r="H26" t="s">
        <v>92</v>
      </c>
      <c r="I26" t="e">
        <f>+VLOOKUP(H26,[1]Explore!$A:$I,9,0)</f>
        <v>#N/A</v>
      </c>
      <c r="J26" t="str">
        <f t="shared" si="0"/>
        <v>BOTH #N/A</v>
      </c>
      <c r="K26" t="str">
        <f t="shared" si="1"/>
        <v>Materials</v>
      </c>
      <c r="L26" t="s">
        <v>748</v>
      </c>
      <c r="M26" t="str">
        <f>_xlfn.IFNA(VLOOKUP(K26,'Mapping DEF'!A:C,2,0),"")</f>
        <v>Industry Allocation</v>
      </c>
      <c r="N26" t="str">
        <f>+_xlfn.IFNA(VLOOKUP(M26,'Mapping DEF'!B:C,2,FALSE),"")</f>
        <v>Equity</v>
      </c>
      <c r="O26" t="s">
        <v>79</v>
      </c>
    </row>
    <row r="27" spans="1:15" x14ac:dyDescent="0.25">
      <c r="A27" t="s">
        <v>86</v>
      </c>
      <c r="B27" t="s">
        <v>87</v>
      </c>
      <c r="C27">
        <v>2108</v>
      </c>
      <c r="D27" t="s">
        <v>88</v>
      </c>
      <c r="E27" t="s">
        <v>94</v>
      </c>
      <c r="F27" t="s">
        <v>95</v>
      </c>
      <c r="G27" t="str">
        <f>+VLOOKUP(F27,[1]Explore!$B:$I,8,0)</f>
        <v>Industrials</v>
      </c>
      <c r="H27" t="s">
        <v>96</v>
      </c>
      <c r="I27" t="e">
        <f>+VLOOKUP(H27,[1]Explore!$A:$I,9,0)</f>
        <v>#N/A</v>
      </c>
      <c r="J27" t="str">
        <f t="shared" si="0"/>
        <v>OK</v>
      </c>
      <c r="K27" t="str">
        <f t="shared" si="1"/>
        <v>Industrials</v>
      </c>
      <c r="L27" t="s">
        <v>93</v>
      </c>
      <c r="M27" t="str">
        <f>_xlfn.IFNA(VLOOKUP(K27,'Mapping DEF'!A:C,2,0),"")</f>
        <v>Industry Allocation</v>
      </c>
      <c r="N27" t="str">
        <f>+_xlfn.IFNA(VLOOKUP(M27,'Mapping DEF'!B:C,2,FALSE),"")</f>
        <v>Equity</v>
      </c>
      <c r="O27" t="s">
        <v>2699</v>
      </c>
    </row>
    <row r="28" spans="1:15" x14ac:dyDescent="0.25">
      <c r="A28" t="s">
        <v>86</v>
      </c>
      <c r="B28" t="s">
        <v>87</v>
      </c>
      <c r="C28">
        <v>2108</v>
      </c>
      <c r="D28" t="s">
        <v>88</v>
      </c>
      <c r="E28" t="s">
        <v>97</v>
      </c>
      <c r="F28" t="s">
        <v>2164</v>
      </c>
      <c r="G28" t="e">
        <f>+VLOOKUP(F28,[1]Explore!$B:$I,8,0)</f>
        <v>#N/A</v>
      </c>
      <c r="H28" t="s">
        <v>98</v>
      </c>
      <c r="I28" t="e">
        <f>+VLOOKUP(H28,[1]Explore!$A:$I,9,0)</f>
        <v>#N/A</v>
      </c>
      <c r="J28" t="str">
        <f t="shared" si="0"/>
        <v>BOTH #N/A</v>
      </c>
      <c r="K28" t="str">
        <f t="shared" si="1"/>
        <v>Information Technology</v>
      </c>
      <c r="L28" t="s">
        <v>2679</v>
      </c>
      <c r="M28" t="str">
        <f>_xlfn.IFNA(VLOOKUP(K28,'Mapping DEF'!A:C,2,0),"")</f>
        <v>Industry Allocation</v>
      </c>
      <c r="N28" t="str">
        <f>+_xlfn.IFNA(VLOOKUP(M28,'Mapping DEF'!B:C,2,FALSE),"")</f>
        <v>Equity</v>
      </c>
      <c r="O28" t="s">
        <v>79</v>
      </c>
    </row>
    <row r="29" spans="1:15" x14ac:dyDescent="0.25">
      <c r="A29" t="s">
        <v>86</v>
      </c>
      <c r="B29" t="s">
        <v>87</v>
      </c>
      <c r="C29">
        <v>2108</v>
      </c>
      <c r="D29" t="s">
        <v>88</v>
      </c>
      <c r="E29" t="s">
        <v>99</v>
      </c>
      <c r="F29" t="s">
        <v>2165</v>
      </c>
      <c r="G29" t="str">
        <f>+VLOOKUP(F29,[1]Explore!$B:$I,8,0)</f>
        <v>Corporate HY USD - Industry</v>
      </c>
      <c r="H29" t="s">
        <v>100</v>
      </c>
      <c r="I29" t="e">
        <f>+VLOOKUP(H29,[1]Explore!$A:$I,9,0)</f>
        <v>#N/A</v>
      </c>
      <c r="J29" t="str">
        <f t="shared" si="0"/>
        <v>OK</v>
      </c>
      <c r="K29" t="str">
        <f t="shared" si="1"/>
        <v>Corporate HY USD - Industry</v>
      </c>
      <c r="L29" t="s">
        <v>188</v>
      </c>
      <c r="M29" t="str">
        <f>_xlfn.IFNA(VLOOKUP(K29,'Mapping DEF'!A:C,2,0),"")</f>
        <v>Spread</v>
      </c>
      <c r="N29" t="str">
        <f>+_xlfn.IFNA(VLOOKUP(M29,'Mapping DEF'!B:C,2,FALSE),"")</f>
        <v>Spread</v>
      </c>
      <c r="O29" t="s">
        <v>101</v>
      </c>
    </row>
    <row r="30" spans="1:15" x14ac:dyDescent="0.25">
      <c r="A30" t="s">
        <v>102</v>
      </c>
      <c r="B30" t="s">
        <v>103</v>
      </c>
      <c r="C30">
        <v>2107</v>
      </c>
      <c r="D30" t="s">
        <v>104</v>
      </c>
      <c r="E30" t="s">
        <v>105</v>
      </c>
      <c r="F30" t="s">
        <v>16</v>
      </c>
      <c r="G30" t="str">
        <f>+VLOOKUP(F30,[1]Explore!$B:$I,8,0)</f>
        <v>Govt USD</v>
      </c>
      <c r="H30" t="s">
        <v>17</v>
      </c>
      <c r="I30" t="str">
        <f>+VLOOKUP(H30,[1]Explore!$A:$I,9,0)</f>
        <v>Govt USD</v>
      </c>
      <c r="J30" t="str">
        <f t="shared" si="0"/>
        <v>OK</v>
      </c>
      <c r="K30" t="str">
        <f t="shared" si="1"/>
        <v>Govt USD</v>
      </c>
      <c r="L30" t="s">
        <v>8</v>
      </c>
      <c r="M30" t="str">
        <f>_xlfn.IFNA(VLOOKUP(K30,'Mapping DEF'!A:C,2,0),"")</f>
        <v>Curve (Local)</v>
      </c>
      <c r="N30" t="str">
        <f>+_xlfn.IFNA(VLOOKUP(M30,'Mapping DEF'!B:C,2,FALSE),"")</f>
        <v>Term Structure</v>
      </c>
      <c r="O30" t="s">
        <v>101</v>
      </c>
    </row>
    <row r="31" spans="1:15" x14ac:dyDescent="0.25">
      <c r="A31" t="s">
        <v>102</v>
      </c>
      <c r="B31" t="s">
        <v>103</v>
      </c>
      <c r="C31">
        <v>2107</v>
      </c>
      <c r="D31" t="s">
        <v>104</v>
      </c>
      <c r="E31" t="s">
        <v>106</v>
      </c>
      <c r="F31" t="s">
        <v>68</v>
      </c>
      <c r="G31" t="str">
        <f>+VLOOKUP(F31,[1]Explore!$B:$I,8,0)</f>
        <v>Alternative - Commodity</v>
      </c>
      <c r="H31" t="s">
        <v>69</v>
      </c>
      <c r="I31" t="str">
        <f>+VLOOKUP(H31,[1]Explore!$A:$I,9,0)</f>
        <v>Alternative - Commodity</v>
      </c>
      <c r="J31" t="str">
        <f t="shared" si="0"/>
        <v>OK</v>
      </c>
      <c r="K31" t="str">
        <f t="shared" si="1"/>
        <v>Alternative - Commodity</v>
      </c>
      <c r="L31" t="s">
        <v>70</v>
      </c>
      <c r="M31" t="str">
        <f>_xlfn.IFNA(VLOOKUP(K31,'Mapping DEF'!A:C,2,0),"")</f>
        <v>Alternative</v>
      </c>
      <c r="N31" t="str">
        <f>+_xlfn.IFNA(VLOOKUP(M31,'Mapping DEF'!B:C,2,FALSE),"")</f>
        <v>Other</v>
      </c>
      <c r="O31" t="s">
        <v>2700</v>
      </c>
    </row>
    <row r="32" spans="1:15" x14ac:dyDescent="0.25">
      <c r="A32" t="s">
        <v>102</v>
      </c>
      <c r="B32" t="s">
        <v>103</v>
      </c>
      <c r="C32">
        <v>2107</v>
      </c>
      <c r="D32" t="s">
        <v>104</v>
      </c>
      <c r="E32" t="s">
        <v>107</v>
      </c>
      <c r="F32" t="s">
        <v>73</v>
      </c>
      <c r="G32" t="e">
        <f>+VLOOKUP(F32,[1]Explore!$B:$I,8,0)</f>
        <v>#N/A</v>
      </c>
      <c r="H32" t="s">
        <v>74</v>
      </c>
      <c r="I32" t="str">
        <f>+VLOOKUP(H32,[1]Explore!$A:$I,9,0)</f>
        <v>Emerging Currency</v>
      </c>
      <c r="J32" t="str">
        <f t="shared" si="0"/>
        <v>OK</v>
      </c>
      <c r="K32" t="str">
        <f t="shared" si="1"/>
        <v>Emerging Currency</v>
      </c>
      <c r="L32" t="s">
        <v>75</v>
      </c>
      <c r="M32" t="str">
        <f>_xlfn.IFNA(VLOOKUP(K32,'Mapping DEF'!A:C,2,0),"")</f>
        <v>FX</v>
      </c>
      <c r="N32" t="str">
        <f>+_xlfn.IFNA(VLOOKUP(M32,'Mapping DEF'!B:C,2,FALSE),"")</f>
        <v>FX</v>
      </c>
      <c r="O32" t="s">
        <v>108</v>
      </c>
    </row>
    <row r="33" spans="1:15" x14ac:dyDescent="0.25">
      <c r="A33" t="s">
        <v>102</v>
      </c>
      <c r="B33" t="s">
        <v>103</v>
      </c>
      <c r="C33">
        <v>2107</v>
      </c>
      <c r="D33" t="s">
        <v>104</v>
      </c>
      <c r="E33" t="s">
        <v>109</v>
      </c>
      <c r="F33" t="s">
        <v>110</v>
      </c>
      <c r="G33" t="str">
        <f>+VLOOKUP(F33,[1]Explore!$B:$I,8,0)</f>
        <v>Equity Implied Volatility</v>
      </c>
      <c r="H33" t="s">
        <v>111</v>
      </c>
      <c r="I33" t="str">
        <f>+VLOOKUP(H33,[1]Explore!$A:$I,9,0)</f>
        <v>Equity Implied Volatility</v>
      </c>
      <c r="J33" t="str">
        <f t="shared" si="0"/>
        <v>OK</v>
      </c>
      <c r="K33" t="str">
        <f t="shared" si="1"/>
        <v>Equity Implied Volatility</v>
      </c>
      <c r="L33" t="s">
        <v>27</v>
      </c>
      <c r="M33" t="str">
        <f>_xlfn.IFNA(VLOOKUP(K33,'Mapping DEF'!A:C,2,0),"")</f>
        <v>Equity Derivatives</v>
      </c>
      <c r="N33" t="str">
        <f>+_xlfn.IFNA(VLOOKUP(M33,'Mapping DEF'!B:C,2,FALSE),"")</f>
        <v>Equity</v>
      </c>
      <c r="O33" t="s">
        <v>2701</v>
      </c>
    </row>
    <row r="34" spans="1:15" x14ac:dyDescent="0.25">
      <c r="A34" t="s">
        <v>102</v>
      </c>
      <c r="B34" t="s">
        <v>103</v>
      </c>
      <c r="C34">
        <v>2107</v>
      </c>
      <c r="D34" t="s">
        <v>104</v>
      </c>
      <c r="E34" t="s">
        <v>112</v>
      </c>
      <c r="F34" t="s">
        <v>2176</v>
      </c>
      <c r="G34" t="str">
        <f>+VLOOKUP(F34,[1]Explore!$B:$I,8,0)</f>
        <v>Industrials</v>
      </c>
      <c r="H34" t="s">
        <v>113</v>
      </c>
      <c r="I34" t="e">
        <f>+VLOOKUP(H34,[1]Explore!$A:$I,9,0)</f>
        <v>#N/A</v>
      </c>
      <c r="J34" t="str">
        <f t="shared" si="0"/>
        <v>OK</v>
      </c>
      <c r="K34" t="str">
        <f t="shared" si="1"/>
        <v>Industrials</v>
      </c>
      <c r="L34" t="s">
        <v>93</v>
      </c>
      <c r="M34" t="str">
        <f>_xlfn.IFNA(VLOOKUP(K34,'Mapping DEF'!A:C,2,0),"")</f>
        <v>Industry Allocation</v>
      </c>
      <c r="N34" t="str">
        <f>+_xlfn.IFNA(VLOOKUP(M34,'Mapping DEF'!B:C,2,FALSE),"")</f>
        <v>Equity</v>
      </c>
      <c r="O34" t="s">
        <v>114</v>
      </c>
    </row>
    <row r="35" spans="1:15" x14ac:dyDescent="0.25">
      <c r="A35" t="s">
        <v>102</v>
      </c>
      <c r="B35" t="s">
        <v>103</v>
      </c>
      <c r="C35">
        <v>2107</v>
      </c>
      <c r="D35" t="s">
        <v>104</v>
      </c>
      <c r="E35" t="s">
        <v>115</v>
      </c>
      <c r="F35" t="s">
        <v>2162</v>
      </c>
      <c r="G35" t="str">
        <f>+VLOOKUP(F35,[1]Explore!$B:$I,8,0)</f>
        <v>Information Technology</v>
      </c>
      <c r="H35" t="s">
        <v>117</v>
      </c>
      <c r="I35" t="e">
        <f>+VLOOKUP(H35,[1]Explore!$A:$I,9,0)</f>
        <v>#N/A</v>
      </c>
      <c r="J35" t="str">
        <f t="shared" si="0"/>
        <v>OK</v>
      </c>
      <c r="K35" t="str">
        <f t="shared" si="1"/>
        <v>Information Technology</v>
      </c>
      <c r="L35" t="s">
        <v>93</v>
      </c>
      <c r="M35" t="str">
        <f>_xlfn.IFNA(VLOOKUP(K35,'Mapping DEF'!A:C,2,0),"")</f>
        <v>Industry Allocation</v>
      </c>
      <c r="N35" t="str">
        <f>+_xlfn.IFNA(VLOOKUP(M35,'Mapping DEF'!B:C,2,FALSE),"")</f>
        <v>Equity</v>
      </c>
      <c r="O35" t="s">
        <v>2702</v>
      </c>
    </row>
    <row r="36" spans="1:15" x14ac:dyDescent="0.25">
      <c r="A36" t="s">
        <v>102</v>
      </c>
      <c r="B36" t="s">
        <v>103</v>
      </c>
      <c r="C36">
        <v>2107</v>
      </c>
      <c r="D36" t="s">
        <v>104</v>
      </c>
      <c r="E36" t="s">
        <v>118</v>
      </c>
      <c r="F36" t="s">
        <v>2165</v>
      </c>
      <c r="G36" t="str">
        <f>+VLOOKUP(F36,[1]Explore!$B:$I,8,0)</f>
        <v>Corporate HY USD - Industry</v>
      </c>
      <c r="H36" t="s">
        <v>100</v>
      </c>
      <c r="I36" t="e">
        <f>+VLOOKUP(H36,[1]Explore!$A:$I,9,0)</f>
        <v>#N/A</v>
      </c>
      <c r="J36" t="str">
        <f t="shared" si="0"/>
        <v>OK</v>
      </c>
      <c r="K36" t="str">
        <f t="shared" si="1"/>
        <v>Corporate HY USD - Industry</v>
      </c>
      <c r="L36" t="s">
        <v>188</v>
      </c>
      <c r="M36" t="str">
        <f>_xlfn.IFNA(VLOOKUP(K36,'Mapping DEF'!A:C,2,0),"")</f>
        <v>Spread</v>
      </c>
      <c r="N36" t="str">
        <f>+_xlfn.IFNA(VLOOKUP(M36,'Mapping DEF'!B:C,2,FALSE),"")</f>
        <v>Spread</v>
      </c>
      <c r="O36" t="s">
        <v>119</v>
      </c>
    </row>
    <row r="37" spans="1:15" x14ac:dyDescent="0.25">
      <c r="A37" t="s">
        <v>120</v>
      </c>
      <c r="B37" t="s">
        <v>121</v>
      </c>
      <c r="C37">
        <v>2101</v>
      </c>
      <c r="D37" t="s">
        <v>122</v>
      </c>
      <c r="E37" t="s">
        <v>123</v>
      </c>
      <c r="F37" t="s">
        <v>10</v>
      </c>
      <c r="G37" t="str">
        <f>+VLOOKUP(F37,[1]Explore!$B:$I,8,0)</f>
        <v>Govt USD</v>
      </c>
      <c r="H37" t="s">
        <v>11</v>
      </c>
      <c r="I37" t="str">
        <f>+VLOOKUP(H37,[1]Explore!$A:$I,9,0)</f>
        <v>Govt USD</v>
      </c>
      <c r="J37" t="str">
        <f t="shared" si="0"/>
        <v>OK</v>
      </c>
      <c r="K37" t="str">
        <f t="shared" si="1"/>
        <v>Govt USD</v>
      </c>
      <c r="L37" t="s">
        <v>8</v>
      </c>
      <c r="M37" t="str">
        <f>_xlfn.IFNA(VLOOKUP(K37,'Mapping DEF'!A:C,2,0),"")</f>
        <v>Curve (Local)</v>
      </c>
      <c r="N37" t="str">
        <f>+_xlfn.IFNA(VLOOKUP(M37,'Mapping DEF'!B:C,2,FALSE),"")</f>
        <v>Term Structure</v>
      </c>
      <c r="O37" t="s">
        <v>124</v>
      </c>
    </row>
    <row r="38" spans="1:15" x14ac:dyDescent="0.25">
      <c r="A38" t="s">
        <v>120</v>
      </c>
      <c r="B38" t="s">
        <v>121</v>
      </c>
      <c r="C38">
        <v>2101</v>
      </c>
      <c r="D38" t="s">
        <v>122</v>
      </c>
      <c r="E38" t="s">
        <v>125</v>
      </c>
      <c r="F38" t="s">
        <v>126</v>
      </c>
      <c r="G38" t="str">
        <f>+VLOOKUP(F38,[1]Explore!$B:$I,8,0)</f>
        <v>USD Inflation</v>
      </c>
      <c r="H38" t="s">
        <v>127</v>
      </c>
      <c r="I38" t="str">
        <f>+VLOOKUP(H38,[1]Explore!$A:$I,9,0)</f>
        <v>USD Inflation</v>
      </c>
      <c r="J38" t="str">
        <f t="shared" si="0"/>
        <v>OK</v>
      </c>
      <c r="K38" t="str">
        <f t="shared" si="1"/>
        <v>USD Inflation</v>
      </c>
      <c r="L38" t="s">
        <v>8</v>
      </c>
      <c r="M38" t="str">
        <f>_xlfn.IFNA(VLOOKUP(K38,'Mapping DEF'!A:C,2,0),"")</f>
        <v>Inflation</v>
      </c>
      <c r="N38" t="str">
        <f>+_xlfn.IFNA(VLOOKUP(M38,'Mapping DEF'!B:C,2,FALSE),"")</f>
        <v>Other</v>
      </c>
      <c r="O38" t="s">
        <v>2703</v>
      </c>
    </row>
    <row r="39" spans="1:15" x14ac:dyDescent="0.25">
      <c r="A39" t="s">
        <v>120</v>
      </c>
      <c r="B39" t="s">
        <v>121</v>
      </c>
      <c r="C39">
        <v>2101</v>
      </c>
      <c r="D39" t="s">
        <v>122</v>
      </c>
      <c r="E39" t="s">
        <v>129</v>
      </c>
      <c r="F39" t="s">
        <v>130</v>
      </c>
      <c r="G39" t="str">
        <f>+VLOOKUP(F39,[1]Explore!$B:$I,8,0)</f>
        <v>Govt EUR (Ger)</v>
      </c>
      <c r="H39" t="s">
        <v>131</v>
      </c>
      <c r="I39" t="str">
        <f>+VLOOKUP(H39,[1]Explore!$A:$I,9,0)</f>
        <v>Govt EUR (Ger)</v>
      </c>
      <c r="J39" t="str">
        <f t="shared" si="0"/>
        <v>OK</v>
      </c>
      <c r="K39" t="str">
        <f t="shared" si="1"/>
        <v>Govt EUR (Ger)</v>
      </c>
      <c r="L39" t="s">
        <v>8</v>
      </c>
      <c r="M39" t="str">
        <f>_xlfn.IFNA(VLOOKUP(K39,'Mapping DEF'!A:C,2,0),"")</f>
        <v>Curve (Local)</v>
      </c>
      <c r="N39" t="str">
        <f>+_xlfn.IFNA(VLOOKUP(M39,'Mapping DEF'!B:C,2,FALSE),"")</f>
        <v>Term Structure</v>
      </c>
      <c r="O39" t="s">
        <v>132</v>
      </c>
    </row>
    <row r="40" spans="1:15" x14ac:dyDescent="0.25">
      <c r="A40" t="s">
        <v>120</v>
      </c>
      <c r="B40" t="s">
        <v>121</v>
      </c>
      <c r="C40">
        <v>2101</v>
      </c>
      <c r="D40" t="s">
        <v>122</v>
      </c>
      <c r="E40" t="s">
        <v>133</v>
      </c>
      <c r="F40" t="s">
        <v>134</v>
      </c>
      <c r="G40" t="str">
        <f>+VLOOKUP(F40,[1]Explore!$B:$I,8,0)</f>
        <v>Govt Developed Other (AU, GB, JP, ...)</v>
      </c>
      <c r="H40" t="s">
        <v>135</v>
      </c>
      <c r="I40" t="str">
        <f>+VLOOKUP(H40,[1]Explore!$A:$I,9,0)</f>
        <v>Govt Developed Other (AU, GB, JP, ...)</v>
      </c>
      <c r="J40" t="str">
        <f t="shared" si="0"/>
        <v>OK</v>
      </c>
      <c r="K40" t="str">
        <f t="shared" si="1"/>
        <v>Govt Developed Other (AU, GB, JP, ...)</v>
      </c>
      <c r="L40" t="s">
        <v>8</v>
      </c>
      <c r="M40" t="str">
        <f>_xlfn.IFNA(VLOOKUP(K40,'Mapping DEF'!A:C,2,0),"")</f>
        <v>Curve (Local)</v>
      </c>
      <c r="N40" t="str">
        <f>+_xlfn.IFNA(VLOOKUP(M40,'Mapping DEF'!B:C,2,FALSE),"")</f>
        <v>Term Structure</v>
      </c>
      <c r="O40" t="s">
        <v>136</v>
      </c>
    </row>
    <row r="41" spans="1:15" x14ac:dyDescent="0.25">
      <c r="A41" t="s">
        <v>120</v>
      </c>
      <c r="B41" t="s">
        <v>121</v>
      </c>
      <c r="C41">
        <v>2101</v>
      </c>
      <c r="D41" t="s">
        <v>122</v>
      </c>
      <c r="E41" t="s">
        <v>137</v>
      </c>
      <c r="F41" t="s">
        <v>2944</v>
      </c>
      <c r="G41" t="str">
        <f>+VLOOKUP(F41,[1]Explore!$B:$I,8,0)</f>
        <v>JPY</v>
      </c>
      <c r="H41" t="s">
        <v>138</v>
      </c>
      <c r="I41" t="str">
        <f>+VLOOKUP(H41,[1]Explore!$A:$I,9,0)</f>
        <v>JPY</v>
      </c>
      <c r="J41" t="str">
        <f t="shared" si="0"/>
        <v>OK</v>
      </c>
      <c r="K41" t="str">
        <f t="shared" si="1"/>
        <v>JPY</v>
      </c>
      <c r="L41" t="s">
        <v>75</v>
      </c>
      <c r="M41" t="str">
        <f>_xlfn.IFNA(VLOOKUP(K41,'Mapping DEF'!A:C,2,0),"")</f>
        <v>FX</v>
      </c>
      <c r="N41" t="str">
        <f>+_xlfn.IFNA(VLOOKUP(M41,'Mapping DEF'!B:C,2,FALSE),"")</f>
        <v>FX</v>
      </c>
      <c r="O41" t="s">
        <v>139</v>
      </c>
    </row>
    <row r="42" spans="1:15" x14ac:dyDescent="0.25">
      <c r="A42" t="s">
        <v>120</v>
      </c>
      <c r="B42" t="s">
        <v>121</v>
      </c>
      <c r="C42">
        <v>2101</v>
      </c>
      <c r="D42" t="s">
        <v>122</v>
      </c>
      <c r="E42" t="s">
        <v>140</v>
      </c>
      <c r="F42" t="s">
        <v>2156</v>
      </c>
      <c r="G42" t="str">
        <f>+VLOOKUP(F42,[1]Explore!$B:$I,8,0)</f>
        <v>Equity Implied Volatility</v>
      </c>
      <c r="H42" t="s">
        <v>141</v>
      </c>
      <c r="I42" t="str">
        <f>+VLOOKUP(H42,[1]Explore!$A:$I,9,0)</f>
        <v>Equity Implied Volatility</v>
      </c>
      <c r="J42" t="str">
        <f t="shared" si="0"/>
        <v>OK</v>
      </c>
      <c r="K42" t="str">
        <f t="shared" si="1"/>
        <v>Equity Implied Volatility</v>
      </c>
      <c r="L42" t="s">
        <v>27</v>
      </c>
      <c r="M42" t="str">
        <f>_xlfn.IFNA(VLOOKUP(K42,'Mapping DEF'!A:C,2,0),"")</f>
        <v>Equity Derivatives</v>
      </c>
      <c r="N42" t="str">
        <f>+_xlfn.IFNA(VLOOKUP(M42,'Mapping DEF'!B:C,2,FALSE),"")</f>
        <v>Equity</v>
      </c>
      <c r="O42" t="s">
        <v>2704</v>
      </c>
    </row>
    <row r="43" spans="1:15" x14ac:dyDescent="0.25">
      <c r="A43" t="s">
        <v>120</v>
      </c>
      <c r="B43" t="s">
        <v>121</v>
      </c>
      <c r="C43">
        <v>2101</v>
      </c>
      <c r="D43" t="s">
        <v>122</v>
      </c>
      <c r="E43" t="s">
        <v>143</v>
      </c>
      <c r="F43" t="s">
        <v>2618</v>
      </c>
      <c r="G43" t="str">
        <f>+VLOOKUP(F43,[1]Explore!$B:$I,8,0)</f>
        <v>Equity Implied Volatility</v>
      </c>
      <c r="H43" t="s">
        <v>144</v>
      </c>
      <c r="I43" t="str">
        <f>+VLOOKUP(H43,[1]Explore!$A:$I,9,0)</f>
        <v>Equity Implied Volatility</v>
      </c>
      <c r="J43" t="str">
        <f t="shared" si="0"/>
        <v>OK</v>
      </c>
      <c r="K43" t="str">
        <f t="shared" si="1"/>
        <v>Equity Implied Volatility</v>
      </c>
      <c r="L43" t="s">
        <v>27</v>
      </c>
      <c r="M43" t="str">
        <f>_xlfn.IFNA(VLOOKUP(K43,'Mapping DEF'!A:C,2,0),"")</f>
        <v>Equity Derivatives</v>
      </c>
      <c r="N43" t="str">
        <f>+_xlfn.IFNA(VLOOKUP(M43,'Mapping DEF'!B:C,2,FALSE),"")</f>
        <v>Equity</v>
      </c>
      <c r="O43" t="s">
        <v>2705</v>
      </c>
    </row>
    <row r="44" spans="1:15" x14ac:dyDescent="0.25">
      <c r="A44" t="s">
        <v>145</v>
      </c>
      <c r="B44" t="s">
        <v>146</v>
      </c>
      <c r="C44">
        <v>2103</v>
      </c>
      <c r="D44" t="s">
        <v>147</v>
      </c>
      <c r="E44" t="s">
        <v>148</v>
      </c>
      <c r="F44" t="s">
        <v>10</v>
      </c>
      <c r="G44" t="str">
        <f>+VLOOKUP(F44,[1]Explore!$B:$I,8,0)</f>
        <v>Govt USD</v>
      </c>
      <c r="H44" t="s">
        <v>11</v>
      </c>
      <c r="I44" t="str">
        <f>+VLOOKUP(H44,[1]Explore!$A:$I,9,0)</f>
        <v>Govt USD</v>
      </c>
      <c r="J44" t="str">
        <f t="shared" si="0"/>
        <v>OK</v>
      </c>
      <c r="K44" t="str">
        <f t="shared" si="1"/>
        <v>Govt USD</v>
      </c>
      <c r="L44" t="s">
        <v>8</v>
      </c>
      <c r="M44" t="str">
        <f>_xlfn.IFNA(VLOOKUP(K44,'Mapping DEF'!A:C,2,0),"")</f>
        <v>Curve (Local)</v>
      </c>
      <c r="N44" t="str">
        <f>+_xlfn.IFNA(VLOOKUP(M44,'Mapping DEF'!B:C,2,FALSE),"")</f>
        <v>Term Structure</v>
      </c>
      <c r="O44" t="s">
        <v>2706</v>
      </c>
    </row>
    <row r="45" spans="1:15" x14ac:dyDescent="0.25">
      <c r="A45" t="s">
        <v>145</v>
      </c>
      <c r="B45" t="s">
        <v>146</v>
      </c>
      <c r="C45">
        <v>2103</v>
      </c>
      <c r="D45" t="s">
        <v>147</v>
      </c>
      <c r="E45" t="s">
        <v>149</v>
      </c>
      <c r="F45" t="s">
        <v>126</v>
      </c>
      <c r="G45" t="str">
        <f>+VLOOKUP(F45,[1]Explore!$B:$I,8,0)</f>
        <v>USD Inflation</v>
      </c>
      <c r="H45" t="s">
        <v>127</v>
      </c>
      <c r="I45" t="str">
        <f>+VLOOKUP(H45,[1]Explore!$A:$I,9,0)</f>
        <v>USD Inflation</v>
      </c>
      <c r="J45" t="str">
        <f t="shared" si="0"/>
        <v>OK</v>
      </c>
      <c r="K45" t="str">
        <f t="shared" si="1"/>
        <v>USD Inflation</v>
      </c>
      <c r="L45" t="s">
        <v>8</v>
      </c>
      <c r="M45" t="str">
        <f>_xlfn.IFNA(VLOOKUP(K45,'Mapping DEF'!A:C,2,0),"")</f>
        <v>Inflation</v>
      </c>
      <c r="N45" t="str">
        <f>+_xlfn.IFNA(VLOOKUP(M45,'Mapping DEF'!B:C,2,FALSE),"")</f>
        <v>Other</v>
      </c>
      <c r="O45" t="s">
        <v>150</v>
      </c>
    </row>
    <row r="46" spans="1:15" x14ac:dyDescent="0.25">
      <c r="A46" t="s">
        <v>145</v>
      </c>
      <c r="B46" t="s">
        <v>146</v>
      </c>
      <c r="C46">
        <v>2103</v>
      </c>
      <c r="D46" t="s">
        <v>147</v>
      </c>
      <c r="E46" t="s">
        <v>151</v>
      </c>
      <c r="F46" t="s">
        <v>130</v>
      </c>
      <c r="G46" t="str">
        <f>+VLOOKUP(F46,[1]Explore!$B:$I,8,0)</f>
        <v>Govt EUR (Ger)</v>
      </c>
      <c r="H46" t="s">
        <v>131</v>
      </c>
      <c r="I46" t="str">
        <f>+VLOOKUP(H46,[1]Explore!$A:$I,9,0)</f>
        <v>Govt EUR (Ger)</v>
      </c>
      <c r="J46" t="str">
        <f t="shared" si="0"/>
        <v>OK</v>
      </c>
      <c r="K46" t="str">
        <f t="shared" si="1"/>
        <v>Govt EUR (Ger)</v>
      </c>
      <c r="L46" t="s">
        <v>8</v>
      </c>
      <c r="M46" t="str">
        <f>_xlfn.IFNA(VLOOKUP(K46,'Mapping DEF'!A:C,2,0),"")</f>
        <v>Curve (Local)</v>
      </c>
      <c r="N46" t="str">
        <f>+_xlfn.IFNA(VLOOKUP(M46,'Mapping DEF'!B:C,2,FALSE),"")</f>
        <v>Term Structure</v>
      </c>
      <c r="O46" t="s">
        <v>2707</v>
      </c>
    </row>
    <row r="47" spans="1:15" x14ac:dyDescent="0.25">
      <c r="A47" t="s">
        <v>145</v>
      </c>
      <c r="B47" t="s">
        <v>146</v>
      </c>
      <c r="C47">
        <v>2103</v>
      </c>
      <c r="D47" t="s">
        <v>147</v>
      </c>
      <c r="E47" t="s">
        <v>152</v>
      </c>
      <c r="F47" t="s">
        <v>134</v>
      </c>
      <c r="G47" t="str">
        <f>+VLOOKUP(F47,[1]Explore!$B:$I,8,0)</f>
        <v>Govt Developed Other (AU, GB, JP, ...)</v>
      </c>
      <c r="H47" t="s">
        <v>135</v>
      </c>
      <c r="I47" t="str">
        <f>+VLOOKUP(H47,[1]Explore!$A:$I,9,0)</f>
        <v>Govt Developed Other (AU, GB, JP, ...)</v>
      </c>
      <c r="J47" t="str">
        <f t="shared" si="0"/>
        <v>OK</v>
      </c>
      <c r="K47" t="str">
        <f t="shared" si="1"/>
        <v>Govt Developed Other (AU, GB, JP, ...)</v>
      </c>
      <c r="L47" t="s">
        <v>8</v>
      </c>
      <c r="M47" t="str">
        <f>_xlfn.IFNA(VLOOKUP(K47,'Mapping DEF'!A:C,2,0),"")</f>
        <v>Curve (Local)</v>
      </c>
      <c r="N47" t="str">
        <f>+_xlfn.IFNA(VLOOKUP(M47,'Mapping DEF'!B:C,2,FALSE),"")</f>
        <v>Term Structure</v>
      </c>
      <c r="O47" t="s">
        <v>2708</v>
      </c>
    </row>
    <row r="48" spans="1:15" x14ac:dyDescent="0.25">
      <c r="A48" t="s">
        <v>145</v>
      </c>
      <c r="B48" t="s">
        <v>146</v>
      </c>
      <c r="C48">
        <v>2103</v>
      </c>
      <c r="D48" t="s">
        <v>147</v>
      </c>
      <c r="E48" t="s">
        <v>153</v>
      </c>
      <c r="F48" t="s">
        <v>2944</v>
      </c>
      <c r="G48" t="str">
        <f>+VLOOKUP(F48,[1]Explore!$B:$I,8,0)</f>
        <v>JPY</v>
      </c>
      <c r="H48" t="s">
        <v>138</v>
      </c>
      <c r="I48" t="str">
        <f>+VLOOKUP(H48,[1]Explore!$A:$I,9,0)</f>
        <v>JPY</v>
      </c>
      <c r="J48" t="str">
        <f t="shared" si="0"/>
        <v>OK</v>
      </c>
      <c r="K48" t="str">
        <f t="shared" si="1"/>
        <v>JPY</v>
      </c>
      <c r="L48" t="s">
        <v>75</v>
      </c>
      <c r="M48" t="str">
        <f>_xlfn.IFNA(VLOOKUP(K48,'Mapping DEF'!A:C,2,0),"")</f>
        <v>FX</v>
      </c>
      <c r="N48" t="str">
        <f>+_xlfn.IFNA(VLOOKUP(M48,'Mapping DEF'!B:C,2,FALSE),"")</f>
        <v>FX</v>
      </c>
      <c r="O48" t="s">
        <v>154</v>
      </c>
    </row>
    <row r="49" spans="1:15" x14ac:dyDescent="0.25">
      <c r="A49" t="s">
        <v>145</v>
      </c>
      <c r="B49" t="s">
        <v>146</v>
      </c>
      <c r="C49">
        <v>2103</v>
      </c>
      <c r="D49" t="s">
        <v>147</v>
      </c>
      <c r="E49" t="s">
        <v>155</v>
      </c>
      <c r="F49" t="s">
        <v>2156</v>
      </c>
      <c r="G49" t="str">
        <f>+VLOOKUP(F49,[1]Explore!$B:$I,8,0)</f>
        <v>Equity Implied Volatility</v>
      </c>
      <c r="H49" t="s">
        <v>141</v>
      </c>
      <c r="I49" t="str">
        <f>+VLOOKUP(H49,[1]Explore!$A:$I,9,0)</f>
        <v>Equity Implied Volatility</v>
      </c>
      <c r="J49" t="str">
        <f t="shared" si="0"/>
        <v>OK</v>
      </c>
      <c r="K49" t="str">
        <f t="shared" si="1"/>
        <v>Equity Implied Volatility</v>
      </c>
      <c r="L49" t="s">
        <v>27</v>
      </c>
      <c r="M49" t="str">
        <f>_xlfn.IFNA(VLOOKUP(K49,'Mapping DEF'!A:C,2,0),"")</f>
        <v>Equity Derivatives</v>
      </c>
      <c r="N49" t="str">
        <f>+_xlfn.IFNA(VLOOKUP(M49,'Mapping DEF'!B:C,2,FALSE),"")</f>
        <v>Equity</v>
      </c>
      <c r="O49" t="s">
        <v>156</v>
      </c>
    </row>
    <row r="50" spans="1:15" x14ac:dyDescent="0.25">
      <c r="A50" t="s">
        <v>145</v>
      </c>
      <c r="B50" t="s">
        <v>146</v>
      </c>
      <c r="C50">
        <v>2103</v>
      </c>
      <c r="D50" t="s">
        <v>147</v>
      </c>
      <c r="E50" t="s">
        <v>157</v>
      </c>
      <c r="F50" t="s">
        <v>2618</v>
      </c>
      <c r="G50" t="str">
        <f>+VLOOKUP(F50,[1]Explore!$B:$I,8,0)</f>
        <v>Equity Implied Volatility</v>
      </c>
      <c r="H50" t="s">
        <v>144</v>
      </c>
      <c r="I50" t="str">
        <f>+VLOOKUP(H50,[1]Explore!$A:$I,9,0)</f>
        <v>Equity Implied Volatility</v>
      </c>
      <c r="J50" t="str">
        <f t="shared" si="0"/>
        <v>OK</v>
      </c>
      <c r="K50" t="str">
        <f t="shared" si="1"/>
        <v>Equity Implied Volatility</v>
      </c>
      <c r="L50" t="s">
        <v>27</v>
      </c>
      <c r="M50" t="str">
        <f>_xlfn.IFNA(VLOOKUP(K50,'Mapping DEF'!A:C,2,0),"")</f>
        <v>Equity Derivatives</v>
      </c>
      <c r="N50" t="str">
        <f>+_xlfn.IFNA(VLOOKUP(M50,'Mapping DEF'!B:C,2,FALSE),"")</f>
        <v>Equity</v>
      </c>
      <c r="O50" t="s">
        <v>158</v>
      </c>
    </row>
    <row r="51" spans="1:15" x14ac:dyDescent="0.25">
      <c r="A51" t="s">
        <v>145</v>
      </c>
      <c r="B51" t="s">
        <v>146</v>
      </c>
      <c r="C51">
        <v>2103</v>
      </c>
      <c r="D51" t="s">
        <v>147</v>
      </c>
      <c r="E51" t="s">
        <v>159</v>
      </c>
      <c r="F51" t="s">
        <v>160</v>
      </c>
      <c r="G51" t="str">
        <f>+VLOOKUP(F51,[1]Explore!$B:$I,8,0)</f>
        <v>Other - Index</v>
      </c>
      <c r="H51" t="s">
        <v>161</v>
      </c>
      <c r="I51" t="str">
        <f>+VLOOKUP(H51,[1]Explore!$A:$I,9,0)</f>
        <v>Other - Index</v>
      </c>
      <c r="J51" t="str">
        <f t="shared" si="0"/>
        <v>OK</v>
      </c>
      <c r="K51" t="str">
        <f t="shared" si="1"/>
        <v>Other - Index</v>
      </c>
      <c r="L51" t="s">
        <v>27</v>
      </c>
      <c r="M51" t="str">
        <f>_xlfn.IFNA(VLOOKUP(K51,'Mapping DEF'!A:C,2,0),"")</f>
        <v>Other</v>
      </c>
      <c r="N51" t="str">
        <f>+_xlfn.IFNA(VLOOKUP(M51,'Mapping DEF'!B:C,2,FALSE),"")</f>
        <v>Other</v>
      </c>
      <c r="O51" t="s">
        <v>162</v>
      </c>
    </row>
    <row r="52" spans="1:15" x14ac:dyDescent="0.25">
      <c r="A52" t="s">
        <v>163</v>
      </c>
      <c r="B52" t="s">
        <v>164</v>
      </c>
      <c r="C52">
        <v>2537</v>
      </c>
      <c r="D52" t="s">
        <v>165</v>
      </c>
      <c r="E52" t="s">
        <v>166</v>
      </c>
      <c r="F52" t="s">
        <v>167</v>
      </c>
      <c r="G52" t="str">
        <f>+VLOOKUP(F52,[1]Explore!$B:$I,8,0)</f>
        <v>Govt Developed Other (AU, GB, JP, ...)</v>
      </c>
      <c r="H52" t="s">
        <v>168</v>
      </c>
      <c r="I52" t="str">
        <f>+VLOOKUP(H52,[1]Explore!$A:$I,9,0)</f>
        <v>Govt Developed Other (AU, GB, JP, ...)</v>
      </c>
      <c r="J52" t="str">
        <f t="shared" si="0"/>
        <v>OK</v>
      </c>
      <c r="K52" t="str">
        <f t="shared" si="1"/>
        <v>Govt Developed Other (AU, GB, JP, ...)</v>
      </c>
      <c r="L52" t="s">
        <v>8</v>
      </c>
      <c r="M52" t="str">
        <f>_xlfn.IFNA(VLOOKUP(K52,'Mapping DEF'!A:C,2,0),"")</f>
        <v>Curve (Local)</v>
      </c>
      <c r="N52" t="str">
        <f>+_xlfn.IFNA(VLOOKUP(M52,'Mapping DEF'!B:C,2,FALSE),"")</f>
        <v>Term Structure</v>
      </c>
      <c r="O52" t="s">
        <v>136</v>
      </c>
    </row>
    <row r="53" spans="1:15" x14ac:dyDescent="0.25">
      <c r="A53" t="s">
        <v>163</v>
      </c>
      <c r="B53" t="s">
        <v>164</v>
      </c>
      <c r="C53">
        <v>2537</v>
      </c>
      <c r="D53" t="s">
        <v>165</v>
      </c>
      <c r="E53" t="s">
        <v>169</v>
      </c>
      <c r="F53" t="s">
        <v>170</v>
      </c>
      <c r="G53" t="str">
        <f>+VLOOKUP(F53,[1]Explore!$B:$I,8,0)</f>
        <v>Govt Developed Other (AU, GB, JP, ...)</v>
      </c>
      <c r="H53" t="s">
        <v>171</v>
      </c>
      <c r="I53" t="str">
        <f>+VLOOKUP(H53,[1]Explore!$A:$I,9,0)</f>
        <v>Govt Developed Other (AU, GB, JP, ...)</v>
      </c>
      <c r="J53" t="str">
        <f t="shared" si="0"/>
        <v>OK</v>
      </c>
      <c r="K53" t="str">
        <f t="shared" si="1"/>
        <v>Govt Developed Other (AU, GB, JP, ...)</v>
      </c>
      <c r="L53" t="s">
        <v>8</v>
      </c>
      <c r="M53" t="str">
        <f>_xlfn.IFNA(VLOOKUP(K53,'Mapping DEF'!A:C,2,0),"")</f>
        <v>Curve (Local)</v>
      </c>
      <c r="N53" t="str">
        <f>+_xlfn.IFNA(VLOOKUP(M53,'Mapping DEF'!B:C,2,FALSE),"")</f>
        <v>Term Structure</v>
      </c>
      <c r="O53" t="s">
        <v>136</v>
      </c>
    </row>
    <row r="54" spans="1:15" x14ac:dyDescent="0.25">
      <c r="A54" t="s">
        <v>163</v>
      </c>
      <c r="B54" t="s">
        <v>164</v>
      </c>
      <c r="C54">
        <v>2537</v>
      </c>
      <c r="D54" t="s">
        <v>165</v>
      </c>
      <c r="E54" t="s">
        <v>172</v>
      </c>
      <c r="F54" t="s">
        <v>2942</v>
      </c>
      <c r="G54" t="str">
        <f>+VLOOKUP(F54,[1]Explore!$B:$I,8,0)</f>
        <v>EUR</v>
      </c>
      <c r="H54" t="s">
        <v>173</v>
      </c>
      <c r="I54" t="str">
        <f>+VLOOKUP(H54,[1]Explore!$A:$I,9,0)</f>
        <v>EUR</v>
      </c>
      <c r="J54" t="str">
        <f t="shared" si="0"/>
        <v>OK</v>
      </c>
      <c r="K54" t="str">
        <f t="shared" si="1"/>
        <v>EUR</v>
      </c>
      <c r="L54" t="s">
        <v>75</v>
      </c>
      <c r="M54" t="str">
        <f>_xlfn.IFNA(VLOOKUP(K54,'Mapping DEF'!A:C,2,0),"")</f>
        <v>FX</v>
      </c>
      <c r="N54" t="str">
        <f>+_xlfn.IFNA(VLOOKUP(M54,'Mapping DEF'!B:C,2,FALSE),"")</f>
        <v>FX</v>
      </c>
      <c r="O54" t="s">
        <v>174</v>
      </c>
    </row>
    <row r="55" spans="1:15" x14ac:dyDescent="0.25">
      <c r="A55" t="s">
        <v>163</v>
      </c>
      <c r="B55" t="s">
        <v>164</v>
      </c>
      <c r="C55">
        <v>2537</v>
      </c>
      <c r="D55" t="s">
        <v>165</v>
      </c>
      <c r="E55" t="s">
        <v>175</v>
      </c>
      <c r="F55" t="s">
        <v>176</v>
      </c>
      <c r="G55" t="e">
        <f>+VLOOKUP(F55,[1]Explore!$B:$I,8,0)</f>
        <v>#N/A</v>
      </c>
      <c r="H55" t="s">
        <v>177</v>
      </c>
      <c r="I55" t="str">
        <f>+VLOOKUP(H55,[1]Explore!$A:$I,9,0)</f>
        <v>GBP</v>
      </c>
      <c r="J55" t="str">
        <f t="shared" si="0"/>
        <v>OK</v>
      </c>
      <c r="K55" t="str">
        <f t="shared" si="1"/>
        <v>GBP</v>
      </c>
      <c r="L55" t="s">
        <v>75</v>
      </c>
      <c r="M55" t="str">
        <f>_xlfn.IFNA(VLOOKUP(K55,'Mapping DEF'!A:C,2,0),"")</f>
        <v>FX</v>
      </c>
      <c r="N55" t="str">
        <f>+_xlfn.IFNA(VLOOKUP(M55,'Mapping DEF'!B:C,2,FALSE),"")</f>
        <v>FX</v>
      </c>
      <c r="O55" t="s">
        <v>108</v>
      </c>
    </row>
    <row r="56" spans="1:15" x14ac:dyDescent="0.25">
      <c r="A56" t="s">
        <v>163</v>
      </c>
      <c r="B56" t="s">
        <v>164</v>
      </c>
      <c r="C56">
        <v>2537</v>
      </c>
      <c r="D56" t="s">
        <v>165</v>
      </c>
      <c r="E56" t="s">
        <v>178</v>
      </c>
      <c r="F56" t="s">
        <v>179</v>
      </c>
      <c r="G56" t="str">
        <f>+VLOOKUP(F56,[1]Explore!$B:$I,8,0)</f>
        <v>Equity Implied Volatility</v>
      </c>
      <c r="H56" t="s">
        <v>180</v>
      </c>
      <c r="I56" t="str">
        <f>+VLOOKUP(H56,[1]Explore!$A:$I,9,0)</f>
        <v>Equity Implied Volatility</v>
      </c>
      <c r="J56" t="str">
        <f t="shared" si="0"/>
        <v>OK</v>
      </c>
      <c r="K56" t="str">
        <f t="shared" si="1"/>
        <v>Equity Implied Volatility</v>
      </c>
      <c r="L56" t="s">
        <v>27</v>
      </c>
      <c r="M56" t="str">
        <f>_xlfn.IFNA(VLOOKUP(K56,'Mapping DEF'!A:C,2,0),"")</f>
        <v>Equity Derivatives</v>
      </c>
      <c r="N56" t="str">
        <f>+_xlfn.IFNA(VLOOKUP(M56,'Mapping DEF'!B:C,2,FALSE),"")</f>
        <v>Equity</v>
      </c>
      <c r="O56" t="s">
        <v>181</v>
      </c>
    </row>
    <row r="57" spans="1:15" x14ac:dyDescent="0.25">
      <c r="A57" t="s">
        <v>163</v>
      </c>
      <c r="B57" t="s">
        <v>164</v>
      </c>
      <c r="C57">
        <v>2537</v>
      </c>
      <c r="D57" t="s">
        <v>165</v>
      </c>
      <c r="E57" t="s">
        <v>182</v>
      </c>
      <c r="F57" t="s">
        <v>183</v>
      </c>
      <c r="G57" t="str">
        <f>+VLOOKUP(F57,[1]Explore!$B:$I,8,0)</f>
        <v>Equity Implied Volatility</v>
      </c>
      <c r="H57" t="s">
        <v>184</v>
      </c>
      <c r="I57" t="str">
        <f>+VLOOKUP(H57,[1]Explore!$A:$I,9,0)</f>
        <v>Equity Implied Volatility</v>
      </c>
      <c r="J57" t="str">
        <f t="shared" si="0"/>
        <v>OK</v>
      </c>
      <c r="K57" t="str">
        <f t="shared" si="1"/>
        <v>Equity Implied Volatility</v>
      </c>
      <c r="L57" t="s">
        <v>27</v>
      </c>
      <c r="M57" t="str">
        <f>_xlfn.IFNA(VLOOKUP(K57,'Mapping DEF'!A:C,2,0),"")</f>
        <v>Equity Derivatives</v>
      </c>
      <c r="N57" t="str">
        <f>+_xlfn.IFNA(VLOOKUP(M57,'Mapping DEF'!B:C,2,FALSE),"")</f>
        <v>Equity</v>
      </c>
      <c r="O57" t="s">
        <v>174</v>
      </c>
    </row>
    <row r="58" spans="1:15" x14ac:dyDescent="0.25">
      <c r="A58" t="s">
        <v>163</v>
      </c>
      <c r="B58" t="s">
        <v>164</v>
      </c>
      <c r="C58">
        <v>2537</v>
      </c>
      <c r="D58" t="s">
        <v>165</v>
      </c>
      <c r="E58" t="s">
        <v>185</v>
      </c>
      <c r="F58" t="s">
        <v>186</v>
      </c>
      <c r="G58" t="str">
        <f>+VLOOKUP(F58,[1]Explore!$B:$I,8,0)</f>
        <v>Corporate IG Other - Other</v>
      </c>
      <c r="H58" t="s">
        <v>187</v>
      </c>
      <c r="I58" t="str">
        <f>+VLOOKUP(H58,[1]Explore!$A:$I,9,0)</f>
        <v>Corporate IG Other - Other</v>
      </c>
      <c r="J58" t="str">
        <f t="shared" si="0"/>
        <v>OK</v>
      </c>
      <c r="K58" t="str">
        <f t="shared" si="1"/>
        <v>Corporate IG Other - Other</v>
      </c>
      <c r="L58" t="s">
        <v>188</v>
      </c>
      <c r="M58" t="str">
        <f>_xlfn.IFNA(VLOOKUP(K58,'Mapping DEF'!A:C,2,0),"")</f>
        <v>Spread</v>
      </c>
      <c r="N58" t="str">
        <f>+_xlfn.IFNA(VLOOKUP(M58,'Mapping DEF'!B:C,2,FALSE),"")</f>
        <v>Spread</v>
      </c>
      <c r="O58" t="s">
        <v>2709</v>
      </c>
    </row>
    <row r="59" spans="1:15" x14ac:dyDescent="0.25">
      <c r="A59" t="s">
        <v>163</v>
      </c>
      <c r="B59" t="s">
        <v>164</v>
      </c>
      <c r="C59">
        <v>2537</v>
      </c>
      <c r="D59" t="s">
        <v>165</v>
      </c>
      <c r="E59" t="s">
        <v>190</v>
      </c>
      <c r="F59" t="s">
        <v>191</v>
      </c>
      <c r="G59" t="e">
        <f>+VLOOKUP(F59,[1]Explore!$B:$I,8,0)</f>
        <v>#N/A</v>
      </c>
      <c r="H59" t="s">
        <v>192</v>
      </c>
      <c r="I59" t="e">
        <f>+VLOOKUP(H59,[1]Explore!$A:$I,9,0)</f>
        <v>#N/A</v>
      </c>
      <c r="J59" t="str">
        <f t="shared" si="0"/>
        <v>BOTH #N/A</v>
      </c>
      <c r="K59" t="str">
        <f t="shared" si="1"/>
        <v>Time</v>
      </c>
      <c r="L59" t="s">
        <v>191</v>
      </c>
      <c r="M59" t="str">
        <f>_xlfn.IFNA(VLOOKUP(K59,'Mapping DEF'!A:C,2,0),"")</f>
        <v>Time</v>
      </c>
      <c r="N59" t="str">
        <f>+_xlfn.IFNA(VLOOKUP(M59,'Mapping DEF'!B:C,2,FALSE),"")</f>
        <v>Other</v>
      </c>
      <c r="O59" t="s">
        <v>193</v>
      </c>
    </row>
    <row r="60" spans="1:15" x14ac:dyDescent="0.25">
      <c r="A60" t="s">
        <v>163</v>
      </c>
      <c r="B60" t="s">
        <v>164</v>
      </c>
      <c r="C60">
        <v>2537</v>
      </c>
      <c r="D60" t="s">
        <v>165</v>
      </c>
      <c r="E60" t="s">
        <v>194</v>
      </c>
      <c r="F60" t="s">
        <v>2166</v>
      </c>
      <c r="G60" t="str">
        <f>+VLOOKUP(F60,[1]Explore!$B:$I,8,0)</f>
        <v>Equity Implied Volatility</v>
      </c>
      <c r="H60" t="s">
        <v>195</v>
      </c>
      <c r="I60" t="e">
        <f>+VLOOKUP(H60,[1]Explore!$A:$I,9,0)</f>
        <v>#N/A</v>
      </c>
      <c r="J60" t="str">
        <f t="shared" si="0"/>
        <v>OK</v>
      </c>
      <c r="K60" t="str">
        <f t="shared" si="1"/>
        <v>Equity Implied Volatility</v>
      </c>
      <c r="L60" t="s">
        <v>27</v>
      </c>
      <c r="M60" t="str">
        <f>_xlfn.IFNA(VLOOKUP(K60,'Mapping DEF'!A:C,2,0),"")</f>
        <v>Equity Derivatives</v>
      </c>
      <c r="N60" t="str">
        <f>+_xlfn.IFNA(VLOOKUP(M60,'Mapping DEF'!B:C,2,FALSE),"")</f>
        <v>Equity</v>
      </c>
      <c r="O60" t="s">
        <v>196</v>
      </c>
    </row>
    <row r="61" spans="1:15" x14ac:dyDescent="0.25">
      <c r="A61" t="s">
        <v>197</v>
      </c>
      <c r="B61" t="s">
        <v>198</v>
      </c>
      <c r="C61">
        <v>2459</v>
      </c>
      <c r="D61" t="s">
        <v>199</v>
      </c>
      <c r="E61" t="s">
        <v>200</v>
      </c>
      <c r="F61" t="s">
        <v>19</v>
      </c>
      <c r="G61" t="str">
        <f>+VLOOKUP(F61,[1]Explore!$B:$I,8,0)</f>
        <v>Govt USD</v>
      </c>
      <c r="H61" t="s">
        <v>20</v>
      </c>
      <c r="I61" t="str">
        <f>+VLOOKUP(H61,[1]Explore!$A:$I,9,0)</f>
        <v>Govt USD</v>
      </c>
      <c r="J61" t="str">
        <f t="shared" si="0"/>
        <v>OK</v>
      </c>
      <c r="K61" t="str">
        <f t="shared" si="1"/>
        <v>Govt USD</v>
      </c>
      <c r="L61" t="s">
        <v>8</v>
      </c>
      <c r="M61" t="str">
        <f>_xlfn.IFNA(VLOOKUP(K61,'Mapping DEF'!A:C,2,0),"")</f>
        <v>Curve (Local)</v>
      </c>
      <c r="N61" t="str">
        <f>+_xlfn.IFNA(VLOOKUP(M61,'Mapping DEF'!B:C,2,FALSE),"")</f>
        <v>Term Structure</v>
      </c>
      <c r="O61" t="s">
        <v>2710</v>
      </c>
    </row>
    <row r="62" spans="1:15" x14ac:dyDescent="0.25">
      <c r="A62" t="s">
        <v>197</v>
      </c>
      <c r="B62" t="s">
        <v>198</v>
      </c>
      <c r="C62">
        <v>2459</v>
      </c>
      <c r="D62" t="s">
        <v>199</v>
      </c>
      <c r="E62" t="s">
        <v>201</v>
      </c>
      <c r="F62" t="s">
        <v>202</v>
      </c>
      <c r="G62" t="str">
        <f>+VLOOKUP(F62,[1]Explore!$B:$I,8,0)</f>
        <v>Spread - Municipals</v>
      </c>
      <c r="H62" t="s">
        <v>203</v>
      </c>
      <c r="I62" t="str">
        <f>+VLOOKUP(H62,[1]Explore!$A:$I,9,0)</f>
        <v>Spread - Municipals</v>
      </c>
      <c r="J62" t="str">
        <f t="shared" si="0"/>
        <v>OK</v>
      </c>
      <c r="K62" t="str">
        <f t="shared" si="1"/>
        <v>Spread - Municipals</v>
      </c>
      <c r="L62" t="s">
        <v>204</v>
      </c>
      <c r="M62" t="str">
        <f>_xlfn.IFNA(VLOOKUP(K62,'Mapping DEF'!A:C,2,0),"")</f>
        <v>Spread</v>
      </c>
      <c r="N62" t="str">
        <f>+_xlfn.IFNA(VLOOKUP(M62,'Mapping DEF'!B:C,2,FALSE),"")</f>
        <v>Spread</v>
      </c>
      <c r="O62" t="s">
        <v>2703</v>
      </c>
    </row>
    <row r="63" spans="1:15" x14ac:dyDescent="0.25">
      <c r="A63" t="s">
        <v>197</v>
      </c>
      <c r="B63" t="s">
        <v>198</v>
      </c>
      <c r="C63">
        <v>2459</v>
      </c>
      <c r="D63" t="s">
        <v>199</v>
      </c>
      <c r="E63" t="s">
        <v>205</v>
      </c>
      <c r="F63" t="s">
        <v>206</v>
      </c>
      <c r="G63" t="e">
        <f>+VLOOKUP(F63,[1]Explore!$B:$I,8,0)</f>
        <v>#N/A</v>
      </c>
      <c r="H63" t="s">
        <v>206</v>
      </c>
      <c r="I63" t="e">
        <f>+VLOOKUP(H63,[1]Explore!$A:$I,9,0)</f>
        <v>#N/A</v>
      </c>
      <c r="J63" t="str">
        <f t="shared" si="0"/>
        <v>BOTH #N/A</v>
      </c>
      <c r="K63" t="str">
        <f t="shared" si="1"/>
        <v>Dollar Index</v>
      </c>
      <c r="L63" t="s">
        <v>2930</v>
      </c>
      <c r="M63" t="str">
        <f>_xlfn.IFNA(VLOOKUP(K63,'Mapping DEF'!A:C,2,0),"")</f>
        <v>Index Level</v>
      </c>
      <c r="N63" t="str">
        <f>+_xlfn.IFNA(VLOOKUP(M63,'Mapping DEF'!B:C,2,FALSE),"")</f>
        <v>Other</v>
      </c>
      <c r="O63" t="s">
        <v>2711</v>
      </c>
    </row>
    <row r="64" spans="1:15" x14ac:dyDescent="0.25">
      <c r="A64" t="s">
        <v>197</v>
      </c>
      <c r="B64" t="s">
        <v>198</v>
      </c>
      <c r="C64">
        <v>2459</v>
      </c>
      <c r="D64" t="s">
        <v>199</v>
      </c>
      <c r="E64" t="s">
        <v>207</v>
      </c>
      <c r="F64" t="s">
        <v>183</v>
      </c>
      <c r="G64" t="str">
        <f>+VLOOKUP(F64,[1]Explore!$B:$I,8,0)</f>
        <v>Equity Implied Volatility</v>
      </c>
      <c r="H64" t="s">
        <v>184</v>
      </c>
      <c r="I64" t="str">
        <f>+VLOOKUP(H64,[1]Explore!$A:$I,9,0)</f>
        <v>Equity Implied Volatility</v>
      </c>
      <c r="J64" t="str">
        <f t="shared" si="0"/>
        <v>OK</v>
      </c>
      <c r="K64" t="str">
        <f t="shared" si="1"/>
        <v>Equity Implied Volatility</v>
      </c>
      <c r="L64" t="s">
        <v>27</v>
      </c>
      <c r="M64" t="str">
        <f>_xlfn.IFNA(VLOOKUP(K64,'Mapping DEF'!A:C,2,0),"")</f>
        <v>Equity Derivatives</v>
      </c>
      <c r="N64" t="str">
        <f>+_xlfn.IFNA(VLOOKUP(M64,'Mapping DEF'!B:C,2,FALSE),"")</f>
        <v>Equity</v>
      </c>
      <c r="O64" t="s">
        <v>2712</v>
      </c>
    </row>
    <row r="65" spans="1:15" x14ac:dyDescent="0.25">
      <c r="A65" t="s">
        <v>197</v>
      </c>
      <c r="B65" t="s">
        <v>198</v>
      </c>
      <c r="C65">
        <v>2459</v>
      </c>
      <c r="D65" t="s">
        <v>199</v>
      </c>
      <c r="E65" t="s">
        <v>208</v>
      </c>
      <c r="F65" t="s">
        <v>191</v>
      </c>
      <c r="G65" t="e">
        <f>+VLOOKUP(F65,[1]Explore!$B:$I,8,0)</f>
        <v>#N/A</v>
      </c>
      <c r="H65" t="s">
        <v>192</v>
      </c>
      <c r="I65" t="e">
        <f>+VLOOKUP(H65,[1]Explore!$A:$I,9,0)</f>
        <v>#N/A</v>
      </c>
      <c r="J65" t="str">
        <f t="shared" si="0"/>
        <v>BOTH #N/A</v>
      </c>
      <c r="K65" t="str">
        <f t="shared" si="1"/>
        <v>Time</v>
      </c>
      <c r="L65" t="s">
        <v>191</v>
      </c>
      <c r="M65" t="str">
        <f>_xlfn.IFNA(VLOOKUP(K65,'Mapping DEF'!A:C,2,0),"")</f>
        <v>Time</v>
      </c>
      <c r="N65" t="str">
        <f>+_xlfn.IFNA(VLOOKUP(M65,'Mapping DEF'!B:C,2,FALSE),"")</f>
        <v>Other</v>
      </c>
      <c r="O65" t="s">
        <v>209</v>
      </c>
    </row>
    <row r="66" spans="1:15" x14ac:dyDescent="0.25">
      <c r="A66" t="s">
        <v>197</v>
      </c>
      <c r="B66" t="s">
        <v>198</v>
      </c>
      <c r="C66">
        <v>2459</v>
      </c>
      <c r="D66" t="s">
        <v>199</v>
      </c>
      <c r="E66" t="s">
        <v>210</v>
      </c>
      <c r="F66" t="s">
        <v>211</v>
      </c>
      <c r="G66" t="e">
        <f>+VLOOKUP(F66,[1]Explore!$B:$I,8,0)</f>
        <v>#N/A</v>
      </c>
      <c r="H66" t="s">
        <v>212</v>
      </c>
      <c r="I66" t="e">
        <f>+VLOOKUP(H66,[1]Explore!$A:$I,9,0)</f>
        <v>#N/A</v>
      </c>
      <c r="J66" t="str">
        <f t="shared" si="0"/>
        <v>BOTH #N/A</v>
      </c>
      <c r="K66" t="str">
        <f t="shared" si="1"/>
        <v>Communication Services</v>
      </c>
      <c r="L66" t="s">
        <v>2933</v>
      </c>
      <c r="M66" t="str">
        <f>_xlfn.IFNA(VLOOKUP(K66,'Mapping DEF'!A:C,2,0),"")</f>
        <v>Industry Allocation</v>
      </c>
      <c r="N66" t="str">
        <f>+_xlfn.IFNA(VLOOKUP(M66,'Mapping DEF'!B:C,2,FALSE),"")</f>
        <v>Equity</v>
      </c>
      <c r="O66" t="s">
        <v>2705</v>
      </c>
    </row>
    <row r="67" spans="1:15" x14ac:dyDescent="0.25">
      <c r="A67" t="s">
        <v>197</v>
      </c>
      <c r="B67" t="s">
        <v>198</v>
      </c>
      <c r="C67">
        <v>2459</v>
      </c>
      <c r="D67" t="s">
        <v>199</v>
      </c>
      <c r="E67" t="s">
        <v>213</v>
      </c>
      <c r="F67" t="s">
        <v>214</v>
      </c>
      <c r="G67" t="str">
        <f>+VLOOKUP(F67,[1]Explore!$B:$I,8,0)</f>
        <v>Health Care</v>
      </c>
      <c r="H67" t="s">
        <v>215</v>
      </c>
      <c r="I67" t="e">
        <f>+VLOOKUP(H67,[1]Explore!$A:$I,9,0)</f>
        <v>#N/A</v>
      </c>
      <c r="J67" t="str">
        <f t="shared" ref="J67:J130" si="2">IF(AND(ISNA(G67),ISNA(I67)),"BOTH #N/A","OK")</f>
        <v>OK</v>
      </c>
      <c r="K67" t="str">
        <f t="shared" ref="K67:K130" si="3">IFERROR(I67, IFERROR(G67, L67))</f>
        <v>Health Care</v>
      </c>
      <c r="L67" t="s">
        <v>93</v>
      </c>
      <c r="M67" t="str">
        <f>_xlfn.IFNA(VLOOKUP(K67,'Mapping DEF'!A:C,2,0),"")</f>
        <v>Industry Allocation</v>
      </c>
      <c r="N67" t="str">
        <f>+_xlfn.IFNA(VLOOKUP(M67,'Mapping DEF'!B:C,2,FALSE),"")</f>
        <v>Equity</v>
      </c>
      <c r="O67" t="s">
        <v>2705</v>
      </c>
    </row>
    <row r="68" spans="1:15" x14ac:dyDescent="0.25">
      <c r="A68" t="s">
        <v>197</v>
      </c>
      <c r="B68" t="s">
        <v>198</v>
      </c>
      <c r="C68">
        <v>2459</v>
      </c>
      <c r="D68" t="s">
        <v>199</v>
      </c>
      <c r="E68" t="s">
        <v>216</v>
      </c>
      <c r="F68" t="s">
        <v>217</v>
      </c>
      <c r="G68" t="str">
        <f>+VLOOKUP(F68,[1]Explore!$B:$I,8,0)</f>
        <v>Utilities</v>
      </c>
      <c r="H68" t="s">
        <v>218</v>
      </c>
      <c r="I68" t="e">
        <f>+VLOOKUP(H68,[1]Explore!$A:$I,9,0)</f>
        <v>#N/A</v>
      </c>
      <c r="J68" t="str">
        <f t="shared" si="2"/>
        <v>OK</v>
      </c>
      <c r="K68" t="str">
        <f t="shared" si="3"/>
        <v>Utilities</v>
      </c>
      <c r="L68" t="s">
        <v>93</v>
      </c>
      <c r="M68" t="str">
        <f>_xlfn.IFNA(VLOOKUP(K68,'Mapping DEF'!A:C,2,0),"")</f>
        <v>Industry Allocation</v>
      </c>
      <c r="N68" t="str">
        <f>+_xlfn.IFNA(VLOOKUP(M68,'Mapping DEF'!B:C,2,FALSE),"")</f>
        <v>Equity</v>
      </c>
      <c r="O68" t="s">
        <v>2711</v>
      </c>
    </row>
    <row r="69" spans="1:15" x14ac:dyDescent="0.25">
      <c r="A69" t="s">
        <v>197</v>
      </c>
      <c r="B69" t="s">
        <v>198</v>
      </c>
      <c r="C69">
        <v>2459</v>
      </c>
      <c r="D69" t="s">
        <v>199</v>
      </c>
      <c r="E69" t="s">
        <v>219</v>
      </c>
      <c r="F69" t="s">
        <v>220</v>
      </c>
      <c r="G69" t="str">
        <f>+VLOOKUP(F69,[1]Explore!$B:$I,8,0)</f>
        <v>Corporate HY USD - Other</v>
      </c>
      <c r="H69" t="s">
        <v>221</v>
      </c>
      <c r="I69" t="str">
        <f>+VLOOKUP(H69,[1]Explore!$A:$I,9,0)</f>
        <v>Corporate HY USD - Other</v>
      </c>
      <c r="J69" t="str">
        <f t="shared" si="2"/>
        <v>OK</v>
      </c>
      <c r="K69" t="str">
        <f t="shared" si="3"/>
        <v>Corporate HY USD - Other</v>
      </c>
      <c r="L69" t="s">
        <v>188</v>
      </c>
      <c r="M69" t="str">
        <f>_xlfn.IFNA(VLOOKUP(K69,'Mapping DEF'!A:C,2,0),"")</f>
        <v>Spread</v>
      </c>
      <c r="N69" t="str">
        <f>+_xlfn.IFNA(VLOOKUP(M69,'Mapping DEF'!B:C,2,FALSE),"")</f>
        <v>Spread</v>
      </c>
      <c r="O69" t="s">
        <v>128</v>
      </c>
    </row>
    <row r="70" spans="1:15" x14ac:dyDescent="0.25">
      <c r="A70" t="s">
        <v>197</v>
      </c>
      <c r="B70" t="s">
        <v>198</v>
      </c>
      <c r="C70">
        <v>2459</v>
      </c>
      <c r="D70" t="s">
        <v>199</v>
      </c>
      <c r="E70" t="s">
        <v>222</v>
      </c>
      <c r="F70" t="s">
        <v>2155</v>
      </c>
      <c r="G70" t="str">
        <f>+VLOOKUP(F70,[1]Explore!$B:$I,8,0)</f>
        <v>Equity Implied Volatility</v>
      </c>
      <c r="H70" t="s">
        <v>84</v>
      </c>
      <c r="I70" t="e">
        <f>+VLOOKUP(H70,[1]Explore!$A:$I,9,0)</f>
        <v>#N/A</v>
      </c>
      <c r="J70" t="str">
        <f t="shared" si="2"/>
        <v>OK</v>
      </c>
      <c r="K70" t="str">
        <f t="shared" si="3"/>
        <v>Equity Implied Volatility</v>
      </c>
      <c r="L70" t="s">
        <v>27</v>
      </c>
      <c r="M70" t="str">
        <f>_xlfn.IFNA(VLOOKUP(K70,'Mapping DEF'!A:C,2,0),"")</f>
        <v>Equity Derivatives</v>
      </c>
      <c r="N70" t="str">
        <f>+_xlfn.IFNA(VLOOKUP(M70,'Mapping DEF'!B:C,2,FALSE),"")</f>
        <v>Equity</v>
      </c>
      <c r="O70" t="s">
        <v>2713</v>
      </c>
    </row>
    <row r="71" spans="1:15" x14ac:dyDescent="0.25">
      <c r="A71" t="s">
        <v>197</v>
      </c>
      <c r="B71" t="s">
        <v>198</v>
      </c>
      <c r="C71">
        <v>2459</v>
      </c>
      <c r="D71" t="s">
        <v>199</v>
      </c>
      <c r="E71" t="s">
        <v>223</v>
      </c>
      <c r="F71" t="s">
        <v>2156</v>
      </c>
      <c r="G71" t="str">
        <f>+VLOOKUP(F71,[1]Explore!$B:$I,8,0)</f>
        <v>Equity Implied Volatility</v>
      </c>
      <c r="H71" t="s">
        <v>224</v>
      </c>
      <c r="I71" t="e">
        <f>+VLOOKUP(H71,[1]Explore!$A:$I,9,0)</f>
        <v>#N/A</v>
      </c>
      <c r="J71" t="str">
        <f t="shared" si="2"/>
        <v>OK</v>
      </c>
      <c r="K71" t="str">
        <f t="shared" si="3"/>
        <v>Equity Implied Volatility</v>
      </c>
      <c r="L71" t="s">
        <v>27</v>
      </c>
      <c r="M71" t="str">
        <f>_xlfn.IFNA(VLOOKUP(K71,'Mapping DEF'!A:C,2,0),"")</f>
        <v>Equity Derivatives</v>
      </c>
      <c r="N71" t="str">
        <f>+_xlfn.IFNA(VLOOKUP(M71,'Mapping DEF'!B:C,2,FALSE),"")</f>
        <v>Equity</v>
      </c>
      <c r="O71" t="s">
        <v>2711</v>
      </c>
    </row>
    <row r="72" spans="1:15" x14ac:dyDescent="0.25">
      <c r="A72" t="s">
        <v>225</v>
      </c>
      <c r="B72" t="s">
        <v>226</v>
      </c>
      <c r="C72">
        <v>2460</v>
      </c>
      <c r="D72" t="s">
        <v>227</v>
      </c>
      <c r="E72" t="s">
        <v>228</v>
      </c>
      <c r="F72" t="s">
        <v>19</v>
      </c>
      <c r="G72" t="str">
        <f>+VLOOKUP(F72,[1]Explore!$B:$I,8,0)</f>
        <v>Govt USD</v>
      </c>
      <c r="H72" t="s">
        <v>20</v>
      </c>
      <c r="I72" t="str">
        <f>+VLOOKUP(H72,[1]Explore!$A:$I,9,0)</f>
        <v>Govt USD</v>
      </c>
      <c r="J72" t="str">
        <f t="shared" si="2"/>
        <v>OK</v>
      </c>
      <c r="K72" t="str">
        <f t="shared" si="3"/>
        <v>Govt USD</v>
      </c>
      <c r="L72" t="s">
        <v>8</v>
      </c>
      <c r="M72" t="str">
        <f>_xlfn.IFNA(VLOOKUP(K72,'Mapping DEF'!A:C,2,0),"")</f>
        <v>Curve (Local)</v>
      </c>
      <c r="N72" t="str">
        <f>+_xlfn.IFNA(VLOOKUP(M72,'Mapping DEF'!B:C,2,FALSE),"")</f>
        <v>Term Structure</v>
      </c>
      <c r="O72" t="s">
        <v>128</v>
      </c>
    </row>
    <row r="73" spans="1:15" x14ac:dyDescent="0.25">
      <c r="A73" t="s">
        <v>225</v>
      </c>
      <c r="B73" t="s">
        <v>226</v>
      </c>
      <c r="C73">
        <v>2460</v>
      </c>
      <c r="D73" t="s">
        <v>227</v>
      </c>
      <c r="E73" t="s">
        <v>229</v>
      </c>
      <c r="F73" t="s">
        <v>202</v>
      </c>
      <c r="G73" t="str">
        <f>+VLOOKUP(F73,[1]Explore!$B:$I,8,0)</f>
        <v>Spread - Municipals</v>
      </c>
      <c r="H73" t="s">
        <v>203</v>
      </c>
      <c r="I73" t="str">
        <f>+VLOOKUP(H73,[1]Explore!$A:$I,9,0)</f>
        <v>Spread - Municipals</v>
      </c>
      <c r="J73" t="str">
        <f t="shared" si="2"/>
        <v>OK</v>
      </c>
      <c r="K73" t="str">
        <f t="shared" si="3"/>
        <v>Spread - Municipals</v>
      </c>
      <c r="L73" t="s">
        <v>204</v>
      </c>
      <c r="M73" t="str">
        <f>_xlfn.IFNA(VLOOKUP(K73,'Mapping DEF'!A:C,2,0),"")</f>
        <v>Spread</v>
      </c>
      <c r="N73" t="str">
        <f>+_xlfn.IFNA(VLOOKUP(M73,'Mapping DEF'!B:C,2,FALSE),"")</f>
        <v>Spread</v>
      </c>
      <c r="O73" t="s">
        <v>2710</v>
      </c>
    </row>
    <row r="74" spans="1:15" x14ac:dyDescent="0.25">
      <c r="A74" t="s">
        <v>225</v>
      </c>
      <c r="B74" t="s">
        <v>226</v>
      </c>
      <c r="C74">
        <v>2460</v>
      </c>
      <c r="D74" t="s">
        <v>227</v>
      </c>
      <c r="E74" t="s">
        <v>230</v>
      </c>
      <c r="F74" t="s">
        <v>206</v>
      </c>
      <c r="G74" t="e">
        <f>+VLOOKUP(F74,[1]Explore!$B:$I,8,0)</f>
        <v>#N/A</v>
      </c>
      <c r="H74" t="s">
        <v>206</v>
      </c>
      <c r="I74" t="e">
        <f>+VLOOKUP(H74,[1]Explore!$A:$I,9,0)</f>
        <v>#N/A</v>
      </c>
      <c r="J74" t="str">
        <f t="shared" si="2"/>
        <v>BOTH #N/A</v>
      </c>
      <c r="K74" t="str">
        <f t="shared" si="3"/>
        <v>Dollar Index</v>
      </c>
      <c r="L74" t="s">
        <v>2930</v>
      </c>
      <c r="M74" t="str">
        <f>_xlfn.IFNA(VLOOKUP(K74,'Mapping DEF'!A:C,2,0),"")</f>
        <v>Index Level</v>
      </c>
      <c r="N74" t="str">
        <f>+_xlfn.IFNA(VLOOKUP(M74,'Mapping DEF'!B:C,2,FALSE),"")</f>
        <v>Other</v>
      </c>
      <c r="O74" t="s">
        <v>2714</v>
      </c>
    </row>
    <row r="75" spans="1:15" x14ac:dyDescent="0.25">
      <c r="A75" t="s">
        <v>225</v>
      </c>
      <c r="B75" t="s">
        <v>226</v>
      </c>
      <c r="C75">
        <v>2460</v>
      </c>
      <c r="D75" t="s">
        <v>227</v>
      </c>
      <c r="E75" t="s">
        <v>231</v>
      </c>
      <c r="F75" t="s">
        <v>183</v>
      </c>
      <c r="G75" t="str">
        <f>+VLOOKUP(F75,[1]Explore!$B:$I,8,0)</f>
        <v>Equity Implied Volatility</v>
      </c>
      <c r="H75" t="s">
        <v>184</v>
      </c>
      <c r="I75" t="str">
        <f>+VLOOKUP(H75,[1]Explore!$A:$I,9,0)</f>
        <v>Equity Implied Volatility</v>
      </c>
      <c r="J75" t="str">
        <f t="shared" si="2"/>
        <v>OK</v>
      </c>
      <c r="K75" t="str">
        <f t="shared" si="3"/>
        <v>Equity Implied Volatility</v>
      </c>
      <c r="L75" t="s">
        <v>27</v>
      </c>
      <c r="M75" t="str">
        <f>_xlfn.IFNA(VLOOKUP(K75,'Mapping DEF'!A:C,2,0),"")</f>
        <v>Equity Derivatives</v>
      </c>
      <c r="N75" t="str">
        <f>+_xlfn.IFNA(VLOOKUP(M75,'Mapping DEF'!B:C,2,FALSE),"")</f>
        <v>Equity</v>
      </c>
      <c r="O75" t="s">
        <v>2711</v>
      </c>
    </row>
    <row r="76" spans="1:15" x14ac:dyDescent="0.25">
      <c r="A76" t="s">
        <v>225</v>
      </c>
      <c r="B76" t="s">
        <v>226</v>
      </c>
      <c r="C76">
        <v>2460</v>
      </c>
      <c r="D76" t="s">
        <v>227</v>
      </c>
      <c r="E76" t="s">
        <v>208</v>
      </c>
      <c r="F76" t="s">
        <v>191</v>
      </c>
      <c r="G76" t="e">
        <f>+VLOOKUP(F76,[1]Explore!$B:$I,8,0)</f>
        <v>#N/A</v>
      </c>
      <c r="H76" t="s">
        <v>192</v>
      </c>
      <c r="I76" t="e">
        <f>+VLOOKUP(H76,[1]Explore!$A:$I,9,0)</f>
        <v>#N/A</v>
      </c>
      <c r="J76" t="str">
        <f t="shared" si="2"/>
        <v>BOTH #N/A</v>
      </c>
      <c r="K76" t="str">
        <f t="shared" si="3"/>
        <v>Time</v>
      </c>
      <c r="L76" t="s">
        <v>191</v>
      </c>
      <c r="M76" t="str">
        <f>_xlfn.IFNA(VLOOKUP(K76,'Mapping DEF'!A:C,2,0),"")</f>
        <v>Time</v>
      </c>
      <c r="N76" t="str">
        <f>+_xlfn.IFNA(VLOOKUP(M76,'Mapping DEF'!B:C,2,FALSE),"")</f>
        <v>Other</v>
      </c>
      <c r="O76" t="s">
        <v>209</v>
      </c>
    </row>
    <row r="77" spans="1:15" x14ac:dyDescent="0.25">
      <c r="A77" t="s">
        <v>225</v>
      </c>
      <c r="B77" t="s">
        <v>226</v>
      </c>
      <c r="C77">
        <v>2460</v>
      </c>
      <c r="D77" t="s">
        <v>227</v>
      </c>
      <c r="E77" t="s">
        <v>232</v>
      </c>
      <c r="F77" t="s">
        <v>2161</v>
      </c>
      <c r="G77" t="e">
        <f>+VLOOKUP(F77,[1]Explore!$B:$I,8,0)</f>
        <v>#N/A</v>
      </c>
      <c r="H77" t="s">
        <v>233</v>
      </c>
      <c r="I77" t="e">
        <f>+VLOOKUP(H77,[1]Explore!$A:$I,9,0)</f>
        <v>#N/A</v>
      </c>
      <c r="J77" t="str">
        <f t="shared" si="2"/>
        <v>BOTH #N/A</v>
      </c>
      <c r="K77" t="str">
        <f t="shared" si="3"/>
        <v>Information Technology</v>
      </c>
      <c r="L77" t="s">
        <v>2679</v>
      </c>
      <c r="M77" t="str">
        <f>_xlfn.IFNA(VLOOKUP(K77,'Mapping DEF'!A:C,2,0),"")</f>
        <v>Industry Allocation</v>
      </c>
      <c r="N77" t="str">
        <f>+_xlfn.IFNA(VLOOKUP(M77,'Mapping DEF'!B:C,2,FALSE),"")</f>
        <v>Equity</v>
      </c>
      <c r="O77" t="s">
        <v>2715</v>
      </c>
    </row>
    <row r="78" spans="1:15" x14ac:dyDescent="0.25">
      <c r="A78" t="s">
        <v>225</v>
      </c>
      <c r="B78" t="s">
        <v>226</v>
      </c>
      <c r="C78">
        <v>2460</v>
      </c>
      <c r="D78" t="s">
        <v>227</v>
      </c>
      <c r="E78" t="s">
        <v>234</v>
      </c>
      <c r="F78" t="s">
        <v>235</v>
      </c>
      <c r="G78" t="e">
        <f>+VLOOKUP(F78,[1]Explore!$B:$I,8,0)</f>
        <v>#N/A</v>
      </c>
      <c r="H78" t="s">
        <v>236</v>
      </c>
      <c r="I78" t="e">
        <f>+VLOOKUP(H78,[1]Explore!$A:$I,9,0)</f>
        <v>#N/A</v>
      </c>
      <c r="J78" t="str">
        <f t="shared" si="2"/>
        <v>BOTH #N/A</v>
      </c>
      <c r="K78" t="str">
        <f t="shared" si="3"/>
        <v>Information Technology</v>
      </c>
      <c r="L78" t="s">
        <v>2679</v>
      </c>
      <c r="M78" t="str">
        <f>_xlfn.IFNA(VLOOKUP(K78,'Mapping DEF'!A:C,2,0),"")</f>
        <v>Industry Allocation</v>
      </c>
      <c r="N78" t="str">
        <f>+_xlfn.IFNA(VLOOKUP(M78,'Mapping DEF'!B:C,2,FALSE),"")</f>
        <v>Equity</v>
      </c>
      <c r="O78" t="s">
        <v>2715</v>
      </c>
    </row>
    <row r="79" spans="1:15" x14ac:dyDescent="0.25">
      <c r="A79" t="s">
        <v>225</v>
      </c>
      <c r="B79" t="s">
        <v>226</v>
      </c>
      <c r="C79">
        <v>2460</v>
      </c>
      <c r="D79" t="s">
        <v>227</v>
      </c>
      <c r="E79" t="s">
        <v>237</v>
      </c>
      <c r="F79" t="s">
        <v>238</v>
      </c>
      <c r="G79" t="str">
        <f>+VLOOKUP(F79,[1]Explore!$B:$I,8,0)</f>
        <v>Consumer Discretionary</v>
      </c>
      <c r="H79" t="s">
        <v>239</v>
      </c>
      <c r="I79" t="e">
        <f>+VLOOKUP(H79,[1]Explore!$A:$I,9,0)</f>
        <v>#N/A</v>
      </c>
      <c r="J79" t="str">
        <f t="shared" si="2"/>
        <v>OK</v>
      </c>
      <c r="K79" t="str">
        <f t="shared" si="3"/>
        <v>Consumer Discretionary</v>
      </c>
      <c r="L79" t="s">
        <v>93</v>
      </c>
      <c r="M79" t="str">
        <f>_xlfn.IFNA(VLOOKUP(K79,'Mapping DEF'!A:C,2,0),"")</f>
        <v>Industry Allocation</v>
      </c>
      <c r="N79" t="str">
        <f>+_xlfn.IFNA(VLOOKUP(M79,'Mapping DEF'!B:C,2,FALSE),"")</f>
        <v>Equity</v>
      </c>
      <c r="O79" t="s">
        <v>2715</v>
      </c>
    </row>
    <row r="80" spans="1:15" x14ac:dyDescent="0.25">
      <c r="A80" t="s">
        <v>225</v>
      </c>
      <c r="B80" t="s">
        <v>226</v>
      </c>
      <c r="C80">
        <v>2460</v>
      </c>
      <c r="D80" t="s">
        <v>227</v>
      </c>
      <c r="E80" t="s">
        <v>240</v>
      </c>
      <c r="F80" t="s">
        <v>220</v>
      </c>
      <c r="G80" t="str">
        <f>+VLOOKUP(F80,[1]Explore!$B:$I,8,0)</f>
        <v>Corporate HY USD - Other</v>
      </c>
      <c r="H80" t="s">
        <v>221</v>
      </c>
      <c r="I80" t="str">
        <f>+VLOOKUP(H80,[1]Explore!$A:$I,9,0)</f>
        <v>Corporate HY USD - Other</v>
      </c>
      <c r="J80" t="str">
        <f t="shared" si="2"/>
        <v>OK</v>
      </c>
      <c r="K80" t="str">
        <f t="shared" si="3"/>
        <v>Corporate HY USD - Other</v>
      </c>
      <c r="L80" t="s">
        <v>188</v>
      </c>
      <c r="M80" t="str">
        <f>_xlfn.IFNA(VLOOKUP(K80,'Mapping DEF'!A:C,2,0),"")</f>
        <v>Spread</v>
      </c>
      <c r="N80" t="str">
        <f>+_xlfn.IFNA(VLOOKUP(M80,'Mapping DEF'!B:C,2,FALSE),"")</f>
        <v>Spread</v>
      </c>
      <c r="O80" t="s">
        <v>241</v>
      </c>
    </row>
    <row r="81" spans="1:15" x14ac:dyDescent="0.25">
      <c r="A81" t="s">
        <v>225</v>
      </c>
      <c r="B81" t="s">
        <v>226</v>
      </c>
      <c r="C81">
        <v>2460</v>
      </c>
      <c r="D81" t="s">
        <v>227</v>
      </c>
      <c r="E81" t="s">
        <v>242</v>
      </c>
      <c r="F81" t="s">
        <v>2618</v>
      </c>
      <c r="G81" t="str">
        <f>+VLOOKUP(F81,[1]Explore!$B:$I,8,0)</f>
        <v>Equity Implied Volatility</v>
      </c>
      <c r="H81" t="s">
        <v>243</v>
      </c>
      <c r="I81" t="e">
        <f>+VLOOKUP(H81,[1]Explore!$A:$I,9,0)</f>
        <v>#N/A</v>
      </c>
      <c r="J81" t="str">
        <f t="shared" si="2"/>
        <v>OK</v>
      </c>
      <c r="K81" t="str">
        <f t="shared" si="3"/>
        <v>Equity Implied Volatility</v>
      </c>
      <c r="L81" t="s">
        <v>27</v>
      </c>
      <c r="M81" t="str">
        <f>_xlfn.IFNA(VLOOKUP(K81,'Mapping DEF'!A:C,2,0),"")</f>
        <v>Equity Derivatives</v>
      </c>
      <c r="N81" t="str">
        <f>+_xlfn.IFNA(VLOOKUP(M81,'Mapping DEF'!B:C,2,FALSE),"")</f>
        <v>Equity</v>
      </c>
      <c r="O81" t="s">
        <v>2711</v>
      </c>
    </row>
    <row r="82" spans="1:15" x14ac:dyDescent="0.25">
      <c r="A82" t="s">
        <v>244</v>
      </c>
      <c r="B82" t="s">
        <v>245</v>
      </c>
      <c r="C82">
        <v>2308</v>
      </c>
      <c r="D82" t="s">
        <v>246</v>
      </c>
      <c r="E82" t="s">
        <v>247</v>
      </c>
      <c r="G82" t="e">
        <f>+VLOOKUP(F82,[1]Explore!$B:$I,8,0)</f>
        <v>#N/A</v>
      </c>
      <c r="H82" t="s">
        <v>247</v>
      </c>
      <c r="I82" t="e">
        <f>+VLOOKUP(H82,[1]Explore!$A:$I,9,0)</f>
        <v>#N/A</v>
      </c>
      <c r="J82" t="str">
        <f t="shared" si="2"/>
        <v>BOTH #N/A</v>
      </c>
      <c r="K82" t="str">
        <f t="shared" si="3"/>
        <v>-</v>
      </c>
      <c r="L82" t="s">
        <v>247</v>
      </c>
      <c r="M82" t="str">
        <f>_xlfn.IFNA(VLOOKUP(K82,'Mapping DEF'!A:C,2,0),"")</f>
        <v/>
      </c>
      <c r="N82" t="str">
        <f>+_xlfn.IFNA(VLOOKUP(M82,'Mapping DEF'!B:C,2,FALSE),"")</f>
        <v/>
      </c>
    </row>
    <row r="83" spans="1:15" x14ac:dyDescent="0.25">
      <c r="A83" t="s">
        <v>248</v>
      </c>
      <c r="B83" t="s">
        <v>249</v>
      </c>
      <c r="C83">
        <v>2309</v>
      </c>
      <c r="D83" t="s">
        <v>250</v>
      </c>
      <c r="E83" t="s">
        <v>247</v>
      </c>
      <c r="G83" t="e">
        <f>+VLOOKUP(F83,[1]Explore!$B:$I,8,0)</f>
        <v>#N/A</v>
      </c>
      <c r="H83" t="s">
        <v>247</v>
      </c>
      <c r="I83" t="e">
        <f>+VLOOKUP(H83,[1]Explore!$A:$I,9,0)</f>
        <v>#N/A</v>
      </c>
      <c r="J83" t="str">
        <f t="shared" si="2"/>
        <v>BOTH #N/A</v>
      </c>
      <c r="K83" t="str">
        <f t="shared" si="3"/>
        <v>-</v>
      </c>
      <c r="L83" t="s">
        <v>247</v>
      </c>
      <c r="M83" t="str">
        <f>_xlfn.IFNA(VLOOKUP(K83,'Mapping DEF'!A:C,2,0),"")</f>
        <v/>
      </c>
      <c r="N83" t="str">
        <f>+_xlfn.IFNA(VLOOKUP(M83,'Mapping DEF'!B:C,2,FALSE),"")</f>
        <v/>
      </c>
    </row>
    <row r="84" spans="1:15" x14ac:dyDescent="0.25">
      <c r="A84" t="s">
        <v>251</v>
      </c>
      <c r="B84" t="s">
        <v>252</v>
      </c>
      <c r="C84">
        <v>2461</v>
      </c>
      <c r="D84" t="s">
        <v>253</v>
      </c>
      <c r="E84" t="s">
        <v>254</v>
      </c>
      <c r="F84" t="s">
        <v>13</v>
      </c>
      <c r="G84" t="str">
        <f>+VLOOKUP(F84,[1]Explore!$B:$I,8,0)</f>
        <v>Govt USD</v>
      </c>
      <c r="H84" t="s">
        <v>14</v>
      </c>
      <c r="I84" t="str">
        <f>+VLOOKUP(H84,[1]Explore!$A:$I,9,0)</f>
        <v>Govt USD</v>
      </c>
      <c r="J84" t="str">
        <f t="shared" si="2"/>
        <v>OK</v>
      </c>
      <c r="K84" t="str">
        <f t="shared" si="3"/>
        <v>Govt USD</v>
      </c>
      <c r="L84" t="s">
        <v>8</v>
      </c>
      <c r="M84" t="str">
        <f>_xlfn.IFNA(VLOOKUP(K84,'Mapping DEF'!A:C,2,0),"")</f>
        <v>Curve (Local)</v>
      </c>
      <c r="N84" t="str">
        <f>+_xlfn.IFNA(VLOOKUP(M84,'Mapping DEF'!B:C,2,FALSE),"")</f>
        <v>Term Structure</v>
      </c>
      <c r="O84" t="s">
        <v>128</v>
      </c>
    </row>
    <row r="85" spans="1:15" x14ac:dyDescent="0.25">
      <c r="A85" t="s">
        <v>251</v>
      </c>
      <c r="B85" t="s">
        <v>252</v>
      </c>
      <c r="C85">
        <v>2461</v>
      </c>
      <c r="D85" t="s">
        <v>253</v>
      </c>
      <c r="E85" t="s">
        <v>255</v>
      </c>
      <c r="F85" t="s">
        <v>19</v>
      </c>
      <c r="G85" t="str">
        <f>+VLOOKUP(F85,[1]Explore!$B:$I,8,0)</f>
        <v>Govt USD</v>
      </c>
      <c r="H85" t="s">
        <v>20</v>
      </c>
      <c r="I85" t="str">
        <f>+VLOOKUP(H85,[1]Explore!$A:$I,9,0)</f>
        <v>Govt USD</v>
      </c>
      <c r="J85" t="str">
        <f t="shared" si="2"/>
        <v>OK</v>
      </c>
      <c r="K85" t="str">
        <f t="shared" si="3"/>
        <v>Govt USD</v>
      </c>
      <c r="L85" t="s">
        <v>8</v>
      </c>
      <c r="M85" t="str">
        <f>_xlfn.IFNA(VLOOKUP(K85,'Mapping DEF'!A:C,2,0),"")</f>
        <v>Curve (Local)</v>
      </c>
      <c r="N85" t="str">
        <f>+_xlfn.IFNA(VLOOKUP(M85,'Mapping DEF'!B:C,2,FALSE),"")</f>
        <v>Term Structure</v>
      </c>
      <c r="O85" t="s">
        <v>256</v>
      </c>
    </row>
    <row r="86" spans="1:15" x14ac:dyDescent="0.25">
      <c r="A86" t="s">
        <v>251</v>
      </c>
      <c r="B86" t="s">
        <v>252</v>
      </c>
      <c r="C86">
        <v>2461</v>
      </c>
      <c r="D86" t="s">
        <v>253</v>
      </c>
      <c r="E86" t="s">
        <v>257</v>
      </c>
      <c r="F86" t="s">
        <v>258</v>
      </c>
      <c r="G86" t="str">
        <f>+VLOOKUP(F86,[1]Explore!$B:$I,8,0)</f>
        <v>USD Inflation</v>
      </c>
      <c r="H86" t="s">
        <v>259</v>
      </c>
      <c r="I86" t="str">
        <f>+VLOOKUP(H86,[1]Explore!$A:$I,9,0)</f>
        <v>USD Inflation</v>
      </c>
      <c r="J86" t="str">
        <f t="shared" si="2"/>
        <v>OK</v>
      </c>
      <c r="K86" t="str">
        <f t="shared" si="3"/>
        <v>USD Inflation</v>
      </c>
      <c r="L86" t="s">
        <v>8</v>
      </c>
      <c r="M86" t="str">
        <f>_xlfn.IFNA(VLOOKUP(K86,'Mapping DEF'!A:C,2,0),"")</f>
        <v>Inflation</v>
      </c>
      <c r="N86" t="str">
        <f>+_xlfn.IFNA(VLOOKUP(M86,'Mapping DEF'!B:C,2,FALSE),"")</f>
        <v>Other</v>
      </c>
      <c r="O86" t="s">
        <v>2716</v>
      </c>
    </row>
    <row r="87" spans="1:15" x14ac:dyDescent="0.25">
      <c r="A87" t="s">
        <v>251</v>
      </c>
      <c r="B87" t="s">
        <v>252</v>
      </c>
      <c r="C87">
        <v>2461</v>
      </c>
      <c r="D87" t="s">
        <v>253</v>
      </c>
      <c r="E87" t="s">
        <v>260</v>
      </c>
      <c r="F87" t="s">
        <v>261</v>
      </c>
      <c r="G87" t="str">
        <f>+VLOOKUP(F87,[1]Explore!$B:$I,8,0)</f>
        <v>Mortgage Basis</v>
      </c>
      <c r="H87" t="s">
        <v>262</v>
      </c>
      <c r="I87" t="str">
        <f>+VLOOKUP(H87,[1]Explore!$A:$I,9,0)</f>
        <v>Mortgage Basis</v>
      </c>
      <c r="J87" t="str">
        <f t="shared" si="2"/>
        <v>OK</v>
      </c>
      <c r="K87" t="str">
        <f t="shared" si="3"/>
        <v>Mortgage Basis</v>
      </c>
      <c r="L87" t="s">
        <v>263</v>
      </c>
      <c r="M87" t="str">
        <f>_xlfn.IFNA(VLOOKUP(K87,'Mapping DEF'!A:C,2,0),"")</f>
        <v>Alternative</v>
      </c>
      <c r="N87" t="str">
        <f>+_xlfn.IFNA(VLOOKUP(M87,'Mapping DEF'!B:C,2,FALSE),"")</f>
        <v>Other</v>
      </c>
      <c r="O87" t="s">
        <v>128</v>
      </c>
    </row>
    <row r="88" spans="1:15" x14ac:dyDescent="0.25">
      <c r="A88" t="s">
        <v>251</v>
      </c>
      <c r="B88" t="s">
        <v>252</v>
      </c>
      <c r="C88">
        <v>2461</v>
      </c>
      <c r="D88" t="s">
        <v>253</v>
      </c>
      <c r="E88" t="s">
        <v>264</v>
      </c>
      <c r="F88" t="s">
        <v>265</v>
      </c>
      <c r="G88" t="str">
        <f>+VLOOKUP(F88,[1]Explore!$B:$I,8,0)</f>
        <v>Alternative - Commodity</v>
      </c>
      <c r="H88" t="s">
        <v>266</v>
      </c>
      <c r="I88" t="str">
        <f>+VLOOKUP(H88,[1]Explore!$A:$I,9,0)</f>
        <v>Alternative - Commodity</v>
      </c>
      <c r="J88" t="str">
        <f t="shared" si="2"/>
        <v>OK</v>
      </c>
      <c r="K88" t="str">
        <f t="shared" si="3"/>
        <v>Alternative - Commodity</v>
      </c>
      <c r="L88" t="s">
        <v>70</v>
      </c>
      <c r="M88" t="str">
        <f>_xlfn.IFNA(VLOOKUP(K88,'Mapping DEF'!A:C,2,0),"")</f>
        <v>Alternative</v>
      </c>
      <c r="N88" t="str">
        <f>+_xlfn.IFNA(VLOOKUP(M88,'Mapping DEF'!B:C,2,FALSE),"")</f>
        <v>Other</v>
      </c>
      <c r="O88" t="s">
        <v>142</v>
      </c>
    </row>
    <row r="89" spans="1:15" x14ac:dyDescent="0.25">
      <c r="A89" t="s">
        <v>251</v>
      </c>
      <c r="B89" t="s">
        <v>252</v>
      </c>
      <c r="C89">
        <v>2461</v>
      </c>
      <c r="D89" t="s">
        <v>253</v>
      </c>
      <c r="E89" t="s">
        <v>267</v>
      </c>
      <c r="F89" t="s">
        <v>268</v>
      </c>
      <c r="G89" t="str">
        <f>+VLOOKUP(F89,[1]Explore!$B:$I,8,0)</f>
        <v>Alternative - Commodity</v>
      </c>
      <c r="H89" t="s">
        <v>269</v>
      </c>
      <c r="I89" t="str">
        <f>+VLOOKUP(H89,[1]Explore!$A:$I,9,0)</f>
        <v>Alternative - Commodity</v>
      </c>
      <c r="J89" t="str">
        <f t="shared" si="2"/>
        <v>OK</v>
      </c>
      <c r="K89" t="str">
        <f t="shared" si="3"/>
        <v>Alternative - Commodity</v>
      </c>
      <c r="L89" t="s">
        <v>70</v>
      </c>
      <c r="M89" t="str">
        <f>_xlfn.IFNA(VLOOKUP(K89,'Mapping DEF'!A:C,2,0),"")</f>
        <v>Alternative</v>
      </c>
      <c r="N89" t="str">
        <f>+_xlfn.IFNA(VLOOKUP(M89,'Mapping DEF'!B:C,2,FALSE),"")</f>
        <v>Other</v>
      </c>
      <c r="O89" t="s">
        <v>108</v>
      </c>
    </row>
    <row r="90" spans="1:15" x14ac:dyDescent="0.25">
      <c r="A90" t="s">
        <v>251</v>
      </c>
      <c r="B90" t="s">
        <v>252</v>
      </c>
      <c r="C90">
        <v>2461</v>
      </c>
      <c r="D90" t="s">
        <v>253</v>
      </c>
      <c r="E90" t="s">
        <v>270</v>
      </c>
      <c r="F90" t="s">
        <v>271</v>
      </c>
      <c r="G90" t="str">
        <f>+VLOOKUP(F90,[1]Explore!$B:$I,8,0)</f>
        <v>Corporate IG USD - Other</v>
      </c>
      <c r="H90" t="s">
        <v>272</v>
      </c>
      <c r="I90" t="str">
        <f>+VLOOKUP(H90,[1]Explore!$A:$I,9,0)</f>
        <v>Corporate IG USD - Other</v>
      </c>
      <c r="J90" t="str">
        <f t="shared" si="2"/>
        <v>OK</v>
      </c>
      <c r="K90" t="str">
        <f t="shared" si="3"/>
        <v>Corporate IG USD - Other</v>
      </c>
      <c r="L90" t="s">
        <v>2650</v>
      </c>
      <c r="M90" t="str">
        <f>_xlfn.IFNA(VLOOKUP(K90,'Mapping DEF'!A:C,2,0),"")</f>
        <v>Spread</v>
      </c>
      <c r="N90" t="str">
        <f>+_xlfn.IFNA(VLOOKUP(M90,'Mapping DEF'!B:C,2,FALSE),"")</f>
        <v>Spread</v>
      </c>
      <c r="O90" t="s">
        <v>128</v>
      </c>
    </row>
    <row r="91" spans="1:15" x14ac:dyDescent="0.25">
      <c r="A91" t="s">
        <v>251</v>
      </c>
      <c r="B91" t="s">
        <v>252</v>
      </c>
      <c r="C91">
        <v>2461</v>
      </c>
      <c r="D91" t="s">
        <v>253</v>
      </c>
      <c r="E91" t="s">
        <v>273</v>
      </c>
      <c r="F91" t="s">
        <v>206</v>
      </c>
      <c r="G91" t="e">
        <f>+VLOOKUP(F91,[1]Explore!$B:$I,8,0)</f>
        <v>#N/A</v>
      </c>
      <c r="H91" t="s">
        <v>206</v>
      </c>
      <c r="I91" t="e">
        <f>+VLOOKUP(H91,[1]Explore!$A:$I,9,0)</f>
        <v>#N/A</v>
      </c>
      <c r="J91" t="str">
        <f t="shared" si="2"/>
        <v>BOTH #N/A</v>
      </c>
      <c r="K91" t="str">
        <f t="shared" si="3"/>
        <v>Dollar Index</v>
      </c>
      <c r="L91" t="s">
        <v>2930</v>
      </c>
      <c r="M91" t="str">
        <f>_xlfn.IFNA(VLOOKUP(K91,'Mapping DEF'!A:C,2,0),"")</f>
        <v>Index Level</v>
      </c>
      <c r="N91" t="str">
        <f>+_xlfn.IFNA(VLOOKUP(M91,'Mapping DEF'!B:C,2,FALSE),"")</f>
        <v>Other</v>
      </c>
      <c r="O91" t="s">
        <v>274</v>
      </c>
    </row>
    <row r="92" spans="1:15" x14ac:dyDescent="0.25">
      <c r="A92" t="s">
        <v>251</v>
      </c>
      <c r="B92" t="s">
        <v>252</v>
      </c>
      <c r="C92">
        <v>2461</v>
      </c>
      <c r="D92" t="s">
        <v>253</v>
      </c>
      <c r="E92" t="s">
        <v>275</v>
      </c>
      <c r="F92" t="s">
        <v>2156</v>
      </c>
      <c r="G92" t="str">
        <f>+VLOOKUP(F92,[1]Explore!$B:$I,8,0)</f>
        <v>Equity Implied Volatility</v>
      </c>
      <c r="H92" t="s">
        <v>141</v>
      </c>
      <c r="I92" t="str">
        <f>+VLOOKUP(H92,[1]Explore!$A:$I,9,0)</f>
        <v>Equity Implied Volatility</v>
      </c>
      <c r="J92" t="str">
        <f t="shared" si="2"/>
        <v>OK</v>
      </c>
      <c r="K92" t="str">
        <f t="shared" si="3"/>
        <v>Equity Implied Volatility</v>
      </c>
      <c r="L92" t="s">
        <v>27</v>
      </c>
      <c r="M92" t="str">
        <f>_xlfn.IFNA(VLOOKUP(K92,'Mapping DEF'!A:C,2,0),"")</f>
        <v>Equity Derivatives</v>
      </c>
      <c r="N92" t="str">
        <f>+_xlfn.IFNA(VLOOKUP(M92,'Mapping DEF'!B:C,2,FALSE),"")</f>
        <v>Equity</v>
      </c>
      <c r="O92" t="s">
        <v>2705</v>
      </c>
    </row>
    <row r="93" spans="1:15" x14ac:dyDescent="0.25">
      <c r="A93" t="s">
        <v>251</v>
      </c>
      <c r="B93" t="s">
        <v>252</v>
      </c>
      <c r="C93">
        <v>2461</v>
      </c>
      <c r="D93" t="s">
        <v>253</v>
      </c>
      <c r="E93" t="s">
        <v>208</v>
      </c>
      <c r="F93" t="s">
        <v>191</v>
      </c>
      <c r="G93" t="e">
        <f>+VLOOKUP(F93,[1]Explore!$B:$I,8,0)</f>
        <v>#N/A</v>
      </c>
      <c r="H93" t="s">
        <v>192</v>
      </c>
      <c r="I93" t="e">
        <f>+VLOOKUP(H93,[1]Explore!$A:$I,9,0)</f>
        <v>#N/A</v>
      </c>
      <c r="J93" t="str">
        <f t="shared" si="2"/>
        <v>BOTH #N/A</v>
      </c>
      <c r="K93" t="str">
        <f t="shared" si="3"/>
        <v>Time</v>
      </c>
      <c r="L93" t="s">
        <v>191</v>
      </c>
      <c r="M93" t="str">
        <f>_xlfn.IFNA(VLOOKUP(K93,'Mapping DEF'!A:C,2,0),"")</f>
        <v>Time</v>
      </c>
      <c r="N93" t="str">
        <f>+_xlfn.IFNA(VLOOKUP(M93,'Mapping DEF'!B:C,2,FALSE),"")</f>
        <v>Other</v>
      </c>
      <c r="O93" t="s">
        <v>209</v>
      </c>
    </row>
    <row r="94" spans="1:15" x14ac:dyDescent="0.25">
      <c r="A94" t="s">
        <v>251</v>
      </c>
      <c r="B94" t="s">
        <v>252</v>
      </c>
      <c r="C94">
        <v>2461</v>
      </c>
      <c r="D94" t="s">
        <v>253</v>
      </c>
      <c r="E94" t="s">
        <v>276</v>
      </c>
      <c r="F94" t="s">
        <v>220</v>
      </c>
      <c r="G94" t="str">
        <f>+VLOOKUP(F94,[1]Explore!$B:$I,8,0)</f>
        <v>Corporate HY USD - Other</v>
      </c>
      <c r="H94" t="s">
        <v>221</v>
      </c>
      <c r="I94" t="str">
        <f>+VLOOKUP(H94,[1]Explore!$A:$I,9,0)</f>
        <v>Corporate HY USD - Other</v>
      </c>
      <c r="J94" t="str">
        <f t="shared" si="2"/>
        <v>OK</v>
      </c>
      <c r="K94" t="str">
        <f t="shared" si="3"/>
        <v>Corporate HY USD - Other</v>
      </c>
      <c r="L94" t="s">
        <v>188</v>
      </c>
      <c r="M94" t="str">
        <f>_xlfn.IFNA(VLOOKUP(K94,'Mapping DEF'!A:C,2,0),"")</f>
        <v>Spread</v>
      </c>
      <c r="N94" t="str">
        <f>+_xlfn.IFNA(VLOOKUP(M94,'Mapping DEF'!B:C,2,FALSE),"")</f>
        <v>Spread</v>
      </c>
      <c r="O94" t="s">
        <v>85</v>
      </c>
    </row>
    <row r="95" spans="1:15" x14ac:dyDescent="0.25">
      <c r="A95" t="s">
        <v>251</v>
      </c>
      <c r="B95" t="s">
        <v>252</v>
      </c>
      <c r="C95">
        <v>2461</v>
      </c>
      <c r="D95" t="s">
        <v>253</v>
      </c>
      <c r="E95" t="s">
        <v>277</v>
      </c>
      <c r="F95" t="s">
        <v>2159</v>
      </c>
      <c r="G95" t="str">
        <f>+VLOOKUP(F95,[1]Explore!$B:$I,8,0)</f>
        <v>Other - Index</v>
      </c>
      <c r="H95" t="s">
        <v>278</v>
      </c>
      <c r="I95" t="e">
        <f>+VLOOKUP(H95,[1]Explore!$A:$I,9,0)</f>
        <v>#N/A</v>
      </c>
      <c r="J95" t="str">
        <f t="shared" si="2"/>
        <v>OK</v>
      </c>
      <c r="K95" t="str">
        <f t="shared" si="3"/>
        <v>Other - Index</v>
      </c>
      <c r="L95" t="s">
        <v>27</v>
      </c>
      <c r="M95" t="str">
        <f>_xlfn.IFNA(VLOOKUP(K95,'Mapping DEF'!A:C,2,0),"")</f>
        <v>Other</v>
      </c>
      <c r="N95" t="str">
        <f>+_xlfn.IFNA(VLOOKUP(M95,'Mapping DEF'!B:C,2,FALSE),"")</f>
        <v>Other</v>
      </c>
      <c r="O95" t="s">
        <v>79</v>
      </c>
    </row>
    <row r="96" spans="1:15" x14ac:dyDescent="0.25">
      <c r="A96" t="s">
        <v>279</v>
      </c>
      <c r="B96" t="s">
        <v>280</v>
      </c>
      <c r="C96">
        <v>2462</v>
      </c>
      <c r="D96" t="s">
        <v>281</v>
      </c>
      <c r="E96" t="s">
        <v>282</v>
      </c>
      <c r="F96" t="s">
        <v>19</v>
      </c>
      <c r="G96" t="str">
        <f>+VLOOKUP(F96,[1]Explore!$B:$I,8,0)</f>
        <v>Govt USD</v>
      </c>
      <c r="H96" t="s">
        <v>20</v>
      </c>
      <c r="I96" t="str">
        <f>+VLOOKUP(H96,[1]Explore!$A:$I,9,0)</f>
        <v>Govt USD</v>
      </c>
      <c r="J96" t="str">
        <f t="shared" si="2"/>
        <v>OK</v>
      </c>
      <c r="K96" t="str">
        <f t="shared" si="3"/>
        <v>Govt USD</v>
      </c>
      <c r="L96" t="s">
        <v>8</v>
      </c>
      <c r="M96" t="str">
        <f>_xlfn.IFNA(VLOOKUP(K96,'Mapping DEF'!A:C,2,0),"")</f>
        <v>Curve (Local)</v>
      </c>
      <c r="N96" t="str">
        <f>+_xlfn.IFNA(VLOOKUP(M96,'Mapping DEF'!B:C,2,FALSE),"")</f>
        <v>Term Structure</v>
      </c>
      <c r="O96" t="s">
        <v>2717</v>
      </c>
    </row>
    <row r="97" spans="1:15" x14ac:dyDescent="0.25">
      <c r="A97" t="s">
        <v>279</v>
      </c>
      <c r="B97" t="s">
        <v>280</v>
      </c>
      <c r="C97">
        <v>2462</v>
      </c>
      <c r="D97" t="s">
        <v>281</v>
      </c>
      <c r="E97" t="s">
        <v>284</v>
      </c>
      <c r="F97" t="s">
        <v>22</v>
      </c>
      <c r="G97" t="str">
        <f>+VLOOKUP(F97,[1]Explore!$B:$I,8,0)</f>
        <v>Govt USD</v>
      </c>
      <c r="H97" t="s">
        <v>23</v>
      </c>
      <c r="I97" t="str">
        <f>+VLOOKUP(H97,[1]Explore!$A:$I,9,0)</f>
        <v>Govt USD</v>
      </c>
      <c r="J97" t="str">
        <f t="shared" si="2"/>
        <v>OK</v>
      </c>
      <c r="K97" t="str">
        <f t="shared" si="3"/>
        <v>Govt USD</v>
      </c>
      <c r="L97" t="s">
        <v>8</v>
      </c>
      <c r="M97" t="str">
        <f>_xlfn.IFNA(VLOOKUP(K97,'Mapping DEF'!A:C,2,0),"")</f>
        <v>Curve (Local)</v>
      </c>
      <c r="N97" t="str">
        <f>+_xlfn.IFNA(VLOOKUP(M97,'Mapping DEF'!B:C,2,FALSE),"")</f>
        <v>Term Structure</v>
      </c>
      <c r="O97" t="s">
        <v>2716</v>
      </c>
    </row>
    <row r="98" spans="1:15" x14ac:dyDescent="0.25">
      <c r="A98" t="s">
        <v>279</v>
      </c>
      <c r="B98" t="s">
        <v>280</v>
      </c>
      <c r="C98">
        <v>2462</v>
      </c>
      <c r="D98" t="s">
        <v>281</v>
      </c>
      <c r="E98" t="s">
        <v>285</v>
      </c>
      <c r="F98" t="s">
        <v>261</v>
      </c>
      <c r="G98" t="str">
        <f>+VLOOKUP(F98,[1]Explore!$B:$I,8,0)</f>
        <v>Mortgage Basis</v>
      </c>
      <c r="H98" t="s">
        <v>262</v>
      </c>
      <c r="I98" t="str">
        <f>+VLOOKUP(H98,[1]Explore!$A:$I,9,0)</f>
        <v>Mortgage Basis</v>
      </c>
      <c r="J98" t="str">
        <f t="shared" si="2"/>
        <v>OK</v>
      </c>
      <c r="K98" t="str">
        <f t="shared" si="3"/>
        <v>Mortgage Basis</v>
      </c>
      <c r="L98" t="s">
        <v>263</v>
      </c>
      <c r="M98" t="str">
        <f>_xlfn.IFNA(VLOOKUP(K98,'Mapping DEF'!A:C,2,0),"")</f>
        <v>Alternative</v>
      </c>
      <c r="N98" t="str">
        <f>+_xlfn.IFNA(VLOOKUP(M98,'Mapping DEF'!B:C,2,FALSE),"")</f>
        <v>Other</v>
      </c>
      <c r="O98" t="s">
        <v>2718</v>
      </c>
    </row>
    <row r="99" spans="1:15" x14ac:dyDescent="0.25">
      <c r="A99" t="s">
        <v>279</v>
      </c>
      <c r="B99" t="s">
        <v>280</v>
      </c>
      <c r="C99">
        <v>2462</v>
      </c>
      <c r="D99" t="s">
        <v>281</v>
      </c>
      <c r="E99" t="s">
        <v>287</v>
      </c>
      <c r="F99" t="s">
        <v>265</v>
      </c>
      <c r="G99" t="str">
        <f>+VLOOKUP(F99,[1]Explore!$B:$I,8,0)</f>
        <v>Alternative - Commodity</v>
      </c>
      <c r="H99" t="s">
        <v>266</v>
      </c>
      <c r="I99" t="str">
        <f>+VLOOKUP(H99,[1]Explore!$A:$I,9,0)</f>
        <v>Alternative - Commodity</v>
      </c>
      <c r="J99" t="str">
        <f t="shared" si="2"/>
        <v>OK</v>
      </c>
      <c r="K99" t="str">
        <f t="shared" si="3"/>
        <v>Alternative - Commodity</v>
      </c>
      <c r="L99" t="s">
        <v>70</v>
      </c>
      <c r="M99" t="str">
        <f>_xlfn.IFNA(VLOOKUP(K99,'Mapping DEF'!A:C,2,0),"")</f>
        <v>Alternative</v>
      </c>
      <c r="N99" t="str">
        <f>+_xlfn.IFNA(VLOOKUP(M99,'Mapping DEF'!B:C,2,FALSE),"")</f>
        <v>Other</v>
      </c>
      <c r="O99" t="s">
        <v>2719</v>
      </c>
    </row>
    <row r="100" spans="1:15" x14ac:dyDescent="0.25">
      <c r="A100" t="s">
        <v>279</v>
      </c>
      <c r="B100" t="s">
        <v>280</v>
      </c>
      <c r="C100">
        <v>2462</v>
      </c>
      <c r="D100" t="s">
        <v>281</v>
      </c>
      <c r="E100" t="s">
        <v>288</v>
      </c>
      <c r="F100" t="s">
        <v>271</v>
      </c>
      <c r="G100" t="str">
        <f>+VLOOKUP(F100,[1]Explore!$B:$I,8,0)</f>
        <v>Corporate IG USD - Other</v>
      </c>
      <c r="H100" t="s">
        <v>272</v>
      </c>
      <c r="I100" t="str">
        <f>+VLOOKUP(H100,[1]Explore!$A:$I,9,0)</f>
        <v>Corporate IG USD - Other</v>
      </c>
      <c r="J100" t="str">
        <f t="shared" si="2"/>
        <v>OK</v>
      </c>
      <c r="K100" t="str">
        <f t="shared" si="3"/>
        <v>Corporate IG USD - Other</v>
      </c>
      <c r="L100" t="s">
        <v>2650</v>
      </c>
      <c r="M100" t="str">
        <f>_xlfn.IFNA(VLOOKUP(K100,'Mapping DEF'!A:C,2,0),"")</f>
        <v>Spread</v>
      </c>
      <c r="N100" t="str">
        <f>+_xlfn.IFNA(VLOOKUP(M100,'Mapping DEF'!B:C,2,FALSE),"")</f>
        <v>Spread</v>
      </c>
      <c r="O100" t="s">
        <v>289</v>
      </c>
    </row>
    <row r="101" spans="1:15" x14ac:dyDescent="0.25">
      <c r="A101" t="s">
        <v>279</v>
      </c>
      <c r="B101" t="s">
        <v>280</v>
      </c>
      <c r="C101">
        <v>2462</v>
      </c>
      <c r="D101" t="s">
        <v>281</v>
      </c>
      <c r="E101" t="s">
        <v>290</v>
      </c>
      <c r="F101" t="s">
        <v>206</v>
      </c>
      <c r="G101" t="e">
        <f>+VLOOKUP(F101,[1]Explore!$B:$I,8,0)</f>
        <v>#N/A</v>
      </c>
      <c r="H101" t="s">
        <v>206</v>
      </c>
      <c r="I101" t="e">
        <f>+VLOOKUP(H101,[1]Explore!$A:$I,9,0)</f>
        <v>#N/A</v>
      </c>
      <c r="J101" t="str">
        <f t="shared" si="2"/>
        <v>BOTH #N/A</v>
      </c>
      <c r="K101" t="str">
        <f t="shared" si="3"/>
        <v>Dollar Index</v>
      </c>
      <c r="L101" t="s">
        <v>2930</v>
      </c>
      <c r="M101" t="str">
        <f>_xlfn.IFNA(VLOOKUP(K101,'Mapping DEF'!A:C,2,0),"")</f>
        <v>Index Level</v>
      </c>
      <c r="N101" t="str">
        <f>+_xlfn.IFNA(VLOOKUP(M101,'Mapping DEF'!B:C,2,FALSE),"")</f>
        <v>Other</v>
      </c>
      <c r="O101" t="s">
        <v>2720</v>
      </c>
    </row>
    <row r="102" spans="1:15" x14ac:dyDescent="0.25">
      <c r="A102" t="s">
        <v>279</v>
      </c>
      <c r="B102" t="s">
        <v>280</v>
      </c>
      <c r="C102">
        <v>2462</v>
      </c>
      <c r="D102" t="s">
        <v>281</v>
      </c>
      <c r="E102" t="s">
        <v>291</v>
      </c>
      <c r="F102" t="s">
        <v>2156</v>
      </c>
      <c r="G102" t="str">
        <f>+VLOOKUP(F102,[1]Explore!$B:$I,8,0)</f>
        <v>Equity Implied Volatility</v>
      </c>
      <c r="H102" t="s">
        <v>141</v>
      </c>
      <c r="I102" t="str">
        <f>+VLOOKUP(H102,[1]Explore!$A:$I,9,0)</f>
        <v>Equity Implied Volatility</v>
      </c>
      <c r="J102" t="str">
        <f t="shared" si="2"/>
        <v>OK</v>
      </c>
      <c r="K102" t="str">
        <f t="shared" si="3"/>
        <v>Equity Implied Volatility</v>
      </c>
      <c r="L102" t="s">
        <v>27</v>
      </c>
      <c r="M102" t="str">
        <f>_xlfn.IFNA(VLOOKUP(K102,'Mapping DEF'!A:C,2,0),"")</f>
        <v>Equity Derivatives</v>
      </c>
      <c r="N102" t="str">
        <f>+_xlfn.IFNA(VLOOKUP(M102,'Mapping DEF'!B:C,2,FALSE),"")</f>
        <v>Equity</v>
      </c>
      <c r="O102" t="s">
        <v>2700</v>
      </c>
    </row>
    <row r="103" spans="1:15" x14ac:dyDescent="0.25">
      <c r="A103" t="s">
        <v>279</v>
      </c>
      <c r="B103" t="s">
        <v>280</v>
      </c>
      <c r="C103">
        <v>2462</v>
      </c>
      <c r="D103" t="s">
        <v>281</v>
      </c>
      <c r="E103" t="s">
        <v>208</v>
      </c>
      <c r="F103" t="s">
        <v>191</v>
      </c>
      <c r="G103" t="e">
        <f>+VLOOKUP(F103,[1]Explore!$B:$I,8,0)</f>
        <v>#N/A</v>
      </c>
      <c r="H103" t="s">
        <v>192</v>
      </c>
      <c r="I103" t="e">
        <f>+VLOOKUP(H103,[1]Explore!$A:$I,9,0)</f>
        <v>#N/A</v>
      </c>
      <c r="J103" t="str">
        <f t="shared" si="2"/>
        <v>BOTH #N/A</v>
      </c>
      <c r="K103" t="str">
        <f t="shared" si="3"/>
        <v>Time</v>
      </c>
      <c r="L103" t="s">
        <v>191</v>
      </c>
      <c r="M103" t="str">
        <f>_xlfn.IFNA(VLOOKUP(K103,'Mapping DEF'!A:C,2,0),"")</f>
        <v>Time</v>
      </c>
      <c r="N103" t="str">
        <f>+_xlfn.IFNA(VLOOKUP(M103,'Mapping DEF'!B:C,2,FALSE),"")</f>
        <v>Other</v>
      </c>
      <c r="O103" t="s">
        <v>209</v>
      </c>
    </row>
    <row r="104" spans="1:15" x14ac:dyDescent="0.25">
      <c r="A104" t="s">
        <v>279</v>
      </c>
      <c r="B104" t="s">
        <v>280</v>
      </c>
      <c r="C104">
        <v>2462</v>
      </c>
      <c r="D104" t="s">
        <v>281</v>
      </c>
      <c r="E104" t="s">
        <v>292</v>
      </c>
      <c r="F104" t="s">
        <v>293</v>
      </c>
      <c r="G104" t="e">
        <f>+VLOOKUP(F104,[1]Explore!$B:$I,8,0)</f>
        <v>#N/A</v>
      </c>
      <c r="H104" t="s">
        <v>294</v>
      </c>
      <c r="I104" t="e">
        <f>+VLOOKUP(H104,[1]Explore!$A:$I,9,0)</f>
        <v>#N/A</v>
      </c>
      <c r="J104" t="str">
        <f t="shared" si="2"/>
        <v>BOTH #N/A</v>
      </c>
      <c r="K104" t="str">
        <f t="shared" si="3"/>
        <v>Industrials</v>
      </c>
      <c r="L104" t="s">
        <v>1206</v>
      </c>
      <c r="M104" t="str">
        <f>_xlfn.IFNA(VLOOKUP(K104,'Mapping DEF'!A:C,2,0),"")</f>
        <v>Industry Allocation</v>
      </c>
      <c r="N104" t="str">
        <f>+_xlfn.IFNA(VLOOKUP(M104,'Mapping DEF'!B:C,2,FALSE),"")</f>
        <v>Equity</v>
      </c>
      <c r="O104" t="s">
        <v>2721</v>
      </c>
    </row>
    <row r="105" spans="1:15" x14ac:dyDescent="0.25">
      <c r="A105" t="s">
        <v>279</v>
      </c>
      <c r="B105" t="s">
        <v>280</v>
      </c>
      <c r="C105">
        <v>2462</v>
      </c>
      <c r="D105" t="s">
        <v>281</v>
      </c>
      <c r="E105" t="s">
        <v>296</v>
      </c>
      <c r="F105" t="s">
        <v>297</v>
      </c>
      <c r="G105" t="e">
        <f>+VLOOKUP(F105,[1]Explore!$B:$I,8,0)</f>
        <v>#N/A</v>
      </c>
      <c r="H105" t="s">
        <v>298</v>
      </c>
      <c r="I105" t="e">
        <f>+VLOOKUP(H105,[1]Explore!$A:$I,9,0)</f>
        <v>#N/A</v>
      </c>
      <c r="J105" t="str">
        <f t="shared" si="2"/>
        <v>BOTH #N/A</v>
      </c>
      <c r="K105" t="str">
        <f t="shared" si="3"/>
        <v>Information Technology</v>
      </c>
      <c r="L105" t="s">
        <v>2679</v>
      </c>
      <c r="M105" t="str">
        <f>_xlfn.IFNA(VLOOKUP(K105,'Mapping DEF'!A:C,2,0),"")</f>
        <v>Industry Allocation</v>
      </c>
      <c r="N105" t="str">
        <f>+_xlfn.IFNA(VLOOKUP(M105,'Mapping DEF'!B:C,2,FALSE),"")</f>
        <v>Equity</v>
      </c>
      <c r="O105" t="s">
        <v>108</v>
      </c>
    </row>
    <row r="106" spans="1:15" x14ac:dyDescent="0.25">
      <c r="A106" t="s">
        <v>279</v>
      </c>
      <c r="B106" t="s">
        <v>280</v>
      </c>
      <c r="C106">
        <v>2462</v>
      </c>
      <c r="D106" t="s">
        <v>281</v>
      </c>
      <c r="E106" t="s">
        <v>299</v>
      </c>
      <c r="F106" t="s">
        <v>220</v>
      </c>
      <c r="G106" t="str">
        <f>+VLOOKUP(F106,[1]Explore!$B:$I,8,0)</f>
        <v>Corporate HY USD - Other</v>
      </c>
      <c r="H106" t="s">
        <v>221</v>
      </c>
      <c r="I106" t="str">
        <f>+VLOOKUP(H106,[1]Explore!$A:$I,9,0)</f>
        <v>Corporate HY USD - Other</v>
      </c>
      <c r="J106" t="str">
        <f t="shared" si="2"/>
        <v>OK</v>
      </c>
      <c r="K106" t="str">
        <f t="shared" si="3"/>
        <v>Corporate HY USD - Other</v>
      </c>
      <c r="L106" t="s">
        <v>188</v>
      </c>
      <c r="M106" t="str">
        <f>_xlfn.IFNA(VLOOKUP(K106,'Mapping DEF'!A:C,2,0),"")</f>
        <v>Spread</v>
      </c>
      <c r="N106" t="str">
        <f>+_xlfn.IFNA(VLOOKUP(M106,'Mapping DEF'!B:C,2,FALSE),"")</f>
        <v>Spread</v>
      </c>
      <c r="O106" t="s">
        <v>300</v>
      </c>
    </row>
    <row r="107" spans="1:15" x14ac:dyDescent="0.25">
      <c r="A107" t="s">
        <v>279</v>
      </c>
      <c r="B107" t="s">
        <v>280</v>
      </c>
      <c r="C107">
        <v>2462</v>
      </c>
      <c r="D107" t="s">
        <v>281</v>
      </c>
      <c r="E107" t="s">
        <v>301</v>
      </c>
      <c r="F107" t="s">
        <v>302</v>
      </c>
      <c r="G107" t="str">
        <f>+VLOOKUP(F107,[1]Explore!$B:$I,8,0)</f>
        <v>ABS - Swap Spread</v>
      </c>
      <c r="H107" t="s">
        <v>303</v>
      </c>
      <c r="I107" t="str">
        <f>+VLOOKUP(H107,[1]Explore!$A:$I,9,0)</f>
        <v>ABS - Swap Spread</v>
      </c>
      <c r="J107" t="str">
        <f t="shared" si="2"/>
        <v>OK</v>
      </c>
      <c r="K107" t="str">
        <f t="shared" si="3"/>
        <v>ABS - Swap Spread</v>
      </c>
      <c r="L107" t="s">
        <v>188</v>
      </c>
      <c r="M107" t="str">
        <f>_xlfn.IFNA(VLOOKUP(K107,'Mapping DEF'!A:C,2,0),"")</f>
        <v>Alternative</v>
      </c>
      <c r="N107" t="str">
        <f>+_xlfn.IFNA(VLOOKUP(M107,'Mapping DEF'!B:C,2,FALSE),"")</f>
        <v>Other</v>
      </c>
      <c r="O107" t="s">
        <v>283</v>
      </c>
    </row>
    <row r="108" spans="1:15" x14ac:dyDescent="0.25">
      <c r="A108" t="s">
        <v>279</v>
      </c>
      <c r="B108" t="s">
        <v>280</v>
      </c>
      <c r="C108">
        <v>2462</v>
      </c>
      <c r="D108" t="s">
        <v>281</v>
      </c>
      <c r="E108" t="s">
        <v>304</v>
      </c>
      <c r="F108" t="s">
        <v>305</v>
      </c>
      <c r="G108" t="str">
        <f>+VLOOKUP(F108,[1]Explore!$B:$I,8,0)</f>
        <v>Mortgage</v>
      </c>
      <c r="H108" t="s">
        <v>306</v>
      </c>
      <c r="I108" t="str">
        <f>+VLOOKUP(H108,[1]Explore!$A:$I,9,0)</f>
        <v>Mortgage</v>
      </c>
      <c r="J108" t="str">
        <f t="shared" si="2"/>
        <v>OK</v>
      </c>
      <c r="K108" t="str">
        <f t="shared" si="3"/>
        <v>Mortgage</v>
      </c>
      <c r="L108" t="s">
        <v>70</v>
      </c>
      <c r="M108" t="str">
        <f>_xlfn.IFNA(VLOOKUP(K108,'Mapping DEF'!A:C,2,0),"")</f>
        <v>Alternative</v>
      </c>
      <c r="N108" t="str">
        <f>+_xlfn.IFNA(VLOOKUP(M108,'Mapping DEF'!B:C,2,FALSE),"")</f>
        <v>Other</v>
      </c>
      <c r="O108" t="s">
        <v>2722</v>
      </c>
    </row>
    <row r="109" spans="1:15" x14ac:dyDescent="0.25">
      <c r="A109" t="s">
        <v>279</v>
      </c>
      <c r="B109" t="s">
        <v>280</v>
      </c>
      <c r="C109">
        <v>2462</v>
      </c>
      <c r="D109" t="s">
        <v>281</v>
      </c>
      <c r="E109" t="s">
        <v>307</v>
      </c>
      <c r="F109" t="s">
        <v>308</v>
      </c>
      <c r="G109" t="str">
        <f>+VLOOKUP(F109,[1]Explore!$B:$I,8,0)</f>
        <v>Mortgage</v>
      </c>
      <c r="H109" t="s">
        <v>309</v>
      </c>
      <c r="I109" t="str">
        <f>+VLOOKUP(H109,[1]Explore!$A:$I,9,0)</f>
        <v>Mortgage</v>
      </c>
      <c r="J109" t="str">
        <f t="shared" si="2"/>
        <v>OK</v>
      </c>
      <c r="K109" t="str">
        <f t="shared" si="3"/>
        <v>Mortgage</v>
      </c>
      <c r="L109" t="s">
        <v>70</v>
      </c>
      <c r="M109" t="str">
        <f>_xlfn.IFNA(VLOOKUP(K109,'Mapping DEF'!A:C,2,0),"")</f>
        <v>Alternative</v>
      </c>
      <c r="N109" t="str">
        <f>+_xlfn.IFNA(VLOOKUP(M109,'Mapping DEF'!B:C,2,FALSE),"")</f>
        <v>Other</v>
      </c>
      <c r="O109" t="s">
        <v>2723</v>
      </c>
    </row>
    <row r="110" spans="1:15" x14ac:dyDescent="0.25">
      <c r="A110" t="s">
        <v>310</v>
      </c>
      <c r="B110" t="s">
        <v>311</v>
      </c>
      <c r="C110">
        <v>2484</v>
      </c>
      <c r="D110" t="s">
        <v>312</v>
      </c>
      <c r="E110" t="s">
        <v>313</v>
      </c>
      <c r="F110" t="s">
        <v>268</v>
      </c>
      <c r="G110" t="str">
        <f>+VLOOKUP(F110,[1]Explore!$B:$I,8,0)</f>
        <v>Alternative - Commodity</v>
      </c>
      <c r="H110" t="s">
        <v>269</v>
      </c>
      <c r="I110" t="str">
        <f>+VLOOKUP(H110,[1]Explore!$A:$I,9,0)</f>
        <v>Alternative - Commodity</v>
      </c>
      <c r="J110" t="str">
        <f t="shared" si="2"/>
        <v>OK</v>
      </c>
      <c r="K110" t="str">
        <f t="shared" si="3"/>
        <v>Alternative - Commodity</v>
      </c>
      <c r="L110" t="s">
        <v>70</v>
      </c>
      <c r="M110" t="str">
        <f>_xlfn.IFNA(VLOOKUP(K110,'Mapping DEF'!A:C,2,0),"")</f>
        <v>Alternative</v>
      </c>
      <c r="N110" t="str">
        <f>+_xlfn.IFNA(VLOOKUP(M110,'Mapping DEF'!B:C,2,FALSE),"")</f>
        <v>Other</v>
      </c>
      <c r="O110" t="s">
        <v>79</v>
      </c>
    </row>
    <row r="111" spans="1:15" x14ac:dyDescent="0.25">
      <c r="A111" t="s">
        <v>310</v>
      </c>
      <c r="B111" t="s">
        <v>311</v>
      </c>
      <c r="C111">
        <v>2484</v>
      </c>
      <c r="D111" t="s">
        <v>312</v>
      </c>
      <c r="E111" t="s">
        <v>314</v>
      </c>
      <c r="F111" t="s">
        <v>315</v>
      </c>
      <c r="G111" t="str">
        <f>+VLOOKUP(F111,[1]Explore!$B:$I,8,0)</f>
        <v>Govt EUR (Ger)</v>
      </c>
      <c r="H111" t="s">
        <v>316</v>
      </c>
      <c r="I111" t="str">
        <f>+VLOOKUP(H111,[1]Explore!$A:$I,9,0)</f>
        <v>Govt EUR (Ger)</v>
      </c>
      <c r="J111" t="str">
        <f t="shared" si="2"/>
        <v>OK</v>
      </c>
      <c r="K111" t="str">
        <f t="shared" si="3"/>
        <v>Govt EUR (Ger)</v>
      </c>
      <c r="L111" t="s">
        <v>8</v>
      </c>
      <c r="M111" t="str">
        <f>_xlfn.IFNA(VLOOKUP(K111,'Mapping DEF'!A:C,2,0),"")</f>
        <v>Curve (Local)</v>
      </c>
      <c r="N111" t="str">
        <f>+_xlfn.IFNA(VLOOKUP(M111,'Mapping DEF'!B:C,2,FALSE),"")</f>
        <v>Term Structure</v>
      </c>
      <c r="O111" t="s">
        <v>2724</v>
      </c>
    </row>
    <row r="112" spans="1:15" x14ac:dyDescent="0.25">
      <c r="A112" t="s">
        <v>310</v>
      </c>
      <c r="B112" t="s">
        <v>311</v>
      </c>
      <c r="C112">
        <v>2484</v>
      </c>
      <c r="D112" t="s">
        <v>312</v>
      </c>
      <c r="E112" t="s">
        <v>317</v>
      </c>
      <c r="F112" t="s">
        <v>206</v>
      </c>
      <c r="G112" t="e">
        <f>+VLOOKUP(F112,[1]Explore!$B:$I,8,0)</f>
        <v>#N/A</v>
      </c>
      <c r="H112" t="s">
        <v>206</v>
      </c>
      <c r="I112" t="e">
        <f>+VLOOKUP(H112,[1]Explore!$A:$I,9,0)</f>
        <v>#N/A</v>
      </c>
      <c r="J112" t="str">
        <f t="shared" si="2"/>
        <v>BOTH #N/A</v>
      </c>
      <c r="K112" t="str">
        <f t="shared" si="3"/>
        <v>Dollar Index</v>
      </c>
      <c r="L112" t="s">
        <v>2930</v>
      </c>
      <c r="M112" t="str">
        <f>_xlfn.IFNA(VLOOKUP(K112,'Mapping DEF'!A:C,2,0),"")</f>
        <v>Index Level</v>
      </c>
      <c r="N112" t="str">
        <f>+_xlfn.IFNA(VLOOKUP(M112,'Mapping DEF'!B:C,2,FALSE),"")</f>
        <v>Other</v>
      </c>
      <c r="O112" t="s">
        <v>2725</v>
      </c>
    </row>
    <row r="113" spans="1:15" x14ac:dyDescent="0.25">
      <c r="A113" t="s">
        <v>310</v>
      </c>
      <c r="B113" t="s">
        <v>311</v>
      </c>
      <c r="C113">
        <v>2484</v>
      </c>
      <c r="D113" t="s">
        <v>312</v>
      </c>
      <c r="E113" t="s">
        <v>318</v>
      </c>
      <c r="F113" t="s">
        <v>2156</v>
      </c>
      <c r="G113" t="str">
        <f>+VLOOKUP(F113,[1]Explore!$B:$I,8,0)</f>
        <v>Equity Implied Volatility</v>
      </c>
      <c r="H113" t="s">
        <v>141</v>
      </c>
      <c r="I113" t="str">
        <f>+VLOOKUP(H113,[1]Explore!$A:$I,9,0)</f>
        <v>Equity Implied Volatility</v>
      </c>
      <c r="J113" t="str">
        <f t="shared" si="2"/>
        <v>OK</v>
      </c>
      <c r="K113" t="str">
        <f t="shared" si="3"/>
        <v>Equity Implied Volatility</v>
      </c>
      <c r="L113" t="s">
        <v>27</v>
      </c>
      <c r="M113" t="str">
        <f>_xlfn.IFNA(VLOOKUP(K113,'Mapping DEF'!A:C,2,0),"")</f>
        <v>Equity Derivatives</v>
      </c>
      <c r="N113" t="str">
        <f>+_xlfn.IFNA(VLOOKUP(M113,'Mapping DEF'!B:C,2,FALSE),"")</f>
        <v>Equity</v>
      </c>
      <c r="O113" t="s">
        <v>2726</v>
      </c>
    </row>
    <row r="114" spans="1:15" x14ac:dyDescent="0.25">
      <c r="A114" t="s">
        <v>310</v>
      </c>
      <c r="B114" t="s">
        <v>311</v>
      </c>
      <c r="C114">
        <v>2484</v>
      </c>
      <c r="D114" t="s">
        <v>312</v>
      </c>
      <c r="E114" t="s">
        <v>319</v>
      </c>
      <c r="F114" t="s">
        <v>320</v>
      </c>
      <c r="G114" t="str">
        <f>+VLOOKUP(F114,[1]Explore!$B:$I,8,0)</f>
        <v>Corporate HY USD - Industry</v>
      </c>
      <c r="H114" t="s">
        <v>321</v>
      </c>
      <c r="I114" t="str">
        <f>+VLOOKUP(H114,[1]Explore!$A:$I,9,0)</f>
        <v>Corporate HY USD - Industry</v>
      </c>
      <c r="J114" t="str">
        <f t="shared" si="2"/>
        <v>OK</v>
      </c>
      <c r="K114" t="str">
        <f t="shared" si="3"/>
        <v>Corporate HY USD - Industry</v>
      </c>
      <c r="L114" t="s">
        <v>188</v>
      </c>
      <c r="M114" t="str">
        <f>_xlfn.IFNA(VLOOKUP(K114,'Mapping DEF'!A:C,2,0),"")</f>
        <v>Spread</v>
      </c>
      <c r="N114" t="str">
        <f>+_xlfn.IFNA(VLOOKUP(M114,'Mapping DEF'!B:C,2,FALSE),"")</f>
        <v>Spread</v>
      </c>
      <c r="O114" t="s">
        <v>2727</v>
      </c>
    </row>
    <row r="115" spans="1:15" x14ac:dyDescent="0.25">
      <c r="A115" t="s">
        <v>310</v>
      </c>
      <c r="B115" t="s">
        <v>311</v>
      </c>
      <c r="C115">
        <v>2484</v>
      </c>
      <c r="D115" t="s">
        <v>312</v>
      </c>
      <c r="E115" t="s">
        <v>322</v>
      </c>
      <c r="F115" t="s">
        <v>315</v>
      </c>
      <c r="G115" t="str">
        <f>+VLOOKUP(F115,[1]Explore!$B:$I,8,0)</f>
        <v>Govt EUR (Ger)</v>
      </c>
      <c r="H115" t="s">
        <v>323</v>
      </c>
      <c r="I115" t="e">
        <f>+VLOOKUP(H115,[1]Explore!$A:$I,9,0)</f>
        <v>#N/A</v>
      </c>
      <c r="J115" t="str">
        <f t="shared" si="2"/>
        <v>OK</v>
      </c>
      <c r="K115" t="str">
        <f t="shared" si="3"/>
        <v>Govt EUR (Ger)</v>
      </c>
      <c r="L115" t="s">
        <v>188</v>
      </c>
      <c r="M115" t="str">
        <f>_xlfn.IFNA(VLOOKUP(K115,'Mapping DEF'!A:C,2,0),"")</f>
        <v>Curve (Local)</v>
      </c>
      <c r="N115" t="str">
        <f>+_xlfn.IFNA(VLOOKUP(M115,'Mapping DEF'!B:C,2,FALSE),"")</f>
        <v>Term Structure</v>
      </c>
      <c r="O115" t="s">
        <v>2728</v>
      </c>
    </row>
    <row r="116" spans="1:15" x14ac:dyDescent="0.25">
      <c r="A116" t="s">
        <v>310</v>
      </c>
      <c r="B116" t="s">
        <v>311</v>
      </c>
      <c r="C116">
        <v>2484</v>
      </c>
      <c r="D116" t="s">
        <v>312</v>
      </c>
      <c r="E116" t="s">
        <v>324</v>
      </c>
      <c r="F116" t="s">
        <v>2157</v>
      </c>
      <c r="G116" t="str">
        <f>+VLOOKUP(F116,[1]Explore!$B:$I,8,0)</f>
        <v>Equity Implied Volatility</v>
      </c>
      <c r="H116" t="s">
        <v>325</v>
      </c>
      <c r="I116" t="e">
        <f>+VLOOKUP(H116,[1]Explore!$A:$I,9,0)</f>
        <v>#N/A</v>
      </c>
      <c r="J116" t="str">
        <f t="shared" si="2"/>
        <v>OK</v>
      </c>
      <c r="K116" t="str">
        <f t="shared" si="3"/>
        <v>Equity Implied Volatility</v>
      </c>
      <c r="L116" t="s">
        <v>27</v>
      </c>
      <c r="M116" t="str">
        <f>_xlfn.IFNA(VLOOKUP(K116,'Mapping DEF'!A:C,2,0),"")</f>
        <v>Equity Derivatives</v>
      </c>
      <c r="N116" t="str">
        <f>+_xlfn.IFNA(VLOOKUP(M116,'Mapping DEF'!B:C,2,FALSE),"")</f>
        <v>Equity</v>
      </c>
      <c r="O116" t="s">
        <v>2729</v>
      </c>
    </row>
    <row r="117" spans="1:15" x14ac:dyDescent="0.25">
      <c r="A117" t="s">
        <v>310</v>
      </c>
      <c r="B117" t="s">
        <v>311</v>
      </c>
      <c r="C117">
        <v>2484</v>
      </c>
      <c r="D117" t="s">
        <v>312</v>
      </c>
      <c r="E117" t="s">
        <v>326</v>
      </c>
      <c r="F117" t="s">
        <v>2158</v>
      </c>
      <c r="G117" t="str">
        <f>+VLOOKUP(F117,[1]Explore!$B:$I,8,0)</f>
        <v>Govt USD</v>
      </c>
      <c r="H117" t="s">
        <v>327</v>
      </c>
      <c r="I117" t="e">
        <f>+VLOOKUP(H117,[1]Explore!$A:$I,9,0)</f>
        <v>#N/A</v>
      </c>
      <c r="J117" t="str">
        <f t="shared" si="2"/>
        <v>OK</v>
      </c>
      <c r="K117" t="str">
        <f t="shared" si="3"/>
        <v>Govt USD</v>
      </c>
      <c r="L117" t="s">
        <v>8</v>
      </c>
      <c r="M117" t="str">
        <f>_xlfn.IFNA(VLOOKUP(K117,'Mapping DEF'!A:C,2,0),"")</f>
        <v>Curve (Local)</v>
      </c>
      <c r="N117" t="str">
        <f>+_xlfn.IFNA(VLOOKUP(M117,'Mapping DEF'!B:C,2,FALSE),"")</f>
        <v>Term Structure</v>
      </c>
      <c r="O117" t="s">
        <v>2730</v>
      </c>
    </row>
    <row r="118" spans="1:15" x14ac:dyDescent="0.25">
      <c r="A118" t="s">
        <v>354</v>
      </c>
      <c r="B118" t="s">
        <v>355</v>
      </c>
      <c r="C118">
        <v>2483</v>
      </c>
      <c r="D118" t="s">
        <v>356</v>
      </c>
      <c r="E118" t="s">
        <v>328</v>
      </c>
      <c r="F118" t="s">
        <v>19</v>
      </c>
      <c r="G118" t="str">
        <f>+VLOOKUP(F118,[1]Explore!$B:$I,8,0)</f>
        <v>Govt USD</v>
      </c>
      <c r="H118" t="s">
        <v>20</v>
      </c>
      <c r="I118" t="str">
        <f>+VLOOKUP(H118,[1]Explore!$A:$I,9,0)</f>
        <v>Govt USD</v>
      </c>
      <c r="J118" t="str">
        <f t="shared" si="2"/>
        <v>OK</v>
      </c>
      <c r="K118" t="str">
        <f t="shared" si="3"/>
        <v>Govt USD</v>
      </c>
      <c r="L118" t="s">
        <v>8</v>
      </c>
      <c r="M118" t="str">
        <f>_xlfn.IFNA(VLOOKUP(K118,'Mapping DEF'!A:C,2,0),"")</f>
        <v>Curve (Local)</v>
      </c>
      <c r="N118" t="str">
        <f>+_xlfn.IFNA(VLOOKUP(M118,'Mapping DEF'!B:C,2,FALSE),"")</f>
        <v>Term Structure</v>
      </c>
      <c r="O118" t="s">
        <v>2731</v>
      </c>
    </row>
    <row r="119" spans="1:15" x14ac:dyDescent="0.25">
      <c r="A119" t="s">
        <v>354</v>
      </c>
      <c r="B119" t="s">
        <v>355</v>
      </c>
      <c r="C119">
        <v>2483</v>
      </c>
      <c r="D119" t="s">
        <v>356</v>
      </c>
      <c r="E119" t="s">
        <v>329</v>
      </c>
      <c r="F119" t="s">
        <v>268</v>
      </c>
      <c r="G119" t="str">
        <f>+VLOOKUP(F119,[1]Explore!$B:$I,8,0)</f>
        <v>Alternative - Commodity</v>
      </c>
      <c r="H119" t="s">
        <v>269</v>
      </c>
      <c r="I119" t="str">
        <f>+VLOOKUP(H119,[1]Explore!$A:$I,9,0)</f>
        <v>Alternative - Commodity</v>
      </c>
      <c r="J119" t="str">
        <f t="shared" si="2"/>
        <v>OK</v>
      </c>
      <c r="K119" t="str">
        <f t="shared" si="3"/>
        <v>Alternative - Commodity</v>
      </c>
      <c r="L119" t="s">
        <v>70</v>
      </c>
      <c r="M119" t="str">
        <f>_xlfn.IFNA(VLOOKUP(K119,'Mapping DEF'!A:C,2,0),"")</f>
        <v>Alternative</v>
      </c>
      <c r="N119" t="str">
        <f>+_xlfn.IFNA(VLOOKUP(M119,'Mapping DEF'!B:C,2,FALSE),"")</f>
        <v>Other</v>
      </c>
      <c r="O119" t="s">
        <v>108</v>
      </c>
    </row>
    <row r="120" spans="1:15" x14ac:dyDescent="0.25">
      <c r="A120" t="s">
        <v>354</v>
      </c>
      <c r="B120" t="s">
        <v>355</v>
      </c>
      <c r="C120">
        <v>2483</v>
      </c>
      <c r="D120" t="s">
        <v>356</v>
      </c>
      <c r="E120" t="s">
        <v>330</v>
      </c>
      <c r="F120" t="s">
        <v>206</v>
      </c>
      <c r="G120" t="e">
        <f>+VLOOKUP(F120,[1]Explore!$B:$I,8,0)</f>
        <v>#N/A</v>
      </c>
      <c r="H120" t="s">
        <v>206</v>
      </c>
      <c r="I120" t="e">
        <f>+VLOOKUP(H120,[1]Explore!$A:$I,9,0)</f>
        <v>#N/A</v>
      </c>
      <c r="J120" t="str">
        <f t="shared" si="2"/>
        <v>BOTH #N/A</v>
      </c>
      <c r="K120" t="str">
        <f t="shared" si="3"/>
        <v>Dollar Index</v>
      </c>
      <c r="L120" t="s">
        <v>2930</v>
      </c>
      <c r="M120" t="str">
        <f>_xlfn.IFNA(VLOOKUP(K120,'Mapping DEF'!A:C,2,0),"")</f>
        <v>Index Level</v>
      </c>
      <c r="N120" t="str">
        <f>+_xlfn.IFNA(VLOOKUP(M120,'Mapping DEF'!B:C,2,FALSE),"")</f>
        <v>Other</v>
      </c>
      <c r="O120" t="s">
        <v>76</v>
      </c>
    </row>
    <row r="121" spans="1:15" x14ac:dyDescent="0.25">
      <c r="A121" t="s">
        <v>354</v>
      </c>
      <c r="B121" t="s">
        <v>355</v>
      </c>
      <c r="C121">
        <v>2483</v>
      </c>
      <c r="D121" t="s">
        <v>356</v>
      </c>
      <c r="E121" t="s">
        <v>331</v>
      </c>
      <c r="F121" t="s">
        <v>2156</v>
      </c>
      <c r="G121" t="str">
        <f>+VLOOKUP(F121,[1]Explore!$B:$I,8,0)</f>
        <v>Equity Implied Volatility</v>
      </c>
      <c r="H121" t="s">
        <v>141</v>
      </c>
      <c r="I121" t="str">
        <f>+VLOOKUP(H121,[1]Explore!$A:$I,9,0)</f>
        <v>Equity Implied Volatility</v>
      </c>
      <c r="J121" t="str">
        <f t="shared" si="2"/>
        <v>OK</v>
      </c>
      <c r="K121" t="str">
        <f t="shared" si="3"/>
        <v>Equity Implied Volatility</v>
      </c>
      <c r="L121" t="s">
        <v>27</v>
      </c>
      <c r="M121" t="str">
        <f>_xlfn.IFNA(VLOOKUP(K121,'Mapping DEF'!A:C,2,0),"")</f>
        <v>Equity Derivatives</v>
      </c>
      <c r="N121" t="str">
        <f>+_xlfn.IFNA(VLOOKUP(M121,'Mapping DEF'!B:C,2,FALSE),"")</f>
        <v>Equity</v>
      </c>
      <c r="O121" t="s">
        <v>2729</v>
      </c>
    </row>
    <row r="122" spans="1:15" x14ac:dyDescent="0.25">
      <c r="A122" t="s">
        <v>354</v>
      </c>
      <c r="B122" t="s">
        <v>355</v>
      </c>
      <c r="C122">
        <v>2483</v>
      </c>
      <c r="D122" t="s">
        <v>356</v>
      </c>
      <c r="E122" t="s">
        <v>332</v>
      </c>
      <c r="F122" t="s">
        <v>320</v>
      </c>
      <c r="G122" t="str">
        <f>+VLOOKUP(F122,[1]Explore!$B:$I,8,0)</f>
        <v>Corporate HY USD - Industry</v>
      </c>
      <c r="H122" t="s">
        <v>321</v>
      </c>
      <c r="I122" t="str">
        <f>+VLOOKUP(H122,[1]Explore!$A:$I,9,0)</f>
        <v>Corporate HY USD - Industry</v>
      </c>
      <c r="J122" t="str">
        <f t="shared" si="2"/>
        <v>OK</v>
      </c>
      <c r="K122" t="str">
        <f t="shared" si="3"/>
        <v>Corporate HY USD - Industry</v>
      </c>
      <c r="L122" t="s">
        <v>188</v>
      </c>
      <c r="M122" t="str">
        <f>_xlfn.IFNA(VLOOKUP(K122,'Mapping DEF'!A:C,2,0),"")</f>
        <v>Spread</v>
      </c>
      <c r="N122" t="str">
        <f>+_xlfn.IFNA(VLOOKUP(M122,'Mapping DEF'!B:C,2,FALSE),"")</f>
        <v>Spread</v>
      </c>
      <c r="O122" t="s">
        <v>2732</v>
      </c>
    </row>
    <row r="123" spans="1:15" x14ac:dyDescent="0.25">
      <c r="A123" t="s">
        <v>354</v>
      </c>
      <c r="B123" t="s">
        <v>355</v>
      </c>
      <c r="C123">
        <v>2483</v>
      </c>
      <c r="D123" t="s">
        <v>356</v>
      </c>
      <c r="E123" t="s">
        <v>333</v>
      </c>
      <c r="F123" t="s">
        <v>2157</v>
      </c>
      <c r="G123" t="str">
        <f>+VLOOKUP(F123,[1]Explore!$B:$I,8,0)</f>
        <v>Equity Implied Volatility</v>
      </c>
      <c r="H123" t="s">
        <v>325</v>
      </c>
      <c r="I123" t="e">
        <f>+VLOOKUP(H123,[1]Explore!$A:$I,9,0)</f>
        <v>#N/A</v>
      </c>
      <c r="J123" t="str">
        <f t="shared" si="2"/>
        <v>OK</v>
      </c>
      <c r="K123" t="str">
        <f t="shared" si="3"/>
        <v>Equity Implied Volatility</v>
      </c>
      <c r="L123" t="s">
        <v>27</v>
      </c>
      <c r="M123" t="str">
        <f>_xlfn.IFNA(VLOOKUP(K123,'Mapping DEF'!A:C,2,0),"")</f>
        <v>Equity Derivatives</v>
      </c>
      <c r="N123" t="str">
        <f>+_xlfn.IFNA(VLOOKUP(M123,'Mapping DEF'!B:C,2,FALSE),"")</f>
        <v>Equity</v>
      </c>
      <c r="O123" t="s">
        <v>2715</v>
      </c>
    </row>
    <row r="124" spans="1:15" x14ac:dyDescent="0.25">
      <c r="A124" t="s">
        <v>393</v>
      </c>
      <c r="B124" t="s">
        <v>394</v>
      </c>
      <c r="C124">
        <v>2446</v>
      </c>
      <c r="D124" t="s">
        <v>395</v>
      </c>
      <c r="E124" t="s">
        <v>334</v>
      </c>
      <c r="F124" t="s">
        <v>19</v>
      </c>
      <c r="G124" t="str">
        <f>+VLOOKUP(F124,[1]Explore!$B:$I,8,0)</f>
        <v>Govt USD</v>
      </c>
      <c r="H124" t="s">
        <v>20</v>
      </c>
      <c r="I124" t="str">
        <f>+VLOOKUP(H124,[1]Explore!$A:$I,9,0)</f>
        <v>Govt USD</v>
      </c>
      <c r="J124" t="str">
        <f t="shared" si="2"/>
        <v>OK</v>
      </c>
      <c r="K124" t="str">
        <f t="shared" si="3"/>
        <v>Govt USD</v>
      </c>
      <c r="L124" t="s">
        <v>8</v>
      </c>
      <c r="M124" t="str">
        <f>_xlfn.IFNA(VLOOKUP(K124,'Mapping DEF'!A:C,2,0),"")</f>
        <v>Curve (Local)</v>
      </c>
      <c r="N124" t="str">
        <f>+_xlfn.IFNA(VLOOKUP(M124,'Mapping DEF'!B:C,2,FALSE),"")</f>
        <v>Term Structure</v>
      </c>
      <c r="O124" t="s">
        <v>2703</v>
      </c>
    </row>
    <row r="125" spans="1:15" x14ac:dyDescent="0.25">
      <c r="A125" t="s">
        <v>393</v>
      </c>
      <c r="B125" t="s">
        <v>394</v>
      </c>
      <c r="C125">
        <v>2446</v>
      </c>
      <c r="D125" t="s">
        <v>395</v>
      </c>
      <c r="E125" t="s">
        <v>335</v>
      </c>
      <c r="F125" t="s">
        <v>265</v>
      </c>
      <c r="G125" t="str">
        <f>+VLOOKUP(F125,[1]Explore!$B:$I,8,0)</f>
        <v>Alternative - Commodity</v>
      </c>
      <c r="H125" t="s">
        <v>266</v>
      </c>
      <c r="I125" t="str">
        <f>+VLOOKUP(H125,[1]Explore!$A:$I,9,0)</f>
        <v>Alternative - Commodity</v>
      </c>
      <c r="J125" t="str">
        <f t="shared" si="2"/>
        <v>OK</v>
      </c>
      <c r="K125" t="str">
        <f t="shared" si="3"/>
        <v>Alternative - Commodity</v>
      </c>
      <c r="L125" t="s">
        <v>70</v>
      </c>
      <c r="M125" t="str">
        <f>_xlfn.IFNA(VLOOKUP(K125,'Mapping DEF'!A:C,2,0),"")</f>
        <v>Alternative</v>
      </c>
      <c r="N125" t="str">
        <f>+_xlfn.IFNA(VLOOKUP(M125,'Mapping DEF'!B:C,2,FALSE),"")</f>
        <v>Other</v>
      </c>
      <c r="O125" t="s">
        <v>2701</v>
      </c>
    </row>
    <row r="126" spans="1:15" x14ac:dyDescent="0.25">
      <c r="A126" t="s">
        <v>393</v>
      </c>
      <c r="B126" t="s">
        <v>394</v>
      </c>
      <c r="C126">
        <v>2446</v>
      </c>
      <c r="D126" t="s">
        <v>395</v>
      </c>
      <c r="E126" t="s">
        <v>336</v>
      </c>
      <c r="F126" t="s">
        <v>73</v>
      </c>
      <c r="G126" t="e">
        <f>+VLOOKUP(F126,[1]Explore!$B:$I,8,0)</f>
        <v>#N/A</v>
      </c>
      <c r="H126" t="s">
        <v>74</v>
      </c>
      <c r="I126" t="str">
        <f>+VLOOKUP(H126,[1]Explore!$A:$I,9,0)</f>
        <v>Emerging Currency</v>
      </c>
      <c r="J126" t="str">
        <f t="shared" si="2"/>
        <v>OK</v>
      </c>
      <c r="K126" t="str">
        <f t="shared" si="3"/>
        <v>Emerging Currency</v>
      </c>
      <c r="L126" t="s">
        <v>75</v>
      </c>
      <c r="M126" t="str">
        <f>_xlfn.IFNA(VLOOKUP(K126,'Mapping DEF'!A:C,2,0),"")</f>
        <v>FX</v>
      </c>
      <c r="N126" t="str">
        <f>+_xlfn.IFNA(VLOOKUP(M126,'Mapping DEF'!B:C,2,FALSE),"")</f>
        <v>FX</v>
      </c>
      <c r="O126" t="s">
        <v>2712</v>
      </c>
    </row>
    <row r="127" spans="1:15" x14ac:dyDescent="0.25">
      <c r="A127" t="s">
        <v>393</v>
      </c>
      <c r="B127" t="s">
        <v>394</v>
      </c>
      <c r="C127">
        <v>2446</v>
      </c>
      <c r="D127" t="s">
        <v>395</v>
      </c>
      <c r="E127" t="s">
        <v>337</v>
      </c>
      <c r="F127" t="s">
        <v>2944</v>
      </c>
      <c r="G127" t="str">
        <f>+VLOOKUP(F127,[1]Explore!$B:$I,8,0)</f>
        <v>JPY</v>
      </c>
      <c r="H127" t="s">
        <v>138</v>
      </c>
      <c r="I127" t="str">
        <f>+VLOOKUP(H127,[1]Explore!$A:$I,9,0)</f>
        <v>JPY</v>
      </c>
      <c r="J127" t="str">
        <f t="shared" si="2"/>
        <v>OK</v>
      </c>
      <c r="K127" t="str">
        <f t="shared" si="3"/>
        <v>JPY</v>
      </c>
      <c r="L127" t="s">
        <v>75</v>
      </c>
      <c r="M127" t="str">
        <f>_xlfn.IFNA(VLOOKUP(K127,'Mapping DEF'!A:C,2,0),"")</f>
        <v>FX</v>
      </c>
      <c r="N127" t="str">
        <f>+_xlfn.IFNA(VLOOKUP(M127,'Mapping DEF'!B:C,2,FALSE),"")</f>
        <v>FX</v>
      </c>
      <c r="O127" t="s">
        <v>108</v>
      </c>
    </row>
    <row r="128" spans="1:15" x14ac:dyDescent="0.25">
      <c r="A128" t="s">
        <v>393</v>
      </c>
      <c r="B128" t="s">
        <v>394</v>
      </c>
      <c r="C128">
        <v>2446</v>
      </c>
      <c r="D128" t="s">
        <v>395</v>
      </c>
      <c r="E128" t="s">
        <v>338</v>
      </c>
      <c r="F128" t="s">
        <v>191</v>
      </c>
      <c r="G128" t="e">
        <f>+VLOOKUP(F128,[1]Explore!$B:$I,8,0)</f>
        <v>#N/A</v>
      </c>
      <c r="H128" t="s">
        <v>192</v>
      </c>
      <c r="I128" t="e">
        <f>+VLOOKUP(H128,[1]Explore!$A:$I,9,0)</f>
        <v>#N/A</v>
      </c>
      <c r="J128" t="str">
        <f t="shared" si="2"/>
        <v>BOTH #N/A</v>
      </c>
      <c r="K128" t="str">
        <f t="shared" si="3"/>
        <v>Time</v>
      </c>
      <c r="L128" t="s">
        <v>191</v>
      </c>
      <c r="M128" t="str">
        <f>_xlfn.IFNA(VLOOKUP(K128,'Mapping DEF'!A:C,2,0),"")</f>
        <v>Time</v>
      </c>
      <c r="N128" t="str">
        <f>+_xlfn.IFNA(VLOOKUP(M128,'Mapping DEF'!B:C,2,FALSE),"")</f>
        <v>Other</v>
      </c>
      <c r="O128" t="s">
        <v>209</v>
      </c>
    </row>
    <row r="129" spans="1:15" x14ac:dyDescent="0.25">
      <c r="A129" t="s">
        <v>393</v>
      </c>
      <c r="B129" t="s">
        <v>394</v>
      </c>
      <c r="C129">
        <v>2446</v>
      </c>
      <c r="D129" t="s">
        <v>395</v>
      </c>
      <c r="E129" t="s">
        <v>339</v>
      </c>
      <c r="F129" t="s">
        <v>340</v>
      </c>
      <c r="G129" t="str">
        <f>+VLOOKUP(F129,[1]Explore!$B:$I,8,0)</f>
        <v>Materials</v>
      </c>
      <c r="H129" t="s">
        <v>341</v>
      </c>
      <c r="I129" t="e">
        <f>+VLOOKUP(H129,[1]Explore!$A:$I,9,0)</f>
        <v>#N/A</v>
      </c>
      <c r="J129" t="str">
        <f t="shared" si="2"/>
        <v>OK</v>
      </c>
      <c r="K129" t="str">
        <f t="shared" si="3"/>
        <v>Materials</v>
      </c>
      <c r="L129" t="s">
        <v>93</v>
      </c>
      <c r="M129" t="str">
        <f>_xlfn.IFNA(VLOOKUP(K129,'Mapping DEF'!A:C,2,0),"")</f>
        <v>Industry Allocation</v>
      </c>
      <c r="N129" t="str">
        <f>+_xlfn.IFNA(VLOOKUP(M129,'Mapping DEF'!B:C,2,FALSE),"")</f>
        <v>Equity</v>
      </c>
      <c r="O129" t="s">
        <v>79</v>
      </c>
    </row>
    <row r="130" spans="1:15" x14ac:dyDescent="0.25">
      <c r="A130" t="s">
        <v>393</v>
      </c>
      <c r="B130" t="s">
        <v>394</v>
      </c>
      <c r="C130">
        <v>2446</v>
      </c>
      <c r="D130" t="s">
        <v>395</v>
      </c>
      <c r="E130" t="s">
        <v>342</v>
      </c>
      <c r="F130" t="s">
        <v>343</v>
      </c>
      <c r="G130" t="str">
        <f>+VLOOKUP(F130,[1]Explore!$B:$I,8,0)</f>
        <v>Consumer Discretionary</v>
      </c>
      <c r="H130" t="s">
        <v>344</v>
      </c>
      <c r="I130" t="e">
        <f>+VLOOKUP(H130,[1]Explore!$A:$I,9,0)</f>
        <v>#N/A</v>
      </c>
      <c r="J130" t="str">
        <f t="shared" si="2"/>
        <v>OK</v>
      </c>
      <c r="K130" t="str">
        <f t="shared" si="3"/>
        <v>Consumer Discretionary</v>
      </c>
      <c r="L130" t="s">
        <v>93</v>
      </c>
      <c r="M130" t="str">
        <f>_xlfn.IFNA(VLOOKUP(K130,'Mapping DEF'!A:C,2,0),"")</f>
        <v>Industry Allocation</v>
      </c>
      <c r="N130" t="str">
        <f>+_xlfn.IFNA(VLOOKUP(M130,'Mapping DEF'!B:C,2,FALSE),"")</f>
        <v>Equity</v>
      </c>
      <c r="O130" t="s">
        <v>2700</v>
      </c>
    </row>
    <row r="131" spans="1:15" x14ac:dyDescent="0.25">
      <c r="A131" t="s">
        <v>393</v>
      </c>
      <c r="B131" t="s">
        <v>394</v>
      </c>
      <c r="C131">
        <v>2446</v>
      </c>
      <c r="D131" t="s">
        <v>395</v>
      </c>
      <c r="E131" t="s">
        <v>345</v>
      </c>
      <c r="F131" t="s">
        <v>346</v>
      </c>
      <c r="G131" t="str">
        <f>+VLOOKUP(F131,[1]Explore!$B:$I,8,0)</f>
        <v>Spread Emerging Markets - Country</v>
      </c>
      <c r="H131" t="s">
        <v>347</v>
      </c>
      <c r="I131" t="str">
        <f>+VLOOKUP(H131,[1]Explore!$A:$I,9,0)</f>
        <v>Spread Emerging Markets - Country</v>
      </c>
      <c r="J131" t="str">
        <f t="shared" ref="J131:J194" si="4">IF(AND(ISNA(G131),ISNA(I131)),"BOTH #N/A","OK")</f>
        <v>OK</v>
      </c>
      <c r="K131" t="str">
        <f t="shared" ref="K131:K194" si="5">IFERROR(I131, IFERROR(G131, L131))</f>
        <v>Spread Emerging Markets - Country</v>
      </c>
      <c r="L131" t="s">
        <v>188</v>
      </c>
      <c r="M131" t="str">
        <f>_xlfn.IFNA(VLOOKUP(K131,'Mapping DEF'!A:C,2,0),"")</f>
        <v>Spread</v>
      </c>
      <c r="N131" t="str">
        <f>+_xlfn.IFNA(VLOOKUP(M131,'Mapping DEF'!B:C,2,FALSE),"")</f>
        <v>Spread</v>
      </c>
      <c r="O131" t="s">
        <v>119</v>
      </c>
    </row>
    <row r="132" spans="1:15" x14ac:dyDescent="0.25">
      <c r="A132" t="s">
        <v>393</v>
      </c>
      <c r="B132" t="s">
        <v>394</v>
      </c>
      <c r="C132">
        <v>2446</v>
      </c>
      <c r="D132" t="s">
        <v>395</v>
      </c>
      <c r="E132" t="s">
        <v>348</v>
      </c>
      <c r="F132" t="s">
        <v>349</v>
      </c>
      <c r="G132" t="str">
        <f>+VLOOKUP(F132,[1]Explore!$B:$I,8,0)</f>
        <v>Corporate HY USD - Industry</v>
      </c>
      <c r="H132" t="s">
        <v>350</v>
      </c>
      <c r="I132" t="str">
        <f>+VLOOKUP(H132,[1]Explore!$A:$I,9,0)</f>
        <v>Corporate HY USD - Industry</v>
      </c>
      <c r="J132" t="str">
        <f t="shared" si="4"/>
        <v>OK</v>
      </c>
      <c r="K132" t="str">
        <f t="shared" si="5"/>
        <v>Corporate HY USD - Industry</v>
      </c>
      <c r="L132" t="s">
        <v>188</v>
      </c>
      <c r="M132" t="str">
        <f>_xlfn.IFNA(VLOOKUP(K132,'Mapping DEF'!A:C,2,0),"")</f>
        <v>Spread</v>
      </c>
      <c r="N132" t="str">
        <f>+_xlfn.IFNA(VLOOKUP(M132,'Mapping DEF'!B:C,2,FALSE),"")</f>
        <v>Spread</v>
      </c>
      <c r="O132" t="s">
        <v>2733</v>
      </c>
    </row>
    <row r="133" spans="1:15" x14ac:dyDescent="0.25">
      <c r="A133" t="s">
        <v>393</v>
      </c>
      <c r="B133" t="s">
        <v>394</v>
      </c>
      <c r="C133">
        <v>2446</v>
      </c>
      <c r="D133" t="s">
        <v>395</v>
      </c>
      <c r="E133" t="s">
        <v>351</v>
      </c>
      <c r="F133" t="s">
        <v>352</v>
      </c>
      <c r="G133" t="e">
        <f>+VLOOKUP(F133,[1]Explore!$B:$I,8,0)</f>
        <v>#N/A</v>
      </c>
      <c r="H133" t="s">
        <v>353</v>
      </c>
      <c r="I133" t="str">
        <f>+VLOOKUP(H133,[1]Explore!$A:$I,9,0)</f>
        <v>Other - Index</v>
      </c>
      <c r="J133" t="str">
        <f t="shared" si="4"/>
        <v>OK</v>
      </c>
      <c r="K133" t="str">
        <f t="shared" si="5"/>
        <v>Other - Index</v>
      </c>
      <c r="L133" t="s">
        <v>27</v>
      </c>
      <c r="M133" t="str">
        <f>_xlfn.IFNA(VLOOKUP(K133,'Mapping DEF'!A:C,2,0),"")</f>
        <v>Other</v>
      </c>
      <c r="N133" t="str">
        <f>+_xlfn.IFNA(VLOOKUP(M133,'Mapping DEF'!B:C,2,FALSE),"")</f>
        <v>Other</v>
      </c>
      <c r="O133" t="s">
        <v>2726</v>
      </c>
    </row>
    <row r="134" spans="1:15" x14ac:dyDescent="0.25">
      <c r="A134" t="s">
        <v>393</v>
      </c>
      <c r="B134" t="s">
        <v>394</v>
      </c>
      <c r="C134">
        <v>2446</v>
      </c>
      <c r="D134" t="s">
        <v>395</v>
      </c>
      <c r="E134" t="s">
        <v>357</v>
      </c>
      <c r="F134" t="s">
        <v>183</v>
      </c>
      <c r="G134" t="str">
        <f>+VLOOKUP(F134,[1]Explore!$B:$I,8,0)</f>
        <v>Equity Implied Volatility</v>
      </c>
      <c r="H134" t="s">
        <v>358</v>
      </c>
      <c r="I134" t="e">
        <f>+VLOOKUP(H134,[1]Explore!$A:$I,9,0)</f>
        <v>#N/A</v>
      </c>
      <c r="J134" t="str">
        <f t="shared" si="4"/>
        <v>OK</v>
      </c>
      <c r="K134" t="str">
        <f t="shared" si="5"/>
        <v>Equity Implied Volatility</v>
      </c>
      <c r="L134" t="s">
        <v>27</v>
      </c>
      <c r="M134" t="str">
        <f>_xlfn.IFNA(VLOOKUP(K134,'Mapping DEF'!A:C,2,0),"")</f>
        <v>Equity Derivatives</v>
      </c>
      <c r="N134" t="str">
        <f>+_xlfn.IFNA(VLOOKUP(M134,'Mapping DEF'!B:C,2,FALSE),"")</f>
        <v>Equity</v>
      </c>
      <c r="O134" t="s">
        <v>79</v>
      </c>
    </row>
    <row r="135" spans="1:15" x14ac:dyDescent="0.25">
      <c r="A135" t="s">
        <v>511</v>
      </c>
      <c r="B135" t="s">
        <v>512</v>
      </c>
      <c r="C135">
        <v>2445</v>
      </c>
      <c r="D135" t="s">
        <v>513</v>
      </c>
      <c r="E135" t="s">
        <v>334</v>
      </c>
      <c r="F135" t="s">
        <v>19</v>
      </c>
      <c r="G135" t="str">
        <f>+VLOOKUP(F135,[1]Explore!$B:$I,8,0)</f>
        <v>Govt USD</v>
      </c>
      <c r="H135" t="s">
        <v>20</v>
      </c>
      <c r="I135" t="str">
        <f>+VLOOKUP(H135,[1]Explore!$A:$I,9,0)</f>
        <v>Govt USD</v>
      </c>
      <c r="J135" t="str">
        <f t="shared" si="4"/>
        <v>OK</v>
      </c>
      <c r="K135" t="str">
        <f t="shared" si="5"/>
        <v>Govt USD</v>
      </c>
      <c r="L135" t="s">
        <v>8</v>
      </c>
      <c r="M135" t="str">
        <f>_xlfn.IFNA(VLOOKUP(K135,'Mapping DEF'!A:C,2,0),"")</f>
        <v>Curve (Local)</v>
      </c>
      <c r="N135" t="str">
        <f>+_xlfn.IFNA(VLOOKUP(M135,'Mapping DEF'!B:C,2,FALSE),"")</f>
        <v>Term Structure</v>
      </c>
      <c r="O135" t="s">
        <v>2703</v>
      </c>
    </row>
    <row r="136" spans="1:15" x14ac:dyDescent="0.25">
      <c r="A136" t="s">
        <v>511</v>
      </c>
      <c r="B136" t="s">
        <v>512</v>
      </c>
      <c r="C136">
        <v>2445</v>
      </c>
      <c r="D136" t="s">
        <v>513</v>
      </c>
      <c r="E136" t="s">
        <v>335</v>
      </c>
      <c r="F136" t="s">
        <v>265</v>
      </c>
      <c r="G136" t="str">
        <f>+VLOOKUP(F136,[1]Explore!$B:$I,8,0)</f>
        <v>Alternative - Commodity</v>
      </c>
      <c r="H136" t="s">
        <v>266</v>
      </c>
      <c r="I136" t="str">
        <f>+VLOOKUP(H136,[1]Explore!$A:$I,9,0)</f>
        <v>Alternative - Commodity</v>
      </c>
      <c r="J136" t="str">
        <f t="shared" si="4"/>
        <v>OK</v>
      </c>
      <c r="K136" t="str">
        <f t="shared" si="5"/>
        <v>Alternative - Commodity</v>
      </c>
      <c r="L136" t="s">
        <v>70</v>
      </c>
      <c r="M136" t="str">
        <f>_xlfn.IFNA(VLOOKUP(K136,'Mapping DEF'!A:C,2,0),"")</f>
        <v>Alternative</v>
      </c>
      <c r="N136" t="str">
        <f>+_xlfn.IFNA(VLOOKUP(M136,'Mapping DEF'!B:C,2,FALSE),"")</f>
        <v>Other</v>
      </c>
      <c r="O136" t="s">
        <v>2701</v>
      </c>
    </row>
    <row r="137" spans="1:15" x14ac:dyDescent="0.25">
      <c r="A137" t="s">
        <v>511</v>
      </c>
      <c r="B137" t="s">
        <v>512</v>
      </c>
      <c r="C137">
        <v>2445</v>
      </c>
      <c r="D137" t="s">
        <v>513</v>
      </c>
      <c r="E137" t="s">
        <v>359</v>
      </c>
      <c r="F137" t="s">
        <v>360</v>
      </c>
      <c r="G137" t="str">
        <f>+VLOOKUP(F137,[1]Explore!$B:$I,8,0)</f>
        <v>Spread Govt ITA</v>
      </c>
      <c r="H137" t="s">
        <v>361</v>
      </c>
      <c r="I137" t="str">
        <f>+VLOOKUP(H137,[1]Explore!$A:$I,9,0)</f>
        <v>Spread Govt ITA</v>
      </c>
      <c r="J137" t="str">
        <f t="shared" si="4"/>
        <v>OK</v>
      </c>
      <c r="K137" t="str">
        <f t="shared" si="5"/>
        <v>Spread Govt ITA</v>
      </c>
      <c r="L137" t="s">
        <v>188</v>
      </c>
      <c r="M137" t="str">
        <f>_xlfn.IFNA(VLOOKUP(K137,'Mapping DEF'!A:C,2,0),"")</f>
        <v>Spread Govt</v>
      </c>
      <c r="N137" t="str">
        <f>+_xlfn.IFNA(VLOOKUP(M137,'Mapping DEF'!B:C,2,FALSE),"")</f>
        <v>Term Structure</v>
      </c>
      <c r="O137" t="s">
        <v>2734</v>
      </c>
    </row>
    <row r="138" spans="1:15" x14ac:dyDescent="0.25">
      <c r="A138" t="s">
        <v>511</v>
      </c>
      <c r="B138" t="s">
        <v>512</v>
      </c>
      <c r="C138">
        <v>2445</v>
      </c>
      <c r="D138" t="s">
        <v>513</v>
      </c>
      <c r="E138" t="s">
        <v>362</v>
      </c>
      <c r="F138" t="s">
        <v>363</v>
      </c>
      <c r="G138" t="str">
        <f>+VLOOKUP(F138,[1]Explore!$B:$I,8,0)</f>
        <v>Govt Emerging Markets</v>
      </c>
      <c r="H138" t="s">
        <v>364</v>
      </c>
      <c r="I138" t="str">
        <f>+VLOOKUP(H138,[1]Explore!$A:$I,9,0)</f>
        <v>Govt Emerging Markets</v>
      </c>
      <c r="J138" t="str">
        <f t="shared" si="4"/>
        <v>OK</v>
      </c>
      <c r="K138" t="str">
        <f t="shared" si="5"/>
        <v>Govt Emerging Markets</v>
      </c>
      <c r="L138" t="s">
        <v>8</v>
      </c>
      <c r="M138" t="str">
        <f>_xlfn.IFNA(VLOOKUP(K138,'Mapping DEF'!A:C,2,0),"")</f>
        <v>Curve (Local)</v>
      </c>
      <c r="N138" t="str">
        <f>+_xlfn.IFNA(VLOOKUP(M138,'Mapping DEF'!B:C,2,FALSE),"")</f>
        <v>Term Structure</v>
      </c>
      <c r="O138" t="s">
        <v>2734</v>
      </c>
    </row>
    <row r="139" spans="1:15" x14ac:dyDescent="0.25">
      <c r="A139" t="s">
        <v>511</v>
      </c>
      <c r="B139" t="s">
        <v>512</v>
      </c>
      <c r="C139">
        <v>2445</v>
      </c>
      <c r="D139" t="s">
        <v>513</v>
      </c>
      <c r="E139" t="s">
        <v>365</v>
      </c>
      <c r="F139" t="s">
        <v>366</v>
      </c>
      <c r="G139" t="e">
        <f>+VLOOKUP(F139,[1]Explore!$B:$I,8,0)</f>
        <v>#N/A</v>
      </c>
      <c r="H139" t="s">
        <v>367</v>
      </c>
      <c r="I139" t="str">
        <f>+VLOOKUP(H139,[1]Explore!$A:$I,9,0)</f>
        <v>Emerging Currency</v>
      </c>
      <c r="J139" t="str">
        <f t="shared" si="4"/>
        <v>OK</v>
      </c>
      <c r="K139" t="str">
        <f t="shared" si="5"/>
        <v>Emerging Currency</v>
      </c>
      <c r="L139" t="s">
        <v>75</v>
      </c>
      <c r="M139" t="str">
        <f>_xlfn.IFNA(VLOOKUP(K139,'Mapping DEF'!A:C,2,0),"")</f>
        <v>FX</v>
      </c>
      <c r="N139" t="str">
        <f>+_xlfn.IFNA(VLOOKUP(M139,'Mapping DEF'!B:C,2,FALSE),"")</f>
        <v>FX</v>
      </c>
      <c r="O139" t="s">
        <v>2715</v>
      </c>
    </row>
    <row r="140" spans="1:15" x14ac:dyDescent="0.25">
      <c r="A140" t="s">
        <v>511</v>
      </c>
      <c r="B140" t="s">
        <v>512</v>
      </c>
      <c r="C140">
        <v>2445</v>
      </c>
      <c r="D140" t="s">
        <v>513</v>
      </c>
      <c r="E140" t="s">
        <v>368</v>
      </c>
      <c r="F140" t="s">
        <v>369</v>
      </c>
      <c r="G140" t="e">
        <f>+VLOOKUP(F140,[1]Explore!$B:$I,8,0)</f>
        <v>#N/A</v>
      </c>
      <c r="H140" t="s">
        <v>370</v>
      </c>
      <c r="I140" t="str">
        <f>+VLOOKUP(H140,[1]Explore!$A:$I,9,0)</f>
        <v>Emerging Currency</v>
      </c>
      <c r="J140" t="str">
        <f t="shared" si="4"/>
        <v>OK</v>
      </c>
      <c r="K140" t="str">
        <f t="shared" si="5"/>
        <v>Emerging Currency</v>
      </c>
      <c r="L140" t="s">
        <v>75</v>
      </c>
      <c r="M140" t="str">
        <f>_xlfn.IFNA(VLOOKUP(K140,'Mapping DEF'!A:C,2,0),"")</f>
        <v>FX</v>
      </c>
      <c r="N140" t="str">
        <f>+_xlfn.IFNA(VLOOKUP(M140,'Mapping DEF'!B:C,2,FALSE),"")</f>
        <v>FX</v>
      </c>
      <c r="O140" t="s">
        <v>2700</v>
      </c>
    </row>
    <row r="141" spans="1:15" x14ac:dyDescent="0.25">
      <c r="A141" t="s">
        <v>511</v>
      </c>
      <c r="B141" t="s">
        <v>512</v>
      </c>
      <c r="C141">
        <v>2445</v>
      </c>
      <c r="D141" t="s">
        <v>513</v>
      </c>
      <c r="E141" t="s">
        <v>371</v>
      </c>
      <c r="F141" t="s">
        <v>206</v>
      </c>
      <c r="G141" t="e">
        <f>+VLOOKUP(F141,[1]Explore!$B:$I,8,0)</f>
        <v>#N/A</v>
      </c>
      <c r="H141" t="s">
        <v>206</v>
      </c>
      <c r="I141" t="e">
        <f>+VLOOKUP(H141,[1]Explore!$A:$I,9,0)</f>
        <v>#N/A</v>
      </c>
      <c r="J141" t="str">
        <f t="shared" si="4"/>
        <v>BOTH #N/A</v>
      </c>
      <c r="K141" t="str">
        <f t="shared" si="5"/>
        <v>Dollar Index</v>
      </c>
      <c r="L141" t="s">
        <v>2930</v>
      </c>
      <c r="M141" t="str">
        <f>_xlfn.IFNA(VLOOKUP(K141,'Mapping DEF'!A:C,2,0),"")</f>
        <v>Index Level</v>
      </c>
      <c r="N141" t="str">
        <f>+_xlfn.IFNA(VLOOKUP(M141,'Mapping DEF'!B:C,2,FALSE),"")</f>
        <v>Other</v>
      </c>
      <c r="O141" t="s">
        <v>274</v>
      </c>
    </row>
    <row r="142" spans="1:15" x14ac:dyDescent="0.25">
      <c r="A142" t="s">
        <v>511</v>
      </c>
      <c r="B142" t="s">
        <v>512</v>
      </c>
      <c r="C142">
        <v>2445</v>
      </c>
      <c r="D142" t="s">
        <v>513</v>
      </c>
      <c r="E142" t="s">
        <v>372</v>
      </c>
      <c r="F142" t="s">
        <v>2618</v>
      </c>
      <c r="G142" t="str">
        <f>+VLOOKUP(F142,[1]Explore!$B:$I,8,0)</f>
        <v>Equity Implied Volatility</v>
      </c>
      <c r="H142" t="s">
        <v>144</v>
      </c>
      <c r="I142" t="str">
        <f>+VLOOKUP(H142,[1]Explore!$A:$I,9,0)</f>
        <v>Equity Implied Volatility</v>
      </c>
      <c r="J142" t="str">
        <f t="shared" si="4"/>
        <v>OK</v>
      </c>
      <c r="K142" t="str">
        <f t="shared" si="5"/>
        <v>Equity Implied Volatility</v>
      </c>
      <c r="L142" t="s">
        <v>27</v>
      </c>
      <c r="M142" t="str">
        <f>_xlfn.IFNA(VLOOKUP(K142,'Mapping DEF'!A:C,2,0),"")</f>
        <v>Equity Derivatives</v>
      </c>
      <c r="N142" t="str">
        <f>+_xlfn.IFNA(VLOOKUP(M142,'Mapping DEF'!B:C,2,FALSE),"")</f>
        <v>Equity</v>
      </c>
      <c r="O142" t="s">
        <v>2700</v>
      </c>
    </row>
    <row r="143" spans="1:15" x14ac:dyDescent="0.25">
      <c r="A143" t="s">
        <v>511</v>
      </c>
      <c r="B143" t="s">
        <v>512</v>
      </c>
      <c r="C143">
        <v>2445</v>
      </c>
      <c r="D143" t="s">
        <v>513</v>
      </c>
      <c r="E143" t="s">
        <v>338</v>
      </c>
      <c r="F143" t="s">
        <v>191</v>
      </c>
      <c r="G143" t="e">
        <f>+VLOOKUP(F143,[1]Explore!$B:$I,8,0)</f>
        <v>#N/A</v>
      </c>
      <c r="H143" t="s">
        <v>192</v>
      </c>
      <c r="I143" t="e">
        <f>+VLOOKUP(H143,[1]Explore!$A:$I,9,0)</f>
        <v>#N/A</v>
      </c>
      <c r="J143" t="str">
        <f t="shared" si="4"/>
        <v>BOTH #N/A</v>
      </c>
      <c r="K143" t="str">
        <f t="shared" si="5"/>
        <v>Time</v>
      </c>
      <c r="L143" t="s">
        <v>191</v>
      </c>
      <c r="M143" t="str">
        <f>_xlfn.IFNA(VLOOKUP(K143,'Mapping DEF'!A:C,2,0),"")</f>
        <v>Time</v>
      </c>
      <c r="N143" t="str">
        <f>+_xlfn.IFNA(VLOOKUP(M143,'Mapping DEF'!B:C,2,FALSE),"")</f>
        <v>Other</v>
      </c>
      <c r="O143" t="s">
        <v>209</v>
      </c>
    </row>
    <row r="144" spans="1:15" x14ac:dyDescent="0.25">
      <c r="A144" t="s">
        <v>511</v>
      </c>
      <c r="B144" t="s">
        <v>512</v>
      </c>
      <c r="C144">
        <v>2445</v>
      </c>
      <c r="D144" t="s">
        <v>513</v>
      </c>
      <c r="E144" t="s">
        <v>373</v>
      </c>
      <c r="F144" t="s">
        <v>2174</v>
      </c>
      <c r="G144" t="e">
        <f>+VLOOKUP(F144,[1]Explore!$B:$I,8,0)</f>
        <v>#N/A</v>
      </c>
      <c r="H144" t="s">
        <v>374</v>
      </c>
      <c r="I144" t="e">
        <f>+VLOOKUP(H144,[1]Explore!$A:$I,9,0)</f>
        <v>#N/A</v>
      </c>
      <c r="J144" t="str">
        <f t="shared" si="4"/>
        <v>BOTH #N/A</v>
      </c>
      <c r="K144" t="str">
        <f t="shared" si="5"/>
        <v>Consumer Discretionary</v>
      </c>
      <c r="L144" t="s">
        <v>2659</v>
      </c>
      <c r="M144" t="str">
        <f>_xlfn.IFNA(VLOOKUP(K144,'Mapping DEF'!A:C,2,0),"")</f>
        <v>Industry Allocation</v>
      </c>
      <c r="N144" t="str">
        <f>+_xlfn.IFNA(VLOOKUP(M144,'Mapping DEF'!B:C,2,FALSE),"")</f>
        <v>Equity</v>
      </c>
      <c r="O144" t="s">
        <v>2699</v>
      </c>
    </row>
    <row r="145" spans="1:15" x14ac:dyDescent="0.25">
      <c r="A145" t="s">
        <v>511</v>
      </c>
      <c r="B145" t="s">
        <v>512</v>
      </c>
      <c r="C145">
        <v>2445</v>
      </c>
      <c r="D145" t="s">
        <v>513</v>
      </c>
      <c r="E145" t="s">
        <v>375</v>
      </c>
      <c r="F145" t="s">
        <v>376</v>
      </c>
      <c r="G145" t="str">
        <f>+VLOOKUP(F145,[1]Explore!$B:$I,8,0)</f>
        <v>Emerging Markets</v>
      </c>
      <c r="H145" t="s">
        <v>377</v>
      </c>
      <c r="I145" t="str">
        <f>+VLOOKUP(H145,[1]Explore!$A:$I,9,0)</f>
        <v>Emerging Markets</v>
      </c>
      <c r="J145" t="str">
        <f t="shared" si="4"/>
        <v>OK</v>
      </c>
      <c r="K145" t="str">
        <f t="shared" si="5"/>
        <v>Emerging Markets</v>
      </c>
      <c r="L145" t="s">
        <v>2149</v>
      </c>
      <c r="M145" t="str">
        <f>_xlfn.IFNA(VLOOKUP(K145,'Mapping DEF'!A:C,2,0),"")</f>
        <v>Country Allocation</v>
      </c>
      <c r="N145" t="str">
        <f>+_xlfn.IFNA(VLOOKUP(M145,'Mapping DEF'!B:C,2,FALSE),"")</f>
        <v>Equity</v>
      </c>
      <c r="O145" t="s">
        <v>2700</v>
      </c>
    </row>
    <row r="146" spans="1:15" x14ac:dyDescent="0.25">
      <c r="A146" t="s">
        <v>511</v>
      </c>
      <c r="B146" t="s">
        <v>512</v>
      </c>
      <c r="C146">
        <v>2445</v>
      </c>
      <c r="D146" t="s">
        <v>513</v>
      </c>
      <c r="E146" t="s">
        <v>378</v>
      </c>
      <c r="F146" t="s">
        <v>346</v>
      </c>
      <c r="G146" t="str">
        <f>+VLOOKUP(F146,[1]Explore!$B:$I,8,0)</f>
        <v>Spread Emerging Markets - Country</v>
      </c>
      <c r="H146" t="s">
        <v>347</v>
      </c>
      <c r="I146" t="str">
        <f>+VLOOKUP(H146,[1]Explore!$A:$I,9,0)</f>
        <v>Spread Emerging Markets - Country</v>
      </c>
      <c r="J146" t="str">
        <f t="shared" si="4"/>
        <v>OK</v>
      </c>
      <c r="K146" t="str">
        <f t="shared" si="5"/>
        <v>Spread Emerging Markets - Country</v>
      </c>
      <c r="L146" t="s">
        <v>188</v>
      </c>
      <c r="M146" t="str">
        <f>_xlfn.IFNA(VLOOKUP(K146,'Mapping DEF'!A:C,2,0),"")</f>
        <v>Spread</v>
      </c>
      <c r="N146" t="str">
        <f>+_xlfn.IFNA(VLOOKUP(M146,'Mapping DEF'!B:C,2,FALSE),"")</f>
        <v>Spread</v>
      </c>
      <c r="O146" t="s">
        <v>101</v>
      </c>
    </row>
    <row r="147" spans="1:15" x14ac:dyDescent="0.25">
      <c r="A147" t="s">
        <v>511</v>
      </c>
      <c r="B147" t="s">
        <v>512</v>
      </c>
      <c r="C147">
        <v>2445</v>
      </c>
      <c r="D147" t="s">
        <v>513</v>
      </c>
      <c r="E147" t="s">
        <v>379</v>
      </c>
      <c r="F147" t="s">
        <v>380</v>
      </c>
      <c r="G147" t="s">
        <v>188</v>
      </c>
      <c r="H147" t="s">
        <v>381</v>
      </c>
      <c r="I147" t="str">
        <f>+VLOOKUP(H147,[1]Explore!$A:$I,9,0)</f>
        <v>Other - Spread Yield</v>
      </c>
      <c r="J147" t="str">
        <f t="shared" si="4"/>
        <v>OK</v>
      </c>
      <c r="K147" t="str">
        <f t="shared" si="5"/>
        <v>Other - Spread Yield</v>
      </c>
      <c r="L147" t="s">
        <v>188</v>
      </c>
      <c r="M147" t="str">
        <f>_xlfn.IFNA(VLOOKUP(K147,'Mapping DEF'!A:C,2,0),"")</f>
        <v/>
      </c>
      <c r="N147" t="str">
        <f>+_xlfn.IFNA(VLOOKUP(M147,'Mapping DEF'!B:C,2,FALSE),"")</f>
        <v/>
      </c>
      <c r="O147" t="s">
        <v>2727</v>
      </c>
    </row>
    <row r="148" spans="1:15" x14ac:dyDescent="0.25">
      <c r="A148" t="s">
        <v>511</v>
      </c>
      <c r="B148" t="s">
        <v>512</v>
      </c>
      <c r="C148">
        <v>2445</v>
      </c>
      <c r="D148" t="s">
        <v>513</v>
      </c>
      <c r="E148" t="s">
        <v>382</v>
      </c>
      <c r="F148" t="s">
        <v>383</v>
      </c>
      <c r="G148" t="str">
        <f>+VLOOKUP(F148,[1]Explore!$B:$I,8,0)</f>
        <v>Govt Emerging Markets</v>
      </c>
      <c r="H148" t="s">
        <v>384</v>
      </c>
      <c r="I148" t="str">
        <f>+VLOOKUP(H148,[1]Explore!$A:$I,9,0)</f>
        <v>Govt Emerging Markets</v>
      </c>
      <c r="J148" t="str">
        <f t="shared" si="4"/>
        <v>OK</v>
      </c>
      <c r="K148" t="str">
        <f t="shared" si="5"/>
        <v>Govt Emerging Markets</v>
      </c>
      <c r="L148" t="s">
        <v>8</v>
      </c>
      <c r="M148" t="str">
        <f>_xlfn.IFNA(VLOOKUP(K148,'Mapping DEF'!A:C,2,0),"")</f>
        <v>Curve (Local)</v>
      </c>
      <c r="N148" t="str">
        <f>+_xlfn.IFNA(VLOOKUP(M148,'Mapping DEF'!B:C,2,FALSE),"")</f>
        <v>Term Structure</v>
      </c>
      <c r="O148" t="s">
        <v>2731</v>
      </c>
    </row>
    <row r="149" spans="1:15" x14ac:dyDescent="0.25">
      <c r="A149" t="s">
        <v>511</v>
      </c>
      <c r="B149" t="s">
        <v>512</v>
      </c>
      <c r="C149">
        <v>2445</v>
      </c>
      <c r="D149" t="s">
        <v>513</v>
      </c>
      <c r="E149" t="s">
        <v>385</v>
      </c>
      <c r="F149" t="s">
        <v>386</v>
      </c>
      <c r="G149" t="str">
        <f>+VLOOKUP(F149,[1]Explore!$B:$I,8,0)</f>
        <v>Govt Emerging Markets</v>
      </c>
      <c r="H149" t="s">
        <v>387</v>
      </c>
      <c r="I149" t="str">
        <f>+VLOOKUP(H149,[1]Explore!$A:$I,9,0)</f>
        <v>Govt Emerging Markets</v>
      </c>
      <c r="J149" t="str">
        <f t="shared" si="4"/>
        <v>OK</v>
      </c>
      <c r="K149" t="str">
        <f t="shared" si="5"/>
        <v>Govt Emerging Markets</v>
      </c>
      <c r="L149" t="s">
        <v>8</v>
      </c>
      <c r="M149" t="str">
        <f>_xlfn.IFNA(VLOOKUP(K149,'Mapping DEF'!A:C,2,0),"")</f>
        <v>Curve (Local)</v>
      </c>
      <c r="N149" t="str">
        <f>+_xlfn.IFNA(VLOOKUP(M149,'Mapping DEF'!B:C,2,FALSE),"")</f>
        <v>Term Structure</v>
      </c>
      <c r="O149" t="s">
        <v>101</v>
      </c>
    </row>
    <row r="150" spans="1:15" x14ac:dyDescent="0.25">
      <c r="A150" t="s">
        <v>511</v>
      </c>
      <c r="B150" t="s">
        <v>512</v>
      </c>
      <c r="C150">
        <v>2445</v>
      </c>
      <c r="D150" t="s">
        <v>513</v>
      </c>
      <c r="E150" t="s">
        <v>388</v>
      </c>
      <c r="F150" t="s">
        <v>389</v>
      </c>
      <c r="G150" t="e">
        <f>+VLOOKUP(F150,[1]Explore!$B:$I,8,0)</f>
        <v>#N/A</v>
      </c>
      <c r="H150" t="s">
        <v>390</v>
      </c>
      <c r="I150" t="str">
        <f>+VLOOKUP(H150,[1]Explore!$A:$I,9,0)</f>
        <v>Emerging Currency</v>
      </c>
      <c r="J150" t="str">
        <f t="shared" si="4"/>
        <v>OK</v>
      </c>
      <c r="K150" t="str">
        <f t="shared" si="5"/>
        <v>Emerging Currency</v>
      </c>
      <c r="L150" t="s">
        <v>75</v>
      </c>
      <c r="M150" t="str">
        <f>_xlfn.IFNA(VLOOKUP(K150,'Mapping DEF'!A:C,2,0),"")</f>
        <v>FX</v>
      </c>
      <c r="N150" t="str">
        <f>+_xlfn.IFNA(VLOOKUP(M150,'Mapping DEF'!B:C,2,FALSE),"")</f>
        <v>FX</v>
      </c>
      <c r="O150" t="s">
        <v>2726</v>
      </c>
    </row>
    <row r="151" spans="1:15" x14ac:dyDescent="0.25">
      <c r="A151" t="s">
        <v>511</v>
      </c>
      <c r="B151" t="s">
        <v>512</v>
      </c>
      <c r="C151">
        <v>2445</v>
      </c>
      <c r="D151" t="s">
        <v>513</v>
      </c>
      <c r="E151" t="s">
        <v>391</v>
      </c>
      <c r="F151" t="s">
        <v>392</v>
      </c>
      <c r="G151" t="str">
        <f>+VLOOKUP(F151,[1]Explore!$B:$I,8,0)</f>
        <v>Equity Implied Volatility</v>
      </c>
      <c r="H151" t="s">
        <v>392</v>
      </c>
      <c r="I151" t="str">
        <f>+VLOOKUP(H151,[1]Explore!$A:$I,9,0)</f>
        <v>Equity Implied Volatility</v>
      </c>
      <c r="J151" t="str">
        <f t="shared" si="4"/>
        <v>OK</v>
      </c>
      <c r="K151" t="str">
        <f t="shared" si="5"/>
        <v>Equity Implied Volatility</v>
      </c>
      <c r="L151" t="s">
        <v>27</v>
      </c>
      <c r="M151" t="str">
        <f>_xlfn.IFNA(VLOOKUP(K151,'Mapping DEF'!A:C,2,0),"")</f>
        <v>Equity Derivatives</v>
      </c>
      <c r="N151" t="str">
        <f>+_xlfn.IFNA(VLOOKUP(M151,'Mapping DEF'!B:C,2,FALSE),"")</f>
        <v>Equity</v>
      </c>
      <c r="O151" t="s">
        <v>82</v>
      </c>
    </row>
    <row r="152" spans="1:15" x14ac:dyDescent="0.25">
      <c r="A152" t="s">
        <v>511</v>
      </c>
      <c r="B152" t="s">
        <v>512</v>
      </c>
      <c r="C152">
        <v>2445</v>
      </c>
      <c r="D152" t="s">
        <v>513</v>
      </c>
      <c r="E152" t="s">
        <v>338</v>
      </c>
      <c r="F152" t="s">
        <v>191</v>
      </c>
      <c r="G152" t="e">
        <f>+VLOOKUP(F152,[1]Explore!$B:$I,8,0)</f>
        <v>#N/A</v>
      </c>
      <c r="H152" t="s">
        <v>192</v>
      </c>
      <c r="I152" t="e">
        <f>+VLOOKUP(H152,[1]Explore!$A:$I,9,0)</f>
        <v>#N/A</v>
      </c>
      <c r="J152" t="str">
        <f t="shared" si="4"/>
        <v>BOTH #N/A</v>
      </c>
      <c r="K152" t="str">
        <f t="shared" si="5"/>
        <v>Time</v>
      </c>
      <c r="L152" t="s">
        <v>191</v>
      </c>
      <c r="M152" t="str">
        <f>_xlfn.IFNA(VLOOKUP(K152,'Mapping DEF'!A:C,2,0),"")</f>
        <v>Time</v>
      </c>
      <c r="N152" t="str">
        <f>+_xlfn.IFNA(VLOOKUP(M152,'Mapping DEF'!B:C,2,FALSE),"")</f>
        <v>Other</v>
      </c>
      <c r="O152" t="s">
        <v>209</v>
      </c>
    </row>
    <row r="153" spans="1:15" x14ac:dyDescent="0.25">
      <c r="A153" t="s">
        <v>511</v>
      </c>
      <c r="B153" t="s">
        <v>512</v>
      </c>
      <c r="C153">
        <v>2445</v>
      </c>
      <c r="D153" t="s">
        <v>513</v>
      </c>
      <c r="E153" t="s">
        <v>396</v>
      </c>
      <c r="F153" t="s">
        <v>2175</v>
      </c>
      <c r="G153" t="str">
        <f>+VLOOKUP(F153,[1]Explore!$B:$I,8,0)</f>
        <v>Consumer Staples</v>
      </c>
      <c r="H153" t="s">
        <v>397</v>
      </c>
      <c r="I153" t="e">
        <f>+VLOOKUP(H153,[1]Explore!$A:$I,9,0)</f>
        <v>#N/A</v>
      </c>
      <c r="J153" t="str">
        <f t="shared" si="4"/>
        <v>OK</v>
      </c>
      <c r="K153" t="str">
        <f t="shared" si="5"/>
        <v>Consumer Staples</v>
      </c>
      <c r="L153" t="s">
        <v>93</v>
      </c>
      <c r="M153" t="str">
        <f>_xlfn.IFNA(VLOOKUP(K153,'Mapping DEF'!A:C,2,0),"")</f>
        <v>Industry Allocation</v>
      </c>
      <c r="N153" t="str">
        <f>+_xlfn.IFNA(VLOOKUP(M153,'Mapping DEF'!B:C,2,FALSE),"")</f>
        <v>Equity</v>
      </c>
      <c r="O153" t="s">
        <v>79</v>
      </c>
    </row>
    <row r="154" spans="1:15" x14ac:dyDescent="0.25">
      <c r="A154" t="s">
        <v>511</v>
      </c>
      <c r="B154" t="s">
        <v>512</v>
      </c>
      <c r="C154">
        <v>2445</v>
      </c>
      <c r="D154" t="s">
        <v>513</v>
      </c>
      <c r="E154" t="s">
        <v>398</v>
      </c>
      <c r="F154" t="s">
        <v>399</v>
      </c>
      <c r="G154" t="e">
        <f>+VLOOKUP(F154,[1]Explore!$B:$I,8,0)</f>
        <v>#N/A</v>
      </c>
      <c r="H154" t="s">
        <v>400</v>
      </c>
      <c r="I154" t="e">
        <f>+VLOOKUP(H154,[1]Explore!$A:$I,9,0)</f>
        <v>#N/A</v>
      </c>
      <c r="J154" t="str">
        <f t="shared" si="4"/>
        <v>BOTH #N/A</v>
      </c>
      <c r="K154" t="str">
        <f t="shared" si="5"/>
        <v>Financials</v>
      </c>
      <c r="L154" t="s">
        <v>325</v>
      </c>
      <c r="M154" t="str">
        <f>_xlfn.IFNA(VLOOKUP(K154,'Mapping DEF'!A:C,2,0),"")</f>
        <v>Industry Allocation</v>
      </c>
      <c r="N154" t="str">
        <f>+_xlfn.IFNA(VLOOKUP(M154,'Mapping DEF'!B:C,2,FALSE),"")</f>
        <v>Equity</v>
      </c>
      <c r="O154" t="s">
        <v>2700</v>
      </c>
    </row>
    <row r="155" spans="1:15" x14ac:dyDescent="0.25">
      <c r="A155" t="s">
        <v>511</v>
      </c>
      <c r="B155" t="s">
        <v>512</v>
      </c>
      <c r="C155">
        <v>2445</v>
      </c>
      <c r="D155" t="s">
        <v>513</v>
      </c>
      <c r="E155" t="s">
        <v>378</v>
      </c>
      <c r="F155" t="s">
        <v>346</v>
      </c>
      <c r="G155" t="str">
        <f>+VLOOKUP(F155,[1]Explore!$B:$I,8,0)</f>
        <v>Spread Emerging Markets - Country</v>
      </c>
      <c r="H155" t="s">
        <v>347</v>
      </c>
      <c r="I155" t="str">
        <f>+VLOOKUP(H155,[1]Explore!$A:$I,9,0)</f>
        <v>Spread Emerging Markets - Country</v>
      </c>
      <c r="J155" t="str">
        <f t="shared" si="4"/>
        <v>OK</v>
      </c>
      <c r="K155" t="str">
        <f t="shared" si="5"/>
        <v>Spread Emerging Markets - Country</v>
      </c>
      <c r="L155" t="s">
        <v>188</v>
      </c>
      <c r="M155" t="str">
        <f>_xlfn.IFNA(VLOOKUP(K155,'Mapping DEF'!A:C,2,0),"")</f>
        <v>Spread</v>
      </c>
      <c r="N155" t="str">
        <f>+_xlfn.IFNA(VLOOKUP(M155,'Mapping DEF'!B:C,2,FALSE),"")</f>
        <v>Spread</v>
      </c>
      <c r="O155" t="s">
        <v>101</v>
      </c>
    </row>
    <row r="156" spans="1:15" x14ac:dyDescent="0.25">
      <c r="A156" t="s">
        <v>511</v>
      </c>
      <c r="B156" t="s">
        <v>512</v>
      </c>
      <c r="C156">
        <v>2445</v>
      </c>
      <c r="D156" t="s">
        <v>513</v>
      </c>
      <c r="E156" t="s">
        <v>401</v>
      </c>
      <c r="F156" t="s">
        <v>402</v>
      </c>
      <c r="G156" t="str">
        <f>+VLOOKUP(F156,[1]Explore!$B:$I,8,0)</f>
        <v>Emerging Markets</v>
      </c>
      <c r="H156" t="s">
        <v>403</v>
      </c>
      <c r="I156" t="str">
        <f>+VLOOKUP(H156,[1]Explore!$A:$I,9,0)</f>
        <v>Spread Emerging Markets - Country</v>
      </c>
      <c r="J156" t="str">
        <f t="shared" si="4"/>
        <v>OK</v>
      </c>
      <c r="K156" t="str">
        <f t="shared" si="5"/>
        <v>Spread Emerging Markets - Country</v>
      </c>
      <c r="L156" t="s">
        <v>188</v>
      </c>
      <c r="M156" t="str">
        <f>_xlfn.IFNA(VLOOKUP(K156,'Mapping DEF'!A:C,2,0),"")</f>
        <v>Spread</v>
      </c>
      <c r="N156" t="str">
        <f>+_xlfn.IFNA(VLOOKUP(M156,'Mapping DEF'!B:C,2,FALSE),"")</f>
        <v>Spread</v>
      </c>
      <c r="O156" t="s">
        <v>2727</v>
      </c>
    </row>
    <row r="157" spans="1:15" x14ac:dyDescent="0.25">
      <c r="A157" t="s">
        <v>511</v>
      </c>
      <c r="B157" t="s">
        <v>512</v>
      </c>
      <c r="C157">
        <v>2445</v>
      </c>
      <c r="D157" t="s">
        <v>513</v>
      </c>
      <c r="E157" t="s">
        <v>404</v>
      </c>
      <c r="F157" t="s">
        <v>405</v>
      </c>
      <c r="G157" t="e">
        <f>+VLOOKUP(F157,[1]Explore!$B:$I,8,0)</f>
        <v>#N/A</v>
      </c>
      <c r="H157" t="s">
        <v>406</v>
      </c>
      <c r="I157" t="str">
        <f>+VLOOKUP(H157,[1]Explore!$A:$I,9,0)</f>
        <v>Other - Index</v>
      </c>
      <c r="J157" t="str">
        <f t="shared" si="4"/>
        <v>OK</v>
      </c>
      <c r="K157" t="str">
        <f t="shared" si="5"/>
        <v>Other - Index</v>
      </c>
      <c r="L157" t="s">
        <v>27</v>
      </c>
      <c r="M157" t="str">
        <f>_xlfn.IFNA(VLOOKUP(K157,'Mapping DEF'!A:C,2,0),"")</f>
        <v>Other</v>
      </c>
      <c r="N157" t="str">
        <f>+_xlfn.IFNA(VLOOKUP(M157,'Mapping DEF'!B:C,2,FALSE),"")</f>
        <v>Other</v>
      </c>
      <c r="O157" t="s">
        <v>2726</v>
      </c>
    </row>
    <row r="158" spans="1:15" x14ac:dyDescent="0.25">
      <c r="A158" t="s">
        <v>511</v>
      </c>
      <c r="B158" t="s">
        <v>512</v>
      </c>
      <c r="C158">
        <v>2445</v>
      </c>
      <c r="D158" t="s">
        <v>513</v>
      </c>
      <c r="E158" t="s">
        <v>407</v>
      </c>
      <c r="F158" t="s">
        <v>408</v>
      </c>
      <c r="G158" t="str">
        <f>+VLOOKUP(F158,[1]Explore!$B:$I,8,0)</f>
        <v>Corporate HY USD - Industry</v>
      </c>
      <c r="H158" t="s">
        <v>409</v>
      </c>
      <c r="I158" t="str">
        <f>+VLOOKUP(H158,[1]Explore!$A:$I,9,0)</f>
        <v>Corporate HY USD - Industry</v>
      </c>
      <c r="J158" t="str">
        <f t="shared" si="4"/>
        <v>OK</v>
      </c>
      <c r="K158" t="str">
        <f t="shared" si="5"/>
        <v>Corporate HY USD - Industry</v>
      </c>
      <c r="L158" t="s">
        <v>188</v>
      </c>
      <c r="M158" t="str">
        <f>_xlfn.IFNA(VLOOKUP(K158,'Mapping DEF'!A:C,2,0),"")</f>
        <v>Spread</v>
      </c>
      <c r="N158" t="str">
        <f>+_xlfn.IFNA(VLOOKUP(M158,'Mapping DEF'!B:C,2,FALSE),"")</f>
        <v>Spread</v>
      </c>
      <c r="O158" t="s">
        <v>2727</v>
      </c>
    </row>
    <row r="159" spans="1:15" x14ac:dyDescent="0.25">
      <c r="A159" t="s">
        <v>551</v>
      </c>
      <c r="B159" t="s">
        <v>552</v>
      </c>
      <c r="C159">
        <v>2318</v>
      </c>
      <c r="D159" t="s">
        <v>513</v>
      </c>
      <c r="E159" t="s">
        <v>247</v>
      </c>
      <c r="G159" t="e">
        <f>+VLOOKUP(F159,[1]Explore!$B:$I,8,0)</f>
        <v>#N/A</v>
      </c>
      <c r="H159" t="s">
        <v>247</v>
      </c>
      <c r="I159" t="e">
        <f>+VLOOKUP(H159,[1]Explore!$A:$I,9,0)</f>
        <v>#N/A</v>
      </c>
      <c r="J159" t="str">
        <f t="shared" si="4"/>
        <v>BOTH #N/A</v>
      </c>
      <c r="K159" t="str">
        <f t="shared" si="5"/>
        <v>-</v>
      </c>
      <c r="L159" t="s">
        <v>247</v>
      </c>
      <c r="M159" t="str">
        <f>_xlfn.IFNA(VLOOKUP(K159,'Mapping DEF'!A:C,2,0),"")</f>
        <v/>
      </c>
      <c r="N159" t="str">
        <f>+_xlfn.IFNA(VLOOKUP(M159,'Mapping DEF'!B:C,2,FALSE),"")</f>
        <v/>
      </c>
    </row>
    <row r="160" spans="1:15" x14ac:dyDescent="0.25">
      <c r="A160" t="s">
        <v>555</v>
      </c>
      <c r="B160" t="s">
        <v>556</v>
      </c>
      <c r="C160">
        <v>2317</v>
      </c>
      <c r="D160" t="s">
        <v>513</v>
      </c>
      <c r="E160" t="s">
        <v>247</v>
      </c>
      <c r="G160" t="e">
        <f>+VLOOKUP(F160,[1]Explore!$B:$I,8,0)</f>
        <v>#N/A</v>
      </c>
      <c r="H160" t="s">
        <v>247</v>
      </c>
      <c r="I160" t="e">
        <f>+VLOOKUP(H160,[1]Explore!$A:$I,9,0)</f>
        <v>#N/A</v>
      </c>
      <c r="J160" t="str">
        <f t="shared" si="4"/>
        <v>BOTH #N/A</v>
      </c>
      <c r="K160" t="str">
        <f t="shared" si="5"/>
        <v>-</v>
      </c>
      <c r="L160" t="s">
        <v>247</v>
      </c>
      <c r="M160" t="str">
        <f>_xlfn.IFNA(VLOOKUP(K160,'Mapping DEF'!A:C,2,0),"")</f>
        <v/>
      </c>
      <c r="N160" t="str">
        <f>+_xlfn.IFNA(VLOOKUP(M160,'Mapping DEF'!B:C,2,FALSE),"")</f>
        <v/>
      </c>
    </row>
    <row r="161" spans="1:15" x14ac:dyDescent="0.25">
      <c r="A161" t="s">
        <v>558</v>
      </c>
      <c r="B161" t="s">
        <v>559</v>
      </c>
      <c r="C161">
        <v>2412</v>
      </c>
      <c r="D161" t="s">
        <v>513</v>
      </c>
      <c r="E161" t="s">
        <v>410</v>
      </c>
      <c r="F161" t="s">
        <v>19</v>
      </c>
      <c r="G161" t="str">
        <f>+VLOOKUP(F161,[1]Explore!$B:$I,8,0)</f>
        <v>Govt USD</v>
      </c>
      <c r="H161" t="s">
        <v>20</v>
      </c>
      <c r="I161" t="str">
        <f>+VLOOKUP(H161,[1]Explore!$A:$I,9,0)</f>
        <v>Govt USD</v>
      </c>
      <c r="J161" t="str">
        <f t="shared" si="4"/>
        <v>OK</v>
      </c>
      <c r="K161" t="str">
        <f t="shared" si="5"/>
        <v>Govt USD</v>
      </c>
      <c r="L161" t="s">
        <v>8</v>
      </c>
      <c r="M161" t="str">
        <f>_xlfn.IFNA(VLOOKUP(K161,'Mapping DEF'!A:C,2,0),"")</f>
        <v>Curve (Local)</v>
      </c>
      <c r="N161" t="str">
        <f>+_xlfn.IFNA(VLOOKUP(M161,'Mapping DEF'!B:C,2,FALSE),"")</f>
        <v>Term Structure</v>
      </c>
      <c r="O161" t="s">
        <v>2735</v>
      </c>
    </row>
    <row r="162" spans="1:15" x14ac:dyDescent="0.25">
      <c r="A162" t="s">
        <v>558</v>
      </c>
      <c r="B162" t="s">
        <v>559</v>
      </c>
      <c r="C162">
        <v>2412</v>
      </c>
      <c r="D162" t="s">
        <v>513</v>
      </c>
      <c r="E162" t="s">
        <v>411</v>
      </c>
      <c r="F162" t="s">
        <v>258</v>
      </c>
      <c r="G162" t="str">
        <f>+VLOOKUP(F162,[1]Explore!$B:$I,8,0)</f>
        <v>USD Inflation</v>
      </c>
      <c r="H162" t="s">
        <v>259</v>
      </c>
      <c r="I162" t="str">
        <f>+VLOOKUP(H162,[1]Explore!$A:$I,9,0)</f>
        <v>USD Inflation</v>
      </c>
      <c r="J162" t="str">
        <f t="shared" si="4"/>
        <v>OK</v>
      </c>
      <c r="K162" t="str">
        <f t="shared" si="5"/>
        <v>USD Inflation</v>
      </c>
      <c r="L162" t="s">
        <v>8</v>
      </c>
      <c r="M162" t="str">
        <f>_xlfn.IFNA(VLOOKUP(K162,'Mapping DEF'!A:C,2,0),"")</f>
        <v>Inflation</v>
      </c>
      <c r="N162" t="str">
        <f>+_xlfn.IFNA(VLOOKUP(M162,'Mapping DEF'!B:C,2,FALSE),"")</f>
        <v>Other</v>
      </c>
      <c r="O162" t="s">
        <v>2703</v>
      </c>
    </row>
    <row r="163" spans="1:15" x14ac:dyDescent="0.25">
      <c r="A163" t="s">
        <v>558</v>
      </c>
      <c r="B163" t="s">
        <v>559</v>
      </c>
      <c r="C163">
        <v>2412</v>
      </c>
      <c r="D163" t="s">
        <v>513</v>
      </c>
      <c r="E163" t="s">
        <v>412</v>
      </c>
      <c r="F163" t="s">
        <v>413</v>
      </c>
      <c r="G163" t="str">
        <f>+VLOOKUP(F163,[1]Explore!$B:$I,8,0)</f>
        <v>Alternative - Commodity</v>
      </c>
      <c r="H163" t="s">
        <v>414</v>
      </c>
      <c r="I163" t="str">
        <f>+VLOOKUP(H163,[1]Explore!$A:$I,9,0)</f>
        <v>Alternative - Commodity</v>
      </c>
      <c r="J163" t="str">
        <f t="shared" si="4"/>
        <v>OK</v>
      </c>
      <c r="K163" t="str">
        <f t="shared" si="5"/>
        <v>Alternative - Commodity</v>
      </c>
      <c r="L163" t="s">
        <v>70</v>
      </c>
      <c r="M163" t="str">
        <f>_xlfn.IFNA(VLOOKUP(K163,'Mapping DEF'!A:C,2,0),"")</f>
        <v>Alternative</v>
      </c>
      <c r="N163" t="str">
        <f>+_xlfn.IFNA(VLOOKUP(M163,'Mapping DEF'!B:C,2,FALSE),"")</f>
        <v>Other</v>
      </c>
      <c r="O163" t="s">
        <v>2700</v>
      </c>
    </row>
    <row r="164" spans="1:15" x14ac:dyDescent="0.25">
      <c r="A164" t="s">
        <v>558</v>
      </c>
      <c r="B164" t="s">
        <v>559</v>
      </c>
      <c r="C164">
        <v>2412</v>
      </c>
      <c r="D164" t="s">
        <v>513</v>
      </c>
      <c r="E164" t="s">
        <v>415</v>
      </c>
      <c r="F164" t="s">
        <v>268</v>
      </c>
      <c r="G164" t="str">
        <f>+VLOOKUP(F164,[1]Explore!$B:$I,8,0)</f>
        <v>Alternative - Commodity</v>
      </c>
      <c r="H164" t="s">
        <v>269</v>
      </c>
      <c r="I164" t="str">
        <f>+VLOOKUP(H164,[1]Explore!$A:$I,9,0)</f>
        <v>Alternative - Commodity</v>
      </c>
      <c r="J164" t="str">
        <f t="shared" si="4"/>
        <v>OK</v>
      </c>
      <c r="K164" t="str">
        <f t="shared" si="5"/>
        <v>Alternative - Commodity</v>
      </c>
      <c r="L164" t="s">
        <v>70</v>
      </c>
      <c r="M164" t="str">
        <f>_xlfn.IFNA(VLOOKUP(K164,'Mapping DEF'!A:C,2,0),"")</f>
        <v>Alternative</v>
      </c>
      <c r="N164" t="str">
        <f>+_xlfn.IFNA(VLOOKUP(M164,'Mapping DEF'!B:C,2,FALSE),"")</f>
        <v>Other</v>
      </c>
      <c r="O164" t="s">
        <v>162</v>
      </c>
    </row>
    <row r="165" spans="1:15" x14ac:dyDescent="0.25">
      <c r="A165" t="s">
        <v>558</v>
      </c>
      <c r="B165" t="s">
        <v>559</v>
      </c>
      <c r="C165">
        <v>2412</v>
      </c>
      <c r="D165" t="s">
        <v>513</v>
      </c>
      <c r="E165" t="s">
        <v>416</v>
      </c>
      <c r="F165" t="s">
        <v>417</v>
      </c>
      <c r="G165" t="str">
        <f>+VLOOKUP(F165,[1]Explore!$B:$I,8,0)</f>
        <v>Govt Emerging Markets</v>
      </c>
      <c r="H165" t="s">
        <v>418</v>
      </c>
      <c r="I165" t="str">
        <f>+VLOOKUP(H165,[1]Explore!$A:$I,9,0)</f>
        <v>Govt Emerging Markets</v>
      </c>
      <c r="J165" t="str">
        <f t="shared" si="4"/>
        <v>OK</v>
      </c>
      <c r="K165" t="str">
        <f t="shared" si="5"/>
        <v>Govt Emerging Markets</v>
      </c>
      <c r="L165" t="s">
        <v>8</v>
      </c>
      <c r="M165" t="str">
        <f>_xlfn.IFNA(VLOOKUP(K165,'Mapping DEF'!A:C,2,0),"")</f>
        <v>Curve (Local)</v>
      </c>
      <c r="N165" t="str">
        <f>+_xlfn.IFNA(VLOOKUP(M165,'Mapping DEF'!B:C,2,FALSE),"")</f>
        <v>Term Structure</v>
      </c>
      <c r="O165" t="s">
        <v>2734</v>
      </c>
    </row>
    <row r="166" spans="1:15" x14ac:dyDescent="0.25">
      <c r="A166" t="s">
        <v>558</v>
      </c>
      <c r="B166" t="s">
        <v>559</v>
      </c>
      <c r="C166">
        <v>2412</v>
      </c>
      <c r="D166" t="s">
        <v>513</v>
      </c>
      <c r="E166" t="s">
        <v>419</v>
      </c>
      <c r="F166" t="s">
        <v>73</v>
      </c>
      <c r="G166" t="e">
        <f>+VLOOKUP(F166,[1]Explore!$B:$I,8,0)</f>
        <v>#N/A</v>
      </c>
      <c r="H166" t="s">
        <v>74</v>
      </c>
      <c r="I166" t="str">
        <f>+VLOOKUP(H166,[1]Explore!$A:$I,9,0)</f>
        <v>Emerging Currency</v>
      </c>
      <c r="J166" t="str">
        <f t="shared" si="4"/>
        <v>OK</v>
      </c>
      <c r="K166" t="str">
        <f t="shared" si="5"/>
        <v>Emerging Currency</v>
      </c>
      <c r="L166" t="s">
        <v>75</v>
      </c>
      <c r="M166" t="str">
        <f>_xlfn.IFNA(VLOOKUP(K166,'Mapping DEF'!A:C,2,0),"")</f>
        <v>FX</v>
      </c>
      <c r="N166" t="str">
        <f>+_xlfn.IFNA(VLOOKUP(M166,'Mapping DEF'!B:C,2,FALSE),"")</f>
        <v>FX</v>
      </c>
      <c r="O166" t="s">
        <v>2711</v>
      </c>
    </row>
    <row r="167" spans="1:15" x14ac:dyDescent="0.25">
      <c r="A167" t="s">
        <v>558</v>
      </c>
      <c r="B167" t="s">
        <v>559</v>
      </c>
      <c r="C167">
        <v>2412</v>
      </c>
      <c r="D167" t="s">
        <v>513</v>
      </c>
      <c r="E167" t="s">
        <v>420</v>
      </c>
      <c r="F167" t="s">
        <v>421</v>
      </c>
      <c r="G167" t="e">
        <f>+VLOOKUP(F167,[1]Explore!$B:$I,8,0)</f>
        <v>#N/A</v>
      </c>
      <c r="H167" t="s">
        <v>422</v>
      </c>
      <c r="I167" t="str">
        <f>+VLOOKUP(H167,[1]Explore!$A:$I,9,0)</f>
        <v>Emerging Currency</v>
      </c>
      <c r="J167" t="str">
        <f t="shared" si="4"/>
        <v>OK</v>
      </c>
      <c r="K167" t="str">
        <f t="shared" si="5"/>
        <v>Emerging Currency</v>
      </c>
      <c r="L167" t="s">
        <v>75</v>
      </c>
      <c r="M167" t="str">
        <f>_xlfn.IFNA(VLOOKUP(K167,'Mapping DEF'!A:C,2,0),"")</f>
        <v>FX</v>
      </c>
      <c r="N167" t="str">
        <f>+_xlfn.IFNA(VLOOKUP(M167,'Mapping DEF'!B:C,2,FALSE),"")</f>
        <v>FX</v>
      </c>
      <c r="O167" t="s">
        <v>2705</v>
      </c>
    </row>
    <row r="168" spans="1:15" x14ac:dyDescent="0.25">
      <c r="A168" t="s">
        <v>558</v>
      </c>
      <c r="B168" t="s">
        <v>559</v>
      </c>
      <c r="C168">
        <v>2412</v>
      </c>
      <c r="D168" t="s">
        <v>553</v>
      </c>
      <c r="E168" t="s">
        <v>371</v>
      </c>
      <c r="F168" t="s">
        <v>206</v>
      </c>
      <c r="G168" t="e">
        <f>+VLOOKUP(F168,[1]Explore!$B:$I,8,0)</f>
        <v>#N/A</v>
      </c>
      <c r="H168" t="s">
        <v>206</v>
      </c>
      <c r="I168" t="e">
        <f>+VLOOKUP(H168,[1]Explore!$A:$I,9,0)</f>
        <v>#N/A</v>
      </c>
      <c r="J168" t="str">
        <f t="shared" si="4"/>
        <v>BOTH #N/A</v>
      </c>
      <c r="K168" t="str">
        <f t="shared" si="5"/>
        <v>Dollar Index</v>
      </c>
      <c r="L168" t="s">
        <v>2930</v>
      </c>
      <c r="M168" t="str">
        <f>_xlfn.IFNA(VLOOKUP(K168,'Mapping DEF'!A:C,2,0),"")</f>
        <v>Index Level</v>
      </c>
      <c r="N168" t="str">
        <f>+_xlfn.IFNA(VLOOKUP(M168,'Mapping DEF'!B:C,2,FALSE),"")</f>
        <v>Other</v>
      </c>
      <c r="O168" t="s">
        <v>274</v>
      </c>
    </row>
    <row r="169" spans="1:15" x14ac:dyDescent="0.25">
      <c r="A169" t="s">
        <v>558</v>
      </c>
      <c r="B169" t="s">
        <v>559</v>
      </c>
      <c r="C169">
        <v>2412</v>
      </c>
      <c r="D169" t="s">
        <v>553</v>
      </c>
      <c r="E169" t="s">
        <v>423</v>
      </c>
      <c r="F169" t="s">
        <v>2156</v>
      </c>
      <c r="G169" t="str">
        <f>+VLOOKUP(F169,[1]Explore!$B:$I,8,0)</f>
        <v>Equity Implied Volatility</v>
      </c>
      <c r="H169" t="s">
        <v>141</v>
      </c>
      <c r="I169" t="str">
        <f>+VLOOKUP(H169,[1]Explore!$A:$I,9,0)</f>
        <v>Equity Implied Volatility</v>
      </c>
      <c r="J169" t="str">
        <f t="shared" si="4"/>
        <v>OK</v>
      </c>
      <c r="K169" t="str">
        <f t="shared" si="5"/>
        <v>Equity Implied Volatility</v>
      </c>
      <c r="L169" t="s">
        <v>27</v>
      </c>
      <c r="M169" t="str">
        <f>_xlfn.IFNA(VLOOKUP(K169,'Mapping DEF'!A:C,2,0),"")</f>
        <v>Equity Derivatives</v>
      </c>
      <c r="N169" t="str">
        <f>+_xlfn.IFNA(VLOOKUP(M169,'Mapping DEF'!B:C,2,FALSE),"")</f>
        <v>Equity</v>
      </c>
      <c r="O169" t="s">
        <v>2705</v>
      </c>
    </row>
    <row r="170" spans="1:15" x14ac:dyDescent="0.25">
      <c r="A170" t="s">
        <v>558</v>
      </c>
      <c r="B170" t="s">
        <v>559</v>
      </c>
      <c r="C170">
        <v>2412</v>
      </c>
      <c r="D170" t="s">
        <v>560</v>
      </c>
      <c r="E170" t="s">
        <v>424</v>
      </c>
      <c r="F170" t="s">
        <v>425</v>
      </c>
      <c r="G170" t="str">
        <f>+VLOOKUP(F170,[1]Explore!$B:$I,8,0)</f>
        <v>Corporate HY Other - Maturity</v>
      </c>
      <c r="H170" t="s">
        <v>426</v>
      </c>
      <c r="I170" t="str">
        <f>+VLOOKUP(H170,[1]Explore!$A:$I,9,0)</f>
        <v>Corporate HY Other - Maturity</v>
      </c>
      <c r="J170" t="str">
        <f t="shared" si="4"/>
        <v>OK</v>
      </c>
      <c r="K170" t="str">
        <f t="shared" si="5"/>
        <v>Corporate HY Other - Maturity</v>
      </c>
      <c r="L170" t="s">
        <v>188</v>
      </c>
      <c r="M170" t="str">
        <f>_xlfn.IFNA(VLOOKUP(K170,'Mapping DEF'!A:C,2,0),"")</f>
        <v>Spread</v>
      </c>
      <c r="N170" t="str">
        <f>+_xlfn.IFNA(VLOOKUP(M170,'Mapping DEF'!B:C,2,FALSE),"")</f>
        <v>Spread</v>
      </c>
      <c r="O170" t="s">
        <v>2736</v>
      </c>
    </row>
    <row r="171" spans="1:15" x14ac:dyDescent="0.25">
      <c r="A171" t="s">
        <v>558</v>
      </c>
      <c r="B171" t="s">
        <v>559</v>
      </c>
      <c r="C171">
        <v>2412</v>
      </c>
      <c r="D171" t="s">
        <v>560</v>
      </c>
      <c r="E171" t="s">
        <v>427</v>
      </c>
      <c r="F171" t="s">
        <v>346</v>
      </c>
      <c r="G171" t="str">
        <f>+VLOOKUP(F171,[1]Explore!$B:$I,8,0)</f>
        <v>Spread Emerging Markets - Country</v>
      </c>
      <c r="H171" t="s">
        <v>347</v>
      </c>
      <c r="I171" t="str">
        <f>+VLOOKUP(H171,[1]Explore!$A:$I,9,0)</f>
        <v>Spread Emerging Markets - Country</v>
      </c>
      <c r="J171" t="str">
        <f t="shared" si="4"/>
        <v>OK</v>
      </c>
      <c r="K171" t="str">
        <f t="shared" si="5"/>
        <v>Spread Emerging Markets - Country</v>
      </c>
      <c r="L171" t="s">
        <v>188</v>
      </c>
      <c r="M171" t="str">
        <f>_xlfn.IFNA(VLOOKUP(K171,'Mapping DEF'!A:C,2,0),"")</f>
        <v>Spread</v>
      </c>
      <c r="N171" t="str">
        <f>+_xlfn.IFNA(VLOOKUP(M171,'Mapping DEF'!B:C,2,FALSE),"")</f>
        <v>Spread</v>
      </c>
      <c r="O171" t="s">
        <v>2734</v>
      </c>
    </row>
    <row r="172" spans="1:15" x14ac:dyDescent="0.25">
      <c r="A172" t="s">
        <v>558</v>
      </c>
      <c r="B172" t="s">
        <v>559</v>
      </c>
      <c r="C172">
        <v>2412</v>
      </c>
      <c r="D172" t="s">
        <v>560</v>
      </c>
      <c r="E172" t="s">
        <v>428</v>
      </c>
      <c r="F172" t="s">
        <v>349</v>
      </c>
      <c r="G172" t="str">
        <f>+VLOOKUP(F172,[1]Explore!$B:$I,8,0)</f>
        <v>Corporate HY USD - Industry</v>
      </c>
      <c r="H172" t="s">
        <v>350</v>
      </c>
      <c r="I172" t="str">
        <f>+VLOOKUP(H172,[1]Explore!$A:$I,9,0)</f>
        <v>Corporate HY USD - Industry</v>
      </c>
      <c r="J172" t="str">
        <f t="shared" si="4"/>
        <v>OK</v>
      </c>
      <c r="K172" t="str">
        <f t="shared" si="5"/>
        <v>Corporate HY USD - Industry</v>
      </c>
      <c r="L172" t="s">
        <v>188</v>
      </c>
      <c r="M172" t="str">
        <f>_xlfn.IFNA(VLOOKUP(K172,'Mapping DEF'!A:C,2,0),"")</f>
        <v>Spread</v>
      </c>
      <c r="N172" t="str">
        <f>+_xlfn.IFNA(VLOOKUP(M172,'Mapping DEF'!B:C,2,FALSE),"")</f>
        <v>Spread</v>
      </c>
      <c r="O172" t="s">
        <v>119</v>
      </c>
    </row>
    <row r="173" spans="1:15" x14ac:dyDescent="0.25">
      <c r="A173" t="s">
        <v>558</v>
      </c>
      <c r="B173" t="s">
        <v>559</v>
      </c>
      <c r="C173">
        <v>2412</v>
      </c>
      <c r="D173" t="s">
        <v>560</v>
      </c>
      <c r="E173" t="s">
        <v>429</v>
      </c>
      <c r="F173" t="s">
        <v>430</v>
      </c>
      <c r="G173" t="str">
        <f>+VLOOKUP(F173,[1]Explore!$B:$I,8,0)</f>
        <v>Other - Index</v>
      </c>
      <c r="H173" t="s">
        <v>431</v>
      </c>
      <c r="I173" t="str">
        <f>+VLOOKUP(H173,[1]Explore!$A:$I,9,0)</f>
        <v>Other - Index</v>
      </c>
      <c r="J173" t="str">
        <f t="shared" si="4"/>
        <v>OK</v>
      </c>
      <c r="K173" t="str">
        <f t="shared" si="5"/>
        <v>Other - Index</v>
      </c>
      <c r="L173" t="s">
        <v>27</v>
      </c>
      <c r="M173" t="str">
        <f>_xlfn.IFNA(VLOOKUP(K173,'Mapping DEF'!A:C,2,0),"")</f>
        <v>Other</v>
      </c>
      <c r="N173" t="str">
        <f>+_xlfn.IFNA(VLOOKUP(M173,'Mapping DEF'!B:C,2,FALSE),"")</f>
        <v>Other</v>
      </c>
      <c r="O173" t="s">
        <v>2726</v>
      </c>
    </row>
    <row r="174" spans="1:15" x14ac:dyDescent="0.25">
      <c r="A174" t="s">
        <v>558</v>
      </c>
      <c r="B174" t="s">
        <v>559</v>
      </c>
      <c r="C174">
        <v>2412</v>
      </c>
      <c r="D174" t="s">
        <v>560</v>
      </c>
      <c r="E174" t="s">
        <v>432</v>
      </c>
      <c r="F174" t="s">
        <v>826</v>
      </c>
      <c r="G174" t="str">
        <f>+VLOOKUP(F174,[1]Explore!$B:$I,8,0)</f>
        <v>Equity Implied Volatility</v>
      </c>
      <c r="H174" t="s">
        <v>433</v>
      </c>
      <c r="I174" t="e">
        <f>+VLOOKUP(H174,[1]Explore!$A:$I,9,0)</f>
        <v>#N/A</v>
      </c>
      <c r="J174" t="str">
        <f t="shared" si="4"/>
        <v>OK</v>
      </c>
      <c r="K174" t="str">
        <f t="shared" si="5"/>
        <v>Equity Implied Volatility</v>
      </c>
      <c r="L174" t="s">
        <v>27</v>
      </c>
      <c r="M174" t="str">
        <f>_xlfn.IFNA(VLOOKUP(K174,'Mapping DEF'!A:C,2,0),"")</f>
        <v>Equity Derivatives</v>
      </c>
      <c r="N174" t="str">
        <f>+_xlfn.IFNA(VLOOKUP(M174,'Mapping DEF'!B:C,2,FALSE),"")</f>
        <v>Equity</v>
      </c>
      <c r="O174" t="s">
        <v>2715</v>
      </c>
    </row>
    <row r="175" spans="1:15" x14ac:dyDescent="0.25">
      <c r="A175" t="s">
        <v>613</v>
      </c>
      <c r="B175" t="s">
        <v>614</v>
      </c>
      <c r="C175">
        <v>2411</v>
      </c>
      <c r="D175" t="s">
        <v>560</v>
      </c>
      <c r="E175" t="s">
        <v>434</v>
      </c>
      <c r="F175" t="s">
        <v>13</v>
      </c>
      <c r="G175" t="str">
        <f>+VLOOKUP(F175,[1]Explore!$B:$I,8,0)</f>
        <v>Govt USD</v>
      </c>
      <c r="H175" t="s">
        <v>14</v>
      </c>
      <c r="I175" t="str">
        <f>+VLOOKUP(H175,[1]Explore!$A:$I,9,0)</f>
        <v>Govt USD</v>
      </c>
      <c r="J175" t="str">
        <f t="shared" si="4"/>
        <v>OK</v>
      </c>
      <c r="K175" t="str">
        <f t="shared" si="5"/>
        <v>Govt USD</v>
      </c>
      <c r="L175" t="s">
        <v>8</v>
      </c>
      <c r="M175" t="str">
        <f>_xlfn.IFNA(VLOOKUP(K175,'Mapping DEF'!A:C,2,0),"")</f>
        <v>Curve (Local)</v>
      </c>
      <c r="N175" t="str">
        <f>+_xlfn.IFNA(VLOOKUP(M175,'Mapping DEF'!B:C,2,FALSE),"")</f>
        <v>Term Structure</v>
      </c>
      <c r="O175" t="s">
        <v>189</v>
      </c>
    </row>
    <row r="176" spans="1:15" x14ac:dyDescent="0.25">
      <c r="A176" t="s">
        <v>613</v>
      </c>
      <c r="B176" t="s">
        <v>614</v>
      </c>
      <c r="C176">
        <v>2411</v>
      </c>
      <c r="D176" t="s">
        <v>560</v>
      </c>
      <c r="E176" t="s">
        <v>435</v>
      </c>
      <c r="F176" t="s">
        <v>19</v>
      </c>
      <c r="G176" t="str">
        <f>+VLOOKUP(F176,[1]Explore!$B:$I,8,0)</f>
        <v>Govt USD</v>
      </c>
      <c r="H176" t="s">
        <v>20</v>
      </c>
      <c r="I176" t="str">
        <f>+VLOOKUP(H176,[1]Explore!$A:$I,9,0)</f>
        <v>Govt USD</v>
      </c>
      <c r="J176" t="str">
        <f t="shared" si="4"/>
        <v>OK</v>
      </c>
      <c r="K176" t="str">
        <f t="shared" si="5"/>
        <v>Govt USD</v>
      </c>
      <c r="L176" t="s">
        <v>8</v>
      </c>
      <c r="M176" t="str">
        <f>_xlfn.IFNA(VLOOKUP(K176,'Mapping DEF'!A:C,2,0),"")</f>
        <v>Curve (Local)</v>
      </c>
      <c r="N176" t="str">
        <f>+_xlfn.IFNA(VLOOKUP(M176,'Mapping DEF'!B:C,2,FALSE),"")</f>
        <v>Term Structure</v>
      </c>
      <c r="O176" t="s">
        <v>2737</v>
      </c>
    </row>
    <row r="177" spans="1:15" x14ac:dyDescent="0.25">
      <c r="A177" t="s">
        <v>613</v>
      </c>
      <c r="B177" t="s">
        <v>614</v>
      </c>
      <c r="C177">
        <v>2411</v>
      </c>
      <c r="D177" t="s">
        <v>560</v>
      </c>
      <c r="E177" t="s">
        <v>411</v>
      </c>
      <c r="F177" t="s">
        <v>258</v>
      </c>
      <c r="G177" t="str">
        <f>+VLOOKUP(F177,[1]Explore!$B:$I,8,0)</f>
        <v>USD Inflation</v>
      </c>
      <c r="H177" t="s">
        <v>259</v>
      </c>
      <c r="I177" t="str">
        <f>+VLOOKUP(H177,[1]Explore!$A:$I,9,0)</f>
        <v>USD Inflation</v>
      </c>
      <c r="J177" t="str">
        <f t="shared" si="4"/>
        <v>OK</v>
      </c>
      <c r="K177" t="str">
        <f t="shared" si="5"/>
        <v>USD Inflation</v>
      </c>
      <c r="L177" t="s">
        <v>8</v>
      </c>
      <c r="M177" t="str">
        <f>_xlfn.IFNA(VLOOKUP(K177,'Mapping DEF'!A:C,2,0),"")</f>
        <v>Inflation</v>
      </c>
      <c r="N177" t="str">
        <f>+_xlfn.IFNA(VLOOKUP(M177,'Mapping DEF'!B:C,2,FALSE),"")</f>
        <v>Other</v>
      </c>
      <c r="O177" t="s">
        <v>2703</v>
      </c>
    </row>
    <row r="178" spans="1:15" x14ac:dyDescent="0.25">
      <c r="A178" t="s">
        <v>613</v>
      </c>
      <c r="B178" t="s">
        <v>614</v>
      </c>
      <c r="C178">
        <v>2411</v>
      </c>
      <c r="D178" t="s">
        <v>560</v>
      </c>
      <c r="E178" t="s">
        <v>436</v>
      </c>
      <c r="F178" t="s">
        <v>265</v>
      </c>
      <c r="G178" t="str">
        <f>+VLOOKUP(F178,[1]Explore!$B:$I,8,0)</f>
        <v>Alternative - Commodity</v>
      </c>
      <c r="H178" t="s">
        <v>266</v>
      </c>
      <c r="I178" t="str">
        <f>+VLOOKUP(H178,[1]Explore!$A:$I,9,0)</f>
        <v>Alternative - Commodity</v>
      </c>
      <c r="J178" t="str">
        <f t="shared" si="4"/>
        <v>OK</v>
      </c>
      <c r="K178" t="str">
        <f t="shared" si="5"/>
        <v>Alternative - Commodity</v>
      </c>
      <c r="L178" t="s">
        <v>70</v>
      </c>
      <c r="M178" t="str">
        <f>_xlfn.IFNA(VLOOKUP(K178,'Mapping DEF'!A:C,2,0),"")</f>
        <v>Alternative</v>
      </c>
      <c r="N178" t="str">
        <f>+_xlfn.IFNA(VLOOKUP(M178,'Mapping DEF'!B:C,2,FALSE),"")</f>
        <v>Other</v>
      </c>
      <c r="O178" t="s">
        <v>2700</v>
      </c>
    </row>
    <row r="179" spans="1:15" x14ac:dyDescent="0.25">
      <c r="A179" t="s">
        <v>613</v>
      </c>
      <c r="B179" t="s">
        <v>614</v>
      </c>
      <c r="C179">
        <v>2411</v>
      </c>
      <c r="D179" t="s">
        <v>560</v>
      </c>
      <c r="E179" t="s">
        <v>412</v>
      </c>
      <c r="F179" t="s">
        <v>413</v>
      </c>
      <c r="G179" t="str">
        <f>+VLOOKUP(F179,[1]Explore!$B:$I,8,0)</f>
        <v>Alternative - Commodity</v>
      </c>
      <c r="H179" t="s">
        <v>414</v>
      </c>
      <c r="I179" t="str">
        <f>+VLOOKUP(H179,[1]Explore!$A:$I,9,0)</f>
        <v>Alternative - Commodity</v>
      </c>
      <c r="J179" t="str">
        <f t="shared" si="4"/>
        <v>OK</v>
      </c>
      <c r="K179" t="str">
        <f t="shared" si="5"/>
        <v>Alternative - Commodity</v>
      </c>
      <c r="L179" t="s">
        <v>70</v>
      </c>
      <c r="M179" t="str">
        <f>_xlfn.IFNA(VLOOKUP(K179,'Mapping DEF'!A:C,2,0),"")</f>
        <v>Alternative</v>
      </c>
      <c r="N179" t="str">
        <f>+_xlfn.IFNA(VLOOKUP(M179,'Mapping DEF'!B:C,2,FALSE),"")</f>
        <v>Other</v>
      </c>
      <c r="O179" t="s">
        <v>2700</v>
      </c>
    </row>
    <row r="180" spans="1:15" x14ac:dyDescent="0.25">
      <c r="A180" t="s">
        <v>613</v>
      </c>
      <c r="B180" t="s">
        <v>614</v>
      </c>
      <c r="C180">
        <v>2411</v>
      </c>
      <c r="D180" t="s">
        <v>560</v>
      </c>
      <c r="E180" t="s">
        <v>437</v>
      </c>
      <c r="F180" t="s">
        <v>438</v>
      </c>
      <c r="G180" t="str">
        <f>+VLOOKUP(F180,[1]Explore!$B:$I,8,0)</f>
        <v>Materials</v>
      </c>
      <c r="H180" t="s">
        <v>439</v>
      </c>
      <c r="I180" t="str">
        <f>+VLOOKUP(H180,[1]Explore!$A:$I,9,0)</f>
        <v>Alternative - Commodity</v>
      </c>
      <c r="J180" t="str">
        <f t="shared" si="4"/>
        <v>OK</v>
      </c>
      <c r="K180" t="str">
        <f t="shared" si="5"/>
        <v>Alternative - Commodity</v>
      </c>
      <c r="L180" t="s">
        <v>70</v>
      </c>
      <c r="M180" t="str">
        <f>_xlfn.IFNA(VLOOKUP(K180,'Mapping DEF'!A:C,2,0),"")</f>
        <v>Alternative</v>
      </c>
      <c r="N180" t="str">
        <f>+_xlfn.IFNA(VLOOKUP(M180,'Mapping DEF'!B:C,2,FALSE),"")</f>
        <v>Other</v>
      </c>
      <c r="O180" t="s">
        <v>108</v>
      </c>
    </row>
    <row r="181" spans="1:15" x14ac:dyDescent="0.25">
      <c r="A181" t="s">
        <v>613</v>
      </c>
      <c r="B181" t="s">
        <v>614</v>
      </c>
      <c r="C181">
        <v>2411</v>
      </c>
      <c r="D181" t="s">
        <v>560</v>
      </c>
      <c r="E181" t="s">
        <v>440</v>
      </c>
      <c r="F181" t="s">
        <v>441</v>
      </c>
      <c r="G181" t="str">
        <f>+VLOOKUP(F181,[1]Explore!$B:$I,8,0)</f>
        <v>Corporate IG USD - Industry</v>
      </c>
      <c r="H181" t="s">
        <v>442</v>
      </c>
      <c r="I181" t="str">
        <f>+VLOOKUP(H181,[1]Explore!$A:$I,9,0)</f>
        <v>Corporate IG USD - Industry</v>
      </c>
      <c r="J181" t="str">
        <f t="shared" si="4"/>
        <v>OK</v>
      </c>
      <c r="K181" t="str">
        <f t="shared" si="5"/>
        <v>Corporate IG USD - Industry</v>
      </c>
      <c r="L181" t="s">
        <v>188</v>
      </c>
      <c r="M181" t="str">
        <f>_xlfn.IFNA(VLOOKUP(K181,'Mapping DEF'!A:C,2,0),"")</f>
        <v>Spread</v>
      </c>
      <c r="N181" t="str">
        <f>+_xlfn.IFNA(VLOOKUP(M181,'Mapping DEF'!B:C,2,FALSE),"")</f>
        <v>Spread</v>
      </c>
      <c r="O181" t="s">
        <v>286</v>
      </c>
    </row>
    <row r="182" spans="1:15" x14ac:dyDescent="0.25">
      <c r="A182" t="s">
        <v>613</v>
      </c>
      <c r="B182" t="s">
        <v>614</v>
      </c>
      <c r="C182">
        <v>2411</v>
      </c>
      <c r="D182" t="s">
        <v>560</v>
      </c>
      <c r="E182" t="s">
        <v>443</v>
      </c>
      <c r="F182" t="s">
        <v>73</v>
      </c>
      <c r="G182" t="e">
        <f>+VLOOKUP(F182,[1]Explore!$B:$I,8,0)</f>
        <v>#N/A</v>
      </c>
      <c r="H182" t="s">
        <v>74</v>
      </c>
      <c r="I182" t="str">
        <f>+VLOOKUP(H182,[1]Explore!$A:$I,9,0)</f>
        <v>Emerging Currency</v>
      </c>
      <c r="J182" t="str">
        <f t="shared" si="4"/>
        <v>OK</v>
      </c>
      <c r="K182" t="str">
        <f t="shared" si="5"/>
        <v>Emerging Currency</v>
      </c>
      <c r="L182" t="s">
        <v>75</v>
      </c>
      <c r="M182" t="str">
        <f>_xlfn.IFNA(VLOOKUP(K182,'Mapping DEF'!A:C,2,0),"")</f>
        <v>FX</v>
      </c>
      <c r="N182" t="str">
        <f>+_xlfn.IFNA(VLOOKUP(M182,'Mapping DEF'!B:C,2,FALSE),"")</f>
        <v>FX</v>
      </c>
      <c r="O182" t="s">
        <v>2738</v>
      </c>
    </row>
    <row r="183" spans="1:15" x14ac:dyDescent="0.25">
      <c r="A183" t="s">
        <v>613</v>
      </c>
      <c r="B183" t="s">
        <v>614</v>
      </c>
      <c r="C183">
        <v>2411</v>
      </c>
      <c r="D183" t="s">
        <v>560</v>
      </c>
      <c r="E183" t="s">
        <v>444</v>
      </c>
      <c r="F183" t="s">
        <v>206</v>
      </c>
      <c r="G183" t="e">
        <f>+VLOOKUP(F183,[1]Explore!$B:$I,8,0)</f>
        <v>#N/A</v>
      </c>
      <c r="H183" t="s">
        <v>206</v>
      </c>
      <c r="I183" t="e">
        <f>+VLOOKUP(H183,[1]Explore!$A:$I,9,0)</f>
        <v>#N/A</v>
      </c>
      <c r="J183" t="str">
        <f t="shared" si="4"/>
        <v>BOTH #N/A</v>
      </c>
      <c r="K183" t="str">
        <f t="shared" si="5"/>
        <v>Dollar Index</v>
      </c>
      <c r="L183" t="s">
        <v>2930</v>
      </c>
      <c r="M183" t="str">
        <f>_xlfn.IFNA(VLOOKUP(K183,'Mapping DEF'!A:C,2,0),"")</f>
        <v>Index Level</v>
      </c>
      <c r="N183" t="str">
        <f>+_xlfn.IFNA(VLOOKUP(M183,'Mapping DEF'!B:C,2,FALSE),"")</f>
        <v>Other</v>
      </c>
      <c r="O183" t="s">
        <v>2712</v>
      </c>
    </row>
    <row r="184" spans="1:15" x14ac:dyDescent="0.25">
      <c r="A184" t="s">
        <v>613</v>
      </c>
      <c r="B184" t="s">
        <v>614</v>
      </c>
      <c r="C184">
        <v>2411</v>
      </c>
      <c r="D184" t="s">
        <v>615</v>
      </c>
      <c r="E184" t="s">
        <v>445</v>
      </c>
      <c r="F184" t="s">
        <v>446</v>
      </c>
      <c r="G184" t="str">
        <f>+VLOOKUP(F184,[1]Explore!$B:$I,8,0)</f>
        <v>Local Styles</v>
      </c>
      <c r="H184" t="s">
        <v>447</v>
      </c>
      <c r="I184" t="str">
        <f>+VLOOKUP(H184,[1]Explore!$A:$I,9,0)</f>
        <v>Local Styles</v>
      </c>
      <c r="J184" t="str">
        <f t="shared" si="4"/>
        <v>OK</v>
      </c>
      <c r="K184" t="str">
        <f t="shared" si="5"/>
        <v>Local Styles</v>
      </c>
      <c r="L184" t="s">
        <v>2150</v>
      </c>
      <c r="M184" t="str">
        <f>_xlfn.IFNA(VLOOKUP(K184,'Mapping DEF'!A:C,2,0),"")</f>
        <v>Style</v>
      </c>
      <c r="N184" t="str">
        <f>+_xlfn.IFNA(VLOOKUP(M184,'Mapping DEF'!B:C,2,FALSE),"")</f>
        <v>Equity</v>
      </c>
      <c r="O184" t="s">
        <v>2739</v>
      </c>
    </row>
    <row r="185" spans="1:15" x14ac:dyDescent="0.25">
      <c r="A185" t="s">
        <v>613</v>
      </c>
      <c r="B185" t="s">
        <v>614</v>
      </c>
      <c r="C185">
        <v>2411</v>
      </c>
      <c r="D185" t="s">
        <v>615</v>
      </c>
      <c r="E185" t="s">
        <v>448</v>
      </c>
      <c r="F185" t="s">
        <v>449</v>
      </c>
      <c r="G185" t="e">
        <f>+VLOOKUP(F185,[1]Explore!$B:$I,8,0)</f>
        <v>#N/A</v>
      </c>
      <c r="H185" t="s">
        <v>450</v>
      </c>
      <c r="I185" t="str">
        <f>+VLOOKUP(H185,[1]Explore!$A:$I,9,0)</f>
        <v>Corporate HY EUR - Industry</v>
      </c>
      <c r="J185" t="str">
        <f t="shared" si="4"/>
        <v>OK</v>
      </c>
      <c r="K185" t="str">
        <f t="shared" si="5"/>
        <v>Corporate HY EUR - Industry</v>
      </c>
      <c r="L185" t="s">
        <v>188</v>
      </c>
      <c r="M185" t="str">
        <f>_xlfn.IFNA(VLOOKUP(K185,'Mapping DEF'!A:C,2,0),"")</f>
        <v>Spread</v>
      </c>
      <c r="N185" t="str">
        <f>+_xlfn.IFNA(VLOOKUP(M185,'Mapping DEF'!B:C,2,FALSE),"")</f>
        <v>Spread</v>
      </c>
      <c r="O185" t="s">
        <v>101</v>
      </c>
    </row>
    <row r="186" spans="1:15" x14ac:dyDescent="0.25">
      <c r="A186" t="s">
        <v>613</v>
      </c>
      <c r="B186" t="s">
        <v>614</v>
      </c>
      <c r="C186">
        <v>2411</v>
      </c>
      <c r="D186" t="s">
        <v>615</v>
      </c>
      <c r="E186" t="s">
        <v>451</v>
      </c>
      <c r="F186" t="s">
        <v>430</v>
      </c>
      <c r="G186" t="str">
        <f>+VLOOKUP(F186,[1]Explore!$B:$I,8,0)</f>
        <v>Other - Index</v>
      </c>
      <c r="H186" t="s">
        <v>431</v>
      </c>
      <c r="I186" t="str">
        <f>+VLOOKUP(H186,[1]Explore!$A:$I,9,0)</f>
        <v>Other - Index</v>
      </c>
      <c r="J186" t="str">
        <f t="shared" si="4"/>
        <v>OK</v>
      </c>
      <c r="K186" t="str">
        <f t="shared" si="5"/>
        <v>Other - Index</v>
      </c>
      <c r="L186" t="s">
        <v>27</v>
      </c>
      <c r="M186" t="str">
        <f>_xlfn.IFNA(VLOOKUP(K186,'Mapping DEF'!A:C,2,0),"")</f>
        <v>Other</v>
      </c>
      <c r="N186" t="str">
        <f>+_xlfn.IFNA(VLOOKUP(M186,'Mapping DEF'!B:C,2,FALSE),"")</f>
        <v>Other</v>
      </c>
      <c r="O186" t="s">
        <v>2699</v>
      </c>
    </row>
    <row r="187" spans="1:15" x14ac:dyDescent="0.25">
      <c r="A187" t="s">
        <v>613</v>
      </c>
      <c r="B187" t="s">
        <v>614</v>
      </c>
      <c r="C187">
        <v>2411</v>
      </c>
      <c r="D187" t="s">
        <v>615</v>
      </c>
      <c r="E187" t="s">
        <v>452</v>
      </c>
      <c r="F187" t="s">
        <v>2155</v>
      </c>
      <c r="G187" t="str">
        <f>+VLOOKUP(F187,[1]Explore!$B:$I,8,0)</f>
        <v>Equity Implied Volatility</v>
      </c>
      <c r="H187" t="s">
        <v>84</v>
      </c>
      <c r="I187" t="e">
        <f>+VLOOKUP(H187,[1]Explore!$A:$I,9,0)</f>
        <v>#N/A</v>
      </c>
      <c r="J187" t="str">
        <f t="shared" si="4"/>
        <v>OK</v>
      </c>
      <c r="K187" t="str">
        <f t="shared" si="5"/>
        <v>Equity Implied Volatility</v>
      </c>
      <c r="L187" t="s">
        <v>27</v>
      </c>
      <c r="M187" t="str">
        <f>_xlfn.IFNA(VLOOKUP(K187,'Mapping DEF'!A:C,2,0),"")</f>
        <v>Equity Derivatives</v>
      </c>
      <c r="N187" t="str">
        <f>+_xlfn.IFNA(VLOOKUP(M187,'Mapping DEF'!B:C,2,FALSE),"")</f>
        <v>Equity</v>
      </c>
      <c r="O187" t="s">
        <v>2715</v>
      </c>
    </row>
    <row r="188" spans="1:15" x14ac:dyDescent="0.25">
      <c r="A188" t="s">
        <v>671</v>
      </c>
      <c r="B188" t="s">
        <v>672</v>
      </c>
      <c r="C188">
        <v>2410</v>
      </c>
      <c r="D188" t="s">
        <v>615</v>
      </c>
      <c r="E188" t="s">
        <v>453</v>
      </c>
      <c r="F188" t="s">
        <v>258</v>
      </c>
      <c r="G188" t="str">
        <f>+VLOOKUP(F188,[1]Explore!$B:$I,8,0)</f>
        <v>USD Inflation</v>
      </c>
      <c r="H188" t="s">
        <v>259</v>
      </c>
      <c r="I188" t="str">
        <f>+VLOOKUP(H188,[1]Explore!$A:$I,9,0)</f>
        <v>USD Inflation</v>
      </c>
      <c r="J188" t="str">
        <f t="shared" si="4"/>
        <v>OK</v>
      </c>
      <c r="K188" t="str">
        <f t="shared" si="5"/>
        <v>USD Inflation</v>
      </c>
      <c r="L188" t="s">
        <v>8</v>
      </c>
      <c r="M188" t="str">
        <f>_xlfn.IFNA(VLOOKUP(K188,'Mapping DEF'!A:C,2,0),"")</f>
        <v>Inflation</v>
      </c>
      <c r="N188" t="str">
        <f>+_xlfn.IFNA(VLOOKUP(M188,'Mapping DEF'!B:C,2,FALSE),"")</f>
        <v>Other</v>
      </c>
      <c r="O188" t="s">
        <v>2710</v>
      </c>
    </row>
    <row r="189" spans="1:15" x14ac:dyDescent="0.25">
      <c r="A189" t="s">
        <v>671</v>
      </c>
      <c r="B189" t="s">
        <v>672</v>
      </c>
      <c r="C189">
        <v>2410</v>
      </c>
      <c r="D189" t="s">
        <v>615</v>
      </c>
      <c r="E189" t="s">
        <v>454</v>
      </c>
      <c r="F189" t="s">
        <v>455</v>
      </c>
      <c r="G189" t="str">
        <f>+VLOOKUP(F189,[1]Explore!$B:$I,8,0)</f>
        <v>Alternative - Commodity</v>
      </c>
      <c r="H189" t="s">
        <v>456</v>
      </c>
      <c r="I189" t="str">
        <f>+VLOOKUP(H189,[1]Explore!$A:$I,9,0)</f>
        <v>Alternative - Commodity</v>
      </c>
      <c r="J189" t="str">
        <f t="shared" si="4"/>
        <v>OK</v>
      </c>
      <c r="K189" t="str">
        <f t="shared" si="5"/>
        <v>Alternative - Commodity</v>
      </c>
      <c r="L189" t="s">
        <v>70</v>
      </c>
      <c r="M189" t="str">
        <f>_xlfn.IFNA(VLOOKUP(K189,'Mapping DEF'!A:C,2,0),"")</f>
        <v>Alternative</v>
      </c>
      <c r="N189" t="str">
        <f>+_xlfn.IFNA(VLOOKUP(M189,'Mapping DEF'!B:C,2,FALSE),"")</f>
        <v>Other</v>
      </c>
      <c r="O189" t="s">
        <v>2712</v>
      </c>
    </row>
    <row r="190" spans="1:15" x14ac:dyDescent="0.25">
      <c r="A190" t="s">
        <v>671</v>
      </c>
      <c r="B190" t="s">
        <v>672</v>
      </c>
      <c r="C190">
        <v>2410</v>
      </c>
      <c r="D190" t="s">
        <v>615</v>
      </c>
      <c r="E190" t="s">
        <v>457</v>
      </c>
      <c r="F190" t="s">
        <v>458</v>
      </c>
      <c r="G190" t="str">
        <f>+VLOOKUP(F190,[1]Explore!$B:$I,8,0)</f>
        <v>Corporate IG USD - Industry</v>
      </c>
      <c r="H190" t="s">
        <v>459</v>
      </c>
      <c r="I190" t="str">
        <f>+VLOOKUP(H190,[1]Explore!$A:$I,9,0)</f>
        <v>Corporate IG USD - Industry</v>
      </c>
      <c r="J190" t="str">
        <f t="shared" si="4"/>
        <v>OK</v>
      </c>
      <c r="K190" t="str">
        <f t="shared" si="5"/>
        <v>Corporate IG USD - Industry</v>
      </c>
      <c r="L190" t="s">
        <v>188</v>
      </c>
      <c r="M190" t="str">
        <f>_xlfn.IFNA(VLOOKUP(K190,'Mapping DEF'!A:C,2,0),"")</f>
        <v>Spread</v>
      </c>
      <c r="N190" t="str">
        <f>+_xlfn.IFNA(VLOOKUP(M190,'Mapping DEF'!B:C,2,FALSE),"")</f>
        <v>Spread</v>
      </c>
      <c r="O190" t="s">
        <v>2740</v>
      </c>
    </row>
    <row r="191" spans="1:15" x14ac:dyDescent="0.25">
      <c r="A191" t="s">
        <v>671</v>
      </c>
      <c r="B191" t="s">
        <v>672</v>
      </c>
      <c r="C191">
        <v>2410</v>
      </c>
      <c r="D191" t="s">
        <v>615</v>
      </c>
      <c r="E191" t="s">
        <v>460</v>
      </c>
      <c r="F191" t="s">
        <v>73</v>
      </c>
      <c r="G191" t="e">
        <f>+VLOOKUP(F191,[1]Explore!$B:$I,8,0)</f>
        <v>#N/A</v>
      </c>
      <c r="H191" t="s">
        <v>74</v>
      </c>
      <c r="I191" t="str">
        <f>+VLOOKUP(H191,[1]Explore!$A:$I,9,0)</f>
        <v>Emerging Currency</v>
      </c>
      <c r="J191" t="str">
        <f t="shared" si="4"/>
        <v>OK</v>
      </c>
      <c r="K191" t="str">
        <f t="shared" si="5"/>
        <v>Emerging Currency</v>
      </c>
      <c r="L191" t="s">
        <v>75</v>
      </c>
      <c r="M191" t="str">
        <f>_xlfn.IFNA(VLOOKUP(K191,'Mapping DEF'!A:C,2,0),"")</f>
        <v>FX</v>
      </c>
      <c r="N191" t="str">
        <f>+_xlfn.IFNA(VLOOKUP(M191,'Mapping DEF'!B:C,2,FALSE),"")</f>
        <v>FX</v>
      </c>
      <c r="O191" t="s">
        <v>2714</v>
      </c>
    </row>
    <row r="192" spans="1:15" x14ac:dyDescent="0.25">
      <c r="A192" t="s">
        <v>671</v>
      </c>
      <c r="B192" t="s">
        <v>672</v>
      </c>
      <c r="C192">
        <v>2410</v>
      </c>
      <c r="D192" t="s">
        <v>615</v>
      </c>
      <c r="E192" t="s">
        <v>461</v>
      </c>
      <c r="F192" t="s">
        <v>206</v>
      </c>
      <c r="G192" t="e">
        <f>+VLOOKUP(F192,[1]Explore!$B:$I,8,0)</f>
        <v>#N/A</v>
      </c>
      <c r="H192" t="s">
        <v>206</v>
      </c>
      <c r="I192" t="e">
        <f>+VLOOKUP(H192,[1]Explore!$A:$I,9,0)</f>
        <v>#N/A</v>
      </c>
      <c r="J192" t="str">
        <f t="shared" si="4"/>
        <v>BOTH #N/A</v>
      </c>
      <c r="K192" t="str">
        <f t="shared" si="5"/>
        <v>Dollar Index</v>
      </c>
      <c r="L192" t="s">
        <v>2930</v>
      </c>
      <c r="M192" t="str">
        <f>_xlfn.IFNA(VLOOKUP(K192,'Mapping DEF'!A:C,2,0),"")</f>
        <v>Index Level</v>
      </c>
      <c r="N192" t="str">
        <f>+_xlfn.IFNA(VLOOKUP(M192,'Mapping DEF'!B:C,2,FALSE),"")</f>
        <v>Other</v>
      </c>
      <c r="O192" t="s">
        <v>196</v>
      </c>
    </row>
    <row r="193" spans="1:15" x14ac:dyDescent="0.25">
      <c r="A193" t="s">
        <v>671</v>
      </c>
      <c r="B193" t="s">
        <v>672</v>
      </c>
      <c r="C193">
        <v>2410</v>
      </c>
      <c r="D193" t="s">
        <v>615</v>
      </c>
      <c r="E193" t="s">
        <v>462</v>
      </c>
      <c r="F193" t="s">
        <v>2156</v>
      </c>
      <c r="G193" t="str">
        <f>+VLOOKUP(F193,[1]Explore!$B:$I,8,0)</f>
        <v>Equity Implied Volatility</v>
      </c>
      <c r="H193" t="s">
        <v>141</v>
      </c>
      <c r="I193" t="str">
        <f>+VLOOKUP(H193,[1]Explore!$A:$I,9,0)</f>
        <v>Equity Implied Volatility</v>
      </c>
      <c r="J193" t="str">
        <f t="shared" si="4"/>
        <v>OK</v>
      </c>
      <c r="K193" t="str">
        <f t="shared" si="5"/>
        <v>Equity Implied Volatility</v>
      </c>
      <c r="L193" t="s">
        <v>27</v>
      </c>
      <c r="M193" t="str">
        <f>_xlfn.IFNA(VLOOKUP(K193,'Mapping DEF'!A:C,2,0),"")</f>
        <v>Equity Derivatives</v>
      </c>
      <c r="N193" t="str">
        <f>+_xlfn.IFNA(VLOOKUP(M193,'Mapping DEF'!B:C,2,FALSE),"")</f>
        <v>Equity</v>
      </c>
      <c r="O193" t="s">
        <v>2725</v>
      </c>
    </row>
    <row r="194" spans="1:15" x14ac:dyDescent="0.25">
      <c r="A194" t="s">
        <v>671</v>
      </c>
      <c r="B194" t="s">
        <v>672</v>
      </c>
      <c r="C194">
        <v>2410</v>
      </c>
      <c r="D194" t="s">
        <v>615</v>
      </c>
      <c r="E194" t="s">
        <v>463</v>
      </c>
      <c r="F194" t="s">
        <v>464</v>
      </c>
      <c r="G194" t="str">
        <f>+VLOOKUP(F194,[1]Explore!$B:$I,8,0)</f>
        <v>Materials</v>
      </c>
      <c r="H194" t="s">
        <v>465</v>
      </c>
      <c r="I194" t="e">
        <f>+VLOOKUP(H194,[1]Explore!$A:$I,9,0)</f>
        <v>#N/A</v>
      </c>
      <c r="J194" t="str">
        <f t="shared" si="4"/>
        <v>OK</v>
      </c>
      <c r="K194" t="str">
        <f t="shared" si="5"/>
        <v>Materials</v>
      </c>
      <c r="L194" t="s">
        <v>93</v>
      </c>
      <c r="M194" t="str">
        <f>_xlfn.IFNA(VLOOKUP(K194,'Mapping DEF'!A:C,2,0),"")</f>
        <v>Industry Allocation</v>
      </c>
      <c r="N194" t="str">
        <f>+_xlfn.IFNA(VLOOKUP(M194,'Mapping DEF'!B:C,2,FALSE),"")</f>
        <v>Equity</v>
      </c>
      <c r="O194" t="s">
        <v>2714</v>
      </c>
    </row>
    <row r="195" spans="1:15" x14ac:dyDescent="0.25">
      <c r="A195" t="s">
        <v>671</v>
      </c>
      <c r="B195" t="s">
        <v>672</v>
      </c>
      <c r="C195">
        <v>2410</v>
      </c>
      <c r="D195" t="s">
        <v>615</v>
      </c>
      <c r="E195" t="s">
        <v>466</v>
      </c>
      <c r="F195" t="s">
        <v>2176</v>
      </c>
      <c r="G195" t="str">
        <f>+VLOOKUP(F195,[1]Explore!$B:$I,8,0)</f>
        <v>Industrials</v>
      </c>
      <c r="H195" t="s">
        <v>113</v>
      </c>
      <c r="I195" t="e">
        <f>+VLOOKUP(H195,[1]Explore!$A:$I,9,0)</f>
        <v>#N/A</v>
      </c>
      <c r="J195" t="str">
        <f t="shared" ref="J195:J258" si="6">IF(AND(ISNA(G195),ISNA(I195)),"BOTH #N/A","OK")</f>
        <v>OK</v>
      </c>
      <c r="K195" t="str">
        <f t="shared" ref="K195:K258" si="7">IFERROR(I195, IFERROR(G195, L195))</f>
        <v>Industrials</v>
      </c>
      <c r="L195" t="s">
        <v>93</v>
      </c>
      <c r="M195" t="str">
        <f>_xlfn.IFNA(VLOOKUP(K195,'Mapping DEF'!A:C,2,0),"")</f>
        <v>Industry Allocation</v>
      </c>
      <c r="N195" t="str">
        <f>+_xlfn.IFNA(VLOOKUP(M195,'Mapping DEF'!B:C,2,FALSE),"")</f>
        <v>Equity</v>
      </c>
      <c r="O195" t="s">
        <v>2711</v>
      </c>
    </row>
    <row r="196" spans="1:15" x14ac:dyDescent="0.25">
      <c r="A196" t="s">
        <v>671</v>
      </c>
      <c r="B196" t="s">
        <v>672</v>
      </c>
      <c r="C196">
        <v>2410</v>
      </c>
      <c r="D196" t="s">
        <v>615</v>
      </c>
      <c r="E196" t="s">
        <v>467</v>
      </c>
      <c r="F196" t="s">
        <v>2177</v>
      </c>
      <c r="G196" t="str">
        <f>+VLOOKUP(F196,[1]Explore!$B:$I,8,0)</f>
        <v>Consumer Discretionary</v>
      </c>
      <c r="H196" t="s">
        <v>469</v>
      </c>
      <c r="I196" t="e">
        <f>+VLOOKUP(H196,[1]Explore!$A:$I,9,0)</f>
        <v>#N/A</v>
      </c>
      <c r="J196" t="str">
        <f t="shared" si="6"/>
        <v>OK</v>
      </c>
      <c r="K196" t="str">
        <f t="shared" si="7"/>
        <v>Consumer Discretionary</v>
      </c>
      <c r="L196" t="s">
        <v>93</v>
      </c>
      <c r="M196" t="str">
        <f>_xlfn.IFNA(VLOOKUP(K196,'Mapping DEF'!A:C,2,0),"")</f>
        <v>Industry Allocation</v>
      </c>
      <c r="N196" t="str">
        <f>+_xlfn.IFNA(VLOOKUP(M196,'Mapping DEF'!B:C,2,FALSE),"")</f>
        <v>Equity</v>
      </c>
      <c r="O196" t="s">
        <v>2711</v>
      </c>
    </row>
    <row r="197" spans="1:15" x14ac:dyDescent="0.25">
      <c r="A197" t="s">
        <v>671</v>
      </c>
      <c r="B197" t="s">
        <v>672</v>
      </c>
      <c r="C197">
        <v>2410</v>
      </c>
      <c r="D197" t="s">
        <v>673</v>
      </c>
      <c r="E197" t="s">
        <v>470</v>
      </c>
      <c r="F197" t="s">
        <v>2178</v>
      </c>
      <c r="G197" t="e">
        <f>+VLOOKUP(F197,[1]Explore!$B:$I,8,0)</f>
        <v>#N/A</v>
      </c>
      <c r="H197" t="s">
        <v>471</v>
      </c>
      <c r="I197" t="e">
        <f>+VLOOKUP(H197,[1]Explore!$A:$I,9,0)</f>
        <v>#N/A</v>
      </c>
      <c r="J197" t="str">
        <f t="shared" si="6"/>
        <v>BOTH #N/A</v>
      </c>
      <c r="K197" t="str">
        <f t="shared" si="7"/>
        <v>Industrials</v>
      </c>
      <c r="L197" t="s">
        <v>1206</v>
      </c>
      <c r="M197" t="str">
        <f>_xlfn.IFNA(VLOOKUP(K197,'Mapping DEF'!A:C,2,0),"")</f>
        <v>Industry Allocation</v>
      </c>
      <c r="N197" t="str">
        <f>+_xlfn.IFNA(VLOOKUP(M197,'Mapping DEF'!B:C,2,FALSE),"")</f>
        <v>Equity</v>
      </c>
      <c r="O197" t="s">
        <v>2714</v>
      </c>
    </row>
    <row r="198" spans="1:15" x14ac:dyDescent="0.25">
      <c r="A198" t="s">
        <v>671</v>
      </c>
      <c r="B198" t="s">
        <v>672</v>
      </c>
      <c r="C198">
        <v>2410</v>
      </c>
      <c r="D198" t="s">
        <v>673</v>
      </c>
      <c r="E198" t="s">
        <v>472</v>
      </c>
      <c r="F198" t="s">
        <v>473</v>
      </c>
      <c r="G198" t="str">
        <f>+VLOOKUP(F198,[1]Explore!$B:$I,8,0)</f>
        <v>Information Technology</v>
      </c>
      <c r="H198" t="s">
        <v>474</v>
      </c>
      <c r="I198" t="e">
        <f>+VLOOKUP(H198,[1]Explore!$A:$I,9,0)</f>
        <v>#N/A</v>
      </c>
      <c r="J198" t="str">
        <f t="shared" si="6"/>
        <v>OK</v>
      </c>
      <c r="K198" t="str">
        <f t="shared" si="7"/>
        <v>Information Technology</v>
      </c>
      <c r="L198" t="s">
        <v>93</v>
      </c>
      <c r="M198" t="str">
        <f>_xlfn.IFNA(VLOOKUP(K198,'Mapping DEF'!A:C,2,0),"")</f>
        <v>Industry Allocation</v>
      </c>
      <c r="N198" t="str">
        <f>+_xlfn.IFNA(VLOOKUP(M198,'Mapping DEF'!B:C,2,FALSE),"")</f>
        <v>Equity</v>
      </c>
      <c r="O198" t="s">
        <v>2713</v>
      </c>
    </row>
    <row r="199" spans="1:15" x14ac:dyDescent="0.25">
      <c r="A199" t="s">
        <v>671</v>
      </c>
      <c r="B199" t="s">
        <v>672</v>
      </c>
      <c r="C199">
        <v>2410</v>
      </c>
      <c r="D199" t="s">
        <v>673</v>
      </c>
      <c r="E199" t="s">
        <v>475</v>
      </c>
      <c r="F199" t="s">
        <v>2179</v>
      </c>
      <c r="G199" t="str">
        <f>+VLOOKUP(F199,[1]Explore!$B:$I,8,0)</f>
        <v>Information Technology</v>
      </c>
      <c r="H199" t="s">
        <v>476</v>
      </c>
      <c r="I199" t="e">
        <f>+VLOOKUP(H199,[1]Explore!$A:$I,9,0)</f>
        <v>#N/A</v>
      </c>
      <c r="J199" t="str">
        <f t="shared" si="6"/>
        <v>OK</v>
      </c>
      <c r="K199" t="str">
        <f t="shared" si="7"/>
        <v>Information Technology</v>
      </c>
      <c r="L199" t="s">
        <v>93</v>
      </c>
      <c r="M199" t="str">
        <f>_xlfn.IFNA(VLOOKUP(K199,'Mapping DEF'!A:C,2,0),"")</f>
        <v>Industry Allocation</v>
      </c>
      <c r="N199" t="str">
        <f>+_xlfn.IFNA(VLOOKUP(M199,'Mapping DEF'!B:C,2,FALSE),"")</f>
        <v>Equity</v>
      </c>
      <c r="O199" t="s">
        <v>2713</v>
      </c>
    </row>
    <row r="200" spans="1:15" x14ac:dyDescent="0.25">
      <c r="A200" t="s">
        <v>671</v>
      </c>
      <c r="B200" t="s">
        <v>672</v>
      </c>
      <c r="C200">
        <v>2410</v>
      </c>
      <c r="D200" t="s">
        <v>673</v>
      </c>
      <c r="E200" t="s">
        <v>477</v>
      </c>
      <c r="F200" t="s">
        <v>352</v>
      </c>
      <c r="G200" t="e">
        <f>+VLOOKUP(F200,[1]Explore!$B:$I,8,0)</f>
        <v>#N/A</v>
      </c>
      <c r="H200" t="s">
        <v>353</v>
      </c>
      <c r="I200" t="str">
        <f>+VLOOKUP(H200,[1]Explore!$A:$I,9,0)</f>
        <v>Other - Index</v>
      </c>
      <c r="J200" t="str">
        <f t="shared" si="6"/>
        <v>OK</v>
      </c>
      <c r="K200" t="str">
        <f t="shared" si="7"/>
        <v>Other - Index</v>
      </c>
      <c r="L200" t="s">
        <v>27</v>
      </c>
      <c r="M200" t="str">
        <f>_xlfn.IFNA(VLOOKUP(K200,'Mapping DEF'!A:C,2,0),"")</f>
        <v>Other</v>
      </c>
      <c r="N200" t="str">
        <f>+_xlfn.IFNA(VLOOKUP(M200,'Mapping DEF'!B:C,2,FALSE),"")</f>
        <v>Other</v>
      </c>
      <c r="O200" t="s">
        <v>2712</v>
      </c>
    </row>
    <row r="201" spans="1:15" x14ac:dyDescent="0.25">
      <c r="A201" t="s">
        <v>715</v>
      </c>
      <c r="B201" t="s">
        <v>716</v>
      </c>
      <c r="C201">
        <v>2464</v>
      </c>
      <c r="D201" t="s">
        <v>673</v>
      </c>
      <c r="E201" t="s">
        <v>478</v>
      </c>
      <c r="F201" t="s">
        <v>265</v>
      </c>
      <c r="G201" t="str">
        <f>+VLOOKUP(F201,[1]Explore!$B:$I,8,0)</f>
        <v>Alternative - Commodity</v>
      </c>
      <c r="H201" t="s">
        <v>266</v>
      </c>
      <c r="I201" t="str">
        <f>+VLOOKUP(H201,[1]Explore!$A:$I,9,0)</f>
        <v>Alternative - Commodity</v>
      </c>
      <c r="J201" t="str">
        <f t="shared" si="6"/>
        <v>OK</v>
      </c>
      <c r="K201" t="str">
        <f t="shared" si="7"/>
        <v>Alternative - Commodity</v>
      </c>
      <c r="L201" t="s">
        <v>70</v>
      </c>
      <c r="M201" t="str">
        <f>_xlfn.IFNA(VLOOKUP(K201,'Mapping DEF'!A:C,2,0),"")</f>
        <v>Alternative</v>
      </c>
      <c r="N201" t="str">
        <f>+_xlfn.IFNA(VLOOKUP(M201,'Mapping DEF'!B:C,2,FALSE),"")</f>
        <v>Other</v>
      </c>
      <c r="O201" t="s">
        <v>2726</v>
      </c>
    </row>
    <row r="202" spans="1:15" x14ac:dyDescent="0.25">
      <c r="A202" t="s">
        <v>715</v>
      </c>
      <c r="B202" t="s">
        <v>716</v>
      </c>
      <c r="C202">
        <v>2464</v>
      </c>
      <c r="D202" t="s">
        <v>673</v>
      </c>
      <c r="E202" t="s">
        <v>479</v>
      </c>
      <c r="F202" t="s">
        <v>480</v>
      </c>
      <c r="G202" t="str">
        <f>+VLOOKUP(F202,[1]Explore!$B:$I,8,0)</f>
        <v>Alternative - Commodity</v>
      </c>
      <c r="H202" t="s">
        <v>481</v>
      </c>
      <c r="I202" t="str">
        <f>+VLOOKUP(H202,[1]Explore!$A:$I,9,0)</f>
        <v>Alternative - Commodity</v>
      </c>
      <c r="J202" t="str">
        <f t="shared" si="6"/>
        <v>OK</v>
      </c>
      <c r="K202" t="str">
        <f t="shared" si="7"/>
        <v>Alternative - Commodity</v>
      </c>
      <c r="L202" t="s">
        <v>70</v>
      </c>
      <c r="M202" t="str">
        <f>_xlfn.IFNA(VLOOKUP(K202,'Mapping DEF'!A:C,2,0),"")</f>
        <v>Alternative</v>
      </c>
      <c r="N202" t="str">
        <f>+_xlfn.IFNA(VLOOKUP(M202,'Mapping DEF'!B:C,2,FALSE),"")</f>
        <v>Other</v>
      </c>
      <c r="O202" t="s">
        <v>2699</v>
      </c>
    </row>
    <row r="203" spans="1:15" x14ac:dyDescent="0.25">
      <c r="A203" t="s">
        <v>715</v>
      </c>
      <c r="B203" t="s">
        <v>716</v>
      </c>
      <c r="C203">
        <v>2464</v>
      </c>
      <c r="D203" t="s">
        <v>673</v>
      </c>
      <c r="E203" t="s">
        <v>482</v>
      </c>
      <c r="F203" t="s">
        <v>483</v>
      </c>
      <c r="G203" t="str">
        <f>+VLOOKUP(F203,[1]Explore!$B:$I,8,0)</f>
        <v>Govt Emerging Markets</v>
      </c>
      <c r="H203" t="s">
        <v>484</v>
      </c>
      <c r="I203" t="str">
        <f>+VLOOKUP(H203,[1]Explore!$A:$I,9,0)</f>
        <v>Govt Emerging Markets</v>
      </c>
      <c r="J203" t="str">
        <f t="shared" si="6"/>
        <v>OK</v>
      </c>
      <c r="K203" t="str">
        <f t="shared" si="7"/>
        <v>Govt Emerging Markets</v>
      </c>
      <c r="L203" t="s">
        <v>8</v>
      </c>
      <c r="M203" t="str">
        <f>_xlfn.IFNA(VLOOKUP(K203,'Mapping DEF'!A:C,2,0),"")</f>
        <v>Curve (Local)</v>
      </c>
      <c r="N203" t="str">
        <f>+_xlfn.IFNA(VLOOKUP(M203,'Mapping DEF'!B:C,2,FALSE),"")</f>
        <v>Term Structure</v>
      </c>
      <c r="O203" t="s">
        <v>2710</v>
      </c>
    </row>
    <row r="204" spans="1:15" x14ac:dyDescent="0.25">
      <c r="A204" t="s">
        <v>715</v>
      </c>
      <c r="B204" t="s">
        <v>716</v>
      </c>
      <c r="C204">
        <v>2464</v>
      </c>
      <c r="D204" t="s">
        <v>673</v>
      </c>
      <c r="E204" t="s">
        <v>485</v>
      </c>
      <c r="F204" t="s">
        <v>486</v>
      </c>
      <c r="G204" t="str">
        <f>+VLOOKUP(F204,[1]Explore!$B:$I,8,0)</f>
        <v>Govt Emerging Markets</v>
      </c>
      <c r="H204" t="s">
        <v>487</v>
      </c>
      <c r="I204" t="str">
        <f>+VLOOKUP(H204,[1]Explore!$A:$I,9,0)</f>
        <v>Govt Emerging Markets</v>
      </c>
      <c r="J204" t="str">
        <f t="shared" si="6"/>
        <v>OK</v>
      </c>
      <c r="K204" t="str">
        <f t="shared" si="7"/>
        <v>Govt Emerging Markets</v>
      </c>
      <c r="L204" t="s">
        <v>8</v>
      </c>
      <c r="M204" t="str">
        <f>_xlfn.IFNA(VLOOKUP(K204,'Mapping DEF'!A:C,2,0),"")</f>
        <v>Curve (Local)</v>
      </c>
      <c r="N204" t="str">
        <f>+_xlfn.IFNA(VLOOKUP(M204,'Mapping DEF'!B:C,2,FALSE),"")</f>
        <v>Term Structure</v>
      </c>
      <c r="O204" t="s">
        <v>128</v>
      </c>
    </row>
    <row r="205" spans="1:15" x14ac:dyDescent="0.25">
      <c r="A205" t="s">
        <v>715</v>
      </c>
      <c r="B205" t="s">
        <v>716</v>
      </c>
      <c r="C205">
        <v>2464</v>
      </c>
      <c r="D205" t="s">
        <v>673</v>
      </c>
      <c r="E205" t="s">
        <v>488</v>
      </c>
      <c r="F205" t="s">
        <v>183</v>
      </c>
      <c r="G205" t="str">
        <f>+VLOOKUP(F205,[1]Explore!$B:$I,8,0)</f>
        <v>Equity Implied Volatility</v>
      </c>
      <c r="H205" t="s">
        <v>184</v>
      </c>
      <c r="I205" t="str">
        <f>+VLOOKUP(H205,[1]Explore!$A:$I,9,0)</f>
        <v>Equity Implied Volatility</v>
      </c>
      <c r="J205" t="str">
        <f t="shared" si="6"/>
        <v>OK</v>
      </c>
      <c r="K205" t="str">
        <f t="shared" si="7"/>
        <v>Equity Implied Volatility</v>
      </c>
      <c r="L205" t="s">
        <v>27</v>
      </c>
      <c r="M205" t="str">
        <f>_xlfn.IFNA(VLOOKUP(K205,'Mapping DEF'!A:C,2,0),"")</f>
        <v>Equity Derivatives</v>
      </c>
      <c r="N205" t="str">
        <f>+_xlfn.IFNA(VLOOKUP(M205,'Mapping DEF'!B:C,2,FALSE),"")</f>
        <v>Equity</v>
      </c>
      <c r="O205" t="s">
        <v>2712</v>
      </c>
    </row>
    <row r="206" spans="1:15" x14ac:dyDescent="0.25">
      <c r="A206" t="s">
        <v>715</v>
      </c>
      <c r="B206" t="s">
        <v>716</v>
      </c>
      <c r="C206">
        <v>2464</v>
      </c>
      <c r="D206" t="s">
        <v>673</v>
      </c>
      <c r="E206" t="s">
        <v>338</v>
      </c>
      <c r="F206" t="s">
        <v>191</v>
      </c>
      <c r="G206" t="e">
        <f>+VLOOKUP(F206,[1]Explore!$B:$I,8,0)</f>
        <v>#N/A</v>
      </c>
      <c r="H206" t="s">
        <v>192</v>
      </c>
      <c r="I206" t="e">
        <f>+VLOOKUP(H206,[1]Explore!$A:$I,9,0)</f>
        <v>#N/A</v>
      </c>
      <c r="J206" t="str">
        <f t="shared" si="6"/>
        <v>BOTH #N/A</v>
      </c>
      <c r="K206" t="str">
        <f t="shared" si="7"/>
        <v>Time</v>
      </c>
      <c r="L206" t="s">
        <v>191</v>
      </c>
      <c r="M206" t="str">
        <f>_xlfn.IFNA(VLOOKUP(K206,'Mapping DEF'!A:C,2,0),"")</f>
        <v>Time</v>
      </c>
      <c r="N206" t="str">
        <f>+_xlfn.IFNA(VLOOKUP(M206,'Mapping DEF'!B:C,2,FALSE),"")</f>
        <v>Other</v>
      </c>
      <c r="O206" t="s">
        <v>209</v>
      </c>
    </row>
    <row r="207" spans="1:15" x14ac:dyDescent="0.25">
      <c r="A207" t="s">
        <v>715</v>
      </c>
      <c r="B207" t="s">
        <v>716</v>
      </c>
      <c r="C207">
        <v>2464</v>
      </c>
      <c r="D207" t="s">
        <v>673</v>
      </c>
      <c r="E207" t="s">
        <v>489</v>
      </c>
      <c r="F207" t="s">
        <v>490</v>
      </c>
      <c r="G207" t="e">
        <f>+VLOOKUP(F207,[1]Explore!$B:$I,8,0)</f>
        <v>#N/A</v>
      </c>
      <c r="H207" t="s">
        <v>491</v>
      </c>
      <c r="I207" t="e">
        <f>+VLOOKUP(H207,[1]Explore!$A:$I,9,0)</f>
        <v>#N/A</v>
      </c>
      <c r="J207" t="str">
        <f t="shared" si="6"/>
        <v>BOTH #N/A</v>
      </c>
      <c r="K207" t="str">
        <f t="shared" si="7"/>
        <v>Energy</v>
      </c>
      <c r="L207" t="s">
        <v>490</v>
      </c>
      <c r="M207" t="str">
        <f>_xlfn.IFNA(VLOOKUP(K207,'Mapping DEF'!A:C,2,0),"")</f>
        <v>Industry Allocation</v>
      </c>
      <c r="N207" t="str">
        <f>+_xlfn.IFNA(VLOOKUP(M207,'Mapping DEF'!B:C,2,FALSE),"")</f>
        <v>Equity</v>
      </c>
      <c r="O207" t="s">
        <v>2712</v>
      </c>
    </row>
    <row r="208" spans="1:15" x14ac:dyDescent="0.25">
      <c r="A208" t="s">
        <v>715</v>
      </c>
      <c r="B208" t="s">
        <v>716</v>
      </c>
      <c r="C208">
        <v>2464</v>
      </c>
      <c r="D208" t="s">
        <v>673</v>
      </c>
      <c r="E208" t="s">
        <v>492</v>
      </c>
      <c r="F208" t="s">
        <v>340</v>
      </c>
      <c r="G208" t="str">
        <f>+VLOOKUP(F208,[1]Explore!$B:$I,8,0)</f>
        <v>Materials</v>
      </c>
      <c r="H208" t="s">
        <v>341</v>
      </c>
      <c r="I208" t="e">
        <f>+VLOOKUP(H208,[1]Explore!$A:$I,9,0)</f>
        <v>#N/A</v>
      </c>
      <c r="J208" t="str">
        <f t="shared" si="6"/>
        <v>OK</v>
      </c>
      <c r="K208" t="str">
        <f t="shared" si="7"/>
        <v>Materials</v>
      </c>
      <c r="L208" t="s">
        <v>93</v>
      </c>
      <c r="M208" t="str">
        <f>_xlfn.IFNA(VLOOKUP(K208,'Mapping DEF'!A:C,2,0),"")</f>
        <v>Industry Allocation</v>
      </c>
      <c r="N208" t="str">
        <f>+_xlfn.IFNA(VLOOKUP(M208,'Mapping DEF'!B:C,2,FALSE),"")</f>
        <v>Equity</v>
      </c>
      <c r="O208" t="s">
        <v>2715</v>
      </c>
    </row>
    <row r="209" spans="1:15" x14ac:dyDescent="0.25">
      <c r="A209" t="s">
        <v>715</v>
      </c>
      <c r="B209" t="s">
        <v>716</v>
      </c>
      <c r="C209">
        <v>2464</v>
      </c>
      <c r="D209" t="s">
        <v>673</v>
      </c>
      <c r="E209" t="s">
        <v>493</v>
      </c>
      <c r="F209" t="s">
        <v>494</v>
      </c>
      <c r="G209" t="str">
        <f>+VLOOKUP(F209,[1]Explore!$B:$I,8,0)</f>
        <v>Industrials</v>
      </c>
      <c r="H209" t="s">
        <v>495</v>
      </c>
      <c r="I209" t="e">
        <f>+VLOOKUP(H209,[1]Explore!$A:$I,9,0)</f>
        <v>#N/A</v>
      </c>
      <c r="J209" t="str">
        <f t="shared" si="6"/>
        <v>OK</v>
      </c>
      <c r="K209" t="str">
        <f t="shared" si="7"/>
        <v>Industrials</v>
      </c>
      <c r="L209" t="s">
        <v>93</v>
      </c>
      <c r="M209" t="str">
        <f>_xlfn.IFNA(VLOOKUP(K209,'Mapping DEF'!A:C,2,0),"")</f>
        <v>Industry Allocation</v>
      </c>
      <c r="N209" t="str">
        <f>+_xlfn.IFNA(VLOOKUP(M209,'Mapping DEF'!B:C,2,FALSE),"")</f>
        <v>Equity</v>
      </c>
      <c r="O209" t="s">
        <v>2715</v>
      </c>
    </row>
    <row r="210" spans="1:15" x14ac:dyDescent="0.25">
      <c r="A210" t="s">
        <v>715</v>
      </c>
      <c r="B210" t="s">
        <v>716</v>
      </c>
      <c r="C210">
        <v>2464</v>
      </c>
      <c r="D210" t="s">
        <v>717</v>
      </c>
      <c r="E210" t="s">
        <v>496</v>
      </c>
      <c r="F210" t="s">
        <v>2160</v>
      </c>
      <c r="G210" t="str">
        <f>+VLOOKUP(F210,[1]Explore!$B:$I,8,0)</f>
        <v>Real Estate</v>
      </c>
      <c r="H210" t="s">
        <v>497</v>
      </c>
      <c r="I210" t="e">
        <f>+VLOOKUP(H210,[1]Explore!$A:$I,9,0)</f>
        <v>#N/A</v>
      </c>
      <c r="J210" t="str">
        <f t="shared" si="6"/>
        <v>OK</v>
      </c>
      <c r="K210" t="str">
        <f t="shared" si="7"/>
        <v>Real Estate</v>
      </c>
      <c r="L210" t="s">
        <v>93</v>
      </c>
      <c r="M210" t="str">
        <f>_xlfn.IFNA(VLOOKUP(K210,'Mapping DEF'!A:C,2,0),"")</f>
        <v>Industry Allocation</v>
      </c>
      <c r="N210" t="str">
        <f>+_xlfn.IFNA(VLOOKUP(M210,'Mapping DEF'!B:C,2,FALSE),"")</f>
        <v>Equity</v>
      </c>
      <c r="O210" t="s">
        <v>2720</v>
      </c>
    </row>
    <row r="211" spans="1:15" x14ac:dyDescent="0.25">
      <c r="A211" t="s">
        <v>715</v>
      </c>
      <c r="B211" t="s">
        <v>716</v>
      </c>
      <c r="C211">
        <v>2464</v>
      </c>
      <c r="D211" t="s">
        <v>717</v>
      </c>
      <c r="E211" t="s">
        <v>498</v>
      </c>
      <c r="F211" t="s">
        <v>349</v>
      </c>
      <c r="G211" t="str">
        <f>+VLOOKUP(F211,[1]Explore!$B:$I,8,0)</f>
        <v>Corporate HY USD - Industry</v>
      </c>
      <c r="H211" t="s">
        <v>350</v>
      </c>
      <c r="I211" t="str">
        <f>+VLOOKUP(H211,[1]Explore!$A:$I,9,0)</f>
        <v>Corporate HY USD - Industry</v>
      </c>
      <c r="J211" t="str">
        <f t="shared" si="6"/>
        <v>OK</v>
      </c>
      <c r="K211" t="str">
        <f t="shared" si="7"/>
        <v>Corporate HY USD - Industry</v>
      </c>
      <c r="L211" t="s">
        <v>188</v>
      </c>
      <c r="M211" t="str">
        <f>_xlfn.IFNA(VLOOKUP(K211,'Mapping DEF'!A:C,2,0),"")</f>
        <v>Spread</v>
      </c>
      <c r="N211" t="str">
        <f>+_xlfn.IFNA(VLOOKUP(M211,'Mapping DEF'!B:C,2,FALSE),"")</f>
        <v>Spread</v>
      </c>
      <c r="O211" t="s">
        <v>85</v>
      </c>
    </row>
    <row r="212" spans="1:15" x14ac:dyDescent="0.25">
      <c r="A212" t="s">
        <v>715</v>
      </c>
      <c r="B212" t="s">
        <v>716</v>
      </c>
      <c r="C212">
        <v>2464</v>
      </c>
      <c r="D212" t="s">
        <v>717</v>
      </c>
      <c r="E212" t="s">
        <v>499</v>
      </c>
      <c r="F212" t="s">
        <v>430</v>
      </c>
      <c r="G212" t="str">
        <f>+VLOOKUP(F212,[1]Explore!$B:$I,8,0)</f>
        <v>Other - Index</v>
      </c>
      <c r="H212" t="s">
        <v>431</v>
      </c>
      <c r="I212" t="str">
        <f>+VLOOKUP(H212,[1]Explore!$A:$I,9,0)</f>
        <v>Other - Index</v>
      </c>
      <c r="J212" t="str">
        <f t="shared" si="6"/>
        <v>OK</v>
      </c>
      <c r="K212" t="str">
        <f t="shared" si="7"/>
        <v>Other - Index</v>
      </c>
      <c r="L212" t="s">
        <v>27</v>
      </c>
      <c r="M212" t="str">
        <f>_xlfn.IFNA(VLOOKUP(K212,'Mapping DEF'!A:C,2,0),"")</f>
        <v>Other</v>
      </c>
      <c r="N212" t="str">
        <f>+_xlfn.IFNA(VLOOKUP(M212,'Mapping DEF'!B:C,2,FALSE),"")</f>
        <v>Other</v>
      </c>
      <c r="O212" t="s">
        <v>2700</v>
      </c>
    </row>
    <row r="213" spans="1:15" x14ac:dyDescent="0.25">
      <c r="A213" t="s">
        <v>726</v>
      </c>
      <c r="B213" t="s">
        <v>727</v>
      </c>
      <c r="C213">
        <v>2465</v>
      </c>
      <c r="D213" t="s">
        <v>717</v>
      </c>
      <c r="E213" t="s">
        <v>334</v>
      </c>
      <c r="F213" t="s">
        <v>19</v>
      </c>
      <c r="G213" t="str">
        <f>+VLOOKUP(F213,[1]Explore!$B:$I,8,0)</f>
        <v>Govt USD</v>
      </c>
      <c r="H213" t="s">
        <v>20</v>
      </c>
      <c r="I213" t="str">
        <f>+VLOOKUP(H213,[1]Explore!$A:$I,9,0)</f>
        <v>Govt USD</v>
      </c>
      <c r="J213" t="str">
        <f t="shared" si="6"/>
        <v>OK</v>
      </c>
      <c r="K213" t="str">
        <f t="shared" si="7"/>
        <v>Govt USD</v>
      </c>
      <c r="L213" t="s">
        <v>8</v>
      </c>
      <c r="M213" t="str">
        <f>_xlfn.IFNA(VLOOKUP(K213,'Mapping DEF'!A:C,2,0),"")</f>
        <v>Curve (Local)</v>
      </c>
      <c r="N213" t="str">
        <f>+_xlfn.IFNA(VLOOKUP(M213,'Mapping DEF'!B:C,2,FALSE),"")</f>
        <v>Term Structure</v>
      </c>
      <c r="O213" t="s">
        <v>2703</v>
      </c>
    </row>
    <row r="214" spans="1:15" x14ac:dyDescent="0.25">
      <c r="A214" t="s">
        <v>726</v>
      </c>
      <c r="B214" t="s">
        <v>727</v>
      </c>
      <c r="C214">
        <v>2465</v>
      </c>
      <c r="D214" t="s">
        <v>717</v>
      </c>
      <c r="E214" t="s">
        <v>478</v>
      </c>
      <c r="F214" t="s">
        <v>265</v>
      </c>
      <c r="G214" t="str">
        <f>+VLOOKUP(F214,[1]Explore!$B:$I,8,0)</f>
        <v>Alternative - Commodity</v>
      </c>
      <c r="H214" t="s">
        <v>266</v>
      </c>
      <c r="I214" t="str">
        <f>+VLOOKUP(H214,[1]Explore!$A:$I,9,0)</f>
        <v>Alternative - Commodity</v>
      </c>
      <c r="J214" t="str">
        <f t="shared" si="6"/>
        <v>OK</v>
      </c>
      <c r="K214" t="str">
        <f t="shared" si="7"/>
        <v>Alternative - Commodity</v>
      </c>
      <c r="L214" t="s">
        <v>70</v>
      </c>
      <c r="M214" t="str">
        <f>_xlfn.IFNA(VLOOKUP(K214,'Mapping DEF'!A:C,2,0),"")</f>
        <v>Alternative</v>
      </c>
      <c r="N214" t="str">
        <f>+_xlfn.IFNA(VLOOKUP(M214,'Mapping DEF'!B:C,2,FALSE),"")</f>
        <v>Other</v>
      </c>
      <c r="O214" t="s">
        <v>2726</v>
      </c>
    </row>
    <row r="215" spans="1:15" x14ac:dyDescent="0.25">
      <c r="A215" t="s">
        <v>726</v>
      </c>
      <c r="B215" t="s">
        <v>727</v>
      </c>
      <c r="C215">
        <v>2465</v>
      </c>
      <c r="D215" t="s">
        <v>717</v>
      </c>
      <c r="E215" t="s">
        <v>500</v>
      </c>
      <c r="F215" t="s">
        <v>480</v>
      </c>
      <c r="G215" t="str">
        <f>+VLOOKUP(F215,[1]Explore!$B:$I,8,0)</f>
        <v>Alternative - Commodity</v>
      </c>
      <c r="H215" t="s">
        <v>481</v>
      </c>
      <c r="I215" t="str">
        <f>+VLOOKUP(H215,[1]Explore!$A:$I,9,0)</f>
        <v>Alternative - Commodity</v>
      </c>
      <c r="J215" t="str">
        <f t="shared" si="6"/>
        <v>OK</v>
      </c>
      <c r="K215" t="str">
        <f t="shared" si="7"/>
        <v>Alternative - Commodity</v>
      </c>
      <c r="L215" t="s">
        <v>70</v>
      </c>
      <c r="M215" t="str">
        <f>_xlfn.IFNA(VLOOKUP(K215,'Mapping DEF'!A:C,2,0),"")</f>
        <v>Alternative</v>
      </c>
      <c r="N215" t="str">
        <f>+_xlfn.IFNA(VLOOKUP(M215,'Mapping DEF'!B:C,2,FALSE),"")</f>
        <v>Other</v>
      </c>
      <c r="O215" t="s">
        <v>2726</v>
      </c>
    </row>
    <row r="216" spans="1:15" x14ac:dyDescent="0.25">
      <c r="A216" t="s">
        <v>726</v>
      </c>
      <c r="B216" t="s">
        <v>727</v>
      </c>
      <c r="C216">
        <v>2465</v>
      </c>
      <c r="D216" t="s">
        <v>717</v>
      </c>
      <c r="E216" t="s">
        <v>415</v>
      </c>
      <c r="F216" t="s">
        <v>268</v>
      </c>
      <c r="G216" t="str">
        <f>+VLOOKUP(F216,[1]Explore!$B:$I,8,0)</f>
        <v>Alternative - Commodity</v>
      </c>
      <c r="H216" t="s">
        <v>269</v>
      </c>
      <c r="I216" t="str">
        <f>+VLOOKUP(H216,[1]Explore!$A:$I,9,0)</f>
        <v>Alternative - Commodity</v>
      </c>
      <c r="J216" t="str">
        <f t="shared" si="6"/>
        <v>OK</v>
      </c>
      <c r="K216" t="str">
        <f t="shared" si="7"/>
        <v>Alternative - Commodity</v>
      </c>
      <c r="L216" t="s">
        <v>70</v>
      </c>
      <c r="M216" t="str">
        <f>_xlfn.IFNA(VLOOKUP(K216,'Mapping DEF'!A:C,2,0),"")</f>
        <v>Alternative</v>
      </c>
      <c r="N216" t="str">
        <f>+_xlfn.IFNA(VLOOKUP(M216,'Mapping DEF'!B:C,2,FALSE),"")</f>
        <v>Other</v>
      </c>
      <c r="O216" t="s">
        <v>162</v>
      </c>
    </row>
    <row r="217" spans="1:15" x14ac:dyDescent="0.25">
      <c r="A217" t="s">
        <v>726</v>
      </c>
      <c r="B217" t="s">
        <v>727</v>
      </c>
      <c r="C217">
        <v>2465</v>
      </c>
      <c r="D217" t="s">
        <v>717</v>
      </c>
      <c r="E217" t="s">
        <v>501</v>
      </c>
      <c r="F217" t="s">
        <v>502</v>
      </c>
      <c r="G217" t="e">
        <f>+VLOOKUP(F217,[1]Explore!$B:$I,8,0)</f>
        <v>#N/A</v>
      </c>
      <c r="H217" t="s">
        <v>503</v>
      </c>
      <c r="I217" t="str">
        <f>+VLOOKUP(H217,[1]Explore!$A:$I,9,0)</f>
        <v>Developed Currency</v>
      </c>
      <c r="J217" t="str">
        <f t="shared" si="6"/>
        <v>OK</v>
      </c>
      <c r="K217" t="str">
        <f t="shared" si="7"/>
        <v>Developed Currency</v>
      </c>
      <c r="L217" t="s">
        <v>75</v>
      </c>
      <c r="M217" t="str">
        <f>_xlfn.IFNA(VLOOKUP(K217,'Mapping DEF'!A:C,2,0),"")</f>
        <v>FX</v>
      </c>
      <c r="N217" t="str">
        <f>+_xlfn.IFNA(VLOOKUP(M217,'Mapping DEF'!B:C,2,FALSE),"")</f>
        <v>FX</v>
      </c>
      <c r="O217" t="s">
        <v>2711</v>
      </c>
    </row>
    <row r="218" spans="1:15" x14ac:dyDescent="0.25">
      <c r="A218" t="s">
        <v>726</v>
      </c>
      <c r="B218" t="s">
        <v>727</v>
      </c>
      <c r="C218">
        <v>2465</v>
      </c>
      <c r="D218" t="s">
        <v>717</v>
      </c>
      <c r="E218" t="s">
        <v>504</v>
      </c>
      <c r="F218" t="s">
        <v>2944</v>
      </c>
      <c r="G218" t="str">
        <f>+VLOOKUP(F218,[1]Explore!$B:$I,8,0)</f>
        <v>JPY</v>
      </c>
      <c r="H218" t="s">
        <v>138</v>
      </c>
      <c r="I218" t="str">
        <f>+VLOOKUP(H218,[1]Explore!$A:$I,9,0)</f>
        <v>JPY</v>
      </c>
      <c r="J218" t="str">
        <f t="shared" si="6"/>
        <v>OK</v>
      </c>
      <c r="K218" t="str">
        <f t="shared" si="7"/>
        <v>JPY</v>
      </c>
      <c r="L218" t="s">
        <v>75</v>
      </c>
      <c r="M218" t="str">
        <f>_xlfn.IFNA(VLOOKUP(K218,'Mapping DEF'!A:C,2,0),"")</f>
        <v>FX</v>
      </c>
      <c r="N218" t="str">
        <f>+_xlfn.IFNA(VLOOKUP(M218,'Mapping DEF'!B:C,2,FALSE),"")</f>
        <v>FX</v>
      </c>
      <c r="O218" t="s">
        <v>274</v>
      </c>
    </row>
    <row r="219" spans="1:15" x14ac:dyDescent="0.25">
      <c r="A219" t="s">
        <v>726</v>
      </c>
      <c r="B219" t="s">
        <v>727</v>
      </c>
      <c r="C219">
        <v>2465</v>
      </c>
      <c r="D219" t="s">
        <v>717</v>
      </c>
      <c r="E219" t="s">
        <v>505</v>
      </c>
      <c r="F219" t="s">
        <v>183</v>
      </c>
      <c r="G219" t="str">
        <f>+VLOOKUP(F219,[1]Explore!$B:$I,8,0)</f>
        <v>Equity Implied Volatility</v>
      </c>
      <c r="H219" t="s">
        <v>184</v>
      </c>
      <c r="I219" t="str">
        <f>+VLOOKUP(H219,[1]Explore!$A:$I,9,0)</f>
        <v>Equity Implied Volatility</v>
      </c>
      <c r="J219" t="str">
        <f t="shared" si="6"/>
        <v>OK</v>
      </c>
      <c r="K219" t="str">
        <f t="shared" si="7"/>
        <v>Equity Implied Volatility</v>
      </c>
      <c r="L219" t="s">
        <v>27</v>
      </c>
      <c r="M219" t="str">
        <f>_xlfn.IFNA(VLOOKUP(K219,'Mapping DEF'!A:C,2,0),"")</f>
        <v>Equity Derivatives</v>
      </c>
      <c r="N219" t="str">
        <f>+_xlfn.IFNA(VLOOKUP(M219,'Mapping DEF'!B:C,2,FALSE),"")</f>
        <v>Equity</v>
      </c>
      <c r="O219" t="s">
        <v>2700</v>
      </c>
    </row>
    <row r="220" spans="1:15" x14ac:dyDescent="0.25">
      <c r="A220" t="s">
        <v>726</v>
      </c>
      <c r="B220" t="s">
        <v>727</v>
      </c>
      <c r="C220">
        <v>2465</v>
      </c>
      <c r="D220" t="s">
        <v>717</v>
      </c>
      <c r="E220" t="s">
        <v>338</v>
      </c>
      <c r="F220" t="s">
        <v>191</v>
      </c>
      <c r="G220" t="e">
        <f>+VLOOKUP(F220,[1]Explore!$B:$I,8,0)</f>
        <v>#N/A</v>
      </c>
      <c r="H220" t="s">
        <v>192</v>
      </c>
      <c r="I220" t="e">
        <f>+VLOOKUP(H220,[1]Explore!$A:$I,9,0)</f>
        <v>#N/A</v>
      </c>
      <c r="J220" t="str">
        <f t="shared" si="6"/>
        <v>BOTH #N/A</v>
      </c>
      <c r="K220" t="str">
        <f t="shared" si="7"/>
        <v>Time</v>
      </c>
      <c r="L220" t="s">
        <v>191</v>
      </c>
      <c r="M220" t="str">
        <f>_xlfn.IFNA(VLOOKUP(K220,'Mapping DEF'!A:C,2,0),"")</f>
        <v>Time</v>
      </c>
      <c r="N220" t="str">
        <f>+_xlfn.IFNA(VLOOKUP(M220,'Mapping DEF'!B:C,2,FALSE),"")</f>
        <v>Other</v>
      </c>
      <c r="O220" t="s">
        <v>209</v>
      </c>
    </row>
    <row r="221" spans="1:15" x14ac:dyDescent="0.25">
      <c r="A221" t="s">
        <v>726</v>
      </c>
      <c r="B221" t="s">
        <v>727</v>
      </c>
      <c r="C221">
        <v>2465</v>
      </c>
      <c r="D221" t="s">
        <v>717</v>
      </c>
      <c r="E221" t="s">
        <v>506</v>
      </c>
      <c r="F221" t="s">
        <v>238</v>
      </c>
      <c r="G221" t="str">
        <f>+VLOOKUP(F221,[1]Explore!$B:$I,8,0)</f>
        <v>Consumer Discretionary</v>
      </c>
      <c r="H221" t="s">
        <v>239</v>
      </c>
      <c r="I221" t="e">
        <f>+VLOOKUP(H221,[1]Explore!$A:$I,9,0)</f>
        <v>#N/A</v>
      </c>
      <c r="J221" t="str">
        <f t="shared" si="6"/>
        <v>OK</v>
      </c>
      <c r="K221" t="str">
        <f t="shared" si="7"/>
        <v>Consumer Discretionary</v>
      </c>
      <c r="L221" t="s">
        <v>93</v>
      </c>
      <c r="M221" t="str">
        <f>_xlfn.IFNA(VLOOKUP(K221,'Mapping DEF'!A:C,2,0),"")</f>
        <v>Industry Allocation</v>
      </c>
      <c r="N221" t="str">
        <f>+_xlfn.IFNA(VLOOKUP(M221,'Mapping DEF'!B:C,2,FALSE),"")</f>
        <v>Equity</v>
      </c>
      <c r="O221" t="s">
        <v>2699</v>
      </c>
    </row>
    <row r="222" spans="1:15" x14ac:dyDescent="0.25">
      <c r="A222" t="s">
        <v>726</v>
      </c>
      <c r="B222" t="s">
        <v>727</v>
      </c>
      <c r="C222">
        <v>2465</v>
      </c>
      <c r="D222" t="s">
        <v>728</v>
      </c>
      <c r="E222" t="s">
        <v>507</v>
      </c>
      <c r="F222" t="s">
        <v>468</v>
      </c>
      <c r="G222" t="e">
        <f>+VLOOKUP(F222,[1]Explore!$B:$I,8,0)</f>
        <v>#N/A</v>
      </c>
      <c r="H222" t="s">
        <v>508</v>
      </c>
      <c r="I222" t="str">
        <f>+VLOOKUP(H222,[1]Explore!$A:$I,9,0)</f>
        <v>Consumer Discretionary</v>
      </c>
      <c r="J222" t="str">
        <f t="shared" si="6"/>
        <v>OK</v>
      </c>
      <c r="K222" t="str">
        <f t="shared" si="7"/>
        <v>Consumer Discretionary</v>
      </c>
      <c r="L222" t="s">
        <v>93</v>
      </c>
      <c r="M222" t="str">
        <f>_xlfn.IFNA(VLOOKUP(K222,'Mapping DEF'!A:C,2,0),"")</f>
        <v>Industry Allocation</v>
      </c>
      <c r="N222" t="str">
        <f>+_xlfn.IFNA(VLOOKUP(M222,'Mapping DEF'!B:C,2,FALSE),"")</f>
        <v>Equity</v>
      </c>
      <c r="O222" t="s">
        <v>2700</v>
      </c>
    </row>
    <row r="223" spans="1:15" x14ac:dyDescent="0.25">
      <c r="A223" t="s">
        <v>726</v>
      </c>
      <c r="B223" t="s">
        <v>727</v>
      </c>
      <c r="C223">
        <v>2465</v>
      </c>
      <c r="D223" t="s">
        <v>728</v>
      </c>
      <c r="E223" t="s">
        <v>509</v>
      </c>
      <c r="F223" t="s">
        <v>220</v>
      </c>
      <c r="G223" t="str">
        <f>+VLOOKUP(F223,[1]Explore!$B:$I,8,0)</f>
        <v>Corporate HY USD - Other</v>
      </c>
      <c r="H223" t="s">
        <v>510</v>
      </c>
      <c r="I223" t="str">
        <f>+VLOOKUP(H223,[1]Explore!$A:$I,9,0)</f>
        <v>Corporate HY USD - Other</v>
      </c>
      <c r="J223" t="str">
        <f t="shared" si="6"/>
        <v>OK</v>
      </c>
      <c r="K223" t="str">
        <f t="shared" si="7"/>
        <v>Corporate HY USD - Other</v>
      </c>
      <c r="L223" t="s">
        <v>188</v>
      </c>
      <c r="M223" t="str">
        <f>_xlfn.IFNA(VLOOKUP(K223,'Mapping DEF'!A:C,2,0),"")</f>
        <v>Spread</v>
      </c>
      <c r="N223" t="str">
        <f>+_xlfn.IFNA(VLOOKUP(M223,'Mapping DEF'!B:C,2,FALSE),"")</f>
        <v>Spread</v>
      </c>
      <c r="O223" t="s">
        <v>300</v>
      </c>
    </row>
    <row r="224" spans="1:15" x14ac:dyDescent="0.25">
      <c r="A224" t="s">
        <v>726</v>
      </c>
      <c r="B224" t="s">
        <v>727</v>
      </c>
      <c r="C224">
        <v>2465</v>
      </c>
      <c r="D224" t="s">
        <v>728</v>
      </c>
      <c r="E224" t="s">
        <v>514</v>
      </c>
      <c r="F224" t="s">
        <v>430</v>
      </c>
      <c r="G224" t="str">
        <f>+VLOOKUP(F224,[1]Explore!$B:$I,8,0)</f>
        <v>Other - Index</v>
      </c>
      <c r="H224" t="s">
        <v>515</v>
      </c>
      <c r="I224" t="e">
        <f>+VLOOKUP(H224,[1]Explore!$A:$I,9,0)</f>
        <v>#N/A</v>
      </c>
      <c r="J224" t="str">
        <f t="shared" si="6"/>
        <v>OK</v>
      </c>
      <c r="K224" t="str">
        <f t="shared" si="7"/>
        <v>Other - Index</v>
      </c>
      <c r="L224" t="s">
        <v>27</v>
      </c>
      <c r="M224" t="str">
        <f>_xlfn.IFNA(VLOOKUP(K224,'Mapping DEF'!A:C,2,0),"")</f>
        <v>Other</v>
      </c>
      <c r="N224" t="str">
        <f>+_xlfn.IFNA(VLOOKUP(M224,'Mapping DEF'!B:C,2,FALSE),"")</f>
        <v>Other</v>
      </c>
      <c r="O224" t="s">
        <v>2715</v>
      </c>
    </row>
    <row r="225" spans="1:15" x14ac:dyDescent="0.25">
      <c r="A225" t="s">
        <v>726</v>
      </c>
      <c r="B225" t="s">
        <v>727</v>
      </c>
      <c r="C225">
        <v>2465</v>
      </c>
      <c r="D225" t="s">
        <v>728</v>
      </c>
      <c r="E225" t="s">
        <v>516</v>
      </c>
      <c r="F225" t="s">
        <v>2618</v>
      </c>
      <c r="G225" t="str">
        <f>+VLOOKUP(F225,[1]Explore!$B:$I,8,0)</f>
        <v>Equity Implied Volatility</v>
      </c>
      <c r="H225" t="s">
        <v>243</v>
      </c>
      <c r="I225" t="e">
        <f>+VLOOKUP(H225,[1]Explore!$A:$I,9,0)</f>
        <v>#N/A</v>
      </c>
      <c r="J225" t="str">
        <f t="shared" si="6"/>
        <v>OK</v>
      </c>
      <c r="K225" t="str">
        <f t="shared" si="7"/>
        <v>Equity Implied Volatility</v>
      </c>
      <c r="L225" t="s">
        <v>27</v>
      </c>
      <c r="M225" t="str">
        <f>_xlfn.IFNA(VLOOKUP(K225,'Mapping DEF'!A:C,2,0),"")</f>
        <v>Equity Derivatives</v>
      </c>
      <c r="N225" t="str">
        <f>+_xlfn.IFNA(VLOOKUP(M225,'Mapping DEF'!B:C,2,FALSE),"")</f>
        <v>Equity</v>
      </c>
      <c r="O225" t="s">
        <v>2721</v>
      </c>
    </row>
    <row r="226" spans="1:15" x14ac:dyDescent="0.25">
      <c r="A226" t="s">
        <v>787</v>
      </c>
      <c r="B226" t="s">
        <v>788</v>
      </c>
      <c r="C226">
        <v>2463</v>
      </c>
      <c r="D226" t="s">
        <v>728</v>
      </c>
      <c r="E226" t="s">
        <v>436</v>
      </c>
      <c r="F226" t="s">
        <v>265</v>
      </c>
      <c r="G226" t="str">
        <f>+VLOOKUP(F226,[1]Explore!$B:$I,8,0)</f>
        <v>Alternative - Commodity</v>
      </c>
      <c r="H226" t="s">
        <v>266</v>
      </c>
      <c r="I226" t="str">
        <f>+VLOOKUP(H226,[1]Explore!$A:$I,9,0)</f>
        <v>Alternative - Commodity</v>
      </c>
      <c r="J226" t="str">
        <f t="shared" si="6"/>
        <v>OK</v>
      </c>
      <c r="K226" t="str">
        <f t="shared" si="7"/>
        <v>Alternative - Commodity</v>
      </c>
      <c r="L226" t="s">
        <v>70</v>
      </c>
      <c r="M226" t="str">
        <f>_xlfn.IFNA(VLOOKUP(K226,'Mapping DEF'!A:C,2,0),"")</f>
        <v>Alternative</v>
      </c>
      <c r="N226" t="str">
        <f>+_xlfn.IFNA(VLOOKUP(M226,'Mapping DEF'!B:C,2,FALSE),"")</f>
        <v>Other</v>
      </c>
      <c r="O226" t="s">
        <v>2700</v>
      </c>
    </row>
    <row r="227" spans="1:15" x14ac:dyDescent="0.25">
      <c r="A227" t="s">
        <v>787</v>
      </c>
      <c r="B227" t="s">
        <v>788</v>
      </c>
      <c r="C227">
        <v>2463</v>
      </c>
      <c r="D227" t="s">
        <v>728</v>
      </c>
      <c r="E227" t="s">
        <v>517</v>
      </c>
      <c r="F227" t="s">
        <v>480</v>
      </c>
      <c r="G227" t="str">
        <f>+VLOOKUP(F227,[1]Explore!$B:$I,8,0)</f>
        <v>Alternative - Commodity</v>
      </c>
      <c r="H227" t="s">
        <v>481</v>
      </c>
      <c r="I227" t="str">
        <f>+VLOOKUP(H227,[1]Explore!$A:$I,9,0)</f>
        <v>Alternative - Commodity</v>
      </c>
      <c r="J227" t="str">
        <f t="shared" si="6"/>
        <v>OK</v>
      </c>
      <c r="K227" t="str">
        <f t="shared" si="7"/>
        <v>Alternative - Commodity</v>
      </c>
      <c r="L227" t="s">
        <v>70</v>
      </c>
      <c r="M227" t="str">
        <f>_xlfn.IFNA(VLOOKUP(K227,'Mapping DEF'!A:C,2,0),"")</f>
        <v>Alternative</v>
      </c>
      <c r="N227" t="str">
        <f>+_xlfn.IFNA(VLOOKUP(M227,'Mapping DEF'!B:C,2,FALSE),"")</f>
        <v>Other</v>
      </c>
      <c r="O227" t="s">
        <v>79</v>
      </c>
    </row>
    <row r="228" spans="1:15" x14ac:dyDescent="0.25">
      <c r="A228" t="s">
        <v>787</v>
      </c>
      <c r="B228" t="s">
        <v>788</v>
      </c>
      <c r="C228">
        <v>2463</v>
      </c>
      <c r="D228" t="s">
        <v>728</v>
      </c>
      <c r="E228" t="s">
        <v>482</v>
      </c>
      <c r="F228" t="s">
        <v>483</v>
      </c>
      <c r="G228" t="str">
        <f>+VLOOKUP(F228,[1]Explore!$B:$I,8,0)</f>
        <v>Govt Emerging Markets</v>
      </c>
      <c r="H228" t="s">
        <v>484</v>
      </c>
      <c r="I228" t="str">
        <f>+VLOOKUP(H228,[1]Explore!$A:$I,9,0)</f>
        <v>Govt Emerging Markets</v>
      </c>
      <c r="J228" t="str">
        <f t="shared" si="6"/>
        <v>OK</v>
      </c>
      <c r="K228" t="str">
        <f t="shared" si="7"/>
        <v>Govt Emerging Markets</v>
      </c>
      <c r="L228" t="s">
        <v>8</v>
      </c>
      <c r="M228" t="str">
        <f>_xlfn.IFNA(VLOOKUP(K228,'Mapping DEF'!A:C,2,0),"")</f>
        <v>Curve (Local)</v>
      </c>
      <c r="N228" t="str">
        <f>+_xlfn.IFNA(VLOOKUP(M228,'Mapping DEF'!B:C,2,FALSE),"")</f>
        <v>Term Structure</v>
      </c>
      <c r="O228" t="s">
        <v>2710</v>
      </c>
    </row>
    <row r="229" spans="1:15" x14ac:dyDescent="0.25">
      <c r="A229" t="s">
        <v>787</v>
      </c>
      <c r="B229" t="s">
        <v>788</v>
      </c>
      <c r="C229">
        <v>2463</v>
      </c>
      <c r="D229" t="s">
        <v>728</v>
      </c>
      <c r="E229" t="s">
        <v>518</v>
      </c>
      <c r="F229" t="s">
        <v>486</v>
      </c>
      <c r="G229" t="str">
        <f>+VLOOKUP(F229,[1]Explore!$B:$I,8,0)</f>
        <v>Govt Emerging Markets</v>
      </c>
      <c r="H229" t="s">
        <v>487</v>
      </c>
      <c r="I229" t="str">
        <f>+VLOOKUP(H229,[1]Explore!$A:$I,9,0)</f>
        <v>Govt Emerging Markets</v>
      </c>
      <c r="J229" t="str">
        <f t="shared" si="6"/>
        <v>OK</v>
      </c>
      <c r="K229" t="str">
        <f t="shared" si="7"/>
        <v>Govt Emerging Markets</v>
      </c>
      <c r="L229" t="s">
        <v>8</v>
      </c>
      <c r="M229" t="str">
        <f>_xlfn.IFNA(VLOOKUP(K229,'Mapping DEF'!A:C,2,0),"")</f>
        <v>Curve (Local)</v>
      </c>
      <c r="N229" t="str">
        <f>+_xlfn.IFNA(VLOOKUP(M229,'Mapping DEF'!B:C,2,FALSE),"")</f>
        <v>Term Structure</v>
      </c>
      <c r="O229" t="s">
        <v>2741</v>
      </c>
    </row>
    <row r="230" spans="1:15" x14ac:dyDescent="0.25">
      <c r="A230" t="s">
        <v>787</v>
      </c>
      <c r="B230" t="s">
        <v>788</v>
      </c>
      <c r="C230">
        <v>2463</v>
      </c>
      <c r="D230" t="s">
        <v>728</v>
      </c>
      <c r="E230" t="s">
        <v>338</v>
      </c>
      <c r="F230" t="s">
        <v>191</v>
      </c>
      <c r="G230" t="e">
        <f>+VLOOKUP(F230,[1]Explore!$B:$I,8,0)</f>
        <v>#N/A</v>
      </c>
      <c r="H230" t="s">
        <v>192</v>
      </c>
      <c r="I230" t="e">
        <f>+VLOOKUP(H230,[1]Explore!$A:$I,9,0)</f>
        <v>#N/A</v>
      </c>
      <c r="J230" t="str">
        <f t="shared" si="6"/>
        <v>BOTH #N/A</v>
      </c>
      <c r="K230" t="str">
        <f t="shared" si="7"/>
        <v>Time</v>
      </c>
      <c r="L230" t="s">
        <v>191</v>
      </c>
      <c r="M230" t="str">
        <f>_xlfn.IFNA(VLOOKUP(K230,'Mapping DEF'!A:C,2,0),"")</f>
        <v>Time</v>
      </c>
      <c r="N230" t="str">
        <f>+_xlfn.IFNA(VLOOKUP(M230,'Mapping DEF'!B:C,2,FALSE),"")</f>
        <v>Other</v>
      </c>
      <c r="O230" t="s">
        <v>209</v>
      </c>
    </row>
    <row r="231" spans="1:15" x14ac:dyDescent="0.25">
      <c r="A231" t="s">
        <v>787</v>
      </c>
      <c r="B231" t="s">
        <v>788</v>
      </c>
      <c r="C231">
        <v>2463</v>
      </c>
      <c r="D231" t="s">
        <v>728</v>
      </c>
      <c r="E231" t="s">
        <v>519</v>
      </c>
      <c r="F231" t="s">
        <v>2164</v>
      </c>
      <c r="G231" t="e">
        <f>+VLOOKUP(F231,[1]Explore!$B:$I,8,0)</f>
        <v>#N/A</v>
      </c>
      <c r="H231" t="s">
        <v>520</v>
      </c>
      <c r="I231" t="e">
        <f>+VLOOKUP(H231,[1]Explore!$A:$I,9,0)</f>
        <v>#N/A</v>
      </c>
      <c r="J231" t="str">
        <f t="shared" si="6"/>
        <v>BOTH #N/A</v>
      </c>
      <c r="K231" t="str">
        <f t="shared" si="7"/>
        <v>Information Technology</v>
      </c>
      <c r="L231" t="s">
        <v>2679</v>
      </c>
      <c r="M231" t="str">
        <f>_xlfn.IFNA(VLOOKUP(K231,'Mapping DEF'!A:C,2,0),"")</f>
        <v>Industry Allocation</v>
      </c>
      <c r="N231" t="str">
        <f>+_xlfn.IFNA(VLOOKUP(M231,'Mapping DEF'!B:C,2,FALSE),"")</f>
        <v>Equity</v>
      </c>
      <c r="O231" t="s">
        <v>108</v>
      </c>
    </row>
    <row r="232" spans="1:15" x14ac:dyDescent="0.25">
      <c r="A232" t="s">
        <v>787</v>
      </c>
      <c r="B232" t="s">
        <v>788</v>
      </c>
      <c r="C232">
        <v>2463</v>
      </c>
      <c r="D232" t="s">
        <v>728</v>
      </c>
      <c r="E232" t="s">
        <v>521</v>
      </c>
      <c r="F232" t="s">
        <v>349</v>
      </c>
      <c r="G232" t="str">
        <f>+VLOOKUP(F232,[1]Explore!$B:$I,8,0)</f>
        <v>Corporate HY USD - Industry</v>
      </c>
      <c r="H232" t="s">
        <v>350</v>
      </c>
      <c r="I232" t="str">
        <f>+VLOOKUP(H232,[1]Explore!$A:$I,9,0)</f>
        <v>Corporate HY USD - Industry</v>
      </c>
      <c r="J232" t="str">
        <f t="shared" si="6"/>
        <v>OK</v>
      </c>
      <c r="K232" t="str">
        <f t="shared" si="7"/>
        <v>Corporate HY USD - Industry</v>
      </c>
      <c r="L232" t="s">
        <v>188</v>
      </c>
      <c r="M232" t="str">
        <f>_xlfn.IFNA(VLOOKUP(K232,'Mapping DEF'!A:C,2,0),"")</f>
        <v>Spread</v>
      </c>
      <c r="N232" t="str">
        <f>+_xlfn.IFNA(VLOOKUP(M232,'Mapping DEF'!B:C,2,FALSE),"")</f>
        <v>Spread</v>
      </c>
      <c r="O232" t="s">
        <v>2731</v>
      </c>
    </row>
    <row r="233" spans="1:15" x14ac:dyDescent="0.25">
      <c r="A233" t="s">
        <v>787</v>
      </c>
      <c r="B233" t="s">
        <v>788</v>
      </c>
      <c r="C233">
        <v>2463</v>
      </c>
      <c r="D233" t="s">
        <v>728</v>
      </c>
      <c r="E233" t="s">
        <v>522</v>
      </c>
      <c r="F233" t="s">
        <v>523</v>
      </c>
      <c r="G233" t="str">
        <f>+VLOOKUP(F233,[1]Explore!$B:$I,8,0)</f>
        <v>Corporate HY USD - Industry</v>
      </c>
      <c r="H233" t="s">
        <v>524</v>
      </c>
      <c r="I233" t="str">
        <f>+VLOOKUP(H233,[1]Explore!$A:$I,9,0)</f>
        <v>Corporate HY USD - Industry</v>
      </c>
      <c r="J233" t="str">
        <f t="shared" si="6"/>
        <v>OK</v>
      </c>
      <c r="K233" t="str">
        <f t="shared" si="7"/>
        <v>Corporate HY USD - Industry</v>
      </c>
      <c r="L233" t="s">
        <v>188</v>
      </c>
      <c r="M233" t="str">
        <f>_xlfn.IFNA(VLOOKUP(K233,'Mapping DEF'!A:C,2,0),"")</f>
        <v>Spread</v>
      </c>
      <c r="N233" t="str">
        <f>+_xlfn.IFNA(VLOOKUP(M233,'Mapping DEF'!B:C,2,FALSE),"")</f>
        <v>Spread</v>
      </c>
      <c r="O233" t="s">
        <v>2742</v>
      </c>
    </row>
    <row r="234" spans="1:15" x14ac:dyDescent="0.25">
      <c r="A234" t="s">
        <v>787</v>
      </c>
      <c r="B234" t="s">
        <v>788</v>
      </c>
      <c r="C234">
        <v>2463</v>
      </c>
      <c r="D234" t="s">
        <v>728</v>
      </c>
      <c r="E234" t="s">
        <v>525</v>
      </c>
      <c r="F234" t="s">
        <v>430</v>
      </c>
      <c r="G234" t="str">
        <f>+VLOOKUP(F234,[1]Explore!$B:$I,8,0)</f>
        <v>Other - Index</v>
      </c>
      <c r="H234" t="s">
        <v>431</v>
      </c>
      <c r="I234" t="str">
        <f>+VLOOKUP(H234,[1]Explore!$A:$I,9,0)</f>
        <v>Other - Index</v>
      </c>
      <c r="J234" t="str">
        <f t="shared" si="6"/>
        <v>OK</v>
      </c>
      <c r="K234" t="str">
        <f t="shared" si="7"/>
        <v>Other - Index</v>
      </c>
      <c r="L234" t="s">
        <v>27</v>
      </c>
      <c r="M234" t="str">
        <f>_xlfn.IFNA(VLOOKUP(K234,'Mapping DEF'!A:C,2,0),"")</f>
        <v>Other</v>
      </c>
      <c r="N234" t="str">
        <f>+_xlfn.IFNA(VLOOKUP(M234,'Mapping DEF'!B:C,2,FALSE),"")</f>
        <v>Other</v>
      </c>
      <c r="O234" t="s">
        <v>295</v>
      </c>
    </row>
    <row r="235" spans="1:15" x14ac:dyDescent="0.25">
      <c r="A235" t="s">
        <v>841</v>
      </c>
      <c r="B235" t="s">
        <v>842</v>
      </c>
      <c r="C235">
        <v>2478</v>
      </c>
      <c r="D235" t="s">
        <v>789</v>
      </c>
      <c r="E235" t="s">
        <v>526</v>
      </c>
      <c r="F235" t="s">
        <v>265</v>
      </c>
      <c r="G235" t="str">
        <f>+VLOOKUP(F235,[1]Explore!$B:$I,8,0)</f>
        <v>Alternative - Commodity</v>
      </c>
      <c r="H235" t="s">
        <v>266</v>
      </c>
      <c r="I235" t="str">
        <f>+VLOOKUP(H235,[1]Explore!$A:$I,9,0)</f>
        <v>Alternative - Commodity</v>
      </c>
      <c r="J235" t="str">
        <f t="shared" si="6"/>
        <v>OK</v>
      </c>
      <c r="K235" t="str">
        <f t="shared" si="7"/>
        <v>Alternative - Commodity</v>
      </c>
      <c r="L235" t="s">
        <v>70</v>
      </c>
      <c r="M235" t="str">
        <f>_xlfn.IFNA(VLOOKUP(K235,'Mapping DEF'!A:C,2,0),"")</f>
        <v>Alternative</v>
      </c>
      <c r="N235" t="str">
        <f>+_xlfn.IFNA(VLOOKUP(M235,'Mapping DEF'!B:C,2,FALSE),"")</f>
        <v>Other</v>
      </c>
      <c r="O235" t="s">
        <v>2743</v>
      </c>
    </row>
    <row r="236" spans="1:15" x14ac:dyDescent="0.25">
      <c r="A236" t="s">
        <v>841</v>
      </c>
      <c r="B236" t="s">
        <v>842</v>
      </c>
      <c r="C236">
        <v>2478</v>
      </c>
      <c r="D236" t="s">
        <v>789</v>
      </c>
      <c r="E236" t="s">
        <v>517</v>
      </c>
      <c r="F236" t="s">
        <v>480</v>
      </c>
      <c r="G236" t="str">
        <f>+VLOOKUP(F236,[1]Explore!$B:$I,8,0)</f>
        <v>Alternative - Commodity</v>
      </c>
      <c r="H236" t="s">
        <v>481</v>
      </c>
      <c r="I236" t="str">
        <f>+VLOOKUP(H236,[1]Explore!$A:$I,9,0)</f>
        <v>Alternative - Commodity</v>
      </c>
      <c r="J236" t="str">
        <f t="shared" si="6"/>
        <v>OK</v>
      </c>
      <c r="K236" t="str">
        <f t="shared" si="7"/>
        <v>Alternative - Commodity</v>
      </c>
      <c r="L236" t="s">
        <v>70</v>
      </c>
      <c r="M236" t="str">
        <f>_xlfn.IFNA(VLOOKUP(K236,'Mapping DEF'!A:C,2,0),"")</f>
        <v>Alternative</v>
      </c>
      <c r="N236" t="str">
        <f>+_xlfn.IFNA(VLOOKUP(M236,'Mapping DEF'!B:C,2,FALSE),"")</f>
        <v>Other</v>
      </c>
      <c r="O236" t="s">
        <v>79</v>
      </c>
    </row>
    <row r="237" spans="1:15" x14ac:dyDescent="0.25">
      <c r="A237" t="s">
        <v>841</v>
      </c>
      <c r="B237" t="s">
        <v>842</v>
      </c>
      <c r="C237">
        <v>2478</v>
      </c>
      <c r="D237" t="s">
        <v>789</v>
      </c>
      <c r="E237" t="s">
        <v>527</v>
      </c>
      <c r="F237" t="s">
        <v>483</v>
      </c>
      <c r="G237" t="str">
        <f>+VLOOKUP(F237,[1]Explore!$B:$I,8,0)</f>
        <v>Govt Emerging Markets</v>
      </c>
      <c r="H237" t="s">
        <v>484</v>
      </c>
      <c r="I237" t="str">
        <f>+VLOOKUP(H237,[1]Explore!$A:$I,9,0)</f>
        <v>Govt Emerging Markets</v>
      </c>
      <c r="J237" t="str">
        <f t="shared" si="6"/>
        <v>OK</v>
      </c>
      <c r="K237" t="str">
        <f t="shared" si="7"/>
        <v>Govt Emerging Markets</v>
      </c>
      <c r="L237" t="s">
        <v>8</v>
      </c>
      <c r="M237" t="str">
        <f>_xlfn.IFNA(VLOOKUP(K237,'Mapping DEF'!A:C,2,0),"")</f>
        <v>Curve (Local)</v>
      </c>
      <c r="N237" t="str">
        <f>+_xlfn.IFNA(VLOOKUP(M237,'Mapping DEF'!B:C,2,FALSE),"")</f>
        <v>Term Structure</v>
      </c>
      <c r="O237" t="s">
        <v>2703</v>
      </c>
    </row>
    <row r="238" spans="1:15" x14ac:dyDescent="0.25">
      <c r="A238" t="s">
        <v>841</v>
      </c>
      <c r="B238" t="s">
        <v>842</v>
      </c>
      <c r="C238">
        <v>2478</v>
      </c>
      <c r="D238" t="s">
        <v>789</v>
      </c>
      <c r="E238" t="s">
        <v>485</v>
      </c>
      <c r="F238" t="s">
        <v>486</v>
      </c>
      <c r="G238" t="str">
        <f>+VLOOKUP(F238,[1]Explore!$B:$I,8,0)</f>
        <v>Govt Emerging Markets</v>
      </c>
      <c r="H238" t="s">
        <v>487</v>
      </c>
      <c r="I238" t="str">
        <f>+VLOOKUP(H238,[1]Explore!$A:$I,9,0)</f>
        <v>Govt Emerging Markets</v>
      </c>
      <c r="J238" t="str">
        <f t="shared" si="6"/>
        <v>OK</v>
      </c>
      <c r="K238" t="str">
        <f t="shared" si="7"/>
        <v>Govt Emerging Markets</v>
      </c>
      <c r="L238" t="s">
        <v>8</v>
      </c>
      <c r="M238" t="str">
        <f>_xlfn.IFNA(VLOOKUP(K238,'Mapping DEF'!A:C,2,0),"")</f>
        <v>Curve (Local)</v>
      </c>
      <c r="N238" t="str">
        <f>+_xlfn.IFNA(VLOOKUP(M238,'Mapping DEF'!B:C,2,FALSE),"")</f>
        <v>Term Structure</v>
      </c>
      <c r="O238" t="s">
        <v>128</v>
      </c>
    </row>
    <row r="239" spans="1:15" x14ac:dyDescent="0.25">
      <c r="A239" t="s">
        <v>841</v>
      </c>
      <c r="B239" t="s">
        <v>842</v>
      </c>
      <c r="C239">
        <v>2478</v>
      </c>
      <c r="D239" t="s">
        <v>789</v>
      </c>
      <c r="E239" t="s">
        <v>528</v>
      </c>
      <c r="F239" t="s">
        <v>529</v>
      </c>
      <c r="G239" t="str">
        <f>+VLOOKUP(F239,[1]Explore!$B:$I,8,0)</f>
        <v>Equity Implied Volatility</v>
      </c>
      <c r="H239" t="s">
        <v>530</v>
      </c>
      <c r="I239" t="str">
        <f>+VLOOKUP(H239,[1]Explore!$A:$I,9,0)</f>
        <v>Equity Implied Volatility</v>
      </c>
      <c r="J239" t="str">
        <f t="shared" si="6"/>
        <v>OK</v>
      </c>
      <c r="K239" t="str">
        <f t="shared" si="7"/>
        <v>Equity Implied Volatility</v>
      </c>
      <c r="L239" t="s">
        <v>27</v>
      </c>
      <c r="M239" t="str">
        <f>_xlfn.IFNA(VLOOKUP(K239,'Mapping DEF'!A:C,2,0),"")</f>
        <v>Equity Derivatives</v>
      </c>
      <c r="N239" t="str">
        <f>+_xlfn.IFNA(VLOOKUP(M239,'Mapping DEF'!B:C,2,FALSE),"")</f>
        <v>Equity</v>
      </c>
      <c r="O239" t="s">
        <v>71</v>
      </c>
    </row>
    <row r="240" spans="1:15" x14ac:dyDescent="0.25">
      <c r="A240" t="s">
        <v>841</v>
      </c>
      <c r="B240" t="s">
        <v>842</v>
      </c>
      <c r="C240">
        <v>2478</v>
      </c>
      <c r="D240" t="s">
        <v>789</v>
      </c>
      <c r="E240" t="s">
        <v>338</v>
      </c>
      <c r="F240" t="s">
        <v>191</v>
      </c>
      <c r="G240" t="e">
        <f>+VLOOKUP(F240,[1]Explore!$B:$I,8,0)</f>
        <v>#N/A</v>
      </c>
      <c r="H240" t="s">
        <v>192</v>
      </c>
      <c r="I240" t="e">
        <f>+VLOOKUP(H240,[1]Explore!$A:$I,9,0)</f>
        <v>#N/A</v>
      </c>
      <c r="J240" t="str">
        <f t="shared" si="6"/>
        <v>BOTH #N/A</v>
      </c>
      <c r="K240" t="str">
        <f t="shared" si="7"/>
        <v>Time</v>
      </c>
      <c r="L240" t="s">
        <v>191</v>
      </c>
      <c r="M240" t="str">
        <f>_xlfn.IFNA(VLOOKUP(K240,'Mapping DEF'!A:C,2,0),"")</f>
        <v>Time</v>
      </c>
      <c r="N240" t="str">
        <f>+_xlfn.IFNA(VLOOKUP(M240,'Mapping DEF'!B:C,2,FALSE),"")</f>
        <v>Other</v>
      </c>
      <c r="O240" t="s">
        <v>209</v>
      </c>
    </row>
    <row r="241" spans="1:15" x14ac:dyDescent="0.25">
      <c r="A241" t="s">
        <v>841</v>
      </c>
      <c r="B241" t="s">
        <v>842</v>
      </c>
      <c r="C241">
        <v>2478</v>
      </c>
      <c r="D241" t="s">
        <v>789</v>
      </c>
      <c r="E241" t="s">
        <v>531</v>
      </c>
      <c r="F241" t="s">
        <v>532</v>
      </c>
      <c r="G241" t="str">
        <f>+VLOOKUP(F241,[1]Explore!$B:$I,8,0)</f>
        <v>Consumer Discretionary</v>
      </c>
      <c r="H241" t="s">
        <v>533</v>
      </c>
      <c r="I241" t="e">
        <f>+VLOOKUP(H241,[1]Explore!$A:$I,9,0)</f>
        <v>#N/A</v>
      </c>
      <c r="J241" t="str">
        <f t="shared" si="6"/>
        <v>OK</v>
      </c>
      <c r="K241" t="str">
        <f t="shared" si="7"/>
        <v>Consumer Discretionary</v>
      </c>
      <c r="L241" t="s">
        <v>93</v>
      </c>
      <c r="M241" t="str">
        <f>_xlfn.IFNA(VLOOKUP(K241,'Mapping DEF'!A:C,2,0),"")</f>
        <v>Industry Allocation</v>
      </c>
      <c r="N241" t="str">
        <f>+_xlfn.IFNA(VLOOKUP(M241,'Mapping DEF'!B:C,2,FALSE),"")</f>
        <v>Equity</v>
      </c>
      <c r="O241" t="s">
        <v>2744</v>
      </c>
    </row>
    <row r="242" spans="1:15" x14ac:dyDescent="0.25">
      <c r="A242" t="s">
        <v>841</v>
      </c>
      <c r="B242" t="s">
        <v>842</v>
      </c>
      <c r="C242">
        <v>2478</v>
      </c>
      <c r="D242" t="s">
        <v>789</v>
      </c>
      <c r="E242" t="s">
        <v>534</v>
      </c>
      <c r="F242" t="s">
        <v>535</v>
      </c>
      <c r="G242" t="e">
        <f>+VLOOKUP(F242,[1]Explore!$B:$I,8,0)</f>
        <v>#N/A</v>
      </c>
      <c r="H242" t="s">
        <v>536</v>
      </c>
      <c r="I242" t="e">
        <f>+VLOOKUP(H242,[1]Explore!$A:$I,9,0)</f>
        <v>#N/A</v>
      </c>
      <c r="J242" t="str">
        <f t="shared" si="6"/>
        <v>BOTH #N/A</v>
      </c>
      <c r="K242" t="str">
        <f t="shared" si="7"/>
        <v>Consumer Discretionary</v>
      </c>
      <c r="L242" t="s">
        <v>2659</v>
      </c>
      <c r="M242" t="str">
        <f>_xlfn.IFNA(VLOOKUP(K242,'Mapping DEF'!A:C,2,0),"")</f>
        <v>Industry Allocation</v>
      </c>
      <c r="N242" t="str">
        <f>+_xlfn.IFNA(VLOOKUP(M242,'Mapping DEF'!B:C,2,FALSE),"")</f>
        <v>Equity</v>
      </c>
      <c r="O242" t="s">
        <v>108</v>
      </c>
    </row>
    <row r="243" spans="1:15" x14ac:dyDescent="0.25">
      <c r="A243" t="s">
        <v>841</v>
      </c>
      <c r="B243" t="s">
        <v>842</v>
      </c>
      <c r="C243">
        <v>2478</v>
      </c>
      <c r="D243" t="s">
        <v>789</v>
      </c>
      <c r="E243" t="s">
        <v>537</v>
      </c>
      <c r="F243" t="s">
        <v>2160</v>
      </c>
      <c r="G243" t="str">
        <f>+VLOOKUP(F243,[1]Explore!$B:$I,8,0)</f>
        <v>Real Estate</v>
      </c>
      <c r="H243" t="s">
        <v>538</v>
      </c>
      <c r="I243" t="e">
        <f>+VLOOKUP(H243,[1]Explore!$A:$I,9,0)</f>
        <v>#N/A</v>
      </c>
      <c r="J243" t="str">
        <f t="shared" si="6"/>
        <v>OK</v>
      </c>
      <c r="K243" t="str">
        <f t="shared" si="7"/>
        <v>Real Estate</v>
      </c>
      <c r="L243" t="s">
        <v>93</v>
      </c>
      <c r="M243" t="str">
        <f>_xlfn.IFNA(VLOOKUP(K243,'Mapping DEF'!A:C,2,0),"")</f>
        <v>Industry Allocation</v>
      </c>
      <c r="N243" t="str">
        <f>+_xlfn.IFNA(VLOOKUP(M243,'Mapping DEF'!B:C,2,FALSE),"")</f>
        <v>Equity</v>
      </c>
      <c r="O243" t="s">
        <v>162</v>
      </c>
    </row>
    <row r="244" spans="1:15" x14ac:dyDescent="0.25">
      <c r="A244" t="s">
        <v>841</v>
      </c>
      <c r="B244" t="s">
        <v>842</v>
      </c>
      <c r="C244">
        <v>2478</v>
      </c>
      <c r="D244" t="s">
        <v>843</v>
      </c>
      <c r="E244" t="s">
        <v>539</v>
      </c>
      <c r="F244" t="s">
        <v>349</v>
      </c>
      <c r="G244" t="str">
        <f>+VLOOKUP(F244,[1]Explore!$B:$I,8,0)</f>
        <v>Corporate HY USD - Industry</v>
      </c>
      <c r="H244" t="s">
        <v>350</v>
      </c>
      <c r="I244" t="str">
        <f>+VLOOKUP(H244,[1]Explore!$A:$I,9,0)</f>
        <v>Corporate HY USD - Industry</v>
      </c>
      <c r="J244" t="str">
        <f t="shared" si="6"/>
        <v>OK</v>
      </c>
      <c r="K244" t="str">
        <f t="shared" si="7"/>
        <v>Corporate HY USD - Industry</v>
      </c>
      <c r="L244" t="s">
        <v>188</v>
      </c>
      <c r="M244" t="str">
        <f>_xlfn.IFNA(VLOOKUP(K244,'Mapping DEF'!A:C,2,0),"")</f>
        <v>Spread</v>
      </c>
      <c r="N244" t="str">
        <f>+_xlfn.IFNA(VLOOKUP(M244,'Mapping DEF'!B:C,2,FALSE),"")</f>
        <v>Spread</v>
      </c>
      <c r="O244" t="s">
        <v>2742</v>
      </c>
    </row>
    <row r="245" spans="1:15" x14ac:dyDescent="0.25">
      <c r="A245" t="s">
        <v>879</v>
      </c>
      <c r="B245" t="s">
        <v>880</v>
      </c>
      <c r="C245">
        <v>2477</v>
      </c>
      <c r="D245" t="s">
        <v>843</v>
      </c>
      <c r="E245" t="s">
        <v>478</v>
      </c>
      <c r="F245" t="s">
        <v>265</v>
      </c>
      <c r="G245" t="str">
        <f>+VLOOKUP(F245,[1]Explore!$B:$I,8,0)</f>
        <v>Alternative - Commodity</v>
      </c>
      <c r="H245" t="s">
        <v>266</v>
      </c>
      <c r="I245" t="str">
        <f>+VLOOKUP(H245,[1]Explore!$A:$I,9,0)</f>
        <v>Alternative - Commodity</v>
      </c>
      <c r="J245" t="str">
        <f t="shared" si="6"/>
        <v>OK</v>
      </c>
      <c r="K245" t="str">
        <f t="shared" si="7"/>
        <v>Alternative - Commodity</v>
      </c>
      <c r="L245" t="s">
        <v>70</v>
      </c>
      <c r="M245" t="str">
        <f>_xlfn.IFNA(VLOOKUP(K245,'Mapping DEF'!A:C,2,0),"")</f>
        <v>Alternative</v>
      </c>
      <c r="N245" t="str">
        <f>+_xlfn.IFNA(VLOOKUP(M245,'Mapping DEF'!B:C,2,FALSE),"")</f>
        <v>Other</v>
      </c>
      <c r="O245" t="s">
        <v>2726</v>
      </c>
    </row>
    <row r="246" spans="1:15" x14ac:dyDescent="0.25">
      <c r="A246" t="s">
        <v>879</v>
      </c>
      <c r="B246" t="s">
        <v>880</v>
      </c>
      <c r="C246">
        <v>2477</v>
      </c>
      <c r="D246" t="s">
        <v>843</v>
      </c>
      <c r="E246" t="s">
        <v>540</v>
      </c>
      <c r="F246" t="s">
        <v>480</v>
      </c>
      <c r="G246" t="str">
        <f>+VLOOKUP(F246,[1]Explore!$B:$I,8,0)</f>
        <v>Alternative - Commodity</v>
      </c>
      <c r="H246" t="s">
        <v>481</v>
      </c>
      <c r="I246" t="str">
        <f>+VLOOKUP(H246,[1]Explore!$A:$I,9,0)</f>
        <v>Alternative - Commodity</v>
      </c>
      <c r="J246" t="str">
        <f t="shared" si="6"/>
        <v>OK</v>
      </c>
      <c r="K246" t="str">
        <f t="shared" si="7"/>
        <v>Alternative - Commodity</v>
      </c>
      <c r="L246" t="s">
        <v>70</v>
      </c>
      <c r="M246" t="str">
        <f>_xlfn.IFNA(VLOOKUP(K246,'Mapping DEF'!A:C,2,0),"")</f>
        <v>Alternative</v>
      </c>
      <c r="N246" t="str">
        <f>+_xlfn.IFNA(VLOOKUP(M246,'Mapping DEF'!B:C,2,FALSE),"")</f>
        <v>Other</v>
      </c>
      <c r="O246" t="s">
        <v>2700</v>
      </c>
    </row>
    <row r="247" spans="1:15" x14ac:dyDescent="0.25">
      <c r="A247" t="s">
        <v>879</v>
      </c>
      <c r="B247" t="s">
        <v>880</v>
      </c>
      <c r="C247">
        <v>2477</v>
      </c>
      <c r="D247" t="s">
        <v>843</v>
      </c>
      <c r="E247" t="s">
        <v>541</v>
      </c>
      <c r="F247" t="s">
        <v>486</v>
      </c>
      <c r="G247" t="str">
        <f>+VLOOKUP(F247,[1]Explore!$B:$I,8,0)</f>
        <v>Govt Emerging Markets</v>
      </c>
      <c r="H247" t="s">
        <v>487</v>
      </c>
      <c r="I247" t="str">
        <f>+VLOOKUP(H247,[1]Explore!$A:$I,9,0)</f>
        <v>Govt Emerging Markets</v>
      </c>
      <c r="J247" t="str">
        <f t="shared" si="6"/>
        <v>OK</v>
      </c>
      <c r="K247" t="str">
        <f t="shared" si="7"/>
        <v>Govt Emerging Markets</v>
      </c>
      <c r="L247" t="s">
        <v>8</v>
      </c>
      <c r="M247" t="str">
        <f>_xlfn.IFNA(VLOOKUP(K247,'Mapping DEF'!A:C,2,0),"")</f>
        <v>Curve (Local)</v>
      </c>
      <c r="N247" t="str">
        <f>+_xlfn.IFNA(VLOOKUP(M247,'Mapping DEF'!B:C,2,FALSE),"")</f>
        <v>Term Structure</v>
      </c>
      <c r="O247" t="s">
        <v>2703</v>
      </c>
    </row>
    <row r="248" spans="1:15" x14ac:dyDescent="0.25">
      <c r="A248" t="s">
        <v>879</v>
      </c>
      <c r="B248" t="s">
        <v>880</v>
      </c>
      <c r="C248">
        <v>2477</v>
      </c>
      <c r="D248" t="s">
        <v>843</v>
      </c>
      <c r="E248" t="s">
        <v>419</v>
      </c>
      <c r="F248" t="s">
        <v>73</v>
      </c>
      <c r="G248" t="e">
        <f>+VLOOKUP(F248,[1]Explore!$B:$I,8,0)</f>
        <v>#N/A</v>
      </c>
      <c r="H248" t="s">
        <v>74</v>
      </c>
      <c r="I248" t="str">
        <f>+VLOOKUP(H248,[1]Explore!$A:$I,9,0)</f>
        <v>Emerging Currency</v>
      </c>
      <c r="J248" t="str">
        <f t="shared" si="6"/>
        <v>OK</v>
      </c>
      <c r="K248" t="str">
        <f t="shared" si="7"/>
        <v>Emerging Currency</v>
      </c>
      <c r="L248" t="s">
        <v>75</v>
      </c>
      <c r="M248" t="str">
        <f>_xlfn.IFNA(VLOOKUP(K248,'Mapping DEF'!A:C,2,0),"")</f>
        <v>FX</v>
      </c>
      <c r="N248" t="str">
        <f>+_xlfn.IFNA(VLOOKUP(M248,'Mapping DEF'!B:C,2,FALSE),"")</f>
        <v>FX</v>
      </c>
      <c r="O248" t="s">
        <v>2711</v>
      </c>
    </row>
    <row r="249" spans="1:15" x14ac:dyDescent="0.25">
      <c r="A249" t="s">
        <v>879</v>
      </c>
      <c r="B249" t="s">
        <v>880</v>
      </c>
      <c r="C249">
        <v>2477</v>
      </c>
      <c r="D249" t="s">
        <v>843</v>
      </c>
      <c r="E249" t="s">
        <v>542</v>
      </c>
      <c r="F249" t="s">
        <v>543</v>
      </c>
      <c r="G249" t="str">
        <f>+VLOOKUP(F249,[1]Explore!$B:$I,8,0)</f>
        <v>Equity Implied Volatility</v>
      </c>
      <c r="H249" t="s">
        <v>544</v>
      </c>
      <c r="I249" t="str">
        <f>+VLOOKUP(H249,[1]Explore!$A:$I,9,0)</f>
        <v>Equity Implied Volatility</v>
      </c>
      <c r="J249" t="str">
        <f t="shared" si="6"/>
        <v>OK</v>
      </c>
      <c r="K249" t="str">
        <f t="shared" si="7"/>
        <v>Equity Implied Volatility</v>
      </c>
      <c r="L249" t="s">
        <v>27</v>
      </c>
      <c r="M249" t="str">
        <f>_xlfn.IFNA(VLOOKUP(K249,'Mapping DEF'!A:C,2,0),"")</f>
        <v>Equity Derivatives</v>
      </c>
      <c r="N249" t="str">
        <f>+_xlfn.IFNA(VLOOKUP(M249,'Mapping DEF'!B:C,2,FALSE),"")</f>
        <v>Equity</v>
      </c>
      <c r="O249" t="s">
        <v>2745</v>
      </c>
    </row>
    <row r="250" spans="1:15" x14ac:dyDescent="0.25">
      <c r="A250" t="s">
        <v>879</v>
      </c>
      <c r="B250" t="s">
        <v>880</v>
      </c>
      <c r="C250">
        <v>2477</v>
      </c>
      <c r="D250" t="s">
        <v>843</v>
      </c>
      <c r="E250" t="s">
        <v>545</v>
      </c>
      <c r="F250" t="s">
        <v>529</v>
      </c>
      <c r="G250" t="str">
        <f>+VLOOKUP(F250,[1]Explore!$B:$I,8,0)</f>
        <v>Equity Implied Volatility</v>
      </c>
      <c r="H250" t="s">
        <v>530</v>
      </c>
      <c r="I250" t="str">
        <f>+VLOOKUP(H250,[1]Explore!$A:$I,9,0)</f>
        <v>Equity Implied Volatility</v>
      </c>
      <c r="J250" t="str">
        <f t="shared" si="6"/>
        <v>OK</v>
      </c>
      <c r="K250" t="str">
        <f t="shared" si="7"/>
        <v>Equity Implied Volatility</v>
      </c>
      <c r="L250" t="s">
        <v>27</v>
      </c>
      <c r="M250" t="str">
        <f>_xlfn.IFNA(VLOOKUP(K250,'Mapping DEF'!A:C,2,0),"")</f>
        <v>Equity Derivatives</v>
      </c>
      <c r="N250" t="str">
        <f>+_xlfn.IFNA(VLOOKUP(M250,'Mapping DEF'!B:C,2,FALSE),"")</f>
        <v>Equity</v>
      </c>
      <c r="O250" t="s">
        <v>2726</v>
      </c>
    </row>
    <row r="251" spans="1:15" x14ac:dyDescent="0.25">
      <c r="A251" t="s">
        <v>879</v>
      </c>
      <c r="B251" t="s">
        <v>880</v>
      </c>
      <c r="C251">
        <v>2477</v>
      </c>
      <c r="D251" t="s">
        <v>843</v>
      </c>
      <c r="E251" t="s">
        <v>338</v>
      </c>
      <c r="F251" t="s">
        <v>191</v>
      </c>
      <c r="G251" t="e">
        <f>+VLOOKUP(F251,[1]Explore!$B:$I,8,0)</f>
        <v>#N/A</v>
      </c>
      <c r="H251" t="s">
        <v>192</v>
      </c>
      <c r="I251" t="e">
        <f>+VLOOKUP(H251,[1]Explore!$A:$I,9,0)</f>
        <v>#N/A</v>
      </c>
      <c r="J251" t="str">
        <f t="shared" si="6"/>
        <v>BOTH #N/A</v>
      </c>
      <c r="K251" t="str">
        <f t="shared" si="7"/>
        <v>Time</v>
      </c>
      <c r="L251" t="s">
        <v>191</v>
      </c>
      <c r="M251" t="str">
        <f>_xlfn.IFNA(VLOOKUP(K251,'Mapping DEF'!A:C,2,0),"")</f>
        <v>Time</v>
      </c>
      <c r="N251" t="str">
        <f>+_xlfn.IFNA(VLOOKUP(M251,'Mapping DEF'!B:C,2,FALSE),"")</f>
        <v>Other</v>
      </c>
      <c r="O251" t="s">
        <v>209</v>
      </c>
    </row>
    <row r="252" spans="1:15" x14ac:dyDescent="0.25">
      <c r="A252" t="s">
        <v>879</v>
      </c>
      <c r="B252" t="s">
        <v>880</v>
      </c>
      <c r="C252">
        <v>2477</v>
      </c>
      <c r="D252" t="s">
        <v>843</v>
      </c>
      <c r="E252" t="s">
        <v>546</v>
      </c>
      <c r="F252" t="s">
        <v>532</v>
      </c>
      <c r="G252" t="str">
        <f>+VLOOKUP(F252,[1]Explore!$B:$I,8,0)</f>
        <v>Consumer Discretionary</v>
      </c>
      <c r="H252" t="s">
        <v>533</v>
      </c>
      <c r="I252" t="e">
        <f>+VLOOKUP(H252,[1]Explore!$A:$I,9,0)</f>
        <v>#N/A</v>
      </c>
      <c r="J252" t="str">
        <f t="shared" si="6"/>
        <v>OK</v>
      </c>
      <c r="K252" t="str">
        <f t="shared" si="7"/>
        <v>Consumer Discretionary</v>
      </c>
      <c r="L252" t="s">
        <v>93</v>
      </c>
      <c r="M252" t="str">
        <f>_xlfn.IFNA(VLOOKUP(K252,'Mapping DEF'!A:C,2,0),"")</f>
        <v>Industry Allocation</v>
      </c>
      <c r="N252" t="str">
        <f>+_xlfn.IFNA(VLOOKUP(M252,'Mapping DEF'!B:C,2,FALSE),"")</f>
        <v>Equity</v>
      </c>
      <c r="O252" t="s">
        <v>2746</v>
      </c>
    </row>
    <row r="253" spans="1:15" x14ac:dyDescent="0.25">
      <c r="A253" t="s">
        <v>879</v>
      </c>
      <c r="B253" t="s">
        <v>880</v>
      </c>
      <c r="C253">
        <v>2477</v>
      </c>
      <c r="D253" t="s">
        <v>843</v>
      </c>
      <c r="E253" t="s">
        <v>547</v>
      </c>
      <c r="F253" t="s">
        <v>535</v>
      </c>
      <c r="G253" t="e">
        <f>+VLOOKUP(F253,[1]Explore!$B:$I,8,0)</f>
        <v>#N/A</v>
      </c>
      <c r="H253" t="s">
        <v>536</v>
      </c>
      <c r="I253" t="e">
        <f>+VLOOKUP(H253,[1]Explore!$A:$I,9,0)</f>
        <v>#N/A</v>
      </c>
      <c r="J253" t="str">
        <f t="shared" si="6"/>
        <v>BOTH #N/A</v>
      </c>
      <c r="K253" t="str">
        <f t="shared" si="7"/>
        <v>Consumer Discretionary</v>
      </c>
      <c r="L253" t="s">
        <v>2659</v>
      </c>
      <c r="M253" t="str">
        <f>_xlfn.IFNA(VLOOKUP(K253,'Mapping DEF'!A:C,2,0),"")</f>
        <v>Industry Allocation</v>
      </c>
      <c r="N253" t="str">
        <f>+_xlfn.IFNA(VLOOKUP(M253,'Mapping DEF'!B:C,2,FALSE),"")</f>
        <v>Equity</v>
      </c>
      <c r="O253" t="s">
        <v>2715</v>
      </c>
    </row>
    <row r="254" spans="1:15" x14ac:dyDescent="0.25">
      <c r="A254" t="s">
        <v>879</v>
      </c>
      <c r="B254" t="s">
        <v>880</v>
      </c>
      <c r="C254">
        <v>2477</v>
      </c>
      <c r="D254" t="s">
        <v>881</v>
      </c>
      <c r="E254" t="s">
        <v>548</v>
      </c>
      <c r="F254" t="s">
        <v>349</v>
      </c>
      <c r="G254" t="str">
        <f>+VLOOKUP(F254,[1]Explore!$B:$I,8,0)</f>
        <v>Corporate HY USD - Industry</v>
      </c>
      <c r="H254" t="s">
        <v>350</v>
      </c>
      <c r="I254" t="str">
        <f>+VLOOKUP(H254,[1]Explore!$A:$I,9,0)</f>
        <v>Corporate HY USD - Industry</v>
      </c>
      <c r="J254" t="str">
        <f t="shared" si="6"/>
        <v>OK</v>
      </c>
      <c r="K254" t="str">
        <f t="shared" si="7"/>
        <v>Corporate HY USD - Industry</v>
      </c>
      <c r="L254" t="s">
        <v>188</v>
      </c>
      <c r="M254" t="str">
        <f>_xlfn.IFNA(VLOOKUP(K254,'Mapping DEF'!A:C,2,0),"")</f>
        <v>Spread</v>
      </c>
      <c r="N254" t="str">
        <f>+_xlfn.IFNA(VLOOKUP(M254,'Mapping DEF'!B:C,2,FALSE),"")</f>
        <v>Spread</v>
      </c>
      <c r="O254" t="s">
        <v>2747</v>
      </c>
    </row>
    <row r="255" spans="1:15" x14ac:dyDescent="0.25">
      <c r="A255" t="s">
        <v>879</v>
      </c>
      <c r="B255" t="s">
        <v>880</v>
      </c>
      <c r="C255">
        <v>2477</v>
      </c>
      <c r="D255" t="s">
        <v>881</v>
      </c>
      <c r="E255" t="s">
        <v>549</v>
      </c>
      <c r="F255" t="s">
        <v>2180</v>
      </c>
      <c r="G255" t="str">
        <f>+VLOOKUP(F255,[1]Explore!$B:$I,8,0)</f>
        <v>Other - Index</v>
      </c>
      <c r="H255" t="s">
        <v>550</v>
      </c>
      <c r="I255" t="e">
        <f>+VLOOKUP(H255,[1]Explore!$A:$I,9,0)</f>
        <v>#N/A</v>
      </c>
      <c r="J255" t="str">
        <f t="shared" si="6"/>
        <v>OK</v>
      </c>
      <c r="K255" t="str">
        <f t="shared" si="7"/>
        <v>Other - Index</v>
      </c>
      <c r="L255" t="s">
        <v>27</v>
      </c>
      <c r="M255" t="str">
        <f>_xlfn.IFNA(VLOOKUP(K255,'Mapping DEF'!A:C,2,0),"")</f>
        <v>Other</v>
      </c>
      <c r="N255" t="str">
        <f>+_xlfn.IFNA(VLOOKUP(M255,'Mapping DEF'!B:C,2,FALSE),"")</f>
        <v>Other</v>
      </c>
      <c r="O255" t="s">
        <v>108</v>
      </c>
    </row>
    <row r="256" spans="1:15" x14ac:dyDescent="0.25">
      <c r="A256" t="s">
        <v>912</v>
      </c>
      <c r="B256" t="s">
        <v>913</v>
      </c>
      <c r="C256">
        <v>2407</v>
      </c>
      <c r="D256" t="s">
        <v>881</v>
      </c>
      <c r="E256" t="s">
        <v>334</v>
      </c>
      <c r="F256" t="s">
        <v>19</v>
      </c>
      <c r="G256" t="str">
        <f>+VLOOKUP(F256,[1]Explore!$B:$I,8,0)</f>
        <v>Govt USD</v>
      </c>
      <c r="H256" t="s">
        <v>20</v>
      </c>
      <c r="I256" t="str">
        <f>+VLOOKUP(H256,[1]Explore!$A:$I,9,0)</f>
        <v>Govt USD</v>
      </c>
      <c r="J256" t="str">
        <f t="shared" si="6"/>
        <v>OK</v>
      </c>
      <c r="K256" t="str">
        <f t="shared" si="7"/>
        <v>Govt USD</v>
      </c>
      <c r="L256" t="s">
        <v>8</v>
      </c>
      <c r="M256" t="str">
        <f>_xlfn.IFNA(VLOOKUP(K256,'Mapping DEF'!A:C,2,0),"")</f>
        <v>Curve (Local)</v>
      </c>
      <c r="N256" t="str">
        <f>+_xlfn.IFNA(VLOOKUP(M256,'Mapping DEF'!B:C,2,FALSE),"")</f>
        <v>Term Structure</v>
      </c>
      <c r="O256" t="s">
        <v>2703</v>
      </c>
    </row>
    <row r="257" spans="1:15" x14ac:dyDescent="0.25">
      <c r="A257" t="s">
        <v>912</v>
      </c>
      <c r="B257" t="s">
        <v>913</v>
      </c>
      <c r="C257">
        <v>2407</v>
      </c>
      <c r="D257" t="s">
        <v>881</v>
      </c>
      <c r="E257" t="s">
        <v>554</v>
      </c>
      <c r="F257" t="s">
        <v>2944</v>
      </c>
      <c r="G257" t="str">
        <f>+VLOOKUP(F257,[1]Explore!$B:$I,8,0)</f>
        <v>JPY</v>
      </c>
      <c r="H257" t="s">
        <v>138</v>
      </c>
      <c r="I257" t="str">
        <f>+VLOOKUP(H257,[1]Explore!$A:$I,9,0)</f>
        <v>JPY</v>
      </c>
      <c r="J257" t="str">
        <f t="shared" si="6"/>
        <v>OK</v>
      </c>
      <c r="K257" t="str">
        <f t="shared" si="7"/>
        <v>JPY</v>
      </c>
      <c r="L257" t="s">
        <v>75</v>
      </c>
      <c r="M257" t="str">
        <f>_xlfn.IFNA(VLOOKUP(K257,'Mapping DEF'!A:C,2,0),"")</f>
        <v>FX</v>
      </c>
      <c r="N257" t="str">
        <f>+_xlfn.IFNA(VLOOKUP(M257,'Mapping DEF'!B:C,2,FALSE),"")</f>
        <v>FX</v>
      </c>
      <c r="O257" t="s">
        <v>139</v>
      </c>
    </row>
    <row r="258" spans="1:15" x14ac:dyDescent="0.25">
      <c r="A258" t="s">
        <v>912</v>
      </c>
      <c r="B258" t="s">
        <v>913</v>
      </c>
      <c r="C258">
        <v>2407</v>
      </c>
      <c r="D258" t="s">
        <v>881</v>
      </c>
      <c r="E258" t="s">
        <v>557</v>
      </c>
      <c r="F258" t="s">
        <v>392</v>
      </c>
      <c r="G258" t="str">
        <f>+VLOOKUP(F258,[1]Explore!$B:$I,8,0)</f>
        <v>Equity Implied Volatility</v>
      </c>
      <c r="H258" t="s">
        <v>392</v>
      </c>
      <c r="I258" t="str">
        <f>+VLOOKUP(H258,[1]Explore!$A:$I,9,0)</f>
        <v>Equity Implied Volatility</v>
      </c>
      <c r="J258" t="str">
        <f t="shared" si="6"/>
        <v>OK</v>
      </c>
      <c r="K258" t="str">
        <f t="shared" si="7"/>
        <v>Equity Implied Volatility</v>
      </c>
      <c r="L258" t="s">
        <v>27</v>
      </c>
      <c r="M258" t="str">
        <f>_xlfn.IFNA(VLOOKUP(K258,'Mapping DEF'!A:C,2,0),"")</f>
        <v>Equity Derivatives</v>
      </c>
      <c r="N258" t="str">
        <f>+_xlfn.IFNA(VLOOKUP(M258,'Mapping DEF'!B:C,2,FALSE),"")</f>
        <v>Equity</v>
      </c>
      <c r="O258" t="s">
        <v>79</v>
      </c>
    </row>
    <row r="259" spans="1:15" x14ac:dyDescent="0.25">
      <c r="A259" t="s">
        <v>912</v>
      </c>
      <c r="B259" t="s">
        <v>913</v>
      </c>
      <c r="C259">
        <v>2407</v>
      </c>
      <c r="D259" t="s">
        <v>881</v>
      </c>
      <c r="E259" t="s">
        <v>561</v>
      </c>
      <c r="F259" t="s">
        <v>529</v>
      </c>
      <c r="G259" t="str">
        <f>+VLOOKUP(F259,[1]Explore!$B:$I,8,0)</f>
        <v>Equity Implied Volatility</v>
      </c>
      <c r="H259" t="s">
        <v>530</v>
      </c>
      <c r="I259" t="str">
        <f>+VLOOKUP(H259,[1]Explore!$A:$I,9,0)</f>
        <v>Equity Implied Volatility</v>
      </c>
      <c r="J259" t="str">
        <f t="shared" ref="J259:J322" si="8">IF(AND(ISNA(G259),ISNA(I259)),"BOTH #N/A","OK")</f>
        <v>OK</v>
      </c>
      <c r="K259" t="str">
        <f t="shared" ref="K259:K322" si="9">IFERROR(I259, IFERROR(G259, L259))</f>
        <v>Equity Implied Volatility</v>
      </c>
      <c r="L259" t="s">
        <v>27</v>
      </c>
      <c r="M259" t="str">
        <f>_xlfn.IFNA(VLOOKUP(K259,'Mapping DEF'!A:C,2,0),"")</f>
        <v>Equity Derivatives</v>
      </c>
      <c r="N259" t="str">
        <f>+_xlfn.IFNA(VLOOKUP(M259,'Mapping DEF'!B:C,2,FALSE),"")</f>
        <v>Equity</v>
      </c>
      <c r="O259" t="s">
        <v>2700</v>
      </c>
    </row>
    <row r="260" spans="1:15" x14ac:dyDescent="0.25">
      <c r="A260" t="s">
        <v>912</v>
      </c>
      <c r="B260" t="s">
        <v>913</v>
      </c>
      <c r="C260">
        <v>2407</v>
      </c>
      <c r="D260" t="s">
        <v>881</v>
      </c>
      <c r="E260" t="s">
        <v>562</v>
      </c>
      <c r="F260" t="s">
        <v>563</v>
      </c>
      <c r="G260" t="str">
        <f>+VLOOKUP(F260,[1]Explore!$B:$I,8,0)</f>
        <v>Equity Implied Volatility</v>
      </c>
      <c r="H260" t="s">
        <v>564</v>
      </c>
      <c r="I260" t="str">
        <f>+VLOOKUP(H260,[1]Explore!$A:$I,9,0)</f>
        <v>Equity Implied Volatility</v>
      </c>
      <c r="J260" t="str">
        <f t="shared" si="8"/>
        <v>OK</v>
      </c>
      <c r="K260" t="str">
        <f t="shared" si="9"/>
        <v>Equity Implied Volatility</v>
      </c>
      <c r="L260" t="s">
        <v>27</v>
      </c>
      <c r="M260" t="str">
        <f>_xlfn.IFNA(VLOOKUP(K260,'Mapping DEF'!A:C,2,0),"")</f>
        <v>Equity Derivatives</v>
      </c>
      <c r="N260" t="str">
        <f>+_xlfn.IFNA(VLOOKUP(M260,'Mapping DEF'!B:C,2,FALSE),"")</f>
        <v>Equity</v>
      </c>
      <c r="O260" t="s">
        <v>2700</v>
      </c>
    </row>
    <row r="261" spans="1:15" x14ac:dyDescent="0.25">
      <c r="A261" t="s">
        <v>912</v>
      </c>
      <c r="B261" t="s">
        <v>913</v>
      </c>
      <c r="C261">
        <v>2407</v>
      </c>
      <c r="D261" t="s">
        <v>881</v>
      </c>
      <c r="E261" t="s">
        <v>565</v>
      </c>
      <c r="F261" t="s">
        <v>183</v>
      </c>
      <c r="G261" t="str">
        <f>+VLOOKUP(F261,[1]Explore!$B:$I,8,0)</f>
        <v>Equity Implied Volatility</v>
      </c>
      <c r="H261" t="s">
        <v>184</v>
      </c>
      <c r="I261" t="str">
        <f>+VLOOKUP(H261,[1]Explore!$A:$I,9,0)</f>
        <v>Equity Implied Volatility</v>
      </c>
      <c r="J261" t="str">
        <f t="shared" si="8"/>
        <v>OK</v>
      </c>
      <c r="K261" t="str">
        <f t="shared" si="9"/>
        <v>Equity Implied Volatility</v>
      </c>
      <c r="L261" t="s">
        <v>27</v>
      </c>
      <c r="M261" t="str">
        <f>_xlfn.IFNA(VLOOKUP(K261,'Mapping DEF'!A:C,2,0),"")</f>
        <v>Equity Derivatives</v>
      </c>
      <c r="N261" t="str">
        <f>+_xlfn.IFNA(VLOOKUP(M261,'Mapping DEF'!B:C,2,FALSE),"")</f>
        <v>Equity</v>
      </c>
      <c r="O261" t="s">
        <v>2715</v>
      </c>
    </row>
    <row r="262" spans="1:15" x14ac:dyDescent="0.25">
      <c r="A262" t="s">
        <v>912</v>
      </c>
      <c r="B262" t="s">
        <v>913</v>
      </c>
      <c r="C262">
        <v>2407</v>
      </c>
      <c r="D262" t="s">
        <v>881</v>
      </c>
      <c r="E262" t="s">
        <v>566</v>
      </c>
      <c r="F262" t="s">
        <v>567</v>
      </c>
      <c r="G262" t="str">
        <f>+VLOOKUP(F262,[1]Explore!$B:$I,8,0)</f>
        <v>Corporate IG USD - Industry</v>
      </c>
      <c r="H262" t="s">
        <v>568</v>
      </c>
      <c r="I262" t="str">
        <f>+VLOOKUP(H262,[1]Explore!$A:$I,9,0)</f>
        <v>Corporate IG USD - Industry</v>
      </c>
      <c r="J262" t="str">
        <f t="shared" si="8"/>
        <v>OK</v>
      </c>
      <c r="K262" t="str">
        <f t="shared" si="9"/>
        <v>Corporate IG USD - Industry</v>
      </c>
      <c r="L262" t="s">
        <v>188</v>
      </c>
      <c r="M262" t="str">
        <f>_xlfn.IFNA(VLOOKUP(K262,'Mapping DEF'!A:C,2,0),"")</f>
        <v>Spread</v>
      </c>
      <c r="N262" t="str">
        <f>+_xlfn.IFNA(VLOOKUP(M262,'Mapping DEF'!B:C,2,FALSE),"")</f>
        <v>Spread</v>
      </c>
      <c r="O262" t="s">
        <v>128</v>
      </c>
    </row>
    <row r="263" spans="1:15" x14ac:dyDescent="0.25">
      <c r="A263" t="s">
        <v>912</v>
      </c>
      <c r="B263" t="s">
        <v>913</v>
      </c>
      <c r="C263">
        <v>2407</v>
      </c>
      <c r="D263" t="s">
        <v>881</v>
      </c>
      <c r="E263" t="s">
        <v>569</v>
      </c>
      <c r="F263" t="s">
        <v>349</v>
      </c>
      <c r="G263" t="str">
        <f>+VLOOKUP(F263,[1]Explore!$B:$I,8,0)</f>
        <v>Corporate HY USD - Industry</v>
      </c>
      <c r="H263" t="s">
        <v>350</v>
      </c>
      <c r="I263" t="str">
        <f>+VLOOKUP(H263,[1]Explore!$A:$I,9,0)</f>
        <v>Corporate HY USD - Industry</v>
      </c>
      <c r="J263" t="str">
        <f t="shared" si="8"/>
        <v>OK</v>
      </c>
      <c r="K263" t="str">
        <f t="shared" si="9"/>
        <v>Corporate HY USD - Industry</v>
      </c>
      <c r="L263" t="s">
        <v>188</v>
      </c>
      <c r="M263" t="str">
        <f>_xlfn.IFNA(VLOOKUP(K263,'Mapping DEF'!A:C,2,0),"")</f>
        <v>Spread</v>
      </c>
      <c r="N263" t="str">
        <f>+_xlfn.IFNA(VLOOKUP(M263,'Mapping DEF'!B:C,2,FALSE),"")</f>
        <v>Spread</v>
      </c>
      <c r="O263" t="s">
        <v>85</v>
      </c>
    </row>
    <row r="264" spans="1:15" x14ac:dyDescent="0.25">
      <c r="A264" t="s">
        <v>935</v>
      </c>
      <c r="B264" t="s">
        <v>936</v>
      </c>
      <c r="C264">
        <v>2408</v>
      </c>
      <c r="D264" t="s">
        <v>914</v>
      </c>
      <c r="E264" t="s">
        <v>334</v>
      </c>
      <c r="F264" t="s">
        <v>19</v>
      </c>
      <c r="G264" t="str">
        <f>+VLOOKUP(F264,[1]Explore!$B:$I,8,0)</f>
        <v>Govt USD</v>
      </c>
      <c r="H264" t="s">
        <v>20</v>
      </c>
      <c r="I264" t="str">
        <f>+VLOOKUP(H264,[1]Explore!$A:$I,9,0)</f>
        <v>Govt USD</v>
      </c>
      <c r="J264" t="str">
        <f t="shared" si="8"/>
        <v>OK</v>
      </c>
      <c r="K264" t="str">
        <f t="shared" si="9"/>
        <v>Govt USD</v>
      </c>
      <c r="L264" t="s">
        <v>8</v>
      </c>
      <c r="M264" t="str">
        <f>_xlfn.IFNA(VLOOKUP(K264,'Mapping DEF'!A:C,2,0),"")</f>
        <v>Curve (Local)</v>
      </c>
      <c r="N264" t="str">
        <f>+_xlfn.IFNA(VLOOKUP(M264,'Mapping DEF'!B:C,2,FALSE),"")</f>
        <v>Term Structure</v>
      </c>
      <c r="O264" t="s">
        <v>2703</v>
      </c>
    </row>
    <row r="265" spans="1:15" x14ac:dyDescent="0.25">
      <c r="A265" t="s">
        <v>935</v>
      </c>
      <c r="B265" t="s">
        <v>936</v>
      </c>
      <c r="C265">
        <v>2408</v>
      </c>
      <c r="D265" t="s">
        <v>914</v>
      </c>
      <c r="E265" t="s">
        <v>570</v>
      </c>
      <c r="F265" t="s">
        <v>369</v>
      </c>
      <c r="G265" t="e">
        <f>+VLOOKUP(F265,[1]Explore!$B:$I,8,0)</f>
        <v>#N/A</v>
      </c>
      <c r="H265" t="s">
        <v>370</v>
      </c>
      <c r="I265" t="str">
        <f>+VLOOKUP(H265,[1]Explore!$A:$I,9,0)</f>
        <v>Emerging Currency</v>
      </c>
      <c r="J265" t="str">
        <f t="shared" si="8"/>
        <v>OK</v>
      </c>
      <c r="K265" t="str">
        <f t="shared" si="9"/>
        <v>Emerging Currency</v>
      </c>
      <c r="L265" t="s">
        <v>75</v>
      </c>
      <c r="M265" t="str">
        <f>_xlfn.IFNA(VLOOKUP(K265,'Mapping DEF'!A:C,2,0),"")</f>
        <v>FX</v>
      </c>
      <c r="N265" t="str">
        <f>+_xlfn.IFNA(VLOOKUP(M265,'Mapping DEF'!B:C,2,FALSE),"")</f>
        <v>FX</v>
      </c>
      <c r="O265" t="s">
        <v>2726</v>
      </c>
    </row>
    <row r="266" spans="1:15" x14ac:dyDescent="0.25">
      <c r="A266" t="s">
        <v>935</v>
      </c>
      <c r="B266" t="s">
        <v>936</v>
      </c>
      <c r="C266">
        <v>2408</v>
      </c>
      <c r="D266" t="s">
        <v>914</v>
      </c>
      <c r="E266" t="s">
        <v>557</v>
      </c>
      <c r="F266" t="s">
        <v>392</v>
      </c>
      <c r="G266" t="str">
        <f>+VLOOKUP(F266,[1]Explore!$B:$I,8,0)</f>
        <v>Equity Implied Volatility</v>
      </c>
      <c r="H266" t="s">
        <v>392</v>
      </c>
      <c r="I266" t="str">
        <f>+VLOOKUP(H266,[1]Explore!$A:$I,9,0)</f>
        <v>Equity Implied Volatility</v>
      </c>
      <c r="J266" t="str">
        <f t="shared" si="8"/>
        <v>OK</v>
      </c>
      <c r="K266" t="str">
        <f t="shared" si="9"/>
        <v>Equity Implied Volatility</v>
      </c>
      <c r="L266" t="s">
        <v>27</v>
      </c>
      <c r="M266" t="str">
        <f>_xlfn.IFNA(VLOOKUP(K266,'Mapping DEF'!A:C,2,0),"")</f>
        <v>Equity Derivatives</v>
      </c>
      <c r="N266" t="str">
        <f>+_xlfn.IFNA(VLOOKUP(M266,'Mapping DEF'!B:C,2,FALSE),"")</f>
        <v>Equity</v>
      </c>
      <c r="O266" t="s">
        <v>79</v>
      </c>
    </row>
    <row r="267" spans="1:15" x14ac:dyDescent="0.25">
      <c r="A267" t="s">
        <v>935</v>
      </c>
      <c r="B267" t="s">
        <v>936</v>
      </c>
      <c r="C267">
        <v>2408</v>
      </c>
      <c r="D267" t="s">
        <v>914</v>
      </c>
      <c r="E267" t="s">
        <v>571</v>
      </c>
      <c r="F267" t="s">
        <v>572</v>
      </c>
      <c r="G267" t="str">
        <f>+VLOOKUP(F267,[1]Explore!$B:$I,8,0)</f>
        <v>Equity Implied Volatility</v>
      </c>
      <c r="H267" t="s">
        <v>573</v>
      </c>
      <c r="I267" t="str">
        <f>+VLOOKUP(H267,[1]Explore!$A:$I,9,0)</f>
        <v>Equity Implied Volatility</v>
      </c>
      <c r="J267" t="str">
        <f t="shared" si="8"/>
        <v>OK</v>
      </c>
      <c r="K267" t="str">
        <f t="shared" si="9"/>
        <v>Equity Implied Volatility</v>
      </c>
      <c r="L267" t="s">
        <v>27</v>
      </c>
      <c r="M267" t="str">
        <f>_xlfn.IFNA(VLOOKUP(K267,'Mapping DEF'!A:C,2,0),"")</f>
        <v>Equity Derivatives</v>
      </c>
      <c r="N267" t="str">
        <f>+_xlfn.IFNA(VLOOKUP(M267,'Mapping DEF'!B:C,2,FALSE),"")</f>
        <v>Equity</v>
      </c>
      <c r="O267" t="s">
        <v>2719</v>
      </c>
    </row>
    <row r="268" spans="1:15" x14ac:dyDescent="0.25">
      <c r="A268" t="s">
        <v>935</v>
      </c>
      <c r="B268" t="s">
        <v>936</v>
      </c>
      <c r="C268">
        <v>2408</v>
      </c>
      <c r="D268" t="s">
        <v>914</v>
      </c>
      <c r="E268" t="s">
        <v>505</v>
      </c>
      <c r="F268" t="s">
        <v>183</v>
      </c>
      <c r="G268" t="str">
        <f>+VLOOKUP(F268,[1]Explore!$B:$I,8,0)</f>
        <v>Equity Implied Volatility</v>
      </c>
      <c r="H268" t="s">
        <v>184</v>
      </c>
      <c r="I268" t="str">
        <f>+VLOOKUP(H268,[1]Explore!$A:$I,9,0)</f>
        <v>Equity Implied Volatility</v>
      </c>
      <c r="J268" t="str">
        <f t="shared" si="8"/>
        <v>OK</v>
      </c>
      <c r="K268" t="str">
        <f t="shared" si="9"/>
        <v>Equity Implied Volatility</v>
      </c>
      <c r="L268" t="s">
        <v>27</v>
      </c>
      <c r="M268" t="str">
        <f>_xlfn.IFNA(VLOOKUP(K268,'Mapping DEF'!A:C,2,0),"")</f>
        <v>Equity Derivatives</v>
      </c>
      <c r="N268" t="str">
        <f>+_xlfn.IFNA(VLOOKUP(M268,'Mapping DEF'!B:C,2,FALSE),"")</f>
        <v>Equity</v>
      </c>
      <c r="O268" t="s">
        <v>2700</v>
      </c>
    </row>
    <row r="269" spans="1:15" x14ac:dyDescent="0.25">
      <c r="A269" t="s">
        <v>935</v>
      </c>
      <c r="B269" t="s">
        <v>936</v>
      </c>
      <c r="C269">
        <v>2408</v>
      </c>
      <c r="D269" t="s">
        <v>914</v>
      </c>
      <c r="E269" t="s">
        <v>574</v>
      </c>
      <c r="F269" t="s">
        <v>346</v>
      </c>
      <c r="G269" t="str">
        <f>+VLOOKUP(F269,[1]Explore!$B:$I,8,0)</f>
        <v>Spread Emerging Markets - Country</v>
      </c>
      <c r="H269" t="s">
        <v>347</v>
      </c>
      <c r="I269" t="str">
        <f>+VLOOKUP(H269,[1]Explore!$A:$I,9,0)</f>
        <v>Spread Emerging Markets - Country</v>
      </c>
      <c r="J269" t="str">
        <f t="shared" si="8"/>
        <v>OK</v>
      </c>
      <c r="K269" t="str">
        <f t="shared" si="9"/>
        <v>Spread Emerging Markets - Country</v>
      </c>
      <c r="L269" t="s">
        <v>188</v>
      </c>
      <c r="M269" t="str">
        <f>_xlfn.IFNA(VLOOKUP(K269,'Mapping DEF'!A:C,2,0),"")</f>
        <v>Spread</v>
      </c>
      <c r="N269" t="str">
        <f>+_xlfn.IFNA(VLOOKUP(M269,'Mapping DEF'!B:C,2,FALSE),"")</f>
        <v>Spread</v>
      </c>
      <c r="O269" t="s">
        <v>189</v>
      </c>
    </row>
    <row r="270" spans="1:15" x14ac:dyDescent="0.25">
      <c r="A270" t="s">
        <v>935</v>
      </c>
      <c r="B270" t="s">
        <v>936</v>
      </c>
      <c r="C270">
        <v>2408</v>
      </c>
      <c r="D270" t="s">
        <v>914</v>
      </c>
      <c r="E270" t="s">
        <v>575</v>
      </c>
      <c r="F270" t="s">
        <v>576</v>
      </c>
      <c r="G270" t="str">
        <f>+VLOOKUP(F270,[1]Explore!$B:$I,8,0)</f>
        <v>Spread Emerging Markets - Country</v>
      </c>
      <c r="H270" t="s">
        <v>577</v>
      </c>
      <c r="I270" t="str">
        <f>+VLOOKUP(H270,[1]Explore!$A:$I,9,0)</f>
        <v>Spread Emerging Markets - Country</v>
      </c>
      <c r="J270" t="str">
        <f t="shared" si="8"/>
        <v>OK</v>
      </c>
      <c r="K270" t="str">
        <f t="shared" si="9"/>
        <v>Spread Emerging Markets - Country</v>
      </c>
      <c r="L270" t="s">
        <v>188</v>
      </c>
      <c r="M270" t="str">
        <f>_xlfn.IFNA(VLOOKUP(K270,'Mapping DEF'!A:C,2,0),"")</f>
        <v>Spread</v>
      </c>
      <c r="N270" t="str">
        <f>+_xlfn.IFNA(VLOOKUP(M270,'Mapping DEF'!B:C,2,FALSE),"")</f>
        <v>Spread</v>
      </c>
      <c r="O270" t="s">
        <v>101</v>
      </c>
    </row>
    <row r="271" spans="1:15" x14ac:dyDescent="0.25">
      <c r="A271" t="s">
        <v>935</v>
      </c>
      <c r="B271" t="s">
        <v>936</v>
      </c>
      <c r="C271">
        <v>2408</v>
      </c>
      <c r="D271" t="s">
        <v>914</v>
      </c>
      <c r="E271" t="s">
        <v>578</v>
      </c>
      <c r="F271" t="s">
        <v>576</v>
      </c>
      <c r="G271" t="str">
        <f>+VLOOKUP(F271,[1]Explore!$B:$I,8,0)</f>
        <v>Spread Emerging Markets - Country</v>
      </c>
      <c r="H271" t="s">
        <v>579</v>
      </c>
      <c r="I271" t="str">
        <f>+VLOOKUP(H271,[1]Explore!$A:$I,9,0)</f>
        <v>Corporate HY USD - Country</v>
      </c>
      <c r="J271" t="str">
        <f t="shared" si="8"/>
        <v>OK</v>
      </c>
      <c r="K271" t="str">
        <f t="shared" si="9"/>
        <v>Corporate HY USD - Country</v>
      </c>
      <c r="L271" t="s">
        <v>188</v>
      </c>
      <c r="M271" t="str">
        <f>_xlfn.IFNA(VLOOKUP(K271,'Mapping DEF'!A:C,2,0),"")</f>
        <v/>
      </c>
      <c r="N271" t="str">
        <f>+_xlfn.IFNA(VLOOKUP(M271,'Mapping DEF'!B:C,2,FALSE),"")</f>
        <v/>
      </c>
      <c r="O271" t="s">
        <v>101</v>
      </c>
    </row>
    <row r="272" spans="1:15" x14ac:dyDescent="0.25">
      <c r="A272" t="s">
        <v>977</v>
      </c>
      <c r="B272" t="s">
        <v>978</v>
      </c>
      <c r="C272">
        <v>2409</v>
      </c>
      <c r="D272" t="s">
        <v>937</v>
      </c>
      <c r="E272" t="s">
        <v>580</v>
      </c>
      <c r="F272" t="s">
        <v>19</v>
      </c>
      <c r="G272" t="str">
        <f>+VLOOKUP(F272,[1]Explore!$B:$I,8,0)</f>
        <v>Govt USD</v>
      </c>
      <c r="H272" t="s">
        <v>20</v>
      </c>
      <c r="I272" t="str">
        <f>+VLOOKUP(H272,[1]Explore!$A:$I,9,0)</f>
        <v>Govt USD</v>
      </c>
      <c r="J272" t="str">
        <f t="shared" si="8"/>
        <v>OK</v>
      </c>
      <c r="K272" t="str">
        <f t="shared" si="9"/>
        <v>Govt USD</v>
      </c>
      <c r="L272" t="s">
        <v>8</v>
      </c>
      <c r="M272" t="str">
        <f>_xlfn.IFNA(VLOOKUP(K272,'Mapping DEF'!A:C,2,0),"")</f>
        <v>Curve (Local)</v>
      </c>
      <c r="N272" t="str">
        <f>+_xlfn.IFNA(VLOOKUP(M272,'Mapping DEF'!B:C,2,FALSE),"")</f>
        <v>Term Structure</v>
      </c>
      <c r="O272" t="s">
        <v>2717</v>
      </c>
    </row>
    <row r="273" spans="1:15" x14ac:dyDescent="0.25">
      <c r="A273" t="s">
        <v>977</v>
      </c>
      <c r="B273" t="s">
        <v>978</v>
      </c>
      <c r="C273">
        <v>2409</v>
      </c>
      <c r="D273" t="s">
        <v>937</v>
      </c>
      <c r="E273" t="s">
        <v>313</v>
      </c>
      <c r="F273" t="s">
        <v>268</v>
      </c>
      <c r="G273" t="str">
        <f>+VLOOKUP(F273,[1]Explore!$B:$I,8,0)</f>
        <v>Alternative - Commodity</v>
      </c>
      <c r="H273" t="s">
        <v>269</v>
      </c>
      <c r="I273" t="str">
        <f>+VLOOKUP(H273,[1]Explore!$A:$I,9,0)</f>
        <v>Alternative - Commodity</v>
      </c>
      <c r="J273" t="str">
        <f t="shared" si="8"/>
        <v>OK</v>
      </c>
      <c r="K273" t="str">
        <f t="shared" si="9"/>
        <v>Alternative - Commodity</v>
      </c>
      <c r="L273" t="s">
        <v>70</v>
      </c>
      <c r="M273" t="str">
        <f>_xlfn.IFNA(VLOOKUP(K273,'Mapping DEF'!A:C,2,0),"")</f>
        <v>Alternative</v>
      </c>
      <c r="N273" t="str">
        <f>+_xlfn.IFNA(VLOOKUP(M273,'Mapping DEF'!B:C,2,FALSE),"")</f>
        <v>Other</v>
      </c>
      <c r="O273" t="s">
        <v>79</v>
      </c>
    </row>
    <row r="274" spans="1:15" x14ac:dyDescent="0.25">
      <c r="A274" t="s">
        <v>977</v>
      </c>
      <c r="B274" t="s">
        <v>978</v>
      </c>
      <c r="C274">
        <v>2409</v>
      </c>
      <c r="D274" t="s">
        <v>937</v>
      </c>
      <c r="E274" t="s">
        <v>371</v>
      </c>
      <c r="F274" t="s">
        <v>206</v>
      </c>
      <c r="G274" t="e">
        <f>+VLOOKUP(F274,[1]Explore!$B:$I,8,0)</f>
        <v>#N/A</v>
      </c>
      <c r="H274" t="s">
        <v>206</v>
      </c>
      <c r="I274" t="e">
        <f>+VLOOKUP(H274,[1]Explore!$A:$I,9,0)</f>
        <v>#N/A</v>
      </c>
      <c r="J274" t="str">
        <f t="shared" si="8"/>
        <v>BOTH #N/A</v>
      </c>
      <c r="K274" t="str">
        <f t="shared" si="9"/>
        <v>Dollar Index</v>
      </c>
      <c r="L274" t="s">
        <v>2930</v>
      </c>
      <c r="M274" t="str">
        <f>_xlfn.IFNA(VLOOKUP(K274,'Mapping DEF'!A:C,2,0),"")</f>
        <v>Index Level</v>
      </c>
      <c r="N274" t="str">
        <f>+_xlfn.IFNA(VLOOKUP(M274,'Mapping DEF'!B:C,2,FALSE),"")</f>
        <v>Other</v>
      </c>
      <c r="O274" t="s">
        <v>274</v>
      </c>
    </row>
    <row r="275" spans="1:15" x14ac:dyDescent="0.25">
      <c r="A275" t="s">
        <v>977</v>
      </c>
      <c r="B275" t="s">
        <v>978</v>
      </c>
      <c r="C275">
        <v>2409</v>
      </c>
      <c r="D275" t="s">
        <v>937</v>
      </c>
      <c r="E275" t="s">
        <v>581</v>
      </c>
      <c r="F275" t="s">
        <v>392</v>
      </c>
      <c r="G275" t="str">
        <f>+VLOOKUP(F275,[1]Explore!$B:$I,8,0)</f>
        <v>Equity Implied Volatility</v>
      </c>
      <c r="H275" t="s">
        <v>392</v>
      </c>
      <c r="I275" t="str">
        <f>+VLOOKUP(H275,[1]Explore!$A:$I,9,0)</f>
        <v>Equity Implied Volatility</v>
      </c>
      <c r="J275" t="str">
        <f t="shared" si="8"/>
        <v>OK</v>
      </c>
      <c r="K275" t="str">
        <f t="shared" si="9"/>
        <v>Equity Implied Volatility</v>
      </c>
      <c r="L275" t="s">
        <v>27</v>
      </c>
      <c r="M275" t="str">
        <f>_xlfn.IFNA(VLOOKUP(K275,'Mapping DEF'!A:C,2,0),"")</f>
        <v>Equity Derivatives</v>
      </c>
      <c r="N275" t="str">
        <f>+_xlfn.IFNA(VLOOKUP(M275,'Mapping DEF'!B:C,2,FALSE),"")</f>
        <v>Equity</v>
      </c>
      <c r="O275" t="s">
        <v>2743</v>
      </c>
    </row>
    <row r="276" spans="1:15" x14ac:dyDescent="0.25">
      <c r="A276" t="s">
        <v>977</v>
      </c>
      <c r="B276" t="s">
        <v>978</v>
      </c>
      <c r="C276">
        <v>2409</v>
      </c>
      <c r="D276" t="s">
        <v>937</v>
      </c>
      <c r="E276" t="s">
        <v>505</v>
      </c>
      <c r="F276" t="s">
        <v>183</v>
      </c>
      <c r="G276" t="str">
        <f>+VLOOKUP(F276,[1]Explore!$B:$I,8,0)</f>
        <v>Equity Implied Volatility</v>
      </c>
      <c r="H276" t="s">
        <v>184</v>
      </c>
      <c r="I276" t="str">
        <f>+VLOOKUP(H276,[1]Explore!$A:$I,9,0)</f>
        <v>Equity Implied Volatility</v>
      </c>
      <c r="J276" t="str">
        <f t="shared" si="8"/>
        <v>OK</v>
      </c>
      <c r="K276" t="str">
        <f t="shared" si="9"/>
        <v>Equity Implied Volatility</v>
      </c>
      <c r="L276" t="s">
        <v>27</v>
      </c>
      <c r="M276" t="str">
        <f>_xlfn.IFNA(VLOOKUP(K276,'Mapping DEF'!A:C,2,0),"")</f>
        <v>Equity Derivatives</v>
      </c>
      <c r="N276" t="str">
        <f>+_xlfn.IFNA(VLOOKUP(M276,'Mapping DEF'!B:C,2,FALSE),"")</f>
        <v>Equity</v>
      </c>
      <c r="O276" t="s">
        <v>2700</v>
      </c>
    </row>
    <row r="277" spans="1:15" x14ac:dyDescent="0.25">
      <c r="A277" t="s">
        <v>977</v>
      </c>
      <c r="B277" t="s">
        <v>978</v>
      </c>
      <c r="C277">
        <v>2409</v>
      </c>
      <c r="D277" t="s">
        <v>937</v>
      </c>
      <c r="E277" t="s">
        <v>582</v>
      </c>
      <c r="F277" t="s">
        <v>583</v>
      </c>
      <c r="G277" t="e">
        <f>+VLOOKUP(F277,[1]Explore!$B:$I,8,0)</f>
        <v>#N/A</v>
      </c>
      <c r="H277" t="s">
        <v>584</v>
      </c>
      <c r="I277" t="str">
        <f>+VLOOKUP(H277,[1]Explore!$A:$I,9,0)</f>
        <v>Corporate HY USD - CDX</v>
      </c>
      <c r="J277" t="str">
        <f t="shared" si="8"/>
        <v>OK</v>
      </c>
      <c r="K277" t="str">
        <f t="shared" si="9"/>
        <v>Corporate HY USD - CDX</v>
      </c>
      <c r="L277" t="s">
        <v>188</v>
      </c>
      <c r="M277" t="str">
        <f>_xlfn.IFNA(VLOOKUP(K277,'Mapping DEF'!A:C,2,0),"")</f>
        <v>Spread</v>
      </c>
      <c r="N277" t="str">
        <f>+_xlfn.IFNA(VLOOKUP(M277,'Mapping DEF'!B:C,2,FALSE),"")</f>
        <v>Spread</v>
      </c>
      <c r="O277" t="s">
        <v>2734</v>
      </c>
    </row>
    <row r="278" spans="1:15" x14ac:dyDescent="0.25">
      <c r="A278" t="s">
        <v>1002</v>
      </c>
      <c r="B278" t="s">
        <v>1003</v>
      </c>
      <c r="C278">
        <v>2444</v>
      </c>
      <c r="D278" t="s">
        <v>979</v>
      </c>
      <c r="E278" t="s">
        <v>585</v>
      </c>
      <c r="F278" t="s">
        <v>13</v>
      </c>
      <c r="G278" t="str">
        <f>+VLOOKUP(F278,[1]Explore!$B:$I,8,0)</f>
        <v>Govt USD</v>
      </c>
      <c r="H278" t="s">
        <v>14</v>
      </c>
      <c r="I278" t="str">
        <f>+VLOOKUP(H278,[1]Explore!$A:$I,9,0)</f>
        <v>Govt USD</v>
      </c>
      <c r="J278" t="str">
        <f t="shared" si="8"/>
        <v>OK</v>
      </c>
      <c r="K278" t="str">
        <f t="shared" si="9"/>
        <v>Govt USD</v>
      </c>
      <c r="L278" t="s">
        <v>8</v>
      </c>
      <c r="M278" t="str">
        <f>_xlfn.IFNA(VLOOKUP(K278,'Mapping DEF'!A:C,2,0),"")</f>
        <v>Curve (Local)</v>
      </c>
      <c r="N278" t="str">
        <f>+_xlfn.IFNA(VLOOKUP(M278,'Mapping DEF'!B:C,2,FALSE),"")</f>
        <v>Term Structure</v>
      </c>
      <c r="O278" t="s">
        <v>2703</v>
      </c>
    </row>
    <row r="279" spans="1:15" x14ac:dyDescent="0.25">
      <c r="A279" t="s">
        <v>1002</v>
      </c>
      <c r="B279" t="s">
        <v>1003</v>
      </c>
      <c r="C279">
        <v>2444</v>
      </c>
      <c r="D279" t="s">
        <v>979</v>
      </c>
      <c r="E279" t="s">
        <v>586</v>
      </c>
      <c r="F279" t="s">
        <v>19</v>
      </c>
      <c r="G279" t="str">
        <f>+VLOOKUP(F279,[1]Explore!$B:$I,8,0)</f>
        <v>Govt USD</v>
      </c>
      <c r="H279" t="s">
        <v>20</v>
      </c>
      <c r="I279" t="str">
        <f>+VLOOKUP(H279,[1]Explore!$A:$I,9,0)</f>
        <v>Govt USD</v>
      </c>
      <c r="J279" t="str">
        <f t="shared" si="8"/>
        <v>OK</v>
      </c>
      <c r="K279" t="str">
        <f t="shared" si="9"/>
        <v>Govt USD</v>
      </c>
      <c r="L279" t="s">
        <v>8</v>
      </c>
      <c r="M279" t="str">
        <f>_xlfn.IFNA(VLOOKUP(K279,'Mapping DEF'!A:C,2,0),"")</f>
        <v>Curve (Local)</v>
      </c>
      <c r="N279" t="str">
        <f>+_xlfn.IFNA(VLOOKUP(M279,'Mapping DEF'!B:C,2,FALSE),"")</f>
        <v>Term Structure</v>
      </c>
      <c r="O279" t="s">
        <v>2739</v>
      </c>
    </row>
    <row r="280" spans="1:15" x14ac:dyDescent="0.25">
      <c r="A280" t="s">
        <v>1002</v>
      </c>
      <c r="B280" t="s">
        <v>1003</v>
      </c>
      <c r="C280">
        <v>2444</v>
      </c>
      <c r="D280" t="s">
        <v>979</v>
      </c>
      <c r="E280" t="s">
        <v>587</v>
      </c>
      <c r="F280" t="s">
        <v>588</v>
      </c>
      <c r="G280" t="str">
        <f>+VLOOKUP(F280,[1]Explore!$B:$I,8,0)</f>
        <v>USD Inflation</v>
      </c>
      <c r="H280" t="s">
        <v>589</v>
      </c>
      <c r="I280" t="str">
        <f>+VLOOKUP(H280,[1]Explore!$A:$I,9,0)</f>
        <v>USD Inflation</v>
      </c>
      <c r="J280" t="str">
        <f t="shared" si="8"/>
        <v>OK</v>
      </c>
      <c r="K280" t="str">
        <f t="shared" si="9"/>
        <v>USD Inflation</v>
      </c>
      <c r="L280" t="s">
        <v>8</v>
      </c>
      <c r="M280" t="str">
        <f>_xlfn.IFNA(VLOOKUP(K280,'Mapping DEF'!A:C,2,0),"")</f>
        <v>Inflation</v>
      </c>
      <c r="N280" t="str">
        <f>+_xlfn.IFNA(VLOOKUP(M280,'Mapping DEF'!B:C,2,FALSE),"")</f>
        <v>Other</v>
      </c>
      <c r="O280" t="s">
        <v>85</v>
      </c>
    </row>
    <row r="281" spans="1:15" x14ac:dyDescent="0.25">
      <c r="A281" t="s">
        <v>1002</v>
      </c>
      <c r="B281" t="s">
        <v>1003</v>
      </c>
      <c r="C281">
        <v>2444</v>
      </c>
      <c r="D281" t="s">
        <v>979</v>
      </c>
      <c r="E281" t="s">
        <v>590</v>
      </c>
      <c r="F281" t="s">
        <v>268</v>
      </c>
      <c r="G281" t="str">
        <f>+VLOOKUP(F281,[1]Explore!$B:$I,8,0)</f>
        <v>Alternative - Commodity</v>
      </c>
      <c r="H281" t="s">
        <v>269</v>
      </c>
      <c r="I281" t="str">
        <f>+VLOOKUP(H281,[1]Explore!$A:$I,9,0)</f>
        <v>Alternative - Commodity</v>
      </c>
      <c r="J281" t="str">
        <f t="shared" si="8"/>
        <v>OK</v>
      </c>
      <c r="K281" t="str">
        <f t="shared" si="9"/>
        <v>Alternative - Commodity</v>
      </c>
      <c r="L281" t="s">
        <v>70</v>
      </c>
      <c r="M281" t="str">
        <f>_xlfn.IFNA(VLOOKUP(K281,'Mapping DEF'!A:C,2,0),"")</f>
        <v>Alternative</v>
      </c>
      <c r="N281" t="str">
        <f>+_xlfn.IFNA(VLOOKUP(M281,'Mapping DEF'!B:C,2,FALSE),"")</f>
        <v>Other</v>
      </c>
      <c r="O281" t="s">
        <v>2743</v>
      </c>
    </row>
    <row r="282" spans="1:15" x14ac:dyDescent="0.25">
      <c r="A282" t="s">
        <v>1002</v>
      </c>
      <c r="B282" t="s">
        <v>1003</v>
      </c>
      <c r="C282">
        <v>2444</v>
      </c>
      <c r="D282" t="s">
        <v>979</v>
      </c>
      <c r="E282" t="s">
        <v>591</v>
      </c>
      <c r="F282" t="s">
        <v>271</v>
      </c>
      <c r="G282" t="str">
        <f>+VLOOKUP(F282,[1]Explore!$B:$I,8,0)</f>
        <v>Corporate IG USD - Other</v>
      </c>
      <c r="H282" t="s">
        <v>272</v>
      </c>
      <c r="I282" t="str">
        <f>+VLOOKUP(H282,[1]Explore!$A:$I,9,0)</f>
        <v>Corporate IG USD - Other</v>
      </c>
      <c r="J282" t="str">
        <f t="shared" si="8"/>
        <v>OK</v>
      </c>
      <c r="K282" t="str">
        <f t="shared" si="9"/>
        <v>Corporate IG USD - Other</v>
      </c>
      <c r="L282" t="s">
        <v>2650</v>
      </c>
      <c r="M282" t="str">
        <f>_xlfn.IFNA(VLOOKUP(K282,'Mapping DEF'!A:C,2,0),"")</f>
        <v>Spread</v>
      </c>
      <c r="N282" t="str">
        <f>+_xlfn.IFNA(VLOOKUP(M282,'Mapping DEF'!B:C,2,FALSE),"")</f>
        <v>Spread</v>
      </c>
      <c r="O282" t="s">
        <v>2747</v>
      </c>
    </row>
    <row r="283" spans="1:15" x14ac:dyDescent="0.25">
      <c r="A283" t="s">
        <v>1002</v>
      </c>
      <c r="B283" t="s">
        <v>1003</v>
      </c>
      <c r="C283">
        <v>2444</v>
      </c>
      <c r="D283" t="s">
        <v>979</v>
      </c>
      <c r="E283" t="s">
        <v>592</v>
      </c>
      <c r="F283" t="s">
        <v>593</v>
      </c>
      <c r="G283" t="str">
        <f>+VLOOKUP(F283,[1]Explore!$B:$I,8,0)</f>
        <v>Corporate IG USD - Industry</v>
      </c>
      <c r="H283" t="s">
        <v>594</v>
      </c>
      <c r="I283" t="str">
        <f>+VLOOKUP(H283,[1]Explore!$A:$I,9,0)</f>
        <v>Corporate IG USD - Industry</v>
      </c>
      <c r="J283" t="str">
        <f t="shared" si="8"/>
        <v>OK</v>
      </c>
      <c r="K283" t="str">
        <f t="shared" si="9"/>
        <v>Corporate IG USD - Industry</v>
      </c>
      <c r="L283" t="s">
        <v>188</v>
      </c>
      <c r="M283" t="str">
        <f>_xlfn.IFNA(VLOOKUP(K283,'Mapping DEF'!A:C,2,0),"")</f>
        <v>Spread</v>
      </c>
      <c r="N283" t="str">
        <f>+_xlfn.IFNA(VLOOKUP(M283,'Mapping DEF'!B:C,2,FALSE),"")</f>
        <v>Spread</v>
      </c>
      <c r="O283" t="s">
        <v>2748</v>
      </c>
    </row>
    <row r="284" spans="1:15" x14ac:dyDescent="0.25">
      <c r="A284" t="s">
        <v>1002</v>
      </c>
      <c r="B284" t="s">
        <v>1003</v>
      </c>
      <c r="C284">
        <v>2444</v>
      </c>
      <c r="D284" t="s">
        <v>979</v>
      </c>
      <c r="E284" t="s">
        <v>595</v>
      </c>
      <c r="F284" t="s">
        <v>596</v>
      </c>
      <c r="G284" t="str">
        <f>+VLOOKUP(F284,[1]Explore!$B:$I,8,0)</f>
        <v>Govt Emerging Markets</v>
      </c>
      <c r="H284" t="s">
        <v>597</v>
      </c>
      <c r="I284" t="str">
        <f>+VLOOKUP(H284,[1]Explore!$A:$I,9,0)</f>
        <v>Govt Emerging Markets</v>
      </c>
      <c r="J284" t="str">
        <f t="shared" si="8"/>
        <v>OK</v>
      </c>
      <c r="K284" t="str">
        <f t="shared" si="9"/>
        <v>Govt Emerging Markets</v>
      </c>
      <c r="L284" t="s">
        <v>8</v>
      </c>
      <c r="M284" t="str">
        <f>_xlfn.IFNA(VLOOKUP(K284,'Mapping DEF'!A:C,2,0),"")</f>
        <v>Curve (Local)</v>
      </c>
      <c r="N284" t="str">
        <f>+_xlfn.IFNA(VLOOKUP(M284,'Mapping DEF'!B:C,2,FALSE),"")</f>
        <v>Term Structure</v>
      </c>
      <c r="O284" t="s">
        <v>2747</v>
      </c>
    </row>
    <row r="285" spans="1:15" x14ac:dyDescent="0.25">
      <c r="A285" t="s">
        <v>1002</v>
      </c>
      <c r="B285" t="s">
        <v>1003</v>
      </c>
      <c r="C285">
        <v>2444</v>
      </c>
      <c r="D285" t="s">
        <v>979</v>
      </c>
      <c r="E285" t="s">
        <v>598</v>
      </c>
      <c r="F285" t="s">
        <v>2944</v>
      </c>
      <c r="G285" t="str">
        <f>+VLOOKUP(F285,[1]Explore!$B:$I,8,0)</f>
        <v>JPY</v>
      </c>
      <c r="H285" t="s">
        <v>138</v>
      </c>
      <c r="I285" t="str">
        <f>+VLOOKUP(H285,[1]Explore!$A:$I,9,0)</f>
        <v>JPY</v>
      </c>
      <c r="J285" t="str">
        <f t="shared" si="8"/>
        <v>OK</v>
      </c>
      <c r="K285" t="str">
        <f t="shared" si="9"/>
        <v>JPY</v>
      </c>
      <c r="L285" t="s">
        <v>75</v>
      </c>
      <c r="M285" t="str">
        <f>_xlfn.IFNA(VLOOKUP(K285,'Mapping DEF'!A:C,2,0),"")</f>
        <v>FX</v>
      </c>
      <c r="N285" t="str">
        <f>+_xlfn.IFNA(VLOOKUP(M285,'Mapping DEF'!B:C,2,FALSE),"")</f>
        <v>FX</v>
      </c>
      <c r="O285" t="s">
        <v>2749</v>
      </c>
    </row>
    <row r="286" spans="1:15" x14ac:dyDescent="0.25">
      <c r="A286" t="s">
        <v>1002</v>
      </c>
      <c r="B286" t="s">
        <v>1003</v>
      </c>
      <c r="C286">
        <v>2444</v>
      </c>
      <c r="D286" t="s">
        <v>979</v>
      </c>
      <c r="E286" t="s">
        <v>599</v>
      </c>
      <c r="F286" t="s">
        <v>206</v>
      </c>
      <c r="G286" t="e">
        <f>+VLOOKUP(F286,[1]Explore!$B:$I,8,0)</f>
        <v>#N/A</v>
      </c>
      <c r="H286" t="s">
        <v>206</v>
      </c>
      <c r="I286" t="e">
        <f>+VLOOKUP(H286,[1]Explore!$A:$I,9,0)</f>
        <v>#N/A</v>
      </c>
      <c r="J286" t="str">
        <f t="shared" si="8"/>
        <v>BOTH #N/A</v>
      </c>
      <c r="K286" t="str">
        <f t="shared" si="9"/>
        <v>Dollar Index</v>
      </c>
      <c r="L286" t="s">
        <v>2930</v>
      </c>
      <c r="M286" t="str">
        <f>_xlfn.IFNA(VLOOKUP(K286,'Mapping DEF'!A:C,2,0),"")</f>
        <v>Index Level</v>
      </c>
      <c r="N286" t="str">
        <f>+_xlfn.IFNA(VLOOKUP(M286,'Mapping DEF'!B:C,2,FALSE),"")</f>
        <v>Other</v>
      </c>
      <c r="O286" t="s">
        <v>79</v>
      </c>
    </row>
    <row r="287" spans="1:15" x14ac:dyDescent="0.25">
      <c r="A287" t="s">
        <v>1002</v>
      </c>
      <c r="B287" t="s">
        <v>1003</v>
      </c>
      <c r="C287">
        <v>2444</v>
      </c>
      <c r="D287" t="s">
        <v>1004</v>
      </c>
      <c r="E287" t="s">
        <v>600</v>
      </c>
      <c r="F287" t="s">
        <v>2156</v>
      </c>
      <c r="G287" t="str">
        <f>+VLOOKUP(F287,[1]Explore!$B:$I,8,0)</f>
        <v>Equity Implied Volatility</v>
      </c>
      <c r="H287" t="s">
        <v>141</v>
      </c>
      <c r="I287" t="str">
        <f>+VLOOKUP(H287,[1]Explore!$A:$I,9,0)</f>
        <v>Equity Implied Volatility</v>
      </c>
      <c r="J287" t="str">
        <f t="shared" si="8"/>
        <v>OK</v>
      </c>
      <c r="K287" t="str">
        <f t="shared" si="9"/>
        <v>Equity Implied Volatility</v>
      </c>
      <c r="L287" t="s">
        <v>27</v>
      </c>
      <c r="M287" t="str">
        <f>_xlfn.IFNA(VLOOKUP(K287,'Mapping DEF'!A:C,2,0),"")</f>
        <v>Equity Derivatives</v>
      </c>
      <c r="N287" t="str">
        <f>+_xlfn.IFNA(VLOOKUP(M287,'Mapping DEF'!B:C,2,FALSE),"")</f>
        <v>Equity</v>
      </c>
      <c r="O287" t="s">
        <v>2701</v>
      </c>
    </row>
    <row r="288" spans="1:15" x14ac:dyDescent="0.25">
      <c r="A288" t="s">
        <v>1002</v>
      </c>
      <c r="B288" t="s">
        <v>1003</v>
      </c>
      <c r="C288">
        <v>2444</v>
      </c>
      <c r="D288" t="s">
        <v>1004</v>
      </c>
      <c r="E288" t="s">
        <v>601</v>
      </c>
      <c r="F288" t="s">
        <v>392</v>
      </c>
      <c r="G288" t="str">
        <f>+VLOOKUP(F288,[1]Explore!$B:$I,8,0)</f>
        <v>Equity Implied Volatility</v>
      </c>
      <c r="H288" t="s">
        <v>392</v>
      </c>
      <c r="I288" t="str">
        <f>+VLOOKUP(H288,[1]Explore!$A:$I,9,0)</f>
        <v>Equity Implied Volatility</v>
      </c>
      <c r="J288" t="str">
        <f t="shared" si="8"/>
        <v>OK</v>
      </c>
      <c r="K288" t="str">
        <f t="shared" si="9"/>
        <v>Equity Implied Volatility</v>
      </c>
      <c r="L288" t="s">
        <v>27</v>
      </c>
      <c r="M288" t="str">
        <f>_xlfn.IFNA(VLOOKUP(K288,'Mapping DEF'!A:C,2,0),"")</f>
        <v>Equity Derivatives</v>
      </c>
      <c r="N288" t="str">
        <f>+_xlfn.IFNA(VLOOKUP(M288,'Mapping DEF'!B:C,2,FALSE),"")</f>
        <v>Equity</v>
      </c>
      <c r="O288" t="s">
        <v>2750</v>
      </c>
    </row>
    <row r="289" spans="1:15" x14ac:dyDescent="0.25">
      <c r="A289" t="s">
        <v>1002</v>
      </c>
      <c r="B289" t="s">
        <v>1003</v>
      </c>
      <c r="C289">
        <v>2444</v>
      </c>
      <c r="D289" t="s">
        <v>1004</v>
      </c>
      <c r="E289" t="s">
        <v>338</v>
      </c>
      <c r="F289" t="s">
        <v>191</v>
      </c>
      <c r="G289" t="e">
        <f>+VLOOKUP(F289,[1]Explore!$B:$I,8,0)</f>
        <v>#N/A</v>
      </c>
      <c r="H289" t="s">
        <v>192</v>
      </c>
      <c r="I289" t="e">
        <f>+VLOOKUP(H289,[1]Explore!$A:$I,9,0)</f>
        <v>#N/A</v>
      </c>
      <c r="J289" t="str">
        <f t="shared" si="8"/>
        <v>BOTH #N/A</v>
      </c>
      <c r="K289" t="str">
        <f t="shared" si="9"/>
        <v>Time</v>
      </c>
      <c r="L289" t="s">
        <v>191</v>
      </c>
      <c r="M289" t="str">
        <f>_xlfn.IFNA(VLOOKUP(K289,'Mapping DEF'!A:C,2,0),"")</f>
        <v>Time</v>
      </c>
      <c r="N289" t="str">
        <f>+_xlfn.IFNA(VLOOKUP(M289,'Mapping DEF'!B:C,2,FALSE),"")</f>
        <v>Other</v>
      </c>
      <c r="O289" t="s">
        <v>209</v>
      </c>
    </row>
    <row r="290" spans="1:15" x14ac:dyDescent="0.25">
      <c r="A290" t="s">
        <v>1002</v>
      </c>
      <c r="B290" t="s">
        <v>1003</v>
      </c>
      <c r="C290">
        <v>2444</v>
      </c>
      <c r="D290" t="s">
        <v>1004</v>
      </c>
      <c r="E290" t="s">
        <v>602</v>
      </c>
      <c r="F290" t="s">
        <v>603</v>
      </c>
      <c r="G290" t="e">
        <f>+VLOOKUP(F290,[1]Explore!$B:$I,8,0)</f>
        <v>#N/A</v>
      </c>
      <c r="H290" t="s">
        <v>604</v>
      </c>
      <c r="I290" t="str">
        <f>+VLOOKUP(H290,[1]Explore!$A:$I,9,0)</f>
        <v>Consumer Discretionary</v>
      </c>
      <c r="J290" t="str">
        <f t="shared" si="8"/>
        <v>OK</v>
      </c>
      <c r="K290" t="str">
        <f t="shared" si="9"/>
        <v>Consumer Discretionary</v>
      </c>
      <c r="L290" t="s">
        <v>93</v>
      </c>
      <c r="M290" t="str">
        <f>_xlfn.IFNA(VLOOKUP(K290,'Mapping DEF'!A:C,2,0),"")</f>
        <v>Industry Allocation</v>
      </c>
      <c r="N290" t="str">
        <f>+_xlfn.IFNA(VLOOKUP(M290,'Mapping DEF'!B:C,2,FALSE),"")</f>
        <v>Equity</v>
      </c>
      <c r="O290" t="s">
        <v>2726</v>
      </c>
    </row>
    <row r="291" spans="1:15" x14ac:dyDescent="0.25">
      <c r="A291" t="s">
        <v>1002</v>
      </c>
      <c r="B291" t="s">
        <v>1003</v>
      </c>
      <c r="C291">
        <v>2444</v>
      </c>
      <c r="D291" t="s">
        <v>1004</v>
      </c>
      <c r="E291" t="s">
        <v>605</v>
      </c>
      <c r="F291" t="s">
        <v>2157</v>
      </c>
      <c r="G291" t="str">
        <f>+VLOOKUP(F291,[1]Explore!$B:$I,8,0)</f>
        <v>Equity Implied Volatility</v>
      </c>
      <c r="H291" t="s">
        <v>325</v>
      </c>
      <c r="I291" t="e">
        <f>+VLOOKUP(H291,[1]Explore!$A:$I,9,0)</f>
        <v>#N/A</v>
      </c>
      <c r="J291" t="str">
        <f t="shared" si="8"/>
        <v>OK</v>
      </c>
      <c r="K291" t="str">
        <f t="shared" si="9"/>
        <v>Equity Implied Volatility</v>
      </c>
      <c r="L291" t="s">
        <v>27</v>
      </c>
      <c r="M291" t="str">
        <f>_xlfn.IFNA(VLOOKUP(K291,'Mapping DEF'!A:C,2,0),"")</f>
        <v>Equity Derivatives</v>
      </c>
      <c r="N291" t="str">
        <f>+_xlfn.IFNA(VLOOKUP(M291,'Mapping DEF'!B:C,2,FALSE),"")</f>
        <v>Equity</v>
      </c>
      <c r="O291" t="s">
        <v>2726</v>
      </c>
    </row>
    <row r="292" spans="1:15" x14ac:dyDescent="0.25">
      <c r="A292" t="s">
        <v>1048</v>
      </c>
      <c r="B292" t="s">
        <v>1049</v>
      </c>
      <c r="C292">
        <v>2443</v>
      </c>
      <c r="D292" t="s">
        <v>1004</v>
      </c>
      <c r="E292" t="s">
        <v>606</v>
      </c>
      <c r="F292" t="s">
        <v>19</v>
      </c>
      <c r="G292" t="str">
        <f>+VLOOKUP(F292,[1]Explore!$B:$I,8,0)</f>
        <v>Govt USD</v>
      </c>
      <c r="H292" t="s">
        <v>20</v>
      </c>
      <c r="I292" t="str">
        <f>+VLOOKUP(H292,[1]Explore!$A:$I,9,0)</f>
        <v>Govt USD</v>
      </c>
      <c r="J292" t="str">
        <f t="shared" si="8"/>
        <v>OK</v>
      </c>
      <c r="K292" t="str">
        <f t="shared" si="9"/>
        <v>Govt USD</v>
      </c>
      <c r="L292" t="s">
        <v>8</v>
      </c>
      <c r="M292" t="str">
        <f>_xlfn.IFNA(VLOOKUP(K292,'Mapping DEF'!A:C,2,0),"")</f>
        <v>Curve (Local)</v>
      </c>
      <c r="N292" t="str">
        <f>+_xlfn.IFNA(VLOOKUP(M292,'Mapping DEF'!B:C,2,FALSE),"")</f>
        <v>Term Structure</v>
      </c>
      <c r="O292" t="s">
        <v>2724</v>
      </c>
    </row>
    <row r="293" spans="1:15" x14ac:dyDescent="0.25">
      <c r="A293" t="s">
        <v>1048</v>
      </c>
      <c r="B293" t="s">
        <v>1049</v>
      </c>
      <c r="C293">
        <v>2443</v>
      </c>
      <c r="D293" t="s">
        <v>1004</v>
      </c>
      <c r="E293" t="s">
        <v>607</v>
      </c>
      <c r="F293" t="s">
        <v>271</v>
      </c>
      <c r="G293" t="str">
        <f>+VLOOKUP(F293,[1]Explore!$B:$I,8,0)</f>
        <v>Corporate IG USD - Other</v>
      </c>
      <c r="H293" t="s">
        <v>272</v>
      </c>
      <c r="I293" t="str">
        <f>+VLOOKUP(H293,[1]Explore!$A:$I,9,0)</f>
        <v>Corporate IG USD - Other</v>
      </c>
      <c r="J293" t="str">
        <f t="shared" si="8"/>
        <v>OK</v>
      </c>
      <c r="K293" t="str">
        <f t="shared" si="9"/>
        <v>Corporate IG USD - Other</v>
      </c>
      <c r="L293" t="s">
        <v>2650</v>
      </c>
      <c r="M293" t="str">
        <f>_xlfn.IFNA(VLOOKUP(K293,'Mapping DEF'!A:C,2,0),"")</f>
        <v>Spread</v>
      </c>
      <c r="N293" t="str">
        <f>+_xlfn.IFNA(VLOOKUP(M293,'Mapping DEF'!B:C,2,FALSE),"")</f>
        <v>Spread</v>
      </c>
      <c r="O293" t="s">
        <v>101</v>
      </c>
    </row>
    <row r="294" spans="1:15" x14ac:dyDescent="0.25">
      <c r="A294" t="s">
        <v>1048</v>
      </c>
      <c r="B294" t="s">
        <v>1049</v>
      </c>
      <c r="C294">
        <v>2443</v>
      </c>
      <c r="D294" t="s">
        <v>1004</v>
      </c>
      <c r="E294" t="s">
        <v>608</v>
      </c>
      <c r="F294" t="s">
        <v>596</v>
      </c>
      <c r="G294" t="str">
        <f>+VLOOKUP(F294,[1]Explore!$B:$I,8,0)</f>
        <v>Govt Emerging Markets</v>
      </c>
      <c r="H294" t="s">
        <v>597</v>
      </c>
      <c r="I294" t="str">
        <f>+VLOOKUP(H294,[1]Explore!$A:$I,9,0)</f>
        <v>Govt Emerging Markets</v>
      </c>
      <c r="J294" t="str">
        <f t="shared" si="8"/>
        <v>OK</v>
      </c>
      <c r="K294" t="str">
        <f t="shared" si="9"/>
        <v>Govt Emerging Markets</v>
      </c>
      <c r="L294" t="s">
        <v>8</v>
      </c>
      <c r="M294" t="str">
        <f>_xlfn.IFNA(VLOOKUP(K294,'Mapping DEF'!A:C,2,0),"")</f>
        <v>Curve (Local)</v>
      </c>
      <c r="N294" t="str">
        <f>+_xlfn.IFNA(VLOOKUP(M294,'Mapping DEF'!B:C,2,FALSE),"")</f>
        <v>Term Structure</v>
      </c>
      <c r="O294" t="s">
        <v>2734</v>
      </c>
    </row>
    <row r="295" spans="1:15" x14ac:dyDescent="0.25">
      <c r="A295" t="s">
        <v>1048</v>
      </c>
      <c r="B295" t="s">
        <v>1049</v>
      </c>
      <c r="C295">
        <v>2443</v>
      </c>
      <c r="D295" t="s">
        <v>1004</v>
      </c>
      <c r="E295" t="s">
        <v>337</v>
      </c>
      <c r="F295" t="s">
        <v>2944</v>
      </c>
      <c r="G295" t="str">
        <f>+VLOOKUP(F295,[1]Explore!$B:$I,8,0)</f>
        <v>JPY</v>
      </c>
      <c r="H295" t="s">
        <v>138</v>
      </c>
      <c r="I295" t="str">
        <f>+VLOOKUP(H295,[1]Explore!$A:$I,9,0)</f>
        <v>JPY</v>
      </c>
      <c r="J295" t="str">
        <f t="shared" si="8"/>
        <v>OK</v>
      </c>
      <c r="K295" t="str">
        <f t="shared" si="9"/>
        <v>JPY</v>
      </c>
      <c r="L295" t="s">
        <v>75</v>
      </c>
      <c r="M295" t="str">
        <f>_xlfn.IFNA(VLOOKUP(K295,'Mapping DEF'!A:C,2,0),"")</f>
        <v>FX</v>
      </c>
      <c r="N295" t="str">
        <f>+_xlfn.IFNA(VLOOKUP(M295,'Mapping DEF'!B:C,2,FALSE),"")</f>
        <v>FX</v>
      </c>
      <c r="O295" t="s">
        <v>108</v>
      </c>
    </row>
    <row r="296" spans="1:15" x14ac:dyDescent="0.25">
      <c r="A296" t="s">
        <v>1048</v>
      </c>
      <c r="B296" t="s">
        <v>1049</v>
      </c>
      <c r="C296">
        <v>2443</v>
      </c>
      <c r="D296" t="s">
        <v>1004</v>
      </c>
      <c r="E296" t="s">
        <v>371</v>
      </c>
      <c r="F296" t="s">
        <v>206</v>
      </c>
      <c r="G296" t="e">
        <f>+VLOOKUP(F296,[1]Explore!$B:$I,8,0)</f>
        <v>#N/A</v>
      </c>
      <c r="H296" t="s">
        <v>206</v>
      </c>
      <c r="I296" t="e">
        <f>+VLOOKUP(H296,[1]Explore!$A:$I,9,0)</f>
        <v>#N/A</v>
      </c>
      <c r="J296" t="str">
        <f t="shared" si="8"/>
        <v>BOTH #N/A</v>
      </c>
      <c r="K296" t="str">
        <f t="shared" si="9"/>
        <v>Dollar Index</v>
      </c>
      <c r="L296" t="s">
        <v>2930</v>
      </c>
      <c r="M296" t="str">
        <f>_xlfn.IFNA(VLOOKUP(K296,'Mapping DEF'!A:C,2,0),"")</f>
        <v>Index Level</v>
      </c>
      <c r="N296" t="str">
        <f>+_xlfn.IFNA(VLOOKUP(M296,'Mapping DEF'!B:C,2,FALSE),"")</f>
        <v>Other</v>
      </c>
      <c r="O296" t="s">
        <v>274</v>
      </c>
    </row>
    <row r="297" spans="1:15" x14ac:dyDescent="0.25">
      <c r="A297" t="s">
        <v>1048</v>
      </c>
      <c r="B297" t="s">
        <v>1049</v>
      </c>
      <c r="C297">
        <v>2443</v>
      </c>
      <c r="D297" t="s">
        <v>1004</v>
      </c>
      <c r="E297" t="s">
        <v>609</v>
      </c>
      <c r="F297" t="s">
        <v>392</v>
      </c>
      <c r="G297" t="str">
        <f>+VLOOKUP(F297,[1]Explore!$B:$I,8,0)</f>
        <v>Equity Implied Volatility</v>
      </c>
      <c r="H297" t="s">
        <v>392</v>
      </c>
      <c r="I297" t="str">
        <f>+VLOOKUP(H297,[1]Explore!$A:$I,9,0)</f>
        <v>Equity Implied Volatility</v>
      </c>
      <c r="J297" t="str">
        <f t="shared" si="8"/>
        <v>OK</v>
      </c>
      <c r="K297" t="str">
        <f t="shared" si="9"/>
        <v>Equity Implied Volatility</v>
      </c>
      <c r="L297" t="s">
        <v>27</v>
      </c>
      <c r="M297" t="str">
        <f>_xlfn.IFNA(VLOOKUP(K297,'Mapping DEF'!A:C,2,0),"")</f>
        <v>Equity Derivatives</v>
      </c>
      <c r="N297" t="str">
        <f>+_xlfn.IFNA(VLOOKUP(M297,'Mapping DEF'!B:C,2,FALSE),"")</f>
        <v>Equity</v>
      </c>
      <c r="O297" t="s">
        <v>71</v>
      </c>
    </row>
    <row r="298" spans="1:15" x14ac:dyDescent="0.25">
      <c r="A298" t="s">
        <v>1048</v>
      </c>
      <c r="B298" t="s">
        <v>1049</v>
      </c>
      <c r="C298">
        <v>2443</v>
      </c>
      <c r="D298" t="s">
        <v>1004</v>
      </c>
      <c r="E298" t="s">
        <v>610</v>
      </c>
      <c r="F298" t="s">
        <v>183</v>
      </c>
      <c r="G298" t="str">
        <f>+VLOOKUP(F298,[1]Explore!$B:$I,8,0)</f>
        <v>Equity Implied Volatility</v>
      </c>
      <c r="H298" t="s">
        <v>184</v>
      </c>
      <c r="I298" t="str">
        <f>+VLOOKUP(H298,[1]Explore!$A:$I,9,0)</f>
        <v>Equity Implied Volatility</v>
      </c>
      <c r="J298" t="str">
        <f t="shared" si="8"/>
        <v>OK</v>
      </c>
      <c r="K298" t="str">
        <f t="shared" si="9"/>
        <v>Equity Implied Volatility</v>
      </c>
      <c r="L298" t="s">
        <v>27</v>
      </c>
      <c r="M298" t="str">
        <f>_xlfn.IFNA(VLOOKUP(K298,'Mapping DEF'!A:C,2,0),"")</f>
        <v>Equity Derivatives</v>
      </c>
      <c r="N298" t="str">
        <f>+_xlfn.IFNA(VLOOKUP(M298,'Mapping DEF'!B:C,2,FALSE),"")</f>
        <v>Equity</v>
      </c>
      <c r="O298" t="s">
        <v>2699</v>
      </c>
    </row>
    <row r="299" spans="1:15" x14ac:dyDescent="0.25">
      <c r="A299" t="s">
        <v>1048</v>
      </c>
      <c r="B299" t="s">
        <v>1049</v>
      </c>
      <c r="C299">
        <v>2443</v>
      </c>
      <c r="D299" t="s">
        <v>1004</v>
      </c>
      <c r="E299" t="s">
        <v>338</v>
      </c>
      <c r="F299" t="s">
        <v>191</v>
      </c>
      <c r="G299" t="e">
        <f>+VLOOKUP(F299,[1]Explore!$B:$I,8,0)</f>
        <v>#N/A</v>
      </c>
      <c r="H299" t="s">
        <v>192</v>
      </c>
      <c r="I299" t="e">
        <f>+VLOOKUP(H299,[1]Explore!$A:$I,9,0)</f>
        <v>#N/A</v>
      </c>
      <c r="J299" t="str">
        <f t="shared" si="8"/>
        <v>BOTH #N/A</v>
      </c>
      <c r="K299" t="str">
        <f t="shared" si="9"/>
        <v>Time</v>
      </c>
      <c r="L299" t="s">
        <v>191</v>
      </c>
      <c r="M299" t="str">
        <f>_xlfn.IFNA(VLOOKUP(K299,'Mapping DEF'!A:C,2,0),"")</f>
        <v>Time</v>
      </c>
      <c r="N299" t="str">
        <f>+_xlfn.IFNA(VLOOKUP(M299,'Mapping DEF'!B:C,2,FALSE),"")</f>
        <v>Other</v>
      </c>
      <c r="O299" t="s">
        <v>209</v>
      </c>
    </row>
    <row r="300" spans="1:15" x14ac:dyDescent="0.25">
      <c r="A300" t="s">
        <v>1048</v>
      </c>
      <c r="B300" t="s">
        <v>1049</v>
      </c>
      <c r="C300">
        <v>2443</v>
      </c>
      <c r="D300" t="s">
        <v>1004</v>
      </c>
      <c r="E300" t="s">
        <v>611</v>
      </c>
      <c r="F300" t="s">
        <v>238</v>
      </c>
      <c r="G300" t="str">
        <f>+VLOOKUP(F300,[1]Explore!$B:$I,8,0)</f>
        <v>Consumer Discretionary</v>
      </c>
      <c r="H300" t="s">
        <v>612</v>
      </c>
      <c r="I300" t="str">
        <f>+VLOOKUP(H300,[1]Explore!$A:$I,9,0)</f>
        <v>Consumer Discretionary</v>
      </c>
      <c r="J300" t="str">
        <f t="shared" si="8"/>
        <v>OK</v>
      </c>
      <c r="K300" t="str">
        <f t="shared" si="9"/>
        <v>Consumer Discretionary</v>
      </c>
      <c r="L300" t="s">
        <v>93</v>
      </c>
      <c r="M300" t="str">
        <f>_xlfn.IFNA(VLOOKUP(K300,'Mapping DEF'!A:C,2,0),"")</f>
        <v>Industry Allocation</v>
      </c>
      <c r="N300" t="str">
        <f>+_xlfn.IFNA(VLOOKUP(M300,'Mapping DEF'!B:C,2,FALSE),"")</f>
        <v>Equity</v>
      </c>
      <c r="O300" t="s">
        <v>2700</v>
      </c>
    </row>
    <row r="301" spans="1:15" x14ac:dyDescent="0.25">
      <c r="A301" t="s">
        <v>1048</v>
      </c>
      <c r="B301" t="s">
        <v>1049</v>
      </c>
      <c r="C301">
        <v>2443</v>
      </c>
      <c r="D301" t="s">
        <v>1050</v>
      </c>
      <c r="E301" t="s">
        <v>616</v>
      </c>
      <c r="F301" t="s">
        <v>567</v>
      </c>
      <c r="G301" t="str">
        <f>+VLOOKUP(F301,[1]Explore!$B:$I,8,0)</f>
        <v>Corporate IG USD - Industry</v>
      </c>
      <c r="H301" t="s">
        <v>568</v>
      </c>
      <c r="I301" t="str">
        <f>+VLOOKUP(H301,[1]Explore!$A:$I,9,0)</f>
        <v>Corporate IG USD - Industry</v>
      </c>
      <c r="J301" t="str">
        <f t="shared" si="8"/>
        <v>OK</v>
      </c>
      <c r="K301" t="str">
        <f t="shared" si="9"/>
        <v>Corporate IG USD - Industry</v>
      </c>
      <c r="L301" t="s">
        <v>188</v>
      </c>
      <c r="M301" t="str">
        <f>_xlfn.IFNA(VLOOKUP(K301,'Mapping DEF'!A:C,2,0),"")</f>
        <v>Spread</v>
      </c>
      <c r="N301" t="str">
        <f>+_xlfn.IFNA(VLOOKUP(M301,'Mapping DEF'!B:C,2,FALSE),"")</f>
        <v>Spread</v>
      </c>
      <c r="O301" t="s">
        <v>2736</v>
      </c>
    </row>
    <row r="302" spans="1:15" x14ac:dyDescent="0.25">
      <c r="A302" t="s">
        <v>1048</v>
      </c>
      <c r="B302" t="s">
        <v>1049</v>
      </c>
      <c r="C302">
        <v>2443</v>
      </c>
      <c r="D302" t="s">
        <v>1050</v>
      </c>
      <c r="E302" t="s">
        <v>617</v>
      </c>
      <c r="F302" t="s">
        <v>2181</v>
      </c>
      <c r="G302" t="str">
        <f>+VLOOKUP(F302,[1]Explore!$B:$I,8,0)</f>
        <v>Other - Index</v>
      </c>
      <c r="H302" t="s">
        <v>618</v>
      </c>
      <c r="I302" t="e">
        <f>+VLOOKUP(H302,[1]Explore!$A:$I,9,0)</f>
        <v>#N/A</v>
      </c>
      <c r="J302" t="str">
        <f t="shared" si="8"/>
        <v>OK</v>
      </c>
      <c r="K302" t="str">
        <f t="shared" si="9"/>
        <v>Other - Index</v>
      </c>
      <c r="L302" t="s">
        <v>27</v>
      </c>
      <c r="M302" t="str">
        <f>_xlfn.IFNA(VLOOKUP(K302,'Mapping DEF'!A:C,2,0),"")</f>
        <v>Other</v>
      </c>
      <c r="N302" t="str">
        <f>+_xlfn.IFNA(VLOOKUP(M302,'Mapping DEF'!B:C,2,FALSE),"")</f>
        <v>Other</v>
      </c>
      <c r="O302" t="s">
        <v>2700</v>
      </c>
    </row>
    <row r="303" spans="1:15" x14ac:dyDescent="0.25">
      <c r="A303" t="s">
        <v>1048</v>
      </c>
      <c r="B303" t="s">
        <v>1049</v>
      </c>
      <c r="C303">
        <v>2443</v>
      </c>
      <c r="D303" t="s">
        <v>1050</v>
      </c>
      <c r="E303" t="s">
        <v>619</v>
      </c>
      <c r="F303" t="s">
        <v>2182</v>
      </c>
      <c r="G303" t="str">
        <f>+VLOOKUP(F303,[1]Explore!$B:$I,8,0)</f>
        <v>Corporate IG USD - Industry</v>
      </c>
      <c r="H303" t="s">
        <v>620</v>
      </c>
      <c r="I303" t="e">
        <f>+VLOOKUP(H303,[1]Explore!$A:$I,9,0)</f>
        <v>#N/A</v>
      </c>
      <c r="J303" t="str">
        <f t="shared" si="8"/>
        <v>OK</v>
      </c>
      <c r="K303" t="str">
        <f t="shared" si="9"/>
        <v>Corporate IG USD - Industry</v>
      </c>
      <c r="L303" t="s">
        <v>188</v>
      </c>
      <c r="M303" t="str">
        <f>_xlfn.IFNA(VLOOKUP(K303,'Mapping DEF'!A:C,2,0),"")</f>
        <v>Spread</v>
      </c>
      <c r="N303" t="str">
        <f>+_xlfn.IFNA(VLOOKUP(M303,'Mapping DEF'!B:C,2,FALSE),"")</f>
        <v>Spread</v>
      </c>
      <c r="O303" t="s">
        <v>283</v>
      </c>
    </row>
    <row r="304" spans="1:15" x14ac:dyDescent="0.25">
      <c r="A304" t="s">
        <v>1092</v>
      </c>
      <c r="B304" t="s">
        <v>1093</v>
      </c>
      <c r="C304">
        <v>2442</v>
      </c>
      <c r="D304" t="s">
        <v>1050</v>
      </c>
      <c r="E304" t="s">
        <v>621</v>
      </c>
      <c r="F304" t="s">
        <v>13</v>
      </c>
      <c r="G304" t="str">
        <f>+VLOOKUP(F304,[1]Explore!$B:$I,8,0)</f>
        <v>Govt USD</v>
      </c>
      <c r="H304" t="s">
        <v>14</v>
      </c>
      <c r="I304" t="str">
        <f>+VLOOKUP(H304,[1]Explore!$A:$I,9,0)</f>
        <v>Govt USD</v>
      </c>
      <c r="J304" t="str">
        <f t="shared" si="8"/>
        <v>OK</v>
      </c>
      <c r="K304" t="str">
        <f t="shared" si="9"/>
        <v>Govt USD</v>
      </c>
      <c r="L304" t="s">
        <v>8</v>
      </c>
      <c r="M304" t="str">
        <f>_xlfn.IFNA(VLOOKUP(K304,'Mapping DEF'!A:C,2,0),"")</f>
        <v>Curve (Local)</v>
      </c>
      <c r="N304" t="str">
        <f>+_xlfn.IFNA(VLOOKUP(M304,'Mapping DEF'!B:C,2,FALSE),"")</f>
        <v>Term Structure</v>
      </c>
      <c r="O304" t="s">
        <v>2710</v>
      </c>
    </row>
    <row r="305" spans="1:15" x14ac:dyDescent="0.25">
      <c r="A305" t="s">
        <v>1092</v>
      </c>
      <c r="B305" t="s">
        <v>1093</v>
      </c>
      <c r="C305">
        <v>2442</v>
      </c>
      <c r="D305" t="s">
        <v>1050</v>
      </c>
      <c r="E305" t="s">
        <v>622</v>
      </c>
      <c r="F305" t="s">
        <v>596</v>
      </c>
      <c r="G305" t="str">
        <f>+VLOOKUP(F305,[1]Explore!$B:$I,8,0)</f>
        <v>Govt Emerging Markets</v>
      </c>
      <c r="H305" t="s">
        <v>597</v>
      </c>
      <c r="I305" t="str">
        <f>+VLOOKUP(H305,[1]Explore!$A:$I,9,0)</f>
        <v>Govt Emerging Markets</v>
      </c>
      <c r="J305" t="str">
        <f t="shared" si="8"/>
        <v>OK</v>
      </c>
      <c r="K305" t="str">
        <f t="shared" si="9"/>
        <v>Govt Emerging Markets</v>
      </c>
      <c r="L305" t="s">
        <v>8</v>
      </c>
      <c r="M305" t="str">
        <f>_xlfn.IFNA(VLOOKUP(K305,'Mapping DEF'!A:C,2,0),"")</f>
        <v>Curve (Local)</v>
      </c>
      <c r="N305" t="str">
        <f>+_xlfn.IFNA(VLOOKUP(M305,'Mapping DEF'!B:C,2,FALSE),"")</f>
        <v>Term Structure</v>
      </c>
      <c r="O305" t="s">
        <v>2724</v>
      </c>
    </row>
    <row r="306" spans="1:15" x14ac:dyDescent="0.25">
      <c r="A306" t="s">
        <v>1092</v>
      </c>
      <c r="B306" t="s">
        <v>1093</v>
      </c>
      <c r="C306">
        <v>2442</v>
      </c>
      <c r="D306" t="s">
        <v>1050</v>
      </c>
      <c r="E306" t="s">
        <v>623</v>
      </c>
      <c r="F306" t="s">
        <v>421</v>
      </c>
      <c r="G306" t="e">
        <f>+VLOOKUP(F306,[1]Explore!$B:$I,8,0)</f>
        <v>#N/A</v>
      </c>
      <c r="H306" t="s">
        <v>422</v>
      </c>
      <c r="I306" t="str">
        <f>+VLOOKUP(H306,[1]Explore!$A:$I,9,0)</f>
        <v>Emerging Currency</v>
      </c>
      <c r="J306" t="str">
        <f t="shared" si="8"/>
        <v>OK</v>
      </c>
      <c r="K306" t="str">
        <f t="shared" si="9"/>
        <v>Emerging Currency</v>
      </c>
      <c r="L306" t="s">
        <v>75</v>
      </c>
      <c r="M306" t="str">
        <f>_xlfn.IFNA(VLOOKUP(K306,'Mapping DEF'!A:C,2,0),"")</f>
        <v>FX</v>
      </c>
      <c r="N306" t="str">
        <f>+_xlfn.IFNA(VLOOKUP(M306,'Mapping DEF'!B:C,2,FALSE),"")</f>
        <v>FX</v>
      </c>
      <c r="O306" t="s">
        <v>162</v>
      </c>
    </row>
    <row r="307" spans="1:15" x14ac:dyDescent="0.25">
      <c r="A307" t="s">
        <v>1092</v>
      </c>
      <c r="B307" t="s">
        <v>1093</v>
      </c>
      <c r="C307">
        <v>2442</v>
      </c>
      <c r="D307" t="s">
        <v>1050</v>
      </c>
      <c r="E307" t="s">
        <v>624</v>
      </c>
      <c r="F307" t="s">
        <v>392</v>
      </c>
      <c r="G307" t="str">
        <f>+VLOOKUP(F307,[1]Explore!$B:$I,8,0)</f>
        <v>Equity Implied Volatility</v>
      </c>
      <c r="H307" t="s">
        <v>392</v>
      </c>
      <c r="I307" t="str">
        <f>+VLOOKUP(H307,[1]Explore!$A:$I,9,0)</f>
        <v>Equity Implied Volatility</v>
      </c>
      <c r="J307" t="str">
        <f t="shared" si="8"/>
        <v>OK</v>
      </c>
      <c r="K307" t="str">
        <f t="shared" si="9"/>
        <v>Equity Implied Volatility</v>
      </c>
      <c r="L307" t="s">
        <v>27</v>
      </c>
      <c r="M307" t="str">
        <f>_xlfn.IFNA(VLOOKUP(K307,'Mapping DEF'!A:C,2,0),"")</f>
        <v>Equity Derivatives</v>
      </c>
      <c r="N307" t="str">
        <f>+_xlfn.IFNA(VLOOKUP(M307,'Mapping DEF'!B:C,2,FALSE),"")</f>
        <v>Equity</v>
      </c>
      <c r="O307" t="s">
        <v>2721</v>
      </c>
    </row>
    <row r="308" spans="1:15" x14ac:dyDescent="0.25">
      <c r="A308" t="s">
        <v>1092</v>
      </c>
      <c r="B308" t="s">
        <v>1093</v>
      </c>
      <c r="C308">
        <v>2442</v>
      </c>
      <c r="D308" t="s">
        <v>1050</v>
      </c>
      <c r="E308" t="s">
        <v>625</v>
      </c>
      <c r="F308" t="s">
        <v>183</v>
      </c>
      <c r="G308" t="str">
        <f>+VLOOKUP(F308,[1]Explore!$B:$I,8,0)</f>
        <v>Equity Implied Volatility</v>
      </c>
      <c r="H308" t="s">
        <v>184</v>
      </c>
      <c r="I308" t="str">
        <f>+VLOOKUP(H308,[1]Explore!$A:$I,9,0)</f>
        <v>Equity Implied Volatility</v>
      </c>
      <c r="J308" t="str">
        <f t="shared" si="8"/>
        <v>OK</v>
      </c>
      <c r="K308" t="str">
        <f t="shared" si="9"/>
        <v>Equity Implied Volatility</v>
      </c>
      <c r="L308" t="s">
        <v>27</v>
      </c>
      <c r="M308" t="str">
        <f>_xlfn.IFNA(VLOOKUP(K308,'Mapping DEF'!A:C,2,0),"")</f>
        <v>Equity Derivatives</v>
      </c>
      <c r="N308" t="str">
        <f>+_xlfn.IFNA(VLOOKUP(M308,'Mapping DEF'!B:C,2,FALSE),"")</f>
        <v>Equity</v>
      </c>
      <c r="O308" t="s">
        <v>71</v>
      </c>
    </row>
    <row r="309" spans="1:15" x14ac:dyDescent="0.25">
      <c r="A309" t="s">
        <v>1092</v>
      </c>
      <c r="B309" t="s">
        <v>1093</v>
      </c>
      <c r="C309">
        <v>2442</v>
      </c>
      <c r="D309" t="s">
        <v>1050</v>
      </c>
      <c r="E309" t="s">
        <v>626</v>
      </c>
      <c r="F309" t="s">
        <v>627</v>
      </c>
      <c r="G309" t="str">
        <f>+VLOOKUP(F309,[1]Explore!$B:$I,8,0)</f>
        <v>Corporate IG EUR - Other</v>
      </c>
      <c r="H309" t="s">
        <v>628</v>
      </c>
      <c r="I309" t="str">
        <f>+VLOOKUP(H309,[1]Explore!$A:$I,9,0)</f>
        <v>Corporate IG EUR - Other</v>
      </c>
      <c r="J309" t="str">
        <f t="shared" si="8"/>
        <v>OK</v>
      </c>
      <c r="K309" t="str">
        <f t="shared" si="9"/>
        <v>Corporate IG EUR - Other</v>
      </c>
      <c r="L309" t="s">
        <v>188</v>
      </c>
      <c r="M309" t="str">
        <f>_xlfn.IFNA(VLOOKUP(K309,'Mapping DEF'!A:C,2,0),"")</f>
        <v>Spread</v>
      </c>
      <c r="N309" t="str">
        <f>+_xlfn.IFNA(VLOOKUP(M309,'Mapping DEF'!B:C,2,FALSE),"")</f>
        <v>Spread</v>
      </c>
      <c r="O309" t="s">
        <v>2717</v>
      </c>
    </row>
    <row r="310" spans="1:15" x14ac:dyDescent="0.25">
      <c r="A310" t="s">
        <v>1092</v>
      </c>
      <c r="B310" t="s">
        <v>1093</v>
      </c>
      <c r="C310">
        <v>2442</v>
      </c>
      <c r="D310" t="s">
        <v>1050</v>
      </c>
      <c r="E310" t="s">
        <v>338</v>
      </c>
      <c r="F310" t="s">
        <v>191</v>
      </c>
      <c r="G310" t="e">
        <f>+VLOOKUP(F310,[1]Explore!$B:$I,8,0)</f>
        <v>#N/A</v>
      </c>
      <c r="H310" t="s">
        <v>192</v>
      </c>
      <c r="I310" t="e">
        <f>+VLOOKUP(H310,[1]Explore!$A:$I,9,0)</f>
        <v>#N/A</v>
      </c>
      <c r="J310" t="str">
        <f t="shared" si="8"/>
        <v>BOTH #N/A</v>
      </c>
      <c r="K310" t="str">
        <f t="shared" si="9"/>
        <v>Time</v>
      </c>
      <c r="L310" t="s">
        <v>191</v>
      </c>
      <c r="M310" t="str">
        <f>_xlfn.IFNA(VLOOKUP(K310,'Mapping DEF'!A:C,2,0),"")</f>
        <v>Time</v>
      </c>
      <c r="N310" t="str">
        <f>+_xlfn.IFNA(VLOOKUP(M310,'Mapping DEF'!B:C,2,FALSE),"")</f>
        <v>Other</v>
      </c>
      <c r="O310" t="s">
        <v>209</v>
      </c>
    </row>
    <row r="311" spans="1:15" x14ac:dyDescent="0.25">
      <c r="A311" t="s">
        <v>1092</v>
      </c>
      <c r="B311" t="s">
        <v>1093</v>
      </c>
      <c r="C311">
        <v>2442</v>
      </c>
      <c r="D311" t="s">
        <v>1050</v>
      </c>
      <c r="E311" t="s">
        <v>629</v>
      </c>
      <c r="F311" t="s">
        <v>630</v>
      </c>
      <c r="G311" t="str">
        <f>+VLOOKUP(F311,[1]Explore!$B:$I,8,0)</f>
        <v>Value</v>
      </c>
      <c r="H311" t="s">
        <v>631</v>
      </c>
      <c r="I311" t="str">
        <f>+VLOOKUP(H311,[1]Explore!$A:$I,9,0)</f>
        <v>Value</v>
      </c>
      <c r="J311" t="str">
        <f t="shared" si="8"/>
        <v>OK</v>
      </c>
      <c r="K311" t="str">
        <f t="shared" si="9"/>
        <v>Value</v>
      </c>
      <c r="L311" t="s">
        <v>2150</v>
      </c>
      <c r="M311" t="str">
        <f>_xlfn.IFNA(VLOOKUP(K311,'Mapping DEF'!A:C,2,0),"")</f>
        <v>Style</v>
      </c>
      <c r="N311" t="str">
        <f>+_xlfn.IFNA(VLOOKUP(M311,'Mapping DEF'!B:C,2,FALSE),"")</f>
        <v>Equity</v>
      </c>
      <c r="O311" t="s">
        <v>2727</v>
      </c>
    </row>
    <row r="312" spans="1:15" x14ac:dyDescent="0.25">
      <c r="A312" t="s">
        <v>1092</v>
      </c>
      <c r="B312" t="s">
        <v>1093</v>
      </c>
      <c r="C312">
        <v>2442</v>
      </c>
      <c r="D312" t="s">
        <v>1050</v>
      </c>
      <c r="E312" t="s">
        <v>632</v>
      </c>
      <c r="F312" t="s">
        <v>346</v>
      </c>
      <c r="G312" t="str">
        <f>+VLOOKUP(F312,[1]Explore!$B:$I,8,0)</f>
        <v>Spread Emerging Markets - Country</v>
      </c>
      <c r="H312" t="s">
        <v>347</v>
      </c>
      <c r="I312" t="str">
        <f>+VLOOKUP(H312,[1]Explore!$A:$I,9,0)</f>
        <v>Spread Emerging Markets - Country</v>
      </c>
      <c r="J312" t="str">
        <f t="shared" si="8"/>
        <v>OK</v>
      </c>
      <c r="K312" t="str">
        <f t="shared" si="9"/>
        <v>Spread Emerging Markets - Country</v>
      </c>
      <c r="L312" t="s">
        <v>188</v>
      </c>
      <c r="M312" t="str">
        <f>_xlfn.IFNA(VLOOKUP(K312,'Mapping DEF'!A:C,2,0),"")</f>
        <v>Spread</v>
      </c>
      <c r="N312" t="str">
        <f>+_xlfn.IFNA(VLOOKUP(M312,'Mapping DEF'!B:C,2,FALSE),"")</f>
        <v>Spread</v>
      </c>
      <c r="O312" t="s">
        <v>2751</v>
      </c>
    </row>
    <row r="313" spans="1:15" x14ac:dyDescent="0.25">
      <c r="A313" t="s">
        <v>1092</v>
      </c>
      <c r="B313" t="s">
        <v>1093</v>
      </c>
      <c r="C313">
        <v>2442</v>
      </c>
      <c r="D313" t="s">
        <v>1094</v>
      </c>
      <c r="E313" t="s">
        <v>633</v>
      </c>
      <c r="F313" t="s">
        <v>1837</v>
      </c>
      <c r="G313" t="str">
        <f>+VLOOKUP(F313,[1]Explore!$B:$I,8,0)</f>
        <v>Other - Index</v>
      </c>
      <c r="H313" t="s">
        <v>634</v>
      </c>
      <c r="I313" t="e">
        <f>+VLOOKUP(H313,[1]Explore!$A:$I,9,0)</f>
        <v>#N/A</v>
      </c>
      <c r="J313" t="str">
        <f t="shared" si="8"/>
        <v>OK</v>
      </c>
      <c r="K313" t="str">
        <f t="shared" si="9"/>
        <v>Other - Index</v>
      </c>
      <c r="L313" t="s">
        <v>27</v>
      </c>
      <c r="M313" t="str">
        <f>_xlfn.IFNA(VLOOKUP(K313,'Mapping DEF'!A:C,2,0),"")</f>
        <v>Other</v>
      </c>
      <c r="N313" t="str">
        <f>+_xlfn.IFNA(VLOOKUP(M313,'Mapping DEF'!B:C,2,FALSE),"")</f>
        <v>Other</v>
      </c>
      <c r="O313" t="s">
        <v>2713</v>
      </c>
    </row>
    <row r="314" spans="1:15" x14ac:dyDescent="0.25">
      <c r="A314" t="s">
        <v>1092</v>
      </c>
      <c r="B314" t="s">
        <v>1093</v>
      </c>
      <c r="C314">
        <v>2442</v>
      </c>
      <c r="D314" t="s">
        <v>1094</v>
      </c>
      <c r="E314" t="s">
        <v>635</v>
      </c>
      <c r="F314" t="s">
        <v>826</v>
      </c>
      <c r="G314" t="str">
        <f>+VLOOKUP(F314,[1]Explore!$B:$I,8,0)</f>
        <v>Equity Implied Volatility</v>
      </c>
      <c r="H314" t="s">
        <v>433</v>
      </c>
      <c r="I314" t="e">
        <f>+VLOOKUP(H314,[1]Explore!$A:$I,9,0)</f>
        <v>#N/A</v>
      </c>
      <c r="J314" t="str">
        <f t="shared" si="8"/>
        <v>OK</v>
      </c>
      <c r="K314" t="str">
        <f t="shared" si="9"/>
        <v>Equity Implied Volatility</v>
      </c>
      <c r="L314" t="s">
        <v>27</v>
      </c>
      <c r="M314" t="str">
        <f>_xlfn.IFNA(VLOOKUP(K314,'Mapping DEF'!A:C,2,0),"")</f>
        <v>Equity Derivatives</v>
      </c>
      <c r="N314" t="str">
        <f>+_xlfn.IFNA(VLOOKUP(M314,'Mapping DEF'!B:C,2,FALSE),"")</f>
        <v>Equity</v>
      </c>
      <c r="O314" t="s">
        <v>2711</v>
      </c>
    </row>
    <row r="315" spans="1:15" x14ac:dyDescent="0.25">
      <c r="A315" t="s">
        <v>1092</v>
      </c>
      <c r="B315" t="s">
        <v>1093</v>
      </c>
      <c r="C315">
        <v>2442</v>
      </c>
      <c r="D315" t="s">
        <v>1094</v>
      </c>
      <c r="E315" t="s">
        <v>636</v>
      </c>
      <c r="F315" t="s">
        <v>22</v>
      </c>
      <c r="G315" t="str">
        <f>+VLOOKUP(F315,[1]Explore!$B:$I,8,0)</f>
        <v>Govt USD</v>
      </c>
      <c r="H315" t="s">
        <v>637</v>
      </c>
      <c r="I315" t="e">
        <f>+VLOOKUP(H315,[1]Explore!$A:$I,9,0)</f>
        <v>#N/A</v>
      </c>
      <c r="J315" t="str">
        <f t="shared" si="8"/>
        <v>OK</v>
      </c>
      <c r="K315" t="str">
        <f t="shared" si="9"/>
        <v>Govt USD</v>
      </c>
      <c r="L315" t="s">
        <v>8</v>
      </c>
      <c r="M315" t="str">
        <f>_xlfn.IFNA(VLOOKUP(K315,'Mapping DEF'!A:C,2,0),"")</f>
        <v>Curve (Local)</v>
      </c>
      <c r="N315" t="str">
        <f>+_xlfn.IFNA(VLOOKUP(M315,'Mapping DEF'!B:C,2,FALSE),"")</f>
        <v>Term Structure</v>
      </c>
      <c r="O315" t="s">
        <v>189</v>
      </c>
    </row>
    <row r="316" spans="1:15" x14ac:dyDescent="0.25">
      <c r="A316" t="s">
        <v>1092</v>
      </c>
      <c r="B316" t="s">
        <v>1093</v>
      </c>
      <c r="C316">
        <v>2442</v>
      </c>
      <c r="D316" t="s">
        <v>1094</v>
      </c>
      <c r="E316" t="s">
        <v>638</v>
      </c>
      <c r="F316" t="s">
        <v>271</v>
      </c>
      <c r="G316" t="str">
        <f>+VLOOKUP(F316,[1]Explore!$B:$I,8,0)</f>
        <v>Corporate IG USD - Other</v>
      </c>
      <c r="H316" t="s">
        <v>620</v>
      </c>
      <c r="I316" t="e">
        <f>+VLOOKUP(H316,[1]Explore!$A:$I,9,0)</f>
        <v>#N/A</v>
      </c>
      <c r="J316" t="str">
        <f t="shared" si="8"/>
        <v>OK</v>
      </c>
      <c r="K316" t="str">
        <f t="shared" si="9"/>
        <v>Corporate IG USD - Other</v>
      </c>
      <c r="L316" t="s">
        <v>2650</v>
      </c>
      <c r="M316" t="str">
        <f>_xlfn.IFNA(VLOOKUP(K316,'Mapping DEF'!A:C,2,0),"")</f>
        <v>Spread</v>
      </c>
      <c r="N316" t="str">
        <f>+_xlfn.IFNA(VLOOKUP(M316,'Mapping DEF'!B:C,2,FALSE),"")</f>
        <v>Spread</v>
      </c>
      <c r="O316" t="s">
        <v>2724</v>
      </c>
    </row>
    <row r="317" spans="1:15" x14ac:dyDescent="0.25">
      <c r="A317" t="s">
        <v>1160</v>
      </c>
      <c r="B317" t="s">
        <v>1161</v>
      </c>
      <c r="C317">
        <v>2310</v>
      </c>
      <c r="D317" t="s">
        <v>1094</v>
      </c>
      <c r="E317" t="s">
        <v>247</v>
      </c>
      <c r="G317" t="e">
        <f>+VLOOKUP(F317,[1]Explore!$B:$I,8,0)</f>
        <v>#N/A</v>
      </c>
      <c r="H317" t="s">
        <v>247</v>
      </c>
      <c r="I317" t="e">
        <f>+VLOOKUP(H317,[1]Explore!$A:$I,9,0)</f>
        <v>#N/A</v>
      </c>
      <c r="J317" t="str">
        <f t="shared" si="8"/>
        <v>BOTH #N/A</v>
      </c>
      <c r="K317" t="str">
        <f t="shared" si="9"/>
        <v>-</v>
      </c>
      <c r="L317" t="s">
        <v>247</v>
      </c>
      <c r="M317" t="str">
        <f>_xlfn.IFNA(VLOOKUP(K317,'Mapping DEF'!A:C,2,0),"")</f>
        <v/>
      </c>
      <c r="N317" t="str">
        <f>+_xlfn.IFNA(VLOOKUP(M317,'Mapping DEF'!B:C,2,FALSE),"")</f>
        <v/>
      </c>
    </row>
    <row r="318" spans="1:15" x14ac:dyDescent="0.25">
      <c r="A318" t="s">
        <v>1164</v>
      </c>
      <c r="B318" t="s">
        <v>1165</v>
      </c>
      <c r="C318">
        <v>2307</v>
      </c>
      <c r="D318" t="s">
        <v>1094</v>
      </c>
      <c r="E318" t="s">
        <v>247</v>
      </c>
      <c r="G318" t="e">
        <f>+VLOOKUP(F318,[1]Explore!$B:$I,8,0)</f>
        <v>#N/A</v>
      </c>
      <c r="H318" t="s">
        <v>247</v>
      </c>
      <c r="I318" t="e">
        <f>+VLOOKUP(H318,[1]Explore!$A:$I,9,0)</f>
        <v>#N/A</v>
      </c>
      <c r="J318" t="str">
        <f t="shared" si="8"/>
        <v>BOTH #N/A</v>
      </c>
      <c r="K318" t="str">
        <f t="shared" si="9"/>
        <v>-</v>
      </c>
      <c r="L318" t="s">
        <v>247</v>
      </c>
      <c r="M318" t="str">
        <f>_xlfn.IFNA(VLOOKUP(K318,'Mapping DEF'!A:C,2,0),"")</f>
        <v/>
      </c>
      <c r="N318" t="str">
        <f>+_xlfn.IFNA(VLOOKUP(M318,'Mapping DEF'!B:C,2,FALSE),"")</f>
        <v/>
      </c>
    </row>
    <row r="319" spans="1:15" x14ac:dyDescent="0.25">
      <c r="A319" t="s">
        <v>1168</v>
      </c>
      <c r="B319" t="s">
        <v>1169</v>
      </c>
      <c r="C319">
        <v>2438</v>
      </c>
      <c r="D319" t="s">
        <v>1094</v>
      </c>
      <c r="E319" t="s">
        <v>606</v>
      </c>
      <c r="F319" t="s">
        <v>19</v>
      </c>
      <c r="G319" t="str">
        <f>+VLOOKUP(F319,[1]Explore!$B:$I,8,0)</f>
        <v>Govt USD</v>
      </c>
      <c r="H319" t="s">
        <v>20</v>
      </c>
      <c r="I319" t="str">
        <f>+VLOOKUP(H319,[1]Explore!$A:$I,9,0)</f>
        <v>Govt USD</v>
      </c>
      <c r="J319" t="str">
        <f t="shared" si="8"/>
        <v>OK</v>
      </c>
      <c r="K319" t="str">
        <f t="shared" si="9"/>
        <v>Govt USD</v>
      </c>
      <c r="L319" t="s">
        <v>8</v>
      </c>
      <c r="M319" t="str">
        <f>_xlfn.IFNA(VLOOKUP(K319,'Mapping DEF'!A:C,2,0),"")</f>
        <v>Curve (Local)</v>
      </c>
      <c r="N319" t="str">
        <f>+_xlfn.IFNA(VLOOKUP(M319,'Mapping DEF'!B:C,2,FALSE),"")</f>
        <v>Term Structure</v>
      </c>
      <c r="O319" t="s">
        <v>2752</v>
      </c>
    </row>
    <row r="320" spans="1:15" x14ac:dyDescent="0.25">
      <c r="A320" t="s">
        <v>1168</v>
      </c>
      <c r="B320" t="s">
        <v>1169</v>
      </c>
      <c r="C320">
        <v>2438</v>
      </c>
      <c r="D320" t="s">
        <v>1094</v>
      </c>
      <c r="E320" t="s">
        <v>436</v>
      </c>
      <c r="F320" t="s">
        <v>265</v>
      </c>
      <c r="G320" t="str">
        <f>+VLOOKUP(F320,[1]Explore!$B:$I,8,0)</f>
        <v>Alternative - Commodity</v>
      </c>
      <c r="H320" t="s">
        <v>266</v>
      </c>
      <c r="I320" t="str">
        <f>+VLOOKUP(H320,[1]Explore!$A:$I,9,0)</f>
        <v>Alternative - Commodity</v>
      </c>
      <c r="J320" t="str">
        <f t="shared" si="8"/>
        <v>OK</v>
      </c>
      <c r="K320" t="str">
        <f t="shared" si="9"/>
        <v>Alternative - Commodity</v>
      </c>
      <c r="L320" t="s">
        <v>70</v>
      </c>
      <c r="M320" t="str">
        <f>_xlfn.IFNA(VLOOKUP(K320,'Mapping DEF'!A:C,2,0),"")</f>
        <v>Alternative</v>
      </c>
      <c r="N320" t="str">
        <f>+_xlfn.IFNA(VLOOKUP(M320,'Mapping DEF'!B:C,2,FALSE),"")</f>
        <v>Other</v>
      </c>
      <c r="O320" t="s">
        <v>2753</v>
      </c>
    </row>
    <row r="321" spans="1:15" x14ac:dyDescent="0.25">
      <c r="A321" t="s">
        <v>1168</v>
      </c>
      <c r="B321" t="s">
        <v>1169</v>
      </c>
      <c r="C321">
        <v>2438</v>
      </c>
      <c r="D321" t="s">
        <v>1094</v>
      </c>
      <c r="E321" t="s">
        <v>415</v>
      </c>
      <c r="F321" t="s">
        <v>268</v>
      </c>
      <c r="G321" t="str">
        <f>+VLOOKUP(F321,[1]Explore!$B:$I,8,0)</f>
        <v>Alternative - Commodity</v>
      </c>
      <c r="H321" t="s">
        <v>269</v>
      </c>
      <c r="I321" t="str">
        <f>+VLOOKUP(H321,[1]Explore!$A:$I,9,0)</f>
        <v>Alternative - Commodity</v>
      </c>
      <c r="J321" t="str">
        <f t="shared" si="8"/>
        <v>OK</v>
      </c>
      <c r="K321" t="str">
        <f t="shared" si="9"/>
        <v>Alternative - Commodity</v>
      </c>
      <c r="L321" t="s">
        <v>70</v>
      </c>
      <c r="M321" t="str">
        <f>_xlfn.IFNA(VLOOKUP(K321,'Mapping DEF'!A:C,2,0),"")</f>
        <v>Alternative</v>
      </c>
      <c r="N321" t="str">
        <f>+_xlfn.IFNA(VLOOKUP(M321,'Mapping DEF'!B:C,2,FALSE),"")</f>
        <v>Other</v>
      </c>
      <c r="O321" t="s">
        <v>2754</v>
      </c>
    </row>
    <row r="322" spans="1:15" x14ac:dyDescent="0.25">
      <c r="A322" t="s">
        <v>1168</v>
      </c>
      <c r="B322" t="s">
        <v>1169</v>
      </c>
      <c r="C322">
        <v>2438</v>
      </c>
      <c r="D322" t="s">
        <v>1094</v>
      </c>
      <c r="E322" t="s">
        <v>639</v>
      </c>
      <c r="F322" t="s">
        <v>596</v>
      </c>
      <c r="G322" t="str">
        <f>+VLOOKUP(F322,[1]Explore!$B:$I,8,0)</f>
        <v>Govt Emerging Markets</v>
      </c>
      <c r="H322" t="s">
        <v>597</v>
      </c>
      <c r="I322" t="str">
        <f>+VLOOKUP(H322,[1]Explore!$A:$I,9,0)</f>
        <v>Govt Emerging Markets</v>
      </c>
      <c r="J322" t="str">
        <f t="shared" si="8"/>
        <v>OK</v>
      </c>
      <c r="K322" t="str">
        <f t="shared" si="9"/>
        <v>Govt Emerging Markets</v>
      </c>
      <c r="L322" t="s">
        <v>8</v>
      </c>
      <c r="M322" t="str">
        <f>_xlfn.IFNA(VLOOKUP(K322,'Mapping DEF'!A:C,2,0),"")</f>
        <v>Curve (Local)</v>
      </c>
      <c r="N322" t="str">
        <f>+_xlfn.IFNA(VLOOKUP(M322,'Mapping DEF'!B:C,2,FALSE),"")</f>
        <v>Term Structure</v>
      </c>
      <c r="O322" t="s">
        <v>2755</v>
      </c>
    </row>
    <row r="323" spans="1:15" x14ac:dyDescent="0.25">
      <c r="A323" t="s">
        <v>1168</v>
      </c>
      <c r="B323" t="s">
        <v>1169</v>
      </c>
      <c r="C323">
        <v>2438</v>
      </c>
      <c r="D323" t="s">
        <v>1094</v>
      </c>
      <c r="E323" t="s">
        <v>640</v>
      </c>
      <c r="F323" t="s">
        <v>641</v>
      </c>
      <c r="G323" t="str">
        <f>+VLOOKUP(F323,[1]Explore!$B:$I,8,0)</f>
        <v>Govt Emerging Markets</v>
      </c>
      <c r="H323" t="s">
        <v>642</v>
      </c>
      <c r="I323" t="str">
        <f>+VLOOKUP(H323,[1]Explore!$A:$I,9,0)</f>
        <v>Govt Emerging Markets</v>
      </c>
      <c r="J323" t="str">
        <f t="shared" ref="J323:J386" si="10">IF(AND(ISNA(G323),ISNA(I323)),"BOTH #N/A","OK")</f>
        <v>OK</v>
      </c>
      <c r="K323" t="str">
        <f t="shared" ref="K323:K386" si="11">IFERROR(I323, IFERROR(G323, L323))</f>
        <v>Govt Emerging Markets</v>
      </c>
      <c r="L323" t="s">
        <v>8</v>
      </c>
      <c r="M323" t="str">
        <f>_xlfn.IFNA(VLOOKUP(K323,'Mapping DEF'!A:C,2,0),"")</f>
        <v>Curve (Local)</v>
      </c>
      <c r="N323" t="str">
        <f>+_xlfn.IFNA(VLOOKUP(M323,'Mapping DEF'!B:C,2,FALSE),"")</f>
        <v>Term Structure</v>
      </c>
      <c r="O323" t="s">
        <v>2756</v>
      </c>
    </row>
    <row r="324" spans="1:15" x14ac:dyDescent="0.25">
      <c r="A324" t="s">
        <v>1168</v>
      </c>
      <c r="B324" t="s">
        <v>1169</v>
      </c>
      <c r="C324">
        <v>2438</v>
      </c>
      <c r="D324" t="s">
        <v>1094</v>
      </c>
      <c r="E324" t="s">
        <v>643</v>
      </c>
      <c r="F324" t="s">
        <v>644</v>
      </c>
      <c r="G324" t="str">
        <f>+VLOOKUP(F324,[1]Explore!$B:$I,8,0)</f>
        <v>Govt Emerging Markets</v>
      </c>
      <c r="H324" t="s">
        <v>645</v>
      </c>
      <c r="I324" t="str">
        <f>+VLOOKUP(H324,[1]Explore!$A:$I,9,0)</f>
        <v>Govt Emerging Markets</v>
      </c>
      <c r="J324" t="str">
        <f t="shared" si="10"/>
        <v>OK</v>
      </c>
      <c r="K324" t="str">
        <f t="shared" si="11"/>
        <v>Govt Emerging Markets</v>
      </c>
      <c r="L324" t="s">
        <v>8</v>
      </c>
      <c r="M324" t="str">
        <f>_xlfn.IFNA(VLOOKUP(K324,'Mapping DEF'!A:C,2,0),"")</f>
        <v>Curve (Local)</v>
      </c>
      <c r="N324" t="str">
        <f>+_xlfn.IFNA(VLOOKUP(M324,'Mapping DEF'!B:C,2,FALSE),"")</f>
        <v>Term Structure</v>
      </c>
      <c r="O324" t="s">
        <v>2752</v>
      </c>
    </row>
    <row r="325" spans="1:15" x14ac:dyDescent="0.25">
      <c r="A325" t="s">
        <v>1168</v>
      </c>
      <c r="B325" t="s">
        <v>1169</v>
      </c>
      <c r="C325">
        <v>2438</v>
      </c>
      <c r="D325" t="s">
        <v>1094</v>
      </c>
      <c r="E325" t="s">
        <v>646</v>
      </c>
      <c r="F325" t="s">
        <v>647</v>
      </c>
      <c r="G325" t="e">
        <f>+VLOOKUP(F325,[1]Explore!$B:$I,8,0)</f>
        <v>#N/A</v>
      </c>
      <c r="H325" t="s">
        <v>648</v>
      </c>
      <c r="I325" t="str">
        <f>+VLOOKUP(H325,[1]Explore!$A:$I,9,0)</f>
        <v>Developed Currency</v>
      </c>
      <c r="J325" t="str">
        <f t="shared" si="10"/>
        <v>OK</v>
      </c>
      <c r="K325" t="str">
        <f t="shared" si="11"/>
        <v>Developed Currency</v>
      </c>
      <c r="L325" t="s">
        <v>75</v>
      </c>
      <c r="M325" t="str">
        <f>_xlfn.IFNA(VLOOKUP(K325,'Mapping DEF'!A:C,2,0),"")</f>
        <v>FX</v>
      </c>
      <c r="N325" t="str">
        <f>+_xlfn.IFNA(VLOOKUP(M325,'Mapping DEF'!B:C,2,FALSE),"")</f>
        <v>FX</v>
      </c>
      <c r="O325" t="s">
        <v>2757</v>
      </c>
    </row>
    <row r="326" spans="1:15" x14ac:dyDescent="0.25">
      <c r="A326" t="s">
        <v>1168</v>
      </c>
      <c r="B326" t="s">
        <v>1169</v>
      </c>
      <c r="C326">
        <v>2438</v>
      </c>
      <c r="D326" t="s">
        <v>1162</v>
      </c>
      <c r="E326" t="s">
        <v>649</v>
      </c>
      <c r="F326" t="s">
        <v>73</v>
      </c>
      <c r="G326" t="e">
        <f>+VLOOKUP(F326,[1]Explore!$B:$I,8,0)</f>
        <v>#N/A</v>
      </c>
      <c r="H326" t="s">
        <v>74</v>
      </c>
      <c r="I326" t="str">
        <f>+VLOOKUP(H326,[1]Explore!$A:$I,9,0)</f>
        <v>Emerging Currency</v>
      </c>
      <c r="J326" t="str">
        <f t="shared" si="10"/>
        <v>OK</v>
      </c>
      <c r="K326" t="str">
        <f t="shared" si="11"/>
        <v>Emerging Currency</v>
      </c>
      <c r="L326" t="s">
        <v>75</v>
      </c>
      <c r="M326" t="str">
        <f>_xlfn.IFNA(VLOOKUP(K326,'Mapping DEF'!A:C,2,0),"")</f>
        <v>FX</v>
      </c>
      <c r="N326" t="str">
        <f>+_xlfn.IFNA(VLOOKUP(M326,'Mapping DEF'!B:C,2,FALSE),"")</f>
        <v>FX</v>
      </c>
      <c r="O326" t="s">
        <v>2758</v>
      </c>
    </row>
    <row r="327" spans="1:15" x14ac:dyDescent="0.25">
      <c r="A327" t="s">
        <v>1168</v>
      </c>
      <c r="B327" t="s">
        <v>1169</v>
      </c>
      <c r="C327">
        <v>2438</v>
      </c>
      <c r="D327" t="s">
        <v>1166</v>
      </c>
      <c r="E327" t="s">
        <v>504</v>
      </c>
      <c r="F327" t="s">
        <v>2944</v>
      </c>
      <c r="G327" t="str">
        <f>+VLOOKUP(F327,[1]Explore!$B:$I,8,0)</f>
        <v>JPY</v>
      </c>
      <c r="H327" t="s">
        <v>138</v>
      </c>
      <c r="I327" t="str">
        <f>+VLOOKUP(H327,[1]Explore!$A:$I,9,0)</f>
        <v>JPY</v>
      </c>
      <c r="J327" t="str">
        <f t="shared" si="10"/>
        <v>OK</v>
      </c>
      <c r="K327" t="str">
        <f t="shared" si="11"/>
        <v>JPY</v>
      </c>
      <c r="L327" t="s">
        <v>75</v>
      </c>
      <c r="M327" t="str">
        <f>_xlfn.IFNA(VLOOKUP(K327,'Mapping DEF'!A:C,2,0),"")</f>
        <v>FX</v>
      </c>
      <c r="N327" t="str">
        <f>+_xlfn.IFNA(VLOOKUP(M327,'Mapping DEF'!B:C,2,FALSE),"")</f>
        <v>FX</v>
      </c>
      <c r="O327" t="s">
        <v>2759</v>
      </c>
    </row>
    <row r="328" spans="1:15" x14ac:dyDescent="0.25">
      <c r="A328" t="s">
        <v>1168</v>
      </c>
      <c r="B328" t="s">
        <v>1169</v>
      </c>
      <c r="C328">
        <v>2438</v>
      </c>
      <c r="D328" t="s">
        <v>1170</v>
      </c>
      <c r="E328" t="s">
        <v>650</v>
      </c>
      <c r="F328" t="s">
        <v>651</v>
      </c>
      <c r="G328" t="e">
        <f>+VLOOKUP(F328,[1]Explore!$B:$I,8,0)</f>
        <v>#N/A</v>
      </c>
      <c r="H328" t="s">
        <v>652</v>
      </c>
      <c r="I328" t="str">
        <f>+VLOOKUP(H328,[1]Explore!$A:$I,9,0)</f>
        <v>Emerging Currency</v>
      </c>
      <c r="J328" t="str">
        <f t="shared" si="10"/>
        <v>OK</v>
      </c>
      <c r="K328" t="str">
        <f t="shared" si="11"/>
        <v>Emerging Currency</v>
      </c>
      <c r="L328" t="s">
        <v>75</v>
      </c>
      <c r="M328" t="str">
        <f>_xlfn.IFNA(VLOOKUP(K328,'Mapping DEF'!A:C,2,0),"")</f>
        <v>FX</v>
      </c>
      <c r="N328" t="str">
        <f>+_xlfn.IFNA(VLOOKUP(M328,'Mapping DEF'!B:C,2,FALSE),"")</f>
        <v>FX</v>
      </c>
      <c r="O328" t="s">
        <v>2760</v>
      </c>
    </row>
    <row r="329" spans="1:15" x14ac:dyDescent="0.25">
      <c r="A329" t="s">
        <v>1168</v>
      </c>
      <c r="B329" t="s">
        <v>1169</v>
      </c>
      <c r="C329">
        <v>2438</v>
      </c>
      <c r="D329" t="s">
        <v>1170</v>
      </c>
      <c r="E329" t="s">
        <v>653</v>
      </c>
      <c r="F329" t="s">
        <v>183</v>
      </c>
      <c r="G329" t="str">
        <f>+VLOOKUP(F329,[1]Explore!$B:$I,8,0)</f>
        <v>Equity Implied Volatility</v>
      </c>
      <c r="H329" t="s">
        <v>184</v>
      </c>
      <c r="I329" t="str">
        <f>+VLOOKUP(H329,[1]Explore!$A:$I,9,0)</f>
        <v>Equity Implied Volatility</v>
      </c>
      <c r="J329" t="str">
        <f t="shared" si="10"/>
        <v>OK</v>
      </c>
      <c r="K329" t="str">
        <f t="shared" si="11"/>
        <v>Equity Implied Volatility</v>
      </c>
      <c r="L329" t="s">
        <v>27</v>
      </c>
      <c r="M329" t="str">
        <f>_xlfn.IFNA(VLOOKUP(K329,'Mapping DEF'!A:C,2,0),"")</f>
        <v>Equity Derivatives</v>
      </c>
      <c r="N329" t="str">
        <f>+_xlfn.IFNA(VLOOKUP(M329,'Mapping DEF'!B:C,2,FALSE),"")</f>
        <v>Equity</v>
      </c>
      <c r="O329" t="s">
        <v>2761</v>
      </c>
    </row>
    <row r="330" spans="1:15" x14ac:dyDescent="0.25">
      <c r="A330" t="s">
        <v>1168</v>
      </c>
      <c r="B330" t="s">
        <v>1169</v>
      </c>
      <c r="C330">
        <v>2438</v>
      </c>
      <c r="D330" t="s">
        <v>1170</v>
      </c>
      <c r="E330" t="s">
        <v>654</v>
      </c>
      <c r="F330" t="s">
        <v>191</v>
      </c>
      <c r="G330" t="e">
        <f>+VLOOKUP(F330,[1]Explore!$B:$I,8,0)</f>
        <v>#N/A</v>
      </c>
      <c r="H330" t="s">
        <v>192</v>
      </c>
      <c r="I330" t="e">
        <f>+VLOOKUP(H330,[1]Explore!$A:$I,9,0)</f>
        <v>#N/A</v>
      </c>
      <c r="J330" t="str">
        <f t="shared" si="10"/>
        <v>BOTH #N/A</v>
      </c>
      <c r="K330" t="str">
        <f t="shared" si="11"/>
        <v>Time</v>
      </c>
      <c r="L330" t="s">
        <v>191</v>
      </c>
      <c r="M330" t="str">
        <f>_xlfn.IFNA(VLOOKUP(K330,'Mapping DEF'!A:C,2,0),"")</f>
        <v>Time</v>
      </c>
      <c r="N330" t="str">
        <f>+_xlfn.IFNA(VLOOKUP(M330,'Mapping DEF'!B:C,2,FALSE),"")</f>
        <v>Other</v>
      </c>
      <c r="O330" t="s">
        <v>2762</v>
      </c>
    </row>
    <row r="331" spans="1:15" x14ac:dyDescent="0.25">
      <c r="A331" t="s">
        <v>1168</v>
      </c>
      <c r="B331" t="s">
        <v>1169</v>
      </c>
      <c r="C331">
        <v>2438</v>
      </c>
      <c r="D331" t="s">
        <v>1170</v>
      </c>
      <c r="E331" t="s">
        <v>655</v>
      </c>
      <c r="F331" t="s">
        <v>656</v>
      </c>
      <c r="G331" t="str">
        <f>+VLOOKUP(F331,[1]Explore!$B:$I,8,0)</f>
        <v>Industrials</v>
      </c>
      <c r="H331" t="s">
        <v>657</v>
      </c>
      <c r="I331" t="str">
        <f>+VLOOKUP(H331,[1]Explore!$A:$I,9,0)</f>
        <v>Industrials</v>
      </c>
      <c r="J331" t="str">
        <f t="shared" si="10"/>
        <v>OK</v>
      </c>
      <c r="K331" t="str">
        <f t="shared" si="11"/>
        <v>Industrials</v>
      </c>
      <c r="L331" t="s">
        <v>93</v>
      </c>
      <c r="M331" t="str">
        <f>_xlfn.IFNA(VLOOKUP(K331,'Mapping DEF'!A:C,2,0),"")</f>
        <v>Industry Allocation</v>
      </c>
      <c r="N331" t="str">
        <f>+_xlfn.IFNA(VLOOKUP(M331,'Mapping DEF'!B:C,2,FALSE),"")</f>
        <v>Equity</v>
      </c>
      <c r="O331" t="s">
        <v>2763</v>
      </c>
    </row>
    <row r="332" spans="1:15" x14ac:dyDescent="0.25">
      <c r="A332" t="s">
        <v>1168</v>
      </c>
      <c r="B332" t="s">
        <v>1169</v>
      </c>
      <c r="C332">
        <v>2438</v>
      </c>
      <c r="D332" t="s">
        <v>1170</v>
      </c>
      <c r="E332" t="s">
        <v>658</v>
      </c>
      <c r="F332" t="s">
        <v>238</v>
      </c>
      <c r="G332" t="str">
        <f>+VLOOKUP(F332,[1]Explore!$B:$I,8,0)</f>
        <v>Consumer Discretionary</v>
      </c>
      <c r="H332" t="s">
        <v>612</v>
      </c>
      <c r="I332" t="str">
        <f>+VLOOKUP(H332,[1]Explore!$A:$I,9,0)</f>
        <v>Consumer Discretionary</v>
      </c>
      <c r="J332" t="str">
        <f t="shared" si="10"/>
        <v>OK</v>
      </c>
      <c r="K332" t="str">
        <f t="shared" si="11"/>
        <v>Consumer Discretionary</v>
      </c>
      <c r="L332" t="s">
        <v>93</v>
      </c>
      <c r="M332" t="str">
        <f>_xlfn.IFNA(VLOOKUP(K332,'Mapping DEF'!A:C,2,0),"")</f>
        <v>Industry Allocation</v>
      </c>
      <c r="N332" t="str">
        <f>+_xlfn.IFNA(VLOOKUP(M332,'Mapping DEF'!B:C,2,FALSE),"")</f>
        <v>Equity</v>
      </c>
      <c r="O332" t="s">
        <v>2764</v>
      </c>
    </row>
    <row r="333" spans="1:15" x14ac:dyDescent="0.25">
      <c r="A333" t="s">
        <v>1168</v>
      </c>
      <c r="B333" t="s">
        <v>1169</v>
      </c>
      <c r="C333">
        <v>2438</v>
      </c>
      <c r="D333" t="s">
        <v>1170</v>
      </c>
      <c r="E333" t="s">
        <v>659</v>
      </c>
      <c r="F333" t="s">
        <v>343</v>
      </c>
      <c r="G333" t="str">
        <f>+VLOOKUP(F333,[1]Explore!$B:$I,8,0)</f>
        <v>Consumer Discretionary</v>
      </c>
      <c r="H333" t="s">
        <v>660</v>
      </c>
      <c r="I333" t="str">
        <f>+VLOOKUP(H333,[1]Explore!$A:$I,9,0)</f>
        <v>Consumer Discretionary</v>
      </c>
      <c r="J333" t="str">
        <f t="shared" si="10"/>
        <v>OK</v>
      </c>
      <c r="K333" t="str">
        <f t="shared" si="11"/>
        <v>Consumer Discretionary</v>
      </c>
      <c r="L333" t="s">
        <v>93</v>
      </c>
      <c r="M333" t="str">
        <f>_xlfn.IFNA(VLOOKUP(K333,'Mapping DEF'!A:C,2,0),"")</f>
        <v>Industry Allocation</v>
      </c>
      <c r="N333" t="str">
        <f>+_xlfn.IFNA(VLOOKUP(M333,'Mapping DEF'!B:C,2,FALSE),"")</f>
        <v>Equity</v>
      </c>
      <c r="O333" t="s">
        <v>2763</v>
      </c>
    </row>
    <row r="334" spans="1:15" x14ac:dyDescent="0.25">
      <c r="A334" t="s">
        <v>1168</v>
      </c>
      <c r="B334" t="s">
        <v>1169</v>
      </c>
      <c r="C334">
        <v>2438</v>
      </c>
      <c r="D334" t="s">
        <v>1170</v>
      </c>
      <c r="E334" t="s">
        <v>661</v>
      </c>
      <c r="F334" t="s">
        <v>346</v>
      </c>
      <c r="G334" t="str">
        <f>+VLOOKUP(F334,[1]Explore!$B:$I,8,0)</f>
        <v>Spread Emerging Markets - Country</v>
      </c>
      <c r="H334" t="s">
        <v>347</v>
      </c>
      <c r="I334" t="str">
        <f>+VLOOKUP(H334,[1]Explore!$A:$I,9,0)</f>
        <v>Spread Emerging Markets - Country</v>
      </c>
      <c r="J334" t="str">
        <f t="shared" si="10"/>
        <v>OK</v>
      </c>
      <c r="K334" t="str">
        <f t="shared" si="11"/>
        <v>Spread Emerging Markets - Country</v>
      </c>
      <c r="L334" t="s">
        <v>188</v>
      </c>
      <c r="M334" t="str">
        <f>_xlfn.IFNA(VLOOKUP(K334,'Mapping DEF'!A:C,2,0),"")</f>
        <v>Spread</v>
      </c>
      <c r="N334" t="str">
        <f>+_xlfn.IFNA(VLOOKUP(M334,'Mapping DEF'!B:C,2,FALSE),"")</f>
        <v>Spread</v>
      </c>
      <c r="O334" t="s">
        <v>2765</v>
      </c>
    </row>
    <row r="335" spans="1:15" x14ac:dyDescent="0.25">
      <c r="A335" t="s">
        <v>1168</v>
      </c>
      <c r="B335" t="s">
        <v>1169</v>
      </c>
      <c r="C335">
        <v>2438</v>
      </c>
      <c r="D335" t="s">
        <v>1170</v>
      </c>
      <c r="E335" t="s">
        <v>662</v>
      </c>
      <c r="F335" t="s">
        <v>663</v>
      </c>
      <c r="G335" t="str">
        <f>+VLOOKUP(F335,[1]Explore!$B:$I,8,0)</f>
        <v>Emerging Markets</v>
      </c>
      <c r="H335" t="s">
        <v>664</v>
      </c>
      <c r="I335" t="str">
        <f>+VLOOKUP(H335,[1]Explore!$A:$I,9,0)</f>
        <v>Spread Emerging Markets - Country</v>
      </c>
      <c r="J335" t="str">
        <f t="shared" si="10"/>
        <v>OK</v>
      </c>
      <c r="K335" t="str">
        <f t="shared" si="11"/>
        <v>Spread Emerging Markets - Country</v>
      </c>
      <c r="L335" t="s">
        <v>188</v>
      </c>
      <c r="M335" t="str">
        <f>_xlfn.IFNA(VLOOKUP(K335,'Mapping DEF'!A:C,2,0),"")</f>
        <v>Spread</v>
      </c>
      <c r="N335" t="str">
        <f>+_xlfn.IFNA(VLOOKUP(M335,'Mapping DEF'!B:C,2,FALSE),"")</f>
        <v>Spread</v>
      </c>
      <c r="O335" t="s">
        <v>2766</v>
      </c>
    </row>
    <row r="336" spans="1:15" x14ac:dyDescent="0.25">
      <c r="A336" t="s">
        <v>1168</v>
      </c>
      <c r="B336" t="s">
        <v>1169</v>
      </c>
      <c r="C336">
        <v>2438</v>
      </c>
      <c r="D336" t="s">
        <v>1170</v>
      </c>
      <c r="E336" t="s">
        <v>665</v>
      </c>
      <c r="F336" t="s">
        <v>666</v>
      </c>
      <c r="G336" t="str">
        <f>+VLOOKUP(F336,[1]Explore!$B:$I,8,0)</f>
        <v>Corporate HY USD - Industry</v>
      </c>
      <c r="H336" t="s">
        <v>667</v>
      </c>
      <c r="I336" t="str">
        <f>+VLOOKUP(H336,[1]Explore!$A:$I,9,0)</f>
        <v>Corporate HY USD - Industry</v>
      </c>
      <c r="J336" t="str">
        <f t="shared" si="10"/>
        <v>OK</v>
      </c>
      <c r="K336" t="str">
        <f t="shared" si="11"/>
        <v>Corporate HY USD - Industry</v>
      </c>
      <c r="L336" t="s">
        <v>188</v>
      </c>
      <c r="M336" t="str">
        <f>_xlfn.IFNA(VLOOKUP(K336,'Mapping DEF'!A:C,2,0),"")</f>
        <v>Spread</v>
      </c>
      <c r="N336" t="str">
        <f>+_xlfn.IFNA(VLOOKUP(M336,'Mapping DEF'!B:C,2,FALSE),"")</f>
        <v>Spread</v>
      </c>
      <c r="O336" t="s">
        <v>2767</v>
      </c>
    </row>
    <row r="337" spans="1:15" x14ac:dyDescent="0.25">
      <c r="A337" t="s">
        <v>1168</v>
      </c>
      <c r="B337" t="s">
        <v>1169</v>
      </c>
      <c r="C337">
        <v>2438</v>
      </c>
      <c r="D337" t="s">
        <v>1170</v>
      </c>
      <c r="E337" t="s">
        <v>451</v>
      </c>
      <c r="F337" t="s">
        <v>430</v>
      </c>
      <c r="G337" t="str">
        <f>+VLOOKUP(F337,[1]Explore!$B:$I,8,0)</f>
        <v>Other - Index</v>
      </c>
      <c r="H337" t="s">
        <v>431</v>
      </c>
      <c r="I337" t="str">
        <f>+VLOOKUP(H337,[1]Explore!$A:$I,9,0)</f>
        <v>Other - Index</v>
      </c>
      <c r="J337" t="str">
        <f t="shared" si="10"/>
        <v>OK</v>
      </c>
      <c r="K337" t="str">
        <f t="shared" si="11"/>
        <v>Other - Index</v>
      </c>
      <c r="L337" t="s">
        <v>27</v>
      </c>
      <c r="M337" t="str">
        <f>_xlfn.IFNA(VLOOKUP(K337,'Mapping DEF'!A:C,2,0),"")</f>
        <v>Other</v>
      </c>
      <c r="N337" t="str">
        <f>+_xlfn.IFNA(VLOOKUP(M337,'Mapping DEF'!B:C,2,FALSE),"")</f>
        <v>Other</v>
      </c>
      <c r="O337" t="s">
        <v>2768</v>
      </c>
    </row>
    <row r="338" spans="1:15" x14ac:dyDescent="0.25">
      <c r="A338" t="s">
        <v>1168</v>
      </c>
      <c r="B338" t="s">
        <v>1169</v>
      </c>
      <c r="C338">
        <v>2438</v>
      </c>
      <c r="D338" t="s">
        <v>1170</v>
      </c>
      <c r="E338" t="s">
        <v>668</v>
      </c>
      <c r="F338" t="s">
        <v>2183</v>
      </c>
      <c r="G338" t="str">
        <f>+VLOOKUP(F338,[1]Explore!$B:$I,8,0)</f>
        <v>Other - Index</v>
      </c>
      <c r="H338" t="s">
        <v>669</v>
      </c>
      <c r="I338" t="e">
        <f>+VLOOKUP(H338,[1]Explore!$A:$I,9,0)</f>
        <v>#N/A</v>
      </c>
      <c r="J338" t="str">
        <f t="shared" si="10"/>
        <v>OK</v>
      </c>
      <c r="K338" t="str">
        <f t="shared" si="11"/>
        <v>Other - Index</v>
      </c>
      <c r="L338" t="s">
        <v>27</v>
      </c>
      <c r="M338" t="str">
        <f>_xlfn.IFNA(VLOOKUP(K338,'Mapping DEF'!A:C,2,0),"")</f>
        <v>Other</v>
      </c>
      <c r="N338" t="str">
        <f>+_xlfn.IFNA(VLOOKUP(M338,'Mapping DEF'!B:C,2,FALSE),"")</f>
        <v>Other</v>
      </c>
      <c r="O338" t="s">
        <v>2776</v>
      </c>
    </row>
    <row r="339" spans="1:15" x14ac:dyDescent="0.25">
      <c r="A339" t="s">
        <v>1216</v>
      </c>
      <c r="B339" t="s">
        <v>1217</v>
      </c>
      <c r="C339">
        <v>2202</v>
      </c>
      <c r="D339" t="s">
        <v>1170</v>
      </c>
      <c r="E339" t="s">
        <v>670</v>
      </c>
      <c r="F339" t="s">
        <v>19</v>
      </c>
      <c r="G339" t="str">
        <f>+VLOOKUP(F339,[1]Explore!$B:$I,8,0)</f>
        <v>Govt USD</v>
      </c>
      <c r="H339" t="s">
        <v>20</v>
      </c>
      <c r="I339" t="str">
        <f>+VLOOKUP(H339,[1]Explore!$A:$I,9,0)</f>
        <v>Govt USD</v>
      </c>
      <c r="J339" t="str">
        <f t="shared" si="10"/>
        <v>OK</v>
      </c>
      <c r="K339" t="str">
        <f t="shared" si="11"/>
        <v>Govt USD</v>
      </c>
      <c r="L339" t="s">
        <v>8</v>
      </c>
      <c r="M339" t="str">
        <f>_xlfn.IFNA(VLOOKUP(K339,'Mapping DEF'!A:C,2,0),"")</f>
        <v>Curve (Local)</v>
      </c>
      <c r="N339" t="str">
        <f>+_xlfn.IFNA(VLOOKUP(M339,'Mapping DEF'!B:C,2,FALSE),"")</f>
        <v>Term Structure</v>
      </c>
      <c r="O339" t="s">
        <v>2769</v>
      </c>
    </row>
    <row r="340" spans="1:15" x14ac:dyDescent="0.25">
      <c r="A340" t="s">
        <v>1216</v>
      </c>
      <c r="B340" t="s">
        <v>1217</v>
      </c>
      <c r="C340">
        <v>2202</v>
      </c>
      <c r="D340" t="s">
        <v>1170</v>
      </c>
      <c r="E340" t="s">
        <v>453</v>
      </c>
      <c r="F340" t="s">
        <v>258</v>
      </c>
      <c r="G340" t="str">
        <f>+VLOOKUP(F340,[1]Explore!$B:$I,8,0)</f>
        <v>USD Inflation</v>
      </c>
      <c r="H340" t="s">
        <v>259</v>
      </c>
      <c r="I340" t="str">
        <f>+VLOOKUP(H340,[1]Explore!$A:$I,9,0)</f>
        <v>USD Inflation</v>
      </c>
      <c r="J340" t="str">
        <f t="shared" si="10"/>
        <v>OK</v>
      </c>
      <c r="K340" t="str">
        <f t="shared" si="11"/>
        <v>USD Inflation</v>
      </c>
      <c r="L340" t="s">
        <v>8</v>
      </c>
      <c r="M340" t="str">
        <f>_xlfn.IFNA(VLOOKUP(K340,'Mapping DEF'!A:C,2,0),"")</f>
        <v>Inflation</v>
      </c>
      <c r="N340" t="str">
        <f>+_xlfn.IFNA(VLOOKUP(M340,'Mapping DEF'!B:C,2,FALSE),"")</f>
        <v>Other</v>
      </c>
      <c r="O340" t="s">
        <v>2779</v>
      </c>
    </row>
    <row r="341" spans="1:15" x14ac:dyDescent="0.25">
      <c r="A341" t="s">
        <v>1216</v>
      </c>
      <c r="B341" t="s">
        <v>1217</v>
      </c>
      <c r="C341">
        <v>2202</v>
      </c>
      <c r="D341" t="s">
        <v>1170</v>
      </c>
      <c r="E341" t="s">
        <v>329</v>
      </c>
      <c r="F341" t="s">
        <v>268</v>
      </c>
      <c r="G341" t="str">
        <f>+VLOOKUP(F341,[1]Explore!$B:$I,8,0)</f>
        <v>Alternative - Commodity</v>
      </c>
      <c r="H341" t="s">
        <v>269</v>
      </c>
      <c r="I341" t="str">
        <f>+VLOOKUP(H341,[1]Explore!$A:$I,9,0)</f>
        <v>Alternative - Commodity</v>
      </c>
      <c r="J341" t="str">
        <f t="shared" si="10"/>
        <v>OK</v>
      </c>
      <c r="K341" t="str">
        <f t="shared" si="11"/>
        <v>Alternative - Commodity</v>
      </c>
      <c r="L341" t="s">
        <v>70</v>
      </c>
      <c r="M341" t="str">
        <f>_xlfn.IFNA(VLOOKUP(K341,'Mapping DEF'!A:C,2,0),"")</f>
        <v>Alternative</v>
      </c>
      <c r="N341" t="str">
        <f>+_xlfn.IFNA(VLOOKUP(M341,'Mapping DEF'!B:C,2,FALSE),"")</f>
        <v>Other</v>
      </c>
      <c r="O341" t="s">
        <v>2770</v>
      </c>
    </row>
    <row r="342" spans="1:15" x14ac:dyDescent="0.25">
      <c r="A342" t="s">
        <v>1216</v>
      </c>
      <c r="B342" t="s">
        <v>1217</v>
      </c>
      <c r="C342">
        <v>2202</v>
      </c>
      <c r="D342" t="s">
        <v>1170</v>
      </c>
      <c r="E342" t="s">
        <v>674</v>
      </c>
      <c r="F342" t="s">
        <v>675</v>
      </c>
      <c r="G342" t="str">
        <f>+VLOOKUP(F342,[1]Explore!$B:$I,8,0)</f>
        <v>Alternative - Commodity</v>
      </c>
      <c r="H342" t="s">
        <v>676</v>
      </c>
      <c r="I342" t="str">
        <f>+VLOOKUP(H342,[1]Explore!$A:$I,9,0)</f>
        <v>Alternative - Commodity</v>
      </c>
      <c r="J342" t="str">
        <f t="shared" si="10"/>
        <v>OK</v>
      </c>
      <c r="K342" t="str">
        <f t="shared" si="11"/>
        <v>Alternative - Commodity</v>
      </c>
      <c r="L342" t="s">
        <v>70</v>
      </c>
      <c r="M342" t="str">
        <f>_xlfn.IFNA(VLOOKUP(K342,'Mapping DEF'!A:C,2,0),"")</f>
        <v>Alternative</v>
      </c>
      <c r="N342" t="str">
        <f>+_xlfn.IFNA(VLOOKUP(M342,'Mapping DEF'!B:C,2,FALSE),"")</f>
        <v>Other</v>
      </c>
      <c r="O342" t="s">
        <v>2792</v>
      </c>
    </row>
    <row r="343" spans="1:15" x14ac:dyDescent="0.25">
      <c r="A343" t="s">
        <v>1216</v>
      </c>
      <c r="B343" t="s">
        <v>1217</v>
      </c>
      <c r="C343">
        <v>2202</v>
      </c>
      <c r="D343" t="s">
        <v>1170</v>
      </c>
      <c r="E343" t="s">
        <v>677</v>
      </c>
      <c r="F343" t="s">
        <v>678</v>
      </c>
      <c r="G343" t="str">
        <f>+VLOOKUP(F343,[1]Explore!$B:$I,8,0)</f>
        <v>Spread - Municipals</v>
      </c>
      <c r="H343" t="s">
        <v>679</v>
      </c>
      <c r="I343" t="str">
        <f>+VLOOKUP(H343,[1]Explore!$A:$I,9,0)</f>
        <v>Spread - Municipals</v>
      </c>
      <c r="J343" t="str">
        <f t="shared" si="10"/>
        <v>OK</v>
      </c>
      <c r="K343" t="str">
        <f t="shared" si="11"/>
        <v>Spread - Municipals</v>
      </c>
      <c r="L343" t="s">
        <v>188</v>
      </c>
      <c r="M343" t="str">
        <f>_xlfn.IFNA(VLOOKUP(K343,'Mapping DEF'!A:C,2,0),"")</f>
        <v>Spread</v>
      </c>
      <c r="N343" t="str">
        <f>+_xlfn.IFNA(VLOOKUP(M343,'Mapping DEF'!B:C,2,FALSE),"")</f>
        <v>Spread</v>
      </c>
      <c r="O343" t="s">
        <v>2790</v>
      </c>
    </row>
    <row r="344" spans="1:15" x14ac:dyDescent="0.25">
      <c r="A344" t="s">
        <v>1216</v>
      </c>
      <c r="B344" t="s">
        <v>1217</v>
      </c>
      <c r="C344">
        <v>2202</v>
      </c>
      <c r="D344" t="s">
        <v>1170</v>
      </c>
      <c r="E344" t="s">
        <v>554</v>
      </c>
      <c r="F344" t="s">
        <v>2944</v>
      </c>
      <c r="G344" t="str">
        <f>+VLOOKUP(F344,[1]Explore!$B:$I,8,0)</f>
        <v>JPY</v>
      </c>
      <c r="H344" t="s">
        <v>138</v>
      </c>
      <c r="I344" t="str">
        <f>+VLOOKUP(H344,[1]Explore!$A:$I,9,0)</f>
        <v>JPY</v>
      </c>
      <c r="J344" t="str">
        <f t="shared" si="10"/>
        <v>OK</v>
      </c>
      <c r="K344" t="str">
        <f t="shared" si="11"/>
        <v>JPY</v>
      </c>
      <c r="L344" t="s">
        <v>75</v>
      </c>
      <c r="M344" t="str">
        <f>_xlfn.IFNA(VLOOKUP(K344,'Mapping DEF'!A:C,2,0),"")</f>
        <v>FX</v>
      </c>
      <c r="N344" t="str">
        <f>+_xlfn.IFNA(VLOOKUP(M344,'Mapping DEF'!B:C,2,FALSE),"")</f>
        <v>FX</v>
      </c>
      <c r="O344" t="s">
        <v>2757</v>
      </c>
    </row>
    <row r="345" spans="1:15" x14ac:dyDescent="0.25">
      <c r="A345" t="s">
        <v>1216</v>
      </c>
      <c r="B345" t="s">
        <v>1217</v>
      </c>
      <c r="C345">
        <v>2202</v>
      </c>
      <c r="D345" t="s">
        <v>1170</v>
      </c>
      <c r="E345" t="s">
        <v>371</v>
      </c>
      <c r="F345" t="s">
        <v>206</v>
      </c>
      <c r="G345" t="e">
        <f>+VLOOKUP(F345,[1]Explore!$B:$I,8,0)</f>
        <v>#N/A</v>
      </c>
      <c r="H345" t="s">
        <v>206</v>
      </c>
      <c r="I345" t="e">
        <f>+VLOOKUP(H345,[1]Explore!$A:$I,9,0)</f>
        <v>#N/A</v>
      </c>
      <c r="J345" t="str">
        <f t="shared" si="10"/>
        <v>BOTH #N/A</v>
      </c>
      <c r="K345" t="str">
        <f t="shared" si="11"/>
        <v>Dollar Index</v>
      </c>
      <c r="L345" t="s">
        <v>2930</v>
      </c>
      <c r="M345" t="str">
        <f>_xlfn.IFNA(VLOOKUP(K345,'Mapping DEF'!A:C,2,0),"")</f>
        <v>Index Level</v>
      </c>
      <c r="N345" t="str">
        <f>+_xlfn.IFNA(VLOOKUP(M345,'Mapping DEF'!B:C,2,FALSE),"")</f>
        <v>Other</v>
      </c>
      <c r="O345" t="s">
        <v>2759</v>
      </c>
    </row>
    <row r="346" spans="1:15" x14ac:dyDescent="0.25">
      <c r="A346" t="s">
        <v>1216</v>
      </c>
      <c r="B346" t="s">
        <v>1217</v>
      </c>
      <c r="C346">
        <v>2202</v>
      </c>
      <c r="D346" t="s">
        <v>1170</v>
      </c>
      <c r="E346" t="s">
        <v>680</v>
      </c>
      <c r="F346" t="s">
        <v>392</v>
      </c>
      <c r="G346" t="str">
        <f>+VLOOKUP(F346,[1]Explore!$B:$I,8,0)</f>
        <v>Equity Implied Volatility</v>
      </c>
      <c r="H346" t="s">
        <v>392</v>
      </c>
      <c r="I346" t="str">
        <f>+VLOOKUP(H346,[1]Explore!$A:$I,9,0)</f>
        <v>Equity Implied Volatility</v>
      </c>
      <c r="J346" t="str">
        <f t="shared" si="10"/>
        <v>OK</v>
      </c>
      <c r="K346" t="str">
        <f t="shared" si="11"/>
        <v>Equity Implied Volatility</v>
      </c>
      <c r="L346" t="s">
        <v>27</v>
      </c>
      <c r="M346" t="str">
        <f>_xlfn.IFNA(VLOOKUP(K346,'Mapping DEF'!A:C,2,0),"")</f>
        <v>Equity Derivatives</v>
      </c>
      <c r="N346" t="str">
        <f>+_xlfn.IFNA(VLOOKUP(M346,'Mapping DEF'!B:C,2,FALSE),"")</f>
        <v>Equity</v>
      </c>
      <c r="O346" t="s">
        <v>2759</v>
      </c>
    </row>
    <row r="347" spans="1:15" x14ac:dyDescent="0.25">
      <c r="A347" t="s">
        <v>1216</v>
      </c>
      <c r="B347" t="s">
        <v>1217</v>
      </c>
      <c r="C347">
        <v>2202</v>
      </c>
      <c r="D347" t="s">
        <v>1170</v>
      </c>
      <c r="E347" t="s">
        <v>681</v>
      </c>
      <c r="F347" t="s">
        <v>2168</v>
      </c>
      <c r="G347" t="str">
        <f>+VLOOKUP(F347,[1]Explore!$B:$I,8,0)</f>
        <v>Equity Implied Volatility</v>
      </c>
      <c r="H347" t="s">
        <v>43</v>
      </c>
      <c r="I347" t="str">
        <f>+VLOOKUP(H347,[1]Explore!$A:$I,9,0)</f>
        <v>Equity Implied Volatility</v>
      </c>
      <c r="J347" t="str">
        <f t="shared" si="10"/>
        <v>OK</v>
      </c>
      <c r="K347" t="str">
        <f t="shared" si="11"/>
        <v>Equity Implied Volatility</v>
      </c>
      <c r="L347" t="s">
        <v>27</v>
      </c>
      <c r="M347" t="str">
        <f>_xlfn.IFNA(VLOOKUP(K347,'Mapping DEF'!A:C,2,0),"")</f>
        <v>Equity Derivatives</v>
      </c>
      <c r="N347" t="str">
        <f>+_xlfn.IFNA(VLOOKUP(M347,'Mapping DEF'!B:C,2,FALSE),"")</f>
        <v>Equity</v>
      </c>
      <c r="O347" t="s">
        <v>2771</v>
      </c>
    </row>
    <row r="348" spans="1:15" x14ac:dyDescent="0.25">
      <c r="A348" t="s">
        <v>1216</v>
      </c>
      <c r="B348" t="s">
        <v>1217</v>
      </c>
      <c r="C348">
        <v>2202</v>
      </c>
      <c r="D348" t="s">
        <v>1218</v>
      </c>
      <c r="E348" t="s">
        <v>682</v>
      </c>
      <c r="F348" t="s">
        <v>2940</v>
      </c>
      <c r="G348" t="str">
        <f>+VLOOKUP(F348,[1]Explore!$B:$I,8,0)</f>
        <v>Equity Implied Volatility</v>
      </c>
      <c r="H348" t="s">
        <v>55</v>
      </c>
      <c r="I348" t="str">
        <f>+VLOOKUP(H348,[1]Explore!$A:$I,9,0)</f>
        <v>Equity Implied Volatility</v>
      </c>
      <c r="J348" t="str">
        <f t="shared" si="10"/>
        <v>OK</v>
      </c>
      <c r="K348" t="str">
        <f t="shared" si="11"/>
        <v>Equity Implied Volatility</v>
      </c>
      <c r="L348" t="s">
        <v>27</v>
      </c>
      <c r="M348" t="str">
        <f>_xlfn.IFNA(VLOOKUP(K348,'Mapping DEF'!A:C,2,0),"")</f>
        <v>Equity Derivatives</v>
      </c>
      <c r="N348" t="str">
        <f>+_xlfn.IFNA(VLOOKUP(M348,'Mapping DEF'!B:C,2,FALSE),"")</f>
        <v>Equity</v>
      </c>
      <c r="O348" t="s">
        <v>2772</v>
      </c>
    </row>
    <row r="349" spans="1:15" x14ac:dyDescent="0.25">
      <c r="A349" t="s">
        <v>1216</v>
      </c>
      <c r="B349" t="s">
        <v>1217</v>
      </c>
      <c r="C349">
        <v>2202</v>
      </c>
      <c r="D349" t="s">
        <v>1218</v>
      </c>
      <c r="E349" t="s">
        <v>683</v>
      </c>
      <c r="F349" t="s">
        <v>684</v>
      </c>
      <c r="G349" t="str">
        <f>+VLOOKUP(F349,[1]Explore!$B:$I,8,0)</f>
        <v>Corporate HY USD - Industry</v>
      </c>
      <c r="H349" t="s">
        <v>685</v>
      </c>
      <c r="I349" t="str">
        <f>+VLOOKUP(H349,[1]Explore!$A:$I,9,0)</f>
        <v>Corporate HY USD - Industry</v>
      </c>
      <c r="J349" t="str">
        <f t="shared" si="10"/>
        <v>OK</v>
      </c>
      <c r="K349" t="str">
        <f t="shared" si="11"/>
        <v>Corporate HY USD - Industry</v>
      </c>
      <c r="L349" t="s">
        <v>188</v>
      </c>
      <c r="M349" t="str">
        <f>_xlfn.IFNA(VLOOKUP(K349,'Mapping DEF'!A:C,2,0),"")</f>
        <v>Spread</v>
      </c>
      <c r="N349" t="str">
        <f>+_xlfn.IFNA(VLOOKUP(M349,'Mapping DEF'!B:C,2,FALSE),"")</f>
        <v>Spread</v>
      </c>
      <c r="O349" t="s">
        <v>2773</v>
      </c>
    </row>
    <row r="350" spans="1:15" x14ac:dyDescent="0.25">
      <c r="A350" t="s">
        <v>1256</v>
      </c>
      <c r="B350" t="s">
        <v>1257</v>
      </c>
      <c r="C350">
        <v>2422</v>
      </c>
      <c r="D350" t="s">
        <v>1218</v>
      </c>
      <c r="E350" t="s">
        <v>686</v>
      </c>
      <c r="F350" t="s">
        <v>19</v>
      </c>
      <c r="G350" t="str">
        <f>+VLOOKUP(F350,[1]Explore!$B:$I,8,0)</f>
        <v>Govt USD</v>
      </c>
      <c r="H350" t="s">
        <v>20</v>
      </c>
      <c r="I350" t="str">
        <f>+VLOOKUP(H350,[1]Explore!$A:$I,9,0)</f>
        <v>Govt USD</v>
      </c>
      <c r="J350" t="str">
        <f t="shared" si="10"/>
        <v>OK</v>
      </c>
      <c r="K350" t="str">
        <f t="shared" si="11"/>
        <v>Govt USD</v>
      </c>
      <c r="L350" t="s">
        <v>8</v>
      </c>
      <c r="M350" t="str">
        <f>_xlfn.IFNA(VLOOKUP(K350,'Mapping DEF'!A:C,2,0),"")</f>
        <v>Curve (Local)</v>
      </c>
      <c r="N350" t="str">
        <f>+_xlfn.IFNA(VLOOKUP(M350,'Mapping DEF'!B:C,2,FALSE),"")</f>
        <v>Term Structure</v>
      </c>
      <c r="O350" s="7" t="s">
        <v>2814</v>
      </c>
    </row>
    <row r="351" spans="1:15" x14ac:dyDescent="0.25">
      <c r="A351" t="s">
        <v>1256</v>
      </c>
      <c r="B351" t="s">
        <v>1257</v>
      </c>
      <c r="C351">
        <v>2422</v>
      </c>
      <c r="D351" t="s">
        <v>1218</v>
      </c>
      <c r="E351" t="s">
        <v>687</v>
      </c>
      <c r="F351" t="s">
        <v>268</v>
      </c>
      <c r="G351" t="str">
        <f>+VLOOKUP(F351,[1]Explore!$B:$I,8,0)</f>
        <v>Alternative - Commodity</v>
      </c>
      <c r="H351" t="s">
        <v>269</v>
      </c>
      <c r="I351" t="str">
        <f>+VLOOKUP(H351,[1]Explore!$A:$I,9,0)</f>
        <v>Alternative - Commodity</v>
      </c>
      <c r="J351" t="str">
        <f t="shared" si="10"/>
        <v>OK</v>
      </c>
      <c r="K351" t="str">
        <f t="shared" si="11"/>
        <v>Alternative - Commodity</v>
      </c>
      <c r="L351" t="s">
        <v>70</v>
      </c>
      <c r="M351" t="str">
        <f>_xlfn.IFNA(VLOOKUP(K351,'Mapping DEF'!A:C,2,0),"")</f>
        <v>Alternative</v>
      </c>
      <c r="N351" t="str">
        <f>+_xlfn.IFNA(VLOOKUP(M351,'Mapping DEF'!B:C,2,FALSE),"")</f>
        <v>Other</v>
      </c>
      <c r="O351" t="s">
        <v>2759</v>
      </c>
    </row>
    <row r="352" spans="1:15" x14ac:dyDescent="0.25">
      <c r="A352" t="s">
        <v>1256</v>
      </c>
      <c r="B352" t="s">
        <v>1257</v>
      </c>
      <c r="C352">
        <v>2422</v>
      </c>
      <c r="D352" t="s">
        <v>1218</v>
      </c>
      <c r="E352" t="s">
        <v>688</v>
      </c>
      <c r="F352" t="s">
        <v>315</v>
      </c>
      <c r="G352" t="str">
        <f>+VLOOKUP(F352,[1]Explore!$B:$I,8,0)</f>
        <v>Govt EUR (Ger)</v>
      </c>
      <c r="H352" t="s">
        <v>316</v>
      </c>
      <c r="I352" t="str">
        <f>+VLOOKUP(H352,[1]Explore!$A:$I,9,0)</f>
        <v>Govt EUR (Ger)</v>
      </c>
      <c r="J352" t="str">
        <f t="shared" si="10"/>
        <v>OK</v>
      </c>
      <c r="K352" t="str">
        <f t="shared" si="11"/>
        <v>Govt EUR (Ger)</v>
      </c>
      <c r="L352" t="s">
        <v>8</v>
      </c>
      <c r="M352" t="str">
        <f>_xlfn.IFNA(VLOOKUP(K352,'Mapping DEF'!A:C,2,0),"")</f>
        <v>Curve (Local)</v>
      </c>
      <c r="N352" t="str">
        <f>+_xlfn.IFNA(VLOOKUP(M352,'Mapping DEF'!B:C,2,FALSE),"")</f>
        <v>Term Structure</v>
      </c>
      <c r="O352" t="s">
        <v>2774</v>
      </c>
    </row>
    <row r="353" spans="1:15" x14ac:dyDescent="0.25">
      <c r="A353" t="s">
        <v>1256</v>
      </c>
      <c r="B353" t="s">
        <v>1257</v>
      </c>
      <c r="C353">
        <v>2422</v>
      </c>
      <c r="D353" t="s">
        <v>1218</v>
      </c>
      <c r="E353" t="s">
        <v>689</v>
      </c>
      <c r="F353" t="s">
        <v>2944</v>
      </c>
      <c r="G353" t="str">
        <f>+VLOOKUP(F353,[1]Explore!$B:$I,8,0)</f>
        <v>JPY</v>
      </c>
      <c r="H353" t="s">
        <v>138</v>
      </c>
      <c r="I353" t="str">
        <f>+VLOOKUP(H353,[1]Explore!$A:$I,9,0)</f>
        <v>JPY</v>
      </c>
      <c r="J353" t="str">
        <f t="shared" si="10"/>
        <v>OK</v>
      </c>
      <c r="K353" t="str">
        <f t="shared" si="11"/>
        <v>JPY</v>
      </c>
      <c r="L353" t="s">
        <v>75</v>
      </c>
      <c r="M353" t="str">
        <f>_xlfn.IFNA(VLOOKUP(K353,'Mapping DEF'!A:C,2,0),"")</f>
        <v>FX</v>
      </c>
      <c r="N353" t="str">
        <f>+_xlfn.IFNA(VLOOKUP(M353,'Mapping DEF'!B:C,2,FALSE),"")</f>
        <v>FX</v>
      </c>
      <c r="O353" t="s">
        <v>2775</v>
      </c>
    </row>
    <row r="354" spans="1:15" x14ac:dyDescent="0.25">
      <c r="A354" t="s">
        <v>1256</v>
      </c>
      <c r="B354" t="s">
        <v>1257</v>
      </c>
      <c r="C354">
        <v>2422</v>
      </c>
      <c r="D354" t="s">
        <v>1218</v>
      </c>
      <c r="E354" t="s">
        <v>690</v>
      </c>
      <c r="F354" t="s">
        <v>206</v>
      </c>
      <c r="G354" t="e">
        <f>+VLOOKUP(F354,[1]Explore!$B:$I,8,0)</f>
        <v>#N/A</v>
      </c>
      <c r="H354" t="s">
        <v>206</v>
      </c>
      <c r="I354" t="e">
        <f>+VLOOKUP(H354,[1]Explore!$A:$I,9,0)</f>
        <v>#N/A</v>
      </c>
      <c r="J354" t="str">
        <f t="shared" si="10"/>
        <v>BOTH #N/A</v>
      </c>
      <c r="K354" t="str">
        <f t="shared" si="11"/>
        <v>Dollar Index</v>
      </c>
      <c r="L354" t="s">
        <v>2930</v>
      </c>
      <c r="M354" t="str">
        <f>_xlfn.IFNA(VLOOKUP(K354,'Mapping DEF'!A:C,2,0),"")</f>
        <v>Index Level</v>
      </c>
      <c r="N354" t="str">
        <f>+_xlfn.IFNA(VLOOKUP(M354,'Mapping DEF'!B:C,2,FALSE),"")</f>
        <v>Other</v>
      </c>
      <c r="O354" t="s">
        <v>2757</v>
      </c>
    </row>
    <row r="355" spans="1:15" x14ac:dyDescent="0.25">
      <c r="A355" t="s">
        <v>1256</v>
      </c>
      <c r="B355" t="s">
        <v>1257</v>
      </c>
      <c r="C355">
        <v>2422</v>
      </c>
      <c r="D355" t="s">
        <v>1218</v>
      </c>
      <c r="E355" t="s">
        <v>680</v>
      </c>
      <c r="F355" t="s">
        <v>392</v>
      </c>
      <c r="G355" t="str">
        <f>+VLOOKUP(F355,[1]Explore!$B:$I,8,0)</f>
        <v>Equity Implied Volatility</v>
      </c>
      <c r="H355" t="s">
        <v>392</v>
      </c>
      <c r="I355" t="str">
        <f>+VLOOKUP(H355,[1]Explore!$A:$I,9,0)</f>
        <v>Equity Implied Volatility</v>
      </c>
      <c r="J355" t="str">
        <f t="shared" si="10"/>
        <v>OK</v>
      </c>
      <c r="K355" t="str">
        <f t="shared" si="11"/>
        <v>Equity Implied Volatility</v>
      </c>
      <c r="L355" t="s">
        <v>27</v>
      </c>
      <c r="M355" t="str">
        <f>_xlfn.IFNA(VLOOKUP(K355,'Mapping DEF'!A:C,2,0),"")</f>
        <v>Equity Derivatives</v>
      </c>
      <c r="N355" t="str">
        <f>+_xlfn.IFNA(VLOOKUP(M355,'Mapping DEF'!B:C,2,FALSE),"")</f>
        <v>Equity</v>
      </c>
      <c r="O355" t="s">
        <v>2759</v>
      </c>
    </row>
    <row r="356" spans="1:15" x14ac:dyDescent="0.25">
      <c r="A356" t="s">
        <v>1256</v>
      </c>
      <c r="B356" t="s">
        <v>1257</v>
      </c>
      <c r="C356">
        <v>2422</v>
      </c>
      <c r="D356" t="s">
        <v>1218</v>
      </c>
      <c r="E356" t="s">
        <v>654</v>
      </c>
      <c r="F356" t="s">
        <v>191</v>
      </c>
      <c r="G356" t="e">
        <f>+VLOOKUP(F356,[1]Explore!$B:$I,8,0)</f>
        <v>#N/A</v>
      </c>
      <c r="H356" t="s">
        <v>192</v>
      </c>
      <c r="I356" t="e">
        <f>+VLOOKUP(H356,[1]Explore!$A:$I,9,0)</f>
        <v>#N/A</v>
      </c>
      <c r="J356" t="str">
        <f t="shared" si="10"/>
        <v>BOTH #N/A</v>
      </c>
      <c r="K356" t="str">
        <f t="shared" si="11"/>
        <v>Time</v>
      </c>
      <c r="L356" t="s">
        <v>191</v>
      </c>
      <c r="M356" t="str">
        <f>_xlfn.IFNA(VLOOKUP(K356,'Mapping DEF'!A:C,2,0),"")</f>
        <v>Time</v>
      </c>
      <c r="N356" t="str">
        <f>+_xlfn.IFNA(VLOOKUP(M356,'Mapping DEF'!B:C,2,FALSE),"")</f>
        <v>Other</v>
      </c>
      <c r="O356" t="s">
        <v>2762</v>
      </c>
    </row>
    <row r="357" spans="1:15" x14ac:dyDescent="0.25">
      <c r="A357" t="s">
        <v>1256</v>
      </c>
      <c r="B357" t="s">
        <v>1257</v>
      </c>
      <c r="C357">
        <v>2422</v>
      </c>
      <c r="D357" t="s">
        <v>1218</v>
      </c>
      <c r="E357" t="s">
        <v>691</v>
      </c>
      <c r="F357" t="s">
        <v>692</v>
      </c>
      <c r="G357" t="e">
        <f>+VLOOKUP(F357,[1]Explore!$B:$I,8,0)</f>
        <v>#N/A</v>
      </c>
      <c r="H357" t="s">
        <v>693</v>
      </c>
      <c r="I357" t="e">
        <f>+VLOOKUP(H357,[1]Explore!$A:$I,9,0)</f>
        <v>#N/A</v>
      </c>
      <c r="J357" t="str">
        <f t="shared" si="10"/>
        <v>BOTH #N/A</v>
      </c>
      <c r="K357" t="str">
        <f t="shared" si="11"/>
        <v>Consumer Discretionary</v>
      </c>
      <c r="L357" t="s">
        <v>2659</v>
      </c>
      <c r="M357" t="str">
        <f>_xlfn.IFNA(VLOOKUP(K357,'Mapping DEF'!A:C,2,0),"")</f>
        <v>Industry Allocation</v>
      </c>
      <c r="N357" t="str">
        <f>+_xlfn.IFNA(VLOOKUP(M357,'Mapping DEF'!B:C,2,FALSE),"")</f>
        <v>Equity</v>
      </c>
      <c r="O357" t="s">
        <v>2753</v>
      </c>
    </row>
    <row r="358" spans="1:15" x14ac:dyDescent="0.25">
      <c r="A358" t="s">
        <v>1256</v>
      </c>
      <c r="B358" t="s">
        <v>1257</v>
      </c>
      <c r="C358">
        <v>2422</v>
      </c>
      <c r="D358" t="s">
        <v>1218</v>
      </c>
      <c r="E358" t="s">
        <v>694</v>
      </c>
      <c r="F358" t="s">
        <v>695</v>
      </c>
      <c r="G358" t="e">
        <f>+VLOOKUP(F358,[1]Explore!$B:$I,8,0)</f>
        <v>#N/A</v>
      </c>
      <c r="H358" t="s">
        <v>696</v>
      </c>
      <c r="I358" t="e">
        <f>+VLOOKUP(H358,[1]Explore!$A:$I,9,0)</f>
        <v>#N/A</v>
      </c>
      <c r="J358" t="str">
        <f t="shared" si="10"/>
        <v>BOTH #N/A</v>
      </c>
      <c r="K358" t="str">
        <f t="shared" si="11"/>
        <v>Financials</v>
      </c>
      <c r="L358" t="s">
        <v>325</v>
      </c>
      <c r="M358" t="str">
        <f>_xlfn.IFNA(VLOOKUP(K358,'Mapping DEF'!A:C,2,0),"")</f>
        <v>Industry Allocation</v>
      </c>
      <c r="N358" t="str">
        <f>+_xlfn.IFNA(VLOOKUP(M358,'Mapping DEF'!B:C,2,FALSE),"")</f>
        <v>Equity</v>
      </c>
      <c r="O358" t="s">
        <v>2776</v>
      </c>
    </row>
    <row r="359" spans="1:15" x14ac:dyDescent="0.25">
      <c r="A359" t="s">
        <v>1256</v>
      </c>
      <c r="B359" t="s">
        <v>1257</v>
      </c>
      <c r="C359">
        <v>2422</v>
      </c>
      <c r="D359" t="s">
        <v>1258</v>
      </c>
      <c r="E359" t="s">
        <v>697</v>
      </c>
      <c r="F359" t="s">
        <v>2184</v>
      </c>
      <c r="G359" t="e">
        <f>+VLOOKUP(F359,[1]Explore!$B:$I,8,0)</f>
        <v>#N/A</v>
      </c>
      <c r="H359" t="s">
        <v>698</v>
      </c>
      <c r="I359" t="e">
        <f>+VLOOKUP(H359,[1]Explore!$A:$I,9,0)</f>
        <v>#N/A</v>
      </c>
      <c r="J359" t="str">
        <f t="shared" si="10"/>
        <v>BOTH #N/A</v>
      </c>
      <c r="K359" t="str">
        <f t="shared" si="11"/>
        <v>Information Technology</v>
      </c>
      <c r="L359" t="s">
        <v>2679</v>
      </c>
      <c r="M359" t="str">
        <f>_xlfn.IFNA(VLOOKUP(K359,'Mapping DEF'!A:C,2,0),"")</f>
        <v>Industry Allocation</v>
      </c>
      <c r="N359" t="str">
        <f>+_xlfn.IFNA(VLOOKUP(M359,'Mapping DEF'!B:C,2,FALSE),"")</f>
        <v>Equity</v>
      </c>
      <c r="O359" t="s">
        <v>2753</v>
      </c>
    </row>
    <row r="360" spans="1:15" x14ac:dyDescent="0.25">
      <c r="A360" t="s">
        <v>1256</v>
      </c>
      <c r="B360" t="s">
        <v>1257</v>
      </c>
      <c r="C360">
        <v>2422</v>
      </c>
      <c r="D360" t="s">
        <v>1258</v>
      </c>
      <c r="E360" t="s">
        <v>699</v>
      </c>
      <c r="F360" t="s">
        <v>700</v>
      </c>
      <c r="G360" t="str">
        <f>+VLOOKUP(F360,[1]Explore!$B:$I,8,0)</f>
        <v>Corporate HY USD - Industry</v>
      </c>
      <c r="H360" t="s">
        <v>701</v>
      </c>
      <c r="I360" t="str">
        <f>+VLOOKUP(H360,[1]Explore!$A:$I,9,0)</f>
        <v>Corporate HY USD - Industry</v>
      </c>
      <c r="J360" t="str">
        <f t="shared" si="10"/>
        <v>OK</v>
      </c>
      <c r="K360" t="str">
        <f t="shared" si="11"/>
        <v>Corporate HY USD - Industry</v>
      </c>
      <c r="L360" t="s">
        <v>188</v>
      </c>
      <c r="M360" t="str">
        <f>_xlfn.IFNA(VLOOKUP(K360,'Mapping DEF'!A:C,2,0),"")</f>
        <v>Spread</v>
      </c>
      <c r="N360" t="str">
        <f>+_xlfn.IFNA(VLOOKUP(M360,'Mapping DEF'!B:C,2,FALSE),"")</f>
        <v>Spread</v>
      </c>
      <c r="O360" t="s">
        <v>2755</v>
      </c>
    </row>
    <row r="361" spans="1:15" x14ac:dyDescent="0.25">
      <c r="A361" t="s">
        <v>1256</v>
      </c>
      <c r="B361" t="s">
        <v>1257</v>
      </c>
      <c r="C361">
        <v>2422</v>
      </c>
      <c r="D361" t="s">
        <v>1258</v>
      </c>
      <c r="E361" t="s">
        <v>702</v>
      </c>
      <c r="F361" t="s">
        <v>703</v>
      </c>
      <c r="G361" t="str">
        <f>+VLOOKUP(F361,[1]Explore!$B:$I,8,0)</f>
        <v>Corporate HY USD - Industry</v>
      </c>
      <c r="H361" t="s">
        <v>704</v>
      </c>
      <c r="I361" t="str">
        <f>+VLOOKUP(H361,[1]Explore!$A:$I,9,0)</f>
        <v>Corporate HY USD - Industry</v>
      </c>
      <c r="J361" t="str">
        <f t="shared" si="10"/>
        <v>OK</v>
      </c>
      <c r="K361" t="str">
        <f t="shared" si="11"/>
        <v>Corporate HY USD - Industry</v>
      </c>
      <c r="L361" t="s">
        <v>188</v>
      </c>
      <c r="M361" t="str">
        <f>_xlfn.IFNA(VLOOKUP(K361,'Mapping DEF'!A:C,2,0),"")</f>
        <v>Spread</v>
      </c>
      <c r="N361" t="str">
        <f>+_xlfn.IFNA(VLOOKUP(M361,'Mapping DEF'!B:C,2,FALSE),"")</f>
        <v>Spread</v>
      </c>
      <c r="O361" t="s">
        <v>2773</v>
      </c>
    </row>
    <row r="362" spans="1:15" x14ac:dyDescent="0.25">
      <c r="A362" t="s">
        <v>1256</v>
      </c>
      <c r="B362" t="s">
        <v>1257</v>
      </c>
      <c r="C362">
        <v>2422</v>
      </c>
      <c r="D362" t="s">
        <v>1258</v>
      </c>
      <c r="E362" t="s">
        <v>705</v>
      </c>
      <c r="F362" t="s">
        <v>441</v>
      </c>
      <c r="G362" t="str">
        <f>+VLOOKUP(F362,[1]Explore!$B:$I,8,0)</f>
        <v>Corporate IG USD - Industry</v>
      </c>
      <c r="H362" t="s">
        <v>706</v>
      </c>
      <c r="I362" t="e">
        <f>+VLOOKUP(H362,[1]Explore!$A:$I,9,0)</f>
        <v>#N/A</v>
      </c>
      <c r="J362" t="str">
        <f t="shared" si="10"/>
        <v>OK</v>
      </c>
      <c r="K362" t="str">
        <f t="shared" si="11"/>
        <v>Corporate IG USD - Industry</v>
      </c>
      <c r="L362" t="s">
        <v>188</v>
      </c>
      <c r="M362" t="str">
        <f>_xlfn.IFNA(VLOOKUP(K362,'Mapping DEF'!A:C,2,0),"")</f>
        <v>Spread</v>
      </c>
      <c r="N362" t="str">
        <f>+_xlfn.IFNA(VLOOKUP(M362,'Mapping DEF'!B:C,2,FALSE),"")</f>
        <v>Spread</v>
      </c>
      <c r="O362" t="s">
        <v>2778</v>
      </c>
    </row>
    <row r="363" spans="1:15" x14ac:dyDescent="0.25">
      <c r="A363" t="s">
        <v>1256</v>
      </c>
      <c r="B363" t="s">
        <v>1257</v>
      </c>
      <c r="C363">
        <v>2422</v>
      </c>
      <c r="D363" t="s">
        <v>1258</v>
      </c>
      <c r="E363" t="s">
        <v>707</v>
      </c>
      <c r="F363" t="s">
        <v>2185</v>
      </c>
      <c r="G363" t="str">
        <f>+VLOOKUP(F363,[1]Explore!$B:$I,8,0)</f>
        <v>Equity Implied Volatility</v>
      </c>
      <c r="H363" t="s">
        <v>708</v>
      </c>
      <c r="I363" t="e">
        <f>+VLOOKUP(H363,[1]Explore!$A:$I,9,0)</f>
        <v>#N/A</v>
      </c>
      <c r="J363" t="str">
        <f t="shared" si="10"/>
        <v>OK</v>
      </c>
      <c r="K363" t="str">
        <f t="shared" si="11"/>
        <v>Equity Implied Volatility</v>
      </c>
      <c r="L363" t="s">
        <v>27</v>
      </c>
      <c r="M363" t="str">
        <f>_xlfn.IFNA(VLOOKUP(K363,'Mapping DEF'!A:C,2,0),"")</f>
        <v>Equity Derivatives</v>
      </c>
      <c r="N363" t="str">
        <f>+_xlfn.IFNA(VLOOKUP(M363,'Mapping DEF'!B:C,2,FALSE),"")</f>
        <v>Equity</v>
      </c>
      <c r="O363" t="s">
        <v>2753</v>
      </c>
    </row>
    <row r="364" spans="1:15" x14ac:dyDescent="0.25">
      <c r="A364" t="s">
        <v>1287</v>
      </c>
      <c r="B364" t="s">
        <v>1288</v>
      </c>
      <c r="C364">
        <v>2424</v>
      </c>
      <c r="D364" t="s">
        <v>1258</v>
      </c>
      <c r="E364" t="s">
        <v>606</v>
      </c>
      <c r="F364" t="s">
        <v>19</v>
      </c>
      <c r="G364" t="str">
        <f>+VLOOKUP(F364,[1]Explore!$B:$I,8,0)</f>
        <v>Govt USD</v>
      </c>
      <c r="H364" t="s">
        <v>20</v>
      </c>
      <c r="I364" t="str">
        <f>+VLOOKUP(H364,[1]Explore!$A:$I,9,0)</f>
        <v>Govt USD</v>
      </c>
      <c r="J364" t="str">
        <f t="shared" si="10"/>
        <v>OK</v>
      </c>
      <c r="K364" t="str">
        <f t="shared" si="11"/>
        <v>Govt USD</v>
      </c>
      <c r="L364" t="s">
        <v>8</v>
      </c>
      <c r="M364" t="str">
        <f>_xlfn.IFNA(VLOOKUP(K364,'Mapping DEF'!A:C,2,0),"")</f>
        <v>Curve (Local)</v>
      </c>
      <c r="N364" t="str">
        <f>+_xlfn.IFNA(VLOOKUP(M364,'Mapping DEF'!B:C,2,FALSE),"")</f>
        <v>Term Structure</v>
      </c>
      <c r="O364" t="s">
        <v>2752</v>
      </c>
    </row>
    <row r="365" spans="1:15" x14ac:dyDescent="0.25">
      <c r="A365" t="s">
        <v>1287</v>
      </c>
      <c r="B365" t="s">
        <v>1288</v>
      </c>
      <c r="C365">
        <v>2424</v>
      </c>
      <c r="D365" t="s">
        <v>1258</v>
      </c>
      <c r="E365" t="s">
        <v>329</v>
      </c>
      <c r="F365" t="s">
        <v>268</v>
      </c>
      <c r="G365" t="str">
        <f>+VLOOKUP(F365,[1]Explore!$B:$I,8,0)</f>
        <v>Alternative - Commodity</v>
      </c>
      <c r="H365" t="s">
        <v>269</v>
      </c>
      <c r="I365" t="str">
        <f>+VLOOKUP(H365,[1]Explore!$A:$I,9,0)</f>
        <v>Alternative - Commodity</v>
      </c>
      <c r="J365" t="str">
        <f t="shared" si="10"/>
        <v>OK</v>
      </c>
      <c r="K365" t="str">
        <f t="shared" si="11"/>
        <v>Alternative - Commodity</v>
      </c>
      <c r="L365" t="s">
        <v>70</v>
      </c>
      <c r="M365" t="str">
        <f>_xlfn.IFNA(VLOOKUP(K365,'Mapping DEF'!A:C,2,0),"")</f>
        <v>Alternative</v>
      </c>
      <c r="N365" t="str">
        <f>+_xlfn.IFNA(VLOOKUP(M365,'Mapping DEF'!B:C,2,FALSE),"")</f>
        <v>Other</v>
      </c>
      <c r="O365" t="s">
        <v>2770</v>
      </c>
    </row>
    <row r="366" spans="1:15" x14ac:dyDescent="0.25">
      <c r="A366" t="s">
        <v>1287</v>
      </c>
      <c r="B366" t="s">
        <v>1288</v>
      </c>
      <c r="C366">
        <v>2424</v>
      </c>
      <c r="D366" t="s">
        <v>1258</v>
      </c>
      <c r="E366" t="s">
        <v>709</v>
      </c>
      <c r="F366" t="s">
        <v>271</v>
      </c>
      <c r="G366" t="str">
        <f>+VLOOKUP(F366,[1]Explore!$B:$I,8,0)</f>
        <v>Corporate IG USD - Other</v>
      </c>
      <c r="H366" t="s">
        <v>272</v>
      </c>
      <c r="I366" t="str">
        <f>+VLOOKUP(H366,[1]Explore!$A:$I,9,0)</f>
        <v>Corporate IG USD - Other</v>
      </c>
      <c r="J366" t="str">
        <f t="shared" si="10"/>
        <v>OK</v>
      </c>
      <c r="K366" t="str">
        <f t="shared" si="11"/>
        <v>Corporate IG USD - Other</v>
      </c>
      <c r="L366" t="s">
        <v>2650</v>
      </c>
      <c r="M366" t="str">
        <f>_xlfn.IFNA(VLOOKUP(K366,'Mapping DEF'!A:C,2,0),"")</f>
        <v>Spread</v>
      </c>
      <c r="N366" t="str">
        <f>+_xlfn.IFNA(VLOOKUP(M366,'Mapping DEF'!B:C,2,FALSE),"")</f>
        <v>Spread</v>
      </c>
      <c r="O366" t="s">
        <v>2797</v>
      </c>
    </row>
    <row r="367" spans="1:15" x14ac:dyDescent="0.25">
      <c r="A367" t="s">
        <v>1287</v>
      </c>
      <c r="B367" t="s">
        <v>1288</v>
      </c>
      <c r="C367">
        <v>2424</v>
      </c>
      <c r="D367" t="s">
        <v>1258</v>
      </c>
      <c r="E367" t="s">
        <v>710</v>
      </c>
      <c r="F367" t="s">
        <v>593</v>
      </c>
      <c r="G367" t="str">
        <f>+VLOOKUP(F367,[1]Explore!$B:$I,8,0)</f>
        <v>Corporate IG USD - Industry</v>
      </c>
      <c r="H367" t="s">
        <v>594</v>
      </c>
      <c r="I367" t="str">
        <f>+VLOOKUP(H367,[1]Explore!$A:$I,9,0)</f>
        <v>Corporate IG USD - Industry</v>
      </c>
      <c r="J367" t="str">
        <f t="shared" si="10"/>
        <v>OK</v>
      </c>
      <c r="K367" t="str">
        <f t="shared" si="11"/>
        <v>Corporate IG USD - Industry</v>
      </c>
      <c r="L367" t="s">
        <v>188</v>
      </c>
      <c r="M367" t="str">
        <f>_xlfn.IFNA(VLOOKUP(K367,'Mapping DEF'!A:C,2,0),"")</f>
        <v>Spread</v>
      </c>
      <c r="N367" t="str">
        <f>+_xlfn.IFNA(VLOOKUP(M367,'Mapping DEF'!B:C,2,FALSE),"")</f>
        <v>Spread</v>
      </c>
      <c r="O367" t="s">
        <v>2813</v>
      </c>
    </row>
    <row r="368" spans="1:15" x14ac:dyDescent="0.25">
      <c r="A368" t="s">
        <v>1287</v>
      </c>
      <c r="B368" t="s">
        <v>1288</v>
      </c>
      <c r="C368">
        <v>2424</v>
      </c>
      <c r="D368" t="s">
        <v>1258</v>
      </c>
      <c r="E368" t="s">
        <v>504</v>
      </c>
      <c r="F368" t="s">
        <v>2944</v>
      </c>
      <c r="G368" t="str">
        <f>+VLOOKUP(F368,[1]Explore!$B:$I,8,0)</f>
        <v>JPY</v>
      </c>
      <c r="H368" t="s">
        <v>138</v>
      </c>
      <c r="I368" t="str">
        <f>+VLOOKUP(H368,[1]Explore!$A:$I,9,0)</f>
        <v>JPY</v>
      </c>
      <c r="J368" t="str">
        <f t="shared" si="10"/>
        <v>OK</v>
      </c>
      <c r="K368" t="str">
        <f t="shared" si="11"/>
        <v>JPY</v>
      </c>
      <c r="L368" t="s">
        <v>75</v>
      </c>
      <c r="M368" t="str">
        <f>_xlfn.IFNA(VLOOKUP(K368,'Mapping DEF'!A:C,2,0),"")</f>
        <v>FX</v>
      </c>
      <c r="N368" t="str">
        <f>+_xlfn.IFNA(VLOOKUP(M368,'Mapping DEF'!B:C,2,FALSE),"")</f>
        <v>FX</v>
      </c>
      <c r="O368" t="s">
        <v>2759</v>
      </c>
    </row>
    <row r="369" spans="1:15" x14ac:dyDescent="0.25">
      <c r="A369" t="s">
        <v>1287</v>
      </c>
      <c r="B369" t="s">
        <v>1288</v>
      </c>
      <c r="C369">
        <v>2424</v>
      </c>
      <c r="D369" t="s">
        <v>1258</v>
      </c>
      <c r="E369" t="s">
        <v>711</v>
      </c>
      <c r="F369" t="s">
        <v>206</v>
      </c>
      <c r="G369" t="e">
        <f>+VLOOKUP(F369,[1]Explore!$B:$I,8,0)</f>
        <v>#N/A</v>
      </c>
      <c r="H369" t="s">
        <v>206</v>
      </c>
      <c r="I369" t="e">
        <f>+VLOOKUP(H369,[1]Explore!$A:$I,9,0)</f>
        <v>#N/A</v>
      </c>
      <c r="J369" t="str">
        <f t="shared" si="10"/>
        <v>BOTH #N/A</v>
      </c>
      <c r="K369" t="str">
        <f t="shared" si="11"/>
        <v>Dollar Index</v>
      </c>
      <c r="L369" t="s">
        <v>2930</v>
      </c>
      <c r="M369" t="str">
        <f>_xlfn.IFNA(VLOOKUP(K369,'Mapping DEF'!A:C,2,0),"")</f>
        <v>Index Level</v>
      </c>
      <c r="N369" t="str">
        <f>+_xlfn.IFNA(VLOOKUP(M369,'Mapping DEF'!B:C,2,FALSE),"")</f>
        <v>Other</v>
      </c>
      <c r="O369" t="s">
        <v>2770</v>
      </c>
    </row>
    <row r="370" spans="1:15" x14ac:dyDescent="0.25">
      <c r="A370" t="s">
        <v>1287</v>
      </c>
      <c r="B370" t="s">
        <v>1288</v>
      </c>
      <c r="C370">
        <v>2424</v>
      </c>
      <c r="D370" t="s">
        <v>1258</v>
      </c>
      <c r="E370" t="s">
        <v>712</v>
      </c>
      <c r="F370" t="s">
        <v>2156</v>
      </c>
      <c r="G370" t="str">
        <f>+VLOOKUP(F370,[1]Explore!$B:$I,8,0)</f>
        <v>Equity Implied Volatility</v>
      </c>
      <c r="H370" t="s">
        <v>141</v>
      </c>
      <c r="I370" t="str">
        <f>+VLOOKUP(H370,[1]Explore!$A:$I,9,0)</f>
        <v>Equity Implied Volatility</v>
      </c>
      <c r="J370" t="str">
        <f t="shared" si="10"/>
        <v>OK</v>
      </c>
      <c r="K370" t="str">
        <f t="shared" si="11"/>
        <v>Equity Implied Volatility</v>
      </c>
      <c r="L370" t="s">
        <v>27</v>
      </c>
      <c r="M370" t="str">
        <f>_xlfn.IFNA(VLOOKUP(K370,'Mapping DEF'!A:C,2,0),"")</f>
        <v>Equity Derivatives</v>
      </c>
      <c r="N370" t="str">
        <f>+_xlfn.IFNA(VLOOKUP(M370,'Mapping DEF'!B:C,2,FALSE),"")</f>
        <v>Equity</v>
      </c>
      <c r="O370" t="s">
        <v>2753</v>
      </c>
    </row>
    <row r="371" spans="1:15" x14ac:dyDescent="0.25">
      <c r="A371" t="s">
        <v>1287</v>
      </c>
      <c r="B371" t="s">
        <v>1288</v>
      </c>
      <c r="C371">
        <v>2424</v>
      </c>
      <c r="D371" t="s">
        <v>1258</v>
      </c>
      <c r="E371" t="s">
        <v>654</v>
      </c>
      <c r="F371" t="s">
        <v>191</v>
      </c>
      <c r="G371" t="e">
        <f>+VLOOKUP(F371,[1]Explore!$B:$I,8,0)</f>
        <v>#N/A</v>
      </c>
      <c r="H371" t="s">
        <v>192</v>
      </c>
      <c r="I371" t="e">
        <f>+VLOOKUP(H371,[1]Explore!$A:$I,9,0)</f>
        <v>#N/A</v>
      </c>
      <c r="J371" t="str">
        <f t="shared" si="10"/>
        <v>BOTH #N/A</v>
      </c>
      <c r="K371" t="str">
        <f t="shared" si="11"/>
        <v>Time</v>
      </c>
      <c r="L371" t="s">
        <v>191</v>
      </c>
      <c r="M371" t="str">
        <f>_xlfn.IFNA(VLOOKUP(K371,'Mapping DEF'!A:C,2,0),"")</f>
        <v>Time</v>
      </c>
      <c r="N371" t="str">
        <f>+_xlfn.IFNA(VLOOKUP(M371,'Mapping DEF'!B:C,2,FALSE),"")</f>
        <v>Other</v>
      </c>
      <c r="O371" t="s">
        <v>2762</v>
      </c>
    </row>
    <row r="372" spans="1:15" x14ac:dyDescent="0.25">
      <c r="A372" t="s">
        <v>1287</v>
      </c>
      <c r="B372" t="s">
        <v>1288</v>
      </c>
      <c r="C372">
        <v>2424</v>
      </c>
      <c r="D372" t="s">
        <v>1258</v>
      </c>
      <c r="E372" t="s">
        <v>713</v>
      </c>
      <c r="F372" t="s">
        <v>2157</v>
      </c>
      <c r="G372" t="str">
        <f>+VLOOKUP(F372,[1]Explore!$B:$I,8,0)</f>
        <v>Equity Implied Volatility</v>
      </c>
      <c r="H372" t="s">
        <v>325</v>
      </c>
      <c r="I372" t="e">
        <f>+VLOOKUP(H372,[1]Explore!$A:$I,9,0)</f>
        <v>#N/A</v>
      </c>
      <c r="J372" t="str">
        <f t="shared" si="10"/>
        <v>OK</v>
      </c>
      <c r="K372" t="str">
        <f t="shared" si="11"/>
        <v>Equity Implied Volatility</v>
      </c>
      <c r="L372" t="s">
        <v>27</v>
      </c>
      <c r="M372" t="str">
        <f>_xlfn.IFNA(VLOOKUP(K372,'Mapping DEF'!A:C,2,0),"")</f>
        <v>Equity Derivatives</v>
      </c>
      <c r="N372" t="str">
        <f>+_xlfn.IFNA(VLOOKUP(M372,'Mapping DEF'!B:C,2,FALSE),"")</f>
        <v>Equity</v>
      </c>
      <c r="O372" t="s">
        <v>2761</v>
      </c>
    </row>
    <row r="373" spans="1:15" x14ac:dyDescent="0.25">
      <c r="A373" t="s">
        <v>1315</v>
      </c>
      <c r="B373" t="s">
        <v>1316</v>
      </c>
      <c r="C373">
        <v>2423</v>
      </c>
      <c r="D373" t="s">
        <v>1289</v>
      </c>
      <c r="E373" t="s">
        <v>670</v>
      </c>
      <c r="F373" t="s">
        <v>19</v>
      </c>
      <c r="G373" t="str">
        <f>+VLOOKUP(F373,[1]Explore!$B:$I,8,0)</f>
        <v>Govt USD</v>
      </c>
      <c r="H373" t="s">
        <v>20</v>
      </c>
      <c r="I373" t="str">
        <f>+VLOOKUP(H373,[1]Explore!$A:$I,9,0)</f>
        <v>Govt USD</v>
      </c>
      <c r="J373" t="str">
        <f t="shared" si="10"/>
        <v>OK</v>
      </c>
      <c r="K373" t="str">
        <f t="shared" si="11"/>
        <v>Govt USD</v>
      </c>
      <c r="L373" t="s">
        <v>8</v>
      </c>
      <c r="M373" t="str">
        <f>_xlfn.IFNA(VLOOKUP(K373,'Mapping DEF'!A:C,2,0),"")</f>
        <v>Curve (Local)</v>
      </c>
      <c r="N373" t="str">
        <f>+_xlfn.IFNA(VLOOKUP(M373,'Mapping DEF'!B:C,2,FALSE),"")</f>
        <v>Term Structure</v>
      </c>
      <c r="O373" t="s">
        <v>2769</v>
      </c>
    </row>
    <row r="374" spans="1:15" x14ac:dyDescent="0.25">
      <c r="A374" t="s">
        <v>1315</v>
      </c>
      <c r="B374" t="s">
        <v>1316</v>
      </c>
      <c r="C374">
        <v>2423</v>
      </c>
      <c r="D374" t="s">
        <v>1289</v>
      </c>
      <c r="E374" t="s">
        <v>714</v>
      </c>
      <c r="F374" t="s">
        <v>258</v>
      </c>
      <c r="G374" t="str">
        <f>+VLOOKUP(F374,[1]Explore!$B:$I,8,0)</f>
        <v>USD Inflation</v>
      </c>
      <c r="H374" t="s">
        <v>259</v>
      </c>
      <c r="I374" t="str">
        <f>+VLOOKUP(H374,[1]Explore!$A:$I,9,0)</f>
        <v>USD Inflation</v>
      </c>
      <c r="J374" t="str">
        <f t="shared" si="10"/>
        <v>OK</v>
      </c>
      <c r="K374" t="str">
        <f t="shared" si="11"/>
        <v>USD Inflation</v>
      </c>
      <c r="L374" t="s">
        <v>8</v>
      </c>
      <c r="M374" t="str">
        <f>_xlfn.IFNA(VLOOKUP(K374,'Mapping DEF'!A:C,2,0),"")</f>
        <v>Inflation</v>
      </c>
      <c r="N374" t="str">
        <f>+_xlfn.IFNA(VLOOKUP(M374,'Mapping DEF'!B:C,2,FALSE),"")</f>
        <v>Other</v>
      </c>
      <c r="O374" t="s">
        <v>2778</v>
      </c>
    </row>
    <row r="375" spans="1:15" x14ac:dyDescent="0.25">
      <c r="A375" t="s">
        <v>1315</v>
      </c>
      <c r="B375" t="s">
        <v>1316</v>
      </c>
      <c r="C375">
        <v>2423</v>
      </c>
      <c r="D375" t="s">
        <v>1289</v>
      </c>
      <c r="E375" t="s">
        <v>329</v>
      </c>
      <c r="F375" t="s">
        <v>268</v>
      </c>
      <c r="G375" t="str">
        <f>+VLOOKUP(F375,[1]Explore!$B:$I,8,0)</f>
        <v>Alternative - Commodity</v>
      </c>
      <c r="H375" t="s">
        <v>269</v>
      </c>
      <c r="I375" t="str">
        <f>+VLOOKUP(H375,[1]Explore!$A:$I,9,0)</f>
        <v>Alternative - Commodity</v>
      </c>
      <c r="J375" t="str">
        <f t="shared" si="10"/>
        <v>OK</v>
      </c>
      <c r="K375" t="str">
        <f t="shared" si="11"/>
        <v>Alternative - Commodity</v>
      </c>
      <c r="L375" t="s">
        <v>70</v>
      </c>
      <c r="M375" t="str">
        <f>_xlfn.IFNA(VLOOKUP(K375,'Mapping DEF'!A:C,2,0),"")</f>
        <v>Alternative</v>
      </c>
      <c r="N375" t="str">
        <f>+_xlfn.IFNA(VLOOKUP(M375,'Mapping DEF'!B:C,2,FALSE),"")</f>
        <v>Other</v>
      </c>
      <c r="O375" t="s">
        <v>2770</v>
      </c>
    </row>
    <row r="376" spans="1:15" x14ac:dyDescent="0.25">
      <c r="A376" t="s">
        <v>1315</v>
      </c>
      <c r="B376" t="s">
        <v>1316</v>
      </c>
      <c r="C376">
        <v>2423</v>
      </c>
      <c r="D376" t="s">
        <v>1289</v>
      </c>
      <c r="E376" t="s">
        <v>674</v>
      </c>
      <c r="F376" t="s">
        <v>675</v>
      </c>
      <c r="G376" t="str">
        <f>+VLOOKUP(F376,[1]Explore!$B:$I,8,0)</f>
        <v>Alternative - Commodity</v>
      </c>
      <c r="H376" t="s">
        <v>676</v>
      </c>
      <c r="I376" t="str">
        <f>+VLOOKUP(H376,[1]Explore!$A:$I,9,0)</f>
        <v>Alternative - Commodity</v>
      </c>
      <c r="J376" t="str">
        <f t="shared" si="10"/>
        <v>OK</v>
      </c>
      <c r="K376" t="str">
        <f t="shared" si="11"/>
        <v>Alternative - Commodity</v>
      </c>
      <c r="L376" t="s">
        <v>70</v>
      </c>
      <c r="M376" t="str">
        <f>_xlfn.IFNA(VLOOKUP(K376,'Mapping DEF'!A:C,2,0),"")</f>
        <v>Alternative</v>
      </c>
      <c r="N376" t="str">
        <f>+_xlfn.IFNA(VLOOKUP(M376,'Mapping DEF'!B:C,2,FALSE),"")</f>
        <v>Other</v>
      </c>
      <c r="O376" t="s">
        <v>2792</v>
      </c>
    </row>
    <row r="377" spans="1:15" x14ac:dyDescent="0.25">
      <c r="A377" t="s">
        <v>1315</v>
      </c>
      <c r="B377" t="s">
        <v>1316</v>
      </c>
      <c r="C377">
        <v>2423</v>
      </c>
      <c r="D377" t="s">
        <v>1289</v>
      </c>
      <c r="E377" t="s">
        <v>677</v>
      </c>
      <c r="F377" t="s">
        <v>678</v>
      </c>
      <c r="G377" t="str">
        <f>+VLOOKUP(F377,[1]Explore!$B:$I,8,0)</f>
        <v>Spread - Municipals</v>
      </c>
      <c r="H377" t="s">
        <v>679</v>
      </c>
      <c r="I377" t="str">
        <f>+VLOOKUP(H377,[1]Explore!$A:$I,9,0)</f>
        <v>Spread - Municipals</v>
      </c>
      <c r="J377" t="str">
        <f t="shared" si="10"/>
        <v>OK</v>
      </c>
      <c r="K377" t="str">
        <f t="shared" si="11"/>
        <v>Spread - Municipals</v>
      </c>
      <c r="L377" t="s">
        <v>188</v>
      </c>
      <c r="M377" t="str">
        <f>_xlfn.IFNA(VLOOKUP(K377,'Mapping DEF'!A:C,2,0),"")</f>
        <v>Spread</v>
      </c>
      <c r="N377" t="str">
        <f>+_xlfn.IFNA(VLOOKUP(M377,'Mapping DEF'!B:C,2,FALSE),"")</f>
        <v>Spread</v>
      </c>
      <c r="O377" t="s">
        <v>2790</v>
      </c>
    </row>
    <row r="378" spans="1:15" x14ac:dyDescent="0.25">
      <c r="A378" t="s">
        <v>1315</v>
      </c>
      <c r="B378" t="s">
        <v>1316</v>
      </c>
      <c r="C378">
        <v>2423</v>
      </c>
      <c r="D378" t="s">
        <v>1289</v>
      </c>
      <c r="E378" t="s">
        <v>554</v>
      </c>
      <c r="F378" t="s">
        <v>2944</v>
      </c>
      <c r="G378" t="str">
        <f>+VLOOKUP(F378,[1]Explore!$B:$I,8,0)</f>
        <v>JPY</v>
      </c>
      <c r="H378" t="s">
        <v>138</v>
      </c>
      <c r="I378" t="str">
        <f>+VLOOKUP(H378,[1]Explore!$A:$I,9,0)</f>
        <v>JPY</v>
      </c>
      <c r="J378" t="str">
        <f t="shared" si="10"/>
        <v>OK</v>
      </c>
      <c r="K378" t="str">
        <f t="shared" si="11"/>
        <v>JPY</v>
      </c>
      <c r="L378" t="s">
        <v>75</v>
      </c>
      <c r="M378" t="str">
        <f>_xlfn.IFNA(VLOOKUP(K378,'Mapping DEF'!A:C,2,0),"")</f>
        <v>FX</v>
      </c>
      <c r="N378" t="str">
        <f>+_xlfn.IFNA(VLOOKUP(M378,'Mapping DEF'!B:C,2,FALSE),"")</f>
        <v>FX</v>
      </c>
      <c r="O378" t="s">
        <v>2757</v>
      </c>
    </row>
    <row r="379" spans="1:15" x14ac:dyDescent="0.25">
      <c r="A379" t="s">
        <v>1315</v>
      </c>
      <c r="B379" t="s">
        <v>1316</v>
      </c>
      <c r="C379">
        <v>2423</v>
      </c>
      <c r="D379" t="s">
        <v>1289</v>
      </c>
      <c r="E379" t="s">
        <v>371</v>
      </c>
      <c r="F379" t="s">
        <v>206</v>
      </c>
      <c r="G379" t="e">
        <f>+VLOOKUP(F379,[1]Explore!$B:$I,8,0)</f>
        <v>#N/A</v>
      </c>
      <c r="H379" t="s">
        <v>206</v>
      </c>
      <c r="I379" t="e">
        <f>+VLOOKUP(H379,[1]Explore!$A:$I,9,0)</f>
        <v>#N/A</v>
      </c>
      <c r="J379" t="str">
        <f t="shared" si="10"/>
        <v>BOTH #N/A</v>
      </c>
      <c r="K379" t="str">
        <f t="shared" si="11"/>
        <v>Dollar Index</v>
      </c>
      <c r="L379" t="s">
        <v>2930</v>
      </c>
      <c r="M379" t="str">
        <f>_xlfn.IFNA(VLOOKUP(K379,'Mapping DEF'!A:C,2,0),"")</f>
        <v>Index Level</v>
      </c>
      <c r="N379" t="str">
        <f>+_xlfn.IFNA(VLOOKUP(M379,'Mapping DEF'!B:C,2,FALSE),"")</f>
        <v>Other</v>
      </c>
      <c r="O379" t="s">
        <v>2759</v>
      </c>
    </row>
    <row r="380" spans="1:15" x14ac:dyDescent="0.25">
      <c r="A380" t="s">
        <v>1315</v>
      </c>
      <c r="B380" t="s">
        <v>1316</v>
      </c>
      <c r="C380">
        <v>2423</v>
      </c>
      <c r="D380" t="s">
        <v>1289</v>
      </c>
      <c r="E380" t="s">
        <v>680</v>
      </c>
      <c r="F380" t="s">
        <v>392</v>
      </c>
      <c r="G380" t="str">
        <f>+VLOOKUP(F380,[1]Explore!$B:$I,8,0)</f>
        <v>Equity Implied Volatility</v>
      </c>
      <c r="H380" t="s">
        <v>392</v>
      </c>
      <c r="I380" t="str">
        <f>+VLOOKUP(H380,[1]Explore!$A:$I,9,0)</f>
        <v>Equity Implied Volatility</v>
      </c>
      <c r="J380" t="str">
        <f t="shared" si="10"/>
        <v>OK</v>
      </c>
      <c r="K380" t="str">
        <f t="shared" si="11"/>
        <v>Equity Implied Volatility</v>
      </c>
      <c r="L380" t="s">
        <v>27</v>
      </c>
      <c r="M380" t="str">
        <f>_xlfn.IFNA(VLOOKUP(K380,'Mapping DEF'!A:C,2,0),"")</f>
        <v>Equity Derivatives</v>
      </c>
      <c r="N380" t="str">
        <f>+_xlfn.IFNA(VLOOKUP(M380,'Mapping DEF'!B:C,2,FALSE),"")</f>
        <v>Equity</v>
      </c>
      <c r="O380" t="s">
        <v>2759</v>
      </c>
    </row>
    <row r="381" spans="1:15" x14ac:dyDescent="0.25">
      <c r="A381" t="s">
        <v>1315</v>
      </c>
      <c r="B381" t="s">
        <v>1316</v>
      </c>
      <c r="C381">
        <v>2423</v>
      </c>
      <c r="D381" t="s">
        <v>1289</v>
      </c>
      <c r="E381" t="s">
        <v>681</v>
      </c>
      <c r="F381" t="s">
        <v>2168</v>
      </c>
      <c r="G381" t="str">
        <f>+VLOOKUP(F381,[1]Explore!$B:$I,8,0)</f>
        <v>Equity Implied Volatility</v>
      </c>
      <c r="H381" t="s">
        <v>43</v>
      </c>
      <c r="I381" t="str">
        <f>+VLOOKUP(H381,[1]Explore!$A:$I,9,0)</f>
        <v>Equity Implied Volatility</v>
      </c>
      <c r="J381" t="str">
        <f t="shared" si="10"/>
        <v>OK</v>
      </c>
      <c r="K381" t="str">
        <f t="shared" si="11"/>
        <v>Equity Implied Volatility</v>
      </c>
      <c r="L381" t="s">
        <v>27</v>
      </c>
      <c r="M381" t="str">
        <f>_xlfn.IFNA(VLOOKUP(K381,'Mapping DEF'!A:C,2,0),"")</f>
        <v>Equity Derivatives</v>
      </c>
      <c r="N381" t="str">
        <f>+_xlfn.IFNA(VLOOKUP(M381,'Mapping DEF'!B:C,2,FALSE),"")</f>
        <v>Equity</v>
      </c>
      <c r="O381" t="s">
        <v>2771</v>
      </c>
    </row>
    <row r="382" spans="1:15" x14ac:dyDescent="0.25">
      <c r="A382" t="s">
        <v>1315</v>
      </c>
      <c r="B382" t="s">
        <v>1316</v>
      </c>
      <c r="C382">
        <v>2423</v>
      </c>
      <c r="D382" t="s">
        <v>1317</v>
      </c>
      <c r="E382" t="s">
        <v>682</v>
      </c>
      <c r="F382" t="s">
        <v>2940</v>
      </c>
      <c r="G382" t="str">
        <f>+VLOOKUP(F382,[1]Explore!$B:$I,8,0)</f>
        <v>Equity Implied Volatility</v>
      </c>
      <c r="H382" t="s">
        <v>55</v>
      </c>
      <c r="I382" t="str">
        <f>+VLOOKUP(H382,[1]Explore!$A:$I,9,0)</f>
        <v>Equity Implied Volatility</v>
      </c>
      <c r="J382" t="str">
        <f t="shared" si="10"/>
        <v>OK</v>
      </c>
      <c r="K382" t="str">
        <f t="shared" si="11"/>
        <v>Equity Implied Volatility</v>
      </c>
      <c r="L382" t="s">
        <v>27</v>
      </c>
      <c r="M382" t="str">
        <f>_xlfn.IFNA(VLOOKUP(K382,'Mapping DEF'!A:C,2,0),"")</f>
        <v>Equity Derivatives</v>
      </c>
      <c r="N382" t="str">
        <f>+_xlfn.IFNA(VLOOKUP(M382,'Mapping DEF'!B:C,2,FALSE),"")</f>
        <v>Equity</v>
      </c>
      <c r="O382" t="s">
        <v>2772</v>
      </c>
    </row>
    <row r="383" spans="1:15" x14ac:dyDescent="0.25">
      <c r="A383" t="s">
        <v>1315</v>
      </c>
      <c r="B383" t="s">
        <v>1316</v>
      </c>
      <c r="C383">
        <v>2423</v>
      </c>
      <c r="D383" t="s">
        <v>1317</v>
      </c>
      <c r="E383" t="s">
        <v>654</v>
      </c>
      <c r="F383" t="s">
        <v>191</v>
      </c>
      <c r="G383" t="e">
        <f>+VLOOKUP(F383,[1]Explore!$B:$I,8,0)</f>
        <v>#N/A</v>
      </c>
      <c r="H383" t="s">
        <v>192</v>
      </c>
      <c r="I383" t="e">
        <f>+VLOOKUP(H383,[1]Explore!$A:$I,9,0)</f>
        <v>#N/A</v>
      </c>
      <c r="J383" t="str">
        <f t="shared" si="10"/>
        <v>BOTH #N/A</v>
      </c>
      <c r="K383" t="str">
        <f t="shared" si="11"/>
        <v>Time</v>
      </c>
      <c r="L383" t="s">
        <v>191</v>
      </c>
      <c r="M383" t="str">
        <f>_xlfn.IFNA(VLOOKUP(K383,'Mapping DEF'!A:C,2,0),"")</f>
        <v>Time</v>
      </c>
      <c r="N383" t="str">
        <f>+_xlfn.IFNA(VLOOKUP(M383,'Mapping DEF'!B:C,2,FALSE),"")</f>
        <v>Other</v>
      </c>
      <c r="O383" t="s">
        <v>2762</v>
      </c>
    </row>
    <row r="384" spans="1:15" x14ac:dyDescent="0.25">
      <c r="A384" t="s">
        <v>1315</v>
      </c>
      <c r="B384" t="s">
        <v>1316</v>
      </c>
      <c r="C384">
        <v>2423</v>
      </c>
      <c r="D384" t="s">
        <v>1317</v>
      </c>
      <c r="E384" t="s">
        <v>683</v>
      </c>
      <c r="F384" t="s">
        <v>684</v>
      </c>
      <c r="G384" t="str">
        <f>+VLOOKUP(F384,[1]Explore!$B:$I,8,0)</f>
        <v>Corporate HY USD - Industry</v>
      </c>
      <c r="H384" t="s">
        <v>685</v>
      </c>
      <c r="I384" t="str">
        <f>+VLOOKUP(H384,[1]Explore!$A:$I,9,0)</f>
        <v>Corporate HY USD - Industry</v>
      </c>
      <c r="J384" t="str">
        <f t="shared" si="10"/>
        <v>OK</v>
      </c>
      <c r="K384" t="str">
        <f t="shared" si="11"/>
        <v>Corporate HY USD - Industry</v>
      </c>
      <c r="L384" t="s">
        <v>188</v>
      </c>
      <c r="M384" t="str">
        <f>_xlfn.IFNA(VLOOKUP(K384,'Mapping DEF'!A:C,2,0),"")</f>
        <v>Spread</v>
      </c>
      <c r="N384" t="str">
        <f>+_xlfn.IFNA(VLOOKUP(M384,'Mapping DEF'!B:C,2,FALSE),"")</f>
        <v>Spread</v>
      </c>
      <c r="O384" t="s">
        <v>2773</v>
      </c>
    </row>
    <row r="385" spans="1:15" x14ac:dyDescent="0.25">
      <c r="A385" t="s">
        <v>1346</v>
      </c>
      <c r="B385" t="s">
        <v>1347</v>
      </c>
      <c r="C385">
        <v>2528</v>
      </c>
      <c r="D385" t="s">
        <v>1317</v>
      </c>
      <c r="E385" t="s">
        <v>334</v>
      </c>
      <c r="F385" t="s">
        <v>19</v>
      </c>
      <c r="G385" t="str">
        <f>+VLOOKUP(F385,[1]Explore!$B:$I,8,0)</f>
        <v>Govt USD</v>
      </c>
      <c r="H385" t="s">
        <v>20</v>
      </c>
      <c r="I385" t="str">
        <f>+VLOOKUP(H385,[1]Explore!$A:$I,9,0)</f>
        <v>Govt USD</v>
      </c>
      <c r="J385" t="str">
        <f t="shared" si="10"/>
        <v>OK</v>
      </c>
      <c r="K385" t="str">
        <f t="shared" si="11"/>
        <v>Govt USD</v>
      </c>
      <c r="L385" t="s">
        <v>8</v>
      </c>
      <c r="M385" t="str">
        <f>_xlfn.IFNA(VLOOKUP(K385,'Mapping DEF'!A:C,2,0),"")</f>
        <v>Curve (Local)</v>
      </c>
      <c r="N385" t="str">
        <f>+_xlfn.IFNA(VLOOKUP(M385,'Mapping DEF'!B:C,2,FALSE),"")</f>
        <v>Term Structure</v>
      </c>
      <c r="O385" t="s">
        <v>2774</v>
      </c>
    </row>
    <row r="386" spans="1:15" x14ac:dyDescent="0.25">
      <c r="A386" t="s">
        <v>1346</v>
      </c>
      <c r="B386" t="s">
        <v>1347</v>
      </c>
      <c r="C386">
        <v>2528</v>
      </c>
      <c r="D386" t="s">
        <v>1317</v>
      </c>
      <c r="E386" t="s">
        <v>687</v>
      </c>
      <c r="F386" t="s">
        <v>268</v>
      </c>
      <c r="G386" t="str">
        <f>+VLOOKUP(F386,[1]Explore!$B:$I,8,0)</f>
        <v>Alternative - Commodity</v>
      </c>
      <c r="H386" t="s">
        <v>269</v>
      </c>
      <c r="I386" t="str">
        <f>+VLOOKUP(H386,[1]Explore!$A:$I,9,0)</f>
        <v>Alternative - Commodity</v>
      </c>
      <c r="J386" t="str">
        <f t="shared" si="10"/>
        <v>OK</v>
      </c>
      <c r="K386" t="str">
        <f t="shared" si="11"/>
        <v>Alternative - Commodity</v>
      </c>
      <c r="L386" t="s">
        <v>70</v>
      </c>
      <c r="M386" t="str">
        <f>_xlfn.IFNA(VLOOKUP(K386,'Mapping DEF'!A:C,2,0),"")</f>
        <v>Alternative</v>
      </c>
      <c r="N386" t="str">
        <f>+_xlfn.IFNA(VLOOKUP(M386,'Mapping DEF'!B:C,2,FALSE),"")</f>
        <v>Other</v>
      </c>
      <c r="O386" t="s">
        <v>2759</v>
      </c>
    </row>
    <row r="387" spans="1:15" x14ac:dyDescent="0.25">
      <c r="A387" t="s">
        <v>1346</v>
      </c>
      <c r="B387" t="s">
        <v>1347</v>
      </c>
      <c r="C387">
        <v>2528</v>
      </c>
      <c r="D387" t="s">
        <v>1317</v>
      </c>
      <c r="E387" t="s">
        <v>688</v>
      </c>
      <c r="F387" t="s">
        <v>315</v>
      </c>
      <c r="G387" t="str">
        <f>+VLOOKUP(F387,[1]Explore!$B:$I,8,0)</f>
        <v>Govt EUR (Ger)</v>
      </c>
      <c r="H387" t="s">
        <v>316</v>
      </c>
      <c r="I387" t="str">
        <f>+VLOOKUP(H387,[1]Explore!$A:$I,9,0)</f>
        <v>Govt EUR (Ger)</v>
      </c>
      <c r="J387" t="str">
        <f t="shared" ref="J387:J450" si="12">IF(AND(ISNA(G387),ISNA(I387)),"BOTH #N/A","OK")</f>
        <v>OK</v>
      </c>
      <c r="K387" t="str">
        <f t="shared" ref="K387:K450" si="13">IFERROR(I387, IFERROR(G387, L387))</f>
        <v>Govt EUR (Ger)</v>
      </c>
      <c r="L387" t="s">
        <v>8</v>
      </c>
      <c r="M387" t="str">
        <f>_xlfn.IFNA(VLOOKUP(K387,'Mapping DEF'!A:C,2,0),"")</f>
        <v>Curve (Local)</v>
      </c>
      <c r="N387" t="str">
        <f>+_xlfn.IFNA(VLOOKUP(M387,'Mapping DEF'!B:C,2,FALSE),"")</f>
        <v>Term Structure</v>
      </c>
      <c r="O387" t="s">
        <v>2774</v>
      </c>
    </row>
    <row r="388" spans="1:15" x14ac:dyDescent="0.25">
      <c r="A388" t="s">
        <v>1346</v>
      </c>
      <c r="B388" t="s">
        <v>1347</v>
      </c>
      <c r="C388">
        <v>2528</v>
      </c>
      <c r="D388" t="s">
        <v>1317</v>
      </c>
      <c r="E388" t="s">
        <v>689</v>
      </c>
      <c r="F388" t="s">
        <v>2944</v>
      </c>
      <c r="G388" t="str">
        <f>+VLOOKUP(F388,[1]Explore!$B:$I,8,0)</f>
        <v>JPY</v>
      </c>
      <c r="H388" t="s">
        <v>138</v>
      </c>
      <c r="I388" t="str">
        <f>+VLOOKUP(H388,[1]Explore!$A:$I,9,0)</f>
        <v>JPY</v>
      </c>
      <c r="J388" t="str">
        <f t="shared" si="12"/>
        <v>OK</v>
      </c>
      <c r="K388" t="str">
        <f t="shared" si="13"/>
        <v>JPY</v>
      </c>
      <c r="L388" t="s">
        <v>75</v>
      </c>
      <c r="M388" t="str">
        <f>_xlfn.IFNA(VLOOKUP(K388,'Mapping DEF'!A:C,2,0),"")</f>
        <v>FX</v>
      </c>
      <c r="N388" t="str">
        <f>+_xlfn.IFNA(VLOOKUP(M388,'Mapping DEF'!B:C,2,FALSE),"")</f>
        <v>FX</v>
      </c>
      <c r="O388" t="s">
        <v>2775</v>
      </c>
    </row>
    <row r="389" spans="1:15" x14ac:dyDescent="0.25">
      <c r="A389" t="s">
        <v>1346</v>
      </c>
      <c r="B389" t="s">
        <v>1347</v>
      </c>
      <c r="C389">
        <v>2528</v>
      </c>
      <c r="D389" t="s">
        <v>1317</v>
      </c>
      <c r="E389" t="s">
        <v>690</v>
      </c>
      <c r="F389" t="s">
        <v>206</v>
      </c>
      <c r="G389" t="e">
        <f>+VLOOKUP(F389,[1]Explore!$B:$I,8,0)</f>
        <v>#N/A</v>
      </c>
      <c r="H389" t="s">
        <v>206</v>
      </c>
      <c r="I389" t="e">
        <f>+VLOOKUP(H389,[1]Explore!$A:$I,9,0)</f>
        <v>#N/A</v>
      </c>
      <c r="J389" t="str">
        <f t="shared" si="12"/>
        <v>BOTH #N/A</v>
      </c>
      <c r="K389" t="str">
        <f t="shared" si="13"/>
        <v>Dollar Index</v>
      </c>
      <c r="L389" t="s">
        <v>2930</v>
      </c>
      <c r="M389" t="str">
        <f>_xlfn.IFNA(VLOOKUP(K389,'Mapping DEF'!A:C,2,0),"")</f>
        <v>Index Level</v>
      </c>
      <c r="N389" t="str">
        <f>+_xlfn.IFNA(VLOOKUP(M389,'Mapping DEF'!B:C,2,FALSE),"")</f>
        <v>Other</v>
      </c>
      <c r="O389" t="s">
        <v>2757</v>
      </c>
    </row>
    <row r="390" spans="1:15" x14ac:dyDescent="0.25">
      <c r="A390" t="s">
        <v>1346</v>
      </c>
      <c r="B390" t="s">
        <v>1347</v>
      </c>
      <c r="C390">
        <v>2528</v>
      </c>
      <c r="D390" t="s">
        <v>1317</v>
      </c>
      <c r="E390" t="s">
        <v>680</v>
      </c>
      <c r="F390" t="s">
        <v>392</v>
      </c>
      <c r="G390" t="str">
        <f>+VLOOKUP(F390,[1]Explore!$B:$I,8,0)</f>
        <v>Equity Implied Volatility</v>
      </c>
      <c r="H390" t="s">
        <v>392</v>
      </c>
      <c r="I390" t="str">
        <f>+VLOOKUP(H390,[1]Explore!$A:$I,9,0)</f>
        <v>Equity Implied Volatility</v>
      </c>
      <c r="J390" t="str">
        <f t="shared" si="12"/>
        <v>OK</v>
      </c>
      <c r="K390" t="str">
        <f t="shared" si="13"/>
        <v>Equity Implied Volatility</v>
      </c>
      <c r="L390" t="s">
        <v>27</v>
      </c>
      <c r="M390" t="str">
        <f>_xlfn.IFNA(VLOOKUP(K390,'Mapping DEF'!A:C,2,0),"")</f>
        <v>Equity Derivatives</v>
      </c>
      <c r="N390" t="str">
        <f>+_xlfn.IFNA(VLOOKUP(M390,'Mapping DEF'!B:C,2,FALSE),"")</f>
        <v>Equity</v>
      </c>
      <c r="O390" t="s">
        <v>2759</v>
      </c>
    </row>
    <row r="391" spans="1:15" x14ac:dyDescent="0.25">
      <c r="A391" t="s">
        <v>1346</v>
      </c>
      <c r="B391" t="s">
        <v>1347</v>
      </c>
      <c r="C391">
        <v>2528</v>
      </c>
      <c r="D391" t="s">
        <v>1317</v>
      </c>
      <c r="E391" t="s">
        <v>691</v>
      </c>
      <c r="F391" t="s">
        <v>692</v>
      </c>
      <c r="G391" t="e">
        <f>+VLOOKUP(F391,[1]Explore!$B:$I,8,0)</f>
        <v>#N/A</v>
      </c>
      <c r="H391" t="s">
        <v>693</v>
      </c>
      <c r="I391" t="e">
        <f>+VLOOKUP(H391,[1]Explore!$A:$I,9,0)</f>
        <v>#N/A</v>
      </c>
      <c r="J391" t="str">
        <f t="shared" si="12"/>
        <v>BOTH #N/A</v>
      </c>
      <c r="K391" t="str">
        <f t="shared" si="13"/>
        <v>Consumer Discretionary</v>
      </c>
      <c r="L391" t="s">
        <v>2659</v>
      </c>
      <c r="M391" t="str">
        <f>_xlfn.IFNA(VLOOKUP(K391,'Mapping DEF'!A:C,2,0),"")</f>
        <v>Industry Allocation</v>
      </c>
      <c r="N391" t="str">
        <f>+_xlfn.IFNA(VLOOKUP(M391,'Mapping DEF'!B:C,2,FALSE),"")</f>
        <v>Equity</v>
      </c>
      <c r="O391" t="s">
        <v>2753</v>
      </c>
    </row>
    <row r="392" spans="1:15" x14ac:dyDescent="0.25">
      <c r="A392" t="s">
        <v>1346</v>
      </c>
      <c r="B392" t="s">
        <v>1347</v>
      </c>
      <c r="C392">
        <v>2528</v>
      </c>
      <c r="D392" t="s">
        <v>1317</v>
      </c>
      <c r="E392" t="s">
        <v>694</v>
      </c>
      <c r="F392" t="s">
        <v>2186</v>
      </c>
      <c r="G392" t="e">
        <f>+VLOOKUP(F392,[1]Explore!$B:$I,8,0)</f>
        <v>#N/A</v>
      </c>
      <c r="H392" t="s">
        <v>696</v>
      </c>
      <c r="I392" t="e">
        <f>+VLOOKUP(H392,[1]Explore!$A:$I,9,0)</f>
        <v>#N/A</v>
      </c>
      <c r="J392" t="str">
        <f t="shared" si="12"/>
        <v>BOTH #N/A</v>
      </c>
      <c r="K392" t="str">
        <f t="shared" si="13"/>
        <v>Financials</v>
      </c>
      <c r="L392" t="s">
        <v>325</v>
      </c>
      <c r="M392" t="str">
        <f>_xlfn.IFNA(VLOOKUP(K392,'Mapping DEF'!A:C,2,0),"")</f>
        <v>Industry Allocation</v>
      </c>
      <c r="N392" t="str">
        <f>+_xlfn.IFNA(VLOOKUP(M392,'Mapping DEF'!B:C,2,FALSE),"")</f>
        <v>Equity</v>
      </c>
      <c r="O392" t="s">
        <v>2776</v>
      </c>
    </row>
    <row r="393" spans="1:15" x14ac:dyDescent="0.25">
      <c r="A393" t="s">
        <v>1346</v>
      </c>
      <c r="B393" t="s">
        <v>1347</v>
      </c>
      <c r="C393">
        <v>2528</v>
      </c>
      <c r="D393" t="s">
        <v>1317</v>
      </c>
      <c r="E393" t="s">
        <v>697</v>
      </c>
      <c r="F393" t="s">
        <v>2184</v>
      </c>
      <c r="G393" t="e">
        <f>+VLOOKUP(F393,[1]Explore!$B:$I,8,0)</f>
        <v>#N/A</v>
      </c>
      <c r="H393" t="s">
        <v>698</v>
      </c>
      <c r="I393" t="e">
        <f>+VLOOKUP(H393,[1]Explore!$A:$I,9,0)</f>
        <v>#N/A</v>
      </c>
      <c r="J393" t="str">
        <f t="shared" si="12"/>
        <v>BOTH #N/A</v>
      </c>
      <c r="K393" t="str">
        <f t="shared" si="13"/>
        <v>Information Technology</v>
      </c>
      <c r="L393" t="s">
        <v>2679</v>
      </c>
      <c r="M393" t="str">
        <f>_xlfn.IFNA(VLOOKUP(K393,'Mapping DEF'!A:C,2,0),"")</f>
        <v>Industry Allocation</v>
      </c>
      <c r="N393" t="str">
        <f>+_xlfn.IFNA(VLOOKUP(M393,'Mapping DEF'!B:C,2,FALSE),"")</f>
        <v>Equity</v>
      </c>
      <c r="O393" t="s">
        <v>2753</v>
      </c>
    </row>
    <row r="394" spans="1:15" x14ac:dyDescent="0.25">
      <c r="A394" t="s">
        <v>1346</v>
      </c>
      <c r="B394" t="s">
        <v>1347</v>
      </c>
      <c r="C394">
        <v>2528</v>
      </c>
      <c r="D394" t="s">
        <v>1348</v>
      </c>
      <c r="E394" t="s">
        <v>699</v>
      </c>
      <c r="F394" t="s">
        <v>700</v>
      </c>
      <c r="G394" t="str">
        <f>+VLOOKUP(F394,[1]Explore!$B:$I,8,0)</f>
        <v>Corporate HY USD - Industry</v>
      </c>
      <c r="H394" t="s">
        <v>701</v>
      </c>
      <c r="I394" t="str">
        <f>+VLOOKUP(H394,[1]Explore!$A:$I,9,0)</f>
        <v>Corporate HY USD - Industry</v>
      </c>
      <c r="J394" t="str">
        <f t="shared" si="12"/>
        <v>OK</v>
      </c>
      <c r="K394" t="str">
        <f t="shared" si="13"/>
        <v>Corporate HY USD - Industry</v>
      </c>
      <c r="L394" t="s">
        <v>188</v>
      </c>
      <c r="M394" t="str">
        <f>_xlfn.IFNA(VLOOKUP(K394,'Mapping DEF'!A:C,2,0),"")</f>
        <v>Spread</v>
      </c>
      <c r="N394" t="str">
        <f>+_xlfn.IFNA(VLOOKUP(M394,'Mapping DEF'!B:C,2,FALSE),"")</f>
        <v>Spread</v>
      </c>
      <c r="O394" t="s">
        <v>2755</v>
      </c>
    </row>
    <row r="395" spans="1:15" x14ac:dyDescent="0.25">
      <c r="A395" t="s">
        <v>1346</v>
      </c>
      <c r="B395" t="s">
        <v>1347</v>
      </c>
      <c r="C395">
        <v>2528</v>
      </c>
      <c r="D395" t="s">
        <v>1348</v>
      </c>
      <c r="E395" t="s">
        <v>718</v>
      </c>
      <c r="F395" t="s">
        <v>703</v>
      </c>
      <c r="G395" t="str">
        <f>+VLOOKUP(F395,[1]Explore!$B:$I,8,0)</f>
        <v>Corporate HY USD - Industry</v>
      </c>
      <c r="H395" t="s">
        <v>704</v>
      </c>
      <c r="I395" t="str">
        <f>+VLOOKUP(H395,[1]Explore!$A:$I,9,0)</f>
        <v>Corporate HY USD - Industry</v>
      </c>
      <c r="J395" t="str">
        <f t="shared" si="12"/>
        <v>OK</v>
      </c>
      <c r="K395" t="str">
        <f t="shared" si="13"/>
        <v>Corporate HY USD - Industry</v>
      </c>
      <c r="L395" t="s">
        <v>188</v>
      </c>
      <c r="M395" t="str">
        <f>_xlfn.IFNA(VLOOKUP(K395,'Mapping DEF'!A:C,2,0),"")</f>
        <v>Spread</v>
      </c>
      <c r="N395" t="str">
        <f>+_xlfn.IFNA(VLOOKUP(M395,'Mapping DEF'!B:C,2,FALSE),"")</f>
        <v>Spread</v>
      </c>
      <c r="O395" t="s">
        <v>2773</v>
      </c>
    </row>
    <row r="396" spans="1:15" x14ac:dyDescent="0.25">
      <c r="A396" t="s">
        <v>1346</v>
      </c>
      <c r="B396" t="s">
        <v>1347</v>
      </c>
      <c r="C396">
        <v>2528</v>
      </c>
      <c r="D396" t="s">
        <v>1348</v>
      </c>
      <c r="E396" t="s">
        <v>705</v>
      </c>
      <c r="F396" t="s">
        <v>441</v>
      </c>
      <c r="G396" t="str">
        <f>+VLOOKUP(F396,[1]Explore!$B:$I,8,0)</f>
        <v>Corporate IG USD - Industry</v>
      </c>
      <c r="H396" t="s">
        <v>706</v>
      </c>
      <c r="I396" t="e">
        <f>+VLOOKUP(H396,[1]Explore!$A:$I,9,0)</f>
        <v>#N/A</v>
      </c>
      <c r="J396" t="str">
        <f t="shared" si="12"/>
        <v>OK</v>
      </c>
      <c r="K396" t="str">
        <f t="shared" si="13"/>
        <v>Corporate IG USD - Industry</v>
      </c>
      <c r="L396" t="s">
        <v>188</v>
      </c>
      <c r="M396" t="str">
        <f>_xlfn.IFNA(VLOOKUP(K396,'Mapping DEF'!A:C,2,0),"")</f>
        <v>Spread</v>
      </c>
      <c r="N396" t="str">
        <f>+_xlfn.IFNA(VLOOKUP(M396,'Mapping DEF'!B:C,2,FALSE),"")</f>
        <v>Spread</v>
      </c>
      <c r="O396" t="s">
        <v>2778</v>
      </c>
    </row>
    <row r="397" spans="1:15" x14ac:dyDescent="0.25">
      <c r="A397" t="s">
        <v>1346</v>
      </c>
      <c r="B397" t="s">
        <v>1347</v>
      </c>
      <c r="C397">
        <v>2528</v>
      </c>
      <c r="D397" t="s">
        <v>1348</v>
      </c>
      <c r="E397" t="s">
        <v>707</v>
      </c>
      <c r="F397" t="s">
        <v>2185</v>
      </c>
      <c r="G397" t="str">
        <f>+VLOOKUP(F397,[1]Explore!$B:$I,8,0)</f>
        <v>Equity Implied Volatility</v>
      </c>
      <c r="H397" t="s">
        <v>708</v>
      </c>
      <c r="I397" t="e">
        <f>+VLOOKUP(H397,[1]Explore!$A:$I,9,0)</f>
        <v>#N/A</v>
      </c>
      <c r="J397" t="str">
        <f t="shared" si="12"/>
        <v>OK</v>
      </c>
      <c r="K397" t="str">
        <f t="shared" si="13"/>
        <v>Equity Implied Volatility</v>
      </c>
      <c r="L397" t="s">
        <v>27</v>
      </c>
      <c r="M397" t="str">
        <f>_xlfn.IFNA(VLOOKUP(K397,'Mapping DEF'!A:C,2,0),"")</f>
        <v>Equity Derivatives</v>
      </c>
      <c r="N397" t="str">
        <f>+_xlfn.IFNA(VLOOKUP(M397,'Mapping DEF'!B:C,2,FALSE),"")</f>
        <v>Equity</v>
      </c>
      <c r="O397" t="s">
        <v>2753</v>
      </c>
    </row>
    <row r="398" spans="1:15" x14ac:dyDescent="0.25">
      <c r="A398" t="s">
        <v>1375</v>
      </c>
      <c r="B398" t="s">
        <v>1376</v>
      </c>
      <c r="C398">
        <v>2530</v>
      </c>
      <c r="D398" t="s">
        <v>1348</v>
      </c>
      <c r="E398" t="s">
        <v>580</v>
      </c>
      <c r="F398" t="s">
        <v>19</v>
      </c>
      <c r="G398" t="str">
        <f>+VLOOKUP(F398,[1]Explore!$B:$I,8,0)</f>
        <v>Govt USD</v>
      </c>
      <c r="H398" t="s">
        <v>20</v>
      </c>
      <c r="I398" t="str">
        <f>+VLOOKUP(H398,[1]Explore!$A:$I,9,0)</f>
        <v>Govt USD</v>
      </c>
      <c r="J398" t="str">
        <f t="shared" si="12"/>
        <v>OK</v>
      </c>
      <c r="K398" t="str">
        <f t="shared" si="13"/>
        <v>Govt USD</v>
      </c>
      <c r="L398" t="s">
        <v>8</v>
      </c>
      <c r="M398" t="str">
        <f>_xlfn.IFNA(VLOOKUP(K398,'Mapping DEF'!A:C,2,0),"")</f>
        <v>Curve (Local)</v>
      </c>
      <c r="N398" t="str">
        <f>+_xlfn.IFNA(VLOOKUP(M398,'Mapping DEF'!B:C,2,FALSE),"")</f>
        <v>Term Structure</v>
      </c>
      <c r="O398" t="s">
        <v>2780</v>
      </c>
    </row>
    <row r="399" spans="1:15" x14ac:dyDescent="0.25">
      <c r="A399" t="s">
        <v>1375</v>
      </c>
      <c r="B399" t="s">
        <v>1376</v>
      </c>
      <c r="C399">
        <v>2530</v>
      </c>
      <c r="D399" t="s">
        <v>1348</v>
      </c>
      <c r="E399" t="s">
        <v>719</v>
      </c>
      <c r="F399" t="s">
        <v>258</v>
      </c>
      <c r="G399" t="str">
        <f>+VLOOKUP(F399,[1]Explore!$B:$I,8,0)</f>
        <v>USD Inflation</v>
      </c>
      <c r="H399" t="s">
        <v>259</v>
      </c>
      <c r="I399" t="str">
        <f>+VLOOKUP(H399,[1]Explore!$A:$I,9,0)</f>
        <v>USD Inflation</v>
      </c>
      <c r="J399" t="str">
        <f t="shared" si="12"/>
        <v>OK</v>
      </c>
      <c r="K399" t="str">
        <f t="shared" si="13"/>
        <v>USD Inflation</v>
      </c>
      <c r="L399" t="s">
        <v>8</v>
      </c>
      <c r="M399" t="str">
        <f>_xlfn.IFNA(VLOOKUP(K399,'Mapping DEF'!A:C,2,0),"")</f>
        <v>Inflation</v>
      </c>
      <c r="N399" t="str">
        <f>+_xlfn.IFNA(VLOOKUP(M399,'Mapping DEF'!B:C,2,FALSE),"")</f>
        <v>Other</v>
      </c>
      <c r="O399" t="s">
        <v>2791</v>
      </c>
    </row>
    <row r="400" spans="1:15" x14ac:dyDescent="0.25">
      <c r="A400" t="s">
        <v>1375</v>
      </c>
      <c r="B400" t="s">
        <v>1376</v>
      </c>
      <c r="C400">
        <v>2530</v>
      </c>
      <c r="D400" t="s">
        <v>1348</v>
      </c>
      <c r="E400" t="s">
        <v>720</v>
      </c>
      <c r="F400" t="s">
        <v>268</v>
      </c>
      <c r="G400" t="str">
        <f>+VLOOKUP(F400,[1]Explore!$B:$I,8,0)</f>
        <v>Alternative - Commodity</v>
      </c>
      <c r="H400" t="s">
        <v>269</v>
      </c>
      <c r="I400" t="str">
        <f>+VLOOKUP(H400,[1]Explore!$A:$I,9,0)</f>
        <v>Alternative - Commodity</v>
      </c>
      <c r="J400" t="str">
        <f t="shared" si="12"/>
        <v>OK</v>
      </c>
      <c r="K400" t="str">
        <f t="shared" si="13"/>
        <v>Alternative - Commodity</v>
      </c>
      <c r="L400" t="s">
        <v>70</v>
      </c>
      <c r="M400" t="str">
        <f>_xlfn.IFNA(VLOOKUP(K400,'Mapping DEF'!A:C,2,0),"")</f>
        <v>Alternative</v>
      </c>
      <c r="N400" t="str">
        <f>+_xlfn.IFNA(VLOOKUP(M400,'Mapping DEF'!B:C,2,FALSE),"")</f>
        <v>Other</v>
      </c>
      <c r="O400" t="s">
        <v>2801</v>
      </c>
    </row>
    <row r="401" spans="1:15" x14ac:dyDescent="0.25">
      <c r="A401" t="s">
        <v>1375</v>
      </c>
      <c r="B401" t="s">
        <v>1376</v>
      </c>
      <c r="C401">
        <v>2530</v>
      </c>
      <c r="D401" t="s">
        <v>1348</v>
      </c>
      <c r="E401" t="s">
        <v>721</v>
      </c>
      <c r="F401" t="s">
        <v>593</v>
      </c>
      <c r="G401" t="str">
        <f>+VLOOKUP(F401,[1]Explore!$B:$I,8,0)</f>
        <v>Corporate IG USD - Industry</v>
      </c>
      <c r="H401" t="s">
        <v>594</v>
      </c>
      <c r="I401" t="str">
        <f>+VLOOKUP(H401,[1]Explore!$A:$I,9,0)</f>
        <v>Corporate IG USD - Industry</v>
      </c>
      <c r="J401" t="str">
        <f t="shared" si="12"/>
        <v>OK</v>
      </c>
      <c r="K401" t="str">
        <f t="shared" si="13"/>
        <v>Corporate IG USD - Industry</v>
      </c>
      <c r="L401" t="s">
        <v>188</v>
      </c>
      <c r="M401" t="str">
        <f>_xlfn.IFNA(VLOOKUP(K401,'Mapping DEF'!A:C,2,0),"")</f>
        <v>Spread</v>
      </c>
      <c r="N401" t="str">
        <f>+_xlfn.IFNA(VLOOKUP(M401,'Mapping DEF'!B:C,2,FALSE),"")</f>
        <v>Spread</v>
      </c>
      <c r="O401" t="s">
        <v>2788</v>
      </c>
    </row>
    <row r="402" spans="1:15" x14ac:dyDescent="0.25">
      <c r="A402" t="s">
        <v>1375</v>
      </c>
      <c r="B402" t="s">
        <v>1376</v>
      </c>
      <c r="C402">
        <v>2530</v>
      </c>
      <c r="D402" t="s">
        <v>1348</v>
      </c>
      <c r="E402" t="s">
        <v>722</v>
      </c>
      <c r="F402" t="s">
        <v>2944</v>
      </c>
      <c r="G402" t="str">
        <f>+VLOOKUP(F402,[1]Explore!$B:$I,8,0)</f>
        <v>JPY</v>
      </c>
      <c r="H402" t="s">
        <v>138</v>
      </c>
      <c r="I402" t="str">
        <f>+VLOOKUP(H402,[1]Explore!$A:$I,9,0)</f>
        <v>JPY</v>
      </c>
      <c r="J402" t="str">
        <f t="shared" si="12"/>
        <v>OK</v>
      </c>
      <c r="K402" t="str">
        <f t="shared" si="13"/>
        <v>JPY</v>
      </c>
      <c r="L402" t="s">
        <v>75</v>
      </c>
      <c r="M402" t="str">
        <f>_xlfn.IFNA(VLOOKUP(K402,'Mapping DEF'!A:C,2,0),"")</f>
        <v>FX</v>
      </c>
      <c r="N402" t="str">
        <f>+_xlfn.IFNA(VLOOKUP(M402,'Mapping DEF'!B:C,2,FALSE),"")</f>
        <v>FX</v>
      </c>
      <c r="O402" t="s">
        <v>2810</v>
      </c>
    </row>
    <row r="403" spans="1:15" x14ac:dyDescent="0.25">
      <c r="A403" t="s">
        <v>1375</v>
      </c>
      <c r="B403" t="s">
        <v>1376</v>
      </c>
      <c r="C403">
        <v>2530</v>
      </c>
      <c r="D403" t="s">
        <v>1348</v>
      </c>
      <c r="E403" t="s">
        <v>723</v>
      </c>
      <c r="F403" t="s">
        <v>206</v>
      </c>
      <c r="G403" t="e">
        <f>+VLOOKUP(F403,[1]Explore!$B:$I,8,0)</f>
        <v>#N/A</v>
      </c>
      <c r="H403" t="s">
        <v>206</v>
      </c>
      <c r="I403" t="e">
        <f>+VLOOKUP(H403,[1]Explore!$A:$I,9,0)</f>
        <v>#N/A</v>
      </c>
      <c r="J403" t="str">
        <f t="shared" si="12"/>
        <v>BOTH #N/A</v>
      </c>
      <c r="K403" t="str">
        <f t="shared" si="13"/>
        <v>Dollar Index</v>
      </c>
      <c r="L403" t="s">
        <v>2930</v>
      </c>
      <c r="M403" t="str">
        <f>_xlfn.IFNA(VLOOKUP(K403,'Mapping DEF'!A:C,2,0),"")</f>
        <v>Index Level</v>
      </c>
      <c r="N403" t="str">
        <f>+_xlfn.IFNA(VLOOKUP(M403,'Mapping DEF'!B:C,2,FALSE),"")</f>
        <v>Other</v>
      </c>
      <c r="O403" t="s">
        <v>2801</v>
      </c>
    </row>
    <row r="404" spans="1:15" x14ac:dyDescent="0.25">
      <c r="A404" t="s">
        <v>1375</v>
      </c>
      <c r="B404" t="s">
        <v>1376</v>
      </c>
      <c r="C404">
        <v>2530</v>
      </c>
      <c r="D404" t="s">
        <v>1348</v>
      </c>
      <c r="E404" t="s">
        <v>724</v>
      </c>
      <c r="F404" t="s">
        <v>2156</v>
      </c>
      <c r="G404" t="str">
        <f>+VLOOKUP(F404,[1]Explore!$B:$I,8,0)</f>
        <v>Equity Implied Volatility</v>
      </c>
      <c r="H404" t="s">
        <v>141</v>
      </c>
      <c r="I404" t="str">
        <f>+VLOOKUP(H404,[1]Explore!$A:$I,9,0)</f>
        <v>Equity Implied Volatility</v>
      </c>
      <c r="J404" t="str">
        <f t="shared" si="12"/>
        <v>OK</v>
      </c>
      <c r="K404" t="str">
        <f t="shared" si="13"/>
        <v>Equity Implied Volatility</v>
      </c>
      <c r="L404" t="s">
        <v>27</v>
      </c>
      <c r="M404" t="str">
        <f>_xlfn.IFNA(VLOOKUP(K404,'Mapping DEF'!A:C,2,0),"")</f>
        <v>Equity Derivatives</v>
      </c>
      <c r="N404" t="str">
        <f>+_xlfn.IFNA(VLOOKUP(M404,'Mapping DEF'!B:C,2,FALSE),"")</f>
        <v>Equity</v>
      </c>
      <c r="O404" t="s">
        <v>2768</v>
      </c>
    </row>
    <row r="405" spans="1:15" x14ac:dyDescent="0.25">
      <c r="A405" t="s">
        <v>1375</v>
      </c>
      <c r="B405" t="s">
        <v>1376</v>
      </c>
      <c r="C405">
        <v>2530</v>
      </c>
      <c r="D405" t="s">
        <v>1348</v>
      </c>
      <c r="E405" t="s">
        <v>725</v>
      </c>
      <c r="F405" t="s">
        <v>2157</v>
      </c>
      <c r="G405" t="str">
        <f>+VLOOKUP(F405,[1]Explore!$B:$I,8,0)</f>
        <v>Equity Implied Volatility</v>
      </c>
      <c r="H405" t="s">
        <v>37</v>
      </c>
      <c r="I405" t="str">
        <f>+VLOOKUP(H405,[1]Explore!$A:$I,9,0)</f>
        <v>Equity Implied Volatility</v>
      </c>
      <c r="J405" t="str">
        <f t="shared" si="12"/>
        <v>OK</v>
      </c>
      <c r="K405" t="str">
        <f t="shared" si="13"/>
        <v>Equity Implied Volatility</v>
      </c>
      <c r="L405" t="s">
        <v>27</v>
      </c>
      <c r="M405" t="str">
        <f>_xlfn.IFNA(VLOOKUP(K405,'Mapping DEF'!A:C,2,0),"")</f>
        <v>Equity Derivatives</v>
      </c>
      <c r="N405" t="str">
        <f>+_xlfn.IFNA(VLOOKUP(M405,'Mapping DEF'!B:C,2,FALSE),"")</f>
        <v>Equity</v>
      </c>
      <c r="O405" t="s">
        <v>2803</v>
      </c>
    </row>
    <row r="406" spans="1:15" x14ac:dyDescent="0.25">
      <c r="A406" t="s">
        <v>1413</v>
      </c>
      <c r="B406" t="s">
        <v>1414</v>
      </c>
      <c r="C406">
        <v>2489</v>
      </c>
      <c r="D406" t="s">
        <v>1394</v>
      </c>
      <c r="E406" t="s">
        <v>670</v>
      </c>
      <c r="F406" t="s">
        <v>19</v>
      </c>
      <c r="G406" t="str">
        <f>+VLOOKUP(F406,[1]Explore!$B:$I,8,0)</f>
        <v>Govt USD</v>
      </c>
      <c r="H406" t="s">
        <v>20</v>
      </c>
      <c r="I406" t="str">
        <f>+VLOOKUP(H406,[1]Explore!$A:$I,9,0)</f>
        <v>Govt USD</v>
      </c>
      <c r="J406" t="str">
        <f t="shared" si="12"/>
        <v>OK</v>
      </c>
      <c r="K406" t="str">
        <f t="shared" si="13"/>
        <v>Govt USD</v>
      </c>
      <c r="L406" t="s">
        <v>8</v>
      </c>
      <c r="M406" t="str">
        <f>_xlfn.IFNA(VLOOKUP(K406,'Mapping DEF'!A:C,2,0),"")</f>
        <v>Curve (Local)</v>
      </c>
      <c r="N406" t="str">
        <f>+_xlfn.IFNA(VLOOKUP(M406,'Mapping DEF'!B:C,2,FALSE),"")</f>
        <v>Term Structure</v>
      </c>
      <c r="O406" t="s">
        <v>2769</v>
      </c>
    </row>
    <row r="407" spans="1:15" x14ac:dyDescent="0.25">
      <c r="A407" t="s">
        <v>1413</v>
      </c>
      <c r="B407" t="s">
        <v>1414</v>
      </c>
      <c r="C407">
        <v>2489</v>
      </c>
      <c r="D407" t="s">
        <v>1394</v>
      </c>
      <c r="E407" t="s">
        <v>714</v>
      </c>
      <c r="F407" t="s">
        <v>258</v>
      </c>
      <c r="G407" t="str">
        <f>+VLOOKUP(F407,[1]Explore!$B:$I,8,0)</f>
        <v>USD Inflation</v>
      </c>
      <c r="H407" t="s">
        <v>259</v>
      </c>
      <c r="I407" t="str">
        <f>+VLOOKUP(H407,[1]Explore!$A:$I,9,0)</f>
        <v>USD Inflation</v>
      </c>
      <c r="J407" t="str">
        <f t="shared" si="12"/>
        <v>OK</v>
      </c>
      <c r="K407" t="str">
        <f t="shared" si="13"/>
        <v>USD Inflation</v>
      </c>
      <c r="L407" t="s">
        <v>8</v>
      </c>
      <c r="M407" t="str">
        <f>_xlfn.IFNA(VLOOKUP(K407,'Mapping DEF'!A:C,2,0),"")</f>
        <v>Inflation</v>
      </c>
      <c r="N407" t="str">
        <f>+_xlfn.IFNA(VLOOKUP(M407,'Mapping DEF'!B:C,2,FALSE),"")</f>
        <v>Other</v>
      </c>
      <c r="O407" t="s">
        <v>2778</v>
      </c>
    </row>
    <row r="408" spans="1:15" x14ac:dyDescent="0.25">
      <c r="A408" t="s">
        <v>1413</v>
      </c>
      <c r="B408" t="s">
        <v>1414</v>
      </c>
      <c r="C408">
        <v>2489</v>
      </c>
      <c r="D408" t="s">
        <v>1394</v>
      </c>
      <c r="E408" t="s">
        <v>329</v>
      </c>
      <c r="F408" t="s">
        <v>268</v>
      </c>
      <c r="G408" t="str">
        <f>+VLOOKUP(F408,[1]Explore!$B:$I,8,0)</f>
        <v>Alternative - Commodity</v>
      </c>
      <c r="H408" t="s">
        <v>269</v>
      </c>
      <c r="I408" t="str">
        <f>+VLOOKUP(H408,[1]Explore!$A:$I,9,0)</f>
        <v>Alternative - Commodity</v>
      </c>
      <c r="J408" t="str">
        <f t="shared" si="12"/>
        <v>OK</v>
      </c>
      <c r="K408" t="str">
        <f t="shared" si="13"/>
        <v>Alternative - Commodity</v>
      </c>
      <c r="L408" t="s">
        <v>70</v>
      </c>
      <c r="M408" t="str">
        <f>_xlfn.IFNA(VLOOKUP(K408,'Mapping DEF'!A:C,2,0),"")</f>
        <v>Alternative</v>
      </c>
      <c r="N408" t="str">
        <f>+_xlfn.IFNA(VLOOKUP(M408,'Mapping DEF'!B:C,2,FALSE),"")</f>
        <v>Other</v>
      </c>
      <c r="O408" t="s">
        <v>2770</v>
      </c>
    </row>
    <row r="409" spans="1:15" x14ac:dyDescent="0.25">
      <c r="A409" t="s">
        <v>1413</v>
      </c>
      <c r="B409" t="s">
        <v>1414</v>
      </c>
      <c r="C409">
        <v>2489</v>
      </c>
      <c r="D409" t="s">
        <v>1394</v>
      </c>
      <c r="E409" t="s">
        <v>674</v>
      </c>
      <c r="F409" t="s">
        <v>675</v>
      </c>
      <c r="G409" t="str">
        <f>+VLOOKUP(F409,[1]Explore!$B:$I,8,0)</f>
        <v>Alternative - Commodity</v>
      </c>
      <c r="H409" t="s">
        <v>676</v>
      </c>
      <c r="I409" t="str">
        <f>+VLOOKUP(H409,[1]Explore!$A:$I,9,0)</f>
        <v>Alternative - Commodity</v>
      </c>
      <c r="J409" t="str">
        <f t="shared" si="12"/>
        <v>OK</v>
      </c>
      <c r="K409" t="str">
        <f t="shared" si="13"/>
        <v>Alternative - Commodity</v>
      </c>
      <c r="L409" t="s">
        <v>70</v>
      </c>
      <c r="M409" t="str">
        <f>_xlfn.IFNA(VLOOKUP(K409,'Mapping DEF'!A:C,2,0),"")</f>
        <v>Alternative</v>
      </c>
      <c r="N409" t="str">
        <f>+_xlfn.IFNA(VLOOKUP(M409,'Mapping DEF'!B:C,2,FALSE),"")</f>
        <v>Other</v>
      </c>
      <c r="O409" t="s">
        <v>2792</v>
      </c>
    </row>
    <row r="410" spans="1:15" x14ac:dyDescent="0.25">
      <c r="A410" t="s">
        <v>1413</v>
      </c>
      <c r="B410" t="s">
        <v>1414</v>
      </c>
      <c r="C410">
        <v>2489</v>
      </c>
      <c r="D410" t="s">
        <v>1394</v>
      </c>
      <c r="E410" t="s">
        <v>677</v>
      </c>
      <c r="F410" t="s">
        <v>678</v>
      </c>
      <c r="G410" t="str">
        <f>+VLOOKUP(F410,[1]Explore!$B:$I,8,0)</f>
        <v>Spread - Municipals</v>
      </c>
      <c r="H410" t="s">
        <v>679</v>
      </c>
      <c r="I410" t="str">
        <f>+VLOOKUP(H410,[1]Explore!$A:$I,9,0)</f>
        <v>Spread - Municipals</v>
      </c>
      <c r="J410" t="str">
        <f t="shared" si="12"/>
        <v>OK</v>
      </c>
      <c r="K410" t="str">
        <f t="shared" si="13"/>
        <v>Spread - Municipals</v>
      </c>
      <c r="L410" t="s">
        <v>188</v>
      </c>
      <c r="M410" t="str">
        <f>_xlfn.IFNA(VLOOKUP(K410,'Mapping DEF'!A:C,2,0),"")</f>
        <v>Spread</v>
      </c>
      <c r="N410" t="str">
        <f>+_xlfn.IFNA(VLOOKUP(M410,'Mapping DEF'!B:C,2,FALSE),"")</f>
        <v>Spread</v>
      </c>
      <c r="O410" t="s">
        <v>2790</v>
      </c>
    </row>
    <row r="411" spans="1:15" x14ac:dyDescent="0.25">
      <c r="A411" t="s">
        <v>1413</v>
      </c>
      <c r="B411" t="s">
        <v>1414</v>
      </c>
      <c r="C411">
        <v>2489</v>
      </c>
      <c r="D411" t="s">
        <v>1394</v>
      </c>
      <c r="E411" t="s">
        <v>554</v>
      </c>
      <c r="F411" t="s">
        <v>2944</v>
      </c>
      <c r="G411" t="str">
        <f>+VLOOKUP(F411,[1]Explore!$B:$I,8,0)</f>
        <v>JPY</v>
      </c>
      <c r="H411" t="s">
        <v>138</v>
      </c>
      <c r="I411" t="str">
        <f>+VLOOKUP(H411,[1]Explore!$A:$I,9,0)</f>
        <v>JPY</v>
      </c>
      <c r="J411" t="str">
        <f t="shared" si="12"/>
        <v>OK</v>
      </c>
      <c r="K411" t="str">
        <f t="shared" si="13"/>
        <v>JPY</v>
      </c>
      <c r="L411" t="s">
        <v>75</v>
      </c>
      <c r="M411" t="str">
        <f>_xlfn.IFNA(VLOOKUP(K411,'Mapping DEF'!A:C,2,0),"")</f>
        <v>FX</v>
      </c>
      <c r="N411" t="str">
        <f>+_xlfn.IFNA(VLOOKUP(M411,'Mapping DEF'!B:C,2,FALSE),"")</f>
        <v>FX</v>
      </c>
      <c r="O411" t="s">
        <v>2757</v>
      </c>
    </row>
    <row r="412" spans="1:15" x14ac:dyDescent="0.25">
      <c r="A412" t="s">
        <v>1413</v>
      </c>
      <c r="B412" t="s">
        <v>1414</v>
      </c>
      <c r="C412">
        <v>2489</v>
      </c>
      <c r="D412" t="s">
        <v>1394</v>
      </c>
      <c r="E412" t="s">
        <v>371</v>
      </c>
      <c r="F412" t="s">
        <v>206</v>
      </c>
      <c r="G412" t="e">
        <f>+VLOOKUP(F412,[1]Explore!$B:$I,8,0)</f>
        <v>#N/A</v>
      </c>
      <c r="H412" t="s">
        <v>206</v>
      </c>
      <c r="I412" t="e">
        <f>+VLOOKUP(H412,[1]Explore!$A:$I,9,0)</f>
        <v>#N/A</v>
      </c>
      <c r="J412" t="str">
        <f t="shared" si="12"/>
        <v>BOTH #N/A</v>
      </c>
      <c r="K412" t="str">
        <f t="shared" si="13"/>
        <v>Dollar Index</v>
      </c>
      <c r="L412" t="s">
        <v>2930</v>
      </c>
      <c r="M412" t="str">
        <f>_xlfn.IFNA(VLOOKUP(K412,'Mapping DEF'!A:C,2,0),"")</f>
        <v>Index Level</v>
      </c>
      <c r="N412" t="str">
        <f>+_xlfn.IFNA(VLOOKUP(M412,'Mapping DEF'!B:C,2,FALSE),"")</f>
        <v>Other</v>
      </c>
      <c r="O412" t="s">
        <v>2759</v>
      </c>
    </row>
    <row r="413" spans="1:15" x14ac:dyDescent="0.25">
      <c r="A413" t="s">
        <v>1413</v>
      </c>
      <c r="B413" t="s">
        <v>1414</v>
      </c>
      <c r="C413">
        <v>2489</v>
      </c>
      <c r="D413" t="s">
        <v>1394</v>
      </c>
      <c r="E413" t="s">
        <v>680</v>
      </c>
      <c r="F413" t="s">
        <v>392</v>
      </c>
      <c r="G413" t="str">
        <f>+VLOOKUP(F413,[1]Explore!$B:$I,8,0)</f>
        <v>Equity Implied Volatility</v>
      </c>
      <c r="H413" t="s">
        <v>392</v>
      </c>
      <c r="I413" t="str">
        <f>+VLOOKUP(H413,[1]Explore!$A:$I,9,0)</f>
        <v>Equity Implied Volatility</v>
      </c>
      <c r="J413" t="str">
        <f t="shared" si="12"/>
        <v>OK</v>
      </c>
      <c r="K413" t="str">
        <f t="shared" si="13"/>
        <v>Equity Implied Volatility</v>
      </c>
      <c r="L413" t="s">
        <v>27</v>
      </c>
      <c r="M413" t="str">
        <f>_xlfn.IFNA(VLOOKUP(K413,'Mapping DEF'!A:C,2,0),"")</f>
        <v>Equity Derivatives</v>
      </c>
      <c r="N413" t="str">
        <f>+_xlfn.IFNA(VLOOKUP(M413,'Mapping DEF'!B:C,2,FALSE),"")</f>
        <v>Equity</v>
      </c>
      <c r="O413" t="s">
        <v>2759</v>
      </c>
    </row>
    <row r="414" spans="1:15" x14ac:dyDescent="0.25">
      <c r="A414" t="s">
        <v>1413</v>
      </c>
      <c r="B414" t="s">
        <v>1414</v>
      </c>
      <c r="C414">
        <v>2489</v>
      </c>
      <c r="D414" t="s">
        <v>1394</v>
      </c>
      <c r="E414" t="s">
        <v>681</v>
      </c>
      <c r="F414" t="s">
        <v>2168</v>
      </c>
      <c r="G414" t="str">
        <f>+VLOOKUP(F414,[1]Explore!$B:$I,8,0)</f>
        <v>Equity Implied Volatility</v>
      </c>
      <c r="H414" t="s">
        <v>43</v>
      </c>
      <c r="I414" t="str">
        <f>+VLOOKUP(H414,[1]Explore!$A:$I,9,0)</f>
        <v>Equity Implied Volatility</v>
      </c>
      <c r="J414" t="str">
        <f t="shared" si="12"/>
        <v>OK</v>
      </c>
      <c r="K414" t="str">
        <f t="shared" si="13"/>
        <v>Equity Implied Volatility</v>
      </c>
      <c r="L414" t="s">
        <v>27</v>
      </c>
      <c r="M414" t="str">
        <f>_xlfn.IFNA(VLOOKUP(K414,'Mapping DEF'!A:C,2,0),"")</f>
        <v>Equity Derivatives</v>
      </c>
      <c r="N414" t="str">
        <f>+_xlfn.IFNA(VLOOKUP(M414,'Mapping DEF'!B:C,2,FALSE),"")</f>
        <v>Equity</v>
      </c>
      <c r="O414" t="s">
        <v>2771</v>
      </c>
    </row>
    <row r="415" spans="1:15" x14ac:dyDescent="0.25">
      <c r="A415" t="s">
        <v>1413</v>
      </c>
      <c r="B415" t="s">
        <v>1414</v>
      </c>
      <c r="C415">
        <v>2489</v>
      </c>
      <c r="D415" t="s">
        <v>1415</v>
      </c>
      <c r="E415" t="s">
        <v>682</v>
      </c>
      <c r="F415" t="s">
        <v>2940</v>
      </c>
      <c r="G415" t="str">
        <f>+VLOOKUP(F415,[1]Explore!$B:$I,8,0)</f>
        <v>Equity Implied Volatility</v>
      </c>
      <c r="H415" t="s">
        <v>55</v>
      </c>
      <c r="I415" t="str">
        <f>+VLOOKUP(H415,[1]Explore!$A:$I,9,0)</f>
        <v>Equity Implied Volatility</v>
      </c>
      <c r="J415" t="str">
        <f t="shared" si="12"/>
        <v>OK</v>
      </c>
      <c r="K415" t="str">
        <f t="shared" si="13"/>
        <v>Equity Implied Volatility</v>
      </c>
      <c r="L415" t="s">
        <v>27</v>
      </c>
      <c r="M415" t="str">
        <f>_xlfn.IFNA(VLOOKUP(K415,'Mapping DEF'!A:C,2,0),"")</f>
        <v>Equity Derivatives</v>
      </c>
      <c r="N415" t="str">
        <f>+_xlfn.IFNA(VLOOKUP(M415,'Mapping DEF'!B:C,2,FALSE),"")</f>
        <v>Equity</v>
      </c>
      <c r="O415" t="s">
        <v>2772</v>
      </c>
    </row>
    <row r="416" spans="1:15" x14ac:dyDescent="0.25">
      <c r="A416" t="s">
        <v>1413</v>
      </c>
      <c r="B416" t="s">
        <v>1414</v>
      </c>
      <c r="C416">
        <v>2489</v>
      </c>
      <c r="D416" t="s">
        <v>1415</v>
      </c>
      <c r="E416" t="s">
        <v>683</v>
      </c>
      <c r="F416" t="s">
        <v>684</v>
      </c>
      <c r="G416" t="str">
        <f>+VLOOKUP(F416,[1]Explore!$B:$I,8,0)</f>
        <v>Corporate HY USD - Industry</v>
      </c>
      <c r="H416" t="s">
        <v>685</v>
      </c>
      <c r="I416" t="str">
        <f>+VLOOKUP(H416,[1]Explore!$A:$I,9,0)</f>
        <v>Corporate HY USD - Industry</v>
      </c>
      <c r="J416" t="str">
        <f t="shared" si="12"/>
        <v>OK</v>
      </c>
      <c r="K416" t="str">
        <f t="shared" si="13"/>
        <v>Corporate HY USD - Industry</v>
      </c>
      <c r="L416" t="s">
        <v>188</v>
      </c>
      <c r="M416" t="str">
        <f>_xlfn.IFNA(VLOOKUP(K416,'Mapping DEF'!A:C,2,0),"")</f>
        <v>Spread</v>
      </c>
      <c r="N416" t="str">
        <f>+_xlfn.IFNA(VLOOKUP(M416,'Mapping DEF'!B:C,2,FALSE),"")</f>
        <v>Spread</v>
      </c>
      <c r="O416" t="s">
        <v>2773</v>
      </c>
    </row>
    <row r="417" spans="1:15" x14ac:dyDescent="0.25">
      <c r="A417" t="s">
        <v>1413</v>
      </c>
      <c r="B417" t="s">
        <v>1414</v>
      </c>
      <c r="C417">
        <v>2489</v>
      </c>
      <c r="D417" t="s">
        <v>1415</v>
      </c>
      <c r="E417" t="s">
        <v>606</v>
      </c>
      <c r="F417" t="s">
        <v>19</v>
      </c>
      <c r="G417" t="str">
        <f>+VLOOKUP(F417,[1]Explore!$B:$I,8,0)</f>
        <v>Govt USD</v>
      </c>
      <c r="H417" t="s">
        <v>20</v>
      </c>
      <c r="I417" t="str">
        <f>+VLOOKUP(H417,[1]Explore!$A:$I,9,0)</f>
        <v>Govt USD</v>
      </c>
      <c r="J417" t="str">
        <f t="shared" si="12"/>
        <v>OK</v>
      </c>
      <c r="K417" t="str">
        <f t="shared" si="13"/>
        <v>Govt USD</v>
      </c>
      <c r="L417" t="s">
        <v>8</v>
      </c>
      <c r="M417" t="str">
        <f>_xlfn.IFNA(VLOOKUP(K417,'Mapping DEF'!A:C,2,0),"")</f>
        <v>Curve (Local)</v>
      </c>
      <c r="N417" t="str">
        <f>+_xlfn.IFNA(VLOOKUP(M417,'Mapping DEF'!B:C,2,FALSE),"")</f>
        <v>Term Structure</v>
      </c>
      <c r="O417" t="s">
        <v>2752</v>
      </c>
    </row>
    <row r="418" spans="1:15" x14ac:dyDescent="0.25">
      <c r="A418" t="s">
        <v>1413</v>
      </c>
      <c r="B418" t="s">
        <v>1414</v>
      </c>
      <c r="C418">
        <v>2489</v>
      </c>
      <c r="D418" t="s">
        <v>1415</v>
      </c>
      <c r="E418" t="s">
        <v>729</v>
      </c>
      <c r="F418" t="s">
        <v>258</v>
      </c>
      <c r="G418" t="str">
        <f>+VLOOKUP(F418,[1]Explore!$B:$I,8,0)</f>
        <v>USD Inflation</v>
      </c>
      <c r="H418" t="s">
        <v>259</v>
      </c>
      <c r="I418" t="str">
        <f>+VLOOKUP(H418,[1]Explore!$A:$I,9,0)</f>
        <v>USD Inflation</v>
      </c>
      <c r="J418" t="str">
        <f t="shared" si="12"/>
        <v>OK</v>
      </c>
      <c r="K418" t="str">
        <f t="shared" si="13"/>
        <v>USD Inflation</v>
      </c>
      <c r="L418" t="s">
        <v>8</v>
      </c>
      <c r="M418" t="str">
        <f>_xlfn.IFNA(VLOOKUP(K418,'Mapping DEF'!A:C,2,0),"")</f>
        <v>Inflation</v>
      </c>
      <c r="N418" t="str">
        <f>+_xlfn.IFNA(VLOOKUP(M418,'Mapping DEF'!B:C,2,FALSE),"")</f>
        <v>Other</v>
      </c>
      <c r="O418" t="s">
        <v>2788</v>
      </c>
    </row>
    <row r="419" spans="1:15" x14ac:dyDescent="0.25">
      <c r="A419" t="s">
        <v>1413</v>
      </c>
      <c r="B419" t="s">
        <v>1414</v>
      </c>
      <c r="C419">
        <v>2489</v>
      </c>
      <c r="D419" t="s">
        <v>1415</v>
      </c>
      <c r="E419" t="s">
        <v>730</v>
      </c>
      <c r="F419" t="s">
        <v>731</v>
      </c>
      <c r="G419" t="str">
        <f>+VLOOKUP(F419,[1]Explore!$B:$I,8,0)</f>
        <v>Alternative - Commodity</v>
      </c>
      <c r="H419" t="s">
        <v>732</v>
      </c>
      <c r="I419" t="str">
        <f>+VLOOKUP(H419,[1]Explore!$A:$I,9,0)</f>
        <v>Alternative - Commodity</v>
      </c>
      <c r="J419" t="str">
        <f t="shared" si="12"/>
        <v>OK</v>
      </c>
      <c r="K419" t="str">
        <f t="shared" si="13"/>
        <v>Alternative - Commodity</v>
      </c>
      <c r="L419" t="s">
        <v>70</v>
      </c>
      <c r="M419" t="str">
        <f>_xlfn.IFNA(VLOOKUP(K419,'Mapping DEF'!A:C,2,0),"")</f>
        <v>Alternative</v>
      </c>
      <c r="N419" t="str">
        <f>+_xlfn.IFNA(VLOOKUP(M419,'Mapping DEF'!B:C,2,FALSE),"")</f>
        <v>Other</v>
      </c>
      <c r="O419" t="s">
        <v>2798</v>
      </c>
    </row>
    <row r="420" spans="1:15" x14ac:dyDescent="0.25">
      <c r="A420" t="s">
        <v>1413</v>
      </c>
      <c r="B420" t="s">
        <v>1414</v>
      </c>
      <c r="C420">
        <v>2489</v>
      </c>
      <c r="D420" t="s">
        <v>1415</v>
      </c>
      <c r="E420" t="s">
        <v>733</v>
      </c>
      <c r="F420" t="s">
        <v>734</v>
      </c>
      <c r="G420" t="str">
        <f>+VLOOKUP(F420,[1]Explore!$B:$I,8,0)</f>
        <v>Corporate HY USD - Industry</v>
      </c>
      <c r="H420" t="s">
        <v>735</v>
      </c>
      <c r="I420" t="str">
        <f>+VLOOKUP(H420,[1]Explore!$A:$I,9,0)</f>
        <v>Corporate HY USD - Industry</v>
      </c>
      <c r="J420" t="str">
        <f t="shared" si="12"/>
        <v>OK</v>
      </c>
      <c r="K420" t="str">
        <f t="shared" si="13"/>
        <v>Corporate HY USD - Industry</v>
      </c>
      <c r="L420" t="s">
        <v>188</v>
      </c>
      <c r="M420" t="str">
        <f>_xlfn.IFNA(VLOOKUP(K420,'Mapping DEF'!A:C,2,0),"")</f>
        <v>Spread</v>
      </c>
      <c r="N420" t="str">
        <f>+_xlfn.IFNA(VLOOKUP(M420,'Mapping DEF'!B:C,2,FALSE),"")</f>
        <v>Spread</v>
      </c>
      <c r="O420" t="s">
        <v>2756</v>
      </c>
    </row>
    <row r="421" spans="1:15" x14ac:dyDescent="0.25">
      <c r="A421" t="s">
        <v>1413</v>
      </c>
      <c r="B421" t="s">
        <v>1414</v>
      </c>
      <c r="C421">
        <v>2489</v>
      </c>
      <c r="D421" t="s">
        <v>1415</v>
      </c>
      <c r="E421" t="s">
        <v>368</v>
      </c>
      <c r="F421" t="s">
        <v>369</v>
      </c>
      <c r="G421" t="e">
        <f>+VLOOKUP(F421,[1]Explore!$B:$I,8,0)</f>
        <v>#N/A</v>
      </c>
      <c r="H421" t="s">
        <v>370</v>
      </c>
      <c r="I421" t="str">
        <f>+VLOOKUP(H421,[1]Explore!$A:$I,9,0)</f>
        <v>Emerging Currency</v>
      </c>
      <c r="J421" t="str">
        <f t="shared" si="12"/>
        <v>OK</v>
      </c>
      <c r="K421" t="str">
        <f t="shared" si="13"/>
        <v>Emerging Currency</v>
      </c>
      <c r="L421" t="s">
        <v>75</v>
      </c>
      <c r="M421" t="str">
        <f>_xlfn.IFNA(VLOOKUP(K421,'Mapping DEF'!A:C,2,0),"")</f>
        <v>FX</v>
      </c>
      <c r="N421" t="str">
        <f>+_xlfn.IFNA(VLOOKUP(M421,'Mapping DEF'!B:C,2,FALSE),"")</f>
        <v>FX</v>
      </c>
      <c r="O421" t="s">
        <v>2753</v>
      </c>
    </row>
    <row r="422" spans="1:15" x14ac:dyDescent="0.25">
      <c r="A422" t="s">
        <v>1413</v>
      </c>
      <c r="B422" t="s">
        <v>1414</v>
      </c>
      <c r="C422">
        <v>2489</v>
      </c>
      <c r="D422" t="s">
        <v>1415</v>
      </c>
      <c r="E422" t="s">
        <v>736</v>
      </c>
      <c r="F422" t="s">
        <v>2156</v>
      </c>
      <c r="G422" t="str">
        <f>+VLOOKUP(F422,[1]Explore!$B:$I,8,0)</f>
        <v>Equity Implied Volatility</v>
      </c>
      <c r="H422" t="s">
        <v>141</v>
      </c>
      <c r="I422" t="str">
        <f>+VLOOKUP(H422,[1]Explore!$A:$I,9,0)</f>
        <v>Equity Implied Volatility</v>
      </c>
      <c r="J422" t="str">
        <f t="shared" si="12"/>
        <v>OK</v>
      </c>
      <c r="K422" t="str">
        <f t="shared" si="13"/>
        <v>Equity Implied Volatility</v>
      </c>
      <c r="L422" t="s">
        <v>27</v>
      </c>
      <c r="M422" t="str">
        <f>_xlfn.IFNA(VLOOKUP(K422,'Mapping DEF'!A:C,2,0),"")</f>
        <v>Equity Derivatives</v>
      </c>
      <c r="N422" t="str">
        <f>+_xlfn.IFNA(VLOOKUP(M422,'Mapping DEF'!B:C,2,FALSE),"")</f>
        <v>Equity</v>
      </c>
      <c r="O422" t="s">
        <v>2771</v>
      </c>
    </row>
    <row r="423" spans="1:15" x14ac:dyDescent="0.25">
      <c r="A423" t="s">
        <v>1413</v>
      </c>
      <c r="B423" t="s">
        <v>1414</v>
      </c>
      <c r="C423">
        <v>2489</v>
      </c>
      <c r="D423" t="s">
        <v>1415</v>
      </c>
      <c r="E423" t="s">
        <v>737</v>
      </c>
      <c r="F423" t="s">
        <v>2187</v>
      </c>
      <c r="G423" t="str">
        <f>+VLOOKUP(F423,[1]Explore!$B:$I,8,0)</f>
        <v>Alternative - Index</v>
      </c>
      <c r="H423" t="s">
        <v>738</v>
      </c>
      <c r="I423" t="e">
        <f>+VLOOKUP(H423,[1]Explore!$A:$I,9,0)</f>
        <v>#N/A</v>
      </c>
      <c r="J423" t="str">
        <f t="shared" si="12"/>
        <v>OK</v>
      </c>
      <c r="K423" t="str">
        <f t="shared" si="13"/>
        <v>Alternative - Index</v>
      </c>
      <c r="L423" t="s">
        <v>27</v>
      </c>
      <c r="M423" t="str">
        <f>_xlfn.IFNA(VLOOKUP(K423,'Mapping DEF'!A:C,2,0),"")</f>
        <v>Alternative</v>
      </c>
      <c r="N423" t="str">
        <f>+_xlfn.IFNA(VLOOKUP(M423,'Mapping DEF'!B:C,2,FALSE),"")</f>
        <v>Other</v>
      </c>
      <c r="O423" t="s">
        <v>2763</v>
      </c>
    </row>
    <row r="424" spans="1:15" x14ac:dyDescent="0.25">
      <c r="A424" t="s">
        <v>1435</v>
      </c>
      <c r="B424" t="s">
        <v>1436</v>
      </c>
      <c r="C424">
        <v>2102</v>
      </c>
      <c r="D424" t="s">
        <v>1415</v>
      </c>
      <c r="E424" t="s">
        <v>739</v>
      </c>
      <c r="F424" t="s">
        <v>10</v>
      </c>
      <c r="G424" t="str">
        <f>+VLOOKUP(F424,[1]Explore!$B:$I,8,0)</f>
        <v>Govt USD</v>
      </c>
      <c r="H424" t="s">
        <v>11</v>
      </c>
      <c r="I424" t="str">
        <f>+VLOOKUP(H424,[1]Explore!$A:$I,9,0)</f>
        <v>Govt USD</v>
      </c>
      <c r="J424" t="str">
        <f t="shared" si="12"/>
        <v>OK</v>
      </c>
      <c r="K424" t="str">
        <f t="shared" si="13"/>
        <v>Govt USD</v>
      </c>
      <c r="L424" t="s">
        <v>8</v>
      </c>
      <c r="M424" t="str">
        <f>_xlfn.IFNA(VLOOKUP(K424,'Mapping DEF'!A:C,2,0),"")</f>
        <v>Curve (Local)</v>
      </c>
      <c r="N424" t="str">
        <f>+_xlfn.IFNA(VLOOKUP(M424,'Mapping DEF'!B:C,2,FALSE),"")</f>
        <v>Term Structure</v>
      </c>
      <c r="O424" t="s">
        <v>2815</v>
      </c>
    </row>
    <row r="425" spans="1:15" x14ac:dyDescent="0.25">
      <c r="A425" t="s">
        <v>1435</v>
      </c>
      <c r="B425" t="s">
        <v>1436</v>
      </c>
      <c r="C425">
        <v>2102</v>
      </c>
      <c r="D425" t="s">
        <v>1415</v>
      </c>
      <c r="E425" t="s">
        <v>740</v>
      </c>
      <c r="F425" t="s">
        <v>126</v>
      </c>
      <c r="G425" t="str">
        <f>+VLOOKUP(F425,[1]Explore!$B:$I,8,0)</f>
        <v>USD Inflation</v>
      </c>
      <c r="H425" t="s">
        <v>127</v>
      </c>
      <c r="I425" t="str">
        <f>+VLOOKUP(H425,[1]Explore!$A:$I,9,0)</f>
        <v>USD Inflation</v>
      </c>
      <c r="J425" t="str">
        <f t="shared" si="12"/>
        <v>OK</v>
      </c>
      <c r="K425" t="str">
        <f t="shared" si="13"/>
        <v>USD Inflation</v>
      </c>
      <c r="L425" t="s">
        <v>8</v>
      </c>
      <c r="M425" t="str">
        <f>_xlfn.IFNA(VLOOKUP(K425,'Mapping DEF'!A:C,2,0),"")</f>
        <v>Inflation</v>
      </c>
      <c r="N425" t="str">
        <f>+_xlfn.IFNA(VLOOKUP(M425,'Mapping DEF'!B:C,2,FALSE),"")</f>
        <v>Other</v>
      </c>
      <c r="O425" t="s">
        <v>2774</v>
      </c>
    </row>
    <row r="426" spans="1:15" x14ac:dyDescent="0.25">
      <c r="A426" t="s">
        <v>1435</v>
      </c>
      <c r="B426" t="s">
        <v>1436</v>
      </c>
      <c r="C426">
        <v>2102</v>
      </c>
      <c r="D426" t="s">
        <v>1415</v>
      </c>
      <c r="E426" t="s">
        <v>741</v>
      </c>
      <c r="F426" t="s">
        <v>130</v>
      </c>
      <c r="G426" t="str">
        <f>+VLOOKUP(F426,[1]Explore!$B:$I,8,0)</f>
        <v>Govt EUR (Ger)</v>
      </c>
      <c r="H426" t="s">
        <v>131</v>
      </c>
      <c r="I426" t="str">
        <f>+VLOOKUP(H426,[1]Explore!$A:$I,9,0)</f>
        <v>Govt EUR (Ger)</v>
      </c>
      <c r="J426" t="str">
        <f t="shared" si="12"/>
        <v>OK</v>
      </c>
      <c r="K426" t="str">
        <f t="shared" si="13"/>
        <v>Govt EUR (Ger)</v>
      </c>
      <c r="L426" t="s">
        <v>8</v>
      </c>
      <c r="M426" t="str">
        <f>_xlfn.IFNA(VLOOKUP(K426,'Mapping DEF'!A:C,2,0),"")</f>
        <v>Curve (Local)</v>
      </c>
      <c r="N426" t="str">
        <f>+_xlfn.IFNA(VLOOKUP(M426,'Mapping DEF'!B:C,2,FALSE),"")</f>
        <v>Term Structure</v>
      </c>
      <c r="O426" t="s">
        <v>2769</v>
      </c>
    </row>
    <row r="427" spans="1:15" x14ac:dyDescent="0.25">
      <c r="A427" t="s">
        <v>1435</v>
      </c>
      <c r="B427" t="s">
        <v>1436</v>
      </c>
      <c r="C427">
        <v>2102</v>
      </c>
      <c r="D427" t="s">
        <v>1415</v>
      </c>
      <c r="E427" t="s">
        <v>554</v>
      </c>
      <c r="F427" t="s">
        <v>2944</v>
      </c>
      <c r="G427" t="str">
        <f>+VLOOKUP(F427,[1]Explore!$B:$I,8,0)</f>
        <v>JPY</v>
      </c>
      <c r="H427" t="s">
        <v>138</v>
      </c>
      <c r="I427" t="str">
        <f>+VLOOKUP(H427,[1]Explore!$A:$I,9,0)</f>
        <v>JPY</v>
      </c>
      <c r="J427" t="str">
        <f t="shared" si="12"/>
        <v>OK</v>
      </c>
      <c r="K427" t="str">
        <f t="shared" si="13"/>
        <v>JPY</v>
      </c>
      <c r="L427" t="s">
        <v>75</v>
      </c>
      <c r="M427" t="str">
        <f>_xlfn.IFNA(VLOOKUP(K427,'Mapping DEF'!A:C,2,0),"")</f>
        <v>FX</v>
      </c>
      <c r="N427" t="str">
        <f>+_xlfn.IFNA(VLOOKUP(M427,'Mapping DEF'!B:C,2,FALSE),"")</f>
        <v>FX</v>
      </c>
      <c r="O427" t="s">
        <v>2757</v>
      </c>
    </row>
    <row r="428" spans="1:15" x14ac:dyDescent="0.25">
      <c r="A428" t="s">
        <v>1435</v>
      </c>
      <c r="B428" t="s">
        <v>1436</v>
      </c>
      <c r="C428">
        <v>2102</v>
      </c>
      <c r="D428" t="s">
        <v>1415</v>
      </c>
      <c r="E428" t="s">
        <v>742</v>
      </c>
      <c r="F428" t="s">
        <v>743</v>
      </c>
      <c r="G428" t="str">
        <f>+VLOOKUP(F428,[1]Explore!$B:$I,8,0)</f>
        <v>EUR Inflation</v>
      </c>
      <c r="H428" t="s">
        <v>744</v>
      </c>
      <c r="I428" t="str">
        <f>+VLOOKUP(H428,[1]Explore!$A:$I,9,0)</f>
        <v>EUR Inflation</v>
      </c>
      <c r="J428" t="str">
        <f t="shared" si="12"/>
        <v>OK</v>
      </c>
      <c r="K428" t="str">
        <f t="shared" si="13"/>
        <v>EUR Inflation</v>
      </c>
      <c r="L428" t="s">
        <v>8</v>
      </c>
      <c r="M428" t="str">
        <f>_xlfn.IFNA(VLOOKUP(K428,'Mapping DEF'!A:C,2,0),"")</f>
        <v>Inflation</v>
      </c>
      <c r="N428" t="str">
        <f>+_xlfn.IFNA(VLOOKUP(M428,'Mapping DEF'!B:C,2,FALSE),"")</f>
        <v>Other</v>
      </c>
      <c r="O428" t="s">
        <v>2786</v>
      </c>
    </row>
    <row r="429" spans="1:15" x14ac:dyDescent="0.25">
      <c r="A429" t="s">
        <v>1435</v>
      </c>
      <c r="B429" t="s">
        <v>1436</v>
      </c>
      <c r="C429">
        <v>2102</v>
      </c>
      <c r="D429" t="s">
        <v>1415</v>
      </c>
      <c r="E429" t="s">
        <v>745</v>
      </c>
      <c r="F429" t="s">
        <v>2156</v>
      </c>
      <c r="G429" t="str">
        <f>+VLOOKUP(F429,[1]Explore!$B:$I,8,0)</f>
        <v>Equity Implied Volatility</v>
      </c>
      <c r="H429" t="s">
        <v>141</v>
      </c>
      <c r="I429" t="str">
        <f>+VLOOKUP(H429,[1]Explore!$A:$I,9,0)</f>
        <v>Equity Implied Volatility</v>
      </c>
      <c r="J429" t="str">
        <f t="shared" si="12"/>
        <v>OK</v>
      </c>
      <c r="K429" t="str">
        <f t="shared" si="13"/>
        <v>Equity Implied Volatility</v>
      </c>
      <c r="L429" t="s">
        <v>27</v>
      </c>
      <c r="M429" t="str">
        <f>_xlfn.IFNA(VLOOKUP(K429,'Mapping DEF'!A:C,2,0),"")</f>
        <v>Equity Derivatives</v>
      </c>
      <c r="N429" t="str">
        <f>+_xlfn.IFNA(VLOOKUP(M429,'Mapping DEF'!B:C,2,FALSE),"")</f>
        <v>Equity</v>
      </c>
      <c r="O429" t="s">
        <v>2760</v>
      </c>
    </row>
    <row r="430" spans="1:15" x14ac:dyDescent="0.25">
      <c r="A430" t="s">
        <v>1435</v>
      </c>
      <c r="B430" t="s">
        <v>1436</v>
      </c>
      <c r="C430">
        <v>2102</v>
      </c>
      <c r="D430" t="s">
        <v>1415</v>
      </c>
      <c r="E430" t="s">
        <v>746</v>
      </c>
      <c r="F430" t="s">
        <v>2618</v>
      </c>
      <c r="G430" t="str">
        <f>+VLOOKUP(F430,[1]Explore!$B:$I,8,0)</f>
        <v>Equity Implied Volatility</v>
      </c>
      <c r="H430" t="s">
        <v>144</v>
      </c>
      <c r="I430" t="str">
        <f>+VLOOKUP(H430,[1]Explore!$A:$I,9,0)</f>
        <v>Equity Implied Volatility</v>
      </c>
      <c r="J430" t="str">
        <f t="shared" si="12"/>
        <v>OK</v>
      </c>
      <c r="K430" t="str">
        <f t="shared" si="13"/>
        <v>Equity Implied Volatility</v>
      </c>
      <c r="L430" t="s">
        <v>27</v>
      </c>
      <c r="M430" t="str">
        <f>_xlfn.IFNA(VLOOKUP(K430,'Mapping DEF'!A:C,2,0),"")</f>
        <v>Equity Derivatives</v>
      </c>
      <c r="N430" t="str">
        <f>+_xlfn.IFNA(VLOOKUP(M430,'Mapping DEF'!B:C,2,FALSE),"")</f>
        <v>Equity</v>
      </c>
      <c r="O430" t="s">
        <v>2816</v>
      </c>
    </row>
    <row r="431" spans="1:15" x14ac:dyDescent="0.25">
      <c r="A431" t="s">
        <v>1435</v>
      </c>
      <c r="B431" t="s">
        <v>1436</v>
      </c>
      <c r="C431">
        <v>2102</v>
      </c>
      <c r="D431" t="s">
        <v>1415</v>
      </c>
      <c r="E431" t="s">
        <v>747</v>
      </c>
      <c r="F431" t="s">
        <v>2188</v>
      </c>
      <c r="G431" t="str">
        <f>+VLOOKUP(F431,[1]Explore!$B:$I,8,0)</f>
        <v>Other - Index</v>
      </c>
      <c r="H431" t="s">
        <v>748</v>
      </c>
      <c r="I431" t="e">
        <f>+VLOOKUP(H431,[1]Explore!$A:$I,9,0)</f>
        <v>#N/A</v>
      </c>
      <c r="J431" t="str">
        <f t="shared" si="12"/>
        <v>OK</v>
      </c>
      <c r="K431" t="str">
        <f t="shared" si="13"/>
        <v>Other - Index</v>
      </c>
      <c r="L431" t="s">
        <v>188</v>
      </c>
      <c r="M431" t="str">
        <f>_xlfn.IFNA(VLOOKUP(K431,'Mapping DEF'!A:C,2,0),"")</f>
        <v>Other</v>
      </c>
      <c r="N431" t="str">
        <f>+_xlfn.IFNA(VLOOKUP(M431,'Mapping DEF'!B:C,2,FALSE),"")</f>
        <v>Other</v>
      </c>
      <c r="O431" t="s">
        <v>2759</v>
      </c>
    </row>
    <row r="432" spans="1:15" x14ac:dyDescent="0.25">
      <c r="A432" t="s">
        <v>1435</v>
      </c>
      <c r="B432" t="s">
        <v>1436</v>
      </c>
      <c r="C432">
        <v>2102</v>
      </c>
      <c r="D432" t="s">
        <v>1415</v>
      </c>
      <c r="E432" t="s">
        <v>749</v>
      </c>
      <c r="F432" t="s">
        <v>1224</v>
      </c>
      <c r="G432" t="str">
        <f>+VLOOKUP(F432,[1]Explore!$B:$I,8,0)</f>
        <v>Corporate IG USD - Market</v>
      </c>
      <c r="H432" t="s">
        <v>750</v>
      </c>
      <c r="I432" t="e">
        <f>+VLOOKUP(H432,[1]Explore!$A:$I,9,0)</f>
        <v>#N/A</v>
      </c>
      <c r="J432" t="str">
        <f t="shared" si="12"/>
        <v>OK</v>
      </c>
      <c r="K432" t="str">
        <f t="shared" si="13"/>
        <v>Corporate IG USD - Market</v>
      </c>
      <c r="L432" t="s">
        <v>8</v>
      </c>
      <c r="M432" t="str">
        <f>_xlfn.IFNA(VLOOKUP(K432,'Mapping DEF'!A:C,2,0),"")</f>
        <v>Spread</v>
      </c>
      <c r="N432" t="str">
        <f>+_xlfn.IFNA(VLOOKUP(M432,'Mapping DEF'!B:C,2,FALSE),"")</f>
        <v>Spread</v>
      </c>
      <c r="O432" t="s">
        <v>2791</v>
      </c>
    </row>
    <row r="433" spans="1:15" x14ac:dyDescent="0.25">
      <c r="A433" t="s">
        <v>1464</v>
      </c>
      <c r="B433" t="s">
        <v>1465</v>
      </c>
      <c r="C433">
        <v>2519</v>
      </c>
      <c r="D433" t="s">
        <v>1437</v>
      </c>
      <c r="E433" t="s">
        <v>751</v>
      </c>
      <c r="F433" t="s">
        <v>13</v>
      </c>
      <c r="G433" t="str">
        <f>+VLOOKUP(F433,[1]Explore!$B:$I,8,0)</f>
        <v>Govt USD</v>
      </c>
      <c r="H433" t="s">
        <v>14</v>
      </c>
      <c r="I433" t="str">
        <f>+VLOOKUP(H433,[1]Explore!$A:$I,9,0)</f>
        <v>Govt USD</v>
      </c>
      <c r="J433" t="str">
        <f t="shared" si="12"/>
        <v>OK</v>
      </c>
      <c r="K433" t="str">
        <f t="shared" si="13"/>
        <v>Govt USD</v>
      </c>
      <c r="L433" t="s">
        <v>8</v>
      </c>
      <c r="M433" t="str">
        <f>_xlfn.IFNA(VLOOKUP(K433,'Mapping DEF'!A:C,2,0),"")</f>
        <v>Curve (Local)</v>
      </c>
      <c r="N433" t="str">
        <f>+_xlfn.IFNA(VLOOKUP(M433,'Mapping DEF'!B:C,2,FALSE),"")</f>
        <v>Term Structure</v>
      </c>
      <c r="O433" t="s">
        <v>2769</v>
      </c>
    </row>
    <row r="434" spans="1:15" x14ac:dyDescent="0.25">
      <c r="A434" t="s">
        <v>1464</v>
      </c>
      <c r="B434" t="s">
        <v>1465</v>
      </c>
      <c r="C434">
        <v>2519</v>
      </c>
      <c r="D434" t="s">
        <v>1437</v>
      </c>
      <c r="E434" t="s">
        <v>580</v>
      </c>
      <c r="F434" t="s">
        <v>19</v>
      </c>
      <c r="G434" t="str">
        <f>+VLOOKUP(F434,[1]Explore!$B:$I,8,0)</f>
        <v>Govt USD</v>
      </c>
      <c r="H434" t="s">
        <v>20</v>
      </c>
      <c r="I434" t="str">
        <f>+VLOOKUP(H434,[1]Explore!$A:$I,9,0)</f>
        <v>Govt USD</v>
      </c>
      <c r="J434" t="str">
        <f t="shared" si="12"/>
        <v>OK</v>
      </c>
      <c r="K434" t="str">
        <f t="shared" si="13"/>
        <v>Govt USD</v>
      </c>
      <c r="L434" t="s">
        <v>8</v>
      </c>
      <c r="M434" t="str">
        <f>_xlfn.IFNA(VLOOKUP(K434,'Mapping DEF'!A:C,2,0),"")</f>
        <v>Curve (Local)</v>
      </c>
      <c r="N434" t="str">
        <f>+_xlfn.IFNA(VLOOKUP(M434,'Mapping DEF'!B:C,2,FALSE),"")</f>
        <v>Term Structure</v>
      </c>
      <c r="O434" t="s">
        <v>2780</v>
      </c>
    </row>
    <row r="435" spans="1:15" x14ac:dyDescent="0.25">
      <c r="A435" t="s">
        <v>1464</v>
      </c>
      <c r="B435" t="s">
        <v>1465</v>
      </c>
      <c r="C435">
        <v>2519</v>
      </c>
      <c r="D435" t="s">
        <v>1437</v>
      </c>
      <c r="E435" t="s">
        <v>714</v>
      </c>
      <c r="F435" t="s">
        <v>258</v>
      </c>
      <c r="G435" t="str">
        <f>+VLOOKUP(F435,[1]Explore!$B:$I,8,0)</f>
        <v>USD Inflation</v>
      </c>
      <c r="H435" t="s">
        <v>259</v>
      </c>
      <c r="I435" t="str">
        <f>+VLOOKUP(H435,[1]Explore!$A:$I,9,0)</f>
        <v>USD Inflation</v>
      </c>
      <c r="J435" t="str">
        <f t="shared" si="12"/>
        <v>OK</v>
      </c>
      <c r="K435" t="str">
        <f t="shared" si="13"/>
        <v>USD Inflation</v>
      </c>
      <c r="L435" t="s">
        <v>188</v>
      </c>
      <c r="M435" t="str">
        <f>_xlfn.IFNA(VLOOKUP(K435,'Mapping DEF'!A:C,2,0),"")</f>
        <v>Inflation</v>
      </c>
      <c r="N435" t="str">
        <f>+_xlfn.IFNA(VLOOKUP(M435,'Mapping DEF'!B:C,2,FALSE),"")</f>
        <v>Other</v>
      </c>
      <c r="O435" t="s">
        <v>2778</v>
      </c>
    </row>
    <row r="436" spans="1:15" x14ac:dyDescent="0.25">
      <c r="A436" t="s">
        <v>1464</v>
      </c>
      <c r="B436" t="s">
        <v>1465</v>
      </c>
      <c r="C436">
        <v>2519</v>
      </c>
      <c r="D436" t="s">
        <v>1437</v>
      </c>
      <c r="E436" t="s">
        <v>752</v>
      </c>
      <c r="F436" t="s">
        <v>753</v>
      </c>
      <c r="G436" t="e">
        <f>+VLOOKUP(F436,[1]Explore!$B:$I,8,0)</f>
        <v>#N/A</v>
      </c>
      <c r="H436" t="s">
        <v>754</v>
      </c>
      <c r="I436" t="e">
        <f>+VLOOKUP(H436,[1]Explore!$A:$I,9,0)</f>
        <v>#N/A</v>
      </c>
      <c r="J436" t="str">
        <f t="shared" si="12"/>
        <v>BOTH #N/A</v>
      </c>
      <c r="K436" t="str">
        <f t="shared" si="13"/>
        <v>Corporate IG USD - Other</v>
      </c>
      <c r="L436" t="s">
        <v>2650</v>
      </c>
      <c r="M436" t="str">
        <f>_xlfn.IFNA(VLOOKUP(K436,'Mapping DEF'!A:C,2,0),"")</f>
        <v>Spread</v>
      </c>
      <c r="N436" t="str">
        <f>+_xlfn.IFNA(VLOOKUP(M436,'Mapping DEF'!B:C,2,FALSE),"")</f>
        <v>Spread</v>
      </c>
      <c r="O436" t="s">
        <v>2774</v>
      </c>
    </row>
    <row r="437" spans="1:15" x14ac:dyDescent="0.25">
      <c r="A437" t="s">
        <v>1464</v>
      </c>
      <c r="B437" t="s">
        <v>1465</v>
      </c>
      <c r="C437">
        <v>2519</v>
      </c>
      <c r="D437" t="s">
        <v>1437</v>
      </c>
      <c r="E437" t="s">
        <v>755</v>
      </c>
      <c r="F437" t="s">
        <v>756</v>
      </c>
      <c r="G437" t="str">
        <f>+VLOOKUP(F437,[1]Explore!$B:$I,8,0)</f>
        <v>Spread Govt Peripheral EUR (ex ITA)</v>
      </c>
      <c r="H437" t="s">
        <v>757</v>
      </c>
      <c r="I437" t="str">
        <f>+VLOOKUP(H437,[1]Explore!$A:$I,9,0)</f>
        <v>Spread Govt Peripheral EUR (ex ITA)</v>
      </c>
      <c r="J437" t="str">
        <f t="shared" si="12"/>
        <v>OK</v>
      </c>
      <c r="K437" t="str">
        <f t="shared" si="13"/>
        <v>Spread Govt Peripheral EUR (ex ITA)</v>
      </c>
      <c r="L437" t="s">
        <v>27</v>
      </c>
      <c r="M437" t="str">
        <f>_xlfn.IFNA(VLOOKUP(K437,'Mapping DEF'!A:C,2,0),"")</f>
        <v>Spread Govt</v>
      </c>
      <c r="N437" t="str">
        <f>+_xlfn.IFNA(VLOOKUP(M437,'Mapping DEF'!B:C,2,FALSE),"")</f>
        <v>Term Structure</v>
      </c>
      <c r="O437" t="s">
        <v>2779</v>
      </c>
    </row>
    <row r="438" spans="1:15" x14ac:dyDescent="0.25">
      <c r="A438" t="s">
        <v>1464</v>
      </c>
      <c r="B438" t="s">
        <v>1465</v>
      </c>
      <c r="C438">
        <v>2519</v>
      </c>
      <c r="D438" t="s">
        <v>1437</v>
      </c>
      <c r="E438" t="s">
        <v>758</v>
      </c>
      <c r="F438" t="s">
        <v>183</v>
      </c>
      <c r="G438" t="str">
        <f>+VLOOKUP(F438,[1]Explore!$B:$I,8,0)</f>
        <v>Equity Implied Volatility</v>
      </c>
      <c r="H438" t="s">
        <v>184</v>
      </c>
      <c r="I438" t="str">
        <f>+VLOOKUP(H438,[1]Explore!$A:$I,9,0)</f>
        <v>Equity Implied Volatility</v>
      </c>
      <c r="J438" t="str">
        <f t="shared" si="12"/>
        <v>OK</v>
      </c>
      <c r="K438" t="str">
        <f t="shared" si="13"/>
        <v>Equity Implied Volatility</v>
      </c>
      <c r="L438" t="s">
        <v>70</v>
      </c>
      <c r="M438" t="str">
        <f>_xlfn.IFNA(VLOOKUP(K438,'Mapping DEF'!A:C,2,0),"")</f>
        <v>Equity Derivatives</v>
      </c>
      <c r="N438" t="str">
        <f>+_xlfn.IFNA(VLOOKUP(M438,'Mapping DEF'!B:C,2,FALSE),"")</f>
        <v>Equity</v>
      </c>
      <c r="O438" t="s">
        <v>2757</v>
      </c>
    </row>
    <row r="439" spans="1:15" x14ac:dyDescent="0.25">
      <c r="A439" t="s">
        <v>1490</v>
      </c>
      <c r="B439" t="s">
        <v>1491</v>
      </c>
      <c r="C439">
        <v>2104</v>
      </c>
      <c r="D439" t="s">
        <v>1492</v>
      </c>
      <c r="E439" t="s">
        <v>759</v>
      </c>
      <c r="F439" t="s">
        <v>760</v>
      </c>
      <c r="G439" t="str">
        <f>+VLOOKUP(F439,[1]Explore!$B:$I,8,0)</f>
        <v>Alternative - Commodity</v>
      </c>
      <c r="H439" t="s">
        <v>761</v>
      </c>
      <c r="I439" t="str">
        <f>+VLOOKUP(H439,[1]Explore!$A:$I,9,0)</f>
        <v>Alternative - Commodity</v>
      </c>
      <c r="J439" t="str">
        <f t="shared" si="12"/>
        <v>OK</v>
      </c>
      <c r="K439" t="str">
        <f t="shared" si="13"/>
        <v>Alternative - Commodity</v>
      </c>
      <c r="L439" t="s">
        <v>70</v>
      </c>
      <c r="M439" t="str">
        <f>_xlfn.IFNA(VLOOKUP(K439,'Mapping DEF'!A:C,2,0),"")</f>
        <v>Alternative</v>
      </c>
      <c r="N439" t="str">
        <f>+_xlfn.IFNA(VLOOKUP(M439,'Mapping DEF'!B:C,2,FALSE),"")</f>
        <v>Other</v>
      </c>
      <c r="O439" t="s">
        <v>2770</v>
      </c>
    </row>
    <row r="440" spans="1:15" x14ac:dyDescent="0.25">
      <c r="A440" t="s">
        <v>1490</v>
      </c>
      <c r="B440" t="s">
        <v>1491</v>
      </c>
      <c r="C440">
        <v>2104</v>
      </c>
      <c r="D440" t="s">
        <v>1492</v>
      </c>
      <c r="E440" t="s">
        <v>762</v>
      </c>
      <c r="F440" t="s">
        <v>413</v>
      </c>
      <c r="G440" t="str">
        <f>+VLOOKUP(F440,[1]Explore!$B:$I,8,0)</f>
        <v>Alternative - Commodity</v>
      </c>
      <c r="H440" t="s">
        <v>414</v>
      </c>
      <c r="I440" t="str">
        <f>+VLOOKUP(H440,[1]Explore!$A:$I,9,0)</f>
        <v>Alternative - Commodity</v>
      </c>
      <c r="J440" t="str">
        <f t="shared" si="12"/>
        <v>OK</v>
      </c>
      <c r="K440" t="str">
        <f t="shared" si="13"/>
        <v>Alternative - Commodity</v>
      </c>
      <c r="L440" t="s">
        <v>70</v>
      </c>
      <c r="M440" t="str">
        <f>_xlfn.IFNA(VLOOKUP(K440,'Mapping DEF'!A:C,2,0),"")</f>
        <v>Alternative</v>
      </c>
      <c r="N440" t="str">
        <f>+_xlfn.IFNA(VLOOKUP(M440,'Mapping DEF'!B:C,2,FALSE),"")</f>
        <v>Other</v>
      </c>
      <c r="O440" t="s">
        <v>2801</v>
      </c>
    </row>
    <row r="441" spans="1:15" x14ac:dyDescent="0.25">
      <c r="A441" t="s">
        <v>1490</v>
      </c>
      <c r="B441" t="s">
        <v>1491</v>
      </c>
      <c r="C441">
        <v>2104</v>
      </c>
      <c r="D441" t="s">
        <v>1492</v>
      </c>
      <c r="E441" t="s">
        <v>763</v>
      </c>
      <c r="F441" t="s">
        <v>455</v>
      </c>
      <c r="G441" t="str">
        <f>+VLOOKUP(F441,[1]Explore!$B:$I,8,0)</f>
        <v>Alternative - Commodity</v>
      </c>
      <c r="H441" t="s">
        <v>456</v>
      </c>
      <c r="I441" t="str">
        <f>+VLOOKUP(H441,[1]Explore!$A:$I,9,0)</f>
        <v>Alternative - Commodity</v>
      </c>
      <c r="J441" t="str">
        <f t="shared" si="12"/>
        <v>OK</v>
      </c>
      <c r="K441" t="str">
        <f t="shared" si="13"/>
        <v>Alternative - Commodity</v>
      </c>
      <c r="L441" t="s">
        <v>70</v>
      </c>
      <c r="M441" t="str">
        <f>_xlfn.IFNA(VLOOKUP(K441,'Mapping DEF'!A:C,2,0),"")</f>
        <v>Alternative</v>
      </c>
      <c r="N441" t="str">
        <f>+_xlfn.IFNA(VLOOKUP(M441,'Mapping DEF'!B:C,2,FALSE),"")</f>
        <v>Other</v>
      </c>
      <c r="O441" t="s">
        <v>2793</v>
      </c>
    </row>
    <row r="442" spans="1:15" x14ac:dyDescent="0.25">
      <c r="A442" t="s">
        <v>1490</v>
      </c>
      <c r="B442" t="s">
        <v>1491</v>
      </c>
      <c r="C442">
        <v>2104</v>
      </c>
      <c r="D442" t="s">
        <v>1492</v>
      </c>
      <c r="E442" t="s">
        <v>764</v>
      </c>
      <c r="F442" t="s">
        <v>765</v>
      </c>
      <c r="G442" t="str">
        <f>+VLOOKUP(F442,[1]Explore!$B:$I,8,0)</f>
        <v>Commodity</v>
      </c>
      <c r="H442" t="s">
        <v>766</v>
      </c>
      <c r="I442" t="str">
        <f>+VLOOKUP(H442,[1]Explore!$A:$I,9,0)</f>
        <v>Commodity</v>
      </c>
      <c r="J442" t="str">
        <f t="shared" si="12"/>
        <v>OK</v>
      </c>
      <c r="K442" t="str">
        <f t="shared" si="13"/>
        <v>Commodity</v>
      </c>
      <c r="L442" t="s">
        <v>8</v>
      </c>
      <c r="M442" t="str">
        <f>_xlfn.IFNA(VLOOKUP(K442,'Mapping DEF'!A:C,2,0),"")</f>
        <v>Alternative</v>
      </c>
      <c r="N442" t="str">
        <f>+_xlfn.IFNA(VLOOKUP(M442,'Mapping DEF'!B:C,2,FALSE),"")</f>
        <v>Other</v>
      </c>
      <c r="O442" t="s">
        <v>2794</v>
      </c>
    </row>
    <row r="443" spans="1:15" x14ac:dyDescent="0.25">
      <c r="A443" t="s">
        <v>1490</v>
      </c>
      <c r="B443" t="s">
        <v>1491</v>
      </c>
      <c r="C443">
        <v>2104</v>
      </c>
      <c r="D443" t="s">
        <v>1492</v>
      </c>
      <c r="E443" t="s">
        <v>767</v>
      </c>
      <c r="F443" t="s">
        <v>768</v>
      </c>
      <c r="G443" t="str">
        <f>+VLOOKUP(F443,[1]Explore!$B:$I,8,0)</f>
        <v>Govt Emerging Markets</v>
      </c>
      <c r="H443" t="s">
        <v>769</v>
      </c>
      <c r="I443" t="str">
        <f>+VLOOKUP(H443,[1]Explore!$A:$I,9,0)</f>
        <v>Govt Emerging Markets</v>
      </c>
      <c r="J443" t="str">
        <f t="shared" si="12"/>
        <v>OK</v>
      </c>
      <c r="K443" t="str">
        <f t="shared" si="13"/>
        <v>Govt Emerging Markets</v>
      </c>
      <c r="L443" t="s">
        <v>75</v>
      </c>
      <c r="M443" t="str">
        <f>_xlfn.IFNA(VLOOKUP(K443,'Mapping DEF'!A:C,2,0),"")</f>
        <v>Curve (Local)</v>
      </c>
      <c r="N443" t="str">
        <f>+_xlfn.IFNA(VLOOKUP(M443,'Mapping DEF'!B:C,2,FALSE),"")</f>
        <v>Term Structure</v>
      </c>
      <c r="O443" t="s">
        <v>2795</v>
      </c>
    </row>
    <row r="444" spans="1:15" x14ac:dyDescent="0.25">
      <c r="A444" t="s">
        <v>1490</v>
      </c>
      <c r="B444" t="s">
        <v>1491</v>
      </c>
      <c r="C444">
        <v>2104</v>
      </c>
      <c r="D444" t="s">
        <v>1492</v>
      </c>
      <c r="E444" t="s">
        <v>770</v>
      </c>
      <c r="F444" t="s">
        <v>389</v>
      </c>
      <c r="G444" t="e">
        <f>+VLOOKUP(F444,[1]Explore!$B:$I,8,0)</f>
        <v>#N/A</v>
      </c>
      <c r="H444" t="s">
        <v>390</v>
      </c>
      <c r="I444" t="str">
        <f>+VLOOKUP(H444,[1]Explore!$A:$I,9,0)</f>
        <v>Emerging Currency</v>
      </c>
      <c r="J444" t="str">
        <f t="shared" si="12"/>
        <v>OK</v>
      </c>
      <c r="K444" t="str">
        <f t="shared" si="13"/>
        <v>Emerging Currency</v>
      </c>
      <c r="L444" t="s">
        <v>8</v>
      </c>
      <c r="M444" t="str">
        <f>_xlfn.IFNA(VLOOKUP(K444,'Mapping DEF'!A:C,2,0),"")</f>
        <v>FX</v>
      </c>
      <c r="N444" t="str">
        <f>+_xlfn.IFNA(VLOOKUP(M444,'Mapping DEF'!B:C,2,FALSE),"")</f>
        <v>FX</v>
      </c>
      <c r="O444" t="s">
        <v>2793</v>
      </c>
    </row>
    <row r="445" spans="1:15" x14ac:dyDescent="0.25">
      <c r="A445" t="s">
        <v>1490</v>
      </c>
      <c r="B445" t="s">
        <v>1491</v>
      </c>
      <c r="C445">
        <v>2104</v>
      </c>
      <c r="D445" t="s">
        <v>1492</v>
      </c>
      <c r="E445" t="s">
        <v>771</v>
      </c>
      <c r="F445" t="s">
        <v>772</v>
      </c>
      <c r="G445" t="str">
        <f>+VLOOKUP(F445,[1]Explore!$B:$I,8,0)</f>
        <v>Other - Inflation</v>
      </c>
      <c r="H445" t="s">
        <v>773</v>
      </c>
      <c r="I445" t="str">
        <f>+VLOOKUP(H445,[1]Explore!$A:$I,9,0)</f>
        <v>Other - Inflation</v>
      </c>
      <c r="J445" t="str">
        <f t="shared" si="12"/>
        <v>OK</v>
      </c>
      <c r="K445" t="str">
        <f t="shared" si="13"/>
        <v>Other - Inflation</v>
      </c>
      <c r="L445" t="s">
        <v>8</v>
      </c>
      <c r="M445" t="str">
        <f>_xlfn.IFNA(VLOOKUP(K445,'Mapping DEF'!A:C,2,0),"")</f>
        <v>Other</v>
      </c>
      <c r="N445" t="str">
        <f>+_xlfn.IFNA(VLOOKUP(M445,'Mapping DEF'!B:C,2,FALSE),"")</f>
        <v>Other</v>
      </c>
      <c r="O445" t="s">
        <v>2796</v>
      </c>
    </row>
    <row r="446" spans="1:15" x14ac:dyDescent="0.25">
      <c r="A446" t="s">
        <v>1490</v>
      </c>
      <c r="B446" t="s">
        <v>1491</v>
      </c>
      <c r="C446">
        <v>2104</v>
      </c>
      <c r="D446" t="s">
        <v>1492</v>
      </c>
      <c r="E446" t="s">
        <v>338</v>
      </c>
      <c r="F446" t="s">
        <v>191</v>
      </c>
      <c r="G446" t="e">
        <f>+VLOOKUP(F446,[1]Explore!$B:$I,8,0)</f>
        <v>#N/A</v>
      </c>
      <c r="H446" t="s">
        <v>192</v>
      </c>
      <c r="I446" t="e">
        <f>+VLOOKUP(H446,[1]Explore!$A:$I,9,0)</f>
        <v>#N/A</v>
      </c>
      <c r="J446" t="str">
        <f t="shared" si="12"/>
        <v>BOTH #N/A</v>
      </c>
      <c r="K446" t="str">
        <f t="shared" si="13"/>
        <v>Time</v>
      </c>
      <c r="L446" t="s">
        <v>191</v>
      </c>
      <c r="M446" t="str">
        <f>_xlfn.IFNA(VLOOKUP(K446,'Mapping DEF'!A:C,2,0),"")</f>
        <v>Time</v>
      </c>
      <c r="N446" t="str">
        <f>+_xlfn.IFNA(VLOOKUP(M446,'Mapping DEF'!B:C,2,FALSE),"")</f>
        <v>Other</v>
      </c>
      <c r="O446" t="s">
        <v>2817</v>
      </c>
    </row>
    <row r="447" spans="1:15" x14ac:dyDescent="0.25">
      <c r="A447" t="s">
        <v>1490</v>
      </c>
      <c r="B447" t="s">
        <v>1491</v>
      </c>
      <c r="C447">
        <v>2104</v>
      </c>
      <c r="D447" t="s">
        <v>1492</v>
      </c>
      <c r="E447" t="s">
        <v>774</v>
      </c>
      <c r="F447" t="s">
        <v>775</v>
      </c>
      <c r="G447" t="e">
        <f>+VLOOKUP(F447,[1]Explore!$B:$I,8,0)</f>
        <v>#N/A</v>
      </c>
      <c r="H447" t="s">
        <v>776</v>
      </c>
      <c r="I447" t="e">
        <f>+VLOOKUP(H447,[1]Explore!$A:$I,9,0)</f>
        <v>#N/A</v>
      </c>
      <c r="J447" t="str">
        <f t="shared" si="12"/>
        <v>BOTH #N/A</v>
      </c>
      <c r="K447" t="str">
        <f t="shared" si="13"/>
        <v>Industrials</v>
      </c>
      <c r="L447" t="s">
        <v>1206</v>
      </c>
      <c r="M447" t="str">
        <f>_xlfn.IFNA(VLOOKUP(K447,'Mapping DEF'!A:C,2,0),"")</f>
        <v>Industry Allocation</v>
      </c>
      <c r="N447" t="str">
        <f>+_xlfn.IFNA(VLOOKUP(M447,'Mapping DEF'!B:C,2,FALSE),"")</f>
        <v>Equity</v>
      </c>
      <c r="O447" t="s">
        <v>2761</v>
      </c>
    </row>
    <row r="448" spans="1:15" x14ac:dyDescent="0.25">
      <c r="A448" t="s">
        <v>1490</v>
      </c>
      <c r="B448" t="s">
        <v>1491</v>
      </c>
      <c r="C448">
        <v>2104</v>
      </c>
      <c r="D448" t="s">
        <v>1492</v>
      </c>
      <c r="E448" t="s">
        <v>777</v>
      </c>
      <c r="F448" t="s">
        <v>750</v>
      </c>
      <c r="G448" t="str">
        <f>+VLOOKUP(F448,[1]Explore!$B:$I,8,0)</f>
        <v>Market</v>
      </c>
      <c r="H448" t="s">
        <v>778</v>
      </c>
      <c r="I448" t="e">
        <f>+VLOOKUP(H448,[1]Explore!$A:$I,9,0)</f>
        <v>#N/A</v>
      </c>
      <c r="J448" t="str">
        <f t="shared" si="12"/>
        <v>OK</v>
      </c>
      <c r="K448" t="str">
        <f t="shared" si="13"/>
        <v>Market</v>
      </c>
      <c r="L448" t="s">
        <v>188</v>
      </c>
      <c r="M448" t="str">
        <f>_xlfn.IFNA(VLOOKUP(K448,'Mapping DEF'!A:C,2,0),"")</f>
        <v>Style</v>
      </c>
      <c r="N448" t="str">
        <f>+_xlfn.IFNA(VLOOKUP(M448,'Mapping DEF'!B:C,2,FALSE),"")</f>
        <v>Equity</v>
      </c>
      <c r="O448" t="s">
        <v>2784</v>
      </c>
    </row>
    <row r="449" spans="1:15" x14ac:dyDescent="0.25">
      <c r="A449" t="s">
        <v>1490</v>
      </c>
      <c r="B449" t="s">
        <v>1491</v>
      </c>
      <c r="C449">
        <v>2104</v>
      </c>
      <c r="D449" t="s">
        <v>1492</v>
      </c>
      <c r="E449" t="s">
        <v>779</v>
      </c>
      <c r="F449" t="s">
        <v>780</v>
      </c>
      <c r="G449" t="str">
        <f>+VLOOKUP(F449,[1]Explore!$B:$I,8,0)</f>
        <v>Emerging Markets</v>
      </c>
      <c r="H449" t="s">
        <v>781</v>
      </c>
      <c r="I449" t="str">
        <f>+VLOOKUP(H449,[1]Explore!$A:$I,9,0)</f>
        <v>Spread Emerging Markets - Country</v>
      </c>
      <c r="J449" t="str">
        <f t="shared" si="12"/>
        <v>OK</v>
      </c>
      <c r="K449" t="str">
        <f t="shared" si="13"/>
        <v>Spread Emerging Markets - Country</v>
      </c>
      <c r="L449" t="s">
        <v>188</v>
      </c>
      <c r="M449" t="str">
        <f>_xlfn.IFNA(VLOOKUP(K449,'Mapping DEF'!A:C,2,0),"")</f>
        <v>Spread</v>
      </c>
      <c r="N449" t="str">
        <f>+_xlfn.IFNA(VLOOKUP(M449,'Mapping DEF'!B:C,2,FALSE),"")</f>
        <v>Spread</v>
      </c>
      <c r="O449" t="s">
        <v>2783</v>
      </c>
    </row>
    <row r="450" spans="1:15" x14ac:dyDescent="0.25">
      <c r="A450" t="s">
        <v>1490</v>
      </c>
      <c r="B450" t="s">
        <v>1491</v>
      </c>
      <c r="C450">
        <v>2104</v>
      </c>
      <c r="D450" t="s">
        <v>1492</v>
      </c>
      <c r="E450" t="s">
        <v>782</v>
      </c>
      <c r="F450" t="s">
        <v>783</v>
      </c>
      <c r="G450" t="str">
        <f>+VLOOKUP(F450,[1]Explore!$B:$I,8,0)</f>
        <v>Spread Emerging Markets - Country</v>
      </c>
      <c r="H450" t="s">
        <v>784</v>
      </c>
      <c r="I450" t="str">
        <f>+VLOOKUP(H450,[1]Explore!$A:$I,9,0)</f>
        <v>Spread Emerging Markets - Country</v>
      </c>
      <c r="J450" t="str">
        <f t="shared" si="12"/>
        <v>OK</v>
      </c>
      <c r="K450" t="str">
        <f t="shared" si="13"/>
        <v>Spread Emerging Markets - Country</v>
      </c>
      <c r="L450" t="s">
        <v>8</v>
      </c>
      <c r="M450" t="str">
        <f>_xlfn.IFNA(VLOOKUP(K450,'Mapping DEF'!A:C,2,0),"")</f>
        <v>Spread</v>
      </c>
      <c r="N450" t="str">
        <f>+_xlfn.IFNA(VLOOKUP(M450,'Mapping DEF'!B:C,2,FALSE),"")</f>
        <v>Spread</v>
      </c>
      <c r="O450" t="s">
        <v>2755</v>
      </c>
    </row>
    <row r="451" spans="1:15" x14ac:dyDescent="0.25">
      <c r="A451" t="s">
        <v>1490</v>
      </c>
      <c r="B451" t="s">
        <v>1491</v>
      </c>
      <c r="C451">
        <v>2104</v>
      </c>
      <c r="D451" t="s">
        <v>1492</v>
      </c>
      <c r="E451" t="s">
        <v>785</v>
      </c>
      <c r="F451" t="s">
        <v>772</v>
      </c>
      <c r="G451" t="str">
        <f>+VLOOKUP(F451,[1]Explore!$B:$I,8,0)</f>
        <v>Other - Inflation</v>
      </c>
      <c r="H451" t="s">
        <v>786</v>
      </c>
      <c r="I451" t="e">
        <f>+VLOOKUP(H451,[1]Explore!$A:$I,9,0)</f>
        <v>#N/A</v>
      </c>
      <c r="J451" t="str">
        <f t="shared" ref="J451:J514" si="14">IF(AND(ISNA(G451),ISNA(I451)),"BOTH #N/A","OK")</f>
        <v>OK</v>
      </c>
      <c r="K451" t="str">
        <f t="shared" ref="K451:K514" si="15">IFERROR(I451, IFERROR(G451, L451))</f>
        <v>Other - Inflation</v>
      </c>
      <c r="L451" t="s">
        <v>8</v>
      </c>
      <c r="M451" t="str">
        <f>_xlfn.IFNA(VLOOKUP(K451,'Mapping DEF'!A:C,2,0),"")</f>
        <v>Other</v>
      </c>
      <c r="N451" t="str">
        <f>+_xlfn.IFNA(VLOOKUP(M451,'Mapping DEF'!B:C,2,FALSE),"")</f>
        <v>Other</v>
      </c>
      <c r="O451" t="s">
        <v>2785</v>
      </c>
    </row>
    <row r="452" spans="1:15" x14ac:dyDescent="0.25">
      <c r="A452" t="s">
        <v>1530</v>
      </c>
      <c r="B452" t="s">
        <v>1531</v>
      </c>
      <c r="C452">
        <v>2498</v>
      </c>
      <c r="D452" t="s">
        <v>1532</v>
      </c>
      <c r="E452" t="s">
        <v>670</v>
      </c>
      <c r="F452" t="s">
        <v>19</v>
      </c>
      <c r="G452" t="str">
        <f>+VLOOKUP(F452,[1]Explore!$B:$I,8,0)</f>
        <v>Govt USD</v>
      </c>
      <c r="H452" t="s">
        <v>20</v>
      </c>
      <c r="I452" t="str">
        <f>+VLOOKUP(H452,[1]Explore!$A:$I,9,0)</f>
        <v>Govt USD</v>
      </c>
      <c r="J452" t="str">
        <f t="shared" si="14"/>
        <v>OK</v>
      </c>
      <c r="K452" t="str">
        <f t="shared" si="15"/>
        <v>Govt USD</v>
      </c>
      <c r="L452" t="s">
        <v>8</v>
      </c>
      <c r="M452" t="str">
        <f>_xlfn.IFNA(VLOOKUP(K452,'Mapping DEF'!A:C,2,0),"")</f>
        <v>Curve (Local)</v>
      </c>
      <c r="N452" t="str">
        <f>+_xlfn.IFNA(VLOOKUP(M452,'Mapping DEF'!B:C,2,FALSE),"")</f>
        <v>Term Structure</v>
      </c>
      <c r="O452" t="s">
        <v>2769</v>
      </c>
    </row>
    <row r="453" spans="1:15" x14ac:dyDescent="0.25">
      <c r="A453" t="s">
        <v>1530</v>
      </c>
      <c r="B453" t="s">
        <v>1531</v>
      </c>
      <c r="C453">
        <v>2498</v>
      </c>
      <c r="D453" t="s">
        <v>1532</v>
      </c>
      <c r="E453" t="s">
        <v>790</v>
      </c>
      <c r="F453" t="s">
        <v>791</v>
      </c>
      <c r="G453" t="str">
        <f>+VLOOKUP(F453,[1]Explore!$B:$I,8,0)</f>
        <v>USD Inflation</v>
      </c>
      <c r="H453" t="s">
        <v>792</v>
      </c>
      <c r="I453" t="str">
        <f>+VLOOKUP(H453,[1]Explore!$A:$I,9,0)</f>
        <v>USD Inflation</v>
      </c>
      <c r="J453" t="str">
        <f t="shared" si="14"/>
        <v>OK</v>
      </c>
      <c r="K453" t="str">
        <f t="shared" si="15"/>
        <v>USD Inflation</v>
      </c>
      <c r="L453" t="s">
        <v>70</v>
      </c>
      <c r="M453" t="str">
        <f>_xlfn.IFNA(VLOOKUP(K453,'Mapping DEF'!A:C,2,0),"")</f>
        <v>Inflation</v>
      </c>
      <c r="N453" t="str">
        <f>+_xlfn.IFNA(VLOOKUP(M453,'Mapping DEF'!B:C,2,FALSE),"")</f>
        <v>Other</v>
      </c>
      <c r="O453" t="s">
        <v>2797</v>
      </c>
    </row>
    <row r="454" spans="1:15" x14ac:dyDescent="0.25">
      <c r="A454" t="s">
        <v>1530</v>
      </c>
      <c r="B454" t="s">
        <v>1531</v>
      </c>
      <c r="C454">
        <v>2498</v>
      </c>
      <c r="D454" t="s">
        <v>1532</v>
      </c>
      <c r="E454" t="s">
        <v>540</v>
      </c>
      <c r="F454" t="s">
        <v>480</v>
      </c>
      <c r="G454" t="str">
        <f>+VLOOKUP(F454,[1]Explore!$B:$I,8,0)</f>
        <v>Alternative - Commodity</v>
      </c>
      <c r="H454" t="s">
        <v>481</v>
      </c>
      <c r="I454" t="str">
        <f>+VLOOKUP(H454,[1]Explore!$A:$I,9,0)</f>
        <v>Alternative - Commodity</v>
      </c>
      <c r="J454" t="str">
        <f t="shared" si="14"/>
        <v>OK</v>
      </c>
      <c r="K454" t="str">
        <f t="shared" si="15"/>
        <v>Alternative - Commodity</v>
      </c>
      <c r="L454" t="s">
        <v>8</v>
      </c>
      <c r="M454" t="str">
        <f>_xlfn.IFNA(VLOOKUP(K454,'Mapping DEF'!A:C,2,0),"")</f>
        <v>Alternative</v>
      </c>
      <c r="N454" t="str">
        <f>+_xlfn.IFNA(VLOOKUP(M454,'Mapping DEF'!B:C,2,FALSE),"")</f>
        <v>Other</v>
      </c>
      <c r="O454" t="s">
        <v>2753</v>
      </c>
    </row>
    <row r="455" spans="1:15" x14ac:dyDescent="0.25">
      <c r="A455" t="s">
        <v>1530</v>
      </c>
      <c r="B455" t="s">
        <v>1531</v>
      </c>
      <c r="C455">
        <v>2498</v>
      </c>
      <c r="D455" t="s">
        <v>1532</v>
      </c>
      <c r="E455" t="s">
        <v>793</v>
      </c>
      <c r="F455" t="s">
        <v>794</v>
      </c>
      <c r="G455" t="str">
        <f>+VLOOKUP(F455,[1]Explore!$B:$I,8,0)</f>
        <v>Govt Developed Other (AU, GB, JP, ...)</v>
      </c>
      <c r="H455" t="s">
        <v>795</v>
      </c>
      <c r="I455" t="str">
        <f>+VLOOKUP(H455,[1]Explore!$A:$I,9,0)</f>
        <v>Govt Developed Other (AU, GB, JP, ...)</v>
      </c>
      <c r="J455" t="str">
        <f t="shared" si="14"/>
        <v>OK</v>
      </c>
      <c r="K455" t="str">
        <f t="shared" si="15"/>
        <v>Govt Developed Other (AU, GB, JP, ...)</v>
      </c>
      <c r="L455" t="s">
        <v>75</v>
      </c>
      <c r="M455" t="str">
        <f>_xlfn.IFNA(VLOOKUP(K455,'Mapping DEF'!A:C,2,0),"")</f>
        <v>Curve (Local)</v>
      </c>
      <c r="N455" t="str">
        <f>+_xlfn.IFNA(VLOOKUP(M455,'Mapping DEF'!B:C,2,FALSE),"")</f>
        <v>Term Structure</v>
      </c>
      <c r="O455" t="s">
        <v>2818</v>
      </c>
    </row>
    <row r="456" spans="1:15" x14ac:dyDescent="0.25">
      <c r="A456" t="s">
        <v>1530</v>
      </c>
      <c r="B456" t="s">
        <v>1531</v>
      </c>
      <c r="C456">
        <v>2498</v>
      </c>
      <c r="D456" t="s">
        <v>1532</v>
      </c>
      <c r="E456" t="s">
        <v>796</v>
      </c>
      <c r="F456" t="s">
        <v>73</v>
      </c>
      <c r="G456" t="e">
        <f>+VLOOKUP(F456,[1]Explore!$B:$I,8,0)</f>
        <v>#N/A</v>
      </c>
      <c r="H456" t="s">
        <v>74</v>
      </c>
      <c r="I456" t="str">
        <f>+VLOOKUP(H456,[1]Explore!$A:$I,9,0)</f>
        <v>Emerging Currency</v>
      </c>
      <c r="J456" t="str">
        <f t="shared" si="14"/>
        <v>OK</v>
      </c>
      <c r="K456" t="str">
        <f t="shared" si="15"/>
        <v>Emerging Currency</v>
      </c>
      <c r="L456" t="s">
        <v>75</v>
      </c>
      <c r="M456" t="str">
        <f>_xlfn.IFNA(VLOOKUP(K456,'Mapping DEF'!A:C,2,0),"")</f>
        <v>FX</v>
      </c>
      <c r="N456" t="str">
        <f>+_xlfn.IFNA(VLOOKUP(M456,'Mapping DEF'!B:C,2,FALSE),"")</f>
        <v>FX</v>
      </c>
      <c r="O456" t="s">
        <v>2760</v>
      </c>
    </row>
    <row r="457" spans="1:15" x14ac:dyDescent="0.25">
      <c r="A457" t="s">
        <v>1530</v>
      </c>
      <c r="B457" t="s">
        <v>1531</v>
      </c>
      <c r="C457">
        <v>2498</v>
      </c>
      <c r="D457" t="s">
        <v>1532</v>
      </c>
      <c r="E457" t="s">
        <v>337</v>
      </c>
      <c r="F457" t="s">
        <v>2944</v>
      </c>
      <c r="G457" t="str">
        <f>+VLOOKUP(F457,[1]Explore!$B:$I,8,0)</f>
        <v>JPY</v>
      </c>
      <c r="H457" t="s">
        <v>138</v>
      </c>
      <c r="I457" t="str">
        <f>+VLOOKUP(H457,[1]Explore!$A:$I,9,0)</f>
        <v>JPY</v>
      </c>
      <c r="J457" t="str">
        <f t="shared" si="14"/>
        <v>OK</v>
      </c>
      <c r="K457" t="str">
        <f t="shared" si="15"/>
        <v>JPY</v>
      </c>
      <c r="L457" t="s">
        <v>75</v>
      </c>
      <c r="M457" t="str">
        <f>_xlfn.IFNA(VLOOKUP(K457,'Mapping DEF'!A:C,2,0),"")</f>
        <v>FX</v>
      </c>
      <c r="N457" t="str">
        <f>+_xlfn.IFNA(VLOOKUP(M457,'Mapping DEF'!B:C,2,FALSE),"")</f>
        <v>FX</v>
      </c>
      <c r="O457" t="s">
        <v>2770</v>
      </c>
    </row>
    <row r="458" spans="1:15" x14ac:dyDescent="0.25">
      <c r="A458" t="s">
        <v>1530</v>
      </c>
      <c r="B458" t="s">
        <v>1531</v>
      </c>
      <c r="C458">
        <v>2498</v>
      </c>
      <c r="D458" t="s">
        <v>1532</v>
      </c>
      <c r="E458" t="s">
        <v>797</v>
      </c>
      <c r="F458" t="s">
        <v>798</v>
      </c>
      <c r="G458" t="e">
        <f>+VLOOKUP(F458,[1]Explore!$B:$I,8,0)</f>
        <v>#N/A</v>
      </c>
      <c r="H458" t="s">
        <v>799</v>
      </c>
      <c r="I458" t="str">
        <f>+VLOOKUP(H458,[1]Explore!$A:$I,9,0)</f>
        <v>Emerging Currency</v>
      </c>
      <c r="J458" t="str">
        <f t="shared" si="14"/>
        <v>OK</v>
      </c>
      <c r="K458" t="str">
        <f t="shared" si="15"/>
        <v>Emerging Currency</v>
      </c>
      <c r="L458" t="s">
        <v>75</v>
      </c>
      <c r="M458" t="str">
        <f>_xlfn.IFNA(VLOOKUP(K458,'Mapping DEF'!A:C,2,0),"")</f>
        <v>FX</v>
      </c>
      <c r="N458" t="str">
        <f>+_xlfn.IFNA(VLOOKUP(M458,'Mapping DEF'!B:C,2,FALSE),"")</f>
        <v>FX</v>
      </c>
      <c r="O458" t="s">
        <v>2761</v>
      </c>
    </row>
    <row r="459" spans="1:15" x14ac:dyDescent="0.25">
      <c r="A459" t="s">
        <v>1530</v>
      </c>
      <c r="B459" t="s">
        <v>1531</v>
      </c>
      <c r="C459">
        <v>2498</v>
      </c>
      <c r="D459" t="s">
        <v>1532</v>
      </c>
      <c r="E459" t="s">
        <v>800</v>
      </c>
      <c r="F459" t="s">
        <v>801</v>
      </c>
      <c r="G459" t="e">
        <f>+VLOOKUP(F459,[1]Explore!$B:$I,8,0)</f>
        <v>#N/A</v>
      </c>
      <c r="H459" t="s">
        <v>802</v>
      </c>
      <c r="I459" t="str">
        <f>+VLOOKUP(H459,[1]Explore!$A:$I,9,0)</f>
        <v>Emerging Currency</v>
      </c>
      <c r="J459" t="str">
        <f t="shared" si="14"/>
        <v>OK</v>
      </c>
      <c r="K459" t="str">
        <f t="shared" si="15"/>
        <v>Emerging Currency</v>
      </c>
      <c r="L459" t="s">
        <v>188</v>
      </c>
      <c r="M459" t="str">
        <f>_xlfn.IFNA(VLOOKUP(K459,'Mapping DEF'!A:C,2,0),"")</f>
        <v>FX</v>
      </c>
      <c r="N459" t="str">
        <f>+_xlfn.IFNA(VLOOKUP(M459,'Mapping DEF'!B:C,2,FALSE),"")</f>
        <v>FX</v>
      </c>
      <c r="O459" t="s">
        <v>2819</v>
      </c>
    </row>
    <row r="460" spans="1:15" x14ac:dyDescent="0.25">
      <c r="A460" t="s">
        <v>1530</v>
      </c>
      <c r="B460" t="s">
        <v>1531</v>
      </c>
      <c r="C460">
        <v>2498</v>
      </c>
      <c r="D460" t="s">
        <v>1532</v>
      </c>
      <c r="E460" t="s">
        <v>803</v>
      </c>
      <c r="F460" t="s">
        <v>804</v>
      </c>
      <c r="G460" t="str">
        <f>+VLOOKUP(F460,[1]Explore!$B:$I,8,0)</f>
        <v>Corporate IG Other - Industry</v>
      </c>
      <c r="H460" t="s">
        <v>805</v>
      </c>
      <c r="I460" t="str">
        <f>+VLOOKUP(H460,[1]Explore!$A:$I,9,0)</f>
        <v>Corporate IG Other - Industry</v>
      </c>
      <c r="J460" t="str">
        <f t="shared" si="14"/>
        <v>OK</v>
      </c>
      <c r="K460" t="str">
        <f t="shared" si="15"/>
        <v>Corporate IG Other - Industry</v>
      </c>
      <c r="L460" t="s">
        <v>2150</v>
      </c>
      <c r="M460" t="str">
        <f>_xlfn.IFNA(VLOOKUP(K460,'Mapping DEF'!A:C,2,0),"")</f>
        <v>Spread</v>
      </c>
      <c r="N460" t="str">
        <f>+_xlfn.IFNA(VLOOKUP(M460,'Mapping DEF'!B:C,2,FALSE),"")</f>
        <v>Spread</v>
      </c>
      <c r="O460" t="s">
        <v>2820</v>
      </c>
    </row>
    <row r="461" spans="1:15" x14ac:dyDescent="0.25">
      <c r="A461" t="s">
        <v>1530</v>
      </c>
      <c r="B461" t="s">
        <v>1531</v>
      </c>
      <c r="C461">
        <v>2498</v>
      </c>
      <c r="D461" t="s">
        <v>1532</v>
      </c>
      <c r="E461" t="s">
        <v>806</v>
      </c>
      <c r="F461" t="s">
        <v>807</v>
      </c>
      <c r="G461" t="str">
        <f>+VLOOKUP(F461,[1]Explore!$B:$I,8,0)</f>
        <v>Volatility</v>
      </c>
      <c r="H461" t="s">
        <v>808</v>
      </c>
      <c r="I461" t="str">
        <f>+VLOOKUP(H461,[1]Explore!$A:$I,9,0)</f>
        <v>Volatility</v>
      </c>
      <c r="J461" t="str">
        <f t="shared" si="14"/>
        <v>OK</v>
      </c>
      <c r="K461" t="str">
        <f t="shared" si="15"/>
        <v>Volatility</v>
      </c>
      <c r="L461" t="s">
        <v>188</v>
      </c>
      <c r="M461" t="str">
        <f>_xlfn.IFNA(VLOOKUP(K461,'Mapping DEF'!A:C,2,0),"")</f>
        <v>Style</v>
      </c>
      <c r="N461" t="str">
        <f>+_xlfn.IFNA(VLOOKUP(M461,'Mapping DEF'!B:C,2,FALSE),"")</f>
        <v>Equity</v>
      </c>
      <c r="O461" t="s">
        <v>2783</v>
      </c>
    </row>
    <row r="462" spans="1:15" x14ac:dyDescent="0.25">
      <c r="A462" t="s">
        <v>1530</v>
      </c>
      <c r="B462" t="s">
        <v>1531</v>
      </c>
      <c r="C462">
        <v>2498</v>
      </c>
      <c r="D462" t="s">
        <v>1532</v>
      </c>
      <c r="E462" t="s">
        <v>809</v>
      </c>
      <c r="F462" t="s">
        <v>349</v>
      </c>
      <c r="G462" t="str">
        <f>+VLOOKUP(F462,[1]Explore!$B:$I,8,0)</f>
        <v>Corporate HY USD - Industry</v>
      </c>
      <c r="H462" t="s">
        <v>350</v>
      </c>
      <c r="I462" t="str">
        <f>+VLOOKUP(H462,[1]Explore!$A:$I,9,0)</f>
        <v>Corporate HY USD - Industry</v>
      </c>
      <c r="J462" t="str">
        <f t="shared" si="14"/>
        <v>OK</v>
      </c>
      <c r="K462" t="str">
        <f t="shared" si="15"/>
        <v>Corporate HY USD - Industry</v>
      </c>
      <c r="L462" t="s">
        <v>188</v>
      </c>
      <c r="M462" t="str">
        <f>_xlfn.IFNA(VLOOKUP(K462,'Mapping DEF'!A:C,2,0),"")</f>
        <v>Spread</v>
      </c>
      <c r="N462" t="str">
        <f>+_xlfn.IFNA(VLOOKUP(M462,'Mapping DEF'!B:C,2,FALSE),"")</f>
        <v>Spread</v>
      </c>
      <c r="O462" t="s">
        <v>2799</v>
      </c>
    </row>
    <row r="463" spans="1:15" x14ac:dyDescent="0.25">
      <c r="A463" t="s">
        <v>1530</v>
      </c>
      <c r="B463" t="s">
        <v>1531</v>
      </c>
      <c r="C463">
        <v>2498</v>
      </c>
      <c r="D463" t="s">
        <v>1532</v>
      </c>
      <c r="E463" t="s">
        <v>810</v>
      </c>
      <c r="F463" t="s">
        <v>811</v>
      </c>
      <c r="G463" t="str">
        <f>+VLOOKUP(F463,[1]Explore!$B:$I,8,0)</f>
        <v>Corporate IG USD - Industry</v>
      </c>
      <c r="H463" t="s">
        <v>812</v>
      </c>
      <c r="I463" t="str">
        <f>+VLOOKUP(H463,[1]Explore!$A:$I,9,0)</f>
        <v>Corporate IG USD - Industry</v>
      </c>
      <c r="J463" t="str">
        <f t="shared" si="14"/>
        <v>OK</v>
      </c>
      <c r="K463" t="str">
        <f t="shared" si="15"/>
        <v>Corporate IG USD - Industry</v>
      </c>
      <c r="L463" t="s">
        <v>27</v>
      </c>
      <c r="M463" t="str">
        <f>_xlfn.IFNA(VLOOKUP(K463,'Mapping DEF'!A:C,2,0),"")</f>
        <v>Spread</v>
      </c>
      <c r="N463" t="str">
        <f>+_xlfn.IFNA(VLOOKUP(M463,'Mapping DEF'!B:C,2,FALSE),"")</f>
        <v>Spread</v>
      </c>
      <c r="O463" t="s">
        <v>2765</v>
      </c>
    </row>
    <row r="464" spans="1:15" x14ac:dyDescent="0.25">
      <c r="A464" t="s">
        <v>1530</v>
      </c>
      <c r="B464" t="s">
        <v>1531</v>
      </c>
      <c r="C464">
        <v>2498</v>
      </c>
      <c r="D464" t="s">
        <v>1532</v>
      </c>
      <c r="E464" t="s">
        <v>451</v>
      </c>
      <c r="F464" t="s">
        <v>430</v>
      </c>
      <c r="G464" t="str">
        <f>+VLOOKUP(F464,[1]Explore!$B:$I,8,0)</f>
        <v>Other - Index</v>
      </c>
      <c r="H464" t="s">
        <v>431</v>
      </c>
      <c r="I464" t="str">
        <f>+VLOOKUP(H464,[1]Explore!$A:$I,9,0)</f>
        <v>Other - Index</v>
      </c>
      <c r="J464" t="str">
        <f t="shared" si="14"/>
        <v>OK</v>
      </c>
      <c r="K464" t="str">
        <f t="shared" si="15"/>
        <v>Other - Index</v>
      </c>
      <c r="L464" t="s">
        <v>27</v>
      </c>
      <c r="M464" t="str">
        <f>_xlfn.IFNA(VLOOKUP(K464,'Mapping DEF'!A:C,2,0),"")</f>
        <v>Other</v>
      </c>
      <c r="N464" t="str">
        <f>+_xlfn.IFNA(VLOOKUP(M464,'Mapping DEF'!B:C,2,FALSE),"")</f>
        <v>Other</v>
      </c>
      <c r="O464" t="s">
        <v>2768</v>
      </c>
    </row>
    <row r="465" spans="1:15" x14ac:dyDescent="0.25">
      <c r="A465" t="s">
        <v>1530</v>
      </c>
      <c r="B465" t="s">
        <v>1531</v>
      </c>
      <c r="C465">
        <v>2498</v>
      </c>
      <c r="D465" t="s">
        <v>1532</v>
      </c>
      <c r="E465" t="s">
        <v>813</v>
      </c>
      <c r="F465" t="s">
        <v>826</v>
      </c>
      <c r="G465" t="str">
        <f>+VLOOKUP(F465,[1]Explore!$B:$I,8,0)</f>
        <v>Equity Implied Volatility</v>
      </c>
      <c r="H465" t="s">
        <v>433</v>
      </c>
      <c r="I465" t="e">
        <f>+VLOOKUP(H465,[1]Explore!$A:$I,9,0)</f>
        <v>#N/A</v>
      </c>
      <c r="J465" t="str">
        <f t="shared" si="14"/>
        <v>OK</v>
      </c>
      <c r="K465" t="str">
        <f t="shared" si="15"/>
        <v>Equity Implied Volatility</v>
      </c>
      <c r="L465" t="s">
        <v>8</v>
      </c>
      <c r="M465" t="str">
        <f>_xlfn.IFNA(VLOOKUP(K465,'Mapping DEF'!A:C,2,0),"")</f>
        <v>Equity Derivatives</v>
      </c>
      <c r="N465" t="str">
        <f>+_xlfn.IFNA(VLOOKUP(M465,'Mapping DEF'!B:C,2,FALSE),"")</f>
        <v>Equity</v>
      </c>
      <c r="O465" t="s">
        <v>2793</v>
      </c>
    </row>
    <row r="466" spans="1:15" x14ac:dyDescent="0.25">
      <c r="A466" t="s">
        <v>1569</v>
      </c>
      <c r="B466" t="s">
        <v>1570</v>
      </c>
      <c r="C466">
        <v>2499</v>
      </c>
      <c r="D466" t="s">
        <v>1571</v>
      </c>
      <c r="E466" t="s">
        <v>814</v>
      </c>
      <c r="F466" t="s">
        <v>10</v>
      </c>
      <c r="G466" t="str">
        <f>+VLOOKUP(F466,[1]Explore!$B:$I,8,0)</f>
        <v>Govt USD</v>
      </c>
      <c r="H466" t="s">
        <v>11</v>
      </c>
      <c r="I466" t="str">
        <f>+VLOOKUP(H466,[1]Explore!$A:$I,9,0)</f>
        <v>Govt USD</v>
      </c>
      <c r="J466" t="str">
        <f t="shared" si="14"/>
        <v>OK</v>
      </c>
      <c r="K466" t="str">
        <f t="shared" si="15"/>
        <v>Govt USD</v>
      </c>
      <c r="L466" t="s">
        <v>8</v>
      </c>
      <c r="M466" t="str">
        <f>_xlfn.IFNA(VLOOKUP(K466,'Mapping DEF'!A:C,2,0),"")</f>
        <v>Curve (Local)</v>
      </c>
      <c r="N466" t="str">
        <f>+_xlfn.IFNA(VLOOKUP(M466,'Mapping DEF'!B:C,2,FALSE),"")</f>
        <v>Term Structure</v>
      </c>
      <c r="O466" t="s">
        <v>2797</v>
      </c>
    </row>
    <row r="467" spans="1:15" x14ac:dyDescent="0.25">
      <c r="A467" t="s">
        <v>1569</v>
      </c>
      <c r="B467" t="s">
        <v>1570</v>
      </c>
      <c r="C467">
        <v>2499</v>
      </c>
      <c r="D467" t="s">
        <v>1571</v>
      </c>
      <c r="E467" t="s">
        <v>815</v>
      </c>
      <c r="F467" t="s">
        <v>19</v>
      </c>
      <c r="G467" t="str">
        <f>+VLOOKUP(F467,[1]Explore!$B:$I,8,0)</f>
        <v>Govt USD</v>
      </c>
      <c r="H467" t="s">
        <v>20</v>
      </c>
      <c r="I467" t="str">
        <f>+VLOOKUP(H467,[1]Explore!$A:$I,9,0)</f>
        <v>Govt USD</v>
      </c>
      <c r="J467" t="str">
        <f t="shared" si="14"/>
        <v>OK</v>
      </c>
      <c r="K467" t="str">
        <f t="shared" si="15"/>
        <v>Govt USD</v>
      </c>
      <c r="L467" t="s">
        <v>8</v>
      </c>
      <c r="M467" t="str">
        <f>_xlfn.IFNA(VLOOKUP(K467,'Mapping DEF'!A:C,2,0),"")</f>
        <v>Curve (Local)</v>
      </c>
      <c r="N467" t="str">
        <f>+_xlfn.IFNA(VLOOKUP(M467,'Mapping DEF'!B:C,2,FALSE),"")</f>
        <v>Term Structure</v>
      </c>
      <c r="O467" t="s">
        <v>2755</v>
      </c>
    </row>
    <row r="468" spans="1:15" x14ac:dyDescent="0.25">
      <c r="A468" t="s">
        <v>1569</v>
      </c>
      <c r="B468" t="s">
        <v>1570</v>
      </c>
      <c r="C468">
        <v>2499</v>
      </c>
      <c r="D468" t="s">
        <v>1571</v>
      </c>
      <c r="E468" t="s">
        <v>816</v>
      </c>
      <c r="F468" t="s">
        <v>817</v>
      </c>
      <c r="G468" t="str">
        <f>+VLOOKUP(F468,[1]Explore!$B:$I,8,0)</f>
        <v>USD Inflation</v>
      </c>
      <c r="H468" t="s">
        <v>818</v>
      </c>
      <c r="I468" t="str">
        <f>+VLOOKUP(H468,[1]Explore!$A:$I,9,0)</f>
        <v>USD Inflation</v>
      </c>
      <c r="J468" t="str">
        <f t="shared" si="14"/>
        <v>OK</v>
      </c>
      <c r="K468" t="str">
        <f t="shared" si="15"/>
        <v>USD Inflation</v>
      </c>
      <c r="L468" t="s">
        <v>70</v>
      </c>
      <c r="M468" t="str">
        <f>_xlfn.IFNA(VLOOKUP(K468,'Mapping DEF'!A:C,2,0),"")</f>
        <v>Inflation</v>
      </c>
      <c r="N468" t="str">
        <f>+_xlfn.IFNA(VLOOKUP(M468,'Mapping DEF'!B:C,2,FALSE),"")</f>
        <v>Other</v>
      </c>
      <c r="O468" t="s">
        <v>2786</v>
      </c>
    </row>
    <row r="469" spans="1:15" x14ac:dyDescent="0.25">
      <c r="A469" t="s">
        <v>1569</v>
      </c>
      <c r="B469" t="s">
        <v>1570</v>
      </c>
      <c r="C469">
        <v>2499</v>
      </c>
      <c r="D469" t="s">
        <v>1571</v>
      </c>
      <c r="E469" t="s">
        <v>819</v>
      </c>
      <c r="F469" t="s">
        <v>731</v>
      </c>
      <c r="G469" t="str">
        <f>+VLOOKUP(F469,[1]Explore!$B:$I,8,0)</f>
        <v>Alternative - Commodity</v>
      </c>
      <c r="H469" t="s">
        <v>732</v>
      </c>
      <c r="I469" t="str">
        <f>+VLOOKUP(H469,[1]Explore!$A:$I,9,0)</f>
        <v>Alternative - Commodity</v>
      </c>
      <c r="J469" t="str">
        <f t="shared" si="14"/>
        <v>OK</v>
      </c>
      <c r="K469" t="str">
        <f t="shared" si="15"/>
        <v>Alternative - Commodity</v>
      </c>
      <c r="L469" t="s">
        <v>75</v>
      </c>
      <c r="M469" t="str">
        <f>_xlfn.IFNA(VLOOKUP(K469,'Mapping DEF'!A:C,2,0),"")</f>
        <v>Alternative</v>
      </c>
      <c r="N469" t="str">
        <f>+_xlfn.IFNA(VLOOKUP(M469,'Mapping DEF'!B:C,2,FALSE),"")</f>
        <v>Other</v>
      </c>
      <c r="O469" t="s">
        <v>2760</v>
      </c>
    </row>
    <row r="470" spans="1:15" x14ac:dyDescent="0.25">
      <c r="A470" t="s">
        <v>1569</v>
      </c>
      <c r="B470" t="s">
        <v>1570</v>
      </c>
      <c r="C470">
        <v>2499</v>
      </c>
      <c r="D470" t="s">
        <v>1571</v>
      </c>
      <c r="E470" t="s">
        <v>820</v>
      </c>
      <c r="F470" t="s">
        <v>421</v>
      </c>
      <c r="G470" t="e">
        <f>+VLOOKUP(F470,[1]Explore!$B:$I,8,0)</f>
        <v>#N/A</v>
      </c>
      <c r="H470" t="s">
        <v>422</v>
      </c>
      <c r="I470" t="str">
        <f>+VLOOKUP(H470,[1]Explore!$A:$I,9,0)</f>
        <v>Emerging Currency</v>
      </c>
      <c r="J470" t="str">
        <f t="shared" si="14"/>
        <v>OK</v>
      </c>
      <c r="K470" t="str">
        <f t="shared" si="15"/>
        <v>Emerging Currency</v>
      </c>
      <c r="L470" t="s">
        <v>75</v>
      </c>
      <c r="M470" t="str">
        <f>_xlfn.IFNA(VLOOKUP(K470,'Mapping DEF'!A:C,2,0),"")</f>
        <v>FX</v>
      </c>
      <c r="N470" t="str">
        <f>+_xlfn.IFNA(VLOOKUP(M470,'Mapping DEF'!B:C,2,FALSE),"")</f>
        <v>FX</v>
      </c>
      <c r="O470" t="s">
        <v>2753</v>
      </c>
    </row>
    <row r="471" spans="1:15" x14ac:dyDescent="0.25">
      <c r="A471" t="s">
        <v>1569</v>
      </c>
      <c r="B471" t="s">
        <v>1570</v>
      </c>
      <c r="C471">
        <v>2499</v>
      </c>
      <c r="D471" t="s">
        <v>1571</v>
      </c>
      <c r="E471" t="s">
        <v>821</v>
      </c>
      <c r="F471" t="s">
        <v>822</v>
      </c>
      <c r="G471" t="e">
        <f>+VLOOKUP(F471,[1]Explore!$B:$I,8,0)</f>
        <v>#N/A</v>
      </c>
      <c r="H471" t="s">
        <v>823</v>
      </c>
      <c r="I471" t="str">
        <f>+VLOOKUP(H471,[1]Explore!$A:$I,9,0)</f>
        <v>Emerging Currency</v>
      </c>
      <c r="J471" t="str">
        <f t="shared" si="14"/>
        <v>OK</v>
      </c>
      <c r="K471" t="str">
        <f t="shared" si="15"/>
        <v>Emerging Currency</v>
      </c>
      <c r="L471" t="s">
        <v>27</v>
      </c>
      <c r="M471" t="str">
        <f>_xlfn.IFNA(VLOOKUP(K471,'Mapping DEF'!A:C,2,0),"")</f>
        <v>FX</v>
      </c>
      <c r="N471" t="str">
        <f>+_xlfn.IFNA(VLOOKUP(M471,'Mapping DEF'!B:C,2,FALSE),"")</f>
        <v>FX</v>
      </c>
      <c r="O471" t="s">
        <v>2768</v>
      </c>
    </row>
    <row r="472" spans="1:15" x14ac:dyDescent="0.25">
      <c r="A472" t="s">
        <v>1569</v>
      </c>
      <c r="B472" t="s">
        <v>1570</v>
      </c>
      <c r="C472">
        <v>2499</v>
      </c>
      <c r="D472" t="s">
        <v>1571</v>
      </c>
      <c r="E472" t="s">
        <v>824</v>
      </c>
      <c r="F472" t="s">
        <v>2156</v>
      </c>
      <c r="G472" t="str">
        <f>+VLOOKUP(F472,[1]Explore!$B:$I,8,0)</f>
        <v>Equity Implied Volatility</v>
      </c>
      <c r="H472" t="s">
        <v>141</v>
      </c>
      <c r="I472" t="str">
        <f>+VLOOKUP(H472,[1]Explore!$A:$I,9,0)</f>
        <v>Equity Implied Volatility</v>
      </c>
      <c r="J472" t="str">
        <f t="shared" si="14"/>
        <v>OK</v>
      </c>
      <c r="K472" t="str">
        <f t="shared" si="15"/>
        <v>Equity Implied Volatility</v>
      </c>
      <c r="L472" t="s">
        <v>27</v>
      </c>
      <c r="M472" t="str">
        <f>_xlfn.IFNA(VLOOKUP(K472,'Mapping DEF'!A:C,2,0),"")</f>
        <v>Equity Derivatives</v>
      </c>
      <c r="N472" t="str">
        <f>+_xlfn.IFNA(VLOOKUP(M472,'Mapping DEF'!B:C,2,FALSE),"")</f>
        <v>Equity</v>
      </c>
      <c r="O472" t="s">
        <v>2821</v>
      </c>
    </row>
    <row r="473" spans="1:15" x14ac:dyDescent="0.25">
      <c r="A473" t="s">
        <v>1569</v>
      </c>
      <c r="B473" t="s">
        <v>1570</v>
      </c>
      <c r="C473">
        <v>2499</v>
      </c>
      <c r="D473" t="s">
        <v>1571</v>
      </c>
      <c r="E473" t="s">
        <v>825</v>
      </c>
      <c r="F473" t="s">
        <v>826</v>
      </c>
      <c r="G473" t="str">
        <f>+VLOOKUP(F473,[1]Explore!$B:$I,8,0)</f>
        <v>Equity Implied Volatility</v>
      </c>
      <c r="H473" t="s">
        <v>827</v>
      </c>
      <c r="I473" t="str">
        <f>+VLOOKUP(H473,[1]Explore!$A:$I,9,0)</f>
        <v>Equity Implied Volatility</v>
      </c>
      <c r="J473" t="str">
        <f t="shared" si="14"/>
        <v>OK</v>
      </c>
      <c r="K473" t="str">
        <f t="shared" si="15"/>
        <v>Equity Implied Volatility</v>
      </c>
      <c r="L473" t="s">
        <v>27</v>
      </c>
      <c r="M473" t="str">
        <f>_xlfn.IFNA(VLOOKUP(K473,'Mapping DEF'!A:C,2,0),"")</f>
        <v>Equity Derivatives</v>
      </c>
      <c r="N473" t="str">
        <f>+_xlfn.IFNA(VLOOKUP(M473,'Mapping DEF'!B:C,2,FALSE),"")</f>
        <v>Equity</v>
      </c>
      <c r="O473" t="s">
        <v>2753</v>
      </c>
    </row>
    <row r="474" spans="1:15" x14ac:dyDescent="0.25">
      <c r="A474" t="s">
        <v>1569</v>
      </c>
      <c r="B474" t="s">
        <v>1570</v>
      </c>
      <c r="C474">
        <v>2499</v>
      </c>
      <c r="D474" t="s">
        <v>1571</v>
      </c>
      <c r="E474" t="s">
        <v>828</v>
      </c>
      <c r="F474" t="s">
        <v>829</v>
      </c>
      <c r="G474" t="str">
        <f>+VLOOKUP(F474,[1]Explore!$B:$I,8,0)</f>
        <v>Equity Implied Volatility</v>
      </c>
      <c r="H474" t="s">
        <v>830</v>
      </c>
      <c r="I474" t="str">
        <f>+VLOOKUP(H474,[1]Explore!$A:$I,9,0)</f>
        <v>Equity Implied Volatility</v>
      </c>
      <c r="J474" t="str">
        <f t="shared" si="14"/>
        <v>OK</v>
      </c>
      <c r="K474" t="str">
        <f t="shared" si="15"/>
        <v>Equity Implied Volatility</v>
      </c>
      <c r="L474" t="s">
        <v>27</v>
      </c>
      <c r="M474" t="str">
        <f>_xlfn.IFNA(VLOOKUP(K474,'Mapping DEF'!A:C,2,0),"")</f>
        <v>Equity Derivatives</v>
      </c>
      <c r="N474" t="str">
        <f>+_xlfn.IFNA(VLOOKUP(M474,'Mapping DEF'!B:C,2,FALSE),"")</f>
        <v>Equity</v>
      </c>
      <c r="O474" t="s">
        <v>2768</v>
      </c>
    </row>
    <row r="475" spans="1:15" x14ac:dyDescent="0.25">
      <c r="A475" t="s">
        <v>1569</v>
      </c>
      <c r="B475" t="s">
        <v>1570</v>
      </c>
      <c r="C475">
        <v>2499</v>
      </c>
      <c r="D475" t="s">
        <v>1571</v>
      </c>
      <c r="E475" t="s">
        <v>831</v>
      </c>
      <c r="F475" t="s">
        <v>832</v>
      </c>
      <c r="G475" t="str">
        <f>+VLOOKUP(F475,[1]Explore!$B:$I,8,0)</f>
        <v>Equity Implied Volatility</v>
      </c>
      <c r="H475" t="s">
        <v>833</v>
      </c>
      <c r="I475" t="str">
        <f>+VLOOKUP(H475,[1]Explore!$A:$I,9,0)</f>
        <v>Equity Implied Volatility</v>
      </c>
      <c r="J475" t="str">
        <f t="shared" si="14"/>
        <v>OK</v>
      </c>
      <c r="K475" t="str">
        <f t="shared" si="15"/>
        <v>Equity Implied Volatility</v>
      </c>
      <c r="L475" t="s">
        <v>188</v>
      </c>
      <c r="M475" t="str">
        <f>_xlfn.IFNA(VLOOKUP(K475,'Mapping DEF'!A:C,2,0),"")</f>
        <v>Equity Derivatives</v>
      </c>
      <c r="N475" t="str">
        <f>+_xlfn.IFNA(VLOOKUP(M475,'Mapping DEF'!B:C,2,FALSE),"")</f>
        <v>Equity</v>
      </c>
      <c r="O475" t="s">
        <v>2768</v>
      </c>
    </row>
    <row r="476" spans="1:15" x14ac:dyDescent="0.25">
      <c r="A476" t="s">
        <v>1569</v>
      </c>
      <c r="B476" t="s">
        <v>1570</v>
      </c>
      <c r="C476">
        <v>2499</v>
      </c>
      <c r="D476" t="s">
        <v>1571</v>
      </c>
      <c r="E476" t="s">
        <v>834</v>
      </c>
      <c r="F476" t="s">
        <v>346</v>
      </c>
      <c r="G476" t="str">
        <f>+VLOOKUP(F476,[1]Explore!$B:$I,8,0)</f>
        <v>Spread Emerging Markets - Country</v>
      </c>
      <c r="H476" t="s">
        <v>347</v>
      </c>
      <c r="I476" t="str">
        <f>+VLOOKUP(H476,[1]Explore!$A:$I,9,0)</f>
        <v>Spread Emerging Markets - Country</v>
      </c>
      <c r="J476" t="str">
        <f t="shared" si="14"/>
        <v>OK</v>
      </c>
      <c r="K476" t="str">
        <f t="shared" si="15"/>
        <v>Spread Emerging Markets - Country</v>
      </c>
      <c r="L476" t="s">
        <v>8</v>
      </c>
      <c r="M476" t="str">
        <f>_xlfn.IFNA(VLOOKUP(K476,'Mapping DEF'!A:C,2,0),"")</f>
        <v>Spread</v>
      </c>
      <c r="N476" t="str">
        <f>+_xlfn.IFNA(VLOOKUP(M476,'Mapping DEF'!B:C,2,FALSE),"")</f>
        <v>Spread</v>
      </c>
      <c r="O476" t="s">
        <v>2791</v>
      </c>
    </row>
    <row r="477" spans="1:15" x14ac:dyDescent="0.25">
      <c r="A477" t="s">
        <v>1569</v>
      </c>
      <c r="B477" t="s">
        <v>1570</v>
      </c>
      <c r="C477">
        <v>2499</v>
      </c>
      <c r="D477" t="s">
        <v>1571</v>
      </c>
      <c r="E477" t="s">
        <v>835</v>
      </c>
      <c r="F477" t="s">
        <v>836</v>
      </c>
      <c r="G477" t="str">
        <f>+VLOOKUP(F477,[1]Explore!$B:$I,8,0)</f>
        <v>Govt USD</v>
      </c>
      <c r="H477" t="s">
        <v>837</v>
      </c>
      <c r="I477" t="str">
        <f>+VLOOKUP(H477,[1]Explore!$A:$I,9,0)</f>
        <v>Govt USD</v>
      </c>
      <c r="J477" t="str">
        <f t="shared" si="14"/>
        <v>OK</v>
      </c>
      <c r="K477" t="str">
        <f t="shared" si="15"/>
        <v>Govt USD</v>
      </c>
      <c r="L477" t="s">
        <v>188</v>
      </c>
      <c r="M477" t="str">
        <f>_xlfn.IFNA(VLOOKUP(K477,'Mapping DEF'!A:C,2,0),"")</f>
        <v>Curve (Local)</v>
      </c>
      <c r="N477" t="str">
        <f>+_xlfn.IFNA(VLOOKUP(M477,'Mapping DEF'!B:C,2,FALSE),"")</f>
        <v>Term Structure</v>
      </c>
      <c r="O477" t="s">
        <v>2786</v>
      </c>
    </row>
    <row r="478" spans="1:15" x14ac:dyDescent="0.25">
      <c r="A478" t="s">
        <v>1569</v>
      </c>
      <c r="B478" t="s">
        <v>1570</v>
      </c>
      <c r="C478">
        <v>2499</v>
      </c>
      <c r="D478" t="s">
        <v>1571</v>
      </c>
      <c r="E478" t="s">
        <v>838</v>
      </c>
      <c r="F478" t="s">
        <v>839</v>
      </c>
      <c r="G478" t="str">
        <f>+VLOOKUP(F478,[1]Explore!$B:$I,8,0)</f>
        <v>Money Market</v>
      </c>
      <c r="H478" t="s">
        <v>840</v>
      </c>
      <c r="I478" t="str">
        <f>+VLOOKUP(H478,[1]Explore!$A:$I,9,0)</f>
        <v>Money Market</v>
      </c>
      <c r="J478" t="str">
        <f t="shared" si="14"/>
        <v>OK</v>
      </c>
      <c r="K478" t="str">
        <f t="shared" si="15"/>
        <v>Money Market</v>
      </c>
      <c r="L478" t="s">
        <v>188</v>
      </c>
      <c r="M478" t="str">
        <f>_xlfn.IFNA(VLOOKUP(K478,'Mapping DEF'!A:C,2,0),"")</f>
        <v>Other</v>
      </c>
      <c r="N478" t="str">
        <f>+_xlfn.IFNA(VLOOKUP(M478,'Mapping DEF'!B:C,2,FALSE),"")</f>
        <v>Other</v>
      </c>
      <c r="O478" t="s">
        <v>2778</v>
      </c>
    </row>
    <row r="479" spans="1:15" x14ac:dyDescent="0.25">
      <c r="A479" t="s">
        <v>1569</v>
      </c>
      <c r="B479" t="s">
        <v>1570</v>
      </c>
      <c r="C479">
        <v>2499</v>
      </c>
      <c r="D479" t="s">
        <v>1571</v>
      </c>
      <c r="E479" t="s">
        <v>844</v>
      </c>
      <c r="F479" t="s">
        <v>845</v>
      </c>
      <c r="G479" t="str">
        <f>+VLOOKUP(F479,[1]Explore!$B:$I,8,0)</f>
        <v>Money Market</v>
      </c>
      <c r="H479" t="s">
        <v>846</v>
      </c>
      <c r="I479" t="str">
        <f>+VLOOKUP(H479,[1]Explore!$A:$I,9,0)</f>
        <v>Money Market</v>
      </c>
      <c r="J479" t="str">
        <f t="shared" si="14"/>
        <v>OK</v>
      </c>
      <c r="K479" t="str">
        <f t="shared" si="15"/>
        <v>Money Market</v>
      </c>
      <c r="L479" t="s">
        <v>8</v>
      </c>
      <c r="M479" t="str">
        <f>_xlfn.IFNA(VLOOKUP(K479,'Mapping DEF'!A:C,2,0),"")</f>
        <v>Other</v>
      </c>
      <c r="N479" t="str">
        <f>+_xlfn.IFNA(VLOOKUP(M479,'Mapping DEF'!B:C,2,FALSE),"")</f>
        <v>Other</v>
      </c>
      <c r="O479" t="s">
        <v>2778</v>
      </c>
    </row>
    <row r="480" spans="1:15" x14ac:dyDescent="0.25">
      <c r="A480" t="s">
        <v>1614</v>
      </c>
      <c r="B480" t="s">
        <v>1615</v>
      </c>
      <c r="C480">
        <v>2500</v>
      </c>
      <c r="D480" t="s">
        <v>1616</v>
      </c>
      <c r="E480" t="s">
        <v>621</v>
      </c>
      <c r="F480" t="s">
        <v>13</v>
      </c>
      <c r="G480" t="str">
        <f>+VLOOKUP(F480,[1]Explore!$B:$I,8,0)</f>
        <v>Govt USD</v>
      </c>
      <c r="H480" t="s">
        <v>14</v>
      </c>
      <c r="I480" t="str">
        <f>+VLOOKUP(H480,[1]Explore!$A:$I,9,0)</f>
        <v>Govt USD</v>
      </c>
      <c r="J480" t="str">
        <f t="shared" si="14"/>
        <v>OK</v>
      </c>
      <c r="K480" t="str">
        <f t="shared" si="15"/>
        <v>Govt USD</v>
      </c>
      <c r="L480" t="s">
        <v>8</v>
      </c>
      <c r="M480" t="str">
        <f>_xlfn.IFNA(VLOOKUP(K480,'Mapping DEF'!A:C,2,0),"")</f>
        <v>Curve (Local)</v>
      </c>
      <c r="N480" t="str">
        <f>+_xlfn.IFNA(VLOOKUP(M480,'Mapping DEF'!B:C,2,FALSE),"")</f>
        <v>Term Structure</v>
      </c>
      <c r="O480" t="s">
        <v>2779</v>
      </c>
    </row>
    <row r="481" spans="1:15" x14ac:dyDescent="0.25">
      <c r="A481" t="s">
        <v>1614</v>
      </c>
      <c r="B481" t="s">
        <v>1615</v>
      </c>
      <c r="C481">
        <v>2500</v>
      </c>
      <c r="D481" t="s">
        <v>1616</v>
      </c>
      <c r="E481" t="s">
        <v>606</v>
      </c>
      <c r="F481" t="s">
        <v>19</v>
      </c>
      <c r="G481" t="str">
        <f>+VLOOKUP(F481,[1]Explore!$B:$I,8,0)</f>
        <v>Govt USD</v>
      </c>
      <c r="H481" t="s">
        <v>20</v>
      </c>
      <c r="I481" t="str">
        <f>+VLOOKUP(H481,[1]Explore!$A:$I,9,0)</f>
        <v>Govt USD</v>
      </c>
      <c r="J481" t="str">
        <f t="shared" si="14"/>
        <v>OK</v>
      </c>
      <c r="K481" t="str">
        <f t="shared" si="15"/>
        <v>Govt USD</v>
      </c>
      <c r="L481" t="s">
        <v>188</v>
      </c>
      <c r="M481" t="str">
        <f>_xlfn.IFNA(VLOOKUP(K481,'Mapping DEF'!A:C,2,0),"")</f>
        <v>Curve (Local)</v>
      </c>
      <c r="N481" t="str">
        <f>+_xlfn.IFNA(VLOOKUP(M481,'Mapping DEF'!B:C,2,FALSE),"")</f>
        <v>Term Structure</v>
      </c>
      <c r="O481" t="s">
        <v>2752</v>
      </c>
    </row>
    <row r="482" spans="1:15" x14ac:dyDescent="0.25">
      <c r="A482" t="s">
        <v>1614</v>
      </c>
      <c r="B482" t="s">
        <v>1615</v>
      </c>
      <c r="C482">
        <v>2500</v>
      </c>
      <c r="D482" t="s">
        <v>1616</v>
      </c>
      <c r="E482" t="s">
        <v>847</v>
      </c>
      <c r="F482" t="s">
        <v>346</v>
      </c>
      <c r="G482" t="str">
        <f>+VLOOKUP(F482,[1]Explore!$B:$I,8,0)</f>
        <v>Spread Emerging Markets - Country</v>
      </c>
      <c r="H482" t="s">
        <v>347</v>
      </c>
      <c r="I482" t="str">
        <f>+VLOOKUP(H482,[1]Explore!$A:$I,9,0)</f>
        <v>Spread Emerging Markets - Country</v>
      </c>
      <c r="J482" t="str">
        <f t="shared" si="14"/>
        <v>OK</v>
      </c>
      <c r="K482" t="str">
        <f t="shared" si="15"/>
        <v>Spread Emerging Markets - Country</v>
      </c>
      <c r="L482" t="s">
        <v>27</v>
      </c>
      <c r="M482" t="str">
        <f>_xlfn.IFNA(VLOOKUP(K482,'Mapping DEF'!A:C,2,0),"")</f>
        <v>Spread</v>
      </c>
      <c r="N482" t="str">
        <f>+_xlfn.IFNA(VLOOKUP(M482,'Mapping DEF'!B:C,2,FALSE),"")</f>
        <v>Spread</v>
      </c>
      <c r="O482" t="s">
        <v>2800</v>
      </c>
    </row>
    <row r="483" spans="1:15" x14ac:dyDescent="0.25">
      <c r="A483" t="s">
        <v>1614</v>
      </c>
      <c r="B483" t="s">
        <v>1615</v>
      </c>
      <c r="C483">
        <v>2500</v>
      </c>
      <c r="D483" t="s">
        <v>1616</v>
      </c>
      <c r="E483" t="s">
        <v>848</v>
      </c>
      <c r="F483" t="s">
        <v>849</v>
      </c>
      <c r="G483" t="str">
        <f>+VLOOKUP(F483,[1]Explore!$B:$I,8,0)</f>
        <v>Other - Index</v>
      </c>
      <c r="H483" t="s">
        <v>850</v>
      </c>
      <c r="I483" t="str">
        <f>+VLOOKUP(H483,[1]Explore!$A:$I,9,0)</f>
        <v>Other - Index</v>
      </c>
      <c r="J483" t="str">
        <f t="shared" si="14"/>
        <v>OK</v>
      </c>
      <c r="K483" t="str">
        <f t="shared" si="15"/>
        <v>Other - Index</v>
      </c>
      <c r="L483" t="s">
        <v>27</v>
      </c>
      <c r="M483" t="str">
        <f>_xlfn.IFNA(VLOOKUP(K483,'Mapping DEF'!A:C,2,0),"")</f>
        <v>Other</v>
      </c>
      <c r="N483" t="str">
        <f>+_xlfn.IFNA(VLOOKUP(M483,'Mapping DEF'!B:C,2,FALSE),"")</f>
        <v>Other</v>
      </c>
      <c r="O483" t="s">
        <v>2770</v>
      </c>
    </row>
    <row r="484" spans="1:15" x14ac:dyDescent="0.25">
      <c r="A484" t="s">
        <v>1614</v>
      </c>
      <c r="B484" t="s">
        <v>1615</v>
      </c>
      <c r="C484">
        <v>2500</v>
      </c>
      <c r="D484" t="s">
        <v>1616</v>
      </c>
      <c r="E484" t="s">
        <v>851</v>
      </c>
      <c r="F484" t="s">
        <v>160</v>
      </c>
      <c r="G484" t="str">
        <f>+VLOOKUP(F484,[1]Explore!$B:$I,8,0)</f>
        <v>Other - Index</v>
      </c>
      <c r="H484" t="s">
        <v>852</v>
      </c>
      <c r="I484" t="e">
        <f>+VLOOKUP(H484,[1]Explore!$A:$I,9,0)</f>
        <v>#N/A</v>
      </c>
      <c r="J484" t="str">
        <f t="shared" si="14"/>
        <v>OK</v>
      </c>
      <c r="K484" t="str">
        <f t="shared" si="15"/>
        <v>Other - Index</v>
      </c>
      <c r="L484" t="s">
        <v>27</v>
      </c>
      <c r="M484" t="str">
        <f>_xlfn.IFNA(VLOOKUP(K484,'Mapping DEF'!A:C,2,0),"")</f>
        <v>Other</v>
      </c>
      <c r="N484" t="str">
        <f>+_xlfn.IFNA(VLOOKUP(M484,'Mapping DEF'!B:C,2,FALSE),"")</f>
        <v>Other</v>
      </c>
      <c r="O484" t="s">
        <v>2812</v>
      </c>
    </row>
    <row r="485" spans="1:15" x14ac:dyDescent="0.25">
      <c r="A485" t="s">
        <v>1614</v>
      </c>
      <c r="B485" t="s">
        <v>1615</v>
      </c>
      <c r="C485">
        <v>2500</v>
      </c>
      <c r="D485" t="s">
        <v>1616</v>
      </c>
      <c r="E485" t="s">
        <v>853</v>
      </c>
      <c r="F485" t="s">
        <v>430</v>
      </c>
      <c r="G485" t="str">
        <f>+VLOOKUP(F485,[1]Explore!$B:$I,8,0)</f>
        <v>Other - Index</v>
      </c>
      <c r="H485" t="s">
        <v>515</v>
      </c>
      <c r="I485" t="e">
        <f>+VLOOKUP(H485,[1]Explore!$A:$I,9,0)</f>
        <v>#N/A</v>
      </c>
      <c r="J485" t="str">
        <f t="shared" si="14"/>
        <v>OK</v>
      </c>
      <c r="K485" t="str">
        <f t="shared" si="15"/>
        <v>Other - Index</v>
      </c>
      <c r="L485" t="s">
        <v>188</v>
      </c>
      <c r="M485" t="str">
        <f>_xlfn.IFNA(VLOOKUP(K485,'Mapping DEF'!A:C,2,0),"")</f>
        <v>Other</v>
      </c>
      <c r="N485" t="str">
        <f>+_xlfn.IFNA(VLOOKUP(M485,'Mapping DEF'!B:C,2,FALSE),"")</f>
        <v>Other</v>
      </c>
      <c r="O485" t="s">
        <v>2801</v>
      </c>
    </row>
    <row r="486" spans="1:15" x14ac:dyDescent="0.25">
      <c r="A486" t="s">
        <v>1614</v>
      </c>
      <c r="B486" t="s">
        <v>1615</v>
      </c>
      <c r="C486">
        <v>2500</v>
      </c>
      <c r="D486" t="s">
        <v>1616</v>
      </c>
      <c r="E486" t="s">
        <v>854</v>
      </c>
      <c r="F486" t="s">
        <v>753</v>
      </c>
      <c r="G486" t="e">
        <f>+VLOOKUP(F486,[1]Explore!$B:$I,8,0)</f>
        <v>#N/A</v>
      </c>
      <c r="H486" t="s">
        <v>855</v>
      </c>
      <c r="I486" t="e">
        <f>+VLOOKUP(H486,[1]Explore!$A:$I,9,0)</f>
        <v>#N/A</v>
      </c>
      <c r="J486" t="str">
        <f t="shared" si="14"/>
        <v>BOTH #N/A</v>
      </c>
      <c r="K486" t="str">
        <f t="shared" si="15"/>
        <v>Corporate IG USD - Other</v>
      </c>
      <c r="L486" t="s">
        <v>2650</v>
      </c>
      <c r="M486" t="str">
        <f>_xlfn.IFNA(VLOOKUP(K486,'Mapping DEF'!A:C,2,0),"")</f>
        <v>Spread</v>
      </c>
      <c r="N486" t="str">
        <f>+_xlfn.IFNA(VLOOKUP(M486,'Mapping DEF'!B:C,2,FALSE),"")</f>
        <v>Spread</v>
      </c>
      <c r="O486" t="s">
        <v>2774</v>
      </c>
    </row>
    <row r="487" spans="1:15" x14ac:dyDescent="0.25">
      <c r="A487" t="s">
        <v>1630</v>
      </c>
      <c r="B487" t="s">
        <v>1631</v>
      </c>
      <c r="C487">
        <v>2458</v>
      </c>
      <c r="D487" t="s">
        <v>1632</v>
      </c>
      <c r="E487" t="s">
        <v>334</v>
      </c>
      <c r="F487" t="s">
        <v>19</v>
      </c>
      <c r="G487" t="str">
        <f>+VLOOKUP(F487,[1]Explore!$B:$I,8,0)</f>
        <v>Govt USD</v>
      </c>
      <c r="H487" t="s">
        <v>20</v>
      </c>
      <c r="I487" t="str">
        <f>+VLOOKUP(H487,[1]Explore!$A:$I,9,0)</f>
        <v>Govt USD</v>
      </c>
      <c r="J487" t="str">
        <f t="shared" si="14"/>
        <v>OK</v>
      </c>
      <c r="K487" t="str">
        <f t="shared" si="15"/>
        <v>Govt USD</v>
      </c>
      <c r="L487" t="s">
        <v>70</v>
      </c>
      <c r="M487" t="str">
        <f>_xlfn.IFNA(VLOOKUP(K487,'Mapping DEF'!A:C,2,0),"")</f>
        <v>Curve (Local)</v>
      </c>
      <c r="N487" t="str">
        <f>+_xlfn.IFNA(VLOOKUP(M487,'Mapping DEF'!B:C,2,FALSE),"")</f>
        <v>Term Structure</v>
      </c>
      <c r="O487" t="s">
        <v>2774</v>
      </c>
    </row>
    <row r="488" spans="1:15" x14ac:dyDescent="0.25">
      <c r="A488" t="s">
        <v>1630</v>
      </c>
      <c r="B488" t="s">
        <v>1631</v>
      </c>
      <c r="C488">
        <v>2458</v>
      </c>
      <c r="D488" t="s">
        <v>1632</v>
      </c>
      <c r="E488" t="s">
        <v>856</v>
      </c>
      <c r="F488" t="s">
        <v>857</v>
      </c>
      <c r="G488" t="str">
        <f>+VLOOKUP(F488,[1]Explore!$B:$I,8,0)</f>
        <v>Alternative - Commodity</v>
      </c>
      <c r="H488" t="s">
        <v>858</v>
      </c>
      <c r="I488" t="str">
        <f>+VLOOKUP(H488,[1]Explore!$A:$I,9,0)</f>
        <v>Alternative - Commodity</v>
      </c>
      <c r="J488" t="str">
        <f t="shared" si="14"/>
        <v>OK</v>
      </c>
      <c r="K488" t="str">
        <f t="shared" si="15"/>
        <v>Alternative - Commodity</v>
      </c>
      <c r="L488" t="s">
        <v>70</v>
      </c>
      <c r="M488" t="str">
        <f>_xlfn.IFNA(VLOOKUP(K488,'Mapping DEF'!A:C,2,0),"")</f>
        <v>Alternative</v>
      </c>
      <c r="N488" t="str">
        <f>+_xlfn.IFNA(VLOOKUP(M488,'Mapping DEF'!B:C,2,FALSE),"")</f>
        <v>Other</v>
      </c>
      <c r="O488" t="s">
        <v>2768</v>
      </c>
    </row>
    <row r="489" spans="1:15" x14ac:dyDescent="0.25">
      <c r="A489" t="s">
        <v>1630</v>
      </c>
      <c r="B489" t="s">
        <v>1631</v>
      </c>
      <c r="C489">
        <v>2458</v>
      </c>
      <c r="D489" t="s">
        <v>1632</v>
      </c>
      <c r="E489" t="s">
        <v>478</v>
      </c>
      <c r="F489" t="s">
        <v>265</v>
      </c>
      <c r="G489" t="str">
        <f>+VLOOKUP(F489,[1]Explore!$B:$I,8,0)</f>
        <v>Alternative - Commodity</v>
      </c>
      <c r="H489" t="s">
        <v>266</v>
      </c>
      <c r="I489" t="str">
        <f>+VLOOKUP(H489,[1]Explore!$A:$I,9,0)</f>
        <v>Alternative - Commodity</v>
      </c>
      <c r="J489" t="str">
        <f t="shared" si="14"/>
        <v>OK</v>
      </c>
      <c r="K489" t="str">
        <f t="shared" si="15"/>
        <v>Alternative - Commodity</v>
      </c>
      <c r="L489" t="s">
        <v>8</v>
      </c>
      <c r="M489" t="str">
        <f>_xlfn.IFNA(VLOOKUP(K489,'Mapping DEF'!A:C,2,0),"")</f>
        <v>Alternative</v>
      </c>
      <c r="N489" t="str">
        <f>+_xlfn.IFNA(VLOOKUP(M489,'Mapping DEF'!B:C,2,FALSE),"")</f>
        <v>Other</v>
      </c>
      <c r="O489" t="s">
        <v>2803</v>
      </c>
    </row>
    <row r="490" spans="1:15" x14ac:dyDescent="0.25">
      <c r="A490" t="s">
        <v>1630</v>
      </c>
      <c r="B490" t="s">
        <v>1631</v>
      </c>
      <c r="C490">
        <v>2458</v>
      </c>
      <c r="D490" t="s">
        <v>1632</v>
      </c>
      <c r="E490" t="s">
        <v>485</v>
      </c>
      <c r="F490" t="s">
        <v>486</v>
      </c>
      <c r="G490" t="str">
        <f>+VLOOKUP(F490,[1]Explore!$B:$I,8,0)</f>
        <v>Govt Emerging Markets</v>
      </c>
      <c r="H490" t="s">
        <v>487</v>
      </c>
      <c r="I490" t="str">
        <f>+VLOOKUP(H490,[1]Explore!$A:$I,9,0)</f>
        <v>Govt Emerging Markets</v>
      </c>
      <c r="J490" t="str">
        <f t="shared" si="14"/>
        <v>OK</v>
      </c>
      <c r="K490" t="str">
        <f t="shared" si="15"/>
        <v>Govt Emerging Markets</v>
      </c>
      <c r="L490" t="s">
        <v>75</v>
      </c>
      <c r="M490" t="str">
        <f>_xlfn.IFNA(VLOOKUP(K490,'Mapping DEF'!A:C,2,0),"")</f>
        <v>Curve (Local)</v>
      </c>
      <c r="N490" t="str">
        <f>+_xlfn.IFNA(VLOOKUP(M490,'Mapping DEF'!B:C,2,FALSE),"")</f>
        <v>Term Structure</v>
      </c>
      <c r="O490" t="s">
        <v>2786</v>
      </c>
    </row>
    <row r="491" spans="1:15" x14ac:dyDescent="0.25">
      <c r="A491" t="s">
        <v>1630</v>
      </c>
      <c r="B491" t="s">
        <v>1631</v>
      </c>
      <c r="C491">
        <v>2458</v>
      </c>
      <c r="D491" t="s">
        <v>1632</v>
      </c>
      <c r="E491" t="s">
        <v>554</v>
      </c>
      <c r="F491" t="s">
        <v>2944</v>
      </c>
      <c r="G491" t="str">
        <f>+VLOOKUP(F491,[1]Explore!$B:$I,8,0)</f>
        <v>JPY</v>
      </c>
      <c r="H491" t="s">
        <v>138</v>
      </c>
      <c r="I491" t="str">
        <f>+VLOOKUP(H491,[1]Explore!$A:$I,9,0)</f>
        <v>JPY</v>
      </c>
      <c r="J491" t="str">
        <f t="shared" si="14"/>
        <v>OK</v>
      </c>
      <c r="K491" t="str">
        <f t="shared" si="15"/>
        <v>JPY</v>
      </c>
      <c r="L491" t="s">
        <v>75</v>
      </c>
      <c r="M491" t="str">
        <f>_xlfn.IFNA(VLOOKUP(K491,'Mapping DEF'!A:C,2,0),"")</f>
        <v>FX</v>
      </c>
      <c r="N491" t="str">
        <f>+_xlfn.IFNA(VLOOKUP(M491,'Mapping DEF'!B:C,2,FALSE),"")</f>
        <v>FX</v>
      </c>
      <c r="O491" t="s">
        <v>2757</v>
      </c>
    </row>
    <row r="492" spans="1:15" x14ac:dyDescent="0.25">
      <c r="A492" t="s">
        <v>1630</v>
      </c>
      <c r="B492" t="s">
        <v>1631</v>
      </c>
      <c r="C492">
        <v>2458</v>
      </c>
      <c r="D492" t="s">
        <v>1632</v>
      </c>
      <c r="E492" t="s">
        <v>338</v>
      </c>
      <c r="F492" t="s">
        <v>191</v>
      </c>
      <c r="G492" t="e">
        <f>+VLOOKUP(F492,[1]Explore!$B:$I,8,0)</f>
        <v>#N/A</v>
      </c>
      <c r="H492" t="s">
        <v>192</v>
      </c>
      <c r="I492" t="e">
        <f>+VLOOKUP(H492,[1]Explore!$A:$I,9,0)</f>
        <v>#N/A</v>
      </c>
      <c r="J492" t="str">
        <f t="shared" si="14"/>
        <v>BOTH #N/A</v>
      </c>
      <c r="K492" t="str">
        <f t="shared" si="15"/>
        <v>Time</v>
      </c>
      <c r="L492" t="s">
        <v>191</v>
      </c>
      <c r="M492" t="str">
        <f>_xlfn.IFNA(VLOOKUP(K492,'Mapping DEF'!A:C,2,0),"")</f>
        <v>Time</v>
      </c>
      <c r="N492" t="str">
        <f>+_xlfn.IFNA(VLOOKUP(M492,'Mapping DEF'!B:C,2,FALSE),"")</f>
        <v>Other</v>
      </c>
      <c r="O492" t="s">
        <v>2817</v>
      </c>
    </row>
    <row r="493" spans="1:15" x14ac:dyDescent="0.25">
      <c r="A493" t="s">
        <v>1630</v>
      </c>
      <c r="B493" t="s">
        <v>1631</v>
      </c>
      <c r="C493">
        <v>2458</v>
      </c>
      <c r="D493" t="s">
        <v>1632</v>
      </c>
      <c r="E493" t="s">
        <v>574</v>
      </c>
      <c r="F493" t="s">
        <v>346</v>
      </c>
      <c r="G493" t="str">
        <f>+VLOOKUP(F493,[1]Explore!$B:$I,8,0)</f>
        <v>Spread Emerging Markets - Country</v>
      </c>
      <c r="H493" t="s">
        <v>347</v>
      </c>
      <c r="I493" t="str">
        <f>+VLOOKUP(H493,[1]Explore!$A:$I,9,0)</f>
        <v>Spread Emerging Markets - Country</v>
      </c>
      <c r="J493" t="str">
        <f t="shared" si="14"/>
        <v>OK</v>
      </c>
      <c r="K493" t="str">
        <f t="shared" si="15"/>
        <v>Spread Emerging Markets - Country</v>
      </c>
      <c r="L493" t="s">
        <v>188</v>
      </c>
      <c r="M493" t="str">
        <f>_xlfn.IFNA(VLOOKUP(K493,'Mapping DEF'!A:C,2,0),"")</f>
        <v>Spread</v>
      </c>
      <c r="N493" t="str">
        <f>+_xlfn.IFNA(VLOOKUP(M493,'Mapping DEF'!B:C,2,FALSE),"")</f>
        <v>Spread</v>
      </c>
      <c r="O493" t="s">
        <v>2797</v>
      </c>
    </row>
    <row r="494" spans="1:15" x14ac:dyDescent="0.25">
      <c r="A494" t="s">
        <v>1630</v>
      </c>
      <c r="B494" t="s">
        <v>1631</v>
      </c>
      <c r="C494">
        <v>2458</v>
      </c>
      <c r="D494" t="s">
        <v>1632</v>
      </c>
      <c r="E494" t="s">
        <v>498</v>
      </c>
      <c r="F494" t="s">
        <v>349</v>
      </c>
      <c r="G494" t="str">
        <f>+VLOOKUP(F494,[1]Explore!$B:$I,8,0)</f>
        <v>Corporate HY USD - Industry</v>
      </c>
      <c r="H494" t="s">
        <v>350</v>
      </c>
      <c r="I494" t="str">
        <f>+VLOOKUP(H494,[1]Explore!$A:$I,9,0)</f>
        <v>Corporate HY USD - Industry</v>
      </c>
      <c r="J494" t="str">
        <f t="shared" si="14"/>
        <v>OK</v>
      </c>
      <c r="K494" t="str">
        <f t="shared" si="15"/>
        <v>Corporate HY USD - Industry</v>
      </c>
      <c r="L494" t="s">
        <v>188</v>
      </c>
      <c r="M494" t="str">
        <f>_xlfn.IFNA(VLOOKUP(K494,'Mapping DEF'!A:C,2,0),"")</f>
        <v>Spread</v>
      </c>
      <c r="N494" t="str">
        <f>+_xlfn.IFNA(VLOOKUP(M494,'Mapping DEF'!B:C,2,FALSE),"")</f>
        <v>Spread</v>
      </c>
      <c r="O494" t="s">
        <v>2755</v>
      </c>
    </row>
    <row r="495" spans="1:15" x14ac:dyDescent="0.25">
      <c r="A495" t="s">
        <v>1630</v>
      </c>
      <c r="B495" t="s">
        <v>1631</v>
      </c>
      <c r="C495">
        <v>2458</v>
      </c>
      <c r="D495" t="s">
        <v>1632</v>
      </c>
      <c r="E495" t="s">
        <v>859</v>
      </c>
      <c r="F495" t="s">
        <v>220</v>
      </c>
      <c r="G495" t="str">
        <f>+VLOOKUP(F495,[1]Explore!$B:$I,8,0)</f>
        <v>Corporate HY USD - Other</v>
      </c>
      <c r="H495" t="s">
        <v>221</v>
      </c>
      <c r="I495" t="str">
        <f>+VLOOKUP(H495,[1]Explore!$A:$I,9,0)</f>
        <v>Corporate HY USD - Other</v>
      </c>
      <c r="J495" t="str">
        <f t="shared" si="14"/>
        <v>OK</v>
      </c>
      <c r="K495" t="str">
        <f t="shared" si="15"/>
        <v>Corporate HY USD - Other</v>
      </c>
      <c r="L495" t="s">
        <v>27</v>
      </c>
      <c r="M495" t="str">
        <f>_xlfn.IFNA(VLOOKUP(K495,'Mapping DEF'!A:C,2,0),"")</f>
        <v>Spread</v>
      </c>
      <c r="N495" t="str">
        <f>+_xlfn.IFNA(VLOOKUP(M495,'Mapping DEF'!B:C,2,FALSE),"")</f>
        <v>Spread</v>
      </c>
      <c r="O495" t="s">
        <v>2765</v>
      </c>
    </row>
    <row r="496" spans="1:15" x14ac:dyDescent="0.25">
      <c r="A496" t="s">
        <v>1630</v>
      </c>
      <c r="B496" t="s">
        <v>1631</v>
      </c>
      <c r="C496">
        <v>2458</v>
      </c>
      <c r="D496" t="s">
        <v>1632</v>
      </c>
      <c r="E496" t="s">
        <v>860</v>
      </c>
      <c r="F496" t="s">
        <v>430</v>
      </c>
      <c r="G496" t="str">
        <f>+VLOOKUP(F496,[1]Explore!$B:$I,8,0)</f>
        <v>Other - Index</v>
      </c>
      <c r="H496" t="s">
        <v>431</v>
      </c>
      <c r="I496" t="str">
        <f>+VLOOKUP(H496,[1]Explore!$A:$I,9,0)</f>
        <v>Other - Index</v>
      </c>
      <c r="J496" t="str">
        <f t="shared" si="14"/>
        <v>OK</v>
      </c>
      <c r="K496" t="str">
        <f t="shared" si="15"/>
        <v>Other - Index</v>
      </c>
      <c r="L496" t="s">
        <v>27</v>
      </c>
      <c r="M496" t="str">
        <f>_xlfn.IFNA(VLOOKUP(K496,'Mapping DEF'!A:C,2,0),"")</f>
        <v>Other</v>
      </c>
      <c r="N496" t="str">
        <f>+_xlfn.IFNA(VLOOKUP(M496,'Mapping DEF'!B:C,2,FALSE),"")</f>
        <v>Other</v>
      </c>
      <c r="O496" t="s">
        <v>2753</v>
      </c>
    </row>
    <row r="497" spans="1:15" x14ac:dyDescent="0.25">
      <c r="A497" t="s">
        <v>1630</v>
      </c>
      <c r="B497" t="s">
        <v>1631</v>
      </c>
      <c r="C497">
        <v>2458</v>
      </c>
      <c r="D497" t="s">
        <v>1632</v>
      </c>
      <c r="E497" t="s">
        <v>861</v>
      </c>
      <c r="F497" t="s">
        <v>405</v>
      </c>
      <c r="G497" t="e">
        <f>+VLOOKUP(F497,[1]Explore!$B:$I,8,0)</f>
        <v>#N/A</v>
      </c>
      <c r="H497" t="s">
        <v>406</v>
      </c>
      <c r="I497" t="str">
        <f>+VLOOKUP(H497,[1]Explore!$A:$I,9,0)</f>
        <v>Other - Index</v>
      </c>
      <c r="J497" t="str">
        <f t="shared" si="14"/>
        <v>OK</v>
      </c>
      <c r="K497" t="str">
        <f t="shared" si="15"/>
        <v>Other - Index</v>
      </c>
      <c r="L497" t="s">
        <v>27</v>
      </c>
      <c r="M497" t="str">
        <f>_xlfn.IFNA(VLOOKUP(K497,'Mapping DEF'!A:C,2,0),"")</f>
        <v>Other</v>
      </c>
      <c r="N497" t="str">
        <f>+_xlfn.IFNA(VLOOKUP(M497,'Mapping DEF'!B:C,2,FALSE),"")</f>
        <v>Other</v>
      </c>
      <c r="O497" t="s">
        <v>2753</v>
      </c>
    </row>
    <row r="498" spans="1:15" x14ac:dyDescent="0.25">
      <c r="A498" t="s">
        <v>1630</v>
      </c>
      <c r="B498" t="s">
        <v>1631</v>
      </c>
      <c r="C498">
        <v>2458</v>
      </c>
      <c r="D498" t="s">
        <v>1632</v>
      </c>
      <c r="E498" t="s">
        <v>862</v>
      </c>
      <c r="F498" t="s">
        <v>826</v>
      </c>
      <c r="G498" t="str">
        <f>+VLOOKUP(F498,[1]Explore!$B:$I,8,0)</f>
        <v>Equity Implied Volatility</v>
      </c>
      <c r="H498" t="s">
        <v>433</v>
      </c>
      <c r="I498" t="e">
        <f>+VLOOKUP(H498,[1]Explore!$A:$I,9,0)</f>
        <v>#N/A</v>
      </c>
      <c r="J498" t="str">
        <f t="shared" si="14"/>
        <v>OK</v>
      </c>
      <c r="K498" t="str">
        <f t="shared" si="15"/>
        <v>Equity Implied Volatility</v>
      </c>
      <c r="L498" t="s">
        <v>75</v>
      </c>
      <c r="M498" t="str">
        <f>_xlfn.IFNA(VLOOKUP(K498,'Mapping DEF'!A:C,2,0),"")</f>
        <v>Equity Derivatives</v>
      </c>
      <c r="N498" t="str">
        <f>+_xlfn.IFNA(VLOOKUP(M498,'Mapping DEF'!B:C,2,FALSE),"")</f>
        <v>Equity</v>
      </c>
      <c r="O498" t="s">
        <v>2761</v>
      </c>
    </row>
    <row r="499" spans="1:15" x14ac:dyDescent="0.25">
      <c r="A499" t="s">
        <v>1630</v>
      </c>
      <c r="B499" t="s">
        <v>1631</v>
      </c>
      <c r="C499">
        <v>2458</v>
      </c>
      <c r="D499" t="s">
        <v>1632</v>
      </c>
      <c r="E499" t="s">
        <v>863</v>
      </c>
      <c r="F499" t="s">
        <v>369</v>
      </c>
      <c r="G499" t="e">
        <f>+VLOOKUP(F499,[1]Explore!$B:$I,8,0)</f>
        <v>#N/A</v>
      </c>
      <c r="H499" t="s">
        <v>370</v>
      </c>
      <c r="I499" t="str">
        <f>+VLOOKUP(H499,[1]Explore!$A:$I,9,0)</f>
        <v>Emerging Currency</v>
      </c>
      <c r="J499" t="str">
        <f t="shared" si="14"/>
        <v>OK</v>
      </c>
      <c r="K499" t="str">
        <f t="shared" si="15"/>
        <v>Emerging Currency</v>
      </c>
      <c r="L499" t="s">
        <v>70</v>
      </c>
      <c r="M499" t="str">
        <f>_xlfn.IFNA(VLOOKUP(K499,'Mapping DEF'!A:C,2,0),"")</f>
        <v>FX</v>
      </c>
      <c r="N499" t="str">
        <f>+_xlfn.IFNA(VLOOKUP(M499,'Mapping DEF'!B:C,2,FALSE),"")</f>
        <v>FX</v>
      </c>
      <c r="O499" t="s">
        <v>2761</v>
      </c>
    </row>
    <row r="500" spans="1:15" x14ac:dyDescent="0.25">
      <c r="A500" t="s">
        <v>1668</v>
      </c>
      <c r="B500" t="s">
        <v>1669</v>
      </c>
      <c r="C500">
        <v>2203</v>
      </c>
      <c r="D500" t="s">
        <v>1670</v>
      </c>
      <c r="E500" t="s">
        <v>313</v>
      </c>
      <c r="F500" t="s">
        <v>268</v>
      </c>
      <c r="G500" t="str">
        <f>+VLOOKUP(F500,[1]Explore!$B:$I,8,0)</f>
        <v>Alternative - Commodity</v>
      </c>
      <c r="H500" t="s">
        <v>269</v>
      </c>
      <c r="I500" t="str">
        <f>+VLOOKUP(H500,[1]Explore!$A:$I,9,0)</f>
        <v>Alternative - Commodity</v>
      </c>
      <c r="J500" t="str">
        <f t="shared" si="14"/>
        <v>OK</v>
      </c>
      <c r="K500" t="str">
        <f t="shared" si="15"/>
        <v>Alternative - Commodity</v>
      </c>
      <c r="L500" t="s">
        <v>8</v>
      </c>
      <c r="M500" t="str">
        <f>_xlfn.IFNA(VLOOKUP(K500,'Mapping DEF'!A:C,2,0),"")</f>
        <v>Alternative</v>
      </c>
      <c r="N500" t="str">
        <f>+_xlfn.IFNA(VLOOKUP(M500,'Mapping DEF'!B:C,2,FALSE),"")</f>
        <v>Other</v>
      </c>
      <c r="O500" t="s">
        <v>2794</v>
      </c>
    </row>
    <row r="501" spans="1:15" x14ac:dyDescent="0.25">
      <c r="A501" t="s">
        <v>1668</v>
      </c>
      <c r="B501" t="s">
        <v>1669</v>
      </c>
      <c r="C501">
        <v>2203</v>
      </c>
      <c r="D501" t="s">
        <v>1670</v>
      </c>
      <c r="E501" t="s">
        <v>864</v>
      </c>
      <c r="F501" t="s">
        <v>363</v>
      </c>
      <c r="G501" t="str">
        <f>+VLOOKUP(F501,[1]Explore!$B:$I,8,0)</f>
        <v>Govt Emerging Markets</v>
      </c>
      <c r="H501" t="s">
        <v>364</v>
      </c>
      <c r="I501" t="str">
        <f>+VLOOKUP(H501,[1]Explore!$A:$I,9,0)</f>
        <v>Govt Emerging Markets</v>
      </c>
      <c r="J501" t="str">
        <f t="shared" si="14"/>
        <v>OK</v>
      </c>
      <c r="K501" t="str">
        <f t="shared" si="15"/>
        <v>Govt Emerging Markets</v>
      </c>
      <c r="L501" t="s">
        <v>75</v>
      </c>
      <c r="M501" t="str">
        <f>_xlfn.IFNA(VLOOKUP(K501,'Mapping DEF'!A:C,2,0),"")</f>
        <v>Curve (Local)</v>
      </c>
      <c r="N501" t="str">
        <f>+_xlfn.IFNA(VLOOKUP(M501,'Mapping DEF'!B:C,2,FALSE),"")</f>
        <v>Term Structure</v>
      </c>
      <c r="O501" t="s">
        <v>2797</v>
      </c>
    </row>
    <row r="502" spans="1:15" x14ac:dyDescent="0.25">
      <c r="A502" t="s">
        <v>1668</v>
      </c>
      <c r="B502" t="s">
        <v>1669</v>
      </c>
      <c r="C502">
        <v>2203</v>
      </c>
      <c r="D502" t="s">
        <v>1670</v>
      </c>
      <c r="E502" t="s">
        <v>865</v>
      </c>
      <c r="F502" t="s">
        <v>866</v>
      </c>
      <c r="G502" t="e">
        <f>+VLOOKUP(F502,[1]Explore!$B:$I,8,0)</f>
        <v>#N/A</v>
      </c>
      <c r="H502" t="s">
        <v>867</v>
      </c>
      <c r="I502" t="str">
        <f>+VLOOKUP(H502,[1]Explore!$A:$I,9,0)</f>
        <v>Emerging Currency</v>
      </c>
      <c r="J502" t="str">
        <f t="shared" si="14"/>
        <v>OK</v>
      </c>
      <c r="K502" t="str">
        <f t="shared" si="15"/>
        <v>Emerging Currency</v>
      </c>
      <c r="L502" t="s">
        <v>27</v>
      </c>
      <c r="M502" t="str">
        <f>_xlfn.IFNA(VLOOKUP(K502,'Mapping DEF'!A:C,2,0),"")</f>
        <v>FX</v>
      </c>
      <c r="N502" t="str">
        <f>+_xlfn.IFNA(VLOOKUP(M502,'Mapping DEF'!B:C,2,FALSE),"")</f>
        <v>FX</v>
      </c>
      <c r="O502" t="s">
        <v>2776</v>
      </c>
    </row>
    <row r="503" spans="1:15" x14ac:dyDescent="0.25">
      <c r="A503" t="s">
        <v>1668</v>
      </c>
      <c r="B503" t="s">
        <v>1669</v>
      </c>
      <c r="C503">
        <v>2203</v>
      </c>
      <c r="D503" t="s">
        <v>1670</v>
      </c>
      <c r="E503" t="s">
        <v>868</v>
      </c>
      <c r="F503" t="s">
        <v>206</v>
      </c>
      <c r="G503" t="e">
        <f>+VLOOKUP(F503,[1]Explore!$B:$I,8,0)</f>
        <v>#N/A</v>
      </c>
      <c r="H503" t="s">
        <v>206</v>
      </c>
      <c r="I503" t="e">
        <f>+VLOOKUP(H503,[1]Explore!$A:$I,9,0)</f>
        <v>#N/A</v>
      </c>
      <c r="J503" t="str">
        <f t="shared" si="14"/>
        <v>BOTH #N/A</v>
      </c>
      <c r="K503" t="str">
        <f t="shared" si="15"/>
        <v>Dollar Index</v>
      </c>
      <c r="L503" t="s">
        <v>2930</v>
      </c>
      <c r="M503" t="str">
        <f>_xlfn.IFNA(VLOOKUP(K503,'Mapping DEF'!A:C,2,0),"")</f>
        <v>Index Level</v>
      </c>
      <c r="N503" t="str">
        <f>+_xlfn.IFNA(VLOOKUP(M503,'Mapping DEF'!B:C,2,FALSE),"")</f>
        <v>Other</v>
      </c>
      <c r="O503" t="s">
        <v>2822</v>
      </c>
    </row>
    <row r="504" spans="1:15" x14ac:dyDescent="0.25">
      <c r="A504" t="s">
        <v>1668</v>
      </c>
      <c r="B504" t="s">
        <v>1669</v>
      </c>
      <c r="C504">
        <v>2203</v>
      </c>
      <c r="D504" t="s">
        <v>1670</v>
      </c>
      <c r="E504" t="s">
        <v>869</v>
      </c>
      <c r="F504" t="s">
        <v>829</v>
      </c>
      <c r="G504" t="str">
        <f>+VLOOKUP(F504,[1]Explore!$B:$I,8,0)</f>
        <v>Equity Implied Volatility</v>
      </c>
      <c r="H504" t="s">
        <v>830</v>
      </c>
      <c r="I504" t="str">
        <f>+VLOOKUP(H504,[1]Explore!$A:$I,9,0)</f>
        <v>Equity Implied Volatility</v>
      </c>
      <c r="J504" t="str">
        <f t="shared" si="14"/>
        <v>OK</v>
      </c>
      <c r="K504" t="str">
        <f t="shared" si="15"/>
        <v>Equity Implied Volatility</v>
      </c>
      <c r="L504" t="s">
        <v>27</v>
      </c>
      <c r="M504" t="str">
        <f>_xlfn.IFNA(VLOOKUP(K504,'Mapping DEF'!A:C,2,0),"")</f>
        <v>Equity Derivatives</v>
      </c>
      <c r="N504" t="str">
        <f>+_xlfn.IFNA(VLOOKUP(M504,'Mapping DEF'!B:C,2,FALSE),"")</f>
        <v>Equity</v>
      </c>
      <c r="O504" t="s">
        <v>2793</v>
      </c>
    </row>
    <row r="505" spans="1:15" x14ac:dyDescent="0.25">
      <c r="A505" t="s">
        <v>1668</v>
      </c>
      <c r="B505" t="s">
        <v>1669</v>
      </c>
      <c r="C505">
        <v>2203</v>
      </c>
      <c r="D505" t="s">
        <v>1670</v>
      </c>
      <c r="E505" t="s">
        <v>870</v>
      </c>
      <c r="F505" t="s">
        <v>871</v>
      </c>
      <c r="G505" t="str">
        <f>+VLOOKUP(F505,[1]Explore!$B:$I,8,0)</f>
        <v>Equity Implied Volatility</v>
      </c>
      <c r="H505" t="s">
        <v>872</v>
      </c>
      <c r="I505" t="str">
        <f>+VLOOKUP(H505,[1]Explore!$A:$I,9,0)</f>
        <v>Equity Implied Volatility</v>
      </c>
      <c r="J505" t="str">
        <f t="shared" si="14"/>
        <v>OK</v>
      </c>
      <c r="K505" t="str">
        <f t="shared" si="15"/>
        <v>Equity Implied Volatility</v>
      </c>
      <c r="L505" t="s">
        <v>93</v>
      </c>
      <c r="M505" t="str">
        <f>_xlfn.IFNA(VLOOKUP(K505,'Mapping DEF'!A:C,2,0),"")</f>
        <v>Equity Derivatives</v>
      </c>
      <c r="N505" t="str">
        <f>+_xlfn.IFNA(VLOOKUP(M505,'Mapping DEF'!B:C,2,FALSE),"")</f>
        <v>Equity</v>
      </c>
      <c r="O505" t="s">
        <v>2794</v>
      </c>
    </row>
    <row r="506" spans="1:15" x14ac:dyDescent="0.25">
      <c r="A506" t="s">
        <v>1668</v>
      </c>
      <c r="B506" t="s">
        <v>1669</v>
      </c>
      <c r="C506">
        <v>2203</v>
      </c>
      <c r="D506" t="s">
        <v>1670</v>
      </c>
      <c r="E506" t="s">
        <v>873</v>
      </c>
      <c r="F506" t="s">
        <v>656</v>
      </c>
      <c r="G506" t="str">
        <f>+VLOOKUP(F506,[1]Explore!$B:$I,8,0)</f>
        <v>Industrials</v>
      </c>
      <c r="H506" t="s">
        <v>874</v>
      </c>
      <c r="I506" t="e">
        <f>+VLOOKUP(H506,[1]Explore!$A:$I,9,0)</f>
        <v>#N/A</v>
      </c>
      <c r="J506" t="str">
        <f t="shared" si="14"/>
        <v>OK</v>
      </c>
      <c r="K506" t="str">
        <f t="shared" si="15"/>
        <v>Industrials</v>
      </c>
      <c r="L506" t="s">
        <v>93</v>
      </c>
      <c r="M506" t="str">
        <f>_xlfn.IFNA(VLOOKUP(K506,'Mapping DEF'!A:C,2,0),"")</f>
        <v>Industry Allocation</v>
      </c>
      <c r="N506" t="str">
        <f>+_xlfn.IFNA(VLOOKUP(M506,'Mapping DEF'!B:C,2,FALSE),"")</f>
        <v>Equity</v>
      </c>
      <c r="O506" t="s">
        <v>2759</v>
      </c>
    </row>
    <row r="507" spans="1:15" x14ac:dyDescent="0.25">
      <c r="A507" t="s">
        <v>1668</v>
      </c>
      <c r="B507" t="s">
        <v>1669</v>
      </c>
      <c r="C507">
        <v>2203</v>
      </c>
      <c r="D507" t="s">
        <v>1670</v>
      </c>
      <c r="E507" t="s">
        <v>875</v>
      </c>
      <c r="F507" t="s">
        <v>2175</v>
      </c>
      <c r="G507" t="str">
        <f>+VLOOKUP(F507,[1]Explore!$B:$I,8,0)</f>
        <v>Consumer Staples</v>
      </c>
      <c r="H507" t="s">
        <v>397</v>
      </c>
      <c r="I507" t="e">
        <f>+VLOOKUP(H507,[1]Explore!$A:$I,9,0)</f>
        <v>#N/A</v>
      </c>
      <c r="J507" t="str">
        <f t="shared" si="14"/>
        <v>OK</v>
      </c>
      <c r="K507" t="str">
        <f t="shared" si="15"/>
        <v>Consumer Staples</v>
      </c>
      <c r="L507" t="s">
        <v>188</v>
      </c>
      <c r="M507" t="str">
        <f>_xlfn.IFNA(VLOOKUP(K507,'Mapping DEF'!A:C,2,0),"")</f>
        <v>Industry Allocation</v>
      </c>
      <c r="N507" t="str">
        <f>+_xlfn.IFNA(VLOOKUP(M507,'Mapping DEF'!B:C,2,FALSE),"")</f>
        <v>Equity</v>
      </c>
      <c r="O507" t="s">
        <v>2770</v>
      </c>
    </row>
    <row r="508" spans="1:15" x14ac:dyDescent="0.25">
      <c r="A508" t="s">
        <v>1668</v>
      </c>
      <c r="B508" t="s">
        <v>1669</v>
      </c>
      <c r="C508">
        <v>2203</v>
      </c>
      <c r="D508" t="s">
        <v>1670</v>
      </c>
      <c r="E508" t="s">
        <v>876</v>
      </c>
      <c r="F508" t="s">
        <v>877</v>
      </c>
      <c r="G508" t="str">
        <f>+VLOOKUP(F508,[1]Explore!$B:$I,8,0)</f>
        <v>Emerging Markets</v>
      </c>
      <c r="H508" t="s">
        <v>878</v>
      </c>
      <c r="I508" t="str">
        <f>+VLOOKUP(H508,[1]Explore!$A:$I,9,0)</f>
        <v>Spread Emerging Markets - Country</v>
      </c>
      <c r="J508" t="str">
        <f t="shared" si="14"/>
        <v>OK</v>
      </c>
      <c r="K508" t="str">
        <f t="shared" si="15"/>
        <v>Spread Emerging Markets - Country</v>
      </c>
      <c r="L508" t="s">
        <v>188</v>
      </c>
      <c r="M508" t="str">
        <f>_xlfn.IFNA(VLOOKUP(K508,'Mapping DEF'!A:C,2,0),"")</f>
        <v>Spread</v>
      </c>
      <c r="N508" t="str">
        <f>+_xlfn.IFNA(VLOOKUP(M508,'Mapping DEF'!B:C,2,FALSE),"")</f>
        <v>Spread</v>
      </c>
      <c r="O508" t="s">
        <v>2823</v>
      </c>
    </row>
    <row r="509" spans="1:15" x14ac:dyDescent="0.25">
      <c r="A509" t="s">
        <v>1668</v>
      </c>
      <c r="B509" t="s">
        <v>1669</v>
      </c>
      <c r="C509">
        <v>2203</v>
      </c>
      <c r="D509" t="s">
        <v>1670</v>
      </c>
      <c r="E509" t="s">
        <v>882</v>
      </c>
      <c r="F509" t="s">
        <v>346</v>
      </c>
      <c r="G509" t="str">
        <f>+VLOOKUP(F509,[1]Explore!$B:$I,8,0)</f>
        <v>Spread Emerging Markets - Country</v>
      </c>
      <c r="H509" t="s">
        <v>347</v>
      </c>
      <c r="I509" t="str">
        <f>+VLOOKUP(H509,[1]Explore!$A:$I,9,0)</f>
        <v>Spread Emerging Markets - Country</v>
      </c>
      <c r="J509" t="str">
        <f t="shared" si="14"/>
        <v>OK</v>
      </c>
      <c r="K509" t="str">
        <f t="shared" si="15"/>
        <v>Spread Emerging Markets - Country</v>
      </c>
      <c r="L509" t="s">
        <v>188</v>
      </c>
      <c r="M509" t="str">
        <f>_xlfn.IFNA(VLOOKUP(K509,'Mapping DEF'!A:C,2,0),"")</f>
        <v>Spread</v>
      </c>
      <c r="N509" t="str">
        <f>+_xlfn.IFNA(VLOOKUP(M509,'Mapping DEF'!B:C,2,FALSE),"")</f>
        <v>Spread</v>
      </c>
      <c r="O509" t="s">
        <v>2781</v>
      </c>
    </row>
    <row r="510" spans="1:15" x14ac:dyDescent="0.25">
      <c r="A510" t="s">
        <v>1668</v>
      </c>
      <c r="B510" t="s">
        <v>1669</v>
      </c>
      <c r="C510">
        <v>2203</v>
      </c>
      <c r="D510" t="s">
        <v>1670</v>
      </c>
      <c r="E510" t="s">
        <v>883</v>
      </c>
      <c r="F510" t="s">
        <v>783</v>
      </c>
      <c r="G510" t="str">
        <f>+VLOOKUP(F510,[1]Explore!$B:$I,8,0)</f>
        <v>Spread Emerging Markets - Country</v>
      </c>
      <c r="H510" t="s">
        <v>784</v>
      </c>
      <c r="I510" t="str">
        <f>+VLOOKUP(H510,[1]Explore!$A:$I,9,0)</f>
        <v>Spread Emerging Markets - Country</v>
      </c>
      <c r="J510" t="str">
        <f t="shared" si="14"/>
        <v>OK</v>
      </c>
      <c r="K510" t="str">
        <f t="shared" si="15"/>
        <v>Spread Emerging Markets - Country</v>
      </c>
      <c r="L510" t="s">
        <v>27</v>
      </c>
      <c r="M510" t="str">
        <f>_xlfn.IFNA(VLOOKUP(K510,'Mapping DEF'!A:C,2,0),"")</f>
        <v>Spread</v>
      </c>
      <c r="N510" t="str">
        <f>+_xlfn.IFNA(VLOOKUP(M510,'Mapping DEF'!B:C,2,FALSE),"")</f>
        <v>Spread</v>
      </c>
      <c r="O510" t="s">
        <v>2797</v>
      </c>
    </row>
    <row r="511" spans="1:15" x14ac:dyDescent="0.25">
      <c r="A511" t="s">
        <v>1668</v>
      </c>
      <c r="B511" t="s">
        <v>1669</v>
      </c>
      <c r="C511">
        <v>2203</v>
      </c>
      <c r="D511" t="s">
        <v>1670</v>
      </c>
      <c r="E511" t="s">
        <v>884</v>
      </c>
      <c r="F511" t="s">
        <v>1152</v>
      </c>
      <c r="G511" t="str">
        <f>+VLOOKUP(F511,[1]Explore!$B:$I,8,0)</f>
        <v>Other - Index</v>
      </c>
      <c r="H511" t="s">
        <v>885</v>
      </c>
      <c r="I511" t="e">
        <f>+VLOOKUP(H511,[1]Explore!$A:$I,9,0)</f>
        <v>#N/A</v>
      </c>
      <c r="J511" t="str">
        <f t="shared" si="14"/>
        <v>OK</v>
      </c>
      <c r="K511" t="str">
        <f t="shared" si="15"/>
        <v>Other - Index</v>
      </c>
      <c r="L511" t="s">
        <v>27</v>
      </c>
      <c r="M511" t="str">
        <f>_xlfn.IFNA(VLOOKUP(K511,'Mapping DEF'!A:C,2,0),"")</f>
        <v>Other</v>
      </c>
      <c r="N511" t="str">
        <f>+_xlfn.IFNA(VLOOKUP(M511,'Mapping DEF'!B:C,2,FALSE),"")</f>
        <v>Other</v>
      </c>
      <c r="O511" t="s">
        <v>2776</v>
      </c>
    </row>
    <row r="512" spans="1:15" x14ac:dyDescent="0.25">
      <c r="A512" t="s">
        <v>1668</v>
      </c>
      <c r="B512" t="s">
        <v>1669</v>
      </c>
      <c r="C512">
        <v>2203</v>
      </c>
      <c r="D512" t="s">
        <v>1670</v>
      </c>
      <c r="E512" t="s">
        <v>886</v>
      </c>
      <c r="F512" t="s">
        <v>2189</v>
      </c>
      <c r="G512" t="str">
        <f>+VLOOKUP(F512,[1]Explore!$B:$I,8,0)</f>
        <v>Other - Index</v>
      </c>
      <c r="H512" t="s">
        <v>887</v>
      </c>
      <c r="I512" t="e">
        <f>+VLOOKUP(H512,[1]Explore!$A:$I,9,0)</f>
        <v>#N/A</v>
      </c>
      <c r="J512" t="str">
        <f t="shared" si="14"/>
        <v>OK</v>
      </c>
      <c r="K512" t="str">
        <f t="shared" si="15"/>
        <v>Other - Index</v>
      </c>
      <c r="L512" t="s">
        <v>8</v>
      </c>
      <c r="M512" t="str">
        <f>_xlfn.IFNA(VLOOKUP(K512,'Mapping DEF'!A:C,2,0),"")</f>
        <v>Other</v>
      </c>
      <c r="N512" t="str">
        <f>+_xlfn.IFNA(VLOOKUP(M512,'Mapping DEF'!B:C,2,FALSE),"")</f>
        <v>Other</v>
      </c>
      <c r="O512" t="s">
        <v>2753</v>
      </c>
    </row>
    <row r="513" spans="1:15" x14ac:dyDescent="0.25">
      <c r="A513" t="s">
        <v>1710</v>
      </c>
      <c r="B513" t="s">
        <v>1711</v>
      </c>
      <c r="C513">
        <v>2417</v>
      </c>
      <c r="D513" t="s">
        <v>1712</v>
      </c>
      <c r="E513" t="s">
        <v>888</v>
      </c>
      <c r="F513" t="s">
        <v>13</v>
      </c>
      <c r="G513" t="str">
        <f>+VLOOKUP(F513,[1]Explore!$B:$I,8,0)</f>
        <v>Govt USD</v>
      </c>
      <c r="H513" t="s">
        <v>14</v>
      </c>
      <c r="I513" t="str">
        <f>+VLOOKUP(H513,[1]Explore!$A:$I,9,0)</f>
        <v>Govt USD</v>
      </c>
      <c r="J513" t="str">
        <f t="shared" si="14"/>
        <v>OK</v>
      </c>
      <c r="K513" t="str">
        <f t="shared" si="15"/>
        <v>Govt USD</v>
      </c>
      <c r="L513" t="s">
        <v>70</v>
      </c>
      <c r="M513" t="str">
        <f>_xlfn.IFNA(VLOOKUP(K513,'Mapping DEF'!A:C,2,0),"")</f>
        <v>Curve (Local)</v>
      </c>
      <c r="N513" t="str">
        <f>+_xlfn.IFNA(VLOOKUP(M513,'Mapping DEF'!B:C,2,FALSE),"")</f>
        <v>Term Structure</v>
      </c>
      <c r="O513" t="s">
        <v>2778</v>
      </c>
    </row>
    <row r="514" spans="1:15" x14ac:dyDescent="0.25">
      <c r="A514" t="s">
        <v>1710</v>
      </c>
      <c r="B514" t="s">
        <v>1711</v>
      </c>
      <c r="C514">
        <v>2417</v>
      </c>
      <c r="D514" t="s">
        <v>1712</v>
      </c>
      <c r="E514" t="s">
        <v>889</v>
      </c>
      <c r="F514" t="s">
        <v>265</v>
      </c>
      <c r="G514" t="str">
        <f>+VLOOKUP(F514,[1]Explore!$B:$I,8,0)</f>
        <v>Alternative - Commodity</v>
      </c>
      <c r="H514" t="s">
        <v>266</v>
      </c>
      <c r="I514" t="str">
        <f>+VLOOKUP(H514,[1]Explore!$A:$I,9,0)</f>
        <v>Alternative - Commodity</v>
      </c>
      <c r="J514" t="str">
        <f t="shared" si="14"/>
        <v>OK</v>
      </c>
      <c r="K514" t="str">
        <f t="shared" si="15"/>
        <v>Alternative - Commodity</v>
      </c>
      <c r="L514" t="s">
        <v>8</v>
      </c>
      <c r="M514" t="str">
        <f>_xlfn.IFNA(VLOOKUP(K514,'Mapping DEF'!A:C,2,0),"")</f>
        <v>Alternative</v>
      </c>
      <c r="N514" t="str">
        <f>+_xlfn.IFNA(VLOOKUP(M514,'Mapping DEF'!B:C,2,FALSE),"")</f>
        <v>Other</v>
      </c>
      <c r="O514" t="s">
        <v>2794</v>
      </c>
    </row>
    <row r="515" spans="1:15" x14ac:dyDescent="0.25">
      <c r="A515" t="s">
        <v>1710</v>
      </c>
      <c r="B515" t="s">
        <v>1711</v>
      </c>
      <c r="C515">
        <v>2417</v>
      </c>
      <c r="D515" t="s">
        <v>1712</v>
      </c>
      <c r="E515" t="s">
        <v>890</v>
      </c>
      <c r="F515" t="s">
        <v>641</v>
      </c>
      <c r="G515" t="str">
        <f>+VLOOKUP(F515,[1]Explore!$B:$I,8,0)</f>
        <v>Govt Emerging Markets</v>
      </c>
      <c r="H515" t="s">
        <v>642</v>
      </c>
      <c r="I515" t="str">
        <f>+VLOOKUP(H515,[1]Explore!$A:$I,9,0)</f>
        <v>Govt Emerging Markets</v>
      </c>
      <c r="J515" t="str">
        <f t="shared" ref="J515:J578" si="16">IF(AND(ISNA(G515),ISNA(I515)),"BOTH #N/A","OK")</f>
        <v>OK</v>
      </c>
      <c r="K515" t="str">
        <f t="shared" ref="K515:K578" si="17">IFERROR(I515, IFERROR(G515, L515))</f>
        <v>Govt Emerging Markets</v>
      </c>
      <c r="L515" t="s">
        <v>75</v>
      </c>
      <c r="M515" t="str">
        <f>_xlfn.IFNA(VLOOKUP(K515,'Mapping DEF'!A:C,2,0),"")</f>
        <v>Curve (Local)</v>
      </c>
      <c r="N515" t="str">
        <f>+_xlfn.IFNA(VLOOKUP(M515,'Mapping DEF'!B:C,2,FALSE),"")</f>
        <v>Term Structure</v>
      </c>
      <c r="O515" t="s">
        <v>2823</v>
      </c>
    </row>
    <row r="516" spans="1:15" x14ac:dyDescent="0.25">
      <c r="A516" t="s">
        <v>1710</v>
      </c>
      <c r="B516" t="s">
        <v>1711</v>
      </c>
      <c r="C516">
        <v>2417</v>
      </c>
      <c r="D516" t="s">
        <v>1712</v>
      </c>
      <c r="E516" t="s">
        <v>891</v>
      </c>
      <c r="F516" t="s">
        <v>866</v>
      </c>
      <c r="G516" t="e">
        <f>+VLOOKUP(F516,[1]Explore!$B:$I,8,0)</f>
        <v>#N/A</v>
      </c>
      <c r="H516" t="s">
        <v>867</v>
      </c>
      <c r="I516" t="str">
        <f>+VLOOKUP(H516,[1]Explore!$A:$I,9,0)</f>
        <v>Emerging Currency</v>
      </c>
      <c r="J516" t="str">
        <f t="shared" si="16"/>
        <v>OK</v>
      </c>
      <c r="K516" t="str">
        <f t="shared" si="17"/>
        <v>Emerging Currency</v>
      </c>
      <c r="L516" t="s">
        <v>75</v>
      </c>
      <c r="M516" t="str">
        <f>_xlfn.IFNA(VLOOKUP(K516,'Mapping DEF'!A:C,2,0),"")</f>
        <v>FX</v>
      </c>
      <c r="N516" t="str">
        <f>+_xlfn.IFNA(VLOOKUP(M516,'Mapping DEF'!B:C,2,FALSE),"")</f>
        <v>FX</v>
      </c>
      <c r="O516" t="s">
        <v>2768</v>
      </c>
    </row>
    <row r="517" spans="1:15" x14ac:dyDescent="0.25">
      <c r="A517" t="s">
        <v>1710</v>
      </c>
      <c r="B517" t="s">
        <v>1711</v>
      </c>
      <c r="C517">
        <v>2417</v>
      </c>
      <c r="D517" t="s">
        <v>1712</v>
      </c>
      <c r="E517" t="s">
        <v>892</v>
      </c>
      <c r="F517" t="s">
        <v>822</v>
      </c>
      <c r="G517" t="e">
        <f>+VLOOKUP(F517,[1]Explore!$B:$I,8,0)</f>
        <v>#N/A</v>
      </c>
      <c r="H517" t="s">
        <v>823</v>
      </c>
      <c r="I517" t="str">
        <f>+VLOOKUP(H517,[1]Explore!$A:$I,9,0)</f>
        <v>Emerging Currency</v>
      </c>
      <c r="J517" t="str">
        <f t="shared" si="16"/>
        <v>OK</v>
      </c>
      <c r="K517" t="str">
        <f t="shared" si="17"/>
        <v>Emerging Currency</v>
      </c>
      <c r="L517" t="s">
        <v>27</v>
      </c>
      <c r="M517" t="str">
        <f>_xlfn.IFNA(VLOOKUP(K517,'Mapping DEF'!A:C,2,0),"")</f>
        <v>FX</v>
      </c>
      <c r="N517" t="str">
        <f>+_xlfn.IFNA(VLOOKUP(M517,'Mapping DEF'!B:C,2,FALSE),"")</f>
        <v>FX</v>
      </c>
      <c r="O517" t="s">
        <v>2761</v>
      </c>
    </row>
    <row r="518" spans="1:15" x14ac:dyDescent="0.25">
      <c r="A518" t="s">
        <v>1710</v>
      </c>
      <c r="B518" t="s">
        <v>1711</v>
      </c>
      <c r="C518">
        <v>2417</v>
      </c>
      <c r="D518" t="s">
        <v>1712</v>
      </c>
      <c r="E518" t="s">
        <v>893</v>
      </c>
      <c r="F518" t="s">
        <v>206</v>
      </c>
      <c r="G518" t="e">
        <f>+VLOOKUP(F518,[1]Explore!$B:$I,8,0)</f>
        <v>#N/A</v>
      </c>
      <c r="H518" t="s">
        <v>206</v>
      </c>
      <c r="I518" t="e">
        <f>+VLOOKUP(H518,[1]Explore!$A:$I,9,0)</f>
        <v>#N/A</v>
      </c>
      <c r="J518" t="str">
        <f t="shared" si="16"/>
        <v>BOTH #N/A</v>
      </c>
      <c r="K518" t="str">
        <f t="shared" si="17"/>
        <v>Dollar Index</v>
      </c>
      <c r="L518" t="s">
        <v>2930</v>
      </c>
      <c r="M518" t="str">
        <f>_xlfn.IFNA(VLOOKUP(K518,'Mapping DEF'!A:C,2,0),"")</f>
        <v>Index Level</v>
      </c>
      <c r="N518" t="str">
        <f>+_xlfn.IFNA(VLOOKUP(M518,'Mapping DEF'!B:C,2,FALSE),"")</f>
        <v>Other</v>
      </c>
      <c r="O518" t="s">
        <v>2810</v>
      </c>
    </row>
    <row r="519" spans="1:15" x14ac:dyDescent="0.25">
      <c r="A519" t="s">
        <v>1710</v>
      </c>
      <c r="B519" t="s">
        <v>1711</v>
      </c>
      <c r="C519">
        <v>2417</v>
      </c>
      <c r="D519" t="s">
        <v>1712</v>
      </c>
      <c r="E519" t="s">
        <v>894</v>
      </c>
      <c r="F519" t="s">
        <v>829</v>
      </c>
      <c r="G519" t="str">
        <f>+VLOOKUP(F519,[1]Explore!$B:$I,8,0)</f>
        <v>Equity Implied Volatility</v>
      </c>
      <c r="H519" t="s">
        <v>830</v>
      </c>
      <c r="I519" t="str">
        <f>+VLOOKUP(H519,[1]Explore!$A:$I,9,0)</f>
        <v>Equity Implied Volatility</v>
      </c>
      <c r="J519" t="str">
        <f t="shared" si="16"/>
        <v>OK</v>
      </c>
      <c r="K519" t="str">
        <f t="shared" si="17"/>
        <v>Equity Implied Volatility</v>
      </c>
      <c r="L519" t="s">
        <v>27</v>
      </c>
      <c r="M519" t="str">
        <f>_xlfn.IFNA(VLOOKUP(K519,'Mapping DEF'!A:C,2,0),"")</f>
        <v>Equity Derivatives</v>
      </c>
      <c r="N519" t="str">
        <f>+_xlfn.IFNA(VLOOKUP(M519,'Mapping DEF'!B:C,2,FALSE),"")</f>
        <v>Equity</v>
      </c>
      <c r="O519" t="s">
        <v>2794</v>
      </c>
    </row>
    <row r="520" spans="1:15" x14ac:dyDescent="0.25">
      <c r="A520" t="s">
        <v>1710</v>
      </c>
      <c r="B520" t="s">
        <v>1711</v>
      </c>
      <c r="C520">
        <v>2417</v>
      </c>
      <c r="D520" t="s">
        <v>1712</v>
      </c>
      <c r="E520" t="s">
        <v>895</v>
      </c>
      <c r="F520" t="s">
        <v>572</v>
      </c>
      <c r="G520" t="str">
        <f>+VLOOKUP(F520,[1]Explore!$B:$I,8,0)</f>
        <v>Equity Implied Volatility</v>
      </c>
      <c r="H520" t="s">
        <v>573</v>
      </c>
      <c r="I520" t="str">
        <f>+VLOOKUP(H520,[1]Explore!$A:$I,9,0)</f>
        <v>Equity Implied Volatility</v>
      </c>
      <c r="J520" t="str">
        <f t="shared" si="16"/>
        <v>OK</v>
      </c>
      <c r="K520" t="str">
        <f t="shared" si="17"/>
        <v>Equity Implied Volatility</v>
      </c>
      <c r="L520" t="s">
        <v>27</v>
      </c>
      <c r="M520" t="str">
        <f>_xlfn.IFNA(VLOOKUP(K520,'Mapping DEF'!A:C,2,0),"")</f>
        <v>Equity Derivatives</v>
      </c>
      <c r="N520" t="str">
        <f>+_xlfn.IFNA(VLOOKUP(M520,'Mapping DEF'!B:C,2,FALSE),"")</f>
        <v>Equity</v>
      </c>
      <c r="O520" t="s">
        <v>2792</v>
      </c>
    </row>
    <row r="521" spans="1:15" x14ac:dyDescent="0.25">
      <c r="A521" t="s">
        <v>1710</v>
      </c>
      <c r="B521" t="s">
        <v>1711</v>
      </c>
      <c r="C521">
        <v>2417</v>
      </c>
      <c r="D521" t="s">
        <v>1712</v>
      </c>
      <c r="E521" t="s">
        <v>896</v>
      </c>
      <c r="F521" t="s">
        <v>183</v>
      </c>
      <c r="G521" t="str">
        <f>+VLOOKUP(F521,[1]Explore!$B:$I,8,0)</f>
        <v>Equity Implied Volatility</v>
      </c>
      <c r="H521" t="s">
        <v>184</v>
      </c>
      <c r="I521" t="str">
        <f>+VLOOKUP(H521,[1]Explore!$A:$I,9,0)</f>
        <v>Equity Implied Volatility</v>
      </c>
      <c r="J521" t="str">
        <f t="shared" si="16"/>
        <v>OK</v>
      </c>
      <c r="K521" t="str">
        <f t="shared" si="17"/>
        <v>Equity Implied Volatility</v>
      </c>
      <c r="L521" t="s">
        <v>188</v>
      </c>
      <c r="M521" t="str">
        <f>_xlfn.IFNA(VLOOKUP(K521,'Mapping DEF'!A:C,2,0),"")</f>
        <v>Equity Derivatives</v>
      </c>
      <c r="N521" t="str">
        <f>+_xlfn.IFNA(VLOOKUP(M521,'Mapping DEF'!B:C,2,FALSE),"")</f>
        <v>Equity</v>
      </c>
      <c r="O521" t="s">
        <v>2757</v>
      </c>
    </row>
    <row r="522" spans="1:15" x14ac:dyDescent="0.25">
      <c r="A522" t="s">
        <v>1710</v>
      </c>
      <c r="B522" t="s">
        <v>1711</v>
      </c>
      <c r="C522">
        <v>2417</v>
      </c>
      <c r="D522" t="s">
        <v>1712</v>
      </c>
      <c r="E522" t="s">
        <v>897</v>
      </c>
      <c r="F522" t="s">
        <v>877</v>
      </c>
      <c r="G522" t="str">
        <f>+VLOOKUP(F522,[1]Explore!$B:$I,8,0)</f>
        <v>Emerging Markets</v>
      </c>
      <c r="H522" t="s">
        <v>878</v>
      </c>
      <c r="I522" t="str">
        <f>+VLOOKUP(H522,[1]Explore!$A:$I,9,0)</f>
        <v>Spread Emerging Markets - Country</v>
      </c>
      <c r="J522" t="str">
        <f t="shared" si="16"/>
        <v>OK</v>
      </c>
      <c r="K522" t="str">
        <f t="shared" si="17"/>
        <v>Spread Emerging Markets - Country</v>
      </c>
      <c r="L522" t="s">
        <v>188</v>
      </c>
      <c r="M522" t="str">
        <f>_xlfn.IFNA(VLOOKUP(K522,'Mapping DEF'!A:C,2,0),"")</f>
        <v>Spread</v>
      </c>
      <c r="N522" t="str">
        <f>+_xlfn.IFNA(VLOOKUP(M522,'Mapping DEF'!B:C,2,FALSE),"")</f>
        <v>Spread</v>
      </c>
      <c r="O522" t="s">
        <v>2774</v>
      </c>
    </row>
    <row r="523" spans="1:15" x14ac:dyDescent="0.25">
      <c r="A523" t="s">
        <v>1710</v>
      </c>
      <c r="B523" t="s">
        <v>1711</v>
      </c>
      <c r="C523">
        <v>2417</v>
      </c>
      <c r="D523" t="s">
        <v>1712</v>
      </c>
      <c r="E523" t="s">
        <v>898</v>
      </c>
      <c r="F523" t="s">
        <v>576</v>
      </c>
      <c r="G523" t="str">
        <f>+VLOOKUP(F523,[1]Explore!$B:$I,8,0)</f>
        <v>Spread Emerging Markets - Country</v>
      </c>
      <c r="H523" t="s">
        <v>577</v>
      </c>
      <c r="I523" t="str">
        <f>+VLOOKUP(H523,[1]Explore!$A:$I,9,0)</f>
        <v>Spread Emerging Markets - Country</v>
      </c>
      <c r="J523" t="str">
        <f t="shared" si="16"/>
        <v>OK</v>
      </c>
      <c r="K523" t="str">
        <f t="shared" si="17"/>
        <v>Spread Emerging Markets - Country</v>
      </c>
      <c r="L523" t="s">
        <v>188</v>
      </c>
      <c r="M523" t="str">
        <f>_xlfn.IFNA(VLOOKUP(K523,'Mapping DEF'!A:C,2,0),"")</f>
        <v>Spread</v>
      </c>
      <c r="N523" t="str">
        <f>+_xlfn.IFNA(VLOOKUP(M523,'Mapping DEF'!B:C,2,FALSE),"")</f>
        <v>Spread</v>
      </c>
      <c r="O523" t="s">
        <v>2752</v>
      </c>
    </row>
    <row r="524" spans="1:15" x14ac:dyDescent="0.25">
      <c r="A524" t="s">
        <v>1710</v>
      </c>
      <c r="B524" t="s">
        <v>1711</v>
      </c>
      <c r="C524">
        <v>2417</v>
      </c>
      <c r="D524" t="s">
        <v>1712</v>
      </c>
      <c r="E524" t="s">
        <v>899</v>
      </c>
      <c r="F524" t="s">
        <v>900</v>
      </c>
      <c r="G524" t="str">
        <f>+VLOOKUP(F524,[1]Explore!$B:$I,8,0)</f>
        <v>Emerging Markets</v>
      </c>
      <c r="H524" t="s">
        <v>901</v>
      </c>
      <c r="I524" t="str">
        <f>+VLOOKUP(H524,[1]Explore!$A:$I,9,0)</f>
        <v>Spread Emerging Markets - Country</v>
      </c>
      <c r="J524" t="str">
        <f t="shared" si="16"/>
        <v>OK</v>
      </c>
      <c r="K524" t="str">
        <f t="shared" si="17"/>
        <v>Spread Emerging Markets - Country</v>
      </c>
      <c r="L524" t="s">
        <v>188</v>
      </c>
      <c r="M524" t="str">
        <f>_xlfn.IFNA(VLOOKUP(K524,'Mapping DEF'!A:C,2,0),"")</f>
        <v>Spread</v>
      </c>
      <c r="N524" t="str">
        <f>+_xlfn.IFNA(VLOOKUP(M524,'Mapping DEF'!B:C,2,FALSE),"")</f>
        <v>Spread</v>
      </c>
      <c r="O524" t="s">
        <v>2788</v>
      </c>
    </row>
    <row r="525" spans="1:15" x14ac:dyDescent="0.25">
      <c r="A525" t="s">
        <v>1710</v>
      </c>
      <c r="B525" t="s">
        <v>1711</v>
      </c>
      <c r="C525">
        <v>2417</v>
      </c>
      <c r="D525" t="s">
        <v>1712</v>
      </c>
      <c r="E525" t="s">
        <v>902</v>
      </c>
      <c r="F525" t="s">
        <v>903</v>
      </c>
      <c r="G525" t="str">
        <f>+VLOOKUP(F525,[1]Explore!$B:$I,8,0)</f>
        <v>Emerging Markets</v>
      </c>
      <c r="H525" t="s">
        <v>904</v>
      </c>
      <c r="I525" t="str">
        <f>+VLOOKUP(H525,[1]Explore!$A:$I,9,0)</f>
        <v>Spread Emerging Markets - Country</v>
      </c>
      <c r="J525" t="str">
        <f t="shared" si="16"/>
        <v>OK</v>
      </c>
      <c r="K525" t="str">
        <f t="shared" si="17"/>
        <v>Spread Emerging Markets - Country</v>
      </c>
      <c r="L525" t="s">
        <v>27</v>
      </c>
      <c r="M525" t="str">
        <f>_xlfn.IFNA(VLOOKUP(K525,'Mapping DEF'!A:C,2,0),"")</f>
        <v>Spread</v>
      </c>
      <c r="N525" t="str">
        <f>+_xlfn.IFNA(VLOOKUP(M525,'Mapping DEF'!B:C,2,FALSE),"")</f>
        <v>Spread</v>
      </c>
      <c r="O525" t="s">
        <v>2755</v>
      </c>
    </row>
    <row r="526" spans="1:15" x14ac:dyDescent="0.25">
      <c r="A526" t="s">
        <v>1710</v>
      </c>
      <c r="B526" t="s">
        <v>1711</v>
      </c>
      <c r="C526">
        <v>2417</v>
      </c>
      <c r="D526" t="s">
        <v>1712</v>
      </c>
      <c r="E526" t="s">
        <v>905</v>
      </c>
      <c r="F526" t="s">
        <v>826</v>
      </c>
      <c r="G526" t="str">
        <f>+VLOOKUP(F526,[1]Explore!$B:$I,8,0)</f>
        <v>Equity Implied Volatility</v>
      </c>
      <c r="H526" t="s">
        <v>433</v>
      </c>
      <c r="I526" t="e">
        <f>+VLOOKUP(H526,[1]Explore!$A:$I,9,0)</f>
        <v>#N/A</v>
      </c>
      <c r="J526" t="str">
        <f t="shared" si="16"/>
        <v>OK</v>
      </c>
      <c r="K526" t="str">
        <f t="shared" si="17"/>
        <v>Equity Implied Volatility</v>
      </c>
      <c r="L526" t="s">
        <v>8</v>
      </c>
      <c r="M526" t="str">
        <f>_xlfn.IFNA(VLOOKUP(K526,'Mapping DEF'!A:C,2,0),"")</f>
        <v>Equity Derivatives</v>
      </c>
      <c r="N526" t="str">
        <f>+_xlfn.IFNA(VLOOKUP(M526,'Mapping DEF'!B:C,2,FALSE),"")</f>
        <v>Equity</v>
      </c>
      <c r="O526" t="s">
        <v>2763</v>
      </c>
    </row>
    <row r="527" spans="1:15" x14ac:dyDescent="0.25">
      <c r="A527" t="s">
        <v>1746</v>
      </c>
      <c r="B527" t="s">
        <v>1747</v>
      </c>
      <c r="C527">
        <v>2456</v>
      </c>
      <c r="D527" t="s">
        <v>1748</v>
      </c>
      <c r="E527" t="s">
        <v>906</v>
      </c>
      <c r="F527" t="s">
        <v>13</v>
      </c>
      <c r="G527" t="str">
        <f>+VLOOKUP(F527,[1]Explore!$B:$I,8,0)</f>
        <v>Govt USD</v>
      </c>
      <c r="H527" t="s">
        <v>14</v>
      </c>
      <c r="I527" t="str">
        <f>+VLOOKUP(H527,[1]Explore!$A:$I,9,0)</f>
        <v>Govt USD</v>
      </c>
      <c r="J527" t="str">
        <f t="shared" si="16"/>
        <v>OK</v>
      </c>
      <c r="K527" t="str">
        <f t="shared" si="17"/>
        <v>Govt USD</v>
      </c>
      <c r="L527" t="s">
        <v>70</v>
      </c>
      <c r="M527" t="str">
        <f>_xlfn.IFNA(VLOOKUP(K527,'Mapping DEF'!A:C,2,0),"")</f>
        <v>Curve (Local)</v>
      </c>
      <c r="N527" t="str">
        <f>+_xlfn.IFNA(VLOOKUP(M527,'Mapping DEF'!B:C,2,FALSE),"")</f>
        <v>Term Structure</v>
      </c>
      <c r="O527" t="s">
        <v>2790</v>
      </c>
    </row>
    <row r="528" spans="1:15" x14ac:dyDescent="0.25">
      <c r="A528" t="s">
        <v>1746</v>
      </c>
      <c r="B528" t="s">
        <v>1747</v>
      </c>
      <c r="C528">
        <v>2456</v>
      </c>
      <c r="D528" t="s">
        <v>1748</v>
      </c>
      <c r="E528" t="s">
        <v>889</v>
      </c>
      <c r="F528" t="s">
        <v>265</v>
      </c>
      <c r="G528" t="str">
        <f>+VLOOKUP(F528,[1]Explore!$B:$I,8,0)</f>
        <v>Alternative - Commodity</v>
      </c>
      <c r="H528" t="s">
        <v>266</v>
      </c>
      <c r="I528" t="str">
        <f>+VLOOKUP(H528,[1]Explore!$A:$I,9,0)</f>
        <v>Alternative - Commodity</v>
      </c>
      <c r="J528" t="str">
        <f t="shared" si="16"/>
        <v>OK</v>
      </c>
      <c r="K528" t="str">
        <f t="shared" si="17"/>
        <v>Alternative - Commodity</v>
      </c>
      <c r="L528" t="s">
        <v>8</v>
      </c>
      <c r="M528" t="str">
        <f>_xlfn.IFNA(VLOOKUP(K528,'Mapping DEF'!A:C,2,0),"")</f>
        <v>Alternative</v>
      </c>
      <c r="N528" t="str">
        <f>+_xlfn.IFNA(VLOOKUP(M528,'Mapping DEF'!B:C,2,FALSE),"")</f>
        <v>Other</v>
      </c>
      <c r="O528" t="s">
        <v>2794</v>
      </c>
    </row>
    <row r="529" spans="1:15" x14ac:dyDescent="0.25">
      <c r="A529" t="s">
        <v>1746</v>
      </c>
      <c r="B529" t="s">
        <v>1747</v>
      </c>
      <c r="C529">
        <v>2456</v>
      </c>
      <c r="D529" t="s">
        <v>1748</v>
      </c>
      <c r="E529" t="s">
        <v>864</v>
      </c>
      <c r="F529" t="s">
        <v>363</v>
      </c>
      <c r="G529" t="str">
        <f>+VLOOKUP(F529,[1]Explore!$B:$I,8,0)</f>
        <v>Govt Emerging Markets</v>
      </c>
      <c r="H529" t="s">
        <v>364</v>
      </c>
      <c r="I529" t="str">
        <f>+VLOOKUP(H529,[1]Explore!$A:$I,9,0)</f>
        <v>Govt Emerging Markets</v>
      </c>
      <c r="J529" t="str">
        <f t="shared" si="16"/>
        <v>OK</v>
      </c>
      <c r="K529" t="str">
        <f t="shared" si="17"/>
        <v>Govt Emerging Markets</v>
      </c>
      <c r="L529" t="s">
        <v>27</v>
      </c>
      <c r="M529" t="str">
        <f>_xlfn.IFNA(VLOOKUP(K529,'Mapping DEF'!A:C,2,0),"")</f>
        <v>Curve (Local)</v>
      </c>
      <c r="N529" t="str">
        <f>+_xlfn.IFNA(VLOOKUP(M529,'Mapping DEF'!B:C,2,FALSE),"")</f>
        <v>Term Structure</v>
      </c>
      <c r="O529" t="s">
        <v>2797</v>
      </c>
    </row>
    <row r="530" spans="1:15" x14ac:dyDescent="0.25">
      <c r="A530" t="s">
        <v>1746</v>
      </c>
      <c r="B530" t="s">
        <v>1747</v>
      </c>
      <c r="C530">
        <v>2456</v>
      </c>
      <c r="D530" t="s">
        <v>1748</v>
      </c>
      <c r="E530" t="s">
        <v>907</v>
      </c>
      <c r="F530" t="s">
        <v>206</v>
      </c>
      <c r="G530" t="e">
        <f>+VLOOKUP(F530,[1]Explore!$B:$I,8,0)</f>
        <v>#N/A</v>
      </c>
      <c r="H530" t="s">
        <v>206</v>
      </c>
      <c r="I530" t="e">
        <f>+VLOOKUP(H530,[1]Explore!$A:$I,9,0)</f>
        <v>#N/A</v>
      </c>
      <c r="J530" t="str">
        <f t="shared" si="16"/>
        <v>BOTH #N/A</v>
      </c>
      <c r="K530" t="str">
        <f t="shared" si="17"/>
        <v>Dollar Index</v>
      </c>
      <c r="L530" t="s">
        <v>2930</v>
      </c>
      <c r="M530" t="str">
        <f>_xlfn.IFNA(VLOOKUP(K530,'Mapping DEF'!A:C,2,0),"")</f>
        <v>Index Level</v>
      </c>
      <c r="N530" t="str">
        <f>+_xlfn.IFNA(VLOOKUP(M530,'Mapping DEF'!B:C,2,FALSE),"")</f>
        <v>Other</v>
      </c>
      <c r="O530" t="s">
        <v>2824</v>
      </c>
    </row>
    <row r="531" spans="1:15" x14ac:dyDescent="0.25">
      <c r="A531" t="s">
        <v>1746</v>
      </c>
      <c r="B531" t="s">
        <v>1747</v>
      </c>
      <c r="C531">
        <v>2456</v>
      </c>
      <c r="D531" t="s">
        <v>1748</v>
      </c>
      <c r="E531" t="s">
        <v>908</v>
      </c>
      <c r="F531" t="s">
        <v>826</v>
      </c>
      <c r="G531" t="str">
        <f>+VLOOKUP(F531,[1]Explore!$B:$I,8,0)</f>
        <v>Equity Implied Volatility</v>
      </c>
      <c r="H531" t="s">
        <v>827</v>
      </c>
      <c r="I531" t="str">
        <f>+VLOOKUP(H531,[1]Explore!$A:$I,9,0)</f>
        <v>Equity Implied Volatility</v>
      </c>
      <c r="J531" t="str">
        <f t="shared" si="16"/>
        <v>OK</v>
      </c>
      <c r="K531" t="str">
        <f t="shared" si="17"/>
        <v>Equity Implied Volatility</v>
      </c>
      <c r="L531" t="s">
        <v>27</v>
      </c>
      <c r="M531" t="str">
        <f>_xlfn.IFNA(VLOOKUP(K531,'Mapping DEF'!A:C,2,0),"")</f>
        <v>Equity Derivatives</v>
      </c>
      <c r="N531" t="str">
        <f>+_xlfn.IFNA(VLOOKUP(M531,'Mapping DEF'!B:C,2,FALSE),"")</f>
        <v>Equity</v>
      </c>
      <c r="O531" t="s">
        <v>2776</v>
      </c>
    </row>
    <row r="532" spans="1:15" x14ac:dyDescent="0.25">
      <c r="A532" t="s">
        <v>1746</v>
      </c>
      <c r="B532" t="s">
        <v>1747</v>
      </c>
      <c r="C532">
        <v>2456</v>
      </c>
      <c r="D532" t="s">
        <v>1748</v>
      </c>
      <c r="E532" t="s">
        <v>870</v>
      </c>
      <c r="F532" t="s">
        <v>871</v>
      </c>
      <c r="G532" t="str">
        <f>+VLOOKUP(F532,[1]Explore!$B:$I,8,0)</f>
        <v>Equity Implied Volatility</v>
      </c>
      <c r="H532" t="s">
        <v>872</v>
      </c>
      <c r="I532" t="str">
        <f>+VLOOKUP(H532,[1]Explore!$A:$I,9,0)</f>
        <v>Equity Implied Volatility</v>
      </c>
      <c r="J532" t="str">
        <f t="shared" si="16"/>
        <v>OK</v>
      </c>
      <c r="K532" t="str">
        <f t="shared" si="17"/>
        <v>Equity Implied Volatility</v>
      </c>
      <c r="L532" t="s">
        <v>27</v>
      </c>
      <c r="M532" t="str">
        <f>_xlfn.IFNA(VLOOKUP(K532,'Mapping DEF'!A:C,2,0),"")</f>
        <v>Equity Derivatives</v>
      </c>
      <c r="N532" t="str">
        <f>+_xlfn.IFNA(VLOOKUP(M532,'Mapping DEF'!B:C,2,FALSE),"")</f>
        <v>Equity</v>
      </c>
      <c r="O532" t="s">
        <v>2794</v>
      </c>
    </row>
    <row r="533" spans="1:15" x14ac:dyDescent="0.25">
      <c r="A533" t="s">
        <v>1746</v>
      </c>
      <c r="B533" t="s">
        <v>1747</v>
      </c>
      <c r="C533">
        <v>2456</v>
      </c>
      <c r="D533" t="s">
        <v>1748</v>
      </c>
      <c r="E533" t="s">
        <v>909</v>
      </c>
      <c r="F533" t="s">
        <v>183</v>
      </c>
      <c r="G533" t="str">
        <f>+VLOOKUP(F533,[1]Explore!$B:$I,8,0)</f>
        <v>Equity Implied Volatility</v>
      </c>
      <c r="H533" t="s">
        <v>184</v>
      </c>
      <c r="I533" t="str">
        <f>+VLOOKUP(H533,[1]Explore!$A:$I,9,0)</f>
        <v>Equity Implied Volatility</v>
      </c>
      <c r="J533" t="str">
        <f t="shared" si="16"/>
        <v>OK</v>
      </c>
      <c r="K533" t="str">
        <f t="shared" si="17"/>
        <v>Equity Implied Volatility</v>
      </c>
      <c r="L533" t="s">
        <v>27</v>
      </c>
      <c r="M533" t="str">
        <f>_xlfn.IFNA(VLOOKUP(K533,'Mapping DEF'!A:C,2,0),"")</f>
        <v>Equity Derivatives</v>
      </c>
      <c r="N533" t="str">
        <f>+_xlfn.IFNA(VLOOKUP(M533,'Mapping DEF'!B:C,2,FALSE),"")</f>
        <v>Equity</v>
      </c>
      <c r="O533" t="s">
        <v>2759</v>
      </c>
    </row>
    <row r="534" spans="1:15" x14ac:dyDescent="0.25">
      <c r="A534" t="s">
        <v>1746</v>
      </c>
      <c r="B534" t="s">
        <v>1747</v>
      </c>
      <c r="C534">
        <v>2456</v>
      </c>
      <c r="D534" t="s">
        <v>1748</v>
      </c>
      <c r="E534" t="s">
        <v>338</v>
      </c>
      <c r="F534" t="s">
        <v>191</v>
      </c>
      <c r="G534" t="e">
        <f>+VLOOKUP(F534,[1]Explore!$B:$I,8,0)</f>
        <v>#N/A</v>
      </c>
      <c r="H534" t="s">
        <v>192</v>
      </c>
      <c r="I534" t="e">
        <f>+VLOOKUP(H534,[1]Explore!$A:$I,9,0)</f>
        <v>#N/A</v>
      </c>
      <c r="J534" t="str">
        <f t="shared" si="16"/>
        <v>BOTH #N/A</v>
      </c>
      <c r="K534" t="str">
        <f t="shared" si="17"/>
        <v>Time</v>
      </c>
      <c r="L534" t="s">
        <v>191</v>
      </c>
      <c r="M534" t="str">
        <f>_xlfn.IFNA(VLOOKUP(K534,'Mapping DEF'!A:C,2,0),"")</f>
        <v>Time</v>
      </c>
      <c r="N534" t="str">
        <f>+_xlfn.IFNA(VLOOKUP(M534,'Mapping DEF'!B:C,2,FALSE),"")</f>
        <v>Other</v>
      </c>
      <c r="O534" t="s">
        <v>2817</v>
      </c>
    </row>
    <row r="535" spans="1:15" x14ac:dyDescent="0.25">
      <c r="A535" t="s">
        <v>1746</v>
      </c>
      <c r="B535" t="s">
        <v>1747</v>
      </c>
      <c r="C535">
        <v>2456</v>
      </c>
      <c r="D535" t="s">
        <v>1748</v>
      </c>
      <c r="E535" t="s">
        <v>873</v>
      </c>
      <c r="F535" t="s">
        <v>656</v>
      </c>
      <c r="G535" t="str">
        <f>+VLOOKUP(F535,[1]Explore!$B:$I,8,0)</f>
        <v>Industrials</v>
      </c>
      <c r="H535" t="s">
        <v>874</v>
      </c>
      <c r="I535" t="e">
        <f>+VLOOKUP(H535,[1]Explore!$A:$I,9,0)</f>
        <v>#N/A</v>
      </c>
      <c r="J535" t="str">
        <f t="shared" si="16"/>
        <v>OK</v>
      </c>
      <c r="K535" t="str">
        <f t="shared" si="17"/>
        <v>Industrials</v>
      </c>
      <c r="L535" t="s">
        <v>93</v>
      </c>
      <c r="M535" t="str">
        <f>_xlfn.IFNA(VLOOKUP(K535,'Mapping DEF'!A:C,2,0),"")</f>
        <v>Industry Allocation</v>
      </c>
      <c r="N535" t="str">
        <f>+_xlfn.IFNA(VLOOKUP(M535,'Mapping DEF'!B:C,2,FALSE),"")</f>
        <v>Equity</v>
      </c>
      <c r="O535" t="s">
        <v>2759</v>
      </c>
    </row>
    <row r="536" spans="1:15" x14ac:dyDescent="0.25">
      <c r="A536" t="s">
        <v>1746</v>
      </c>
      <c r="B536" t="s">
        <v>1747</v>
      </c>
      <c r="C536">
        <v>2456</v>
      </c>
      <c r="D536" t="s">
        <v>1748</v>
      </c>
      <c r="E536" t="s">
        <v>875</v>
      </c>
      <c r="F536" t="s">
        <v>2175</v>
      </c>
      <c r="G536" t="str">
        <f>+VLOOKUP(F536,[1]Explore!$B:$I,8,0)</f>
        <v>Consumer Staples</v>
      </c>
      <c r="H536" t="s">
        <v>397</v>
      </c>
      <c r="I536" t="e">
        <f>+VLOOKUP(H536,[1]Explore!$A:$I,9,0)</f>
        <v>#N/A</v>
      </c>
      <c r="J536" t="str">
        <f t="shared" si="16"/>
        <v>OK</v>
      </c>
      <c r="K536" t="str">
        <f t="shared" si="17"/>
        <v>Consumer Staples</v>
      </c>
      <c r="L536" t="s">
        <v>188</v>
      </c>
      <c r="M536" t="str">
        <f>_xlfn.IFNA(VLOOKUP(K536,'Mapping DEF'!A:C,2,0),"")</f>
        <v>Industry Allocation</v>
      </c>
      <c r="N536" t="str">
        <f>+_xlfn.IFNA(VLOOKUP(M536,'Mapping DEF'!B:C,2,FALSE),"")</f>
        <v>Equity</v>
      </c>
      <c r="O536" t="s">
        <v>2770</v>
      </c>
    </row>
    <row r="537" spans="1:15" x14ac:dyDescent="0.25">
      <c r="A537" t="s">
        <v>1746</v>
      </c>
      <c r="B537" t="s">
        <v>1747</v>
      </c>
      <c r="C537">
        <v>2456</v>
      </c>
      <c r="D537" t="s">
        <v>1748</v>
      </c>
      <c r="E537" t="s">
        <v>876</v>
      </c>
      <c r="F537" t="s">
        <v>877</v>
      </c>
      <c r="G537" t="str">
        <f>+VLOOKUP(F537,[1]Explore!$B:$I,8,0)</f>
        <v>Emerging Markets</v>
      </c>
      <c r="H537" t="s">
        <v>878</v>
      </c>
      <c r="I537" t="str">
        <f>+VLOOKUP(H537,[1]Explore!$A:$I,9,0)</f>
        <v>Spread Emerging Markets - Country</v>
      </c>
      <c r="J537" t="str">
        <f t="shared" si="16"/>
        <v>OK</v>
      </c>
      <c r="K537" t="str">
        <f t="shared" si="17"/>
        <v>Spread Emerging Markets - Country</v>
      </c>
      <c r="L537" t="s">
        <v>188</v>
      </c>
      <c r="M537" t="str">
        <f>_xlfn.IFNA(VLOOKUP(K537,'Mapping DEF'!A:C,2,0),"")</f>
        <v>Spread</v>
      </c>
      <c r="N537" t="str">
        <f>+_xlfn.IFNA(VLOOKUP(M537,'Mapping DEF'!B:C,2,FALSE),"")</f>
        <v>Spread</v>
      </c>
      <c r="O537" t="s">
        <v>2823</v>
      </c>
    </row>
    <row r="538" spans="1:15" x14ac:dyDescent="0.25">
      <c r="A538" t="s">
        <v>1746</v>
      </c>
      <c r="B538" t="s">
        <v>1747</v>
      </c>
      <c r="C538">
        <v>2456</v>
      </c>
      <c r="D538" t="s">
        <v>1748</v>
      </c>
      <c r="E538" t="s">
        <v>910</v>
      </c>
      <c r="F538" t="s">
        <v>346</v>
      </c>
      <c r="G538" t="str">
        <f>+VLOOKUP(F538,[1]Explore!$B:$I,8,0)</f>
        <v>Spread Emerging Markets - Country</v>
      </c>
      <c r="H538" t="s">
        <v>347</v>
      </c>
      <c r="I538" t="str">
        <f>+VLOOKUP(H538,[1]Explore!$A:$I,9,0)</f>
        <v>Spread Emerging Markets - Country</v>
      </c>
      <c r="J538" t="str">
        <f t="shared" si="16"/>
        <v>OK</v>
      </c>
      <c r="K538" t="str">
        <f t="shared" si="17"/>
        <v>Spread Emerging Markets - Country</v>
      </c>
      <c r="L538" t="s">
        <v>27</v>
      </c>
      <c r="M538" t="str">
        <f>_xlfn.IFNA(VLOOKUP(K538,'Mapping DEF'!A:C,2,0),"")</f>
        <v>Spread</v>
      </c>
      <c r="N538" t="str">
        <f>+_xlfn.IFNA(VLOOKUP(M538,'Mapping DEF'!B:C,2,FALSE),"")</f>
        <v>Spread</v>
      </c>
      <c r="O538" t="s">
        <v>2788</v>
      </c>
    </row>
    <row r="539" spans="1:15" x14ac:dyDescent="0.25">
      <c r="A539" t="s">
        <v>1746</v>
      </c>
      <c r="B539" t="s">
        <v>1747</v>
      </c>
      <c r="C539">
        <v>2456</v>
      </c>
      <c r="D539" t="s">
        <v>1748</v>
      </c>
      <c r="E539" t="s">
        <v>884</v>
      </c>
      <c r="F539" t="s">
        <v>1152</v>
      </c>
      <c r="G539" t="str">
        <f>+VLOOKUP(F539,[1]Explore!$B:$I,8,0)</f>
        <v>Other - Index</v>
      </c>
      <c r="H539" t="s">
        <v>885</v>
      </c>
      <c r="I539" t="e">
        <f>+VLOOKUP(H539,[1]Explore!$A:$I,9,0)</f>
        <v>#N/A</v>
      </c>
      <c r="J539" t="str">
        <f t="shared" si="16"/>
        <v>OK</v>
      </c>
      <c r="K539" t="str">
        <f t="shared" si="17"/>
        <v>Other - Index</v>
      </c>
      <c r="L539" t="s">
        <v>27</v>
      </c>
      <c r="M539" t="str">
        <f>_xlfn.IFNA(VLOOKUP(K539,'Mapping DEF'!A:C,2,0),"")</f>
        <v>Other</v>
      </c>
      <c r="N539" t="str">
        <f>+_xlfn.IFNA(VLOOKUP(M539,'Mapping DEF'!B:C,2,FALSE),"")</f>
        <v>Other</v>
      </c>
      <c r="O539" t="s">
        <v>2776</v>
      </c>
    </row>
    <row r="540" spans="1:15" x14ac:dyDescent="0.25">
      <c r="A540" t="s">
        <v>1746</v>
      </c>
      <c r="B540" t="s">
        <v>1747</v>
      </c>
      <c r="C540">
        <v>2456</v>
      </c>
      <c r="D540" t="s">
        <v>1748</v>
      </c>
      <c r="E540" t="s">
        <v>886</v>
      </c>
      <c r="F540" t="s">
        <v>2189</v>
      </c>
      <c r="G540" t="str">
        <f>+VLOOKUP(F540,[1]Explore!$B:$I,8,0)</f>
        <v>Other - Index</v>
      </c>
      <c r="H540" t="s">
        <v>887</v>
      </c>
      <c r="I540" t="e">
        <f>+VLOOKUP(H540,[1]Explore!$A:$I,9,0)</f>
        <v>#N/A</v>
      </c>
      <c r="J540" t="str">
        <f t="shared" si="16"/>
        <v>OK</v>
      </c>
      <c r="K540" t="str">
        <f t="shared" si="17"/>
        <v>Other - Index</v>
      </c>
      <c r="L540" t="s">
        <v>8</v>
      </c>
      <c r="M540" t="str">
        <f>_xlfn.IFNA(VLOOKUP(K540,'Mapping DEF'!A:C,2,0),"")</f>
        <v>Other</v>
      </c>
      <c r="N540" t="str">
        <f>+_xlfn.IFNA(VLOOKUP(M540,'Mapping DEF'!B:C,2,FALSE),"")</f>
        <v>Other</v>
      </c>
      <c r="O540" t="s">
        <v>2753</v>
      </c>
    </row>
    <row r="541" spans="1:15" x14ac:dyDescent="0.25">
      <c r="A541" t="s">
        <v>1786</v>
      </c>
      <c r="B541" t="s">
        <v>1787</v>
      </c>
      <c r="C541">
        <v>2418</v>
      </c>
      <c r="D541" t="s">
        <v>1788</v>
      </c>
      <c r="E541" t="s">
        <v>911</v>
      </c>
      <c r="F541" t="s">
        <v>19</v>
      </c>
      <c r="G541" t="str">
        <f>+VLOOKUP(F541,[1]Explore!$B:$I,8,0)</f>
        <v>Govt USD</v>
      </c>
      <c r="H541" t="s">
        <v>20</v>
      </c>
      <c r="I541" t="str">
        <f>+VLOOKUP(H541,[1]Explore!$A:$I,9,0)</f>
        <v>Govt USD</v>
      </c>
      <c r="J541" t="str">
        <f t="shared" si="16"/>
        <v>OK</v>
      </c>
      <c r="K541" t="str">
        <f t="shared" si="17"/>
        <v>Govt USD</v>
      </c>
      <c r="L541" t="s">
        <v>27</v>
      </c>
      <c r="M541" t="str">
        <f>_xlfn.IFNA(VLOOKUP(K541,'Mapping DEF'!A:C,2,0),"")</f>
        <v>Curve (Local)</v>
      </c>
      <c r="N541" t="str">
        <f>+_xlfn.IFNA(VLOOKUP(M541,'Mapping DEF'!B:C,2,FALSE),"")</f>
        <v>Term Structure</v>
      </c>
      <c r="O541" t="s">
        <v>2790</v>
      </c>
    </row>
    <row r="542" spans="1:15" x14ac:dyDescent="0.25">
      <c r="A542" t="s">
        <v>1786</v>
      </c>
      <c r="B542" t="s">
        <v>1787</v>
      </c>
      <c r="C542">
        <v>2418</v>
      </c>
      <c r="D542" t="s">
        <v>1788</v>
      </c>
      <c r="E542" t="s">
        <v>915</v>
      </c>
      <c r="F542" t="s">
        <v>206</v>
      </c>
      <c r="G542" t="e">
        <f>+VLOOKUP(F542,[1]Explore!$B:$I,8,0)</f>
        <v>#N/A</v>
      </c>
      <c r="H542" t="s">
        <v>206</v>
      </c>
      <c r="I542" t="e">
        <f>+VLOOKUP(H542,[1]Explore!$A:$I,9,0)</f>
        <v>#N/A</v>
      </c>
      <c r="J542" t="str">
        <f t="shared" si="16"/>
        <v>BOTH #N/A</v>
      </c>
      <c r="K542" t="str">
        <f t="shared" si="17"/>
        <v>Dollar Index</v>
      </c>
      <c r="L542" t="s">
        <v>2930</v>
      </c>
      <c r="M542" t="str">
        <f>_xlfn.IFNA(VLOOKUP(K542,'Mapping DEF'!A:C,2,0),"")</f>
        <v>Index Level</v>
      </c>
      <c r="N542" t="str">
        <f>+_xlfn.IFNA(VLOOKUP(M542,'Mapping DEF'!B:C,2,FALSE),"")</f>
        <v>Other</v>
      </c>
      <c r="O542" t="s">
        <v>2764</v>
      </c>
    </row>
    <row r="543" spans="1:15" x14ac:dyDescent="0.25">
      <c r="A543" t="s">
        <v>1786</v>
      </c>
      <c r="B543" t="s">
        <v>1787</v>
      </c>
      <c r="C543">
        <v>2418</v>
      </c>
      <c r="D543" t="s">
        <v>1788</v>
      </c>
      <c r="E543" t="s">
        <v>916</v>
      </c>
      <c r="F543" t="s">
        <v>826</v>
      </c>
      <c r="G543" t="str">
        <f>+VLOOKUP(F543,[1]Explore!$B:$I,8,0)</f>
        <v>Equity Implied Volatility</v>
      </c>
      <c r="H543" t="s">
        <v>827</v>
      </c>
      <c r="I543" t="str">
        <f>+VLOOKUP(H543,[1]Explore!$A:$I,9,0)</f>
        <v>Equity Implied Volatility</v>
      </c>
      <c r="J543" t="str">
        <f t="shared" si="16"/>
        <v>OK</v>
      </c>
      <c r="K543" t="str">
        <f t="shared" si="17"/>
        <v>Equity Implied Volatility</v>
      </c>
      <c r="L543" t="s">
        <v>188</v>
      </c>
      <c r="M543" t="str">
        <f>_xlfn.IFNA(VLOOKUP(K543,'Mapping DEF'!A:C,2,0),"")</f>
        <v>Equity Derivatives</v>
      </c>
      <c r="N543" t="str">
        <f>+_xlfn.IFNA(VLOOKUP(M543,'Mapping DEF'!B:C,2,FALSE),"")</f>
        <v>Equity</v>
      </c>
      <c r="O543" t="s">
        <v>2807</v>
      </c>
    </row>
    <row r="544" spans="1:15" x14ac:dyDescent="0.25">
      <c r="A544" t="s">
        <v>1786</v>
      </c>
      <c r="B544" t="s">
        <v>1787</v>
      </c>
      <c r="C544">
        <v>2418</v>
      </c>
      <c r="D544" t="s">
        <v>1788</v>
      </c>
      <c r="E544" t="s">
        <v>917</v>
      </c>
      <c r="F544" t="s">
        <v>346</v>
      </c>
      <c r="G544" t="str">
        <f>+VLOOKUP(F544,[1]Explore!$B:$I,8,0)</f>
        <v>Spread Emerging Markets - Country</v>
      </c>
      <c r="H544" t="s">
        <v>347</v>
      </c>
      <c r="I544" t="str">
        <f>+VLOOKUP(H544,[1]Explore!$A:$I,9,0)</f>
        <v>Spread Emerging Markets - Country</v>
      </c>
      <c r="J544" t="str">
        <f t="shared" si="16"/>
        <v>OK</v>
      </c>
      <c r="K544" t="str">
        <f t="shared" si="17"/>
        <v>Spread Emerging Markets - Country</v>
      </c>
      <c r="L544" t="s">
        <v>27</v>
      </c>
      <c r="M544" t="str">
        <f>_xlfn.IFNA(VLOOKUP(K544,'Mapping DEF'!A:C,2,0),"")</f>
        <v>Spread</v>
      </c>
      <c r="N544" t="str">
        <f>+_xlfn.IFNA(VLOOKUP(M544,'Mapping DEF'!B:C,2,FALSE),"")</f>
        <v>Spread</v>
      </c>
      <c r="O544" t="s">
        <v>2780</v>
      </c>
    </row>
    <row r="545" spans="1:15" x14ac:dyDescent="0.25">
      <c r="A545" t="s">
        <v>1786</v>
      </c>
      <c r="B545" t="s">
        <v>1787</v>
      </c>
      <c r="C545">
        <v>2418</v>
      </c>
      <c r="D545" t="s">
        <v>1788</v>
      </c>
      <c r="E545" t="s">
        <v>918</v>
      </c>
      <c r="F545" t="s">
        <v>430</v>
      </c>
      <c r="G545" t="str">
        <f>+VLOOKUP(F545,[1]Explore!$B:$I,8,0)</f>
        <v>Other - Index</v>
      </c>
      <c r="H545" t="s">
        <v>515</v>
      </c>
      <c r="I545" t="e">
        <f>+VLOOKUP(H545,[1]Explore!$A:$I,9,0)</f>
        <v>#N/A</v>
      </c>
      <c r="J545" t="str">
        <f t="shared" si="16"/>
        <v>OK</v>
      </c>
      <c r="K545" t="str">
        <f t="shared" si="17"/>
        <v>Other - Index</v>
      </c>
      <c r="L545" t="s">
        <v>8</v>
      </c>
      <c r="M545" t="str">
        <f>_xlfn.IFNA(VLOOKUP(K545,'Mapping DEF'!A:C,2,0),"")</f>
        <v>Other</v>
      </c>
      <c r="N545" t="str">
        <f>+_xlfn.IFNA(VLOOKUP(M545,'Mapping DEF'!B:C,2,FALSE),"")</f>
        <v>Other</v>
      </c>
      <c r="O545" t="s">
        <v>2794</v>
      </c>
    </row>
    <row r="546" spans="1:15" x14ac:dyDescent="0.25">
      <c r="A546" t="s">
        <v>1798</v>
      </c>
      <c r="B546" t="s">
        <v>1799</v>
      </c>
      <c r="C546">
        <v>2416</v>
      </c>
      <c r="D546" t="s">
        <v>1800</v>
      </c>
      <c r="E546" t="s">
        <v>606</v>
      </c>
      <c r="F546" t="s">
        <v>19</v>
      </c>
      <c r="G546" t="str">
        <f>+VLOOKUP(F546,[1]Explore!$B:$I,8,0)</f>
        <v>Govt USD</v>
      </c>
      <c r="H546" t="s">
        <v>20</v>
      </c>
      <c r="I546" t="str">
        <f>+VLOOKUP(H546,[1]Explore!$A:$I,9,0)</f>
        <v>Govt USD</v>
      </c>
      <c r="J546" t="str">
        <f t="shared" si="16"/>
        <v>OK</v>
      </c>
      <c r="K546" t="str">
        <f t="shared" si="17"/>
        <v>Govt USD</v>
      </c>
      <c r="L546" t="s">
        <v>70</v>
      </c>
      <c r="M546" t="str">
        <f>_xlfn.IFNA(VLOOKUP(K546,'Mapping DEF'!A:C,2,0),"")</f>
        <v>Curve (Local)</v>
      </c>
      <c r="N546" t="str">
        <f>+_xlfn.IFNA(VLOOKUP(M546,'Mapping DEF'!B:C,2,FALSE),"")</f>
        <v>Term Structure</v>
      </c>
      <c r="O546" t="s">
        <v>2752</v>
      </c>
    </row>
    <row r="547" spans="1:15" x14ac:dyDescent="0.25">
      <c r="A547" t="s">
        <v>1798</v>
      </c>
      <c r="B547" t="s">
        <v>1799</v>
      </c>
      <c r="C547">
        <v>2416</v>
      </c>
      <c r="D547" t="s">
        <v>1800</v>
      </c>
      <c r="E547" t="s">
        <v>919</v>
      </c>
      <c r="F547" t="s">
        <v>438</v>
      </c>
      <c r="G547" t="str">
        <f>+VLOOKUP(F547,[1]Explore!$B:$I,8,0)</f>
        <v>Materials</v>
      </c>
      <c r="H547" t="s">
        <v>439</v>
      </c>
      <c r="I547" t="str">
        <f>+VLOOKUP(H547,[1]Explore!$A:$I,9,0)</f>
        <v>Alternative - Commodity</v>
      </c>
      <c r="J547" t="str">
        <f t="shared" si="16"/>
        <v>OK</v>
      </c>
      <c r="K547" t="str">
        <f t="shared" si="17"/>
        <v>Alternative - Commodity</v>
      </c>
      <c r="L547" t="s">
        <v>8</v>
      </c>
      <c r="M547" t="str">
        <f>_xlfn.IFNA(VLOOKUP(K547,'Mapping DEF'!A:C,2,0),"")</f>
        <v>Alternative</v>
      </c>
      <c r="N547" t="str">
        <f>+_xlfn.IFNA(VLOOKUP(M547,'Mapping DEF'!B:C,2,FALSE),"")</f>
        <v>Other</v>
      </c>
      <c r="O547" t="s">
        <v>2810</v>
      </c>
    </row>
    <row r="548" spans="1:15" x14ac:dyDescent="0.25">
      <c r="A548" t="s">
        <v>1798</v>
      </c>
      <c r="B548" t="s">
        <v>1799</v>
      </c>
      <c r="C548">
        <v>2416</v>
      </c>
      <c r="D548" t="s">
        <v>1800</v>
      </c>
      <c r="E548" t="s">
        <v>920</v>
      </c>
      <c r="F548" t="s">
        <v>921</v>
      </c>
      <c r="G548" t="str">
        <f>+VLOOKUP(F548,[1]Explore!$B:$I,8,0)</f>
        <v>Govt Emerging Markets</v>
      </c>
      <c r="H548" t="s">
        <v>922</v>
      </c>
      <c r="I548" t="str">
        <f>+VLOOKUP(H548,[1]Explore!$A:$I,9,0)</f>
        <v>Govt Emerging Markets</v>
      </c>
      <c r="J548" t="str">
        <f t="shared" si="16"/>
        <v>OK</v>
      </c>
      <c r="K548" t="str">
        <f t="shared" si="17"/>
        <v>Govt Emerging Markets</v>
      </c>
      <c r="L548" t="s">
        <v>75</v>
      </c>
      <c r="M548" t="str">
        <f>_xlfn.IFNA(VLOOKUP(K548,'Mapping DEF'!A:C,2,0),"")</f>
        <v>Curve (Local)</v>
      </c>
      <c r="N548" t="str">
        <f>+_xlfn.IFNA(VLOOKUP(M548,'Mapping DEF'!B:C,2,FALSE),"")</f>
        <v>Term Structure</v>
      </c>
      <c r="O548" t="s">
        <v>2756</v>
      </c>
    </row>
    <row r="549" spans="1:15" x14ac:dyDescent="0.25">
      <c r="A549" t="s">
        <v>1798</v>
      </c>
      <c r="B549" t="s">
        <v>1799</v>
      </c>
      <c r="C549">
        <v>2416</v>
      </c>
      <c r="D549" t="s">
        <v>1800</v>
      </c>
      <c r="E549" t="s">
        <v>923</v>
      </c>
      <c r="F549" t="s">
        <v>421</v>
      </c>
      <c r="G549" t="e">
        <f>+VLOOKUP(F549,[1]Explore!$B:$I,8,0)</f>
        <v>#N/A</v>
      </c>
      <c r="H549" t="s">
        <v>422</v>
      </c>
      <c r="I549" t="str">
        <f>+VLOOKUP(H549,[1]Explore!$A:$I,9,0)</f>
        <v>Emerging Currency</v>
      </c>
      <c r="J549" t="str">
        <f t="shared" si="16"/>
        <v>OK</v>
      </c>
      <c r="K549" t="str">
        <f t="shared" si="17"/>
        <v>Emerging Currency</v>
      </c>
      <c r="L549" t="s">
        <v>27</v>
      </c>
      <c r="M549" t="str">
        <f>_xlfn.IFNA(VLOOKUP(K549,'Mapping DEF'!A:C,2,0),"")</f>
        <v>FX</v>
      </c>
      <c r="N549" t="str">
        <f>+_xlfn.IFNA(VLOOKUP(M549,'Mapping DEF'!B:C,2,FALSE),"")</f>
        <v>FX</v>
      </c>
      <c r="O549" t="s">
        <v>2768</v>
      </c>
    </row>
    <row r="550" spans="1:15" x14ac:dyDescent="0.25">
      <c r="A550" t="s">
        <v>1798</v>
      </c>
      <c r="B550" t="s">
        <v>1799</v>
      </c>
      <c r="C550">
        <v>2416</v>
      </c>
      <c r="D550" t="s">
        <v>1800</v>
      </c>
      <c r="E550" t="s">
        <v>711</v>
      </c>
      <c r="F550" t="s">
        <v>206</v>
      </c>
      <c r="G550" t="e">
        <f>+VLOOKUP(F550,[1]Explore!$B:$I,8,0)</f>
        <v>#N/A</v>
      </c>
      <c r="H550" t="s">
        <v>206</v>
      </c>
      <c r="I550" t="e">
        <f>+VLOOKUP(H550,[1]Explore!$A:$I,9,0)</f>
        <v>#N/A</v>
      </c>
      <c r="J550" t="str">
        <f t="shared" si="16"/>
        <v>BOTH #N/A</v>
      </c>
      <c r="K550" t="str">
        <f t="shared" si="17"/>
        <v>Dollar Index</v>
      </c>
      <c r="L550" t="s">
        <v>2930</v>
      </c>
      <c r="M550" t="str">
        <f>_xlfn.IFNA(VLOOKUP(K550,'Mapping DEF'!A:C,2,0),"")</f>
        <v>Index Level</v>
      </c>
      <c r="N550" t="str">
        <f>+_xlfn.IFNA(VLOOKUP(M550,'Mapping DEF'!B:C,2,FALSE),"")</f>
        <v>Other</v>
      </c>
      <c r="O550" t="s">
        <v>2770</v>
      </c>
    </row>
    <row r="551" spans="1:15" x14ac:dyDescent="0.25">
      <c r="A551" t="s">
        <v>1798</v>
      </c>
      <c r="B551" t="s">
        <v>1799</v>
      </c>
      <c r="C551">
        <v>2416</v>
      </c>
      <c r="D551" t="s">
        <v>1800</v>
      </c>
      <c r="E551" t="s">
        <v>924</v>
      </c>
      <c r="F551" t="s">
        <v>2156</v>
      </c>
      <c r="G551" t="str">
        <f>+VLOOKUP(F551,[1]Explore!$B:$I,8,0)</f>
        <v>Equity Implied Volatility</v>
      </c>
      <c r="H551" t="s">
        <v>141</v>
      </c>
      <c r="I551" t="str">
        <f>+VLOOKUP(H551,[1]Explore!$A:$I,9,0)</f>
        <v>Equity Implied Volatility</v>
      </c>
      <c r="J551" t="str">
        <f t="shared" si="16"/>
        <v>OK</v>
      </c>
      <c r="K551" t="str">
        <f t="shared" si="17"/>
        <v>Equity Implied Volatility</v>
      </c>
      <c r="L551" t="s">
        <v>27</v>
      </c>
      <c r="M551" t="str">
        <f>_xlfn.IFNA(VLOOKUP(K551,'Mapping DEF'!A:C,2,0),"")</f>
        <v>Equity Derivatives</v>
      </c>
      <c r="N551" t="str">
        <f>+_xlfn.IFNA(VLOOKUP(M551,'Mapping DEF'!B:C,2,FALSE),"")</f>
        <v>Equity</v>
      </c>
      <c r="O551" t="s">
        <v>2775</v>
      </c>
    </row>
    <row r="552" spans="1:15" x14ac:dyDescent="0.25">
      <c r="A552" t="s">
        <v>1798</v>
      </c>
      <c r="B552" t="s">
        <v>1799</v>
      </c>
      <c r="C552">
        <v>2416</v>
      </c>
      <c r="D552" t="s">
        <v>1800</v>
      </c>
      <c r="E552" t="s">
        <v>925</v>
      </c>
      <c r="F552" t="s">
        <v>826</v>
      </c>
      <c r="G552" t="str">
        <f>+VLOOKUP(F552,[1]Explore!$B:$I,8,0)</f>
        <v>Equity Implied Volatility</v>
      </c>
      <c r="H552" t="s">
        <v>827</v>
      </c>
      <c r="I552" t="str">
        <f>+VLOOKUP(H552,[1]Explore!$A:$I,9,0)</f>
        <v>Equity Implied Volatility</v>
      </c>
      <c r="J552" t="str">
        <f t="shared" si="16"/>
        <v>OK</v>
      </c>
      <c r="K552" t="str">
        <f t="shared" si="17"/>
        <v>Equity Implied Volatility</v>
      </c>
      <c r="L552" t="s">
        <v>188</v>
      </c>
      <c r="M552" t="str">
        <f>_xlfn.IFNA(VLOOKUP(K552,'Mapping DEF'!A:C,2,0),"")</f>
        <v>Equity Derivatives</v>
      </c>
      <c r="N552" t="str">
        <f>+_xlfn.IFNA(VLOOKUP(M552,'Mapping DEF'!B:C,2,FALSE),"")</f>
        <v>Equity</v>
      </c>
      <c r="O552" t="s">
        <v>2768</v>
      </c>
    </row>
    <row r="553" spans="1:15" x14ac:dyDescent="0.25">
      <c r="A553" t="s">
        <v>1798</v>
      </c>
      <c r="B553" t="s">
        <v>1799</v>
      </c>
      <c r="C553">
        <v>2416</v>
      </c>
      <c r="D553" t="s">
        <v>1800</v>
      </c>
      <c r="E553" t="s">
        <v>926</v>
      </c>
      <c r="F553" t="s">
        <v>346</v>
      </c>
      <c r="G553" t="str">
        <f>+VLOOKUP(F553,[1]Explore!$B:$I,8,0)</f>
        <v>Spread Emerging Markets - Country</v>
      </c>
      <c r="H553" t="s">
        <v>347</v>
      </c>
      <c r="I553" t="str">
        <f>+VLOOKUP(H553,[1]Explore!$A:$I,9,0)</f>
        <v>Spread Emerging Markets - Country</v>
      </c>
      <c r="J553" t="str">
        <f t="shared" si="16"/>
        <v>OK</v>
      </c>
      <c r="K553" t="str">
        <f t="shared" si="17"/>
        <v>Spread Emerging Markets - Country</v>
      </c>
      <c r="L553" t="s">
        <v>8</v>
      </c>
      <c r="M553" t="str">
        <f>_xlfn.IFNA(VLOOKUP(K553,'Mapping DEF'!A:C,2,0),"")</f>
        <v>Spread</v>
      </c>
      <c r="N553" t="str">
        <f>+_xlfn.IFNA(VLOOKUP(M553,'Mapping DEF'!B:C,2,FALSE),"")</f>
        <v>Spread</v>
      </c>
      <c r="O553" t="s">
        <v>2756</v>
      </c>
    </row>
    <row r="554" spans="1:15" x14ac:dyDescent="0.25">
      <c r="A554" t="s">
        <v>1817</v>
      </c>
      <c r="B554" t="s">
        <v>1818</v>
      </c>
      <c r="C554">
        <v>2457</v>
      </c>
      <c r="D554" t="s">
        <v>1819</v>
      </c>
      <c r="E554" t="s">
        <v>927</v>
      </c>
      <c r="F554" t="s">
        <v>19</v>
      </c>
      <c r="G554" t="str">
        <f>+VLOOKUP(F554,[1]Explore!$B:$I,8,0)</f>
        <v>Govt USD</v>
      </c>
      <c r="H554" t="s">
        <v>20</v>
      </c>
      <c r="I554" t="str">
        <f>+VLOOKUP(H554,[1]Explore!$A:$I,9,0)</f>
        <v>Govt USD</v>
      </c>
      <c r="J554" t="str">
        <f t="shared" si="16"/>
        <v>OK</v>
      </c>
      <c r="K554" t="str">
        <f t="shared" si="17"/>
        <v>Govt USD</v>
      </c>
      <c r="L554" t="s">
        <v>8</v>
      </c>
      <c r="M554" t="str">
        <f>_xlfn.IFNA(VLOOKUP(K554,'Mapping DEF'!A:C,2,0),"")</f>
        <v>Curve (Local)</v>
      </c>
      <c r="N554" t="str">
        <f>+_xlfn.IFNA(VLOOKUP(M554,'Mapping DEF'!B:C,2,FALSE),"")</f>
        <v>Term Structure</v>
      </c>
      <c r="O554" t="s">
        <v>2765</v>
      </c>
    </row>
    <row r="555" spans="1:15" x14ac:dyDescent="0.25">
      <c r="A555" t="s">
        <v>1817</v>
      </c>
      <c r="B555" t="s">
        <v>1818</v>
      </c>
      <c r="C555">
        <v>2457</v>
      </c>
      <c r="D555" t="s">
        <v>1819</v>
      </c>
      <c r="E555" t="s">
        <v>928</v>
      </c>
      <c r="F555" t="s">
        <v>258</v>
      </c>
      <c r="G555" t="str">
        <f>+VLOOKUP(F555,[1]Explore!$B:$I,8,0)</f>
        <v>USD Inflation</v>
      </c>
      <c r="H555" t="s">
        <v>259</v>
      </c>
      <c r="I555" t="str">
        <f>+VLOOKUP(H555,[1]Explore!$A:$I,9,0)</f>
        <v>USD Inflation</v>
      </c>
      <c r="J555" t="str">
        <f t="shared" si="16"/>
        <v>OK</v>
      </c>
      <c r="K555" t="str">
        <f t="shared" si="17"/>
        <v>USD Inflation</v>
      </c>
      <c r="L555" t="s">
        <v>70</v>
      </c>
      <c r="M555" t="str">
        <f>_xlfn.IFNA(VLOOKUP(K555,'Mapping DEF'!A:C,2,0),"")</f>
        <v>Inflation</v>
      </c>
      <c r="N555" t="str">
        <f>+_xlfn.IFNA(VLOOKUP(M555,'Mapping DEF'!B:C,2,FALSE),"")</f>
        <v>Other</v>
      </c>
      <c r="O555" t="s">
        <v>2752</v>
      </c>
    </row>
    <row r="556" spans="1:15" x14ac:dyDescent="0.25">
      <c r="A556" t="s">
        <v>1817</v>
      </c>
      <c r="B556" t="s">
        <v>1818</v>
      </c>
      <c r="C556">
        <v>2457</v>
      </c>
      <c r="D556" t="s">
        <v>1819</v>
      </c>
      <c r="E556" t="s">
        <v>929</v>
      </c>
      <c r="F556" t="s">
        <v>265</v>
      </c>
      <c r="G556" t="str">
        <f>+VLOOKUP(F556,[1]Explore!$B:$I,8,0)</f>
        <v>Alternative - Commodity</v>
      </c>
      <c r="H556" t="s">
        <v>266</v>
      </c>
      <c r="I556" t="str">
        <f>+VLOOKUP(H556,[1]Explore!$A:$I,9,0)</f>
        <v>Alternative - Commodity</v>
      </c>
      <c r="J556" t="str">
        <f t="shared" si="16"/>
        <v>OK</v>
      </c>
      <c r="K556" t="str">
        <f t="shared" si="17"/>
        <v>Alternative - Commodity</v>
      </c>
      <c r="L556" t="s">
        <v>8</v>
      </c>
      <c r="M556" t="str">
        <f>_xlfn.IFNA(VLOOKUP(K556,'Mapping DEF'!A:C,2,0),"")</f>
        <v>Alternative</v>
      </c>
      <c r="N556" t="str">
        <f>+_xlfn.IFNA(VLOOKUP(M556,'Mapping DEF'!B:C,2,FALSE),"")</f>
        <v>Other</v>
      </c>
      <c r="O556" t="s">
        <v>2759</v>
      </c>
    </row>
    <row r="557" spans="1:15" x14ac:dyDescent="0.25">
      <c r="A557" t="s">
        <v>1817</v>
      </c>
      <c r="B557" t="s">
        <v>1818</v>
      </c>
      <c r="C557">
        <v>2457</v>
      </c>
      <c r="D557" t="s">
        <v>1819</v>
      </c>
      <c r="E557" t="s">
        <v>485</v>
      </c>
      <c r="F557" t="s">
        <v>486</v>
      </c>
      <c r="G557" t="str">
        <f>+VLOOKUP(F557,[1]Explore!$B:$I,8,0)</f>
        <v>Govt Emerging Markets</v>
      </c>
      <c r="H557" t="s">
        <v>487</v>
      </c>
      <c r="I557" t="str">
        <f>+VLOOKUP(H557,[1]Explore!$A:$I,9,0)</f>
        <v>Govt Emerging Markets</v>
      </c>
      <c r="J557" t="str">
        <f t="shared" si="16"/>
        <v>OK</v>
      </c>
      <c r="K557" t="str">
        <f t="shared" si="17"/>
        <v>Govt Emerging Markets</v>
      </c>
      <c r="L557" t="s">
        <v>8</v>
      </c>
      <c r="M557" t="str">
        <f>_xlfn.IFNA(VLOOKUP(K557,'Mapping DEF'!A:C,2,0),"")</f>
        <v>Curve (Local)</v>
      </c>
      <c r="N557" t="str">
        <f>+_xlfn.IFNA(VLOOKUP(M557,'Mapping DEF'!B:C,2,FALSE),"")</f>
        <v>Term Structure</v>
      </c>
      <c r="O557" t="s">
        <v>2786</v>
      </c>
    </row>
    <row r="558" spans="1:15" x14ac:dyDescent="0.25">
      <c r="A558" t="s">
        <v>1817</v>
      </c>
      <c r="B558" t="s">
        <v>1818</v>
      </c>
      <c r="C558">
        <v>2457</v>
      </c>
      <c r="D558" t="s">
        <v>1819</v>
      </c>
      <c r="E558" t="s">
        <v>930</v>
      </c>
      <c r="F558" t="s">
        <v>315</v>
      </c>
      <c r="G558" t="str">
        <f>+VLOOKUP(F558,[1]Explore!$B:$I,8,0)</f>
        <v>Govt EUR (Ger)</v>
      </c>
      <c r="H558" t="s">
        <v>316</v>
      </c>
      <c r="I558" t="str">
        <f>+VLOOKUP(H558,[1]Explore!$A:$I,9,0)</f>
        <v>Govt EUR (Ger)</v>
      </c>
      <c r="J558" t="str">
        <f t="shared" si="16"/>
        <v>OK</v>
      </c>
      <c r="K558" t="str">
        <f t="shared" si="17"/>
        <v>Govt EUR (Ger)</v>
      </c>
      <c r="L558" t="s">
        <v>8</v>
      </c>
      <c r="M558" t="str">
        <f>_xlfn.IFNA(VLOOKUP(K558,'Mapping DEF'!A:C,2,0),"")</f>
        <v>Curve (Local)</v>
      </c>
      <c r="N558" t="str">
        <f>+_xlfn.IFNA(VLOOKUP(M558,'Mapping DEF'!B:C,2,FALSE),"")</f>
        <v>Term Structure</v>
      </c>
      <c r="O558" t="s">
        <v>2825</v>
      </c>
    </row>
    <row r="559" spans="1:15" x14ac:dyDescent="0.25">
      <c r="A559" t="s">
        <v>1817</v>
      </c>
      <c r="B559" t="s">
        <v>1818</v>
      </c>
      <c r="C559">
        <v>2457</v>
      </c>
      <c r="D559" t="s">
        <v>1819</v>
      </c>
      <c r="E559" t="s">
        <v>931</v>
      </c>
      <c r="F559" t="s">
        <v>386</v>
      </c>
      <c r="G559" t="str">
        <f>+VLOOKUP(F559,[1]Explore!$B:$I,8,0)</f>
        <v>Govt Emerging Markets</v>
      </c>
      <c r="H559" t="s">
        <v>387</v>
      </c>
      <c r="I559" t="str">
        <f>+VLOOKUP(H559,[1]Explore!$A:$I,9,0)</f>
        <v>Govt Emerging Markets</v>
      </c>
      <c r="J559" t="str">
        <f t="shared" si="16"/>
        <v>OK</v>
      </c>
      <c r="K559" t="str">
        <f t="shared" si="17"/>
        <v>Govt Emerging Markets</v>
      </c>
      <c r="L559" t="s">
        <v>75</v>
      </c>
      <c r="M559" t="str">
        <f>_xlfn.IFNA(VLOOKUP(K559,'Mapping DEF'!A:C,2,0),"")</f>
        <v>Curve (Local)</v>
      </c>
      <c r="N559" t="str">
        <f>+_xlfn.IFNA(VLOOKUP(M559,'Mapping DEF'!B:C,2,FALSE),"")</f>
        <v>Term Structure</v>
      </c>
      <c r="O559" t="s">
        <v>2826</v>
      </c>
    </row>
    <row r="560" spans="1:15" x14ac:dyDescent="0.25">
      <c r="A560" t="s">
        <v>1817</v>
      </c>
      <c r="B560" t="s">
        <v>1818</v>
      </c>
      <c r="C560">
        <v>2457</v>
      </c>
      <c r="D560" t="s">
        <v>1819</v>
      </c>
      <c r="E560" t="s">
        <v>932</v>
      </c>
      <c r="F560" t="s">
        <v>421</v>
      </c>
      <c r="G560" t="e">
        <f>+VLOOKUP(F560,[1]Explore!$B:$I,8,0)</f>
        <v>#N/A</v>
      </c>
      <c r="H560" t="s">
        <v>422</v>
      </c>
      <c r="I560" t="str">
        <f>+VLOOKUP(H560,[1]Explore!$A:$I,9,0)</f>
        <v>Emerging Currency</v>
      </c>
      <c r="J560" t="str">
        <f t="shared" si="16"/>
        <v>OK</v>
      </c>
      <c r="K560" t="str">
        <f t="shared" si="17"/>
        <v>Emerging Currency</v>
      </c>
      <c r="L560" t="s">
        <v>75</v>
      </c>
      <c r="M560" t="str">
        <f>_xlfn.IFNA(VLOOKUP(K560,'Mapping DEF'!A:C,2,0),"")</f>
        <v>FX</v>
      </c>
      <c r="N560" t="str">
        <f>+_xlfn.IFNA(VLOOKUP(M560,'Mapping DEF'!B:C,2,FALSE),"")</f>
        <v>FX</v>
      </c>
      <c r="O560" t="s">
        <v>2776</v>
      </c>
    </row>
    <row r="561" spans="1:15" x14ac:dyDescent="0.25">
      <c r="A561" t="s">
        <v>1817</v>
      </c>
      <c r="B561" t="s">
        <v>1818</v>
      </c>
      <c r="C561">
        <v>2457</v>
      </c>
      <c r="D561" t="s">
        <v>1819</v>
      </c>
      <c r="E561" t="s">
        <v>933</v>
      </c>
      <c r="F561" t="s">
        <v>369</v>
      </c>
      <c r="G561" t="e">
        <f>+VLOOKUP(F561,[1]Explore!$B:$I,8,0)</f>
        <v>#N/A</v>
      </c>
      <c r="H561" t="s">
        <v>370</v>
      </c>
      <c r="I561" t="str">
        <f>+VLOOKUP(H561,[1]Explore!$A:$I,9,0)</f>
        <v>Emerging Currency</v>
      </c>
      <c r="J561" t="str">
        <f t="shared" si="16"/>
        <v>OK</v>
      </c>
      <c r="K561" t="str">
        <f t="shared" si="17"/>
        <v>Emerging Currency</v>
      </c>
      <c r="L561" t="s">
        <v>27</v>
      </c>
      <c r="M561" t="str">
        <f>_xlfn.IFNA(VLOOKUP(K561,'Mapping DEF'!A:C,2,0),"")</f>
        <v>FX</v>
      </c>
      <c r="N561" t="str">
        <f>+_xlfn.IFNA(VLOOKUP(M561,'Mapping DEF'!B:C,2,FALSE),"")</f>
        <v>FX</v>
      </c>
      <c r="O561" t="s">
        <v>2757</v>
      </c>
    </row>
    <row r="562" spans="1:15" x14ac:dyDescent="0.25">
      <c r="A562" t="s">
        <v>1817</v>
      </c>
      <c r="B562" t="s">
        <v>1818</v>
      </c>
      <c r="C562">
        <v>2457</v>
      </c>
      <c r="D562" t="s">
        <v>1819</v>
      </c>
      <c r="E562" t="s">
        <v>690</v>
      </c>
      <c r="F562" t="s">
        <v>206</v>
      </c>
      <c r="G562" t="e">
        <f>+VLOOKUP(F562,[1]Explore!$B:$I,8,0)</f>
        <v>#N/A</v>
      </c>
      <c r="H562" t="s">
        <v>206</v>
      </c>
      <c r="I562" t="e">
        <f>+VLOOKUP(H562,[1]Explore!$A:$I,9,0)</f>
        <v>#N/A</v>
      </c>
      <c r="J562" t="str">
        <f t="shared" si="16"/>
        <v>BOTH #N/A</v>
      </c>
      <c r="K562" t="str">
        <f t="shared" si="17"/>
        <v>Dollar Index</v>
      </c>
      <c r="L562" t="s">
        <v>2930</v>
      </c>
      <c r="M562" t="str">
        <f>_xlfn.IFNA(VLOOKUP(K562,'Mapping DEF'!A:C,2,0),"")</f>
        <v>Index Level</v>
      </c>
      <c r="N562" t="str">
        <f>+_xlfn.IFNA(VLOOKUP(M562,'Mapping DEF'!B:C,2,FALSE),"")</f>
        <v>Other</v>
      </c>
      <c r="O562" t="s">
        <v>2757</v>
      </c>
    </row>
    <row r="563" spans="1:15" x14ac:dyDescent="0.25">
      <c r="A563" t="s">
        <v>1817</v>
      </c>
      <c r="B563" t="s">
        <v>1818</v>
      </c>
      <c r="C563">
        <v>2457</v>
      </c>
      <c r="D563" t="s">
        <v>1819</v>
      </c>
      <c r="E563" t="s">
        <v>825</v>
      </c>
      <c r="F563" t="s">
        <v>826</v>
      </c>
      <c r="G563" t="str">
        <f>+VLOOKUP(F563,[1]Explore!$B:$I,8,0)</f>
        <v>Equity Implied Volatility</v>
      </c>
      <c r="H563" t="s">
        <v>827</v>
      </c>
      <c r="I563" t="str">
        <f>+VLOOKUP(H563,[1]Explore!$A:$I,9,0)</f>
        <v>Equity Implied Volatility</v>
      </c>
      <c r="J563" t="str">
        <f t="shared" si="16"/>
        <v>OK</v>
      </c>
      <c r="K563" t="str">
        <f t="shared" si="17"/>
        <v>Equity Implied Volatility</v>
      </c>
      <c r="L563" t="s">
        <v>27</v>
      </c>
      <c r="M563" t="str">
        <f>_xlfn.IFNA(VLOOKUP(K563,'Mapping DEF'!A:C,2,0),"")</f>
        <v>Equity Derivatives</v>
      </c>
      <c r="N563" t="str">
        <f>+_xlfn.IFNA(VLOOKUP(M563,'Mapping DEF'!B:C,2,FALSE),"")</f>
        <v>Equity</v>
      </c>
      <c r="O563" t="s">
        <v>2753</v>
      </c>
    </row>
    <row r="564" spans="1:15" x14ac:dyDescent="0.25">
      <c r="A564" t="s">
        <v>1817</v>
      </c>
      <c r="B564" t="s">
        <v>1818</v>
      </c>
      <c r="C564">
        <v>2457</v>
      </c>
      <c r="D564" t="s">
        <v>1819</v>
      </c>
      <c r="E564" t="s">
        <v>934</v>
      </c>
      <c r="F564" t="s">
        <v>183</v>
      </c>
      <c r="G564" t="str">
        <f>+VLOOKUP(F564,[1]Explore!$B:$I,8,0)</f>
        <v>Equity Implied Volatility</v>
      </c>
      <c r="H564" t="s">
        <v>184</v>
      </c>
      <c r="I564" t="str">
        <f>+VLOOKUP(H564,[1]Explore!$A:$I,9,0)</f>
        <v>Equity Implied Volatility</v>
      </c>
      <c r="J564" t="str">
        <f t="shared" si="16"/>
        <v>OK</v>
      </c>
      <c r="K564" t="str">
        <f t="shared" si="17"/>
        <v>Equity Implied Volatility</v>
      </c>
      <c r="L564" t="s">
        <v>27</v>
      </c>
      <c r="M564" t="str">
        <f>_xlfn.IFNA(VLOOKUP(K564,'Mapping DEF'!A:C,2,0),"")</f>
        <v>Equity Derivatives</v>
      </c>
      <c r="N564" t="str">
        <f>+_xlfn.IFNA(VLOOKUP(M564,'Mapping DEF'!B:C,2,FALSE),"")</f>
        <v>Equity</v>
      </c>
      <c r="O564" t="s">
        <v>2771</v>
      </c>
    </row>
    <row r="565" spans="1:15" x14ac:dyDescent="0.25">
      <c r="A565" t="s">
        <v>1817</v>
      </c>
      <c r="B565" t="s">
        <v>1818</v>
      </c>
      <c r="C565">
        <v>2457</v>
      </c>
      <c r="D565" t="s">
        <v>1819</v>
      </c>
      <c r="E565" t="s">
        <v>338</v>
      </c>
      <c r="F565" t="s">
        <v>191</v>
      </c>
      <c r="G565" t="e">
        <f>+VLOOKUP(F565,[1]Explore!$B:$I,8,0)</f>
        <v>#N/A</v>
      </c>
      <c r="H565" t="s">
        <v>192</v>
      </c>
      <c r="I565" t="e">
        <f>+VLOOKUP(H565,[1]Explore!$A:$I,9,0)</f>
        <v>#N/A</v>
      </c>
      <c r="J565" t="str">
        <f t="shared" si="16"/>
        <v>BOTH #N/A</v>
      </c>
      <c r="K565" t="str">
        <f t="shared" si="17"/>
        <v>Time</v>
      </c>
      <c r="L565" t="s">
        <v>191</v>
      </c>
      <c r="M565" t="str">
        <f>_xlfn.IFNA(VLOOKUP(K565,'Mapping DEF'!A:C,2,0),"")</f>
        <v>Time</v>
      </c>
      <c r="N565" t="str">
        <f>+_xlfn.IFNA(VLOOKUP(M565,'Mapping DEF'!B:C,2,FALSE),"")</f>
        <v>Other</v>
      </c>
      <c r="O565" t="s">
        <v>2817</v>
      </c>
    </row>
    <row r="566" spans="1:15" x14ac:dyDescent="0.25">
      <c r="A566" t="s">
        <v>1817</v>
      </c>
      <c r="B566" t="s">
        <v>1818</v>
      </c>
      <c r="C566">
        <v>2457</v>
      </c>
      <c r="D566" t="s">
        <v>1819</v>
      </c>
      <c r="E566" t="s">
        <v>938</v>
      </c>
      <c r="F566" t="s">
        <v>220</v>
      </c>
      <c r="G566" t="str">
        <f>+VLOOKUP(F566,[1]Explore!$B:$I,8,0)</f>
        <v>Corporate HY USD - Other</v>
      </c>
      <c r="H566" t="s">
        <v>221</v>
      </c>
      <c r="I566" t="str">
        <f>+VLOOKUP(H566,[1]Explore!$A:$I,9,0)</f>
        <v>Corporate HY USD - Other</v>
      </c>
      <c r="J566" t="str">
        <f t="shared" si="16"/>
        <v>OK</v>
      </c>
      <c r="K566" t="str">
        <f t="shared" si="17"/>
        <v>Corporate HY USD - Other</v>
      </c>
      <c r="L566" t="s">
        <v>70</v>
      </c>
      <c r="M566" t="str">
        <f>_xlfn.IFNA(VLOOKUP(K566,'Mapping DEF'!A:C,2,0),"")</f>
        <v>Spread</v>
      </c>
      <c r="N566" t="str">
        <f>+_xlfn.IFNA(VLOOKUP(M566,'Mapping DEF'!B:C,2,FALSE),"")</f>
        <v>Spread</v>
      </c>
      <c r="O566" t="s">
        <v>2826</v>
      </c>
    </row>
    <row r="567" spans="1:15" x14ac:dyDescent="0.25">
      <c r="A567" t="s">
        <v>1847</v>
      </c>
      <c r="B567" t="s">
        <v>1848</v>
      </c>
      <c r="C567">
        <v>2105</v>
      </c>
      <c r="D567" t="s">
        <v>1849</v>
      </c>
      <c r="E567" t="s">
        <v>939</v>
      </c>
      <c r="F567" t="s">
        <v>940</v>
      </c>
      <c r="G567" t="str">
        <f>+VLOOKUP(F567,[1]Explore!$B:$I,8,0)</f>
        <v>Alternative - Commodity</v>
      </c>
      <c r="H567" t="s">
        <v>941</v>
      </c>
      <c r="I567" t="str">
        <f>+VLOOKUP(H567,[1]Explore!$A:$I,9,0)</f>
        <v>Alternative - Commodity</v>
      </c>
      <c r="J567" t="str">
        <f t="shared" si="16"/>
        <v>OK</v>
      </c>
      <c r="K567" t="str">
        <f t="shared" si="17"/>
        <v>Alternative - Commodity</v>
      </c>
      <c r="L567" t="s">
        <v>70</v>
      </c>
      <c r="M567" t="str">
        <f>_xlfn.IFNA(VLOOKUP(K567,'Mapping DEF'!A:C,2,0),"")</f>
        <v>Alternative</v>
      </c>
      <c r="N567" t="str">
        <f>+_xlfn.IFNA(VLOOKUP(M567,'Mapping DEF'!B:C,2,FALSE),"")</f>
        <v>Other</v>
      </c>
      <c r="O567" t="s">
        <v>2827</v>
      </c>
    </row>
    <row r="568" spans="1:15" x14ac:dyDescent="0.25">
      <c r="A568" t="s">
        <v>1847</v>
      </c>
      <c r="B568" t="s">
        <v>1848</v>
      </c>
      <c r="C568">
        <v>2105</v>
      </c>
      <c r="D568" t="s">
        <v>1849</v>
      </c>
      <c r="E568" t="s">
        <v>942</v>
      </c>
      <c r="F568" t="s">
        <v>943</v>
      </c>
      <c r="G568" t="str">
        <f>+VLOOKUP(F568,[1]Explore!$B:$I,8,0)</f>
        <v>Alternative - Commodity</v>
      </c>
      <c r="H568" t="s">
        <v>944</v>
      </c>
      <c r="I568" t="str">
        <f>+VLOOKUP(H568,[1]Explore!$A:$I,9,0)</f>
        <v>Alternative - Commodity</v>
      </c>
      <c r="J568" t="str">
        <f t="shared" si="16"/>
        <v>OK</v>
      </c>
      <c r="K568" t="str">
        <f t="shared" si="17"/>
        <v>Alternative - Commodity</v>
      </c>
      <c r="L568" t="s">
        <v>70</v>
      </c>
      <c r="M568" t="str">
        <f>_xlfn.IFNA(VLOOKUP(K568,'Mapping DEF'!A:C,2,0),"")</f>
        <v>Alternative</v>
      </c>
      <c r="N568" t="str">
        <f>+_xlfn.IFNA(VLOOKUP(M568,'Mapping DEF'!B:C,2,FALSE),"")</f>
        <v>Other</v>
      </c>
      <c r="O568" t="s">
        <v>2828</v>
      </c>
    </row>
    <row r="569" spans="1:15" x14ac:dyDescent="0.25">
      <c r="A569" t="s">
        <v>1847</v>
      </c>
      <c r="B569" t="s">
        <v>1848</v>
      </c>
      <c r="C569">
        <v>2105</v>
      </c>
      <c r="D569" t="s">
        <v>1849</v>
      </c>
      <c r="E569" t="s">
        <v>945</v>
      </c>
      <c r="F569" t="s">
        <v>946</v>
      </c>
      <c r="G569" t="str">
        <f>+VLOOKUP(F569,[1]Explore!$B:$I,8,0)</f>
        <v>Alternative - Commodity</v>
      </c>
      <c r="H569" t="s">
        <v>947</v>
      </c>
      <c r="I569" t="str">
        <f>+VLOOKUP(H569,[1]Explore!$A:$I,9,0)</f>
        <v>Alternative - Commodity</v>
      </c>
      <c r="J569" t="str">
        <f t="shared" si="16"/>
        <v>OK</v>
      </c>
      <c r="K569" t="str">
        <f t="shared" si="17"/>
        <v>Alternative - Commodity</v>
      </c>
      <c r="L569" t="s">
        <v>70</v>
      </c>
      <c r="M569" t="str">
        <f>_xlfn.IFNA(VLOOKUP(K569,'Mapping DEF'!A:C,2,0),"")</f>
        <v>Alternative</v>
      </c>
      <c r="N569" t="str">
        <f>+_xlfn.IFNA(VLOOKUP(M569,'Mapping DEF'!B:C,2,FALSE),"")</f>
        <v>Other</v>
      </c>
      <c r="O569" t="s">
        <v>2801</v>
      </c>
    </row>
    <row r="570" spans="1:15" x14ac:dyDescent="0.25">
      <c r="A570" t="s">
        <v>1847</v>
      </c>
      <c r="B570" t="s">
        <v>1848</v>
      </c>
      <c r="C570">
        <v>2105</v>
      </c>
      <c r="D570" t="s">
        <v>1849</v>
      </c>
      <c r="E570" t="s">
        <v>948</v>
      </c>
      <c r="F570" t="s">
        <v>455</v>
      </c>
      <c r="G570" t="str">
        <f>+VLOOKUP(F570,[1]Explore!$B:$I,8,0)</f>
        <v>Alternative - Commodity</v>
      </c>
      <c r="H570" t="s">
        <v>456</v>
      </c>
      <c r="I570" t="str">
        <f>+VLOOKUP(H570,[1]Explore!$A:$I,9,0)</f>
        <v>Alternative - Commodity</v>
      </c>
      <c r="J570" t="str">
        <f t="shared" si="16"/>
        <v>OK</v>
      </c>
      <c r="K570" t="str">
        <f t="shared" si="17"/>
        <v>Alternative - Commodity</v>
      </c>
      <c r="L570" t="s">
        <v>70</v>
      </c>
      <c r="M570" t="str">
        <f>_xlfn.IFNA(VLOOKUP(K570,'Mapping DEF'!A:C,2,0),"")</f>
        <v>Alternative</v>
      </c>
      <c r="N570" t="str">
        <f>+_xlfn.IFNA(VLOOKUP(M570,'Mapping DEF'!B:C,2,FALSE),"")</f>
        <v>Other</v>
      </c>
      <c r="O570" t="s">
        <v>2794</v>
      </c>
    </row>
    <row r="571" spans="1:15" x14ac:dyDescent="0.25">
      <c r="A571" t="s">
        <v>1847</v>
      </c>
      <c r="B571" t="s">
        <v>1848</v>
      </c>
      <c r="C571">
        <v>2105</v>
      </c>
      <c r="D571" t="s">
        <v>1849</v>
      </c>
      <c r="E571" t="s">
        <v>764</v>
      </c>
      <c r="F571" t="s">
        <v>765</v>
      </c>
      <c r="G571" t="str">
        <f>+VLOOKUP(F571,[1]Explore!$B:$I,8,0)</f>
        <v>Commodity</v>
      </c>
      <c r="H571" t="s">
        <v>766</v>
      </c>
      <c r="I571" t="str">
        <f>+VLOOKUP(H571,[1]Explore!$A:$I,9,0)</f>
        <v>Commodity</v>
      </c>
      <c r="J571" t="str">
        <f t="shared" si="16"/>
        <v>OK</v>
      </c>
      <c r="K571" t="str">
        <f t="shared" si="17"/>
        <v>Commodity</v>
      </c>
      <c r="L571" t="s">
        <v>93</v>
      </c>
      <c r="M571" t="str">
        <f>_xlfn.IFNA(VLOOKUP(K571,'Mapping DEF'!A:C,2,0),"")</f>
        <v>Alternative</v>
      </c>
      <c r="N571" t="str">
        <f>+_xlfn.IFNA(VLOOKUP(M571,'Mapping DEF'!B:C,2,FALSE),"")</f>
        <v>Other</v>
      </c>
      <c r="O571" t="s">
        <v>2794</v>
      </c>
    </row>
    <row r="572" spans="1:15" x14ac:dyDescent="0.25">
      <c r="A572" t="s">
        <v>1847</v>
      </c>
      <c r="B572" t="s">
        <v>1848</v>
      </c>
      <c r="C572">
        <v>2105</v>
      </c>
      <c r="D572" t="s">
        <v>1849</v>
      </c>
      <c r="E572" t="s">
        <v>949</v>
      </c>
      <c r="F572" t="s">
        <v>2190</v>
      </c>
      <c r="G572" t="str">
        <f>+VLOOKUP(F572,[1]Explore!$B:$I,8,0)</f>
        <v>Materials</v>
      </c>
      <c r="H572" t="s">
        <v>950</v>
      </c>
      <c r="I572" t="e">
        <f>+VLOOKUP(H572,[1]Explore!$A:$I,9,0)</f>
        <v>#N/A</v>
      </c>
      <c r="J572" t="str">
        <f t="shared" si="16"/>
        <v>OK</v>
      </c>
      <c r="K572" t="str">
        <f t="shared" si="17"/>
        <v>Materials</v>
      </c>
      <c r="L572" t="s">
        <v>93</v>
      </c>
      <c r="M572" t="str">
        <f>_xlfn.IFNA(VLOOKUP(K572,'Mapping DEF'!A:C,2,0),"")</f>
        <v>Industry Allocation</v>
      </c>
      <c r="N572" t="str">
        <f>+_xlfn.IFNA(VLOOKUP(M572,'Mapping DEF'!B:C,2,FALSE),"")</f>
        <v>Equity</v>
      </c>
      <c r="O572" t="s">
        <v>2793</v>
      </c>
    </row>
    <row r="573" spans="1:15" x14ac:dyDescent="0.25">
      <c r="A573" t="s">
        <v>1847</v>
      </c>
      <c r="B573" t="s">
        <v>1848</v>
      </c>
      <c r="C573">
        <v>2105</v>
      </c>
      <c r="D573" t="s">
        <v>1849</v>
      </c>
      <c r="E573" t="s">
        <v>951</v>
      </c>
      <c r="F573" t="s">
        <v>2191</v>
      </c>
      <c r="G573" t="e">
        <f>+VLOOKUP(F573,[1]Explore!$B:$I,8,0)</f>
        <v>#N/A</v>
      </c>
      <c r="H573" t="s">
        <v>952</v>
      </c>
      <c r="I573" t="e">
        <f>+VLOOKUP(H573,[1]Explore!$A:$I,9,0)</f>
        <v>#N/A</v>
      </c>
      <c r="J573" t="str">
        <f t="shared" si="16"/>
        <v>BOTH #N/A</v>
      </c>
      <c r="K573" t="str">
        <f t="shared" si="17"/>
        <v>Spread Yield</v>
      </c>
      <c r="L573" t="s">
        <v>188</v>
      </c>
      <c r="M573" t="str">
        <f>_xlfn.IFNA(VLOOKUP(K573,'Mapping DEF'!A:C,2,0),"")</f>
        <v>Spread Yield</v>
      </c>
      <c r="N573" t="str">
        <f>+_xlfn.IFNA(VLOOKUP(M573,'Mapping DEF'!B:C,2,FALSE),"")</f>
        <v>Spread</v>
      </c>
      <c r="O573" t="s">
        <v>2763</v>
      </c>
    </row>
    <row r="574" spans="1:15" x14ac:dyDescent="0.25">
      <c r="A574" t="s">
        <v>1847</v>
      </c>
      <c r="B574" t="s">
        <v>1848</v>
      </c>
      <c r="C574">
        <v>2105</v>
      </c>
      <c r="D574" t="s">
        <v>1849</v>
      </c>
      <c r="E574" t="s">
        <v>953</v>
      </c>
      <c r="F574" t="s">
        <v>877</v>
      </c>
      <c r="G574" t="str">
        <f>+VLOOKUP(F574,[1]Explore!$B:$I,8,0)</f>
        <v>Emerging Markets</v>
      </c>
      <c r="H574" t="s">
        <v>878</v>
      </c>
      <c r="I574" t="str">
        <f>+VLOOKUP(H574,[1]Explore!$A:$I,9,0)</f>
        <v>Spread Emerging Markets - Country</v>
      </c>
      <c r="J574" t="str">
        <f t="shared" si="16"/>
        <v>OK</v>
      </c>
      <c r="K574" t="str">
        <f t="shared" si="17"/>
        <v>Spread Emerging Markets - Country</v>
      </c>
      <c r="L574" t="s">
        <v>188</v>
      </c>
      <c r="M574" t="str">
        <f>_xlfn.IFNA(VLOOKUP(K574,'Mapping DEF'!A:C,2,0),"")</f>
        <v>Spread</v>
      </c>
      <c r="N574" t="str">
        <f>+_xlfn.IFNA(VLOOKUP(M574,'Mapping DEF'!B:C,2,FALSE),"")</f>
        <v>Spread</v>
      </c>
      <c r="O574" t="s">
        <v>2786</v>
      </c>
    </row>
    <row r="575" spans="1:15" x14ac:dyDescent="0.25">
      <c r="A575" t="s">
        <v>1847</v>
      </c>
      <c r="B575" t="s">
        <v>1848</v>
      </c>
      <c r="C575">
        <v>2105</v>
      </c>
      <c r="D575" t="s">
        <v>1849</v>
      </c>
      <c r="E575" t="s">
        <v>954</v>
      </c>
      <c r="F575" t="s">
        <v>955</v>
      </c>
      <c r="G575" t="str">
        <f>+VLOOKUP(F575,[1]Explore!$B:$I,8,0)</f>
        <v>Emerging Markets</v>
      </c>
      <c r="H575" t="s">
        <v>956</v>
      </c>
      <c r="I575" t="str">
        <f>+VLOOKUP(H575,[1]Explore!$A:$I,9,0)</f>
        <v>Spread Emerging Markets - Country</v>
      </c>
      <c r="J575" t="str">
        <f t="shared" si="16"/>
        <v>OK</v>
      </c>
      <c r="K575" t="str">
        <f t="shared" si="17"/>
        <v>Spread Emerging Markets - Country</v>
      </c>
      <c r="L575" t="s">
        <v>8</v>
      </c>
      <c r="M575" t="str">
        <f>_xlfn.IFNA(VLOOKUP(K575,'Mapping DEF'!A:C,2,0),"")</f>
        <v>Spread</v>
      </c>
      <c r="N575" t="str">
        <f>+_xlfn.IFNA(VLOOKUP(M575,'Mapping DEF'!B:C,2,FALSE),"")</f>
        <v>Spread</v>
      </c>
      <c r="O575" t="s">
        <v>2797</v>
      </c>
    </row>
    <row r="576" spans="1:15" x14ac:dyDescent="0.25">
      <c r="A576" t="s">
        <v>1847</v>
      </c>
      <c r="B576" t="s">
        <v>1848</v>
      </c>
      <c r="C576">
        <v>2105</v>
      </c>
      <c r="D576" t="s">
        <v>1849</v>
      </c>
      <c r="E576" t="s">
        <v>957</v>
      </c>
      <c r="F576" t="s">
        <v>2634</v>
      </c>
      <c r="G576" t="str">
        <f>+VLOOKUP(F576,[1]Explore!$B:$I,8,0)</f>
        <v>Materials</v>
      </c>
      <c r="H576" t="s">
        <v>958</v>
      </c>
      <c r="I576" t="e">
        <f>+VLOOKUP(H576,[1]Explore!$A:$I,9,0)</f>
        <v>#N/A</v>
      </c>
      <c r="J576" t="str">
        <f t="shared" si="16"/>
        <v>OK</v>
      </c>
      <c r="K576" t="str">
        <f t="shared" si="17"/>
        <v>Materials</v>
      </c>
      <c r="L576" t="s">
        <v>8</v>
      </c>
      <c r="M576" t="str">
        <f>_xlfn.IFNA(VLOOKUP(K576,'Mapping DEF'!A:C,2,0),"")</f>
        <v>Industry Allocation</v>
      </c>
      <c r="N576" t="str">
        <f>+_xlfn.IFNA(VLOOKUP(M576,'Mapping DEF'!B:C,2,FALSE),"")</f>
        <v>Equity</v>
      </c>
      <c r="O576" t="s">
        <v>2770</v>
      </c>
    </row>
    <row r="577" spans="1:15" x14ac:dyDescent="0.25">
      <c r="A577" t="s">
        <v>1869</v>
      </c>
      <c r="B577" t="s">
        <v>1870</v>
      </c>
      <c r="C577">
        <v>2504</v>
      </c>
      <c r="D577" t="s">
        <v>1871</v>
      </c>
      <c r="E577" t="s">
        <v>959</v>
      </c>
      <c r="F577" t="s">
        <v>19</v>
      </c>
      <c r="G577" t="str">
        <f>+VLOOKUP(F577,[1]Explore!$B:$I,8,0)</f>
        <v>Govt USD</v>
      </c>
      <c r="H577" t="s">
        <v>20</v>
      </c>
      <c r="I577" t="str">
        <f>+VLOOKUP(H577,[1]Explore!$A:$I,9,0)</f>
        <v>Govt USD</v>
      </c>
      <c r="J577" t="str">
        <f t="shared" si="16"/>
        <v>OK</v>
      </c>
      <c r="K577" t="str">
        <f t="shared" si="17"/>
        <v>Govt USD</v>
      </c>
      <c r="L577" t="s">
        <v>188</v>
      </c>
      <c r="M577" t="str">
        <f>_xlfn.IFNA(VLOOKUP(K577,'Mapping DEF'!A:C,2,0),"")</f>
        <v>Curve (Local)</v>
      </c>
      <c r="N577" t="str">
        <f>+_xlfn.IFNA(VLOOKUP(M577,'Mapping DEF'!B:C,2,FALSE),"")</f>
        <v>Term Structure</v>
      </c>
      <c r="O577" t="s">
        <v>2786</v>
      </c>
    </row>
    <row r="578" spans="1:15" x14ac:dyDescent="0.25">
      <c r="A578" t="s">
        <v>1869</v>
      </c>
      <c r="B578" t="s">
        <v>1870</v>
      </c>
      <c r="C578">
        <v>2504</v>
      </c>
      <c r="D578" t="s">
        <v>1871</v>
      </c>
      <c r="E578" t="s">
        <v>411</v>
      </c>
      <c r="F578" t="s">
        <v>258</v>
      </c>
      <c r="G578" t="str">
        <f>+VLOOKUP(F578,[1]Explore!$B:$I,8,0)</f>
        <v>USD Inflation</v>
      </c>
      <c r="H578" t="s">
        <v>259</v>
      </c>
      <c r="I578" t="str">
        <f>+VLOOKUP(H578,[1]Explore!$A:$I,9,0)</f>
        <v>USD Inflation</v>
      </c>
      <c r="J578" t="str">
        <f t="shared" si="16"/>
        <v>OK</v>
      </c>
      <c r="K578" t="str">
        <f t="shared" si="17"/>
        <v>USD Inflation</v>
      </c>
      <c r="L578" t="s">
        <v>188</v>
      </c>
      <c r="M578" t="str">
        <f>_xlfn.IFNA(VLOOKUP(K578,'Mapping DEF'!A:C,2,0),"")</f>
        <v>Inflation</v>
      </c>
      <c r="N578" t="str">
        <f>+_xlfn.IFNA(VLOOKUP(M578,'Mapping DEF'!B:C,2,FALSE),"")</f>
        <v>Other</v>
      </c>
      <c r="O578" t="s">
        <v>2774</v>
      </c>
    </row>
    <row r="579" spans="1:15" x14ac:dyDescent="0.25">
      <c r="A579" t="s">
        <v>1869</v>
      </c>
      <c r="B579" t="s">
        <v>1870</v>
      </c>
      <c r="C579">
        <v>2504</v>
      </c>
      <c r="D579" t="s">
        <v>1871</v>
      </c>
      <c r="E579" t="s">
        <v>960</v>
      </c>
      <c r="F579" t="s">
        <v>593</v>
      </c>
      <c r="G579" t="str">
        <f>+VLOOKUP(F579,[1]Explore!$B:$I,8,0)</f>
        <v>Corporate IG USD - Industry</v>
      </c>
      <c r="H579" t="s">
        <v>594</v>
      </c>
      <c r="I579" t="str">
        <f>+VLOOKUP(H579,[1]Explore!$A:$I,9,0)</f>
        <v>Corporate IG USD - Industry</v>
      </c>
      <c r="J579" t="str">
        <f t="shared" ref="J579:J642" si="18">IF(AND(ISNA(G579),ISNA(I579)),"BOTH #N/A","OK")</f>
        <v>OK</v>
      </c>
      <c r="K579" t="str">
        <f t="shared" ref="K579:K642" si="19">IFERROR(I579, IFERROR(G579, L579))</f>
        <v>Corporate IG USD - Industry</v>
      </c>
      <c r="L579" t="s">
        <v>8</v>
      </c>
      <c r="M579" t="str">
        <f>_xlfn.IFNA(VLOOKUP(K579,'Mapping DEF'!A:C,2,0),"")</f>
        <v>Spread</v>
      </c>
      <c r="N579" t="str">
        <f>+_xlfn.IFNA(VLOOKUP(M579,'Mapping DEF'!B:C,2,FALSE),"")</f>
        <v>Spread</v>
      </c>
      <c r="O579" t="s">
        <v>2752</v>
      </c>
    </row>
    <row r="580" spans="1:15" x14ac:dyDescent="0.25">
      <c r="A580" t="s">
        <v>1869</v>
      </c>
      <c r="B580" t="s">
        <v>1870</v>
      </c>
      <c r="C580">
        <v>2504</v>
      </c>
      <c r="D580" t="s">
        <v>1871</v>
      </c>
      <c r="E580" t="s">
        <v>961</v>
      </c>
      <c r="F580" t="s">
        <v>753</v>
      </c>
      <c r="G580" t="e">
        <f>+VLOOKUP(F580,[1]Explore!$B:$I,8,0)</f>
        <v>#N/A</v>
      </c>
      <c r="H580" t="s">
        <v>754</v>
      </c>
      <c r="I580" t="e">
        <f>+VLOOKUP(H580,[1]Explore!$A:$I,9,0)</f>
        <v>#N/A</v>
      </c>
      <c r="J580" t="str">
        <f t="shared" si="18"/>
        <v>BOTH #N/A</v>
      </c>
      <c r="K580" t="str">
        <f t="shared" si="19"/>
        <v>Corporate IG USD - Other</v>
      </c>
      <c r="L580" t="s">
        <v>2650</v>
      </c>
      <c r="M580" t="str">
        <f>_xlfn.IFNA(VLOOKUP(K580,'Mapping DEF'!A:C,2,0),"")</f>
        <v>Spread</v>
      </c>
      <c r="N580" t="str">
        <f>+_xlfn.IFNA(VLOOKUP(M580,'Mapping DEF'!B:C,2,FALSE),"")</f>
        <v>Spread</v>
      </c>
      <c r="O580" t="s">
        <v>2780</v>
      </c>
    </row>
    <row r="581" spans="1:15" x14ac:dyDescent="0.25">
      <c r="A581" t="s">
        <v>1869</v>
      </c>
      <c r="B581" t="s">
        <v>1870</v>
      </c>
      <c r="C581">
        <v>2504</v>
      </c>
      <c r="D581" t="s">
        <v>1871</v>
      </c>
      <c r="E581" t="s">
        <v>962</v>
      </c>
      <c r="F581" t="s">
        <v>315</v>
      </c>
      <c r="G581" t="str">
        <f>+VLOOKUP(F581,[1]Explore!$B:$I,8,0)</f>
        <v>Govt EUR (Ger)</v>
      </c>
      <c r="H581" t="s">
        <v>316</v>
      </c>
      <c r="I581" t="str">
        <f>+VLOOKUP(H581,[1]Explore!$A:$I,9,0)</f>
        <v>Govt EUR (Ger)</v>
      </c>
      <c r="J581" t="str">
        <f t="shared" si="18"/>
        <v>OK</v>
      </c>
      <c r="K581" t="str">
        <f t="shared" si="19"/>
        <v>Govt EUR (Ger)</v>
      </c>
      <c r="L581" t="s">
        <v>75</v>
      </c>
      <c r="M581" t="str">
        <f>_xlfn.IFNA(VLOOKUP(K581,'Mapping DEF'!A:C,2,0),"")</f>
        <v>Curve (Local)</v>
      </c>
      <c r="N581" t="str">
        <f>+_xlfn.IFNA(VLOOKUP(M581,'Mapping DEF'!B:C,2,FALSE),"")</f>
        <v>Term Structure</v>
      </c>
      <c r="O581" t="s">
        <v>2781</v>
      </c>
    </row>
    <row r="582" spans="1:15" x14ac:dyDescent="0.25">
      <c r="A582" t="s">
        <v>1869</v>
      </c>
      <c r="B582" t="s">
        <v>1870</v>
      </c>
      <c r="C582">
        <v>2504</v>
      </c>
      <c r="D582" t="s">
        <v>1871</v>
      </c>
      <c r="E582" t="s">
        <v>963</v>
      </c>
      <c r="F582" t="s">
        <v>360</v>
      </c>
      <c r="G582" t="str">
        <f>+VLOOKUP(F582,[1]Explore!$B:$I,8,0)</f>
        <v>Spread Govt ITA</v>
      </c>
      <c r="H582" t="s">
        <v>361</v>
      </c>
      <c r="I582" t="str">
        <f>+VLOOKUP(H582,[1]Explore!$A:$I,9,0)</f>
        <v>Spread Govt ITA</v>
      </c>
      <c r="J582" t="str">
        <f t="shared" si="18"/>
        <v>OK</v>
      </c>
      <c r="K582" t="str">
        <f t="shared" si="19"/>
        <v>Spread Govt ITA</v>
      </c>
      <c r="L582" t="s">
        <v>8</v>
      </c>
      <c r="M582" t="str">
        <f>_xlfn.IFNA(VLOOKUP(K582,'Mapping DEF'!A:C,2,0),"")</f>
        <v>Spread Govt</v>
      </c>
      <c r="N582" t="str">
        <f>+_xlfn.IFNA(VLOOKUP(M582,'Mapping DEF'!B:C,2,FALSE),"")</f>
        <v>Term Structure</v>
      </c>
      <c r="O582" t="s">
        <v>2765</v>
      </c>
    </row>
    <row r="583" spans="1:15" x14ac:dyDescent="0.25">
      <c r="A583" t="s">
        <v>1869</v>
      </c>
      <c r="B583" t="s">
        <v>1870</v>
      </c>
      <c r="C583">
        <v>2504</v>
      </c>
      <c r="D583" t="s">
        <v>1871</v>
      </c>
      <c r="E583" t="s">
        <v>964</v>
      </c>
      <c r="F583" t="s">
        <v>2942</v>
      </c>
      <c r="G583" t="str">
        <f>+VLOOKUP(F583,[1]Explore!$B:$I,8,0)</f>
        <v>EUR</v>
      </c>
      <c r="H583" t="s">
        <v>173</v>
      </c>
      <c r="I583" t="str">
        <f>+VLOOKUP(H583,[1]Explore!$A:$I,9,0)</f>
        <v>EUR</v>
      </c>
      <c r="J583" t="str">
        <f t="shared" si="18"/>
        <v>OK</v>
      </c>
      <c r="K583" t="str">
        <f t="shared" si="19"/>
        <v>EUR</v>
      </c>
      <c r="L583" t="s">
        <v>27</v>
      </c>
      <c r="M583" t="str">
        <f>_xlfn.IFNA(VLOOKUP(K583,'Mapping DEF'!A:C,2,0),"")</f>
        <v>FX</v>
      </c>
      <c r="N583" t="str">
        <f>+_xlfn.IFNA(VLOOKUP(M583,'Mapping DEF'!B:C,2,FALSE),"")</f>
        <v>FX</v>
      </c>
      <c r="O583" t="s">
        <v>2776</v>
      </c>
    </row>
    <row r="584" spans="1:15" x14ac:dyDescent="0.25">
      <c r="A584" t="s">
        <v>1869</v>
      </c>
      <c r="B584" t="s">
        <v>1870</v>
      </c>
      <c r="C584">
        <v>2504</v>
      </c>
      <c r="D584" t="s">
        <v>1871</v>
      </c>
      <c r="E584" t="s">
        <v>965</v>
      </c>
      <c r="F584" t="s">
        <v>966</v>
      </c>
      <c r="G584" t="str">
        <f>+VLOOKUP(F584,[1]Explore!$B:$I,8,0)</f>
        <v>EUR Inflation</v>
      </c>
      <c r="H584" t="s">
        <v>967</v>
      </c>
      <c r="I584" t="str">
        <f>+VLOOKUP(H584,[1]Explore!$A:$I,9,0)</f>
        <v>EUR Inflation</v>
      </c>
      <c r="J584" t="str">
        <f t="shared" si="18"/>
        <v>OK</v>
      </c>
      <c r="K584" t="str">
        <f t="shared" si="19"/>
        <v>EUR Inflation</v>
      </c>
      <c r="L584" t="s">
        <v>27</v>
      </c>
      <c r="M584" t="str">
        <f>_xlfn.IFNA(VLOOKUP(K584,'Mapping DEF'!A:C,2,0),"")</f>
        <v>Inflation</v>
      </c>
      <c r="N584" t="str">
        <f>+_xlfn.IFNA(VLOOKUP(M584,'Mapping DEF'!B:C,2,FALSE),"")</f>
        <v>Other</v>
      </c>
      <c r="O584" t="s">
        <v>2786</v>
      </c>
    </row>
    <row r="585" spans="1:15" x14ac:dyDescent="0.25">
      <c r="A585" t="s">
        <v>1869</v>
      </c>
      <c r="B585" t="s">
        <v>1870</v>
      </c>
      <c r="C585">
        <v>2504</v>
      </c>
      <c r="D585" t="s">
        <v>1871</v>
      </c>
      <c r="E585" t="s">
        <v>968</v>
      </c>
      <c r="F585" t="s">
        <v>2156</v>
      </c>
      <c r="G585" t="str">
        <f>+VLOOKUP(F585,[1]Explore!$B:$I,8,0)</f>
        <v>Equity Implied Volatility</v>
      </c>
      <c r="H585" t="s">
        <v>141</v>
      </c>
      <c r="I585" t="str">
        <f>+VLOOKUP(H585,[1]Explore!$A:$I,9,0)</f>
        <v>Equity Implied Volatility</v>
      </c>
      <c r="J585" t="str">
        <f t="shared" si="18"/>
        <v>OK</v>
      </c>
      <c r="K585" t="str">
        <f t="shared" si="19"/>
        <v>Equity Implied Volatility</v>
      </c>
      <c r="L585" t="s">
        <v>27</v>
      </c>
      <c r="M585" t="str">
        <f>_xlfn.IFNA(VLOOKUP(K585,'Mapping DEF'!A:C,2,0),"")</f>
        <v>Equity Derivatives</v>
      </c>
      <c r="N585" t="str">
        <f>+_xlfn.IFNA(VLOOKUP(M585,'Mapping DEF'!B:C,2,FALSE),"")</f>
        <v>Equity</v>
      </c>
      <c r="O585" t="s">
        <v>2810</v>
      </c>
    </row>
    <row r="586" spans="1:15" x14ac:dyDescent="0.25">
      <c r="A586" t="s">
        <v>1869</v>
      </c>
      <c r="B586" t="s">
        <v>1870</v>
      </c>
      <c r="C586">
        <v>2504</v>
      </c>
      <c r="D586" t="s">
        <v>1871</v>
      </c>
      <c r="E586" t="s">
        <v>969</v>
      </c>
      <c r="F586" t="s">
        <v>392</v>
      </c>
      <c r="G586" t="str">
        <f>+VLOOKUP(F586,[1]Explore!$B:$I,8,0)</f>
        <v>Equity Implied Volatility</v>
      </c>
      <c r="H586" t="s">
        <v>392</v>
      </c>
      <c r="I586" t="str">
        <f>+VLOOKUP(H586,[1]Explore!$A:$I,9,0)</f>
        <v>Equity Implied Volatility</v>
      </c>
      <c r="J586" t="str">
        <f t="shared" si="18"/>
        <v>OK</v>
      </c>
      <c r="K586" t="str">
        <f t="shared" si="19"/>
        <v>Equity Implied Volatility</v>
      </c>
      <c r="L586" t="s">
        <v>188</v>
      </c>
      <c r="M586" t="str">
        <f>_xlfn.IFNA(VLOOKUP(K586,'Mapping DEF'!A:C,2,0),"")</f>
        <v>Equity Derivatives</v>
      </c>
      <c r="N586" t="str">
        <f>+_xlfn.IFNA(VLOOKUP(M586,'Mapping DEF'!B:C,2,FALSE),"")</f>
        <v>Equity</v>
      </c>
      <c r="O586" t="s">
        <v>2787</v>
      </c>
    </row>
    <row r="587" spans="1:15" x14ac:dyDescent="0.25">
      <c r="A587" t="s">
        <v>1869</v>
      </c>
      <c r="B587" t="s">
        <v>1870</v>
      </c>
      <c r="C587">
        <v>2504</v>
      </c>
      <c r="D587" t="s">
        <v>1871</v>
      </c>
      <c r="E587" t="s">
        <v>970</v>
      </c>
      <c r="F587" t="s">
        <v>2618</v>
      </c>
      <c r="G587" t="str">
        <f>+VLOOKUP(F587,[1]Explore!$B:$I,8,0)</f>
        <v>Equity Implied Volatility</v>
      </c>
      <c r="H587" t="s">
        <v>144</v>
      </c>
      <c r="I587" t="str">
        <f>+VLOOKUP(H587,[1]Explore!$A:$I,9,0)</f>
        <v>Equity Implied Volatility</v>
      </c>
      <c r="J587" t="str">
        <f t="shared" si="18"/>
        <v>OK</v>
      </c>
      <c r="K587" t="str">
        <f t="shared" si="19"/>
        <v>Equity Implied Volatility</v>
      </c>
      <c r="L587" t="s">
        <v>8</v>
      </c>
      <c r="M587" t="str">
        <f>_xlfn.IFNA(VLOOKUP(K587,'Mapping DEF'!A:C,2,0),"")</f>
        <v>Equity Derivatives</v>
      </c>
      <c r="N587" t="str">
        <f>+_xlfn.IFNA(VLOOKUP(M587,'Mapping DEF'!B:C,2,FALSE),"")</f>
        <v>Equity</v>
      </c>
      <c r="O587" t="s">
        <v>2776</v>
      </c>
    </row>
    <row r="588" spans="1:15" x14ac:dyDescent="0.25">
      <c r="A588" t="s">
        <v>1869</v>
      </c>
      <c r="B588" t="s">
        <v>1870</v>
      </c>
      <c r="C588">
        <v>2504</v>
      </c>
      <c r="D588" t="s">
        <v>1871</v>
      </c>
      <c r="E588" t="s">
        <v>971</v>
      </c>
      <c r="F588" t="s">
        <v>972</v>
      </c>
      <c r="G588" t="str">
        <f>+VLOOKUP(F588,[1]Explore!$B:$I,8,0)</f>
        <v>Corporate IG EUR - Industry</v>
      </c>
      <c r="H588" t="s">
        <v>973</v>
      </c>
      <c r="I588" t="str">
        <f>+VLOOKUP(H588,[1]Explore!$A:$I,9,0)</f>
        <v>Corporate IG EUR - Industry</v>
      </c>
      <c r="J588" t="str">
        <f t="shared" si="18"/>
        <v>OK</v>
      </c>
      <c r="K588" t="str">
        <f t="shared" si="19"/>
        <v>Corporate IG EUR - Industry</v>
      </c>
      <c r="L588" t="s">
        <v>8</v>
      </c>
      <c r="M588" t="str">
        <f>_xlfn.IFNA(VLOOKUP(K588,'Mapping DEF'!A:C,2,0),"")</f>
        <v>Spread</v>
      </c>
      <c r="N588" t="str">
        <f>+_xlfn.IFNA(VLOOKUP(M588,'Mapping DEF'!B:C,2,FALSE),"")</f>
        <v>Spread</v>
      </c>
      <c r="O588" t="s">
        <v>2788</v>
      </c>
    </row>
    <row r="589" spans="1:15" x14ac:dyDescent="0.25">
      <c r="A589" t="s">
        <v>1869</v>
      </c>
      <c r="B589" t="s">
        <v>1870</v>
      </c>
      <c r="C589">
        <v>2504</v>
      </c>
      <c r="D589" t="s">
        <v>1871</v>
      </c>
      <c r="E589" t="s">
        <v>974</v>
      </c>
      <c r="F589" t="s">
        <v>975</v>
      </c>
      <c r="G589" t="str">
        <f>+VLOOKUP(F589,[1]Explore!$B:$I,8,0)</f>
        <v>Other - KRD</v>
      </c>
      <c r="H589" t="s">
        <v>976</v>
      </c>
      <c r="I589" t="str">
        <f>+VLOOKUP(H589,[1]Explore!$A:$I,9,0)</f>
        <v>Other - KRD</v>
      </c>
      <c r="J589" t="str">
        <f t="shared" si="18"/>
        <v>OK</v>
      </c>
      <c r="K589" t="str">
        <f t="shared" si="19"/>
        <v>Other - KRD</v>
      </c>
      <c r="L589" t="s">
        <v>8</v>
      </c>
      <c r="M589" t="str">
        <f>_xlfn.IFNA(VLOOKUP(K589,'Mapping DEF'!A:C,2,0),"")</f>
        <v>Other</v>
      </c>
      <c r="N589" t="str">
        <f>+_xlfn.IFNA(VLOOKUP(M589,'Mapping DEF'!B:C,2,FALSE),"")</f>
        <v>Other</v>
      </c>
      <c r="O589" t="s">
        <v>2778</v>
      </c>
    </row>
    <row r="590" spans="1:15" x14ac:dyDescent="0.25">
      <c r="A590" t="s">
        <v>1869</v>
      </c>
      <c r="B590" t="s">
        <v>1870</v>
      </c>
      <c r="C590">
        <v>2504</v>
      </c>
      <c r="D590" t="s">
        <v>1871</v>
      </c>
      <c r="E590" t="s">
        <v>980</v>
      </c>
      <c r="F590" t="s">
        <v>981</v>
      </c>
      <c r="G590" t="str">
        <f>+VLOOKUP(F590,[1]Explore!$B:$I,8,0)</f>
        <v>Other - KRD</v>
      </c>
      <c r="H590" t="s">
        <v>982</v>
      </c>
      <c r="I590" t="str">
        <f>+VLOOKUP(H590,[1]Explore!$A:$I,9,0)</f>
        <v>Other - KRD</v>
      </c>
      <c r="J590" t="str">
        <f t="shared" si="18"/>
        <v>OK</v>
      </c>
      <c r="K590" t="str">
        <f t="shared" si="19"/>
        <v>Other - KRD</v>
      </c>
      <c r="L590" t="s">
        <v>27</v>
      </c>
      <c r="M590" t="str">
        <f>_xlfn.IFNA(VLOOKUP(K590,'Mapping DEF'!A:C,2,0),"")</f>
        <v>Other</v>
      </c>
      <c r="N590" t="str">
        <f>+_xlfn.IFNA(VLOOKUP(M590,'Mapping DEF'!B:C,2,FALSE),"")</f>
        <v>Other</v>
      </c>
      <c r="O590" t="s">
        <v>2778</v>
      </c>
    </row>
    <row r="591" spans="1:15" x14ac:dyDescent="0.25">
      <c r="A591" t="s">
        <v>1869</v>
      </c>
      <c r="B591" t="s">
        <v>1870</v>
      </c>
      <c r="C591">
        <v>2504</v>
      </c>
      <c r="D591" t="s">
        <v>1871</v>
      </c>
      <c r="E591" t="s">
        <v>983</v>
      </c>
      <c r="F591" t="s">
        <v>2192</v>
      </c>
      <c r="G591" t="str">
        <f>+VLOOKUP(F591,[1]Explore!$B:$I,8,0)</f>
        <v>Govt EUR (Ger)</v>
      </c>
      <c r="H591" t="s">
        <v>637</v>
      </c>
      <c r="I591" t="e">
        <f>+VLOOKUP(H591,[1]Explore!$A:$I,9,0)</f>
        <v>#N/A</v>
      </c>
      <c r="J591" t="str">
        <f t="shared" si="18"/>
        <v>OK</v>
      </c>
      <c r="K591" t="str">
        <f t="shared" si="19"/>
        <v>Govt EUR (Ger)</v>
      </c>
      <c r="L591" t="s">
        <v>27</v>
      </c>
      <c r="M591" t="str">
        <f>_xlfn.IFNA(VLOOKUP(K591,'Mapping DEF'!A:C,2,0),"")</f>
        <v>Curve (Local)</v>
      </c>
      <c r="N591" t="str">
        <f>+_xlfn.IFNA(VLOOKUP(M591,'Mapping DEF'!B:C,2,FALSE),"")</f>
        <v>Term Structure</v>
      </c>
      <c r="O591" t="s">
        <v>2774</v>
      </c>
    </row>
    <row r="592" spans="1:15" x14ac:dyDescent="0.25">
      <c r="A592" t="s">
        <v>1869</v>
      </c>
      <c r="B592" t="s">
        <v>1870</v>
      </c>
      <c r="C592">
        <v>2504</v>
      </c>
      <c r="D592" t="s">
        <v>1871</v>
      </c>
      <c r="E592" t="s">
        <v>984</v>
      </c>
      <c r="F592" t="s">
        <v>2194</v>
      </c>
      <c r="G592" t="str">
        <f>+VLOOKUP(F592,[1]Explore!$B:$I,8,0)</f>
        <v>Equity Implied Volatility</v>
      </c>
      <c r="H592" t="s">
        <v>985</v>
      </c>
      <c r="I592" t="e">
        <f>+VLOOKUP(H592,[1]Explore!$A:$I,9,0)</f>
        <v>#N/A</v>
      </c>
      <c r="J592" t="str">
        <f t="shared" si="18"/>
        <v>OK</v>
      </c>
      <c r="K592" t="str">
        <f t="shared" si="19"/>
        <v>Equity Implied Volatility</v>
      </c>
      <c r="L592" t="s">
        <v>8</v>
      </c>
      <c r="M592" t="str">
        <f>_xlfn.IFNA(VLOOKUP(K592,'Mapping DEF'!A:C,2,0),"")</f>
        <v>Equity Derivatives</v>
      </c>
      <c r="N592" t="str">
        <f>+_xlfn.IFNA(VLOOKUP(M592,'Mapping DEF'!B:C,2,FALSE),"")</f>
        <v>Equity</v>
      </c>
      <c r="O592" t="s">
        <v>2753</v>
      </c>
    </row>
    <row r="593" spans="1:15" x14ac:dyDescent="0.25">
      <c r="A593" t="s">
        <v>1869</v>
      </c>
      <c r="B593" t="s">
        <v>1870</v>
      </c>
      <c r="C593">
        <v>2504</v>
      </c>
      <c r="D593" t="s">
        <v>1871</v>
      </c>
      <c r="E593" t="s">
        <v>986</v>
      </c>
      <c r="F593" t="s">
        <v>2157</v>
      </c>
      <c r="G593" t="str">
        <f>+VLOOKUP(F593,[1]Explore!$B:$I,8,0)</f>
        <v>Equity Implied Volatility</v>
      </c>
      <c r="H593" t="s">
        <v>325</v>
      </c>
      <c r="I593" t="e">
        <f>+VLOOKUP(H593,[1]Explore!$A:$I,9,0)</f>
        <v>#N/A</v>
      </c>
      <c r="J593" t="str">
        <f t="shared" si="18"/>
        <v>OK</v>
      </c>
      <c r="K593" t="str">
        <f t="shared" si="19"/>
        <v>Equity Implied Volatility</v>
      </c>
      <c r="L593" t="s">
        <v>188</v>
      </c>
      <c r="M593" t="str">
        <f>_xlfn.IFNA(VLOOKUP(K593,'Mapping DEF'!A:C,2,0),"")</f>
        <v>Equity Derivatives</v>
      </c>
      <c r="N593" t="str">
        <f>+_xlfn.IFNA(VLOOKUP(M593,'Mapping DEF'!B:C,2,FALSE),"")</f>
        <v>Equity</v>
      </c>
      <c r="O593" t="s">
        <v>2770</v>
      </c>
    </row>
    <row r="594" spans="1:15" x14ac:dyDescent="0.25">
      <c r="A594" t="s">
        <v>1869</v>
      </c>
      <c r="B594" t="s">
        <v>1870</v>
      </c>
      <c r="C594">
        <v>2504</v>
      </c>
      <c r="D594" t="s">
        <v>1871</v>
      </c>
      <c r="E594" t="s">
        <v>987</v>
      </c>
      <c r="F594" t="s">
        <v>22</v>
      </c>
      <c r="G594" t="str">
        <f>+VLOOKUP(F594,[1]Explore!$B:$I,8,0)</f>
        <v>Govt USD</v>
      </c>
      <c r="H594" t="s">
        <v>637</v>
      </c>
      <c r="I594" t="e">
        <f>+VLOOKUP(H594,[1]Explore!$A:$I,9,0)</f>
        <v>#N/A</v>
      </c>
      <c r="J594" t="str">
        <f t="shared" si="18"/>
        <v>OK</v>
      </c>
      <c r="K594" t="str">
        <f t="shared" si="19"/>
        <v>Govt USD</v>
      </c>
      <c r="L594" t="s">
        <v>75</v>
      </c>
      <c r="M594" t="str">
        <f>_xlfn.IFNA(VLOOKUP(K594,'Mapping DEF'!A:C,2,0),"")</f>
        <v>Curve (Local)</v>
      </c>
      <c r="N594" t="str">
        <f>+_xlfn.IFNA(VLOOKUP(M594,'Mapping DEF'!B:C,2,FALSE),"")</f>
        <v>Term Structure</v>
      </c>
      <c r="O594" t="s">
        <v>2797</v>
      </c>
    </row>
    <row r="595" spans="1:15" x14ac:dyDescent="0.25">
      <c r="A595" t="s">
        <v>1916</v>
      </c>
      <c r="B595" t="s">
        <v>1917</v>
      </c>
      <c r="C595">
        <v>2505</v>
      </c>
      <c r="D595" t="s">
        <v>1918</v>
      </c>
      <c r="E595" t="s">
        <v>962</v>
      </c>
      <c r="F595" t="s">
        <v>315</v>
      </c>
      <c r="G595" t="str">
        <f>+VLOOKUP(F595,[1]Explore!$B:$I,8,0)</f>
        <v>Govt EUR (Ger)</v>
      </c>
      <c r="H595" t="s">
        <v>316</v>
      </c>
      <c r="I595" t="str">
        <f>+VLOOKUP(H595,[1]Explore!$A:$I,9,0)</f>
        <v>Govt EUR (Ger)</v>
      </c>
      <c r="J595" t="str">
        <f t="shared" si="18"/>
        <v>OK</v>
      </c>
      <c r="K595" t="str">
        <f t="shared" si="19"/>
        <v>Govt EUR (Ger)</v>
      </c>
      <c r="L595" t="s">
        <v>27</v>
      </c>
      <c r="M595" t="str">
        <f>_xlfn.IFNA(VLOOKUP(K595,'Mapping DEF'!A:C,2,0),"")</f>
        <v>Curve (Local)</v>
      </c>
      <c r="N595" t="str">
        <f>+_xlfn.IFNA(VLOOKUP(M595,'Mapping DEF'!B:C,2,FALSE),"")</f>
        <v>Term Structure</v>
      </c>
      <c r="O595" t="s">
        <v>2781</v>
      </c>
    </row>
    <row r="596" spans="1:15" x14ac:dyDescent="0.25">
      <c r="A596" t="s">
        <v>1916</v>
      </c>
      <c r="B596" t="s">
        <v>1917</v>
      </c>
      <c r="C596">
        <v>2505</v>
      </c>
      <c r="D596" t="s">
        <v>1918</v>
      </c>
      <c r="E596" t="s">
        <v>963</v>
      </c>
      <c r="F596" t="s">
        <v>360</v>
      </c>
      <c r="G596" t="str">
        <f>+VLOOKUP(F596,[1]Explore!$B:$I,8,0)</f>
        <v>Spread Govt ITA</v>
      </c>
      <c r="H596" t="s">
        <v>361</v>
      </c>
      <c r="I596" t="str">
        <f>+VLOOKUP(H596,[1]Explore!$A:$I,9,0)</f>
        <v>Spread Govt ITA</v>
      </c>
      <c r="J596" t="str">
        <f t="shared" si="18"/>
        <v>OK</v>
      </c>
      <c r="K596" t="str">
        <f t="shared" si="19"/>
        <v>Spread Govt ITA</v>
      </c>
      <c r="L596" t="s">
        <v>27</v>
      </c>
      <c r="M596" t="str">
        <f>_xlfn.IFNA(VLOOKUP(K596,'Mapping DEF'!A:C,2,0),"")</f>
        <v>Spread Govt</v>
      </c>
      <c r="N596" t="str">
        <f>+_xlfn.IFNA(VLOOKUP(M596,'Mapping DEF'!B:C,2,FALSE),"")</f>
        <v>Term Structure</v>
      </c>
      <c r="O596" t="s">
        <v>2765</v>
      </c>
    </row>
    <row r="597" spans="1:15" x14ac:dyDescent="0.25">
      <c r="A597" t="s">
        <v>1916</v>
      </c>
      <c r="B597" t="s">
        <v>1917</v>
      </c>
      <c r="C597">
        <v>2505</v>
      </c>
      <c r="D597" t="s">
        <v>1918</v>
      </c>
      <c r="E597" t="s">
        <v>964</v>
      </c>
      <c r="F597" t="s">
        <v>2942</v>
      </c>
      <c r="G597" t="str">
        <f>+VLOOKUP(F597,[1]Explore!$B:$I,8,0)</f>
        <v>EUR</v>
      </c>
      <c r="H597" t="s">
        <v>173</v>
      </c>
      <c r="I597" t="str">
        <f>+VLOOKUP(H597,[1]Explore!$A:$I,9,0)</f>
        <v>EUR</v>
      </c>
      <c r="J597" t="str">
        <f t="shared" si="18"/>
        <v>OK</v>
      </c>
      <c r="K597" t="str">
        <f t="shared" si="19"/>
        <v>EUR</v>
      </c>
      <c r="L597" t="s">
        <v>27</v>
      </c>
      <c r="M597" t="str">
        <f>_xlfn.IFNA(VLOOKUP(K597,'Mapping DEF'!A:C,2,0),"")</f>
        <v>FX</v>
      </c>
      <c r="N597" t="str">
        <f>+_xlfn.IFNA(VLOOKUP(M597,'Mapping DEF'!B:C,2,FALSE),"")</f>
        <v>FX</v>
      </c>
      <c r="O597" t="s">
        <v>2776</v>
      </c>
    </row>
    <row r="598" spans="1:15" x14ac:dyDescent="0.25">
      <c r="A598" t="s">
        <v>1916</v>
      </c>
      <c r="B598" t="s">
        <v>1917</v>
      </c>
      <c r="C598">
        <v>2505</v>
      </c>
      <c r="D598" t="s">
        <v>1918</v>
      </c>
      <c r="E598" t="s">
        <v>557</v>
      </c>
      <c r="F598" t="s">
        <v>392</v>
      </c>
      <c r="G598" t="str">
        <f>+VLOOKUP(F598,[1]Explore!$B:$I,8,0)</f>
        <v>Equity Implied Volatility</v>
      </c>
      <c r="H598" t="s">
        <v>392</v>
      </c>
      <c r="I598" t="str">
        <f>+VLOOKUP(H598,[1]Explore!$A:$I,9,0)</f>
        <v>Equity Implied Volatility</v>
      </c>
      <c r="J598" t="str">
        <f t="shared" si="18"/>
        <v>OK</v>
      </c>
      <c r="K598" t="str">
        <f t="shared" si="19"/>
        <v>Equity Implied Volatility</v>
      </c>
      <c r="L598" t="s">
        <v>188</v>
      </c>
      <c r="M598" t="str">
        <f>_xlfn.IFNA(VLOOKUP(K598,'Mapping DEF'!A:C,2,0),"")</f>
        <v>Equity Derivatives</v>
      </c>
      <c r="N598" t="str">
        <f>+_xlfn.IFNA(VLOOKUP(M598,'Mapping DEF'!B:C,2,FALSE),"")</f>
        <v>Equity</v>
      </c>
      <c r="O598" t="s">
        <v>2794</v>
      </c>
    </row>
    <row r="599" spans="1:15" x14ac:dyDescent="0.25">
      <c r="A599" t="s">
        <v>1916</v>
      </c>
      <c r="B599" t="s">
        <v>1917</v>
      </c>
      <c r="C599">
        <v>2505</v>
      </c>
      <c r="D599" t="s">
        <v>1918</v>
      </c>
      <c r="E599" t="s">
        <v>988</v>
      </c>
      <c r="F599" t="s">
        <v>989</v>
      </c>
      <c r="G599" t="str">
        <f>+VLOOKUP(F599,[1]Explore!$B:$I,8,0)</f>
        <v>Equity Implied Volatility</v>
      </c>
      <c r="H599" t="s">
        <v>990</v>
      </c>
      <c r="I599" t="str">
        <f>+VLOOKUP(H599,[1]Explore!$A:$I,9,0)</f>
        <v>Equity Implied Volatility</v>
      </c>
      <c r="J599" t="str">
        <f t="shared" si="18"/>
        <v>OK</v>
      </c>
      <c r="K599" t="str">
        <f t="shared" si="19"/>
        <v>Equity Implied Volatility</v>
      </c>
      <c r="L599" t="s">
        <v>93</v>
      </c>
      <c r="M599" t="str">
        <f>_xlfn.IFNA(VLOOKUP(K599,'Mapping DEF'!A:C,2,0),"")</f>
        <v>Equity Derivatives</v>
      </c>
      <c r="N599" t="str">
        <f>+_xlfn.IFNA(VLOOKUP(M599,'Mapping DEF'!B:C,2,FALSE),"")</f>
        <v>Equity</v>
      </c>
      <c r="O599" t="s">
        <v>2811</v>
      </c>
    </row>
    <row r="600" spans="1:15" x14ac:dyDescent="0.25">
      <c r="A600" t="s">
        <v>1916</v>
      </c>
      <c r="B600" t="s">
        <v>1917</v>
      </c>
      <c r="C600">
        <v>2505</v>
      </c>
      <c r="D600" t="s">
        <v>1918</v>
      </c>
      <c r="E600" t="s">
        <v>991</v>
      </c>
      <c r="F600" t="s">
        <v>183</v>
      </c>
      <c r="G600" t="str">
        <f>+VLOOKUP(F600,[1]Explore!$B:$I,8,0)</f>
        <v>Equity Implied Volatility</v>
      </c>
      <c r="H600" t="s">
        <v>184</v>
      </c>
      <c r="I600" t="str">
        <f>+VLOOKUP(H600,[1]Explore!$A:$I,9,0)</f>
        <v>Equity Implied Volatility</v>
      </c>
      <c r="J600" t="str">
        <f t="shared" si="18"/>
        <v>OK</v>
      </c>
      <c r="K600" t="str">
        <f t="shared" si="19"/>
        <v>Equity Implied Volatility</v>
      </c>
      <c r="L600" t="s">
        <v>27</v>
      </c>
      <c r="M600" t="str">
        <f>_xlfn.IFNA(VLOOKUP(K600,'Mapping DEF'!A:C,2,0),"")</f>
        <v>Equity Derivatives</v>
      </c>
      <c r="N600" t="str">
        <f>+_xlfn.IFNA(VLOOKUP(M600,'Mapping DEF'!B:C,2,FALSE),"")</f>
        <v>Equity</v>
      </c>
      <c r="O600" t="s">
        <v>2787</v>
      </c>
    </row>
    <row r="601" spans="1:15" x14ac:dyDescent="0.25">
      <c r="A601" t="s">
        <v>1916</v>
      </c>
      <c r="B601" t="s">
        <v>1917</v>
      </c>
      <c r="C601">
        <v>2505</v>
      </c>
      <c r="D601" t="s">
        <v>1918</v>
      </c>
      <c r="E601" t="s">
        <v>971</v>
      </c>
      <c r="F601" t="s">
        <v>972</v>
      </c>
      <c r="G601" t="str">
        <f>+VLOOKUP(F601,[1]Explore!$B:$I,8,0)</f>
        <v>Corporate IG EUR - Industry</v>
      </c>
      <c r="H601" t="s">
        <v>973</v>
      </c>
      <c r="I601" t="str">
        <f>+VLOOKUP(H601,[1]Explore!$A:$I,9,0)</f>
        <v>Corporate IG EUR - Industry</v>
      </c>
      <c r="J601" t="str">
        <f t="shared" si="18"/>
        <v>OK</v>
      </c>
      <c r="K601" t="str">
        <f t="shared" si="19"/>
        <v>Corporate IG EUR - Industry</v>
      </c>
      <c r="L601" t="s">
        <v>8</v>
      </c>
      <c r="M601" t="str">
        <f>_xlfn.IFNA(VLOOKUP(K601,'Mapping DEF'!A:C,2,0),"")</f>
        <v>Spread</v>
      </c>
      <c r="N601" t="str">
        <f>+_xlfn.IFNA(VLOOKUP(M601,'Mapping DEF'!B:C,2,FALSE),"")</f>
        <v>Spread</v>
      </c>
      <c r="O601" t="s">
        <v>2788</v>
      </c>
    </row>
    <row r="602" spans="1:15" x14ac:dyDescent="0.25">
      <c r="A602" t="s">
        <v>1916</v>
      </c>
      <c r="B602" t="s">
        <v>1917</v>
      </c>
      <c r="C602">
        <v>2505</v>
      </c>
      <c r="D602" t="s">
        <v>1918</v>
      </c>
      <c r="E602" t="s">
        <v>992</v>
      </c>
      <c r="F602" t="s">
        <v>993</v>
      </c>
      <c r="G602" t="e">
        <f>+VLOOKUP(F602,[1]Explore!$B:$I,8,0)</f>
        <v>#N/A</v>
      </c>
      <c r="H602" t="s">
        <v>994</v>
      </c>
      <c r="I602" t="e">
        <f>+VLOOKUP(H602,[1]Explore!$A:$I,9,0)</f>
        <v>#N/A</v>
      </c>
      <c r="J602" t="str">
        <f t="shared" si="18"/>
        <v>BOTH #N/A</v>
      </c>
      <c r="K602" t="str">
        <f t="shared" si="19"/>
        <v>Financials</v>
      </c>
      <c r="L602" t="s">
        <v>325</v>
      </c>
      <c r="M602" t="str">
        <f>_xlfn.IFNA(VLOOKUP(K602,'Mapping DEF'!A:C,2,0),"")</f>
        <v>Industry Allocation</v>
      </c>
      <c r="N602" t="str">
        <f>+_xlfn.IFNA(VLOOKUP(M602,'Mapping DEF'!B:C,2,FALSE),"")</f>
        <v>Equity</v>
      </c>
      <c r="O602" t="s">
        <v>2789</v>
      </c>
    </row>
    <row r="603" spans="1:15" x14ac:dyDescent="0.25">
      <c r="A603" t="s">
        <v>1916</v>
      </c>
      <c r="B603" t="s">
        <v>1917</v>
      </c>
      <c r="C603">
        <v>2505</v>
      </c>
      <c r="D603" t="s">
        <v>1918</v>
      </c>
      <c r="E603" t="s">
        <v>995</v>
      </c>
      <c r="F603" t="s">
        <v>2618</v>
      </c>
      <c r="G603" t="str">
        <f>+VLOOKUP(F603,[1]Explore!$B:$I,8,0)</f>
        <v>Equity Implied Volatility</v>
      </c>
      <c r="H603" t="s">
        <v>243</v>
      </c>
      <c r="I603" t="e">
        <f>+VLOOKUP(H603,[1]Explore!$A:$I,9,0)</f>
        <v>#N/A</v>
      </c>
      <c r="J603" t="str">
        <f t="shared" si="18"/>
        <v>OK</v>
      </c>
      <c r="K603" t="str">
        <f t="shared" si="19"/>
        <v>Equity Implied Volatility</v>
      </c>
      <c r="L603" t="s">
        <v>188</v>
      </c>
      <c r="M603" t="str">
        <f>_xlfn.IFNA(VLOOKUP(K603,'Mapping DEF'!A:C,2,0),"")</f>
        <v>Equity Derivatives</v>
      </c>
      <c r="N603" t="str">
        <f>+_xlfn.IFNA(VLOOKUP(M603,'Mapping DEF'!B:C,2,FALSE),"")</f>
        <v>Equity</v>
      </c>
      <c r="O603" t="s">
        <v>2776</v>
      </c>
    </row>
    <row r="604" spans="1:15" x14ac:dyDescent="0.25">
      <c r="A604" t="s">
        <v>1938</v>
      </c>
      <c r="B604" t="s">
        <v>1939</v>
      </c>
      <c r="C604">
        <v>2506</v>
      </c>
      <c r="D604" t="s">
        <v>1940</v>
      </c>
      <c r="E604" t="s">
        <v>996</v>
      </c>
      <c r="F604" t="s">
        <v>997</v>
      </c>
      <c r="G604" t="str">
        <f>+VLOOKUP(F604,[1]Explore!$B:$I,8,0)</f>
        <v>Govt EUR (Ger)</v>
      </c>
      <c r="H604" t="s">
        <v>998</v>
      </c>
      <c r="I604" t="str">
        <f>+VLOOKUP(H604,[1]Explore!$A:$I,9,0)</f>
        <v>Govt EUR (Ger)</v>
      </c>
      <c r="J604" t="str">
        <f t="shared" si="18"/>
        <v>OK</v>
      </c>
      <c r="K604" t="str">
        <f t="shared" si="19"/>
        <v>Govt EUR (Ger)</v>
      </c>
      <c r="L604" t="s">
        <v>75</v>
      </c>
      <c r="M604" t="str">
        <f>_xlfn.IFNA(VLOOKUP(K604,'Mapping DEF'!A:C,2,0),"")</f>
        <v>Curve (Local)</v>
      </c>
      <c r="N604" t="str">
        <f>+_xlfn.IFNA(VLOOKUP(M604,'Mapping DEF'!B:C,2,FALSE),"")</f>
        <v>Term Structure</v>
      </c>
      <c r="O604" t="s">
        <v>2790</v>
      </c>
    </row>
    <row r="605" spans="1:15" x14ac:dyDescent="0.25">
      <c r="A605" t="s">
        <v>1938</v>
      </c>
      <c r="B605" t="s">
        <v>1939</v>
      </c>
      <c r="C605">
        <v>2506</v>
      </c>
      <c r="D605" t="s">
        <v>1940</v>
      </c>
      <c r="E605" t="s">
        <v>999</v>
      </c>
      <c r="F605" t="s">
        <v>315</v>
      </c>
      <c r="G605" t="str">
        <f>+VLOOKUP(F605,[1]Explore!$B:$I,8,0)</f>
        <v>Govt EUR (Ger)</v>
      </c>
      <c r="H605" t="s">
        <v>316</v>
      </c>
      <c r="I605" t="str">
        <f>+VLOOKUP(H605,[1]Explore!$A:$I,9,0)</f>
        <v>Govt EUR (Ger)</v>
      </c>
      <c r="J605" t="str">
        <f t="shared" si="18"/>
        <v>OK</v>
      </c>
      <c r="K605" t="str">
        <f t="shared" si="19"/>
        <v>Govt EUR (Ger)</v>
      </c>
      <c r="L605" t="s">
        <v>8</v>
      </c>
      <c r="M605" t="str">
        <f>_xlfn.IFNA(VLOOKUP(K605,'Mapping DEF'!A:C,2,0),"")</f>
        <v>Curve (Local)</v>
      </c>
      <c r="N605" t="str">
        <f>+_xlfn.IFNA(VLOOKUP(M605,'Mapping DEF'!B:C,2,FALSE),"")</f>
        <v>Term Structure</v>
      </c>
      <c r="O605" t="s">
        <v>2791</v>
      </c>
    </row>
    <row r="606" spans="1:15" x14ac:dyDescent="0.25">
      <c r="A606" t="s">
        <v>1938</v>
      </c>
      <c r="B606" t="s">
        <v>1939</v>
      </c>
      <c r="C606">
        <v>2506</v>
      </c>
      <c r="D606" t="s">
        <v>1940</v>
      </c>
      <c r="E606" t="s">
        <v>1000</v>
      </c>
      <c r="F606" t="s">
        <v>360</v>
      </c>
      <c r="G606" t="str">
        <f>+VLOOKUP(F606,[1]Explore!$B:$I,8,0)</f>
        <v>Spread Govt ITA</v>
      </c>
      <c r="H606" t="s">
        <v>361</v>
      </c>
      <c r="I606" t="str">
        <f>+VLOOKUP(H606,[1]Explore!$A:$I,9,0)</f>
        <v>Spread Govt ITA</v>
      </c>
      <c r="J606" t="str">
        <f t="shared" si="18"/>
        <v>OK</v>
      </c>
      <c r="K606" t="str">
        <f t="shared" si="19"/>
        <v>Spread Govt ITA</v>
      </c>
      <c r="L606" t="s">
        <v>27</v>
      </c>
      <c r="M606" t="str">
        <f>_xlfn.IFNA(VLOOKUP(K606,'Mapping DEF'!A:C,2,0),"")</f>
        <v>Spread Govt</v>
      </c>
      <c r="N606" t="str">
        <f>+_xlfn.IFNA(VLOOKUP(M606,'Mapping DEF'!B:C,2,FALSE),"")</f>
        <v>Term Structure</v>
      </c>
      <c r="O606" t="s">
        <v>2780</v>
      </c>
    </row>
    <row r="607" spans="1:15" x14ac:dyDescent="0.25">
      <c r="A607" t="s">
        <v>1938</v>
      </c>
      <c r="B607" t="s">
        <v>1939</v>
      </c>
      <c r="C607">
        <v>2506</v>
      </c>
      <c r="D607" t="s">
        <v>1940</v>
      </c>
      <c r="E607" t="s">
        <v>1001</v>
      </c>
      <c r="F607" t="s">
        <v>2942</v>
      </c>
      <c r="G607" t="str">
        <f>+VLOOKUP(F607,[1]Explore!$B:$I,8,0)</f>
        <v>EUR</v>
      </c>
      <c r="H607" t="s">
        <v>173</v>
      </c>
      <c r="I607" t="str">
        <f>+VLOOKUP(H607,[1]Explore!$A:$I,9,0)</f>
        <v>EUR</v>
      </c>
      <c r="J607" t="str">
        <f t="shared" si="18"/>
        <v>OK</v>
      </c>
      <c r="K607" t="str">
        <f t="shared" si="19"/>
        <v>EUR</v>
      </c>
      <c r="L607" t="s">
        <v>188</v>
      </c>
      <c r="M607" t="str">
        <f>_xlfn.IFNA(VLOOKUP(K607,'Mapping DEF'!A:C,2,0),"")</f>
        <v>FX</v>
      </c>
      <c r="N607" t="str">
        <f>+_xlfn.IFNA(VLOOKUP(M607,'Mapping DEF'!B:C,2,FALSE),"")</f>
        <v>FX</v>
      </c>
      <c r="O607" t="s">
        <v>2831</v>
      </c>
    </row>
    <row r="608" spans="1:15" x14ac:dyDescent="0.25">
      <c r="A608" t="s">
        <v>1938</v>
      </c>
      <c r="B608" t="s">
        <v>1939</v>
      </c>
      <c r="C608">
        <v>2506</v>
      </c>
      <c r="D608" t="s">
        <v>1940</v>
      </c>
      <c r="E608" t="s">
        <v>1005</v>
      </c>
      <c r="F608" t="s">
        <v>966</v>
      </c>
      <c r="G608" t="str">
        <f>+VLOOKUP(F608,[1]Explore!$B:$I,8,0)</f>
        <v>EUR Inflation</v>
      </c>
      <c r="H608" t="s">
        <v>967</v>
      </c>
      <c r="I608" t="str">
        <f>+VLOOKUP(H608,[1]Explore!$A:$I,9,0)</f>
        <v>EUR Inflation</v>
      </c>
      <c r="J608" t="str">
        <f t="shared" si="18"/>
        <v>OK</v>
      </c>
      <c r="K608" t="str">
        <f t="shared" si="19"/>
        <v>EUR Inflation</v>
      </c>
      <c r="L608" t="s">
        <v>8</v>
      </c>
      <c r="M608" t="str">
        <f>_xlfn.IFNA(VLOOKUP(K608,'Mapping DEF'!A:C,2,0),"")</f>
        <v>Inflation</v>
      </c>
      <c r="N608" t="str">
        <f>+_xlfn.IFNA(VLOOKUP(M608,'Mapping DEF'!B:C,2,FALSE),"")</f>
        <v>Other</v>
      </c>
      <c r="O608" t="s">
        <v>2774</v>
      </c>
    </row>
    <row r="609" spans="1:15" x14ac:dyDescent="0.25">
      <c r="A609" t="s">
        <v>1938</v>
      </c>
      <c r="B609" t="s">
        <v>1939</v>
      </c>
      <c r="C609">
        <v>2506</v>
      </c>
      <c r="D609" t="s">
        <v>1940</v>
      </c>
      <c r="E609" t="s">
        <v>1006</v>
      </c>
      <c r="F609" t="s">
        <v>2618</v>
      </c>
      <c r="G609" t="str">
        <f>+VLOOKUP(F609,[1]Explore!$B:$I,8,0)</f>
        <v>Equity Implied Volatility</v>
      </c>
      <c r="H609" t="s">
        <v>144</v>
      </c>
      <c r="I609" t="str">
        <f>+VLOOKUP(H609,[1]Explore!$A:$I,9,0)</f>
        <v>Equity Implied Volatility</v>
      </c>
      <c r="J609" t="str">
        <f t="shared" si="18"/>
        <v>OK</v>
      </c>
      <c r="K609" t="str">
        <f t="shared" si="19"/>
        <v>Equity Implied Volatility</v>
      </c>
      <c r="L609" t="s">
        <v>8</v>
      </c>
      <c r="M609" t="str">
        <f>_xlfn.IFNA(VLOOKUP(K609,'Mapping DEF'!A:C,2,0),"")</f>
        <v>Equity Derivatives</v>
      </c>
      <c r="N609" t="str">
        <f>+_xlfn.IFNA(VLOOKUP(M609,'Mapping DEF'!B:C,2,FALSE),"")</f>
        <v>Equity</v>
      </c>
      <c r="O609" t="s">
        <v>2812</v>
      </c>
    </row>
    <row r="610" spans="1:15" x14ac:dyDescent="0.25">
      <c r="A610" t="s">
        <v>1938</v>
      </c>
      <c r="B610" t="s">
        <v>1939</v>
      </c>
      <c r="C610">
        <v>2506</v>
      </c>
      <c r="D610" t="s">
        <v>1940</v>
      </c>
      <c r="E610" t="s">
        <v>1007</v>
      </c>
      <c r="F610" t="s">
        <v>972</v>
      </c>
      <c r="G610" t="str">
        <f>+VLOOKUP(F610,[1]Explore!$B:$I,8,0)</f>
        <v>Corporate IG EUR - Industry</v>
      </c>
      <c r="H610" t="s">
        <v>973</v>
      </c>
      <c r="I610" t="str">
        <f>+VLOOKUP(H610,[1]Explore!$A:$I,9,0)</f>
        <v>Corporate IG EUR - Industry</v>
      </c>
      <c r="J610" t="str">
        <f t="shared" si="18"/>
        <v>OK</v>
      </c>
      <c r="K610" t="str">
        <f t="shared" si="19"/>
        <v>Corporate IG EUR - Industry</v>
      </c>
      <c r="L610" t="s">
        <v>8</v>
      </c>
      <c r="M610" t="str">
        <f>_xlfn.IFNA(VLOOKUP(K610,'Mapping DEF'!A:C,2,0),"")</f>
        <v>Spread</v>
      </c>
      <c r="N610" t="str">
        <f>+_xlfn.IFNA(VLOOKUP(M610,'Mapping DEF'!B:C,2,FALSE),"")</f>
        <v>Spread</v>
      </c>
      <c r="O610" t="s">
        <v>2752</v>
      </c>
    </row>
    <row r="611" spans="1:15" x14ac:dyDescent="0.25">
      <c r="A611" t="s">
        <v>1938</v>
      </c>
      <c r="B611" t="s">
        <v>1939</v>
      </c>
      <c r="C611">
        <v>2506</v>
      </c>
      <c r="D611" t="s">
        <v>1940</v>
      </c>
      <c r="E611" t="s">
        <v>1008</v>
      </c>
      <c r="F611" t="s">
        <v>836</v>
      </c>
      <c r="G611" t="str">
        <f>+VLOOKUP(F611,[1]Explore!$B:$I,8,0)</f>
        <v>Govt USD</v>
      </c>
      <c r="H611" t="s">
        <v>837</v>
      </c>
      <c r="I611" t="str">
        <f>+VLOOKUP(H611,[1]Explore!$A:$I,9,0)</f>
        <v>Govt USD</v>
      </c>
      <c r="J611" t="str">
        <f t="shared" si="18"/>
        <v>OK</v>
      </c>
      <c r="K611" t="str">
        <f t="shared" si="19"/>
        <v>Govt USD</v>
      </c>
      <c r="L611" t="s">
        <v>27</v>
      </c>
      <c r="M611" t="str">
        <f>_xlfn.IFNA(VLOOKUP(K611,'Mapping DEF'!A:C,2,0),"")</f>
        <v>Curve (Local)</v>
      </c>
      <c r="N611" t="str">
        <f>+_xlfn.IFNA(VLOOKUP(M611,'Mapping DEF'!B:C,2,FALSE),"")</f>
        <v>Term Structure</v>
      </c>
      <c r="O611" t="s">
        <v>2790</v>
      </c>
    </row>
    <row r="612" spans="1:15" x14ac:dyDescent="0.25">
      <c r="A612" t="s">
        <v>1938</v>
      </c>
      <c r="B612" t="s">
        <v>1939</v>
      </c>
      <c r="C612">
        <v>2506</v>
      </c>
      <c r="D612" t="s">
        <v>1940</v>
      </c>
      <c r="E612" t="s">
        <v>1009</v>
      </c>
      <c r="F612" t="s">
        <v>975</v>
      </c>
      <c r="G612" t="str">
        <f>+VLOOKUP(F612,[1]Explore!$B:$I,8,0)</f>
        <v>Other - KRD</v>
      </c>
      <c r="H612" t="s">
        <v>976</v>
      </c>
      <c r="I612" t="str">
        <f>+VLOOKUP(H612,[1]Explore!$A:$I,9,0)</f>
        <v>Other - KRD</v>
      </c>
      <c r="J612" t="str">
        <f t="shared" si="18"/>
        <v>OK</v>
      </c>
      <c r="K612" t="str">
        <f t="shared" si="19"/>
        <v>Other - KRD</v>
      </c>
      <c r="L612" t="s">
        <v>70</v>
      </c>
      <c r="M612" t="str">
        <f>_xlfn.IFNA(VLOOKUP(K612,'Mapping DEF'!A:C,2,0),"")</f>
        <v>Other</v>
      </c>
      <c r="N612" t="str">
        <f>+_xlfn.IFNA(VLOOKUP(M612,'Mapping DEF'!B:C,2,FALSE),"")</f>
        <v>Other</v>
      </c>
      <c r="O612" t="s">
        <v>2782</v>
      </c>
    </row>
    <row r="613" spans="1:15" x14ac:dyDescent="0.25">
      <c r="A613" t="s">
        <v>1938</v>
      </c>
      <c r="B613" t="s">
        <v>1939</v>
      </c>
      <c r="C613">
        <v>2506</v>
      </c>
      <c r="D613" t="s">
        <v>1940</v>
      </c>
      <c r="E613" t="s">
        <v>1010</v>
      </c>
      <c r="F613" t="s">
        <v>981</v>
      </c>
      <c r="G613" t="str">
        <f>+VLOOKUP(F613,[1]Explore!$B:$I,8,0)</f>
        <v>Other - KRD</v>
      </c>
      <c r="H613" t="s">
        <v>982</v>
      </c>
      <c r="I613" t="str">
        <f>+VLOOKUP(H613,[1]Explore!$A:$I,9,0)</f>
        <v>Other - KRD</v>
      </c>
      <c r="J613" t="str">
        <f t="shared" si="18"/>
        <v>OK</v>
      </c>
      <c r="K613" t="str">
        <f t="shared" si="19"/>
        <v>Other - KRD</v>
      </c>
      <c r="L613" t="s">
        <v>188</v>
      </c>
      <c r="M613" t="str">
        <f>_xlfn.IFNA(VLOOKUP(K613,'Mapping DEF'!A:C,2,0),"")</f>
        <v>Other</v>
      </c>
      <c r="N613" t="str">
        <f>+_xlfn.IFNA(VLOOKUP(M613,'Mapping DEF'!B:C,2,FALSE),"")</f>
        <v>Other</v>
      </c>
      <c r="O613" t="s">
        <v>2782</v>
      </c>
    </row>
    <row r="614" spans="1:15" x14ac:dyDescent="0.25">
      <c r="A614" t="s">
        <v>1938</v>
      </c>
      <c r="B614" t="s">
        <v>1939</v>
      </c>
      <c r="C614">
        <v>2506</v>
      </c>
      <c r="D614" t="s">
        <v>1940</v>
      </c>
      <c r="E614" t="s">
        <v>1011</v>
      </c>
      <c r="F614" t="s">
        <v>2194</v>
      </c>
      <c r="G614" t="str">
        <f>+VLOOKUP(F614,[1]Explore!$B:$I,8,0)</f>
        <v>Equity Implied Volatility</v>
      </c>
      <c r="H614" t="s">
        <v>985</v>
      </c>
      <c r="I614" t="e">
        <f>+VLOOKUP(H614,[1]Explore!$A:$I,9,0)</f>
        <v>#N/A</v>
      </c>
      <c r="J614" t="str">
        <f t="shared" si="18"/>
        <v>OK</v>
      </c>
      <c r="K614" t="str">
        <f t="shared" si="19"/>
        <v>Equity Implied Volatility</v>
      </c>
      <c r="L614" t="s">
        <v>8</v>
      </c>
      <c r="M614" t="str">
        <f>_xlfn.IFNA(VLOOKUP(K614,'Mapping DEF'!A:C,2,0),"")</f>
        <v>Equity Derivatives</v>
      </c>
      <c r="N614" t="str">
        <f>+_xlfn.IFNA(VLOOKUP(M614,'Mapping DEF'!B:C,2,FALSE),"")</f>
        <v>Equity</v>
      </c>
      <c r="O614" t="s">
        <v>2794</v>
      </c>
    </row>
    <row r="615" spans="1:15" x14ac:dyDescent="0.25">
      <c r="A615" t="s">
        <v>1959</v>
      </c>
      <c r="B615" t="s">
        <v>1960</v>
      </c>
      <c r="C615">
        <v>2413</v>
      </c>
      <c r="D615" t="s">
        <v>1961</v>
      </c>
      <c r="E615" t="s">
        <v>1012</v>
      </c>
      <c r="F615" t="s">
        <v>268</v>
      </c>
      <c r="G615" t="str">
        <f>+VLOOKUP(F615,[1]Explore!$B:$I,8,0)</f>
        <v>Alternative - Commodity</v>
      </c>
      <c r="H615" t="s">
        <v>269</v>
      </c>
      <c r="I615" t="str">
        <f>+VLOOKUP(H615,[1]Explore!$A:$I,9,0)</f>
        <v>Alternative - Commodity</v>
      </c>
      <c r="J615" t="str">
        <f t="shared" si="18"/>
        <v>OK</v>
      </c>
      <c r="K615" t="str">
        <f t="shared" si="19"/>
        <v>Alternative - Commodity</v>
      </c>
      <c r="L615" t="s">
        <v>188</v>
      </c>
      <c r="M615" t="str">
        <f>_xlfn.IFNA(VLOOKUP(K615,'Mapping DEF'!A:C,2,0),"")</f>
        <v>Alternative</v>
      </c>
      <c r="N615" t="str">
        <f>+_xlfn.IFNA(VLOOKUP(M615,'Mapping DEF'!B:C,2,FALSE),"")</f>
        <v>Other</v>
      </c>
      <c r="O615" t="s">
        <v>2792</v>
      </c>
    </row>
    <row r="616" spans="1:15" x14ac:dyDescent="0.25">
      <c r="A616" t="s">
        <v>1959</v>
      </c>
      <c r="B616" t="s">
        <v>1960</v>
      </c>
      <c r="C616">
        <v>2413</v>
      </c>
      <c r="D616" t="s">
        <v>1961</v>
      </c>
      <c r="E616" t="s">
        <v>1013</v>
      </c>
      <c r="F616" t="s">
        <v>271</v>
      </c>
      <c r="G616" t="str">
        <f>+VLOOKUP(F616,[1]Explore!$B:$I,8,0)</f>
        <v>Corporate IG USD - Other</v>
      </c>
      <c r="H616" t="s">
        <v>272</v>
      </c>
      <c r="I616" t="str">
        <f>+VLOOKUP(H616,[1]Explore!$A:$I,9,0)</f>
        <v>Corporate IG USD - Other</v>
      </c>
      <c r="J616" t="str">
        <f t="shared" si="18"/>
        <v>OK</v>
      </c>
      <c r="K616" t="str">
        <f t="shared" si="19"/>
        <v>Corporate IG USD - Other</v>
      </c>
      <c r="L616" t="s">
        <v>2650</v>
      </c>
      <c r="M616" t="str">
        <f>_xlfn.IFNA(VLOOKUP(K616,'Mapping DEF'!A:C,2,0),"")</f>
        <v>Spread</v>
      </c>
      <c r="N616" t="str">
        <f>+_xlfn.IFNA(VLOOKUP(M616,'Mapping DEF'!B:C,2,FALSE),"")</f>
        <v>Spread</v>
      </c>
      <c r="O616" t="s">
        <v>2788</v>
      </c>
    </row>
    <row r="617" spans="1:15" x14ac:dyDescent="0.25">
      <c r="A617" t="s">
        <v>1959</v>
      </c>
      <c r="B617" t="s">
        <v>1960</v>
      </c>
      <c r="C617">
        <v>2413</v>
      </c>
      <c r="D617" t="s">
        <v>1961</v>
      </c>
      <c r="E617" t="s">
        <v>1014</v>
      </c>
      <c r="F617" t="s">
        <v>315</v>
      </c>
      <c r="G617" t="str">
        <f>+VLOOKUP(F617,[1]Explore!$B:$I,8,0)</f>
        <v>Govt EUR (Ger)</v>
      </c>
      <c r="H617" t="s">
        <v>316</v>
      </c>
      <c r="I617" t="str">
        <f>+VLOOKUP(H617,[1]Explore!$A:$I,9,0)</f>
        <v>Govt EUR (Ger)</v>
      </c>
      <c r="J617" t="str">
        <f t="shared" si="18"/>
        <v>OK</v>
      </c>
      <c r="K617" t="str">
        <f t="shared" si="19"/>
        <v>Govt EUR (Ger)</v>
      </c>
      <c r="L617" t="s">
        <v>27</v>
      </c>
      <c r="M617" t="str">
        <f>_xlfn.IFNA(VLOOKUP(K617,'Mapping DEF'!A:C,2,0),"")</f>
        <v>Curve (Local)</v>
      </c>
      <c r="N617" t="str">
        <f>+_xlfn.IFNA(VLOOKUP(M617,'Mapping DEF'!B:C,2,FALSE),"")</f>
        <v>Term Structure</v>
      </c>
      <c r="O617" t="s">
        <v>2829</v>
      </c>
    </row>
    <row r="618" spans="1:15" x14ac:dyDescent="0.25">
      <c r="A618" t="s">
        <v>1959</v>
      </c>
      <c r="B618" t="s">
        <v>1960</v>
      </c>
      <c r="C618">
        <v>2413</v>
      </c>
      <c r="D618" t="s">
        <v>1961</v>
      </c>
      <c r="E618" t="s">
        <v>1015</v>
      </c>
      <c r="F618" t="s">
        <v>360</v>
      </c>
      <c r="G618" t="str">
        <f>+VLOOKUP(F618,[1]Explore!$B:$I,8,0)</f>
        <v>Spread Govt ITA</v>
      </c>
      <c r="H618" t="s">
        <v>361</v>
      </c>
      <c r="I618" t="str">
        <f>+VLOOKUP(H618,[1]Explore!$A:$I,9,0)</f>
        <v>Spread Govt ITA</v>
      </c>
      <c r="J618" t="str">
        <f t="shared" si="18"/>
        <v>OK</v>
      </c>
      <c r="K618" t="str">
        <f t="shared" si="19"/>
        <v>Spread Govt ITA</v>
      </c>
      <c r="L618" t="s">
        <v>188</v>
      </c>
      <c r="M618" t="str">
        <f>_xlfn.IFNA(VLOOKUP(K618,'Mapping DEF'!A:C,2,0),"")</f>
        <v>Spread Govt</v>
      </c>
      <c r="N618" t="str">
        <f>+_xlfn.IFNA(VLOOKUP(M618,'Mapping DEF'!B:C,2,FALSE),"")</f>
        <v>Term Structure</v>
      </c>
      <c r="O618" t="s">
        <v>2830</v>
      </c>
    </row>
    <row r="619" spans="1:15" x14ac:dyDescent="0.25">
      <c r="A619" t="s">
        <v>1959</v>
      </c>
      <c r="B619" t="s">
        <v>1960</v>
      </c>
      <c r="C619">
        <v>2413</v>
      </c>
      <c r="D619" t="s">
        <v>1961</v>
      </c>
      <c r="E619" t="s">
        <v>1016</v>
      </c>
      <c r="F619" t="s">
        <v>2942</v>
      </c>
      <c r="G619" t="str">
        <f>+VLOOKUP(F619,[1]Explore!$B:$I,8,0)</f>
        <v>EUR</v>
      </c>
      <c r="H619" t="s">
        <v>173</v>
      </c>
      <c r="I619" t="str">
        <f>+VLOOKUP(H619,[1]Explore!$A:$I,9,0)</f>
        <v>EUR</v>
      </c>
      <c r="J619" t="str">
        <f t="shared" si="18"/>
        <v>OK</v>
      </c>
      <c r="K619" t="str">
        <f t="shared" si="19"/>
        <v>EUR</v>
      </c>
      <c r="L619" t="s">
        <v>188</v>
      </c>
      <c r="M619" t="str">
        <f>_xlfn.IFNA(VLOOKUP(K619,'Mapping DEF'!A:C,2,0),"")</f>
        <v>FX</v>
      </c>
      <c r="N619" t="str">
        <f>+_xlfn.IFNA(VLOOKUP(M619,'Mapping DEF'!B:C,2,FALSE),"")</f>
        <v>FX</v>
      </c>
      <c r="O619" t="s">
        <v>2753</v>
      </c>
    </row>
    <row r="620" spans="1:15" x14ac:dyDescent="0.25">
      <c r="A620" t="s">
        <v>1959</v>
      </c>
      <c r="B620" t="s">
        <v>1960</v>
      </c>
      <c r="C620">
        <v>2413</v>
      </c>
      <c r="D620" t="s">
        <v>1961</v>
      </c>
      <c r="E620" t="s">
        <v>372</v>
      </c>
      <c r="F620" t="s">
        <v>2618</v>
      </c>
      <c r="G620" t="str">
        <f>+VLOOKUP(F620,[1]Explore!$B:$I,8,0)</f>
        <v>Equity Implied Volatility</v>
      </c>
      <c r="H620" t="s">
        <v>144</v>
      </c>
      <c r="I620" t="str">
        <f>+VLOOKUP(H620,[1]Explore!$A:$I,9,0)</f>
        <v>Equity Implied Volatility</v>
      </c>
      <c r="J620" t="str">
        <f t="shared" si="18"/>
        <v>OK</v>
      </c>
      <c r="K620" t="str">
        <f t="shared" si="19"/>
        <v>Equity Implied Volatility</v>
      </c>
      <c r="L620" t="s">
        <v>188</v>
      </c>
      <c r="M620" t="str">
        <f>_xlfn.IFNA(VLOOKUP(K620,'Mapping DEF'!A:C,2,0),"")</f>
        <v>Equity Derivatives</v>
      </c>
      <c r="N620" t="str">
        <f>+_xlfn.IFNA(VLOOKUP(M620,'Mapping DEF'!B:C,2,FALSE),"")</f>
        <v>Equity</v>
      </c>
      <c r="O620" t="s">
        <v>2753</v>
      </c>
    </row>
    <row r="621" spans="1:15" x14ac:dyDescent="0.25">
      <c r="A621" t="s">
        <v>1959</v>
      </c>
      <c r="B621" t="s">
        <v>1960</v>
      </c>
      <c r="C621">
        <v>2413</v>
      </c>
      <c r="D621" t="s">
        <v>1961</v>
      </c>
      <c r="E621" t="s">
        <v>1017</v>
      </c>
      <c r="F621" t="s">
        <v>627</v>
      </c>
      <c r="G621" t="str">
        <f>+VLOOKUP(F621,[1]Explore!$B:$I,8,0)</f>
        <v>Corporate IG EUR - Other</v>
      </c>
      <c r="H621" t="s">
        <v>628</v>
      </c>
      <c r="I621" t="str">
        <f>+VLOOKUP(H621,[1]Explore!$A:$I,9,0)</f>
        <v>Corporate IG EUR - Other</v>
      </c>
      <c r="J621" t="str">
        <f t="shared" si="18"/>
        <v>OK</v>
      </c>
      <c r="K621" t="str">
        <f t="shared" si="19"/>
        <v>Corporate IG EUR - Other</v>
      </c>
      <c r="L621" t="s">
        <v>27</v>
      </c>
      <c r="M621" t="str">
        <f>_xlfn.IFNA(VLOOKUP(K621,'Mapping DEF'!A:C,2,0),"")</f>
        <v>Spread</v>
      </c>
      <c r="N621" t="str">
        <f>+_xlfn.IFNA(VLOOKUP(M621,'Mapping DEF'!B:C,2,FALSE),"")</f>
        <v>Spread</v>
      </c>
      <c r="O621" t="s">
        <v>2756</v>
      </c>
    </row>
    <row r="622" spans="1:15" x14ac:dyDescent="0.25">
      <c r="A622" t="s">
        <v>1959</v>
      </c>
      <c r="B622" t="s">
        <v>1960</v>
      </c>
      <c r="C622">
        <v>2413</v>
      </c>
      <c r="D622" t="s">
        <v>1961</v>
      </c>
      <c r="E622" t="s">
        <v>1018</v>
      </c>
      <c r="F622" t="s">
        <v>2193</v>
      </c>
      <c r="G622" t="str">
        <f>+VLOOKUP(F622,[1]Explore!$B:$I,8,0)</f>
        <v>Corporate IG EUR - Country</v>
      </c>
      <c r="H622" t="s">
        <v>1019</v>
      </c>
      <c r="I622" t="e">
        <f>+VLOOKUP(H622,[1]Explore!$A:$I,9,0)</f>
        <v>#N/A</v>
      </c>
      <c r="J622" t="str">
        <f t="shared" si="18"/>
        <v>OK</v>
      </c>
      <c r="K622" t="str">
        <f t="shared" si="19"/>
        <v>Corporate IG EUR - Country</v>
      </c>
      <c r="L622" t="s">
        <v>27</v>
      </c>
      <c r="M622" t="str">
        <f>_xlfn.IFNA(VLOOKUP(K622,'Mapping DEF'!A:C,2,0),"")</f>
        <v>Spread</v>
      </c>
      <c r="N622" t="str">
        <f>+_xlfn.IFNA(VLOOKUP(M622,'Mapping DEF'!B:C,2,FALSE),"")</f>
        <v>Spread</v>
      </c>
      <c r="O622" t="s">
        <v>2804</v>
      </c>
    </row>
    <row r="623" spans="1:15" x14ac:dyDescent="0.25">
      <c r="A623" t="s">
        <v>1959</v>
      </c>
      <c r="B623" t="s">
        <v>1960</v>
      </c>
      <c r="C623">
        <v>2413</v>
      </c>
      <c r="D623" t="s">
        <v>1961</v>
      </c>
      <c r="E623" t="s">
        <v>1020</v>
      </c>
      <c r="F623" t="s">
        <v>1030</v>
      </c>
      <c r="G623" t="str">
        <f>+VLOOKUP(F623,[1]Explore!$B:$I,8,0)</f>
        <v>Spread Govt ITA</v>
      </c>
      <c r="H623" t="s">
        <v>327</v>
      </c>
      <c r="I623" t="e">
        <f>+VLOOKUP(H623,[1]Explore!$A:$I,9,0)</f>
        <v>#N/A</v>
      </c>
      <c r="J623" t="str">
        <f t="shared" si="18"/>
        <v>OK</v>
      </c>
      <c r="K623" t="str">
        <f t="shared" si="19"/>
        <v>Spread Govt ITA</v>
      </c>
      <c r="L623" t="s">
        <v>70</v>
      </c>
      <c r="M623" t="str">
        <f>_xlfn.IFNA(VLOOKUP(K623,'Mapping DEF'!A:C,2,0),"")</f>
        <v>Spread Govt</v>
      </c>
      <c r="N623" t="str">
        <f>+_xlfn.IFNA(VLOOKUP(M623,'Mapping DEF'!B:C,2,FALSE),"")</f>
        <v>Term Structure</v>
      </c>
      <c r="O623" t="s">
        <v>2804</v>
      </c>
    </row>
    <row r="624" spans="1:15" x14ac:dyDescent="0.25">
      <c r="A624" t="s">
        <v>1959</v>
      </c>
      <c r="B624" t="s">
        <v>1960</v>
      </c>
      <c r="C624">
        <v>2413</v>
      </c>
      <c r="D624" t="s">
        <v>1961</v>
      </c>
      <c r="E624" t="s">
        <v>984</v>
      </c>
      <c r="F624" t="s">
        <v>2194</v>
      </c>
      <c r="G624" t="str">
        <f>+VLOOKUP(F624,[1]Explore!$B:$I,8,0)</f>
        <v>Equity Implied Volatility</v>
      </c>
      <c r="H624" t="s">
        <v>985</v>
      </c>
      <c r="I624" t="e">
        <f>+VLOOKUP(H624,[1]Explore!$A:$I,9,0)</f>
        <v>#N/A</v>
      </c>
      <c r="J624" t="str">
        <f t="shared" si="18"/>
        <v>OK</v>
      </c>
      <c r="K624" t="str">
        <f t="shared" si="19"/>
        <v>Equity Implied Volatility</v>
      </c>
      <c r="L624" t="s">
        <v>188</v>
      </c>
      <c r="M624" t="str">
        <f>_xlfn.IFNA(VLOOKUP(K624,'Mapping DEF'!A:C,2,0),"")</f>
        <v>Equity Derivatives</v>
      </c>
      <c r="N624" t="str">
        <f>+_xlfn.IFNA(VLOOKUP(M624,'Mapping DEF'!B:C,2,FALSE),"")</f>
        <v>Equity</v>
      </c>
      <c r="O624" t="s">
        <v>2753</v>
      </c>
    </row>
    <row r="625" spans="1:15" x14ac:dyDescent="0.25">
      <c r="A625" t="s">
        <v>1959</v>
      </c>
      <c r="B625" t="s">
        <v>1960</v>
      </c>
      <c r="C625">
        <v>2413</v>
      </c>
      <c r="D625" t="s">
        <v>1961</v>
      </c>
      <c r="E625" t="s">
        <v>1021</v>
      </c>
      <c r="F625" t="s">
        <v>2167</v>
      </c>
      <c r="G625" t="str">
        <f>+VLOOKUP(F625,[1]Explore!$B:$I,8,0)</f>
        <v>Equity Implied Volatility</v>
      </c>
      <c r="H625" t="s">
        <v>1022</v>
      </c>
      <c r="I625" t="e">
        <f>+VLOOKUP(H625,[1]Explore!$A:$I,9,0)</f>
        <v>#N/A</v>
      </c>
      <c r="J625" t="str">
        <f t="shared" si="18"/>
        <v>OK</v>
      </c>
      <c r="K625" t="str">
        <f t="shared" si="19"/>
        <v>Equity Implied Volatility</v>
      </c>
      <c r="L625" t="s">
        <v>8</v>
      </c>
      <c r="M625" t="str">
        <f>_xlfn.IFNA(VLOOKUP(K625,'Mapping DEF'!A:C,2,0),"")</f>
        <v>Equity Derivatives</v>
      </c>
      <c r="N625" t="str">
        <f>+_xlfn.IFNA(VLOOKUP(M625,'Mapping DEF'!B:C,2,FALSE),"")</f>
        <v>Equity</v>
      </c>
      <c r="O625" t="s">
        <v>2753</v>
      </c>
    </row>
    <row r="626" spans="1:15" x14ac:dyDescent="0.25">
      <c r="A626" t="s">
        <v>1991</v>
      </c>
      <c r="B626" t="s">
        <v>1992</v>
      </c>
      <c r="C626">
        <v>2414</v>
      </c>
      <c r="D626" t="s">
        <v>1993</v>
      </c>
      <c r="E626" t="s">
        <v>1023</v>
      </c>
      <c r="F626" t="s">
        <v>268</v>
      </c>
      <c r="G626" t="str">
        <f>+VLOOKUP(F626,[1]Explore!$B:$I,8,0)</f>
        <v>Alternative - Commodity</v>
      </c>
      <c r="H626" t="s">
        <v>269</v>
      </c>
      <c r="I626" t="str">
        <f>+VLOOKUP(H626,[1]Explore!$A:$I,9,0)</f>
        <v>Alternative - Commodity</v>
      </c>
      <c r="J626" t="str">
        <f t="shared" si="18"/>
        <v>OK</v>
      </c>
      <c r="K626" t="str">
        <f t="shared" si="19"/>
        <v>Alternative - Commodity</v>
      </c>
      <c r="L626" t="s">
        <v>188</v>
      </c>
      <c r="M626" t="str">
        <f>_xlfn.IFNA(VLOOKUP(K626,'Mapping DEF'!A:C,2,0),"")</f>
        <v>Alternative</v>
      </c>
      <c r="N626" t="str">
        <f>+_xlfn.IFNA(VLOOKUP(M626,'Mapping DEF'!B:C,2,FALSE),"")</f>
        <v>Other</v>
      </c>
      <c r="O626" t="s">
        <v>2832</v>
      </c>
    </row>
    <row r="627" spans="1:15" x14ac:dyDescent="0.25">
      <c r="A627" t="s">
        <v>1991</v>
      </c>
      <c r="B627" t="s">
        <v>1992</v>
      </c>
      <c r="C627">
        <v>2414</v>
      </c>
      <c r="D627" t="s">
        <v>1993</v>
      </c>
      <c r="E627" t="s">
        <v>1024</v>
      </c>
      <c r="F627" t="s">
        <v>271</v>
      </c>
      <c r="G627" t="str">
        <f>+VLOOKUP(F627,[1]Explore!$B:$I,8,0)</f>
        <v>Corporate IG USD - Other</v>
      </c>
      <c r="H627" t="s">
        <v>272</v>
      </c>
      <c r="I627" t="str">
        <f>+VLOOKUP(H627,[1]Explore!$A:$I,9,0)</f>
        <v>Corporate IG USD - Other</v>
      </c>
      <c r="J627" t="str">
        <f t="shared" si="18"/>
        <v>OK</v>
      </c>
      <c r="K627" t="str">
        <f t="shared" si="19"/>
        <v>Corporate IG USD - Other</v>
      </c>
      <c r="L627" t="s">
        <v>2650</v>
      </c>
      <c r="M627" t="str">
        <f>_xlfn.IFNA(VLOOKUP(K627,'Mapping DEF'!A:C,2,0),"")</f>
        <v>Spread</v>
      </c>
      <c r="N627" t="str">
        <f>+_xlfn.IFNA(VLOOKUP(M627,'Mapping DEF'!B:C,2,FALSE),"")</f>
        <v>Spread</v>
      </c>
      <c r="O627" t="s">
        <v>2755</v>
      </c>
    </row>
    <row r="628" spans="1:15" x14ac:dyDescent="0.25">
      <c r="A628" t="s">
        <v>1991</v>
      </c>
      <c r="B628" t="s">
        <v>1992</v>
      </c>
      <c r="C628">
        <v>2414</v>
      </c>
      <c r="D628" t="s">
        <v>1993</v>
      </c>
      <c r="E628" t="s">
        <v>1025</v>
      </c>
      <c r="F628" t="s">
        <v>315</v>
      </c>
      <c r="G628" t="str">
        <f>+VLOOKUP(F628,[1]Explore!$B:$I,8,0)</f>
        <v>Govt EUR (Ger)</v>
      </c>
      <c r="H628" t="s">
        <v>316</v>
      </c>
      <c r="I628" t="str">
        <f>+VLOOKUP(H628,[1]Explore!$A:$I,9,0)</f>
        <v>Govt EUR (Ger)</v>
      </c>
      <c r="J628" t="str">
        <f t="shared" si="18"/>
        <v>OK</v>
      </c>
      <c r="K628" t="str">
        <f t="shared" si="19"/>
        <v>Govt EUR (Ger)</v>
      </c>
      <c r="L628" t="s">
        <v>188</v>
      </c>
      <c r="M628" t="str">
        <f>_xlfn.IFNA(VLOOKUP(K628,'Mapping DEF'!A:C,2,0),"")</f>
        <v>Curve (Local)</v>
      </c>
      <c r="N628" t="str">
        <f>+_xlfn.IFNA(VLOOKUP(M628,'Mapping DEF'!B:C,2,FALSE),"")</f>
        <v>Term Structure</v>
      </c>
      <c r="O628" t="s">
        <v>2785</v>
      </c>
    </row>
    <row r="629" spans="1:15" x14ac:dyDescent="0.25">
      <c r="A629" t="s">
        <v>1991</v>
      </c>
      <c r="B629" t="s">
        <v>1992</v>
      </c>
      <c r="C629">
        <v>2414</v>
      </c>
      <c r="D629" t="s">
        <v>1993</v>
      </c>
      <c r="E629" t="s">
        <v>1026</v>
      </c>
      <c r="F629" t="s">
        <v>1027</v>
      </c>
      <c r="G629" t="str">
        <f>+VLOOKUP(F629,[1]Explore!$B:$I,8,0)</f>
        <v>Spread Govt Quasi-Core EUR</v>
      </c>
      <c r="H629" t="s">
        <v>1028</v>
      </c>
      <c r="I629" t="str">
        <f>+VLOOKUP(H629,[1]Explore!$A:$I,9,0)</f>
        <v>Spread Govt Quasi-Core EUR</v>
      </c>
      <c r="J629" t="str">
        <f t="shared" si="18"/>
        <v>OK</v>
      </c>
      <c r="K629" t="str">
        <f t="shared" si="19"/>
        <v>Spread Govt Quasi-Core EUR</v>
      </c>
      <c r="L629" t="s">
        <v>75</v>
      </c>
      <c r="M629" t="str">
        <f>_xlfn.IFNA(VLOOKUP(K629,'Mapping DEF'!A:C,2,0),"")</f>
        <v>Spread Govt</v>
      </c>
      <c r="N629" t="str">
        <f>+_xlfn.IFNA(VLOOKUP(M629,'Mapping DEF'!B:C,2,FALSE),"")</f>
        <v>Term Structure</v>
      </c>
      <c r="O629" t="s">
        <v>2833</v>
      </c>
    </row>
    <row r="630" spans="1:15" x14ac:dyDescent="0.25">
      <c r="A630" t="s">
        <v>1991</v>
      </c>
      <c r="B630" t="s">
        <v>1992</v>
      </c>
      <c r="C630">
        <v>2414</v>
      </c>
      <c r="D630" t="s">
        <v>1993</v>
      </c>
      <c r="E630" t="s">
        <v>1029</v>
      </c>
      <c r="F630" t="s">
        <v>1030</v>
      </c>
      <c r="G630" t="str">
        <f>+VLOOKUP(F630,[1]Explore!$B:$I,8,0)</f>
        <v>Spread Govt ITA</v>
      </c>
      <c r="H630" t="s">
        <v>1031</v>
      </c>
      <c r="I630" t="str">
        <f>+VLOOKUP(H630,[1]Explore!$A:$I,9,0)</f>
        <v>Spread Govt ITA</v>
      </c>
      <c r="J630" t="str">
        <f t="shared" si="18"/>
        <v>OK</v>
      </c>
      <c r="K630" t="str">
        <f t="shared" si="19"/>
        <v>Spread Govt ITA</v>
      </c>
      <c r="L630" t="s">
        <v>75</v>
      </c>
      <c r="M630" t="str">
        <f>_xlfn.IFNA(VLOOKUP(K630,'Mapping DEF'!A:C,2,0),"")</f>
        <v>Spread Govt</v>
      </c>
      <c r="N630" t="str">
        <f>+_xlfn.IFNA(VLOOKUP(M630,'Mapping DEF'!B:C,2,FALSE),"")</f>
        <v>Term Structure</v>
      </c>
      <c r="O630" t="s">
        <v>2805</v>
      </c>
    </row>
    <row r="631" spans="1:15" x14ac:dyDescent="0.25">
      <c r="A631" t="s">
        <v>1991</v>
      </c>
      <c r="B631" t="s">
        <v>1992</v>
      </c>
      <c r="C631">
        <v>2414</v>
      </c>
      <c r="D631" t="s">
        <v>1993</v>
      </c>
      <c r="E631" t="s">
        <v>1032</v>
      </c>
      <c r="F631" t="s">
        <v>360</v>
      </c>
      <c r="G631" t="str">
        <f>+VLOOKUP(F631,[1]Explore!$B:$I,8,0)</f>
        <v>Spread Govt ITA</v>
      </c>
      <c r="H631" t="s">
        <v>361</v>
      </c>
      <c r="I631" t="str">
        <f>+VLOOKUP(H631,[1]Explore!$A:$I,9,0)</f>
        <v>Spread Govt ITA</v>
      </c>
      <c r="J631" t="str">
        <f t="shared" si="18"/>
        <v>OK</v>
      </c>
      <c r="K631" t="str">
        <f t="shared" si="19"/>
        <v>Spread Govt ITA</v>
      </c>
      <c r="L631" t="s">
        <v>27</v>
      </c>
      <c r="M631" t="str">
        <f>_xlfn.IFNA(VLOOKUP(K631,'Mapping DEF'!A:C,2,0),"")</f>
        <v>Spread Govt</v>
      </c>
      <c r="N631" t="str">
        <f>+_xlfn.IFNA(VLOOKUP(M631,'Mapping DEF'!B:C,2,FALSE),"")</f>
        <v>Term Structure</v>
      </c>
      <c r="O631" t="s">
        <v>2806</v>
      </c>
    </row>
    <row r="632" spans="1:15" x14ac:dyDescent="0.25">
      <c r="A632" t="s">
        <v>1991</v>
      </c>
      <c r="B632" t="s">
        <v>1992</v>
      </c>
      <c r="C632">
        <v>2414</v>
      </c>
      <c r="D632" t="s">
        <v>1993</v>
      </c>
      <c r="E632" t="s">
        <v>1033</v>
      </c>
      <c r="F632" t="s">
        <v>2942</v>
      </c>
      <c r="G632" t="str">
        <f>+VLOOKUP(F632,[1]Explore!$B:$I,8,0)</f>
        <v>EUR</v>
      </c>
      <c r="H632" t="s">
        <v>173</v>
      </c>
      <c r="I632" t="str">
        <f>+VLOOKUP(H632,[1]Explore!$A:$I,9,0)</f>
        <v>EUR</v>
      </c>
      <c r="J632" t="str">
        <f t="shared" si="18"/>
        <v>OK</v>
      </c>
      <c r="K632" t="str">
        <f t="shared" si="19"/>
        <v>EUR</v>
      </c>
      <c r="L632" t="s">
        <v>27</v>
      </c>
      <c r="M632" t="str">
        <f>_xlfn.IFNA(VLOOKUP(K632,'Mapping DEF'!A:C,2,0),"")</f>
        <v>FX</v>
      </c>
      <c r="N632" t="str">
        <f>+_xlfn.IFNA(VLOOKUP(M632,'Mapping DEF'!B:C,2,FALSE),"")</f>
        <v>FX</v>
      </c>
      <c r="O632" t="s">
        <v>2803</v>
      </c>
    </row>
    <row r="633" spans="1:15" x14ac:dyDescent="0.25">
      <c r="A633" t="s">
        <v>1991</v>
      </c>
      <c r="B633" t="s">
        <v>1992</v>
      </c>
      <c r="C633">
        <v>2414</v>
      </c>
      <c r="D633" t="s">
        <v>1993</v>
      </c>
      <c r="E633" t="s">
        <v>1034</v>
      </c>
      <c r="F633" t="s">
        <v>2944</v>
      </c>
      <c r="G633" t="str">
        <f>+VLOOKUP(F633,[1]Explore!$B:$I,8,0)</f>
        <v>JPY</v>
      </c>
      <c r="H633" t="s">
        <v>138</v>
      </c>
      <c r="I633" t="str">
        <f>+VLOOKUP(H633,[1]Explore!$A:$I,9,0)</f>
        <v>JPY</v>
      </c>
      <c r="J633" t="str">
        <f t="shared" si="18"/>
        <v>OK</v>
      </c>
      <c r="K633" t="str">
        <f t="shared" si="19"/>
        <v>JPY</v>
      </c>
      <c r="L633" t="s">
        <v>188</v>
      </c>
      <c r="M633" t="str">
        <f>_xlfn.IFNA(VLOOKUP(K633,'Mapping DEF'!A:C,2,0),"")</f>
        <v>FX</v>
      </c>
      <c r="N633" t="str">
        <f>+_xlfn.IFNA(VLOOKUP(M633,'Mapping DEF'!B:C,2,FALSE),"")</f>
        <v>FX</v>
      </c>
      <c r="O633" t="s">
        <v>2807</v>
      </c>
    </row>
    <row r="634" spans="1:15" x14ac:dyDescent="0.25">
      <c r="A634" t="s">
        <v>1991</v>
      </c>
      <c r="B634" t="s">
        <v>1992</v>
      </c>
      <c r="C634">
        <v>2414</v>
      </c>
      <c r="D634" t="s">
        <v>1993</v>
      </c>
      <c r="E634" t="s">
        <v>1035</v>
      </c>
      <c r="F634" t="s">
        <v>392</v>
      </c>
      <c r="G634" t="str">
        <f>+VLOOKUP(F634,[1]Explore!$B:$I,8,0)</f>
        <v>Equity Implied Volatility</v>
      </c>
      <c r="H634" t="s">
        <v>392</v>
      </c>
      <c r="I634" t="str">
        <f>+VLOOKUP(H634,[1]Explore!$A:$I,9,0)</f>
        <v>Equity Implied Volatility</v>
      </c>
      <c r="J634" t="str">
        <f t="shared" si="18"/>
        <v>OK</v>
      </c>
      <c r="K634" t="str">
        <f t="shared" si="19"/>
        <v>Equity Implied Volatility</v>
      </c>
      <c r="L634" t="s">
        <v>188</v>
      </c>
      <c r="M634" t="str">
        <f>_xlfn.IFNA(VLOOKUP(K634,'Mapping DEF'!A:C,2,0),"")</f>
        <v>Equity Derivatives</v>
      </c>
      <c r="N634" t="str">
        <f>+_xlfn.IFNA(VLOOKUP(M634,'Mapping DEF'!B:C,2,FALSE),"")</f>
        <v>Equity</v>
      </c>
      <c r="O634" t="s">
        <v>2835</v>
      </c>
    </row>
    <row r="635" spans="1:15" x14ac:dyDescent="0.25">
      <c r="A635" t="s">
        <v>1991</v>
      </c>
      <c r="B635" t="s">
        <v>1992</v>
      </c>
      <c r="C635">
        <v>2414</v>
      </c>
      <c r="D635" t="s">
        <v>1993</v>
      </c>
      <c r="E635" t="s">
        <v>1036</v>
      </c>
      <c r="F635" t="s">
        <v>2618</v>
      </c>
      <c r="G635" t="str">
        <f>+VLOOKUP(F635,[1]Explore!$B:$I,8,0)</f>
        <v>Equity Implied Volatility</v>
      </c>
      <c r="H635" t="s">
        <v>144</v>
      </c>
      <c r="I635" t="str">
        <f>+VLOOKUP(H635,[1]Explore!$A:$I,9,0)</f>
        <v>Equity Implied Volatility</v>
      </c>
      <c r="J635" t="str">
        <f t="shared" si="18"/>
        <v>OK</v>
      </c>
      <c r="K635" t="str">
        <f t="shared" si="19"/>
        <v>Equity Implied Volatility</v>
      </c>
      <c r="L635" t="s">
        <v>27</v>
      </c>
      <c r="M635" t="str">
        <f>_xlfn.IFNA(VLOOKUP(K635,'Mapping DEF'!A:C,2,0),"")</f>
        <v>Equity Derivatives</v>
      </c>
      <c r="N635" t="str">
        <f>+_xlfn.IFNA(VLOOKUP(M635,'Mapping DEF'!B:C,2,FALSE),"")</f>
        <v>Equity</v>
      </c>
      <c r="O635" t="s">
        <v>2808</v>
      </c>
    </row>
    <row r="636" spans="1:15" x14ac:dyDescent="0.25">
      <c r="A636" t="s">
        <v>1991</v>
      </c>
      <c r="B636" t="s">
        <v>1992</v>
      </c>
      <c r="C636">
        <v>2414</v>
      </c>
      <c r="D636" t="s">
        <v>1993</v>
      </c>
      <c r="E636" t="s">
        <v>1037</v>
      </c>
      <c r="F636" t="s">
        <v>627</v>
      </c>
      <c r="G636" t="str">
        <f>+VLOOKUP(F636,[1]Explore!$B:$I,8,0)</f>
        <v>Corporate IG EUR - Other</v>
      </c>
      <c r="H636" t="s">
        <v>628</v>
      </c>
      <c r="I636" t="str">
        <f>+VLOOKUP(H636,[1]Explore!$A:$I,9,0)</f>
        <v>Corporate IG EUR - Other</v>
      </c>
      <c r="J636" t="str">
        <f t="shared" si="18"/>
        <v>OK</v>
      </c>
      <c r="K636" t="str">
        <f t="shared" si="19"/>
        <v>Corporate IG EUR - Other</v>
      </c>
      <c r="L636" t="s">
        <v>27</v>
      </c>
      <c r="M636" t="str">
        <f>_xlfn.IFNA(VLOOKUP(K636,'Mapping DEF'!A:C,2,0),"")</f>
        <v>Spread</v>
      </c>
      <c r="N636" t="str">
        <f>+_xlfn.IFNA(VLOOKUP(M636,'Mapping DEF'!B:C,2,FALSE),"")</f>
        <v>Spread</v>
      </c>
      <c r="O636" t="s">
        <v>2834</v>
      </c>
    </row>
    <row r="637" spans="1:15" x14ac:dyDescent="0.25">
      <c r="A637" t="s">
        <v>1991</v>
      </c>
      <c r="B637" t="s">
        <v>1992</v>
      </c>
      <c r="C637">
        <v>2414</v>
      </c>
      <c r="D637" t="s">
        <v>1993</v>
      </c>
      <c r="E637" t="s">
        <v>1018</v>
      </c>
      <c r="F637" t="s">
        <v>2193</v>
      </c>
      <c r="G637" t="str">
        <f>+VLOOKUP(F637,[1]Explore!$B:$I,8,0)</f>
        <v>Corporate IG EUR - Country</v>
      </c>
      <c r="H637" t="s">
        <v>1019</v>
      </c>
      <c r="I637" t="e">
        <f>+VLOOKUP(H637,[1]Explore!$A:$I,9,0)</f>
        <v>#N/A</v>
      </c>
      <c r="J637" t="str">
        <f t="shared" si="18"/>
        <v>OK</v>
      </c>
      <c r="K637" t="str">
        <f t="shared" si="19"/>
        <v>Corporate IG EUR - Country</v>
      </c>
      <c r="L637" t="s">
        <v>8</v>
      </c>
      <c r="M637" t="str">
        <f>_xlfn.IFNA(VLOOKUP(K637,'Mapping DEF'!A:C,2,0),"")</f>
        <v>Spread</v>
      </c>
      <c r="N637" t="str">
        <f>+_xlfn.IFNA(VLOOKUP(M637,'Mapping DEF'!B:C,2,FALSE),"")</f>
        <v>Spread</v>
      </c>
      <c r="O637" t="s">
        <v>2804</v>
      </c>
    </row>
    <row r="638" spans="1:15" x14ac:dyDescent="0.25">
      <c r="A638" t="s">
        <v>1991</v>
      </c>
      <c r="B638" t="s">
        <v>1992</v>
      </c>
      <c r="C638">
        <v>2414</v>
      </c>
      <c r="D638" t="s">
        <v>1993</v>
      </c>
      <c r="E638" t="s">
        <v>1038</v>
      </c>
      <c r="F638" t="s">
        <v>2194</v>
      </c>
      <c r="G638" t="str">
        <f>+VLOOKUP(F638,[1]Explore!$B:$I,8,0)</f>
        <v>Equity Implied Volatility</v>
      </c>
      <c r="H638" t="s">
        <v>985</v>
      </c>
      <c r="I638" t="e">
        <f>+VLOOKUP(H638,[1]Explore!$A:$I,9,0)</f>
        <v>#N/A</v>
      </c>
      <c r="J638" t="str">
        <f t="shared" si="18"/>
        <v>OK</v>
      </c>
      <c r="K638" t="str">
        <f t="shared" si="19"/>
        <v>Equity Implied Volatility</v>
      </c>
      <c r="L638" t="s">
        <v>8</v>
      </c>
      <c r="M638" t="str">
        <f>_xlfn.IFNA(VLOOKUP(K638,'Mapping DEF'!A:C,2,0),"")</f>
        <v>Equity Derivatives</v>
      </c>
      <c r="N638" t="str">
        <f>+_xlfn.IFNA(VLOOKUP(M638,'Mapping DEF'!B:C,2,FALSE),"")</f>
        <v>Equity</v>
      </c>
      <c r="O638" t="s">
        <v>2803</v>
      </c>
    </row>
    <row r="639" spans="1:15" x14ac:dyDescent="0.25">
      <c r="A639" t="s">
        <v>1991</v>
      </c>
      <c r="B639" t="s">
        <v>1992</v>
      </c>
      <c r="C639">
        <v>2414</v>
      </c>
      <c r="D639" t="s">
        <v>1993</v>
      </c>
      <c r="E639" t="s">
        <v>1039</v>
      </c>
      <c r="F639" t="s">
        <v>2167</v>
      </c>
      <c r="G639" t="str">
        <f>+VLOOKUP(F639,[1]Explore!$B:$I,8,0)</f>
        <v>Equity Implied Volatility</v>
      </c>
      <c r="H639" t="s">
        <v>1022</v>
      </c>
      <c r="I639" t="e">
        <f>+VLOOKUP(H639,[1]Explore!$A:$I,9,0)</f>
        <v>#N/A</v>
      </c>
      <c r="J639" t="str">
        <f t="shared" si="18"/>
        <v>OK</v>
      </c>
      <c r="K639" t="str">
        <f t="shared" si="19"/>
        <v>Equity Implied Volatility</v>
      </c>
      <c r="L639" t="s">
        <v>188</v>
      </c>
      <c r="M639" t="str">
        <f>_xlfn.IFNA(VLOOKUP(K639,'Mapping DEF'!A:C,2,0),"")</f>
        <v>Equity Derivatives</v>
      </c>
      <c r="N639" t="str">
        <f>+_xlfn.IFNA(VLOOKUP(M639,'Mapping DEF'!B:C,2,FALSE),"")</f>
        <v>Equity</v>
      </c>
      <c r="O639" t="s">
        <v>2803</v>
      </c>
    </row>
    <row r="640" spans="1:15" x14ac:dyDescent="0.25">
      <c r="A640" t="s">
        <v>2026</v>
      </c>
      <c r="B640" t="s">
        <v>2027</v>
      </c>
      <c r="C640">
        <v>2415</v>
      </c>
      <c r="D640" t="s">
        <v>2028</v>
      </c>
      <c r="E640" t="s">
        <v>1040</v>
      </c>
      <c r="F640" t="s">
        <v>997</v>
      </c>
      <c r="G640" t="str">
        <f>+VLOOKUP(F640,[1]Explore!$B:$I,8,0)</f>
        <v>Govt EUR (Ger)</v>
      </c>
      <c r="H640" t="s">
        <v>998</v>
      </c>
      <c r="I640" t="str">
        <f>+VLOOKUP(H640,[1]Explore!$A:$I,9,0)</f>
        <v>Govt EUR (Ger)</v>
      </c>
      <c r="J640" t="str">
        <f t="shared" si="18"/>
        <v>OK</v>
      </c>
      <c r="K640" t="str">
        <f t="shared" si="19"/>
        <v>Govt EUR (Ger)</v>
      </c>
      <c r="L640" t="s">
        <v>75</v>
      </c>
      <c r="M640" t="str">
        <f>_xlfn.IFNA(VLOOKUP(K640,'Mapping DEF'!A:C,2,0),"")</f>
        <v>Curve (Local)</v>
      </c>
      <c r="N640" t="str">
        <f>+_xlfn.IFNA(VLOOKUP(M640,'Mapping DEF'!B:C,2,FALSE),"")</f>
        <v>Term Structure</v>
      </c>
      <c r="O640" t="s">
        <v>2809</v>
      </c>
    </row>
    <row r="641" spans="1:15" x14ac:dyDescent="0.25">
      <c r="A641" t="s">
        <v>2026</v>
      </c>
      <c r="B641" t="s">
        <v>2027</v>
      </c>
      <c r="C641">
        <v>2415</v>
      </c>
      <c r="D641" t="s">
        <v>2028</v>
      </c>
      <c r="E641" t="s">
        <v>1041</v>
      </c>
      <c r="F641" t="s">
        <v>315</v>
      </c>
      <c r="G641" t="str">
        <f>+VLOOKUP(F641,[1]Explore!$B:$I,8,0)</f>
        <v>Govt EUR (Ger)</v>
      </c>
      <c r="H641" t="s">
        <v>316</v>
      </c>
      <c r="I641" t="str">
        <f>+VLOOKUP(H641,[1]Explore!$A:$I,9,0)</f>
        <v>Govt EUR (Ger)</v>
      </c>
      <c r="J641" t="str">
        <f t="shared" si="18"/>
        <v>OK</v>
      </c>
      <c r="K641" t="str">
        <f t="shared" si="19"/>
        <v>Govt EUR (Ger)</v>
      </c>
      <c r="L641" t="s">
        <v>27</v>
      </c>
      <c r="M641" t="str">
        <f>_xlfn.IFNA(VLOOKUP(K641,'Mapping DEF'!A:C,2,0),"")</f>
        <v>Curve (Local)</v>
      </c>
      <c r="N641" t="str">
        <f>+_xlfn.IFNA(VLOOKUP(M641,'Mapping DEF'!B:C,2,FALSE),"")</f>
        <v>Term Structure</v>
      </c>
      <c r="O641" t="s">
        <v>2786</v>
      </c>
    </row>
    <row r="642" spans="1:15" x14ac:dyDescent="0.25">
      <c r="A642" t="s">
        <v>2026</v>
      </c>
      <c r="B642" t="s">
        <v>2027</v>
      </c>
      <c r="C642">
        <v>2415</v>
      </c>
      <c r="D642" t="s">
        <v>2028</v>
      </c>
      <c r="E642" t="s">
        <v>1042</v>
      </c>
      <c r="F642" t="s">
        <v>360</v>
      </c>
      <c r="G642" t="str">
        <f>+VLOOKUP(F642,[1]Explore!$B:$I,8,0)</f>
        <v>Spread Govt ITA</v>
      </c>
      <c r="H642" t="s">
        <v>361</v>
      </c>
      <c r="I642" t="str">
        <f>+VLOOKUP(H642,[1]Explore!$A:$I,9,0)</f>
        <v>Spread Govt ITA</v>
      </c>
      <c r="J642" t="str">
        <f t="shared" si="18"/>
        <v>OK</v>
      </c>
      <c r="K642" t="str">
        <f t="shared" si="19"/>
        <v>Spread Govt ITA</v>
      </c>
      <c r="L642" t="s">
        <v>188</v>
      </c>
      <c r="M642" t="str">
        <f>_xlfn.IFNA(VLOOKUP(K642,'Mapping DEF'!A:C,2,0),"")</f>
        <v>Spread Govt</v>
      </c>
      <c r="N642" t="str">
        <f>+_xlfn.IFNA(VLOOKUP(M642,'Mapping DEF'!B:C,2,FALSE),"")</f>
        <v>Term Structure</v>
      </c>
      <c r="O642" t="s">
        <v>2785</v>
      </c>
    </row>
    <row r="643" spans="1:15" x14ac:dyDescent="0.25">
      <c r="A643" t="s">
        <v>2026</v>
      </c>
      <c r="B643" t="s">
        <v>2027</v>
      </c>
      <c r="C643">
        <v>2415</v>
      </c>
      <c r="D643" t="s">
        <v>2028</v>
      </c>
      <c r="E643" t="s">
        <v>1043</v>
      </c>
      <c r="F643" t="s">
        <v>2942</v>
      </c>
      <c r="G643" t="str">
        <f>+VLOOKUP(F643,[1]Explore!$B:$I,8,0)</f>
        <v>EUR</v>
      </c>
      <c r="H643" t="s">
        <v>173</v>
      </c>
      <c r="I643" t="str">
        <f>+VLOOKUP(H643,[1]Explore!$A:$I,9,0)</f>
        <v>EUR</v>
      </c>
      <c r="J643" t="str">
        <f t="shared" ref="J643:J706" si="20">IF(AND(ISNA(G643),ISNA(I643)),"BOTH #N/A","OK")</f>
        <v>OK</v>
      </c>
      <c r="K643" t="str">
        <f t="shared" ref="K643:K706" si="21">IFERROR(I643, IFERROR(G643, L643))</f>
        <v>EUR</v>
      </c>
      <c r="L643" t="s">
        <v>188</v>
      </c>
      <c r="M643" t="str">
        <f>_xlfn.IFNA(VLOOKUP(K643,'Mapping DEF'!A:C,2,0),"")</f>
        <v>FX</v>
      </c>
      <c r="N643" t="str">
        <f>+_xlfn.IFNA(VLOOKUP(M643,'Mapping DEF'!B:C,2,FALSE),"")</f>
        <v>FX</v>
      </c>
      <c r="O643" t="s">
        <v>2810</v>
      </c>
    </row>
    <row r="644" spans="1:15" x14ac:dyDescent="0.25">
      <c r="A644" t="s">
        <v>2026</v>
      </c>
      <c r="B644" t="s">
        <v>2027</v>
      </c>
      <c r="C644">
        <v>2415</v>
      </c>
      <c r="D644" t="s">
        <v>2028</v>
      </c>
      <c r="E644" t="s">
        <v>1044</v>
      </c>
      <c r="F644" t="s">
        <v>2618</v>
      </c>
      <c r="G644" t="str">
        <f>+VLOOKUP(F644,[1]Explore!$B:$I,8,0)</f>
        <v>Equity Implied Volatility</v>
      </c>
      <c r="H644" t="s">
        <v>144</v>
      </c>
      <c r="I644" t="str">
        <f>+VLOOKUP(H644,[1]Explore!$A:$I,9,0)</f>
        <v>Equity Implied Volatility</v>
      </c>
      <c r="J644" t="str">
        <f t="shared" si="20"/>
        <v>OK</v>
      </c>
      <c r="K644" t="str">
        <f t="shared" si="21"/>
        <v>Equity Implied Volatility</v>
      </c>
      <c r="L644" t="s">
        <v>27</v>
      </c>
      <c r="M644" t="str">
        <f>_xlfn.IFNA(VLOOKUP(K644,'Mapping DEF'!A:C,2,0),"")</f>
        <v>Equity Derivatives</v>
      </c>
      <c r="N644" t="str">
        <f>+_xlfn.IFNA(VLOOKUP(M644,'Mapping DEF'!B:C,2,FALSE),"")</f>
        <v>Equity</v>
      </c>
      <c r="O644" t="s">
        <v>2770</v>
      </c>
    </row>
    <row r="645" spans="1:15" x14ac:dyDescent="0.25">
      <c r="A645" t="s">
        <v>2026</v>
      </c>
      <c r="B645" t="s">
        <v>2027</v>
      </c>
      <c r="C645">
        <v>2415</v>
      </c>
      <c r="D645" t="s">
        <v>2028</v>
      </c>
      <c r="E645" t="s">
        <v>626</v>
      </c>
      <c r="F645" t="s">
        <v>627</v>
      </c>
      <c r="G645" t="str">
        <f>+VLOOKUP(F645,[1]Explore!$B:$I,8,0)</f>
        <v>Corporate IG EUR - Other</v>
      </c>
      <c r="H645" t="s">
        <v>628</v>
      </c>
      <c r="I645" t="str">
        <f>+VLOOKUP(H645,[1]Explore!$A:$I,9,0)</f>
        <v>Corporate IG EUR - Other</v>
      </c>
      <c r="J645" t="str">
        <f t="shared" si="20"/>
        <v>OK</v>
      </c>
      <c r="K645" t="str">
        <f t="shared" si="21"/>
        <v>Corporate IG EUR - Other</v>
      </c>
      <c r="L645" t="s">
        <v>27</v>
      </c>
      <c r="M645" t="str">
        <f>_xlfn.IFNA(VLOOKUP(K645,'Mapping DEF'!A:C,2,0),"")</f>
        <v>Spread</v>
      </c>
      <c r="N645" t="str">
        <f>+_xlfn.IFNA(VLOOKUP(M645,'Mapping DEF'!B:C,2,FALSE),"")</f>
        <v>Spread</v>
      </c>
      <c r="O645" t="s">
        <v>2780</v>
      </c>
    </row>
    <row r="646" spans="1:15" x14ac:dyDescent="0.25">
      <c r="A646" t="s">
        <v>2026</v>
      </c>
      <c r="B646" t="s">
        <v>2027</v>
      </c>
      <c r="C646">
        <v>2415</v>
      </c>
      <c r="D646" t="s">
        <v>2028</v>
      </c>
      <c r="E646" t="s">
        <v>1045</v>
      </c>
      <c r="F646" t="s">
        <v>1030</v>
      </c>
      <c r="G646" t="str">
        <f>+VLOOKUP(F646,[1]Explore!$B:$I,8,0)</f>
        <v>Spread Govt ITA</v>
      </c>
      <c r="H646" t="s">
        <v>327</v>
      </c>
      <c r="I646" t="e">
        <f>+VLOOKUP(H646,[1]Explore!$A:$I,9,0)</f>
        <v>#N/A</v>
      </c>
      <c r="J646" t="str">
        <f t="shared" si="20"/>
        <v>OK</v>
      </c>
      <c r="K646" t="str">
        <f t="shared" si="21"/>
        <v>Spread Govt ITA</v>
      </c>
      <c r="L646" t="s">
        <v>70</v>
      </c>
      <c r="M646" t="str">
        <f>_xlfn.IFNA(VLOOKUP(K646,'Mapping DEF'!A:C,2,0),"")</f>
        <v>Spread Govt</v>
      </c>
      <c r="N646" t="str">
        <f>+_xlfn.IFNA(VLOOKUP(M646,'Mapping DEF'!B:C,2,FALSE),"")</f>
        <v>Term Structure</v>
      </c>
      <c r="O646" t="s">
        <v>2774</v>
      </c>
    </row>
    <row r="647" spans="1:15" x14ac:dyDescent="0.25">
      <c r="A647" t="s">
        <v>2026</v>
      </c>
      <c r="B647" t="s">
        <v>2027</v>
      </c>
      <c r="C647">
        <v>2415</v>
      </c>
      <c r="D647" t="s">
        <v>2028</v>
      </c>
      <c r="E647" t="s">
        <v>1046</v>
      </c>
      <c r="F647" t="s">
        <v>2194</v>
      </c>
      <c r="G647" t="str">
        <f>+VLOOKUP(F647,[1]Explore!$B:$I,8,0)</f>
        <v>Equity Implied Volatility</v>
      </c>
      <c r="H647" t="s">
        <v>985</v>
      </c>
      <c r="I647" t="e">
        <f>+VLOOKUP(H647,[1]Explore!$A:$I,9,0)</f>
        <v>#N/A</v>
      </c>
      <c r="J647" t="str">
        <f t="shared" si="20"/>
        <v>OK</v>
      </c>
      <c r="K647" t="str">
        <f t="shared" si="21"/>
        <v>Equity Implied Volatility</v>
      </c>
      <c r="L647" t="s">
        <v>8</v>
      </c>
      <c r="M647" t="str">
        <f>_xlfn.IFNA(VLOOKUP(K647,'Mapping DEF'!A:C,2,0),"")</f>
        <v>Equity Derivatives</v>
      </c>
      <c r="N647" t="str">
        <f>+_xlfn.IFNA(VLOOKUP(M647,'Mapping DEF'!B:C,2,FALSE),"")</f>
        <v>Equity</v>
      </c>
      <c r="O647" t="s">
        <v>2770</v>
      </c>
    </row>
    <row r="648" spans="1:15" x14ac:dyDescent="0.25">
      <c r="A648" t="s">
        <v>2026</v>
      </c>
      <c r="B648" t="s">
        <v>2027</v>
      </c>
      <c r="C648">
        <v>2415</v>
      </c>
      <c r="D648" t="s">
        <v>2028</v>
      </c>
      <c r="E648" t="s">
        <v>1047</v>
      </c>
      <c r="F648" t="s">
        <v>2167</v>
      </c>
      <c r="G648" t="str">
        <f>+VLOOKUP(F648,[1]Explore!$B:$I,8,0)</f>
        <v>Equity Implied Volatility</v>
      </c>
      <c r="H648" t="s">
        <v>1022</v>
      </c>
      <c r="I648" t="e">
        <f>+VLOOKUP(H648,[1]Explore!$A:$I,9,0)</f>
        <v>#N/A</v>
      </c>
      <c r="J648" t="str">
        <f t="shared" si="20"/>
        <v>OK</v>
      </c>
      <c r="K648" t="str">
        <f t="shared" si="21"/>
        <v>Equity Implied Volatility</v>
      </c>
      <c r="L648" t="s">
        <v>188</v>
      </c>
      <c r="M648" t="str">
        <f>_xlfn.IFNA(VLOOKUP(K648,'Mapping DEF'!A:C,2,0),"")</f>
        <v>Equity Derivatives</v>
      </c>
      <c r="N648" t="str">
        <f>+_xlfn.IFNA(VLOOKUP(M648,'Mapping DEF'!B:C,2,FALSE),"")</f>
        <v>Equity</v>
      </c>
      <c r="O648" t="s">
        <v>2770</v>
      </c>
    </row>
    <row r="649" spans="1:15" x14ac:dyDescent="0.25">
      <c r="A649" t="s">
        <v>2048</v>
      </c>
      <c r="B649" t="s">
        <v>2049</v>
      </c>
      <c r="C649">
        <v>2513</v>
      </c>
      <c r="D649" t="s">
        <v>2050</v>
      </c>
      <c r="E649" t="s">
        <v>1051</v>
      </c>
      <c r="F649" t="s">
        <v>268</v>
      </c>
      <c r="G649" t="str">
        <f>+VLOOKUP(F649,[1]Explore!$B:$I,8,0)</f>
        <v>Alternative - Commodity</v>
      </c>
      <c r="H649" t="s">
        <v>269</v>
      </c>
      <c r="I649" t="str">
        <f>+VLOOKUP(H649,[1]Explore!$A:$I,9,0)</f>
        <v>Alternative - Commodity</v>
      </c>
      <c r="J649" t="str">
        <f t="shared" si="20"/>
        <v>OK</v>
      </c>
      <c r="K649" t="str">
        <f t="shared" si="21"/>
        <v>Alternative - Commodity</v>
      </c>
      <c r="L649" t="s">
        <v>75</v>
      </c>
      <c r="M649" t="str">
        <f>_xlfn.IFNA(VLOOKUP(K649,'Mapping DEF'!A:C,2,0),"")</f>
        <v>Alternative</v>
      </c>
      <c r="N649" t="str">
        <f>+_xlfn.IFNA(VLOOKUP(M649,'Mapping DEF'!B:C,2,FALSE),"")</f>
        <v>Other</v>
      </c>
      <c r="O649" t="s">
        <v>2772</v>
      </c>
    </row>
    <row r="650" spans="1:15" x14ac:dyDescent="0.25">
      <c r="A650" t="s">
        <v>2048</v>
      </c>
      <c r="B650" t="s">
        <v>2049</v>
      </c>
      <c r="C650">
        <v>2513</v>
      </c>
      <c r="D650" t="s">
        <v>2050</v>
      </c>
      <c r="E650" t="s">
        <v>1052</v>
      </c>
      <c r="F650" t="s">
        <v>315</v>
      </c>
      <c r="G650" t="str">
        <f>+VLOOKUP(F650,[1]Explore!$B:$I,8,0)</f>
        <v>Govt EUR (Ger)</v>
      </c>
      <c r="H650" t="s">
        <v>316</v>
      </c>
      <c r="I650" t="str">
        <f>+VLOOKUP(H650,[1]Explore!$A:$I,9,0)</f>
        <v>Govt EUR (Ger)</v>
      </c>
      <c r="J650" t="str">
        <f t="shared" si="20"/>
        <v>OK</v>
      </c>
      <c r="K650" t="str">
        <f t="shared" si="21"/>
        <v>Govt EUR (Ger)</v>
      </c>
      <c r="L650" t="s">
        <v>8</v>
      </c>
      <c r="M650" t="str">
        <f>_xlfn.IFNA(VLOOKUP(K650,'Mapping DEF'!A:C,2,0),"")</f>
        <v>Curve (Local)</v>
      </c>
      <c r="N650" t="str">
        <f>+_xlfn.IFNA(VLOOKUP(M650,'Mapping DEF'!B:C,2,FALSE),"")</f>
        <v>Term Structure</v>
      </c>
      <c r="O650" t="s">
        <v>2765</v>
      </c>
    </row>
    <row r="651" spans="1:15" x14ac:dyDescent="0.25">
      <c r="A651" t="s">
        <v>2048</v>
      </c>
      <c r="B651" t="s">
        <v>2049</v>
      </c>
      <c r="C651">
        <v>2513</v>
      </c>
      <c r="D651" t="s">
        <v>2050</v>
      </c>
      <c r="E651" t="s">
        <v>1053</v>
      </c>
      <c r="F651" t="s">
        <v>1027</v>
      </c>
      <c r="G651" t="str">
        <f>+VLOOKUP(F651,[1]Explore!$B:$I,8,0)</f>
        <v>Spread Govt Quasi-Core EUR</v>
      </c>
      <c r="H651" t="s">
        <v>1028</v>
      </c>
      <c r="I651" t="str">
        <f>+VLOOKUP(H651,[1]Explore!$A:$I,9,0)</f>
        <v>Spread Govt Quasi-Core EUR</v>
      </c>
      <c r="J651" t="str">
        <f t="shared" si="20"/>
        <v>OK</v>
      </c>
      <c r="K651" t="str">
        <f t="shared" si="21"/>
        <v>Spread Govt Quasi-Core EUR</v>
      </c>
      <c r="L651" t="s">
        <v>27</v>
      </c>
      <c r="M651" t="str">
        <f>_xlfn.IFNA(VLOOKUP(K651,'Mapping DEF'!A:C,2,0),"")</f>
        <v>Spread Govt</v>
      </c>
      <c r="N651" t="str">
        <f>+_xlfn.IFNA(VLOOKUP(M651,'Mapping DEF'!B:C,2,FALSE),"")</f>
        <v>Term Structure</v>
      </c>
      <c r="O651" t="s">
        <v>2780</v>
      </c>
    </row>
    <row r="652" spans="1:15" x14ac:dyDescent="0.25">
      <c r="A652" t="s">
        <v>2048</v>
      </c>
      <c r="B652" t="s">
        <v>2049</v>
      </c>
      <c r="C652">
        <v>2513</v>
      </c>
      <c r="D652" t="s">
        <v>2050</v>
      </c>
      <c r="E652" t="s">
        <v>1054</v>
      </c>
      <c r="F652" t="s">
        <v>2942</v>
      </c>
      <c r="G652" t="str">
        <f>+VLOOKUP(F652,[1]Explore!$B:$I,8,0)</f>
        <v>EUR</v>
      </c>
      <c r="H652" t="s">
        <v>173</v>
      </c>
      <c r="I652" t="str">
        <f>+VLOOKUP(H652,[1]Explore!$A:$I,9,0)</f>
        <v>EUR</v>
      </c>
      <c r="J652" t="str">
        <f t="shared" si="20"/>
        <v>OK</v>
      </c>
      <c r="K652" t="str">
        <f t="shared" si="21"/>
        <v>EUR</v>
      </c>
      <c r="L652" t="s">
        <v>27</v>
      </c>
      <c r="M652" t="str">
        <f>_xlfn.IFNA(VLOOKUP(K652,'Mapping DEF'!A:C,2,0),"")</f>
        <v>FX</v>
      </c>
      <c r="N652" t="str">
        <f>+_xlfn.IFNA(VLOOKUP(M652,'Mapping DEF'!B:C,2,FALSE),"")</f>
        <v>FX</v>
      </c>
      <c r="O652" t="s">
        <v>2770</v>
      </c>
    </row>
    <row r="653" spans="1:15" x14ac:dyDescent="0.25">
      <c r="A653" t="s">
        <v>2048</v>
      </c>
      <c r="B653" t="s">
        <v>2049</v>
      </c>
      <c r="C653">
        <v>2513</v>
      </c>
      <c r="D653" t="s">
        <v>2050</v>
      </c>
      <c r="E653" t="s">
        <v>1005</v>
      </c>
      <c r="F653" t="s">
        <v>966</v>
      </c>
      <c r="G653" t="str">
        <f>+VLOOKUP(F653,[1]Explore!$B:$I,8,0)</f>
        <v>EUR Inflation</v>
      </c>
      <c r="H653" t="s">
        <v>967</v>
      </c>
      <c r="I653" t="str">
        <f>+VLOOKUP(H653,[1]Explore!$A:$I,9,0)</f>
        <v>EUR Inflation</v>
      </c>
      <c r="J653" t="str">
        <f t="shared" si="20"/>
        <v>OK</v>
      </c>
      <c r="K653" t="str">
        <f t="shared" si="21"/>
        <v>EUR Inflation</v>
      </c>
      <c r="L653" t="s">
        <v>27</v>
      </c>
      <c r="M653" t="str">
        <f>_xlfn.IFNA(VLOOKUP(K653,'Mapping DEF'!A:C,2,0),"")</f>
        <v>Inflation</v>
      </c>
      <c r="N653" t="str">
        <f>+_xlfn.IFNA(VLOOKUP(M653,'Mapping DEF'!B:C,2,FALSE),"")</f>
        <v>Other</v>
      </c>
      <c r="O653" t="s">
        <v>2774</v>
      </c>
    </row>
    <row r="654" spans="1:15" x14ac:dyDescent="0.25">
      <c r="A654" t="s">
        <v>2048</v>
      </c>
      <c r="B654" t="s">
        <v>2049</v>
      </c>
      <c r="C654">
        <v>2513</v>
      </c>
      <c r="D654" t="s">
        <v>2050</v>
      </c>
      <c r="E654" t="s">
        <v>1055</v>
      </c>
      <c r="F654" t="s">
        <v>2156</v>
      </c>
      <c r="G654" t="str">
        <f>+VLOOKUP(F654,[1]Explore!$B:$I,8,0)</f>
        <v>Equity Implied Volatility</v>
      </c>
      <c r="H654" t="s">
        <v>141</v>
      </c>
      <c r="I654" t="str">
        <f>+VLOOKUP(H654,[1]Explore!$A:$I,9,0)</f>
        <v>Equity Implied Volatility</v>
      </c>
      <c r="J654" t="str">
        <f t="shared" si="20"/>
        <v>OK</v>
      </c>
      <c r="K654" t="str">
        <f t="shared" si="21"/>
        <v>Equity Implied Volatility</v>
      </c>
      <c r="L654" t="s">
        <v>188</v>
      </c>
      <c r="M654" t="str">
        <f>_xlfn.IFNA(VLOOKUP(K654,'Mapping DEF'!A:C,2,0),"")</f>
        <v>Equity Derivatives</v>
      </c>
      <c r="N654" t="str">
        <f>+_xlfn.IFNA(VLOOKUP(M654,'Mapping DEF'!B:C,2,FALSE),"")</f>
        <v>Equity</v>
      </c>
      <c r="O654" t="s">
        <v>2757</v>
      </c>
    </row>
    <row r="655" spans="1:15" x14ac:dyDescent="0.25">
      <c r="A655" t="s">
        <v>2048</v>
      </c>
      <c r="B655" t="s">
        <v>2049</v>
      </c>
      <c r="C655">
        <v>2513</v>
      </c>
      <c r="D655" t="s">
        <v>2050</v>
      </c>
      <c r="E655" t="s">
        <v>1056</v>
      </c>
      <c r="F655" t="s">
        <v>2618</v>
      </c>
      <c r="G655" t="str">
        <f>+VLOOKUP(F655,[1]Explore!$B:$I,8,0)</f>
        <v>Equity Implied Volatility</v>
      </c>
      <c r="H655" t="s">
        <v>144</v>
      </c>
      <c r="I655" t="str">
        <f>+VLOOKUP(H655,[1]Explore!$A:$I,9,0)</f>
        <v>Equity Implied Volatility</v>
      </c>
      <c r="J655" t="str">
        <f t="shared" si="20"/>
        <v>OK</v>
      </c>
      <c r="K655" t="str">
        <f t="shared" si="21"/>
        <v>Equity Implied Volatility</v>
      </c>
      <c r="L655" t="s">
        <v>188</v>
      </c>
      <c r="M655" t="str">
        <f>_xlfn.IFNA(VLOOKUP(K655,'Mapping DEF'!A:C,2,0),"")</f>
        <v>Equity Derivatives</v>
      </c>
      <c r="N655" t="str">
        <f>+_xlfn.IFNA(VLOOKUP(M655,'Mapping DEF'!B:C,2,FALSE),"")</f>
        <v>Equity</v>
      </c>
      <c r="O655" t="s">
        <v>2801</v>
      </c>
    </row>
    <row r="656" spans="1:15" x14ac:dyDescent="0.25">
      <c r="A656" t="s">
        <v>2048</v>
      </c>
      <c r="B656" t="s">
        <v>2049</v>
      </c>
      <c r="C656">
        <v>2513</v>
      </c>
      <c r="D656" t="s">
        <v>2050</v>
      </c>
      <c r="E656" t="s">
        <v>1057</v>
      </c>
      <c r="F656" t="s">
        <v>989</v>
      </c>
      <c r="G656" t="str">
        <f>+VLOOKUP(F656,[1]Explore!$B:$I,8,0)</f>
        <v>Equity Implied Volatility</v>
      </c>
      <c r="H656" t="s">
        <v>990</v>
      </c>
      <c r="I656" t="str">
        <f>+VLOOKUP(H656,[1]Explore!$A:$I,9,0)</f>
        <v>Equity Implied Volatility</v>
      </c>
      <c r="J656" t="str">
        <f t="shared" si="20"/>
        <v>OK</v>
      </c>
      <c r="K656" t="str">
        <f t="shared" si="21"/>
        <v>Equity Implied Volatility</v>
      </c>
      <c r="L656" t="s">
        <v>188</v>
      </c>
      <c r="M656" t="str">
        <f>_xlfn.IFNA(VLOOKUP(K656,'Mapping DEF'!A:C,2,0),"")</f>
        <v>Equity Derivatives</v>
      </c>
      <c r="N656" t="str">
        <f>+_xlfn.IFNA(VLOOKUP(M656,'Mapping DEF'!B:C,2,FALSE),"")</f>
        <v>Equity</v>
      </c>
      <c r="O656" t="s">
        <v>2753</v>
      </c>
    </row>
    <row r="657" spans="1:15" x14ac:dyDescent="0.25">
      <c r="A657" t="s">
        <v>2048</v>
      </c>
      <c r="B657" t="s">
        <v>2049</v>
      </c>
      <c r="C657">
        <v>2513</v>
      </c>
      <c r="D657" t="s">
        <v>2050</v>
      </c>
      <c r="E657" t="s">
        <v>1058</v>
      </c>
      <c r="F657" t="s">
        <v>627</v>
      </c>
      <c r="G657" t="str">
        <f>+VLOOKUP(F657,[1]Explore!$B:$I,8,0)</f>
        <v>Corporate IG EUR - Other</v>
      </c>
      <c r="H657" t="s">
        <v>628</v>
      </c>
      <c r="I657" t="str">
        <f>+VLOOKUP(H657,[1]Explore!$A:$I,9,0)</f>
        <v>Corporate IG EUR - Other</v>
      </c>
      <c r="J657" t="str">
        <f t="shared" si="20"/>
        <v>OK</v>
      </c>
      <c r="K657" t="str">
        <f t="shared" si="21"/>
        <v>Corporate IG EUR - Other</v>
      </c>
      <c r="L657" t="s">
        <v>27</v>
      </c>
      <c r="M657" t="str">
        <f>_xlfn.IFNA(VLOOKUP(K657,'Mapping DEF'!A:C,2,0),"")</f>
        <v>Spread</v>
      </c>
      <c r="N657" t="str">
        <f>+_xlfn.IFNA(VLOOKUP(M657,'Mapping DEF'!B:C,2,FALSE),"")</f>
        <v>Spread</v>
      </c>
      <c r="O657" t="s">
        <v>2781</v>
      </c>
    </row>
    <row r="658" spans="1:15" x14ac:dyDescent="0.25">
      <c r="A658" t="s">
        <v>2048</v>
      </c>
      <c r="B658" t="s">
        <v>2049</v>
      </c>
      <c r="C658">
        <v>2513</v>
      </c>
      <c r="D658" t="s">
        <v>2050</v>
      </c>
      <c r="E658" t="s">
        <v>1059</v>
      </c>
      <c r="F658" t="s">
        <v>1060</v>
      </c>
      <c r="G658" t="str">
        <f>+VLOOKUP(F658,[1]Explore!$B:$I,8,0)</f>
        <v>Money Market</v>
      </c>
      <c r="H658" t="s">
        <v>1061</v>
      </c>
      <c r="I658" t="str">
        <f>+VLOOKUP(H658,[1]Explore!$A:$I,9,0)</f>
        <v>Money Market</v>
      </c>
      <c r="J658" t="str">
        <f t="shared" si="20"/>
        <v>OK</v>
      </c>
      <c r="K658" t="str">
        <f t="shared" si="21"/>
        <v>Money Market</v>
      </c>
      <c r="L658" t="s">
        <v>70</v>
      </c>
      <c r="M658" t="str">
        <f>_xlfn.IFNA(VLOOKUP(K658,'Mapping DEF'!A:C,2,0),"")</f>
        <v>Other</v>
      </c>
      <c r="N658" t="str">
        <f>+_xlfn.IFNA(VLOOKUP(M658,'Mapping DEF'!B:C,2,FALSE),"")</f>
        <v>Other</v>
      </c>
      <c r="O658" t="s">
        <v>2790</v>
      </c>
    </row>
    <row r="659" spans="1:15" x14ac:dyDescent="0.25">
      <c r="A659" t="s">
        <v>2048</v>
      </c>
      <c r="B659" t="s">
        <v>2049</v>
      </c>
      <c r="C659">
        <v>2513</v>
      </c>
      <c r="D659" t="s">
        <v>2050</v>
      </c>
      <c r="E659" t="s">
        <v>1062</v>
      </c>
      <c r="F659" t="s">
        <v>1063</v>
      </c>
      <c r="G659" t="str">
        <f>+VLOOKUP(F659,[1]Explore!$B:$I,8,0)</f>
        <v>Money Market</v>
      </c>
      <c r="H659" t="s">
        <v>1064</v>
      </c>
      <c r="I659" t="str">
        <f>+VLOOKUP(H659,[1]Explore!$A:$I,9,0)</f>
        <v>Money Market</v>
      </c>
      <c r="J659" t="str">
        <f t="shared" si="20"/>
        <v>OK</v>
      </c>
      <c r="K659" t="str">
        <f t="shared" si="21"/>
        <v>Money Market</v>
      </c>
      <c r="L659" t="s">
        <v>8</v>
      </c>
      <c r="M659" t="str">
        <f>_xlfn.IFNA(VLOOKUP(K659,'Mapping DEF'!A:C,2,0),"")</f>
        <v>Other</v>
      </c>
      <c r="N659" t="str">
        <f>+_xlfn.IFNA(VLOOKUP(M659,'Mapping DEF'!B:C,2,FALSE),"")</f>
        <v>Other</v>
      </c>
      <c r="O659" t="s">
        <v>2790</v>
      </c>
    </row>
    <row r="660" spans="1:15" x14ac:dyDescent="0.25">
      <c r="A660" t="s">
        <v>2048</v>
      </c>
      <c r="B660" t="s">
        <v>2049</v>
      </c>
      <c r="C660">
        <v>2513</v>
      </c>
      <c r="D660" t="s">
        <v>2050</v>
      </c>
      <c r="E660" t="s">
        <v>1065</v>
      </c>
      <c r="F660" t="s">
        <v>2194</v>
      </c>
      <c r="G660" t="str">
        <f>+VLOOKUP(F660,[1]Explore!$B:$I,8,0)</f>
        <v>Equity Implied Volatility</v>
      </c>
      <c r="H660" t="s">
        <v>985</v>
      </c>
      <c r="I660" t="e">
        <f>+VLOOKUP(H660,[1]Explore!$A:$I,9,0)</f>
        <v>#N/A</v>
      </c>
      <c r="J660" t="str">
        <f t="shared" si="20"/>
        <v>OK</v>
      </c>
      <c r="K660" t="str">
        <f t="shared" si="21"/>
        <v>Equity Implied Volatility</v>
      </c>
      <c r="L660" t="s">
        <v>188</v>
      </c>
      <c r="M660" t="str">
        <f>_xlfn.IFNA(VLOOKUP(K660,'Mapping DEF'!A:C,2,0),"")</f>
        <v>Equity Derivatives</v>
      </c>
      <c r="N660" t="str">
        <f>+_xlfn.IFNA(VLOOKUP(M660,'Mapping DEF'!B:C,2,FALSE),"")</f>
        <v>Equity</v>
      </c>
      <c r="O660" t="s">
        <v>2801</v>
      </c>
    </row>
    <row r="661" spans="1:15" x14ac:dyDescent="0.25">
      <c r="A661" t="s">
        <v>2099</v>
      </c>
      <c r="B661" t="s">
        <v>2100</v>
      </c>
      <c r="C661">
        <v>2514</v>
      </c>
      <c r="D661" t="s">
        <v>2101</v>
      </c>
      <c r="E661" t="s">
        <v>313</v>
      </c>
      <c r="F661" t="s">
        <v>268</v>
      </c>
      <c r="G661" t="str">
        <f>+VLOOKUP(F661,[1]Explore!$B:$I,8,0)</f>
        <v>Alternative - Commodity</v>
      </c>
      <c r="H661" t="s">
        <v>269</v>
      </c>
      <c r="I661" t="str">
        <f>+VLOOKUP(H661,[1]Explore!$A:$I,9,0)</f>
        <v>Alternative - Commodity</v>
      </c>
      <c r="J661" t="str">
        <f t="shared" si="20"/>
        <v>OK</v>
      </c>
      <c r="K661" t="str">
        <f t="shared" si="21"/>
        <v>Alternative - Commodity</v>
      </c>
      <c r="L661" t="s">
        <v>75</v>
      </c>
      <c r="M661" t="str">
        <f>_xlfn.IFNA(VLOOKUP(K661,'Mapping DEF'!A:C,2,0),"")</f>
        <v>Alternative</v>
      </c>
      <c r="N661" t="str">
        <f>+_xlfn.IFNA(VLOOKUP(M661,'Mapping DEF'!B:C,2,FALSE),"")</f>
        <v>Other</v>
      </c>
      <c r="O661" t="s">
        <v>2794</v>
      </c>
    </row>
    <row r="662" spans="1:15" x14ac:dyDescent="0.25">
      <c r="A662" t="s">
        <v>2099</v>
      </c>
      <c r="B662" t="s">
        <v>2100</v>
      </c>
      <c r="C662">
        <v>2514</v>
      </c>
      <c r="D662" t="s">
        <v>2101</v>
      </c>
      <c r="E662" t="s">
        <v>314</v>
      </c>
      <c r="F662" t="s">
        <v>315</v>
      </c>
      <c r="G662" t="str">
        <f>+VLOOKUP(F662,[1]Explore!$B:$I,8,0)</f>
        <v>Govt EUR (Ger)</v>
      </c>
      <c r="H662" t="s">
        <v>316</v>
      </c>
      <c r="I662" t="str">
        <f>+VLOOKUP(H662,[1]Explore!$A:$I,9,0)</f>
        <v>Govt EUR (Ger)</v>
      </c>
      <c r="J662" t="str">
        <f t="shared" si="20"/>
        <v>OK</v>
      </c>
      <c r="K662" t="str">
        <f t="shared" si="21"/>
        <v>Govt EUR (Ger)</v>
      </c>
      <c r="L662" t="s">
        <v>8</v>
      </c>
      <c r="M662" t="str">
        <f>_xlfn.IFNA(VLOOKUP(K662,'Mapping DEF'!A:C,2,0),"")</f>
        <v>Curve (Local)</v>
      </c>
      <c r="N662" t="str">
        <f>+_xlfn.IFNA(VLOOKUP(M662,'Mapping DEF'!B:C,2,FALSE),"")</f>
        <v>Term Structure</v>
      </c>
      <c r="O662" t="s">
        <v>2752</v>
      </c>
    </row>
    <row r="663" spans="1:15" x14ac:dyDescent="0.25">
      <c r="A663" t="s">
        <v>2099</v>
      </c>
      <c r="B663" t="s">
        <v>2100</v>
      </c>
      <c r="C663">
        <v>2514</v>
      </c>
      <c r="D663" t="s">
        <v>2101</v>
      </c>
      <c r="E663" t="s">
        <v>1066</v>
      </c>
      <c r="F663" t="s">
        <v>1027</v>
      </c>
      <c r="G663" t="str">
        <f>+VLOOKUP(F663,[1]Explore!$B:$I,8,0)</f>
        <v>Spread Govt Quasi-Core EUR</v>
      </c>
      <c r="H663" t="s">
        <v>1028</v>
      </c>
      <c r="I663" t="str">
        <f>+VLOOKUP(H663,[1]Explore!$A:$I,9,0)</f>
        <v>Spread Govt Quasi-Core EUR</v>
      </c>
      <c r="J663" t="str">
        <f t="shared" si="20"/>
        <v>OK</v>
      </c>
      <c r="K663" t="str">
        <f t="shared" si="21"/>
        <v>Spread Govt Quasi-Core EUR</v>
      </c>
      <c r="L663" t="s">
        <v>27</v>
      </c>
      <c r="M663" t="str">
        <f>_xlfn.IFNA(VLOOKUP(K663,'Mapping DEF'!A:C,2,0),"")</f>
        <v>Spread Govt</v>
      </c>
      <c r="N663" t="str">
        <f>+_xlfn.IFNA(VLOOKUP(M663,'Mapping DEF'!B:C,2,FALSE),"")</f>
        <v>Term Structure</v>
      </c>
      <c r="O663" t="s">
        <v>2755</v>
      </c>
    </row>
    <row r="664" spans="1:15" x14ac:dyDescent="0.25">
      <c r="A664" t="s">
        <v>2099</v>
      </c>
      <c r="B664" t="s">
        <v>2100</v>
      </c>
      <c r="C664">
        <v>2514</v>
      </c>
      <c r="D664" t="s">
        <v>2101</v>
      </c>
      <c r="E664" t="s">
        <v>1067</v>
      </c>
      <c r="F664" t="s">
        <v>2942</v>
      </c>
      <c r="G664" t="str">
        <f>+VLOOKUP(F664,[1]Explore!$B:$I,8,0)</f>
        <v>EUR</v>
      </c>
      <c r="H664" t="s">
        <v>173</v>
      </c>
      <c r="I664" t="str">
        <f>+VLOOKUP(H664,[1]Explore!$A:$I,9,0)</f>
        <v>EUR</v>
      </c>
      <c r="J664" t="str">
        <f t="shared" si="20"/>
        <v>OK</v>
      </c>
      <c r="K664" t="str">
        <f t="shared" si="21"/>
        <v>EUR</v>
      </c>
      <c r="L664" t="s">
        <v>27</v>
      </c>
      <c r="M664" t="str">
        <f>_xlfn.IFNA(VLOOKUP(K664,'Mapping DEF'!A:C,2,0),"")</f>
        <v>FX</v>
      </c>
      <c r="N664" t="str">
        <f>+_xlfn.IFNA(VLOOKUP(M664,'Mapping DEF'!B:C,2,FALSE),"")</f>
        <v>FX</v>
      </c>
      <c r="O664" t="s">
        <v>2760</v>
      </c>
    </row>
    <row r="665" spans="1:15" x14ac:dyDescent="0.25">
      <c r="A665" t="s">
        <v>2099</v>
      </c>
      <c r="B665" t="s">
        <v>2100</v>
      </c>
      <c r="C665">
        <v>2514</v>
      </c>
      <c r="D665" t="s">
        <v>2101</v>
      </c>
      <c r="E665" t="s">
        <v>1068</v>
      </c>
      <c r="F665" t="s">
        <v>966</v>
      </c>
      <c r="G665" t="str">
        <f>+VLOOKUP(F665,[1]Explore!$B:$I,8,0)</f>
        <v>EUR Inflation</v>
      </c>
      <c r="H665" t="s">
        <v>967</v>
      </c>
      <c r="I665" t="str">
        <f>+VLOOKUP(H665,[1]Explore!$A:$I,9,0)</f>
        <v>EUR Inflation</v>
      </c>
      <c r="J665" t="str">
        <f t="shared" si="20"/>
        <v>OK</v>
      </c>
      <c r="K665" t="str">
        <f t="shared" si="21"/>
        <v>EUR Inflation</v>
      </c>
      <c r="L665" t="s">
        <v>188</v>
      </c>
      <c r="M665" t="str">
        <f>_xlfn.IFNA(VLOOKUP(K665,'Mapping DEF'!A:C,2,0),"")</f>
        <v>Inflation</v>
      </c>
      <c r="N665" t="str">
        <f>+_xlfn.IFNA(VLOOKUP(M665,'Mapping DEF'!B:C,2,FALSE),"")</f>
        <v>Other</v>
      </c>
      <c r="O665" t="s">
        <v>2788</v>
      </c>
    </row>
    <row r="666" spans="1:15" x14ac:dyDescent="0.25">
      <c r="A666" t="s">
        <v>2099</v>
      </c>
      <c r="B666" t="s">
        <v>2100</v>
      </c>
      <c r="C666">
        <v>2514</v>
      </c>
      <c r="D666" t="s">
        <v>2101</v>
      </c>
      <c r="E666" t="s">
        <v>970</v>
      </c>
      <c r="F666" t="s">
        <v>2618</v>
      </c>
      <c r="G666" t="str">
        <f>+VLOOKUP(F666,[1]Explore!$B:$I,8,0)</f>
        <v>Equity Implied Volatility</v>
      </c>
      <c r="H666" t="s">
        <v>144</v>
      </c>
      <c r="I666" t="str">
        <f>+VLOOKUP(H666,[1]Explore!$A:$I,9,0)</f>
        <v>Equity Implied Volatility</v>
      </c>
      <c r="J666" t="str">
        <f t="shared" si="20"/>
        <v>OK</v>
      </c>
      <c r="K666" t="str">
        <f t="shared" si="21"/>
        <v>Equity Implied Volatility</v>
      </c>
      <c r="L666" t="s">
        <v>8</v>
      </c>
      <c r="M666" t="str">
        <f>_xlfn.IFNA(VLOOKUP(K666,'Mapping DEF'!A:C,2,0),"")</f>
        <v>Equity Derivatives</v>
      </c>
      <c r="N666" t="str">
        <f>+_xlfn.IFNA(VLOOKUP(M666,'Mapping DEF'!B:C,2,FALSE),"")</f>
        <v>Equity</v>
      </c>
      <c r="O666" t="s">
        <v>2776</v>
      </c>
    </row>
    <row r="667" spans="1:15" x14ac:dyDescent="0.25">
      <c r="A667" t="s">
        <v>2099</v>
      </c>
      <c r="B667" t="s">
        <v>2100</v>
      </c>
      <c r="C667">
        <v>2514</v>
      </c>
      <c r="D667" t="s">
        <v>2101</v>
      </c>
      <c r="E667" t="s">
        <v>988</v>
      </c>
      <c r="F667" t="s">
        <v>989</v>
      </c>
      <c r="G667" t="str">
        <f>+VLOOKUP(F667,[1]Explore!$B:$I,8,0)</f>
        <v>Equity Implied Volatility</v>
      </c>
      <c r="H667" t="s">
        <v>990</v>
      </c>
      <c r="I667" t="str">
        <f>+VLOOKUP(H667,[1]Explore!$A:$I,9,0)</f>
        <v>Equity Implied Volatility</v>
      </c>
      <c r="J667" t="str">
        <f t="shared" si="20"/>
        <v>OK</v>
      </c>
      <c r="K667" t="str">
        <f t="shared" si="21"/>
        <v>Equity Implied Volatility</v>
      </c>
      <c r="L667" t="s">
        <v>27</v>
      </c>
      <c r="M667" t="str">
        <f>_xlfn.IFNA(VLOOKUP(K667,'Mapping DEF'!A:C,2,0),"")</f>
        <v>Equity Derivatives</v>
      </c>
      <c r="N667" t="str">
        <f>+_xlfn.IFNA(VLOOKUP(M667,'Mapping DEF'!B:C,2,FALSE),"")</f>
        <v>Equity</v>
      </c>
      <c r="O667" t="s">
        <v>2811</v>
      </c>
    </row>
    <row r="668" spans="1:15" x14ac:dyDescent="0.25">
      <c r="A668" t="s">
        <v>2099</v>
      </c>
      <c r="B668" t="s">
        <v>2100</v>
      </c>
      <c r="C668">
        <v>2514</v>
      </c>
      <c r="D668" t="s">
        <v>2101</v>
      </c>
      <c r="E668" t="s">
        <v>1069</v>
      </c>
      <c r="F668" t="s">
        <v>627</v>
      </c>
      <c r="G668" t="str">
        <f>+VLOOKUP(F668,[1]Explore!$B:$I,8,0)</f>
        <v>Corporate IG EUR - Other</v>
      </c>
      <c r="H668" t="s">
        <v>628</v>
      </c>
      <c r="I668" t="str">
        <f>+VLOOKUP(H668,[1]Explore!$A:$I,9,0)</f>
        <v>Corporate IG EUR - Other</v>
      </c>
      <c r="J668" t="str">
        <f t="shared" si="20"/>
        <v>OK</v>
      </c>
      <c r="K668" t="str">
        <f t="shared" si="21"/>
        <v>Corporate IG EUR - Other</v>
      </c>
      <c r="L668" t="s">
        <v>27</v>
      </c>
      <c r="M668" t="str">
        <f>_xlfn.IFNA(VLOOKUP(K668,'Mapping DEF'!A:C,2,0),"")</f>
        <v>Spread</v>
      </c>
      <c r="N668" t="str">
        <f>+_xlfn.IFNA(VLOOKUP(M668,'Mapping DEF'!B:C,2,FALSE),"")</f>
        <v>Spread</v>
      </c>
      <c r="O668" t="s">
        <v>2786</v>
      </c>
    </row>
    <row r="669" spans="1:15" x14ac:dyDescent="0.25">
      <c r="A669" t="s">
        <v>2099</v>
      </c>
      <c r="B669" t="s">
        <v>2100</v>
      </c>
      <c r="C669">
        <v>2514</v>
      </c>
      <c r="D669" t="s">
        <v>2101</v>
      </c>
      <c r="E669" t="s">
        <v>1070</v>
      </c>
      <c r="F669" t="s">
        <v>1071</v>
      </c>
      <c r="G669" t="str">
        <f>+VLOOKUP(F669,[1]Explore!$B:$I,8,0)</f>
        <v>Govt EUR (Ger)</v>
      </c>
      <c r="H669" t="s">
        <v>1072</v>
      </c>
      <c r="I669" t="str">
        <f>+VLOOKUP(H669,[1]Explore!$A:$I,9,0)</f>
        <v>Govt EUR (Ger)</v>
      </c>
      <c r="J669" t="str">
        <f t="shared" si="20"/>
        <v>OK</v>
      </c>
      <c r="K669" t="str">
        <f t="shared" si="21"/>
        <v>Govt EUR (Ger)</v>
      </c>
      <c r="L669" t="s">
        <v>70</v>
      </c>
      <c r="M669" t="str">
        <f>_xlfn.IFNA(VLOOKUP(K669,'Mapping DEF'!A:C,2,0),"")</f>
        <v>Curve (Local)</v>
      </c>
      <c r="N669" t="str">
        <f>+_xlfn.IFNA(VLOOKUP(M669,'Mapping DEF'!B:C,2,FALSE),"")</f>
        <v>Term Structure</v>
      </c>
      <c r="O669" t="s">
        <v>2782</v>
      </c>
    </row>
    <row r="670" spans="1:15" x14ac:dyDescent="0.25">
      <c r="A670" t="s">
        <v>2099</v>
      </c>
      <c r="B670" t="s">
        <v>2100</v>
      </c>
      <c r="C670">
        <v>2514</v>
      </c>
      <c r="D670" t="s">
        <v>2101</v>
      </c>
      <c r="E670" t="s">
        <v>1073</v>
      </c>
      <c r="F670" t="s">
        <v>2194</v>
      </c>
      <c r="G670" t="str">
        <f>+VLOOKUP(F670,[1]Explore!$B:$I,8,0)</f>
        <v>Equity Implied Volatility</v>
      </c>
      <c r="H670" t="s">
        <v>985</v>
      </c>
      <c r="I670" t="e">
        <f>+VLOOKUP(H670,[1]Explore!$A:$I,9,0)</f>
        <v>#N/A</v>
      </c>
      <c r="J670" t="str">
        <f t="shared" si="20"/>
        <v>OK</v>
      </c>
      <c r="K670" t="str">
        <f t="shared" si="21"/>
        <v>Equity Implied Volatility</v>
      </c>
      <c r="L670" t="s">
        <v>8</v>
      </c>
      <c r="M670" t="str">
        <f>_xlfn.IFNA(VLOOKUP(K670,'Mapping DEF'!A:C,2,0),"")</f>
        <v>Equity Derivatives</v>
      </c>
      <c r="N670" t="str">
        <f>+_xlfn.IFNA(VLOOKUP(M670,'Mapping DEF'!B:C,2,FALSE),"")</f>
        <v>Equity</v>
      </c>
      <c r="O670" t="s">
        <v>2768</v>
      </c>
    </row>
    <row r="671" spans="1:15" x14ac:dyDescent="0.25">
      <c r="A671" t="s">
        <v>2099</v>
      </c>
      <c r="B671" t="s">
        <v>2100</v>
      </c>
      <c r="C671">
        <v>2514</v>
      </c>
      <c r="D671" t="s">
        <v>2101</v>
      </c>
      <c r="E671" t="s">
        <v>1074</v>
      </c>
      <c r="F671" t="s">
        <v>2194</v>
      </c>
      <c r="G671" t="str">
        <f>+VLOOKUP(F671,[1]Explore!$B:$I,8,0)</f>
        <v>Equity Implied Volatility</v>
      </c>
      <c r="H671" t="s">
        <v>1075</v>
      </c>
      <c r="I671" t="e">
        <f>+VLOOKUP(H671,[1]Explore!$A:$I,9,0)</f>
        <v>#N/A</v>
      </c>
      <c r="J671" t="str">
        <f t="shared" si="20"/>
        <v>OK</v>
      </c>
      <c r="K671" t="str">
        <f t="shared" si="21"/>
        <v>Equity Implied Volatility</v>
      </c>
      <c r="L671" t="s">
        <v>188</v>
      </c>
      <c r="M671" t="str">
        <f>_xlfn.IFNA(VLOOKUP(K671,'Mapping DEF'!A:C,2,0),"")</f>
        <v>Equity Derivatives</v>
      </c>
      <c r="N671" t="str">
        <f>+_xlfn.IFNA(VLOOKUP(M671,'Mapping DEF'!B:C,2,FALSE),"")</f>
        <v>Equity</v>
      </c>
      <c r="O671" t="s">
        <v>2759</v>
      </c>
    </row>
    <row r="672" spans="1:15" x14ac:dyDescent="0.25">
      <c r="A672" t="s">
        <v>2121</v>
      </c>
      <c r="B672" t="s">
        <v>2122</v>
      </c>
      <c r="C672">
        <v>2515</v>
      </c>
      <c r="D672" t="s">
        <v>2123</v>
      </c>
      <c r="E672" t="s">
        <v>1076</v>
      </c>
      <c r="F672" t="s">
        <v>268</v>
      </c>
      <c r="G672" t="str">
        <f>+VLOOKUP(F672,[1]Explore!$B:$I,8,0)</f>
        <v>Alternative - Commodity</v>
      </c>
      <c r="H672" t="s">
        <v>269</v>
      </c>
      <c r="I672" t="str">
        <f>+VLOOKUP(H672,[1]Explore!$A:$I,9,0)</f>
        <v>Alternative - Commodity</v>
      </c>
      <c r="J672" t="str">
        <f t="shared" si="20"/>
        <v>OK</v>
      </c>
      <c r="K672" t="str">
        <f t="shared" si="21"/>
        <v>Alternative - Commodity</v>
      </c>
      <c r="L672" t="s">
        <v>75</v>
      </c>
      <c r="M672" t="str">
        <f>_xlfn.IFNA(VLOOKUP(K672,'Mapping DEF'!A:C,2,0),"")</f>
        <v>Alternative</v>
      </c>
      <c r="N672" t="str">
        <f>+_xlfn.IFNA(VLOOKUP(M672,'Mapping DEF'!B:C,2,FALSE),"")</f>
        <v>Other</v>
      </c>
      <c r="O672" t="s">
        <v>2836</v>
      </c>
    </row>
    <row r="673" spans="1:15" x14ac:dyDescent="0.25">
      <c r="A673" t="s">
        <v>2121</v>
      </c>
      <c r="B673" t="s">
        <v>2122</v>
      </c>
      <c r="C673">
        <v>2515</v>
      </c>
      <c r="D673" t="s">
        <v>2123</v>
      </c>
      <c r="E673" t="s">
        <v>1014</v>
      </c>
      <c r="F673" t="s">
        <v>315</v>
      </c>
      <c r="G673" t="str">
        <f>+VLOOKUP(F673,[1]Explore!$B:$I,8,0)</f>
        <v>Govt EUR (Ger)</v>
      </c>
      <c r="H673" t="s">
        <v>316</v>
      </c>
      <c r="I673" t="str">
        <f>+VLOOKUP(H673,[1]Explore!$A:$I,9,0)</f>
        <v>Govt EUR (Ger)</v>
      </c>
      <c r="J673" t="str">
        <f t="shared" si="20"/>
        <v>OK</v>
      </c>
      <c r="K673" t="str">
        <f t="shared" si="21"/>
        <v>Govt EUR (Ger)</v>
      </c>
      <c r="L673" t="s">
        <v>8</v>
      </c>
      <c r="M673" t="str">
        <f>_xlfn.IFNA(VLOOKUP(K673,'Mapping DEF'!A:C,2,0),"")</f>
        <v>Curve (Local)</v>
      </c>
      <c r="N673" t="str">
        <f>+_xlfn.IFNA(VLOOKUP(M673,'Mapping DEF'!B:C,2,FALSE),"")</f>
        <v>Term Structure</v>
      </c>
      <c r="O673" t="s">
        <v>2829</v>
      </c>
    </row>
    <row r="674" spans="1:15" x14ac:dyDescent="0.25">
      <c r="A674" t="s">
        <v>2121</v>
      </c>
      <c r="B674" t="s">
        <v>2122</v>
      </c>
      <c r="C674">
        <v>2515</v>
      </c>
      <c r="D674" t="s">
        <v>2123</v>
      </c>
      <c r="E674" t="s">
        <v>1077</v>
      </c>
      <c r="F674" t="s">
        <v>1027</v>
      </c>
      <c r="G674" t="str">
        <f>+VLOOKUP(F674,[1]Explore!$B:$I,8,0)</f>
        <v>Spread Govt Quasi-Core EUR</v>
      </c>
      <c r="H674" t="s">
        <v>1028</v>
      </c>
      <c r="I674" t="str">
        <f>+VLOOKUP(H674,[1]Explore!$A:$I,9,0)</f>
        <v>Spread Govt Quasi-Core EUR</v>
      </c>
      <c r="J674" t="str">
        <f t="shared" si="20"/>
        <v>OK</v>
      </c>
      <c r="K674" t="str">
        <f t="shared" si="21"/>
        <v>Spread Govt Quasi-Core EUR</v>
      </c>
      <c r="L674" t="s">
        <v>27</v>
      </c>
      <c r="M674" t="str">
        <f>_xlfn.IFNA(VLOOKUP(K674,'Mapping DEF'!A:C,2,0),"")</f>
        <v>Spread Govt</v>
      </c>
      <c r="N674" t="str">
        <f>+_xlfn.IFNA(VLOOKUP(M674,'Mapping DEF'!B:C,2,FALSE),"")</f>
        <v>Term Structure</v>
      </c>
      <c r="O674" t="s">
        <v>2837</v>
      </c>
    </row>
    <row r="675" spans="1:15" x14ac:dyDescent="0.25">
      <c r="A675" t="s">
        <v>2121</v>
      </c>
      <c r="B675" t="s">
        <v>2122</v>
      </c>
      <c r="C675">
        <v>2515</v>
      </c>
      <c r="D675" t="s">
        <v>2123</v>
      </c>
      <c r="E675" t="s">
        <v>1078</v>
      </c>
      <c r="F675" t="s">
        <v>2942</v>
      </c>
      <c r="G675" t="str">
        <f>+VLOOKUP(F675,[1]Explore!$B:$I,8,0)</f>
        <v>EUR</v>
      </c>
      <c r="H675" t="s">
        <v>173</v>
      </c>
      <c r="I675" t="str">
        <f>+VLOOKUP(H675,[1]Explore!$A:$I,9,0)</f>
        <v>EUR</v>
      </c>
      <c r="J675" t="str">
        <f t="shared" si="20"/>
        <v>OK</v>
      </c>
      <c r="K675" t="str">
        <f t="shared" si="21"/>
        <v>EUR</v>
      </c>
      <c r="L675" t="s">
        <v>27</v>
      </c>
      <c r="M675" t="str">
        <f>_xlfn.IFNA(VLOOKUP(K675,'Mapping DEF'!A:C,2,0),"")</f>
        <v>FX</v>
      </c>
      <c r="N675" t="str">
        <f>+_xlfn.IFNA(VLOOKUP(M675,'Mapping DEF'!B:C,2,FALSE),"")</f>
        <v>FX</v>
      </c>
      <c r="O675" t="s">
        <v>2771</v>
      </c>
    </row>
    <row r="676" spans="1:15" x14ac:dyDescent="0.25">
      <c r="A676" t="s">
        <v>2121</v>
      </c>
      <c r="B676" t="s">
        <v>2122</v>
      </c>
      <c r="C676">
        <v>2515</v>
      </c>
      <c r="D676" t="s">
        <v>2123</v>
      </c>
      <c r="E676" t="s">
        <v>1079</v>
      </c>
      <c r="F676" t="s">
        <v>966</v>
      </c>
      <c r="G676" t="str">
        <f>+VLOOKUP(F676,[1]Explore!$B:$I,8,0)</f>
        <v>EUR Inflation</v>
      </c>
      <c r="H676" t="s">
        <v>967</v>
      </c>
      <c r="I676" t="str">
        <f>+VLOOKUP(H676,[1]Explore!$A:$I,9,0)</f>
        <v>EUR Inflation</v>
      </c>
      <c r="J676" t="str">
        <f t="shared" si="20"/>
        <v>OK</v>
      </c>
      <c r="K676" t="str">
        <f t="shared" si="21"/>
        <v>EUR Inflation</v>
      </c>
      <c r="L676" t="s">
        <v>188</v>
      </c>
      <c r="M676" t="str">
        <f>_xlfn.IFNA(VLOOKUP(K676,'Mapping DEF'!A:C,2,0),"")</f>
        <v>Inflation</v>
      </c>
      <c r="N676" t="str">
        <f>+_xlfn.IFNA(VLOOKUP(M676,'Mapping DEF'!B:C,2,FALSE),"")</f>
        <v>Other</v>
      </c>
      <c r="O676" t="s">
        <v>2755</v>
      </c>
    </row>
    <row r="677" spans="1:15" x14ac:dyDescent="0.25">
      <c r="A677" t="s">
        <v>2121</v>
      </c>
      <c r="B677" t="s">
        <v>2122</v>
      </c>
      <c r="C677">
        <v>2515</v>
      </c>
      <c r="D677" t="s">
        <v>2123</v>
      </c>
      <c r="E677" t="s">
        <v>1080</v>
      </c>
      <c r="F677" t="s">
        <v>2618</v>
      </c>
      <c r="G677" t="str">
        <f>+VLOOKUP(F677,[1]Explore!$B:$I,8,0)</f>
        <v>Equity Implied Volatility</v>
      </c>
      <c r="H677" t="s">
        <v>144</v>
      </c>
      <c r="I677" t="str">
        <f>+VLOOKUP(H677,[1]Explore!$A:$I,9,0)</f>
        <v>Equity Implied Volatility</v>
      </c>
      <c r="J677" t="str">
        <f t="shared" si="20"/>
        <v>OK</v>
      </c>
      <c r="K677" t="str">
        <f t="shared" si="21"/>
        <v>Equity Implied Volatility</v>
      </c>
      <c r="L677" t="s">
        <v>2150</v>
      </c>
      <c r="M677" t="str">
        <f>_xlfn.IFNA(VLOOKUP(K677,'Mapping DEF'!A:C,2,0),"")</f>
        <v>Equity Derivatives</v>
      </c>
      <c r="N677" t="str">
        <f>+_xlfn.IFNA(VLOOKUP(M677,'Mapping DEF'!B:C,2,FALSE),"")</f>
        <v>Equity</v>
      </c>
      <c r="O677" t="s">
        <v>2803</v>
      </c>
    </row>
    <row r="678" spans="1:15" x14ac:dyDescent="0.25">
      <c r="A678" t="s">
        <v>2121</v>
      </c>
      <c r="B678" t="s">
        <v>2122</v>
      </c>
      <c r="C678">
        <v>2515</v>
      </c>
      <c r="D678" t="s">
        <v>2123</v>
      </c>
      <c r="E678" t="s">
        <v>1081</v>
      </c>
      <c r="F678" t="s">
        <v>989</v>
      </c>
      <c r="G678" t="str">
        <f>+VLOOKUP(F678,[1]Explore!$B:$I,8,0)</f>
        <v>Equity Implied Volatility</v>
      </c>
      <c r="H678" t="s">
        <v>990</v>
      </c>
      <c r="I678" t="str">
        <f>+VLOOKUP(H678,[1]Explore!$A:$I,9,0)</f>
        <v>Equity Implied Volatility</v>
      </c>
      <c r="J678" t="str">
        <f t="shared" si="20"/>
        <v>OK</v>
      </c>
      <c r="K678" t="str">
        <f t="shared" si="21"/>
        <v>Equity Implied Volatility</v>
      </c>
      <c r="L678" t="s">
        <v>8</v>
      </c>
      <c r="M678" t="str">
        <f>_xlfn.IFNA(VLOOKUP(K678,'Mapping DEF'!A:C,2,0),"")</f>
        <v>Equity Derivatives</v>
      </c>
      <c r="N678" t="str">
        <f>+_xlfn.IFNA(VLOOKUP(M678,'Mapping DEF'!B:C,2,FALSE),"")</f>
        <v>Equity</v>
      </c>
      <c r="O678" t="s">
        <v>2838</v>
      </c>
    </row>
    <row r="679" spans="1:15" x14ac:dyDescent="0.25">
      <c r="A679" t="s">
        <v>2121</v>
      </c>
      <c r="B679" t="s">
        <v>2122</v>
      </c>
      <c r="C679">
        <v>2515</v>
      </c>
      <c r="D679" t="s">
        <v>2123</v>
      </c>
      <c r="E679" t="s">
        <v>1082</v>
      </c>
      <c r="F679" t="s">
        <v>627</v>
      </c>
      <c r="G679" t="str">
        <f>+VLOOKUP(F679,[1]Explore!$B:$I,8,0)</f>
        <v>Corporate IG EUR - Other</v>
      </c>
      <c r="H679" t="s">
        <v>628</v>
      </c>
      <c r="I679" t="str">
        <f>+VLOOKUP(H679,[1]Explore!$A:$I,9,0)</f>
        <v>Corporate IG EUR - Other</v>
      </c>
      <c r="J679" t="str">
        <f t="shared" si="20"/>
        <v>OK</v>
      </c>
      <c r="K679" t="str">
        <f t="shared" si="21"/>
        <v>Corporate IG EUR - Other</v>
      </c>
      <c r="L679" t="s">
        <v>27</v>
      </c>
      <c r="M679" t="str">
        <f>_xlfn.IFNA(VLOOKUP(K679,'Mapping DEF'!A:C,2,0),"")</f>
        <v>Spread</v>
      </c>
      <c r="N679" t="str">
        <f>+_xlfn.IFNA(VLOOKUP(M679,'Mapping DEF'!B:C,2,FALSE),"")</f>
        <v>Spread</v>
      </c>
      <c r="O679" t="s">
        <v>2839</v>
      </c>
    </row>
    <row r="680" spans="1:15" x14ac:dyDescent="0.25">
      <c r="A680" t="s">
        <v>2121</v>
      </c>
      <c r="B680" t="s">
        <v>2122</v>
      </c>
      <c r="C680">
        <v>2515</v>
      </c>
      <c r="D680" t="s">
        <v>2123</v>
      </c>
      <c r="E680" t="s">
        <v>1083</v>
      </c>
      <c r="F680" t="s">
        <v>1084</v>
      </c>
      <c r="G680" t="str">
        <f>+VLOOKUP(F680,[1]Explore!$B:$I,8,0)</f>
        <v>Momentum</v>
      </c>
      <c r="H680" t="s">
        <v>1085</v>
      </c>
      <c r="I680" t="e">
        <f>+VLOOKUP(H680,[1]Explore!$A:$I,9,0)</f>
        <v>#N/A</v>
      </c>
      <c r="J680" t="str">
        <f t="shared" si="20"/>
        <v>OK</v>
      </c>
      <c r="K680" t="str">
        <f t="shared" si="21"/>
        <v>Momentum</v>
      </c>
      <c r="L680" t="s">
        <v>70</v>
      </c>
      <c r="M680" t="str">
        <f>_xlfn.IFNA(VLOOKUP(K680,'Mapping DEF'!A:C,2,0),"")</f>
        <v>Style</v>
      </c>
      <c r="N680" t="str">
        <f>+_xlfn.IFNA(VLOOKUP(M680,'Mapping DEF'!B:C,2,FALSE),"")</f>
        <v>Equity</v>
      </c>
      <c r="O680" t="s">
        <v>2785</v>
      </c>
    </row>
    <row r="681" spans="1:15" x14ac:dyDescent="0.25">
      <c r="A681" t="s">
        <v>2121</v>
      </c>
      <c r="B681" t="s">
        <v>2122</v>
      </c>
      <c r="C681">
        <v>2515</v>
      </c>
      <c r="D681" t="s">
        <v>2123</v>
      </c>
      <c r="E681" t="s">
        <v>1086</v>
      </c>
      <c r="F681" t="s">
        <v>1071</v>
      </c>
      <c r="G681" t="str">
        <f>+VLOOKUP(F681,[1]Explore!$B:$I,8,0)</f>
        <v>Govt EUR (Ger)</v>
      </c>
      <c r="H681" t="s">
        <v>1072</v>
      </c>
      <c r="I681" t="str">
        <f>+VLOOKUP(H681,[1]Explore!$A:$I,9,0)</f>
        <v>Govt EUR (Ger)</v>
      </c>
      <c r="J681" t="str">
        <f t="shared" si="20"/>
        <v>OK</v>
      </c>
      <c r="K681" t="str">
        <f t="shared" si="21"/>
        <v>Govt EUR (Ger)</v>
      </c>
      <c r="L681" t="s">
        <v>70</v>
      </c>
      <c r="M681" t="str">
        <f>_xlfn.IFNA(VLOOKUP(K681,'Mapping DEF'!A:C,2,0),"")</f>
        <v>Curve (Local)</v>
      </c>
      <c r="N681" t="str">
        <f>+_xlfn.IFNA(VLOOKUP(M681,'Mapping DEF'!B:C,2,FALSE),"")</f>
        <v>Term Structure</v>
      </c>
      <c r="O681" t="s">
        <v>2781</v>
      </c>
    </row>
    <row r="682" spans="1:15" x14ac:dyDescent="0.25">
      <c r="A682" t="s">
        <v>2121</v>
      </c>
      <c r="B682" t="s">
        <v>2122</v>
      </c>
      <c r="C682">
        <v>2515</v>
      </c>
      <c r="D682" t="s">
        <v>2123</v>
      </c>
      <c r="E682" t="s">
        <v>1087</v>
      </c>
      <c r="F682" t="s">
        <v>2194</v>
      </c>
      <c r="G682" t="str">
        <f>+VLOOKUP(F682,[1]Explore!$B:$I,8,0)</f>
        <v>Equity Implied Volatility</v>
      </c>
      <c r="H682" t="s">
        <v>985</v>
      </c>
      <c r="I682" t="e">
        <f>+VLOOKUP(H682,[1]Explore!$A:$I,9,0)</f>
        <v>#N/A</v>
      </c>
      <c r="J682" t="str">
        <f t="shared" si="20"/>
        <v>OK</v>
      </c>
      <c r="K682" t="str">
        <f t="shared" si="21"/>
        <v>Equity Implied Volatility</v>
      </c>
      <c r="L682" t="s">
        <v>75</v>
      </c>
      <c r="M682" t="str">
        <f>_xlfn.IFNA(VLOOKUP(K682,'Mapping DEF'!A:C,2,0),"")</f>
        <v>Equity Derivatives</v>
      </c>
      <c r="N682" t="str">
        <f>+_xlfn.IFNA(VLOOKUP(M682,'Mapping DEF'!B:C,2,FALSE),"")</f>
        <v>Equity</v>
      </c>
      <c r="O682" t="s">
        <v>2768</v>
      </c>
    </row>
    <row r="683" spans="1:15" x14ac:dyDescent="0.25">
      <c r="A683" s="4" t="s">
        <v>2195</v>
      </c>
      <c r="B683" s="4" t="s">
        <v>2196</v>
      </c>
      <c r="C683" s="5">
        <v>2472</v>
      </c>
      <c r="D683" s="6" t="s">
        <v>2197</v>
      </c>
      <c r="E683" t="s">
        <v>1088</v>
      </c>
      <c r="F683" t="s">
        <v>675</v>
      </c>
      <c r="G683" t="str">
        <f>+VLOOKUP(F683,[1]Explore!$B:$I,8,0)</f>
        <v>Alternative - Commodity</v>
      </c>
      <c r="H683" t="s">
        <v>676</v>
      </c>
      <c r="I683" t="str">
        <f>+VLOOKUP(H683,[1]Explore!$A:$I,9,0)</f>
        <v>Alternative - Commodity</v>
      </c>
      <c r="J683" t="str">
        <f t="shared" si="20"/>
        <v>OK</v>
      </c>
      <c r="K683" t="str">
        <f t="shared" si="21"/>
        <v>Alternative - Commodity</v>
      </c>
      <c r="L683" t="s">
        <v>8</v>
      </c>
      <c r="M683" t="str">
        <f>_xlfn.IFNA(VLOOKUP(K683,'Mapping DEF'!A:C,2,0),"")</f>
        <v>Alternative</v>
      </c>
      <c r="N683" t="str">
        <f>+_xlfn.IFNA(VLOOKUP(M683,'Mapping DEF'!B:C,2,FALSE),"")</f>
        <v>Other</v>
      </c>
      <c r="O683" t="s">
        <v>2811</v>
      </c>
    </row>
    <row r="684" spans="1:15" s="22" customFormat="1" x14ac:dyDescent="0.25">
      <c r="A684" s="19" t="s">
        <v>2195</v>
      </c>
      <c r="B684" s="19" t="s">
        <v>2196</v>
      </c>
      <c r="C684" s="20">
        <v>2472</v>
      </c>
      <c r="D684" s="21" t="s">
        <v>2197</v>
      </c>
      <c r="E684" s="23" t="s">
        <v>1089</v>
      </c>
      <c r="F684" s="23" t="s">
        <v>1090</v>
      </c>
      <c r="G684" s="23" t="e">
        <f>+VLOOKUP(F684,[1]Explore!$B:$I,8,0)</f>
        <v>#N/A</v>
      </c>
      <c r="H684" s="23" t="s">
        <v>1091</v>
      </c>
      <c r="I684" s="23" t="e">
        <f>+VLOOKUP(H684,[1]Explore!$A:$I,9,0)</f>
        <v>#N/A</v>
      </c>
      <c r="J684" s="23" t="str">
        <f t="shared" si="20"/>
        <v>BOTH #N/A</v>
      </c>
      <c r="K684" s="23" t="str">
        <f t="shared" si="21"/>
        <v>Alternative - Commodity</v>
      </c>
      <c r="L684" s="23" t="s">
        <v>2639</v>
      </c>
      <c r="M684" s="23" t="str">
        <f>_xlfn.IFNA(VLOOKUP(K684,'Mapping DEF'!A:C,2,0),"")</f>
        <v>Alternative</v>
      </c>
      <c r="N684" s="23" t="str">
        <f>+_xlfn.IFNA(VLOOKUP(M684,'Mapping DEF'!B:C,2,FALSE),"")</f>
        <v>Other</v>
      </c>
      <c r="O684" s="23" t="s">
        <v>2832</v>
      </c>
    </row>
    <row r="685" spans="1:15" x14ac:dyDescent="0.25">
      <c r="A685" s="4" t="s">
        <v>2195</v>
      </c>
      <c r="B685" s="4" t="s">
        <v>2196</v>
      </c>
      <c r="C685" s="5">
        <v>2472</v>
      </c>
      <c r="D685" s="6" t="s">
        <v>2197</v>
      </c>
      <c r="E685" s="24" t="s">
        <v>1043</v>
      </c>
      <c r="F685" s="24" t="s">
        <v>2942</v>
      </c>
      <c r="G685" s="24" t="str">
        <f>+VLOOKUP(F685,[1]Explore!$B:$I,8,0)</f>
        <v>EUR</v>
      </c>
      <c r="H685" s="24" t="s">
        <v>173</v>
      </c>
      <c r="I685" s="24" t="str">
        <f>+VLOOKUP(H685,[1]Explore!$A:$I,9,0)</f>
        <v>EUR</v>
      </c>
      <c r="J685" s="24" t="str">
        <f t="shared" si="20"/>
        <v>OK</v>
      </c>
      <c r="K685" s="24" t="str">
        <f t="shared" si="21"/>
        <v>EUR</v>
      </c>
      <c r="L685" s="24" t="s">
        <v>75</v>
      </c>
      <c r="M685" s="24" t="str">
        <f>_xlfn.IFNA(VLOOKUP(K685,'Mapping DEF'!A:C,2,0),"")</f>
        <v>FX</v>
      </c>
      <c r="N685" s="24" t="str">
        <f>+_xlfn.IFNA(VLOOKUP(M685,'Mapping DEF'!B:C,2,FALSE),"")</f>
        <v>FX</v>
      </c>
      <c r="O685" s="24" t="s">
        <v>2810</v>
      </c>
    </row>
    <row r="686" spans="1:15" x14ac:dyDescent="0.25">
      <c r="A686" s="4" t="s">
        <v>2195</v>
      </c>
      <c r="B686" s="4" t="s">
        <v>2196</v>
      </c>
      <c r="C686" s="5">
        <v>2472</v>
      </c>
      <c r="D686" s="6" t="s">
        <v>2197</v>
      </c>
      <c r="E686" s="24" t="s">
        <v>1095</v>
      </c>
      <c r="F686" s="24" t="s">
        <v>1096</v>
      </c>
      <c r="G686" s="24" t="str">
        <f>+VLOOKUP(F686,[1]Explore!$B:$I,8,0)</f>
        <v>EUR Inflation</v>
      </c>
      <c r="H686" s="24" t="s">
        <v>1097</v>
      </c>
      <c r="I686" s="24" t="str">
        <f>+VLOOKUP(H686,[1]Explore!$A:$I,9,0)</f>
        <v>EUR Inflation</v>
      </c>
      <c r="J686" s="24" t="str">
        <f t="shared" si="20"/>
        <v>OK</v>
      </c>
      <c r="K686" s="24" t="str">
        <f t="shared" si="21"/>
        <v>EUR Inflation</v>
      </c>
      <c r="L686" s="24" t="s">
        <v>93</v>
      </c>
      <c r="M686" s="24" t="str">
        <f>_xlfn.IFNA(VLOOKUP(K686,'Mapping DEF'!A:C,2,0),"")</f>
        <v>Inflation</v>
      </c>
      <c r="N686" s="24" t="str">
        <f>+_xlfn.IFNA(VLOOKUP(M686,'Mapping DEF'!B:C,2,FALSE),"")</f>
        <v>Other</v>
      </c>
      <c r="O686" s="24" t="s">
        <v>2752</v>
      </c>
    </row>
    <row r="687" spans="1:15" x14ac:dyDescent="0.25">
      <c r="A687" s="4" t="s">
        <v>2195</v>
      </c>
      <c r="B687" s="4" t="s">
        <v>2196</v>
      </c>
      <c r="C687" s="5">
        <v>2472</v>
      </c>
      <c r="D687" s="6" t="s">
        <v>2197</v>
      </c>
      <c r="E687" s="24" t="s">
        <v>1098</v>
      </c>
      <c r="F687" s="24" t="s">
        <v>832</v>
      </c>
      <c r="G687" s="24" t="str">
        <f>+VLOOKUP(F687,[1]Explore!$B:$I,8,0)</f>
        <v>Equity Implied Volatility</v>
      </c>
      <c r="H687" s="24" t="s">
        <v>833</v>
      </c>
      <c r="I687" s="24" t="str">
        <f>+VLOOKUP(H687,[1]Explore!$A:$I,9,0)</f>
        <v>Equity Implied Volatility</v>
      </c>
      <c r="J687" s="24" t="str">
        <f t="shared" si="20"/>
        <v>OK</v>
      </c>
      <c r="K687" s="24" t="str">
        <f t="shared" si="21"/>
        <v>Equity Implied Volatility</v>
      </c>
      <c r="L687" s="24" t="s">
        <v>93</v>
      </c>
      <c r="M687" s="24" t="str">
        <f>_xlfn.IFNA(VLOOKUP(K687,'Mapping DEF'!A:C,2,0),"")</f>
        <v>Equity Derivatives</v>
      </c>
      <c r="N687" s="24" t="str">
        <f>+_xlfn.IFNA(VLOOKUP(M687,'Mapping DEF'!B:C,2,FALSE),"")</f>
        <v>Equity</v>
      </c>
      <c r="O687" s="24" t="s">
        <v>2808</v>
      </c>
    </row>
    <row r="688" spans="1:15" x14ac:dyDescent="0.25">
      <c r="A688" s="4" t="s">
        <v>2195</v>
      </c>
      <c r="B688" s="4" t="s">
        <v>2196</v>
      </c>
      <c r="C688" s="5">
        <v>2472</v>
      </c>
      <c r="D688" s="6" t="s">
        <v>2197</v>
      </c>
      <c r="E688" s="24" t="s">
        <v>338</v>
      </c>
      <c r="F688" s="24" t="s">
        <v>191</v>
      </c>
      <c r="G688" s="24" t="e">
        <f>+VLOOKUP(F688,[1]Explore!$B:$I,8,0)</f>
        <v>#N/A</v>
      </c>
      <c r="H688" s="24" t="s">
        <v>192</v>
      </c>
      <c r="I688" s="24" t="e">
        <f>+VLOOKUP(H688,[1]Explore!$A:$I,9,0)</f>
        <v>#N/A</v>
      </c>
      <c r="J688" s="24" t="str">
        <f t="shared" si="20"/>
        <v>BOTH #N/A</v>
      </c>
      <c r="K688" s="24" t="str">
        <f t="shared" si="21"/>
        <v>Time</v>
      </c>
      <c r="L688" s="24" t="s">
        <v>191</v>
      </c>
      <c r="M688" s="24" t="str">
        <f>_xlfn.IFNA(VLOOKUP(K688,'Mapping DEF'!A:C,2,0),"")</f>
        <v>Time</v>
      </c>
      <c r="N688" s="24" t="str">
        <f>+_xlfn.IFNA(VLOOKUP(M688,'Mapping DEF'!B:C,2,FALSE),"")</f>
        <v>Other</v>
      </c>
      <c r="O688" s="24" t="s">
        <v>2817</v>
      </c>
    </row>
    <row r="689" spans="1:15" x14ac:dyDescent="0.25">
      <c r="A689" s="4" t="s">
        <v>2195</v>
      </c>
      <c r="B689" s="4" t="s">
        <v>2196</v>
      </c>
      <c r="C689" s="5">
        <v>2472</v>
      </c>
      <c r="D689" s="6" t="s">
        <v>2197</v>
      </c>
      <c r="E689" s="24" t="s">
        <v>1099</v>
      </c>
      <c r="F689" s="24" t="s">
        <v>340</v>
      </c>
      <c r="G689" s="24" t="str">
        <f>+VLOOKUP(F689,[1]Explore!$B:$I,8,0)</f>
        <v>Materials</v>
      </c>
      <c r="H689" s="24" t="s">
        <v>1100</v>
      </c>
      <c r="I689" s="24" t="e">
        <f>+VLOOKUP(H689,[1]Explore!$A:$I,9,0)</f>
        <v>#N/A</v>
      </c>
      <c r="J689" s="24" t="str">
        <f t="shared" si="20"/>
        <v>OK</v>
      </c>
      <c r="K689" s="24" t="str">
        <f t="shared" si="21"/>
        <v>Materials</v>
      </c>
      <c r="L689" s="24" t="s">
        <v>93</v>
      </c>
      <c r="M689" s="24" t="str">
        <f>_xlfn.IFNA(VLOOKUP(K689,'Mapping DEF'!A:C,2,0),"")</f>
        <v>Industry Allocation</v>
      </c>
      <c r="N689" s="24" t="str">
        <f>+_xlfn.IFNA(VLOOKUP(M689,'Mapping DEF'!B:C,2,FALSE),"")</f>
        <v>Equity</v>
      </c>
      <c r="O689" s="24" t="s">
        <v>2801</v>
      </c>
    </row>
    <row r="690" spans="1:15" x14ac:dyDescent="0.25">
      <c r="A690" s="4" t="s">
        <v>2195</v>
      </c>
      <c r="B690" s="4" t="s">
        <v>2196</v>
      </c>
      <c r="C690" s="5">
        <v>2472</v>
      </c>
      <c r="D690" s="6" t="s">
        <v>2197</v>
      </c>
      <c r="E690" s="24" t="s">
        <v>1101</v>
      </c>
      <c r="F690" s="24" t="s">
        <v>1102</v>
      </c>
      <c r="G690" s="24" t="str">
        <f>+VLOOKUP(F690,[1]Explore!$B:$I,8,0)</f>
        <v>Materials</v>
      </c>
      <c r="H690" s="24" t="s">
        <v>1103</v>
      </c>
      <c r="I690" s="24" t="e">
        <f>+VLOOKUP(H690,[1]Explore!$A:$I,9,0)</f>
        <v>#N/A</v>
      </c>
      <c r="J690" s="24" t="str">
        <f t="shared" si="20"/>
        <v>OK</v>
      </c>
      <c r="K690" s="24" t="str">
        <f t="shared" si="21"/>
        <v>Materials</v>
      </c>
      <c r="L690" s="24" t="s">
        <v>93</v>
      </c>
      <c r="M690" s="24" t="str">
        <f>_xlfn.IFNA(VLOOKUP(K690,'Mapping DEF'!A:C,2,0),"")</f>
        <v>Industry Allocation</v>
      </c>
      <c r="N690" s="24" t="str">
        <f>+_xlfn.IFNA(VLOOKUP(M690,'Mapping DEF'!B:C,2,FALSE),"")</f>
        <v>Equity</v>
      </c>
      <c r="O690" s="24" t="s">
        <v>2801</v>
      </c>
    </row>
    <row r="691" spans="1:15" x14ac:dyDescent="0.25">
      <c r="A691" s="4" t="s">
        <v>2195</v>
      </c>
      <c r="B691" s="4" t="s">
        <v>2196</v>
      </c>
      <c r="C691" s="5">
        <v>2472</v>
      </c>
      <c r="D691" s="6" t="s">
        <v>2197</v>
      </c>
      <c r="E691" s="24" t="s">
        <v>1104</v>
      </c>
      <c r="F691" s="24" t="s">
        <v>91</v>
      </c>
      <c r="G691" s="24" t="e">
        <f>+VLOOKUP(F691,[1]Explore!$B:$I,8,0)</f>
        <v>#N/A</v>
      </c>
      <c r="H691" s="24" t="s">
        <v>1105</v>
      </c>
      <c r="I691" s="24" t="e">
        <f>+VLOOKUP(H691,[1]Explore!$A:$I,9,0)</f>
        <v>#N/A</v>
      </c>
      <c r="J691" s="24" t="str">
        <f t="shared" si="20"/>
        <v>BOTH #N/A</v>
      </c>
      <c r="K691" s="24" t="str">
        <f t="shared" si="21"/>
        <v>Spread Yield</v>
      </c>
      <c r="L691" s="24" t="s">
        <v>188</v>
      </c>
      <c r="M691" s="24" t="str">
        <f>_xlfn.IFNA(VLOOKUP(K691,'Mapping DEF'!A:C,2,0),"")</f>
        <v>Spread Yield</v>
      </c>
      <c r="N691" s="24" t="str">
        <f>+_xlfn.IFNA(VLOOKUP(M691,'Mapping DEF'!B:C,2,FALSE),"")</f>
        <v>Spread</v>
      </c>
      <c r="O691" s="24" t="s">
        <v>2761</v>
      </c>
    </row>
    <row r="692" spans="1:15" x14ac:dyDescent="0.25">
      <c r="A692" s="4" t="s">
        <v>2195</v>
      </c>
      <c r="B692" s="4" t="s">
        <v>2196</v>
      </c>
      <c r="C692" s="5">
        <v>2472</v>
      </c>
      <c r="D692" s="6" t="s">
        <v>2197</v>
      </c>
      <c r="E692" s="24" t="s">
        <v>1106</v>
      </c>
      <c r="F692" s="24" t="s">
        <v>2929</v>
      </c>
      <c r="G692" s="24" t="str">
        <f>+VLOOKUP(F692,[1]Explore!$B:$I,8,0)</f>
        <v>Industrials</v>
      </c>
      <c r="H692" s="24" t="s">
        <v>1107</v>
      </c>
      <c r="I692" s="24" t="e">
        <f>+VLOOKUP(H692,[1]Explore!$A:$I,9,0)</f>
        <v>#N/A</v>
      </c>
      <c r="J692" s="24" t="str">
        <f t="shared" si="20"/>
        <v>OK</v>
      </c>
      <c r="K692" s="24" t="str">
        <f t="shared" si="21"/>
        <v>Industrials</v>
      </c>
      <c r="L692" s="24" t="s">
        <v>27</v>
      </c>
      <c r="M692" s="24" t="str">
        <f>_xlfn.IFNA(VLOOKUP(K692,'Mapping DEF'!A:C,2,0),"")</f>
        <v>Industry Allocation</v>
      </c>
      <c r="N692" s="24" t="str">
        <f>+_xlfn.IFNA(VLOOKUP(M692,'Mapping DEF'!B:C,2,FALSE),"")</f>
        <v>Equity</v>
      </c>
      <c r="O692" s="24" t="s">
        <v>2763</v>
      </c>
    </row>
    <row r="693" spans="1:15" x14ac:dyDescent="0.25">
      <c r="A693" s="4" t="s">
        <v>2195</v>
      </c>
      <c r="B693" s="4" t="s">
        <v>2196</v>
      </c>
      <c r="C693" s="5">
        <v>2472</v>
      </c>
      <c r="D693" s="6" t="s">
        <v>2197</v>
      </c>
      <c r="E693" s="24" t="s">
        <v>1108</v>
      </c>
      <c r="F693" s="24" t="s">
        <v>217</v>
      </c>
      <c r="G693" s="24" t="str">
        <f>+VLOOKUP(F693,[1]Explore!$B:$I,8,0)</f>
        <v>Utilities</v>
      </c>
      <c r="H693" s="24" t="s">
        <v>1109</v>
      </c>
      <c r="I693" s="24" t="e">
        <f>+VLOOKUP(H693,[1]Explore!$A:$I,9,0)</f>
        <v>#N/A</v>
      </c>
      <c r="J693" s="24" t="str">
        <f t="shared" si="20"/>
        <v>OK</v>
      </c>
      <c r="K693" s="24" t="str">
        <f t="shared" si="21"/>
        <v>Utilities</v>
      </c>
      <c r="L693" s="24" t="s">
        <v>70</v>
      </c>
      <c r="M693" s="24" t="str">
        <f>_xlfn.IFNA(VLOOKUP(K693,'Mapping DEF'!A:C,2,0),"")</f>
        <v>Industry Allocation</v>
      </c>
      <c r="N693" s="24" t="str">
        <f>+_xlfn.IFNA(VLOOKUP(M693,'Mapping DEF'!B:C,2,FALSE),"")</f>
        <v>Equity</v>
      </c>
      <c r="O693" s="24" t="s">
        <v>2802</v>
      </c>
    </row>
    <row r="694" spans="1:15" x14ac:dyDescent="0.25">
      <c r="A694" s="4" t="s">
        <v>2195</v>
      </c>
      <c r="B694" s="4" t="s">
        <v>2196</v>
      </c>
      <c r="C694" s="5">
        <v>2472</v>
      </c>
      <c r="D694" s="6" t="s">
        <v>2197</v>
      </c>
      <c r="E694" s="24" t="s">
        <v>1110</v>
      </c>
      <c r="F694" s="24" t="s">
        <v>1111</v>
      </c>
      <c r="G694" s="24" t="str">
        <f>+VLOOKUP(F694,[1]Explore!$B:$I,8,0)</f>
        <v>Corporate HY USD - Industry</v>
      </c>
      <c r="H694" s="24" t="s">
        <v>1112</v>
      </c>
      <c r="I694" s="24" t="str">
        <f>+VLOOKUP(H694,[1]Explore!$A:$I,9,0)</f>
        <v>Corporate HY USD - Industry</v>
      </c>
      <c r="J694" s="24" t="str">
        <f t="shared" si="20"/>
        <v>OK</v>
      </c>
      <c r="K694" s="24" t="str">
        <f t="shared" si="21"/>
        <v>Corporate HY USD - Industry</v>
      </c>
      <c r="L694" s="24" t="s">
        <v>70</v>
      </c>
      <c r="M694" s="24" t="str">
        <f>_xlfn.IFNA(VLOOKUP(K694,'Mapping DEF'!A:C,2,0),"")</f>
        <v>Spread</v>
      </c>
      <c r="N694" s="24" t="str">
        <f>+_xlfn.IFNA(VLOOKUP(M694,'Mapping DEF'!B:C,2,FALSE),"")</f>
        <v>Spread</v>
      </c>
      <c r="O694" s="24" t="s">
        <v>2773</v>
      </c>
    </row>
    <row r="695" spans="1:15" x14ac:dyDescent="0.25">
      <c r="A695" s="4" t="s">
        <v>2195</v>
      </c>
      <c r="B695" s="4" t="s">
        <v>2196</v>
      </c>
      <c r="C695" s="5">
        <v>2472</v>
      </c>
      <c r="D695" s="6" t="s">
        <v>2197</v>
      </c>
      <c r="E695" s="24" t="s">
        <v>1113</v>
      </c>
      <c r="F695" s="24" t="s">
        <v>826</v>
      </c>
      <c r="G695" s="24" t="str">
        <f>+VLOOKUP(F695,[1]Explore!$B:$I,8,0)</f>
        <v>Equity Implied Volatility</v>
      </c>
      <c r="H695" s="24" t="s">
        <v>433</v>
      </c>
      <c r="I695" s="24" t="e">
        <f>+VLOOKUP(H695,[1]Explore!$A:$I,9,0)</f>
        <v>#N/A</v>
      </c>
      <c r="J695" s="24" t="str">
        <f t="shared" si="20"/>
        <v>OK</v>
      </c>
      <c r="K695" s="24" t="str">
        <f t="shared" si="21"/>
        <v>Equity Implied Volatility</v>
      </c>
      <c r="L695" s="24" t="s">
        <v>27</v>
      </c>
      <c r="M695" s="24" t="str">
        <f>_xlfn.IFNA(VLOOKUP(K695,'Mapping DEF'!A:C,2,0),"")</f>
        <v>Equity Derivatives</v>
      </c>
      <c r="N695" s="24" t="str">
        <f>+_xlfn.IFNA(VLOOKUP(M695,'Mapping DEF'!B:C,2,FALSE),"")</f>
        <v>Equity</v>
      </c>
      <c r="O695" s="24" t="s">
        <v>2840</v>
      </c>
    </row>
    <row r="696" spans="1:15" x14ac:dyDescent="0.25">
      <c r="A696" s="4" t="s">
        <v>2198</v>
      </c>
      <c r="B696" s="4" t="s">
        <v>2199</v>
      </c>
      <c r="C696" s="5">
        <v>2471</v>
      </c>
      <c r="D696" s="6" t="s">
        <v>2200</v>
      </c>
      <c r="E696" s="24" t="s">
        <v>1114</v>
      </c>
      <c r="F696" s="24" t="s">
        <v>1115</v>
      </c>
      <c r="G696" s="24" t="str">
        <f>+VLOOKUP(F696,[1]Explore!$B:$I,8,0)</f>
        <v>Alternative - Commodity</v>
      </c>
      <c r="H696" s="24" t="s">
        <v>1116</v>
      </c>
      <c r="I696" s="24" t="str">
        <f>+VLOOKUP(H696,[1]Explore!$A:$I,9,0)</f>
        <v>Alternative - Commodity</v>
      </c>
      <c r="J696" s="24" t="str">
        <f t="shared" si="20"/>
        <v>OK</v>
      </c>
      <c r="K696" s="24" t="str">
        <f t="shared" si="21"/>
        <v>Alternative - Commodity</v>
      </c>
      <c r="L696" s="24" t="s">
        <v>8</v>
      </c>
      <c r="M696" s="24" t="str">
        <f>_xlfn.IFNA(VLOOKUP(K696,'Mapping DEF'!A:C,2,0),"")</f>
        <v>Alternative</v>
      </c>
      <c r="N696" s="24" t="str">
        <f>+_xlfn.IFNA(VLOOKUP(M696,'Mapping DEF'!B:C,2,FALSE),"")</f>
        <v>Other</v>
      </c>
      <c r="O696" s="24" t="s">
        <v>2792</v>
      </c>
    </row>
    <row r="697" spans="1:15" x14ac:dyDescent="0.25">
      <c r="A697" s="4" t="s">
        <v>2198</v>
      </c>
      <c r="B697" s="4" t="s">
        <v>2199</v>
      </c>
      <c r="C697" s="5">
        <v>2471</v>
      </c>
      <c r="D697" s="6" t="s">
        <v>2200</v>
      </c>
      <c r="E697" s="24" t="s">
        <v>1117</v>
      </c>
      <c r="F697" s="24" t="s">
        <v>1118</v>
      </c>
      <c r="G697" s="24" t="str">
        <f>+VLOOKUP(F697,[1]Explore!$B:$I,8,0)</f>
        <v>Alternative - Commodity</v>
      </c>
      <c r="H697" s="24" t="s">
        <v>1119</v>
      </c>
      <c r="I697" s="24" t="str">
        <f>+VLOOKUP(H697,[1]Explore!$A:$I,9,0)</f>
        <v>Alternative - Commodity</v>
      </c>
      <c r="J697" s="24" t="str">
        <f t="shared" si="20"/>
        <v>OK</v>
      </c>
      <c r="K697" s="24" t="str">
        <f t="shared" si="21"/>
        <v>Alternative - Commodity</v>
      </c>
      <c r="L697" s="24" t="s">
        <v>188</v>
      </c>
      <c r="M697" s="24" t="str">
        <f>_xlfn.IFNA(VLOOKUP(K697,'Mapping DEF'!A:C,2,0),"")</f>
        <v>Alternative</v>
      </c>
      <c r="N697" s="24" t="str">
        <f>+_xlfn.IFNA(VLOOKUP(M697,'Mapping DEF'!B:C,2,FALSE),"")</f>
        <v>Other</v>
      </c>
      <c r="O697" s="24" t="s">
        <v>2754</v>
      </c>
    </row>
    <row r="698" spans="1:15" x14ac:dyDescent="0.25">
      <c r="A698" s="4" t="s">
        <v>2198</v>
      </c>
      <c r="B698" s="4" t="s">
        <v>2199</v>
      </c>
      <c r="C698" s="5">
        <v>2471</v>
      </c>
      <c r="D698" s="6" t="s">
        <v>2200</v>
      </c>
      <c r="E698" s="24" t="s">
        <v>1120</v>
      </c>
      <c r="F698" s="24" t="s">
        <v>1090</v>
      </c>
      <c r="G698" s="24" t="e">
        <f>+VLOOKUP(F698,[1]Explore!$B:$I,8,0)</f>
        <v>#N/A</v>
      </c>
      <c r="H698" s="24" t="s">
        <v>1091</v>
      </c>
      <c r="I698" s="24" t="e">
        <f>+VLOOKUP(H698,[1]Explore!$A:$I,9,0)</f>
        <v>#N/A</v>
      </c>
      <c r="J698" s="24" t="str">
        <f t="shared" si="20"/>
        <v>BOTH #N/A</v>
      </c>
      <c r="K698" s="24" t="str">
        <f t="shared" si="21"/>
        <v>Alternative - Commodity</v>
      </c>
      <c r="L698" s="23" t="s">
        <v>2639</v>
      </c>
      <c r="M698" s="24" t="str">
        <f>_xlfn.IFNA(VLOOKUP(K698,'Mapping DEF'!A:C,2,0),"")</f>
        <v>Alternative</v>
      </c>
      <c r="N698" s="24" t="str">
        <f>+_xlfn.IFNA(VLOOKUP(M698,'Mapping DEF'!B:C,2,FALSE),"")</f>
        <v>Other</v>
      </c>
      <c r="O698" s="24" t="s">
        <v>2811</v>
      </c>
    </row>
    <row r="699" spans="1:15" x14ac:dyDescent="0.25">
      <c r="A699" s="4" t="s">
        <v>2198</v>
      </c>
      <c r="B699" s="4" t="s">
        <v>2199</v>
      </c>
      <c r="C699" s="5">
        <v>2471</v>
      </c>
      <c r="D699" s="6" t="s">
        <v>2200</v>
      </c>
      <c r="E699" t="s">
        <v>1121</v>
      </c>
      <c r="F699" t="s">
        <v>1096</v>
      </c>
      <c r="G699" t="str">
        <f>+VLOOKUP(F699,[1]Explore!$B:$I,8,0)</f>
        <v>EUR Inflation</v>
      </c>
      <c r="H699" t="s">
        <v>1097</v>
      </c>
      <c r="I699" t="str">
        <f>+VLOOKUP(H699,[1]Explore!$A:$I,9,0)</f>
        <v>EUR Inflation</v>
      </c>
      <c r="J699" t="str">
        <f t="shared" si="20"/>
        <v>OK</v>
      </c>
      <c r="K699" t="str">
        <f t="shared" si="21"/>
        <v>EUR Inflation</v>
      </c>
      <c r="L699" t="s">
        <v>93</v>
      </c>
      <c r="M699" t="str">
        <f>_xlfn.IFNA(VLOOKUP(K699,'Mapping DEF'!A:C,2,0),"")</f>
        <v>Inflation</v>
      </c>
      <c r="N699" t="str">
        <f>+_xlfn.IFNA(VLOOKUP(M699,'Mapping DEF'!B:C,2,FALSE),"")</f>
        <v>Other</v>
      </c>
      <c r="O699" t="s">
        <v>2774</v>
      </c>
    </row>
    <row r="700" spans="1:15" x14ac:dyDescent="0.25">
      <c r="A700" s="4" t="s">
        <v>2198</v>
      </c>
      <c r="B700" s="4" t="s">
        <v>2199</v>
      </c>
      <c r="C700" s="5">
        <v>2471</v>
      </c>
      <c r="D700" s="6" t="s">
        <v>2200</v>
      </c>
      <c r="E700" t="s">
        <v>1122</v>
      </c>
      <c r="F700" t="s">
        <v>1123</v>
      </c>
      <c r="G700" t="str">
        <f>+VLOOKUP(F700,[1]Explore!$B:$I,8,0)</f>
        <v>Corporate IG EUR - Industry</v>
      </c>
      <c r="H700" t="s">
        <v>1124</v>
      </c>
      <c r="I700" t="str">
        <f>+VLOOKUP(H700,[1]Explore!$A:$I,9,0)</f>
        <v>Corporate IG EUR - Industry</v>
      </c>
      <c r="J700" t="str">
        <f t="shared" si="20"/>
        <v>OK</v>
      </c>
      <c r="K700" t="str">
        <f t="shared" si="21"/>
        <v>Corporate IG EUR - Industry</v>
      </c>
      <c r="L700" t="s">
        <v>93</v>
      </c>
      <c r="M700" t="str">
        <f>_xlfn.IFNA(VLOOKUP(K700,'Mapping DEF'!A:C,2,0),"")</f>
        <v>Spread</v>
      </c>
      <c r="N700" t="str">
        <f>+_xlfn.IFNA(VLOOKUP(M700,'Mapping DEF'!B:C,2,FALSE),"")</f>
        <v>Spread</v>
      </c>
      <c r="O700" t="s">
        <v>2791</v>
      </c>
    </row>
    <row r="701" spans="1:15" x14ac:dyDescent="0.25">
      <c r="A701" s="4" t="s">
        <v>2198</v>
      </c>
      <c r="B701" s="4" t="s">
        <v>2199</v>
      </c>
      <c r="C701" s="5">
        <v>2471</v>
      </c>
      <c r="D701" s="6" t="s">
        <v>2200</v>
      </c>
      <c r="E701" t="s">
        <v>338</v>
      </c>
      <c r="F701" t="s">
        <v>191</v>
      </c>
      <c r="G701" t="e">
        <f>+VLOOKUP(F701,[1]Explore!$B:$I,8,0)</f>
        <v>#N/A</v>
      </c>
      <c r="H701" t="s">
        <v>192</v>
      </c>
      <c r="I701" t="e">
        <f>+VLOOKUP(H701,[1]Explore!$A:$I,9,0)</f>
        <v>#N/A</v>
      </c>
      <c r="J701" t="str">
        <f t="shared" si="20"/>
        <v>BOTH #N/A</v>
      </c>
      <c r="K701" t="str">
        <f t="shared" si="21"/>
        <v>Time</v>
      </c>
      <c r="L701" t="s">
        <v>191</v>
      </c>
      <c r="M701" t="str">
        <f>_xlfn.IFNA(VLOOKUP(K701,'Mapping DEF'!A:C,2,0),"")</f>
        <v>Time</v>
      </c>
      <c r="N701" t="str">
        <f>+_xlfn.IFNA(VLOOKUP(M701,'Mapping DEF'!B:C,2,FALSE),"")</f>
        <v>Other</v>
      </c>
      <c r="O701" t="s">
        <v>2817</v>
      </c>
    </row>
    <row r="702" spans="1:15" x14ac:dyDescent="0.25">
      <c r="A702" s="4" t="s">
        <v>2198</v>
      </c>
      <c r="B702" s="4" t="s">
        <v>2199</v>
      </c>
      <c r="C702" s="5">
        <v>2471</v>
      </c>
      <c r="D702" s="6" t="s">
        <v>2200</v>
      </c>
      <c r="E702" t="s">
        <v>1125</v>
      </c>
      <c r="F702" t="s">
        <v>95</v>
      </c>
      <c r="G702" t="str">
        <f>+VLOOKUP(F702,[1]Explore!$B:$I,8,0)</f>
        <v>Industrials</v>
      </c>
      <c r="H702" t="s">
        <v>1126</v>
      </c>
      <c r="I702" t="e">
        <f>+VLOOKUP(H702,[1]Explore!$A:$I,9,0)</f>
        <v>#N/A</v>
      </c>
      <c r="J702" t="str">
        <f t="shared" si="20"/>
        <v>OK</v>
      </c>
      <c r="K702" t="str">
        <f t="shared" si="21"/>
        <v>Industrials</v>
      </c>
      <c r="L702" t="s">
        <v>93</v>
      </c>
      <c r="M702" t="str">
        <f>_xlfn.IFNA(VLOOKUP(K702,'Mapping DEF'!A:C,2,0),"")</f>
        <v>Industry Allocation</v>
      </c>
      <c r="N702" t="str">
        <f>+_xlfn.IFNA(VLOOKUP(M702,'Mapping DEF'!B:C,2,FALSE),"")</f>
        <v>Equity</v>
      </c>
      <c r="O702" t="s">
        <v>2816</v>
      </c>
    </row>
    <row r="703" spans="1:15" x14ac:dyDescent="0.25">
      <c r="A703" s="4" t="s">
        <v>2198</v>
      </c>
      <c r="B703" s="4" t="s">
        <v>2199</v>
      </c>
      <c r="C703" s="5">
        <v>2471</v>
      </c>
      <c r="D703" s="6" t="s">
        <v>2200</v>
      </c>
      <c r="E703" t="s">
        <v>1127</v>
      </c>
      <c r="F703" t="s">
        <v>293</v>
      </c>
      <c r="G703" t="e">
        <f>+VLOOKUP(F703,[1]Explore!$B:$I,8,0)</f>
        <v>#N/A</v>
      </c>
      <c r="H703" t="s">
        <v>1128</v>
      </c>
      <c r="I703" t="e">
        <f>+VLOOKUP(H703,[1]Explore!$A:$I,9,0)</f>
        <v>#N/A</v>
      </c>
      <c r="J703" t="str">
        <f t="shared" si="20"/>
        <v>BOTH #N/A</v>
      </c>
      <c r="K703" t="str">
        <f t="shared" si="21"/>
        <v>Industrials</v>
      </c>
      <c r="L703" t="s">
        <v>1206</v>
      </c>
      <c r="M703" t="str">
        <f>_xlfn.IFNA(VLOOKUP(K703,'Mapping DEF'!A:C,2,0),"")</f>
        <v>Industry Allocation</v>
      </c>
      <c r="N703" t="str">
        <f>+_xlfn.IFNA(VLOOKUP(M703,'Mapping DEF'!B:C,2,FALSE),"")</f>
        <v>Equity</v>
      </c>
      <c r="O703" t="s">
        <v>2753</v>
      </c>
    </row>
    <row r="704" spans="1:15" x14ac:dyDescent="0.25">
      <c r="A704" s="4" t="s">
        <v>2198</v>
      </c>
      <c r="B704" s="4" t="s">
        <v>2199</v>
      </c>
      <c r="C704" s="5">
        <v>2471</v>
      </c>
      <c r="D704" s="6" t="s">
        <v>2200</v>
      </c>
      <c r="E704" t="s">
        <v>1129</v>
      </c>
      <c r="F704" t="s">
        <v>775</v>
      </c>
      <c r="G704" t="e">
        <f>+VLOOKUP(F704,[1]Explore!$B:$I,8,0)</f>
        <v>#N/A</v>
      </c>
      <c r="H704" t="s">
        <v>776</v>
      </c>
      <c r="I704" t="e">
        <f>+VLOOKUP(H704,[1]Explore!$A:$I,9,0)</f>
        <v>#N/A</v>
      </c>
      <c r="J704" t="str">
        <f t="shared" si="20"/>
        <v>BOTH #N/A</v>
      </c>
      <c r="K704" t="str">
        <f t="shared" si="21"/>
        <v>Industrials</v>
      </c>
      <c r="L704" t="s">
        <v>1206</v>
      </c>
      <c r="M704" t="str">
        <f>_xlfn.IFNA(VLOOKUP(K704,'Mapping DEF'!A:C,2,0),"")</f>
        <v>Industry Allocation</v>
      </c>
      <c r="N704" t="str">
        <f>+_xlfn.IFNA(VLOOKUP(M704,'Mapping DEF'!B:C,2,FALSE),"")</f>
        <v>Equity</v>
      </c>
      <c r="O704" t="s">
        <v>2819</v>
      </c>
    </row>
    <row r="705" spans="1:15" x14ac:dyDescent="0.25">
      <c r="A705" s="4" t="s">
        <v>2198</v>
      </c>
      <c r="B705" s="4" t="s">
        <v>2199</v>
      </c>
      <c r="C705" s="5">
        <v>2471</v>
      </c>
      <c r="D705" s="6" t="s">
        <v>2200</v>
      </c>
      <c r="E705" t="s">
        <v>1130</v>
      </c>
      <c r="F705" t="s">
        <v>1131</v>
      </c>
      <c r="G705" t="e">
        <f>+VLOOKUP(F705,[1]Explore!$B:$I,8,0)</f>
        <v>#N/A</v>
      </c>
      <c r="H705" t="s">
        <v>1132</v>
      </c>
      <c r="I705" t="e">
        <f>+VLOOKUP(H705,[1]Explore!$A:$I,9,0)</f>
        <v>#N/A</v>
      </c>
      <c r="J705" t="str">
        <f t="shared" si="20"/>
        <v>BOTH #N/A</v>
      </c>
      <c r="K705" t="str">
        <f t="shared" si="21"/>
        <v>Spread Yield</v>
      </c>
      <c r="L705" t="s">
        <v>188</v>
      </c>
      <c r="M705" t="str">
        <f>_xlfn.IFNA(VLOOKUP(K705,'Mapping DEF'!A:C,2,0),"")</f>
        <v>Spread Yield</v>
      </c>
      <c r="N705" t="str">
        <f>+_xlfn.IFNA(VLOOKUP(M705,'Mapping DEF'!B:C,2,FALSE),"")</f>
        <v>Spread</v>
      </c>
      <c r="O705" t="s">
        <v>2763</v>
      </c>
    </row>
    <row r="706" spans="1:15" x14ac:dyDescent="0.25">
      <c r="A706" s="4" t="s">
        <v>2198</v>
      </c>
      <c r="B706" s="4" t="s">
        <v>2199</v>
      </c>
      <c r="C706" s="5">
        <v>2471</v>
      </c>
      <c r="D706" s="6" t="s">
        <v>2200</v>
      </c>
      <c r="E706" t="s">
        <v>1133</v>
      </c>
      <c r="F706" t="s">
        <v>116</v>
      </c>
      <c r="G706" t="e">
        <f>+VLOOKUP(F706,[1]Explore!$B:$I,8,0)</f>
        <v>#N/A</v>
      </c>
      <c r="H706" t="s">
        <v>1134</v>
      </c>
      <c r="I706" t="e">
        <f>+VLOOKUP(H706,[1]Explore!$A:$I,9,0)</f>
        <v>#N/A</v>
      </c>
      <c r="J706" t="str">
        <f t="shared" si="20"/>
        <v>BOTH #N/A</v>
      </c>
      <c r="K706" t="str">
        <f t="shared" si="21"/>
        <v>Information Technology</v>
      </c>
      <c r="L706" t="s">
        <v>2679</v>
      </c>
      <c r="M706" t="str">
        <f>_xlfn.IFNA(VLOOKUP(K706,'Mapping DEF'!A:C,2,0),"")</f>
        <v>Industry Allocation</v>
      </c>
      <c r="N706" t="str">
        <f>+_xlfn.IFNA(VLOOKUP(M706,'Mapping DEF'!B:C,2,FALSE),"")</f>
        <v>Equity</v>
      </c>
      <c r="O706" t="s">
        <v>2754</v>
      </c>
    </row>
    <row r="707" spans="1:15" x14ac:dyDescent="0.25">
      <c r="A707" s="4" t="s">
        <v>2198</v>
      </c>
      <c r="B707" s="4" t="s">
        <v>2199</v>
      </c>
      <c r="C707" s="5">
        <v>2471</v>
      </c>
      <c r="D707" s="6" t="s">
        <v>2200</v>
      </c>
      <c r="E707" t="s">
        <v>1135</v>
      </c>
      <c r="F707" t="s">
        <v>1136</v>
      </c>
      <c r="G707" t="e">
        <f>+VLOOKUP(F707,[1]Explore!$B:$I,8,0)</f>
        <v>#N/A</v>
      </c>
      <c r="H707" t="s">
        <v>1137</v>
      </c>
      <c r="I707" t="str">
        <f>+VLOOKUP(H707,[1]Explore!$A:$I,9,0)</f>
        <v>Energy</v>
      </c>
      <c r="J707" t="str">
        <f t="shared" ref="J707:J770" si="22">IF(AND(ISNA(G707),ISNA(I707)),"BOTH #N/A","OK")</f>
        <v>OK</v>
      </c>
      <c r="K707" t="str">
        <f t="shared" ref="K707:K770" si="23">IFERROR(I707, IFERROR(G707, L707))</f>
        <v>Energy</v>
      </c>
      <c r="L707" t="s">
        <v>70</v>
      </c>
      <c r="M707" t="str">
        <f>_xlfn.IFNA(VLOOKUP(K707,'Mapping DEF'!A:C,2,0),"")</f>
        <v>Industry Allocation</v>
      </c>
      <c r="N707" t="str">
        <f>+_xlfn.IFNA(VLOOKUP(M707,'Mapping DEF'!B:C,2,FALSE),"")</f>
        <v>Equity</v>
      </c>
      <c r="O707" t="s">
        <v>2763</v>
      </c>
    </row>
    <row r="708" spans="1:15" x14ac:dyDescent="0.25">
      <c r="A708" s="4" t="s">
        <v>2198</v>
      </c>
      <c r="B708" s="4" t="s">
        <v>2199</v>
      </c>
      <c r="C708" s="5">
        <v>2471</v>
      </c>
      <c r="D708" s="6" t="s">
        <v>2200</v>
      </c>
      <c r="E708" t="s">
        <v>1138</v>
      </c>
      <c r="F708" t="s">
        <v>1111</v>
      </c>
      <c r="G708" t="str">
        <f>+VLOOKUP(F708,[1]Explore!$B:$I,8,0)</f>
        <v>Corporate HY USD - Industry</v>
      </c>
      <c r="H708" t="s">
        <v>1112</v>
      </c>
      <c r="I708" t="str">
        <f>+VLOOKUP(H708,[1]Explore!$A:$I,9,0)</f>
        <v>Corporate HY USD - Industry</v>
      </c>
      <c r="J708" t="str">
        <f t="shared" si="22"/>
        <v>OK</v>
      </c>
      <c r="K708" t="str">
        <f t="shared" si="23"/>
        <v>Corporate HY USD - Industry</v>
      </c>
      <c r="L708" t="s">
        <v>75</v>
      </c>
      <c r="M708" t="str">
        <f>_xlfn.IFNA(VLOOKUP(K708,'Mapping DEF'!A:C,2,0),"")</f>
        <v>Spread</v>
      </c>
      <c r="N708" t="str">
        <f>+_xlfn.IFNA(VLOOKUP(M708,'Mapping DEF'!B:C,2,FALSE),"")</f>
        <v>Spread</v>
      </c>
      <c r="O708" t="s">
        <v>2755</v>
      </c>
    </row>
    <row r="709" spans="1:15" x14ac:dyDescent="0.25">
      <c r="A709" s="4" t="s">
        <v>2201</v>
      </c>
      <c r="B709" s="4" t="s">
        <v>2202</v>
      </c>
      <c r="C709" s="5">
        <v>2473</v>
      </c>
      <c r="D709" s="6" t="s">
        <v>2203</v>
      </c>
      <c r="E709" t="s">
        <v>1139</v>
      </c>
      <c r="F709" t="s">
        <v>19</v>
      </c>
      <c r="G709" t="str">
        <f>+VLOOKUP(F709,[1]Explore!$B:$I,8,0)</f>
        <v>Govt USD</v>
      </c>
      <c r="H709" t="s">
        <v>20</v>
      </c>
      <c r="I709" t="str">
        <f>+VLOOKUP(H709,[1]Explore!$A:$I,9,0)</f>
        <v>Govt USD</v>
      </c>
      <c r="J709" t="str">
        <f t="shared" si="22"/>
        <v>OK</v>
      </c>
      <c r="K709" t="str">
        <f t="shared" si="23"/>
        <v>Govt USD</v>
      </c>
      <c r="L709" t="s">
        <v>8</v>
      </c>
      <c r="M709" t="str">
        <f>_xlfn.IFNA(VLOOKUP(K709,'Mapping DEF'!A:C,2,0),"")</f>
        <v>Curve (Local)</v>
      </c>
      <c r="N709" t="str">
        <f>+_xlfn.IFNA(VLOOKUP(M709,'Mapping DEF'!B:C,2,FALSE),"")</f>
        <v>Term Structure</v>
      </c>
      <c r="O709" t="s">
        <v>2781</v>
      </c>
    </row>
    <row r="710" spans="1:15" x14ac:dyDescent="0.25">
      <c r="A710" s="4" t="s">
        <v>2201</v>
      </c>
      <c r="B710" s="4" t="s">
        <v>2202</v>
      </c>
      <c r="C710" s="5">
        <v>2473</v>
      </c>
      <c r="D710" s="6" t="s">
        <v>2203</v>
      </c>
      <c r="E710" t="s">
        <v>1140</v>
      </c>
      <c r="F710" t="s">
        <v>1141</v>
      </c>
      <c r="G710" t="str">
        <f>+VLOOKUP(F710,[1]Explore!$B:$I,8,0)</f>
        <v>Alternative - Commodity</v>
      </c>
      <c r="H710" t="s">
        <v>1142</v>
      </c>
      <c r="I710" t="str">
        <f>+VLOOKUP(H710,[1]Explore!$A:$I,9,0)</f>
        <v>Alternative - Commodity</v>
      </c>
      <c r="J710" t="str">
        <f t="shared" si="22"/>
        <v>OK</v>
      </c>
      <c r="K710" t="str">
        <f t="shared" si="23"/>
        <v>Alternative - Commodity</v>
      </c>
      <c r="L710" t="s">
        <v>27</v>
      </c>
      <c r="M710" t="str">
        <f>_xlfn.IFNA(VLOOKUP(K710,'Mapping DEF'!A:C,2,0),"")</f>
        <v>Alternative</v>
      </c>
      <c r="N710" t="str">
        <f>+_xlfn.IFNA(VLOOKUP(M710,'Mapping DEF'!B:C,2,FALSE),"")</f>
        <v>Other</v>
      </c>
      <c r="O710" t="s">
        <v>2792</v>
      </c>
    </row>
    <row r="711" spans="1:15" x14ac:dyDescent="0.25">
      <c r="A711" s="4" t="s">
        <v>2201</v>
      </c>
      <c r="B711" s="4" t="s">
        <v>2202</v>
      </c>
      <c r="C711" s="5">
        <v>2473</v>
      </c>
      <c r="D711" s="6" t="s">
        <v>2203</v>
      </c>
      <c r="E711" t="s">
        <v>1143</v>
      </c>
      <c r="F711" t="s">
        <v>1144</v>
      </c>
      <c r="G711" t="e">
        <f>+VLOOKUP(F711,[1]Explore!$B:$I,8,0)</f>
        <v>#N/A</v>
      </c>
      <c r="H711" t="s">
        <v>1145</v>
      </c>
      <c r="I711" t="str">
        <f>+VLOOKUP(H711,[1]Explore!$A:$I,9,0)</f>
        <v>Emerging Currency</v>
      </c>
      <c r="J711" t="str">
        <f t="shared" si="22"/>
        <v>OK</v>
      </c>
      <c r="K711" t="str">
        <f t="shared" si="23"/>
        <v>Emerging Currency</v>
      </c>
      <c r="L711" t="s">
        <v>75</v>
      </c>
      <c r="M711" t="str">
        <f>_xlfn.IFNA(VLOOKUP(K711,'Mapping DEF'!A:C,2,0),"")</f>
        <v>FX</v>
      </c>
      <c r="N711" t="str">
        <f>+_xlfn.IFNA(VLOOKUP(M711,'Mapping DEF'!B:C,2,FALSE),"")</f>
        <v>FX</v>
      </c>
      <c r="O711" t="s">
        <v>2760</v>
      </c>
    </row>
    <row r="712" spans="1:15" x14ac:dyDescent="0.25">
      <c r="A712" s="4" t="s">
        <v>2201</v>
      </c>
      <c r="B712" s="4" t="s">
        <v>2202</v>
      </c>
      <c r="C712" s="5">
        <v>2473</v>
      </c>
      <c r="D712" s="6" t="s">
        <v>2203</v>
      </c>
      <c r="E712" t="s">
        <v>1146</v>
      </c>
      <c r="F712" t="s">
        <v>966</v>
      </c>
      <c r="G712" t="str">
        <f>+VLOOKUP(F712,[1]Explore!$B:$I,8,0)</f>
        <v>EUR Inflation</v>
      </c>
      <c r="H712" t="s">
        <v>967</v>
      </c>
      <c r="I712" t="str">
        <f>+VLOOKUP(H712,[1]Explore!$A:$I,9,0)</f>
        <v>EUR Inflation</v>
      </c>
      <c r="J712" t="str">
        <f t="shared" si="22"/>
        <v>OK</v>
      </c>
      <c r="K712" t="str">
        <f t="shared" si="23"/>
        <v>EUR Inflation</v>
      </c>
      <c r="L712" t="s">
        <v>93</v>
      </c>
      <c r="M712" t="str">
        <f>_xlfn.IFNA(VLOOKUP(K712,'Mapping DEF'!A:C,2,0),"")</f>
        <v>Inflation</v>
      </c>
      <c r="N712" t="str">
        <f>+_xlfn.IFNA(VLOOKUP(M712,'Mapping DEF'!B:C,2,FALSE),"")</f>
        <v>Other</v>
      </c>
      <c r="O712" t="s">
        <v>2841</v>
      </c>
    </row>
    <row r="713" spans="1:15" x14ac:dyDescent="0.25">
      <c r="A713" s="4" t="s">
        <v>2201</v>
      </c>
      <c r="B713" s="4" t="s">
        <v>2202</v>
      </c>
      <c r="C713" s="5">
        <v>2473</v>
      </c>
      <c r="D713" s="6" t="s">
        <v>2203</v>
      </c>
      <c r="E713" t="s">
        <v>1147</v>
      </c>
      <c r="F713" t="s">
        <v>392</v>
      </c>
      <c r="G713" t="str">
        <f>+VLOOKUP(F713,[1]Explore!$B:$I,8,0)</f>
        <v>Equity Implied Volatility</v>
      </c>
      <c r="H713" t="s">
        <v>392</v>
      </c>
      <c r="I713" t="str">
        <f>+VLOOKUP(H713,[1]Explore!$A:$I,9,0)</f>
        <v>Equity Implied Volatility</v>
      </c>
      <c r="J713" t="str">
        <f t="shared" si="22"/>
        <v>OK</v>
      </c>
      <c r="K713" t="str">
        <f t="shared" si="23"/>
        <v>Equity Implied Volatility</v>
      </c>
      <c r="L713" t="s">
        <v>27</v>
      </c>
      <c r="M713" t="str">
        <f>_xlfn.IFNA(VLOOKUP(K713,'Mapping DEF'!A:C,2,0),"")</f>
        <v>Equity Derivatives</v>
      </c>
      <c r="N713" t="str">
        <f>+_xlfn.IFNA(VLOOKUP(M713,'Mapping DEF'!B:C,2,FALSE),"")</f>
        <v>Equity</v>
      </c>
      <c r="O713" t="s">
        <v>2838</v>
      </c>
    </row>
    <row r="714" spans="1:15" x14ac:dyDescent="0.25">
      <c r="A714" s="4" t="s">
        <v>2201</v>
      </c>
      <c r="B714" s="4" t="s">
        <v>2202</v>
      </c>
      <c r="C714" s="5">
        <v>2473</v>
      </c>
      <c r="D714" s="6" t="s">
        <v>2203</v>
      </c>
      <c r="E714" t="s">
        <v>338</v>
      </c>
      <c r="F714" t="s">
        <v>191</v>
      </c>
      <c r="G714" t="e">
        <f>+VLOOKUP(F714,[1]Explore!$B:$I,8,0)</f>
        <v>#N/A</v>
      </c>
      <c r="H714" t="s">
        <v>192</v>
      </c>
      <c r="I714" t="e">
        <f>+VLOOKUP(H714,[1]Explore!$A:$I,9,0)</f>
        <v>#N/A</v>
      </c>
      <c r="J714" t="str">
        <f t="shared" si="22"/>
        <v>BOTH #N/A</v>
      </c>
      <c r="K714" t="str">
        <f t="shared" si="23"/>
        <v>Time</v>
      </c>
      <c r="L714" t="s">
        <v>191</v>
      </c>
      <c r="M714" t="str">
        <f>_xlfn.IFNA(VLOOKUP(K714,'Mapping DEF'!A:C,2,0),"")</f>
        <v>Time</v>
      </c>
      <c r="N714" t="str">
        <f>+_xlfn.IFNA(VLOOKUP(M714,'Mapping DEF'!B:C,2,FALSE),"")</f>
        <v>Other</v>
      </c>
      <c r="O714" t="s">
        <v>2817</v>
      </c>
    </row>
    <row r="715" spans="1:15" x14ac:dyDescent="0.25">
      <c r="A715" s="4" t="s">
        <v>2201</v>
      </c>
      <c r="B715" s="4" t="s">
        <v>2202</v>
      </c>
      <c r="C715" s="5">
        <v>2473</v>
      </c>
      <c r="D715" s="6" t="s">
        <v>2203</v>
      </c>
      <c r="E715" t="s">
        <v>1148</v>
      </c>
      <c r="F715" t="s">
        <v>1149</v>
      </c>
      <c r="G715" t="e">
        <f>+VLOOKUP(F715,[1]Explore!$B:$I,8,0)</f>
        <v>#N/A</v>
      </c>
      <c r="H715" t="s">
        <v>1150</v>
      </c>
      <c r="I715" t="e">
        <f>+VLOOKUP(H715,[1]Explore!$A:$I,9,0)</f>
        <v>#N/A</v>
      </c>
      <c r="J715" t="str">
        <f t="shared" si="22"/>
        <v>BOTH #N/A</v>
      </c>
      <c r="K715" t="str">
        <f t="shared" si="23"/>
        <v>Materials</v>
      </c>
      <c r="L715" t="s">
        <v>748</v>
      </c>
      <c r="M715" t="str">
        <f>_xlfn.IFNA(VLOOKUP(K715,'Mapping DEF'!A:C,2,0),"")</f>
        <v>Industry Allocation</v>
      </c>
      <c r="N715" t="str">
        <f>+_xlfn.IFNA(VLOOKUP(M715,'Mapping DEF'!B:C,2,FALSE),"")</f>
        <v>Equity</v>
      </c>
      <c r="O715" t="s">
        <v>2768</v>
      </c>
    </row>
    <row r="716" spans="1:15" x14ac:dyDescent="0.25">
      <c r="A716" s="4" t="s">
        <v>2201</v>
      </c>
      <c r="B716" s="4" t="s">
        <v>2202</v>
      </c>
      <c r="C716" s="5">
        <v>2473</v>
      </c>
      <c r="D716" s="6" t="s">
        <v>2203</v>
      </c>
      <c r="E716" t="s">
        <v>429</v>
      </c>
      <c r="F716" t="s">
        <v>430</v>
      </c>
      <c r="G716" t="str">
        <f>+VLOOKUP(F716,[1]Explore!$B:$I,8,0)</f>
        <v>Other - Index</v>
      </c>
      <c r="H716" t="s">
        <v>431</v>
      </c>
      <c r="I716" t="str">
        <f>+VLOOKUP(H716,[1]Explore!$A:$I,9,0)</f>
        <v>Other - Index</v>
      </c>
      <c r="J716" t="str">
        <f t="shared" si="22"/>
        <v>OK</v>
      </c>
      <c r="K716" t="str">
        <f t="shared" si="23"/>
        <v>Other - Index</v>
      </c>
      <c r="L716" t="s">
        <v>27</v>
      </c>
      <c r="M716" t="str">
        <f>_xlfn.IFNA(VLOOKUP(K716,'Mapping DEF'!A:C,2,0),"")</f>
        <v>Other</v>
      </c>
      <c r="N716" t="str">
        <f>+_xlfn.IFNA(VLOOKUP(M716,'Mapping DEF'!B:C,2,FALSE),"")</f>
        <v>Other</v>
      </c>
      <c r="O716" t="s">
        <v>2803</v>
      </c>
    </row>
    <row r="717" spans="1:15" x14ac:dyDescent="0.25">
      <c r="A717" s="4" t="s">
        <v>2201</v>
      </c>
      <c r="B717" s="4" t="s">
        <v>2202</v>
      </c>
      <c r="C717" s="5">
        <v>2473</v>
      </c>
      <c r="D717" s="6" t="s">
        <v>2203</v>
      </c>
      <c r="E717" t="s">
        <v>1151</v>
      </c>
      <c r="F717" t="s">
        <v>1152</v>
      </c>
      <c r="G717" t="str">
        <f>+VLOOKUP(F717,[1]Explore!$B:$I,8,0)</f>
        <v>Other - Index</v>
      </c>
      <c r="H717" t="s">
        <v>1153</v>
      </c>
      <c r="I717" t="str">
        <f>+VLOOKUP(H717,[1]Explore!$A:$I,9,0)</f>
        <v>Other - Index</v>
      </c>
      <c r="J717" t="str">
        <f t="shared" si="22"/>
        <v>OK</v>
      </c>
      <c r="K717" t="str">
        <f t="shared" si="23"/>
        <v>Other - Index</v>
      </c>
      <c r="L717" t="s">
        <v>27</v>
      </c>
      <c r="M717" t="str">
        <f>_xlfn.IFNA(VLOOKUP(K717,'Mapping DEF'!A:C,2,0),"")</f>
        <v>Other</v>
      </c>
      <c r="N717" t="str">
        <f>+_xlfn.IFNA(VLOOKUP(M717,'Mapping DEF'!B:C,2,FALSE),"")</f>
        <v>Other</v>
      </c>
      <c r="O717" t="s">
        <v>2768</v>
      </c>
    </row>
    <row r="718" spans="1:15" x14ac:dyDescent="0.25">
      <c r="A718" s="4" t="s">
        <v>2201</v>
      </c>
      <c r="B718" s="4" t="s">
        <v>2202</v>
      </c>
      <c r="C718" s="5">
        <v>2473</v>
      </c>
      <c r="D718" s="6" t="s">
        <v>2203</v>
      </c>
      <c r="E718" t="s">
        <v>1154</v>
      </c>
      <c r="F718" t="s">
        <v>1155</v>
      </c>
      <c r="G718" t="e">
        <f>+VLOOKUP(F718,[1]Explore!$B:$I,8,0)</f>
        <v>#N/A</v>
      </c>
      <c r="H718" t="s">
        <v>1156</v>
      </c>
      <c r="I718" t="e">
        <f>+VLOOKUP(H718,[1]Explore!$A:$I,9,0)</f>
        <v>#N/A</v>
      </c>
      <c r="J718" t="str">
        <f t="shared" si="22"/>
        <v>BOTH #N/A</v>
      </c>
      <c r="K718" t="str">
        <f t="shared" si="23"/>
        <v>Consumer Discretionary</v>
      </c>
      <c r="L718" t="s">
        <v>2659</v>
      </c>
      <c r="M718" t="str">
        <f>_xlfn.IFNA(VLOOKUP(K718,'Mapping DEF'!A:C,2,0),"")</f>
        <v>Industry Allocation</v>
      </c>
      <c r="N718" t="str">
        <f>+_xlfn.IFNA(VLOOKUP(M718,'Mapping DEF'!B:C,2,FALSE),"")</f>
        <v>Equity</v>
      </c>
      <c r="O718" t="s">
        <v>2792</v>
      </c>
    </row>
    <row r="719" spans="1:15" x14ac:dyDescent="0.25">
      <c r="A719" s="4" t="s">
        <v>2201</v>
      </c>
      <c r="B719" s="4" t="s">
        <v>2202</v>
      </c>
      <c r="C719" s="5">
        <v>2473</v>
      </c>
      <c r="D719" s="6" t="s">
        <v>2203</v>
      </c>
      <c r="E719" t="s">
        <v>1157</v>
      </c>
      <c r="F719" t="s">
        <v>2635</v>
      </c>
      <c r="G719" t="str">
        <f>+VLOOKUP(F719,[1]Explore!$B:$I,8,0)</f>
        <v>Equity Implied Volatility</v>
      </c>
      <c r="H719" t="s">
        <v>1158</v>
      </c>
      <c r="I719" t="e">
        <f>+VLOOKUP(H719,[1]Explore!$A:$I,9,0)</f>
        <v>#N/A</v>
      </c>
      <c r="J719" t="str">
        <f t="shared" si="22"/>
        <v>OK</v>
      </c>
      <c r="K719" t="str">
        <f t="shared" si="23"/>
        <v>Equity Implied Volatility</v>
      </c>
      <c r="L719" t="s">
        <v>27</v>
      </c>
      <c r="M719" t="str">
        <f>_xlfn.IFNA(VLOOKUP(K719,'Mapping DEF'!A:C,2,0),"")</f>
        <v>Equity Derivatives</v>
      </c>
      <c r="N719" t="str">
        <f>+_xlfn.IFNA(VLOOKUP(M719,'Mapping DEF'!B:C,2,FALSE),"")</f>
        <v>Equity</v>
      </c>
      <c r="O719" t="s">
        <v>2753</v>
      </c>
    </row>
    <row r="720" spans="1:15" x14ac:dyDescent="0.25">
      <c r="A720" s="4" t="s">
        <v>2204</v>
      </c>
      <c r="B720" s="4" t="s">
        <v>2205</v>
      </c>
      <c r="C720" s="5">
        <v>2316</v>
      </c>
      <c r="D720" s="6" t="s">
        <v>2206</v>
      </c>
      <c r="E720" t="s">
        <v>247</v>
      </c>
      <c r="G720" t="e">
        <f>+VLOOKUP(F720,[1]Explore!$B:$I,8,0)</f>
        <v>#N/A</v>
      </c>
      <c r="H720" t="s">
        <v>247</v>
      </c>
      <c r="I720" t="e">
        <f>+VLOOKUP(H720,[1]Explore!$A:$I,9,0)</f>
        <v>#N/A</v>
      </c>
      <c r="J720" t="str">
        <f t="shared" si="22"/>
        <v>BOTH #N/A</v>
      </c>
      <c r="K720" t="str">
        <f t="shared" si="23"/>
        <v>-</v>
      </c>
      <c r="L720" t="s">
        <v>247</v>
      </c>
      <c r="M720" t="str">
        <f>_xlfn.IFNA(VLOOKUP(K720,'Mapping DEF'!A:C,2,0),"")</f>
        <v/>
      </c>
      <c r="N720" t="str">
        <f>+_xlfn.IFNA(VLOOKUP(M720,'Mapping DEF'!B:C,2,FALSE),"")</f>
        <v/>
      </c>
    </row>
    <row r="721" spans="1:15" x14ac:dyDescent="0.25">
      <c r="A721" s="4" t="s">
        <v>2207</v>
      </c>
      <c r="B721" s="4" t="s">
        <v>2208</v>
      </c>
      <c r="C721" s="5">
        <v>2315</v>
      </c>
      <c r="D721" s="6" t="s">
        <v>2209</v>
      </c>
      <c r="E721" t="s">
        <v>247</v>
      </c>
      <c r="G721" t="e">
        <f>+VLOOKUP(F721,[1]Explore!$B:$I,8,0)</f>
        <v>#N/A</v>
      </c>
      <c r="H721" t="s">
        <v>247</v>
      </c>
      <c r="I721" t="e">
        <f>+VLOOKUP(H721,[1]Explore!$A:$I,9,0)</f>
        <v>#N/A</v>
      </c>
      <c r="J721" t="str">
        <f t="shared" si="22"/>
        <v>BOTH #N/A</v>
      </c>
      <c r="K721" t="str">
        <f t="shared" si="23"/>
        <v>-</v>
      </c>
      <c r="L721" t="s">
        <v>247</v>
      </c>
      <c r="M721" t="str">
        <f>_xlfn.IFNA(VLOOKUP(K721,'Mapping DEF'!A:C,2,0),"")</f>
        <v/>
      </c>
      <c r="N721" t="str">
        <f>+_xlfn.IFNA(VLOOKUP(M721,'Mapping DEF'!B:C,2,FALSE),"")</f>
        <v/>
      </c>
    </row>
    <row r="722" spans="1:15" x14ac:dyDescent="0.25">
      <c r="A722" s="4" t="s">
        <v>2210</v>
      </c>
      <c r="B722" s="4" t="s">
        <v>2211</v>
      </c>
      <c r="C722" s="5">
        <v>2111</v>
      </c>
      <c r="D722" s="6" t="s">
        <v>2212</v>
      </c>
      <c r="E722" t="s">
        <v>1159</v>
      </c>
      <c r="F722" t="s">
        <v>10</v>
      </c>
      <c r="G722" t="str">
        <f>+VLOOKUP(F722,[1]Explore!$B:$I,8,0)</f>
        <v>Govt USD</v>
      </c>
      <c r="H722" t="s">
        <v>11</v>
      </c>
      <c r="I722" t="str">
        <f>+VLOOKUP(H722,[1]Explore!$A:$I,9,0)</f>
        <v>Govt USD</v>
      </c>
      <c r="J722" t="str">
        <f t="shared" si="22"/>
        <v>OK</v>
      </c>
      <c r="K722" t="str">
        <f t="shared" si="23"/>
        <v>Govt USD</v>
      </c>
      <c r="L722" t="s">
        <v>2143</v>
      </c>
      <c r="M722" t="str">
        <f>_xlfn.IFNA(VLOOKUP(K722,'Mapping DEF'!A:C,2,0),"")</f>
        <v>Curve (Local)</v>
      </c>
      <c r="N722" t="str">
        <f>+_xlfn.IFNA(VLOOKUP(M722,'Mapping DEF'!B:C,2,FALSE),"")</f>
        <v>Term Structure</v>
      </c>
      <c r="O722" t="s">
        <v>2829</v>
      </c>
    </row>
    <row r="723" spans="1:15" x14ac:dyDescent="0.25">
      <c r="A723" s="4" t="s">
        <v>2210</v>
      </c>
      <c r="B723" s="4" t="s">
        <v>2211</v>
      </c>
      <c r="C723" s="5">
        <v>2111</v>
      </c>
      <c r="D723" s="6" t="s">
        <v>2212</v>
      </c>
      <c r="E723" t="s">
        <v>606</v>
      </c>
      <c r="F723" t="s">
        <v>19</v>
      </c>
      <c r="G723" t="str">
        <f>+VLOOKUP(F723,[1]Explore!$B:$I,8,0)</f>
        <v>Govt USD</v>
      </c>
      <c r="H723" t="s">
        <v>20</v>
      </c>
      <c r="I723" t="str">
        <f>+VLOOKUP(H723,[1]Explore!$A:$I,9,0)</f>
        <v>Govt USD</v>
      </c>
      <c r="J723" t="str">
        <f t="shared" si="22"/>
        <v>OK</v>
      </c>
      <c r="K723" t="str">
        <f t="shared" si="23"/>
        <v>Govt USD</v>
      </c>
      <c r="L723" t="s">
        <v>2143</v>
      </c>
      <c r="M723" t="str">
        <f>_xlfn.IFNA(VLOOKUP(K723,'Mapping DEF'!A:C,2,0),"")</f>
        <v>Curve (Local)</v>
      </c>
      <c r="N723" t="str">
        <f>+_xlfn.IFNA(VLOOKUP(M723,'Mapping DEF'!B:C,2,FALSE),"")</f>
        <v>Term Structure</v>
      </c>
      <c r="O723" t="s">
        <v>2752</v>
      </c>
    </row>
    <row r="724" spans="1:15" x14ac:dyDescent="0.25">
      <c r="A724" s="4" t="s">
        <v>2210</v>
      </c>
      <c r="B724" s="4" t="s">
        <v>2211</v>
      </c>
      <c r="C724" s="5">
        <v>2111</v>
      </c>
      <c r="D724" s="6" t="s">
        <v>2212</v>
      </c>
      <c r="E724" t="s">
        <v>1163</v>
      </c>
      <c r="F724" t="s">
        <v>791</v>
      </c>
      <c r="G724" t="str">
        <f>+VLOOKUP(F724,[1]Explore!$B:$I,8,0)</f>
        <v>USD Inflation</v>
      </c>
      <c r="H724" t="s">
        <v>792</v>
      </c>
      <c r="I724" t="str">
        <f>+VLOOKUP(H724,[1]Explore!$A:$I,9,0)</f>
        <v>USD Inflation</v>
      </c>
      <c r="J724" t="str">
        <f t="shared" si="22"/>
        <v>OK</v>
      </c>
      <c r="K724" t="str">
        <f t="shared" si="23"/>
        <v>USD Inflation</v>
      </c>
      <c r="L724" t="s">
        <v>2143</v>
      </c>
      <c r="M724" t="str">
        <f>_xlfn.IFNA(VLOOKUP(K724,'Mapping DEF'!A:C,2,0),"")</f>
        <v>Inflation</v>
      </c>
      <c r="N724" t="str">
        <f>+_xlfn.IFNA(VLOOKUP(M724,'Mapping DEF'!B:C,2,FALSE),"")</f>
        <v>Other</v>
      </c>
      <c r="O724" t="s">
        <v>2755</v>
      </c>
    </row>
    <row r="725" spans="1:15" x14ac:dyDescent="0.25">
      <c r="A725" s="4" t="s">
        <v>2210</v>
      </c>
      <c r="B725" s="4" t="s">
        <v>2211</v>
      </c>
      <c r="C725" s="5">
        <v>2111</v>
      </c>
      <c r="D725" s="6" t="s">
        <v>2212</v>
      </c>
      <c r="E725" t="s">
        <v>1167</v>
      </c>
      <c r="F725" t="s">
        <v>258</v>
      </c>
      <c r="G725" t="str">
        <f>+VLOOKUP(F725,[1]Explore!$B:$I,8,0)</f>
        <v>USD Inflation</v>
      </c>
      <c r="H725" t="s">
        <v>259</v>
      </c>
      <c r="I725" t="str">
        <f>+VLOOKUP(H725,[1]Explore!$A:$I,9,0)</f>
        <v>USD Inflation</v>
      </c>
      <c r="J725" t="str">
        <f t="shared" si="22"/>
        <v>OK</v>
      </c>
      <c r="K725" t="str">
        <f t="shared" si="23"/>
        <v>USD Inflation</v>
      </c>
      <c r="L725" t="s">
        <v>2143</v>
      </c>
      <c r="M725" t="str">
        <f>_xlfn.IFNA(VLOOKUP(K725,'Mapping DEF'!A:C,2,0),"")</f>
        <v>Inflation</v>
      </c>
      <c r="N725" t="str">
        <f>+_xlfn.IFNA(VLOOKUP(M725,'Mapping DEF'!B:C,2,FALSE),"")</f>
        <v>Other</v>
      </c>
      <c r="O725" t="s">
        <v>2766</v>
      </c>
    </row>
    <row r="726" spans="1:15" x14ac:dyDescent="0.25">
      <c r="A726" s="4" t="s">
        <v>2210</v>
      </c>
      <c r="B726" s="4" t="s">
        <v>2211</v>
      </c>
      <c r="C726" s="5">
        <v>2111</v>
      </c>
      <c r="D726" s="6" t="s">
        <v>2212</v>
      </c>
      <c r="E726" t="s">
        <v>329</v>
      </c>
      <c r="F726" t="s">
        <v>268</v>
      </c>
      <c r="G726" t="str">
        <f>+VLOOKUP(F726,[1]Explore!$B:$I,8,0)</f>
        <v>Alternative - Commodity</v>
      </c>
      <c r="H726" t="s">
        <v>269</v>
      </c>
      <c r="I726" t="str">
        <f>+VLOOKUP(H726,[1]Explore!$A:$I,9,0)</f>
        <v>Alternative - Commodity</v>
      </c>
      <c r="J726" t="str">
        <f t="shared" si="22"/>
        <v>OK</v>
      </c>
      <c r="K726" t="str">
        <f t="shared" si="23"/>
        <v>Alternative - Commodity</v>
      </c>
      <c r="L726" t="s">
        <v>2139</v>
      </c>
      <c r="M726" t="str">
        <f>_xlfn.IFNA(VLOOKUP(K726,'Mapping DEF'!A:C,2,0),"")</f>
        <v>Alternative</v>
      </c>
      <c r="N726" t="str">
        <f>+_xlfn.IFNA(VLOOKUP(M726,'Mapping DEF'!B:C,2,FALSE),"")</f>
        <v>Other</v>
      </c>
      <c r="O726" t="s">
        <v>2770</v>
      </c>
    </row>
    <row r="727" spans="1:15" x14ac:dyDescent="0.25">
      <c r="A727" s="4" t="s">
        <v>2210</v>
      </c>
      <c r="B727" s="4" t="s">
        <v>2211</v>
      </c>
      <c r="C727" s="5">
        <v>2111</v>
      </c>
      <c r="D727" s="6" t="s">
        <v>2212</v>
      </c>
      <c r="E727" t="s">
        <v>1171</v>
      </c>
      <c r="F727" t="s">
        <v>220</v>
      </c>
      <c r="G727" t="str">
        <f>+VLOOKUP(F727,[1]Explore!$B:$I,8,0)</f>
        <v>Corporate HY USD - Other</v>
      </c>
      <c r="H727" t="s">
        <v>510</v>
      </c>
      <c r="I727" t="str">
        <f>+VLOOKUP(H727,[1]Explore!$A:$I,9,0)</f>
        <v>Corporate HY USD - Other</v>
      </c>
      <c r="J727" t="str">
        <f t="shared" si="22"/>
        <v>OK</v>
      </c>
      <c r="K727" t="str">
        <f t="shared" si="23"/>
        <v>Corporate HY USD - Other</v>
      </c>
      <c r="L727" t="s">
        <v>188</v>
      </c>
      <c r="M727" t="str">
        <f>_xlfn.IFNA(VLOOKUP(K727,'Mapping DEF'!A:C,2,0),"")</f>
        <v>Spread</v>
      </c>
      <c r="N727" t="str">
        <f>+_xlfn.IFNA(VLOOKUP(M727,'Mapping DEF'!B:C,2,FALSE),"")</f>
        <v>Spread</v>
      </c>
      <c r="O727" t="s">
        <v>2752</v>
      </c>
    </row>
    <row r="728" spans="1:15" x14ac:dyDescent="0.25">
      <c r="A728" s="4" t="s">
        <v>2210</v>
      </c>
      <c r="B728" s="4" t="s">
        <v>2211</v>
      </c>
      <c r="C728" s="5">
        <v>2111</v>
      </c>
      <c r="D728" s="6" t="s">
        <v>2212</v>
      </c>
      <c r="E728" t="s">
        <v>1172</v>
      </c>
      <c r="F728" t="s">
        <v>2159</v>
      </c>
      <c r="G728" t="str">
        <f>+VLOOKUP(F728,[1]Explore!$B:$I,8,0)</f>
        <v>Other - Index</v>
      </c>
      <c r="H728" t="s">
        <v>1173</v>
      </c>
      <c r="I728" t="str">
        <f>+VLOOKUP(H728,[1]Explore!$A:$I,9,0)</f>
        <v>Other - Index</v>
      </c>
      <c r="J728" t="str">
        <f t="shared" si="22"/>
        <v>OK</v>
      </c>
      <c r="K728" t="str">
        <f t="shared" si="23"/>
        <v>Other - Index</v>
      </c>
      <c r="L728" t="s">
        <v>27</v>
      </c>
      <c r="M728" t="str">
        <f>_xlfn.IFNA(VLOOKUP(K728,'Mapping DEF'!A:C,2,0),"")</f>
        <v>Other</v>
      </c>
      <c r="N728" t="str">
        <f>+_xlfn.IFNA(VLOOKUP(M728,'Mapping DEF'!B:C,2,FALSE),"")</f>
        <v>Other</v>
      </c>
      <c r="O728" t="s">
        <v>2794</v>
      </c>
    </row>
    <row r="729" spans="1:15" x14ac:dyDescent="0.25">
      <c r="A729" s="4" t="s">
        <v>2210</v>
      </c>
      <c r="B729" s="4" t="s">
        <v>2211</v>
      </c>
      <c r="C729" s="5">
        <v>2111</v>
      </c>
      <c r="D729" s="6" t="s">
        <v>2212</v>
      </c>
      <c r="E729" t="s">
        <v>1174</v>
      </c>
      <c r="F729" t="s">
        <v>2941</v>
      </c>
      <c r="G729" t="str">
        <f>+VLOOKUP(F729,[1]Explore!$B:$I,8,0)</f>
        <v>Other - Index</v>
      </c>
      <c r="H729" t="s">
        <v>1175</v>
      </c>
      <c r="I729" t="str">
        <f>+VLOOKUP(H729,[1]Explore!$A:$I,9,0)</f>
        <v>Other - Index</v>
      </c>
      <c r="J729" t="str">
        <f t="shared" si="22"/>
        <v>OK</v>
      </c>
      <c r="K729" t="str">
        <f t="shared" si="23"/>
        <v>Other - Index</v>
      </c>
      <c r="L729" t="s">
        <v>27</v>
      </c>
      <c r="M729" t="str">
        <f>_xlfn.IFNA(VLOOKUP(K729,'Mapping DEF'!A:C,2,0),"")</f>
        <v>Other</v>
      </c>
      <c r="N729" t="str">
        <f>+_xlfn.IFNA(VLOOKUP(M729,'Mapping DEF'!B:C,2,FALSE),"")</f>
        <v>Other</v>
      </c>
      <c r="O729" t="s">
        <v>2792</v>
      </c>
    </row>
    <row r="730" spans="1:15" x14ac:dyDescent="0.25">
      <c r="A730" s="4" t="s">
        <v>2213</v>
      </c>
      <c r="B730" s="4" t="s">
        <v>2214</v>
      </c>
      <c r="C730" s="5">
        <v>2419</v>
      </c>
      <c r="D730" s="6" t="s">
        <v>2215</v>
      </c>
      <c r="E730" t="s">
        <v>1176</v>
      </c>
      <c r="F730" t="s">
        <v>13</v>
      </c>
      <c r="G730" t="str">
        <f>+VLOOKUP(F730,[1]Explore!$B:$I,8,0)</f>
        <v>Govt USD</v>
      </c>
      <c r="H730" t="s">
        <v>14</v>
      </c>
      <c r="I730" t="str">
        <f>+VLOOKUP(H730,[1]Explore!$A:$I,9,0)</f>
        <v>Govt USD</v>
      </c>
      <c r="J730" t="str">
        <f t="shared" si="22"/>
        <v>OK</v>
      </c>
      <c r="K730" t="str">
        <f t="shared" si="23"/>
        <v>Govt USD</v>
      </c>
      <c r="L730" t="s">
        <v>2143</v>
      </c>
      <c r="M730" t="str">
        <f>_xlfn.IFNA(VLOOKUP(K730,'Mapping DEF'!A:C,2,0),"")</f>
        <v>Curve (Local)</v>
      </c>
      <c r="N730" t="str">
        <f>+_xlfn.IFNA(VLOOKUP(M730,'Mapping DEF'!B:C,2,FALSE),"")</f>
        <v>Term Structure</v>
      </c>
      <c r="O730" t="s">
        <v>2829</v>
      </c>
    </row>
    <row r="731" spans="1:15" x14ac:dyDescent="0.25">
      <c r="A731" s="4" t="s">
        <v>2213</v>
      </c>
      <c r="B731" s="4" t="s">
        <v>2214</v>
      </c>
      <c r="C731" s="5">
        <v>2419</v>
      </c>
      <c r="D731" s="6" t="s">
        <v>2215</v>
      </c>
      <c r="E731" t="s">
        <v>580</v>
      </c>
      <c r="F731" t="s">
        <v>19</v>
      </c>
      <c r="G731" t="str">
        <f>+VLOOKUP(F731,[1]Explore!$B:$I,8,0)</f>
        <v>Govt USD</v>
      </c>
      <c r="H731" t="s">
        <v>20</v>
      </c>
      <c r="I731" t="str">
        <f>+VLOOKUP(H731,[1]Explore!$A:$I,9,0)</f>
        <v>Govt USD</v>
      </c>
      <c r="J731" t="str">
        <f t="shared" si="22"/>
        <v>OK</v>
      </c>
      <c r="K731" t="str">
        <f t="shared" si="23"/>
        <v>Govt USD</v>
      </c>
      <c r="L731" t="s">
        <v>2143</v>
      </c>
      <c r="M731" t="str">
        <f>_xlfn.IFNA(VLOOKUP(K731,'Mapping DEF'!A:C,2,0),"")</f>
        <v>Curve (Local)</v>
      </c>
      <c r="N731" t="str">
        <f>+_xlfn.IFNA(VLOOKUP(M731,'Mapping DEF'!B:C,2,FALSE),"")</f>
        <v>Term Structure</v>
      </c>
      <c r="O731" t="s">
        <v>2780</v>
      </c>
    </row>
    <row r="732" spans="1:15" x14ac:dyDescent="0.25">
      <c r="A732" s="4" t="s">
        <v>2213</v>
      </c>
      <c r="B732" s="4" t="s">
        <v>2214</v>
      </c>
      <c r="C732" s="5">
        <v>2419</v>
      </c>
      <c r="D732" s="6" t="s">
        <v>2215</v>
      </c>
      <c r="E732" t="s">
        <v>1177</v>
      </c>
      <c r="F732" t="s">
        <v>206</v>
      </c>
      <c r="G732" t="e">
        <f>+VLOOKUP(F732,[1]Explore!$B:$I,8,0)</f>
        <v>#N/A</v>
      </c>
      <c r="H732" t="s">
        <v>206</v>
      </c>
      <c r="I732" t="e">
        <f>+VLOOKUP(H732,[1]Explore!$A:$I,9,0)</f>
        <v>#N/A</v>
      </c>
      <c r="J732" t="str">
        <f t="shared" si="22"/>
        <v>BOTH #N/A</v>
      </c>
      <c r="K732" t="str">
        <f t="shared" si="23"/>
        <v>Dollar Index</v>
      </c>
      <c r="L732" t="s">
        <v>2930</v>
      </c>
      <c r="M732" t="str">
        <f>_xlfn.IFNA(VLOOKUP(K732,'Mapping DEF'!A:C,2,0),"")</f>
        <v>Index Level</v>
      </c>
      <c r="N732" t="str">
        <f>+_xlfn.IFNA(VLOOKUP(M732,'Mapping DEF'!B:C,2,FALSE),"")</f>
        <v>Other</v>
      </c>
      <c r="O732" t="s">
        <v>2776</v>
      </c>
    </row>
    <row r="733" spans="1:15" x14ac:dyDescent="0.25">
      <c r="A733" s="4" t="s">
        <v>2213</v>
      </c>
      <c r="B733" s="4" t="s">
        <v>2214</v>
      </c>
      <c r="C733" s="5">
        <v>2419</v>
      </c>
      <c r="D733" s="6" t="s">
        <v>2215</v>
      </c>
      <c r="E733" t="s">
        <v>712</v>
      </c>
      <c r="F733" t="s">
        <v>2156</v>
      </c>
      <c r="G733" t="str">
        <f>+VLOOKUP(F733,[1]Explore!$B:$I,8,0)</f>
        <v>Equity Implied Volatility</v>
      </c>
      <c r="H733" t="s">
        <v>141</v>
      </c>
      <c r="I733" t="str">
        <f>+VLOOKUP(H733,[1]Explore!$A:$I,9,0)</f>
        <v>Equity Implied Volatility</v>
      </c>
      <c r="J733" t="str">
        <f t="shared" si="22"/>
        <v>OK</v>
      </c>
      <c r="K733" t="str">
        <f t="shared" si="23"/>
        <v>Equity Implied Volatility</v>
      </c>
      <c r="L733" t="s">
        <v>27</v>
      </c>
      <c r="M733" t="str">
        <f>_xlfn.IFNA(VLOOKUP(K733,'Mapping DEF'!A:C,2,0),"")</f>
        <v>Equity Derivatives</v>
      </c>
      <c r="N733" t="str">
        <f>+_xlfn.IFNA(VLOOKUP(M733,'Mapping DEF'!B:C,2,FALSE),"")</f>
        <v>Equity</v>
      </c>
      <c r="O733" t="s">
        <v>2753</v>
      </c>
    </row>
    <row r="734" spans="1:15" x14ac:dyDescent="0.25">
      <c r="A734" s="4" t="s">
        <v>2213</v>
      </c>
      <c r="B734" s="4" t="s">
        <v>2214</v>
      </c>
      <c r="C734" s="5">
        <v>2419</v>
      </c>
      <c r="D734" s="6" t="s">
        <v>2215</v>
      </c>
      <c r="E734" t="s">
        <v>391</v>
      </c>
      <c r="F734" t="s">
        <v>392</v>
      </c>
      <c r="G734" t="str">
        <f>+VLOOKUP(F734,[1]Explore!$B:$I,8,0)</f>
        <v>Equity Implied Volatility</v>
      </c>
      <c r="H734" t="s">
        <v>392</v>
      </c>
      <c r="I734" t="str">
        <f>+VLOOKUP(H734,[1]Explore!$A:$I,9,0)</f>
        <v>Equity Implied Volatility</v>
      </c>
      <c r="J734" t="str">
        <f t="shared" si="22"/>
        <v>OK</v>
      </c>
      <c r="K734" t="str">
        <f t="shared" si="23"/>
        <v>Equity Implied Volatility</v>
      </c>
      <c r="L734" t="s">
        <v>27</v>
      </c>
      <c r="M734" t="str">
        <f>_xlfn.IFNA(VLOOKUP(K734,'Mapping DEF'!A:C,2,0),"")</f>
        <v>Equity Derivatives</v>
      </c>
      <c r="N734" t="str">
        <f>+_xlfn.IFNA(VLOOKUP(M734,'Mapping DEF'!B:C,2,FALSE),"")</f>
        <v>Equity</v>
      </c>
      <c r="O734" t="s">
        <v>2842</v>
      </c>
    </row>
    <row r="735" spans="1:15" x14ac:dyDescent="0.25">
      <c r="A735" s="4" t="s">
        <v>2213</v>
      </c>
      <c r="B735" s="4" t="s">
        <v>2214</v>
      </c>
      <c r="C735" s="5">
        <v>2419</v>
      </c>
      <c r="D735" s="6" t="s">
        <v>2215</v>
      </c>
      <c r="E735" t="s">
        <v>1178</v>
      </c>
      <c r="F735" t="s">
        <v>220</v>
      </c>
      <c r="G735" t="str">
        <f>+VLOOKUP(F735,[1]Explore!$B:$I,8,0)</f>
        <v>Corporate HY USD - Other</v>
      </c>
      <c r="H735" t="s">
        <v>221</v>
      </c>
      <c r="I735" t="str">
        <f>+VLOOKUP(H735,[1]Explore!$A:$I,9,0)</f>
        <v>Corporate HY USD - Other</v>
      </c>
      <c r="J735" t="str">
        <f t="shared" si="22"/>
        <v>OK</v>
      </c>
      <c r="K735" t="str">
        <f t="shared" si="23"/>
        <v>Corporate HY USD - Other</v>
      </c>
      <c r="L735" t="s">
        <v>188</v>
      </c>
      <c r="M735" t="str">
        <f>_xlfn.IFNA(VLOOKUP(K735,'Mapping DEF'!A:C,2,0),"")</f>
        <v>Spread</v>
      </c>
      <c r="N735" t="str">
        <f>+_xlfn.IFNA(VLOOKUP(M735,'Mapping DEF'!B:C,2,FALSE),"")</f>
        <v>Spread</v>
      </c>
      <c r="O735" t="s">
        <v>2756</v>
      </c>
    </row>
    <row r="736" spans="1:15" x14ac:dyDescent="0.25">
      <c r="A736" s="4" t="s">
        <v>2213</v>
      </c>
      <c r="B736" s="4" t="s">
        <v>2214</v>
      </c>
      <c r="C736" s="5">
        <v>2419</v>
      </c>
      <c r="D736" s="6" t="s">
        <v>2215</v>
      </c>
      <c r="E736" t="s">
        <v>1179</v>
      </c>
      <c r="F736" t="s">
        <v>2159</v>
      </c>
      <c r="G736" t="str">
        <f>+VLOOKUP(F736,[1]Explore!$B:$I,8,0)</f>
        <v>Other - Index</v>
      </c>
      <c r="H736" t="s">
        <v>278</v>
      </c>
      <c r="I736" t="e">
        <f>+VLOOKUP(H736,[1]Explore!$A:$I,9,0)</f>
        <v>#N/A</v>
      </c>
      <c r="J736" t="str">
        <f t="shared" si="22"/>
        <v>OK</v>
      </c>
      <c r="K736" t="str">
        <f t="shared" si="23"/>
        <v>Other - Index</v>
      </c>
      <c r="L736" t="s">
        <v>27</v>
      </c>
      <c r="M736" t="str">
        <f>_xlfn.IFNA(VLOOKUP(K736,'Mapping DEF'!A:C,2,0),"")</f>
        <v>Other</v>
      </c>
      <c r="N736" t="str">
        <f>+_xlfn.IFNA(VLOOKUP(M736,'Mapping DEF'!B:C,2,FALSE),"")</f>
        <v>Other</v>
      </c>
      <c r="O736" t="s">
        <v>2807</v>
      </c>
    </row>
    <row r="737" spans="1:15" x14ac:dyDescent="0.25">
      <c r="A737" s="4" t="s">
        <v>2216</v>
      </c>
      <c r="B737" s="4" t="s">
        <v>2217</v>
      </c>
      <c r="C737" s="5">
        <v>2110</v>
      </c>
      <c r="D737" s="6" t="s">
        <v>2218</v>
      </c>
      <c r="E737" t="s">
        <v>1180</v>
      </c>
      <c r="F737" t="s">
        <v>10</v>
      </c>
      <c r="G737" t="str">
        <f>+VLOOKUP(F737,[1]Explore!$B:$I,8,0)</f>
        <v>Govt USD</v>
      </c>
      <c r="H737" t="s">
        <v>11</v>
      </c>
      <c r="I737" t="str">
        <f>+VLOOKUP(H737,[1]Explore!$A:$I,9,0)</f>
        <v>Govt USD</v>
      </c>
      <c r="J737" t="str">
        <f t="shared" si="22"/>
        <v>OK</v>
      </c>
      <c r="K737" t="str">
        <f t="shared" si="23"/>
        <v>Govt USD</v>
      </c>
      <c r="L737" t="s">
        <v>2143</v>
      </c>
      <c r="M737" t="str">
        <f>_xlfn.IFNA(VLOOKUP(K737,'Mapping DEF'!A:C,2,0),"")</f>
        <v>Curve (Local)</v>
      </c>
      <c r="N737" t="str">
        <f>+_xlfn.IFNA(VLOOKUP(M737,'Mapping DEF'!B:C,2,FALSE),"")</f>
        <v>Term Structure</v>
      </c>
      <c r="O737" t="s">
        <v>2755</v>
      </c>
    </row>
    <row r="738" spans="1:15" x14ac:dyDescent="0.25">
      <c r="A738" s="4" t="s">
        <v>2216</v>
      </c>
      <c r="B738" s="4" t="s">
        <v>2217</v>
      </c>
      <c r="C738" s="5">
        <v>2110</v>
      </c>
      <c r="D738" s="6" t="s">
        <v>2218</v>
      </c>
      <c r="E738" t="s">
        <v>1181</v>
      </c>
      <c r="F738" t="s">
        <v>19</v>
      </c>
      <c r="G738" t="str">
        <f>+VLOOKUP(F738,[1]Explore!$B:$I,8,0)</f>
        <v>Govt USD</v>
      </c>
      <c r="H738" t="s">
        <v>20</v>
      </c>
      <c r="I738" t="str">
        <f>+VLOOKUP(H738,[1]Explore!$A:$I,9,0)</f>
        <v>Govt USD</v>
      </c>
      <c r="J738" t="str">
        <f t="shared" si="22"/>
        <v>OK</v>
      </c>
      <c r="K738" t="str">
        <f t="shared" si="23"/>
        <v>Govt USD</v>
      </c>
      <c r="L738" t="s">
        <v>2143</v>
      </c>
      <c r="M738" t="str">
        <f>_xlfn.IFNA(VLOOKUP(K738,'Mapping DEF'!A:C,2,0),"")</f>
        <v>Curve (Local)</v>
      </c>
      <c r="N738" t="str">
        <f>+_xlfn.IFNA(VLOOKUP(M738,'Mapping DEF'!B:C,2,FALSE),"")</f>
        <v>Term Structure</v>
      </c>
      <c r="O738" t="s">
        <v>2797</v>
      </c>
    </row>
    <row r="739" spans="1:15" x14ac:dyDescent="0.25">
      <c r="A739" s="4" t="s">
        <v>2216</v>
      </c>
      <c r="B739" s="4" t="s">
        <v>2217</v>
      </c>
      <c r="C739" s="5">
        <v>2110</v>
      </c>
      <c r="D739" s="6" t="s">
        <v>2218</v>
      </c>
      <c r="E739" t="s">
        <v>1182</v>
      </c>
      <c r="F739" t="s">
        <v>791</v>
      </c>
      <c r="G739" t="str">
        <f>+VLOOKUP(F739,[1]Explore!$B:$I,8,0)</f>
        <v>USD Inflation</v>
      </c>
      <c r="H739" t="s">
        <v>792</v>
      </c>
      <c r="I739" t="str">
        <f>+VLOOKUP(H739,[1]Explore!$A:$I,9,0)</f>
        <v>USD Inflation</v>
      </c>
      <c r="J739" t="str">
        <f t="shared" si="22"/>
        <v>OK</v>
      </c>
      <c r="K739" t="str">
        <f t="shared" si="23"/>
        <v>USD Inflation</v>
      </c>
      <c r="L739" t="s">
        <v>2143</v>
      </c>
      <c r="M739" t="str">
        <f>_xlfn.IFNA(VLOOKUP(K739,'Mapping DEF'!A:C,2,0),"")</f>
        <v>Inflation</v>
      </c>
      <c r="N739" t="str">
        <f>+_xlfn.IFNA(VLOOKUP(M739,'Mapping DEF'!B:C,2,FALSE),"")</f>
        <v>Other</v>
      </c>
      <c r="O739" t="s">
        <v>2780</v>
      </c>
    </row>
    <row r="740" spans="1:15" x14ac:dyDescent="0.25">
      <c r="A740" s="4" t="s">
        <v>2216</v>
      </c>
      <c r="B740" s="4" t="s">
        <v>2217</v>
      </c>
      <c r="C740" s="5">
        <v>2110</v>
      </c>
      <c r="D740" s="6" t="s">
        <v>2218</v>
      </c>
      <c r="E740" t="s">
        <v>714</v>
      </c>
      <c r="F740" t="s">
        <v>258</v>
      </c>
      <c r="G740" t="str">
        <f>+VLOOKUP(F740,[1]Explore!$B:$I,8,0)</f>
        <v>USD Inflation</v>
      </c>
      <c r="H740" t="s">
        <v>259</v>
      </c>
      <c r="I740" t="str">
        <f>+VLOOKUP(H740,[1]Explore!$A:$I,9,0)</f>
        <v>USD Inflation</v>
      </c>
      <c r="J740" t="str">
        <f t="shared" si="22"/>
        <v>OK</v>
      </c>
      <c r="K740" t="str">
        <f t="shared" si="23"/>
        <v>USD Inflation</v>
      </c>
      <c r="L740" t="s">
        <v>2143</v>
      </c>
      <c r="M740" t="str">
        <f>_xlfn.IFNA(VLOOKUP(K740,'Mapping DEF'!A:C,2,0),"")</f>
        <v>Inflation</v>
      </c>
      <c r="N740" t="str">
        <f>+_xlfn.IFNA(VLOOKUP(M740,'Mapping DEF'!B:C,2,FALSE),"")</f>
        <v>Other</v>
      </c>
      <c r="O740" t="s">
        <v>2778</v>
      </c>
    </row>
    <row r="741" spans="1:15" x14ac:dyDescent="0.25">
      <c r="A741" s="4" t="s">
        <v>2216</v>
      </c>
      <c r="B741" s="4" t="s">
        <v>2217</v>
      </c>
      <c r="C741" s="5">
        <v>2110</v>
      </c>
      <c r="D741" s="6" t="s">
        <v>2218</v>
      </c>
      <c r="E741" t="s">
        <v>313</v>
      </c>
      <c r="F741" t="s">
        <v>268</v>
      </c>
      <c r="G741" t="str">
        <f>+VLOOKUP(F741,[1]Explore!$B:$I,8,0)</f>
        <v>Alternative - Commodity</v>
      </c>
      <c r="H741" t="s">
        <v>269</v>
      </c>
      <c r="I741" t="str">
        <f>+VLOOKUP(H741,[1]Explore!$A:$I,9,0)</f>
        <v>Alternative - Commodity</v>
      </c>
      <c r="J741" t="str">
        <f t="shared" si="22"/>
        <v>OK</v>
      </c>
      <c r="K741" t="str">
        <f t="shared" si="23"/>
        <v>Alternative - Commodity</v>
      </c>
      <c r="L741" t="s">
        <v>2139</v>
      </c>
      <c r="M741" t="str">
        <f>_xlfn.IFNA(VLOOKUP(K741,'Mapping DEF'!A:C,2,0),"")</f>
        <v>Alternative</v>
      </c>
      <c r="N741" t="str">
        <f>+_xlfn.IFNA(VLOOKUP(M741,'Mapping DEF'!B:C,2,FALSE),"")</f>
        <v>Other</v>
      </c>
      <c r="O741" t="s">
        <v>2794</v>
      </c>
    </row>
    <row r="742" spans="1:15" x14ac:dyDescent="0.25">
      <c r="A742" s="4" t="s">
        <v>2216</v>
      </c>
      <c r="B742" s="4" t="s">
        <v>2217</v>
      </c>
      <c r="C742" s="5">
        <v>2110</v>
      </c>
      <c r="D742" s="6" t="s">
        <v>2218</v>
      </c>
      <c r="E742" t="s">
        <v>712</v>
      </c>
      <c r="F742" t="s">
        <v>2156</v>
      </c>
      <c r="G742" t="str">
        <f>+VLOOKUP(F742,[1]Explore!$B:$I,8,0)</f>
        <v>Equity Implied Volatility</v>
      </c>
      <c r="H742" t="s">
        <v>141</v>
      </c>
      <c r="I742" t="str">
        <f>+VLOOKUP(H742,[1]Explore!$A:$I,9,0)</f>
        <v>Equity Implied Volatility</v>
      </c>
      <c r="J742" t="str">
        <f t="shared" si="22"/>
        <v>OK</v>
      </c>
      <c r="K742" t="str">
        <f t="shared" si="23"/>
        <v>Equity Implied Volatility</v>
      </c>
      <c r="L742" t="s">
        <v>27</v>
      </c>
      <c r="M742" t="str">
        <f>_xlfn.IFNA(VLOOKUP(K742,'Mapping DEF'!A:C,2,0),"")</f>
        <v>Equity Derivatives</v>
      </c>
      <c r="N742" t="str">
        <f>+_xlfn.IFNA(VLOOKUP(M742,'Mapping DEF'!B:C,2,FALSE),"")</f>
        <v>Equity</v>
      </c>
      <c r="O742" t="s">
        <v>2753</v>
      </c>
    </row>
    <row r="743" spans="1:15" x14ac:dyDescent="0.25">
      <c r="A743" s="4" t="s">
        <v>2216</v>
      </c>
      <c r="B743" s="4" t="s">
        <v>2217</v>
      </c>
      <c r="C743" s="5">
        <v>2110</v>
      </c>
      <c r="D743" s="6" t="s">
        <v>2218</v>
      </c>
      <c r="E743" t="s">
        <v>391</v>
      </c>
      <c r="F743" t="s">
        <v>392</v>
      </c>
      <c r="G743" t="str">
        <f>+VLOOKUP(F743,[1]Explore!$B:$I,8,0)</f>
        <v>Equity Implied Volatility</v>
      </c>
      <c r="H743" t="s">
        <v>392</v>
      </c>
      <c r="I743" t="str">
        <f>+VLOOKUP(H743,[1]Explore!$A:$I,9,0)</f>
        <v>Equity Implied Volatility</v>
      </c>
      <c r="J743" t="str">
        <f t="shared" si="22"/>
        <v>OK</v>
      </c>
      <c r="K743" t="str">
        <f t="shared" si="23"/>
        <v>Equity Implied Volatility</v>
      </c>
      <c r="L743" t="s">
        <v>27</v>
      </c>
      <c r="M743" t="str">
        <f>_xlfn.IFNA(VLOOKUP(K743,'Mapping DEF'!A:C,2,0),"")</f>
        <v>Equity Derivatives</v>
      </c>
      <c r="N743" t="str">
        <f>+_xlfn.IFNA(VLOOKUP(M743,'Mapping DEF'!B:C,2,FALSE),"")</f>
        <v>Equity</v>
      </c>
      <c r="O743" t="s">
        <v>2842</v>
      </c>
    </row>
    <row r="744" spans="1:15" x14ac:dyDescent="0.25">
      <c r="A744" s="4" t="s">
        <v>2216</v>
      </c>
      <c r="B744" s="4" t="s">
        <v>2217</v>
      </c>
      <c r="C744" s="5">
        <v>2110</v>
      </c>
      <c r="D744" s="6" t="s">
        <v>2218</v>
      </c>
      <c r="E744" t="s">
        <v>1183</v>
      </c>
      <c r="F744" t="s">
        <v>220</v>
      </c>
      <c r="G744" t="str">
        <f>+VLOOKUP(F744,[1]Explore!$B:$I,8,0)</f>
        <v>Corporate HY USD - Other</v>
      </c>
      <c r="H744" t="s">
        <v>510</v>
      </c>
      <c r="I744" t="str">
        <f>+VLOOKUP(H744,[1]Explore!$A:$I,9,0)</f>
        <v>Corporate HY USD - Other</v>
      </c>
      <c r="J744" t="str">
        <f t="shared" si="22"/>
        <v>OK</v>
      </c>
      <c r="K744" t="str">
        <f t="shared" si="23"/>
        <v>Corporate HY USD - Other</v>
      </c>
      <c r="L744" t="s">
        <v>188</v>
      </c>
      <c r="M744" t="str">
        <f>_xlfn.IFNA(VLOOKUP(K744,'Mapping DEF'!A:C,2,0),"")</f>
        <v>Spread</v>
      </c>
      <c r="N744" t="str">
        <f>+_xlfn.IFNA(VLOOKUP(M744,'Mapping DEF'!B:C,2,FALSE),"")</f>
        <v>Spread</v>
      </c>
      <c r="O744" t="s">
        <v>2823</v>
      </c>
    </row>
    <row r="745" spans="1:15" x14ac:dyDescent="0.25">
      <c r="A745" s="4" t="s">
        <v>2216</v>
      </c>
      <c r="B745" s="4" t="s">
        <v>2217</v>
      </c>
      <c r="C745" s="5">
        <v>2110</v>
      </c>
      <c r="D745" s="6" t="s">
        <v>2218</v>
      </c>
      <c r="E745" t="s">
        <v>1184</v>
      </c>
      <c r="F745" t="s">
        <v>630</v>
      </c>
      <c r="G745" t="str">
        <f>+VLOOKUP(F745,[1]Explore!$B:$I,8,0)</f>
        <v>Value</v>
      </c>
      <c r="I745" t="e">
        <f>+VLOOKUP(H745,[1]Explore!$A:$I,9,0)</f>
        <v>#N/A</v>
      </c>
      <c r="J745" t="str">
        <f t="shared" si="22"/>
        <v>OK</v>
      </c>
      <c r="K745" t="str">
        <f t="shared" si="23"/>
        <v>Value</v>
      </c>
      <c r="L745" t="s">
        <v>2152</v>
      </c>
      <c r="M745" t="str">
        <f>_xlfn.IFNA(VLOOKUP(K745,'Mapping DEF'!A:C,2,0),"")</f>
        <v>Style</v>
      </c>
      <c r="N745" t="str">
        <f>+_xlfn.IFNA(VLOOKUP(M745,'Mapping DEF'!B:C,2,FALSE),"")</f>
        <v>Equity</v>
      </c>
      <c r="O745" t="s">
        <v>2799</v>
      </c>
    </row>
    <row r="746" spans="1:15" x14ac:dyDescent="0.25">
      <c r="A746" s="4" t="s">
        <v>2219</v>
      </c>
      <c r="B746" s="4" t="s">
        <v>2220</v>
      </c>
      <c r="C746" s="5">
        <v>2420</v>
      </c>
      <c r="D746" s="6" t="s">
        <v>2221</v>
      </c>
      <c r="E746" t="s">
        <v>888</v>
      </c>
      <c r="F746" t="s">
        <v>13</v>
      </c>
      <c r="G746" t="str">
        <f>+VLOOKUP(F746,[1]Explore!$B:$I,8,0)</f>
        <v>Govt USD</v>
      </c>
      <c r="H746" t="s">
        <v>14</v>
      </c>
      <c r="I746" t="str">
        <f>+VLOOKUP(H746,[1]Explore!$A:$I,9,0)</f>
        <v>Govt USD</v>
      </c>
      <c r="J746" t="str">
        <f t="shared" si="22"/>
        <v>OK</v>
      </c>
      <c r="K746" t="str">
        <f t="shared" si="23"/>
        <v>Govt USD</v>
      </c>
      <c r="L746" t="s">
        <v>2143</v>
      </c>
      <c r="M746" t="str">
        <f>_xlfn.IFNA(VLOOKUP(K746,'Mapping DEF'!A:C,2,0),"")</f>
        <v>Curve (Local)</v>
      </c>
      <c r="N746" t="str">
        <f>+_xlfn.IFNA(VLOOKUP(M746,'Mapping DEF'!B:C,2,FALSE),"")</f>
        <v>Term Structure</v>
      </c>
      <c r="O746" t="s">
        <v>2778</v>
      </c>
    </row>
    <row r="747" spans="1:15" x14ac:dyDescent="0.25">
      <c r="A747" s="4" t="s">
        <v>2219</v>
      </c>
      <c r="B747" s="4" t="s">
        <v>2220</v>
      </c>
      <c r="C747" s="5">
        <v>2420</v>
      </c>
      <c r="D747" s="6" t="s">
        <v>2221</v>
      </c>
      <c r="E747" t="s">
        <v>1185</v>
      </c>
      <c r="F747" t="s">
        <v>19</v>
      </c>
      <c r="G747" t="str">
        <f>+VLOOKUP(F747,[1]Explore!$B:$I,8,0)</f>
        <v>Govt USD</v>
      </c>
      <c r="H747" t="s">
        <v>20</v>
      </c>
      <c r="I747" t="str">
        <f>+VLOOKUP(H747,[1]Explore!$A:$I,9,0)</f>
        <v>Govt USD</v>
      </c>
      <c r="J747" t="str">
        <f t="shared" si="22"/>
        <v>OK</v>
      </c>
      <c r="K747" t="str">
        <f t="shared" si="23"/>
        <v>Govt USD</v>
      </c>
      <c r="L747" t="s">
        <v>2143</v>
      </c>
      <c r="M747" t="str">
        <f>_xlfn.IFNA(VLOOKUP(K747,'Mapping DEF'!A:C,2,0),"")</f>
        <v>Curve (Local)</v>
      </c>
      <c r="N747" t="str">
        <f>+_xlfn.IFNA(VLOOKUP(M747,'Mapping DEF'!B:C,2,FALSE),"")</f>
        <v>Term Structure</v>
      </c>
      <c r="O747" t="s">
        <v>2778</v>
      </c>
    </row>
    <row r="748" spans="1:15" x14ac:dyDescent="0.25">
      <c r="A748" s="4" t="s">
        <v>2219</v>
      </c>
      <c r="B748" s="4" t="s">
        <v>2220</v>
      </c>
      <c r="C748" s="5">
        <v>2420</v>
      </c>
      <c r="D748" s="6" t="s">
        <v>2221</v>
      </c>
      <c r="E748" t="s">
        <v>868</v>
      </c>
      <c r="F748" t="s">
        <v>206</v>
      </c>
      <c r="G748" t="e">
        <f>+VLOOKUP(F748,[1]Explore!$B:$I,8,0)</f>
        <v>#N/A</v>
      </c>
      <c r="H748" t="s">
        <v>206</v>
      </c>
      <c r="I748" t="e">
        <f>+VLOOKUP(H748,[1]Explore!$A:$I,9,0)</f>
        <v>#N/A</v>
      </c>
      <c r="J748" t="str">
        <f t="shared" si="22"/>
        <v>BOTH #N/A</v>
      </c>
      <c r="K748" t="str">
        <f t="shared" si="23"/>
        <v>Dollar Index</v>
      </c>
      <c r="L748" t="s">
        <v>2930</v>
      </c>
      <c r="M748" t="str">
        <f>_xlfn.IFNA(VLOOKUP(K748,'Mapping DEF'!A:C,2,0),"")</f>
        <v>Index Level</v>
      </c>
      <c r="N748" t="str">
        <f>+_xlfn.IFNA(VLOOKUP(M748,'Mapping DEF'!B:C,2,FALSE),"")</f>
        <v>Other</v>
      </c>
      <c r="O748" t="s">
        <v>2822</v>
      </c>
    </row>
    <row r="749" spans="1:15" x14ac:dyDescent="0.25">
      <c r="A749" s="4" t="s">
        <v>2219</v>
      </c>
      <c r="B749" s="4" t="s">
        <v>2220</v>
      </c>
      <c r="C749" s="5">
        <v>2420</v>
      </c>
      <c r="D749" s="6" t="s">
        <v>2221</v>
      </c>
      <c r="E749" t="s">
        <v>924</v>
      </c>
      <c r="F749" t="s">
        <v>2156</v>
      </c>
      <c r="G749" t="str">
        <f>+VLOOKUP(F749,[1]Explore!$B:$I,8,0)</f>
        <v>Equity Implied Volatility</v>
      </c>
      <c r="H749" t="s">
        <v>141</v>
      </c>
      <c r="I749" t="str">
        <f>+VLOOKUP(H749,[1]Explore!$A:$I,9,0)</f>
        <v>Equity Implied Volatility</v>
      </c>
      <c r="J749" t="str">
        <f t="shared" si="22"/>
        <v>OK</v>
      </c>
      <c r="K749" t="str">
        <f t="shared" si="23"/>
        <v>Equity Implied Volatility</v>
      </c>
      <c r="L749" t="s">
        <v>27</v>
      </c>
      <c r="M749" t="str">
        <f>_xlfn.IFNA(VLOOKUP(K749,'Mapping DEF'!A:C,2,0),"")</f>
        <v>Equity Derivatives</v>
      </c>
      <c r="N749" t="str">
        <f>+_xlfn.IFNA(VLOOKUP(M749,'Mapping DEF'!B:C,2,FALSE),"")</f>
        <v>Equity</v>
      </c>
      <c r="O749" t="s">
        <v>2775</v>
      </c>
    </row>
    <row r="750" spans="1:15" x14ac:dyDescent="0.25">
      <c r="A750" s="4" t="s">
        <v>2219</v>
      </c>
      <c r="B750" s="4" t="s">
        <v>2220</v>
      </c>
      <c r="C750" s="5">
        <v>2420</v>
      </c>
      <c r="D750" s="6" t="s">
        <v>2221</v>
      </c>
      <c r="E750" t="s">
        <v>1186</v>
      </c>
      <c r="F750" t="s">
        <v>220</v>
      </c>
      <c r="G750" t="str">
        <f>+VLOOKUP(F750,[1]Explore!$B:$I,8,0)</f>
        <v>Corporate HY USD - Other</v>
      </c>
      <c r="H750" t="s">
        <v>221</v>
      </c>
      <c r="I750" t="str">
        <f>+VLOOKUP(H750,[1]Explore!$A:$I,9,0)</f>
        <v>Corporate HY USD - Other</v>
      </c>
      <c r="J750" t="str">
        <f t="shared" si="22"/>
        <v>OK</v>
      </c>
      <c r="K750" t="str">
        <f t="shared" si="23"/>
        <v>Corporate HY USD - Other</v>
      </c>
      <c r="L750" t="s">
        <v>188</v>
      </c>
      <c r="M750" t="str">
        <f>_xlfn.IFNA(VLOOKUP(K750,'Mapping DEF'!A:C,2,0),"")</f>
        <v>Spread</v>
      </c>
      <c r="N750" t="str">
        <f>+_xlfn.IFNA(VLOOKUP(M750,'Mapping DEF'!B:C,2,FALSE),"")</f>
        <v>Spread</v>
      </c>
      <c r="O750" t="s">
        <v>2782</v>
      </c>
    </row>
    <row r="751" spans="1:15" x14ac:dyDescent="0.25">
      <c r="A751" s="4" t="s">
        <v>2222</v>
      </c>
      <c r="B751" s="4" t="s">
        <v>2223</v>
      </c>
      <c r="C751" s="5">
        <v>2421</v>
      </c>
      <c r="D751" s="6" t="s">
        <v>2224</v>
      </c>
      <c r="E751" t="s">
        <v>1187</v>
      </c>
      <c r="F751" t="s">
        <v>13</v>
      </c>
      <c r="G751" t="str">
        <f>+VLOOKUP(F751,[1]Explore!$B:$I,8,0)</f>
        <v>Govt USD</v>
      </c>
      <c r="H751" t="s">
        <v>14</v>
      </c>
      <c r="I751" t="str">
        <f>+VLOOKUP(H751,[1]Explore!$A:$I,9,0)</f>
        <v>Govt USD</v>
      </c>
      <c r="J751" t="str">
        <f t="shared" si="22"/>
        <v>OK</v>
      </c>
      <c r="K751" t="str">
        <f t="shared" si="23"/>
        <v>Govt USD</v>
      </c>
      <c r="L751" t="s">
        <v>2143</v>
      </c>
      <c r="M751" t="str">
        <f>_xlfn.IFNA(VLOOKUP(K751,'Mapping DEF'!A:C,2,0),"")</f>
        <v>Curve (Local)</v>
      </c>
      <c r="N751" t="str">
        <f>+_xlfn.IFNA(VLOOKUP(M751,'Mapping DEF'!B:C,2,FALSE),"")</f>
        <v>Term Structure</v>
      </c>
      <c r="O751" t="s">
        <v>2843</v>
      </c>
    </row>
    <row r="752" spans="1:15" x14ac:dyDescent="0.25">
      <c r="A752" s="4" t="s">
        <v>2222</v>
      </c>
      <c r="B752" s="4" t="s">
        <v>2223</v>
      </c>
      <c r="C752" s="5">
        <v>2421</v>
      </c>
      <c r="D752" s="6" t="s">
        <v>2224</v>
      </c>
      <c r="E752" t="s">
        <v>1181</v>
      </c>
      <c r="F752" t="s">
        <v>19</v>
      </c>
      <c r="G752" t="str">
        <f>+VLOOKUP(F752,[1]Explore!$B:$I,8,0)</f>
        <v>Govt USD</v>
      </c>
      <c r="H752" t="s">
        <v>20</v>
      </c>
      <c r="I752" t="str">
        <f>+VLOOKUP(H752,[1]Explore!$A:$I,9,0)</f>
        <v>Govt USD</v>
      </c>
      <c r="J752" t="str">
        <f t="shared" si="22"/>
        <v>OK</v>
      </c>
      <c r="K752" t="str">
        <f t="shared" si="23"/>
        <v>Govt USD</v>
      </c>
      <c r="L752" t="s">
        <v>2143</v>
      </c>
      <c r="M752" t="str">
        <f>_xlfn.IFNA(VLOOKUP(K752,'Mapping DEF'!A:C,2,0),"")</f>
        <v>Curve (Local)</v>
      </c>
      <c r="N752" t="str">
        <f>+_xlfn.IFNA(VLOOKUP(M752,'Mapping DEF'!B:C,2,FALSE),"")</f>
        <v>Term Structure</v>
      </c>
      <c r="O752" t="s">
        <v>2797</v>
      </c>
    </row>
    <row r="753" spans="1:15" x14ac:dyDescent="0.25">
      <c r="A753" s="4" t="s">
        <v>2222</v>
      </c>
      <c r="B753" s="4" t="s">
        <v>2223</v>
      </c>
      <c r="C753" s="5">
        <v>2421</v>
      </c>
      <c r="D753" s="6" t="s">
        <v>2224</v>
      </c>
      <c r="E753" t="s">
        <v>371</v>
      </c>
      <c r="F753" t="s">
        <v>206</v>
      </c>
      <c r="G753" t="e">
        <f>+VLOOKUP(F753,[1]Explore!$B:$I,8,0)</f>
        <v>#N/A</v>
      </c>
      <c r="H753" t="s">
        <v>206</v>
      </c>
      <c r="I753" t="e">
        <f>+VLOOKUP(H753,[1]Explore!$A:$I,9,0)</f>
        <v>#N/A</v>
      </c>
      <c r="J753" t="str">
        <f t="shared" si="22"/>
        <v>BOTH #N/A</v>
      </c>
      <c r="K753" t="str">
        <f t="shared" si="23"/>
        <v>Dollar Index</v>
      </c>
      <c r="L753" t="s">
        <v>2930</v>
      </c>
      <c r="M753" t="str">
        <f>_xlfn.IFNA(VLOOKUP(K753,'Mapping DEF'!A:C,2,0),"")</f>
        <v>Index Level</v>
      </c>
      <c r="N753" t="str">
        <f>+_xlfn.IFNA(VLOOKUP(M753,'Mapping DEF'!B:C,2,FALSE),"")</f>
        <v>Other</v>
      </c>
      <c r="O753" t="s">
        <v>2759</v>
      </c>
    </row>
    <row r="754" spans="1:15" x14ac:dyDescent="0.25">
      <c r="A754" s="4" t="s">
        <v>2222</v>
      </c>
      <c r="B754" s="4" t="s">
        <v>2223</v>
      </c>
      <c r="C754" s="5">
        <v>2421</v>
      </c>
      <c r="D754" s="6" t="s">
        <v>2224</v>
      </c>
      <c r="E754" t="s">
        <v>1188</v>
      </c>
      <c r="F754" t="s">
        <v>2156</v>
      </c>
      <c r="G754" t="str">
        <f>+VLOOKUP(F754,[1]Explore!$B:$I,8,0)</f>
        <v>Equity Implied Volatility</v>
      </c>
      <c r="H754" t="s">
        <v>141</v>
      </c>
      <c r="I754" t="str">
        <f>+VLOOKUP(H754,[1]Explore!$A:$I,9,0)</f>
        <v>Equity Implied Volatility</v>
      </c>
      <c r="J754" t="str">
        <f t="shared" si="22"/>
        <v>OK</v>
      </c>
      <c r="K754" t="str">
        <f t="shared" si="23"/>
        <v>Equity Implied Volatility</v>
      </c>
      <c r="L754" t="s">
        <v>27</v>
      </c>
      <c r="M754" t="str">
        <f>_xlfn.IFNA(VLOOKUP(K754,'Mapping DEF'!A:C,2,0),"")</f>
        <v>Equity Derivatives</v>
      </c>
      <c r="N754" t="str">
        <f>+_xlfn.IFNA(VLOOKUP(M754,'Mapping DEF'!B:C,2,FALSE),"")</f>
        <v>Equity</v>
      </c>
      <c r="O754" t="s">
        <v>2776</v>
      </c>
    </row>
    <row r="755" spans="1:15" x14ac:dyDescent="0.25">
      <c r="A755" s="4" t="s">
        <v>2222</v>
      </c>
      <c r="B755" s="4" t="s">
        <v>2223</v>
      </c>
      <c r="C755" s="5">
        <v>2421</v>
      </c>
      <c r="D755" s="6" t="s">
        <v>2224</v>
      </c>
      <c r="E755" t="s">
        <v>581</v>
      </c>
      <c r="F755" t="s">
        <v>392</v>
      </c>
      <c r="G755" t="str">
        <f>+VLOOKUP(F755,[1]Explore!$B:$I,8,0)</f>
        <v>Equity Implied Volatility</v>
      </c>
      <c r="H755" t="s">
        <v>392</v>
      </c>
      <c r="I755" t="str">
        <f>+VLOOKUP(H755,[1]Explore!$A:$I,9,0)</f>
        <v>Equity Implied Volatility</v>
      </c>
      <c r="J755" t="str">
        <f t="shared" si="22"/>
        <v>OK</v>
      </c>
      <c r="K755" t="str">
        <f t="shared" si="23"/>
        <v>Equity Implied Volatility</v>
      </c>
      <c r="L755" t="s">
        <v>27</v>
      </c>
      <c r="M755" t="str">
        <f>_xlfn.IFNA(VLOOKUP(K755,'Mapping DEF'!A:C,2,0),"")</f>
        <v>Equity Derivatives</v>
      </c>
      <c r="N755" t="str">
        <f>+_xlfn.IFNA(VLOOKUP(M755,'Mapping DEF'!B:C,2,FALSE),"")</f>
        <v>Equity</v>
      </c>
      <c r="O755" t="s">
        <v>2811</v>
      </c>
    </row>
    <row r="756" spans="1:15" x14ac:dyDescent="0.25">
      <c r="A756" s="4" t="s">
        <v>2222</v>
      </c>
      <c r="B756" s="4" t="s">
        <v>2223</v>
      </c>
      <c r="C756" s="5">
        <v>2421</v>
      </c>
      <c r="D756" s="6" t="s">
        <v>2224</v>
      </c>
      <c r="E756" t="s">
        <v>1189</v>
      </c>
      <c r="F756" t="s">
        <v>826</v>
      </c>
      <c r="G756" t="str">
        <f>+VLOOKUP(F756,[1]Explore!$B:$I,8,0)</f>
        <v>Equity Implied Volatility</v>
      </c>
      <c r="H756" t="s">
        <v>827</v>
      </c>
      <c r="I756" t="str">
        <f>+VLOOKUP(H756,[1]Explore!$A:$I,9,0)</f>
        <v>Equity Implied Volatility</v>
      </c>
      <c r="J756" t="str">
        <f t="shared" si="22"/>
        <v>OK</v>
      </c>
      <c r="K756" t="str">
        <f t="shared" si="23"/>
        <v>Equity Implied Volatility</v>
      </c>
      <c r="L756" t="s">
        <v>27</v>
      </c>
      <c r="M756" t="str">
        <f>_xlfn.IFNA(VLOOKUP(K756,'Mapping DEF'!A:C,2,0),"")</f>
        <v>Equity Derivatives</v>
      </c>
      <c r="N756" t="str">
        <f>+_xlfn.IFNA(VLOOKUP(M756,'Mapping DEF'!B:C,2,FALSE),"")</f>
        <v>Equity</v>
      </c>
      <c r="O756" t="s">
        <v>2761</v>
      </c>
    </row>
    <row r="757" spans="1:15" x14ac:dyDescent="0.25">
      <c r="A757" s="4" t="s">
        <v>2222</v>
      </c>
      <c r="B757" s="4" t="s">
        <v>2223</v>
      </c>
      <c r="C757" s="5">
        <v>2421</v>
      </c>
      <c r="D757" s="6" t="s">
        <v>2224</v>
      </c>
      <c r="E757" t="s">
        <v>1190</v>
      </c>
      <c r="F757" t="s">
        <v>346</v>
      </c>
      <c r="G757" t="str">
        <f>+VLOOKUP(F757,[1]Explore!$B:$I,8,0)</f>
        <v>Spread Emerging Markets - Country</v>
      </c>
      <c r="H757" t="s">
        <v>347</v>
      </c>
      <c r="I757" t="str">
        <f>+VLOOKUP(H757,[1]Explore!$A:$I,9,0)</f>
        <v>Spread Emerging Markets - Country</v>
      </c>
      <c r="J757" t="str">
        <f t="shared" si="22"/>
        <v>OK</v>
      </c>
      <c r="K757" t="str">
        <f t="shared" si="23"/>
        <v>Spread Emerging Markets - Country</v>
      </c>
      <c r="L757" t="s">
        <v>188</v>
      </c>
      <c r="M757" t="str">
        <f>_xlfn.IFNA(VLOOKUP(K757,'Mapping DEF'!A:C,2,0),"")</f>
        <v>Spread</v>
      </c>
      <c r="N757" t="str">
        <f>+_xlfn.IFNA(VLOOKUP(M757,'Mapping DEF'!B:C,2,FALSE),"")</f>
        <v>Spread</v>
      </c>
      <c r="O757" t="s">
        <v>2755</v>
      </c>
    </row>
    <row r="758" spans="1:15" x14ac:dyDescent="0.25">
      <c r="A758" s="4" t="s">
        <v>2222</v>
      </c>
      <c r="B758" s="4" t="s">
        <v>2223</v>
      </c>
      <c r="C758" s="5">
        <v>2421</v>
      </c>
      <c r="D758" s="6" t="s">
        <v>2224</v>
      </c>
      <c r="E758" t="s">
        <v>859</v>
      </c>
      <c r="F758" t="s">
        <v>220</v>
      </c>
      <c r="G758" t="str">
        <f>+VLOOKUP(F758,[1]Explore!$B:$I,8,0)</f>
        <v>Corporate HY USD - Other</v>
      </c>
      <c r="H758" t="s">
        <v>221</v>
      </c>
      <c r="I758" t="str">
        <f>+VLOOKUP(H758,[1]Explore!$A:$I,9,0)</f>
        <v>Corporate HY USD - Other</v>
      </c>
      <c r="J758" t="str">
        <f t="shared" si="22"/>
        <v>OK</v>
      </c>
      <c r="K758" t="str">
        <f t="shared" si="23"/>
        <v>Corporate HY USD - Other</v>
      </c>
      <c r="L758" t="s">
        <v>188</v>
      </c>
      <c r="M758" t="str">
        <f>_xlfn.IFNA(VLOOKUP(K758,'Mapping DEF'!A:C,2,0),"")</f>
        <v>Spread</v>
      </c>
      <c r="N758" t="str">
        <f>+_xlfn.IFNA(VLOOKUP(M758,'Mapping DEF'!B:C,2,FALSE),"")</f>
        <v>Spread</v>
      </c>
      <c r="O758" t="s">
        <v>2765</v>
      </c>
    </row>
    <row r="759" spans="1:15" x14ac:dyDescent="0.25">
      <c r="A759" s="4" t="s">
        <v>2222</v>
      </c>
      <c r="B759" s="4" t="s">
        <v>2223</v>
      </c>
      <c r="C759" s="5">
        <v>2421</v>
      </c>
      <c r="D759" s="6" t="s">
        <v>2224</v>
      </c>
      <c r="E759" t="s">
        <v>1191</v>
      </c>
      <c r="F759" t="s">
        <v>2169</v>
      </c>
      <c r="G759" t="str">
        <f>+VLOOKUP(F759,[1]Explore!$B:$I,8,0)</f>
        <v>Other - Index</v>
      </c>
      <c r="H759" t="s">
        <v>278</v>
      </c>
      <c r="I759" t="e">
        <f>+VLOOKUP(H759,[1]Explore!$A:$I,9,0)</f>
        <v>#N/A</v>
      </c>
      <c r="J759" t="str">
        <f t="shared" si="22"/>
        <v>OK</v>
      </c>
      <c r="K759" t="str">
        <f t="shared" si="23"/>
        <v>Other - Index</v>
      </c>
      <c r="L759" t="s">
        <v>27</v>
      </c>
      <c r="M759" t="str">
        <f>_xlfn.IFNA(VLOOKUP(K759,'Mapping DEF'!A:C,2,0),"")</f>
        <v>Other</v>
      </c>
      <c r="N759" t="str">
        <f>+_xlfn.IFNA(VLOOKUP(M759,'Mapping DEF'!B:C,2,FALSE),"")</f>
        <v>Other</v>
      </c>
      <c r="O759" t="s">
        <v>2801</v>
      </c>
    </row>
    <row r="760" spans="1:15" x14ac:dyDescent="0.25">
      <c r="A760" s="4" t="s">
        <v>2225</v>
      </c>
      <c r="B760" s="4" t="s">
        <v>2226</v>
      </c>
      <c r="C760" s="5">
        <v>2501</v>
      </c>
      <c r="D760" s="6" t="s">
        <v>2227</v>
      </c>
      <c r="E760" t="s">
        <v>1192</v>
      </c>
      <c r="F760" t="s">
        <v>13</v>
      </c>
      <c r="G760" t="str">
        <f>+VLOOKUP(F760,[1]Explore!$B:$I,8,0)</f>
        <v>Govt USD</v>
      </c>
      <c r="H760" t="s">
        <v>14</v>
      </c>
      <c r="I760" t="str">
        <f>+VLOOKUP(H760,[1]Explore!$A:$I,9,0)</f>
        <v>Govt USD</v>
      </c>
      <c r="J760" t="str">
        <f t="shared" si="22"/>
        <v>OK</v>
      </c>
      <c r="K760" t="str">
        <f t="shared" si="23"/>
        <v>Govt USD</v>
      </c>
      <c r="L760" t="s">
        <v>2143</v>
      </c>
      <c r="M760" t="str">
        <f>_xlfn.IFNA(VLOOKUP(K760,'Mapping DEF'!A:C,2,0),"")</f>
        <v>Curve (Local)</v>
      </c>
      <c r="N760" t="str">
        <f>+_xlfn.IFNA(VLOOKUP(M760,'Mapping DEF'!B:C,2,FALSE),"")</f>
        <v>Term Structure</v>
      </c>
      <c r="O760" t="s">
        <v>2782</v>
      </c>
    </row>
    <row r="761" spans="1:15" x14ac:dyDescent="0.25">
      <c r="A761" s="4" t="s">
        <v>2225</v>
      </c>
      <c r="B761" s="4" t="s">
        <v>2226</v>
      </c>
      <c r="C761" s="5">
        <v>2501</v>
      </c>
      <c r="D761" s="6" t="s">
        <v>2227</v>
      </c>
      <c r="E761" t="s">
        <v>1139</v>
      </c>
      <c r="F761" t="s">
        <v>19</v>
      </c>
      <c r="G761" t="str">
        <f>+VLOOKUP(F761,[1]Explore!$B:$I,8,0)</f>
        <v>Govt USD</v>
      </c>
      <c r="H761" t="s">
        <v>20</v>
      </c>
      <c r="I761" t="str">
        <f>+VLOOKUP(H761,[1]Explore!$A:$I,9,0)</f>
        <v>Govt USD</v>
      </c>
      <c r="J761" t="str">
        <f t="shared" si="22"/>
        <v>OK</v>
      </c>
      <c r="K761" t="str">
        <f t="shared" si="23"/>
        <v>Govt USD</v>
      </c>
      <c r="L761" t="s">
        <v>2143</v>
      </c>
      <c r="M761" t="str">
        <f>_xlfn.IFNA(VLOOKUP(K761,'Mapping DEF'!A:C,2,0),"")</f>
        <v>Curve (Local)</v>
      </c>
      <c r="N761" t="str">
        <f>+_xlfn.IFNA(VLOOKUP(M761,'Mapping DEF'!B:C,2,FALSE),"")</f>
        <v>Term Structure</v>
      </c>
      <c r="O761" t="s">
        <v>2781</v>
      </c>
    </row>
    <row r="762" spans="1:15" x14ac:dyDescent="0.25">
      <c r="A762" s="4" t="s">
        <v>2225</v>
      </c>
      <c r="B762" s="4" t="s">
        <v>2226</v>
      </c>
      <c r="C762" s="5">
        <v>2501</v>
      </c>
      <c r="D762" s="6" t="s">
        <v>2227</v>
      </c>
      <c r="E762" t="s">
        <v>1193</v>
      </c>
      <c r="F762" t="s">
        <v>753</v>
      </c>
      <c r="G762" t="e">
        <f>+VLOOKUP(F762,[1]Explore!$B:$I,8,0)</f>
        <v>#N/A</v>
      </c>
      <c r="H762" t="s">
        <v>754</v>
      </c>
      <c r="I762" t="e">
        <f>+VLOOKUP(H762,[1]Explore!$A:$I,9,0)</f>
        <v>#N/A</v>
      </c>
      <c r="J762" t="str">
        <f t="shared" si="22"/>
        <v>BOTH #N/A</v>
      </c>
      <c r="K762" t="str">
        <f t="shared" si="23"/>
        <v>Corporate IG USD - Other</v>
      </c>
      <c r="L762" t="s">
        <v>2650</v>
      </c>
      <c r="M762" t="str">
        <f>_xlfn.IFNA(VLOOKUP(K762,'Mapping DEF'!A:C,2,0),"")</f>
        <v>Spread</v>
      </c>
      <c r="N762" t="str">
        <f>+_xlfn.IFNA(VLOOKUP(M762,'Mapping DEF'!B:C,2,FALSE),"")</f>
        <v>Spread</v>
      </c>
      <c r="O762" t="s">
        <v>2818</v>
      </c>
    </row>
    <row r="763" spans="1:15" x14ac:dyDescent="0.25">
      <c r="A763" s="4" t="s">
        <v>2225</v>
      </c>
      <c r="B763" s="4" t="s">
        <v>2226</v>
      </c>
      <c r="C763" s="5">
        <v>2501</v>
      </c>
      <c r="D763" s="6" t="s">
        <v>2227</v>
      </c>
      <c r="E763" t="s">
        <v>1194</v>
      </c>
      <c r="F763" t="s">
        <v>997</v>
      </c>
      <c r="G763" t="str">
        <f>+VLOOKUP(F763,[1]Explore!$B:$I,8,0)</f>
        <v>Govt EUR (Ger)</v>
      </c>
      <c r="H763" t="s">
        <v>998</v>
      </c>
      <c r="I763" t="str">
        <f>+VLOOKUP(H763,[1]Explore!$A:$I,9,0)</f>
        <v>Govt EUR (Ger)</v>
      </c>
      <c r="J763" t="str">
        <f t="shared" si="22"/>
        <v>OK</v>
      </c>
      <c r="K763" t="str">
        <f t="shared" si="23"/>
        <v>Govt EUR (Ger)</v>
      </c>
      <c r="L763" t="s">
        <v>2143</v>
      </c>
      <c r="M763" t="str">
        <f>_xlfn.IFNA(VLOOKUP(K763,'Mapping DEF'!A:C,2,0),"")</f>
        <v>Curve (Local)</v>
      </c>
      <c r="N763" t="str">
        <f>+_xlfn.IFNA(VLOOKUP(M763,'Mapping DEF'!B:C,2,FALSE),"")</f>
        <v>Term Structure</v>
      </c>
      <c r="O763" t="s">
        <v>2779</v>
      </c>
    </row>
    <row r="764" spans="1:15" x14ac:dyDescent="0.25">
      <c r="A764" s="4" t="s">
        <v>2225</v>
      </c>
      <c r="B764" s="4" t="s">
        <v>2226</v>
      </c>
      <c r="C764" s="5">
        <v>2501</v>
      </c>
      <c r="D764" s="6" t="s">
        <v>2227</v>
      </c>
      <c r="E764" t="s">
        <v>688</v>
      </c>
      <c r="F764" t="s">
        <v>315</v>
      </c>
      <c r="G764" t="str">
        <f>+VLOOKUP(F764,[1]Explore!$B:$I,8,0)</f>
        <v>Govt EUR (Ger)</v>
      </c>
      <c r="H764" t="s">
        <v>316</v>
      </c>
      <c r="I764" t="str">
        <f>+VLOOKUP(H764,[1]Explore!$A:$I,9,0)</f>
        <v>Govt EUR (Ger)</v>
      </c>
      <c r="J764" t="str">
        <f t="shared" si="22"/>
        <v>OK</v>
      </c>
      <c r="K764" t="str">
        <f t="shared" si="23"/>
        <v>Govt EUR (Ger)</v>
      </c>
      <c r="L764" t="s">
        <v>2143</v>
      </c>
      <c r="M764" t="str">
        <f>_xlfn.IFNA(VLOOKUP(K764,'Mapping DEF'!A:C,2,0),"")</f>
        <v>Curve (Local)</v>
      </c>
      <c r="N764" t="str">
        <f>+_xlfn.IFNA(VLOOKUP(M764,'Mapping DEF'!B:C,2,FALSE),"")</f>
        <v>Term Structure</v>
      </c>
      <c r="O764" t="s">
        <v>2774</v>
      </c>
    </row>
    <row r="765" spans="1:15" x14ac:dyDescent="0.25">
      <c r="A765" s="4" t="s">
        <v>2225</v>
      </c>
      <c r="B765" s="4" t="s">
        <v>2226</v>
      </c>
      <c r="C765" s="5">
        <v>2501</v>
      </c>
      <c r="D765" s="6" t="s">
        <v>2227</v>
      </c>
      <c r="E765" t="s">
        <v>1195</v>
      </c>
      <c r="F765" t="s">
        <v>2942</v>
      </c>
      <c r="G765" t="str">
        <f>+VLOOKUP(F765,[1]Explore!$B:$I,8,0)</f>
        <v>EUR</v>
      </c>
      <c r="H765" t="s">
        <v>173</v>
      </c>
      <c r="I765" t="str">
        <f>+VLOOKUP(H765,[1]Explore!$A:$I,9,0)</f>
        <v>EUR</v>
      </c>
      <c r="J765" t="str">
        <f t="shared" si="22"/>
        <v>OK</v>
      </c>
      <c r="K765" t="str">
        <f t="shared" si="23"/>
        <v>EUR</v>
      </c>
      <c r="L765" t="s">
        <v>2140</v>
      </c>
      <c r="M765" t="str">
        <f>_xlfn.IFNA(VLOOKUP(K765,'Mapping DEF'!A:C,2,0),"")</f>
        <v>FX</v>
      </c>
      <c r="N765" t="str">
        <f>+_xlfn.IFNA(VLOOKUP(M765,'Mapping DEF'!B:C,2,FALSE),"")</f>
        <v>FX</v>
      </c>
      <c r="O765" t="s">
        <v>2802</v>
      </c>
    </row>
    <row r="766" spans="1:15" x14ac:dyDescent="0.25">
      <c r="A766" s="4" t="s">
        <v>2225</v>
      </c>
      <c r="B766" s="4" t="s">
        <v>2226</v>
      </c>
      <c r="C766" s="5">
        <v>2501</v>
      </c>
      <c r="D766" s="6" t="s">
        <v>2227</v>
      </c>
      <c r="E766" t="s">
        <v>1196</v>
      </c>
      <c r="F766" t="s">
        <v>346</v>
      </c>
      <c r="G766" t="str">
        <f>+VLOOKUP(F766,[1]Explore!$B:$I,8,0)</f>
        <v>Spread Emerging Markets - Country</v>
      </c>
      <c r="H766" t="s">
        <v>347</v>
      </c>
      <c r="I766" t="str">
        <f>+VLOOKUP(H766,[1]Explore!$A:$I,9,0)</f>
        <v>Spread Emerging Markets - Country</v>
      </c>
      <c r="J766" t="str">
        <f t="shared" si="22"/>
        <v>OK</v>
      </c>
      <c r="K766" t="str">
        <f t="shared" si="23"/>
        <v>Spread Emerging Markets - Country</v>
      </c>
      <c r="L766" t="s">
        <v>188</v>
      </c>
      <c r="M766" t="str">
        <f>_xlfn.IFNA(VLOOKUP(K766,'Mapping DEF'!A:C,2,0),"")</f>
        <v>Spread</v>
      </c>
      <c r="N766" t="str">
        <f>+_xlfn.IFNA(VLOOKUP(M766,'Mapping DEF'!B:C,2,FALSE),"")</f>
        <v>Spread</v>
      </c>
      <c r="O766" t="s">
        <v>2774</v>
      </c>
    </row>
    <row r="767" spans="1:15" x14ac:dyDescent="0.25">
      <c r="A767" s="4" t="s">
        <v>2225</v>
      </c>
      <c r="B767" s="4" t="s">
        <v>2226</v>
      </c>
      <c r="C767" s="5">
        <v>2501</v>
      </c>
      <c r="D767" s="6" t="s">
        <v>2227</v>
      </c>
      <c r="E767" t="s">
        <v>1197</v>
      </c>
      <c r="F767" t="s">
        <v>2613</v>
      </c>
      <c r="G767" t="str">
        <f>+VLOOKUP(F767,[1]Explore!$B:$I,8,0)</f>
        <v>Other - Index</v>
      </c>
      <c r="H767" t="s">
        <v>217</v>
      </c>
      <c r="I767" t="e">
        <f>+VLOOKUP(H767,[1]Explore!$A:$I,9,0)</f>
        <v>#N/A</v>
      </c>
      <c r="J767" t="str">
        <f t="shared" si="22"/>
        <v>OK</v>
      </c>
      <c r="K767" t="str">
        <f t="shared" si="23"/>
        <v>Other - Index</v>
      </c>
      <c r="L767" t="s">
        <v>27</v>
      </c>
      <c r="M767" t="str">
        <f>_xlfn.IFNA(VLOOKUP(K767,'Mapping DEF'!A:C,2,0),"")</f>
        <v>Other</v>
      </c>
      <c r="N767" t="str">
        <f>+_xlfn.IFNA(VLOOKUP(M767,'Mapping DEF'!B:C,2,FALSE),"")</f>
        <v>Other</v>
      </c>
      <c r="O767" t="s">
        <v>2770</v>
      </c>
    </row>
    <row r="768" spans="1:15" x14ac:dyDescent="0.25">
      <c r="A768" s="4" t="s">
        <v>2225</v>
      </c>
      <c r="B768" s="4" t="s">
        <v>2226</v>
      </c>
      <c r="C768" s="5">
        <v>2501</v>
      </c>
      <c r="D768" s="6" t="s">
        <v>2227</v>
      </c>
      <c r="E768" t="s">
        <v>1198</v>
      </c>
      <c r="F768" t="s">
        <v>349</v>
      </c>
      <c r="G768" t="str">
        <f>+VLOOKUP(F768,[1]Explore!$B:$I,8,0)</f>
        <v>Corporate HY USD - Industry</v>
      </c>
      <c r="H768" t="s">
        <v>855</v>
      </c>
      <c r="I768" t="e">
        <f>+VLOOKUP(H768,[1]Explore!$A:$I,9,0)</f>
        <v>#N/A</v>
      </c>
      <c r="J768" t="str">
        <f t="shared" si="22"/>
        <v>OK</v>
      </c>
      <c r="K768" t="str">
        <f t="shared" si="23"/>
        <v>Corporate HY USD - Industry</v>
      </c>
      <c r="L768" t="s">
        <v>188</v>
      </c>
      <c r="M768" t="str">
        <f>_xlfn.IFNA(VLOOKUP(K768,'Mapping DEF'!A:C,2,0),"")</f>
        <v>Spread</v>
      </c>
      <c r="N768" t="str">
        <f>+_xlfn.IFNA(VLOOKUP(M768,'Mapping DEF'!B:C,2,FALSE),"")</f>
        <v>Spread</v>
      </c>
      <c r="O768" t="s">
        <v>2797</v>
      </c>
    </row>
    <row r="769" spans="1:15" x14ac:dyDescent="0.25">
      <c r="A769" s="4" t="s">
        <v>2225</v>
      </c>
      <c r="B769" s="4" t="s">
        <v>2226</v>
      </c>
      <c r="C769" s="5">
        <v>2501</v>
      </c>
      <c r="D769" s="6" t="s">
        <v>2227</v>
      </c>
      <c r="E769" t="s">
        <v>1199</v>
      </c>
      <c r="F769" t="s">
        <v>753</v>
      </c>
      <c r="G769" t="e">
        <f>+VLOOKUP(F769,[1]Explore!$B:$I,8,0)</f>
        <v>#N/A</v>
      </c>
      <c r="H769" t="s">
        <v>855</v>
      </c>
      <c r="I769" t="e">
        <f>+VLOOKUP(H769,[1]Explore!$A:$I,9,0)</f>
        <v>#N/A</v>
      </c>
      <c r="J769" t="str">
        <f t="shared" si="22"/>
        <v>BOTH #N/A</v>
      </c>
      <c r="K769" t="str">
        <f t="shared" si="23"/>
        <v>Corporate IG USD - Other</v>
      </c>
      <c r="L769" t="s">
        <v>2650</v>
      </c>
      <c r="M769" t="str">
        <f>_xlfn.IFNA(VLOOKUP(K769,'Mapping DEF'!A:C,2,0),"")</f>
        <v>Spread</v>
      </c>
      <c r="N769" t="str">
        <f>+_xlfn.IFNA(VLOOKUP(M769,'Mapping DEF'!B:C,2,FALSE),"")</f>
        <v>Spread</v>
      </c>
      <c r="O769" t="s">
        <v>2781</v>
      </c>
    </row>
    <row r="770" spans="1:15" x14ac:dyDescent="0.25">
      <c r="A770" s="4" t="s">
        <v>2228</v>
      </c>
      <c r="B770" s="4" t="s">
        <v>2229</v>
      </c>
      <c r="C770" s="5">
        <v>2503</v>
      </c>
      <c r="D770" s="6" t="s">
        <v>2230</v>
      </c>
      <c r="E770" t="s">
        <v>1200</v>
      </c>
      <c r="F770" t="s">
        <v>19</v>
      </c>
      <c r="G770" t="str">
        <f>+VLOOKUP(F770,[1]Explore!$B:$I,8,0)</f>
        <v>Govt USD</v>
      </c>
      <c r="H770" t="s">
        <v>20</v>
      </c>
      <c r="I770" t="str">
        <f>+VLOOKUP(H770,[1]Explore!$A:$I,9,0)</f>
        <v>Govt USD</v>
      </c>
      <c r="J770" t="str">
        <f t="shared" si="22"/>
        <v>OK</v>
      </c>
      <c r="K770" t="str">
        <f t="shared" si="23"/>
        <v>Govt USD</v>
      </c>
      <c r="L770" t="s">
        <v>2143</v>
      </c>
      <c r="M770" t="str">
        <f>_xlfn.IFNA(VLOOKUP(K770,'Mapping DEF'!A:C,2,0),"")</f>
        <v>Curve (Local)</v>
      </c>
      <c r="N770" t="str">
        <f>+_xlfn.IFNA(VLOOKUP(M770,'Mapping DEF'!B:C,2,FALSE),"")</f>
        <v>Term Structure</v>
      </c>
      <c r="O770" t="s">
        <v>2788</v>
      </c>
    </row>
    <row r="771" spans="1:15" x14ac:dyDescent="0.25">
      <c r="A771" s="4" t="s">
        <v>2228</v>
      </c>
      <c r="B771" s="4" t="s">
        <v>2229</v>
      </c>
      <c r="C771" s="5">
        <v>2503</v>
      </c>
      <c r="D771" s="6" t="s">
        <v>2230</v>
      </c>
      <c r="E771" t="s">
        <v>1201</v>
      </c>
      <c r="F771" t="s">
        <v>258</v>
      </c>
      <c r="G771" t="str">
        <f>+VLOOKUP(F771,[1]Explore!$B:$I,8,0)</f>
        <v>USD Inflation</v>
      </c>
      <c r="H771" t="s">
        <v>259</v>
      </c>
      <c r="I771" t="str">
        <f>+VLOOKUP(H771,[1]Explore!$A:$I,9,0)</f>
        <v>USD Inflation</v>
      </c>
      <c r="J771" t="str">
        <f t="shared" ref="J771:J834" si="24">IF(AND(ISNA(G771),ISNA(I771)),"BOTH #N/A","OK")</f>
        <v>OK</v>
      </c>
      <c r="K771" t="str">
        <f t="shared" ref="K771:K834" si="25">IFERROR(I771, IFERROR(G771, L771))</f>
        <v>USD Inflation</v>
      </c>
      <c r="L771" t="s">
        <v>2143</v>
      </c>
      <c r="M771" t="str">
        <f>_xlfn.IFNA(VLOOKUP(K771,'Mapping DEF'!A:C,2,0),"")</f>
        <v>Inflation</v>
      </c>
      <c r="N771" t="str">
        <f>+_xlfn.IFNA(VLOOKUP(M771,'Mapping DEF'!B:C,2,FALSE),"")</f>
        <v>Other</v>
      </c>
      <c r="O771" t="s">
        <v>2781</v>
      </c>
    </row>
    <row r="772" spans="1:15" x14ac:dyDescent="0.25">
      <c r="A772" s="4" t="s">
        <v>2228</v>
      </c>
      <c r="B772" s="4" t="s">
        <v>2229</v>
      </c>
      <c r="C772" s="5">
        <v>2503</v>
      </c>
      <c r="D772" s="6" t="s">
        <v>2230</v>
      </c>
      <c r="E772" t="s">
        <v>1202</v>
      </c>
      <c r="F772" t="s">
        <v>265</v>
      </c>
      <c r="G772" t="str">
        <f>+VLOOKUP(F772,[1]Explore!$B:$I,8,0)</f>
        <v>Alternative - Commodity</v>
      </c>
      <c r="H772" t="s">
        <v>266</v>
      </c>
      <c r="I772" t="str">
        <f>+VLOOKUP(H772,[1]Explore!$A:$I,9,0)</f>
        <v>Alternative - Commodity</v>
      </c>
      <c r="J772" t="str">
        <f t="shared" si="24"/>
        <v>OK</v>
      </c>
      <c r="K772" t="str">
        <f t="shared" si="25"/>
        <v>Alternative - Commodity</v>
      </c>
      <c r="L772" t="s">
        <v>2139</v>
      </c>
      <c r="M772" t="str">
        <f>_xlfn.IFNA(VLOOKUP(K772,'Mapping DEF'!A:C,2,0),"")</f>
        <v>Alternative</v>
      </c>
      <c r="N772" t="str">
        <f>+_xlfn.IFNA(VLOOKUP(M772,'Mapping DEF'!B:C,2,FALSE),"")</f>
        <v>Other</v>
      </c>
      <c r="O772" t="s">
        <v>2754</v>
      </c>
    </row>
    <row r="773" spans="1:15" x14ac:dyDescent="0.25">
      <c r="A773" s="4" t="s">
        <v>2228</v>
      </c>
      <c r="B773" s="4" t="s">
        <v>2229</v>
      </c>
      <c r="C773" s="5">
        <v>2503</v>
      </c>
      <c r="D773" s="6" t="s">
        <v>2230</v>
      </c>
      <c r="E773" t="s">
        <v>1203</v>
      </c>
      <c r="F773" t="s">
        <v>753</v>
      </c>
      <c r="G773" t="e">
        <f>+VLOOKUP(F773,[1]Explore!$B:$I,8,0)</f>
        <v>#N/A</v>
      </c>
      <c r="H773" t="s">
        <v>754</v>
      </c>
      <c r="I773" t="e">
        <f>+VLOOKUP(H773,[1]Explore!$A:$I,9,0)</f>
        <v>#N/A</v>
      </c>
      <c r="J773" t="str">
        <f t="shared" si="24"/>
        <v>BOTH #N/A</v>
      </c>
      <c r="K773" t="str">
        <f t="shared" si="25"/>
        <v>Corporate IG USD - Other</v>
      </c>
      <c r="L773" t="s">
        <v>2650</v>
      </c>
      <c r="M773" t="str">
        <f>_xlfn.IFNA(VLOOKUP(K773,'Mapping DEF'!A:C,2,0),"")</f>
        <v>Spread</v>
      </c>
      <c r="N773" t="str">
        <f>+_xlfn.IFNA(VLOOKUP(M773,'Mapping DEF'!B:C,2,FALSE),"")</f>
        <v>Spread</v>
      </c>
      <c r="O773" t="s">
        <v>2829</v>
      </c>
    </row>
    <row r="774" spans="1:15" x14ac:dyDescent="0.25">
      <c r="A774" s="4" t="s">
        <v>2228</v>
      </c>
      <c r="B774" s="4" t="s">
        <v>2229</v>
      </c>
      <c r="C774" s="5">
        <v>2504</v>
      </c>
      <c r="D774" s="6" t="s">
        <v>2230</v>
      </c>
      <c r="E774" t="s">
        <v>1195</v>
      </c>
      <c r="F774" t="s">
        <v>2942</v>
      </c>
      <c r="G774" t="str">
        <f>+VLOOKUP(F774,[1]Explore!$B:$I,8,0)</f>
        <v>EUR</v>
      </c>
      <c r="H774" t="s">
        <v>173</v>
      </c>
      <c r="I774" t="str">
        <f>+VLOOKUP(H774,[1]Explore!$A:$I,9,0)</f>
        <v>EUR</v>
      </c>
      <c r="J774" t="str">
        <f t="shared" si="24"/>
        <v>OK</v>
      </c>
      <c r="K774" t="str">
        <f t="shared" si="25"/>
        <v>EUR</v>
      </c>
      <c r="L774" t="s">
        <v>2140</v>
      </c>
      <c r="M774" t="str">
        <f>_xlfn.IFNA(VLOOKUP(K774,'Mapping DEF'!A:C,2,0),"")</f>
        <v>FX</v>
      </c>
      <c r="N774" t="str">
        <f>+_xlfn.IFNA(VLOOKUP(M774,'Mapping DEF'!B:C,2,FALSE),"")</f>
        <v>FX</v>
      </c>
      <c r="O774" t="s">
        <v>2802</v>
      </c>
    </row>
    <row r="775" spans="1:15" x14ac:dyDescent="0.25">
      <c r="A775" s="4" t="s">
        <v>2228</v>
      </c>
      <c r="B775" s="4" t="s">
        <v>2229</v>
      </c>
      <c r="C775" s="5">
        <v>2505</v>
      </c>
      <c r="D775" s="6" t="s">
        <v>2230</v>
      </c>
      <c r="E775" t="s">
        <v>1204</v>
      </c>
      <c r="F775" t="s">
        <v>183</v>
      </c>
      <c r="G775" t="str">
        <f>+VLOOKUP(F775,[1]Explore!$B:$I,8,0)</f>
        <v>Equity Implied Volatility</v>
      </c>
      <c r="H775" t="s">
        <v>184</v>
      </c>
      <c r="I775" t="str">
        <f>+VLOOKUP(H775,[1]Explore!$A:$I,9,0)</f>
        <v>Equity Implied Volatility</v>
      </c>
      <c r="J775" t="str">
        <f t="shared" si="24"/>
        <v>OK</v>
      </c>
      <c r="K775" t="str">
        <f t="shared" si="25"/>
        <v>Equity Implied Volatility</v>
      </c>
      <c r="L775" t="s">
        <v>27</v>
      </c>
      <c r="M775" t="str">
        <f>_xlfn.IFNA(VLOOKUP(K775,'Mapping DEF'!A:C,2,0),"")</f>
        <v>Equity Derivatives</v>
      </c>
      <c r="N775" t="str">
        <f>+_xlfn.IFNA(VLOOKUP(M775,'Mapping DEF'!B:C,2,FALSE),"")</f>
        <v>Equity</v>
      </c>
      <c r="O775" t="s">
        <v>2810</v>
      </c>
    </row>
    <row r="776" spans="1:15" x14ac:dyDescent="0.25">
      <c r="A776" s="4" t="s">
        <v>2228</v>
      </c>
      <c r="B776" s="4" t="s">
        <v>2229</v>
      </c>
      <c r="C776" s="5">
        <v>2506</v>
      </c>
      <c r="D776" s="6" t="s">
        <v>2230</v>
      </c>
      <c r="E776" t="s">
        <v>1205</v>
      </c>
      <c r="F776" t="s">
        <v>849</v>
      </c>
      <c r="G776" t="str">
        <f>+VLOOKUP(F776,[1]Explore!$B:$I,8,0)</f>
        <v>Other - Index</v>
      </c>
      <c r="H776" t="s">
        <v>1206</v>
      </c>
      <c r="I776" t="e">
        <f>+VLOOKUP(H776,[1]Explore!$A:$I,9,0)</f>
        <v>#N/A</v>
      </c>
      <c r="J776" t="str">
        <f t="shared" si="24"/>
        <v>OK</v>
      </c>
      <c r="K776" t="str">
        <f t="shared" si="25"/>
        <v>Other - Index</v>
      </c>
      <c r="L776" t="s">
        <v>27</v>
      </c>
      <c r="M776" t="str">
        <f>_xlfn.IFNA(VLOOKUP(K776,'Mapping DEF'!A:C,2,0),"")</f>
        <v>Other</v>
      </c>
      <c r="N776" t="str">
        <f>+_xlfn.IFNA(VLOOKUP(M776,'Mapping DEF'!B:C,2,FALSE),"")</f>
        <v>Other</v>
      </c>
      <c r="O776" t="s">
        <v>2757</v>
      </c>
    </row>
    <row r="777" spans="1:15" x14ac:dyDescent="0.25">
      <c r="A777" s="4" t="s">
        <v>2228</v>
      </c>
      <c r="B777" s="4" t="s">
        <v>2229</v>
      </c>
      <c r="C777" s="5">
        <v>2507</v>
      </c>
      <c r="D777" s="6" t="s">
        <v>2230</v>
      </c>
      <c r="E777" t="s">
        <v>1207</v>
      </c>
      <c r="F777" t="s">
        <v>22</v>
      </c>
      <c r="G777" t="str">
        <f>+VLOOKUP(F777,[1]Explore!$B:$I,8,0)</f>
        <v>Govt USD</v>
      </c>
      <c r="H777" t="s">
        <v>637</v>
      </c>
      <c r="I777" t="e">
        <f>+VLOOKUP(H777,[1]Explore!$A:$I,9,0)</f>
        <v>#N/A</v>
      </c>
      <c r="J777" t="str">
        <f t="shared" si="24"/>
        <v>OK</v>
      </c>
      <c r="K777" t="str">
        <f t="shared" si="25"/>
        <v>Govt USD</v>
      </c>
      <c r="L777" t="s">
        <v>2151</v>
      </c>
      <c r="M777" t="str">
        <f>_xlfn.IFNA(VLOOKUP(K777,'Mapping DEF'!A:C,2,0),"")</f>
        <v>Curve (Local)</v>
      </c>
      <c r="N777" t="str">
        <f>+_xlfn.IFNA(VLOOKUP(M777,'Mapping DEF'!B:C,2,FALSE),"")</f>
        <v>Term Structure</v>
      </c>
      <c r="O777" t="s">
        <v>2791</v>
      </c>
    </row>
    <row r="778" spans="1:15" x14ac:dyDescent="0.25">
      <c r="A778" s="4" t="s">
        <v>2231</v>
      </c>
      <c r="B778" s="4" t="s">
        <v>2232</v>
      </c>
      <c r="C778" s="5">
        <v>2502</v>
      </c>
      <c r="D778" s="6" t="s">
        <v>2233</v>
      </c>
      <c r="E778" t="s">
        <v>1208</v>
      </c>
      <c r="F778" t="s">
        <v>2942</v>
      </c>
      <c r="G778" t="str">
        <f>+VLOOKUP(F778,[1]Explore!$B:$I,8,0)</f>
        <v>EUR</v>
      </c>
      <c r="H778" t="s">
        <v>173</v>
      </c>
      <c r="I778" t="str">
        <f>+VLOOKUP(H778,[1]Explore!$A:$I,9,0)</f>
        <v>EUR</v>
      </c>
      <c r="J778" t="str">
        <f t="shared" si="24"/>
        <v>OK</v>
      </c>
      <c r="K778" t="str">
        <f t="shared" si="25"/>
        <v>EUR</v>
      </c>
      <c r="L778" t="s">
        <v>2140</v>
      </c>
      <c r="M778" t="str">
        <f>_xlfn.IFNA(VLOOKUP(K778,'Mapping DEF'!A:C,2,0),"")</f>
        <v>FX</v>
      </c>
      <c r="N778" t="str">
        <f>+_xlfn.IFNA(VLOOKUP(M778,'Mapping DEF'!B:C,2,FALSE),"")</f>
        <v>FX</v>
      </c>
      <c r="O778" t="s">
        <v>2757</v>
      </c>
    </row>
    <row r="779" spans="1:15" x14ac:dyDescent="0.25">
      <c r="A779" s="4" t="s">
        <v>2231</v>
      </c>
      <c r="B779" s="4" t="s">
        <v>2232</v>
      </c>
      <c r="C779" s="5">
        <v>2502</v>
      </c>
      <c r="D779" s="6" t="s">
        <v>2233</v>
      </c>
      <c r="E779" t="s">
        <v>1209</v>
      </c>
      <c r="F779" t="s">
        <v>2168</v>
      </c>
      <c r="G779" t="str">
        <f>+VLOOKUP(F779,[1]Explore!$B:$I,8,0)</f>
        <v>Equity Implied Volatility</v>
      </c>
      <c r="H779" t="s">
        <v>43</v>
      </c>
      <c r="I779" t="str">
        <f>+VLOOKUP(H779,[1]Explore!$A:$I,9,0)</f>
        <v>Equity Implied Volatility</v>
      </c>
      <c r="J779" t="str">
        <f t="shared" si="24"/>
        <v>OK</v>
      </c>
      <c r="K779" t="str">
        <f t="shared" si="25"/>
        <v>Equity Implied Volatility</v>
      </c>
      <c r="L779" t="s">
        <v>27</v>
      </c>
      <c r="M779" t="str">
        <f>_xlfn.IFNA(VLOOKUP(K779,'Mapping DEF'!A:C,2,0),"")</f>
        <v>Equity Derivatives</v>
      </c>
      <c r="N779" t="str">
        <f>+_xlfn.IFNA(VLOOKUP(M779,'Mapping DEF'!B:C,2,FALSE),"")</f>
        <v>Equity</v>
      </c>
      <c r="O779" t="s">
        <v>2753</v>
      </c>
    </row>
    <row r="780" spans="1:15" x14ac:dyDescent="0.25">
      <c r="A780" s="4" t="s">
        <v>2231</v>
      </c>
      <c r="B780" s="4" t="s">
        <v>2232</v>
      </c>
      <c r="C780" s="5">
        <v>2502</v>
      </c>
      <c r="D780" s="6" t="s">
        <v>2233</v>
      </c>
      <c r="E780" t="s">
        <v>1210</v>
      </c>
      <c r="F780" t="s">
        <v>183</v>
      </c>
      <c r="G780" t="str">
        <f>+VLOOKUP(F780,[1]Explore!$B:$I,8,0)</f>
        <v>Equity Implied Volatility</v>
      </c>
      <c r="H780" t="s">
        <v>184</v>
      </c>
      <c r="I780" t="str">
        <f>+VLOOKUP(H780,[1]Explore!$A:$I,9,0)</f>
        <v>Equity Implied Volatility</v>
      </c>
      <c r="J780" t="str">
        <f t="shared" si="24"/>
        <v>OK</v>
      </c>
      <c r="K780" t="str">
        <f t="shared" si="25"/>
        <v>Equity Implied Volatility</v>
      </c>
      <c r="L780" t="s">
        <v>27</v>
      </c>
      <c r="M780" t="str">
        <f>_xlfn.IFNA(VLOOKUP(K780,'Mapping DEF'!A:C,2,0),"")</f>
        <v>Equity Derivatives</v>
      </c>
      <c r="N780" t="str">
        <f>+_xlfn.IFNA(VLOOKUP(M780,'Mapping DEF'!B:C,2,FALSE),"")</f>
        <v>Equity</v>
      </c>
      <c r="O780" t="s">
        <v>2844</v>
      </c>
    </row>
    <row r="781" spans="1:15" x14ac:dyDescent="0.25">
      <c r="A781" s="4" t="s">
        <v>2231</v>
      </c>
      <c r="B781" s="4" t="s">
        <v>2232</v>
      </c>
      <c r="C781" s="5">
        <v>2502</v>
      </c>
      <c r="D781" s="6" t="s">
        <v>2233</v>
      </c>
      <c r="E781" t="s">
        <v>1211</v>
      </c>
      <c r="F781" t="s">
        <v>1365</v>
      </c>
      <c r="G781" t="str">
        <f>+VLOOKUP(F781,[1]Explore!$B:$I,8,0)</f>
        <v>Govt Developed Other (AU, GB, JP, ...)</v>
      </c>
      <c r="H781" t="s">
        <v>327</v>
      </c>
      <c r="I781" t="e">
        <f>+VLOOKUP(H781,[1]Explore!$A:$I,9,0)</f>
        <v>#N/A</v>
      </c>
      <c r="J781" t="str">
        <f t="shared" si="24"/>
        <v>OK</v>
      </c>
      <c r="K781" t="str">
        <f t="shared" si="25"/>
        <v>Govt Developed Other (AU, GB, JP, ...)</v>
      </c>
      <c r="L781" t="s">
        <v>2151</v>
      </c>
      <c r="M781" t="str">
        <f>_xlfn.IFNA(VLOOKUP(K781,'Mapping DEF'!A:C,2,0),"")</f>
        <v>Curve (Local)</v>
      </c>
      <c r="N781" t="str">
        <f>+_xlfn.IFNA(VLOOKUP(M781,'Mapping DEF'!B:C,2,FALSE),"")</f>
        <v>Term Structure</v>
      </c>
      <c r="O781" t="s">
        <v>2786</v>
      </c>
    </row>
    <row r="782" spans="1:15" x14ac:dyDescent="0.25">
      <c r="A782" s="4" t="s">
        <v>2231</v>
      </c>
      <c r="B782" s="4" t="s">
        <v>2232</v>
      </c>
      <c r="C782" s="5">
        <v>2502</v>
      </c>
      <c r="D782" s="6" t="s">
        <v>2233</v>
      </c>
      <c r="E782" t="s">
        <v>1213</v>
      </c>
      <c r="F782" t="s">
        <v>19</v>
      </c>
      <c r="G782" t="str">
        <f>+VLOOKUP(F782,[1]Explore!$B:$I,8,0)</f>
        <v>Govt USD</v>
      </c>
      <c r="H782" t="s">
        <v>323</v>
      </c>
      <c r="I782" t="e">
        <f>+VLOOKUP(H782,[1]Explore!$A:$I,9,0)</f>
        <v>#N/A</v>
      </c>
      <c r="J782" t="str">
        <f t="shared" si="24"/>
        <v>OK</v>
      </c>
      <c r="K782" t="str">
        <f t="shared" si="25"/>
        <v>Govt USD</v>
      </c>
      <c r="L782" t="s">
        <v>2151</v>
      </c>
      <c r="M782" t="str">
        <f>_xlfn.IFNA(VLOOKUP(K782,'Mapping DEF'!A:C,2,0),"")</f>
        <v>Curve (Local)</v>
      </c>
      <c r="N782" t="str">
        <f>+_xlfn.IFNA(VLOOKUP(M782,'Mapping DEF'!B:C,2,FALSE),"")</f>
        <v>Term Structure</v>
      </c>
      <c r="O782" t="s">
        <v>2769</v>
      </c>
    </row>
    <row r="783" spans="1:15" x14ac:dyDescent="0.25">
      <c r="A783" s="4" t="s">
        <v>2234</v>
      </c>
      <c r="B783" s="4" t="s">
        <v>2235</v>
      </c>
      <c r="C783" s="5">
        <v>2479</v>
      </c>
      <c r="D783" s="6" t="s">
        <v>2236</v>
      </c>
      <c r="E783" t="s">
        <v>1214</v>
      </c>
      <c r="F783" t="s">
        <v>13</v>
      </c>
      <c r="G783" t="str">
        <f>+VLOOKUP(F783,[1]Explore!$B:$I,8,0)</f>
        <v>Govt USD</v>
      </c>
      <c r="H783" t="s">
        <v>14</v>
      </c>
      <c r="I783" t="str">
        <f>+VLOOKUP(H783,[1]Explore!$A:$I,9,0)</f>
        <v>Govt USD</v>
      </c>
      <c r="J783" t="str">
        <f t="shared" si="24"/>
        <v>OK</v>
      </c>
      <c r="K783" t="str">
        <f t="shared" si="25"/>
        <v>Govt USD</v>
      </c>
      <c r="L783" t="s">
        <v>2143</v>
      </c>
      <c r="M783" t="str">
        <f>_xlfn.IFNA(VLOOKUP(K783,'Mapping DEF'!A:C,2,0),"")</f>
        <v>Curve (Local)</v>
      </c>
      <c r="N783" t="str">
        <f>+_xlfn.IFNA(VLOOKUP(M783,'Mapping DEF'!B:C,2,FALSE),"")</f>
        <v>Term Structure</v>
      </c>
      <c r="O783" t="s">
        <v>2845</v>
      </c>
    </row>
    <row r="784" spans="1:15" x14ac:dyDescent="0.25">
      <c r="A784" s="4" t="s">
        <v>2234</v>
      </c>
      <c r="B784" s="4" t="s">
        <v>2235</v>
      </c>
      <c r="C784" s="5">
        <v>2479</v>
      </c>
      <c r="D784" s="6" t="s">
        <v>2236</v>
      </c>
      <c r="E784" t="s">
        <v>606</v>
      </c>
      <c r="F784" t="s">
        <v>19</v>
      </c>
      <c r="G784" t="str">
        <f>+VLOOKUP(F784,[1]Explore!$B:$I,8,0)</f>
        <v>Govt USD</v>
      </c>
      <c r="H784" t="s">
        <v>20</v>
      </c>
      <c r="I784" t="str">
        <f>+VLOOKUP(H784,[1]Explore!$A:$I,9,0)</f>
        <v>Govt USD</v>
      </c>
      <c r="J784" t="str">
        <f t="shared" si="24"/>
        <v>OK</v>
      </c>
      <c r="K784" t="str">
        <f t="shared" si="25"/>
        <v>Govt USD</v>
      </c>
      <c r="L784" t="s">
        <v>2143</v>
      </c>
      <c r="M784" t="str">
        <f>_xlfn.IFNA(VLOOKUP(K784,'Mapping DEF'!A:C,2,0),"")</f>
        <v>Curve (Local)</v>
      </c>
      <c r="N784" t="str">
        <f>+_xlfn.IFNA(VLOOKUP(M784,'Mapping DEF'!B:C,2,FALSE),"")</f>
        <v>Term Structure</v>
      </c>
      <c r="O784" t="s">
        <v>2752</v>
      </c>
    </row>
    <row r="785" spans="1:15" x14ac:dyDescent="0.25">
      <c r="A785" s="4" t="s">
        <v>2234</v>
      </c>
      <c r="B785" s="4" t="s">
        <v>2235</v>
      </c>
      <c r="C785" s="5">
        <v>2479</v>
      </c>
      <c r="D785" s="6" t="s">
        <v>2236</v>
      </c>
      <c r="E785" t="s">
        <v>1215</v>
      </c>
      <c r="F785" t="s">
        <v>817</v>
      </c>
      <c r="G785" t="str">
        <f>+VLOOKUP(F785,[1]Explore!$B:$I,8,0)</f>
        <v>USD Inflation</v>
      </c>
      <c r="H785" t="s">
        <v>818</v>
      </c>
      <c r="I785" t="str">
        <f>+VLOOKUP(H785,[1]Explore!$A:$I,9,0)</f>
        <v>USD Inflation</v>
      </c>
      <c r="J785" t="str">
        <f t="shared" si="24"/>
        <v>OK</v>
      </c>
      <c r="K785" t="str">
        <f t="shared" si="25"/>
        <v>USD Inflation</v>
      </c>
      <c r="L785" t="s">
        <v>2143</v>
      </c>
      <c r="M785" t="str">
        <f>_xlfn.IFNA(VLOOKUP(K785,'Mapping DEF'!A:C,2,0),"")</f>
        <v>Inflation</v>
      </c>
      <c r="N785" t="str">
        <f>+_xlfn.IFNA(VLOOKUP(M785,'Mapping DEF'!B:C,2,FALSE),"")</f>
        <v>Other</v>
      </c>
      <c r="O785" t="s">
        <v>2756</v>
      </c>
    </row>
    <row r="786" spans="1:15" x14ac:dyDescent="0.25">
      <c r="A786" s="4" t="s">
        <v>2234</v>
      </c>
      <c r="B786" s="4" t="s">
        <v>2235</v>
      </c>
      <c r="C786" s="5">
        <v>2479</v>
      </c>
      <c r="D786" s="6" t="s">
        <v>2236</v>
      </c>
      <c r="E786" t="s">
        <v>1219</v>
      </c>
      <c r="F786" t="s">
        <v>265</v>
      </c>
      <c r="G786" t="str">
        <f>+VLOOKUP(F786,[1]Explore!$B:$I,8,0)</f>
        <v>Alternative - Commodity</v>
      </c>
      <c r="H786" t="s">
        <v>266</v>
      </c>
      <c r="I786" t="str">
        <f>+VLOOKUP(H786,[1]Explore!$A:$I,9,0)</f>
        <v>Alternative - Commodity</v>
      </c>
      <c r="J786" t="str">
        <f t="shared" si="24"/>
        <v>OK</v>
      </c>
      <c r="K786" t="str">
        <f t="shared" si="25"/>
        <v>Alternative - Commodity</v>
      </c>
      <c r="L786" t="s">
        <v>2139</v>
      </c>
      <c r="M786" t="str">
        <f>_xlfn.IFNA(VLOOKUP(K786,'Mapping DEF'!A:C,2,0),"")</f>
        <v>Alternative</v>
      </c>
      <c r="N786" t="str">
        <f>+_xlfn.IFNA(VLOOKUP(M786,'Mapping DEF'!B:C,2,FALSE),"")</f>
        <v>Other</v>
      </c>
      <c r="O786" t="s">
        <v>2776</v>
      </c>
    </row>
    <row r="787" spans="1:15" x14ac:dyDescent="0.25">
      <c r="A787" s="4" t="s">
        <v>2234</v>
      </c>
      <c r="B787" s="4" t="s">
        <v>2235</v>
      </c>
      <c r="C787" s="5">
        <v>2479</v>
      </c>
      <c r="D787" s="6" t="s">
        <v>2236</v>
      </c>
      <c r="E787" t="s">
        <v>1220</v>
      </c>
      <c r="F787" t="s">
        <v>1221</v>
      </c>
      <c r="G787" t="str">
        <f>+VLOOKUP(F787,[1]Explore!$B:$I,8,0)</f>
        <v>Rates Implied Volatility</v>
      </c>
      <c r="H787" t="s">
        <v>1222</v>
      </c>
      <c r="I787" t="str">
        <f>+VLOOKUP(H787,[1]Explore!$A:$I,9,0)</f>
        <v>Rates Implied Volatility</v>
      </c>
      <c r="J787" t="str">
        <f t="shared" si="24"/>
        <v>OK</v>
      </c>
      <c r="K787" t="str">
        <f t="shared" si="25"/>
        <v>Rates Implied Volatility</v>
      </c>
      <c r="L787" t="s">
        <v>2146</v>
      </c>
      <c r="M787" t="str">
        <f>_xlfn.IFNA(VLOOKUP(K787,'Mapping DEF'!A:C,2,0),"")</f>
        <v>Rates Implied Volatility</v>
      </c>
      <c r="N787" t="str">
        <f>+_xlfn.IFNA(VLOOKUP(M787,'Mapping DEF'!B:C,2,FALSE),"")</f>
        <v>Other</v>
      </c>
      <c r="O787" t="s">
        <v>2769</v>
      </c>
    </row>
    <row r="788" spans="1:15" x14ac:dyDescent="0.25">
      <c r="A788" s="4" t="s">
        <v>2234</v>
      </c>
      <c r="B788" s="4" t="s">
        <v>2235</v>
      </c>
      <c r="C788" s="5">
        <v>2479</v>
      </c>
      <c r="D788" s="6" t="s">
        <v>2236</v>
      </c>
      <c r="E788" t="s">
        <v>1223</v>
      </c>
      <c r="F788" t="s">
        <v>1224</v>
      </c>
      <c r="G788" t="str">
        <f>+VLOOKUP(F788,[1]Explore!$B:$I,8,0)</f>
        <v>Corporate IG USD - Market</v>
      </c>
      <c r="H788" t="s">
        <v>1225</v>
      </c>
      <c r="I788" t="str">
        <f>+VLOOKUP(H788,[1]Explore!$A:$I,9,0)</f>
        <v>Corporate IG USD - Market</v>
      </c>
      <c r="J788" t="str">
        <f t="shared" si="24"/>
        <v>OK</v>
      </c>
      <c r="K788" t="str">
        <f t="shared" si="25"/>
        <v>Corporate IG USD - Market</v>
      </c>
      <c r="L788" t="s">
        <v>188</v>
      </c>
      <c r="M788" t="str">
        <f>_xlfn.IFNA(VLOOKUP(K788,'Mapping DEF'!A:C,2,0),"")</f>
        <v>Spread</v>
      </c>
      <c r="N788" t="str">
        <f>+_xlfn.IFNA(VLOOKUP(M788,'Mapping DEF'!B:C,2,FALSE),"")</f>
        <v>Spread</v>
      </c>
      <c r="O788" t="s">
        <v>2780</v>
      </c>
    </row>
    <row r="789" spans="1:15" x14ac:dyDescent="0.25">
      <c r="A789" s="4" t="s">
        <v>2234</v>
      </c>
      <c r="B789" s="4" t="s">
        <v>2235</v>
      </c>
      <c r="C789" s="5">
        <v>2479</v>
      </c>
      <c r="D789" s="6" t="s">
        <v>2236</v>
      </c>
      <c r="E789" t="s">
        <v>1226</v>
      </c>
      <c r="F789" t="s">
        <v>2156</v>
      </c>
      <c r="G789" t="str">
        <f>+VLOOKUP(F789,[1]Explore!$B:$I,8,0)</f>
        <v>Equity Implied Volatility</v>
      </c>
      <c r="H789" t="s">
        <v>141</v>
      </c>
      <c r="I789" t="str">
        <f>+VLOOKUP(H789,[1]Explore!$A:$I,9,0)</f>
        <v>Equity Implied Volatility</v>
      </c>
      <c r="J789" t="str">
        <f t="shared" si="24"/>
        <v>OK</v>
      </c>
      <c r="K789" t="str">
        <f t="shared" si="25"/>
        <v>Equity Implied Volatility</v>
      </c>
      <c r="L789" t="s">
        <v>27</v>
      </c>
      <c r="M789" t="str">
        <f>_xlfn.IFNA(VLOOKUP(K789,'Mapping DEF'!A:C,2,0),"")</f>
        <v>Equity Derivatives</v>
      </c>
      <c r="N789" t="str">
        <f>+_xlfn.IFNA(VLOOKUP(M789,'Mapping DEF'!B:C,2,FALSE),"")</f>
        <v>Equity</v>
      </c>
      <c r="O789" t="s">
        <v>2792</v>
      </c>
    </row>
    <row r="790" spans="1:15" x14ac:dyDescent="0.25">
      <c r="A790" s="4" t="s">
        <v>2234</v>
      </c>
      <c r="B790" s="4" t="s">
        <v>2235</v>
      </c>
      <c r="C790" s="5">
        <v>2479</v>
      </c>
      <c r="D790" s="6" t="s">
        <v>2236</v>
      </c>
      <c r="E790" t="s">
        <v>338</v>
      </c>
      <c r="F790" t="s">
        <v>191</v>
      </c>
      <c r="G790" t="e">
        <f>+VLOOKUP(F790,[1]Explore!$B:$I,8,0)</f>
        <v>#N/A</v>
      </c>
      <c r="H790" t="s">
        <v>192</v>
      </c>
      <c r="I790" t="e">
        <f>+VLOOKUP(H790,[1]Explore!$A:$I,9,0)</f>
        <v>#N/A</v>
      </c>
      <c r="J790" t="str">
        <f t="shared" si="24"/>
        <v>BOTH #N/A</v>
      </c>
      <c r="K790" t="str">
        <f t="shared" si="25"/>
        <v xml:space="preserve">Time </v>
      </c>
      <c r="L790" t="s">
        <v>2138</v>
      </c>
      <c r="M790" t="str">
        <f>_xlfn.IFNA(VLOOKUP(K790,'Mapping DEF'!A:C,2,0),"")</f>
        <v>Time</v>
      </c>
      <c r="N790" t="str">
        <f>+_xlfn.IFNA(VLOOKUP(M790,'Mapping DEF'!B:C,2,FALSE),"")</f>
        <v>Other</v>
      </c>
      <c r="O790" t="s">
        <v>2817</v>
      </c>
    </row>
    <row r="791" spans="1:15" x14ac:dyDescent="0.25">
      <c r="A791" s="4" t="s">
        <v>2234</v>
      </c>
      <c r="B791" s="4" t="s">
        <v>2235</v>
      </c>
      <c r="C791" s="5">
        <v>2479</v>
      </c>
      <c r="D791" s="6" t="s">
        <v>2236</v>
      </c>
      <c r="E791" t="s">
        <v>1227</v>
      </c>
      <c r="F791" t="s">
        <v>2614</v>
      </c>
      <c r="G791" t="e">
        <f>+VLOOKUP(F791,[1]Explore!$B:$I,8,0)</f>
        <v>#N/A</v>
      </c>
      <c r="H791" t="s">
        <v>1228</v>
      </c>
      <c r="I791" t="e">
        <f>+VLOOKUP(H791,[1]Explore!$A:$I,9,0)</f>
        <v>#N/A</v>
      </c>
      <c r="J791" t="str">
        <f t="shared" si="24"/>
        <v>BOTH #N/A</v>
      </c>
      <c r="K791" t="str">
        <f t="shared" si="25"/>
        <v>Energy</v>
      </c>
      <c r="L791" t="s">
        <v>490</v>
      </c>
      <c r="M791" t="str">
        <f>_xlfn.IFNA(VLOOKUP(K791,'Mapping DEF'!A:C,2,0),"")</f>
        <v>Industry Allocation</v>
      </c>
      <c r="N791" t="str">
        <f>+_xlfn.IFNA(VLOOKUP(M791,'Mapping DEF'!B:C,2,FALSE),"")</f>
        <v>Equity</v>
      </c>
      <c r="O791" t="s">
        <v>2763</v>
      </c>
    </row>
    <row r="792" spans="1:15" x14ac:dyDescent="0.25">
      <c r="A792" s="4" t="s">
        <v>2234</v>
      </c>
      <c r="B792" s="4" t="s">
        <v>2235</v>
      </c>
      <c r="C792" s="5">
        <v>2479</v>
      </c>
      <c r="D792" s="6" t="s">
        <v>2236</v>
      </c>
      <c r="E792" t="s">
        <v>1229</v>
      </c>
      <c r="F792" t="s">
        <v>1230</v>
      </c>
      <c r="G792" t="e">
        <f>+VLOOKUP(F792,[1]Explore!$B:$I,8,0)</f>
        <v>#N/A</v>
      </c>
      <c r="H792" t="s">
        <v>1231</v>
      </c>
      <c r="I792" t="e">
        <f>+VLOOKUP(H792,[1]Explore!$A:$I,9,0)</f>
        <v>#N/A</v>
      </c>
      <c r="J792" t="str">
        <f t="shared" si="24"/>
        <v>BOTH #N/A</v>
      </c>
      <c r="K792" t="str">
        <f t="shared" si="25"/>
        <v>Consumer Discretionary</v>
      </c>
      <c r="L792" t="s">
        <v>2659</v>
      </c>
      <c r="M792" t="str">
        <f>_xlfn.IFNA(VLOOKUP(K792,'Mapping DEF'!A:C,2,0),"")</f>
        <v>Industry Allocation</v>
      </c>
      <c r="N792" t="str">
        <f>+_xlfn.IFNA(VLOOKUP(M792,'Mapping DEF'!B:C,2,FALSE),"")</f>
        <v>Equity</v>
      </c>
      <c r="O792" t="s">
        <v>2801</v>
      </c>
    </row>
    <row r="793" spans="1:15" x14ac:dyDescent="0.25">
      <c r="A793" s="4" t="s">
        <v>2234</v>
      </c>
      <c r="B793" s="4" t="s">
        <v>2235</v>
      </c>
      <c r="C793" s="5">
        <v>2479</v>
      </c>
      <c r="D793" s="6" t="s">
        <v>2236</v>
      </c>
      <c r="E793" t="s">
        <v>1232</v>
      </c>
      <c r="F793" t="s">
        <v>446</v>
      </c>
      <c r="G793" t="str">
        <f>+VLOOKUP(F793,[1]Explore!$B:$I,8,0)</f>
        <v>Local Styles</v>
      </c>
      <c r="H793" t="s">
        <v>1233</v>
      </c>
      <c r="I793" t="e">
        <f>+VLOOKUP(H793,[1]Explore!$A:$I,9,0)</f>
        <v>#N/A</v>
      </c>
      <c r="J793" t="str">
        <f t="shared" si="24"/>
        <v>OK</v>
      </c>
      <c r="K793" t="str">
        <f t="shared" si="25"/>
        <v>Local Styles</v>
      </c>
      <c r="L793" t="s">
        <v>2145</v>
      </c>
      <c r="M793" t="str">
        <f>_xlfn.IFNA(VLOOKUP(K793,'Mapping DEF'!A:C,2,0),"")</f>
        <v>Style</v>
      </c>
      <c r="N793" t="str">
        <f>+_xlfn.IFNA(VLOOKUP(M793,'Mapping DEF'!B:C,2,FALSE),"")</f>
        <v>Equity</v>
      </c>
      <c r="O793" t="s">
        <v>2846</v>
      </c>
    </row>
    <row r="794" spans="1:15" x14ac:dyDescent="0.25">
      <c r="A794" s="4" t="s">
        <v>2234</v>
      </c>
      <c r="B794" s="4" t="s">
        <v>2235</v>
      </c>
      <c r="C794" s="5">
        <v>2479</v>
      </c>
      <c r="D794" s="6" t="s">
        <v>2236</v>
      </c>
      <c r="E794" t="s">
        <v>1234</v>
      </c>
      <c r="F794" t="s">
        <v>2615</v>
      </c>
      <c r="G794" t="str">
        <f>+VLOOKUP(F794,[1]Explore!$B:$I,8,0)</f>
        <v>Corporate HY USD - Industry</v>
      </c>
      <c r="H794" t="s">
        <v>490</v>
      </c>
      <c r="I794" t="e">
        <f>+VLOOKUP(H794,[1]Explore!$A:$I,9,0)</f>
        <v>#N/A</v>
      </c>
      <c r="J794" t="str">
        <f t="shared" si="24"/>
        <v>OK</v>
      </c>
      <c r="K794" t="str">
        <f t="shared" si="25"/>
        <v>Corporate HY USD - Industry</v>
      </c>
      <c r="L794" t="s">
        <v>188</v>
      </c>
      <c r="M794" t="str">
        <f>_xlfn.IFNA(VLOOKUP(K794,'Mapping DEF'!A:C,2,0),"")</f>
        <v>Spread</v>
      </c>
      <c r="N794" t="str">
        <f>+_xlfn.IFNA(VLOOKUP(M794,'Mapping DEF'!B:C,2,FALSE),"")</f>
        <v>Spread</v>
      </c>
      <c r="O794" t="s">
        <v>2786</v>
      </c>
    </row>
    <row r="795" spans="1:15" x14ac:dyDescent="0.25">
      <c r="A795" s="4" t="s">
        <v>2240</v>
      </c>
      <c r="B795" s="4" t="s">
        <v>2241</v>
      </c>
      <c r="C795" s="5">
        <v>2482</v>
      </c>
      <c r="D795" s="6" t="s">
        <v>2242</v>
      </c>
      <c r="E795" t="s">
        <v>1214</v>
      </c>
      <c r="F795" t="s">
        <v>13</v>
      </c>
      <c r="G795" t="str">
        <f>+VLOOKUP(F795,[1]Explore!$B:$I,8,0)</f>
        <v>Govt USD</v>
      </c>
      <c r="H795" t="s">
        <v>14</v>
      </c>
      <c r="I795" t="str">
        <f>+VLOOKUP(H795,[1]Explore!$A:$I,9,0)</f>
        <v>Govt USD</v>
      </c>
      <c r="J795" t="str">
        <f t="shared" si="24"/>
        <v>OK</v>
      </c>
      <c r="K795" t="str">
        <f t="shared" si="25"/>
        <v>Govt USD</v>
      </c>
      <c r="L795" t="s">
        <v>2143</v>
      </c>
      <c r="M795" t="str">
        <f>_xlfn.IFNA(VLOOKUP(K795,'Mapping DEF'!A:C,2,0),"")</f>
        <v>Curve (Local)</v>
      </c>
      <c r="N795" t="str">
        <f>+_xlfn.IFNA(VLOOKUP(M795,'Mapping DEF'!B:C,2,FALSE),"")</f>
        <v>Term Structure</v>
      </c>
      <c r="O795" t="s">
        <v>2845</v>
      </c>
    </row>
    <row r="796" spans="1:15" x14ac:dyDescent="0.25">
      <c r="A796" s="4" t="s">
        <v>2240</v>
      </c>
      <c r="B796" s="4" t="s">
        <v>2241</v>
      </c>
      <c r="C796" s="5">
        <v>2482</v>
      </c>
      <c r="D796" s="6" t="s">
        <v>2242</v>
      </c>
      <c r="E796" t="s">
        <v>1235</v>
      </c>
      <c r="F796" t="s">
        <v>265</v>
      </c>
      <c r="G796" t="str">
        <f>+VLOOKUP(F796,[1]Explore!$B:$I,8,0)</f>
        <v>Alternative - Commodity</v>
      </c>
      <c r="H796" t="s">
        <v>266</v>
      </c>
      <c r="I796" t="str">
        <f>+VLOOKUP(H796,[1]Explore!$A:$I,9,0)</f>
        <v>Alternative - Commodity</v>
      </c>
      <c r="J796" t="str">
        <f t="shared" si="24"/>
        <v>OK</v>
      </c>
      <c r="K796" t="str">
        <f t="shared" si="25"/>
        <v>Alternative - Commodity</v>
      </c>
      <c r="L796" t="s">
        <v>2139</v>
      </c>
      <c r="M796" t="str">
        <f>_xlfn.IFNA(VLOOKUP(K796,'Mapping DEF'!A:C,2,0),"")</f>
        <v>Alternative</v>
      </c>
      <c r="N796" t="str">
        <f>+_xlfn.IFNA(VLOOKUP(M796,'Mapping DEF'!B:C,2,FALSE),"")</f>
        <v>Other</v>
      </c>
      <c r="O796" t="s">
        <v>2847</v>
      </c>
    </row>
    <row r="797" spans="1:15" x14ac:dyDescent="0.25">
      <c r="A797" s="4" t="s">
        <v>2240</v>
      </c>
      <c r="B797" s="4" t="s">
        <v>2241</v>
      </c>
      <c r="C797" s="5">
        <v>2482</v>
      </c>
      <c r="D797" s="6" t="s">
        <v>2242</v>
      </c>
      <c r="E797" t="s">
        <v>1236</v>
      </c>
      <c r="F797" t="s">
        <v>413</v>
      </c>
      <c r="G797" t="str">
        <f>+VLOOKUP(F797,[1]Explore!$B:$I,8,0)</f>
        <v>Alternative - Commodity</v>
      </c>
      <c r="H797" t="s">
        <v>414</v>
      </c>
      <c r="I797" t="str">
        <f>+VLOOKUP(H797,[1]Explore!$A:$I,9,0)</f>
        <v>Alternative - Commodity</v>
      </c>
      <c r="J797" t="str">
        <f t="shared" si="24"/>
        <v>OK</v>
      </c>
      <c r="K797" t="str">
        <f t="shared" si="25"/>
        <v>Alternative - Commodity</v>
      </c>
      <c r="L797" t="s">
        <v>2139</v>
      </c>
      <c r="M797" t="str">
        <f>_xlfn.IFNA(VLOOKUP(K797,'Mapping DEF'!A:C,2,0),"")</f>
        <v>Alternative</v>
      </c>
      <c r="N797" t="str">
        <f>+_xlfn.IFNA(VLOOKUP(M797,'Mapping DEF'!B:C,2,FALSE),"")</f>
        <v>Other</v>
      </c>
      <c r="O797" t="s">
        <v>2803</v>
      </c>
    </row>
    <row r="798" spans="1:15" x14ac:dyDescent="0.25">
      <c r="A798" s="4" t="s">
        <v>2240</v>
      </c>
      <c r="B798" s="4" t="s">
        <v>2241</v>
      </c>
      <c r="C798" s="5">
        <v>2482</v>
      </c>
      <c r="D798" s="6" t="s">
        <v>2242</v>
      </c>
      <c r="E798" t="s">
        <v>2938</v>
      </c>
      <c r="F798" t="s">
        <v>1224</v>
      </c>
      <c r="G798" t="str">
        <f>+VLOOKUP(F798,[1]Explore!$B:$I,8,0)</f>
        <v>Corporate IG USD - Market</v>
      </c>
      <c r="H798" t="s">
        <v>1225</v>
      </c>
      <c r="I798" t="str">
        <f>+VLOOKUP(H798,[1]Explore!$A:$I,9,0)</f>
        <v>Corporate IG USD - Market</v>
      </c>
      <c r="J798" t="str">
        <f t="shared" si="24"/>
        <v>OK</v>
      </c>
      <c r="K798" t="str">
        <f t="shared" si="25"/>
        <v>Corporate IG USD - Market</v>
      </c>
      <c r="L798" t="s">
        <v>188</v>
      </c>
      <c r="M798" t="str">
        <f>_xlfn.IFNA(VLOOKUP(K798,'Mapping DEF'!A:C,2,0),"")</f>
        <v>Spread</v>
      </c>
      <c r="N798" t="str">
        <f>+_xlfn.IFNA(VLOOKUP(M798,'Mapping DEF'!B:C,2,FALSE),"")</f>
        <v>Spread</v>
      </c>
      <c r="O798" t="s">
        <v>2773</v>
      </c>
    </row>
    <row r="799" spans="1:15" x14ac:dyDescent="0.25">
      <c r="A799" s="4" t="s">
        <v>2240</v>
      </c>
      <c r="B799" s="4" t="s">
        <v>2241</v>
      </c>
      <c r="C799" s="5">
        <v>2482</v>
      </c>
      <c r="D799" s="6" t="s">
        <v>2242</v>
      </c>
      <c r="E799" t="s">
        <v>1237</v>
      </c>
      <c r="F799" t="s">
        <v>206</v>
      </c>
      <c r="G799" t="e">
        <f>+VLOOKUP(F799,[1]Explore!$B:$I,8,0)</f>
        <v>#N/A</v>
      </c>
      <c r="H799" t="s">
        <v>206</v>
      </c>
      <c r="I799" t="e">
        <f>+VLOOKUP(H799,[1]Explore!$A:$I,9,0)</f>
        <v>#N/A</v>
      </c>
      <c r="J799" t="str">
        <f t="shared" si="24"/>
        <v>BOTH #N/A</v>
      </c>
      <c r="K799" t="str">
        <f t="shared" si="25"/>
        <v>Dollar Index</v>
      </c>
      <c r="L799" t="s">
        <v>2930</v>
      </c>
      <c r="M799" t="str">
        <f>_xlfn.IFNA(VLOOKUP(K799,'Mapping DEF'!A:C,2,0),"")</f>
        <v>Index Level</v>
      </c>
      <c r="N799" t="str">
        <f>+_xlfn.IFNA(VLOOKUP(M799,'Mapping DEF'!B:C,2,FALSE),"")</f>
        <v>Other</v>
      </c>
      <c r="O799" s="7" t="s">
        <v>2776</v>
      </c>
    </row>
    <row r="800" spans="1:15" x14ac:dyDescent="0.25">
      <c r="A800" s="4" t="s">
        <v>2240</v>
      </c>
      <c r="B800" s="4" t="s">
        <v>2241</v>
      </c>
      <c r="C800" s="5">
        <v>2482</v>
      </c>
      <c r="D800" s="6" t="s">
        <v>2242</v>
      </c>
      <c r="E800" t="s">
        <v>1238</v>
      </c>
      <c r="F800" t="s">
        <v>2156</v>
      </c>
      <c r="G800" t="str">
        <f>+VLOOKUP(F800,[1]Explore!$B:$I,8,0)</f>
        <v>Equity Implied Volatility</v>
      </c>
      <c r="H800" t="s">
        <v>141</v>
      </c>
      <c r="I800" t="str">
        <f>+VLOOKUP(H800,[1]Explore!$A:$I,9,0)</f>
        <v>Equity Implied Volatility</v>
      </c>
      <c r="J800" t="str">
        <f t="shared" si="24"/>
        <v>OK</v>
      </c>
      <c r="K800" t="str">
        <f t="shared" si="25"/>
        <v>Equity Implied Volatility</v>
      </c>
      <c r="L800" t="s">
        <v>27</v>
      </c>
      <c r="M800" t="str">
        <f>_xlfn.IFNA(VLOOKUP(K800,'Mapping DEF'!A:C,2,0),"")</f>
        <v>Equity Derivatives</v>
      </c>
      <c r="N800" t="str">
        <f>+_xlfn.IFNA(VLOOKUP(M800,'Mapping DEF'!B:C,2,FALSE),"")</f>
        <v>Equity</v>
      </c>
      <c r="O800" t="s">
        <v>2848</v>
      </c>
    </row>
    <row r="801" spans="1:15" x14ac:dyDescent="0.25">
      <c r="A801" s="4" t="s">
        <v>2240</v>
      </c>
      <c r="B801" s="4" t="s">
        <v>2241</v>
      </c>
      <c r="C801" s="5">
        <v>2482</v>
      </c>
      <c r="D801" s="6" t="s">
        <v>2242</v>
      </c>
      <c r="E801" t="s">
        <v>1239</v>
      </c>
      <c r="F801" t="s">
        <v>25</v>
      </c>
      <c r="G801" t="str">
        <f>+VLOOKUP(F801,[1]Explore!$B:$I,8,0)</f>
        <v>Equity Implied Volatility</v>
      </c>
      <c r="H801" t="s">
        <v>26</v>
      </c>
      <c r="I801" t="str">
        <f>+VLOOKUP(H801,[1]Explore!$A:$I,9,0)</f>
        <v>Equity Implied Volatility</v>
      </c>
      <c r="J801" t="str">
        <f t="shared" si="24"/>
        <v>OK</v>
      </c>
      <c r="K801" t="str">
        <f t="shared" si="25"/>
        <v>Equity Implied Volatility</v>
      </c>
      <c r="L801" t="s">
        <v>27</v>
      </c>
      <c r="M801" t="str">
        <f>_xlfn.IFNA(VLOOKUP(K801,'Mapping DEF'!A:C,2,0),"")</f>
        <v>Equity Derivatives</v>
      </c>
      <c r="N801" t="str">
        <f>+_xlfn.IFNA(VLOOKUP(M801,'Mapping DEF'!B:C,2,FALSE),"")</f>
        <v>Equity</v>
      </c>
      <c r="O801" t="s">
        <v>2798</v>
      </c>
    </row>
    <row r="802" spans="1:15" x14ac:dyDescent="0.25">
      <c r="A802" s="4" t="s">
        <v>2240</v>
      </c>
      <c r="B802" s="4" t="s">
        <v>2241</v>
      </c>
      <c r="C802" s="5">
        <v>2482</v>
      </c>
      <c r="D802" s="6" t="s">
        <v>2242</v>
      </c>
      <c r="E802" t="s">
        <v>338</v>
      </c>
      <c r="F802" t="s">
        <v>191</v>
      </c>
      <c r="G802" t="e">
        <f>+VLOOKUP(F802,[1]Explore!$B:$I,8,0)</f>
        <v>#N/A</v>
      </c>
      <c r="H802" t="s">
        <v>192</v>
      </c>
      <c r="I802" t="e">
        <f>+VLOOKUP(H802,[1]Explore!$A:$I,9,0)</f>
        <v>#N/A</v>
      </c>
      <c r="J802" t="str">
        <f t="shared" si="24"/>
        <v>BOTH #N/A</v>
      </c>
      <c r="K802" t="str">
        <f t="shared" si="25"/>
        <v xml:space="preserve">Time </v>
      </c>
      <c r="L802" t="s">
        <v>2138</v>
      </c>
      <c r="M802" t="str">
        <f>_xlfn.IFNA(VLOOKUP(K802,'Mapping DEF'!A:C,2,0),"")</f>
        <v>Time</v>
      </c>
      <c r="N802" t="str">
        <f>+_xlfn.IFNA(VLOOKUP(M802,'Mapping DEF'!B:C,2,FALSE),"")</f>
        <v>Other</v>
      </c>
      <c r="O802" t="s">
        <v>2817</v>
      </c>
    </row>
    <row r="803" spans="1:15" x14ac:dyDescent="0.25">
      <c r="A803" s="4" t="s">
        <v>2240</v>
      </c>
      <c r="B803" s="4" t="s">
        <v>2241</v>
      </c>
      <c r="C803" s="5">
        <v>2482</v>
      </c>
      <c r="D803" s="6" t="s">
        <v>2242</v>
      </c>
      <c r="E803" t="s">
        <v>1240</v>
      </c>
      <c r="F803" t="s">
        <v>220</v>
      </c>
      <c r="G803" t="str">
        <f>+VLOOKUP(F803,[1]Explore!$B:$I,8,0)</f>
        <v>Corporate HY USD - Other</v>
      </c>
      <c r="H803" t="s">
        <v>510</v>
      </c>
      <c r="I803" t="str">
        <f>+VLOOKUP(H803,[1]Explore!$A:$I,9,0)</f>
        <v>Corporate HY USD - Other</v>
      </c>
      <c r="J803" t="str">
        <f t="shared" si="24"/>
        <v>OK</v>
      </c>
      <c r="K803" t="str">
        <f t="shared" si="25"/>
        <v>Corporate HY USD - Other</v>
      </c>
      <c r="L803" t="s">
        <v>188</v>
      </c>
      <c r="M803" t="str">
        <f>_xlfn.IFNA(VLOOKUP(K803,'Mapping DEF'!A:C,2,0),"")</f>
        <v>Spread</v>
      </c>
      <c r="N803" t="str">
        <f>+_xlfn.IFNA(VLOOKUP(M803,'Mapping DEF'!B:C,2,FALSE),"")</f>
        <v>Spread</v>
      </c>
      <c r="O803" t="s">
        <v>2849</v>
      </c>
    </row>
    <row r="804" spans="1:15" x14ac:dyDescent="0.25">
      <c r="A804" s="4" t="s">
        <v>2240</v>
      </c>
      <c r="B804" s="4" t="s">
        <v>2241</v>
      </c>
      <c r="C804" s="5">
        <v>2482</v>
      </c>
      <c r="D804" s="6" t="s">
        <v>2242</v>
      </c>
      <c r="E804" t="s">
        <v>1241</v>
      </c>
      <c r="F804" t="s">
        <v>1242</v>
      </c>
      <c r="G804" t="str">
        <f>+VLOOKUP(F804,[1]Explore!$B:$I,8,0)</f>
        <v>ABS - Swap Spread</v>
      </c>
      <c r="H804" t="s">
        <v>1243</v>
      </c>
      <c r="I804" t="str">
        <f>+VLOOKUP(H804,[1]Explore!$A:$I,9,0)</f>
        <v>ABS - Swap Spread</v>
      </c>
      <c r="J804" t="str">
        <f t="shared" si="24"/>
        <v>OK</v>
      </c>
      <c r="K804" t="str">
        <f t="shared" si="25"/>
        <v>ABS - Swap Spread</v>
      </c>
      <c r="L804" t="s">
        <v>188</v>
      </c>
      <c r="M804" t="str">
        <f>_xlfn.IFNA(VLOOKUP(K804,'Mapping DEF'!A:C,2,0),"")</f>
        <v>Alternative</v>
      </c>
      <c r="N804" t="str">
        <f>+_xlfn.IFNA(VLOOKUP(M804,'Mapping DEF'!B:C,2,FALSE),"")</f>
        <v>Other</v>
      </c>
      <c r="O804" t="s">
        <v>2756</v>
      </c>
    </row>
    <row r="805" spans="1:15" x14ac:dyDescent="0.25">
      <c r="A805" s="4" t="s">
        <v>2240</v>
      </c>
      <c r="B805" s="4" t="s">
        <v>2241</v>
      </c>
      <c r="C805" s="5">
        <v>2482</v>
      </c>
      <c r="D805" s="6" t="s">
        <v>2242</v>
      </c>
      <c r="E805" t="s">
        <v>1244</v>
      </c>
      <c r="F805" t="s">
        <v>826</v>
      </c>
      <c r="G805" t="str">
        <f>+VLOOKUP(F805,[1]Explore!$B:$I,8,0)</f>
        <v>Equity Implied Volatility</v>
      </c>
      <c r="H805" t="s">
        <v>433</v>
      </c>
      <c r="I805" t="e">
        <f>+VLOOKUP(H805,[1]Explore!$A:$I,9,0)</f>
        <v>#N/A</v>
      </c>
      <c r="J805" t="str">
        <f t="shared" si="24"/>
        <v>OK</v>
      </c>
      <c r="K805" t="str">
        <f t="shared" si="25"/>
        <v>Equity Implied Volatility</v>
      </c>
      <c r="L805" t="s">
        <v>27</v>
      </c>
      <c r="M805" t="str">
        <f>_xlfn.IFNA(VLOOKUP(K805,'Mapping DEF'!A:C,2,0),"")</f>
        <v>Equity Derivatives</v>
      </c>
      <c r="N805" t="str">
        <f>+_xlfn.IFNA(VLOOKUP(M805,'Mapping DEF'!B:C,2,FALSE),"")</f>
        <v>Equity</v>
      </c>
      <c r="O805" t="s">
        <v>2801</v>
      </c>
    </row>
    <row r="806" spans="1:15" x14ac:dyDescent="0.25">
      <c r="A806" s="4" t="s">
        <v>2243</v>
      </c>
      <c r="B806" s="4" t="s">
        <v>2244</v>
      </c>
      <c r="C806" s="5">
        <v>2481</v>
      </c>
      <c r="D806" s="6" t="s">
        <v>2245</v>
      </c>
      <c r="E806" t="s">
        <v>1245</v>
      </c>
      <c r="F806" t="s">
        <v>13</v>
      </c>
      <c r="G806" t="str">
        <f>+VLOOKUP(F806,[1]Explore!$B:$I,8,0)</f>
        <v>Govt USD</v>
      </c>
      <c r="H806" t="s">
        <v>14</v>
      </c>
      <c r="I806" t="str">
        <f>+VLOOKUP(H806,[1]Explore!$A:$I,9,0)</f>
        <v>Govt USD</v>
      </c>
      <c r="J806" t="str">
        <f t="shared" si="24"/>
        <v>OK</v>
      </c>
      <c r="K806" t="str">
        <f t="shared" si="25"/>
        <v>Govt USD</v>
      </c>
      <c r="L806" t="s">
        <v>2143</v>
      </c>
      <c r="M806" t="str">
        <f>_xlfn.IFNA(VLOOKUP(K806,'Mapping DEF'!A:C,2,0),"")</f>
        <v>Curve (Local)</v>
      </c>
      <c r="N806" t="str">
        <f>+_xlfn.IFNA(VLOOKUP(M806,'Mapping DEF'!B:C,2,FALSE),"")</f>
        <v>Term Structure</v>
      </c>
      <c r="O806" t="s">
        <v>2795</v>
      </c>
    </row>
    <row r="807" spans="1:15" x14ac:dyDescent="0.25">
      <c r="A807" s="4" t="s">
        <v>2243</v>
      </c>
      <c r="B807" s="4" t="s">
        <v>2244</v>
      </c>
      <c r="C807" s="5">
        <v>2481</v>
      </c>
      <c r="D807" s="6" t="s">
        <v>2245</v>
      </c>
      <c r="E807" t="s">
        <v>1246</v>
      </c>
      <c r="F807" t="s">
        <v>19</v>
      </c>
      <c r="G807" t="str">
        <f>+VLOOKUP(F807,[1]Explore!$B:$I,8,0)</f>
        <v>Govt USD</v>
      </c>
      <c r="H807" t="s">
        <v>20</v>
      </c>
      <c r="I807" t="str">
        <f>+VLOOKUP(H807,[1]Explore!$A:$I,9,0)</f>
        <v>Govt USD</v>
      </c>
      <c r="J807" t="str">
        <f t="shared" si="24"/>
        <v>OK</v>
      </c>
      <c r="K807" t="str">
        <f t="shared" si="25"/>
        <v>Govt USD</v>
      </c>
      <c r="L807" t="s">
        <v>2143</v>
      </c>
      <c r="M807" t="str">
        <f>_xlfn.IFNA(VLOOKUP(K807,'Mapping DEF'!A:C,2,0),"")</f>
        <v>Curve (Local)</v>
      </c>
      <c r="N807" t="str">
        <f>+_xlfn.IFNA(VLOOKUP(M807,'Mapping DEF'!B:C,2,FALSE),"")</f>
        <v>Term Structure</v>
      </c>
      <c r="O807" t="s">
        <v>2773</v>
      </c>
    </row>
    <row r="808" spans="1:15" x14ac:dyDescent="0.25">
      <c r="A808" s="4" t="s">
        <v>2243</v>
      </c>
      <c r="B808" s="4" t="s">
        <v>2244</v>
      </c>
      <c r="C808" s="5">
        <v>2481</v>
      </c>
      <c r="D808" s="6" t="s">
        <v>2245</v>
      </c>
      <c r="E808" t="s">
        <v>1247</v>
      </c>
      <c r="F808" t="s">
        <v>817</v>
      </c>
      <c r="G808" t="str">
        <f>+VLOOKUP(F808,[1]Explore!$B:$I,8,0)</f>
        <v>USD Inflation</v>
      </c>
      <c r="H808" t="s">
        <v>818</v>
      </c>
      <c r="I808" t="str">
        <f>+VLOOKUP(H808,[1]Explore!$A:$I,9,0)</f>
        <v>USD Inflation</v>
      </c>
      <c r="J808" t="str">
        <f t="shared" si="24"/>
        <v>OK</v>
      </c>
      <c r="K808" t="str">
        <f t="shared" si="25"/>
        <v>USD Inflation</v>
      </c>
      <c r="L808" t="s">
        <v>2143</v>
      </c>
      <c r="M808" t="str">
        <f>_xlfn.IFNA(VLOOKUP(K808,'Mapping DEF'!A:C,2,0),"")</f>
        <v>Inflation</v>
      </c>
      <c r="N808" t="str">
        <f>+_xlfn.IFNA(VLOOKUP(M808,'Mapping DEF'!B:C,2,FALSE),"")</f>
        <v>Other</v>
      </c>
      <c r="O808" t="s">
        <v>2829</v>
      </c>
    </row>
    <row r="809" spans="1:15" x14ac:dyDescent="0.25">
      <c r="A809" s="4" t="s">
        <v>2243</v>
      </c>
      <c r="B809" s="4" t="s">
        <v>2244</v>
      </c>
      <c r="C809" s="5">
        <v>2481</v>
      </c>
      <c r="D809" s="6" t="s">
        <v>2245</v>
      </c>
      <c r="E809" t="s">
        <v>1248</v>
      </c>
      <c r="F809" t="s">
        <v>1249</v>
      </c>
      <c r="G809" t="str">
        <f>+VLOOKUP(F809,[1]Explore!$B:$I,8,0)</f>
        <v>Mortgage Basis</v>
      </c>
      <c r="H809" t="s">
        <v>1250</v>
      </c>
      <c r="I809" t="str">
        <f>+VLOOKUP(H809,[1]Explore!$A:$I,9,0)</f>
        <v>Mortgage Basis</v>
      </c>
      <c r="J809" t="str">
        <f t="shared" si="24"/>
        <v>OK</v>
      </c>
      <c r="K809" t="str">
        <f t="shared" si="25"/>
        <v>Mortgage Basis</v>
      </c>
      <c r="L809" t="s">
        <v>2147</v>
      </c>
      <c r="M809" t="str">
        <f>_xlfn.IFNA(VLOOKUP(K809,'Mapping DEF'!A:C,2,0),"")</f>
        <v>Alternative</v>
      </c>
      <c r="N809" t="str">
        <f>+_xlfn.IFNA(VLOOKUP(M809,'Mapping DEF'!B:C,2,FALSE),"")</f>
        <v>Other</v>
      </c>
      <c r="O809" t="s">
        <v>2797</v>
      </c>
    </row>
    <row r="810" spans="1:15" x14ac:dyDescent="0.25">
      <c r="A810" s="4" t="s">
        <v>2243</v>
      </c>
      <c r="B810" s="4" t="s">
        <v>2244</v>
      </c>
      <c r="C810" s="5">
        <v>2481</v>
      </c>
      <c r="D810" s="6" t="s">
        <v>2245</v>
      </c>
      <c r="E810" t="s">
        <v>1251</v>
      </c>
      <c r="F810" t="s">
        <v>265</v>
      </c>
      <c r="G810" t="str">
        <f>+VLOOKUP(F810,[1]Explore!$B:$I,8,0)</f>
        <v>Alternative - Commodity</v>
      </c>
      <c r="H810" t="s">
        <v>266</v>
      </c>
      <c r="I810" t="str">
        <f>+VLOOKUP(H810,[1]Explore!$A:$I,9,0)</f>
        <v>Alternative - Commodity</v>
      </c>
      <c r="J810" t="str">
        <f t="shared" si="24"/>
        <v>OK</v>
      </c>
      <c r="K810" t="str">
        <f t="shared" si="25"/>
        <v>Alternative - Commodity</v>
      </c>
      <c r="L810" t="s">
        <v>2139</v>
      </c>
      <c r="M810" t="str">
        <f>_xlfn.IFNA(VLOOKUP(K810,'Mapping DEF'!A:C,2,0),"")</f>
        <v>Alternative</v>
      </c>
      <c r="N810" t="str">
        <f>+_xlfn.IFNA(VLOOKUP(M810,'Mapping DEF'!B:C,2,FALSE),"")</f>
        <v>Other</v>
      </c>
      <c r="O810" t="s">
        <v>2757</v>
      </c>
    </row>
    <row r="811" spans="1:15" x14ac:dyDescent="0.25">
      <c r="A811" s="4" t="s">
        <v>2243</v>
      </c>
      <c r="B811" s="4" t="s">
        <v>2244</v>
      </c>
      <c r="C811" s="5">
        <v>2481</v>
      </c>
      <c r="D811" s="6" t="s">
        <v>2245</v>
      </c>
      <c r="E811" t="s">
        <v>1252</v>
      </c>
      <c r="F811" t="s">
        <v>1221</v>
      </c>
      <c r="G811" t="str">
        <f>+VLOOKUP(F811,[1]Explore!$B:$I,8,0)</f>
        <v>Rates Implied Volatility</v>
      </c>
      <c r="H811" t="s">
        <v>1222</v>
      </c>
      <c r="I811" t="str">
        <f>+VLOOKUP(H811,[1]Explore!$A:$I,9,0)</f>
        <v>Rates Implied Volatility</v>
      </c>
      <c r="J811" t="str">
        <f t="shared" si="24"/>
        <v>OK</v>
      </c>
      <c r="K811" t="str">
        <f t="shared" si="25"/>
        <v>Rates Implied Volatility</v>
      </c>
      <c r="L811" t="s">
        <v>2146</v>
      </c>
      <c r="M811" t="str">
        <f>_xlfn.IFNA(VLOOKUP(K811,'Mapping DEF'!A:C,2,0),"")</f>
        <v>Rates Implied Volatility</v>
      </c>
      <c r="N811" t="str">
        <f>+_xlfn.IFNA(VLOOKUP(M811,'Mapping DEF'!B:C,2,FALSE),"")</f>
        <v>Other</v>
      </c>
      <c r="O811" t="s">
        <v>2788</v>
      </c>
    </row>
    <row r="812" spans="1:15" x14ac:dyDescent="0.25">
      <c r="A812" s="4" t="s">
        <v>2243</v>
      </c>
      <c r="B812" s="4" t="s">
        <v>2244</v>
      </c>
      <c r="C812" s="5">
        <v>2481</v>
      </c>
      <c r="D812" s="6" t="s">
        <v>2245</v>
      </c>
      <c r="E812" t="s">
        <v>724</v>
      </c>
      <c r="F812" t="s">
        <v>2156</v>
      </c>
      <c r="G812" t="str">
        <f>+VLOOKUP(F812,[1]Explore!$B:$I,8,0)</f>
        <v>Equity Implied Volatility</v>
      </c>
      <c r="H812" t="s">
        <v>141</v>
      </c>
      <c r="I812" t="str">
        <f>+VLOOKUP(H812,[1]Explore!$A:$I,9,0)</f>
        <v>Equity Implied Volatility</v>
      </c>
      <c r="J812" t="str">
        <f t="shared" si="24"/>
        <v>OK</v>
      </c>
      <c r="K812" t="str">
        <f t="shared" si="25"/>
        <v>Equity Implied Volatility</v>
      </c>
      <c r="L812" t="s">
        <v>27</v>
      </c>
      <c r="M812" t="str">
        <f>_xlfn.IFNA(VLOOKUP(K812,'Mapping DEF'!A:C,2,0),"")</f>
        <v>Equity Derivatives</v>
      </c>
      <c r="N812" t="str">
        <f>+_xlfn.IFNA(VLOOKUP(M812,'Mapping DEF'!B:C,2,FALSE),"")</f>
        <v>Equity</v>
      </c>
      <c r="O812" t="s">
        <v>2768</v>
      </c>
    </row>
    <row r="813" spans="1:15" x14ac:dyDescent="0.25">
      <c r="A813" s="4" t="s">
        <v>2243</v>
      </c>
      <c r="B813" s="4" t="s">
        <v>2244</v>
      </c>
      <c r="C813" s="5">
        <v>2481</v>
      </c>
      <c r="D813" s="6" t="s">
        <v>2245</v>
      </c>
      <c r="E813" t="s">
        <v>338</v>
      </c>
      <c r="F813" t="s">
        <v>191</v>
      </c>
      <c r="G813" t="e">
        <f>+VLOOKUP(F813,[1]Explore!$B:$I,8,0)</f>
        <v>#N/A</v>
      </c>
      <c r="H813" t="s">
        <v>192</v>
      </c>
      <c r="I813" t="e">
        <f>+VLOOKUP(H813,[1]Explore!$A:$I,9,0)</f>
        <v>#N/A</v>
      </c>
      <c r="J813" t="str">
        <f t="shared" si="24"/>
        <v>BOTH #N/A</v>
      </c>
      <c r="K813" t="str">
        <f t="shared" si="25"/>
        <v xml:space="preserve">Time </v>
      </c>
      <c r="L813" t="s">
        <v>2138</v>
      </c>
      <c r="M813" t="str">
        <f>_xlfn.IFNA(VLOOKUP(K813,'Mapping DEF'!A:C,2,0),"")</f>
        <v>Time</v>
      </c>
      <c r="N813" t="str">
        <f>+_xlfn.IFNA(VLOOKUP(M813,'Mapping DEF'!B:C,2,FALSE),"")</f>
        <v>Other</v>
      </c>
      <c r="O813" t="s">
        <v>2817</v>
      </c>
    </row>
    <row r="814" spans="1:15" x14ac:dyDescent="0.25">
      <c r="A814" s="4" t="s">
        <v>2243</v>
      </c>
      <c r="B814" s="4" t="s">
        <v>2244</v>
      </c>
      <c r="C814" s="5">
        <v>2481</v>
      </c>
      <c r="D814" s="6" t="s">
        <v>2245</v>
      </c>
      <c r="E814" t="s">
        <v>1253</v>
      </c>
      <c r="F814" t="s">
        <v>446</v>
      </c>
      <c r="G814" t="str">
        <f>+VLOOKUP(F814,[1]Explore!$B:$I,8,0)</f>
        <v>Local Styles</v>
      </c>
      <c r="H814" t="s">
        <v>1233</v>
      </c>
      <c r="I814" t="e">
        <f>+VLOOKUP(H814,[1]Explore!$A:$I,9,0)</f>
        <v>#N/A</v>
      </c>
      <c r="J814" t="str">
        <f t="shared" si="24"/>
        <v>OK</v>
      </c>
      <c r="K814" t="str">
        <f t="shared" si="25"/>
        <v>Local Styles</v>
      </c>
      <c r="L814" t="s">
        <v>2145</v>
      </c>
      <c r="M814" t="str">
        <f>_xlfn.IFNA(VLOOKUP(K814,'Mapping DEF'!A:C,2,0),"")</f>
        <v>Style</v>
      </c>
      <c r="N814" t="str">
        <f>+_xlfn.IFNA(VLOOKUP(M814,'Mapping DEF'!B:C,2,FALSE),"")</f>
        <v>Equity</v>
      </c>
      <c r="O814" t="s">
        <v>2841</v>
      </c>
    </row>
    <row r="815" spans="1:15" x14ac:dyDescent="0.25">
      <c r="A815" s="4" t="s">
        <v>2243</v>
      </c>
      <c r="B815" s="4" t="s">
        <v>2244</v>
      </c>
      <c r="C815" s="5">
        <v>2481</v>
      </c>
      <c r="D815" s="6" t="s">
        <v>2245</v>
      </c>
      <c r="E815" t="s">
        <v>1254</v>
      </c>
      <c r="F815" t="s">
        <v>220</v>
      </c>
      <c r="G815" t="str">
        <f>+VLOOKUP(F815,[1]Explore!$B:$I,8,0)</f>
        <v>Corporate HY USD - Other</v>
      </c>
      <c r="H815" t="s">
        <v>510</v>
      </c>
      <c r="I815" t="str">
        <f>+VLOOKUP(H815,[1]Explore!$A:$I,9,0)</f>
        <v>Corporate HY USD - Other</v>
      </c>
      <c r="J815" t="str">
        <f t="shared" si="24"/>
        <v>OK</v>
      </c>
      <c r="K815" t="str">
        <f t="shared" si="25"/>
        <v>Corporate HY USD - Other</v>
      </c>
      <c r="L815" t="s">
        <v>188</v>
      </c>
      <c r="M815" t="str">
        <f>_xlfn.IFNA(VLOOKUP(K815,'Mapping DEF'!A:C,2,0),"")</f>
        <v>Spread</v>
      </c>
      <c r="N815" t="str">
        <f>+_xlfn.IFNA(VLOOKUP(M815,'Mapping DEF'!B:C,2,FALSE),"")</f>
        <v>Spread</v>
      </c>
      <c r="O815" t="s">
        <v>2850</v>
      </c>
    </row>
    <row r="816" spans="1:15" x14ac:dyDescent="0.25">
      <c r="A816" s="4" t="s">
        <v>2243</v>
      </c>
      <c r="B816" s="4" t="s">
        <v>2244</v>
      </c>
      <c r="C816" s="5">
        <v>2481</v>
      </c>
      <c r="D816" s="6" t="s">
        <v>2245</v>
      </c>
      <c r="E816" t="s">
        <v>432</v>
      </c>
      <c r="F816" t="s">
        <v>826</v>
      </c>
      <c r="G816" t="str">
        <f>+VLOOKUP(F816,[1]Explore!$B:$I,8,0)</f>
        <v>Equity Implied Volatility</v>
      </c>
      <c r="H816" t="s">
        <v>433</v>
      </c>
      <c r="I816" t="e">
        <f>+VLOOKUP(H816,[1]Explore!$A:$I,9,0)</f>
        <v>#N/A</v>
      </c>
      <c r="J816" t="str">
        <f t="shared" si="24"/>
        <v>OK</v>
      </c>
      <c r="K816" t="str">
        <f t="shared" si="25"/>
        <v>Equity Implied Volatility</v>
      </c>
      <c r="L816" t="s">
        <v>27</v>
      </c>
      <c r="M816" t="str">
        <f>_xlfn.IFNA(VLOOKUP(K816,'Mapping DEF'!A:C,2,0),"")</f>
        <v>Equity Derivatives</v>
      </c>
      <c r="N816" t="str">
        <f>+_xlfn.IFNA(VLOOKUP(M816,'Mapping DEF'!B:C,2,FALSE),"")</f>
        <v>Equity</v>
      </c>
      <c r="O816" t="s">
        <v>2776</v>
      </c>
    </row>
    <row r="817" spans="1:15" x14ac:dyDescent="0.25">
      <c r="A817" s="4" t="s">
        <v>2246</v>
      </c>
      <c r="B817" s="4" t="s">
        <v>2247</v>
      </c>
      <c r="C817" s="5">
        <v>2480</v>
      </c>
      <c r="D817" s="6" t="s">
        <v>2248</v>
      </c>
      <c r="E817" t="s">
        <v>1255</v>
      </c>
      <c r="F817" t="s">
        <v>13</v>
      </c>
      <c r="G817" t="str">
        <f>+VLOOKUP(F817,[1]Explore!$B:$I,8,0)</f>
        <v>Govt USD</v>
      </c>
      <c r="H817" t="s">
        <v>14</v>
      </c>
      <c r="I817" t="str">
        <f>+VLOOKUP(H817,[1]Explore!$A:$I,9,0)</f>
        <v>Govt USD</v>
      </c>
      <c r="J817" t="str">
        <f t="shared" si="24"/>
        <v>OK</v>
      </c>
      <c r="K817" t="str">
        <f t="shared" si="25"/>
        <v>Govt USD</v>
      </c>
      <c r="L817" t="s">
        <v>2143</v>
      </c>
      <c r="M817" t="str">
        <f>_xlfn.IFNA(VLOOKUP(K817,'Mapping DEF'!A:C,2,0),"")</f>
        <v>Curve (Local)</v>
      </c>
      <c r="N817" t="str">
        <f>+_xlfn.IFNA(VLOOKUP(M817,'Mapping DEF'!B:C,2,FALSE),"")</f>
        <v>Term Structure</v>
      </c>
      <c r="O817" t="s">
        <v>2823</v>
      </c>
    </row>
    <row r="818" spans="1:15" x14ac:dyDescent="0.25">
      <c r="A818" s="4" t="s">
        <v>2246</v>
      </c>
      <c r="B818" s="4" t="s">
        <v>2247</v>
      </c>
      <c r="C818" s="5">
        <v>2480</v>
      </c>
      <c r="D818" s="6" t="s">
        <v>2248</v>
      </c>
      <c r="E818" t="s">
        <v>1200</v>
      </c>
      <c r="F818" t="s">
        <v>19</v>
      </c>
      <c r="G818" t="str">
        <f>+VLOOKUP(F818,[1]Explore!$B:$I,8,0)</f>
        <v>Govt USD</v>
      </c>
      <c r="H818" t="s">
        <v>20</v>
      </c>
      <c r="I818" t="str">
        <f>+VLOOKUP(H818,[1]Explore!$A:$I,9,0)</f>
        <v>Govt USD</v>
      </c>
      <c r="J818" t="str">
        <f t="shared" si="24"/>
        <v>OK</v>
      </c>
      <c r="K818" t="str">
        <f t="shared" si="25"/>
        <v>Govt USD</v>
      </c>
      <c r="L818" t="s">
        <v>2143</v>
      </c>
      <c r="M818" t="str">
        <f>_xlfn.IFNA(VLOOKUP(K818,'Mapping DEF'!A:C,2,0),"")</f>
        <v>Curve (Local)</v>
      </c>
      <c r="N818" t="str">
        <f>+_xlfn.IFNA(VLOOKUP(M818,'Mapping DEF'!B:C,2,FALSE),"")</f>
        <v>Term Structure</v>
      </c>
      <c r="O818" t="s">
        <v>2788</v>
      </c>
    </row>
    <row r="819" spans="1:15" x14ac:dyDescent="0.25">
      <c r="A819" s="4" t="s">
        <v>2246</v>
      </c>
      <c r="B819" s="4" t="s">
        <v>2247</v>
      </c>
      <c r="C819" s="5">
        <v>2480</v>
      </c>
      <c r="D819" s="6" t="s">
        <v>2248</v>
      </c>
      <c r="E819" t="s">
        <v>1259</v>
      </c>
      <c r="F819" t="s">
        <v>817</v>
      </c>
      <c r="G819" t="str">
        <f>+VLOOKUP(F819,[1]Explore!$B:$I,8,0)</f>
        <v>USD Inflation</v>
      </c>
      <c r="H819" t="s">
        <v>818</v>
      </c>
      <c r="I819" t="str">
        <f>+VLOOKUP(H819,[1]Explore!$A:$I,9,0)</f>
        <v>USD Inflation</v>
      </c>
      <c r="J819" t="str">
        <f t="shared" si="24"/>
        <v>OK</v>
      </c>
      <c r="K819" t="str">
        <f t="shared" si="25"/>
        <v>USD Inflation</v>
      </c>
      <c r="L819" t="s">
        <v>2143</v>
      </c>
      <c r="M819" t="str">
        <f>_xlfn.IFNA(VLOOKUP(K819,'Mapping DEF'!A:C,2,0),"")</f>
        <v>Inflation</v>
      </c>
      <c r="N819" t="str">
        <f>+_xlfn.IFNA(VLOOKUP(M819,'Mapping DEF'!B:C,2,FALSE),"")</f>
        <v>Other</v>
      </c>
      <c r="O819" t="s">
        <v>2769</v>
      </c>
    </row>
    <row r="820" spans="1:15" x14ac:dyDescent="0.25">
      <c r="A820" s="4" t="s">
        <v>2246</v>
      </c>
      <c r="B820" s="4" t="s">
        <v>2247</v>
      </c>
      <c r="C820" s="5">
        <v>2480</v>
      </c>
      <c r="D820" s="6" t="s">
        <v>2248</v>
      </c>
      <c r="E820" t="s">
        <v>1260</v>
      </c>
      <c r="F820" t="s">
        <v>1249</v>
      </c>
      <c r="G820" t="str">
        <f>+VLOOKUP(F820,[1]Explore!$B:$I,8,0)</f>
        <v>Mortgage Basis</v>
      </c>
      <c r="H820" t="s">
        <v>1250</v>
      </c>
      <c r="I820" t="str">
        <f>+VLOOKUP(H820,[1]Explore!$A:$I,9,0)</f>
        <v>Mortgage Basis</v>
      </c>
      <c r="J820" t="str">
        <f t="shared" si="24"/>
        <v>OK</v>
      </c>
      <c r="K820" t="str">
        <f t="shared" si="25"/>
        <v>Mortgage Basis</v>
      </c>
      <c r="L820" t="s">
        <v>2147</v>
      </c>
      <c r="M820" t="str">
        <f>_xlfn.IFNA(VLOOKUP(K820,'Mapping DEF'!A:C,2,0),"")</f>
        <v>Alternative</v>
      </c>
      <c r="N820" t="str">
        <f>+_xlfn.IFNA(VLOOKUP(M820,'Mapping DEF'!B:C,2,FALSE),"")</f>
        <v>Other</v>
      </c>
      <c r="O820" t="s">
        <v>2788</v>
      </c>
    </row>
    <row r="821" spans="1:15" x14ac:dyDescent="0.25">
      <c r="A821" s="4" t="s">
        <v>2246</v>
      </c>
      <c r="B821" s="4" t="s">
        <v>2247</v>
      </c>
      <c r="C821" s="5">
        <v>2480</v>
      </c>
      <c r="D821" s="6" t="s">
        <v>2248</v>
      </c>
      <c r="E821" t="s">
        <v>1261</v>
      </c>
      <c r="F821" t="s">
        <v>265</v>
      </c>
      <c r="G821" t="str">
        <f>+VLOOKUP(F821,[1]Explore!$B:$I,8,0)</f>
        <v>Alternative - Commodity</v>
      </c>
      <c r="H821" t="s">
        <v>266</v>
      </c>
      <c r="I821" t="str">
        <f>+VLOOKUP(H821,[1]Explore!$A:$I,9,0)</f>
        <v>Alternative - Commodity</v>
      </c>
      <c r="J821" t="str">
        <f t="shared" si="24"/>
        <v>OK</v>
      </c>
      <c r="K821" t="str">
        <f t="shared" si="25"/>
        <v>Alternative - Commodity</v>
      </c>
      <c r="L821" t="s">
        <v>2139</v>
      </c>
      <c r="M821" t="str">
        <f>_xlfn.IFNA(VLOOKUP(K821,'Mapping DEF'!A:C,2,0),"")</f>
        <v>Alternative</v>
      </c>
      <c r="N821" t="str">
        <f>+_xlfn.IFNA(VLOOKUP(M821,'Mapping DEF'!B:C,2,FALSE),"")</f>
        <v>Other</v>
      </c>
      <c r="O821" t="s">
        <v>2768</v>
      </c>
    </row>
    <row r="822" spans="1:15" x14ac:dyDescent="0.25">
      <c r="A822" s="4" t="s">
        <v>2246</v>
      </c>
      <c r="B822" s="4" t="s">
        <v>2247</v>
      </c>
      <c r="C822" s="5">
        <v>2480</v>
      </c>
      <c r="D822" s="6" t="s">
        <v>2248</v>
      </c>
      <c r="E822" t="s">
        <v>1262</v>
      </c>
      <c r="F822" t="s">
        <v>1221</v>
      </c>
      <c r="G822" t="str">
        <f>+VLOOKUP(F822,[1]Explore!$B:$I,8,0)</f>
        <v>Rates Implied Volatility</v>
      </c>
      <c r="H822" t="s">
        <v>1222</v>
      </c>
      <c r="I822" t="str">
        <f>+VLOOKUP(H822,[1]Explore!$A:$I,9,0)</f>
        <v>Rates Implied Volatility</v>
      </c>
      <c r="J822" t="str">
        <f t="shared" si="24"/>
        <v>OK</v>
      </c>
      <c r="K822" t="str">
        <f t="shared" si="25"/>
        <v>Rates Implied Volatility</v>
      </c>
      <c r="L822" t="s">
        <v>2146</v>
      </c>
      <c r="M822" t="str">
        <f>_xlfn.IFNA(VLOOKUP(K822,'Mapping DEF'!A:C,2,0),"")</f>
        <v>Rates Implied Volatility</v>
      </c>
      <c r="N822" t="str">
        <f>+_xlfn.IFNA(VLOOKUP(M822,'Mapping DEF'!B:C,2,FALSE),"")</f>
        <v>Other</v>
      </c>
      <c r="O822" t="s">
        <v>2791</v>
      </c>
    </row>
    <row r="823" spans="1:15" x14ac:dyDescent="0.25">
      <c r="A823" s="4" t="s">
        <v>2246</v>
      </c>
      <c r="B823" s="4" t="s">
        <v>2247</v>
      </c>
      <c r="C823" s="5">
        <v>2480</v>
      </c>
      <c r="D823" s="6" t="s">
        <v>2248</v>
      </c>
      <c r="E823" t="s">
        <v>1263</v>
      </c>
      <c r="F823" t="s">
        <v>1224</v>
      </c>
      <c r="G823" t="str">
        <f>+VLOOKUP(F823,[1]Explore!$B:$I,8,0)</f>
        <v>Corporate IG USD - Market</v>
      </c>
      <c r="H823" t="s">
        <v>1225</v>
      </c>
      <c r="I823" t="str">
        <f>+VLOOKUP(H823,[1]Explore!$A:$I,9,0)</f>
        <v>Corporate IG USD - Market</v>
      </c>
      <c r="J823" t="str">
        <f t="shared" si="24"/>
        <v>OK</v>
      </c>
      <c r="K823" t="str">
        <f t="shared" si="25"/>
        <v>Corporate IG USD - Market</v>
      </c>
      <c r="L823" t="s">
        <v>188</v>
      </c>
      <c r="M823" t="str">
        <f>_xlfn.IFNA(VLOOKUP(K823,'Mapping DEF'!A:C,2,0),"")</f>
        <v>Spread</v>
      </c>
      <c r="N823" t="str">
        <f>+_xlfn.IFNA(VLOOKUP(M823,'Mapping DEF'!B:C,2,FALSE),"")</f>
        <v>Spread</v>
      </c>
      <c r="O823" t="s">
        <v>2755</v>
      </c>
    </row>
    <row r="824" spans="1:15" x14ac:dyDescent="0.25">
      <c r="A824" s="4" t="s">
        <v>2246</v>
      </c>
      <c r="B824" s="4" t="s">
        <v>2247</v>
      </c>
      <c r="C824" s="5">
        <v>2480</v>
      </c>
      <c r="D824" s="6" t="s">
        <v>2248</v>
      </c>
      <c r="E824" t="s">
        <v>318</v>
      </c>
      <c r="F824" t="s">
        <v>2156</v>
      </c>
      <c r="G824" t="str">
        <f>+VLOOKUP(F824,[1]Explore!$B:$I,8,0)</f>
        <v>Equity Implied Volatility</v>
      </c>
      <c r="H824" t="s">
        <v>141</v>
      </c>
      <c r="I824" t="str">
        <f>+VLOOKUP(H824,[1]Explore!$A:$I,9,0)</f>
        <v>Equity Implied Volatility</v>
      </c>
      <c r="J824" t="str">
        <f t="shared" si="24"/>
        <v>OK</v>
      </c>
      <c r="K824" t="str">
        <f t="shared" si="25"/>
        <v>Equity Implied Volatility</v>
      </c>
      <c r="L824" t="s">
        <v>27</v>
      </c>
      <c r="M824" t="str">
        <f>_xlfn.IFNA(VLOOKUP(K824,'Mapping DEF'!A:C,2,0),"")</f>
        <v>Equity Derivatives</v>
      </c>
      <c r="N824" t="str">
        <f>+_xlfn.IFNA(VLOOKUP(M824,'Mapping DEF'!B:C,2,FALSE),"")</f>
        <v>Equity</v>
      </c>
      <c r="O824" t="s">
        <v>2803</v>
      </c>
    </row>
    <row r="825" spans="1:15" x14ac:dyDescent="0.25">
      <c r="A825" s="4" t="s">
        <v>2246</v>
      </c>
      <c r="B825" s="4" t="s">
        <v>2247</v>
      </c>
      <c r="C825" s="5">
        <v>2480</v>
      </c>
      <c r="D825" s="6" t="s">
        <v>2248</v>
      </c>
      <c r="E825" t="s">
        <v>338</v>
      </c>
      <c r="F825" t="s">
        <v>191</v>
      </c>
      <c r="G825" t="e">
        <f>+VLOOKUP(F825,[1]Explore!$B:$I,8,0)</f>
        <v>#N/A</v>
      </c>
      <c r="H825" t="s">
        <v>192</v>
      </c>
      <c r="I825" t="e">
        <f>+VLOOKUP(H825,[1]Explore!$A:$I,9,0)</f>
        <v>#N/A</v>
      </c>
      <c r="J825" t="str">
        <f t="shared" si="24"/>
        <v>BOTH #N/A</v>
      </c>
      <c r="K825" t="str">
        <f t="shared" si="25"/>
        <v xml:space="preserve">Time </v>
      </c>
      <c r="L825" t="s">
        <v>2138</v>
      </c>
      <c r="M825" t="str">
        <f>_xlfn.IFNA(VLOOKUP(K825,'Mapping DEF'!A:C,2,0),"")</f>
        <v>Time</v>
      </c>
      <c r="N825" t="str">
        <f>+_xlfn.IFNA(VLOOKUP(M825,'Mapping DEF'!B:C,2,FALSE),"")</f>
        <v>Other</v>
      </c>
      <c r="O825" t="s">
        <v>2817</v>
      </c>
    </row>
    <row r="826" spans="1:15" x14ac:dyDescent="0.25">
      <c r="A826" s="4" t="s">
        <v>2246</v>
      </c>
      <c r="B826" s="4" t="s">
        <v>2247</v>
      </c>
      <c r="C826" s="5">
        <v>2480</v>
      </c>
      <c r="D826" s="6" t="s">
        <v>2248</v>
      </c>
      <c r="E826" t="s">
        <v>1264</v>
      </c>
      <c r="F826" t="s">
        <v>214</v>
      </c>
      <c r="G826" t="str">
        <f>+VLOOKUP(F826,[1]Explore!$B:$I,8,0)</f>
        <v>Health Care</v>
      </c>
      <c r="H826" t="s">
        <v>1265</v>
      </c>
      <c r="I826" t="str">
        <f>+VLOOKUP(H826,[1]Explore!$A:$I,9,0)</f>
        <v>Health Care</v>
      </c>
      <c r="J826" t="str">
        <f t="shared" si="24"/>
        <v>OK</v>
      </c>
      <c r="K826" t="str">
        <f t="shared" si="25"/>
        <v>Health Care</v>
      </c>
      <c r="L826" t="s">
        <v>2141</v>
      </c>
      <c r="M826" t="str">
        <f>_xlfn.IFNA(VLOOKUP(K826,'Mapping DEF'!A:C,2,0),"")</f>
        <v>Industry Allocation</v>
      </c>
      <c r="N826" t="str">
        <f>+_xlfn.IFNA(VLOOKUP(M826,'Mapping DEF'!B:C,2,FALSE),"")</f>
        <v>Equity</v>
      </c>
      <c r="O826" t="s">
        <v>2770</v>
      </c>
    </row>
    <row r="827" spans="1:15" x14ac:dyDescent="0.25">
      <c r="A827" s="4" t="s">
        <v>2246</v>
      </c>
      <c r="B827" s="4" t="s">
        <v>2247</v>
      </c>
      <c r="C827" s="5">
        <v>2480</v>
      </c>
      <c r="D827" s="6" t="s">
        <v>2248</v>
      </c>
      <c r="E827" t="s">
        <v>1266</v>
      </c>
      <c r="F827" t="s">
        <v>1267</v>
      </c>
      <c r="G827" t="e">
        <f>+VLOOKUP(F827,[1]Explore!$B:$I,8,0)</f>
        <v>#N/A</v>
      </c>
      <c r="H827" t="s">
        <v>1268</v>
      </c>
      <c r="I827" t="str">
        <f>+VLOOKUP(H827,[1]Explore!$A:$I,9,0)</f>
        <v>Information Technology</v>
      </c>
      <c r="J827" t="str">
        <f t="shared" si="24"/>
        <v>OK</v>
      </c>
      <c r="K827" t="str">
        <f t="shared" si="25"/>
        <v>Information Technology</v>
      </c>
      <c r="L827" t="s">
        <v>2141</v>
      </c>
      <c r="M827" t="str">
        <f>_xlfn.IFNA(VLOOKUP(K827,'Mapping DEF'!A:C,2,0),"")</f>
        <v>Industry Allocation</v>
      </c>
      <c r="N827" t="str">
        <f>+_xlfn.IFNA(VLOOKUP(M827,'Mapping DEF'!B:C,2,FALSE),"")</f>
        <v>Equity</v>
      </c>
      <c r="O827" t="s">
        <v>2771</v>
      </c>
    </row>
    <row r="828" spans="1:15" x14ac:dyDescent="0.25">
      <c r="A828" s="4" t="s">
        <v>2246</v>
      </c>
      <c r="B828" s="4" t="s">
        <v>2247</v>
      </c>
      <c r="C828" s="5">
        <v>2480</v>
      </c>
      <c r="D828" s="6" t="s">
        <v>2248</v>
      </c>
      <c r="E828" t="s">
        <v>1269</v>
      </c>
      <c r="F828" t="s">
        <v>220</v>
      </c>
      <c r="G828" t="str">
        <f>+VLOOKUP(F828,[1]Explore!$B:$I,8,0)</f>
        <v>Corporate HY USD - Other</v>
      </c>
      <c r="H828" t="s">
        <v>750</v>
      </c>
      <c r="I828" t="e">
        <f>+VLOOKUP(H828,[1]Explore!$A:$I,9,0)</f>
        <v>#N/A</v>
      </c>
      <c r="J828" t="str">
        <f t="shared" si="24"/>
        <v>OK</v>
      </c>
      <c r="K828" t="str">
        <f t="shared" si="25"/>
        <v>Corporate HY USD - Other</v>
      </c>
      <c r="L828" t="s">
        <v>188</v>
      </c>
      <c r="M828" t="str">
        <f>_xlfn.IFNA(VLOOKUP(K828,'Mapping DEF'!A:C,2,0),"")</f>
        <v>Spread</v>
      </c>
      <c r="N828" t="str">
        <f>+_xlfn.IFNA(VLOOKUP(M828,'Mapping DEF'!B:C,2,FALSE),"")</f>
        <v>Spread</v>
      </c>
      <c r="O828" t="s">
        <v>2799</v>
      </c>
    </row>
    <row r="829" spans="1:15" x14ac:dyDescent="0.25">
      <c r="A829" s="4" t="s">
        <v>2249</v>
      </c>
      <c r="B829" s="4" t="s">
        <v>2250</v>
      </c>
      <c r="C829" s="5">
        <v>2204</v>
      </c>
      <c r="D829" s="6" t="s">
        <v>2251</v>
      </c>
      <c r="E829" t="s">
        <v>1270</v>
      </c>
      <c r="F829" t="s">
        <v>19</v>
      </c>
      <c r="G829" t="str">
        <f>+VLOOKUP(F829,[1]Explore!$B:$I,8,0)</f>
        <v>Govt USD</v>
      </c>
      <c r="H829" t="s">
        <v>20</v>
      </c>
      <c r="I829" t="str">
        <f>+VLOOKUP(H829,[1]Explore!$A:$I,9,0)</f>
        <v>Govt USD</v>
      </c>
      <c r="J829" t="str">
        <f t="shared" si="24"/>
        <v>OK</v>
      </c>
      <c r="K829" t="str">
        <f t="shared" si="25"/>
        <v>Govt USD</v>
      </c>
      <c r="L829" t="s">
        <v>2143</v>
      </c>
      <c r="M829" t="str">
        <f>_xlfn.IFNA(VLOOKUP(K829,'Mapping DEF'!A:C,2,0),"")</f>
        <v>Curve (Local)</v>
      </c>
      <c r="N829" t="str">
        <f>+_xlfn.IFNA(VLOOKUP(M829,'Mapping DEF'!B:C,2,FALSE),"")</f>
        <v>Term Structure</v>
      </c>
      <c r="O829" t="s">
        <v>2779</v>
      </c>
    </row>
    <row r="830" spans="1:15" x14ac:dyDescent="0.25">
      <c r="A830" s="4" t="s">
        <v>2249</v>
      </c>
      <c r="B830" s="4" t="s">
        <v>2250</v>
      </c>
      <c r="C830" s="5">
        <v>2204</v>
      </c>
      <c r="D830" s="6" t="s">
        <v>2251</v>
      </c>
      <c r="E830" t="s">
        <v>1271</v>
      </c>
      <c r="F830" t="s">
        <v>315</v>
      </c>
      <c r="G830" t="str">
        <f>+VLOOKUP(F830,[1]Explore!$B:$I,8,0)</f>
        <v>Govt EUR (Ger)</v>
      </c>
      <c r="H830" t="s">
        <v>316</v>
      </c>
      <c r="I830" t="str">
        <f>+VLOOKUP(H830,[1]Explore!$A:$I,9,0)</f>
        <v>Govt EUR (Ger)</v>
      </c>
      <c r="J830" t="str">
        <f t="shared" si="24"/>
        <v>OK</v>
      </c>
      <c r="K830" t="str">
        <f t="shared" si="25"/>
        <v>Govt EUR (Ger)</v>
      </c>
      <c r="L830" t="s">
        <v>2143</v>
      </c>
      <c r="M830" t="str">
        <f>_xlfn.IFNA(VLOOKUP(K830,'Mapping DEF'!A:C,2,0),"")</f>
        <v>Curve (Local)</v>
      </c>
      <c r="N830" t="str">
        <f>+_xlfn.IFNA(VLOOKUP(M830,'Mapping DEF'!B:C,2,FALSE),"")</f>
        <v>Term Structure</v>
      </c>
      <c r="O830" t="s">
        <v>2769</v>
      </c>
    </row>
    <row r="831" spans="1:15" x14ac:dyDescent="0.25">
      <c r="A831" s="4" t="s">
        <v>2249</v>
      </c>
      <c r="B831" s="4" t="s">
        <v>2250</v>
      </c>
      <c r="C831" s="5">
        <v>2204</v>
      </c>
      <c r="D831" s="6" t="s">
        <v>2251</v>
      </c>
      <c r="E831" t="s">
        <v>504</v>
      </c>
      <c r="F831" t="s">
        <v>2944</v>
      </c>
      <c r="G831" t="str">
        <f>+VLOOKUP(F831,[1]Explore!$B:$I,8,0)</f>
        <v>JPY</v>
      </c>
      <c r="H831" t="s">
        <v>138</v>
      </c>
      <c r="I831" t="str">
        <f>+VLOOKUP(H831,[1]Explore!$A:$I,9,0)</f>
        <v>JPY</v>
      </c>
      <c r="J831" t="str">
        <f t="shared" si="24"/>
        <v>OK</v>
      </c>
      <c r="K831" t="str">
        <f t="shared" si="25"/>
        <v>JPY</v>
      </c>
      <c r="L831" t="s">
        <v>2140</v>
      </c>
      <c r="M831" t="str">
        <f>_xlfn.IFNA(VLOOKUP(K831,'Mapping DEF'!A:C,2,0),"")</f>
        <v>FX</v>
      </c>
      <c r="N831" t="str">
        <f>+_xlfn.IFNA(VLOOKUP(M831,'Mapping DEF'!B:C,2,FALSE),"")</f>
        <v>FX</v>
      </c>
      <c r="O831" t="s">
        <v>2759</v>
      </c>
    </row>
    <row r="832" spans="1:15" x14ac:dyDescent="0.25">
      <c r="A832" s="4" t="s">
        <v>2249</v>
      </c>
      <c r="B832" s="4" t="s">
        <v>2250</v>
      </c>
      <c r="C832" s="5">
        <v>2204</v>
      </c>
      <c r="D832" s="6" t="s">
        <v>2251</v>
      </c>
      <c r="E832" t="s">
        <v>1272</v>
      </c>
      <c r="F832" t="s">
        <v>2618</v>
      </c>
      <c r="G832" t="str">
        <f>+VLOOKUP(F832,[1]Explore!$B:$I,8,0)</f>
        <v>Equity Implied Volatility</v>
      </c>
      <c r="H832" t="s">
        <v>144</v>
      </c>
      <c r="I832" t="str">
        <f>+VLOOKUP(H832,[1]Explore!$A:$I,9,0)</f>
        <v>Equity Implied Volatility</v>
      </c>
      <c r="J832" t="str">
        <f t="shared" si="24"/>
        <v>OK</v>
      </c>
      <c r="K832" t="str">
        <f t="shared" si="25"/>
        <v>Equity Implied Volatility</v>
      </c>
      <c r="L832" t="s">
        <v>27</v>
      </c>
      <c r="M832" t="str">
        <f>_xlfn.IFNA(VLOOKUP(K832,'Mapping DEF'!A:C,2,0),"")</f>
        <v>Equity Derivatives</v>
      </c>
      <c r="N832" t="str">
        <f>+_xlfn.IFNA(VLOOKUP(M832,'Mapping DEF'!B:C,2,FALSE),"")</f>
        <v>Equity</v>
      </c>
      <c r="O832" t="s">
        <v>2760</v>
      </c>
    </row>
    <row r="833" spans="1:15" x14ac:dyDescent="0.25">
      <c r="A833" s="4" t="s">
        <v>2249</v>
      </c>
      <c r="B833" s="4" t="s">
        <v>2250</v>
      </c>
      <c r="C833" s="5">
        <v>2204</v>
      </c>
      <c r="D833" s="6" t="s">
        <v>2251</v>
      </c>
      <c r="E833" t="s">
        <v>1273</v>
      </c>
      <c r="F833" t="s">
        <v>293</v>
      </c>
      <c r="G833" t="e">
        <f>+VLOOKUP(F833,[1]Explore!$B:$I,8,0)</f>
        <v>#N/A</v>
      </c>
      <c r="H833" t="s">
        <v>1128</v>
      </c>
      <c r="I833" t="e">
        <f>+VLOOKUP(H833,[1]Explore!$A:$I,9,0)</f>
        <v>#N/A</v>
      </c>
      <c r="J833" t="str">
        <f t="shared" si="24"/>
        <v>BOTH #N/A</v>
      </c>
      <c r="K833" t="str">
        <f t="shared" si="25"/>
        <v>Industrials</v>
      </c>
      <c r="L833" t="s">
        <v>1206</v>
      </c>
      <c r="M833" t="str">
        <f>_xlfn.IFNA(VLOOKUP(K833,'Mapping DEF'!A:C,2,0),"")</f>
        <v>Industry Allocation</v>
      </c>
      <c r="N833" t="str">
        <f>+_xlfn.IFNA(VLOOKUP(M833,'Mapping DEF'!B:C,2,FALSE),"")</f>
        <v>Equity</v>
      </c>
      <c r="O833" t="s">
        <v>2771</v>
      </c>
    </row>
    <row r="834" spans="1:15" x14ac:dyDescent="0.25">
      <c r="A834" s="4" t="s">
        <v>2252</v>
      </c>
      <c r="B834" s="4" t="s">
        <v>2253</v>
      </c>
      <c r="C834" s="5">
        <v>2433</v>
      </c>
      <c r="D834" s="6" t="s">
        <v>2254</v>
      </c>
      <c r="E834" t="s">
        <v>1274</v>
      </c>
      <c r="F834" t="s">
        <v>1275</v>
      </c>
      <c r="G834" t="str">
        <f>+VLOOKUP(F834,[1]Explore!$B:$I,8,0)</f>
        <v>Alternative - Commodity</v>
      </c>
      <c r="H834" t="s">
        <v>1276</v>
      </c>
      <c r="I834" t="str">
        <f>+VLOOKUP(H834,[1]Explore!$A:$I,9,0)</f>
        <v>Alternative - Commodity</v>
      </c>
      <c r="J834" t="str">
        <f t="shared" si="24"/>
        <v>OK</v>
      </c>
      <c r="K834" t="str">
        <f t="shared" si="25"/>
        <v>Alternative - Commodity</v>
      </c>
      <c r="L834" t="s">
        <v>2139</v>
      </c>
      <c r="M834" t="str">
        <f>_xlfn.IFNA(VLOOKUP(K834,'Mapping DEF'!A:C,2,0),"")</f>
        <v>Alternative</v>
      </c>
      <c r="N834" t="str">
        <f>+_xlfn.IFNA(VLOOKUP(M834,'Mapping DEF'!B:C,2,FALSE),"")</f>
        <v>Other</v>
      </c>
      <c r="O834" t="s">
        <v>2763</v>
      </c>
    </row>
    <row r="835" spans="1:15" x14ac:dyDescent="0.25">
      <c r="A835" s="4" t="s">
        <v>2252</v>
      </c>
      <c r="B835" s="4" t="s">
        <v>2253</v>
      </c>
      <c r="C835" s="5">
        <v>2433</v>
      </c>
      <c r="D835" s="6" t="s">
        <v>2254</v>
      </c>
      <c r="E835" t="s">
        <v>371</v>
      </c>
      <c r="F835" t="s">
        <v>206</v>
      </c>
      <c r="G835" t="e">
        <f>+VLOOKUP(F835,[1]Explore!$B:$I,8,0)</f>
        <v>#N/A</v>
      </c>
      <c r="H835" t="s">
        <v>206</v>
      </c>
      <c r="I835" t="e">
        <f>+VLOOKUP(H835,[1]Explore!$A:$I,9,0)</f>
        <v>#N/A</v>
      </c>
      <c r="J835" t="str">
        <f t="shared" ref="J835:J898" si="26">IF(AND(ISNA(G835),ISNA(I835)),"BOTH #N/A","OK")</f>
        <v>BOTH #N/A</v>
      </c>
      <c r="K835" t="str">
        <f t="shared" ref="K835:K898" si="27">IFERROR(I835, IFERROR(G835, L835))</f>
        <v>Dollar Index</v>
      </c>
      <c r="L835" t="s">
        <v>2930</v>
      </c>
      <c r="M835" t="str">
        <f>_xlfn.IFNA(VLOOKUP(K835,'Mapping DEF'!A:C,2,0),"")</f>
        <v>Index Level</v>
      </c>
      <c r="N835" t="str">
        <f>+_xlfn.IFNA(VLOOKUP(M835,'Mapping DEF'!B:C,2,FALSE),"")</f>
        <v>Other</v>
      </c>
      <c r="O835" t="s">
        <v>2759</v>
      </c>
    </row>
    <row r="836" spans="1:15" x14ac:dyDescent="0.25">
      <c r="A836" s="4" t="s">
        <v>2252</v>
      </c>
      <c r="B836" s="4" t="s">
        <v>2253</v>
      </c>
      <c r="C836" s="5">
        <v>2433</v>
      </c>
      <c r="D836" s="6" t="s">
        <v>2254</v>
      </c>
      <c r="E836" t="s">
        <v>680</v>
      </c>
      <c r="F836" t="s">
        <v>392</v>
      </c>
      <c r="G836" t="str">
        <f>+VLOOKUP(F836,[1]Explore!$B:$I,8,0)</f>
        <v>Equity Implied Volatility</v>
      </c>
      <c r="H836" t="s">
        <v>392</v>
      </c>
      <c r="I836" t="str">
        <f>+VLOOKUP(H836,[1]Explore!$A:$I,9,0)</f>
        <v>Equity Implied Volatility</v>
      </c>
      <c r="J836" t="str">
        <f t="shared" si="26"/>
        <v>OK</v>
      </c>
      <c r="K836" t="str">
        <f t="shared" si="27"/>
        <v>Equity Implied Volatility</v>
      </c>
      <c r="L836" t="s">
        <v>27</v>
      </c>
      <c r="M836" t="str">
        <f>_xlfn.IFNA(VLOOKUP(K836,'Mapping DEF'!A:C,2,0),"")</f>
        <v>Equity Derivatives</v>
      </c>
      <c r="N836" t="str">
        <f>+_xlfn.IFNA(VLOOKUP(M836,'Mapping DEF'!B:C,2,FALSE),"")</f>
        <v>Equity</v>
      </c>
      <c r="O836" t="s">
        <v>2759</v>
      </c>
    </row>
    <row r="837" spans="1:15" x14ac:dyDescent="0.25">
      <c r="A837" s="4" t="s">
        <v>2252</v>
      </c>
      <c r="B837" s="4" t="s">
        <v>2253</v>
      </c>
      <c r="C837" s="5">
        <v>2433</v>
      </c>
      <c r="D837" s="6" t="s">
        <v>2254</v>
      </c>
      <c r="E837" t="s">
        <v>654</v>
      </c>
      <c r="F837" t="s">
        <v>191</v>
      </c>
      <c r="G837" t="e">
        <f>+VLOOKUP(F837,[1]Explore!$B:$I,8,0)</f>
        <v>#N/A</v>
      </c>
      <c r="H837" t="s">
        <v>192</v>
      </c>
      <c r="I837" t="e">
        <f>+VLOOKUP(H837,[1]Explore!$A:$I,9,0)</f>
        <v>#N/A</v>
      </c>
      <c r="J837" t="str">
        <f t="shared" si="26"/>
        <v>BOTH #N/A</v>
      </c>
      <c r="K837" t="str">
        <f t="shared" si="27"/>
        <v xml:space="preserve">Time </v>
      </c>
      <c r="L837" t="s">
        <v>2138</v>
      </c>
      <c r="M837" t="str">
        <f>_xlfn.IFNA(VLOOKUP(K837,'Mapping DEF'!A:C,2,0),"")</f>
        <v>Time</v>
      </c>
      <c r="N837" t="str">
        <f>+_xlfn.IFNA(VLOOKUP(M837,'Mapping DEF'!B:C,2,FALSE),"")</f>
        <v>Other</v>
      </c>
      <c r="O837" t="s">
        <v>2762</v>
      </c>
    </row>
    <row r="838" spans="1:15" x14ac:dyDescent="0.25">
      <c r="A838" s="4" t="s">
        <v>2252</v>
      </c>
      <c r="B838" s="4" t="s">
        <v>2253</v>
      </c>
      <c r="C838" s="5">
        <v>2433</v>
      </c>
      <c r="D838" s="6" t="s">
        <v>2254</v>
      </c>
      <c r="E838" t="s">
        <v>1277</v>
      </c>
      <c r="F838" t="s">
        <v>1344</v>
      </c>
      <c r="G838" t="str">
        <f>+VLOOKUP(F838,[1]Explore!$B:$I,8,0)</f>
        <v>Spread Govt Peripheral EUR (ex ITA)</v>
      </c>
      <c r="H838" t="s">
        <v>323</v>
      </c>
      <c r="I838" t="e">
        <f>+VLOOKUP(H838,[1]Explore!$A:$I,9,0)</f>
        <v>#N/A</v>
      </c>
      <c r="J838" t="str">
        <f t="shared" si="26"/>
        <v>OK</v>
      </c>
      <c r="K838" t="str">
        <f t="shared" si="27"/>
        <v>Spread Govt Peripheral EUR (ex ITA)</v>
      </c>
      <c r="L838" t="s">
        <v>188</v>
      </c>
      <c r="M838" t="str">
        <f>_xlfn.IFNA(VLOOKUP(K838,'Mapping DEF'!A:C,2,0),"")</f>
        <v>Spread Govt</v>
      </c>
      <c r="N838" t="str">
        <f>+_xlfn.IFNA(VLOOKUP(M838,'Mapping DEF'!B:C,2,FALSE),"")</f>
        <v>Term Structure</v>
      </c>
      <c r="O838" t="s">
        <v>2781</v>
      </c>
    </row>
    <row r="839" spans="1:15" x14ac:dyDescent="0.25">
      <c r="A839" s="4" t="s">
        <v>2252</v>
      </c>
      <c r="B839" s="4" t="s">
        <v>2253</v>
      </c>
      <c r="C839" s="5">
        <v>2433</v>
      </c>
      <c r="D839" s="6" t="s">
        <v>2254</v>
      </c>
      <c r="E839" t="s">
        <v>1278</v>
      </c>
      <c r="F839" t="s">
        <v>2616</v>
      </c>
      <c r="G839" t="str">
        <f>+VLOOKUP(F839,[1]Explore!$B:$I,8,0)</f>
        <v>Equity Implied Volatility</v>
      </c>
      <c r="H839" t="s">
        <v>1279</v>
      </c>
      <c r="I839" t="e">
        <f>+VLOOKUP(H839,[1]Explore!$A:$I,9,0)</f>
        <v>#N/A</v>
      </c>
      <c r="J839" t="str">
        <f t="shared" si="26"/>
        <v>OK</v>
      </c>
      <c r="K839" t="str">
        <f t="shared" si="27"/>
        <v>Equity Implied Volatility</v>
      </c>
      <c r="L839" t="s">
        <v>27</v>
      </c>
      <c r="M839" t="str">
        <f>_xlfn.IFNA(VLOOKUP(K839,'Mapping DEF'!A:C,2,0),"")</f>
        <v>Equity Derivatives</v>
      </c>
      <c r="N839" t="str">
        <f>+_xlfn.IFNA(VLOOKUP(M839,'Mapping DEF'!B:C,2,FALSE),"")</f>
        <v>Equity</v>
      </c>
      <c r="O839" t="s">
        <v>2760</v>
      </c>
    </row>
    <row r="840" spans="1:15" x14ac:dyDescent="0.25">
      <c r="A840" s="4" t="s">
        <v>2255</v>
      </c>
      <c r="B840" s="4" t="s">
        <v>2256</v>
      </c>
      <c r="C840" s="5">
        <v>2432</v>
      </c>
      <c r="D840" s="6" t="s">
        <v>2257</v>
      </c>
      <c r="E840" t="s">
        <v>1214</v>
      </c>
      <c r="F840" t="s">
        <v>13</v>
      </c>
      <c r="G840" t="str">
        <f>+VLOOKUP(F840,[1]Explore!$B:$I,8,0)</f>
        <v>Govt USD</v>
      </c>
      <c r="H840" t="s">
        <v>14</v>
      </c>
      <c r="I840" t="str">
        <f>+VLOOKUP(H840,[1]Explore!$A:$I,9,0)</f>
        <v>Govt USD</v>
      </c>
      <c r="J840" t="str">
        <f t="shared" si="26"/>
        <v>OK</v>
      </c>
      <c r="K840" t="str">
        <f t="shared" si="27"/>
        <v>Govt USD</v>
      </c>
      <c r="L840" t="s">
        <v>2143</v>
      </c>
      <c r="M840" t="str">
        <f>_xlfn.IFNA(VLOOKUP(K840,'Mapping DEF'!A:C,2,0),"")</f>
        <v>Curve (Local)</v>
      </c>
      <c r="N840" t="str">
        <f>+_xlfn.IFNA(VLOOKUP(M840,'Mapping DEF'!B:C,2,FALSE),"")</f>
        <v>Term Structure</v>
      </c>
      <c r="O840" t="s">
        <v>2845</v>
      </c>
    </row>
    <row r="841" spans="1:15" x14ac:dyDescent="0.25">
      <c r="A841" s="4" t="s">
        <v>2255</v>
      </c>
      <c r="B841" s="4" t="s">
        <v>2256</v>
      </c>
      <c r="C841" s="5">
        <v>2432</v>
      </c>
      <c r="D841" s="6" t="s">
        <v>2257</v>
      </c>
      <c r="E841" t="s">
        <v>410</v>
      </c>
      <c r="F841" t="s">
        <v>19</v>
      </c>
      <c r="G841" t="str">
        <f>+VLOOKUP(F841,[1]Explore!$B:$I,8,0)</f>
        <v>Govt USD</v>
      </c>
      <c r="H841" t="s">
        <v>20</v>
      </c>
      <c r="I841" t="str">
        <f>+VLOOKUP(H841,[1]Explore!$A:$I,9,0)</f>
        <v>Govt USD</v>
      </c>
      <c r="J841" t="str">
        <f t="shared" si="26"/>
        <v>OK</v>
      </c>
      <c r="K841" t="str">
        <f t="shared" si="27"/>
        <v>Govt USD</v>
      </c>
      <c r="L841" t="s">
        <v>2143</v>
      </c>
      <c r="M841" t="str">
        <f>_xlfn.IFNA(VLOOKUP(K841,'Mapping DEF'!A:C,2,0),"")</f>
        <v>Curve (Local)</v>
      </c>
      <c r="N841" t="str">
        <f>+_xlfn.IFNA(VLOOKUP(M841,'Mapping DEF'!B:C,2,FALSE),"")</f>
        <v>Term Structure</v>
      </c>
      <c r="O841" t="s">
        <v>2818</v>
      </c>
    </row>
    <row r="842" spans="1:15" x14ac:dyDescent="0.25">
      <c r="A842" s="4" t="s">
        <v>2255</v>
      </c>
      <c r="B842" s="4" t="s">
        <v>2256</v>
      </c>
      <c r="C842" s="5">
        <v>2432</v>
      </c>
      <c r="D842" s="6" t="s">
        <v>2257</v>
      </c>
      <c r="E842" t="s">
        <v>1280</v>
      </c>
      <c r="F842" t="s">
        <v>731</v>
      </c>
      <c r="G842" t="str">
        <f>+VLOOKUP(F842,[1]Explore!$B:$I,8,0)</f>
        <v>Alternative - Commodity</v>
      </c>
      <c r="H842" t="s">
        <v>732</v>
      </c>
      <c r="I842" t="str">
        <f>+VLOOKUP(H842,[1]Explore!$A:$I,9,0)</f>
        <v>Alternative - Commodity</v>
      </c>
      <c r="J842" t="str">
        <f t="shared" si="26"/>
        <v>OK</v>
      </c>
      <c r="K842" t="str">
        <f t="shared" si="27"/>
        <v>Alternative - Commodity</v>
      </c>
      <c r="L842" t="s">
        <v>2139</v>
      </c>
      <c r="M842" t="str">
        <f>_xlfn.IFNA(VLOOKUP(K842,'Mapping DEF'!A:C,2,0),"")</f>
        <v>Alternative</v>
      </c>
      <c r="N842" t="str">
        <f>+_xlfn.IFNA(VLOOKUP(M842,'Mapping DEF'!B:C,2,FALSE),"")</f>
        <v>Other</v>
      </c>
      <c r="O842" t="s">
        <v>2803</v>
      </c>
    </row>
    <row r="843" spans="1:15" x14ac:dyDescent="0.25">
      <c r="A843" s="4" t="s">
        <v>2255</v>
      </c>
      <c r="B843" s="4" t="s">
        <v>2256</v>
      </c>
      <c r="C843" s="5">
        <v>2432</v>
      </c>
      <c r="D843" s="6" t="s">
        <v>2257</v>
      </c>
      <c r="E843" t="s">
        <v>337</v>
      </c>
      <c r="F843" t="s">
        <v>2944</v>
      </c>
      <c r="G843" t="str">
        <f>+VLOOKUP(F843,[1]Explore!$B:$I,8,0)</f>
        <v>JPY</v>
      </c>
      <c r="H843" t="s">
        <v>138</v>
      </c>
      <c r="I843" t="str">
        <f>+VLOOKUP(H843,[1]Explore!$A:$I,9,0)</f>
        <v>JPY</v>
      </c>
      <c r="J843" t="str">
        <f t="shared" si="26"/>
        <v>OK</v>
      </c>
      <c r="K843" t="str">
        <f t="shared" si="27"/>
        <v>JPY</v>
      </c>
      <c r="L843" t="s">
        <v>2140</v>
      </c>
      <c r="M843" t="str">
        <f>_xlfn.IFNA(VLOOKUP(K843,'Mapping DEF'!A:C,2,0),"")</f>
        <v>FX</v>
      </c>
      <c r="N843" t="str">
        <f>+_xlfn.IFNA(VLOOKUP(M843,'Mapping DEF'!B:C,2,FALSE),"")</f>
        <v>FX</v>
      </c>
      <c r="O843" t="s">
        <v>2770</v>
      </c>
    </row>
    <row r="844" spans="1:15" x14ac:dyDescent="0.25">
      <c r="A844" s="4" t="s">
        <v>2255</v>
      </c>
      <c r="B844" s="4" t="s">
        <v>2256</v>
      </c>
      <c r="C844" s="5">
        <v>2432</v>
      </c>
      <c r="D844" s="6" t="s">
        <v>2257</v>
      </c>
      <c r="E844" t="s">
        <v>371</v>
      </c>
      <c r="F844" t="s">
        <v>206</v>
      </c>
      <c r="G844" t="e">
        <f>+VLOOKUP(F844,[1]Explore!$B:$I,8,0)</f>
        <v>#N/A</v>
      </c>
      <c r="H844" t="s">
        <v>206</v>
      </c>
      <c r="I844" t="e">
        <f>+VLOOKUP(H844,[1]Explore!$A:$I,9,0)</f>
        <v>#N/A</v>
      </c>
      <c r="J844" t="str">
        <f t="shared" si="26"/>
        <v>BOTH #N/A</v>
      </c>
      <c r="K844" t="str">
        <f t="shared" si="27"/>
        <v>Dollar Index</v>
      </c>
      <c r="L844" t="s">
        <v>2930</v>
      </c>
      <c r="M844" t="str">
        <f>_xlfn.IFNA(VLOOKUP(K844,'Mapping DEF'!A:C,2,0),"")</f>
        <v>Index Level</v>
      </c>
      <c r="N844" t="str">
        <f>+_xlfn.IFNA(VLOOKUP(M844,'Mapping DEF'!B:C,2,FALSE),"")</f>
        <v>Other</v>
      </c>
      <c r="O844" t="s">
        <v>2759</v>
      </c>
    </row>
    <row r="845" spans="1:15" x14ac:dyDescent="0.25">
      <c r="A845" s="4" t="s">
        <v>2255</v>
      </c>
      <c r="B845" s="4" t="s">
        <v>2256</v>
      </c>
      <c r="C845" s="5">
        <v>2432</v>
      </c>
      <c r="D845" s="6" t="s">
        <v>2257</v>
      </c>
      <c r="E845" t="s">
        <v>610</v>
      </c>
      <c r="F845" t="s">
        <v>183</v>
      </c>
      <c r="G845" t="str">
        <f>+VLOOKUP(F845,[1]Explore!$B:$I,8,0)</f>
        <v>Equity Implied Volatility</v>
      </c>
      <c r="H845" t="s">
        <v>184</v>
      </c>
      <c r="I845" t="str">
        <f>+VLOOKUP(H845,[1]Explore!$A:$I,9,0)</f>
        <v>Equity Implied Volatility</v>
      </c>
      <c r="J845" t="str">
        <f t="shared" si="26"/>
        <v>OK</v>
      </c>
      <c r="K845" t="str">
        <f t="shared" si="27"/>
        <v>Equity Implied Volatility</v>
      </c>
      <c r="L845" t="s">
        <v>27</v>
      </c>
      <c r="M845" t="str">
        <f>_xlfn.IFNA(VLOOKUP(K845,'Mapping DEF'!A:C,2,0),"")</f>
        <v>Equity Derivatives</v>
      </c>
      <c r="N845" t="str">
        <f>+_xlfn.IFNA(VLOOKUP(M845,'Mapping DEF'!B:C,2,FALSE),"")</f>
        <v>Equity</v>
      </c>
      <c r="O845" t="s">
        <v>2768</v>
      </c>
    </row>
    <row r="846" spans="1:15" x14ac:dyDescent="0.25">
      <c r="A846" s="4" t="s">
        <v>2255</v>
      </c>
      <c r="B846" s="4" t="s">
        <v>2256</v>
      </c>
      <c r="C846" s="5">
        <v>2432</v>
      </c>
      <c r="D846" s="6" t="s">
        <v>2257</v>
      </c>
      <c r="E846" t="s">
        <v>654</v>
      </c>
      <c r="F846" t="s">
        <v>191</v>
      </c>
      <c r="G846" t="e">
        <f>+VLOOKUP(F846,[1]Explore!$B:$I,8,0)</f>
        <v>#N/A</v>
      </c>
      <c r="H846" t="s">
        <v>192</v>
      </c>
      <c r="I846" t="e">
        <f>+VLOOKUP(H846,[1]Explore!$A:$I,9,0)</f>
        <v>#N/A</v>
      </c>
      <c r="J846" t="str">
        <f t="shared" si="26"/>
        <v>BOTH #N/A</v>
      </c>
      <c r="K846" t="str">
        <f t="shared" si="27"/>
        <v xml:space="preserve">Time </v>
      </c>
      <c r="L846" t="s">
        <v>2138</v>
      </c>
      <c r="M846" t="str">
        <f>_xlfn.IFNA(VLOOKUP(K846,'Mapping DEF'!A:C,2,0),"")</f>
        <v>Time</v>
      </c>
      <c r="N846" t="str">
        <f>+_xlfn.IFNA(VLOOKUP(M846,'Mapping DEF'!B:C,2,FALSE),"")</f>
        <v>Other</v>
      </c>
      <c r="O846" t="s">
        <v>2762</v>
      </c>
    </row>
    <row r="847" spans="1:15" x14ac:dyDescent="0.25">
      <c r="A847" s="4" t="s">
        <v>2255</v>
      </c>
      <c r="B847" s="4" t="s">
        <v>2256</v>
      </c>
      <c r="C847" s="5">
        <v>2432</v>
      </c>
      <c r="D847" s="6" t="s">
        <v>2257</v>
      </c>
      <c r="E847" t="s">
        <v>378</v>
      </c>
      <c r="F847" t="s">
        <v>346</v>
      </c>
      <c r="G847" t="str">
        <f>+VLOOKUP(F847,[1]Explore!$B:$I,8,0)</f>
        <v>Spread Emerging Markets - Country</v>
      </c>
      <c r="H847" t="s">
        <v>347</v>
      </c>
      <c r="I847" t="str">
        <f>+VLOOKUP(H847,[1]Explore!$A:$I,9,0)</f>
        <v>Spread Emerging Markets - Country</v>
      </c>
      <c r="J847" t="str">
        <f t="shared" si="26"/>
        <v>OK</v>
      </c>
      <c r="K847" t="str">
        <f t="shared" si="27"/>
        <v>Spread Emerging Markets - Country</v>
      </c>
      <c r="L847" t="s">
        <v>188</v>
      </c>
      <c r="M847" t="str">
        <f>_xlfn.IFNA(VLOOKUP(K847,'Mapping DEF'!A:C,2,0),"")</f>
        <v>Spread</v>
      </c>
      <c r="N847" t="str">
        <f>+_xlfn.IFNA(VLOOKUP(M847,'Mapping DEF'!B:C,2,FALSE),"")</f>
        <v>Spread</v>
      </c>
      <c r="O847" t="s">
        <v>2756</v>
      </c>
    </row>
    <row r="848" spans="1:15" x14ac:dyDescent="0.25">
      <c r="A848" s="4" t="s">
        <v>2255</v>
      </c>
      <c r="B848" s="4" t="s">
        <v>2256</v>
      </c>
      <c r="C848" s="5">
        <v>2432</v>
      </c>
      <c r="D848" s="6" t="s">
        <v>2257</v>
      </c>
      <c r="E848" t="s">
        <v>1281</v>
      </c>
      <c r="F848" t="s">
        <v>220</v>
      </c>
      <c r="G848" t="str">
        <f>+VLOOKUP(F848,[1]Explore!$B:$I,8,0)</f>
        <v>Corporate HY USD - Other</v>
      </c>
      <c r="H848" t="s">
        <v>221</v>
      </c>
      <c r="I848" t="str">
        <f>+VLOOKUP(H848,[1]Explore!$A:$I,9,0)</f>
        <v>Corporate HY USD - Other</v>
      </c>
      <c r="J848" t="str">
        <f t="shared" si="26"/>
        <v>OK</v>
      </c>
      <c r="K848" t="str">
        <f t="shared" si="27"/>
        <v>Corporate HY USD - Other</v>
      </c>
      <c r="L848" t="s">
        <v>188</v>
      </c>
      <c r="M848" t="str">
        <f>_xlfn.IFNA(VLOOKUP(K848,'Mapping DEF'!A:C,2,0),"")</f>
        <v>Spread</v>
      </c>
      <c r="N848" t="str">
        <f>+_xlfn.IFNA(VLOOKUP(M848,'Mapping DEF'!B:C,2,FALSE),"")</f>
        <v>Spread</v>
      </c>
      <c r="O848" t="s">
        <v>2851</v>
      </c>
    </row>
    <row r="849" spans="1:15" x14ac:dyDescent="0.25">
      <c r="A849" s="4" t="s">
        <v>2255</v>
      </c>
      <c r="B849" s="4" t="s">
        <v>2256</v>
      </c>
      <c r="C849" s="5">
        <v>2432</v>
      </c>
      <c r="D849" s="6" t="s">
        <v>2257</v>
      </c>
      <c r="E849" t="s">
        <v>1282</v>
      </c>
      <c r="F849" t="s">
        <v>826</v>
      </c>
      <c r="G849" t="str">
        <f>+VLOOKUP(F849,[1]Explore!$B:$I,8,0)</f>
        <v>Equity Implied Volatility</v>
      </c>
      <c r="H849" t="s">
        <v>433</v>
      </c>
      <c r="I849" t="e">
        <f>+VLOOKUP(H849,[1]Explore!$A:$I,9,0)</f>
        <v>#N/A</v>
      </c>
      <c r="J849" t="str">
        <f t="shared" si="26"/>
        <v>OK</v>
      </c>
      <c r="K849" t="str">
        <f t="shared" si="27"/>
        <v>Equity Implied Volatility</v>
      </c>
      <c r="L849" t="s">
        <v>27</v>
      </c>
      <c r="M849" t="str">
        <f>_xlfn.IFNA(VLOOKUP(K849,'Mapping DEF'!A:C,2,0),"")</f>
        <v>Equity Derivatives</v>
      </c>
      <c r="N849" t="str">
        <f>+_xlfn.IFNA(VLOOKUP(M849,'Mapping DEF'!B:C,2,FALSE),"")</f>
        <v>Equity</v>
      </c>
      <c r="O849" t="s">
        <v>2776</v>
      </c>
    </row>
    <row r="850" spans="1:15" x14ac:dyDescent="0.25">
      <c r="A850" s="4" t="s">
        <v>2258</v>
      </c>
      <c r="B850" s="4" t="s">
        <v>2259</v>
      </c>
      <c r="C850" s="5">
        <v>2431</v>
      </c>
      <c r="D850" s="6" t="s">
        <v>2260</v>
      </c>
      <c r="E850" t="s">
        <v>1187</v>
      </c>
      <c r="F850" t="s">
        <v>13</v>
      </c>
      <c r="G850" t="str">
        <f>+VLOOKUP(F850,[1]Explore!$B:$I,8,0)</f>
        <v>Govt USD</v>
      </c>
      <c r="H850" t="s">
        <v>14</v>
      </c>
      <c r="I850" t="str">
        <f>+VLOOKUP(H850,[1]Explore!$A:$I,9,0)</f>
        <v>Govt USD</v>
      </c>
      <c r="J850" t="str">
        <f t="shared" si="26"/>
        <v>OK</v>
      </c>
      <c r="K850" t="str">
        <f t="shared" si="27"/>
        <v>Govt USD</v>
      </c>
      <c r="L850" t="s">
        <v>2143</v>
      </c>
      <c r="M850" t="str">
        <f>_xlfn.IFNA(VLOOKUP(K850,'Mapping DEF'!A:C,2,0),"")</f>
        <v>Curve (Local)</v>
      </c>
      <c r="N850" t="str">
        <f>+_xlfn.IFNA(VLOOKUP(M850,'Mapping DEF'!B:C,2,FALSE),"")</f>
        <v>Term Structure</v>
      </c>
      <c r="O850" t="s">
        <v>2843</v>
      </c>
    </row>
    <row r="851" spans="1:15" x14ac:dyDescent="0.25">
      <c r="A851" s="4" t="s">
        <v>2258</v>
      </c>
      <c r="B851" s="4" t="s">
        <v>2259</v>
      </c>
      <c r="C851" s="5">
        <v>2431</v>
      </c>
      <c r="D851" s="6" t="s">
        <v>2260</v>
      </c>
      <c r="E851" t="s">
        <v>1283</v>
      </c>
      <c r="F851" t="s">
        <v>753</v>
      </c>
      <c r="G851" t="e">
        <f>+VLOOKUP(F851,[1]Explore!$B:$I,8,0)</f>
        <v>#N/A</v>
      </c>
      <c r="H851" t="s">
        <v>754</v>
      </c>
      <c r="I851" t="e">
        <f>+VLOOKUP(H851,[1]Explore!$A:$I,9,0)</f>
        <v>#N/A</v>
      </c>
      <c r="J851" t="str">
        <f t="shared" si="26"/>
        <v>BOTH #N/A</v>
      </c>
      <c r="K851" t="str">
        <f t="shared" si="27"/>
        <v>Corporate IG USD - Other</v>
      </c>
      <c r="L851" t="s">
        <v>2650</v>
      </c>
      <c r="M851" t="str">
        <f>_xlfn.IFNA(VLOOKUP(K851,'Mapping DEF'!A:C,2,0),"")</f>
        <v>Spread</v>
      </c>
      <c r="N851" t="str">
        <f>+_xlfn.IFNA(VLOOKUP(M851,'Mapping DEF'!B:C,2,FALSE),"")</f>
        <v>Spread</v>
      </c>
      <c r="O851" t="s">
        <v>2767</v>
      </c>
    </row>
    <row r="852" spans="1:15" x14ac:dyDescent="0.25">
      <c r="A852" s="4" t="s">
        <v>2258</v>
      </c>
      <c r="B852" s="4" t="s">
        <v>2259</v>
      </c>
      <c r="C852" s="5">
        <v>2431</v>
      </c>
      <c r="D852" s="6" t="s">
        <v>2260</v>
      </c>
      <c r="E852" t="s">
        <v>1284</v>
      </c>
      <c r="F852" t="s">
        <v>2156</v>
      </c>
      <c r="G852" t="str">
        <f>+VLOOKUP(F852,[1]Explore!$B:$I,8,0)</f>
        <v>Equity Implied Volatility</v>
      </c>
      <c r="H852" t="s">
        <v>141</v>
      </c>
      <c r="I852" t="str">
        <f>+VLOOKUP(H852,[1]Explore!$A:$I,9,0)</f>
        <v>Equity Implied Volatility</v>
      </c>
      <c r="J852" t="str">
        <f t="shared" si="26"/>
        <v>OK</v>
      </c>
      <c r="K852" t="str">
        <f t="shared" si="27"/>
        <v>Equity Implied Volatility</v>
      </c>
      <c r="L852" t="s">
        <v>27</v>
      </c>
      <c r="M852" t="str">
        <f>_xlfn.IFNA(VLOOKUP(K852,'Mapping DEF'!A:C,2,0),"")</f>
        <v>Equity Derivatives</v>
      </c>
      <c r="N852" t="str">
        <f>+_xlfn.IFNA(VLOOKUP(M852,'Mapping DEF'!B:C,2,FALSE),"")</f>
        <v>Equity</v>
      </c>
      <c r="O852" t="s">
        <v>2819</v>
      </c>
    </row>
    <row r="853" spans="1:15" x14ac:dyDescent="0.25">
      <c r="A853" s="4" t="s">
        <v>2258</v>
      </c>
      <c r="B853" s="4" t="s">
        <v>2259</v>
      </c>
      <c r="C853" s="5">
        <v>2431</v>
      </c>
      <c r="D853" s="6" t="s">
        <v>2260</v>
      </c>
      <c r="E853" t="s">
        <v>557</v>
      </c>
      <c r="F853" t="s">
        <v>392</v>
      </c>
      <c r="G853" t="str">
        <f>+VLOOKUP(F853,[1]Explore!$B:$I,8,0)</f>
        <v>Equity Implied Volatility</v>
      </c>
      <c r="H853" t="s">
        <v>392</v>
      </c>
      <c r="I853" t="str">
        <f>+VLOOKUP(H853,[1]Explore!$A:$I,9,0)</f>
        <v>Equity Implied Volatility</v>
      </c>
      <c r="J853" t="str">
        <f t="shared" si="26"/>
        <v>OK</v>
      </c>
      <c r="K853" t="str">
        <f t="shared" si="27"/>
        <v>Equity Implied Volatility</v>
      </c>
      <c r="L853" t="s">
        <v>27</v>
      </c>
      <c r="M853" t="str">
        <f>_xlfn.IFNA(VLOOKUP(K853,'Mapping DEF'!A:C,2,0),"")</f>
        <v>Equity Derivatives</v>
      </c>
      <c r="N853" t="str">
        <f>+_xlfn.IFNA(VLOOKUP(M853,'Mapping DEF'!B:C,2,FALSE),"")</f>
        <v>Equity</v>
      </c>
      <c r="O853" t="s">
        <v>2794</v>
      </c>
    </row>
    <row r="854" spans="1:15" x14ac:dyDescent="0.25">
      <c r="A854" s="4" t="s">
        <v>2258</v>
      </c>
      <c r="B854" s="4" t="s">
        <v>2259</v>
      </c>
      <c r="C854" s="5">
        <v>2431</v>
      </c>
      <c r="D854" s="6" t="s">
        <v>2260</v>
      </c>
      <c r="E854" t="s">
        <v>654</v>
      </c>
      <c r="F854" t="s">
        <v>191</v>
      </c>
      <c r="G854" t="e">
        <f>+VLOOKUP(F854,[1]Explore!$B:$I,8,0)</f>
        <v>#N/A</v>
      </c>
      <c r="H854" t="s">
        <v>192</v>
      </c>
      <c r="I854" t="e">
        <f>+VLOOKUP(H854,[1]Explore!$A:$I,9,0)</f>
        <v>#N/A</v>
      </c>
      <c r="J854" t="str">
        <f t="shared" si="26"/>
        <v>BOTH #N/A</v>
      </c>
      <c r="K854" t="str">
        <f t="shared" si="27"/>
        <v xml:space="preserve">Time </v>
      </c>
      <c r="L854" t="s">
        <v>2138</v>
      </c>
      <c r="M854" t="str">
        <f>_xlfn.IFNA(VLOOKUP(K854,'Mapping DEF'!A:C,2,0),"")</f>
        <v>Time</v>
      </c>
      <c r="N854" t="str">
        <f>+_xlfn.IFNA(VLOOKUP(M854,'Mapping DEF'!B:C,2,FALSE),"")</f>
        <v>Other</v>
      </c>
      <c r="O854" t="s">
        <v>2762</v>
      </c>
    </row>
    <row r="855" spans="1:15" x14ac:dyDescent="0.25">
      <c r="A855" s="4" t="s">
        <v>2258</v>
      </c>
      <c r="B855" s="4" t="s">
        <v>2259</v>
      </c>
      <c r="C855" s="5">
        <v>2431</v>
      </c>
      <c r="D855" s="6" t="s">
        <v>2260</v>
      </c>
      <c r="E855" t="s">
        <v>635</v>
      </c>
      <c r="F855" t="s">
        <v>826</v>
      </c>
      <c r="G855" t="str">
        <f>+VLOOKUP(F855,[1]Explore!$B:$I,8,0)</f>
        <v>Equity Implied Volatility</v>
      </c>
      <c r="H855" t="s">
        <v>433</v>
      </c>
      <c r="I855" t="e">
        <f>+VLOOKUP(H855,[1]Explore!$A:$I,9,0)</f>
        <v>#N/A</v>
      </c>
      <c r="J855" t="str">
        <f t="shared" si="26"/>
        <v>OK</v>
      </c>
      <c r="K855" t="str">
        <f t="shared" si="27"/>
        <v>Equity Implied Volatility</v>
      </c>
      <c r="L855" t="s">
        <v>27</v>
      </c>
      <c r="M855" t="str">
        <f>_xlfn.IFNA(VLOOKUP(K855,'Mapping DEF'!A:C,2,0),"")</f>
        <v>Equity Derivatives</v>
      </c>
      <c r="N855" t="str">
        <f>+_xlfn.IFNA(VLOOKUP(M855,'Mapping DEF'!B:C,2,FALSE),"")</f>
        <v>Equity</v>
      </c>
      <c r="O855" t="s">
        <v>2802</v>
      </c>
    </row>
    <row r="856" spans="1:15" x14ac:dyDescent="0.25">
      <c r="A856" s="4" t="s">
        <v>2258</v>
      </c>
      <c r="B856" s="4" t="s">
        <v>2259</v>
      </c>
      <c r="C856" s="5">
        <v>2431</v>
      </c>
      <c r="D856" s="6" t="s">
        <v>2260</v>
      </c>
      <c r="E856" t="s">
        <v>1285</v>
      </c>
      <c r="F856" t="s">
        <v>2159</v>
      </c>
      <c r="G856" t="str">
        <f>+VLOOKUP(F856,[1]Explore!$B:$I,8,0)</f>
        <v>Other - Index</v>
      </c>
      <c r="H856" t="s">
        <v>278</v>
      </c>
      <c r="I856" t="e">
        <f>+VLOOKUP(H856,[1]Explore!$A:$I,9,0)</f>
        <v>#N/A</v>
      </c>
      <c r="J856" t="str">
        <f t="shared" si="26"/>
        <v>OK</v>
      </c>
      <c r="K856" t="str">
        <f t="shared" si="27"/>
        <v>Other - Index</v>
      </c>
      <c r="L856" t="s">
        <v>27</v>
      </c>
      <c r="M856" t="str">
        <f>_xlfn.IFNA(VLOOKUP(K856,'Mapping DEF'!A:C,2,0),"")</f>
        <v>Other</v>
      </c>
      <c r="N856" t="str">
        <f>+_xlfn.IFNA(VLOOKUP(M856,'Mapping DEF'!B:C,2,FALSE),"")</f>
        <v>Other</v>
      </c>
      <c r="O856" t="s">
        <v>2794</v>
      </c>
    </row>
    <row r="857" spans="1:15" x14ac:dyDescent="0.25">
      <c r="A857" s="4" t="s">
        <v>2261</v>
      </c>
      <c r="B857" s="4" t="s">
        <v>2262</v>
      </c>
      <c r="C857" s="5">
        <v>2425</v>
      </c>
      <c r="D857" s="6" t="s">
        <v>2263</v>
      </c>
      <c r="E857" t="s">
        <v>580</v>
      </c>
      <c r="F857" t="s">
        <v>19</v>
      </c>
      <c r="G857" t="str">
        <f>+VLOOKUP(F857,[1]Explore!$B:$I,8,0)</f>
        <v>Govt USD</v>
      </c>
      <c r="H857" t="s">
        <v>20</v>
      </c>
      <c r="I857" t="str">
        <f>+VLOOKUP(H857,[1]Explore!$A:$I,9,0)</f>
        <v>Govt USD</v>
      </c>
      <c r="J857" t="str">
        <f t="shared" si="26"/>
        <v>OK</v>
      </c>
      <c r="K857" t="str">
        <f t="shared" si="27"/>
        <v>Govt USD</v>
      </c>
      <c r="L857" t="s">
        <v>2143</v>
      </c>
      <c r="M857" t="str">
        <f>_xlfn.IFNA(VLOOKUP(K857,'Mapping DEF'!A:C,2,0),"")</f>
        <v>Curve (Local)</v>
      </c>
      <c r="N857" t="str">
        <f>+_xlfn.IFNA(VLOOKUP(M857,'Mapping DEF'!B:C,2,FALSE),"")</f>
        <v>Term Structure</v>
      </c>
      <c r="O857" t="s">
        <v>2780</v>
      </c>
    </row>
    <row r="858" spans="1:15" x14ac:dyDescent="0.25">
      <c r="A858" s="4" t="s">
        <v>2261</v>
      </c>
      <c r="B858" s="4" t="s">
        <v>2262</v>
      </c>
      <c r="C858" s="5">
        <v>2425</v>
      </c>
      <c r="D858" s="6" t="s">
        <v>2263</v>
      </c>
      <c r="E858" t="s">
        <v>1286</v>
      </c>
      <c r="F858" t="s">
        <v>265</v>
      </c>
      <c r="G858" t="str">
        <f>+VLOOKUP(F858,[1]Explore!$B:$I,8,0)</f>
        <v>Alternative - Commodity</v>
      </c>
      <c r="H858" t="s">
        <v>266</v>
      </c>
      <c r="I858" t="str">
        <f>+VLOOKUP(H858,[1]Explore!$A:$I,9,0)</f>
        <v>Alternative - Commodity</v>
      </c>
      <c r="J858" t="str">
        <f t="shared" si="26"/>
        <v>OK</v>
      </c>
      <c r="K858" t="str">
        <f t="shared" si="27"/>
        <v>Alternative - Commodity</v>
      </c>
      <c r="L858" t="s">
        <v>2139</v>
      </c>
      <c r="M858" t="str">
        <f>_xlfn.IFNA(VLOOKUP(K858,'Mapping DEF'!A:C,2,0),"")</f>
        <v>Alternative</v>
      </c>
      <c r="N858" t="str">
        <f>+_xlfn.IFNA(VLOOKUP(M858,'Mapping DEF'!B:C,2,FALSE),"")</f>
        <v>Other</v>
      </c>
      <c r="O858" t="s">
        <v>2827</v>
      </c>
    </row>
    <row r="859" spans="1:15" x14ac:dyDescent="0.25">
      <c r="A859" s="4" t="s">
        <v>2261</v>
      </c>
      <c r="B859" s="4" t="s">
        <v>2262</v>
      </c>
      <c r="C859" s="5">
        <v>2425</v>
      </c>
      <c r="D859" s="6" t="s">
        <v>2263</v>
      </c>
      <c r="E859" t="s">
        <v>720</v>
      </c>
      <c r="F859" t="s">
        <v>268</v>
      </c>
      <c r="G859" t="str">
        <f>+VLOOKUP(F859,[1]Explore!$B:$I,8,0)</f>
        <v>Alternative - Commodity</v>
      </c>
      <c r="H859" t="s">
        <v>269</v>
      </c>
      <c r="I859" t="str">
        <f>+VLOOKUP(H859,[1]Explore!$A:$I,9,0)</f>
        <v>Alternative - Commodity</v>
      </c>
      <c r="J859" t="str">
        <f t="shared" si="26"/>
        <v>OK</v>
      </c>
      <c r="K859" t="str">
        <f t="shared" si="27"/>
        <v>Alternative - Commodity</v>
      </c>
      <c r="L859" t="s">
        <v>2139</v>
      </c>
      <c r="M859" t="str">
        <f>_xlfn.IFNA(VLOOKUP(K859,'Mapping DEF'!A:C,2,0),"")</f>
        <v>Alternative</v>
      </c>
      <c r="N859" t="str">
        <f>+_xlfn.IFNA(VLOOKUP(M859,'Mapping DEF'!B:C,2,FALSE),"")</f>
        <v>Other</v>
      </c>
      <c r="O859" t="s">
        <v>2801</v>
      </c>
    </row>
    <row r="860" spans="1:15" x14ac:dyDescent="0.25">
      <c r="A860" s="4" t="s">
        <v>2261</v>
      </c>
      <c r="B860" s="4" t="s">
        <v>2262</v>
      </c>
      <c r="C860" s="5">
        <v>2425</v>
      </c>
      <c r="D860" s="6" t="s">
        <v>2263</v>
      </c>
      <c r="E860" t="s">
        <v>423</v>
      </c>
      <c r="F860" t="s">
        <v>2156</v>
      </c>
      <c r="G860" t="str">
        <f>+VLOOKUP(F860,[1]Explore!$B:$I,8,0)</f>
        <v>Equity Implied Volatility</v>
      </c>
      <c r="H860" t="s">
        <v>141</v>
      </c>
      <c r="I860" t="str">
        <f>+VLOOKUP(H860,[1]Explore!$A:$I,9,0)</f>
        <v>Equity Implied Volatility</v>
      </c>
      <c r="J860" t="str">
        <f t="shared" si="26"/>
        <v>OK</v>
      </c>
      <c r="K860" t="str">
        <f t="shared" si="27"/>
        <v>Equity Implied Volatility</v>
      </c>
      <c r="L860" t="s">
        <v>27</v>
      </c>
      <c r="M860" t="str">
        <f>_xlfn.IFNA(VLOOKUP(K860,'Mapping DEF'!A:C,2,0),"")</f>
        <v>Equity Derivatives</v>
      </c>
      <c r="N860" t="str">
        <f>+_xlfn.IFNA(VLOOKUP(M860,'Mapping DEF'!B:C,2,FALSE),"")</f>
        <v>Equity</v>
      </c>
      <c r="O860" t="s">
        <v>2761</v>
      </c>
    </row>
    <row r="861" spans="1:15" x14ac:dyDescent="0.25">
      <c r="A861" s="4" t="s">
        <v>2261</v>
      </c>
      <c r="B861" s="4" t="s">
        <v>2262</v>
      </c>
      <c r="C861" s="5">
        <v>2425</v>
      </c>
      <c r="D861" s="6" t="s">
        <v>2263</v>
      </c>
      <c r="E861" t="s">
        <v>1290</v>
      </c>
      <c r="F861" t="s">
        <v>183</v>
      </c>
      <c r="G861" t="str">
        <f>+VLOOKUP(F861,[1]Explore!$B:$I,8,0)</f>
        <v>Equity Implied Volatility</v>
      </c>
      <c r="H861" t="s">
        <v>184</v>
      </c>
      <c r="I861" t="str">
        <f>+VLOOKUP(H861,[1]Explore!$A:$I,9,0)</f>
        <v>Equity Implied Volatility</v>
      </c>
      <c r="J861" t="str">
        <f t="shared" si="26"/>
        <v>OK</v>
      </c>
      <c r="K861" t="str">
        <f t="shared" si="27"/>
        <v>Equity Implied Volatility</v>
      </c>
      <c r="L861" t="s">
        <v>27</v>
      </c>
      <c r="M861" t="str">
        <f>_xlfn.IFNA(VLOOKUP(K861,'Mapping DEF'!A:C,2,0),"")</f>
        <v>Equity Derivatives</v>
      </c>
      <c r="N861" t="str">
        <f>+_xlfn.IFNA(VLOOKUP(M861,'Mapping DEF'!B:C,2,FALSE),"")</f>
        <v>Equity</v>
      </c>
      <c r="O861" t="s">
        <v>2819</v>
      </c>
    </row>
    <row r="862" spans="1:15" x14ac:dyDescent="0.25">
      <c r="A862" s="4" t="s">
        <v>2261</v>
      </c>
      <c r="B862" s="4" t="s">
        <v>2262</v>
      </c>
      <c r="C862" s="5">
        <v>2425</v>
      </c>
      <c r="D862" s="6" t="s">
        <v>2263</v>
      </c>
      <c r="E862" t="s">
        <v>654</v>
      </c>
      <c r="F862" t="s">
        <v>191</v>
      </c>
      <c r="G862" t="e">
        <f>+VLOOKUP(F862,[1]Explore!$B:$I,8,0)</f>
        <v>#N/A</v>
      </c>
      <c r="H862" t="s">
        <v>192</v>
      </c>
      <c r="I862" t="e">
        <f>+VLOOKUP(H862,[1]Explore!$A:$I,9,0)</f>
        <v>#N/A</v>
      </c>
      <c r="J862" t="str">
        <f t="shared" si="26"/>
        <v>BOTH #N/A</v>
      </c>
      <c r="K862" t="str">
        <f t="shared" si="27"/>
        <v xml:space="preserve">Time </v>
      </c>
      <c r="L862" t="s">
        <v>2138</v>
      </c>
      <c r="M862" t="str">
        <f>_xlfn.IFNA(VLOOKUP(K862,'Mapping DEF'!A:C,2,0),"")</f>
        <v>Time</v>
      </c>
      <c r="N862" t="str">
        <f>+_xlfn.IFNA(VLOOKUP(M862,'Mapping DEF'!B:C,2,FALSE),"")</f>
        <v>Other</v>
      </c>
      <c r="O862" t="s">
        <v>2762</v>
      </c>
    </row>
    <row r="863" spans="1:15" x14ac:dyDescent="0.25">
      <c r="A863" s="4" t="s">
        <v>2261</v>
      </c>
      <c r="B863" s="4" t="s">
        <v>2262</v>
      </c>
      <c r="C863" s="5">
        <v>2425</v>
      </c>
      <c r="D863" s="6" t="s">
        <v>2263</v>
      </c>
      <c r="E863" t="s">
        <v>1178</v>
      </c>
      <c r="F863" t="s">
        <v>220</v>
      </c>
      <c r="G863" t="str">
        <f>+VLOOKUP(F863,[1]Explore!$B:$I,8,0)</f>
        <v>Corporate HY USD - Other</v>
      </c>
      <c r="H863" t="s">
        <v>221</v>
      </c>
      <c r="I863" t="str">
        <f>+VLOOKUP(H863,[1]Explore!$A:$I,9,0)</f>
        <v>Corporate HY USD - Other</v>
      </c>
      <c r="J863" t="str">
        <f t="shared" si="26"/>
        <v>OK</v>
      </c>
      <c r="K863" t="str">
        <f t="shared" si="27"/>
        <v>Corporate HY USD - Other</v>
      </c>
      <c r="L863" t="s">
        <v>188</v>
      </c>
      <c r="M863" t="str">
        <f>_xlfn.IFNA(VLOOKUP(K863,'Mapping DEF'!A:C,2,0),"")</f>
        <v>Spread</v>
      </c>
      <c r="N863" t="str">
        <f>+_xlfn.IFNA(VLOOKUP(M863,'Mapping DEF'!B:C,2,FALSE),"")</f>
        <v>Spread</v>
      </c>
      <c r="O863" t="s">
        <v>2756</v>
      </c>
    </row>
    <row r="864" spans="1:15" x14ac:dyDescent="0.25">
      <c r="A864" s="4" t="s">
        <v>2261</v>
      </c>
      <c r="B864" s="4" t="s">
        <v>2262</v>
      </c>
      <c r="C864" s="5">
        <v>2425</v>
      </c>
      <c r="D864" s="6" t="s">
        <v>2263</v>
      </c>
      <c r="E864" t="s">
        <v>1291</v>
      </c>
      <c r="F864" t="s">
        <v>1300</v>
      </c>
      <c r="G864" t="str">
        <f>+VLOOKUP(F864,[1]Explore!$B:$I,8,0)</f>
        <v>Other - Index</v>
      </c>
      <c r="H864" t="s">
        <v>490</v>
      </c>
      <c r="I864" t="e">
        <f>+VLOOKUP(H864,[1]Explore!$A:$I,9,0)</f>
        <v>#N/A</v>
      </c>
      <c r="J864" t="str">
        <f t="shared" si="26"/>
        <v>OK</v>
      </c>
      <c r="K864" t="str">
        <f t="shared" si="27"/>
        <v>Other - Index</v>
      </c>
      <c r="L864" t="s">
        <v>27</v>
      </c>
      <c r="M864" t="str">
        <f>_xlfn.IFNA(VLOOKUP(K864,'Mapping DEF'!A:C,2,0),"")</f>
        <v>Other</v>
      </c>
      <c r="N864" t="str">
        <f>+_xlfn.IFNA(VLOOKUP(M864,'Mapping DEF'!B:C,2,FALSE),"")</f>
        <v>Other</v>
      </c>
      <c r="O864" t="s">
        <v>2807</v>
      </c>
    </row>
    <row r="865" spans="1:15" x14ac:dyDescent="0.25">
      <c r="A865" s="4" t="s">
        <v>2264</v>
      </c>
      <c r="B865" s="4" t="s">
        <v>2265</v>
      </c>
      <c r="C865" s="5">
        <v>2534</v>
      </c>
      <c r="D865" s="6" t="s">
        <v>2266</v>
      </c>
      <c r="E865" t="s">
        <v>580</v>
      </c>
      <c r="F865" t="s">
        <v>19</v>
      </c>
      <c r="G865" t="str">
        <f>+VLOOKUP(F865,[1]Explore!$B:$I,8,0)</f>
        <v>Govt USD</v>
      </c>
      <c r="H865" t="s">
        <v>20</v>
      </c>
      <c r="I865" t="str">
        <f>+VLOOKUP(H865,[1]Explore!$A:$I,9,0)</f>
        <v>Govt USD</v>
      </c>
      <c r="J865" t="str">
        <f t="shared" si="26"/>
        <v>OK</v>
      </c>
      <c r="K865" t="str">
        <f t="shared" si="27"/>
        <v>Govt USD</v>
      </c>
      <c r="L865" t="s">
        <v>2143</v>
      </c>
      <c r="M865" t="str">
        <f>_xlfn.IFNA(VLOOKUP(K865,'Mapping DEF'!A:C,2,0),"")</f>
        <v>Curve (Local)</v>
      </c>
      <c r="N865" t="str">
        <f>+_xlfn.IFNA(VLOOKUP(M865,'Mapping DEF'!B:C,2,FALSE),"")</f>
        <v>Term Structure</v>
      </c>
      <c r="O865" t="s">
        <v>2780</v>
      </c>
    </row>
    <row r="866" spans="1:15" x14ac:dyDescent="0.25">
      <c r="A866" s="4" t="s">
        <v>2264</v>
      </c>
      <c r="B866" s="4" t="s">
        <v>2265</v>
      </c>
      <c r="C866" s="5">
        <v>2534</v>
      </c>
      <c r="D866" s="6" t="s">
        <v>2266</v>
      </c>
      <c r="E866" t="s">
        <v>1292</v>
      </c>
      <c r="F866" t="s">
        <v>265</v>
      </c>
      <c r="G866" t="str">
        <f>+VLOOKUP(F866,[1]Explore!$B:$I,8,0)</f>
        <v>Alternative - Commodity</v>
      </c>
      <c r="H866" t="s">
        <v>266</v>
      </c>
      <c r="I866" t="str">
        <f>+VLOOKUP(H866,[1]Explore!$A:$I,9,0)</f>
        <v>Alternative - Commodity</v>
      </c>
      <c r="J866" t="str">
        <f t="shared" si="26"/>
        <v>OK</v>
      </c>
      <c r="K866" t="str">
        <f t="shared" si="27"/>
        <v>Alternative - Commodity</v>
      </c>
      <c r="L866" t="s">
        <v>2139</v>
      </c>
      <c r="M866" t="str">
        <f>_xlfn.IFNA(VLOOKUP(K866,'Mapping DEF'!A:C,2,0),"")</f>
        <v>Alternative</v>
      </c>
      <c r="N866" t="str">
        <f>+_xlfn.IFNA(VLOOKUP(M866,'Mapping DEF'!B:C,2,FALSE),"")</f>
        <v>Other</v>
      </c>
      <c r="O866" t="s">
        <v>2832</v>
      </c>
    </row>
    <row r="867" spans="1:15" x14ac:dyDescent="0.25">
      <c r="A867" s="4" t="s">
        <v>2264</v>
      </c>
      <c r="B867" s="4" t="s">
        <v>2265</v>
      </c>
      <c r="C867" s="5">
        <v>2534</v>
      </c>
      <c r="D867" s="6" t="s">
        <v>2266</v>
      </c>
      <c r="E867" t="s">
        <v>371</v>
      </c>
      <c r="F867" t="s">
        <v>206</v>
      </c>
      <c r="G867" t="e">
        <f>+VLOOKUP(F867,[1]Explore!$B:$I,8,0)</f>
        <v>#N/A</v>
      </c>
      <c r="H867" t="s">
        <v>206</v>
      </c>
      <c r="I867" t="e">
        <f>+VLOOKUP(H867,[1]Explore!$A:$I,9,0)</f>
        <v>#N/A</v>
      </c>
      <c r="J867" t="str">
        <f t="shared" si="26"/>
        <v>BOTH #N/A</v>
      </c>
      <c r="K867" t="str">
        <f t="shared" si="27"/>
        <v>Dollar Index</v>
      </c>
      <c r="L867" t="s">
        <v>2930</v>
      </c>
      <c r="M867" t="str">
        <f>_xlfn.IFNA(VLOOKUP(K867,'Mapping DEF'!A:C,2,0),"")</f>
        <v>Index Level</v>
      </c>
      <c r="N867" t="str">
        <f>+_xlfn.IFNA(VLOOKUP(M867,'Mapping DEF'!B:C,2,FALSE),"")</f>
        <v>Other</v>
      </c>
      <c r="O867" t="s">
        <v>2759</v>
      </c>
    </row>
    <row r="868" spans="1:15" x14ac:dyDescent="0.25">
      <c r="A868" s="4" t="s">
        <v>2264</v>
      </c>
      <c r="B868" s="4" t="s">
        <v>2265</v>
      </c>
      <c r="C868" s="5">
        <v>2534</v>
      </c>
      <c r="D868" s="6" t="s">
        <v>2266</v>
      </c>
      <c r="E868" t="s">
        <v>653</v>
      </c>
      <c r="F868" t="s">
        <v>183</v>
      </c>
      <c r="G868" t="str">
        <f>+VLOOKUP(F868,[1]Explore!$B:$I,8,0)</f>
        <v>Equity Implied Volatility</v>
      </c>
      <c r="H868" t="s">
        <v>184</v>
      </c>
      <c r="I868" t="str">
        <f>+VLOOKUP(H868,[1]Explore!$A:$I,9,0)</f>
        <v>Equity Implied Volatility</v>
      </c>
      <c r="J868" t="str">
        <f t="shared" si="26"/>
        <v>OK</v>
      </c>
      <c r="K868" t="str">
        <f t="shared" si="27"/>
        <v>Equity Implied Volatility</v>
      </c>
      <c r="L868" t="s">
        <v>27</v>
      </c>
      <c r="M868" t="str">
        <f>_xlfn.IFNA(VLOOKUP(K868,'Mapping DEF'!A:C,2,0),"")</f>
        <v>Equity Derivatives</v>
      </c>
      <c r="N868" t="str">
        <f>+_xlfn.IFNA(VLOOKUP(M868,'Mapping DEF'!B:C,2,FALSE),"")</f>
        <v>Equity</v>
      </c>
      <c r="O868" t="s">
        <v>2761</v>
      </c>
    </row>
    <row r="869" spans="1:15" x14ac:dyDescent="0.25">
      <c r="A869" s="4" t="s">
        <v>2264</v>
      </c>
      <c r="B869" s="4" t="s">
        <v>2265</v>
      </c>
      <c r="C869" s="5">
        <v>2534</v>
      </c>
      <c r="D869" s="6" t="s">
        <v>2266</v>
      </c>
      <c r="E869" t="s">
        <v>654</v>
      </c>
      <c r="F869" t="s">
        <v>191</v>
      </c>
      <c r="G869" t="e">
        <f>+VLOOKUP(F869,[1]Explore!$B:$I,8,0)</f>
        <v>#N/A</v>
      </c>
      <c r="H869" t="s">
        <v>192</v>
      </c>
      <c r="I869" t="e">
        <f>+VLOOKUP(H869,[1]Explore!$A:$I,9,0)</f>
        <v>#N/A</v>
      </c>
      <c r="J869" t="str">
        <f t="shared" si="26"/>
        <v>BOTH #N/A</v>
      </c>
      <c r="K869" t="str">
        <f t="shared" si="27"/>
        <v xml:space="preserve">Time </v>
      </c>
      <c r="L869" t="s">
        <v>2138</v>
      </c>
      <c r="M869" t="str">
        <f>_xlfn.IFNA(VLOOKUP(K869,'Mapping DEF'!A:C,2,0),"")</f>
        <v>Time</v>
      </c>
      <c r="N869" t="str">
        <f>+_xlfn.IFNA(VLOOKUP(M869,'Mapping DEF'!B:C,2,FALSE),"")</f>
        <v>Other</v>
      </c>
      <c r="O869" t="s">
        <v>2762</v>
      </c>
    </row>
    <row r="870" spans="1:15" x14ac:dyDescent="0.25">
      <c r="A870" s="4" t="s">
        <v>2264</v>
      </c>
      <c r="B870" s="4" t="s">
        <v>2265</v>
      </c>
      <c r="C870" s="5">
        <v>2534</v>
      </c>
      <c r="D870" s="6" t="s">
        <v>2266</v>
      </c>
      <c r="E870" t="s">
        <v>1293</v>
      </c>
      <c r="F870" t="s">
        <v>2176</v>
      </c>
      <c r="G870" t="str">
        <f>+VLOOKUP(F870,[1]Explore!$B:$I,8,0)</f>
        <v>Industrials</v>
      </c>
      <c r="H870" t="s">
        <v>1294</v>
      </c>
      <c r="I870" t="str">
        <f>+VLOOKUP(H870,[1]Explore!$A:$I,9,0)</f>
        <v>Industrials</v>
      </c>
      <c r="J870" t="str">
        <f t="shared" si="26"/>
        <v>OK</v>
      </c>
      <c r="K870" t="str">
        <f t="shared" si="27"/>
        <v>Industrials</v>
      </c>
      <c r="L870" t="s">
        <v>2141</v>
      </c>
      <c r="M870" t="str">
        <f>_xlfn.IFNA(VLOOKUP(K870,'Mapping DEF'!A:C,2,0),"")</f>
        <v>Industry Allocation</v>
      </c>
      <c r="N870" t="str">
        <f>+_xlfn.IFNA(VLOOKUP(M870,'Mapping DEF'!B:C,2,FALSE),"")</f>
        <v>Equity</v>
      </c>
      <c r="O870" t="s">
        <v>2754</v>
      </c>
    </row>
    <row r="871" spans="1:15" x14ac:dyDescent="0.25">
      <c r="A871" s="4" t="s">
        <v>2264</v>
      </c>
      <c r="B871" s="4" t="s">
        <v>2265</v>
      </c>
      <c r="C871" s="5">
        <v>2534</v>
      </c>
      <c r="D871" s="6" t="s">
        <v>2266</v>
      </c>
      <c r="E871" t="s">
        <v>1295</v>
      </c>
      <c r="F871" t="s">
        <v>1296</v>
      </c>
      <c r="G871" t="str">
        <f>+VLOOKUP(F871,[1]Explore!$B:$I,8,0)</f>
        <v>Corporate HY USD - Industry</v>
      </c>
      <c r="H871" t="s">
        <v>1297</v>
      </c>
      <c r="I871" t="str">
        <f>+VLOOKUP(H871,[1]Explore!$A:$I,9,0)</f>
        <v>Corporate HY USD - Industry</v>
      </c>
      <c r="J871" t="str">
        <f t="shared" si="26"/>
        <v>OK</v>
      </c>
      <c r="K871" t="str">
        <f t="shared" si="27"/>
        <v>Corporate HY USD - Industry</v>
      </c>
      <c r="L871" t="s">
        <v>188</v>
      </c>
      <c r="M871" t="str">
        <f>_xlfn.IFNA(VLOOKUP(K871,'Mapping DEF'!A:C,2,0),"")</f>
        <v>Spread</v>
      </c>
      <c r="N871" t="str">
        <f>+_xlfn.IFNA(VLOOKUP(M871,'Mapping DEF'!B:C,2,FALSE),"")</f>
        <v>Spread</v>
      </c>
      <c r="O871" t="s">
        <v>2778</v>
      </c>
    </row>
    <row r="872" spans="1:15" x14ac:dyDescent="0.25">
      <c r="A872" s="4" t="s">
        <v>2264</v>
      </c>
      <c r="B872" s="4" t="s">
        <v>2265</v>
      </c>
      <c r="C872" s="5">
        <v>2534</v>
      </c>
      <c r="D872" s="6" t="s">
        <v>2266</v>
      </c>
      <c r="E872" t="s">
        <v>1298</v>
      </c>
      <c r="F872" t="s">
        <v>220</v>
      </c>
      <c r="G872" t="str">
        <f>+VLOOKUP(F872,[1]Explore!$B:$I,8,0)</f>
        <v>Corporate HY USD - Other</v>
      </c>
      <c r="H872" t="s">
        <v>221</v>
      </c>
      <c r="I872" t="str">
        <f>+VLOOKUP(H872,[1]Explore!$A:$I,9,0)</f>
        <v>Corporate HY USD - Other</v>
      </c>
      <c r="J872" t="str">
        <f t="shared" si="26"/>
        <v>OK</v>
      </c>
      <c r="K872" t="str">
        <f t="shared" si="27"/>
        <v>Corporate HY USD - Other</v>
      </c>
      <c r="L872" t="s">
        <v>188</v>
      </c>
      <c r="M872" t="str">
        <f>_xlfn.IFNA(VLOOKUP(K872,'Mapping DEF'!A:C,2,0),"")</f>
        <v>Spread</v>
      </c>
      <c r="N872" t="str">
        <f>+_xlfn.IFNA(VLOOKUP(M872,'Mapping DEF'!B:C,2,FALSE),"")</f>
        <v>Spread</v>
      </c>
      <c r="O872" t="s">
        <v>2795</v>
      </c>
    </row>
    <row r="873" spans="1:15" x14ac:dyDescent="0.25">
      <c r="A873" s="4" t="s">
        <v>2264</v>
      </c>
      <c r="B873" s="4" t="s">
        <v>2265</v>
      </c>
      <c r="C873" s="5">
        <v>2534</v>
      </c>
      <c r="D873" s="6" t="s">
        <v>2266</v>
      </c>
      <c r="E873" t="s">
        <v>1299</v>
      </c>
      <c r="F873" t="s">
        <v>1300</v>
      </c>
      <c r="G873" t="str">
        <f>+VLOOKUP(F873,[1]Explore!$B:$I,8,0)</f>
        <v>Other - Index</v>
      </c>
      <c r="H873" t="s">
        <v>1301</v>
      </c>
      <c r="I873" t="str">
        <f>+VLOOKUP(H873,[1]Explore!$A:$I,9,0)</f>
        <v>Other - Index</v>
      </c>
      <c r="J873" t="str">
        <f t="shared" si="26"/>
        <v>OK</v>
      </c>
      <c r="K873" t="str">
        <f t="shared" si="27"/>
        <v>Other - Index</v>
      </c>
      <c r="L873" t="s">
        <v>27</v>
      </c>
      <c r="M873" t="str">
        <f>_xlfn.IFNA(VLOOKUP(K873,'Mapping DEF'!A:C,2,0),"")</f>
        <v>Other</v>
      </c>
      <c r="N873" t="str">
        <f>+_xlfn.IFNA(VLOOKUP(M873,'Mapping DEF'!B:C,2,FALSE),"")</f>
        <v>Other</v>
      </c>
      <c r="O873" t="s">
        <v>2770</v>
      </c>
    </row>
    <row r="874" spans="1:15" x14ac:dyDescent="0.25">
      <c r="A874" s="4" t="s">
        <v>2267</v>
      </c>
      <c r="B874" s="4" t="s">
        <v>2268</v>
      </c>
      <c r="C874" s="5">
        <v>2535</v>
      </c>
      <c r="D874" s="6" t="s">
        <v>2269</v>
      </c>
      <c r="E874" t="s">
        <v>606</v>
      </c>
      <c r="F874" t="s">
        <v>19</v>
      </c>
      <c r="G874" t="str">
        <f>+VLOOKUP(F874,[1]Explore!$B:$I,8,0)</f>
        <v>Govt USD</v>
      </c>
      <c r="H874" t="s">
        <v>20</v>
      </c>
      <c r="I874" t="str">
        <f>+VLOOKUP(H874,[1]Explore!$A:$I,9,0)</f>
        <v>Govt USD</v>
      </c>
      <c r="J874" t="str">
        <f t="shared" si="26"/>
        <v>OK</v>
      </c>
      <c r="K874" t="str">
        <f t="shared" si="27"/>
        <v>Govt USD</v>
      </c>
      <c r="L874" t="s">
        <v>2143</v>
      </c>
      <c r="M874" t="str">
        <f>_xlfn.IFNA(VLOOKUP(K874,'Mapping DEF'!A:C,2,0),"")</f>
        <v>Curve (Local)</v>
      </c>
      <c r="N874" t="str">
        <f>+_xlfn.IFNA(VLOOKUP(M874,'Mapping DEF'!B:C,2,FALSE),"")</f>
        <v>Term Structure</v>
      </c>
      <c r="O874" t="s">
        <v>2752</v>
      </c>
    </row>
    <row r="875" spans="1:15" x14ac:dyDescent="0.25">
      <c r="A875" s="4" t="s">
        <v>2267</v>
      </c>
      <c r="B875" s="4" t="s">
        <v>2268</v>
      </c>
      <c r="C875" s="5">
        <v>2535</v>
      </c>
      <c r="D875" s="6" t="s">
        <v>2269</v>
      </c>
      <c r="E875" t="s">
        <v>687</v>
      </c>
      <c r="F875" t="s">
        <v>268</v>
      </c>
      <c r="G875" t="str">
        <f>+VLOOKUP(F875,[1]Explore!$B:$I,8,0)</f>
        <v>Alternative - Commodity</v>
      </c>
      <c r="H875" t="s">
        <v>269</v>
      </c>
      <c r="I875" t="str">
        <f>+VLOOKUP(H875,[1]Explore!$A:$I,9,0)</f>
        <v>Alternative - Commodity</v>
      </c>
      <c r="J875" t="str">
        <f t="shared" si="26"/>
        <v>OK</v>
      </c>
      <c r="K875" t="str">
        <f t="shared" si="27"/>
        <v>Alternative - Commodity</v>
      </c>
      <c r="L875" t="s">
        <v>2139</v>
      </c>
      <c r="M875" t="str">
        <f>_xlfn.IFNA(VLOOKUP(K875,'Mapping DEF'!A:C,2,0),"")</f>
        <v>Alternative</v>
      </c>
      <c r="N875" t="str">
        <f>+_xlfn.IFNA(VLOOKUP(M875,'Mapping DEF'!B:C,2,FALSE),"")</f>
        <v>Other</v>
      </c>
      <c r="O875" t="s">
        <v>2759</v>
      </c>
    </row>
    <row r="876" spans="1:15" x14ac:dyDescent="0.25">
      <c r="A876" s="4" t="s">
        <v>2267</v>
      </c>
      <c r="B876" s="4" t="s">
        <v>2268</v>
      </c>
      <c r="C876" s="5">
        <v>2535</v>
      </c>
      <c r="D876" s="6" t="s">
        <v>2269</v>
      </c>
      <c r="E876" t="s">
        <v>1302</v>
      </c>
      <c r="F876" t="s">
        <v>1303</v>
      </c>
      <c r="G876" t="str">
        <f>+VLOOKUP(F876,[1]Explore!$B:$I,8,0)</f>
        <v>Alternative - Commodity</v>
      </c>
      <c r="H876" t="s">
        <v>1304</v>
      </c>
      <c r="I876" t="str">
        <f>+VLOOKUP(H876,[1]Explore!$A:$I,9,0)</f>
        <v>Alternative - Commodity</v>
      </c>
      <c r="J876" t="str">
        <f t="shared" si="26"/>
        <v>OK</v>
      </c>
      <c r="K876" t="str">
        <f t="shared" si="27"/>
        <v>Alternative - Commodity</v>
      </c>
      <c r="L876" t="s">
        <v>2139</v>
      </c>
      <c r="M876" t="str">
        <f>_xlfn.IFNA(VLOOKUP(K876,'Mapping DEF'!A:C,2,0),"")</f>
        <v>Alternative</v>
      </c>
      <c r="N876" t="str">
        <f>+_xlfn.IFNA(VLOOKUP(M876,'Mapping DEF'!B:C,2,FALSE),"")</f>
        <v>Other</v>
      </c>
      <c r="O876" t="s">
        <v>2770</v>
      </c>
    </row>
    <row r="877" spans="1:15" x14ac:dyDescent="0.25">
      <c r="A877" s="4" t="s">
        <v>2267</v>
      </c>
      <c r="B877" s="4" t="s">
        <v>2268</v>
      </c>
      <c r="C877" s="5">
        <v>2535</v>
      </c>
      <c r="D877" s="6" t="s">
        <v>2269</v>
      </c>
      <c r="E877" t="s">
        <v>314</v>
      </c>
      <c r="F877" t="s">
        <v>315</v>
      </c>
      <c r="G877" t="str">
        <f>+VLOOKUP(F877,[1]Explore!$B:$I,8,0)</f>
        <v>Govt EUR (Ger)</v>
      </c>
      <c r="H877" t="s">
        <v>316</v>
      </c>
      <c r="I877" t="str">
        <f>+VLOOKUP(H877,[1]Explore!$A:$I,9,0)</f>
        <v>Govt EUR (Ger)</v>
      </c>
      <c r="J877" t="str">
        <f t="shared" si="26"/>
        <v>OK</v>
      </c>
      <c r="K877" t="str">
        <f t="shared" si="27"/>
        <v>Govt EUR (Ger)</v>
      </c>
      <c r="L877" t="s">
        <v>2143</v>
      </c>
      <c r="M877" t="str">
        <f>_xlfn.IFNA(VLOOKUP(K877,'Mapping DEF'!A:C,2,0),"")</f>
        <v>Curve (Local)</v>
      </c>
      <c r="N877" t="str">
        <f>+_xlfn.IFNA(VLOOKUP(M877,'Mapping DEF'!B:C,2,FALSE),"")</f>
        <v>Term Structure</v>
      </c>
      <c r="O877" t="s">
        <v>2752</v>
      </c>
    </row>
    <row r="878" spans="1:15" x14ac:dyDescent="0.25">
      <c r="A878" s="4" t="s">
        <v>2267</v>
      </c>
      <c r="B878" s="4" t="s">
        <v>2268</v>
      </c>
      <c r="C878" s="5">
        <v>2535</v>
      </c>
      <c r="D878" s="6" t="s">
        <v>2269</v>
      </c>
      <c r="E878" t="s">
        <v>337</v>
      </c>
      <c r="F878" t="s">
        <v>2944</v>
      </c>
      <c r="G878" t="str">
        <f>+VLOOKUP(F878,[1]Explore!$B:$I,8,0)</f>
        <v>JPY</v>
      </c>
      <c r="H878" t="s">
        <v>138</v>
      </c>
      <c r="I878" t="str">
        <f>+VLOOKUP(H878,[1]Explore!$A:$I,9,0)</f>
        <v>JPY</v>
      </c>
      <c r="J878" t="str">
        <f t="shared" si="26"/>
        <v>OK</v>
      </c>
      <c r="K878" t="str">
        <f t="shared" si="27"/>
        <v>JPY</v>
      </c>
      <c r="L878" t="s">
        <v>2140</v>
      </c>
      <c r="M878" t="str">
        <f>_xlfn.IFNA(VLOOKUP(K878,'Mapping DEF'!A:C,2,0),"")</f>
        <v>FX</v>
      </c>
      <c r="N878" t="str">
        <f>+_xlfn.IFNA(VLOOKUP(M878,'Mapping DEF'!B:C,2,FALSE),"")</f>
        <v>FX</v>
      </c>
      <c r="O878" t="s">
        <v>2770</v>
      </c>
    </row>
    <row r="879" spans="1:15" x14ac:dyDescent="0.25">
      <c r="A879" s="4" t="s">
        <v>2267</v>
      </c>
      <c r="B879" s="4" t="s">
        <v>2268</v>
      </c>
      <c r="C879" s="5">
        <v>2535</v>
      </c>
      <c r="D879" s="6" t="s">
        <v>2269</v>
      </c>
      <c r="E879" t="s">
        <v>1188</v>
      </c>
      <c r="F879" t="s">
        <v>2156</v>
      </c>
      <c r="G879" t="str">
        <f>+VLOOKUP(F879,[1]Explore!$B:$I,8,0)</f>
        <v>Equity Implied Volatility</v>
      </c>
      <c r="H879" t="s">
        <v>141</v>
      </c>
      <c r="I879" t="str">
        <f>+VLOOKUP(H879,[1]Explore!$A:$I,9,0)</f>
        <v>Equity Implied Volatility</v>
      </c>
      <c r="J879" t="str">
        <f t="shared" si="26"/>
        <v>OK</v>
      </c>
      <c r="K879" t="str">
        <f t="shared" si="27"/>
        <v>Equity Implied Volatility</v>
      </c>
      <c r="L879" t="s">
        <v>27</v>
      </c>
      <c r="M879" t="str">
        <f>_xlfn.IFNA(VLOOKUP(K879,'Mapping DEF'!A:C,2,0),"")</f>
        <v>Equity Derivatives</v>
      </c>
      <c r="N879" t="str">
        <f>+_xlfn.IFNA(VLOOKUP(M879,'Mapping DEF'!B:C,2,FALSE),"")</f>
        <v>Equity</v>
      </c>
      <c r="O879" t="s">
        <v>2776</v>
      </c>
    </row>
    <row r="880" spans="1:15" x14ac:dyDescent="0.25">
      <c r="A880" s="4" t="s">
        <v>2267</v>
      </c>
      <c r="B880" s="4" t="s">
        <v>2268</v>
      </c>
      <c r="C880" s="5">
        <v>2535</v>
      </c>
      <c r="D880" s="6" t="s">
        <v>2269</v>
      </c>
      <c r="E880" t="s">
        <v>1305</v>
      </c>
      <c r="F880" t="s">
        <v>1306</v>
      </c>
      <c r="G880" t="str">
        <f>+VLOOKUP(F880,[1]Explore!$B:$I,8,0)</f>
        <v>Equity Implied Volatility</v>
      </c>
      <c r="H880" t="s">
        <v>1307</v>
      </c>
      <c r="I880" t="str">
        <f>+VLOOKUP(H880,[1]Explore!$A:$I,9,0)</f>
        <v>Equity Implied Volatility</v>
      </c>
      <c r="J880" t="str">
        <f t="shared" si="26"/>
        <v>OK</v>
      </c>
      <c r="K880" t="str">
        <f t="shared" si="27"/>
        <v>Equity Implied Volatility</v>
      </c>
      <c r="L880" t="s">
        <v>27</v>
      </c>
      <c r="M880" t="str">
        <f>_xlfn.IFNA(VLOOKUP(K880,'Mapping DEF'!A:C,2,0),"")</f>
        <v>Equity Derivatives</v>
      </c>
      <c r="N880" t="str">
        <f>+_xlfn.IFNA(VLOOKUP(M880,'Mapping DEF'!B:C,2,FALSE),"")</f>
        <v>Equity</v>
      </c>
      <c r="O880" t="s">
        <v>2759</v>
      </c>
    </row>
    <row r="881" spans="1:15" x14ac:dyDescent="0.25">
      <c r="A881" s="4" t="s">
        <v>2267</v>
      </c>
      <c r="B881" s="4" t="s">
        <v>2268</v>
      </c>
      <c r="C881" s="5">
        <v>2535</v>
      </c>
      <c r="D881" s="6" t="s">
        <v>2269</v>
      </c>
      <c r="E881" t="s">
        <v>654</v>
      </c>
      <c r="F881" t="s">
        <v>191</v>
      </c>
      <c r="G881" t="e">
        <f>+VLOOKUP(F881,[1]Explore!$B:$I,8,0)</f>
        <v>#N/A</v>
      </c>
      <c r="H881" t="s">
        <v>192</v>
      </c>
      <c r="I881" t="e">
        <f>+VLOOKUP(H881,[1]Explore!$A:$I,9,0)</f>
        <v>#N/A</v>
      </c>
      <c r="J881" t="str">
        <f t="shared" si="26"/>
        <v>BOTH #N/A</v>
      </c>
      <c r="K881" t="str">
        <f t="shared" si="27"/>
        <v xml:space="preserve">Time </v>
      </c>
      <c r="L881" t="s">
        <v>2138</v>
      </c>
      <c r="M881" t="str">
        <f>_xlfn.IFNA(VLOOKUP(K881,'Mapping DEF'!A:C,2,0),"")</f>
        <v>Time</v>
      </c>
      <c r="N881" t="str">
        <f>+_xlfn.IFNA(VLOOKUP(M881,'Mapping DEF'!B:C,2,FALSE),"")</f>
        <v>Other</v>
      </c>
      <c r="O881" t="s">
        <v>2762</v>
      </c>
    </row>
    <row r="882" spans="1:15" x14ac:dyDescent="0.25">
      <c r="A882" s="4" t="s">
        <v>2267</v>
      </c>
      <c r="B882" s="4" t="s">
        <v>2268</v>
      </c>
      <c r="C882" s="5">
        <v>2535</v>
      </c>
      <c r="D882" s="6" t="s">
        <v>2269</v>
      </c>
      <c r="E882" t="s">
        <v>1308</v>
      </c>
      <c r="F882" t="s">
        <v>2617</v>
      </c>
      <c r="G882" t="e">
        <f>+VLOOKUP(F882,[1]Explore!$B:$I,8,0)</f>
        <v>#N/A</v>
      </c>
      <c r="H882" t="s">
        <v>1309</v>
      </c>
      <c r="I882" t="e">
        <f>+VLOOKUP(H882,[1]Explore!$A:$I,9,0)</f>
        <v>#N/A</v>
      </c>
      <c r="J882" t="str">
        <f t="shared" si="26"/>
        <v>BOTH #N/A</v>
      </c>
      <c r="K882" t="str">
        <f t="shared" si="27"/>
        <v>Energy</v>
      </c>
      <c r="L882" t="s">
        <v>490</v>
      </c>
      <c r="M882" t="str">
        <f>_xlfn.IFNA(VLOOKUP(K882,'Mapping DEF'!A:C,2,0),"")</f>
        <v>Industry Allocation</v>
      </c>
      <c r="N882" t="str">
        <f>+_xlfn.IFNA(VLOOKUP(M882,'Mapping DEF'!B:C,2,FALSE),"")</f>
        <v>Equity</v>
      </c>
      <c r="O882" t="s">
        <v>2776</v>
      </c>
    </row>
    <row r="883" spans="1:15" x14ac:dyDescent="0.25">
      <c r="A883" s="4" t="s">
        <v>2267</v>
      </c>
      <c r="B883" s="4" t="s">
        <v>2268</v>
      </c>
      <c r="C883" s="5">
        <v>2535</v>
      </c>
      <c r="D883" s="6" t="s">
        <v>2269</v>
      </c>
      <c r="E883" t="s">
        <v>1310</v>
      </c>
      <c r="F883" t="s">
        <v>271</v>
      </c>
      <c r="G883" t="str">
        <f>+VLOOKUP(F883,[1]Explore!$B:$I,8,0)</f>
        <v>Corporate IG USD - Other</v>
      </c>
      <c r="H883" t="s">
        <v>620</v>
      </c>
      <c r="I883" t="e">
        <f>+VLOOKUP(H883,[1]Explore!$A:$I,9,0)</f>
        <v>#N/A</v>
      </c>
      <c r="J883" t="str">
        <f t="shared" si="26"/>
        <v>OK</v>
      </c>
      <c r="K883" t="str">
        <f t="shared" si="27"/>
        <v>Corporate IG USD - Other</v>
      </c>
      <c r="L883" t="s">
        <v>2650</v>
      </c>
      <c r="M883" t="str">
        <f>_xlfn.IFNA(VLOOKUP(K883,'Mapping DEF'!A:C,2,0),"")</f>
        <v>Spread</v>
      </c>
      <c r="N883" t="str">
        <f>+_xlfn.IFNA(VLOOKUP(M883,'Mapping DEF'!B:C,2,FALSE),"")</f>
        <v>Spread</v>
      </c>
      <c r="O883" t="s">
        <v>2791</v>
      </c>
    </row>
    <row r="884" spans="1:15" x14ac:dyDescent="0.25">
      <c r="A884" s="4" t="s">
        <v>2270</v>
      </c>
      <c r="B884" s="4" t="s">
        <v>2271</v>
      </c>
      <c r="C884" s="5">
        <v>2536</v>
      </c>
      <c r="D884" s="6" t="s">
        <v>2272</v>
      </c>
      <c r="E884" t="s">
        <v>889</v>
      </c>
      <c r="F884" t="s">
        <v>265</v>
      </c>
      <c r="G884" t="str">
        <f>+VLOOKUP(F884,[1]Explore!$B:$I,8,0)</f>
        <v>Alternative - Commodity</v>
      </c>
      <c r="H884" t="s">
        <v>266</v>
      </c>
      <c r="I884" t="str">
        <f>+VLOOKUP(H884,[1]Explore!$A:$I,9,0)</f>
        <v>Alternative - Commodity</v>
      </c>
      <c r="J884" t="str">
        <f t="shared" si="26"/>
        <v>OK</v>
      </c>
      <c r="K884" t="str">
        <f t="shared" si="27"/>
        <v>Alternative - Commodity</v>
      </c>
      <c r="L884" t="s">
        <v>2139</v>
      </c>
      <c r="M884" t="str">
        <f>_xlfn.IFNA(VLOOKUP(K884,'Mapping DEF'!A:C,2,0),"")</f>
        <v>Alternative</v>
      </c>
      <c r="N884" t="str">
        <f>+_xlfn.IFNA(VLOOKUP(M884,'Mapping DEF'!B:C,2,FALSE),"")</f>
        <v>Other</v>
      </c>
      <c r="O884" t="s">
        <v>2794</v>
      </c>
    </row>
    <row r="885" spans="1:15" x14ac:dyDescent="0.25">
      <c r="A885" s="4" t="s">
        <v>2270</v>
      </c>
      <c r="B885" s="4" t="s">
        <v>2271</v>
      </c>
      <c r="C885" s="5">
        <v>2536</v>
      </c>
      <c r="D885" s="6" t="s">
        <v>2272</v>
      </c>
      <c r="E885" t="s">
        <v>1311</v>
      </c>
      <c r="F885" t="s">
        <v>1312</v>
      </c>
      <c r="G885" t="str">
        <f>+VLOOKUP(F885,[1]Explore!$B:$I,8,0)</f>
        <v>Alternative - Commodity</v>
      </c>
      <c r="H885" t="s">
        <v>1313</v>
      </c>
      <c r="I885" t="str">
        <f>+VLOOKUP(H885,[1]Explore!$A:$I,9,0)</f>
        <v>Alternative - Commodity</v>
      </c>
      <c r="J885" t="str">
        <f t="shared" si="26"/>
        <v>OK</v>
      </c>
      <c r="K885" t="str">
        <f t="shared" si="27"/>
        <v>Alternative - Commodity</v>
      </c>
      <c r="L885" t="s">
        <v>2139</v>
      </c>
      <c r="M885" t="str">
        <f>_xlfn.IFNA(VLOOKUP(K885,'Mapping DEF'!A:C,2,0),"")</f>
        <v>Alternative</v>
      </c>
      <c r="N885" t="str">
        <f>+_xlfn.IFNA(VLOOKUP(M885,'Mapping DEF'!B:C,2,FALSE),"")</f>
        <v>Other</v>
      </c>
      <c r="O885" t="s">
        <v>2801</v>
      </c>
    </row>
    <row r="886" spans="1:15" x14ac:dyDescent="0.25">
      <c r="A886" s="4" t="s">
        <v>2270</v>
      </c>
      <c r="B886" s="4" t="s">
        <v>2271</v>
      </c>
      <c r="C886" s="5">
        <v>2536</v>
      </c>
      <c r="D886" s="6" t="s">
        <v>2272</v>
      </c>
      <c r="E886" t="s">
        <v>1314</v>
      </c>
      <c r="F886" t="s">
        <v>183</v>
      </c>
      <c r="G886" t="str">
        <f>+VLOOKUP(F886,[1]Explore!$B:$I,8,0)</f>
        <v>Equity Implied Volatility</v>
      </c>
      <c r="H886" t="s">
        <v>184</v>
      </c>
      <c r="I886" t="str">
        <f>+VLOOKUP(H886,[1]Explore!$A:$I,9,0)</f>
        <v>Equity Implied Volatility</v>
      </c>
      <c r="J886" t="str">
        <f t="shared" si="26"/>
        <v>OK</v>
      </c>
      <c r="K886" t="str">
        <f t="shared" si="27"/>
        <v>Equity Implied Volatility</v>
      </c>
      <c r="L886" t="s">
        <v>27</v>
      </c>
      <c r="M886" t="str">
        <f>_xlfn.IFNA(VLOOKUP(K886,'Mapping DEF'!A:C,2,0),"")</f>
        <v>Equity Derivatives</v>
      </c>
      <c r="N886" t="str">
        <f>+_xlfn.IFNA(VLOOKUP(M886,'Mapping DEF'!B:C,2,FALSE),"")</f>
        <v>Equity</v>
      </c>
      <c r="O886" t="s">
        <v>2802</v>
      </c>
    </row>
    <row r="887" spans="1:15" x14ac:dyDescent="0.25">
      <c r="A887" s="4" t="s">
        <v>2270</v>
      </c>
      <c r="B887" s="4" t="s">
        <v>2271</v>
      </c>
      <c r="C887" s="5">
        <v>2536</v>
      </c>
      <c r="D887" s="6" t="s">
        <v>2272</v>
      </c>
      <c r="E887" t="s">
        <v>654</v>
      </c>
      <c r="F887" t="s">
        <v>191</v>
      </c>
      <c r="G887" t="e">
        <f>+VLOOKUP(F887,[1]Explore!$B:$I,8,0)</f>
        <v>#N/A</v>
      </c>
      <c r="H887" t="s">
        <v>192</v>
      </c>
      <c r="I887" t="e">
        <f>+VLOOKUP(H887,[1]Explore!$A:$I,9,0)</f>
        <v>#N/A</v>
      </c>
      <c r="J887" t="str">
        <f t="shared" si="26"/>
        <v>BOTH #N/A</v>
      </c>
      <c r="K887" t="str">
        <f t="shared" si="27"/>
        <v xml:space="preserve">Time </v>
      </c>
      <c r="L887" t="s">
        <v>2138</v>
      </c>
      <c r="M887" t="str">
        <f>_xlfn.IFNA(VLOOKUP(K887,'Mapping DEF'!A:C,2,0),"")</f>
        <v>Time</v>
      </c>
      <c r="N887" t="str">
        <f>+_xlfn.IFNA(VLOOKUP(M887,'Mapping DEF'!B:C,2,FALSE),"")</f>
        <v>Other</v>
      </c>
      <c r="O887" t="s">
        <v>2762</v>
      </c>
    </row>
    <row r="888" spans="1:15" x14ac:dyDescent="0.25">
      <c r="A888" s="4" t="s">
        <v>2270</v>
      </c>
      <c r="B888" s="4" t="s">
        <v>2271</v>
      </c>
      <c r="C888" s="5">
        <v>2536</v>
      </c>
      <c r="D888" s="6" t="s">
        <v>2272</v>
      </c>
      <c r="E888" t="s">
        <v>1318</v>
      </c>
      <c r="F888" t="s">
        <v>1319</v>
      </c>
      <c r="G888" t="str">
        <f>+VLOOKUP(F888,[1]Explore!$B:$I,8,0)</f>
        <v>Emerging Markets</v>
      </c>
      <c r="H888" t="s">
        <v>1320</v>
      </c>
      <c r="I888" t="str">
        <f>+VLOOKUP(H888,[1]Explore!$A:$I,9,0)</f>
        <v>Emerging Markets</v>
      </c>
      <c r="J888" t="str">
        <f t="shared" si="26"/>
        <v>OK</v>
      </c>
      <c r="K888" t="str">
        <f t="shared" si="27"/>
        <v>Emerging Markets</v>
      </c>
      <c r="L888" t="s">
        <v>2142</v>
      </c>
      <c r="M888" t="str">
        <f>_xlfn.IFNA(VLOOKUP(K888,'Mapping DEF'!A:C,2,0),"")</f>
        <v>Country Allocation</v>
      </c>
      <c r="N888" t="str">
        <f>+_xlfn.IFNA(VLOOKUP(M888,'Mapping DEF'!B:C,2,FALSE),"")</f>
        <v>Equity</v>
      </c>
      <c r="O888" t="s">
        <v>2771</v>
      </c>
    </row>
    <row r="889" spans="1:15" x14ac:dyDescent="0.25">
      <c r="A889" s="4" t="s">
        <v>2270</v>
      </c>
      <c r="B889" s="4" t="s">
        <v>2271</v>
      </c>
      <c r="C889" s="5">
        <v>2536</v>
      </c>
      <c r="D889" s="6" t="s">
        <v>2272</v>
      </c>
      <c r="E889" t="s">
        <v>1321</v>
      </c>
      <c r="F889" t="s">
        <v>376</v>
      </c>
      <c r="G889" t="str">
        <f>+VLOOKUP(F889,[1]Explore!$B:$I,8,0)</f>
        <v>Emerging Markets</v>
      </c>
      <c r="H889" t="s">
        <v>377</v>
      </c>
      <c r="I889" t="str">
        <f>+VLOOKUP(H889,[1]Explore!$A:$I,9,0)</f>
        <v>Emerging Markets</v>
      </c>
      <c r="J889" t="str">
        <f t="shared" si="26"/>
        <v>OK</v>
      </c>
      <c r="K889" t="str">
        <f t="shared" si="27"/>
        <v>Emerging Markets</v>
      </c>
      <c r="L889" t="s">
        <v>2142</v>
      </c>
      <c r="M889" t="str">
        <f>_xlfn.IFNA(VLOOKUP(K889,'Mapping DEF'!A:C,2,0),"")</f>
        <v>Country Allocation</v>
      </c>
      <c r="N889" t="str">
        <f>+_xlfn.IFNA(VLOOKUP(M889,'Mapping DEF'!B:C,2,FALSE),"")</f>
        <v>Equity</v>
      </c>
      <c r="O889" t="s">
        <v>2819</v>
      </c>
    </row>
    <row r="890" spans="1:15" x14ac:dyDescent="0.25">
      <c r="A890" s="4" t="s">
        <v>2270</v>
      </c>
      <c r="B890" s="4" t="s">
        <v>2271</v>
      </c>
      <c r="C890" s="5">
        <v>2536</v>
      </c>
      <c r="D890" s="6" t="s">
        <v>2272</v>
      </c>
      <c r="E890" t="s">
        <v>1322</v>
      </c>
      <c r="F890" t="s">
        <v>1296</v>
      </c>
      <c r="G890" t="str">
        <f>+VLOOKUP(F890,[1]Explore!$B:$I,8,0)</f>
        <v>Corporate HY USD - Industry</v>
      </c>
      <c r="H890" t="s">
        <v>1297</v>
      </c>
      <c r="I890" t="str">
        <f>+VLOOKUP(H890,[1]Explore!$A:$I,9,0)</f>
        <v>Corporate HY USD - Industry</v>
      </c>
      <c r="J890" t="str">
        <f t="shared" si="26"/>
        <v>OK</v>
      </c>
      <c r="K890" t="str">
        <f t="shared" si="27"/>
        <v>Corporate HY USD - Industry</v>
      </c>
      <c r="L890" t="s">
        <v>188</v>
      </c>
      <c r="M890" t="str">
        <f>_xlfn.IFNA(VLOOKUP(K890,'Mapping DEF'!A:C,2,0),"")</f>
        <v>Spread</v>
      </c>
      <c r="N890" t="str">
        <f>+_xlfn.IFNA(VLOOKUP(M890,'Mapping DEF'!B:C,2,FALSE),"")</f>
        <v>Spread</v>
      </c>
      <c r="O890" t="s">
        <v>2841</v>
      </c>
    </row>
    <row r="891" spans="1:15" x14ac:dyDescent="0.25">
      <c r="A891" s="4" t="s">
        <v>2270</v>
      </c>
      <c r="B891" s="4" t="s">
        <v>2271</v>
      </c>
      <c r="C891" s="5">
        <v>2536</v>
      </c>
      <c r="D891" s="6" t="s">
        <v>2272</v>
      </c>
      <c r="E891" t="s">
        <v>1323</v>
      </c>
      <c r="F891" t="s">
        <v>220</v>
      </c>
      <c r="G891" t="str">
        <f>+VLOOKUP(F891,[1]Explore!$B:$I,8,0)</f>
        <v>Corporate HY USD - Other</v>
      </c>
      <c r="H891" t="s">
        <v>221</v>
      </c>
      <c r="I891" t="str">
        <f>+VLOOKUP(H891,[1]Explore!$A:$I,9,0)</f>
        <v>Corporate HY USD - Other</v>
      </c>
      <c r="J891" t="str">
        <f t="shared" si="26"/>
        <v>OK</v>
      </c>
      <c r="K891" t="str">
        <f t="shared" si="27"/>
        <v>Corporate HY USD - Other</v>
      </c>
      <c r="L891" t="s">
        <v>188</v>
      </c>
      <c r="M891" t="str">
        <f>_xlfn.IFNA(VLOOKUP(K891,'Mapping DEF'!A:C,2,0),"")</f>
        <v>Spread</v>
      </c>
      <c r="N891" t="str">
        <f>+_xlfn.IFNA(VLOOKUP(M891,'Mapping DEF'!B:C,2,FALSE),"")</f>
        <v>Spread</v>
      </c>
      <c r="O891" t="s">
        <v>2752</v>
      </c>
    </row>
    <row r="892" spans="1:15" x14ac:dyDescent="0.25">
      <c r="A892" s="4" t="s">
        <v>2273</v>
      </c>
      <c r="B892" s="4" t="s">
        <v>2274</v>
      </c>
      <c r="C892" s="5">
        <v>2426</v>
      </c>
      <c r="D892" s="6" t="s">
        <v>2275</v>
      </c>
      <c r="E892" t="s">
        <v>334</v>
      </c>
      <c r="F892" t="s">
        <v>19</v>
      </c>
      <c r="G892" t="str">
        <f>+VLOOKUP(F892,[1]Explore!$B:$I,8,0)</f>
        <v>Govt USD</v>
      </c>
      <c r="H892" t="s">
        <v>20</v>
      </c>
      <c r="I892" t="str">
        <f>+VLOOKUP(H892,[1]Explore!$A:$I,9,0)</f>
        <v>Govt USD</v>
      </c>
      <c r="J892" t="str">
        <f t="shared" si="26"/>
        <v>OK</v>
      </c>
      <c r="K892" t="str">
        <f t="shared" si="27"/>
        <v>Govt USD</v>
      </c>
      <c r="L892" t="s">
        <v>2143</v>
      </c>
      <c r="M892" t="str">
        <f>_xlfn.IFNA(VLOOKUP(K892,'Mapping DEF'!A:C,2,0),"")</f>
        <v>Curve (Local)</v>
      </c>
      <c r="N892" t="str">
        <f>+_xlfn.IFNA(VLOOKUP(M892,'Mapping DEF'!B:C,2,FALSE),"")</f>
        <v>Term Structure</v>
      </c>
      <c r="O892" t="s">
        <v>2774</v>
      </c>
    </row>
    <row r="893" spans="1:15" x14ac:dyDescent="0.25">
      <c r="A893" s="4" t="s">
        <v>2273</v>
      </c>
      <c r="B893" s="4" t="s">
        <v>2274</v>
      </c>
      <c r="C893" s="5">
        <v>2426</v>
      </c>
      <c r="D893" s="6" t="s">
        <v>2275</v>
      </c>
      <c r="E893" t="s">
        <v>329</v>
      </c>
      <c r="F893" t="s">
        <v>268</v>
      </c>
      <c r="G893" t="str">
        <f>+VLOOKUP(F893,[1]Explore!$B:$I,8,0)</f>
        <v>Alternative - Commodity</v>
      </c>
      <c r="H893" t="s">
        <v>269</v>
      </c>
      <c r="I893" t="str">
        <f>+VLOOKUP(H893,[1]Explore!$A:$I,9,0)</f>
        <v>Alternative - Commodity</v>
      </c>
      <c r="J893" t="str">
        <f t="shared" si="26"/>
        <v>OK</v>
      </c>
      <c r="K893" t="str">
        <f t="shared" si="27"/>
        <v>Alternative - Commodity</v>
      </c>
      <c r="L893" t="s">
        <v>2139</v>
      </c>
      <c r="M893" t="str">
        <f>_xlfn.IFNA(VLOOKUP(K893,'Mapping DEF'!A:C,2,0),"")</f>
        <v>Alternative</v>
      </c>
      <c r="N893" t="str">
        <f>+_xlfn.IFNA(VLOOKUP(M893,'Mapping DEF'!B:C,2,FALSE),"")</f>
        <v>Other</v>
      </c>
      <c r="O893" t="s">
        <v>2770</v>
      </c>
    </row>
    <row r="894" spans="1:15" x14ac:dyDescent="0.25">
      <c r="A894" s="4" t="s">
        <v>2273</v>
      </c>
      <c r="B894" s="4" t="s">
        <v>2274</v>
      </c>
      <c r="C894" s="5">
        <v>2426</v>
      </c>
      <c r="D894" s="6" t="s">
        <v>2275</v>
      </c>
      <c r="E894" t="s">
        <v>1324</v>
      </c>
      <c r="F894" t="s">
        <v>1303</v>
      </c>
      <c r="G894" t="str">
        <f>+VLOOKUP(F894,[1]Explore!$B:$I,8,0)</f>
        <v>Alternative - Commodity</v>
      </c>
      <c r="H894" t="s">
        <v>1304</v>
      </c>
      <c r="I894" t="str">
        <f>+VLOOKUP(H894,[1]Explore!$A:$I,9,0)</f>
        <v>Alternative - Commodity</v>
      </c>
      <c r="J894" t="str">
        <f t="shared" si="26"/>
        <v>OK</v>
      </c>
      <c r="K894" t="str">
        <f t="shared" si="27"/>
        <v>Alternative - Commodity</v>
      </c>
      <c r="L894" t="s">
        <v>2139</v>
      </c>
      <c r="M894" t="str">
        <f>_xlfn.IFNA(VLOOKUP(K894,'Mapping DEF'!A:C,2,0),"")</f>
        <v>Alternative</v>
      </c>
      <c r="N894" t="str">
        <f>+_xlfn.IFNA(VLOOKUP(M894,'Mapping DEF'!B:C,2,FALSE),"")</f>
        <v>Other</v>
      </c>
      <c r="O894" t="s">
        <v>2832</v>
      </c>
    </row>
    <row r="895" spans="1:15" x14ac:dyDescent="0.25">
      <c r="A895" s="4" t="s">
        <v>2273</v>
      </c>
      <c r="B895" s="4" t="s">
        <v>2274</v>
      </c>
      <c r="C895" s="5">
        <v>2426</v>
      </c>
      <c r="D895" s="6" t="s">
        <v>2275</v>
      </c>
      <c r="E895" t="s">
        <v>1325</v>
      </c>
      <c r="F895" t="s">
        <v>2156</v>
      </c>
      <c r="G895" t="str">
        <f>+VLOOKUP(F895,[1]Explore!$B:$I,8,0)</f>
        <v>Equity Implied Volatility</v>
      </c>
      <c r="H895" t="s">
        <v>141</v>
      </c>
      <c r="I895" t="str">
        <f>+VLOOKUP(H895,[1]Explore!$A:$I,9,0)</f>
        <v>Equity Implied Volatility</v>
      </c>
      <c r="J895" t="str">
        <f t="shared" si="26"/>
        <v>OK</v>
      </c>
      <c r="K895" t="str">
        <f t="shared" si="27"/>
        <v>Equity Implied Volatility</v>
      </c>
      <c r="L895" t="s">
        <v>27</v>
      </c>
      <c r="M895" t="str">
        <f>_xlfn.IFNA(VLOOKUP(K895,'Mapping DEF'!A:C,2,0),"")</f>
        <v>Equity Derivatives</v>
      </c>
      <c r="N895" t="str">
        <f>+_xlfn.IFNA(VLOOKUP(M895,'Mapping DEF'!B:C,2,FALSE),"")</f>
        <v>Equity</v>
      </c>
      <c r="O895" t="s">
        <v>2802</v>
      </c>
    </row>
    <row r="896" spans="1:15" x14ac:dyDescent="0.25">
      <c r="A896" s="4" t="s">
        <v>2273</v>
      </c>
      <c r="B896" s="4" t="s">
        <v>2274</v>
      </c>
      <c r="C896" s="5">
        <v>2426</v>
      </c>
      <c r="D896" s="6" t="s">
        <v>2275</v>
      </c>
      <c r="E896" t="s">
        <v>1326</v>
      </c>
      <c r="F896" t="s">
        <v>392</v>
      </c>
      <c r="G896" t="str">
        <f>+VLOOKUP(F896,[1]Explore!$B:$I,8,0)</f>
        <v>Equity Implied Volatility</v>
      </c>
      <c r="H896" t="s">
        <v>392</v>
      </c>
      <c r="I896" t="str">
        <f>+VLOOKUP(H896,[1]Explore!$A:$I,9,0)</f>
        <v>Equity Implied Volatility</v>
      </c>
      <c r="J896" t="str">
        <f t="shared" si="26"/>
        <v>OK</v>
      </c>
      <c r="K896" t="str">
        <f t="shared" si="27"/>
        <v>Equity Implied Volatility</v>
      </c>
      <c r="L896" t="s">
        <v>27</v>
      </c>
      <c r="M896" t="str">
        <f>_xlfn.IFNA(VLOOKUP(K896,'Mapping DEF'!A:C,2,0),"")</f>
        <v>Equity Derivatives</v>
      </c>
      <c r="N896" t="str">
        <f>+_xlfn.IFNA(VLOOKUP(M896,'Mapping DEF'!B:C,2,FALSE),"")</f>
        <v>Equity</v>
      </c>
      <c r="O896" t="s">
        <v>2807</v>
      </c>
    </row>
    <row r="897" spans="1:15" x14ac:dyDescent="0.25">
      <c r="A897" s="4" t="s">
        <v>2273</v>
      </c>
      <c r="B897" s="4" t="s">
        <v>2274</v>
      </c>
      <c r="C897" s="5">
        <v>2426</v>
      </c>
      <c r="D897" s="6" t="s">
        <v>2275</v>
      </c>
      <c r="E897" t="s">
        <v>1327</v>
      </c>
      <c r="F897" t="s">
        <v>1306</v>
      </c>
      <c r="G897" t="str">
        <f>+VLOOKUP(F897,[1]Explore!$B:$I,8,0)</f>
        <v>Equity Implied Volatility</v>
      </c>
      <c r="H897" t="s">
        <v>1307</v>
      </c>
      <c r="I897" t="str">
        <f>+VLOOKUP(H897,[1]Explore!$A:$I,9,0)</f>
        <v>Equity Implied Volatility</v>
      </c>
      <c r="J897" t="str">
        <f t="shared" si="26"/>
        <v>OK</v>
      </c>
      <c r="K897" t="str">
        <f t="shared" si="27"/>
        <v>Equity Implied Volatility</v>
      </c>
      <c r="L897" t="s">
        <v>27</v>
      </c>
      <c r="M897" t="str">
        <f>_xlfn.IFNA(VLOOKUP(K897,'Mapping DEF'!A:C,2,0),"")</f>
        <v>Equity Derivatives</v>
      </c>
      <c r="N897" t="str">
        <f>+_xlfn.IFNA(VLOOKUP(M897,'Mapping DEF'!B:C,2,FALSE),"")</f>
        <v>Equity</v>
      </c>
      <c r="O897" t="s">
        <v>2776</v>
      </c>
    </row>
    <row r="898" spans="1:15" x14ac:dyDescent="0.25">
      <c r="A898" s="4" t="s">
        <v>2273</v>
      </c>
      <c r="B898" s="4" t="s">
        <v>2274</v>
      </c>
      <c r="C898" s="5">
        <v>2426</v>
      </c>
      <c r="D898" s="6" t="s">
        <v>2275</v>
      </c>
      <c r="E898" t="s">
        <v>654</v>
      </c>
      <c r="F898" t="s">
        <v>191</v>
      </c>
      <c r="G898" t="e">
        <f>+VLOOKUP(F898,[1]Explore!$B:$I,8,0)</f>
        <v>#N/A</v>
      </c>
      <c r="H898" t="s">
        <v>192</v>
      </c>
      <c r="I898" t="e">
        <f>+VLOOKUP(H898,[1]Explore!$A:$I,9,0)</f>
        <v>#N/A</v>
      </c>
      <c r="J898" t="str">
        <f t="shared" si="26"/>
        <v>BOTH #N/A</v>
      </c>
      <c r="K898" t="str">
        <f t="shared" si="27"/>
        <v xml:space="preserve">Time </v>
      </c>
      <c r="L898" t="s">
        <v>2138</v>
      </c>
      <c r="M898" t="str">
        <f>_xlfn.IFNA(VLOOKUP(K898,'Mapping DEF'!A:C,2,0),"")</f>
        <v>Time</v>
      </c>
      <c r="N898" t="str">
        <f>+_xlfn.IFNA(VLOOKUP(M898,'Mapping DEF'!B:C,2,FALSE),"")</f>
        <v>Other</v>
      </c>
      <c r="O898" t="s">
        <v>2762</v>
      </c>
    </row>
    <row r="899" spans="1:15" x14ac:dyDescent="0.25">
      <c r="A899" s="4" t="s">
        <v>2273</v>
      </c>
      <c r="B899" s="4" t="s">
        <v>2274</v>
      </c>
      <c r="C899" s="5">
        <v>2426</v>
      </c>
      <c r="D899" s="6" t="s">
        <v>2275</v>
      </c>
      <c r="E899" t="s">
        <v>1328</v>
      </c>
      <c r="F899" t="s">
        <v>1296</v>
      </c>
      <c r="G899" t="str">
        <f>+VLOOKUP(F899,[1]Explore!$B:$I,8,0)</f>
        <v>Corporate HY USD - Industry</v>
      </c>
      <c r="H899" t="s">
        <v>1297</v>
      </c>
      <c r="I899" t="str">
        <f>+VLOOKUP(H899,[1]Explore!$A:$I,9,0)</f>
        <v>Corporate HY USD - Industry</v>
      </c>
      <c r="J899" t="str">
        <f t="shared" ref="J899:J962" si="28">IF(AND(ISNA(G899),ISNA(I899)),"BOTH #N/A","OK")</f>
        <v>OK</v>
      </c>
      <c r="K899" t="str">
        <f t="shared" ref="K899:K962" si="29">IFERROR(I899, IFERROR(G899, L899))</f>
        <v>Corporate HY USD - Industry</v>
      </c>
      <c r="L899" t="s">
        <v>188</v>
      </c>
      <c r="M899" t="str">
        <f>_xlfn.IFNA(VLOOKUP(K899,'Mapping DEF'!A:C,2,0),"")</f>
        <v>Spread</v>
      </c>
      <c r="N899" t="str">
        <f>+_xlfn.IFNA(VLOOKUP(M899,'Mapping DEF'!B:C,2,FALSE),"")</f>
        <v>Spread</v>
      </c>
      <c r="O899" t="s">
        <v>2791</v>
      </c>
    </row>
    <row r="900" spans="1:15" x14ac:dyDescent="0.25">
      <c r="A900" s="4" t="s">
        <v>2273</v>
      </c>
      <c r="B900" s="4" t="s">
        <v>2274</v>
      </c>
      <c r="C900" s="5">
        <v>2426</v>
      </c>
      <c r="D900" s="6" t="s">
        <v>2275</v>
      </c>
      <c r="E900" t="s">
        <v>859</v>
      </c>
      <c r="F900" t="s">
        <v>220</v>
      </c>
      <c r="G900" t="str">
        <f>+VLOOKUP(F900,[1]Explore!$B:$I,8,0)</f>
        <v>Corporate HY USD - Other</v>
      </c>
      <c r="H900" t="s">
        <v>221</v>
      </c>
      <c r="I900" t="str">
        <f>+VLOOKUP(H900,[1]Explore!$A:$I,9,0)</f>
        <v>Corporate HY USD - Other</v>
      </c>
      <c r="J900" t="str">
        <f t="shared" si="28"/>
        <v>OK</v>
      </c>
      <c r="K900" t="str">
        <f t="shared" si="29"/>
        <v>Corporate HY USD - Other</v>
      </c>
      <c r="L900" t="s">
        <v>188</v>
      </c>
      <c r="M900" t="str">
        <f>_xlfn.IFNA(VLOOKUP(K900,'Mapping DEF'!A:C,2,0),"")</f>
        <v>Spread</v>
      </c>
      <c r="N900" t="str">
        <f>+_xlfn.IFNA(VLOOKUP(M900,'Mapping DEF'!B:C,2,FALSE),"")</f>
        <v>Spread</v>
      </c>
      <c r="O900" t="s">
        <v>2765</v>
      </c>
    </row>
    <row r="901" spans="1:15" x14ac:dyDescent="0.25">
      <c r="A901" s="4" t="s">
        <v>2273</v>
      </c>
      <c r="B901" s="4" t="s">
        <v>2274</v>
      </c>
      <c r="C901" s="5">
        <v>2426</v>
      </c>
      <c r="D901" s="6" t="s">
        <v>2275</v>
      </c>
      <c r="E901" t="s">
        <v>1329</v>
      </c>
      <c r="F901" t="s">
        <v>1300</v>
      </c>
      <c r="G901" t="str">
        <f>+VLOOKUP(F901,[1]Explore!$B:$I,8,0)</f>
        <v>Other - Index</v>
      </c>
      <c r="H901" t="s">
        <v>490</v>
      </c>
      <c r="I901" t="e">
        <f>+VLOOKUP(H901,[1]Explore!$A:$I,9,0)</f>
        <v>#N/A</v>
      </c>
      <c r="J901" t="str">
        <f t="shared" si="28"/>
        <v>OK</v>
      </c>
      <c r="K901" t="str">
        <f t="shared" si="29"/>
        <v>Other - Index</v>
      </c>
      <c r="L901" t="s">
        <v>27</v>
      </c>
      <c r="M901" t="str">
        <f>_xlfn.IFNA(VLOOKUP(K901,'Mapping DEF'!A:C,2,0),"")</f>
        <v>Other</v>
      </c>
      <c r="N901" t="str">
        <f>+_xlfn.IFNA(VLOOKUP(M901,'Mapping DEF'!B:C,2,FALSE),"")</f>
        <v>Other</v>
      </c>
      <c r="O901" t="s">
        <v>2770</v>
      </c>
    </row>
    <row r="902" spans="1:15" x14ac:dyDescent="0.25">
      <c r="A902" s="4" t="s">
        <v>2276</v>
      </c>
      <c r="B902" s="4" t="s">
        <v>2277</v>
      </c>
      <c r="C902" s="5">
        <v>2427</v>
      </c>
      <c r="D902" s="6" t="s">
        <v>2278</v>
      </c>
      <c r="E902" t="s">
        <v>1330</v>
      </c>
      <c r="F902" t="s">
        <v>265</v>
      </c>
      <c r="G902" t="str">
        <f>+VLOOKUP(F902,[1]Explore!$B:$I,8,0)</f>
        <v>Alternative - Commodity</v>
      </c>
      <c r="H902" t="s">
        <v>266</v>
      </c>
      <c r="I902" t="str">
        <f>+VLOOKUP(H902,[1]Explore!$A:$I,9,0)</f>
        <v>Alternative - Commodity</v>
      </c>
      <c r="J902" t="str">
        <f t="shared" si="28"/>
        <v>OK</v>
      </c>
      <c r="K902" t="str">
        <f t="shared" si="29"/>
        <v>Alternative - Commodity</v>
      </c>
      <c r="L902" t="s">
        <v>2139</v>
      </c>
      <c r="M902" t="str">
        <f>_xlfn.IFNA(VLOOKUP(K902,'Mapping DEF'!A:C,2,0),"")</f>
        <v>Alternative</v>
      </c>
      <c r="N902" t="str">
        <f>+_xlfn.IFNA(VLOOKUP(M902,'Mapping DEF'!B:C,2,FALSE),"")</f>
        <v>Other</v>
      </c>
      <c r="O902" t="s">
        <v>2770</v>
      </c>
    </row>
    <row r="903" spans="1:15" x14ac:dyDescent="0.25">
      <c r="A903" s="4" t="s">
        <v>2276</v>
      </c>
      <c r="B903" s="4" t="s">
        <v>2277</v>
      </c>
      <c r="C903" s="5">
        <v>2427</v>
      </c>
      <c r="D903" s="6" t="s">
        <v>2278</v>
      </c>
      <c r="E903" t="s">
        <v>654</v>
      </c>
      <c r="F903" t="s">
        <v>191</v>
      </c>
      <c r="G903" t="e">
        <f>+VLOOKUP(F903,[1]Explore!$B:$I,8,0)</f>
        <v>#N/A</v>
      </c>
      <c r="H903" t="s">
        <v>192</v>
      </c>
      <c r="I903" t="e">
        <f>+VLOOKUP(H903,[1]Explore!$A:$I,9,0)</f>
        <v>#N/A</v>
      </c>
      <c r="J903" t="str">
        <f t="shared" si="28"/>
        <v>BOTH #N/A</v>
      </c>
      <c r="K903" t="str">
        <f t="shared" si="29"/>
        <v xml:space="preserve">Time </v>
      </c>
      <c r="L903" t="s">
        <v>2138</v>
      </c>
      <c r="M903" t="str">
        <f>_xlfn.IFNA(VLOOKUP(K903,'Mapping DEF'!A:C,2,0),"")</f>
        <v>Time</v>
      </c>
      <c r="N903" t="str">
        <f>+_xlfn.IFNA(VLOOKUP(M903,'Mapping DEF'!B:C,2,FALSE),"")</f>
        <v>Other</v>
      </c>
      <c r="O903" t="s">
        <v>2762</v>
      </c>
    </row>
    <row r="904" spans="1:15" x14ac:dyDescent="0.25">
      <c r="A904" s="4" t="s">
        <v>2276</v>
      </c>
      <c r="B904" s="4" t="s">
        <v>2277</v>
      </c>
      <c r="C904" s="5">
        <v>2427</v>
      </c>
      <c r="D904" s="6" t="s">
        <v>2278</v>
      </c>
      <c r="E904" t="s">
        <v>1331</v>
      </c>
      <c r="F904" t="s">
        <v>376</v>
      </c>
      <c r="G904" t="str">
        <f>+VLOOKUP(F904,[1]Explore!$B:$I,8,0)</f>
        <v>Emerging Markets</v>
      </c>
      <c r="H904" t="s">
        <v>377</v>
      </c>
      <c r="I904" t="str">
        <f>+VLOOKUP(H904,[1]Explore!$A:$I,9,0)</f>
        <v>Emerging Markets</v>
      </c>
      <c r="J904" t="str">
        <f t="shared" si="28"/>
        <v>OK</v>
      </c>
      <c r="K904" t="str">
        <f t="shared" si="29"/>
        <v>Emerging Markets</v>
      </c>
      <c r="L904" t="s">
        <v>2142</v>
      </c>
      <c r="M904" t="str">
        <f>_xlfn.IFNA(VLOOKUP(K904,'Mapping DEF'!A:C,2,0),"")</f>
        <v>Country Allocation</v>
      </c>
      <c r="N904" t="str">
        <f>+_xlfn.IFNA(VLOOKUP(M904,'Mapping DEF'!B:C,2,FALSE),"")</f>
        <v>Equity</v>
      </c>
      <c r="O904" t="s">
        <v>2776</v>
      </c>
    </row>
    <row r="905" spans="1:15" x14ac:dyDescent="0.25">
      <c r="A905" s="4" t="s">
        <v>2276</v>
      </c>
      <c r="B905" s="4" t="s">
        <v>2277</v>
      </c>
      <c r="C905" s="5">
        <v>2427</v>
      </c>
      <c r="D905" s="6" t="s">
        <v>2278</v>
      </c>
      <c r="E905" t="s">
        <v>1332</v>
      </c>
      <c r="F905" t="s">
        <v>1333</v>
      </c>
      <c r="G905" t="str">
        <f>+VLOOKUP(F905,[1]Explore!$B:$I,8,0)</f>
        <v>Spread Emerging Markets - Country</v>
      </c>
      <c r="H905" t="s">
        <v>1334</v>
      </c>
      <c r="I905" t="str">
        <f>+VLOOKUP(H905,[1]Explore!$A:$I,9,0)</f>
        <v>Spread Emerging Markets - Country</v>
      </c>
      <c r="J905" t="str">
        <f t="shared" si="28"/>
        <v>OK</v>
      </c>
      <c r="K905" t="str">
        <f t="shared" si="29"/>
        <v>Spread Emerging Markets - Country</v>
      </c>
      <c r="L905" t="s">
        <v>188</v>
      </c>
      <c r="M905" t="str">
        <f>_xlfn.IFNA(VLOOKUP(K905,'Mapping DEF'!A:C,2,0),"")</f>
        <v>Spread</v>
      </c>
      <c r="N905" t="str">
        <f>+_xlfn.IFNA(VLOOKUP(M905,'Mapping DEF'!B:C,2,FALSE),"")</f>
        <v>Spread</v>
      </c>
      <c r="O905" t="s">
        <v>2755</v>
      </c>
    </row>
    <row r="906" spans="1:15" x14ac:dyDescent="0.25">
      <c r="A906" s="4" t="s">
        <v>2279</v>
      </c>
      <c r="B906" s="4" t="s">
        <v>2280</v>
      </c>
      <c r="C906" s="5">
        <v>2520</v>
      </c>
      <c r="D906" s="6" t="s">
        <v>2281</v>
      </c>
      <c r="E906" t="s">
        <v>1246</v>
      </c>
      <c r="F906" t="s">
        <v>19</v>
      </c>
      <c r="G906" t="str">
        <f>+VLOOKUP(F906,[1]Explore!$B:$I,8,0)</f>
        <v>Govt USD</v>
      </c>
      <c r="H906" t="s">
        <v>20</v>
      </c>
      <c r="I906" t="str">
        <f>+VLOOKUP(H906,[1]Explore!$A:$I,9,0)</f>
        <v>Govt USD</v>
      </c>
      <c r="J906" t="str">
        <f t="shared" si="28"/>
        <v>OK</v>
      </c>
      <c r="K906" t="str">
        <f t="shared" si="29"/>
        <v>Govt USD</v>
      </c>
      <c r="L906" t="s">
        <v>2143</v>
      </c>
      <c r="M906" t="str">
        <f>_xlfn.IFNA(VLOOKUP(K906,'Mapping DEF'!A:C,2,0),"")</f>
        <v>Curve (Local)</v>
      </c>
      <c r="N906" t="str">
        <f>+_xlfn.IFNA(VLOOKUP(M906,'Mapping DEF'!B:C,2,FALSE),"")</f>
        <v>Term Structure</v>
      </c>
      <c r="O906" t="s">
        <v>2773</v>
      </c>
    </row>
    <row r="907" spans="1:15" x14ac:dyDescent="0.25">
      <c r="A907" s="4" t="s">
        <v>2279</v>
      </c>
      <c r="B907" s="4" t="s">
        <v>2280</v>
      </c>
      <c r="C907" s="5">
        <v>2520</v>
      </c>
      <c r="D907" s="6" t="s">
        <v>2281</v>
      </c>
      <c r="E907" t="s">
        <v>729</v>
      </c>
      <c r="F907" t="s">
        <v>258</v>
      </c>
      <c r="G907" t="str">
        <f>+VLOOKUP(F907,[1]Explore!$B:$I,8,0)</f>
        <v>USD Inflation</v>
      </c>
      <c r="H907" t="s">
        <v>259</v>
      </c>
      <c r="I907" t="str">
        <f>+VLOOKUP(H907,[1]Explore!$A:$I,9,0)</f>
        <v>USD Inflation</v>
      </c>
      <c r="J907" t="str">
        <f t="shared" si="28"/>
        <v>OK</v>
      </c>
      <c r="K907" t="str">
        <f t="shared" si="29"/>
        <v>USD Inflation</v>
      </c>
      <c r="L907" t="s">
        <v>2143</v>
      </c>
      <c r="M907" t="str">
        <f>_xlfn.IFNA(VLOOKUP(K907,'Mapping DEF'!A:C,2,0),"")</f>
        <v>Inflation</v>
      </c>
      <c r="N907" t="str">
        <f>+_xlfn.IFNA(VLOOKUP(M907,'Mapping DEF'!B:C,2,FALSE),"")</f>
        <v>Other</v>
      </c>
      <c r="O907" t="s">
        <v>2788</v>
      </c>
    </row>
    <row r="908" spans="1:15" x14ac:dyDescent="0.25">
      <c r="A908" s="4" t="s">
        <v>2279</v>
      </c>
      <c r="B908" s="4" t="s">
        <v>2280</v>
      </c>
      <c r="C908" s="5">
        <v>2520</v>
      </c>
      <c r="D908" s="6" t="s">
        <v>2281</v>
      </c>
      <c r="E908" t="s">
        <v>1335</v>
      </c>
      <c r="F908" t="s">
        <v>268</v>
      </c>
      <c r="G908" t="str">
        <f>+VLOOKUP(F908,[1]Explore!$B:$I,8,0)</f>
        <v>Alternative - Commodity</v>
      </c>
      <c r="H908" t="s">
        <v>269</v>
      </c>
      <c r="I908" t="str">
        <f>+VLOOKUP(H908,[1]Explore!$A:$I,9,0)</f>
        <v>Alternative - Commodity</v>
      </c>
      <c r="J908" t="str">
        <f t="shared" si="28"/>
        <v>OK</v>
      </c>
      <c r="K908" t="str">
        <f t="shared" si="29"/>
        <v>Alternative - Commodity</v>
      </c>
      <c r="L908" t="s">
        <v>2139</v>
      </c>
      <c r="M908" t="str">
        <f>_xlfn.IFNA(VLOOKUP(K908,'Mapping DEF'!A:C,2,0),"")</f>
        <v>Alternative</v>
      </c>
      <c r="N908" t="str">
        <f>+_xlfn.IFNA(VLOOKUP(M908,'Mapping DEF'!B:C,2,FALSE),"")</f>
        <v>Other</v>
      </c>
      <c r="O908" t="s">
        <v>2776</v>
      </c>
    </row>
    <row r="909" spans="1:15" x14ac:dyDescent="0.25">
      <c r="A909" s="4" t="s">
        <v>2279</v>
      </c>
      <c r="B909" s="4" t="s">
        <v>2280</v>
      </c>
      <c r="C909" s="5">
        <v>2520</v>
      </c>
      <c r="D909" s="6" t="s">
        <v>2281</v>
      </c>
      <c r="E909" t="s">
        <v>722</v>
      </c>
      <c r="F909" t="s">
        <v>2944</v>
      </c>
      <c r="G909" t="str">
        <f>+VLOOKUP(F909,[1]Explore!$B:$I,8,0)</f>
        <v>JPY</v>
      </c>
      <c r="H909" t="s">
        <v>138</v>
      </c>
      <c r="I909" t="str">
        <f>+VLOOKUP(H909,[1]Explore!$A:$I,9,0)</f>
        <v>JPY</v>
      </c>
      <c r="J909" t="str">
        <f t="shared" si="28"/>
        <v>OK</v>
      </c>
      <c r="K909" t="str">
        <f t="shared" si="29"/>
        <v>JPY</v>
      </c>
      <c r="L909" t="s">
        <v>2140</v>
      </c>
      <c r="M909" t="str">
        <f>_xlfn.IFNA(VLOOKUP(K909,'Mapping DEF'!A:C,2,0),"")</f>
        <v>FX</v>
      </c>
      <c r="N909" t="str">
        <f>+_xlfn.IFNA(VLOOKUP(M909,'Mapping DEF'!B:C,2,FALSE),"")</f>
        <v>FX</v>
      </c>
      <c r="O909" t="s">
        <v>2810</v>
      </c>
    </row>
    <row r="910" spans="1:15" x14ac:dyDescent="0.25">
      <c r="A910" s="4" t="s">
        <v>2279</v>
      </c>
      <c r="B910" s="4" t="s">
        <v>2280</v>
      </c>
      <c r="C910" s="5">
        <v>2520</v>
      </c>
      <c r="D910" s="6" t="s">
        <v>2281</v>
      </c>
      <c r="E910" t="s">
        <v>1336</v>
      </c>
      <c r="F910" t="s">
        <v>19</v>
      </c>
      <c r="G910" t="str">
        <f>+VLOOKUP(F910,[1]Explore!$B:$I,8,0)</f>
        <v>Govt USD</v>
      </c>
      <c r="H910" t="s">
        <v>323</v>
      </c>
      <c r="I910" t="e">
        <f>+VLOOKUP(H910,[1]Explore!$A:$I,9,0)</f>
        <v>#N/A</v>
      </c>
      <c r="J910" t="str">
        <f t="shared" si="28"/>
        <v>OK</v>
      </c>
      <c r="K910" t="str">
        <f t="shared" si="29"/>
        <v>Govt USD</v>
      </c>
      <c r="L910" t="s">
        <v>2143</v>
      </c>
      <c r="M910" t="str">
        <f>_xlfn.IFNA(VLOOKUP(K910,'Mapping DEF'!A:C,2,0),"")</f>
        <v>Curve (Local)</v>
      </c>
      <c r="N910" t="str">
        <f>+_xlfn.IFNA(VLOOKUP(M910,'Mapping DEF'!B:C,2,FALSE),"")</f>
        <v>Term Structure</v>
      </c>
      <c r="O910" t="s">
        <v>2788</v>
      </c>
    </row>
    <row r="911" spans="1:15" x14ac:dyDescent="0.25">
      <c r="A911" s="4" t="s">
        <v>2279</v>
      </c>
      <c r="B911" s="4" t="s">
        <v>2280</v>
      </c>
      <c r="C911" s="5">
        <v>2520</v>
      </c>
      <c r="D911" s="6" t="s">
        <v>2281</v>
      </c>
      <c r="E911" t="s">
        <v>1337</v>
      </c>
      <c r="F911" t="s">
        <v>22</v>
      </c>
      <c r="G911" t="str">
        <f>+VLOOKUP(F911,[1]Explore!$B:$I,8,0)</f>
        <v>Govt USD</v>
      </c>
      <c r="H911" t="s">
        <v>637</v>
      </c>
      <c r="I911" t="e">
        <f>+VLOOKUP(H911,[1]Explore!$A:$I,9,0)</f>
        <v>#N/A</v>
      </c>
      <c r="J911" t="str">
        <f t="shared" si="28"/>
        <v>OK</v>
      </c>
      <c r="K911" t="str">
        <f t="shared" si="29"/>
        <v>Govt USD</v>
      </c>
      <c r="L911" t="s">
        <v>2143</v>
      </c>
      <c r="M911" t="str">
        <f>_xlfn.IFNA(VLOOKUP(K911,'Mapping DEF'!A:C,2,0),"")</f>
        <v>Curve (Local)</v>
      </c>
      <c r="N911" t="str">
        <f>+_xlfn.IFNA(VLOOKUP(M911,'Mapping DEF'!B:C,2,FALSE),"")</f>
        <v>Term Structure</v>
      </c>
      <c r="O911" t="s">
        <v>2752</v>
      </c>
    </row>
    <row r="912" spans="1:15" x14ac:dyDescent="0.25">
      <c r="A912" s="4" t="s">
        <v>2282</v>
      </c>
      <c r="B912" s="4" t="s">
        <v>2283</v>
      </c>
      <c r="C912" s="5">
        <v>2521</v>
      </c>
      <c r="D912" s="6" t="s">
        <v>2284</v>
      </c>
      <c r="E912" t="s">
        <v>434</v>
      </c>
      <c r="F912" t="s">
        <v>13</v>
      </c>
      <c r="G912" t="str">
        <f>+VLOOKUP(F912,[1]Explore!$B:$I,8,0)</f>
        <v>Govt USD</v>
      </c>
      <c r="H912" t="s">
        <v>14</v>
      </c>
      <c r="I912" t="str">
        <f>+VLOOKUP(H912,[1]Explore!$A:$I,9,0)</f>
        <v>Govt USD</v>
      </c>
      <c r="J912" t="str">
        <f t="shared" si="28"/>
        <v>OK</v>
      </c>
      <c r="K912" t="str">
        <f t="shared" si="29"/>
        <v>Govt USD</v>
      </c>
      <c r="L912" t="s">
        <v>2143</v>
      </c>
      <c r="M912" t="str">
        <f>_xlfn.IFNA(VLOOKUP(K912,'Mapping DEF'!A:C,2,0),"")</f>
        <v>Curve (Local)</v>
      </c>
      <c r="N912" t="str">
        <f>+_xlfn.IFNA(VLOOKUP(M912,'Mapping DEF'!B:C,2,FALSE),"")</f>
        <v>Term Structure</v>
      </c>
      <c r="O912" t="s">
        <v>2797</v>
      </c>
    </row>
    <row r="913" spans="1:15" x14ac:dyDescent="0.25">
      <c r="A913" s="4" t="s">
        <v>2282</v>
      </c>
      <c r="B913" s="4" t="s">
        <v>2283</v>
      </c>
      <c r="C913" s="5">
        <v>2521</v>
      </c>
      <c r="D913" s="6" t="s">
        <v>2284</v>
      </c>
      <c r="E913" t="s">
        <v>927</v>
      </c>
      <c r="F913" t="s">
        <v>19</v>
      </c>
      <c r="G913" t="str">
        <f>+VLOOKUP(F913,[1]Explore!$B:$I,8,0)</f>
        <v>Govt USD</v>
      </c>
      <c r="H913" t="s">
        <v>20</v>
      </c>
      <c r="I913" t="str">
        <f>+VLOOKUP(H913,[1]Explore!$A:$I,9,0)</f>
        <v>Govt USD</v>
      </c>
      <c r="J913" t="str">
        <f t="shared" si="28"/>
        <v>OK</v>
      </c>
      <c r="K913" t="str">
        <f t="shared" si="29"/>
        <v>Govt USD</v>
      </c>
      <c r="L913" t="s">
        <v>2143</v>
      </c>
      <c r="M913" t="str">
        <f>_xlfn.IFNA(VLOOKUP(K913,'Mapping DEF'!A:C,2,0),"")</f>
        <v>Curve (Local)</v>
      </c>
      <c r="N913" t="str">
        <f>+_xlfn.IFNA(VLOOKUP(M913,'Mapping DEF'!B:C,2,FALSE),"")</f>
        <v>Term Structure</v>
      </c>
      <c r="O913" t="s">
        <v>2765</v>
      </c>
    </row>
    <row r="914" spans="1:15" x14ac:dyDescent="0.25">
      <c r="A914" s="4" t="s">
        <v>2282</v>
      </c>
      <c r="B914" s="4" t="s">
        <v>2283</v>
      </c>
      <c r="C914" s="5">
        <v>2521</v>
      </c>
      <c r="D914" s="6" t="s">
        <v>2284</v>
      </c>
      <c r="E914" t="s">
        <v>453</v>
      </c>
      <c r="F914" t="s">
        <v>258</v>
      </c>
      <c r="G914" t="str">
        <f>+VLOOKUP(F914,[1]Explore!$B:$I,8,0)</f>
        <v>USD Inflation</v>
      </c>
      <c r="H914" t="s">
        <v>259</v>
      </c>
      <c r="I914" t="str">
        <f>+VLOOKUP(H914,[1]Explore!$A:$I,9,0)</f>
        <v>USD Inflation</v>
      </c>
      <c r="J914" t="str">
        <f t="shared" si="28"/>
        <v>OK</v>
      </c>
      <c r="K914" t="str">
        <f t="shared" si="29"/>
        <v>USD Inflation</v>
      </c>
      <c r="L914" t="s">
        <v>2143</v>
      </c>
      <c r="M914" t="str">
        <f>_xlfn.IFNA(VLOOKUP(K914,'Mapping DEF'!A:C,2,0),"")</f>
        <v>Inflation</v>
      </c>
      <c r="N914" t="str">
        <f>+_xlfn.IFNA(VLOOKUP(M914,'Mapping DEF'!B:C,2,FALSE),"")</f>
        <v>Other</v>
      </c>
      <c r="O914" t="s">
        <v>2779</v>
      </c>
    </row>
    <row r="915" spans="1:15" x14ac:dyDescent="0.25">
      <c r="A915" s="4" t="s">
        <v>2282</v>
      </c>
      <c r="B915" s="4" t="s">
        <v>2283</v>
      </c>
      <c r="C915" s="5">
        <v>2521</v>
      </c>
      <c r="D915" s="6" t="s">
        <v>2284</v>
      </c>
      <c r="E915" t="s">
        <v>1338</v>
      </c>
      <c r="F915" t="s">
        <v>2942</v>
      </c>
      <c r="G915" t="str">
        <f>+VLOOKUP(F915,[1]Explore!$B:$I,8,0)</f>
        <v>EUR</v>
      </c>
      <c r="H915" t="s">
        <v>173</v>
      </c>
      <c r="I915" t="str">
        <f>+VLOOKUP(H915,[1]Explore!$A:$I,9,0)</f>
        <v>EUR</v>
      </c>
      <c r="J915" t="str">
        <f t="shared" si="28"/>
        <v>OK</v>
      </c>
      <c r="K915" t="str">
        <f t="shared" si="29"/>
        <v>EUR</v>
      </c>
      <c r="L915" t="s">
        <v>2140</v>
      </c>
      <c r="M915" t="str">
        <f>_xlfn.IFNA(VLOOKUP(K915,'Mapping DEF'!A:C,2,0),"")</f>
        <v>FX</v>
      </c>
      <c r="N915" t="str">
        <f>+_xlfn.IFNA(VLOOKUP(M915,'Mapping DEF'!B:C,2,FALSE),"")</f>
        <v>FX</v>
      </c>
      <c r="O915" t="s">
        <v>2802</v>
      </c>
    </row>
    <row r="916" spans="1:15" x14ac:dyDescent="0.25">
      <c r="A916" s="4" t="s">
        <v>2285</v>
      </c>
      <c r="B916" s="4" t="s">
        <v>2286</v>
      </c>
      <c r="C916" s="5">
        <v>2531</v>
      </c>
      <c r="D916" s="6" t="s">
        <v>2287</v>
      </c>
      <c r="E916" t="s">
        <v>1245</v>
      </c>
      <c r="F916" t="s">
        <v>13</v>
      </c>
      <c r="G916" t="str">
        <f>+VLOOKUP(F916,[1]Explore!$B:$I,8,0)</f>
        <v>Govt USD</v>
      </c>
      <c r="H916" t="s">
        <v>14</v>
      </c>
      <c r="I916" t="str">
        <f>+VLOOKUP(H916,[1]Explore!$A:$I,9,0)</f>
        <v>Govt USD</v>
      </c>
      <c r="J916" t="str">
        <f t="shared" si="28"/>
        <v>OK</v>
      </c>
      <c r="K916" t="str">
        <f t="shared" si="29"/>
        <v>Govt USD</v>
      </c>
      <c r="L916" t="s">
        <v>2143</v>
      </c>
      <c r="M916" t="str">
        <f>_xlfn.IFNA(VLOOKUP(K916,'Mapping DEF'!A:C,2,0),"")</f>
        <v>Curve (Local)</v>
      </c>
      <c r="N916" t="str">
        <f>+_xlfn.IFNA(VLOOKUP(M916,'Mapping DEF'!B:C,2,FALSE),"")</f>
        <v>Term Structure</v>
      </c>
      <c r="O916" t="s">
        <v>2795</v>
      </c>
    </row>
    <row r="917" spans="1:15" x14ac:dyDescent="0.25">
      <c r="A917" s="4" t="s">
        <v>2285</v>
      </c>
      <c r="B917" s="4" t="s">
        <v>2286</v>
      </c>
      <c r="C917" s="5">
        <v>2531</v>
      </c>
      <c r="D917" s="6" t="s">
        <v>2287</v>
      </c>
      <c r="E917" t="s">
        <v>1339</v>
      </c>
      <c r="F917" t="s">
        <v>19</v>
      </c>
      <c r="G917" t="str">
        <f>+VLOOKUP(F917,[1]Explore!$B:$I,8,0)</f>
        <v>Govt USD</v>
      </c>
      <c r="H917" t="s">
        <v>20</v>
      </c>
      <c r="I917" t="str">
        <f>+VLOOKUP(H917,[1]Explore!$A:$I,9,0)</f>
        <v>Govt USD</v>
      </c>
      <c r="J917" t="str">
        <f t="shared" si="28"/>
        <v>OK</v>
      </c>
      <c r="K917" t="str">
        <f t="shared" si="29"/>
        <v>Govt USD</v>
      </c>
      <c r="L917" t="s">
        <v>2143</v>
      </c>
      <c r="M917" t="str">
        <f>_xlfn.IFNA(VLOOKUP(K917,'Mapping DEF'!A:C,2,0),"")</f>
        <v>Curve (Local)</v>
      </c>
      <c r="N917" t="str">
        <f>+_xlfn.IFNA(VLOOKUP(M917,'Mapping DEF'!B:C,2,FALSE),"")</f>
        <v>Term Structure</v>
      </c>
      <c r="O917" t="s">
        <v>2791</v>
      </c>
    </row>
    <row r="918" spans="1:15" x14ac:dyDescent="0.25">
      <c r="A918" s="4" t="s">
        <v>2285</v>
      </c>
      <c r="B918" s="4" t="s">
        <v>2286</v>
      </c>
      <c r="C918" s="5">
        <v>2531</v>
      </c>
      <c r="D918" s="6" t="s">
        <v>2287</v>
      </c>
      <c r="E918" t="s">
        <v>453</v>
      </c>
      <c r="F918" t="s">
        <v>258</v>
      </c>
      <c r="G918" t="str">
        <f>+VLOOKUP(F918,[1]Explore!$B:$I,8,0)</f>
        <v>USD Inflation</v>
      </c>
      <c r="H918" t="s">
        <v>259</v>
      </c>
      <c r="I918" t="str">
        <f>+VLOOKUP(H918,[1]Explore!$A:$I,9,0)</f>
        <v>USD Inflation</v>
      </c>
      <c r="J918" t="str">
        <f t="shared" si="28"/>
        <v>OK</v>
      </c>
      <c r="K918" t="str">
        <f t="shared" si="29"/>
        <v>USD Inflation</v>
      </c>
      <c r="L918" t="s">
        <v>2143</v>
      </c>
      <c r="M918" t="str">
        <f>_xlfn.IFNA(VLOOKUP(K918,'Mapping DEF'!A:C,2,0),"")</f>
        <v>Inflation</v>
      </c>
      <c r="N918" t="str">
        <f>+_xlfn.IFNA(VLOOKUP(M918,'Mapping DEF'!B:C,2,FALSE),"")</f>
        <v>Other</v>
      </c>
      <c r="O918" t="s">
        <v>2779</v>
      </c>
    </row>
    <row r="919" spans="1:15" x14ac:dyDescent="0.25">
      <c r="A919" s="4" t="s">
        <v>2285</v>
      </c>
      <c r="B919" s="4" t="s">
        <v>2286</v>
      </c>
      <c r="C919" s="5">
        <v>2531</v>
      </c>
      <c r="D919" s="6" t="s">
        <v>2287</v>
      </c>
      <c r="E919" t="s">
        <v>1340</v>
      </c>
      <c r="F919" t="s">
        <v>731</v>
      </c>
      <c r="G919" t="str">
        <f>+VLOOKUP(F919,[1]Explore!$B:$I,8,0)</f>
        <v>Alternative - Commodity</v>
      </c>
      <c r="H919" t="s">
        <v>732</v>
      </c>
      <c r="I919" t="str">
        <f>+VLOOKUP(H919,[1]Explore!$A:$I,9,0)</f>
        <v>Alternative - Commodity</v>
      </c>
      <c r="J919" t="str">
        <f t="shared" si="28"/>
        <v>OK</v>
      </c>
      <c r="K919" t="str">
        <f t="shared" si="29"/>
        <v>Alternative - Commodity</v>
      </c>
      <c r="L919" t="s">
        <v>2139</v>
      </c>
      <c r="M919" t="str">
        <f>_xlfn.IFNA(VLOOKUP(K919,'Mapping DEF'!A:C,2,0),"")</f>
        <v>Alternative</v>
      </c>
      <c r="N919" t="str">
        <f>+_xlfn.IFNA(VLOOKUP(M919,'Mapping DEF'!B:C,2,FALSE),"")</f>
        <v>Other</v>
      </c>
      <c r="O919" t="s">
        <v>2794</v>
      </c>
    </row>
    <row r="920" spans="1:15" s="22" customFormat="1" x14ac:dyDescent="0.25">
      <c r="A920" s="19" t="s">
        <v>2285</v>
      </c>
      <c r="B920" s="19" t="s">
        <v>2286</v>
      </c>
      <c r="C920" s="25">
        <v>2531</v>
      </c>
      <c r="D920" s="21" t="s">
        <v>2287</v>
      </c>
      <c r="E920" s="22" t="s">
        <v>1341</v>
      </c>
      <c r="F920" s="22" t="s">
        <v>271</v>
      </c>
      <c r="G920" s="22" t="str">
        <f>+VLOOKUP(F920,[1]Explore!$B:$I,8,0)</f>
        <v>Corporate IG USD - Other</v>
      </c>
      <c r="H920" s="22" t="s">
        <v>272</v>
      </c>
      <c r="I920" s="22" t="str">
        <f>+VLOOKUP(H920,[1]Explore!$A:$I,9,0)</f>
        <v>Corporate IG USD - Other</v>
      </c>
      <c r="J920" s="22" t="str">
        <f t="shared" si="28"/>
        <v>OK</v>
      </c>
      <c r="K920" s="22" t="str">
        <f t="shared" si="29"/>
        <v>Corporate IG USD - Other</v>
      </c>
      <c r="L920" s="22" t="s">
        <v>2650</v>
      </c>
      <c r="M920" s="22" t="str">
        <f>_xlfn.IFNA(VLOOKUP(K920,'Mapping DEF'!A:C,2,0),"")</f>
        <v>Spread</v>
      </c>
      <c r="N920" s="22" t="str">
        <f>+_xlfn.IFNA(VLOOKUP(M920,'Mapping DEF'!B:C,2,FALSE),"")</f>
        <v>Spread</v>
      </c>
      <c r="O920" s="22" t="s">
        <v>2791</v>
      </c>
    </row>
    <row r="921" spans="1:15" s="22" customFormat="1" x14ac:dyDescent="0.25">
      <c r="A921" s="19" t="s">
        <v>2285</v>
      </c>
      <c r="B921" s="19" t="s">
        <v>2286</v>
      </c>
      <c r="C921" s="25">
        <v>2531</v>
      </c>
      <c r="D921" s="21" t="s">
        <v>2287</v>
      </c>
      <c r="E921" s="22" t="s">
        <v>1342</v>
      </c>
      <c r="F921" s="22" t="s">
        <v>753</v>
      </c>
      <c r="G921" s="22" t="e">
        <f>+VLOOKUP(F921,[1]Explore!$B:$I,8,0)</f>
        <v>#N/A</v>
      </c>
      <c r="H921" s="22" t="s">
        <v>754</v>
      </c>
      <c r="I921" s="22" t="e">
        <f>+VLOOKUP(H921,[1]Explore!$A:$I,9,0)</f>
        <v>#N/A</v>
      </c>
      <c r="J921" s="22" t="str">
        <f t="shared" si="28"/>
        <v>BOTH #N/A</v>
      </c>
      <c r="K921" s="22" t="str">
        <f t="shared" si="29"/>
        <v>Corporate IG USD - Other</v>
      </c>
      <c r="L921" s="22" t="s">
        <v>2650</v>
      </c>
      <c r="M921" s="22" t="str">
        <f>_xlfn.IFNA(VLOOKUP(K921,'Mapping DEF'!A:C,2,0),"")</f>
        <v>Spread</v>
      </c>
      <c r="N921" s="22" t="str">
        <f>+_xlfn.IFNA(VLOOKUP(M921,'Mapping DEF'!B:C,2,FALSE),"")</f>
        <v>Spread</v>
      </c>
      <c r="O921" s="22" t="s">
        <v>2755</v>
      </c>
    </row>
    <row r="922" spans="1:15" x14ac:dyDescent="0.25">
      <c r="A922" s="4" t="s">
        <v>2285</v>
      </c>
      <c r="B922" s="4" t="s">
        <v>2286</v>
      </c>
      <c r="C922" s="5">
        <v>2531</v>
      </c>
      <c r="D922" s="6" t="s">
        <v>2287</v>
      </c>
      <c r="E922" t="s">
        <v>1343</v>
      </c>
      <c r="F922" t="s">
        <v>1344</v>
      </c>
      <c r="G922" t="str">
        <f>+VLOOKUP(F922,[1]Explore!$B:$I,8,0)</f>
        <v>Spread Govt Peripheral EUR (ex ITA)</v>
      </c>
      <c r="H922" t="s">
        <v>1345</v>
      </c>
      <c r="I922" t="str">
        <f>+VLOOKUP(H922,[1]Explore!$A:$I,9,0)</f>
        <v>Spread Govt Peripheral EUR (ex ITA)</v>
      </c>
      <c r="J922" t="str">
        <f t="shared" si="28"/>
        <v>OK</v>
      </c>
      <c r="K922" t="str">
        <f t="shared" si="29"/>
        <v>Spread Govt Peripheral EUR (ex ITA)</v>
      </c>
      <c r="L922" t="s">
        <v>188</v>
      </c>
      <c r="M922" t="str">
        <f>_xlfn.IFNA(VLOOKUP(K922,'Mapping DEF'!A:C,2,0),"")</f>
        <v>Spread Govt</v>
      </c>
      <c r="N922" t="str">
        <f>+_xlfn.IFNA(VLOOKUP(M922,'Mapping DEF'!B:C,2,FALSE),"")</f>
        <v>Term Structure</v>
      </c>
      <c r="O922" t="s">
        <v>2786</v>
      </c>
    </row>
    <row r="923" spans="1:15" x14ac:dyDescent="0.25">
      <c r="A923" s="4" t="s">
        <v>2285</v>
      </c>
      <c r="B923" s="4" t="s">
        <v>2286</v>
      </c>
      <c r="C923" s="5">
        <v>2531</v>
      </c>
      <c r="D923" s="6" t="s">
        <v>2287</v>
      </c>
      <c r="E923" t="s">
        <v>1349</v>
      </c>
      <c r="F923" t="s">
        <v>1350</v>
      </c>
      <c r="G923" t="str">
        <f>+VLOOKUP(F923,[1]Explore!$B:$I,8,0)</f>
        <v>Govt Developed Other (AU, GB, JP, ...)</v>
      </c>
      <c r="H923" t="s">
        <v>1351</v>
      </c>
      <c r="I923" t="str">
        <f>+VLOOKUP(H923,[1]Explore!$A:$I,9,0)</f>
        <v>Govt Developed Other (AU, GB, JP, ...)</v>
      </c>
      <c r="J923" t="str">
        <f t="shared" si="28"/>
        <v>OK</v>
      </c>
      <c r="K923" t="str">
        <f t="shared" si="29"/>
        <v>Govt Developed Other (AU, GB, JP, ...)</v>
      </c>
      <c r="L923" t="s">
        <v>2143</v>
      </c>
      <c r="M923" t="str">
        <f>_xlfn.IFNA(VLOOKUP(K923,'Mapping DEF'!A:C,2,0),"")</f>
        <v>Curve (Local)</v>
      </c>
      <c r="N923" t="str">
        <f>+_xlfn.IFNA(VLOOKUP(M923,'Mapping DEF'!B:C,2,FALSE),"")</f>
        <v>Term Structure</v>
      </c>
      <c r="O923" t="s">
        <v>2790</v>
      </c>
    </row>
    <row r="924" spans="1:15" x14ac:dyDescent="0.25">
      <c r="A924" s="4" t="s">
        <v>2285</v>
      </c>
      <c r="B924" s="4" t="s">
        <v>2286</v>
      </c>
      <c r="C924" s="5">
        <v>2531</v>
      </c>
      <c r="D924" s="6" t="s">
        <v>2287</v>
      </c>
      <c r="E924" t="s">
        <v>1352</v>
      </c>
      <c r="F924" t="s">
        <v>417</v>
      </c>
      <c r="G924" t="str">
        <f>+VLOOKUP(F924,[1]Explore!$B:$I,8,0)</f>
        <v>Govt Emerging Markets</v>
      </c>
      <c r="H924" t="s">
        <v>418</v>
      </c>
      <c r="I924" t="str">
        <f>+VLOOKUP(H924,[1]Explore!$A:$I,9,0)</f>
        <v>Govt Emerging Markets</v>
      </c>
      <c r="J924" t="str">
        <f t="shared" si="28"/>
        <v>OK</v>
      </c>
      <c r="K924" t="str">
        <f t="shared" si="29"/>
        <v>Govt Emerging Markets</v>
      </c>
      <c r="L924" t="s">
        <v>2143</v>
      </c>
      <c r="M924" t="str">
        <f>_xlfn.IFNA(VLOOKUP(K924,'Mapping DEF'!A:C,2,0),"")</f>
        <v>Curve (Local)</v>
      </c>
      <c r="N924" t="str">
        <f>+_xlfn.IFNA(VLOOKUP(M924,'Mapping DEF'!B:C,2,FALSE),"")</f>
        <v>Term Structure</v>
      </c>
      <c r="O924" t="s">
        <v>2755</v>
      </c>
    </row>
    <row r="925" spans="1:15" x14ac:dyDescent="0.25">
      <c r="A925" s="4" t="s">
        <v>2285</v>
      </c>
      <c r="B925" s="4" t="s">
        <v>2286</v>
      </c>
      <c r="C925" s="5">
        <v>2531</v>
      </c>
      <c r="D925" s="6" t="s">
        <v>2287</v>
      </c>
      <c r="E925" t="s">
        <v>1067</v>
      </c>
      <c r="F925" t="s">
        <v>2942</v>
      </c>
      <c r="G925" t="str">
        <f>+VLOOKUP(F925,[1]Explore!$B:$I,8,0)</f>
        <v>EUR</v>
      </c>
      <c r="H925" t="s">
        <v>173</v>
      </c>
      <c r="I925" t="str">
        <f>+VLOOKUP(H925,[1]Explore!$A:$I,9,0)</f>
        <v>EUR</v>
      </c>
      <c r="J925" t="str">
        <f t="shared" si="28"/>
        <v>OK</v>
      </c>
      <c r="K925" t="str">
        <f t="shared" si="29"/>
        <v>EUR</v>
      </c>
      <c r="L925" t="s">
        <v>2140</v>
      </c>
      <c r="M925" t="str">
        <f>_xlfn.IFNA(VLOOKUP(K925,'Mapping DEF'!A:C,2,0),"")</f>
        <v>FX</v>
      </c>
      <c r="N925" t="str">
        <f>+_xlfn.IFNA(VLOOKUP(M925,'Mapping DEF'!B:C,2,FALSE),"")</f>
        <v>FX</v>
      </c>
      <c r="O925" t="s">
        <v>2760</v>
      </c>
    </row>
    <row r="926" spans="1:15" x14ac:dyDescent="0.25">
      <c r="A926" s="4" t="s">
        <v>2285</v>
      </c>
      <c r="B926" s="4" t="s">
        <v>2286</v>
      </c>
      <c r="C926" s="5">
        <v>2531</v>
      </c>
      <c r="D926" s="6" t="s">
        <v>2287</v>
      </c>
      <c r="E926" t="s">
        <v>722</v>
      </c>
      <c r="F926" t="s">
        <v>2944</v>
      </c>
      <c r="G926" t="str">
        <f>+VLOOKUP(F926,[1]Explore!$B:$I,8,0)</f>
        <v>JPY</v>
      </c>
      <c r="H926" t="s">
        <v>138</v>
      </c>
      <c r="I926" t="str">
        <f>+VLOOKUP(H926,[1]Explore!$A:$I,9,0)</f>
        <v>JPY</v>
      </c>
      <c r="J926" t="str">
        <f t="shared" si="28"/>
        <v>OK</v>
      </c>
      <c r="K926" t="str">
        <f t="shared" si="29"/>
        <v>JPY</v>
      </c>
      <c r="L926" t="s">
        <v>2140</v>
      </c>
      <c r="M926" t="str">
        <f>_xlfn.IFNA(VLOOKUP(K926,'Mapping DEF'!A:C,2,0),"")</f>
        <v>FX</v>
      </c>
      <c r="N926" t="str">
        <f>+_xlfn.IFNA(VLOOKUP(M926,'Mapping DEF'!B:C,2,FALSE),"")</f>
        <v>FX</v>
      </c>
      <c r="O926" t="s">
        <v>2810</v>
      </c>
    </row>
    <row r="927" spans="1:15" x14ac:dyDescent="0.25">
      <c r="A927" s="4" t="s">
        <v>2285</v>
      </c>
      <c r="B927" s="4" t="s">
        <v>2286</v>
      </c>
      <c r="C927" s="5">
        <v>2531</v>
      </c>
      <c r="D927" s="6" t="s">
        <v>2287</v>
      </c>
      <c r="E927" t="s">
        <v>712</v>
      </c>
      <c r="F927" t="s">
        <v>2156</v>
      </c>
      <c r="G927" t="str">
        <f>+VLOOKUP(F927,[1]Explore!$B:$I,8,0)</f>
        <v>Equity Implied Volatility</v>
      </c>
      <c r="H927" t="s">
        <v>141</v>
      </c>
      <c r="I927" t="str">
        <f>+VLOOKUP(H927,[1]Explore!$A:$I,9,0)</f>
        <v>Equity Implied Volatility</v>
      </c>
      <c r="J927" t="str">
        <f t="shared" si="28"/>
        <v>OK</v>
      </c>
      <c r="K927" t="str">
        <f t="shared" si="29"/>
        <v>Equity Implied Volatility</v>
      </c>
      <c r="L927" t="s">
        <v>27</v>
      </c>
      <c r="M927" t="str">
        <f>_xlfn.IFNA(VLOOKUP(K927,'Mapping DEF'!A:C,2,0),"")</f>
        <v>Equity Derivatives</v>
      </c>
      <c r="N927" t="str">
        <f>+_xlfn.IFNA(VLOOKUP(M927,'Mapping DEF'!B:C,2,FALSE),"")</f>
        <v>Equity</v>
      </c>
      <c r="O927" t="s">
        <v>2753</v>
      </c>
    </row>
    <row r="928" spans="1:15" x14ac:dyDescent="0.25">
      <c r="A928" s="4" t="s">
        <v>2285</v>
      </c>
      <c r="B928" s="4" t="s">
        <v>2286</v>
      </c>
      <c r="C928" s="5">
        <v>2531</v>
      </c>
      <c r="D928" s="6" t="s">
        <v>2287</v>
      </c>
      <c r="E928" t="s">
        <v>970</v>
      </c>
      <c r="F928" t="s">
        <v>2618</v>
      </c>
      <c r="G928" t="str">
        <f>+VLOOKUP(F928,[1]Explore!$B:$I,8,0)</f>
        <v>Equity Implied Volatility</v>
      </c>
      <c r="H928" t="s">
        <v>144</v>
      </c>
      <c r="I928" t="str">
        <f>+VLOOKUP(H928,[1]Explore!$A:$I,9,0)</f>
        <v>Equity Implied Volatility</v>
      </c>
      <c r="J928" t="str">
        <f t="shared" si="28"/>
        <v>OK</v>
      </c>
      <c r="K928" t="str">
        <f t="shared" si="29"/>
        <v>Equity Implied Volatility</v>
      </c>
      <c r="L928" t="s">
        <v>27</v>
      </c>
      <c r="M928" t="str">
        <f>_xlfn.IFNA(VLOOKUP(K928,'Mapping DEF'!A:C,2,0),"")</f>
        <v>Equity Derivatives</v>
      </c>
      <c r="N928" t="str">
        <f>+_xlfn.IFNA(VLOOKUP(M928,'Mapping DEF'!B:C,2,FALSE),"")</f>
        <v>Equity</v>
      </c>
      <c r="O928" t="s">
        <v>2776</v>
      </c>
    </row>
    <row r="929" spans="1:15" x14ac:dyDescent="0.25">
      <c r="A929" s="4" t="s">
        <v>2285</v>
      </c>
      <c r="B929" s="4" t="s">
        <v>2286</v>
      </c>
      <c r="C929" s="5">
        <v>2531</v>
      </c>
      <c r="D929" s="6" t="s">
        <v>2287</v>
      </c>
      <c r="E929" t="s">
        <v>654</v>
      </c>
      <c r="F929" t="s">
        <v>191</v>
      </c>
      <c r="G929" t="e">
        <f>+VLOOKUP(F929,[1]Explore!$B:$I,8,0)</f>
        <v>#N/A</v>
      </c>
      <c r="H929" t="s">
        <v>192</v>
      </c>
      <c r="I929" t="e">
        <f>+VLOOKUP(H929,[1]Explore!$A:$I,9,0)</f>
        <v>#N/A</v>
      </c>
      <c r="J929" t="str">
        <f t="shared" si="28"/>
        <v>BOTH #N/A</v>
      </c>
      <c r="K929" t="str">
        <f t="shared" si="29"/>
        <v xml:space="preserve">Time </v>
      </c>
      <c r="L929" t="s">
        <v>2138</v>
      </c>
      <c r="M929" t="str">
        <f>_xlfn.IFNA(VLOOKUP(K929,'Mapping DEF'!A:C,2,0),"")</f>
        <v>Time</v>
      </c>
      <c r="N929" t="str">
        <f>+_xlfn.IFNA(VLOOKUP(M929,'Mapping DEF'!B:C,2,FALSE),"")</f>
        <v>Other</v>
      </c>
      <c r="O929" t="s">
        <v>2762</v>
      </c>
    </row>
    <row r="930" spans="1:15" x14ac:dyDescent="0.25">
      <c r="A930" s="4" t="s">
        <v>2285</v>
      </c>
      <c r="B930" s="4" t="s">
        <v>2286</v>
      </c>
      <c r="C930" s="5">
        <v>2531</v>
      </c>
      <c r="D930" s="6" t="s">
        <v>2287</v>
      </c>
      <c r="E930" t="s">
        <v>1353</v>
      </c>
      <c r="F930" t="s">
        <v>346</v>
      </c>
      <c r="G930" t="str">
        <f>+VLOOKUP(F930,[1]Explore!$B:$I,8,0)</f>
        <v>Spread Emerging Markets - Country</v>
      </c>
      <c r="H930" t="s">
        <v>347</v>
      </c>
      <c r="I930" t="str">
        <f>+VLOOKUP(H930,[1]Explore!$A:$I,9,0)</f>
        <v>Spread Emerging Markets - Country</v>
      </c>
      <c r="J930" t="str">
        <f t="shared" si="28"/>
        <v>OK</v>
      </c>
      <c r="K930" t="str">
        <f t="shared" si="29"/>
        <v>Spread Emerging Markets - Country</v>
      </c>
      <c r="L930" t="s">
        <v>188</v>
      </c>
      <c r="M930" t="str">
        <f>_xlfn.IFNA(VLOOKUP(K930,'Mapping DEF'!A:C,2,0),"")</f>
        <v>Spread</v>
      </c>
      <c r="N930" t="str">
        <f>+_xlfn.IFNA(VLOOKUP(M930,'Mapping DEF'!B:C,2,FALSE),"")</f>
        <v>Spread</v>
      </c>
      <c r="O930" t="s">
        <v>2843</v>
      </c>
    </row>
    <row r="931" spans="1:15" x14ac:dyDescent="0.25">
      <c r="A931" s="4" t="s">
        <v>2285</v>
      </c>
      <c r="B931" s="4" t="s">
        <v>2286</v>
      </c>
      <c r="C931" s="5">
        <v>2531</v>
      </c>
      <c r="D931" s="6" t="s">
        <v>2287</v>
      </c>
      <c r="E931" t="s">
        <v>1354</v>
      </c>
      <c r="F931" t="s">
        <v>836</v>
      </c>
      <c r="G931" t="str">
        <f>+VLOOKUP(F931,[1]Explore!$B:$I,8,0)</f>
        <v>Govt USD</v>
      </c>
      <c r="H931" t="s">
        <v>837</v>
      </c>
      <c r="I931" t="str">
        <f>+VLOOKUP(H931,[1]Explore!$A:$I,9,0)</f>
        <v>Govt USD</v>
      </c>
      <c r="J931" t="str">
        <f t="shared" si="28"/>
        <v>OK</v>
      </c>
      <c r="K931" t="str">
        <f t="shared" si="29"/>
        <v>Govt USD</v>
      </c>
      <c r="L931" t="s">
        <v>2143</v>
      </c>
      <c r="M931" t="str">
        <f>_xlfn.IFNA(VLOOKUP(K931,'Mapping DEF'!A:C,2,0),"")</f>
        <v>Curve (Local)</v>
      </c>
      <c r="N931" t="str">
        <f>+_xlfn.IFNA(VLOOKUP(M931,'Mapping DEF'!B:C,2,FALSE),"")</f>
        <v>Term Structure</v>
      </c>
      <c r="O931" t="s">
        <v>2852</v>
      </c>
    </row>
    <row r="932" spans="1:15" x14ac:dyDescent="0.25">
      <c r="A932" s="4" t="s">
        <v>2285</v>
      </c>
      <c r="B932" s="4" t="s">
        <v>2286</v>
      </c>
      <c r="C932" s="5">
        <v>2531</v>
      </c>
      <c r="D932" s="6" t="s">
        <v>2287</v>
      </c>
      <c r="E932" t="s">
        <v>986</v>
      </c>
      <c r="F932" t="s">
        <v>2157</v>
      </c>
      <c r="G932" t="str">
        <f>+VLOOKUP(F932,[1]Explore!$B:$I,8,0)</f>
        <v>Equity Implied Volatility</v>
      </c>
      <c r="H932" t="s">
        <v>325</v>
      </c>
      <c r="I932" t="e">
        <f>+VLOOKUP(H932,[1]Explore!$A:$I,9,0)</f>
        <v>#N/A</v>
      </c>
      <c r="J932" t="str">
        <f t="shared" si="28"/>
        <v>OK</v>
      </c>
      <c r="K932" t="str">
        <f t="shared" si="29"/>
        <v>Equity Implied Volatility</v>
      </c>
      <c r="L932" t="s">
        <v>27</v>
      </c>
      <c r="M932" t="str">
        <f>_xlfn.IFNA(VLOOKUP(K932,'Mapping DEF'!A:C,2,0),"")</f>
        <v>Equity Derivatives</v>
      </c>
      <c r="N932" t="str">
        <f>+_xlfn.IFNA(VLOOKUP(M932,'Mapping DEF'!B:C,2,FALSE),"")</f>
        <v>Equity</v>
      </c>
      <c r="O932" t="s">
        <v>2770</v>
      </c>
    </row>
    <row r="933" spans="1:15" x14ac:dyDescent="0.25">
      <c r="A933" s="4" t="s">
        <v>2285</v>
      </c>
      <c r="B933" s="4" t="s">
        <v>2286</v>
      </c>
      <c r="C933" s="5">
        <v>2531</v>
      </c>
      <c r="D933" s="6" t="s">
        <v>2287</v>
      </c>
      <c r="E933" t="s">
        <v>1355</v>
      </c>
      <c r="F933" t="s">
        <v>2172</v>
      </c>
      <c r="G933" t="str">
        <f>+VLOOKUP(F933,[1]Explore!$B:$I,8,0)</f>
        <v>Equity Implied Volatility</v>
      </c>
      <c r="H933" t="s">
        <v>217</v>
      </c>
      <c r="I933" t="e">
        <f>+VLOOKUP(H933,[1]Explore!$A:$I,9,0)</f>
        <v>#N/A</v>
      </c>
      <c r="J933" t="str">
        <f t="shared" si="28"/>
        <v>OK</v>
      </c>
      <c r="K933" t="str">
        <f t="shared" si="29"/>
        <v>Equity Implied Volatility</v>
      </c>
      <c r="L933" t="s">
        <v>27</v>
      </c>
      <c r="M933" t="str">
        <f>_xlfn.IFNA(VLOOKUP(K933,'Mapping DEF'!A:C,2,0),"")</f>
        <v>Equity Derivatives</v>
      </c>
      <c r="N933" t="str">
        <f>+_xlfn.IFNA(VLOOKUP(M933,'Mapping DEF'!B:C,2,FALSE),"")</f>
        <v>Equity</v>
      </c>
      <c r="O933" t="s">
        <v>2821</v>
      </c>
    </row>
    <row r="934" spans="1:15" x14ac:dyDescent="0.25">
      <c r="A934" s="4" t="s">
        <v>2288</v>
      </c>
      <c r="B934" s="4" t="s">
        <v>2289</v>
      </c>
      <c r="C934" s="5">
        <v>2532</v>
      </c>
      <c r="D934" s="6" t="s">
        <v>2290</v>
      </c>
      <c r="E934" t="s">
        <v>434</v>
      </c>
      <c r="F934" t="s">
        <v>13</v>
      </c>
      <c r="G934" t="str">
        <f>+VLOOKUP(F934,[1]Explore!$B:$I,8,0)</f>
        <v>Govt USD</v>
      </c>
      <c r="H934" t="s">
        <v>14</v>
      </c>
      <c r="I934" t="str">
        <f>+VLOOKUP(H934,[1]Explore!$A:$I,9,0)</f>
        <v>Govt USD</v>
      </c>
      <c r="J934" t="str">
        <f t="shared" si="28"/>
        <v>OK</v>
      </c>
      <c r="K934" t="str">
        <f t="shared" si="29"/>
        <v>Govt USD</v>
      </c>
      <c r="L934" t="s">
        <v>2143</v>
      </c>
      <c r="M934" t="str">
        <f>_xlfn.IFNA(VLOOKUP(K934,'Mapping DEF'!A:C,2,0),"")</f>
        <v>Curve (Local)</v>
      </c>
      <c r="N934" t="str">
        <f>+_xlfn.IFNA(VLOOKUP(M934,'Mapping DEF'!B:C,2,FALSE),"")</f>
        <v>Term Structure</v>
      </c>
      <c r="O934" t="s">
        <v>2797</v>
      </c>
    </row>
    <row r="935" spans="1:15" x14ac:dyDescent="0.25">
      <c r="A935" s="4" t="s">
        <v>2288</v>
      </c>
      <c r="B935" s="4" t="s">
        <v>2289</v>
      </c>
      <c r="C935" s="5">
        <v>2532</v>
      </c>
      <c r="D935" s="6" t="s">
        <v>2290</v>
      </c>
      <c r="E935" t="s">
        <v>1356</v>
      </c>
      <c r="F935" t="s">
        <v>19</v>
      </c>
      <c r="G935" t="str">
        <f>+VLOOKUP(F935,[1]Explore!$B:$I,8,0)</f>
        <v>Govt USD</v>
      </c>
      <c r="H935" t="s">
        <v>20</v>
      </c>
      <c r="I935" t="str">
        <f>+VLOOKUP(H935,[1]Explore!$A:$I,9,0)</f>
        <v>Govt USD</v>
      </c>
      <c r="J935" t="str">
        <f t="shared" si="28"/>
        <v>OK</v>
      </c>
      <c r="K935" t="str">
        <f t="shared" si="29"/>
        <v>Govt USD</v>
      </c>
      <c r="L935" t="s">
        <v>2143</v>
      </c>
      <c r="M935" t="str">
        <f>_xlfn.IFNA(VLOOKUP(K935,'Mapping DEF'!A:C,2,0),"")</f>
        <v>Curve (Local)</v>
      </c>
      <c r="N935" t="str">
        <f>+_xlfn.IFNA(VLOOKUP(M935,'Mapping DEF'!B:C,2,FALSE),"")</f>
        <v>Term Structure</v>
      </c>
      <c r="O935" t="s">
        <v>2813</v>
      </c>
    </row>
    <row r="936" spans="1:15" x14ac:dyDescent="0.25">
      <c r="A936" s="4" t="s">
        <v>2288</v>
      </c>
      <c r="B936" s="4" t="s">
        <v>2289</v>
      </c>
      <c r="C936" s="5">
        <v>2532</v>
      </c>
      <c r="D936" s="6" t="s">
        <v>2290</v>
      </c>
      <c r="E936" t="s">
        <v>1357</v>
      </c>
      <c r="F936" t="s">
        <v>258</v>
      </c>
      <c r="G936" t="str">
        <f>+VLOOKUP(F936,[1]Explore!$B:$I,8,0)</f>
        <v>USD Inflation</v>
      </c>
      <c r="H936" t="s">
        <v>259</v>
      </c>
      <c r="I936" t="str">
        <f>+VLOOKUP(H936,[1]Explore!$A:$I,9,0)</f>
        <v>USD Inflation</v>
      </c>
      <c r="J936" t="str">
        <f t="shared" si="28"/>
        <v>OK</v>
      </c>
      <c r="K936" t="str">
        <f t="shared" si="29"/>
        <v>USD Inflation</v>
      </c>
      <c r="L936" t="s">
        <v>2143</v>
      </c>
      <c r="M936" t="str">
        <f>_xlfn.IFNA(VLOOKUP(K936,'Mapping DEF'!A:C,2,0),"")</f>
        <v>Inflation</v>
      </c>
      <c r="N936" t="str">
        <f>+_xlfn.IFNA(VLOOKUP(M936,'Mapping DEF'!B:C,2,FALSE),"")</f>
        <v>Other</v>
      </c>
      <c r="O936" t="s">
        <v>2769</v>
      </c>
    </row>
    <row r="937" spans="1:15" x14ac:dyDescent="0.25">
      <c r="A937" s="4" t="s">
        <v>2288</v>
      </c>
      <c r="B937" s="4" t="s">
        <v>2289</v>
      </c>
      <c r="C937" s="5">
        <v>2532</v>
      </c>
      <c r="D937" s="6" t="s">
        <v>2290</v>
      </c>
      <c r="E937" t="s">
        <v>1358</v>
      </c>
      <c r="F937" t="s">
        <v>731</v>
      </c>
      <c r="G937" t="str">
        <f>+VLOOKUP(F937,[1]Explore!$B:$I,8,0)</f>
        <v>Alternative - Commodity</v>
      </c>
      <c r="H937" t="s">
        <v>732</v>
      </c>
      <c r="I937" t="str">
        <f>+VLOOKUP(H937,[1]Explore!$A:$I,9,0)</f>
        <v>Alternative - Commodity</v>
      </c>
      <c r="J937" t="str">
        <f t="shared" si="28"/>
        <v>OK</v>
      </c>
      <c r="K937" t="str">
        <f t="shared" si="29"/>
        <v>Alternative - Commodity</v>
      </c>
      <c r="L937" t="s">
        <v>2139</v>
      </c>
      <c r="M937" t="str">
        <f>_xlfn.IFNA(VLOOKUP(K937,'Mapping DEF'!A:C,2,0),"")</f>
        <v>Alternative</v>
      </c>
      <c r="N937" t="str">
        <f>+_xlfn.IFNA(VLOOKUP(M937,'Mapping DEF'!B:C,2,FALSE),"")</f>
        <v>Other</v>
      </c>
      <c r="O937" t="s">
        <v>2801</v>
      </c>
    </row>
    <row r="938" spans="1:15" x14ac:dyDescent="0.25">
      <c r="A938" s="4" t="s">
        <v>2288</v>
      </c>
      <c r="B938" s="4" t="s">
        <v>2289</v>
      </c>
      <c r="C938" s="5">
        <v>2532</v>
      </c>
      <c r="D938" s="6" t="s">
        <v>2290</v>
      </c>
      <c r="E938" t="s">
        <v>1359</v>
      </c>
      <c r="F938" t="s">
        <v>271</v>
      </c>
      <c r="G938" t="str">
        <f>+VLOOKUP(F938,[1]Explore!$B:$I,8,0)</f>
        <v>Corporate IG USD - Other</v>
      </c>
      <c r="H938" t="s">
        <v>272</v>
      </c>
      <c r="I938" t="str">
        <f>+VLOOKUP(H938,[1]Explore!$A:$I,9,0)</f>
        <v>Corporate IG USD - Other</v>
      </c>
      <c r="J938" t="str">
        <f t="shared" si="28"/>
        <v>OK</v>
      </c>
      <c r="K938" t="str">
        <f t="shared" si="29"/>
        <v>Corporate IG USD - Other</v>
      </c>
      <c r="L938" t="s">
        <v>2650</v>
      </c>
      <c r="M938" t="str">
        <f>_xlfn.IFNA(VLOOKUP(K938,'Mapping DEF'!A:C,2,0),"")</f>
        <v>Spread</v>
      </c>
      <c r="N938" t="str">
        <f>+_xlfn.IFNA(VLOOKUP(M938,'Mapping DEF'!B:C,2,FALSE),"")</f>
        <v>Spread</v>
      </c>
      <c r="O938" t="s">
        <v>2853</v>
      </c>
    </row>
    <row r="939" spans="1:15" x14ac:dyDescent="0.25">
      <c r="A939" s="4" t="s">
        <v>2288</v>
      </c>
      <c r="B939" s="4" t="s">
        <v>2289</v>
      </c>
      <c r="C939" s="5">
        <v>2532</v>
      </c>
      <c r="D939" s="6" t="s">
        <v>2290</v>
      </c>
      <c r="E939" t="s">
        <v>317</v>
      </c>
      <c r="F939" t="s">
        <v>206</v>
      </c>
      <c r="G939" t="e">
        <f>+VLOOKUP(F939,[1]Explore!$B:$I,8,0)</f>
        <v>#N/A</v>
      </c>
      <c r="H939" t="s">
        <v>206</v>
      </c>
      <c r="I939" t="e">
        <f>+VLOOKUP(H939,[1]Explore!$A:$I,9,0)</f>
        <v>#N/A</v>
      </c>
      <c r="J939" t="str">
        <f t="shared" si="28"/>
        <v>BOTH #N/A</v>
      </c>
      <c r="K939" t="str">
        <f t="shared" si="29"/>
        <v>Dollar Index</v>
      </c>
      <c r="L939" t="s">
        <v>2930</v>
      </c>
      <c r="M939" t="str">
        <f>_xlfn.IFNA(VLOOKUP(K939,'Mapping DEF'!A:C,2,0),"")</f>
        <v>Index Level</v>
      </c>
      <c r="N939" t="str">
        <f>+_xlfn.IFNA(VLOOKUP(M939,'Mapping DEF'!B:C,2,FALSE),"")</f>
        <v>Other</v>
      </c>
      <c r="O939" t="s">
        <v>2787</v>
      </c>
    </row>
    <row r="940" spans="1:15" x14ac:dyDescent="0.25">
      <c r="A940" s="4" t="s">
        <v>2288</v>
      </c>
      <c r="B940" s="4" t="s">
        <v>2289</v>
      </c>
      <c r="C940" s="5">
        <v>2532</v>
      </c>
      <c r="D940" s="6" t="s">
        <v>2290</v>
      </c>
      <c r="E940" t="s">
        <v>1360</v>
      </c>
      <c r="F940" t="s">
        <v>2156</v>
      </c>
      <c r="G940" t="str">
        <f>+VLOOKUP(F940,[1]Explore!$B:$I,8,0)</f>
        <v>Equity Implied Volatility</v>
      </c>
      <c r="H940" t="s">
        <v>141</v>
      </c>
      <c r="I940" t="str">
        <f>+VLOOKUP(H940,[1]Explore!$A:$I,9,0)</f>
        <v>Equity Implied Volatility</v>
      </c>
      <c r="J940" t="str">
        <f t="shared" si="28"/>
        <v>OK</v>
      </c>
      <c r="K940" t="str">
        <f t="shared" si="29"/>
        <v>Equity Implied Volatility</v>
      </c>
      <c r="L940" t="s">
        <v>27</v>
      </c>
      <c r="M940" t="str">
        <f>_xlfn.IFNA(VLOOKUP(K940,'Mapping DEF'!A:C,2,0),"")</f>
        <v>Equity Derivatives</v>
      </c>
      <c r="N940" t="str">
        <f>+_xlfn.IFNA(VLOOKUP(M940,'Mapping DEF'!B:C,2,FALSE),"")</f>
        <v>Equity</v>
      </c>
      <c r="O940" t="s">
        <v>2770</v>
      </c>
    </row>
    <row r="941" spans="1:15" x14ac:dyDescent="0.25">
      <c r="A941" s="4" t="s">
        <v>2288</v>
      </c>
      <c r="B941" s="4" t="s">
        <v>2289</v>
      </c>
      <c r="C941" s="5">
        <v>2532</v>
      </c>
      <c r="D941" s="6" t="s">
        <v>2290</v>
      </c>
      <c r="E941" t="s">
        <v>654</v>
      </c>
      <c r="F941" t="s">
        <v>191</v>
      </c>
      <c r="G941" t="e">
        <f>+VLOOKUP(F941,[1]Explore!$B:$I,8,0)</f>
        <v>#N/A</v>
      </c>
      <c r="H941" t="s">
        <v>192</v>
      </c>
      <c r="I941" t="e">
        <f>+VLOOKUP(H941,[1]Explore!$A:$I,9,0)</f>
        <v>#N/A</v>
      </c>
      <c r="J941" t="str">
        <f t="shared" si="28"/>
        <v>BOTH #N/A</v>
      </c>
      <c r="K941" t="str">
        <f t="shared" si="29"/>
        <v xml:space="preserve">Time </v>
      </c>
      <c r="L941" t="s">
        <v>2138</v>
      </c>
      <c r="M941" t="str">
        <f>_xlfn.IFNA(VLOOKUP(K941,'Mapping DEF'!A:C,2,0),"")</f>
        <v>Time</v>
      </c>
      <c r="N941" t="str">
        <f>+_xlfn.IFNA(VLOOKUP(M941,'Mapping DEF'!B:C,2,FALSE),"")</f>
        <v>Other</v>
      </c>
      <c r="O941" t="s">
        <v>2762</v>
      </c>
    </row>
    <row r="942" spans="1:15" x14ac:dyDescent="0.25">
      <c r="A942" s="4" t="s">
        <v>2288</v>
      </c>
      <c r="B942" s="4" t="s">
        <v>2289</v>
      </c>
      <c r="C942" s="5">
        <v>2532</v>
      </c>
      <c r="D942" s="6" t="s">
        <v>2290</v>
      </c>
      <c r="E942" t="s">
        <v>1361</v>
      </c>
      <c r="F942" t="s">
        <v>2173</v>
      </c>
      <c r="G942" t="str">
        <f>+VLOOKUP(F942,[1]Explore!$B:$I,8,0)</f>
        <v>Equity Implied Volatility</v>
      </c>
      <c r="H942" t="s">
        <v>490</v>
      </c>
      <c r="I942" t="e">
        <f>+VLOOKUP(H942,[1]Explore!$A:$I,9,0)</f>
        <v>#N/A</v>
      </c>
      <c r="J942" t="str">
        <f t="shared" si="28"/>
        <v>OK</v>
      </c>
      <c r="K942" t="str">
        <f t="shared" si="29"/>
        <v>Equity Implied Volatility</v>
      </c>
      <c r="L942" t="s">
        <v>27</v>
      </c>
      <c r="M942" t="str">
        <f>_xlfn.IFNA(VLOOKUP(K942,'Mapping DEF'!A:C,2,0),"")</f>
        <v>Equity Derivatives</v>
      </c>
      <c r="N942" t="str">
        <f>+_xlfn.IFNA(VLOOKUP(M942,'Mapping DEF'!B:C,2,FALSE),"")</f>
        <v>Equity</v>
      </c>
      <c r="O942" t="s">
        <v>2770</v>
      </c>
    </row>
    <row r="943" spans="1:15" x14ac:dyDescent="0.25">
      <c r="A943" s="4" t="s">
        <v>2288</v>
      </c>
      <c r="B943" s="4" t="s">
        <v>2289</v>
      </c>
      <c r="C943" s="5">
        <v>2532</v>
      </c>
      <c r="D943" s="6" t="s">
        <v>2290</v>
      </c>
      <c r="E943" t="s">
        <v>1362</v>
      </c>
      <c r="F943" t="s">
        <v>2168</v>
      </c>
      <c r="G943" t="str">
        <f>+VLOOKUP(F943,[1]Explore!$B:$I,8,0)</f>
        <v>Equity Implied Volatility</v>
      </c>
      <c r="H943" t="s">
        <v>1206</v>
      </c>
      <c r="I943" t="e">
        <f>+VLOOKUP(H943,[1]Explore!$A:$I,9,0)</f>
        <v>#N/A</v>
      </c>
      <c r="J943" t="str">
        <f t="shared" si="28"/>
        <v>OK</v>
      </c>
      <c r="K943" t="str">
        <f t="shared" si="29"/>
        <v>Equity Implied Volatility</v>
      </c>
      <c r="L943" t="s">
        <v>27</v>
      </c>
      <c r="M943" t="str">
        <f>_xlfn.IFNA(VLOOKUP(K943,'Mapping DEF'!A:C,2,0),"")</f>
        <v>Equity Derivatives</v>
      </c>
      <c r="N943" t="str">
        <f>+_xlfn.IFNA(VLOOKUP(M943,'Mapping DEF'!B:C,2,FALSE),"")</f>
        <v>Equity</v>
      </c>
      <c r="O943" t="s">
        <v>2759</v>
      </c>
    </row>
    <row r="944" spans="1:15" x14ac:dyDescent="0.25">
      <c r="A944" s="4" t="s">
        <v>2288</v>
      </c>
      <c r="B944" s="4" t="s">
        <v>2289</v>
      </c>
      <c r="C944" s="5">
        <v>2532</v>
      </c>
      <c r="D944" s="6" t="s">
        <v>2290</v>
      </c>
      <c r="E944" t="s">
        <v>1363</v>
      </c>
      <c r="F944" t="s">
        <v>2159</v>
      </c>
      <c r="G944" t="str">
        <f>+VLOOKUP(F944,[1]Explore!$B:$I,8,0)</f>
        <v>Other - Index</v>
      </c>
      <c r="H944" t="s">
        <v>278</v>
      </c>
      <c r="I944" t="e">
        <f>+VLOOKUP(H944,[1]Explore!$A:$I,9,0)</f>
        <v>#N/A</v>
      </c>
      <c r="J944" t="str">
        <f t="shared" si="28"/>
        <v>OK</v>
      </c>
      <c r="K944" t="str">
        <f t="shared" si="29"/>
        <v>Other - Index</v>
      </c>
      <c r="L944" t="s">
        <v>27</v>
      </c>
      <c r="M944" t="str">
        <f>_xlfn.IFNA(VLOOKUP(K944,'Mapping DEF'!A:C,2,0),"")</f>
        <v>Other</v>
      </c>
      <c r="N944" t="str">
        <f>+_xlfn.IFNA(VLOOKUP(M944,'Mapping DEF'!B:C,2,FALSE),"")</f>
        <v>Other</v>
      </c>
      <c r="O944" t="s">
        <v>2760</v>
      </c>
    </row>
    <row r="945" spans="1:15" x14ac:dyDescent="0.25">
      <c r="A945" s="4" t="s">
        <v>2291</v>
      </c>
      <c r="B945" s="4" t="s">
        <v>2292</v>
      </c>
      <c r="C945" s="5">
        <v>2533</v>
      </c>
      <c r="D945" s="6" t="s">
        <v>2293</v>
      </c>
      <c r="E945" t="s">
        <v>1201</v>
      </c>
      <c r="F945" t="s">
        <v>258</v>
      </c>
      <c r="G945" t="str">
        <f>+VLOOKUP(F945,[1]Explore!$B:$I,8,0)</f>
        <v>USD Inflation</v>
      </c>
      <c r="H945" t="s">
        <v>259</v>
      </c>
      <c r="I945" t="str">
        <f>+VLOOKUP(H945,[1]Explore!$A:$I,9,0)</f>
        <v>USD Inflation</v>
      </c>
      <c r="J945" t="str">
        <f t="shared" si="28"/>
        <v>OK</v>
      </c>
      <c r="K945" t="str">
        <f t="shared" si="29"/>
        <v>USD Inflation</v>
      </c>
      <c r="L945" t="s">
        <v>2143</v>
      </c>
      <c r="M945" t="str">
        <f>_xlfn.IFNA(VLOOKUP(K945,'Mapping DEF'!A:C,2,0),"")</f>
        <v>Inflation</v>
      </c>
      <c r="N945" t="str">
        <f>+_xlfn.IFNA(VLOOKUP(M945,'Mapping DEF'!B:C,2,FALSE),"")</f>
        <v>Other</v>
      </c>
      <c r="O945" t="s">
        <v>2781</v>
      </c>
    </row>
    <row r="946" spans="1:15" x14ac:dyDescent="0.25">
      <c r="A946" s="4" t="s">
        <v>2291</v>
      </c>
      <c r="B946" s="4" t="s">
        <v>2292</v>
      </c>
      <c r="C946" s="5">
        <v>2533</v>
      </c>
      <c r="D946" s="6" t="s">
        <v>2293</v>
      </c>
      <c r="E946" t="s">
        <v>1140</v>
      </c>
      <c r="F946" t="s">
        <v>1141</v>
      </c>
      <c r="G946" t="str">
        <f>+VLOOKUP(F946,[1]Explore!$B:$I,8,0)</f>
        <v>Alternative - Commodity</v>
      </c>
      <c r="H946" t="s">
        <v>1142</v>
      </c>
      <c r="I946" t="str">
        <f>+VLOOKUP(H946,[1]Explore!$A:$I,9,0)</f>
        <v>Alternative - Commodity</v>
      </c>
      <c r="J946" t="str">
        <f t="shared" si="28"/>
        <v>OK</v>
      </c>
      <c r="K946" t="str">
        <f t="shared" si="29"/>
        <v>Alternative - Commodity</v>
      </c>
      <c r="L946" t="s">
        <v>2139</v>
      </c>
      <c r="M946" t="str">
        <f>_xlfn.IFNA(VLOOKUP(K946,'Mapping DEF'!A:C,2,0),"")</f>
        <v>Alternative</v>
      </c>
      <c r="N946" t="str">
        <f>+_xlfn.IFNA(VLOOKUP(M946,'Mapping DEF'!B:C,2,FALSE),"")</f>
        <v>Other</v>
      </c>
      <c r="O946" t="s">
        <v>2792</v>
      </c>
    </row>
    <row r="947" spans="1:15" x14ac:dyDescent="0.25">
      <c r="A947" s="4" t="s">
        <v>2291</v>
      </c>
      <c r="B947" s="4" t="s">
        <v>2292</v>
      </c>
      <c r="C947" s="5">
        <v>2533</v>
      </c>
      <c r="D947" s="6" t="s">
        <v>2293</v>
      </c>
      <c r="E947" t="s">
        <v>1340</v>
      </c>
      <c r="F947" t="s">
        <v>731</v>
      </c>
      <c r="G947" t="str">
        <f>+VLOOKUP(F947,[1]Explore!$B:$I,8,0)</f>
        <v>Alternative - Commodity</v>
      </c>
      <c r="H947" t="s">
        <v>732</v>
      </c>
      <c r="I947" t="str">
        <f>+VLOOKUP(H947,[1]Explore!$A:$I,9,0)</f>
        <v>Alternative - Commodity</v>
      </c>
      <c r="J947" t="str">
        <f t="shared" si="28"/>
        <v>OK</v>
      </c>
      <c r="K947" t="str">
        <f t="shared" si="29"/>
        <v>Alternative - Commodity</v>
      </c>
      <c r="L947" t="s">
        <v>2139</v>
      </c>
      <c r="M947" t="str">
        <f>_xlfn.IFNA(VLOOKUP(K947,'Mapping DEF'!A:C,2,0),"")</f>
        <v>Alternative</v>
      </c>
      <c r="N947" t="str">
        <f>+_xlfn.IFNA(VLOOKUP(M947,'Mapping DEF'!B:C,2,FALSE),"")</f>
        <v>Other</v>
      </c>
      <c r="O947" t="s">
        <v>2794</v>
      </c>
    </row>
    <row r="948" spans="1:15" x14ac:dyDescent="0.25">
      <c r="A948" s="4" t="s">
        <v>2291</v>
      </c>
      <c r="B948" s="4" t="s">
        <v>2292</v>
      </c>
      <c r="C948" s="5">
        <v>2533</v>
      </c>
      <c r="D948" s="6" t="s">
        <v>2293</v>
      </c>
      <c r="E948" t="s">
        <v>1364</v>
      </c>
      <c r="F948" t="s">
        <v>1365</v>
      </c>
      <c r="G948" t="str">
        <f>+VLOOKUP(F948,[1]Explore!$B:$I,8,0)</f>
        <v>Govt Developed Other (AU, GB, JP, ...)</v>
      </c>
      <c r="H948" t="s">
        <v>1366</v>
      </c>
      <c r="I948" t="str">
        <f>+VLOOKUP(H948,[1]Explore!$A:$I,9,0)</f>
        <v>Govt Developed Other (AU, GB, JP, ...)</v>
      </c>
      <c r="J948" t="str">
        <f t="shared" si="28"/>
        <v>OK</v>
      </c>
      <c r="K948" t="str">
        <f t="shared" si="29"/>
        <v>Govt Developed Other (AU, GB, JP, ...)</v>
      </c>
      <c r="L948" t="s">
        <v>2143</v>
      </c>
      <c r="M948" t="str">
        <f>_xlfn.IFNA(VLOOKUP(K948,'Mapping DEF'!A:C,2,0),"")</f>
        <v>Curve (Local)</v>
      </c>
      <c r="N948" t="str">
        <f>+_xlfn.IFNA(VLOOKUP(M948,'Mapping DEF'!B:C,2,FALSE),"")</f>
        <v>Term Structure</v>
      </c>
      <c r="O948" t="s">
        <v>2778</v>
      </c>
    </row>
    <row r="949" spans="1:15" x14ac:dyDescent="0.25">
      <c r="A949" s="4" t="s">
        <v>2291</v>
      </c>
      <c r="B949" s="4" t="s">
        <v>2292</v>
      </c>
      <c r="C949" s="5">
        <v>2533</v>
      </c>
      <c r="D949" s="6" t="s">
        <v>2293</v>
      </c>
      <c r="E949" t="s">
        <v>1367</v>
      </c>
      <c r="F949" t="s">
        <v>2942</v>
      </c>
      <c r="G949" t="str">
        <f>+VLOOKUP(F949,[1]Explore!$B:$I,8,0)</f>
        <v>EUR</v>
      </c>
      <c r="H949" t="s">
        <v>173</v>
      </c>
      <c r="I949" t="str">
        <f>+VLOOKUP(H949,[1]Explore!$A:$I,9,0)</f>
        <v>EUR</v>
      </c>
      <c r="J949" t="str">
        <f t="shared" si="28"/>
        <v>OK</v>
      </c>
      <c r="K949" t="str">
        <f t="shared" si="29"/>
        <v>EUR</v>
      </c>
      <c r="L949" t="s">
        <v>2140</v>
      </c>
      <c r="M949" t="str">
        <f>_xlfn.IFNA(VLOOKUP(K949,'Mapping DEF'!A:C,2,0),"")</f>
        <v>FX</v>
      </c>
      <c r="N949" t="str">
        <f>+_xlfn.IFNA(VLOOKUP(M949,'Mapping DEF'!B:C,2,FALSE),"")</f>
        <v>FX</v>
      </c>
      <c r="O949" t="s">
        <v>2759</v>
      </c>
    </row>
    <row r="950" spans="1:15" x14ac:dyDescent="0.25">
      <c r="A950" s="4" t="s">
        <v>2291</v>
      </c>
      <c r="B950" s="4" t="s">
        <v>2292</v>
      </c>
      <c r="C950" s="5">
        <v>2533</v>
      </c>
      <c r="D950" s="6" t="s">
        <v>2293</v>
      </c>
      <c r="E950" t="s">
        <v>1368</v>
      </c>
      <c r="F950" t="s">
        <v>966</v>
      </c>
      <c r="G950" t="str">
        <f>+VLOOKUP(F950,[1]Explore!$B:$I,8,0)</f>
        <v>EUR Inflation</v>
      </c>
      <c r="H950" t="s">
        <v>967</v>
      </c>
      <c r="I950" t="str">
        <f>+VLOOKUP(H950,[1]Explore!$A:$I,9,0)</f>
        <v>EUR Inflation</v>
      </c>
      <c r="J950" t="str">
        <f t="shared" si="28"/>
        <v>OK</v>
      </c>
      <c r="K950" t="str">
        <f t="shared" si="29"/>
        <v>EUR Inflation</v>
      </c>
      <c r="L950" t="s">
        <v>2143</v>
      </c>
      <c r="M950" t="str">
        <f>_xlfn.IFNA(VLOOKUP(K950,'Mapping DEF'!A:C,2,0),"")</f>
        <v>Inflation</v>
      </c>
      <c r="N950" t="str">
        <f>+_xlfn.IFNA(VLOOKUP(M950,'Mapping DEF'!B:C,2,FALSE),"")</f>
        <v>Other</v>
      </c>
      <c r="O950" t="s">
        <v>2769</v>
      </c>
    </row>
    <row r="951" spans="1:15" x14ac:dyDescent="0.25">
      <c r="A951" s="4" t="s">
        <v>2291</v>
      </c>
      <c r="B951" s="4" t="s">
        <v>2292</v>
      </c>
      <c r="C951" s="5">
        <v>2533</v>
      </c>
      <c r="D951" s="6" t="s">
        <v>2293</v>
      </c>
      <c r="E951" t="s">
        <v>1069</v>
      </c>
      <c r="F951" t="s">
        <v>627</v>
      </c>
      <c r="G951" t="str">
        <f>+VLOOKUP(F951,[1]Explore!$B:$I,8,0)</f>
        <v>Corporate IG EUR - Other</v>
      </c>
      <c r="H951" t="s">
        <v>628</v>
      </c>
      <c r="I951" t="str">
        <f>+VLOOKUP(H951,[1]Explore!$A:$I,9,0)</f>
        <v>Corporate IG EUR - Other</v>
      </c>
      <c r="J951" t="str">
        <f t="shared" si="28"/>
        <v>OK</v>
      </c>
      <c r="K951" t="str">
        <f t="shared" si="29"/>
        <v>Corporate IG EUR - Other</v>
      </c>
      <c r="L951" t="s">
        <v>188</v>
      </c>
      <c r="M951" t="str">
        <f>_xlfn.IFNA(VLOOKUP(K951,'Mapping DEF'!A:C,2,0),"")</f>
        <v>Spread</v>
      </c>
      <c r="N951" t="str">
        <f>+_xlfn.IFNA(VLOOKUP(M951,'Mapping DEF'!B:C,2,FALSE),"")</f>
        <v>Spread</v>
      </c>
      <c r="O951" t="s">
        <v>2786</v>
      </c>
    </row>
    <row r="952" spans="1:15" x14ac:dyDescent="0.25">
      <c r="A952" s="4" t="s">
        <v>2291</v>
      </c>
      <c r="B952" s="4" t="s">
        <v>2292</v>
      </c>
      <c r="C952" s="5">
        <v>2533</v>
      </c>
      <c r="D952" s="6" t="s">
        <v>2293</v>
      </c>
      <c r="E952" t="s">
        <v>654</v>
      </c>
      <c r="F952" t="s">
        <v>191</v>
      </c>
      <c r="G952" t="e">
        <f>+VLOOKUP(F952,[1]Explore!$B:$I,8,0)</f>
        <v>#N/A</v>
      </c>
      <c r="H952" t="s">
        <v>192</v>
      </c>
      <c r="I952" t="e">
        <f>+VLOOKUP(H952,[1]Explore!$A:$I,9,0)</f>
        <v>#N/A</v>
      </c>
      <c r="J952" t="str">
        <f t="shared" si="28"/>
        <v>BOTH #N/A</v>
      </c>
      <c r="K952" t="str">
        <f t="shared" si="29"/>
        <v xml:space="preserve">Time </v>
      </c>
      <c r="L952" t="s">
        <v>2138</v>
      </c>
      <c r="M952" t="str">
        <f>_xlfn.IFNA(VLOOKUP(K952,'Mapping DEF'!A:C,2,0),"")</f>
        <v>Time</v>
      </c>
      <c r="N952" t="str">
        <f>+_xlfn.IFNA(VLOOKUP(M952,'Mapping DEF'!B:C,2,FALSE),"")</f>
        <v>Other</v>
      </c>
      <c r="O952" t="s">
        <v>2762</v>
      </c>
    </row>
    <row r="953" spans="1:15" x14ac:dyDescent="0.25">
      <c r="A953" s="4" t="s">
        <v>2291</v>
      </c>
      <c r="B953" s="4" t="s">
        <v>2292</v>
      </c>
      <c r="C953" s="5">
        <v>2533</v>
      </c>
      <c r="D953" s="6" t="s">
        <v>2293</v>
      </c>
      <c r="E953" t="s">
        <v>1369</v>
      </c>
      <c r="F953" t="s">
        <v>826</v>
      </c>
      <c r="G953" t="str">
        <f>+VLOOKUP(F953,[1]Explore!$B:$I,8,0)</f>
        <v>Equity Implied Volatility</v>
      </c>
      <c r="H953" t="s">
        <v>433</v>
      </c>
      <c r="I953" t="e">
        <f>+VLOOKUP(H953,[1]Explore!$A:$I,9,0)</f>
        <v>#N/A</v>
      </c>
      <c r="J953" t="str">
        <f t="shared" si="28"/>
        <v>OK</v>
      </c>
      <c r="K953" t="str">
        <f t="shared" si="29"/>
        <v>Equity Implied Volatility</v>
      </c>
      <c r="L953" t="s">
        <v>27</v>
      </c>
      <c r="M953" t="str">
        <f>_xlfn.IFNA(VLOOKUP(K953,'Mapping DEF'!A:C,2,0),"")</f>
        <v>Equity Derivatives</v>
      </c>
      <c r="N953" t="str">
        <f>+_xlfn.IFNA(VLOOKUP(M953,'Mapping DEF'!B:C,2,FALSE),"")</f>
        <v>Equity</v>
      </c>
      <c r="O953" t="s">
        <v>2770</v>
      </c>
    </row>
    <row r="954" spans="1:15" x14ac:dyDescent="0.25">
      <c r="A954" s="4" t="s">
        <v>2294</v>
      </c>
      <c r="B954" s="4" t="s">
        <v>2295</v>
      </c>
      <c r="C954" s="5">
        <v>2487</v>
      </c>
      <c r="D954" s="6" t="s">
        <v>2296</v>
      </c>
      <c r="E954" t="s">
        <v>1200</v>
      </c>
      <c r="F954" t="s">
        <v>19</v>
      </c>
      <c r="G954" t="str">
        <f>+VLOOKUP(F954,[1]Explore!$B:$I,8,0)</f>
        <v>Govt USD</v>
      </c>
      <c r="H954" t="s">
        <v>20</v>
      </c>
      <c r="I954" t="str">
        <f>+VLOOKUP(H954,[1]Explore!$A:$I,9,0)</f>
        <v>Govt USD</v>
      </c>
      <c r="J954" t="str">
        <f t="shared" si="28"/>
        <v>OK</v>
      </c>
      <c r="K954" t="str">
        <f t="shared" si="29"/>
        <v>Govt USD</v>
      </c>
      <c r="L954" t="s">
        <v>2143</v>
      </c>
      <c r="M954" t="str">
        <f>_xlfn.IFNA(VLOOKUP(K954,'Mapping DEF'!A:C,2,0),"")</f>
        <v>Curve (Local)</v>
      </c>
      <c r="N954" t="str">
        <f>+_xlfn.IFNA(VLOOKUP(M954,'Mapping DEF'!B:C,2,FALSE),"")</f>
        <v>Term Structure</v>
      </c>
      <c r="O954" t="s">
        <v>2788</v>
      </c>
    </row>
    <row r="955" spans="1:15" x14ac:dyDescent="0.25">
      <c r="A955" s="4" t="s">
        <v>2294</v>
      </c>
      <c r="B955" s="4" t="s">
        <v>2295</v>
      </c>
      <c r="C955" s="5">
        <v>2487</v>
      </c>
      <c r="D955" s="6" t="s">
        <v>2296</v>
      </c>
      <c r="E955" t="s">
        <v>1370</v>
      </c>
      <c r="F955" t="s">
        <v>731</v>
      </c>
      <c r="G955" t="str">
        <f>+VLOOKUP(F955,[1]Explore!$B:$I,8,0)</f>
        <v>Alternative - Commodity</v>
      </c>
      <c r="H955" t="s">
        <v>732</v>
      </c>
      <c r="I955" t="str">
        <f>+VLOOKUP(H955,[1]Explore!$A:$I,9,0)</f>
        <v>Alternative - Commodity</v>
      </c>
      <c r="J955" t="str">
        <f t="shared" si="28"/>
        <v>OK</v>
      </c>
      <c r="K955" t="str">
        <f t="shared" si="29"/>
        <v>Alternative - Commodity</v>
      </c>
      <c r="L955" t="s">
        <v>2139</v>
      </c>
      <c r="M955" t="str">
        <f>_xlfn.IFNA(VLOOKUP(K955,'Mapping DEF'!A:C,2,0),"")</f>
        <v>Alternative</v>
      </c>
      <c r="N955" t="str">
        <f>+_xlfn.IFNA(VLOOKUP(M955,'Mapping DEF'!B:C,2,FALSE),"")</f>
        <v>Other</v>
      </c>
      <c r="O955" t="s">
        <v>2842</v>
      </c>
    </row>
    <row r="956" spans="1:15" x14ac:dyDescent="0.25">
      <c r="A956" s="4" t="s">
        <v>2294</v>
      </c>
      <c r="B956" s="4" t="s">
        <v>2295</v>
      </c>
      <c r="C956" s="5">
        <v>2487</v>
      </c>
      <c r="D956" s="6" t="s">
        <v>2296</v>
      </c>
      <c r="E956" t="s">
        <v>1371</v>
      </c>
      <c r="F956" t="s">
        <v>369</v>
      </c>
      <c r="G956" t="e">
        <f>+VLOOKUP(F956,[1]Explore!$B:$I,8,0)</f>
        <v>#N/A</v>
      </c>
      <c r="H956" t="s">
        <v>370</v>
      </c>
      <c r="I956" t="str">
        <f>+VLOOKUP(H956,[1]Explore!$A:$I,9,0)</f>
        <v>Emerging Currency</v>
      </c>
      <c r="J956" t="str">
        <f t="shared" si="28"/>
        <v>OK</v>
      </c>
      <c r="K956" t="str">
        <f t="shared" si="29"/>
        <v>Emerging Currency</v>
      </c>
      <c r="L956" t="s">
        <v>2140</v>
      </c>
      <c r="M956" t="str">
        <f>_xlfn.IFNA(VLOOKUP(K956,'Mapping DEF'!A:C,2,0),"")</f>
        <v>FX</v>
      </c>
      <c r="N956" t="str">
        <f>+_xlfn.IFNA(VLOOKUP(M956,'Mapping DEF'!B:C,2,FALSE),"")</f>
        <v>FX</v>
      </c>
      <c r="O956" t="s">
        <v>2792</v>
      </c>
    </row>
    <row r="957" spans="1:15" x14ac:dyDescent="0.25">
      <c r="A957" s="4" t="s">
        <v>2294</v>
      </c>
      <c r="B957" s="4" t="s">
        <v>2295</v>
      </c>
      <c r="C957" s="5">
        <v>2487</v>
      </c>
      <c r="D957" s="6" t="s">
        <v>2296</v>
      </c>
      <c r="E957" t="s">
        <v>824</v>
      </c>
      <c r="F957" t="s">
        <v>2156</v>
      </c>
      <c r="G957" t="str">
        <f>+VLOOKUP(F957,[1]Explore!$B:$I,8,0)</f>
        <v>Equity Implied Volatility</v>
      </c>
      <c r="H957" t="s">
        <v>141</v>
      </c>
      <c r="I957" t="str">
        <f>+VLOOKUP(H957,[1]Explore!$A:$I,9,0)</f>
        <v>Equity Implied Volatility</v>
      </c>
      <c r="J957" t="str">
        <f t="shared" si="28"/>
        <v>OK</v>
      </c>
      <c r="K957" t="str">
        <f t="shared" si="29"/>
        <v>Equity Implied Volatility</v>
      </c>
      <c r="L957" t="s">
        <v>27</v>
      </c>
      <c r="M957" t="str">
        <f>_xlfn.IFNA(VLOOKUP(K957,'Mapping DEF'!A:C,2,0),"")</f>
        <v>Equity Derivatives</v>
      </c>
      <c r="N957" t="str">
        <f>+_xlfn.IFNA(VLOOKUP(M957,'Mapping DEF'!B:C,2,FALSE),"")</f>
        <v>Equity</v>
      </c>
      <c r="O957" t="s">
        <v>2821</v>
      </c>
    </row>
    <row r="958" spans="1:15" x14ac:dyDescent="0.25">
      <c r="A958" s="4" t="s">
        <v>2294</v>
      </c>
      <c r="B958" s="4" t="s">
        <v>2295</v>
      </c>
      <c r="C958" s="5">
        <v>2487</v>
      </c>
      <c r="D958" s="6" t="s">
        <v>2296</v>
      </c>
      <c r="E958" t="s">
        <v>908</v>
      </c>
      <c r="F958" t="s">
        <v>826</v>
      </c>
      <c r="G958" t="str">
        <f>+VLOOKUP(F958,[1]Explore!$B:$I,8,0)</f>
        <v>Equity Implied Volatility</v>
      </c>
      <c r="H958" t="s">
        <v>827</v>
      </c>
      <c r="I958" t="str">
        <f>+VLOOKUP(H958,[1]Explore!$A:$I,9,0)</f>
        <v>Equity Implied Volatility</v>
      </c>
      <c r="J958" t="str">
        <f t="shared" si="28"/>
        <v>OK</v>
      </c>
      <c r="K958" t="str">
        <f t="shared" si="29"/>
        <v>Equity Implied Volatility</v>
      </c>
      <c r="L958" t="s">
        <v>27</v>
      </c>
      <c r="M958" t="str">
        <f>_xlfn.IFNA(VLOOKUP(K958,'Mapping DEF'!A:C,2,0),"")</f>
        <v>Equity Derivatives</v>
      </c>
      <c r="N958" t="str">
        <f>+_xlfn.IFNA(VLOOKUP(M958,'Mapping DEF'!B:C,2,FALSE),"")</f>
        <v>Equity</v>
      </c>
      <c r="O958" t="s">
        <v>2776</v>
      </c>
    </row>
    <row r="959" spans="1:15" x14ac:dyDescent="0.25">
      <c r="A959" s="4" t="s">
        <v>2294</v>
      </c>
      <c r="B959" s="4" t="s">
        <v>2295</v>
      </c>
      <c r="C959" s="5">
        <v>2487</v>
      </c>
      <c r="D959" s="6" t="s">
        <v>2296</v>
      </c>
      <c r="E959" t="s">
        <v>1372</v>
      </c>
      <c r="F959" t="s">
        <v>2169</v>
      </c>
      <c r="G959" t="str">
        <f>+VLOOKUP(F959,[1]Explore!$B:$I,8,0)</f>
        <v>Other - Index</v>
      </c>
      <c r="H959" t="s">
        <v>1373</v>
      </c>
      <c r="I959" t="e">
        <f>+VLOOKUP(H959,[1]Explore!$A:$I,9,0)</f>
        <v>#N/A</v>
      </c>
      <c r="J959" t="str">
        <f t="shared" si="28"/>
        <v>OK</v>
      </c>
      <c r="K959" t="str">
        <f t="shared" si="29"/>
        <v>Other - Index</v>
      </c>
      <c r="L959" t="s">
        <v>27</v>
      </c>
      <c r="M959" t="str">
        <f>_xlfn.IFNA(VLOOKUP(K959,'Mapping DEF'!A:C,2,0),"")</f>
        <v>Other</v>
      </c>
      <c r="N959" t="str">
        <f>+_xlfn.IFNA(VLOOKUP(M959,'Mapping DEF'!B:C,2,FALSE),"")</f>
        <v>Other</v>
      </c>
      <c r="O959" t="s">
        <v>2771</v>
      </c>
    </row>
    <row r="960" spans="1:15" x14ac:dyDescent="0.25">
      <c r="A960" s="4" t="s">
        <v>2294</v>
      </c>
      <c r="B960" s="4" t="s">
        <v>2295</v>
      </c>
      <c r="C960" s="5">
        <v>2487</v>
      </c>
      <c r="D960" s="6" t="s">
        <v>2296</v>
      </c>
      <c r="E960" t="s">
        <v>1374</v>
      </c>
      <c r="F960" t="s">
        <v>2156</v>
      </c>
      <c r="G960" t="str">
        <f>+VLOOKUP(F960,[1]Explore!$B:$I,8,0)</f>
        <v>Equity Implied Volatility</v>
      </c>
      <c r="H960" t="s">
        <v>490</v>
      </c>
      <c r="I960" t="e">
        <f>+VLOOKUP(H960,[1]Explore!$A:$I,9,0)</f>
        <v>#N/A</v>
      </c>
      <c r="J960" t="str">
        <f t="shared" si="28"/>
        <v>OK</v>
      </c>
      <c r="K960" t="str">
        <f t="shared" si="29"/>
        <v>Equity Implied Volatility</v>
      </c>
      <c r="L960" t="s">
        <v>27</v>
      </c>
      <c r="M960" t="str">
        <f>_xlfn.IFNA(VLOOKUP(K960,'Mapping DEF'!A:C,2,0),"")</f>
        <v>Equity Derivatives</v>
      </c>
      <c r="N960" t="str">
        <f>+_xlfn.IFNA(VLOOKUP(M960,'Mapping DEF'!B:C,2,FALSE),"")</f>
        <v>Equity</v>
      </c>
      <c r="O960" t="s">
        <v>2794</v>
      </c>
    </row>
    <row r="961" spans="1:15" x14ac:dyDescent="0.25">
      <c r="A961" s="4" t="s">
        <v>2297</v>
      </c>
      <c r="B961" s="4" t="s">
        <v>2298</v>
      </c>
      <c r="C961" s="5">
        <v>2488</v>
      </c>
      <c r="D961" s="6" t="s">
        <v>2299</v>
      </c>
      <c r="E961" t="s">
        <v>434</v>
      </c>
      <c r="F961" t="s">
        <v>13</v>
      </c>
      <c r="G961" t="str">
        <f>+VLOOKUP(F961,[1]Explore!$B:$I,8,0)</f>
        <v>Govt USD</v>
      </c>
      <c r="H961" t="s">
        <v>14</v>
      </c>
      <c r="I961" t="str">
        <f>+VLOOKUP(H961,[1]Explore!$A:$I,9,0)</f>
        <v>Govt USD</v>
      </c>
      <c r="J961" t="str">
        <f t="shared" si="28"/>
        <v>OK</v>
      </c>
      <c r="K961" t="str">
        <f t="shared" si="29"/>
        <v>Govt USD</v>
      </c>
      <c r="L961" t="s">
        <v>2143</v>
      </c>
      <c r="M961" t="str">
        <f>_xlfn.IFNA(VLOOKUP(K961,'Mapping DEF'!A:C,2,0),"")</f>
        <v>Curve (Local)</v>
      </c>
      <c r="N961" t="str">
        <f>+_xlfn.IFNA(VLOOKUP(M961,'Mapping DEF'!B:C,2,FALSE),"")</f>
        <v>Term Structure</v>
      </c>
      <c r="O961" t="s">
        <v>2797</v>
      </c>
    </row>
    <row r="962" spans="1:15" x14ac:dyDescent="0.25">
      <c r="A962" s="4" t="s">
        <v>2297</v>
      </c>
      <c r="B962" s="4" t="s">
        <v>2298</v>
      </c>
      <c r="C962" s="5">
        <v>2488</v>
      </c>
      <c r="D962" s="6" t="s">
        <v>2299</v>
      </c>
      <c r="E962" t="s">
        <v>1377</v>
      </c>
      <c r="F962" t="s">
        <v>19</v>
      </c>
      <c r="G962" t="str">
        <f>+VLOOKUP(F962,[1]Explore!$B:$I,8,0)</f>
        <v>Govt USD</v>
      </c>
      <c r="H962" t="s">
        <v>20</v>
      </c>
      <c r="I962" t="str">
        <f>+VLOOKUP(H962,[1]Explore!$A:$I,9,0)</f>
        <v>Govt USD</v>
      </c>
      <c r="J962" t="str">
        <f t="shared" si="28"/>
        <v>OK</v>
      </c>
      <c r="K962" t="str">
        <f t="shared" si="29"/>
        <v>Govt USD</v>
      </c>
      <c r="L962" t="s">
        <v>2143</v>
      </c>
      <c r="M962" t="str">
        <f>_xlfn.IFNA(VLOOKUP(K962,'Mapping DEF'!A:C,2,0),"")</f>
        <v>Curve (Local)</v>
      </c>
      <c r="N962" t="str">
        <f>+_xlfn.IFNA(VLOOKUP(M962,'Mapping DEF'!B:C,2,FALSE),"")</f>
        <v>Term Structure</v>
      </c>
      <c r="O962" t="s">
        <v>2854</v>
      </c>
    </row>
    <row r="963" spans="1:15" x14ac:dyDescent="0.25">
      <c r="A963" s="4" t="s">
        <v>2297</v>
      </c>
      <c r="B963" s="4" t="s">
        <v>2298</v>
      </c>
      <c r="C963" s="5">
        <v>2488</v>
      </c>
      <c r="D963" s="6" t="s">
        <v>2299</v>
      </c>
      <c r="E963" t="s">
        <v>1378</v>
      </c>
      <c r="F963" t="s">
        <v>258</v>
      </c>
      <c r="G963" t="str">
        <f>+VLOOKUP(F963,[1]Explore!$B:$I,8,0)</f>
        <v>USD Inflation</v>
      </c>
      <c r="H963" t="s">
        <v>259</v>
      </c>
      <c r="I963" t="str">
        <f>+VLOOKUP(H963,[1]Explore!$A:$I,9,0)</f>
        <v>USD Inflation</v>
      </c>
      <c r="J963" t="str">
        <f t="shared" ref="J963:J1026" si="30">IF(AND(ISNA(G963),ISNA(I963)),"BOTH #N/A","OK")</f>
        <v>OK</v>
      </c>
      <c r="K963" t="str">
        <f t="shared" ref="K963:K1026" si="31">IFERROR(I963, IFERROR(G963, L963))</f>
        <v>USD Inflation</v>
      </c>
      <c r="L963" t="s">
        <v>2143</v>
      </c>
      <c r="M963" t="str">
        <f>_xlfn.IFNA(VLOOKUP(K963,'Mapping DEF'!A:C,2,0),"")</f>
        <v>Inflation</v>
      </c>
      <c r="N963" t="str">
        <f>+_xlfn.IFNA(VLOOKUP(M963,'Mapping DEF'!B:C,2,FALSE),"")</f>
        <v>Other</v>
      </c>
      <c r="O963" t="s">
        <v>2829</v>
      </c>
    </row>
    <row r="964" spans="1:15" x14ac:dyDescent="0.25">
      <c r="A964" s="4" t="s">
        <v>2297</v>
      </c>
      <c r="B964" s="4" t="s">
        <v>2298</v>
      </c>
      <c r="C964" s="5">
        <v>2488</v>
      </c>
      <c r="D964" s="6" t="s">
        <v>2299</v>
      </c>
      <c r="E964" t="s">
        <v>1379</v>
      </c>
      <c r="F964" t="s">
        <v>1380</v>
      </c>
      <c r="G964" t="str">
        <f>+VLOOKUP(F964,[1]Explore!$B:$I,8,0)</f>
        <v>Alternative - Commodity</v>
      </c>
      <c r="H964" t="s">
        <v>1381</v>
      </c>
      <c r="I964" t="str">
        <f>+VLOOKUP(H964,[1]Explore!$A:$I,9,0)</f>
        <v>Alternative - Commodity</v>
      </c>
      <c r="J964" t="str">
        <f t="shared" si="30"/>
        <v>OK</v>
      </c>
      <c r="K964" t="str">
        <f t="shared" si="31"/>
        <v>Alternative - Commodity</v>
      </c>
      <c r="L964" t="s">
        <v>2139</v>
      </c>
      <c r="M964" t="str">
        <f>_xlfn.IFNA(VLOOKUP(K964,'Mapping DEF'!A:C,2,0),"")</f>
        <v>Alternative</v>
      </c>
      <c r="N964" t="str">
        <f>+_xlfn.IFNA(VLOOKUP(M964,'Mapping DEF'!B:C,2,FALSE),"")</f>
        <v>Other</v>
      </c>
      <c r="O964" t="s">
        <v>2794</v>
      </c>
    </row>
    <row r="965" spans="1:15" x14ac:dyDescent="0.25">
      <c r="A965" s="4" t="s">
        <v>2297</v>
      </c>
      <c r="B965" s="4" t="s">
        <v>2298</v>
      </c>
      <c r="C965" s="5">
        <v>2488</v>
      </c>
      <c r="D965" s="6" t="s">
        <v>2299</v>
      </c>
      <c r="E965" t="s">
        <v>893</v>
      </c>
      <c r="F965" t="s">
        <v>206</v>
      </c>
      <c r="G965" t="e">
        <f>+VLOOKUP(F965,[1]Explore!$B:$I,8,0)</f>
        <v>#N/A</v>
      </c>
      <c r="H965" t="s">
        <v>206</v>
      </c>
      <c r="I965" t="e">
        <f>+VLOOKUP(H965,[1]Explore!$A:$I,9,0)</f>
        <v>#N/A</v>
      </c>
      <c r="J965" t="str">
        <f t="shared" si="30"/>
        <v>BOTH #N/A</v>
      </c>
      <c r="K965" t="str">
        <f t="shared" si="31"/>
        <v>Dollar Index</v>
      </c>
      <c r="L965" t="s">
        <v>2930</v>
      </c>
      <c r="M965" t="str">
        <f>_xlfn.IFNA(VLOOKUP(K965,'Mapping DEF'!A:C,2,0),"")</f>
        <v>Index Level</v>
      </c>
      <c r="N965" t="str">
        <f>+_xlfn.IFNA(VLOOKUP(M965,'Mapping DEF'!B:C,2,FALSE),"")</f>
        <v>Other</v>
      </c>
      <c r="O965" t="s">
        <v>2810</v>
      </c>
    </row>
    <row r="966" spans="1:15" x14ac:dyDescent="0.25">
      <c r="A966" s="4" t="s">
        <v>2297</v>
      </c>
      <c r="B966" s="4" t="s">
        <v>2298</v>
      </c>
      <c r="C966" s="5">
        <v>2488</v>
      </c>
      <c r="D966" s="6" t="s">
        <v>2299</v>
      </c>
      <c r="E966" t="s">
        <v>1360</v>
      </c>
      <c r="F966" t="s">
        <v>2156</v>
      </c>
      <c r="G966" t="str">
        <f>+VLOOKUP(F966,[1]Explore!$B:$I,8,0)</f>
        <v>Equity Implied Volatility</v>
      </c>
      <c r="H966" t="s">
        <v>141</v>
      </c>
      <c r="I966" t="str">
        <f>+VLOOKUP(H966,[1]Explore!$A:$I,9,0)</f>
        <v>Equity Implied Volatility</v>
      </c>
      <c r="J966" t="str">
        <f t="shared" si="30"/>
        <v>OK</v>
      </c>
      <c r="K966" t="str">
        <f t="shared" si="31"/>
        <v>Equity Implied Volatility</v>
      </c>
      <c r="L966" t="s">
        <v>27</v>
      </c>
      <c r="M966" t="str">
        <f>_xlfn.IFNA(VLOOKUP(K966,'Mapping DEF'!A:C,2,0),"")</f>
        <v>Equity Derivatives</v>
      </c>
      <c r="N966" t="str">
        <f>+_xlfn.IFNA(VLOOKUP(M966,'Mapping DEF'!B:C,2,FALSE),"")</f>
        <v>Equity</v>
      </c>
      <c r="O966" t="s">
        <v>2770</v>
      </c>
    </row>
    <row r="967" spans="1:15" x14ac:dyDescent="0.25">
      <c r="A967" s="4" t="s">
        <v>2297</v>
      </c>
      <c r="B967" s="4" t="s">
        <v>2298</v>
      </c>
      <c r="C967" s="5">
        <v>2488</v>
      </c>
      <c r="D967" s="6" t="s">
        <v>2299</v>
      </c>
      <c r="E967" t="s">
        <v>1382</v>
      </c>
      <c r="F967" t="s">
        <v>2169</v>
      </c>
      <c r="G967" t="str">
        <f>+VLOOKUP(F967,[1]Explore!$B:$I,8,0)</f>
        <v>Other - Index</v>
      </c>
      <c r="H967" t="s">
        <v>278</v>
      </c>
      <c r="I967" t="e">
        <f>+VLOOKUP(H967,[1]Explore!$A:$I,9,0)</f>
        <v>#N/A</v>
      </c>
      <c r="J967" t="str">
        <f t="shared" si="30"/>
        <v>OK</v>
      </c>
      <c r="K967" t="str">
        <f t="shared" si="31"/>
        <v>Other - Index</v>
      </c>
      <c r="L967" t="s">
        <v>27</v>
      </c>
      <c r="M967" t="str">
        <f>_xlfn.IFNA(VLOOKUP(K967,'Mapping DEF'!A:C,2,0),"")</f>
        <v>Other</v>
      </c>
      <c r="N967" t="str">
        <f>+_xlfn.IFNA(VLOOKUP(M967,'Mapping DEF'!B:C,2,FALSE),"")</f>
        <v>Other</v>
      </c>
      <c r="O967" t="s">
        <v>2770</v>
      </c>
    </row>
    <row r="968" spans="1:15" x14ac:dyDescent="0.25">
      <c r="A968" s="4" t="s">
        <v>2300</v>
      </c>
      <c r="B968" s="4" t="s">
        <v>2301</v>
      </c>
      <c r="C968" s="5">
        <v>2447</v>
      </c>
      <c r="D968" s="6" t="s">
        <v>2302</v>
      </c>
      <c r="E968" t="s">
        <v>1192</v>
      </c>
      <c r="F968" t="s">
        <v>13</v>
      </c>
      <c r="G968" t="str">
        <f>+VLOOKUP(F968,[1]Explore!$B:$I,8,0)</f>
        <v>Govt USD</v>
      </c>
      <c r="H968" t="s">
        <v>14</v>
      </c>
      <c r="I968" t="str">
        <f>+VLOOKUP(H968,[1]Explore!$A:$I,9,0)</f>
        <v>Govt USD</v>
      </c>
      <c r="J968" t="str">
        <f t="shared" si="30"/>
        <v>OK</v>
      </c>
      <c r="K968" t="str">
        <f t="shared" si="31"/>
        <v>Govt USD</v>
      </c>
      <c r="L968" t="s">
        <v>2143</v>
      </c>
      <c r="M968" t="str">
        <f>_xlfn.IFNA(VLOOKUP(K968,'Mapping DEF'!A:C,2,0),"")</f>
        <v>Curve (Local)</v>
      </c>
      <c r="N968" t="str">
        <f>+_xlfn.IFNA(VLOOKUP(M968,'Mapping DEF'!B:C,2,FALSE),"")</f>
        <v>Term Structure</v>
      </c>
      <c r="O968" t="s">
        <v>2782</v>
      </c>
    </row>
    <row r="969" spans="1:15" x14ac:dyDescent="0.25">
      <c r="A969" s="4" t="s">
        <v>2300</v>
      </c>
      <c r="B969" s="4" t="s">
        <v>2301</v>
      </c>
      <c r="C969" s="5">
        <v>2447</v>
      </c>
      <c r="D969" s="6" t="s">
        <v>2302</v>
      </c>
      <c r="E969" t="s">
        <v>606</v>
      </c>
      <c r="F969" t="s">
        <v>19</v>
      </c>
      <c r="G969" t="str">
        <f>+VLOOKUP(F969,[1]Explore!$B:$I,8,0)</f>
        <v>Govt USD</v>
      </c>
      <c r="H969" t="s">
        <v>20</v>
      </c>
      <c r="I969" t="str">
        <f>+VLOOKUP(H969,[1]Explore!$A:$I,9,0)</f>
        <v>Govt USD</v>
      </c>
      <c r="J969" t="str">
        <f t="shared" si="30"/>
        <v>OK</v>
      </c>
      <c r="K969" t="str">
        <f t="shared" si="31"/>
        <v>Govt USD</v>
      </c>
      <c r="L969" t="s">
        <v>2143</v>
      </c>
      <c r="M969" t="str">
        <f>_xlfn.IFNA(VLOOKUP(K969,'Mapping DEF'!A:C,2,0),"")</f>
        <v>Curve (Local)</v>
      </c>
      <c r="N969" t="str">
        <f>+_xlfn.IFNA(VLOOKUP(M969,'Mapping DEF'!B:C,2,FALSE),"")</f>
        <v>Term Structure</v>
      </c>
      <c r="O969" t="s">
        <v>2752</v>
      </c>
    </row>
    <row r="970" spans="1:15" x14ac:dyDescent="0.25">
      <c r="A970" s="4" t="s">
        <v>2300</v>
      </c>
      <c r="B970" s="4" t="s">
        <v>2301</v>
      </c>
      <c r="C970" s="5">
        <v>2447</v>
      </c>
      <c r="D970" s="6" t="s">
        <v>2302</v>
      </c>
      <c r="E970" t="s">
        <v>1383</v>
      </c>
      <c r="F970" t="s">
        <v>258</v>
      </c>
      <c r="G970" t="str">
        <f>+VLOOKUP(F970,[1]Explore!$B:$I,8,0)</f>
        <v>USD Inflation</v>
      </c>
      <c r="H970" t="s">
        <v>259</v>
      </c>
      <c r="I970" t="str">
        <f>+VLOOKUP(H970,[1]Explore!$A:$I,9,0)</f>
        <v>USD Inflation</v>
      </c>
      <c r="J970" t="str">
        <f t="shared" si="30"/>
        <v>OK</v>
      </c>
      <c r="K970" t="str">
        <f t="shared" si="31"/>
        <v>USD Inflation</v>
      </c>
      <c r="L970" t="s">
        <v>2143</v>
      </c>
      <c r="M970" t="str">
        <f>_xlfn.IFNA(VLOOKUP(K970,'Mapping DEF'!A:C,2,0),"")</f>
        <v>Inflation</v>
      </c>
      <c r="N970" t="str">
        <f>+_xlfn.IFNA(VLOOKUP(M970,'Mapping DEF'!B:C,2,FALSE),"")</f>
        <v>Other</v>
      </c>
      <c r="O970" t="s">
        <v>2755</v>
      </c>
    </row>
    <row r="971" spans="1:15" x14ac:dyDescent="0.25">
      <c r="A971" s="4" t="s">
        <v>2300</v>
      </c>
      <c r="B971" s="4" t="s">
        <v>2301</v>
      </c>
      <c r="C971" s="5">
        <v>2447</v>
      </c>
      <c r="D971" s="6" t="s">
        <v>2302</v>
      </c>
      <c r="E971" t="s">
        <v>335</v>
      </c>
      <c r="F971" t="s">
        <v>265</v>
      </c>
      <c r="G971" t="str">
        <f>+VLOOKUP(F971,[1]Explore!$B:$I,8,0)</f>
        <v>Alternative - Commodity</v>
      </c>
      <c r="H971" t="s">
        <v>266</v>
      </c>
      <c r="I971" t="str">
        <f>+VLOOKUP(H971,[1]Explore!$A:$I,9,0)</f>
        <v>Alternative - Commodity</v>
      </c>
      <c r="J971" t="str">
        <f t="shared" si="30"/>
        <v>OK</v>
      </c>
      <c r="K971" t="str">
        <f t="shared" si="31"/>
        <v>Alternative - Commodity</v>
      </c>
      <c r="L971" t="s">
        <v>2139</v>
      </c>
      <c r="M971" t="str">
        <f>_xlfn.IFNA(VLOOKUP(K971,'Mapping DEF'!A:C,2,0),"")</f>
        <v>Alternative</v>
      </c>
      <c r="N971" t="str">
        <f>+_xlfn.IFNA(VLOOKUP(M971,'Mapping DEF'!B:C,2,FALSE),"")</f>
        <v>Other</v>
      </c>
      <c r="O971" t="s">
        <v>2808</v>
      </c>
    </row>
    <row r="972" spans="1:15" x14ac:dyDescent="0.25">
      <c r="A972" s="4" t="s">
        <v>2300</v>
      </c>
      <c r="B972" s="4" t="s">
        <v>2301</v>
      </c>
      <c r="C972" s="5">
        <v>2447</v>
      </c>
      <c r="D972" s="6" t="s">
        <v>2302</v>
      </c>
      <c r="E972" t="s">
        <v>330</v>
      </c>
      <c r="F972" t="s">
        <v>206</v>
      </c>
      <c r="G972" t="e">
        <f>+VLOOKUP(F972,[1]Explore!$B:$I,8,0)</f>
        <v>#N/A</v>
      </c>
      <c r="H972" t="s">
        <v>206</v>
      </c>
      <c r="I972" t="e">
        <f>+VLOOKUP(H972,[1]Explore!$A:$I,9,0)</f>
        <v>#N/A</v>
      </c>
      <c r="J972" t="str">
        <f t="shared" si="30"/>
        <v>BOTH #N/A</v>
      </c>
      <c r="K972" t="str">
        <f t="shared" si="31"/>
        <v>Dollar Index</v>
      </c>
      <c r="L972" t="s">
        <v>2930</v>
      </c>
      <c r="M972" t="str">
        <f>_xlfn.IFNA(VLOOKUP(K972,'Mapping DEF'!A:C,2,0),"")</f>
        <v>Index Level</v>
      </c>
      <c r="N972" t="str">
        <f>+_xlfn.IFNA(VLOOKUP(M972,'Mapping DEF'!B:C,2,FALSE),"")</f>
        <v>Other</v>
      </c>
      <c r="O972" t="s">
        <v>2831</v>
      </c>
    </row>
    <row r="973" spans="1:15" x14ac:dyDescent="0.25">
      <c r="A973" s="4" t="s">
        <v>2300</v>
      </c>
      <c r="B973" s="4" t="s">
        <v>2301</v>
      </c>
      <c r="C973" s="5">
        <v>2447</v>
      </c>
      <c r="D973" s="6" t="s">
        <v>2302</v>
      </c>
      <c r="E973" t="s">
        <v>653</v>
      </c>
      <c r="F973" t="s">
        <v>183</v>
      </c>
      <c r="G973" t="str">
        <f>+VLOOKUP(F973,[1]Explore!$B:$I,8,0)</f>
        <v>Equity Implied Volatility</v>
      </c>
      <c r="H973" t="s">
        <v>184</v>
      </c>
      <c r="I973" t="str">
        <f>+VLOOKUP(H973,[1]Explore!$A:$I,9,0)</f>
        <v>Equity Implied Volatility</v>
      </c>
      <c r="J973" t="str">
        <f t="shared" si="30"/>
        <v>OK</v>
      </c>
      <c r="K973" t="str">
        <f t="shared" si="31"/>
        <v>Equity Implied Volatility</v>
      </c>
      <c r="L973" t="s">
        <v>27</v>
      </c>
      <c r="M973" t="str">
        <f>_xlfn.IFNA(VLOOKUP(K973,'Mapping DEF'!A:C,2,0),"")</f>
        <v>Equity Derivatives</v>
      </c>
      <c r="N973" t="str">
        <f>+_xlfn.IFNA(VLOOKUP(M973,'Mapping DEF'!B:C,2,FALSE),"")</f>
        <v>Equity</v>
      </c>
      <c r="O973" t="s">
        <v>2761</v>
      </c>
    </row>
    <row r="974" spans="1:15" x14ac:dyDescent="0.25">
      <c r="A974" s="4" t="s">
        <v>2300</v>
      </c>
      <c r="B974" s="4" t="s">
        <v>2301</v>
      </c>
      <c r="C974" s="5">
        <v>2447</v>
      </c>
      <c r="D974" s="6" t="s">
        <v>2302</v>
      </c>
      <c r="E974" t="s">
        <v>338</v>
      </c>
      <c r="F974" t="s">
        <v>191</v>
      </c>
      <c r="G974" t="e">
        <f>+VLOOKUP(F974,[1]Explore!$B:$I,8,0)</f>
        <v>#N/A</v>
      </c>
      <c r="H974" t="s">
        <v>192</v>
      </c>
      <c r="I974" t="e">
        <f>+VLOOKUP(H974,[1]Explore!$A:$I,9,0)</f>
        <v>#N/A</v>
      </c>
      <c r="J974" t="str">
        <f t="shared" si="30"/>
        <v>BOTH #N/A</v>
      </c>
      <c r="K974" t="str">
        <f t="shared" si="31"/>
        <v xml:space="preserve">Time </v>
      </c>
      <c r="L974" t="s">
        <v>2138</v>
      </c>
      <c r="M974" t="str">
        <f>_xlfn.IFNA(VLOOKUP(K974,'Mapping DEF'!A:C,2,0),"")</f>
        <v>Time</v>
      </c>
      <c r="N974" t="str">
        <f>+_xlfn.IFNA(VLOOKUP(M974,'Mapping DEF'!B:C,2,FALSE),"")</f>
        <v>Other</v>
      </c>
      <c r="O974" t="s">
        <v>2817</v>
      </c>
    </row>
    <row r="975" spans="1:15" x14ac:dyDescent="0.25">
      <c r="A975" s="4" t="s">
        <v>2300</v>
      </c>
      <c r="B975" s="4" t="s">
        <v>2301</v>
      </c>
      <c r="C975" s="5">
        <v>2447</v>
      </c>
      <c r="D975" s="6" t="s">
        <v>2302</v>
      </c>
      <c r="E975" t="s">
        <v>1384</v>
      </c>
      <c r="F975" t="s">
        <v>220</v>
      </c>
      <c r="G975" t="str">
        <f>+VLOOKUP(F975,[1]Explore!$B:$I,8,0)</f>
        <v>Corporate HY USD - Other</v>
      </c>
      <c r="H975" t="s">
        <v>221</v>
      </c>
      <c r="I975" t="str">
        <f>+VLOOKUP(H975,[1]Explore!$A:$I,9,0)</f>
        <v>Corporate HY USD - Other</v>
      </c>
      <c r="J975" t="str">
        <f t="shared" si="30"/>
        <v>OK</v>
      </c>
      <c r="K975" t="str">
        <f t="shared" si="31"/>
        <v>Corporate HY USD - Other</v>
      </c>
      <c r="L975" t="s">
        <v>188</v>
      </c>
      <c r="M975" t="str">
        <f>_xlfn.IFNA(VLOOKUP(K975,'Mapping DEF'!A:C,2,0),"")</f>
        <v>Spread</v>
      </c>
      <c r="N975" t="str">
        <f>+_xlfn.IFNA(VLOOKUP(M975,'Mapping DEF'!B:C,2,FALSE),"")</f>
        <v>Spread</v>
      </c>
      <c r="O975" t="s">
        <v>2755</v>
      </c>
    </row>
    <row r="976" spans="1:15" x14ac:dyDescent="0.25">
      <c r="A976" s="4" t="s">
        <v>2300</v>
      </c>
      <c r="B976" s="4" t="s">
        <v>2301</v>
      </c>
      <c r="C976" s="5">
        <v>2447</v>
      </c>
      <c r="D976" s="6" t="s">
        <v>2302</v>
      </c>
      <c r="E976" t="s">
        <v>1385</v>
      </c>
      <c r="F976" t="s">
        <v>1837</v>
      </c>
      <c r="G976" t="str">
        <f>+VLOOKUP(F976,[1]Explore!$B:$I,8,0)</f>
        <v>Other - Index</v>
      </c>
      <c r="H976" t="s">
        <v>634</v>
      </c>
      <c r="I976" t="e">
        <f>+VLOOKUP(H976,[1]Explore!$A:$I,9,0)</f>
        <v>#N/A</v>
      </c>
      <c r="J976" t="str">
        <f t="shared" si="30"/>
        <v>OK</v>
      </c>
      <c r="K976" t="str">
        <f t="shared" si="31"/>
        <v>Other - Index</v>
      </c>
      <c r="L976" t="s">
        <v>27</v>
      </c>
      <c r="M976" t="str">
        <f>_xlfn.IFNA(VLOOKUP(K976,'Mapping DEF'!A:C,2,0),"")</f>
        <v>Other</v>
      </c>
      <c r="N976" t="str">
        <f>+_xlfn.IFNA(VLOOKUP(M976,'Mapping DEF'!B:C,2,FALSE),"")</f>
        <v>Other</v>
      </c>
      <c r="O976" t="s">
        <v>2759</v>
      </c>
    </row>
    <row r="977" spans="1:15" x14ac:dyDescent="0.25">
      <c r="A977" s="4" t="s">
        <v>2300</v>
      </c>
      <c r="B977" s="4" t="s">
        <v>2301</v>
      </c>
      <c r="C977" s="5">
        <v>2447</v>
      </c>
      <c r="D977" s="6" t="s">
        <v>2302</v>
      </c>
      <c r="E977" t="s">
        <v>1386</v>
      </c>
      <c r="F977" t="s">
        <v>849</v>
      </c>
      <c r="G977" t="str">
        <f>+VLOOKUP(F977,[1]Explore!$B:$I,8,0)</f>
        <v>Other - Index</v>
      </c>
      <c r="H977" t="s">
        <v>1206</v>
      </c>
      <c r="I977" t="e">
        <f>+VLOOKUP(H977,[1]Explore!$A:$I,9,0)</f>
        <v>#N/A</v>
      </c>
      <c r="J977" t="str">
        <f t="shared" si="30"/>
        <v>OK</v>
      </c>
      <c r="K977" t="str">
        <f t="shared" si="31"/>
        <v>Other - Index</v>
      </c>
      <c r="L977" t="s">
        <v>27</v>
      </c>
      <c r="M977" t="str">
        <f>_xlfn.IFNA(VLOOKUP(K977,'Mapping DEF'!A:C,2,0),"")</f>
        <v>Other</v>
      </c>
      <c r="N977" t="str">
        <f>+_xlfn.IFNA(VLOOKUP(M977,'Mapping DEF'!B:C,2,FALSE),"")</f>
        <v>Other</v>
      </c>
      <c r="O977" t="s">
        <v>2776</v>
      </c>
    </row>
    <row r="978" spans="1:15" x14ac:dyDescent="0.25">
      <c r="A978" s="4" t="s">
        <v>2300</v>
      </c>
      <c r="B978" s="4" t="s">
        <v>2301</v>
      </c>
      <c r="C978" s="5">
        <v>2447</v>
      </c>
      <c r="D978" s="6" t="s">
        <v>2302</v>
      </c>
      <c r="E978" t="s">
        <v>1387</v>
      </c>
      <c r="F978" t="s">
        <v>2613</v>
      </c>
      <c r="G978" t="str">
        <f>+VLOOKUP(F978,[1]Explore!$B:$I,8,0)</f>
        <v>Other - Index</v>
      </c>
      <c r="H978" t="s">
        <v>217</v>
      </c>
      <c r="I978" t="e">
        <f>+VLOOKUP(H978,[1]Explore!$A:$I,9,0)</f>
        <v>#N/A</v>
      </c>
      <c r="J978" t="str">
        <f t="shared" si="30"/>
        <v>OK</v>
      </c>
      <c r="K978" t="str">
        <f t="shared" si="31"/>
        <v>Other - Index</v>
      </c>
      <c r="L978" t="s">
        <v>27</v>
      </c>
      <c r="M978" t="str">
        <f>_xlfn.IFNA(VLOOKUP(K978,'Mapping DEF'!A:C,2,0),"")</f>
        <v>Other</v>
      </c>
      <c r="N978" t="str">
        <f>+_xlfn.IFNA(VLOOKUP(M978,'Mapping DEF'!B:C,2,FALSE),"")</f>
        <v>Other</v>
      </c>
      <c r="O978" t="s">
        <v>2759</v>
      </c>
    </row>
    <row r="979" spans="1:15" x14ac:dyDescent="0.25">
      <c r="A979" s="4" t="s">
        <v>2300</v>
      </c>
      <c r="B979" s="4" t="s">
        <v>2301</v>
      </c>
      <c r="C979" s="5">
        <v>2447</v>
      </c>
      <c r="D979" s="6" t="s">
        <v>2302</v>
      </c>
      <c r="E979" t="s">
        <v>1388</v>
      </c>
      <c r="F979" t="s">
        <v>2183</v>
      </c>
      <c r="G979" t="str">
        <f>+VLOOKUP(F979,[1]Explore!$B:$I,8,0)</f>
        <v>Other - Index</v>
      </c>
      <c r="H979" t="s">
        <v>669</v>
      </c>
      <c r="I979" t="e">
        <f>+VLOOKUP(H979,[1]Explore!$A:$I,9,0)</f>
        <v>#N/A</v>
      </c>
      <c r="J979" t="str">
        <f t="shared" si="30"/>
        <v>OK</v>
      </c>
      <c r="K979" t="str">
        <f t="shared" si="31"/>
        <v>Other - Index</v>
      </c>
      <c r="L979" t="s">
        <v>27</v>
      </c>
      <c r="M979" t="str">
        <f>_xlfn.IFNA(VLOOKUP(K979,'Mapping DEF'!A:C,2,0),"")</f>
        <v>Other</v>
      </c>
      <c r="N979" t="str">
        <f>+_xlfn.IFNA(VLOOKUP(M979,'Mapping DEF'!B:C,2,FALSE),"")</f>
        <v>Other</v>
      </c>
      <c r="O979" t="s">
        <v>2757</v>
      </c>
    </row>
    <row r="980" spans="1:15" x14ac:dyDescent="0.25">
      <c r="A980" s="4" t="s">
        <v>2303</v>
      </c>
      <c r="B980" s="4" t="s">
        <v>2304</v>
      </c>
      <c r="C980" s="5">
        <v>2449</v>
      </c>
      <c r="D980" s="6" t="s">
        <v>2305</v>
      </c>
      <c r="E980" t="s">
        <v>1389</v>
      </c>
      <c r="F980" t="s">
        <v>19</v>
      </c>
      <c r="G980" t="str">
        <f>+VLOOKUP(F980,[1]Explore!$B:$I,8,0)</f>
        <v>Govt USD</v>
      </c>
      <c r="H980" t="s">
        <v>20</v>
      </c>
      <c r="I980" t="str">
        <f>+VLOOKUP(H980,[1]Explore!$A:$I,9,0)</f>
        <v>Govt USD</v>
      </c>
      <c r="J980" t="str">
        <f t="shared" si="30"/>
        <v>OK</v>
      </c>
      <c r="K980" t="str">
        <f t="shared" si="31"/>
        <v>Govt USD</v>
      </c>
      <c r="L980" t="s">
        <v>2143</v>
      </c>
      <c r="M980" t="str">
        <f>_xlfn.IFNA(VLOOKUP(K980,'Mapping DEF'!A:C,2,0),"")</f>
        <v>Curve (Local)</v>
      </c>
      <c r="N980" t="str">
        <f>+_xlfn.IFNA(VLOOKUP(M980,'Mapping DEF'!B:C,2,FALSE),"")</f>
        <v>Term Structure</v>
      </c>
      <c r="O980" t="s">
        <v>2826</v>
      </c>
    </row>
    <row r="981" spans="1:15" x14ac:dyDescent="0.25">
      <c r="A981" s="4" t="s">
        <v>2303</v>
      </c>
      <c r="B981" s="4" t="s">
        <v>2304</v>
      </c>
      <c r="C981" s="5">
        <v>2449</v>
      </c>
      <c r="D981" s="6" t="s">
        <v>2305</v>
      </c>
      <c r="E981" t="s">
        <v>1390</v>
      </c>
      <c r="F981" t="s">
        <v>258</v>
      </c>
      <c r="G981" t="str">
        <f>+VLOOKUP(F981,[1]Explore!$B:$I,8,0)</f>
        <v>USD Inflation</v>
      </c>
      <c r="H981" t="s">
        <v>259</v>
      </c>
      <c r="I981" t="str">
        <f>+VLOOKUP(H981,[1]Explore!$A:$I,9,0)</f>
        <v>USD Inflation</v>
      </c>
      <c r="J981" t="str">
        <f t="shared" si="30"/>
        <v>OK</v>
      </c>
      <c r="K981" t="str">
        <f t="shared" si="31"/>
        <v>USD Inflation</v>
      </c>
      <c r="L981" t="s">
        <v>2143</v>
      </c>
      <c r="M981" t="str">
        <f>_xlfn.IFNA(VLOOKUP(K981,'Mapping DEF'!A:C,2,0),"")</f>
        <v>Inflation</v>
      </c>
      <c r="N981" t="str">
        <f>+_xlfn.IFNA(VLOOKUP(M981,'Mapping DEF'!B:C,2,FALSE),"")</f>
        <v>Other</v>
      </c>
      <c r="O981" t="s">
        <v>2800</v>
      </c>
    </row>
    <row r="982" spans="1:15" x14ac:dyDescent="0.25">
      <c r="A982" s="4" t="s">
        <v>2303</v>
      </c>
      <c r="B982" s="4" t="s">
        <v>2304</v>
      </c>
      <c r="C982" s="5">
        <v>2449</v>
      </c>
      <c r="D982" s="6" t="s">
        <v>2305</v>
      </c>
      <c r="E982" t="s">
        <v>889</v>
      </c>
      <c r="F982" t="s">
        <v>265</v>
      </c>
      <c r="G982" t="str">
        <f>+VLOOKUP(F982,[1]Explore!$B:$I,8,0)</f>
        <v>Alternative - Commodity</v>
      </c>
      <c r="H982" t="s">
        <v>266</v>
      </c>
      <c r="I982" t="str">
        <f>+VLOOKUP(H982,[1]Explore!$A:$I,9,0)</f>
        <v>Alternative - Commodity</v>
      </c>
      <c r="J982" t="str">
        <f t="shared" si="30"/>
        <v>OK</v>
      </c>
      <c r="K982" t="str">
        <f t="shared" si="31"/>
        <v>Alternative - Commodity</v>
      </c>
      <c r="L982" t="s">
        <v>2139</v>
      </c>
      <c r="M982" t="str">
        <f>_xlfn.IFNA(VLOOKUP(K982,'Mapping DEF'!A:C,2,0),"")</f>
        <v>Alternative</v>
      </c>
      <c r="N982" t="str">
        <f>+_xlfn.IFNA(VLOOKUP(M982,'Mapping DEF'!B:C,2,FALSE),"")</f>
        <v>Other</v>
      </c>
      <c r="O982" t="s">
        <v>2794</v>
      </c>
    </row>
    <row r="983" spans="1:15" x14ac:dyDescent="0.25">
      <c r="A983" s="4" t="s">
        <v>2303</v>
      </c>
      <c r="B983" s="4" t="s">
        <v>2304</v>
      </c>
      <c r="C983" s="5">
        <v>2449</v>
      </c>
      <c r="D983" s="6" t="s">
        <v>2305</v>
      </c>
      <c r="E983" t="s">
        <v>711</v>
      </c>
      <c r="F983" t="s">
        <v>206</v>
      </c>
      <c r="G983" t="e">
        <f>+VLOOKUP(F983,[1]Explore!$B:$I,8,0)</f>
        <v>#N/A</v>
      </c>
      <c r="H983" t="s">
        <v>206</v>
      </c>
      <c r="I983" t="e">
        <f>+VLOOKUP(H983,[1]Explore!$A:$I,9,0)</f>
        <v>#N/A</v>
      </c>
      <c r="J983" t="str">
        <f t="shared" si="30"/>
        <v>BOTH #N/A</v>
      </c>
      <c r="K983" t="str">
        <f t="shared" si="31"/>
        <v>Dollar Index</v>
      </c>
      <c r="L983" t="s">
        <v>2930</v>
      </c>
      <c r="M983" t="str">
        <f>_xlfn.IFNA(VLOOKUP(K983,'Mapping DEF'!A:C,2,0),"")</f>
        <v>Index Level</v>
      </c>
      <c r="N983" t="str">
        <f>+_xlfn.IFNA(VLOOKUP(M983,'Mapping DEF'!B:C,2,FALSE),"")</f>
        <v>Other</v>
      </c>
      <c r="O983" t="s">
        <v>2770</v>
      </c>
    </row>
    <row r="984" spans="1:15" x14ac:dyDescent="0.25">
      <c r="A984" s="4" t="s">
        <v>2303</v>
      </c>
      <c r="B984" s="4" t="s">
        <v>2304</v>
      </c>
      <c r="C984" s="5">
        <v>2449</v>
      </c>
      <c r="D984" s="6" t="s">
        <v>2305</v>
      </c>
      <c r="E984" t="s">
        <v>1391</v>
      </c>
      <c r="F984" t="s">
        <v>1392</v>
      </c>
      <c r="G984" t="str">
        <f>+VLOOKUP(F984,[1]Explore!$B:$I,8,0)</f>
        <v>Other - Inflation</v>
      </c>
      <c r="H984" t="s">
        <v>1393</v>
      </c>
      <c r="I984" t="str">
        <f>+VLOOKUP(H984,[1]Explore!$A:$I,9,0)</f>
        <v>Other - Inflation</v>
      </c>
      <c r="J984" t="str">
        <f t="shared" si="30"/>
        <v>OK</v>
      </c>
      <c r="K984" t="str">
        <f t="shared" si="31"/>
        <v>Other - Inflation</v>
      </c>
      <c r="L984" t="s">
        <v>2143</v>
      </c>
      <c r="M984" t="str">
        <f>_xlfn.IFNA(VLOOKUP(K984,'Mapping DEF'!A:C,2,0),"")</f>
        <v>Other</v>
      </c>
      <c r="N984" t="str">
        <f>+_xlfn.IFNA(VLOOKUP(M984,'Mapping DEF'!B:C,2,FALSE),"")</f>
        <v>Other</v>
      </c>
      <c r="O984" t="s">
        <v>2855</v>
      </c>
    </row>
    <row r="985" spans="1:15" x14ac:dyDescent="0.25">
      <c r="A985" s="4" t="s">
        <v>2303</v>
      </c>
      <c r="B985" s="4" t="s">
        <v>2304</v>
      </c>
      <c r="C985" s="5">
        <v>2449</v>
      </c>
      <c r="D985" s="6" t="s">
        <v>2305</v>
      </c>
      <c r="E985" t="s">
        <v>610</v>
      </c>
      <c r="F985" t="s">
        <v>183</v>
      </c>
      <c r="G985" t="str">
        <f>+VLOOKUP(F985,[1]Explore!$B:$I,8,0)</f>
        <v>Equity Implied Volatility</v>
      </c>
      <c r="H985" t="s">
        <v>184</v>
      </c>
      <c r="I985" t="str">
        <f>+VLOOKUP(H985,[1]Explore!$A:$I,9,0)</f>
        <v>Equity Implied Volatility</v>
      </c>
      <c r="J985" t="str">
        <f t="shared" si="30"/>
        <v>OK</v>
      </c>
      <c r="K985" t="str">
        <f t="shared" si="31"/>
        <v>Equity Implied Volatility</v>
      </c>
      <c r="L985" t="s">
        <v>27</v>
      </c>
      <c r="M985" t="str">
        <f>_xlfn.IFNA(VLOOKUP(K985,'Mapping DEF'!A:C,2,0),"")</f>
        <v>Equity Derivatives</v>
      </c>
      <c r="N985" t="str">
        <f>+_xlfn.IFNA(VLOOKUP(M985,'Mapping DEF'!B:C,2,FALSE),"")</f>
        <v>Equity</v>
      </c>
      <c r="O985" t="s">
        <v>2768</v>
      </c>
    </row>
    <row r="986" spans="1:15" x14ac:dyDescent="0.25">
      <c r="A986" s="4" t="s">
        <v>2303</v>
      </c>
      <c r="B986" s="4" t="s">
        <v>2304</v>
      </c>
      <c r="C986" s="5">
        <v>2449</v>
      </c>
      <c r="D986" s="6" t="s">
        <v>2305</v>
      </c>
      <c r="E986" t="s">
        <v>1395</v>
      </c>
      <c r="F986" t="s">
        <v>1396</v>
      </c>
      <c r="G986" t="str">
        <f>+VLOOKUP(F986,[1]Explore!$B:$I,8,0)</f>
        <v>Corporate HY EUR - Other</v>
      </c>
      <c r="H986" t="s">
        <v>1397</v>
      </c>
      <c r="I986" t="str">
        <f>+VLOOKUP(H986,[1]Explore!$A:$I,9,0)</f>
        <v>Corporate HY EUR - Other</v>
      </c>
      <c r="J986" t="str">
        <f t="shared" si="30"/>
        <v>OK</v>
      </c>
      <c r="K986" t="str">
        <f t="shared" si="31"/>
        <v>Corporate HY EUR - Other</v>
      </c>
      <c r="L986" t="s">
        <v>188</v>
      </c>
      <c r="M986" t="str">
        <f>_xlfn.IFNA(VLOOKUP(K986,'Mapping DEF'!A:C,2,0),"")</f>
        <v>Spread</v>
      </c>
      <c r="N986" t="str">
        <f>+_xlfn.IFNA(VLOOKUP(M986,'Mapping DEF'!B:C,2,FALSE),"")</f>
        <v>Spread</v>
      </c>
      <c r="O986" t="s">
        <v>2773</v>
      </c>
    </row>
    <row r="987" spans="1:15" x14ac:dyDescent="0.25">
      <c r="A987" s="4" t="s">
        <v>2303</v>
      </c>
      <c r="B987" s="4" t="s">
        <v>2304</v>
      </c>
      <c r="C987" s="5">
        <v>2449</v>
      </c>
      <c r="D987" s="6" t="s">
        <v>2305</v>
      </c>
      <c r="E987" t="s">
        <v>654</v>
      </c>
      <c r="F987" t="s">
        <v>191</v>
      </c>
      <c r="G987" t="e">
        <f>+VLOOKUP(F987,[1]Explore!$B:$I,8,0)</f>
        <v>#N/A</v>
      </c>
      <c r="H987" t="s">
        <v>192</v>
      </c>
      <c r="I987" t="e">
        <f>+VLOOKUP(H987,[1]Explore!$A:$I,9,0)</f>
        <v>#N/A</v>
      </c>
      <c r="J987" t="str">
        <f t="shared" si="30"/>
        <v>BOTH #N/A</v>
      </c>
      <c r="K987" t="str">
        <f t="shared" si="31"/>
        <v xml:space="preserve">Time </v>
      </c>
      <c r="L987" t="s">
        <v>2138</v>
      </c>
      <c r="M987" t="str">
        <f>_xlfn.IFNA(VLOOKUP(K987,'Mapping DEF'!A:C,2,0),"")</f>
        <v>Time</v>
      </c>
      <c r="N987" t="str">
        <f>+_xlfn.IFNA(VLOOKUP(M987,'Mapping DEF'!B:C,2,FALSE),"")</f>
        <v>Other</v>
      </c>
      <c r="O987" t="s">
        <v>2762</v>
      </c>
    </row>
    <row r="988" spans="1:15" x14ac:dyDescent="0.25">
      <c r="A988" s="4" t="s">
        <v>2303</v>
      </c>
      <c r="B988" s="4" t="s">
        <v>2304</v>
      </c>
      <c r="C988" s="5">
        <v>2449</v>
      </c>
      <c r="D988" s="6" t="s">
        <v>2305</v>
      </c>
      <c r="E988" t="s">
        <v>378</v>
      </c>
      <c r="F988" t="s">
        <v>346</v>
      </c>
      <c r="G988" t="str">
        <f>+VLOOKUP(F988,[1]Explore!$B:$I,8,0)</f>
        <v>Spread Emerging Markets - Country</v>
      </c>
      <c r="H988" t="s">
        <v>347</v>
      </c>
      <c r="I988" t="str">
        <f>+VLOOKUP(H988,[1]Explore!$A:$I,9,0)</f>
        <v>Spread Emerging Markets - Country</v>
      </c>
      <c r="J988" t="str">
        <f t="shared" si="30"/>
        <v>OK</v>
      </c>
      <c r="K988" t="str">
        <f t="shared" si="31"/>
        <v>Spread Emerging Markets - Country</v>
      </c>
      <c r="L988" t="s">
        <v>188</v>
      </c>
      <c r="M988" t="str">
        <f>_xlfn.IFNA(VLOOKUP(K988,'Mapping DEF'!A:C,2,0),"")</f>
        <v>Spread</v>
      </c>
      <c r="N988" t="str">
        <f>+_xlfn.IFNA(VLOOKUP(M988,'Mapping DEF'!B:C,2,FALSE),"")</f>
        <v>Spread</v>
      </c>
      <c r="O988" t="s">
        <v>2756</v>
      </c>
    </row>
    <row r="989" spans="1:15" x14ac:dyDescent="0.25">
      <c r="A989" s="4" t="s">
        <v>2303</v>
      </c>
      <c r="B989" s="4" t="s">
        <v>2304</v>
      </c>
      <c r="C989" s="5">
        <v>2449</v>
      </c>
      <c r="D989" s="6" t="s">
        <v>2305</v>
      </c>
      <c r="E989" t="s">
        <v>1178</v>
      </c>
      <c r="F989" t="s">
        <v>220</v>
      </c>
      <c r="G989" t="str">
        <f>+VLOOKUP(F989,[1]Explore!$B:$I,8,0)</f>
        <v>Corporate HY USD - Other</v>
      </c>
      <c r="H989" t="s">
        <v>221</v>
      </c>
      <c r="I989" t="str">
        <f>+VLOOKUP(H989,[1]Explore!$A:$I,9,0)</f>
        <v>Corporate HY USD - Other</v>
      </c>
      <c r="J989" t="str">
        <f t="shared" si="30"/>
        <v>OK</v>
      </c>
      <c r="K989" t="str">
        <f t="shared" si="31"/>
        <v>Corporate HY USD - Other</v>
      </c>
      <c r="L989" t="s">
        <v>188</v>
      </c>
      <c r="M989" t="str">
        <f>_xlfn.IFNA(VLOOKUP(K989,'Mapping DEF'!A:C,2,0),"")</f>
        <v>Spread</v>
      </c>
      <c r="N989" t="str">
        <f>+_xlfn.IFNA(VLOOKUP(M989,'Mapping DEF'!B:C,2,FALSE),"")</f>
        <v>Spread</v>
      </c>
      <c r="O989" t="s">
        <v>2756</v>
      </c>
    </row>
    <row r="990" spans="1:15" x14ac:dyDescent="0.25">
      <c r="A990" s="4" t="s">
        <v>2303</v>
      </c>
      <c r="B990" s="4" t="s">
        <v>2304</v>
      </c>
      <c r="C990" s="5">
        <v>2449</v>
      </c>
      <c r="D990" s="6" t="s">
        <v>2305</v>
      </c>
      <c r="E990" t="s">
        <v>1398</v>
      </c>
      <c r="F990" t="s">
        <v>2181</v>
      </c>
      <c r="G990" t="str">
        <f>+VLOOKUP(F990,[1]Explore!$B:$I,8,0)</f>
        <v>Other - Index</v>
      </c>
      <c r="H990" t="s">
        <v>618</v>
      </c>
      <c r="I990" t="e">
        <f>+VLOOKUP(H990,[1]Explore!$A:$I,9,0)</f>
        <v>#N/A</v>
      </c>
      <c r="J990" t="str">
        <f t="shared" si="30"/>
        <v>OK</v>
      </c>
      <c r="K990" t="str">
        <f t="shared" si="31"/>
        <v>Other - Index</v>
      </c>
      <c r="L990" t="s">
        <v>27</v>
      </c>
      <c r="M990" t="str">
        <f>_xlfn.IFNA(VLOOKUP(K990,'Mapping DEF'!A:C,2,0),"")</f>
        <v>Other</v>
      </c>
      <c r="N990" t="str">
        <f>+_xlfn.IFNA(VLOOKUP(M990,'Mapping DEF'!B:C,2,FALSE),"")</f>
        <v>Other</v>
      </c>
      <c r="O990" t="s">
        <v>2794</v>
      </c>
    </row>
    <row r="991" spans="1:15" x14ac:dyDescent="0.25">
      <c r="A991" s="4" t="s">
        <v>2303</v>
      </c>
      <c r="B991" s="4" t="s">
        <v>2304</v>
      </c>
      <c r="C991" s="5">
        <v>2449</v>
      </c>
      <c r="D991" s="6" t="s">
        <v>2305</v>
      </c>
      <c r="E991" t="s">
        <v>1399</v>
      </c>
      <c r="F991" t="s">
        <v>2613</v>
      </c>
      <c r="G991" t="str">
        <f>+VLOOKUP(F991,[1]Explore!$B:$I,8,0)</f>
        <v>Other - Index</v>
      </c>
      <c r="H991" t="s">
        <v>217</v>
      </c>
      <c r="I991" t="e">
        <f>+VLOOKUP(H991,[1]Explore!$A:$I,9,0)</f>
        <v>#N/A</v>
      </c>
      <c r="J991" t="str">
        <f t="shared" si="30"/>
        <v>OK</v>
      </c>
      <c r="K991" t="str">
        <f t="shared" si="31"/>
        <v>Other - Index</v>
      </c>
      <c r="L991" t="s">
        <v>27</v>
      </c>
      <c r="M991" t="str">
        <f>_xlfn.IFNA(VLOOKUP(K991,'Mapping DEF'!A:C,2,0),"")</f>
        <v>Other</v>
      </c>
      <c r="N991" t="str">
        <f>+_xlfn.IFNA(VLOOKUP(M991,'Mapping DEF'!B:C,2,FALSE),"")</f>
        <v>Other</v>
      </c>
      <c r="O991" t="s">
        <v>2760</v>
      </c>
    </row>
    <row r="992" spans="1:15" x14ac:dyDescent="0.25">
      <c r="A992" s="4" t="s">
        <v>2303</v>
      </c>
      <c r="B992" s="4" t="s">
        <v>2304</v>
      </c>
      <c r="C992" s="5">
        <v>2449</v>
      </c>
      <c r="D992" s="6" t="s">
        <v>2305</v>
      </c>
      <c r="E992" t="s">
        <v>1400</v>
      </c>
      <c r="F992" t="s">
        <v>826</v>
      </c>
      <c r="G992" t="str">
        <f>+VLOOKUP(F992,[1]Explore!$B:$I,8,0)</f>
        <v>Equity Implied Volatility</v>
      </c>
      <c r="H992" t="s">
        <v>433</v>
      </c>
      <c r="I992" t="e">
        <f>+VLOOKUP(H992,[1]Explore!$A:$I,9,0)</f>
        <v>#N/A</v>
      </c>
      <c r="J992" t="str">
        <f t="shared" si="30"/>
        <v>OK</v>
      </c>
      <c r="K992" t="str">
        <f t="shared" si="31"/>
        <v>Equity Implied Volatility</v>
      </c>
      <c r="L992" t="s">
        <v>27</v>
      </c>
      <c r="M992" t="str">
        <f>_xlfn.IFNA(VLOOKUP(K992,'Mapping DEF'!A:C,2,0),"")</f>
        <v>Equity Derivatives</v>
      </c>
      <c r="N992" t="str">
        <f>+_xlfn.IFNA(VLOOKUP(M992,'Mapping DEF'!B:C,2,FALSE),"")</f>
        <v>Equity</v>
      </c>
      <c r="O992" t="s">
        <v>2802</v>
      </c>
    </row>
    <row r="993" spans="1:15" x14ac:dyDescent="0.25">
      <c r="A993" s="4" t="s">
        <v>2306</v>
      </c>
      <c r="B993" s="4" t="s">
        <v>2307</v>
      </c>
      <c r="C993" s="5">
        <v>2448</v>
      </c>
      <c r="D993" s="6" t="s">
        <v>2308</v>
      </c>
      <c r="E993" t="s">
        <v>334</v>
      </c>
      <c r="F993" t="s">
        <v>19</v>
      </c>
      <c r="G993" t="str">
        <f>+VLOOKUP(F993,[1]Explore!$B:$I,8,0)</f>
        <v>Govt USD</v>
      </c>
      <c r="H993" t="s">
        <v>20</v>
      </c>
      <c r="I993" t="str">
        <f>+VLOOKUP(H993,[1]Explore!$A:$I,9,0)</f>
        <v>Govt USD</v>
      </c>
      <c r="J993" t="str">
        <f t="shared" si="30"/>
        <v>OK</v>
      </c>
      <c r="K993" t="str">
        <f t="shared" si="31"/>
        <v>Govt USD</v>
      </c>
      <c r="L993" t="s">
        <v>2143</v>
      </c>
      <c r="M993" t="str">
        <f>_xlfn.IFNA(VLOOKUP(K993,'Mapping DEF'!A:C,2,0),"")</f>
        <v>Curve (Local)</v>
      </c>
      <c r="N993" t="str">
        <f>+_xlfn.IFNA(VLOOKUP(M993,'Mapping DEF'!B:C,2,FALSE),"")</f>
        <v>Term Structure</v>
      </c>
      <c r="O993" t="s">
        <v>2774</v>
      </c>
    </row>
    <row r="994" spans="1:15" x14ac:dyDescent="0.25">
      <c r="A994" s="4" t="s">
        <v>2306</v>
      </c>
      <c r="B994" s="4" t="s">
        <v>2307</v>
      </c>
      <c r="C994" s="5">
        <v>2448</v>
      </c>
      <c r="D994" s="6" t="s">
        <v>2308</v>
      </c>
      <c r="E994" t="s">
        <v>1357</v>
      </c>
      <c r="F994" t="s">
        <v>258</v>
      </c>
      <c r="G994" t="str">
        <f>+VLOOKUP(F994,[1]Explore!$B:$I,8,0)</f>
        <v>USD Inflation</v>
      </c>
      <c r="H994" t="s">
        <v>259</v>
      </c>
      <c r="I994" t="str">
        <f>+VLOOKUP(H994,[1]Explore!$A:$I,9,0)</f>
        <v>USD Inflation</v>
      </c>
      <c r="J994" t="str">
        <f t="shared" si="30"/>
        <v>OK</v>
      </c>
      <c r="K994" t="str">
        <f t="shared" si="31"/>
        <v>USD Inflation</v>
      </c>
      <c r="L994" t="s">
        <v>2143</v>
      </c>
      <c r="M994" t="str">
        <f>_xlfn.IFNA(VLOOKUP(K994,'Mapping DEF'!A:C,2,0),"")</f>
        <v>Inflation</v>
      </c>
      <c r="N994" t="str">
        <f>+_xlfn.IFNA(VLOOKUP(M994,'Mapping DEF'!B:C,2,FALSE),"")</f>
        <v>Other</v>
      </c>
      <c r="O994" t="s">
        <v>2769</v>
      </c>
    </row>
    <row r="995" spans="1:15" x14ac:dyDescent="0.25">
      <c r="A995" s="4" t="s">
        <v>2306</v>
      </c>
      <c r="B995" s="4" t="s">
        <v>2307</v>
      </c>
      <c r="C995" s="5">
        <v>2448</v>
      </c>
      <c r="D995" s="6" t="s">
        <v>2308</v>
      </c>
      <c r="E995" t="s">
        <v>1401</v>
      </c>
      <c r="F995" t="s">
        <v>265</v>
      </c>
      <c r="G995" t="str">
        <f>+VLOOKUP(F995,[1]Explore!$B:$I,8,0)</f>
        <v>Alternative - Commodity</v>
      </c>
      <c r="H995" t="s">
        <v>266</v>
      </c>
      <c r="I995" t="str">
        <f>+VLOOKUP(H995,[1]Explore!$A:$I,9,0)</f>
        <v>Alternative - Commodity</v>
      </c>
      <c r="J995" t="str">
        <f t="shared" si="30"/>
        <v>OK</v>
      </c>
      <c r="K995" t="str">
        <f t="shared" si="31"/>
        <v>Alternative - Commodity</v>
      </c>
      <c r="L995" t="s">
        <v>2139</v>
      </c>
      <c r="M995" t="str">
        <f>_xlfn.IFNA(VLOOKUP(K995,'Mapping DEF'!A:C,2,0),"")</f>
        <v>Alternative</v>
      </c>
      <c r="N995" t="str">
        <f>+_xlfn.IFNA(VLOOKUP(M995,'Mapping DEF'!B:C,2,FALSE),"")</f>
        <v>Other</v>
      </c>
      <c r="O995" t="s">
        <v>2801</v>
      </c>
    </row>
    <row r="996" spans="1:15" x14ac:dyDescent="0.25">
      <c r="A996" s="4" t="s">
        <v>2306</v>
      </c>
      <c r="B996" s="4" t="s">
        <v>2307</v>
      </c>
      <c r="C996" s="5">
        <v>2448</v>
      </c>
      <c r="D996" s="6" t="s">
        <v>2308</v>
      </c>
      <c r="E996" t="s">
        <v>415</v>
      </c>
      <c r="F996" t="s">
        <v>268</v>
      </c>
      <c r="G996" t="str">
        <f>+VLOOKUP(F996,[1]Explore!$B:$I,8,0)</f>
        <v>Alternative - Commodity</v>
      </c>
      <c r="H996" t="s">
        <v>269</v>
      </c>
      <c r="I996" t="str">
        <f>+VLOOKUP(H996,[1]Explore!$A:$I,9,0)</f>
        <v>Alternative - Commodity</v>
      </c>
      <c r="J996" t="str">
        <f t="shared" si="30"/>
        <v>OK</v>
      </c>
      <c r="K996" t="str">
        <f t="shared" si="31"/>
        <v>Alternative - Commodity</v>
      </c>
      <c r="L996" t="s">
        <v>2139</v>
      </c>
      <c r="M996" t="str">
        <f>_xlfn.IFNA(VLOOKUP(K996,'Mapping DEF'!A:C,2,0),"")</f>
        <v>Alternative</v>
      </c>
      <c r="N996" t="str">
        <f>+_xlfn.IFNA(VLOOKUP(M996,'Mapping DEF'!B:C,2,FALSE),"")</f>
        <v>Other</v>
      </c>
      <c r="O996" t="s">
        <v>2754</v>
      </c>
    </row>
    <row r="997" spans="1:15" x14ac:dyDescent="0.25">
      <c r="A997" s="4" t="s">
        <v>2306</v>
      </c>
      <c r="B997" s="4" t="s">
        <v>2307</v>
      </c>
      <c r="C997" s="5">
        <v>2448</v>
      </c>
      <c r="D997" s="6" t="s">
        <v>2308</v>
      </c>
      <c r="E997" t="s">
        <v>1402</v>
      </c>
      <c r="F997" t="s">
        <v>206</v>
      </c>
      <c r="G997" t="e">
        <f>+VLOOKUP(F997,[1]Explore!$B:$I,8,0)</f>
        <v>#N/A</v>
      </c>
      <c r="H997" t="s">
        <v>206</v>
      </c>
      <c r="I997" t="e">
        <f>+VLOOKUP(H997,[1]Explore!$A:$I,9,0)</f>
        <v>#N/A</v>
      </c>
      <c r="J997" t="str">
        <f t="shared" si="30"/>
        <v>BOTH #N/A</v>
      </c>
      <c r="K997" t="str">
        <f t="shared" si="31"/>
        <v>Dollar Index</v>
      </c>
      <c r="L997" t="s">
        <v>2930</v>
      </c>
      <c r="M997" t="str">
        <f>_xlfn.IFNA(VLOOKUP(K997,'Mapping DEF'!A:C,2,0),"")</f>
        <v>Index Level</v>
      </c>
      <c r="N997" t="str">
        <f>+_xlfn.IFNA(VLOOKUP(M997,'Mapping DEF'!B:C,2,FALSE),"")</f>
        <v>Other</v>
      </c>
      <c r="O997" t="s">
        <v>2802</v>
      </c>
    </row>
    <row r="998" spans="1:15" x14ac:dyDescent="0.25">
      <c r="A998" s="4" t="s">
        <v>2306</v>
      </c>
      <c r="B998" s="4" t="s">
        <v>2307</v>
      </c>
      <c r="C998" s="5">
        <v>2448</v>
      </c>
      <c r="D998" s="6" t="s">
        <v>2308</v>
      </c>
      <c r="E998" t="s">
        <v>1403</v>
      </c>
      <c r="F998" t="s">
        <v>183</v>
      </c>
      <c r="G998" t="str">
        <f>+VLOOKUP(F998,[1]Explore!$B:$I,8,0)</f>
        <v>Equity Implied Volatility</v>
      </c>
      <c r="H998" t="s">
        <v>184</v>
      </c>
      <c r="I998" t="str">
        <f>+VLOOKUP(H998,[1]Explore!$A:$I,9,0)</f>
        <v>Equity Implied Volatility</v>
      </c>
      <c r="J998" t="str">
        <f t="shared" si="30"/>
        <v>OK</v>
      </c>
      <c r="K998" t="str">
        <f t="shared" si="31"/>
        <v>Equity Implied Volatility</v>
      </c>
      <c r="L998" t="s">
        <v>27</v>
      </c>
      <c r="M998" t="str">
        <f>_xlfn.IFNA(VLOOKUP(K998,'Mapping DEF'!A:C,2,0),"")</f>
        <v>Equity Derivatives</v>
      </c>
      <c r="N998" t="str">
        <f>+_xlfn.IFNA(VLOOKUP(M998,'Mapping DEF'!B:C,2,FALSE),"")</f>
        <v>Equity</v>
      </c>
      <c r="O998" t="s">
        <v>2770</v>
      </c>
    </row>
    <row r="999" spans="1:15" x14ac:dyDescent="0.25">
      <c r="A999" s="4" t="s">
        <v>2306</v>
      </c>
      <c r="B999" s="4" t="s">
        <v>2307</v>
      </c>
      <c r="C999" s="5">
        <v>2448</v>
      </c>
      <c r="D999" s="6" t="s">
        <v>2308</v>
      </c>
      <c r="E999" t="s">
        <v>338</v>
      </c>
      <c r="F999" t="s">
        <v>191</v>
      </c>
      <c r="G999" t="e">
        <f>+VLOOKUP(F999,[1]Explore!$B:$I,8,0)</f>
        <v>#N/A</v>
      </c>
      <c r="H999" t="s">
        <v>192</v>
      </c>
      <c r="I999" t="e">
        <f>+VLOOKUP(H999,[1]Explore!$A:$I,9,0)</f>
        <v>#N/A</v>
      </c>
      <c r="J999" t="str">
        <f t="shared" si="30"/>
        <v>BOTH #N/A</v>
      </c>
      <c r="K999" t="str">
        <f t="shared" si="31"/>
        <v xml:space="preserve">Time </v>
      </c>
      <c r="L999" t="s">
        <v>2138</v>
      </c>
      <c r="M999" t="str">
        <f>_xlfn.IFNA(VLOOKUP(K999,'Mapping DEF'!A:C,2,0),"")</f>
        <v>Time</v>
      </c>
      <c r="N999" t="str">
        <f>+_xlfn.IFNA(VLOOKUP(M999,'Mapping DEF'!B:C,2,FALSE),"")</f>
        <v>Other</v>
      </c>
      <c r="O999" t="s">
        <v>2817</v>
      </c>
    </row>
    <row r="1000" spans="1:15" x14ac:dyDescent="0.25">
      <c r="A1000" s="4" t="s">
        <v>2306</v>
      </c>
      <c r="B1000" s="4" t="s">
        <v>2307</v>
      </c>
      <c r="C1000" s="5">
        <v>2448</v>
      </c>
      <c r="D1000" s="6" t="s">
        <v>2308</v>
      </c>
      <c r="E1000" t="s">
        <v>1404</v>
      </c>
      <c r="F1000" t="s">
        <v>220</v>
      </c>
      <c r="G1000" t="str">
        <f>+VLOOKUP(F1000,[1]Explore!$B:$I,8,0)</f>
        <v>Corporate HY USD - Other</v>
      </c>
      <c r="H1000" t="s">
        <v>221</v>
      </c>
      <c r="I1000" t="str">
        <f>+VLOOKUP(H1000,[1]Explore!$A:$I,9,0)</f>
        <v>Corporate HY USD - Other</v>
      </c>
      <c r="J1000" t="str">
        <f t="shared" si="30"/>
        <v>OK</v>
      </c>
      <c r="K1000" t="str">
        <f t="shared" si="31"/>
        <v>Corporate HY USD - Other</v>
      </c>
      <c r="L1000" t="s">
        <v>188</v>
      </c>
      <c r="M1000" t="str">
        <f>_xlfn.IFNA(VLOOKUP(K1000,'Mapping DEF'!A:C,2,0),"")</f>
        <v>Spread</v>
      </c>
      <c r="N1000" t="str">
        <f>+_xlfn.IFNA(VLOOKUP(M1000,'Mapping DEF'!B:C,2,FALSE),"")</f>
        <v>Spread</v>
      </c>
      <c r="O1000" t="s">
        <v>2779</v>
      </c>
    </row>
    <row r="1001" spans="1:15" x14ac:dyDescent="0.25">
      <c r="A1001" s="4" t="s">
        <v>2306</v>
      </c>
      <c r="B1001" s="4" t="s">
        <v>2307</v>
      </c>
      <c r="C1001" s="5">
        <v>2448</v>
      </c>
      <c r="D1001" s="6" t="s">
        <v>2308</v>
      </c>
      <c r="E1001" t="s">
        <v>1405</v>
      </c>
      <c r="F1001" t="s">
        <v>2181</v>
      </c>
      <c r="G1001" t="str">
        <f>+VLOOKUP(F1001,[1]Explore!$B:$I,8,0)</f>
        <v>Other - Index</v>
      </c>
      <c r="H1001" t="s">
        <v>618</v>
      </c>
      <c r="I1001" t="e">
        <f>+VLOOKUP(H1001,[1]Explore!$A:$I,9,0)</f>
        <v>#N/A</v>
      </c>
      <c r="J1001" t="str">
        <f t="shared" si="30"/>
        <v>OK</v>
      </c>
      <c r="K1001" t="str">
        <f t="shared" si="31"/>
        <v>Other - Index</v>
      </c>
      <c r="L1001" t="s">
        <v>27</v>
      </c>
      <c r="M1001" t="str">
        <f>_xlfn.IFNA(VLOOKUP(K1001,'Mapping DEF'!A:C,2,0),"")</f>
        <v>Other</v>
      </c>
      <c r="N1001" t="str">
        <f>+_xlfn.IFNA(VLOOKUP(M1001,'Mapping DEF'!B:C,2,FALSE),"")</f>
        <v>Other</v>
      </c>
      <c r="O1001" t="s">
        <v>2759</v>
      </c>
    </row>
    <row r="1002" spans="1:15" x14ac:dyDescent="0.25">
      <c r="A1002" s="4" t="s">
        <v>2306</v>
      </c>
      <c r="B1002" s="4" t="s">
        <v>2307</v>
      </c>
      <c r="C1002" s="5">
        <v>2448</v>
      </c>
      <c r="D1002" s="6" t="s">
        <v>2308</v>
      </c>
      <c r="E1002" t="s">
        <v>1406</v>
      </c>
      <c r="F1002" t="s">
        <v>1840</v>
      </c>
      <c r="G1002" t="str">
        <f>+VLOOKUP(F1002,[1]Explore!$B:$I,8,0)</f>
        <v>Other - Index</v>
      </c>
      <c r="H1002" t="s">
        <v>325</v>
      </c>
      <c r="I1002" t="e">
        <f>+VLOOKUP(H1002,[1]Explore!$A:$I,9,0)</f>
        <v>#N/A</v>
      </c>
      <c r="J1002" t="str">
        <f t="shared" si="30"/>
        <v>OK</v>
      </c>
      <c r="K1002" t="str">
        <f t="shared" si="31"/>
        <v>Other - Index</v>
      </c>
      <c r="L1002" t="s">
        <v>27</v>
      </c>
      <c r="M1002" t="str">
        <f>_xlfn.IFNA(VLOOKUP(K1002,'Mapping DEF'!A:C,2,0),"")</f>
        <v>Other</v>
      </c>
      <c r="N1002" t="str">
        <f>+_xlfn.IFNA(VLOOKUP(M1002,'Mapping DEF'!B:C,2,FALSE),"")</f>
        <v>Other</v>
      </c>
      <c r="O1002" t="s">
        <v>2760</v>
      </c>
    </row>
    <row r="1003" spans="1:15" x14ac:dyDescent="0.25">
      <c r="A1003" s="4" t="s">
        <v>2309</v>
      </c>
      <c r="B1003" s="4" t="s">
        <v>2310</v>
      </c>
      <c r="C1003" s="5">
        <v>2441</v>
      </c>
      <c r="D1003" s="6" t="s">
        <v>2311</v>
      </c>
      <c r="E1003" t="s">
        <v>906</v>
      </c>
      <c r="F1003" t="s">
        <v>13</v>
      </c>
      <c r="G1003" t="str">
        <f>+VLOOKUP(F1003,[1]Explore!$B:$I,8,0)</f>
        <v>Govt USD</v>
      </c>
      <c r="H1003" t="s">
        <v>14</v>
      </c>
      <c r="I1003" t="str">
        <f>+VLOOKUP(H1003,[1]Explore!$A:$I,9,0)</f>
        <v>Govt USD</v>
      </c>
      <c r="J1003" t="str">
        <f t="shared" si="30"/>
        <v>OK</v>
      </c>
      <c r="K1003" t="str">
        <f t="shared" si="31"/>
        <v>Govt USD</v>
      </c>
      <c r="L1003" t="s">
        <v>2143</v>
      </c>
      <c r="M1003" t="str">
        <f>_xlfn.IFNA(VLOOKUP(K1003,'Mapping DEF'!A:C,2,0),"")</f>
        <v>Curve (Local)</v>
      </c>
      <c r="N1003" t="str">
        <f>+_xlfn.IFNA(VLOOKUP(M1003,'Mapping DEF'!B:C,2,FALSE),"")</f>
        <v>Term Structure</v>
      </c>
      <c r="O1003" t="s">
        <v>2790</v>
      </c>
    </row>
    <row r="1004" spans="1:15" x14ac:dyDescent="0.25">
      <c r="A1004" s="4" t="s">
        <v>2309</v>
      </c>
      <c r="B1004" s="4" t="s">
        <v>2310</v>
      </c>
      <c r="C1004" s="5">
        <v>2441</v>
      </c>
      <c r="D1004" s="6" t="s">
        <v>2311</v>
      </c>
      <c r="E1004" t="s">
        <v>1200</v>
      </c>
      <c r="F1004" t="s">
        <v>19</v>
      </c>
      <c r="G1004" t="str">
        <f>+VLOOKUP(F1004,[1]Explore!$B:$I,8,0)</f>
        <v>Govt USD</v>
      </c>
      <c r="H1004" t="s">
        <v>20</v>
      </c>
      <c r="I1004" t="str">
        <f>+VLOOKUP(H1004,[1]Explore!$A:$I,9,0)</f>
        <v>Govt USD</v>
      </c>
      <c r="J1004" t="str">
        <f t="shared" si="30"/>
        <v>OK</v>
      </c>
      <c r="K1004" t="str">
        <f t="shared" si="31"/>
        <v>Govt USD</v>
      </c>
      <c r="L1004" t="s">
        <v>2143</v>
      </c>
      <c r="M1004" t="str">
        <f>_xlfn.IFNA(VLOOKUP(K1004,'Mapping DEF'!A:C,2,0),"")</f>
        <v>Curve (Local)</v>
      </c>
      <c r="N1004" t="str">
        <f>+_xlfn.IFNA(VLOOKUP(M1004,'Mapping DEF'!B:C,2,FALSE),"")</f>
        <v>Term Structure</v>
      </c>
      <c r="O1004" t="s">
        <v>2788</v>
      </c>
    </row>
    <row r="1005" spans="1:15" x14ac:dyDescent="0.25">
      <c r="A1005" s="4" t="s">
        <v>2309</v>
      </c>
      <c r="B1005" s="4" t="s">
        <v>2310</v>
      </c>
      <c r="C1005" s="5">
        <v>2441</v>
      </c>
      <c r="D1005" s="6" t="s">
        <v>2311</v>
      </c>
      <c r="E1005" t="s">
        <v>996</v>
      </c>
      <c r="F1005" t="s">
        <v>997</v>
      </c>
      <c r="G1005" t="str">
        <f>+VLOOKUP(F1005,[1]Explore!$B:$I,8,0)</f>
        <v>Govt EUR (Ger)</v>
      </c>
      <c r="H1005" t="s">
        <v>998</v>
      </c>
      <c r="I1005" t="str">
        <f>+VLOOKUP(H1005,[1]Explore!$A:$I,9,0)</f>
        <v>Govt EUR (Ger)</v>
      </c>
      <c r="J1005" t="str">
        <f t="shared" si="30"/>
        <v>OK</v>
      </c>
      <c r="K1005" t="str">
        <f t="shared" si="31"/>
        <v>Govt EUR (Ger)</v>
      </c>
      <c r="L1005" t="s">
        <v>2143</v>
      </c>
      <c r="M1005" t="str">
        <f>_xlfn.IFNA(VLOOKUP(K1005,'Mapping DEF'!A:C,2,0),"")</f>
        <v>Curve (Local)</v>
      </c>
      <c r="N1005" t="str">
        <f>+_xlfn.IFNA(VLOOKUP(M1005,'Mapping DEF'!B:C,2,FALSE),"")</f>
        <v>Term Structure</v>
      </c>
      <c r="O1005" t="s">
        <v>2790</v>
      </c>
    </row>
    <row r="1006" spans="1:15" x14ac:dyDescent="0.25">
      <c r="A1006" s="4" t="s">
        <v>2309</v>
      </c>
      <c r="B1006" s="4" t="s">
        <v>2310</v>
      </c>
      <c r="C1006" s="5">
        <v>2441</v>
      </c>
      <c r="D1006" s="6" t="s">
        <v>2311</v>
      </c>
      <c r="E1006" t="s">
        <v>1407</v>
      </c>
      <c r="F1006" t="s">
        <v>315</v>
      </c>
      <c r="G1006" t="str">
        <f>+VLOOKUP(F1006,[1]Explore!$B:$I,8,0)</f>
        <v>Govt EUR (Ger)</v>
      </c>
      <c r="H1006" t="s">
        <v>316</v>
      </c>
      <c r="I1006" t="str">
        <f>+VLOOKUP(H1006,[1]Explore!$A:$I,9,0)</f>
        <v>Govt EUR (Ger)</v>
      </c>
      <c r="J1006" t="str">
        <f t="shared" si="30"/>
        <v>OK</v>
      </c>
      <c r="K1006" t="str">
        <f t="shared" si="31"/>
        <v>Govt EUR (Ger)</v>
      </c>
      <c r="L1006" t="s">
        <v>2143</v>
      </c>
      <c r="M1006" t="str">
        <f>_xlfn.IFNA(VLOOKUP(K1006,'Mapping DEF'!A:C,2,0),"")</f>
        <v>Curve (Local)</v>
      </c>
      <c r="N1006" t="str">
        <f>+_xlfn.IFNA(VLOOKUP(M1006,'Mapping DEF'!B:C,2,FALSE),"")</f>
        <v>Term Structure</v>
      </c>
      <c r="O1006" t="s">
        <v>2788</v>
      </c>
    </row>
    <row r="1007" spans="1:15" x14ac:dyDescent="0.25">
      <c r="A1007" s="4" t="s">
        <v>2309</v>
      </c>
      <c r="B1007" s="4" t="s">
        <v>2310</v>
      </c>
      <c r="C1007" s="5">
        <v>2441</v>
      </c>
      <c r="D1007" s="6" t="s">
        <v>2311</v>
      </c>
      <c r="E1007" t="s">
        <v>1195</v>
      </c>
      <c r="F1007" t="s">
        <v>2942</v>
      </c>
      <c r="G1007" t="str">
        <f>+VLOOKUP(F1007,[1]Explore!$B:$I,8,0)</f>
        <v>EUR</v>
      </c>
      <c r="H1007" t="s">
        <v>173</v>
      </c>
      <c r="I1007" t="str">
        <f>+VLOOKUP(H1007,[1]Explore!$A:$I,9,0)</f>
        <v>EUR</v>
      </c>
      <c r="J1007" t="str">
        <f t="shared" si="30"/>
        <v>OK</v>
      </c>
      <c r="K1007" t="str">
        <f t="shared" si="31"/>
        <v>EUR</v>
      </c>
      <c r="L1007" t="s">
        <v>2140</v>
      </c>
      <c r="M1007" t="str">
        <f>_xlfn.IFNA(VLOOKUP(K1007,'Mapping DEF'!A:C,2,0),"")</f>
        <v>FX</v>
      </c>
      <c r="N1007" t="str">
        <f>+_xlfn.IFNA(VLOOKUP(M1007,'Mapping DEF'!B:C,2,FALSE),"")</f>
        <v>FX</v>
      </c>
      <c r="O1007" t="s">
        <v>2802</v>
      </c>
    </row>
    <row r="1008" spans="1:15" x14ac:dyDescent="0.25">
      <c r="A1008" s="4" t="s">
        <v>2309</v>
      </c>
      <c r="B1008" s="4" t="s">
        <v>2310</v>
      </c>
      <c r="C1008" s="5">
        <v>2441</v>
      </c>
      <c r="D1008" s="6" t="s">
        <v>2311</v>
      </c>
      <c r="E1008" t="s">
        <v>1005</v>
      </c>
      <c r="F1008" t="s">
        <v>966</v>
      </c>
      <c r="G1008" t="str">
        <f>+VLOOKUP(F1008,[1]Explore!$B:$I,8,0)</f>
        <v>EUR Inflation</v>
      </c>
      <c r="H1008" t="s">
        <v>967</v>
      </c>
      <c r="I1008" t="str">
        <f>+VLOOKUP(H1008,[1]Explore!$A:$I,9,0)</f>
        <v>EUR Inflation</v>
      </c>
      <c r="J1008" t="str">
        <f t="shared" si="30"/>
        <v>OK</v>
      </c>
      <c r="K1008" t="str">
        <f t="shared" si="31"/>
        <v>EUR Inflation</v>
      </c>
      <c r="L1008" t="s">
        <v>2143</v>
      </c>
      <c r="M1008" t="str">
        <f>_xlfn.IFNA(VLOOKUP(K1008,'Mapping DEF'!A:C,2,0),"")</f>
        <v>Inflation</v>
      </c>
      <c r="N1008" t="str">
        <f>+_xlfn.IFNA(VLOOKUP(M1008,'Mapping DEF'!B:C,2,FALSE),"")</f>
        <v>Other</v>
      </c>
      <c r="O1008" t="s">
        <v>2774</v>
      </c>
    </row>
    <row r="1009" spans="1:15" x14ac:dyDescent="0.25">
      <c r="A1009" s="4" t="s">
        <v>2309</v>
      </c>
      <c r="B1009" s="4" t="s">
        <v>2310</v>
      </c>
      <c r="C1009" s="5">
        <v>2441</v>
      </c>
      <c r="D1009" s="6" t="s">
        <v>2311</v>
      </c>
      <c r="E1009" t="s">
        <v>1408</v>
      </c>
      <c r="F1009" t="s">
        <v>2618</v>
      </c>
      <c r="G1009" t="str">
        <f>+VLOOKUP(F1009,[1]Explore!$B:$I,8,0)</f>
        <v>Equity Implied Volatility</v>
      </c>
      <c r="H1009" t="s">
        <v>144</v>
      </c>
      <c r="I1009" t="str">
        <f>+VLOOKUP(H1009,[1]Explore!$A:$I,9,0)</f>
        <v>Equity Implied Volatility</v>
      </c>
      <c r="J1009" t="str">
        <f t="shared" si="30"/>
        <v>OK</v>
      </c>
      <c r="K1009" t="str">
        <f t="shared" si="31"/>
        <v>Equity Implied Volatility</v>
      </c>
      <c r="L1009" t="s">
        <v>27</v>
      </c>
      <c r="M1009" t="str">
        <f>_xlfn.IFNA(VLOOKUP(K1009,'Mapping DEF'!A:C,2,0),"")</f>
        <v>Equity Derivatives</v>
      </c>
      <c r="N1009" t="str">
        <f>+_xlfn.IFNA(VLOOKUP(M1009,'Mapping DEF'!B:C,2,FALSE),"")</f>
        <v>Equity</v>
      </c>
      <c r="O1009" t="s">
        <v>2794</v>
      </c>
    </row>
    <row r="1010" spans="1:15" x14ac:dyDescent="0.25">
      <c r="A1010" s="4" t="s">
        <v>2309</v>
      </c>
      <c r="B1010" s="4" t="s">
        <v>2310</v>
      </c>
      <c r="C1010" s="5">
        <v>2441</v>
      </c>
      <c r="D1010" s="6" t="s">
        <v>2311</v>
      </c>
      <c r="E1010" t="s">
        <v>1409</v>
      </c>
      <c r="F1010" t="s">
        <v>1396</v>
      </c>
      <c r="G1010" t="str">
        <f>+VLOOKUP(F1010,[1]Explore!$B:$I,8,0)</f>
        <v>Corporate HY EUR - Other</v>
      </c>
      <c r="H1010" t="s">
        <v>1397</v>
      </c>
      <c r="I1010" t="str">
        <f>+VLOOKUP(H1010,[1]Explore!$A:$I,9,0)</f>
        <v>Corporate HY EUR - Other</v>
      </c>
      <c r="J1010" t="str">
        <f t="shared" si="30"/>
        <v>OK</v>
      </c>
      <c r="K1010" t="str">
        <f t="shared" si="31"/>
        <v>Corporate HY EUR - Other</v>
      </c>
      <c r="L1010" t="s">
        <v>188</v>
      </c>
      <c r="M1010" t="str">
        <f>_xlfn.IFNA(VLOOKUP(K1010,'Mapping DEF'!A:C,2,0),"")</f>
        <v>Spread</v>
      </c>
      <c r="N1010" t="str">
        <f>+_xlfn.IFNA(VLOOKUP(M1010,'Mapping DEF'!B:C,2,FALSE),"")</f>
        <v>Spread</v>
      </c>
      <c r="O1010" t="s">
        <v>2780</v>
      </c>
    </row>
    <row r="1011" spans="1:15" x14ac:dyDescent="0.25">
      <c r="A1011" s="4" t="s">
        <v>2309</v>
      </c>
      <c r="B1011" s="4" t="s">
        <v>2310</v>
      </c>
      <c r="C1011" s="5">
        <v>2441</v>
      </c>
      <c r="D1011" s="6" t="s">
        <v>2311</v>
      </c>
      <c r="E1011" t="s">
        <v>654</v>
      </c>
      <c r="F1011" t="s">
        <v>191</v>
      </c>
      <c r="G1011" t="e">
        <f>+VLOOKUP(F1011,[1]Explore!$B:$I,8,0)</f>
        <v>#N/A</v>
      </c>
      <c r="H1011" t="s">
        <v>192</v>
      </c>
      <c r="I1011" t="e">
        <f>+VLOOKUP(H1011,[1]Explore!$A:$I,9,0)</f>
        <v>#N/A</v>
      </c>
      <c r="J1011" t="str">
        <f t="shared" si="30"/>
        <v>BOTH #N/A</v>
      </c>
      <c r="K1011" t="str">
        <f t="shared" si="31"/>
        <v xml:space="preserve">Time </v>
      </c>
      <c r="L1011" t="s">
        <v>2138</v>
      </c>
      <c r="M1011" t="str">
        <f>_xlfn.IFNA(VLOOKUP(K1011,'Mapping DEF'!A:C,2,0),"")</f>
        <v>Time</v>
      </c>
      <c r="N1011" t="str">
        <f>+_xlfn.IFNA(VLOOKUP(M1011,'Mapping DEF'!B:C,2,FALSE),"")</f>
        <v>Other</v>
      </c>
      <c r="O1011" t="s">
        <v>2762</v>
      </c>
    </row>
    <row r="1012" spans="1:15" x14ac:dyDescent="0.25">
      <c r="A1012" s="4" t="s">
        <v>2309</v>
      </c>
      <c r="B1012" s="4" t="s">
        <v>2310</v>
      </c>
      <c r="C1012" s="5">
        <v>2441</v>
      </c>
      <c r="D1012" s="6" t="s">
        <v>2311</v>
      </c>
      <c r="E1012" t="s">
        <v>1410</v>
      </c>
      <c r="F1012" t="s">
        <v>2181</v>
      </c>
      <c r="G1012" t="str">
        <f>+VLOOKUP(F1012,[1]Explore!$B:$I,8,0)</f>
        <v>Other - Index</v>
      </c>
      <c r="H1012" t="s">
        <v>618</v>
      </c>
      <c r="I1012" t="e">
        <f>+VLOOKUP(H1012,[1]Explore!$A:$I,9,0)</f>
        <v>#N/A</v>
      </c>
      <c r="J1012" t="str">
        <f t="shared" si="30"/>
        <v>OK</v>
      </c>
      <c r="K1012" t="str">
        <f t="shared" si="31"/>
        <v>Other - Index</v>
      </c>
      <c r="L1012" t="s">
        <v>27</v>
      </c>
      <c r="M1012" t="str">
        <f>_xlfn.IFNA(VLOOKUP(K1012,'Mapping DEF'!A:C,2,0),"")</f>
        <v>Other</v>
      </c>
      <c r="N1012" t="str">
        <f>+_xlfn.IFNA(VLOOKUP(M1012,'Mapping DEF'!B:C,2,FALSE),"")</f>
        <v>Other</v>
      </c>
      <c r="O1012" t="s">
        <v>2812</v>
      </c>
    </row>
    <row r="1013" spans="1:15" x14ac:dyDescent="0.25">
      <c r="A1013" s="4" t="s">
        <v>2309</v>
      </c>
      <c r="B1013" s="4" t="s">
        <v>2310</v>
      </c>
      <c r="C1013" s="5">
        <v>2441</v>
      </c>
      <c r="D1013" s="6" t="s">
        <v>2311</v>
      </c>
      <c r="E1013" t="s">
        <v>1411</v>
      </c>
      <c r="F1013" t="s">
        <v>2156</v>
      </c>
      <c r="G1013" t="str">
        <f>+VLOOKUP(F1013,[1]Explore!$B:$I,8,0)</f>
        <v>Equity Implied Volatility</v>
      </c>
      <c r="H1013" t="s">
        <v>224</v>
      </c>
      <c r="I1013" t="e">
        <f>+VLOOKUP(H1013,[1]Explore!$A:$I,9,0)</f>
        <v>#N/A</v>
      </c>
      <c r="J1013" t="str">
        <f t="shared" si="30"/>
        <v>OK</v>
      </c>
      <c r="K1013" t="str">
        <f t="shared" si="31"/>
        <v>Equity Implied Volatility</v>
      </c>
      <c r="L1013" t="s">
        <v>27</v>
      </c>
      <c r="M1013" t="str">
        <f>_xlfn.IFNA(VLOOKUP(K1013,'Mapping DEF'!A:C,2,0),"")</f>
        <v>Equity Derivatives</v>
      </c>
      <c r="N1013" t="str">
        <f>+_xlfn.IFNA(VLOOKUP(M1013,'Mapping DEF'!B:C,2,FALSE),"")</f>
        <v>Equity</v>
      </c>
      <c r="O1013" t="s">
        <v>2776</v>
      </c>
    </row>
    <row r="1014" spans="1:15" x14ac:dyDescent="0.25">
      <c r="A1014" s="4" t="s">
        <v>2312</v>
      </c>
      <c r="B1014" s="4" t="s">
        <v>2313</v>
      </c>
      <c r="C1014" s="5">
        <v>2439</v>
      </c>
      <c r="D1014" s="6" t="s">
        <v>2314</v>
      </c>
      <c r="E1014" t="s">
        <v>621</v>
      </c>
      <c r="F1014" t="s">
        <v>13</v>
      </c>
      <c r="G1014" t="str">
        <f>+VLOOKUP(F1014,[1]Explore!$B:$I,8,0)</f>
        <v>Govt USD</v>
      </c>
      <c r="H1014" t="s">
        <v>14</v>
      </c>
      <c r="I1014" t="str">
        <f>+VLOOKUP(H1014,[1]Explore!$A:$I,9,0)</f>
        <v>Govt USD</v>
      </c>
      <c r="J1014" t="str">
        <f t="shared" si="30"/>
        <v>OK</v>
      </c>
      <c r="K1014" t="str">
        <f t="shared" si="31"/>
        <v>Govt USD</v>
      </c>
      <c r="L1014" t="s">
        <v>2143</v>
      </c>
      <c r="M1014" t="str">
        <f>_xlfn.IFNA(VLOOKUP(K1014,'Mapping DEF'!A:C,2,0),"")</f>
        <v>Curve (Local)</v>
      </c>
      <c r="N1014" t="str">
        <f>+_xlfn.IFNA(VLOOKUP(M1014,'Mapping DEF'!B:C,2,FALSE),"")</f>
        <v>Term Structure</v>
      </c>
      <c r="O1014" t="s">
        <v>2779</v>
      </c>
    </row>
    <row r="1015" spans="1:15" x14ac:dyDescent="0.25">
      <c r="A1015" s="4" t="s">
        <v>2312</v>
      </c>
      <c r="B1015" s="4" t="s">
        <v>2313</v>
      </c>
      <c r="C1015" s="5">
        <v>2439</v>
      </c>
      <c r="D1015" s="6" t="s">
        <v>2314</v>
      </c>
      <c r="E1015" t="s">
        <v>959</v>
      </c>
      <c r="F1015" t="s">
        <v>19</v>
      </c>
      <c r="G1015" t="str">
        <f>+VLOOKUP(F1015,[1]Explore!$B:$I,8,0)</f>
        <v>Govt USD</v>
      </c>
      <c r="H1015" t="s">
        <v>20</v>
      </c>
      <c r="I1015" t="str">
        <f>+VLOOKUP(H1015,[1]Explore!$A:$I,9,0)</f>
        <v>Govt USD</v>
      </c>
      <c r="J1015" t="str">
        <f t="shared" si="30"/>
        <v>OK</v>
      </c>
      <c r="K1015" t="str">
        <f t="shared" si="31"/>
        <v>Govt USD</v>
      </c>
      <c r="L1015" t="s">
        <v>2143</v>
      </c>
      <c r="M1015" t="str">
        <f>_xlfn.IFNA(VLOOKUP(K1015,'Mapping DEF'!A:C,2,0),"")</f>
        <v>Curve (Local)</v>
      </c>
      <c r="N1015" t="str">
        <f>+_xlfn.IFNA(VLOOKUP(M1015,'Mapping DEF'!B:C,2,FALSE),"")</f>
        <v>Term Structure</v>
      </c>
      <c r="O1015" t="s">
        <v>2786</v>
      </c>
    </row>
    <row r="1016" spans="1:15" x14ac:dyDescent="0.25">
      <c r="A1016" s="4" t="s">
        <v>2312</v>
      </c>
      <c r="B1016" s="4" t="s">
        <v>2313</v>
      </c>
      <c r="C1016" s="5">
        <v>2439</v>
      </c>
      <c r="D1016" s="6" t="s">
        <v>2314</v>
      </c>
      <c r="E1016" t="s">
        <v>1412</v>
      </c>
      <c r="F1016" t="s">
        <v>588</v>
      </c>
      <c r="G1016" t="str">
        <f>+VLOOKUP(F1016,[1]Explore!$B:$I,8,0)</f>
        <v>USD Inflation</v>
      </c>
      <c r="H1016" t="s">
        <v>589</v>
      </c>
      <c r="I1016" t="str">
        <f>+VLOOKUP(H1016,[1]Explore!$A:$I,9,0)</f>
        <v>USD Inflation</v>
      </c>
      <c r="J1016" t="str">
        <f t="shared" si="30"/>
        <v>OK</v>
      </c>
      <c r="K1016" t="str">
        <f t="shared" si="31"/>
        <v>USD Inflation</v>
      </c>
      <c r="L1016" t="s">
        <v>2143</v>
      </c>
      <c r="M1016" t="str">
        <f>_xlfn.IFNA(VLOOKUP(K1016,'Mapping DEF'!A:C,2,0),"")</f>
        <v>Inflation</v>
      </c>
      <c r="N1016" t="str">
        <f>+_xlfn.IFNA(VLOOKUP(M1016,'Mapping DEF'!B:C,2,FALSE),"")</f>
        <v>Other</v>
      </c>
      <c r="O1016" t="s">
        <v>2774</v>
      </c>
    </row>
    <row r="1017" spans="1:15" x14ac:dyDescent="0.25">
      <c r="A1017" s="4" t="s">
        <v>2312</v>
      </c>
      <c r="B1017" s="4" t="s">
        <v>2313</v>
      </c>
      <c r="C1017" s="5">
        <v>2439</v>
      </c>
      <c r="D1017" s="6" t="s">
        <v>2314</v>
      </c>
      <c r="E1017" t="s">
        <v>712</v>
      </c>
      <c r="F1017" t="s">
        <v>2156</v>
      </c>
      <c r="G1017" t="str">
        <f>+VLOOKUP(F1017,[1]Explore!$B:$I,8,0)</f>
        <v>Equity Implied Volatility</v>
      </c>
      <c r="H1017" t="s">
        <v>141</v>
      </c>
      <c r="I1017" t="str">
        <f>+VLOOKUP(H1017,[1]Explore!$A:$I,9,0)</f>
        <v>Equity Implied Volatility</v>
      </c>
      <c r="J1017" t="str">
        <f t="shared" si="30"/>
        <v>OK</v>
      </c>
      <c r="K1017" t="str">
        <f t="shared" si="31"/>
        <v>Equity Implied Volatility</v>
      </c>
      <c r="L1017" t="s">
        <v>27</v>
      </c>
      <c r="M1017" t="str">
        <f>_xlfn.IFNA(VLOOKUP(K1017,'Mapping DEF'!A:C,2,0),"")</f>
        <v>Equity Derivatives</v>
      </c>
      <c r="N1017" t="str">
        <f>+_xlfn.IFNA(VLOOKUP(M1017,'Mapping DEF'!B:C,2,FALSE),"")</f>
        <v>Equity</v>
      </c>
      <c r="O1017" t="s">
        <v>2753</v>
      </c>
    </row>
    <row r="1018" spans="1:15" x14ac:dyDescent="0.25">
      <c r="A1018" s="4" t="s">
        <v>2312</v>
      </c>
      <c r="B1018" s="4" t="s">
        <v>2313</v>
      </c>
      <c r="C1018" s="5">
        <v>2439</v>
      </c>
      <c r="D1018" s="6" t="s">
        <v>2314</v>
      </c>
      <c r="E1018" t="s">
        <v>654</v>
      </c>
      <c r="F1018" t="s">
        <v>191</v>
      </c>
      <c r="G1018" t="e">
        <f>+VLOOKUP(F1018,[1]Explore!$B:$I,8,0)</f>
        <v>#N/A</v>
      </c>
      <c r="H1018" t="s">
        <v>192</v>
      </c>
      <c r="I1018" t="e">
        <f>+VLOOKUP(H1018,[1]Explore!$A:$I,9,0)</f>
        <v>#N/A</v>
      </c>
      <c r="J1018" t="str">
        <f t="shared" si="30"/>
        <v>BOTH #N/A</v>
      </c>
      <c r="K1018" t="str">
        <f t="shared" si="31"/>
        <v xml:space="preserve">Time </v>
      </c>
      <c r="L1018" t="s">
        <v>2138</v>
      </c>
      <c r="M1018" t="str">
        <f>_xlfn.IFNA(VLOOKUP(K1018,'Mapping DEF'!A:C,2,0),"")</f>
        <v>Time</v>
      </c>
      <c r="N1018" t="str">
        <f>+_xlfn.IFNA(VLOOKUP(M1018,'Mapping DEF'!B:C,2,FALSE),"")</f>
        <v>Other</v>
      </c>
      <c r="O1018" t="s">
        <v>2762</v>
      </c>
    </row>
    <row r="1019" spans="1:15" x14ac:dyDescent="0.25">
      <c r="A1019" s="4" t="s">
        <v>2312</v>
      </c>
      <c r="B1019" s="4" t="s">
        <v>2313</v>
      </c>
      <c r="C1019" s="5">
        <v>2439</v>
      </c>
      <c r="D1019" s="6" t="s">
        <v>2314</v>
      </c>
      <c r="E1019" t="s">
        <v>1416</v>
      </c>
      <c r="F1019" t="s">
        <v>220</v>
      </c>
      <c r="G1019" t="str">
        <f>+VLOOKUP(F1019,[1]Explore!$B:$I,8,0)</f>
        <v>Corporate HY USD - Other</v>
      </c>
      <c r="H1019" t="s">
        <v>221</v>
      </c>
      <c r="I1019" t="str">
        <f>+VLOOKUP(H1019,[1]Explore!$A:$I,9,0)</f>
        <v>Corporate HY USD - Other</v>
      </c>
      <c r="J1019" t="str">
        <f t="shared" si="30"/>
        <v>OK</v>
      </c>
      <c r="K1019" t="str">
        <f t="shared" si="31"/>
        <v>Corporate HY USD - Other</v>
      </c>
      <c r="L1019" t="s">
        <v>188</v>
      </c>
      <c r="M1019" t="str">
        <f>_xlfn.IFNA(VLOOKUP(K1019,'Mapping DEF'!A:C,2,0),"")</f>
        <v>Spread</v>
      </c>
      <c r="N1019" t="str">
        <f>+_xlfn.IFNA(VLOOKUP(M1019,'Mapping DEF'!B:C,2,FALSE),"")</f>
        <v>Spread</v>
      </c>
      <c r="O1019" t="s">
        <v>2826</v>
      </c>
    </row>
    <row r="1020" spans="1:15" x14ac:dyDescent="0.25">
      <c r="A1020" s="4" t="s">
        <v>2312</v>
      </c>
      <c r="B1020" s="4" t="s">
        <v>2313</v>
      </c>
      <c r="C1020" s="5">
        <v>2439</v>
      </c>
      <c r="D1020" s="6" t="s">
        <v>2314</v>
      </c>
      <c r="E1020" t="s">
        <v>1417</v>
      </c>
      <c r="F1020" t="s">
        <v>2169</v>
      </c>
      <c r="G1020" t="str">
        <f>+VLOOKUP(F1020,[1]Explore!$B:$I,8,0)</f>
        <v>Other - Index</v>
      </c>
      <c r="H1020" t="s">
        <v>1373</v>
      </c>
      <c r="I1020" t="e">
        <f>+VLOOKUP(H1020,[1]Explore!$A:$I,9,0)</f>
        <v>#N/A</v>
      </c>
      <c r="J1020" t="str">
        <f t="shared" si="30"/>
        <v>OK</v>
      </c>
      <c r="K1020" t="str">
        <f t="shared" si="31"/>
        <v>Other - Index</v>
      </c>
      <c r="L1020" t="s">
        <v>27</v>
      </c>
      <c r="M1020" t="str">
        <f>_xlfn.IFNA(VLOOKUP(K1020,'Mapping DEF'!A:C,2,0),"")</f>
        <v>Other</v>
      </c>
      <c r="N1020" t="str">
        <f>+_xlfn.IFNA(VLOOKUP(M1020,'Mapping DEF'!B:C,2,FALSE),"")</f>
        <v>Other</v>
      </c>
      <c r="O1020" t="s">
        <v>2770</v>
      </c>
    </row>
    <row r="1021" spans="1:15" x14ac:dyDescent="0.25">
      <c r="A1021" s="4" t="s">
        <v>2315</v>
      </c>
      <c r="B1021" s="4" t="s">
        <v>2316</v>
      </c>
      <c r="C1021" s="5">
        <v>2440</v>
      </c>
      <c r="D1021" s="6" t="s">
        <v>2317</v>
      </c>
      <c r="E1021" t="s">
        <v>621</v>
      </c>
      <c r="F1021" t="s">
        <v>13</v>
      </c>
      <c r="G1021" t="str">
        <f>+VLOOKUP(F1021,[1]Explore!$B:$I,8,0)</f>
        <v>Govt USD</v>
      </c>
      <c r="H1021" t="s">
        <v>14</v>
      </c>
      <c r="I1021" t="str">
        <f>+VLOOKUP(H1021,[1]Explore!$A:$I,9,0)</f>
        <v>Govt USD</v>
      </c>
      <c r="J1021" t="str">
        <f t="shared" si="30"/>
        <v>OK</v>
      </c>
      <c r="K1021" t="str">
        <f t="shared" si="31"/>
        <v>Govt USD</v>
      </c>
      <c r="L1021" t="s">
        <v>2143</v>
      </c>
      <c r="M1021" t="str">
        <f>_xlfn.IFNA(VLOOKUP(K1021,'Mapping DEF'!A:C,2,0),"")</f>
        <v>Curve (Local)</v>
      </c>
      <c r="N1021" t="str">
        <f>+_xlfn.IFNA(VLOOKUP(M1021,'Mapping DEF'!B:C,2,FALSE),"")</f>
        <v>Term Structure</v>
      </c>
      <c r="O1021" t="s">
        <v>2779</v>
      </c>
    </row>
    <row r="1022" spans="1:15" x14ac:dyDescent="0.25">
      <c r="A1022" s="4" t="s">
        <v>2315</v>
      </c>
      <c r="B1022" s="4" t="s">
        <v>2316</v>
      </c>
      <c r="C1022" s="5">
        <v>2440</v>
      </c>
      <c r="D1022" s="6" t="s">
        <v>2317</v>
      </c>
      <c r="E1022" t="s">
        <v>334</v>
      </c>
      <c r="F1022" t="s">
        <v>19</v>
      </c>
      <c r="G1022" t="str">
        <f>+VLOOKUP(F1022,[1]Explore!$B:$I,8,0)</f>
        <v>Govt USD</v>
      </c>
      <c r="H1022" t="s">
        <v>20</v>
      </c>
      <c r="I1022" t="str">
        <f>+VLOOKUP(H1022,[1]Explore!$A:$I,9,0)</f>
        <v>Govt USD</v>
      </c>
      <c r="J1022" t="str">
        <f t="shared" si="30"/>
        <v>OK</v>
      </c>
      <c r="K1022" t="str">
        <f t="shared" si="31"/>
        <v>Govt USD</v>
      </c>
      <c r="L1022" t="s">
        <v>2143</v>
      </c>
      <c r="M1022" t="str">
        <f>_xlfn.IFNA(VLOOKUP(K1022,'Mapping DEF'!A:C,2,0),"")</f>
        <v>Curve (Local)</v>
      </c>
      <c r="N1022" t="str">
        <f>+_xlfn.IFNA(VLOOKUP(M1022,'Mapping DEF'!B:C,2,FALSE),"")</f>
        <v>Term Structure</v>
      </c>
      <c r="O1022" t="s">
        <v>2774</v>
      </c>
    </row>
    <row r="1023" spans="1:15" x14ac:dyDescent="0.25">
      <c r="A1023" s="4" t="s">
        <v>2315</v>
      </c>
      <c r="B1023" s="4" t="s">
        <v>2316</v>
      </c>
      <c r="C1023" s="5">
        <v>2440</v>
      </c>
      <c r="D1023" s="6" t="s">
        <v>2317</v>
      </c>
      <c r="E1023" t="s">
        <v>1418</v>
      </c>
      <c r="F1023" t="s">
        <v>588</v>
      </c>
      <c r="G1023" t="str">
        <f>+VLOOKUP(F1023,[1]Explore!$B:$I,8,0)</f>
        <v>USD Inflation</v>
      </c>
      <c r="H1023" t="s">
        <v>589</v>
      </c>
      <c r="I1023" t="str">
        <f>+VLOOKUP(H1023,[1]Explore!$A:$I,9,0)</f>
        <v>USD Inflation</v>
      </c>
      <c r="J1023" t="str">
        <f t="shared" si="30"/>
        <v>OK</v>
      </c>
      <c r="K1023" t="str">
        <f t="shared" si="31"/>
        <v>USD Inflation</v>
      </c>
      <c r="L1023" t="s">
        <v>2143</v>
      </c>
      <c r="M1023" t="str">
        <f>_xlfn.IFNA(VLOOKUP(K1023,'Mapping DEF'!A:C,2,0),"")</f>
        <v>Inflation</v>
      </c>
      <c r="N1023" t="str">
        <f>+_xlfn.IFNA(VLOOKUP(M1023,'Mapping DEF'!B:C,2,FALSE),"")</f>
        <v>Other</v>
      </c>
      <c r="O1023" t="s">
        <v>2791</v>
      </c>
    </row>
    <row r="1024" spans="1:15" x14ac:dyDescent="0.25">
      <c r="A1024" s="4" t="s">
        <v>2315</v>
      </c>
      <c r="B1024" s="4" t="s">
        <v>2316</v>
      </c>
      <c r="C1024" s="5">
        <v>2440</v>
      </c>
      <c r="D1024" s="6" t="s">
        <v>2317</v>
      </c>
      <c r="E1024" t="s">
        <v>1419</v>
      </c>
      <c r="F1024" t="s">
        <v>265</v>
      </c>
      <c r="G1024" t="str">
        <f>+VLOOKUP(F1024,[1]Explore!$B:$I,8,0)</f>
        <v>Alternative - Commodity</v>
      </c>
      <c r="H1024" t="s">
        <v>266</v>
      </c>
      <c r="I1024" t="str">
        <f>+VLOOKUP(H1024,[1]Explore!$A:$I,9,0)</f>
        <v>Alternative - Commodity</v>
      </c>
      <c r="J1024" t="str">
        <f t="shared" si="30"/>
        <v>OK</v>
      </c>
      <c r="K1024" t="str">
        <f t="shared" si="31"/>
        <v>Alternative - Commodity</v>
      </c>
      <c r="L1024" t="s">
        <v>2139</v>
      </c>
      <c r="M1024" t="str">
        <f>_xlfn.IFNA(VLOOKUP(K1024,'Mapping DEF'!A:C,2,0),"")</f>
        <v>Alternative</v>
      </c>
      <c r="N1024" t="str">
        <f>+_xlfn.IFNA(VLOOKUP(M1024,'Mapping DEF'!B:C,2,FALSE),"")</f>
        <v>Other</v>
      </c>
      <c r="O1024" t="s">
        <v>2772</v>
      </c>
    </row>
    <row r="1025" spans="1:15" x14ac:dyDescent="0.25">
      <c r="A1025" s="4" t="s">
        <v>2315</v>
      </c>
      <c r="B1025" s="4" t="s">
        <v>2316</v>
      </c>
      <c r="C1025" s="5">
        <v>2440</v>
      </c>
      <c r="D1025" s="6" t="s">
        <v>2317</v>
      </c>
      <c r="E1025" t="s">
        <v>329</v>
      </c>
      <c r="F1025" t="s">
        <v>268</v>
      </c>
      <c r="G1025" t="str">
        <f>+VLOOKUP(F1025,[1]Explore!$B:$I,8,0)</f>
        <v>Alternative - Commodity</v>
      </c>
      <c r="H1025" t="s">
        <v>269</v>
      </c>
      <c r="I1025" t="str">
        <f>+VLOOKUP(H1025,[1]Explore!$A:$I,9,0)</f>
        <v>Alternative - Commodity</v>
      </c>
      <c r="J1025" t="str">
        <f t="shared" si="30"/>
        <v>OK</v>
      </c>
      <c r="K1025" t="str">
        <f t="shared" si="31"/>
        <v>Alternative - Commodity</v>
      </c>
      <c r="L1025" t="s">
        <v>2139</v>
      </c>
      <c r="M1025" t="str">
        <f>_xlfn.IFNA(VLOOKUP(K1025,'Mapping DEF'!A:C,2,0),"")</f>
        <v>Alternative</v>
      </c>
      <c r="N1025" t="str">
        <f>+_xlfn.IFNA(VLOOKUP(M1025,'Mapping DEF'!B:C,2,FALSE),"")</f>
        <v>Other</v>
      </c>
      <c r="O1025" t="s">
        <v>2770</v>
      </c>
    </row>
    <row r="1026" spans="1:15" x14ac:dyDescent="0.25">
      <c r="A1026" s="4" t="s">
        <v>2315</v>
      </c>
      <c r="B1026" s="4" t="s">
        <v>2316</v>
      </c>
      <c r="C1026" s="5">
        <v>2440</v>
      </c>
      <c r="D1026" s="6" t="s">
        <v>2317</v>
      </c>
      <c r="E1026" t="s">
        <v>423</v>
      </c>
      <c r="F1026" t="s">
        <v>2156</v>
      </c>
      <c r="G1026" t="str">
        <f>+VLOOKUP(F1026,[1]Explore!$B:$I,8,0)</f>
        <v>Equity Implied Volatility</v>
      </c>
      <c r="H1026" t="s">
        <v>141</v>
      </c>
      <c r="I1026" t="str">
        <f>+VLOOKUP(H1026,[1]Explore!$A:$I,9,0)</f>
        <v>Equity Implied Volatility</v>
      </c>
      <c r="J1026" t="str">
        <f t="shared" si="30"/>
        <v>OK</v>
      </c>
      <c r="K1026" t="str">
        <f t="shared" si="31"/>
        <v>Equity Implied Volatility</v>
      </c>
      <c r="L1026" t="s">
        <v>27</v>
      </c>
      <c r="M1026" t="str">
        <f>_xlfn.IFNA(VLOOKUP(K1026,'Mapping DEF'!A:C,2,0),"")</f>
        <v>Equity Derivatives</v>
      </c>
      <c r="N1026" t="str">
        <f>+_xlfn.IFNA(VLOOKUP(M1026,'Mapping DEF'!B:C,2,FALSE),"")</f>
        <v>Equity</v>
      </c>
      <c r="O1026" t="s">
        <v>2761</v>
      </c>
    </row>
    <row r="1027" spans="1:15" x14ac:dyDescent="0.25">
      <c r="A1027" s="4" t="s">
        <v>2315</v>
      </c>
      <c r="B1027" s="4" t="s">
        <v>2316</v>
      </c>
      <c r="C1027" s="5">
        <v>2440</v>
      </c>
      <c r="D1027" s="6" t="s">
        <v>2317</v>
      </c>
      <c r="E1027" t="s">
        <v>654</v>
      </c>
      <c r="F1027" t="s">
        <v>191</v>
      </c>
      <c r="G1027" t="e">
        <f>+VLOOKUP(F1027,[1]Explore!$B:$I,8,0)</f>
        <v>#N/A</v>
      </c>
      <c r="H1027" t="s">
        <v>192</v>
      </c>
      <c r="I1027" t="e">
        <f>+VLOOKUP(H1027,[1]Explore!$A:$I,9,0)</f>
        <v>#N/A</v>
      </c>
      <c r="J1027" t="str">
        <f t="shared" ref="J1027:J1090" si="32">IF(AND(ISNA(G1027),ISNA(I1027)),"BOTH #N/A","OK")</f>
        <v>BOTH #N/A</v>
      </c>
      <c r="K1027" t="str">
        <f t="shared" ref="K1027:K1090" si="33">IFERROR(I1027, IFERROR(G1027, L1027))</f>
        <v xml:space="preserve">Time </v>
      </c>
      <c r="L1027" t="s">
        <v>2138</v>
      </c>
      <c r="M1027" t="str">
        <f>_xlfn.IFNA(VLOOKUP(K1027,'Mapping DEF'!A:C,2,0),"")</f>
        <v>Time</v>
      </c>
      <c r="N1027" t="str">
        <f>+_xlfn.IFNA(VLOOKUP(M1027,'Mapping DEF'!B:C,2,FALSE),"")</f>
        <v>Other</v>
      </c>
      <c r="O1027" t="s">
        <v>2762</v>
      </c>
    </row>
    <row r="1028" spans="1:15" x14ac:dyDescent="0.25">
      <c r="A1028" s="4" t="s">
        <v>2315</v>
      </c>
      <c r="B1028" s="4" t="s">
        <v>2316</v>
      </c>
      <c r="C1028" s="5">
        <v>2440</v>
      </c>
      <c r="D1028" s="6" t="s">
        <v>2317</v>
      </c>
      <c r="E1028" t="s">
        <v>1420</v>
      </c>
      <c r="F1028" t="s">
        <v>220</v>
      </c>
      <c r="G1028" t="str">
        <f>+VLOOKUP(F1028,[1]Explore!$B:$I,8,0)</f>
        <v>Corporate HY USD - Other</v>
      </c>
      <c r="H1028" t="s">
        <v>221</v>
      </c>
      <c r="I1028" t="str">
        <f>+VLOOKUP(H1028,[1]Explore!$A:$I,9,0)</f>
        <v>Corporate HY USD - Other</v>
      </c>
      <c r="J1028" t="str">
        <f t="shared" si="32"/>
        <v>OK</v>
      </c>
      <c r="K1028" t="str">
        <f t="shared" si="33"/>
        <v>Corporate HY USD - Other</v>
      </c>
      <c r="L1028" t="s">
        <v>188</v>
      </c>
      <c r="M1028" t="str">
        <f>_xlfn.IFNA(VLOOKUP(K1028,'Mapping DEF'!A:C,2,0),"")</f>
        <v>Spread</v>
      </c>
      <c r="N1028" t="str">
        <f>+_xlfn.IFNA(VLOOKUP(M1028,'Mapping DEF'!B:C,2,FALSE),"")</f>
        <v>Spread</v>
      </c>
      <c r="O1028" t="s">
        <v>2843</v>
      </c>
    </row>
    <row r="1029" spans="1:15" x14ac:dyDescent="0.25">
      <c r="A1029" s="4" t="s">
        <v>2315</v>
      </c>
      <c r="B1029" s="4" t="s">
        <v>2316</v>
      </c>
      <c r="C1029" s="5">
        <v>2440</v>
      </c>
      <c r="D1029" s="6" t="s">
        <v>2317</v>
      </c>
      <c r="E1029" t="s">
        <v>1421</v>
      </c>
      <c r="F1029" t="s">
        <v>2168</v>
      </c>
      <c r="G1029" t="str">
        <f>+VLOOKUP(F1029,[1]Explore!$B:$I,8,0)</f>
        <v>Equity Implied Volatility</v>
      </c>
      <c r="H1029" t="s">
        <v>1206</v>
      </c>
      <c r="I1029" t="e">
        <f>+VLOOKUP(H1029,[1]Explore!$A:$I,9,0)</f>
        <v>#N/A</v>
      </c>
      <c r="J1029" t="str">
        <f t="shared" si="32"/>
        <v>OK</v>
      </c>
      <c r="K1029" t="str">
        <f t="shared" si="33"/>
        <v>Equity Implied Volatility</v>
      </c>
      <c r="L1029" t="s">
        <v>27</v>
      </c>
      <c r="M1029" t="str">
        <f>_xlfn.IFNA(VLOOKUP(K1029,'Mapping DEF'!A:C,2,0),"")</f>
        <v>Equity Derivatives</v>
      </c>
      <c r="N1029" t="str">
        <f>+_xlfn.IFNA(VLOOKUP(M1029,'Mapping DEF'!B:C,2,FALSE),"")</f>
        <v>Equity</v>
      </c>
      <c r="O1029" t="s">
        <v>2776</v>
      </c>
    </row>
    <row r="1030" spans="1:15" x14ac:dyDescent="0.25">
      <c r="A1030" s="4" t="s">
        <v>2318</v>
      </c>
      <c r="B1030" s="4" t="s">
        <v>2319</v>
      </c>
      <c r="C1030" s="5">
        <v>2428</v>
      </c>
      <c r="D1030" s="6" t="s">
        <v>2320</v>
      </c>
      <c r="E1030" t="s">
        <v>1422</v>
      </c>
      <c r="F1030" t="s">
        <v>19</v>
      </c>
      <c r="G1030" t="str">
        <f>+VLOOKUP(F1030,[1]Explore!$B:$I,8,0)</f>
        <v>Govt USD</v>
      </c>
      <c r="H1030" t="s">
        <v>20</v>
      </c>
      <c r="I1030" t="str">
        <f>+VLOOKUP(H1030,[1]Explore!$A:$I,9,0)</f>
        <v>Govt USD</v>
      </c>
      <c r="J1030" t="str">
        <f t="shared" si="32"/>
        <v>OK</v>
      </c>
      <c r="K1030" t="str">
        <f t="shared" si="33"/>
        <v>Govt USD</v>
      </c>
      <c r="L1030" t="s">
        <v>2143</v>
      </c>
      <c r="M1030" t="str">
        <f>_xlfn.IFNA(VLOOKUP(K1030,'Mapping DEF'!A:C,2,0),"")</f>
        <v>Curve (Local)</v>
      </c>
      <c r="N1030" t="str">
        <f>+_xlfn.IFNA(VLOOKUP(M1030,'Mapping DEF'!B:C,2,FALSE),"")</f>
        <v>Term Structure</v>
      </c>
      <c r="O1030" t="s">
        <v>2856</v>
      </c>
    </row>
    <row r="1031" spans="1:15" x14ac:dyDescent="0.25">
      <c r="A1031" s="4" t="s">
        <v>2318</v>
      </c>
      <c r="B1031" s="4" t="s">
        <v>2319</v>
      </c>
      <c r="C1031" s="5">
        <v>2428</v>
      </c>
      <c r="D1031" s="6" t="s">
        <v>2320</v>
      </c>
      <c r="E1031" t="s">
        <v>687</v>
      </c>
      <c r="F1031" t="s">
        <v>268</v>
      </c>
      <c r="G1031" t="str">
        <f>+VLOOKUP(F1031,[1]Explore!$B:$I,8,0)</f>
        <v>Alternative - Commodity</v>
      </c>
      <c r="H1031" t="s">
        <v>269</v>
      </c>
      <c r="I1031" t="str">
        <f>+VLOOKUP(H1031,[1]Explore!$A:$I,9,0)</f>
        <v>Alternative - Commodity</v>
      </c>
      <c r="J1031" t="str">
        <f t="shared" si="32"/>
        <v>OK</v>
      </c>
      <c r="K1031" t="str">
        <f t="shared" si="33"/>
        <v>Alternative - Commodity</v>
      </c>
      <c r="L1031" t="s">
        <v>2139</v>
      </c>
      <c r="M1031" t="str">
        <f>_xlfn.IFNA(VLOOKUP(K1031,'Mapping DEF'!A:C,2,0),"")</f>
        <v>Alternative</v>
      </c>
      <c r="N1031" t="str">
        <f>+_xlfn.IFNA(VLOOKUP(M1031,'Mapping DEF'!B:C,2,FALSE),"")</f>
        <v>Other</v>
      </c>
      <c r="O1031" t="s">
        <v>2759</v>
      </c>
    </row>
    <row r="1032" spans="1:15" x14ac:dyDescent="0.25">
      <c r="A1032" s="4" t="s">
        <v>2318</v>
      </c>
      <c r="B1032" s="4" t="s">
        <v>2319</v>
      </c>
      <c r="C1032" s="5">
        <v>2428</v>
      </c>
      <c r="D1032" s="6" t="s">
        <v>2320</v>
      </c>
      <c r="E1032" t="s">
        <v>1423</v>
      </c>
      <c r="F1032" t="s">
        <v>271</v>
      </c>
      <c r="G1032" t="str">
        <f>+VLOOKUP(F1032,[1]Explore!$B:$I,8,0)</f>
        <v>Corporate IG USD - Other</v>
      </c>
      <c r="H1032" t="s">
        <v>272</v>
      </c>
      <c r="I1032" t="str">
        <f>+VLOOKUP(H1032,[1]Explore!$A:$I,9,0)</f>
        <v>Corporate IG USD - Other</v>
      </c>
      <c r="J1032" t="str">
        <f t="shared" si="32"/>
        <v>OK</v>
      </c>
      <c r="K1032" t="str">
        <f t="shared" si="33"/>
        <v>Corporate IG USD - Other</v>
      </c>
      <c r="L1032" t="s">
        <v>2650</v>
      </c>
      <c r="M1032" t="str">
        <f>_xlfn.IFNA(VLOOKUP(K1032,'Mapping DEF'!A:C,2,0),"")</f>
        <v>Spread</v>
      </c>
      <c r="N1032" t="str">
        <f>+_xlfn.IFNA(VLOOKUP(M1032,'Mapping DEF'!B:C,2,FALSE),"")</f>
        <v>Spread</v>
      </c>
      <c r="O1032" t="s">
        <v>2778</v>
      </c>
    </row>
    <row r="1033" spans="1:15" x14ac:dyDescent="0.25">
      <c r="A1033" s="4" t="s">
        <v>2318</v>
      </c>
      <c r="B1033" s="4" t="s">
        <v>2319</v>
      </c>
      <c r="C1033" s="5">
        <v>2428</v>
      </c>
      <c r="D1033" s="6" t="s">
        <v>2320</v>
      </c>
      <c r="E1033" t="s">
        <v>1424</v>
      </c>
      <c r="F1033" t="s">
        <v>2943</v>
      </c>
      <c r="G1033" t="str">
        <f>+VLOOKUP(F1033,[1]Explore!$B:$I,8,0)</f>
        <v>Emerging Currency</v>
      </c>
      <c r="H1033" t="s">
        <v>1425</v>
      </c>
      <c r="I1033" t="str">
        <f>+VLOOKUP(H1033,[1]Explore!$A:$I,9,0)</f>
        <v>Emerging Currency</v>
      </c>
      <c r="J1033" t="str">
        <f t="shared" si="32"/>
        <v>OK</v>
      </c>
      <c r="K1033" t="str">
        <f t="shared" si="33"/>
        <v>Emerging Currency</v>
      </c>
      <c r="L1033" t="s">
        <v>2140</v>
      </c>
      <c r="M1033" t="str">
        <f>_xlfn.IFNA(VLOOKUP(K1033,'Mapping DEF'!A:C,2,0),"")</f>
        <v>FX</v>
      </c>
      <c r="N1033" t="str">
        <f>+_xlfn.IFNA(VLOOKUP(M1033,'Mapping DEF'!B:C,2,FALSE),"")</f>
        <v>FX</v>
      </c>
      <c r="O1033" t="s">
        <v>2771</v>
      </c>
    </row>
    <row r="1034" spans="1:15" x14ac:dyDescent="0.25">
      <c r="A1034" s="4" t="s">
        <v>2318</v>
      </c>
      <c r="B1034" s="4" t="s">
        <v>2319</v>
      </c>
      <c r="C1034" s="5">
        <v>2428</v>
      </c>
      <c r="D1034" s="6" t="s">
        <v>2320</v>
      </c>
      <c r="E1034" t="s">
        <v>554</v>
      </c>
      <c r="F1034" t="s">
        <v>2944</v>
      </c>
      <c r="G1034" t="str">
        <f>+VLOOKUP(F1034,[1]Explore!$B:$I,8,0)</f>
        <v>JPY</v>
      </c>
      <c r="H1034" t="s">
        <v>138</v>
      </c>
      <c r="I1034" t="str">
        <f>+VLOOKUP(H1034,[1]Explore!$A:$I,9,0)</f>
        <v>JPY</v>
      </c>
      <c r="J1034" t="str">
        <f t="shared" si="32"/>
        <v>OK</v>
      </c>
      <c r="K1034" t="str">
        <f t="shared" si="33"/>
        <v>JPY</v>
      </c>
      <c r="L1034" t="s">
        <v>2140</v>
      </c>
      <c r="M1034" t="str">
        <f>_xlfn.IFNA(VLOOKUP(K1034,'Mapping DEF'!A:C,2,0),"")</f>
        <v>FX</v>
      </c>
      <c r="N1034" t="str">
        <f>+_xlfn.IFNA(VLOOKUP(M1034,'Mapping DEF'!B:C,2,FALSE),"")</f>
        <v>FX</v>
      </c>
      <c r="O1034" t="s">
        <v>2757</v>
      </c>
    </row>
    <row r="1035" spans="1:15" x14ac:dyDescent="0.25">
      <c r="A1035" s="4" t="s">
        <v>2318</v>
      </c>
      <c r="B1035" s="4" t="s">
        <v>2319</v>
      </c>
      <c r="C1035" s="5">
        <v>2428</v>
      </c>
      <c r="D1035" s="6" t="s">
        <v>2320</v>
      </c>
      <c r="E1035" t="s">
        <v>1426</v>
      </c>
      <c r="F1035" t="s">
        <v>2945</v>
      </c>
      <c r="G1035" t="str">
        <f>+VLOOKUP(F1035,[1]Explore!$B:$I,8,0)</f>
        <v>Emerging Currency</v>
      </c>
      <c r="H1035" t="s">
        <v>1427</v>
      </c>
      <c r="I1035" t="str">
        <f>+VLOOKUP(H1035,[1]Explore!$A:$I,9,0)</f>
        <v>Emerging Currency</v>
      </c>
      <c r="J1035" t="str">
        <f t="shared" si="32"/>
        <v>OK</v>
      </c>
      <c r="K1035" t="str">
        <f t="shared" si="33"/>
        <v>Emerging Currency</v>
      </c>
      <c r="L1035" t="s">
        <v>2140</v>
      </c>
      <c r="M1035" t="str">
        <f>_xlfn.IFNA(VLOOKUP(K1035,'Mapping DEF'!A:C,2,0),"")</f>
        <v>FX</v>
      </c>
      <c r="N1035" t="str">
        <f>+_xlfn.IFNA(VLOOKUP(M1035,'Mapping DEF'!B:C,2,FALSE),"")</f>
        <v>FX</v>
      </c>
      <c r="O1035" t="s">
        <v>2772</v>
      </c>
    </row>
    <row r="1036" spans="1:15" x14ac:dyDescent="0.25">
      <c r="A1036" s="4" t="s">
        <v>2318</v>
      </c>
      <c r="B1036" s="4" t="s">
        <v>2319</v>
      </c>
      <c r="C1036" s="5">
        <v>2428</v>
      </c>
      <c r="D1036" s="6" t="s">
        <v>2320</v>
      </c>
      <c r="E1036" t="s">
        <v>1428</v>
      </c>
      <c r="F1036" t="s">
        <v>1429</v>
      </c>
      <c r="G1036" t="str">
        <f>+VLOOKUP(F1036,[1]Explore!$B:$I,8,0)</f>
        <v>Equity Implied Volatility</v>
      </c>
      <c r="H1036" t="s">
        <v>1430</v>
      </c>
      <c r="I1036" t="str">
        <f>+VLOOKUP(H1036,[1]Explore!$A:$I,9,0)</f>
        <v>Equity Implied Volatility</v>
      </c>
      <c r="J1036" t="str">
        <f t="shared" si="32"/>
        <v>OK</v>
      </c>
      <c r="K1036" t="str">
        <f t="shared" si="33"/>
        <v>Equity Implied Volatility</v>
      </c>
      <c r="L1036" t="s">
        <v>27</v>
      </c>
      <c r="M1036" t="str">
        <f>_xlfn.IFNA(VLOOKUP(K1036,'Mapping DEF'!A:C,2,0),"")</f>
        <v>Equity Derivatives</v>
      </c>
      <c r="N1036" t="str">
        <f>+_xlfn.IFNA(VLOOKUP(M1036,'Mapping DEF'!B:C,2,FALSE),"")</f>
        <v>Equity</v>
      </c>
      <c r="O1036" t="s">
        <v>2819</v>
      </c>
    </row>
    <row r="1037" spans="1:15" x14ac:dyDescent="0.25">
      <c r="A1037" s="4" t="s">
        <v>2318</v>
      </c>
      <c r="B1037" s="4" t="s">
        <v>2319</v>
      </c>
      <c r="C1037" s="5">
        <v>2428</v>
      </c>
      <c r="D1037" s="6" t="s">
        <v>2320</v>
      </c>
      <c r="E1037" t="s">
        <v>1431</v>
      </c>
      <c r="F1037" t="s">
        <v>1432</v>
      </c>
      <c r="G1037" t="str">
        <f>+VLOOKUP(F1037,[1]Explore!$B:$I,8,0)</f>
        <v>Equity Implied Volatility</v>
      </c>
      <c r="H1037" t="s">
        <v>1433</v>
      </c>
      <c r="I1037" t="str">
        <f>+VLOOKUP(H1037,[1]Explore!$A:$I,9,0)</f>
        <v>Equity Implied Volatility</v>
      </c>
      <c r="J1037" t="str">
        <f t="shared" si="32"/>
        <v>OK</v>
      </c>
      <c r="K1037" t="str">
        <f t="shared" si="33"/>
        <v>Equity Implied Volatility</v>
      </c>
      <c r="L1037" t="s">
        <v>27</v>
      </c>
      <c r="M1037" t="str">
        <f>_xlfn.IFNA(VLOOKUP(K1037,'Mapping DEF'!A:C,2,0),"")</f>
        <v>Equity Derivatives</v>
      </c>
      <c r="N1037" t="str">
        <f>+_xlfn.IFNA(VLOOKUP(M1037,'Mapping DEF'!B:C,2,FALSE),"")</f>
        <v>Equity</v>
      </c>
      <c r="O1037" t="s">
        <v>2857</v>
      </c>
    </row>
    <row r="1038" spans="1:15" x14ac:dyDescent="0.25">
      <c r="A1038" s="4" t="s">
        <v>2318</v>
      </c>
      <c r="B1038" s="4" t="s">
        <v>2319</v>
      </c>
      <c r="C1038" s="5">
        <v>2428</v>
      </c>
      <c r="D1038" s="6" t="s">
        <v>2320</v>
      </c>
      <c r="E1038" t="s">
        <v>1314</v>
      </c>
      <c r="F1038" t="s">
        <v>183</v>
      </c>
      <c r="G1038" t="str">
        <f>+VLOOKUP(F1038,[1]Explore!$B:$I,8,0)</f>
        <v>Equity Implied Volatility</v>
      </c>
      <c r="H1038" t="s">
        <v>184</v>
      </c>
      <c r="I1038" t="str">
        <f>+VLOOKUP(H1038,[1]Explore!$A:$I,9,0)</f>
        <v>Equity Implied Volatility</v>
      </c>
      <c r="J1038" t="str">
        <f t="shared" si="32"/>
        <v>OK</v>
      </c>
      <c r="K1038" t="str">
        <f t="shared" si="33"/>
        <v>Equity Implied Volatility</v>
      </c>
      <c r="L1038" t="s">
        <v>27</v>
      </c>
      <c r="M1038" t="str">
        <f>_xlfn.IFNA(VLOOKUP(K1038,'Mapping DEF'!A:C,2,0),"")</f>
        <v>Equity Derivatives</v>
      </c>
      <c r="N1038" t="str">
        <f>+_xlfn.IFNA(VLOOKUP(M1038,'Mapping DEF'!B:C,2,FALSE),"")</f>
        <v>Equity</v>
      </c>
      <c r="O1038" t="s">
        <v>2802</v>
      </c>
    </row>
    <row r="1039" spans="1:15" x14ac:dyDescent="0.25">
      <c r="A1039" s="4" t="s">
        <v>2318</v>
      </c>
      <c r="B1039" s="4" t="s">
        <v>2319</v>
      </c>
      <c r="C1039" s="5">
        <v>2428</v>
      </c>
      <c r="D1039" s="6" t="s">
        <v>2320</v>
      </c>
      <c r="E1039" t="s">
        <v>1434</v>
      </c>
      <c r="F1039" t="s">
        <v>2176</v>
      </c>
      <c r="G1039" t="str">
        <f>+VLOOKUP(F1039,[1]Explore!$B:$I,8,0)</f>
        <v>Industrials</v>
      </c>
      <c r="H1039" t="s">
        <v>1294</v>
      </c>
      <c r="I1039" t="str">
        <f>+VLOOKUP(H1039,[1]Explore!$A:$I,9,0)</f>
        <v>Industrials</v>
      </c>
      <c r="J1039" t="str">
        <f t="shared" si="32"/>
        <v>OK</v>
      </c>
      <c r="K1039" t="str">
        <f t="shared" si="33"/>
        <v>Industrials</v>
      </c>
      <c r="L1039" t="s">
        <v>2141</v>
      </c>
      <c r="M1039" t="str">
        <f>_xlfn.IFNA(VLOOKUP(K1039,'Mapping DEF'!A:C,2,0),"")</f>
        <v>Industry Allocation</v>
      </c>
      <c r="N1039" t="str">
        <f>+_xlfn.IFNA(VLOOKUP(M1039,'Mapping DEF'!B:C,2,FALSE),"")</f>
        <v>Equity</v>
      </c>
      <c r="O1039" t="s">
        <v>2770</v>
      </c>
    </row>
    <row r="1040" spans="1:15" x14ac:dyDescent="0.25">
      <c r="A1040" s="4" t="s">
        <v>2318</v>
      </c>
      <c r="B1040" s="4" t="s">
        <v>2319</v>
      </c>
      <c r="C1040" s="5">
        <v>2428</v>
      </c>
      <c r="D1040" s="6" t="s">
        <v>2320</v>
      </c>
      <c r="E1040" t="s">
        <v>1438</v>
      </c>
      <c r="F1040" t="s">
        <v>1439</v>
      </c>
      <c r="G1040" t="str">
        <f>+VLOOKUP(F1040,[1]Explore!$B:$I,8,0)</f>
        <v>Emerging Markets</v>
      </c>
      <c r="H1040" t="s">
        <v>1440</v>
      </c>
      <c r="I1040" t="str">
        <f>+VLOOKUP(H1040,[1]Explore!$A:$I,9,0)</f>
        <v>Spread Emerging Markets - Country</v>
      </c>
      <c r="J1040" t="str">
        <f t="shared" si="32"/>
        <v>OK</v>
      </c>
      <c r="K1040" t="str">
        <f t="shared" si="33"/>
        <v>Spread Emerging Markets - Country</v>
      </c>
      <c r="L1040" t="s">
        <v>188</v>
      </c>
      <c r="M1040" t="str">
        <f>_xlfn.IFNA(VLOOKUP(K1040,'Mapping DEF'!A:C,2,0),"")</f>
        <v>Spread</v>
      </c>
      <c r="N1040" t="str">
        <f>+_xlfn.IFNA(VLOOKUP(M1040,'Mapping DEF'!B:C,2,FALSE),"")</f>
        <v>Spread</v>
      </c>
      <c r="O1040" t="s">
        <v>2837</v>
      </c>
    </row>
    <row r="1041" spans="1:15" x14ac:dyDescent="0.25">
      <c r="A1041" s="4" t="s">
        <v>2321</v>
      </c>
      <c r="B1041" s="4" t="s">
        <v>2322</v>
      </c>
      <c r="C1041" s="5">
        <v>2486</v>
      </c>
      <c r="D1041" s="6" t="s">
        <v>2323</v>
      </c>
      <c r="E1041" t="s">
        <v>1441</v>
      </c>
      <c r="F1041" t="s">
        <v>1442</v>
      </c>
      <c r="G1041" t="str">
        <f>+VLOOKUP(F1041,[1]Explore!$B:$I,8,0)</f>
        <v>Govt EUR (Ger)</v>
      </c>
      <c r="H1041" t="s">
        <v>1443</v>
      </c>
      <c r="I1041" t="str">
        <f>+VLOOKUP(H1041,[1]Explore!$A:$I,9,0)</f>
        <v>Govt EUR (Ger)</v>
      </c>
      <c r="J1041" t="str">
        <f t="shared" si="32"/>
        <v>OK</v>
      </c>
      <c r="K1041" t="str">
        <f t="shared" si="33"/>
        <v>Govt EUR (Ger)</v>
      </c>
      <c r="L1041" t="s">
        <v>2143</v>
      </c>
      <c r="M1041" t="str">
        <f>_xlfn.IFNA(VLOOKUP(K1041,'Mapping DEF'!A:C,2,0),"")</f>
        <v>Curve (Local)</v>
      </c>
      <c r="N1041" t="str">
        <f>+_xlfn.IFNA(VLOOKUP(M1041,'Mapping DEF'!B:C,2,FALSE),"")</f>
        <v>Term Structure</v>
      </c>
      <c r="O1041" t="s">
        <v>2782</v>
      </c>
    </row>
    <row r="1042" spans="1:15" x14ac:dyDescent="0.25">
      <c r="A1042" s="4" t="s">
        <v>2321</v>
      </c>
      <c r="B1042" s="4" t="s">
        <v>2322</v>
      </c>
      <c r="C1042" s="5">
        <v>2486</v>
      </c>
      <c r="D1042" s="6" t="s">
        <v>2323</v>
      </c>
      <c r="E1042" t="s">
        <v>1444</v>
      </c>
      <c r="F1042" t="s">
        <v>315</v>
      </c>
      <c r="G1042" t="str">
        <f>+VLOOKUP(F1042,[1]Explore!$B:$I,8,0)</f>
        <v>Govt EUR (Ger)</v>
      </c>
      <c r="H1042" t="s">
        <v>316</v>
      </c>
      <c r="I1042" t="str">
        <f>+VLOOKUP(H1042,[1]Explore!$A:$I,9,0)</f>
        <v>Govt EUR (Ger)</v>
      </c>
      <c r="J1042" t="str">
        <f t="shared" si="32"/>
        <v>OK</v>
      </c>
      <c r="K1042" t="str">
        <f t="shared" si="33"/>
        <v>Govt EUR (Ger)</v>
      </c>
      <c r="L1042" t="s">
        <v>2143</v>
      </c>
      <c r="M1042" t="str">
        <f>_xlfn.IFNA(VLOOKUP(K1042,'Mapping DEF'!A:C,2,0),"")</f>
        <v>Curve (Local)</v>
      </c>
      <c r="N1042" t="str">
        <f>+_xlfn.IFNA(VLOOKUP(M1042,'Mapping DEF'!B:C,2,FALSE),"")</f>
        <v>Term Structure</v>
      </c>
      <c r="O1042" t="s">
        <v>2755</v>
      </c>
    </row>
    <row r="1043" spans="1:15" x14ac:dyDescent="0.25">
      <c r="A1043" s="4" t="s">
        <v>2321</v>
      </c>
      <c r="B1043" s="4" t="s">
        <v>2322</v>
      </c>
      <c r="C1043" s="5">
        <v>2486</v>
      </c>
      <c r="D1043" s="6" t="s">
        <v>2323</v>
      </c>
      <c r="E1043" t="s">
        <v>1445</v>
      </c>
      <c r="F1043" t="s">
        <v>1446</v>
      </c>
      <c r="G1043" t="str">
        <f>+VLOOKUP(F1043,[1]Explore!$B:$I,8,0)</f>
        <v>Govt Developed Other (AU, GB, JP, ...)</v>
      </c>
      <c r="H1043" t="s">
        <v>1447</v>
      </c>
      <c r="I1043" t="str">
        <f>+VLOOKUP(H1043,[1]Explore!$A:$I,9,0)</f>
        <v>Govt Developed Other (AU, GB, JP, ...)</v>
      </c>
      <c r="J1043" t="str">
        <f t="shared" si="32"/>
        <v>OK</v>
      </c>
      <c r="K1043" t="str">
        <f t="shared" si="33"/>
        <v>Govt Developed Other (AU, GB, JP, ...)</v>
      </c>
      <c r="L1043" t="s">
        <v>2143</v>
      </c>
      <c r="M1043" t="str">
        <f>_xlfn.IFNA(VLOOKUP(K1043,'Mapping DEF'!A:C,2,0),"")</f>
        <v>Curve (Local)</v>
      </c>
      <c r="N1043" t="str">
        <f>+_xlfn.IFNA(VLOOKUP(M1043,'Mapping DEF'!B:C,2,FALSE),"")</f>
        <v>Term Structure</v>
      </c>
      <c r="O1043" t="s">
        <v>2782</v>
      </c>
    </row>
    <row r="1044" spans="1:15" x14ac:dyDescent="0.25">
      <c r="A1044" s="4" t="s">
        <v>2321</v>
      </c>
      <c r="B1044" s="4" t="s">
        <v>2322</v>
      </c>
      <c r="C1044" s="5">
        <v>2486</v>
      </c>
      <c r="D1044" s="6" t="s">
        <v>2323</v>
      </c>
      <c r="E1044" t="s">
        <v>1448</v>
      </c>
      <c r="F1044" t="s">
        <v>1350</v>
      </c>
      <c r="G1044" t="str">
        <f>+VLOOKUP(F1044,[1]Explore!$B:$I,8,0)</f>
        <v>Govt Developed Other (AU, GB, JP, ...)</v>
      </c>
      <c r="H1044" t="s">
        <v>1351</v>
      </c>
      <c r="I1044" t="str">
        <f>+VLOOKUP(H1044,[1]Explore!$A:$I,9,0)</f>
        <v>Govt Developed Other (AU, GB, JP, ...)</v>
      </c>
      <c r="J1044" t="str">
        <f t="shared" si="32"/>
        <v>OK</v>
      </c>
      <c r="K1044" t="str">
        <f t="shared" si="33"/>
        <v>Govt Developed Other (AU, GB, JP, ...)</v>
      </c>
      <c r="L1044" t="s">
        <v>2143</v>
      </c>
      <c r="M1044" t="str">
        <f>_xlfn.IFNA(VLOOKUP(K1044,'Mapping DEF'!A:C,2,0),"")</f>
        <v>Curve (Local)</v>
      </c>
      <c r="N1044" t="str">
        <f>+_xlfn.IFNA(VLOOKUP(M1044,'Mapping DEF'!B:C,2,FALSE),"")</f>
        <v>Term Structure</v>
      </c>
      <c r="O1044" t="s">
        <v>2788</v>
      </c>
    </row>
    <row r="1045" spans="1:15" x14ac:dyDescent="0.25">
      <c r="A1045" s="4" t="s">
        <v>2321</v>
      </c>
      <c r="B1045" s="4" t="s">
        <v>2322</v>
      </c>
      <c r="C1045" s="5">
        <v>2486</v>
      </c>
      <c r="D1045" s="6" t="s">
        <v>2323</v>
      </c>
      <c r="E1045" t="s">
        <v>964</v>
      </c>
      <c r="F1045" t="s">
        <v>2942</v>
      </c>
      <c r="G1045" t="str">
        <f>+VLOOKUP(F1045,[1]Explore!$B:$I,8,0)</f>
        <v>EUR</v>
      </c>
      <c r="H1045" t="s">
        <v>173</v>
      </c>
      <c r="I1045" t="str">
        <f>+VLOOKUP(H1045,[1]Explore!$A:$I,9,0)</f>
        <v>EUR</v>
      </c>
      <c r="J1045" t="str">
        <f t="shared" si="32"/>
        <v>OK</v>
      </c>
      <c r="K1045" t="str">
        <f t="shared" si="33"/>
        <v>EUR</v>
      </c>
      <c r="L1045" t="s">
        <v>2140</v>
      </c>
      <c r="M1045" t="str">
        <f>_xlfn.IFNA(VLOOKUP(K1045,'Mapping DEF'!A:C,2,0),"")</f>
        <v>FX</v>
      </c>
      <c r="N1045" t="str">
        <f>+_xlfn.IFNA(VLOOKUP(M1045,'Mapping DEF'!B:C,2,FALSE),"")</f>
        <v>FX</v>
      </c>
      <c r="O1045" t="s">
        <v>2776</v>
      </c>
    </row>
    <row r="1046" spans="1:15" x14ac:dyDescent="0.25">
      <c r="A1046" s="4" t="s">
        <v>2321</v>
      </c>
      <c r="B1046" s="4" t="s">
        <v>2322</v>
      </c>
      <c r="C1046" s="5">
        <v>2486</v>
      </c>
      <c r="D1046" s="6" t="s">
        <v>2323</v>
      </c>
      <c r="E1046" t="s">
        <v>1449</v>
      </c>
      <c r="F1046" t="s">
        <v>421</v>
      </c>
      <c r="G1046" t="e">
        <f>+VLOOKUP(F1046,[1]Explore!$B:$I,8,0)</f>
        <v>#N/A</v>
      </c>
      <c r="H1046" t="s">
        <v>422</v>
      </c>
      <c r="I1046" t="str">
        <f>+VLOOKUP(H1046,[1]Explore!$A:$I,9,0)</f>
        <v>Emerging Currency</v>
      </c>
      <c r="J1046" t="str">
        <f t="shared" si="32"/>
        <v>OK</v>
      </c>
      <c r="K1046" t="str">
        <f t="shared" si="33"/>
        <v>Emerging Currency</v>
      </c>
      <c r="L1046" t="s">
        <v>2140</v>
      </c>
      <c r="M1046" t="str">
        <f>_xlfn.IFNA(VLOOKUP(K1046,'Mapping DEF'!A:C,2,0),"")</f>
        <v>FX</v>
      </c>
      <c r="N1046" t="str">
        <f>+_xlfn.IFNA(VLOOKUP(M1046,'Mapping DEF'!B:C,2,FALSE),"")</f>
        <v>FX</v>
      </c>
      <c r="O1046" t="s">
        <v>2810</v>
      </c>
    </row>
    <row r="1047" spans="1:15" x14ac:dyDescent="0.25">
      <c r="A1047" s="4" t="s">
        <v>2321</v>
      </c>
      <c r="B1047" s="4" t="s">
        <v>2322</v>
      </c>
      <c r="C1047" s="5">
        <v>2486</v>
      </c>
      <c r="D1047" s="6" t="s">
        <v>2323</v>
      </c>
      <c r="E1047" t="s">
        <v>1368</v>
      </c>
      <c r="F1047" t="s">
        <v>966</v>
      </c>
      <c r="G1047" t="str">
        <f>+VLOOKUP(F1047,[1]Explore!$B:$I,8,0)</f>
        <v>EUR Inflation</v>
      </c>
      <c r="H1047" t="s">
        <v>967</v>
      </c>
      <c r="I1047" t="str">
        <f>+VLOOKUP(H1047,[1]Explore!$A:$I,9,0)</f>
        <v>EUR Inflation</v>
      </c>
      <c r="J1047" t="str">
        <f t="shared" si="32"/>
        <v>OK</v>
      </c>
      <c r="K1047" t="str">
        <f t="shared" si="33"/>
        <v>EUR Inflation</v>
      </c>
      <c r="L1047" t="s">
        <v>2143</v>
      </c>
      <c r="M1047" t="str">
        <f>_xlfn.IFNA(VLOOKUP(K1047,'Mapping DEF'!A:C,2,0),"")</f>
        <v>Inflation</v>
      </c>
      <c r="N1047" t="str">
        <f>+_xlfn.IFNA(VLOOKUP(M1047,'Mapping DEF'!B:C,2,FALSE),"")</f>
        <v>Other</v>
      </c>
      <c r="O1047" t="s">
        <v>2769</v>
      </c>
    </row>
    <row r="1048" spans="1:15" x14ac:dyDescent="0.25">
      <c r="A1048" s="4" t="s">
        <v>2321</v>
      </c>
      <c r="B1048" s="4" t="s">
        <v>2322</v>
      </c>
      <c r="C1048" s="5">
        <v>2486</v>
      </c>
      <c r="D1048" s="6" t="s">
        <v>2323</v>
      </c>
      <c r="E1048" t="s">
        <v>1450</v>
      </c>
      <c r="F1048" t="s">
        <v>1451</v>
      </c>
      <c r="G1048" t="str">
        <f>+VLOOKUP(F1048,[1]Explore!$B:$I,8,0)</f>
        <v>Other - Inflation</v>
      </c>
      <c r="H1048" t="s">
        <v>1452</v>
      </c>
      <c r="I1048" t="str">
        <f>+VLOOKUP(H1048,[1]Explore!$A:$I,9,0)</f>
        <v>Other - Inflation</v>
      </c>
      <c r="J1048" t="str">
        <f t="shared" si="32"/>
        <v>OK</v>
      </c>
      <c r="K1048" t="str">
        <f t="shared" si="33"/>
        <v>Other - Inflation</v>
      </c>
      <c r="L1048" t="s">
        <v>2143</v>
      </c>
      <c r="M1048" t="str">
        <f>_xlfn.IFNA(VLOOKUP(K1048,'Mapping DEF'!A:C,2,0),"")</f>
        <v>Other</v>
      </c>
      <c r="N1048" t="str">
        <f>+_xlfn.IFNA(VLOOKUP(M1048,'Mapping DEF'!B:C,2,FALSE),"")</f>
        <v>Other</v>
      </c>
      <c r="O1048" t="s">
        <v>2752</v>
      </c>
    </row>
    <row r="1049" spans="1:15" x14ac:dyDescent="0.25">
      <c r="A1049" s="4" t="s">
        <v>2321</v>
      </c>
      <c r="B1049" s="4" t="s">
        <v>2322</v>
      </c>
      <c r="C1049" s="5">
        <v>2486</v>
      </c>
      <c r="D1049" s="6" t="s">
        <v>2323</v>
      </c>
      <c r="E1049" t="s">
        <v>909</v>
      </c>
      <c r="F1049" t="s">
        <v>183</v>
      </c>
      <c r="G1049" t="str">
        <f>+VLOOKUP(F1049,[1]Explore!$B:$I,8,0)</f>
        <v>Equity Implied Volatility</v>
      </c>
      <c r="H1049" t="s">
        <v>184</v>
      </c>
      <c r="I1049" t="str">
        <f>+VLOOKUP(H1049,[1]Explore!$A:$I,9,0)</f>
        <v>Equity Implied Volatility</v>
      </c>
      <c r="J1049" t="str">
        <f t="shared" si="32"/>
        <v>OK</v>
      </c>
      <c r="K1049" t="str">
        <f t="shared" si="33"/>
        <v>Equity Implied Volatility</v>
      </c>
      <c r="L1049" t="s">
        <v>27</v>
      </c>
      <c r="M1049" t="str">
        <f>_xlfn.IFNA(VLOOKUP(K1049,'Mapping DEF'!A:C,2,0),"")</f>
        <v>Equity Derivatives</v>
      </c>
      <c r="N1049" t="str">
        <f>+_xlfn.IFNA(VLOOKUP(M1049,'Mapping DEF'!B:C,2,FALSE),"")</f>
        <v>Equity</v>
      </c>
      <c r="O1049" t="s">
        <v>2759</v>
      </c>
    </row>
    <row r="1050" spans="1:15" x14ac:dyDescent="0.25">
      <c r="A1050" s="4" t="s">
        <v>2321</v>
      </c>
      <c r="B1050" s="4" t="s">
        <v>2322</v>
      </c>
      <c r="C1050" s="5">
        <v>2486</v>
      </c>
      <c r="D1050" s="6" t="s">
        <v>2323</v>
      </c>
      <c r="E1050" t="s">
        <v>1453</v>
      </c>
      <c r="F1050" t="s">
        <v>1396</v>
      </c>
      <c r="G1050" t="str">
        <f>+VLOOKUP(F1050,[1]Explore!$B:$I,8,0)</f>
        <v>Corporate HY EUR - Other</v>
      </c>
      <c r="H1050" t="s">
        <v>1397</v>
      </c>
      <c r="I1050" t="str">
        <f>+VLOOKUP(H1050,[1]Explore!$A:$I,9,0)</f>
        <v>Corporate HY EUR - Other</v>
      </c>
      <c r="J1050" t="str">
        <f t="shared" si="32"/>
        <v>OK</v>
      </c>
      <c r="K1050" t="str">
        <f t="shared" si="33"/>
        <v>Corporate HY EUR - Other</v>
      </c>
      <c r="L1050" t="s">
        <v>188</v>
      </c>
      <c r="M1050" t="str">
        <f>_xlfn.IFNA(VLOOKUP(K1050,'Mapping DEF'!A:C,2,0),"")</f>
        <v>Spread</v>
      </c>
      <c r="N1050" t="str">
        <f>+_xlfn.IFNA(VLOOKUP(M1050,'Mapping DEF'!B:C,2,FALSE),"")</f>
        <v>Spread</v>
      </c>
      <c r="O1050" t="s">
        <v>2800</v>
      </c>
    </row>
    <row r="1051" spans="1:15" x14ac:dyDescent="0.25">
      <c r="A1051" s="4" t="s">
        <v>2321</v>
      </c>
      <c r="B1051" s="4" t="s">
        <v>2322</v>
      </c>
      <c r="C1051" s="5">
        <v>2486</v>
      </c>
      <c r="D1051" s="6" t="s">
        <v>2323</v>
      </c>
      <c r="E1051" t="s">
        <v>1454</v>
      </c>
      <c r="F1051" t="s">
        <v>630</v>
      </c>
      <c r="G1051" t="str">
        <f>+VLOOKUP(F1051,[1]Explore!$B:$I,8,0)</f>
        <v>Value</v>
      </c>
      <c r="H1051" t="s">
        <v>631</v>
      </c>
      <c r="I1051" t="str">
        <f>+VLOOKUP(H1051,[1]Explore!$A:$I,9,0)</f>
        <v>Value</v>
      </c>
      <c r="J1051" t="str">
        <f t="shared" si="32"/>
        <v>OK</v>
      </c>
      <c r="K1051" t="str">
        <f t="shared" si="33"/>
        <v>Value</v>
      </c>
      <c r="L1051" t="s">
        <v>2145</v>
      </c>
      <c r="M1051" t="str">
        <f>_xlfn.IFNA(VLOOKUP(K1051,'Mapping DEF'!A:C,2,0),"")</f>
        <v>Style</v>
      </c>
      <c r="N1051" t="str">
        <f>+_xlfn.IFNA(VLOOKUP(M1051,'Mapping DEF'!B:C,2,FALSE),"")</f>
        <v>Equity</v>
      </c>
      <c r="O1051" t="s">
        <v>2756</v>
      </c>
    </row>
    <row r="1052" spans="1:15" x14ac:dyDescent="0.25">
      <c r="A1052" s="4" t="s">
        <v>2321</v>
      </c>
      <c r="B1052" s="4" t="s">
        <v>2322</v>
      </c>
      <c r="C1052" s="5">
        <v>2486</v>
      </c>
      <c r="D1052" s="6" t="s">
        <v>2323</v>
      </c>
      <c r="E1052" t="s">
        <v>1455</v>
      </c>
      <c r="F1052" t="s">
        <v>346</v>
      </c>
      <c r="G1052" t="str">
        <f>+VLOOKUP(F1052,[1]Explore!$B:$I,8,0)</f>
        <v>Spread Emerging Markets - Country</v>
      </c>
      <c r="H1052" t="s">
        <v>347</v>
      </c>
      <c r="I1052" t="str">
        <f>+VLOOKUP(H1052,[1]Explore!$A:$I,9,0)</f>
        <v>Spread Emerging Markets - Country</v>
      </c>
      <c r="J1052" t="str">
        <f t="shared" si="32"/>
        <v>OK</v>
      </c>
      <c r="K1052" t="str">
        <f t="shared" si="33"/>
        <v>Spread Emerging Markets - Country</v>
      </c>
      <c r="L1052" t="s">
        <v>188</v>
      </c>
      <c r="M1052" t="str">
        <f>_xlfn.IFNA(VLOOKUP(K1052,'Mapping DEF'!A:C,2,0),"")</f>
        <v>Spread</v>
      </c>
      <c r="N1052" t="str">
        <f>+_xlfn.IFNA(VLOOKUP(M1052,'Mapping DEF'!B:C,2,FALSE),"")</f>
        <v>Spread</v>
      </c>
      <c r="O1052" t="s">
        <v>2818</v>
      </c>
    </row>
    <row r="1053" spans="1:15" x14ac:dyDescent="0.25">
      <c r="A1053" s="4" t="s">
        <v>2321</v>
      </c>
      <c r="B1053" s="4" t="s">
        <v>2322</v>
      </c>
      <c r="C1053" s="5">
        <v>2486</v>
      </c>
      <c r="D1053" s="6" t="s">
        <v>2323</v>
      </c>
      <c r="E1053" t="s">
        <v>1456</v>
      </c>
      <c r="F1053" t="s">
        <v>2618</v>
      </c>
      <c r="G1053" t="str">
        <f>+VLOOKUP(F1053,[1]Explore!$B:$I,8,0)</f>
        <v>Equity Implied Volatility</v>
      </c>
      <c r="H1053" t="s">
        <v>243</v>
      </c>
      <c r="I1053" t="e">
        <f>+VLOOKUP(H1053,[1]Explore!$A:$I,9,0)</f>
        <v>#N/A</v>
      </c>
      <c r="J1053" t="str">
        <f t="shared" si="32"/>
        <v>OK</v>
      </c>
      <c r="K1053" t="str">
        <f t="shared" si="33"/>
        <v>Equity Implied Volatility</v>
      </c>
      <c r="L1053" t="s">
        <v>27</v>
      </c>
      <c r="M1053" t="str">
        <f>_xlfn.IFNA(VLOOKUP(K1053,'Mapping DEF'!A:C,2,0),"")</f>
        <v>Equity Derivatives</v>
      </c>
      <c r="N1053" t="str">
        <f>+_xlfn.IFNA(VLOOKUP(M1053,'Mapping DEF'!B:C,2,FALSE),"")</f>
        <v>Equity</v>
      </c>
      <c r="O1053" t="s">
        <v>2770</v>
      </c>
    </row>
    <row r="1054" spans="1:15" x14ac:dyDescent="0.25">
      <c r="A1054" s="4" t="s">
        <v>2324</v>
      </c>
      <c r="B1054" s="4" t="s">
        <v>2325</v>
      </c>
      <c r="C1054" s="5">
        <v>2485</v>
      </c>
      <c r="D1054" s="6" t="s">
        <v>2326</v>
      </c>
      <c r="E1054" t="s">
        <v>1014</v>
      </c>
      <c r="F1054" t="s">
        <v>315</v>
      </c>
      <c r="G1054" t="str">
        <f>+VLOOKUP(F1054,[1]Explore!$B:$I,8,0)</f>
        <v>Govt EUR (Ger)</v>
      </c>
      <c r="H1054" t="s">
        <v>316</v>
      </c>
      <c r="I1054" t="str">
        <f>+VLOOKUP(H1054,[1]Explore!$A:$I,9,0)</f>
        <v>Govt EUR (Ger)</v>
      </c>
      <c r="J1054" t="str">
        <f t="shared" si="32"/>
        <v>OK</v>
      </c>
      <c r="K1054" t="str">
        <f t="shared" si="33"/>
        <v>Govt EUR (Ger)</v>
      </c>
      <c r="L1054" t="s">
        <v>2143</v>
      </c>
      <c r="M1054" t="str">
        <f>_xlfn.IFNA(VLOOKUP(K1054,'Mapping DEF'!A:C,2,0),"")</f>
        <v>Curve (Local)</v>
      </c>
      <c r="N1054" t="str">
        <f>+_xlfn.IFNA(VLOOKUP(M1054,'Mapping DEF'!B:C,2,FALSE),"")</f>
        <v>Term Structure</v>
      </c>
      <c r="O1054" t="s">
        <v>2829</v>
      </c>
    </row>
    <row r="1055" spans="1:15" x14ac:dyDescent="0.25">
      <c r="A1055" s="4" t="s">
        <v>2324</v>
      </c>
      <c r="B1055" s="4" t="s">
        <v>2325</v>
      </c>
      <c r="C1055" s="5">
        <v>2485</v>
      </c>
      <c r="D1055" s="6" t="s">
        <v>2326</v>
      </c>
      <c r="E1055" t="s">
        <v>1457</v>
      </c>
      <c r="F1055" t="s">
        <v>1365</v>
      </c>
      <c r="G1055" t="str">
        <f>+VLOOKUP(F1055,[1]Explore!$B:$I,8,0)</f>
        <v>Govt Developed Other (AU, GB, JP, ...)</v>
      </c>
      <c r="H1055" t="s">
        <v>1366</v>
      </c>
      <c r="I1055" t="str">
        <f>+VLOOKUP(H1055,[1]Explore!$A:$I,9,0)</f>
        <v>Govt Developed Other (AU, GB, JP, ...)</v>
      </c>
      <c r="J1055" t="str">
        <f t="shared" si="32"/>
        <v>OK</v>
      </c>
      <c r="K1055" t="str">
        <f t="shared" si="33"/>
        <v>Govt Developed Other (AU, GB, JP, ...)</v>
      </c>
      <c r="L1055" t="s">
        <v>2143</v>
      </c>
      <c r="M1055" t="str">
        <f>_xlfn.IFNA(VLOOKUP(K1055,'Mapping DEF'!A:C,2,0),"")</f>
        <v>Curve (Local)</v>
      </c>
      <c r="N1055" t="str">
        <f>+_xlfn.IFNA(VLOOKUP(M1055,'Mapping DEF'!B:C,2,FALSE),"")</f>
        <v>Term Structure</v>
      </c>
      <c r="O1055" t="s">
        <v>2779</v>
      </c>
    </row>
    <row r="1056" spans="1:15" x14ac:dyDescent="0.25">
      <c r="A1056" s="4" t="s">
        <v>2324</v>
      </c>
      <c r="B1056" s="4" t="s">
        <v>2325</v>
      </c>
      <c r="C1056" s="5">
        <v>2485</v>
      </c>
      <c r="D1056" s="6" t="s">
        <v>2326</v>
      </c>
      <c r="E1056" t="s">
        <v>1458</v>
      </c>
      <c r="F1056" t="s">
        <v>1350</v>
      </c>
      <c r="G1056" t="str">
        <f>+VLOOKUP(F1056,[1]Explore!$B:$I,8,0)</f>
        <v>Govt Developed Other (AU, GB, JP, ...)</v>
      </c>
      <c r="H1056" t="s">
        <v>1351</v>
      </c>
      <c r="I1056" t="str">
        <f>+VLOOKUP(H1056,[1]Explore!$A:$I,9,0)</f>
        <v>Govt Developed Other (AU, GB, JP, ...)</v>
      </c>
      <c r="J1056" t="str">
        <f t="shared" si="32"/>
        <v>OK</v>
      </c>
      <c r="K1056" t="str">
        <f t="shared" si="33"/>
        <v>Govt Developed Other (AU, GB, JP, ...)</v>
      </c>
      <c r="L1056" t="s">
        <v>2143</v>
      </c>
      <c r="M1056" t="str">
        <f>_xlfn.IFNA(VLOOKUP(K1056,'Mapping DEF'!A:C,2,0),"")</f>
        <v>Curve (Local)</v>
      </c>
      <c r="N1056" t="str">
        <f>+_xlfn.IFNA(VLOOKUP(M1056,'Mapping DEF'!B:C,2,FALSE),"")</f>
        <v>Term Structure</v>
      </c>
      <c r="O1056" t="s">
        <v>2769</v>
      </c>
    </row>
    <row r="1057" spans="1:15" x14ac:dyDescent="0.25">
      <c r="A1057" s="4" t="s">
        <v>2324</v>
      </c>
      <c r="B1057" s="4" t="s">
        <v>2325</v>
      </c>
      <c r="C1057" s="5">
        <v>2485</v>
      </c>
      <c r="D1057" s="6" t="s">
        <v>2326</v>
      </c>
      <c r="E1057" t="s">
        <v>1054</v>
      </c>
      <c r="F1057" t="s">
        <v>2942</v>
      </c>
      <c r="G1057" t="str">
        <f>+VLOOKUP(F1057,[1]Explore!$B:$I,8,0)</f>
        <v>EUR</v>
      </c>
      <c r="H1057" t="s">
        <v>173</v>
      </c>
      <c r="I1057" t="str">
        <f>+VLOOKUP(H1057,[1]Explore!$A:$I,9,0)</f>
        <v>EUR</v>
      </c>
      <c r="J1057" t="str">
        <f t="shared" si="32"/>
        <v>OK</v>
      </c>
      <c r="K1057" t="str">
        <f t="shared" si="33"/>
        <v>EUR</v>
      </c>
      <c r="L1057" t="s">
        <v>2140</v>
      </c>
      <c r="M1057" t="str">
        <f>_xlfn.IFNA(VLOOKUP(K1057,'Mapping DEF'!A:C,2,0),"")</f>
        <v>FX</v>
      </c>
      <c r="N1057" t="str">
        <f>+_xlfn.IFNA(VLOOKUP(M1057,'Mapping DEF'!B:C,2,FALSE),"")</f>
        <v>FX</v>
      </c>
      <c r="O1057" t="s">
        <v>2770</v>
      </c>
    </row>
    <row r="1058" spans="1:15" x14ac:dyDescent="0.25">
      <c r="A1058" s="4" t="s">
        <v>2324</v>
      </c>
      <c r="B1058" s="4" t="s">
        <v>2325</v>
      </c>
      <c r="C1058" s="5">
        <v>2485</v>
      </c>
      <c r="D1058" s="6" t="s">
        <v>2326</v>
      </c>
      <c r="E1058" t="s">
        <v>932</v>
      </c>
      <c r="F1058" t="s">
        <v>421</v>
      </c>
      <c r="G1058" t="e">
        <f>+VLOOKUP(F1058,[1]Explore!$B:$I,8,0)</f>
        <v>#N/A</v>
      </c>
      <c r="H1058" t="s">
        <v>422</v>
      </c>
      <c r="I1058" t="str">
        <f>+VLOOKUP(H1058,[1]Explore!$A:$I,9,0)</f>
        <v>Emerging Currency</v>
      </c>
      <c r="J1058" t="str">
        <f t="shared" si="32"/>
        <v>OK</v>
      </c>
      <c r="K1058" t="str">
        <f t="shared" si="33"/>
        <v>Emerging Currency</v>
      </c>
      <c r="L1058" t="s">
        <v>2140</v>
      </c>
      <c r="M1058" t="str">
        <f>_xlfn.IFNA(VLOOKUP(K1058,'Mapping DEF'!A:C,2,0),"")</f>
        <v>FX</v>
      </c>
      <c r="N1058" t="str">
        <f>+_xlfn.IFNA(VLOOKUP(M1058,'Mapping DEF'!B:C,2,FALSE),"")</f>
        <v>FX</v>
      </c>
      <c r="O1058" t="s">
        <v>2776</v>
      </c>
    </row>
    <row r="1059" spans="1:15" x14ac:dyDescent="0.25">
      <c r="A1059" s="4" t="s">
        <v>2324</v>
      </c>
      <c r="B1059" s="4" t="s">
        <v>2325</v>
      </c>
      <c r="C1059" s="5">
        <v>2485</v>
      </c>
      <c r="D1059" s="6" t="s">
        <v>2326</v>
      </c>
      <c r="E1059" t="s">
        <v>1068</v>
      </c>
      <c r="F1059" t="s">
        <v>966</v>
      </c>
      <c r="G1059" t="str">
        <f>+VLOOKUP(F1059,[1]Explore!$B:$I,8,0)</f>
        <v>EUR Inflation</v>
      </c>
      <c r="H1059" t="s">
        <v>967</v>
      </c>
      <c r="I1059" t="str">
        <f>+VLOOKUP(H1059,[1]Explore!$A:$I,9,0)</f>
        <v>EUR Inflation</v>
      </c>
      <c r="J1059" t="str">
        <f t="shared" si="32"/>
        <v>OK</v>
      </c>
      <c r="K1059" t="str">
        <f t="shared" si="33"/>
        <v>EUR Inflation</v>
      </c>
      <c r="L1059" t="s">
        <v>2143</v>
      </c>
      <c r="M1059" t="str">
        <f>_xlfn.IFNA(VLOOKUP(K1059,'Mapping DEF'!A:C,2,0),"")</f>
        <v>Inflation</v>
      </c>
      <c r="N1059" t="str">
        <f>+_xlfn.IFNA(VLOOKUP(M1059,'Mapping DEF'!B:C,2,FALSE),"")</f>
        <v>Other</v>
      </c>
      <c r="O1059" t="s">
        <v>2788</v>
      </c>
    </row>
    <row r="1060" spans="1:15" x14ac:dyDescent="0.25">
      <c r="A1060" s="4" t="s">
        <v>2324</v>
      </c>
      <c r="B1060" s="4" t="s">
        <v>2325</v>
      </c>
      <c r="C1060" s="5">
        <v>2485</v>
      </c>
      <c r="D1060" s="6" t="s">
        <v>2326</v>
      </c>
      <c r="E1060" t="s">
        <v>1459</v>
      </c>
      <c r="F1060" t="s">
        <v>183</v>
      </c>
      <c r="G1060" t="str">
        <f>+VLOOKUP(F1060,[1]Explore!$B:$I,8,0)</f>
        <v>Equity Implied Volatility</v>
      </c>
      <c r="H1060" t="s">
        <v>184</v>
      </c>
      <c r="I1060" t="str">
        <f>+VLOOKUP(H1060,[1]Explore!$A:$I,9,0)</f>
        <v>Equity Implied Volatility</v>
      </c>
      <c r="J1060" t="str">
        <f t="shared" si="32"/>
        <v>OK</v>
      </c>
      <c r="K1060" t="str">
        <f t="shared" si="33"/>
        <v>Equity Implied Volatility</v>
      </c>
      <c r="L1060" t="s">
        <v>27</v>
      </c>
      <c r="M1060" t="str">
        <f>_xlfn.IFNA(VLOOKUP(K1060,'Mapping DEF'!A:C,2,0),"")</f>
        <v>Equity Derivatives</v>
      </c>
      <c r="N1060" t="str">
        <f>+_xlfn.IFNA(VLOOKUP(M1060,'Mapping DEF'!B:C,2,FALSE),"")</f>
        <v>Equity</v>
      </c>
      <c r="O1060" s="7" t="s">
        <v>2753</v>
      </c>
    </row>
    <row r="1061" spans="1:15" x14ac:dyDescent="0.25">
      <c r="A1061" s="4" t="s">
        <v>2324</v>
      </c>
      <c r="B1061" s="4" t="s">
        <v>2325</v>
      </c>
      <c r="C1061" s="5">
        <v>2485</v>
      </c>
      <c r="D1061" s="6" t="s">
        <v>2326</v>
      </c>
      <c r="E1061" t="s">
        <v>1460</v>
      </c>
      <c r="F1061" t="s">
        <v>1396</v>
      </c>
      <c r="G1061" t="str">
        <f>+VLOOKUP(F1061,[1]Explore!$B:$I,8,0)</f>
        <v>Corporate HY EUR - Other</v>
      </c>
      <c r="H1061" t="s">
        <v>1397</v>
      </c>
      <c r="I1061" t="str">
        <f>+VLOOKUP(H1061,[1]Explore!$A:$I,9,0)</f>
        <v>Corporate HY EUR - Other</v>
      </c>
      <c r="J1061" t="str">
        <f t="shared" si="32"/>
        <v>OK</v>
      </c>
      <c r="K1061" t="str">
        <f t="shared" si="33"/>
        <v>Corporate HY EUR - Other</v>
      </c>
      <c r="L1061" t="s">
        <v>188</v>
      </c>
      <c r="M1061" t="str">
        <f>_xlfn.IFNA(VLOOKUP(K1061,'Mapping DEF'!A:C,2,0),"")</f>
        <v>Spread</v>
      </c>
      <c r="N1061" t="str">
        <f>+_xlfn.IFNA(VLOOKUP(M1061,'Mapping DEF'!B:C,2,FALSE),"")</f>
        <v>Spread</v>
      </c>
      <c r="O1061" t="s">
        <v>2756</v>
      </c>
    </row>
    <row r="1062" spans="1:15" x14ac:dyDescent="0.25">
      <c r="A1062" s="4" t="s">
        <v>2324</v>
      </c>
      <c r="B1062" s="4" t="s">
        <v>2325</v>
      </c>
      <c r="C1062" s="5">
        <v>2485</v>
      </c>
      <c r="D1062" s="6" t="s">
        <v>2326</v>
      </c>
      <c r="E1062" t="s">
        <v>1461</v>
      </c>
      <c r="F1062" t="s">
        <v>346</v>
      </c>
      <c r="G1062" t="str">
        <f>+VLOOKUP(F1062,[1]Explore!$B:$I,8,0)</f>
        <v>Spread Emerging Markets - Country</v>
      </c>
      <c r="H1062" t="s">
        <v>347</v>
      </c>
      <c r="I1062" t="str">
        <f>+VLOOKUP(H1062,[1]Explore!$A:$I,9,0)</f>
        <v>Spread Emerging Markets - Country</v>
      </c>
      <c r="J1062" t="str">
        <f t="shared" si="32"/>
        <v>OK</v>
      </c>
      <c r="K1062" t="str">
        <f t="shared" si="33"/>
        <v>Spread Emerging Markets - Country</v>
      </c>
      <c r="L1062" t="s">
        <v>188</v>
      </c>
      <c r="M1062" t="str">
        <f>_xlfn.IFNA(VLOOKUP(K1062,'Mapping DEF'!A:C,2,0),"")</f>
        <v>Spread</v>
      </c>
      <c r="N1062" t="str">
        <f>+_xlfn.IFNA(VLOOKUP(M1062,'Mapping DEF'!B:C,2,FALSE),"")</f>
        <v>Spread</v>
      </c>
      <c r="O1062" t="s">
        <v>2795</v>
      </c>
    </row>
    <row r="1063" spans="1:15" x14ac:dyDescent="0.25">
      <c r="A1063" s="4" t="s">
        <v>2324</v>
      </c>
      <c r="B1063" s="4" t="s">
        <v>2325</v>
      </c>
      <c r="C1063" s="5">
        <v>2485</v>
      </c>
      <c r="D1063" s="6" t="s">
        <v>2326</v>
      </c>
      <c r="E1063" t="s">
        <v>1462</v>
      </c>
      <c r="F1063" t="s">
        <v>972</v>
      </c>
      <c r="G1063" t="str">
        <f>+VLOOKUP(F1063,[1]Explore!$B:$I,8,0)</f>
        <v>Corporate IG EUR - Industry</v>
      </c>
      <c r="H1063" t="s">
        <v>620</v>
      </c>
      <c r="I1063" t="e">
        <f>+VLOOKUP(H1063,[1]Explore!$A:$I,9,0)</f>
        <v>#N/A</v>
      </c>
      <c r="J1063" t="str">
        <f t="shared" si="32"/>
        <v>OK</v>
      </c>
      <c r="K1063" t="str">
        <f t="shared" si="33"/>
        <v>Corporate IG EUR - Industry</v>
      </c>
      <c r="L1063" t="s">
        <v>188</v>
      </c>
      <c r="M1063" t="str">
        <f>_xlfn.IFNA(VLOOKUP(K1063,'Mapping DEF'!A:C,2,0),"")</f>
        <v>Spread</v>
      </c>
      <c r="N1063" t="str">
        <f>+_xlfn.IFNA(VLOOKUP(M1063,'Mapping DEF'!B:C,2,FALSE),"")</f>
        <v>Spread</v>
      </c>
      <c r="O1063" t="s">
        <v>2765</v>
      </c>
    </row>
    <row r="1064" spans="1:15" x14ac:dyDescent="0.25">
      <c r="A1064" s="4" t="s">
        <v>2324</v>
      </c>
      <c r="B1064" s="4" t="s">
        <v>2325</v>
      </c>
      <c r="C1064" s="5">
        <v>2485</v>
      </c>
      <c r="D1064" s="6" t="s">
        <v>2326</v>
      </c>
      <c r="E1064" t="s">
        <v>1463</v>
      </c>
      <c r="F1064" t="s">
        <v>1840</v>
      </c>
      <c r="G1064" t="str">
        <f>+VLOOKUP(F1064,[1]Explore!$B:$I,8,0)</f>
        <v>Other - Index</v>
      </c>
      <c r="H1064" t="s">
        <v>325</v>
      </c>
      <c r="I1064" t="e">
        <f>+VLOOKUP(H1064,[1]Explore!$A:$I,9,0)</f>
        <v>#N/A</v>
      </c>
      <c r="J1064" t="str">
        <f t="shared" si="32"/>
        <v>OK</v>
      </c>
      <c r="K1064" t="str">
        <f t="shared" si="33"/>
        <v>Other - Index</v>
      </c>
      <c r="L1064" t="s">
        <v>27</v>
      </c>
      <c r="M1064" t="str">
        <f>_xlfn.IFNA(VLOOKUP(K1064,'Mapping DEF'!A:C,2,0),"")</f>
        <v>Other</v>
      </c>
      <c r="N1064" t="str">
        <f>+_xlfn.IFNA(VLOOKUP(M1064,'Mapping DEF'!B:C,2,FALSE),"")</f>
        <v>Other</v>
      </c>
      <c r="O1064" t="s">
        <v>2844</v>
      </c>
    </row>
    <row r="1065" spans="1:15" x14ac:dyDescent="0.25">
      <c r="A1065" s="4" t="s">
        <v>2324</v>
      </c>
      <c r="B1065" s="4" t="s">
        <v>2325</v>
      </c>
      <c r="C1065" s="5">
        <v>2485</v>
      </c>
      <c r="D1065" s="6" t="s">
        <v>2326</v>
      </c>
      <c r="E1065" t="s">
        <v>995</v>
      </c>
      <c r="F1065" t="s">
        <v>2618</v>
      </c>
      <c r="G1065" t="str">
        <f>+VLOOKUP(F1065,[1]Explore!$B:$I,8,0)</f>
        <v>Equity Implied Volatility</v>
      </c>
      <c r="H1065" t="s">
        <v>243</v>
      </c>
      <c r="I1065" t="e">
        <f>+VLOOKUP(H1065,[1]Explore!$A:$I,9,0)</f>
        <v>#N/A</v>
      </c>
      <c r="J1065" t="str">
        <f t="shared" si="32"/>
        <v>OK</v>
      </c>
      <c r="K1065" t="str">
        <f t="shared" si="33"/>
        <v>Equity Implied Volatility</v>
      </c>
      <c r="L1065" t="s">
        <v>27</v>
      </c>
      <c r="M1065" t="str">
        <f>_xlfn.IFNA(VLOOKUP(K1065,'Mapping DEF'!A:C,2,0),"")</f>
        <v>Equity Derivatives</v>
      </c>
      <c r="N1065" t="str">
        <f>+_xlfn.IFNA(VLOOKUP(M1065,'Mapping DEF'!B:C,2,FALSE),"")</f>
        <v>Equity</v>
      </c>
      <c r="O1065" t="s">
        <v>2776</v>
      </c>
    </row>
    <row r="1066" spans="1:15" x14ac:dyDescent="0.25">
      <c r="A1066" s="4" t="s">
        <v>2327</v>
      </c>
      <c r="B1066" s="4" t="s">
        <v>2328</v>
      </c>
      <c r="C1066" s="5">
        <v>2492</v>
      </c>
      <c r="D1066" s="6" t="s">
        <v>2329</v>
      </c>
      <c r="E1066" t="s">
        <v>334</v>
      </c>
      <c r="F1066" t="s">
        <v>19</v>
      </c>
      <c r="G1066" t="str">
        <f>+VLOOKUP(F1066,[1]Explore!$B:$I,8,0)</f>
        <v>Govt USD</v>
      </c>
      <c r="H1066" t="s">
        <v>20</v>
      </c>
      <c r="I1066" t="str">
        <f>+VLOOKUP(H1066,[1]Explore!$A:$I,9,0)</f>
        <v>Govt USD</v>
      </c>
      <c r="J1066" t="str">
        <f t="shared" si="32"/>
        <v>OK</v>
      </c>
      <c r="K1066" t="str">
        <f t="shared" si="33"/>
        <v>Govt USD</v>
      </c>
      <c r="L1066" t="s">
        <v>2143</v>
      </c>
      <c r="M1066" t="str">
        <f>_xlfn.IFNA(VLOOKUP(K1066,'Mapping DEF'!A:C,2,0),"")</f>
        <v>Curve (Local)</v>
      </c>
      <c r="N1066" t="str">
        <f>+_xlfn.IFNA(VLOOKUP(M1066,'Mapping DEF'!B:C,2,FALSE),"")</f>
        <v>Term Structure</v>
      </c>
      <c r="O1066" t="s">
        <v>2774</v>
      </c>
    </row>
    <row r="1067" spans="1:15" x14ac:dyDescent="0.25">
      <c r="A1067" s="4" t="s">
        <v>2327</v>
      </c>
      <c r="B1067" s="4" t="s">
        <v>2328</v>
      </c>
      <c r="C1067" s="5">
        <v>2492</v>
      </c>
      <c r="D1067" s="6" t="s">
        <v>2329</v>
      </c>
      <c r="E1067" t="s">
        <v>1466</v>
      </c>
      <c r="F1067" t="s">
        <v>731</v>
      </c>
      <c r="G1067" t="str">
        <f>+VLOOKUP(F1067,[1]Explore!$B:$I,8,0)</f>
        <v>Alternative - Commodity</v>
      </c>
      <c r="H1067" t="s">
        <v>732</v>
      </c>
      <c r="I1067" t="str">
        <f>+VLOOKUP(H1067,[1]Explore!$A:$I,9,0)</f>
        <v>Alternative - Commodity</v>
      </c>
      <c r="J1067" t="str">
        <f t="shared" si="32"/>
        <v>OK</v>
      </c>
      <c r="K1067" t="str">
        <f t="shared" si="33"/>
        <v>Alternative - Commodity</v>
      </c>
      <c r="L1067" t="s">
        <v>2139</v>
      </c>
      <c r="M1067" t="str">
        <f>_xlfn.IFNA(VLOOKUP(K1067,'Mapping DEF'!A:C,2,0),"")</f>
        <v>Alternative</v>
      </c>
      <c r="N1067" t="str">
        <f>+_xlfn.IFNA(VLOOKUP(M1067,'Mapping DEF'!B:C,2,FALSE),"")</f>
        <v>Other</v>
      </c>
      <c r="O1067" t="s">
        <v>2821</v>
      </c>
    </row>
    <row r="1068" spans="1:15" x14ac:dyDescent="0.25">
      <c r="A1068" s="4" t="s">
        <v>2327</v>
      </c>
      <c r="B1068" s="4" t="s">
        <v>2328</v>
      </c>
      <c r="C1068" s="5">
        <v>2492</v>
      </c>
      <c r="D1068" s="6" t="s">
        <v>2329</v>
      </c>
      <c r="E1068" t="s">
        <v>1467</v>
      </c>
      <c r="F1068" t="s">
        <v>1468</v>
      </c>
      <c r="G1068" t="str">
        <f>+VLOOKUP(F1068,[1]Explore!$B:$I,8,0)</f>
        <v>Rates Implied Volatility</v>
      </c>
      <c r="H1068" t="s">
        <v>1469</v>
      </c>
      <c r="I1068" t="str">
        <f>+VLOOKUP(H1068,[1]Explore!$A:$I,9,0)</f>
        <v>Rates Implied Volatility</v>
      </c>
      <c r="J1068" t="str">
        <f t="shared" si="32"/>
        <v>OK</v>
      </c>
      <c r="K1068" t="str">
        <f t="shared" si="33"/>
        <v>Rates Implied Volatility</v>
      </c>
      <c r="L1068" t="s">
        <v>2146</v>
      </c>
      <c r="M1068" t="str">
        <f>_xlfn.IFNA(VLOOKUP(K1068,'Mapping DEF'!A:C,2,0),"")</f>
        <v>Rates Implied Volatility</v>
      </c>
      <c r="N1068" t="str">
        <f>+_xlfn.IFNA(VLOOKUP(M1068,'Mapping DEF'!B:C,2,FALSE),"")</f>
        <v>Other</v>
      </c>
      <c r="O1068" t="s">
        <v>2786</v>
      </c>
    </row>
    <row r="1069" spans="1:15" x14ac:dyDescent="0.25">
      <c r="A1069" s="4" t="s">
        <v>2327</v>
      </c>
      <c r="B1069" s="4" t="s">
        <v>2328</v>
      </c>
      <c r="C1069" s="5">
        <v>2492</v>
      </c>
      <c r="D1069" s="6" t="s">
        <v>2329</v>
      </c>
      <c r="E1069" t="s">
        <v>1458</v>
      </c>
      <c r="F1069" t="s">
        <v>1350</v>
      </c>
      <c r="G1069" t="str">
        <f>+VLOOKUP(F1069,[1]Explore!$B:$I,8,0)</f>
        <v>Govt Developed Other (AU, GB, JP, ...)</v>
      </c>
      <c r="H1069" t="s">
        <v>1351</v>
      </c>
      <c r="I1069" t="str">
        <f>+VLOOKUP(H1069,[1]Explore!$A:$I,9,0)</f>
        <v>Govt Developed Other (AU, GB, JP, ...)</v>
      </c>
      <c r="J1069" t="str">
        <f t="shared" si="32"/>
        <v>OK</v>
      </c>
      <c r="K1069" t="str">
        <f t="shared" si="33"/>
        <v>Govt Developed Other (AU, GB, JP, ...)</v>
      </c>
      <c r="L1069" t="s">
        <v>2143</v>
      </c>
      <c r="M1069" t="str">
        <f>_xlfn.IFNA(VLOOKUP(K1069,'Mapping DEF'!A:C,2,0),"")</f>
        <v>Curve (Local)</v>
      </c>
      <c r="N1069" t="str">
        <f>+_xlfn.IFNA(VLOOKUP(M1069,'Mapping DEF'!B:C,2,FALSE),"")</f>
        <v>Term Structure</v>
      </c>
      <c r="O1069" t="s">
        <v>2769</v>
      </c>
    </row>
    <row r="1070" spans="1:15" x14ac:dyDescent="0.25">
      <c r="A1070" s="4" t="s">
        <v>2327</v>
      </c>
      <c r="B1070" s="4" t="s">
        <v>2328</v>
      </c>
      <c r="C1070" s="5">
        <v>2492</v>
      </c>
      <c r="D1070" s="6" t="s">
        <v>2329</v>
      </c>
      <c r="E1070" t="s">
        <v>1470</v>
      </c>
      <c r="F1070" t="s">
        <v>1471</v>
      </c>
      <c r="G1070" t="str">
        <f>+VLOOKUP(F1070,[1]Explore!$B:$I,8,0)</f>
        <v>Equity Implied Volatility</v>
      </c>
      <c r="H1070" t="s">
        <v>1472</v>
      </c>
      <c r="I1070" t="str">
        <f>+VLOOKUP(H1070,[1]Explore!$A:$I,9,0)</f>
        <v>Equity Implied Volatility</v>
      </c>
      <c r="J1070" t="str">
        <f t="shared" si="32"/>
        <v>OK</v>
      </c>
      <c r="K1070" t="str">
        <f t="shared" si="33"/>
        <v>Equity Implied Volatility</v>
      </c>
      <c r="L1070" t="s">
        <v>27</v>
      </c>
      <c r="M1070" t="str">
        <f>_xlfn.IFNA(VLOOKUP(K1070,'Mapping DEF'!A:C,2,0),"")</f>
        <v>Equity Derivatives</v>
      </c>
      <c r="N1070" t="str">
        <f>+_xlfn.IFNA(VLOOKUP(M1070,'Mapping DEF'!B:C,2,FALSE),"")</f>
        <v>Equity</v>
      </c>
      <c r="O1070" t="s">
        <v>2844</v>
      </c>
    </row>
    <row r="1071" spans="1:15" x14ac:dyDescent="0.25">
      <c r="A1071" s="4" t="s">
        <v>2327</v>
      </c>
      <c r="B1071" s="4" t="s">
        <v>2328</v>
      </c>
      <c r="C1071" s="5">
        <v>2492</v>
      </c>
      <c r="D1071" s="6" t="s">
        <v>2329</v>
      </c>
      <c r="E1071" t="s">
        <v>991</v>
      </c>
      <c r="F1071" t="s">
        <v>183</v>
      </c>
      <c r="G1071" t="str">
        <f>+VLOOKUP(F1071,[1]Explore!$B:$I,8,0)</f>
        <v>Equity Implied Volatility</v>
      </c>
      <c r="H1071" t="s">
        <v>184</v>
      </c>
      <c r="I1071" t="str">
        <f>+VLOOKUP(H1071,[1]Explore!$A:$I,9,0)</f>
        <v>Equity Implied Volatility</v>
      </c>
      <c r="J1071" t="str">
        <f t="shared" si="32"/>
        <v>OK</v>
      </c>
      <c r="K1071" t="str">
        <f t="shared" si="33"/>
        <v>Equity Implied Volatility</v>
      </c>
      <c r="L1071" t="s">
        <v>27</v>
      </c>
      <c r="M1071" t="str">
        <f>_xlfn.IFNA(VLOOKUP(K1071,'Mapping DEF'!A:C,2,0),"")</f>
        <v>Equity Derivatives</v>
      </c>
      <c r="N1071" t="str">
        <f>+_xlfn.IFNA(VLOOKUP(M1071,'Mapping DEF'!B:C,2,FALSE),"")</f>
        <v>Equity</v>
      </c>
      <c r="O1071" t="s">
        <v>2787</v>
      </c>
    </row>
    <row r="1072" spans="1:15" x14ac:dyDescent="0.25">
      <c r="A1072" s="4" t="s">
        <v>2327</v>
      </c>
      <c r="B1072" s="4" t="s">
        <v>2328</v>
      </c>
      <c r="C1072" s="5">
        <v>2492</v>
      </c>
      <c r="D1072" s="6" t="s">
        <v>2329</v>
      </c>
      <c r="E1072" t="s">
        <v>1473</v>
      </c>
      <c r="F1072" t="s">
        <v>1474</v>
      </c>
      <c r="G1072" t="str">
        <f>+VLOOKUP(F1072,[1]Explore!$B:$I,8,0)</f>
        <v>Corporate IG Other - Maturity</v>
      </c>
      <c r="H1072" t="s">
        <v>1475</v>
      </c>
      <c r="I1072" t="str">
        <f>+VLOOKUP(H1072,[1]Explore!$A:$I,9,0)</f>
        <v>Corporate IG Other - Maturity</v>
      </c>
      <c r="J1072" t="str">
        <f t="shared" si="32"/>
        <v>OK</v>
      </c>
      <c r="K1072" t="str">
        <f t="shared" si="33"/>
        <v>Corporate IG Other - Maturity</v>
      </c>
      <c r="L1072" t="s">
        <v>188</v>
      </c>
      <c r="M1072" t="str">
        <f>_xlfn.IFNA(VLOOKUP(K1072,'Mapping DEF'!A:C,2,0),"")</f>
        <v>Spread</v>
      </c>
      <c r="N1072" t="str">
        <f>+_xlfn.IFNA(VLOOKUP(M1072,'Mapping DEF'!B:C,2,FALSE),"")</f>
        <v>Spread</v>
      </c>
      <c r="O1072" t="s">
        <v>2779</v>
      </c>
    </row>
    <row r="1073" spans="1:15" x14ac:dyDescent="0.25">
      <c r="A1073" s="4" t="s">
        <v>2327</v>
      </c>
      <c r="B1073" s="4" t="s">
        <v>2328</v>
      </c>
      <c r="C1073" s="5">
        <v>2492</v>
      </c>
      <c r="D1073" s="6" t="s">
        <v>2329</v>
      </c>
      <c r="E1073" t="s">
        <v>1476</v>
      </c>
      <c r="F1073" t="s">
        <v>399</v>
      </c>
      <c r="G1073" t="e">
        <f>+VLOOKUP(F1073,[1]Explore!$B:$I,8,0)</f>
        <v>#N/A</v>
      </c>
      <c r="H1073" t="s">
        <v>1477</v>
      </c>
      <c r="I1073" t="e">
        <f>+VLOOKUP(H1073,[1]Explore!$A:$I,9,0)</f>
        <v>#N/A</v>
      </c>
      <c r="J1073" t="str">
        <f t="shared" si="32"/>
        <v>BOTH #N/A</v>
      </c>
      <c r="K1073" t="str">
        <f t="shared" si="33"/>
        <v>Financials</v>
      </c>
      <c r="L1073" t="s">
        <v>325</v>
      </c>
      <c r="M1073" t="str">
        <f>_xlfn.IFNA(VLOOKUP(K1073,'Mapping DEF'!A:C,2,0),"")</f>
        <v>Industry Allocation</v>
      </c>
      <c r="N1073" t="str">
        <f>+_xlfn.IFNA(VLOOKUP(M1073,'Mapping DEF'!B:C,2,FALSE),"")</f>
        <v>Equity</v>
      </c>
      <c r="O1073" t="s">
        <v>2768</v>
      </c>
    </row>
    <row r="1074" spans="1:15" x14ac:dyDescent="0.25">
      <c r="A1074" s="4" t="s">
        <v>2327</v>
      </c>
      <c r="B1074" s="4" t="s">
        <v>2328</v>
      </c>
      <c r="C1074" s="5">
        <v>2492</v>
      </c>
      <c r="D1074" s="6" t="s">
        <v>2329</v>
      </c>
      <c r="E1074" t="s">
        <v>1478</v>
      </c>
      <c r="F1074" t="s">
        <v>1479</v>
      </c>
      <c r="G1074" t="str">
        <f>+VLOOKUP(F1074,[1]Explore!$B:$I,8,0)</f>
        <v>Govt USD</v>
      </c>
      <c r="H1074" t="s">
        <v>1480</v>
      </c>
      <c r="I1074" t="str">
        <f>+VLOOKUP(H1074,[1]Explore!$A:$I,9,0)</f>
        <v>Govt USD</v>
      </c>
      <c r="J1074" t="str">
        <f t="shared" si="32"/>
        <v>OK</v>
      </c>
      <c r="K1074" t="str">
        <f t="shared" si="33"/>
        <v>Govt USD</v>
      </c>
      <c r="L1074" t="s">
        <v>2143</v>
      </c>
      <c r="M1074" t="str">
        <f>_xlfn.IFNA(VLOOKUP(K1074,'Mapping DEF'!A:C,2,0),"")</f>
        <v>Curve (Local)</v>
      </c>
      <c r="N1074" t="str">
        <f>+_xlfn.IFNA(VLOOKUP(M1074,'Mapping DEF'!B:C,2,FALSE),"")</f>
        <v>Term Structure</v>
      </c>
      <c r="O1074" t="s">
        <v>2782</v>
      </c>
    </row>
    <row r="1075" spans="1:15" x14ac:dyDescent="0.25">
      <c r="A1075" s="4" t="s">
        <v>2330</v>
      </c>
      <c r="B1075" s="4" t="s">
        <v>2331</v>
      </c>
      <c r="C1075" s="5">
        <v>2494</v>
      </c>
      <c r="D1075" s="6" t="s">
        <v>2332</v>
      </c>
      <c r="E1075" t="s">
        <v>1481</v>
      </c>
      <c r="F1075" t="s">
        <v>1380</v>
      </c>
      <c r="G1075" t="str">
        <f>+VLOOKUP(F1075,[1]Explore!$B:$I,8,0)</f>
        <v>Alternative - Commodity</v>
      </c>
      <c r="H1075" t="s">
        <v>1381</v>
      </c>
      <c r="I1075" t="str">
        <f>+VLOOKUP(H1075,[1]Explore!$A:$I,9,0)</f>
        <v>Alternative - Commodity</v>
      </c>
      <c r="J1075" t="str">
        <f t="shared" si="32"/>
        <v>OK</v>
      </c>
      <c r="K1075" t="str">
        <f t="shared" si="33"/>
        <v>Alternative - Commodity</v>
      </c>
      <c r="L1075" t="s">
        <v>2139</v>
      </c>
      <c r="M1075" t="str">
        <f>_xlfn.IFNA(VLOOKUP(K1075,'Mapping DEF'!A:C,2,0),"")</f>
        <v>Alternative</v>
      </c>
      <c r="N1075" t="str">
        <f>+_xlfn.IFNA(VLOOKUP(M1075,'Mapping DEF'!B:C,2,FALSE),"")</f>
        <v>Other</v>
      </c>
      <c r="O1075" t="s">
        <v>2801</v>
      </c>
    </row>
    <row r="1076" spans="1:15" x14ac:dyDescent="0.25">
      <c r="A1076" s="4" t="s">
        <v>2330</v>
      </c>
      <c r="B1076" s="4" t="s">
        <v>2331</v>
      </c>
      <c r="C1076" s="5">
        <v>2494</v>
      </c>
      <c r="D1076" s="6" t="s">
        <v>2332</v>
      </c>
      <c r="E1076" t="s">
        <v>1364</v>
      </c>
      <c r="F1076" t="s">
        <v>1365</v>
      </c>
      <c r="G1076" t="str">
        <f>+VLOOKUP(F1076,[1]Explore!$B:$I,8,0)</f>
        <v>Govt Developed Other (AU, GB, JP, ...)</v>
      </c>
      <c r="H1076" t="s">
        <v>1366</v>
      </c>
      <c r="I1076" t="str">
        <f>+VLOOKUP(H1076,[1]Explore!$A:$I,9,0)</f>
        <v>Govt Developed Other (AU, GB, JP, ...)</v>
      </c>
      <c r="J1076" t="str">
        <f t="shared" si="32"/>
        <v>OK</v>
      </c>
      <c r="K1076" t="str">
        <f t="shared" si="33"/>
        <v>Govt Developed Other (AU, GB, JP, ...)</v>
      </c>
      <c r="L1076" t="s">
        <v>2143</v>
      </c>
      <c r="M1076" t="str">
        <f>_xlfn.IFNA(VLOOKUP(K1076,'Mapping DEF'!A:C,2,0),"")</f>
        <v>Curve (Local)</v>
      </c>
      <c r="N1076" t="str">
        <f>+_xlfn.IFNA(VLOOKUP(M1076,'Mapping DEF'!B:C,2,FALSE),"")</f>
        <v>Term Structure</v>
      </c>
      <c r="O1076" t="s">
        <v>2778</v>
      </c>
    </row>
    <row r="1077" spans="1:15" x14ac:dyDescent="0.25">
      <c r="A1077" s="4" t="s">
        <v>2330</v>
      </c>
      <c r="B1077" s="4" t="s">
        <v>2331</v>
      </c>
      <c r="C1077" s="5">
        <v>2494</v>
      </c>
      <c r="D1077" s="6" t="s">
        <v>2332</v>
      </c>
      <c r="E1077" t="s">
        <v>1482</v>
      </c>
      <c r="F1077" t="s">
        <v>1350</v>
      </c>
      <c r="G1077" t="str">
        <f>+VLOOKUP(F1077,[1]Explore!$B:$I,8,0)</f>
        <v>Govt Developed Other (AU, GB, JP, ...)</v>
      </c>
      <c r="H1077" t="s">
        <v>1351</v>
      </c>
      <c r="I1077" t="str">
        <f>+VLOOKUP(H1077,[1]Explore!$A:$I,9,0)</f>
        <v>Govt Developed Other (AU, GB, JP, ...)</v>
      </c>
      <c r="J1077" t="str">
        <f t="shared" si="32"/>
        <v>OK</v>
      </c>
      <c r="K1077" t="str">
        <f t="shared" si="33"/>
        <v>Govt Developed Other (AU, GB, JP, ...)</v>
      </c>
      <c r="L1077" t="s">
        <v>2143</v>
      </c>
      <c r="M1077" t="str">
        <f>_xlfn.IFNA(VLOOKUP(K1077,'Mapping DEF'!A:C,2,0),"")</f>
        <v>Curve (Local)</v>
      </c>
      <c r="N1077" t="str">
        <f>+_xlfn.IFNA(VLOOKUP(M1077,'Mapping DEF'!B:C,2,FALSE),"")</f>
        <v>Term Structure</v>
      </c>
      <c r="O1077" t="s">
        <v>2843</v>
      </c>
    </row>
    <row r="1078" spans="1:15" x14ac:dyDescent="0.25">
      <c r="A1078" s="4" t="s">
        <v>2330</v>
      </c>
      <c r="B1078" s="4" t="s">
        <v>2331</v>
      </c>
      <c r="C1078" s="5">
        <v>2494</v>
      </c>
      <c r="D1078" s="6" t="s">
        <v>2332</v>
      </c>
      <c r="E1078" t="s">
        <v>1483</v>
      </c>
      <c r="F1078" t="s">
        <v>2944</v>
      </c>
      <c r="G1078" t="str">
        <f>+VLOOKUP(F1078,[1]Explore!$B:$I,8,0)</f>
        <v>JPY</v>
      </c>
      <c r="H1078" t="s">
        <v>138</v>
      </c>
      <c r="I1078" t="str">
        <f>+VLOOKUP(H1078,[1]Explore!$A:$I,9,0)</f>
        <v>JPY</v>
      </c>
      <c r="J1078" t="str">
        <f t="shared" si="32"/>
        <v>OK</v>
      </c>
      <c r="K1078" t="str">
        <f t="shared" si="33"/>
        <v>JPY</v>
      </c>
      <c r="L1078" t="s">
        <v>2140</v>
      </c>
      <c r="M1078" t="str">
        <f>_xlfn.IFNA(VLOOKUP(K1078,'Mapping DEF'!A:C,2,0),"")</f>
        <v>FX</v>
      </c>
      <c r="N1078" t="str">
        <f>+_xlfn.IFNA(VLOOKUP(M1078,'Mapping DEF'!B:C,2,FALSE),"")</f>
        <v>FX</v>
      </c>
      <c r="O1078" t="s">
        <v>2776</v>
      </c>
    </row>
    <row r="1079" spans="1:15" x14ac:dyDescent="0.25">
      <c r="A1079" s="4" t="s">
        <v>2330</v>
      </c>
      <c r="B1079" s="4" t="s">
        <v>2331</v>
      </c>
      <c r="C1079" s="5">
        <v>2494</v>
      </c>
      <c r="D1079" s="6" t="s">
        <v>2332</v>
      </c>
      <c r="E1079" t="s">
        <v>1484</v>
      </c>
      <c r="F1079" t="s">
        <v>1451</v>
      </c>
      <c r="G1079" t="str">
        <f>+VLOOKUP(F1079,[1]Explore!$B:$I,8,0)</f>
        <v>Other - Inflation</v>
      </c>
      <c r="H1079" t="s">
        <v>1452</v>
      </c>
      <c r="I1079" t="str">
        <f>+VLOOKUP(H1079,[1]Explore!$A:$I,9,0)</f>
        <v>Other - Inflation</v>
      </c>
      <c r="J1079" t="str">
        <f t="shared" si="32"/>
        <v>OK</v>
      </c>
      <c r="K1079" t="str">
        <f t="shared" si="33"/>
        <v>Other - Inflation</v>
      </c>
      <c r="L1079" t="s">
        <v>2143</v>
      </c>
      <c r="M1079" t="str">
        <f>_xlfn.IFNA(VLOOKUP(K1079,'Mapping DEF'!A:C,2,0),"")</f>
        <v>Other</v>
      </c>
      <c r="N1079" t="str">
        <f>+_xlfn.IFNA(VLOOKUP(M1079,'Mapping DEF'!B:C,2,FALSE),"")</f>
        <v>Other</v>
      </c>
      <c r="O1079" t="s">
        <v>2769</v>
      </c>
    </row>
    <row r="1080" spans="1:15" x14ac:dyDescent="0.25">
      <c r="A1080" s="4" t="s">
        <v>2330</v>
      </c>
      <c r="B1080" s="4" t="s">
        <v>2331</v>
      </c>
      <c r="C1080" s="5">
        <v>2494</v>
      </c>
      <c r="D1080" s="6" t="s">
        <v>2332</v>
      </c>
      <c r="E1080" t="s">
        <v>1485</v>
      </c>
      <c r="F1080" t="s">
        <v>2181</v>
      </c>
      <c r="G1080" t="str">
        <f>+VLOOKUP(F1080,[1]Explore!$B:$I,8,0)</f>
        <v>Other - Index</v>
      </c>
      <c r="H1080" t="s">
        <v>618</v>
      </c>
      <c r="I1080" t="e">
        <f>+VLOOKUP(H1080,[1]Explore!$A:$I,9,0)</f>
        <v>#N/A</v>
      </c>
      <c r="J1080" t="str">
        <f t="shared" si="32"/>
        <v>OK</v>
      </c>
      <c r="K1080" t="str">
        <f t="shared" si="33"/>
        <v>Other - Index</v>
      </c>
      <c r="L1080" t="s">
        <v>27</v>
      </c>
      <c r="M1080" t="str">
        <f>_xlfn.IFNA(VLOOKUP(K1080,'Mapping DEF'!A:C,2,0),"")</f>
        <v>Other</v>
      </c>
      <c r="N1080" t="str">
        <f>+_xlfn.IFNA(VLOOKUP(M1080,'Mapping DEF'!B:C,2,FALSE),"")</f>
        <v>Other</v>
      </c>
      <c r="O1080" t="s">
        <v>2770</v>
      </c>
    </row>
    <row r="1081" spans="1:15" x14ac:dyDescent="0.25">
      <c r="A1081" s="4" t="s">
        <v>2330</v>
      </c>
      <c r="B1081" s="4" t="s">
        <v>2331</v>
      </c>
      <c r="C1081" s="5">
        <v>2494</v>
      </c>
      <c r="D1081" s="6" t="s">
        <v>2332</v>
      </c>
      <c r="E1081" t="s">
        <v>1486</v>
      </c>
      <c r="F1081" t="s">
        <v>1471</v>
      </c>
      <c r="G1081" t="str">
        <f>+VLOOKUP(F1081,[1]Explore!$B:$I,8,0)</f>
        <v>Equity Implied Volatility</v>
      </c>
      <c r="H1081" t="s">
        <v>1487</v>
      </c>
      <c r="I1081" t="e">
        <f>+VLOOKUP(H1081,[1]Explore!$A:$I,9,0)</f>
        <v>#N/A</v>
      </c>
      <c r="J1081" t="str">
        <f t="shared" si="32"/>
        <v>OK</v>
      </c>
      <c r="K1081" t="str">
        <f t="shared" si="33"/>
        <v>Equity Implied Volatility</v>
      </c>
      <c r="L1081" t="s">
        <v>27</v>
      </c>
      <c r="M1081" t="str">
        <f>_xlfn.IFNA(VLOOKUP(K1081,'Mapping DEF'!A:C,2,0),"")</f>
        <v>Equity Derivatives</v>
      </c>
      <c r="N1081" t="str">
        <f>+_xlfn.IFNA(VLOOKUP(M1081,'Mapping DEF'!B:C,2,FALSE),"")</f>
        <v>Equity</v>
      </c>
      <c r="O1081" t="s">
        <v>2858</v>
      </c>
    </row>
    <row r="1082" spans="1:15" x14ac:dyDescent="0.25">
      <c r="A1082" s="4" t="s">
        <v>2333</v>
      </c>
      <c r="B1082" s="4" t="s">
        <v>2334</v>
      </c>
      <c r="C1082" s="5">
        <v>2493</v>
      </c>
      <c r="D1082" s="6" t="s">
        <v>2335</v>
      </c>
      <c r="E1082" t="s">
        <v>1488</v>
      </c>
      <c r="F1082" t="s">
        <v>271</v>
      </c>
      <c r="G1082" t="str">
        <f>+VLOOKUP(F1082,[1]Explore!$B:$I,8,0)</f>
        <v>Corporate IG USD - Other</v>
      </c>
      <c r="H1082" t="s">
        <v>272</v>
      </c>
      <c r="I1082" t="str">
        <f>+VLOOKUP(H1082,[1]Explore!$A:$I,9,0)</f>
        <v>Corporate IG USD - Other</v>
      </c>
      <c r="J1082" t="str">
        <f t="shared" si="32"/>
        <v>OK</v>
      </c>
      <c r="K1082" t="str">
        <f t="shared" si="33"/>
        <v>Corporate IG USD - Other</v>
      </c>
      <c r="L1082" t="s">
        <v>2650</v>
      </c>
      <c r="M1082" t="str">
        <f>_xlfn.IFNA(VLOOKUP(K1082,'Mapping DEF'!A:C,2,0),"")</f>
        <v>Spread</v>
      </c>
      <c r="N1082" t="str">
        <f>+_xlfn.IFNA(VLOOKUP(M1082,'Mapping DEF'!B:C,2,FALSE),"")</f>
        <v>Spread</v>
      </c>
      <c r="O1082" t="s">
        <v>2779</v>
      </c>
    </row>
    <row r="1083" spans="1:15" x14ac:dyDescent="0.25">
      <c r="A1083" s="4" t="s">
        <v>2333</v>
      </c>
      <c r="B1083" s="4" t="s">
        <v>2334</v>
      </c>
      <c r="C1083" s="5">
        <v>2493</v>
      </c>
      <c r="D1083" s="6" t="s">
        <v>2335</v>
      </c>
      <c r="E1083" t="s">
        <v>1489</v>
      </c>
      <c r="F1083" t="s">
        <v>1446</v>
      </c>
      <c r="G1083" t="str">
        <f>+VLOOKUP(F1083,[1]Explore!$B:$I,8,0)</f>
        <v>Govt Developed Other (AU, GB, JP, ...)</v>
      </c>
      <c r="H1083" t="s">
        <v>1447</v>
      </c>
      <c r="I1083" t="str">
        <f>+VLOOKUP(H1083,[1]Explore!$A:$I,9,0)</f>
        <v>Govt Developed Other (AU, GB, JP, ...)</v>
      </c>
      <c r="J1083" t="str">
        <f t="shared" si="32"/>
        <v>OK</v>
      </c>
      <c r="K1083" t="str">
        <f t="shared" si="33"/>
        <v>Govt Developed Other (AU, GB, JP, ...)</v>
      </c>
      <c r="L1083" t="s">
        <v>2143</v>
      </c>
      <c r="M1083" t="str">
        <f>_xlfn.IFNA(VLOOKUP(K1083,'Mapping DEF'!A:C,2,0),"")</f>
        <v>Curve (Local)</v>
      </c>
      <c r="N1083" t="str">
        <f>+_xlfn.IFNA(VLOOKUP(M1083,'Mapping DEF'!B:C,2,FALSE),"")</f>
        <v>Term Structure</v>
      </c>
      <c r="O1083" t="s">
        <v>2779</v>
      </c>
    </row>
    <row r="1084" spans="1:15" x14ac:dyDescent="0.25">
      <c r="A1084" s="4" t="s">
        <v>2333</v>
      </c>
      <c r="B1084" s="4" t="s">
        <v>2334</v>
      </c>
      <c r="C1084" s="5">
        <v>2493</v>
      </c>
      <c r="D1084" s="6" t="s">
        <v>2335</v>
      </c>
      <c r="E1084" t="s">
        <v>1493</v>
      </c>
      <c r="F1084" t="s">
        <v>1494</v>
      </c>
      <c r="G1084" t="str">
        <f>+VLOOKUP(F1084,[1]Explore!$B:$I,8,0)</f>
        <v>Govt Developed Other (AU, GB, JP, ...)</v>
      </c>
      <c r="H1084" t="s">
        <v>1495</v>
      </c>
      <c r="I1084" t="str">
        <f>+VLOOKUP(H1084,[1]Explore!$A:$I,9,0)</f>
        <v>Govt Developed Other (AU, GB, JP, ...)</v>
      </c>
      <c r="J1084" t="str">
        <f t="shared" si="32"/>
        <v>OK</v>
      </c>
      <c r="K1084" t="str">
        <f t="shared" si="33"/>
        <v>Govt Developed Other (AU, GB, JP, ...)</v>
      </c>
      <c r="L1084" t="s">
        <v>2143</v>
      </c>
      <c r="M1084" t="str">
        <f>_xlfn.IFNA(VLOOKUP(K1084,'Mapping DEF'!A:C,2,0),"")</f>
        <v>Curve (Local)</v>
      </c>
      <c r="N1084" t="str">
        <f>+_xlfn.IFNA(VLOOKUP(M1084,'Mapping DEF'!B:C,2,FALSE),"")</f>
        <v>Term Structure</v>
      </c>
      <c r="O1084" t="s">
        <v>2791</v>
      </c>
    </row>
    <row r="1085" spans="1:15" x14ac:dyDescent="0.25">
      <c r="A1085" s="4" t="s">
        <v>2333</v>
      </c>
      <c r="B1085" s="4" t="s">
        <v>2334</v>
      </c>
      <c r="C1085" s="5">
        <v>2493</v>
      </c>
      <c r="D1085" s="6" t="s">
        <v>2335</v>
      </c>
      <c r="E1085" t="s">
        <v>1496</v>
      </c>
      <c r="F1085" t="s">
        <v>2944</v>
      </c>
      <c r="G1085" t="str">
        <f>+VLOOKUP(F1085,[1]Explore!$B:$I,8,0)</f>
        <v>JPY</v>
      </c>
      <c r="H1085" t="s">
        <v>138</v>
      </c>
      <c r="I1085" t="str">
        <f>+VLOOKUP(H1085,[1]Explore!$A:$I,9,0)</f>
        <v>JPY</v>
      </c>
      <c r="J1085" t="str">
        <f t="shared" si="32"/>
        <v>OK</v>
      </c>
      <c r="K1085" t="str">
        <f t="shared" si="33"/>
        <v>JPY</v>
      </c>
      <c r="L1085" t="s">
        <v>2140</v>
      </c>
      <c r="M1085" t="str">
        <f>_xlfn.IFNA(VLOOKUP(K1085,'Mapping DEF'!A:C,2,0),"")</f>
        <v>FX</v>
      </c>
      <c r="N1085" t="str">
        <f>+_xlfn.IFNA(VLOOKUP(M1085,'Mapping DEF'!B:C,2,FALSE),"")</f>
        <v>FX</v>
      </c>
      <c r="O1085" t="s">
        <v>2844</v>
      </c>
    </row>
    <row r="1086" spans="1:15" x14ac:dyDescent="0.25">
      <c r="A1086" s="4" t="s">
        <v>2333</v>
      </c>
      <c r="B1086" s="4" t="s">
        <v>2334</v>
      </c>
      <c r="C1086" s="5">
        <v>2493</v>
      </c>
      <c r="D1086" s="6" t="s">
        <v>2335</v>
      </c>
      <c r="E1086" t="s">
        <v>1497</v>
      </c>
      <c r="F1086" t="s">
        <v>1451</v>
      </c>
      <c r="G1086" t="str">
        <f>+VLOOKUP(F1086,[1]Explore!$B:$I,8,0)</f>
        <v>Other - Inflation</v>
      </c>
      <c r="H1086" t="s">
        <v>1452</v>
      </c>
      <c r="I1086" t="str">
        <f>+VLOOKUP(H1086,[1]Explore!$A:$I,9,0)</f>
        <v>Other - Inflation</v>
      </c>
      <c r="J1086" t="str">
        <f t="shared" si="32"/>
        <v>OK</v>
      </c>
      <c r="K1086" t="str">
        <f t="shared" si="33"/>
        <v>Other - Inflation</v>
      </c>
      <c r="L1086" t="s">
        <v>2143</v>
      </c>
      <c r="M1086" t="str">
        <f>_xlfn.IFNA(VLOOKUP(K1086,'Mapping DEF'!A:C,2,0),"")</f>
        <v>Other</v>
      </c>
      <c r="N1086" t="str">
        <f>+_xlfn.IFNA(VLOOKUP(M1086,'Mapping DEF'!B:C,2,FALSE),"")</f>
        <v>Other</v>
      </c>
      <c r="O1086" t="s">
        <v>2774</v>
      </c>
    </row>
    <row r="1087" spans="1:15" x14ac:dyDescent="0.25">
      <c r="A1087" s="4" t="s">
        <v>2333</v>
      </c>
      <c r="B1087" s="4" t="s">
        <v>2334</v>
      </c>
      <c r="C1087" s="5">
        <v>2493</v>
      </c>
      <c r="D1087" s="6" t="s">
        <v>2335</v>
      </c>
      <c r="E1087" t="s">
        <v>1498</v>
      </c>
      <c r="F1087" t="s">
        <v>1471</v>
      </c>
      <c r="G1087" t="str">
        <f>+VLOOKUP(F1087,[1]Explore!$B:$I,8,0)</f>
        <v>Equity Implied Volatility</v>
      </c>
      <c r="H1087" t="s">
        <v>1472</v>
      </c>
      <c r="I1087" t="str">
        <f>+VLOOKUP(H1087,[1]Explore!$A:$I,9,0)</f>
        <v>Equity Implied Volatility</v>
      </c>
      <c r="J1087" t="str">
        <f t="shared" si="32"/>
        <v>OK</v>
      </c>
      <c r="K1087" t="str">
        <f t="shared" si="33"/>
        <v>Equity Implied Volatility</v>
      </c>
      <c r="L1087" t="s">
        <v>27</v>
      </c>
      <c r="M1087" t="str">
        <f>_xlfn.IFNA(VLOOKUP(K1087,'Mapping DEF'!A:C,2,0),"")</f>
        <v>Equity Derivatives</v>
      </c>
      <c r="N1087" t="str">
        <f>+_xlfn.IFNA(VLOOKUP(M1087,'Mapping DEF'!B:C,2,FALSE),"")</f>
        <v>Equity</v>
      </c>
      <c r="O1087" t="s">
        <v>2801</v>
      </c>
    </row>
    <row r="1088" spans="1:15" x14ac:dyDescent="0.25">
      <c r="A1088" s="4" t="s">
        <v>2333</v>
      </c>
      <c r="B1088" s="4" t="s">
        <v>2334</v>
      </c>
      <c r="C1088" s="5">
        <v>2493</v>
      </c>
      <c r="D1088" s="6" t="s">
        <v>2335</v>
      </c>
      <c r="E1088" t="s">
        <v>909</v>
      </c>
      <c r="F1088" t="s">
        <v>183</v>
      </c>
      <c r="G1088" t="str">
        <f>+VLOOKUP(F1088,[1]Explore!$B:$I,8,0)</f>
        <v>Equity Implied Volatility</v>
      </c>
      <c r="H1088" t="s">
        <v>184</v>
      </c>
      <c r="I1088" t="str">
        <f>+VLOOKUP(H1088,[1]Explore!$A:$I,9,0)</f>
        <v>Equity Implied Volatility</v>
      </c>
      <c r="J1088" t="str">
        <f t="shared" si="32"/>
        <v>OK</v>
      </c>
      <c r="K1088" t="str">
        <f t="shared" si="33"/>
        <v>Equity Implied Volatility</v>
      </c>
      <c r="L1088" t="s">
        <v>27</v>
      </c>
      <c r="M1088" t="str">
        <f>_xlfn.IFNA(VLOOKUP(K1088,'Mapping DEF'!A:C,2,0),"")</f>
        <v>Equity Derivatives</v>
      </c>
      <c r="N1088" t="str">
        <f>+_xlfn.IFNA(VLOOKUP(M1088,'Mapping DEF'!B:C,2,FALSE),"")</f>
        <v>Equity</v>
      </c>
      <c r="O1088" t="s">
        <v>2759</v>
      </c>
    </row>
    <row r="1089" spans="1:15" x14ac:dyDescent="0.25">
      <c r="A1089" s="4" t="s">
        <v>2333</v>
      </c>
      <c r="B1089" s="4" t="s">
        <v>2334</v>
      </c>
      <c r="C1089" s="5">
        <v>2493</v>
      </c>
      <c r="D1089" s="6" t="s">
        <v>2335</v>
      </c>
      <c r="E1089" t="s">
        <v>1499</v>
      </c>
      <c r="F1089" t="s">
        <v>1500</v>
      </c>
      <c r="G1089" t="str">
        <f>+VLOOKUP(F1089,[1]Explore!$B:$I,8,0)</f>
        <v>Corporate IG Other - Maturity</v>
      </c>
      <c r="H1089" t="s">
        <v>1501</v>
      </c>
      <c r="I1089" t="str">
        <f>+VLOOKUP(H1089,[1]Explore!$A:$I,9,0)</f>
        <v>Corporate IG Other - Maturity</v>
      </c>
      <c r="J1089" t="str">
        <f t="shared" si="32"/>
        <v>OK</v>
      </c>
      <c r="K1089" t="str">
        <f t="shared" si="33"/>
        <v>Corporate IG Other - Maturity</v>
      </c>
      <c r="L1089" t="s">
        <v>188</v>
      </c>
      <c r="M1089" t="str">
        <f>_xlfn.IFNA(VLOOKUP(K1089,'Mapping DEF'!A:C,2,0),"")</f>
        <v>Spread</v>
      </c>
      <c r="N1089" t="str">
        <f>+_xlfn.IFNA(VLOOKUP(M1089,'Mapping DEF'!B:C,2,FALSE),"")</f>
        <v>Spread</v>
      </c>
      <c r="O1089" t="s">
        <v>2769</v>
      </c>
    </row>
    <row r="1090" spans="1:15" x14ac:dyDescent="0.25">
      <c r="A1090" s="4" t="s">
        <v>2336</v>
      </c>
      <c r="B1090" s="4" t="s">
        <v>2337</v>
      </c>
      <c r="C1090" s="5">
        <v>2305</v>
      </c>
      <c r="D1090" s="6" t="s">
        <v>2338</v>
      </c>
      <c r="E1090" t="s">
        <v>247</v>
      </c>
      <c r="G1090" t="e">
        <f>+VLOOKUP(F1090,[1]Explore!$B:$I,8,0)</f>
        <v>#N/A</v>
      </c>
      <c r="H1090" t="s">
        <v>247</v>
      </c>
      <c r="I1090" t="e">
        <f>+VLOOKUP(H1090,[1]Explore!$A:$I,9,0)</f>
        <v>#N/A</v>
      </c>
      <c r="J1090" t="str">
        <f t="shared" si="32"/>
        <v>BOTH #N/A</v>
      </c>
      <c r="K1090" t="str">
        <f t="shared" si="33"/>
        <v>-</v>
      </c>
      <c r="L1090" t="s">
        <v>247</v>
      </c>
      <c r="M1090" t="str">
        <f>_xlfn.IFNA(VLOOKUP(K1090,'Mapping DEF'!A:C,2,0),"")</f>
        <v/>
      </c>
      <c r="N1090" t="str">
        <f>+_xlfn.IFNA(VLOOKUP(M1090,'Mapping DEF'!B:C,2,FALSE),"")</f>
        <v/>
      </c>
    </row>
    <row r="1091" spans="1:15" x14ac:dyDescent="0.25">
      <c r="A1091" s="4" t="s">
        <v>2339</v>
      </c>
      <c r="B1091" s="4" t="s">
        <v>2340</v>
      </c>
      <c r="C1091" s="5">
        <v>2404</v>
      </c>
      <c r="D1091" s="6" t="s">
        <v>2341</v>
      </c>
      <c r="E1091" t="s">
        <v>1185</v>
      </c>
      <c r="F1091" t="s">
        <v>19</v>
      </c>
      <c r="G1091" t="str">
        <f>+VLOOKUP(F1091,[1]Explore!$B:$I,8,0)</f>
        <v>Govt USD</v>
      </c>
      <c r="H1091" t="s">
        <v>20</v>
      </c>
      <c r="I1091" t="str">
        <f>+VLOOKUP(H1091,[1]Explore!$A:$I,9,0)</f>
        <v>Govt USD</v>
      </c>
      <c r="J1091" t="str">
        <f t="shared" ref="J1091:J1154" si="34">IF(AND(ISNA(G1091),ISNA(I1091)),"BOTH #N/A","OK")</f>
        <v>OK</v>
      </c>
      <c r="K1091" t="str">
        <f t="shared" ref="K1091:K1154" si="35">IFERROR(I1091, IFERROR(G1091, L1091))</f>
        <v>Govt USD</v>
      </c>
      <c r="L1091" t="s">
        <v>2143</v>
      </c>
      <c r="M1091" t="str">
        <f>_xlfn.IFNA(VLOOKUP(K1091,'Mapping DEF'!A:C,2,0),"")</f>
        <v>Curve (Local)</v>
      </c>
      <c r="N1091" t="str">
        <f>+_xlfn.IFNA(VLOOKUP(M1091,'Mapping DEF'!B:C,2,FALSE),"")</f>
        <v>Term Structure</v>
      </c>
      <c r="O1091" t="s">
        <v>2778</v>
      </c>
    </row>
    <row r="1092" spans="1:15" x14ac:dyDescent="0.25">
      <c r="A1092" s="4" t="s">
        <v>2339</v>
      </c>
      <c r="B1092" s="4" t="s">
        <v>2340</v>
      </c>
      <c r="C1092" s="5">
        <v>2404</v>
      </c>
      <c r="D1092" s="6" t="s">
        <v>2341</v>
      </c>
      <c r="E1092" t="s">
        <v>1502</v>
      </c>
      <c r="F1092" t="s">
        <v>386</v>
      </c>
      <c r="G1092" t="str">
        <f>+VLOOKUP(F1092,[1]Explore!$B:$I,8,0)</f>
        <v>Govt Emerging Markets</v>
      </c>
      <c r="H1092" t="s">
        <v>387</v>
      </c>
      <c r="I1092" t="str">
        <f>+VLOOKUP(H1092,[1]Explore!$A:$I,9,0)</f>
        <v>Govt Emerging Markets</v>
      </c>
      <c r="J1092" t="str">
        <f t="shared" si="34"/>
        <v>OK</v>
      </c>
      <c r="K1092" t="str">
        <f t="shared" si="35"/>
        <v>Govt Emerging Markets</v>
      </c>
      <c r="L1092" t="s">
        <v>2143</v>
      </c>
      <c r="M1092" t="str">
        <f>_xlfn.IFNA(VLOOKUP(K1092,'Mapping DEF'!A:C,2,0),"")</f>
        <v>Curve (Local)</v>
      </c>
      <c r="N1092" t="str">
        <f>+_xlfn.IFNA(VLOOKUP(M1092,'Mapping DEF'!B:C,2,FALSE),"")</f>
        <v>Term Structure</v>
      </c>
      <c r="O1092" t="s">
        <v>2755</v>
      </c>
    </row>
    <row r="1093" spans="1:15" x14ac:dyDescent="0.25">
      <c r="A1093" s="4" t="s">
        <v>2339</v>
      </c>
      <c r="B1093" s="4" t="s">
        <v>2340</v>
      </c>
      <c r="C1093" s="5">
        <v>2404</v>
      </c>
      <c r="D1093" s="6" t="s">
        <v>2341</v>
      </c>
      <c r="E1093" t="s">
        <v>1503</v>
      </c>
      <c r="F1093" t="s">
        <v>389</v>
      </c>
      <c r="G1093" t="e">
        <f>+VLOOKUP(F1093,[1]Explore!$B:$I,8,0)</f>
        <v>#N/A</v>
      </c>
      <c r="H1093" t="s">
        <v>390</v>
      </c>
      <c r="I1093" t="str">
        <f>+VLOOKUP(H1093,[1]Explore!$A:$I,9,0)</f>
        <v>Emerging Currency</v>
      </c>
      <c r="J1093" t="str">
        <f t="shared" si="34"/>
        <v>OK</v>
      </c>
      <c r="K1093" t="str">
        <f t="shared" si="35"/>
        <v>Emerging Currency</v>
      </c>
      <c r="L1093" t="s">
        <v>2140</v>
      </c>
      <c r="M1093" t="str">
        <f>_xlfn.IFNA(VLOOKUP(K1093,'Mapping DEF'!A:C,2,0),"")</f>
        <v>FX</v>
      </c>
      <c r="N1093" t="str">
        <f>+_xlfn.IFNA(VLOOKUP(M1093,'Mapping DEF'!B:C,2,FALSE),"")</f>
        <v>FX</v>
      </c>
      <c r="O1093" t="s">
        <v>2770</v>
      </c>
    </row>
    <row r="1094" spans="1:15" x14ac:dyDescent="0.25">
      <c r="A1094" s="4" t="s">
        <v>2339</v>
      </c>
      <c r="B1094" s="4" t="s">
        <v>2340</v>
      </c>
      <c r="C1094" s="5">
        <v>2404</v>
      </c>
      <c r="D1094" s="6" t="s">
        <v>2341</v>
      </c>
      <c r="E1094" t="s">
        <v>1504</v>
      </c>
      <c r="F1094" t="s">
        <v>421</v>
      </c>
      <c r="G1094" t="e">
        <f>+VLOOKUP(F1094,[1]Explore!$B:$I,8,0)</f>
        <v>#N/A</v>
      </c>
      <c r="H1094" t="s">
        <v>422</v>
      </c>
      <c r="I1094" t="str">
        <f>+VLOOKUP(H1094,[1]Explore!$A:$I,9,0)</f>
        <v>Emerging Currency</v>
      </c>
      <c r="J1094" t="str">
        <f t="shared" si="34"/>
        <v>OK</v>
      </c>
      <c r="K1094" t="str">
        <f t="shared" si="35"/>
        <v>Emerging Currency</v>
      </c>
      <c r="L1094" t="s">
        <v>2140</v>
      </c>
      <c r="M1094" t="str">
        <f>_xlfn.IFNA(VLOOKUP(K1094,'Mapping DEF'!A:C,2,0),"")</f>
        <v>FX</v>
      </c>
      <c r="N1094" t="str">
        <f>+_xlfn.IFNA(VLOOKUP(M1094,'Mapping DEF'!B:C,2,FALSE),"")</f>
        <v>FX</v>
      </c>
      <c r="O1094" t="s">
        <v>2770</v>
      </c>
    </row>
    <row r="1095" spans="1:15" x14ac:dyDescent="0.25">
      <c r="A1095" s="4" t="s">
        <v>2339</v>
      </c>
      <c r="B1095" s="4" t="s">
        <v>2340</v>
      </c>
      <c r="C1095" s="5">
        <v>2404</v>
      </c>
      <c r="D1095" s="6" t="s">
        <v>2341</v>
      </c>
      <c r="E1095" t="s">
        <v>1505</v>
      </c>
      <c r="F1095" t="s">
        <v>826</v>
      </c>
      <c r="G1095" t="str">
        <f>+VLOOKUP(F1095,[1]Explore!$B:$I,8,0)</f>
        <v>Equity Implied Volatility</v>
      </c>
      <c r="H1095" t="s">
        <v>827</v>
      </c>
      <c r="I1095" t="str">
        <f>+VLOOKUP(H1095,[1]Explore!$A:$I,9,0)</f>
        <v>Equity Implied Volatility</v>
      </c>
      <c r="J1095" t="str">
        <f t="shared" si="34"/>
        <v>OK</v>
      </c>
      <c r="K1095" t="str">
        <f t="shared" si="35"/>
        <v>Equity Implied Volatility</v>
      </c>
      <c r="L1095" t="s">
        <v>27</v>
      </c>
      <c r="M1095" t="str">
        <f>_xlfn.IFNA(VLOOKUP(K1095,'Mapping DEF'!A:C,2,0),"")</f>
        <v>Equity Derivatives</v>
      </c>
      <c r="N1095" t="str">
        <f>+_xlfn.IFNA(VLOOKUP(M1095,'Mapping DEF'!B:C,2,FALSE),"")</f>
        <v>Equity</v>
      </c>
      <c r="O1095" t="s">
        <v>2801</v>
      </c>
    </row>
    <row r="1096" spans="1:15" x14ac:dyDescent="0.25">
      <c r="A1096" s="4" t="s">
        <v>2339</v>
      </c>
      <c r="B1096" s="4" t="s">
        <v>2340</v>
      </c>
      <c r="C1096" s="5">
        <v>2404</v>
      </c>
      <c r="D1096" s="6" t="s">
        <v>2341</v>
      </c>
      <c r="E1096" t="s">
        <v>1506</v>
      </c>
      <c r="F1096" t="s">
        <v>346</v>
      </c>
      <c r="G1096" t="str">
        <f>+VLOOKUP(F1096,[1]Explore!$B:$I,8,0)</f>
        <v>Spread Emerging Markets - Country</v>
      </c>
      <c r="H1096" t="s">
        <v>347</v>
      </c>
      <c r="I1096" t="str">
        <f>+VLOOKUP(H1096,[1]Explore!$A:$I,9,0)</f>
        <v>Spread Emerging Markets - Country</v>
      </c>
      <c r="J1096" t="str">
        <f t="shared" si="34"/>
        <v>OK</v>
      </c>
      <c r="K1096" t="str">
        <f t="shared" si="35"/>
        <v>Spread Emerging Markets - Country</v>
      </c>
      <c r="L1096" t="s">
        <v>188</v>
      </c>
      <c r="M1096" t="str">
        <f>_xlfn.IFNA(VLOOKUP(K1096,'Mapping DEF'!A:C,2,0),"")</f>
        <v>Spread</v>
      </c>
      <c r="N1096" t="str">
        <f>+_xlfn.IFNA(VLOOKUP(M1096,'Mapping DEF'!B:C,2,FALSE),"")</f>
        <v>Spread</v>
      </c>
      <c r="O1096" t="s">
        <v>2769</v>
      </c>
    </row>
    <row r="1097" spans="1:15" x14ac:dyDescent="0.25">
      <c r="A1097" s="4" t="s">
        <v>2339</v>
      </c>
      <c r="B1097" s="4" t="s">
        <v>2340</v>
      </c>
      <c r="C1097" s="5">
        <v>2404</v>
      </c>
      <c r="D1097" s="6" t="s">
        <v>2341</v>
      </c>
      <c r="E1097" t="s">
        <v>1507</v>
      </c>
      <c r="F1097" t="s">
        <v>2189</v>
      </c>
      <c r="G1097" t="str">
        <f>+VLOOKUP(F1097,[1]Explore!$B:$I,8,0)</f>
        <v>Other - Index</v>
      </c>
      <c r="H1097" t="s">
        <v>887</v>
      </c>
      <c r="I1097" t="e">
        <f>+VLOOKUP(H1097,[1]Explore!$A:$I,9,0)</f>
        <v>#N/A</v>
      </c>
      <c r="J1097" t="str">
        <f t="shared" si="34"/>
        <v>OK</v>
      </c>
      <c r="K1097" t="str">
        <f t="shared" si="35"/>
        <v>Other - Index</v>
      </c>
      <c r="L1097" t="s">
        <v>27</v>
      </c>
      <c r="M1097" t="str">
        <f>_xlfn.IFNA(VLOOKUP(K1097,'Mapping DEF'!A:C,2,0),"")</f>
        <v>Other</v>
      </c>
      <c r="N1097" t="str">
        <f>+_xlfn.IFNA(VLOOKUP(M1097,'Mapping DEF'!B:C,2,FALSE),"")</f>
        <v>Other</v>
      </c>
      <c r="O1097" t="s">
        <v>2794</v>
      </c>
    </row>
    <row r="1098" spans="1:15" x14ac:dyDescent="0.25">
      <c r="A1098" s="4" t="s">
        <v>2342</v>
      </c>
      <c r="B1098" s="4" t="s">
        <v>2343</v>
      </c>
      <c r="C1098" s="5">
        <v>2405</v>
      </c>
      <c r="D1098" s="6" t="s">
        <v>2344</v>
      </c>
      <c r="E1098" t="s">
        <v>1508</v>
      </c>
      <c r="F1098" t="s">
        <v>19</v>
      </c>
      <c r="G1098" t="str">
        <f>+VLOOKUP(F1098,[1]Explore!$B:$I,8,0)</f>
        <v>Govt USD</v>
      </c>
      <c r="H1098" t="s">
        <v>20</v>
      </c>
      <c r="I1098" t="str">
        <f>+VLOOKUP(H1098,[1]Explore!$A:$I,9,0)</f>
        <v>Govt USD</v>
      </c>
      <c r="J1098" t="str">
        <f t="shared" si="34"/>
        <v>OK</v>
      </c>
      <c r="K1098" t="str">
        <f t="shared" si="35"/>
        <v>Govt USD</v>
      </c>
      <c r="L1098" t="s">
        <v>2143</v>
      </c>
      <c r="M1098" t="str">
        <f>_xlfn.IFNA(VLOOKUP(K1098,'Mapping DEF'!A:C,2,0),"")</f>
        <v>Curve (Local)</v>
      </c>
      <c r="N1098" t="str">
        <f>+_xlfn.IFNA(VLOOKUP(M1098,'Mapping DEF'!B:C,2,FALSE),"")</f>
        <v>Term Structure</v>
      </c>
      <c r="O1098" t="s">
        <v>2782</v>
      </c>
    </row>
    <row r="1099" spans="1:15" x14ac:dyDescent="0.25">
      <c r="A1099" s="4" t="s">
        <v>2342</v>
      </c>
      <c r="B1099" s="4" t="s">
        <v>2343</v>
      </c>
      <c r="C1099" s="5">
        <v>2405</v>
      </c>
      <c r="D1099" s="6" t="s">
        <v>2344</v>
      </c>
      <c r="E1099" t="s">
        <v>1509</v>
      </c>
      <c r="F1099" t="s">
        <v>421</v>
      </c>
      <c r="G1099" t="e">
        <f>+VLOOKUP(F1099,[1]Explore!$B:$I,8,0)</f>
        <v>#N/A</v>
      </c>
      <c r="H1099" t="s">
        <v>422</v>
      </c>
      <c r="I1099" t="str">
        <f>+VLOOKUP(H1099,[1]Explore!$A:$I,9,0)</f>
        <v>Emerging Currency</v>
      </c>
      <c r="J1099" t="str">
        <f t="shared" si="34"/>
        <v>OK</v>
      </c>
      <c r="K1099" t="str">
        <f t="shared" si="35"/>
        <v>Emerging Currency</v>
      </c>
      <c r="L1099" t="s">
        <v>2140</v>
      </c>
      <c r="M1099" t="str">
        <f>_xlfn.IFNA(VLOOKUP(K1099,'Mapping DEF'!A:C,2,0),"")</f>
        <v>FX</v>
      </c>
      <c r="N1099" t="str">
        <f>+_xlfn.IFNA(VLOOKUP(M1099,'Mapping DEF'!B:C,2,FALSE),"")</f>
        <v>FX</v>
      </c>
      <c r="O1099" t="s">
        <v>2793</v>
      </c>
    </row>
    <row r="1100" spans="1:15" x14ac:dyDescent="0.25">
      <c r="A1100" s="4" t="s">
        <v>2342</v>
      </c>
      <c r="B1100" s="4" t="s">
        <v>2343</v>
      </c>
      <c r="C1100" s="5">
        <v>2405</v>
      </c>
      <c r="D1100" s="6" t="s">
        <v>2344</v>
      </c>
      <c r="E1100" t="s">
        <v>461</v>
      </c>
      <c r="F1100" t="s">
        <v>206</v>
      </c>
      <c r="G1100" t="e">
        <f>+VLOOKUP(F1100,[1]Explore!$B:$I,8,0)</f>
        <v>#N/A</v>
      </c>
      <c r="H1100" t="s">
        <v>206</v>
      </c>
      <c r="I1100" t="e">
        <f>+VLOOKUP(H1100,[1]Explore!$A:$I,9,0)</f>
        <v>#N/A</v>
      </c>
      <c r="J1100" t="str">
        <f t="shared" si="34"/>
        <v>BOTH #N/A</v>
      </c>
      <c r="K1100" t="str">
        <f t="shared" si="35"/>
        <v>Dollar Index</v>
      </c>
      <c r="L1100" t="s">
        <v>2930</v>
      </c>
      <c r="M1100" t="str">
        <f>_xlfn.IFNA(VLOOKUP(K1100,'Mapping DEF'!A:C,2,0),"")</f>
        <v>Index Level</v>
      </c>
      <c r="N1100" t="str">
        <f>+_xlfn.IFNA(VLOOKUP(M1100,'Mapping DEF'!B:C,2,FALSE),"")</f>
        <v>Other</v>
      </c>
      <c r="O1100" t="s">
        <v>2775</v>
      </c>
    </row>
    <row r="1101" spans="1:15" x14ac:dyDescent="0.25">
      <c r="A1101" s="4" t="s">
        <v>2342</v>
      </c>
      <c r="B1101" s="4" t="s">
        <v>2343</v>
      </c>
      <c r="C1101" s="5">
        <v>2405</v>
      </c>
      <c r="D1101" s="6" t="s">
        <v>2344</v>
      </c>
      <c r="E1101" t="s">
        <v>1510</v>
      </c>
      <c r="F1101" t="s">
        <v>1511</v>
      </c>
      <c r="G1101" t="str">
        <f>+VLOOKUP(F1101,[1]Explore!$B:$I,8,0)</f>
        <v>Equity Implied Volatility</v>
      </c>
      <c r="H1101" t="s">
        <v>1512</v>
      </c>
      <c r="I1101" t="str">
        <f>+VLOOKUP(H1101,[1]Explore!$A:$I,9,0)</f>
        <v>Equity Implied Volatility</v>
      </c>
      <c r="J1101" t="str">
        <f t="shared" si="34"/>
        <v>OK</v>
      </c>
      <c r="K1101" t="str">
        <f t="shared" si="35"/>
        <v>Equity Implied Volatility</v>
      </c>
      <c r="L1101" t="s">
        <v>27</v>
      </c>
      <c r="M1101" t="str">
        <f>_xlfn.IFNA(VLOOKUP(K1101,'Mapping DEF'!A:C,2,0),"")</f>
        <v>Equity Derivatives</v>
      </c>
      <c r="N1101" t="str">
        <f>+_xlfn.IFNA(VLOOKUP(M1101,'Mapping DEF'!B:C,2,FALSE),"")</f>
        <v>Equity</v>
      </c>
      <c r="O1101" t="s">
        <v>2768</v>
      </c>
    </row>
    <row r="1102" spans="1:15" x14ac:dyDescent="0.25">
      <c r="A1102" s="4" t="s">
        <v>2342</v>
      </c>
      <c r="B1102" s="4" t="s">
        <v>2343</v>
      </c>
      <c r="C1102" s="5">
        <v>2405</v>
      </c>
      <c r="D1102" s="6" t="s">
        <v>2344</v>
      </c>
      <c r="E1102" t="s">
        <v>1513</v>
      </c>
      <c r="F1102" t="s">
        <v>183</v>
      </c>
      <c r="G1102" t="str">
        <f>+VLOOKUP(F1102,[1]Explore!$B:$I,8,0)</f>
        <v>Equity Implied Volatility</v>
      </c>
      <c r="H1102" t="s">
        <v>184</v>
      </c>
      <c r="I1102" t="str">
        <f>+VLOOKUP(H1102,[1]Explore!$A:$I,9,0)</f>
        <v>Equity Implied Volatility</v>
      </c>
      <c r="J1102" t="str">
        <f t="shared" si="34"/>
        <v>OK</v>
      </c>
      <c r="K1102" t="str">
        <f t="shared" si="35"/>
        <v>Equity Implied Volatility</v>
      </c>
      <c r="L1102" t="s">
        <v>27</v>
      </c>
      <c r="M1102" t="str">
        <f>_xlfn.IFNA(VLOOKUP(K1102,'Mapping DEF'!A:C,2,0),"")</f>
        <v>Equity Derivatives</v>
      </c>
      <c r="N1102" t="str">
        <f>+_xlfn.IFNA(VLOOKUP(M1102,'Mapping DEF'!B:C,2,FALSE),"")</f>
        <v>Equity</v>
      </c>
      <c r="O1102" t="s">
        <v>2822</v>
      </c>
    </row>
    <row r="1103" spans="1:15" x14ac:dyDescent="0.25">
      <c r="A1103" s="4" t="s">
        <v>2342</v>
      </c>
      <c r="B1103" s="4" t="s">
        <v>2343</v>
      </c>
      <c r="C1103" s="5">
        <v>2405</v>
      </c>
      <c r="D1103" s="6" t="s">
        <v>2344</v>
      </c>
      <c r="E1103" t="s">
        <v>834</v>
      </c>
      <c r="F1103" t="s">
        <v>346</v>
      </c>
      <c r="G1103" t="str">
        <f>+VLOOKUP(F1103,[1]Explore!$B:$I,8,0)</f>
        <v>Spread Emerging Markets - Country</v>
      </c>
      <c r="H1103" t="s">
        <v>347</v>
      </c>
      <c r="I1103" t="str">
        <f>+VLOOKUP(H1103,[1]Explore!$A:$I,9,0)</f>
        <v>Spread Emerging Markets - Country</v>
      </c>
      <c r="J1103" t="str">
        <f t="shared" si="34"/>
        <v>OK</v>
      </c>
      <c r="K1103" t="str">
        <f t="shared" si="35"/>
        <v>Spread Emerging Markets - Country</v>
      </c>
      <c r="L1103" t="s">
        <v>188</v>
      </c>
      <c r="M1103" t="str">
        <f>_xlfn.IFNA(VLOOKUP(K1103,'Mapping DEF'!A:C,2,0),"")</f>
        <v>Spread</v>
      </c>
      <c r="N1103" t="str">
        <f>+_xlfn.IFNA(VLOOKUP(M1103,'Mapping DEF'!B:C,2,FALSE),"")</f>
        <v>Spread</v>
      </c>
      <c r="O1103" t="s">
        <v>2791</v>
      </c>
    </row>
    <row r="1104" spans="1:15" x14ac:dyDescent="0.25">
      <c r="A1104" s="4" t="s">
        <v>2342</v>
      </c>
      <c r="B1104" s="4" t="s">
        <v>2343</v>
      </c>
      <c r="C1104" s="5">
        <v>2405</v>
      </c>
      <c r="D1104" s="6" t="s">
        <v>2344</v>
      </c>
      <c r="E1104" t="s">
        <v>1514</v>
      </c>
      <c r="F1104" t="s">
        <v>1515</v>
      </c>
      <c r="G1104" t="e">
        <f>+VLOOKUP(F1104,[1]Explore!$B:$I,8,0)</f>
        <v>#N/A</v>
      </c>
      <c r="H1104" t="s">
        <v>1516</v>
      </c>
      <c r="I1104" t="str">
        <f>+VLOOKUP(H1104,[1]Explore!$A:$I,9,0)</f>
        <v>Other - Index</v>
      </c>
      <c r="J1104" t="str">
        <f t="shared" si="34"/>
        <v>OK</v>
      </c>
      <c r="K1104" t="str">
        <f t="shared" si="35"/>
        <v>Other - Index</v>
      </c>
      <c r="L1104" t="s">
        <v>27</v>
      </c>
      <c r="M1104" t="str">
        <f>_xlfn.IFNA(VLOOKUP(K1104,'Mapping DEF'!A:C,2,0),"")</f>
        <v>Other</v>
      </c>
      <c r="N1104" t="str">
        <f>+_xlfn.IFNA(VLOOKUP(M1104,'Mapping DEF'!B:C,2,FALSE),"")</f>
        <v>Other</v>
      </c>
      <c r="O1104" t="s">
        <v>2776</v>
      </c>
    </row>
    <row r="1105" spans="1:15" x14ac:dyDescent="0.25">
      <c r="A1105" s="4" t="s">
        <v>2345</v>
      </c>
      <c r="B1105" s="4" t="s">
        <v>2346</v>
      </c>
      <c r="C1105" s="5">
        <v>2406</v>
      </c>
      <c r="D1105" s="6" t="s">
        <v>2347</v>
      </c>
      <c r="E1105" t="s">
        <v>1270</v>
      </c>
      <c r="F1105" t="s">
        <v>19</v>
      </c>
      <c r="G1105" t="str">
        <f>+VLOOKUP(F1105,[1]Explore!$B:$I,8,0)</f>
        <v>Govt USD</v>
      </c>
      <c r="H1105" t="s">
        <v>20</v>
      </c>
      <c r="I1105" t="str">
        <f>+VLOOKUP(H1105,[1]Explore!$A:$I,9,0)</f>
        <v>Govt USD</v>
      </c>
      <c r="J1105" t="str">
        <f t="shared" si="34"/>
        <v>OK</v>
      </c>
      <c r="K1105" t="str">
        <f t="shared" si="35"/>
        <v>Govt USD</v>
      </c>
      <c r="L1105" t="s">
        <v>2143</v>
      </c>
      <c r="M1105" t="str">
        <f>_xlfn.IFNA(VLOOKUP(K1105,'Mapping DEF'!A:C,2,0),"")</f>
        <v>Curve (Local)</v>
      </c>
      <c r="N1105" t="str">
        <f>+_xlfn.IFNA(VLOOKUP(M1105,'Mapping DEF'!B:C,2,FALSE),"")</f>
        <v>Term Structure</v>
      </c>
      <c r="O1105" t="s">
        <v>2779</v>
      </c>
    </row>
    <row r="1106" spans="1:15" x14ac:dyDescent="0.25">
      <c r="A1106" s="4" t="s">
        <v>2345</v>
      </c>
      <c r="B1106" s="4" t="s">
        <v>2346</v>
      </c>
      <c r="C1106" s="5">
        <v>2406</v>
      </c>
      <c r="D1106" s="6" t="s">
        <v>2347</v>
      </c>
      <c r="E1106" t="s">
        <v>329</v>
      </c>
      <c r="F1106" t="s">
        <v>268</v>
      </c>
      <c r="G1106" t="str">
        <f>+VLOOKUP(F1106,[1]Explore!$B:$I,8,0)</f>
        <v>Alternative - Commodity</v>
      </c>
      <c r="H1106" t="s">
        <v>269</v>
      </c>
      <c r="I1106" t="str">
        <f>+VLOOKUP(H1106,[1]Explore!$A:$I,9,0)</f>
        <v>Alternative - Commodity</v>
      </c>
      <c r="J1106" t="str">
        <f t="shared" si="34"/>
        <v>OK</v>
      </c>
      <c r="K1106" t="str">
        <f t="shared" si="35"/>
        <v>Alternative - Commodity</v>
      </c>
      <c r="L1106" t="s">
        <v>2139</v>
      </c>
      <c r="M1106" t="str">
        <f>_xlfn.IFNA(VLOOKUP(K1106,'Mapping DEF'!A:C,2,0),"")</f>
        <v>Alternative</v>
      </c>
      <c r="N1106" t="str">
        <f>+_xlfn.IFNA(VLOOKUP(M1106,'Mapping DEF'!B:C,2,FALSE),"")</f>
        <v>Other</v>
      </c>
      <c r="O1106" t="s">
        <v>2770</v>
      </c>
    </row>
    <row r="1107" spans="1:15" x14ac:dyDescent="0.25">
      <c r="A1107" s="4" t="s">
        <v>2345</v>
      </c>
      <c r="B1107" s="4" t="s">
        <v>2346</v>
      </c>
      <c r="C1107" s="5">
        <v>2406</v>
      </c>
      <c r="D1107" s="6" t="s">
        <v>2347</v>
      </c>
      <c r="E1107" t="s">
        <v>1352</v>
      </c>
      <c r="F1107" t="s">
        <v>417</v>
      </c>
      <c r="G1107" t="str">
        <f>+VLOOKUP(F1107,[1]Explore!$B:$I,8,0)</f>
        <v>Govt Emerging Markets</v>
      </c>
      <c r="H1107" t="s">
        <v>418</v>
      </c>
      <c r="I1107" t="str">
        <f>+VLOOKUP(H1107,[1]Explore!$A:$I,9,0)</f>
        <v>Govt Emerging Markets</v>
      </c>
      <c r="J1107" t="str">
        <f t="shared" si="34"/>
        <v>OK</v>
      </c>
      <c r="K1107" t="str">
        <f t="shared" si="35"/>
        <v>Govt Emerging Markets</v>
      </c>
      <c r="L1107" t="s">
        <v>2143</v>
      </c>
      <c r="M1107" t="str">
        <f>_xlfn.IFNA(VLOOKUP(K1107,'Mapping DEF'!A:C,2,0),"")</f>
        <v>Curve (Local)</v>
      </c>
      <c r="N1107" t="str">
        <f>+_xlfn.IFNA(VLOOKUP(M1107,'Mapping DEF'!B:C,2,FALSE),"")</f>
        <v>Term Structure</v>
      </c>
      <c r="O1107" t="s">
        <v>2755</v>
      </c>
    </row>
    <row r="1108" spans="1:15" x14ac:dyDescent="0.25">
      <c r="A1108" s="4" t="s">
        <v>2345</v>
      </c>
      <c r="B1108" s="4" t="s">
        <v>2346</v>
      </c>
      <c r="C1108" s="5">
        <v>2406</v>
      </c>
      <c r="D1108" s="6" t="s">
        <v>2347</v>
      </c>
      <c r="E1108" t="s">
        <v>385</v>
      </c>
      <c r="F1108" t="s">
        <v>386</v>
      </c>
      <c r="G1108" t="str">
        <f>+VLOOKUP(F1108,[1]Explore!$B:$I,8,0)</f>
        <v>Govt Emerging Markets</v>
      </c>
      <c r="H1108" t="s">
        <v>387</v>
      </c>
      <c r="I1108" t="str">
        <f>+VLOOKUP(H1108,[1]Explore!$A:$I,9,0)</f>
        <v>Govt Emerging Markets</v>
      </c>
      <c r="J1108" t="str">
        <f t="shared" si="34"/>
        <v>OK</v>
      </c>
      <c r="K1108" t="str">
        <f t="shared" si="35"/>
        <v>Govt Emerging Markets</v>
      </c>
      <c r="L1108" t="s">
        <v>2143</v>
      </c>
      <c r="M1108" t="str">
        <f>_xlfn.IFNA(VLOOKUP(K1108,'Mapping DEF'!A:C,2,0),"")</f>
        <v>Curve (Local)</v>
      </c>
      <c r="N1108" t="str">
        <f>+_xlfn.IFNA(VLOOKUP(M1108,'Mapping DEF'!B:C,2,FALSE),"")</f>
        <v>Term Structure</v>
      </c>
      <c r="O1108" t="s">
        <v>2756</v>
      </c>
    </row>
    <row r="1109" spans="1:15" x14ac:dyDescent="0.25">
      <c r="A1109" s="4" t="s">
        <v>2345</v>
      </c>
      <c r="B1109" s="4" t="s">
        <v>2346</v>
      </c>
      <c r="C1109" s="5">
        <v>2406</v>
      </c>
      <c r="D1109" s="6" t="s">
        <v>2347</v>
      </c>
      <c r="E1109" t="s">
        <v>770</v>
      </c>
      <c r="F1109" t="s">
        <v>389</v>
      </c>
      <c r="G1109" t="e">
        <f>+VLOOKUP(F1109,[1]Explore!$B:$I,8,0)</f>
        <v>#N/A</v>
      </c>
      <c r="H1109" t="s">
        <v>390</v>
      </c>
      <c r="I1109" t="str">
        <f>+VLOOKUP(H1109,[1]Explore!$A:$I,9,0)</f>
        <v>Emerging Currency</v>
      </c>
      <c r="J1109" t="str">
        <f t="shared" si="34"/>
        <v>OK</v>
      </c>
      <c r="K1109" t="str">
        <f t="shared" si="35"/>
        <v>Emerging Currency</v>
      </c>
      <c r="L1109" t="s">
        <v>2140</v>
      </c>
      <c r="M1109" t="str">
        <f>_xlfn.IFNA(VLOOKUP(K1109,'Mapping DEF'!A:C,2,0),"")</f>
        <v>FX</v>
      </c>
      <c r="N1109" t="str">
        <f>+_xlfn.IFNA(VLOOKUP(M1109,'Mapping DEF'!B:C,2,FALSE),"")</f>
        <v>FX</v>
      </c>
      <c r="O1109" t="s">
        <v>2793</v>
      </c>
    </row>
    <row r="1110" spans="1:15" x14ac:dyDescent="0.25">
      <c r="A1110" s="4" t="s">
        <v>2345</v>
      </c>
      <c r="B1110" s="4" t="s">
        <v>2346</v>
      </c>
      <c r="C1110" s="5">
        <v>2406</v>
      </c>
      <c r="D1110" s="6" t="s">
        <v>2347</v>
      </c>
      <c r="E1110" t="s">
        <v>1509</v>
      </c>
      <c r="F1110" t="s">
        <v>421</v>
      </c>
      <c r="G1110" t="e">
        <f>+VLOOKUP(F1110,[1]Explore!$B:$I,8,0)</f>
        <v>#N/A</v>
      </c>
      <c r="H1110" t="s">
        <v>422</v>
      </c>
      <c r="I1110" t="str">
        <f>+VLOOKUP(H1110,[1]Explore!$A:$I,9,0)</f>
        <v>Emerging Currency</v>
      </c>
      <c r="J1110" t="str">
        <f t="shared" si="34"/>
        <v>OK</v>
      </c>
      <c r="K1110" t="str">
        <f t="shared" si="35"/>
        <v>Emerging Currency</v>
      </c>
      <c r="L1110" t="s">
        <v>2140</v>
      </c>
      <c r="M1110" t="str">
        <f>_xlfn.IFNA(VLOOKUP(K1110,'Mapping DEF'!A:C,2,0),"")</f>
        <v>FX</v>
      </c>
      <c r="N1110" t="str">
        <f>+_xlfn.IFNA(VLOOKUP(M1110,'Mapping DEF'!B:C,2,FALSE),"")</f>
        <v>FX</v>
      </c>
      <c r="O1110" t="s">
        <v>2793</v>
      </c>
    </row>
    <row r="1111" spans="1:15" x14ac:dyDescent="0.25">
      <c r="A1111" s="4" t="s">
        <v>2345</v>
      </c>
      <c r="B1111" s="4" t="s">
        <v>2346</v>
      </c>
      <c r="C1111" s="5">
        <v>2406</v>
      </c>
      <c r="D1111" s="6" t="s">
        <v>2347</v>
      </c>
      <c r="E1111" t="s">
        <v>661</v>
      </c>
      <c r="F1111" t="s">
        <v>346</v>
      </c>
      <c r="G1111" t="str">
        <f>+VLOOKUP(F1111,[1]Explore!$B:$I,8,0)</f>
        <v>Spread Emerging Markets - Country</v>
      </c>
      <c r="H1111" t="s">
        <v>347</v>
      </c>
      <c r="I1111" t="str">
        <f>+VLOOKUP(H1111,[1]Explore!$A:$I,9,0)</f>
        <v>Spread Emerging Markets - Country</v>
      </c>
      <c r="J1111" t="str">
        <f t="shared" si="34"/>
        <v>OK</v>
      </c>
      <c r="K1111" t="str">
        <f t="shared" si="35"/>
        <v>Spread Emerging Markets - Country</v>
      </c>
      <c r="L1111" t="s">
        <v>188</v>
      </c>
      <c r="M1111" t="str">
        <f>_xlfn.IFNA(VLOOKUP(K1111,'Mapping DEF'!A:C,2,0),"")</f>
        <v>Spread</v>
      </c>
      <c r="N1111" t="str">
        <f>+_xlfn.IFNA(VLOOKUP(M1111,'Mapping DEF'!B:C,2,FALSE),"")</f>
        <v>Spread</v>
      </c>
      <c r="O1111" t="s">
        <v>2765</v>
      </c>
    </row>
    <row r="1112" spans="1:15" x14ac:dyDescent="0.25">
      <c r="A1112" s="4" t="s">
        <v>2345</v>
      </c>
      <c r="B1112" s="4" t="s">
        <v>2346</v>
      </c>
      <c r="C1112" s="5">
        <v>2406</v>
      </c>
      <c r="D1112" s="6" t="s">
        <v>2347</v>
      </c>
      <c r="E1112" t="s">
        <v>1517</v>
      </c>
      <c r="F1112" t="s">
        <v>220</v>
      </c>
      <c r="G1112" t="str">
        <f>+VLOOKUP(F1112,[1]Explore!$B:$I,8,0)</f>
        <v>Corporate HY USD - Other</v>
      </c>
      <c r="H1112" t="s">
        <v>221</v>
      </c>
      <c r="I1112" t="str">
        <f>+VLOOKUP(H1112,[1]Explore!$A:$I,9,0)</f>
        <v>Corporate HY USD - Other</v>
      </c>
      <c r="J1112" t="str">
        <f t="shared" si="34"/>
        <v>OK</v>
      </c>
      <c r="K1112" t="str">
        <f t="shared" si="35"/>
        <v>Corporate HY USD - Other</v>
      </c>
      <c r="L1112" t="s">
        <v>188</v>
      </c>
      <c r="M1112" t="str">
        <f>_xlfn.IFNA(VLOOKUP(K1112,'Mapping DEF'!A:C,2,0),"")</f>
        <v>Spread</v>
      </c>
      <c r="N1112" t="str">
        <f>+_xlfn.IFNA(VLOOKUP(M1112,'Mapping DEF'!B:C,2,FALSE),"")</f>
        <v>Spread</v>
      </c>
      <c r="O1112" t="s">
        <v>2797</v>
      </c>
    </row>
    <row r="1113" spans="1:15" x14ac:dyDescent="0.25">
      <c r="A1113" s="4" t="s">
        <v>2345</v>
      </c>
      <c r="B1113" s="4" t="s">
        <v>2346</v>
      </c>
      <c r="C1113" s="5">
        <v>2406</v>
      </c>
      <c r="D1113" s="6" t="s">
        <v>2347</v>
      </c>
      <c r="E1113" t="s">
        <v>1518</v>
      </c>
      <c r="F1113" t="s">
        <v>1515</v>
      </c>
      <c r="G1113" t="e">
        <f>+VLOOKUP(F1113,[1]Explore!$B:$I,8,0)</f>
        <v>#N/A</v>
      </c>
      <c r="H1113" t="s">
        <v>1516</v>
      </c>
      <c r="I1113" t="str">
        <f>+VLOOKUP(H1113,[1]Explore!$A:$I,9,0)</f>
        <v>Other - Index</v>
      </c>
      <c r="J1113" t="str">
        <f t="shared" si="34"/>
        <v>OK</v>
      </c>
      <c r="K1113" t="str">
        <f t="shared" si="35"/>
        <v>Other - Index</v>
      </c>
      <c r="L1113" t="s">
        <v>27</v>
      </c>
      <c r="M1113" t="str">
        <f>_xlfn.IFNA(VLOOKUP(K1113,'Mapping DEF'!A:C,2,0),"")</f>
        <v>Other</v>
      </c>
      <c r="N1113" t="str">
        <f>+_xlfn.IFNA(VLOOKUP(M1113,'Mapping DEF'!B:C,2,FALSE),"")</f>
        <v>Other</v>
      </c>
      <c r="O1113" t="s">
        <v>2768</v>
      </c>
    </row>
    <row r="1114" spans="1:15" x14ac:dyDescent="0.25">
      <c r="A1114" s="4" t="s">
        <v>2348</v>
      </c>
      <c r="B1114" s="4" t="s">
        <v>2349</v>
      </c>
      <c r="C1114" s="5">
        <v>2306</v>
      </c>
      <c r="D1114" s="6" t="s">
        <v>2338</v>
      </c>
      <c r="E1114" t="s">
        <v>247</v>
      </c>
      <c r="G1114" t="e">
        <f>+VLOOKUP(F1114,[1]Explore!$B:$I,8,0)</f>
        <v>#N/A</v>
      </c>
      <c r="H1114" t="s">
        <v>247</v>
      </c>
      <c r="I1114" t="e">
        <f>+VLOOKUP(H1114,[1]Explore!$A:$I,9,0)</f>
        <v>#N/A</v>
      </c>
      <c r="J1114" t="str">
        <f t="shared" si="34"/>
        <v>BOTH #N/A</v>
      </c>
      <c r="K1114" t="str">
        <f t="shared" si="35"/>
        <v>-</v>
      </c>
      <c r="L1114" t="s">
        <v>247</v>
      </c>
      <c r="M1114" t="str">
        <f>_xlfn.IFNA(VLOOKUP(K1114,'Mapping DEF'!A:C,2,0),"")</f>
        <v/>
      </c>
      <c r="N1114" t="str">
        <f>+_xlfn.IFNA(VLOOKUP(M1114,'Mapping DEF'!B:C,2,FALSE),"")</f>
        <v/>
      </c>
    </row>
    <row r="1115" spans="1:15" x14ac:dyDescent="0.25">
      <c r="A1115" s="4" t="s">
        <v>2350</v>
      </c>
      <c r="B1115" s="4" t="s">
        <v>2351</v>
      </c>
      <c r="C1115" s="5">
        <v>2112</v>
      </c>
      <c r="D1115" s="6" t="s">
        <v>2352</v>
      </c>
      <c r="E1115" t="s">
        <v>1519</v>
      </c>
      <c r="F1115" t="s">
        <v>2619</v>
      </c>
      <c r="G1115" t="e">
        <f>+VLOOKUP(F1115,[1]Explore!$B:$I,8,0)</f>
        <v>#N/A</v>
      </c>
      <c r="H1115" t="s">
        <v>1521</v>
      </c>
      <c r="I1115" t="e">
        <f>+VLOOKUP(H1115,[1]Explore!$A:$I,9,0)</f>
        <v>#N/A</v>
      </c>
      <c r="J1115" t="str">
        <f t="shared" si="34"/>
        <v>BOTH #N/A</v>
      </c>
      <c r="K1115" t="str">
        <f t="shared" si="35"/>
        <v>Consumer Staples</v>
      </c>
      <c r="L1115" t="s">
        <v>2687</v>
      </c>
      <c r="M1115" t="str">
        <f>_xlfn.IFNA(VLOOKUP(K1115,'Mapping DEF'!A:C,2,0),"")</f>
        <v>Industry Allocation</v>
      </c>
      <c r="N1115" t="str">
        <f>+_xlfn.IFNA(VLOOKUP(M1115,'Mapping DEF'!B:C,2,FALSE),"")</f>
        <v>Equity</v>
      </c>
      <c r="O1115" t="s">
        <v>2776</v>
      </c>
    </row>
    <row r="1116" spans="1:15" x14ac:dyDescent="0.25">
      <c r="A1116" s="4" t="s">
        <v>2350</v>
      </c>
      <c r="B1116" s="4" t="s">
        <v>2351</v>
      </c>
      <c r="C1116" s="5">
        <v>2112</v>
      </c>
      <c r="D1116" s="6" t="s">
        <v>2352</v>
      </c>
      <c r="E1116" t="s">
        <v>1522</v>
      </c>
      <c r="F1116" t="s">
        <v>214</v>
      </c>
      <c r="G1116" t="str">
        <f>+VLOOKUP(F1116,[1]Explore!$B:$I,8,0)</f>
        <v>Health Care</v>
      </c>
      <c r="H1116" t="s">
        <v>215</v>
      </c>
      <c r="I1116" t="e">
        <f>+VLOOKUP(H1116,[1]Explore!$A:$I,9,0)</f>
        <v>#N/A</v>
      </c>
      <c r="J1116" t="str">
        <f t="shared" si="34"/>
        <v>OK</v>
      </c>
      <c r="K1116" t="str">
        <f t="shared" si="35"/>
        <v>Health Care</v>
      </c>
      <c r="L1116" t="s">
        <v>2141</v>
      </c>
      <c r="M1116" t="str">
        <f>_xlfn.IFNA(VLOOKUP(K1116,'Mapping DEF'!A:C,2,0),"")</f>
        <v>Industry Allocation</v>
      </c>
      <c r="N1116" t="str">
        <f>+_xlfn.IFNA(VLOOKUP(M1116,'Mapping DEF'!B:C,2,FALSE),"")</f>
        <v>Equity</v>
      </c>
      <c r="O1116" t="s">
        <v>2776</v>
      </c>
    </row>
    <row r="1117" spans="1:15" x14ac:dyDescent="0.25">
      <c r="A1117" s="4" t="s">
        <v>2350</v>
      </c>
      <c r="B1117" s="4" t="s">
        <v>2351</v>
      </c>
      <c r="C1117" s="5">
        <v>2112</v>
      </c>
      <c r="D1117" s="6" t="s">
        <v>2352</v>
      </c>
      <c r="E1117" t="s">
        <v>1523</v>
      </c>
      <c r="F1117" t="s">
        <v>220</v>
      </c>
      <c r="G1117" t="str">
        <f>+VLOOKUP(F1117,[1]Explore!$B:$I,8,0)</f>
        <v>Corporate HY USD - Other</v>
      </c>
      <c r="H1117" t="s">
        <v>510</v>
      </c>
      <c r="I1117" t="str">
        <f>+VLOOKUP(H1117,[1]Explore!$A:$I,9,0)</f>
        <v>Corporate HY USD - Other</v>
      </c>
      <c r="J1117" t="str">
        <f t="shared" si="34"/>
        <v>OK</v>
      </c>
      <c r="K1117" t="str">
        <f t="shared" si="35"/>
        <v>Corporate HY USD - Other</v>
      </c>
      <c r="L1117" t="s">
        <v>188</v>
      </c>
      <c r="M1117" t="str">
        <f>_xlfn.IFNA(VLOOKUP(K1117,'Mapping DEF'!A:C,2,0),"")</f>
        <v>Spread</v>
      </c>
      <c r="N1117" t="str">
        <f>+_xlfn.IFNA(VLOOKUP(M1117,'Mapping DEF'!B:C,2,FALSE),"")</f>
        <v>Spread</v>
      </c>
      <c r="O1117" t="s">
        <v>2766</v>
      </c>
    </row>
    <row r="1118" spans="1:15" x14ac:dyDescent="0.25">
      <c r="A1118" s="4" t="s">
        <v>2350</v>
      </c>
      <c r="B1118" s="4" t="s">
        <v>2351</v>
      </c>
      <c r="C1118" s="5">
        <v>2112</v>
      </c>
      <c r="D1118" s="6" t="s">
        <v>2352</v>
      </c>
      <c r="E1118" t="s">
        <v>1524</v>
      </c>
      <c r="F1118" t="s">
        <v>2620</v>
      </c>
      <c r="G1118" t="str">
        <f>+VLOOKUP(F1118,[1]Explore!$B:$I,8,0)</f>
        <v>Corporate HY USD - Industry</v>
      </c>
      <c r="H1118" t="s">
        <v>214</v>
      </c>
      <c r="I1118" t="e">
        <f>+VLOOKUP(H1118,[1]Explore!$A:$I,9,0)</f>
        <v>#N/A</v>
      </c>
      <c r="J1118" t="str">
        <f t="shared" si="34"/>
        <v>OK</v>
      </c>
      <c r="K1118" t="str">
        <f t="shared" si="35"/>
        <v>Corporate HY USD - Industry</v>
      </c>
      <c r="L1118" t="s">
        <v>188</v>
      </c>
      <c r="M1118" t="str">
        <f>_xlfn.IFNA(VLOOKUP(K1118,'Mapping DEF'!A:C,2,0),"")</f>
        <v>Spread</v>
      </c>
      <c r="N1118" t="str">
        <f>+_xlfn.IFNA(VLOOKUP(M1118,'Mapping DEF'!B:C,2,FALSE),"")</f>
        <v>Spread</v>
      </c>
      <c r="O1118" t="s">
        <v>2843</v>
      </c>
    </row>
    <row r="1119" spans="1:15" x14ac:dyDescent="0.25">
      <c r="A1119" s="4" t="s">
        <v>2350</v>
      </c>
      <c r="B1119" s="4" t="s">
        <v>2351</v>
      </c>
      <c r="C1119" s="5">
        <v>2112</v>
      </c>
      <c r="D1119" s="6" t="s">
        <v>2352</v>
      </c>
      <c r="E1119" t="s">
        <v>1525</v>
      </c>
      <c r="F1119" t="s">
        <v>703</v>
      </c>
      <c r="G1119" t="str">
        <f>+VLOOKUP(F1119,[1]Explore!$B:$I,8,0)</f>
        <v>Corporate HY USD - Industry</v>
      </c>
      <c r="H1119" t="s">
        <v>1526</v>
      </c>
      <c r="I1119" t="e">
        <f>+VLOOKUP(H1119,[1]Explore!$A:$I,9,0)</f>
        <v>#N/A</v>
      </c>
      <c r="J1119" t="str">
        <f t="shared" si="34"/>
        <v>OK</v>
      </c>
      <c r="K1119" t="str">
        <f t="shared" si="35"/>
        <v>Corporate HY USD - Industry</v>
      </c>
      <c r="L1119" t="s">
        <v>188</v>
      </c>
      <c r="M1119" t="str">
        <f>_xlfn.IFNA(VLOOKUP(K1119,'Mapping DEF'!A:C,2,0),"")</f>
        <v>Spread</v>
      </c>
      <c r="N1119" t="str">
        <f>+_xlfn.IFNA(VLOOKUP(M1119,'Mapping DEF'!B:C,2,FALSE),"")</f>
        <v>Spread</v>
      </c>
      <c r="O1119" t="s">
        <v>2786</v>
      </c>
    </row>
    <row r="1120" spans="1:15" x14ac:dyDescent="0.25">
      <c r="A1120" s="4" t="s">
        <v>2353</v>
      </c>
      <c r="B1120" s="4" t="s">
        <v>2354</v>
      </c>
      <c r="C1120" s="5">
        <v>2113</v>
      </c>
      <c r="D1120" s="6" t="s">
        <v>2355</v>
      </c>
      <c r="E1120" t="s">
        <v>1527</v>
      </c>
      <c r="F1120" t="s">
        <v>211</v>
      </c>
      <c r="G1120" t="e">
        <f>+VLOOKUP(F1120,[1]Explore!$B:$I,8,0)</f>
        <v>#N/A</v>
      </c>
      <c r="H1120" t="s">
        <v>212</v>
      </c>
      <c r="I1120" t="e">
        <f>+VLOOKUP(H1120,[1]Explore!$A:$I,9,0)</f>
        <v>#N/A</v>
      </c>
      <c r="J1120" t="str">
        <f t="shared" si="34"/>
        <v>BOTH #N/A</v>
      </c>
      <c r="K1120" t="str">
        <f t="shared" si="35"/>
        <v>Communication Services</v>
      </c>
      <c r="L1120" t="s">
        <v>2933</v>
      </c>
      <c r="M1120" t="str">
        <f>_xlfn.IFNA(VLOOKUP(K1120,'Mapping DEF'!A:C,2,0),"")</f>
        <v>Industry Allocation</v>
      </c>
      <c r="N1120" t="str">
        <f>+_xlfn.IFNA(VLOOKUP(M1120,'Mapping DEF'!B:C,2,FALSE),"")</f>
        <v>Equity</v>
      </c>
      <c r="O1120" s="7" t="s">
        <v>2776</v>
      </c>
    </row>
    <row r="1121" spans="1:15" x14ac:dyDescent="0.25">
      <c r="A1121" s="4" t="s">
        <v>2353</v>
      </c>
      <c r="B1121" s="4" t="s">
        <v>2354</v>
      </c>
      <c r="C1121" s="5">
        <v>2113</v>
      </c>
      <c r="D1121" s="6" t="s">
        <v>2355</v>
      </c>
      <c r="E1121" t="s">
        <v>1528</v>
      </c>
      <c r="F1121" t="s">
        <v>1520</v>
      </c>
      <c r="G1121" t="e">
        <f>+VLOOKUP(F1121,[1]Explore!$B:$I,8,0)</f>
        <v>#N/A</v>
      </c>
      <c r="H1121" t="s">
        <v>1521</v>
      </c>
      <c r="I1121" t="e">
        <f>+VLOOKUP(H1121,[1]Explore!$A:$I,9,0)</f>
        <v>#N/A</v>
      </c>
      <c r="J1121" t="str">
        <f t="shared" si="34"/>
        <v>BOTH #N/A</v>
      </c>
      <c r="K1121" t="str">
        <f t="shared" si="35"/>
        <v>Consumer Staples</v>
      </c>
      <c r="L1121" t="s">
        <v>2687</v>
      </c>
      <c r="M1121" t="str">
        <f>_xlfn.IFNA(VLOOKUP(K1121,'Mapping DEF'!A:C,2,0),"")</f>
        <v>Industry Allocation</v>
      </c>
      <c r="N1121" t="str">
        <f>+_xlfn.IFNA(VLOOKUP(M1121,'Mapping DEF'!B:C,2,FALSE),"")</f>
        <v>Equity</v>
      </c>
      <c r="O1121" s="7" t="s">
        <v>2768</v>
      </c>
    </row>
    <row r="1122" spans="1:15" x14ac:dyDescent="0.25">
      <c r="A1122" s="4" t="s">
        <v>2353</v>
      </c>
      <c r="B1122" s="4" t="s">
        <v>2354</v>
      </c>
      <c r="C1122" s="5">
        <v>2113</v>
      </c>
      <c r="D1122" s="6" t="s">
        <v>2355</v>
      </c>
      <c r="E1122" t="s">
        <v>1529</v>
      </c>
      <c r="F1122" t="s">
        <v>214</v>
      </c>
      <c r="G1122" t="str">
        <f>+VLOOKUP(F1122,[1]Explore!$B:$I,8,0)</f>
        <v>Health Care</v>
      </c>
      <c r="H1122" t="s">
        <v>215</v>
      </c>
      <c r="I1122" t="e">
        <f>+VLOOKUP(H1122,[1]Explore!$A:$I,9,0)</f>
        <v>#N/A</v>
      </c>
      <c r="J1122" t="str">
        <f t="shared" si="34"/>
        <v>OK</v>
      </c>
      <c r="K1122" t="str">
        <f t="shared" si="35"/>
        <v>Health Care</v>
      </c>
      <c r="L1122" t="s">
        <v>2141</v>
      </c>
      <c r="M1122" t="str">
        <f>_xlfn.IFNA(VLOOKUP(K1122,'Mapping DEF'!A:C,2,0),"")</f>
        <v>Industry Allocation</v>
      </c>
      <c r="N1122" t="str">
        <f>+_xlfn.IFNA(VLOOKUP(M1122,'Mapping DEF'!B:C,2,FALSE),"")</f>
        <v>Equity</v>
      </c>
      <c r="O1122" s="7" t="s">
        <v>2768</v>
      </c>
    </row>
    <row r="1123" spans="1:15" x14ac:dyDescent="0.25">
      <c r="A1123" s="4" t="s">
        <v>2353</v>
      </c>
      <c r="B1123" s="4" t="s">
        <v>2354</v>
      </c>
      <c r="C1123" s="5">
        <v>2113</v>
      </c>
      <c r="D1123" s="6" t="s">
        <v>2355</v>
      </c>
      <c r="E1123" t="s">
        <v>1533</v>
      </c>
      <c r="F1123" t="s">
        <v>750</v>
      </c>
      <c r="G1123" t="str">
        <f>+VLOOKUP(F1123,[1]Explore!$B:$I,8,0)</f>
        <v>Market</v>
      </c>
      <c r="H1123" t="s">
        <v>1534</v>
      </c>
      <c r="I1123" t="e">
        <f>+VLOOKUP(H1123,[1]Explore!$A:$I,9,0)</f>
        <v>#N/A</v>
      </c>
      <c r="J1123" t="str">
        <f t="shared" si="34"/>
        <v>OK</v>
      </c>
      <c r="K1123" t="str">
        <f t="shared" si="35"/>
        <v>Market</v>
      </c>
      <c r="L1123" t="s">
        <v>2145</v>
      </c>
      <c r="M1123" t="str">
        <f>_xlfn.IFNA(VLOOKUP(K1123,'Mapping DEF'!A:C,2,0),"")</f>
        <v>Style</v>
      </c>
      <c r="N1123" t="str">
        <f>+_xlfn.IFNA(VLOOKUP(M1123,'Mapping DEF'!B:C,2,FALSE),"")</f>
        <v>Equity</v>
      </c>
      <c r="O1123" t="s">
        <v>2766</v>
      </c>
    </row>
    <row r="1124" spans="1:15" x14ac:dyDescent="0.25">
      <c r="A1124" s="4" t="s">
        <v>2353</v>
      </c>
      <c r="B1124" s="4" t="s">
        <v>2354</v>
      </c>
      <c r="C1124" s="5">
        <v>2113</v>
      </c>
      <c r="D1124" s="6" t="s">
        <v>2355</v>
      </c>
      <c r="E1124" t="s">
        <v>1523</v>
      </c>
      <c r="F1124" t="s">
        <v>220</v>
      </c>
      <c r="G1124" t="str">
        <f>+VLOOKUP(F1124,[1]Explore!$B:$I,8,0)</f>
        <v>Corporate HY USD - Other</v>
      </c>
      <c r="H1124" t="s">
        <v>510</v>
      </c>
      <c r="I1124" t="str">
        <f>+VLOOKUP(H1124,[1]Explore!$A:$I,9,0)</f>
        <v>Corporate HY USD - Other</v>
      </c>
      <c r="J1124" t="str">
        <f t="shared" si="34"/>
        <v>OK</v>
      </c>
      <c r="K1124" t="str">
        <f t="shared" si="35"/>
        <v>Corporate HY USD - Other</v>
      </c>
      <c r="L1124" t="s">
        <v>188</v>
      </c>
      <c r="M1124" t="str">
        <f>_xlfn.IFNA(VLOOKUP(K1124,'Mapping DEF'!A:C,2,0),"")</f>
        <v>Spread</v>
      </c>
      <c r="N1124" t="str">
        <f>+_xlfn.IFNA(VLOOKUP(M1124,'Mapping DEF'!B:C,2,FALSE),"")</f>
        <v>Spread</v>
      </c>
      <c r="O1124" t="s">
        <v>2766</v>
      </c>
    </row>
    <row r="1125" spans="1:15" x14ac:dyDescent="0.25">
      <c r="A1125" s="4" t="s">
        <v>2353</v>
      </c>
      <c r="B1125" s="4" t="s">
        <v>2354</v>
      </c>
      <c r="C1125" s="5">
        <v>2113</v>
      </c>
      <c r="D1125" s="6" t="s">
        <v>2355</v>
      </c>
      <c r="E1125" t="s">
        <v>1535</v>
      </c>
      <c r="F1125" t="s">
        <v>2620</v>
      </c>
      <c r="G1125" t="str">
        <f>+VLOOKUP(F1125,[1]Explore!$B:$I,8,0)</f>
        <v>Corporate HY USD - Industry</v>
      </c>
      <c r="H1125" t="s">
        <v>214</v>
      </c>
      <c r="I1125" t="e">
        <f>+VLOOKUP(H1125,[1]Explore!$A:$I,9,0)</f>
        <v>#N/A</v>
      </c>
      <c r="J1125" t="str">
        <f t="shared" si="34"/>
        <v>OK</v>
      </c>
      <c r="K1125" t="str">
        <f t="shared" si="35"/>
        <v>Corporate HY USD - Industry</v>
      </c>
      <c r="L1125" t="s">
        <v>188</v>
      </c>
      <c r="M1125" t="str">
        <f>_xlfn.IFNA(VLOOKUP(K1125,'Mapping DEF'!A:C,2,0),"")</f>
        <v>Spread</v>
      </c>
      <c r="N1125" t="str">
        <f>+_xlfn.IFNA(VLOOKUP(M1125,'Mapping DEF'!B:C,2,FALSE),"")</f>
        <v>Spread</v>
      </c>
      <c r="O1125" t="s">
        <v>2756</v>
      </c>
    </row>
    <row r="1126" spans="1:15" x14ac:dyDescent="0.25">
      <c r="A1126" s="4" t="s">
        <v>2353</v>
      </c>
      <c r="B1126" s="4" t="s">
        <v>2354</v>
      </c>
      <c r="C1126" s="5">
        <v>2113</v>
      </c>
      <c r="D1126" s="6" t="s">
        <v>2355</v>
      </c>
      <c r="E1126" t="s">
        <v>1536</v>
      </c>
      <c r="F1126" t="s">
        <v>703</v>
      </c>
      <c r="G1126" t="str">
        <f>+VLOOKUP(F1126,[1]Explore!$B:$I,8,0)</f>
        <v>Corporate HY USD - Industry</v>
      </c>
      <c r="H1126" t="s">
        <v>1526</v>
      </c>
      <c r="I1126" t="e">
        <f>+VLOOKUP(H1126,[1]Explore!$A:$I,9,0)</f>
        <v>#N/A</v>
      </c>
      <c r="J1126" t="str">
        <f t="shared" si="34"/>
        <v>OK</v>
      </c>
      <c r="K1126" t="str">
        <f t="shared" si="35"/>
        <v>Corporate HY USD - Industry</v>
      </c>
      <c r="L1126" t="s">
        <v>188</v>
      </c>
      <c r="M1126" t="str">
        <f>_xlfn.IFNA(VLOOKUP(K1126,'Mapping DEF'!A:C,2,0),"")</f>
        <v>Spread</v>
      </c>
      <c r="N1126" t="str">
        <f>+_xlfn.IFNA(VLOOKUP(M1126,'Mapping DEF'!B:C,2,FALSE),"")</f>
        <v>Spread</v>
      </c>
      <c r="O1126" t="s">
        <v>2765</v>
      </c>
    </row>
    <row r="1127" spans="1:15" x14ac:dyDescent="0.25">
      <c r="A1127" s="4" t="s">
        <v>2356</v>
      </c>
      <c r="B1127" s="4" t="s">
        <v>2357</v>
      </c>
      <c r="C1127" s="5">
        <v>2114</v>
      </c>
      <c r="D1127" s="6" t="s">
        <v>2358</v>
      </c>
      <c r="E1127" t="s">
        <v>1537</v>
      </c>
      <c r="F1127" t="s">
        <v>211</v>
      </c>
      <c r="G1127" t="e">
        <f>+VLOOKUP(F1127,[1]Explore!$B:$I,8,0)</f>
        <v>#N/A</v>
      </c>
      <c r="H1127" t="s">
        <v>212</v>
      </c>
      <c r="I1127" t="e">
        <f>+VLOOKUP(H1127,[1]Explore!$A:$I,9,0)</f>
        <v>#N/A</v>
      </c>
      <c r="J1127" t="str">
        <f t="shared" si="34"/>
        <v>BOTH #N/A</v>
      </c>
      <c r="K1127" t="str">
        <f t="shared" si="35"/>
        <v>Communication Services</v>
      </c>
      <c r="L1127" t="s">
        <v>2933</v>
      </c>
      <c r="M1127" t="str">
        <f>_xlfn.IFNA(VLOOKUP(K1127,'Mapping DEF'!A:C,2,0),"")</f>
        <v>Industry Allocation</v>
      </c>
      <c r="N1127" t="str">
        <f>+_xlfn.IFNA(VLOOKUP(M1127,'Mapping DEF'!B:C,2,FALSE),"")</f>
        <v>Equity</v>
      </c>
      <c r="O1127" t="s">
        <v>2770</v>
      </c>
    </row>
    <row r="1128" spans="1:15" x14ac:dyDescent="0.25">
      <c r="A1128" s="4" t="s">
        <v>2356</v>
      </c>
      <c r="B1128" s="4" t="s">
        <v>2357</v>
      </c>
      <c r="C1128" s="5">
        <v>2114</v>
      </c>
      <c r="D1128" s="6" t="s">
        <v>2358</v>
      </c>
      <c r="E1128" t="s">
        <v>1538</v>
      </c>
      <c r="F1128" t="s">
        <v>1520</v>
      </c>
      <c r="G1128" t="e">
        <f>+VLOOKUP(F1128,[1]Explore!$B:$I,8,0)</f>
        <v>#N/A</v>
      </c>
      <c r="H1128" t="s">
        <v>1521</v>
      </c>
      <c r="I1128" t="e">
        <f>+VLOOKUP(H1128,[1]Explore!$A:$I,9,0)</f>
        <v>#N/A</v>
      </c>
      <c r="J1128" t="str">
        <f t="shared" si="34"/>
        <v>BOTH #N/A</v>
      </c>
      <c r="K1128" t="str">
        <f t="shared" si="35"/>
        <v>Consumer Staples</v>
      </c>
      <c r="L1128" t="s">
        <v>2687</v>
      </c>
      <c r="M1128" t="str">
        <f>_xlfn.IFNA(VLOOKUP(K1128,'Mapping DEF'!A:C,2,0),"")</f>
        <v>Industry Allocation</v>
      </c>
      <c r="N1128" t="str">
        <f>+_xlfn.IFNA(VLOOKUP(M1128,'Mapping DEF'!B:C,2,FALSE),"")</f>
        <v>Equity</v>
      </c>
      <c r="O1128" t="s">
        <v>2812</v>
      </c>
    </row>
    <row r="1129" spans="1:15" x14ac:dyDescent="0.25">
      <c r="A1129" s="4" t="s">
        <v>2356</v>
      </c>
      <c r="B1129" s="4" t="s">
        <v>2357</v>
      </c>
      <c r="C1129" s="5">
        <v>2114</v>
      </c>
      <c r="D1129" s="6" t="s">
        <v>2358</v>
      </c>
      <c r="E1129" t="s">
        <v>1539</v>
      </c>
      <c r="F1129" t="s">
        <v>214</v>
      </c>
      <c r="G1129" t="str">
        <f>+VLOOKUP(F1129,[1]Explore!$B:$I,8,0)</f>
        <v>Health Care</v>
      </c>
      <c r="H1129" t="s">
        <v>215</v>
      </c>
      <c r="I1129" t="e">
        <f>+VLOOKUP(H1129,[1]Explore!$A:$I,9,0)</f>
        <v>#N/A</v>
      </c>
      <c r="J1129" t="str">
        <f t="shared" si="34"/>
        <v>OK</v>
      </c>
      <c r="K1129" t="str">
        <f t="shared" si="35"/>
        <v>Health Care</v>
      </c>
      <c r="L1129" t="s">
        <v>2141</v>
      </c>
      <c r="M1129" t="str">
        <f>_xlfn.IFNA(VLOOKUP(K1129,'Mapping DEF'!A:C,2,0),"")</f>
        <v>Industry Allocation</v>
      </c>
      <c r="N1129" t="str">
        <f>+_xlfn.IFNA(VLOOKUP(M1129,'Mapping DEF'!B:C,2,FALSE),"")</f>
        <v>Equity</v>
      </c>
      <c r="O1129" t="s">
        <v>2770</v>
      </c>
    </row>
    <row r="1130" spans="1:15" x14ac:dyDescent="0.25">
      <c r="A1130" s="4" t="s">
        <v>2356</v>
      </c>
      <c r="B1130" s="4" t="s">
        <v>2357</v>
      </c>
      <c r="C1130" s="5">
        <v>2114</v>
      </c>
      <c r="D1130" s="6" t="s">
        <v>2358</v>
      </c>
      <c r="E1130" t="s">
        <v>1523</v>
      </c>
      <c r="F1130" t="s">
        <v>220</v>
      </c>
      <c r="G1130" t="str">
        <f>+VLOOKUP(F1130,[1]Explore!$B:$I,8,0)</f>
        <v>Corporate HY USD - Other</v>
      </c>
      <c r="H1130" t="s">
        <v>510</v>
      </c>
      <c r="I1130" t="str">
        <f>+VLOOKUP(H1130,[1]Explore!$A:$I,9,0)</f>
        <v>Corporate HY USD - Other</v>
      </c>
      <c r="J1130" t="str">
        <f t="shared" si="34"/>
        <v>OK</v>
      </c>
      <c r="K1130" t="str">
        <f t="shared" si="35"/>
        <v>Corporate HY USD - Other</v>
      </c>
      <c r="L1130" t="s">
        <v>188</v>
      </c>
      <c r="M1130" t="str">
        <f>_xlfn.IFNA(VLOOKUP(K1130,'Mapping DEF'!A:C,2,0),"")</f>
        <v>Spread</v>
      </c>
      <c r="N1130" t="str">
        <f>+_xlfn.IFNA(VLOOKUP(M1130,'Mapping DEF'!B:C,2,FALSE),"")</f>
        <v>Spread</v>
      </c>
      <c r="O1130" t="s">
        <v>2766</v>
      </c>
    </row>
    <row r="1131" spans="1:15" x14ac:dyDescent="0.25">
      <c r="A1131" s="4" t="s">
        <v>2356</v>
      </c>
      <c r="B1131" s="4" t="s">
        <v>2357</v>
      </c>
      <c r="C1131" s="5">
        <v>2114</v>
      </c>
      <c r="D1131" s="6" t="s">
        <v>2358</v>
      </c>
      <c r="E1131" t="s">
        <v>1540</v>
      </c>
      <c r="F1131" t="s">
        <v>2620</v>
      </c>
      <c r="G1131" t="str">
        <f>+VLOOKUP(F1131,[1]Explore!$B:$I,8,0)</f>
        <v>Corporate HY USD - Industry</v>
      </c>
      <c r="H1131" t="s">
        <v>214</v>
      </c>
      <c r="I1131" t="e">
        <f>+VLOOKUP(H1131,[1]Explore!$A:$I,9,0)</f>
        <v>#N/A</v>
      </c>
      <c r="J1131" t="str">
        <f t="shared" si="34"/>
        <v>OK</v>
      </c>
      <c r="K1131" t="str">
        <f t="shared" si="35"/>
        <v>Corporate HY USD - Industry</v>
      </c>
      <c r="L1131" t="s">
        <v>188</v>
      </c>
      <c r="M1131" t="str">
        <f>_xlfn.IFNA(VLOOKUP(K1131,'Mapping DEF'!A:C,2,0),"")</f>
        <v>Spread</v>
      </c>
      <c r="N1131" t="str">
        <f>+_xlfn.IFNA(VLOOKUP(M1131,'Mapping DEF'!B:C,2,FALSE),"")</f>
        <v>Spread</v>
      </c>
      <c r="O1131" t="s">
        <v>2800</v>
      </c>
    </row>
    <row r="1132" spans="1:15" x14ac:dyDescent="0.25">
      <c r="A1132" s="4" t="s">
        <v>2356</v>
      </c>
      <c r="B1132" s="4" t="s">
        <v>2357</v>
      </c>
      <c r="C1132" s="5">
        <v>2114</v>
      </c>
      <c r="D1132" s="6" t="s">
        <v>2358</v>
      </c>
      <c r="E1132" t="s">
        <v>1541</v>
      </c>
      <c r="F1132" t="s">
        <v>703</v>
      </c>
      <c r="G1132" t="str">
        <f>+VLOOKUP(F1132,[1]Explore!$B:$I,8,0)</f>
        <v>Corporate HY USD - Industry</v>
      </c>
      <c r="H1132" t="s">
        <v>1526</v>
      </c>
      <c r="I1132" t="e">
        <f>+VLOOKUP(H1132,[1]Explore!$A:$I,9,0)</f>
        <v>#N/A</v>
      </c>
      <c r="J1132" t="str">
        <f t="shared" si="34"/>
        <v>OK</v>
      </c>
      <c r="K1132" t="str">
        <f t="shared" si="35"/>
        <v>Corporate HY USD - Industry</v>
      </c>
      <c r="L1132" t="s">
        <v>188</v>
      </c>
      <c r="M1132" t="str">
        <f>_xlfn.IFNA(VLOOKUP(K1132,'Mapping DEF'!A:C,2,0),"")</f>
        <v>Spread</v>
      </c>
      <c r="N1132" t="str">
        <f>+_xlfn.IFNA(VLOOKUP(M1132,'Mapping DEF'!B:C,2,FALSE),"")</f>
        <v>Spread</v>
      </c>
      <c r="O1132" t="s">
        <v>2774</v>
      </c>
    </row>
    <row r="1133" spans="1:15" x14ac:dyDescent="0.25">
      <c r="A1133" s="4" t="s">
        <v>2359</v>
      </c>
      <c r="B1133" s="4" t="s">
        <v>2360</v>
      </c>
      <c r="C1133" s="5">
        <v>2205</v>
      </c>
      <c r="D1133" s="6" t="s">
        <v>2361</v>
      </c>
      <c r="E1133" t="s">
        <v>328</v>
      </c>
      <c r="F1133" t="s">
        <v>19</v>
      </c>
      <c r="G1133" t="str">
        <f>+VLOOKUP(F1133,[1]Explore!$B:$I,8,0)</f>
        <v>Govt USD</v>
      </c>
      <c r="H1133" t="s">
        <v>20</v>
      </c>
      <c r="I1133" t="str">
        <f>+VLOOKUP(H1133,[1]Explore!$A:$I,9,0)</f>
        <v>Govt USD</v>
      </c>
      <c r="J1133" t="str">
        <f t="shared" si="34"/>
        <v>OK</v>
      </c>
      <c r="K1133" t="str">
        <f t="shared" si="35"/>
        <v>Govt USD</v>
      </c>
      <c r="L1133" t="s">
        <v>2143</v>
      </c>
      <c r="M1133" t="str">
        <f>_xlfn.IFNA(VLOOKUP(K1133,'Mapping DEF'!A:C,2,0),"")</f>
        <v>Curve (Local)</v>
      </c>
      <c r="N1133" t="str">
        <f>+_xlfn.IFNA(VLOOKUP(M1133,'Mapping DEF'!B:C,2,FALSE),"")</f>
        <v>Term Structure</v>
      </c>
      <c r="O1133" t="s">
        <v>2785</v>
      </c>
    </row>
    <row r="1134" spans="1:15" x14ac:dyDescent="0.25">
      <c r="A1134" s="4" t="s">
        <v>2359</v>
      </c>
      <c r="B1134" s="4" t="s">
        <v>2360</v>
      </c>
      <c r="C1134" s="5">
        <v>2205</v>
      </c>
      <c r="D1134" s="6" t="s">
        <v>2361</v>
      </c>
      <c r="E1134" t="s">
        <v>1542</v>
      </c>
      <c r="F1134" t="s">
        <v>791</v>
      </c>
      <c r="G1134" t="str">
        <f>+VLOOKUP(F1134,[1]Explore!$B:$I,8,0)</f>
        <v>USD Inflation</v>
      </c>
      <c r="H1134" t="s">
        <v>792</v>
      </c>
      <c r="I1134" t="str">
        <f>+VLOOKUP(H1134,[1]Explore!$A:$I,9,0)</f>
        <v>USD Inflation</v>
      </c>
      <c r="J1134" t="str">
        <f t="shared" si="34"/>
        <v>OK</v>
      </c>
      <c r="K1134" t="str">
        <f t="shared" si="35"/>
        <v>USD Inflation</v>
      </c>
      <c r="L1134" t="s">
        <v>2143</v>
      </c>
      <c r="M1134" t="str">
        <f>_xlfn.IFNA(VLOOKUP(K1134,'Mapping DEF'!A:C,2,0),"")</f>
        <v>Inflation</v>
      </c>
      <c r="N1134" t="str">
        <f>+_xlfn.IFNA(VLOOKUP(M1134,'Mapping DEF'!B:C,2,FALSE),"")</f>
        <v>Other</v>
      </c>
      <c r="O1134" t="s">
        <v>2859</v>
      </c>
    </row>
    <row r="1135" spans="1:15" x14ac:dyDescent="0.25">
      <c r="A1135" s="4" t="s">
        <v>2359</v>
      </c>
      <c r="B1135" s="4" t="s">
        <v>2360</v>
      </c>
      <c r="C1135" s="5">
        <v>2205</v>
      </c>
      <c r="D1135" s="6" t="s">
        <v>2361</v>
      </c>
      <c r="E1135" t="s">
        <v>1543</v>
      </c>
      <c r="F1135" t="s">
        <v>265</v>
      </c>
      <c r="G1135" t="str">
        <f>+VLOOKUP(F1135,[1]Explore!$B:$I,8,0)</f>
        <v>Alternative - Commodity</v>
      </c>
      <c r="H1135" t="s">
        <v>266</v>
      </c>
      <c r="I1135" t="str">
        <f>+VLOOKUP(H1135,[1]Explore!$A:$I,9,0)</f>
        <v>Alternative - Commodity</v>
      </c>
      <c r="J1135" t="str">
        <f t="shared" si="34"/>
        <v>OK</v>
      </c>
      <c r="K1135" t="str">
        <f t="shared" si="35"/>
        <v>Alternative - Commodity</v>
      </c>
      <c r="L1135" t="s">
        <v>2139</v>
      </c>
      <c r="M1135" t="str">
        <f>_xlfn.IFNA(VLOOKUP(K1135,'Mapping DEF'!A:C,2,0),"")</f>
        <v>Alternative</v>
      </c>
      <c r="N1135" t="str">
        <f>+_xlfn.IFNA(VLOOKUP(M1135,'Mapping DEF'!B:C,2,FALSE),"")</f>
        <v>Other</v>
      </c>
      <c r="O1135" t="s">
        <v>2860</v>
      </c>
    </row>
    <row r="1136" spans="1:15" x14ac:dyDescent="0.25">
      <c r="A1136" s="4" t="s">
        <v>2359</v>
      </c>
      <c r="B1136" s="4" t="s">
        <v>2360</v>
      </c>
      <c r="C1136" s="5">
        <v>2205</v>
      </c>
      <c r="D1136" s="6" t="s">
        <v>2361</v>
      </c>
      <c r="E1136" t="s">
        <v>1544</v>
      </c>
      <c r="F1136" t="s">
        <v>1224</v>
      </c>
      <c r="G1136" t="str">
        <f>+VLOOKUP(F1136,[1]Explore!$B:$I,8,0)</f>
        <v>Corporate IG USD - Market</v>
      </c>
      <c r="H1136" t="s">
        <v>1225</v>
      </c>
      <c r="I1136" t="str">
        <f>+VLOOKUP(H1136,[1]Explore!$A:$I,9,0)</f>
        <v>Corporate IG USD - Market</v>
      </c>
      <c r="J1136" t="str">
        <f t="shared" si="34"/>
        <v>OK</v>
      </c>
      <c r="K1136" t="str">
        <f t="shared" si="35"/>
        <v>Corporate IG USD - Market</v>
      </c>
      <c r="L1136" t="s">
        <v>188</v>
      </c>
      <c r="M1136" t="str">
        <f>_xlfn.IFNA(VLOOKUP(K1136,'Mapping DEF'!A:C,2,0),"")</f>
        <v>Spread</v>
      </c>
      <c r="N1136" t="str">
        <f>+_xlfn.IFNA(VLOOKUP(M1136,'Mapping DEF'!B:C,2,FALSE),"")</f>
        <v>Spread</v>
      </c>
      <c r="O1136" t="s">
        <v>2813</v>
      </c>
    </row>
    <row r="1137" spans="1:15" x14ac:dyDescent="0.25">
      <c r="A1137" s="4" t="s">
        <v>2359</v>
      </c>
      <c r="B1137" s="4" t="s">
        <v>2360</v>
      </c>
      <c r="C1137" s="5">
        <v>2205</v>
      </c>
      <c r="D1137" s="6" t="s">
        <v>2361</v>
      </c>
      <c r="E1137" t="s">
        <v>893</v>
      </c>
      <c r="F1137" t="s">
        <v>206</v>
      </c>
      <c r="G1137" t="e">
        <f>+VLOOKUP(F1137,[1]Explore!$B:$I,8,0)</f>
        <v>#N/A</v>
      </c>
      <c r="H1137" t="s">
        <v>206</v>
      </c>
      <c r="I1137" t="e">
        <f>+VLOOKUP(H1137,[1]Explore!$A:$I,9,0)</f>
        <v>#N/A</v>
      </c>
      <c r="J1137" t="str">
        <f t="shared" si="34"/>
        <v>BOTH #N/A</v>
      </c>
      <c r="K1137" t="str">
        <f t="shared" si="35"/>
        <v>Dollar Index</v>
      </c>
      <c r="L1137" t="s">
        <v>2930</v>
      </c>
      <c r="M1137" t="str">
        <f>_xlfn.IFNA(VLOOKUP(K1137,'Mapping DEF'!A:C,2,0),"")</f>
        <v>Index Level</v>
      </c>
      <c r="N1137" t="str">
        <f>+_xlfn.IFNA(VLOOKUP(M1137,'Mapping DEF'!B:C,2,FALSE),"")</f>
        <v>Other</v>
      </c>
      <c r="O1137" t="s">
        <v>2810</v>
      </c>
    </row>
    <row r="1138" spans="1:15" x14ac:dyDescent="0.25">
      <c r="A1138" s="4" t="s">
        <v>2359</v>
      </c>
      <c r="B1138" s="4" t="s">
        <v>2360</v>
      </c>
      <c r="C1138" s="5">
        <v>2205</v>
      </c>
      <c r="D1138" s="6" t="s">
        <v>2361</v>
      </c>
      <c r="E1138" t="s">
        <v>1545</v>
      </c>
      <c r="F1138" t="s">
        <v>826</v>
      </c>
      <c r="G1138" t="str">
        <f>+VLOOKUP(F1138,[1]Explore!$B:$I,8,0)</f>
        <v>Equity Implied Volatility</v>
      </c>
      <c r="H1138" t="s">
        <v>827</v>
      </c>
      <c r="I1138" t="str">
        <f>+VLOOKUP(H1138,[1]Explore!$A:$I,9,0)</f>
        <v>Equity Implied Volatility</v>
      </c>
      <c r="J1138" t="str">
        <f t="shared" si="34"/>
        <v>OK</v>
      </c>
      <c r="K1138" t="str">
        <f t="shared" si="35"/>
        <v>Equity Implied Volatility</v>
      </c>
      <c r="L1138" t="s">
        <v>27</v>
      </c>
      <c r="M1138" t="str">
        <f>_xlfn.IFNA(VLOOKUP(K1138,'Mapping DEF'!A:C,2,0),"")</f>
        <v>Equity Derivatives</v>
      </c>
      <c r="N1138" t="str">
        <f>+_xlfn.IFNA(VLOOKUP(M1138,'Mapping DEF'!B:C,2,FALSE),"")</f>
        <v>Equity</v>
      </c>
      <c r="O1138" t="s">
        <v>2861</v>
      </c>
    </row>
    <row r="1139" spans="1:15" x14ac:dyDescent="0.25">
      <c r="A1139" s="4" t="s">
        <v>2359</v>
      </c>
      <c r="B1139" s="4" t="s">
        <v>2360</v>
      </c>
      <c r="C1139" s="5">
        <v>2205</v>
      </c>
      <c r="D1139" s="6" t="s">
        <v>2361</v>
      </c>
      <c r="E1139" t="s">
        <v>1290</v>
      </c>
      <c r="F1139" t="s">
        <v>183</v>
      </c>
      <c r="G1139" t="str">
        <f>+VLOOKUP(F1139,[1]Explore!$B:$I,8,0)</f>
        <v>Equity Implied Volatility</v>
      </c>
      <c r="H1139" t="s">
        <v>184</v>
      </c>
      <c r="I1139" t="str">
        <f>+VLOOKUP(H1139,[1]Explore!$A:$I,9,0)</f>
        <v>Equity Implied Volatility</v>
      </c>
      <c r="J1139" t="str">
        <f t="shared" si="34"/>
        <v>OK</v>
      </c>
      <c r="K1139" t="str">
        <f t="shared" si="35"/>
        <v>Equity Implied Volatility</v>
      </c>
      <c r="L1139" t="s">
        <v>27</v>
      </c>
      <c r="M1139" t="str">
        <f>_xlfn.IFNA(VLOOKUP(K1139,'Mapping DEF'!A:C,2,0),"")</f>
        <v>Equity Derivatives</v>
      </c>
      <c r="N1139" t="str">
        <f>+_xlfn.IFNA(VLOOKUP(M1139,'Mapping DEF'!B:C,2,FALSE),"")</f>
        <v>Equity</v>
      </c>
      <c r="O1139" t="s">
        <v>2819</v>
      </c>
    </row>
    <row r="1140" spans="1:15" x14ac:dyDescent="0.25">
      <c r="A1140" s="4" t="s">
        <v>2359</v>
      </c>
      <c r="B1140" s="4" t="s">
        <v>2360</v>
      </c>
      <c r="C1140" s="5">
        <v>2205</v>
      </c>
      <c r="D1140" s="6" t="s">
        <v>2361</v>
      </c>
      <c r="E1140" t="s">
        <v>1546</v>
      </c>
      <c r="F1140" t="s">
        <v>1547</v>
      </c>
      <c r="G1140" t="str">
        <f>+VLOOKUP(F1140,[1]Explore!$B:$I,8,0)</f>
        <v>Spread Emerging Markets - Country</v>
      </c>
      <c r="H1140" t="s">
        <v>1548</v>
      </c>
      <c r="I1140" t="str">
        <f>+VLOOKUP(H1140,[1]Explore!$A:$I,9,0)</f>
        <v>Spread Emerging Markets - Country</v>
      </c>
      <c r="J1140" t="str">
        <f t="shared" si="34"/>
        <v>OK</v>
      </c>
      <c r="K1140" t="str">
        <f t="shared" si="35"/>
        <v>Spread Emerging Markets - Country</v>
      </c>
      <c r="L1140" t="s">
        <v>188</v>
      </c>
      <c r="M1140" t="str">
        <f>_xlfn.IFNA(VLOOKUP(K1140,'Mapping DEF'!A:C,2,0),"")</f>
        <v>Spread</v>
      </c>
      <c r="N1140" t="str">
        <f>+_xlfn.IFNA(VLOOKUP(M1140,'Mapping DEF'!B:C,2,FALSE),"")</f>
        <v>Spread</v>
      </c>
      <c r="O1140" t="s">
        <v>2804</v>
      </c>
    </row>
    <row r="1141" spans="1:15" x14ac:dyDescent="0.25">
      <c r="A1141" s="4" t="s">
        <v>2362</v>
      </c>
      <c r="B1141" s="4" t="s">
        <v>2363</v>
      </c>
      <c r="C1141" s="5">
        <v>2212</v>
      </c>
      <c r="D1141" s="6" t="s">
        <v>2364</v>
      </c>
      <c r="E1141" t="s">
        <v>1549</v>
      </c>
      <c r="F1141" t="s">
        <v>19</v>
      </c>
      <c r="G1141" t="str">
        <f>+VLOOKUP(F1141,[1]Explore!$B:$I,8,0)</f>
        <v>Govt USD</v>
      </c>
      <c r="H1141" t="s">
        <v>20</v>
      </c>
      <c r="I1141" t="str">
        <f>+VLOOKUP(H1141,[1]Explore!$A:$I,9,0)</f>
        <v>Govt USD</v>
      </c>
      <c r="J1141" t="str">
        <f t="shared" si="34"/>
        <v>OK</v>
      </c>
      <c r="K1141" t="str">
        <f t="shared" si="35"/>
        <v>Govt USD</v>
      </c>
      <c r="L1141" t="s">
        <v>2143</v>
      </c>
      <c r="M1141" t="str">
        <f>_xlfn.IFNA(VLOOKUP(K1141,'Mapping DEF'!A:C,2,0),"")</f>
        <v>Curve (Local)</v>
      </c>
      <c r="N1141" t="str">
        <f>+_xlfn.IFNA(VLOOKUP(M1141,'Mapping DEF'!B:C,2,FALSE),"")</f>
        <v>Term Structure</v>
      </c>
      <c r="O1141" t="s">
        <v>2829</v>
      </c>
    </row>
    <row r="1142" spans="1:15" x14ac:dyDescent="0.25">
      <c r="A1142" s="4" t="s">
        <v>2362</v>
      </c>
      <c r="B1142" s="4" t="s">
        <v>2363</v>
      </c>
      <c r="C1142" s="5">
        <v>2212</v>
      </c>
      <c r="D1142" s="6" t="s">
        <v>2364</v>
      </c>
      <c r="E1142" t="s">
        <v>1550</v>
      </c>
      <c r="F1142" t="s">
        <v>791</v>
      </c>
      <c r="G1142" t="str">
        <f>+VLOOKUP(F1142,[1]Explore!$B:$I,8,0)</f>
        <v>USD Inflation</v>
      </c>
      <c r="H1142" t="s">
        <v>792</v>
      </c>
      <c r="I1142" t="str">
        <f>+VLOOKUP(H1142,[1]Explore!$A:$I,9,0)</f>
        <v>USD Inflation</v>
      </c>
      <c r="J1142" t="str">
        <f t="shared" si="34"/>
        <v>OK</v>
      </c>
      <c r="K1142" t="str">
        <f t="shared" si="35"/>
        <v>USD Inflation</v>
      </c>
      <c r="L1142" t="s">
        <v>2143</v>
      </c>
      <c r="M1142" t="str">
        <f>_xlfn.IFNA(VLOOKUP(K1142,'Mapping DEF'!A:C,2,0),"")</f>
        <v>Inflation</v>
      </c>
      <c r="N1142" t="str">
        <f>+_xlfn.IFNA(VLOOKUP(M1142,'Mapping DEF'!B:C,2,FALSE),"")</f>
        <v>Other</v>
      </c>
      <c r="O1142" t="s">
        <v>2845</v>
      </c>
    </row>
    <row r="1143" spans="1:15" x14ac:dyDescent="0.25">
      <c r="A1143" s="4" t="s">
        <v>2362</v>
      </c>
      <c r="B1143" s="4" t="s">
        <v>2363</v>
      </c>
      <c r="C1143" s="5">
        <v>2212</v>
      </c>
      <c r="D1143" s="6" t="s">
        <v>2364</v>
      </c>
      <c r="E1143" t="s">
        <v>1551</v>
      </c>
      <c r="F1143" t="s">
        <v>265</v>
      </c>
      <c r="G1143" t="str">
        <f>+VLOOKUP(F1143,[1]Explore!$B:$I,8,0)</f>
        <v>Alternative - Commodity</v>
      </c>
      <c r="H1143" t="s">
        <v>266</v>
      </c>
      <c r="I1143" t="str">
        <f>+VLOOKUP(H1143,[1]Explore!$A:$I,9,0)</f>
        <v>Alternative - Commodity</v>
      </c>
      <c r="J1143" t="str">
        <f t="shared" si="34"/>
        <v>OK</v>
      </c>
      <c r="K1143" t="str">
        <f t="shared" si="35"/>
        <v>Alternative - Commodity</v>
      </c>
      <c r="L1143" t="s">
        <v>2139</v>
      </c>
      <c r="M1143" t="str">
        <f>_xlfn.IFNA(VLOOKUP(K1143,'Mapping DEF'!A:C,2,0),"")</f>
        <v>Alternative</v>
      </c>
      <c r="N1143" t="str">
        <f>+_xlfn.IFNA(VLOOKUP(M1143,'Mapping DEF'!B:C,2,FALSE),"")</f>
        <v>Other</v>
      </c>
      <c r="O1143" t="s">
        <v>2842</v>
      </c>
    </row>
    <row r="1144" spans="1:15" x14ac:dyDescent="0.25">
      <c r="A1144" s="4" t="s">
        <v>2362</v>
      </c>
      <c r="B1144" s="4" t="s">
        <v>2363</v>
      </c>
      <c r="C1144" s="5">
        <v>2212</v>
      </c>
      <c r="D1144" s="6" t="s">
        <v>2364</v>
      </c>
      <c r="E1144" t="s">
        <v>1552</v>
      </c>
      <c r="F1144" t="s">
        <v>438</v>
      </c>
      <c r="G1144" t="str">
        <f>+VLOOKUP(F1144,[1]Explore!$B:$I,8,0)</f>
        <v>Materials</v>
      </c>
      <c r="H1144" t="s">
        <v>439</v>
      </c>
      <c r="I1144" t="str">
        <f>+VLOOKUP(H1144,[1]Explore!$A:$I,9,0)</f>
        <v>Alternative - Commodity</v>
      </c>
      <c r="J1144" t="str">
        <f t="shared" si="34"/>
        <v>OK</v>
      </c>
      <c r="K1144" t="str">
        <f t="shared" si="35"/>
        <v>Alternative - Commodity</v>
      </c>
      <c r="L1144" t="s">
        <v>2139</v>
      </c>
      <c r="M1144" t="str">
        <f>_xlfn.IFNA(VLOOKUP(K1144,'Mapping DEF'!A:C,2,0),"")</f>
        <v>Alternative</v>
      </c>
      <c r="N1144" t="str">
        <f>+_xlfn.IFNA(VLOOKUP(M1144,'Mapping DEF'!B:C,2,FALSE),"")</f>
        <v>Other</v>
      </c>
      <c r="O1144" t="s">
        <v>2794</v>
      </c>
    </row>
    <row r="1145" spans="1:15" x14ac:dyDescent="0.25">
      <c r="A1145" s="4" t="s">
        <v>2362</v>
      </c>
      <c r="B1145" s="4" t="s">
        <v>2363</v>
      </c>
      <c r="C1145" s="5">
        <v>2212</v>
      </c>
      <c r="D1145" s="6" t="s">
        <v>2364</v>
      </c>
      <c r="E1145" t="s">
        <v>893</v>
      </c>
      <c r="F1145" t="s">
        <v>206</v>
      </c>
      <c r="G1145" t="e">
        <f>+VLOOKUP(F1145,[1]Explore!$B:$I,8,0)</f>
        <v>#N/A</v>
      </c>
      <c r="H1145" t="s">
        <v>206</v>
      </c>
      <c r="I1145" t="e">
        <f>+VLOOKUP(H1145,[1]Explore!$A:$I,9,0)</f>
        <v>#N/A</v>
      </c>
      <c r="J1145" t="str">
        <f t="shared" si="34"/>
        <v>BOTH #N/A</v>
      </c>
      <c r="K1145" t="str">
        <f t="shared" si="35"/>
        <v>Dollar Index</v>
      </c>
      <c r="L1145" t="s">
        <v>2930</v>
      </c>
      <c r="M1145" t="str">
        <f>_xlfn.IFNA(VLOOKUP(K1145,'Mapping DEF'!A:C,2,0),"")</f>
        <v>Index Level</v>
      </c>
      <c r="N1145" t="str">
        <f>+_xlfn.IFNA(VLOOKUP(M1145,'Mapping DEF'!B:C,2,FALSE),"")</f>
        <v>Other</v>
      </c>
      <c r="O1145" t="s">
        <v>2810</v>
      </c>
    </row>
    <row r="1146" spans="1:15" x14ac:dyDescent="0.25">
      <c r="A1146" s="4" t="s">
        <v>2362</v>
      </c>
      <c r="B1146" s="4" t="s">
        <v>2363</v>
      </c>
      <c r="C1146" s="5">
        <v>2212</v>
      </c>
      <c r="D1146" s="6" t="s">
        <v>2364</v>
      </c>
      <c r="E1146" t="s">
        <v>925</v>
      </c>
      <c r="F1146" t="s">
        <v>826</v>
      </c>
      <c r="G1146" t="str">
        <f>+VLOOKUP(F1146,[1]Explore!$B:$I,8,0)</f>
        <v>Equity Implied Volatility</v>
      </c>
      <c r="H1146" t="s">
        <v>827</v>
      </c>
      <c r="I1146" t="str">
        <f>+VLOOKUP(H1146,[1]Explore!$A:$I,9,0)</f>
        <v>Equity Implied Volatility</v>
      </c>
      <c r="J1146" t="str">
        <f t="shared" si="34"/>
        <v>OK</v>
      </c>
      <c r="K1146" t="str">
        <f t="shared" si="35"/>
        <v>Equity Implied Volatility</v>
      </c>
      <c r="L1146" t="s">
        <v>27</v>
      </c>
      <c r="M1146" t="str">
        <f>_xlfn.IFNA(VLOOKUP(K1146,'Mapping DEF'!A:C,2,0),"")</f>
        <v>Equity Derivatives</v>
      </c>
      <c r="N1146" t="str">
        <f>+_xlfn.IFNA(VLOOKUP(M1146,'Mapping DEF'!B:C,2,FALSE),"")</f>
        <v>Equity</v>
      </c>
      <c r="O1146" t="s">
        <v>2768</v>
      </c>
    </row>
    <row r="1147" spans="1:15" x14ac:dyDescent="0.25">
      <c r="A1147" s="4" t="s">
        <v>2362</v>
      </c>
      <c r="B1147" s="4" t="s">
        <v>2363</v>
      </c>
      <c r="C1147" s="5">
        <v>2212</v>
      </c>
      <c r="D1147" s="6" t="s">
        <v>2364</v>
      </c>
      <c r="E1147" t="s">
        <v>505</v>
      </c>
      <c r="F1147" t="s">
        <v>183</v>
      </c>
      <c r="G1147" t="str">
        <f>+VLOOKUP(F1147,[1]Explore!$B:$I,8,0)</f>
        <v>Equity Implied Volatility</v>
      </c>
      <c r="H1147" t="s">
        <v>184</v>
      </c>
      <c r="I1147" t="str">
        <f>+VLOOKUP(H1147,[1]Explore!$A:$I,9,0)</f>
        <v>Equity Implied Volatility</v>
      </c>
      <c r="J1147" t="str">
        <f t="shared" si="34"/>
        <v>OK</v>
      </c>
      <c r="K1147" t="str">
        <f t="shared" si="35"/>
        <v>Equity Implied Volatility</v>
      </c>
      <c r="L1147" t="s">
        <v>27</v>
      </c>
      <c r="M1147" t="str">
        <f>_xlfn.IFNA(VLOOKUP(K1147,'Mapping DEF'!A:C,2,0),"")</f>
        <v>Equity Derivatives</v>
      </c>
      <c r="N1147" t="str">
        <f>+_xlfn.IFNA(VLOOKUP(M1147,'Mapping DEF'!B:C,2,FALSE),"")</f>
        <v>Equity</v>
      </c>
      <c r="O1147" t="s">
        <v>2753</v>
      </c>
    </row>
    <row r="1148" spans="1:15" x14ac:dyDescent="0.25">
      <c r="A1148" s="4" t="s">
        <v>2362</v>
      </c>
      <c r="B1148" s="4" t="s">
        <v>2363</v>
      </c>
      <c r="C1148" s="5">
        <v>2212</v>
      </c>
      <c r="D1148" s="6" t="s">
        <v>2364</v>
      </c>
      <c r="E1148" t="s">
        <v>1553</v>
      </c>
      <c r="F1148" t="s">
        <v>2176</v>
      </c>
      <c r="G1148" t="str">
        <f>+VLOOKUP(F1148,[1]Explore!$B:$I,8,0)</f>
        <v>Industrials</v>
      </c>
      <c r="H1148" t="s">
        <v>113</v>
      </c>
      <c r="I1148" t="e">
        <f>+VLOOKUP(H1148,[1]Explore!$A:$I,9,0)</f>
        <v>#N/A</v>
      </c>
      <c r="J1148" t="str">
        <f t="shared" si="34"/>
        <v>OK</v>
      </c>
      <c r="K1148" t="str">
        <f t="shared" si="35"/>
        <v>Industrials</v>
      </c>
      <c r="L1148" t="s">
        <v>2141</v>
      </c>
      <c r="M1148" t="str">
        <f>_xlfn.IFNA(VLOOKUP(K1148,'Mapping DEF'!A:C,2,0),"")</f>
        <v>Industry Allocation</v>
      </c>
      <c r="N1148" t="str">
        <f>+_xlfn.IFNA(VLOOKUP(M1148,'Mapping DEF'!B:C,2,FALSE),"")</f>
        <v>Equity</v>
      </c>
      <c r="O1148" t="s">
        <v>2794</v>
      </c>
    </row>
    <row r="1149" spans="1:15" x14ac:dyDescent="0.25">
      <c r="A1149" s="4" t="s">
        <v>2362</v>
      </c>
      <c r="B1149" s="4" t="s">
        <v>2363</v>
      </c>
      <c r="C1149" s="5">
        <v>2212</v>
      </c>
      <c r="D1149" s="6" t="s">
        <v>2364</v>
      </c>
      <c r="E1149" t="s">
        <v>1554</v>
      </c>
      <c r="F1149" t="s">
        <v>1547</v>
      </c>
      <c r="G1149" t="str">
        <f>+VLOOKUP(F1149,[1]Explore!$B:$I,8,0)</f>
        <v>Spread Emerging Markets - Country</v>
      </c>
      <c r="H1149" t="s">
        <v>1548</v>
      </c>
      <c r="I1149" t="str">
        <f>+VLOOKUP(H1149,[1]Explore!$A:$I,9,0)</f>
        <v>Spread Emerging Markets - Country</v>
      </c>
      <c r="J1149" t="str">
        <f t="shared" si="34"/>
        <v>OK</v>
      </c>
      <c r="K1149" t="str">
        <f t="shared" si="35"/>
        <v>Spread Emerging Markets - Country</v>
      </c>
      <c r="L1149" t="s">
        <v>188</v>
      </c>
      <c r="M1149" t="str">
        <f>_xlfn.IFNA(VLOOKUP(K1149,'Mapping DEF'!A:C,2,0),"")</f>
        <v>Spread</v>
      </c>
      <c r="N1149" t="str">
        <f>+_xlfn.IFNA(VLOOKUP(M1149,'Mapping DEF'!B:C,2,FALSE),"")</f>
        <v>Spread</v>
      </c>
      <c r="O1149" t="s">
        <v>2804</v>
      </c>
    </row>
    <row r="1150" spans="1:15" x14ac:dyDescent="0.25">
      <c r="A1150" s="4" t="s">
        <v>2362</v>
      </c>
      <c r="B1150" s="4" t="s">
        <v>2363</v>
      </c>
      <c r="C1150" s="5">
        <v>2212</v>
      </c>
      <c r="D1150" s="6" t="s">
        <v>2364</v>
      </c>
      <c r="E1150" t="s">
        <v>1555</v>
      </c>
      <c r="F1150" t="s">
        <v>220</v>
      </c>
      <c r="G1150" t="str">
        <f>+VLOOKUP(F1150,[1]Explore!$B:$I,8,0)</f>
        <v>Corporate HY USD - Other</v>
      </c>
      <c r="H1150" t="s">
        <v>510</v>
      </c>
      <c r="I1150" t="str">
        <f>+VLOOKUP(H1150,[1]Explore!$A:$I,9,0)</f>
        <v>Corporate HY USD - Other</v>
      </c>
      <c r="J1150" t="str">
        <f t="shared" si="34"/>
        <v>OK</v>
      </c>
      <c r="K1150" t="str">
        <f t="shared" si="35"/>
        <v>Corporate HY USD - Other</v>
      </c>
      <c r="L1150" t="s">
        <v>188</v>
      </c>
      <c r="M1150" t="str">
        <f>_xlfn.IFNA(VLOOKUP(K1150,'Mapping DEF'!A:C,2,0),"")</f>
        <v>Spread</v>
      </c>
      <c r="N1150" t="str">
        <f>+_xlfn.IFNA(VLOOKUP(M1150,'Mapping DEF'!B:C,2,FALSE),"")</f>
        <v>Spread</v>
      </c>
      <c r="O1150" t="s">
        <v>2755</v>
      </c>
    </row>
    <row r="1151" spans="1:15" x14ac:dyDescent="0.25">
      <c r="A1151" s="4" t="s">
        <v>2365</v>
      </c>
      <c r="B1151" s="4" t="s">
        <v>2366</v>
      </c>
      <c r="C1151" s="5">
        <v>2106</v>
      </c>
      <c r="D1151" s="6" t="s">
        <v>2367</v>
      </c>
      <c r="E1151" t="s">
        <v>606</v>
      </c>
      <c r="F1151" t="s">
        <v>19</v>
      </c>
      <c r="G1151" t="str">
        <f>+VLOOKUP(F1151,[1]Explore!$B:$I,8,0)</f>
        <v>Govt USD</v>
      </c>
      <c r="H1151" t="s">
        <v>20</v>
      </c>
      <c r="I1151" t="str">
        <f>+VLOOKUP(H1151,[1]Explore!$A:$I,9,0)</f>
        <v>Govt USD</v>
      </c>
      <c r="J1151" t="str">
        <f t="shared" si="34"/>
        <v>OK</v>
      </c>
      <c r="K1151" t="str">
        <f t="shared" si="35"/>
        <v>Govt USD</v>
      </c>
      <c r="L1151" t="s">
        <v>2143</v>
      </c>
      <c r="M1151" t="str">
        <f>_xlfn.IFNA(VLOOKUP(K1151,'Mapping DEF'!A:C,2,0),"")</f>
        <v>Curve (Local)</v>
      </c>
      <c r="N1151" t="str">
        <f>+_xlfn.IFNA(VLOOKUP(M1151,'Mapping DEF'!B:C,2,FALSE),"")</f>
        <v>Term Structure</v>
      </c>
      <c r="O1151" t="s">
        <v>2752</v>
      </c>
    </row>
    <row r="1152" spans="1:15" x14ac:dyDescent="0.25">
      <c r="A1152" s="4" t="s">
        <v>2365</v>
      </c>
      <c r="B1152" s="4" t="s">
        <v>2366</v>
      </c>
      <c r="C1152" s="5">
        <v>2106</v>
      </c>
      <c r="D1152" s="6" t="s">
        <v>2367</v>
      </c>
      <c r="E1152" t="s">
        <v>1556</v>
      </c>
      <c r="F1152" t="s">
        <v>791</v>
      </c>
      <c r="G1152" t="str">
        <f>+VLOOKUP(F1152,[1]Explore!$B:$I,8,0)</f>
        <v>USD Inflation</v>
      </c>
      <c r="H1152" t="s">
        <v>792</v>
      </c>
      <c r="I1152" t="str">
        <f>+VLOOKUP(H1152,[1]Explore!$A:$I,9,0)</f>
        <v>USD Inflation</v>
      </c>
      <c r="J1152" t="str">
        <f t="shared" si="34"/>
        <v>OK</v>
      </c>
      <c r="K1152" t="str">
        <f t="shared" si="35"/>
        <v>USD Inflation</v>
      </c>
      <c r="L1152" t="s">
        <v>2143</v>
      </c>
      <c r="M1152" t="str">
        <f>_xlfn.IFNA(VLOOKUP(K1152,'Mapping DEF'!A:C,2,0),"")</f>
        <v>Inflation</v>
      </c>
      <c r="N1152" t="str">
        <f>+_xlfn.IFNA(VLOOKUP(M1152,'Mapping DEF'!B:C,2,FALSE),"")</f>
        <v>Other</v>
      </c>
      <c r="O1152" t="s">
        <v>2752</v>
      </c>
    </row>
    <row r="1153" spans="1:15" x14ac:dyDescent="0.25">
      <c r="A1153" s="4" t="s">
        <v>2365</v>
      </c>
      <c r="B1153" s="4" t="s">
        <v>2366</v>
      </c>
      <c r="C1153" s="5">
        <v>2106</v>
      </c>
      <c r="D1153" s="6" t="s">
        <v>2367</v>
      </c>
      <c r="E1153" t="s">
        <v>889</v>
      </c>
      <c r="F1153" t="s">
        <v>265</v>
      </c>
      <c r="G1153" t="str">
        <f>+VLOOKUP(F1153,[1]Explore!$B:$I,8,0)</f>
        <v>Alternative - Commodity</v>
      </c>
      <c r="H1153" t="s">
        <v>266</v>
      </c>
      <c r="I1153" t="str">
        <f>+VLOOKUP(H1153,[1]Explore!$A:$I,9,0)</f>
        <v>Alternative - Commodity</v>
      </c>
      <c r="J1153" t="str">
        <f t="shared" si="34"/>
        <v>OK</v>
      </c>
      <c r="K1153" t="str">
        <f t="shared" si="35"/>
        <v>Alternative - Commodity</v>
      </c>
      <c r="L1153" t="s">
        <v>2139</v>
      </c>
      <c r="M1153" t="str">
        <f>_xlfn.IFNA(VLOOKUP(K1153,'Mapping DEF'!A:C,2,0),"")</f>
        <v>Alternative</v>
      </c>
      <c r="N1153" t="str">
        <f>+_xlfn.IFNA(VLOOKUP(M1153,'Mapping DEF'!B:C,2,FALSE),"")</f>
        <v>Other</v>
      </c>
      <c r="O1153" t="s">
        <v>2794</v>
      </c>
    </row>
    <row r="1154" spans="1:15" x14ac:dyDescent="0.25">
      <c r="A1154" s="4" t="s">
        <v>2365</v>
      </c>
      <c r="B1154" s="4" t="s">
        <v>2366</v>
      </c>
      <c r="C1154" s="5">
        <v>2106</v>
      </c>
      <c r="D1154" s="6" t="s">
        <v>2367</v>
      </c>
      <c r="E1154" t="s">
        <v>1557</v>
      </c>
      <c r="F1154" t="s">
        <v>392</v>
      </c>
      <c r="G1154" t="str">
        <f>+VLOOKUP(F1154,[1]Explore!$B:$I,8,0)</f>
        <v>Equity Implied Volatility</v>
      </c>
      <c r="H1154" t="s">
        <v>392</v>
      </c>
      <c r="I1154" t="str">
        <f>+VLOOKUP(H1154,[1]Explore!$A:$I,9,0)</f>
        <v>Equity Implied Volatility</v>
      </c>
      <c r="J1154" t="str">
        <f t="shared" si="34"/>
        <v>OK</v>
      </c>
      <c r="K1154" t="str">
        <f t="shared" si="35"/>
        <v>Equity Implied Volatility</v>
      </c>
      <c r="L1154" t="s">
        <v>27</v>
      </c>
      <c r="M1154" t="str">
        <f>_xlfn.IFNA(VLOOKUP(K1154,'Mapping DEF'!A:C,2,0),"")</f>
        <v>Equity Derivatives</v>
      </c>
      <c r="N1154" t="str">
        <f>+_xlfn.IFNA(VLOOKUP(M1154,'Mapping DEF'!B:C,2,FALSE),"")</f>
        <v>Equity</v>
      </c>
      <c r="O1154" t="s">
        <v>2801</v>
      </c>
    </row>
    <row r="1155" spans="1:15" x14ac:dyDescent="0.25">
      <c r="A1155" s="4" t="s">
        <v>2365</v>
      </c>
      <c r="B1155" s="4" t="s">
        <v>2366</v>
      </c>
      <c r="C1155" s="5">
        <v>2106</v>
      </c>
      <c r="D1155" s="6" t="s">
        <v>2367</v>
      </c>
      <c r="E1155" t="s">
        <v>1558</v>
      </c>
      <c r="F1155" t="s">
        <v>1547</v>
      </c>
      <c r="G1155" t="str">
        <f>+VLOOKUP(F1155,[1]Explore!$B:$I,8,0)</f>
        <v>Spread Emerging Markets - Country</v>
      </c>
      <c r="H1155" t="s">
        <v>1548</v>
      </c>
      <c r="I1155" t="str">
        <f>+VLOOKUP(H1155,[1]Explore!$A:$I,9,0)</f>
        <v>Spread Emerging Markets - Country</v>
      </c>
      <c r="J1155" t="str">
        <f t="shared" ref="J1155:J1218" si="36">IF(AND(ISNA(G1155),ISNA(I1155)),"BOTH #N/A","OK")</f>
        <v>OK</v>
      </c>
      <c r="K1155" t="str">
        <f t="shared" ref="K1155:K1218" si="37">IFERROR(I1155, IFERROR(G1155, L1155))</f>
        <v>Spread Emerging Markets - Country</v>
      </c>
      <c r="L1155" t="s">
        <v>188</v>
      </c>
      <c r="M1155" t="str">
        <f>_xlfn.IFNA(VLOOKUP(K1155,'Mapping DEF'!A:C,2,0),"")</f>
        <v>Spread</v>
      </c>
      <c r="N1155" t="str">
        <f>+_xlfn.IFNA(VLOOKUP(M1155,'Mapping DEF'!B:C,2,FALSE),"")</f>
        <v>Spread</v>
      </c>
      <c r="O1155" t="s">
        <v>2843</v>
      </c>
    </row>
    <row r="1156" spans="1:15" x14ac:dyDescent="0.25">
      <c r="A1156" s="4" t="s">
        <v>2368</v>
      </c>
      <c r="B1156" s="4" t="s">
        <v>2369</v>
      </c>
      <c r="C1156" s="5">
        <v>2554</v>
      </c>
      <c r="D1156" s="6" t="s">
        <v>2370</v>
      </c>
      <c r="E1156" t="s">
        <v>1559</v>
      </c>
      <c r="F1156" t="s">
        <v>268</v>
      </c>
      <c r="G1156" t="str">
        <f>+VLOOKUP(F1156,[1]Explore!$B:$I,8,0)</f>
        <v>Alternative - Commodity</v>
      </c>
      <c r="H1156" t="s">
        <v>269</v>
      </c>
      <c r="I1156" t="str">
        <f>+VLOOKUP(H1156,[1]Explore!$A:$I,9,0)</f>
        <v>Alternative - Commodity</v>
      </c>
      <c r="J1156" t="str">
        <f t="shared" si="36"/>
        <v>OK</v>
      </c>
      <c r="K1156" t="str">
        <f t="shared" si="37"/>
        <v>Alternative - Commodity</v>
      </c>
      <c r="L1156" t="s">
        <v>2139</v>
      </c>
      <c r="M1156" t="str">
        <f>_xlfn.IFNA(VLOOKUP(K1156,'Mapping DEF'!A:C,2,0),"")</f>
        <v>Alternative</v>
      </c>
      <c r="N1156" t="str">
        <f>+_xlfn.IFNA(VLOOKUP(M1156,'Mapping DEF'!B:C,2,FALSE),"")</f>
        <v>Other</v>
      </c>
      <c r="O1156" t="s">
        <v>2819</v>
      </c>
    </row>
    <row r="1157" spans="1:15" x14ac:dyDescent="0.25">
      <c r="A1157" s="4" t="s">
        <v>2371</v>
      </c>
      <c r="B1157" s="4" t="s">
        <v>2372</v>
      </c>
      <c r="C1157" s="5">
        <v>2553</v>
      </c>
      <c r="D1157" s="6" t="s">
        <v>2373</v>
      </c>
      <c r="E1157" t="s">
        <v>1560</v>
      </c>
      <c r="F1157" t="s">
        <v>731</v>
      </c>
      <c r="G1157" t="str">
        <f>+VLOOKUP(F1157,[1]Explore!$B:$I,8,0)</f>
        <v>Alternative - Commodity</v>
      </c>
      <c r="H1157" t="s">
        <v>732</v>
      </c>
      <c r="I1157" t="str">
        <f>+VLOOKUP(H1157,[1]Explore!$A:$I,9,0)</f>
        <v>Alternative - Commodity</v>
      </c>
      <c r="J1157" t="str">
        <f t="shared" si="36"/>
        <v>OK</v>
      </c>
      <c r="K1157" t="str">
        <f t="shared" si="37"/>
        <v>Alternative - Commodity</v>
      </c>
      <c r="L1157" t="s">
        <v>2139</v>
      </c>
      <c r="M1157" t="str">
        <f>_xlfn.IFNA(VLOOKUP(K1157,'Mapping DEF'!A:C,2,0),"")</f>
        <v>Alternative</v>
      </c>
      <c r="N1157" t="str">
        <f>+_xlfn.IFNA(VLOOKUP(M1157,'Mapping DEF'!B:C,2,FALSE),"")</f>
        <v>Other</v>
      </c>
      <c r="O1157" t="s">
        <v>2862</v>
      </c>
    </row>
    <row r="1158" spans="1:15" x14ac:dyDescent="0.25">
      <c r="A1158" s="4" t="s">
        <v>2374</v>
      </c>
      <c r="B1158" s="4" t="s">
        <v>2375</v>
      </c>
      <c r="C1158" s="5">
        <v>2552</v>
      </c>
      <c r="D1158" s="6" t="s">
        <v>2376</v>
      </c>
      <c r="E1158" t="s">
        <v>1561</v>
      </c>
      <c r="F1158" t="s">
        <v>392</v>
      </c>
      <c r="G1158" t="str">
        <f>+VLOOKUP(F1158,[1]Explore!$B:$I,8,0)</f>
        <v>Equity Implied Volatility</v>
      </c>
      <c r="H1158" t="s">
        <v>392</v>
      </c>
      <c r="I1158" t="str">
        <f>+VLOOKUP(H1158,[1]Explore!$A:$I,9,0)</f>
        <v>Equity Implied Volatility</v>
      </c>
      <c r="J1158" t="str">
        <f t="shared" si="36"/>
        <v>OK</v>
      </c>
      <c r="K1158" t="str">
        <f t="shared" si="37"/>
        <v>Equity Implied Volatility</v>
      </c>
      <c r="L1158" t="s">
        <v>27</v>
      </c>
      <c r="M1158" t="str">
        <f>_xlfn.IFNA(VLOOKUP(K1158,'Mapping DEF'!A:C,2,0),"")</f>
        <v>Equity Derivatives</v>
      </c>
      <c r="N1158" t="str">
        <f>+_xlfn.IFNA(VLOOKUP(M1158,'Mapping DEF'!B:C,2,FALSE),"")</f>
        <v>Equity</v>
      </c>
      <c r="O1158" t="s">
        <v>2863</v>
      </c>
    </row>
    <row r="1159" spans="1:15" x14ac:dyDescent="0.25">
      <c r="A1159" s="4" t="s">
        <v>2377</v>
      </c>
      <c r="B1159" s="4" t="s">
        <v>2378</v>
      </c>
      <c r="C1159" s="5">
        <v>2547</v>
      </c>
      <c r="D1159" s="6" t="s">
        <v>2379</v>
      </c>
      <c r="E1159" t="s">
        <v>1562</v>
      </c>
      <c r="F1159" t="s">
        <v>966</v>
      </c>
      <c r="G1159" t="str">
        <f>+VLOOKUP(F1159,[1]Explore!$B:$I,8,0)</f>
        <v>EUR Inflation</v>
      </c>
      <c r="H1159" t="s">
        <v>967</v>
      </c>
      <c r="I1159" t="str">
        <f>+VLOOKUP(H1159,[1]Explore!$A:$I,9,0)</f>
        <v>EUR Inflation</v>
      </c>
      <c r="J1159" t="str">
        <f t="shared" si="36"/>
        <v>OK</v>
      </c>
      <c r="K1159" t="str">
        <f t="shared" si="37"/>
        <v>EUR Inflation</v>
      </c>
      <c r="L1159" t="s">
        <v>2143</v>
      </c>
      <c r="M1159" t="str">
        <f>_xlfn.IFNA(VLOOKUP(K1159,'Mapping DEF'!A:C,2,0),"")</f>
        <v>Inflation</v>
      </c>
      <c r="N1159" t="str">
        <f>+_xlfn.IFNA(VLOOKUP(M1159,'Mapping DEF'!B:C,2,FALSE),"")</f>
        <v>Other</v>
      </c>
      <c r="O1159" t="s">
        <v>2818</v>
      </c>
    </row>
    <row r="1160" spans="1:15" x14ac:dyDescent="0.25">
      <c r="A1160" s="4" t="s">
        <v>2380</v>
      </c>
      <c r="B1160" s="4" t="s">
        <v>2381</v>
      </c>
      <c r="C1160" s="5">
        <v>2550</v>
      </c>
      <c r="D1160" s="6" t="s">
        <v>2382</v>
      </c>
      <c r="E1160" t="s">
        <v>1563</v>
      </c>
      <c r="F1160" t="s">
        <v>627</v>
      </c>
      <c r="G1160" t="str">
        <f>+VLOOKUP(F1160,[1]Explore!$B:$I,8,0)</f>
        <v>Corporate IG EUR - Other</v>
      </c>
      <c r="H1160" t="s">
        <v>628</v>
      </c>
      <c r="I1160" t="str">
        <f>+VLOOKUP(H1160,[1]Explore!$A:$I,9,0)</f>
        <v>Corporate IG EUR - Other</v>
      </c>
      <c r="J1160" t="str">
        <f t="shared" si="36"/>
        <v>OK</v>
      </c>
      <c r="K1160" t="str">
        <f t="shared" si="37"/>
        <v>Corporate IG EUR - Other</v>
      </c>
      <c r="L1160" t="s">
        <v>188</v>
      </c>
      <c r="M1160" t="str">
        <f>_xlfn.IFNA(VLOOKUP(K1160,'Mapping DEF'!A:C,2,0),"")</f>
        <v>Spread</v>
      </c>
      <c r="N1160" t="str">
        <f>+_xlfn.IFNA(VLOOKUP(M1160,'Mapping DEF'!B:C,2,FALSE),"")</f>
        <v>Spread</v>
      </c>
      <c r="O1160" t="s">
        <v>2868</v>
      </c>
    </row>
    <row r="1161" spans="1:15" x14ac:dyDescent="0.25">
      <c r="A1161" s="4" t="s">
        <v>2383</v>
      </c>
      <c r="B1161" s="4" t="s">
        <v>2384</v>
      </c>
      <c r="C1161" s="5">
        <v>2541</v>
      </c>
      <c r="D1161" s="6" t="s">
        <v>2385</v>
      </c>
      <c r="E1161" t="s">
        <v>1564</v>
      </c>
      <c r="F1161" t="s">
        <v>1565</v>
      </c>
      <c r="G1161" t="str">
        <f>+VLOOKUP(F1161,[1]Explore!$B:$I,8,0)</f>
        <v>Equity Implied Volatility</v>
      </c>
      <c r="H1161" t="s">
        <v>1566</v>
      </c>
      <c r="I1161" t="str">
        <f>+VLOOKUP(H1161,[1]Explore!$A:$I,9,0)</f>
        <v>Equity Implied Volatility</v>
      </c>
      <c r="J1161" t="str">
        <f t="shared" si="36"/>
        <v>OK</v>
      </c>
      <c r="K1161" t="str">
        <f t="shared" si="37"/>
        <v>Equity Implied Volatility</v>
      </c>
      <c r="L1161" t="s">
        <v>27</v>
      </c>
      <c r="M1161" t="str">
        <f>_xlfn.IFNA(VLOOKUP(K1161,'Mapping DEF'!A:C,2,0),"")</f>
        <v>Equity Derivatives</v>
      </c>
      <c r="N1161" t="str">
        <f>+_xlfn.IFNA(VLOOKUP(M1161,'Mapping DEF'!B:C,2,FALSE),"")</f>
        <v>Equity</v>
      </c>
      <c r="O1161" t="s">
        <v>2857</v>
      </c>
    </row>
    <row r="1162" spans="1:15" x14ac:dyDescent="0.25">
      <c r="A1162" s="4" t="s">
        <v>2386</v>
      </c>
      <c r="B1162" s="4" t="s">
        <v>2387</v>
      </c>
      <c r="C1162" s="5">
        <v>2544</v>
      </c>
      <c r="D1162" s="6" t="s">
        <v>2388</v>
      </c>
      <c r="E1162" t="s">
        <v>1567</v>
      </c>
      <c r="F1162" t="s">
        <v>315</v>
      </c>
      <c r="G1162" t="str">
        <f>+VLOOKUP(F1162,[1]Explore!$B:$I,8,0)</f>
        <v>Govt EUR (Ger)</v>
      </c>
      <c r="H1162" t="s">
        <v>316</v>
      </c>
      <c r="I1162" t="str">
        <f>+VLOOKUP(H1162,[1]Explore!$A:$I,9,0)</f>
        <v>Govt EUR (Ger)</v>
      </c>
      <c r="J1162" t="str">
        <f t="shared" si="36"/>
        <v>OK</v>
      </c>
      <c r="K1162" t="str">
        <f t="shared" si="37"/>
        <v>Govt EUR (Ger)</v>
      </c>
      <c r="L1162" t="s">
        <v>2143</v>
      </c>
      <c r="M1162" t="str">
        <f>_xlfn.IFNA(VLOOKUP(K1162,'Mapping DEF'!A:C,2,0),"")</f>
        <v>Curve (Local)</v>
      </c>
      <c r="N1162" t="str">
        <f>+_xlfn.IFNA(VLOOKUP(M1162,'Mapping DEF'!B:C,2,FALSE),"")</f>
        <v>Term Structure</v>
      </c>
      <c r="O1162" t="s">
        <v>2765</v>
      </c>
    </row>
    <row r="1163" spans="1:15" x14ac:dyDescent="0.25">
      <c r="A1163" s="4" t="s">
        <v>2389</v>
      </c>
      <c r="B1163" s="4" t="s">
        <v>2390</v>
      </c>
      <c r="C1163" s="5">
        <v>2542</v>
      </c>
      <c r="D1163" s="6" t="s">
        <v>2391</v>
      </c>
      <c r="E1163" t="s">
        <v>1568</v>
      </c>
      <c r="F1163" t="s">
        <v>1471</v>
      </c>
      <c r="G1163" t="str">
        <f>+VLOOKUP(F1163,[1]Explore!$B:$I,8,0)</f>
        <v>Equity Implied Volatility</v>
      </c>
      <c r="H1163" t="s">
        <v>1472</v>
      </c>
      <c r="I1163" t="str">
        <f>+VLOOKUP(H1163,[1]Explore!$A:$I,9,0)</f>
        <v>Equity Implied Volatility</v>
      </c>
      <c r="J1163" t="str">
        <f t="shared" si="36"/>
        <v>OK</v>
      </c>
      <c r="K1163" t="str">
        <f t="shared" si="37"/>
        <v>Equity Implied Volatility</v>
      </c>
      <c r="L1163" t="s">
        <v>27</v>
      </c>
      <c r="M1163" t="str">
        <f>_xlfn.IFNA(VLOOKUP(K1163,'Mapping DEF'!A:C,2,0),"")</f>
        <v>Equity Derivatives</v>
      </c>
      <c r="N1163" t="str">
        <f>+_xlfn.IFNA(VLOOKUP(M1163,'Mapping DEF'!B:C,2,FALSE),"")</f>
        <v>Equity</v>
      </c>
      <c r="O1163" t="s">
        <v>2840</v>
      </c>
    </row>
    <row r="1164" spans="1:15" x14ac:dyDescent="0.25">
      <c r="A1164" s="4" t="s">
        <v>2392</v>
      </c>
      <c r="B1164" s="4" t="s">
        <v>2393</v>
      </c>
      <c r="C1164" s="5">
        <v>2548</v>
      </c>
      <c r="D1164" s="6" t="s">
        <v>2394</v>
      </c>
      <c r="E1164" t="s">
        <v>1572</v>
      </c>
      <c r="F1164" t="s">
        <v>1573</v>
      </c>
      <c r="G1164" t="str">
        <f>+VLOOKUP(F1164,[1]Explore!$B:$I,8,0)</f>
        <v>Other - Inflation</v>
      </c>
      <c r="H1164" t="s">
        <v>1574</v>
      </c>
      <c r="I1164" t="str">
        <f>+VLOOKUP(H1164,[1]Explore!$A:$I,9,0)</f>
        <v>Other - Inflation</v>
      </c>
      <c r="J1164" t="str">
        <f t="shared" si="36"/>
        <v>OK</v>
      </c>
      <c r="K1164" t="str">
        <f t="shared" si="37"/>
        <v>Other - Inflation</v>
      </c>
      <c r="L1164" t="s">
        <v>2143</v>
      </c>
      <c r="M1164" t="str">
        <f>_xlfn.IFNA(VLOOKUP(K1164,'Mapping DEF'!A:C,2,0),"")</f>
        <v>Other</v>
      </c>
      <c r="N1164" t="str">
        <f>+_xlfn.IFNA(VLOOKUP(M1164,'Mapping DEF'!B:C,2,FALSE),"")</f>
        <v>Other</v>
      </c>
      <c r="O1164" t="s">
        <v>2800</v>
      </c>
    </row>
    <row r="1165" spans="1:15" x14ac:dyDescent="0.25">
      <c r="A1165" s="4" t="s">
        <v>2395</v>
      </c>
      <c r="B1165" s="4" t="s">
        <v>2396</v>
      </c>
      <c r="C1165" s="5">
        <v>2545</v>
      </c>
      <c r="D1165" s="6" t="s">
        <v>2397</v>
      </c>
      <c r="E1165" t="s">
        <v>1575</v>
      </c>
      <c r="F1165" t="s">
        <v>1350</v>
      </c>
      <c r="G1165" t="str">
        <f>+VLOOKUP(F1165,[1]Explore!$B:$I,8,0)</f>
        <v>Govt Developed Other (AU, GB, JP, ...)</v>
      </c>
      <c r="H1165" t="s">
        <v>1351</v>
      </c>
      <c r="I1165" t="str">
        <f>+VLOOKUP(H1165,[1]Explore!$A:$I,9,0)</f>
        <v>Govt Developed Other (AU, GB, JP, ...)</v>
      </c>
      <c r="J1165" t="str">
        <f t="shared" si="36"/>
        <v>OK</v>
      </c>
      <c r="K1165" t="str">
        <f t="shared" si="37"/>
        <v>Govt Developed Other (AU, GB, JP, ...)</v>
      </c>
      <c r="L1165" t="s">
        <v>2143</v>
      </c>
      <c r="M1165" t="str">
        <f>_xlfn.IFNA(VLOOKUP(K1165,'Mapping DEF'!A:C,2,0),"")</f>
        <v>Curve (Local)</v>
      </c>
      <c r="N1165" t="str">
        <f>+_xlfn.IFNA(VLOOKUP(M1165,'Mapping DEF'!B:C,2,FALSE),"")</f>
        <v>Term Structure</v>
      </c>
      <c r="O1165" t="s">
        <v>2797</v>
      </c>
    </row>
    <row r="1166" spans="1:15" x14ac:dyDescent="0.25">
      <c r="A1166" s="4" t="s">
        <v>2398</v>
      </c>
      <c r="B1166" s="4" t="s">
        <v>2399</v>
      </c>
      <c r="C1166" s="5">
        <v>2540</v>
      </c>
      <c r="D1166" s="6" t="s">
        <v>2400</v>
      </c>
      <c r="E1166" t="s">
        <v>1576</v>
      </c>
      <c r="F1166" t="s">
        <v>2156</v>
      </c>
      <c r="G1166" t="str">
        <f>+VLOOKUP(F1166,[1]Explore!$B:$I,8,0)</f>
        <v>Equity Implied Volatility</v>
      </c>
      <c r="H1166" t="s">
        <v>141</v>
      </c>
      <c r="I1166" t="str">
        <f>+VLOOKUP(H1166,[1]Explore!$A:$I,9,0)</f>
        <v>Equity Implied Volatility</v>
      </c>
      <c r="J1166" t="str">
        <f t="shared" si="36"/>
        <v>OK</v>
      </c>
      <c r="K1166" t="str">
        <f t="shared" si="37"/>
        <v>Equity Implied Volatility</v>
      </c>
      <c r="L1166" t="s">
        <v>27</v>
      </c>
      <c r="M1166" t="str">
        <f>_xlfn.IFNA(VLOOKUP(K1166,'Mapping DEF'!A:C,2,0),"")</f>
        <v>Equity Derivatives</v>
      </c>
      <c r="N1166" t="str">
        <f>+_xlfn.IFNA(VLOOKUP(M1166,'Mapping DEF'!B:C,2,FALSE),"")</f>
        <v>Equity</v>
      </c>
      <c r="O1166" t="s">
        <v>2864</v>
      </c>
    </row>
    <row r="1167" spans="1:15" x14ac:dyDescent="0.25">
      <c r="A1167" s="4" t="s">
        <v>2401</v>
      </c>
      <c r="B1167" s="4" t="s">
        <v>2402</v>
      </c>
      <c r="C1167" s="5">
        <v>2546</v>
      </c>
      <c r="D1167" s="6" t="s">
        <v>2403</v>
      </c>
      <c r="E1167" t="s">
        <v>1577</v>
      </c>
      <c r="F1167" t="s">
        <v>258</v>
      </c>
      <c r="G1167" t="str">
        <f>+VLOOKUP(F1167,[1]Explore!$B:$I,8,0)</f>
        <v>USD Inflation</v>
      </c>
      <c r="H1167" t="s">
        <v>259</v>
      </c>
      <c r="I1167" t="str">
        <f>+VLOOKUP(H1167,[1]Explore!$A:$I,9,0)</f>
        <v>USD Inflation</v>
      </c>
      <c r="J1167" t="str">
        <f t="shared" si="36"/>
        <v>OK</v>
      </c>
      <c r="K1167" t="str">
        <f t="shared" si="37"/>
        <v>USD Inflation</v>
      </c>
      <c r="L1167" t="s">
        <v>2143</v>
      </c>
      <c r="M1167" t="str">
        <f>_xlfn.IFNA(VLOOKUP(K1167,'Mapping DEF'!A:C,2,0),"")</f>
        <v>Inflation</v>
      </c>
      <c r="N1167" t="str">
        <f>+_xlfn.IFNA(VLOOKUP(M1167,'Mapping DEF'!B:C,2,FALSE),"")</f>
        <v>Other</v>
      </c>
      <c r="O1167" t="s">
        <v>2752</v>
      </c>
    </row>
    <row r="1168" spans="1:15" x14ac:dyDescent="0.25">
      <c r="A1168" s="4" t="s">
        <v>2404</v>
      </c>
      <c r="B1168" s="4" t="s">
        <v>2405</v>
      </c>
      <c r="C1168" s="5">
        <v>2549</v>
      </c>
      <c r="D1168" s="6" t="s">
        <v>2406</v>
      </c>
      <c r="E1168" t="s">
        <v>1578</v>
      </c>
      <c r="F1168" t="s">
        <v>271</v>
      </c>
      <c r="G1168" t="str">
        <f>+VLOOKUP(F1168,[1]Explore!$B:$I,8,0)</f>
        <v>Corporate IG USD - Other</v>
      </c>
      <c r="H1168" t="s">
        <v>272</v>
      </c>
      <c r="I1168" t="str">
        <f>+VLOOKUP(H1168,[1]Explore!$A:$I,9,0)</f>
        <v>Corporate IG USD - Other</v>
      </c>
      <c r="J1168" t="str">
        <f t="shared" si="36"/>
        <v>OK</v>
      </c>
      <c r="K1168" t="str">
        <f t="shared" si="37"/>
        <v>Corporate IG USD - Other</v>
      </c>
      <c r="L1168" t="s">
        <v>2650</v>
      </c>
      <c r="M1168" t="str">
        <f>_xlfn.IFNA(VLOOKUP(K1168,'Mapping DEF'!A:C,2,0),"")</f>
        <v>Spread</v>
      </c>
      <c r="N1168" t="str">
        <f>+_xlfn.IFNA(VLOOKUP(M1168,'Mapping DEF'!B:C,2,FALSE),"")</f>
        <v>Spread</v>
      </c>
      <c r="O1168" t="s">
        <v>2869</v>
      </c>
    </row>
    <row r="1169" spans="1:15" x14ac:dyDescent="0.25">
      <c r="A1169" s="4" t="s">
        <v>2407</v>
      </c>
      <c r="B1169" s="4" t="s">
        <v>2408</v>
      </c>
      <c r="C1169" s="5">
        <v>2551</v>
      </c>
      <c r="D1169" s="6" t="s">
        <v>2409</v>
      </c>
      <c r="E1169" t="s">
        <v>1579</v>
      </c>
      <c r="F1169" t="s">
        <v>206</v>
      </c>
      <c r="G1169" t="e">
        <f>+VLOOKUP(F1169,[1]Explore!$B:$I,8,0)</f>
        <v>#N/A</v>
      </c>
      <c r="H1169" t="s">
        <v>206</v>
      </c>
      <c r="I1169" t="e">
        <f>+VLOOKUP(H1169,[1]Explore!$A:$I,9,0)</f>
        <v>#N/A</v>
      </c>
      <c r="J1169" t="str">
        <f t="shared" si="36"/>
        <v>BOTH #N/A</v>
      </c>
      <c r="K1169" t="str">
        <f t="shared" si="37"/>
        <v>Dollar Index</v>
      </c>
      <c r="L1169" t="s">
        <v>2930</v>
      </c>
      <c r="M1169" t="str">
        <f>_xlfn.IFNA(VLOOKUP(K1169,'Mapping DEF'!A:C,2,0),"")</f>
        <v>Index Level</v>
      </c>
      <c r="N1169" t="str">
        <f>+_xlfn.IFNA(VLOOKUP(M1169,'Mapping DEF'!B:C,2,FALSE),"")</f>
        <v>Other</v>
      </c>
      <c r="O1169" t="s">
        <v>2763</v>
      </c>
    </row>
    <row r="1170" spans="1:15" x14ac:dyDescent="0.25">
      <c r="A1170" s="4" t="s">
        <v>2410</v>
      </c>
      <c r="B1170" s="4" t="s">
        <v>2411</v>
      </c>
      <c r="C1170" s="5">
        <v>2543</v>
      </c>
      <c r="D1170" s="6" t="s">
        <v>2412</v>
      </c>
      <c r="E1170" t="s">
        <v>1580</v>
      </c>
      <c r="F1170" t="s">
        <v>19</v>
      </c>
      <c r="G1170" t="str">
        <f>+VLOOKUP(F1170,[1]Explore!$B:$I,8,0)</f>
        <v>Govt USD</v>
      </c>
      <c r="H1170" t="s">
        <v>20</v>
      </c>
      <c r="I1170" t="str">
        <f>+VLOOKUP(H1170,[1]Explore!$A:$I,9,0)</f>
        <v>Govt USD</v>
      </c>
      <c r="J1170" t="str">
        <f t="shared" si="36"/>
        <v>OK</v>
      </c>
      <c r="K1170" t="str">
        <f t="shared" si="37"/>
        <v>Govt USD</v>
      </c>
      <c r="L1170" t="s">
        <v>2143</v>
      </c>
      <c r="M1170" t="str">
        <f>_xlfn.IFNA(VLOOKUP(K1170,'Mapping DEF'!A:C,2,0),"")</f>
        <v>Curve (Local)</v>
      </c>
      <c r="N1170" t="str">
        <f>+_xlfn.IFNA(VLOOKUP(M1170,'Mapping DEF'!B:C,2,FALSE),"")</f>
        <v>Term Structure</v>
      </c>
      <c r="O1170" t="s">
        <v>2854</v>
      </c>
    </row>
    <row r="1171" spans="1:15" x14ac:dyDescent="0.25">
      <c r="A1171" s="4" t="s">
        <v>2413</v>
      </c>
      <c r="B1171" s="4" t="s">
        <v>2414</v>
      </c>
      <c r="C1171" s="5">
        <v>2539</v>
      </c>
      <c r="D1171" s="6" t="s">
        <v>2415</v>
      </c>
      <c r="E1171" t="s">
        <v>1581</v>
      </c>
      <c r="F1171" t="s">
        <v>183</v>
      </c>
      <c r="G1171" t="str">
        <f>+VLOOKUP(F1171,[1]Explore!$B:$I,8,0)</f>
        <v>Equity Implied Volatility</v>
      </c>
      <c r="H1171" t="s">
        <v>184</v>
      </c>
      <c r="I1171" t="str">
        <f>+VLOOKUP(H1171,[1]Explore!$A:$I,9,0)</f>
        <v>Equity Implied Volatility</v>
      </c>
      <c r="J1171" t="str">
        <f t="shared" si="36"/>
        <v>OK</v>
      </c>
      <c r="K1171" t="str">
        <f t="shared" si="37"/>
        <v>Equity Implied Volatility</v>
      </c>
      <c r="L1171" t="s">
        <v>27</v>
      </c>
      <c r="M1171" t="str">
        <f>_xlfn.IFNA(VLOOKUP(K1171,'Mapping DEF'!A:C,2,0),"")</f>
        <v>Equity Derivatives</v>
      </c>
      <c r="N1171" t="str">
        <f>+_xlfn.IFNA(VLOOKUP(M1171,'Mapping DEF'!B:C,2,FALSE),"")</f>
        <v>Equity</v>
      </c>
      <c r="O1171" t="s">
        <v>2753</v>
      </c>
    </row>
    <row r="1172" spans="1:15" x14ac:dyDescent="0.25">
      <c r="A1172" s="4" t="s">
        <v>2416</v>
      </c>
      <c r="B1172" s="4" t="s">
        <v>2417</v>
      </c>
      <c r="C1172" s="5">
        <v>2495</v>
      </c>
      <c r="D1172" s="6" t="s">
        <v>2418</v>
      </c>
      <c r="E1172" t="s">
        <v>1508</v>
      </c>
      <c r="F1172" t="s">
        <v>19</v>
      </c>
      <c r="G1172" t="str">
        <f>+VLOOKUP(F1172,[1]Explore!$B:$I,8,0)</f>
        <v>Govt USD</v>
      </c>
      <c r="H1172" t="s">
        <v>20</v>
      </c>
      <c r="I1172" t="str">
        <f>+VLOOKUP(H1172,[1]Explore!$A:$I,9,0)</f>
        <v>Govt USD</v>
      </c>
      <c r="J1172" t="str">
        <f t="shared" si="36"/>
        <v>OK</v>
      </c>
      <c r="K1172" t="str">
        <f t="shared" si="37"/>
        <v>Govt USD</v>
      </c>
      <c r="L1172" t="s">
        <v>2143</v>
      </c>
      <c r="M1172" t="str">
        <f>_xlfn.IFNA(VLOOKUP(K1172,'Mapping DEF'!A:C,2,0),"")</f>
        <v>Curve (Local)</v>
      </c>
      <c r="N1172" t="str">
        <f>+_xlfn.IFNA(VLOOKUP(M1172,'Mapping DEF'!B:C,2,FALSE),"")</f>
        <v>Term Structure</v>
      </c>
      <c r="O1172" t="s">
        <v>2782</v>
      </c>
    </row>
    <row r="1173" spans="1:15" x14ac:dyDescent="0.25">
      <c r="A1173" s="4" t="s">
        <v>2416</v>
      </c>
      <c r="B1173" s="4" t="s">
        <v>2417</v>
      </c>
      <c r="C1173" s="5">
        <v>2495</v>
      </c>
      <c r="D1173" s="6" t="s">
        <v>2418</v>
      </c>
      <c r="E1173" t="s">
        <v>1582</v>
      </c>
      <c r="F1173" t="s">
        <v>753</v>
      </c>
      <c r="G1173" t="e">
        <f>+VLOOKUP(F1173,[1]Explore!$B:$I,8,0)</f>
        <v>#N/A</v>
      </c>
      <c r="H1173" t="s">
        <v>754</v>
      </c>
      <c r="I1173" t="e">
        <f>+VLOOKUP(H1173,[1]Explore!$A:$I,9,0)</f>
        <v>#N/A</v>
      </c>
      <c r="J1173" t="str">
        <f t="shared" si="36"/>
        <v>BOTH #N/A</v>
      </c>
      <c r="K1173" t="str">
        <f t="shared" si="37"/>
        <v>Corporate IG USD - Other</v>
      </c>
      <c r="L1173" t="s">
        <v>2650</v>
      </c>
      <c r="M1173" t="str">
        <f>_xlfn.IFNA(VLOOKUP(K1173,'Mapping DEF'!A:C,2,0),"")</f>
        <v>Spread</v>
      </c>
      <c r="N1173" t="str">
        <f>+_xlfn.IFNA(VLOOKUP(M1173,'Mapping DEF'!B:C,2,FALSE),"")</f>
        <v>Spread</v>
      </c>
      <c r="O1173" t="s">
        <v>2841</v>
      </c>
    </row>
    <row r="1174" spans="1:15" x14ac:dyDescent="0.25">
      <c r="A1174" s="4" t="s">
        <v>2416</v>
      </c>
      <c r="B1174" s="4" t="s">
        <v>2417</v>
      </c>
      <c r="C1174" s="5">
        <v>2495</v>
      </c>
      <c r="D1174" s="6" t="s">
        <v>2418</v>
      </c>
      <c r="E1174" t="s">
        <v>1583</v>
      </c>
      <c r="F1174" t="s">
        <v>1344</v>
      </c>
      <c r="G1174" t="str">
        <f>+VLOOKUP(F1174,[1]Explore!$B:$I,8,0)</f>
        <v>Spread Govt Peripheral EUR (ex ITA)</v>
      </c>
      <c r="H1174" t="s">
        <v>1345</v>
      </c>
      <c r="I1174" t="str">
        <f>+VLOOKUP(H1174,[1]Explore!$A:$I,9,0)</f>
        <v>Spread Govt Peripheral EUR (ex ITA)</v>
      </c>
      <c r="J1174" t="str">
        <f t="shared" si="36"/>
        <v>OK</v>
      </c>
      <c r="K1174" t="str">
        <f t="shared" si="37"/>
        <v>Spread Govt Peripheral EUR (ex ITA)</v>
      </c>
      <c r="L1174" t="s">
        <v>188</v>
      </c>
      <c r="M1174" t="str">
        <f>_xlfn.IFNA(VLOOKUP(K1174,'Mapping DEF'!A:C,2,0),"")</f>
        <v>Spread Govt</v>
      </c>
      <c r="N1174" t="str">
        <f>+_xlfn.IFNA(VLOOKUP(M1174,'Mapping DEF'!B:C,2,FALSE),"")</f>
        <v>Term Structure</v>
      </c>
      <c r="O1174" t="s">
        <v>2779</v>
      </c>
    </row>
    <row r="1175" spans="1:15" x14ac:dyDescent="0.25">
      <c r="A1175" s="4" t="s">
        <v>2416</v>
      </c>
      <c r="B1175" s="4" t="s">
        <v>2417</v>
      </c>
      <c r="C1175" s="5">
        <v>2495</v>
      </c>
      <c r="D1175" s="6" t="s">
        <v>2418</v>
      </c>
      <c r="E1175" t="s">
        <v>1584</v>
      </c>
      <c r="F1175" t="s">
        <v>2156</v>
      </c>
      <c r="G1175" t="str">
        <f>+VLOOKUP(F1175,[1]Explore!$B:$I,8,0)</f>
        <v>Equity Implied Volatility</v>
      </c>
      <c r="H1175" t="s">
        <v>141</v>
      </c>
      <c r="I1175" t="str">
        <f>+VLOOKUP(H1175,[1]Explore!$A:$I,9,0)</f>
        <v>Equity Implied Volatility</v>
      </c>
      <c r="J1175" t="str">
        <f t="shared" si="36"/>
        <v>OK</v>
      </c>
      <c r="K1175" t="str">
        <f t="shared" si="37"/>
        <v>Equity Implied Volatility</v>
      </c>
      <c r="L1175" t="s">
        <v>27</v>
      </c>
      <c r="M1175" t="str">
        <f>_xlfn.IFNA(VLOOKUP(K1175,'Mapping DEF'!A:C,2,0),"")</f>
        <v>Equity Derivatives</v>
      </c>
      <c r="N1175" t="str">
        <f>+_xlfn.IFNA(VLOOKUP(M1175,'Mapping DEF'!B:C,2,FALSE),"")</f>
        <v>Equity</v>
      </c>
      <c r="O1175" t="s">
        <v>2759</v>
      </c>
    </row>
    <row r="1176" spans="1:15" x14ac:dyDescent="0.25">
      <c r="A1176" s="4" t="s">
        <v>2416</v>
      </c>
      <c r="B1176" s="4" t="s">
        <v>2417</v>
      </c>
      <c r="C1176" s="5">
        <v>2495</v>
      </c>
      <c r="D1176" s="6" t="s">
        <v>2418</v>
      </c>
      <c r="E1176" t="s">
        <v>1585</v>
      </c>
      <c r="F1176" t="s">
        <v>1586</v>
      </c>
      <c r="G1176" t="str">
        <f>+VLOOKUP(F1176,[1]Explore!$B:$I,8,0)</f>
        <v>Local Styles</v>
      </c>
      <c r="H1176" t="s">
        <v>1587</v>
      </c>
      <c r="I1176" t="e">
        <f>+VLOOKUP(H1176,[1]Explore!$A:$I,9,0)</f>
        <v>#N/A</v>
      </c>
      <c r="J1176" t="str">
        <f t="shared" si="36"/>
        <v>OK</v>
      </c>
      <c r="K1176" t="str">
        <f t="shared" si="37"/>
        <v>Local Styles</v>
      </c>
      <c r="L1176" t="s">
        <v>2145</v>
      </c>
      <c r="M1176" t="str">
        <f>_xlfn.IFNA(VLOOKUP(K1176,'Mapping DEF'!A:C,2,0),"")</f>
        <v>Style</v>
      </c>
      <c r="N1176" t="str">
        <f>+_xlfn.IFNA(VLOOKUP(M1176,'Mapping DEF'!B:C,2,FALSE),"")</f>
        <v>Equity</v>
      </c>
      <c r="O1176" t="s">
        <v>2820</v>
      </c>
    </row>
    <row r="1177" spans="1:15" x14ac:dyDescent="0.25">
      <c r="A1177" s="4" t="s">
        <v>2416</v>
      </c>
      <c r="B1177" s="4" t="s">
        <v>2417</v>
      </c>
      <c r="C1177" s="5">
        <v>2495</v>
      </c>
      <c r="D1177" s="6" t="s">
        <v>2418</v>
      </c>
      <c r="E1177" t="s">
        <v>1588</v>
      </c>
      <c r="F1177" t="s">
        <v>1586</v>
      </c>
      <c r="G1177" t="str">
        <f>+VLOOKUP(F1177,[1]Explore!$B:$I,8,0)</f>
        <v>Local Styles</v>
      </c>
      <c r="H1177" t="s">
        <v>1589</v>
      </c>
      <c r="I1177" t="e">
        <f>+VLOOKUP(H1177,[1]Explore!$A:$I,9,0)</f>
        <v>#N/A</v>
      </c>
      <c r="J1177" t="str">
        <f t="shared" si="36"/>
        <v>OK</v>
      </c>
      <c r="K1177" t="str">
        <f t="shared" si="37"/>
        <v>Local Styles</v>
      </c>
      <c r="L1177" t="s">
        <v>2145</v>
      </c>
      <c r="M1177" t="str">
        <f>_xlfn.IFNA(VLOOKUP(K1177,'Mapping DEF'!A:C,2,0),"")</f>
        <v>Style</v>
      </c>
      <c r="N1177" t="str">
        <f>+_xlfn.IFNA(VLOOKUP(M1177,'Mapping DEF'!B:C,2,FALSE),"")</f>
        <v>Equity</v>
      </c>
      <c r="O1177" t="s">
        <v>2820</v>
      </c>
    </row>
    <row r="1178" spans="1:15" x14ac:dyDescent="0.25">
      <c r="A1178" s="4" t="s">
        <v>2416</v>
      </c>
      <c r="B1178" s="4" t="s">
        <v>2417</v>
      </c>
      <c r="C1178" s="5">
        <v>2495</v>
      </c>
      <c r="D1178" s="6" t="s">
        <v>2418</v>
      </c>
      <c r="E1178" t="s">
        <v>1590</v>
      </c>
      <c r="F1178" t="s">
        <v>1591</v>
      </c>
      <c r="G1178" t="str">
        <f>+VLOOKUP(F1178,[1]Explore!$B:$I,8,0)</f>
        <v>Money Market</v>
      </c>
      <c r="H1178" t="s">
        <v>1592</v>
      </c>
      <c r="I1178" t="str">
        <f>+VLOOKUP(H1178,[1]Explore!$A:$I,9,0)</f>
        <v>Money Market</v>
      </c>
      <c r="J1178" t="str">
        <f t="shared" si="36"/>
        <v>OK</v>
      </c>
      <c r="K1178" t="str">
        <f t="shared" si="37"/>
        <v>Money Market</v>
      </c>
      <c r="L1178" t="s">
        <v>188</v>
      </c>
      <c r="M1178" t="str">
        <f>_xlfn.IFNA(VLOOKUP(K1178,'Mapping DEF'!A:C,2,0),"")</f>
        <v>Other</v>
      </c>
      <c r="N1178" t="str">
        <f>+_xlfn.IFNA(VLOOKUP(M1178,'Mapping DEF'!B:C,2,FALSE),"")</f>
        <v>Other</v>
      </c>
      <c r="O1178" t="s">
        <v>2779</v>
      </c>
    </row>
    <row r="1179" spans="1:15" x14ac:dyDescent="0.25">
      <c r="A1179" s="4" t="s">
        <v>2416</v>
      </c>
      <c r="B1179" s="4" t="s">
        <v>2417</v>
      </c>
      <c r="C1179" s="5">
        <v>2495</v>
      </c>
      <c r="D1179" s="6" t="s">
        <v>2418</v>
      </c>
      <c r="E1179" t="s">
        <v>1593</v>
      </c>
      <c r="F1179" t="s">
        <v>1594</v>
      </c>
      <c r="G1179" t="str">
        <f>+VLOOKUP(F1179,[1]Explore!$B:$I,8,0)</f>
        <v>Money Market</v>
      </c>
      <c r="H1179" t="s">
        <v>1595</v>
      </c>
      <c r="I1179" t="str">
        <f>+VLOOKUP(H1179,[1]Explore!$A:$I,9,0)</f>
        <v>Money Market</v>
      </c>
      <c r="J1179" t="str">
        <f t="shared" si="36"/>
        <v>OK</v>
      </c>
      <c r="K1179" t="str">
        <f t="shared" si="37"/>
        <v>Money Market</v>
      </c>
      <c r="L1179" t="s">
        <v>188</v>
      </c>
      <c r="M1179" t="str">
        <f>_xlfn.IFNA(VLOOKUP(K1179,'Mapping DEF'!A:C,2,0),"")</f>
        <v>Other</v>
      </c>
      <c r="N1179" t="str">
        <f>+_xlfn.IFNA(VLOOKUP(M1179,'Mapping DEF'!B:C,2,FALSE),"")</f>
        <v>Other</v>
      </c>
      <c r="O1179" t="s">
        <v>2779</v>
      </c>
    </row>
    <row r="1180" spans="1:15" x14ac:dyDescent="0.25">
      <c r="A1180" s="4" t="s">
        <v>2416</v>
      </c>
      <c r="B1180" s="4" t="s">
        <v>2417</v>
      </c>
      <c r="C1180" s="5">
        <v>2495</v>
      </c>
      <c r="D1180" s="6" t="s">
        <v>2418</v>
      </c>
      <c r="E1180" t="s">
        <v>1596</v>
      </c>
      <c r="F1180" t="s">
        <v>1597</v>
      </c>
      <c r="G1180" t="e">
        <f>+VLOOKUP(F1180,[1]Explore!$B:$I,8,0)</f>
        <v>#N/A</v>
      </c>
      <c r="H1180" t="s">
        <v>1598</v>
      </c>
      <c r="I1180" t="str">
        <f>+VLOOKUP(H1180,[1]Explore!$A:$I,9,0)</f>
        <v>Alternative - Hedge Fund</v>
      </c>
      <c r="J1180" t="str">
        <f t="shared" si="36"/>
        <v>OK</v>
      </c>
      <c r="K1180" t="str">
        <f t="shared" si="37"/>
        <v>Alternative - Hedge Fund</v>
      </c>
      <c r="L1180" t="s">
        <v>27</v>
      </c>
      <c r="M1180" t="str">
        <f>_xlfn.IFNA(VLOOKUP(K1180,'Mapping DEF'!A:C,2,0),"")</f>
        <v>Alternative</v>
      </c>
      <c r="N1180" t="str">
        <f>+_xlfn.IFNA(VLOOKUP(M1180,'Mapping DEF'!B:C,2,FALSE),"")</f>
        <v>Other</v>
      </c>
      <c r="O1180" t="s">
        <v>2759</v>
      </c>
    </row>
    <row r="1181" spans="1:15" x14ac:dyDescent="0.25">
      <c r="A1181" s="4" t="s">
        <v>2416</v>
      </c>
      <c r="B1181" s="4" t="s">
        <v>2417</v>
      </c>
      <c r="C1181" s="5">
        <v>2495</v>
      </c>
      <c r="D1181" s="6" t="s">
        <v>2418</v>
      </c>
      <c r="E1181" t="s">
        <v>1599</v>
      </c>
      <c r="F1181" t="s">
        <v>2172</v>
      </c>
      <c r="G1181" t="str">
        <f>+VLOOKUP(F1181,[1]Explore!$B:$I,8,0)</f>
        <v>Equity Implied Volatility</v>
      </c>
      <c r="H1181" t="s">
        <v>217</v>
      </c>
      <c r="I1181" t="e">
        <f>+VLOOKUP(H1181,[1]Explore!$A:$I,9,0)</f>
        <v>#N/A</v>
      </c>
      <c r="J1181" t="str">
        <f t="shared" si="36"/>
        <v>OK</v>
      </c>
      <c r="K1181" t="str">
        <f t="shared" si="37"/>
        <v>Equity Implied Volatility</v>
      </c>
      <c r="L1181" t="s">
        <v>27</v>
      </c>
      <c r="M1181" t="str">
        <f>_xlfn.IFNA(VLOOKUP(K1181,'Mapping DEF'!A:C,2,0),"")</f>
        <v>Equity Derivatives</v>
      </c>
      <c r="N1181" t="str">
        <f>+_xlfn.IFNA(VLOOKUP(M1181,'Mapping DEF'!B:C,2,FALSE),"")</f>
        <v>Equity</v>
      </c>
      <c r="O1181" t="s">
        <v>2770</v>
      </c>
    </row>
    <row r="1182" spans="1:15" x14ac:dyDescent="0.25">
      <c r="A1182" s="4" t="s">
        <v>2419</v>
      </c>
      <c r="B1182" s="4" t="s">
        <v>2420</v>
      </c>
      <c r="C1182" s="5">
        <v>2496</v>
      </c>
      <c r="D1182" s="6" t="s">
        <v>2421</v>
      </c>
      <c r="E1182" t="s">
        <v>1200</v>
      </c>
      <c r="F1182" t="s">
        <v>19</v>
      </c>
      <c r="G1182" t="str">
        <f>+VLOOKUP(F1182,[1]Explore!$B:$I,8,0)</f>
        <v>Govt USD</v>
      </c>
      <c r="H1182" t="s">
        <v>20</v>
      </c>
      <c r="I1182" t="str">
        <f>+VLOOKUP(H1182,[1]Explore!$A:$I,9,0)</f>
        <v>Govt USD</v>
      </c>
      <c r="J1182" t="str">
        <f t="shared" si="36"/>
        <v>OK</v>
      </c>
      <c r="K1182" t="str">
        <f t="shared" si="37"/>
        <v>Govt USD</v>
      </c>
      <c r="L1182" t="s">
        <v>2143</v>
      </c>
      <c r="M1182" t="str">
        <f>_xlfn.IFNA(VLOOKUP(K1182,'Mapping DEF'!A:C,2,0),"")</f>
        <v>Curve (Local)</v>
      </c>
      <c r="N1182" t="str">
        <f>+_xlfn.IFNA(VLOOKUP(M1182,'Mapping DEF'!B:C,2,FALSE),"")</f>
        <v>Term Structure</v>
      </c>
      <c r="O1182" t="s">
        <v>2788</v>
      </c>
    </row>
    <row r="1183" spans="1:15" x14ac:dyDescent="0.25">
      <c r="A1183" s="4" t="s">
        <v>2419</v>
      </c>
      <c r="B1183" s="4" t="s">
        <v>2420</v>
      </c>
      <c r="C1183" s="5">
        <v>2496</v>
      </c>
      <c r="D1183" s="6" t="s">
        <v>2421</v>
      </c>
      <c r="E1183" t="s">
        <v>1600</v>
      </c>
      <c r="F1183" t="s">
        <v>753</v>
      </c>
      <c r="G1183" t="e">
        <f>+VLOOKUP(F1183,[1]Explore!$B:$I,8,0)</f>
        <v>#N/A</v>
      </c>
      <c r="H1183" t="s">
        <v>754</v>
      </c>
      <c r="I1183" t="e">
        <f>+VLOOKUP(H1183,[1]Explore!$A:$I,9,0)</f>
        <v>#N/A</v>
      </c>
      <c r="J1183" t="str">
        <f t="shared" si="36"/>
        <v>BOTH #N/A</v>
      </c>
      <c r="K1183" t="str">
        <f t="shared" si="37"/>
        <v>Corporate IG USD - Other</v>
      </c>
      <c r="L1183" t="s">
        <v>2650</v>
      </c>
      <c r="M1183" t="str">
        <f>_xlfn.IFNA(VLOOKUP(K1183,'Mapping DEF'!A:C,2,0),"")</f>
        <v>Spread</v>
      </c>
      <c r="N1183" t="str">
        <f>+_xlfn.IFNA(VLOOKUP(M1183,'Mapping DEF'!B:C,2,FALSE),"")</f>
        <v>Spread</v>
      </c>
      <c r="O1183" t="s">
        <v>2823</v>
      </c>
    </row>
    <row r="1184" spans="1:15" x14ac:dyDescent="0.25">
      <c r="A1184" s="4" t="s">
        <v>2419</v>
      </c>
      <c r="B1184" s="4" t="s">
        <v>2420</v>
      </c>
      <c r="C1184" s="5">
        <v>2496</v>
      </c>
      <c r="D1184" s="6" t="s">
        <v>2421</v>
      </c>
      <c r="E1184" t="s">
        <v>1601</v>
      </c>
      <c r="F1184" t="s">
        <v>1344</v>
      </c>
      <c r="G1184" t="str">
        <f>+VLOOKUP(F1184,[1]Explore!$B:$I,8,0)</f>
        <v>Spread Govt Peripheral EUR (ex ITA)</v>
      </c>
      <c r="H1184" t="s">
        <v>1345</v>
      </c>
      <c r="I1184" t="str">
        <f>+VLOOKUP(H1184,[1]Explore!$A:$I,9,0)</f>
        <v>Spread Govt Peripheral EUR (ex ITA)</v>
      </c>
      <c r="J1184" t="str">
        <f t="shared" si="36"/>
        <v>OK</v>
      </c>
      <c r="K1184" t="str">
        <f t="shared" si="37"/>
        <v>Spread Govt Peripheral EUR (ex ITA)</v>
      </c>
      <c r="L1184" t="s">
        <v>188</v>
      </c>
      <c r="M1184" t="str">
        <f>_xlfn.IFNA(VLOOKUP(K1184,'Mapping DEF'!A:C,2,0),"")</f>
        <v>Spread Govt</v>
      </c>
      <c r="N1184" t="str">
        <f>+_xlfn.IFNA(VLOOKUP(M1184,'Mapping DEF'!B:C,2,FALSE),"")</f>
        <v>Term Structure</v>
      </c>
      <c r="O1184" t="s">
        <v>2778</v>
      </c>
    </row>
    <row r="1185" spans="1:15" x14ac:dyDescent="0.25">
      <c r="A1185" s="4" t="s">
        <v>2419</v>
      </c>
      <c r="B1185" s="4" t="s">
        <v>2420</v>
      </c>
      <c r="C1185" s="5">
        <v>2496</v>
      </c>
      <c r="D1185" s="6" t="s">
        <v>2421</v>
      </c>
      <c r="E1185" t="s">
        <v>371</v>
      </c>
      <c r="F1185" t="s">
        <v>206</v>
      </c>
      <c r="G1185" t="e">
        <f>+VLOOKUP(F1185,[1]Explore!$B:$I,8,0)</f>
        <v>#N/A</v>
      </c>
      <c r="H1185" t="s">
        <v>206</v>
      </c>
      <c r="I1185" t="e">
        <f>+VLOOKUP(H1185,[1]Explore!$A:$I,9,0)</f>
        <v>#N/A</v>
      </c>
      <c r="J1185" t="str">
        <f t="shared" si="36"/>
        <v>BOTH #N/A</v>
      </c>
      <c r="K1185" t="str">
        <f t="shared" si="37"/>
        <v>Dollar Index</v>
      </c>
      <c r="L1185" t="s">
        <v>2930</v>
      </c>
      <c r="M1185" t="str">
        <f>_xlfn.IFNA(VLOOKUP(K1185,'Mapping DEF'!A:C,2,0),"")</f>
        <v>Index Level</v>
      </c>
      <c r="N1185" t="str">
        <f>+_xlfn.IFNA(VLOOKUP(M1185,'Mapping DEF'!B:C,2,FALSE),"")</f>
        <v>Other</v>
      </c>
      <c r="O1185" t="s">
        <v>2759</v>
      </c>
    </row>
    <row r="1186" spans="1:15" x14ac:dyDescent="0.25">
      <c r="A1186" s="4" t="s">
        <v>2419</v>
      </c>
      <c r="B1186" s="4" t="s">
        <v>2420</v>
      </c>
      <c r="C1186" s="5">
        <v>2496</v>
      </c>
      <c r="D1186" s="6" t="s">
        <v>2421</v>
      </c>
      <c r="E1186" t="s">
        <v>745</v>
      </c>
      <c r="F1186" t="s">
        <v>2156</v>
      </c>
      <c r="G1186" t="str">
        <f>+VLOOKUP(F1186,[1]Explore!$B:$I,8,0)</f>
        <v>Equity Implied Volatility</v>
      </c>
      <c r="H1186" t="s">
        <v>141</v>
      </c>
      <c r="I1186" t="str">
        <f>+VLOOKUP(H1186,[1]Explore!$A:$I,9,0)</f>
        <v>Equity Implied Volatility</v>
      </c>
      <c r="J1186" t="str">
        <f t="shared" si="36"/>
        <v>OK</v>
      </c>
      <c r="K1186" t="str">
        <f t="shared" si="37"/>
        <v>Equity Implied Volatility</v>
      </c>
      <c r="L1186" t="s">
        <v>27</v>
      </c>
      <c r="M1186" t="str">
        <f>_xlfn.IFNA(VLOOKUP(K1186,'Mapping DEF'!A:C,2,0),"")</f>
        <v>Equity Derivatives</v>
      </c>
      <c r="N1186" t="str">
        <f>+_xlfn.IFNA(VLOOKUP(M1186,'Mapping DEF'!B:C,2,FALSE),"")</f>
        <v>Equity</v>
      </c>
      <c r="O1186" t="s">
        <v>2760</v>
      </c>
    </row>
    <row r="1187" spans="1:15" x14ac:dyDescent="0.25">
      <c r="A1187" s="4" t="s">
        <v>2419</v>
      </c>
      <c r="B1187" s="4" t="s">
        <v>2420</v>
      </c>
      <c r="C1187" s="5">
        <v>2496</v>
      </c>
      <c r="D1187" s="6" t="s">
        <v>2421</v>
      </c>
      <c r="E1187" t="s">
        <v>1602</v>
      </c>
      <c r="F1187" t="s">
        <v>627</v>
      </c>
      <c r="G1187" t="str">
        <f>+VLOOKUP(F1187,[1]Explore!$B:$I,8,0)</f>
        <v>Corporate IG EUR - Other</v>
      </c>
      <c r="H1187" t="s">
        <v>628</v>
      </c>
      <c r="I1187" t="str">
        <f>+VLOOKUP(H1187,[1]Explore!$A:$I,9,0)</f>
        <v>Corporate IG EUR - Other</v>
      </c>
      <c r="J1187" t="str">
        <f t="shared" si="36"/>
        <v>OK</v>
      </c>
      <c r="K1187" t="str">
        <f t="shared" si="37"/>
        <v>Corporate IG EUR - Other</v>
      </c>
      <c r="L1187" t="s">
        <v>188</v>
      </c>
      <c r="M1187" t="str">
        <f>_xlfn.IFNA(VLOOKUP(K1187,'Mapping DEF'!A:C,2,0),"")</f>
        <v>Spread</v>
      </c>
      <c r="N1187" t="str">
        <f>+_xlfn.IFNA(VLOOKUP(M1187,'Mapping DEF'!B:C,2,FALSE),"")</f>
        <v>Spread</v>
      </c>
      <c r="O1187" t="s">
        <v>2865</v>
      </c>
    </row>
    <row r="1188" spans="1:15" x14ac:dyDescent="0.25">
      <c r="A1188" s="4" t="s">
        <v>2419</v>
      </c>
      <c r="B1188" s="4" t="s">
        <v>2420</v>
      </c>
      <c r="C1188" s="5">
        <v>2496</v>
      </c>
      <c r="D1188" s="6" t="s">
        <v>2421</v>
      </c>
      <c r="E1188" t="s">
        <v>1603</v>
      </c>
      <c r="F1188" t="s">
        <v>1586</v>
      </c>
      <c r="G1188" t="str">
        <f>+VLOOKUP(F1188,[1]Explore!$B:$I,8,0)</f>
        <v>Local Styles</v>
      </c>
      <c r="H1188" t="s">
        <v>1587</v>
      </c>
      <c r="I1188" t="e">
        <f>+VLOOKUP(H1188,[1]Explore!$A:$I,9,0)</f>
        <v>#N/A</v>
      </c>
      <c r="J1188" t="str">
        <f t="shared" si="36"/>
        <v>OK</v>
      </c>
      <c r="K1188" t="str">
        <f t="shared" si="37"/>
        <v>Local Styles</v>
      </c>
      <c r="L1188" t="s">
        <v>2145</v>
      </c>
      <c r="M1188" t="str">
        <f>_xlfn.IFNA(VLOOKUP(K1188,'Mapping DEF'!A:C,2,0),"")</f>
        <v>Style</v>
      </c>
      <c r="N1188" t="str">
        <f>+_xlfn.IFNA(VLOOKUP(M1188,'Mapping DEF'!B:C,2,FALSE),"")</f>
        <v>Equity</v>
      </c>
      <c r="O1188" t="s">
        <v>2866</v>
      </c>
    </row>
    <row r="1189" spans="1:15" x14ac:dyDescent="0.25">
      <c r="A1189" s="4" t="s">
        <v>2419</v>
      </c>
      <c r="B1189" s="4" t="s">
        <v>2420</v>
      </c>
      <c r="C1189" s="5">
        <v>2496</v>
      </c>
      <c r="D1189" s="6" t="s">
        <v>2421</v>
      </c>
      <c r="E1189" t="s">
        <v>1604</v>
      </c>
      <c r="F1189" t="s">
        <v>1586</v>
      </c>
      <c r="G1189" t="str">
        <f>+VLOOKUP(F1189,[1]Explore!$B:$I,8,0)</f>
        <v>Local Styles</v>
      </c>
      <c r="H1189" t="s">
        <v>1589</v>
      </c>
      <c r="I1189" t="e">
        <f>+VLOOKUP(H1189,[1]Explore!$A:$I,9,0)</f>
        <v>#N/A</v>
      </c>
      <c r="J1189" t="str">
        <f t="shared" si="36"/>
        <v>OK</v>
      </c>
      <c r="K1189" t="str">
        <f t="shared" si="37"/>
        <v>Local Styles</v>
      </c>
      <c r="L1189" t="s">
        <v>2145</v>
      </c>
      <c r="M1189" t="str">
        <f>_xlfn.IFNA(VLOOKUP(K1189,'Mapping DEF'!A:C,2,0),"")</f>
        <v>Style</v>
      </c>
      <c r="N1189" t="str">
        <f>+_xlfn.IFNA(VLOOKUP(M1189,'Mapping DEF'!B:C,2,FALSE),"")</f>
        <v>Equity</v>
      </c>
      <c r="O1189" t="s">
        <v>2866</v>
      </c>
    </row>
    <row r="1190" spans="1:15" x14ac:dyDescent="0.25">
      <c r="A1190" s="4" t="s">
        <v>2419</v>
      </c>
      <c r="B1190" s="4" t="s">
        <v>2420</v>
      </c>
      <c r="C1190" s="5">
        <v>2496</v>
      </c>
      <c r="D1190" s="6" t="s">
        <v>2421</v>
      </c>
      <c r="E1190" t="s">
        <v>1605</v>
      </c>
      <c r="F1190" t="s">
        <v>836</v>
      </c>
      <c r="G1190" t="str">
        <f>+VLOOKUP(F1190,[1]Explore!$B:$I,8,0)</f>
        <v>Govt USD</v>
      </c>
      <c r="H1190" t="s">
        <v>837</v>
      </c>
      <c r="I1190" t="str">
        <f>+VLOOKUP(H1190,[1]Explore!$A:$I,9,0)</f>
        <v>Govt USD</v>
      </c>
      <c r="J1190" t="str">
        <f t="shared" si="36"/>
        <v>OK</v>
      </c>
      <c r="K1190" t="str">
        <f t="shared" si="37"/>
        <v>Govt USD</v>
      </c>
      <c r="L1190" t="s">
        <v>2143</v>
      </c>
      <c r="M1190" t="str">
        <f>_xlfn.IFNA(VLOOKUP(K1190,'Mapping DEF'!A:C,2,0),"")</f>
        <v>Curve (Local)</v>
      </c>
      <c r="N1190" t="str">
        <f>+_xlfn.IFNA(VLOOKUP(M1190,'Mapping DEF'!B:C,2,FALSE),"")</f>
        <v>Term Structure</v>
      </c>
      <c r="O1190" t="s">
        <v>2778</v>
      </c>
    </row>
    <row r="1191" spans="1:15" x14ac:dyDescent="0.25">
      <c r="A1191" s="4" t="s">
        <v>2419</v>
      </c>
      <c r="B1191" s="4" t="s">
        <v>2420</v>
      </c>
      <c r="C1191" s="5">
        <v>2496</v>
      </c>
      <c r="D1191" s="6" t="s">
        <v>2421</v>
      </c>
      <c r="E1191" t="s">
        <v>838</v>
      </c>
      <c r="F1191" t="s">
        <v>839</v>
      </c>
      <c r="G1191" t="str">
        <f>+VLOOKUP(F1191,[1]Explore!$B:$I,8,0)</f>
        <v>Money Market</v>
      </c>
      <c r="H1191" t="s">
        <v>840</v>
      </c>
      <c r="I1191" t="str">
        <f>+VLOOKUP(H1191,[1]Explore!$A:$I,9,0)</f>
        <v>Money Market</v>
      </c>
      <c r="J1191" t="str">
        <f t="shared" si="36"/>
        <v>OK</v>
      </c>
      <c r="K1191" t="str">
        <f t="shared" si="37"/>
        <v>Money Market</v>
      </c>
      <c r="L1191" t="s">
        <v>188</v>
      </c>
      <c r="M1191" t="str">
        <f>_xlfn.IFNA(VLOOKUP(K1191,'Mapping DEF'!A:C,2,0),"")</f>
        <v>Other</v>
      </c>
      <c r="N1191" t="str">
        <f>+_xlfn.IFNA(VLOOKUP(M1191,'Mapping DEF'!B:C,2,FALSE),"")</f>
        <v>Other</v>
      </c>
      <c r="O1191" t="s">
        <v>2778</v>
      </c>
    </row>
    <row r="1192" spans="1:15" x14ac:dyDescent="0.25">
      <c r="A1192" s="4" t="s">
        <v>2419</v>
      </c>
      <c r="B1192" s="4" t="s">
        <v>2420</v>
      </c>
      <c r="C1192" s="5">
        <v>2496</v>
      </c>
      <c r="D1192" s="6" t="s">
        <v>2421</v>
      </c>
      <c r="E1192" t="s">
        <v>1606</v>
      </c>
      <c r="F1192" t="s">
        <v>845</v>
      </c>
      <c r="G1192" t="str">
        <f>+VLOOKUP(F1192,[1]Explore!$B:$I,8,0)</f>
        <v>Money Market</v>
      </c>
      <c r="H1192" t="s">
        <v>846</v>
      </c>
      <c r="I1192" t="str">
        <f>+VLOOKUP(H1192,[1]Explore!$A:$I,9,0)</f>
        <v>Money Market</v>
      </c>
      <c r="J1192" t="str">
        <f t="shared" si="36"/>
        <v>OK</v>
      </c>
      <c r="K1192" t="str">
        <f t="shared" si="37"/>
        <v>Money Market</v>
      </c>
      <c r="L1192" t="s">
        <v>188</v>
      </c>
      <c r="M1192" t="str">
        <f>_xlfn.IFNA(VLOOKUP(K1192,'Mapping DEF'!A:C,2,0),"")</f>
        <v>Other</v>
      </c>
      <c r="N1192" t="str">
        <f>+_xlfn.IFNA(VLOOKUP(M1192,'Mapping DEF'!B:C,2,FALSE),"")</f>
        <v>Other</v>
      </c>
      <c r="O1192" t="s">
        <v>2778</v>
      </c>
    </row>
    <row r="1193" spans="1:15" x14ac:dyDescent="0.25">
      <c r="A1193" s="4" t="s">
        <v>2419</v>
      </c>
      <c r="B1193" s="4" t="s">
        <v>2420</v>
      </c>
      <c r="C1193" s="5">
        <v>2496</v>
      </c>
      <c r="D1193" s="6" t="s">
        <v>2421</v>
      </c>
      <c r="E1193" t="s">
        <v>1607</v>
      </c>
      <c r="F1193" t="s">
        <v>2172</v>
      </c>
      <c r="G1193" t="str">
        <f>+VLOOKUP(F1193,[1]Explore!$B:$I,8,0)</f>
        <v>Equity Implied Volatility</v>
      </c>
      <c r="H1193" t="s">
        <v>217</v>
      </c>
      <c r="I1193" t="e">
        <f>+VLOOKUP(H1193,[1]Explore!$A:$I,9,0)</f>
        <v>#N/A</v>
      </c>
      <c r="J1193" t="str">
        <f t="shared" si="36"/>
        <v>OK</v>
      </c>
      <c r="K1193" t="str">
        <f t="shared" si="37"/>
        <v>Equity Implied Volatility</v>
      </c>
      <c r="L1193" t="s">
        <v>27</v>
      </c>
      <c r="M1193" t="str">
        <f>_xlfn.IFNA(VLOOKUP(K1193,'Mapping DEF'!A:C,2,0),"")</f>
        <v>Equity Derivatives</v>
      </c>
      <c r="N1193" t="str">
        <f>+_xlfn.IFNA(VLOOKUP(M1193,'Mapping DEF'!B:C,2,FALSE),"")</f>
        <v>Equity</v>
      </c>
      <c r="O1193" t="s">
        <v>2776</v>
      </c>
    </row>
    <row r="1194" spans="1:15" x14ac:dyDescent="0.25">
      <c r="A1194" s="4" t="s">
        <v>2422</v>
      </c>
      <c r="B1194" s="4" t="s">
        <v>2423</v>
      </c>
      <c r="C1194" s="5">
        <v>2497</v>
      </c>
      <c r="D1194" s="6" t="s">
        <v>2424</v>
      </c>
      <c r="E1194" t="s">
        <v>1608</v>
      </c>
      <c r="F1194" t="s">
        <v>753</v>
      </c>
      <c r="G1194" t="e">
        <f>+VLOOKUP(F1194,[1]Explore!$B:$I,8,0)</f>
        <v>#N/A</v>
      </c>
      <c r="H1194" t="s">
        <v>754</v>
      </c>
      <c r="I1194" t="e">
        <f>+VLOOKUP(H1194,[1]Explore!$A:$I,9,0)</f>
        <v>#N/A</v>
      </c>
      <c r="J1194" t="str">
        <f t="shared" si="36"/>
        <v>BOTH #N/A</v>
      </c>
      <c r="K1194" t="str">
        <f t="shared" si="37"/>
        <v>Corporate IG USD - Other</v>
      </c>
      <c r="L1194" t="s">
        <v>2650</v>
      </c>
      <c r="M1194" t="str">
        <f>_xlfn.IFNA(VLOOKUP(K1194,'Mapping DEF'!A:C,2,0),"")</f>
        <v>Spread</v>
      </c>
      <c r="N1194" t="str">
        <f>+_xlfn.IFNA(VLOOKUP(M1194,'Mapping DEF'!B:C,2,FALSE),"")</f>
        <v>Spread</v>
      </c>
      <c r="O1194" t="s">
        <v>2867</v>
      </c>
    </row>
    <row r="1195" spans="1:15" x14ac:dyDescent="0.25">
      <c r="A1195" s="4" t="s">
        <v>2422</v>
      </c>
      <c r="B1195" s="4" t="s">
        <v>2423</v>
      </c>
      <c r="C1195" s="5">
        <v>2497</v>
      </c>
      <c r="D1195" s="6" t="s">
        <v>2424</v>
      </c>
      <c r="E1195" t="s">
        <v>824</v>
      </c>
      <c r="F1195" t="s">
        <v>2156</v>
      </c>
      <c r="G1195" t="str">
        <f>+VLOOKUP(F1195,[1]Explore!$B:$I,8,0)</f>
        <v>Equity Implied Volatility</v>
      </c>
      <c r="H1195" t="s">
        <v>141</v>
      </c>
      <c r="I1195" t="str">
        <f>+VLOOKUP(H1195,[1]Explore!$A:$I,9,0)</f>
        <v>Equity Implied Volatility</v>
      </c>
      <c r="J1195" t="str">
        <f t="shared" si="36"/>
        <v>OK</v>
      </c>
      <c r="K1195" t="str">
        <f t="shared" si="37"/>
        <v>Equity Implied Volatility</v>
      </c>
      <c r="L1195" t="s">
        <v>27</v>
      </c>
      <c r="M1195" t="str">
        <f>_xlfn.IFNA(VLOOKUP(K1195,'Mapping DEF'!A:C,2,0),"")</f>
        <v>Equity Derivatives</v>
      </c>
      <c r="N1195" t="str">
        <f>+_xlfn.IFNA(VLOOKUP(M1195,'Mapping DEF'!B:C,2,FALSE),"")</f>
        <v>Equity</v>
      </c>
      <c r="O1195" t="s">
        <v>2821</v>
      </c>
    </row>
    <row r="1196" spans="1:15" x14ac:dyDescent="0.25">
      <c r="A1196" s="4" t="s">
        <v>2422</v>
      </c>
      <c r="B1196" s="4" t="s">
        <v>2423</v>
      </c>
      <c r="C1196" s="5">
        <v>2497</v>
      </c>
      <c r="D1196" s="6" t="s">
        <v>2424</v>
      </c>
      <c r="E1196" t="s">
        <v>1609</v>
      </c>
      <c r="F1196" t="s">
        <v>1586</v>
      </c>
      <c r="G1196" t="str">
        <f>+VLOOKUP(F1196,[1]Explore!$B:$I,8,0)</f>
        <v>Local Styles</v>
      </c>
      <c r="H1196" t="s">
        <v>1587</v>
      </c>
      <c r="I1196" t="e">
        <f>+VLOOKUP(H1196,[1]Explore!$A:$I,9,0)</f>
        <v>#N/A</v>
      </c>
      <c r="J1196" t="str">
        <f t="shared" si="36"/>
        <v>OK</v>
      </c>
      <c r="K1196" t="str">
        <f t="shared" si="37"/>
        <v>Local Styles</v>
      </c>
      <c r="L1196" t="s">
        <v>2145</v>
      </c>
      <c r="M1196" t="str">
        <f>_xlfn.IFNA(VLOOKUP(K1196,'Mapping DEF'!A:C,2,0),"")</f>
        <v>Style</v>
      </c>
      <c r="N1196" t="str">
        <f>+_xlfn.IFNA(VLOOKUP(M1196,'Mapping DEF'!B:C,2,FALSE),"")</f>
        <v>Equity</v>
      </c>
      <c r="O1196" t="s">
        <v>2855</v>
      </c>
    </row>
    <row r="1197" spans="1:15" x14ac:dyDescent="0.25">
      <c r="A1197" s="4" t="s">
        <v>2422</v>
      </c>
      <c r="B1197" s="4" t="s">
        <v>2423</v>
      </c>
      <c r="C1197" s="5">
        <v>2497</v>
      </c>
      <c r="D1197" s="6" t="s">
        <v>2424</v>
      </c>
      <c r="E1197" t="s">
        <v>1610</v>
      </c>
      <c r="F1197" t="s">
        <v>1586</v>
      </c>
      <c r="G1197" t="str">
        <f>+VLOOKUP(F1197,[1]Explore!$B:$I,8,0)</f>
        <v>Local Styles</v>
      </c>
      <c r="H1197" t="s">
        <v>1589</v>
      </c>
      <c r="I1197" t="e">
        <f>+VLOOKUP(H1197,[1]Explore!$A:$I,9,0)</f>
        <v>#N/A</v>
      </c>
      <c r="J1197" t="str">
        <f t="shared" si="36"/>
        <v>OK</v>
      </c>
      <c r="K1197" t="str">
        <f t="shared" si="37"/>
        <v>Local Styles</v>
      </c>
      <c r="L1197" t="s">
        <v>2145</v>
      </c>
      <c r="M1197" t="str">
        <f>_xlfn.IFNA(VLOOKUP(K1197,'Mapping DEF'!A:C,2,0),"")</f>
        <v>Style</v>
      </c>
      <c r="N1197" t="str">
        <f>+_xlfn.IFNA(VLOOKUP(M1197,'Mapping DEF'!B:C,2,FALSE),"")</f>
        <v>Equity</v>
      </c>
      <c r="O1197" t="s">
        <v>2855</v>
      </c>
    </row>
    <row r="1198" spans="1:15" x14ac:dyDescent="0.25">
      <c r="A1198" s="4" t="s">
        <v>2422</v>
      </c>
      <c r="B1198" s="4" t="s">
        <v>2423</v>
      </c>
      <c r="C1198" s="5">
        <v>2497</v>
      </c>
      <c r="D1198" s="6" t="s">
        <v>2424</v>
      </c>
      <c r="E1198" t="s">
        <v>834</v>
      </c>
      <c r="F1198" t="s">
        <v>346</v>
      </c>
      <c r="G1198" t="str">
        <f>+VLOOKUP(F1198,[1]Explore!$B:$I,8,0)</f>
        <v>Spread Emerging Markets - Country</v>
      </c>
      <c r="H1198" t="s">
        <v>347</v>
      </c>
      <c r="I1198" t="str">
        <f>+VLOOKUP(H1198,[1]Explore!$A:$I,9,0)</f>
        <v>Spread Emerging Markets - Country</v>
      </c>
      <c r="J1198" t="str">
        <f t="shared" si="36"/>
        <v>OK</v>
      </c>
      <c r="K1198" t="str">
        <f t="shared" si="37"/>
        <v>Spread Emerging Markets - Country</v>
      </c>
      <c r="L1198" t="s">
        <v>188</v>
      </c>
      <c r="M1198" t="str">
        <f>_xlfn.IFNA(VLOOKUP(K1198,'Mapping DEF'!A:C,2,0),"")</f>
        <v>Spread</v>
      </c>
      <c r="N1198" t="str">
        <f>+_xlfn.IFNA(VLOOKUP(M1198,'Mapping DEF'!B:C,2,FALSE),"")</f>
        <v>Spread</v>
      </c>
      <c r="O1198" t="s">
        <v>2791</v>
      </c>
    </row>
    <row r="1199" spans="1:15" x14ac:dyDescent="0.25">
      <c r="A1199" s="4" t="s">
        <v>2422</v>
      </c>
      <c r="B1199" s="4" t="s">
        <v>2423</v>
      </c>
      <c r="C1199" s="5">
        <v>2497</v>
      </c>
      <c r="D1199" s="6" t="s">
        <v>2424</v>
      </c>
      <c r="E1199" t="s">
        <v>838</v>
      </c>
      <c r="F1199" t="s">
        <v>839</v>
      </c>
      <c r="G1199" t="str">
        <f>+VLOOKUP(F1199,[1]Explore!$B:$I,8,0)</f>
        <v>Money Market</v>
      </c>
      <c r="H1199" t="s">
        <v>840</v>
      </c>
      <c r="I1199" t="str">
        <f>+VLOOKUP(H1199,[1]Explore!$A:$I,9,0)</f>
        <v>Money Market</v>
      </c>
      <c r="J1199" t="str">
        <f t="shared" si="36"/>
        <v>OK</v>
      </c>
      <c r="K1199" t="str">
        <f t="shared" si="37"/>
        <v>Money Market</v>
      </c>
      <c r="L1199" t="s">
        <v>188</v>
      </c>
      <c r="M1199" t="str">
        <f>_xlfn.IFNA(VLOOKUP(K1199,'Mapping DEF'!A:C,2,0),"")</f>
        <v>Other</v>
      </c>
      <c r="N1199" t="str">
        <f>+_xlfn.IFNA(VLOOKUP(M1199,'Mapping DEF'!B:C,2,FALSE),"")</f>
        <v>Other</v>
      </c>
      <c r="O1199" t="s">
        <v>2778</v>
      </c>
    </row>
    <row r="1200" spans="1:15" x14ac:dyDescent="0.25">
      <c r="A1200" s="4" t="s">
        <v>2422</v>
      </c>
      <c r="B1200" s="4" t="s">
        <v>2423</v>
      </c>
      <c r="C1200" s="5">
        <v>2497</v>
      </c>
      <c r="D1200" s="6" t="s">
        <v>2424</v>
      </c>
      <c r="E1200" t="s">
        <v>1606</v>
      </c>
      <c r="F1200" t="s">
        <v>845</v>
      </c>
      <c r="G1200" t="str">
        <f>+VLOOKUP(F1200,[1]Explore!$B:$I,8,0)</f>
        <v>Money Market</v>
      </c>
      <c r="H1200" t="s">
        <v>846</v>
      </c>
      <c r="I1200" t="str">
        <f>+VLOOKUP(H1200,[1]Explore!$A:$I,9,0)</f>
        <v>Money Market</v>
      </c>
      <c r="J1200" t="str">
        <f t="shared" si="36"/>
        <v>OK</v>
      </c>
      <c r="K1200" t="str">
        <f t="shared" si="37"/>
        <v>Money Market</v>
      </c>
      <c r="L1200" t="s">
        <v>188</v>
      </c>
      <c r="M1200" t="str">
        <f>_xlfn.IFNA(VLOOKUP(K1200,'Mapping DEF'!A:C,2,0),"")</f>
        <v>Other</v>
      </c>
      <c r="N1200" t="str">
        <f>+_xlfn.IFNA(VLOOKUP(M1200,'Mapping DEF'!B:C,2,FALSE),"")</f>
        <v>Other</v>
      </c>
      <c r="O1200" t="s">
        <v>2778</v>
      </c>
    </row>
    <row r="1201" spans="1:15" x14ac:dyDescent="0.25">
      <c r="A1201" s="4" t="s">
        <v>2422</v>
      </c>
      <c r="B1201" s="4" t="s">
        <v>2423</v>
      </c>
      <c r="C1201" s="5">
        <v>2497</v>
      </c>
      <c r="D1201" s="6" t="s">
        <v>2424</v>
      </c>
      <c r="E1201" t="s">
        <v>1611</v>
      </c>
      <c r="F1201" t="s">
        <v>1597</v>
      </c>
      <c r="G1201" t="e">
        <f>+VLOOKUP(F1201,[1]Explore!$B:$I,8,0)</f>
        <v>#N/A</v>
      </c>
      <c r="H1201" t="s">
        <v>1598</v>
      </c>
      <c r="I1201" t="str">
        <f>+VLOOKUP(H1201,[1]Explore!$A:$I,9,0)</f>
        <v>Alternative - Hedge Fund</v>
      </c>
      <c r="J1201" t="str">
        <f t="shared" si="36"/>
        <v>OK</v>
      </c>
      <c r="K1201" t="str">
        <f t="shared" si="37"/>
        <v>Alternative - Hedge Fund</v>
      </c>
      <c r="L1201" t="s">
        <v>27</v>
      </c>
      <c r="M1201" t="str">
        <f>_xlfn.IFNA(VLOOKUP(K1201,'Mapping DEF'!A:C,2,0),"")</f>
        <v>Alternative</v>
      </c>
      <c r="N1201" t="str">
        <f>+_xlfn.IFNA(VLOOKUP(M1201,'Mapping DEF'!B:C,2,FALSE),"")</f>
        <v>Other</v>
      </c>
      <c r="O1201" t="s">
        <v>2760</v>
      </c>
    </row>
    <row r="1202" spans="1:15" x14ac:dyDescent="0.25">
      <c r="A1202" s="4" t="s">
        <v>2422</v>
      </c>
      <c r="B1202" s="4" t="s">
        <v>2423</v>
      </c>
      <c r="C1202" s="5">
        <v>2497</v>
      </c>
      <c r="D1202" s="6" t="s">
        <v>2424</v>
      </c>
      <c r="E1202" t="s">
        <v>1612</v>
      </c>
      <c r="F1202" t="s">
        <v>2155</v>
      </c>
      <c r="G1202" t="str">
        <f>+VLOOKUP(F1202,[1]Explore!$B:$I,8,0)</f>
        <v>Equity Implied Volatility</v>
      </c>
      <c r="H1202" t="s">
        <v>84</v>
      </c>
      <c r="I1202" t="e">
        <f>+VLOOKUP(H1202,[1]Explore!$A:$I,9,0)</f>
        <v>#N/A</v>
      </c>
      <c r="J1202" t="str">
        <f t="shared" si="36"/>
        <v>OK</v>
      </c>
      <c r="K1202" t="str">
        <f t="shared" si="37"/>
        <v>Equity Implied Volatility</v>
      </c>
      <c r="L1202" t="s">
        <v>27</v>
      </c>
      <c r="M1202" t="str">
        <f>_xlfn.IFNA(VLOOKUP(K1202,'Mapping DEF'!A:C,2,0),"")</f>
        <v>Equity Derivatives</v>
      </c>
      <c r="N1202" t="str">
        <f>+_xlfn.IFNA(VLOOKUP(M1202,'Mapping DEF'!B:C,2,FALSE),"")</f>
        <v>Equity</v>
      </c>
      <c r="O1202" t="s">
        <v>2757</v>
      </c>
    </row>
    <row r="1203" spans="1:15" x14ac:dyDescent="0.25">
      <c r="A1203" s="4" t="s">
        <v>2422</v>
      </c>
      <c r="B1203" s="4" t="s">
        <v>2423</v>
      </c>
      <c r="C1203" s="5">
        <v>2497</v>
      </c>
      <c r="D1203" s="6" t="s">
        <v>2424</v>
      </c>
      <c r="E1203" t="s">
        <v>1613</v>
      </c>
      <c r="F1203" t="s">
        <v>2172</v>
      </c>
      <c r="G1203" t="str">
        <f>+VLOOKUP(F1203,[1]Explore!$B:$I,8,0)</f>
        <v>Equity Implied Volatility</v>
      </c>
      <c r="H1203" t="s">
        <v>217</v>
      </c>
      <c r="I1203" t="e">
        <f>+VLOOKUP(H1203,[1]Explore!$A:$I,9,0)</f>
        <v>#N/A</v>
      </c>
      <c r="J1203" t="str">
        <f t="shared" si="36"/>
        <v>OK</v>
      </c>
      <c r="K1203" t="str">
        <f t="shared" si="37"/>
        <v>Equity Implied Volatility</v>
      </c>
      <c r="L1203" t="s">
        <v>27</v>
      </c>
      <c r="M1203" t="str">
        <f>_xlfn.IFNA(VLOOKUP(K1203,'Mapping DEF'!A:C,2,0),"")</f>
        <v>Equity Derivatives</v>
      </c>
      <c r="N1203" t="str">
        <f>+_xlfn.IFNA(VLOOKUP(M1203,'Mapping DEF'!B:C,2,FALSE),"")</f>
        <v>Equity</v>
      </c>
      <c r="O1203" t="s">
        <v>2753</v>
      </c>
    </row>
    <row r="1204" spans="1:15" x14ac:dyDescent="0.25">
      <c r="A1204" s="4" t="s">
        <v>2425</v>
      </c>
      <c r="B1204" s="4" t="s">
        <v>2426</v>
      </c>
      <c r="C1204" s="5">
        <v>2526</v>
      </c>
      <c r="D1204" s="6" t="s">
        <v>2427</v>
      </c>
      <c r="E1204" t="s">
        <v>670</v>
      </c>
      <c r="F1204" t="s">
        <v>19</v>
      </c>
      <c r="G1204" t="str">
        <f>+VLOOKUP(F1204,[1]Explore!$B:$I,8,0)</f>
        <v>Govt USD</v>
      </c>
      <c r="H1204" t="s">
        <v>20</v>
      </c>
      <c r="I1204" t="str">
        <f>+VLOOKUP(H1204,[1]Explore!$A:$I,9,0)</f>
        <v>Govt USD</v>
      </c>
      <c r="J1204" t="str">
        <f t="shared" si="36"/>
        <v>OK</v>
      </c>
      <c r="K1204" t="str">
        <f t="shared" si="37"/>
        <v>Govt USD</v>
      </c>
      <c r="L1204" t="s">
        <v>2143</v>
      </c>
      <c r="M1204" t="str">
        <f>_xlfn.IFNA(VLOOKUP(K1204,'Mapping DEF'!A:C,2,0),"")</f>
        <v>Curve (Local)</v>
      </c>
      <c r="N1204" t="str">
        <f>+_xlfn.IFNA(VLOOKUP(M1204,'Mapping DEF'!B:C,2,FALSE),"")</f>
        <v>Term Structure</v>
      </c>
      <c r="O1204" t="s">
        <v>2769</v>
      </c>
    </row>
    <row r="1205" spans="1:15" x14ac:dyDescent="0.25">
      <c r="A1205" s="4" t="s">
        <v>2425</v>
      </c>
      <c r="B1205" s="4" t="s">
        <v>2426</v>
      </c>
      <c r="C1205" s="5">
        <v>2526</v>
      </c>
      <c r="D1205" s="6" t="s">
        <v>2427</v>
      </c>
      <c r="E1205" t="s">
        <v>1201</v>
      </c>
      <c r="F1205" t="s">
        <v>258</v>
      </c>
      <c r="G1205" t="str">
        <f>+VLOOKUP(F1205,[1]Explore!$B:$I,8,0)</f>
        <v>USD Inflation</v>
      </c>
      <c r="H1205" t="s">
        <v>259</v>
      </c>
      <c r="I1205" t="str">
        <f>+VLOOKUP(H1205,[1]Explore!$A:$I,9,0)</f>
        <v>USD Inflation</v>
      </c>
      <c r="J1205" t="str">
        <f t="shared" si="36"/>
        <v>OK</v>
      </c>
      <c r="K1205" t="str">
        <f t="shared" si="37"/>
        <v>USD Inflation</v>
      </c>
      <c r="L1205" t="s">
        <v>2143</v>
      </c>
      <c r="M1205" t="str">
        <f>_xlfn.IFNA(VLOOKUP(K1205,'Mapping DEF'!A:C,2,0),"")</f>
        <v>Inflation</v>
      </c>
      <c r="N1205" t="str">
        <f>+_xlfn.IFNA(VLOOKUP(M1205,'Mapping DEF'!B:C,2,FALSE),"")</f>
        <v>Other</v>
      </c>
      <c r="O1205" t="s">
        <v>2781</v>
      </c>
    </row>
    <row r="1206" spans="1:15" x14ac:dyDescent="0.25">
      <c r="A1206" s="4" t="s">
        <v>2425</v>
      </c>
      <c r="B1206" s="4" t="s">
        <v>2426</v>
      </c>
      <c r="C1206" s="5">
        <v>2526</v>
      </c>
      <c r="D1206" s="6" t="s">
        <v>2427</v>
      </c>
      <c r="E1206" t="s">
        <v>412</v>
      </c>
      <c r="F1206" t="s">
        <v>413</v>
      </c>
      <c r="G1206" t="str">
        <f>+VLOOKUP(F1206,[1]Explore!$B:$I,8,0)</f>
        <v>Alternative - Commodity</v>
      </c>
      <c r="H1206" t="s">
        <v>414</v>
      </c>
      <c r="I1206" t="str">
        <f>+VLOOKUP(H1206,[1]Explore!$A:$I,9,0)</f>
        <v>Alternative - Commodity</v>
      </c>
      <c r="J1206" t="str">
        <f t="shared" si="36"/>
        <v>OK</v>
      </c>
      <c r="K1206" t="str">
        <f t="shared" si="37"/>
        <v>Alternative - Commodity</v>
      </c>
      <c r="L1206" t="s">
        <v>2139</v>
      </c>
      <c r="M1206" t="str">
        <f>_xlfn.IFNA(VLOOKUP(K1206,'Mapping DEF'!A:C,2,0),"")</f>
        <v>Alternative</v>
      </c>
      <c r="N1206" t="str">
        <f>+_xlfn.IFNA(VLOOKUP(M1206,'Mapping DEF'!B:C,2,FALSE),"")</f>
        <v>Other</v>
      </c>
      <c r="O1206" t="s">
        <v>2753</v>
      </c>
    </row>
    <row r="1207" spans="1:15" x14ac:dyDescent="0.25">
      <c r="A1207" s="4" t="s">
        <v>2425</v>
      </c>
      <c r="B1207" s="4" t="s">
        <v>2426</v>
      </c>
      <c r="C1207" s="5">
        <v>2526</v>
      </c>
      <c r="D1207" s="6" t="s">
        <v>2427</v>
      </c>
      <c r="E1207" t="s">
        <v>415</v>
      </c>
      <c r="F1207" t="s">
        <v>268</v>
      </c>
      <c r="G1207" t="str">
        <f>+VLOOKUP(F1207,[1]Explore!$B:$I,8,0)</f>
        <v>Alternative - Commodity</v>
      </c>
      <c r="H1207" t="s">
        <v>269</v>
      </c>
      <c r="I1207" t="str">
        <f>+VLOOKUP(H1207,[1]Explore!$A:$I,9,0)</f>
        <v>Alternative - Commodity</v>
      </c>
      <c r="J1207" t="str">
        <f t="shared" si="36"/>
        <v>OK</v>
      </c>
      <c r="K1207" t="str">
        <f t="shared" si="37"/>
        <v>Alternative - Commodity</v>
      </c>
      <c r="L1207" t="s">
        <v>2139</v>
      </c>
      <c r="M1207" t="str">
        <f>_xlfn.IFNA(VLOOKUP(K1207,'Mapping DEF'!A:C,2,0),"")</f>
        <v>Alternative</v>
      </c>
      <c r="N1207" t="str">
        <f>+_xlfn.IFNA(VLOOKUP(M1207,'Mapping DEF'!B:C,2,FALSE),"")</f>
        <v>Other</v>
      </c>
      <c r="O1207" t="s">
        <v>2754</v>
      </c>
    </row>
    <row r="1208" spans="1:15" x14ac:dyDescent="0.25">
      <c r="A1208" s="4" t="s">
        <v>2425</v>
      </c>
      <c r="B1208" s="4" t="s">
        <v>2426</v>
      </c>
      <c r="C1208" s="5">
        <v>2526</v>
      </c>
      <c r="D1208" s="6" t="s">
        <v>2427</v>
      </c>
      <c r="E1208" t="s">
        <v>1352</v>
      </c>
      <c r="F1208" t="s">
        <v>417</v>
      </c>
      <c r="G1208" t="str">
        <f>+VLOOKUP(F1208,[1]Explore!$B:$I,8,0)</f>
        <v>Govt Emerging Markets</v>
      </c>
      <c r="H1208" t="s">
        <v>418</v>
      </c>
      <c r="I1208" t="str">
        <f>+VLOOKUP(H1208,[1]Explore!$A:$I,9,0)</f>
        <v>Govt Emerging Markets</v>
      </c>
      <c r="J1208" t="str">
        <f t="shared" si="36"/>
        <v>OK</v>
      </c>
      <c r="K1208" t="str">
        <f t="shared" si="37"/>
        <v>Govt Emerging Markets</v>
      </c>
      <c r="L1208" t="s">
        <v>2143</v>
      </c>
      <c r="M1208" t="str">
        <f>_xlfn.IFNA(VLOOKUP(K1208,'Mapping DEF'!A:C,2,0),"")</f>
        <v>Curve (Local)</v>
      </c>
      <c r="N1208" t="str">
        <f>+_xlfn.IFNA(VLOOKUP(M1208,'Mapping DEF'!B:C,2,FALSE),"")</f>
        <v>Term Structure</v>
      </c>
      <c r="O1208" t="s">
        <v>2755</v>
      </c>
    </row>
    <row r="1209" spans="1:15" x14ac:dyDescent="0.25">
      <c r="A1209" s="4" t="s">
        <v>2425</v>
      </c>
      <c r="B1209" s="4" t="s">
        <v>2426</v>
      </c>
      <c r="C1209" s="5">
        <v>2526</v>
      </c>
      <c r="D1209" s="6" t="s">
        <v>2427</v>
      </c>
      <c r="E1209" t="s">
        <v>1617</v>
      </c>
      <c r="F1209" t="s">
        <v>1618</v>
      </c>
      <c r="G1209" t="e">
        <f>+VLOOKUP(F1209,[1]Explore!$B:$I,8,0)</f>
        <v>#N/A</v>
      </c>
      <c r="H1209" t="s">
        <v>1619</v>
      </c>
      <c r="I1209" t="str">
        <f>+VLOOKUP(H1209,[1]Explore!$A:$I,9,0)</f>
        <v>Developed Currency</v>
      </c>
      <c r="J1209" t="str">
        <f t="shared" si="36"/>
        <v>OK</v>
      </c>
      <c r="K1209" t="str">
        <f t="shared" si="37"/>
        <v>Developed Currency</v>
      </c>
      <c r="L1209" t="s">
        <v>2140</v>
      </c>
      <c r="M1209" t="str">
        <f>_xlfn.IFNA(VLOOKUP(K1209,'Mapping DEF'!A:C,2,0),"")</f>
        <v>FX</v>
      </c>
      <c r="N1209" t="str">
        <f>+_xlfn.IFNA(VLOOKUP(M1209,'Mapping DEF'!B:C,2,FALSE),"")</f>
        <v>FX</v>
      </c>
      <c r="O1209" t="s">
        <v>2763</v>
      </c>
    </row>
    <row r="1210" spans="1:15" x14ac:dyDescent="0.25">
      <c r="A1210" s="4" t="s">
        <v>2425</v>
      </c>
      <c r="B1210" s="4" t="s">
        <v>2426</v>
      </c>
      <c r="C1210" s="5">
        <v>2526</v>
      </c>
      <c r="D1210" s="6" t="s">
        <v>2427</v>
      </c>
      <c r="E1210" t="s">
        <v>1620</v>
      </c>
      <c r="F1210" t="s">
        <v>1144</v>
      </c>
      <c r="G1210" t="e">
        <f>+VLOOKUP(F1210,[1]Explore!$B:$I,8,0)</f>
        <v>#N/A</v>
      </c>
      <c r="H1210" t="s">
        <v>1145</v>
      </c>
      <c r="I1210" t="str">
        <f>+VLOOKUP(H1210,[1]Explore!$A:$I,9,0)</f>
        <v>Emerging Currency</v>
      </c>
      <c r="J1210" t="str">
        <f t="shared" si="36"/>
        <v>OK</v>
      </c>
      <c r="K1210" t="str">
        <f t="shared" si="37"/>
        <v>Emerging Currency</v>
      </c>
      <c r="L1210" t="s">
        <v>2140</v>
      </c>
      <c r="M1210" t="str">
        <f>_xlfn.IFNA(VLOOKUP(K1210,'Mapping DEF'!A:C,2,0),"")</f>
        <v>FX</v>
      </c>
      <c r="N1210" t="str">
        <f>+_xlfn.IFNA(VLOOKUP(M1210,'Mapping DEF'!B:C,2,FALSE),"")</f>
        <v>FX</v>
      </c>
      <c r="O1210" t="s">
        <v>2802</v>
      </c>
    </row>
    <row r="1211" spans="1:15" x14ac:dyDescent="0.25">
      <c r="A1211" s="4" t="s">
        <v>2425</v>
      </c>
      <c r="B1211" s="4" t="s">
        <v>2426</v>
      </c>
      <c r="C1211" s="5">
        <v>2526</v>
      </c>
      <c r="D1211" s="6" t="s">
        <v>2427</v>
      </c>
      <c r="E1211" t="s">
        <v>1621</v>
      </c>
      <c r="F1211" t="s">
        <v>421</v>
      </c>
      <c r="G1211" t="e">
        <f>+VLOOKUP(F1211,[1]Explore!$B:$I,8,0)</f>
        <v>#N/A</v>
      </c>
      <c r="H1211" t="s">
        <v>422</v>
      </c>
      <c r="I1211" t="str">
        <f>+VLOOKUP(H1211,[1]Explore!$A:$I,9,0)</f>
        <v>Emerging Currency</v>
      </c>
      <c r="J1211" t="str">
        <f t="shared" si="36"/>
        <v>OK</v>
      </c>
      <c r="K1211" t="str">
        <f t="shared" si="37"/>
        <v>Emerging Currency</v>
      </c>
      <c r="L1211" t="s">
        <v>2140</v>
      </c>
      <c r="M1211" t="str">
        <f>_xlfn.IFNA(VLOOKUP(K1211,'Mapping DEF'!A:C,2,0),"")</f>
        <v>FX</v>
      </c>
      <c r="N1211" t="str">
        <f>+_xlfn.IFNA(VLOOKUP(M1211,'Mapping DEF'!B:C,2,FALSE),"")</f>
        <v>FX</v>
      </c>
      <c r="O1211" t="s">
        <v>2819</v>
      </c>
    </row>
    <row r="1212" spans="1:15" x14ac:dyDescent="0.25">
      <c r="A1212" s="4" t="s">
        <v>2425</v>
      </c>
      <c r="B1212" s="4" t="s">
        <v>2426</v>
      </c>
      <c r="C1212" s="5">
        <v>2526</v>
      </c>
      <c r="D1212" s="6" t="s">
        <v>2427</v>
      </c>
      <c r="E1212" t="s">
        <v>1622</v>
      </c>
      <c r="F1212" t="s">
        <v>822</v>
      </c>
      <c r="G1212" t="e">
        <f>+VLOOKUP(F1212,[1]Explore!$B:$I,8,0)</f>
        <v>#N/A</v>
      </c>
      <c r="H1212" t="s">
        <v>823</v>
      </c>
      <c r="I1212" t="str">
        <f>+VLOOKUP(H1212,[1]Explore!$A:$I,9,0)</f>
        <v>Emerging Currency</v>
      </c>
      <c r="J1212" t="str">
        <f t="shared" si="36"/>
        <v>OK</v>
      </c>
      <c r="K1212" t="str">
        <f t="shared" si="37"/>
        <v>Emerging Currency</v>
      </c>
      <c r="L1212" t="s">
        <v>2140</v>
      </c>
      <c r="M1212" t="str">
        <f>_xlfn.IFNA(VLOOKUP(K1212,'Mapping DEF'!A:C,2,0),"")</f>
        <v>FX</v>
      </c>
      <c r="N1212" t="str">
        <f>+_xlfn.IFNA(VLOOKUP(M1212,'Mapping DEF'!B:C,2,FALSE),"")</f>
        <v>FX</v>
      </c>
      <c r="O1212" t="s">
        <v>2776</v>
      </c>
    </row>
    <row r="1213" spans="1:15" x14ac:dyDescent="0.25">
      <c r="A1213" s="4" t="s">
        <v>2425</v>
      </c>
      <c r="B1213" s="4" t="s">
        <v>2426</v>
      </c>
      <c r="C1213" s="5">
        <v>2526</v>
      </c>
      <c r="D1213" s="6" t="s">
        <v>2427</v>
      </c>
      <c r="E1213" t="s">
        <v>371</v>
      </c>
      <c r="F1213" t="s">
        <v>206</v>
      </c>
      <c r="G1213" t="e">
        <f>+VLOOKUP(F1213,[1]Explore!$B:$I,8,0)</f>
        <v>#N/A</v>
      </c>
      <c r="H1213" t="s">
        <v>206</v>
      </c>
      <c r="I1213" t="e">
        <f>+VLOOKUP(H1213,[1]Explore!$A:$I,9,0)</f>
        <v>#N/A</v>
      </c>
      <c r="J1213" t="str">
        <f t="shared" si="36"/>
        <v>BOTH #N/A</v>
      </c>
      <c r="K1213" t="str">
        <f t="shared" si="37"/>
        <v>Dollar Index</v>
      </c>
      <c r="L1213" t="s">
        <v>2930</v>
      </c>
      <c r="M1213" t="str">
        <f>_xlfn.IFNA(VLOOKUP(K1213,'Mapping DEF'!A:C,2,0),"")</f>
        <v>Index Level</v>
      </c>
      <c r="N1213" t="str">
        <f>+_xlfn.IFNA(VLOOKUP(M1213,'Mapping DEF'!B:C,2,FALSE),"")</f>
        <v>Other</v>
      </c>
      <c r="O1213" t="s">
        <v>2759</v>
      </c>
    </row>
    <row r="1214" spans="1:15" x14ac:dyDescent="0.25">
      <c r="A1214" s="4" t="s">
        <v>2425</v>
      </c>
      <c r="B1214" s="4" t="s">
        <v>2426</v>
      </c>
      <c r="C1214" s="5">
        <v>2526</v>
      </c>
      <c r="D1214" s="6" t="s">
        <v>2427</v>
      </c>
      <c r="E1214" t="s">
        <v>1188</v>
      </c>
      <c r="F1214" t="s">
        <v>2156</v>
      </c>
      <c r="G1214" t="str">
        <f>+VLOOKUP(F1214,[1]Explore!$B:$I,8,0)</f>
        <v>Equity Implied Volatility</v>
      </c>
      <c r="H1214" t="s">
        <v>141</v>
      </c>
      <c r="I1214" t="str">
        <f>+VLOOKUP(H1214,[1]Explore!$A:$I,9,0)</f>
        <v>Equity Implied Volatility</v>
      </c>
      <c r="J1214" t="str">
        <f t="shared" si="36"/>
        <v>OK</v>
      </c>
      <c r="K1214" t="str">
        <f t="shared" si="37"/>
        <v>Equity Implied Volatility</v>
      </c>
      <c r="L1214" t="s">
        <v>27</v>
      </c>
      <c r="M1214" t="str">
        <f>_xlfn.IFNA(VLOOKUP(K1214,'Mapping DEF'!A:C,2,0),"")</f>
        <v>Equity Derivatives</v>
      </c>
      <c r="N1214" t="str">
        <f>+_xlfn.IFNA(VLOOKUP(M1214,'Mapping DEF'!B:C,2,FALSE),"")</f>
        <v>Equity</v>
      </c>
      <c r="O1214" t="s">
        <v>2776</v>
      </c>
    </row>
    <row r="1215" spans="1:15" x14ac:dyDescent="0.25">
      <c r="A1215" s="4" t="s">
        <v>2425</v>
      </c>
      <c r="B1215" s="4" t="s">
        <v>2426</v>
      </c>
      <c r="C1215" s="5">
        <v>2526</v>
      </c>
      <c r="D1215" s="6" t="s">
        <v>2427</v>
      </c>
      <c r="E1215" t="s">
        <v>1189</v>
      </c>
      <c r="F1215" t="s">
        <v>826</v>
      </c>
      <c r="G1215" t="str">
        <f>+VLOOKUP(F1215,[1]Explore!$B:$I,8,0)</f>
        <v>Equity Implied Volatility</v>
      </c>
      <c r="H1215" t="s">
        <v>827</v>
      </c>
      <c r="I1215" t="str">
        <f>+VLOOKUP(H1215,[1]Explore!$A:$I,9,0)</f>
        <v>Equity Implied Volatility</v>
      </c>
      <c r="J1215" t="str">
        <f t="shared" si="36"/>
        <v>OK</v>
      </c>
      <c r="K1215" t="str">
        <f t="shared" si="37"/>
        <v>Equity Implied Volatility</v>
      </c>
      <c r="L1215" t="s">
        <v>27</v>
      </c>
      <c r="M1215" t="str">
        <f>_xlfn.IFNA(VLOOKUP(K1215,'Mapping DEF'!A:C,2,0),"")</f>
        <v>Equity Derivatives</v>
      </c>
      <c r="N1215" t="str">
        <f>+_xlfn.IFNA(VLOOKUP(M1215,'Mapping DEF'!B:C,2,FALSE),"")</f>
        <v>Equity</v>
      </c>
      <c r="O1215" t="s">
        <v>2761</v>
      </c>
    </row>
    <row r="1216" spans="1:15" x14ac:dyDescent="0.25">
      <c r="A1216" s="4" t="s">
        <v>2425</v>
      </c>
      <c r="B1216" s="4" t="s">
        <v>2426</v>
      </c>
      <c r="C1216" s="5">
        <v>2526</v>
      </c>
      <c r="D1216" s="6" t="s">
        <v>2427</v>
      </c>
      <c r="E1216" t="s">
        <v>1623</v>
      </c>
      <c r="F1216" t="s">
        <v>425</v>
      </c>
      <c r="G1216" t="str">
        <f>+VLOOKUP(F1216,[1]Explore!$B:$I,8,0)</f>
        <v>Corporate HY Other - Maturity</v>
      </c>
      <c r="H1216" t="s">
        <v>426</v>
      </c>
      <c r="I1216" t="str">
        <f>+VLOOKUP(H1216,[1]Explore!$A:$I,9,0)</f>
        <v>Corporate HY Other - Maturity</v>
      </c>
      <c r="J1216" t="str">
        <f t="shared" si="36"/>
        <v>OK</v>
      </c>
      <c r="K1216" t="str">
        <f t="shared" si="37"/>
        <v>Corporate HY Other - Maturity</v>
      </c>
      <c r="L1216" t="s">
        <v>188</v>
      </c>
      <c r="M1216" t="str">
        <f>_xlfn.IFNA(VLOOKUP(K1216,'Mapping DEF'!A:C,2,0),"")</f>
        <v>Spread</v>
      </c>
      <c r="N1216" t="str">
        <f>+_xlfn.IFNA(VLOOKUP(M1216,'Mapping DEF'!B:C,2,FALSE),"")</f>
        <v>Spread</v>
      </c>
      <c r="O1216" t="s">
        <v>2765</v>
      </c>
    </row>
    <row r="1217" spans="1:15" x14ac:dyDescent="0.25">
      <c r="A1217" s="4" t="s">
        <v>2425</v>
      </c>
      <c r="B1217" s="4" t="s">
        <v>2426</v>
      </c>
      <c r="C1217" s="5">
        <v>2526</v>
      </c>
      <c r="D1217" s="6" t="s">
        <v>2427</v>
      </c>
      <c r="E1217" t="s">
        <v>1624</v>
      </c>
      <c r="F1217" t="s">
        <v>2177</v>
      </c>
      <c r="G1217" t="str">
        <f>+VLOOKUP(F1217,[1]Explore!$B:$I,8,0)</f>
        <v>Consumer Discretionary</v>
      </c>
      <c r="H1217" t="s">
        <v>1625</v>
      </c>
      <c r="I1217" t="e">
        <f>+VLOOKUP(H1217,[1]Explore!$A:$I,9,0)</f>
        <v>#N/A</v>
      </c>
      <c r="J1217" t="str">
        <f t="shared" si="36"/>
        <v>OK</v>
      </c>
      <c r="K1217" t="str">
        <f t="shared" si="37"/>
        <v>Consumer Discretionary</v>
      </c>
      <c r="L1217" t="s">
        <v>2141</v>
      </c>
      <c r="M1217" t="str">
        <f>_xlfn.IFNA(VLOOKUP(K1217,'Mapping DEF'!A:C,2,0),"")</f>
        <v>Industry Allocation</v>
      </c>
      <c r="N1217" t="str">
        <f>+_xlfn.IFNA(VLOOKUP(M1217,'Mapping DEF'!B:C,2,FALSE),"")</f>
        <v>Equity</v>
      </c>
      <c r="O1217" t="s">
        <v>2776</v>
      </c>
    </row>
    <row r="1218" spans="1:15" x14ac:dyDescent="0.25">
      <c r="A1218" s="4" t="s">
        <v>2425</v>
      </c>
      <c r="B1218" s="4" t="s">
        <v>2426</v>
      </c>
      <c r="C1218" s="5">
        <v>2526</v>
      </c>
      <c r="D1218" s="6" t="s">
        <v>2427</v>
      </c>
      <c r="E1218" t="s">
        <v>1190</v>
      </c>
      <c r="F1218" t="s">
        <v>346</v>
      </c>
      <c r="G1218" t="str">
        <f>+VLOOKUP(F1218,[1]Explore!$B:$I,8,0)</f>
        <v>Spread Emerging Markets - Country</v>
      </c>
      <c r="H1218" t="s">
        <v>347</v>
      </c>
      <c r="I1218" t="str">
        <f>+VLOOKUP(H1218,[1]Explore!$A:$I,9,0)</f>
        <v>Spread Emerging Markets - Country</v>
      </c>
      <c r="J1218" t="str">
        <f t="shared" si="36"/>
        <v>OK</v>
      </c>
      <c r="K1218" t="str">
        <f t="shared" si="37"/>
        <v>Spread Emerging Markets - Country</v>
      </c>
      <c r="L1218" t="s">
        <v>188</v>
      </c>
      <c r="M1218" t="str">
        <f>_xlfn.IFNA(VLOOKUP(K1218,'Mapping DEF'!A:C,2,0),"")</f>
        <v>Spread</v>
      </c>
      <c r="N1218" t="str">
        <f>+_xlfn.IFNA(VLOOKUP(M1218,'Mapping DEF'!B:C,2,FALSE),"")</f>
        <v>Spread</v>
      </c>
      <c r="O1218" t="s">
        <v>2755</v>
      </c>
    </row>
    <row r="1219" spans="1:15" x14ac:dyDescent="0.25">
      <c r="A1219" s="4" t="s">
        <v>2425</v>
      </c>
      <c r="B1219" s="4" t="s">
        <v>2426</v>
      </c>
      <c r="C1219" s="5">
        <v>2526</v>
      </c>
      <c r="D1219" s="6" t="s">
        <v>2427</v>
      </c>
      <c r="E1219" t="s">
        <v>1626</v>
      </c>
      <c r="F1219" t="s">
        <v>2168</v>
      </c>
      <c r="G1219" t="str">
        <f>+VLOOKUP(F1219,[1]Explore!$B:$I,8,0)</f>
        <v>Equity Implied Volatility</v>
      </c>
      <c r="H1219" t="s">
        <v>1206</v>
      </c>
      <c r="I1219" t="e">
        <f>+VLOOKUP(H1219,[1]Explore!$A:$I,9,0)</f>
        <v>#N/A</v>
      </c>
      <c r="J1219" t="str">
        <f t="shared" ref="J1219:J1282" si="38">IF(AND(ISNA(G1219),ISNA(I1219)),"BOTH #N/A","OK")</f>
        <v>OK</v>
      </c>
      <c r="K1219" t="str">
        <f t="shared" ref="K1219:K1282" si="39">IFERROR(I1219, IFERROR(G1219, L1219))</f>
        <v>Equity Implied Volatility</v>
      </c>
      <c r="L1219" t="s">
        <v>27</v>
      </c>
      <c r="M1219" t="str">
        <f>_xlfn.IFNA(VLOOKUP(K1219,'Mapping DEF'!A:C,2,0),"")</f>
        <v>Equity Derivatives</v>
      </c>
      <c r="N1219" t="str">
        <f>+_xlfn.IFNA(VLOOKUP(M1219,'Mapping DEF'!B:C,2,FALSE),"")</f>
        <v>Equity</v>
      </c>
      <c r="O1219" t="s">
        <v>2757</v>
      </c>
    </row>
    <row r="1220" spans="1:15" x14ac:dyDescent="0.25">
      <c r="A1220" s="4" t="s">
        <v>2428</v>
      </c>
      <c r="B1220" s="4" t="s">
        <v>2429</v>
      </c>
      <c r="C1220" s="5">
        <v>2527</v>
      </c>
      <c r="D1220" s="6" t="s">
        <v>2430</v>
      </c>
      <c r="E1220" t="s">
        <v>1627</v>
      </c>
      <c r="F1220" t="s">
        <v>458</v>
      </c>
      <c r="G1220" t="str">
        <f>+VLOOKUP(F1220,[1]Explore!$B:$I,8,0)</f>
        <v>Corporate IG USD - Industry</v>
      </c>
      <c r="H1220" t="s">
        <v>459</v>
      </c>
      <c r="I1220" t="str">
        <f>+VLOOKUP(H1220,[1]Explore!$A:$I,9,0)</f>
        <v>Corporate IG USD - Industry</v>
      </c>
      <c r="J1220" t="str">
        <f t="shared" si="38"/>
        <v>OK</v>
      </c>
      <c r="K1220" t="str">
        <f t="shared" si="39"/>
        <v>Corporate IG USD - Industry</v>
      </c>
      <c r="L1220" t="s">
        <v>188</v>
      </c>
      <c r="M1220" t="str">
        <f>_xlfn.IFNA(VLOOKUP(K1220,'Mapping DEF'!A:C,2,0),"")</f>
        <v>Spread</v>
      </c>
      <c r="N1220" t="str">
        <f>+_xlfn.IFNA(VLOOKUP(M1220,'Mapping DEF'!B:C,2,FALSE),"")</f>
        <v>Spread</v>
      </c>
      <c r="O1220" t="s">
        <v>2779</v>
      </c>
    </row>
    <row r="1221" spans="1:15" x14ac:dyDescent="0.25">
      <c r="A1221" s="4" t="s">
        <v>2428</v>
      </c>
      <c r="B1221" s="4" t="s">
        <v>2429</v>
      </c>
      <c r="C1221" s="5">
        <v>2527</v>
      </c>
      <c r="D1221" s="6" t="s">
        <v>2430</v>
      </c>
      <c r="E1221" t="s">
        <v>1628</v>
      </c>
      <c r="F1221" t="s">
        <v>1618</v>
      </c>
      <c r="G1221" t="e">
        <f>+VLOOKUP(F1221,[1]Explore!$B:$I,8,0)</f>
        <v>#N/A</v>
      </c>
      <c r="H1221" t="s">
        <v>1619</v>
      </c>
      <c r="I1221" t="str">
        <f>+VLOOKUP(H1221,[1]Explore!$A:$I,9,0)</f>
        <v>Developed Currency</v>
      </c>
      <c r="J1221" t="str">
        <f t="shared" si="38"/>
        <v>OK</v>
      </c>
      <c r="K1221" t="str">
        <f t="shared" si="39"/>
        <v>Developed Currency</v>
      </c>
      <c r="L1221" t="s">
        <v>2140</v>
      </c>
      <c r="M1221" t="str">
        <f>_xlfn.IFNA(VLOOKUP(K1221,'Mapping DEF'!A:C,2,0),"")</f>
        <v>FX</v>
      </c>
      <c r="N1221" t="str">
        <f>+_xlfn.IFNA(VLOOKUP(M1221,'Mapping DEF'!B:C,2,FALSE),"")</f>
        <v>FX</v>
      </c>
      <c r="O1221" t="s">
        <v>2831</v>
      </c>
    </row>
    <row r="1222" spans="1:15" x14ac:dyDescent="0.25">
      <c r="A1222" s="4" t="s">
        <v>2428</v>
      </c>
      <c r="B1222" s="4" t="s">
        <v>2429</v>
      </c>
      <c r="C1222" s="5">
        <v>2527</v>
      </c>
      <c r="D1222" s="6" t="s">
        <v>2430</v>
      </c>
      <c r="E1222" t="s">
        <v>623</v>
      </c>
      <c r="F1222" t="s">
        <v>421</v>
      </c>
      <c r="G1222" t="e">
        <f>+VLOOKUP(F1222,[1]Explore!$B:$I,8,0)</f>
        <v>#N/A</v>
      </c>
      <c r="H1222" t="s">
        <v>422</v>
      </c>
      <c r="I1222" t="str">
        <f>+VLOOKUP(H1222,[1]Explore!$A:$I,9,0)</f>
        <v>Emerging Currency</v>
      </c>
      <c r="J1222" t="str">
        <f t="shared" si="38"/>
        <v>OK</v>
      </c>
      <c r="K1222" t="str">
        <f t="shared" si="39"/>
        <v>Emerging Currency</v>
      </c>
      <c r="L1222" t="s">
        <v>2140</v>
      </c>
      <c r="M1222" t="str">
        <f>_xlfn.IFNA(VLOOKUP(K1222,'Mapping DEF'!A:C,2,0),"")</f>
        <v>FX</v>
      </c>
      <c r="N1222" t="str">
        <f>+_xlfn.IFNA(VLOOKUP(M1222,'Mapping DEF'!B:C,2,FALSE),"")</f>
        <v>FX</v>
      </c>
      <c r="O1222" t="s">
        <v>2754</v>
      </c>
    </row>
    <row r="1223" spans="1:15" x14ac:dyDescent="0.25">
      <c r="A1223" s="4" t="s">
        <v>2428</v>
      </c>
      <c r="B1223" s="4" t="s">
        <v>2429</v>
      </c>
      <c r="C1223" s="5">
        <v>2527</v>
      </c>
      <c r="D1223" s="6" t="s">
        <v>2430</v>
      </c>
      <c r="E1223" t="s">
        <v>868</v>
      </c>
      <c r="F1223" t="s">
        <v>206</v>
      </c>
      <c r="G1223" t="e">
        <f>+VLOOKUP(F1223,[1]Explore!$B:$I,8,0)</f>
        <v>#N/A</v>
      </c>
      <c r="H1223" t="s">
        <v>206</v>
      </c>
      <c r="I1223" t="e">
        <f>+VLOOKUP(H1223,[1]Explore!$A:$I,9,0)</f>
        <v>#N/A</v>
      </c>
      <c r="J1223" t="str">
        <f t="shared" si="38"/>
        <v>BOTH #N/A</v>
      </c>
      <c r="K1223" t="str">
        <f t="shared" si="39"/>
        <v>Dollar Index</v>
      </c>
      <c r="L1223" t="s">
        <v>2930</v>
      </c>
      <c r="M1223" t="str">
        <f>_xlfn.IFNA(VLOOKUP(K1223,'Mapping DEF'!A:C,2,0),"")</f>
        <v>Index Level</v>
      </c>
      <c r="N1223" t="str">
        <f>+_xlfn.IFNA(VLOOKUP(M1223,'Mapping DEF'!B:C,2,FALSE),"")</f>
        <v>Other</v>
      </c>
      <c r="O1223" t="s">
        <v>2822</v>
      </c>
    </row>
    <row r="1224" spans="1:15" x14ac:dyDescent="0.25">
      <c r="A1224" s="4" t="s">
        <v>2428</v>
      </c>
      <c r="B1224" s="4" t="s">
        <v>2429</v>
      </c>
      <c r="C1224" s="5">
        <v>2527</v>
      </c>
      <c r="D1224" s="6" t="s">
        <v>2430</v>
      </c>
      <c r="E1224" t="s">
        <v>924</v>
      </c>
      <c r="F1224" t="s">
        <v>2156</v>
      </c>
      <c r="G1224" t="str">
        <f>+VLOOKUP(F1224,[1]Explore!$B:$I,8,0)</f>
        <v>Equity Implied Volatility</v>
      </c>
      <c r="H1224" t="s">
        <v>141</v>
      </c>
      <c r="I1224" t="str">
        <f>+VLOOKUP(H1224,[1]Explore!$A:$I,9,0)</f>
        <v>Equity Implied Volatility</v>
      </c>
      <c r="J1224" t="str">
        <f t="shared" si="38"/>
        <v>OK</v>
      </c>
      <c r="K1224" t="str">
        <f t="shared" si="39"/>
        <v>Equity Implied Volatility</v>
      </c>
      <c r="L1224" t="s">
        <v>27</v>
      </c>
      <c r="M1224" t="str">
        <f>_xlfn.IFNA(VLOOKUP(K1224,'Mapping DEF'!A:C,2,0),"")</f>
        <v>Equity Derivatives</v>
      </c>
      <c r="N1224" t="str">
        <f>+_xlfn.IFNA(VLOOKUP(M1224,'Mapping DEF'!B:C,2,FALSE),"")</f>
        <v>Equity</v>
      </c>
      <c r="O1224" t="s">
        <v>2775</v>
      </c>
    </row>
    <row r="1225" spans="1:15" x14ac:dyDescent="0.25">
      <c r="A1225" s="4" t="s">
        <v>2428</v>
      </c>
      <c r="B1225" s="4" t="s">
        <v>2429</v>
      </c>
      <c r="C1225" s="5">
        <v>2527</v>
      </c>
      <c r="D1225" s="6" t="s">
        <v>2430</v>
      </c>
      <c r="E1225" t="s">
        <v>1629</v>
      </c>
      <c r="F1225" t="s">
        <v>2177</v>
      </c>
      <c r="G1225" t="str">
        <f>+VLOOKUP(F1225,[1]Explore!$B:$I,8,0)</f>
        <v>Consumer Discretionary</v>
      </c>
      <c r="H1225" t="s">
        <v>469</v>
      </c>
      <c r="I1225" t="e">
        <f>+VLOOKUP(H1225,[1]Explore!$A:$I,9,0)</f>
        <v>#N/A</v>
      </c>
      <c r="J1225" t="str">
        <f t="shared" si="38"/>
        <v>OK</v>
      </c>
      <c r="K1225" t="str">
        <f t="shared" si="39"/>
        <v>Consumer Discretionary</v>
      </c>
      <c r="L1225" t="s">
        <v>2141</v>
      </c>
      <c r="M1225" t="str">
        <f>_xlfn.IFNA(VLOOKUP(K1225,'Mapping DEF'!A:C,2,0),"")</f>
        <v>Industry Allocation</v>
      </c>
      <c r="N1225" t="str">
        <f>+_xlfn.IFNA(VLOOKUP(M1225,'Mapping DEF'!B:C,2,FALSE),"")</f>
        <v>Equity</v>
      </c>
      <c r="O1225" t="s">
        <v>2831</v>
      </c>
    </row>
    <row r="1226" spans="1:15" x14ac:dyDescent="0.25">
      <c r="A1226" s="4" t="s">
        <v>2428</v>
      </c>
      <c r="B1226" s="4" t="s">
        <v>2429</v>
      </c>
      <c r="C1226" s="5">
        <v>2527</v>
      </c>
      <c r="D1226" s="6" t="s">
        <v>2430</v>
      </c>
      <c r="E1226" t="s">
        <v>1633</v>
      </c>
      <c r="F1226" t="s">
        <v>2621</v>
      </c>
      <c r="G1226" t="e">
        <f>+VLOOKUP(F1226,[1]Explore!$B:$I,8,0)</f>
        <v>#N/A</v>
      </c>
      <c r="H1226" t="s">
        <v>1634</v>
      </c>
      <c r="I1226" t="e">
        <f>+VLOOKUP(H1226,[1]Explore!$A:$I,9,0)</f>
        <v>#N/A</v>
      </c>
      <c r="J1226" t="str">
        <f t="shared" si="38"/>
        <v>BOTH #N/A</v>
      </c>
      <c r="K1226" t="str">
        <f t="shared" si="39"/>
        <v>Consumer Discretionary</v>
      </c>
      <c r="L1226" t="s">
        <v>2659</v>
      </c>
      <c r="M1226" t="str">
        <f>_xlfn.IFNA(VLOOKUP(K1226,'Mapping DEF'!A:C,2,0),"")</f>
        <v>Industry Allocation</v>
      </c>
      <c r="N1226" t="str">
        <f>+_xlfn.IFNA(VLOOKUP(M1226,'Mapping DEF'!B:C,2,FALSE),"")</f>
        <v>Equity</v>
      </c>
      <c r="O1226" t="s">
        <v>2824</v>
      </c>
    </row>
    <row r="1227" spans="1:15" x14ac:dyDescent="0.25">
      <c r="A1227" s="4" t="s">
        <v>2428</v>
      </c>
      <c r="B1227" s="4" t="s">
        <v>2429</v>
      </c>
      <c r="C1227" s="5">
        <v>2527</v>
      </c>
      <c r="D1227" s="6" t="s">
        <v>2430</v>
      </c>
      <c r="E1227" t="s">
        <v>1635</v>
      </c>
      <c r="F1227" t="s">
        <v>346</v>
      </c>
      <c r="G1227" t="str">
        <f>+VLOOKUP(F1227,[1]Explore!$B:$I,8,0)</f>
        <v>Spread Emerging Markets - Country</v>
      </c>
      <c r="H1227" t="s">
        <v>347</v>
      </c>
      <c r="I1227" t="str">
        <f>+VLOOKUP(H1227,[1]Explore!$A:$I,9,0)</f>
        <v>Spread Emerging Markets - Country</v>
      </c>
      <c r="J1227" t="str">
        <f t="shared" si="38"/>
        <v>OK</v>
      </c>
      <c r="K1227" t="str">
        <f t="shared" si="39"/>
        <v>Spread Emerging Markets - Country</v>
      </c>
      <c r="L1227" t="s">
        <v>188</v>
      </c>
      <c r="M1227" t="str">
        <f>_xlfn.IFNA(VLOOKUP(K1227,'Mapping DEF'!A:C,2,0),"")</f>
        <v>Spread</v>
      </c>
      <c r="N1227" t="str">
        <f>+_xlfn.IFNA(VLOOKUP(M1227,'Mapping DEF'!B:C,2,FALSE),"")</f>
        <v>Spread</v>
      </c>
      <c r="O1227" t="s">
        <v>2781</v>
      </c>
    </row>
    <row r="1228" spans="1:15" x14ac:dyDescent="0.25">
      <c r="A1228" s="4" t="s">
        <v>2431</v>
      </c>
      <c r="B1228" s="4" t="s">
        <v>2432</v>
      </c>
      <c r="C1228" s="5">
        <v>2525</v>
      </c>
      <c r="D1228" s="6" t="s">
        <v>2433</v>
      </c>
      <c r="E1228" t="s">
        <v>1508</v>
      </c>
      <c r="F1228" t="s">
        <v>19</v>
      </c>
      <c r="G1228" t="str">
        <f>+VLOOKUP(F1228,[1]Explore!$B:$I,8,0)</f>
        <v>Govt USD</v>
      </c>
      <c r="H1228" t="s">
        <v>20</v>
      </c>
      <c r="I1228" t="str">
        <f>+VLOOKUP(H1228,[1]Explore!$A:$I,9,0)</f>
        <v>Govt USD</v>
      </c>
      <c r="J1228" t="str">
        <f t="shared" si="38"/>
        <v>OK</v>
      </c>
      <c r="K1228" t="str">
        <f t="shared" si="39"/>
        <v>Govt USD</v>
      </c>
      <c r="L1228" t="s">
        <v>2143</v>
      </c>
      <c r="M1228" t="str">
        <f>_xlfn.IFNA(VLOOKUP(K1228,'Mapping DEF'!A:C,2,0),"")</f>
        <v>Curve (Local)</v>
      </c>
      <c r="N1228" t="str">
        <f>+_xlfn.IFNA(VLOOKUP(M1228,'Mapping DEF'!B:C,2,FALSE),"")</f>
        <v>Term Structure</v>
      </c>
      <c r="O1228" t="s">
        <v>2782</v>
      </c>
    </row>
    <row r="1229" spans="1:15" x14ac:dyDescent="0.25">
      <c r="A1229" s="4" t="s">
        <v>2431</v>
      </c>
      <c r="B1229" s="4" t="s">
        <v>2432</v>
      </c>
      <c r="C1229" s="5">
        <v>2525</v>
      </c>
      <c r="D1229" s="6" t="s">
        <v>2433</v>
      </c>
      <c r="E1229" t="s">
        <v>1636</v>
      </c>
      <c r="F1229" t="s">
        <v>268</v>
      </c>
      <c r="G1229" t="str">
        <f>+VLOOKUP(F1229,[1]Explore!$B:$I,8,0)</f>
        <v>Alternative - Commodity</v>
      </c>
      <c r="H1229" t="s">
        <v>269</v>
      </c>
      <c r="I1229" t="str">
        <f>+VLOOKUP(H1229,[1]Explore!$A:$I,9,0)</f>
        <v>Alternative - Commodity</v>
      </c>
      <c r="J1229" t="str">
        <f t="shared" si="38"/>
        <v>OK</v>
      </c>
      <c r="K1229" t="str">
        <f t="shared" si="39"/>
        <v>Alternative - Commodity</v>
      </c>
      <c r="L1229" t="s">
        <v>2139</v>
      </c>
      <c r="M1229" t="str">
        <f>_xlfn.IFNA(VLOOKUP(K1229,'Mapping DEF'!A:C,2,0),"")</f>
        <v>Alternative</v>
      </c>
      <c r="N1229" t="str">
        <f>+_xlfn.IFNA(VLOOKUP(M1229,'Mapping DEF'!B:C,2,FALSE),"")</f>
        <v>Other</v>
      </c>
      <c r="O1229" t="s">
        <v>2757</v>
      </c>
    </row>
    <row r="1230" spans="1:15" x14ac:dyDescent="0.25">
      <c r="A1230" s="4" t="s">
        <v>2431</v>
      </c>
      <c r="B1230" s="4" t="s">
        <v>2432</v>
      </c>
      <c r="C1230" s="5">
        <v>2525</v>
      </c>
      <c r="D1230" s="6" t="s">
        <v>2433</v>
      </c>
      <c r="E1230" t="s">
        <v>1637</v>
      </c>
      <c r="F1230" t="s">
        <v>458</v>
      </c>
      <c r="G1230" t="str">
        <f>+VLOOKUP(F1230,[1]Explore!$B:$I,8,0)</f>
        <v>Corporate IG USD - Industry</v>
      </c>
      <c r="H1230" t="s">
        <v>459</v>
      </c>
      <c r="I1230" t="str">
        <f>+VLOOKUP(H1230,[1]Explore!$A:$I,9,0)</f>
        <v>Corporate IG USD - Industry</v>
      </c>
      <c r="J1230" t="str">
        <f t="shared" si="38"/>
        <v>OK</v>
      </c>
      <c r="K1230" t="str">
        <f t="shared" si="39"/>
        <v>Corporate IG USD - Industry</v>
      </c>
      <c r="L1230" t="s">
        <v>188</v>
      </c>
      <c r="M1230" t="str">
        <f>_xlfn.IFNA(VLOOKUP(K1230,'Mapping DEF'!A:C,2,0),"")</f>
        <v>Spread</v>
      </c>
      <c r="N1230" t="str">
        <f>+_xlfn.IFNA(VLOOKUP(M1230,'Mapping DEF'!B:C,2,FALSE),"")</f>
        <v>Spread</v>
      </c>
      <c r="O1230" t="s">
        <v>2870</v>
      </c>
    </row>
    <row r="1231" spans="1:15" x14ac:dyDescent="0.25">
      <c r="A1231" s="4" t="s">
        <v>2431</v>
      </c>
      <c r="B1231" s="4" t="s">
        <v>2432</v>
      </c>
      <c r="C1231" s="5">
        <v>2525</v>
      </c>
      <c r="D1231" s="6" t="s">
        <v>2433</v>
      </c>
      <c r="E1231" t="s">
        <v>1638</v>
      </c>
      <c r="F1231" t="s">
        <v>1618</v>
      </c>
      <c r="G1231" t="e">
        <f>+VLOOKUP(F1231,[1]Explore!$B:$I,8,0)</f>
        <v>#N/A</v>
      </c>
      <c r="H1231" t="s">
        <v>1619</v>
      </c>
      <c r="I1231" t="str">
        <f>+VLOOKUP(H1231,[1]Explore!$A:$I,9,0)</f>
        <v>Developed Currency</v>
      </c>
      <c r="J1231" t="str">
        <f t="shared" si="38"/>
        <v>OK</v>
      </c>
      <c r="K1231" t="str">
        <f t="shared" si="39"/>
        <v>Developed Currency</v>
      </c>
      <c r="L1231" t="s">
        <v>2140</v>
      </c>
      <c r="M1231" t="str">
        <f>_xlfn.IFNA(VLOOKUP(K1231,'Mapping DEF'!A:C,2,0),"")</f>
        <v>FX</v>
      </c>
      <c r="N1231" t="str">
        <f>+_xlfn.IFNA(VLOOKUP(M1231,'Mapping DEF'!B:C,2,FALSE),"")</f>
        <v>FX</v>
      </c>
      <c r="O1231" t="s">
        <v>2758</v>
      </c>
    </row>
    <row r="1232" spans="1:15" x14ac:dyDescent="0.25">
      <c r="A1232" s="4" t="s">
        <v>2431</v>
      </c>
      <c r="B1232" s="4" t="s">
        <v>2432</v>
      </c>
      <c r="C1232" s="5">
        <v>2525</v>
      </c>
      <c r="D1232" s="6" t="s">
        <v>2433</v>
      </c>
      <c r="E1232" t="s">
        <v>420</v>
      </c>
      <c r="F1232" t="s">
        <v>421</v>
      </c>
      <c r="G1232" t="e">
        <f>+VLOOKUP(F1232,[1]Explore!$B:$I,8,0)</f>
        <v>#N/A</v>
      </c>
      <c r="H1232" t="s">
        <v>422</v>
      </c>
      <c r="I1232" t="str">
        <f>+VLOOKUP(H1232,[1]Explore!$A:$I,9,0)</f>
        <v>Emerging Currency</v>
      </c>
      <c r="J1232" t="str">
        <f t="shared" si="38"/>
        <v>OK</v>
      </c>
      <c r="K1232" t="str">
        <f t="shared" si="39"/>
        <v>Emerging Currency</v>
      </c>
      <c r="L1232" t="s">
        <v>2140</v>
      </c>
      <c r="M1232" t="str">
        <f>_xlfn.IFNA(VLOOKUP(K1232,'Mapping DEF'!A:C,2,0),"")</f>
        <v>FX</v>
      </c>
      <c r="N1232" t="str">
        <f>+_xlfn.IFNA(VLOOKUP(M1232,'Mapping DEF'!B:C,2,FALSE),"")</f>
        <v>FX</v>
      </c>
      <c r="O1232" t="s">
        <v>2761</v>
      </c>
    </row>
    <row r="1233" spans="1:15" x14ac:dyDescent="0.25">
      <c r="A1233" s="4" t="s">
        <v>2431</v>
      </c>
      <c r="B1233" s="4" t="s">
        <v>2432</v>
      </c>
      <c r="C1233" s="5">
        <v>2525</v>
      </c>
      <c r="D1233" s="6" t="s">
        <v>2433</v>
      </c>
      <c r="E1233" t="s">
        <v>907</v>
      </c>
      <c r="F1233" t="s">
        <v>206</v>
      </c>
      <c r="G1233" t="e">
        <f>+VLOOKUP(F1233,[1]Explore!$B:$I,8,0)</f>
        <v>#N/A</v>
      </c>
      <c r="H1233" t="s">
        <v>206</v>
      </c>
      <c r="I1233" t="e">
        <f>+VLOOKUP(H1233,[1]Explore!$A:$I,9,0)</f>
        <v>#N/A</v>
      </c>
      <c r="J1233" t="str">
        <f t="shared" si="38"/>
        <v>BOTH #N/A</v>
      </c>
      <c r="K1233" t="str">
        <f t="shared" si="39"/>
        <v>Dollar Index</v>
      </c>
      <c r="L1233" t="s">
        <v>2930</v>
      </c>
      <c r="M1233" t="str">
        <f>_xlfn.IFNA(VLOOKUP(K1233,'Mapping DEF'!A:C,2,0),"")</f>
        <v>Index Level</v>
      </c>
      <c r="N1233" t="str">
        <f>+_xlfn.IFNA(VLOOKUP(M1233,'Mapping DEF'!B:C,2,FALSE),"")</f>
        <v>Other</v>
      </c>
      <c r="O1233" t="s">
        <v>2824</v>
      </c>
    </row>
    <row r="1234" spans="1:15" x14ac:dyDescent="0.25">
      <c r="A1234" s="4" t="s">
        <v>2431</v>
      </c>
      <c r="B1234" s="4" t="s">
        <v>2432</v>
      </c>
      <c r="C1234" s="5">
        <v>2525</v>
      </c>
      <c r="D1234" s="6" t="s">
        <v>2433</v>
      </c>
      <c r="E1234" t="s">
        <v>1325</v>
      </c>
      <c r="F1234" t="s">
        <v>2156</v>
      </c>
      <c r="G1234" t="str">
        <f>+VLOOKUP(F1234,[1]Explore!$B:$I,8,0)</f>
        <v>Equity Implied Volatility</v>
      </c>
      <c r="H1234" t="s">
        <v>141</v>
      </c>
      <c r="I1234" t="str">
        <f>+VLOOKUP(H1234,[1]Explore!$A:$I,9,0)</f>
        <v>Equity Implied Volatility</v>
      </c>
      <c r="J1234" t="str">
        <f t="shared" si="38"/>
        <v>OK</v>
      </c>
      <c r="K1234" t="str">
        <f t="shared" si="39"/>
        <v>Equity Implied Volatility</v>
      </c>
      <c r="L1234" t="s">
        <v>27</v>
      </c>
      <c r="M1234" t="str">
        <f>_xlfn.IFNA(VLOOKUP(K1234,'Mapping DEF'!A:C,2,0),"")</f>
        <v>Equity Derivatives</v>
      </c>
      <c r="N1234" t="str">
        <f>+_xlfn.IFNA(VLOOKUP(M1234,'Mapping DEF'!B:C,2,FALSE),"")</f>
        <v>Equity</v>
      </c>
      <c r="O1234" t="s">
        <v>2802</v>
      </c>
    </row>
    <row r="1235" spans="1:15" x14ac:dyDescent="0.25">
      <c r="A1235" s="4" t="s">
        <v>2431</v>
      </c>
      <c r="B1235" s="4" t="s">
        <v>2432</v>
      </c>
      <c r="C1235" s="5">
        <v>2525</v>
      </c>
      <c r="D1235" s="6" t="s">
        <v>2433</v>
      </c>
      <c r="E1235" t="s">
        <v>1639</v>
      </c>
      <c r="F1235" t="s">
        <v>826</v>
      </c>
      <c r="G1235" t="str">
        <f>+VLOOKUP(F1235,[1]Explore!$B:$I,8,0)</f>
        <v>Equity Implied Volatility</v>
      </c>
      <c r="H1235" t="s">
        <v>827</v>
      </c>
      <c r="I1235" t="str">
        <f>+VLOOKUP(H1235,[1]Explore!$A:$I,9,0)</f>
        <v>Equity Implied Volatility</v>
      </c>
      <c r="J1235" t="str">
        <f t="shared" si="38"/>
        <v>OK</v>
      </c>
      <c r="K1235" t="str">
        <f t="shared" si="39"/>
        <v>Equity Implied Volatility</v>
      </c>
      <c r="L1235" t="s">
        <v>27</v>
      </c>
      <c r="M1235" t="str">
        <f>_xlfn.IFNA(VLOOKUP(K1235,'Mapping DEF'!A:C,2,0),"")</f>
        <v>Equity Derivatives</v>
      </c>
      <c r="N1235" t="str">
        <f>+_xlfn.IFNA(VLOOKUP(M1235,'Mapping DEF'!B:C,2,FALSE),"")</f>
        <v>Equity</v>
      </c>
      <c r="O1235" t="s">
        <v>2763</v>
      </c>
    </row>
    <row r="1236" spans="1:15" x14ac:dyDescent="0.25">
      <c r="A1236" s="4" t="s">
        <v>2431</v>
      </c>
      <c r="B1236" s="4" t="s">
        <v>2432</v>
      </c>
      <c r="C1236" s="5">
        <v>2525</v>
      </c>
      <c r="D1236" s="6" t="s">
        <v>2433</v>
      </c>
      <c r="E1236" t="s">
        <v>1640</v>
      </c>
      <c r="F1236" t="s">
        <v>2177</v>
      </c>
      <c r="G1236" t="str">
        <f>+VLOOKUP(F1236,[1]Explore!$B:$I,8,0)</f>
        <v>Consumer Discretionary</v>
      </c>
      <c r="H1236" t="s">
        <v>469</v>
      </c>
      <c r="I1236" t="e">
        <f>+VLOOKUP(H1236,[1]Explore!$A:$I,9,0)</f>
        <v>#N/A</v>
      </c>
      <c r="J1236" t="str">
        <f t="shared" si="38"/>
        <v>OK</v>
      </c>
      <c r="K1236" t="str">
        <f t="shared" si="39"/>
        <v>Consumer Discretionary</v>
      </c>
      <c r="L1236" t="s">
        <v>2141</v>
      </c>
      <c r="M1236" t="str">
        <f>_xlfn.IFNA(VLOOKUP(K1236,'Mapping DEF'!A:C,2,0),"")</f>
        <v>Industry Allocation</v>
      </c>
      <c r="N1236" t="str">
        <f>+_xlfn.IFNA(VLOOKUP(M1236,'Mapping DEF'!B:C,2,FALSE),"")</f>
        <v>Equity</v>
      </c>
      <c r="O1236" t="s">
        <v>2763</v>
      </c>
    </row>
    <row r="1237" spans="1:15" x14ac:dyDescent="0.25">
      <c r="A1237" s="4" t="s">
        <v>2431</v>
      </c>
      <c r="B1237" s="4" t="s">
        <v>2432</v>
      </c>
      <c r="C1237" s="5">
        <v>2525</v>
      </c>
      <c r="D1237" s="6" t="s">
        <v>2433</v>
      </c>
      <c r="E1237" t="s">
        <v>1641</v>
      </c>
      <c r="F1237" t="s">
        <v>346</v>
      </c>
      <c r="G1237" t="str">
        <f>+VLOOKUP(F1237,[1]Explore!$B:$I,8,0)</f>
        <v>Spread Emerging Markets - Country</v>
      </c>
      <c r="H1237" t="s">
        <v>347</v>
      </c>
      <c r="I1237" t="str">
        <f>+VLOOKUP(H1237,[1]Explore!$A:$I,9,0)</f>
        <v>Spread Emerging Markets - Country</v>
      </c>
      <c r="J1237" t="str">
        <f t="shared" si="38"/>
        <v>OK</v>
      </c>
      <c r="K1237" t="str">
        <f t="shared" si="39"/>
        <v>Spread Emerging Markets - Country</v>
      </c>
      <c r="L1237" t="s">
        <v>188</v>
      </c>
      <c r="M1237" t="str">
        <f>_xlfn.IFNA(VLOOKUP(K1237,'Mapping DEF'!A:C,2,0),"")</f>
        <v>Spread</v>
      </c>
      <c r="N1237" t="str">
        <f>+_xlfn.IFNA(VLOOKUP(M1237,'Mapping DEF'!B:C,2,FALSE),"")</f>
        <v>Spread</v>
      </c>
      <c r="O1237" t="s">
        <v>2791</v>
      </c>
    </row>
    <row r="1238" spans="1:15" x14ac:dyDescent="0.25">
      <c r="A1238" s="4" t="s">
        <v>2434</v>
      </c>
      <c r="B1238" s="4" t="s">
        <v>2435</v>
      </c>
      <c r="C1238" s="5">
        <v>2491</v>
      </c>
      <c r="D1238" s="6" t="s">
        <v>2436</v>
      </c>
      <c r="E1238" t="s">
        <v>911</v>
      </c>
      <c r="F1238" t="s">
        <v>19</v>
      </c>
      <c r="G1238" t="str">
        <f>+VLOOKUP(F1238,[1]Explore!$B:$I,8,0)</f>
        <v>Govt USD</v>
      </c>
      <c r="H1238" t="s">
        <v>20</v>
      </c>
      <c r="I1238" t="str">
        <f>+VLOOKUP(H1238,[1]Explore!$A:$I,9,0)</f>
        <v>Govt USD</v>
      </c>
      <c r="J1238" t="str">
        <f t="shared" si="38"/>
        <v>OK</v>
      </c>
      <c r="K1238" t="str">
        <f t="shared" si="39"/>
        <v>Govt USD</v>
      </c>
      <c r="L1238" t="s">
        <v>2143</v>
      </c>
      <c r="M1238" t="str">
        <f>_xlfn.IFNA(VLOOKUP(K1238,'Mapping DEF'!A:C,2,0),"")</f>
        <v>Curve (Local)</v>
      </c>
      <c r="N1238" t="str">
        <f>+_xlfn.IFNA(VLOOKUP(M1238,'Mapping DEF'!B:C,2,FALSE),"")</f>
        <v>Term Structure</v>
      </c>
      <c r="O1238" t="s">
        <v>2790</v>
      </c>
    </row>
    <row r="1239" spans="1:15" x14ac:dyDescent="0.25">
      <c r="A1239" s="4" t="s">
        <v>2434</v>
      </c>
      <c r="B1239" s="4" t="s">
        <v>2435</v>
      </c>
      <c r="C1239" s="5">
        <v>2491</v>
      </c>
      <c r="D1239" s="6" t="s">
        <v>2436</v>
      </c>
      <c r="E1239" t="s">
        <v>1642</v>
      </c>
      <c r="F1239" t="s">
        <v>753</v>
      </c>
      <c r="G1239" t="e">
        <f>+VLOOKUP(F1239,[1]Explore!$B:$I,8,0)</f>
        <v>#N/A</v>
      </c>
      <c r="H1239" t="s">
        <v>754</v>
      </c>
      <c r="I1239" t="e">
        <f>+VLOOKUP(H1239,[1]Explore!$A:$I,9,0)</f>
        <v>#N/A</v>
      </c>
      <c r="J1239" t="str">
        <f t="shared" si="38"/>
        <v>BOTH #N/A</v>
      </c>
      <c r="K1239" t="str">
        <f t="shared" si="39"/>
        <v>Corporate IG USD - Other</v>
      </c>
      <c r="L1239" t="s">
        <v>2650</v>
      </c>
      <c r="M1239" t="str">
        <f>_xlfn.IFNA(VLOOKUP(K1239,'Mapping DEF'!A:C,2,0),"")</f>
        <v>Spread</v>
      </c>
      <c r="N1239" t="str">
        <f>+_xlfn.IFNA(VLOOKUP(M1239,'Mapping DEF'!B:C,2,FALSE),"")</f>
        <v>Spread</v>
      </c>
      <c r="O1239" t="s">
        <v>2781</v>
      </c>
    </row>
    <row r="1240" spans="1:15" x14ac:dyDescent="0.25">
      <c r="A1240" s="4" t="s">
        <v>2434</v>
      </c>
      <c r="B1240" s="4" t="s">
        <v>2435</v>
      </c>
      <c r="C1240" s="5">
        <v>2491</v>
      </c>
      <c r="D1240" s="6" t="s">
        <v>2436</v>
      </c>
      <c r="E1240" t="s">
        <v>1643</v>
      </c>
      <c r="F1240" t="s">
        <v>2155</v>
      </c>
      <c r="G1240" t="str">
        <f>+VLOOKUP(F1240,[1]Explore!$B:$I,8,0)</f>
        <v>Equity Implied Volatility</v>
      </c>
      <c r="H1240" t="s">
        <v>49</v>
      </c>
      <c r="I1240" t="str">
        <f>+VLOOKUP(H1240,[1]Explore!$A:$I,9,0)</f>
        <v>Equity Implied Volatility</v>
      </c>
      <c r="J1240" t="str">
        <f t="shared" si="38"/>
        <v>OK</v>
      </c>
      <c r="K1240" t="str">
        <f t="shared" si="39"/>
        <v>Equity Implied Volatility</v>
      </c>
      <c r="L1240" t="s">
        <v>27</v>
      </c>
      <c r="M1240" t="str">
        <f>_xlfn.IFNA(VLOOKUP(K1240,'Mapping DEF'!A:C,2,0),"")</f>
        <v>Equity Derivatives</v>
      </c>
      <c r="N1240" t="str">
        <f>+_xlfn.IFNA(VLOOKUP(M1240,'Mapping DEF'!B:C,2,FALSE),"")</f>
        <v>Equity</v>
      </c>
      <c r="O1240" t="s">
        <v>2821</v>
      </c>
    </row>
    <row r="1241" spans="1:15" x14ac:dyDescent="0.25">
      <c r="A1241" s="4" t="s">
        <v>2434</v>
      </c>
      <c r="B1241" s="4" t="s">
        <v>2435</v>
      </c>
      <c r="C1241" s="5">
        <v>2491</v>
      </c>
      <c r="D1241" s="6" t="s">
        <v>2436</v>
      </c>
      <c r="E1241" t="s">
        <v>1644</v>
      </c>
      <c r="F1241" t="s">
        <v>2161</v>
      </c>
      <c r="G1241" t="e">
        <f>+VLOOKUP(F1241,[1]Explore!$B:$I,8,0)</f>
        <v>#N/A</v>
      </c>
      <c r="H1241" t="s">
        <v>233</v>
      </c>
      <c r="I1241" t="e">
        <f>+VLOOKUP(H1241,[1]Explore!$A:$I,9,0)</f>
        <v>#N/A</v>
      </c>
      <c r="J1241" t="str">
        <f t="shared" si="38"/>
        <v>BOTH #N/A</v>
      </c>
      <c r="K1241" t="str">
        <f t="shared" si="39"/>
        <v>Information Technology</v>
      </c>
      <c r="L1241" t="s">
        <v>2679</v>
      </c>
      <c r="M1241" t="str">
        <f>_xlfn.IFNA(VLOOKUP(K1241,'Mapping DEF'!A:C,2,0),"")</f>
        <v>Industry Allocation</v>
      </c>
      <c r="N1241" t="str">
        <f>+_xlfn.IFNA(VLOOKUP(M1241,'Mapping DEF'!B:C,2,FALSE),"")</f>
        <v>Equity</v>
      </c>
      <c r="O1241" t="s">
        <v>2768</v>
      </c>
    </row>
    <row r="1242" spans="1:15" x14ac:dyDescent="0.25">
      <c r="A1242" s="4" t="s">
        <v>2434</v>
      </c>
      <c r="B1242" s="4" t="s">
        <v>2435</v>
      </c>
      <c r="C1242" s="5">
        <v>2491</v>
      </c>
      <c r="D1242" s="6" t="s">
        <v>2436</v>
      </c>
      <c r="E1242" t="s">
        <v>697</v>
      </c>
      <c r="F1242" t="s">
        <v>2184</v>
      </c>
      <c r="G1242" t="e">
        <f>+VLOOKUP(F1242,[1]Explore!$B:$I,8,0)</f>
        <v>#N/A</v>
      </c>
      <c r="H1242" t="s">
        <v>698</v>
      </c>
      <c r="I1242" t="e">
        <f>+VLOOKUP(H1242,[1]Explore!$A:$I,9,0)</f>
        <v>#N/A</v>
      </c>
      <c r="J1242" t="str">
        <f t="shared" si="38"/>
        <v>BOTH #N/A</v>
      </c>
      <c r="K1242" t="str">
        <f t="shared" si="39"/>
        <v>Information Technology</v>
      </c>
      <c r="L1242" t="s">
        <v>2679</v>
      </c>
      <c r="M1242" t="str">
        <f>_xlfn.IFNA(VLOOKUP(K1242,'Mapping DEF'!A:C,2,0),"")</f>
        <v>Industry Allocation</v>
      </c>
      <c r="N1242" t="str">
        <f>+_xlfn.IFNA(VLOOKUP(M1242,'Mapping DEF'!B:C,2,FALSE),"")</f>
        <v>Equity</v>
      </c>
      <c r="O1242" t="s">
        <v>2753</v>
      </c>
    </row>
    <row r="1243" spans="1:15" x14ac:dyDescent="0.25">
      <c r="A1243" s="4" t="s">
        <v>2434</v>
      </c>
      <c r="B1243" s="4" t="s">
        <v>2435</v>
      </c>
      <c r="C1243" s="5">
        <v>2491</v>
      </c>
      <c r="D1243" s="6" t="s">
        <v>2436</v>
      </c>
      <c r="E1243" t="s">
        <v>1645</v>
      </c>
      <c r="F1243" t="s">
        <v>2622</v>
      </c>
      <c r="G1243" t="e">
        <f>+VLOOKUP(F1243,[1]Explore!$B:$I,8,0)</f>
        <v>#N/A</v>
      </c>
      <c r="H1243" t="s">
        <v>1646</v>
      </c>
      <c r="I1243" t="e">
        <f>+VLOOKUP(H1243,[1]Explore!$A:$I,9,0)</f>
        <v>#N/A</v>
      </c>
      <c r="J1243" t="str">
        <f t="shared" si="38"/>
        <v>BOTH #N/A</v>
      </c>
      <c r="K1243" t="str">
        <f t="shared" si="39"/>
        <v>Information Technology</v>
      </c>
      <c r="L1243" t="s">
        <v>2679</v>
      </c>
      <c r="M1243" t="str">
        <f>_xlfn.IFNA(VLOOKUP(K1243,'Mapping DEF'!A:C,2,0),"")</f>
        <v>Industry Allocation</v>
      </c>
      <c r="N1243" t="str">
        <f>+_xlfn.IFNA(VLOOKUP(M1243,'Mapping DEF'!B:C,2,FALSE),"")</f>
        <v>Equity</v>
      </c>
      <c r="O1243" t="s">
        <v>2754</v>
      </c>
    </row>
    <row r="1244" spans="1:15" x14ac:dyDescent="0.25">
      <c r="A1244" s="4" t="s">
        <v>2434</v>
      </c>
      <c r="B1244" s="4" t="s">
        <v>2435</v>
      </c>
      <c r="C1244" s="5">
        <v>2491</v>
      </c>
      <c r="D1244" s="6" t="s">
        <v>2436</v>
      </c>
      <c r="E1244" t="s">
        <v>1647</v>
      </c>
      <c r="F1244" t="s">
        <v>2162</v>
      </c>
      <c r="G1244" t="str">
        <f>+VLOOKUP(F1244,[1]Explore!$B:$I,8,0)</f>
        <v>Information Technology</v>
      </c>
      <c r="H1244" t="s">
        <v>117</v>
      </c>
      <c r="I1244" t="e">
        <f>+VLOOKUP(H1244,[1]Explore!$A:$I,9,0)</f>
        <v>#N/A</v>
      </c>
      <c r="J1244" t="str">
        <f t="shared" si="38"/>
        <v>OK</v>
      </c>
      <c r="K1244" t="str">
        <f t="shared" si="39"/>
        <v>Information Technology</v>
      </c>
      <c r="L1244" t="s">
        <v>2141</v>
      </c>
      <c r="M1244" t="str">
        <f>_xlfn.IFNA(VLOOKUP(K1244,'Mapping DEF'!A:C,2,0),"")</f>
        <v>Industry Allocation</v>
      </c>
      <c r="N1244" t="str">
        <f>+_xlfn.IFNA(VLOOKUP(M1244,'Mapping DEF'!B:C,2,FALSE),"")</f>
        <v>Equity</v>
      </c>
      <c r="O1244" t="s">
        <v>2754</v>
      </c>
    </row>
    <row r="1245" spans="1:15" x14ac:dyDescent="0.25">
      <c r="A1245" s="4" t="s">
        <v>2434</v>
      </c>
      <c r="B1245" s="4" t="s">
        <v>2435</v>
      </c>
      <c r="C1245" s="5">
        <v>2491</v>
      </c>
      <c r="D1245" s="6" t="s">
        <v>2436</v>
      </c>
      <c r="E1245" t="s">
        <v>1648</v>
      </c>
      <c r="F1245" t="s">
        <v>1586</v>
      </c>
      <c r="G1245" t="str">
        <f>+VLOOKUP(F1245,[1]Explore!$B:$I,8,0)</f>
        <v>Local Styles</v>
      </c>
      <c r="H1245" t="s">
        <v>1587</v>
      </c>
      <c r="I1245" t="e">
        <f>+VLOOKUP(H1245,[1]Explore!$A:$I,9,0)</f>
        <v>#N/A</v>
      </c>
      <c r="J1245" t="str">
        <f t="shared" si="38"/>
        <v>OK</v>
      </c>
      <c r="K1245" t="str">
        <f t="shared" si="39"/>
        <v>Local Styles</v>
      </c>
      <c r="L1245" t="s">
        <v>2145</v>
      </c>
      <c r="M1245" t="str">
        <f>_xlfn.IFNA(VLOOKUP(K1245,'Mapping DEF'!A:C,2,0),"")</f>
        <v>Style</v>
      </c>
      <c r="N1245" t="str">
        <f>+_xlfn.IFNA(VLOOKUP(M1245,'Mapping DEF'!B:C,2,FALSE),"")</f>
        <v>Equity</v>
      </c>
      <c r="O1245" t="s">
        <v>2871</v>
      </c>
    </row>
    <row r="1246" spans="1:15" x14ac:dyDescent="0.25">
      <c r="A1246" s="4" t="s">
        <v>2437</v>
      </c>
      <c r="B1246" s="4" t="s">
        <v>2438</v>
      </c>
      <c r="C1246" s="5">
        <v>2401</v>
      </c>
      <c r="D1246" s="6" t="s">
        <v>2439</v>
      </c>
      <c r="E1246" t="s">
        <v>1649</v>
      </c>
      <c r="F1246" t="s">
        <v>19</v>
      </c>
      <c r="G1246" t="str">
        <f>+VLOOKUP(F1246,[1]Explore!$B:$I,8,0)</f>
        <v>Govt USD</v>
      </c>
      <c r="H1246" t="s">
        <v>20</v>
      </c>
      <c r="I1246" t="str">
        <f>+VLOOKUP(H1246,[1]Explore!$A:$I,9,0)</f>
        <v>Govt USD</v>
      </c>
      <c r="J1246" t="str">
        <f t="shared" si="38"/>
        <v>OK</v>
      </c>
      <c r="K1246" t="str">
        <f t="shared" si="39"/>
        <v>Govt USD</v>
      </c>
      <c r="L1246" t="s">
        <v>2137</v>
      </c>
      <c r="M1246" t="str">
        <f>_xlfn.IFNA(VLOOKUP(K1246,'Mapping DEF'!A:C,2,0),"")</f>
        <v>Curve (Local)</v>
      </c>
      <c r="N1246" t="str">
        <f>+_xlfn.IFNA(VLOOKUP(M1246,'Mapping DEF'!B:C,2,FALSE),"")</f>
        <v>Term Structure</v>
      </c>
      <c r="O1246" s="7" t="s">
        <v>2780</v>
      </c>
    </row>
    <row r="1247" spans="1:15" x14ac:dyDescent="0.25">
      <c r="A1247" s="4" t="s">
        <v>2437</v>
      </c>
      <c r="B1247" s="4" t="s">
        <v>2438</v>
      </c>
      <c r="C1247" s="5">
        <v>2401</v>
      </c>
      <c r="D1247" s="6" t="s">
        <v>2439</v>
      </c>
      <c r="E1247" t="s">
        <v>540</v>
      </c>
      <c r="F1247" t="s">
        <v>480</v>
      </c>
      <c r="G1247" t="str">
        <f>+VLOOKUP(F1247,[1]Explore!$B:$I,8,0)</f>
        <v>Alternative - Commodity</v>
      </c>
      <c r="H1247" t="s">
        <v>481</v>
      </c>
      <c r="I1247" t="str">
        <f>+VLOOKUP(H1247,[1]Explore!$A:$I,9,0)</f>
        <v>Alternative - Commodity</v>
      </c>
      <c r="J1247" t="str">
        <f t="shared" si="38"/>
        <v>OK</v>
      </c>
      <c r="K1247" t="str">
        <f t="shared" si="39"/>
        <v>Alternative - Commodity</v>
      </c>
      <c r="L1247" t="s">
        <v>2139</v>
      </c>
      <c r="M1247" t="str">
        <f>_xlfn.IFNA(VLOOKUP(K1247,'Mapping DEF'!A:C,2,0),"")</f>
        <v>Alternative</v>
      </c>
      <c r="N1247" t="str">
        <f>+_xlfn.IFNA(VLOOKUP(M1247,'Mapping DEF'!B:C,2,FALSE),"")</f>
        <v>Other</v>
      </c>
      <c r="O1247" t="s">
        <v>2753</v>
      </c>
    </row>
    <row r="1248" spans="1:15" x14ac:dyDescent="0.25">
      <c r="A1248" s="4" t="s">
        <v>2437</v>
      </c>
      <c r="B1248" s="4" t="s">
        <v>2438</v>
      </c>
      <c r="C1248" s="5">
        <v>2401</v>
      </c>
      <c r="D1248" s="6" t="s">
        <v>2439</v>
      </c>
      <c r="E1248" t="s">
        <v>313</v>
      </c>
      <c r="F1248" t="s">
        <v>268</v>
      </c>
      <c r="G1248" t="str">
        <f>+VLOOKUP(F1248,[1]Explore!$B:$I,8,0)</f>
        <v>Alternative - Commodity</v>
      </c>
      <c r="H1248" t="s">
        <v>269</v>
      </c>
      <c r="I1248" t="str">
        <f>+VLOOKUP(H1248,[1]Explore!$A:$I,9,0)</f>
        <v>Alternative - Commodity</v>
      </c>
      <c r="J1248" t="str">
        <f t="shared" si="38"/>
        <v>OK</v>
      </c>
      <c r="K1248" t="str">
        <f t="shared" si="39"/>
        <v>Alternative - Commodity</v>
      </c>
      <c r="L1248" t="s">
        <v>2139</v>
      </c>
      <c r="M1248" t="str">
        <f>_xlfn.IFNA(VLOOKUP(K1248,'Mapping DEF'!A:C,2,0),"")</f>
        <v>Alternative</v>
      </c>
      <c r="N1248" t="str">
        <f>+_xlfn.IFNA(VLOOKUP(M1248,'Mapping DEF'!B:C,2,FALSE),"")</f>
        <v>Other</v>
      </c>
      <c r="O1248" t="s">
        <v>2794</v>
      </c>
    </row>
    <row r="1249" spans="1:15" x14ac:dyDescent="0.25">
      <c r="A1249" s="4" t="s">
        <v>2437</v>
      </c>
      <c r="B1249" s="4" t="s">
        <v>2438</v>
      </c>
      <c r="C1249" s="5">
        <v>2401</v>
      </c>
      <c r="D1249" s="6" t="s">
        <v>2439</v>
      </c>
      <c r="E1249" t="s">
        <v>1402</v>
      </c>
      <c r="F1249" t="s">
        <v>206</v>
      </c>
      <c r="G1249" t="e">
        <f>+VLOOKUP(F1249,[1]Explore!$B:$I,8,0)</f>
        <v>#N/A</v>
      </c>
      <c r="H1249" t="s">
        <v>206</v>
      </c>
      <c r="I1249" t="e">
        <f>+VLOOKUP(H1249,[1]Explore!$A:$I,9,0)</f>
        <v>#N/A</v>
      </c>
      <c r="J1249" t="str">
        <f t="shared" si="38"/>
        <v>BOTH #N/A</v>
      </c>
      <c r="K1249" t="str">
        <f t="shared" si="39"/>
        <v>Dollar Index</v>
      </c>
      <c r="L1249" t="s">
        <v>2930</v>
      </c>
      <c r="M1249" t="str">
        <f>_xlfn.IFNA(VLOOKUP(K1249,'Mapping DEF'!A:C,2,0),"")</f>
        <v>Index Level</v>
      </c>
      <c r="N1249" t="str">
        <f>+_xlfn.IFNA(VLOOKUP(M1249,'Mapping DEF'!B:C,2,FALSE),"")</f>
        <v>Other</v>
      </c>
      <c r="O1249" t="s">
        <v>2802</v>
      </c>
    </row>
    <row r="1250" spans="1:15" x14ac:dyDescent="0.25">
      <c r="A1250" s="4" t="s">
        <v>2437</v>
      </c>
      <c r="B1250" s="4" t="s">
        <v>2438</v>
      </c>
      <c r="C1250" s="5">
        <v>2401</v>
      </c>
      <c r="D1250" s="6" t="s">
        <v>2439</v>
      </c>
      <c r="E1250" t="s">
        <v>1650</v>
      </c>
      <c r="F1250" t="s">
        <v>1651</v>
      </c>
      <c r="G1250" t="str">
        <f>+VLOOKUP(F1250,[1]Explore!$B:$I,8,0)</f>
        <v>Equity Implied Volatility</v>
      </c>
      <c r="H1250" t="s">
        <v>1652</v>
      </c>
      <c r="I1250" t="str">
        <f>+VLOOKUP(H1250,[1]Explore!$A:$I,9,0)</f>
        <v>Equity Implied Volatility</v>
      </c>
      <c r="J1250" t="str">
        <f t="shared" si="38"/>
        <v>OK</v>
      </c>
      <c r="K1250" t="str">
        <f t="shared" si="39"/>
        <v>Equity Implied Volatility</v>
      </c>
      <c r="L1250" t="s">
        <v>27</v>
      </c>
      <c r="M1250" t="str">
        <f>_xlfn.IFNA(VLOOKUP(K1250,'Mapping DEF'!A:C,2,0),"")</f>
        <v>Equity Derivatives</v>
      </c>
      <c r="N1250" t="str">
        <f>+_xlfn.IFNA(VLOOKUP(M1250,'Mapping DEF'!B:C,2,FALSE),"")</f>
        <v>Equity</v>
      </c>
      <c r="O1250" t="s">
        <v>2803</v>
      </c>
    </row>
    <row r="1251" spans="1:15" x14ac:dyDescent="0.25">
      <c r="A1251" s="4" t="s">
        <v>2437</v>
      </c>
      <c r="B1251" s="4" t="s">
        <v>2438</v>
      </c>
      <c r="C1251" s="5">
        <v>2401</v>
      </c>
      <c r="D1251" s="6" t="s">
        <v>2439</v>
      </c>
      <c r="E1251" t="s">
        <v>1623</v>
      </c>
      <c r="F1251" t="s">
        <v>425</v>
      </c>
      <c r="G1251" t="str">
        <f>+VLOOKUP(F1251,[1]Explore!$B:$I,8,0)</f>
        <v>Corporate HY Other - Maturity</v>
      </c>
      <c r="H1251" t="s">
        <v>426</v>
      </c>
      <c r="I1251" t="str">
        <f>+VLOOKUP(H1251,[1]Explore!$A:$I,9,0)</f>
        <v>Corporate HY Other - Maturity</v>
      </c>
      <c r="J1251" t="str">
        <f t="shared" si="38"/>
        <v>OK</v>
      </c>
      <c r="K1251" t="str">
        <f t="shared" si="39"/>
        <v>Corporate HY Other - Maturity</v>
      </c>
      <c r="L1251" t="s">
        <v>188</v>
      </c>
      <c r="M1251" t="str">
        <f>_xlfn.IFNA(VLOOKUP(K1251,'Mapping DEF'!A:C,2,0),"")</f>
        <v>Spread</v>
      </c>
      <c r="N1251" t="str">
        <f>+_xlfn.IFNA(VLOOKUP(M1251,'Mapping DEF'!B:C,2,FALSE),"")</f>
        <v>Spread</v>
      </c>
      <c r="O1251" t="s">
        <v>2765</v>
      </c>
    </row>
    <row r="1252" spans="1:15" x14ac:dyDescent="0.25">
      <c r="A1252" s="4" t="s">
        <v>2437</v>
      </c>
      <c r="B1252" s="4" t="s">
        <v>2438</v>
      </c>
      <c r="C1252" s="5">
        <v>2401</v>
      </c>
      <c r="D1252" s="6" t="s">
        <v>2439</v>
      </c>
      <c r="E1252" t="s">
        <v>1653</v>
      </c>
      <c r="F1252" t="s">
        <v>2176</v>
      </c>
      <c r="G1252" t="str">
        <f>+VLOOKUP(F1252,[1]Explore!$B:$I,8,0)</f>
        <v>Industrials</v>
      </c>
      <c r="H1252" t="s">
        <v>1294</v>
      </c>
      <c r="I1252" t="str">
        <f>+VLOOKUP(H1252,[1]Explore!$A:$I,9,0)</f>
        <v>Industrials</v>
      </c>
      <c r="J1252" t="str">
        <f t="shared" si="38"/>
        <v>OK</v>
      </c>
      <c r="K1252" t="str">
        <f t="shared" si="39"/>
        <v>Industrials</v>
      </c>
      <c r="L1252" t="s">
        <v>2141</v>
      </c>
      <c r="M1252" t="str">
        <f>_xlfn.IFNA(VLOOKUP(K1252,'Mapping DEF'!A:C,2,0),"")</f>
        <v>Industry Allocation</v>
      </c>
      <c r="N1252" t="str">
        <f>+_xlfn.IFNA(VLOOKUP(M1252,'Mapping DEF'!B:C,2,FALSE),"")</f>
        <v>Equity</v>
      </c>
      <c r="O1252" t="s">
        <v>2824</v>
      </c>
    </row>
    <row r="1253" spans="1:15" x14ac:dyDescent="0.25">
      <c r="A1253" s="4" t="s">
        <v>2437</v>
      </c>
      <c r="B1253" s="4" t="s">
        <v>2438</v>
      </c>
      <c r="C1253" s="5">
        <v>2401</v>
      </c>
      <c r="D1253" s="6" t="s">
        <v>2439</v>
      </c>
      <c r="E1253" t="s">
        <v>1654</v>
      </c>
      <c r="F1253" t="s">
        <v>807</v>
      </c>
      <c r="G1253" t="str">
        <f>+VLOOKUP(F1253,[1]Explore!$B:$I,8,0)</f>
        <v>Volatility</v>
      </c>
      <c r="H1253" t="s">
        <v>808</v>
      </c>
      <c r="I1253" t="str">
        <f>+VLOOKUP(H1253,[1]Explore!$A:$I,9,0)</f>
        <v>Volatility</v>
      </c>
      <c r="J1253" t="str">
        <f t="shared" si="38"/>
        <v>OK</v>
      </c>
      <c r="K1253" t="str">
        <f t="shared" si="39"/>
        <v>Volatility</v>
      </c>
      <c r="L1253" t="s">
        <v>2145</v>
      </c>
      <c r="M1253" t="str">
        <f>_xlfn.IFNA(VLOOKUP(K1253,'Mapping DEF'!A:C,2,0),"")</f>
        <v>Style</v>
      </c>
      <c r="N1253" t="str">
        <f>+_xlfn.IFNA(VLOOKUP(M1253,'Mapping DEF'!B:C,2,FALSE),"")</f>
        <v>Equity</v>
      </c>
      <c r="O1253" t="s">
        <v>2872</v>
      </c>
    </row>
    <row r="1254" spans="1:15" x14ac:dyDescent="0.25">
      <c r="A1254" s="4" t="s">
        <v>2437</v>
      </c>
      <c r="B1254" s="4" t="s">
        <v>2438</v>
      </c>
      <c r="C1254" s="5">
        <v>2401</v>
      </c>
      <c r="D1254" s="6" t="s">
        <v>2439</v>
      </c>
      <c r="E1254" t="s">
        <v>1655</v>
      </c>
      <c r="F1254" t="s">
        <v>666</v>
      </c>
      <c r="G1254" t="str">
        <f>+VLOOKUP(F1254,[1]Explore!$B:$I,8,0)</f>
        <v>Corporate HY USD - Industry</v>
      </c>
      <c r="H1254" t="s">
        <v>667</v>
      </c>
      <c r="I1254" t="str">
        <f>+VLOOKUP(H1254,[1]Explore!$A:$I,9,0)</f>
        <v>Corporate HY USD - Industry</v>
      </c>
      <c r="J1254" t="str">
        <f t="shared" si="38"/>
        <v>OK</v>
      </c>
      <c r="K1254" t="str">
        <f t="shared" si="39"/>
        <v>Corporate HY USD - Industry</v>
      </c>
      <c r="L1254" t="s">
        <v>188</v>
      </c>
      <c r="M1254" t="str">
        <f>_xlfn.IFNA(VLOOKUP(K1254,'Mapping DEF'!A:C,2,0),"")</f>
        <v>Spread</v>
      </c>
      <c r="N1254" t="str">
        <f>+_xlfn.IFNA(VLOOKUP(M1254,'Mapping DEF'!B:C,2,FALSE),"")</f>
        <v>Spread</v>
      </c>
      <c r="O1254" t="s">
        <v>2773</v>
      </c>
    </row>
    <row r="1255" spans="1:15" x14ac:dyDescent="0.25">
      <c r="A1255" s="4" t="s">
        <v>2437</v>
      </c>
      <c r="B1255" s="4" t="s">
        <v>2438</v>
      </c>
      <c r="C1255" s="5">
        <v>2401</v>
      </c>
      <c r="D1255" s="6" t="s">
        <v>2439</v>
      </c>
      <c r="E1255" t="s">
        <v>1656</v>
      </c>
      <c r="F1255" t="s">
        <v>2618</v>
      </c>
      <c r="G1255" t="str">
        <f>+VLOOKUP(F1255,[1]Explore!$B:$I,8,0)</f>
        <v>Equity Implied Volatility</v>
      </c>
      <c r="H1255" t="s">
        <v>243</v>
      </c>
      <c r="I1255" t="e">
        <f>+VLOOKUP(H1255,[1]Explore!$A:$I,9,0)</f>
        <v>#N/A</v>
      </c>
      <c r="J1255" t="str">
        <f t="shared" si="38"/>
        <v>OK</v>
      </c>
      <c r="K1255" t="str">
        <f t="shared" si="39"/>
        <v>Equity Implied Volatility</v>
      </c>
      <c r="L1255" t="s">
        <v>27</v>
      </c>
      <c r="M1255" t="str">
        <f>_xlfn.IFNA(VLOOKUP(K1255,'Mapping DEF'!A:C,2,0),"")</f>
        <v>Equity Derivatives</v>
      </c>
      <c r="N1255" t="str">
        <f>+_xlfn.IFNA(VLOOKUP(M1255,'Mapping DEF'!B:C,2,FALSE),"")</f>
        <v>Equity</v>
      </c>
      <c r="O1255" t="s">
        <v>2770</v>
      </c>
    </row>
    <row r="1256" spans="1:15" x14ac:dyDescent="0.25">
      <c r="A1256" s="4" t="s">
        <v>2437</v>
      </c>
      <c r="B1256" s="4" t="s">
        <v>2438</v>
      </c>
      <c r="C1256" s="5">
        <v>2401</v>
      </c>
      <c r="D1256" s="6" t="s">
        <v>2439</v>
      </c>
      <c r="E1256" t="s">
        <v>1657</v>
      </c>
      <c r="F1256" t="s">
        <v>19</v>
      </c>
      <c r="G1256" t="str">
        <f>+VLOOKUP(F1256,[1]Explore!$B:$I,8,0)</f>
        <v>Govt USD</v>
      </c>
      <c r="H1256" t="s">
        <v>323</v>
      </c>
      <c r="I1256" t="e">
        <f>+VLOOKUP(H1256,[1]Explore!$A:$I,9,0)</f>
        <v>#N/A</v>
      </c>
      <c r="J1256" t="str">
        <f t="shared" si="38"/>
        <v>OK</v>
      </c>
      <c r="K1256" t="str">
        <f t="shared" si="39"/>
        <v>Govt USD</v>
      </c>
      <c r="L1256" t="s">
        <v>2143</v>
      </c>
      <c r="M1256" t="str">
        <f>_xlfn.IFNA(VLOOKUP(K1256,'Mapping DEF'!A:C,2,0),"")</f>
        <v>Curve (Local)</v>
      </c>
      <c r="N1256" t="str">
        <f>+_xlfn.IFNA(VLOOKUP(M1256,'Mapping DEF'!B:C,2,FALSE),"")</f>
        <v>Term Structure</v>
      </c>
      <c r="O1256" t="s">
        <v>2752</v>
      </c>
    </row>
    <row r="1257" spans="1:15" x14ac:dyDescent="0.25">
      <c r="A1257" s="4" t="s">
        <v>2440</v>
      </c>
      <c r="B1257" s="4" t="s">
        <v>2441</v>
      </c>
      <c r="C1257" s="5">
        <v>2206</v>
      </c>
      <c r="D1257" s="6" t="s">
        <v>2442</v>
      </c>
      <c r="E1257" t="s">
        <v>1508</v>
      </c>
      <c r="F1257" t="s">
        <v>19</v>
      </c>
      <c r="G1257" t="str">
        <f>+VLOOKUP(F1257,[1]Explore!$B:$I,8,0)</f>
        <v>Govt USD</v>
      </c>
      <c r="H1257" t="s">
        <v>20</v>
      </c>
      <c r="I1257" t="str">
        <f>+VLOOKUP(H1257,[1]Explore!$A:$I,9,0)</f>
        <v>Govt USD</v>
      </c>
      <c r="J1257" t="str">
        <f t="shared" si="38"/>
        <v>OK</v>
      </c>
      <c r="K1257" t="str">
        <f t="shared" si="39"/>
        <v>Govt USD</v>
      </c>
      <c r="L1257" t="s">
        <v>2143</v>
      </c>
      <c r="M1257" t="str">
        <f>_xlfn.IFNA(VLOOKUP(K1257,'Mapping DEF'!A:C,2,0),"")</f>
        <v>Curve (Local)</v>
      </c>
      <c r="N1257" t="str">
        <f>+_xlfn.IFNA(VLOOKUP(M1257,'Mapping DEF'!B:C,2,FALSE),"")</f>
        <v>Term Structure</v>
      </c>
      <c r="O1257" t="s">
        <v>2782</v>
      </c>
    </row>
    <row r="1258" spans="1:15" x14ac:dyDescent="0.25">
      <c r="A1258" s="4" t="s">
        <v>2440</v>
      </c>
      <c r="B1258" s="4" t="s">
        <v>2441</v>
      </c>
      <c r="C1258" s="5">
        <v>2206</v>
      </c>
      <c r="D1258" s="6" t="s">
        <v>2442</v>
      </c>
      <c r="E1258" t="s">
        <v>1658</v>
      </c>
      <c r="F1258" t="s">
        <v>1659</v>
      </c>
      <c r="G1258" t="str">
        <f>+VLOOKUP(F1258,[1]Explore!$B:$I,8,0)</f>
        <v>Govt Emerging Markets</v>
      </c>
      <c r="H1258" t="s">
        <v>1660</v>
      </c>
      <c r="I1258" t="str">
        <f>+VLOOKUP(H1258,[1]Explore!$A:$I,9,0)</f>
        <v>Govt Emerging Markets</v>
      </c>
      <c r="J1258" t="str">
        <f t="shared" si="38"/>
        <v>OK</v>
      </c>
      <c r="K1258" t="str">
        <f t="shared" si="39"/>
        <v>Govt Emerging Markets</v>
      </c>
      <c r="L1258" t="s">
        <v>2143</v>
      </c>
      <c r="M1258" t="str">
        <f>_xlfn.IFNA(VLOOKUP(K1258,'Mapping DEF'!A:C,2,0),"")</f>
        <v>Curve (Local)</v>
      </c>
      <c r="N1258" t="str">
        <f>+_xlfn.IFNA(VLOOKUP(M1258,'Mapping DEF'!B:C,2,FALSE),"")</f>
        <v>Term Structure</v>
      </c>
      <c r="O1258" t="s">
        <v>2774</v>
      </c>
    </row>
    <row r="1259" spans="1:15" x14ac:dyDescent="0.25">
      <c r="A1259" s="4" t="s">
        <v>2440</v>
      </c>
      <c r="B1259" s="4" t="s">
        <v>2441</v>
      </c>
      <c r="C1259" s="5">
        <v>2206</v>
      </c>
      <c r="D1259" s="6" t="s">
        <v>2442</v>
      </c>
      <c r="E1259" t="s">
        <v>1661</v>
      </c>
      <c r="F1259" t="s">
        <v>2944</v>
      </c>
      <c r="G1259" t="str">
        <f>+VLOOKUP(F1259,[1]Explore!$B:$I,8,0)</f>
        <v>JPY</v>
      </c>
      <c r="H1259" t="s">
        <v>138</v>
      </c>
      <c r="I1259" t="str">
        <f>+VLOOKUP(H1259,[1]Explore!$A:$I,9,0)</f>
        <v>JPY</v>
      </c>
      <c r="J1259" t="str">
        <f t="shared" si="38"/>
        <v>OK</v>
      </c>
      <c r="K1259" t="str">
        <f t="shared" si="39"/>
        <v>JPY</v>
      </c>
      <c r="L1259" t="s">
        <v>2140</v>
      </c>
      <c r="M1259" t="str">
        <f>_xlfn.IFNA(VLOOKUP(K1259,'Mapping DEF'!A:C,2,0),"")</f>
        <v>FX</v>
      </c>
      <c r="N1259" t="str">
        <f>+_xlfn.IFNA(VLOOKUP(M1259,'Mapping DEF'!B:C,2,FALSE),"")</f>
        <v>FX</v>
      </c>
      <c r="O1259" t="s">
        <v>2754</v>
      </c>
    </row>
    <row r="1260" spans="1:15" x14ac:dyDescent="0.25">
      <c r="A1260" s="4" t="s">
        <v>2440</v>
      </c>
      <c r="B1260" s="4" t="s">
        <v>2441</v>
      </c>
      <c r="C1260" s="5">
        <v>2206</v>
      </c>
      <c r="D1260" s="6" t="s">
        <v>2442</v>
      </c>
      <c r="E1260" t="s">
        <v>1662</v>
      </c>
      <c r="F1260" t="s">
        <v>798</v>
      </c>
      <c r="G1260" t="e">
        <f>+VLOOKUP(F1260,[1]Explore!$B:$I,8,0)</f>
        <v>#N/A</v>
      </c>
      <c r="H1260" t="s">
        <v>799</v>
      </c>
      <c r="I1260" t="str">
        <f>+VLOOKUP(H1260,[1]Explore!$A:$I,9,0)</f>
        <v>Emerging Currency</v>
      </c>
      <c r="J1260" t="str">
        <f t="shared" si="38"/>
        <v>OK</v>
      </c>
      <c r="K1260" t="str">
        <f t="shared" si="39"/>
        <v>Emerging Currency</v>
      </c>
      <c r="L1260" t="s">
        <v>2140</v>
      </c>
      <c r="M1260" t="str">
        <f>_xlfn.IFNA(VLOOKUP(K1260,'Mapping DEF'!A:C,2,0),"")</f>
        <v>FX</v>
      </c>
      <c r="N1260" t="str">
        <f>+_xlfn.IFNA(VLOOKUP(M1260,'Mapping DEF'!B:C,2,FALSE),"")</f>
        <v>FX</v>
      </c>
      <c r="O1260" t="s">
        <v>2763</v>
      </c>
    </row>
    <row r="1261" spans="1:15" x14ac:dyDescent="0.25">
      <c r="A1261" s="4" t="s">
        <v>2440</v>
      </c>
      <c r="B1261" s="4" t="s">
        <v>2441</v>
      </c>
      <c r="C1261" s="5">
        <v>2206</v>
      </c>
      <c r="D1261" s="6" t="s">
        <v>2442</v>
      </c>
      <c r="E1261" t="s">
        <v>1663</v>
      </c>
      <c r="F1261" t="s">
        <v>2156</v>
      </c>
      <c r="G1261" t="str">
        <f>+VLOOKUP(F1261,[1]Explore!$B:$I,8,0)</f>
        <v>Equity Implied Volatility</v>
      </c>
      <c r="H1261" t="s">
        <v>141</v>
      </c>
      <c r="I1261" t="str">
        <f>+VLOOKUP(H1261,[1]Explore!$A:$I,9,0)</f>
        <v>Equity Implied Volatility</v>
      </c>
      <c r="J1261" t="str">
        <f t="shared" si="38"/>
        <v>OK</v>
      </c>
      <c r="K1261" t="str">
        <f t="shared" si="39"/>
        <v>Equity Implied Volatility</v>
      </c>
      <c r="L1261" t="s">
        <v>27</v>
      </c>
      <c r="M1261" t="str">
        <f>_xlfn.IFNA(VLOOKUP(K1261,'Mapping DEF'!A:C,2,0),"")</f>
        <v>Equity Derivatives</v>
      </c>
      <c r="N1261" t="str">
        <f>+_xlfn.IFNA(VLOOKUP(M1261,'Mapping DEF'!B:C,2,FALSE),"")</f>
        <v>Equity</v>
      </c>
      <c r="O1261" t="s">
        <v>2822</v>
      </c>
    </row>
    <row r="1262" spans="1:15" x14ac:dyDescent="0.25">
      <c r="A1262" s="4" t="s">
        <v>2440</v>
      </c>
      <c r="B1262" s="4" t="s">
        <v>2441</v>
      </c>
      <c r="C1262" s="5">
        <v>2206</v>
      </c>
      <c r="D1262" s="6" t="s">
        <v>2442</v>
      </c>
      <c r="E1262" t="s">
        <v>1664</v>
      </c>
      <c r="F1262" t="s">
        <v>1665</v>
      </c>
      <c r="G1262" t="str">
        <f>+VLOOKUP(F1262,[1]Explore!$B:$I,8,0)</f>
        <v>Equity Implied Volatility</v>
      </c>
      <c r="H1262" t="s">
        <v>1666</v>
      </c>
      <c r="I1262" t="str">
        <f>+VLOOKUP(H1262,[1]Explore!$A:$I,9,0)</f>
        <v>Equity Implied Volatility</v>
      </c>
      <c r="J1262" t="str">
        <f t="shared" si="38"/>
        <v>OK</v>
      </c>
      <c r="K1262" t="str">
        <f t="shared" si="39"/>
        <v>Equity Implied Volatility</v>
      </c>
      <c r="L1262" t="s">
        <v>27</v>
      </c>
      <c r="M1262" t="str">
        <f>_xlfn.IFNA(VLOOKUP(K1262,'Mapping DEF'!A:C,2,0),"")</f>
        <v>Equity Derivatives</v>
      </c>
      <c r="N1262" t="str">
        <f>+_xlfn.IFNA(VLOOKUP(M1262,'Mapping DEF'!B:C,2,FALSE),"")</f>
        <v>Equity</v>
      </c>
      <c r="O1262" t="s">
        <v>2776</v>
      </c>
    </row>
    <row r="1263" spans="1:15" x14ac:dyDescent="0.25">
      <c r="A1263" s="4" t="s">
        <v>2440</v>
      </c>
      <c r="B1263" s="4" t="s">
        <v>2441</v>
      </c>
      <c r="C1263" s="5">
        <v>2206</v>
      </c>
      <c r="D1263" s="6" t="s">
        <v>2442</v>
      </c>
      <c r="E1263" t="s">
        <v>1667</v>
      </c>
      <c r="F1263" t="s">
        <v>1651</v>
      </c>
      <c r="G1263" t="str">
        <f>+VLOOKUP(F1263,[1]Explore!$B:$I,8,0)</f>
        <v>Equity Implied Volatility</v>
      </c>
      <c r="H1263" t="s">
        <v>1652</v>
      </c>
      <c r="I1263" t="str">
        <f>+VLOOKUP(H1263,[1]Explore!$A:$I,9,0)</f>
        <v>Equity Implied Volatility</v>
      </c>
      <c r="J1263" t="str">
        <f t="shared" si="38"/>
        <v>OK</v>
      </c>
      <c r="K1263" t="str">
        <f t="shared" si="39"/>
        <v>Equity Implied Volatility</v>
      </c>
      <c r="L1263" t="s">
        <v>27</v>
      </c>
      <c r="M1263" t="str">
        <f>_xlfn.IFNA(VLOOKUP(K1263,'Mapping DEF'!A:C,2,0),"")</f>
        <v>Equity Derivatives</v>
      </c>
      <c r="N1263" t="str">
        <f>+_xlfn.IFNA(VLOOKUP(M1263,'Mapping DEF'!B:C,2,FALSE),"")</f>
        <v>Equity</v>
      </c>
      <c r="O1263" t="s">
        <v>2821</v>
      </c>
    </row>
    <row r="1264" spans="1:15" x14ac:dyDescent="0.25">
      <c r="A1264" s="4" t="s">
        <v>2440</v>
      </c>
      <c r="B1264" s="4" t="s">
        <v>2441</v>
      </c>
      <c r="C1264" s="5">
        <v>2206</v>
      </c>
      <c r="D1264" s="6" t="s">
        <v>2442</v>
      </c>
      <c r="E1264" t="s">
        <v>1671</v>
      </c>
      <c r="F1264" t="s">
        <v>656</v>
      </c>
      <c r="G1264" t="str">
        <f>+VLOOKUP(F1264,[1]Explore!$B:$I,8,0)</f>
        <v>Industrials</v>
      </c>
      <c r="H1264" t="s">
        <v>874</v>
      </c>
      <c r="I1264" t="e">
        <f>+VLOOKUP(H1264,[1]Explore!$A:$I,9,0)</f>
        <v>#N/A</v>
      </c>
      <c r="J1264" t="str">
        <f t="shared" si="38"/>
        <v>OK</v>
      </c>
      <c r="K1264" t="str">
        <f t="shared" si="39"/>
        <v>Industrials</v>
      </c>
      <c r="L1264" t="s">
        <v>2141</v>
      </c>
      <c r="M1264" t="str">
        <f>_xlfn.IFNA(VLOOKUP(K1264,'Mapping DEF'!A:C,2,0),"")</f>
        <v>Industry Allocation</v>
      </c>
      <c r="N1264" t="str">
        <f>+_xlfn.IFNA(VLOOKUP(M1264,'Mapping DEF'!B:C,2,FALSE),"")</f>
        <v>Equity</v>
      </c>
      <c r="O1264" t="s">
        <v>2760</v>
      </c>
    </row>
    <row r="1265" spans="1:15" x14ac:dyDescent="0.25">
      <c r="A1265" s="4" t="s">
        <v>2440</v>
      </c>
      <c r="B1265" s="4" t="s">
        <v>2441</v>
      </c>
      <c r="C1265" s="5">
        <v>2206</v>
      </c>
      <c r="D1265" s="6" t="s">
        <v>2442</v>
      </c>
      <c r="E1265" t="s">
        <v>1672</v>
      </c>
      <c r="F1265" t="s">
        <v>666</v>
      </c>
      <c r="G1265" t="str">
        <f>+VLOOKUP(F1265,[1]Explore!$B:$I,8,0)</f>
        <v>Corporate HY USD - Industry</v>
      </c>
      <c r="H1265" t="s">
        <v>667</v>
      </c>
      <c r="I1265" t="str">
        <f>+VLOOKUP(H1265,[1]Explore!$A:$I,9,0)</f>
        <v>Corporate HY USD - Industry</v>
      </c>
      <c r="J1265" t="str">
        <f t="shared" si="38"/>
        <v>OK</v>
      </c>
      <c r="K1265" t="str">
        <f t="shared" si="39"/>
        <v>Corporate HY USD - Industry</v>
      </c>
      <c r="L1265" t="s">
        <v>188</v>
      </c>
      <c r="M1265" t="str">
        <f>_xlfn.IFNA(VLOOKUP(K1265,'Mapping DEF'!A:C,2,0),"")</f>
        <v>Spread</v>
      </c>
      <c r="N1265" t="str">
        <f>+_xlfn.IFNA(VLOOKUP(M1265,'Mapping DEF'!B:C,2,FALSE),"")</f>
        <v>Spread</v>
      </c>
      <c r="O1265" t="s">
        <v>2765</v>
      </c>
    </row>
    <row r="1266" spans="1:15" x14ac:dyDescent="0.25">
      <c r="A1266" s="4" t="s">
        <v>2443</v>
      </c>
      <c r="B1266" s="4" t="s">
        <v>2444</v>
      </c>
      <c r="C1266" s="5">
        <v>2538</v>
      </c>
      <c r="D1266" s="6" t="s">
        <v>2445</v>
      </c>
      <c r="E1266" t="s">
        <v>1673</v>
      </c>
      <c r="F1266" t="s">
        <v>167</v>
      </c>
      <c r="G1266" t="str">
        <f>+VLOOKUP(F1266,[1]Explore!$B:$I,8,0)</f>
        <v>Govt Developed Other (AU, GB, JP, ...)</v>
      </c>
      <c r="H1266" t="s">
        <v>168</v>
      </c>
      <c r="I1266" t="str">
        <f>+VLOOKUP(H1266,[1]Explore!$A:$I,9,0)</f>
        <v>Govt Developed Other (AU, GB, JP, ...)</v>
      </c>
      <c r="J1266" t="str">
        <f t="shared" si="38"/>
        <v>OK</v>
      </c>
      <c r="K1266" t="str">
        <f t="shared" si="39"/>
        <v>Govt Developed Other (AU, GB, JP, ...)</v>
      </c>
      <c r="L1266" t="s">
        <v>2143</v>
      </c>
      <c r="M1266" t="str">
        <f>_xlfn.IFNA(VLOOKUP(K1266,'Mapping DEF'!A:C,2,0),"")</f>
        <v>Curve (Local)</v>
      </c>
      <c r="N1266" t="str">
        <f>+_xlfn.IFNA(VLOOKUP(M1266,'Mapping DEF'!B:C,2,FALSE),"")</f>
        <v>Term Structure</v>
      </c>
      <c r="O1266" s="7" t="s">
        <v>2829</v>
      </c>
    </row>
    <row r="1267" spans="1:15" x14ac:dyDescent="0.25">
      <c r="A1267" s="4" t="s">
        <v>2443</v>
      </c>
      <c r="B1267" s="4" t="s">
        <v>2444</v>
      </c>
      <c r="C1267" s="5">
        <v>2538</v>
      </c>
      <c r="D1267" s="6" t="s">
        <v>2445</v>
      </c>
      <c r="E1267" t="s">
        <v>1674</v>
      </c>
      <c r="F1267" t="s">
        <v>170</v>
      </c>
      <c r="G1267" t="str">
        <f>+VLOOKUP(F1267,[1]Explore!$B:$I,8,0)</f>
        <v>Govt Developed Other (AU, GB, JP, ...)</v>
      </c>
      <c r="H1267" t="s">
        <v>171</v>
      </c>
      <c r="I1267" t="str">
        <f>+VLOOKUP(H1267,[1]Explore!$A:$I,9,0)</f>
        <v>Govt Developed Other (AU, GB, JP, ...)</v>
      </c>
      <c r="J1267" t="str">
        <f t="shared" si="38"/>
        <v>OK</v>
      </c>
      <c r="K1267" t="str">
        <f t="shared" si="39"/>
        <v>Govt Developed Other (AU, GB, JP, ...)</v>
      </c>
      <c r="L1267" t="s">
        <v>2143</v>
      </c>
      <c r="M1267" t="str">
        <f>_xlfn.IFNA(VLOOKUP(K1267,'Mapping DEF'!A:C,2,0),"")</f>
        <v>Curve (Local)</v>
      </c>
      <c r="N1267" t="str">
        <f>+_xlfn.IFNA(VLOOKUP(M1267,'Mapping DEF'!B:C,2,FALSE),"")</f>
        <v>Term Structure</v>
      </c>
      <c r="O1267" t="s">
        <v>2845</v>
      </c>
    </row>
    <row r="1268" spans="1:15" x14ac:dyDescent="0.25">
      <c r="A1268" s="4" t="s">
        <v>2443</v>
      </c>
      <c r="B1268" s="4" t="s">
        <v>2444</v>
      </c>
      <c r="C1268" s="5">
        <v>2538</v>
      </c>
      <c r="D1268" s="6" t="s">
        <v>2445</v>
      </c>
      <c r="E1268" t="s">
        <v>1067</v>
      </c>
      <c r="F1268" t="s">
        <v>2942</v>
      </c>
      <c r="G1268" t="str">
        <f>+VLOOKUP(F1268,[1]Explore!$B:$I,8,0)</f>
        <v>EUR</v>
      </c>
      <c r="H1268" t="s">
        <v>173</v>
      </c>
      <c r="I1268" t="str">
        <f>+VLOOKUP(H1268,[1]Explore!$A:$I,9,0)</f>
        <v>EUR</v>
      </c>
      <c r="J1268" t="str">
        <f t="shared" si="38"/>
        <v>OK</v>
      </c>
      <c r="K1268" t="str">
        <f t="shared" si="39"/>
        <v>EUR</v>
      </c>
      <c r="L1268" t="s">
        <v>2140</v>
      </c>
      <c r="M1268" t="str">
        <f>_xlfn.IFNA(VLOOKUP(K1268,'Mapping DEF'!A:C,2,0),"")</f>
        <v>FX</v>
      </c>
      <c r="N1268" t="str">
        <f>+_xlfn.IFNA(VLOOKUP(M1268,'Mapping DEF'!B:C,2,FALSE),"")</f>
        <v>FX</v>
      </c>
      <c r="O1268" t="s">
        <v>2760</v>
      </c>
    </row>
    <row r="1269" spans="1:15" x14ac:dyDescent="0.25">
      <c r="A1269" s="4" t="s">
        <v>2443</v>
      </c>
      <c r="B1269" s="4" t="s">
        <v>2444</v>
      </c>
      <c r="C1269" s="5">
        <v>2538</v>
      </c>
      <c r="D1269" s="6" t="s">
        <v>2445</v>
      </c>
      <c r="E1269" t="s">
        <v>1675</v>
      </c>
      <c r="F1269" t="s">
        <v>176</v>
      </c>
      <c r="G1269" t="e">
        <f>+VLOOKUP(F1269,[1]Explore!$B:$I,8,0)</f>
        <v>#N/A</v>
      </c>
      <c r="H1269" t="s">
        <v>177</v>
      </c>
      <c r="I1269" t="str">
        <f>+VLOOKUP(H1269,[1]Explore!$A:$I,9,0)</f>
        <v>GBP</v>
      </c>
      <c r="J1269" t="str">
        <f t="shared" si="38"/>
        <v>OK</v>
      </c>
      <c r="K1269" t="str">
        <f t="shared" si="39"/>
        <v>GBP</v>
      </c>
      <c r="L1269" t="s">
        <v>2140</v>
      </c>
      <c r="M1269" t="str">
        <f>_xlfn.IFNA(VLOOKUP(K1269,'Mapping DEF'!A:C,2,0),"")</f>
        <v>FX</v>
      </c>
      <c r="N1269" t="str">
        <f>+_xlfn.IFNA(VLOOKUP(M1269,'Mapping DEF'!B:C,2,FALSE),"")</f>
        <v>FX</v>
      </c>
      <c r="O1269" t="s">
        <v>2753</v>
      </c>
    </row>
    <row r="1270" spans="1:15" x14ac:dyDescent="0.25">
      <c r="A1270" s="4" t="s">
        <v>2443</v>
      </c>
      <c r="B1270" s="4" t="s">
        <v>2444</v>
      </c>
      <c r="C1270" s="5">
        <v>2538</v>
      </c>
      <c r="D1270" s="6" t="s">
        <v>2445</v>
      </c>
      <c r="E1270" t="s">
        <v>1676</v>
      </c>
      <c r="F1270" t="s">
        <v>1677</v>
      </c>
      <c r="G1270" t="str">
        <f>+VLOOKUP(F1270,[1]Explore!$B:$I,8,0)</f>
        <v>Other - Inflation</v>
      </c>
      <c r="H1270" t="s">
        <v>1678</v>
      </c>
      <c r="I1270" t="str">
        <f>+VLOOKUP(H1270,[1]Explore!$A:$I,9,0)</f>
        <v>Other - Inflation</v>
      </c>
      <c r="J1270" t="str">
        <f t="shared" si="38"/>
        <v>OK</v>
      </c>
      <c r="K1270" t="str">
        <f t="shared" si="39"/>
        <v>Other - Inflation</v>
      </c>
      <c r="L1270" t="s">
        <v>2143</v>
      </c>
      <c r="M1270" t="str">
        <f>_xlfn.IFNA(VLOOKUP(K1270,'Mapping DEF'!A:C,2,0),"")</f>
        <v>Other</v>
      </c>
      <c r="N1270" t="str">
        <f>+_xlfn.IFNA(VLOOKUP(M1270,'Mapping DEF'!B:C,2,FALSE),"")</f>
        <v>Other</v>
      </c>
      <c r="O1270" t="s">
        <v>2829</v>
      </c>
    </row>
    <row r="1271" spans="1:15" x14ac:dyDescent="0.25">
      <c r="A1271" s="4" t="s">
        <v>2443</v>
      </c>
      <c r="B1271" s="4" t="s">
        <v>2444</v>
      </c>
      <c r="C1271" s="5">
        <v>2538</v>
      </c>
      <c r="D1271" s="6" t="s">
        <v>2445</v>
      </c>
      <c r="E1271" t="s">
        <v>1679</v>
      </c>
      <c r="F1271" t="s">
        <v>179</v>
      </c>
      <c r="G1271" t="str">
        <f>+VLOOKUP(F1271,[1]Explore!$B:$I,8,0)</f>
        <v>Equity Implied Volatility</v>
      </c>
      <c r="H1271" t="s">
        <v>180</v>
      </c>
      <c r="I1271" t="str">
        <f>+VLOOKUP(H1271,[1]Explore!$A:$I,9,0)</f>
        <v>Equity Implied Volatility</v>
      </c>
      <c r="J1271" t="str">
        <f t="shared" si="38"/>
        <v>OK</v>
      </c>
      <c r="K1271" t="str">
        <f t="shared" si="39"/>
        <v>Equity Implied Volatility</v>
      </c>
      <c r="L1271" t="s">
        <v>27</v>
      </c>
      <c r="M1271" t="str">
        <f>_xlfn.IFNA(VLOOKUP(K1271,'Mapping DEF'!A:C,2,0),"")</f>
        <v>Equity Derivatives</v>
      </c>
      <c r="N1271" t="str">
        <f>+_xlfn.IFNA(VLOOKUP(M1271,'Mapping DEF'!B:C,2,FALSE),"")</f>
        <v>Equity</v>
      </c>
      <c r="O1271" t="s">
        <v>2776</v>
      </c>
    </row>
    <row r="1272" spans="1:15" x14ac:dyDescent="0.25">
      <c r="A1272" s="4" t="s">
        <v>2443</v>
      </c>
      <c r="B1272" s="4" t="s">
        <v>2444</v>
      </c>
      <c r="C1272" s="5">
        <v>2538</v>
      </c>
      <c r="D1272" s="6" t="s">
        <v>2445</v>
      </c>
      <c r="E1272" t="s">
        <v>1680</v>
      </c>
      <c r="F1272" t="s">
        <v>826</v>
      </c>
      <c r="G1272" t="str">
        <f>+VLOOKUP(F1272,[1]Explore!$B:$I,8,0)</f>
        <v>Equity Implied Volatility</v>
      </c>
      <c r="H1272" t="s">
        <v>827</v>
      </c>
      <c r="I1272" t="str">
        <f>+VLOOKUP(H1272,[1]Explore!$A:$I,9,0)</f>
        <v>Equity Implied Volatility</v>
      </c>
      <c r="J1272" t="str">
        <f t="shared" si="38"/>
        <v>OK</v>
      </c>
      <c r="K1272" t="str">
        <f t="shared" si="39"/>
        <v>Equity Implied Volatility</v>
      </c>
      <c r="L1272" t="s">
        <v>27</v>
      </c>
      <c r="M1272" t="str">
        <f>_xlfn.IFNA(VLOOKUP(K1272,'Mapping DEF'!A:C,2,0),"")</f>
        <v>Equity Derivatives</v>
      </c>
      <c r="N1272" t="str">
        <f>+_xlfn.IFNA(VLOOKUP(M1272,'Mapping DEF'!B:C,2,FALSE),"")</f>
        <v>Equity</v>
      </c>
      <c r="O1272" t="s">
        <v>2821</v>
      </c>
    </row>
    <row r="1273" spans="1:15" x14ac:dyDescent="0.25">
      <c r="A1273" s="4" t="s">
        <v>2443</v>
      </c>
      <c r="B1273" s="4" t="s">
        <v>2444</v>
      </c>
      <c r="C1273" s="5">
        <v>2538</v>
      </c>
      <c r="D1273" s="6" t="s">
        <v>2445</v>
      </c>
      <c r="E1273" t="s">
        <v>1314</v>
      </c>
      <c r="F1273" t="s">
        <v>183</v>
      </c>
      <c r="G1273" t="str">
        <f>+VLOOKUP(F1273,[1]Explore!$B:$I,8,0)</f>
        <v>Equity Implied Volatility</v>
      </c>
      <c r="H1273" t="s">
        <v>184</v>
      </c>
      <c r="I1273" t="str">
        <f>+VLOOKUP(H1273,[1]Explore!$A:$I,9,0)</f>
        <v>Equity Implied Volatility</v>
      </c>
      <c r="J1273" t="str">
        <f t="shared" si="38"/>
        <v>OK</v>
      </c>
      <c r="K1273" t="str">
        <f t="shared" si="39"/>
        <v>Equity Implied Volatility</v>
      </c>
      <c r="L1273" t="s">
        <v>27</v>
      </c>
      <c r="M1273" t="str">
        <f>_xlfn.IFNA(VLOOKUP(K1273,'Mapping DEF'!A:C,2,0),"")</f>
        <v>Equity Derivatives</v>
      </c>
      <c r="N1273" t="str">
        <f>+_xlfn.IFNA(VLOOKUP(M1273,'Mapping DEF'!B:C,2,FALSE),"")</f>
        <v>Equity</v>
      </c>
      <c r="O1273" t="s">
        <v>2802</v>
      </c>
    </row>
    <row r="1274" spans="1:15" x14ac:dyDescent="0.25">
      <c r="A1274" s="4" t="s">
        <v>2443</v>
      </c>
      <c r="B1274" s="4" t="s">
        <v>2444</v>
      </c>
      <c r="C1274" s="5">
        <v>2538</v>
      </c>
      <c r="D1274" s="6" t="s">
        <v>2445</v>
      </c>
      <c r="E1274" t="s">
        <v>1681</v>
      </c>
      <c r="F1274" t="s">
        <v>627</v>
      </c>
      <c r="G1274" t="str">
        <f>+VLOOKUP(F1274,[1]Explore!$B:$I,8,0)</f>
        <v>Corporate IG EUR - Other</v>
      </c>
      <c r="H1274" t="s">
        <v>628</v>
      </c>
      <c r="I1274" t="str">
        <f>+VLOOKUP(H1274,[1]Explore!$A:$I,9,0)</f>
        <v>Corporate IG EUR - Other</v>
      </c>
      <c r="J1274" t="str">
        <f t="shared" si="38"/>
        <v>OK</v>
      </c>
      <c r="K1274" t="str">
        <f t="shared" si="39"/>
        <v>Corporate IG EUR - Other</v>
      </c>
      <c r="L1274" t="s">
        <v>188</v>
      </c>
      <c r="M1274" t="str">
        <f>_xlfn.IFNA(VLOOKUP(K1274,'Mapping DEF'!A:C,2,0),"")</f>
        <v>Spread</v>
      </c>
      <c r="N1274" t="str">
        <f>+_xlfn.IFNA(VLOOKUP(M1274,'Mapping DEF'!B:C,2,FALSE),"")</f>
        <v>Spread</v>
      </c>
      <c r="O1274" t="s">
        <v>2797</v>
      </c>
    </row>
    <row r="1275" spans="1:15" x14ac:dyDescent="0.25">
      <c r="A1275" s="4" t="s">
        <v>2443</v>
      </c>
      <c r="B1275" s="4" t="s">
        <v>2444</v>
      </c>
      <c r="C1275" s="5">
        <v>2538</v>
      </c>
      <c r="D1275" s="6" t="s">
        <v>2445</v>
      </c>
      <c r="E1275" t="s">
        <v>1682</v>
      </c>
      <c r="F1275" t="s">
        <v>186</v>
      </c>
      <c r="G1275" t="str">
        <f>+VLOOKUP(F1275,[1]Explore!$B:$I,8,0)</f>
        <v>Corporate IG Other - Other</v>
      </c>
      <c r="H1275" t="s">
        <v>187</v>
      </c>
      <c r="I1275" t="str">
        <f>+VLOOKUP(H1275,[1]Explore!$A:$I,9,0)</f>
        <v>Corporate IG Other - Other</v>
      </c>
      <c r="J1275" t="str">
        <f t="shared" si="38"/>
        <v>OK</v>
      </c>
      <c r="K1275" t="str">
        <f t="shared" si="39"/>
        <v>Corporate IG Other - Other</v>
      </c>
      <c r="L1275" t="s">
        <v>188</v>
      </c>
      <c r="M1275" t="str">
        <f>_xlfn.IFNA(VLOOKUP(K1275,'Mapping DEF'!A:C,2,0),"")</f>
        <v>Spread</v>
      </c>
      <c r="N1275" t="str">
        <f>+_xlfn.IFNA(VLOOKUP(M1275,'Mapping DEF'!B:C,2,FALSE),"")</f>
        <v>Spread</v>
      </c>
      <c r="O1275" t="s">
        <v>2755</v>
      </c>
    </row>
    <row r="1276" spans="1:15" x14ac:dyDescent="0.25">
      <c r="A1276" s="4" t="s">
        <v>2443</v>
      </c>
      <c r="B1276" s="4" t="s">
        <v>2444</v>
      </c>
      <c r="C1276" s="5">
        <v>2538</v>
      </c>
      <c r="D1276" s="6" t="s">
        <v>2445</v>
      </c>
      <c r="E1276" t="s">
        <v>1683</v>
      </c>
      <c r="F1276" t="s">
        <v>804</v>
      </c>
      <c r="G1276" t="str">
        <f>+VLOOKUP(F1276,[1]Explore!$B:$I,8,0)</f>
        <v>Corporate IG Other - Industry</v>
      </c>
      <c r="H1276" t="s">
        <v>1684</v>
      </c>
      <c r="I1276" t="str">
        <f>+VLOOKUP(H1276,[1]Explore!$A:$I,9,0)</f>
        <v>Corporate IG Other - Industry</v>
      </c>
      <c r="J1276" t="str">
        <f t="shared" si="38"/>
        <v>OK</v>
      </c>
      <c r="K1276" t="str">
        <f t="shared" si="39"/>
        <v>Corporate IG Other - Industry</v>
      </c>
      <c r="L1276" t="s">
        <v>188</v>
      </c>
      <c r="M1276" t="str">
        <f>_xlfn.IFNA(VLOOKUP(K1276,'Mapping DEF'!A:C,2,0),"")</f>
        <v>Spread</v>
      </c>
      <c r="N1276" t="str">
        <f>+_xlfn.IFNA(VLOOKUP(M1276,'Mapping DEF'!B:C,2,FALSE),"")</f>
        <v>Spread</v>
      </c>
      <c r="O1276" t="s">
        <v>2773</v>
      </c>
    </row>
    <row r="1277" spans="1:15" x14ac:dyDescent="0.25">
      <c r="A1277" s="4" t="s">
        <v>2443</v>
      </c>
      <c r="B1277" s="4" t="s">
        <v>2444</v>
      </c>
      <c r="C1277" s="5">
        <v>2538</v>
      </c>
      <c r="D1277" s="6" t="s">
        <v>2445</v>
      </c>
      <c r="E1277" t="s">
        <v>1685</v>
      </c>
      <c r="F1277" t="s">
        <v>1686</v>
      </c>
      <c r="G1277" t="str">
        <f>+VLOOKUP(F1277,[1]Explore!$B:$I,8,0)</f>
        <v>ABS - Swap Spread</v>
      </c>
      <c r="H1277" t="s">
        <v>1687</v>
      </c>
      <c r="I1277" t="str">
        <f>+VLOOKUP(H1277,[1]Explore!$A:$I,9,0)</f>
        <v>ABS - Swap Spread</v>
      </c>
      <c r="J1277" t="str">
        <f t="shared" si="38"/>
        <v>OK</v>
      </c>
      <c r="K1277" t="str">
        <f t="shared" si="39"/>
        <v>ABS - Swap Spread</v>
      </c>
      <c r="L1277" t="s">
        <v>188</v>
      </c>
      <c r="M1277" t="str">
        <f>_xlfn.IFNA(VLOOKUP(K1277,'Mapping DEF'!A:C,2,0),"")</f>
        <v>Alternative</v>
      </c>
      <c r="N1277" t="str">
        <f>+_xlfn.IFNA(VLOOKUP(M1277,'Mapping DEF'!B:C,2,FALSE),"")</f>
        <v>Other</v>
      </c>
      <c r="O1277" t="s">
        <v>2791</v>
      </c>
    </row>
    <row r="1278" spans="1:15" x14ac:dyDescent="0.25">
      <c r="A1278" s="4" t="s">
        <v>2443</v>
      </c>
      <c r="B1278" s="4" t="s">
        <v>2444</v>
      </c>
      <c r="C1278" s="5">
        <v>2538</v>
      </c>
      <c r="D1278" s="6" t="s">
        <v>2445</v>
      </c>
      <c r="E1278" t="s">
        <v>654</v>
      </c>
      <c r="F1278" t="s">
        <v>191</v>
      </c>
      <c r="G1278" t="e">
        <f>+VLOOKUP(F1278,[1]Explore!$B:$I,8,0)</f>
        <v>#N/A</v>
      </c>
      <c r="H1278" t="s">
        <v>192</v>
      </c>
      <c r="I1278" t="e">
        <f>+VLOOKUP(H1278,[1]Explore!$A:$I,9,0)</f>
        <v>#N/A</v>
      </c>
      <c r="J1278" t="str">
        <f t="shared" si="38"/>
        <v>BOTH #N/A</v>
      </c>
      <c r="K1278" t="str">
        <f t="shared" si="39"/>
        <v xml:space="preserve">Time </v>
      </c>
      <c r="L1278" t="s">
        <v>2138</v>
      </c>
      <c r="M1278" t="str">
        <f>_xlfn.IFNA(VLOOKUP(K1278,'Mapping DEF'!A:C,2,0),"")</f>
        <v>Time</v>
      </c>
      <c r="N1278" t="str">
        <f>+_xlfn.IFNA(VLOOKUP(M1278,'Mapping DEF'!B:C,2,FALSE),"")</f>
        <v>Other</v>
      </c>
      <c r="O1278" t="s">
        <v>2762</v>
      </c>
    </row>
    <row r="1279" spans="1:15" x14ac:dyDescent="0.25">
      <c r="A1279" s="4" t="s">
        <v>2443</v>
      </c>
      <c r="B1279" s="4" t="s">
        <v>2444</v>
      </c>
      <c r="C1279" s="5">
        <v>2538</v>
      </c>
      <c r="D1279" s="6" t="s">
        <v>2445</v>
      </c>
      <c r="E1279" t="s">
        <v>1688</v>
      </c>
      <c r="F1279" t="s">
        <v>2166</v>
      </c>
      <c r="G1279" t="str">
        <f>+VLOOKUP(F1279,[1]Explore!$B:$I,8,0)</f>
        <v>Equity Implied Volatility</v>
      </c>
      <c r="H1279" t="s">
        <v>195</v>
      </c>
      <c r="I1279" t="e">
        <f>+VLOOKUP(H1279,[1]Explore!$A:$I,9,0)</f>
        <v>#N/A</v>
      </c>
      <c r="J1279" t="str">
        <f t="shared" si="38"/>
        <v>OK</v>
      </c>
      <c r="K1279" t="str">
        <f t="shared" si="39"/>
        <v>Equity Implied Volatility</v>
      </c>
      <c r="L1279" t="s">
        <v>27</v>
      </c>
      <c r="M1279" t="str">
        <f>_xlfn.IFNA(VLOOKUP(K1279,'Mapping DEF'!A:C,2,0),"")</f>
        <v>Equity Derivatives</v>
      </c>
      <c r="N1279" t="str">
        <f>+_xlfn.IFNA(VLOOKUP(M1279,'Mapping DEF'!B:C,2,FALSE),"")</f>
        <v>Equity</v>
      </c>
      <c r="O1279" t="s">
        <v>2873</v>
      </c>
    </row>
    <row r="1280" spans="1:15" x14ac:dyDescent="0.25">
      <c r="A1280" s="4" t="s">
        <v>2446</v>
      </c>
      <c r="B1280" s="4" t="s">
        <v>2447</v>
      </c>
      <c r="C1280" s="5">
        <v>2466</v>
      </c>
      <c r="D1280" s="6" t="s">
        <v>2448</v>
      </c>
      <c r="E1280" t="s">
        <v>906</v>
      </c>
      <c r="F1280" t="s">
        <v>13</v>
      </c>
      <c r="G1280" t="str">
        <f>+VLOOKUP(F1280,[1]Explore!$B:$I,8,0)</f>
        <v>Govt USD</v>
      </c>
      <c r="H1280" t="s">
        <v>14</v>
      </c>
      <c r="I1280" t="str">
        <f>+VLOOKUP(H1280,[1]Explore!$A:$I,9,0)</f>
        <v>Govt USD</v>
      </c>
      <c r="J1280" t="str">
        <f t="shared" si="38"/>
        <v>OK</v>
      </c>
      <c r="K1280" t="str">
        <f t="shared" si="39"/>
        <v>Govt USD</v>
      </c>
      <c r="L1280" t="s">
        <v>2143</v>
      </c>
      <c r="M1280" t="str">
        <f>_xlfn.IFNA(VLOOKUP(K1280,'Mapping DEF'!A:C,2,0),"")</f>
        <v>Curve (Local)</v>
      </c>
      <c r="N1280" t="str">
        <f>+_xlfn.IFNA(VLOOKUP(M1280,'Mapping DEF'!B:C,2,FALSE),"")</f>
        <v>Term Structure</v>
      </c>
      <c r="O1280" t="s">
        <v>2790</v>
      </c>
    </row>
    <row r="1281" spans="1:15" x14ac:dyDescent="0.25">
      <c r="A1281" s="4" t="s">
        <v>2446</v>
      </c>
      <c r="B1281" s="4" t="s">
        <v>2447</v>
      </c>
      <c r="C1281" s="5">
        <v>2466</v>
      </c>
      <c r="D1281" s="6" t="s">
        <v>2448</v>
      </c>
      <c r="E1281" t="s">
        <v>927</v>
      </c>
      <c r="F1281" t="s">
        <v>19</v>
      </c>
      <c r="G1281" t="str">
        <f>+VLOOKUP(F1281,[1]Explore!$B:$I,8,0)</f>
        <v>Govt USD</v>
      </c>
      <c r="H1281" t="s">
        <v>20</v>
      </c>
      <c r="I1281" t="str">
        <f>+VLOOKUP(H1281,[1]Explore!$A:$I,9,0)</f>
        <v>Govt USD</v>
      </c>
      <c r="J1281" t="str">
        <f t="shared" si="38"/>
        <v>OK</v>
      </c>
      <c r="K1281" t="str">
        <f t="shared" si="39"/>
        <v>Govt USD</v>
      </c>
      <c r="L1281" t="s">
        <v>2143</v>
      </c>
      <c r="M1281" t="str">
        <f>_xlfn.IFNA(VLOOKUP(K1281,'Mapping DEF'!A:C,2,0),"")</f>
        <v>Curve (Local)</v>
      </c>
      <c r="N1281" t="str">
        <f>+_xlfn.IFNA(VLOOKUP(M1281,'Mapping DEF'!B:C,2,FALSE),"")</f>
        <v>Term Structure</v>
      </c>
      <c r="O1281" t="s">
        <v>2765</v>
      </c>
    </row>
    <row r="1282" spans="1:15" x14ac:dyDescent="0.25">
      <c r="A1282" s="4" t="s">
        <v>2446</v>
      </c>
      <c r="B1282" s="4" t="s">
        <v>2447</v>
      </c>
      <c r="C1282" s="5">
        <v>2466</v>
      </c>
      <c r="D1282" s="6" t="s">
        <v>2448</v>
      </c>
      <c r="E1282" t="s">
        <v>1689</v>
      </c>
      <c r="F1282" t="s">
        <v>22</v>
      </c>
      <c r="G1282" t="str">
        <f>+VLOOKUP(F1282,[1]Explore!$B:$I,8,0)</f>
        <v>Govt USD</v>
      </c>
      <c r="H1282" t="s">
        <v>23</v>
      </c>
      <c r="I1282" t="str">
        <f>+VLOOKUP(H1282,[1]Explore!$A:$I,9,0)</f>
        <v>Govt USD</v>
      </c>
      <c r="J1282" t="str">
        <f t="shared" si="38"/>
        <v>OK</v>
      </c>
      <c r="K1282" t="str">
        <f t="shared" si="39"/>
        <v>Govt USD</v>
      </c>
      <c r="L1282" t="s">
        <v>2143</v>
      </c>
      <c r="M1282" t="str">
        <f>_xlfn.IFNA(VLOOKUP(K1282,'Mapping DEF'!A:C,2,0),"")</f>
        <v>Curve (Local)</v>
      </c>
      <c r="N1282" t="str">
        <f>+_xlfn.IFNA(VLOOKUP(M1282,'Mapping DEF'!B:C,2,FALSE),"")</f>
        <v>Term Structure</v>
      </c>
      <c r="O1282" t="s">
        <v>2755</v>
      </c>
    </row>
    <row r="1283" spans="1:15" x14ac:dyDescent="0.25">
      <c r="A1283" s="4" t="s">
        <v>2446</v>
      </c>
      <c r="B1283" s="4" t="s">
        <v>2447</v>
      </c>
      <c r="C1283" s="5">
        <v>2466</v>
      </c>
      <c r="D1283" s="6" t="s">
        <v>2448</v>
      </c>
      <c r="E1283" t="s">
        <v>1690</v>
      </c>
      <c r="F1283" t="s">
        <v>258</v>
      </c>
      <c r="G1283" t="str">
        <f>+VLOOKUP(F1283,[1]Explore!$B:$I,8,0)</f>
        <v>USD Inflation</v>
      </c>
      <c r="H1283" t="s">
        <v>259</v>
      </c>
      <c r="I1283" t="str">
        <f>+VLOOKUP(H1283,[1]Explore!$A:$I,9,0)</f>
        <v>USD Inflation</v>
      </c>
      <c r="J1283" t="str">
        <f t="shared" ref="J1283:J1346" si="40">IF(AND(ISNA(G1283),ISNA(I1283)),"BOTH #N/A","OK")</f>
        <v>OK</v>
      </c>
      <c r="K1283" t="str">
        <f t="shared" ref="K1283:K1346" si="41">IFERROR(I1283, IFERROR(G1283, L1283))</f>
        <v>USD Inflation</v>
      </c>
      <c r="L1283" t="s">
        <v>2143</v>
      </c>
      <c r="M1283" t="str">
        <f>_xlfn.IFNA(VLOOKUP(K1283,'Mapping DEF'!A:C,2,0),"")</f>
        <v>Inflation</v>
      </c>
      <c r="N1283" t="str">
        <f>+_xlfn.IFNA(VLOOKUP(M1283,'Mapping DEF'!B:C,2,FALSE),"")</f>
        <v>Other</v>
      </c>
      <c r="O1283" t="s">
        <v>2780</v>
      </c>
    </row>
    <row r="1284" spans="1:15" x14ac:dyDescent="0.25">
      <c r="A1284" s="4" t="s">
        <v>2446</v>
      </c>
      <c r="B1284" s="4" t="s">
        <v>2447</v>
      </c>
      <c r="C1284" s="5">
        <v>2466</v>
      </c>
      <c r="D1284" s="6" t="s">
        <v>2448</v>
      </c>
      <c r="E1284" t="s">
        <v>1691</v>
      </c>
      <c r="F1284" t="s">
        <v>265</v>
      </c>
      <c r="G1284" t="str">
        <f>+VLOOKUP(F1284,[1]Explore!$B:$I,8,0)</f>
        <v>Alternative - Commodity</v>
      </c>
      <c r="H1284" t="s">
        <v>266</v>
      </c>
      <c r="I1284" t="str">
        <f>+VLOOKUP(H1284,[1]Explore!$A:$I,9,0)</f>
        <v>Alternative - Commodity</v>
      </c>
      <c r="J1284" t="str">
        <f t="shared" si="40"/>
        <v>OK</v>
      </c>
      <c r="K1284" t="str">
        <f t="shared" si="41"/>
        <v>Alternative - Commodity</v>
      </c>
      <c r="L1284" t="s">
        <v>2139</v>
      </c>
      <c r="M1284" t="str">
        <f>_xlfn.IFNA(VLOOKUP(K1284,'Mapping DEF'!A:C,2,0),"")</f>
        <v>Alternative</v>
      </c>
      <c r="N1284" t="str">
        <f>+_xlfn.IFNA(VLOOKUP(M1284,'Mapping DEF'!B:C,2,FALSE),"")</f>
        <v>Other</v>
      </c>
      <c r="O1284" t="s">
        <v>2874</v>
      </c>
    </row>
    <row r="1285" spans="1:15" x14ac:dyDescent="0.25">
      <c r="A1285" s="4" t="s">
        <v>2446</v>
      </c>
      <c r="B1285" s="4" t="s">
        <v>2447</v>
      </c>
      <c r="C1285" s="5">
        <v>2466</v>
      </c>
      <c r="D1285" s="6" t="s">
        <v>2448</v>
      </c>
      <c r="E1285" t="s">
        <v>1692</v>
      </c>
      <c r="F1285" t="s">
        <v>675</v>
      </c>
      <c r="G1285" t="str">
        <f>+VLOOKUP(F1285,[1]Explore!$B:$I,8,0)</f>
        <v>Alternative - Commodity</v>
      </c>
      <c r="H1285" t="s">
        <v>676</v>
      </c>
      <c r="I1285" t="str">
        <f>+VLOOKUP(H1285,[1]Explore!$A:$I,9,0)</f>
        <v>Alternative - Commodity</v>
      </c>
      <c r="J1285" t="str">
        <f t="shared" si="40"/>
        <v>OK</v>
      </c>
      <c r="K1285" t="str">
        <f t="shared" si="41"/>
        <v>Alternative - Commodity</v>
      </c>
      <c r="L1285" t="s">
        <v>2139</v>
      </c>
      <c r="M1285" t="str">
        <f>_xlfn.IFNA(VLOOKUP(K1285,'Mapping DEF'!A:C,2,0),"")</f>
        <v>Alternative</v>
      </c>
      <c r="N1285" t="str">
        <f>+_xlfn.IFNA(VLOOKUP(M1285,'Mapping DEF'!B:C,2,FALSE),"")</f>
        <v>Other</v>
      </c>
      <c r="O1285" t="s">
        <v>2874</v>
      </c>
    </row>
    <row r="1286" spans="1:15" x14ac:dyDescent="0.25">
      <c r="A1286" s="4" t="s">
        <v>2446</v>
      </c>
      <c r="B1286" s="4" t="s">
        <v>2447</v>
      </c>
      <c r="C1286" s="5">
        <v>2466</v>
      </c>
      <c r="D1286" s="6" t="s">
        <v>2448</v>
      </c>
      <c r="E1286" t="s">
        <v>1693</v>
      </c>
      <c r="F1286" t="s">
        <v>1694</v>
      </c>
      <c r="G1286" t="str">
        <f>+VLOOKUP(F1286,[1]Explore!$B:$I,8,0)</f>
        <v>Alternative - Commodity</v>
      </c>
      <c r="H1286" t="s">
        <v>1695</v>
      </c>
      <c r="I1286" t="str">
        <f>+VLOOKUP(H1286,[1]Explore!$A:$I,9,0)</f>
        <v>Alternative - Commodity</v>
      </c>
      <c r="J1286" t="str">
        <f t="shared" si="40"/>
        <v>OK</v>
      </c>
      <c r="K1286" t="str">
        <f t="shared" si="41"/>
        <v>Alternative - Commodity</v>
      </c>
      <c r="L1286" t="s">
        <v>2139</v>
      </c>
      <c r="M1286" t="str">
        <f>_xlfn.IFNA(VLOOKUP(K1286,'Mapping DEF'!A:C,2,0),"")</f>
        <v>Alternative</v>
      </c>
      <c r="N1286" t="str">
        <f>+_xlfn.IFNA(VLOOKUP(M1286,'Mapping DEF'!B:C,2,FALSE),"")</f>
        <v>Other</v>
      </c>
      <c r="O1286" t="s">
        <v>2842</v>
      </c>
    </row>
    <row r="1287" spans="1:15" x14ac:dyDescent="0.25">
      <c r="A1287" s="4" t="s">
        <v>2446</v>
      </c>
      <c r="B1287" s="4" t="s">
        <v>2447</v>
      </c>
      <c r="C1287" s="5">
        <v>2466</v>
      </c>
      <c r="D1287" s="6" t="s">
        <v>2448</v>
      </c>
      <c r="E1287" t="s">
        <v>1696</v>
      </c>
      <c r="F1287" t="s">
        <v>1224</v>
      </c>
      <c r="G1287" t="str">
        <f>+VLOOKUP(F1287,[1]Explore!$B:$I,8,0)</f>
        <v>Corporate IG USD - Market</v>
      </c>
      <c r="H1287" t="s">
        <v>1225</v>
      </c>
      <c r="I1287" t="str">
        <f>+VLOOKUP(H1287,[1]Explore!$A:$I,9,0)</f>
        <v>Corporate IG USD - Market</v>
      </c>
      <c r="J1287" t="str">
        <f t="shared" si="40"/>
        <v>OK</v>
      </c>
      <c r="K1287" t="str">
        <f t="shared" si="41"/>
        <v>Corporate IG USD - Market</v>
      </c>
      <c r="L1287" t="s">
        <v>188</v>
      </c>
      <c r="M1287" t="str">
        <f>_xlfn.IFNA(VLOOKUP(K1287,'Mapping DEF'!A:C,2,0),"")</f>
        <v>Spread</v>
      </c>
      <c r="N1287" t="str">
        <f>+_xlfn.IFNA(VLOOKUP(M1287,'Mapping DEF'!B:C,2,FALSE),"")</f>
        <v>Spread</v>
      </c>
      <c r="O1287" t="s">
        <v>2791</v>
      </c>
    </row>
    <row r="1288" spans="1:15" x14ac:dyDescent="0.25">
      <c r="A1288" s="4" t="s">
        <v>2446</v>
      </c>
      <c r="B1288" s="4" t="s">
        <v>2447</v>
      </c>
      <c r="C1288" s="5">
        <v>2466</v>
      </c>
      <c r="D1288" s="6" t="s">
        <v>2448</v>
      </c>
      <c r="E1288" t="s">
        <v>711</v>
      </c>
      <c r="F1288" t="s">
        <v>206</v>
      </c>
      <c r="G1288" t="e">
        <f>+VLOOKUP(F1288,[1]Explore!$B:$I,8,0)</f>
        <v>#N/A</v>
      </c>
      <c r="H1288" t="s">
        <v>206</v>
      </c>
      <c r="I1288" t="e">
        <f>+VLOOKUP(H1288,[1]Explore!$A:$I,9,0)</f>
        <v>#N/A</v>
      </c>
      <c r="J1288" t="str">
        <f t="shared" si="40"/>
        <v>BOTH #N/A</v>
      </c>
      <c r="K1288" t="str">
        <f t="shared" si="41"/>
        <v>Dollar Index</v>
      </c>
      <c r="L1288" t="s">
        <v>2930</v>
      </c>
      <c r="M1288" t="str">
        <f>_xlfn.IFNA(VLOOKUP(K1288,'Mapping DEF'!A:C,2,0),"")</f>
        <v>Index Level</v>
      </c>
      <c r="N1288" t="str">
        <f>+_xlfn.IFNA(VLOOKUP(M1288,'Mapping DEF'!B:C,2,FALSE),"")</f>
        <v>Other</v>
      </c>
      <c r="O1288" t="s">
        <v>2770</v>
      </c>
    </row>
    <row r="1289" spans="1:15" x14ac:dyDescent="0.25">
      <c r="A1289" s="4" t="s">
        <v>2446</v>
      </c>
      <c r="B1289" s="4" t="s">
        <v>2447</v>
      </c>
      <c r="C1289" s="5">
        <v>2466</v>
      </c>
      <c r="D1289" s="6" t="s">
        <v>2448</v>
      </c>
      <c r="E1289" t="s">
        <v>653</v>
      </c>
      <c r="F1289" t="s">
        <v>183</v>
      </c>
      <c r="G1289" t="str">
        <f>+VLOOKUP(F1289,[1]Explore!$B:$I,8,0)</f>
        <v>Equity Implied Volatility</v>
      </c>
      <c r="H1289" t="s">
        <v>184</v>
      </c>
      <c r="I1289" t="str">
        <f>+VLOOKUP(H1289,[1]Explore!$A:$I,9,0)</f>
        <v>Equity Implied Volatility</v>
      </c>
      <c r="J1289" t="str">
        <f t="shared" si="40"/>
        <v>OK</v>
      </c>
      <c r="K1289" t="str">
        <f t="shared" si="41"/>
        <v>Equity Implied Volatility</v>
      </c>
      <c r="L1289" t="s">
        <v>27</v>
      </c>
      <c r="M1289" t="str">
        <f>_xlfn.IFNA(VLOOKUP(K1289,'Mapping DEF'!A:C,2,0),"")</f>
        <v>Equity Derivatives</v>
      </c>
      <c r="N1289" t="str">
        <f>+_xlfn.IFNA(VLOOKUP(M1289,'Mapping DEF'!B:C,2,FALSE),"")</f>
        <v>Equity</v>
      </c>
      <c r="O1289" t="s">
        <v>2761</v>
      </c>
    </row>
    <row r="1290" spans="1:15" x14ac:dyDescent="0.25">
      <c r="A1290" s="4" t="s">
        <v>2446</v>
      </c>
      <c r="B1290" s="4" t="s">
        <v>2447</v>
      </c>
      <c r="C1290" s="5">
        <v>2466</v>
      </c>
      <c r="D1290" s="6" t="s">
        <v>2448</v>
      </c>
      <c r="E1290" t="s">
        <v>338</v>
      </c>
      <c r="F1290" t="s">
        <v>191</v>
      </c>
      <c r="G1290" t="e">
        <f>+VLOOKUP(F1290,[1]Explore!$B:$I,8,0)</f>
        <v>#N/A</v>
      </c>
      <c r="H1290" t="s">
        <v>192</v>
      </c>
      <c r="I1290" t="e">
        <f>+VLOOKUP(H1290,[1]Explore!$A:$I,9,0)</f>
        <v>#N/A</v>
      </c>
      <c r="J1290" t="str">
        <f t="shared" si="40"/>
        <v>BOTH #N/A</v>
      </c>
      <c r="K1290" t="str">
        <f t="shared" si="41"/>
        <v xml:space="preserve">Time </v>
      </c>
      <c r="L1290" t="s">
        <v>2138</v>
      </c>
      <c r="M1290" t="str">
        <f>_xlfn.IFNA(VLOOKUP(K1290,'Mapping DEF'!A:C,2,0),"")</f>
        <v>Time</v>
      </c>
      <c r="N1290" t="str">
        <f>+_xlfn.IFNA(VLOOKUP(M1290,'Mapping DEF'!B:C,2,FALSE),"")</f>
        <v>Other</v>
      </c>
      <c r="O1290" t="s">
        <v>2817</v>
      </c>
    </row>
    <row r="1291" spans="1:15" x14ac:dyDescent="0.25">
      <c r="A1291" s="4" t="s">
        <v>2446</v>
      </c>
      <c r="B1291" s="4" t="s">
        <v>2447</v>
      </c>
      <c r="C1291" s="5">
        <v>2466</v>
      </c>
      <c r="D1291" s="6" t="s">
        <v>2448</v>
      </c>
      <c r="E1291" t="s">
        <v>1697</v>
      </c>
      <c r="F1291" t="s">
        <v>1698</v>
      </c>
      <c r="G1291" t="e">
        <f>+VLOOKUP(F1291,[1]Explore!$B:$I,8,0)</f>
        <v>#N/A</v>
      </c>
      <c r="H1291" t="s">
        <v>1699</v>
      </c>
      <c r="I1291" t="str">
        <f>+VLOOKUP(H1291,[1]Explore!$A:$I,9,0)</f>
        <v>Energy</v>
      </c>
      <c r="J1291" t="str">
        <f t="shared" si="40"/>
        <v>OK</v>
      </c>
      <c r="K1291" t="str">
        <f t="shared" si="41"/>
        <v>Energy</v>
      </c>
      <c r="L1291" t="s">
        <v>2141</v>
      </c>
      <c r="M1291" t="str">
        <f>_xlfn.IFNA(VLOOKUP(K1291,'Mapping DEF'!A:C,2,0),"")</f>
        <v>Industry Allocation</v>
      </c>
      <c r="N1291" t="str">
        <f>+_xlfn.IFNA(VLOOKUP(M1291,'Mapping DEF'!B:C,2,FALSE),"")</f>
        <v>Equity</v>
      </c>
      <c r="O1291" t="s">
        <v>2794</v>
      </c>
    </row>
    <row r="1292" spans="1:15" x14ac:dyDescent="0.25">
      <c r="A1292" s="4" t="s">
        <v>2446</v>
      </c>
      <c r="B1292" s="4" t="s">
        <v>2447</v>
      </c>
      <c r="C1292" s="5">
        <v>2466</v>
      </c>
      <c r="D1292" s="6" t="s">
        <v>2448</v>
      </c>
      <c r="E1292" t="s">
        <v>1700</v>
      </c>
      <c r="F1292" t="s">
        <v>1102</v>
      </c>
      <c r="G1292" t="str">
        <f>+VLOOKUP(F1292,[1]Explore!$B:$I,8,0)</f>
        <v>Materials</v>
      </c>
      <c r="H1292" t="s">
        <v>1701</v>
      </c>
      <c r="I1292" t="str">
        <f>+VLOOKUP(H1292,[1]Explore!$A:$I,9,0)</f>
        <v>Materials</v>
      </c>
      <c r="J1292" t="str">
        <f t="shared" si="40"/>
        <v>OK</v>
      </c>
      <c r="K1292" t="str">
        <f t="shared" si="41"/>
        <v>Materials</v>
      </c>
      <c r="L1292" t="s">
        <v>2141</v>
      </c>
      <c r="M1292" t="str">
        <f>_xlfn.IFNA(VLOOKUP(K1292,'Mapping DEF'!A:C,2,0),"")</f>
        <v>Industry Allocation</v>
      </c>
      <c r="N1292" t="str">
        <f>+_xlfn.IFNA(VLOOKUP(M1292,'Mapping DEF'!B:C,2,FALSE),"")</f>
        <v>Equity</v>
      </c>
      <c r="O1292" t="s">
        <v>2803</v>
      </c>
    </row>
    <row r="1293" spans="1:15" x14ac:dyDescent="0.25">
      <c r="A1293" s="4" t="s">
        <v>2446</v>
      </c>
      <c r="B1293" s="4" t="s">
        <v>2447</v>
      </c>
      <c r="C1293" s="5">
        <v>2466</v>
      </c>
      <c r="D1293" s="6" t="s">
        <v>2448</v>
      </c>
      <c r="E1293" t="s">
        <v>1702</v>
      </c>
      <c r="F1293" t="s">
        <v>656</v>
      </c>
      <c r="G1293" t="str">
        <f>+VLOOKUP(F1293,[1]Explore!$B:$I,8,0)</f>
        <v>Industrials</v>
      </c>
      <c r="H1293" t="s">
        <v>657</v>
      </c>
      <c r="I1293" t="str">
        <f>+VLOOKUP(H1293,[1]Explore!$A:$I,9,0)</f>
        <v>Industrials</v>
      </c>
      <c r="J1293" t="str">
        <f t="shared" si="40"/>
        <v>OK</v>
      </c>
      <c r="K1293" t="str">
        <f t="shared" si="41"/>
        <v>Industrials</v>
      </c>
      <c r="L1293" t="s">
        <v>2141</v>
      </c>
      <c r="M1293" t="str">
        <f>_xlfn.IFNA(VLOOKUP(K1293,'Mapping DEF'!A:C,2,0),"")</f>
        <v>Industry Allocation</v>
      </c>
      <c r="N1293" t="str">
        <f>+_xlfn.IFNA(VLOOKUP(M1293,'Mapping DEF'!B:C,2,FALSE),"")</f>
        <v>Equity</v>
      </c>
      <c r="O1293" t="s">
        <v>2753</v>
      </c>
    </row>
    <row r="1294" spans="1:15" x14ac:dyDescent="0.25">
      <c r="A1294" s="4" t="s">
        <v>2446</v>
      </c>
      <c r="B1294" s="4" t="s">
        <v>2447</v>
      </c>
      <c r="C1294" s="5">
        <v>2466</v>
      </c>
      <c r="D1294" s="6" t="s">
        <v>2448</v>
      </c>
      <c r="E1294" t="s">
        <v>1703</v>
      </c>
      <c r="F1294" t="s">
        <v>220</v>
      </c>
      <c r="G1294" t="str">
        <f>+VLOOKUP(F1294,[1]Explore!$B:$I,8,0)</f>
        <v>Corporate HY USD - Other</v>
      </c>
      <c r="H1294" t="s">
        <v>510</v>
      </c>
      <c r="I1294" t="str">
        <f>+VLOOKUP(H1294,[1]Explore!$A:$I,9,0)</f>
        <v>Corporate HY USD - Other</v>
      </c>
      <c r="J1294" t="str">
        <f t="shared" si="40"/>
        <v>OK</v>
      </c>
      <c r="K1294" t="str">
        <f t="shared" si="41"/>
        <v>Corporate HY USD - Other</v>
      </c>
      <c r="L1294" t="s">
        <v>188</v>
      </c>
      <c r="M1294" t="str">
        <f>_xlfn.IFNA(VLOOKUP(K1294,'Mapping DEF'!A:C,2,0),"")</f>
        <v>Spread</v>
      </c>
      <c r="N1294" t="str">
        <f>+_xlfn.IFNA(VLOOKUP(M1294,'Mapping DEF'!B:C,2,FALSE),"")</f>
        <v>Spread</v>
      </c>
      <c r="O1294" t="s">
        <v>2795</v>
      </c>
    </row>
    <row r="1295" spans="1:15" x14ac:dyDescent="0.25">
      <c r="A1295" s="4" t="s">
        <v>2446</v>
      </c>
      <c r="B1295" s="4" t="s">
        <v>2447</v>
      </c>
      <c r="C1295" s="5">
        <v>2466</v>
      </c>
      <c r="D1295" s="6" t="s">
        <v>2448</v>
      </c>
      <c r="E1295" t="s">
        <v>1704</v>
      </c>
      <c r="F1295" t="s">
        <v>2623</v>
      </c>
      <c r="G1295" t="str">
        <f>+VLOOKUP(F1295,[1]Explore!$B:$I,8,0)</f>
        <v>Corporate HY USD - Industry</v>
      </c>
      <c r="H1295" t="s">
        <v>1705</v>
      </c>
      <c r="I1295" t="e">
        <f>+VLOOKUP(H1295,[1]Explore!$A:$I,9,0)</f>
        <v>#N/A</v>
      </c>
      <c r="J1295" t="str">
        <f t="shared" si="40"/>
        <v>OK</v>
      </c>
      <c r="K1295" t="str">
        <f t="shared" si="41"/>
        <v>Corporate HY USD - Industry</v>
      </c>
      <c r="L1295" t="s">
        <v>188</v>
      </c>
      <c r="M1295" t="str">
        <f>_xlfn.IFNA(VLOOKUP(K1295,'Mapping DEF'!A:C,2,0),"")</f>
        <v>Spread</v>
      </c>
      <c r="N1295" t="str">
        <f>+_xlfn.IFNA(VLOOKUP(M1295,'Mapping DEF'!B:C,2,FALSE),"")</f>
        <v>Spread</v>
      </c>
      <c r="O1295" t="s">
        <v>2765</v>
      </c>
    </row>
    <row r="1296" spans="1:15" x14ac:dyDescent="0.25">
      <c r="A1296" s="4" t="s">
        <v>2449</v>
      </c>
      <c r="B1296" s="4" t="s">
        <v>2450</v>
      </c>
      <c r="C1296" s="5">
        <v>2467</v>
      </c>
      <c r="D1296" s="6" t="s">
        <v>2451</v>
      </c>
      <c r="E1296" t="s">
        <v>1706</v>
      </c>
      <c r="F1296" t="s">
        <v>13</v>
      </c>
      <c r="G1296" t="str">
        <f>+VLOOKUP(F1296,[1]Explore!$B:$I,8,0)</f>
        <v>Govt USD</v>
      </c>
      <c r="H1296" t="s">
        <v>14</v>
      </c>
      <c r="I1296" t="str">
        <f>+VLOOKUP(H1296,[1]Explore!$A:$I,9,0)</f>
        <v>Govt USD</v>
      </c>
      <c r="J1296" t="str">
        <f t="shared" si="40"/>
        <v>OK</v>
      </c>
      <c r="K1296" t="str">
        <f t="shared" si="41"/>
        <v>Govt USD</v>
      </c>
      <c r="L1296" t="s">
        <v>2143</v>
      </c>
      <c r="M1296" t="str">
        <f>_xlfn.IFNA(VLOOKUP(K1296,'Mapping DEF'!A:C,2,0),"")</f>
        <v>Curve (Local)</v>
      </c>
      <c r="N1296" t="str">
        <f>+_xlfn.IFNA(VLOOKUP(M1296,'Mapping DEF'!B:C,2,FALSE),"")</f>
        <v>Term Structure</v>
      </c>
      <c r="O1296" t="s">
        <v>2755</v>
      </c>
    </row>
    <row r="1297" spans="1:15" x14ac:dyDescent="0.25">
      <c r="A1297" s="4" t="s">
        <v>2449</v>
      </c>
      <c r="B1297" s="4" t="s">
        <v>2450</v>
      </c>
      <c r="C1297" s="5">
        <v>2467</v>
      </c>
      <c r="D1297" s="6" t="s">
        <v>2451</v>
      </c>
      <c r="E1297" t="s">
        <v>1181</v>
      </c>
      <c r="F1297" t="s">
        <v>19</v>
      </c>
      <c r="G1297" t="str">
        <f>+VLOOKUP(F1297,[1]Explore!$B:$I,8,0)</f>
        <v>Govt USD</v>
      </c>
      <c r="H1297" t="s">
        <v>20</v>
      </c>
      <c r="I1297" t="str">
        <f>+VLOOKUP(H1297,[1]Explore!$A:$I,9,0)</f>
        <v>Govt USD</v>
      </c>
      <c r="J1297" t="str">
        <f t="shared" si="40"/>
        <v>OK</v>
      </c>
      <c r="K1297" t="str">
        <f t="shared" si="41"/>
        <v>Govt USD</v>
      </c>
      <c r="L1297" t="s">
        <v>2143</v>
      </c>
      <c r="M1297" t="str">
        <f>_xlfn.IFNA(VLOOKUP(K1297,'Mapping DEF'!A:C,2,0),"")</f>
        <v>Curve (Local)</v>
      </c>
      <c r="N1297" t="str">
        <f>+_xlfn.IFNA(VLOOKUP(M1297,'Mapping DEF'!B:C,2,FALSE),"")</f>
        <v>Term Structure</v>
      </c>
      <c r="O1297" t="s">
        <v>2797</v>
      </c>
    </row>
    <row r="1298" spans="1:15" x14ac:dyDescent="0.25">
      <c r="A1298" s="4" t="s">
        <v>2449</v>
      </c>
      <c r="B1298" s="4" t="s">
        <v>2450</v>
      </c>
      <c r="C1298" s="5">
        <v>2467</v>
      </c>
      <c r="D1298" s="6" t="s">
        <v>2451</v>
      </c>
      <c r="E1298" t="s">
        <v>1707</v>
      </c>
      <c r="F1298" t="s">
        <v>22</v>
      </c>
      <c r="G1298" t="str">
        <f>+VLOOKUP(F1298,[1]Explore!$B:$I,8,0)</f>
        <v>Govt USD</v>
      </c>
      <c r="H1298" t="s">
        <v>23</v>
      </c>
      <c r="I1298" t="str">
        <f>+VLOOKUP(H1298,[1]Explore!$A:$I,9,0)</f>
        <v>Govt USD</v>
      </c>
      <c r="J1298" t="str">
        <f t="shared" si="40"/>
        <v>OK</v>
      </c>
      <c r="K1298" t="str">
        <f t="shared" si="41"/>
        <v>Govt USD</v>
      </c>
      <c r="L1298" t="s">
        <v>2143</v>
      </c>
      <c r="M1298" t="str">
        <f>_xlfn.IFNA(VLOOKUP(K1298,'Mapping DEF'!A:C,2,0),"")</f>
        <v>Curve (Local)</v>
      </c>
      <c r="N1298" t="str">
        <f>+_xlfn.IFNA(VLOOKUP(M1298,'Mapping DEF'!B:C,2,FALSE),"")</f>
        <v>Term Structure</v>
      </c>
      <c r="O1298" t="s">
        <v>2778</v>
      </c>
    </row>
    <row r="1299" spans="1:15" x14ac:dyDescent="0.25">
      <c r="A1299" s="4" t="s">
        <v>2449</v>
      </c>
      <c r="B1299" s="4" t="s">
        <v>2450</v>
      </c>
      <c r="C1299" s="5">
        <v>2467</v>
      </c>
      <c r="D1299" s="6" t="s">
        <v>2451</v>
      </c>
      <c r="E1299" t="s">
        <v>1247</v>
      </c>
      <c r="F1299" t="s">
        <v>817</v>
      </c>
      <c r="G1299" t="str">
        <f>+VLOOKUP(F1299,[1]Explore!$B:$I,8,0)</f>
        <v>USD Inflation</v>
      </c>
      <c r="H1299" t="s">
        <v>818</v>
      </c>
      <c r="I1299" t="str">
        <f>+VLOOKUP(H1299,[1]Explore!$A:$I,9,0)</f>
        <v>USD Inflation</v>
      </c>
      <c r="J1299" t="str">
        <f t="shared" si="40"/>
        <v>OK</v>
      </c>
      <c r="K1299" t="str">
        <f t="shared" si="41"/>
        <v>USD Inflation</v>
      </c>
      <c r="L1299" t="s">
        <v>2143</v>
      </c>
      <c r="M1299" t="str">
        <f>_xlfn.IFNA(VLOOKUP(K1299,'Mapping DEF'!A:C,2,0),"")</f>
        <v>Inflation</v>
      </c>
      <c r="N1299" t="str">
        <f>+_xlfn.IFNA(VLOOKUP(M1299,'Mapping DEF'!B:C,2,FALSE),"")</f>
        <v>Other</v>
      </c>
      <c r="O1299" t="s">
        <v>2829</v>
      </c>
    </row>
    <row r="1300" spans="1:15" x14ac:dyDescent="0.25">
      <c r="A1300" s="4" t="s">
        <v>2449</v>
      </c>
      <c r="B1300" s="4" t="s">
        <v>2450</v>
      </c>
      <c r="C1300" s="5">
        <v>2467</v>
      </c>
      <c r="D1300" s="6" t="s">
        <v>2451</v>
      </c>
      <c r="E1300" t="s">
        <v>1708</v>
      </c>
      <c r="F1300" t="s">
        <v>265</v>
      </c>
      <c r="G1300" t="str">
        <f>+VLOOKUP(F1300,[1]Explore!$B:$I,8,0)</f>
        <v>Alternative - Commodity</v>
      </c>
      <c r="H1300" t="s">
        <v>266</v>
      </c>
      <c r="I1300" t="str">
        <f>+VLOOKUP(H1300,[1]Explore!$A:$I,9,0)</f>
        <v>Alternative - Commodity</v>
      </c>
      <c r="J1300" t="str">
        <f t="shared" si="40"/>
        <v>OK</v>
      </c>
      <c r="K1300" t="str">
        <f t="shared" si="41"/>
        <v>Alternative - Commodity</v>
      </c>
      <c r="L1300" t="s">
        <v>2139</v>
      </c>
      <c r="M1300" t="str">
        <f>_xlfn.IFNA(VLOOKUP(K1300,'Mapping DEF'!A:C,2,0),"")</f>
        <v>Alternative</v>
      </c>
      <c r="N1300" t="str">
        <f>+_xlfn.IFNA(VLOOKUP(M1300,'Mapping DEF'!B:C,2,FALSE),"")</f>
        <v>Other</v>
      </c>
      <c r="O1300" t="s">
        <v>2875</v>
      </c>
    </row>
    <row r="1301" spans="1:15" x14ac:dyDescent="0.25">
      <c r="A1301" s="4" t="s">
        <v>2449</v>
      </c>
      <c r="B1301" s="4" t="s">
        <v>2450</v>
      </c>
      <c r="C1301" s="5">
        <v>2467</v>
      </c>
      <c r="D1301" s="6" t="s">
        <v>2451</v>
      </c>
      <c r="E1301" t="s">
        <v>1012</v>
      </c>
      <c r="F1301" t="s">
        <v>268</v>
      </c>
      <c r="G1301" t="str">
        <f>+VLOOKUP(F1301,[1]Explore!$B:$I,8,0)</f>
        <v>Alternative - Commodity</v>
      </c>
      <c r="H1301" t="s">
        <v>269</v>
      </c>
      <c r="I1301" t="str">
        <f>+VLOOKUP(H1301,[1]Explore!$A:$I,9,0)</f>
        <v>Alternative - Commodity</v>
      </c>
      <c r="J1301" t="str">
        <f t="shared" si="40"/>
        <v>OK</v>
      </c>
      <c r="K1301" t="str">
        <f t="shared" si="41"/>
        <v>Alternative - Commodity</v>
      </c>
      <c r="L1301" t="s">
        <v>2139</v>
      </c>
      <c r="M1301" t="str">
        <f>_xlfn.IFNA(VLOOKUP(K1301,'Mapping DEF'!A:C,2,0),"")</f>
        <v>Alternative</v>
      </c>
      <c r="N1301" t="str">
        <f>+_xlfn.IFNA(VLOOKUP(M1301,'Mapping DEF'!B:C,2,FALSE),"")</f>
        <v>Other</v>
      </c>
      <c r="O1301" t="s">
        <v>2792</v>
      </c>
    </row>
    <row r="1302" spans="1:15" x14ac:dyDescent="0.25">
      <c r="A1302" s="4" t="s">
        <v>2449</v>
      </c>
      <c r="B1302" s="4" t="s">
        <v>2450</v>
      </c>
      <c r="C1302" s="5">
        <v>2467</v>
      </c>
      <c r="D1302" s="6" t="s">
        <v>2451</v>
      </c>
      <c r="E1302" t="s">
        <v>1709</v>
      </c>
      <c r="F1302" t="s">
        <v>1224</v>
      </c>
      <c r="G1302" t="str">
        <f>+VLOOKUP(F1302,[1]Explore!$B:$I,8,0)</f>
        <v>Corporate IG USD - Market</v>
      </c>
      <c r="H1302" t="s">
        <v>1225</v>
      </c>
      <c r="I1302" t="str">
        <f>+VLOOKUP(H1302,[1]Explore!$A:$I,9,0)</f>
        <v>Corporate IG USD - Market</v>
      </c>
      <c r="J1302" t="str">
        <f t="shared" si="40"/>
        <v>OK</v>
      </c>
      <c r="K1302" t="str">
        <f t="shared" si="41"/>
        <v>Corporate IG USD - Market</v>
      </c>
      <c r="L1302" t="s">
        <v>188</v>
      </c>
      <c r="M1302" t="str">
        <f>_xlfn.IFNA(VLOOKUP(K1302,'Mapping DEF'!A:C,2,0),"")</f>
        <v>Spread</v>
      </c>
      <c r="N1302" t="str">
        <f>+_xlfn.IFNA(VLOOKUP(M1302,'Mapping DEF'!B:C,2,FALSE),"")</f>
        <v>Spread</v>
      </c>
      <c r="O1302" t="s">
        <v>2786</v>
      </c>
    </row>
    <row r="1303" spans="1:15" x14ac:dyDescent="0.25">
      <c r="A1303" s="4" t="s">
        <v>2449</v>
      </c>
      <c r="B1303" s="4" t="s">
        <v>2450</v>
      </c>
      <c r="C1303" s="5">
        <v>2467</v>
      </c>
      <c r="D1303" s="6" t="s">
        <v>2451</v>
      </c>
      <c r="E1303" t="s">
        <v>964</v>
      </c>
      <c r="F1303" t="s">
        <v>2942</v>
      </c>
      <c r="G1303" t="str">
        <f>+VLOOKUP(F1303,[1]Explore!$B:$I,8,0)</f>
        <v>EUR</v>
      </c>
      <c r="H1303" t="s">
        <v>173</v>
      </c>
      <c r="I1303" t="str">
        <f>+VLOOKUP(H1303,[1]Explore!$A:$I,9,0)</f>
        <v>EUR</v>
      </c>
      <c r="J1303" t="str">
        <f t="shared" si="40"/>
        <v>OK</v>
      </c>
      <c r="K1303" t="str">
        <f t="shared" si="41"/>
        <v>EUR</v>
      </c>
      <c r="L1303" t="s">
        <v>2140</v>
      </c>
      <c r="M1303" t="str">
        <f>_xlfn.IFNA(VLOOKUP(K1303,'Mapping DEF'!A:C,2,0),"")</f>
        <v>FX</v>
      </c>
      <c r="N1303" t="str">
        <f>+_xlfn.IFNA(VLOOKUP(M1303,'Mapping DEF'!B:C,2,FALSE),"")</f>
        <v>FX</v>
      </c>
      <c r="O1303" t="s">
        <v>2776</v>
      </c>
    </row>
    <row r="1304" spans="1:15" x14ac:dyDescent="0.25">
      <c r="A1304" s="4" t="s">
        <v>2449</v>
      </c>
      <c r="B1304" s="4" t="s">
        <v>2450</v>
      </c>
      <c r="C1304" s="5">
        <v>2467</v>
      </c>
      <c r="D1304" s="6" t="s">
        <v>2451</v>
      </c>
      <c r="E1304" t="s">
        <v>1713</v>
      </c>
      <c r="F1304" t="s">
        <v>1714</v>
      </c>
      <c r="G1304" t="str">
        <f>+VLOOKUP(F1304,[1]Explore!$B:$I,8,0)</f>
        <v>EUR Inflation</v>
      </c>
      <c r="H1304" t="s">
        <v>1715</v>
      </c>
      <c r="I1304" t="str">
        <f>+VLOOKUP(H1304,[1]Explore!$A:$I,9,0)</f>
        <v>EUR Inflation</v>
      </c>
      <c r="J1304" t="str">
        <f t="shared" si="40"/>
        <v>OK</v>
      </c>
      <c r="K1304" t="str">
        <f t="shared" si="41"/>
        <v>EUR Inflation</v>
      </c>
      <c r="L1304" t="s">
        <v>2143</v>
      </c>
      <c r="M1304" t="str">
        <f>_xlfn.IFNA(VLOOKUP(K1304,'Mapping DEF'!A:C,2,0),"")</f>
        <v>Inflation</v>
      </c>
      <c r="N1304" t="str">
        <f>+_xlfn.IFNA(VLOOKUP(M1304,'Mapping DEF'!B:C,2,FALSE),"")</f>
        <v>Other</v>
      </c>
      <c r="O1304" t="s">
        <v>2829</v>
      </c>
    </row>
    <row r="1305" spans="1:15" x14ac:dyDescent="0.25">
      <c r="A1305" s="4" t="s">
        <v>2449</v>
      </c>
      <c r="B1305" s="4" t="s">
        <v>2450</v>
      </c>
      <c r="C1305" s="5">
        <v>2467</v>
      </c>
      <c r="D1305" s="6" t="s">
        <v>2451</v>
      </c>
      <c r="E1305" t="s">
        <v>1716</v>
      </c>
      <c r="F1305" t="s">
        <v>183</v>
      </c>
      <c r="G1305" t="str">
        <f>+VLOOKUP(F1305,[1]Explore!$B:$I,8,0)</f>
        <v>Equity Implied Volatility</v>
      </c>
      <c r="H1305" t="s">
        <v>184</v>
      </c>
      <c r="I1305" t="str">
        <f>+VLOOKUP(H1305,[1]Explore!$A:$I,9,0)</f>
        <v>Equity Implied Volatility</v>
      </c>
      <c r="J1305" t="str">
        <f t="shared" si="40"/>
        <v>OK</v>
      </c>
      <c r="K1305" t="str">
        <f t="shared" si="41"/>
        <v>Equity Implied Volatility</v>
      </c>
      <c r="L1305" t="s">
        <v>27</v>
      </c>
      <c r="M1305" t="str">
        <f>_xlfn.IFNA(VLOOKUP(K1305,'Mapping DEF'!A:C,2,0),"")</f>
        <v>Equity Derivatives</v>
      </c>
      <c r="N1305" t="str">
        <f>+_xlfn.IFNA(VLOOKUP(M1305,'Mapping DEF'!B:C,2,FALSE),"")</f>
        <v>Equity</v>
      </c>
      <c r="O1305" t="s">
        <v>2803</v>
      </c>
    </row>
    <row r="1306" spans="1:15" x14ac:dyDescent="0.25">
      <c r="A1306" s="4" t="s">
        <v>2449</v>
      </c>
      <c r="B1306" s="4" t="s">
        <v>2450</v>
      </c>
      <c r="C1306" s="5">
        <v>2467</v>
      </c>
      <c r="D1306" s="6" t="s">
        <v>2451</v>
      </c>
      <c r="E1306" t="s">
        <v>338</v>
      </c>
      <c r="F1306" t="s">
        <v>191</v>
      </c>
      <c r="G1306" t="e">
        <f>+VLOOKUP(F1306,[1]Explore!$B:$I,8,0)</f>
        <v>#N/A</v>
      </c>
      <c r="H1306" t="s">
        <v>192</v>
      </c>
      <c r="I1306" t="e">
        <f>+VLOOKUP(H1306,[1]Explore!$A:$I,9,0)</f>
        <v>#N/A</v>
      </c>
      <c r="J1306" t="str">
        <f t="shared" si="40"/>
        <v>BOTH #N/A</v>
      </c>
      <c r="K1306" t="str">
        <f t="shared" si="41"/>
        <v xml:space="preserve">Time </v>
      </c>
      <c r="L1306" t="s">
        <v>2138</v>
      </c>
      <c r="M1306" t="str">
        <f>_xlfn.IFNA(VLOOKUP(K1306,'Mapping DEF'!A:C,2,0),"")</f>
        <v>Time</v>
      </c>
      <c r="N1306" t="str">
        <f>+_xlfn.IFNA(VLOOKUP(M1306,'Mapping DEF'!B:C,2,FALSE),"")</f>
        <v>Other</v>
      </c>
      <c r="O1306" t="s">
        <v>2817</v>
      </c>
    </row>
    <row r="1307" spans="1:15" x14ac:dyDescent="0.25">
      <c r="A1307" s="4" t="s">
        <v>2449</v>
      </c>
      <c r="B1307" s="4" t="s">
        <v>2450</v>
      </c>
      <c r="C1307" s="5">
        <v>2467</v>
      </c>
      <c r="D1307" s="6" t="s">
        <v>2451</v>
      </c>
      <c r="E1307" t="s">
        <v>1717</v>
      </c>
      <c r="F1307" t="s">
        <v>656</v>
      </c>
      <c r="G1307" t="str">
        <f>+VLOOKUP(F1307,[1]Explore!$B:$I,8,0)</f>
        <v>Industrials</v>
      </c>
      <c r="H1307" t="s">
        <v>657</v>
      </c>
      <c r="I1307" t="str">
        <f>+VLOOKUP(H1307,[1]Explore!$A:$I,9,0)</f>
        <v>Industrials</v>
      </c>
      <c r="J1307" t="str">
        <f t="shared" si="40"/>
        <v>OK</v>
      </c>
      <c r="K1307" t="str">
        <f t="shared" si="41"/>
        <v>Industrials</v>
      </c>
      <c r="L1307" t="s">
        <v>2141</v>
      </c>
      <c r="M1307" t="str">
        <f>_xlfn.IFNA(VLOOKUP(K1307,'Mapping DEF'!A:C,2,0),"")</f>
        <v>Industry Allocation</v>
      </c>
      <c r="N1307" t="str">
        <f>+_xlfn.IFNA(VLOOKUP(M1307,'Mapping DEF'!B:C,2,FALSE),"")</f>
        <v>Equity</v>
      </c>
      <c r="O1307" t="s">
        <v>2776</v>
      </c>
    </row>
    <row r="1308" spans="1:15" x14ac:dyDescent="0.25">
      <c r="A1308" s="4" t="s">
        <v>2449</v>
      </c>
      <c r="B1308" s="4" t="s">
        <v>2450</v>
      </c>
      <c r="C1308" s="5">
        <v>2467</v>
      </c>
      <c r="D1308" s="6" t="s">
        <v>2451</v>
      </c>
      <c r="E1308" t="s">
        <v>1718</v>
      </c>
      <c r="F1308" t="s">
        <v>1719</v>
      </c>
      <c r="G1308" t="str">
        <f>+VLOOKUP(F1308,[1]Explore!$B:$I,8,0)</f>
        <v>Consumer Discretionary</v>
      </c>
      <c r="H1308" t="s">
        <v>1720</v>
      </c>
      <c r="I1308" t="str">
        <f>+VLOOKUP(H1308,[1]Explore!$A:$I,9,0)</f>
        <v>Consumer Discretionary</v>
      </c>
      <c r="J1308" t="str">
        <f t="shared" si="40"/>
        <v>OK</v>
      </c>
      <c r="K1308" t="str">
        <f t="shared" si="41"/>
        <v>Consumer Discretionary</v>
      </c>
      <c r="L1308" t="s">
        <v>2141</v>
      </c>
      <c r="M1308" t="str">
        <f>_xlfn.IFNA(VLOOKUP(K1308,'Mapping DEF'!A:C,2,0),"")</f>
        <v>Industry Allocation</v>
      </c>
      <c r="N1308" t="str">
        <f>+_xlfn.IFNA(VLOOKUP(M1308,'Mapping DEF'!B:C,2,FALSE),"")</f>
        <v>Equity</v>
      </c>
      <c r="O1308" t="s">
        <v>2776</v>
      </c>
    </row>
    <row r="1309" spans="1:15" x14ac:dyDescent="0.25">
      <c r="A1309" s="4" t="s">
        <v>2449</v>
      </c>
      <c r="B1309" s="4" t="s">
        <v>2450</v>
      </c>
      <c r="C1309" s="5">
        <v>2467</v>
      </c>
      <c r="D1309" s="6" t="s">
        <v>2451</v>
      </c>
      <c r="E1309" t="s">
        <v>1721</v>
      </c>
      <c r="F1309" t="s">
        <v>346</v>
      </c>
      <c r="G1309" t="str">
        <f>+VLOOKUP(F1309,[1]Explore!$B:$I,8,0)</f>
        <v>Spread Emerging Markets - Country</v>
      </c>
      <c r="H1309" t="s">
        <v>347</v>
      </c>
      <c r="I1309" t="str">
        <f>+VLOOKUP(H1309,[1]Explore!$A:$I,9,0)</f>
        <v>Spread Emerging Markets - Country</v>
      </c>
      <c r="J1309" t="str">
        <f t="shared" si="40"/>
        <v>OK</v>
      </c>
      <c r="K1309" t="str">
        <f t="shared" si="41"/>
        <v>Spread Emerging Markets - Country</v>
      </c>
      <c r="L1309" t="s">
        <v>188</v>
      </c>
      <c r="M1309" t="str">
        <f>_xlfn.IFNA(VLOOKUP(K1309,'Mapping DEF'!A:C,2,0),"")</f>
        <v>Spread</v>
      </c>
      <c r="N1309" t="str">
        <f>+_xlfn.IFNA(VLOOKUP(M1309,'Mapping DEF'!B:C,2,FALSE),"")</f>
        <v>Spread</v>
      </c>
      <c r="O1309" t="s">
        <v>2823</v>
      </c>
    </row>
    <row r="1310" spans="1:15" x14ac:dyDescent="0.25">
      <c r="A1310" s="4" t="s">
        <v>2449</v>
      </c>
      <c r="B1310" s="4" t="s">
        <v>2450</v>
      </c>
      <c r="C1310" s="5">
        <v>2467</v>
      </c>
      <c r="D1310" s="6" t="s">
        <v>2451</v>
      </c>
      <c r="E1310" t="s">
        <v>1722</v>
      </c>
      <c r="F1310" t="s">
        <v>220</v>
      </c>
      <c r="G1310" t="str">
        <f>+VLOOKUP(F1310,[1]Explore!$B:$I,8,0)</f>
        <v>Corporate HY USD - Other</v>
      </c>
      <c r="H1310" t="s">
        <v>510</v>
      </c>
      <c r="I1310" t="str">
        <f>+VLOOKUP(H1310,[1]Explore!$A:$I,9,0)</f>
        <v>Corporate HY USD - Other</v>
      </c>
      <c r="J1310" t="str">
        <f t="shared" si="40"/>
        <v>OK</v>
      </c>
      <c r="K1310" t="str">
        <f t="shared" si="41"/>
        <v>Corporate HY USD - Other</v>
      </c>
      <c r="L1310" t="s">
        <v>188</v>
      </c>
      <c r="M1310" t="str">
        <f>_xlfn.IFNA(VLOOKUP(K1310,'Mapping DEF'!A:C,2,0),"")</f>
        <v>Spread</v>
      </c>
      <c r="N1310" t="str">
        <f>+_xlfn.IFNA(VLOOKUP(M1310,'Mapping DEF'!B:C,2,FALSE),"")</f>
        <v>Spread</v>
      </c>
      <c r="O1310" t="s">
        <v>2823</v>
      </c>
    </row>
    <row r="1311" spans="1:15" x14ac:dyDescent="0.25">
      <c r="A1311" s="4" t="s">
        <v>2452</v>
      </c>
      <c r="B1311" s="4" t="s">
        <v>2453</v>
      </c>
      <c r="C1311" s="5">
        <v>2524</v>
      </c>
      <c r="D1311" s="6" t="s">
        <v>2454</v>
      </c>
      <c r="E1311" t="s">
        <v>927</v>
      </c>
      <c r="F1311" t="s">
        <v>19</v>
      </c>
      <c r="G1311" t="str">
        <f>+VLOOKUP(F1311,[1]Explore!$B:$I,8,0)</f>
        <v>Govt USD</v>
      </c>
      <c r="H1311" t="s">
        <v>20</v>
      </c>
      <c r="I1311" t="str">
        <f>+VLOOKUP(H1311,[1]Explore!$A:$I,9,0)</f>
        <v>Govt USD</v>
      </c>
      <c r="J1311" t="str">
        <f t="shared" si="40"/>
        <v>OK</v>
      </c>
      <c r="K1311" t="str">
        <f t="shared" si="41"/>
        <v>Govt USD</v>
      </c>
      <c r="L1311" t="s">
        <v>2143</v>
      </c>
      <c r="M1311" t="str">
        <f>_xlfn.IFNA(VLOOKUP(K1311,'Mapping DEF'!A:C,2,0),"")</f>
        <v>Curve (Local)</v>
      </c>
      <c r="N1311" t="str">
        <f>+_xlfn.IFNA(VLOOKUP(M1311,'Mapping DEF'!B:C,2,FALSE),"")</f>
        <v>Term Structure</v>
      </c>
      <c r="O1311" t="s">
        <v>2765</v>
      </c>
    </row>
    <row r="1312" spans="1:15" x14ac:dyDescent="0.25">
      <c r="A1312" s="4" t="s">
        <v>2452</v>
      </c>
      <c r="B1312" s="4" t="s">
        <v>2453</v>
      </c>
      <c r="C1312" s="5">
        <v>2524</v>
      </c>
      <c r="D1312" s="6" t="s">
        <v>2454</v>
      </c>
      <c r="E1312" t="s">
        <v>1690</v>
      </c>
      <c r="F1312" t="s">
        <v>258</v>
      </c>
      <c r="G1312" t="str">
        <f>+VLOOKUP(F1312,[1]Explore!$B:$I,8,0)</f>
        <v>USD Inflation</v>
      </c>
      <c r="H1312" t="s">
        <v>259</v>
      </c>
      <c r="I1312" t="str">
        <f>+VLOOKUP(H1312,[1]Explore!$A:$I,9,0)</f>
        <v>USD Inflation</v>
      </c>
      <c r="J1312" t="str">
        <f t="shared" si="40"/>
        <v>OK</v>
      </c>
      <c r="K1312" t="str">
        <f t="shared" si="41"/>
        <v>USD Inflation</v>
      </c>
      <c r="L1312" t="s">
        <v>2143</v>
      </c>
      <c r="M1312" t="str">
        <f>_xlfn.IFNA(VLOOKUP(K1312,'Mapping DEF'!A:C,2,0),"")</f>
        <v>Inflation</v>
      </c>
      <c r="N1312" t="str">
        <f>+_xlfn.IFNA(VLOOKUP(M1312,'Mapping DEF'!B:C,2,FALSE),"")</f>
        <v>Other</v>
      </c>
      <c r="O1312" t="s">
        <v>2780</v>
      </c>
    </row>
    <row r="1313" spans="1:15" x14ac:dyDescent="0.25">
      <c r="A1313" s="4" t="s">
        <v>2452</v>
      </c>
      <c r="B1313" s="4" t="s">
        <v>2453</v>
      </c>
      <c r="C1313" s="5">
        <v>2524</v>
      </c>
      <c r="D1313" s="6" t="s">
        <v>2454</v>
      </c>
      <c r="E1313" t="s">
        <v>1723</v>
      </c>
      <c r="F1313" t="s">
        <v>265</v>
      </c>
      <c r="G1313" t="str">
        <f>+VLOOKUP(F1313,[1]Explore!$B:$I,8,0)</f>
        <v>Alternative - Commodity</v>
      </c>
      <c r="H1313" t="s">
        <v>266</v>
      </c>
      <c r="I1313" t="str">
        <f>+VLOOKUP(H1313,[1]Explore!$A:$I,9,0)</f>
        <v>Alternative - Commodity</v>
      </c>
      <c r="J1313" t="str">
        <f t="shared" si="40"/>
        <v>OK</v>
      </c>
      <c r="K1313" t="str">
        <f t="shared" si="41"/>
        <v>Alternative - Commodity</v>
      </c>
      <c r="L1313" t="s">
        <v>2139</v>
      </c>
      <c r="M1313" t="str">
        <f>_xlfn.IFNA(VLOOKUP(K1313,'Mapping DEF'!A:C,2,0),"")</f>
        <v>Alternative</v>
      </c>
      <c r="N1313" t="str">
        <f>+_xlfn.IFNA(VLOOKUP(M1313,'Mapping DEF'!B:C,2,FALSE),"")</f>
        <v>Other</v>
      </c>
      <c r="O1313" t="s">
        <v>2838</v>
      </c>
    </row>
    <row r="1314" spans="1:15" x14ac:dyDescent="0.25">
      <c r="A1314" s="4" t="s">
        <v>2452</v>
      </c>
      <c r="B1314" s="4" t="s">
        <v>2453</v>
      </c>
      <c r="C1314" s="5">
        <v>2524</v>
      </c>
      <c r="D1314" s="6" t="s">
        <v>2454</v>
      </c>
      <c r="E1314" t="s">
        <v>1724</v>
      </c>
      <c r="F1314" t="s">
        <v>389</v>
      </c>
      <c r="G1314" t="e">
        <f>+VLOOKUP(F1314,[1]Explore!$B:$I,8,0)</f>
        <v>#N/A</v>
      </c>
      <c r="H1314" t="s">
        <v>390</v>
      </c>
      <c r="I1314" t="str">
        <f>+VLOOKUP(H1314,[1]Explore!$A:$I,9,0)</f>
        <v>Emerging Currency</v>
      </c>
      <c r="J1314" t="str">
        <f t="shared" si="40"/>
        <v>OK</v>
      </c>
      <c r="K1314" t="str">
        <f t="shared" si="41"/>
        <v>Emerging Currency</v>
      </c>
      <c r="L1314" t="s">
        <v>2140</v>
      </c>
      <c r="M1314" t="str">
        <f>_xlfn.IFNA(VLOOKUP(K1314,'Mapping DEF'!A:C,2,0),"")</f>
        <v>FX</v>
      </c>
      <c r="N1314" t="str">
        <f>+_xlfn.IFNA(VLOOKUP(M1314,'Mapping DEF'!B:C,2,FALSE),"")</f>
        <v>FX</v>
      </c>
      <c r="O1314" t="s">
        <v>2876</v>
      </c>
    </row>
    <row r="1315" spans="1:15" x14ac:dyDescent="0.25">
      <c r="A1315" s="4" t="s">
        <v>2452</v>
      </c>
      <c r="B1315" s="4" t="s">
        <v>2453</v>
      </c>
      <c r="C1315" s="5">
        <v>2524</v>
      </c>
      <c r="D1315" s="6" t="s">
        <v>2454</v>
      </c>
      <c r="E1315" t="s">
        <v>1725</v>
      </c>
      <c r="F1315" t="s">
        <v>1136</v>
      </c>
      <c r="G1315" t="e">
        <f>+VLOOKUP(F1315,[1]Explore!$B:$I,8,0)</f>
        <v>#N/A</v>
      </c>
      <c r="H1315" t="s">
        <v>1137</v>
      </c>
      <c r="I1315" t="str">
        <f>+VLOOKUP(H1315,[1]Explore!$A:$I,9,0)</f>
        <v>Energy</v>
      </c>
      <c r="J1315" t="str">
        <f t="shared" si="40"/>
        <v>OK</v>
      </c>
      <c r="K1315" t="str">
        <f t="shared" si="41"/>
        <v>Energy</v>
      </c>
      <c r="L1315" t="s">
        <v>2141</v>
      </c>
      <c r="M1315" t="str">
        <f>_xlfn.IFNA(VLOOKUP(K1315,'Mapping DEF'!A:C,2,0),"")</f>
        <v>Industry Allocation</v>
      </c>
      <c r="N1315" t="str">
        <f>+_xlfn.IFNA(VLOOKUP(M1315,'Mapping DEF'!B:C,2,FALSE),"")</f>
        <v>Equity</v>
      </c>
      <c r="O1315" t="s">
        <v>2792</v>
      </c>
    </row>
    <row r="1316" spans="1:15" x14ac:dyDescent="0.25">
      <c r="A1316" s="4" t="s">
        <v>2452</v>
      </c>
      <c r="B1316" s="4" t="s">
        <v>2453</v>
      </c>
      <c r="C1316" s="5">
        <v>2524</v>
      </c>
      <c r="D1316" s="6" t="s">
        <v>2454</v>
      </c>
      <c r="E1316" t="s">
        <v>1726</v>
      </c>
      <c r="F1316" t="s">
        <v>217</v>
      </c>
      <c r="G1316" t="str">
        <f>+VLOOKUP(F1316,[1]Explore!$B:$I,8,0)</f>
        <v>Utilities</v>
      </c>
      <c r="H1316" t="s">
        <v>1727</v>
      </c>
      <c r="I1316" t="str">
        <f>+VLOOKUP(H1316,[1]Explore!$A:$I,9,0)</f>
        <v>Utilities</v>
      </c>
      <c r="J1316" t="str">
        <f t="shared" si="40"/>
        <v>OK</v>
      </c>
      <c r="K1316" t="str">
        <f t="shared" si="41"/>
        <v>Utilities</v>
      </c>
      <c r="L1316" t="s">
        <v>2141</v>
      </c>
      <c r="M1316" t="str">
        <f>_xlfn.IFNA(VLOOKUP(K1316,'Mapping DEF'!A:C,2,0),"")</f>
        <v>Industry Allocation</v>
      </c>
      <c r="N1316" t="str">
        <f>+_xlfn.IFNA(VLOOKUP(M1316,'Mapping DEF'!B:C,2,FALSE),"")</f>
        <v>Equity</v>
      </c>
      <c r="O1316" t="s">
        <v>2771</v>
      </c>
    </row>
    <row r="1317" spans="1:15" x14ac:dyDescent="0.25">
      <c r="A1317" s="4" t="s">
        <v>2452</v>
      </c>
      <c r="B1317" s="4" t="s">
        <v>2453</v>
      </c>
      <c r="C1317" s="5">
        <v>2524</v>
      </c>
      <c r="D1317" s="6" t="s">
        <v>2454</v>
      </c>
      <c r="E1317" t="s">
        <v>1728</v>
      </c>
      <c r="F1317" t="s">
        <v>1296</v>
      </c>
      <c r="G1317" t="str">
        <f>+VLOOKUP(F1317,[1]Explore!$B:$I,8,0)</f>
        <v>Corporate HY USD - Industry</v>
      </c>
      <c r="H1317" t="s">
        <v>1297</v>
      </c>
      <c r="I1317" t="str">
        <f>+VLOOKUP(H1317,[1]Explore!$A:$I,9,0)</f>
        <v>Corporate HY USD - Industry</v>
      </c>
      <c r="J1317" t="str">
        <f t="shared" si="40"/>
        <v>OK</v>
      </c>
      <c r="K1317" t="str">
        <f t="shared" si="41"/>
        <v>Corporate HY USD - Industry</v>
      </c>
      <c r="L1317" t="s">
        <v>188</v>
      </c>
      <c r="M1317" t="str">
        <f>_xlfn.IFNA(VLOOKUP(K1317,'Mapping DEF'!A:C,2,0),"")</f>
        <v>Spread</v>
      </c>
      <c r="N1317" t="str">
        <f>+_xlfn.IFNA(VLOOKUP(M1317,'Mapping DEF'!B:C,2,FALSE),"")</f>
        <v>Spread</v>
      </c>
      <c r="O1317" t="s">
        <v>2859</v>
      </c>
    </row>
    <row r="1318" spans="1:15" x14ac:dyDescent="0.25">
      <c r="A1318" s="4" t="s">
        <v>2452</v>
      </c>
      <c r="B1318" s="4" t="s">
        <v>2453</v>
      </c>
      <c r="C1318" s="5">
        <v>2524</v>
      </c>
      <c r="D1318" s="6" t="s">
        <v>2454</v>
      </c>
      <c r="E1318" t="s">
        <v>1729</v>
      </c>
      <c r="F1318" t="s">
        <v>220</v>
      </c>
      <c r="G1318" t="str">
        <f>+VLOOKUP(F1318,[1]Explore!$B:$I,8,0)</f>
        <v>Corporate HY USD - Other</v>
      </c>
      <c r="H1318" t="s">
        <v>221</v>
      </c>
      <c r="I1318" t="str">
        <f>+VLOOKUP(H1318,[1]Explore!$A:$I,9,0)</f>
        <v>Corporate HY USD - Other</v>
      </c>
      <c r="J1318" t="str">
        <f t="shared" si="40"/>
        <v>OK</v>
      </c>
      <c r="K1318" t="str">
        <f t="shared" si="41"/>
        <v>Corporate HY USD - Other</v>
      </c>
      <c r="L1318" t="s">
        <v>188</v>
      </c>
      <c r="M1318" t="str">
        <f>_xlfn.IFNA(VLOOKUP(K1318,'Mapping DEF'!A:C,2,0),"")</f>
        <v>Spread</v>
      </c>
      <c r="N1318" t="str">
        <f>+_xlfn.IFNA(VLOOKUP(M1318,'Mapping DEF'!B:C,2,FALSE),"")</f>
        <v>Spread</v>
      </c>
      <c r="O1318" t="s">
        <v>2841</v>
      </c>
    </row>
    <row r="1319" spans="1:15" x14ac:dyDescent="0.25">
      <c r="A1319" s="4" t="s">
        <v>2455</v>
      </c>
      <c r="B1319" s="4" t="s">
        <v>2456</v>
      </c>
      <c r="C1319" s="5">
        <v>2522</v>
      </c>
      <c r="D1319" s="6" t="s">
        <v>2457</v>
      </c>
      <c r="E1319" t="s">
        <v>434</v>
      </c>
      <c r="F1319" t="s">
        <v>13</v>
      </c>
      <c r="G1319" t="str">
        <f>+VLOOKUP(F1319,[1]Explore!$B:$I,8,0)</f>
        <v>Govt USD</v>
      </c>
      <c r="H1319" t="s">
        <v>14</v>
      </c>
      <c r="I1319" t="str">
        <f>+VLOOKUP(H1319,[1]Explore!$A:$I,9,0)</f>
        <v>Govt USD</v>
      </c>
      <c r="J1319" t="str">
        <f t="shared" si="40"/>
        <v>OK</v>
      </c>
      <c r="K1319" t="str">
        <f t="shared" si="41"/>
        <v>Govt USD</v>
      </c>
      <c r="L1319" t="s">
        <v>2143</v>
      </c>
      <c r="M1319" t="str">
        <f>_xlfn.IFNA(VLOOKUP(K1319,'Mapping DEF'!A:C,2,0),"")</f>
        <v>Curve (Local)</v>
      </c>
      <c r="N1319" t="str">
        <f>+_xlfn.IFNA(VLOOKUP(M1319,'Mapping DEF'!B:C,2,FALSE),"")</f>
        <v>Term Structure</v>
      </c>
      <c r="O1319" t="s">
        <v>2797</v>
      </c>
    </row>
    <row r="1320" spans="1:15" x14ac:dyDescent="0.25">
      <c r="A1320" s="4" t="s">
        <v>2455</v>
      </c>
      <c r="B1320" s="4" t="s">
        <v>2456</v>
      </c>
      <c r="C1320" s="5">
        <v>2522</v>
      </c>
      <c r="D1320" s="6" t="s">
        <v>2457</v>
      </c>
      <c r="E1320" t="s">
        <v>334</v>
      </c>
      <c r="F1320" t="s">
        <v>19</v>
      </c>
      <c r="G1320" t="str">
        <f>+VLOOKUP(F1320,[1]Explore!$B:$I,8,0)</f>
        <v>Govt USD</v>
      </c>
      <c r="H1320" t="s">
        <v>20</v>
      </c>
      <c r="I1320" t="str">
        <f>+VLOOKUP(H1320,[1]Explore!$A:$I,9,0)</f>
        <v>Govt USD</v>
      </c>
      <c r="J1320" t="str">
        <f t="shared" si="40"/>
        <v>OK</v>
      </c>
      <c r="K1320" t="str">
        <f t="shared" si="41"/>
        <v>Govt USD</v>
      </c>
      <c r="L1320" t="s">
        <v>2143</v>
      </c>
      <c r="M1320" t="str">
        <f>_xlfn.IFNA(VLOOKUP(K1320,'Mapping DEF'!A:C,2,0),"")</f>
        <v>Curve (Local)</v>
      </c>
      <c r="N1320" t="str">
        <f>+_xlfn.IFNA(VLOOKUP(M1320,'Mapping DEF'!B:C,2,FALSE),"")</f>
        <v>Term Structure</v>
      </c>
      <c r="O1320" t="s">
        <v>2774</v>
      </c>
    </row>
    <row r="1321" spans="1:15" x14ac:dyDescent="0.25">
      <c r="A1321" s="4" t="s">
        <v>2455</v>
      </c>
      <c r="B1321" s="4" t="s">
        <v>2456</v>
      </c>
      <c r="C1321" s="5">
        <v>2522</v>
      </c>
      <c r="D1321" s="6" t="s">
        <v>2457</v>
      </c>
      <c r="E1321" t="s">
        <v>1730</v>
      </c>
      <c r="F1321" t="s">
        <v>265</v>
      </c>
      <c r="G1321" t="str">
        <f>+VLOOKUP(F1321,[1]Explore!$B:$I,8,0)</f>
        <v>Alternative - Commodity</v>
      </c>
      <c r="H1321" t="s">
        <v>266</v>
      </c>
      <c r="I1321" t="str">
        <f>+VLOOKUP(H1321,[1]Explore!$A:$I,9,0)</f>
        <v>Alternative - Commodity</v>
      </c>
      <c r="J1321" t="str">
        <f t="shared" si="40"/>
        <v>OK</v>
      </c>
      <c r="K1321" t="str">
        <f t="shared" si="41"/>
        <v>Alternative - Commodity</v>
      </c>
      <c r="L1321" t="s">
        <v>2139</v>
      </c>
      <c r="M1321" t="str">
        <f>_xlfn.IFNA(VLOOKUP(K1321,'Mapping DEF'!A:C,2,0),"")</f>
        <v>Alternative</v>
      </c>
      <c r="N1321" t="str">
        <f>+_xlfn.IFNA(VLOOKUP(M1321,'Mapping DEF'!B:C,2,FALSE),"")</f>
        <v>Other</v>
      </c>
      <c r="O1321" t="s">
        <v>2848</v>
      </c>
    </row>
    <row r="1322" spans="1:15" x14ac:dyDescent="0.25">
      <c r="A1322" s="4" t="s">
        <v>2455</v>
      </c>
      <c r="B1322" s="4" t="s">
        <v>2456</v>
      </c>
      <c r="C1322" s="5">
        <v>2522</v>
      </c>
      <c r="D1322" s="6" t="s">
        <v>2457</v>
      </c>
      <c r="E1322" t="s">
        <v>1731</v>
      </c>
      <c r="F1322" t="s">
        <v>389</v>
      </c>
      <c r="G1322" t="e">
        <f>+VLOOKUP(F1322,[1]Explore!$B:$I,8,0)</f>
        <v>#N/A</v>
      </c>
      <c r="H1322" t="s">
        <v>390</v>
      </c>
      <c r="I1322" t="str">
        <f>+VLOOKUP(H1322,[1]Explore!$A:$I,9,0)</f>
        <v>Emerging Currency</v>
      </c>
      <c r="J1322" t="str">
        <f t="shared" si="40"/>
        <v>OK</v>
      </c>
      <c r="K1322" t="str">
        <f t="shared" si="41"/>
        <v>Emerging Currency</v>
      </c>
      <c r="L1322" t="s">
        <v>2140</v>
      </c>
      <c r="M1322" t="str">
        <f>_xlfn.IFNA(VLOOKUP(K1322,'Mapping DEF'!A:C,2,0),"")</f>
        <v>FX</v>
      </c>
      <c r="N1322" t="str">
        <f>+_xlfn.IFNA(VLOOKUP(M1322,'Mapping DEF'!B:C,2,FALSE),"")</f>
        <v>FX</v>
      </c>
      <c r="O1322" t="s">
        <v>2753</v>
      </c>
    </row>
    <row r="1323" spans="1:15" x14ac:dyDescent="0.25">
      <c r="A1323" s="4" t="s">
        <v>2455</v>
      </c>
      <c r="B1323" s="4" t="s">
        <v>2456</v>
      </c>
      <c r="C1323" s="5">
        <v>2522</v>
      </c>
      <c r="D1323" s="6" t="s">
        <v>2457</v>
      </c>
      <c r="E1323" t="s">
        <v>368</v>
      </c>
      <c r="F1323" t="s">
        <v>369</v>
      </c>
      <c r="G1323" t="e">
        <f>+VLOOKUP(F1323,[1]Explore!$B:$I,8,0)</f>
        <v>#N/A</v>
      </c>
      <c r="H1323" t="s">
        <v>370</v>
      </c>
      <c r="I1323" t="str">
        <f>+VLOOKUP(H1323,[1]Explore!$A:$I,9,0)</f>
        <v>Emerging Currency</v>
      </c>
      <c r="J1323" t="str">
        <f t="shared" si="40"/>
        <v>OK</v>
      </c>
      <c r="K1323" t="str">
        <f t="shared" si="41"/>
        <v>Emerging Currency</v>
      </c>
      <c r="L1323" t="s">
        <v>2140</v>
      </c>
      <c r="M1323" t="str">
        <f>_xlfn.IFNA(VLOOKUP(K1323,'Mapping DEF'!A:C,2,0),"")</f>
        <v>FX</v>
      </c>
      <c r="N1323" t="str">
        <f>+_xlfn.IFNA(VLOOKUP(M1323,'Mapping DEF'!B:C,2,FALSE),"")</f>
        <v>FX</v>
      </c>
      <c r="O1323" t="s">
        <v>2753</v>
      </c>
    </row>
    <row r="1324" spans="1:15" x14ac:dyDescent="0.25">
      <c r="A1324" s="4" t="s">
        <v>2455</v>
      </c>
      <c r="B1324" s="4" t="s">
        <v>2456</v>
      </c>
      <c r="C1324" s="5">
        <v>2522</v>
      </c>
      <c r="D1324" s="6" t="s">
        <v>2457</v>
      </c>
      <c r="E1324" t="s">
        <v>828</v>
      </c>
      <c r="F1324" t="s">
        <v>829</v>
      </c>
      <c r="G1324" t="str">
        <f>+VLOOKUP(F1324,[1]Explore!$B:$I,8,0)</f>
        <v>Equity Implied Volatility</v>
      </c>
      <c r="H1324" t="s">
        <v>830</v>
      </c>
      <c r="I1324" t="str">
        <f>+VLOOKUP(H1324,[1]Explore!$A:$I,9,0)</f>
        <v>Equity Implied Volatility</v>
      </c>
      <c r="J1324" t="str">
        <f t="shared" si="40"/>
        <v>OK</v>
      </c>
      <c r="K1324" t="str">
        <f t="shared" si="41"/>
        <v>Equity Implied Volatility</v>
      </c>
      <c r="L1324" t="s">
        <v>27</v>
      </c>
      <c r="M1324" t="str">
        <f>_xlfn.IFNA(VLOOKUP(K1324,'Mapping DEF'!A:C,2,0),"")</f>
        <v>Equity Derivatives</v>
      </c>
      <c r="N1324" t="str">
        <f>+_xlfn.IFNA(VLOOKUP(M1324,'Mapping DEF'!B:C,2,FALSE),"")</f>
        <v>Equity</v>
      </c>
      <c r="O1324" t="s">
        <v>2768</v>
      </c>
    </row>
    <row r="1325" spans="1:15" x14ac:dyDescent="0.25">
      <c r="A1325" s="4" t="s">
        <v>2455</v>
      </c>
      <c r="B1325" s="4" t="s">
        <v>2456</v>
      </c>
      <c r="C1325" s="5">
        <v>2522</v>
      </c>
      <c r="D1325" s="6" t="s">
        <v>2457</v>
      </c>
      <c r="E1325" t="s">
        <v>1732</v>
      </c>
      <c r="F1325" t="s">
        <v>572</v>
      </c>
      <c r="G1325" t="str">
        <f>+VLOOKUP(F1325,[1]Explore!$B:$I,8,0)</f>
        <v>Equity Implied Volatility</v>
      </c>
      <c r="H1325" t="s">
        <v>573</v>
      </c>
      <c r="I1325" t="str">
        <f>+VLOOKUP(H1325,[1]Explore!$A:$I,9,0)</f>
        <v>Equity Implied Volatility</v>
      </c>
      <c r="J1325" t="str">
        <f t="shared" si="40"/>
        <v>OK</v>
      </c>
      <c r="K1325" t="str">
        <f t="shared" si="41"/>
        <v>Equity Implied Volatility</v>
      </c>
      <c r="L1325" t="s">
        <v>27</v>
      </c>
      <c r="M1325" t="str">
        <f>_xlfn.IFNA(VLOOKUP(K1325,'Mapping DEF'!A:C,2,0),"")</f>
        <v>Equity Derivatives</v>
      </c>
      <c r="N1325" t="str">
        <f>+_xlfn.IFNA(VLOOKUP(M1325,'Mapping DEF'!B:C,2,FALSE),"")</f>
        <v>Equity</v>
      </c>
      <c r="O1325" t="s">
        <v>2768</v>
      </c>
    </row>
    <row r="1326" spans="1:15" x14ac:dyDescent="0.25">
      <c r="A1326" s="4" t="s">
        <v>2455</v>
      </c>
      <c r="B1326" s="4" t="s">
        <v>2456</v>
      </c>
      <c r="C1326" s="5">
        <v>2522</v>
      </c>
      <c r="D1326" s="6" t="s">
        <v>2457</v>
      </c>
      <c r="E1326" t="s">
        <v>896</v>
      </c>
      <c r="F1326" t="s">
        <v>183</v>
      </c>
      <c r="G1326" t="str">
        <f>+VLOOKUP(F1326,[1]Explore!$B:$I,8,0)</f>
        <v>Equity Implied Volatility</v>
      </c>
      <c r="H1326" t="s">
        <v>184</v>
      </c>
      <c r="I1326" t="str">
        <f>+VLOOKUP(H1326,[1]Explore!$A:$I,9,0)</f>
        <v>Equity Implied Volatility</v>
      </c>
      <c r="J1326" t="str">
        <f t="shared" si="40"/>
        <v>OK</v>
      </c>
      <c r="K1326" t="str">
        <f t="shared" si="41"/>
        <v>Equity Implied Volatility</v>
      </c>
      <c r="L1326" t="s">
        <v>27</v>
      </c>
      <c r="M1326" t="str">
        <f>_xlfn.IFNA(VLOOKUP(K1326,'Mapping DEF'!A:C,2,0),"")</f>
        <v>Equity Derivatives</v>
      </c>
      <c r="N1326" t="str">
        <f>+_xlfn.IFNA(VLOOKUP(M1326,'Mapping DEF'!B:C,2,FALSE),"")</f>
        <v>Equity</v>
      </c>
      <c r="O1326" t="s">
        <v>2757</v>
      </c>
    </row>
    <row r="1327" spans="1:15" x14ac:dyDescent="0.25">
      <c r="A1327" s="4" t="s">
        <v>2455</v>
      </c>
      <c r="B1327" s="4" t="s">
        <v>2456</v>
      </c>
      <c r="C1327" s="5">
        <v>2522</v>
      </c>
      <c r="D1327" s="6" t="s">
        <v>2457</v>
      </c>
      <c r="E1327" t="s">
        <v>1733</v>
      </c>
      <c r="F1327" t="s">
        <v>1296</v>
      </c>
      <c r="G1327" t="str">
        <f>+VLOOKUP(F1327,[1]Explore!$B:$I,8,0)</f>
        <v>Corporate HY USD - Industry</v>
      </c>
      <c r="H1327" t="s">
        <v>1297</v>
      </c>
      <c r="I1327" t="str">
        <f>+VLOOKUP(H1327,[1]Explore!$A:$I,9,0)</f>
        <v>Corporate HY USD - Industry</v>
      </c>
      <c r="J1327" t="str">
        <f t="shared" si="40"/>
        <v>OK</v>
      </c>
      <c r="K1327" t="str">
        <f t="shared" si="41"/>
        <v>Corporate HY USD - Industry</v>
      </c>
      <c r="L1327" t="s">
        <v>188</v>
      </c>
      <c r="M1327" t="str">
        <f>_xlfn.IFNA(VLOOKUP(K1327,'Mapping DEF'!A:C,2,0),"")</f>
        <v>Spread</v>
      </c>
      <c r="N1327" t="str">
        <f>+_xlfn.IFNA(VLOOKUP(M1327,'Mapping DEF'!B:C,2,FALSE),"")</f>
        <v>Spread</v>
      </c>
      <c r="O1327" t="s">
        <v>2756</v>
      </c>
    </row>
    <row r="1328" spans="1:15" x14ac:dyDescent="0.25">
      <c r="A1328" s="4" t="s">
        <v>2455</v>
      </c>
      <c r="B1328" s="4" t="s">
        <v>2456</v>
      </c>
      <c r="C1328" s="5">
        <v>2522</v>
      </c>
      <c r="D1328" s="6" t="s">
        <v>2457</v>
      </c>
      <c r="E1328" t="s">
        <v>1384</v>
      </c>
      <c r="F1328" t="s">
        <v>220</v>
      </c>
      <c r="G1328" t="str">
        <f>+VLOOKUP(F1328,[1]Explore!$B:$I,8,0)</f>
        <v>Corporate HY USD - Other</v>
      </c>
      <c r="H1328" t="s">
        <v>221</v>
      </c>
      <c r="I1328" t="str">
        <f>+VLOOKUP(H1328,[1]Explore!$A:$I,9,0)</f>
        <v>Corporate HY USD - Other</v>
      </c>
      <c r="J1328" t="str">
        <f t="shared" si="40"/>
        <v>OK</v>
      </c>
      <c r="K1328" t="str">
        <f t="shared" si="41"/>
        <v>Corporate HY USD - Other</v>
      </c>
      <c r="L1328" t="s">
        <v>188</v>
      </c>
      <c r="M1328" t="str">
        <f>_xlfn.IFNA(VLOOKUP(K1328,'Mapping DEF'!A:C,2,0),"")</f>
        <v>Spread</v>
      </c>
      <c r="N1328" t="str">
        <f>+_xlfn.IFNA(VLOOKUP(M1328,'Mapping DEF'!B:C,2,FALSE),"")</f>
        <v>Spread</v>
      </c>
      <c r="O1328" t="s">
        <v>2755</v>
      </c>
    </row>
    <row r="1329" spans="1:15" x14ac:dyDescent="0.25">
      <c r="A1329" s="4" t="s">
        <v>2455</v>
      </c>
      <c r="B1329" s="4" t="s">
        <v>2456</v>
      </c>
      <c r="C1329" s="5">
        <v>2522</v>
      </c>
      <c r="D1329" s="6" t="s">
        <v>2457</v>
      </c>
      <c r="E1329" t="s">
        <v>1734</v>
      </c>
      <c r="F1329" t="s">
        <v>1300</v>
      </c>
      <c r="G1329" t="str">
        <f>+VLOOKUP(F1329,[1]Explore!$B:$I,8,0)</f>
        <v>Other - Index</v>
      </c>
      <c r="H1329" t="s">
        <v>1301</v>
      </c>
      <c r="I1329" t="str">
        <f>+VLOOKUP(H1329,[1]Explore!$A:$I,9,0)</f>
        <v>Other - Index</v>
      </c>
      <c r="J1329" t="str">
        <f t="shared" si="40"/>
        <v>OK</v>
      </c>
      <c r="K1329" t="str">
        <f t="shared" si="41"/>
        <v>Other - Index</v>
      </c>
      <c r="L1329" t="s">
        <v>27</v>
      </c>
      <c r="M1329" t="str">
        <f>_xlfn.IFNA(VLOOKUP(K1329,'Mapping DEF'!A:C,2,0),"")</f>
        <v>Other</v>
      </c>
      <c r="N1329" t="str">
        <f>+_xlfn.IFNA(VLOOKUP(M1329,'Mapping DEF'!B:C,2,FALSE),"")</f>
        <v>Other</v>
      </c>
      <c r="O1329" t="s">
        <v>2761</v>
      </c>
    </row>
    <row r="1330" spans="1:15" x14ac:dyDescent="0.25">
      <c r="A1330" s="4" t="s">
        <v>2458</v>
      </c>
      <c r="B1330" s="4" t="s">
        <v>2459</v>
      </c>
      <c r="C1330" s="5">
        <v>2523</v>
      </c>
      <c r="D1330" s="6" t="s">
        <v>2460</v>
      </c>
      <c r="E1330" t="s">
        <v>1735</v>
      </c>
      <c r="F1330" t="s">
        <v>19</v>
      </c>
      <c r="G1330" t="str">
        <f>+VLOOKUP(F1330,[1]Explore!$B:$I,8,0)</f>
        <v>Govt USD</v>
      </c>
      <c r="H1330" t="s">
        <v>20</v>
      </c>
      <c r="I1330" t="str">
        <f>+VLOOKUP(H1330,[1]Explore!$A:$I,9,0)</f>
        <v>Govt USD</v>
      </c>
      <c r="J1330" t="str">
        <f t="shared" si="40"/>
        <v>OK</v>
      </c>
      <c r="K1330" t="str">
        <f t="shared" si="41"/>
        <v>Govt USD</v>
      </c>
      <c r="L1330" t="s">
        <v>2137</v>
      </c>
      <c r="M1330" t="str">
        <f>_xlfn.IFNA(VLOOKUP(K1330,'Mapping DEF'!A:C,2,0),"")</f>
        <v>Curve (Local)</v>
      </c>
      <c r="N1330" t="str">
        <f>+_xlfn.IFNA(VLOOKUP(M1330,'Mapping DEF'!B:C,2,FALSE),"")</f>
        <v>Term Structure</v>
      </c>
      <c r="O1330" t="s">
        <v>2786</v>
      </c>
    </row>
    <row r="1331" spans="1:15" x14ac:dyDescent="0.25">
      <c r="A1331" s="4" t="s">
        <v>2458</v>
      </c>
      <c r="B1331" s="4" t="s">
        <v>2459</v>
      </c>
      <c r="C1331" s="5">
        <v>2523</v>
      </c>
      <c r="D1331" s="6" t="s">
        <v>2460</v>
      </c>
      <c r="E1331" t="s">
        <v>889</v>
      </c>
      <c r="F1331" t="s">
        <v>265</v>
      </c>
      <c r="G1331" t="str">
        <f>+VLOOKUP(F1331,[1]Explore!$B:$I,8,0)</f>
        <v>Alternative - Commodity</v>
      </c>
      <c r="H1331" t="s">
        <v>266</v>
      </c>
      <c r="I1331" t="str">
        <f>+VLOOKUP(H1331,[1]Explore!$A:$I,9,0)</f>
        <v>Alternative - Commodity</v>
      </c>
      <c r="J1331" t="str">
        <f t="shared" si="40"/>
        <v>OK</v>
      </c>
      <c r="K1331" t="str">
        <f t="shared" si="41"/>
        <v>Alternative - Commodity</v>
      </c>
      <c r="L1331" t="s">
        <v>2139</v>
      </c>
      <c r="M1331" t="str">
        <f>_xlfn.IFNA(VLOOKUP(K1331,'Mapping DEF'!A:C,2,0),"")</f>
        <v>Alternative</v>
      </c>
      <c r="N1331" t="str">
        <f>+_xlfn.IFNA(VLOOKUP(M1331,'Mapping DEF'!B:C,2,FALSE),"")</f>
        <v>Other</v>
      </c>
      <c r="O1331" t="s">
        <v>2794</v>
      </c>
    </row>
    <row r="1332" spans="1:15" x14ac:dyDescent="0.25">
      <c r="A1332" s="4" t="s">
        <v>2458</v>
      </c>
      <c r="B1332" s="4" t="s">
        <v>2459</v>
      </c>
      <c r="C1332" s="5">
        <v>2523</v>
      </c>
      <c r="D1332" s="6" t="s">
        <v>2460</v>
      </c>
      <c r="E1332" t="s">
        <v>1736</v>
      </c>
      <c r="F1332" t="s">
        <v>417</v>
      </c>
      <c r="G1332" t="str">
        <f>+VLOOKUP(F1332,[1]Explore!$B:$I,8,0)</f>
        <v>Govt Emerging Markets</v>
      </c>
      <c r="H1332" t="s">
        <v>418</v>
      </c>
      <c r="I1332" t="str">
        <f>+VLOOKUP(H1332,[1]Explore!$A:$I,9,0)</f>
        <v>Govt Emerging Markets</v>
      </c>
      <c r="J1332" t="str">
        <f t="shared" si="40"/>
        <v>OK</v>
      </c>
      <c r="K1332" t="str">
        <f t="shared" si="41"/>
        <v>Govt Emerging Markets</v>
      </c>
      <c r="L1332" t="s">
        <v>2143</v>
      </c>
      <c r="M1332" t="str">
        <f>_xlfn.IFNA(VLOOKUP(K1332,'Mapping DEF'!A:C,2,0),"")</f>
        <v>Curve (Local)</v>
      </c>
      <c r="N1332" t="str">
        <f>+_xlfn.IFNA(VLOOKUP(M1332,'Mapping DEF'!B:C,2,FALSE),"")</f>
        <v>Term Structure</v>
      </c>
      <c r="O1332" t="s">
        <v>2780</v>
      </c>
    </row>
    <row r="1333" spans="1:15" x14ac:dyDescent="0.25">
      <c r="A1333" s="4" t="s">
        <v>2458</v>
      </c>
      <c r="B1333" s="4" t="s">
        <v>2459</v>
      </c>
      <c r="C1333" s="5">
        <v>2523</v>
      </c>
      <c r="D1333" s="6" t="s">
        <v>2460</v>
      </c>
      <c r="E1333" t="s">
        <v>1737</v>
      </c>
      <c r="F1333" t="s">
        <v>1698</v>
      </c>
      <c r="G1333" t="e">
        <f>+VLOOKUP(F1333,[1]Explore!$B:$I,8,0)</f>
        <v>#N/A</v>
      </c>
      <c r="H1333" t="s">
        <v>1699</v>
      </c>
      <c r="I1333" t="str">
        <f>+VLOOKUP(H1333,[1]Explore!$A:$I,9,0)</f>
        <v>Energy</v>
      </c>
      <c r="J1333" t="str">
        <f t="shared" si="40"/>
        <v>OK</v>
      </c>
      <c r="K1333" t="str">
        <f t="shared" si="41"/>
        <v>Energy</v>
      </c>
      <c r="L1333" t="s">
        <v>2141</v>
      </c>
      <c r="M1333" t="str">
        <f>_xlfn.IFNA(VLOOKUP(K1333,'Mapping DEF'!A:C,2,0),"")</f>
        <v>Industry Allocation</v>
      </c>
      <c r="N1333" t="str">
        <f>+_xlfn.IFNA(VLOOKUP(M1333,'Mapping DEF'!B:C,2,FALSE),"")</f>
        <v>Equity</v>
      </c>
      <c r="O1333" t="s">
        <v>2770</v>
      </c>
    </row>
    <row r="1334" spans="1:15" x14ac:dyDescent="0.25">
      <c r="A1334" s="4" t="s">
        <v>2458</v>
      </c>
      <c r="B1334" s="4" t="s">
        <v>2459</v>
      </c>
      <c r="C1334" s="5">
        <v>2523</v>
      </c>
      <c r="D1334" s="6" t="s">
        <v>2460</v>
      </c>
      <c r="E1334" t="s">
        <v>1738</v>
      </c>
      <c r="F1334" t="s">
        <v>656</v>
      </c>
      <c r="G1334" t="str">
        <f>+VLOOKUP(F1334,[1]Explore!$B:$I,8,0)</f>
        <v>Industrials</v>
      </c>
      <c r="H1334" t="s">
        <v>657</v>
      </c>
      <c r="I1334" t="str">
        <f>+VLOOKUP(H1334,[1]Explore!$A:$I,9,0)</f>
        <v>Industrials</v>
      </c>
      <c r="J1334" t="str">
        <f t="shared" si="40"/>
        <v>OK</v>
      </c>
      <c r="K1334" t="str">
        <f t="shared" si="41"/>
        <v>Industrials</v>
      </c>
      <c r="L1334" t="s">
        <v>2141</v>
      </c>
      <c r="M1334" t="str">
        <f>_xlfn.IFNA(VLOOKUP(K1334,'Mapping DEF'!A:C,2,0),"")</f>
        <v>Industry Allocation</v>
      </c>
      <c r="N1334" t="str">
        <f>+_xlfn.IFNA(VLOOKUP(M1334,'Mapping DEF'!B:C,2,FALSE),"")</f>
        <v>Equity</v>
      </c>
      <c r="O1334" t="s">
        <v>2760</v>
      </c>
    </row>
    <row r="1335" spans="1:15" x14ac:dyDescent="0.25">
      <c r="A1335" s="4" t="s">
        <v>2458</v>
      </c>
      <c r="B1335" s="4" t="s">
        <v>2459</v>
      </c>
      <c r="C1335" s="5">
        <v>2523</v>
      </c>
      <c r="D1335" s="6" t="s">
        <v>2460</v>
      </c>
      <c r="E1335" t="s">
        <v>1322</v>
      </c>
      <c r="F1335" t="s">
        <v>1296</v>
      </c>
      <c r="G1335" t="str">
        <f>+VLOOKUP(F1335,[1]Explore!$B:$I,8,0)</f>
        <v>Corporate HY USD - Industry</v>
      </c>
      <c r="H1335" t="s">
        <v>1297</v>
      </c>
      <c r="I1335" t="str">
        <f>+VLOOKUP(H1335,[1]Explore!$A:$I,9,0)</f>
        <v>Corporate HY USD - Industry</v>
      </c>
      <c r="J1335" t="str">
        <f t="shared" si="40"/>
        <v>OK</v>
      </c>
      <c r="K1335" t="str">
        <f t="shared" si="41"/>
        <v>Corporate HY USD - Industry</v>
      </c>
      <c r="L1335" t="s">
        <v>188</v>
      </c>
      <c r="M1335" t="str">
        <f>_xlfn.IFNA(VLOOKUP(K1335,'Mapping DEF'!A:C,2,0),"")</f>
        <v>Spread</v>
      </c>
      <c r="N1335" t="str">
        <f>+_xlfn.IFNA(VLOOKUP(M1335,'Mapping DEF'!B:C,2,FALSE),"")</f>
        <v>Spread</v>
      </c>
      <c r="O1335" t="s">
        <v>2841</v>
      </c>
    </row>
    <row r="1336" spans="1:15" x14ac:dyDescent="0.25">
      <c r="A1336" s="4" t="s">
        <v>2458</v>
      </c>
      <c r="B1336" s="4" t="s">
        <v>2459</v>
      </c>
      <c r="C1336" s="5">
        <v>2523</v>
      </c>
      <c r="D1336" s="6" t="s">
        <v>2460</v>
      </c>
      <c r="E1336" t="s">
        <v>1323</v>
      </c>
      <c r="F1336" t="s">
        <v>220</v>
      </c>
      <c r="G1336" t="str">
        <f>+VLOOKUP(F1336,[1]Explore!$B:$I,8,0)</f>
        <v>Corporate HY USD - Other</v>
      </c>
      <c r="H1336" t="s">
        <v>221</v>
      </c>
      <c r="I1336" t="str">
        <f>+VLOOKUP(H1336,[1]Explore!$A:$I,9,0)</f>
        <v>Corporate HY USD - Other</v>
      </c>
      <c r="J1336" t="str">
        <f t="shared" si="40"/>
        <v>OK</v>
      </c>
      <c r="K1336" t="str">
        <f t="shared" si="41"/>
        <v>Corporate HY USD - Other</v>
      </c>
      <c r="L1336" t="s">
        <v>188</v>
      </c>
      <c r="M1336" t="str">
        <f>_xlfn.IFNA(VLOOKUP(K1336,'Mapping DEF'!A:C,2,0),"")</f>
        <v>Spread</v>
      </c>
      <c r="N1336" t="str">
        <f>+_xlfn.IFNA(VLOOKUP(M1336,'Mapping DEF'!B:C,2,FALSE),"")</f>
        <v>Spread</v>
      </c>
      <c r="O1336" t="s">
        <v>2752</v>
      </c>
    </row>
    <row r="1337" spans="1:15" x14ac:dyDescent="0.25">
      <c r="A1337" s="4" t="s">
        <v>2461</v>
      </c>
      <c r="B1337" s="4" t="s">
        <v>2462</v>
      </c>
      <c r="C1337" s="5">
        <v>2468</v>
      </c>
      <c r="D1337" s="6" t="s">
        <v>2463</v>
      </c>
      <c r="E1337" t="s">
        <v>1739</v>
      </c>
      <c r="F1337" t="s">
        <v>13</v>
      </c>
      <c r="G1337" t="str">
        <f>+VLOOKUP(F1337,[1]Explore!$B:$I,8,0)</f>
        <v>Govt USD</v>
      </c>
      <c r="H1337" t="s">
        <v>14</v>
      </c>
      <c r="I1337" t="str">
        <f>+VLOOKUP(H1337,[1]Explore!$A:$I,9,0)</f>
        <v>Govt USD</v>
      </c>
      <c r="J1337" t="str">
        <f t="shared" si="40"/>
        <v>OK</v>
      </c>
      <c r="K1337" t="str">
        <f t="shared" si="41"/>
        <v>Govt USD</v>
      </c>
      <c r="L1337" t="s">
        <v>2143</v>
      </c>
      <c r="M1337" t="str">
        <f>_xlfn.IFNA(VLOOKUP(K1337,'Mapping DEF'!A:C,2,0),"")</f>
        <v>Curve (Local)</v>
      </c>
      <c r="N1337" t="str">
        <f>+_xlfn.IFNA(VLOOKUP(M1337,'Mapping DEF'!B:C,2,FALSE),"")</f>
        <v>Term Structure</v>
      </c>
      <c r="O1337" t="s">
        <v>2765</v>
      </c>
    </row>
    <row r="1338" spans="1:15" x14ac:dyDescent="0.25">
      <c r="A1338" s="4" t="s">
        <v>2461</v>
      </c>
      <c r="B1338" s="4" t="s">
        <v>2462</v>
      </c>
      <c r="C1338" s="5">
        <v>2468</v>
      </c>
      <c r="D1338" s="6" t="s">
        <v>2463</v>
      </c>
      <c r="E1338" t="s">
        <v>1740</v>
      </c>
      <c r="F1338" t="s">
        <v>19</v>
      </c>
      <c r="G1338" t="str">
        <f>+VLOOKUP(F1338,[1]Explore!$B:$I,8,0)</f>
        <v>Govt USD</v>
      </c>
      <c r="H1338" t="s">
        <v>20</v>
      </c>
      <c r="I1338" t="str">
        <f>+VLOOKUP(H1338,[1]Explore!$A:$I,9,0)</f>
        <v>Govt USD</v>
      </c>
      <c r="J1338" t="str">
        <f t="shared" si="40"/>
        <v>OK</v>
      </c>
      <c r="K1338" t="str">
        <f t="shared" si="41"/>
        <v>Govt USD</v>
      </c>
      <c r="L1338" t="s">
        <v>2143</v>
      </c>
      <c r="M1338" t="str">
        <f>_xlfn.IFNA(VLOOKUP(K1338,'Mapping DEF'!A:C,2,0),"")</f>
        <v>Curve (Local)</v>
      </c>
      <c r="N1338" t="str">
        <f>+_xlfn.IFNA(VLOOKUP(M1338,'Mapping DEF'!B:C,2,FALSE),"")</f>
        <v>Term Structure</v>
      </c>
      <c r="O1338" t="s">
        <v>2795</v>
      </c>
    </row>
    <row r="1339" spans="1:15" x14ac:dyDescent="0.25">
      <c r="A1339" s="4" t="s">
        <v>2461</v>
      </c>
      <c r="B1339" s="4" t="s">
        <v>2462</v>
      </c>
      <c r="C1339" s="5">
        <v>2468</v>
      </c>
      <c r="D1339" s="6" t="s">
        <v>2463</v>
      </c>
      <c r="E1339" t="s">
        <v>1741</v>
      </c>
      <c r="F1339" t="s">
        <v>791</v>
      </c>
      <c r="G1339" t="str">
        <f>+VLOOKUP(F1339,[1]Explore!$B:$I,8,0)</f>
        <v>USD Inflation</v>
      </c>
      <c r="H1339" t="s">
        <v>792</v>
      </c>
      <c r="I1339" t="str">
        <f>+VLOOKUP(H1339,[1]Explore!$A:$I,9,0)</f>
        <v>USD Inflation</v>
      </c>
      <c r="J1339" t="str">
        <f t="shared" si="40"/>
        <v>OK</v>
      </c>
      <c r="K1339" t="str">
        <f t="shared" si="41"/>
        <v>USD Inflation</v>
      </c>
      <c r="L1339" t="s">
        <v>2143</v>
      </c>
      <c r="M1339" t="str">
        <f>_xlfn.IFNA(VLOOKUP(K1339,'Mapping DEF'!A:C,2,0),"")</f>
        <v>Inflation</v>
      </c>
      <c r="N1339" t="str">
        <f>+_xlfn.IFNA(VLOOKUP(M1339,'Mapping DEF'!B:C,2,FALSE),"")</f>
        <v>Other</v>
      </c>
      <c r="O1339" t="s">
        <v>2785</v>
      </c>
    </row>
    <row r="1340" spans="1:15" x14ac:dyDescent="0.25">
      <c r="A1340" s="4" t="s">
        <v>2461</v>
      </c>
      <c r="B1340" s="4" t="s">
        <v>2462</v>
      </c>
      <c r="C1340" s="5">
        <v>2468</v>
      </c>
      <c r="D1340" s="6" t="s">
        <v>2463</v>
      </c>
      <c r="E1340" t="s">
        <v>1742</v>
      </c>
      <c r="F1340" t="s">
        <v>1743</v>
      </c>
      <c r="G1340" t="str">
        <f>+VLOOKUP(F1340,[1]Explore!$B:$I,8,0)</f>
        <v>USD Inflation</v>
      </c>
      <c r="H1340" t="s">
        <v>1744</v>
      </c>
      <c r="I1340" t="str">
        <f>+VLOOKUP(H1340,[1]Explore!$A:$I,9,0)</f>
        <v>USD Inflation</v>
      </c>
      <c r="J1340" t="str">
        <f t="shared" si="40"/>
        <v>OK</v>
      </c>
      <c r="K1340" t="str">
        <f t="shared" si="41"/>
        <v>USD Inflation</v>
      </c>
      <c r="L1340" t="s">
        <v>2143</v>
      </c>
      <c r="M1340" t="str">
        <f>_xlfn.IFNA(VLOOKUP(K1340,'Mapping DEF'!A:C,2,0),"")</f>
        <v>Inflation</v>
      </c>
      <c r="N1340" t="str">
        <f>+_xlfn.IFNA(VLOOKUP(M1340,'Mapping DEF'!B:C,2,FALSE),"")</f>
        <v>Other</v>
      </c>
      <c r="O1340" t="s">
        <v>2791</v>
      </c>
    </row>
    <row r="1341" spans="1:15" x14ac:dyDescent="0.25">
      <c r="A1341" s="4" t="s">
        <v>2461</v>
      </c>
      <c r="B1341" s="4" t="s">
        <v>2462</v>
      </c>
      <c r="C1341" s="5">
        <v>2468</v>
      </c>
      <c r="D1341" s="6" t="s">
        <v>2463</v>
      </c>
      <c r="E1341" t="s">
        <v>479</v>
      </c>
      <c r="F1341" t="s">
        <v>480</v>
      </c>
      <c r="G1341" t="str">
        <f>+VLOOKUP(F1341,[1]Explore!$B:$I,8,0)</f>
        <v>Alternative - Commodity</v>
      </c>
      <c r="H1341" t="s">
        <v>481</v>
      </c>
      <c r="I1341" t="str">
        <f>+VLOOKUP(H1341,[1]Explore!$A:$I,9,0)</f>
        <v>Alternative - Commodity</v>
      </c>
      <c r="J1341" t="str">
        <f t="shared" si="40"/>
        <v>OK</v>
      </c>
      <c r="K1341" t="str">
        <f t="shared" si="41"/>
        <v>Alternative - Commodity</v>
      </c>
      <c r="L1341" t="s">
        <v>2139</v>
      </c>
      <c r="M1341" t="str">
        <f>_xlfn.IFNA(VLOOKUP(K1341,'Mapping DEF'!A:C,2,0),"")</f>
        <v>Alternative</v>
      </c>
      <c r="N1341" t="str">
        <f>+_xlfn.IFNA(VLOOKUP(M1341,'Mapping DEF'!B:C,2,FALSE),"")</f>
        <v>Other</v>
      </c>
      <c r="O1341" t="s">
        <v>2768</v>
      </c>
    </row>
    <row r="1342" spans="1:15" x14ac:dyDescent="0.25">
      <c r="A1342" s="4" t="s">
        <v>2461</v>
      </c>
      <c r="B1342" s="4" t="s">
        <v>2462</v>
      </c>
      <c r="C1342" s="5">
        <v>2468</v>
      </c>
      <c r="D1342" s="6" t="s">
        <v>2463</v>
      </c>
      <c r="E1342" t="s">
        <v>527</v>
      </c>
      <c r="F1342" t="s">
        <v>483</v>
      </c>
      <c r="G1342" t="str">
        <f>+VLOOKUP(F1342,[1]Explore!$B:$I,8,0)</f>
        <v>Govt Emerging Markets</v>
      </c>
      <c r="H1342" t="s">
        <v>484</v>
      </c>
      <c r="I1342" t="str">
        <f>+VLOOKUP(H1342,[1]Explore!$A:$I,9,0)</f>
        <v>Govt Emerging Markets</v>
      </c>
      <c r="J1342" t="str">
        <f t="shared" si="40"/>
        <v>OK</v>
      </c>
      <c r="K1342" t="str">
        <f t="shared" si="41"/>
        <v>Govt Emerging Markets</v>
      </c>
      <c r="L1342" t="s">
        <v>2143</v>
      </c>
      <c r="M1342" t="str">
        <f>_xlfn.IFNA(VLOOKUP(K1342,'Mapping DEF'!A:C,2,0),"")</f>
        <v>Curve (Local)</v>
      </c>
      <c r="N1342" t="str">
        <f>+_xlfn.IFNA(VLOOKUP(M1342,'Mapping DEF'!B:C,2,FALSE),"")</f>
        <v>Term Structure</v>
      </c>
      <c r="O1342" t="s">
        <v>2774</v>
      </c>
    </row>
    <row r="1343" spans="1:15" x14ac:dyDescent="0.25">
      <c r="A1343" s="4" t="s">
        <v>2461</v>
      </c>
      <c r="B1343" s="4" t="s">
        <v>2462</v>
      </c>
      <c r="C1343" s="5">
        <v>2468</v>
      </c>
      <c r="D1343" s="6" t="s">
        <v>2463</v>
      </c>
      <c r="E1343" t="s">
        <v>1745</v>
      </c>
      <c r="F1343" t="s">
        <v>183</v>
      </c>
      <c r="G1343" t="str">
        <f>+VLOOKUP(F1343,[1]Explore!$B:$I,8,0)</f>
        <v>Equity Implied Volatility</v>
      </c>
      <c r="H1343" t="s">
        <v>184</v>
      </c>
      <c r="I1343" t="str">
        <f>+VLOOKUP(H1343,[1]Explore!$A:$I,9,0)</f>
        <v>Equity Implied Volatility</v>
      </c>
      <c r="J1343" t="str">
        <f t="shared" si="40"/>
        <v>OK</v>
      </c>
      <c r="K1343" t="str">
        <f t="shared" si="41"/>
        <v>Equity Implied Volatility</v>
      </c>
      <c r="L1343" t="s">
        <v>27</v>
      </c>
      <c r="M1343" t="str">
        <f>_xlfn.IFNA(VLOOKUP(K1343,'Mapping DEF'!A:C,2,0),"")</f>
        <v>Equity Derivatives</v>
      </c>
      <c r="N1343" t="str">
        <f>+_xlfn.IFNA(VLOOKUP(M1343,'Mapping DEF'!B:C,2,FALSE),"")</f>
        <v>Equity</v>
      </c>
      <c r="O1343" t="s">
        <v>2793</v>
      </c>
    </row>
    <row r="1344" spans="1:15" x14ac:dyDescent="0.25">
      <c r="A1344" s="4" t="s">
        <v>2461</v>
      </c>
      <c r="B1344" s="4" t="s">
        <v>2462</v>
      </c>
      <c r="C1344" s="5">
        <v>2468</v>
      </c>
      <c r="D1344" s="6" t="s">
        <v>2463</v>
      </c>
      <c r="E1344" t="s">
        <v>338</v>
      </c>
      <c r="F1344" t="s">
        <v>191</v>
      </c>
      <c r="G1344" t="e">
        <f>+VLOOKUP(F1344,[1]Explore!$B:$I,8,0)</f>
        <v>#N/A</v>
      </c>
      <c r="H1344" t="s">
        <v>192</v>
      </c>
      <c r="I1344" t="e">
        <f>+VLOOKUP(H1344,[1]Explore!$A:$I,9,0)</f>
        <v>#N/A</v>
      </c>
      <c r="J1344" t="str">
        <f t="shared" si="40"/>
        <v>BOTH #N/A</v>
      </c>
      <c r="K1344" t="str">
        <f t="shared" si="41"/>
        <v xml:space="preserve">Time </v>
      </c>
      <c r="L1344" t="s">
        <v>2138</v>
      </c>
      <c r="M1344" t="str">
        <f>_xlfn.IFNA(VLOOKUP(K1344,'Mapping DEF'!A:C,2,0),"")</f>
        <v>Time</v>
      </c>
      <c r="N1344" t="str">
        <f>+_xlfn.IFNA(VLOOKUP(M1344,'Mapping DEF'!B:C,2,FALSE),"")</f>
        <v>Other</v>
      </c>
      <c r="O1344" t="s">
        <v>2817</v>
      </c>
    </row>
    <row r="1345" spans="1:15" x14ac:dyDescent="0.25">
      <c r="A1345" s="4" t="s">
        <v>2461</v>
      </c>
      <c r="B1345" s="4" t="s">
        <v>2462</v>
      </c>
      <c r="C1345" s="5">
        <v>2468</v>
      </c>
      <c r="D1345" s="6" t="s">
        <v>2463</v>
      </c>
      <c r="E1345" t="s">
        <v>1749</v>
      </c>
      <c r="F1345" t="s">
        <v>349</v>
      </c>
      <c r="G1345" t="str">
        <f>+VLOOKUP(F1345,[1]Explore!$B:$I,8,0)</f>
        <v>Corporate HY USD - Industry</v>
      </c>
      <c r="H1345" t="s">
        <v>350</v>
      </c>
      <c r="I1345" t="str">
        <f>+VLOOKUP(H1345,[1]Explore!$A:$I,9,0)</f>
        <v>Corporate HY USD - Industry</v>
      </c>
      <c r="J1345" t="str">
        <f t="shared" si="40"/>
        <v>OK</v>
      </c>
      <c r="K1345" t="str">
        <f t="shared" si="41"/>
        <v>Corporate HY USD - Industry</v>
      </c>
      <c r="L1345" t="s">
        <v>188</v>
      </c>
      <c r="M1345" t="str">
        <f>_xlfn.IFNA(VLOOKUP(K1345,'Mapping DEF'!A:C,2,0),"")</f>
        <v>Spread</v>
      </c>
      <c r="N1345" t="str">
        <f>+_xlfn.IFNA(VLOOKUP(M1345,'Mapping DEF'!B:C,2,FALSE),"")</f>
        <v>Spread</v>
      </c>
      <c r="O1345" t="s">
        <v>2756</v>
      </c>
    </row>
    <row r="1346" spans="1:15" x14ac:dyDescent="0.25">
      <c r="A1346" s="4" t="s">
        <v>2461</v>
      </c>
      <c r="B1346" s="4" t="s">
        <v>2462</v>
      </c>
      <c r="C1346" s="5">
        <v>2468</v>
      </c>
      <c r="D1346" s="6" t="s">
        <v>2463</v>
      </c>
      <c r="E1346" t="s">
        <v>1750</v>
      </c>
      <c r="F1346" t="s">
        <v>220</v>
      </c>
      <c r="G1346" t="str">
        <f>+VLOOKUP(F1346,[1]Explore!$B:$I,8,0)</f>
        <v>Corporate HY USD - Other</v>
      </c>
      <c r="H1346" t="s">
        <v>510</v>
      </c>
      <c r="I1346" t="str">
        <f>+VLOOKUP(H1346,[1]Explore!$A:$I,9,0)</f>
        <v>Corporate HY USD - Other</v>
      </c>
      <c r="J1346" t="str">
        <f t="shared" si="40"/>
        <v>OK</v>
      </c>
      <c r="K1346" t="str">
        <f t="shared" si="41"/>
        <v>Corporate HY USD - Other</v>
      </c>
      <c r="L1346" t="s">
        <v>188</v>
      </c>
      <c r="M1346" t="str">
        <f>_xlfn.IFNA(VLOOKUP(K1346,'Mapping DEF'!A:C,2,0),"")</f>
        <v>Spread</v>
      </c>
      <c r="N1346" t="str">
        <f>+_xlfn.IFNA(VLOOKUP(M1346,'Mapping DEF'!B:C,2,FALSE),"")</f>
        <v>Spread</v>
      </c>
      <c r="O1346" t="s">
        <v>2877</v>
      </c>
    </row>
    <row r="1347" spans="1:15" x14ac:dyDescent="0.25">
      <c r="A1347" s="4" t="s">
        <v>2461</v>
      </c>
      <c r="B1347" s="4" t="s">
        <v>2462</v>
      </c>
      <c r="C1347" s="5">
        <v>2468</v>
      </c>
      <c r="D1347" s="6" t="s">
        <v>2463</v>
      </c>
      <c r="E1347" t="s">
        <v>1751</v>
      </c>
      <c r="F1347" t="s">
        <v>430</v>
      </c>
      <c r="G1347" t="str">
        <f>+VLOOKUP(F1347,[1]Explore!$B:$I,8,0)</f>
        <v>Other - Index</v>
      </c>
      <c r="H1347" t="s">
        <v>431</v>
      </c>
      <c r="I1347" t="str">
        <f>+VLOOKUP(H1347,[1]Explore!$A:$I,9,0)</f>
        <v>Other - Index</v>
      </c>
      <c r="J1347" t="str">
        <f t="shared" ref="J1347:J1410" si="42">IF(AND(ISNA(G1347),ISNA(I1347)),"BOTH #N/A","OK")</f>
        <v>OK</v>
      </c>
      <c r="K1347" t="str">
        <f t="shared" ref="K1347:K1410" si="43">IFERROR(I1347, IFERROR(G1347, L1347))</f>
        <v>Other - Index</v>
      </c>
      <c r="L1347" t="s">
        <v>27</v>
      </c>
      <c r="M1347" t="str">
        <f>_xlfn.IFNA(VLOOKUP(K1347,'Mapping DEF'!A:C,2,0),"")</f>
        <v>Other</v>
      </c>
      <c r="N1347" t="str">
        <f>+_xlfn.IFNA(VLOOKUP(M1347,'Mapping DEF'!B:C,2,FALSE),"")</f>
        <v>Other</v>
      </c>
      <c r="O1347" t="s">
        <v>2878</v>
      </c>
    </row>
    <row r="1348" spans="1:15" x14ac:dyDescent="0.25">
      <c r="A1348" s="4" t="s">
        <v>2461</v>
      </c>
      <c r="B1348" s="4" t="s">
        <v>2462</v>
      </c>
      <c r="C1348" s="5">
        <v>2468</v>
      </c>
      <c r="D1348" s="6" t="s">
        <v>2463</v>
      </c>
      <c r="E1348" t="s">
        <v>1752</v>
      </c>
      <c r="F1348" t="s">
        <v>2618</v>
      </c>
      <c r="G1348" t="str">
        <f>+VLOOKUP(F1348,[1]Explore!$B:$I,8,0)</f>
        <v>Equity Implied Volatility</v>
      </c>
      <c r="H1348" t="s">
        <v>243</v>
      </c>
      <c r="I1348" t="e">
        <f>+VLOOKUP(H1348,[1]Explore!$A:$I,9,0)</f>
        <v>#N/A</v>
      </c>
      <c r="J1348" t="str">
        <f t="shared" si="42"/>
        <v>OK</v>
      </c>
      <c r="K1348" t="str">
        <f t="shared" si="43"/>
        <v>Equity Implied Volatility</v>
      </c>
      <c r="L1348" t="s">
        <v>27</v>
      </c>
      <c r="M1348" t="str">
        <f>_xlfn.IFNA(VLOOKUP(K1348,'Mapping DEF'!A:C,2,0),"")</f>
        <v>Equity Derivatives</v>
      </c>
      <c r="N1348" t="str">
        <f>+_xlfn.IFNA(VLOOKUP(M1348,'Mapping DEF'!B:C,2,FALSE),"")</f>
        <v>Equity</v>
      </c>
      <c r="O1348" t="s">
        <v>2763</v>
      </c>
    </row>
    <row r="1349" spans="1:15" x14ac:dyDescent="0.25">
      <c r="A1349" s="4" t="s">
        <v>2464</v>
      </c>
      <c r="B1349" s="4" t="s">
        <v>2465</v>
      </c>
      <c r="C1349" s="5">
        <v>2469</v>
      </c>
      <c r="D1349" s="6" t="s">
        <v>2466</v>
      </c>
      <c r="E1349" t="s">
        <v>1255</v>
      </c>
      <c r="F1349" t="s">
        <v>13</v>
      </c>
      <c r="G1349" t="str">
        <f>+VLOOKUP(F1349,[1]Explore!$B:$I,8,0)</f>
        <v>Govt USD</v>
      </c>
      <c r="H1349" t="s">
        <v>14</v>
      </c>
      <c r="I1349" t="str">
        <f>+VLOOKUP(H1349,[1]Explore!$A:$I,9,0)</f>
        <v>Govt USD</v>
      </c>
      <c r="J1349" t="str">
        <f t="shared" si="42"/>
        <v>OK</v>
      </c>
      <c r="K1349" t="str">
        <f t="shared" si="43"/>
        <v>Govt USD</v>
      </c>
      <c r="L1349" t="s">
        <v>2143</v>
      </c>
      <c r="M1349" t="str">
        <f>_xlfn.IFNA(VLOOKUP(K1349,'Mapping DEF'!A:C,2,0),"")</f>
        <v>Curve (Local)</v>
      </c>
      <c r="N1349" t="str">
        <f>+_xlfn.IFNA(VLOOKUP(M1349,'Mapping DEF'!B:C,2,FALSE),"")</f>
        <v>Term Structure</v>
      </c>
      <c r="O1349" t="s">
        <v>2823</v>
      </c>
    </row>
    <row r="1350" spans="1:15" x14ac:dyDescent="0.25">
      <c r="A1350" s="4" t="s">
        <v>2464</v>
      </c>
      <c r="B1350" s="4" t="s">
        <v>2465</v>
      </c>
      <c r="C1350" s="5">
        <v>2469</v>
      </c>
      <c r="D1350" s="6" t="s">
        <v>2466</v>
      </c>
      <c r="E1350" t="s">
        <v>1753</v>
      </c>
      <c r="F1350" t="s">
        <v>19</v>
      </c>
      <c r="G1350" t="str">
        <f>+VLOOKUP(F1350,[1]Explore!$B:$I,8,0)</f>
        <v>Govt USD</v>
      </c>
      <c r="H1350" t="s">
        <v>20</v>
      </c>
      <c r="I1350" t="str">
        <f>+VLOOKUP(H1350,[1]Explore!$A:$I,9,0)</f>
        <v>Govt USD</v>
      </c>
      <c r="J1350" t="str">
        <f t="shared" si="42"/>
        <v>OK</v>
      </c>
      <c r="K1350" t="str">
        <f t="shared" si="43"/>
        <v>Govt USD</v>
      </c>
      <c r="L1350" t="s">
        <v>2143</v>
      </c>
      <c r="M1350" t="str">
        <f>_xlfn.IFNA(VLOOKUP(K1350,'Mapping DEF'!A:C,2,0),"")</f>
        <v>Curve (Local)</v>
      </c>
      <c r="N1350" t="str">
        <f>+_xlfn.IFNA(VLOOKUP(M1350,'Mapping DEF'!B:C,2,FALSE),"")</f>
        <v>Term Structure</v>
      </c>
      <c r="O1350" t="s">
        <v>2766</v>
      </c>
    </row>
    <row r="1351" spans="1:15" x14ac:dyDescent="0.25">
      <c r="A1351" s="4" t="s">
        <v>2464</v>
      </c>
      <c r="B1351" s="4" t="s">
        <v>2465</v>
      </c>
      <c r="C1351" s="5">
        <v>2469</v>
      </c>
      <c r="D1351" s="6" t="s">
        <v>2466</v>
      </c>
      <c r="E1351" t="s">
        <v>1215</v>
      </c>
      <c r="F1351" t="s">
        <v>817</v>
      </c>
      <c r="G1351" t="str">
        <f>+VLOOKUP(F1351,[1]Explore!$B:$I,8,0)</f>
        <v>USD Inflation</v>
      </c>
      <c r="H1351" t="s">
        <v>818</v>
      </c>
      <c r="I1351" t="str">
        <f>+VLOOKUP(H1351,[1]Explore!$A:$I,9,0)</f>
        <v>USD Inflation</v>
      </c>
      <c r="J1351" t="str">
        <f t="shared" si="42"/>
        <v>OK</v>
      </c>
      <c r="K1351" t="str">
        <f t="shared" si="43"/>
        <v>USD Inflation</v>
      </c>
      <c r="L1351" t="s">
        <v>2143</v>
      </c>
      <c r="M1351" t="str">
        <f>_xlfn.IFNA(VLOOKUP(K1351,'Mapping DEF'!A:C,2,0),"")</f>
        <v>Inflation</v>
      </c>
      <c r="N1351" t="str">
        <f>+_xlfn.IFNA(VLOOKUP(M1351,'Mapping DEF'!B:C,2,FALSE),"")</f>
        <v>Other</v>
      </c>
      <c r="O1351" t="s">
        <v>2756</v>
      </c>
    </row>
    <row r="1352" spans="1:15" x14ac:dyDescent="0.25">
      <c r="A1352" s="4" t="s">
        <v>2464</v>
      </c>
      <c r="B1352" s="4" t="s">
        <v>2465</v>
      </c>
      <c r="C1352" s="5">
        <v>2469</v>
      </c>
      <c r="D1352" s="6" t="s">
        <v>2466</v>
      </c>
      <c r="E1352" t="s">
        <v>1709</v>
      </c>
      <c r="F1352" t="s">
        <v>1224</v>
      </c>
      <c r="G1352" t="str">
        <f>+VLOOKUP(F1352,[1]Explore!$B:$I,8,0)</f>
        <v>Corporate IG USD - Market</v>
      </c>
      <c r="H1352" t="s">
        <v>1225</v>
      </c>
      <c r="I1352" t="str">
        <f>+VLOOKUP(H1352,[1]Explore!$A:$I,9,0)</f>
        <v>Corporate IG USD - Market</v>
      </c>
      <c r="J1352" t="str">
        <f t="shared" si="42"/>
        <v>OK</v>
      </c>
      <c r="K1352" t="str">
        <f t="shared" si="43"/>
        <v>Corporate IG USD - Market</v>
      </c>
      <c r="L1352" t="s">
        <v>188</v>
      </c>
      <c r="M1352" t="str">
        <f>_xlfn.IFNA(VLOOKUP(K1352,'Mapping DEF'!A:C,2,0),"")</f>
        <v>Spread</v>
      </c>
      <c r="N1352" t="str">
        <f>+_xlfn.IFNA(VLOOKUP(M1352,'Mapping DEF'!B:C,2,FALSE),"")</f>
        <v>Spread</v>
      </c>
      <c r="O1352" t="s">
        <v>2786</v>
      </c>
    </row>
    <row r="1353" spans="1:15" x14ac:dyDescent="0.25">
      <c r="A1353" s="4" t="s">
        <v>2464</v>
      </c>
      <c r="B1353" s="4" t="s">
        <v>2465</v>
      </c>
      <c r="C1353" s="5">
        <v>2469</v>
      </c>
      <c r="D1353" s="6" t="s">
        <v>2466</v>
      </c>
      <c r="E1353" t="s">
        <v>1754</v>
      </c>
      <c r="F1353" t="s">
        <v>997</v>
      </c>
      <c r="G1353" t="str">
        <f>+VLOOKUP(F1353,[1]Explore!$B:$I,8,0)</f>
        <v>Govt EUR (Ger)</v>
      </c>
      <c r="H1353" t="s">
        <v>998</v>
      </c>
      <c r="I1353" t="str">
        <f>+VLOOKUP(H1353,[1]Explore!$A:$I,9,0)</f>
        <v>Govt EUR (Ger)</v>
      </c>
      <c r="J1353" t="str">
        <f t="shared" si="42"/>
        <v>OK</v>
      </c>
      <c r="K1353" t="str">
        <f t="shared" si="43"/>
        <v>Govt EUR (Ger)</v>
      </c>
      <c r="L1353" t="s">
        <v>2143</v>
      </c>
      <c r="M1353" t="str">
        <f>_xlfn.IFNA(VLOOKUP(K1353,'Mapping DEF'!A:C,2,0),"")</f>
        <v>Curve (Local)</v>
      </c>
      <c r="N1353" t="str">
        <f>+_xlfn.IFNA(VLOOKUP(M1353,'Mapping DEF'!B:C,2,FALSE),"")</f>
        <v>Term Structure</v>
      </c>
      <c r="O1353" t="s">
        <v>2778</v>
      </c>
    </row>
    <row r="1354" spans="1:15" x14ac:dyDescent="0.25">
      <c r="A1354" s="4" t="s">
        <v>2464</v>
      </c>
      <c r="B1354" s="4" t="s">
        <v>2465</v>
      </c>
      <c r="C1354" s="5">
        <v>2469</v>
      </c>
      <c r="D1354" s="6" t="s">
        <v>2466</v>
      </c>
      <c r="E1354" t="s">
        <v>1755</v>
      </c>
      <c r="F1354" t="s">
        <v>315</v>
      </c>
      <c r="G1354" t="str">
        <f>+VLOOKUP(F1354,[1]Explore!$B:$I,8,0)</f>
        <v>Govt EUR (Ger)</v>
      </c>
      <c r="H1354" t="s">
        <v>316</v>
      </c>
      <c r="I1354" t="str">
        <f>+VLOOKUP(H1354,[1]Explore!$A:$I,9,0)</f>
        <v>Govt EUR (Ger)</v>
      </c>
      <c r="J1354" t="str">
        <f t="shared" si="42"/>
        <v>OK</v>
      </c>
      <c r="K1354" t="str">
        <f t="shared" si="43"/>
        <v>Govt EUR (Ger)</v>
      </c>
      <c r="L1354" t="s">
        <v>2143</v>
      </c>
      <c r="M1354" t="str">
        <f>_xlfn.IFNA(VLOOKUP(K1354,'Mapping DEF'!A:C,2,0),"")</f>
        <v>Curve (Local)</v>
      </c>
      <c r="N1354" t="str">
        <f>+_xlfn.IFNA(VLOOKUP(M1354,'Mapping DEF'!B:C,2,FALSE),"")</f>
        <v>Term Structure</v>
      </c>
      <c r="O1354" t="s">
        <v>2778</v>
      </c>
    </row>
    <row r="1355" spans="1:15" x14ac:dyDescent="0.25">
      <c r="A1355" s="4" t="s">
        <v>2464</v>
      </c>
      <c r="B1355" s="4" t="s">
        <v>2465</v>
      </c>
      <c r="C1355" s="5">
        <v>2469</v>
      </c>
      <c r="D1355" s="6" t="s">
        <v>2466</v>
      </c>
      <c r="E1355" t="s">
        <v>1716</v>
      </c>
      <c r="F1355" t="s">
        <v>183</v>
      </c>
      <c r="G1355" t="str">
        <f>+VLOOKUP(F1355,[1]Explore!$B:$I,8,0)</f>
        <v>Equity Implied Volatility</v>
      </c>
      <c r="H1355" t="s">
        <v>184</v>
      </c>
      <c r="I1355" t="str">
        <f>+VLOOKUP(H1355,[1]Explore!$A:$I,9,0)</f>
        <v>Equity Implied Volatility</v>
      </c>
      <c r="J1355" t="str">
        <f t="shared" si="42"/>
        <v>OK</v>
      </c>
      <c r="K1355" t="str">
        <f t="shared" si="43"/>
        <v>Equity Implied Volatility</v>
      </c>
      <c r="L1355" t="s">
        <v>27</v>
      </c>
      <c r="M1355" t="str">
        <f>_xlfn.IFNA(VLOOKUP(K1355,'Mapping DEF'!A:C,2,0),"")</f>
        <v>Equity Derivatives</v>
      </c>
      <c r="N1355" t="str">
        <f>+_xlfn.IFNA(VLOOKUP(M1355,'Mapping DEF'!B:C,2,FALSE),"")</f>
        <v>Equity</v>
      </c>
      <c r="O1355" t="s">
        <v>2803</v>
      </c>
    </row>
    <row r="1356" spans="1:15" x14ac:dyDescent="0.25">
      <c r="A1356" s="4" t="s">
        <v>2464</v>
      </c>
      <c r="B1356" s="4" t="s">
        <v>2465</v>
      </c>
      <c r="C1356" s="5">
        <v>2469</v>
      </c>
      <c r="D1356" s="6" t="s">
        <v>2466</v>
      </c>
      <c r="E1356" t="s">
        <v>338</v>
      </c>
      <c r="F1356" t="s">
        <v>191</v>
      </c>
      <c r="G1356" t="e">
        <f>+VLOOKUP(F1356,[1]Explore!$B:$I,8,0)</f>
        <v>#N/A</v>
      </c>
      <c r="H1356" t="s">
        <v>192</v>
      </c>
      <c r="I1356" t="e">
        <f>+VLOOKUP(H1356,[1]Explore!$A:$I,9,0)</f>
        <v>#N/A</v>
      </c>
      <c r="J1356" t="str">
        <f t="shared" si="42"/>
        <v>BOTH #N/A</v>
      </c>
      <c r="K1356" t="str">
        <f t="shared" si="43"/>
        <v xml:space="preserve">Time </v>
      </c>
      <c r="L1356" t="s">
        <v>2138</v>
      </c>
      <c r="M1356" t="str">
        <f>_xlfn.IFNA(VLOOKUP(K1356,'Mapping DEF'!A:C,2,0),"")</f>
        <v>Time</v>
      </c>
      <c r="N1356" t="str">
        <f>+_xlfn.IFNA(VLOOKUP(M1356,'Mapping DEF'!B:C,2,FALSE),"")</f>
        <v>Other</v>
      </c>
      <c r="O1356" t="s">
        <v>2817</v>
      </c>
    </row>
    <row r="1357" spans="1:15" x14ac:dyDescent="0.25">
      <c r="A1357" s="4" t="s">
        <v>2464</v>
      </c>
      <c r="B1357" s="4" t="s">
        <v>2465</v>
      </c>
      <c r="C1357" s="5">
        <v>2469</v>
      </c>
      <c r="D1357" s="6" t="s">
        <v>2466</v>
      </c>
      <c r="E1357" t="s">
        <v>1756</v>
      </c>
      <c r="F1357" t="s">
        <v>656</v>
      </c>
      <c r="G1357" t="str">
        <f>+VLOOKUP(F1357,[1]Explore!$B:$I,8,0)</f>
        <v>Industrials</v>
      </c>
      <c r="H1357" t="s">
        <v>657</v>
      </c>
      <c r="I1357" t="str">
        <f>+VLOOKUP(H1357,[1]Explore!$A:$I,9,0)</f>
        <v>Industrials</v>
      </c>
      <c r="J1357" t="str">
        <f t="shared" si="42"/>
        <v>OK</v>
      </c>
      <c r="K1357" t="str">
        <f t="shared" si="43"/>
        <v>Industrials</v>
      </c>
      <c r="L1357" t="s">
        <v>2141</v>
      </c>
      <c r="M1357" t="str">
        <f>_xlfn.IFNA(VLOOKUP(K1357,'Mapping DEF'!A:C,2,0),"")</f>
        <v>Industry Allocation</v>
      </c>
      <c r="N1357" t="str">
        <f>+_xlfn.IFNA(VLOOKUP(M1357,'Mapping DEF'!B:C,2,FALSE),"")</f>
        <v>Equity</v>
      </c>
      <c r="O1357" t="s">
        <v>2770</v>
      </c>
    </row>
    <row r="1358" spans="1:15" x14ac:dyDescent="0.25">
      <c r="A1358" s="4" t="s">
        <v>2464</v>
      </c>
      <c r="B1358" s="4" t="s">
        <v>2465</v>
      </c>
      <c r="C1358" s="5">
        <v>2469</v>
      </c>
      <c r="D1358" s="6" t="s">
        <v>2466</v>
      </c>
      <c r="E1358" t="s">
        <v>1757</v>
      </c>
      <c r="F1358" t="s">
        <v>603</v>
      </c>
      <c r="G1358" t="e">
        <f>+VLOOKUP(F1358,[1]Explore!$B:$I,8,0)</f>
        <v>#N/A</v>
      </c>
      <c r="H1358" t="s">
        <v>604</v>
      </c>
      <c r="I1358" t="str">
        <f>+VLOOKUP(H1358,[1]Explore!$A:$I,9,0)</f>
        <v>Consumer Discretionary</v>
      </c>
      <c r="J1358" t="str">
        <f t="shared" si="42"/>
        <v>OK</v>
      </c>
      <c r="K1358" t="str">
        <f t="shared" si="43"/>
        <v>Consumer Discretionary</v>
      </c>
      <c r="L1358" t="s">
        <v>2141</v>
      </c>
      <c r="M1358" t="str">
        <f>_xlfn.IFNA(VLOOKUP(K1358,'Mapping DEF'!A:C,2,0),"")</f>
        <v>Industry Allocation</v>
      </c>
      <c r="N1358" t="str">
        <f>+_xlfn.IFNA(VLOOKUP(M1358,'Mapping DEF'!B:C,2,FALSE),"")</f>
        <v>Equity</v>
      </c>
      <c r="O1358" t="s">
        <v>2770</v>
      </c>
    </row>
    <row r="1359" spans="1:15" x14ac:dyDescent="0.25">
      <c r="A1359" s="4" t="s">
        <v>2464</v>
      </c>
      <c r="B1359" s="4" t="s">
        <v>2465</v>
      </c>
      <c r="C1359" s="5">
        <v>2469</v>
      </c>
      <c r="D1359" s="6" t="s">
        <v>2466</v>
      </c>
      <c r="E1359" t="s">
        <v>1758</v>
      </c>
      <c r="F1359" t="s">
        <v>1759</v>
      </c>
      <c r="G1359" t="str">
        <f>+VLOOKUP(F1359,[1]Explore!$B:$I,8,0)</f>
        <v>Financials</v>
      </c>
      <c r="H1359" t="s">
        <v>1760</v>
      </c>
      <c r="I1359" t="str">
        <f>+VLOOKUP(H1359,[1]Explore!$A:$I,9,0)</f>
        <v>Financials</v>
      </c>
      <c r="J1359" t="str">
        <f t="shared" si="42"/>
        <v>OK</v>
      </c>
      <c r="K1359" t="str">
        <f t="shared" si="43"/>
        <v>Financials</v>
      </c>
      <c r="L1359" t="s">
        <v>2141</v>
      </c>
      <c r="M1359" t="str">
        <f>_xlfn.IFNA(VLOOKUP(K1359,'Mapping DEF'!A:C,2,0),"")</f>
        <v>Industry Allocation</v>
      </c>
      <c r="N1359" t="str">
        <f>+_xlfn.IFNA(VLOOKUP(M1359,'Mapping DEF'!B:C,2,FALSE),"")</f>
        <v>Equity</v>
      </c>
      <c r="O1359" t="s">
        <v>2801</v>
      </c>
    </row>
    <row r="1360" spans="1:15" x14ac:dyDescent="0.25">
      <c r="A1360" s="4" t="s">
        <v>2464</v>
      </c>
      <c r="B1360" s="4" t="s">
        <v>2465</v>
      </c>
      <c r="C1360" s="5">
        <v>2469</v>
      </c>
      <c r="D1360" s="6" t="s">
        <v>2466</v>
      </c>
      <c r="E1360" t="s">
        <v>1761</v>
      </c>
      <c r="F1360" t="s">
        <v>1267</v>
      </c>
      <c r="G1360" t="e">
        <f>+VLOOKUP(F1360,[1]Explore!$B:$I,8,0)</f>
        <v>#N/A</v>
      </c>
      <c r="H1360" t="s">
        <v>1268</v>
      </c>
      <c r="I1360" t="str">
        <f>+VLOOKUP(H1360,[1]Explore!$A:$I,9,0)</f>
        <v>Information Technology</v>
      </c>
      <c r="J1360" t="str">
        <f t="shared" si="42"/>
        <v>OK</v>
      </c>
      <c r="K1360" t="str">
        <f t="shared" si="43"/>
        <v>Information Technology</v>
      </c>
      <c r="L1360" t="s">
        <v>2141</v>
      </c>
      <c r="M1360" t="str">
        <f>_xlfn.IFNA(VLOOKUP(K1360,'Mapping DEF'!A:C,2,0),"")</f>
        <v>Industry Allocation</v>
      </c>
      <c r="N1360" t="str">
        <f>+_xlfn.IFNA(VLOOKUP(M1360,'Mapping DEF'!B:C,2,FALSE),"")</f>
        <v>Equity</v>
      </c>
      <c r="O1360" t="s">
        <v>2793</v>
      </c>
    </row>
    <row r="1361" spans="1:15" x14ac:dyDescent="0.25">
      <c r="A1361" s="4" t="s">
        <v>2464</v>
      </c>
      <c r="B1361" s="4" t="s">
        <v>2465</v>
      </c>
      <c r="C1361" s="5">
        <v>2469</v>
      </c>
      <c r="D1361" s="6" t="s">
        <v>2466</v>
      </c>
      <c r="E1361" t="s">
        <v>1762</v>
      </c>
      <c r="F1361" t="s">
        <v>1763</v>
      </c>
      <c r="G1361" t="str">
        <f>+VLOOKUP(F1361,[1]Explore!$B:$I,8,0)</f>
        <v>Corporate HY USD - Industry</v>
      </c>
      <c r="H1361" t="s">
        <v>1764</v>
      </c>
      <c r="I1361" t="str">
        <f>+VLOOKUP(H1361,[1]Explore!$A:$I,9,0)</f>
        <v>Corporate HY USD - Industry</v>
      </c>
      <c r="J1361" t="str">
        <f t="shared" si="42"/>
        <v>OK</v>
      </c>
      <c r="K1361" t="str">
        <f t="shared" si="43"/>
        <v>Corporate HY USD - Industry</v>
      </c>
      <c r="L1361" t="s">
        <v>188</v>
      </c>
      <c r="M1361" t="str">
        <f>_xlfn.IFNA(VLOOKUP(K1361,'Mapping DEF'!A:C,2,0),"")</f>
        <v>Spread</v>
      </c>
      <c r="N1361" t="str">
        <f>+_xlfn.IFNA(VLOOKUP(M1361,'Mapping DEF'!B:C,2,FALSE),"")</f>
        <v>Spread</v>
      </c>
      <c r="O1361" t="s">
        <v>2786</v>
      </c>
    </row>
    <row r="1362" spans="1:15" x14ac:dyDescent="0.25">
      <c r="A1362" s="4" t="s">
        <v>2464</v>
      </c>
      <c r="B1362" s="4" t="s">
        <v>2465</v>
      </c>
      <c r="C1362" s="5">
        <v>2469</v>
      </c>
      <c r="D1362" s="6" t="s">
        <v>2466</v>
      </c>
      <c r="E1362" t="s">
        <v>1765</v>
      </c>
      <c r="F1362" t="s">
        <v>220</v>
      </c>
      <c r="G1362" t="str">
        <f>+VLOOKUP(F1362,[1]Explore!$B:$I,8,0)</f>
        <v>Corporate HY USD - Other</v>
      </c>
      <c r="H1362" t="s">
        <v>510</v>
      </c>
      <c r="I1362" t="str">
        <f>+VLOOKUP(H1362,[1]Explore!$A:$I,9,0)</f>
        <v>Corporate HY USD - Other</v>
      </c>
      <c r="J1362" t="str">
        <f t="shared" si="42"/>
        <v>OK</v>
      </c>
      <c r="K1362" t="str">
        <f t="shared" si="43"/>
        <v>Corporate HY USD - Other</v>
      </c>
      <c r="L1362" t="s">
        <v>188</v>
      </c>
      <c r="M1362" t="str">
        <f>_xlfn.IFNA(VLOOKUP(K1362,'Mapping DEF'!A:C,2,0),"")</f>
        <v>Spread</v>
      </c>
      <c r="N1362" t="str">
        <f>+_xlfn.IFNA(VLOOKUP(M1362,'Mapping DEF'!B:C,2,FALSE),"")</f>
        <v>Spread</v>
      </c>
      <c r="O1362" t="s">
        <v>2767</v>
      </c>
    </row>
    <row r="1363" spans="1:15" x14ac:dyDescent="0.25">
      <c r="A1363" s="4" t="s">
        <v>2467</v>
      </c>
      <c r="B1363" s="4" t="s">
        <v>2468</v>
      </c>
      <c r="C1363" s="5">
        <v>2453</v>
      </c>
      <c r="D1363" s="6" t="s">
        <v>2469</v>
      </c>
      <c r="E1363" t="s">
        <v>888</v>
      </c>
      <c r="F1363" t="s">
        <v>13</v>
      </c>
      <c r="G1363" t="str">
        <f>+VLOOKUP(F1363,[1]Explore!$B:$I,8,0)</f>
        <v>Govt USD</v>
      </c>
      <c r="H1363" t="s">
        <v>14</v>
      </c>
      <c r="I1363" t="str">
        <f>+VLOOKUP(H1363,[1]Explore!$A:$I,9,0)</f>
        <v>Govt USD</v>
      </c>
      <c r="J1363" t="str">
        <f t="shared" si="42"/>
        <v>OK</v>
      </c>
      <c r="K1363" t="str">
        <f t="shared" si="43"/>
        <v>Govt USD</v>
      </c>
      <c r="L1363" t="s">
        <v>2143</v>
      </c>
      <c r="M1363" t="str">
        <f>_xlfn.IFNA(VLOOKUP(K1363,'Mapping DEF'!A:C,2,0),"")</f>
        <v>Curve (Local)</v>
      </c>
      <c r="N1363" t="str">
        <f>+_xlfn.IFNA(VLOOKUP(M1363,'Mapping DEF'!B:C,2,FALSE),"")</f>
        <v>Term Structure</v>
      </c>
      <c r="O1363" t="s">
        <v>2778</v>
      </c>
    </row>
    <row r="1364" spans="1:15" x14ac:dyDescent="0.25">
      <c r="A1364" s="4" t="s">
        <v>2467</v>
      </c>
      <c r="B1364" s="4" t="s">
        <v>2468</v>
      </c>
      <c r="C1364" s="5">
        <v>2453</v>
      </c>
      <c r="D1364" s="6" t="s">
        <v>2469</v>
      </c>
      <c r="E1364" t="s">
        <v>815</v>
      </c>
      <c r="F1364" t="s">
        <v>19</v>
      </c>
      <c r="G1364" t="str">
        <f>+VLOOKUP(F1364,[1]Explore!$B:$I,8,0)</f>
        <v>Govt USD</v>
      </c>
      <c r="H1364" t="s">
        <v>20</v>
      </c>
      <c r="I1364" t="str">
        <f>+VLOOKUP(H1364,[1]Explore!$A:$I,9,0)</f>
        <v>Govt USD</v>
      </c>
      <c r="J1364" t="str">
        <f t="shared" si="42"/>
        <v>OK</v>
      </c>
      <c r="K1364" t="str">
        <f t="shared" si="43"/>
        <v>Govt USD</v>
      </c>
      <c r="L1364" t="s">
        <v>2143</v>
      </c>
      <c r="M1364" t="str">
        <f>_xlfn.IFNA(VLOOKUP(K1364,'Mapping DEF'!A:C,2,0),"")</f>
        <v>Curve (Local)</v>
      </c>
      <c r="N1364" t="str">
        <f>+_xlfn.IFNA(VLOOKUP(M1364,'Mapping DEF'!B:C,2,FALSE),"")</f>
        <v>Term Structure</v>
      </c>
      <c r="O1364" t="s">
        <v>2755</v>
      </c>
    </row>
    <row r="1365" spans="1:15" x14ac:dyDescent="0.25">
      <c r="A1365" s="4" t="s">
        <v>2467</v>
      </c>
      <c r="B1365" s="4" t="s">
        <v>2468</v>
      </c>
      <c r="C1365" s="5">
        <v>2453</v>
      </c>
      <c r="D1365" s="6" t="s">
        <v>2469</v>
      </c>
      <c r="E1365" t="s">
        <v>1766</v>
      </c>
      <c r="F1365" t="s">
        <v>1767</v>
      </c>
      <c r="G1365" t="str">
        <f>+VLOOKUP(F1365,[1]Explore!$B:$I,8,0)</f>
        <v>Agency / Supranational</v>
      </c>
      <c r="H1365" t="s">
        <v>1768</v>
      </c>
      <c r="I1365" t="str">
        <f>+VLOOKUP(H1365,[1]Explore!$A:$I,9,0)</f>
        <v>Agency / Supranational</v>
      </c>
      <c r="J1365" t="str">
        <f t="shared" si="42"/>
        <v>OK</v>
      </c>
      <c r="K1365" t="str">
        <f t="shared" si="43"/>
        <v>Agency / Supranational</v>
      </c>
      <c r="L1365" t="s">
        <v>188</v>
      </c>
      <c r="M1365" t="str">
        <f>_xlfn.IFNA(VLOOKUP(K1365,'Mapping DEF'!A:C,2,0),"")</f>
        <v>Spread</v>
      </c>
      <c r="N1365" t="str">
        <f>+_xlfn.IFNA(VLOOKUP(M1365,'Mapping DEF'!B:C,2,FALSE),"")</f>
        <v>Spread</v>
      </c>
      <c r="O1365" t="s">
        <v>2829</v>
      </c>
    </row>
    <row r="1366" spans="1:15" x14ac:dyDescent="0.25">
      <c r="A1366" s="4" t="s">
        <v>2467</v>
      </c>
      <c r="B1366" s="4" t="s">
        <v>2468</v>
      </c>
      <c r="C1366" s="5">
        <v>2453</v>
      </c>
      <c r="D1366" s="6" t="s">
        <v>2469</v>
      </c>
      <c r="E1366" t="s">
        <v>526</v>
      </c>
      <c r="F1366" t="s">
        <v>265</v>
      </c>
      <c r="G1366" t="str">
        <f>+VLOOKUP(F1366,[1]Explore!$B:$I,8,0)</f>
        <v>Alternative - Commodity</v>
      </c>
      <c r="H1366" t="s">
        <v>266</v>
      </c>
      <c r="I1366" t="str">
        <f>+VLOOKUP(H1366,[1]Explore!$A:$I,9,0)</f>
        <v>Alternative - Commodity</v>
      </c>
      <c r="J1366" t="str">
        <f t="shared" si="42"/>
        <v>OK</v>
      </c>
      <c r="K1366" t="str">
        <f t="shared" si="43"/>
        <v>Alternative - Commodity</v>
      </c>
      <c r="L1366" t="s">
        <v>2139</v>
      </c>
      <c r="M1366" t="str">
        <f>_xlfn.IFNA(VLOOKUP(K1366,'Mapping DEF'!A:C,2,0),"")</f>
        <v>Alternative</v>
      </c>
      <c r="N1366" t="str">
        <f>+_xlfn.IFNA(VLOOKUP(M1366,'Mapping DEF'!B:C,2,FALSE),"")</f>
        <v>Other</v>
      </c>
      <c r="O1366" t="s">
        <v>2811</v>
      </c>
    </row>
    <row r="1367" spans="1:15" x14ac:dyDescent="0.25">
      <c r="A1367" s="4" t="s">
        <v>2467</v>
      </c>
      <c r="B1367" s="4" t="s">
        <v>2468</v>
      </c>
      <c r="C1367" s="5">
        <v>2453</v>
      </c>
      <c r="D1367" s="6" t="s">
        <v>2469</v>
      </c>
      <c r="E1367" t="s">
        <v>868</v>
      </c>
      <c r="F1367" t="s">
        <v>206</v>
      </c>
      <c r="G1367" t="e">
        <f>+VLOOKUP(F1367,[1]Explore!$B:$I,8,0)</f>
        <v>#N/A</v>
      </c>
      <c r="H1367" t="s">
        <v>206</v>
      </c>
      <c r="I1367" t="e">
        <f>+VLOOKUP(H1367,[1]Explore!$A:$I,9,0)</f>
        <v>#N/A</v>
      </c>
      <c r="J1367" t="str">
        <f t="shared" si="42"/>
        <v>BOTH #N/A</v>
      </c>
      <c r="K1367" t="str">
        <f t="shared" si="43"/>
        <v>Dollar Index</v>
      </c>
      <c r="L1367" t="s">
        <v>2930</v>
      </c>
      <c r="M1367" t="str">
        <f>_xlfn.IFNA(VLOOKUP(K1367,'Mapping DEF'!A:C,2,0),"")</f>
        <v>Index Level</v>
      </c>
      <c r="N1367" t="str">
        <f>+_xlfn.IFNA(VLOOKUP(M1367,'Mapping DEF'!B:C,2,FALSE),"")</f>
        <v>Other</v>
      </c>
      <c r="O1367" t="s">
        <v>2822</v>
      </c>
    </row>
    <row r="1368" spans="1:15" x14ac:dyDescent="0.25">
      <c r="A1368" s="4" t="s">
        <v>2467</v>
      </c>
      <c r="B1368" s="4" t="s">
        <v>2468</v>
      </c>
      <c r="C1368" s="5">
        <v>2453</v>
      </c>
      <c r="D1368" s="6" t="s">
        <v>2469</v>
      </c>
      <c r="E1368" t="s">
        <v>625</v>
      </c>
      <c r="F1368" t="s">
        <v>183</v>
      </c>
      <c r="G1368" t="str">
        <f>+VLOOKUP(F1368,[1]Explore!$B:$I,8,0)</f>
        <v>Equity Implied Volatility</v>
      </c>
      <c r="H1368" t="s">
        <v>184</v>
      </c>
      <c r="I1368" t="str">
        <f>+VLOOKUP(H1368,[1]Explore!$A:$I,9,0)</f>
        <v>Equity Implied Volatility</v>
      </c>
      <c r="J1368" t="str">
        <f t="shared" si="42"/>
        <v>OK</v>
      </c>
      <c r="K1368" t="str">
        <f t="shared" si="43"/>
        <v>Equity Implied Volatility</v>
      </c>
      <c r="L1368" t="s">
        <v>27</v>
      </c>
      <c r="M1368" t="str">
        <f>_xlfn.IFNA(VLOOKUP(K1368,'Mapping DEF'!A:C,2,0),"")</f>
        <v>Equity Derivatives</v>
      </c>
      <c r="N1368" t="str">
        <f>+_xlfn.IFNA(VLOOKUP(M1368,'Mapping DEF'!B:C,2,FALSE),"")</f>
        <v>Equity</v>
      </c>
      <c r="O1368" t="s">
        <v>2792</v>
      </c>
    </row>
    <row r="1369" spans="1:15" x14ac:dyDescent="0.25">
      <c r="A1369" s="4" t="s">
        <v>2467</v>
      </c>
      <c r="B1369" s="4" t="s">
        <v>2468</v>
      </c>
      <c r="C1369" s="5">
        <v>2453</v>
      </c>
      <c r="D1369" s="6" t="s">
        <v>2469</v>
      </c>
      <c r="E1369" t="s">
        <v>338</v>
      </c>
      <c r="F1369" t="s">
        <v>191</v>
      </c>
      <c r="G1369" t="e">
        <f>+VLOOKUP(F1369,[1]Explore!$B:$I,8,0)</f>
        <v>#N/A</v>
      </c>
      <c r="H1369" t="s">
        <v>192</v>
      </c>
      <c r="I1369" t="e">
        <f>+VLOOKUP(H1369,[1]Explore!$A:$I,9,0)</f>
        <v>#N/A</v>
      </c>
      <c r="J1369" t="str">
        <f t="shared" si="42"/>
        <v>BOTH #N/A</v>
      </c>
      <c r="K1369" t="str">
        <f t="shared" si="43"/>
        <v xml:space="preserve">Time </v>
      </c>
      <c r="L1369" t="s">
        <v>2138</v>
      </c>
      <c r="M1369" t="str">
        <f>_xlfn.IFNA(VLOOKUP(K1369,'Mapping DEF'!A:C,2,0),"")</f>
        <v>Time</v>
      </c>
      <c r="N1369" t="str">
        <f>+_xlfn.IFNA(VLOOKUP(M1369,'Mapping DEF'!B:C,2,FALSE),"")</f>
        <v>Other</v>
      </c>
      <c r="O1369" t="s">
        <v>2817</v>
      </c>
    </row>
    <row r="1370" spans="1:15" x14ac:dyDescent="0.25">
      <c r="A1370" s="4" t="s">
        <v>2467</v>
      </c>
      <c r="B1370" s="4" t="s">
        <v>2468</v>
      </c>
      <c r="C1370" s="5">
        <v>2453</v>
      </c>
      <c r="D1370" s="6" t="s">
        <v>2469</v>
      </c>
      <c r="E1370" t="s">
        <v>1769</v>
      </c>
      <c r="F1370" t="s">
        <v>1136</v>
      </c>
      <c r="G1370" t="e">
        <f>+VLOOKUP(F1370,[1]Explore!$B:$I,8,0)</f>
        <v>#N/A</v>
      </c>
      <c r="H1370" t="s">
        <v>1137</v>
      </c>
      <c r="I1370" t="str">
        <f>+VLOOKUP(H1370,[1]Explore!$A:$I,9,0)</f>
        <v>Energy</v>
      </c>
      <c r="J1370" t="str">
        <f t="shared" si="42"/>
        <v>OK</v>
      </c>
      <c r="K1370" t="str">
        <f t="shared" si="43"/>
        <v>Energy</v>
      </c>
      <c r="L1370" t="s">
        <v>2141</v>
      </c>
      <c r="M1370" t="str">
        <f>_xlfn.IFNA(VLOOKUP(K1370,'Mapping DEF'!A:C,2,0),"")</f>
        <v>Industry Allocation</v>
      </c>
      <c r="N1370" t="str">
        <f>+_xlfn.IFNA(VLOOKUP(M1370,'Mapping DEF'!B:C,2,FALSE),"")</f>
        <v>Equity</v>
      </c>
      <c r="O1370" t="s">
        <v>2754</v>
      </c>
    </row>
    <row r="1371" spans="1:15" x14ac:dyDescent="0.25">
      <c r="A1371" s="4" t="s">
        <v>2467</v>
      </c>
      <c r="B1371" s="4" t="s">
        <v>2468</v>
      </c>
      <c r="C1371" s="5">
        <v>2453</v>
      </c>
      <c r="D1371" s="6" t="s">
        <v>2469</v>
      </c>
      <c r="E1371" t="s">
        <v>1770</v>
      </c>
      <c r="F1371" t="s">
        <v>343</v>
      </c>
      <c r="G1371" t="str">
        <f>+VLOOKUP(F1371,[1]Explore!$B:$I,8,0)</f>
        <v>Consumer Discretionary</v>
      </c>
      <c r="H1371" t="s">
        <v>660</v>
      </c>
      <c r="I1371" t="str">
        <f>+VLOOKUP(H1371,[1]Explore!$A:$I,9,0)</f>
        <v>Consumer Discretionary</v>
      </c>
      <c r="J1371" t="str">
        <f t="shared" si="42"/>
        <v>OK</v>
      </c>
      <c r="K1371" t="str">
        <f t="shared" si="43"/>
        <v>Consumer Discretionary</v>
      </c>
      <c r="L1371" t="s">
        <v>2141</v>
      </c>
      <c r="M1371" t="str">
        <f>_xlfn.IFNA(VLOOKUP(K1371,'Mapping DEF'!A:C,2,0),"")</f>
        <v>Industry Allocation</v>
      </c>
      <c r="N1371" t="str">
        <f>+_xlfn.IFNA(VLOOKUP(M1371,'Mapping DEF'!B:C,2,FALSE),"")</f>
        <v>Equity</v>
      </c>
      <c r="O1371" t="s">
        <v>2794</v>
      </c>
    </row>
    <row r="1372" spans="1:15" x14ac:dyDescent="0.25">
      <c r="A1372" s="4" t="s">
        <v>2467</v>
      </c>
      <c r="B1372" s="4" t="s">
        <v>2468</v>
      </c>
      <c r="C1372" s="5">
        <v>2453</v>
      </c>
      <c r="D1372" s="6" t="s">
        <v>2469</v>
      </c>
      <c r="E1372" t="s">
        <v>1771</v>
      </c>
      <c r="F1372" t="s">
        <v>1772</v>
      </c>
      <c r="G1372" t="e">
        <f>+VLOOKUP(F1372,[1]Explore!$B:$I,8,0)</f>
        <v>#N/A</v>
      </c>
      <c r="H1372" t="s">
        <v>1773</v>
      </c>
      <c r="I1372" t="str">
        <f>+VLOOKUP(H1372,[1]Explore!$A:$I,9,0)</f>
        <v>Information Technology</v>
      </c>
      <c r="J1372" t="str">
        <f t="shared" si="42"/>
        <v>OK</v>
      </c>
      <c r="K1372" t="str">
        <f t="shared" si="43"/>
        <v>Information Technology</v>
      </c>
      <c r="L1372" t="s">
        <v>2141</v>
      </c>
      <c r="M1372" t="str">
        <f>_xlfn.IFNA(VLOOKUP(K1372,'Mapping DEF'!A:C,2,0),"")</f>
        <v>Industry Allocation</v>
      </c>
      <c r="N1372" t="str">
        <f>+_xlfn.IFNA(VLOOKUP(M1372,'Mapping DEF'!B:C,2,FALSE),"")</f>
        <v>Equity</v>
      </c>
      <c r="O1372" t="s">
        <v>2776</v>
      </c>
    </row>
    <row r="1373" spans="1:15" x14ac:dyDescent="0.25">
      <c r="A1373" s="4" t="s">
        <v>2467</v>
      </c>
      <c r="B1373" s="4" t="s">
        <v>2468</v>
      </c>
      <c r="C1373" s="5">
        <v>2453</v>
      </c>
      <c r="D1373" s="6" t="s">
        <v>2469</v>
      </c>
      <c r="E1373" t="s">
        <v>1774</v>
      </c>
      <c r="F1373" t="s">
        <v>220</v>
      </c>
      <c r="G1373" t="str">
        <f>+VLOOKUP(F1373,[1]Explore!$B:$I,8,0)</f>
        <v>Corporate HY USD - Other</v>
      </c>
      <c r="H1373" t="s">
        <v>221</v>
      </c>
      <c r="I1373" t="str">
        <f>+VLOOKUP(H1373,[1]Explore!$A:$I,9,0)</f>
        <v>Corporate HY USD - Other</v>
      </c>
      <c r="J1373" t="str">
        <f t="shared" si="42"/>
        <v>OK</v>
      </c>
      <c r="K1373" t="str">
        <f t="shared" si="43"/>
        <v>Corporate HY USD - Other</v>
      </c>
      <c r="L1373" t="s">
        <v>188</v>
      </c>
      <c r="M1373" t="str">
        <f>_xlfn.IFNA(VLOOKUP(K1373,'Mapping DEF'!A:C,2,0),"")</f>
        <v>Spread</v>
      </c>
      <c r="N1373" t="str">
        <f>+_xlfn.IFNA(VLOOKUP(M1373,'Mapping DEF'!B:C,2,FALSE),"")</f>
        <v>Spread</v>
      </c>
      <c r="O1373" t="s">
        <v>2829</v>
      </c>
    </row>
    <row r="1374" spans="1:15" x14ac:dyDescent="0.25">
      <c r="A1374" s="4" t="s">
        <v>2467</v>
      </c>
      <c r="B1374" s="4" t="s">
        <v>2468</v>
      </c>
      <c r="C1374" s="5">
        <v>2453</v>
      </c>
      <c r="D1374" s="6" t="s">
        <v>2469</v>
      </c>
      <c r="E1374" t="s">
        <v>1775</v>
      </c>
      <c r="F1374" t="s">
        <v>2624</v>
      </c>
      <c r="G1374" t="str">
        <f>+VLOOKUP(F1374,[1]Explore!$B:$I,8,0)</f>
        <v>Corporate HY USD - Industry</v>
      </c>
      <c r="H1374" t="s">
        <v>1776</v>
      </c>
      <c r="I1374" t="e">
        <f>+VLOOKUP(H1374,[1]Explore!$A:$I,9,0)</f>
        <v>#N/A</v>
      </c>
      <c r="J1374" t="str">
        <f t="shared" si="42"/>
        <v>OK</v>
      </c>
      <c r="K1374" t="str">
        <f t="shared" si="43"/>
        <v>Corporate HY USD - Industry</v>
      </c>
      <c r="L1374" t="s">
        <v>188</v>
      </c>
      <c r="M1374" t="str">
        <f>_xlfn.IFNA(VLOOKUP(K1374,'Mapping DEF'!A:C,2,0),"")</f>
        <v>Spread</v>
      </c>
      <c r="N1374" t="str">
        <f>+_xlfn.IFNA(VLOOKUP(M1374,'Mapping DEF'!B:C,2,FALSE),"")</f>
        <v>Spread</v>
      </c>
      <c r="O1374" t="s">
        <v>2774</v>
      </c>
    </row>
    <row r="1375" spans="1:15" x14ac:dyDescent="0.25">
      <c r="A1375" s="4" t="s">
        <v>2467</v>
      </c>
      <c r="B1375" s="4" t="s">
        <v>2468</v>
      </c>
      <c r="C1375" s="5">
        <v>2453</v>
      </c>
      <c r="D1375" s="6" t="s">
        <v>2469</v>
      </c>
      <c r="E1375" t="s">
        <v>1777</v>
      </c>
      <c r="F1375" t="s">
        <v>656</v>
      </c>
      <c r="G1375" t="str">
        <f>+VLOOKUP(F1375,[1]Explore!$B:$I,8,0)</f>
        <v>Industrials</v>
      </c>
      <c r="I1375" t="e">
        <f>+VLOOKUP(H1375,[1]Explore!$A:$I,9,0)</f>
        <v>#N/A</v>
      </c>
      <c r="J1375" t="str">
        <f t="shared" si="42"/>
        <v>OK</v>
      </c>
      <c r="K1375" t="str">
        <f t="shared" si="43"/>
        <v>Industrials</v>
      </c>
      <c r="L1375" t="s">
        <v>188</v>
      </c>
      <c r="M1375" t="str">
        <f>_xlfn.IFNA(VLOOKUP(K1375,'Mapping DEF'!A:C,2,0),"")</f>
        <v>Industry Allocation</v>
      </c>
      <c r="N1375" t="str">
        <f>+_xlfn.IFNA(VLOOKUP(M1375,'Mapping DEF'!B:C,2,FALSE),"")</f>
        <v>Equity</v>
      </c>
      <c r="O1375" t="s">
        <v>2782</v>
      </c>
    </row>
    <row r="1376" spans="1:15" x14ac:dyDescent="0.25">
      <c r="A1376" s="4" t="s">
        <v>2470</v>
      </c>
      <c r="B1376" s="4" t="s">
        <v>2471</v>
      </c>
      <c r="C1376" s="5">
        <v>2454</v>
      </c>
      <c r="D1376" s="6" t="s">
        <v>2472</v>
      </c>
      <c r="E1376" t="s">
        <v>906</v>
      </c>
      <c r="F1376" t="s">
        <v>13</v>
      </c>
      <c r="G1376" t="str">
        <f>+VLOOKUP(F1376,[1]Explore!$B:$I,8,0)</f>
        <v>Govt USD</v>
      </c>
      <c r="H1376" t="s">
        <v>14</v>
      </c>
      <c r="I1376" t="str">
        <f>+VLOOKUP(H1376,[1]Explore!$A:$I,9,0)</f>
        <v>Govt USD</v>
      </c>
      <c r="J1376" t="str">
        <f t="shared" si="42"/>
        <v>OK</v>
      </c>
      <c r="K1376" t="str">
        <f t="shared" si="43"/>
        <v>Govt USD</v>
      </c>
      <c r="L1376" t="s">
        <v>2143</v>
      </c>
      <c r="M1376" t="str">
        <f>_xlfn.IFNA(VLOOKUP(K1376,'Mapping DEF'!A:C,2,0),"")</f>
        <v>Curve (Local)</v>
      </c>
      <c r="N1376" t="str">
        <f>+_xlfn.IFNA(VLOOKUP(M1376,'Mapping DEF'!B:C,2,FALSE),"")</f>
        <v>Term Structure</v>
      </c>
      <c r="O1376" t="s">
        <v>2790</v>
      </c>
    </row>
    <row r="1377" spans="1:15" x14ac:dyDescent="0.25">
      <c r="A1377" s="4" t="s">
        <v>2470</v>
      </c>
      <c r="B1377" s="4" t="s">
        <v>2471</v>
      </c>
      <c r="C1377" s="5">
        <v>2454</v>
      </c>
      <c r="D1377" s="6" t="s">
        <v>2472</v>
      </c>
      <c r="E1377" t="s">
        <v>1181</v>
      </c>
      <c r="F1377" t="s">
        <v>19</v>
      </c>
      <c r="G1377" t="str">
        <f>+VLOOKUP(F1377,[1]Explore!$B:$I,8,0)</f>
        <v>Govt USD</v>
      </c>
      <c r="H1377" t="s">
        <v>20</v>
      </c>
      <c r="I1377" t="str">
        <f>+VLOOKUP(H1377,[1]Explore!$A:$I,9,0)</f>
        <v>Govt USD</v>
      </c>
      <c r="J1377" t="str">
        <f t="shared" si="42"/>
        <v>OK</v>
      </c>
      <c r="K1377" t="str">
        <f t="shared" si="43"/>
        <v>Govt USD</v>
      </c>
      <c r="L1377" t="s">
        <v>2143</v>
      </c>
      <c r="M1377" t="str">
        <f>_xlfn.IFNA(VLOOKUP(K1377,'Mapping DEF'!A:C,2,0),"")</f>
        <v>Curve (Local)</v>
      </c>
      <c r="N1377" t="str">
        <f>+_xlfn.IFNA(VLOOKUP(M1377,'Mapping DEF'!B:C,2,FALSE),"")</f>
        <v>Term Structure</v>
      </c>
      <c r="O1377" t="s">
        <v>2797</v>
      </c>
    </row>
    <row r="1378" spans="1:15" x14ac:dyDescent="0.25">
      <c r="A1378" s="4" t="s">
        <v>2470</v>
      </c>
      <c r="B1378" s="4" t="s">
        <v>2471</v>
      </c>
      <c r="C1378" s="5">
        <v>2454</v>
      </c>
      <c r="D1378" s="6" t="s">
        <v>2472</v>
      </c>
      <c r="E1378" t="s">
        <v>371</v>
      </c>
      <c r="F1378" t="s">
        <v>206</v>
      </c>
      <c r="G1378" t="e">
        <f>+VLOOKUP(F1378,[1]Explore!$B:$I,8,0)</f>
        <v>#N/A</v>
      </c>
      <c r="H1378" t="s">
        <v>206</v>
      </c>
      <c r="I1378" t="e">
        <f>+VLOOKUP(H1378,[1]Explore!$A:$I,9,0)</f>
        <v>#N/A</v>
      </c>
      <c r="J1378" t="str">
        <f t="shared" si="42"/>
        <v>BOTH #N/A</v>
      </c>
      <c r="K1378" t="str">
        <f t="shared" si="43"/>
        <v>Dollar Index</v>
      </c>
      <c r="L1378" t="s">
        <v>2930</v>
      </c>
      <c r="M1378" t="str">
        <f>_xlfn.IFNA(VLOOKUP(K1378,'Mapping DEF'!A:C,2,0),"")</f>
        <v>Index Level</v>
      </c>
      <c r="N1378" t="str">
        <f>+_xlfn.IFNA(VLOOKUP(M1378,'Mapping DEF'!B:C,2,FALSE),"")</f>
        <v>Other</v>
      </c>
      <c r="O1378" t="s">
        <v>2759</v>
      </c>
    </row>
    <row r="1379" spans="1:15" x14ac:dyDescent="0.25">
      <c r="A1379" s="4" t="s">
        <v>2470</v>
      </c>
      <c r="B1379" s="4" t="s">
        <v>2471</v>
      </c>
      <c r="C1379" s="5">
        <v>2454</v>
      </c>
      <c r="D1379" s="6" t="s">
        <v>2472</v>
      </c>
      <c r="E1379" t="s">
        <v>565</v>
      </c>
      <c r="F1379" t="s">
        <v>183</v>
      </c>
      <c r="G1379" t="str">
        <f>+VLOOKUP(F1379,[1]Explore!$B:$I,8,0)</f>
        <v>Equity Implied Volatility</v>
      </c>
      <c r="H1379" t="s">
        <v>184</v>
      </c>
      <c r="I1379" t="str">
        <f>+VLOOKUP(H1379,[1]Explore!$A:$I,9,0)</f>
        <v>Equity Implied Volatility</v>
      </c>
      <c r="J1379" t="str">
        <f t="shared" si="42"/>
        <v>OK</v>
      </c>
      <c r="K1379" t="str">
        <f t="shared" si="43"/>
        <v>Equity Implied Volatility</v>
      </c>
      <c r="L1379" t="s">
        <v>27</v>
      </c>
      <c r="M1379" t="str">
        <f>_xlfn.IFNA(VLOOKUP(K1379,'Mapping DEF'!A:C,2,0),"")</f>
        <v>Equity Derivatives</v>
      </c>
      <c r="N1379" t="str">
        <f>+_xlfn.IFNA(VLOOKUP(M1379,'Mapping DEF'!B:C,2,FALSE),"")</f>
        <v>Equity</v>
      </c>
      <c r="O1379" t="s">
        <v>2776</v>
      </c>
    </row>
    <row r="1380" spans="1:15" x14ac:dyDescent="0.25">
      <c r="A1380" s="4" t="s">
        <v>2470</v>
      </c>
      <c r="B1380" s="4" t="s">
        <v>2471</v>
      </c>
      <c r="C1380" s="5">
        <v>2454</v>
      </c>
      <c r="D1380" s="6" t="s">
        <v>2472</v>
      </c>
      <c r="E1380" t="s">
        <v>338</v>
      </c>
      <c r="F1380" t="s">
        <v>191</v>
      </c>
      <c r="G1380" t="e">
        <f>+VLOOKUP(F1380,[1]Explore!$B:$I,8,0)</f>
        <v>#N/A</v>
      </c>
      <c r="H1380" t="s">
        <v>192</v>
      </c>
      <c r="I1380" t="e">
        <f>+VLOOKUP(H1380,[1]Explore!$A:$I,9,0)</f>
        <v>#N/A</v>
      </c>
      <c r="J1380" t="str">
        <f t="shared" si="42"/>
        <v>BOTH #N/A</v>
      </c>
      <c r="K1380" t="str">
        <f t="shared" si="43"/>
        <v xml:space="preserve">Time </v>
      </c>
      <c r="L1380" t="s">
        <v>2138</v>
      </c>
      <c r="M1380" t="str">
        <f>_xlfn.IFNA(VLOOKUP(K1380,'Mapping DEF'!A:C,2,0),"")</f>
        <v>Time</v>
      </c>
      <c r="N1380" t="str">
        <f>+_xlfn.IFNA(VLOOKUP(M1380,'Mapping DEF'!B:C,2,FALSE),"")</f>
        <v>Other</v>
      </c>
      <c r="O1380" t="s">
        <v>2817</v>
      </c>
    </row>
    <row r="1381" spans="1:15" x14ac:dyDescent="0.25">
      <c r="A1381" s="4" t="s">
        <v>2470</v>
      </c>
      <c r="B1381" s="4" t="s">
        <v>2471</v>
      </c>
      <c r="C1381" s="5">
        <v>2454</v>
      </c>
      <c r="D1381" s="6" t="s">
        <v>2472</v>
      </c>
      <c r="E1381" t="s">
        <v>1778</v>
      </c>
      <c r="F1381" t="s">
        <v>1719</v>
      </c>
      <c r="G1381" t="str">
        <f>+VLOOKUP(F1381,[1]Explore!$B:$I,8,0)</f>
        <v>Consumer Discretionary</v>
      </c>
      <c r="H1381" t="s">
        <v>1720</v>
      </c>
      <c r="I1381" t="str">
        <f>+VLOOKUP(H1381,[1]Explore!$A:$I,9,0)</f>
        <v>Consumer Discretionary</v>
      </c>
      <c r="J1381" t="str">
        <f t="shared" si="42"/>
        <v>OK</v>
      </c>
      <c r="K1381" t="str">
        <f t="shared" si="43"/>
        <v>Consumer Discretionary</v>
      </c>
      <c r="L1381" t="s">
        <v>2141</v>
      </c>
      <c r="M1381" t="str">
        <f>_xlfn.IFNA(VLOOKUP(K1381,'Mapping DEF'!A:C,2,0),"")</f>
        <v>Industry Allocation</v>
      </c>
      <c r="N1381" t="str">
        <f>+_xlfn.IFNA(VLOOKUP(M1381,'Mapping DEF'!B:C,2,FALSE),"")</f>
        <v>Equity</v>
      </c>
      <c r="O1381" t="s">
        <v>2759</v>
      </c>
    </row>
    <row r="1382" spans="1:15" x14ac:dyDescent="0.25">
      <c r="A1382" s="4" t="s">
        <v>2470</v>
      </c>
      <c r="B1382" s="4" t="s">
        <v>2471</v>
      </c>
      <c r="C1382" s="5">
        <v>2454</v>
      </c>
      <c r="D1382" s="6" t="s">
        <v>2472</v>
      </c>
      <c r="E1382" t="s">
        <v>1779</v>
      </c>
      <c r="F1382" t="s">
        <v>1780</v>
      </c>
      <c r="G1382" t="e">
        <f>+VLOOKUP(F1382,[1]Explore!$B:$I,8,0)</f>
        <v>#N/A</v>
      </c>
      <c r="H1382" t="s">
        <v>1781</v>
      </c>
      <c r="I1382" t="str">
        <f>+VLOOKUP(H1382,[1]Explore!$A:$I,9,0)</f>
        <v>Health Care</v>
      </c>
      <c r="J1382" t="str">
        <f t="shared" si="42"/>
        <v>OK</v>
      </c>
      <c r="K1382" t="str">
        <f t="shared" si="43"/>
        <v>Health Care</v>
      </c>
      <c r="L1382" t="s">
        <v>2141</v>
      </c>
      <c r="M1382" t="str">
        <f>_xlfn.IFNA(VLOOKUP(K1382,'Mapping DEF'!A:C,2,0),"")</f>
        <v>Industry Allocation</v>
      </c>
      <c r="N1382" t="str">
        <f>+_xlfn.IFNA(VLOOKUP(M1382,'Mapping DEF'!B:C,2,FALSE),"")</f>
        <v>Equity</v>
      </c>
      <c r="O1382" t="s">
        <v>2754</v>
      </c>
    </row>
    <row r="1383" spans="1:15" x14ac:dyDescent="0.25">
      <c r="A1383" s="4" t="s">
        <v>2470</v>
      </c>
      <c r="B1383" s="4" t="s">
        <v>2471</v>
      </c>
      <c r="C1383" s="5">
        <v>2454</v>
      </c>
      <c r="D1383" s="6" t="s">
        <v>2472</v>
      </c>
      <c r="E1383" t="s">
        <v>1782</v>
      </c>
      <c r="F1383" t="s">
        <v>1783</v>
      </c>
      <c r="G1383" t="str">
        <f>+VLOOKUP(F1383,[1]Explore!$B:$I,8,0)</f>
        <v>Real Estate</v>
      </c>
      <c r="H1383" t="s">
        <v>1784</v>
      </c>
      <c r="I1383" t="str">
        <f>+VLOOKUP(H1383,[1]Explore!$A:$I,9,0)</f>
        <v>Real Estate</v>
      </c>
      <c r="J1383" t="str">
        <f t="shared" si="42"/>
        <v>OK</v>
      </c>
      <c r="K1383" t="str">
        <f t="shared" si="43"/>
        <v>Real Estate</v>
      </c>
      <c r="L1383" t="s">
        <v>2141</v>
      </c>
      <c r="M1383" t="str">
        <f>_xlfn.IFNA(VLOOKUP(K1383,'Mapping DEF'!A:C,2,0),"")</f>
        <v>Industry Allocation</v>
      </c>
      <c r="N1383" t="str">
        <f>+_xlfn.IFNA(VLOOKUP(M1383,'Mapping DEF'!B:C,2,FALSE),"")</f>
        <v>Equity</v>
      </c>
      <c r="O1383" t="s">
        <v>2763</v>
      </c>
    </row>
    <row r="1384" spans="1:15" x14ac:dyDescent="0.25">
      <c r="A1384" s="4" t="s">
        <v>2470</v>
      </c>
      <c r="B1384" s="4" t="s">
        <v>2471</v>
      </c>
      <c r="C1384" s="5">
        <v>2454</v>
      </c>
      <c r="D1384" s="6" t="s">
        <v>2472</v>
      </c>
      <c r="E1384" t="s">
        <v>859</v>
      </c>
      <c r="F1384" t="s">
        <v>220</v>
      </c>
      <c r="G1384" t="str">
        <f>+VLOOKUP(F1384,[1]Explore!$B:$I,8,0)</f>
        <v>Corporate HY USD - Other</v>
      </c>
      <c r="H1384" t="s">
        <v>221</v>
      </c>
      <c r="I1384" t="str">
        <f>+VLOOKUP(H1384,[1]Explore!$A:$I,9,0)</f>
        <v>Corporate HY USD - Other</v>
      </c>
      <c r="J1384" t="str">
        <f t="shared" si="42"/>
        <v>OK</v>
      </c>
      <c r="K1384" t="str">
        <f t="shared" si="43"/>
        <v>Corporate HY USD - Other</v>
      </c>
      <c r="L1384" t="s">
        <v>188</v>
      </c>
      <c r="M1384" t="str">
        <f>_xlfn.IFNA(VLOOKUP(K1384,'Mapping DEF'!A:C,2,0),"")</f>
        <v>Spread</v>
      </c>
      <c r="N1384" t="str">
        <f>+_xlfn.IFNA(VLOOKUP(M1384,'Mapping DEF'!B:C,2,FALSE),"")</f>
        <v>Spread</v>
      </c>
      <c r="O1384" t="s">
        <v>2765</v>
      </c>
    </row>
    <row r="1385" spans="1:15" x14ac:dyDescent="0.25">
      <c r="A1385" s="4" t="s">
        <v>2470</v>
      </c>
      <c r="B1385" s="4" t="s">
        <v>2471</v>
      </c>
      <c r="C1385" s="5">
        <v>2454</v>
      </c>
      <c r="D1385" s="6" t="s">
        <v>2472</v>
      </c>
      <c r="E1385" t="s">
        <v>1785</v>
      </c>
      <c r="F1385" t="s">
        <v>2624</v>
      </c>
      <c r="G1385" t="str">
        <f>+VLOOKUP(F1385,[1]Explore!$B:$I,8,0)</f>
        <v>Corporate HY USD - Industry</v>
      </c>
      <c r="H1385" t="s">
        <v>1776</v>
      </c>
      <c r="I1385" t="e">
        <f>+VLOOKUP(H1385,[1]Explore!$A:$I,9,0)</f>
        <v>#N/A</v>
      </c>
      <c r="J1385" t="str">
        <f t="shared" si="42"/>
        <v>OK</v>
      </c>
      <c r="K1385" t="str">
        <f t="shared" si="43"/>
        <v>Corporate HY USD - Industry</v>
      </c>
      <c r="L1385" t="s">
        <v>188</v>
      </c>
      <c r="M1385" t="str">
        <f>_xlfn.IFNA(VLOOKUP(K1385,'Mapping DEF'!A:C,2,0),"")</f>
        <v>Spread</v>
      </c>
      <c r="N1385" t="str">
        <f>+_xlfn.IFNA(VLOOKUP(M1385,'Mapping DEF'!B:C,2,FALSE),"")</f>
        <v>Spread</v>
      </c>
      <c r="O1385" t="s">
        <v>2786</v>
      </c>
    </row>
    <row r="1386" spans="1:15" x14ac:dyDescent="0.25">
      <c r="A1386" s="4" t="s">
        <v>2473</v>
      </c>
      <c r="B1386" s="4" t="s">
        <v>2474</v>
      </c>
      <c r="C1386" s="5">
        <v>2455</v>
      </c>
      <c r="D1386" s="6" t="s">
        <v>2475</v>
      </c>
      <c r="E1386" t="s">
        <v>927</v>
      </c>
      <c r="F1386" t="s">
        <v>19</v>
      </c>
      <c r="G1386" t="str">
        <f>+VLOOKUP(F1386,[1]Explore!$B:$I,8,0)</f>
        <v>Govt USD</v>
      </c>
      <c r="H1386" t="s">
        <v>20</v>
      </c>
      <c r="I1386" t="str">
        <f>+VLOOKUP(H1386,[1]Explore!$A:$I,9,0)</f>
        <v>Govt USD</v>
      </c>
      <c r="J1386" t="str">
        <f t="shared" si="42"/>
        <v>OK</v>
      </c>
      <c r="K1386" t="str">
        <f t="shared" si="43"/>
        <v>Govt USD</v>
      </c>
      <c r="L1386" t="s">
        <v>2143</v>
      </c>
      <c r="M1386" t="str">
        <f>_xlfn.IFNA(VLOOKUP(K1386,'Mapping DEF'!A:C,2,0),"")</f>
        <v>Curve (Local)</v>
      </c>
      <c r="N1386" t="str">
        <f>+_xlfn.IFNA(VLOOKUP(M1386,'Mapping DEF'!B:C,2,FALSE),"")</f>
        <v>Term Structure</v>
      </c>
      <c r="O1386" t="s">
        <v>2765</v>
      </c>
    </row>
    <row r="1387" spans="1:15" x14ac:dyDescent="0.25">
      <c r="A1387" s="4" t="s">
        <v>2473</v>
      </c>
      <c r="B1387" s="4" t="s">
        <v>2474</v>
      </c>
      <c r="C1387" s="5">
        <v>2455</v>
      </c>
      <c r="D1387" s="6" t="s">
        <v>2475</v>
      </c>
      <c r="E1387" t="s">
        <v>1041</v>
      </c>
      <c r="F1387" t="s">
        <v>315</v>
      </c>
      <c r="G1387" t="str">
        <f>+VLOOKUP(F1387,[1]Explore!$B:$I,8,0)</f>
        <v>Govt EUR (Ger)</v>
      </c>
      <c r="H1387" t="s">
        <v>316</v>
      </c>
      <c r="I1387" t="str">
        <f>+VLOOKUP(H1387,[1]Explore!$A:$I,9,0)</f>
        <v>Govt EUR (Ger)</v>
      </c>
      <c r="J1387" t="str">
        <f t="shared" si="42"/>
        <v>OK</v>
      </c>
      <c r="K1387" t="str">
        <f t="shared" si="43"/>
        <v>Govt EUR (Ger)</v>
      </c>
      <c r="L1387" t="s">
        <v>2143</v>
      </c>
      <c r="M1387" t="str">
        <f>_xlfn.IFNA(VLOOKUP(K1387,'Mapping DEF'!A:C,2,0),"")</f>
        <v>Curve (Local)</v>
      </c>
      <c r="N1387" t="str">
        <f>+_xlfn.IFNA(VLOOKUP(M1387,'Mapping DEF'!B:C,2,FALSE),"")</f>
        <v>Term Structure</v>
      </c>
      <c r="O1387" t="s">
        <v>2786</v>
      </c>
    </row>
    <row r="1388" spans="1:15" x14ac:dyDescent="0.25">
      <c r="A1388" s="4" t="s">
        <v>2473</v>
      </c>
      <c r="B1388" s="4" t="s">
        <v>2474</v>
      </c>
      <c r="C1388" s="5">
        <v>2455</v>
      </c>
      <c r="D1388" s="6" t="s">
        <v>2475</v>
      </c>
      <c r="E1388" t="s">
        <v>1789</v>
      </c>
      <c r="F1388" t="s">
        <v>360</v>
      </c>
      <c r="G1388" t="str">
        <f>+VLOOKUP(F1388,[1]Explore!$B:$I,8,0)</f>
        <v>Spread Govt ITA</v>
      </c>
      <c r="H1388" t="s">
        <v>361</v>
      </c>
      <c r="I1388" t="str">
        <f>+VLOOKUP(H1388,[1]Explore!$A:$I,9,0)</f>
        <v>Spread Govt ITA</v>
      </c>
      <c r="J1388" t="str">
        <f t="shared" si="42"/>
        <v>OK</v>
      </c>
      <c r="K1388" t="str">
        <f t="shared" si="43"/>
        <v>Spread Govt ITA</v>
      </c>
      <c r="L1388" t="s">
        <v>188</v>
      </c>
      <c r="M1388" t="str">
        <f>_xlfn.IFNA(VLOOKUP(K1388,'Mapping DEF'!A:C,2,0),"")</f>
        <v>Spread Govt</v>
      </c>
      <c r="N1388" t="str">
        <f>+_xlfn.IFNA(VLOOKUP(M1388,'Mapping DEF'!B:C,2,FALSE),"")</f>
        <v>Term Structure</v>
      </c>
      <c r="O1388" t="s">
        <v>2791</v>
      </c>
    </row>
    <row r="1389" spans="1:15" x14ac:dyDescent="0.25">
      <c r="A1389" s="4" t="s">
        <v>2473</v>
      </c>
      <c r="B1389" s="4" t="s">
        <v>2474</v>
      </c>
      <c r="C1389" s="5">
        <v>2455</v>
      </c>
      <c r="D1389" s="6" t="s">
        <v>2475</v>
      </c>
      <c r="E1389" t="s">
        <v>892</v>
      </c>
      <c r="F1389" t="s">
        <v>822</v>
      </c>
      <c r="G1389" t="e">
        <f>+VLOOKUP(F1389,[1]Explore!$B:$I,8,0)</f>
        <v>#N/A</v>
      </c>
      <c r="H1389" t="s">
        <v>823</v>
      </c>
      <c r="I1389" t="str">
        <f>+VLOOKUP(H1389,[1]Explore!$A:$I,9,0)</f>
        <v>Emerging Currency</v>
      </c>
      <c r="J1389" t="str">
        <f t="shared" si="42"/>
        <v>OK</v>
      </c>
      <c r="K1389" t="str">
        <f t="shared" si="43"/>
        <v>Emerging Currency</v>
      </c>
      <c r="L1389" t="s">
        <v>2140</v>
      </c>
      <c r="M1389" t="str">
        <f>_xlfn.IFNA(VLOOKUP(K1389,'Mapping DEF'!A:C,2,0),"")</f>
        <v>FX</v>
      </c>
      <c r="N1389" t="str">
        <f>+_xlfn.IFNA(VLOOKUP(M1389,'Mapping DEF'!B:C,2,FALSE),"")</f>
        <v>FX</v>
      </c>
      <c r="O1389" t="s">
        <v>2761</v>
      </c>
    </row>
    <row r="1390" spans="1:15" x14ac:dyDescent="0.25">
      <c r="A1390" s="4" t="s">
        <v>2473</v>
      </c>
      <c r="B1390" s="4" t="s">
        <v>2474</v>
      </c>
      <c r="C1390" s="5">
        <v>2455</v>
      </c>
      <c r="D1390" s="6" t="s">
        <v>2475</v>
      </c>
      <c r="E1390" t="s">
        <v>711</v>
      </c>
      <c r="F1390" t="s">
        <v>206</v>
      </c>
      <c r="G1390" t="e">
        <f>+VLOOKUP(F1390,[1]Explore!$B:$I,8,0)</f>
        <v>#N/A</v>
      </c>
      <c r="H1390" t="s">
        <v>206</v>
      </c>
      <c r="I1390" t="e">
        <f>+VLOOKUP(H1390,[1]Explore!$A:$I,9,0)</f>
        <v>#N/A</v>
      </c>
      <c r="J1390" t="str">
        <f t="shared" si="42"/>
        <v>BOTH #N/A</v>
      </c>
      <c r="K1390" t="str">
        <f t="shared" si="43"/>
        <v>Dollar Index</v>
      </c>
      <c r="L1390" t="s">
        <v>2930</v>
      </c>
      <c r="M1390" t="str">
        <f>_xlfn.IFNA(VLOOKUP(K1390,'Mapping DEF'!A:C,2,0),"")</f>
        <v>Index Level</v>
      </c>
      <c r="N1390" t="str">
        <f>+_xlfn.IFNA(VLOOKUP(M1390,'Mapping DEF'!B:C,2,FALSE),"")</f>
        <v>Other</v>
      </c>
      <c r="O1390" t="s">
        <v>2770</v>
      </c>
    </row>
    <row r="1391" spans="1:15" x14ac:dyDescent="0.25">
      <c r="A1391" s="4" t="s">
        <v>2473</v>
      </c>
      <c r="B1391" s="4" t="s">
        <v>2474</v>
      </c>
      <c r="C1391" s="5">
        <v>2455</v>
      </c>
      <c r="D1391" s="6" t="s">
        <v>2475</v>
      </c>
      <c r="E1391" t="s">
        <v>1360</v>
      </c>
      <c r="F1391" t="s">
        <v>2156</v>
      </c>
      <c r="G1391" t="str">
        <f>+VLOOKUP(F1391,[1]Explore!$B:$I,8,0)</f>
        <v>Equity Implied Volatility</v>
      </c>
      <c r="H1391" t="s">
        <v>141</v>
      </c>
      <c r="I1391" t="str">
        <f>+VLOOKUP(H1391,[1]Explore!$A:$I,9,0)</f>
        <v>Equity Implied Volatility</v>
      </c>
      <c r="J1391" t="str">
        <f t="shared" si="42"/>
        <v>OK</v>
      </c>
      <c r="K1391" t="str">
        <f t="shared" si="43"/>
        <v>Equity Implied Volatility</v>
      </c>
      <c r="L1391" t="s">
        <v>27</v>
      </c>
      <c r="M1391" t="str">
        <f>_xlfn.IFNA(VLOOKUP(K1391,'Mapping DEF'!A:C,2,0),"")</f>
        <v>Equity Derivatives</v>
      </c>
      <c r="N1391" t="str">
        <f>+_xlfn.IFNA(VLOOKUP(M1391,'Mapping DEF'!B:C,2,FALSE),"")</f>
        <v>Equity</v>
      </c>
      <c r="O1391" t="s">
        <v>2770</v>
      </c>
    </row>
    <row r="1392" spans="1:15" x14ac:dyDescent="0.25">
      <c r="A1392" s="4" t="s">
        <v>2473</v>
      </c>
      <c r="B1392" s="4" t="s">
        <v>2474</v>
      </c>
      <c r="C1392" s="5">
        <v>2455</v>
      </c>
      <c r="D1392" s="6" t="s">
        <v>2475</v>
      </c>
      <c r="E1392" t="s">
        <v>338</v>
      </c>
      <c r="F1392" t="s">
        <v>191</v>
      </c>
      <c r="G1392" t="e">
        <f>+VLOOKUP(F1392,[1]Explore!$B:$I,8,0)</f>
        <v>#N/A</v>
      </c>
      <c r="H1392" t="s">
        <v>192</v>
      </c>
      <c r="I1392" t="e">
        <f>+VLOOKUP(H1392,[1]Explore!$A:$I,9,0)</f>
        <v>#N/A</v>
      </c>
      <c r="J1392" t="str">
        <f t="shared" si="42"/>
        <v>BOTH #N/A</v>
      </c>
      <c r="K1392" t="str">
        <f t="shared" si="43"/>
        <v xml:space="preserve">Time </v>
      </c>
      <c r="L1392" t="s">
        <v>2138</v>
      </c>
      <c r="M1392" t="str">
        <f>_xlfn.IFNA(VLOOKUP(K1392,'Mapping DEF'!A:C,2,0),"")</f>
        <v>Time</v>
      </c>
      <c r="N1392" t="str">
        <f>+_xlfn.IFNA(VLOOKUP(M1392,'Mapping DEF'!B:C,2,FALSE),"")</f>
        <v>Other</v>
      </c>
      <c r="O1392" t="s">
        <v>2817</v>
      </c>
    </row>
    <row r="1393" spans="1:15" x14ac:dyDescent="0.25">
      <c r="A1393" s="4" t="s">
        <v>2473</v>
      </c>
      <c r="B1393" s="4" t="s">
        <v>2474</v>
      </c>
      <c r="C1393" s="5">
        <v>2455</v>
      </c>
      <c r="D1393" s="6" t="s">
        <v>2475</v>
      </c>
      <c r="E1393" t="s">
        <v>1790</v>
      </c>
      <c r="F1393" t="s">
        <v>1791</v>
      </c>
      <c r="G1393" t="e">
        <f>+VLOOKUP(F1393,[1]Explore!$B:$I,8,0)</f>
        <v>#N/A</v>
      </c>
      <c r="H1393" t="s">
        <v>1792</v>
      </c>
      <c r="I1393" t="e">
        <f>+VLOOKUP(H1393,[1]Explore!$A:$I,9,0)</f>
        <v>#N/A</v>
      </c>
      <c r="J1393" t="str">
        <f t="shared" si="42"/>
        <v>BOTH #N/A</v>
      </c>
      <c r="K1393" t="str">
        <f t="shared" si="43"/>
        <v>Consumer Discretionary</v>
      </c>
      <c r="L1393" t="s">
        <v>2659</v>
      </c>
      <c r="M1393" t="str">
        <f>_xlfn.IFNA(VLOOKUP(K1393,'Mapping DEF'!A:C,2,0),"")</f>
        <v>Industry Allocation</v>
      </c>
      <c r="N1393" t="str">
        <f>+_xlfn.IFNA(VLOOKUP(M1393,'Mapping DEF'!B:C,2,FALSE),"")</f>
        <v>Equity</v>
      </c>
      <c r="O1393" t="s">
        <v>2754</v>
      </c>
    </row>
    <row r="1394" spans="1:15" x14ac:dyDescent="0.25">
      <c r="A1394" s="4" t="s">
        <v>2473</v>
      </c>
      <c r="B1394" s="4" t="s">
        <v>2474</v>
      </c>
      <c r="C1394" s="5">
        <v>2455</v>
      </c>
      <c r="D1394" s="6" t="s">
        <v>2475</v>
      </c>
      <c r="E1394" t="s">
        <v>1793</v>
      </c>
      <c r="F1394" t="s">
        <v>2174</v>
      </c>
      <c r="G1394" t="e">
        <f>+VLOOKUP(F1394,[1]Explore!$B:$I,8,0)</f>
        <v>#N/A</v>
      </c>
      <c r="H1394" t="s">
        <v>374</v>
      </c>
      <c r="I1394" t="e">
        <f>+VLOOKUP(H1394,[1]Explore!$A:$I,9,0)</f>
        <v>#N/A</v>
      </c>
      <c r="J1394" t="str">
        <f t="shared" si="42"/>
        <v>BOTH #N/A</v>
      </c>
      <c r="K1394" t="str">
        <f t="shared" si="43"/>
        <v>Consumer Discretionary</v>
      </c>
      <c r="L1394" t="s">
        <v>2659</v>
      </c>
      <c r="M1394" t="str">
        <f>_xlfn.IFNA(VLOOKUP(K1394,'Mapping DEF'!A:C,2,0),"")</f>
        <v>Industry Allocation</v>
      </c>
      <c r="N1394" t="str">
        <f>+_xlfn.IFNA(VLOOKUP(M1394,'Mapping DEF'!B:C,2,FALSE),"")</f>
        <v>Equity</v>
      </c>
      <c r="O1394" t="s">
        <v>2776</v>
      </c>
    </row>
    <row r="1395" spans="1:15" x14ac:dyDescent="0.25">
      <c r="A1395" s="4" t="s">
        <v>2473</v>
      </c>
      <c r="B1395" s="4" t="s">
        <v>2474</v>
      </c>
      <c r="C1395" s="5">
        <v>2455</v>
      </c>
      <c r="D1395" s="6" t="s">
        <v>2475</v>
      </c>
      <c r="E1395" t="s">
        <v>1190</v>
      </c>
      <c r="F1395" t="s">
        <v>346</v>
      </c>
      <c r="G1395" t="str">
        <f>+VLOOKUP(F1395,[1]Explore!$B:$I,8,0)</f>
        <v>Spread Emerging Markets - Country</v>
      </c>
      <c r="H1395" t="s">
        <v>347</v>
      </c>
      <c r="I1395" t="str">
        <f>+VLOOKUP(H1395,[1]Explore!$A:$I,9,0)</f>
        <v>Spread Emerging Markets - Country</v>
      </c>
      <c r="J1395" t="str">
        <f t="shared" si="42"/>
        <v>OK</v>
      </c>
      <c r="K1395" t="str">
        <f t="shared" si="43"/>
        <v>Spread Emerging Markets - Country</v>
      </c>
      <c r="L1395" t="s">
        <v>188</v>
      </c>
      <c r="M1395" t="str">
        <f>_xlfn.IFNA(VLOOKUP(K1395,'Mapping DEF'!A:C,2,0),"")</f>
        <v>Spread</v>
      </c>
      <c r="N1395" t="str">
        <f>+_xlfn.IFNA(VLOOKUP(M1395,'Mapping DEF'!B:C,2,FALSE),"")</f>
        <v>Spread</v>
      </c>
      <c r="O1395" t="s">
        <v>2755</v>
      </c>
    </row>
    <row r="1396" spans="1:15" x14ac:dyDescent="0.25">
      <c r="A1396" s="4" t="s">
        <v>2473</v>
      </c>
      <c r="B1396" s="4" t="s">
        <v>2474</v>
      </c>
      <c r="C1396" s="5">
        <v>2455</v>
      </c>
      <c r="D1396" s="6" t="s">
        <v>2475</v>
      </c>
      <c r="E1396" t="s">
        <v>1794</v>
      </c>
      <c r="F1396" t="s">
        <v>220</v>
      </c>
      <c r="G1396" t="str">
        <f>+VLOOKUP(F1396,[1]Explore!$B:$I,8,0)</f>
        <v>Corporate HY USD - Other</v>
      </c>
      <c r="H1396" t="s">
        <v>221</v>
      </c>
      <c r="I1396" t="str">
        <f>+VLOOKUP(H1396,[1]Explore!$A:$I,9,0)</f>
        <v>Corporate HY USD - Other</v>
      </c>
      <c r="J1396" t="str">
        <f t="shared" si="42"/>
        <v>OK</v>
      </c>
      <c r="K1396" t="str">
        <f t="shared" si="43"/>
        <v>Corporate HY USD - Other</v>
      </c>
      <c r="L1396" t="s">
        <v>188</v>
      </c>
      <c r="M1396" t="str">
        <f>_xlfn.IFNA(VLOOKUP(K1396,'Mapping DEF'!A:C,2,0),"")</f>
        <v>Spread</v>
      </c>
      <c r="N1396" t="str">
        <f>+_xlfn.IFNA(VLOOKUP(M1396,'Mapping DEF'!B:C,2,FALSE),"")</f>
        <v>Spread</v>
      </c>
      <c r="O1396" t="s">
        <v>2774</v>
      </c>
    </row>
    <row r="1397" spans="1:15" x14ac:dyDescent="0.25">
      <c r="A1397" s="4" t="s">
        <v>2473</v>
      </c>
      <c r="B1397" s="4" t="s">
        <v>2474</v>
      </c>
      <c r="C1397" s="5">
        <v>2455</v>
      </c>
      <c r="D1397" s="6" t="s">
        <v>2475</v>
      </c>
      <c r="E1397" t="s">
        <v>1795</v>
      </c>
      <c r="F1397" t="s">
        <v>1396</v>
      </c>
      <c r="G1397" t="str">
        <f>+VLOOKUP(F1397,[1]Explore!$B:$I,8,0)</f>
        <v>Corporate HY EUR - Other</v>
      </c>
      <c r="H1397" t="s">
        <v>855</v>
      </c>
      <c r="I1397" t="e">
        <f>+VLOOKUP(H1397,[1]Explore!$A:$I,9,0)</f>
        <v>#N/A</v>
      </c>
      <c r="J1397" t="str">
        <f t="shared" si="42"/>
        <v>OK</v>
      </c>
      <c r="K1397" t="str">
        <f t="shared" si="43"/>
        <v>Corporate HY EUR - Other</v>
      </c>
      <c r="L1397" t="s">
        <v>188</v>
      </c>
      <c r="M1397" t="str">
        <f>_xlfn.IFNA(VLOOKUP(K1397,'Mapping DEF'!A:C,2,0),"")</f>
        <v>Spread</v>
      </c>
      <c r="N1397" t="str">
        <f>+_xlfn.IFNA(VLOOKUP(M1397,'Mapping DEF'!B:C,2,FALSE),"")</f>
        <v>Spread</v>
      </c>
      <c r="O1397" t="s">
        <v>2788</v>
      </c>
    </row>
    <row r="1398" spans="1:15" x14ac:dyDescent="0.25">
      <c r="A1398" s="4" t="s">
        <v>2473</v>
      </c>
      <c r="B1398" s="4" t="s">
        <v>2474</v>
      </c>
      <c r="C1398" s="5">
        <v>2455</v>
      </c>
      <c r="D1398" s="6" t="s">
        <v>2475</v>
      </c>
      <c r="E1398" t="s">
        <v>1796</v>
      </c>
      <c r="F1398" t="s">
        <v>293</v>
      </c>
      <c r="G1398" t="e">
        <f>+VLOOKUP(F1398,[1]Explore!$B:$I,8,0)</f>
        <v>#N/A</v>
      </c>
      <c r="I1398" t="e">
        <f>+VLOOKUP(H1398,[1]Explore!$A:$I,9,0)</f>
        <v>#N/A</v>
      </c>
      <c r="J1398" t="str">
        <f t="shared" si="42"/>
        <v>BOTH #N/A</v>
      </c>
      <c r="K1398" t="str">
        <f t="shared" si="43"/>
        <v>Industrials</v>
      </c>
      <c r="L1398" t="s">
        <v>1206</v>
      </c>
      <c r="M1398" t="str">
        <f>_xlfn.IFNA(VLOOKUP(K1398,'Mapping DEF'!A:C,2,0),"")</f>
        <v>Industry Allocation</v>
      </c>
      <c r="N1398" t="str">
        <f>+_xlfn.IFNA(VLOOKUP(M1398,'Mapping DEF'!B:C,2,FALSE),"")</f>
        <v>Equity</v>
      </c>
      <c r="O1398" t="s">
        <v>2794</v>
      </c>
    </row>
    <row r="1399" spans="1:15" x14ac:dyDescent="0.25">
      <c r="A1399" s="4" t="s">
        <v>2473</v>
      </c>
      <c r="B1399" s="4" t="s">
        <v>2474</v>
      </c>
      <c r="C1399" s="5">
        <v>2455</v>
      </c>
      <c r="D1399" s="6" t="s">
        <v>2475</v>
      </c>
      <c r="E1399" t="s">
        <v>1797</v>
      </c>
      <c r="F1399" t="s">
        <v>2618</v>
      </c>
      <c r="G1399" t="str">
        <f>+VLOOKUP(F1399,[1]Explore!$B:$I,8,0)</f>
        <v>Equity Implied Volatility</v>
      </c>
      <c r="H1399" t="s">
        <v>243</v>
      </c>
      <c r="I1399" t="e">
        <f>+VLOOKUP(H1399,[1]Explore!$A:$I,9,0)</f>
        <v>#N/A</v>
      </c>
      <c r="J1399" t="str">
        <f t="shared" si="42"/>
        <v>OK</v>
      </c>
      <c r="K1399" t="str">
        <f t="shared" si="43"/>
        <v>Equity Implied Volatility</v>
      </c>
      <c r="L1399" t="s">
        <v>27</v>
      </c>
      <c r="M1399" t="str">
        <f>_xlfn.IFNA(VLOOKUP(K1399,'Mapping DEF'!A:C,2,0),"")</f>
        <v>Equity Derivatives</v>
      </c>
      <c r="N1399" t="str">
        <f>+_xlfn.IFNA(VLOOKUP(M1399,'Mapping DEF'!B:C,2,FALSE),"")</f>
        <v>Equity</v>
      </c>
      <c r="O1399" t="s">
        <v>2761</v>
      </c>
    </row>
    <row r="1400" spans="1:15" x14ac:dyDescent="0.25">
      <c r="A1400" s="4" t="s">
        <v>2476</v>
      </c>
      <c r="B1400" s="4" t="s">
        <v>2477</v>
      </c>
      <c r="C1400" s="5">
        <v>2434</v>
      </c>
      <c r="D1400" s="6" t="s">
        <v>2478</v>
      </c>
      <c r="E1400" t="s">
        <v>911</v>
      </c>
      <c r="F1400" t="s">
        <v>19</v>
      </c>
      <c r="G1400" t="str">
        <f>+VLOOKUP(F1400,[1]Explore!$B:$I,8,0)</f>
        <v>Govt USD</v>
      </c>
      <c r="H1400" t="s">
        <v>20</v>
      </c>
      <c r="I1400" t="str">
        <f>+VLOOKUP(H1400,[1]Explore!$A:$I,9,0)</f>
        <v>Govt USD</v>
      </c>
      <c r="J1400" t="str">
        <f t="shared" si="42"/>
        <v>OK</v>
      </c>
      <c r="K1400" t="str">
        <f t="shared" si="43"/>
        <v>Govt USD</v>
      </c>
      <c r="L1400" t="s">
        <v>2143</v>
      </c>
      <c r="M1400" t="str">
        <f>_xlfn.IFNA(VLOOKUP(K1400,'Mapping DEF'!A:C,2,0),"")</f>
        <v>Curve (Local)</v>
      </c>
      <c r="N1400" t="str">
        <f>+_xlfn.IFNA(VLOOKUP(M1400,'Mapping DEF'!B:C,2,FALSE),"")</f>
        <v>Term Structure</v>
      </c>
      <c r="O1400" t="s">
        <v>2790</v>
      </c>
    </row>
    <row r="1401" spans="1:15" x14ac:dyDescent="0.25">
      <c r="A1401" s="4" t="s">
        <v>2476</v>
      </c>
      <c r="B1401" s="4" t="s">
        <v>2477</v>
      </c>
      <c r="C1401" s="5">
        <v>2434</v>
      </c>
      <c r="D1401" s="6" t="s">
        <v>2478</v>
      </c>
      <c r="E1401" t="s">
        <v>1801</v>
      </c>
      <c r="F1401" t="s">
        <v>73</v>
      </c>
      <c r="G1401" t="e">
        <f>+VLOOKUP(F1401,[1]Explore!$B:$I,8,0)</f>
        <v>#N/A</v>
      </c>
      <c r="H1401" t="s">
        <v>74</v>
      </c>
      <c r="I1401" t="str">
        <f>+VLOOKUP(H1401,[1]Explore!$A:$I,9,0)</f>
        <v>Emerging Currency</v>
      </c>
      <c r="J1401" t="str">
        <f t="shared" si="42"/>
        <v>OK</v>
      </c>
      <c r="K1401" t="str">
        <f t="shared" si="43"/>
        <v>Emerging Currency</v>
      </c>
      <c r="L1401" t="s">
        <v>2140</v>
      </c>
      <c r="M1401" t="str">
        <f>_xlfn.IFNA(VLOOKUP(K1401,'Mapping DEF'!A:C,2,0),"")</f>
        <v>FX</v>
      </c>
      <c r="N1401" t="str">
        <f>+_xlfn.IFNA(VLOOKUP(M1401,'Mapping DEF'!B:C,2,FALSE),"")</f>
        <v>FX</v>
      </c>
      <c r="O1401" t="s">
        <v>2770</v>
      </c>
    </row>
    <row r="1402" spans="1:15" x14ac:dyDescent="0.25">
      <c r="A1402" s="4" t="s">
        <v>2476</v>
      </c>
      <c r="B1402" s="4" t="s">
        <v>2477</v>
      </c>
      <c r="C1402" s="5">
        <v>2434</v>
      </c>
      <c r="D1402" s="6" t="s">
        <v>2478</v>
      </c>
      <c r="E1402" t="s">
        <v>868</v>
      </c>
      <c r="F1402" t="s">
        <v>206</v>
      </c>
      <c r="G1402" t="e">
        <f>+VLOOKUP(F1402,[1]Explore!$B:$I,8,0)</f>
        <v>#N/A</v>
      </c>
      <c r="H1402" t="s">
        <v>206</v>
      </c>
      <c r="I1402" t="e">
        <f>+VLOOKUP(H1402,[1]Explore!$A:$I,9,0)</f>
        <v>#N/A</v>
      </c>
      <c r="J1402" t="str">
        <f t="shared" si="42"/>
        <v>BOTH #N/A</v>
      </c>
      <c r="K1402" t="str">
        <f t="shared" si="43"/>
        <v>Dollar Index</v>
      </c>
      <c r="L1402" t="s">
        <v>2930</v>
      </c>
      <c r="M1402" t="str">
        <f>_xlfn.IFNA(VLOOKUP(K1402,'Mapping DEF'!A:C,2,0),"")</f>
        <v>Index Level</v>
      </c>
      <c r="N1402" t="str">
        <f>+_xlfn.IFNA(VLOOKUP(M1402,'Mapping DEF'!B:C,2,FALSE),"")</f>
        <v>Other</v>
      </c>
      <c r="O1402" t="s">
        <v>2822</v>
      </c>
    </row>
    <row r="1403" spans="1:15" x14ac:dyDescent="0.25">
      <c r="A1403" s="4" t="s">
        <v>2476</v>
      </c>
      <c r="B1403" s="4" t="s">
        <v>2477</v>
      </c>
      <c r="C1403" s="5">
        <v>2434</v>
      </c>
      <c r="D1403" s="6" t="s">
        <v>2478</v>
      </c>
      <c r="E1403" t="s">
        <v>1802</v>
      </c>
      <c r="F1403" t="s">
        <v>183</v>
      </c>
      <c r="G1403" t="str">
        <f>+VLOOKUP(F1403,[1]Explore!$B:$I,8,0)</f>
        <v>Equity Implied Volatility</v>
      </c>
      <c r="H1403" t="s">
        <v>184</v>
      </c>
      <c r="I1403" t="str">
        <f>+VLOOKUP(H1403,[1]Explore!$A:$I,9,0)</f>
        <v>Equity Implied Volatility</v>
      </c>
      <c r="J1403" t="str">
        <f t="shared" si="42"/>
        <v>OK</v>
      </c>
      <c r="K1403" t="str">
        <f t="shared" si="43"/>
        <v>Equity Implied Volatility</v>
      </c>
      <c r="L1403" t="s">
        <v>27</v>
      </c>
      <c r="M1403" t="str">
        <f>_xlfn.IFNA(VLOOKUP(K1403,'Mapping DEF'!A:C,2,0),"")</f>
        <v>Equity Derivatives</v>
      </c>
      <c r="N1403" t="str">
        <f>+_xlfn.IFNA(VLOOKUP(M1403,'Mapping DEF'!B:C,2,FALSE),"")</f>
        <v>Equity</v>
      </c>
      <c r="O1403" t="s">
        <v>2821</v>
      </c>
    </row>
    <row r="1404" spans="1:15" x14ac:dyDescent="0.25">
      <c r="A1404" s="4" t="s">
        <v>2476</v>
      </c>
      <c r="B1404" s="4" t="s">
        <v>2477</v>
      </c>
      <c r="C1404" s="5">
        <v>2434</v>
      </c>
      <c r="D1404" s="6" t="s">
        <v>2478</v>
      </c>
      <c r="E1404" t="s">
        <v>654</v>
      </c>
      <c r="F1404" t="s">
        <v>191</v>
      </c>
      <c r="G1404" t="e">
        <f>+VLOOKUP(F1404,[1]Explore!$B:$I,8,0)</f>
        <v>#N/A</v>
      </c>
      <c r="H1404" t="s">
        <v>192</v>
      </c>
      <c r="I1404" t="e">
        <f>+VLOOKUP(H1404,[1]Explore!$A:$I,9,0)</f>
        <v>#N/A</v>
      </c>
      <c r="J1404" t="str">
        <f t="shared" si="42"/>
        <v>BOTH #N/A</v>
      </c>
      <c r="K1404" t="str">
        <f t="shared" si="43"/>
        <v xml:space="preserve">Time </v>
      </c>
      <c r="L1404" t="s">
        <v>2138</v>
      </c>
      <c r="M1404" t="str">
        <f>_xlfn.IFNA(VLOOKUP(K1404,'Mapping DEF'!A:C,2,0),"")</f>
        <v>Time</v>
      </c>
      <c r="N1404" t="str">
        <f>+_xlfn.IFNA(VLOOKUP(M1404,'Mapping DEF'!B:C,2,FALSE),"")</f>
        <v>Other</v>
      </c>
      <c r="O1404" t="s">
        <v>2762</v>
      </c>
    </row>
    <row r="1405" spans="1:15" x14ac:dyDescent="0.25">
      <c r="A1405" s="4" t="s">
        <v>2476</v>
      </c>
      <c r="B1405" s="4" t="s">
        <v>2477</v>
      </c>
      <c r="C1405" s="5">
        <v>2434</v>
      </c>
      <c r="D1405" s="6" t="s">
        <v>2478</v>
      </c>
      <c r="E1405" t="s">
        <v>1803</v>
      </c>
      <c r="F1405" t="s">
        <v>1804</v>
      </c>
      <c r="G1405" t="str">
        <f>+VLOOKUP(F1405,[1]Explore!$B:$I,8,0)</f>
        <v>Local Styles</v>
      </c>
      <c r="H1405" t="s">
        <v>1805</v>
      </c>
      <c r="I1405" t="str">
        <f>+VLOOKUP(H1405,[1]Explore!$A:$I,9,0)</f>
        <v>Local Styles</v>
      </c>
      <c r="J1405" t="str">
        <f t="shared" si="42"/>
        <v>OK</v>
      </c>
      <c r="K1405" t="str">
        <f t="shared" si="43"/>
        <v>Local Styles</v>
      </c>
      <c r="L1405" t="s">
        <v>2145</v>
      </c>
      <c r="M1405" t="str">
        <f>_xlfn.IFNA(VLOOKUP(K1405,'Mapping DEF'!A:C,2,0),"")</f>
        <v>Style</v>
      </c>
      <c r="N1405" t="str">
        <f>+_xlfn.IFNA(VLOOKUP(M1405,'Mapping DEF'!B:C,2,FALSE),"")</f>
        <v>Equity</v>
      </c>
      <c r="O1405" t="s">
        <v>2797</v>
      </c>
    </row>
    <row r="1406" spans="1:15" x14ac:dyDescent="0.25">
      <c r="A1406" s="4" t="s">
        <v>2476</v>
      </c>
      <c r="B1406" s="4" t="s">
        <v>2477</v>
      </c>
      <c r="C1406" s="5">
        <v>2434</v>
      </c>
      <c r="D1406" s="6" t="s">
        <v>2478</v>
      </c>
      <c r="E1406" t="s">
        <v>1806</v>
      </c>
      <c r="F1406" t="s">
        <v>346</v>
      </c>
      <c r="G1406" t="str">
        <f>+VLOOKUP(F1406,[1]Explore!$B:$I,8,0)</f>
        <v>Spread Emerging Markets - Country</v>
      </c>
      <c r="H1406" t="s">
        <v>347</v>
      </c>
      <c r="I1406" t="str">
        <f>+VLOOKUP(H1406,[1]Explore!$A:$I,9,0)</f>
        <v>Spread Emerging Markets - Country</v>
      </c>
      <c r="J1406" t="str">
        <f t="shared" si="42"/>
        <v>OK</v>
      </c>
      <c r="K1406" t="str">
        <f t="shared" si="43"/>
        <v>Spread Emerging Markets - Country</v>
      </c>
      <c r="L1406" t="s">
        <v>188</v>
      </c>
      <c r="M1406" t="str">
        <f>_xlfn.IFNA(VLOOKUP(K1406,'Mapping DEF'!A:C,2,0),"")</f>
        <v>Spread</v>
      </c>
      <c r="N1406" t="str">
        <f>+_xlfn.IFNA(VLOOKUP(M1406,'Mapping DEF'!B:C,2,FALSE),"")</f>
        <v>Spread</v>
      </c>
      <c r="O1406" t="s">
        <v>2752</v>
      </c>
    </row>
    <row r="1407" spans="1:15" x14ac:dyDescent="0.25">
      <c r="A1407" s="4" t="s">
        <v>2476</v>
      </c>
      <c r="B1407" s="4" t="s">
        <v>2477</v>
      </c>
      <c r="C1407" s="5">
        <v>2434</v>
      </c>
      <c r="D1407" s="6" t="s">
        <v>2478</v>
      </c>
      <c r="E1407" t="s">
        <v>1807</v>
      </c>
      <c r="F1407" t="s">
        <v>349</v>
      </c>
      <c r="G1407" t="str">
        <f>+VLOOKUP(F1407,[1]Explore!$B:$I,8,0)</f>
        <v>Corporate HY USD - Industry</v>
      </c>
      <c r="H1407" t="s">
        <v>350</v>
      </c>
      <c r="I1407" t="str">
        <f>+VLOOKUP(H1407,[1]Explore!$A:$I,9,0)</f>
        <v>Corporate HY USD - Industry</v>
      </c>
      <c r="J1407" t="str">
        <f t="shared" si="42"/>
        <v>OK</v>
      </c>
      <c r="K1407" t="str">
        <f t="shared" si="43"/>
        <v>Corporate HY USD - Industry</v>
      </c>
      <c r="L1407" t="s">
        <v>188</v>
      </c>
      <c r="M1407" t="str">
        <f>_xlfn.IFNA(VLOOKUP(K1407,'Mapping DEF'!A:C,2,0),"")</f>
        <v>Spread</v>
      </c>
      <c r="N1407" t="str">
        <f>+_xlfn.IFNA(VLOOKUP(M1407,'Mapping DEF'!B:C,2,FALSE),"")</f>
        <v>Spread</v>
      </c>
      <c r="O1407" t="s">
        <v>2841</v>
      </c>
    </row>
    <row r="1408" spans="1:15" x14ac:dyDescent="0.25">
      <c r="A1408" s="4" t="s">
        <v>2476</v>
      </c>
      <c r="B1408" s="4" t="s">
        <v>2477</v>
      </c>
      <c r="C1408" s="5">
        <v>2434</v>
      </c>
      <c r="D1408" s="6" t="s">
        <v>2478</v>
      </c>
      <c r="E1408" t="s">
        <v>1808</v>
      </c>
      <c r="F1408" t="s">
        <v>430</v>
      </c>
      <c r="G1408" t="str">
        <f>+VLOOKUP(F1408,[1]Explore!$B:$I,8,0)</f>
        <v>Other - Index</v>
      </c>
      <c r="H1408" t="s">
        <v>431</v>
      </c>
      <c r="I1408" t="str">
        <f>+VLOOKUP(H1408,[1]Explore!$A:$I,9,0)</f>
        <v>Other - Index</v>
      </c>
      <c r="J1408" t="str">
        <f t="shared" si="42"/>
        <v>OK</v>
      </c>
      <c r="K1408" t="str">
        <f t="shared" si="43"/>
        <v>Other - Index</v>
      </c>
      <c r="L1408" t="s">
        <v>27</v>
      </c>
      <c r="M1408" t="str">
        <f>_xlfn.IFNA(VLOOKUP(K1408,'Mapping DEF'!A:C,2,0),"")</f>
        <v>Other</v>
      </c>
      <c r="N1408" t="str">
        <f>+_xlfn.IFNA(VLOOKUP(M1408,'Mapping DEF'!B:C,2,FALSE),"")</f>
        <v>Other</v>
      </c>
      <c r="O1408" t="s">
        <v>2858</v>
      </c>
    </row>
    <row r="1409" spans="1:15" x14ac:dyDescent="0.25">
      <c r="A1409" s="4" t="s">
        <v>2479</v>
      </c>
      <c r="B1409" s="4" t="s">
        <v>2480</v>
      </c>
      <c r="C1409" s="5">
        <v>2436</v>
      </c>
      <c r="D1409" s="6" t="s">
        <v>2481</v>
      </c>
      <c r="E1409" t="s">
        <v>1809</v>
      </c>
      <c r="F1409" t="s">
        <v>6</v>
      </c>
      <c r="G1409" t="str">
        <f>+VLOOKUP(F1409,[1]Explore!$B:$I,8,0)</f>
        <v>Govt USD</v>
      </c>
      <c r="H1409" t="s">
        <v>7</v>
      </c>
      <c r="I1409" t="str">
        <f>+VLOOKUP(H1409,[1]Explore!$A:$I,9,0)</f>
        <v>Govt USD</v>
      </c>
      <c r="J1409" t="str">
        <f t="shared" si="42"/>
        <v>OK</v>
      </c>
      <c r="K1409" t="str">
        <f t="shared" si="43"/>
        <v>Govt USD</v>
      </c>
      <c r="L1409" t="s">
        <v>2143</v>
      </c>
      <c r="M1409" t="str">
        <f>_xlfn.IFNA(VLOOKUP(K1409,'Mapping DEF'!A:C,2,0),"")</f>
        <v>Curve (Local)</v>
      </c>
      <c r="N1409" t="str">
        <f>+_xlfn.IFNA(VLOOKUP(M1409,'Mapping DEF'!B:C,2,FALSE),"")</f>
        <v>Term Structure</v>
      </c>
      <c r="O1409" t="s">
        <v>2769</v>
      </c>
    </row>
    <row r="1410" spans="1:15" x14ac:dyDescent="0.25">
      <c r="A1410" s="4" t="s">
        <v>2479</v>
      </c>
      <c r="B1410" s="4" t="s">
        <v>2480</v>
      </c>
      <c r="C1410" s="5">
        <v>2436</v>
      </c>
      <c r="D1410" s="6" t="s">
        <v>2481</v>
      </c>
      <c r="E1410" t="s">
        <v>1181</v>
      </c>
      <c r="F1410" t="s">
        <v>19</v>
      </c>
      <c r="G1410" t="str">
        <f>+VLOOKUP(F1410,[1]Explore!$B:$I,8,0)</f>
        <v>Govt USD</v>
      </c>
      <c r="H1410" t="s">
        <v>20</v>
      </c>
      <c r="I1410" t="str">
        <f>+VLOOKUP(H1410,[1]Explore!$A:$I,9,0)</f>
        <v>Govt USD</v>
      </c>
      <c r="J1410" t="str">
        <f t="shared" si="42"/>
        <v>OK</v>
      </c>
      <c r="K1410" t="str">
        <f t="shared" si="43"/>
        <v>Govt USD</v>
      </c>
      <c r="L1410" t="s">
        <v>2143</v>
      </c>
      <c r="M1410" t="str">
        <f>_xlfn.IFNA(VLOOKUP(K1410,'Mapping DEF'!A:C,2,0),"")</f>
        <v>Curve (Local)</v>
      </c>
      <c r="N1410" t="str">
        <f>+_xlfn.IFNA(VLOOKUP(M1410,'Mapping DEF'!B:C,2,FALSE),"")</f>
        <v>Term Structure</v>
      </c>
      <c r="O1410" t="s">
        <v>2797</v>
      </c>
    </row>
    <row r="1411" spans="1:15" x14ac:dyDescent="0.25">
      <c r="A1411" s="4" t="s">
        <v>2479</v>
      </c>
      <c r="B1411" s="4" t="s">
        <v>2480</v>
      </c>
      <c r="C1411" s="5">
        <v>2436</v>
      </c>
      <c r="D1411" s="6" t="s">
        <v>2481</v>
      </c>
      <c r="E1411" t="s">
        <v>1357</v>
      </c>
      <c r="F1411" t="s">
        <v>258</v>
      </c>
      <c r="G1411" t="str">
        <f>+VLOOKUP(F1411,[1]Explore!$B:$I,8,0)</f>
        <v>USD Inflation</v>
      </c>
      <c r="H1411" t="s">
        <v>259</v>
      </c>
      <c r="I1411" t="str">
        <f>+VLOOKUP(H1411,[1]Explore!$A:$I,9,0)</f>
        <v>USD Inflation</v>
      </c>
      <c r="J1411" t="str">
        <f t="shared" ref="J1411:J1474" si="44">IF(AND(ISNA(G1411),ISNA(I1411)),"BOTH #N/A","OK")</f>
        <v>OK</v>
      </c>
      <c r="K1411" t="str">
        <f t="shared" ref="K1411:K1474" si="45">IFERROR(I1411, IFERROR(G1411, L1411))</f>
        <v>USD Inflation</v>
      </c>
      <c r="L1411" t="s">
        <v>2143</v>
      </c>
      <c r="M1411" t="str">
        <f>_xlfn.IFNA(VLOOKUP(K1411,'Mapping DEF'!A:C,2,0),"")</f>
        <v>Inflation</v>
      </c>
      <c r="N1411" t="str">
        <f>+_xlfn.IFNA(VLOOKUP(M1411,'Mapping DEF'!B:C,2,FALSE),"")</f>
        <v>Other</v>
      </c>
      <c r="O1411" t="s">
        <v>2769</v>
      </c>
    </row>
    <row r="1412" spans="1:15" x14ac:dyDescent="0.25">
      <c r="A1412" s="4" t="s">
        <v>2479</v>
      </c>
      <c r="B1412" s="4" t="s">
        <v>2480</v>
      </c>
      <c r="C1412" s="5">
        <v>2436</v>
      </c>
      <c r="D1412" s="6" t="s">
        <v>2481</v>
      </c>
      <c r="E1412" t="s">
        <v>1488</v>
      </c>
      <c r="F1412" t="s">
        <v>271</v>
      </c>
      <c r="G1412" t="str">
        <f>+VLOOKUP(F1412,[1]Explore!$B:$I,8,0)</f>
        <v>Corporate IG USD - Other</v>
      </c>
      <c r="H1412" t="s">
        <v>272</v>
      </c>
      <c r="I1412" t="str">
        <f>+VLOOKUP(H1412,[1]Explore!$A:$I,9,0)</f>
        <v>Corporate IG USD - Other</v>
      </c>
      <c r="J1412" t="str">
        <f t="shared" si="44"/>
        <v>OK</v>
      </c>
      <c r="K1412" t="str">
        <f t="shared" si="45"/>
        <v>Corporate IG USD - Other</v>
      </c>
      <c r="L1412" t="s">
        <v>2650</v>
      </c>
      <c r="M1412" t="str">
        <f>_xlfn.IFNA(VLOOKUP(K1412,'Mapping DEF'!A:C,2,0),"")</f>
        <v>Spread</v>
      </c>
      <c r="N1412" t="str">
        <f>+_xlfn.IFNA(VLOOKUP(M1412,'Mapping DEF'!B:C,2,FALSE),"")</f>
        <v>Spread</v>
      </c>
      <c r="O1412" t="s">
        <v>2779</v>
      </c>
    </row>
    <row r="1413" spans="1:15" x14ac:dyDescent="0.25">
      <c r="A1413" s="4" t="s">
        <v>2479</v>
      </c>
      <c r="B1413" s="4" t="s">
        <v>2480</v>
      </c>
      <c r="C1413" s="5">
        <v>2436</v>
      </c>
      <c r="D1413" s="6" t="s">
        <v>2481</v>
      </c>
      <c r="E1413" t="s">
        <v>1810</v>
      </c>
      <c r="F1413" t="s">
        <v>2156</v>
      </c>
      <c r="G1413" t="str">
        <f>+VLOOKUP(F1413,[1]Explore!$B:$I,8,0)</f>
        <v>Equity Implied Volatility</v>
      </c>
      <c r="H1413" t="s">
        <v>141</v>
      </c>
      <c r="I1413" t="str">
        <f>+VLOOKUP(H1413,[1]Explore!$A:$I,9,0)</f>
        <v>Equity Implied Volatility</v>
      </c>
      <c r="J1413" t="str">
        <f t="shared" si="44"/>
        <v>OK</v>
      </c>
      <c r="K1413" t="str">
        <f t="shared" si="45"/>
        <v>Equity Implied Volatility</v>
      </c>
      <c r="L1413" t="s">
        <v>27</v>
      </c>
      <c r="M1413" t="str">
        <f>_xlfn.IFNA(VLOOKUP(K1413,'Mapping DEF'!A:C,2,0),"")</f>
        <v>Equity Derivatives</v>
      </c>
      <c r="N1413" t="str">
        <f>+_xlfn.IFNA(VLOOKUP(M1413,'Mapping DEF'!B:C,2,FALSE),"")</f>
        <v>Equity</v>
      </c>
      <c r="O1413" t="s">
        <v>2794</v>
      </c>
    </row>
    <row r="1414" spans="1:15" x14ac:dyDescent="0.25">
      <c r="A1414" s="4" t="s">
        <v>2479</v>
      </c>
      <c r="B1414" s="4" t="s">
        <v>2480</v>
      </c>
      <c r="C1414" s="5">
        <v>2436</v>
      </c>
      <c r="D1414" s="6" t="s">
        <v>2481</v>
      </c>
      <c r="E1414" t="s">
        <v>557</v>
      </c>
      <c r="F1414" t="s">
        <v>392</v>
      </c>
      <c r="G1414" t="str">
        <f>+VLOOKUP(F1414,[1]Explore!$B:$I,8,0)</f>
        <v>Equity Implied Volatility</v>
      </c>
      <c r="H1414" t="s">
        <v>392</v>
      </c>
      <c r="I1414" t="str">
        <f>+VLOOKUP(H1414,[1]Explore!$A:$I,9,0)</f>
        <v>Equity Implied Volatility</v>
      </c>
      <c r="J1414" t="str">
        <f t="shared" si="44"/>
        <v>OK</v>
      </c>
      <c r="K1414" t="str">
        <f t="shared" si="45"/>
        <v>Equity Implied Volatility</v>
      </c>
      <c r="L1414" t="s">
        <v>27</v>
      </c>
      <c r="M1414" t="str">
        <f>_xlfn.IFNA(VLOOKUP(K1414,'Mapping DEF'!A:C,2,0),"")</f>
        <v>Equity Derivatives</v>
      </c>
      <c r="N1414" t="str">
        <f>+_xlfn.IFNA(VLOOKUP(M1414,'Mapping DEF'!B:C,2,FALSE),"")</f>
        <v>Equity</v>
      </c>
      <c r="O1414" t="s">
        <v>2794</v>
      </c>
    </row>
    <row r="1415" spans="1:15" x14ac:dyDescent="0.25">
      <c r="A1415" s="4" t="s">
        <v>2479</v>
      </c>
      <c r="B1415" s="4" t="s">
        <v>2480</v>
      </c>
      <c r="C1415" s="5">
        <v>2436</v>
      </c>
      <c r="D1415" s="6" t="s">
        <v>2481</v>
      </c>
      <c r="E1415" t="s">
        <v>654</v>
      </c>
      <c r="F1415" t="s">
        <v>191</v>
      </c>
      <c r="G1415" t="e">
        <f>+VLOOKUP(F1415,[1]Explore!$B:$I,8,0)</f>
        <v>#N/A</v>
      </c>
      <c r="H1415" t="s">
        <v>192</v>
      </c>
      <c r="I1415" t="e">
        <f>+VLOOKUP(H1415,[1]Explore!$A:$I,9,0)</f>
        <v>#N/A</v>
      </c>
      <c r="J1415" t="str">
        <f t="shared" si="44"/>
        <v>BOTH #N/A</v>
      </c>
      <c r="K1415" t="str">
        <f t="shared" si="45"/>
        <v xml:space="preserve">Time </v>
      </c>
      <c r="L1415" t="s">
        <v>2138</v>
      </c>
      <c r="M1415" t="str">
        <f>_xlfn.IFNA(VLOOKUP(K1415,'Mapping DEF'!A:C,2,0),"")</f>
        <v>Time</v>
      </c>
      <c r="N1415" t="str">
        <f>+_xlfn.IFNA(VLOOKUP(M1415,'Mapping DEF'!B:C,2,FALSE),"")</f>
        <v>Other</v>
      </c>
      <c r="O1415" t="s">
        <v>2762</v>
      </c>
    </row>
    <row r="1416" spans="1:15" x14ac:dyDescent="0.25">
      <c r="A1416" s="4" t="s">
        <v>2479</v>
      </c>
      <c r="B1416" s="4" t="s">
        <v>2480</v>
      </c>
      <c r="C1416" s="5">
        <v>2436</v>
      </c>
      <c r="D1416" s="6" t="s">
        <v>2481</v>
      </c>
      <c r="E1416" t="s">
        <v>1811</v>
      </c>
      <c r="F1416" t="s">
        <v>2176</v>
      </c>
      <c r="G1416" t="str">
        <f>+VLOOKUP(F1416,[1]Explore!$B:$I,8,0)</f>
        <v>Industrials</v>
      </c>
      <c r="H1416" t="s">
        <v>113</v>
      </c>
      <c r="I1416" t="e">
        <f>+VLOOKUP(H1416,[1]Explore!$A:$I,9,0)</f>
        <v>#N/A</v>
      </c>
      <c r="J1416" t="str">
        <f t="shared" si="44"/>
        <v>OK</v>
      </c>
      <c r="K1416" t="str">
        <f t="shared" si="45"/>
        <v>Industrials</v>
      </c>
      <c r="L1416" t="s">
        <v>2141</v>
      </c>
      <c r="M1416" t="str">
        <f>_xlfn.IFNA(VLOOKUP(K1416,'Mapping DEF'!A:C,2,0),"")</f>
        <v>Industry Allocation</v>
      </c>
      <c r="N1416" t="str">
        <f>+_xlfn.IFNA(VLOOKUP(M1416,'Mapping DEF'!B:C,2,FALSE),"")</f>
        <v>Equity</v>
      </c>
      <c r="O1416" t="s">
        <v>2770</v>
      </c>
    </row>
    <row r="1417" spans="1:15" x14ac:dyDescent="0.25">
      <c r="A1417" s="4" t="s">
        <v>2479</v>
      </c>
      <c r="B1417" s="4" t="s">
        <v>2480</v>
      </c>
      <c r="C1417" s="5">
        <v>2436</v>
      </c>
      <c r="D1417" s="6" t="s">
        <v>2481</v>
      </c>
      <c r="E1417" t="s">
        <v>1812</v>
      </c>
      <c r="F1417" t="s">
        <v>1813</v>
      </c>
      <c r="G1417" t="e">
        <f>+VLOOKUP(F1417,[1]Explore!$B:$I,8,0)</f>
        <v>#N/A</v>
      </c>
      <c r="H1417" t="s">
        <v>1814</v>
      </c>
      <c r="I1417" t="e">
        <f>+VLOOKUP(H1417,[1]Explore!$A:$I,9,0)</f>
        <v>#N/A</v>
      </c>
      <c r="J1417" t="str">
        <f t="shared" si="44"/>
        <v>BOTH #N/A</v>
      </c>
      <c r="K1417" t="str">
        <f t="shared" si="45"/>
        <v>Industrials</v>
      </c>
      <c r="L1417" t="s">
        <v>1206</v>
      </c>
      <c r="M1417" t="str">
        <f>_xlfn.IFNA(VLOOKUP(K1417,'Mapping DEF'!A:C,2,0),"")</f>
        <v>Industry Allocation</v>
      </c>
      <c r="N1417" t="str">
        <f>+_xlfn.IFNA(VLOOKUP(M1417,'Mapping DEF'!B:C,2,FALSE),"")</f>
        <v>Equity</v>
      </c>
      <c r="O1417" t="s">
        <v>2770</v>
      </c>
    </row>
    <row r="1418" spans="1:15" x14ac:dyDescent="0.25">
      <c r="A1418" s="4" t="s">
        <v>2479</v>
      </c>
      <c r="B1418" s="4" t="s">
        <v>2480</v>
      </c>
      <c r="C1418" s="5">
        <v>2436</v>
      </c>
      <c r="D1418" s="6" t="s">
        <v>2481</v>
      </c>
      <c r="E1418" t="s">
        <v>1815</v>
      </c>
      <c r="F1418" t="s">
        <v>220</v>
      </c>
      <c r="G1418" t="str">
        <f>+VLOOKUP(F1418,[1]Explore!$B:$I,8,0)</f>
        <v>Corporate HY USD - Other</v>
      </c>
      <c r="H1418" t="s">
        <v>221</v>
      </c>
      <c r="I1418" t="str">
        <f>+VLOOKUP(H1418,[1]Explore!$A:$I,9,0)</f>
        <v>Corporate HY USD - Other</v>
      </c>
      <c r="J1418" t="str">
        <f t="shared" si="44"/>
        <v>OK</v>
      </c>
      <c r="K1418" t="str">
        <f t="shared" si="45"/>
        <v>Corporate HY USD - Other</v>
      </c>
      <c r="L1418" t="s">
        <v>188</v>
      </c>
      <c r="M1418" t="str">
        <f>_xlfn.IFNA(VLOOKUP(K1418,'Mapping DEF'!A:C,2,0),"")</f>
        <v>Spread</v>
      </c>
      <c r="N1418" t="str">
        <f>+_xlfn.IFNA(VLOOKUP(M1418,'Mapping DEF'!B:C,2,FALSE),"")</f>
        <v>Spread</v>
      </c>
      <c r="O1418" t="s">
        <v>2829</v>
      </c>
    </row>
    <row r="1419" spans="1:15" x14ac:dyDescent="0.25">
      <c r="A1419" s="4" t="s">
        <v>2482</v>
      </c>
      <c r="B1419" s="4" t="s">
        <v>2483</v>
      </c>
      <c r="C1419" s="5">
        <v>2435</v>
      </c>
      <c r="D1419" s="6" t="s">
        <v>2484</v>
      </c>
      <c r="E1419" t="s">
        <v>1816</v>
      </c>
      <c r="F1419" t="s">
        <v>6</v>
      </c>
      <c r="G1419" t="str">
        <f>+VLOOKUP(F1419,[1]Explore!$B:$I,8,0)</f>
        <v>Govt USD</v>
      </c>
      <c r="H1419" t="s">
        <v>7</v>
      </c>
      <c r="I1419" t="str">
        <f>+VLOOKUP(H1419,[1]Explore!$A:$I,9,0)</f>
        <v>Govt USD</v>
      </c>
      <c r="J1419" t="str">
        <f t="shared" si="44"/>
        <v>OK</v>
      </c>
      <c r="K1419" t="str">
        <f t="shared" si="45"/>
        <v>Govt USD</v>
      </c>
      <c r="L1419" t="s">
        <v>2143</v>
      </c>
      <c r="M1419" t="str">
        <f>_xlfn.IFNA(VLOOKUP(K1419,'Mapping DEF'!A:C,2,0),"")</f>
        <v>Curve (Local)</v>
      </c>
      <c r="N1419" t="str">
        <f>+_xlfn.IFNA(VLOOKUP(M1419,'Mapping DEF'!B:C,2,FALSE),"")</f>
        <v>Term Structure</v>
      </c>
      <c r="O1419" t="s">
        <v>2782</v>
      </c>
    </row>
    <row r="1420" spans="1:15" x14ac:dyDescent="0.25">
      <c r="A1420" s="4" t="s">
        <v>2482</v>
      </c>
      <c r="B1420" s="4" t="s">
        <v>2483</v>
      </c>
      <c r="C1420" s="5">
        <v>2435</v>
      </c>
      <c r="D1420" s="6" t="s">
        <v>2484</v>
      </c>
      <c r="E1420" t="s">
        <v>911</v>
      </c>
      <c r="F1420" t="s">
        <v>19</v>
      </c>
      <c r="G1420" t="str">
        <f>+VLOOKUP(F1420,[1]Explore!$B:$I,8,0)</f>
        <v>Govt USD</v>
      </c>
      <c r="H1420" t="s">
        <v>20</v>
      </c>
      <c r="I1420" t="str">
        <f>+VLOOKUP(H1420,[1]Explore!$A:$I,9,0)</f>
        <v>Govt USD</v>
      </c>
      <c r="J1420" t="str">
        <f t="shared" si="44"/>
        <v>OK</v>
      </c>
      <c r="K1420" t="str">
        <f t="shared" si="45"/>
        <v>Govt USD</v>
      </c>
      <c r="L1420" t="s">
        <v>2143</v>
      </c>
      <c r="M1420" t="str">
        <f>_xlfn.IFNA(VLOOKUP(K1420,'Mapping DEF'!A:C,2,0),"")</f>
        <v>Curve (Local)</v>
      </c>
      <c r="N1420" t="str">
        <f>+_xlfn.IFNA(VLOOKUP(M1420,'Mapping DEF'!B:C,2,FALSE),"")</f>
        <v>Term Structure</v>
      </c>
      <c r="O1420" t="s">
        <v>2790</v>
      </c>
    </row>
    <row r="1421" spans="1:15" x14ac:dyDescent="0.25">
      <c r="A1421" s="4" t="s">
        <v>2482</v>
      </c>
      <c r="B1421" s="4" t="s">
        <v>2483</v>
      </c>
      <c r="C1421" s="5">
        <v>2435</v>
      </c>
      <c r="D1421" s="6" t="s">
        <v>2484</v>
      </c>
      <c r="E1421" t="s">
        <v>1583</v>
      </c>
      <c r="F1421" t="s">
        <v>1344</v>
      </c>
      <c r="G1421" t="str">
        <f>+VLOOKUP(F1421,[1]Explore!$B:$I,8,0)</f>
        <v>Spread Govt Peripheral EUR (ex ITA)</v>
      </c>
      <c r="H1421" t="s">
        <v>1345</v>
      </c>
      <c r="I1421" t="str">
        <f>+VLOOKUP(H1421,[1]Explore!$A:$I,9,0)</f>
        <v>Spread Govt Peripheral EUR (ex ITA)</v>
      </c>
      <c r="J1421" t="str">
        <f t="shared" si="44"/>
        <v>OK</v>
      </c>
      <c r="K1421" t="str">
        <f t="shared" si="45"/>
        <v>Spread Govt Peripheral EUR (ex ITA)</v>
      </c>
      <c r="L1421" t="s">
        <v>188</v>
      </c>
      <c r="M1421" t="str">
        <f>_xlfn.IFNA(VLOOKUP(K1421,'Mapping DEF'!A:C,2,0),"")</f>
        <v>Spread Govt</v>
      </c>
      <c r="N1421" t="str">
        <f>+_xlfn.IFNA(VLOOKUP(M1421,'Mapping DEF'!B:C,2,FALSE),"")</f>
        <v>Term Structure</v>
      </c>
      <c r="O1421" t="s">
        <v>2779</v>
      </c>
    </row>
    <row r="1422" spans="1:15" x14ac:dyDescent="0.25">
      <c r="A1422" s="4" t="s">
        <v>2482</v>
      </c>
      <c r="B1422" s="4" t="s">
        <v>2483</v>
      </c>
      <c r="C1422" s="5">
        <v>2435</v>
      </c>
      <c r="D1422" s="6" t="s">
        <v>2484</v>
      </c>
      <c r="E1422" t="s">
        <v>1441</v>
      </c>
      <c r="F1422" t="s">
        <v>1442</v>
      </c>
      <c r="G1422" t="str">
        <f>+VLOOKUP(F1422,[1]Explore!$B:$I,8,0)</f>
        <v>Govt EUR (Ger)</v>
      </c>
      <c r="H1422" t="s">
        <v>1443</v>
      </c>
      <c r="I1422" t="str">
        <f>+VLOOKUP(H1422,[1]Explore!$A:$I,9,0)</f>
        <v>Govt EUR (Ger)</v>
      </c>
      <c r="J1422" t="str">
        <f t="shared" si="44"/>
        <v>OK</v>
      </c>
      <c r="K1422" t="str">
        <f t="shared" si="45"/>
        <v>Govt EUR (Ger)</v>
      </c>
      <c r="L1422" t="s">
        <v>2143</v>
      </c>
      <c r="M1422" t="str">
        <f>_xlfn.IFNA(VLOOKUP(K1422,'Mapping DEF'!A:C,2,0),"")</f>
        <v>Curve (Local)</v>
      </c>
      <c r="N1422" t="str">
        <f>+_xlfn.IFNA(VLOOKUP(M1422,'Mapping DEF'!B:C,2,FALSE),"")</f>
        <v>Term Structure</v>
      </c>
      <c r="O1422" t="s">
        <v>2782</v>
      </c>
    </row>
    <row r="1423" spans="1:15" x14ac:dyDescent="0.25">
      <c r="A1423" s="4" t="s">
        <v>2482</v>
      </c>
      <c r="B1423" s="4" t="s">
        <v>2483</v>
      </c>
      <c r="C1423" s="5">
        <v>2435</v>
      </c>
      <c r="D1423" s="6" t="s">
        <v>2484</v>
      </c>
      <c r="E1423" t="s">
        <v>1755</v>
      </c>
      <c r="F1423" t="s">
        <v>315</v>
      </c>
      <c r="G1423" t="str">
        <f>+VLOOKUP(F1423,[1]Explore!$B:$I,8,0)</f>
        <v>Govt EUR (Ger)</v>
      </c>
      <c r="H1423" t="s">
        <v>316</v>
      </c>
      <c r="I1423" t="str">
        <f>+VLOOKUP(H1423,[1]Explore!$A:$I,9,0)</f>
        <v>Govt EUR (Ger)</v>
      </c>
      <c r="J1423" t="str">
        <f t="shared" si="44"/>
        <v>OK</v>
      </c>
      <c r="K1423" t="str">
        <f t="shared" si="45"/>
        <v>Govt EUR (Ger)</v>
      </c>
      <c r="L1423" t="s">
        <v>2143</v>
      </c>
      <c r="M1423" t="str">
        <f>_xlfn.IFNA(VLOOKUP(K1423,'Mapping DEF'!A:C,2,0),"")</f>
        <v>Curve (Local)</v>
      </c>
      <c r="N1423" t="str">
        <f>+_xlfn.IFNA(VLOOKUP(M1423,'Mapping DEF'!B:C,2,FALSE),"")</f>
        <v>Term Structure</v>
      </c>
      <c r="O1423" t="s">
        <v>2778</v>
      </c>
    </row>
    <row r="1424" spans="1:15" x14ac:dyDescent="0.25">
      <c r="A1424" s="4" t="s">
        <v>2482</v>
      </c>
      <c r="B1424" s="4" t="s">
        <v>2483</v>
      </c>
      <c r="C1424" s="5">
        <v>2435</v>
      </c>
      <c r="D1424" s="6" t="s">
        <v>2484</v>
      </c>
      <c r="E1424" t="s">
        <v>964</v>
      </c>
      <c r="F1424" t="s">
        <v>2942</v>
      </c>
      <c r="G1424" t="str">
        <f>+VLOOKUP(F1424,[1]Explore!$B:$I,8,0)</f>
        <v>EUR</v>
      </c>
      <c r="H1424" t="s">
        <v>173</v>
      </c>
      <c r="I1424" t="str">
        <f>+VLOOKUP(H1424,[1]Explore!$A:$I,9,0)</f>
        <v>EUR</v>
      </c>
      <c r="J1424" t="str">
        <f t="shared" si="44"/>
        <v>OK</v>
      </c>
      <c r="K1424" t="str">
        <f t="shared" si="45"/>
        <v>EUR</v>
      </c>
      <c r="L1424" t="s">
        <v>2140</v>
      </c>
      <c r="M1424" t="str">
        <f>_xlfn.IFNA(VLOOKUP(K1424,'Mapping DEF'!A:C,2,0),"")</f>
        <v>FX</v>
      </c>
      <c r="N1424" t="str">
        <f>+_xlfn.IFNA(VLOOKUP(M1424,'Mapping DEF'!B:C,2,FALSE),"")</f>
        <v>FX</v>
      </c>
      <c r="O1424" t="s">
        <v>2776</v>
      </c>
    </row>
    <row r="1425" spans="1:15" x14ac:dyDescent="0.25">
      <c r="A1425" s="4" t="s">
        <v>2482</v>
      </c>
      <c r="B1425" s="4" t="s">
        <v>2483</v>
      </c>
      <c r="C1425" s="5">
        <v>2435</v>
      </c>
      <c r="D1425" s="6" t="s">
        <v>2484</v>
      </c>
      <c r="E1425" t="s">
        <v>1820</v>
      </c>
      <c r="F1425" t="s">
        <v>206</v>
      </c>
      <c r="G1425" t="e">
        <f>+VLOOKUP(F1425,[1]Explore!$B:$I,8,0)</f>
        <v>#N/A</v>
      </c>
      <c r="H1425" t="s">
        <v>206</v>
      </c>
      <c r="I1425" t="e">
        <f>+VLOOKUP(H1425,[1]Explore!$A:$I,9,0)</f>
        <v>#N/A</v>
      </c>
      <c r="J1425" t="str">
        <f t="shared" si="44"/>
        <v>BOTH #N/A</v>
      </c>
      <c r="K1425" t="str">
        <f t="shared" si="45"/>
        <v>Dollar Index</v>
      </c>
      <c r="L1425" t="s">
        <v>2930</v>
      </c>
      <c r="M1425" t="str">
        <f>_xlfn.IFNA(VLOOKUP(K1425,'Mapping DEF'!A:C,2,0),"")</f>
        <v>Index Level</v>
      </c>
      <c r="N1425" t="str">
        <f>+_xlfn.IFNA(VLOOKUP(M1425,'Mapping DEF'!B:C,2,FALSE),"")</f>
        <v>Other</v>
      </c>
      <c r="O1425" t="s">
        <v>2821</v>
      </c>
    </row>
    <row r="1426" spans="1:15" x14ac:dyDescent="0.25">
      <c r="A1426" s="4" t="s">
        <v>2482</v>
      </c>
      <c r="B1426" s="4" t="s">
        <v>2483</v>
      </c>
      <c r="C1426" s="5">
        <v>2435</v>
      </c>
      <c r="D1426" s="6" t="s">
        <v>2484</v>
      </c>
      <c r="E1426" t="s">
        <v>1821</v>
      </c>
      <c r="F1426" t="s">
        <v>2156</v>
      </c>
      <c r="G1426" t="str">
        <f>+VLOOKUP(F1426,[1]Explore!$B:$I,8,0)</f>
        <v>Equity Implied Volatility</v>
      </c>
      <c r="H1426" t="s">
        <v>141</v>
      </c>
      <c r="I1426" t="str">
        <f>+VLOOKUP(H1426,[1]Explore!$A:$I,9,0)</f>
        <v>Equity Implied Volatility</v>
      </c>
      <c r="J1426" t="str">
        <f t="shared" si="44"/>
        <v>OK</v>
      </c>
      <c r="K1426" t="str">
        <f t="shared" si="45"/>
        <v>Equity Implied Volatility</v>
      </c>
      <c r="L1426" t="s">
        <v>27</v>
      </c>
      <c r="M1426" t="str">
        <f>_xlfn.IFNA(VLOOKUP(K1426,'Mapping DEF'!A:C,2,0),"")</f>
        <v>Equity Derivatives</v>
      </c>
      <c r="N1426" t="str">
        <f>+_xlfn.IFNA(VLOOKUP(M1426,'Mapping DEF'!B:C,2,FALSE),"")</f>
        <v>Equity</v>
      </c>
      <c r="O1426" t="s">
        <v>2831</v>
      </c>
    </row>
    <row r="1427" spans="1:15" x14ac:dyDescent="0.25">
      <c r="A1427" s="4" t="s">
        <v>2482</v>
      </c>
      <c r="B1427" s="4" t="s">
        <v>2483</v>
      </c>
      <c r="C1427" s="5">
        <v>2435</v>
      </c>
      <c r="D1427" s="6" t="s">
        <v>2484</v>
      </c>
      <c r="E1427" t="s">
        <v>1408</v>
      </c>
      <c r="F1427" t="s">
        <v>2618</v>
      </c>
      <c r="G1427" t="str">
        <f>+VLOOKUP(F1427,[1]Explore!$B:$I,8,0)</f>
        <v>Equity Implied Volatility</v>
      </c>
      <c r="H1427" t="s">
        <v>144</v>
      </c>
      <c r="I1427" t="str">
        <f>+VLOOKUP(H1427,[1]Explore!$A:$I,9,0)</f>
        <v>Equity Implied Volatility</v>
      </c>
      <c r="J1427" t="str">
        <f t="shared" si="44"/>
        <v>OK</v>
      </c>
      <c r="K1427" t="str">
        <f t="shared" si="45"/>
        <v>Equity Implied Volatility</v>
      </c>
      <c r="L1427" t="s">
        <v>27</v>
      </c>
      <c r="M1427" t="str">
        <f>_xlfn.IFNA(VLOOKUP(K1427,'Mapping DEF'!A:C,2,0),"")</f>
        <v>Equity Derivatives</v>
      </c>
      <c r="N1427" t="str">
        <f>+_xlfn.IFNA(VLOOKUP(M1427,'Mapping DEF'!B:C,2,FALSE),"")</f>
        <v>Equity</v>
      </c>
      <c r="O1427" t="s">
        <v>2794</v>
      </c>
    </row>
    <row r="1428" spans="1:15" x14ac:dyDescent="0.25">
      <c r="A1428" s="4" t="s">
        <v>2482</v>
      </c>
      <c r="B1428" s="4" t="s">
        <v>2483</v>
      </c>
      <c r="C1428" s="5">
        <v>2435</v>
      </c>
      <c r="D1428" s="6" t="s">
        <v>2484</v>
      </c>
      <c r="E1428" t="s">
        <v>1822</v>
      </c>
      <c r="F1428" t="s">
        <v>972</v>
      </c>
      <c r="G1428" t="str">
        <f>+VLOOKUP(F1428,[1]Explore!$B:$I,8,0)</f>
        <v>Corporate IG EUR - Industry</v>
      </c>
      <c r="H1428" t="s">
        <v>973</v>
      </c>
      <c r="I1428" t="str">
        <f>+VLOOKUP(H1428,[1]Explore!$A:$I,9,0)</f>
        <v>Corporate IG EUR - Industry</v>
      </c>
      <c r="J1428" t="str">
        <f t="shared" si="44"/>
        <v>OK</v>
      </c>
      <c r="K1428" t="str">
        <f t="shared" si="45"/>
        <v>Corporate IG EUR - Industry</v>
      </c>
      <c r="L1428" t="s">
        <v>188</v>
      </c>
      <c r="M1428" t="str">
        <f>_xlfn.IFNA(VLOOKUP(K1428,'Mapping DEF'!A:C,2,0),"")</f>
        <v>Spread</v>
      </c>
      <c r="N1428" t="str">
        <f>+_xlfn.IFNA(VLOOKUP(M1428,'Mapping DEF'!B:C,2,FALSE),"")</f>
        <v>Spread</v>
      </c>
      <c r="O1428" t="s">
        <v>2781</v>
      </c>
    </row>
    <row r="1429" spans="1:15" x14ac:dyDescent="0.25">
      <c r="A1429" s="4" t="s">
        <v>2482</v>
      </c>
      <c r="B1429" s="4" t="s">
        <v>2483</v>
      </c>
      <c r="C1429" s="5">
        <v>2435</v>
      </c>
      <c r="D1429" s="6" t="s">
        <v>2484</v>
      </c>
      <c r="E1429" t="s">
        <v>1823</v>
      </c>
      <c r="F1429" t="s">
        <v>191</v>
      </c>
      <c r="G1429" t="e">
        <f>+VLOOKUP(F1429,[1]Explore!$B:$I,8,0)</f>
        <v>#N/A</v>
      </c>
      <c r="H1429" t="s">
        <v>192</v>
      </c>
      <c r="I1429" t="e">
        <f>+VLOOKUP(H1429,[1]Explore!$A:$I,9,0)</f>
        <v>#N/A</v>
      </c>
      <c r="J1429" t="str">
        <f t="shared" si="44"/>
        <v>BOTH #N/A</v>
      </c>
      <c r="K1429" t="str">
        <f t="shared" si="45"/>
        <v xml:space="preserve">Time </v>
      </c>
      <c r="L1429" t="s">
        <v>2138</v>
      </c>
      <c r="M1429" t="str">
        <f>_xlfn.IFNA(VLOOKUP(K1429,'Mapping DEF'!A:C,2,0),"")</f>
        <v>Time</v>
      </c>
      <c r="N1429" t="str">
        <f>+_xlfn.IFNA(VLOOKUP(M1429,'Mapping DEF'!B:C,2,FALSE),"")</f>
        <v>Other</v>
      </c>
      <c r="O1429" t="s">
        <v>2762</v>
      </c>
    </row>
    <row r="1430" spans="1:15" x14ac:dyDescent="0.25">
      <c r="A1430" s="4" t="s">
        <v>2485</v>
      </c>
      <c r="B1430" s="4" t="s">
        <v>2486</v>
      </c>
      <c r="C1430" s="5">
        <v>2555</v>
      </c>
      <c r="D1430" s="6" t="s">
        <v>2487</v>
      </c>
      <c r="E1430" t="s">
        <v>1824</v>
      </c>
      <c r="F1430" t="s">
        <v>6</v>
      </c>
      <c r="G1430" t="str">
        <f>+VLOOKUP(F1430,[1]Explore!$B:$I,8,0)</f>
        <v>Govt USD</v>
      </c>
      <c r="H1430" t="s">
        <v>7</v>
      </c>
      <c r="I1430" t="str">
        <f>+VLOOKUP(H1430,[1]Explore!$A:$I,9,0)</f>
        <v>Govt USD</v>
      </c>
      <c r="J1430" t="str">
        <f t="shared" si="44"/>
        <v>OK</v>
      </c>
      <c r="K1430" t="str">
        <f t="shared" si="45"/>
        <v>Govt USD</v>
      </c>
      <c r="L1430" t="s">
        <v>2143</v>
      </c>
      <c r="M1430" t="str">
        <f>_xlfn.IFNA(VLOOKUP(K1430,'Mapping DEF'!A:C,2,0),"")</f>
        <v>Curve (Local)</v>
      </c>
      <c r="N1430" t="str">
        <f>+_xlfn.IFNA(VLOOKUP(M1430,'Mapping DEF'!B:C,2,FALSE),"")</f>
        <v>Term Structure</v>
      </c>
      <c r="O1430" t="s">
        <v>2766</v>
      </c>
    </row>
    <row r="1431" spans="1:15" x14ac:dyDescent="0.25">
      <c r="A1431" s="4" t="s">
        <v>2485</v>
      </c>
      <c r="B1431" s="4" t="s">
        <v>2486</v>
      </c>
      <c r="C1431" s="5">
        <v>2555</v>
      </c>
      <c r="D1431" s="6" t="s">
        <v>2487</v>
      </c>
      <c r="E1431" t="s">
        <v>1825</v>
      </c>
      <c r="F1431" t="s">
        <v>10</v>
      </c>
      <c r="G1431" t="str">
        <f>+VLOOKUP(F1431,[1]Explore!$B:$I,8,0)</f>
        <v>Govt USD</v>
      </c>
      <c r="H1431" t="s">
        <v>11</v>
      </c>
      <c r="I1431" t="str">
        <f>+VLOOKUP(H1431,[1]Explore!$A:$I,9,0)</f>
        <v>Govt USD</v>
      </c>
      <c r="J1431" t="str">
        <f t="shared" si="44"/>
        <v>OK</v>
      </c>
      <c r="K1431" t="str">
        <f t="shared" si="45"/>
        <v>Govt USD</v>
      </c>
      <c r="L1431" t="s">
        <v>2143</v>
      </c>
      <c r="M1431" t="str">
        <f>_xlfn.IFNA(VLOOKUP(K1431,'Mapping DEF'!A:C,2,0),"")</f>
        <v>Curve (Local)</v>
      </c>
      <c r="N1431" t="str">
        <f>+_xlfn.IFNA(VLOOKUP(M1431,'Mapping DEF'!B:C,2,FALSE),"")</f>
        <v>Term Structure</v>
      </c>
      <c r="O1431" t="s">
        <v>2766</v>
      </c>
    </row>
    <row r="1432" spans="1:15" x14ac:dyDescent="0.25">
      <c r="A1432" s="4" t="s">
        <v>2485</v>
      </c>
      <c r="B1432" s="4" t="s">
        <v>2486</v>
      </c>
      <c r="C1432" s="5">
        <v>2555</v>
      </c>
      <c r="D1432" s="6" t="s">
        <v>2487</v>
      </c>
      <c r="E1432" t="s">
        <v>1826</v>
      </c>
      <c r="F1432" t="s">
        <v>1827</v>
      </c>
      <c r="G1432" t="str">
        <f>+VLOOKUP(F1432,[1]Explore!$B:$I,8,0)</f>
        <v>USD Inflation</v>
      </c>
      <c r="H1432" t="s">
        <v>1828</v>
      </c>
      <c r="I1432" t="str">
        <f>+VLOOKUP(H1432,[1]Explore!$A:$I,9,0)</f>
        <v>USD Inflation</v>
      </c>
      <c r="J1432" t="str">
        <f t="shared" si="44"/>
        <v>OK</v>
      </c>
      <c r="K1432" t="str">
        <f t="shared" si="45"/>
        <v>USD Inflation</v>
      </c>
      <c r="L1432" t="s">
        <v>2143</v>
      </c>
      <c r="M1432" t="str">
        <f>_xlfn.IFNA(VLOOKUP(K1432,'Mapping DEF'!A:C,2,0),"")</f>
        <v>Inflation</v>
      </c>
      <c r="N1432" t="str">
        <f>+_xlfn.IFNA(VLOOKUP(M1432,'Mapping DEF'!B:C,2,FALSE),"")</f>
        <v>Other</v>
      </c>
      <c r="O1432" t="s">
        <v>2879</v>
      </c>
    </row>
    <row r="1433" spans="1:15" x14ac:dyDescent="0.25">
      <c r="A1433" s="4" t="s">
        <v>2485</v>
      </c>
      <c r="B1433" s="4" t="s">
        <v>2486</v>
      </c>
      <c r="C1433" s="5">
        <v>2555</v>
      </c>
      <c r="D1433" s="6" t="s">
        <v>2487</v>
      </c>
      <c r="E1433" t="s">
        <v>1829</v>
      </c>
      <c r="F1433" t="s">
        <v>791</v>
      </c>
      <c r="G1433" t="str">
        <f>+VLOOKUP(F1433,[1]Explore!$B:$I,8,0)</f>
        <v>USD Inflation</v>
      </c>
      <c r="H1433" t="s">
        <v>792</v>
      </c>
      <c r="I1433" t="str">
        <f>+VLOOKUP(H1433,[1]Explore!$A:$I,9,0)</f>
        <v>USD Inflation</v>
      </c>
      <c r="J1433" t="str">
        <f t="shared" si="44"/>
        <v>OK</v>
      </c>
      <c r="K1433" t="str">
        <f t="shared" si="45"/>
        <v>USD Inflation</v>
      </c>
      <c r="L1433" t="s">
        <v>2143</v>
      </c>
      <c r="M1433" t="str">
        <f>_xlfn.IFNA(VLOOKUP(K1433,'Mapping DEF'!A:C,2,0),"")</f>
        <v>Inflation</v>
      </c>
      <c r="N1433" t="str">
        <f>+_xlfn.IFNA(VLOOKUP(M1433,'Mapping DEF'!B:C,2,FALSE),"")</f>
        <v>Other</v>
      </c>
      <c r="O1433" t="s">
        <v>2849</v>
      </c>
    </row>
    <row r="1434" spans="1:15" x14ac:dyDescent="0.25">
      <c r="A1434" s="4" t="s">
        <v>2485</v>
      </c>
      <c r="B1434" s="4" t="s">
        <v>2486</v>
      </c>
      <c r="C1434" s="5">
        <v>2555</v>
      </c>
      <c r="D1434" s="6" t="s">
        <v>2487</v>
      </c>
      <c r="E1434" t="s">
        <v>1830</v>
      </c>
      <c r="F1434" t="s">
        <v>731</v>
      </c>
      <c r="G1434" t="str">
        <f>+VLOOKUP(F1434,[1]Explore!$B:$I,8,0)</f>
        <v>Alternative - Commodity</v>
      </c>
      <c r="H1434" t="s">
        <v>732</v>
      </c>
      <c r="I1434" t="str">
        <f>+VLOOKUP(H1434,[1]Explore!$A:$I,9,0)</f>
        <v>Alternative - Commodity</v>
      </c>
      <c r="J1434" t="str">
        <f t="shared" si="44"/>
        <v>OK</v>
      </c>
      <c r="K1434" t="str">
        <f t="shared" si="45"/>
        <v>Alternative - Commodity</v>
      </c>
      <c r="L1434" t="s">
        <v>2139</v>
      </c>
      <c r="M1434" t="str">
        <f>_xlfn.IFNA(VLOOKUP(K1434,'Mapping DEF'!A:C,2,0),"")</f>
        <v>Alternative</v>
      </c>
      <c r="N1434" t="str">
        <f>+_xlfn.IFNA(VLOOKUP(M1434,'Mapping DEF'!B:C,2,FALSE),"")</f>
        <v>Other</v>
      </c>
      <c r="O1434" t="s">
        <v>2880</v>
      </c>
    </row>
    <row r="1435" spans="1:15" x14ac:dyDescent="0.25">
      <c r="A1435" s="4" t="s">
        <v>2485</v>
      </c>
      <c r="B1435" s="4" t="s">
        <v>2486</v>
      </c>
      <c r="C1435" s="5">
        <v>2555</v>
      </c>
      <c r="D1435" s="6" t="s">
        <v>2487</v>
      </c>
      <c r="E1435" t="s">
        <v>1831</v>
      </c>
      <c r="F1435" t="s">
        <v>1832</v>
      </c>
      <c r="G1435" t="str">
        <f>+VLOOKUP(F1435,[1]Explore!$B:$I,8,0)</f>
        <v>Mortgage - Moneyness</v>
      </c>
      <c r="H1435" t="s">
        <v>1833</v>
      </c>
      <c r="I1435" t="str">
        <f>+VLOOKUP(H1435,[1]Explore!$A:$I,9,0)</f>
        <v>Mortgage - Moneyness</v>
      </c>
      <c r="J1435" t="str">
        <f t="shared" si="44"/>
        <v>OK</v>
      </c>
      <c r="K1435" t="str">
        <f t="shared" si="45"/>
        <v>Mortgage - Moneyness</v>
      </c>
      <c r="L1435" t="s">
        <v>188</v>
      </c>
      <c r="M1435" t="str">
        <f>_xlfn.IFNA(VLOOKUP(K1435,'Mapping DEF'!A:C,2,0),"")</f>
        <v>Alternative</v>
      </c>
      <c r="N1435" t="str">
        <f>+_xlfn.IFNA(VLOOKUP(M1435,'Mapping DEF'!B:C,2,FALSE),"")</f>
        <v>Other</v>
      </c>
      <c r="O1435" t="s">
        <v>2769</v>
      </c>
    </row>
    <row r="1436" spans="1:15" x14ac:dyDescent="0.25">
      <c r="A1436" s="4" t="s">
        <v>2485</v>
      </c>
      <c r="B1436" s="4" t="s">
        <v>2486</v>
      </c>
      <c r="C1436" s="5">
        <v>2555</v>
      </c>
      <c r="D1436" s="6" t="s">
        <v>2487</v>
      </c>
      <c r="E1436" t="s">
        <v>1834</v>
      </c>
      <c r="F1436" t="s">
        <v>13</v>
      </c>
      <c r="G1436" t="str">
        <f>+VLOOKUP(F1436,[1]Explore!$B:$I,8,0)</f>
        <v>Govt USD</v>
      </c>
      <c r="H1436" t="s">
        <v>14</v>
      </c>
      <c r="I1436" t="str">
        <f>+VLOOKUP(H1436,[1]Explore!$A:$I,9,0)</f>
        <v>Govt USD</v>
      </c>
      <c r="J1436" t="str">
        <f t="shared" si="44"/>
        <v>OK</v>
      </c>
      <c r="K1436" t="str">
        <f t="shared" si="45"/>
        <v>Govt USD</v>
      </c>
      <c r="L1436" t="s">
        <v>2143</v>
      </c>
      <c r="M1436" t="str">
        <f>_xlfn.IFNA(VLOOKUP(K1436,'Mapping DEF'!A:C,2,0),"")</f>
        <v>Curve (Local)</v>
      </c>
      <c r="N1436" t="str">
        <f>+_xlfn.IFNA(VLOOKUP(M1436,'Mapping DEF'!B:C,2,FALSE),"")</f>
        <v>Term Structure</v>
      </c>
      <c r="O1436" t="s">
        <v>2781</v>
      </c>
    </row>
    <row r="1437" spans="1:15" x14ac:dyDescent="0.25">
      <c r="A1437" s="4" t="s">
        <v>2488</v>
      </c>
      <c r="B1437" s="4" t="s">
        <v>2489</v>
      </c>
      <c r="C1437" s="5">
        <v>2509</v>
      </c>
      <c r="D1437" s="6" t="s">
        <v>247</v>
      </c>
      <c r="E1437" t="s">
        <v>580</v>
      </c>
      <c r="F1437" t="s">
        <v>19</v>
      </c>
      <c r="G1437" t="str">
        <f>+VLOOKUP(F1437,[1]Explore!$B:$I,8,0)</f>
        <v>Govt USD</v>
      </c>
      <c r="H1437" t="s">
        <v>20</v>
      </c>
      <c r="I1437" t="str">
        <f>+VLOOKUP(H1437,[1]Explore!$A:$I,9,0)</f>
        <v>Govt USD</v>
      </c>
      <c r="J1437" t="str">
        <f t="shared" si="44"/>
        <v>OK</v>
      </c>
      <c r="K1437" t="str">
        <f t="shared" si="45"/>
        <v>Govt USD</v>
      </c>
      <c r="L1437" t="s">
        <v>2143</v>
      </c>
      <c r="M1437" t="str">
        <f>_xlfn.IFNA(VLOOKUP(K1437,'Mapping DEF'!A:C,2,0),"")</f>
        <v>Curve (Local)</v>
      </c>
      <c r="N1437" t="str">
        <f>+_xlfn.IFNA(VLOOKUP(M1437,'Mapping DEF'!B:C,2,FALSE),"")</f>
        <v>Term Structure</v>
      </c>
      <c r="O1437" t="s">
        <v>2780</v>
      </c>
    </row>
    <row r="1438" spans="1:15" x14ac:dyDescent="0.25">
      <c r="A1438" s="4" t="s">
        <v>2488</v>
      </c>
      <c r="B1438" s="4" t="s">
        <v>2489</v>
      </c>
      <c r="C1438" s="5">
        <v>2509</v>
      </c>
      <c r="D1438" s="6" t="s">
        <v>247</v>
      </c>
      <c r="E1438" t="s">
        <v>719</v>
      </c>
      <c r="F1438" t="s">
        <v>258</v>
      </c>
      <c r="G1438" t="str">
        <f>+VLOOKUP(F1438,[1]Explore!$B:$I,8,0)</f>
        <v>USD Inflation</v>
      </c>
      <c r="H1438" t="s">
        <v>259</v>
      </c>
      <c r="I1438" t="str">
        <f>+VLOOKUP(H1438,[1]Explore!$A:$I,9,0)</f>
        <v>USD Inflation</v>
      </c>
      <c r="J1438" t="str">
        <f t="shared" si="44"/>
        <v>OK</v>
      </c>
      <c r="K1438" t="str">
        <f t="shared" si="45"/>
        <v>USD Inflation</v>
      </c>
      <c r="L1438" t="s">
        <v>2143</v>
      </c>
      <c r="M1438" t="str">
        <f>_xlfn.IFNA(VLOOKUP(K1438,'Mapping DEF'!A:C,2,0),"")</f>
        <v>Inflation</v>
      </c>
      <c r="N1438" t="str">
        <f>+_xlfn.IFNA(VLOOKUP(M1438,'Mapping DEF'!B:C,2,FALSE),"")</f>
        <v>Other</v>
      </c>
      <c r="O1438" t="s">
        <v>2791</v>
      </c>
    </row>
    <row r="1439" spans="1:15" x14ac:dyDescent="0.25">
      <c r="A1439" s="4" t="s">
        <v>2488</v>
      </c>
      <c r="B1439" s="4" t="s">
        <v>2489</v>
      </c>
      <c r="C1439" s="5">
        <v>2509</v>
      </c>
      <c r="D1439" s="6" t="s">
        <v>247</v>
      </c>
      <c r="E1439" t="s">
        <v>1054</v>
      </c>
      <c r="F1439" t="s">
        <v>2942</v>
      </c>
      <c r="G1439" t="str">
        <f>+VLOOKUP(F1439,[1]Explore!$B:$I,8,0)</f>
        <v>EUR</v>
      </c>
      <c r="H1439" t="s">
        <v>173</v>
      </c>
      <c r="I1439" t="str">
        <f>+VLOOKUP(H1439,[1]Explore!$A:$I,9,0)</f>
        <v>EUR</v>
      </c>
      <c r="J1439" t="str">
        <f t="shared" si="44"/>
        <v>OK</v>
      </c>
      <c r="K1439" t="str">
        <f t="shared" si="45"/>
        <v>EUR</v>
      </c>
      <c r="L1439" t="s">
        <v>2140</v>
      </c>
      <c r="M1439" t="str">
        <f>_xlfn.IFNA(VLOOKUP(K1439,'Mapping DEF'!A:C,2,0),"")</f>
        <v>FX</v>
      </c>
      <c r="N1439" t="str">
        <f>+_xlfn.IFNA(VLOOKUP(M1439,'Mapping DEF'!B:C,2,FALSE),"")</f>
        <v>FX</v>
      </c>
      <c r="O1439" t="s">
        <v>2770</v>
      </c>
    </row>
    <row r="1440" spans="1:15" x14ac:dyDescent="0.25">
      <c r="A1440" s="4" t="s">
        <v>2488</v>
      </c>
      <c r="B1440" s="4" t="s">
        <v>2489</v>
      </c>
      <c r="C1440" s="5">
        <v>2509</v>
      </c>
      <c r="D1440" s="6" t="s">
        <v>247</v>
      </c>
      <c r="E1440" t="s">
        <v>1188</v>
      </c>
      <c r="F1440" t="s">
        <v>2156</v>
      </c>
      <c r="G1440" t="str">
        <f>+VLOOKUP(F1440,[1]Explore!$B:$I,8,0)</f>
        <v>Equity Implied Volatility</v>
      </c>
      <c r="H1440" t="s">
        <v>141</v>
      </c>
      <c r="I1440" t="str">
        <f>+VLOOKUP(H1440,[1]Explore!$A:$I,9,0)</f>
        <v>Equity Implied Volatility</v>
      </c>
      <c r="J1440" t="str">
        <f t="shared" si="44"/>
        <v>OK</v>
      </c>
      <c r="K1440" t="str">
        <f t="shared" si="45"/>
        <v>Equity Implied Volatility</v>
      </c>
      <c r="L1440" t="s">
        <v>27</v>
      </c>
      <c r="M1440" t="str">
        <f>_xlfn.IFNA(VLOOKUP(K1440,'Mapping DEF'!A:C,2,0),"")</f>
        <v>Equity Derivatives</v>
      </c>
      <c r="N1440" t="str">
        <f>+_xlfn.IFNA(VLOOKUP(M1440,'Mapping DEF'!B:C,2,FALSE),"")</f>
        <v>Equity</v>
      </c>
      <c r="O1440" t="s">
        <v>2776</v>
      </c>
    </row>
    <row r="1441" spans="1:15" x14ac:dyDescent="0.25">
      <c r="A1441" s="4" t="s">
        <v>2488</v>
      </c>
      <c r="B1441" s="4" t="s">
        <v>2489</v>
      </c>
      <c r="C1441" s="5">
        <v>2509</v>
      </c>
      <c r="D1441" s="6" t="s">
        <v>247</v>
      </c>
      <c r="E1441" t="s">
        <v>882</v>
      </c>
      <c r="F1441" t="s">
        <v>346</v>
      </c>
      <c r="G1441" t="str">
        <f>+VLOOKUP(F1441,[1]Explore!$B:$I,8,0)</f>
        <v>Spread Emerging Markets - Country</v>
      </c>
      <c r="H1441" t="s">
        <v>347</v>
      </c>
      <c r="I1441" t="str">
        <f>+VLOOKUP(H1441,[1]Explore!$A:$I,9,0)</f>
        <v>Spread Emerging Markets - Country</v>
      </c>
      <c r="J1441" t="str">
        <f t="shared" si="44"/>
        <v>OK</v>
      </c>
      <c r="K1441" t="str">
        <f t="shared" si="45"/>
        <v>Spread Emerging Markets - Country</v>
      </c>
      <c r="L1441" t="s">
        <v>188</v>
      </c>
      <c r="M1441" t="str">
        <f>_xlfn.IFNA(VLOOKUP(K1441,'Mapping DEF'!A:C,2,0),"")</f>
        <v>Spread</v>
      </c>
      <c r="N1441" t="str">
        <f>+_xlfn.IFNA(VLOOKUP(M1441,'Mapping DEF'!B:C,2,FALSE),"")</f>
        <v>Spread</v>
      </c>
      <c r="O1441" t="s">
        <v>2781</v>
      </c>
    </row>
    <row r="1442" spans="1:15" x14ac:dyDescent="0.25">
      <c r="A1442" s="4" t="s">
        <v>2488</v>
      </c>
      <c r="B1442" s="4" t="s">
        <v>2489</v>
      </c>
      <c r="C1442" s="5">
        <v>2509</v>
      </c>
      <c r="D1442" s="6" t="s">
        <v>247</v>
      </c>
      <c r="E1442" t="s">
        <v>1835</v>
      </c>
      <c r="F1442" t="s">
        <v>836</v>
      </c>
      <c r="G1442" t="str">
        <f>+VLOOKUP(F1442,[1]Explore!$B:$I,8,0)</f>
        <v>Govt USD</v>
      </c>
      <c r="H1442" t="s">
        <v>837</v>
      </c>
      <c r="I1442" t="str">
        <f>+VLOOKUP(H1442,[1]Explore!$A:$I,9,0)</f>
        <v>Govt USD</v>
      </c>
      <c r="J1442" t="str">
        <f t="shared" si="44"/>
        <v>OK</v>
      </c>
      <c r="K1442" t="str">
        <f t="shared" si="45"/>
        <v>Govt USD</v>
      </c>
      <c r="L1442" t="s">
        <v>2143</v>
      </c>
      <c r="M1442" t="str">
        <f>_xlfn.IFNA(VLOOKUP(K1442,'Mapping DEF'!A:C,2,0),"")</f>
        <v>Curve (Local)</v>
      </c>
      <c r="N1442" t="str">
        <f>+_xlfn.IFNA(VLOOKUP(M1442,'Mapping DEF'!B:C,2,FALSE),"")</f>
        <v>Term Structure</v>
      </c>
      <c r="O1442" t="s">
        <v>2779</v>
      </c>
    </row>
    <row r="1443" spans="1:15" x14ac:dyDescent="0.25">
      <c r="A1443" s="4" t="s">
        <v>2488</v>
      </c>
      <c r="B1443" s="4" t="s">
        <v>2489</v>
      </c>
      <c r="C1443" s="5">
        <v>2509</v>
      </c>
      <c r="D1443" s="6" t="s">
        <v>247</v>
      </c>
      <c r="E1443" t="s">
        <v>974</v>
      </c>
      <c r="F1443" t="s">
        <v>975</v>
      </c>
      <c r="G1443" t="str">
        <f>+VLOOKUP(F1443,[1]Explore!$B:$I,8,0)</f>
        <v>Other - KRD</v>
      </c>
      <c r="H1443" t="s">
        <v>976</v>
      </c>
      <c r="I1443" t="str">
        <f>+VLOOKUP(H1443,[1]Explore!$A:$I,9,0)</f>
        <v>Other - KRD</v>
      </c>
      <c r="J1443" t="str">
        <f t="shared" si="44"/>
        <v>OK</v>
      </c>
      <c r="K1443" t="str">
        <f t="shared" si="45"/>
        <v>Other - KRD</v>
      </c>
      <c r="L1443" t="s">
        <v>2143</v>
      </c>
      <c r="M1443" t="str">
        <f>_xlfn.IFNA(VLOOKUP(K1443,'Mapping DEF'!A:C,2,0),"")</f>
        <v>Other</v>
      </c>
      <c r="N1443" t="str">
        <f>+_xlfn.IFNA(VLOOKUP(M1443,'Mapping DEF'!B:C,2,FALSE),"")</f>
        <v>Other</v>
      </c>
      <c r="O1443" t="s">
        <v>2778</v>
      </c>
    </row>
    <row r="1444" spans="1:15" x14ac:dyDescent="0.25">
      <c r="A1444" s="4" t="s">
        <v>2488</v>
      </c>
      <c r="B1444" s="4" t="s">
        <v>2489</v>
      </c>
      <c r="C1444" s="5">
        <v>2509</v>
      </c>
      <c r="D1444" s="6" t="s">
        <v>247</v>
      </c>
      <c r="E1444" t="s">
        <v>980</v>
      </c>
      <c r="F1444" t="s">
        <v>981</v>
      </c>
      <c r="G1444" t="str">
        <f>+VLOOKUP(F1444,[1]Explore!$B:$I,8,0)</f>
        <v>Other - KRD</v>
      </c>
      <c r="H1444" t="s">
        <v>982</v>
      </c>
      <c r="I1444" t="str">
        <f>+VLOOKUP(H1444,[1]Explore!$A:$I,9,0)</f>
        <v>Other - KRD</v>
      </c>
      <c r="J1444" t="str">
        <f t="shared" si="44"/>
        <v>OK</v>
      </c>
      <c r="K1444" t="str">
        <f t="shared" si="45"/>
        <v>Other - KRD</v>
      </c>
      <c r="L1444" t="s">
        <v>2143</v>
      </c>
      <c r="M1444" t="str">
        <f>_xlfn.IFNA(VLOOKUP(K1444,'Mapping DEF'!A:C,2,0),"")</f>
        <v>Other</v>
      </c>
      <c r="N1444" t="str">
        <f>+_xlfn.IFNA(VLOOKUP(M1444,'Mapping DEF'!B:C,2,FALSE),"")</f>
        <v>Other</v>
      </c>
      <c r="O1444" t="s">
        <v>2778</v>
      </c>
    </row>
    <row r="1445" spans="1:15" x14ac:dyDescent="0.25">
      <c r="A1445" s="4" t="s">
        <v>2488</v>
      </c>
      <c r="B1445" s="4" t="s">
        <v>2489</v>
      </c>
      <c r="C1445" s="5">
        <v>2509</v>
      </c>
      <c r="D1445" s="6" t="s">
        <v>247</v>
      </c>
      <c r="E1445" t="s">
        <v>1836</v>
      </c>
      <c r="F1445" t="s">
        <v>1837</v>
      </c>
      <c r="G1445" t="str">
        <f>+VLOOKUP(F1445,[1]Explore!$B:$I,8,0)</f>
        <v>Other - Index</v>
      </c>
      <c r="H1445" t="s">
        <v>1838</v>
      </c>
      <c r="I1445" t="str">
        <f>+VLOOKUP(H1445,[1]Explore!$A:$I,9,0)</f>
        <v>Other - Index</v>
      </c>
      <c r="J1445" t="str">
        <f t="shared" si="44"/>
        <v>OK</v>
      </c>
      <c r="K1445" t="str">
        <f t="shared" si="45"/>
        <v>Other - Index</v>
      </c>
      <c r="L1445" t="s">
        <v>27</v>
      </c>
      <c r="M1445" t="str">
        <f>_xlfn.IFNA(VLOOKUP(K1445,'Mapping DEF'!A:C,2,0),"")</f>
        <v>Other</v>
      </c>
      <c r="N1445" t="str">
        <f>+_xlfn.IFNA(VLOOKUP(M1445,'Mapping DEF'!B:C,2,FALSE),"")</f>
        <v>Other</v>
      </c>
      <c r="O1445" t="s">
        <v>2812</v>
      </c>
    </row>
    <row r="1446" spans="1:15" x14ac:dyDescent="0.25">
      <c r="A1446" s="4" t="s">
        <v>2488</v>
      </c>
      <c r="B1446" s="4" t="s">
        <v>2489</v>
      </c>
      <c r="C1446" s="5">
        <v>2509</v>
      </c>
      <c r="D1446" s="6" t="s">
        <v>247</v>
      </c>
      <c r="E1446" t="s">
        <v>1839</v>
      </c>
      <c r="F1446" t="s">
        <v>1840</v>
      </c>
      <c r="G1446" t="str">
        <f>+VLOOKUP(F1446,[1]Explore!$B:$I,8,0)</f>
        <v>Other - Index</v>
      </c>
      <c r="H1446" t="s">
        <v>1841</v>
      </c>
      <c r="I1446" t="str">
        <f>+VLOOKUP(H1446,[1]Explore!$A:$I,9,0)</f>
        <v>Other - Index</v>
      </c>
      <c r="J1446" t="str">
        <f t="shared" si="44"/>
        <v>OK</v>
      </c>
      <c r="K1446" t="str">
        <f t="shared" si="45"/>
        <v>Other - Index</v>
      </c>
      <c r="L1446" t="s">
        <v>27</v>
      </c>
      <c r="M1446" t="str">
        <f>_xlfn.IFNA(VLOOKUP(K1446,'Mapping DEF'!A:C,2,0),"")</f>
        <v>Other</v>
      </c>
      <c r="N1446" t="str">
        <f>+_xlfn.IFNA(VLOOKUP(M1446,'Mapping DEF'!B:C,2,FALSE),"")</f>
        <v>Other</v>
      </c>
      <c r="O1446" t="s">
        <v>2803</v>
      </c>
    </row>
    <row r="1447" spans="1:15" x14ac:dyDescent="0.25">
      <c r="A1447" s="4" t="s">
        <v>2488</v>
      </c>
      <c r="B1447" s="4" t="s">
        <v>2489</v>
      </c>
      <c r="C1447" s="5">
        <v>2509</v>
      </c>
      <c r="D1447" s="6" t="s">
        <v>247</v>
      </c>
      <c r="E1447" t="s">
        <v>1842</v>
      </c>
      <c r="F1447" t="s">
        <v>22</v>
      </c>
      <c r="G1447" t="str">
        <f>+VLOOKUP(F1447,[1]Explore!$B:$I,8,0)</f>
        <v>Govt USD</v>
      </c>
      <c r="H1447" t="s">
        <v>637</v>
      </c>
      <c r="I1447" t="e">
        <f>+VLOOKUP(H1447,[1]Explore!$A:$I,9,0)</f>
        <v>#N/A</v>
      </c>
      <c r="J1447" t="str">
        <f t="shared" si="44"/>
        <v>OK</v>
      </c>
      <c r="K1447" t="str">
        <f t="shared" si="45"/>
        <v>Govt USD</v>
      </c>
      <c r="L1447" t="s">
        <v>2143</v>
      </c>
      <c r="M1447" t="str">
        <f>_xlfn.IFNA(VLOOKUP(K1447,'Mapping DEF'!A:C,2,0),"")</f>
        <v>Curve (Local)</v>
      </c>
      <c r="N1447" t="str">
        <f>+_xlfn.IFNA(VLOOKUP(M1447,'Mapping DEF'!B:C,2,FALSE),"")</f>
        <v>Term Structure</v>
      </c>
      <c r="O1447" t="s">
        <v>2766</v>
      </c>
    </row>
    <row r="1448" spans="1:15" x14ac:dyDescent="0.25">
      <c r="A1448" s="4" t="s">
        <v>2490</v>
      </c>
      <c r="B1448" s="4" t="s">
        <v>2491</v>
      </c>
      <c r="C1448" s="5">
        <v>2508</v>
      </c>
      <c r="D1448" s="6" t="s">
        <v>247</v>
      </c>
      <c r="E1448" t="s">
        <v>1843</v>
      </c>
      <c r="F1448" t="s">
        <v>13</v>
      </c>
      <c r="G1448" t="str">
        <f>+VLOOKUP(F1448,[1]Explore!$B:$I,8,0)</f>
        <v>Govt USD</v>
      </c>
      <c r="H1448" t="s">
        <v>14</v>
      </c>
      <c r="I1448" t="str">
        <f>+VLOOKUP(H1448,[1]Explore!$A:$I,9,0)</f>
        <v>Govt USD</v>
      </c>
      <c r="J1448" t="str">
        <f t="shared" si="44"/>
        <v>OK</v>
      </c>
      <c r="K1448" t="str">
        <f t="shared" si="45"/>
        <v>Govt USD</v>
      </c>
      <c r="L1448" t="s">
        <v>2143</v>
      </c>
      <c r="M1448" t="str">
        <f>_xlfn.IFNA(VLOOKUP(K1448,'Mapping DEF'!A:C,2,0),"")</f>
        <v>Curve (Local)</v>
      </c>
      <c r="N1448" t="str">
        <f>+_xlfn.IFNA(VLOOKUP(M1448,'Mapping DEF'!B:C,2,FALSE),"")</f>
        <v>Term Structure</v>
      </c>
      <c r="O1448" t="s">
        <v>2788</v>
      </c>
    </row>
    <row r="1449" spans="1:15" x14ac:dyDescent="0.25">
      <c r="A1449" s="4" t="s">
        <v>2490</v>
      </c>
      <c r="B1449" s="4" t="s">
        <v>2491</v>
      </c>
      <c r="C1449" s="5">
        <v>2508</v>
      </c>
      <c r="D1449" s="6" t="s">
        <v>247</v>
      </c>
      <c r="E1449" t="s">
        <v>927</v>
      </c>
      <c r="F1449" t="s">
        <v>19</v>
      </c>
      <c r="G1449" t="str">
        <f>+VLOOKUP(F1449,[1]Explore!$B:$I,8,0)</f>
        <v>Govt USD</v>
      </c>
      <c r="H1449" t="s">
        <v>20</v>
      </c>
      <c r="I1449" t="str">
        <f>+VLOOKUP(H1449,[1]Explore!$A:$I,9,0)</f>
        <v>Govt USD</v>
      </c>
      <c r="J1449" t="str">
        <f t="shared" si="44"/>
        <v>OK</v>
      </c>
      <c r="K1449" t="str">
        <f t="shared" si="45"/>
        <v>Govt USD</v>
      </c>
      <c r="L1449" t="s">
        <v>2143</v>
      </c>
      <c r="M1449" t="str">
        <f>_xlfn.IFNA(VLOOKUP(K1449,'Mapping DEF'!A:C,2,0),"")</f>
        <v>Curve (Local)</v>
      </c>
      <c r="N1449" t="str">
        <f>+_xlfn.IFNA(VLOOKUP(M1449,'Mapping DEF'!B:C,2,FALSE),"")</f>
        <v>Term Structure</v>
      </c>
      <c r="O1449" t="s">
        <v>2765</v>
      </c>
    </row>
    <row r="1450" spans="1:15" x14ac:dyDescent="0.25">
      <c r="A1450" s="4" t="s">
        <v>2490</v>
      </c>
      <c r="B1450" s="4" t="s">
        <v>2491</v>
      </c>
      <c r="C1450" s="5">
        <v>2508</v>
      </c>
      <c r="D1450" s="6" t="s">
        <v>247</v>
      </c>
      <c r="E1450" t="s">
        <v>411</v>
      </c>
      <c r="F1450" t="s">
        <v>258</v>
      </c>
      <c r="G1450" t="str">
        <f>+VLOOKUP(F1450,[1]Explore!$B:$I,8,0)</f>
        <v>USD Inflation</v>
      </c>
      <c r="H1450" t="s">
        <v>259</v>
      </c>
      <c r="I1450" t="str">
        <f>+VLOOKUP(H1450,[1]Explore!$A:$I,9,0)</f>
        <v>USD Inflation</v>
      </c>
      <c r="J1450" t="str">
        <f t="shared" si="44"/>
        <v>OK</v>
      </c>
      <c r="K1450" t="str">
        <f t="shared" si="45"/>
        <v>USD Inflation</v>
      </c>
      <c r="L1450" t="s">
        <v>2143</v>
      </c>
      <c r="M1450" t="str">
        <f>_xlfn.IFNA(VLOOKUP(K1450,'Mapping DEF'!A:C,2,0),"")</f>
        <v>Inflation</v>
      </c>
      <c r="N1450" t="str">
        <f>+_xlfn.IFNA(VLOOKUP(M1450,'Mapping DEF'!B:C,2,FALSE),"")</f>
        <v>Other</v>
      </c>
      <c r="O1450" t="s">
        <v>2774</v>
      </c>
    </row>
    <row r="1451" spans="1:15" x14ac:dyDescent="0.25">
      <c r="A1451" s="4" t="s">
        <v>2490</v>
      </c>
      <c r="B1451" s="4" t="s">
        <v>2491</v>
      </c>
      <c r="C1451" s="5">
        <v>2508</v>
      </c>
      <c r="D1451" s="6" t="s">
        <v>247</v>
      </c>
      <c r="E1451" t="s">
        <v>1844</v>
      </c>
      <c r="F1451" t="s">
        <v>1275</v>
      </c>
      <c r="G1451" t="str">
        <f>+VLOOKUP(F1451,[1]Explore!$B:$I,8,0)</f>
        <v>Alternative - Commodity</v>
      </c>
      <c r="H1451" t="s">
        <v>1276</v>
      </c>
      <c r="I1451" t="str">
        <f>+VLOOKUP(H1451,[1]Explore!$A:$I,9,0)</f>
        <v>Alternative - Commodity</v>
      </c>
      <c r="J1451" t="str">
        <f t="shared" si="44"/>
        <v>OK</v>
      </c>
      <c r="K1451" t="str">
        <f t="shared" si="45"/>
        <v>Alternative - Commodity</v>
      </c>
      <c r="L1451" t="s">
        <v>2139</v>
      </c>
      <c r="M1451" t="str">
        <f>_xlfn.IFNA(VLOOKUP(K1451,'Mapping DEF'!A:C,2,0),"")</f>
        <v>Alternative</v>
      </c>
      <c r="N1451" t="str">
        <f>+_xlfn.IFNA(VLOOKUP(M1451,'Mapping DEF'!B:C,2,FALSE),"")</f>
        <v>Other</v>
      </c>
      <c r="O1451" t="s">
        <v>2794</v>
      </c>
    </row>
    <row r="1452" spans="1:15" x14ac:dyDescent="0.25">
      <c r="A1452" s="4" t="s">
        <v>2490</v>
      </c>
      <c r="B1452" s="4" t="s">
        <v>2491</v>
      </c>
      <c r="C1452" s="5">
        <v>2508</v>
      </c>
      <c r="D1452" s="6" t="s">
        <v>247</v>
      </c>
      <c r="E1452" t="s">
        <v>1845</v>
      </c>
      <c r="F1452" t="s">
        <v>753</v>
      </c>
      <c r="G1452" t="e">
        <f>+VLOOKUP(F1452,[1]Explore!$B:$I,8,0)</f>
        <v>#N/A</v>
      </c>
      <c r="H1452" t="s">
        <v>754</v>
      </c>
      <c r="I1452" t="e">
        <f>+VLOOKUP(H1452,[1]Explore!$A:$I,9,0)</f>
        <v>#N/A</v>
      </c>
      <c r="J1452" t="str">
        <f t="shared" si="44"/>
        <v>BOTH #N/A</v>
      </c>
      <c r="K1452" t="str">
        <f t="shared" si="45"/>
        <v>Corporate IG USD - Other</v>
      </c>
      <c r="L1452" t="s">
        <v>2650</v>
      </c>
      <c r="M1452" t="str">
        <f>_xlfn.IFNA(VLOOKUP(K1452,'Mapping DEF'!A:C,2,0),"")</f>
        <v>Spread</v>
      </c>
      <c r="N1452" t="str">
        <f>+_xlfn.IFNA(VLOOKUP(M1452,'Mapping DEF'!B:C,2,FALSE),"")</f>
        <v>Spread</v>
      </c>
      <c r="O1452" t="s">
        <v>2777</v>
      </c>
    </row>
    <row r="1453" spans="1:15" x14ac:dyDescent="0.25">
      <c r="A1453" s="4" t="s">
        <v>2490</v>
      </c>
      <c r="B1453" s="4" t="s">
        <v>2491</v>
      </c>
      <c r="C1453" s="5">
        <v>2508</v>
      </c>
      <c r="D1453" s="6" t="s">
        <v>247</v>
      </c>
      <c r="E1453" t="s">
        <v>723</v>
      </c>
      <c r="F1453" t="s">
        <v>206</v>
      </c>
      <c r="G1453" t="e">
        <f>+VLOOKUP(F1453,[1]Explore!$B:$I,8,0)</f>
        <v>#N/A</v>
      </c>
      <c r="H1453" t="s">
        <v>206</v>
      </c>
      <c r="I1453" t="e">
        <f>+VLOOKUP(H1453,[1]Explore!$A:$I,9,0)</f>
        <v>#N/A</v>
      </c>
      <c r="J1453" t="str">
        <f t="shared" si="44"/>
        <v>BOTH #N/A</v>
      </c>
      <c r="K1453" t="str">
        <f t="shared" si="45"/>
        <v>Dollar Index</v>
      </c>
      <c r="L1453" t="s">
        <v>2930</v>
      </c>
      <c r="M1453" t="str">
        <f>_xlfn.IFNA(VLOOKUP(K1453,'Mapping DEF'!A:C,2,0),"")</f>
        <v>Index Level</v>
      </c>
      <c r="N1453" t="str">
        <f>+_xlfn.IFNA(VLOOKUP(M1453,'Mapping DEF'!B:C,2,FALSE),"")</f>
        <v>Other</v>
      </c>
      <c r="O1453" t="s">
        <v>2801</v>
      </c>
    </row>
    <row r="1454" spans="1:15" x14ac:dyDescent="0.25">
      <c r="A1454" s="4" t="s">
        <v>2490</v>
      </c>
      <c r="B1454" s="4" t="s">
        <v>2491</v>
      </c>
      <c r="C1454" s="5">
        <v>2508</v>
      </c>
      <c r="D1454" s="6" t="s">
        <v>247</v>
      </c>
      <c r="E1454" t="s">
        <v>1360</v>
      </c>
      <c r="F1454" t="s">
        <v>2156</v>
      </c>
      <c r="G1454" t="str">
        <f>+VLOOKUP(F1454,[1]Explore!$B:$I,8,0)</f>
        <v>Equity Implied Volatility</v>
      </c>
      <c r="H1454" t="s">
        <v>141</v>
      </c>
      <c r="I1454" t="str">
        <f>+VLOOKUP(H1454,[1]Explore!$A:$I,9,0)</f>
        <v>Equity Implied Volatility</v>
      </c>
      <c r="J1454" t="str">
        <f t="shared" si="44"/>
        <v>OK</v>
      </c>
      <c r="K1454" t="str">
        <f t="shared" si="45"/>
        <v>Equity Implied Volatility</v>
      </c>
      <c r="L1454" t="s">
        <v>27</v>
      </c>
      <c r="M1454" t="str">
        <f>_xlfn.IFNA(VLOOKUP(K1454,'Mapping DEF'!A:C,2,0),"")</f>
        <v>Equity Derivatives</v>
      </c>
      <c r="N1454" t="str">
        <f>+_xlfn.IFNA(VLOOKUP(M1454,'Mapping DEF'!B:C,2,FALSE),"")</f>
        <v>Equity</v>
      </c>
      <c r="O1454" t="s">
        <v>2770</v>
      </c>
    </row>
    <row r="1455" spans="1:15" x14ac:dyDescent="0.25">
      <c r="A1455" s="4" t="s">
        <v>2490</v>
      </c>
      <c r="B1455" s="4" t="s">
        <v>2491</v>
      </c>
      <c r="C1455" s="5">
        <v>2508</v>
      </c>
      <c r="D1455" s="6" t="s">
        <v>247</v>
      </c>
      <c r="E1455" t="s">
        <v>661</v>
      </c>
      <c r="F1455" t="s">
        <v>346</v>
      </c>
      <c r="G1455" t="str">
        <f>+VLOOKUP(F1455,[1]Explore!$B:$I,8,0)</f>
        <v>Spread Emerging Markets - Country</v>
      </c>
      <c r="H1455" t="s">
        <v>347</v>
      </c>
      <c r="I1455" t="str">
        <f>+VLOOKUP(H1455,[1]Explore!$A:$I,9,0)</f>
        <v>Spread Emerging Markets - Country</v>
      </c>
      <c r="J1455" t="str">
        <f t="shared" si="44"/>
        <v>OK</v>
      </c>
      <c r="K1455" t="str">
        <f t="shared" si="45"/>
        <v>Spread Emerging Markets - Country</v>
      </c>
      <c r="L1455" t="s">
        <v>188</v>
      </c>
      <c r="M1455" t="str">
        <f>_xlfn.IFNA(VLOOKUP(K1455,'Mapping DEF'!A:C,2,0),"")</f>
        <v>Spread</v>
      </c>
      <c r="N1455" t="str">
        <f>+_xlfn.IFNA(VLOOKUP(M1455,'Mapping DEF'!B:C,2,FALSE),"")</f>
        <v>Spread</v>
      </c>
      <c r="O1455" t="s">
        <v>2765</v>
      </c>
    </row>
    <row r="1456" spans="1:15" x14ac:dyDescent="0.25">
      <c r="A1456" s="4" t="s">
        <v>2490</v>
      </c>
      <c r="B1456" s="4" t="s">
        <v>2491</v>
      </c>
      <c r="C1456" s="5">
        <v>2508</v>
      </c>
      <c r="D1456" s="6" t="s">
        <v>247</v>
      </c>
      <c r="E1456" t="s">
        <v>1605</v>
      </c>
      <c r="F1456" t="s">
        <v>836</v>
      </c>
      <c r="G1456" t="str">
        <f>+VLOOKUP(F1456,[1]Explore!$B:$I,8,0)</f>
        <v>Govt USD</v>
      </c>
      <c r="H1456" t="s">
        <v>837</v>
      </c>
      <c r="I1456" t="str">
        <f>+VLOOKUP(H1456,[1]Explore!$A:$I,9,0)</f>
        <v>Govt USD</v>
      </c>
      <c r="J1456" t="str">
        <f t="shared" si="44"/>
        <v>OK</v>
      </c>
      <c r="K1456" t="str">
        <f t="shared" si="45"/>
        <v>Govt USD</v>
      </c>
      <c r="L1456" t="s">
        <v>2143</v>
      </c>
      <c r="M1456" t="str">
        <f>_xlfn.IFNA(VLOOKUP(K1456,'Mapping DEF'!A:C,2,0),"")</f>
        <v>Curve (Local)</v>
      </c>
      <c r="N1456" t="str">
        <f>+_xlfn.IFNA(VLOOKUP(M1456,'Mapping DEF'!B:C,2,FALSE),"")</f>
        <v>Term Structure</v>
      </c>
      <c r="O1456" t="s">
        <v>2778</v>
      </c>
    </row>
    <row r="1457" spans="1:15" x14ac:dyDescent="0.25">
      <c r="A1457" s="4" t="s">
        <v>2490</v>
      </c>
      <c r="B1457" s="4" t="s">
        <v>2491</v>
      </c>
      <c r="C1457" s="5">
        <v>2508</v>
      </c>
      <c r="D1457" s="6" t="s">
        <v>247</v>
      </c>
      <c r="E1457" t="s">
        <v>838</v>
      </c>
      <c r="F1457" t="s">
        <v>839</v>
      </c>
      <c r="G1457" t="str">
        <f>+VLOOKUP(F1457,[1]Explore!$B:$I,8,0)</f>
        <v>Money Market</v>
      </c>
      <c r="H1457" t="s">
        <v>840</v>
      </c>
      <c r="I1457" t="str">
        <f>+VLOOKUP(H1457,[1]Explore!$A:$I,9,0)</f>
        <v>Money Market</v>
      </c>
      <c r="J1457" t="str">
        <f t="shared" si="44"/>
        <v>OK</v>
      </c>
      <c r="K1457" t="str">
        <f t="shared" si="45"/>
        <v>Money Market</v>
      </c>
      <c r="L1457" t="s">
        <v>188</v>
      </c>
      <c r="M1457" t="str">
        <f>_xlfn.IFNA(VLOOKUP(K1457,'Mapping DEF'!A:C,2,0),"")</f>
        <v>Other</v>
      </c>
      <c r="N1457" t="str">
        <f>+_xlfn.IFNA(VLOOKUP(M1457,'Mapping DEF'!B:C,2,FALSE),"")</f>
        <v>Other</v>
      </c>
      <c r="O1457" t="s">
        <v>2778</v>
      </c>
    </row>
    <row r="1458" spans="1:15" x14ac:dyDescent="0.25">
      <c r="A1458" s="4" t="s">
        <v>2490</v>
      </c>
      <c r="B1458" s="4" t="s">
        <v>2491</v>
      </c>
      <c r="C1458" s="5">
        <v>2508</v>
      </c>
      <c r="D1458" s="6" t="s">
        <v>247</v>
      </c>
      <c r="E1458" t="s">
        <v>1606</v>
      </c>
      <c r="F1458" t="s">
        <v>845</v>
      </c>
      <c r="G1458" t="str">
        <f>+VLOOKUP(F1458,[1]Explore!$B:$I,8,0)</f>
        <v>Money Market</v>
      </c>
      <c r="H1458" t="s">
        <v>846</v>
      </c>
      <c r="I1458" t="str">
        <f>+VLOOKUP(H1458,[1]Explore!$A:$I,9,0)</f>
        <v>Money Market</v>
      </c>
      <c r="J1458" t="str">
        <f t="shared" si="44"/>
        <v>OK</v>
      </c>
      <c r="K1458" t="str">
        <f t="shared" si="45"/>
        <v>Money Market</v>
      </c>
      <c r="L1458" t="s">
        <v>188</v>
      </c>
      <c r="M1458" t="str">
        <f>_xlfn.IFNA(VLOOKUP(K1458,'Mapping DEF'!A:C,2,0),"")</f>
        <v>Other</v>
      </c>
      <c r="N1458" t="str">
        <f>+_xlfn.IFNA(VLOOKUP(M1458,'Mapping DEF'!B:C,2,FALSE),"")</f>
        <v>Other</v>
      </c>
      <c r="O1458" t="s">
        <v>2778</v>
      </c>
    </row>
    <row r="1459" spans="1:15" x14ac:dyDescent="0.25">
      <c r="A1459" s="4" t="s">
        <v>2490</v>
      </c>
      <c r="B1459" s="4" t="s">
        <v>2491</v>
      </c>
      <c r="C1459" s="5">
        <v>2508</v>
      </c>
      <c r="D1459" s="6" t="s">
        <v>247</v>
      </c>
      <c r="E1459" t="s">
        <v>1846</v>
      </c>
      <c r="F1459" t="s">
        <v>2169</v>
      </c>
      <c r="G1459" t="str">
        <f>+VLOOKUP(F1459,[1]Explore!$B:$I,8,0)</f>
        <v>Other - Index</v>
      </c>
      <c r="H1459" t="s">
        <v>278</v>
      </c>
      <c r="I1459" t="e">
        <f>+VLOOKUP(H1459,[1]Explore!$A:$I,9,0)</f>
        <v>#N/A</v>
      </c>
      <c r="J1459" t="str">
        <f t="shared" si="44"/>
        <v>OK</v>
      </c>
      <c r="K1459" t="str">
        <f t="shared" si="45"/>
        <v>Other - Index</v>
      </c>
      <c r="L1459" t="s">
        <v>27</v>
      </c>
      <c r="M1459" t="str">
        <f>_xlfn.IFNA(VLOOKUP(K1459,'Mapping DEF'!A:C,2,0),"")</f>
        <v>Other</v>
      </c>
      <c r="N1459" t="str">
        <f>+_xlfn.IFNA(VLOOKUP(M1459,'Mapping DEF'!B:C,2,FALSE),"")</f>
        <v>Other</v>
      </c>
      <c r="O1459" t="s">
        <v>2770</v>
      </c>
    </row>
    <row r="1460" spans="1:15" x14ac:dyDescent="0.25">
      <c r="A1460" s="4" t="s">
        <v>2490</v>
      </c>
      <c r="B1460" s="4" t="s">
        <v>2491</v>
      </c>
      <c r="C1460" s="5">
        <v>2508</v>
      </c>
      <c r="D1460" s="6" t="s">
        <v>247</v>
      </c>
      <c r="E1460" t="s">
        <v>1842</v>
      </c>
      <c r="F1460" t="s">
        <v>22</v>
      </c>
      <c r="G1460" t="str">
        <f>+VLOOKUP(F1460,[1]Explore!$B:$I,8,0)</f>
        <v>Govt USD</v>
      </c>
      <c r="H1460" t="s">
        <v>637</v>
      </c>
      <c r="I1460" t="e">
        <f>+VLOOKUP(H1460,[1]Explore!$A:$I,9,0)</f>
        <v>#N/A</v>
      </c>
      <c r="J1460" t="str">
        <f t="shared" si="44"/>
        <v>OK</v>
      </c>
      <c r="K1460" t="str">
        <f t="shared" si="45"/>
        <v>Govt USD</v>
      </c>
      <c r="L1460" t="s">
        <v>2143</v>
      </c>
      <c r="M1460" t="str">
        <f>_xlfn.IFNA(VLOOKUP(K1460,'Mapping DEF'!A:C,2,0),"")</f>
        <v>Curve (Local)</v>
      </c>
      <c r="N1460" t="str">
        <f>+_xlfn.IFNA(VLOOKUP(M1460,'Mapping DEF'!B:C,2,FALSE),"")</f>
        <v>Term Structure</v>
      </c>
      <c r="O1460" t="s">
        <v>2766</v>
      </c>
    </row>
    <row r="1461" spans="1:15" x14ac:dyDescent="0.25">
      <c r="A1461" s="4" t="s">
        <v>2492</v>
      </c>
      <c r="B1461" s="4" t="s">
        <v>2493</v>
      </c>
      <c r="C1461" s="5">
        <v>2507</v>
      </c>
      <c r="D1461" s="6" t="s">
        <v>247</v>
      </c>
      <c r="E1461" t="s">
        <v>434</v>
      </c>
      <c r="F1461" t="s">
        <v>13</v>
      </c>
      <c r="G1461" t="str">
        <f>+VLOOKUP(F1461,[1]Explore!$B:$I,8,0)</f>
        <v>Govt USD</v>
      </c>
      <c r="H1461" t="s">
        <v>14</v>
      </c>
      <c r="I1461" t="str">
        <f>+VLOOKUP(H1461,[1]Explore!$A:$I,9,0)</f>
        <v>Govt USD</v>
      </c>
      <c r="J1461" t="str">
        <f t="shared" si="44"/>
        <v>OK</v>
      </c>
      <c r="K1461" t="str">
        <f t="shared" si="45"/>
        <v>Govt USD</v>
      </c>
      <c r="L1461" t="s">
        <v>2143</v>
      </c>
      <c r="M1461" t="str">
        <f>_xlfn.IFNA(VLOOKUP(K1461,'Mapping DEF'!A:C,2,0),"")</f>
        <v>Curve (Local)</v>
      </c>
      <c r="N1461" t="str">
        <f>+_xlfn.IFNA(VLOOKUP(M1461,'Mapping DEF'!B:C,2,FALSE),"")</f>
        <v>Term Structure</v>
      </c>
      <c r="O1461" t="s">
        <v>2797</v>
      </c>
    </row>
    <row r="1462" spans="1:15" x14ac:dyDescent="0.25">
      <c r="A1462" s="4" t="s">
        <v>2492</v>
      </c>
      <c r="B1462" s="4" t="s">
        <v>2493</v>
      </c>
      <c r="C1462" s="5">
        <v>2507</v>
      </c>
      <c r="D1462" s="6" t="s">
        <v>247</v>
      </c>
      <c r="E1462" t="s">
        <v>1200</v>
      </c>
      <c r="F1462" t="s">
        <v>19</v>
      </c>
      <c r="G1462" t="str">
        <f>+VLOOKUP(F1462,[1]Explore!$B:$I,8,0)</f>
        <v>Govt USD</v>
      </c>
      <c r="H1462" t="s">
        <v>20</v>
      </c>
      <c r="I1462" t="str">
        <f>+VLOOKUP(H1462,[1]Explore!$A:$I,9,0)</f>
        <v>Govt USD</v>
      </c>
      <c r="J1462" t="str">
        <f t="shared" si="44"/>
        <v>OK</v>
      </c>
      <c r="K1462" t="str">
        <f t="shared" si="45"/>
        <v>Govt USD</v>
      </c>
      <c r="L1462" t="s">
        <v>2143</v>
      </c>
      <c r="M1462" t="str">
        <f>_xlfn.IFNA(VLOOKUP(K1462,'Mapping DEF'!A:C,2,0),"")</f>
        <v>Curve (Local)</v>
      </c>
      <c r="N1462" t="str">
        <f>+_xlfn.IFNA(VLOOKUP(M1462,'Mapping DEF'!B:C,2,FALSE),"")</f>
        <v>Term Structure</v>
      </c>
      <c r="O1462" t="s">
        <v>2788</v>
      </c>
    </row>
    <row r="1463" spans="1:15" x14ac:dyDescent="0.25">
      <c r="A1463" s="4" t="s">
        <v>2492</v>
      </c>
      <c r="B1463" s="4" t="s">
        <v>2493</v>
      </c>
      <c r="C1463" s="5">
        <v>2507</v>
      </c>
      <c r="D1463" s="6" t="s">
        <v>247</v>
      </c>
      <c r="E1463" t="s">
        <v>1357</v>
      </c>
      <c r="F1463" t="s">
        <v>258</v>
      </c>
      <c r="G1463" t="str">
        <f>+VLOOKUP(F1463,[1]Explore!$B:$I,8,0)</f>
        <v>USD Inflation</v>
      </c>
      <c r="H1463" t="s">
        <v>259</v>
      </c>
      <c r="I1463" t="str">
        <f>+VLOOKUP(H1463,[1]Explore!$A:$I,9,0)</f>
        <v>USD Inflation</v>
      </c>
      <c r="J1463" t="str">
        <f t="shared" si="44"/>
        <v>OK</v>
      </c>
      <c r="K1463" t="str">
        <f t="shared" si="45"/>
        <v>USD Inflation</v>
      </c>
      <c r="L1463" t="s">
        <v>2143</v>
      </c>
      <c r="M1463" t="str">
        <f>_xlfn.IFNA(VLOOKUP(K1463,'Mapping DEF'!A:C,2,0),"")</f>
        <v>Inflation</v>
      </c>
      <c r="N1463" t="str">
        <f>+_xlfn.IFNA(VLOOKUP(M1463,'Mapping DEF'!B:C,2,FALSE),"")</f>
        <v>Other</v>
      </c>
      <c r="O1463" t="s">
        <v>2769</v>
      </c>
    </row>
    <row r="1464" spans="1:15" x14ac:dyDescent="0.25">
      <c r="A1464" s="4" t="s">
        <v>2492</v>
      </c>
      <c r="B1464" s="4" t="s">
        <v>2493</v>
      </c>
      <c r="C1464" s="5">
        <v>2507</v>
      </c>
      <c r="D1464" s="6" t="s">
        <v>247</v>
      </c>
      <c r="E1464" t="s">
        <v>1340</v>
      </c>
      <c r="F1464" t="s">
        <v>731</v>
      </c>
      <c r="G1464" t="str">
        <f>+VLOOKUP(F1464,[1]Explore!$B:$I,8,0)</f>
        <v>Alternative - Commodity</v>
      </c>
      <c r="H1464" t="s">
        <v>732</v>
      </c>
      <c r="I1464" t="str">
        <f>+VLOOKUP(H1464,[1]Explore!$A:$I,9,0)</f>
        <v>Alternative - Commodity</v>
      </c>
      <c r="J1464" t="str">
        <f t="shared" si="44"/>
        <v>OK</v>
      </c>
      <c r="K1464" t="str">
        <f t="shared" si="45"/>
        <v>Alternative - Commodity</v>
      </c>
      <c r="L1464" t="s">
        <v>2139</v>
      </c>
      <c r="M1464" t="str">
        <f>_xlfn.IFNA(VLOOKUP(K1464,'Mapping DEF'!A:C,2,0),"")</f>
        <v>Alternative</v>
      </c>
      <c r="N1464" t="str">
        <f>+_xlfn.IFNA(VLOOKUP(M1464,'Mapping DEF'!B:C,2,FALSE),"")</f>
        <v>Other</v>
      </c>
      <c r="O1464" t="s">
        <v>2794</v>
      </c>
    </row>
    <row r="1465" spans="1:15" x14ac:dyDescent="0.25">
      <c r="A1465" s="4" t="s">
        <v>2492</v>
      </c>
      <c r="B1465" s="4" t="s">
        <v>2493</v>
      </c>
      <c r="C1465" s="5">
        <v>2507</v>
      </c>
      <c r="D1465" s="6" t="s">
        <v>247</v>
      </c>
      <c r="E1465" t="s">
        <v>1850</v>
      </c>
      <c r="F1465" t="s">
        <v>753</v>
      </c>
      <c r="G1465" t="e">
        <f>+VLOOKUP(F1465,[1]Explore!$B:$I,8,0)</f>
        <v>#N/A</v>
      </c>
      <c r="H1465" t="s">
        <v>754</v>
      </c>
      <c r="I1465" t="e">
        <f>+VLOOKUP(H1465,[1]Explore!$A:$I,9,0)</f>
        <v>#N/A</v>
      </c>
      <c r="J1465" t="str">
        <f t="shared" si="44"/>
        <v>BOTH #N/A</v>
      </c>
      <c r="K1465" t="str">
        <f t="shared" si="45"/>
        <v>Corporate IG USD - Other</v>
      </c>
      <c r="L1465" t="s">
        <v>2650</v>
      </c>
      <c r="M1465" t="str">
        <f>_xlfn.IFNA(VLOOKUP(K1465,'Mapping DEF'!A:C,2,0),"")</f>
        <v>Spread</v>
      </c>
      <c r="N1465" t="str">
        <f>+_xlfn.IFNA(VLOOKUP(M1465,'Mapping DEF'!B:C,2,FALSE),"")</f>
        <v>Spread</v>
      </c>
      <c r="O1465" t="s">
        <v>2765</v>
      </c>
    </row>
    <row r="1466" spans="1:15" x14ac:dyDescent="0.25">
      <c r="A1466" s="4" t="s">
        <v>2492</v>
      </c>
      <c r="B1466" s="4" t="s">
        <v>2493</v>
      </c>
      <c r="C1466" s="5">
        <v>2507</v>
      </c>
      <c r="D1466" s="6" t="s">
        <v>247</v>
      </c>
      <c r="E1466" t="s">
        <v>1755</v>
      </c>
      <c r="F1466" t="s">
        <v>315</v>
      </c>
      <c r="G1466" t="str">
        <f>+VLOOKUP(F1466,[1]Explore!$B:$I,8,0)</f>
        <v>Govt EUR (Ger)</v>
      </c>
      <c r="H1466" t="s">
        <v>316</v>
      </c>
      <c r="I1466" t="str">
        <f>+VLOOKUP(H1466,[1]Explore!$A:$I,9,0)</f>
        <v>Govt EUR (Ger)</v>
      </c>
      <c r="J1466" t="str">
        <f t="shared" si="44"/>
        <v>OK</v>
      </c>
      <c r="K1466" t="str">
        <f t="shared" si="45"/>
        <v>Govt EUR (Ger)</v>
      </c>
      <c r="L1466" t="s">
        <v>2143</v>
      </c>
      <c r="M1466" t="str">
        <f>_xlfn.IFNA(VLOOKUP(K1466,'Mapping DEF'!A:C,2,0),"")</f>
        <v>Curve (Local)</v>
      </c>
      <c r="N1466" t="str">
        <f>+_xlfn.IFNA(VLOOKUP(M1466,'Mapping DEF'!B:C,2,FALSE),"")</f>
        <v>Term Structure</v>
      </c>
      <c r="O1466" t="s">
        <v>2778</v>
      </c>
    </row>
    <row r="1467" spans="1:15" x14ac:dyDescent="0.25">
      <c r="A1467" s="4" t="s">
        <v>2492</v>
      </c>
      <c r="B1467" s="4" t="s">
        <v>2493</v>
      </c>
      <c r="C1467" s="5">
        <v>2507</v>
      </c>
      <c r="D1467" s="6" t="s">
        <v>247</v>
      </c>
      <c r="E1467" t="s">
        <v>1851</v>
      </c>
      <c r="F1467" t="s">
        <v>2942</v>
      </c>
      <c r="G1467" t="str">
        <f>+VLOOKUP(F1467,[1]Explore!$B:$I,8,0)</f>
        <v>EUR</v>
      </c>
      <c r="H1467" t="s">
        <v>173</v>
      </c>
      <c r="I1467" t="str">
        <f>+VLOOKUP(H1467,[1]Explore!$A:$I,9,0)</f>
        <v>EUR</v>
      </c>
      <c r="J1467" t="str">
        <f t="shared" si="44"/>
        <v>OK</v>
      </c>
      <c r="K1467" t="str">
        <f t="shared" si="45"/>
        <v>EUR</v>
      </c>
      <c r="L1467" t="s">
        <v>2140</v>
      </c>
      <c r="M1467" t="str">
        <f>_xlfn.IFNA(VLOOKUP(K1467,'Mapping DEF'!A:C,2,0),"")</f>
        <v>FX</v>
      </c>
      <c r="N1467" t="str">
        <f>+_xlfn.IFNA(VLOOKUP(M1467,'Mapping DEF'!B:C,2,FALSE),"")</f>
        <v>FX</v>
      </c>
      <c r="O1467" t="s">
        <v>2763</v>
      </c>
    </row>
    <row r="1468" spans="1:15" x14ac:dyDescent="0.25">
      <c r="A1468" s="4" t="s">
        <v>2492</v>
      </c>
      <c r="B1468" s="4" t="s">
        <v>2493</v>
      </c>
      <c r="C1468" s="5">
        <v>2507</v>
      </c>
      <c r="D1468" s="6" t="s">
        <v>247</v>
      </c>
      <c r="E1468" t="s">
        <v>745</v>
      </c>
      <c r="F1468" t="s">
        <v>2156</v>
      </c>
      <c r="G1468" t="str">
        <f>+VLOOKUP(F1468,[1]Explore!$B:$I,8,0)</f>
        <v>Equity Implied Volatility</v>
      </c>
      <c r="H1468" t="s">
        <v>141</v>
      </c>
      <c r="I1468" t="str">
        <f>+VLOOKUP(H1468,[1]Explore!$A:$I,9,0)</f>
        <v>Equity Implied Volatility</v>
      </c>
      <c r="J1468" t="str">
        <f t="shared" si="44"/>
        <v>OK</v>
      </c>
      <c r="K1468" t="str">
        <f t="shared" si="45"/>
        <v>Equity Implied Volatility</v>
      </c>
      <c r="L1468" t="s">
        <v>27</v>
      </c>
      <c r="M1468" t="str">
        <f>_xlfn.IFNA(VLOOKUP(K1468,'Mapping DEF'!A:C,2,0),"")</f>
        <v>Equity Derivatives</v>
      </c>
      <c r="N1468" t="str">
        <f>+_xlfn.IFNA(VLOOKUP(M1468,'Mapping DEF'!B:C,2,FALSE),"")</f>
        <v>Equity</v>
      </c>
      <c r="O1468" t="s">
        <v>2760</v>
      </c>
    </row>
    <row r="1469" spans="1:15" x14ac:dyDescent="0.25">
      <c r="A1469" s="4" t="s">
        <v>2492</v>
      </c>
      <c r="B1469" s="4" t="s">
        <v>2493</v>
      </c>
      <c r="C1469" s="5">
        <v>2507</v>
      </c>
      <c r="D1469" s="6" t="s">
        <v>247</v>
      </c>
      <c r="E1469" t="s">
        <v>1852</v>
      </c>
      <c r="F1469" t="s">
        <v>630</v>
      </c>
      <c r="G1469" t="str">
        <f>+VLOOKUP(F1469,[1]Explore!$B:$I,8,0)</f>
        <v>Value</v>
      </c>
      <c r="H1469" t="s">
        <v>1853</v>
      </c>
      <c r="I1469" t="e">
        <f>+VLOOKUP(H1469,[1]Explore!$A:$I,9,0)</f>
        <v>#N/A</v>
      </c>
      <c r="J1469" t="str">
        <f t="shared" si="44"/>
        <v>OK</v>
      </c>
      <c r="K1469" t="str">
        <f t="shared" si="45"/>
        <v>Value</v>
      </c>
      <c r="L1469" t="s">
        <v>2145</v>
      </c>
      <c r="M1469" t="str">
        <f>_xlfn.IFNA(VLOOKUP(K1469,'Mapping DEF'!A:C,2,0),"")</f>
        <v>Style</v>
      </c>
      <c r="N1469" t="str">
        <f>+_xlfn.IFNA(VLOOKUP(M1469,'Mapping DEF'!B:C,2,FALSE),"")</f>
        <v>Equity</v>
      </c>
      <c r="O1469" t="s">
        <v>2767</v>
      </c>
    </row>
    <row r="1470" spans="1:15" x14ac:dyDescent="0.25">
      <c r="A1470" s="4" t="s">
        <v>2492</v>
      </c>
      <c r="B1470" s="4" t="s">
        <v>2493</v>
      </c>
      <c r="C1470" s="5">
        <v>2507</v>
      </c>
      <c r="D1470" s="6" t="s">
        <v>247</v>
      </c>
      <c r="E1470" t="s">
        <v>1008</v>
      </c>
      <c r="F1470" t="s">
        <v>836</v>
      </c>
      <c r="G1470" t="str">
        <f>+VLOOKUP(F1470,[1]Explore!$B:$I,8,0)</f>
        <v>Govt USD</v>
      </c>
      <c r="H1470" t="s">
        <v>837</v>
      </c>
      <c r="I1470" t="str">
        <f>+VLOOKUP(H1470,[1]Explore!$A:$I,9,0)</f>
        <v>Govt USD</v>
      </c>
      <c r="J1470" t="str">
        <f t="shared" si="44"/>
        <v>OK</v>
      </c>
      <c r="K1470" t="str">
        <f t="shared" si="45"/>
        <v>Govt USD</v>
      </c>
      <c r="L1470" t="s">
        <v>2143</v>
      </c>
      <c r="M1470" t="str">
        <f>_xlfn.IFNA(VLOOKUP(K1470,'Mapping DEF'!A:C,2,0),"")</f>
        <v>Curve (Local)</v>
      </c>
      <c r="N1470" t="str">
        <f>+_xlfn.IFNA(VLOOKUP(M1470,'Mapping DEF'!B:C,2,FALSE),"")</f>
        <v>Term Structure</v>
      </c>
      <c r="O1470" t="s">
        <v>2790</v>
      </c>
    </row>
    <row r="1471" spans="1:15" x14ac:dyDescent="0.25">
      <c r="A1471" s="4" t="s">
        <v>2492</v>
      </c>
      <c r="B1471" s="4" t="s">
        <v>2493</v>
      </c>
      <c r="C1471" s="5">
        <v>2507</v>
      </c>
      <c r="D1471" s="6" t="s">
        <v>247</v>
      </c>
      <c r="E1471" t="s">
        <v>1842</v>
      </c>
      <c r="F1471" t="s">
        <v>22</v>
      </c>
      <c r="G1471" t="str">
        <f>+VLOOKUP(F1471,[1]Explore!$B:$I,8,0)</f>
        <v>Govt USD</v>
      </c>
      <c r="H1471" t="s">
        <v>637</v>
      </c>
      <c r="I1471" t="e">
        <f>+VLOOKUP(H1471,[1]Explore!$A:$I,9,0)</f>
        <v>#N/A</v>
      </c>
      <c r="J1471" t="str">
        <f t="shared" si="44"/>
        <v>OK</v>
      </c>
      <c r="K1471" t="str">
        <f t="shared" si="45"/>
        <v>Govt USD</v>
      </c>
      <c r="L1471" t="s">
        <v>2143</v>
      </c>
      <c r="M1471" t="str">
        <f>_xlfn.IFNA(VLOOKUP(K1471,'Mapping DEF'!A:C,2,0),"")</f>
        <v>Curve (Local)</v>
      </c>
      <c r="N1471" t="str">
        <f>+_xlfn.IFNA(VLOOKUP(M1471,'Mapping DEF'!B:C,2,FALSE),"")</f>
        <v>Term Structure</v>
      </c>
      <c r="O1471" t="s">
        <v>2766</v>
      </c>
    </row>
    <row r="1472" spans="1:15" x14ac:dyDescent="0.25">
      <c r="A1472" s="4" t="s">
        <v>2494</v>
      </c>
      <c r="B1472" s="4" t="s">
        <v>2495</v>
      </c>
      <c r="C1472" s="5">
        <v>2311</v>
      </c>
      <c r="D1472" s="6" t="s">
        <v>2496</v>
      </c>
      <c r="E1472" t="s">
        <v>247</v>
      </c>
      <c r="G1472" t="e">
        <f>+VLOOKUP(F1472,[1]Explore!$B:$I,8,0)</f>
        <v>#N/A</v>
      </c>
      <c r="H1472" t="s">
        <v>247</v>
      </c>
      <c r="I1472" t="e">
        <f>+VLOOKUP(H1472,[1]Explore!$A:$I,9,0)</f>
        <v>#N/A</v>
      </c>
      <c r="J1472" t="str">
        <f t="shared" si="44"/>
        <v>BOTH #N/A</v>
      </c>
      <c r="K1472" t="str">
        <f t="shared" si="45"/>
        <v>-</v>
      </c>
      <c r="L1472" t="s">
        <v>247</v>
      </c>
      <c r="M1472" t="str">
        <f>_xlfn.IFNA(VLOOKUP(K1472,'Mapping DEF'!A:C,2,0),"")</f>
        <v/>
      </c>
      <c r="N1472" t="str">
        <f>+_xlfn.IFNA(VLOOKUP(M1472,'Mapping DEF'!B:C,2,FALSE),"")</f>
        <v/>
      </c>
    </row>
    <row r="1473" spans="1:15" x14ac:dyDescent="0.25">
      <c r="A1473" s="4" t="s">
        <v>2497</v>
      </c>
      <c r="B1473" s="4" t="s">
        <v>2498</v>
      </c>
      <c r="C1473" s="5">
        <v>2312</v>
      </c>
      <c r="D1473" s="6" t="s">
        <v>2499</v>
      </c>
      <c r="E1473" t="s">
        <v>247</v>
      </c>
      <c r="G1473" t="e">
        <f>+VLOOKUP(F1473,[1]Explore!$B:$I,8,0)</f>
        <v>#N/A</v>
      </c>
      <c r="H1473" t="s">
        <v>247</v>
      </c>
      <c r="I1473" t="e">
        <f>+VLOOKUP(H1473,[1]Explore!$A:$I,9,0)</f>
        <v>#N/A</v>
      </c>
      <c r="J1473" t="str">
        <f t="shared" si="44"/>
        <v>BOTH #N/A</v>
      </c>
      <c r="K1473" t="str">
        <f t="shared" si="45"/>
        <v>-</v>
      </c>
      <c r="L1473" t="s">
        <v>247</v>
      </c>
      <c r="M1473" t="str">
        <f>_xlfn.IFNA(VLOOKUP(K1473,'Mapping DEF'!A:C,2,0),"")</f>
        <v/>
      </c>
      <c r="N1473" t="str">
        <f>+_xlfn.IFNA(VLOOKUP(M1473,'Mapping DEF'!B:C,2,FALSE),"")</f>
        <v/>
      </c>
    </row>
    <row r="1474" spans="1:15" x14ac:dyDescent="0.25">
      <c r="A1474" s="4" t="s">
        <v>2500</v>
      </c>
      <c r="B1474" s="4" t="s">
        <v>2501</v>
      </c>
      <c r="C1474" s="5">
        <v>2010</v>
      </c>
      <c r="D1474" s="6" t="s">
        <v>2502</v>
      </c>
      <c r="E1474" t="s">
        <v>1854</v>
      </c>
      <c r="F1474" t="s">
        <v>206</v>
      </c>
      <c r="G1474" t="e">
        <f>+VLOOKUP(F1474,[1]Explore!$B:$I,8,0)</f>
        <v>#N/A</v>
      </c>
      <c r="H1474" t="s">
        <v>206</v>
      </c>
      <c r="I1474" t="e">
        <f>+VLOOKUP(H1474,[1]Explore!$A:$I,9,0)</f>
        <v>#N/A</v>
      </c>
      <c r="J1474" t="str">
        <f t="shared" si="44"/>
        <v>BOTH #N/A</v>
      </c>
      <c r="K1474" t="str">
        <f t="shared" si="45"/>
        <v>Dollar Index</v>
      </c>
      <c r="L1474" t="s">
        <v>2930</v>
      </c>
      <c r="M1474" t="str">
        <f>_xlfn.IFNA(VLOOKUP(K1474,'Mapping DEF'!A:C,2,0),"")</f>
        <v>Index Level</v>
      </c>
      <c r="N1474" t="str">
        <f>+_xlfn.IFNA(VLOOKUP(M1474,'Mapping DEF'!B:C,2,FALSE),"")</f>
        <v>Other</v>
      </c>
      <c r="O1474" t="s">
        <v>2761</v>
      </c>
    </row>
    <row r="1475" spans="1:15" x14ac:dyDescent="0.25">
      <c r="A1475" s="4" t="s">
        <v>2503</v>
      </c>
      <c r="B1475" s="4" t="s">
        <v>2504</v>
      </c>
      <c r="C1475" s="5">
        <v>2002</v>
      </c>
      <c r="D1475" s="6" t="s">
        <v>2505</v>
      </c>
      <c r="E1475" t="s">
        <v>1855</v>
      </c>
      <c r="F1475" t="s">
        <v>19</v>
      </c>
      <c r="G1475" t="str">
        <f>+VLOOKUP(F1475,[1]Explore!$B:$I,8,0)</f>
        <v>Govt USD</v>
      </c>
      <c r="H1475" t="s">
        <v>20</v>
      </c>
      <c r="I1475" t="str">
        <f>+VLOOKUP(H1475,[1]Explore!$A:$I,9,0)</f>
        <v>Govt USD</v>
      </c>
      <c r="J1475" t="str">
        <f t="shared" ref="J1475:J1538" si="46">IF(AND(ISNA(G1475),ISNA(I1475)),"BOTH #N/A","OK")</f>
        <v>OK</v>
      </c>
      <c r="K1475" t="str">
        <f t="shared" ref="K1475:K1538" si="47">IFERROR(I1475, IFERROR(G1475, L1475))</f>
        <v>Govt USD</v>
      </c>
      <c r="L1475" t="s">
        <v>2143</v>
      </c>
      <c r="M1475" t="str">
        <f>_xlfn.IFNA(VLOOKUP(K1475,'Mapping DEF'!A:C,2,0),"")</f>
        <v>Curve (Local)</v>
      </c>
      <c r="N1475" t="str">
        <f>+_xlfn.IFNA(VLOOKUP(M1475,'Mapping DEF'!B:C,2,FALSE),"")</f>
        <v>Term Structure</v>
      </c>
      <c r="O1475" t="s">
        <v>2881</v>
      </c>
    </row>
    <row r="1476" spans="1:15" x14ac:dyDescent="0.25">
      <c r="A1476" s="4" t="s">
        <v>2503</v>
      </c>
      <c r="B1476" s="4" t="s">
        <v>2504</v>
      </c>
      <c r="C1476" s="5">
        <v>2002</v>
      </c>
      <c r="D1476" s="6" t="s">
        <v>2505</v>
      </c>
      <c r="E1476" t="s">
        <v>1856</v>
      </c>
      <c r="F1476" t="s">
        <v>183</v>
      </c>
      <c r="G1476" t="str">
        <f>+VLOOKUP(F1476,[1]Explore!$B:$I,8,0)</f>
        <v>Equity Implied Volatility</v>
      </c>
      <c r="H1476" t="s">
        <v>184</v>
      </c>
      <c r="I1476" t="str">
        <f>+VLOOKUP(H1476,[1]Explore!$A:$I,9,0)</f>
        <v>Equity Implied Volatility</v>
      </c>
      <c r="J1476" t="str">
        <f t="shared" si="46"/>
        <v>OK</v>
      </c>
      <c r="K1476" t="str">
        <f t="shared" si="47"/>
        <v>Equity Implied Volatility</v>
      </c>
      <c r="L1476" t="s">
        <v>27</v>
      </c>
      <c r="M1476" t="str">
        <f>_xlfn.IFNA(VLOOKUP(K1476,'Mapping DEF'!A:C,2,0),"")</f>
        <v>Equity Derivatives</v>
      </c>
      <c r="N1476" t="str">
        <f>+_xlfn.IFNA(VLOOKUP(M1476,'Mapping DEF'!B:C,2,FALSE),"")</f>
        <v>Equity</v>
      </c>
      <c r="O1476" t="s">
        <v>2882</v>
      </c>
    </row>
    <row r="1477" spans="1:15" x14ac:dyDescent="0.25">
      <c r="A1477" s="4" t="s">
        <v>2506</v>
      </c>
      <c r="B1477" s="4" t="s">
        <v>2507</v>
      </c>
      <c r="C1477" s="5">
        <v>2003</v>
      </c>
      <c r="D1477" s="6" t="s">
        <v>2508</v>
      </c>
      <c r="E1477" t="s">
        <v>1855</v>
      </c>
      <c r="F1477" t="s">
        <v>19</v>
      </c>
      <c r="G1477" t="str">
        <f>+VLOOKUP(F1477,[1]Explore!$B:$I,8,0)</f>
        <v>Govt USD</v>
      </c>
      <c r="H1477" t="s">
        <v>20</v>
      </c>
      <c r="I1477" t="str">
        <f>+VLOOKUP(H1477,[1]Explore!$A:$I,9,0)</f>
        <v>Govt USD</v>
      </c>
      <c r="J1477" t="str">
        <f t="shared" si="46"/>
        <v>OK</v>
      </c>
      <c r="K1477" t="str">
        <f t="shared" si="47"/>
        <v>Govt USD</v>
      </c>
      <c r="L1477" t="s">
        <v>2143</v>
      </c>
      <c r="M1477" t="str">
        <f>_xlfn.IFNA(VLOOKUP(K1477,'Mapping DEF'!A:C,2,0),"")</f>
        <v>Curve (Local)</v>
      </c>
      <c r="N1477" t="str">
        <f>+_xlfn.IFNA(VLOOKUP(M1477,'Mapping DEF'!B:C,2,FALSE),"")</f>
        <v>Term Structure</v>
      </c>
      <c r="O1477" t="s">
        <v>2881</v>
      </c>
    </row>
    <row r="1478" spans="1:15" x14ac:dyDescent="0.25">
      <c r="A1478" s="4" t="s">
        <v>2506</v>
      </c>
      <c r="B1478" s="4" t="s">
        <v>2507</v>
      </c>
      <c r="C1478" s="5">
        <v>2003</v>
      </c>
      <c r="D1478" s="6" t="s">
        <v>2508</v>
      </c>
      <c r="E1478" t="s">
        <v>1857</v>
      </c>
      <c r="F1478" t="s">
        <v>183</v>
      </c>
      <c r="G1478" t="str">
        <f>+VLOOKUP(F1478,[1]Explore!$B:$I,8,0)</f>
        <v>Equity Implied Volatility</v>
      </c>
      <c r="H1478" t="s">
        <v>184</v>
      </c>
      <c r="I1478" t="str">
        <f>+VLOOKUP(H1478,[1]Explore!$A:$I,9,0)</f>
        <v>Equity Implied Volatility</v>
      </c>
      <c r="J1478" t="str">
        <f t="shared" si="46"/>
        <v>OK</v>
      </c>
      <c r="K1478" t="str">
        <f t="shared" si="47"/>
        <v>Equity Implied Volatility</v>
      </c>
      <c r="L1478" t="s">
        <v>27</v>
      </c>
      <c r="M1478" t="str">
        <f>_xlfn.IFNA(VLOOKUP(K1478,'Mapping DEF'!A:C,2,0),"")</f>
        <v>Equity Derivatives</v>
      </c>
      <c r="N1478" t="str">
        <f>+_xlfn.IFNA(VLOOKUP(M1478,'Mapping DEF'!B:C,2,FALSE),"")</f>
        <v>Equity</v>
      </c>
      <c r="O1478" t="s">
        <v>2883</v>
      </c>
    </row>
    <row r="1479" spans="1:15" x14ac:dyDescent="0.25">
      <c r="A1479" s="4" t="s">
        <v>2509</v>
      </c>
      <c r="B1479" s="4" t="s">
        <v>2510</v>
      </c>
      <c r="C1479" s="5">
        <v>2004</v>
      </c>
      <c r="D1479" s="6" t="s">
        <v>2511</v>
      </c>
      <c r="E1479" t="s">
        <v>1858</v>
      </c>
      <c r="F1479" t="s">
        <v>19</v>
      </c>
      <c r="G1479" t="str">
        <f>+VLOOKUP(F1479,[1]Explore!$B:$I,8,0)</f>
        <v>Govt USD</v>
      </c>
      <c r="H1479" t="s">
        <v>20</v>
      </c>
      <c r="I1479" t="str">
        <f>+VLOOKUP(H1479,[1]Explore!$A:$I,9,0)</f>
        <v>Govt USD</v>
      </c>
      <c r="J1479" t="str">
        <f t="shared" si="46"/>
        <v>OK</v>
      </c>
      <c r="K1479" t="str">
        <f t="shared" si="47"/>
        <v>Govt USD</v>
      </c>
      <c r="L1479" t="s">
        <v>2143</v>
      </c>
      <c r="M1479" t="str">
        <f>_xlfn.IFNA(VLOOKUP(K1479,'Mapping DEF'!A:C,2,0),"")</f>
        <v>Curve (Local)</v>
      </c>
      <c r="N1479" t="str">
        <f>+_xlfn.IFNA(VLOOKUP(M1479,'Mapping DEF'!B:C,2,FALSE),"")</f>
        <v>Term Structure</v>
      </c>
      <c r="O1479" t="s">
        <v>2884</v>
      </c>
    </row>
    <row r="1480" spans="1:15" x14ac:dyDescent="0.25">
      <c r="A1480" s="4" t="s">
        <v>2509</v>
      </c>
      <c r="B1480" s="4" t="s">
        <v>2510</v>
      </c>
      <c r="C1480" s="5">
        <v>2004</v>
      </c>
      <c r="D1480" s="6" t="s">
        <v>2511</v>
      </c>
      <c r="E1480" t="s">
        <v>1857</v>
      </c>
      <c r="F1480" t="s">
        <v>183</v>
      </c>
      <c r="G1480" t="str">
        <f>+VLOOKUP(F1480,[1]Explore!$B:$I,8,0)</f>
        <v>Equity Implied Volatility</v>
      </c>
      <c r="H1480" t="s">
        <v>184</v>
      </c>
      <c r="I1480" t="str">
        <f>+VLOOKUP(H1480,[1]Explore!$A:$I,9,0)</f>
        <v>Equity Implied Volatility</v>
      </c>
      <c r="J1480" t="str">
        <f t="shared" si="46"/>
        <v>OK</v>
      </c>
      <c r="K1480" t="str">
        <f t="shared" si="47"/>
        <v>Equity Implied Volatility</v>
      </c>
      <c r="L1480" t="s">
        <v>27</v>
      </c>
      <c r="M1480" t="str">
        <f>_xlfn.IFNA(VLOOKUP(K1480,'Mapping DEF'!A:C,2,0),"")</f>
        <v>Equity Derivatives</v>
      </c>
      <c r="N1480" t="str">
        <f>+_xlfn.IFNA(VLOOKUP(M1480,'Mapping DEF'!B:C,2,FALSE),"")</f>
        <v>Equity</v>
      </c>
      <c r="O1480" t="s">
        <v>2883</v>
      </c>
    </row>
    <row r="1481" spans="1:15" x14ac:dyDescent="0.25">
      <c r="A1481" s="4" t="s">
        <v>2512</v>
      </c>
      <c r="B1481" s="4" t="s">
        <v>2513</v>
      </c>
      <c r="C1481" s="5">
        <v>2005</v>
      </c>
      <c r="D1481" s="6" t="s">
        <v>2514</v>
      </c>
      <c r="E1481" t="s">
        <v>1859</v>
      </c>
      <c r="F1481" t="s">
        <v>1860</v>
      </c>
      <c r="G1481" t="str">
        <f>+VLOOKUP(F1481,[1]Explore!$B:$I,8,0)</f>
        <v>Equity Implied Volatility</v>
      </c>
      <c r="H1481" t="s">
        <v>446</v>
      </c>
      <c r="I1481" t="e">
        <f>+VLOOKUP(H1481,[1]Explore!$A:$I,9,0)</f>
        <v>#N/A</v>
      </c>
      <c r="J1481" t="str">
        <f t="shared" si="46"/>
        <v>OK</v>
      </c>
      <c r="K1481" t="str">
        <f t="shared" si="47"/>
        <v>Equity Implied Volatility</v>
      </c>
      <c r="L1481" t="s">
        <v>27</v>
      </c>
      <c r="M1481" t="str">
        <f>_xlfn.IFNA(VLOOKUP(K1481,'Mapping DEF'!A:C,2,0),"")</f>
        <v>Equity Derivatives</v>
      </c>
      <c r="N1481" t="str">
        <f>+_xlfn.IFNA(VLOOKUP(M1481,'Mapping DEF'!B:C,2,FALSE),"")</f>
        <v>Equity</v>
      </c>
      <c r="O1481" t="s">
        <v>2885</v>
      </c>
    </row>
    <row r="1482" spans="1:15" x14ac:dyDescent="0.25">
      <c r="A1482" s="4" t="s">
        <v>2515</v>
      </c>
      <c r="B1482" s="4" t="s">
        <v>2516</v>
      </c>
      <c r="C1482" s="5">
        <v>2006</v>
      </c>
      <c r="D1482" s="6" t="s">
        <v>2517</v>
      </c>
      <c r="E1482" t="s">
        <v>1861</v>
      </c>
      <c r="F1482" t="s">
        <v>826</v>
      </c>
      <c r="G1482" t="str">
        <f>+VLOOKUP(F1482,[1]Explore!$B:$I,8,0)</f>
        <v>Equity Implied Volatility</v>
      </c>
      <c r="H1482" t="s">
        <v>433</v>
      </c>
      <c r="I1482" t="e">
        <f>+VLOOKUP(H1482,[1]Explore!$A:$I,9,0)</f>
        <v>#N/A</v>
      </c>
      <c r="J1482" t="str">
        <f t="shared" si="46"/>
        <v>OK</v>
      </c>
      <c r="K1482" t="str">
        <f t="shared" si="47"/>
        <v>Equity Implied Volatility</v>
      </c>
      <c r="L1482" t="s">
        <v>27</v>
      </c>
      <c r="M1482" t="str">
        <f>_xlfn.IFNA(VLOOKUP(K1482,'Mapping DEF'!A:C,2,0),"")</f>
        <v>Equity Derivatives</v>
      </c>
      <c r="N1482" t="str">
        <f>+_xlfn.IFNA(VLOOKUP(M1482,'Mapping DEF'!B:C,2,FALSE),"")</f>
        <v>Equity</v>
      </c>
      <c r="O1482" t="s">
        <v>2847</v>
      </c>
    </row>
    <row r="1483" spans="1:15" x14ac:dyDescent="0.25">
      <c r="A1483" s="4" t="s">
        <v>2518</v>
      </c>
      <c r="B1483" s="4" t="s">
        <v>2519</v>
      </c>
      <c r="C1483" s="5">
        <v>2007</v>
      </c>
      <c r="D1483" s="6" t="s">
        <v>2520</v>
      </c>
      <c r="E1483" t="s">
        <v>1862</v>
      </c>
      <c r="F1483" t="s">
        <v>19</v>
      </c>
      <c r="G1483" t="str">
        <f>+VLOOKUP(F1483,[1]Explore!$B:$I,8,0)</f>
        <v>Govt USD</v>
      </c>
      <c r="H1483" t="s">
        <v>323</v>
      </c>
      <c r="I1483" t="e">
        <f>+VLOOKUP(H1483,[1]Explore!$A:$I,9,0)</f>
        <v>#N/A</v>
      </c>
      <c r="J1483" t="str">
        <f t="shared" si="46"/>
        <v>OK</v>
      </c>
      <c r="K1483" t="str">
        <f t="shared" si="47"/>
        <v>Govt USD</v>
      </c>
      <c r="L1483" t="s">
        <v>2143</v>
      </c>
      <c r="M1483" t="str">
        <f>_xlfn.IFNA(VLOOKUP(K1483,'Mapping DEF'!A:C,2,0),"")</f>
        <v>Curve (Local)</v>
      </c>
      <c r="N1483" t="str">
        <f>+_xlfn.IFNA(VLOOKUP(M1483,'Mapping DEF'!B:C,2,FALSE),"")</f>
        <v>Term Structure</v>
      </c>
      <c r="O1483" t="s">
        <v>2785</v>
      </c>
    </row>
    <row r="1484" spans="1:15" x14ac:dyDescent="0.25">
      <c r="A1484" s="4" t="s">
        <v>2521</v>
      </c>
      <c r="B1484" s="4" t="s">
        <v>2369</v>
      </c>
      <c r="C1484" s="5">
        <v>2008</v>
      </c>
      <c r="D1484" s="6" t="s">
        <v>2522</v>
      </c>
      <c r="E1484" t="s">
        <v>1863</v>
      </c>
      <c r="F1484" t="s">
        <v>268</v>
      </c>
      <c r="G1484" t="str">
        <f>+VLOOKUP(F1484,[1]Explore!$B:$I,8,0)</f>
        <v>Alternative - Commodity</v>
      </c>
      <c r="H1484" t="s">
        <v>269</v>
      </c>
      <c r="I1484" t="str">
        <f>+VLOOKUP(H1484,[1]Explore!$A:$I,9,0)</f>
        <v>Alternative - Commodity</v>
      </c>
      <c r="J1484" t="str">
        <f t="shared" si="46"/>
        <v>OK</v>
      </c>
      <c r="K1484" t="str">
        <f t="shared" si="47"/>
        <v>Alternative - Commodity</v>
      </c>
      <c r="L1484" t="s">
        <v>2139</v>
      </c>
      <c r="M1484" t="str">
        <f>_xlfn.IFNA(VLOOKUP(K1484,'Mapping DEF'!A:C,2,0),"")</f>
        <v>Alternative</v>
      </c>
      <c r="N1484" t="str">
        <f>+_xlfn.IFNA(VLOOKUP(M1484,'Mapping DEF'!B:C,2,FALSE),"")</f>
        <v>Other</v>
      </c>
      <c r="O1484" t="s">
        <v>2886</v>
      </c>
    </row>
    <row r="1485" spans="1:15" x14ac:dyDescent="0.25">
      <c r="A1485" s="4" t="s">
        <v>2523</v>
      </c>
      <c r="B1485" s="4" t="s">
        <v>2372</v>
      </c>
      <c r="C1485" s="5">
        <v>2009</v>
      </c>
      <c r="D1485" s="6" t="s">
        <v>2524</v>
      </c>
      <c r="E1485" t="s">
        <v>1864</v>
      </c>
      <c r="F1485" t="s">
        <v>731</v>
      </c>
      <c r="G1485" t="str">
        <f>+VLOOKUP(F1485,[1]Explore!$B:$I,8,0)</f>
        <v>Alternative - Commodity</v>
      </c>
      <c r="H1485" t="s">
        <v>732</v>
      </c>
      <c r="I1485" t="str">
        <f>+VLOOKUP(H1485,[1]Explore!$A:$I,9,0)</f>
        <v>Alternative - Commodity</v>
      </c>
      <c r="J1485" t="str">
        <f t="shared" si="46"/>
        <v>OK</v>
      </c>
      <c r="K1485" t="str">
        <f t="shared" si="47"/>
        <v>Alternative - Commodity</v>
      </c>
      <c r="L1485" t="s">
        <v>2139</v>
      </c>
      <c r="M1485" t="str">
        <f>_xlfn.IFNA(VLOOKUP(K1485,'Mapping DEF'!A:C,2,0),"")</f>
        <v>Alternative</v>
      </c>
      <c r="N1485" t="str">
        <f>+_xlfn.IFNA(VLOOKUP(M1485,'Mapping DEF'!B:C,2,FALSE),"")</f>
        <v>Other</v>
      </c>
      <c r="O1485" t="s">
        <v>2887</v>
      </c>
    </row>
    <row r="1486" spans="1:15" x14ac:dyDescent="0.25">
      <c r="A1486" s="4" t="s">
        <v>2525</v>
      </c>
      <c r="B1486" s="4" t="s">
        <v>2526</v>
      </c>
      <c r="C1486" s="5">
        <v>2474</v>
      </c>
      <c r="D1486" s="6" t="s">
        <v>2527</v>
      </c>
      <c r="E1486" t="s">
        <v>1261</v>
      </c>
      <c r="F1486" t="s">
        <v>265</v>
      </c>
      <c r="G1486" t="str">
        <f>+VLOOKUP(F1486,[1]Explore!$B:$I,8,0)</f>
        <v>Alternative - Commodity</v>
      </c>
      <c r="H1486" t="s">
        <v>266</v>
      </c>
      <c r="I1486" t="str">
        <f>+VLOOKUP(H1486,[1]Explore!$A:$I,9,0)</f>
        <v>Alternative - Commodity</v>
      </c>
      <c r="J1486" t="str">
        <f t="shared" si="46"/>
        <v>OK</v>
      </c>
      <c r="K1486" t="str">
        <f t="shared" si="47"/>
        <v>Alternative - Commodity</v>
      </c>
      <c r="L1486" t="s">
        <v>2139</v>
      </c>
      <c r="M1486" t="str">
        <f>_xlfn.IFNA(VLOOKUP(K1486,'Mapping DEF'!A:C,2,0),"")</f>
        <v>Alternative</v>
      </c>
      <c r="N1486" t="str">
        <f>+_xlfn.IFNA(VLOOKUP(M1486,'Mapping DEF'!B:C,2,FALSE),"")</f>
        <v>Other</v>
      </c>
      <c r="O1486" t="s">
        <v>2768</v>
      </c>
    </row>
    <row r="1487" spans="1:15" x14ac:dyDescent="0.25">
      <c r="A1487" s="4" t="s">
        <v>2525</v>
      </c>
      <c r="B1487" s="4" t="s">
        <v>2526</v>
      </c>
      <c r="C1487" s="5">
        <v>2474</v>
      </c>
      <c r="D1487" s="6" t="s">
        <v>2527</v>
      </c>
      <c r="E1487" t="s">
        <v>1865</v>
      </c>
      <c r="F1487" t="s">
        <v>675</v>
      </c>
      <c r="G1487" t="str">
        <f>+VLOOKUP(F1487,[1]Explore!$B:$I,8,0)</f>
        <v>Alternative - Commodity</v>
      </c>
      <c r="H1487" t="s">
        <v>676</v>
      </c>
      <c r="I1487" t="str">
        <f>+VLOOKUP(H1487,[1]Explore!$A:$I,9,0)</f>
        <v>Alternative - Commodity</v>
      </c>
      <c r="J1487" t="str">
        <f t="shared" si="46"/>
        <v>OK</v>
      </c>
      <c r="K1487" t="str">
        <f t="shared" si="47"/>
        <v>Alternative - Commodity</v>
      </c>
      <c r="L1487" t="s">
        <v>2139</v>
      </c>
      <c r="M1487" t="str">
        <f>_xlfn.IFNA(VLOOKUP(K1487,'Mapping DEF'!A:C,2,0),"")</f>
        <v>Alternative</v>
      </c>
      <c r="N1487" t="str">
        <f>+_xlfn.IFNA(VLOOKUP(M1487,'Mapping DEF'!B:C,2,FALSE),"")</f>
        <v>Other</v>
      </c>
      <c r="O1487" t="s">
        <v>2808</v>
      </c>
    </row>
    <row r="1488" spans="1:15" x14ac:dyDescent="0.25">
      <c r="A1488" s="4" t="s">
        <v>2525</v>
      </c>
      <c r="B1488" s="4" t="s">
        <v>2526</v>
      </c>
      <c r="C1488" s="5">
        <v>2474</v>
      </c>
      <c r="D1488" s="6" t="s">
        <v>2527</v>
      </c>
      <c r="E1488" t="s">
        <v>1866</v>
      </c>
      <c r="F1488" t="s">
        <v>997</v>
      </c>
      <c r="G1488" t="str">
        <f>+VLOOKUP(F1488,[1]Explore!$B:$I,8,0)</f>
        <v>Govt EUR (Ger)</v>
      </c>
      <c r="H1488" t="s">
        <v>998</v>
      </c>
      <c r="I1488" t="str">
        <f>+VLOOKUP(H1488,[1]Explore!$A:$I,9,0)</f>
        <v>Govt EUR (Ger)</v>
      </c>
      <c r="J1488" t="str">
        <f t="shared" si="46"/>
        <v>OK</v>
      </c>
      <c r="K1488" t="str">
        <f t="shared" si="47"/>
        <v>Govt EUR (Ger)</v>
      </c>
      <c r="L1488" t="s">
        <v>2143</v>
      </c>
      <c r="M1488" t="str">
        <f>_xlfn.IFNA(VLOOKUP(K1488,'Mapping DEF'!A:C,2,0),"")</f>
        <v>Curve (Local)</v>
      </c>
      <c r="N1488" t="str">
        <f>+_xlfn.IFNA(VLOOKUP(M1488,'Mapping DEF'!B:C,2,FALSE),"")</f>
        <v>Term Structure</v>
      </c>
      <c r="O1488" t="s">
        <v>2788</v>
      </c>
    </row>
    <row r="1489" spans="1:15" x14ac:dyDescent="0.25">
      <c r="A1489" s="4" t="s">
        <v>2525</v>
      </c>
      <c r="B1489" s="4" t="s">
        <v>2526</v>
      </c>
      <c r="C1489" s="5">
        <v>2474</v>
      </c>
      <c r="D1489" s="6" t="s">
        <v>2527</v>
      </c>
      <c r="E1489" t="s">
        <v>1095</v>
      </c>
      <c r="F1489" t="s">
        <v>1096</v>
      </c>
      <c r="G1489" t="str">
        <f>+VLOOKUP(F1489,[1]Explore!$B:$I,8,0)</f>
        <v>EUR Inflation</v>
      </c>
      <c r="H1489" t="s">
        <v>1097</v>
      </c>
      <c r="I1489" t="str">
        <f>+VLOOKUP(H1489,[1]Explore!$A:$I,9,0)</f>
        <v>EUR Inflation</v>
      </c>
      <c r="J1489" t="str">
        <f t="shared" si="46"/>
        <v>OK</v>
      </c>
      <c r="K1489" t="str">
        <f t="shared" si="47"/>
        <v>EUR Inflation</v>
      </c>
      <c r="L1489" t="s">
        <v>2143</v>
      </c>
      <c r="M1489" t="str">
        <f>_xlfn.IFNA(VLOOKUP(K1489,'Mapping DEF'!A:C,2,0),"")</f>
        <v>Inflation</v>
      </c>
      <c r="N1489" t="str">
        <f>+_xlfn.IFNA(VLOOKUP(M1489,'Mapping DEF'!B:C,2,FALSE),"")</f>
        <v>Other</v>
      </c>
      <c r="O1489" t="s">
        <v>2752</v>
      </c>
    </row>
    <row r="1490" spans="1:15" x14ac:dyDescent="0.25">
      <c r="A1490" s="4" t="s">
        <v>2525</v>
      </c>
      <c r="B1490" s="4" t="s">
        <v>2526</v>
      </c>
      <c r="C1490" s="5">
        <v>2474</v>
      </c>
      <c r="D1490" s="6" t="s">
        <v>2527</v>
      </c>
      <c r="E1490" t="s">
        <v>1867</v>
      </c>
      <c r="F1490" t="s">
        <v>572</v>
      </c>
      <c r="G1490" t="str">
        <f>+VLOOKUP(F1490,[1]Explore!$B:$I,8,0)</f>
        <v>Equity Implied Volatility</v>
      </c>
      <c r="H1490" t="s">
        <v>573</v>
      </c>
      <c r="I1490" t="str">
        <f>+VLOOKUP(H1490,[1]Explore!$A:$I,9,0)</f>
        <v>Equity Implied Volatility</v>
      </c>
      <c r="J1490" t="str">
        <f t="shared" si="46"/>
        <v>OK</v>
      </c>
      <c r="K1490" t="str">
        <f t="shared" si="47"/>
        <v>Equity Implied Volatility</v>
      </c>
      <c r="L1490" t="s">
        <v>27</v>
      </c>
      <c r="M1490" t="str">
        <f>_xlfn.IFNA(VLOOKUP(K1490,'Mapping DEF'!A:C,2,0),"")</f>
        <v>Equity Derivatives</v>
      </c>
      <c r="N1490" t="str">
        <f>+_xlfn.IFNA(VLOOKUP(M1490,'Mapping DEF'!B:C,2,FALSE),"")</f>
        <v>Equity</v>
      </c>
      <c r="O1490" t="s">
        <v>2770</v>
      </c>
    </row>
    <row r="1491" spans="1:15" x14ac:dyDescent="0.25">
      <c r="A1491" s="4" t="s">
        <v>2525</v>
      </c>
      <c r="B1491" s="4" t="s">
        <v>2526</v>
      </c>
      <c r="C1491" s="5">
        <v>2474</v>
      </c>
      <c r="D1491" s="6" t="s">
        <v>2527</v>
      </c>
      <c r="E1491" t="s">
        <v>1868</v>
      </c>
      <c r="F1491" t="s">
        <v>529</v>
      </c>
      <c r="G1491" t="str">
        <f>+VLOOKUP(F1491,[1]Explore!$B:$I,8,0)</f>
        <v>Equity Implied Volatility</v>
      </c>
      <c r="H1491" t="s">
        <v>530</v>
      </c>
      <c r="I1491" t="str">
        <f>+VLOOKUP(H1491,[1]Explore!$A:$I,9,0)</f>
        <v>Equity Implied Volatility</v>
      </c>
      <c r="J1491" t="str">
        <f t="shared" si="46"/>
        <v>OK</v>
      </c>
      <c r="K1491" t="str">
        <f t="shared" si="47"/>
        <v>Equity Implied Volatility</v>
      </c>
      <c r="L1491" t="s">
        <v>27</v>
      </c>
      <c r="M1491" t="str">
        <f>_xlfn.IFNA(VLOOKUP(K1491,'Mapping DEF'!A:C,2,0),"")</f>
        <v>Equity Derivatives</v>
      </c>
      <c r="N1491" t="str">
        <f>+_xlfn.IFNA(VLOOKUP(M1491,'Mapping DEF'!B:C,2,FALSE),"")</f>
        <v>Equity</v>
      </c>
      <c r="O1491" t="s">
        <v>2770</v>
      </c>
    </row>
    <row r="1492" spans="1:15" x14ac:dyDescent="0.25">
      <c r="A1492" s="4" t="s">
        <v>2525</v>
      </c>
      <c r="B1492" s="4" t="s">
        <v>2526</v>
      </c>
      <c r="C1492" s="5">
        <v>2474</v>
      </c>
      <c r="D1492" s="6" t="s">
        <v>2527</v>
      </c>
      <c r="E1492" t="s">
        <v>1872</v>
      </c>
      <c r="F1492" t="s">
        <v>1873</v>
      </c>
      <c r="G1492" t="str">
        <f>+VLOOKUP(F1492,[1]Explore!$B:$I,8,0)</f>
        <v>Equity Implied Volatility</v>
      </c>
      <c r="H1492" t="s">
        <v>1874</v>
      </c>
      <c r="I1492" t="str">
        <f>+VLOOKUP(H1492,[1]Explore!$A:$I,9,0)</f>
        <v>Equity Implied Volatility</v>
      </c>
      <c r="J1492" t="str">
        <f t="shared" si="46"/>
        <v>OK</v>
      </c>
      <c r="K1492" t="str">
        <f t="shared" si="47"/>
        <v>Equity Implied Volatility</v>
      </c>
      <c r="L1492" t="s">
        <v>27</v>
      </c>
      <c r="M1492" t="str">
        <f>_xlfn.IFNA(VLOOKUP(K1492,'Mapping DEF'!A:C,2,0),"")</f>
        <v>Equity Derivatives</v>
      </c>
      <c r="N1492" t="str">
        <f>+_xlfn.IFNA(VLOOKUP(M1492,'Mapping DEF'!B:C,2,FALSE),"")</f>
        <v>Equity</v>
      </c>
      <c r="O1492" t="s">
        <v>2794</v>
      </c>
    </row>
    <row r="1493" spans="1:15" x14ac:dyDescent="0.25">
      <c r="A1493" s="4" t="s">
        <v>2525</v>
      </c>
      <c r="B1493" s="4" t="s">
        <v>2526</v>
      </c>
      <c r="C1493" s="5">
        <v>2474</v>
      </c>
      <c r="D1493" s="6" t="s">
        <v>2527</v>
      </c>
      <c r="E1493" t="s">
        <v>1875</v>
      </c>
      <c r="F1493" t="s">
        <v>1396</v>
      </c>
      <c r="G1493" t="str">
        <f>+VLOOKUP(F1493,[1]Explore!$B:$I,8,0)</f>
        <v>Corporate HY EUR - Other</v>
      </c>
      <c r="H1493" t="s">
        <v>1397</v>
      </c>
      <c r="I1493" t="str">
        <f>+VLOOKUP(H1493,[1]Explore!$A:$I,9,0)</f>
        <v>Corporate HY EUR - Other</v>
      </c>
      <c r="J1493" t="str">
        <f t="shared" si="46"/>
        <v>OK</v>
      </c>
      <c r="K1493" t="str">
        <f t="shared" si="47"/>
        <v>Corporate HY EUR - Other</v>
      </c>
      <c r="L1493" t="s">
        <v>188</v>
      </c>
      <c r="M1493" t="str">
        <f>_xlfn.IFNA(VLOOKUP(K1493,'Mapping DEF'!A:C,2,0),"")</f>
        <v>Spread</v>
      </c>
      <c r="N1493" t="str">
        <f>+_xlfn.IFNA(VLOOKUP(M1493,'Mapping DEF'!B:C,2,FALSE),"")</f>
        <v>Spread</v>
      </c>
      <c r="O1493" t="s">
        <v>2845</v>
      </c>
    </row>
    <row r="1494" spans="1:15" x14ac:dyDescent="0.25">
      <c r="A1494" s="4" t="s">
        <v>2525</v>
      </c>
      <c r="B1494" s="4" t="s">
        <v>2526</v>
      </c>
      <c r="C1494" s="5">
        <v>2474</v>
      </c>
      <c r="D1494" s="6" t="s">
        <v>2527</v>
      </c>
      <c r="E1494" t="s">
        <v>338</v>
      </c>
      <c r="F1494" t="s">
        <v>191</v>
      </c>
      <c r="G1494" t="e">
        <f>+VLOOKUP(F1494,[1]Explore!$B:$I,8,0)</f>
        <v>#N/A</v>
      </c>
      <c r="H1494" t="s">
        <v>192</v>
      </c>
      <c r="I1494" t="e">
        <f>+VLOOKUP(H1494,[1]Explore!$A:$I,9,0)</f>
        <v>#N/A</v>
      </c>
      <c r="J1494" t="str">
        <f t="shared" si="46"/>
        <v>BOTH #N/A</v>
      </c>
      <c r="K1494" t="str">
        <f t="shared" si="47"/>
        <v xml:space="preserve">Time </v>
      </c>
      <c r="L1494" t="s">
        <v>2138</v>
      </c>
      <c r="M1494" t="str">
        <f>_xlfn.IFNA(VLOOKUP(K1494,'Mapping DEF'!A:C,2,0),"")</f>
        <v>Time</v>
      </c>
      <c r="N1494" t="str">
        <f>+_xlfn.IFNA(VLOOKUP(M1494,'Mapping DEF'!B:C,2,FALSE),"")</f>
        <v>Other</v>
      </c>
      <c r="O1494" t="s">
        <v>2817</v>
      </c>
    </row>
    <row r="1495" spans="1:15" x14ac:dyDescent="0.25">
      <c r="A1495" s="4" t="s">
        <v>2525</v>
      </c>
      <c r="B1495" s="4" t="s">
        <v>2526</v>
      </c>
      <c r="C1495" s="5">
        <v>2474</v>
      </c>
      <c r="D1495" s="6" t="s">
        <v>2527</v>
      </c>
      <c r="E1495" t="s">
        <v>1876</v>
      </c>
      <c r="F1495" t="s">
        <v>2942</v>
      </c>
      <c r="G1495" t="str">
        <f>+VLOOKUP(F1495,[1]Explore!$B:$I,8,0)</f>
        <v>EUR</v>
      </c>
      <c r="H1495" t="s">
        <v>173</v>
      </c>
      <c r="I1495" t="str">
        <f>+VLOOKUP(H1495,[1]Explore!$A:$I,9,0)</f>
        <v>EUR</v>
      </c>
      <c r="J1495" t="str">
        <f t="shared" si="46"/>
        <v>OK</v>
      </c>
      <c r="K1495" t="str">
        <f t="shared" si="47"/>
        <v>EUR</v>
      </c>
      <c r="L1495" t="s">
        <v>75</v>
      </c>
      <c r="M1495" t="str">
        <f>_xlfn.IFNA(VLOOKUP(K1495,'Mapping DEF'!A:C,2,0),"")</f>
        <v>FX</v>
      </c>
      <c r="N1495" t="str">
        <f>+_xlfn.IFNA(VLOOKUP(M1495,'Mapping DEF'!B:C,2,FALSE),"")</f>
        <v>FX</v>
      </c>
      <c r="O1495" t="s">
        <v>2810</v>
      </c>
    </row>
    <row r="1496" spans="1:15" x14ac:dyDescent="0.25">
      <c r="A1496" s="4" t="s">
        <v>2525</v>
      </c>
      <c r="B1496" s="4" t="s">
        <v>2526</v>
      </c>
      <c r="C1496" s="5">
        <v>2474</v>
      </c>
      <c r="D1496" s="6" t="s">
        <v>2527</v>
      </c>
      <c r="E1496" t="s">
        <v>1877</v>
      </c>
      <c r="F1496" t="s">
        <v>369</v>
      </c>
      <c r="G1496" t="e">
        <f>+VLOOKUP(F1496,[1]Explore!$B:$I,8,0)</f>
        <v>#N/A</v>
      </c>
      <c r="H1496" t="s">
        <v>370</v>
      </c>
      <c r="I1496" t="str">
        <f>+VLOOKUP(H1496,[1]Explore!$A:$I,9,0)</f>
        <v>Emerging Currency</v>
      </c>
      <c r="J1496" t="str">
        <f t="shared" si="46"/>
        <v>OK</v>
      </c>
      <c r="K1496" t="str">
        <f t="shared" si="47"/>
        <v>Emerging Currency</v>
      </c>
      <c r="L1496" t="s">
        <v>75</v>
      </c>
      <c r="M1496" t="str">
        <f>_xlfn.IFNA(VLOOKUP(K1496,'Mapping DEF'!A:C,2,0),"")</f>
        <v>FX</v>
      </c>
      <c r="N1496" t="str">
        <f>+_xlfn.IFNA(VLOOKUP(M1496,'Mapping DEF'!B:C,2,FALSE),"")</f>
        <v>FX</v>
      </c>
      <c r="O1496" t="s">
        <v>2801</v>
      </c>
    </row>
    <row r="1497" spans="1:15" x14ac:dyDescent="0.25">
      <c r="A1497" s="4" t="s">
        <v>2528</v>
      </c>
      <c r="B1497" s="4" t="s">
        <v>2529</v>
      </c>
      <c r="C1497" s="5">
        <v>2476</v>
      </c>
      <c r="D1497" s="6" t="s">
        <v>2530</v>
      </c>
      <c r="E1497" t="s">
        <v>1878</v>
      </c>
      <c r="F1497" t="s">
        <v>13</v>
      </c>
      <c r="G1497" t="str">
        <f>+VLOOKUP(F1497,[1]Explore!$B:$I,8,0)</f>
        <v>Govt USD</v>
      </c>
      <c r="H1497" t="s">
        <v>14</v>
      </c>
      <c r="I1497" t="str">
        <f>+VLOOKUP(H1497,[1]Explore!$A:$I,9,0)</f>
        <v>Govt USD</v>
      </c>
      <c r="J1497" t="str">
        <f t="shared" si="46"/>
        <v>OK</v>
      </c>
      <c r="K1497" t="str">
        <f t="shared" si="47"/>
        <v>Govt USD</v>
      </c>
      <c r="L1497" t="s">
        <v>2143</v>
      </c>
      <c r="M1497" t="str">
        <f>_xlfn.IFNA(VLOOKUP(K1497,'Mapping DEF'!A:C,2,0),"")</f>
        <v>Curve (Local)</v>
      </c>
      <c r="N1497" t="str">
        <f>+_xlfn.IFNA(VLOOKUP(M1497,'Mapping DEF'!B:C,2,FALSE),"")</f>
        <v>Term Structure</v>
      </c>
      <c r="O1497" t="s">
        <v>2785</v>
      </c>
    </row>
    <row r="1498" spans="1:15" x14ac:dyDescent="0.25">
      <c r="A1498" s="4" t="s">
        <v>2528</v>
      </c>
      <c r="B1498" s="4" t="s">
        <v>2529</v>
      </c>
      <c r="C1498" s="5">
        <v>2476</v>
      </c>
      <c r="D1498" s="6" t="s">
        <v>2530</v>
      </c>
      <c r="E1498" t="s">
        <v>328</v>
      </c>
      <c r="F1498" t="s">
        <v>19</v>
      </c>
      <c r="G1498" t="str">
        <f>+VLOOKUP(F1498,[1]Explore!$B:$I,8,0)</f>
        <v>Govt USD</v>
      </c>
      <c r="H1498" t="s">
        <v>20</v>
      </c>
      <c r="I1498" t="str">
        <f>+VLOOKUP(H1498,[1]Explore!$A:$I,9,0)</f>
        <v>Govt USD</v>
      </c>
      <c r="J1498" t="str">
        <f t="shared" si="46"/>
        <v>OK</v>
      </c>
      <c r="K1498" t="str">
        <f t="shared" si="47"/>
        <v>Govt USD</v>
      </c>
      <c r="L1498" t="s">
        <v>2143</v>
      </c>
      <c r="M1498" t="str">
        <f>_xlfn.IFNA(VLOOKUP(K1498,'Mapping DEF'!A:C,2,0),"")</f>
        <v>Curve (Local)</v>
      </c>
      <c r="N1498" t="str">
        <f>+_xlfn.IFNA(VLOOKUP(M1498,'Mapping DEF'!B:C,2,FALSE),"")</f>
        <v>Term Structure</v>
      </c>
      <c r="O1498" t="s">
        <v>2785</v>
      </c>
    </row>
    <row r="1499" spans="1:15" x14ac:dyDescent="0.25">
      <c r="A1499" s="4" t="s">
        <v>2528</v>
      </c>
      <c r="B1499" s="4" t="s">
        <v>2529</v>
      </c>
      <c r="C1499" s="5">
        <v>2476</v>
      </c>
      <c r="D1499" s="6" t="s">
        <v>2530</v>
      </c>
      <c r="E1499" t="s">
        <v>1543</v>
      </c>
      <c r="F1499" t="s">
        <v>265</v>
      </c>
      <c r="G1499" t="str">
        <f>+VLOOKUP(F1499,[1]Explore!$B:$I,8,0)</f>
        <v>Alternative - Commodity</v>
      </c>
      <c r="H1499" t="s">
        <v>266</v>
      </c>
      <c r="I1499" t="str">
        <f>+VLOOKUP(H1499,[1]Explore!$A:$I,9,0)</f>
        <v>Alternative - Commodity</v>
      </c>
      <c r="J1499" t="str">
        <f t="shared" si="46"/>
        <v>OK</v>
      </c>
      <c r="K1499" t="str">
        <f t="shared" si="47"/>
        <v>Alternative - Commodity</v>
      </c>
      <c r="L1499" t="s">
        <v>2139</v>
      </c>
      <c r="M1499" t="str">
        <f>_xlfn.IFNA(VLOOKUP(K1499,'Mapping DEF'!A:C,2,0),"")</f>
        <v>Alternative</v>
      </c>
      <c r="N1499" t="str">
        <f>+_xlfn.IFNA(VLOOKUP(M1499,'Mapping DEF'!B:C,2,FALSE),"")</f>
        <v>Other</v>
      </c>
      <c r="O1499" t="s">
        <v>2860</v>
      </c>
    </row>
    <row r="1500" spans="1:15" x14ac:dyDescent="0.25">
      <c r="A1500" s="4" t="s">
        <v>2528</v>
      </c>
      <c r="B1500" s="4" t="s">
        <v>2529</v>
      </c>
      <c r="C1500" s="5">
        <v>2476</v>
      </c>
      <c r="D1500" s="6" t="s">
        <v>2530</v>
      </c>
      <c r="E1500" t="s">
        <v>1879</v>
      </c>
      <c r="F1500" t="s">
        <v>2942</v>
      </c>
      <c r="G1500" t="str">
        <f>+VLOOKUP(F1500,[1]Explore!$B:$I,8,0)</f>
        <v>EUR</v>
      </c>
      <c r="H1500" t="s">
        <v>173</v>
      </c>
      <c r="I1500" t="str">
        <f>+VLOOKUP(H1500,[1]Explore!$A:$I,9,0)</f>
        <v>EUR</v>
      </c>
      <c r="J1500" t="str">
        <f t="shared" si="46"/>
        <v>OK</v>
      </c>
      <c r="K1500" t="str">
        <f t="shared" si="47"/>
        <v>EUR</v>
      </c>
      <c r="L1500" t="s">
        <v>2140</v>
      </c>
      <c r="M1500" t="str">
        <f>_xlfn.IFNA(VLOOKUP(K1500,'Mapping DEF'!A:C,2,0),"")</f>
        <v>FX</v>
      </c>
      <c r="N1500" t="str">
        <f>+_xlfn.IFNA(VLOOKUP(M1500,'Mapping DEF'!B:C,2,FALSE),"")</f>
        <v>FX</v>
      </c>
      <c r="O1500" t="s">
        <v>2761</v>
      </c>
    </row>
    <row r="1501" spans="1:15" x14ac:dyDescent="0.25">
      <c r="A1501" s="4" t="s">
        <v>2528</v>
      </c>
      <c r="B1501" s="4" t="s">
        <v>2529</v>
      </c>
      <c r="C1501" s="5">
        <v>2476</v>
      </c>
      <c r="D1501" s="6" t="s">
        <v>2530</v>
      </c>
      <c r="E1501" t="s">
        <v>1147</v>
      </c>
      <c r="F1501" t="s">
        <v>392</v>
      </c>
      <c r="G1501" t="str">
        <f>+VLOOKUP(F1501,[1]Explore!$B:$I,8,0)</f>
        <v>Equity Implied Volatility</v>
      </c>
      <c r="H1501" t="s">
        <v>392</v>
      </c>
      <c r="I1501" t="str">
        <f>+VLOOKUP(H1501,[1]Explore!$A:$I,9,0)</f>
        <v>Equity Implied Volatility</v>
      </c>
      <c r="J1501" t="str">
        <f t="shared" si="46"/>
        <v>OK</v>
      </c>
      <c r="K1501" t="str">
        <f t="shared" si="47"/>
        <v>Equity Implied Volatility</v>
      </c>
      <c r="L1501" t="s">
        <v>27</v>
      </c>
      <c r="M1501" t="str">
        <f>_xlfn.IFNA(VLOOKUP(K1501,'Mapping DEF'!A:C,2,0),"")</f>
        <v>Equity Derivatives</v>
      </c>
      <c r="N1501" t="str">
        <f>+_xlfn.IFNA(VLOOKUP(M1501,'Mapping DEF'!B:C,2,FALSE),"")</f>
        <v>Equity</v>
      </c>
      <c r="O1501" t="s">
        <v>2838</v>
      </c>
    </row>
    <row r="1502" spans="1:15" x14ac:dyDescent="0.25">
      <c r="A1502" s="4" t="s">
        <v>2528</v>
      </c>
      <c r="B1502" s="4" t="s">
        <v>2529</v>
      </c>
      <c r="C1502" s="5">
        <v>2476</v>
      </c>
      <c r="D1502" s="6" t="s">
        <v>2530</v>
      </c>
      <c r="E1502" t="s">
        <v>1880</v>
      </c>
      <c r="F1502" t="s">
        <v>1873</v>
      </c>
      <c r="G1502" t="str">
        <f>+VLOOKUP(F1502,[1]Explore!$B:$I,8,0)</f>
        <v>Equity Implied Volatility</v>
      </c>
      <c r="H1502" t="s">
        <v>1874</v>
      </c>
      <c r="I1502" t="str">
        <f>+VLOOKUP(H1502,[1]Explore!$A:$I,9,0)</f>
        <v>Equity Implied Volatility</v>
      </c>
      <c r="J1502" t="str">
        <f t="shared" si="46"/>
        <v>OK</v>
      </c>
      <c r="K1502" t="str">
        <f t="shared" si="47"/>
        <v>Equity Implied Volatility</v>
      </c>
      <c r="L1502" t="s">
        <v>27</v>
      </c>
      <c r="M1502" t="str">
        <f>_xlfn.IFNA(VLOOKUP(K1502,'Mapping DEF'!A:C,2,0),"")</f>
        <v>Equity Derivatives</v>
      </c>
      <c r="N1502" t="str">
        <f>+_xlfn.IFNA(VLOOKUP(M1502,'Mapping DEF'!B:C,2,FALSE),"")</f>
        <v>Equity</v>
      </c>
      <c r="O1502" t="s">
        <v>2803</v>
      </c>
    </row>
    <row r="1503" spans="1:15" x14ac:dyDescent="0.25">
      <c r="A1503" s="4" t="s">
        <v>2528</v>
      </c>
      <c r="B1503" s="4" t="s">
        <v>2529</v>
      </c>
      <c r="C1503" s="5">
        <v>2476</v>
      </c>
      <c r="D1503" s="6" t="s">
        <v>2530</v>
      </c>
      <c r="E1503" t="s">
        <v>338</v>
      </c>
      <c r="F1503" t="s">
        <v>191</v>
      </c>
      <c r="G1503" t="e">
        <f>+VLOOKUP(F1503,[1]Explore!$B:$I,8,0)</f>
        <v>#N/A</v>
      </c>
      <c r="H1503" t="s">
        <v>192</v>
      </c>
      <c r="I1503" t="e">
        <f>+VLOOKUP(H1503,[1]Explore!$A:$I,9,0)</f>
        <v>#N/A</v>
      </c>
      <c r="J1503" t="str">
        <f t="shared" si="46"/>
        <v>BOTH #N/A</v>
      </c>
      <c r="K1503" t="str">
        <f t="shared" si="47"/>
        <v xml:space="preserve">Time </v>
      </c>
      <c r="L1503" t="s">
        <v>2138</v>
      </c>
      <c r="M1503" t="str">
        <f>_xlfn.IFNA(VLOOKUP(K1503,'Mapping DEF'!A:C,2,0),"")</f>
        <v>Time</v>
      </c>
      <c r="N1503" t="str">
        <f>+_xlfn.IFNA(VLOOKUP(M1503,'Mapping DEF'!B:C,2,FALSE),"")</f>
        <v>Other</v>
      </c>
      <c r="O1503" t="s">
        <v>2817</v>
      </c>
    </row>
    <row r="1504" spans="1:15" x14ac:dyDescent="0.25">
      <c r="A1504" s="4" t="s">
        <v>2528</v>
      </c>
      <c r="B1504" s="4" t="s">
        <v>2529</v>
      </c>
      <c r="C1504" s="5">
        <v>2476</v>
      </c>
      <c r="D1504" s="6" t="s">
        <v>2530</v>
      </c>
      <c r="E1504" t="s">
        <v>1881</v>
      </c>
      <c r="F1504" t="s">
        <v>346</v>
      </c>
      <c r="G1504" t="str">
        <f>+VLOOKUP(F1504,[1]Explore!$B:$I,8,0)</f>
        <v>Spread Emerging Markets - Country</v>
      </c>
      <c r="H1504" t="s">
        <v>347</v>
      </c>
      <c r="I1504" t="str">
        <f>+VLOOKUP(H1504,[1]Explore!$A:$I,9,0)</f>
        <v>Spread Emerging Markets - Country</v>
      </c>
      <c r="J1504" t="str">
        <f t="shared" si="46"/>
        <v>OK</v>
      </c>
      <c r="K1504" t="str">
        <f t="shared" si="47"/>
        <v>Spread Emerging Markets - Country</v>
      </c>
      <c r="L1504" t="s">
        <v>188</v>
      </c>
      <c r="M1504" t="str">
        <f>_xlfn.IFNA(VLOOKUP(K1504,'Mapping DEF'!A:C,2,0),"")</f>
        <v>Spread</v>
      </c>
      <c r="N1504" t="str">
        <f>+_xlfn.IFNA(VLOOKUP(M1504,'Mapping DEF'!B:C,2,FALSE),"")</f>
        <v>Spread</v>
      </c>
      <c r="O1504" t="s">
        <v>2833</v>
      </c>
    </row>
    <row r="1505" spans="1:15" x14ac:dyDescent="0.25">
      <c r="A1505" s="4" t="s">
        <v>2528</v>
      </c>
      <c r="B1505" s="4" t="s">
        <v>2529</v>
      </c>
      <c r="C1505" s="5">
        <v>2476</v>
      </c>
      <c r="D1505" s="6" t="s">
        <v>2530</v>
      </c>
      <c r="E1505" t="s">
        <v>1882</v>
      </c>
      <c r="F1505" t="s">
        <v>2625</v>
      </c>
      <c r="G1505" t="str">
        <f>+VLOOKUP(F1505,[1]Explore!$B:$I,8,0)</f>
        <v>Corporate HY EUR - Industry</v>
      </c>
      <c r="H1505" t="s">
        <v>855</v>
      </c>
      <c r="I1505" t="e">
        <f>+VLOOKUP(H1505,[1]Explore!$A:$I,9,0)</f>
        <v>#N/A</v>
      </c>
      <c r="J1505" t="str">
        <f t="shared" si="46"/>
        <v>OK</v>
      </c>
      <c r="K1505" t="str">
        <f t="shared" si="47"/>
        <v>Corporate HY EUR - Industry</v>
      </c>
      <c r="L1505" t="s">
        <v>188</v>
      </c>
      <c r="M1505" t="str">
        <f>_xlfn.IFNA(VLOOKUP(K1505,'Mapping DEF'!A:C,2,0),"")</f>
        <v>Spread</v>
      </c>
      <c r="N1505" t="str">
        <f>+_xlfn.IFNA(VLOOKUP(M1505,'Mapping DEF'!B:C,2,FALSE),"")</f>
        <v>Spread</v>
      </c>
      <c r="O1505" t="s">
        <v>2777</v>
      </c>
    </row>
    <row r="1506" spans="1:15" x14ac:dyDescent="0.25">
      <c r="A1506" s="4" t="s">
        <v>2528</v>
      </c>
      <c r="B1506" s="4" t="s">
        <v>2529</v>
      </c>
      <c r="C1506" s="5">
        <v>2476</v>
      </c>
      <c r="D1506" s="6" t="s">
        <v>2530</v>
      </c>
      <c r="E1506" t="s">
        <v>432</v>
      </c>
      <c r="F1506" t="s">
        <v>826</v>
      </c>
      <c r="G1506" t="str">
        <f>+VLOOKUP(F1506,[1]Explore!$B:$I,8,0)</f>
        <v>Equity Implied Volatility</v>
      </c>
      <c r="H1506" t="s">
        <v>433</v>
      </c>
      <c r="I1506" t="e">
        <f>+VLOOKUP(H1506,[1]Explore!$A:$I,9,0)</f>
        <v>#N/A</v>
      </c>
      <c r="J1506" t="str">
        <f t="shared" si="46"/>
        <v>OK</v>
      </c>
      <c r="K1506" t="str">
        <f t="shared" si="47"/>
        <v>Equity Implied Volatility</v>
      </c>
      <c r="L1506" t="s">
        <v>27</v>
      </c>
      <c r="M1506" t="str">
        <f>_xlfn.IFNA(VLOOKUP(K1506,'Mapping DEF'!A:C,2,0),"")</f>
        <v>Equity Derivatives</v>
      </c>
      <c r="N1506" t="str">
        <f>+_xlfn.IFNA(VLOOKUP(M1506,'Mapping DEF'!B:C,2,FALSE),"")</f>
        <v>Equity</v>
      </c>
      <c r="O1506" t="s">
        <v>2776</v>
      </c>
    </row>
    <row r="1507" spans="1:15" x14ac:dyDescent="0.25">
      <c r="A1507" s="4" t="s">
        <v>2531</v>
      </c>
      <c r="B1507" s="4" t="s">
        <v>2532</v>
      </c>
      <c r="C1507" s="5">
        <v>2475</v>
      </c>
      <c r="D1507" s="6" t="s">
        <v>2533</v>
      </c>
      <c r="E1507" t="s">
        <v>1883</v>
      </c>
      <c r="F1507" t="s">
        <v>68</v>
      </c>
      <c r="G1507" t="str">
        <f>+VLOOKUP(F1507,[1]Explore!$B:$I,8,0)</f>
        <v>Alternative - Commodity</v>
      </c>
      <c r="H1507" t="s">
        <v>69</v>
      </c>
      <c r="I1507" t="str">
        <f>+VLOOKUP(H1507,[1]Explore!$A:$I,9,0)</f>
        <v>Alternative - Commodity</v>
      </c>
      <c r="J1507" t="str">
        <f t="shared" si="46"/>
        <v>OK</v>
      </c>
      <c r="K1507" t="str">
        <f t="shared" si="47"/>
        <v>Alternative - Commodity</v>
      </c>
      <c r="L1507" t="s">
        <v>2139</v>
      </c>
      <c r="M1507" t="str">
        <f>_xlfn.IFNA(VLOOKUP(K1507,'Mapping DEF'!A:C,2,0),"")</f>
        <v>Alternative</v>
      </c>
      <c r="N1507" t="str">
        <f>+_xlfn.IFNA(VLOOKUP(M1507,'Mapping DEF'!B:C,2,FALSE),"")</f>
        <v>Other</v>
      </c>
      <c r="O1507" t="s">
        <v>2794</v>
      </c>
    </row>
    <row r="1508" spans="1:15" x14ac:dyDescent="0.25">
      <c r="A1508" s="4" t="s">
        <v>2531</v>
      </c>
      <c r="B1508" s="4" t="s">
        <v>2532</v>
      </c>
      <c r="C1508" s="5">
        <v>2475</v>
      </c>
      <c r="D1508" s="6" t="s">
        <v>2533</v>
      </c>
      <c r="E1508" t="s">
        <v>1292</v>
      </c>
      <c r="F1508" t="s">
        <v>265</v>
      </c>
      <c r="G1508" t="str">
        <f>+VLOOKUP(F1508,[1]Explore!$B:$I,8,0)</f>
        <v>Alternative - Commodity</v>
      </c>
      <c r="H1508" t="s">
        <v>266</v>
      </c>
      <c r="I1508" t="str">
        <f>+VLOOKUP(H1508,[1]Explore!$A:$I,9,0)</f>
        <v>Alternative - Commodity</v>
      </c>
      <c r="J1508" t="str">
        <f t="shared" si="46"/>
        <v>OK</v>
      </c>
      <c r="K1508" t="str">
        <f t="shared" si="47"/>
        <v>Alternative - Commodity</v>
      </c>
      <c r="L1508" t="s">
        <v>2139</v>
      </c>
      <c r="M1508" t="str">
        <f>_xlfn.IFNA(VLOOKUP(K1508,'Mapping DEF'!A:C,2,0),"")</f>
        <v>Alternative</v>
      </c>
      <c r="N1508" t="str">
        <f>+_xlfn.IFNA(VLOOKUP(M1508,'Mapping DEF'!B:C,2,FALSE),"")</f>
        <v>Other</v>
      </c>
      <c r="O1508" t="s">
        <v>2832</v>
      </c>
    </row>
    <row r="1509" spans="1:15" x14ac:dyDescent="0.25">
      <c r="A1509" s="4" t="s">
        <v>2531</v>
      </c>
      <c r="B1509" s="4" t="s">
        <v>2532</v>
      </c>
      <c r="C1509" s="5">
        <v>2475</v>
      </c>
      <c r="D1509" s="6" t="s">
        <v>2533</v>
      </c>
      <c r="E1509" t="s">
        <v>1884</v>
      </c>
      <c r="F1509" t="s">
        <v>675</v>
      </c>
      <c r="G1509" t="str">
        <f>+VLOOKUP(F1509,[1]Explore!$B:$I,8,0)</f>
        <v>Alternative - Commodity</v>
      </c>
      <c r="H1509" t="s">
        <v>676</v>
      </c>
      <c r="I1509" t="str">
        <f>+VLOOKUP(H1509,[1]Explore!$A:$I,9,0)</f>
        <v>Alternative - Commodity</v>
      </c>
      <c r="J1509" t="str">
        <f t="shared" si="46"/>
        <v>OK</v>
      </c>
      <c r="K1509" t="str">
        <f t="shared" si="47"/>
        <v>Alternative - Commodity</v>
      </c>
      <c r="L1509" t="s">
        <v>2139</v>
      </c>
      <c r="M1509" t="str">
        <f>_xlfn.IFNA(VLOOKUP(K1509,'Mapping DEF'!A:C,2,0),"")</f>
        <v>Alternative</v>
      </c>
      <c r="N1509" t="str">
        <f>+_xlfn.IFNA(VLOOKUP(M1509,'Mapping DEF'!B:C,2,FALSE),"")</f>
        <v>Other</v>
      </c>
      <c r="O1509" t="s">
        <v>2875</v>
      </c>
    </row>
    <row r="1510" spans="1:15" x14ac:dyDescent="0.25">
      <c r="A1510" s="4" t="s">
        <v>2531</v>
      </c>
      <c r="B1510" s="4" t="s">
        <v>2532</v>
      </c>
      <c r="C1510" s="5">
        <v>2475</v>
      </c>
      <c r="D1510" s="6" t="s">
        <v>2533</v>
      </c>
      <c r="E1510" t="s">
        <v>1885</v>
      </c>
      <c r="F1510" t="s">
        <v>997</v>
      </c>
      <c r="G1510" t="str">
        <f>+VLOOKUP(F1510,[1]Explore!$B:$I,8,0)</f>
        <v>Govt EUR (Ger)</v>
      </c>
      <c r="H1510" t="s">
        <v>998</v>
      </c>
      <c r="I1510" t="str">
        <f>+VLOOKUP(H1510,[1]Explore!$A:$I,9,0)</f>
        <v>Govt EUR (Ger)</v>
      </c>
      <c r="J1510" t="str">
        <f t="shared" si="46"/>
        <v>OK</v>
      </c>
      <c r="K1510" t="str">
        <f t="shared" si="47"/>
        <v>Govt EUR (Ger)</v>
      </c>
      <c r="L1510" t="s">
        <v>2143</v>
      </c>
      <c r="M1510" t="str">
        <f>_xlfn.IFNA(VLOOKUP(K1510,'Mapping DEF'!A:C,2,0),"")</f>
        <v>Curve (Local)</v>
      </c>
      <c r="N1510" t="str">
        <f>+_xlfn.IFNA(VLOOKUP(M1510,'Mapping DEF'!B:C,2,FALSE),"")</f>
        <v>Term Structure</v>
      </c>
      <c r="O1510" t="s">
        <v>2765</v>
      </c>
    </row>
    <row r="1511" spans="1:15" x14ac:dyDescent="0.25">
      <c r="A1511" s="4" t="s">
        <v>2531</v>
      </c>
      <c r="B1511" s="4" t="s">
        <v>2532</v>
      </c>
      <c r="C1511" s="5">
        <v>2475</v>
      </c>
      <c r="D1511" s="6" t="s">
        <v>2533</v>
      </c>
      <c r="E1511" t="s">
        <v>1041</v>
      </c>
      <c r="F1511" t="s">
        <v>315</v>
      </c>
      <c r="G1511" t="str">
        <f>+VLOOKUP(F1511,[1]Explore!$B:$I,8,0)</f>
        <v>Govt EUR (Ger)</v>
      </c>
      <c r="H1511" t="s">
        <v>316</v>
      </c>
      <c r="I1511" t="str">
        <f>+VLOOKUP(H1511,[1]Explore!$A:$I,9,0)</f>
        <v>Govt EUR (Ger)</v>
      </c>
      <c r="J1511" t="str">
        <f t="shared" si="46"/>
        <v>OK</v>
      </c>
      <c r="K1511" t="str">
        <f t="shared" si="47"/>
        <v>Govt EUR (Ger)</v>
      </c>
      <c r="L1511" t="s">
        <v>2143</v>
      </c>
      <c r="M1511" t="str">
        <f>_xlfn.IFNA(VLOOKUP(K1511,'Mapping DEF'!A:C,2,0),"")</f>
        <v>Curve (Local)</v>
      </c>
      <c r="N1511" t="str">
        <f>+_xlfn.IFNA(VLOOKUP(M1511,'Mapping DEF'!B:C,2,FALSE),"")</f>
        <v>Term Structure</v>
      </c>
      <c r="O1511" t="s">
        <v>2786</v>
      </c>
    </row>
    <row r="1512" spans="1:15" x14ac:dyDescent="0.25">
      <c r="A1512" s="4" t="s">
        <v>2531</v>
      </c>
      <c r="B1512" s="4" t="s">
        <v>2532</v>
      </c>
      <c r="C1512" s="5">
        <v>2475</v>
      </c>
      <c r="D1512" s="6" t="s">
        <v>2533</v>
      </c>
      <c r="E1512" t="s">
        <v>893</v>
      </c>
      <c r="F1512" t="s">
        <v>206</v>
      </c>
      <c r="G1512" t="e">
        <f>+VLOOKUP(F1512,[1]Explore!$B:$I,8,0)</f>
        <v>#N/A</v>
      </c>
      <c r="H1512" t="s">
        <v>206</v>
      </c>
      <c r="I1512" t="e">
        <f>+VLOOKUP(H1512,[1]Explore!$A:$I,9,0)</f>
        <v>#N/A</v>
      </c>
      <c r="J1512" t="str">
        <f t="shared" si="46"/>
        <v>BOTH #N/A</v>
      </c>
      <c r="K1512" t="str">
        <f t="shared" si="47"/>
        <v>Dollar Index</v>
      </c>
      <c r="L1512" t="s">
        <v>2930</v>
      </c>
      <c r="M1512" t="str">
        <f>_xlfn.IFNA(VLOOKUP(K1512,'Mapping DEF'!A:C,2,0),"")</f>
        <v>Index Level</v>
      </c>
      <c r="N1512" t="str">
        <f>+_xlfn.IFNA(VLOOKUP(M1512,'Mapping DEF'!B:C,2,FALSE),"")</f>
        <v>Other</v>
      </c>
      <c r="O1512" t="s">
        <v>2810</v>
      </c>
    </row>
    <row r="1513" spans="1:15" x14ac:dyDescent="0.25">
      <c r="A1513" s="4" t="s">
        <v>2531</v>
      </c>
      <c r="B1513" s="4" t="s">
        <v>2532</v>
      </c>
      <c r="C1513" s="5">
        <v>2475</v>
      </c>
      <c r="D1513" s="6" t="s">
        <v>2533</v>
      </c>
      <c r="E1513" t="s">
        <v>1886</v>
      </c>
      <c r="F1513" t="s">
        <v>966</v>
      </c>
      <c r="G1513" t="str">
        <f>+VLOOKUP(F1513,[1]Explore!$B:$I,8,0)</f>
        <v>EUR Inflation</v>
      </c>
      <c r="H1513" t="s">
        <v>967</v>
      </c>
      <c r="I1513" t="str">
        <f>+VLOOKUP(H1513,[1]Explore!$A:$I,9,0)</f>
        <v>EUR Inflation</v>
      </c>
      <c r="J1513" t="str">
        <f t="shared" si="46"/>
        <v>OK</v>
      </c>
      <c r="K1513" t="str">
        <f t="shared" si="47"/>
        <v>EUR Inflation</v>
      </c>
      <c r="L1513" t="s">
        <v>2143</v>
      </c>
      <c r="M1513" t="str">
        <f>_xlfn.IFNA(VLOOKUP(K1513,'Mapping DEF'!A:C,2,0),"")</f>
        <v>Inflation</v>
      </c>
      <c r="N1513" t="str">
        <f>+_xlfn.IFNA(VLOOKUP(M1513,'Mapping DEF'!B:C,2,FALSE),"")</f>
        <v>Other</v>
      </c>
      <c r="O1513" t="s">
        <v>2829</v>
      </c>
    </row>
    <row r="1514" spans="1:15" x14ac:dyDescent="0.25">
      <c r="A1514" s="4" t="s">
        <v>2531</v>
      </c>
      <c r="B1514" s="4" t="s">
        <v>2532</v>
      </c>
      <c r="C1514" s="5">
        <v>2475</v>
      </c>
      <c r="D1514" s="6" t="s">
        <v>2533</v>
      </c>
      <c r="E1514" t="s">
        <v>1887</v>
      </c>
      <c r="F1514" t="s">
        <v>572</v>
      </c>
      <c r="G1514" t="str">
        <f>+VLOOKUP(F1514,[1]Explore!$B:$I,8,0)</f>
        <v>Equity Implied Volatility</v>
      </c>
      <c r="H1514" t="s">
        <v>573</v>
      </c>
      <c r="I1514" t="str">
        <f>+VLOOKUP(H1514,[1]Explore!$A:$I,9,0)</f>
        <v>Equity Implied Volatility</v>
      </c>
      <c r="J1514" t="str">
        <f t="shared" si="46"/>
        <v>OK</v>
      </c>
      <c r="K1514" t="str">
        <f t="shared" si="47"/>
        <v>Equity Implied Volatility</v>
      </c>
      <c r="L1514" t="s">
        <v>27</v>
      </c>
      <c r="M1514" t="str">
        <f>_xlfn.IFNA(VLOOKUP(K1514,'Mapping DEF'!A:C,2,0),"")</f>
        <v>Equity Derivatives</v>
      </c>
      <c r="N1514" t="str">
        <f>+_xlfn.IFNA(VLOOKUP(M1514,'Mapping DEF'!B:C,2,FALSE),"")</f>
        <v>Equity</v>
      </c>
      <c r="O1514" t="s">
        <v>2888</v>
      </c>
    </row>
    <row r="1515" spans="1:15" x14ac:dyDescent="0.25">
      <c r="A1515" s="4" t="s">
        <v>2531</v>
      </c>
      <c r="B1515" s="4" t="s">
        <v>2532</v>
      </c>
      <c r="C1515" s="5">
        <v>2475</v>
      </c>
      <c r="D1515" s="6" t="s">
        <v>2533</v>
      </c>
      <c r="E1515" t="s">
        <v>1888</v>
      </c>
      <c r="F1515" t="s">
        <v>1873</v>
      </c>
      <c r="G1515" t="str">
        <f>+VLOOKUP(F1515,[1]Explore!$B:$I,8,0)</f>
        <v>Equity Implied Volatility</v>
      </c>
      <c r="H1515" t="s">
        <v>1874</v>
      </c>
      <c r="I1515" t="str">
        <f>+VLOOKUP(H1515,[1]Explore!$A:$I,9,0)</f>
        <v>Equity Implied Volatility</v>
      </c>
      <c r="J1515" t="str">
        <f t="shared" si="46"/>
        <v>OK</v>
      </c>
      <c r="K1515" t="str">
        <f t="shared" si="47"/>
        <v>Equity Implied Volatility</v>
      </c>
      <c r="L1515" t="s">
        <v>27</v>
      </c>
      <c r="M1515" t="str">
        <f>_xlfn.IFNA(VLOOKUP(K1515,'Mapping DEF'!A:C,2,0),"")</f>
        <v>Equity Derivatives</v>
      </c>
      <c r="N1515" t="str">
        <f>+_xlfn.IFNA(VLOOKUP(M1515,'Mapping DEF'!B:C,2,FALSE),"")</f>
        <v>Equity</v>
      </c>
      <c r="O1515" t="s">
        <v>2885</v>
      </c>
    </row>
    <row r="1516" spans="1:15" x14ac:dyDescent="0.25">
      <c r="A1516" s="4" t="s">
        <v>2531</v>
      </c>
      <c r="B1516" s="4" t="s">
        <v>2532</v>
      </c>
      <c r="C1516" s="5">
        <v>2475</v>
      </c>
      <c r="D1516" s="6" t="s">
        <v>2533</v>
      </c>
      <c r="E1516" t="s">
        <v>1889</v>
      </c>
      <c r="F1516" t="s">
        <v>627</v>
      </c>
      <c r="G1516" t="str">
        <f>+VLOOKUP(F1516,[1]Explore!$B:$I,8,0)</f>
        <v>Corporate IG EUR - Other</v>
      </c>
      <c r="H1516" t="s">
        <v>1890</v>
      </c>
      <c r="I1516" t="str">
        <f>+VLOOKUP(H1516,[1]Explore!$A:$I,9,0)</f>
        <v>Corporate IG EUR - Other</v>
      </c>
      <c r="J1516" t="str">
        <f t="shared" si="46"/>
        <v>OK</v>
      </c>
      <c r="K1516" t="str">
        <f t="shared" si="47"/>
        <v>Corporate IG EUR - Other</v>
      </c>
      <c r="L1516" t="s">
        <v>188</v>
      </c>
      <c r="M1516" t="str">
        <f>_xlfn.IFNA(VLOOKUP(K1516,'Mapping DEF'!A:C,2,0),"")</f>
        <v>Spread</v>
      </c>
      <c r="N1516" t="str">
        <f>+_xlfn.IFNA(VLOOKUP(M1516,'Mapping DEF'!B:C,2,FALSE),"")</f>
        <v>Spread</v>
      </c>
      <c r="O1516" t="s">
        <v>2788</v>
      </c>
    </row>
    <row r="1517" spans="1:15" x14ac:dyDescent="0.25">
      <c r="A1517" s="4" t="s">
        <v>2531</v>
      </c>
      <c r="B1517" s="4" t="s">
        <v>2532</v>
      </c>
      <c r="C1517" s="5">
        <v>2475</v>
      </c>
      <c r="D1517" s="6" t="s">
        <v>2533</v>
      </c>
      <c r="E1517" t="s">
        <v>338</v>
      </c>
      <c r="F1517" t="s">
        <v>191</v>
      </c>
      <c r="G1517" t="e">
        <f>+VLOOKUP(F1517,[1]Explore!$B:$I,8,0)</f>
        <v>#N/A</v>
      </c>
      <c r="H1517" t="s">
        <v>192</v>
      </c>
      <c r="I1517" t="e">
        <f>+VLOOKUP(H1517,[1]Explore!$A:$I,9,0)</f>
        <v>#N/A</v>
      </c>
      <c r="J1517" t="str">
        <f t="shared" si="46"/>
        <v>BOTH #N/A</v>
      </c>
      <c r="K1517" t="str">
        <f t="shared" si="47"/>
        <v xml:space="preserve">Time </v>
      </c>
      <c r="L1517" t="s">
        <v>2138</v>
      </c>
      <c r="M1517" t="str">
        <f>_xlfn.IFNA(VLOOKUP(K1517,'Mapping DEF'!A:C,2,0),"")</f>
        <v>Time</v>
      </c>
      <c r="N1517" t="str">
        <f>+_xlfn.IFNA(VLOOKUP(M1517,'Mapping DEF'!B:C,2,FALSE),"")</f>
        <v>Other</v>
      </c>
      <c r="O1517" t="s">
        <v>2817</v>
      </c>
    </row>
    <row r="1518" spans="1:15" x14ac:dyDescent="0.25">
      <c r="A1518" s="4" t="s">
        <v>2531</v>
      </c>
      <c r="B1518" s="4" t="s">
        <v>2532</v>
      </c>
      <c r="C1518" s="5">
        <v>2475</v>
      </c>
      <c r="D1518" s="6" t="s">
        <v>2533</v>
      </c>
      <c r="E1518" t="s">
        <v>1891</v>
      </c>
      <c r="F1518" t="s">
        <v>1892</v>
      </c>
      <c r="G1518" t="e">
        <f>+VLOOKUP(F1518,[1]Explore!$B:$I,8,0)</f>
        <v>#N/A</v>
      </c>
      <c r="H1518" t="s">
        <v>1893</v>
      </c>
      <c r="I1518" t="e">
        <f>+VLOOKUP(H1518,[1]Explore!$A:$I,9,0)</f>
        <v>#N/A</v>
      </c>
      <c r="J1518" t="str">
        <f t="shared" si="46"/>
        <v>BOTH #N/A</v>
      </c>
      <c r="K1518" t="str">
        <f t="shared" si="47"/>
        <v>Financials</v>
      </c>
      <c r="L1518" t="s">
        <v>325</v>
      </c>
      <c r="M1518" t="str">
        <f>_xlfn.IFNA(VLOOKUP(K1518,'Mapping DEF'!A:C,2,0),"")</f>
        <v>Industry Allocation</v>
      </c>
      <c r="N1518" t="str">
        <f>+_xlfn.IFNA(VLOOKUP(M1518,'Mapping DEF'!B:C,2,FALSE),"")</f>
        <v>Equity</v>
      </c>
      <c r="O1518" t="s">
        <v>2763</v>
      </c>
    </row>
    <row r="1519" spans="1:15" x14ac:dyDescent="0.25">
      <c r="A1519" s="4" t="s">
        <v>2531</v>
      </c>
      <c r="B1519" s="4" t="s">
        <v>2532</v>
      </c>
      <c r="C1519" s="5">
        <v>2475</v>
      </c>
      <c r="D1519" s="6" t="s">
        <v>2533</v>
      </c>
      <c r="E1519" t="s">
        <v>1894</v>
      </c>
      <c r="F1519" t="s">
        <v>2626</v>
      </c>
      <c r="G1519" t="e">
        <f>+VLOOKUP(F1519,[1]Explore!$B:$I,8,0)</f>
        <v>#N/A</v>
      </c>
      <c r="H1519" t="s">
        <v>1895</v>
      </c>
      <c r="I1519" t="e">
        <f>+VLOOKUP(H1519,[1]Explore!$A:$I,9,0)</f>
        <v>#N/A</v>
      </c>
      <c r="J1519" t="str">
        <f t="shared" si="46"/>
        <v>BOTH #N/A</v>
      </c>
      <c r="K1519" t="str">
        <f t="shared" si="47"/>
        <v>Information Technology</v>
      </c>
      <c r="L1519" t="s">
        <v>2679</v>
      </c>
      <c r="M1519" t="str">
        <f>_xlfn.IFNA(VLOOKUP(K1519,'Mapping DEF'!A:C,2,0),"")</f>
        <v>Industry Allocation</v>
      </c>
      <c r="N1519" t="str">
        <f>+_xlfn.IFNA(VLOOKUP(M1519,'Mapping DEF'!B:C,2,FALSE),"")</f>
        <v>Equity</v>
      </c>
      <c r="O1519" t="s">
        <v>2764</v>
      </c>
    </row>
    <row r="1520" spans="1:15" x14ac:dyDescent="0.25">
      <c r="A1520" s="4" t="s">
        <v>2534</v>
      </c>
      <c r="B1520" s="4" t="s">
        <v>2535</v>
      </c>
      <c r="C1520" s="5">
        <v>2304</v>
      </c>
      <c r="D1520" s="6" t="s">
        <v>2536</v>
      </c>
      <c r="E1520" t="s">
        <v>247</v>
      </c>
      <c r="G1520" t="e">
        <f>+VLOOKUP(F1520,[1]Explore!$B:$I,8,0)</f>
        <v>#N/A</v>
      </c>
      <c r="H1520" t="s">
        <v>247</v>
      </c>
      <c r="I1520" t="e">
        <f>+VLOOKUP(H1520,[1]Explore!$A:$I,9,0)</f>
        <v>#N/A</v>
      </c>
      <c r="J1520" t="str">
        <f t="shared" si="46"/>
        <v>BOTH #N/A</v>
      </c>
      <c r="K1520" t="str">
        <f t="shared" si="47"/>
        <v>-</v>
      </c>
      <c r="L1520" t="s">
        <v>247</v>
      </c>
      <c r="M1520" t="str">
        <f>_xlfn.IFNA(VLOOKUP(K1520,'Mapping DEF'!A:C,2,0),"")</f>
        <v/>
      </c>
      <c r="N1520" t="str">
        <f>+_xlfn.IFNA(VLOOKUP(M1520,'Mapping DEF'!B:C,2,FALSE),"")</f>
        <v/>
      </c>
    </row>
    <row r="1521" spans="1:15" x14ac:dyDescent="0.25">
      <c r="A1521" s="4" t="s">
        <v>2537</v>
      </c>
      <c r="B1521" s="4" t="s">
        <v>2538</v>
      </c>
      <c r="C1521" s="5">
        <v>2437</v>
      </c>
      <c r="D1521" s="6" t="s">
        <v>2539</v>
      </c>
      <c r="E1521" t="s">
        <v>247</v>
      </c>
      <c r="G1521" t="e">
        <f>+VLOOKUP(F1521,[1]Explore!$B:$I,8,0)</f>
        <v>#N/A</v>
      </c>
      <c r="H1521" t="s">
        <v>247</v>
      </c>
      <c r="I1521" t="e">
        <f>+VLOOKUP(H1521,[1]Explore!$A:$I,9,0)</f>
        <v>#N/A</v>
      </c>
      <c r="J1521" t="str">
        <f t="shared" si="46"/>
        <v>BOTH #N/A</v>
      </c>
      <c r="K1521" t="str">
        <f t="shared" si="47"/>
        <v>-</v>
      </c>
      <c r="L1521" t="s">
        <v>247</v>
      </c>
      <c r="M1521" t="str">
        <f>_xlfn.IFNA(VLOOKUP(K1521,'Mapping DEF'!A:C,2,0),"")</f>
        <v/>
      </c>
      <c r="N1521" t="str">
        <f>+_xlfn.IFNA(VLOOKUP(M1521,'Mapping DEF'!B:C,2,FALSE),"")</f>
        <v/>
      </c>
    </row>
    <row r="1522" spans="1:15" x14ac:dyDescent="0.25">
      <c r="A1522" s="4" t="s">
        <v>2540</v>
      </c>
      <c r="B1522" s="4" t="s">
        <v>2541</v>
      </c>
      <c r="C1522" s="5">
        <v>2556</v>
      </c>
      <c r="D1522" s="6" t="s">
        <v>2542</v>
      </c>
      <c r="E1522" t="s">
        <v>1824</v>
      </c>
      <c r="F1522" t="s">
        <v>6</v>
      </c>
      <c r="G1522" t="str">
        <f>+VLOOKUP(F1522,[1]Explore!$B:$I,8,0)</f>
        <v>Govt USD</v>
      </c>
      <c r="H1522" t="s">
        <v>7</v>
      </c>
      <c r="I1522" t="str">
        <f>+VLOOKUP(H1522,[1]Explore!$A:$I,9,0)</f>
        <v>Govt USD</v>
      </c>
      <c r="J1522" t="str">
        <f t="shared" si="46"/>
        <v>OK</v>
      </c>
      <c r="K1522" t="str">
        <f t="shared" si="47"/>
        <v>Govt USD</v>
      </c>
      <c r="L1522" t="s">
        <v>2143</v>
      </c>
      <c r="M1522" t="str">
        <f>_xlfn.IFNA(VLOOKUP(K1522,'Mapping DEF'!A:C,2,0),"")</f>
        <v>Curve (Local)</v>
      </c>
      <c r="N1522" t="str">
        <f>+_xlfn.IFNA(VLOOKUP(M1522,'Mapping DEF'!B:C,2,FALSE),"")</f>
        <v>Term Structure</v>
      </c>
      <c r="O1522" t="s">
        <v>2766</v>
      </c>
    </row>
    <row r="1523" spans="1:15" x14ac:dyDescent="0.25">
      <c r="A1523" s="4" t="s">
        <v>2540</v>
      </c>
      <c r="B1523" s="4" t="s">
        <v>2541</v>
      </c>
      <c r="C1523" s="5">
        <v>2556</v>
      </c>
      <c r="D1523" s="6" t="s">
        <v>2542</v>
      </c>
      <c r="E1523" t="s">
        <v>1825</v>
      </c>
      <c r="F1523" t="s">
        <v>10</v>
      </c>
      <c r="G1523" t="str">
        <f>+VLOOKUP(F1523,[1]Explore!$B:$I,8,0)</f>
        <v>Govt USD</v>
      </c>
      <c r="H1523" t="s">
        <v>11</v>
      </c>
      <c r="I1523" t="str">
        <f>+VLOOKUP(H1523,[1]Explore!$A:$I,9,0)</f>
        <v>Govt USD</v>
      </c>
      <c r="J1523" t="str">
        <f t="shared" si="46"/>
        <v>OK</v>
      </c>
      <c r="K1523" t="str">
        <f t="shared" si="47"/>
        <v>Govt USD</v>
      </c>
      <c r="L1523" t="s">
        <v>2143</v>
      </c>
      <c r="M1523" t="str">
        <f>_xlfn.IFNA(VLOOKUP(K1523,'Mapping DEF'!A:C,2,0),"")</f>
        <v>Curve (Local)</v>
      </c>
      <c r="N1523" t="str">
        <f>+_xlfn.IFNA(VLOOKUP(M1523,'Mapping DEF'!B:C,2,FALSE),"")</f>
        <v>Term Structure</v>
      </c>
      <c r="O1523" t="s">
        <v>2766</v>
      </c>
    </row>
    <row r="1524" spans="1:15" x14ac:dyDescent="0.25">
      <c r="A1524" s="4" t="s">
        <v>2540</v>
      </c>
      <c r="B1524" s="4" t="s">
        <v>2541</v>
      </c>
      <c r="C1524" s="5">
        <v>2556</v>
      </c>
      <c r="D1524" s="6" t="s">
        <v>2542</v>
      </c>
      <c r="E1524" t="s">
        <v>328</v>
      </c>
      <c r="F1524" t="s">
        <v>19</v>
      </c>
      <c r="G1524" t="str">
        <f>+VLOOKUP(F1524,[1]Explore!$B:$I,8,0)</f>
        <v>Govt USD</v>
      </c>
      <c r="H1524" t="s">
        <v>20</v>
      </c>
      <c r="I1524" t="str">
        <f>+VLOOKUP(H1524,[1]Explore!$A:$I,9,0)</f>
        <v>Govt USD</v>
      </c>
      <c r="J1524" t="str">
        <f t="shared" si="46"/>
        <v>OK</v>
      </c>
      <c r="K1524" t="str">
        <f t="shared" si="47"/>
        <v>Govt USD</v>
      </c>
      <c r="L1524" t="s">
        <v>2143</v>
      </c>
      <c r="M1524" t="str">
        <f>_xlfn.IFNA(VLOOKUP(K1524,'Mapping DEF'!A:C,2,0),"")</f>
        <v>Curve (Local)</v>
      </c>
      <c r="N1524" t="str">
        <f>+_xlfn.IFNA(VLOOKUP(M1524,'Mapping DEF'!B:C,2,FALSE),"")</f>
        <v>Term Structure</v>
      </c>
      <c r="O1524" t="s">
        <v>2785</v>
      </c>
    </row>
    <row r="1525" spans="1:15" x14ac:dyDescent="0.25">
      <c r="A1525" s="4" t="s">
        <v>2540</v>
      </c>
      <c r="B1525" s="4" t="s">
        <v>2541</v>
      </c>
      <c r="C1525" s="5">
        <v>2556</v>
      </c>
      <c r="D1525" s="6" t="s">
        <v>2542</v>
      </c>
      <c r="E1525" t="s">
        <v>1896</v>
      </c>
      <c r="F1525" t="s">
        <v>258</v>
      </c>
      <c r="G1525" t="str">
        <f>+VLOOKUP(F1525,[1]Explore!$B:$I,8,0)</f>
        <v>USD Inflation</v>
      </c>
      <c r="H1525" t="s">
        <v>259</v>
      </c>
      <c r="I1525" t="str">
        <f>+VLOOKUP(H1525,[1]Explore!$A:$I,9,0)</f>
        <v>USD Inflation</v>
      </c>
      <c r="J1525" t="str">
        <f t="shared" si="46"/>
        <v>OK</v>
      </c>
      <c r="K1525" t="str">
        <f t="shared" si="47"/>
        <v>USD Inflation</v>
      </c>
      <c r="L1525" t="s">
        <v>2143</v>
      </c>
      <c r="M1525" t="str">
        <f>_xlfn.IFNA(VLOOKUP(K1525,'Mapping DEF'!A:C,2,0),"")</f>
        <v>Inflation</v>
      </c>
      <c r="N1525" t="str">
        <f>+_xlfn.IFNA(VLOOKUP(M1525,'Mapping DEF'!B:C,2,FALSE),"")</f>
        <v>Other</v>
      </c>
      <c r="O1525" t="s">
        <v>2804</v>
      </c>
    </row>
    <row r="1526" spans="1:15" x14ac:dyDescent="0.25">
      <c r="A1526" s="4" t="s">
        <v>2540</v>
      </c>
      <c r="B1526" s="4" t="s">
        <v>2541</v>
      </c>
      <c r="C1526" s="5">
        <v>2556</v>
      </c>
      <c r="D1526" s="6" t="s">
        <v>2542</v>
      </c>
      <c r="E1526" t="s">
        <v>1466</v>
      </c>
      <c r="F1526" t="s">
        <v>731</v>
      </c>
      <c r="G1526" t="str">
        <f>+VLOOKUP(F1526,[1]Explore!$B:$I,8,0)</f>
        <v>Alternative - Commodity</v>
      </c>
      <c r="H1526" t="s">
        <v>732</v>
      </c>
      <c r="I1526" t="str">
        <f>+VLOOKUP(H1526,[1]Explore!$A:$I,9,0)</f>
        <v>Alternative - Commodity</v>
      </c>
      <c r="J1526" t="str">
        <f t="shared" si="46"/>
        <v>OK</v>
      </c>
      <c r="K1526" t="str">
        <f t="shared" si="47"/>
        <v>Alternative - Commodity</v>
      </c>
      <c r="L1526" t="s">
        <v>2139</v>
      </c>
      <c r="M1526" t="str">
        <f>_xlfn.IFNA(VLOOKUP(K1526,'Mapping DEF'!A:C,2,0),"")</f>
        <v>Alternative</v>
      </c>
      <c r="N1526" t="str">
        <f>+_xlfn.IFNA(VLOOKUP(M1526,'Mapping DEF'!B:C,2,FALSE),"")</f>
        <v>Other</v>
      </c>
      <c r="O1526" t="s">
        <v>2821</v>
      </c>
    </row>
    <row r="1527" spans="1:15" x14ac:dyDescent="0.25">
      <c r="A1527" s="4" t="s">
        <v>2540</v>
      </c>
      <c r="B1527" s="4" t="s">
        <v>2541</v>
      </c>
      <c r="C1527" s="5">
        <v>2556</v>
      </c>
      <c r="D1527" s="6" t="s">
        <v>2542</v>
      </c>
      <c r="E1527" t="s">
        <v>1831</v>
      </c>
      <c r="F1527" t="s">
        <v>1832</v>
      </c>
      <c r="G1527" t="str">
        <f>+VLOOKUP(F1527,[1]Explore!$B:$I,8,0)</f>
        <v>Mortgage - Moneyness</v>
      </c>
      <c r="H1527" t="s">
        <v>1833</v>
      </c>
      <c r="I1527" t="str">
        <f>+VLOOKUP(H1527,[1]Explore!$A:$I,9,0)</f>
        <v>Mortgage - Moneyness</v>
      </c>
      <c r="J1527" t="str">
        <f t="shared" si="46"/>
        <v>OK</v>
      </c>
      <c r="K1527" t="str">
        <f t="shared" si="47"/>
        <v>Mortgage - Moneyness</v>
      </c>
      <c r="L1527" t="s">
        <v>188</v>
      </c>
      <c r="M1527" t="str">
        <f>_xlfn.IFNA(VLOOKUP(K1527,'Mapping DEF'!A:C,2,0),"")</f>
        <v>Alternative</v>
      </c>
      <c r="N1527" t="str">
        <f>+_xlfn.IFNA(VLOOKUP(M1527,'Mapping DEF'!B:C,2,FALSE),"")</f>
        <v>Other</v>
      </c>
      <c r="O1527" t="s">
        <v>2769</v>
      </c>
    </row>
    <row r="1528" spans="1:15" x14ac:dyDescent="0.25">
      <c r="A1528" s="4" t="s">
        <v>2543</v>
      </c>
      <c r="B1528" s="4" t="s">
        <v>2544</v>
      </c>
      <c r="C1528" s="5">
        <v>2301</v>
      </c>
      <c r="D1528" s="6" t="s">
        <v>2545</v>
      </c>
      <c r="E1528" t="s">
        <v>1897</v>
      </c>
      <c r="F1528" t="s">
        <v>16</v>
      </c>
      <c r="G1528" t="str">
        <f>+VLOOKUP(F1528,[1]Explore!$B:$I,8,0)</f>
        <v>Govt USD</v>
      </c>
      <c r="H1528" t="s">
        <v>17</v>
      </c>
      <c r="I1528" t="str">
        <f>+VLOOKUP(H1528,[1]Explore!$A:$I,9,0)</f>
        <v>Govt USD</v>
      </c>
      <c r="J1528" t="str">
        <f t="shared" si="46"/>
        <v>OK</v>
      </c>
      <c r="K1528" t="str">
        <f t="shared" si="47"/>
        <v>Govt USD</v>
      </c>
      <c r="L1528" t="s">
        <v>2143</v>
      </c>
      <c r="M1528" t="str">
        <f>_xlfn.IFNA(VLOOKUP(K1528,'Mapping DEF'!A:C,2,0),"")</f>
        <v>Curve (Local)</v>
      </c>
      <c r="N1528" t="str">
        <f>+_xlfn.IFNA(VLOOKUP(M1528,'Mapping DEF'!B:C,2,FALSE),"")</f>
        <v>Term Structure</v>
      </c>
      <c r="O1528" t="s">
        <v>2755</v>
      </c>
    </row>
    <row r="1529" spans="1:15" x14ac:dyDescent="0.25">
      <c r="A1529" s="4" t="s">
        <v>2543</v>
      </c>
      <c r="B1529" s="4" t="s">
        <v>2544</v>
      </c>
      <c r="C1529" s="5">
        <v>2301</v>
      </c>
      <c r="D1529" s="6" t="s">
        <v>2545</v>
      </c>
      <c r="E1529" t="s">
        <v>815</v>
      </c>
      <c r="F1529" t="s">
        <v>19</v>
      </c>
      <c r="G1529" t="str">
        <f>+VLOOKUP(F1529,[1]Explore!$B:$I,8,0)</f>
        <v>Govt USD</v>
      </c>
      <c r="H1529" t="s">
        <v>20</v>
      </c>
      <c r="I1529" t="str">
        <f>+VLOOKUP(H1529,[1]Explore!$A:$I,9,0)</f>
        <v>Govt USD</v>
      </c>
      <c r="J1529" t="str">
        <f t="shared" si="46"/>
        <v>OK</v>
      </c>
      <c r="K1529" t="str">
        <f t="shared" si="47"/>
        <v>Govt USD</v>
      </c>
      <c r="L1529" t="s">
        <v>2143</v>
      </c>
      <c r="M1529" t="str">
        <f>_xlfn.IFNA(VLOOKUP(K1529,'Mapping DEF'!A:C,2,0),"")</f>
        <v>Curve (Local)</v>
      </c>
      <c r="N1529" t="str">
        <f>+_xlfn.IFNA(VLOOKUP(M1529,'Mapping DEF'!B:C,2,FALSE),"")</f>
        <v>Term Structure</v>
      </c>
      <c r="O1529" t="s">
        <v>2755</v>
      </c>
    </row>
    <row r="1530" spans="1:15" x14ac:dyDescent="0.25">
      <c r="A1530" s="4" t="s">
        <v>2543</v>
      </c>
      <c r="B1530" s="4" t="s">
        <v>2544</v>
      </c>
      <c r="C1530" s="5">
        <v>2301</v>
      </c>
      <c r="D1530" s="6" t="s">
        <v>2545</v>
      </c>
      <c r="E1530" t="s">
        <v>1898</v>
      </c>
      <c r="F1530" t="s">
        <v>265</v>
      </c>
      <c r="G1530" t="str">
        <f>+VLOOKUP(F1530,[1]Explore!$B:$I,8,0)</f>
        <v>Alternative - Commodity</v>
      </c>
      <c r="H1530" t="s">
        <v>266</v>
      </c>
      <c r="I1530" t="str">
        <f>+VLOOKUP(H1530,[1]Explore!$A:$I,9,0)</f>
        <v>Alternative - Commodity</v>
      </c>
      <c r="J1530" t="str">
        <f t="shared" si="46"/>
        <v>OK</v>
      </c>
      <c r="K1530" t="str">
        <f t="shared" si="47"/>
        <v>Alternative - Commodity</v>
      </c>
      <c r="L1530" t="s">
        <v>2139</v>
      </c>
      <c r="M1530" t="str">
        <f>_xlfn.IFNA(VLOOKUP(K1530,'Mapping DEF'!A:C,2,0),"")</f>
        <v>Alternative</v>
      </c>
      <c r="N1530" t="str">
        <f>+_xlfn.IFNA(VLOOKUP(M1530,'Mapping DEF'!B:C,2,FALSE),"")</f>
        <v>Other</v>
      </c>
      <c r="O1530" t="s">
        <v>2889</v>
      </c>
    </row>
    <row r="1531" spans="1:15" x14ac:dyDescent="0.25">
      <c r="A1531" s="4" t="s">
        <v>2543</v>
      </c>
      <c r="B1531" s="4" t="s">
        <v>2544</v>
      </c>
      <c r="C1531" s="5">
        <v>2301</v>
      </c>
      <c r="D1531" s="6" t="s">
        <v>2545</v>
      </c>
      <c r="E1531" t="s">
        <v>1899</v>
      </c>
      <c r="F1531" t="s">
        <v>268</v>
      </c>
      <c r="G1531" t="str">
        <f>+VLOOKUP(F1531,[1]Explore!$B:$I,8,0)</f>
        <v>Alternative - Commodity</v>
      </c>
      <c r="H1531" t="s">
        <v>269</v>
      </c>
      <c r="I1531" t="str">
        <f>+VLOOKUP(H1531,[1]Explore!$A:$I,9,0)</f>
        <v>Alternative - Commodity</v>
      </c>
      <c r="J1531" t="str">
        <f t="shared" si="46"/>
        <v>OK</v>
      </c>
      <c r="K1531" t="str">
        <f t="shared" si="47"/>
        <v>Alternative - Commodity</v>
      </c>
      <c r="L1531" t="s">
        <v>2139</v>
      </c>
      <c r="M1531" t="str">
        <f>_xlfn.IFNA(VLOOKUP(K1531,'Mapping DEF'!A:C,2,0),"")</f>
        <v>Alternative</v>
      </c>
      <c r="N1531" t="str">
        <f>+_xlfn.IFNA(VLOOKUP(M1531,'Mapping DEF'!B:C,2,FALSE),"")</f>
        <v>Other</v>
      </c>
      <c r="O1531" t="s">
        <v>2890</v>
      </c>
    </row>
    <row r="1532" spans="1:15" x14ac:dyDescent="0.25">
      <c r="A1532" s="4" t="s">
        <v>2543</v>
      </c>
      <c r="B1532" s="4" t="s">
        <v>2544</v>
      </c>
      <c r="C1532" s="5">
        <v>2301</v>
      </c>
      <c r="D1532" s="6" t="s">
        <v>2545</v>
      </c>
      <c r="E1532" t="s">
        <v>1900</v>
      </c>
      <c r="F1532" t="s">
        <v>1224</v>
      </c>
      <c r="G1532" t="str">
        <f>+VLOOKUP(F1532,[1]Explore!$B:$I,8,0)</f>
        <v>Corporate IG USD - Market</v>
      </c>
      <c r="H1532" t="s">
        <v>1225</v>
      </c>
      <c r="I1532" t="str">
        <f>+VLOOKUP(H1532,[1]Explore!$A:$I,9,0)</f>
        <v>Corporate IG USD - Market</v>
      </c>
      <c r="J1532" t="str">
        <f t="shared" si="46"/>
        <v>OK</v>
      </c>
      <c r="K1532" t="str">
        <f t="shared" si="47"/>
        <v>Corporate IG USD - Market</v>
      </c>
      <c r="L1532" t="s">
        <v>188</v>
      </c>
      <c r="M1532" t="str">
        <f>_xlfn.IFNA(VLOOKUP(K1532,'Mapping DEF'!A:C,2,0),"")</f>
        <v>Spread</v>
      </c>
      <c r="N1532" t="str">
        <f>+_xlfn.IFNA(VLOOKUP(M1532,'Mapping DEF'!B:C,2,FALSE),"")</f>
        <v>Spread</v>
      </c>
      <c r="O1532" t="s">
        <v>2891</v>
      </c>
    </row>
    <row r="1533" spans="1:15" x14ac:dyDescent="0.25">
      <c r="A1533" s="4" t="s">
        <v>2543</v>
      </c>
      <c r="B1533" s="4" t="s">
        <v>2544</v>
      </c>
      <c r="C1533" s="5">
        <v>2301</v>
      </c>
      <c r="D1533" s="6" t="s">
        <v>2545</v>
      </c>
      <c r="E1533" t="s">
        <v>1901</v>
      </c>
      <c r="F1533" t="s">
        <v>2942</v>
      </c>
      <c r="G1533" t="str">
        <f>+VLOOKUP(F1533,[1]Explore!$B:$I,8,0)</f>
        <v>EUR</v>
      </c>
      <c r="H1533" t="s">
        <v>173</v>
      </c>
      <c r="I1533" t="str">
        <f>+VLOOKUP(H1533,[1]Explore!$A:$I,9,0)</f>
        <v>EUR</v>
      </c>
      <c r="J1533" t="str">
        <f t="shared" si="46"/>
        <v>OK</v>
      </c>
      <c r="K1533" t="str">
        <f t="shared" si="47"/>
        <v>EUR</v>
      </c>
      <c r="L1533" t="s">
        <v>2140</v>
      </c>
      <c r="M1533" t="str">
        <f>_xlfn.IFNA(VLOOKUP(K1533,'Mapping DEF'!A:C,2,0),"")</f>
        <v>FX</v>
      </c>
      <c r="N1533" t="str">
        <f>+_xlfn.IFNA(VLOOKUP(M1533,'Mapping DEF'!B:C,2,FALSE),"")</f>
        <v>FX</v>
      </c>
      <c r="O1533" t="s">
        <v>2812</v>
      </c>
    </row>
    <row r="1534" spans="1:15" x14ac:dyDescent="0.25">
      <c r="A1534" s="4" t="s">
        <v>2543</v>
      </c>
      <c r="B1534" s="4" t="s">
        <v>2544</v>
      </c>
      <c r="C1534" s="5">
        <v>2301</v>
      </c>
      <c r="D1534" s="6" t="s">
        <v>2545</v>
      </c>
      <c r="E1534" t="s">
        <v>600</v>
      </c>
      <c r="F1534" t="s">
        <v>2156</v>
      </c>
      <c r="G1534" t="str">
        <f>+VLOOKUP(F1534,[1]Explore!$B:$I,8,0)</f>
        <v>Equity Implied Volatility</v>
      </c>
      <c r="H1534" t="s">
        <v>141</v>
      </c>
      <c r="I1534" t="str">
        <f>+VLOOKUP(H1534,[1]Explore!$A:$I,9,0)</f>
        <v>Equity Implied Volatility</v>
      </c>
      <c r="J1534" t="str">
        <f t="shared" si="46"/>
        <v>OK</v>
      </c>
      <c r="K1534" t="str">
        <f t="shared" si="47"/>
        <v>Equity Implied Volatility</v>
      </c>
      <c r="L1534" t="s">
        <v>27</v>
      </c>
      <c r="M1534" t="str">
        <f>_xlfn.IFNA(VLOOKUP(K1534,'Mapping DEF'!A:C,2,0),"")</f>
        <v>Equity Derivatives</v>
      </c>
      <c r="N1534" t="str">
        <f>+_xlfn.IFNA(VLOOKUP(M1534,'Mapping DEF'!B:C,2,FALSE),"")</f>
        <v>Equity</v>
      </c>
      <c r="O1534" t="s">
        <v>2808</v>
      </c>
    </row>
    <row r="1535" spans="1:15" x14ac:dyDescent="0.25">
      <c r="A1535" s="4" t="s">
        <v>2543</v>
      </c>
      <c r="B1535" s="4" t="s">
        <v>2544</v>
      </c>
      <c r="C1535" s="5">
        <v>2301</v>
      </c>
      <c r="D1535" s="6" t="s">
        <v>2545</v>
      </c>
      <c r="E1535" t="s">
        <v>1902</v>
      </c>
      <c r="F1535" t="s">
        <v>2633</v>
      </c>
      <c r="G1535" t="e">
        <f>+VLOOKUP(F1535,[1]Explore!$B:$I,8,0)</f>
        <v>#N/A</v>
      </c>
      <c r="H1535" t="s">
        <v>1903</v>
      </c>
      <c r="I1535" t="e">
        <f>+VLOOKUP(H1535,[1]Explore!$A:$I,9,0)</f>
        <v>#N/A</v>
      </c>
      <c r="J1535" t="str">
        <f t="shared" si="46"/>
        <v>BOTH #N/A</v>
      </c>
      <c r="K1535" t="str">
        <f t="shared" si="47"/>
        <v>Materials</v>
      </c>
      <c r="L1535" t="s">
        <v>748</v>
      </c>
      <c r="M1535" t="str">
        <f>_xlfn.IFNA(VLOOKUP(K1535,'Mapping DEF'!A:C,2,0),"")</f>
        <v>Industry Allocation</v>
      </c>
      <c r="N1535" t="str">
        <f>+_xlfn.IFNA(VLOOKUP(M1535,'Mapping DEF'!B:C,2,FALSE),"")</f>
        <v>Equity</v>
      </c>
      <c r="O1535" t="s">
        <v>2803</v>
      </c>
    </row>
    <row r="1536" spans="1:15" x14ac:dyDescent="0.25">
      <c r="A1536" s="4" t="s">
        <v>2543</v>
      </c>
      <c r="B1536" s="4" t="s">
        <v>2544</v>
      </c>
      <c r="C1536" s="5">
        <v>2301</v>
      </c>
      <c r="D1536" s="6" t="s">
        <v>2545</v>
      </c>
      <c r="E1536" t="s">
        <v>1904</v>
      </c>
      <c r="F1536" t="s">
        <v>2177</v>
      </c>
      <c r="G1536" t="str">
        <f>+VLOOKUP(F1536,[1]Explore!$B:$I,8,0)</f>
        <v>Consumer Discretionary</v>
      </c>
      <c r="H1536" t="s">
        <v>1625</v>
      </c>
      <c r="I1536" t="e">
        <f>+VLOOKUP(H1536,[1]Explore!$A:$I,9,0)</f>
        <v>#N/A</v>
      </c>
      <c r="J1536" t="str">
        <f t="shared" si="46"/>
        <v>OK</v>
      </c>
      <c r="K1536" t="str">
        <f t="shared" si="47"/>
        <v>Consumer Discretionary</v>
      </c>
      <c r="L1536" t="s">
        <v>2141</v>
      </c>
      <c r="M1536" t="str">
        <f>_xlfn.IFNA(VLOOKUP(K1536,'Mapping DEF'!A:C,2,0),"")</f>
        <v>Industry Allocation</v>
      </c>
      <c r="N1536" t="str">
        <f>+_xlfn.IFNA(VLOOKUP(M1536,'Mapping DEF'!B:C,2,FALSE),"")</f>
        <v>Equity</v>
      </c>
      <c r="O1536" t="s">
        <v>2768</v>
      </c>
    </row>
    <row r="1537" spans="1:15" x14ac:dyDescent="0.25">
      <c r="A1537" s="4" t="s">
        <v>2543</v>
      </c>
      <c r="B1537" s="4" t="s">
        <v>2544</v>
      </c>
      <c r="C1537" s="5">
        <v>2301</v>
      </c>
      <c r="D1537" s="6" t="s">
        <v>2545</v>
      </c>
      <c r="E1537" t="s">
        <v>1905</v>
      </c>
      <c r="F1537" t="s">
        <v>750</v>
      </c>
      <c r="G1537" t="str">
        <f>+VLOOKUP(F1537,[1]Explore!$B:$I,8,0)</f>
        <v>Market</v>
      </c>
      <c r="H1537" t="s">
        <v>1906</v>
      </c>
      <c r="I1537" t="e">
        <f>+VLOOKUP(H1537,[1]Explore!$A:$I,9,0)</f>
        <v>#N/A</v>
      </c>
      <c r="J1537" t="str">
        <f t="shared" si="46"/>
        <v>OK</v>
      </c>
      <c r="K1537" t="str">
        <f t="shared" si="47"/>
        <v>Market</v>
      </c>
      <c r="L1537" t="s">
        <v>2145</v>
      </c>
      <c r="M1537" t="str">
        <f>_xlfn.IFNA(VLOOKUP(K1537,'Mapping DEF'!A:C,2,0),"")</f>
        <v>Style</v>
      </c>
      <c r="N1537" t="str">
        <f>+_xlfn.IFNA(VLOOKUP(M1537,'Mapping DEF'!B:C,2,FALSE),"")</f>
        <v>Equity</v>
      </c>
      <c r="O1537" t="s">
        <v>2892</v>
      </c>
    </row>
    <row r="1538" spans="1:15" x14ac:dyDescent="0.25">
      <c r="A1538" s="4" t="s">
        <v>2543</v>
      </c>
      <c r="B1538" s="4" t="s">
        <v>2544</v>
      </c>
      <c r="C1538" s="5">
        <v>2301</v>
      </c>
      <c r="D1538" s="6" t="s">
        <v>2545</v>
      </c>
      <c r="E1538" t="s">
        <v>1907</v>
      </c>
      <c r="F1538" t="s">
        <v>1908</v>
      </c>
      <c r="G1538" t="str">
        <f>+VLOOKUP(F1538,[1]Explore!$B:$I,8,0)</f>
        <v>Size</v>
      </c>
      <c r="H1538" t="s">
        <v>1909</v>
      </c>
      <c r="I1538" t="e">
        <f>+VLOOKUP(H1538,[1]Explore!$A:$I,9,0)</f>
        <v>#N/A</v>
      </c>
      <c r="J1538" t="str">
        <f t="shared" si="46"/>
        <v>OK</v>
      </c>
      <c r="K1538" t="str">
        <f t="shared" si="47"/>
        <v>Size</v>
      </c>
      <c r="L1538" t="s">
        <v>2145</v>
      </c>
      <c r="M1538" t="str">
        <f>_xlfn.IFNA(VLOOKUP(K1538,'Mapping DEF'!A:C,2,0),"")</f>
        <v>Style</v>
      </c>
      <c r="N1538" t="str">
        <f>+_xlfn.IFNA(VLOOKUP(M1538,'Mapping DEF'!B:C,2,FALSE),"")</f>
        <v>Equity</v>
      </c>
      <c r="O1538" t="s">
        <v>2893</v>
      </c>
    </row>
    <row r="1539" spans="1:15" x14ac:dyDescent="0.25">
      <c r="A1539" s="4" t="s">
        <v>2543</v>
      </c>
      <c r="B1539" s="4" t="s">
        <v>2544</v>
      </c>
      <c r="C1539" s="5">
        <v>2301</v>
      </c>
      <c r="D1539" s="6" t="s">
        <v>2545</v>
      </c>
      <c r="E1539" t="s">
        <v>1910</v>
      </c>
      <c r="F1539" t="s">
        <v>1084</v>
      </c>
      <c r="G1539" t="str">
        <f>+VLOOKUP(F1539,[1]Explore!$B:$I,8,0)</f>
        <v>Momentum</v>
      </c>
      <c r="H1539" t="s">
        <v>1911</v>
      </c>
      <c r="I1539" t="e">
        <f>+VLOOKUP(H1539,[1]Explore!$A:$I,9,0)</f>
        <v>#N/A</v>
      </c>
      <c r="J1539" t="str">
        <f t="shared" ref="J1539:J1602" si="48">IF(AND(ISNA(G1539),ISNA(I1539)),"BOTH #N/A","OK")</f>
        <v>OK</v>
      </c>
      <c r="K1539" t="str">
        <f t="shared" ref="K1539:K1602" si="49">IFERROR(I1539, IFERROR(G1539, L1539))</f>
        <v>Momentum</v>
      </c>
      <c r="L1539" t="s">
        <v>2145</v>
      </c>
      <c r="M1539" t="str">
        <f>_xlfn.IFNA(VLOOKUP(K1539,'Mapping DEF'!A:C,2,0),"")</f>
        <v>Style</v>
      </c>
      <c r="N1539" t="str">
        <f>+_xlfn.IFNA(VLOOKUP(M1539,'Mapping DEF'!B:C,2,FALSE),"")</f>
        <v>Equity</v>
      </c>
      <c r="O1539" t="s">
        <v>2894</v>
      </c>
    </row>
    <row r="1540" spans="1:15" x14ac:dyDescent="0.25">
      <c r="A1540" s="4" t="s">
        <v>2543</v>
      </c>
      <c r="B1540" s="4" t="s">
        <v>2544</v>
      </c>
      <c r="C1540" s="5">
        <v>2301</v>
      </c>
      <c r="D1540" s="6" t="s">
        <v>2545</v>
      </c>
      <c r="E1540" t="s">
        <v>1912</v>
      </c>
      <c r="F1540" t="s">
        <v>630</v>
      </c>
      <c r="G1540" t="str">
        <f>+VLOOKUP(F1540,[1]Explore!$B:$I,8,0)</f>
        <v>Value</v>
      </c>
      <c r="H1540" t="s">
        <v>1913</v>
      </c>
      <c r="I1540" t="e">
        <f>+VLOOKUP(H1540,[1]Explore!$A:$I,9,0)</f>
        <v>#N/A</v>
      </c>
      <c r="J1540" t="str">
        <f t="shared" si="48"/>
        <v>OK</v>
      </c>
      <c r="K1540" t="str">
        <f t="shared" si="49"/>
        <v>Value</v>
      </c>
      <c r="L1540" t="s">
        <v>2145</v>
      </c>
      <c r="M1540" t="str">
        <f>_xlfn.IFNA(VLOOKUP(K1540,'Mapping DEF'!A:C,2,0),"")</f>
        <v>Style</v>
      </c>
      <c r="N1540" t="str">
        <f>+_xlfn.IFNA(VLOOKUP(M1540,'Mapping DEF'!B:C,2,FALSE),"")</f>
        <v>Equity</v>
      </c>
      <c r="O1540" t="s">
        <v>2895</v>
      </c>
    </row>
    <row r="1541" spans="1:15" x14ac:dyDescent="0.25">
      <c r="A1541" s="4" t="s">
        <v>2543</v>
      </c>
      <c r="B1541" s="4" t="s">
        <v>2544</v>
      </c>
      <c r="C1541" s="5">
        <v>2301</v>
      </c>
      <c r="D1541" s="6" t="s">
        <v>2545</v>
      </c>
      <c r="E1541" t="s">
        <v>1914</v>
      </c>
      <c r="F1541" t="s">
        <v>1586</v>
      </c>
      <c r="G1541" t="str">
        <f>+VLOOKUP(F1541,[1]Explore!$B:$I,8,0)</f>
        <v>Local Styles</v>
      </c>
      <c r="H1541" t="s">
        <v>1915</v>
      </c>
      <c r="I1541" t="e">
        <f>+VLOOKUP(H1541,[1]Explore!$A:$I,9,0)</f>
        <v>#N/A</v>
      </c>
      <c r="J1541" t="str">
        <f t="shared" si="48"/>
        <v>OK</v>
      </c>
      <c r="K1541" t="str">
        <f t="shared" si="49"/>
        <v>Local Styles</v>
      </c>
      <c r="L1541" t="s">
        <v>2145</v>
      </c>
      <c r="M1541" t="str">
        <f>_xlfn.IFNA(VLOOKUP(K1541,'Mapping DEF'!A:C,2,0),"")</f>
        <v>Style</v>
      </c>
      <c r="N1541" t="str">
        <f>+_xlfn.IFNA(VLOOKUP(M1541,'Mapping DEF'!B:C,2,FALSE),"")</f>
        <v>Equity</v>
      </c>
      <c r="O1541" t="s">
        <v>2896</v>
      </c>
    </row>
    <row r="1542" spans="1:15" x14ac:dyDescent="0.25">
      <c r="A1542" s="4" t="s">
        <v>2546</v>
      </c>
      <c r="B1542" s="4" t="s">
        <v>2547</v>
      </c>
      <c r="C1542" s="5">
        <v>2303</v>
      </c>
      <c r="D1542" s="6" t="s">
        <v>2548</v>
      </c>
      <c r="E1542" t="s">
        <v>247</v>
      </c>
      <c r="G1542" t="e">
        <f>+VLOOKUP(F1542,[1]Explore!$B:$I,8,0)</f>
        <v>#N/A</v>
      </c>
      <c r="H1542" t="s">
        <v>247</v>
      </c>
      <c r="I1542" t="e">
        <f>+VLOOKUP(H1542,[1]Explore!$A:$I,9,0)</f>
        <v>#N/A</v>
      </c>
      <c r="J1542" t="str">
        <f t="shared" si="48"/>
        <v>BOTH #N/A</v>
      </c>
      <c r="K1542" t="str">
        <f t="shared" si="49"/>
        <v>-</v>
      </c>
      <c r="L1542" t="s">
        <v>247</v>
      </c>
      <c r="M1542" t="str">
        <f>_xlfn.IFNA(VLOOKUP(K1542,'Mapping DEF'!A:C,2,0),"")</f>
        <v/>
      </c>
      <c r="N1542" t="str">
        <f>+_xlfn.IFNA(VLOOKUP(M1542,'Mapping DEF'!B:C,2,FALSE),"")</f>
        <v/>
      </c>
    </row>
    <row r="1543" spans="1:15" x14ac:dyDescent="0.25">
      <c r="A1543" s="4" t="s">
        <v>2549</v>
      </c>
      <c r="B1543" s="4" t="s">
        <v>2550</v>
      </c>
      <c r="C1543" s="5">
        <v>2517</v>
      </c>
      <c r="D1543" s="6" t="s">
        <v>2551</v>
      </c>
      <c r="E1543" t="s">
        <v>434</v>
      </c>
      <c r="F1543" t="s">
        <v>13</v>
      </c>
      <c r="G1543" t="str">
        <f>+VLOOKUP(F1543,[1]Explore!$B:$I,8,0)</f>
        <v>Govt USD</v>
      </c>
      <c r="H1543" t="s">
        <v>14</v>
      </c>
      <c r="I1543" t="str">
        <f>+VLOOKUP(H1543,[1]Explore!$A:$I,9,0)</f>
        <v>Govt USD</v>
      </c>
      <c r="J1543" t="str">
        <f t="shared" si="48"/>
        <v>OK</v>
      </c>
      <c r="K1543" t="str">
        <f t="shared" si="49"/>
        <v>Govt USD</v>
      </c>
      <c r="L1543" t="s">
        <v>2143</v>
      </c>
      <c r="M1543" t="str">
        <f>_xlfn.IFNA(VLOOKUP(K1543,'Mapping DEF'!A:C,2,0),"")</f>
        <v>Curve (Local)</v>
      </c>
      <c r="N1543" t="str">
        <f>+_xlfn.IFNA(VLOOKUP(M1543,'Mapping DEF'!B:C,2,FALSE),"")</f>
        <v>Term Structure</v>
      </c>
      <c r="O1543" t="s">
        <v>2797</v>
      </c>
    </row>
    <row r="1544" spans="1:15" x14ac:dyDescent="0.25">
      <c r="A1544" s="4" t="s">
        <v>2549</v>
      </c>
      <c r="B1544" s="4" t="s">
        <v>2550</v>
      </c>
      <c r="C1544" s="5">
        <v>2517</v>
      </c>
      <c r="D1544" s="6" t="s">
        <v>2551</v>
      </c>
      <c r="E1544" t="s">
        <v>815</v>
      </c>
      <c r="F1544" t="s">
        <v>19</v>
      </c>
      <c r="G1544" t="str">
        <f>+VLOOKUP(F1544,[1]Explore!$B:$I,8,0)</f>
        <v>Govt USD</v>
      </c>
      <c r="H1544" t="s">
        <v>20</v>
      </c>
      <c r="I1544" t="str">
        <f>+VLOOKUP(H1544,[1]Explore!$A:$I,9,0)</f>
        <v>Govt USD</v>
      </c>
      <c r="J1544" t="str">
        <f t="shared" si="48"/>
        <v>OK</v>
      </c>
      <c r="K1544" t="str">
        <f t="shared" si="49"/>
        <v>Govt USD</v>
      </c>
      <c r="L1544" t="s">
        <v>2143</v>
      </c>
      <c r="M1544" t="str">
        <f>_xlfn.IFNA(VLOOKUP(K1544,'Mapping DEF'!A:C,2,0),"")</f>
        <v>Curve (Local)</v>
      </c>
      <c r="N1544" t="str">
        <f>+_xlfn.IFNA(VLOOKUP(M1544,'Mapping DEF'!B:C,2,FALSE),"")</f>
        <v>Term Structure</v>
      </c>
      <c r="O1544" t="s">
        <v>2755</v>
      </c>
    </row>
    <row r="1545" spans="1:15" x14ac:dyDescent="0.25">
      <c r="A1545" s="4" t="s">
        <v>2549</v>
      </c>
      <c r="B1545" s="4" t="s">
        <v>2550</v>
      </c>
      <c r="C1545" s="5">
        <v>2517</v>
      </c>
      <c r="D1545" s="6" t="s">
        <v>2551</v>
      </c>
      <c r="E1545" t="s">
        <v>1201</v>
      </c>
      <c r="F1545" t="s">
        <v>258</v>
      </c>
      <c r="G1545" t="str">
        <f>+VLOOKUP(F1545,[1]Explore!$B:$I,8,0)</f>
        <v>USD Inflation</v>
      </c>
      <c r="H1545" t="s">
        <v>259</v>
      </c>
      <c r="I1545" t="str">
        <f>+VLOOKUP(H1545,[1]Explore!$A:$I,9,0)</f>
        <v>USD Inflation</v>
      </c>
      <c r="J1545" t="str">
        <f t="shared" si="48"/>
        <v>OK</v>
      </c>
      <c r="K1545" t="str">
        <f t="shared" si="49"/>
        <v>USD Inflation</v>
      </c>
      <c r="L1545" t="s">
        <v>2143</v>
      </c>
      <c r="M1545" t="str">
        <f>_xlfn.IFNA(VLOOKUP(K1545,'Mapping DEF'!A:C,2,0),"")</f>
        <v>Inflation</v>
      </c>
      <c r="N1545" t="str">
        <f>+_xlfn.IFNA(VLOOKUP(M1545,'Mapping DEF'!B:C,2,FALSE),"")</f>
        <v>Other</v>
      </c>
      <c r="O1545" t="s">
        <v>2781</v>
      </c>
    </row>
    <row r="1546" spans="1:15" x14ac:dyDescent="0.25">
      <c r="A1546" s="4" t="s">
        <v>2549</v>
      </c>
      <c r="B1546" s="4" t="s">
        <v>2550</v>
      </c>
      <c r="C1546" s="5">
        <v>2517</v>
      </c>
      <c r="D1546" s="6" t="s">
        <v>2551</v>
      </c>
      <c r="E1546" t="s">
        <v>1919</v>
      </c>
      <c r="F1546" t="s">
        <v>202</v>
      </c>
      <c r="G1546" t="str">
        <f>+VLOOKUP(F1546,[1]Explore!$B:$I,8,0)</f>
        <v>Spread - Municipals</v>
      </c>
      <c r="H1546" t="s">
        <v>203</v>
      </c>
      <c r="I1546" t="str">
        <f>+VLOOKUP(H1546,[1]Explore!$A:$I,9,0)</f>
        <v>Spread - Municipals</v>
      </c>
      <c r="J1546" t="str">
        <f t="shared" si="48"/>
        <v>OK</v>
      </c>
      <c r="K1546" t="str">
        <f t="shared" si="49"/>
        <v>Spread - Municipals</v>
      </c>
      <c r="L1546" t="s">
        <v>2148</v>
      </c>
      <c r="M1546" t="str">
        <f>_xlfn.IFNA(VLOOKUP(K1546,'Mapping DEF'!A:C,2,0),"")</f>
        <v>Spread</v>
      </c>
      <c r="N1546" t="str">
        <f>+_xlfn.IFNA(VLOOKUP(M1546,'Mapping DEF'!B:C,2,FALSE),"")</f>
        <v>Spread</v>
      </c>
      <c r="O1546" t="s">
        <v>2788</v>
      </c>
    </row>
    <row r="1547" spans="1:15" x14ac:dyDescent="0.25">
      <c r="A1547" s="4" t="s">
        <v>2549</v>
      </c>
      <c r="B1547" s="4" t="s">
        <v>2550</v>
      </c>
      <c r="C1547" s="5">
        <v>2517</v>
      </c>
      <c r="D1547" s="6" t="s">
        <v>2551</v>
      </c>
      <c r="E1547" t="s">
        <v>1920</v>
      </c>
      <c r="F1547" t="s">
        <v>271</v>
      </c>
      <c r="G1547" t="str">
        <f>+VLOOKUP(F1547,[1]Explore!$B:$I,8,0)</f>
        <v>Corporate IG USD - Other</v>
      </c>
      <c r="H1547" t="s">
        <v>272</v>
      </c>
      <c r="I1547" t="str">
        <f>+VLOOKUP(H1547,[1]Explore!$A:$I,9,0)</f>
        <v>Corporate IG USD - Other</v>
      </c>
      <c r="J1547" t="str">
        <f t="shared" si="48"/>
        <v>OK</v>
      </c>
      <c r="K1547" t="str">
        <f t="shared" si="49"/>
        <v>Corporate IG USD - Other</v>
      </c>
      <c r="L1547" t="s">
        <v>2650</v>
      </c>
      <c r="M1547" t="str">
        <f>_xlfn.IFNA(VLOOKUP(K1547,'Mapping DEF'!A:C,2,0),"")</f>
        <v>Spread</v>
      </c>
      <c r="N1547" t="str">
        <f>+_xlfn.IFNA(VLOOKUP(M1547,'Mapping DEF'!B:C,2,FALSE),"")</f>
        <v>Spread</v>
      </c>
      <c r="O1547" t="s">
        <v>2781</v>
      </c>
    </row>
    <row r="1548" spans="1:15" x14ac:dyDescent="0.25">
      <c r="A1548" s="4" t="s">
        <v>2549</v>
      </c>
      <c r="B1548" s="4" t="s">
        <v>2550</v>
      </c>
      <c r="C1548" s="5">
        <v>2517</v>
      </c>
      <c r="D1548" s="6" t="s">
        <v>2551</v>
      </c>
      <c r="E1548" t="s">
        <v>1360</v>
      </c>
      <c r="F1548" t="s">
        <v>2156</v>
      </c>
      <c r="G1548" t="str">
        <f>+VLOOKUP(F1548,[1]Explore!$B:$I,8,0)</f>
        <v>Equity Implied Volatility</v>
      </c>
      <c r="H1548" t="s">
        <v>141</v>
      </c>
      <c r="I1548" t="str">
        <f>+VLOOKUP(H1548,[1]Explore!$A:$I,9,0)</f>
        <v>Equity Implied Volatility</v>
      </c>
      <c r="J1548" t="str">
        <f t="shared" si="48"/>
        <v>OK</v>
      </c>
      <c r="K1548" t="str">
        <f t="shared" si="49"/>
        <v>Equity Implied Volatility</v>
      </c>
      <c r="L1548" t="s">
        <v>27</v>
      </c>
      <c r="M1548" t="str">
        <f>_xlfn.IFNA(VLOOKUP(K1548,'Mapping DEF'!A:C,2,0),"")</f>
        <v>Equity Derivatives</v>
      </c>
      <c r="N1548" t="str">
        <f>+_xlfn.IFNA(VLOOKUP(M1548,'Mapping DEF'!B:C,2,FALSE),"")</f>
        <v>Equity</v>
      </c>
      <c r="O1548" t="s">
        <v>2770</v>
      </c>
    </row>
    <row r="1549" spans="1:15" x14ac:dyDescent="0.25">
      <c r="A1549" s="4" t="s">
        <v>2549</v>
      </c>
      <c r="B1549" s="4" t="s">
        <v>2550</v>
      </c>
      <c r="C1549" s="5">
        <v>2517</v>
      </c>
      <c r="D1549" s="6" t="s">
        <v>2551</v>
      </c>
      <c r="E1549" t="s">
        <v>1921</v>
      </c>
      <c r="F1549" t="s">
        <v>220</v>
      </c>
      <c r="G1549" t="str">
        <f>+VLOOKUP(F1549,[1]Explore!$B:$I,8,0)</f>
        <v>Corporate HY USD - Other</v>
      </c>
      <c r="H1549" t="s">
        <v>221</v>
      </c>
      <c r="I1549" t="str">
        <f>+VLOOKUP(H1549,[1]Explore!$A:$I,9,0)</f>
        <v>Corporate HY USD - Other</v>
      </c>
      <c r="J1549" t="str">
        <f t="shared" si="48"/>
        <v>OK</v>
      </c>
      <c r="K1549" t="str">
        <f t="shared" si="49"/>
        <v>Corporate HY USD - Other</v>
      </c>
      <c r="L1549" t="s">
        <v>188</v>
      </c>
      <c r="M1549" t="str">
        <f>_xlfn.IFNA(VLOOKUP(K1549,'Mapping DEF'!A:C,2,0),"")</f>
        <v>Spread</v>
      </c>
      <c r="N1549" t="str">
        <f>+_xlfn.IFNA(VLOOKUP(M1549,'Mapping DEF'!B:C,2,FALSE),"")</f>
        <v>Spread</v>
      </c>
      <c r="O1549" t="s">
        <v>2769</v>
      </c>
    </row>
    <row r="1550" spans="1:15" x14ac:dyDescent="0.25">
      <c r="A1550" s="4" t="s">
        <v>2549</v>
      </c>
      <c r="B1550" s="4" t="s">
        <v>2550</v>
      </c>
      <c r="C1550" s="5">
        <v>2517</v>
      </c>
      <c r="D1550" s="6" t="s">
        <v>2551</v>
      </c>
      <c r="E1550" t="s">
        <v>1922</v>
      </c>
      <c r="F1550" t="s">
        <v>2169</v>
      </c>
      <c r="G1550" t="str">
        <f>+VLOOKUP(F1550,[1]Explore!$B:$I,8,0)</f>
        <v>Other - Index</v>
      </c>
      <c r="H1550" t="s">
        <v>1373</v>
      </c>
      <c r="I1550" t="e">
        <f>+VLOOKUP(H1550,[1]Explore!$A:$I,9,0)</f>
        <v>#N/A</v>
      </c>
      <c r="J1550" t="str">
        <f t="shared" si="48"/>
        <v>OK</v>
      </c>
      <c r="K1550" t="str">
        <f t="shared" si="49"/>
        <v>Other - Index</v>
      </c>
      <c r="L1550" t="s">
        <v>27</v>
      </c>
      <c r="M1550" t="str">
        <f>_xlfn.IFNA(VLOOKUP(K1550,'Mapping DEF'!A:C,2,0),"")</f>
        <v>Other</v>
      </c>
      <c r="N1550" t="str">
        <f>+_xlfn.IFNA(VLOOKUP(M1550,'Mapping DEF'!B:C,2,FALSE),"")</f>
        <v>Other</v>
      </c>
      <c r="O1550" t="s">
        <v>2759</v>
      </c>
    </row>
    <row r="1551" spans="1:15" x14ac:dyDescent="0.25">
      <c r="A1551" s="4" t="s">
        <v>2552</v>
      </c>
      <c r="B1551" s="4" t="s">
        <v>2553</v>
      </c>
      <c r="C1551" s="5">
        <v>2516</v>
      </c>
      <c r="D1551" s="6" t="s">
        <v>2554</v>
      </c>
      <c r="E1551" t="s">
        <v>434</v>
      </c>
      <c r="F1551" t="s">
        <v>13</v>
      </c>
      <c r="G1551" t="str">
        <f>+VLOOKUP(F1551,[1]Explore!$B:$I,8,0)</f>
        <v>Govt USD</v>
      </c>
      <c r="H1551" t="s">
        <v>14</v>
      </c>
      <c r="I1551" t="str">
        <f>+VLOOKUP(H1551,[1]Explore!$A:$I,9,0)</f>
        <v>Govt USD</v>
      </c>
      <c r="J1551" t="str">
        <f t="shared" si="48"/>
        <v>OK</v>
      </c>
      <c r="K1551" t="str">
        <f t="shared" si="49"/>
        <v>Govt USD</v>
      </c>
      <c r="L1551" t="s">
        <v>2143</v>
      </c>
      <c r="M1551" t="str">
        <f>_xlfn.IFNA(VLOOKUP(K1551,'Mapping DEF'!A:C,2,0),"")</f>
        <v>Curve (Local)</v>
      </c>
      <c r="N1551" t="str">
        <f>+_xlfn.IFNA(VLOOKUP(M1551,'Mapping DEF'!B:C,2,FALSE),"")</f>
        <v>Term Structure</v>
      </c>
      <c r="O1551" t="s">
        <v>2797</v>
      </c>
    </row>
    <row r="1552" spans="1:15" x14ac:dyDescent="0.25">
      <c r="A1552" s="4" t="s">
        <v>2552</v>
      </c>
      <c r="B1552" s="4" t="s">
        <v>2553</v>
      </c>
      <c r="C1552" s="5">
        <v>2516</v>
      </c>
      <c r="D1552" s="6" t="s">
        <v>2554</v>
      </c>
      <c r="E1552" t="s">
        <v>815</v>
      </c>
      <c r="F1552" t="s">
        <v>19</v>
      </c>
      <c r="G1552" t="str">
        <f>+VLOOKUP(F1552,[1]Explore!$B:$I,8,0)</f>
        <v>Govt USD</v>
      </c>
      <c r="H1552" t="s">
        <v>20</v>
      </c>
      <c r="I1552" t="str">
        <f>+VLOOKUP(H1552,[1]Explore!$A:$I,9,0)</f>
        <v>Govt USD</v>
      </c>
      <c r="J1552" t="str">
        <f t="shared" si="48"/>
        <v>OK</v>
      </c>
      <c r="K1552" t="str">
        <f t="shared" si="49"/>
        <v>Govt USD</v>
      </c>
      <c r="L1552" t="s">
        <v>2143</v>
      </c>
      <c r="M1552" t="str">
        <f>_xlfn.IFNA(VLOOKUP(K1552,'Mapping DEF'!A:C,2,0),"")</f>
        <v>Curve (Local)</v>
      </c>
      <c r="N1552" t="str">
        <f>+_xlfn.IFNA(VLOOKUP(M1552,'Mapping DEF'!B:C,2,FALSE),"")</f>
        <v>Term Structure</v>
      </c>
      <c r="O1552" t="s">
        <v>2755</v>
      </c>
    </row>
    <row r="1553" spans="1:15" x14ac:dyDescent="0.25">
      <c r="A1553" s="4" t="s">
        <v>2552</v>
      </c>
      <c r="B1553" s="4" t="s">
        <v>2553</v>
      </c>
      <c r="C1553" s="5">
        <v>2516</v>
      </c>
      <c r="D1553" s="6" t="s">
        <v>2554</v>
      </c>
      <c r="E1553" t="s">
        <v>411</v>
      </c>
      <c r="F1553" t="s">
        <v>258</v>
      </c>
      <c r="G1553" t="str">
        <f>+VLOOKUP(F1553,[1]Explore!$B:$I,8,0)</f>
        <v>USD Inflation</v>
      </c>
      <c r="H1553" t="s">
        <v>259</v>
      </c>
      <c r="I1553" t="str">
        <f>+VLOOKUP(H1553,[1]Explore!$A:$I,9,0)</f>
        <v>USD Inflation</v>
      </c>
      <c r="J1553" t="str">
        <f t="shared" si="48"/>
        <v>OK</v>
      </c>
      <c r="K1553" t="str">
        <f t="shared" si="49"/>
        <v>USD Inflation</v>
      </c>
      <c r="L1553" t="s">
        <v>2143</v>
      </c>
      <c r="M1553" t="str">
        <f>_xlfn.IFNA(VLOOKUP(K1553,'Mapping DEF'!A:C,2,0),"")</f>
        <v>Inflation</v>
      </c>
      <c r="N1553" t="str">
        <f>+_xlfn.IFNA(VLOOKUP(M1553,'Mapping DEF'!B:C,2,FALSE),"")</f>
        <v>Other</v>
      </c>
      <c r="O1553" t="s">
        <v>2774</v>
      </c>
    </row>
    <row r="1554" spans="1:15" x14ac:dyDescent="0.25">
      <c r="A1554" s="4" t="s">
        <v>2552</v>
      </c>
      <c r="B1554" s="4" t="s">
        <v>2553</v>
      </c>
      <c r="C1554" s="5">
        <v>2516</v>
      </c>
      <c r="D1554" s="6" t="s">
        <v>2554</v>
      </c>
      <c r="E1554" t="s">
        <v>1219</v>
      </c>
      <c r="F1554" t="s">
        <v>265</v>
      </c>
      <c r="G1554" t="str">
        <f>+VLOOKUP(F1554,[1]Explore!$B:$I,8,0)</f>
        <v>Alternative - Commodity</v>
      </c>
      <c r="H1554" t="s">
        <v>266</v>
      </c>
      <c r="I1554" t="str">
        <f>+VLOOKUP(H1554,[1]Explore!$A:$I,9,0)</f>
        <v>Alternative - Commodity</v>
      </c>
      <c r="J1554" t="str">
        <f t="shared" si="48"/>
        <v>OK</v>
      </c>
      <c r="K1554" t="str">
        <f t="shared" si="49"/>
        <v>Alternative - Commodity</v>
      </c>
      <c r="L1554" t="s">
        <v>2139</v>
      </c>
      <c r="M1554" t="str">
        <f>_xlfn.IFNA(VLOOKUP(K1554,'Mapping DEF'!A:C,2,0),"")</f>
        <v>Alternative</v>
      </c>
      <c r="N1554" t="str">
        <f>+_xlfn.IFNA(VLOOKUP(M1554,'Mapping DEF'!B:C,2,FALSE),"")</f>
        <v>Other</v>
      </c>
      <c r="O1554" t="s">
        <v>2776</v>
      </c>
    </row>
    <row r="1555" spans="1:15" x14ac:dyDescent="0.25">
      <c r="A1555" s="4" t="s">
        <v>2552</v>
      </c>
      <c r="B1555" s="4" t="s">
        <v>2553</v>
      </c>
      <c r="C1555" s="5">
        <v>2516</v>
      </c>
      <c r="D1555" s="6" t="s">
        <v>2554</v>
      </c>
      <c r="E1555" t="s">
        <v>1466</v>
      </c>
      <c r="F1555" t="s">
        <v>731</v>
      </c>
      <c r="G1555" t="str">
        <f>+VLOOKUP(F1555,[1]Explore!$B:$I,8,0)</f>
        <v>Alternative - Commodity</v>
      </c>
      <c r="H1555" t="s">
        <v>732</v>
      </c>
      <c r="I1555" t="str">
        <f>+VLOOKUP(H1555,[1]Explore!$A:$I,9,0)</f>
        <v>Alternative - Commodity</v>
      </c>
      <c r="J1555" t="str">
        <f t="shared" si="48"/>
        <v>OK</v>
      </c>
      <c r="K1555" t="str">
        <f t="shared" si="49"/>
        <v>Alternative - Commodity</v>
      </c>
      <c r="L1555" t="s">
        <v>2139</v>
      </c>
      <c r="M1555" t="str">
        <f>_xlfn.IFNA(VLOOKUP(K1555,'Mapping DEF'!A:C,2,0),"")</f>
        <v>Alternative</v>
      </c>
      <c r="N1555" t="str">
        <f>+_xlfn.IFNA(VLOOKUP(M1555,'Mapping DEF'!B:C,2,FALSE),"")</f>
        <v>Other</v>
      </c>
      <c r="O1555" t="s">
        <v>2821</v>
      </c>
    </row>
    <row r="1556" spans="1:15" x14ac:dyDescent="0.25">
      <c r="A1556" s="4" t="s">
        <v>2552</v>
      </c>
      <c r="B1556" s="4" t="s">
        <v>2553</v>
      </c>
      <c r="C1556" s="5">
        <v>2516</v>
      </c>
      <c r="D1556" s="6" t="s">
        <v>2554</v>
      </c>
      <c r="E1556" t="s">
        <v>1923</v>
      </c>
      <c r="F1556" t="s">
        <v>202</v>
      </c>
      <c r="G1556" t="str">
        <f>+VLOOKUP(F1556,[1]Explore!$B:$I,8,0)</f>
        <v>Spread - Municipals</v>
      </c>
      <c r="H1556" t="s">
        <v>203</v>
      </c>
      <c r="I1556" t="str">
        <f>+VLOOKUP(H1556,[1]Explore!$A:$I,9,0)</f>
        <v>Spread - Municipals</v>
      </c>
      <c r="J1556" t="str">
        <f t="shared" si="48"/>
        <v>OK</v>
      </c>
      <c r="K1556" t="str">
        <f t="shared" si="49"/>
        <v>Spread - Municipals</v>
      </c>
      <c r="L1556" t="s">
        <v>2148</v>
      </c>
      <c r="M1556" t="str">
        <f>_xlfn.IFNA(VLOOKUP(K1556,'Mapping DEF'!A:C,2,0),"")</f>
        <v>Spread</v>
      </c>
      <c r="N1556" t="str">
        <f>+_xlfn.IFNA(VLOOKUP(M1556,'Mapping DEF'!B:C,2,FALSE),"")</f>
        <v>Spread</v>
      </c>
      <c r="O1556" t="s">
        <v>2755</v>
      </c>
    </row>
    <row r="1557" spans="1:15" x14ac:dyDescent="0.25">
      <c r="A1557" s="4" t="s">
        <v>2552</v>
      </c>
      <c r="B1557" s="4" t="s">
        <v>2553</v>
      </c>
      <c r="C1557" s="5">
        <v>2516</v>
      </c>
      <c r="D1557" s="6" t="s">
        <v>2554</v>
      </c>
      <c r="E1557" t="s">
        <v>1488</v>
      </c>
      <c r="F1557" t="s">
        <v>271</v>
      </c>
      <c r="G1557" t="str">
        <f>+VLOOKUP(F1557,[1]Explore!$B:$I,8,0)</f>
        <v>Corporate IG USD - Other</v>
      </c>
      <c r="H1557" t="s">
        <v>272</v>
      </c>
      <c r="I1557" t="str">
        <f>+VLOOKUP(H1557,[1]Explore!$A:$I,9,0)</f>
        <v>Corporate IG USD - Other</v>
      </c>
      <c r="J1557" t="str">
        <f t="shared" si="48"/>
        <v>OK</v>
      </c>
      <c r="K1557" t="str">
        <f t="shared" si="49"/>
        <v>Corporate IG USD - Other</v>
      </c>
      <c r="L1557" t="s">
        <v>2650</v>
      </c>
      <c r="M1557" t="str">
        <f>_xlfn.IFNA(VLOOKUP(K1557,'Mapping DEF'!A:C,2,0),"")</f>
        <v>Spread</v>
      </c>
      <c r="N1557" t="str">
        <f>+_xlfn.IFNA(VLOOKUP(M1557,'Mapping DEF'!B:C,2,FALSE),"")</f>
        <v>Spread</v>
      </c>
      <c r="O1557" t="s">
        <v>2779</v>
      </c>
    </row>
    <row r="1558" spans="1:15" x14ac:dyDescent="0.25">
      <c r="A1558" s="4" t="s">
        <v>2552</v>
      </c>
      <c r="B1558" s="4" t="s">
        <v>2553</v>
      </c>
      <c r="C1558" s="5">
        <v>2516</v>
      </c>
      <c r="D1558" s="6" t="s">
        <v>2554</v>
      </c>
      <c r="E1558" t="s">
        <v>1924</v>
      </c>
      <c r="F1558" t="s">
        <v>593</v>
      </c>
      <c r="G1558" t="str">
        <f>+VLOOKUP(F1558,[1]Explore!$B:$I,8,0)</f>
        <v>Corporate IG USD - Industry</v>
      </c>
      <c r="H1558" t="s">
        <v>594</v>
      </c>
      <c r="I1558" t="str">
        <f>+VLOOKUP(H1558,[1]Explore!$A:$I,9,0)</f>
        <v>Corporate IG USD - Industry</v>
      </c>
      <c r="J1558" t="str">
        <f t="shared" si="48"/>
        <v>OK</v>
      </c>
      <c r="K1558" t="str">
        <f t="shared" si="49"/>
        <v>Corporate IG USD - Industry</v>
      </c>
      <c r="L1558" t="s">
        <v>188</v>
      </c>
      <c r="M1558" t="str">
        <f>_xlfn.IFNA(VLOOKUP(K1558,'Mapping DEF'!A:C,2,0),"")</f>
        <v>Spread</v>
      </c>
      <c r="N1558" t="str">
        <f>+_xlfn.IFNA(VLOOKUP(M1558,'Mapping DEF'!B:C,2,FALSE),"")</f>
        <v>Spread</v>
      </c>
      <c r="O1558" t="s">
        <v>2769</v>
      </c>
    </row>
    <row r="1559" spans="1:15" x14ac:dyDescent="0.25">
      <c r="A1559" s="4" t="s">
        <v>2552</v>
      </c>
      <c r="B1559" s="4" t="s">
        <v>2553</v>
      </c>
      <c r="C1559" s="5">
        <v>2516</v>
      </c>
      <c r="D1559" s="6" t="s">
        <v>2554</v>
      </c>
      <c r="E1559" t="s">
        <v>1925</v>
      </c>
      <c r="F1559" t="s">
        <v>1926</v>
      </c>
      <c r="G1559" t="str">
        <f>+VLOOKUP(F1559,[1]Explore!$B:$I,8,0)</f>
        <v>Corporate IG USD - Industry</v>
      </c>
      <c r="H1559" t="s">
        <v>1927</v>
      </c>
      <c r="I1559" t="str">
        <f>+VLOOKUP(H1559,[1]Explore!$A:$I,9,0)</f>
        <v>Corporate IG USD - Industry</v>
      </c>
      <c r="J1559" t="str">
        <f t="shared" si="48"/>
        <v>OK</v>
      </c>
      <c r="K1559" t="str">
        <f t="shared" si="49"/>
        <v>Corporate IG USD - Industry</v>
      </c>
      <c r="L1559" t="s">
        <v>188</v>
      </c>
      <c r="M1559" t="str">
        <f>_xlfn.IFNA(VLOOKUP(K1559,'Mapping DEF'!A:C,2,0),"")</f>
        <v>Spread</v>
      </c>
      <c r="N1559" t="str">
        <f>+_xlfn.IFNA(VLOOKUP(M1559,'Mapping DEF'!B:C,2,FALSE),"")</f>
        <v>Spread</v>
      </c>
      <c r="O1559" t="s">
        <v>2769</v>
      </c>
    </row>
    <row r="1560" spans="1:15" x14ac:dyDescent="0.25">
      <c r="A1560" s="4" t="s">
        <v>2552</v>
      </c>
      <c r="B1560" s="4" t="s">
        <v>2553</v>
      </c>
      <c r="C1560" s="5">
        <v>2516</v>
      </c>
      <c r="D1560" s="6" t="s">
        <v>2554</v>
      </c>
      <c r="E1560" t="s">
        <v>1360</v>
      </c>
      <c r="F1560" t="s">
        <v>2156</v>
      </c>
      <c r="G1560" t="str">
        <f>+VLOOKUP(F1560,[1]Explore!$B:$I,8,0)</f>
        <v>Equity Implied Volatility</v>
      </c>
      <c r="H1560" t="s">
        <v>141</v>
      </c>
      <c r="I1560" t="str">
        <f>+VLOOKUP(H1560,[1]Explore!$A:$I,9,0)</f>
        <v>Equity Implied Volatility</v>
      </c>
      <c r="J1560" t="str">
        <f t="shared" si="48"/>
        <v>OK</v>
      </c>
      <c r="K1560" t="str">
        <f t="shared" si="49"/>
        <v>Equity Implied Volatility</v>
      </c>
      <c r="L1560" t="s">
        <v>27</v>
      </c>
      <c r="M1560" t="str">
        <f>_xlfn.IFNA(VLOOKUP(K1560,'Mapping DEF'!A:C,2,0),"")</f>
        <v>Equity Derivatives</v>
      </c>
      <c r="N1560" t="str">
        <f>+_xlfn.IFNA(VLOOKUP(M1560,'Mapping DEF'!B:C,2,FALSE),"")</f>
        <v>Equity</v>
      </c>
      <c r="O1560" t="s">
        <v>2770</v>
      </c>
    </row>
    <row r="1561" spans="1:15" x14ac:dyDescent="0.25">
      <c r="A1561" s="4" t="s">
        <v>2552</v>
      </c>
      <c r="B1561" s="4" t="s">
        <v>2553</v>
      </c>
      <c r="C1561" s="5">
        <v>2516</v>
      </c>
      <c r="D1561" s="6" t="s">
        <v>2554</v>
      </c>
      <c r="E1561" t="s">
        <v>1928</v>
      </c>
      <c r="F1561" t="s">
        <v>1791</v>
      </c>
      <c r="G1561" t="e">
        <f>+VLOOKUP(F1561,[1]Explore!$B:$I,8,0)</f>
        <v>#N/A</v>
      </c>
      <c r="H1561" t="s">
        <v>1792</v>
      </c>
      <c r="I1561" t="e">
        <f>+VLOOKUP(H1561,[1]Explore!$A:$I,9,0)</f>
        <v>#N/A</v>
      </c>
      <c r="J1561" t="str">
        <f t="shared" si="48"/>
        <v>BOTH #N/A</v>
      </c>
      <c r="K1561" t="str">
        <f t="shared" si="49"/>
        <v>Consumer Discretionary</v>
      </c>
      <c r="L1561" t="s">
        <v>2659</v>
      </c>
      <c r="M1561" t="str">
        <f>_xlfn.IFNA(VLOOKUP(K1561,'Mapping DEF'!A:C,2,0),"")</f>
        <v>Industry Allocation</v>
      </c>
      <c r="N1561" t="str">
        <f>+_xlfn.IFNA(VLOOKUP(M1561,'Mapping DEF'!B:C,2,FALSE),"")</f>
        <v>Equity</v>
      </c>
      <c r="O1561" t="s">
        <v>2858</v>
      </c>
    </row>
    <row r="1562" spans="1:15" x14ac:dyDescent="0.25">
      <c r="A1562" s="4" t="s">
        <v>2552</v>
      </c>
      <c r="B1562" s="4" t="s">
        <v>2553</v>
      </c>
      <c r="C1562" s="5">
        <v>2516</v>
      </c>
      <c r="D1562" s="6" t="s">
        <v>2554</v>
      </c>
      <c r="E1562" t="s">
        <v>1929</v>
      </c>
      <c r="F1562" t="s">
        <v>1930</v>
      </c>
      <c r="G1562" t="e">
        <f>+VLOOKUP(F1562,[1]Explore!$B:$I,8,0)</f>
        <v>#N/A</v>
      </c>
      <c r="H1562" t="s">
        <v>1931</v>
      </c>
      <c r="I1562" t="e">
        <f>+VLOOKUP(H1562,[1]Explore!$A:$I,9,0)</f>
        <v>#N/A</v>
      </c>
      <c r="J1562" t="str">
        <f t="shared" si="48"/>
        <v>BOTH #N/A</v>
      </c>
      <c r="K1562" t="str">
        <f t="shared" si="49"/>
        <v>Financials</v>
      </c>
      <c r="L1562" t="s">
        <v>325</v>
      </c>
      <c r="M1562" t="str">
        <f>_xlfn.IFNA(VLOOKUP(K1562,'Mapping DEF'!A:C,2,0),"")</f>
        <v>Industry Allocation</v>
      </c>
      <c r="N1562" t="str">
        <f>+_xlfn.IFNA(VLOOKUP(M1562,'Mapping DEF'!B:C,2,FALSE),"")</f>
        <v>Equity</v>
      </c>
      <c r="O1562" t="s">
        <v>2792</v>
      </c>
    </row>
    <row r="1563" spans="1:15" x14ac:dyDescent="0.25">
      <c r="A1563" s="4" t="s">
        <v>2552</v>
      </c>
      <c r="B1563" s="4" t="s">
        <v>2553</v>
      </c>
      <c r="C1563" s="5">
        <v>2516</v>
      </c>
      <c r="D1563" s="6" t="s">
        <v>2554</v>
      </c>
      <c r="E1563" t="s">
        <v>1932</v>
      </c>
      <c r="F1563" t="s">
        <v>2162</v>
      </c>
      <c r="G1563" t="str">
        <f>+VLOOKUP(F1563,[1]Explore!$B:$I,8,0)</f>
        <v>Information Technology</v>
      </c>
      <c r="H1563" t="s">
        <v>117</v>
      </c>
      <c r="I1563" t="e">
        <f>+VLOOKUP(H1563,[1]Explore!$A:$I,9,0)</f>
        <v>#N/A</v>
      </c>
      <c r="J1563" t="str">
        <f t="shared" si="48"/>
        <v>OK</v>
      </c>
      <c r="K1563" t="str">
        <f t="shared" si="49"/>
        <v>Information Technology</v>
      </c>
      <c r="L1563" t="s">
        <v>2141</v>
      </c>
      <c r="M1563" t="str">
        <f>_xlfn.IFNA(VLOOKUP(K1563,'Mapping DEF'!A:C,2,0),"")</f>
        <v>Industry Allocation</v>
      </c>
      <c r="N1563" t="str">
        <f>+_xlfn.IFNA(VLOOKUP(M1563,'Mapping DEF'!B:C,2,FALSE),"")</f>
        <v>Equity</v>
      </c>
      <c r="O1563" t="s">
        <v>2776</v>
      </c>
    </row>
    <row r="1564" spans="1:15" x14ac:dyDescent="0.25">
      <c r="A1564" s="4" t="s">
        <v>2552</v>
      </c>
      <c r="B1564" s="4" t="s">
        <v>2553</v>
      </c>
      <c r="C1564" s="5">
        <v>2516</v>
      </c>
      <c r="D1564" s="6" t="s">
        <v>2554</v>
      </c>
      <c r="E1564" t="s">
        <v>1933</v>
      </c>
      <c r="F1564" t="s">
        <v>217</v>
      </c>
      <c r="G1564" t="str">
        <f>+VLOOKUP(F1564,[1]Explore!$B:$I,8,0)</f>
        <v>Utilities</v>
      </c>
      <c r="H1564" t="s">
        <v>218</v>
      </c>
      <c r="I1564" t="e">
        <f>+VLOOKUP(H1564,[1]Explore!$A:$I,9,0)</f>
        <v>#N/A</v>
      </c>
      <c r="J1564" t="str">
        <f t="shared" si="48"/>
        <v>OK</v>
      </c>
      <c r="K1564" t="str">
        <f t="shared" si="49"/>
        <v>Utilities</v>
      </c>
      <c r="L1564" t="s">
        <v>2141</v>
      </c>
      <c r="M1564" t="str">
        <f>_xlfn.IFNA(VLOOKUP(K1564,'Mapping DEF'!A:C,2,0),"")</f>
        <v>Industry Allocation</v>
      </c>
      <c r="N1564" t="str">
        <f>+_xlfn.IFNA(VLOOKUP(M1564,'Mapping DEF'!B:C,2,FALSE),"")</f>
        <v>Equity</v>
      </c>
      <c r="O1564" t="s">
        <v>2776</v>
      </c>
    </row>
    <row r="1565" spans="1:15" x14ac:dyDescent="0.25">
      <c r="A1565" s="4" t="s">
        <v>2552</v>
      </c>
      <c r="B1565" s="4" t="s">
        <v>2553</v>
      </c>
      <c r="C1565" s="5">
        <v>2516</v>
      </c>
      <c r="D1565" s="6" t="s">
        <v>2554</v>
      </c>
      <c r="E1565" t="s">
        <v>910</v>
      </c>
      <c r="F1565" t="s">
        <v>346</v>
      </c>
      <c r="G1565" t="str">
        <f>+VLOOKUP(F1565,[1]Explore!$B:$I,8,0)</f>
        <v>Spread Emerging Markets - Country</v>
      </c>
      <c r="H1565" t="s">
        <v>347</v>
      </c>
      <c r="I1565" t="str">
        <f>+VLOOKUP(H1565,[1]Explore!$A:$I,9,0)</f>
        <v>Spread Emerging Markets - Country</v>
      </c>
      <c r="J1565" t="str">
        <f t="shared" si="48"/>
        <v>OK</v>
      </c>
      <c r="K1565" t="str">
        <f t="shared" si="49"/>
        <v>Spread Emerging Markets - Country</v>
      </c>
      <c r="L1565" t="s">
        <v>188</v>
      </c>
      <c r="M1565" t="str">
        <f>_xlfn.IFNA(VLOOKUP(K1565,'Mapping DEF'!A:C,2,0),"")</f>
        <v>Spread</v>
      </c>
      <c r="N1565" t="str">
        <f>+_xlfn.IFNA(VLOOKUP(M1565,'Mapping DEF'!B:C,2,FALSE),"")</f>
        <v>Spread</v>
      </c>
      <c r="O1565" t="s">
        <v>2788</v>
      </c>
    </row>
    <row r="1566" spans="1:15" x14ac:dyDescent="0.25">
      <c r="A1566" s="4" t="s">
        <v>2552</v>
      </c>
      <c r="B1566" s="4" t="s">
        <v>2553</v>
      </c>
      <c r="C1566" s="5">
        <v>2516</v>
      </c>
      <c r="D1566" s="6" t="s">
        <v>2554</v>
      </c>
      <c r="E1566" t="s">
        <v>1934</v>
      </c>
      <c r="F1566" t="s">
        <v>2632</v>
      </c>
      <c r="G1566" t="str">
        <f>+VLOOKUP(F1566,[1]Explore!$B:$I,8,0)</f>
        <v>Equity Implied Volatility</v>
      </c>
      <c r="H1566" t="s">
        <v>1935</v>
      </c>
      <c r="I1566" t="e">
        <f>+VLOOKUP(H1566,[1]Explore!$A:$I,9,0)</f>
        <v>#N/A</v>
      </c>
      <c r="J1566" t="str">
        <f t="shared" si="48"/>
        <v>OK</v>
      </c>
      <c r="K1566" t="str">
        <f t="shared" si="49"/>
        <v>Equity Implied Volatility</v>
      </c>
      <c r="L1566" t="s">
        <v>27</v>
      </c>
      <c r="M1566" t="str">
        <f>_xlfn.IFNA(VLOOKUP(K1566,'Mapping DEF'!A:C,2,0),"")</f>
        <v>Equity Derivatives</v>
      </c>
      <c r="N1566" t="str">
        <f>+_xlfn.IFNA(VLOOKUP(M1566,'Mapping DEF'!B:C,2,FALSE),"")</f>
        <v>Equity</v>
      </c>
      <c r="O1566" t="s">
        <v>2776</v>
      </c>
    </row>
    <row r="1567" spans="1:15" x14ac:dyDescent="0.25">
      <c r="A1567" s="4" t="s">
        <v>2555</v>
      </c>
      <c r="B1567" s="4" t="s">
        <v>2556</v>
      </c>
      <c r="C1567" s="5">
        <v>2518</v>
      </c>
      <c r="D1567" s="6" t="s">
        <v>2557</v>
      </c>
      <c r="E1567" t="s">
        <v>670</v>
      </c>
      <c r="F1567" t="s">
        <v>19</v>
      </c>
      <c r="G1567" t="str">
        <f>+VLOOKUP(F1567,[1]Explore!$B:$I,8,0)</f>
        <v>Govt USD</v>
      </c>
      <c r="H1567" t="s">
        <v>20</v>
      </c>
      <c r="I1567" t="str">
        <f>+VLOOKUP(H1567,[1]Explore!$A:$I,9,0)</f>
        <v>Govt USD</v>
      </c>
      <c r="J1567" t="str">
        <f t="shared" si="48"/>
        <v>OK</v>
      </c>
      <c r="K1567" t="str">
        <f t="shared" si="49"/>
        <v>Govt USD</v>
      </c>
      <c r="L1567" t="s">
        <v>2143</v>
      </c>
      <c r="M1567" t="str">
        <f>_xlfn.IFNA(VLOOKUP(K1567,'Mapping DEF'!A:C,2,0),"")</f>
        <v>Curve (Local)</v>
      </c>
      <c r="N1567" t="str">
        <f>+_xlfn.IFNA(VLOOKUP(M1567,'Mapping DEF'!B:C,2,FALSE),"")</f>
        <v>Term Structure</v>
      </c>
      <c r="O1567" t="s">
        <v>2769</v>
      </c>
    </row>
    <row r="1568" spans="1:15" x14ac:dyDescent="0.25">
      <c r="A1568" s="4" t="s">
        <v>2555</v>
      </c>
      <c r="B1568" s="4" t="s">
        <v>2556</v>
      </c>
      <c r="C1568" s="5">
        <v>2518</v>
      </c>
      <c r="D1568" s="6" t="s">
        <v>2557</v>
      </c>
      <c r="E1568" t="s">
        <v>1936</v>
      </c>
      <c r="F1568" t="s">
        <v>202</v>
      </c>
      <c r="G1568" t="str">
        <f>+VLOOKUP(F1568,[1]Explore!$B:$I,8,0)</f>
        <v>Spread - Municipals</v>
      </c>
      <c r="H1568" t="s">
        <v>203</v>
      </c>
      <c r="I1568" t="str">
        <f>+VLOOKUP(H1568,[1]Explore!$A:$I,9,0)</f>
        <v>Spread - Municipals</v>
      </c>
      <c r="J1568" t="str">
        <f t="shared" si="48"/>
        <v>OK</v>
      </c>
      <c r="K1568" t="str">
        <f t="shared" si="49"/>
        <v>Spread - Municipals</v>
      </c>
      <c r="L1568" t="s">
        <v>2148</v>
      </c>
      <c r="M1568" t="str">
        <f>_xlfn.IFNA(VLOOKUP(K1568,'Mapping DEF'!A:C,2,0),"")</f>
        <v>Spread</v>
      </c>
      <c r="N1568" t="str">
        <f>+_xlfn.IFNA(VLOOKUP(M1568,'Mapping DEF'!B:C,2,FALSE),"")</f>
        <v>Spread</v>
      </c>
      <c r="O1568" t="s">
        <v>2769</v>
      </c>
    </row>
    <row r="1569" spans="1:15" x14ac:dyDescent="0.25">
      <c r="A1569" s="4" t="s">
        <v>2555</v>
      </c>
      <c r="B1569" s="4" t="s">
        <v>2556</v>
      </c>
      <c r="C1569" s="5">
        <v>2518</v>
      </c>
      <c r="D1569" s="6" t="s">
        <v>2557</v>
      </c>
      <c r="E1569" t="s">
        <v>1937</v>
      </c>
      <c r="F1569" t="s">
        <v>271</v>
      </c>
      <c r="G1569" t="str">
        <f>+VLOOKUP(F1569,[1]Explore!$B:$I,8,0)</f>
        <v>Corporate IG USD - Other</v>
      </c>
      <c r="H1569" t="s">
        <v>272</v>
      </c>
      <c r="I1569" t="str">
        <f>+VLOOKUP(H1569,[1]Explore!$A:$I,9,0)</f>
        <v>Corporate IG USD - Other</v>
      </c>
      <c r="J1569" t="str">
        <f t="shared" si="48"/>
        <v>OK</v>
      </c>
      <c r="K1569" t="str">
        <f t="shared" si="49"/>
        <v>Corporate IG USD - Other</v>
      </c>
      <c r="L1569" t="s">
        <v>2650</v>
      </c>
      <c r="M1569" t="str">
        <f>_xlfn.IFNA(VLOOKUP(K1569,'Mapping DEF'!A:C,2,0),"")</f>
        <v>Spread</v>
      </c>
      <c r="N1569" t="str">
        <f>+_xlfn.IFNA(VLOOKUP(M1569,'Mapping DEF'!B:C,2,FALSE),"")</f>
        <v>Spread</v>
      </c>
      <c r="O1569" t="s">
        <v>2786</v>
      </c>
    </row>
    <row r="1570" spans="1:15" x14ac:dyDescent="0.25">
      <c r="A1570" s="4" t="s">
        <v>2555</v>
      </c>
      <c r="B1570" s="4" t="s">
        <v>2556</v>
      </c>
      <c r="C1570" s="5">
        <v>2518</v>
      </c>
      <c r="D1570" s="6" t="s">
        <v>2557</v>
      </c>
      <c r="E1570" t="s">
        <v>1901</v>
      </c>
      <c r="F1570" t="s">
        <v>2942</v>
      </c>
      <c r="G1570" t="str">
        <f>+VLOOKUP(F1570,[1]Explore!$B:$I,8,0)</f>
        <v>EUR</v>
      </c>
      <c r="H1570" t="s">
        <v>173</v>
      </c>
      <c r="I1570" t="str">
        <f>+VLOOKUP(H1570,[1]Explore!$A:$I,9,0)</f>
        <v>EUR</v>
      </c>
      <c r="J1570" t="str">
        <f t="shared" si="48"/>
        <v>OK</v>
      </c>
      <c r="K1570" t="str">
        <f t="shared" si="49"/>
        <v>EUR</v>
      </c>
      <c r="L1570" t="s">
        <v>2140</v>
      </c>
      <c r="M1570" t="str">
        <f>_xlfn.IFNA(VLOOKUP(K1570,'Mapping DEF'!A:C,2,0),"")</f>
        <v>FX</v>
      </c>
      <c r="N1570" t="str">
        <f>+_xlfn.IFNA(VLOOKUP(M1570,'Mapping DEF'!B:C,2,FALSE),"")</f>
        <v>FX</v>
      </c>
      <c r="O1570" t="s">
        <v>2812</v>
      </c>
    </row>
    <row r="1571" spans="1:15" x14ac:dyDescent="0.25">
      <c r="A1571" s="4" t="s">
        <v>2555</v>
      </c>
      <c r="B1571" s="4" t="s">
        <v>2556</v>
      </c>
      <c r="C1571" s="5">
        <v>2518</v>
      </c>
      <c r="D1571" s="6" t="s">
        <v>2557</v>
      </c>
      <c r="E1571" t="s">
        <v>423</v>
      </c>
      <c r="F1571" t="s">
        <v>2156</v>
      </c>
      <c r="G1571" t="str">
        <f>+VLOOKUP(F1571,[1]Explore!$B:$I,8,0)</f>
        <v>Equity Implied Volatility</v>
      </c>
      <c r="H1571" t="s">
        <v>141</v>
      </c>
      <c r="I1571" t="str">
        <f>+VLOOKUP(H1571,[1]Explore!$A:$I,9,0)</f>
        <v>Equity Implied Volatility</v>
      </c>
      <c r="J1571" t="str">
        <f t="shared" si="48"/>
        <v>OK</v>
      </c>
      <c r="K1571" t="str">
        <f t="shared" si="49"/>
        <v>Equity Implied Volatility</v>
      </c>
      <c r="L1571" t="s">
        <v>27</v>
      </c>
      <c r="M1571" t="str">
        <f>_xlfn.IFNA(VLOOKUP(K1571,'Mapping DEF'!A:C,2,0),"")</f>
        <v>Equity Derivatives</v>
      </c>
      <c r="N1571" t="str">
        <f>+_xlfn.IFNA(VLOOKUP(M1571,'Mapping DEF'!B:C,2,FALSE),"")</f>
        <v>Equity</v>
      </c>
      <c r="O1571" t="s">
        <v>2761</v>
      </c>
    </row>
    <row r="1572" spans="1:15" x14ac:dyDescent="0.25">
      <c r="A1572" s="4" t="s">
        <v>2555</v>
      </c>
      <c r="B1572" s="4" t="s">
        <v>2556</v>
      </c>
      <c r="C1572" s="5">
        <v>2518</v>
      </c>
      <c r="D1572" s="6" t="s">
        <v>2557</v>
      </c>
      <c r="E1572" t="s">
        <v>1326</v>
      </c>
      <c r="F1572" t="s">
        <v>392</v>
      </c>
      <c r="G1572" t="str">
        <f>+VLOOKUP(F1572,[1]Explore!$B:$I,8,0)</f>
        <v>Equity Implied Volatility</v>
      </c>
      <c r="H1572" t="s">
        <v>392</v>
      </c>
      <c r="I1572" t="str">
        <f>+VLOOKUP(H1572,[1]Explore!$A:$I,9,0)</f>
        <v>Equity Implied Volatility</v>
      </c>
      <c r="J1572" t="str">
        <f t="shared" si="48"/>
        <v>OK</v>
      </c>
      <c r="K1572" t="str">
        <f t="shared" si="49"/>
        <v>Equity Implied Volatility</v>
      </c>
      <c r="L1572" t="s">
        <v>27</v>
      </c>
      <c r="M1572" t="str">
        <f>_xlfn.IFNA(VLOOKUP(K1572,'Mapping DEF'!A:C,2,0),"")</f>
        <v>Equity Derivatives</v>
      </c>
      <c r="N1572" t="str">
        <f>+_xlfn.IFNA(VLOOKUP(M1572,'Mapping DEF'!B:C,2,FALSE),"")</f>
        <v>Equity</v>
      </c>
      <c r="O1572" t="s">
        <v>2807</v>
      </c>
    </row>
    <row r="1573" spans="1:15" x14ac:dyDescent="0.25">
      <c r="A1573" s="4" t="s">
        <v>2555</v>
      </c>
      <c r="B1573" s="4" t="s">
        <v>2556</v>
      </c>
      <c r="C1573" s="5">
        <v>2518</v>
      </c>
      <c r="D1573" s="6" t="s">
        <v>2557</v>
      </c>
      <c r="E1573" t="s">
        <v>1941</v>
      </c>
      <c r="F1573" t="s">
        <v>630</v>
      </c>
      <c r="G1573" t="str">
        <f>+VLOOKUP(F1573,[1]Explore!$B:$I,8,0)</f>
        <v>Value</v>
      </c>
      <c r="H1573" t="s">
        <v>631</v>
      </c>
      <c r="I1573" t="str">
        <f>+VLOOKUP(H1573,[1]Explore!$A:$I,9,0)</f>
        <v>Value</v>
      </c>
      <c r="J1573" t="str">
        <f t="shared" si="48"/>
        <v>OK</v>
      </c>
      <c r="K1573" t="str">
        <f t="shared" si="49"/>
        <v>Value</v>
      </c>
      <c r="L1573" t="s">
        <v>2145</v>
      </c>
      <c r="M1573" t="str">
        <f>_xlfn.IFNA(VLOOKUP(K1573,'Mapping DEF'!A:C,2,0),"")</f>
        <v>Style</v>
      </c>
      <c r="N1573" t="str">
        <f>+_xlfn.IFNA(VLOOKUP(M1573,'Mapping DEF'!B:C,2,FALSE),"")</f>
        <v>Equity</v>
      </c>
      <c r="O1573" t="s">
        <v>2796</v>
      </c>
    </row>
    <row r="1574" spans="1:15" x14ac:dyDescent="0.25">
      <c r="A1574" s="4" t="s">
        <v>2558</v>
      </c>
      <c r="B1574" s="4" t="s">
        <v>2559</v>
      </c>
      <c r="C1574" s="5">
        <v>2490</v>
      </c>
      <c r="D1574" s="6" t="s">
        <v>2560</v>
      </c>
      <c r="E1574" t="s">
        <v>1188</v>
      </c>
      <c r="F1574" t="s">
        <v>2156</v>
      </c>
      <c r="G1574" t="str">
        <f>+VLOOKUP(F1574,[1]Explore!$B:$I,8,0)</f>
        <v>Equity Implied Volatility</v>
      </c>
      <c r="H1574" t="s">
        <v>141</v>
      </c>
      <c r="I1574" t="str">
        <f>+VLOOKUP(H1574,[1]Explore!$A:$I,9,0)</f>
        <v>Equity Implied Volatility</v>
      </c>
      <c r="J1574" t="str">
        <f t="shared" si="48"/>
        <v>OK</v>
      </c>
      <c r="K1574" t="str">
        <f t="shared" si="49"/>
        <v>Equity Implied Volatility</v>
      </c>
      <c r="L1574" t="s">
        <v>27</v>
      </c>
      <c r="M1574" t="str">
        <f>_xlfn.IFNA(VLOOKUP(K1574,'Mapping DEF'!A:C,2,0),"")</f>
        <v>Equity Derivatives</v>
      </c>
      <c r="N1574" t="str">
        <f>+_xlfn.IFNA(VLOOKUP(M1574,'Mapping DEF'!B:C,2,FALSE),"")</f>
        <v>Equity</v>
      </c>
      <c r="O1574" t="s">
        <v>2776</v>
      </c>
    </row>
    <row r="1575" spans="1:15" x14ac:dyDescent="0.25">
      <c r="A1575" s="4" t="s">
        <v>2558</v>
      </c>
      <c r="B1575" s="4" t="s">
        <v>2559</v>
      </c>
      <c r="C1575" s="5">
        <v>2490</v>
      </c>
      <c r="D1575" s="6" t="s">
        <v>2560</v>
      </c>
      <c r="E1575" t="s">
        <v>1644</v>
      </c>
      <c r="F1575" t="s">
        <v>2161</v>
      </c>
      <c r="G1575" t="e">
        <f>+VLOOKUP(F1575,[1]Explore!$B:$I,8,0)</f>
        <v>#N/A</v>
      </c>
      <c r="H1575" t="s">
        <v>233</v>
      </c>
      <c r="I1575" t="e">
        <f>+VLOOKUP(H1575,[1]Explore!$A:$I,9,0)</f>
        <v>#N/A</v>
      </c>
      <c r="J1575" t="str">
        <f t="shared" si="48"/>
        <v>BOTH #N/A</v>
      </c>
      <c r="K1575" t="str">
        <f t="shared" si="49"/>
        <v>Communication Services</v>
      </c>
      <c r="L1575" t="s">
        <v>2933</v>
      </c>
      <c r="M1575" t="str">
        <f>_xlfn.IFNA(VLOOKUP(K1575,'Mapping DEF'!A:C,2,0),"")</f>
        <v>Industry Allocation</v>
      </c>
      <c r="N1575" t="str">
        <f>+_xlfn.IFNA(VLOOKUP(M1575,'Mapping DEF'!B:C,2,FALSE),"")</f>
        <v>Equity</v>
      </c>
      <c r="O1575" t="s">
        <v>2768</v>
      </c>
    </row>
    <row r="1576" spans="1:15" x14ac:dyDescent="0.25">
      <c r="A1576" s="4" t="s">
        <v>2558</v>
      </c>
      <c r="B1576" s="4" t="s">
        <v>2559</v>
      </c>
      <c r="C1576" s="5">
        <v>2490</v>
      </c>
      <c r="D1576" s="6" t="s">
        <v>2560</v>
      </c>
      <c r="E1576" t="s">
        <v>697</v>
      </c>
      <c r="F1576" t="s">
        <v>2184</v>
      </c>
      <c r="G1576" t="e">
        <f>+VLOOKUP(F1576,[1]Explore!$B:$I,8,0)</f>
        <v>#N/A</v>
      </c>
      <c r="H1576" t="s">
        <v>698</v>
      </c>
      <c r="I1576" t="e">
        <f>+VLOOKUP(H1576,[1]Explore!$A:$I,9,0)</f>
        <v>#N/A</v>
      </c>
      <c r="J1576" t="str">
        <f t="shared" si="48"/>
        <v>BOTH #N/A</v>
      </c>
      <c r="K1576" t="str">
        <f t="shared" si="49"/>
        <v>Information Technology</v>
      </c>
      <c r="L1576" t="s">
        <v>2679</v>
      </c>
      <c r="M1576" t="str">
        <f>_xlfn.IFNA(VLOOKUP(K1576,'Mapping DEF'!A:C,2,0),"")</f>
        <v>Industry Allocation</v>
      </c>
      <c r="N1576" t="str">
        <f>+_xlfn.IFNA(VLOOKUP(M1576,'Mapping DEF'!B:C,2,FALSE),"")</f>
        <v>Equity</v>
      </c>
      <c r="O1576" t="s">
        <v>2753</v>
      </c>
    </row>
    <row r="1577" spans="1:15" x14ac:dyDescent="0.25">
      <c r="A1577" s="4" t="s">
        <v>2558</v>
      </c>
      <c r="B1577" s="4" t="s">
        <v>2559</v>
      </c>
      <c r="C1577" s="5">
        <v>2490</v>
      </c>
      <c r="D1577" s="6" t="s">
        <v>2560</v>
      </c>
      <c r="E1577" t="s">
        <v>1942</v>
      </c>
      <c r="F1577" t="s">
        <v>446</v>
      </c>
      <c r="G1577" t="str">
        <f>+VLOOKUP(F1577,[1]Explore!$B:$I,8,0)</f>
        <v>Local Styles</v>
      </c>
      <c r="H1577" t="s">
        <v>1233</v>
      </c>
      <c r="I1577" t="e">
        <f>+VLOOKUP(H1577,[1]Explore!$A:$I,9,0)</f>
        <v>#N/A</v>
      </c>
      <c r="J1577" t="str">
        <f t="shared" si="48"/>
        <v>OK</v>
      </c>
      <c r="K1577" t="str">
        <f t="shared" si="49"/>
        <v>Local Styles</v>
      </c>
      <c r="L1577" t="s">
        <v>2145</v>
      </c>
      <c r="M1577" t="str">
        <f>_xlfn.IFNA(VLOOKUP(K1577,'Mapping DEF'!A:C,2,0),"")</f>
        <v>Style</v>
      </c>
      <c r="N1577" t="str">
        <f>+_xlfn.IFNA(VLOOKUP(M1577,'Mapping DEF'!B:C,2,FALSE),"")</f>
        <v>Equity</v>
      </c>
      <c r="O1577" t="s">
        <v>2897</v>
      </c>
    </row>
    <row r="1578" spans="1:15" x14ac:dyDescent="0.25">
      <c r="A1578" s="4" t="s">
        <v>2558</v>
      </c>
      <c r="B1578" s="4" t="s">
        <v>2559</v>
      </c>
      <c r="C1578" s="5">
        <v>2490</v>
      </c>
      <c r="D1578" s="6" t="s">
        <v>2560</v>
      </c>
      <c r="E1578" t="s">
        <v>1648</v>
      </c>
      <c r="F1578" t="s">
        <v>1586</v>
      </c>
      <c r="G1578" t="str">
        <f>+VLOOKUP(F1578,[1]Explore!$B:$I,8,0)</f>
        <v>Local Styles</v>
      </c>
      <c r="H1578" t="s">
        <v>1587</v>
      </c>
      <c r="I1578" t="e">
        <f>+VLOOKUP(H1578,[1]Explore!$A:$I,9,0)</f>
        <v>#N/A</v>
      </c>
      <c r="J1578" t="str">
        <f t="shared" si="48"/>
        <v>OK</v>
      </c>
      <c r="K1578" t="str">
        <f t="shared" si="49"/>
        <v>Local Styles</v>
      </c>
      <c r="L1578" t="s">
        <v>2145</v>
      </c>
      <c r="M1578" t="str">
        <f>_xlfn.IFNA(VLOOKUP(K1578,'Mapping DEF'!A:C,2,0),"")</f>
        <v>Style</v>
      </c>
      <c r="N1578" t="str">
        <f>+_xlfn.IFNA(VLOOKUP(M1578,'Mapping DEF'!B:C,2,FALSE),"")</f>
        <v>Equity</v>
      </c>
      <c r="O1578" t="s">
        <v>2871</v>
      </c>
    </row>
    <row r="1579" spans="1:15" x14ac:dyDescent="0.25">
      <c r="A1579" s="4" t="s">
        <v>2561</v>
      </c>
      <c r="B1579" s="4" t="s">
        <v>2562</v>
      </c>
      <c r="C1579" s="5">
        <v>2470</v>
      </c>
      <c r="D1579" s="6" t="s">
        <v>2563</v>
      </c>
      <c r="E1579" t="s">
        <v>1139</v>
      </c>
      <c r="F1579" t="s">
        <v>19</v>
      </c>
      <c r="G1579" t="str">
        <f>+VLOOKUP(F1579,[1]Explore!$B:$I,8,0)</f>
        <v>Govt USD</v>
      </c>
      <c r="H1579" t="s">
        <v>20</v>
      </c>
      <c r="I1579" t="str">
        <f>+VLOOKUP(H1579,[1]Explore!$A:$I,9,0)</f>
        <v>Govt USD</v>
      </c>
      <c r="J1579" t="str">
        <f t="shared" si="48"/>
        <v>OK</v>
      </c>
      <c r="K1579" t="str">
        <f t="shared" si="49"/>
        <v>Govt USD</v>
      </c>
      <c r="L1579" t="s">
        <v>2143</v>
      </c>
      <c r="M1579" t="str">
        <f>_xlfn.IFNA(VLOOKUP(K1579,'Mapping DEF'!A:C,2,0),"")</f>
        <v>Curve (Local)</v>
      </c>
      <c r="N1579" t="str">
        <f>+_xlfn.IFNA(VLOOKUP(M1579,'Mapping DEF'!B:C,2,FALSE),"")</f>
        <v>Term Structure</v>
      </c>
      <c r="O1579" t="s">
        <v>2781</v>
      </c>
    </row>
    <row r="1580" spans="1:15" x14ac:dyDescent="0.25">
      <c r="A1580" s="4" t="s">
        <v>2561</v>
      </c>
      <c r="B1580" s="4" t="s">
        <v>2562</v>
      </c>
      <c r="C1580" s="5">
        <v>2470</v>
      </c>
      <c r="D1580" s="6" t="s">
        <v>2563</v>
      </c>
      <c r="E1580" t="s">
        <v>1943</v>
      </c>
      <c r="F1580" t="s">
        <v>265</v>
      </c>
      <c r="G1580" t="str">
        <f>+VLOOKUP(F1580,[1]Explore!$B:$I,8,0)</f>
        <v>Alternative - Commodity</v>
      </c>
      <c r="H1580" t="s">
        <v>266</v>
      </c>
      <c r="I1580" t="str">
        <f>+VLOOKUP(H1580,[1]Explore!$A:$I,9,0)</f>
        <v>Alternative - Commodity</v>
      </c>
      <c r="J1580" t="str">
        <f t="shared" si="48"/>
        <v>OK</v>
      </c>
      <c r="K1580" t="str">
        <f t="shared" si="49"/>
        <v>Alternative - Commodity</v>
      </c>
      <c r="L1580" t="s">
        <v>2139</v>
      </c>
      <c r="M1580" t="str">
        <f>_xlfn.IFNA(VLOOKUP(K1580,'Mapping DEF'!A:C,2,0),"")</f>
        <v>Alternative</v>
      </c>
      <c r="N1580" t="str">
        <f>+_xlfn.IFNA(VLOOKUP(M1580,'Mapping DEF'!B:C,2,FALSE),"")</f>
        <v>Other</v>
      </c>
      <c r="O1580" t="s">
        <v>2792</v>
      </c>
    </row>
    <row r="1581" spans="1:15" x14ac:dyDescent="0.25">
      <c r="A1581" s="4" t="s">
        <v>2561</v>
      </c>
      <c r="B1581" s="4" t="s">
        <v>2562</v>
      </c>
      <c r="C1581" s="5">
        <v>2470</v>
      </c>
      <c r="D1581" s="6" t="s">
        <v>2563</v>
      </c>
      <c r="E1581" t="s">
        <v>329</v>
      </c>
      <c r="F1581" t="s">
        <v>268</v>
      </c>
      <c r="G1581" t="str">
        <f>+VLOOKUP(F1581,[1]Explore!$B:$I,8,0)</f>
        <v>Alternative - Commodity</v>
      </c>
      <c r="H1581" t="s">
        <v>269</v>
      </c>
      <c r="I1581" t="str">
        <f>+VLOOKUP(H1581,[1]Explore!$A:$I,9,0)</f>
        <v>Alternative - Commodity</v>
      </c>
      <c r="J1581" t="str">
        <f t="shared" si="48"/>
        <v>OK</v>
      </c>
      <c r="K1581" t="str">
        <f t="shared" si="49"/>
        <v>Alternative - Commodity</v>
      </c>
      <c r="L1581" t="s">
        <v>2139</v>
      </c>
      <c r="M1581" t="str">
        <f>_xlfn.IFNA(VLOOKUP(K1581,'Mapping DEF'!A:C,2,0),"")</f>
        <v>Alternative</v>
      </c>
      <c r="N1581" t="str">
        <f>+_xlfn.IFNA(VLOOKUP(M1581,'Mapping DEF'!B:C,2,FALSE),"")</f>
        <v>Other</v>
      </c>
      <c r="O1581" t="s">
        <v>2770</v>
      </c>
    </row>
    <row r="1582" spans="1:15" x14ac:dyDescent="0.25">
      <c r="A1582" s="4" t="s">
        <v>2561</v>
      </c>
      <c r="B1582" s="4" t="s">
        <v>2562</v>
      </c>
      <c r="C1582" s="5">
        <v>2470</v>
      </c>
      <c r="D1582" s="6" t="s">
        <v>2563</v>
      </c>
      <c r="E1582" t="s">
        <v>1944</v>
      </c>
      <c r="F1582" t="s">
        <v>675</v>
      </c>
      <c r="G1582" t="str">
        <f>+VLOOKUP(F1582,[1]Explore!$B:$I,8,0)</f>
        <v>Alternative - Commodity</v>
      </c>
      <c r="H1582" t="s">
        <v>676</v>
      </c>
      <c r="I1582" t="str">
        <f>+VLOOKUP(H1582,[1]Explore!$A:$I,9,0)</f>
        <v>Alternative - Commodity</v>
      </c>
      <c r="J1582" t="str">
        <f t="shared" si="48"/>
        <v>OK</v>
      </c>
      <c r="K1582" t="str">
        <f t="shared" si="49"/>
        <v>Alternative - Commodity</v>
      </c>
      <c r="L1582" t="s">
        <v>2139</v>
      </c>
      <c r="M1582" t="str">
        <f>_xlfn.IFNA(VLOOKUP(K1582,'Mapping DEF'!A:C,2,0),"")</f>
        <v>Alternative</v>
      </c>
      <c r="N1582" t="str">
        <f>+_xlfn.IFNA(VLOOKUP(M1582,'Mapping DEF'!B:C,2,FALSE),"")</f>
        <v>Other</v>
      </c>
      <c r="O1582" t="s">
        <v>2832</v>
      </c>
    </row>
    <row r="1583" spans="1:15" x14ac:dyDescent="0.25">
      <c r="A1583" s="4" t="s">
        <v>2561</v>
      </c>
      <c r="B1583" s="4" t="s">
        <v>2562</v>
      </c>
      <c r="C1583" s="5">
        <v>2470</v>
      </c>
      <c r="D1583" s="6" t="s">
        <v>2563</v>
      </c>
      <c r="E1583" t="s">
        <v>1195</v>
      </c>
      <c r="F1583" t="s">
        <v>2942</v>
      </c>
      <c r="G1583" t="str">
        <f>+VLOOKUP(F1583,[1]Explore!$B:$I,8,0)</f>
        <v>EUR</v>
      </c>
      <c r="H1583" t="s">
        <v>173</v>
      </c>
      <c r="I1583" t="str">
        <f>+VLOOKUP(H1583,[1]Explore!$A:$I,9,0)</f>
        <v>EUR</v>
      </c>
      <c r="J1583" t="str">
        <f t="shared" si="48"/>
        <v>OK</v>
      </c>
      <c r="K1583" t="str">
        <f t="shared" si="49"/>
        <v>EUR</v>
      </c>
      <c r="L1583" t="s">
        <v>2140</v>
      </c>
      <c r="M1583" t="str">
        <f>_xlfn.IFNA(VLOOKUP(K1583,'Mapping DEF'!A:C,2,0),"")</f>
        <v>FX</v>
      </c>
      <c r="N1583" t="str">
        <f>+_xlfn.IFNA(VLOOKUP(M1583,'Mapping DEF'!B:C,2,FALSE),"")</f>
        <v>FX</v>
      </c>
      <c r="O1583" t="s">
        <v>2802</v>
      </c>
    </row>
    <row r="1584" spans="1:15" x14ac:dyDescent="0.25">
      <c r="A1584" s="4" t="s">
        <v>2561</v>
      </c>
      <c r="B1584" s="4" t="s">
        <v>2562</v>
      </c>
      <c r="C1584" s="5">
        <v>2470</v>
      </c>
      <c r="D1584" s="6" t="s">
        <v>2563</v>
      </c>
      <c r="E1584" t="s">
        <v>722</v>
      </c>
      <c r="F1584" t="s">
        <v>2944</v>
      </c>
      <c r="G1584" t="str">
        <f>+VLOOKUP(F1584,[1]Explore!$B:$I,8,0)</f>
        <v>JPY</v>
      </c>
      <c r="H1584" t="s">
        <v>138</v>
      </c>
      <c r="I1584" t="str">
        <f>+VLOOKUP(H1584,[1]Explore!$A:$I,9,0)</f>
        <v>JPY</v>
      </c>
      <c r="J1584" t="str">
        <f t="shared" si="48"/>
        <v>OK</v>
      </c>
      <c r="K1584" t="str">
        <f t="shared" si="49"/>
        <v>JPY</v>
      </c>
      <c r="L1584" t="s">
        <v>2140</v>
      </c>
      <c r="M1584" t="str">
        <f>_xlfn.IFNA(VLOOKUP(K1584,'Mapping DEF'!A:C,2,0),"")</f>
        <v>FX</v>
      </c>
      <c r="N1584" t="str">
        <f>+_xlfn.IFNA(VLOOKUP(M1584,'Mapping DEF'!B:C,2,FALSE),"")</f>
        <v>FX</v>
      </c>
      <c r="O1584" t="s">
        <v>2810</v>
      </c>
    </row>
    <row r="1585" spans="1:15" x14ac:dyDescent="0.25">
      <c r="A1585" s="4" t="s">
        <v>2561</v>
      </c>
      <c r="B1585" s="4" t="s">
        <v>2562</v>
      </c>
      <c r="C1585" s="5">
        <v>2470</v>
      </c>
      <c r="D1585" s="6" t="s">
        <v>2563</v>
      </c>
      <c r="E1585" t="s">
        <v>1945</v>
      </c>
      <c r="F1585" t="s">
        <v>369</v>
      </c>
      <c r="G1585" t="e">
        <f>+VLOOKUP(F1585,[1]Explore!$B:$I,8,0)</f>
        <v>#N/A</v>
      </c>
      <c r="H1585" t="s">
        <v>370</v>
      </c>
      <c r="I1585" t="str">
        <f>+VLOOKUP(H1585,[1]Explore!$A:$I,9,0)</f>
        <v>Emerging Currency</v>
      </c>
      <c r="J1585" t="str">
        <f t="shared" si="48"/>
        <v>OK</v>
      </c>
      <c r="K1585" t="str">
        <f t="shared" si="49"/>
        <v>Emerging Currency</v>
      </c>
      <c r="L1585" t="s">
        <v>2140</v>
      </c>
      <c r="M1585" t="str">
        <f>_xlfn.IFNA(VLOOKUP(K1585,'Mapping DEF'!A:C,2,0),"")</f>
        <v>FX</v>
      </c>
      <c r="N1585" t="str">
        <f>+_xlfn.IFNA(VLOOKUP(M1585,'Mapping DEF'!B:C,2,FALSE),"")</f>
        <v>FX</v>
      </c>
      <c r="O1585" t="s">
        <v>2789</v>
      </c>
    </row>
    <row r="1586" spans="1:15" x14ac:dyDescent="0.25">
      <c r="A1586" s="4" t="s">
        <v>2561</v>
      </c>
      <c r="B1586" s="4" t="s">
        <v>2562</v>
      </c>
      <c r="C1586" s="5">
        <v>2470</v>
      </c>
      <c r="D1586" s="6" t="s">
        <v>2563</v>
      </c>
      <c r="E1586" t="s">
        <v>1946</v>
      </c>
      <c r="F1586" t="s">
        <v>866</v>
      </c>
      <c r="G1586" t="e">
        <f>+VLOOKUP(F1586,[1]Explore!$B:$I,8,0)</f>
        <v>#N/A</v>
      </c>
      <c r="H1586" t="s">
        <v>867</v>
      </c>
      <c r="I1586" t="str">
        <f>+VLOOKUP(H1586,[1]Explore!$A:$I,9,0)</f>
        <v>Emerging Currency</v>
      </c>
      <c r="J1586" t="str">
        <f t="shared" si="48"/>
        <v>OK</v>
      </c>
      <c r="K1586" t="str">
        <f t="shared" si="49"/>
        <v>Emerging Currency</v>
      </c>
      <c r="L1586" t="s">
        <v>2140</v>
      </c>
      <c r="M1586" t="str">
        <f>_xlfn.IFNA(VLOOKUP(K1586,'Mapping DEF'!A:C,2,0),"")</f>
        <v>FX</v>
      </c>
      <c r="N1586" t="str">
        <f>+_xlfn.IFNA(VLOOKUP(M1586,'Mapping DEF'!B:C,2,FALSE),"")</f>
        <v>FX</v>
      </c>
      <c r="O1586" t="s">
        <v>2821</v>
      </c>
    </row>
    <row r="1587" spans="1:15" x14ac:dyDescent="0.25">
      <c r="A1587" s="4" t="s">
        <v>2561</v>
      </c>
      <c r="B1587" s="4" t="s">
        <v>2562</v>
      </c>
      <c r="C1587" s="5">
        <v>2470</v>
      </c>
      <c r="D1587" s="6" t="s">
        <v>2563</v>
      </c>
      <c r="E1587" t="s">
        <v>609</v>
      </c>
      <c r="F1587" t="s">
        <v>392</v>
      </c>
      <c r="G1587" t="str">
        <f>+VLOOKUP(F1587,[1]Explore!$B:$I,8,0)</f>
        <v>Equity Implied Volatility</v>
      </c>
      <c r="H1587" t="s">
        <v>392</v>
      </c>
      <c r="I1587" t="str">
        <f>+VLOOKUP(H1587,[1]Explore!$A:$I,9,0)</f>
        <v>Equity Implied Volatility</v>
      </c>
      <c r="J1587" t="str">
        <f t="shared" si="48"/>
        <v>OK</v>
      </c>
      <c r="K1587" t="str">
        <f t="shared" si="49"/>
        <v>Equity Implied Volatility</v>
      </c>
      <c r="L1587" t="s">
        <v>27</v>
      </c>
      <c r="M1587" t="str">
        <f>_xlfn.IFNA(VLOOKUP(K1587,'Mapping DEF'!A:C,2,0),"")</f>
        <v>Equity Derivatives</v>
      </c>
      <c r="N1587" t="str">
        <f>+_xlfn.IFNA(VLOOKUP(M1587,'Mapping DEF'!B:C,2,FALSE),"")</f>
        <v>Equity</v>
      </c>
      <c r="O1587" t="s">
        <v>2792</v>
      </c>
    </row>
    <row r="1588" spans="1:15" x14ac:dyDescent="0.25">
      <c r="A1588" s="4" t="s">
        <v>2561</v>
      </c>
      <c r="B1588" s="4" t="s">
        <v>2562</v>
      </c>
      <c r="C1588" s="5">
        <v>2470</v>
      </c>
      <c r="D1588" s="6" t="s">
        <v>2563</v>
      </c>
      <c r="E1588" t="s">
        <v>1947</v>
      </c>
      <c r="F1588" t="s">
        <v>572</v>
      </c>
      <c r="G1588" t="str">
        <f>+VLOOKUP(F1588,[1]Explore!$B:$I,8,0)</f>
        <v>Equity Implied Volatility</v>
      </c>
      <c r="H1588" t="s">
        <v>573</v>
      </c>
      <c r="I1588" t="str">
        <f>+VLOOKUP(H1588,[1]Explore!$A:$I,9,0)</f>
        <v>Equity Implied Volatility</v>
      </c>
      <c r="J1588" t="str">
        <f t="shared" si="48"/>
        <v>OK</v>
      </c>
      <c r="K1588" t="str">
        <f t="shared" si="49"/>
        <v>Equity Implied Volatility</v>
      </c>
      <c r="L1588" t="s">
        <v>27</v>
      </c>
      <c r="M1588" t="str">
        <f>_xlfn.IFNA(VLOOKUP(K1588,'Mapping DEF'!A:C,2,0),"")</f>
        <v>Equity Derivatives</v>
      </c>
      <c r="N1588" t="str">
        <f>+_xlfn.IFNA(VLOOKUP(M1588,'Mapping DEF'!B:C,2,FALSE),"")</f>
        <v>Equity</v>
      </c>
      <c r="O1588" t="s">
        <v>2847</v>
      </c>
    </row>
    <row r="1589" spans="1:15" x14ac:dyDescent="0.25">
      <c r="A1589" s="4" t="s">
        <v>2561</v>
      </c>
      <c r="B1589" s="4" t="s">
        <v>2562</v>
      </c>
      <c r="C1589" s="5">
        <v>2470</v>
      </c>
      <c r="D1589" s="6" t="s">
        <v>2563</v>
      </c>
      <c r="E1589" t="s">
        <v>1948</v>
      </c>
      <c r="F1589" t="s">
        <v>627</v>
      </c>
      <c r="G1589" t="str">
        <f>+VLOOKUP(F1589,[1]Explore!$B:$I,8,0)</f>
        <v>Corporate IG EUR - Other</v>
      </c>
      <c r="H1589" t="s">
        <v>1890</v>
      </c>
      <c r="I1589" t="str">
        <f>+VLOOKUP(H1589,[1]Explore!$A:$I,9,0)</f>
        <v>Corporate IG EUR - Other</v>
      </c>
      <c r="J1589" t="str">
        <f t="shared" si="48"/>
        <v>OK</v>
      </c>
      <c r="K1589" t="str">
        <f t="shared" si="49"/>
        <v>Corporate IG EUR - Other</v>
      </c>
      <c r="L1589" t="s">
        <v>188</v>
      </c>
      <c r="M1589" t="str">
        <f>_xlfn.IFNA(VLOOKUP(K1589,'Mapping DEF'!A:C,2,0),"")</f>
        <v>Spread</v>
      </c>
      <c r="N1589" t="str">
        <f>+_xlfn.IFNA(VLOOKUP(M1589,'Mapping DEF'!B:C,2,FALSE),"")</f>
        <v>Spread</v>
      </c>
      <c r="O1589" t="s">
        <v>2786</v>
      </c>
    </row>
    <row r="1590" spans="1:15" x14ac:dyDescent="0.25">
      <c r="A1590" s="4" t="s">
        <v>2561</v>
      </c>
      <c r="B1590" s="4" t="s">
        <v>2562</v>
      </c>
      <c r="C1590" s="5">
        <v>2470</v>
      </c>
      <c r="D1590" s="6" t="s">
        <v>2563</v>
      </c>
      <c r="E1590" t="s">
        <v>338</v>
      </c>
      <c r="F1590" t="s">
        <v>191</v>
      </c>
      <c r="G1590" t="e">
        <f>+VLOOKUP(F1590,[1]Explore!$B:$I,8,0)</f>
        <v>#N/A</v>
      </c>
      <c r="H1590" t="s">
        <v>192</v>
      </c>
      <c r="I1590" t="e">
        <f>+VLOOKUP(H1590,[1]Explore!$A:$I,9,0)</f>
        <v>#N/A</v>
      </c>
      <c r="J1590" t="str">
        <f t="shared" si="48"/>
        <v>BOTH #N/A</v>
      </c>
      <c r="K1590" t="str">
        <f t="shared" si="49"/>
        <v xml:space="preserve">Time </v>
      </c>
      <c r="L1590" t="s">
        <v>2138</v>
      </c>
      <c r="M1590" t="str">
        <f>_xlfn.IFNA(VLOOKUP(K1590,'Mapping DEF'!A:C,2,0),"")</f>
        <v>Time</v>
      </c>
      <c r="N1590" t="str">
        <f>+_xlfn.IFNA(VLOOKUP(M1590,'Mapping DEF'!B:C,2,FALSE),"")</f>
        <v>Other</v>
      </c>
      <c r="O1590" t="s">
        <v>2817</v>
      </c>
    </row>
    <row r="1591" spans="1:15" x14ac:dyDescent="0.25">
      <c r="A1591" s="4" t="s">
        <v>2561</v>
      </c>
      <c r="B1591" s="4" t="s">
        <v>2562</v>
      </c>
      <c r="C1591" s="5">
        <v>2470</v>
      </c>
      <c r="D1591" s="6" t="s">
        <v>2563</v>
      </c>
      <c r="E1591" t="s">
        <v>1949</v>
      </c>
      <c r="F1591" t="s">
        <v>2617</v>
      </c>
      <c r="G1591" t="e">
        <f>+VLOOKUP(F1591,[1]Explore!$B:$I,8,0)</f>
        <v>#N/A</v>
      </c>
      <c r="H1591" t="s">
        <v>1950</v>
      </c>
      <c r="I1591" t="e">
        <f>+VLOOKUP(H1591,[1]Explore!$A:$I,9,0)</f>
        <v>#N/A</v>
      </c>
      <c r="J1591" t="str">
        <f t="shared" si="48"/>
        <v>BOTH #N/A</v>
      </c>
      <c r="K1591" t="str">
        <f t="shared" si="49"/>
        <v>Energy</v>
      </c>
      <c r="L1591" t="s">
        <v>490</v>
      </c>
      <c r="M1591" t="str">
        <f>_xlfn.IFNA(VLOOKUP(K1591,'Mapping DEF'!A:C,2,0),"")</f>
        <v>Industry Allocation</v>
      </c>
      <c r="N1591" t="str">
        <f>+_xlfn.IFNA(VLOOKUP(M1591,'Mapping DEF'!B:C,2,FALSE),"")</f>
        <v>Equity</v>
      </c>
      <c r="O1591" t="s">
        <v>2753</v>
      </c>
    </row>
    <row r="1592" spans="1:15" x14ac:dyDescent="0.25">
      <c r="A1592" s="4" t="s">
        <v>2561</v>
      </c>
      <c r="B1592" s="4" t="s">
        <v>2562</v>
      </c>
      <c r="C1592" s="5">
        <v>2470</v>
      </c>
      <c r="D1592" s="6" t="s">
        <v>2563</v>
      </c>
      <c r="E1592" t="s">
        <v>1951</v>
      </c>
      <c r="F1592" t="s">
        <v>1892</v>
      </c>
      <c r="G1592" t="e">
        <f>+VLOOKUP(F1592,[1]Explore!$B:$I,8,0)</f>
        <v>#N/A</v>
      </c>
      <c r="H1592" t="s">
        <v>1893</v>
      </c>
      <c r="I1592" t="e">
        <f>+VLOOKUP(H1592,[1]Explore!$A:$I,9,0)</f>
        <v>#N/A</v>
      </c>
      <c r="J1592" t="str">
        <f t="shared" si="48"/>
        <v>BOTH #N/A</v>
      </c>
      <c r="K1592" t="str">
        <f t="shared" si="49"/>
        <v>Financials</v>
      </c>
      <c r="L1592" t="s">
        <v>325</v>
      </c>
      <c r="M1592" t="str">
        <f>_xlfn.IFNA(VLOOKUP(K1592,'Mapping DEF'!A:C,2,0),"")</f>
        <v>Industry Allocation</v>
      </c>
      <c r="N1592" t="str">
        <f>+_xlfn.IFNA(VLOOKUP(M1592,'Mapping DEF'!B:C,2,FALSE),"")</f>
        <v>Equity</v>
      </c>
      <c r="O1592" t="s">
        <v>2760</v>
      </c>
    </row>
    <row r="1593" spans="1:15" x14ac:dyDescent="0.25">
      <c r="A1593" s="4" t="s">
        <v>2561</v>
      </c>
      <c r="B1593" s="4" t="s">
        <v>2562</v>
      </c>
      <c r="C1593" s="5">
        <v>2470</v>
      </c>
      <c r="D1593" s="6" t="s">
        <v>2563</v>
      </c>
      <c r="E1593" t="s">
        <v>661</v>
      </c>
      <c r="F1593" t="s">
        <v>346</v>
      </c>
      <c r="G1593" t="str">
        <f>+VLOOKUP(F1593,[1]Explore!$B:$I,8,0)</f>
        <v>Spread Emerging Markets - Country</v>
      </c>
      <c r="H1593" t="s">
        <v>347</v>
      </c>
      <c r="I1593" t="str">
        <f>+VLOOKUP(H1593,[1]Explore!$A:$I,9,0)</f>
        <v>Spread Emerging Markets - Country</v>
      </c>
      <c r="J1593" t="str">
        <f t="shared" si="48"/>
        <v>OK</v>
      </c>
      <c r="K1593" t="str">
        <f t="shared" si="49"/>
        <v>Spread Emerging Markets - Country</v>
      </c>
      <c r="L1593" t="s">
        <v>188</v>
      </c>
      <c r="M1593" t="str">
        <f>_xlfn.IFNA(VLOOKUP(K1593,'Mapping DEF'!A:C,2,0),"")</f>
        <v>Spread</v>
      </c>
      <c r="N1593" t="str">
        <f>+_xlfn.IFNA(VLOOKUP(M1593,'Mapping DEF'!B:C,2,FALSE),"")</f>
        <v>Spread</v>
      </c>
      <c r="O1593" t="s">
        <v>2765</v>
      </c>
    </row>
    <row r="1594" spans="1:15" x14ac:dyDescent="0.25">
      <c r="A1594" s="4" t="s">
        <v>2561</v>
      </c>
      <c r="B1594" s="4" t="s">
        <v>2562</v>
      </c>
      <c r="C1594" s="5">
        <v>2470</v>
      </c>
      <c r="D1594" s="6" t="s">
        <v>2563</v>
      </c>
      <c r="E1594" t="s">
        <v>1952</v>
      </c>
      <c r="F1594" t="s">
        <v>576</v>
      </c>
      <c r="G1594" t="str">
        <f>+VLOOKUP(F1594,[1]Explore!$B:$I,8,0)</f>
        <v>Spread Emerging Markets - Country</v>
      </c>
      <c r="H1594" t="s">
        <v>577</v>
      </c>
      <c r="I1594" t="str">
        <f>+VLOOKUP(H1594,[1]Explore!$A:$I,9,0)</f>
        <v>Spread Emerging Markets - Country</v>
      </c>
      <c r="J1594" t="str">
        <f t="shared" si="48"/>
        <v>OK</v>
      </c>
      <c r="K1594" t="str">
        <f t="shared" si="49"/>
        <v>Spread Emerging Markets - Country</v>
      </c>
      <c r="L1594" t="s">
        <v>188</v>
      </c>
      <c r="M1594" t="str">
        <f>_xlfn.IFNA(VLOOKUP(K1594,'Mapping DEF'!A:C,2,0),"")</f>
        <v>Spread</v>
      </c>
      <c r="N1594" t="str">
        <f>+_xlfn.IFNA(VLOOKUP(M1594,'Mapping DEF'!B:C,2,FALSE),"")</f>
        <v>Spread</v>
      </c>
      <c r="O1594" t="s">
        <v>2795</v>
      </c>
    </row>
    <row r="1595" spans="1:15" x14ac:dyDescent="0.25">
      <c r="A1595" s="4" t="s">
        <v>2561</v>
      </c>
      <c r="B1595" s="4" t="s">
        <v>2562</v>
      </c>
      <c r="C1595" s="5">
        <v>2470</v>
      </c>
      <c r="D1595" s="6" t="s">
        <v>2563</v>
      </c>
      <c r="E1595" t="s">
        <v>1953</v>
      </c>
      <c r="F1595" t="s">
        <v>1954</v>
      </c>
      <c r="G1595" t="str">
        <f>+VLOOKUP(F1595,[1]Explore!$B:$I,8,0)</f>
        <v>Emerging Markets</v>
      </c>
      <c r="H1595" t="s">
        <v>1955</v>
      </c>
      <c r="I1595" t="str">
        <f>+VLOOKUP(H1595,[1]Explore!$A:$I,9,0)</f>
        <v>Spread Emerging Markets - Country</v>
      </c>
      <c r="J1595" t="str">
        <f t="shared" si="48"/>
        <v>OK</v>
      </c>
      <c r="K1595" t="str">
        <f t="shared" si="49"/>
        <v>Spread Emerging Markets - Country</v>
      </c>
      <c r="L1595" t="s">
        <v>188</v>
      </c>
      <c r="M1595" t="str">
        <f>_xlfn.IFNA(VLOOKUP(K1595,'Mapping DEF'!A:C,2,0),"")</f>
        <v>Spread</v>
      </c>
      <c r="N1595" t="str">
        <f>+_xlfn.IFNA(VLOOKUP(M1595,'Mapping DEF'!B:C,2,FALSE),"")</f>
        <v>Spread</v>
      </c>
      <c r="O1595" t="s">
        <v>2804</v>
      </c>
    </row>
    <row r="1596" spans="1:15" x14ac:dyDescent="0.25">
      <c r="A1596" s="4" t="s">
        <v>2561</v>
      </c>
      <c r="B1596" s="4" t="s">
        <v>2562</v>
      </c>
      <c r="C1596" s="5">
        <v>2470</v>
      </c>
      <c r="D1596" s="6" t="s">
        <v>2563</v>
      </c>
      <c r="E1596" t="s">
        <v>1400</v>
      </c>
      <c r="F1596" t="s">
        <v>826</v>
      </c>
      <c r="G1596" t="str">
        <f>+VLOOKUP(F1596,[1]Explore!$B:$I,8,0)</f>
        <v>Equity Implied Volatility</v>
      </c>
      <c r="H1596" t="s">
        <v>433</v>
      </c>
      <c r="I1596" t="e">
        <f>+VLOOKUP(H1596,[1]Explore!$A:$I,9,0)</f>
        <v>#N/A</v>
      </c>
      <c r="J1596" t="str">
        <f t="shared" si="48"/>
        <v>OK</v>
      </c>
      <c r="K1596" t="str">
        <f t="shared" si="49"/>
        <v>Equity Implied Volatility</v>
      </c>
      <c r="L1596" t="s">
        <v>27</v>
      </c>
      <c r="M1596" t="str">
        <f>_xlfn.IFNA(VLOOKUP(K1596,'Mapping DEF'!A:C,2,0),"")</f>
        <v>Equity Derivatives</v>
      </c>
      <c r="N1596" t="str">
        <f>+_xlfn.IFNA(VLOOKUP(M1596,'Mapping DEF'!B:C,2,FALSE),"")</f>
        <v>Equity</v>
      </c>
      <c r="O1596" t="s">
        <v>2802</v>
      </c>
    </row>
    <row r="1597" spans="1:15" x14ac:dyDescent="0.25">
      <c r="A1597" s="4" t="s">
        <v>2564</v>
      </c>
      <c r="B1597" s="4" t="s">
        <v>2565</v>
      </c>
      <c r="C1597" s="5">
        <v>2207</v>
      </c>
      <c r="D1597" s="6" t="s">
        <v>2566</v>
      </c>
      <c r="E1597" t="s">
        <v>670</v>
      </c>
      <c r="F1597" t="s">
        <v>19</v>
      </c>
      <c r="G1597" t="str">
        <f>+VLOOKUP(F1597,[1]Explore!$B:$I,8,0)</f>
        <v>Govt USD</v>
      </c>
      <c r="H1597" t="s">
        <v>20</v>
      </c>
      <c r="I1597" t="str">
        <f>+VLOOKUP(H1597,[1]Explore!$A:$I,9,0)</f>
        <v>Govt USD</v>
      </c>
      <c r="J1597" t="str">
        <f t="shared" si="48"/>
        <v>OK</v>
      </c>
      <c r="K1597" t="str">
        <f t="shared" si="49"/>
        <v>Govt USD</v>
      </c>
      <c r="L1597" t="s">
        <v>2143</v>
      </c>
      <c r="M1597" t="str">
        <f>_xlfn.IFNA(VLOOKUP(K1597,'Mapping DEF'!A:C,2,0),"")</f>
        <v>Curve (Local)</v>
      </c>
      <c r="N1597" t="str">
        <f>+_xlfn.IFNA(VLOOKUP(M1597,'Mapping DEF'!B:C,2,FALSE),"")</f>
        <v>Term Structure</v>
      </c>
      <c r="O1597" t="s">
        <v>2769</v>
      </c>
    </row>
    <row r="1598" spans="1:15" x14ac:dyDescent="0.25">
      <c r="A1598" s="4" t="s">
        <v>2564</v>
      </c>
      <c r="B1598" s="4" t="s">
        <v>2565</v>
      </c>
      <c r="C1598" s="5">
        <v>2207</v>
      </c>
      <c r="D1598" s="6" t="s">
        <v>2566</v>
      </c>
      <c r="E1598" t="s">
        <v>1956</v>
      </c>
      <c r="F1598" t="s">
        <v>588</v>
      </c>
      <c r="G1598" t="str">
        <f>+VLOOKUP(F1598,[1]Explore!$B:$I,8,0)</f>
        <v>USD Inflation</v>
      </c>
      <c r="H1598" t="s">
        <v>589</v>
      </c>
      <c r="I1598" t="str">
        <f>+VLOOKUP(H1598,[1]Explore!$A:$I,9,0)</f>
        <v>USD Inflation</v>
      </c>
      <c r="J1598" t="str">
        <f t="shared" si="48"/>
        <v>OK</v>
      </c>
      <c r="K1598" t="str">
        <f t="shared" si="49"/>
        <v>USD Inflation</v>
      </c>
      <c r="L1598" t="s">
        <v>2143</v>
      </c>
      <c r="M1598" t="str">
        <f>_xlfn.IFNA(VLOOKUP(K1598,'Mapping DEF'!A:C,2,0),"")</f>
        <v>Inflation</v>
      </c>
      <c r="N1598" t="str">
        <f>+_xlfn.IFNA(VLOOKUP(M1598,'Mapping DEF'!B:C,2,FALSE),"")</f>
        <v>Other</v>
      </c>
      <c r="O1598" t="s">
        <v>2752</v>
      </c>
    </row>
    <row r="1599" spans="1:15" x14ac:dyDescent="0.25">
      <c r="A1599" s="4" t="s">
        <v>2564</v>
      </c>
      <c r="B1599" s="4" t="s">
        <v>2565</v>
      </c>
      <c r="C1599" s="5">
        <v>2207</v>
      </c>
      <c r="D1599" s="6" t="s">
        <v>2566</v>
      </c>
      <c r="E1599" t="s">
        <v>1551</v>
      </c>
      <c r="F1599" t="s">
        <v>265</v>
      </c>
      <c r="G1599" t="str">
        <f>+VLOOKUP(F1599,[1]Explore!$B:$I,8,0)</f>
        <v>Alternative - Commodity</v>
      </c>
      <c r="H1599" t="s">
        <v>266</v>
      </c>
      <c r="I1599" t="str">
        <f>+VLOOKUP(H1599,[1]Explore!$A:$I,9,0)</f>
        <v>Alternative - Commodity</v>
      </c>
      <c r="J1599" t="str">
        <f t="shared" si="48"/>
        <v>OK</v>
      </c>
      <c r="K1599" t="str">
        <f t="shared" si="49"/>
        <v>Alternative - Commodity</v>
      </c>
      <c r="L1599" t="s">
        <v>2139</v>
      </c>
      <c r="M1599" t="str">
        <f>_xlfn.IFNA(VLOOKUP(K1599,'Mapping DEF'!A:C,2,0),"")</f>
        <v>Alternative</v>
      </c>
      <c r="N1599" t="str">
        <f>+_xlfn.IFNA(VLOOKUP(M1599,'Mapping DEF'!B:C,2,FALSE),"")</f>
        <v>Other</v>
      </c>
      <c r="O1599" t="s">
        <v>2842</v>
      </c>
    </row>
    <row r="1600" spans="1:15" x14ac:dyDescent="0.25">
      <c r="A1600" s="4" t="s">
        <v>2564</v>
      </c>
      <c r="B1600" s="4" t="s">
        <v>2565</v>
      </c>
      <c r="C1600" s="5">
        <v>2207</v>
      </c>
      <c r="D1600" s="6" t="s">
        <v>2566</v>
      </c>
      <c r="E1600" t="s">
        <v>313</v>
      </c>
      <c r="F1600" t="s">
        <v>268</v>
      </c>
      <c r="G1600" t="str">
        <f>+VLOOKUP(F1600,[1]Explore!$B:$I,8,0)</f>
        <v>Alternative - Commodity</v>
      </c>
      <c r="H1600" t="s">
        <v>269</v>
      </c>
      <c r="I1600" t="str">
        <f>+VLOOKUP(H1600,[1]Explore!$A:$I,9,0)</f>
        <v>Alternative - Commodity</v>
      </c>
      <c r="J1600" t="str">
        <f t="shared" si="48"/>
        <v>OK</v>
      </c>
      <c r="K1600" t="str">
        <f t="shared" si="49"/>
        <v>Alternative - Commodity</v>
      </c>
      <c r="L1600" t="s">
        <v>2139</v>
      </c>
      <c r="M1600" t="str">
        <f>_xlfn.IFNA(VLOOKUP(K1600,'Mapping DEF'!A:C,2,0),"")</f>
        <v>Alternative</v>
      </c>
      <c r="N1600" t="str">
        <f>+_xlfn.IFNA(VLOOKUP(M1600,'Mapping DEF'!B:C,2,FALSE),"")</f>
        <v>Other</v>
      </c>
      <c r="O1600" t="s">
        <v>2794</v>
      </c>
    </row>
    <row r="1601" spans="1:15" x14ac:dyDescent="0.25">
      <c r="A1601" s="4" t="s">
        <v>2564</v>
      </c>
      <c r="B1601" s="4" t="s">
        <v>2565</v>
      </c>
      <c r="C1601" s="5">
        <v>2207</v>
      </c>
      <c r="D1601" s="6" t="s">
        <v>2566</v>
      </c>
      <c r="E1601" t="s">
        <v>1957</v>
      </c>
      <c r="F1601" t="s">
        <v>675</v>
      </c>
      <c r="G1601" t="str">
        <f>+VLOOKUP(F1601,[1]Explore!$B:$I,8,0)</f>
        <v>Alternative - Commodity</v>
      </c>
      <c r="H1601" t="s">
        <v>676</v>
      </c>
      <c r="I1601" t="str">
        <f>+VLOOKUP(H1601,[1]Explore!$A:$I,9,0)</f>
        <v>Alternative - Commodity</v>
      </c>
      <c r="J1601" t="str">
        <f t="shared" si="48"/>
        <v>OK</v>
      </c>
      <c r="K1601" t="str">
        <f t="shared" si="49"/>
        <v>Alternative - Commodity</v>
      </c>
      <c r="L1601" t="s">
        <v>2139</v>
      </c>
      <c r="M1601" t="str">
        <f>_xlfn.IFNA(VLOOKUP(K1601,'Mapping DEF'!A:C,2,0),"")</f>
        <v>Alternative</v>
      </c>
      <c r="N1601" t="str">
        <f>+_xlfn.IFNA(VLOOKUP(M1601,'Mapping DEF'!B:C,2,FALSE),"")</f>
        <v>Other</v>
      </c>
      <c r="O1601" t="s">
        <v>2898</v>
      </c>
    </row>
    <row r="1602" spans="1:15" x14ac:dyDescent="0.25">
      <c r="A1602" s="4" t="s">
        <v>2564</v>
      </c>
      <c r="B1602" s="4" t="s">
        <v>2565</v>
      </c>
      <c r="C1602" s="5">
        <v>2207</v>
      </c>
      <c r="D1602" s="6" t="s">
        <v>2566</v>
      </c>
      <c r="E1602" t="s">
        <v>1851</v>
      </c>
      <c r="F1602" t="s">
        <v>2942</v>
      </c>
      <c r="G1602" t="str">
        <f>+VLOOKUP(F1602,[1]Explore!$B:$I,8,0)</f>
        <v>EUR</v>
      </c>
      <c r="H1602" t="s">
        <v>173</v>
      </c>
      <c r="I1602" t="str">
        <f>+VLOOKUP(H1602,[1]Explore!$A:$I,9,0)</f>
        <v>EUR</v>
      </c>
      <c r="J1602" t="str">
        <f t="shared" si="48"/>
        <v>OK</v>
      </c>
      <c r="K1602" t="str">
        <f t="shared" si="49"/>
        <v>EUR</v>
      </c>
      <c r="L1602" t="s">
        <v>2140</v>
      </c>
      <c r="M1602" t="str">
        <f>_xlfn.IFNA(VLOOKUP(K1602,'Mapping DEF'!A:C,2,0),"")</f>
        <v>FX</v>
      </c>
      <c r="N1602" t="str">
        <f>+_xlfn.IFNA(VLOOKUP(M1602,'Mapping DEF'!B:C,2,FALSE),"")</f>
        <v>FX</v>
      </c>
      <c r="O1602" t="s">
        <v>2763</v>
      </c>
    </row>
    <row r="1603" spans="1:15" x14ac:dyDescent="0.25">
      <c r="A1603" s="4" t="s">
        <v>2564</v>
      </c>
      <c r="B1603" s="4" t="s">
        <v>2565</v>
      </c>
      <c r="C1603" s="5">
        <v>2207</v>
      </c>
      <c r="D1603" s="6" t="s">
        <v>2566</v>
      </c>
      <c r="E1603" t="s">
        <v>337</v>
      </c>
      <c r="F1603" t="s">
        <v>2944</v>
      </c>
      <c r="G1603" t="str">
        <f>+VLOOKUP(F1603,[1]Explore!$B:$I,8,0)</f>
        <v>JPY</v>
      </c>
      <c r="H1603" t="s">
        <v>138</v>
      </c>
      <c r="I1603" t="str">
        <f>+VLOOKUP(H1603,[1]Explore!$A:$I,9,0)</f>
        <v>JPY</v>
      </c>
      <c r="J1603" t="str">
        <f t="shared" ref="J1603:J1666" si="50">IF(AND(ISNA(G1603),ISNA(I1603)),"BOTH #N/A","OK")</f>
        <v>OK</v>
      </c>
      <c r="K1603" t="str">
        <f t="shared" ref="K1603:K1666" si="51">IFERROR(I1603, IFERROR(G1603, L1603))</f>
        <v>JPY</v>
      </c>
      <c r="L1603" t="s">
        <v>2140</v>
      </c>
      <c r="M1603" t="str">
        <f>_xlfn.IFNA(VLOOKUP(K1603,'Mapping DEF'!A:C,2,0),"")</f>
        <v>FX</v>
      </c>
      <c r="N1603" t="str">
        <f>+_xlfn.IFNA(VLOOKUP(M1603,'Mapping DEF'!B:C,2,FALSE),"")</f>
        <v>FX</v>
      </c>
      <c r="O1603" t="s">
        <v>2770</v>
      </c>
    </row>
    <row r="1604" spans="1:15" x14ac:dyDescent="0.25">
      <c r="A1604" s="4" t="s">
        <v>2564</v>
      </c>
      <c r="B1604" s="4" t="s">
        <v>2565</v>
      </c>
      <c r="C1604" s="5">
        <v>2207</v>
      </c>
      <c r="D1604" s="6" t="s">
        <v>2566</v>
      </c>
      <c r="E1604" t="s">
        <v>1958</v>
      </c>
      <c r="F1604" t="s">
        <v>369</v>
      </c>
      <c r="G1604" t="e">
        <f>+VLOOKUP(F1604,[1]Explore!$B:$I,8,0)</f>
        <v>#N/A</v>
      </c>
      <c r="H1604" t="s">
        <v>370</v>
      </c>
      <c r="I1604" t="str">
        <f>+VLOOKUP(H1604,[1]Explore!$A:$I,9,0)</f>
        <v>Emerging Currency</v>
      </c>
      <c r="J1604" t="str">
        <f t="shared" si="50"/>
        <v>OK</v>
      </c>
      <c r="K1604" t="str">
        <f t="shared" si="51"/>
        <v>Emerging Currency</v>
      </c>
      <c r="L1604" t="s">
        <v>2140</v>
      </c>
      <c r="M1604" t="str">
        <f>_xlfn.IFNA(VLOOKUP(K1604,'Mapping DEF'!A:C,2,0),"")</f>
        <v>FX</v>
      </c>
      <c r="N1604" t="str">
        <f>+_xlfn.IFNA(VLOOKUP(M1604,'Mapping DEF'!B:C,2,FALSE),"")</f>
        <v>FX</v>
      </c>
      <c r="O1604" t="s">
        <v>2848</v>
      </c>
    </row>
    <row r="1605" spans="1:15" x14ac:dyDescent="0.25">
      <c r="A1605" s="4" t="s">
        <v>2564</v>
      </c>
      <c r="B1605" s="4" t="s">
        <v>2565</v>
      </c>
      <c r="C1605" s="5">
        <v>2207</v>
      </c>
      <c r="D1605" s="6" t="s">
        <v>2566</v>
      </c>
      <c r="E1605" t="s">
        <v>1946</v>
      </c>
      <c r="F1605" t="s">
        <v>866</v>
      </c>
      <c r="G1605" t="e">
        <f>+VLOOKUP(F1605,[1]Explore!$B:$I,8,0)</f>
        <v>#N/A</v>
      </c>
      <c r="H1605" t="s">
        <v>867</v>
      </c>
      <c r="I1605" t="str">
        <f>+VLOOKUP(H1605,[1]Explore!$A:$I,9,0)</f>
        <v>Emerging Currency</v>
      </c>
      <c r="J1605" t="str">
        <f t="shared" si="50"/>
        <v>OK</v>
      </c>
      <c r="K1605" t="str">
        <f t="shared" si="51"/>
        <v>Emerging Currency</v>
      </c>
      <c r="L1605" t="s">
        <v>2140</v>
      </c>
      <c r="M1605" t="str">
        <f>_xlfn.IFNA(VLOOKUP(K1605,'Mapping DEF'!A:C,2,0),"")</f>
        <v>FX</v>
      </c>
      <c r="N1605" t="str">
        <f>+_xlfn.IFNA(VLOOKUP(M1605,'Mapping DEF'!B:C,2,FALSE),"")</f>
        <v>FX</v>
      </c>
      <c r="O1605" t="s">
        <v>2821</v>
      </c>
    </row>
    <row r="1606" spans="1:15" x14ac:dyDescent="0.25">
      <c r="A1606" s="4" t="s">
        <v>2564</v>
      </c>
      <c r="B1606" s="4" t="s">
        <v>2565</v>
      </c>
      <c r="C1606" s="5">
        <v>2207</v>
      </c>
      <c r="D1606" s="6" t="s">
        <v>2566</v>
      </c>
      <c r="E1606" t="s">
        <v>1962</v>
      </c>
      <c r="F1606" t="s">
        <v>2156</v>
      </c>
      <c r="G1606" t="str">
        <f>+VLOOKUP(F1606,[1]Explore!$B:$I,8,0)</f>
        <v>Equity Implied Volatility</v>
      </c>
      <c r="H1606" t="s">
        <v>141</v>
      </c>
      <c r="I1606" t="str">
        <f>+VLOOKUP(H1606,[1]Explore!$A:$I,9,0)</f>
        <v>Equity Implied Volatility</v>
      </c>
      <c r="J1606" t="str">
        <f t="shared" si="50"/>
        <v>OK</v>
      </c>
      <c r="K1606" t="str">
        <f t="shared" si="51"/>
        <v>Equity Implied Volatility</v>
      </c>
      <c r="L1606" t="s">
        <v>27</v>
      </c>
      <c r="M1606" t="str">
        <f>_xlfn.IFNA(VLOOKUP(K1606,'Mapping DEF'!A:C,2,0),"")</f>
        <v>Equity Derivatives</v>
      </c>
      <c r="N1606" t="str">
        <f>+_xlfn.IFNA(VLOOKUP(M1606,'Mapping DEF'!B:C,2,FALSE),"")</f>
        <v>Equity</v>
      </c>
      <c r="O1606" t="s">
        <v>2885</v>
      </c>
    </row>
    <row r="1607" spans="1:15" x14ac:dyDescent="0.25">
      <c r="A1607" s="4" t="s">
        <v>2564</v>
      </c>
      <c r="B1607" s="4" t="s">
        <v>2565</v>
      </c>
      <c r="C1607" s="5">
        <v>2207</v>
      </c>
      <c r="D1607" s="6" t="s">
        <v>2566</v>
      </c>
      <c r="E1607" t="s">
        <v>1963</v>
      </c>
      <c r="F1607" t="s">
        <v>572</v>
      </c>
      <c r="G1607" t="str">
        <f>+VLOOKUP(F1607,[1]Explore!$B:$I,8,0)</f>
        <v>Equity Implied Volatility</v>
      </c>
      <c r="H1607" t="s">
        <v>573</v>
      </c>
      <c r="I1607" t="str">
        <f>+VLOOKUP(H1607,[1]Explore!$A:$I,9,0)</f>
        <v>Equity Implied Volatility</v>
      </c>
      <c r="J1607" t="str">
        <f t="shared" si="50"/>
        <v>OK</v>
      </c>
      <c r="K1607" t="str">
        <f t="shared" si="51"/>
        <v>Equity Implied Volatility</v>
      </c>
      <c r="L1607" t="s">
        <v>27</v>
      </c>
      <c r="M1607" t="str">
        <f>_xlfn.IFNA(VLOOKUP(K1607,'Mapping DEF'!A:C,2,0),"")</f>
        <v>Equity Derivatives</v>
      </c>
      <c r="N1607" t="str">
        <f>+_xlfn.IFNA(VLOOKUP(M1607,'Mapping DEF'!B:C,2,FALSE),"")</f>
        <v>Equity</v>
      </c>
      <c r="O1607" t="s">
        <v>2899</v>
      </c>
    </row>
    <row r="1608" spans="1:15" x14ac:dyDescent="0.25">
      <c r="A1608" s="4" t="s">
        <v>2564</v>
      </c>
      <c r="B1608" s="4" t="s">
        <v>2565</v>
      </c>
      <c r="C1608" s="5">
        <v>2207</v>
      </c>
      <c r="D1608" s="6" t="s">
        <v>2566</v>
      </c>
      <c r="E1608" t="s">
        <v>1964</v>
      </c>
      <c r="F1608" t="s">
        <v>627</v>
      </c>
      <c r="G1608" t="str">
        <f>+VLOOKUP(F1608,[1]Explore!$B:$I,8,0)</f>
        <v>Corporate IG EUR - Other</v>
      </c>
      <c r="H1608" t="s">
        <v>1890</v>
      </c>
      <c r="I1608" t="str">
        <f>+VLOOKUP(H1608,[1]Explore!$A:$I,9,0)</f>
        <v>Corporate IG EUR - Other</v>
      </c>
      <c r="J1608" t="str">
        <f t="shared" si="50"/>
        <v>OK</v>
      </c>
      <c r="K1608" t="str">
        <f t="shared" si="51"/>
        <v>Corporate IG EUR - Other</v>
      </c>
      <c r="L1608" t="s">
        <v>188</v>
      </c>
      <c r="M1608" t="str">
        <f>_xlfn.IFNA(VLOOKUP(K1608,'Mapping DEF'!A:C,2,0),"")</f>
        <v>Spread</v>
      </c>
      <c r="N1608" t="str">
        <f>+_xlfn.IFNA(VLOOKUP(M1608,'Mapping DEF'!B:C,2,FALSE),"")</f>
        <v>Spread</v>
      </c>
      <c r="O1608" t="s">
        <v>2843</v>
      </c>
    </row>
    <row r="1609" spans="1:15" x14ac:dyDescent="0.25">
      <c r="A1609" s="4" t="s">
        <v>2564</v>
      </c>
      <c r="B1609" s="4" t="s">
        <v>2565</v>
      </c>
      <c r="C1609" s="5">
        <v>2207</v>
      </c>
      <c r="D1609" s="6" t="s">
        <v>2566</v>
      </c>
      <c r="E1609" t="s">
        <v>338</v>
      </c>
      <c r="F1609" t="s">
        <v>191</v>
      </c>
      <c r="G1609" t="e">
        <f>+VLOOKUP(F1609,[1]Explore!$B:$I,8,0)</f>
        <v>#N/A</v>
      </c>
      <c r="H1609" t="s">
        <v>192</v>
      </c>
      <c r="I1609" t="e">
        <f>+VLOOKUP(H1609,[1]Explore!$A:$I,9,0)</f>
        <v>#N/A</v>
      </c>
      <c r="J1609" t="str">
        <f t="shared" si="50"/>
        <v>BOTH #N/A</v>
      </c>
      <c r="K1609" t="str">
        <f t="shared" si="51"/>
        <v xml:space="preserve">Time </v>
      </c>
      <c r="L1609" t="s">
        <v>2138</v>
      </c>
      <c r="M1609" t="str">
        <f>_xlfn.IFNA(VLOOKUP(K1609,'Mapping DEF'!A:C,2,0),"")</f>
        <v>Time</v>
      </c>
      <c r="N1609" t="str">
        <f>+_xlfn.IFNA(VLOOKUP(M1609,'Mapping DEF'!B:C,2,FALSE),"")</f>
        <v>Other</v>
      </c>
      <c r="O1609" t="s">
        <v>2817</v>
      </c>
    </row>
    <row r="1610" spans="1:15" x14ac:dyDescent="0.25">
      <c r="A1610" s="4" t="s">
        <v>2564</v>
      </c>
      <c r="B1610" s="4" t="s">
        <v>2565</v>
      </c>
      <c r="C1610" s="5">
        <v>2207</v>
      </c>
      <c r="D1610" s="6" t="s">
        <v>2566</v>
      </c>
      <c r="E1610" t="s">
        <v>1965</v>
      </c>
      <c r="F1610" t="s">
        <v>2617</v>
      </c>
      <c r="G1610" t="e">
        <f>+VLOOKUP(F1610,[1]Explore!$B:$I,8,0)</f>
        <v>#N/A</v>
      </c>
      <c r="H1610" t="s">
        <v>1950</v>
      </c>
      <c r="I1610" t="e">
        <f>+VLOOKUP(H1610,[1]Explore!$A:$I,9,0)</f>
        <v>#N/A</v>
      </c>
      <c r="J1610" t="str">
        <f t="shared" si="50"/>
        <v>BOTH #N/A</v>
      </c>
      <c r="K1610" t="str">
        <f t="shared" si="51"/>
        <v>Energy</v>
      </c>
      <c r="L1610" t="s">
        <v>490</v>
      </c>
      <c r="M1610" t="str">
        <f>_xlfn.IFNA(VLOOKUP(K1610,'Mapping DEF'!A:C,2,0),"")</f>
        <v>Industry Allocation</v>
      </c>
      <c r="N1610" t="str">
        <f>+_xlfn.IFNA(VLOOKUP(M1610,'Mapping DEF'!B:C,2,FALSE),"")</f>
        <v>Equity</v>
      </c>
      <c r="O1610" t="s">
        <v>2819</v>
      </c>
    </row>
    <row r="1611" spans="1:15" x14ac:dyDescent="0.25">
      <c r="A1611" s="4" t="s">
        <v>2564</v>
      </c>
      <c r="B1611" s="4" t="s">
        <v>2565</v>
      </c>
      <c r="C1611" s="5">
        <v>2207</v>
      </c>
      <c r="D1611" s="6" t="s">
        <v>2566</v>
      </c>
      <c r="E1611" t="s">
        <v>1966</v>
      </c>
      <c r="F1611" t="s">
        <v>1892</v>
      </c>
      <c r="G1611" t="e">
        <f>+VLOOKUP(F1611,[1]Explore!$B:$I,8,0)</f>
        <v>#N/A</v>
      </c>
      <c r="H1611" t="s">
        <v>1893</v>
      </c>
      <c r="I1611" t="e">
        <f>+VLOOKUP(H1611,[1]Explore!$A:$I,9,0)</f>
        <v>#N/A</v>
      </c>
      <c r="J1611" t="str">
        <f t="shared" si="50"/>
        <v>BOTH #N/A</v>
      </c>
      <c r="K1611" t="str">
        <f t="shared" si="51"/>
        <v>Financials</v>
      </c>
      <c r="L1611" t="s">
        <v>325</v>
      </c>
      <c r="M1611" t="str">
        <f>_xlfn.IFNA(VLOOKUP(K1611,'Mapping DEF'!A:C,2,0),"")</f>
        <v>Industry Allocation</v>
      </c>
      <c r="N1611" t="str">
        <f>+_xlfn.IFNA(VLOOKUP(M1611,'Mapping DEF'!B:C,2,FALSE),"")</f>
        <v>Equity</v>
      </c>
      <c r="O1611" t="s">
        <v>2771</v>
      </c>
    </row>
    <row r="1612" spans="1:15" x14ac:dyDescent="0.25">
      <c r="A1612" s="4" t="s">
        <v>2564</v>
      </c>
      <c r="B1612" s="4" t="s">
        <v>2565</v>
      </c>
      <c r="C1612" s="5">
        <v>2207</v>
      </c>
      <c r="D1612" s="6" t="s">
        <v>2566</v>
      </c>
      <c r="E1612" t="s">
        <v>1967</v>
      </c>
      <c r="F1612" t="s">
        <v>2162</v>
      </c>
      <c r="G1612" t="str">
        <f>+VLOOKUP(F1612,[1]Explore!$B:$I,8,0)</f>
        <v>Information Technology</v>
      </c>
      <c r="H1612" t="s">
        <v>1134</v>
      </c>
      <c r="I1612" t="e">
        <f>+VLOOKUP(H1612,[1]Explore!$A:$I,9,0)</f>
        <v>#N/A</v>
      </c>
      <c r="J1612" t="str">
        <f t="shared" si="50"/>
        <v>OK</v>
      </c>
      <c r="K1612" t="str">
        <f t="shared" si="51"/>
        <v>Information Technology</v>
      </c>
      <c r="L1612" t="s">
        <v>2141</v>
      </c>
      <c r="M1612" t="str">
        <f>_xlfn.IFNA(VLOOKUP(K1612,'Mapping DEF'!A:C,2,0),"")</f>
        <v>Industry Allocation</v>
      </c>
      <c r="N1612" t="str">
        <f>+_xlfn.IFNA(VLOOKUP(M1612,'Mapping DEF'!B:C,2,FALSE),"")</f>
        <v>Equity</v>
      </c>
      <c r="O1612" t="s">
        <v>2753</v>
      </c>
    </row>
    <row r="1613" spans="1:15" x14ac:dyDescent="0.25">
      <c r="A1613" s="4" t="s">
        <v>2564</v>
      </c>
      <c r="B1613" s="4" t="s">
        <v>2565</v>
      </c>
      <c r="C1613" s="5">
        <v>2207</v>
      </c>
      <c r="D1613" s="6" t="s">
        <v>2566</v>
      </c>
      <c r="E1613" t="s">
        <v>1461</v>
      </c>
      <c r="F1613" t="s">
        <v>346</v>
      </c>
      <c r="G1613" t="str">
        <f>+VLOOKUP(F1613,[1]Explore!$B:$I,8,0)</f>
        <v>Spread Emerging Markets - Country</v>
      </c>
      <c r="H1613" t="s">
        <v>347</v>
      </c>
      <c r="I1613" t="str">
        <f>+VLOOKUP(H1613,[1]Explore!$A:$I,9,0)</f>
        <v>Spread Emerging Markets - Country</v>
      </c>
      <c r="J1613" t="str">
        <f t="shared" si="50"/>
        <v>OK</v>
      </c>
      <c r="K1613" t="str">
        <f t="shared" si="51"/>
        <v>Spread Emerging Markets - Country</v>
      </c>
      <c r="L1613" t="s">
        <v>188</v>
      </c>
      <c r="M1613" t="str">
        <f>_xlfn.IFNA(VLOOKUP(K1613,'Mapping DEF'!A:C,2,0),"")</f>
        <v>Spread</v>
      </c>
      <c r="N1613" t="str">
        <f>+_xlfn.IFNA(VLOOKUP(M1613,'Mapping DEF'!B:C,2,FALSE),"")</f>
        <v>Spread</v>
      </c>
      <c r="O1613" t="s">
        <v>2795</v>
      </c>
    </row>
    <row r="1614" spans="1:15" x14ac:dyDescent="0.25">
      <c r="A1614" s="4" t="s">
        <v>2564</v>
      </c>
      <c r="B1614" s="4" t="s">
        <v>2565</v>
      </c>
      <c r="C1614" s="5">
        <v>2207</v>
      </c>
      <c r="D1614" s="6" t="s">
        <v>2566</v>
      </c>
      <c r="E1614" t="s">
        <v>575</v>
      </c>
      <c r="F1614" t="s">
        <v>576</v>
      </c>
      <c r="G1614" t="str">
        <f>+VLOOKUP(F1614,[1]Explore!$B:$I,8,0)</f>
        <v>Spread Emerging Markets - Country</v>
      </c>
      <c r="H1614" t="s">
        <v>577</v>
      </c>
      <c r="I1614" t="str">
        <f>+VLOOKUP(H1614,[1]Explore!$A:$I,9,0)</f>
        <v>Spread Emerging Markets - Country</v>
      </c>
      <c r="J1614" t="str">
        <f t="shared" si="50"/>
        <v>OK</v>
      </c>
      <c r="K1614" t="str">
        <f t="shared" si="51"/>
        <v>Spread Emerging Markets - Country</v>
      </c>
      <c r="L1614" t="s">
        <v>188</v>
      </c>
      <c r="M1614" t="str">
        <f>_xlfn.IFNA(VLOOKUP(K1614,'Mapping DEF'!A:C,2,0),"")</f>
        <v>Spread</v>
      </c>
      <c r="N1614" t="str">
        <f>+_xlfn.IFNA(VLOOKUP(M1614,'Mapping DEF'!B:C,2,FALSE),"")</f>
        <v>Spread</v>
      </c>
      <c r="O1614" t="s">
        <v>2756</v>
      </c>
    </row>
    <row r="1615" spans="1:15" x14ac:dyDescent="0.25">
      <c r="A1615" s="4" t="s">
        <v>2564</v>
      </c>
      <c r="B1615" s="4" t="s">
        <v>2565</v>
      </c>
      <c r="C1615" s="5">
        <v>2207</v>
      </c>
      <c r="D1615" s="6" t="s">
        <v>2566</v>
      </c>
      <c r="E1615" t="s">
        <v>1968</v>
      </c>
      <c r="F1615" t="s">
        <v>1954</v>
      </c>
      <c r="G1615" t="str">
        <f>+VLOOKUP(F1615,[1]Explore!$B:$I,8,0)</f>
        <v>Emerging Markets</v>
      </c>
      <c r="H1615" t="s">
        <v>1955</v>
      </c>
      <c r="I1615" t="str">
        <f>+VLOOKUP(H1615,[1]Explore!$A:$I,9,0)</f>
        <v>Spread Emerging Markets - Country</v>
      </c>
      <c r="J1615" t="str">
        <f t="shared" si="50"/>
        <v>OK</v>
      </c>
      <c r="K1615" t="str">
        <f t="shared" si="51"/>
        <v>Spread Emerging Markets - Country</v>
      </c>
      <c r="L1615" t="s">
        <v>188</v>
      </c>
      <c r="M1615" t="str">
        <f>_xlfn.IFNA(VLOOKUP(K1615,'Mapping DEF'!A:C,2,0),"")</f>
        <v>Spread</v>
      </c>
      <c r="N1615" t="str">
        <f>+_xlfn.IFNA(VLOOKUP(M1615,'Mapping DEF'!B:C,2,FALSE),"")</f>
        <v>Spread</v>
      </c>
      <c r="O1615" t="s">
        <v>2830</v>
      </c>
    </row>
    <row r="1616" spans="1:15" x14ac:dyDescent="0.25">
      <c r="A1616" s="4" t="s">
        <v>2567</v>
      </c>
      <c r="B1616" s="4" t="s">
        <v>2568</v>
      </c>
      <c r="C1616" s="5">
        <v>2429</v>
      </c>
      <c r="D1616" s="6" t="s">
        <v>2569</v>
      </c>
      <c r="E1616" t="s">
        <v>1969</v>
      </c>
      <c r="F1616" t="s">
        <v>271</v>
      </c>
      <c r="G1616" t="str">
        <f>+VLOOKUP(F1616,[1]Explore!$B:$I,8,0)</f>
        <v>Corporate IG USD - Other</v>
      </c>
      <c r="H1616" t="s">
        <v>272</v>
      </c>
      <c r="I1616" t="str">
        <f>+VLOOKUP(H1616,[1]Explore!$A:$I,9,0)</f>
        <v>Corporate IG USD - Other</v>
      </c>
      <c r="J1616" t="str">
        <f t="shared" si="50"/>
        <v>OK</v>
      </c>
      <c r="K1616" t="str">
        <f t="shared" si="51"/>
        <v>Corporate IG USD - Other</v>
      </c>
      <c r="L1616" t="s">
        <v>2650</v>
      </c>
      <c r="M1616" t="str">
        <f>_xlfn.IFNA(VLOOKUP(K1616,'Mapping DEF'!A:C,2,0),"")</f>
        <v>Spread</v>
      </c>
      <c r="N1616" t="str">
        <f>+_xlfn.IFNA(VLOOKUP(M1616,'Mapping DEF'!B:C,2,FALSE),"")</f>
        <v>Spread</v>
      </c>
      <c r="O1616" t="s">
        <v>2790</v>
      </c>
    </row>
    <row r="1617" spans="1:15" x14ac:dyDescent="0.25">
      <c r="A1617" s="4" t="s">
        <v>2567</v>
      </c>
      <c r="B1617" s="4" t="s">
        <v>2568</v>
      </c>
      <c r="C1617" s="5">
        <v>2429</v>
      </c>
      <c r="D1617" s="6" t="s">
        <v>2569</v>
      </c>
      <c r="E1617" t="s">
        <v>1970</v>
      </c>
      <c r="F1617" t="s">
        <v>441</v>
      </c>
      <c r="G1617" t="str">
        <f>+VLOOKUP(F1617,[1]Explore!$B:$I,8,0)</f>
        <v>Corporate IG USD - Industry</v>
      </c>
      <c r="H1617" t="s">
        <v>442</v>
      </c>
      <c r="I1617" t="str">
        <f>+VLOOKUP(H1617,[1]Explore!$A:$I,9,0)</f>
        <v>Corporate IG USD - Industry</v>
      </c>
      <c r="J1617" t="str">
        <f t="shared" si="50"/>
        <v>OK</v>
      </c>
      <c r="K1617" t="str">
        <f t="shared" si="51"/>
        <v>Corporate IG USD - Industry</v>
      </c>
      <c r="L1617" t="s">
        <v>188</v>
      </c>
      <c r="M1617" t="str">
        <f>_xlfn.IFNA(VLOOKUP(K1617,'Mapping DEF'!A:C,2,0),"")</f>
        <v>Spread</v>
      </c>
      <c r="N1617" t="str">
        <f>+_xlfn.IFNA(VLOOKUP(M1617,'Mapping DEF'!B:C,2,FALSE),"")</f>
        <v>Spread</v>
      </c>
      <c r="O1617" t="s">
        <v>2778</v>
      </c>
    </row>
    <row r="1618" spans="1:15" x14ac:dyDescent="0.25">
      <c r="A1618" s="4" t="s">
        <v>2567</v>
      </c>
      <c r="B1618" s="4" t="s">
        <v>2568</v>
      </c>
      <c r="C1618" s="5">
        <v>2429</v>
      </c>
      <c r="D1618" s="6" t="s">
        <v>2569</v>
      </c>
      <c r="E1618" t="s">
        <v>1325</v>
      </c>
      <c r="F1618" t="s">
        <v>2156</v>
      </c>
      <c r="G1618" t="str">
        <f>+VLOOKUP(F1618,[1]Explore!$B:$I,8,0)</f>
        <v>Equity Implied Volatility</v>
      </c>
      <c r="H1618" t="s">
        <v>141</v>
      </c>
      <c r="I1618" t="str">
        <f>+VLOOKUP(H1618,[1]Explore!$A:$I,9,0)</f>
        <v>Equity Implied Volatility</v>
      </c>
      <c r="J1618" t="str">
        <f t="shared" si="50"/>
        <v>OK</v>
      </c>
      <c r="K1618" t="str">
        <f t="shared" si="51"/>
        <v>Equity Implied Volatility</v>
      </c>
      <c r="L1618" t="s">
        <v>27</v>
      </c>
      <c r="M1618" t="str">
        <f>_xlfn.IFNA(VLOOKUP(K1618,'Mapping DEF'!A:C,2,0),"")</f>
        <v>Equity Derivatives</v>
      </c>
      <c r="N1618" t="str">
        <f>+_xlfn.IFNA(VLOOKUP(M1618,'Mapping DEF'!B:C,2,FALSE),"")</f>
        <v>Equity</v>
      </c>
      <c r="O1618" t="s">
        <v>2802</v>
      </c>
    </row>
    <row r="1619" spans="1:15" x14ac:dyDescent="0.25">
      <c r="A1619" s="4" t="s">
        <v>2567</v>
      </c>
      <c r="B1619" s="4" t="s">
        <v>2568</v>
      </c>
      <c r="C1619" s="5">
        <v>2429</v>
      </c>
      <c r="D1619" s="6" t="s">
        <v>2569</v>
      </c>
      <c r="E1619" t="s">
        <v>654</v>
      </c>
      <c r="F1619" t="s">
        <v>191</v>
      </c>
      <c r="G1619" t="e">
        <f>+VLOOKUP(F1619,[1]Explore!$B:$I,8,0)</f>
        <v>#N/A</v>
      </c>
      <c r="H1619" t="s">
        <v>192</v>
      </c>
      <c r="I1619" t="e">
        <f>+VLOOKUP(H1619,[1]Explore!$A:$I,9,0)</f>
        <v>#N/A</v>
      </c>
      <c r="J1619" t="str">
        <f t="shared" si="50"/>
        <v>BOTH #N/A</v>
      </c>
      <c r="K1619" t="str">
        <f t="shared" si="51"/>
        <v xml:space="preserve">Time </v>
      </c>
      <c r="L1619" t="s">
        <v>2138</v>
      </c>
      <c r="M1619" t="str">
        <f>_xlfn.IFNA(VLOOKUP(K1619,'Mapping DEF'!A:C,2,0),"")</f>
        <v>Time</v>
      </c>
      <c r="N1619" t="str">
        <f>+_xlfn.IFNA(VLOOKUP(M1619,'Mapping DEF'!B:C,2,FALSE),"")</f>
        <v>Other</v>
      </c>
      <c r="O1619" t="s">
        <v>2762</v>
      </c>
    </row>
    <row r="1620" spans="1:15" x14ac:dyDescent="0.25">
      <c r="A1620" s="4" t="s">
        <v>2567</v>
      </c>
      <c r="B1620" s="4" t="s">
        <v>2568</v>
      </c>
      <c r="C1620" s="5">
        <v>2429</v>
      </c>
      <c r="D1620" s="6" t="s">
        <v>2569</v>
      </c>
      <c r="E1620" t="s">
        <v>1971</v>
      </c>
      <c r="F1620" t="s">
        <v>2162</v>
      </c>
      <c r="G1620" t="str">
        <f>+VLOOKUP(F1620,[1]Explore!$B:$I,8,0)</f>
        <v>Information Technology</v>
      </c>
      <c r="H1620" t="s">
        <v>117</v>
      </c>
      <c r="I1620" t="e">
        <f>+VLOOKUP(H1620,[1]Explore!$A:$I,9,0)</f>
        <v>#N/A</v>
      </c>
      <c r="J1620" t="str">
        <f t="shared" si="50"/>
        <v>OK</v>
      </c>
      <c r="K1620" t="str">
        <f t="shared" si="51"/>
        <v>Information Technology</v>
      </c>
      <c r="L1620" t="s">
        <v>2141</v>
      </c>
      <c r="M1620" t="str">
        <f>_xlfn.IFNA(VLOOKUP(K1620,'Mapping DEF'!A:C,2,0),"")</f>
        <v>Industry Allocation</v>
      </c>
      <c r="N1620" t="str">
        <f>+_xlfn.IFNA(VLOOKUP(M1620,'Mapping DEF'!B:C,2,FALSE),"")</f>
        <v>Equity</v>
      </c>
      <c r="O1620" t="s">
        <v>2753</v>
      </c>
    </row>
    <row r="1621" spans="1:15" x14ac:dyDescent="0.25">
      <c r="A1621" s="4" t="s">
        <v>2567</v>
      </c>
      <c r="B1621" s="4" t="s">
        <v>2568</v>
      </c>
      <c r="C1621" s="5">
        <v>2429</v>
      </c>
      <c r="D1621" s="6" t="s">
        <v>2569</v>
      </c>
      <c r="E1621" t="s">
        <v>1972</v>
      </c>
      <c r="F1621" t="s">
        <v>1973</v>
      </c>
      <c r="G1621" t="str">
        <f>+VLOOKUP(F1621,[1]Explore!$B:$I,8,0)</f>
        <v>Emerging Markets</v>
      </c>
      <c r="H1621" t="s">
        <v>1974</v>
      </c>
      <c r="I1621" t="e">
        <f>+VLOOKUP(H1621,[1]Explore!$A:$I,9,0)</f>
        <v>#N/A</v>
      </c>
      <c r="J1621" t="str">
        <f t="shared" si="50"/>
        <v>OK</v>
      </c>
      <c r="K1621" t="str">
        <f t="shared" si="51"/>
        <v>Emerging Markets</v>
      </c>
      <c r="L1621" t="s">
        <v>2142</v>
      </c>
      <c r="M1621" t="str">
        <f>_xlfn.IFNA(VLOOKUP(K1621,'Mapping DEF'!A:C,2,0),"")</f>
        <v>Country Allocation</v>
      </c>
      <c r="N1621" t="str">
        <f>+_xlfn.IFNA(VLOOKUP(M1621,'Mapping DEF'!B:C,2,FALSE),"")</f>
        <v>Equity</v>
      </c>
      <c r="O1621" t="s">
        <v>2770</v>
      </c>
    </row>
    <row r="1622" spans="1:15" x14ac:dyDescent="0.25">
      <c r="A1622" s="4" t="s">
        <v>2567</v>
      </c>
      <c r="B1622" s="4" t="s">
        <v>2568</v>
      </c>
      <c r="C1622" s="5">
        <v>2429</v>
      </c>
      <c r="D1622" s="6" t="s">
        <v>2569</v>
      </c>
      <c r="E1622" t="s">
        <v>1975</v>
      </c>
      <c r="F1622" t="s">
        <v>95</v>
      </c>
      <c r="G1622" t="str">
        <f>+VLOOKUP(F1622,[1]Explore!$B:$I,8,0)</f>
        <v>Industrials</v>
      </c>
      <c r="H1622" t="s">
        <v>1976</v>
      </c>
      <c r="I1622" t="e">
        <f>+VLOOKUP(H1622,[1]Explore!$A:$I,9,0)</f>
        <v>#N/A</v>
      </c>
      <c r="J1622" t="str">
        <f t="shared" si="50"/>
        <v>OK</v>
      </c>
      <c r="K1622" t="str">
        <f t="shared" si="51"/>
        <v>Industrials</v>
      </c>
      <c r="L1622" t="s">
        <v>2141</v>
      </c>
      <c r="M1622" t="str">
        <f>_xlfn.IFNA(VLOOKUP(K1622,'Mapping DEF'!A:C,2,0),"")</f>
        <v>Industry Allocation</v>
      </c>
      <c r="N1622" t="str">
        <f>+_xlfn.IFNA(VLOOKUP(M1622,'Mapping DEF'!B:C,2,FALSE),"")</f>
        <v>Equity</v>
      </c>
      <c r="O1622" t="s">
        <v>2761</v>
      </c>
    </row>
    <row r="1623" spans="1:15" x14ac:dyDescent="0.25">
      <c r="A1623" s="4" t="s">
        <v>2567</v>
      </c>
      <c r="B1623" s="4" t="s">
        <v>2568</v>
      </c>
      <c r="C1623" s="5">
        <v>2429</v>
      </c>
      <c r="D1623" s="6" t="s">
        <v>2569</v>
      </c>
      <c r="E1623" t="s">
        <v>1977</v>
      </c>
      <c r="F1623" t="s">
        <v>473</v>
      </c>
      <c r="G1623" t="str">
        <f>+VLOOKUP(F1623,[1]Explore!$B:$I,8,0)</f>
        <v>Information Technology</v>
      </c>
      <c r="H1623" t="s">
        <v>474</v>
      </c>
      <c r="I1623" t="e">
        <f>+VLOOKUP(H1623,[1]Explore!$A:$I,9,0)</f>
        <v>#N/A</v>
      </c>
      <c r="J1623" t="str">
        <f t="shared" si="50"/>
        <v>OK</v>
      </c>
      <c r="K1623" t="str">
        <f t="shared" si="51"/>
        <v>Information Technology</v>
      </c>
      <c r="L1623" t="s">
        <v>2141</v>
      </c>
      <c r="M1623" t="str">
        <f>_xlfn.IFNA(VLOOKUP(K1623,'Mapping DEF'!A:C,2,0),"")</f>
        <v>Industry Allocation</v>
      </c>
      <c r="N1623" t="str">
        <f>+_xlfn.IFNA(VLOOKUP(M1623,'Mapping DEF'!B:C,2,FALSE),"")</f>
        <v>Equity</v>
      </c>
      <c r="O1623" t="s">
        <v>2761</v>
      </c>
    </row>
    <row r="1624" spans="1:15" x14ac:dyDescent="0.25">
      <c r="A1624" s="4" t="s">
        <v>2567</v>
      </c>
      <c r="B1624" s="4" t="s">
        <v>2568</v>
      </c>
      <c r="C1624" s="5">
        <v>2429</v>
      </c>
      <c r="D1624" s="6" t="s">
        <v>2569</v>
      </c>
      <c r="E1624" t="s">
        <v>1978</v>
      </c>
      <c r="F1624" t="s">
        <v>81</v>
      </c>
      <c r="G1624" t="e">
        <f>+VLOOKUP(F1624,[1]Explore!$B:$I,8,0)</f>
        <v>#N/A</v>
      </c>
      <c r="H1624" t="s">
        <v>1979</v>
      </c>
      <c r="I1624" t="e">
        <f>+VLOOKUP(H1624,[1]Explore!$A:$I,9,0)</f>
        <v>#N/A</v>
      </c>
      <c r="J1624" t="str">
        <f t="shared" si="50"/>
        <v>BOTH #N/A</v>
      </c>
      <c r="K1624" t="str">
        <f t="shared" si="51"/>
        <v>Information Technology</v>
      </c>
      <c r="L1624" t="s">
        <v>2679</v>
      </c>
      <c r="M1624" t="str">
        <f>_xlfn.IFNA(VLOOKUP(K1624,'Mapping DEF'!A:C,2,0),"")</f>
        <v>Industry Allocation</v>
      </c>
      <c r="N1624" t="str">
        <f>+_xlfn.IFNA(VLOOKUP(M1624,'Mapping DEF'!B:C,2,FALSE),"")</f>
        <v>Equity</v>
      </c>
      <c r="O1624" t="s">
        <v>2794</v>
      </c>
    </row>
    <row r="1625" spans="1:15" x14ac:dyDescent="0.25">
      <c r="A1625" s="4" t="s">
        <v>2570</v>
      </c>
      <c r="B1625" s="4" t="s">
        <v>2571</v>
      </c>
      <c r="C1625" s="5">
        <v>2208</v>
      </c>
      <c r="D1625" s="6" t="s">
        <v>2572</v>
      </c>
      <c r="E1625" t="s">
        <v>606</v>
      </c>
      <c r="F1625" t="s">
        <v>19</v>
      </c>
      <c r="G1625" t="str">
        <f>+VLOOKUP(F1625,[1]Explore!$B:$I,8,0)</f>
        <v>Govt USD</v>
      </c>
      <c r="H1625" t="s">
        <v>20</v>
      </c>
      <c r="I1625" t="str">
        <f>+VLOOKUP(H1625,[1]Explore!$A:$I,9,0)</f>
        <v>Govt USD</v>
      </c>
      <c r="J1625" t="str">
        <f t="shared" si="50"/>
        <v>OK</v>
      </c>
      <c r="K1625" t="str">
        <f t="shared" si="51"/>
        <v>Govt USD</v>
      </c>
      <c r="L1625" t="s">
        <v>2143</v>
      </c>
      <c r="M1625" t="str">
        <f>_xlfn.IFNA(VLOOKUP(K1625,'Mapping DEF'!A:C,2,0),"")</f>
        <v>Curve (Local)</v>
      </c>
      <c r="N1625" t="str">
        <f>+_xlfn.IFNA(VLOOKUP(M1625,'Mapping DEF'!B:C,2,FALSE),"")</f>
        <v>Term Structure</v>
      </c>
      <c r="O1625" t="s">
        <v>2752</v>
      </c>
    </row>
    <row r="1626" spans="1:15" x14ac:dyDescent="0.25">
      <c r="A1626" s="4" t="s">
        <v>2570</v>
      </c>
      <c r="B1626" s="4" t="s">
        <v>2571</v>
      </c>
      <c r="C1626" s="5">
        <v>2208</v>
      </c>
      <c r="D1626" s="6" t="s">
        <v>2572</v>
      </c>
      <c r="E1626" t="s">
        <v>1412</v>
      </c>
      <c r="F1626" t="s">
        <v>588</v>
      </c>
      <c r="G1626" t="str">
        <f>+VLOOKUP(F1626,[1]Explore!$B:$I,8,0)</f>
        <v>USD Inflation</v>
      </c>
      <c r="H1626" t="s">
        <v>589</v>
      </c>
      <c r="I1626" t="str">
        <f>+VLOOKUP(H1626,[1]Explore!$A:$I,9,0)</f>
        <v>USD Inflation</v>
      </c>
      <c r="J1626" t="str">
        <f t="shared" si="50"/>
        <v>OK</v>
      </c>
      <c r="K1626" t="str">
        <f t="shared" si="51"/>
        <v>USD Inflation</v>
      </c>
      <c r="L1626" t="s">
        <v>2143</v>
      </c>
      <c r="M1626" t="str">
        <f>_xlfn.IFNA(VLOOKUP(K1626,'Mapping DEF'!A:C,2,0),"")</f>
        <v>Inflation</v>
      </c>
      <c r="N1626" t="str">
        <f>+_xlfn.IFNA(VLOOKUP(M1626,'Mapping DEF'!B:C,2,FALSE),"")</f>
        <v>Other</v>
      </c>
      <c r="O1626" t="s">
        <v>2774</v>
      </c>
    </row>
    <row r="1627" spans="1:15" x14ac:dyDescent="0.25">
      <c r="A1627" s="4" t="s">
        <v>2570</v>
      </c>
      <c r="B1627" s="4" t="s">
        <v>2571</v>
      </c>
      <c r="C1627" s="5">
        <v>2208</v>
      </c>
      <c r="D1627" s="6" t="s">
        <v>2572</v>
      </c>
      <c r="E1627" t="s">
        <v>1024</v>
      </c>
      <c r="F1627" t="s">
        <v>271</v>
      </c>
      <c r="G1627" t="str">
        <f>+VLOOKUP(F1627,[1]Explore!$B:$I,8,0)</f>
        <v>Corporate IG USD - Other</v>
      </c>
      <c r="H1627" t="s">
        <v>272</v>
      </c>
      <c r="I1627" t="str">
        <f>+VLOOKUP(H1627,[1]Explore!$A:$I,9,0)</f>
        <v>Corporate IG USD - Other</v>
      </c>
      <c r="J1627" t="str">
        <f t="shared" si="50"/>
        <v>OK</v>
      </c>
      <c r="K1627" t="str">
        <f t="shared" si="51"/>
        <v>Corporate IG USD - Other</v>
      </c>
      <c r="L1627" t="s">
        <v>2650</v>
      </c>
      <c r="M1627" t="str">
        <f>_xlfn.IFNA(VLOOKUP(K1627,'Mapping DEF'!A:C,2,0),"")</f>
        <v>Spread</v>
      </c>
      <c r="N1627" t="str">
        <f>+_xlfn.IFNA(VLOOKUP(M1627,'Mapping DEF'!B:C,2,FALSE),"")</f>
        <v>Spread</v>
      </c>
      <c r="O1627" t="s">
        <v>2755</v>
      </c>
    </row>
    <row r="1628" spans="1:15" x14ac:dyDescent="0.25">
      <c r="A1628" s="4" t="s">
        <v>2570</v>
      </c>
      <c r="B1628" s="4" t="s">
        <v>2571</v>
      </c>
      <c r="C1628" s="5">
        <v>2208</v>
      </c>
      <c r="D1628" s="6" t="s">
        <v>2572</v>
      </c>
      <c r="E1628" t="s">
        <v>1980</v>
      </c>
      <c r="F1628" t="s">
        <v>1981</v>
      </c>
      <c r="G1628" t="str">
        <f>+VLOOKUP(F1628,[1]Explore!$B:$I,8,0)</f>
        <v>Govt Emerging Markets</v>
      </c>
      <c r="H1628" t="s">
        <v>1982</v>
      </c>
      <c r="I1628" t="str">
        <f>+VLOOKUP(H1628,[1]Explore!$A:$I,9,0)</f>
        <v>Govt Emerging Markets</v>
      </c>
      <c r="J1628" t="str">
        <f t="shared" si="50"/>
        <v>OK</v>
      </c>
      <c r="K1628" t="str">
        <f t="shared" si="51"/>
        <v>Govt Emerging Markets</v>
      </c>
      <c r="L1628" t="s">
        <v>2143</v>
      </c>
      <c r="M1628" t="str">
        <f>_xlfn.IFNA(VLOOKUP(K1628,'Mapping DEF'!A:C,2,0),"")</f>
        <v>Curve (Local)</v>
      </c>
      <c r="N1628" t="str">
        <f>+_xlfn.IFNA(VLOOKUP(M1628,'Mapping DEF'!B:C,2,FALSE),"")</f>
        <v>Term Structure</v>
      </c>
      <c r="O1628" t="s">
        <v>2795</v>
      </c>
    </row>
    <row r="1629" spans="1:15" x14ac:dyDescent="0.25">
      <c r="A1629" s="4" t="s">
        <v>2570</v>
      </c>
      <c r="B1629" s="4" t="s">
        <v>2571</v>
      </c>
      <c r="C1629" s="5">
        <v>2208</v>
      </c>
      <c r="D1629" s="6" t="s">
        <v>2572</v>
      </c>
      <c r="E1629" t="s">
        <v>1983</v>
      </c>
      <c r="F1629" t="s">
        <v>647</v>
      </c>
      <c r="G1629" t="e">
        <f>+VLOOKUP(F1629,[1]Explore!$B:$I,8,0)</f>
        <v>#N/A</v>
      </c>
      <c r="H1629" t="s">
        <v>648</v>
      </c>
      <c r="I1629" t="str">
        <f>+VLOOKUP(H1629,[1]Explore!$A:$I,9,0)</f>
        <v>Developed Currency</v>
      </c>
      <c r="J1629" t="str">
        <f t="shared" si="50"/>
        <v>OK</v>
      </c>
      <c r="K1629" t="str">
        <f t="shared" si="51"/>
        <v>Developed Currency</v>
      </c>
      <c r="L1629" t="s">
        <v>2140</v>
      </c>
      <c r="M1629" t="str">
        <f>_xlfn.IFNA(VLOOKUP(K1629,'Mapping DEF'!A:C,2,0),"")</f>
        <v>FX</v>
      </c>
      <c r="N1629" t="str">
        <f>+_xlfn.IFNA(VLOOKUP(M1629,'Mapping DEF'!B:C,2,FALSE),"")</f>
        <v>FX</v>
      </c>
      <c r="O1629" t="s">
        <v>2759</v>
      </c>
    </row>
    <row r="1630" spans="1:15" x14ac:dyDescent="0.25">
      <c r="A1630" s="4" t="s">
        <v>2570</v>
      </c>
      <c r="B1630" s="4" t="s">
        <v>2571</v>
      </c>
      <c r="C1630" s="5">
        <v>2208</v>
      </c>
      <c r="D1630" s="6" t="s">
        <v>2572</v>
      </c>
      <c r="E1630" t="s">
        <v>1984</v>
      </c>
      <c r="F1630" t="s">
        <v>73</v>
      </c>
      <c r="G1630" t="e">
        <f>+VLOOKUP(F1630,[1]Explore!$B:$I,8,0)</f>
        <v>#N/A</v>
      </c>
      <c r="H1630" t="s">
        <v>74</v>
      </c>
      <c r="I1630" t="str">
        <f>+VLOOKUP(H1630,[1]Explore!$A:$I,9,0)</f>
        <v>Emerging Currency</v>
      </c>
      <c r="J1630" t="str">
        <f t="shared" si="50"/>
        <v>OK</v>
      </c>
      <c r="K1630" t="str">
        <f t="shared" si="51"/>
        <v>Emerging Currency</v>
      </c>
      <c r="L1630" t="s">
        <v>2140</v>
      </c>
      <c r="M1630" t="str">
        <f>_xlfn.IFNA(VLOOKUP(K1630,'Mapping DEF'!A:C,2,0),"")</f>
        <v>FX</v>
      </c>
      <c r="N1630" t="str">
        <f>+_xlfn.IFNA(VLOOKUP(M1630,'Mapping DEF'!B:C,2,FALSE),"")</f>
        <v>FX</v>
      </c>
      <c r="O1630" t="s">
        <v>2771</v>
      </c>
    </row>
    <row r="1631" spans="1:15" x14ac:dyDescent="0.25">
      <c r="A1631" s="4" t="s">
        <v>2570</v>
      </c>
      <c r="B1631" s="4" t="s">
        <v>2571</v>
      </c>
      <c r="C1631" s="5">
        <v>2208</v>
      </c>
      <c r="D1631" s="6" t="s">
        <v>2572</v>
      </c>
      <c r="E1631" t="s">
        <v>371</v>
      </c>
      <c r="F1631" t="s">
        <v>206</v>
      </c>
      <c r="G1631" t="e">
        <f>+VLOOKUP(F1631,[1]Explore!$B:$I,8,0)</f>
        <v>#N/A</v>
      </c>
      <c r="H1631" t="s">
        <v>206</v>
      </c>
      <c r="I1631" t="e">
        <f>+VLOOKUP(H1631,[1]Explore!$A:$I,9,0)</f>
        <v>#N/A</v>
      </c>
      <c r="J1631" t="str">
        <f t="shared" si="50"/>
        <v>BOTH #N/A</v>
      </c>
      <c r="K1631" t="str">
        <f t="shared" si="51"/>
        <v>Dollar Index</v>
      </c>
      <c r="L1631" t="s">
        <v>2930</v>
      </c>
      <c r="M1631" t="str">
        <f>_xlfn.IFNA(VLOOKUP(K1631,'Mapping DEF'!A:C,2,0),"")</f>
        <v>Index Level</v>
      </c>
      <c r="N1631" t="str">
        <f>+_xlfn.IFNA(VLOOKUP(M1631,'Mapping DEF'!B:C,2,FALSE),"")</f>
        <v>Other</v>
      </c>
      <c r="O1631" t="s">
        <v>2759</v>
      </c>
    </row>
    <row r="1632" spans="1:15" x14ac:dyDescent="0.25">
      <c r="A1632" s="4" t="s">
        <v>2570</v>
      </c>
      <c r="B1632" s="4" t="s">
        <v>2571</v>
      </c>
      <c r="C1632" s="5">
        <v>2208</v>
      </c>
      <c r="D1632" s="6" t="s">
        <v>2572</v>
      </c>
      <c r="E1632" t="s">
        <v>338</v>
      </c>
      <c r="F1632" t="s">
        <v>191</v>
      </c>
      <c r="G1632" t="e">
        <f>+VLOOKUP(F1632,[1]Explore!$B:$I,8,0)</f>
        <v>#N/A</v>
      </c>
      <c r="H1632" t="s">
        <v>192</v>
      </c>
      <c r="I1632" t="e">
        <f>+VLOOKUP(H1632,[1]Explore!$A:$I,9,0)</f>
        <v>#N/A</v>
      </c>
      <c r="J1632" t="str">
        <f t="shared" si="50"/>
        <v>BOTH #N/A</v>
      </c>
      <c r="K1632" t="str">
        <f t="shared" si="51"/>
        <v xml:space="preserve">Time </v>
      </c>
      <c r="L1632" t="s">
        <v>2138</v>
      </c>
      <c r="M1632" t="str">
        <f>_xlfn.IFNA(VLOOKUP(K1632,'Mapping DEF'!A:C,2,0),"")</f>
        <v>Time</v>
      </c>
      <c r="N1632" t="str">
        <f>+_xlfn.IFNA(VLOOKUP(M1632,'Mapping DEF'!B:C,2,FALSE),"")</f>
        <v>Other</v>
      </c>
      <c r="O1632" t="s">
        <v>2817</v>
      </c>
    </row>
    <row r="1633" spans="1:15" x14ac:dyDescent="0.25">
      <c r="A1633" s="4" t="s">
        <v>2570</v>
      </c>
      <c r="B1633" s="4" t="s">
        <v>2571</v>
      </c>
      <c r="C1633" s="5">
        <v>2208</v>
      </c>
      <c r="D1633" s="6" t="s">
        <v>2572</v>
      </c>
      <c r="E1633" t="s">
        <v>1985</v>
      </c>
      <c r="F1633" t="s">
        <v>1986</v>
      </c>
      <c r="G1633" t="str">
        <f>+VLOOKUP(F1633,[1]Explore!$B:$I,8,0)</f>
        <v>Emerging Markets</v>
      </c>
      <c r="H1633" t="s">
        <v>1987</v>
      </c>
      <c r="I1633" t="str">
        <f>+VLOOKUP(H1633,[1]Explore!$A:$I,9,0)</f>
        <v>Emerging Markets</v>
      </c>
      <c r="J1633" t="str">
        <f t="shared" si="50"/>
        <v>OK</v>
      </c>
      <c r="K1633" t="str">
        <f t="shared" si="51"/>
        <v>Emerging Markets</v>
      </c>
      <c r="L1633" t="s">
        <v>2142</v>
      </c>
      <c r="M1633" t="str">
        <f>_xlfn.IFNA(VLOOKUP(K1633,'Mapping DEF'!A:C,2,0),"")</f>
        <v>Country Allocation</v>
      </c>
      <c r="N1633" t="str">
        <f>+_xlfn.IFNA(VLOOKUP(M1633,'Mapping DEF'!B:C,2,FALSE),"")</f>
        <v>Equity</v>
      </c>
      <c r="O1633" t="s">
        <v>2759</v>
      </c>
    </row>
    <row r="1634" spans="1:15" x14ac:dyDescent="0.25">
      <c r="A1634" s="4" t="s">
        <v>2570</v>
      </c>
      <c r="B1634" s="4" t="s">
        <v>2571</v>
      </c>
      <c r="C1634" s="5">
        <v>2208</v>
      </c>
      <c r="D1634" s="6" t="s">
        <v>2572</v>
      </c>
      <c r="E1634" t="s">
        <v>1988</v>
      </c>
      <c r="F1634" t="s">
        <v>2178</v>
      </c>
      <c r="G1634" t="e">
        <f>+VLOOKUP(F1634,[1]Explore!$B:$I,8,0)</f>
        <v>#N/A</v>
      </c>
      <c r="H1634" t="s">
        <v>471</v>
      </c>
      <c r="I1634" t="e">
        <f>+VLOOKUP(H1634,[1]Explore!$A:$I,9,0)</f>
        <v>#N/A</v>
      </c>
      <c r="J1634" t="str">
        <f t="shared" si="50"/>
        <v>BOTH #N/A</v>
      </c>
      <c r="K1634" t="str">
        <f t="shared" si="51"/>
        <v>Industrials</v>
      </c>
      <c r="L1634" t="s">
        <v>1206</v>
      </c>
      <c r="M1634" t="str">
        <f>_xlfn.IFNA(VLOOKUP(K1634,'Mapping DEF'!A:C,2,0),"")</f>
        <v>Industry Allocation</v>
      </c>
      <c r="N1634" t="str">
        <f>+_xlfn.IFNA(VLOOKUP(M1634,'Mapping DEF'!B:C,2,FALSE),"")</f>
        <v>Equity</v>
      </c>
      <c r="O1634" t="s">
        <v>2760</v>
      </c>
    </row>
    <row r="1635" spans="1:15" x14ac:dyDescent="0.25">
      <c r="A1635" s="4" t="s">
        <v>2570</v>
      </c>
      <c r="B1635" s="4" t="s">
        <v>2571</v>
      </c>
      <c r="C1635" s="5">
        <v>2208</v>
      </c>
      <c r="D1635" s="6" t="s">
        <v>2572</v>
      </c>
      <c r="E1635" t="s">
        <v>1975</v>
      </c>
      <c r="F1635" t="s">
        <v>95</v>
      </c>
      <c r="G1635" t="str">
        <f>+VLOOKUP(F1635,[1]Explore!$B:$I,8,0)</f>
        <v>Industrials</v>
      </c>
      <c r="H1635" t="s">
        <v>1976</v>
      </c>
      <c r="I1635" t="e">
        <f>+VLOOKUP(H1635,[1]Explore!$A:$I,9,0)</f>
        <v>#N/A</v>
      </c>
      <c r="J1635" t="str">
        <f t="shared" si="50"/>
        <v>OK</v>
      </c>
      <c r="K1635" t="str">
        <f t="shared" si="51"/>
        <v>Industrials</v>
      </c>
      <c r="L1635" t="s">
        <v>2141</v>
      </c>
      <c r="M1635" t="str">
        <f>_xlfn.IFNA(VLOOKUP(K1635,'Mapping DEF'!A:C,2,0),"")</f>
        <v>Industry Allocation</v>
      </c>
      <c r="N1635" t="str">
        <f>+_xlfn.IFNA(VLOOKUP(M1635,'Mapping DEF'!B:C,2,FALSE),"")</f>
        <v>Equity</v>
      </c>
      <c r="O1635" t="s">
        <v>2761</v>
      </c>
    </row>
    <row r="1636" spans="1:15" x14ac:dyDescent="0.25">
      <c r="A1636" s="4" t="s">
        <v>2570</v>
      </c>
      <c r="B1636" s="4" t="s">
        <v>2571</v>
      </c>
      <c r="C1636" s="5">
        <v>2208</v>
      </c>
      <c r="D1636" s="6" t="s">
        <v>2572</v>
      </c>
      <c r="E1636" t="s">
        <v>519</v>
      </c>
      <c r="F1636" t="s">
        <v>2164</v>
      </c>
      <c r="G1636" t="e">
        <f>+VLOOKUP(F1636,[1]Explore!$B:$I,8,0)</f>
        <v>#N/A</v>
      </c>
      <c r="H1636" t="s">
        <v>520</v>
      </c>
      <c r="I1636" t="e">
        <f>+VLOOKUP(H1636,[1]Explore!$A:$I,9,0)</f>
        <v>#N/A</v>
      </c>
      <c r="J1636" t="str">
        <f t="shared" si="50"/>
        <v>BOTH #N/A</v>
      </c>
      <c r="K1636" t="str">
        <f t="shared" si="51"/>
        <v>Information Technology</v>
      </c>
      <c r="L1636" t="s">
        <v>2679</v>
      </c>
      <c r="M1636" t="str">
        <f>_xlfn.IFNA(VLOOKUP(K1636,'Mapping DEF'!A:C,2,0),"")</f>
        <v>Industry Allocation</v>
      </c>
      <c r="N1636" t="str">
        <f>+_xlfn.IFNA(VLOOKUP(M1636,'Mapping DEF'!B:C,2,FALSE),"")</f>
        <v>Equity</v>
      </c>
      <c r="O1636" t="s">
        <v>2770</v>
      </c>
    </row>
    <row r="1637" spans="1:15" x14ac:dyDescent="0.25">
      <c r="A1637" s="4" t="s">
        <v>2570</v>
      </c>
      <c r="B1637" s="4" t="s">
        <v>2571</v>
      </c>
      <c r="C1637" s="5">
        <v>2208</v>
      </c>
      <c r="D1637" s="6" t="s">
        <v>2572</v>
      </c>
      <c r="E1637" t="s">
        <v>1989</v>
      </c>
      <c r="F1637" t="s">
        <v>352</v>
      </c>
      <c r="G1637" t="e">
        <f>+VLOOKUP(F1637,[1]Explore!$B:$I,8,0)</f>
        <v>#N/A</v>
      </c>
      <c r="H1637" t="s">
        <v>353</v>
      </c>
      <c r="I1637" t="str">
        <f>+VLOOKUP(H1637,[1]Explore!$A:$I,9,0)</f>
        <v>Other - Index</v>
      </c>
      <c r="J1637" t="str">
        <f t="shared" si="50"/>
        <v>OK</v>
      </c>
      <c r="K1637" t="str">
        <f t="shared" si="51"/>
        <v>Other - Index</v>
      </c>
      <c r="L1637" t="s">
        <v>27</v>
      </c>
      <c r="M1637" t="str">
        <f>_xlfn.IFNA(VLOOKUP(K1637,'Mapping DEF'!A:C,2,0),"")</f>
        <v>Other</v>
      </c>
      <c r="N1637" t="str">
        <f>+_xlfn.IFNA(VLOOKUP(M1637,'Mapping DEF'!B:C,2,FALSE),"")</f>
        <v>Other</v>
      </c>
      <c r="O1637" t="s">
        <v>2768</v>
      </c>
    </row>
    <row r="1638" spans="1:15" x14ac:dyDescent="0.25">
      <c r="A1638" s="4" t="s">
        <v>2570</v>
      </c>
      <c r="B1638" s="4" t="s">
        <v>2571</v>
      </c>
      <c r="C1638" s="5">
        <v>2208</v>
      </c>
      <c r="D1638" s="6" t="s">
        <v>2572</v>
      </c>
      <c r="E1638" t="s">
        <v>1990</v>
      </c>
      <c r="F1638" t="s">
        <v>2631</v>
      </c>
      <c r="G1638" t="str">
        <f>+VLOOKUP(F1638,[1]Explore!$B:$I,8,0)</f>
        <v>Other - Index</v>
      </c>
      <c r="H1638" t="s">
        <v>887</v>
      </c>
      <c r="I1638" t="e">
        <f>+VLOOKUP(H1638,[1]Explore!$A:$I,9,0)</f>
        <v>#N/A</v>
      </c>
      <c r="J1638" t="str">
        <f t="shared" si="50"/>
        <v>OK</v>
      </c>
      <c r="K1638" t="str">
        <f t="shared" si="51"/>
        <v>Other - Index</v>
      </c>
      <c r="L1638" t="s">
        <v>27</v>
      </c>
      <c r="M1638" t="str">
        <f>_xlfn.IFNA(VLOOKUP(K1638,'Mapping DEF'!A:C,2,0),"")</f>
        <v>Other</v>
      </c>
      <c r="N1638" t="str">
        <f>+_xlfn.IFNA(VLOOKUP(M1638,'Mapping DEF'!B:C,2,FALSE),"")</f>
        <v>Other</v>
      </c>
      <c r="O1638" t="s">
        <v>2776</v>
      </c>
    </row>
    <row r="1639" spans="1:15" x14ac:dyDescent="0.25">
      <c r="A1639" s="4" t="s">
        <v>2573</v>
      </c>
      <c r="B1639" s="4" t="s">
        <v>2574</v>
      </c>
      <c r="C1639" s="5">
        <v>2209</v>
      </c>
      <c r="D1639" s="6" t="s">
        <v>2575</v>
      </c>
      <c r="E1639" t="s">
        <v>670</v>
      </c>
      <c r="F1639" t="s">
        <v>19</v>
      </c>
      <c r="G1639" t="str">
        <f>+VLOOKUP(F1639,[1]Explore!$B:$I,8,0)</f>
        <v>Govt USD</v>
      </c>
      <c r="H1639" t="s">
        <v>20</v>
      </c>
      <c r="I1639" t="str">
        <f>+VLOOKUP(H1639,[1]Explore!$A:$I,9,0)</f>
        <v>Govt USD</v>
      </c>
      <c r="J1639" t="str">
        <f t="shared" si="50"/>
        <v>OK</v>
      </c>
      <c r="K1639" t="str">
        <f t="shared" si="51"/>
        <v>Govt USD</v>
      </c>
      <c r="L1639" t="s">
        <v>2143</v>
      </c>
      <c r="M1639" t="str">
        <f>_xlfn.IFNA(VLOOKUP(K1639,'Mapping DEF'!A:C,2,0),"")</f>
        <v>Curve (Local)</v>
      </c>
      <c r="N1639" t="str">
        <f>+_xlfn.IFNA(VLOOKUP(M1639,'Mapping DEF'!B:C,2,FALSE),"")</f>
        <v>Term Structure</v>
      </c>
      <c r="O1639" t="s">
        <v>2848</v>
      </c>
    </row>
    <row r="1640" spans="1:15" x14ac:dyDescent="0.25">
      <c r="A1640" s="4" t="s">
        <v>2573</v>
      </c>
      <c r="B1640" s="4" t="s">
        <v>2574</v>
      </c>
      <c r="C1640" s="5">
        <v>2209</v>
      </c>
      <c r="D1640" s="6" t="s">
        <v>2575</v>
      </c>
      <c r="E1640" t="s">
        <v>415</v>
      </c>
      <c r="F1640" t="s">
        <v>268</v>
      </c>
      <c r="G1640" t="str">
        <f>+VLOOKUP(F1640,[1]Explore!$B:$I,8,0)</f>
        <v>Alternative - Commodity</v>
      </c>
      <c r="H1640" t="s">
        <v>269</v>
      </c>
      <c r="I1640" t="str">
        <f>+VLOOKUP(H1640,[1]Explore!$A:$I,9,0)</f>
        <v>Alternative - Commodity</v>
      </c>
      <c r="J1640" t="str">
        <f t="shared" si="50"/>
        <v>OK</v>
      </c>
      <c r="K1640" t="str">
        <f t="shared" si="51"/>
        <v>Alternative - Commodity</v>
      </c>
      <c r="L1640" t="s">
        <v>2139</v>
      </c>
      <c r="M1640" t="str">
        <f>_xlfn.IFNA(VLOOKUP(K1640,'Mapping DEF'!A:C,2,0),"")</f>
        <v>Alternative</v>
      </c>
      <c r="N1640" t="str">
        <f>+_xlfn.IFNA(VLOOKUP(M1640,'Mapping DEF'!B:C,2,FALSE),"")</f>
        <v>Other</v>
      </c>
      <c r="O1640" t="s">
        <v>2754</v>
      </c>
    </row>
    <row r="1641" spans="1:15" x14ac:dyDescent="0.25">
      <c r="A1641" s="4" t="s">
        <v>2573</v>
      </c>
      <c r="B1641" s="4" t="s">
        <v>2574</v>
      </c>
      <c r="C1641" s="5">
        <v>2209</v>
      </c>
      <c r="D1641" s="6" t="s">
        <v>2575</v>
      </c>
      <c r="E1641" t="s">
        <v>1994</v>
      </c>
      <c r="F1641" t="s">
        <v>441</v>
      </c>
      <c r="G1641" t="str">
        <f>+VLOOKUP(F1641,[1]Explore!$B:$I,8,0)</f>
        <v>Corporate IG USD - Industry</v>
      </c>
      <c r="H1641" t="s">
        <v>442</v>
      </c>
      <c r="I1641" t="str">
        <f>+VLOOKUP(H1641,[1]Explore!$A:$I,9,0)</f>
        <v>Corporate IG USD - Industry</v>
      </c>
      <c r="J1641" t="str">
        <f t="shared" si="50"/>
        <v>OK</v>
      </c>
      <c r="K1641" t="str">
        <f t="shared" si="51"/>
        <v>Corporate IG USD - Industry</v>
      </c>
      <c r="L1641" t="s">
        <v>188</v>
      </c>
      <c r="M1641" t="str">
        <f>_xlfn.IFNA(VLOOKUP(K1641,'Mapping DEF'!A:C,2,0),"")</f>
        <v>Spread</v>
      </c>
      <c r="N1641" t="str">
        <f>+_xlfn.IFNA(VLOOKUP(M1641,'Mapping DEF'!B:C,2,FALSE),"")</f>
        <v>Spread</v>
      </c>
      <c r="O1641" t="s">
        <v>2755</v>
      </c>
    </row>
    <row r="1642" spans="1:15" x14ac:dyDescent="0.25">
      <c r="A1642" s="4" t="s">
        <v>2573</v>
      </c>
      <c r="B1642" s="4" t="s">
        <v>2574</v>
      </c>
      <c r="C1642" s="5">
        <v>2209</v>
      </c>
      <c r="D1642" s="6" t="s">
        <v>2575</v>
      </c>
      <c r="E1642" t="s">
        <v>336</v>
      </c>
      <c r="F1642" t="s">
        <v>73</v>
      </c>
      <c r="G1642" t="e">
        <f>+VLOOKUP(F1642,[1]Explore!$B:$I,8,0)</f>
        <v>#N/A</v>
      </c>
      <c r="H1642" t="s">
        <v>74</v>
      </c>
      <c r="I1642" t="str">
        <f>+VLOOKUP(H1642,[1]Explore!$A:$I,9,0)</f>
        <v>Emerging Currency</v>
      </c>
      <c r="J1642" t="str">
        <f t="shared" si="50"/>
        <v>OK</v>
      </c>
      <c r="K1642" t="str">
        <f t="shared" si="51"/>
        <v>Emerging Currency</v>
      </c>
      <c r="L1642" t="s">
        <v>2140</v>
      </c>
      <c r="M1642" t="str">
        <f>_xlfn.IFNA(VLOOKUP(K1642,'Mapping DEF'!A:C,2,0),"")</f>
        <v>FX</v>
      </c>
      <c r="N1642" t="str">
        <f>+_xlfn.IFNA(VLOOKUP(M1642,'Mapping DEF'!B:C,2,FALSE),"")</f>
        <v>FX</v>
      </c>
      <c r="O1642" t="s">
        <v>2763</v>
      </c>
    </row>
    <row r="1643" spans="1:15" x14ac:dyDescent="0.25">
      <c r="A1643" s="4" t="s">
        <v>2573</v>
      </c>
      <c r="B1643" s="4" t="s">
        <v>2574</v>
      </c>
      <c r="C1643" s="5">
        <v>2209</v>
      </c>
      <c r="D1643" s="6" t="s">
        <v>2575</v>
      </c>
      <c r="E1643" t="s">
        <v>722</v>
      </c>
      <c r="F1643" t="s">
        <v>2944</v>
      </c>
      <c r="G1643" t="str">
        <f>+VLOOKUP(F1643,[1]Explore!$B:$I,8,0)</f>
        <v>JPY</v>
      </c>
      <c r="H1643" t="s">
        <v>138</v>
      </c>
      <c r="I1643" t="str">
        <f>+VLOOKUP(H1643,[1]Explore!$A:$I,9,0)</f>
        <v>JPY</v>
      </c>
      <c r="J1643" t="str">
        <f t="shared" si="50"/>
        <v>OK</v>
      </c>
      <c r="K1643" t="str">
        <f t="shared" si="51"/>
        <v>JPY</v>
      </c>
      <c r="L1643" t="s">
        <v>2140</v>
      </c>
      <c r="M1643" t="str">
        <f>_xlfn.IFNA(VLOOKUP(K1643,'Mapping DEF'!A:C,2,0),"")</f>
        <v>FX</v>
      </c>
      <c r="N1643" t="str">
        <f>+_xlfn.IFNA(VLOOKUP(M1643,'Mapping DEF'!B:C,2,FALSE),"")</f>
        <v>FX</v>
      </c>
      <c r="O1643" t="s">
        <v>2810</v>
      </c>
    </row>
    <row r="1644" spans="1:15" x14ac:dyDescent="0.25">
      <c r="A1644" s="4" t="s">
        <v>2573</v>
      </c>
      <c r="B1644" s="4" t="s">
        <v>2574</v>
      </c>
      <c r="C1644" s="5">
        <v>2209</v>
      </c>
      <c r="D1644" s="6" t="s">
        <v>2575</v>
      </c>
      <c r="E1644" t="s">
        <v>1995</v>
      </c>
      <c r="F1644" t="s">
        <v>651</v>
      </c>
      <c r="G1644" t="e">
        <f>+VLOOKUP(F1644,[1]Explore!$B:$I,8,0)</f>
        <v>#N/A</v>
      </c>
      <c r="H1644" t="s">
        <v>652</v>
      </c>
      <c r="I1644" t="str">
        <f>+VLOOKUP(H1644,[1]Explore!$A:$I,9,0)</f>
        <v>Emerging Currency</v>
      </c>
      <c r="J1644" t="str">
        <f t="shared" si="50"/>
        <v>OK</v>
      </c>
      <c r="K1644" t="str">
        <f t="shared" si="51"/>
        <v>Emerging Currency</v>
      </c>
      <c r="L1644" t="s">
        <v>2140</v>
      </c>
      <c r="M1644" t="str">
        <f>_xlfn.IFNA(VLOOKUP(K1644,'Mapping DEF'!A:C,2,0),"")</f>
        <v>FX</v>
      </c>
      <c r="N1644" t="str">
        <f>+_xlfn.IFNA(VLOOKUP(M1644,'Mapping DEF'!B:C,2,FALSE),"")</f>
        <v>FX</v>
      </c>
      <c r="O1644" t="s">
        <v>2776</v>
      </c>
    </row>
    <row r="1645" spans="1:15" x14ac:dyDescent="0.25">
      <c r="A1645" s="4" t="s">
        <v>2573</v>
      </c>
      <c r="B1645" s="4" t="s">
        <v>2574</v>
      </c>
      <c r="C1645" s="5">
        <v>2209</v>
      </c>
      <c r="D1645" s="6" t="s">
        <v>2575</v>
      </c>
      <c r="E1645" t="s">
        <v>893</v>
      </c>
      <c r="F1645" t="s">
        <v>206</v>
      </c>
      <c r="G1645" t="e">
        <f>+VLOOKUP(F1645,[1]Explore!$B:$I,8,0)</f>
        <v>#N/A</v>
      </c>
      <c r="H1645" t="s">
        <v>206</v>
      </c>
      <c r="I1645" t="e">
        <f>+VLOOKUP(H1645,[1]Explore!$A:$I,9,0)</f>
        <v>#N/A</v>
      </c>
      <c r="J1645" t="str">
        <f t="shared" si="50"/>
        <v>BOTH #N/A</v>
      </c>
      <c r="K1645" t="str">
        <f t="shared" si="51"/>
        <v>Dollar Index</v>
      </c>
      <c r="L1645" t="s">
        <v>2930</v>
      </c>
      <c r="M1645" t="str">
        <f>_xlfn.IFNA(VLOOKUP(K1645,'Mapping DEF'!A:C,2,0),"")</f>
        <v>Index Level</v>
      </c>
      <c r="N1645" t="str">
        <f>+_xlfn.IFNA(VLOOKUP(M1645,'Mapping DEF'!B:C,2,FALSE),"")</f>
        <v>Other</v>
      </c>
      <c r="O1645" t="s">
        <v>2810</v>
      </c>
    </row>
    <row r="1646" spans="1:15" x14ac:dyDescent="0.25">
      <c r="A1646" s="4" t="s">
        <v>2573</v>
      </c>
      <c r="B1646" s="4" t="s">
        <v>2574</v>
      </c>
      <c r="C1646" s="5">
        <v>2209</v>
      </c>
      <c r="D1646" s="6" t="s">
        <v>2575</v>
      </c>
      <c r="E1646" t="s">
        <v>423</v>
      </c>
      <c r="F1646" t="s">
        <v>2156</v>
      </c>
      <c r="G1646" t="str">
        <f>+VLOOKUP(F1646,[1]Explore!$B:$I,8,0)</f>
        <v>Equity Implied Volatility</v>
      </c>
      <c r="H1646" t="s">
        <v>141</v>
      </c>
      <c r="I1646" t="str">
        <f>+VLOOKUP(H1646,[1]Explore!$A:$I,9,0)</f>
        <v>Equity Implied Volatility</v>
      </c>
      <c r="J1646" t="str">
        <f t="shared" si="50"/>
        <v>OK</v>
      </c>
      <c r="K1646" t="str">
        <f t="shared" si="51"/>
        <v>Equity Implied Volatility</v>
      </c>
      <c r="L1646" t="s">
        <v>27</v>
      </c>
      <c r="M1646" t="str">
        <f>_xlfn.IFNA(VLOOKUP(K1646,'Mapping DEF'!A:C,2,0),"")</f>
        <v>Equity Derivatives</v>
      </c>
      <c r="N1646" t="str">
        <f>+_xlfn.IFNA(VLOOKUP(M1646,'Mapping DEF'!B:C,2,FALSE),"")</f>
        <v>Equity</v>
      </c>
      <c r="O1646" t="s">
        <v>2761</v>
      </c>
    </row>
    <row r="1647" spans="1:15" x14ac:dyDescent="0.25">
      <c r="A1647" s="4" t="s">
        <v>2573</v>
      </c>
      <c r="B1647" s="4" t="s">
        <v>2574</v>
      </c>
      <c r="C1647" s="5">
        <v>2209</v>
      </c>
      <c r="D1647" s="6" t="s">
        <v>2575</v>
      </c>
      <c r="E1647" t="s">
        <v>338</v>
      </c>
      <c r="F1647" t="s">
        <v>191</v>
      </c>
      <c r="G1647" t="e">
        <f>+VLOOKUP(F1647,[1]Explore!$B:$I,8,0)</f>
        <v>#N/A</v>
      </c>
      <c r="H1647" t="s">
        <v>192</v>
      </c>
      <c r="I1647" t="e">
        <f>+VLOOKUP(H1647,[1]Explore!$A:$I,9,0)</f>
        <v>#N/A</v>
      </c>
      <c r="J1647" t="str">
        <f t="shared" si="50"/>
        <v>BOTH #N/A</v>
      </c>
      <c r="K1647" t="str">
        <f t="shared" si="51"/>
        <v xml:space="preserve">Time </v>
      </c>
      <c r="L1647" t="s">
        <v>2138</v>
      </c>
      <c r="M1647" t="str">
        <f>_xlfn.IFNA(VLOOKUP(K1647,'Mapping DEF'!A:C,2,0),"")</f>
        <v>Time</v>
      </c>
      <c r="N1647" t="str">
        <f>+_xlfn.IFNA(VLOOKUP(M1647,'Mapping DEF'!B:C,2,FALSE),"")</f>
        <v>Other</v>
      </c>
      <c r="O1647" t="s">
        <v>2817</v>
      </c>
    </row>
    <row r="1648" spans="1:15" x14ac:dyDescent="0.25">
      <c r="A1648" s="4" t="s">
        <v>2573</v>
      </c>
      <c r="B1648" s="4" t="s">
        <v>2574</v>
      </c>
      <c r="C1648" s="5">
        <v>2209</v>
      </c>
      <c r="D1648" s="6" t="s">
        <v>2575</v>
      </c>
      <c r="E1648" t="s">
        <v>1996</v>
      </c>
      <c r="F1648" t="s">
        <v>1997</v>
      </c>
      <c r="G1648" t="str">
        <f>+VLOOKUP(F1648,[1]Explore!$B:$I,8,0)</f>
        <v>Emerging Markets</v>
      </c>
      <c r="H1648" t="s">
        <v>1998</v>
      </c>
      <c r="I1648" t="str">
        <f>+VLOOKUP(H1648,[1]Explore!$A:$I,9,0)</f>
        <v>Emerging Markets</v>
      </c>
      <c r="J1648" t="str">
        <f t="shared" si="50"/>
        <v>OK</v>
      </c>
      <c r="K1648" t="str">
        <f t="shared" si="51"/>
        <v>Emerging Markets</v>
      </c>
      <c r="L1648" t="s">
        <v>2142</v>
      </c>
      <c r="M1648" t="str">
        <f>_xlfn.IFNA(VLOOKUP(K1648,'Mapping DEF'!A:C,2,0),"")</f>
        <v>Country Allocation</v>
      </c>
      <c r="N1648" t="str">
        <f>+_xlfn.IFNA(VLOOKUP(M1648,'Mapping DEF'!B:C,2,FALSE),"")</f>
        <v>Equity</v>
      </c>
      <c r="O1648" t="s">
        <v>2819</v>
      </c>
    </row>
    <row r="1649" spans="1:15" x14ac:dyDescent="0.25">
      <c r="A1649" s="4" t="s">
        <v>2573</v>
      </c>
      <c r="B1649" s="4" t="s">
        <v>2574</v>
      </c>
      <c r="C1649" s="5">
        <v>2209</v>
      </c>
      <c r="D1649" s="6" t="s">
        <v>2575</v>
      </c>
      <c r="E1649" t="s">
        <v>1999</v>
      </c>
      <c r="F1649" t="s">
        <v>1973</v>
      </c>
      <c r="G1649" t="str">
        <f>+VLOOKUP(F1649,[1]Explore!$B:$I,8,0)</f>
        <v>Emerging Markets</v>
      </c>
      <c r="H1649" t="s">
        <v>2000</v>
      </c>
      <c r="I1649" t="str">
        <f>+VLOOKUP(H1649,[1]Explore!$A:$I,9,0)</f>
        <v>Emerging Markets</v>
      </c>
      <c r="J1649" t="str">
        <f t="shared" si="50"/>
        <v>OK</v>
      </c>
      <c r="K1649" t="str">
        <f t="shared" si="51"/>
        <v>Emerging Markets</v>
      </c>
      <c r="L1649" t="s">
        <v>2142</v>
      </c>
      <c r="M1649" t="str">
        <f>_xlfn.IFNA(VLOOKUP(K1649,'Mapping DEF'!A:C,2,0),"")</f>
        <v>Country Allocation</v>
      </c>
      <c r="N1649" t="str">
        <f>+_xlfn.IFNA(VLOOKUP(M1649,'Mapping DEF'!B:C,2,FALSE),"")</f>
        <v>Equity</v>
      </c>
      <c r="O1649" t="s">
        <v>2768</v>
      </c>
    </row>
    <row r="1650" spans="1:15" x14ac:dyDescent="0.25">
      <c r="A1650" s="4" t="s">
        <v>2573</v>
      </c>
      <c r="B1650" s="4" t="s">
        <v>2574</v>
      </c>
      <c r="C1650" s="5">
        <v>2209</v>
      </c>
      <c r="D1650" s="6" t="s">
        <v>2575</v>
      </c>
      <c r="E1650" t="s">
        <v>2001</v>
      </c>
      <c r="F1650" t="s">
        <v>1772</v>
      </c>
      <c r="G1650" t="e">
        <f>+VLOOKUP(F1650,[1]Explore!$B:$I,8,0)</f>
        <v>#N/A</v>
      </c>
      <c r="H1650" t="s">
        <v>1773</v>
      </c>
      <c r="I1650" t="str">
        <f>+VLOOKUP(H1650,[1]Explore!$A:$I,9,0)</f>
        <v>Information Technology</v>
      </c>
      <c r="J1650" t="str">
        <f t="shared" si="50"/>
        <v>OK</v>
      </c>
      <c r="K1650" t="str">
        <f t="shared" si="51"/>
        <v>Information Technology</v>
      </c>
      <c r="L1650" t="s">
        <v>2141</v>
      </c>
      <c r="M1650" t="str">
        <f>_xlfn.IFNA(VLOOKUP(K1650,'Mapping DEF'!A:C,2,0),"")</f>
        <v>Industry Allocation</v>
      </c>
      <c r="N1650" t="str">
        <f>+_xlfn.IFNA(VLOOKUP(M1650,'Mapping DEF'!B:C,2,FALSE),"")</f>
        <v>Equity</v>
      </c>
      <c r="O1650" t="s">
        <v>2763</v>
      </c>
    </row>
    <row r="1651" spans="1:15" x14ac:dyDescent="0.25">
      <c r="A1651" s="4" t="s">
        <v>2573</v>
      </c>
      <c r="B1651" s="4" t="s">
        <v>2574</v>
      </c>
      <c r="C1651" s="5">
        <v>2209</v>
      </c>
      <c r="D1651" s="6" t="s">
        <v>2575</v>
      </c>
      <c r="E1651" t="s">
        <v>2002</v>
      </c>
      <c r="F1651" t="s">
        <v>116</v>
      </c>
      <c r="G1651" t="e">
        <f>+VLOOKUP(F1651,[1]Explore!$B:$I,8,0)</f>
        <v>#N/A</v>
      </c>
      <c r="H1651" t="s">
        <v>2003</v>
      </c>
      <c r="I1651" t="str">
        <f>+VLOOKUP(H1651,[1]Explore!$A:$I,9,0)</f>
        <v>Information Technology</v>
      </c>
      <c r="J1651" t="str">
        <f t="shared" si="50"/>
        <v>OK</v>
      </c>
      <c r="K1651" t="str">
        <f t="shared" si="51"/>
        <v>Information Technology</v>
      </c>
      <c r="L1651" t="s">
        <v>2141</v>
      </c>
      <c r="M1651" t="str">
        <f>_xlfn.IFNA(VLOOKUP(K1651,'Mapping DEF'!A:C,2,0),"")</f>
        <v>Industry Allocation</v>
      </c>
      <c r="N1651" t="str">
        <f>+_xlfn.IFNA(VLOOKUP(M1651,'Mapping DEF'!B:C,2,FALSE),"")</f>
        <v>Equity</v>
      </c>
      <c r="O1651" t="s">
        <v>2761</v>
      </c>
    </row>
    <row r="1652" spans="1:15" x14ac:dyDescent="0.25">
      <c r="A1652" s="4" t="s">
        <v>2573</v>
      </c>
      <c r="B1652" s="4" t="s">
        <v>2574</v>
      </c>
      <c r="C1652" s="5">
        <v>2209</v>
      </c>
      <c r="D1652" s="6" t="s">
        <v>2575</v>
      </c>
      <c r="E1652" t="s">
        <v>2004</v>
      </c>
      <c r="F1652" t="s">
        <v>349</v>
      </c>
      <c r="G1652" t="str">
        <f>+VLOOKUP(F1652,[1]Explore!$B:$I,8,0)</f>
        <v>Corporate HY USD - Industry</v>
      </c>
      <c r="H1652" t="s">
        <v>350</v>
      </c>
      <c r="I1652" t="str">
        <f>+VLOOKUP(H1652,[1]Explore!$A:$I,9,0)</f>
        <v>Corporate HY USD - Industry</v>
      </c>
      <c r="J1652" t="str">
        <f t="shared" si="50"/>
        <v>OK</v>
      </c>
      <c r="K1652" t="str">
        <f t="shared" si="51"/>
        <v>Corporate HY USD - Industry</v>
      </c>
      <c r="L1652" t="s">
        <v>188</v>
      </c>
      <c r="M1652" t="str">
        <f>_xlfn.IFNA(VLOOKUP(K1652,'Mapping DEF'!A:C,2,0),"")</f>
        <v>Spread</v>
      </c>
      <c r="N1652" t="str">
        <f>+_xlfn.IFNA(VLOOKUP(M1652,'Mapping DEF'!B:C,2,FALSE),"")</f>
        <v>Spread</v>
      </c>
      <c r="O1652" t="s">
        <v>2900</v>
      </c>
    </row>
    <row r="1653" spans="1:15" x14ac:dyDescent="0.25">
      <c r="A1653" s="4" t="s">
        <v>2576</v>
      </c>
      <c r="B1653" s="4" t="s">
        <v>2577</v>
      </c>
      <c r="C1653" s="5">
        <v>2314</v>
      </c>
      <c r="D1653" s="6" t="s">
        <v>2578</v>
      </c>
      <c r="E1653" t="s">
        <v>247</v>
      </c>
      <c r="G1653" t="e">
        <f>+VLOOKUP(F1653,[1]Explore!$B:$I,8,0)</f>
        <v>#N/A</v>
      </c>
      <c r="H1653" t="s">
        <v>247</v>
      </c>
      <c r="I1653" t="e">
        <f>+VLOOKUP(H1653,[1]Explore!$A:$I,9,0)</f>
        <v>#N/A</v>
      </c>
      <c r="J1653" t="str">
        <f t="shared" si="50"/>
        <v>BOTH #N/A</v>
      </c>
      <c r="K1653" t="str">
        <f t="shared" si="51"/>
        <v>-</v>
      </c>
      <c r="L1653" t="s">
        <v>247</v>
      </c>
      <c r="M1653" t="str">
        <f>_xlfn.IFNA(VLOOKUP(K1653,'Mapping DEF'!A:C,2,0),"")</f>
        <v/>
      </c>
      <c r="N1653" t="str">
        <f>+_xlfn.IFNA(VLOOKUP(M1653,'Mapping DEF'!B:C,2,FALSE),"")</f>
        <v/>
      </c>
    </row>
    <row r="1654" spans="1:15" x14ac:dyDescent="0.25">
      <c r="A1654" s="4" t="s">
        <v>2579</v>
      </c>
      <c r="B1654" s="4" t="s">
        <v>2580</v>
      </c>
      <c r="C1654" s="5">
        <v>2313</v>
      </c>
      <c r="D1654" s="6" t="s">
        <v>2581</v>
      </c>
      <c r="E1654" t="s">
        <v>247</v>
      </c>
      <c r="G1654" t="e">
        <f>+VLOOKUP(F1654,[1]Explore!$B:$I,8,0)</f>
        <v>#N/A</v>
      </c>
      <c r="H1654" t="s">
        <v>247</v>
      </c>
      <c r="I1654" t="e">
        <f>+VLOOKUP(H1654,[1]Explore!$A:$I,9,0)</f>
        <v>#N/A</v>
      </c>
      <c r="J1654" t="str">
        <f t="shared" si="50"/>
        <v>BOTH #N/A</v>
      </c>
      <c r="K1654" t="str">
        <f t="shared" si="51"/>
        <v>-</v>
      </c>
      <c r="L1654" t="s">
        <v>247</v>
      </c>
      <c r="M1654" t="str">
        <f>_xlfn.IFNA(VLOOKUP(K1654,'Mapping DEF'!A:C,2,0),"")</f>
        <v/>
      </c>
      <c r="N1654" t="str">
        <f>+_xlfn.IFNA(VLOOKUP(M1654,'Mapping DEF'!B:C,2,FALSE),"")</f>
        <v/>
      </c>
    </row>
    <row r="1655" spans="1:15" x14ac:dyDescent="0.25">
      <c r="A1655" s="4" t="s">
        <v>2582</v>
      </c>
      <c r="B1655" s="4" t="s">
        <v>2583</v>
      </c>
      <c r="C1655" s="5">
        <v>2430</v>
      </c>
      <c r="D1655" s="6" t="s">
        <v>2584</v>
      </c>
      <c r="E1655" t="s">
        <v>1834</v>
      </c>
      <c r="F1655" t="s">
        <v>13</v>
      </c>
      <c r="G1655" t="str">
        <f>+VLOOKUP(F1655,[1]Explore!$B:$I,8,0)</f>
        <v>Govt USD</v>
      </c>
      <c r="H1655" t="s">
        <v>14</v>
      </c>
      <c r="I1655" t="str">
        <f>+VLOOKUP(H1655,[1]Explore!$A:$I,9,0)</f>
        <v>Govt USD</v>
      </c>
      <c r="J1655" t="str">
        <f t="shared" si="50"/>
        <v>OK</v>
      </c>
      <c r="K1655" t="str">
        <f t="shared" si="51"/>
        <v>Govt USD</v>
      </c>
      <c r="L1655" t="s">
        <v>2143</v>
      </c>
      <c r="M1655" t="str">
        <f>_xlfn.IFNA(VLOOKUP(K1655,'Mapping DEF'!A:C,2,0),"")</f>
        <v>Curve (Local)</v>
      </c>
      <c r="N1655" t="str">
        <f>+_xlfn.IFNA(VLOOKUP(M1655,'Mapping DEF'!B:C,2,FALSE),"")</f>
        <v>Term Structure</v>
      </c>
      <c r="O1655" t="s">
        <v>2781</v>
      </c>
    </row>
    <row r="1656" spans="1:15" x14ac:dyDescent="0.25">
      <c r="A1656" s="4" t="s">
        <v>2582</v>
      </c>
      <c r="B1656" s="4" t="s">
        <v>2583</v>
      </c>
      <c r="C1656" s="5">
        <v>2430</v>
      </c>
      <c r="D1656" s="6" t="s">
        <v>2584</v>
      </c>
      <c r="E1656" t="s">
        <v>1270</v>
      </c>
      <c r="F1656" t="s">
        <v>19</v>
      </c>
      <c r="G1656" t="str">
        <f>+VLOOKUP(F1656,[1]Explore!$B:$I,8,0)</f>
        <v>Govt USD</v>
      </c>
      <c r="H1656" t="s">
        <v>20</v>
      </c>
      <c r="I1656" t="str">
        <f>+VLOOKUP(H1656,[1]Explore!$A:$I,9,0)</f>
        <v>Govt USD</v>
      </c>
      <c r="J1656" t="str">
        <f t="shared" si="50"/>
        <v>OK</v>
      </c>
      <c r="K1656" t="str">
        <f t="shared" si="51"/>
        <v>Govt USD</v>
      </c>
      <c r="L1656" t="s">
        <v>2143</v>
      </c>
      <c r="M1656" t="str">
        <f>_xlfn.IFNA(VLOOKUP(K1656,'Mapping DEF'!A:C,2,0),"")</f>
        <v>Curve (Local)</v>
      </c>
      <c r="N1656" t="str">
        <f>+_xlfn.IFNA(VLOOKUP(M1656,'Mapping DEF'!B:C,2,FALSE),"")</f>
        <v>Term Structure</v>
      </c>
      <c r="O1656" t="s">
        <v>2779</v>
      </c>
    </row>
    <row r="1657" spans="1:15" x14ac:dyDescent="0.25">
      <c r="A1657" s="4" t="s">
        <v>2582</v>
      </c>
      <c r="B1657" s="4" t="s">
        <v>2583</v>
      </c>
      <c r="C1657" s="5">
        <v>2430</v>
      </c>
      <c r="D1657" s="6" t="s">
        <v>2584</v>
      </c>
      <c r="E1657" t="s">
        <v>2005</v>
      </c>
      <c r="F1657" t="s">
        <v>588</v>
      </c>
      <c r="G1657" t="str">
        <f>+VLOOKUP(F1657,[1]Explore!$B:$I,8,0)</f>
        <v>USD Inflation</v>
      </c>
      <c r="H1657" t="s">
        <v>589</v>
      </c>
      <c r="I1657" t="str">
        <f>+VLOOKUP(H1657,[1]Explore!$A:$I,9,0)</f>
        <v>USD Inflation</v>
      </c>
      <c r="J1657" t="str">
        <f t="shared" si="50"/>
        <v>OK</v>
      </c>
      <c r="K1657" t="str">
        <f t="shared" si="51"/>
        <v>USD Inflation</v>
      </c>
      <c r="L1657" t="s">
        <v>2143</v>
      </c>
      <c r="M1657" t="str">
        <f>_xlfn.IFNA(VLOOKUP(K1657,'Mapping DEF'!A:C,2,0),"")</f>
        <v>Inflation</v>
      </c>
      <c r="N1657" t="str">
        <f>+_xlfn.IFNA(VLOOKUP(M1657,'Mapping DEF'!B:C,2,FALSE),"")</f>
        <v>Other</v>
      </c>
      <c r="O1657" t="s">
        <v>2901</v>
      </c>
    </row>
    <row r="1658" spans="1:15" x14ac:dyDescent="0.25">
      <c r="A1658" s="4" t="s">
        <v>2582</v>
      </c>
      <c r="B1658" s="4" t="s">
        <v>2583</v>
      </c>
      <c r="C1658" s="5">
        <v>2430</v>
      </c>
      <c r="D1658" s="6" t="s">
        <v>2584</v>
      </c>
      <c r="E1658" t="s">
        <v>1325</v>
      </c>
      <c r="F1658" t="s">
        <v>2156</v>
      </c>
      <c r="G1658" t="str">
        <f>+VLOOKUP(F1658,[1]Explore!$B:$I,8,0)</f>
        <v>Equity Implied Volatility</v>
      </c>
      <c r="H1658" t="s">
        <v>141</v>
      </c>
      <c r="I1658" t="str">
        <f>+VLOOKUP(H1658,[1]Explore!$A:$I,9,0)</f>
        <v>Equity Implied Volatility</v>
      </c>
      <c r="J1658" t="str">
        <f t="shared" si="50"/>
        <v>OK</v>
      </c>
      <c r="K1658" t="str">
        <f t="shared" si="51"/>
        <v>Equity Implied Volatility</v>
      </c>
      <c r="L1658" t="s">
        <v>27</v>
      </c>
      <c r="M1658" t="str">
        <f>_xlfn.IFNA(VLOOKUP(K1658,'Mapping DEF'!A:C,2,0),"")</f>
        <v>Equity Derivatives</v>
      </c>
      <c r="N1658" t="str">
        <f>+_xlfn.IFNA(VLOOKUP(M1658,'Mapping DEF'!B:C,2,FALSE),"")</f>
        <v>Equity</v>
      </c>
      <c r="O1658" t="s">
        <v>2802</v>
      </c>
    </row>
    <row r="1659" spans="1:15" x14ac:dyDescent="0.25">
      <c r="A1659" s="4" t="s">
        <v>2582</v>
      </c>
      <c r="B1659" s="4" t="s">
        <v>2583</v>
      </c>
      <c r="C1659" s="5">
        <v>2430</v>
      </c>
      <c r="D1659" s="6" t="s">
        <v>2584</v>
      </c>
      <c r="E1659" t="s">
        <v>2006</v>
      </c>
      <c r="F1659" t="s">
        <v>2007</v>
      </c>
      <c r="G1659" t="str">
        <f>+VLOOKUP(F1659,[1]Explore!$B:$I,8,0)</f>
        <v>Corporate IG EUR - Industry</v>
      </c>
      <c r="H1659" t="s">
        <v>2008</v>
      </c>
      <c r="I1659" t="str">
        <f>+VLOOKUP(H1659,[1]Explore!$A:$I,9,0)</f>
        <v>Corporate IG EUR - Industry</v>
      </c>
      <c r="J1659" t="str">
        <f t="shared" si="50"/>
        <v>OK</v>
      </c>
      <c r="K1659" t="str">
        <f t="shared" si="51"/>
        <v>Corporate IG EUR - Industry</v>
      </c>
      <c r="L1659" t="s">
        <v>188</v>
      </c>
      <c r="M1659" t="str">
        <f>_xlfn.IFNA(VLOOKUP(K1659,'Mapping DEF'!A:C,2,0),"")</f>
        <v>Spread</v>
      </c>
      <c r="N1659" t="str">
        <f>+_xlfn.IFNA(VLOOKUP(M1659,'Mapping DEF'!B:C,2,FALSE),"")</f>
        <v>Spread</v>
      </c>
      <c r="O1659" t="s">
        <v>2870</v>
      </c>
    </row>
    <row r="1660" spans="1:15" x14ac:dyDescent="0.25">
      <c r="A1660" s="4" t="s">
        <v>2582</v>
      </c>
      <c r="B1660" s="4" t="s">
        <v>2583</v>
      </c>
      <c r="C1660" s="5">
        <v>2430</v>
      </c>
      <c r="D1660" s="6" t="s">
        <v>2584</v>
      </c>
      <c r="E1660" t="s">
        <v>654</v>
      </c>
      <c r="F1660" t="s">
        <v>191</v>
      </c>
      <c r="G1660" t="e">
        <f>+VLOOKUP(F1660,[1]Explore!$B:$I,8,0)</f>
        <v>#N/A</v>
      </c>
      <c r="H1660" t="s">
        <v>192</v>
      </c>
      <c r="I1660" t="e">
        <f>+VLOOKUP(H1660,[1]Explore!$A:$I,9,0)</f>
        <v>#N/A</v>
      </c>
      <c r="J1660" t="str">
        <f t="shared" si="50"/>
        <v>BOTH #N/A</v>
      </c>
      <c r="K1660" t="str">
        <f t="shared" si="51"/>
        <v xml:space="preserve">Time </v>
      </c>
      <c r="L1660" t="s">
        <v>2138</v>
      </c>
      <c r="M1660" t="str">
        <f>_xlfn.IFNA(VLOOKUP(K1660,'Mapping DEF'!A:C,2,0),"")</f>
        <v>Time</v>
      </c>
      <c r="N1660" t="str">
        <f>+_xlfn.IFNA(VLOOKUP(M1660,'Mapping DEF'!B:C,2,FALSE),"")</f>
        <v>Other</v>
      </c>
      <c r="O1660" t="s">
        <v>2762</v>
      </c>
    </row>
    <row r="1661" spans="1:15" x14ac:dyDescent="0.25">
      <c r="A1661" s="4" t="s">
        <v>2582</v>
      </c>
      <c r="B1661" s="4" t="s">
        <v>2583</v>
      </c>
      <c r="C1661" s="5">
        <v>2430</v>
      </c>
      <c r="D1661" s="6" t="s">
        <v>2584</v>
      </c>
      <c r="E1661" t="s">
        <v>2009</v>
      </c>
      <c r="F1661" t="s">
        <v>1155</v>
      </c>
      <c r="G1661" t="e">
        <f>+VLOOKUP(F1661,[1]Explore!$B:$I,8,0)</f>
        <v>#N/A</v>
      </c>
      <c r="H1661" t="s">
        <v>2010</v>
      </c>
      <c r="I1661" t="e">
        <f>+VLOOKUP(H1661,[1]Explore!$A:$I,9,0)</f>
        <v>#N/A</v>
      </c>
      <c r="J1661" t="str">
        <f t="shared" si="50"/>
        <v>BOTH #N/A</v>
      </c>
      <c r="K1661" t="str">
        <f t="shared" si="51"/>
        <v>Consumer Discretionary</v>
      </c>
      <c r="L1661" t="s">
        <v>2659</v>
      </c>
      <c r="M1661" t="str">
        <f>_xlfn.IFNA(VLOOKUP(K1661,'Mapping DEF'!A:C,2,0),"")</f>
        <v>Industry Allocation</v>
      </c>
      <c r="N1661" t="str">
        <f>+_xlfn.IFNA(VLOOKUP(M1661,'Mapping DEF'!B:C,2,FALSE),"")</f>
        <v>Equity</v>
      </c>
      <c r="O1661" t="s">
        <v>2772</v>
      </c>
    </row>
    <row r="1662" spans="1:15" x14ac:dyDescent="0.25">
      <c r="A1662" s="4" t="s">
        <v>2582</v>
      </c>
      <c r="B1662" s="4" t="s">
        <v>2583</v>
      </c>
      <c r="C1662" s="5">
        <v>2430</v>
      </c>
      <c r="D1662" s="6" t="s">
        <v>2584</v>
      </c>
      <c r="E1662" t="s">
        <v>2011</v>
      </c>
      <c r="F1662" t="s">
        <v>2618</v>
      </c>
      <c r="G1662" t="str">
        <f>+VLOOKUP(F1662,[1]Explore!$B:$I,8,0)</f>
        <v>Equity Implied Volatility</v>
      </c>
      <c r="H1662" t="s">
        <v>243</v>
      </c>
      <c r="I1662" t="e">
        <f>+VLOOKUP(H1662,[1]Explore!$A:$I,9,0)</f>
        <v>#N/A</v>
      </c>
      <c r="J1662" t="str">
        <f t="shared" si="50"/>
        <v>OK</v>
      </c>
      <c r="K1662" t="str">
        <f t="shared" si="51"/>
        <v>Equity Implied Volatility</v>
      </c>
      <c r="L1662" t="s">
        <v>27</v>
      </c>
      <c r="M1662" t="str">
        <f>_xlfn.IFNA(VLOOKUP(K1662,'Mapping DEF'!A:C,2,0),"")</f>
        <v>Equity Derivatives</v>
      </c>
      <c r="N1662" t="str">
        <f>+_xlfn.IFNA(VLOOKUP(M1662,'Mapping DEF'!B:C,2,FALSE),"")</f>
        <v>Equity</v>
      </c>
      <c r="O1662" t="s">
        <v>2776</v>
      </c>
    </row>
    <row r="1663" spans="1:15" x14ac:dyDescent="0.25">
      <c r="A1663" s="4" t="s">
        <v>2585</v>
      </c>
      <c r="B1663" s="4" t="s">
        <v>2586</v>
      </c>
      <c r="C1663" s="5">
        <v>2450</v>
      </c>
      <c r="D1663" s="6" t="s">
        <v>2587</v>
      </c>
      <c r="E1663" t="s">
        <v>888</v>
      </c>
      <c r="F1663" t="s">
        <v>13</v>
      </c>
      <c r="G1663" t="str">
        <f>+VLOOKUP(F1663,[1]Explore!$B:$I,8,0)</f>
        <v>Govt USD</v>
      </c>
      <c r="H1663" t="s">
        <v>14</v>
      </c>
      <c r="I1663" t="str">
        <f>+VLOOKUP(H1663,[1]Explore!$A:$I,9,0)</f>
        <v>Govt USD</v>
      </c>
      <c r="J1663" t="str">
        <f t="shared" si="50"/>
        <v>OK</v>
      </c>
      <c r="K1663" t="str">
        <f t="shared" si="51"/>
        <v>Govt USD</v>
      </c>
      <c r="L1663" t="s">
        <v>2143</v>
      </c>
      <c r="M1663" t="str">
        <f>_xlfn.IFNA(VLOOKUP(K1663,'Mapping DEF'!A:C,2,0),"")</f>
        <v>Curve (Local)</v>
      </c>
      <c r="N1663" t="str">
        <f>+_xlfn.IFNA(VLOOKUP(M1663,'Mapping DEF'!B:C,2,FALSE),"")</f>
        <v>Term Structure</v>
      </c>
      <c r="O1663" t="s">
        <v>2778</v>
      </c>
    </row>
    <row r="1664" spans="1:15" x14ac:dyDescent="0.25">
      <c r="A1664" s="4" t="s">
        <v>2585</v>
      </c>
      <c r="B1664" s="4" t="s">
        <v>2586</v>
      </c>
      <c r="C1664" s="5">
        <v>2450</v>
      </c>
      <c r="D1664" s="6" t="s">
        <v>2587</v>
      </c>
      <c r="E1664" t="s">
        <v>1200</v>
      </c>
      <c r="F1664" t="s">
        <v>19</v>
      </c>
      <c r="G1664" t="str">
        <f>+VLOOKUP(F1664,[1]Explore!$B:$I,8,0)</f>
        <v>Govt USD</v>
      </c>
      <c r="H1664" t="s">
        <v>20</v>
      </c>
      <c r="I1664" t="str">
        <f>+VLOOKUP(H1664,[1]Explore!$A:$I,9,0)</f>
        <v>Govt USD</v>
      </c>
      <c r="J1664" t="str">
        <f t="shared" si="50"/>
        <v>OK</v>
      </c>
      <c r="K1664" t="str">
        <f t="shared" si="51"/>
        <v>Govt USD</v>
      </c>
      <c r="L1664" t="s">
        <v>2143</v>
      </c>
      <c r="M1664" t="str">
        <f>_xlfn.IFNA(VLOOKUP(K1664,'Mapping DEF'!A:C,2,0),"")</f>
        <v>Curve (Local)</v>
      </c>
      <c r="N1664" t="str">
        <f>+_xlfn.IFNA(VLOOKUP(M1664,'Mapping DEF'!B:C,2,FALSE),"")</f>
        <v>Term Structure</v>
      </c>
      <c r="O1664" t="s">
        <v>2788</v>
      </c>
    </row>
    <row r="1665" spans="1:15" x14ac:dyDescent="0.25">
      <c r="A1665" s="4" t="s">
        <v>2585</v>
      </c>
      <c r="B1665" s="4" t="s">
        <v>2586</v>
      </c>
      <c r="C1665" s="5">
        <v>2450</v>
      </c>
      <c r="D1665" s="6" t="s">
        <v>2587</v>
      </c>
      <c r="E1665" t="s">
        <v>2012</v>
      </c>
      <c r="F1665" t="s">
        <v>480</v>
      </c>
      <c r="G1665" t="str">
        <f>+VLOOKUP(F1665,[1]Explore!$B:$I,8,0)</f>
        <v>Alternative - Commodity</v>
      </c>
      <c r="H1665" t="s">
        <v>481</v>
      </c>
      <c r="I1665" t="str">
        <f>+VLOOKUP(H1665,[1]Explore!$A:$I,9,0)</f>
        <v>Alternative - Commodity</v>
      </c>
      <c r="J1665" t="str">
        <f t="shared" si="50"/>
        <v>OK</v>
      </c>
      <c r="K1665" t="str">
        <f t="shared" si="51"/>
        <v>Alternative - Commodity</v>
      </c>
      <c r="L1665" t="s">
        <v>2139</v>
      </c>
      <c r="M1665" t="str">
        <f>_xlfn.IFNA(VLOOKUP(K1665,'Mapping DEF'!A:C,2,0),"")</f>
        <v>Alternative</v>
      </c>
      <c r="N1665" t="str">
        <f>+_xlfn.IFNA(VLOOKUP(M1665,'Mapping DEF'!B:C,2,FALSE),"")</f>
        <v>Other</v>
      </c>
      <c r="O1665" t="s">
        <v>2801</v>
      </c>
    </row>
    <row r="1666" spans="1:15" x14ac:dyDescent="0.25">
      <c r="A1666" s="4" t="s">
        <v>2585</v>
      </c>
      <c r="B1666" s="4" t="s">
        <v>2586</v>
      </c>
      <c r="C1666" s="5">
        <v>2450</v>
      </c>
      <c r="D1666" s="6" t="s">
        <v>2587</v>
      </c>
      <c r="E1666" t="s">
        <v>2013</v>
      </c>
      <c r="F1666" t="s">
        <v>731</v>
      </c>
      <c r="G1666" t="str">
        <f>+VLOOKUP(F1666,[1]Explore!$B:$I,8,0)</f>
        <v>Alternative - Commodity</v>
      </c>
      <c r="H1666" t="s">
        <v>732</v>
      </c>
      <c r="I1666" t="str">
        <f>+VLOOKUP(H1666,[1]Explore!$A:$I,9,0)</f>
        <v>Alternative - Commodity</v>
      </c>
      <c r="J1666" t="str">
        <f t="shared" si="50"/>
        <v>OK</v>
      </c>
      <c r="K1666" t="str">
        <f t="shared" si="51"/>
        <v>Alternative - Commodity</v>
      </c>
      <c r="L1666" t="s">
        <v>2139</v>
      </c>
      <c r="M1666" t="str">
        <f>_xlfn.IFNA(VLOOKUP(K1666,'Mapping DEF'!A:C,2,0),"")</f>
        <v>Alternative</v>
      </c>
      <c r="N1666" t="str">
        <f>+_xlfn.IFNA(VLOOKUP(M1666,'Mapping DEF'!B:C,2,FALSE),"")</f>
        <v>Other</v>
      </c>
      <c r="O1666" t="s">
        <v>2770</v>
      </c>
    </row>
    <row r="1667" spans="1:15" x14ac:dyDescent="0.25">
      <c r="A1667" s="4" t="s">
        <v>2585</v>
      </c>
      <c r="B1667" s="4" t="s">
        <v>2586</v>
      </c>
      <c r="C1667" s="5">
        <v>2450</v>
      </c>
      <c r="D1667" s="6" t="s">
        <v>2587</v>
      </c>
      <c r="E1667" t="s">
        <v>1488</v>
      </c>
      <c r="F1667" t="s">
        <v>271</v>
      </c>
      <c r="G1667" t="str">
        <f>+VLOOKUP(F1667,[1]Explore!$B:$I,8,0)</f>
        <v>Corporate IG USD - Other</v>
      </c>
      <c r="H1667" t="s">
        <v>272</v>
      </c>
      <c r="I1667" t="str">
        <f>+VLOOKUP(H1667,[1]Explore!$A:$I,9,0)</f>
        <v>Corporate IG USD - Other</v>
      </c>
      <c r="J1667" t="str">
        <f t="shared" ref="J1667:J1730" si="52">IF(AND(ISNA(G1667),ISNA(I1667)),"BOTH #N/A","OK")</f>
        <v>OK</v>
      </c>
      <c r="K1667" t="str">
        <f t="shared" ref="K1667:K1730" si="53">IFERROR(I1667, IFERROR(G1667, L1667))</f>
        <v>Corporate IG USD - Other</v>
      </c>
      <c r="L1667" t="s">
        <v>2650</v>
      </c>
      <c r="M1667" t="str">
        <f>_xlfn.IFNA(VLOOKUP(K1667,'Mapping DEF'!A:C,2,0),"")</f>
        <v>Spread</v>
      </c>
      <c r="N1667" t="str">
        <f>+_xlfn.IFNA(VLOOKUP(M1667,'Mapping DEF'!B:C,2,FALSE),"")</f>
        <v>Spread</v>
      </c>
      <c r="O1667" t="s">
        <v>2779</v>
      </c>
    </row>
    <row r="1668" spans="1:15" x14ac:dyDescent="0.25">
      <c r="A1668" s="4" t="s">
        <v>2585</v>
      </c>
      <c r="B1668" s="4" t="s">
        <v>2586</v>
      </c>
      <c r="C1668" s="5">
        <v>2450</v>
      </c>
      <c r="D1668" s="6" t="s">
        <v>2587</v>
      </c>
      <c r="E1668" t="s">
        <v>2014</v>
      </c>
      <c r="F1668" t="s">
        <v>206</v>
      </c>
      <c r="G1668" t="e">
        <f>+VLOOKUP(F1668,[1]Explore!$B:$I,8,0)</f>
        <v>#N/A</v>
      </c>
      <c r="H1668" t="s">
        <v>206</v>
      </c>
      <c r="I1668" t="e">
        <f>+VLOOKUP(H1668,[1]Explore!$A:$I,9,0)</f>
        <v>#N/A</v>
      </c>
      <c r="J1668" t="str">
        <f t="shared" si="52"/>
        <v>BOTH #N/A</v>
      </c>
      <c r="K1668" t="str">
        <f t="shared" si="53"/>
        <v>Dollar Index</v>
      </c>
      <c r="L1668" t="s">
        <v>2930</v>
      </c>
      <c r="M1668" t="str">
        <f>_xlfn.IFNA(VLOOKUP(K1668,'Mapping DEF'!A:C,2,0),"")</f>
        <v>Index Level</v>
      </c>
      <c r="N1668" t="str">
        <f>+_xlfn.IFNA(VLOOKUP(M1668,'Mapping DEF'!B:C,2,FALSE),"")</f>
        <v>Other</v>
      </c>
      <c r="O1668" t="s">
        <v>2760</v>
      </c>
    </row>
    <row r="1669" spans="1:15" x14ac:dyDescent="0.25">
      <c r="A1669" s="4" t="s">
        <v>2585</v>
      </c>
      <c r="B1669" s="4" t="s">
        <v>2586</v>
      </c>
      <c r="C1669" s="5">
        <v>2450</v>
      </c>
      <c r="D1669" s="6" t="s">
        <v>2587</v>
      </c>
      <c r="E1669" t="s">
        <v>2015</v>
      </c>
      <c r="F1669" t="s">
        <v>392</v>
      </c>
      <c r="G1669" t="str">
        <f>+VLOOKUP(F1669,[1]Explore!$B:$I,8,0)</f>
        <v>Equity Implied Volatility</v>
      </c>
      <c r="H1669" t="s">
        <v>392</v>
      </c>
      <c r="I1669" t="str">
        <f>+VLOOKUP(H1669,[1]Explore!$A:$I,9,0)</f>
        <v>Equity Implied Volatility</v>
      </c>
      <c r="J1669" t="str">
        <f t="shared" si="52"/>
        <v>OK</v>
      </c>
      <c r="K1669" t="str">
        <f t="shared" si="53"/>
        <v>Equity Implied Volatility</v>
      </c>
      <c r="L1669" t="s">
        <v>27</v>
      </c>
      <c r="M1669" t="str">
        <f>_xlfn.IFNA(VLOOKUP(K1669,'Mapping DEF'!A:C,2,0),"")</f>
        <v>Equity Derivatives</v>
      </c>
      <c r="N1669" t="str">
        <f>+_xlfn.IFNA(VLOOKUP(M1669,'Mapping DEF'!B:C,2,FALSE),"")</f>
        <v>Equity</v>
      </c>
      <c r="O1669" t="s">
        <v>2757</v>
      </c>
    </row>
    <row r="1670" spans="1:15" x14ac:dyDescent="0.25">
      <c r="A1670" s="4" t="s">
        <v>2585</v>
      </c>
      <c r="B1670" s="4" t="s">
        <v>2586</v>
      </c>
      <c r="C1670" s="5">
        <v>2450</v>
      </c>
      <c r="D1670" s="6" t="s">
        <v>2587</v>
      </c>
      <c r="E1670" t="s">
        <v>338</v>
      </c>
      <c r="F1670" t="s">
        <v>191</v>
      </c>
      <c r="G1670" t="e">
        <f>+VLOOKUP(F1670,[1]Explore!$B:$I,8,0)</f>
        <v>#N/A</v>
      </c>
      <c r="H1670" t="s">
        <v>192</v>
      </c>
      <c r="I1670" t="e">
        <f>+VLOOKUP(H1670,[1]Explore!$A:$I,9,0)</f>
        <v>#N/A</v>
      </c>
      <c r="J1670" t="str">
        <f t="shared" si="52"/>
        <v>BOTH #N/A</v>
      </c>
      <c r="K1670" t="str">
        <f t="shared" si="53"/>
        <v xml:space="preserve">Time </v>
      </c>
      <c r="L1670" t="s">
        <v>2138</v>
      </c>
      <c r="M1670" t="str">
        <f>_xlfn.IFNA(VLOOKUP(K1670,'Mapping DEF'!A:C,2,0),"")</f>
        <v>Time</v>
      </c>
      <c r="N1670" t="str">
        <f>+_xlfn.IFNA(VLOOKUP(M1670,'Mapping DEF'!B:C,2,FALSE),"")</f>
        <v>Other</v>
      </c>
      <c r="O1670" t="s">
        <v>2817</v>
      </c>
    </row>
    <row r="1671" spans="1:15" x14ac:dyDescent="0.25">
      <c r="A1671" s="4" t="s">
        <v>2585</v>
      </c>
      <c r="B1671" s="4" t="s">
        <v>2586</v>
      </c>
      <c r="C1671" s="5">
        <v>2450</v>
      </c>
      <c r="D1671" s="6" t="s">
        <v>2587</v>
      </c>
      <c r="E1671" t="s">
        <v>2016</v>
      </c>
      <c r="F1671" t="s">
        <v>2017</v>
      </c>
      <c r="G1671" t="str">
        <f>+VLOOKUP(F1671,[1]Explore!$B:$I,8,0)</f>
        <v>Industrials</v>
      </c>
      <c r="H1671" t="s">
        <v>2018</v>
      </c>
      <c r="I1671" t="e">
        <f>+VLOOKUP(H1671,[1]Explore!$A:$I,9,0)</f>
        <v>#N/A</v>
      </c>
      <c r="J1671" t="str">
        <f t="shared" si="52"/>
        <v>OK</v>
      </c>
      <c r="K1671" t="str">
        <f t="shared" si="53"/>
        <v>Industrials</v>
      </c>
      <c r="L1671" t="s">
        <v>2141</v>
      </c>
      <c r="M1671" t="str">
        <f>_xlfn.IFNA(VLOOKUP(K1671,'Mapping DEF'!A:C,2,0),"")</f>
        <v>Industry Allocation</v>
      </c>
      <c r="N1671" t="str">
        <f>+_xlfn.IFNA(VLOOKUP(M1671,'Mapping DEF'!B:C,2,FALSE),"")</f>
        <v>Equity</v>
      </c>
      <c r="O1671" t="s">
        <v>2792</v>
      </c>
    </row>
    <row r="1672" spans="1:15" x14ac:dyDescent="0.25">
      <c r="A1672" s="4" t="s">
        <v>2585</v>
      </c>
      <c r="B1672" s="4" t="s">
        <v>2586</v>
      </c>
      <c r="C1672" s="5">
        <v>2450</v>
      </c>
      <c r="D1672" s="6" t="s">
        <v>2587</v>
      </c>
      <c r="E1672" t="s">
        <v>2019</v>
      </c>
      <c r="F1672" t="s">
        <v>2177</v>
      </c>
      <c r="G1672" t="str">
        <f>+VLOOKUP(F1672,[1]Explore!$B:$I,8,0)</f>
        <v>Consumer Discretionary</v>
      </c>
      <c r="H1672" t="s">
        <v>469</v>
      </c>
      <c r="I1672" t="e">
        <f>+VLOOKUP(H1672,[1]Explore!$A:$I,9,0)</f>
        <v>#N/A</v>
      </c>
      <c r="J1672" t="str">
        <f t="shared" si="52"/>
        <v>OK</v>
      </c>
      <c r="K1672" t="str">
        <f t="shared" si="53"/>
        <v>Consumer Discretionary</v>
      </c>
      <c r="L1672" t="s">
        <v>2141</v>
      </c>
      <c r="M1672" t="str">
        <f>_xlfn.IFNA(VLOOKUP(K1672,'Mapping DEF'!A:C,2,0),"")</f>
        <v>Industry Allocation</v>
      </c>
      <c r="N1672" t="str">
        <f>+_xlfn.IFNA(VLOOKUP(M1672,'Mapping DEF'!B:C,2,FALSE),"")</f>
        <v>Equity</v>
      </c>
      <c r="O1672" t="s">
        <v>2757</v>
      </c>
    </row>
    <row r="1673" spans="1:15" x14ac:dyDescent="0.25">
      <c r="A1673" s="4" t="s">
        <v>2585</v>
      </c>
      <c r="B1673" s="4" t="s">
        <v>2586</v>
      </c>
      <c r="C1673" s="5">
        <v>2450</v>
      </c>
      <c r="D1673" s="6" t="s">
        <v>2587</v>
      </c>
      <c r="E1673" t="s">
        <v>2020</v>
      </c>
      <c r="F1673" t="s">
        <v>2162</v>
      </c>
      <c r="G1673" t="str">
        <f>+VLOOKUP(F1673,[1]Explore!$B:$I,8,0)</f>
        <v>Information Technology</v>
      </c>
      <c r="H1673" t="s">
        <v>117</v>
      </c>
      <c r="I1673" t="e">
        <f>+VLOOKUP(H1673,[1]Explore!$A:$I,9,0)</f>
        <v>#N/A</v>
      </c>
      <c r="J1673" t="str">
        <f t="shared" si="52"/>
        <v>OK</v>
      </c>
      <c r="K1673" t="str">
        <f t="shared" si="53"/>
        <v>Information Technology</v>
      </c>
      <c r="L1673" t="s">
        <v>2141</v>
      </c>
      <c r="M1673" t="str">
        <f>_xlfn.IFNA(VLOOKUP(K1673,'Mapping DEF'!A:C,2,0),"")</f>
        <v>Industry Allocation</v>
      </c>
      <c r="N1673" t="str">
        <f>+_xlfn.IFNA(VLOOKUP(M1673,'Mapping DEF'!B:C,2,FALSE),"")</f>
        <v>Equity</v>
      </c>
      <c r="O1673" t="s">
        <v>2794</v>
      </c>
    </row>
    <row r="1674" spans="1:15" x14ac:dyDescent="0.25">
      <c r="A1674" s="4" t="s">
        <v>2585</v>
      </c>
      <c r="B1674" s="4" t="s">
        <v>2586</v>
      </c>
      <c r="C1674" s="5">
        <v>2450</v>
      </c>
      <c r="D1674" s="6" t="s">
        <v>2587</v>
      </c>
      <c r="E1674" t="s">
        <v>2021</v>
      </c>
      <c r="F1674" t="s">
        <v>217</v>
      </c>
      <c r="G1674" t="str">
        <f>+VLOOKUP(F1674,[1]Explore!$B:$I,8,0)</f>
        <v>Utilities</v>
      </c>
      <c r="H1674" t="s">
        <v>218</v>
      </c>
      <c r="I1674" t="e">
        <f>+VLOOKUP(H1674,[1]Explore!$A:$I,9,0)</f>
        <v>#N/A</v>
      </c>
      <c r="J1674" t="str">
        <f t="shared" si="52"/>
        <v>OK</v>
      </c>
      <c r="K1674" t="str">
        <f t="shared" si="53"/>
        <v>Utilities</v>
      </c>
      <c r="L1674" t="s">
        <v>2141</v>
      </c>
      <c r="M1674" t="str">
        <f>_xlfn.IFNA(VLOOKUP(K1674,'Mapping DEF'!A:C,2,0),"")</f>
        <v>Industry Allocation</v>
      </c>
      <c r="N1674" t="str">
        <f>+_xlfn.IFNA(VLOOKUP(M1674,'Mapping DEF'!B:C,2,FALSE),"")</f>
        <v>Equity</v>
      </c>
      <c r="O1674" t="s">
        <v>2801</v>
      </c>
    </row>
    <row r="1675" spans="1:15" x14ac:dyDescent="0.25">
      <c r="A1675" s="4" t="s">
        <v>2585</v>
      </c>
      <c r="B1675" s="4" t="s">
        <v>2586</v>
      </c>
      <c r="C1675" s="5">
        <v>2450</v>
      </c>
      <c r="D1675" s="6" t="s">
        <v>2587</v>
      </c>
      <c r="E1675" t="s">
        <v>2022</v>
      </c>
      <c r="F1675" t="s">
        <v>95</v>
      </c>
      <c r="G1675" t="str">
        <f>+VLOOKUP(F1675,[1]Explore!$B:$I,8,0)</f>
        <v>Industrials</v>
      </c>
      <c r="H1675" t="s">
        <v>1976</v>
      </c>
      <c r="I1675" t="e">
        <f>+VLOOKUP(H1675,[1]Explore!$A:$I,9,0)</f>
        <v>#N/A</v>
      </c>
      <c r="J1675" t="str">
        <f t="shared" si="52"/>
        <v>OK</v>
      </c>
      <c r="K1675" t="str">
        <f t="shared" si="53"/>
        <v>Industrials</v>
      </c>
      <c r="L1675" t="s">
        <v>2141</v>
      </c>
      <c r="M1675" t="str">
        <f>_xlfn.IFNA(VLOOKUP(K1675,'Mapping DEF'!A:C,2,0),"")</f>
        <v>Industry Allocation</v>
      </c>
      <c r="N1675" t="str">
        <f>+_xlfn.IFNA(VLOOKUP(M1675,'Mapping DEF'!B:C,2,FALSE),"")</f>
        <v>Equity</v>
      </c>
      <c r="O1675" t="s">
        <v>2801</v>
      </c>
    </row>
    <row r="1676" spans="1:15" x14ac:dyDescent="0.25">
      <c r="A1676" s="4" t="s">
        <v>2585</v>
      </c>
      <c r="B1676" s="4" t="s">
        <v>2586</v>
      </c>
      <c r="C1676" s="5">
        <v>2450</v>
      </c>
      <c r="D1676" s="6" t="s">
        <v>2587</v>
      </c>
      <c r="E1676" t="s">
        <v>2023</v>
      </c>
      <c r="F1676" t="s">
        <v>430</v>
      </c>
      <c r="G1676" t="str">
        <f>+VLOOKUP(F1676,[1]Explore!$B:$I,8,0)</f>
        <v>Other - Index</v>
      </c>
      <c r="H1676" t="s">
        <v>515</v>
      </c>
      <c r="I1676" t="e">
        <f>+VLOOKUP(H1676,[1]Explore!$A:$I,9,0)</f>
        <v>#N/A</v>
      </c>
      <c r="J1676" t="str">
        <f t="shared" si="52"/>
        <v>OK</v>
      </c>
      <c r="K1676" t="str">
        <f t="shared" si="53"/>
        <v>Other - Index</v>
      </c>
      <c r="L1676" t="s">
        <v>27</v>
      </c>
      <c r="M1676" t="str">
        <f>_xlfn.IFNA(VLOOKUP(K1676,'Mapping DEF'!A:C,2,0),"")</f>
        <v>Other</v>
      </c>
      <c r="N1676" t="str">
        <f>+_xlfn.IFNA(VLOOKUP(M1676,'Mapping DEF'!B:C,2,FALSE),"")</f>
        <v>Other</v>
      </c>
      <c r="O1676" t="s">
        <v>2760</v>
      </c>
    </row>
    <row r="1677" spans="1:15" x14ac:dyDescent="0.25">
      <c r="A1677" s="4" t="s">
        <v>2585</v>
      </c>
      <c r="B1677" s="4" t="s">
        <v>2586</v>
      </c>
      <c r="C1677" s="5">
        <v>2450</v>
      </c>
      <c r="D1677" s="6" t="s">
        <v>2587</v>
      </c>
      <c r="E1677" t="s">
        <v>2024</v>
      </c>
      <c r="F1677" t="s">
        <v>2182</v>
      </c>
      <c r="G1677" t="str">
        <f>+VLOOKUP(F1677,[1]Explore!$B:$I,8,0)</f>
        <v>Corporate IG USD - Industry</v>
      </c>
      <c r="H1677" t="s">
        <v>620</v>
      </c>
      <c r="I1677" t="e">
        <f>+VLOOKUP(H1677,[1]Explore!$A:$I,9,0)</f>
        <v>#N/A</v>
      </c>
      <c r="J1677" t="str">
        <f t="shared" si="52"/>
        <v>OK</v>
      </c>
      <c r="K1677" t="str">
        <f t="shared" si="53"/>
        <v>Corporate IG USD - Industry</v>
      </c>
      <c r="L1677" t="s">
        <v>188</v>
      </c>
      <c r="M1677" t="str">
        <f>_xlfn.IFNA(VLOOKUP(K1677,'Mapping DEF'!A:C,2,0),"")</f>
        <v>Spread</v>
      </c>
      <c r="N1677" t="str">
        <f>+_xlfn.IFNA(VLOOKUP(M1677,'Mapping DEF'!B:C,2,FALSE),"")</f>
        <v>Spread</v>
      </c>
      <c r="O1677" t="s">
        <v>2786</v>
      </c>
    </row>
    <row r="1678" spans="1:15" x14ac:dyDescent="0.25">
      <c r="A1678" s="4" t="s">
        <v>2585</v>
      </c>
      <c r="B1678" s="4" t="s">
        <v>2586</v>
      </c>
      <c r="C1678" s="5">
        <v>2450</v>
      </c>
      <c r="D1678" s="6" t="s">
        <v>2587</v>
      </c>
      <c r="E1678" t="s">
        <v>2025</v>
      </c>
      <c r="F1678" t="s">
        <v>656</v>
      </c>
      <c r="G1678" t="str">
        <f>+VLOOKUP(F1678,[1]Explore!$B:$I,8,0)</f>
        <v>Industrials</v>
      </c>
      <c r="I1678" t="e">
        <f>+VLOOKUP(H1678,[1]Explore!$A:$I,9,0)</f>
        <v>#N/A</v>
      </c>
      <c r="J1678" t="str">
        <f t="shared" si="52"/>
        <v>OK</v>
      </c>
      <c r="K1678" t="str">
        <f t="shared" si="53"/>
        <v>Industrials</v>
      </c>
      <c r="L1678" t="s">
        <v>188</v>
      </c>
      <c r="M1678" t="str">
        <f>_xlfn.IFNA(VLOOKUP(K1678,'Mapping DEF'!A:C,2,0),"")</f>
        <v>Industry Allocation</v>
      </c>
      <c r="N1678" t="str">
        <f>+_xlfn.IFNA(VLOOKUP(M1678,'Mapping DEF'!B:C,2,FALSE),"")</f>
        <v>Equity</v>
      </c>
      <c r="O1678" t="s">
        <v>2901</v>
      </c>
    </row>
    <row r="1679" spans="1:15" x14ac:dyDescent="0.25">
      <c r="A1679" s="4" t="s">
        <v>2588</v>
      </c>
      <c r="B1679" s="4" t="s">
        <v>2589</v>
      </c>
      <c r="C1679" s="5">
        <v>2451</v>
      </c>
      <c r="D1679" s="6" t="s">
        <v>2590</v>
      </c>
      <c r="E1679" t="s">
        <v>906</v>
      </c>
      <c r="F1679" t="s">
        <v>13</v>
      </c>
      <c r="G1679" t="str">
        <f>+VLOOKUP(F1679,[1]Explore!$B:$I,8,0)</f>
        <v>Govt USD</v>
      </c>
      <c r="H1679" t="s">
        <v>14</v>
      </c>
      <c r="I1679" t="str">
        <f>+VLOOKUP(H1679,[1]Explore!$A:$I,9,0)</f>
        <v>Govt USD</v>
      </c>
      <c r="J1679" t="str">
        <f t="shared" si="52"/>
        <v>OK</v>
      </c>
      <c r="K1679" t="str">
        <f t="shared" si="53"/>
        <v>Govt USD</v>
      </c>
      <c r="L1679" t="s">
        <v>2143</v>
      </c>
      <c r="M1679" t="str">
        <f>_xlfn.IFNA(VLOOKUP(K1679,'Mapping DEF'!A:C,2,0),"")</f>
        <v>Curve (Local)</v>
      </c>
      <c r="N1679" t="str">
        <f>+_xlfn.IFNA(VLOOKUP(M1679,'Mapping DEF'!B:C,2,FALSE),"")</f>
        <v>Term Structure</v>
      </c>
      <c r="O1679" t="s">
        <v>2790</v>
      </c>
    </row>
    <row r="1680" spans="1:15" x14ac:dyDescent="0.25">
      <c r="A1680" s="4" t="s">
        <v>2588</v>
      </c>
      <c r="B1680" s="4" t="s">
        <v>2589</v>
      </c>
      <c r="C1680" s="5">
        <v>2451</v>
      </c>
      <c r="D1680" s="6" t="s">
        <v>2590</v>
      </c>
      <c r="E1680" t="s">
        <v>1339</v>
      </c>
      <c r="F1680" t="s">
        <v>19</v>
      </c>
      <c r="G1680" t="str">
        <f>+VLOOKUP(F1680,[1]Explore!$B:$I,8,0)</f>
        <v>Govt USD</v>
      </c>
      <c r="H1680" t="s">
        <v>20</v>
      </c>
      <c r="I1680" t="str">
        <f>+VLOOKUP(H1680,[1]Explore!$A:$I,9,0)</f>
        <v>Govt USD</v>
      </c>
      <c r="J1680" t="str">
        <f t="shared" si="52"/>
        <v>OK</v>
      </c>
      <c r="K1680" t="str">
        <f t="shared" si="53"/>
        <v>Govt USD</v>
      </c>
      <c r="L1680" t="s">
        <v>2143</v>
      </c>
      <c r="M1680" t="str">
        <f>_xlfn.IFNA(VLOOKUP(K1680,'Mapping DEF'!A:C,2,0),"")</f>
        <v>Curve (Local)</v>
      </c>
      <c r="N1680" t="str">
        <f>+_xlfn.IFNA(VLOOKUP(M1680,'Mapping DEF'!B:C,2,FALSE),"")</f>
        <v>Term Structure</v>
      </c>
      <c r="O1680" t="s">
        <v>2791</v>
      </c>
    </row>
    <row r="1681" spans="1:15" x14ac:dyDescent="0.25">
      <c r="A1681" s="4" t="s">
        <v>2588</v>
      </c>
      <c r="B1681" s="4" t="s">
        <v>2589</v>
      </c>
      <c r="C1681" s="5">
        <v>2451</v>
      </c>
      <c r="D1681" s="6" t="s">
        <v>2590</v>
      </c>
      <c r="E1681" t="s">
        <v>2013</v>
      </c>
      <c r="F1681" t="s">
        <v>731</v>
      </c>
      <c r="G1681" t="str">
        <f>+VLOOKUP(F1681,[1]Explore!$B:$I,8,0)</f>
        <v>Alternative - Commodity</v>
      </c>
      <c r="H1681" t="s">
        <v>732</v>
      </c>
      <c r="I1681" t="str">
        <f>+VLOOKUP(H1681,[1]Explore!$A:$I,9,0)</f>
        <v>Alternative - Commodity</v>
      </c>
      <c r="J1681" t="str">
        <f t="shared" si="52"/>
        <v>OK</v>
      </c>
      <c r="K1681" t="str">
        <f t="shared" si="53"/>
        <v>Alternative - Commodity</v>
      </c>
      <c r="L1681" t="s">
        <v>2139</v>
      </c>
      <c r="M1681" t="str">
        <f>_xlfn.IFNA(VLOOKUP(K1681,'Mapping DEF'!A:C,2,0),"")</f>
        <v>Alternative</v>
      </c>
      <c r="N1681" t="str">
        <f>+_xlfn.IFNA(VLOOKUP(M1681,'Mapping DEF'!B:C,2,FALSE),"")</f>
        <v>Other</v>
      </c>
      <c r="O1681" t="s">
        <v>2770</v>
      </c>
    </row>
    <row r="1682" spans="1:15" x14ac:dyDescent="0.25">
      <c r="A1682" s="4" t="s">
        <v>2588</v>
      </c>
      <c r="B1682" s="4" t="s">
        <v>2589</v>
      </c>
      <c r="C1682" s="5">
        <v>2451</v>
      </c>
      <c r="D1682" s="6" t="s">
        <v>2590</v>
      </c>
      <c r="E1682" t="s">
        <v>2029</v>
      </c>
      <c r="F1682" t="s">
        <v>271</v>
      </c>
      <c r="G1682" t="str">
        <f>+VLOOKUP(F1682,[1]Explore!$B:$I,8,0)</f>
        <v>Corporate IG USD - Other</v>
      </c>
      <c r="H1682" t="s">
        <v>272</v>
      </c>
      <c r="I1682" t="str">
        <f>+VLOOKUP(H1682,[1]Explore!$A:$I,9,0)</f>
        <v>Corporate IG USD - Other</v>
      </c>
      <c r="J1682" t="str">
        <f t="shared" si="52"/>
        <v>OK</v>
      </c>
      <c r="K1682" t="str">
        <f t="shared" si="53"/>
        <v>Corporate IG USD - Other</v>
      </c>
      <c r="L1682" t="s">
        <v>2650</v>
      </c>
      <c r="M1682" t="str">
        <f>_xlfn.IFNA(VLOOKUP(K1682,'Mapping DEF'!A:C,2,0),"")</f>
        <v>Spread</v>
      </c>
      <c r="N1682" t="str">
        <f>+_xlfn.IFNA(VLOOKUP(M1682,'Mapping DEF'!B:C,2,FALSE),"")</f>
        <v>Spread</v>
      </c>
      <c r="O1682" t="s">
        <v>2902</v>
      </c>
    </row>
    <row r="1683" spans="1:15" x14ac:dyDescent="0.25">
      <c r="A1683" s="4" t="s">
        <v>2588</v>
      </c>
      <c r="B1683" s="4" t="s">
        <v>2589</v>
      </c>
      <c r="C1683" s="5">
        <v>2451</v>
      </c>
      <c r="D1683" s="6" t="s">
        <v>2590</v>
      </c>
      <c r="E1683" t="s">
        <v>2030</v>
      </c>
      <c r="F1683" t="s">
        <v>392</v>
      </c>
      <c r="G1683" t="str">
        <f>+VLOOKUP(F1683,[1]Explore!$B:$I,8,0)</f>
        <v>Equity Implied Volatility</v>
      </c>
      <c r="H1683" t="s">
        <v>392</v>
      </c>
      <c r="I1683" t="str">
        <f>+VLOOKUP(H1683,[1]Explore!$A:$I,9,0)</f>
        <v>Equity Implied Volatility</v>
      </c>
      <c r="J1683" t="str">
        <f t="shared" si="52"/>
        <v>OK</v>
      </c>
      <c r="K1683" t="str">
        <f t="shared" si="53"/>
        <v>Equity Implied Volatility</v>
      </c>
      <c r="L1683" t="s">
        <v>27</v>
      </c>
      <c r="M1683" t="str">
        <f>_xlfn.IFNA(VLOOKUP(K1683,'Mapping DEF'!A:C,2,0),"")</f>
        <v>Equity Derivatives</v>
      </c>
      <c r="N1683" t="str">
        <f>+_xlfn.IFNA(VLOOKUP(M1683,'Mapping DEF'!B:C,2,FALSE),"")</f>
        <v>Equity</v>
      </c>
      <c r="O1683" t="s">
        <v>2776</v>
      </c>
    </row>
    <row r="1684" spans="1:15" x14ac:dyDescent="0.25">
      <c r="A1684" s="4" t="s">
        <v>2588</v>
      </c>
      <c r="B1684" s="4" t="s">
        <v>2589</v>
      </c>
      <c r="C1684" s="5">
        <v>2451</v>
      </c>
      <c r="D1684" s="6" t="s">
        <v>2590</v>
      </c>
      <c r="E1684" t="s">
        <v>338</v>
      </c>
      <c r="F1684" t="s">
        <v>191</v>
      </c>
      <c r="G1684" t="e">
        <f>+VLOOKUP(F1684,[1]Explore!$B:$I,8,0)</f>
        <v>#N/A</v>
      </c>
      <c r="H1684" t="s">
        <v>192</v>
      </c>
      <c r="I1684" t="e">
        <f>+VLOOKUP(H1684,[1]Explore!$A:$I,9,0)</f>
        <v>#N/A</v>
      </c>
      <c r="J1684" t="str">
        <f t="shared" si="52"/>
        <v>BOTH #N/A</v>
      </c>
      <c r="K1684" t="str">
        <f t="shared" si="53"/>
        <v xml:space="preserve">Time </v>
      </c>
      <c r="L1684" t="s">
        <v>2138</v>
      </c>
      <c r="M1684" t="str">
        <f>_xlfn.IFNA(VLOOKUP(K1684,'Mapping DEF'!A:C,2,0),"")</f>
        <v>Time</v>
      </c>
      <c r="N1684" t="str">
        <f>+_xlfn.IFNA(VLOOKUP(M1684,'Mapping DEF'!B:C,2,FALSE),"")</f>
        <v>Other</v>
      </c>
      <c r="O1684" t="s">
        <v>2817</v>
      </c>
    </row>
    <row r="1685" spans="1:15" x14ac:dyDescent="0.25">
      <c r="A1685" s="4" t="s">
        <v>2588</v>
      </c>
      <c r="B1685" s="4" t="s">
        <v>2589</v>
      </c>
      <c r="C1685" s="5">
        <v>2451</v>
      </c>
      <c r="D1685" s="6" t="s">
        <v>2590</v>
      </c>
      <c r="E1685" t="s">
        <v>2031</v>
      </c>
      <c r="F1685" t="s">
        <v>2017</v>
      </c>
      <c r="G1685" t="str">
        <f>+VLOOKUP(F1685,[1]Explore!$B:$I,8,0)</f>
        <v>Industrials</v>
      </c>
      <c r="H1685" t="s">
        <v>2018</v>
      </c>
      <c r="I1685" t="e">
        <f>+VLOOKUP(H1685,[1]Explore!$A:$I,9,0)</f>
        <v>#N/A</v>
      </c>
      <c r="J1685" t="str">
        <f t="shared" si="52"/>
        <v>OK</v>
      </c>
      <c r="K1685" t="str">
        <f t="shared" si="53"/>
        <v>Industrials</v>
      </c>
      <c r="L1685" t="s">
        <v>2141</v>
      </c>
      <c r="M1685" t="str">
        <f>_xlfn.IFNA(VLOOKUP(K1685,'Mapping DEF'!A:C,2,0),"")</f>
        <v>Industry Allocation</v>
      </c>
      <c r="N1685" t="str">
        <f>+_xlfn.IFNA(VLOOKUP(M1685,'Mapping DEF'!B:C,2,FALSE),"")</f>
        <v>Equity</v>
      </c>
      <c r="O1685" t="s">
        <v>2807</v>
      </c>
    </row>
    <row r="1686" spans="1:15" x14ac:dyDescent="0.25">
      <c r="A1686" s="4" t="s">
        <v>2588</v>
      </c>
      <c r="B1686" s="4" t="s">
        <v>2589</v>
      </c>
      <c r="C1686" s="5">
        <v>2451</v>
      </c>
      <c r="D1686" s="6" t="s">
        <v>2590</v>
      </c>
      <c r="E1686" t="s">
        <v>2032</v>
      </c>
      <c r="F1686" t="s">
        <v>217</v>
      </c>
      <c r="G1686" t="str">
        <f>+VLOOKUP(F1686,[1]Explore!$B:$I,8,0)</f>
        <v>Utilities</v>
      </c>
      <c r="H1686" t="s">
        <v>218</v>
      </c>
      <c r="I1686" t="e">
        <f>+VLOOKUP(H1686,[1]Explore!$A:$I,9,0)</f>
        <v>#N/A</v>
      </c>
      <c r="J1686" t="str">
        <f t="shared" si="52"/>
        <v>OK</v>
      </c>
      <c r="K1686" t="str">
        <f t="shared" si="53"/>
        <v>Utilities</v>
      </c>
      <c r="L1686" t="s">
        <v>2141</v>
      </c>
      <c r="M1686" t="str">
        <f>_xlfn.IFNA(VLOOKUP(K1686,'Mapping DEF'!A:C,2,0),"")</f>
        <v>Industry Allocation</v>
      </c>
      <c r="N1686" t="str">
        <f>+_xlfn.IFNA(VLOOKUP(M1686,'Mapping DEF'!B:C,2,FALSE),"")</f>
        <v>Equity</v>
      </c>
      <c r="O1686" t="s">
        <v>2770</v>
      </c>
    </row>
    <row r="1687" spans="1:15" x14ac:dyDescent="0.25">
      <c r="A1687" s="4" t="s">
        <v>2588</v>
      </c>
      <c r="B1687" s="4" t="s">
        <v>2589</v>
      </c>
      <c r="C1687" s="5">
        <v>2451</v>
      </c>
      <c r="D1687" s="6" t="s">
        <v>2590</v>
      </c>
      <c r="E1687" t="s">
        <v>2033</v>
      </c>
      <c r="F1687" t="s">
        <v>430</v>
      </c>
      <c r="G1687" t="str">
        <f>+VLOOKUP(F1687,[1]Explore!$B:$I,8,0)</f>
        <v>Other - Index</v>
      </c>
      <c r="H1687" t="s">
        <v>515</v>
      </c>
      <c r="I1687" t="e">
        <f>+VLOOKUP(H1687,[1]Explore!$A:$I,9,0)</f>
        <v>#N/A</v>
      </c>
      <c r="J1687" t="str">
        <f t="shared" si="52"/>
        <v>OK</v>
      </c>
      <c r="K1687" t="str">
        <f t="shared" si="53"/>
        <v>Other - Index</v>
      </c>
      <c r="L1687" t="s">
        <v>27</v>
      </c>
      <c r="M1687" t="str">
        <f>_xlfn.IFNA(VLOOKUP(K1687,'Mapping DEF'!A:C,2,0),"")</f>
        <v>Other</v>
      </c>
      <c r="N1687" t="str">
        <f>+_xlfn.IFNA(VLOOKUP(M1687,'Mapping DEF'!B:C,2,FALSE),"")</f>
        <v>Other</v>
      </c>
      <c r="O1687" t="s">
        <v>2771</v>
      </c>
    </row>
    <row r="1688" spans="1:15" x14ac:dyDescent="0.25">
      <c r="A1688" s="4" t="s">
        <v>2588</v>
      </c>
      <c r="B1688" s="4" t="s">
        <v>2589</v>
      </c>
      <c r="C1688" s="5">
        <v>2451</v>
      </c>
      <c r="D1688" s="6" t="s">
        <v>2590</v>
      </c>
      <c r="E1688" t="s">
        <v>2034</v>
      </c>
      <c r="F1688" t="s">
        <v>2182</v>
      </c>
      <c r="G1688" t="str">
        <f>+VLOOKUP(F1688,[1]Explore!$B:$I,8,0)</f>
        <v>Corporate IG USD - Industry</v>
      </c>
      <c r="H1688" t="s">
        <v>620</v>
      </c>
      <c r="I1688" t="e">
        <f>+VLOOKUP(H1688,[1]Explore!$A:$I,9,0)</f>
        <v>#N/A</v>
      </c>
      <c r="J1688" t="str">
        <f t="shared" si="52"/>
        <v>OK</v>
      </c>
      <c r="K1688" t="str">
        <f t="shared" si="53"/>
        <v>Corporate IG USD - Industry</v>
      </c>
      <c r="L1688" t="s">
        <v>188</v>
      </c>
      <c r="M1688" t="str">
        <f>_xlfn.IFNA(VLOOKUP(K1688,'Mapping DEF'!A:C,2,0),"")</f>
        <v>Spread</v>
      </c>
      <c r="N1688" t="str">
        <f>+_xlfn.IFNA(VLOOKUP(M1688,'Mapping DEF'!B:C,2,FALSE),"")</f>
        <v>Spread</v>
      </c>
      <c r="O1688" t="s">
        <v>2769</v>
      </c>
    </row>
    <row r="1689" spans="1:15" x14ac:dyDescent="0.25">
      <c r="A1689" s="4" t="s">
        <v>2591</v>
      </c>
      <c r="B1689" s="4" t="s">
        <v>2592</v>
      </c>
      <c r="C1689" s="5">
        <v>2452</v>
      </c>
      <c r="D1689" s="6" t="s">
        <v>2593</v>
      </c>
      <c r="E1689" t="s">
        <v>2035</v>
      </c>
      <c r="F1689" t="s">
        <v>13</v>
      </c>
      <c r="G1689" t="str">
        <f>+VLOOKUP(F1689,[1]Explore!$B:$I,8,0)</f>
        <v>Govt USD</v>
      </c>
      <c r="H1689" t="s">
        <v>14</v>
      </c>
      <c r="I1689" t="str">
        <f>+VLOOKUP(H1689,[1]Explore!$A:$I,9,0)</f>
        <v>Govt USD</v>
      </c>
      <c r="J1689" t="str">
        <f t="shared" si="52"/>
        <v>OK</v>
      </c>
      <c r="K1689" t="str">
        <f t="shared" si="53"/>
        <v>Govt USD</v>
      </c>
      <c r="L1689" t="s">
        <v>2143</v>
      </c>
      <c r="M1689" t="str">
        <f>_xlfn.IFNA(VLOOKUP(K1689,'Mapping DEF'!A:C,2,0),"")</f>
        <v>Curve (Local)</v>
      </c>
      <c r="N1689" t="str">
        <f>+_xlfn.IFNA(VLOOKUP(M1689,'Mapping DEF'!B:C,2,FALSE),"")</f>
        <v>Term Structure</v>
      </c>
      <c r="O1689" t="s">
        <v>2902</v>
      </c>
    </row>
    <row r="1690" spans="1:15" x14ac:dyDescent="0.25">
      <c r="A1690" s="4" t="s">
        <v>2591</v>
      </c>
      <c r="B1690" s="4" t="s">
        <v>2592</v>
      </c>
      <c r="C1690" s="5">
        <v>2452</v>
      </c>
      <c r="D1690" s="6" t="s">
        <v>2593</v>
      </c>
      <c r="E1690" t="s">
        <v>1139</v>
      </c>
      <c r="F1690" t="s">
        <v>19</v>
      </c>
      <c r="G1690" t="str">
        <f>+VLOOKUP(F1690,[1]Explore!$B:$I,8,0)</f>
        <v>Govt USD</v>
      </c>
      <c r="H1690" t="s">
        <v>20</v>
      </c>
      <c r="I1690" t="str">
        <f>+VLOOKUP(H1690,[1]Explore!$A:$I,9,0)</f>
        <v>Govt USD</v>
      </c>
      <c r="J1690" t="str">
        <f t="shared" si="52"/>
        <v>OK</v>
      </c>
      <c r="K1690" t="str">
        <f t="shared" si="53"/>
        <v>Govt USD</v>
      </c>
      <c r="L1690" t="s">
        <v>2143</v>
      </c>
      <c r="M1690" t="str">
        <f>_xlfn.IFNA(VLOOKUP(K1690,'Mapping DEF'!A:C,2,0),"")</f>
        <v>Curve (Local)</v>
      </c>
      <c r="N1690" t="str">
        <f>+_xlfn.IFNA(VLOOKUP(M1690,'Mapping DEF'!B:C,2,FALSE),"")</f>
        <v>Term Structure</v>
      </c>
      <c r="O1690" t="s">
        <v>2781</v>
      </c>
    </row>
    <row r="1691" spans="1:15" x14ac:dyDescent="0.25">
      <c r="A1691" s="4" t="s">
        <v>2591</v>
      </c>
      <c r="B1691" s="4" t="s">
        <v>2592</v>
      </c>
      <c r="C1691" s="5">
        <v>2452</v>
      </c>
      <c r="D1691" s="6" t="s">
        <v>2593</v>
      </c>
      <c r="E1691" t="s">
        <v>2036</v>
      </c>
      <c r="F1691" t="s">
        <v>480</v>
      </c>
      <c r="G1691" t="str">
        <f>+VLOOKUP(F1691,[1]Explore!$B:$I,8,0)</f>
        <v>Alternative - Commodity</v>
      </c>
      <c r="H1691" t="s">
        <v>481</v>
      </c>
      <c r="I1691" t="str">
        <f>+VLOOKUP(H1691,[1]Explore!$A:$I,9,0)</f>
        <v>Alternative - Commodity</v>
      </c>
      <c r="J1691" t="str">
        <f t="shared" si="52"/>
        <v>OK</v>
      </c>
      <c r="K1691" t="str">
        <f t="shared" si="53"/>
        <v>Alternative - Commodity</v>
      </c>
      <c r="L1691" t="s">
        <v>2139</v>
      </c>
      <c r="M1691" t="str">
        <f>_xlfn.IFNA(VLOOKUP(K1691,'Mapping DEF'!A:C,2,0),"")</f>
        <v>Alternative</v>
      </c>
      <c r="N1691" t="str">
        <f>+_xlfn.IFNA(VLOOKUP(M1691,'Mapping DEF'!B:C,2,FALSE),"")</f>
        <v>Other</v>
      </c>
      <c r="O1691" t="s">
        <v>2771</v>
      </c>
    </row>
    <row r="1692" spans="1:15" x14ac:dyDescent="0.25">
      <c r="A1692" s="4" t="s">
        <v>2591</v>
      </c>
      <c r="B1692" s="4" t="s">
        <v>2592</v>
      </c>
      <c r="C1692" s="5">
        <v>2452</v>
      </c>
      <c r="D1692" s="6" t="s">
        <v>2593</v>
      </c>
      <c r="E1692" t="s">
        <v>2037</v>
      </c>
      <c r="F1692" t="s">
        <v>731</v>
      </c>
      <c r="G1692" t="str">
        <f>+VLOOKUP(F1692,[1]Explore!$B:$I,8,0)</f>
        <v>Alternative - Commodity</v>
      </c>
      <c r="H1692" t="s">
        <v>732</v>
      </c>
      <c r="I1692" t="str">
        <f>+VLOOKUP(H1692,[1]Explore!$A:$I,9,0)</f>
        <v>Alternative - Commodity</v>
      </c>
      <c r="J1692" t="str">
        <f t="shared" si="52"/>
        <v>OK</v>
      </c>
      <c r="K1692" t="str">
        <f t="shared" si="53"/>
        <v>Alternative - Commodity</v>
      </c>
      <c r="L1692" t="s">
        <v>2139</v>
      </c>
      <c r="M1692" t="str">
        <f>_xlfn.IFNA(VLOOKUP(K1692,'Mapping DEF'!A:C,2,0),"")</f>
        <v>Alternative</v>
      </c>
      <c r="N1692" t="str">
        <f>+_xlfn.IFNA(VLOOKUP(M1692,'Mapping DEF'!B:C,2,FALSE),"")</f>
        <v>Other</v>
      </c>
      <c r="O1692" t="s">
        <v>2757</v>
      </c>
    </row>
    <row r="1693" spans="1:15" x14ac:dyDescent="0.25">
      <c r="A1693" s="4" t="s">
        <v>2591</v>
      </c>
      <c r="B1693" s="4" t="s">
        <v>2592</v>
      </c>
      <c r="C1693" s="5">
        <v>2452</v>
      </c>
      <c r="D1693" s="6" t="s">
        <v>2593</v>
      </c>
      <c r="E1693" t="s">
        <v>2038</v>
      </c>
      <c r="F1693" t="s">
        <v>268</v>
      </c>
      <c r="G1693" t="str">
        <f>+VLOOKUP(F1693,[1]Explore!$B:$I,8,0)</f>
        <v>Alternative - Commodity</v>
      </c>
      <c r="H1693" t="s">
        <v>269</v>
      </c>
      <c r="I1693" t="str">
        <f>+VLOOKUP(H1693,[1]Explore!$A:$I,9,0)</f>
        <v>Alternative - Commodity</v>
      </c>
      <c r="J1693" t="str">
        <f t="shared" si="52"/>
        <v>OK</v>
      </c>
      <c r="K1693" t="str">
        <f t="shared" si="53"/>
        <v>Alternative - Commodity</v>
      </c>
      <c r="L1693" t="s">
        <v>2139</v>
      </c>
      <c r="M1693" t="str">
        <f>_xlfn.IFNA(VLOOKUP(K1693,'Mapping DEF'!A:C,2,0),"")</f>
        <v>Alternative</v>
      </c>
      <c r="N1693" t="str">
        <f>+_xlfn.IFNA(VLOOKUP(M1693,'Mapping DEF'!B:C,2,FALSE),"")</f>
        <v>Other</v>
      </c>
      <c r="O1693" t="s">
        <v>2775</v>
      </c>
    </row>
    <row r="1694" spans="1:15" x14ac:dyDescent="0.25">
      <c r="A1694" s="4" t="s">
        <v>2591</v>
      </c>
      <c r="B1694" s="4" t="s">
        <v>2592</v>
      </c>
      <c r="C1694" s="5">
        <v>2452</v>
      </c>
      <c r="D1694" s="6" t="s">
        <v>2593</v>
      </c>
      <c r="E1694" t="s">
        <v>2039</v>
      </c>
      <c r="F1694" t="s">
        <v>206</v>
      </c>
      <c r="G1694" t="e">
        <f>+VLOOKUP(F1694,[1]Explore!$B:$I,8,0)</f>
        <v>#N/A</v>
      </c>
      <c r="H1694" t="s">
        <v>206</v>
      </c>
      <c r="I1694" t="e">
        <f>+VLOOKUP(H1694,[1]Explore!$A:$I,9,0)</f>
        <v>#N/A</v>
      </c>
      <c r="J1694" t="str">
        <f t="shared" si="52"/>
        <v>BOTH #N/A</v>
      </c>
      <c r="K1694" t="str">
        <f t="shared" si="53"/>
        <v>Dollar Index</v>
      </c>
      <c r="L1694" t="s">
        <v>2930</v>
      </c>
      <c r="M1694" t="str">
        <f>_xlfn.IFNA(VLOOKUP(K1694,'Mapping DEF'!A:C,2,0),"")</f>
        <v>Index Level</v>
      </c>
      <c r="N1694" t="str">
        <f>+_xlfn.IFNA(VLOOKUP(M1694,'Mapping DEF'!B:C,2,FALSE),"")</f>
        <v>Other</v>
      </c>
      <c r="O1694" t="s">
        <v>2903</v>
      </c>
    </row>
    <row r="1695" spans="1:15" x14ac:dyDescent="0.25">
      <c r="A1695" s="4" t="s">
        <v>2591</v>
      </c>
      <c r="B1695" s="4" t="s">
        <v>2592</v>
      </c>
      <c r="C1695" s="5">
        <v>2452</v>
      </c>
      <c r="D1695" s="6" t="s">
        <v>2593</v>
      </c>
      <c r="E1695" t="s">
        <v>1557</v>
      </c>
      <c r="F1695" t="s">
        <v>392</v>
      </c>
      <c r="G1695" t="str">
        <f>+VLOOKUP(F1695,[1]Explore!$B:$I,8,0)</f>
        <v>Equity Implied Volatility</v>
      </c>
      <c r="H1695" t="s">
        <v>392</v>
      </c>
      <c r="I1695" t="str">
        <f>+VLOOKUP(H1695,[1]Explore!$A:$I,9,0)</f>
        <v>Equity Implied Volatility</v>
      </c>
      <c r="J1695" t="str">
        <f t="shared" si="52"/>
        <v>OK</v>
      </c>
      <c r="K1695" t="str">
        <f t="shared" si="53"/>
        <v>Equity Implied Volatility</v>
      </c>
      <c r="L1695" t="s">
        <v>27</v>
      </c>
      <c r="M1695" t="str">
        <f>_xlfn.IFNA(VLOOKUP(K1695,'Mapping DEF'!A:C,2,0),"")</f>
        <v>Equity Derivatives</v>
      </c>
      <c r="N1695" t="str">
        <f>+_xlfn.IFNA(VLOOKUP(M1695,'Mapping DEF'!B:C,2,FALSE),"")</f>
        <v>Equity</v>
      </c>
      <c r="O1695" t="s">
        <v>2801</v>
      </c>
    </row>
    <row r="1696" spans="1:15" x14ac:dyDescent="0.25">
      <c r="A1696" s="4" t="s">
        <v>2591</v>
      </c>
      <c r="B1696" s="4" t="s">
        <v>2592</v>
      </c>
      <c r="C1696" s="5">
        <v>2452</v>
      </c>
      <c r="D1696" s="6" t="s">
        <v>2593</v>
      </c>
      <c r="E1696" t="s">
        <v>338</v>
      </c>
      <c r="F1696" t="s">
        <v>191</v>
      </c>
      <c r="G1696" t="e">
        <f>+VLOOKUP(F1696,[1]Explore!$B:$I,8,0)</f>
        <v>#N/A</v>
      </c>
      <c r="H1696" t="s">
        <v>192</v>
      </c>
      <c r="I1696" t="e">
        <f>+VLOOKUP(H1696,[1]Explore!$A:$I,9,0)</f>
        <v>#N/A</v>
      </c>
      <c r="J1696" t="str">
        <f t="shared" si="52"/>
        <v>BOTH #N/A</v>
      </c>
      <c r="K1696" t="str">
        <f t="shared" si="53"/>
        <v xml:space="preserve">Time </v>
      </c>
      <c r="L1696" t="s">
        <v>2138</v>
      </c>
      <c r="M1696" t="str">
        <f>_xlfn.IFNA(VLOOKUP(K1696,'Mapping DEF'!A:C,2,0),"")</f>
        <v>Time</v>
      </c>
      <c r="N1696" t="str">
        <f>+_xlfn.IFNA(VLOOKUP(M1696,'Mapping DEF'!B:C,2,FALSE),"")</f>
        <v>Other</v>
      </c>
      <c r="O1696" t="s">
        <v>2817</v>
      </c>
    </row>
    <row r="1697" spans="1:15" x14ac:dyDescent="0.25">
      <c r="A1697" s="4" t="s">
        <v>2591</v>
      </c>
      <c r="B1697" s="4" t="s">
        <v>2592</v>
      </c>
      <c r="C1697" s="5">
        <v>2452</v>
      </c>
      <c r="D1697" s="6" t="s">
        <v>2593</v>
      </c>
      <c r="E1697" t="s">
        <v>2040</v>
      </c>
      <c r="F1697" t="s">
        <v>340</v>
      </c>
      <c r="G1697" t="str">
        <f>+VLOOKUP(F1697,[1]Explore!$B:$I,8,0)</f>
        <v>Materials</v>
      </c>
      <c r="H1697" t="s">
        <v>2041</v>
      </c>
      <c r="I1697" t="e">
        <f>+VLOOKUP(H1697,[1]Explore!$A:$I,9,0)</f>
        <v>#N/A</v>
      </c>
      <c r="J1697" t="str">
        <f t="shared" si="52"/>
        <v>OK</v>
      </c>
      <c r="K1697" t="str">
        <f t="shared" si="53"/>
        <v>Materials</v>
      </c>
      <c r="L1697" t="s">
        <v>2141</v>
      </c>
      <c r="M1697" t="str">
        <f>_xlfn.IFNA(VLOOKUP(K1697,'Mapping DEF'!A:C,2,0),"")</f>
        <v>Industry Allocation</v>
      </c>
      <c r="N1697" t="str">
        <f>+_xlfn.IFNA(VLOOKUP(M1697,'Mapping DEF'!B:C,2,FALSE),"")</f>
        <v>Equity</v>
      </c>
      <c r="O1697" t="s">
        <v>2753</v>
      </c>
    </row>
    <row r="1698" spans="1:15" x14ac:dyDescent="0.25">
      <c r="A1698" s="4" t="s">
        <v>2591</v>
      </c>
      <c r="B1698" s="4" t="s">
        <v>2592</v>
      </c>
      <c r="C1698" s="5">
        <v>2452</v>
      </c>
      <c r="D1698" s="6" t="s">
        <v>2593</v>
      </c>
      <c r="E1698" t="s">
        <v>2042</v>
      </c>
      <c r="F1698" t="s">
        <v>2017</v>
      </c>
      <c r="G1698" t="str">
        <f>+VLOOKUP(F1698,[1]Explore!$B:$I,8,0)</f>
        <v>Industrials</v>
      </c>
      <c r="H1698" t="s">
        <v>2018</v>
      </c>
      <c r="I1698" t="e">
        <f>+VLOOKUP(H1698,[1]Explore!$A:$I,9,0)</f>
        <v>#N/A</v>
      </c>
      <c r="J1698" t="str">
        <f t="shared" si="52"/>
        <v>OK</v>
      </c>
      <c r="K1698" t="str">
        <f t="shared" si="53"/>
        <v>Industrials</v>
      </c>
      <c r="L1698" t="s">
        <v>2141</v>
      </c>
      <c r="M1698" t="str">
        <f>_xlfn.IFNA(VLOOKUP(K1698,'Mapping DEF'!A:C,2,0),"")</f>
        <v>Industry Allocation</v>
      </c>
      <c r="N1698" t="str">
        <f>+_xlfn.IFNA(VLOOKUP(M1698,'Mapping DEF'!B:C,2,FALSE),"")</f>
        <v>Equity</v>
      </c>
      <c r="O1698" t="s">
        <v>2776</v>
      </c>
    </row>
    <row r="1699" spans="1:15" x14ac:dyDescent="0.25">
      <c r="A1699" s="4" t="s">
        <v>2591</v>
      </c>
      <c r="B1699" s="4" t="s">
        <v>2592</v>
      </c>
      <c r="C1699" s="5">
        <v>2452</v>
      </c>
      <c r="D1699" s="6" t="s">
        <v>2593</v>
      </c>
      <c r="E1699" t="s">
        <v>2043</v>
      </c>
      <c r="F1699" t="s">
        <v>2177</v>
      </c>
      <c r="G1699" t="str">
        <f>+VLOOKUP(F1699,[1]Explore!$B:$I,8,0)</f>
        <v>Consumer Discretionary</v>
      </c>
      <c r="H1699" t="s">
        <v>469</v>
      </c>
      <c r="I1699" t="e">
        <f>+VLOOKUP(H1699,[1]Explore!$A:$I,9,0)</f>
        <v>#N/A</v>
      </c>
      <c r="J1699" t="str">
        <f t="shared" si="52"/>
        <v>OK</v>
      </c>
      <c r="K1699" t="str">
        <f t="shared" si="53"/>
        <v>Consumer Discretionary</v>
      </c>
      <c r="L1699" t="s">
        <v>2141</v>
      </c>
      <c r="M1699" t="str">
        <f>_xlfn.IFNA(VLOOKUP(K1699,'Mapping DEF'!A:C,2,0),"")</f>
        <v>Industry Allocation</v>
      </c>
      <c r="N1699" t="str">
        <f>+_xlfn.IFNA(VLOOKUP(M1699,'Mapping DEF'!B:C,2,FALSE),"")</f>
        <v>Equity</v>
      </c>
      <c r="O1699" t="s">
        <v>2776</v>
      </c>
    </row>
    <row r="1700" spans="1:15" x14ac:dyDescent="0.25">
      <c r="A1700" s="4" t="s">
        <v>2591</v>
      </c>
      <c r="B1700" s="4" t="s">
        <v>2592</v>
      </c>
      <c r="C1700" s="5">
        <v>2452</v>
      </c>
      <c r="D1700" s="6" t="s">
        <v>2593</v>
      </c>
      <c r="E1700" t="s">
        <v>1932</v>
      </c>
      <c r="F1700" t="s">
        <v>2162</v>
      </c>
      <c r="G1700" t="str">
        <f>+VLOOKUP(F1700,[1]Explore!$B:$I,8,0)</f>
        <v>Information Technology</v>
      </c>
      <c r="H1700" t="s">
        <v>117</v>
      </c>
      <c r="I1700" t="e">
        <f>+VLOOKUP(H1700,[1]Explore!$A:$I,9,0)</f>
        <v>#N/A</v>
      </c>
      <c r="J1700" t="str">
        <f t="shared" si="52"/>
        <v>OK</v>
      </c>
      <c r="K1700" t="str">
        <f t="shared" si="53"/>
        <v>Information Technology</v>
      </c>
      <c r="L1700" t="s">
        <v>2141</v>
      </c>
      <c r="M1700" t="str">
        <f>_xlfn.IFNA(VLOOKUP(K1700,'Mapping DEF'!A:C,2,0),"")</f>
        <v>Industry Allocation</v>
      </c>
      <c r="N1700" t="str">
        <f>+_xlfn.IFNA(VLOOKUP(M1700,'Mapping DEF'!B:C,2,FALSE),"")</f>
        <v>Equity</v>
      </c>
      <c r="O1700" t="s">
        <v>2776</v>
      </c>
    </row>
    <row r="1701" spans="1:15" x14ac:dyDescent="0.25">
      <c r="A1701" s="4" t="s">
        <v>2591</v>
      </c>
      <c r="B1701" s="4" t="s">
        <v>2592</v>
      </c>
      <c r="C1701" s="5">
        <v>2452</v>
      </c>
      <c r="D1701" s="6" t="s">
        <v>2593</v>
      </c>
      <c r="E1701" t="s">
        <v>2021</v>
      </c>
      <c r="F1701" t="s">
        <v>217</v>
      </c>
      <c r="G1701" t="str">
        <f>+VLOOKUP(F1701,[1]Explore!$B:$I,8,0)</f>
        <v>Utilities</v>
      </c>
      <c r="H1701" t="s">
        <v>218</v>
      </c>
      <c r="I1701" t="e">
        <f>+VLOOKUP(H1701,[1]Explore!$A:$I,9,0)</f>
        <v>#N/A</v>
      </c>
      <c r="J1701" t="str">
        <f t="shared" si="52"/>
        <v>OK</v>
      </c>
      <c r="K1701" t="str">
        <f t="shared" si="53"/>
        <v>Utilities</v>
      </c>
      <c r="L1701" t="s">
        <v>2141</v>
      </c>
      <c r="M1701" t="str">
        <f>_xlfn.IFNA(VLOOKUP(K1701,'Mapping DEF'!A:C,2,0),"")</f>
        <v>Industry Allocation</v>
      </c>
      <c r="N1701" t="str">
        <f>+_xlfn.IFNA(VLOOKUP(M1701,'Mapping DEF'!B:C,2,FALSE),"")</f>
        <v>Equity</v>
      </c>
      <c r="O1701" t="s">
        <v>2801</v>
      </c>
    </row>
    <row r="1702" spans="1:15" x14ac:dyDescent="0.25">
      <c r="A1702" s="4" t="s">
        <v>2591</v>
      </c>
      <c r="B1702" s="4" t="s">
        <v>2592</v>
      </c>
      <c r="C1702" s="5">
        <v>2452</v>
      </c>
      <c r="D1702" s="6" t="s">
        <v>2593</v>
      </c>
      <c r="E1702" t="s">
        <v>2044</v>
      </c>
      <c r="F1702" t="s">
        <v>430</v>
      </c>
      <c r="G1702" t="str">
        <f>+VLOOKUP(F1702,[1]Explore!$B:$I,8,0)</f>
        <v>Other - Index</v>
      </c>
      <c r="H1702" t="s">
        <v>515</v>
      </c>
      <c r="I1702" t="e">
        <f>+VLOOKUP(H1702,[1]Explore!$A:$I,9,0)</f>
        <v>#N/A</v>
      </c>
      <c r="J1702" t="str">
        <f t="shared" si="52"/>
        <v>OK</v>
      </c>
      <c r="K1702" t="str">
        <f t="shared" si="53"/>
        <v>Other - Index</v>
      </c>
      <c r="L1702" t="s">
        <v>27</v>
      </c>
      <c r="M1702" t="str">
        <f>_xlfn.IFNA(VLOOKUP(K1702,'Mapping DEF'!A:C,2,0),"")</f>
        <v>Other</v>
      </c>
      <c r="N1702" t="str">
        <f>+_xlfn.IFNA(VLOOKUP(M1702,'Mapping DEF'!B:C,2,FALSE),"")</f>
        <v>Other</v>
      </c>
      <c r="O1702" t="s">
        <v>2770</v>
      </c>
    </row>
    <row r="1703" spans="1:15" x14ac:dyDescent="0.25">
      <c r="A1703" s="4" t="s">
        <v>2591</v>
      </c>
      <c r="B1703" s="4" t="s">
        <v>2592</v>
      </c>
      <c r="C1703" s="5">
        <v>2452</v>
      </c>
      <c r="D1703" s="6" t="s">
        <v>2593</v>
      </c>
      <c r="E1703" t="s">
        <v>2045</v>
      </c>
      <c r="F1703" t="s">
        <v>2182</v>
      </c>
      <c r="G1703" t="str">
        <f>+VLOOKUP(F1703,[1]Explore!$B:$I,8,0)</f>
        <v>Corporate IG USD - Industry</v>
      </c>
      <c r="H1703" t="s">
        <v>620</v>
      </c>
      <c r="I1703" t="e">
        <f>+VLOOKUP(H1703,[1]Explore!$A:$I,9,0)</f>
        <v>#N/A</v>
      </c>
      <c r="J1703" t="str">
        <f t="shared" si="52"/>
        <v>OK</v>
      </c>
      <c r="K1703" t="str">
        <f t="shared" si="53"/>
        <v>Corporate IG USD - Industry</v>
      </c>
      <c r="L1703" t="s">
        <v>188</v>
      </c>
      <c r="M1703" t="str">
        <f>_xlfn.IFNA(VLOOKUP(K1703,'Mapping DEF'!A:C,2,0),"")</f>
        <v>Spread</v>
      </c>
      <c r="N1703" t="str">
        <f>+_xlfn.IFNA(VLOOKUP(M1703,'Mapping DEF'!B:C,2,FALSE),"")</f>
        <v>Spread</v>
      </c>
      <c r="O1703" t="s">
        <v>2856</v>
      </c>
    </row>
    <row r="1704" spans="1:15" x14ac:dyDescent="0.25">
      <c r="A1704" s="4" t="s">
        <v>2594</v>
      </c>
      <c r="B1704" s="4" t="s">
        <v>2595</v>
      </c>
      <c r="C1704" s="5">
        <v>2210</v>
      </c>
      <c r="D1704" s="6" t="s">
        <v>2596</v>
      </c>
      <c r="E1704" t="s">
        <v>2046</v>
      </c>
      <c r="F1704" t="s">
        <v>13</v>
      </c>
      <c r="G1704" t="str">
        <f>+VLOOKUP(F1704,[1]Explore!$B:$I,8,0)</f>
        <v>Govt USD</v>
      </c>
      <c r="H1704" t="s">
        <v>14</v>
      </c>
      <c r="I1704" t="str">
        <f>+VLOOKUP(H1704,[1]Explore!$A:$I,9,0)</f>
        <v>Govt USD</v>
      </c>
      <c r="J1704" t="str">
        <f t="shared" si="52"/>
        <v>OK</v>
      </c>
      <c r="K1704" t="str">
        <f t="shared" si="53"/>
        <v>Govt USD</v>
      </c>
      <c r="L1704" t="s">
        <v>2143</v>
      </c>
      <c r="M1704" t="str">
        <f>_xlfn.IFNA(VLOOKUP(K1704,'Mapping DEF'!A:C,2,0),"")</f>
        <v>Curve (Local)</v>
      </c>
      <c r="N1704" t="str">
        <f>+_xlfn.IFNA(VLOOKUP(M1704,'Mapping DEF'!B:C,2,FALSE),"")</f>
        <v>Term Structure</v>
      </c>
      <c r="O1704" t="s">
        <v>2867</v>
      </c>
    </row>
    <row r="1705" spans="1:15" x14ac:dyDescent="0.25">
      <c r="A1705" s="4" t="s">
        <v>2594</v>
      </c>
      <c r="B1705" s="4" t="s">
        <v>2595</v>
      </c>
      <c r="C1705" s="5">
        <v>2210</v>
      </c>
      <c r="D1705" s="6" t="s">
        <v>2596</v>
      </c>
      <c r="E1705" t="s">
        <v>2047</v>
      </c>
      <c r="F1705" t="s">
        <v>817</v>
      </c>
      <c r="G1705" t="str">
        <f>+VLOOKUP(F1705,[1]Explore!$B:$I,8,0)</f>
        <v>USD Inflation</v>
      </c>
      <c r="H1705" t="s">
        <v>818</v>
      </c>
      <c r="I1705" t="str">
        <f>+VLOOKUP(H1705,[1]Explore!$A:$I,9,0)</f>
        <v>USD Inflation</v>
      </c>
      <c r="J1705" t="str">
        <f t="shared" si="52"/>
        <v>OK</v>
      </c>
      <c r="K1705" t="str">
        <f t="shared" si="53"/>
        <v>USD Inflation</v>
      </c>
      <c r="L1705" t="s">
        <v>2143</v>
      </c>
      <c r="M1705" t="str">
        <f>_xlfn.IFNA(VLOOKUP(K1705,'Mapping DEF'!A:C,2,0),"")</f>
        <v>Inflation</v>
      </c>
      <c r="N1705" t="str">
        <f>+_xlfn.IFNA(VLOOKUP(M1705,'Mapping DEF'!B:C,2,FALSE),"")</f>
        <v>Other</v>
      </c>
      <c r="O1705" t="s">
        <v>2866</v>
      </c>
    </row>
    <row r="1706" spans="1:15" x14ac:dyDescent="0.25">
      <c r="A1706" s="4" t="s">
        <v>2594</v>
      </c>
      <c r="B1706" s="4" t="s">
        <v>2595</v>
      </c>
      <c r="C1706" s="5">
        <v>2210</v>
      </c>
      <c r="D1706" s="6" t="s">
        <v>2596</v>
      </c>
      <c r="E1706" t="s">
        <v>796</v>
      </c>
      <c r="F1706" t="s">
        <v>73</v>
      </c>
      <c r="G1706" t="e">
        <f>+VLOOKUP(F1706,[1]Explore!$B:$I,8,0)</f>
        <v>#N/A</v>
      </c>
      <c r="H1706" t="s">
        <v>74</v>
      </c>
      <c r="I1706" t="str">
        <f>+VLOOKUP(H1706,[1]Explore!$A:$I,9,0)</f>
        <v>Emerging Currency</v>
      </c>
      <c r="J1706" t="str">
        <f t="shared" si="52"/>
        <v>OK</v>
      </c>
      <c r="K1706" t="str">
        <f t="shared" si="53"/>
        <v>Emerging Currency</v>
      </c>
      <c r="L1706" t="s">
        <v>2140</v>
      </c>
      <c r="M1706" t="str">
        <f>_xlfn.IFNA(VLOOKUP(K1706,'Mapping DEF'!A:C,2,0),"")</f>
        <v>FX</v>
      </c>
      <c r="N1706" t="str">
        <f>+_xlfn.IFNA(VLOOKUP(M1706,'Mapping DEF'!B:C,2,FALSE),"")</f>
        <v>FX</v>
      </c>
      <c r="O1706" t="s">
        <v>2760</v>
      </c>
    </row>
    <row r="1707" spans="1:15" x14ac:dyDescent="0.25">
      <c r="A1707" s="4" t="s">
        <v>2594</v>
      </c>
      <c r="B1707" s="4" t="s">
        <v>2595</v>
      </c>
      <c r="C1707" s="5">
        <v>2210</v>
      </c>
      <c r="D1707" s="6" t="s">
        <v>2596</v>
      </c>
      <c r="E1707" t="s">
        <v>820</v>
      </c>
      <c r="F1707" t="s">
        <v>421</v>
      </c>
      <c r="G1707" t="e">
        <f>+VLOOKUP(F1707,[1]Explore!$B:$I,8,0)</f>
        <v>#N/A</v>
      </c>
      <c r="H1707" t="s">
        <v>422</v>
      </c>
      <c r="I1707" t="str">
        <f>+VLOOKUP(H1707,[1]Explore!$A:$I,9,0)</f>
        <v>Emerging Currency</v>
      </c>
      <c r="J1707" t="str">
        <f t="shared" si="52"/>
        <v>OK</v>
      </c>
      <c r="K1707" t="str">
        <f t="shared" si="53"/>
        <v>Emerging Currency</v>
      </c>
      <c r="L1707" t="s">
        <v>2140</v>
      </c>
      <c r="M1707" t="str">
        <f>_xlfn.IFNA(VLOOKUP(K1707,'Mapping DEF'!A:C,2,0),"")</f>
        <v>FX</v>
      </c>
      <c r="N1707" t="str">
        <f>+_xlfn.IFNA(VLOOKUP(M1707,'Mapping DEF'!B:C,2,FALSE),"")</f>
        <v>FX</v>
      </c>
      <c r="O1707" t="s">
        <v>2753</v>
      </c>
    </row>
    <row r="1708" spans="1:15" x14ac:dyDescent="0.25">
      <c r="A1708" s="4" t="s">
        <v>2594</v>
      </c>
      <c r="B1708" s="4" t="s">
        <v>2595</v>
      </c>
      <c r="C1708" s="5">
        <v>2210</v>
      </c>
      <c r="D1708" s="6" t="s">
        <v>2596</v>
      </c>
      <c r="E1708" t="s">
        <v>711</v>
      </c>
      <c r="F1708" t="s">
        <v>206</v>
      </c>
      <c r="G1708" t="e">
        <f>+VLOOKUP(F1708,[1]Explore!$B:$I,8,0)</f>
        <v>#N/A</v>
      </c>
      <c r="H1708" t="s">
        <v>206</v>
      </c>
      <c r="I1708" t="e">
        <f>+VLOOKUP(H1708,[1]Explore!$A:$I,9,0)</f>
        <v>#N/A</v>
      </c>
      <c r="J1708" t="str">
        <f t="shared" si="52"/>
        <v>BOTH #N/A</v>
      </c>
      <c r="K1708" t="str">
        <f t="shared" si="53"/>
        <v>Dollar Index</v>
      </c>
      <c r="L1708" t="s">
        <v>2930</v>
      </c>
      <c r="M1708" t="str">
        <f>_xlfn.IFNA(VLOOKUP(K1708,'Mapping DEF'!A:C,2,0),"")</f>
        <v>Index Level</v>
      </c>
      <c r="N1708" t="str">
        <f>+_xlfn.IFNA(VLOOKUP(M1708,'Mapping DEF'!B:C,2,FALSE),"")</f>
        <v>Other</v>
      </c>
      <c r="O1708" t="s">
        <v>2770</v>
      </c>
    </row>
    <row r="1709" spans="1:15" x14ac:dyDescent="0.25">
      <c r="A1709" s="4" t="s">
        <v>2594</v>
      </c>
      <c r="B1709" s="4" t="s">
        <v>2595</v>
      </c>
      <c r="C1709" s="5">
        <v>2210</v>
      </c>
      <c r="D1709" s="6" t="s">
        <v>2596</v>
      </c>
      <c r="E1709" t="s">
        <v>2051</v>
      </c>
      <c r="F1709" t="s">
        <v>2052</v>
      </c>
      <c r="G1709" t="str">
        <f>+VLOOKUP(F1709,[1]Explore!$B:$I,8,0)</f>
        <v>North America</v>
      </c>
      <c r="H1709" t="s">
        <v>2053</v>
      </c>
      <c r="I1709" t="e">
        <f>+VLOOKUP(H1709,[1]Explore!$A:$I,9,0)</f>
        <v>#N/A</v>
      </c>
      <c r="J1709" t="str">
        <f t="shared" si="52"/>
        <v>OK</v>
      </c>
      <c r="K1709" t="str">
        <f t="shared" si="53"/>
        <v>North America</v>
      </c>
      <c r="L1709" t="s">
        <v>2142</v>
      </c>
      <c r="M1709" t="str">
        <f>_xlfn.IFNA(VLOOKUP(K1709,'Mapping DEF'!A:C,2,0),"")</f>
        <v>Country Allocation</v>
      </c>
      <c r="N1709" t="str">
        <f>+_xlfn.IFNA(VLOOKUP(M1709,'Mapping DEF'!B:C,2,FALSE),"")</f>
        <v>Equity</v>
      </c>
      <c r="O1709" t="s">
        <v>2776</v>
      </c>
    </row>
    <row r="1710" spans="1:15" x14ac:dyDescent="0.25">
      <c r="A1710" s="4" t="s">
        <v>2594</v>
      </c>
      <c r="B1710" s="4" t="s">
        <v>2595</v>
      </c>
      <c r="C1710" s="5">
        <v>2210</v>
      </c>
      <c r="D1710" s="6" t="s">
        <v>2596</v>
      </c>
      <c r="E1710" t="s">
        <v>2054</v>
      </c>
      <c r="F1710" t="s">
        <v>95</v>
      </c>
      <c r="G1710" t="str">
        <f>+VLOOKUP(F1710,[1]Explore!$B:$I,8,0)</f>
        <v>Industrials</v>
      </c>
      <c r="H1710" t="s">
        <v>96</v>
      </c>
      <c r="I1710" t="e">
        <f>+VLOOKUP(H1710,[1]Explore!$A:$I,9,0)</f>
        <v>#N/A</v>
      </c>
      <c r="J1710" t="str">
        <f t="shared" si="52"/>
        <v>OK</v>
      </c>
      <c r="K1710" t="str">
        <f t="shared" si="53"/>
        <v>Industrials</v>
      </c>
      <c r="L1710" t="s">
        <v>2141</v>
      </c>
      <c r="M1710" t="str">
        <f>_xlfn.IFNA(VLOOKUP(K1710,'Mapping DEF'!A:C,2,0),"")</f>
        <v>Industry Allocation</v>
      </c>
      <c r="N1710" t="str">
        <f>+_xlfn.IFNA(VLOOKUP(M1710,'Mapping DEF'!B:C,2,FALSE),"")</f>
        <v>Equity</v>
      </c>
      <c r="O1710" t="s">
        <v>2761</v>
      </c>
    </row>
    <row r="1711" spans="1:15" x14ac:dyDescent="0.25">
      <c r="A1711" s="4" t="s">
        <v>2594</v>
      </c>
      <c r="B1711" s="4" t="s">
        <v>2595</v>
      </c>
      <c r="C1711" s="5">
        <v>2210</v>
      </c>
      <c r="D1711" s="6" t="s">
        <v>2596</v>
      </c>
      <c r="E1711" t="s">
        <v>2055</v>
      </c>
      <c r="F1711" t="s">
        <v>2934</v>
      </c>
      <c r="G1711" t="e">
        <f>+VLOOKUP(F1711,[1]Explore!$B:$I,8,0)</f>
        <v>#N/A</v>
      </c>
      <c r="H1711" t="s">
        <v>2056</v>
      </c>
      <c r="I1711" t="e">
        <f>+VLOOKUP(H1711,[1]Explore!$A:$I,9,0)</f>
        <v>#N/A</v>
      </c>
      <c r="J1711" t="str">
        <f t="shared" si="52"/>
        <v>BOTH #N/A</v>
      </c>
      <c r="K1711" t="str">
        <f t="shared" si="53"/>
        <v>Industrials</v>
      </c>
      <c r="L1711" t="s">
        <v>1206</v>
      </c>
      <c r="M1711" t="str">
        <f>_xlfn.IFNA(VLOOKUP(K1711,'Mapping DEF'!A:C,2,0),"")</f>
        <v>Industry Allocation</v>
      </c>
      <c r="N1711" t="str">
        <f>+_xlfn.IFNA(VLOOKUP(M1711,'Mapping DEF'!B:C,2,FALSE),"")</f>
        <v>Equity</v>
      </c>
      <c r="O1711" t="s">
        <v>2793</v>
      </c>
    </row>
    <row r="1712" spans="1:15" x14ac:dyDescent="0.25">
      <c r="A1712" s="4" t="s">
        <v>2594</v>
      </c>
      <c r="B1712" s="4" t="s">
        <v>2595</v>
      </c>
      <c r="C1712" s="5">
        <v>2210</v>
      </c>
      <c r="D1712" s="6" t="s">
        <v>2596</v>
      </c>
      <c r="E1712" t="s">
        <v>2057</v>
      </c>
      <c r="F1712" t="s">
        <v>2630</v>
      </c>
      <c r="G1712" t="e">
        <f>+VLOOKUP(F1712,[1]Explore!$B:$I,8,0)</f>
        <v>#N/A</v>
      </c>
      <c r="H1712" t="s">
        <v>2058</v>
      </c>
      <c r="I1712" t="e">
        <f>+VLOOKUP(H1712,[1]Explore!$A:$I,9,0)</f>
        <v>#N/A</v>
      </c>
      <c r="J1712" t="str">
        <f t="shared" si="52"/>
        <v>BOTH #N/A</v>
      </c>
      <c r="K1712" t="str">
        <f t="shared" si="53"/>
        <v>Consumer Discretionary</v>
      </c>
      <c r="L1712" t="s">
        <v>2659</v>
      </c>
      <c r="M1712" t="str">
        <f>_xlfn.IFNA(VLOOKUP(K1712,'Mapping DEF'!A:C,2,0),"")</f>
        <v>Industry Allocation</v>
      </c>
      <c r="N1712" t="str">
        <f>+_xlfn.IFNA(VLOOKUP(M1712,'Mapping DEF'!B:C,2,FALSE),"")</f>
        <v>Equity</v>
      </c>
      <c r="O1712" t="s">
        <v>2761</v>
      </c>
    </row>
    <row r="1713" spans="1:15" x14ac:dyDescent="0.25">
      <c r="A1713" s="4" t="s">
        <v>2594</v>
      </c>
      <c r="B1713" s="4" t="s">
        <v>2595</v>
      </c>
      <c r="C1713" s="5">
        <v>2210</v>
      </c>
      <c r="D1713" s="6" t="s">
        <v>2596</v>
      </c>
      <c r="E1713" t="s">
        <v>2059</v>
      </c>
      <c r="F1713" t="s">
        <v>2052</v>
      </c>
      <c r="G1713" t="str">
        <f>+VLOOKUP(F1713,[1]Explore!$B:$I,8,0)</f>
        <v>North America</v>
      </c>
      <c r="H1713" t="s">
        <v>2060</v>
      </c>
      <c r="I1713" t="str">
        <f>+VLOOKUP(H1713,[1]Explore!$A:$I,9,0)</f>
        <v>North America</v>
      </c>
      <c r="J1713" t="str">
        <f t="shared" si="52"/>
        <v>OK</v>
      </c>
      <c r="K1713" t="str">
        <f t="shared" si="53"/>
        <v>North America</v>
      </c>
      <c r="L1713" t="s">
        <v>2142</v>
      </c>
      <c r="M1713" t="str">
        <f>_xlfn.IFNA(VLOOKUP(K1713,'Mapping DEF'!A:C,2,0),"")</f>
        <v>Country Allocation</v>
      </c>
      <c r="N1713" t="str">
        <f>+_xlfn.IFNA(VLOOKUP(M1713,'Mapping DEF'!B:C,2,FALSE),"")</f>
        <v>Equity</v>
      </c>
      <c r="O1713" t="s">
        <v>2776</v>
      </c>
    </row>
    <row r="1714" spans="1:15" x14ac:dyDescent="0.25">
      <c r="A1714" s="4" t="s">
        <v>2594</v>
      </c>
      <c r="B1714" s="4" t="s">
        <v>2595</v>
      </c>
      <c r="C1714" s="5">
        <v>2210</v>
      </c>
      <c r="D1714" s="6" t="s">
        <v>2596</v>
      </c>
      <c r="E1714" t="s">
        <v>2061</v>
      </c>
      <c r="F1714" t="s">
        <v>1997</v>
      </c>
      <c r="G1714" t="str">
        <f>+VLOOKUP(F1714,[1]Explore!$B:$I,8,0)</f>
        <v>Emerging Markets</v>
      </c>
      <c r="H1714" t="s">
        <v>1998</v>
      </c>
      <c r="I1714" t="str">
        <f>+VLOOKUP(H1714,[1]Explore!$A:$I,9,0)</f>
        <v>Emerging Markets</v>
      </c>
      <c r="J1714" t="str">
        <f t="shared" si="52"/>
        <v>OK</v>
      </c>
      <c r="K1714" t="str">
        <f t="shared" si="53"/>
        <v>Emerging Markets</v>
      </c>
      <c r="L1714" t="s">
        <v>2142</v>
      </c>
      <c r="M1714" t="str">
        <f>_xlfn.IFNA(VLOOKUP(K1714,'Mapping DEF'!A:C,2,0),"")</f>
        <v>Country Allocation</v>
      </c>
      <c r="N1714" t="str">
        <f>+_xlfn.IFNA(VLOOKUP(M1714,'Mapping DEF'!B:C,2,FALSE),"")</f>
        <v>Equity</v>
      </c>
      <c r="O1714" t="s">
        <v>2808</v>
      </c>
    </row>
    <row r="1715" spans="1:15" x14ac:dyDescent="0.25">
      <c r="A1715" s="4" t="s">
        <v>2594</v>
      </c>
      <c r="B1715" s="4" t="s">
        <v>2595</v>
      </c>
      <c r="C1715" s="5">
        <v>2210</v>
      </c>
      <c r="D1715" s="6" t="s">
        <v>2596</v>
      </c>
      <c r="E1715" t="s">
        <v>2062</v>
      </c>
      <c r="F1715" t="s">
        <v>2063</v>
      </c>
      <c r="G1715" t="str">
        <f>+VLOOKUP(F1715,[1]Explore!$B:$I,8,0)</f>
        <v>Emerging Markets</v>
      </c>
      <c r="H1715" t="s">
        <v>2064</v>
      </c>
      <c r="I1715" t="str">
        <f>+VLOOKUP(H1715,[1]Explore!$A:$I,9,0)</f>
        <v>Emerging Markets</v>
      </c>
      <c r="J1715" t="str">
        <f t="shared" si="52"/>
        <v>OK</v>
      </c>
      <c r="K1715" t="str">
        <f t="shared" si="53"/>
        <v>Emerging Markets</v>
      </c>
      <c r="L1715" t="s">
        <v>2142</v>
      </c>
      <c r="M1715" t="str">
        <f>_xlfn.IFNA(VLOOKUP(K1715,'Mapping DEF'!A:C,2,0),"")</f>
        <v>Country Allocation</v>
      </c>
      <c r="N1715" t="str">
        <f>+_xlfn.IFNA(VLOOKUP(M1715,'Mapping DEF'!B:C,2,FALSE),"")</f>
        <v>Equity</v>
      </c>
      <c r="O1715" t="s">
        <v>2808</v>
      </c>
    </row>
    <row r="1716" spans="1:15" x14ac:dyDescent="0.25">
      <c r="A1716" s="4" t="s">
        <v>2594</v>
      </c>
      <c r="B1716" s="4" t="s">
        <v>2595</v>
      </c>
      <c r="C1716" s="5">
        <v>2210</v>
      </c>
      <c r="D1716" s="6" t="s">
        <v>2596</v>
      </c>
      <c r="E1716" t="s">
        <v>2065</v>
      </c>
      <c r="F1716" t="s">
        <v>402</v>
      </c>
      <c r="G1716" t="str">
        <f>+VLOOKUP(F1716,[1]Explore!$B:$I,8,0)</f>
        <v>Emerging Markets</v>
      </c>
      <c r="H1716" t="s">
        <v>2066</v>
      </c>
      <c r="I1716" t="str">
        <f>+VLOOKUP(H1716,[1]Explore!$A:$I,9,0)</f>
        <v>Emerging Markets</v>
      </c>
      <c r="J1716" t="str">
        <f t="shared" si="52"/>
        <v>OK</v>
      </c>
      <c r="K1716" t="str">
        <f t="shared" si="53"/>
        <v>Emerging Markets</v>
      </c>
      <c r="L1716" t="s">
        <v>2142</v>
      </c>
      <c r="M1716" t="str">
        <f>_xlfn.IFNA(VLOOKUP(K1716,'Mapping DEF'!A:C,2,0),"")</f>
        <v>Country Allocation</v>
      </c>
      <c r="N1716" t="str">
        <f>+_xlfn.IFNA(VLOOKUP(M1716,'Mapping DEF'!B:C,2,FALSE),"")</f>
        <v>Equity</v>
      </c>
      <c r="O1716" t="s">
        <v>2793</v>
      </c>
    </row>
    <row r="1717" spans="1:15" x14ac:dyDescent="0.25">
      <c r="A1717" s="4" t="s">
        <v>2594</v>
      </c>
      <c r="B1717" s="4" t="s">
        <v>2595</v>
      </c>
      <c r="C1717" s="5">
        <v>2210</v>
      </c>
      <c r="D1717" s="6" t="s">
        <v>2596</v>
      </c>
      <c r="E1717" t="s">
        <v>2067</v>
      </c>
      <c r="F1717" t="s">
        <v>1997</v>
      </c>
      <c r="G1717" t="str">
        <f>+VLOOKUP(F1717,[1]Explore!$B:$I,8,0)</f>
        <v>Emerging Markets</v>
      </c>
      <c r="H1717" t="s">
        <v>2068</v>
      </c>
      <c r="I1717" t="e">
        <f>+VLOOKUP(H1717,[1]Explore!$A:$I,9,0)</f>
        <v>#N/A</v>
      </c>
      <c r="J1717" t="str">
        <f t="shared" si="52"/>
        <v>OK</v>
      </c>
      <c r="K1717" t="str">
        <f t="shared" si="53"/>
        <v>Emerging Markets</v>
      </c>
      <c r="L1717" t="s">
        <v>2142</v>
      </c>
      <c r="M1717" t="str">
        <f>_xlfn.IFNA(VLOOKUP(K1717,'Mapping DEF'!A:C,2,0),"")</f>
        <v>Country Allocation</v>
      </c>
      <c r="N1717" t="str">
        <f>+_xlfn.IFNA(VLOOKUP(M1717,'Mapping DEF'!B:C,2,FALSE),"")</f>
        <v>Equity</v>
      </c>
      <c r="O1717" t="s">
        <v>2808</v>
      </c>
    </row>
    <row r="1718" spans="1:15" x14ac:dyDescent="0.25">
      <c r="A1718" s="4" t="s">
        <v>2594</v>
      </c>
      <c r="B1718" s="4" t="s">
        <v>2595</v>
      </c>
      <c r="C1718" s="5">
        <v>2210</v>
      </c>
      <c r="D1718" s="6" t="s">
        <v>2596</v>
      </c>
      <c r="E1718" t="s">
        <v>2069</v>
      </c>
      <c r="F1718" t="s">
        <v>2063</v>
      </c>
      <c r="G1718" t="str">
        <f>+VLOOKUP(F1718,[1]Explore!$B:$I,8,0)</f>
        <v>Emerging Markets</v>
      </c>
      <c r="H1718" t="s">
        <v>2070</v>
      </c>
      <c r="I1718" t="e">
        <f>+VLOOKUP(H1718,[1]Explore!$A:$I,9,0)</f>
        <v>#N/A</v>
      </c>
      <c r="J1718" t="str">
        <f t="shared" si="52"/>
        <v>OK</v>
      </c>
      <c r="K1718" t="str">
        <f t="shared" si="53"/>
        <v>Emerging Markets</v>
      </c>
      <c r="L1718" t="s">
        <v>2142</v>
      </c>
      <c r="M1718" t="str">
        <f>_xlfn.IFNA(VLOOKUP(K1718,'Mapping DEF'!A:C,2,0),"")</f>
        <v>Country Allocation</v>
      </c>
      <c r="N1718" t="str">
        <f>+_xlfn.IFNA(VLOOKUP(M1718,'Mapping DEF'!B:C,2,FALSE),"")</f>
        <v>Equity</v>
      </c>
      <c r="O1718" t="s">
        <v>2808</v>
      </c>
    </row>
    <row r="1719" spans="1:15" x14ac:dyDescent="0.25">
      <c r="A1719" s="4" t="s">
        <v>2594</v>
      </c>
      <c r="B1719" s="4" t="s">
        <v>2595</v>
      </c>
      <c r="C1719" s="5">
        <v>2210</v>
      </c>
      <c r="D1719" s="6" t="s">
        <v>2596</v>
      </c>
      <c r="E1719" t="s">
        <v>2071</v>
      </c>
      <c r="F1719" t="s">
        <v>402</v>
      </c>
      <c r="G1719" t="str">
        <f>+VLOOKUP(F1719,[1]Explore!$B:$I,8,0)</f>
        <v>Emerging Markets</v>
      </c>
      <c r="H1719" t="s">
        <v>2072</v>
      </c>
      <c r="I1719" t="e">
        <f>+VLOOKUP(H1719,[1]Explore!$A:$I,9,0)</f>
        <v>#N/A</v>
      </c>
      <c r="J1719" t="str">
        <f t="shared" si="52"/>
        <v>OK</v>
      </c>
      <c r="K1719" t="str">
        <f t="shared" si="53"/>
        <v>Emerging Markets</v>
      </c>
      <c r="L1719" t="s">
        <v>2142</v>
      </c>
      <c r="M1719" t="str">
        <f>_xlfn.IFNA(VLOOKUP(K1719,'Mapping DEF'!A:C,2,0),"")</f>
        <v>Country Allocation</v>
      </c>
      <c r="N1719" t="str">
        <f>+_xlfn.IFNA(VLOOKUP(M1719,'Mapping DEF'!B:C,2,FALSE),"")</f>
        <v>Equity</v>
      </c>
      <c r="O1719" t="s">
        <v>2793</v>
      </c>
    </row>
    <row r="1720" spans="1:15" x14ac:dyDescent="0.25">
      <c r="A1720" s="4" t="s">
        <v>2594</v>
      </c>
      <c r="B1720" s="4" t="s">
        <v>2595</v>
      </c>
      <c r="C1720" s="5">
        <v>2210</v>
      </c>
      <c r="D1720" s="6" t="s">
        <v>2596</v>
      </c>
      <c r="E1720" t="s">
        <v>2073</v>
      </c>
      <c r="F1720" t="s">
        <v>750</v>
      </c>
      <c r="G1720" t="str">
        <f>+VLOOKUP(F1720,[1]Explore!$B:$I,8,0)</f>
        <v>Market</v>
      </c>
      <c r="H1720" t="s">
        <v>2074</v>
      </c>
      <c r="I1720" t="e">
        <f>+VLOOKUP(H1720,[1]Explore!$A:$I,9,0)</f>
        <v>#N/A</v>
      </c>
      <c r="J1720" t="str">
        <f t="shared" si="52"/>
        <v>OK</v>
      </c>
      <c r="K1720" t="str">
        <f t="shared" si="53"/>
        <v>Market</v>
      </c>
      <c r="L1720" t="s">
        <v>2145</v>
      </c>
      <c r="M1720" t="str">
        <f>_xlfn.IFNA(VLOOKUP(K1720,'Mapping DEF'!A:C,2,0),"")</f>
        <v>Style</v>
      </c>
      <c r="N1720" t="str">
        <f>+_xlfn.IFNA(VLOOKUP(M1720,'Mapping DEF'!B:C,2,FALSE),"")</f>
        <v>Equity</v>
      </c>
      <c r="O1720" t="s">
        <v>2904</v>
      </c>
    </row>
    <row r="1721" spans="1:15" x14ac:dyDescent="0.25">
      <c r="A1721" s="4" t="s">
        <v>2594</v>
      </c>
      <c r="B1721" s="4" t="s">
        <v>2595</v>
      </c>
      <c r="C1721" s="5">
        <v>2210</v>
      </c>
      <c r="D1721" s="6" t="s">
        <v>2596</v>
      </c>
      <c r="E1721" t="s">
        <v>2075</v>
      </c>
      <c r="F1721" t="s">
        <v>1997</v>
      </c>
      <c r="G1721" t="str">
        <f>+VLOOKUP(F1721,[1]Explore!$B:$I,8,0)</f>
        <v>Emerging Markets</v>
      </c>
      <c r="H1721" t="s">
        <v>2076</v>
      </c>
      <c r="I1721" t="e">
        <f>+VLOOKUP(H1721,[1]Explore!$A:$I,9,0)</f>
        <v>#N/A</v>
      </c>
      <c r="J1721" t="str">
        <f t="shared" si="52"/>
        <v>OK</v>
      </c>
      <c r="K1721" t="str">
        <f t="shared" si="53"/>
        <v>Emerging Markets</v>
      </c>
      <c r="L1721" t="s">
        <v>2142</v>
      </c>
      <c r="M1721" t="str">
        <f>_xlfn.IFNA(VLOOKUP(K1721,'Mapping DEF'!A:C,2,0),"")</f>
        <v>Country Allocation</v>
      </c>
      <c r="N1721" t="str">
        <f>+_xlfn.IFNA(VLOOKUP(M1721,'Mapping DEF'!B:C,2,FALSE),"")</f>
        <v>Equity</v>
      </c>
      <c r="O1721" t="s">
        <v>2808</v>
      </c>
    </row>
    <row r="1722" spans="1:15" x14ac:dyDescent="0.25">
      <c r="A1722" s="4" t="s">
        <v>2594</v>
      </c>
      <c r="B1722" s="4" t="s">
        <v>2595</v>
      </c>
      <c r="C1722" s="5">
        <v>2210</v>
      </c>
      <c r="D1722" s="6" t="s">
        <v>2596</v>
      </c>
      <c r="E1722" t="s">
        <v>2077</v>
      </c>
      <c r="F1722" t="s">
        <v>2063</v>
      </c>
      <c r="G1722" t="str">
        <f>+VLOOKUP(F1722,[1]Explore!$B:$I,8,0)</f>
        <v>Emerging Markets</v>
      </c>
      <c r="H1722" t="s">
        <v>2078</v>
      </c>
      <c r="I1722" t="e">
        <f>+VLOOKUP(H1722,[1]Explore!$A:$I,9,0)</f>
        <v>#N/A</v>
      </c>
      <c r="J1722" t="str">
        <f t="shared" si="52"/>
        <v>OK</v>
      </c>
      <c r="K1722" t="str">
        <f t="shared" si="53"/>
        <v>Emerging Markets</v>
      </c>
      <c r="L1722" t="s">
        <v>2142</v>
      </c>
      <c r="M1722" t="str">
        <f>_xlfn.IFNA(VLOOKUP(K1722,'Mapping DEF'!A:C,2,0),"")</f>
        <v>Country Allocation</v>
      </c>
      <c r="N1722" t="str">
        <f>+_xlfn.IFNA(VLOOKUP(M1722,'Mapping DEF'!B:C,2,FALSE),"")</f>
        <v>Equity</v>
      </c>
      <c r="O1722" t="s">
        <v>2808</v>
      </c>
    </row>
    <row r="1723" spans="1:15" x14ac:dyDescent="0.25">
      <c r="A1723" s="4" t="s">
        <v>2594</v>
      </c>
      <c r="B1723" s="4" t="s">
        <v>2595</v>
      </c>
      <c r="C1723" s="5">
        <v>2210</v>
      </c>
      <c r="D1723" s="6" t="s">
        <v>2596</v>
      </c>
      <c r="E1723" t="s">
        <v>2079</v>
      </c>
      <c r="F1723" t="s">
        <v>402</v>
      </c>
      <c r="G1723" t="str">
        <f>+VLOOKUP(F1723,[1]Explore!$B:$I,8,0)</f>
        <v>Emerging Markets</v>
      </c>
      <c r="H1723" t="s">
        <v>2080</v>
      </c>
      <c r="I1723" t="e">
        <f>+VLOOKUP(H1723,[1]Explore!$A:$I,9,0)</f>
        <v>#N/A</v>
      </c>
      <c r="J1723" t="str">
        <f t="shared" si="52"/>
        <v>OK</v>
      </c>
      <c r="K1723" t="str">
        <f t="shared" si="53"/>
        <v>Emerging Markets</v>
      </c>
      <c r="L1723" t="s">
        <v>2142</v>
      </c>
      <c r="M1723" t="str">
        <f>_xlfn.IFNA(VLOOKUP(K1723,'Mapping DEF'!A:C,2,0),"")</f>
        <v>Country Allocation</v>
      </c>
      <c r="N1723" t="str">
        <f>+_xlfn.IFNA(VLOOKUP(M1723,'Mapping DEF'!B:C,2,FALSE),"")</f>
        <v>Equity</v>
      </c>
      <c r="O1723" t="s">
        <v>2793</v>
      </c>
    </row>
    <row r="1724" spans="1:15" x14ac:dyDescent="0.25">
      <c r="A1724" s="4" t="s">
        <v>2594</v>
      </c>
      <c r="B1724" s="4" t="s">
        <v>2595</v>
      </c>
      <c r="C1724" s="5">
        <v>2210</v>
      </c>
      <c r="D1724" s="6" t="s">
        <v>2596</v>
      </c>
      <c r="E1724" t="s">
        <v>2081</v>
      </c>
      <c r="F1724" t="s">
        <v>750</v>
      </c>
      <c r="G1724" t="str">
        <f>+VLOOKUP(F1724,[1]Explore!$B:$I,8,0)</f>
        <v>Market</v>
      </c>
      <c r="H1724" t="s">
        <v>2082</v>
      </c>
      <c r="I1724" t="e">
        <f>+VLOOKUP(H1724,[1]Explore!$A:$I,9,0)</f>
        <v>#N/A</v>
      </c>
      <c r="J1724" t="str">
        <f t="shared" si="52"/>
        <v>OK</v>
      </c>
      <c r="K1724" t="str">
        <f t="shared" si="53"/>
        <v>Market</v>
      </c>
      <c r="L1724" t="s">
        <v>2145</v>
      </c>
      <c r="M1724" t="str">
        <f>_xlfn.IFNA(VLOOKUP(K1724,'Mapping DEF'!A:C,2,0),"")</f>
        <v>Style</v>
      </c>
      <c r="N1724" t="str">
        <f>+_xlfn.IFNA(VLOOKUP(M1724,'Mapping DEF'!B:C,2,FALSE),"")</f>
        <v>Equity</v>
      </c>
      <c r="O1724" t="s">
        <v>2905</v>
      </c>
    </row>
    <row r="1725" spans="1:15" x14ac:dyDescent="0.25">
      <c r="A1725" s="4" t="s">
        <v>2594</v>
      </c>
      <c r="B1725" s="4" t="s">
        <v>2595</v>
      </c>
      <c r="C1725" s="5">
        <v>2210</v>
      </c>
      <c r="D1725" s="6" t="s">
        <v>2596</v>
      </c>
      <c r="E1725" t="s">
        <v>2083</v>
      </c>
      <c r="F1725" t="s">
        <v>2052</v>
      </c>
      <c r="G1725" t="str">
        <f>+VLOOKUP(F1725,[1]Explore!$B:$I,8,0)</f>
        <v>North America</v>
      </c>
      <c r="H1725" t="s">
        <v>2084</v>
      </c>
      <c r="I1725" t="e">
        <f>+VLOOKUP(H1725,[1]Explore!$A:$I,9,0)</f>
        <v>#N/A</v>
      </c>
      <c r="J1725" t="str">
        <f t="shared" si="52"/>
        <v>OK</v>
      </c>
      <c r="K1725" t="str">
        <f t="shared" si="53"/>
        <v>North America</v>
      </c>
      <c r="L1725" t="s">
        <v>2142</v>
      </c>
      <c r="M1725" t="str">
        <f>_xlfn.IFNA(VLOOKUP(K1725,'Mapping DEF'!A:C,2,0),"")</f>
        <v>Country Allocation</v>
      </c>
      <c r="N1725" t="str">
        <f>+_xlfn.IFNA(VLOOKUP(M1725,'Mapping DEF'!B:C,2,FALSE),"")</f>
        <v>Equity</v>
      </c>
      <c r="O1725" t="s">
        <v>2776</v>
      </c>
    </row>
    <row r="1726" spans="1:15" x14ac:dyDescent="0.25">
      <c r="A1726" s="4" t="s">
        <v>2594</v>
      </c>
      <c r="B1726" s="4" t="s">
        <v>2595</v>
      </c>
      <c r="C1726" s="5">
        <v>2210</v>
      </c>
      <c r="D1726" s="6" t="s">
        <v>2596</v>
      </c>
      <c r="E1726" t="s">
        <v>2085</v>
      </c>
      <c r="F1726" t="s">
        <v>349</v>
      </c>
      <c r="G1726" t="str">
        <f>+VLOOKUP(F1726,[1]Explore!$B:$I,8,0)</f>
        <v>Corporate HY USD - Industry</v>
      </c>
      <c r="H1726" t="s">
        <v>350</v>
      </c>
      <c r="I1726" t="str">
        <f>+VLOOKUP(H1726,[1]Explore!$A:$I,9,0)</f>
        <v>Corporate HY USD - Industry</v>
      </c>
      <c r="J1726" t="str">
        <f t="shared" si="52"/>
        <v>OK</v>
      </c>
      <c r="K1726" t="str">
        <f t="shared" si="53"/>
        <v>Corporate HY USD - Industry</v>
      </c>
      <c r="L1726" t="s">
        <v>188</v>
      </c>
      <c r="M1726" t="str">
        <f>_xlfn.IFNA(VLOOKUP(K1726,'Mapping DEF'!A:C,2,0),"")</f>
        <v>Spread</v>
      </c>
      <c r="N1726" t="str">
        <f>+_xlfn.IFNA(VLOOKUP(M1726,'Mapping DEF'!B:C,2,FALSE),"")</f>
        <v>Spread</v>
      </c>
      <c r="O1726" t="s">
        <v>2846</v>
      </c>
    </row>
    <row r="1727" spans="1:15" x14ac:dyDescent="0.25">
      <c r="A1727" s="4" t="s">
        <v>2594</v>
      </c>
      <c r="B1727" s="4" t="s">
        <v>2595</v>
      </c>
      <c r="C1727" s="5">
        <v>2210</v>
      </c>
      <c r="D1727" s="6" t="s">
        <v>2596</v>
      </c>
      <c r="E1727" t="s">
        <v>2086</v>
      </c>
      <c r="F1727" t="s">
        <v>402</v>
      </c>
      <c r="G1727" t="str">
        <f>+VLOOKUP(F1727,[1]Explore!$B:$I,8,0)</f>
        <v>Emerging Markets</v>
      </c>
      <c r="H1727" t="s">
        <v>2087</v>
      </c>
      <c r="I1727" t="str">
        <f>+VLOOKUP(H1727,[1]Explore!$A:$I,9,0)</f>
        <v>Corporate HY USD - Country</v>
      </c>
      <c r="J1727" t="str">
        <f t="shared" si="52"/>
        <v>OK</v>
      </c>
      <c r="K1727" t="str">
        <f t="shared" si="53"/>
        <v>Corporate HY USD - Country</v>
      </c>
      <c r="L1727" t="s">
        <v>188</v>
      </c>
      <c r="M1727" t="str">
        <f>_xlfn.IFNA(VLOOKUP(K1727,'Mapping DEF'!A:C,2,0),"")</f>
        <v/>
      </c>
      <c r="N1727" t="str">
        <f>+_xlfn.IFNA(VLOOKUP(M1727,'Mapping DEF'!B:C,2,FALSE),"")</f>
        <v/>
      </c>
      <c r="O1727" t="s">
        <v>2843</v>
      </c>
    </row>
    <row r="1728" spans="1:15" x14ac:dyDescent="0.25">
      <c r="A1728" s="4" t="s">
        <v>2594</v>
      </c>
      <c r="B1728" s="4" t="s">
        <v>2595</v>
      </c>
      <c r="C1728" s="5">
        <v>2210</v>
      </c>
      <c r="D1728" s="6" t="s">
        <v>2596</v>
      </c>
      <c r="E1728" t="s">
        <v>2088</v>
      </c>
      <c r="F1728" t="s">
        <v>2156</v>
      </c>
      <c r="G1728" t="str">
        <f>+VLOOKUP(F1728,[1]Explore!$B:$I,8,0)</f>
        <v>Equity Implied Volatility</v>
      </c>
      <c r="H1728" t="s">
        <v>224</v>
      </c>
      <c r="I1728" t="e">
        <f>+VLOOKUP(H1728,[1]Explore!$A:$I,9,0)</f>
        <v>#N/A</v>
      </c>
      <c r="J1728" t="str">
        <f t="shared" si="52"/>
        <v>OK</v>
      </c>
      <c r="K1728" t="str">
        <f t="shared" si="53"/>
        <v>Equity Implied Volatility</v>
      </c>
      <c r="L1728" t="s">
        <v>27</v>
      </c>
      <c r="M1728" t="str">
        <f>_xlfn.IFNA(VLOOKUP(K1728,'Mapping DEF'!A:C,2,0),"")</f>
        <v>Equity Derivatives</v>
      </c>
      <c r="N1728" t="str">
        <f>+_xlfn.IFNA(VLOOKUP(M1728,'Mapping DEF'!B:C,2,FALSE),"")</f>
        <v>Equity</v>
      </c>
      <c r="O1728" t="s">
        <v>2812</v>
      </c>
    </row>
    <row r="1729" spans="1:15" x14ac:dyDescent="0.25">
      <c r="A1729" s="4" t="s">
        <v>2594</v>
      </c>
      <c r="B1729" s="4" t="s">
        <v>2595</v>
      </c>
      <c r="C1729" s="5">
        <v>2210</v>
      </c>
      <c r="D1729" s="6" t="s">
        <v>2596</v>
      </c>
      <c r="E1729" t="s">
        <v>2089</v>
      </c>
      <c r="F1729" t="s">
        <v>2629</v>
      </c>
      <c r="G1729" t="str">
        <f>+VLOOKUP(F1729,[1]Explore!$B:$I,8,0)</f>
        <v>Corporate HY USD - Maturity</v>
      </c>
      <c r="H1729" t="s">
        <v>2090</v>
      </c>
      <c r="I1729" t="e">
        <f>+VLOOKUP(H1729,[1]Explore!$A:$I,9,0)</f>
        <v>#N/A</v>
      </c>
      <c r="J1729" t="str">
        <f t="shared" si="52"/>
        <v>OK</v>
      </c>
      <c r="K1729" t="str">
        <f t="shared" si="53"/>
        <v>Corporate HY USD - Maturity</v>
      </c>
      <c r="L1729" t="s">
        <v>188</v>
      </c>
      <c r="M1729" t="str">
        <f>_xlfn.IFNA(VLOOKUP(K1729,'Mapping DEF'!A:C,2,0),"")</f>
        <v>Spread</v>
      </c>
      <c r="N1729" t="str">
        <f>+_xlfn.IFNA(VLOOKUP(M1729,'Mapping DEF'!B:C,2,FALSE),"")</f>
        <v>Spread</v>
      </c>
      <c r="O1729" t="s">
        <v>2829</v>
      </c>
    </row>
    <row r="1730" spans="1:15" x14ac:dyDescent="0.25">
      <c r="A1730" s="4" t="s">
        <v>2597</v>
      </c>
      <c r="B1730" s="4" t="s">
        <v>2598</v>
      </c>
      <c r="C1730" s="5">
        <v>2211</v>
      </c>
      <c r="D1730" s="6" t="s">
        <v>2599</v>
      </c>
      <c r="E1730" t="s">
        <v>1753</v>
      </c>
      <c r="F1730" t="s">
        <v>19</v>
      </c>
      <c r="G1730" t="str">
        <f>+VLOOKUP(F1730,[1]Explore!$B:$I,8,0)</f>
        <v>Govt USD</v>
      </c>
      <c r="H1730" t="s">
        <v>20</v>
      </c>
      <c r="I1730" t="str">
        <f>+VLOOKUP(H1730,[1]Explore!$A:$I,9,0)</f>
        <v>Govt USD</v>
      </c>
      <c r="J1730" t="str">
        <f t="shared" si="52"/>
        <v>OK</v>
      </c>
      <c r="K1730" t="str">
        <f t="shared" si="53"/>
        <v>Govt USD</v>
      </c>
      <c r="L1730" t="s">
        <v>2143</v>
      </c>
      <c r="M1730" t="str">
        <f>_xlfn.IFNA(VLOOKUP(K1730,'Mapping DEF'!A:C,2,0),"")</f>
        <v>Curve (Local)</v>
      </c>
      <c r="N1730" t="str">
        <f>+_xlfn.IFNA(VLOOKUP(M1730,'Mapping DEF'!B:C,2,FALSE),"")</f>
        <v>Term Structure</v>
      </c>
      <c r="O1730" t="s">
        <v>2766</v>
      </c>
    </row>
    <row r="1731" spans="1:15" x14ac:dyDescent="0.25">
      <c r="A1731" s="4" t="s">
        <v>2597</v>
      </c>
      <c r="B1731" s="4" t="s">
        <v>2598</v>
      </c>
      <c r="C1731" s="5">
        <v>2211</v>
      </c>
      <c r="D1731" s="6" t="s">
        <v>2599</v>
      </c>
      <c r="E1731" t="s">
        <v>1340</v>
      </c>
      <c r="F1731" t="s">
        <v>731</v>
      </c>
      <c r="G1731" t="str">
        <f>+VLOOKUP(F1731,[1]Explore!$B:$I,8,0)</f>
        <v>Alternative - Commodity</v>
      </c>
      <c r="H1731" t="s">
        <v>732</v>
      </c>
      <c r="I1731" t="str">
        <f>+VLOOKUP(H1731,[1]Explore!$A:$I,9,0)</f>
        <v>Alternative - Commodity</v>
      </c>
      <c r="J1731" t="str">
        <f t="shared" ref="J1731:J1794" si="54">IF(AND(ISNA(G1731),ISNA(I1731)),"BOTH #N/A","OK")</f>
        <v>OK</v>
      </c>
      <c r="K1731" t="str">
        <f t="shared" ref="K1731:K1794" si="55">IFERROR(I1731, IFERROR(G1731, L1731))</f>
        <v>Alternative - Commodity</v>
      </c>
      <c r="L1731" t="s">
        <v>2139</v>
      </c>
      <c r="M1731" t="str">
        <f>_xlfn.IFNA(VLOOKUP(K1731,'Mapping DEF'!A:C,2,0),"")</f>
        <v>Alternative</v>
      </c>
      <c r="N1731" t="str">
        <f>+_xlfn.IFNA(VLOOKUP(M1731,'Mapping DEF'!B:C,2,FALSE),"")</f>
        <v>Other</v>
      </c>
      <c r="O1731" t="s">
        <v>2794</v>
      </c>
    </row>
    <row r="1732" spans="1:15" x14ac:dyDescent="0.25">
      <c r="A1732" s="4" t="s">
        <v>2597</v>
      </c>
      <c r="B1732" s="4" t="s">
        <v>2598</v>
      </c>
      <c r="C1732" s="5">
        <v>2211</v>
      </c>
      <c r="D1732" s="6" t="s">
        <v>2599</v>
      </c>
      <c r="E1732" t="s">
        <v>437</v>
      </c>
      <c r="F1732" t="s">
        <v>438</v>
      </c>
      <c r="G1732" t="str">
        <f>+VLOOKUP(F1732,[1]Explore!$B:$I,8,0)</f>
        <v>Materials</v>
      </c>
      <c r="H1732" t="s">
        <v>439</v>
      </c>
      <c r="I1732" t="str">
        <f>+VLOOKUP(H1732,[1]Explore!$A:$I,9,0)</f>
        <v>Alternative - Commodity</v>
      </c>
      <c r="J1732" t="str">
        <f t="shared" si="54"/>
        <v>OK</v>
      </c>
      <c r="K1732" t="str">
        <f t="shared" si="55"/>
        <v>Alternative - Commodity</v>
      </c>
      <c r="L1732" t="s">
        <v>2139</v>
      </c>
      <c r="M1732" t="str">
        <f>_xlfn.IFNA(VLOOKUP(K1732,'Mapping DEF'!A:C,2,0),"")</f>
        <v>Alternative</v>
      </c>
      <c r="N1732" t="str">
        <f>+_xlfn.IFNA(VLOOKUP(M1732,'Mapping DEF'!B:C,2,FALSE),"")</f>
        <v>Other</v>
      </c>
      <c r="O1732" t="s">
        <v>2770</v>
      </c>
    </row>
    <row r="1733" spans="1:15" x14ac:dyDescent="0.25">
      <c r="A1733" s="4" t="s">
        <v>2597</v>
      </c>
      <c r="B1733" s="4" t="s">
        <v>2598</v>
      </c>
      <c r="C1733" s="5">
        <v>2211</v>
      </c>
      <c r="D1733" s="6" t="s">
        <v>2599</v>
      </c>
      <c r="E1733" t="s">
        <v>1444</v>
      </c>
      <c r="F1733" t="s">
        <v>315</v>
      </c>
      <c r="G1733" t="str">
        <f>+VLOOKUP(F1733,[1]Explore!$B:$I,8,0)</f>
        <v>Govt EUR (Ger)</v>
      </c>
      <c r="H1733" t="s">
        <v>316</v>
      </c>
      <c r="I1733" t="str">
        <f>+VLOOKUP(H1733,[1]Explore!$A:$I,9,0)</f>
        <v>Govt EUR (Ger)</v>
      </c>
      <c r="J1733" t="str">
        <f t="shared" si="54"/>
        <v>OK</v>
      </c>
      <c r="K1733" t="str">
        <f t="shared" si="55"/>
        <v>Govt EUR (Ger)</v>
      </c>
      <c r="L1733" t="s">
        <v>2143</v>
      </c>
      <c r="M1733" t="str">
        <f>_xlfn.IFNA(VLOOKUP(K1733,'Mapping DEF'!A:C,2,0),"")</f>
        <v>Curve (Local)</v>
      </c>
      <c r="N1733" t="str">
        <f>+_xlfn.IFNA(VLOOKUP(M1733,'Mapping DEF'!B:C,2,FALSE),"")</f>
        <v>Term Structure</v>
      </c>
      <c r="O1733" t="s">
        <v>2755</v>
      </c>
    </row>
    <row r="1734" spans="1:15" x14ac:dyDescent="0.25">
      <c r="A1734" s="4" t="s">
        <v>2597</v>
      </c>
      <c r="B1734" s="4" t="s">
        <v>2598</v>
      </c>
      <c r="C1734" s="5">
        <v>2211</v>
      </c>
      <c r="D1734" s="6" t="s">
        <v>2599</v>
      </c>
      <c r="E1734" t="s">
        <v>1195</v>
      </c>
      <c r="F1734" t="s">
        <v>2942</v>
      </c>
      <c r="G1734" t="str">
        <f>+VLOOKUP(F1734,[1]Explore!$B:$I,8,0)</f>
        <v>EUR</v>
      </c>
      <c r="H1734" t="s">
        <v>173</v>
      </c>
      <c r="I1734" t="str">
        <f>+VLOOKUP(H1734,[1]Explore!$A:$I,9,0)</f>
        <v>EUR</v>
      </c>
      <c r="J1734" t="str">
        <f t="shared" si="54"/>
        <v>OK</v>
      </c>
      <c r="K1734" t="str">
        <f t="shared" si="55"/>
        <v>EUR</v>
      </c>
      <c r="L1734" t="s">
        <v>2140</v>
      </c>
      <c r="M1734" t="str">
        <f>_xlfn.IFNA(VLOOKUP(K1734,'Mapping DEF'!A:C,2,0),"")</f>
        <v>FX</v>
      </c>
      <c r="N1734" t="str">
        <f>+_xlfn.IFNA(VLOOKUP(M1734,'Mapping DEF'!B:C,2,FALSE),"")</f>
        <v>FX</v>
      </c>
      <c r="O1734" t="s">
        <v>2802</v>
      </c>
    </row>
    <row r="1735" spans="1:15" x14ac:dyDescent="0.25">
      <c r="A1735" s="4" t="s">
        <v>2597</v>
      </c>
      <c r="B1735" s="4" t="s">
        <v>2598</v>
      </c>
      <c r="C1735" s="5">
        <v>2211</v>
      </c>
      <c r="D1735" s="6" t="s">
        <v>2599</v>
      </c>
      <c r="E1735" t="s">
        <v>581</v>
      </c>
      <c r="F1735" t="s">
        <v>392</v>
      </c>
      <c r="G1735" t="str">
        <f>+VLOOKUP(F1735,[1]Explore!$B:$I,8,0)</f>
        <v>Equity Implied Volatility</v>
      </c>
      <c r="H1735" t="s">
        <v>392</v>
      </c>
      <c r="I1735" t="str">
        <f>+VLOOKUP(H1735,[1]Explore!$A:$I,9,0)</f>
        <v>Equity Implied Volatility</v>
      </c>
      <c r="J1735" t="str">
        <f t="shared" si="54"/>
        <v>OK</v>
      </c>
      <c r="K1735" t="str">
        <f t="shared" si="55"/>
        <v>Equity Implied Volatility</v>
      </c>
      <c r="L1735" t="s">
        <v>27</v>
      </c>
      <c r="M1735" t="str">
        <f>_xlfn.IFNA(VLOOKUP(K1735,'Mapping DEF'!A:C,2,0),"")</f>
        <v>Equity Derivatives</v>
      </c>
      <c r="N1735" t="str">
        <f>+_xlfn.IFNA(VLOOKUP(M1735,'Mapping DEF'!B:C,2,FALSE),"")</f>
        <v>Equity</v>
      </c>
      <c r="O1735" t="s">
        <v>2811</v>
      </c>
    </row>
    <row r="1736" spans="1:15" x14ac:dyDescent="0.25">
      <c r="A1736" s="4" t="s">
        <v>2597</v>
      </c>
      <c r="B1736" s="4" t="s">
        <v>2598</v>
      </c>
      <c r="C1736" s="5">
        <v>2211</v>
      </c>
      <c r="D1736" s="6" t="s">
        <v>2599</v>
      </c>
      <c r="E1736" t="s">
        <v>2091</v>
      </c>
      <c r="F1736" t="s">
        <v>1396</v>
      </c>
      <c r="G1736" t="str">
        <f>+VLOOKUP(F1736,[1]Explore!$B:$I,8,0)</f>
        <v>Corporate HY EUR - Other</v>
      </c>
      <c r="H1736" t="s">
        <v>2092</v>
      </c>
      <c r="I1736" t="str">
        <f>+VLOOKUP(H1736,[1]Explore!$A:$I,9,0)</f>
        <v>Corporate HY EUR - Other</v>
      </c>
      <c r="J1736" t="str">
        <f t="shared" si="54"/>
        <v>OK</v>
      </c>
      <c r="K1736" t="str">
        <f t="shared" si="55"/>
        <v>Corporate HY EUR - Other</v>
      </c>
      <c r="L1736" t="s">
        <v>188</v>
      </c>
      <c r="M1736" t="str">
        <f>_xlfn.IFNA(VLOOKUP(K1736,'Mapping DEF'!A:C,2,0),"")</f>
        <v>Spread</v>
      </c>
      <c r="N1736" t="str">
        <f>+_xlfn.IFNA(VLOOKUP(M1736,'Mapping DEF'!B:C,2,FALSE),"")</f>
        <v>Spread</v>
      </c>
      <c r="O1736" t="s">
        <v>2795</v>
      </c>
    </row>
    <row r="1737" spans="1:15" x14ac:dyDescent="0.25">
      <c r="A1737" s="4" t="s">
        <v>2597</v>
      </c>
      <c r="B1737" s="4" t="s">
        <v>2598</v>
      </c>
      <c r="C1737" s="5">
        <v>2211</v>
      </c>
      <c r="D1737" s="6" t="s">
        <v>2599</v>
      </c>
      <c r="E1737" t="s">
        <v>2093</v>
      </c>
      <c r="F1737" t="s">
        <v>1954</v>
      </c>
      <c r="G1737" t="str">
        <f>+VLOOKUP(F1737,[1]Explore!$B:$I,8,0)</f>
        <v>Emerging Markets</v>
      </c>
      <c r="H1737" t="s">
        <v>2094</v>
      </c>
      <c r="I1737" t="str">
        <f>+VLOOKUP(H1737,[1]Explore!$A:$I,9,0)</f>
        <v>Emerging Markets</v>
      </c>
      <c r="J1737" t="str">
        <f t="shared" si="54"/>
        <v>OK</v>
      </c>
      <c r="K1737" t="str">
        <f t="shared" si="55"/>
        <v>Emerging Markets</v>
      </c>
      <c r="L1737" t="s">
        <v>2142</v>
      </c>
      <c r="M1737" t="str">
        <f>_xlfn.IFNA(VLOOKUP(K1737,'Mapping DEF'!A:C,2,0),"")</f>
        <v>Country Allocation</v>
      </c>
      <c r="N1737" t="str">
        <f>+_xlfn.IFNA(VLOOKUP(M1737,'Mapping DEF'!B:C,2,FALSE),"")</f>
        <v>Equity</v>
      </c>
      <c r="O1737" t="s">
        <v>2768</v>
      </c>
    </row>
    <row r="1738" spans="1:15" x14ac:dyDescent="0.25">
      <c r="A1738" s="4" t="s">
        <v>2597</v>
      </c>
      <c r="B1738" s="4" t="s">
        <v>2598</v>
      </c>
      <c r="C1738" s="5">
        <v>2211</v>
      </c>
      <c r="D1738" s="6" t="s">
        <v>2599</v>
      </c>
      <c r="E1738" t="s">
        <v>2095</v>
      </c>
      <c r="F1738" t="s">
        <v>352</v>
      </c>
      <c r="G1738" t="e">
        <f>+VLOOKUP(F1738,[1]Explore!$B:$I,8,0)</f>
        <v>#N/A</v>
      </c>
      <c r="H1738" t="s">
        <v>353</v>
      </c>
      <c r="I1738" t="str">
        <f>+VLOOKUP(H1738,[1]Explore!$A:$I,9,0)</f>
        <v>Other - Index</v>
      </c>
      <c r="J1738" t="str">
        <f t="shared" si="54"/>
        <v>OK</v>
      </c>
      <c r="K1738" t="str">
        <f t="shared" si="55"/>
        <v>Other - Index</v>
      </c>
      <c r="L1738" t="s">
        <v>27</v>
      </c>
      <c r="M1738" t="str">
        <f>_xlfn.IFNA(VLOOKUP(K1738,'Mapping DEF'!A:C,2,0),"")</f>
        <v>Other</v>
      </c>
      <c r="N1738" t="str">
        <f>+_xlfn.IFNA(VLOOKUP(M1738,'Mapping DEF'!B:C,2,FALSE),"")</f>
        <v>Other</v>
      </c>
      <c r="O1738" t="s">
        <v>2770</v>
      </c>
    </row>
    <row r="1739" spans="1:15" x14ac:dyDescent="0.25">
      <c r="A1739" s="4" t="s">
        <v>2597</v>
      </c>
      <c r="B1739" s="4" t="s">
        <v>2598</v>
      </c>
      <c r="C1739" s="5">
        <v>2211</v>
      </c>
      <c r="D1739" s="6" t="s">
        <v>2599</v>
      </c>
      <c r="E1739" t="s">
        <v>2096</v>
      </c>
      <c r="F1739" t="s">
        <v>2156</v>
      </c>
      <c r="G1739" t="str">
        <f>+VLOOKUP(F1739,[1]Explore!$B:$I,8,0)</f>
        <v>Equity Implied Volatility</v>
      </c>
      <c r="H1739" t="s">
        <v>224</v>
      </c>
      <c r="I1739" t="e">
        <f>+VLOOKUP(H1739,[1]Explore!$A:$I,9,0)</f>
        <v>#N/A</v>
      </c>
      <c r="J1739" t="str">
        <f t="shared" si="54"/>
        <v>OK</v>
      </c>
      <c r="K1739" t="str">
        <f t="shared" si="55"/>
        <v>Equity Implied Volatility</v>
      </c>
      <c r="L1739" t="s">
        <v>27</v>
      </c>
      <c r="M1739" t="str">
        <f>_xlfn.IFNA(VLOOKUP(K1739,'Mapping DEF'!A:C,2,0),"")</f>
        <v>Equity Derivatives</v>
      </c>
      <c r="N1739" t="str">
        <f>+_xlfn.IFNA(VLOOKUP(M1739,'Mapping DEF'!B:C,2,FALSE),"")</f>
        <v>Equity</v>
      </c>
      <c r="O1739" t="s">
        <v>2770</v>
      </c>
    </row>
    <row r="1740" spans="1:15" x14ac:dyDescent="0.25">
      <c r="A1740" s="4" t="s">
        <v>2600</v>
      </c>
      <c r="B1740" s="4" t="s">
        <v>2601</v>
      </c>
      <c r="C1740" s="5">
        <v>2510</v>
      </c>
      <c r="D1740" s="6" t="s">
        <v>2602</v>
      </c>
      <c r="E1740" t="s">
        <v>1181</v>
      </c>
      <c r="F1740" t="s">
        <v>19</v>
      </c>
      <c r="G1740" t="str">
        <f>+VLOOKUP(F1740,[1]Explore!$B:$I,8,0)</f>
        <v>Govt USD</v>
      </c>
      <c r="H1740" t="s">
        <v>20</v>
      </c>
      <c r="I1740" t="str">
        <f>+VLOOKUP(H1740,[1]Explore!$A:$I,9,0)</f>
        <v>Govt USD</v>
      </c>
      <c r="J1740" t="str">
        <f t="shared" si="54"/>
        <v>OK</v>
      </c>
      <c r="K1740" t="str">
        <f t="shared" si="55"/>
        <v>Govt USD</v>
      </c>
      <c r="L1740" t="s">
        <v>2143</v>
      </c>
      <c r="M1740" t="str">
        <f>_xlfn.IFNA(VLOOKUP(K1740,'Mapping DEF'!A:C,2,0),"")</f>
        <v>Curve (Local)</v>
      </c>
      <c r="N1740" t="str">
        <f>+_xlfn.IFNA(VLOOKUP(M1740,'Mapping DEF'!B:C,2,FALSE),"")</f>
        <v>Term Structure</v>
      </c>
      <c r="O1740" t="s">
        <v>2797</v>
      </c>
    </row>
    <row r="1741" spans="1:15" x14ac:dyDescent="0.25">
      <c r="A1741" s="4" t="s">
        <v>2600</v>
      </c>
      <c r="B1741" s="4" t="s">
        <v>2601</v>
      </c>
      <c r="C1741" s="5">
        <v>2510</v>
      </c>
      <c r="D1741" s="6" t="s">
        <v>2602</v>
      </c>
      <c r="E1741" t="s">
        <v>411</v>
      </c>
      <c r="F1741" t="s">
        <v>258</v>
      </c>
      <c r="G1741" t="str">
        <f>+VLOOKUP(F1741,[1]Explore!$B:$I,8,0)</f>
        <v>USD Inflation</v>
      </c>
      <c r="H1741" t="s">
        <v>259</v>
      </c>
      <c r="I1741" t="str">
        <f>+VLOOKUP(H1741,[1]Explore!$A:$I,9,0)</f>
        <v>USD Inflation</v>
      </c>
      <c r="J1741" t="str">
        <f t="shared" si="54"/>
        <v>OK</v>
      </c>
      <c r="K1741" t="str">
        <f t="shared" si="55"/>
        <v>USD Inflation</v>
      </c>
      <c r="L1741" t="s">
        <v>2143</v>
      </c>
      <c r="M1741" t="str">
        <f>_xlfn.IFNA(VLOOKUP(K1741,'Mapping DEF'!A:C,2,0),"")</f>
        <v>Inflation</v>
      </c>
      <c r="N1741" t="str">
        <f>+_xlfn.IFNA(VLOOKUP(M1741,'Mapping DEF'!B:C,2,FALSE),"")</f>
        <v>Other</v>
      </c>
      <c r="O1741" t="s">
        <v>2774</v>
      </c>
    </row>
    <row r="1742" spans="1:15" x14ac:dyDescent="0.25">
      <c r="A1742" s="4" t="s">
        <v>2600</v>
      </c>
      <c r="B1742" s="4" t="s">
        <v>2601</v>
      </c>
      <c r="C1742" s="5">
        <v>2510</v>
      </c>
      <c r="D1742" s="6" t="s">
        <v>2602</v>
      </c>
      <c r="E1742" t="s">
        <v>2097</v>
      </c>
      <c r="F1742" t="s">
        <v>413</v>
      </c>
      <c r="G1742" t="str">
        <f>+VLOOKUP(F1742,[1]Explore!$B:$I,8,0)</f>
        <v>Alternative - Commodity</v>
      </c>
      <c r="H1742" t="s">
        <v>414</v>
      </c>
      <c r="I1742" t="str">
        <f>+VLOOKUP(H1742,[1]Explore!$A:$I,9,0)</f>
        <v>Alternative - Commodity</v>
      </c>
      <c r="J1742" t="str">
        <f t="shared" si="54"/>
        <v>OK</v>
      </c>
      <c r="K1742" t="str">
        <f t="shared" si="55"/>
        <v>Alternative - Commodity</v>
      </c>
      <c r="L1742" t="s">
        <v>2139</v>
      </c>
      <c r="M1742" t="str">
        <f>_xlfn.IFNA(VLOOKUP(K1742,'Mapping DEF'!A:C,2,0),"")</f>
        <v>Alternative</v>
      </c>
      <c r="N1742" t="str">
        <f>+_xlfn.IFNA(VLOOKUP(M1742,'Mapping DEF'!B:C,2,FALSE),"")</f>
        <v>Other</v>
      </c>
      <c r="O1742" t="s">
        <v>2757</v>
      </c>
    </row>
    <row r="1743" spans="1:15" x14ac:dyDescent="0.25">
      <c r="A1743" s="4" t="s">
        <v>2600</v>
      </c>
      <c r="B1743" s="4" t="s">
        <v>2601</v>
      </c>
      <c r="C1743" s="5">
        <v>2510</v>
      </c>
      <c r="D1743" s="6" t="s">
        <v>2602</v>
      </c>
      <c r="E1743" t="s">
        <v>2098</v>
      </c>
      <c r="F1743" t="s">
        <v>438</v>
      </c>
      <c r="G1743" t="str">
        <f>+VLOOKUP(F1743,[1]Explore!$B:$I,8,0)</f>
        <v>Materials</v>
      </c>
      <c r="H1743" t="s">
        <v>439</v>
      </c>
      <c r="I1743" t="str">
        <f>+VLOOKUP(H1743,[1]Explore!$A:$I,9,0)</f>
        <v>Alternative - Commodity</v>
      </c>
      <c r="J1743" t="str">
        <f t="shared" si="54"/>
        <v>OK</v>
      </c>
      <c r="K1743" t="str">
        <f t="shared" si="55"/>
        <v>Alternative - Commodity</v>
      </c>
      <c r="L1743" t="s">
        <v>2139</v>
      </c>
      <c r="M1743" t="str">
        <f>_xlfn.IFNA(VLOOKUP(K1743,'Mapping DEF'!A:C,2,0),"")</f>
        <v>Alternative</v>
      </c>
      <c r="N1743" t="str">
        <f>+_xlfn.IFNA(VLOOKUP(M1743,'Mapping DEF'!B:C,2,FALSE),"")</f>
        <v>Other</v>
      </c>
      <c r="O1743" t="s">
        <v>2761</v>
      </c>
    </row>
    <row r="1744" spans="1:15" x14ac:dyDescent="0.25">
      <c r="A1744" s="4" t="s">
        <v>2600</v>
      </c>
      <c r="B1744" s="4" t="s">
        <v>2601</v>
      </c>
      <c r="C1744" s="5">
        <v>2510</v>
      </c>
      <c r="D1744" s="6" t="s">
        <v>2602</v>
      </c>
      <c r="E1744" t="s">
        <v>1488</v>
      </c>
      <c r="F1744" t="s">
        <v>271</v>
      </c>
      <c r="G1744" t="str">
        <f>+VLOOKUP(F1744,[1]Explore!$B:$I,8,0)</f>
        <v>Corporate IG USD - Other</v>
      </c>
      <c r="H1744" t="s">
        <v>272</v>
      </c>
      <c r="I1744" t="str">
        <f>+VLOOKUP(H1744,[1]Explore!$A:$I,9,0)</f>
        <v>Corporate IG USD - Other</v>
      </c>
      <c r="J1744" t="str">
        <f t="shared" si="54"/>
        <v>OK</v>
      </c>
      <c r="K1744" t="str">
        <f t="shared" si="55"/>
        <v>Corporate IG USD - Other</v>
      </c>
      <c r="L1744" t="s">
        <v>2650</v>
      </c>
      <c r="M1744" t="str">
        <f>_xlfn.IFNA(VLOOKUP(K1744,'Mapping DEF'!A:C,2,0),"")</f>
        <v>Spread</v>
      </c>
      <c r="N1744" t="str">
        <f>+_xlfn.IFNA(VLOOKUP(M1744,'Mapping DEF'!B:C,2,FALSE),"")</f>
        <v>Spread</v>
      </c>
      <c r="O1744" t="s">
        <v>2779</v>
      </c>
    </row>
    <row r="1745" spans="1:15" x14ac:dyDescent="0.25">
      <c r="A1745" s="4" t="s">
        <v>2600</v>
      </c>
      <c r="B1745" s="4" t="s">
        <v>2601</v>
      </c>
      <c r="C1745" s="5">
        <v>2510</v>
      </c>
      <c r="D1745" s="6" t="s">
        <v>2602</v>
      </c>
      <c r="E1745" t="s">
        <v>2102</v>
      </c>
      <c r="F1745" t="s">
        <v>315</v>
      </c>
      <c r="G1745" t="str">
        <f>+VLOOKUP(F1745,[1]Explore!$B:$I,8,0)</f>
        <v>Govt EUR (Ger)</v>
      </c>
      <c r="H1745" t="s">
        <v>316</v>
      </c>
      <c r="I1745" t="str">
        <f>+VLOOKUP(H1745,[1]Explore!$A:$I,9,0)</f>
        <v>Govt EUR (Ger)</v>
      </c>
      <c r="J1745" t="str">
        <f t="shared" si="54"/>
        <v>OK</v>
      </c>
      <c r="K1745" t="str">
        <f t="shared" si="55"/>
        <v>Govt EUR (Ger)</v>
      </c>
      <c r="L1745" t="s">
        <v>2143</v>
      </c>
      <c r="M1745" t="str">
        <f>_xlfn.IFNA(VLOOKUP(K1745,'Mapping DEF'!A:C,2,0),"")</f>
        <v>Curve (Local)</v>
      </c>
      <c r="N1745" t="str">
        <f>+_xlfn.IFNA(VLOOKUP(M1745,'Mapping DEF'!B:C,2,FALSE),"")</f>
        <v>Term Structure</v>
      </c>
      <c r="O1745" t="s">
        <v>2906</v>
      </c>
    </row>
    <row r="1746" spans="1:15" x14ac:dyDescent="0.25">
      <c r="A1746" s="4" t="s">
        <v>2600</v>
      </c>
      <c r="B1746" s="4" t="s">
        <v>2601</v>
      </c>
      <c r="C1746" s="5">
        <v>2510</v>
      </c>
      <c r="D1746" s="6" t="s">
        <v>2602</v>
      </c>
      <c r="E1746" t="s">
        <v>1195</v>
      </c>
      <c r="F1746" t="s">
        <v>2942</v>
      </c>
      <c r="G1746" t="str">
        <f>+VLOOKUP(F1746,[1]Explore!$B:$I,8,0)</f>
        <v>EUR</v>
      </c>
      <c r="H1746" t="s">
        <v>173</v>
      </c>
      <c r="I1746" t="str">
        <f>+VLOOKUP(H1746,[1]Explore!$A:$I,9,0)</f>
        <v>EUR</v>
      </c>
      <c r="J1746" t="str">
        <f t="shared" si="54"/>
        <v>OK</v>
      </c>
      <c r="K1746" t="str">
        <f t="shared" si="55"/>
        <v>EUR</v>
      </c>
      <c r="L1746" t="s">
        <v>2140</v>
      </c>
      <c r="M1746" t="str">
        <f>_xlfn.IFNA(VLOOKUP(K1746,'Mapping DEF'!A:C,2,0),"")</f>
        <v>FX</v>
      </c>
      <c r="N1746" t="str">
        <f>+_xlfn.IFNA(VLOOKUP(M1746,'Mapping DEF'!B:C,2,FALSE),"")</f>
        <v>FX</v>
      </c>
      <c r="O1746" t="s">
        <v>2802</v>
      </c>
    </row>
    <row r="1747" spans="1:15" x14ac:dyDescent="0.25">
      <c r="A1747" s="4" t="s">
        <v>2600</v>
      </c>
      <c r="B1747" s="4" t="s">
        <v>2601</v>
      </c>
      <c r="C1747" s="5">
        <v>2510</v>
      </c>
      <c r="D1747" s="6" t="s">
        <v>2602</v>
      </c>
      <c r="E1747" t="s">
        <v>1584</v>
      </c>
      <c r="F1747" t="s">
        <v>2156</v>
      </c>
      <c r="G1747" t="str">
        <f>+VLOOKUP(F1747,[1]Explore!$B:$I,8,0)</f>
        <v>Equity Implied Volatility</v>
      </c>
      <c r="H1747" t="s">
        <v>141</v>
      </c>
      <c r="I1747" t="str">
        <f>+VLOOKUP(H1747,[1]Explore!$A:$I,9,0)</f>
        <v>Equity Implied Volatility</v>
      </c>
      <c r="J1747" t="str">
        <f t="shared" si="54"/>
        <v>OK</v>
      </c>
      <c r="K1747" t="str">
        <f t="shared" si="55"/>
        <v>Equity Implied Volatility</v>
      </c>
      <c r="L1747" t="s">
        <v>27</v>
      </c>
      <c r="M1747" t="str">
        <f>_xlfn.IFNA(VLOOKUP(K1747,'Mapping DEF'!A:C,2,0),"")</f>
        <v>Equity Derivatives</v>
      </c>
      <c r="N1747" t="str">
        <f>+_xlfn.IFNA(VLOOKUP(M1747,'Mapping DEF'!B:C,2,FALSE),"")</f>
        <v>Equity</v>
      </c>
      <c r="O1747" t="s">
        <v>2759</v>
      </c>
    </row>
    <row r="1748" spans="1:15" x14ac:dyDescent="0.25">
      <c r="A1748" s="4" t="s">
        <v>2600</v>
      </c>
      <c r="B1748" s="4" t="s">
        <v>2601</v>
      </c>
      <c r="C1748" s="5">
        <v>2510</v>
      </c>
      <c r="D1748" s="6" t="s">
        <v>2602</v>
      </c>
      <c r="E1748" t="s">
        <v>2103</v>
      </c>
      <c r="F1748" t="s">
        <v>2618</v>
      </c>
      <c r="G1748" t="str">
        <f>+VLOOKUP(F1748,[1]Explore!$B:$I,8,0)</f>
        <v>Equity Implied Volatility</v>
      </c>
      <c r="H1748" t="s">
        <v>144</v>
      </c>
      <c r="I1748" t="str">
        <f>+VLOOKUP(H1748,[1]Explore!$A:$I,9,0)</f>
        <v>Equity Implied Volatility</v>
      </c>
      <c r="J1748" t="str">
        <f t="shared" si="54"/>
        <v>OK</v>
      </c>
      <c r="K1748" t="str">
        <f t="shared" si="55"/>
        <v>Equity Implied Volatility</v>
      </c>
      <c r="L1748" t="s">
        <v>27</v>
      </c>
      <c r="M1748" t="str">
        <f>_xlfn.IFNA(VLOOKUP(K1748,'Mapping DEF'!A:C,2,0),"")</f>
        <v>Equity Derivatives</v>
      </c>
      <c r="N1748" t="str">
        <f>+_xlfn.IFNA(VLOOKUP(M1748,'Mapping DEF'!B:C,2,FALSE),"")</f>
        <v>Equity</v>
      </c>
      <c r="O1748" t="s">
        <v>2757</v>
      </c>
    </row>
    <row r="1749" spans="1:15" x14ac:dyDescent="0.25">
      <c r="A1749" s="4" t="s">
        <v>2600</v>
      </c>
      <c r="B1749" s="4" t="s">
        <v>2601</v>
      </c>
      <c r="C1749" s="5">
        <v>2510</v>
      </c>
      <c r="D1749" s="6" t="s">
        <v>2602</v>
      </c>
      <c r="E1749" t="s">
        <v>2104</v>
      </c>
      <c r="F1749" t="s">
        <v>2157</v>
      </c>
      <c r="G1749" t="str">
        <f>+VLOOKUP(F1749,[1]Explore!$B:$I,8,0)</f>
        <v>Equity Implied Volatility</v>
      </c>
      <c r="H1749" t="s">
        <v>325</v>
      </c>
      <c r="I1749" t="e">
        <f>+VLOOKUP(H1749,[1]Explore!$A:$I,9,0)</f>
        <v>#N/A</v>
      </c>
      <c r="J1749" t="str">
        <f t="shared" si="54"/>
        <v>OK</v>
      </c>
      <c r="K1749" t="str">
        <f t="shared" si="55"/>
        <v>Equity Implied Volatility</v>
      </c>
      <c r="L1749" t="s">
        <v>27</v>
      </c>
      <c r="M1749" t="str">
        <f>_xlfn.IFNA(VLOOKUP(K1749,'Mapping DEF'!A:C,2,0),"")</f>
        <v>Equity Derivatives</v>
      </c>
      <c r="N1749" t="str">
        <f>+_xlfn.IFNA(VLOOKUP(M1749,'Mapping DEF'!B:C,2,FALSE),"")</f>
        <v>Equity</v>
      </c>
      <c r="O1749" t="s">
        <v>2801</v>
      </c>
    </row>
    <row r="1750" spans="1:15" x14ac:dyDescent="0.25">
      <c r="A1750" s="4" t="s">
        <v>2600</v>
      </c>
      <c r="B1750" s="4" t="s">
        <v>2601</v>
      </c>
      <c r="C1750" s="5">
        <v>2510</v>
      </c>
      <c r="D1750" s="6" t="s">
        <v>2602</v>
      </c>
      <c r="E1750" t="s">
        <v>2105</v>
      </c>
      <c r="F1750" t="s">
        <v>593</v>
      </c>
      <c r="G1750" t="str">
        <f>+VLOOKUP(F1750,[1]Explore!$B:$I,8,0)</f>
        <v>Corporate IG USD - Industry</v>
      </c>
      <c r="H1750" t="s">
        <v>620</v>
      </c>
      <c r="I1750" t="e">
        <f>+VLOOKUP(H1750,[1]Explore!$A:$I,9,0)</f>
        <v>#N/A</v>
      </c>
      <c r="J1750" t="str">
        <f t="shared" si="54"/>
        <v>OK</v>
      </c>
      <c r="K1750" t="str">
        <f t="shared" si="55"/>
        <v>Corporate IG USD - Industry</v>
      </c>
      <c r="L1750" t="s">
        <v>188</v>
      </c>
      <c r="M1750" t="str">
        <f>_xlfn.IFNA(VLOOKUP(K1750,'Mapping DEF'!A:C,2,0),"")</f>
        <v>Spread</v>
      </c>
      <c r="N1750" t="str">
        <f>+_xlfn.IFNA(VLOOKUP(M1750,'Mapping DEF'!B:C,2,FALSE),"")</f>
        <v>Spread</v>
      </c>
      <c r="O1750" t="s">
        <v>2779</v>
      </c>
    </row>
    <row r="1751" spans="1:15" x14ac:dyDescent="0.25">
      <c r="A1751" s="4" t="s">
        <v>2600</v>
      </c>
      <c r="B1751" s="4" t="s">
        <v>2601</v>
      </c>
      <c r="C1751" s="5">
        <v>2510</v>
      </c>
      <c r="D1751" s="6" t="s">
        <v>2602</v>
      </c>
      <c r="E1751" t="s">
        <v>2106</v>
      </c>
      <c r="F1751" t="s">
        <v>220</v>
      </c>
      <c r="G1751" t="str">
        <f>+VLOOKUP(F1751,[1]Explore!$B:$I,8,0)</f>
        <v>Corporate HY USD - Other</v>
      </c>
      <c r="H1751" t="s">
        <v>750</v>
      </c>
      <c r="I1751" t="e">
        <f>+VLOOKUP(H1751,[1]Explore!$A:$I,9,0)</f>
        <v>#N/A</v>
      </c>
      <c r="J1751" t="str">
        <f t="shared" si="54"/>
        <v>OK</v>
      </c>
      <c r="K1751" t="str">
        <f t="shared" si="55"/>
        <v>Corporate HY USD - Other</v>
      </c>
      <c r="L1751" t="s">
        <v>188</v>
      </c>
      <c r="M1751" t="str">
        <f>_xlfn.IFNA(VLOOKUP(K1751,'Mapping DEF'!A:C,2,0),"")</f>
        <v>Spread</v>
      </c>
      <c r="N1751" t="str">
        <f>+_xlfn.IFNA(VLOOKUP(M1751,'Mapping DEF'!B:C,2,FALSE),"")</f>
        <v>Spread</v>
      </c>
      <c r="O1751" t="s">
        <v>2779</v>
      </c>
    </row>
    <row r="1752" spans="1:15" x14ac:dyDescent="0.25">
      <c r="A1752" s="4" t="s">
        <v>2603</v>
      </c>
      <c r="B1752" s="4" t="s">
        <v>2604</v>
      </c>
      <c r="C1752" s="5">
        <v>2511</v>
      </c>
      <c r="D1752" s="6" t="s">
        <v>2605</v>
      </c>
      <c r="E1752" t="s">
        <v>1181</v>
      </c>
      <c r="F1752" t="s">
        <v>19</v>
      </c>
      <c r="G1752" t="str">
        <f>+VLOOKUP(F1752,[1]Explore!$B:$I,8,0)</f>
        <v>Govt USD</v>
      </c>
      <c r="H1752" t="s">
        <v>20</v>
      </c>
      <c r="I1752" t="str">
        <f>+VLOOKUP(H1752,[1]Explore!$A:$I,9,0)</f>
        <v>Govt USD</v>
      </c>
      <c r="J1752" t="str">
        <f t="shared" si="54"/>
        <v>OK</v>
      </c>
      <c r="K1752" t="str">
        <f t="shared" si="55"/>
        <v>Govt USD</v>
      </c>
      <c r="L1752" t="s">
        <v>2143</v>
      </c>
      <c r="M1752" t="str">
        <f>_xlfn.IFNA(VLOOKUP(K1752,'Mapping DEF'!A:C,2,0),"")</f>
        <v>Curve (Local)</v>
      </c>
      <c r="N1752" t="str">
        <f>+_xlfn.IFNA(VLOOKUP(M1752,'Mapping DEF'!B:C,2,FALSE),"")</f>
        <v>Term Structure</v>
      </c>
      <c r="O1752" t="s">
        <v>2797</v>
      </c>
    </row>
    <row r="1753" spans="1:15" x14ac:dyDescent="0.25">
      <c r="A1753" s="4" t="s">
        <v>2603</v>
      </c>
      <c r="B1753" s="4" t="s">
        <v>2604</v>
      </c>
      <c r="C1753" s="5">
        <v>2511</v>
      </c>
      <c r="D1753" s="6" t="s">
        <v>2605</v>
      </c>
      <c r="E1753" t="s">
        <v>2107</v>
      </c>
      <c r="F1753" t="s">
        <v>268</v>
      </c>
      <c r="G1753" t="str">
        <f>+VLOOKUP(F1753,[1]Explore!$B:$I,8,0)</f>
        <v>Alternative - Commodity</v>
      </c>
      <c r="H1753" t="s">
        <v>269</v>
      </c>
      <c r="I1753" t="str">
        <f>+VLOOKUP(H1753,[1]Explore!$A:$I,9,0)</f>
        <v>Alternative - Commodity</v>
      </c>
      <c r="J1753" t="str">
        <f t="shared" si="54"/>
        <v>OK</v>
      </c>
      <c r="K1753" t="str">
        <f t="shared" si="55"/>
        <v>Alternative - Commodity</v>
      </c>
      <c r="L1753" t="s">
        <v>2139</v>
      </c>
      <c r="M1753" t="str">
        <f>_xlfn.IFNA(VLOOKUP(K1753,'Mapping DEF'!A:C,2,0),"")</f>
        <v>Alternative</v>
      </c>
      <c r="N1753" t="str">
        <f>+_xlfn.IFNA(VLOOKUP(M1753,'Mapping DEF'!B:C,2,FALSE),"")</f>
        <v>Other</v>
      </c>
      <c r="O1753" t="s">
        <v>2763</v>
      </c>
    </row>
    <row r="1754" spans="1:15" x14ac:dyDescent="0.25">
      <c r="A1754" s="4" t="s">
        <v>2603</v>
      </c>
      <c r="B1754" s="4" t="s">
        <v>2604</v>
      </c>
      <c r="C1754" s="5">
        <v>2511</v>
      </c>
      <c r="D1754" s="6" t="s">
        <v>2605</v>
      </c>
      <c r="E1754" t="s">
        <v>1067</v>
      </c>
      <c r="F1754" t="s">
        <v>2942</v>
      </c>
      <c r="G1754" t="str">
        <f>+VLOOKUP(F1754,[1]Explore!$B:$I,8,0)</f>
        <v>EUR</v>
      </c>
      <c r="H1754" t="s">
        <v>173</v>
      </c>
      <c r="I1754" t="str">
        <f>+VLOOKUP(H1754,[1]Explore!$A:$I,9,0)</f>
        <v>EUR</v>
      </c>
      <c r="J1754" t="str">
        <f t="shared" si="54"/>
        <v>OK</v>
      </c>
      <c r="K1754" t="str">
        <f t="shared" si="55"/>
        <v>EUR</v>
      </c>
      <c r="L1754" t="s">
        <v>2140</v>
      </c>
      <c r="M1754" t="str">
        <f>_xlfn.IFNA(VLOOKUP(K1754,'Mapping DEF'!A:C,2,0),"")</f>
        <v>FX</v>
      </c>
      <c r="N1754" t="str">
        <f>+_xlfn.IFNA(VLOOKUP(M1754,'Mapping DEF'!B:C,2,FALSE),"")</f>
        <v>FX</v>
      </c>
      <c r="O1754" t="s">
        <v>2760</v>
      </c>
    </row>
    <row r="1755" spans="1:15" x14ac:dyDescent="0.25">
      <c r="A1755" s="4" t="s">
        <v>2603</v>
      </c>
      <c r="B1755" s="4" t="s">
        <v>2604</v>
      </c>
      <c r="C1755" s="5">
        <v>2511</v>
      </c>
      <c r="D1755" s="6" t="s">
        <v>2605</v>
      </c>
      <c r="E1755" t="s">
        <v>1584</v>
      </c>
      <c r="F1755" t="s">
        <v>2156</v>
      </c>
      <c r="G1755" t="str">
        <f>+VLOOKUP(F1755,[1]Explore!$B:$I,8,0)</f>
        <v>Equity Implied Volatility</v>
      </c>
      <c r="H1755" t="s">
        <v>141</v>
      </c>
      <c r="I1755" t="str">
        <f>+VLOOKUP(H1755,[1]Explore!$A:$I,9,0)</f>
        <v>Equity Implied Volatility</v>
      </c>
      <c r="J1755" t="str">
        <f t="shared" si="54"/>
        <v>OK</v>
      </c>
      <c r="K1755" t="str">
        <f t="shared" si="55"/>
        <v>Equity Implied Volatility</v>
      </c>
      <c r="L1755" t="s">
        <v>27</v>
      </c>
      <c r="M1755" t="str">
        <f>_xlfn.IFNA(VLOOKUP(K1755,'Mapping DEF'!A:C,2,0),"")</f>
        <v>Equity Derivatives</v>
      </c>
      <c r="N1755" t="str">
        <f>+_xlfn.IFNA(VLOOKUP(M1755,'Mapping DEF'!B:C,2,FALSE),"")</f>
        <v>Equity</v>
      </c>
      <c r="O1755" t="s">
        <v>2759</v>
      </c>
    </row>
    <row r="1756" spans="1:15" x14ac:dyDescent="0.25">
      <c r="A1756" s="4" t="s">
        <v>2603</v>
      </c>
      <c r="B1756" s="4" t="s">
        <v>2604</v>
      </c>
      <c r="C1756" s="5">
        <v>2511</v>
      </c>
      <c r="D1756" s="6" t="s">
        <v>2605</v>
      </c>
      <c r="E1756" t="s">
        <v>2108</v>
      </c>
      <c r="F1756" t="s">
        <v>2618</v>
      </c>
      <c r="G1756" t="str">
        <f>+VLOOKUP(F1756,[1]Explore!$B:$I,8,0)</f>
        <v>Equity Implied Volatility</v>
      </c>
      <c r="H1756" t="s">
        <v>144</v>
      </c>
      <c r="I1756" t="str">
        <f>+VLOOKUP(H1756,[1]Explore!$A:$I,9,0)</f>
        <v>Equity Implied Volatility</v>
      </c>
      <c r="J1756" t="str">
        <f t="shared" si="54"/>
        <v>OK</v>
      </c>
      <c r="K1756" t="str">
        <f t="shared" si="55"/>
        <v>Equity Implied Volatility</v>
      </c>
      <c r="L1756" t="s">
        <v>27</v>
      </c>
      <c r="M1756" t="str">
        <f>_xlfn.IFNA(VLOOKUP(K1756,'Mapping DEF'!A:C,2,0),"")</f>
        <v>Equity Derivatives</v>
      </c>
      <c r="N1756" t="str">
        <f>+_xlfn.IFNA(VLOOKUP(M1756,'Mapping DEF'!B:C,2,FALSE),"")</f>
        <v>Equity</v>
      </c>
      <c r="O1756" t="s">
        <v>2763</v>
      </c>
    </row>
    <row r="1757" spans="1:15" x14ac:dyDescent="0.25">
      <c r="A1757" s="4" t="s">
        <v>2603</v>
      </c>
      <c r="B1757" s="4" t="s">
        <v>2604</v>
      </c>
      <c r="C1757" s="5">
        <v>2511</v>
      </c>
      <c r="D1757" s="6" t="s">
        <v>2605</v>
      </c>
      <c r="E1757" t="s">
        <v>2109</v>
      </c>
      <c r="F1757" t="s">
        <v>1396</v>
      </c>
      <c r="G1757" t="str">
        <f>+VLOOKUP(F1757,[1]Explore!$B:$I,8,0)</f>
        <v>Corporate HY EUR - Other</v>
      </c>
      <c r="H1757" t="s">
        <v>1397</v>
      </c>
      <c r="I1757" t="str">
        <f>+VLOOKUP(H1757,[1]Explore!$A:$I,9,0)</f>
        <v>Corporate HY EUR - Other</v>
      </c>
      <c r="J1757" t="str">
        <f t="shared" si="54"/>
        <v>OK</v>
      </c>
      <c r="K1757" t="str">
        <f t="shared" si="55"/>
        <v>Corporate HY EUR - Other</v>
      </c>
      <c r="L1757" t="s">
        <v>188</v>
      </c>
      <c r="M1757" t="str">
        <f>_xlfn.IFNA(VLOOKUP(K1757,'Mapping DEF'!A:C,2,0),"")</f>
        <v>Spread</v>
      </c>
      <c r="N1757" t="str">
        <f>+_xlfn.IFNA(VLOOKUP(M1757,'Mapping DEF'!B:C,2,FALSE),"")</f>
        <v>Spread</v>
      </c>
      <c r="O1757" t="s">
        <v>2797</v>
      </c>
    </row>
    <row r="1758" spans="1:15" x14ac:dyDescent="0.25">
      <c r="A1758" s="4" t="s">
        <v>2603</v>
      </c>
      <c r="B1758" s="4" t="s">
        <v>2604</v>
      </c>
      <c r="C1758" s="5">
        <v>2511</v>
      </c>
      <c r="D1758" s="6" t="s">
        <v>2605</v>
      </c>
      <c r="E1758" t="s">
        <v>2110</v>
      </c>
      <c r="F1758" t="s">
        <v>220</v>
      </c>
      <c r="G1758" t="str">
        <f>+VLOOKUP(F1758,[1]Explore!$B:$I,8,0)</f>
        <v>Corporate HY USD - Other</v>
      </c>
      <c r="H1758" t="s">
        <v>221</v>
      </c>
      <c r="I1758" t="str">
        <f>+VLOOKUP(H1758,[1]Explore!$A:$I,9,0)</f>
        <v>Corporate HY USD - Other</v>
      </c>
      <c r="J1758" t="str">
        <f t="shared" si="54"/>
        <v>OK</v>
      </c>
      <c r="K1758" t="str">
        <f t="shared" si="55"/>
        <v>Corporate HY USD - Other</v>
      </c>
      <c r="L1758" t="s">
        <v>188</v>
      </c>
      <c r="M1758" t="str">
        <f>_xlfn.IFNA(VLOOKUP(K1758,'Mapping DEF'!A:C,2,0),"")</f>
        <v>Spread</v>
      </c>
      <c r="N1758" t="str">
        <f>+_xlfn.IFNA(VLOOKUP(M1758,'Mapping DEF'!B:C,2,FALSE),"")</f>
        <v>Spread</v>
      </c>
      <c r="O1758" t="s">
        <v>2752</v>
      </c>
    </row>
    <row r="1759" spans="1:15" x14ac:dyDescent="0.25">
      <c r="A1759" s="4" t="s">
        <v>2603</v>
      </c>
      <c r="B1759" s="4" t="s">
        <v>2604</v>
      </c>
      <c r="C1759" s="5">
        <v>2511</v>
      </c>
      <c r="D1759" s="6" t="s">
        <v>2605</v>
      </c>
      <c r="E1759" t="s">
        <v>2111</v>
      </c>
      <c r="F1759" t="s">
        <v>315</v>
      </c>
      <c r="G1759" t="str">
        <f>+VLOOKUP(F1759,[1]Explore!$B:$I,8,0)</f>
        <v>Govt EUR (Ger)</v>
      </c>
      <c r="H1759" t="s">
        <v>323</v>
      </c>
      <c r="I1759" t="e">
        <f>+VLOOKUP(H1759,[1]Explore!$A:$I,9,0)</f>
        <v>#N/A</v>
      </c>
      <c r="J1759" t="str">
        <f t="shared" si="54"/>
        <v>OK</v>
      </c>
      <c r="K1759" t="str">
        <f t="shared" si="55"/>
        <v>Govt EUR (Ger)</v>
      </c>
      <c r="L1759" t="s">
        <v>2143</v>
      </c>
      <c r="M1759" t="str">
        <f>_xlfn.IFNA(VLOOKUP(K1759,'Mapping DEF'!A:C,2,0),"")</f>
        <v>Curve (Local)</v>
      </c>
      <c r="N1759" t="str">
        <f>+_xlfn.IFNA(VLOOKUP(M1759,'Mapping DEF'!B:C,2,FALSE),"")</f>
        <v>Term Structure</v>
      </c>
      <c r="O1759" t="s">
        <v>2780</v>
      </c>
    </row>
    <row r="1760" spans="1:15" x14ac:dyDescent="0.25">
      <c r="A1760" s="4" t="s">
        <v>2603</v>
      </c>
      <c r="B1760" s="4" t="s">
        <v>2604</v>
      </c>
      <c r="C1760" s="5">
        <v>2511</v>
      </c>
      <c r="D1760" s="6" t="s">
        <v>2605</v>
      </c>
      <c r="E1760" t="s">
        <v>2112</v>
      </c>
      <c r="F1760" t="s">
        <v>2194</v>
      </c>
      <c r="G1760" t="str">
        <f>+VLOOKUP(F1760,[1]Explore!$B:$I,8,0)</f>
        <v>Equity Implied Volatility</v>
      </c>
      <c r="H1760" t="s">
        <v>985</v>
      </c>
      <c r="I1760" t="e">
        <f>+VLOOKUP(H1760,[1]Explore!$A:$I,9,0)</f>
        <v>#N/A</v>
      </c>
      <c r="J1760" t="str">
        <f t="shared" si="54"/>
        <v>OK</v>
      </c>
      <c r="K1760" t="str">
        <f t="shared" si="55"/>
        <v>Equity Implied Volatility</v>
      </c>
      <c r="L1760" t="s">
        <v>27</v>
      </c>
      <c r="M1760" t="str">
        <f>_xlfn.IFNA(VLOOKUP(K1760,'Mapping DEF'!A:C,2,0),"")</f>
        <v>Equity Derivatives</v>
      </c>
      <c r="N1760" t="str">
        <f>+_xlfn.IFNA(VLOOKUP(M1760,'Mapping DEF'!B:C,2,FALSE),"")</f>
        <v>Equity</v>
      </c>
      <c r="O1760" t="s">
        <v>2776</v>
      </c>
    </row>
    <row r="1761" spans="1:15" x14ac:dyDescent="0.25">
      <c r="A1761" s="4" t="s">
        <v>2603</v>
      </c>
      <c r="B1761" s="4" t="s">
        <v>2604</v>
      </c>
      <c r="C1761" s="5">
        <v>2511</v>
      </c>
      <c r="D1761" s="6" t="s">
        <v>2605</v>
      </c>
      <c r="E1761" t="s">
        <v>2113</v>
      </c>
      <c r="F1761" t="s">
        <v>2157</v>
      </c>
      <c r="G1761" t="str">
        <f>+VLOOKUP(F1761,[1]Explore!$B:$I,8,0)</f>
        <v>Equity Implied Volatility</v>
      </c>
      <c r="H1761" t="s">
        <v>325</v>
      </c>
      <c r="I1761" t="e">
        <f>+VLOOKUP(H1761,[1]Explore!$A:$I,9,0)</f>
        <v>#N/A</v>
      </c>
      <c r="J1761" t="str">
        <f t="shared" si="54"/>
        <v>OK</v>
      </c>
      <c r="K1761" t="str">
        <f t="shared" si="55"/>
        <v>Equity Implied Volatility</v>
      </c>
      <c r="L1761" t="s">
        <v>27</v>
      </c>
      <c r="M1761" t="str">
        <f>_xlfn.IFNA(VLOOKUP(K1761,'Mapping DEF'!A:C,2,0),"")</f>
        <v>Equity Derivatives</v>
      </c>
      <c r="N1761" t="str">
        <f>+_xlfn.IFNA(VLOOKUP(M1761,'Mapping DEF'!B:C,2,FALSE),"")</f>
        <v>Equity</v>
      </c>
      <c r="O1761" t="s">
        <v>2810</v>
      </c>
    </row>
    <row r="1762" spans="1:15" x14ac:dyDescent="0.25">
      <c r="A1762" s="4" t="s">
        <v>2606</v>
      </c>
      <c r="B1762" s="4" t="s">
        <v>2607</v>
      </c>
      <c r="C1762" s="5">
        <v>2512</v>
      </c>
      <c r="D1762" s="6" t="s">
        <v>2608</v>
      </c>
      <c r="E1762" t="s">
        <v>1508</v>
      </c>
      <c r="F1762" t="s">
        <v>19</v>
      </c>
      <c r="G1762" t="str">
        <f>+VLOOKUP(F1762,[1]Explore!$B:$I,8,0)</f>
        <v>Govt USD</v>
      </c>
      <c r="H1762" t="s">
        <v>20</v>
      </c>
      <c r="I1762" t="str">
        <f>+VLOOKUP(H1762,[1]Explore!$A:$I,9,0)</f>
        <v>Govt USD</v>
      </c>
      <c r="J1762" t="str">
        <f t="shared" si="54"/>
        <v>OK</v>
      </c>
      <c r="K1762" t="str">
        <f t="shared" si="55"/>
        <v>Govt USD</v>
      </c>
      <c r="L1762" t="s">
        <v>2143</v>
      </c>
      <c r="M1762" t="str">
        <f>_xlfn.IFNA(VLOOKUP(K1762,'Mapping DEF'!A:C,2,0),"")</f>
        <v>Curve (Local)</v>
      </c>
      <c r="N1762" t="str">
        <f>+_xlfn.IFNA(VLOOKUP(M1762,'Mapping DEF'!B:C,2,FALSE),"")</f>
        <v>Term Structure</v>
      </c>
      <c r="O1762" t="s">
        <v>2782</v>
      </c>
    </row>
    <row r="1763" spans="1:15" x14ac:dyDescent="0.25">
      <c r="A1763" s="4" t="s">
        <v>2606</v>
      </c>
      <c r="B1763" s="4" t="s">
        <v>2607</v>
      </c>
      <c r="C1763" s="5">
        <v>2512</v>
      </c>
      <c r="D1763" s="6" t="s">
        <v>2608</v>
      </c>
      <c r="E1763" t="s">
        <v>412</v>
      </c>
      <c r="F1763" t="s">
        <v>413</v>
      </c>
      <c r="G1763" t="str">
        <f>+VLOOKUP(F1763,[1]Explore!$B:$I,8,0)</f>
        <v>Alternative - Commodity</v>
      </c>
      <c r="H1763" t="s">
        <v>414</v>
      </c>
      <c r="I1763" t="str">
        <f>+VLOOKUP(H1763,[1]Explore!$A:$I,9,0)</f>
        <v>Alternative - Commodity</v>
      </c>
      <c r="J1763" t="str">
        <f t="shared" si="54"/>
        <v>OK</v>
      </c>
      <c r="K1763" t="str">
        <f t="shared" si="55"/>
        <v>Alternative - Commodity</v>
      </c>
      <c r="L1763" t="s">
        <v>2139</v>
      </c>
      <c r="M1763" t="str">
        <f>_xlfn.IFNA(VLOOKUP(K1763,'Mapping DEF'!A:C,2,0),"")</f>
        <v>Alternative</v>
      </c>
      <c r="N1763" t="str">
        <f>+_xlfn.IFNA(VLOOKUP(M1763,'Mapping DEF'!B:C,2,FALSE),"")</f>
        <v>Other</v>
      </c>
      <c r="O1763" t="s">
        <v>2753</v>
      </c>
    </row>
    <row r="1764" spans="1:15" x14ac:dyDescent="0.25">
      <c r="A1764" s="4" t="s">
        <v>2606</v>
      </c>
      <c r="B1764" s="4" t="s">
        <v>2607</v>
      </c>
      <c r="C1764" s="5">
        <v>2512</v>
      </c>
      <c r="D1764" s="6" t="s">
        <v>2608</v>
      </c>
      <c r="E1764" t="s">
        <v>1552</v>
      </c>
      <c r="F1764" t="s">
        <v>438</v>
      </c>
      <c r="G1764" t="str">
        <f>+VLOOKUP(F1764,[1]Explore!$B:$I,8,0)</f>
        <v>Materials</v>
      </c>
      <c r="H1764" t="s">
        <v>439</v>
      </c>
      <c r="I1764" t="str">
        <f>+VLOOKUP(H1764,[1]Explore!$A:$I,9,0)</f>
        <v>Alternative - Commodity</v>
      </c>
      <c r="J1764" t="str">
        <f t="shared" si="54"/>
        <v>OK</v>
      </c>
      <c r="K1764" t="str">
        <f t="shared" si="55"/>
        <v>Alternative - Commodity</v>
      </c>
      <c r="L1764" t="s">
        <v>2139</v>
      </c>
      <c r="M1764" t="str">
        <f>_xlfn.IFNA(VLOOKUP(K1764,'Mapping DEF'!A:C,2,0),"")</f>
        <v>Alternative</v>
      </c>
      <c r="N1764" t="str">
        <f>+_xlfn.IFNA(VLOOKUP(M1764,'Mapping DEF'!B:C,2,FALSE),"")</f>
        <v>Other</v>
      </c>
      <c r="O1764" t="s">
        <v>2794</v>
      </c>
    </row>
    <row r="1765" spans="1:15" x14ac:dyDescent="0.25">
      <c r="A1765" s="4" t="s">
        <v>2606</v>
      </c>
      <c r="B1765" s="4" t="s">
        <v>2607</v>
      </c>
      <c r="C1765" s="5">
        <v>2512</v>
      </c>
      <c r="D1765" s="6" t="s">
        <v>2608</v>
      </c>
      <c r="E1765" t="s">
        <v>2114</v>
      </c>
      <c r="F1765" t="s">
        <v>271</v>
      </c>
      <c r="G1765" t="str">
        <f>+VLOOKUP(F1765,[1]Explore!$B:$I,8,0)</f>
        <v>Corporate IG USD - Other</v>
      </c>
      <c r="H1765" t="s">
        <v>272</v>
      </c>
      <c r="I1765" t="str">
        <f>+VLOOKUP(H1765,[1]Explore!$A:$I,9,0)</f>
        <v>Corporate IG USD - Other</v>
      </c>
      <c r="J1765" t="str">
        <f t="shared" si="54"/>
        <v>OK</v>
      </c>
      <c r="K1765" t="str">
        <f t="shared" si="55"/>
        <v>Corporate IG USD - Other</v>
      </c>
      <c r="L1765" t="s">
        <v>2650</v>
      </c>
      <c r="M1765" t="str">
        <f>_xlfn.IFNA(VLOOKUP(K1765,'Mapping DEF'!A:C,2,0),"")</f>
        <v>Spread</v>
      </c>
      <c r="N1765" t="str">
        <f>+_xlfn.IFNA(VLOOKUP(M1765,'Mapping DEF'!B:C,2,FALSE),"")</f>
        <v>Spread</v>
      </c>
      <c r="O1765" t="s">
        <v>2865</v>
      </c>
    </row>
    <row r="1766" spans="1:15" x14ac:dyDescent="0.25">
      <c r="A1766" s="4" t="s">
        <v>2606</v>
      </c>
      <c r="B1766" s="4" t="s">
        <v>2607</v>
      </c>
      <c r="C1766" s="5">
        <v>2512</v>
      </c>
      <c r="D1766" s="6" t="s">
        <v>2608</v>
      </c>
      <c r="E1766" t="s">
        <v>2115</v>
      </c>
      <c r="F1766" t="s">
        <v>315</v>
      </c>
      <c r="G1766" t="str">
        <f>+VLOOKUP(F1766,[1]Explore!$B:$I,8,0)</f>
        <v>Govt EUR (Ger)</v>
      </c>
      <c r="H1766" t="s">
        <v>316</v>
      </c>
      <c r="I1766" t="str">
        <f>+VLOOKUP(H1766,[1]Explore!$A:$I,9,0)</f>
        <v>Govt EUR (Ger)</v>
      </c>
      <c r="J1766" t="str">
        <f t="shared" si="54"/>
        <v>OK</v>
      </c>
      <c r="K1766" t="str">
        <f t="shared" si="55"/>
        <v>Govt EUR (Ger)</v>
      </c>
      <c r="L1766" t="s">
        <v>2143</v>
      </c>
      <c r="M1766" t="str">
        <f>_xlfn.IFNA(VLOOKUP(K1766,'Mapping DEF'!A:C,2,0),"")</f>
        <v>Curve (Local)</v>
      </c>
      <c r="N1766" t="str">
        <f>+_xlfn.IFNA(VLOOKUP(M1766,'Mapping DEF'!B:C,2,FALSE),"")</f>
        <v>Term Structure</v>
      </c>
      <c r="O1766" t="s">
        <v>2782</v>
      </c>
    </row>
    <row r="1767" spans="1:15" x14ac:dyDescent="0.25">
      <c r="A1767" s="4" t="s">
        <v>2606</v>
      </c>
      <c r="B1767" s="4" t="s">
        <v>2607</v>
      </c>
      <c r="C1767" s="5">
        <v>2512</v>
      </c>
      <c r="D1767" s="6" t="s">
        <v>2608</v>
      </c>
      <c r="E1767" t="s">
        <v>2014</v>
      </c>
      <c r="F1767" t="s">
        <v>206</v>
      </c>
      <c r="G1767" t="e">
        <f>+VLOOKUP(F1767,[1]Explore!$B:$I,8,0)</f>
        <v>#N/A</v>
      </c>
      <c r="H1767" t="s">
        <v>206</v>
      </c>
      <c r="I1767" t="e">
        <f>+VLOOKUP(H1767,[1]Explore!$A:$I,9,0)</f>
        <v>#N/A</v>
      </c>
      <c r="J1767" t="str">
        <f t="shared" si="54"/>
        <v>BOTH #N/A</v>
      </c>
      <c r="K1767" t="str">
        <f t="shared" si="55"/>
        <v>Dollar Index</v>
      </c>
      <c r="L1767" t="s">
        <v>2930</v>
      </c>
      <c r="M1767" t="str">
        <f>_xlfn.IFNA(VLOOKUP(K1767,'Mapping DEF'!A:C,2,0),"")</f>
        <v>Index Level</v>
      </c>
      <c r="N1767" t="str">
        <f>+_xlfn.IFNA(VLOOKUP(M1767,'Mapping DEF'!B:C,2,FALSE),"")</f>
        <v>Other</v>
      </c>
      <c r="O1767" t="s">
        <v>2760</v>
      </c>
    </row>
    <row r="1768" spans="1:15" x14ac:dyDescent="0.25">
      <c r="A1768" s="4" t="s">
        <v>2606</v>
      </c>
      <c r="B1768" s="4" t="s">
        <v>2607</v>
      </c>
      <c r="C1768" s="5">
        <v>2512</v>
      </c>
      <c r="D1768" s="6" t="s">
        <v>2608</v>
      </c>
      <c r="E1768" t="s">
        <v>1188</v>
      </c>
      <c r="F1768" t="s">
        <v>2156</v>
      </c>
      <c r="G1768" t="str">
        <f>+VLOOKUP(F1768,[1]Explore!$B:$I,8,0)</f>
        <v>Equity Implied Volatility</v>
      </c>
      <c r="H1768" t="s">
        <v>141</v>
      </c>
      <c r="I1768" t="str">
        <f>+VLOOKUP(H1768,[1]Explore!$A:$I,9,0)</f>
        <v>Equity Implied Volatility</v>
      </c>
      <c r="J1768" t="str">
        <f t="shared" si="54"/>
        <v>OK</v>
      </c>
      <c r="K1768" t="str">
        <f t="shared" si="55"/>
        <v>Equity Implied Volatility</v>
      </c>
      <c r="L1768" t="s">
        <v>27</v>
      </c>
      <c r="M1768" t="str">
        <f>_xlfn.IFNA(VLOOKUP(K1768,'Mapping DEF'!A:C,2,0),"")</f>
        <v>Equity Derivatives</v>
      </c>
      <c r="N1768" t="str">
        <f>+_xlfn.IFNA(VLOOKUP(M1768,'Mapping DEF'!B:C,2,FALSE),"")</f>
        <v>Equity</v>
      </c>
      <c r="O1768" t="s">
        <v>2776</v>
      </c>
    </row>
    <row r="1769" spans="1:15" x14ac:dyDescent="0.25">
      <c r="A1769" s="4" t="s">
        <v>2606</v>
      </c>
      <c r="B1769" s="4" t="s">
        <v>2607</v>
      </c>
      <c r="C1769" s="5">
        <v>2512</v>
      </c>
      <c r="D1769" s="6" t="s">
        <v>2608</v>
      </c>
      <c r="E1769" t="s">
        <v>2116</v>
      </c>
      <c r="F1769" t="s">
        <v>1396</v>
      </c>
      <c r="G1769" t="str">
        <f>+VLOOKUP(F1769,[1]Explore!$B:$I,8,0)</f>
        <v>Corporate HY EUR - Other</v>
      </c>
      <c r="H1769" t="s">
        <v>1397</v>
      </c>
      <c r="I1769" t="str">
        <f>+VLOOKUP(H1769,[1]Explore!$A:$I,9,0)</f>
        <v>Corporate HY EUR - Other</v>
      </c>
      <c r="J1769" t="str">
        <f t="shared" si="54"/>
        <v>OK</v>
      </c>
      <c r="K1769" t="str">
        <f t="shared" si="55"/>
        <v>Corporate HY EUR - Other</v>
      </c>
      <c r="L1769" t="s">
        <v>188</v>
      </c>
      <c r="M1769" t="str">
        <f>_xlfn.IFNA(VLOOKUP(K1769,'Mapping DEF'!A:C,2,0),"")</f>
        <v>Spread</v>
      </c>
      <c r="N1769" t="str">
        <f>+_xlfn.IFNA(VLOOKUP(M1769,'Mapping DEF'!B:C,2,FALSE),"")</f>
        <v>Spread</v>
      </c>
      <c r="O1769" t="s">
        <v>2778</v>
      </c>
    </row>
    <row r="1770" spans="1:15" x14ac:dyDescent="0.25">
      <c r="A1770" s="4" t="s">
        <v>2606</v>
      </c>
      <c r="B1770" s="4" t="s">
        <v>2607</v>
      </c>
      <c r="C1770" s="5">
        <v>2512</v>
      </c>
      <c r="D1770" s="6" t="s">
        <v>2608</v>
      </c>
      <c r="E1770" t="s">
        <v>2117</v>
      </c>
      <c r="F1770" t="s">
        <v>2157</v>
      </c>
      <c r="G1770" t="str">
        <f>+VLOOKUP(F1770,[1]Explore!$B:$I,8,0)</f>
        <v>Equity Implied Volatility</v>
      </c>
      <c r="H1770" t="s">
        <v>325</v>
      </c>
      <c r="I1770" t="e">
        <f>+VLOOKUP(H1770,[1]Explore!$A:$I,9,0)</f>
        <v>#N/A</v>
      </c>
      <c r="J1770" t="str">
        <f t="shared" si="54"/>
        <v>OK</v>
      </c>
      <c r="K1770" t="str">
        <f t="shared" si="55"/>
        <v>Equity Implied Volatility</v>
      </c>
      <c r="L1770" t="s">
        <v>27</v>
      </c>
      <c r="M1770" t="str">
        <f>_xlfn.IFNA(VLOOKUP(K1770,'Mapping DEF'!A:C,2,0),"")</f>
        <v>Equity Derivatives</v>
      </c>
      <c r="N1770" t="str">
        <f>+_xlfn.IFNA(VLOOKUP(M1770,'Mapping DEF'!B:C,2,FALSE),"")</f>
        <v>Equity</v>
      </c>
      <c r="O1770" t="s">
        <v>2753</v>
      </c>
    </row>
    <row r="1771" spans="1:15" x14ac:dyDescent="0.25">
      <c r="A1771" s="4" t="s">
        <v>2606</v>
      </c>
      <c r="B1771" s="4" t="s">
        <v>2607</v>
      </c>
      <c r="C1771" s="5">
        <v>2512</v>
      </c>
      <c r="D1771" s="6" t="s">
        <v>2608</v>
      </c>
      <c r="E1771" t="s">
        <v>2118</v>
      </c>
      <c r="F1771" t="s">
        <v>2171</v>
      </c>
      <c r="G1771" t="str">
        <f>+VLOOKUP(F1771,[1]Explore!$B:$I,8,0)</f>
        <v>Equity Implied Volatility</v>
      </c>
      <c r="H1771" t="s">
        <v>1206</v>
      </c>
      <c r="I1771" t="e">
        <f>+VLOOKUP(H1771,[1]Explore!$A:$I,9,0)</f>
        <v>#N/A</v>
      </c>
      <c r="J1771" t="str">
        <f t="shared" si="54"/>
        <v>OK</v>
      </c>
      <c r="K1771" t="str">
        <f t="shared" si="55"/>
        <v>Equity Implied Volatility</v>
      </c>
      <c r="L1771" t="s">
        <v>27</v>
      </c>
      <c r="M1771" t="str">
        <f>_xlfn.IFNA(VLOOKUP(K1771,'Mapping DEF'!A:C,2,0),"")</f>
        <v>Equity Derivatives</v>
      </c>
      <c r="N1771" t="str">
        <f>+_xlfn.IFNA(VLOOKUP(M1771,'Mapping DEF'!B:C,2,FALSE),"")</f>
        <v>Equity</v>
      </c>
      <c r="O1771" t="s">
        <v>2771</v>
      </c>
    </row>
    <row r="1772" spans="1:15" x14ac:dyDescent="0.25">
      <c r="A1772" s="4" t="s">
        <v>2606</v>
      </c>
      <c r="B1772" s="4" t="s">
        <v>2607</v>
      </c>
      <c r="C1772" s="5">
        <v>2512</v>
      </c>
      <c r="D1772" s="6" t="s">
        <v>2608</v>
      </c>
      <c r="E1772" t="s">
        <v>2119</v>
      </c>
      <c r="F1772" t="s">
        <v>593</v>
      </c>
      <c r="G1772" t="str">
        <f>+VLOOKUP(F1772,[1]Explore!$B:$I,8,0)</f>
        <v>Corporate IG USD - Industry</v>
      </c>
      <c r="H1772" t="s">
        <v>620</v>
      </c>
      <c r="I1772" t="e">
        <f>+VLOOKUP(H1772,[1]Explore!$A:$I,9,0)</f>
        <v>#N/A</v>
      </c>
      <c r="J1772" t="str">
        <f t="shared" si="54"/>
        <v>OK</v>
      </c>
      <c r="K1772" t="str">
        <f t="shared" si="55"/>
        <v>Corporate IG USD - Industry</v>
      </c>
      <c r="L1772" t="s">
        <v>188</v>
      </c>
      <c r="M1772" t="str">
        <f>_xlfn.IFNA(VLOOKUP(K1772,'Mapping DEF'!A:C,2,0),"")</f>
        <v>Spread</v>
      </c>
      <c r="N1772" t="str">
        <f>+_xlfn.IFNA(VLOOKUP(M1772,'Mapping DEF'!B:C,2,FALSE),"")</f>
        <v>Spread</v>
      </c>
      <c r="O1772" t="s">
        <v>2791</v>
      </c>
    </row>
    <row r="1773" spans="1:15" x14ac:dyDescent="0.25">
      <c r="A1773" s="4" t="s">
        <v>2609</v>
      </c>
      <c r="B1773" s="4" t="s">
        <v>2610</v>
      </c>
      <c r="C1773" s="5">
        <v>2402</v>
      </c>
      <c r="D1773" s="6" t="s">
        <v>2611</v>
      </c>
      <c r="E1773" t="s">
        <v>927</v>
      </c>
      <c r="F1773" t="s">
        <v>19</v>
      </c>
      <c r="G1773" t="str">
        <f>+VLOOKUP(F1773,[1]Explore!$B:$I,8,0)</f>
        <v>Govt USD</v>
      </c>
      <c r="H1773" t="s">
        <v>20</v>
      </c>
      <c r="I1773" t="str">
        <f>+VLOOKUP(H1773,[1]Explore!$A:$I,9,0)</f>
        <v>Govt USD</v>
      </c>
      <c r="J1773" t="str">
        <f t="shared" si="54"/>
        <v>OK</v>
      </c>
      <c r="K1773" t="str">
        <f t="shared" si="55"/>
        <v>Govt USD</v>
      </c>
      <c r="L1773" t="s">
        <v>2143</v>
      </c>
      <c r="M1773" t="str">
        <f>_xlfn.IFNA(VLOOKUP(K1773,'Mapping DEF'!A:C,2,0),"")</f>
        <v>Curve (Local)</v>
      </c>
      <c r="N1773" t="str">
        <f>+_xlfn.IFNA(VLOOKUP(M1773,'Mapping DEF'!B:C,2,FALSE),"")</f>
        <v>Term Structure</v>
      </c>
      <c r="O1773" t="s">
        <v>2765</v>
      </c>
    </row>
    <row r="1774" spans="1:15" x14ac:dyDescent="0.25">
      <c r="A1774" s="4" t="s">
        <v>2609</v>
      </c>
      <c r="B1774" s="4" t="s">
        <v>2610</v>
      </c>
      <c r="C1774" s="5">
        <v>2402</v>
      </c>
      <c r="D1774" s="6" t="s">
        <v>2611</v>
      </c>
      <c r="E1774" t="s">
        <v>729</v>
      </c>
      <c r="F1774" t="s">
        <v>258</v>
      </c>
      <c r="G1774" t="str">
        <f>+VLOOKUP(F1774,[1]Explore!$B:$I,8,0)</f>
        <v>USD Inflation</v>
      </c>
      <c r="H1774" t="s">
        <v>259</v>
      </c>
      <c r="I1774" t="str">
        <f>+VLOOKUP(H1774,[1]Explore!$A:$I,9,0)</f>
        <v>USD Inflation</v>
      </c>
      <c r="J1774" t="str">
        <f t="shared" si="54"/>
        <v>OK</v>
      </c>
      <c r="K1774" t="str">
        <f t="shared" si="55"/>
        <v>USD Inflation</v>
      </c>
      <c r="L1774" t="s">
        <v>2143</v>
      </c>
      <c r="M1774" t="str">
        <f>_xlfn.IFNA(VLOOKUP(K1774,'Mapping DEF'!A:C,2,0),"")</f>
        <v>Inflation</v>
      </c>
      <c r="N1774" t="str">
        <f>+_xlfn.IFNA(VLOOKUP(M1774,'Mapping DEF'!B:C,2,FALSE),"")</f>
        <v>Other</v>
      </c>
      <c r="O1774" t="s">
        <v>2788</v>
      </c>
    </row>
    <row r="1775" spans="1:15" x14ac:dyDescent="0.25">
      <c r="A1775" s="4" t="s">
        <v>2609</v>
      </c>
      <c r="B1775" s="4" t="s">
        <v>2610</v>
      </c>
      <c r="C1775" s="5">
        <v>2402</v>
      </c>
      <c r="D1775" s="6" t="s">
        <v>2611</v>
      </c>
      <c r="E1775" t="s">
        <v>313</v>
      </c>
      <c r="F1775" t="s">
        <v>268</v>
      </c>
      <c r="G1775" t="str">
        <f>+VLOOKUP(F1775,[1]Explore!$B:$I,8,0)</f>
        <v>Alternative - Commodity</v>
      </c>
      <c r="H1775" t="s">
        <v>269</v>
      </c>
      <c r="I1775" t="str">
        <f>+VLOOKUP(H1775,[1]Explore!$A:$I,9,0)</f>
        <v>Alternative - Commodity</v>
      </c>
      <c r="J1775" t="str">
        <f t="shared" si="54"/>
        <v>OK</v>
      </c>
      <c r="K1775" t="str">
        <f t="shared" si="55"/>
        <v>Alternative - Commodity</v>
      </c>
      <c r="L1775" t="s">
        <v>2139</v>
      </c>
      <c r="M1775" t="str">
        <f>_xlfn.IFNA(VLOOKUP(K1775,'Mapping DEF'!A:C,2,0),"")</f>
        <v>Alternative</v>
      </c>
      <c r="N1775" t="str">
        <f>+_xlfn.IFNA(VLOOKUP(M1775,'Mapping DEF'!B:C,2,FALSE),"")</f>
        <v>Other</v>
      </c>
      <c r="O1775" t="s">
        <v>2794</v>
      </c>
    </row>
    <row r="1776" spans="1:15" x14ac:dyDescent="0.25">
      <c r="A1776" s="4" t="s">
        <v>2609</v>
      </c>
      <c r="B1776" s="4" t="s">
        <v>2610</v>
      </c>
      <c r="C1776" s="5">
        <v>2402</v>
      </c>
      <c r="D1776" s="6" t="s">
        <v>2611</v>
      </c>
      <c r="E1776" t="s">
        <v>2120</v>
      </c>
      <c r="F1776" t="s">
        <v>360</v>
      </c>
      <c r="G1776" t="str">
        <f>+VLOOKUP(F1776,[1]Explore!$B:$I,8,0)</f>
        <v>Spread Govt ITA</v>
      </c>
      <c r="H1776" t="s">
        <v>361</v>
      </c>
      <c r="I1776" t="str">
        <f>+VLOOKUP(H1776,[1]Explore!$A:$I,9,0)</f>
        <v>Spread Govt ITA</v>
      </c>
      <c r="J1776" t="str">
        <f t="shared" si="54"/>
        <v>OK</v>
      </c>
      <c r="K1776" t="str">
        <f t="shared" si="55"/>
        <v>Spread Govt ITA</v>
      </c>
      <c r="L1776" t="s">
        <v>188</v>
      </c>
      <c r="M1776" t="str">
        <f>_xlfn.IFNA(VLOOKUP(K1776,'Mapping DEF'!A:C,2,0),"")</f>
        <v>Spread Govt</v>
      </c>
      <c r="N1776" t="str">
        <f>+_xlfn.IFNA(VLOOKUP(M1776,'Mapping DEF'!B:C,2,FALSE),"")</f>
        <v>Term Structure</v>
      </c>
      <c r="O1776" t="s">
        <v>2755</v>
      </c>
    </row>
    <row r="1777" spans="1:15" x14ac:dyDescent="0.25">
      <c r="A1777" s="4" t="s">
        <v>2609</v>
      </c>
      <c r="B1777" s="4" t="s">
        <v>2610</v>
      </c>
      <c r="C1777" s="5">
        <v>2402</v>
      </c>
      <c r="D1777" s="6" t="s">
        <v>2611</v>
      </c>
      <c r="E1777" t="s">
        <v>2124</v>
      </c>
      <c r="F1777" t="s">
        <v>2944</v>
      </c>
      <c r="G1777" t="str">
        <f>+VLOOKUP(F1777,[1]Explore!$B:$I,8,0)</f>
        <v>JPY</v>
      </c>
      <c r="H1777" t="s">
        <v>138</v>
      </c>
      <c r="I1777" t="str">
        <f>+VLOOKUP(H1777,[1]Explore!$A:$I,9,0)</f>
        <v>JPY</v>
      </c>
      <c r="J1777" t="str">
        <f t="shared" si="54"/>
        <v>OK</v>
      </c>
      <c r="K1777" t="str">
        <f t="shared" si="55"/>
        <v>JPY</v>
      </c>
      <c r="L1777" t="s">
        <v>2140</v>
      </c>
      <c r="M1777" t="str">
        <f>_xlfn.IFNA(VLOOKUP(K1777,'Mapping DEF'!A:C,2,0),"")</f>
        <v>FX</v>
      </c>
      <c r="N1777" t="str">
        <f>+_xlfn.IFNA(VLOOKUP(M1777,'Mapping DEF'!B:C,2,FALSE),"")</f>
        <v>FX</v>
      </c>
      <c r="O1777" t="s">
        <v>2794</v>
      </c>
    </row>
    <row r="1778" spans="1:15" x14ac:dyDescent="0.25">
      <c r="A1778" s="4" t="s">
        <v>2609</v>
      </c>
      <c r="B1778" s="4" t="s">
        <v>2610</v>
      </c>
      <c r="C1778" s="5">
        <v>2402</v>
      </c>
      <c r="D1778" s="6" t="s">
        <v>2611</v>
      </c>
      <c r="E1778" t="s">
        <v>712</v>
      </c>
      <c r="F1778" t="s">
        <v>2156</v>
      </c>
      <c r="G1778" t="str">
        <f>+VLOOKUP(F1778,[1]Explore!$B:$I,8,0)</f>
        <v>Equity Implied Volatility</v>
      </c>
      <c r="H1778" t="s">
        <v>141</v>
      </c>
      <c r="I1778" t="str">
        <f>+VLOOKUP(H1778,[1]Explore!$A:$I,9,0)</f>
        <v>Equity Implied Volatility</v>
      </c>
      <c r="J1778" t="str">
        <f t="shared" si="54"/>
        <v>OK</v>
      </c>
      <c r="K1778" t="str">
        <f t="shared" si="55"/>
        <v>Equity Implied Volatility</v>
      </c>
      <c r="L1778" t="s">
        <v>27</v>
      </c>
      <c r="M1778" t="str">
        <f>_xlfn.IFNA(VLOOKUP(K1778,'Mapping DEF'!A:C,2,0),"")</f>
        <v>Equity Derivatives</v>
      </c>
      <c r="N1778" t="str">
        <f>+_xlfn.IFNA(VLOOKUP(M1778,'Mapping DEF'!B:C,2,FALSE),"")</f>
        <v>Equity</v>
      </c>
      <c r="O1778" t="s">
        <v>2753</v>
      </c>
    </row>
    <row r="1779" spans="1:15" x14ac:dyDescent="0.25">
      <c r="A1779" s="4" t="s">
        <v>2609</v>
      </c>
      <c r="B1779" s="4" t="s">
        <v>2610</v>
      </c>
      <c r="C1779" s="5">
        <v>2402</v>
      </c>
      <c r="D1779" s="6" t="s">
        <v>2611</v>
      </c>
      <c r="E1779" t="s">
        <v>2125</v>
      </c>
      <c r="F1779" t="s">
        <v>392</v>
      </c>
      <c r="G1779" t="str">
        <f>+VLOOKUP(F1779,[1]Explore!$B:$I,8,0)</f>
        <v>Equity Implied Volatility</v>
      </c>
      <c r="H1779" t="s">
        <v>392</v>
      </c>
      <c r="I1779" t="str">
        <f>+VLOOKUP(H1779,[1]Explore!$A:$I,9,0)</f>
        <v>Equity Implied Volatility</v>
      </c>
      <c r="J1779" t="str">
        <f t="shared" si="54"/>
        <v>OK</v>
      </c>
      <c r="K1779" t="str">
        <f t="shared" si="55"/>
        <v>Equity Implied Volatility</v>
      </c>
      <c r="L1779" t="s">
        <v>27</v>
      </c>
      <c r="M1779" t="str">
        <f>_xlfn.IFNA(VLOOKUP(K1779,'Mapping DEF'!A:C,2,0),"")</f>
        <v>Equity Derivatives</v>
      </c>
      <c r="N1779" t="str">
        <f>+_xlfn.IFNA(VLOOKUP(M1779,'Mapping DEF'!B:C,2,FALSE),"")</f>
        <v>Equity</v>
      </c>
      <c r="O1779" t="s">
        <v>2812</v>
      </c>
    </row>
    <row r="1780" spans="1:15" x14ac:dyDescent="0.25">
      <c r="A1780" s="4" t="s">
        <v>2609</v>
      </c>
      <c r="B1780" s="4" t="s">
        <v>2610</v>
      </c>
      <c r="C1780" s="5">
        <v>2402</v>
      </c>
      <c r="D1780" s="6" t="s">
        <v>2611</v>
      </c>
      <c r="E1780" t="s">
        <v>1461</v>
      </c>
      <c r="F1780" t="s">
        <v>346</v>
      </c>
      <c r="G1780" t="str">
        <f>+VLOOKUP(F1780,[1]Explore!$B:$I,8,0)</f>
        <v>Spread Emerging Markets - Country</v>
      </c>
      <c r="H1780" t="s">
        <v>347</v>
      </c>
      <c r="I1780" t="str">
        <f>+VLOOKUP(H1780,[1]Explore!$A:$I,9,0)</f>
        <v>Spread Emerging Markets - Country</v>
      </c>
      <c r="J1780" t="str">
        <f t="shared" si="54"/>
        <v>OK</v>
      </c>
      <c r="K1780" t="str">
        <f t="shared" si="55"/>
        <v>Spread Emerging Markets - Country</v>
      </c>
      <c r="L1780" t="s">
        <v>188</v>
      </c>
      <c r="M1780" t="str">
        <f>_xlfn.IFNA(VLOOKUP(K1780,'Mapping DEF'!A:C,2,0),"")</f>
        <v>Spread</v>
      </c>
      <c r="N1780" t="str">
        <f>+_xlfn.IFNA(VLOOKUP(M1780,'Mapping DEF'!B:C,2,FALSE),"")</f>
        <v>Spread</v>
      </c>
      <c r="O1780" t="s">
        <v>2795</v>
      </c>
    </row>
    <row r="1781" spans="1:15" x14ac:dyDescent="0.25">
      <c r="A1781" s="4" t="s">
        <v>2609</v>
      </c>
      <c r="B1781" s="4" t="s">
        <v>2610</v>
      </c>
      <c r="C1781" s="5">
        <v>2402</v>
      </c>
      <c r="D1781" s="6" t="s">
        <v>2611</v>
      </c>
      <c r="E1781" t="s">
        <v>1178</v>
      </c>
      <c r="F1781" t="s">
        <v>220</v>
      </c>
      <c r="G1781" t="str">
        <f>+VLOOKUP(F1781,[1]Explore!$B:$I,8,0)</f>
        <v>Corporate HY USD - Other</v>
      </c>
      <c r="H1781" t="s">
        <v>221</v>
      </c>
      <c r="I1781" t="str">
        <f>+VLOOKUP(H1781,[1]Explore!$A:$I,9,0)</f>
        <v>Corporate HY USD - Other</v>
      </c>
      <c r="J1781" t="str">
        <f t="shared" si="54"/>
        <v>OK</v>
      </c>
      <c r="K1781" t="str">
        <f t="shared" si="55"/>
        <v>Corporate HY USD - Other</v>
      </c>
      <c r="L1781" t="s">
        <v>188</v>
      </c>
      <c r="M1781" t="str">
        <f>_xlfn.IFNA(VLOOKUP(K1781,'Mapping DEF'!A:C,2,0),"")</f>
        <v>Spread</v>
      </c>
      <c r="N1781" t="str">
        <f>+_xlfn.IFNA(VLOOKUP(M1781,'Mapping DEF'!B:C,2,FALSE),"")</f>
        <v>Spread</v>
      </c>
      <c r="O1781" t="s">
        <v>2756</v>
      </c>
    </row>
    <row r="1782" spans="1:15" x14ac:dyDescent="0.25">
      <c r="A1782" s="4" t="s">
        <v>2609</v>
      </c>
      <c r="B1782" s="4" t="s">
        <v>2610</v>
      </c>
      <c r="C1782" s="5">
        <v>2402</v>
      </c>
      <c r="D1782" s="6" t="s">
        <v>2611</v>
      </c>
      <c r="E1782" t="s">
        <v>2126</v>
      </c>
      <c r="F1782" t="s">
        <v>2170</v>
      </c>
      <c r="G1782" t="str">
        <f>+VLOOKUP(F1782,[1]Explore!$B:$I,8,0)</f>
        <v>Equity Implied Volatility</v>
      </c>
      <c r="H1782" t="s">
        <v>2127</v>
      </c>
      <c r="I1782" t="e">
        <f>+VLOOKUP(H1782,[1]Explore!$A:$I,9,0)</f>
        <v>#N/A</v>
      </c>
      <c r="J1782" t="str">
        <f t="shared" si="54"/>
        <v>OK</v>
      </c>
      <c r="K1782" t="str">
        <f t="shared" si="55"/>
        <v>Equity Implied Volatility</v>
      </c>
      <c r="L1782" t="s">
        <v>27</v>
      </c>
      <c r="M1782" t="str">
        <f>_xlfn.IFNA(VLOOKUP(K1782,'Mapping DEF'!A:C,2,0),"")</f>
        <v>Equity Derivatives</v>
      </c>
      <c r="N1782" t="str">
        <f>+_xlfn.IFNA(VLOOKUP(M1782,'Mapping DEF'!B:C,2,FALSE),"")</f>
        <v>Equity</v>
      </c>
      <c r="O1782" t="s">
        <v>2793</v>
      </c>
    </row>
    <row r="1783" spans="1:15" x14ac:dyDescent="0.25">
      <c r="A1783" s="4" t="s">
        <v>2609</v>
      </c>
      <c r="B1783" s="4" t="s">
        <v>2610</v>
      </c>
      <c r="C1783" s="5">
        <v>2402</v>
      </c>
      <c r="D1783" s="6" t="s">
        <v>2611</v>
      </c>
      <c r="E1783" t="s">
        <v>2128</v>
      </c>
      <c r="F1783" t="s">
        <v>2155</v>
      </c>
      <c r="G1783" t="str">
        <f>+VLOOKUP(F1783,[1]Explore!$B:$I,8,0)</f>
        <v>Equity Implied Volatility</v>
      </c>
      <c r="H1783" t="s">
        <v>84</v>
      </c>
      <c r="I1783" t="e">
        <f>+VLOOKUP(H1783,[1]Explore!$A:$I,9,0)</f>
        <v>#N/A</v>
      </c>
      <c r="J1783" t="str">
        <f t="shared" si="54"/>
        <v>OK</v>
      </c>
      <c r="K1783" t="str">
        <f t="shared" si="55"/>
        <v>Equity Implied Volatility</v>
      </c>
      <c r="L1783" t="s">
        <v>27</v>
      </c>
      <c r="M1783" t="str">
        <f>_xlfn.IFNA(VLOOKUP(K1783,'Mapping DEF'!A:C,2,0),"")</f>
        <v>Equity Derivatives</v>
      </c>
      <c r="N1783" t="str">
        <f>+_xlfn.IFNA(VLOOKUP(M1783,'Mapping DEF'!B:C,2,FALSE),"")</f>
        <v>Equity</v>
      </c>
      <c r="O1783" t="s">
        <v>2793</v>
      </c>
    </row>
    <row r="1784" spans="1:15" x14ac:dyDescent="0.25">
      <c r="A1784" s="4" t="s">
        <v>2609</v>
      </c>
      <c r="B1784" s="4" t="s">
        <v>2610</v>
      </c>
      <c r="C1784" s="5">
        <v>2402</v>
      </c>
      <c r="D1784" s="6" t="s">
        <v>2611</v>
      </c>
      <c r="E1784" t="s">
        <v>2129</v>
      </c>
      <c r="F1784" t="s">
        <v>2628</v>
      </c>
      <c r="G1784" t="str">
        <f>+VLOOKUP(F1784,[1]Explore!$B:$I,8,0)</f>
        <v>Corporate HY USD - Industry</v>
      </c>
      <c r="H1784" t="s">
        <v>2130</v>
      </c>
      <c r="I1784" t="e">
        <f>+VLOOKUP(H1784,[1]Explore!$A:$I,9,0)</f>
        <v>#N/A</v>
      </c>
      <c r="J1784" t="str">
        <f t="shared" si="54"/>
        <v>OK</v>
      </c>
      <c r="K1784" t="str">
        <f t="shared" si="55"/>
        <v>Corporate HY USD - Industry</v>
      </c>
      <c r="L1784" t="s">
        <v>188</v>
      </c>
      <c r="M1784" t="str">
        <f>_xlfn.IFNA(VLOOKUP(K1784,'Mapping DEF'!A:C,2,0),"")</f>
        <v>Spread</v>
      </c>
      <c r="N1784" t="str">
        <f>+_xlfn.IFNA(VLOOKUP(M1784,'Mapping DEF'!B:C,2,FALSE),"")</f>
        <v>Spread</v>
      </c>
      <c r="O1784" t="s">
        <v>2797</v>
      </c>
    </row>
    <row r="1785" spans="1:15" x14ac:dyDescent="0.25">
      <c r="A1785" s="4" t="s">
        <v>2609</v>
      </c>
      <c r="B1785" s="4" t="s">
        <v>2610</v>
      </c>
      <c r="C1785" s="5">
        <v>2402</v>
      </c>
      <c r="D1785" s="6" t="s">
        <v>2611</v>
      </c>
      <c r="E1785" t="s">
        <v>2131</v>
      </c>
      <c r="F1785" t="s">
        <v>2627</v>
      </c>
      <c r="G1785" t="str">
        <f>+VLOOKUP(F1785,[1]Explore!$B:$I,8,0)</f>
        <v>Corporate HY USD - Industry</v>
      </c>
      <c r="H1785" t="s">
        <v>2132</v>
      </c>
      <c r="I1785" t="e">
        <f>+VLOOKUP(H1785,[1]Explore!$A:$I,9,0)</f>
        <v>#N/A</v>
      </c>
      <c r="J1785" t="str">
        <f t="shared" si="54"/>
        <v>OK</v>
      </c>
      <c r="K1785" t="str">
        <f t="shared" si="55"/>
        <v>Corporate HY USD - Industry</v>
      </c>
      <c r="L1785" t="s">
        <v>188</v>
      </c>
      <c r="M1785" t="str">
        <f>_xlfn.IFNA(VLOOKUP(K1785,'Mapping DEF'!A:C,2,0),"")</f>
        <v>Spread</v>
      </c>
      <c r="N1785" t="str">
        <f>+_xlfn.IFNA(VLOOKUP(M1785,'Mapping DEF'!B:C,2,FALSE),"")</f>
        <v>Spread</v>
      </c>
      <c r="O1785" t="s">
        <v>2797</v>
      </c>
    </row>
    <row r="1786" spans="1:15" x14ac:dyDescent="0.25">
      <c r="A1786" s="4" t="s">
        <v>2237</v>
      </c>
      <c r="B1786" s="4" t="s">
        <v>2238</v>
      </c>
      <c r="C1786" s="5">
        <v>2403</v>
      </c>
      <c r="D1786" s="6" t="s">
        <v>2239</v>
      </c>
      <c r="E1786" t="s">
        <v>670</v>
      </c>
      <c r="F1786" t="s">
        <v>19</v>
      </c>
      <c r="G1786" t="str">
        <f>+VLOOKUP(F1786,[1]Explore!$B:$I,8,0)</f>
        <v>Govt USD</v>
      </c>
      <c r="H1786" t="s">
        <v>20</v>
      </c>
      <c r="I1786" t="str">
        <f>+VLOOKUP(H1786,[1]Explore!$A:$I,9,0)</f>
        <v>Govt USD</v>
      </c>
      <c r="J1786" t="str">
        <f t="shared" si="54"/>
        <v>OK</v>
      </c>
      <c r="K1786" t="str">
        <f t="shared" si="55"/>
        <v>Govt USD</v>
      </c>
      <c r="L1786" t="s">
        <v>2143</v>
      </c>
      <c r="M1786" t="str">
        <f>_xlfn.IFNA(VLOOKUP(K1786,'Mapping DEF'!A:C,2,0),"")</f>
        <v>Curve (Local)</v>
      </c>
      <c r="N1786" t="str">
        <f>+_xlfn.IFNA(VLOOKUP(M1786,'Mapping DEF'!B:C,2,FALSE),"")</f>
        <v>Term Structure</v>
      </c>
      <c r="O1786" t="s">
        <v>2769</v>
      </c>
    </row>
    <row r="1787" spans="1:15" x14ac:dyDescent="0.25">
      <c r="A1787" s="4" t="s">
        <v>2237</v>
      </c>
      <c r="B1787" s="4" t="s">
        <v>2238</v>
      </c>
      <c r="C1787" s="5">
        <v>2403</v>
      </c>
      <c r="D1787" s="6" t="s">
        <v>2239</v>
      </c>
      <c r="E1787" t="s">
        <v>719</v>
      </c>
      <c r="F1787" t="s">
        <v>258</v>
      </c>
      <c r="G1787" t="str">
        <f>+VLOOKUP(F1787,[1]Explore!$B:$I,8,0)</f>
        <v>USD Inflation</v>
      </c>
      <c r="H1787" t="s">
        <v>259</v>
      </c>
      <c r="I1787" t="str">
        <f>+VLOOKUP(H1787,[1]Explore!$A:$I,9,0)</f>
        <v>USD Inflation</v>
      </c>
      <c r="J1787" t="str">
        <f t="shared" si="54"/>
        <v>OK</v>
      </c>
      <c r="K1787" t="str">
        <f t="shared" si="55"/>
        <v>USD Inflation</v>
      </c>
      <c r="L1787" t="s">
        <v>2143</v>
      </c>
      <c r="M1787" t="str">
        <f>_xlfn.IFNA(VLOOKUP(K1787,'Mapping DEF'!A:C,2,0),"")</f>
        <v>Inflation</v>
      </c>
      <c r="N1787" t="str">
        <f>+_xlfn.IFNA(VLOOKUP(M1787,'Mapping DEF'!B:C,2,FALSE),"")</f>
        <v>Other</v>
      </c>
      <c r="O1787" t="s">
        <v>2791</v>
      </c>
    </row>
    <row r="1788" spans="1:15" x14ac:dyDescent="0.25">
      <c r="A1788" s="4" t="s">
        <v>2237</v>
      </c>
      <c r="B1788" s="4" t="s">
        <v>2238</v>
      </c>
      <c r="C1788" s="5">
        <v>2403</v>
      </c>
      <c r="D1788" s="6" t="s">
        <v>2239</v>
      </c>
      <c r="E1788" t="s">
        <v>329</v>
      </c>
      <c r="F1788" t="s">
        <v>268</v>
      </c>
      <c r="G1788" t="str">
        <f>+VLOOKUP(F1788,[1]Explore!$B:$I,8,0)</f>
        <v>Alternative - Commodity</v>
      </c>
      <c r="H1788" t="s">
        <v>269</v>
      </c>
      <c r="I1788" t="str">
        <f>+VLOOKUP(H1788,[1]Explore!$A:$I,9,0)</f>
        <v>Alternative - Commodity</v>
      </c>
      <c r="J1788" t="str">
        <f t="shared" si="54"/>
        <v>OK</v>
      </c>
      <c r="K1788" t="str">
        <f t="shared" si="55"/>
        <v>Alternative - Commodity</v>
      </c>
      <c r="L1788" t="s">
        <v>2139</v>
      </c>
      <c r="M1788" t="str">
        <f>_xlfn.IFNA(VLOOKUP(K1788,'Mapping DEF'!A:C,2,0),"")</f>
        <v>Alternative</v>
      </c>
      <c r="N1788" t="str">
        <f>+_xlfn.IFNA(VLOOKUP(M1788,'Mapping DEF'!B:C,2,FALSE),"")</f>
        <v>Other</v>
      </c>
      <c r="O1788" t="s">
        <v>2770</v>
      </c>
    </row>
    <row r="1789" spans="1:15" x14ac:dyDescent="0.25">
      <c r="A1789" s="4" t="s">
        <v>2237</v>
      </c>
      <c r="B1789" s="4" t="s">
        <v>2238</v>
      </c>
      <c r="C1789" s="5">
        <v>2403</v>
      </c>
      <c r="D1789" s="6" t="s">
        <v>2239</v>
      </c>
      <c r="E1789" t="s">
        <v>581</v>
      </c>
      <c r="F1789" t="s">
        <v>392</v>
      </c>
      <c r="G1789" t="str">
        <f>+VLOOKUP(F1789,[1]Explore!$B:$I,8,0)</f>
        <v>Equity Implied Volatility</v>
      </c>
      <c r="H1789" t="s">
        <v>392</v>
      </c>
      <c r="I1789" t="str">
        <f>+VLOOKUP(H1789,[1]Explore!$A:$I,9,0)</f>
        <v>Equity Implied Volatility</v>
      </c>
      <c r="J1789" t="str">
        <f t="shared" si="54"/>
        <v>OK</v>
      </c>
      <c r="K1789" t="str">
        <f t="shared" si="55"/>
        <v>Equity Implied Volatility</v>
      </c>
      <c r="L1789" t="s">
        <v>27</v>
      </c>
      <c r="M1789" t="str">
        <f>_xlfn.IFNA(VLOOKUP(K1789,'Mapping DEF'!A:C,2,0),"")</f>
        <v>Equity Derivatives</v>
      </c>
      <c r="N1789" t="str">
        <f>+_xlfn.IFNA(VLOOKUP(M1789,'Mapping DEF'!B:C,2,FALSE),"")</f>
        <v>Equity</v>
      </c>
      <c r="O1789" t="s">
        <v>2811</v>
      </c>
    </row>
    <row r="1790" spans="1:15" x14ac:dyDescent="0.25">
      <c r="A1790" s="4" t="s">
        <v>2237</v>
      </c>
      <c r="B1790" s="4" t="s">
        <v>2238</v>
      </c>
      <c r="C1790" s="5">
        <v>2403</v>
      </c>
      <c r="D1790" s="6" t="s">
        <v>2239</v>
      </c>
      <c r="E1790" t="s">
        <v>1745</v>
      </c>
      <c r="F1790" t="s">
        <v>183</v>
      </c>
      <c r="G1790" t="str">
        <f>+VLOOKUP(F1790,[1]Explore!$B:$I,8,0)</f>
        <v>Equity Implied Volatility</v>
      </c>
      <c r="H1790" t="s">
        <v>184</v>
      </c>
      <c r="I1790" t="str">
        <f>+VLOOKUP(H1790,[1]Explore!$A:$I,9,0)</f>
        <v>Equity Implied Volatility</v>
      </c>
      <c r="J1790" t="str">
        <f t="shared" si="54"/>
        <v>OK</v>
      </c>
      <c r="K1790" t="str">
        <f t="shared" si="55"/>
        <v>Equity Implied Volatility</v>
      </c>
      <c r="L1790" t="s">
        <v>27</v>
      </c>
      <c r="M1790" t="str">
        <f>_xlfn.IFNA(VLOOKUP(K1790,'Mapping DEF'!A:C,2,0),"")</f>
        <v>Equity Derivatives</v>
      </c>
      <c r="N1790" t="str">
        <f>+_xlfn.IFNA(VLOOKUP(M1790,'Mapping DEF'!B:C,2,FALSE),"")</f>
        <v>Equity</v>
      </c>
      <c r="O1790" t="s">
        <v>2793</v>
      </c>
    </row>
    <row r="1791" spans="1:15" x14ac:dyDescent="0.25">
      <c r="A1791" s="4" t="s">
        <v>2237</v>
      </c>
      <c r="B1791" s="4" t="s">
        <v>2238</v>
      </c>
      <c r="C1791" s="5">
        <v>2403</v>
      </c>
      <c r="D1791" s="6" t="s">
        <v>2239</v>
      </c>
      <c r="E1791" t="s">
        <v>1178</v>
      </c>
      <c r="F1791" t="s">
        <v>220</v>
      </c>
      <c r="G1791" t="str">
        <f>+VLOOKUP(F1791,[1]Explore!$B:$I,8,0)</f>
        <v>Corporate HY USD - Other</v>
      </c>
      <c r="H1791" t="s">
        <v>221</v>
      </c>
      <c r="I1791" t="str">
        <f>+VLOOKUP(H1791,[1]Explore!$A:$I,9,0)</f>
        <v>Corporate HY USD - Other</v>
      </c>
      <c r="J1791" t="str">
        <f t="shared" si="54"/>
        <v>OK</v>
      </c>
      <c r="K1791" t="str">
        <f t="shared" si="55"/>
        <v>Corporate HY USD - Other</v>
      </c>
      <c r="L1791" t="s">
        <v>188</v>
      </c>
      <c r="M1791" t="str">
        <f>_xlfn.IFNA(VLOOKUP(K1791,'Mapping DEF'!A:C,2,0),"")</f>
        <v>Spread</v>
      </c>
      <c r="N1791" t="str">
        <f>+_xlfn.IFNA(VLOOKUP(M1791,'Mapping DEF'!B:C,2,FALSE),"")</f>
        <v>Spread</v>
      </c>
      <c r="O1791" t="s">
        <v>2756</v>
      </c>
    </row>
    <row r="1792" spans="1:15" x14ac:dyDescent="0.25">
      <c r="A1792" s="4" t="s">
        <v>2237</v>
      </c>
      <c r="B1792" s="4" t="s">
        <v>2238</v>
      </c>
      <c r="C1792" s="5">
        <v>2403</v>
      </c>
      <c r="D1792" s="6" t="s">
        <v>2239</v>
      </c>
      <c r="E1792" t="s">
        <v>2133</v>
      </c>
      <c r="F1792" t="s">
        <v>826</v>
      </c>
      <c r="G1792" t="str">
        <f>+VLOOKUP(F1792,[1]Explore!$B:$I,8,0)</f>
        <v>Equity Implied Volatility</v>
      </c>
      <c r="H1792" t="s">
        <v>433</v>
      </c>
      <c r="I1792" t="e">
        <f>+VLOOKUP(H1792,[1]Explore!$A:$I,9,0)</f>
        <v>#N/A</v>
      </c>
      <c r="J1792" t="str">
        <f t="shared" si="54"/>
        <v>OK</v>
      </c>
      <c r="K1792" t="str">
        <f t="shared" si="55"/>
        <v>Equity Implied Volatility</v>
      </c>
      <c r="L1792" t="s">
        <v>27</v>
      </c>
      <c r="M1792" t="str">
        <f>_xlfn.IFNA(VLOOKUP(K1792,'Mapping DEF'!A:C,2,0),"")</f>
        <v>Equity Derivatives</v>
      </c>
      <c r="N1792" t="str">
        <f>+_xlfn.IFNA(VLOOKUP(M1792,'Mapping DEF'!B:C,2,FALSE),"")</f>
        <v>Equity</v>
      </c>
      <c r="O1792" t="s">
        <v>2763</v>
      </c>
    </row>
    <row r="1793" spans="1:15" x14ac:dyDescent="0.25">
      <c r="A1793" s="4" t="s">
        <v>2237</v>
      </c>
      <c r="B1793" s="4" t="s">
        <v>2238</v>
      </c>
      <c r="C1793" s="5">
        <v>2403</v>
      </c>
      <c r="D1793" s="6" t="s">
        <v>2239</v>
      </c>
      <c r="E1793" t="s">
        <v>2134</v>
      </c>
      <c r="F1793" t="s">
        <v>2171</v>
      </c>
      <c r="G1793" t="str">
        <f>+VLOOKUP(F1793,[1]Explore!$B:$I,8,0)</f>
        <v>Equity Implied Volatility</v>
      </c>
      <c r="H1793" t="s">
        <v>1206</v>
      </c>
      <c r="I1793" t="e">
        <f>+VLOOKUP(H1793,[1]Explore!$A:$I,9,0)</f>
        <v>#N/A</v>
      </c>
      <c r="J1793" t="str">
        <f t="shared" si="54"/>
        <v>OK</v>
      </c>
      <c r="K1793" t="str">
        <f t="shared" si="55"/>
        <v>Equity Implied Volatility</v>
      </c>
      <c r="L1793" t="s">
        <v>27</v>
      </c>
      <c r="M1793" t="str">
        <f>_xlfn.IFNA(VLOOKUP(K1793,'Mapping DEF'!A:C,2,0),"")</f>
        <v>Equity Derivatives</v>
      </c>
      <c r="N1793" t="str">
        <f>+_xlfn.IFNA(VLOOKUP(M1793,'Mapping DEF'!B:C,2,FALSE),"")</f>
        <v>Equity</v>
      </c>
      <c r="O1793" t="s">
        <v>2776</v>
      </c>
    </row>
    <row r="1794" spans="1:15" x14ac:dyDescent="0.25">
      <c r="A1794" s="4" t="s">
        <v>2237</v>
      </c>
      <c r="B1794" s="4" t="s">
        <v>2238</v>
      </c>
      <c r="C1794" s="5">
        <v>2403</v>
      </c>
      <c r="D1794" s="6" t="s">
        <v>2239</v>
      </c>
      <c r="E1794" t="s">
        <v>2135</v>
      </c>
      <c r="F1794" t="s">
        <v>2620</v>
      </c>
      <c r="G1794" t="str">
        <f>+VLOOKUP(F1794,[1]Explore!$B:$I,8,0)</f>
        <v>Corporate HY USD - Industry</v>
      </c>
      <c r="H1794" t="s">
        <v>214</v>
      </c>
      <c r="I1794" t="e">
        <f>+VLOOKUP(H1794,[1]Explore!$A:$I,9,0)</f>
        <v>#N/A</v>
      </c>
      <c r="J1794" t="str">
        <f t="shared" si="54"/>
        <v>OK</v>
      </c>
      <c r="K1794" t="str">
        <f t="shared" si="55"/>
        <v>Corporate HY USD - Industry</v>
      </c>
      <c r="L1794" t="s">
        <v>188</v>
      </c>
      <c r="M1794" t="str">
        <f>_xlfn.IFNA(VLOOKUP(K1794,'Mapping DEF'!A:C,2,0),"")</f>
        <v>Spread</v>
      </c>
      <c r="N1794" t="str">
        <f>+_xlfn.IFNA(VLOOKUP(M1794,'Mapping DEF'!B:C,2,FALSE),"")</f>
        <v>Spread</v>
      </c>
      <c r="O1794" t="s">
        <v>2829</v>
      </c>
    </row>
  </sheetData>
  <autoFilter ref="A1:P1794"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618E3-367A-400F-B041-EA3E190DCEF5}">
  <dimension ref="A1:M77"/>
  <sheetViews>
    <sheetView workbookViewId="0">
      <selection activeCell="K1" sqref="K1:M1048576"/>
    </sheetView>
  </sheetViews>
  <sheetFormatPr defaultRowHeight="15" x14ac:dyDescent="0.25"/>
  <cols>
    <col min="1" max="1" width="35.140625" bestFit="1" customWidth="1"/>
    <col min="2" max="2" width="22.140625" bestFit="1" customWidth="1"/>
    <col min="3" max="3" width="16.5703125" bestFit="1" customWidth="1"/>
    <col min="6" max="6" width="22.140625" bestFit="1" customWidth="1"/>
    <col min="11" max="11" width="25.7109375" customWidth="1"/>
    <col min="12" max="12" width="22.140625" bestFit="1" customWidth="1"/>
    <col min="13" max="13" width="16.5703125" bestFit="1" customWidth="1"/>
  </cols>
  <sheetData>
    <row r="1" spans="1:13" x14ac:dyDescent="0.25">
      <c r="A1" s="8" t="s">
        <v>2691</v>
      </c>
      <c r="B1" s="8" t="s">
        <v>2915</v>
      </c>
      <c r="C1" s="8" t="s">
        <v>2926</v>
      </c>
      <c r="F1" s="8" t="s">
        <v>2925</v>
      </c>
      <c r="K1" s="9" t="s">
        <v>2932</v>
      </c>
      <c r="L1" s="9" t="s">
        <v>2931</v>
      </c>
      <c r="M1" s="9" t="s">
        <v>2915</v>
      </c>
    </row>
    <row r="2" spans="1:13" x14ac:dyDescent="0.25">
      <c r="A2" t="s">
        <v>2637</v>
      </c>
      <c r="B2" t="s">
        <v>2914</v>
      </c>
      <c r="C2" t="s">
        <v>2927</v>
      </c>
      <c r="F2" t="s">
        <v>2914</v>
      </c>
      <c r="K2" t="s">
        <v>2638</v>
      </c>
      <c r="L2" t="str">
        <f>+VLOOKUP(K2,A:B,2,FALSE)</f>
        <v>Curve (Local)</v>
      </c>
      <c r="M2" t="str">
        <f>+VLOOKUP(L2,B:C,2,FALSE)</f>
        <v>Term Structure</v>
      </c>
    </row>
    <row r="3" spans="1:13" x14ac:dyDescent="0.25">
      <c r="A3" t="s">
        <v>2638</v>
      </c>
      <c r="B3" t="s">
        <v>2916</v>
      </c>
      <c r="C3" t="s">
        <v>2928</v>
      </c>
      <c r="F3" t="s">
        <v>2916</v>
      </c>
      <c r="K3" t="s">
        <v>2637</v>
      </c>
      <c r="L3" t="str">
        <f t="shared" ref="L3:L51" si="0">+VLOOKUP(K3,A:B,2,FALSE)</f>
        <v>Equity Derivatives</v>
      </c>
      <c r="M3" t="str">
        <f t="shared" ref="M3:M51" si="1">+VLOOKUP(L3,B:C,2,FALSE)</f>
        <v>Equity</v>
      </c>
    </row>
    <row r="4" spans="1:13" x14ac:dyDescent="0.25">
      <c r="A4" t="s">
        <v>2640</v>
      </c>
      <c r="B4" t="s">
        <v>75</v>
      </c>
      <c r="C4" t="s">
        <v>75</v>
      </c>
      <c r="F4" t="s">
        <v>2918</v>
      </c>
      <c r="K4" t="s">
        <v>2639</v>
      </c>
      <c r="L4" t="str">
        <f t="shared" si="0"/>
        <v>Alternative</v>
      </c>
      <c r="M4" t="s">
        <v>2921</v>
      </c>
    </row>
    <row r="5" spans="1:13" x14ac:dyDescent="0.25">
      <c r="A5" t="s">
        <v>1206</v>
      </c>
      <c r="B5" t="s">
        <v>2917</v>
      </c>
      <c r="C5" t="s">
        <v>2927</v>
      </c>
      <c r="F5" t="s">
        <v>2919</v>
      </c>
      <c r="K5" t="s">
        <v>2640</v>
      </c>
      <c r="L5" t="str">
        <f t="shared" si="0"/>
        <v>FX</v>
      </c>
      <c r="M5" t="str">
        <f t="shared" si="1"/>
        <v>FX</v>
      </c>
    </row>
    <row r="6" spans="1:13" x14ac:dyDescent="0.25">
      <c r="A6" t="s">
        <v>2639</v>
      </c>
      <c r="B6" t="s">
        <v>2918</v>
      </c>
      <c r="C6" t="s">
        <v>2918</v>
      </c>
      <c r="F6" t="s">
        <v>75</v>
      </c>
      <c r="K6" t="s">
        <v>1206</v>
      </c>
      <c r="L6" t="str">
        <f t="shared" si="0"/>
        <v>Industry Allocation</v>
      </c>
      <c r="M6" t="str">
        <f t="shared" si="1"/>
        <v>Equity</v>
      </c>
    </row>
    <row r="7" spans="1:13" x14ac:dyDescent="0.25">
      <c r="A7" t="s">
        <v>2679</v>
      </c>
      <c r="B7" t="s">
        <v>2917</v>
      </c>
      <c r="C7" t="s">
        <v>2927</v>
      </c>
      <c r="F7" t="s">
        <v>2917</v>
      </c>
      <c r="K7" t="s">
        <v>2679</v>
      </c>
      <c r="L7" t="str">
        <f t="shared" si="0"/>
        <v>Industry Allocation</v>
      </c>
      <c r="M7" t="str">
        <f t="shared" si="1"/>
        <v>Equity</v>
      </c>
    </row>
    <row r="8" spans="1:13" x14ac:dyDescent="0.25">
      <c r="A8" t="s">
        <v>2653</v>
      </c>
      <c r="B8" t="s">
        <v>2919</v>
      </c>
      <c r="C8" t="s">
        <v>2919</v>
      </c>
      <c r="F8" t="s">
        <v>93</v>
      </c>
      <c r="K8" t="s">
        <v>2653</v>
      </c>
      <c r="L8" t="str">
        <f t="shared" si="0"/>
        <v>Spread</v>
      </c>
      <c r="M8" t="str">
        <f t="shared" si="1"/>
        <v>Spread</v>
      </c>
    </row>
    <row r="9" spans="1:13" x14ac:dyDescent="0.25">
      <c r="A9" t="s">
        <v>93</v>
      </c>
      <c r="B9" t="str">
        <f>A9</f>
        <v>Industry Return</v>
      </c>
      <c r="C9" t="s">
        <v>2927</v>
      </c>
      <c r="F9" t="s">
        <v>2920</v>
      </c>
      <c r="K9" t="s">
        <v>93</v>
      </c>
      <c r="L9" t="str">
        <f t="shared" si="0"/>
        <v>Industry Return</v>
      </c>
      <c r="M9" t="str">
        <f t="shared" si="1"/>
        <v>Equity</v>
      </c>
    </row>
    <row r="10" spans="1:13" x14ac:dyDescent="0.25">
      <c r="A10" t="s">
        <v>2643</v>
      </c>
      <c r="B10" t="s">
        <v>2920</v>
      </c>
      <c r="C10" t="s">
        <v>2920</v>
      </c>
      <c r="F10" t="s">
        <v>2921</v>
      </c>
      <c r="K10" t="s">
        <v>2643</v>
      </c>
      <c r="L10" t="str">
        <f t="shared" si="0"/>
        <v>Inflation</v>
      </c>
      <c r="M10" t="s">
        <v>2921</v>
      </c>
    </row>
    <row r="11" spans="1:13" x14ac:dyDescent="0.25">
      <c r="A11" t="s">
        <v>2642</v>
      </c>
      <c r="B11" t="s">
        <v>2916</v>
      </c>
      <c r="C11" t="s">
        <v>2928</v>
      </c>
      <c r="F11" t="s">
        <v>191</v>
      </c>
      <c r="K11" t="s">
        <v>2642</v>
      </c>
      <c r="L11" t="str">
        <f t="shared" si="0"/>
        <v>Curve (Local)</v>
      </c>
      <c r="M11" t="str">
        <f t="shared" si="1"/>
        <v>Term Structure</v>
      </c>
    </row>
    <row r="12" spans="1:13" x14ac:dyDescent="0.25">
      <c r="A12" t="s">
        <v>2641</v>
      </c>
      <c r="B12" t="s">
        <v>2916</v>
      </c>
      <c r="C12" t="s">
        <v>2928</v>
      </c>
      <c r="F12" t="s">
        <v>27</v>
      </c>
      <c r="K12" t="s">
        <v>2641</v>
      </c>
      <c r="L12" t="str">
        <f t="shared" si="0"/>
        <v>Curve (Local)</v>
      </c>
      <c r="M12" t="str">
        <f t="shared" si="1"/>
        <v>Term Structure</v>
      </c>
    </row>
    <row r="13" spans="1:13" x14ac:dyDescent="0.25">
      <c r="A13" t="s">
        <v>1212</v>
      </c>
      <c r="B13" t="s">
        <v>75</v>
      </c>
      <c r="C13" t="s">
        <v>75</v>
      </c>
      <c r="F13" t="s">
        <v>2923</v>
      </c>
      <c r="K13" t="s">
        <v>1212</v>
      </c>
      <c r="L13" t="str">
        <f t="shared" si="0"/>
        <v>FX</v>
      </c>
      <c r="M13" t="str">
        <f t="shared" si="1"/>
        <v>FX</v>
      </c>
    </row>
    <row r="14" spans="1:13" x14ac:dyDescent="0.25">
      <c r="A14" t="s">
        <v>2644</v>
      </c>
      <c r="B14" t="s">
        <v>2921</v>
      </c>
      <c r="C14" t="s">
        <v>2921</v>
      </c>
      <c r="F14" t="s">
        <v>2922</v>
      </c>
      <c r="K14" t="s">
        <v>2644</v>
      </c>
      <c r="L14" t="str">
        <f t="shared" si="0"/>
        <v>Other</v>
      </c>
      <c r="M14" t="str">
        <f t="shared" si="1"/>
        <v>Other</v>
      </c>
    </row>
    <row r="15" spans="1:13" x14ac:dyDescent="0.25">
      <c r="A15" t="s">
        <v>2646</v>
      </c>
      <c r="B15" t="s">
        <v>75</v>
      </c>
      <c r="C15" t="s">
        <v>75</v>
      </c>
      <c r="F15" t="s">
        <v>2924</v>
      </c>
      <c r="K15" t="s">
        <v>2646</v>
      </c>
      <c r="L15" t="str">
        <f t="shared" si="0"/>
        <v>FX</v>
      </c>
      <c r="M15" t="str">
        <f t="shared" si="1"/>
        <v>FX</v>
      </c>
    </row>
    <row r="16" spans="1:13" x14ac:dyDescent="0.25">
      <c r="A16" t="s">
        <v>2647</v>
      </c>
      <c r="B16" t="s">
        <v>75</v>
      </c>
      <c r="C16" t="s">
        <v>75</v>
      </c>
      <c r="F16" t="s">
        <v>188</v>
      </c>
      <c r="K16" t="s">
        <v>2647</v>
      </c>
      <c r="L16" t="str">
        <f t="shared" si="0"/>
        <v>FX</v>
      </c>
      <c r="M16" t="str">
        <f t="shared" si="1"/>
        <v>FX</v>
      </c>
    </row>
    <row r="17" spans="1:13" x14ac:dyDescent="0.25">
      <c r="A17" t="s">
        <v>191</v>
      </c>
      <c r="B17" t="s">
        <v>191</v>
      </c>
      <c r="C17" t="s">
        <v>191</v>
      </c>
      <c r="F17" t="s">
        <v>2669</v>
      </c>
      <c r="K17" t="s">
        <v>2645</v>
      </c>
      <c r="L17" t="str">
        <f t="shared" si="0"/>
        <v>Spread</v>
      </c>
      <c r="M17" t="str">
        <f t="shared" si="1"/>
        <v>Spread</v>
      </c>
    </row>
    <row r="18" spans="1:13" x14ac:dyDescent="0.25">
      <c r="A18" t="s">
        <v>2645</v>
      </c>
      <c r="B18" t="s">
        <v>2919</v>
      </c>
      <c r="C18" t="s">
        <v>2919</v>
      </c>
      <c r="F18" t="s">
        <v>2150</v>
      </c>
      <c r="K18" t="s">
        <v>191</v>
      </c>
      <c r="L18" t="str">
        <f t="shared" si="0"/>
        <v>Time</v>
      </c>
      <c r="M18" t="s">
        <v>2921</v>
      </c>
    </row>
    <row r="19" spans="1:13" x14ac:dyDescent="0.25">
      <c r="A19" t="s">
        <v>27</v>
      </c>
      <c r="B19" t="str">
        <f>A19</f>
        <v>Index Level</v>
      </c>
      <c r="C19" t="s">
        <v>2930</v>
      </c>
      <c r="F19" t="s">
        <v>8</v>
      </c>
      <c r="K19" t="s">
        <v>2649</v>
      </c>
      <c r="L19" t="str">
        <f t="shared" si="0"/>
        <v>Spread</v>
      </c>
      <c r="M19" t="str">
        <f t="shared" si="1"/>
        <v>Spread</v>
      </c>
    </row>
    <row r="20" spans="1:13" x14ac:dyDescent="0.25">
      <c r="A20" t="s">
        <v>2649</v>
      </c>
      <c r="B20" t="s">
        <v>2919</v>
      </c>
      <c r="C20" t="s">
        <v>2919</v>
      </c>
      <c r="F20" t="s">
        <v>70</v>
      </c>
      <c r="K20" t="s">
        <v>27</v>
      </c>
      <c r="L20" t="str">
        <f t="shared" si="0"/>
        <v>Index Level</v>
      </c>
      <c r="M20" t="s">
        <v>2921</v>
      </c>
    </row>
    <row r="21" spans="1:13" x14ac:dyDescent="0.25">
      <c r="A21" t="s">
        <v>2678</v>
      </c>
      <c r="B21" t="s">
        <v>2917</v>
      </c>
      <c r="C21" t="s">
        <v>2927</v>
      </c>
      <c r="F21" t="s">
        <v>2677</v>
      </c>
      <c r="K21" t="s">
        <v>2678</v>
      </c>
      <c r="L21" t="str">
        <f t="shared" si="0"/>
        <v>Industry Allocation</v>
      </c>
      <c r="M21" t="str">
        <f t="shared" si="1"/>
        <v>Equity</v>
      </c>
    </row>
    <row r="22" spans="1:13" x14ac:dyDescent="0.25">
      <c r="A22" t="s">
        <v>2648</v>
      </c>
      <c r="B22" t="s">
        <v>2919</v>
      </c>
      <c r="C22" t="s">
        <v>2919</v>
      </c>
      <c r="K22" t="s">
        <v>217</v>
      </c>
      <c r="L22" t="str">
        <f t="shared" si="0"/>
        <v>Industry Allocation</v>
      </c>
      <c r="M22" t="str">
        <f t="shared" si="1"/>
        <v>Equity</v>
      </c>
    </row>
    <row r="23" spans="1:13" x14ac:dyDescent="0.25">
      <c r="A23" t="s">
        <v>217</v>
      </c>
      <c r="B23" t="s">
        <v>2917</v>
      </c>
      <c r="C23" t="s">
        <v>2927</v>
      </c>
      <c r="K23" t="s">
        <v>2648</v>
      </c>
      <c r="L23" t="str">
        <f t="shared" si="0"/>
        <v>Spread</v>
      </c>
      <c r="M23" t="str">
        <f t="shared" si="1"/>
        <v>Spread</v>
      </c>
    </row>
    <row r="24" spans="1:13" x14ac:dyDescent="0.25">
      <c r="A24" t="s">
        <v>2659</v>
      </c>
      <c r="B24" t="s">
        <v>2917</v>
      </c>
      <c r="C24" t="s">
        <v>2927</v>
      </c>
      <c r="K24" t="s">
        <v>2659</v>
      </c>
      <c r="L24" t="str">
        <f t="shared" si="0"/>
        <v>Industry Allocation</v>
      </c>
      <c r="M24" t="str">
        <f t="shared" si="1"/>
        <v>Equity</v>
      </c>
    </row>
    <row r="25" spans="1:13" x14ac:dyDescent="0.25">
      <c r="A25" t="s">
        <v>263</v>
      </c>
      <c r="B25" t="s">
        <v>2918</v>
      </c>
      <c r="C25" t="s">
        <v>2918</v>
      </c>
      <c r="K25" t="s">
        <v>263</v>
      </c>
      <c r="L25" t="str">
        <f t="shared" si="0"/>
        <v>Alternative</v>
      </c>
      <c r="M25" t="s">
        <v>2921</v>
      </c>
    </row>
    <row r="26" spans="1:13" x14ac:dyDescent="0.25">
      <c r="A26" t="s">
        <v>2650</v>
      </c>
      <c r="B26" t="s">
        <v>2919</v>
      </c>
      <c r="C26" t="s">
        <v>2919</v>
      </c>
      <c r="K26" t="s">
        <v>2650</v>
      </c>
      <c r="L26" t="str">
        <f t="shared" si="0"/>
        <v>Spread</v>
      </c>
      <c r="M26" t="str">
        <f t="shared" si="1"/>
        <v>Spread</v>
      </c>
    </row>
    <row r="27" spans="1:13" x14ac:dyDescent="0.25">
      <c r="A27" t="s">
        <v>2651</v>
      </c>
      <c r="B27" t="s">
        <v>2918</v>
      </c>
      <c r="C27" t="s">
        <v>2918</v>
      </c>
      <c r="K27" t="s">
        <v>2651</v>
      </c>
      <c r="L27" t="str">
        <f t="shared" si="0"/>
        <v>Alternative</v>
      </c>
      <c r="M27" t="s">
        <v>2921</v>
      </c>
    </row>
    <row r="28" spans="1:13" x14ac:dyDescent="0.25">
      <c r="A28" t="s">
        <v>2652</v>
      </c>
      <c r="B28" t="s">
        <v>2918</v>
      </c>
      <c r="C28" t="s">
        <v>2918</v>
      </c>
      <c r="K28" t="s">
        <v>2652</v>
      </c>
      <c r="L28" t="str">
        <f t="shared" si="0"/>
        <v>Alternative</v>
      </c>
      <c r="M28" t="s">
        <v>2921</v>
      </c>
    </row>
    <row r="29" spans="1:13" x14ac:dyDescent="0.25">
      <c r="A29" t="s">
        <v>748</v>
      </c>
      <c r="B29" t="s">
        <v>2917</v>
      </c>
      <c r="C29" t="s">
        <v>2927</v>
      </c>
      <c r="K29" t="s">
        <v>748</v>
      </c>
      <c r="L29" t="str">
        <f t="shared" si="0"/>
        <v>Industry Allocation</v>
      </c>
      <c r="M29" t="str">
        <f t="shared" si="1"/>
        <v>Equity</v>
      </c>
    </row>
    <row r="30" spans="1:13" x14ac:dyDescent="0.25">
      <c r="A30" t="s">
        <v>2654</v>
      </c>
      <c r="B30" t="s">
        <v>2919</v>
      </c>
      <c r="C30" t="s">
        <v>2919</v>
      </c>
      <c r="K30" t="s">
        <v>2654</v>
      </c>
      <c r="L30" t="str">
        <f t="shared" si="0"/>
        <v>Spread</v>
      </c>
      <c r="M30" t="str">
        <f t="shared" si="1"/>
        <v>Spread</v>
      </c>
    </row>
    <row r="31" spans="1:13" x14ac:dyDescent="0.25">
      <c r="A31" t="s">
        <v>2656</v>
      </c>
      <c r="B31" t="s">
        <v>2916</v>
      </c>
      <c r="C31" t="s">
        <v>2928</v>
      </c>
      <c r="K31" t="s">
        <v>2658</v>
      </c>
      <c r="L31" t="str">
        <f t="shared" si="0"/>
        <v>Spread Govt</v>
      </c>
      <c r="M31" t="str">
        <f t="shared" si="1"/>
        <v>Term Structure</v>
      </c>
    </row>
    <row r="32" spans="1:13" x14ac:dyDescent="0.25">
      <c r="A32" t="s">
        <v>2687</v>
      </c>
      <c r="B32" t="s">
        <v>2917</v>
      </c>
      <c r="C32" t="s">
        <v>2927</v>
      </c>
      <c r="K32" t="s">
        <v>2656</v>
      </c>
      <c r="L32" t="str">
        <f t="shared" si="0"/>
        <v>Curve (Local)</v>
      </c>
      <c r="M32" t="str">
        <f t="shared" si="1"/>
        <v>Term Structure</v>
      </c>
    </row>
    <row r="33" spans="1:13" x14ac:dyDescent="0.25">
      <c r="A33" t="s">
        <v>2658</v>
      </c>
      <c r="B33" t="s">
        <v>2922</v>
      </c>
      <c r="C33" t="s">
        <v>2928</v>
      </c>
      <c r="K33" t="s">
        <v>2655</v>
      </c>
      <c r="L33" t="str">
        <f t="shared" si="0"/>
        <v>Country Allocation</v>
      </c>
      <c r="M33" t="str">
        <f t="shared" si="1"/>
        <v>Equity</v>
      </c>
    </row>
    <row r="34" spans="1:13" x14ac:dyDescent="0.25">
      <c r="A34" t="s">
        <v>2655</v>
      </c>
      <c r="B34" t="s">
        <v>2923</v>
      </c>
      <c r="C34" t="s">
        <v>2927</v>
      </c>
      <c r="K34" t="s">
        <v>2657</v>
      </c>
      <c r="L34" t="str">
        <f t="shared" si="0"/>
        <v>Other</v>
      </c>
      <c r="M34" t="str">
        <f t="shared" si="1"/>
        <v>Other</v>
      </c>
    </row>
    <row r="35" spans="1:13" x14ac:dyDescent="0.25">
      <c r="A35" t="s">
        <v>2657</v>
      </c>
      <c r="B35" t="s">
        <v>2921</v>
      </c>
      <c r="C35" t="s">
        <v>2921</v>
      </c>
      <c r="K35" t="s">
        <v>2687</v>
      </c>
      <c r="L35" t="str">
        <f t="shared" si="0"/>
        <v>Industry Allocation</v>
      </c>
      <c r="M35" t="str">
        <f t="shared" si="1"/>
        <v>Equity</v>
      </c>
    </row>
    <row r="36" spans="1:13" x14ac:dyDescent="0.25">
      <c r="A36" t="s">
        <v>2684</v>
      </c>
      <c r="B36" t="s">
        <v>2917</v>
      </c>
      <c r="C36" t="s">
        <v>2927</v>
      </c>
      <c r="K36" t="s">
        <v>2661</v>
      </c>
      <c r="L36" t="str">
        <f t="shared" si="0"/>
        <v>Spread</v>
      </c>
      <c r="M36" t="str">
        <f t="shared" si="1"/>
        <v>Spread</v>
      </c>
    </row>
    <row r="37" spans="1:13" x14ac:dyDescent="0.25">
      <c r="A37" t="s">
        <v>2660</v>
      </c>
      <c r="B37" t="s">
        <v>75</v>
      </c>
      <c r="C37" t="s">
        <v>75</v>
      </c>
      <c r="K37" t="s">
        <v>2663</v>
      </c>
      <c r="L37" t="str">
        <f t="shared" si="0"/>
        <v>Spread</v>
      </c>
      <c r="M37" t="str">
        <f t="shared" si="1"/>
        <v>Spread</v>
      </c>
    </row>
    <row r="38" spans="1:13" x14ac:dyDescent="0.25">
      <c r="A38" t="s">
        <v>2661</v>
      </c>
      <c r="B38" t="s">
        <v>2919</v>
      </c>
      <c r="C38" t="s">
        <v>2919</v>
      </c>
      <c r="K38" t="s">
        <v>2664</v>
      </c>
      <c r="L38" t="str">
        <f t="shared" si="0"/>
        <v>Style</v>
      </c>
      <c r="M38" t="str">
        <f t="shared" si="1"/>
        <v>Equity</v>
      </c>
    </row>
    <row r="39" spans="1:13" x14ac:dyDescent="0.25">
      <c r="A39" t="s">
        <v>2664</v>
      </c>
      <c r="B39" t="s">
        <v>2924</v>
      </c>
      <c r="C39" t="s">
        <v>2927</v>
      </c>
      <c r="K39" t="s">
        <v>2662</v>
      </c>
      <c r="L39" t="str">
        <f t="shared" si="0"/>
        <v>Spread</v>
      </c>
      <c r="M39" t="str">
        <f t="shared" si="1"/>
        <v>Spread</v>
      </c>
    </row>
    <row r="40" spans="1:13" x14ac:dyDescent="0.25">
      <c r="A40" t="s">
        <v>2662</v>
      </c>
      <c r="B40" t="s">
        <v>2919</v>
      </c>
      <c r="C40" t="s">
        <v>2919</v>
      </c>
      <c r="K40" t="s">
        <v>2684</v>
      </c>
      <c r="L40" t="str">
        <f t="shared" si="0"/>
        <v>Industry Allocation</v>
      </c>
      <c r="M40" t="str">
        <f t="shared" si="1"/>
        <v>Equity</v>
      </c>
    </row>
    <row r="41" spans="1:13" x14ac:dyDescent="0.25">
      <c r="A41" t="s">
        <v>2663</v>
      </c>
      <c r="B41" t="s">
        <v>2919</v>
      </c>
      <c r="C41" t="s">
        <v>2919</v>
      </c>
      <c r="K41" t="s">
        <v>2660</v>
      </c>
      <c r="L41" t="str">
        <f t="shared" si="0"/>
        <v>FX</v>
      </c>
      <c r="M41" t="str">
        <f t="shared" si="1"/>
        <v>FX</v>
      </c>
    </row>
    <row r="42" spans="1:13" x14ac:dyDescent="0.25">
      <c r="A42" t="s">
        <v>2665</v>
      </c>
      <c r="B42" t="s">
        <v>2919</v>
      </c>
      <c r="C42" t="s">
        <v>2919</v>
      </c>
      <c r="K42" t="s">
        <v>2665</v>
      </c>
      <c r="L42" t="str">
        <f t="shared" si="0"/>
        <v>Spread</v>
      </c>
      <c r="M42" t="str">
        <f t="shared" si="1"/>
        <v>Spread</v>
      </c>
    </row>
    <row r="43" spans="1:13" x14ac:dyDescent="0.25">
      <c r="A43" t="s">
        <v>2666</v>
      </c>
      <c r="B43" t="s">
        <v>2919</v>
      </c>
      <c r="C43" t="s">
        <v>2919</v>
      </c>
      <c r="K43" t="s">
        <v>2666</v>
      </c>
      <c r="L43" t="str">
        <f t="shared" si="0"/>
        <v>Spread</v>
      </c>
      <c r="M43" t="str">
        <f t="shared" si="1"/>
        <v>Spread</v>
      </c>
    </row>
    <row r="44" spans="1:13" x14ac:dyDescent="0.25">
      <c r="A44" t="s">
        <v>630</v>
      </c>
      <c r="B44" t="s">
        <v>2924</v>
      </c>
      <c r="C44" t="s">
        <v>2927</v>
      </c>
      <c r="K44" t="s">
        <v>630</v>
      </c>
      <c r="L44" t="str">
        <f t="shared" si="0"/>
        <v>Style</v>
      </c>
      <c r="M44" t="str">
        <f t="shared" si="1"/>
        <v>Equity</v>
      </c>
    </row>
    <row r="45" spans="1:13" x14ac:dyDescent="0.25">
      <c r="A45" t="s">
        <v>2688</v>
      </c>
      <c r="B45" t="s">
        <v>2918</v>
      </c>
      <c r="C45" t="s">
        <v>2918</v>
      </c>
      <c r="K45" t="s">
        <v>2688</v>
      </c>
      <c r="L45" t="str">
        <f t="shared" si="0"/>
        <v>Alternative</v>
      </c>
      <c r="M45" t="s">
        <v>2921</v>
      </c>
    </row>
    <row r="46" spans="1:13" x14ac:dyDescent="0.25">
      <c r="A46" t="s">
        <v>2667</v>
      </c>
      <c r="B46" t="s">
        <v>2920</v>
      </c>
      <c r="C46" t="s">
        <v>2920</v>
      </c>
      <c r="K46" t="s">
        <v>2667</v>
      </c>
      <c r="L46" t="str">
        <f t="shared" si="0"/>
        <v>Inflation</v>
      </c>
      <c r="M46" t="s">
        <v>2921</v>
      </c>
    </row>
    <row r="47" spans="1:13" x14ac:dyDescent="0.25">
      <c r="A47" t="s">
        <v>2676</v>
      </c>
      <c r="B47" t="s">
        <v>2919</v>
      </c>
      <c r="C47" t="s">
        <v>2919</v>
      </c>
      <c r="K47" t="s">
        <v>2676</v>
      </c>
      <c r="L47" t="str">
        <f t="shared" si="0"/>
        <v>Spread</v>
      </c>
      <c r="M47" t="str">
        <f t="shared" si="1"/>
        <v>Spread</v>
      </c>
    </row>
    <row r="48" spans="1:13" x14ac:dyDescent="0.25">
      <c r="A48" t="s">
        <v>2668</v>
      </c>
      <c r="B48" t="s">
        <v>2922</v>
      </c>
      <c r="C48" t="s">
        <v>2928</v>
      </c>
      <c r="K48" t="s">
        <v>188</v>
      </c>
      <c r="L48" t="str">
        <f t="shared" si="0"/>
        <v>Spread Yield</v>
      </c>
      <c r="M48" t="str">
        <f t="shared" si="1"/>
        <v>Spread</v>
      </c>
    </row>
    <row r="49" spans="1:13" x14ac:dyDescent="0.25">
      <c r="A49" t="s">
        <v>188</v>
      </c>
      <c r="B49" t="str">
        <f>A49</f>
        <v>Spread Yield</v>
      </c>
      <c r="C49" t="s">
        <v>2919</v>
      </c>
      <c r="K49" t="s">
        <v>2668</v>
      </c>
      <c r="L49" t="str">
        <f t="shared" si="0"/>
        <v>Spread Govt</v>
      </c>
      <c r="M49" t="str">
        <f t="shared" si="1"/>
        <v>Term Structure</v>
      </c>
    </row>
    <row r="50" spans="1:13" x14ac:dyDescent="0.25">
      <c r="A50" t="s">
        <v>2670</v>
      </c>
      <c r="B50" t="s">
        <v>2921</v>
      </c>
      <c r="C50" t="s">
        <v>2921</v>
      </c>
      <c r="K50" t="s">
        <v>2669</v>
      </c>
      <c r="L50" t="str">
        <f t="shared" si="0"/>
        <v>Alternative</v>
      </c>
      <c r="M50" t="s">
        <v>2921</v>
      </c>
    </row>
    <row r="51" spans="1:13" x14ac:dyDescent="0.25">
      <c r="A51" t="s">
        <v>750</v>
      </c>
      <c r="B51" t="s">
        <v>2924</v>
      </c>
      <c r="C51" t="s">
        <v>2927</v>
      </c>
      <c r="K51" t="s">
        <v>2670</v>
      </c>
      <c r="L51" t="str">
        <f t="shared" si="0"/>
        <v>Other</v>
      </c>
      <c r="M51" t="str">
        <f t="shared" si="1"/>
        <v>Other</v>
      </c>
    </row>
    <row r="52" spans="1:13" x14ac:dyDescent="0.25">
      <c r="A52" t="s">
        <v>2669</v>
      </c>
      <c r="B52" t="s">
        <v>2918</v>
      </c>
      <c r="C52" t="s">
        <v>2918</v>
      </c>
      <c r="K52" t="s">
        <v>750</v>
      </c>
      <c r="L52" t="str">
        <f t="shared" ref="L52:L61" si="2">+VLOOKUP(K52,A:B,2,FALSE)</f>
        <v>Style</v>
      </c>
      <c r="M52" t="str">
        <f t="shared" ref="M52:M61" si="3">+VLOOKUP(L52,B:C,2,FALSE)</f>
        <v>Equity</v>
      </c>
    </row>
    <row r="53" spans="1:13" x14ac:dyDescent="0.25">
      <c r="A53" t="s">
        <v>2671</v>
      </c>
      <c r="B53" t="s">
        <v>2919</v>
      </c>
      <c r="C53" t="s">
        <v>2919</v>
      </c>
      <c r="K53" t="s">
        <v>2671</v>
      </c>
      <c r="L53" t="str">
        <f t="shared" si="2"/>
        <v>Spread</v>
      </c>
      <c r="M53" t="str">
        <f t="shared" si="3"/>
        <v>Spread</v>
      </c>
    </row>
    <row r="54" spans="1:13" x14ac:dyDescent="0.25">
      <c r="A54" t="s">
        <v>807</v>
      </c>
      <c r="B54" t="s">
        <v>2924</v>
      </c>
      <c r="C54" t="s">
        <v>2927</v>
      </c>
      <c r="K54" t="s">
        <v>807</v>
      </c>
      <c r="L54" t="str">
        <f t="shared" si="2"/>
        <v>Style</v>
      </c>
      <c r="M54" t="str">
        <f t="shared" si="3"/>
        <v>Equity</v>
      </c>
    </row>
    <row r="55" spans="1:13" x14ac:dyDescent="0.25">
      <c r="A55" t="s">
        <v>2672</v>
      </c>
      <c r="B55" t="s">
        <v>2921</v>
      </c>
      <c r="C55" t="s">
        <v>2921</v>
      </c>
      <c r="K55" t="s">
        <v>2672</v>
      </c>
      <c r="L55" t="str">
        <f t="shared" si="2"/>
        <v>Other</v>
      </c>
      <c r="M55" t="str">
        <f t="shared" si="3"/>
        <v>Other</v>
      </c>
    </row>
    <row r="56" spans="1:13" x14ac:dyDescent="0.25">
      <c r="A56" t="s">
        <v>8</v>
      </c>
      <c r="B56" t="str">
        <f>A56</f>
        <v>Yield</v>
      </c>
      <c r="K56" t="s">
        <v>2673</v>
      </c>
      <c r="L56" t="str">
        <f t="shared" si="2"/>
        <v>Spread</v>
      </c>
      <c r="M56" t="str">
        <f t="shared" si="3"/>
        <v>Spread</v>
      </c>
    </row>
    <row r="57" spans="1:13" x14ac:dyDescent="0.25">
      <c r="A57" t="s">
        <v>70</v>
      </c>
      <c r="B57" t="str">
        <f>A57</f>
        <v>Price Level</v>
      </c>
      <c r="K57" t="s">
        <v>2674</v>
      </c>
      <c r="L57" t="str">
        <f t="shared" si="2"/>
        <v>Other</v>
      </c>
      <c r="M57" t="str">
        <f t="shared" si="3"/>
        <v>Other</v>
      </c>
    </row>
    <row r="58" spans="1:13" x14ac:dyDescent="0.25">
      <c r="A58" t="s">
        <v>490</v>
      </c>
      <c r="B58" t="s">
        <v>2917</v>
      </c>
      <c r="K58" t="s">
        <v>2689</v>
      </c>
      <c r="L58" t="str">
        <f t="shared" si="2"/>
        <v>Spread</v>
      </c>
      <c r="M58" t="str">
        <f t="shared" si="3"/>
        <v>Spread</v>
      </c>
    </row>
    <row r="59" spans="1:13" x14ac:dyDescent="0.25">
      <c r="A59" t="s">
        <v>2673</v>
      </c>
      <c r="B59" t="s">
        <v>2919</v>
      </c>
      <c r="K59" t="s">
        <v>2675</v>
      </c>
      <c r="L59" t="str">
        <f t="shared" si="2"/>
        <v>Spread Govt</v>
      </c>
      <c r="M59" t="str">
        <f t="shared" si="3"/>
        <v>Term Structure</v>
      </c>
    </row>
    <row r="60" spans="1:13" x14ac:dyDescent="0.25">
      <c r="A60" t="s">
        <v>2674</v>
      </c>
      <c r="B60" t="s">
        <v>2921</v>
      </c>
      <c r="K60" t="s">
        <v>1084</v>
      </c>
      <c r="L60" t="str">
        <f t="shared" si="2"/>
        <v>Style</v>
      </c>
      <c r="M60" t="str">
        <f t="shared" si="3"/>
        <v>Equity</v>
      </c>
    </row>
    <row r="61" spans="1:13" x14ac:dyDescent="0.25">
      <c r="A61" t="s">
        <v>2689</v>
      </c>
      <c r="B61" t="s">
        <v>2919</v>
      </c>
      <c r="K61" t="s">
        <v>490</v>
      </c>
      <c r="L61" t="str">
        <f t="shared" si="2"/>
        <v>Industry Allocation</v>
      </c>
      <c r="M61" t="str">
        <f t="shared" si="3"/>
        <v>Equity</v>
      </c>
    </row>
    <row r="62" spans="1:13" x14ac:dyDescent="0.25">
      <c r="A62" t="s">
        <v>2675</v>
      </c>
      <c r="B62" t="s">
        <v>2922</v>
      </c>
      <c r="K62" t="s">
        <v>2677</v>
      </c>
      <c r="L62" t="str">
        <f t="shared" ref="L62:L72" si="4">+VLOOKUP(K62,A:B,2,FALSE)</f>
        <v>Rates Implied Volatility</v>
      </c>
      <c r="M62" t="s">
        <v>2921</v>
      </c>
    </row>
    <row r="63" spans="1:13" x14ac:dyDescent="0.25">
      <c r="A63" t="s">
        <v>1084</v>
      </c>
      <c r="B63" t="s">
        <v>2924</v>
      </c>
      <c r="K63" t="s">
        <v>2138</v>
      </c>
      <c r="L63" t="str">
        <f t="shared" si="4"/>
        <v>Time</v>
      </c>
      <c r="M63" t="s">
        <v>2921</v>
      </c>
    </row>
    <row r="64" spans="1:13" x14ac:dyDescent="0.25">
      <c r="A64" t="s">
        <v>2144</v>
      </c>
      <c r="B64" t="s">
        <v>188</v>
      </c>
      <c r="K64" t="s">
        <v>2680</v>
      </c>
      <c r="L64" t="str">
        <f t="shared" si="4"/>
        <v>Spread</v>
      </c>
      <c r="M64" t="str">
        <f>+VLOOKUP(L64,B:C,2,FALSE)</f>
        <v>Spread</v>
      </c>
    </row>
    <row r="65" spans="1:13" x14ac:dyDescent="0.25">
      <c r="K65" t="s">
        <v>2681</v>
      </c>
      <c r="L65" t="str">
        <f t="shared" si="4"/>
        <v>Spread</v>
      </c>
      <c r="M65" t="str">
        <f>+VLOOKUP(L65,B:C,2,FALSE)</f>
        <v>Spread</v>
      </c>
    </row>
    <row r="66" spans="1:13" x14ac:dyDescent="0.25">
      <c r="A66" t="s">
        <v>2677</v>
      </c>
      <c r="B66" t="s">
        <v>2677</v>
      </c>
      <c r="K66" t="s">
        <v>2682</v>
      </c>
      <c r="L66" t="str">
        <f t="shared" si="4"/>
        <v>Alternative</v>
      </c>
      <c r="M66" t="s">
        <v>2921</v>
      </c>
    </row>
    <row r="67" spans="1:13" x14ac:dyDescent="0.25">
      <c r="A67" t="s">
        <v>2138</v>
      </c>
      <c r="B67" t="s">
        <v>191</v>
      </c>
      <c r="K67" t="s">
        <v>325</v>
      </c>
      <c r="L67" t="str">
        <f t="shared" si="4"/>
        <v>Industry Allocation</v>
      </c>
      <c r="M67" t="str">
        <f>+VLOOKUP(L67,B:C,2,FALSE)</f>
        <v>Equity</v>
      </c>
    </row>
    <row r="68" spans="1:13" x14ac:dyDescent="0.25">
      <c r="A68" t="s">
        <v>2136</v>
      </c>
      <c r="B68" t="s">
        <v>27</v>
      </c>
      <c r="K68" t="s">
        <v>2683</v>
      </c>
      <c r="L68" t="str">
        <f t="shared" si="4"/>
        <v>Spread</v>
      </c>
      <c r="M68" t="str">
        <f>+VLOOKUP(L68,B:C,2,FALSE)</f>
        <v>Spread</v>
      </c>
    </row>
    <row r="69" spans="1:13" x14ac:dyDescent="0.25">
      <c r="A69" t="s">
        <v>2680</v>
      </c>
      <c r="B69" t="s">
        <v>2919</v>
      </c>
      <c r="K69" t="s">
        <v>2685</v>
      </c>
      <c r="L69" t="str">
        <f t="shared" si="4"/>
        <v>Alternative</v>
      </c>
      <c r="M69" t="s">
        <v>2921</v>
      </c>
    </row>
    <row r="70" spans="1:13" x14ac:dyDescent="0.25">
      <c r="A70" t="s">
        <v>2681</v>
      </c>
      <c r="B70" t="s">
        <v>2919</v>
      </c>
      <c r="K70" t="s">
        <v>1908</v>
      </c>
      <c r="L70" t="str">
        <f t="shared" si="4"/>
        <v>Style</v>
      </c>
      <c r="M70" t="str">
        <f>+VLOOKUP(L70,B:C,2,FALSE)</f>
        <v>Equity</v>
      </c>
    </row>
    <row r="71" spans="1:13" x14ac:dyDescent="0.25">
      <c r="A71" t="s">
        <v>2682</v>
      </c>
      <c r="B71" t="s">
        <v>2918</v>
      </c>
      <c r="K71" t="s">
        <v>2686</v>
      </c>
      <c r="L71" t="str">
        <f t="shared" si="4"/>
        <v>Country Allocation</v>
      </c>
      <c r="M71" t="str">
        <f>+VLOOKUP(L71,B:C,2,FALSE)</f>
        <v>Equity</v>
      </c>
    </row>
    <row r="72" spans="1:13" x14ac:dyDescent="0.25">
      <c r="A72" t="s">
        <v>325</v>
      </c>
      <c r="B72" t="s">
        <v>2917</v>
      </c>
      <c r="K72" t="s">
        <v>2690</v>
      </c>
      <c r="L72" t="str">
        <f t="shared" si="4"/>
        <v>Spread</v>
      </c>
      <c r="M72" t="str">
        <f>+VLOOKUP(L72,B:C,2,FALSE)</f>
        <v>Spread</v>
      </c>
    </row>
    <row r="73" spans="1:13" x14ac:dyDescent="0.25">
      <c r="A73" t="s">
        <v>2683</v>
      </c>
      <c r="B73" t="s">
        <v>2919</v>
      </c>
    </row>
    <row r="74" spans="1:13" x14ac:dyDescent="0.25">
      <c r="A74" t="s">
        <v>2685</v>
      </c>
      <c r="B74" t="s">
        <v>2918</v>
      </c>
    </row>
    <row r="75" spans="1:13" x14ac:dyDescent="0.25">
      <c r="A75" t="s">
        <v>1908</v>
      </c>
      <c r="B75" t="s">
        <v>2924</v>
      </c>
    </row>
    <row r="76" spans="1:13" x14ac:dyDescent="0.25">
      <c r="A76" t="s">
        <v>2686</v>
      </c>
      <c r="B76" t="s">
        <v>2923</v>
      </c>
    </row>
    <row r="77" spans="1:13" x14ac:dyDescent="0.25">
      <c r="A77" t="s">
        <v>2690</v>
      </c>
      <c r="B77" t="s">
        <v>2919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33A0C-B533-4CE6-9554-ACE4401641B7}">
  <dimension ref="A1:F1793"/>
  <sheetViews>
    <sheetView tabSelected="1" workbookViewId="0">
      <selection activeCell="D4" sqref="D4"/>
    </sheetView>
  </sheetViews>
  <sheetFormatPr defaultRowHeight="15" x14ac:dyDescent="0.25"/>
  <cols>
    <col min="1" max="1" width="18.140625" bestFit="1" customWidth="1"/>
    <col min="2" max="2" width="19" bestFit="1" customWidth="1"/>
    <col min="3" max="3" width="24" bestFit="1" customWidth="1"/>
    <col min="4" max="4" width="37.42578125" bestFit="1" customWidth="1"/>
    <col min="5" max="5" width="14.5703125" bestFit="1" customWidth="1"/>
    <col min="6" max="6" width="127.28515625" bestFit="1" customWidth="1"/>
  </cols>
  <sheetData>
    <row r="1" spans="1:6" x14ac:dyDescent="0.25">
      <c r="A1" s="2" t="s">
        <v>2907</v>
      </c>
      <c r="B1" s="2" t="s">
        <v>2915</v>
      </c>
      <c r="C1" s="2" t="s">
        <v>2931</v>
      </c>
      <c r="D1" s="2" t="s">
        <v>2932</v>
      </c>
      <c r="E1" s="2" t="s">
        <v>1</v>
      </c>
      <c r="F1" s="2" t="s">
        <v>0</v>
      </c>
    </row>
    <row r="2" spans="1:6" x14ac:dyDescent="0.25">
      <c r="A2" t="s">
        <v>2</v>
      </c>
      <c r="B2" t="s">
        <v>2927</v>
      </c>
      <c r="C2" t="s">
        <v>2914</v>
      </c>
      <c r="D2" t="s">
        <v>2637</v>
      </c>
      <c r="E2" t="s">
        <v>28</v>
      </c>
      <c r="F2" t="s">
        <v>24</v>
      </c>
    </row>
    <row r="3" spans="1:6" x14ac:dyDescent="0.25">
      <c r="A3" t="s">
        <v>2</v>
      </c>
      <c r="B3" t="s">
        <v>2927</v>
      </c>
      <c r="C3" t="s">
        <v>2914</v>
      </c>
      <c r="D3" t="s">
        <v>2637</v>
      </c>
      <c r="E3" t="s">
        <v>32</v>
      </c>
      <c r="F3" t="s">
        <v>29</v>
      </c>
    </row>
    <row r="4" spans="1:6" x14ac:dyDescent="0.25">
      <c r="A4" t="s">
        <v>2</v>
      </c>
      <c r="B4" t="s">
        <v>2927</v>
      </c>
      <c r="C4" t="s">
        <v>2914</v>
      </c>
      <c r="D4" t="s">
        <v>2637</v>
      </c>
      <c r="E4" t="s">
        <v>44</v>
      </c>
      <c r="F4" t="s">
        <v>42</v>
      </c>
    </row>
    <row r="5" spans="1:6" x14ac:dyDescent="0.25">
      <c r="A5" t="s">
        <v>2</v>
      </c>
      <c r="B5" t="s">
        <v>2927</v>
      </c>
      <c r="C5" t="s">
        <v>2914</v>
      </c>
      <c r="D5" t="s">
        <v>2637</v>
      </c>
      <c r="E5" t="s">
        <v>35</v>
      </c>
      <c r="F5" t="s">
        <v>33</v>
      </c>
    </row>
    <row r="6" spans="1:6" x14ac:dyDescent="0.25">
      <c r="A6" t="s">
        <v>2</v>
      </c>
      <c r="B6" t="s">
        <v>2927</v>
      </c>
      <c r="C6" t="s">
        <v>2914</v>
      </c>
      <c r="D6" t="s">
        <v>2637</v>
      </c>
      <c r="E6" t="s">
        <v>35</v>
      </c>
      <c r="F6" t="s">
        <v>48</v>
      </c>
    </row>
    <row r="7" spans="1:6" x14ac:dyDescent="0.25">
      <c r="A7" t="s">
        <v>2</v>
      </c>
      <c r="B7" t="s">
        <v>2927</v>
      </c>
      <c r="C7" t="s">
        <v>2914</v>
      </c>
      <c r="D7" t="s">
        <v>2637</v>
      </c>
      <c r="E7" t="s">
        <v>2698</v>
      </c>
      <c r="F7" t="s">
        <v>57</v>
      </c>
    </row>
    <row r="8" spans="1:6" x14ac:dyDescent="0.25">
      <c r="A8" t="s">
        <v>2</v>
      </c>
      <c r="B8" t="s">
        <v>2927</v>
      </c>
      <c r="C8" t="s">
        <v>2914</v>
      </c>
      <c r="D8" t="s">
        <v>2637</v>
      </c>
      <c r="E8" t="s">
        <v>41</v>
      </c>
      <c r="F8" t="s">
        <v>39</v>
      </c>
    </row>
    <row r="9" spans="1:6" x14ac:dyDescent="0.25">
      <c r="A9" t="s">
        <v>2</v>
      </c>
      <c r="B9" t="s">
        <v>2927</v>
      </c>
      <c r="C9" t="s">
        <v>2914</v>
      </c>
      <c r="D9" t="s">
        <v>2637</v>
      </c>
      <c r="E9" t="s">
        <v>56</v>
      </c>
      <c r="F9" t="s">
        <v>54</v>
      </c>
    </row>
    <row r="10" spans="1:6" x14ac:dyDescent="0.25">
      <c r="A10" t="s">
        <v>2</v>
      </c>
      <c r="B10" t="s">
        <v>2927</v>
      </c>
      <c r="C10" t="s">
        <v>2914</v>
      </c>
      <c r="D10" t="s">
        <v>2637</v>
      </c>
      <c r="E10" t="s">
        <v>38</v>
      </c>
      <c r="F10" t="s">
        <v>36</v>
      </c>
    </row>
    <row r="11" spans="1:6" x14ac:dyDescent="0.25">
      <c r="A11" t="s">
        <v>2</v>
      </c>
      <c r="B11" t="s">
        <v>2927</v>
      </c>
      <c r="C11" t="s">
        <v>2914</v>
      </c>
      <c r="D11" t="s">
        <v>2637</v>
      </c>
      <c r="E11" t="s">
        <v>63</v>
      </c>
      <c r="F11" t="s">
        <v>60</v>
      </c>
    </row>
    <row r="12" spans="1:6" x14ac:dyDescent="0.25">
      <c r="A12" t="s">
        <v>2</v>
      </c>
      <c r="B12" t="s">
        <v>2927</v>
      </c>
      <c r="C12" t="s">
        <v>2914</v>
      </c>
      <c r="D12" t="s">
        <v>2637</v>
      </c>
      <c r="E12" t="s">
        <v>53</v>
      </c>
      <c r="F12" t="s">
        <v>50</v>
      </c>
    </row>
    <row r="13" spans="1:6" x14ac:dyDescent="0.25">
      <c r="A13" t="s">
        <v>2</v>
      </c>
      <c r="B13" t="s">
        <v>2927</v>
      </c>
      <c r="C13" t="s">
        <v>2914</v>
      </c>
      <c r="D13" t="s">
        <v>2637</v>
      </c>
      <c r="E13" t="s">
        <v>47</v>
      </c>
      <c r="F13" t="s">
        <v>45</v>
      </c>
    </row>
    <row r="14" spans="1:6" x14ac:dyDescent="0.25">
      <c r="A14" t="s">
        <v>2</v>
      </c>
      <c r="B14" t="s">
        <v>2928</v>
      </c>
      <c r="C14" t="s">
        <v>2916</v>
      </c>
      <c r="D14" t="s">
        <v>2638</v>
      </c>
      <c r="E14" t="s">
        <v>2693</v>
      </c>
      <c r="F14" t="s">
        <v>9</v>
      </c>
    </row>
    <row r="15" spans="1:6" x14ac:dyDescent="0.25">
      <c r="A15" t="s">
        <v>2</v>
      </c>
      <c r="B15" t="s">
        <v>2928</v>
      </c>
      <c r="C15" t="s">
        <v>2916</v>
      </c>
      <c r="D15" t="s">
        <v>2638</v>
      </c>
      <c r="E15" t="s">
        <v>2697</v>
      </c>
      <c r="F15" t="s">
        <v>21</v>
      </c>
    </row>
    <row r="16" spans="1:6" x14ac:dyDescent="0.25">
      <c r="A16" t="s">
        <v>2</v>
      </c>
      <c r="B16" t="s">
        <v>2928</v>
      </c>
      <c r="C16" t="s">
        <v>2916</v>
      </c>
      <c r="D16" t="s">
        <v>2638</v>
      </c>
      <c r="E16" t="s">
        <v>2696</v>
      </c>
      <c r="F16" t="s">
        <v>18</v>
      </c>
    </row>
    <row r="17" spans="1:6" x14ac:dyDescent="0.25">
      <c r="A17" t="s">
        <v>2</v>
      </c>
      <c r="B17" t="s">
        <v>2928</v>
      </c>
      <c r="C17" t="s">
        <v>2916</v>
      </c>
      <c r="D17" t="s">
        <v>2638</v>
      </c>
      <c r="E17" t="s">
        <v>2694</v>
      </c>
      <c r="F17" t="s">
        <v>12</v>
      </c>
    </row>
    <row r="18" spans="1:6" x14ac:dyDescent="0.25">
      <c r="A18" t="s">
        <v>2</v>
      </c>
      <c r="B18" t="s">
        <v>2928</v>
      </c>
      <c r="C18" t="s">
        <v>2916</v>
      </c>
      <c r="D18" t="s">
        <v>2638</v>
      </c>
      <c r="E18" t="s">
        <v>2695</v>
      </c>
      <c r="F18" t="s">
        <v>15</v>
      </c>
    </row>
    <row r="19" spans="1:6" x14ac:dyDescent="0.25">
      <c r="A19" t="s">
        <v>2</v>
      </c>
      <c r="B19" t="s">
        <v>2928</v>
      </c>
      <c r="C19" t="s">
        <v>2916</v>
      </c>
      <c r="D19" t="s">
        <v>2638</v>
      </c>
      <c r="E19" t="s">
        <v>2692</v>
      </c>
      <c r="F19" t="s">
        <v>5</v>
      </c>
    </row>
    <row r="20" spans="1:6" x14ac:dyDescent="0.25">
      <c r="A20" t="s">
        <v>64</v>
      </c>
      <c r="B20" t="s">
        <v>2927</v>
      </c>
      <c r="C20" t="s">
        <v>2917</v>
      </c>
      <c r="D20" t="s">
        <v>1206</v>
      </c>
      <c r="E20" t="s">
        <v>79</v>
      </c>
      <c r="F20" t="s">
        <v>77</v>
      </c>
    </row>
    <row r="21" spans="1:6" x14ac:dyDescent="0.25">
      <c r="A21" t="s">
        <v>64</v>
      </c>
      <c r="B21" t="s">
        <v>2927</v>
      </c>
      <c r="C21" t="s">
        <v>2917</v>
      </c>
      <c r="D21" t="s">
        <v>2679</v>
      </c>
      <c r="E21" t="s">
        <v>82</v>
      </c>
      <c r="F21" t="s">
        <v>80</v>
      </c>
    </row>
    <row r="22" spans="1:6" x14ac:dyDescent="0.25">
      <c r="A22" t="s">
        <v>64</v>
      </c>
      <c r="B22" t="s">
        <v>75</v>
      </c>
      <c r="C22" t="s">
        <v>75</v>
      </c>
      <c r="D22" t="s">
        <v>2640</v>
      </c>
      <c r="E22" t="s">
        <v>76</v>
      </c>
      <c r="F22" t="s">
        <v>72</v>
      </c>
    </row>
    <row r="23" spans="1:6" x14ac:dyDescent="0.25">
      <c r="A23" t="s">
        <v>64</v>
      </c>
      <c r="B23" t="s">
        <v>2921</v>
      </c>
      <c r="C23" t="s">
        <v>2918</v>
      </c>
      <c r="D23" t="s">
        <v>2639</v>
      </c>
      <c r="E23" t="s">
        <v>71</v>
      </c>
      <c r="F23" t="s">
        <v>67</v>
      </c>
    </row>
    <row r="24" spans="1:6" x14ac:dyDescent="0.25">
      <c r="A24" t="s">
        <v>64</v>
      </c>
      <c r="B24" t="s">
        <v>2919</v>
      </c>
      <c r="C24" t="s">
        <v>2919</v>
      </c>
      <c r="D24" t="s">
        <v>2653</v>
      </c>
      <c r="E24" t="s">
        <v>85</v>
      </c>
      <c r="F24" t="s">
        <v>83</v>
      </c>
    </row>
    <row r="25" spans="1:6" x14ac:dyDescent="0.25">
      <c r="A25" t="s">
        <v>86</v>
      </c>
      <c r="B25" t="s">
        <v>2927</v>
      </c>
      <c r="C25" t="s">
        <v>2917</v>
      </c>
      <c r="D25" t="s">
        <v>1206</v>
      </c>
      <c r="E25" t="s">
        <v>2699</v>
      </c>
      <c r="F25" t="s">
        <v>94</v>
      </c>
    </row>
    <row r="26" spans="1:6" x14ac:dyDescent="0.25">
      <c r="A26" t="s">
        <v>86</v>
      </c>
      <c r="B26" t="s">
        <v>2927</v>
      </c>
      <c r="C26" t="s">
        <v>2917</v>
      </c>
      <c r="D26" t="s">
        <v>2679</v>
      </c>
      <c r="E26" t="s">
        <v>79</v>
      </c>
      <c r="F26" t="s">
        <v>97</v>
      </c>
    </row>
    <row r="27" spans="1:6" x14ac:dyDescent="0.25">
      <c r="A27" t="s">
        <v>86</v>
      </c>
      <c r="B27" t="s">
        <v>2927</v>
      </c>
      <c r="C27" t="s">
        <v>2917</v>
      </c>
      <c r="D27" t="s">
        <v>748</v>
      </c>
      <c r="E27" t="s">
        <v>79</v>
      </c>
      <c r="F27" t="s">
        <v>90</v>
      </c>
    </row>
    <row r="28" spans="1:6" x14ac:dyDescent="0.25">
      <c r="A28" t="s">
        <v>86</v>
      </c>
      <c r="B28" t="s">
        <v>2921</v>
      </c>
      <c r="C28" t="s">
        <v>2918</v>
      </c>
      <c r="D28" t="s">
        <v>2639</v>
      </c>
      <c r="E28" t="s">
        <v>71</v>
      </c>
      <c r="F28" t="s">
        <v>89</v>
      </c>
    </row>
    <row r="29" spans="1:6" x14ac:dyDescent="0.25">
      <c r="A29" t="s">
        <v>86</v>
      </c>
      <c r="B29" t="s">
        <v>2919</v>
      </c>
      <c r="C29" t="s">
        <v>2919</v>
      </c>
      <c r="D29" t="s">
        <v>2653</v>
      </c>
      <c r="E29" t="s">
        <v>101</v>
      </c>
      <c r="F29" t="s">
        <v>99</v>
      </c>
    </row>
    <row r="30" spans="1:6" x14ac:dyDescent="0.25">
      <c r="A30" t="s">
        <v>102</v>
      </c>
      <c r="B30" t="s">
        <v>2927</v>
      </c>
      <c r="C30" t="s">
        <v>2914</v>
      </c>
      <c r="D30" t="s">
        <v>2637</v>
      </c>
      <c r="E30" t="s">
        <v>2701</v>
      </c>
      <c r="F30" t="s">
        <v>109</v>
      </c>
    </row>
    <row r="31" spans="1:6" x14ac:dyDescent="0.25">
      <c r="A31" t="s">
        <v>102</v>
      </c>
      <c r="B31" t="s">
        <v>2927</v>
      </c>
      <c r="C31" t="s">
        <v>2917</v>
      </c>
      <c r="D31" t="s">
        <v>1206</v>
      </c>
      <c r="E31" t="s">
        <v>114</v>
      </c>
      <c r="F31" t="s">
        <v>112</v>
      </c>
    </row>
    <row r="32" spans="1:6" x14ac:dyDescent="0.25">
      <c r="A32" t="s">
        <v>102</v>
      </c>
      <c r="B32" t="s">
        <v>2927</v>
      </c>
      <c r="C32" t="s">
        <v>2917</v>
      </c>
      <c r="D32" t="s">
        <v>2679</v>
      </c>
      <c r="E32" t="s">
        <v>2702</v>
      </c>
      <c r="F32" t="s">
        <v>115</v>
      </c>
    </row>
    <row r="33" spans="1:6" x14ac:dyDescent="0.25">
      <c r="A33" t="s">
        <v>102</v>
      </c>
      <c r="B33" t="s">
        <v>75</v>
      </c>
      <c r="C33" t="s">
        <v>75</v>
      </c>
      <c r="D33" t="s">
        <v>2640</v>
      </c>
      <c r="E33" t="s">
        <v>108</v>
      </c>
      <c r="F33" t="s">
        <v>107</v>
      </c>
    </row>
    <row r="34" spans="1:6" x14ac:dyDescent="0.25">
      <c r="A34" t="s">
        <v>102</v>
      </c>
      <c r="B34" t="s">
        <v>2921</v>
      </c>
      <c r="C34" t="s">
        <v>2918</v>
      </c>
      <c r="D34" t="s">
        <v>2639</v>
      </c>
      <c r="E34" t="s">
        <v>2700</v>
      </c>
      <c r="F34" t="s">
        <v>106</v>
      </c>
    </row>
    <row r="35" spans="1:6" x14ac:dyDescent="0.25">
      <c r="A35" t="s">
        <v>102</v>
      </c>
      <c r="B35" t="s">
        <v>2919</v>
      </c>
      <c r="C35" t="s">
        <v>2919</v>
      </c>
      <c r="D35" t="s">
        <v>2653</v>
      </c>
      <c r="E35" t="s">
        <v>119</v>
      </c>
      <c r="F35" t="s">
        <v>118</v>
      </c>
    </row>
    <row r="36" spans="1:6" x14ac:dyDescent="0.25">
      <c r="A36" t="s">
        <v>102</v>
      </c>
      <c r="B36" t="s">
        <v>2928</v>
      </c>
      <c r="C36" t="s">
        <v>2916</v>
      </c>
      <c r="D36" t="s">
        <v>2638</v>
      </c>
      <c r="E36" t="s">
        <v>101</v>
      </c>
      <c r="F36" t="s">
        <v>105</v>
      </c>
    </row>
    <row r="37" spans="1:6" x14ac:dyDescent="0.25">
      <c r="A37" t="s">
        <v>120</v>
      </c>
      <c r="B37" t="s">
        <v>2927</v>
      </c>
      <c r="C37" t="s">
        <v>2914</v>
      </c>
      <c r="D37" t="s">
        <v>2637</v>
      </c>
      <c r="E37" t="s">
        <v>2704</v>
      </c>
      <c r="F37" t="s">
        <v>140</v>
      </c>
    </row>
    <row r="38" spans="1:6" x14ac:dyDescent="0.25">
      <c r="A38" t="s">
        <v>120</v>
      </c>
      <c r="B38" t="s">
        <v>2927</v>
      </c>
      <c r="C38" t="s">
        <v>2914</v>
      </c>
      <c r="D38" t="s">
        <v>2637</v>
      </c>
      <c r="E38" t="s">
        <v>2705</v>
      </c>
      <c r="F38" t="s">
        <v>143</v>
      </c>
    </row>
    <row r="39" spans="1:6" x14ac:dyDescent="0.25">
      <c r="A39" t="s">
        <v>120</v>
      </c>
      <c r="B39" t="s">
        <v>75</v>
      </c>
      <c r="C39" t="s">
        <v>75</v>
      </c>
      <c r="D39" t="s">
        <v>1212</v>
      </c>
      <c r="E39" t="s">
        <v>139</v>
      </c>
      <c r="F39" t="s">
        <v>137</v>
      </c>
    </row>
    <row r="40" spans="1:6" x14ac:dyDescent="0.25">
      <c r="A40" t="s">
        <v>120</v>
      </c>
      <c r="B40" t="s">
        <v>2921</v>
      </c>
      <c r="C40" t="s">
        <v>2920</v>
      </c>
      <c r="D40" t="s">
        <v>2643</v>
      </c>
      <c r="E40" t="s">
        <v>2703</v>
      </c>
      <c r="F40" t="s">
        <v>125</v>
      </c>
    </row>
    <row r="41" spans="1:6" x14ac:dyDescent="0.25">
      <c r="A41" t="s">
        <v>120</v>
      </c>
      <c r="B41" t="s">
        <v>2928</v>
      </c>
      <c r="C41" t="s">
        <v>2916</v>
      </c>
      <c r="D41" t="s">
        <v>2641</v>
      </c>
      <c r="E41" t="s">
        <v>136</v>
      </c>
      <c r="F41" t="s">
        <v>133</v>
      </c>
    </row>
    <row r="42" spans="1:6" x14ac:dyDescent="0.25">
      <c r="A42" t="s">
        <v>120</v>
      </c>
      <c r="B42" t="s">
        <v>2928</v>
      </c>
      <c r="C42" t="s">
        <v>2916</v>
      </c>
      <c r="D42" t="s">
        <v>2642</v>
      </c>
      <c r="E42" t="s">
        <v>132</v>
      </c>
      <c r="F42" t="s">
        <v>129</v>
      </c>
    </row>
    <row r="43" spans="1:6" x14ac:dyDescent="0.25">
      <c r="A43" t="s">
        <v>120</v>
      </c>
      <c r="B43" t="s">
        <v>2928</v>
      </c>
      <c r="C43" t="s">
        <v>2916</v>
      </c>
      <c r="D43" t="s">
        <v>2638</v>
      </c>
      <c r="E43" t="s">
        <v>124</v>
      </c>
      <c r="F43" t="s">
        <v>123</v>
      </c>
    </row>
    <row r="44" spans="1:6" x14ac:dyDescent="0.25">
      <c r="A44" t="s">
        <v>145</v>
      </c>
      <c r="B44" t="s">
        <v>2927</v>
      </c>
      <c r="C44" t="s">
        <v>2914</v>
      </c>
      <c r="D44" t="s">
        <v>2637</v>
      </c>
      <c r="E44" t="s">
        <v>158</v>
      </c>
      <c r="F44" t="s">
        <v>157</v>
      </c>
    </row>
    <row r="45" spans="1:6" x14ac:dyDescent="0.25">
      <c r="A45" t="s">
        <v>145</v>
      </c>
      <c r="B45" t="s">
        <v>2927</v>
      </c>
      <c r="C45" t="s">
        <v>2914</v>
      </c>
      <c r="D45" t="s">
        <v>2637</v>
      </c>
      <c r="E45" t="s">
        <v>156</v>
      </c>
      <c r="F45" t="s">
        <v>155</v>
      </c>
    </row>
    <row r="46" spans="1:6" x14ac:dyDescent="0.25">
      <c r="A46" t="s">
        <v>145</v>
      </c>
      <c r="B46" t="s">
        <v>75</v>
      </c>
      <c r="C46" t="s">
        <v>75</v>
      </c>
      <c r="D46" t="s">
        <v>1212</v>
      </c>
      <c r="E46" t="s">
        <v>154</v>
      </c>
      <c r="F46" t="s">
        <v>153</v>
      </c>
    </row>
    <row r="47" spans="1:6" x14ac:dyDescent="0.25">
      <c r="A47" t="s">
        <v>145</v>
      </c>
      <c r="B47" t="s">
        <v>2921</v>
      </c>
      <c r="C47" t="s">
        <v>2920</v>
      </c>
      <c r="D47" t="s">
        <v>2643</v>
      </c>
      <c r="E47" t="s">
        <v>150</v>
      </c>
      <c r="F47" t="s">
        <v>149</v>
      </c>
    </row>
    <row r="48" spans="1:6" x14ac:dyDescent="0.25">
      <c r="A48" t="s">
        <v>145</v>
      </c>
      <c r="B48" t="s">
        <v>2921</v>
      </c>
      <c r="C48" t="s">
        <v>2921</v>
      </c>
      <c r="D48" t="s">
        <v>2644</v>
      </c>
      <c r="E48" t="s">
        <v>162</v>
      </c>
      <c r="F48" t="s">
        <v>159</v>
      </c>
    </row>
    <row r="49" spans="1:6" x14ac:dyDescent="0.25">
      <c r="A49" t="s">
        <v>145</v>
      </c>
      <c r="B49" t="s">
        <v>2928</v>
      </c>
      <c r="C49" t="s">
        <v>2916</v>
      </c>
      <c r="D49" t="s">
        <v>2641</v>
      </c>
      <c r="E49" t="s">
        <v>2708</v>
      </c>
      <c r="F49" t="s">
        <v>152</v>
      </c>
    </row>
    <row r="50" spans="1:6" x14ac:dyDescent="0.25">
      <c r="A50" t="s">
        <v>145</v>
      </c>
      <c r="B50" t="s">
        <v>2928</v>
      </c>
      <c r="C50" t="s">
        <v>2916</v>
      </c>
      <c r="D50" t="s">
        <v>2642</v>
      </c>
      <c r="E50" t="s">
        <v>2707</v>
      </c>
      <c r="F50" t="s">
        <v>151</v>
      </c>
    </row>
    <row r="51" spans="1:6" x14ac:dyDescent="0.25">
      <c r="A51" t="s">
        <v>145</v>
      </c>
      <c r="B51" t="s">
        <v>2928</v>
      </c>
      <c r="C51" t="s">
        <v>2916</v>
      </c>
      <c r="D51" t="s">
        <v>2638</v>
      </c>
      <c r="E51" t="s">
        <v>2706</v>
      </c>
      <c r="F51" t="s">
        <v>148</v>
      </c>
    </row>
    <row r="52" spans="1:6" x14ac:dyDescent="0.25">
      <c r="A52" t="s">
        <v>163</v>
      </c>
      <c r="B52" t="s">
        <v>2927</v>
      </c>
      <c r="C52" t="s">
        <v>2914</v>
      </c>
      <c r="D52" t="s">
        <v>2637</v>
      </c>
      <c r="E52" t="s">
        <v>174</v>
      </c>
      <c r="F52" t="s">
        <v>182</v>
      </c>
    </row>
    <row r="53" spans="1:6" x14ac:dyDescent="0.25">
      <c r="A53" t="s">
        <v>163</v>
      </c>
      <c r="B53" t="s">
        <v>2927</v>
      </c>
      <c r="C53" t="s">
        <v>2914</v>
      </c>
      <c r="D53" t="s">
        <v>2637</v>
      </c>
      <c r="E53" t="s">
        <v>196</v>
      </c>
      <c r="F53" t="s">
        <v>194</v>
      </c>
    </row>
    <row r="54" spans="1:6" x14ac:dyDescent="0.25">
      <c r="A54" t="s">
        <v>163</v>
      </c>
      <c r="B54" t="s">
        <v>2927</v>
      </c>
      <c r="C54" t="s">
        <v>2914</v>
      </c>
      <c r="D54" t="s">
        <v>2637</v>
      </c>
      <c r="E54" t="s">
        <v>181</v>
      </c>
      <c r="F54" t="s">
        <v>178</v>
      </c>
    </row>
    <row r="55" spans="1:6" x14ac:dyDescent="0.25">
      <c r="A55" t="s">
        <v>163</v>
      </c>
      <c r="B55" t="s">
        <v>75</v>
      </c>
      <c r="C55" t="s">
        <v>75</v>
      </c>
      <c r="D55" t="s">
        <v>2646</v>
      </c>
      <c r="E55" t="s">
        <v>174</v>
      </c>
      <c r="F55" t="s">
        <v>172</v>
      </c>
    </row>
    <row r="56" spans="1:6" x14ac:dyDescent="0.25">
      <c r="A56" t="s">
        <v>163</v>
      </c>
      <c r="B56" t="s">
        <v>75</v>
      </c>
      <c r="C56" t="s">
        <v>75</v>
      </c>
      <c r="D56" t="s">
        <v>2647</v>
      </c>
      <c r="E56" t="s">
        <v>108</v>
      </c>
      <c r="F56" t="s">
        <v>175</v>
      </c>
    </row>
    <row r="57" spans="1:6" x14ac:dyDescent="0.25">
      <c r="A57" t="s">
        <v>163</v>
      </c>
      <c r="B57" t="s">
        <v>2921</v>
      </c>
      <c r="C57" t="s">
        <v>191</v>
      </c>
      <c r="D57" t="s">
        <v>191</v>
      </c>
      <c r="E57" t="s">
        <v>193</v>
      </c>
      <c r="F57" t="s">
        <v>190</v>
      </c>
    </row>
    <row r="58" spans="1:6" x14ac:dyDescent="0.25">
      <c r="A58" t="s">
        <v>163</v>
      </c>
      <c r="B58" t="s">
        <v>2919</v>
      </c>
      <c r="C58" t="s">
        <v>2919</v>
      </c>
      <c r="D58" t="s">
        <v>2645</v>
      </c>
      <c r="E58" t="s">
        <v>2709</v>
      </c>
      <c r="F58" t="s">
        <v>185</v>
      </c>
    </row>
    <row r="59" spans="1:6" x14ac:dyDescent="0.25">
      <c r="A59" t="s">
        <v>163</v>
      </c>
      <c r="B59" t="s">
        <v>2928</v>
      </c>
      <c r="C59" t="s">
        <v>2916</v>
      </c>
      <c r="D59" t="s">
        <v>2641</v>
      </c>
      <c r="E59" t="s">
        <v>136</v>
      </c>
      <c r="F59" t="s">
        <v>169</v>
      </c>
    </row>
    <row r="60" spans="1:6" x14ac:dyDescent="0.25">
      <c r="A60" t="s">
        <v>163</v>
      </c>
      <c r="B60" t="s">
        <v>2928</v>
      </c>
      <c r="C60" t="s">
        <v>2916</v>
      </c>
      <c r="D60" t="s">
        <v>2641</v>
      </c>
      <c r="E60" t="s">
        <v>136</v>
      </c>
      <c r="F60" t="s">
        <v>166</v>
      </c>
    </row>
    <row r="61" spans="1:6" x14ac:dyDescent="0.25">
      <c r="A61" t="s">
        <v>197</v>
      </c>
      <c r="B61" t="s">
        <v>2927</v>
      </c>
      <c r="C61" t="s">
        <v>2914</v>
      </c>
      <c r="D61" t="s">
        <v>2637</v>
      </c>
      <c r="E61" t="s">
        <v>2711</v>
      </c>
      <c r="F61" t="s">
        <v>223</v>
      </c>
    </row>
    <row r="62" spans="1:6" x14ac:dyDescent="0.25">
      <c r="A62" t="s">
        <v>197</v>
      </c>
      <c r="B62" t="s">
        <v>2927</v>
      </c>
      <c r="C62" t="s">
        <v>2914</v>
      </c>
      <c r="D62" t="s">
        <v>2637</v>
      </c>
      <c r="E62" t="s">
        <v>2712</v>
      </c>
      <c r="F62" t="s">
        <v>207</v>
      </c>
    </row>
    <row r="63" spans="1:6" x14ac:dyDescent="0.25">
      <c r="A63" t="s">
        <v>197</v>
      </c>
      <c r="B63" t="s">
        <v>2927</v>
      </c>
      <c r="C63" t="s">
        <v>2914</v>
      </c>
      <c r="D63" t="s">
        <v>2637</v>
      </c>
      <c r="E63" t="s">
        <v>2713</v>
      </c>
      <c r="F63" t="s">
        <v>222</v>
      </c>
    </row>
    <row r="64" spans="1:6" x14ac:dyDescent="0.25">
      <c r="A64" t="s">
        <v>197</v>
      </c>
      <c r="B64" t="s">
        <v>2927</v>
      </c>
      <c r="C64" t="s">
        <v>2917</v>
      </c>
      <c r="D64" t="s">
        <v>2933</v>
      </c>
      <c r="E64" t="s">
        <v>2705</v>
      </c>
      <c r="F64" t="s">
        <v>210</v>
      </c>
    </row>
    <row r="65" spans="1:6" x14ac:dyDescent="0.25">
      <c r="A65" t="s">
        <v>197</v>
      </c>
      <c r="B65" t="s">
        <v>2927</v>
      </c>
      <c r="C65" t="s">
        <v>2917</v>
      </c>
      <c r="D65" t="s">
        <v>2678</v>
      </c>
      <c r="E65" t="s">
        <v>2705</v>
      </c>
      <c r="F65" t="s">
        <v>213</v>
      </c>
    </row>
    <row r="66" spans="1:6" x14ac:dyDescent="0.25">
      <c r="A66" t="s">
        <v>197</v>
      </c>
      <c r="B66" t="s">
        <v>2927</v>
      </c>
      <c r="C66" t="s">
        <v>2917</v>
      </c>
      <c r="D66" t="s">
        <v>217</v>
      </c>
      <c r="E66" t="s">
        <v>2711</v>
      </c>
      <c r="F66" t="s">
        <v>216</v>
      </c>
    </row>
    <row r="67" spans="1:6" x14ac:dyDescent="0.25">
      <c r="A67" t="s">
        <v>197</v>
      </c>
      <c r="B67" t="s">
        <v>2921</v>
      </c>
      <c r="C67" t="s">
        <v>27</v>
      </c>
      <c r="D67" t="s">
        <v>2930</v>
      </c>
      <c r="E67" t="s">
        <v>2711</v>
      </c>
      <c r="F67" t="s">
        <v>205</v>
      </c>
    </row>
    <row r="68" spans="1:6" x14ac:dyDescent="0.25">
      <c r="A68" t="s">
        <v>197</v>
      </c>
      <c r="B68" t="s">
        <v>2921</v>
      </c>
      <c r="C68" t="s">
        <v>191</v>
      </c>
      <c r="D68" t="s">
        <v>191</v>
      </c>
      <c r="E68" t="s">
        <v>209</v>
      </c>
      <c r="F68" t="s">
        <v>208</v>
      </c>
    </row>
    <row r="69" spans="1:6" x14ac:dyDescent="0.25">
      <c r="A69" t="s">
        <v>197</v>
      </c>
      <c r="B69" t="s">
        <v>2919</v>
      </c>
      <c r="C69" t="s">
        <v>2919</v>
      </c>
      <c r="D69" t="s">
        <v>2648</v>
      </c>
      <c r="E69" t="s">
        <v>128</v>
      </c>
      <c r="F69" t="s">
        <v>219</v>
      </c>
    </row>
    <row r="70" spans="1:6" x14ac:dyDescent="0.25">
      <c r="A70" t="s">
        <v>197</v>
      </c>
      <c r="B70" t="s">
        <v>2919</v>
      </c>
      <c r="C70" t="s">
        <v>2919</v>
      </c>
      <c r="D70" t="s">
        <v>2649</v>
      </c>
      <c r="E70" t="s">
        <v>2703</v>
      </c>
      <c r="F70" t="s">
        <v>201</v>
      </c>
    </row>
    <row r="71" spans="1:6" x14ac:dyDescent="0.25">
      <c r="A71" t="s">
        <v>197</v>
      </c>
      <c r="B71" t="s">
        <v>2928</v>
      </c>
      <c r="C71" t="s">
        <v>2916</v>
      </c>
      <c r="D71" t="s">
        <v>2638</v>
      </c>
      <c r="E71" t="s">
        <v>2710</v>
      </c>
      <c r="F71" t="s">
        <v>200</v>
      </c>
    </row>
    <row r="72" spans="1:6" x14ac:dyDescent="0.25">
      <c r="A72" t="s">
        <v>225</v>
      </c>
      <c r="B72" t="s">
        <v>2927</v>
      </c>
      <c r="C72" t="s">
        <v>2914</v>
      </c>
      <c r="D72" t="s">
        <v>2637</v>
      </c>
      <c r="E72" t="s">
        <v>2711</v>
      </c>
      <c r="F72" t="s">
        <v>242</v>
      </c>
    </row>
    <row r="73" spans="1:6" x14ac:dyDescent="0.25">
      <c r="A73" t="s">
        <v>225</v>
      </c>
      <c r="B73" t="s">
        <v>2927</v>
      </c>
      <c r="C73" t="s">
        <v>2914</v>
      </c>
      <c r="D73" t="s">
        <v>2637</v>
      </c>
      <c r="E73" t="s">
        <v>2711</v>
      </c>
      <c r="F73" t="s">
        <v>231</v>
      </c>
    </row>
    <row r="74" spans="1:6" x14ac:dyDescent="0.25">
      <c r="A74" t="s">
        <v>225</v>
      </c>
      <c r="B74" t="s">
        <v>2927</v>
      </c>
      <c r="C74" t="s">
        <v>2917</v>
      </c>
      <c r="D74" t="s">
        <v>2659</v>
      </c>
      <c r="E74" t="s">
        <v>2715</v>
      </c>
      <c r="F74" t="s">
        <v>237</v>
      </c>
    </row>
    <row r="75" spans="1:6" x14ac:dyDescent="0.25">
      <c r="A75" t="s">
        <v>225</v>
      </c>
      <c r="B75" t="s">
        <v>2927</v>
      </c>
      <c r="C75" t="s">
        <v>2917</v>
      </c>
      <c r="D75" t="s">
        <v>2679</v>
      </c>
      <c r="E75" t="s">
        <v>2715</v>
      </c>
      <c r="F75" t="s">
        <v>232</v>
      </c>
    </row>
    <row r="76" spans="1:6" x14ac:dyDescent="0.25">
      <c r="A76" t="s">
        <v>225</v>
      </c>
      <c r="B76" t="s">
        <v>2927</v>
      </c>
      <c r="C76" t="s">
        <v>2917</v>
      </c>
      <c r="D76" t="s">
        <v>2679</v>
      </c>
      <c r="E76" t="s">
        <v>2715</v>
      </c>
      <c r="F76" t="s">
        <v>234</v>
      </c>
    </row>
    <row r="77" spans="1:6" x14ac:dyDescent="0.25">
      <c r="A77" t="s">
        <v>225</v>
      </c>
      <c r="B77" t="s">
        <v>2921</v>
      </c>
      <c r="C77" t="s">
        <v>27</v>
      </c>
      <c r="D77" t="s">
        <v>2930</v>
      </c>
      <c r="E77" t="s">
        <v>2714</v>
      </c>
      <c r="F77" t="s">
        <v>230</v>
      </c>
    </row>
    <row r="78" spans="1:6" x14ac:dyDescent="0.25">
      <c r="A78" t="s">
        <v>225</v>
      </c>
      <c r="B78" t="s">
        <v>2921</v>
      </c>
      <c r="C78" t="s">
        <v>191</v>
      </c>
      <c r="D78" t="s">
        <v>191</v>
      </c>
      <c r="E78" t="s">
        <v>209</v>
      </c>
      <c r="F78" t="s">
        <v>208</v>
      </c>
    </row>
    <row r="79" spans="1:6" x14ac:dyDescent="0.25">
      <c r="A79" t="s">
        <v>225</v>
      </c>
      <c r="B79" t="s">
        <v>2919</v>
      </c>
      <c r="C79" t="s">
        <v>2919</v>
      </c>
      <c r="D79" t="s">
        <v>2648</v>
      </c>
      <c r="E79" t="s">
        <v>241</v>
      </c>
      <c r="F79" t="s">
        <v>240</v>
      </c>
    </row>
    <row r="80" spans="1:6" x14ac:dyDescent="0.25">
      <c r="A80" t="s">
        <v>225</v>
      </c>
      <c r="B80" t="s">
        <v>2919</v>
      </c>
      <c r="C80" t="s">
        <v>2919</v>
      </c>
      <c r="D80" t="s">
        <v>2649</v>
      </c>
      <c r="E80" t="s">
        <v>2710</v>
      </c>
      <c r="F80" t="s">
        <v>229</v>
      </c>
    </row>
    <row r="81" spans="1:6" x14ac:dyDescent="0.25">
      <c r="A81" t="s">
        <v>225</v>
      </c>
      <c r="B81" t="s">
        <v>2928</v>
      </c>
      <c r="C81" t="s">
        <v>2916</v>
      </c>
      <c r="D81" t="s">
        <v>2638</v>
      </c>
      <c r="E81" t="s">
        <v>128</v>
      </c>
      <c r="F81" t="s">
        <v>228</v>
      </c>
    </row>
    <row r="82" spans="1:6" x14ac:dyDescent="0.25">
      <c r="A82" t="s">
        <v>244</v>
      </c>
      <c r="B82" t="s">
        <v>2935</v>
      </c>
      <c r="C82" t="s">
        <v>2935</v>
      </c>
      <c r="D82" t="s">
        <v>247</v>
      </c>
      <c r="E82" t="s">
        <v>2153</v>
      </c>
      <c r="F82" t="s">
        <v>247</v>
      </c>
    </row>
    <row r="83" spans="1:6" x14ac:dyDescent="0.25">
      <c r="A83" t="s">
        <v>248</v>
      </c>
      <c r="B83" t="s">
        <v>2935</v>
      </c>
      <c r="C83" t="s">
        <v>2935</v>
      </c>
      <c r="D83" t="s">
        <v>247</v>
      </c>
      <c r="E83" t="s">
        <v>2153</v>
      </c>
      <c r="F83" t="s">
        <v>247</v>
      </c>
    </row>
    <row r="84" spans="1:6" x14ac:dyDescent="0.25">
      <c r="A84" t="s">
        <v>251</v>
      </c>
      <c r="B84" t="s">
        <v>2927</v>
      </c>
      <c r="C84" t="s">
        <v>2914</v>
      </c>
      <c r="D84" t="s">
        <v>2637</v>
      </c>
      <c r="E84" t="s">
        <v>2705</v>
      </c>
      <c r="F84" t="s">
        <v>275</v>
      </c>
    </row>
    <row r="85" spans="1:6" x14ac:dyDescent="0.25">
      <c r="A85" t="s">
        <v>251</v>
      </c>
      <c r="B85" t="s">
        <v>2921</v>
      </c>
      <c r="C85" t="s">
        <v>2918</v>
      </c>
      <c r="D85" t="s">
        <v>2639</v>
      </c>
      <c r="E85" t="s">
        <v>108</v>
      </c>
      <c r="F85" t="s">
        <v>267</v>
      </c>
    </row>
    <row r="86" spans="1:6" x14ac:dyDescent="0.25">
      <c r="A86" t="s">
        <v>251</v>
      </c>
      <c r="B86" t="s">
        <v>2921</v>
      </c>
      <c r="C86" t="s">
        <v>2918</v>
      </c>
      <c r="D86" t="s">
        <v>2639</v>
      </c>
      <c r="E86" t="s">
        <v>142</v>
      </c>
      <c r="F86" t="s">
        <v>264</v>
      </c>
    </row>
    <row r="87" spans="1:6" x14ac:dyDescent="0.25">
      <c r="A87" t="s">
        <v>251</v>
      </c>
      <c r="B87" t="s">
        <v>2921</v>
      </c>
      <c r="C87" t="s">
        <v>2918</v>
      </c>
      <c r="D87" t="s">
        <v>263</v>
      </c>
      <c r="E87" t="s">
        <v>128</v>
      </c>
      <c r="F87" t="s">
        <v>260</v>
      </c>
    </row>
    <row r="88" spans="1:6" x14ac:dyDescent="0.25">
      <c r="A88" t="s">
        <v>251</v>
      </c>
      <c r="B88" t="s">
        <v>2921</v>
      </c>
      <c r="C88" t="s">
        <v>27</v>
      </c>
      <c r="D88" t="s">
        <v>2930</v>
      </c>
      <c r="E88" t="s">
        <v>274</v>
      </c>
      <c r="F88" t="s">
        <v>273</v>
      </c>
    </row>
    <row r="89" spans="1:6" x14ac:dyDescent="0.25">
      <c r="A89" t="s">
        <v>251</v>
      </c>
      <c r="B89" t="s">
        <v>2921</v>
      </c>
      <c r="C89" t="s">
        <v>2920</v>
      </c>
      <c r="D89" t="s">
        <v>2643</v>
      </c>
      <c r="E89" t="s">
        <v>2716</v>
      </c>
      <c r="F89" t="s">
        <v>257</v>
      </c>
    </row>
    <row r="90" spans="1:6" x14ac:dyDescent="0.25">
      <c r="A90" t="s">
        <v>251</v>
      </c>
      <c r="B90" t="s">
        <v>2921</v>
      </c>
      <c r="C90" t="s">
        <v>2921</v>
      </c>
      <c r="D90" t="s">
        <v>2644</v>
      </c>
      <c r="E90" t="s">
        <v>79</v>
      </c>
      <c r="F90" t="s">
        <v>277</v>
      </c>
    </row>
    <row r="91" spans="1:6" x14ac:dyDescent="0.25">
      <c r="A91" t="s">
        <v>251</v>
      </c>
      <c r="B91" t="s">
        <v>2921</v>
      </c>
      <c r="C91" t="s">
        <v>191</v>
      </c>
      <c r="D91" t="s">
        <v>191</v>
      </c>
      <c r="E91" t="s">
        <v>209</v>
      </c>
      <c r="F91" t="s">
        <v>208</v>
      </c>
    </row>
    <row r="92" spans="1:6" x14ac:dyDescent="0.25">
      <c r="A92" t="s">
        <v>251</v>
      </c>
      <c r="B92" t="s">
        <v>2919</v>
      </c>
      <c r="C92" t="s">
        <v>2919</v>
      </c>
      <c r="D92" t="s">
        <v>2648</v>
      </c>
      <c r="E92" t="s">
        <v>85</v>
      </c>
      <c r="F92" t="s">
        <v>276</v>
      </c>
    </row>
    <row r="93" spans="1:6" x14ac:dyDescent="0.25">
      <c r="A93" t="s">
        <v>251</v>
      </c>
      <c r="B93" t="s">
        <v>2919</v>
      </c>
      <c r="C93" t="s">
        <v>2919</v>
      </c>
      <c r="D93" t="s">
        <v>2650</v>
      </c>
      <c r="E93" t="s">
        <v>128</v>
      </c>
      <c r="F93" t="s">
        <v>270</v>
      </c>
    </row>
    <row r="94" spans="1:6" x14ac:dyDescent="0.25">
      <c r="A94" t="s">
        <v>251</v>
      </c>
      <c r="B94" t="s">
        <v>2928</v>
      </c>
      <c r="C94" t="s">
        <v>2916</v>
      </c>
      <c r="D94" t="s">
        <v>2638</v>
      </c>
      <c r="E94" t="s">
        <v>128</v>
      </c>
      <c r="F94" t="s">
        <v>254</v>
      </c>
    </row>
    <row r="95" spans="1:6" x14ac:dyDescent="0.25">
      <c r="A95" t="s">
        <v>251</v>
      </c>
      <c r="B95" t="s">
        <v>2928</v>
      </c>
      <c r="C95" t="s">
        <v>2916</v>
      </c>
      <c r="D95" t="s">
        <v>2638</v>
      </c>
      <c r="E95" t="s">
        <v>256</v>
      </c>
      <c r="F95" t="s">
        <v>255</v>
      </c>
    </row>
    <row r="96" spans="1:6" x14ac:dyDescent="0.25">
      <c r="A96" t="s">
        <v>279</v>
      </c>
      <c r="B96" t="s">
        <v>2927</v>
      </c>
      <c r="C96" t="s">
        <v>2914</v>
      </c>
      <c r="D96" t="s">
        <v>2637</v>
      </c>
      <c r="E96" t="s">
        <v>2700</v>
      </c>
      <c r="F96" t="s">
        <v>291</v>
      </c>
    </row>
    <row r="97" spans="1:6" x14ac:dyDescent="0.25">
      <c r="A97" t="s">
        <v>279</v>
      </c>
      <c r="B97" t="s">
        <v>2927</v>
      </c>
      <c r="C97" t="s">
        <v>2917</v>
      </c>
      <c r="D97" t="s">
        <v>1206</v>
      </c>
      <c r="E97" t="s">
        <v>2721</v>
      </c>
      <c r="F97" t="s">
        <v>292</v>
      </c>
    </row>
    <row r="98" spans="1:6" x14ac:dyDescent="0.25">
      <c r="A98" t="s">
        <v>279</v>
      </c>
      <c r="B98" t="s">
        <v>2927</v>
      </c>
      <c r="C98" t="s">
        <v>2917</v>
      </c>
      <c r="D98" t="s">
        <v>2679</v>
      </c>
      <c r="E98" t="s">
        <v>108</v>
      </c>
      <c r="F98" t="s">
        <v>296</v>
      </c>
    </row>
    <row r="99" spans="1:6" x14ac:dyDescent="0.25">
      <c r="A99" t="s">
        <v>279</v>
      </c>
      <c r="B99" t="s">
        <v>2921</v>
      </c>
      <c r="C99" t="s">
        <v>2918</v>
      </c>
      <c r="D99" t="s">
        <v>2651</v>
      </c>
      <c r="E99" t="s">
        <v>283</v>
      </c>
      <c r="F99" t="s">
        <v>301</v>
      </c>
    </row>
    <row r="100" spans="1:6" x14ac:dyDescent="0.25">
      <c r="A100" t="s">
        <v>279</v>
      </c>
      <c r="B100" t="s">
        <v>2921</v>
      </c>
      <c r="C100" t="s">
        <v>2918</v>
      </c>
      <c r="D100" t="s">
        <v>2639</v>
      </c>
      <c r="E100" t="s">
        <v>2719</v>
      </c>
      <c r="F100" t="s">
        <v>287</v>
      </c>
    </row>
    <row r="101" spans="1:6" x14ac:dyDescent="0.25">
      <c r="A101" t="s">
        <v>279</v>
      </c>
      <c r="B101" t="s">
        <v>2921</v>
      </c>
      <c r="C101" t="s">
        <v>2918</v>
      </c>
      <c r="D101" t="s">
        <v>2652</v>
      </c>
      <c r="E101" t="s">
        <v>2722</v>
      </c>
      <c r="F101" t="s">
        <v>304</v>
      </c>
    </row>
    <row r="102" spans="1:6" x14ac:dyDescent="0.25">
      <c r="A102" t="s">
        <v>279</v>
      </c>
      <c r="B102" t="s">
        <v>2921</v>
      </c>
      <c r="C102" t="s">
        <v>2918</v>
      </c>
      <c r="D102" t="s">
        <v>2652</v>
      </c>
      <c r="E102" t="s">
        <v>2723</v>
      </c>
      <c r="F102" t="s">
        <v>307</v>
      </c>
    </row>
    <row r="103" spans="1:6" x14ac:dyDescent="0.25">
      <c r="A103" t="s">
        <v>279</v>
      </c>
      <c r="B103" t="s">
        <v>2921</v>
      </c>
      <c r="C103" t="s">
        <v>2918</v>
      </c>
      <c r="D103" t="s">
        <v>263</v>
      </c>
      <c r="E103" t="s">
        <v>2718</v>
      </c>
      <c r="F103" t="s">
        <v>285</v>
      </c>
    </row>
    <row r="104" spans="1:6" x14ac:dyDescent="0.25">
      <c r="A104" t="s">
        <v>279</v>
      </c>
      <c r="B104" t="s">
        <v>2921</v>
      </c>
      <c r="C104" t="s">
        <v>27</v>
      </c>
      <c r="D104" t="s">
        <v>2930</v>
      </c>
      <c r="E104" t="s">
        <v>2720</v>
      </c>
      <c r="F104" t="s">
        <v>290</v>
      </c>
    </row>
    <row r="105" spans="1:6" x14ac:dyDescent="0.25">
      <c r="A105" t="s">
        <v>279</v>
      </c>
      <c r="B105" t="s">
        <v>2921</v>
      </c>
      <c r="C105" t="s">
        <v>191</v>
      </c>
      <c r="D105" t="s">
        <v>191</v>
      </c>
      <c r="E105" t="s">
        <v>209</v>
      </c>
      <c r="F105" t="s">
        <v>208</v>
      </c>
    </row>
    <row r="106" spans="1:6" x14ac:dyDescent="0.25">
      <c r="A106" t="s">
        <v>279</v>
      </c>
      <c r="B106" t="s">
        <v>2919</v>
      </c>
      <c r="C106" t="s">
        <v>2919</v>
      </c>
      <c r="D106" t="s">
        <v>2648</v>
      </c>
      <c r="E106" t="s">
        <v>300</v>
      </c>
      <c r="F106" t="s">
        <v>299</v>
      </c>
    </row>
    <row r="107" spans="1:6" x14ac:dyDescent="0.25">
      <c r="A107" t="s">
        <v>279</v>
      </c>
      <c r="B107" t="s">
        <v>2919</v>
      </c>
      <c r="C107" t="s">
        <v>2919</v>
      </c>
      <c r="D107" t="s">
        <v>2650</v>
      </c>
      <c r="E107" t="s">
        <v>289</v>
      </c>
      <c r="F107" t="s">
        <v>288</v>
      </c>
    </row>
    <row r="108" spans="1:6" x14ac:dyDescent="0.25">
      <c r="A108" t="s">
        <v>279</v>
      </c>
      <c r="B108" t="s">
        <v>2928</v>
      </c>
      <c r="C108" t="s">
        <v>2916</v>
      </c>
      <c r="D108" t="s">
        <v>2638</v>
      </c>
      <c r="E108" t="s">
        <v>2717</v>
      </c>
      <c r="F108" t="s">
        <v>282</v>
      </c>
    </row>
    <row r="109" spans="1:6" x14ac:dyDescent="0.25">
      <c r="A109" t="s">
        <v>279</v>
      </c>
      <c r="B109" t="s">
        <v>2928</v>
      </c>
      <c r="C109" t="s">
        <v>2916</v>
      </c>
      <c r="D109" t="s">
        <v>2638</v>
      </c>
      <c r="E109" t="s">
        <v>2716</v>
      </c>
      <c r="F109" t="s">
        <v>284</v>
      </c>
    </row>
    <row r="110" spans="1:6" x14ac:dyDescent="0.25">
      <c r="A110" t="s">
        <v>310</v>
      </c>
      <c r="B110" t="s">
        <v>2927</v>
      </c>
      <c r="C110" t="s">
        <v>2914</v>
      </c>
      <c r="D110" t="s">
        <v>2637</v>
      </c>
      <c r="E110" t="s">
        <v>2729</v>
      </c>
      <c r="F110" t="s">
        <v>324</v>
      </c>
    </row>
    <row r="111" spans="1:6" x14ac:dyDescent="0.25">
      <c r="A111" t="s">
        <v>310</v>
      </c>
      <c r="B111" t="s">
        <v>2927</v>
      </c>
      <c r="C111" t="s">
        <v>2914</v>
      </c>
      <c r="D111" t="s">
        <v>2637</v>
      </c>
      <c r="E111" t="s">
        <v>2726</v>
      </c>
      <c r="F111" t="s">
        <v>318</v>
      </c>
    </row>
    <row r="112" spans="1:6" x14ac:dyDescent="0.25">
      <c r="A112" t="s">
        <v>310</v>
      </c>
      <c r="B112" t="s">
        <v>2921</v>
      </c>
      <c r="C112" t="s">
        <v>2918</v>
      </c>
      <c r="D112" t="s">
        <v>2639</v>
      </c>
      <c r="E112" t="s">
        <v>79</v>
      </c>
      <c r="F112" t="s">
        <v>313</v>
      </c>
    </row>
    <row r="113" spans="1:6" x14ac:dyDescent="0.25">
      <c r="A113" t="s">
        <v>310</v>
      </c>
      <c r="B113" t="s">
        <v>2921</v>
      </c>
      <c r="C113" t="s">
        <v>27</v>
      </c>
      <c r="D113" t="s">
        <v>2930</v>
      </c>
      <c r="E113" t="s">
        <v>2725</v>
      </c>
      <c r="F113" t="s">
        <v>317</v>
      </c>
    </row>
    <row r="114" spans="1:6" x14ac:dyDescent="0.25">
      <c r="A114" t="s">
        <v>310</v>
      </c>
      <c r="B114" t="s">
        <v>2919</v>
      </c>
      <c r="C114" t="s">
        <v>2919</v>
      </c>
      <c r="D114" t="s">
        <v>2653</v>
      </c>
      <c r="E114" t="s">
        <v>2727</v>
      </c>
      <c r="F114" t="s">
        <v>319</v>
      </c>
    </row>
    <row r="115" spans="1:6" x14ac:dyDescent="0.25">
      <c r="A115" t="s">
        <v>310</v>
      </c>
      <c r="B115" t="s">
        <v>2928</v>
      </c>
      <c r="C115" t="s">
        <v>2916</v>
      </c>
      <c r="D115" t="s">
        <v>2642</v>
      </c>
      <c r="E115" t="s">
        <v>2724</v>
      </c>
      <c r="F115" t="s">
        <v>314</v>
      </c>
    </row>
    <row r="116" spans="1:6" x14ac:dyDescent="0.25">
      <c r="A116" t="s">
        <v>310</v>
      </c>
      <c r="B116" t="s">
        <v>2928</v>
      </c>
      <c r="C116" t="s">
        <v>2916</v>
      </c>
      <c r="D116" t="s">
        <v>2642</v>
      </c>
      <c r="E116" t="s">
        <v>2728</v>
      </c>
      <c r="F116" t="s">
        <v>322</v>
      </c>
    </row>
    <row r="117" spans="1:6" x14ac:dyDescent="0.25">
      <c r="A117" t="s">
        <v>310</v>
      </c>
      <c r="B117" t="s">
        <v>2928</v>
      </c>
      <c r="C117" t="s">
        <v>2916</v>
      </c>
      <c r="D117" t="s">
        <v>2638</v>
      </c>
      <c r="E117" t="s">
        <v>2730</v>
      </c>
      <c r="F117" t="s">
        <v>326</v>
      </c>
    </row>
    <row r="118" spans="1:6" x14ac:dyDescent="0.25">
      <c r="A118" t="s">
        <v>354</v>
      </c>
      <c r="B118" t="s">
        <v>2927</v>
      </c>
      <c r="C118" t="s">
        <v>2914</v>
      </c>
      <c r="D118" t="s">
        <v>2637</v>
      </c>
      <c r="E118" t="s">
        <v>2729</v>
      </c>
      <c r="F118" t="s">
        <v>331</v>
      </c>
    </row>
    <row r="119" spans="1:6" x14ac:dyDescent="0.25">
      <c r="A119" t="s">
        <v>354</v>
      </c>
      <c r="B119" t="s">
        <v>2927</v>
      </c>
      <c r="C119" t="s">
        <v>2914</v>
      </c>
      <c r="D119" t="s">
        <v>2637</v>
      </c>
      <c r="E119" t="s">
        <v>2715</v>
      </c>
      <c r="F119" t="s">
        <v>333</v>
      </c>
    </row>
    <row r="120" spans="1:6" x14ac:dyDescent="0.25">
      <c r="A120" t="s">
        <v>354</v>
      </c>
      <c r="B120" t="s">
        <v>2921</v>
      </c>
      <c r="C120" t="s">
        <v>2918</v>
      </c>
      <c r="D120" t="s">
        <v>2639</v>
      </c>
      <c r="E120" t="s">
        <v>108</v>
      </c>
      <c r="F120" t="s">
        <v>329</v>
      </c>
    </row>
    <row r="121" spans="1:6" x14ac:dyDescent="0.25">
      <c r="A121" t="s">
        <v>354</v>
      </c>
      <c r="B121" t="s">
        <v>2921</v>
      </c>
      <c r="C121" t="s">
        <v>27</v>
      </c>
      <c r="D121" t="s">
        <v>2930</v>
      </c>
      <c r="E121" t="s">
        <v>76</v>
      </c>
      <c r="F121" t="s">
        <v>330</v>
      </c>
    </row>
    <row r="122" spans="1:6" x14ac:dyDescent="0.25">
      <c r="A122" t="s">
        <v>354</v>
      </c>
      <c r="B122" t="s">
        <v>2919</v>
      </c>
      <c r="C122" t="s">
        <v>2919</v>
      </c>
      <c r="D122" t="s">
        <v>2653</v>
      </c>
      <c r="E122" t="s">
        <v>2732</v>
      </c>
      <c r="F122" t="s">
        <v>332</v>
      </c>
    </row>
    <row r="123" spans="1:6" x14ac:dyDescent="0.25">
      <c r="A123" t="s">
        <v>354</v>
      </c>
      <c r="B123" t="s">
        <v>2928</v>
      </c>
      <c r="C123" t="s">
        <v>2916</v>
      </c>
      <c r="D123" t="s">
        <v>2638</v>
      </c>
      <c r="E123" t="s">
        <v>2731</v>
      </c>
      <c r="F123" t="s">
        <v>328</v>
      </c>
    </row>
    <row r="124" spans="1:6" x14ac:dyDescent="0.25">
      <c r="A124" t="s">
        <v>393</v>
      </c>
      <c r="B124" t="s">
        <v>2927</v>
      </c>
      <c r="C124" t="s">
        <v>2914</v>
      </c>
      <c r="D124" t="s">
        <v>2637</v>
      </c>
      <c r="E124" t="s">
        <v>79</v>
      </c>
      <c r="F124" t="s">
        <v>357</v>
      </c>
    </row>
    <row r="125" spans="1:6" x14ac:dyDescent="0.25">
      <c r="A125" t="s">
        <v>393</v>
      </c>
      <c r="B125" t="s">
        <v>2927</v>
      </c>
      <c r="C125" t="s">
        <v>2917</v>
      </c>
      <c r="D125" t="s">
        <v>2659</v>
      </c>
      <c r="E125" t="s">
        <v>2700</v>
      </c>
      <c r="F125" t="s">
        <v>342</v>
      </c>
    </row>
    <row r="126" spans="1:6" x14ac:dyDescent="0.25">
      <c r="A126" t="s">
        <v>393</v>
      </c>
      <c r="B126" t="s">
        <v>2927</v>
      </c>
      <c r="C126" t="s">
        <v>2917</v>
      </c>
      <c r="D126" t="s">
        <v>748</v>
      </c>
      <c r="E126" t="s">
        <v>79</v>
      </c>
      <c r="F126" t="s">
        <v>339</v>
      </c>
    </row>
    <row r="127" spans="1:6" x14ac:dyDescent="0.25">
      <c r="A127" t="s">
        <v>393</v>
      </c>
      <c r="B127" t="s">
        <v>75</v>
      </c>
      <c r="C127" t="s">
        <v>75</v>
      </c>
      <c r="D127" t="s">
        <v>2640</v>
      </c>
      <c r="E127" t="s">
        <v>2712</v>
      </c>
      <c r="F127" t="s">
        <v>336</v>
      </c>
    </row>
    <row r="128" spans="1:6" x14ac:dyDescent="0.25">
      <c r="A128" t="s">
        <v>393</v>
      </c>
      <c r="B128" t="s">
        <v>75</v>
      </c>
      <c r="C128" t="s">
        <v>75</v>
      </c>
      <c r="D128" t="s">
        <v>1212</v>
      </c>
      <c r="E128" t="s">
        <v>108</v>
      </c>
      <c r="F128" t="s">
        <v>337</v>
      </c>
    </row>
    <row r="129" spans="1:6" x14ac:dyDescent="0.25">
      <c r="A129" t="s">
        <v>393</v>
      </c>
      <c r="B129" t="s">
        <v>2921</v>
      </c>
      <c r="C129" t="s">
        <v>2918</v>
      </c>
      <c r="D129" t="s">
        <v>2639</v>
      </c>
      <c r="E129" t="s">
        <v>2701</v>
      </c>
      <c r="F129" t="s">
        <v>335</v>
      </c>
    </row>
    <row r="130" spans="1:6" x14ac:dyDescent="0.25">
      <c r="A130" t="s">
        <v>393</v>
      </c>
      <c r="B130" t="s">
        <v>2921</v>
      </c>
      <c r="C130" t="s">
        <v>2921</v>
      </c>
      <c r="D130" t="s">
        <v>2644</v>
      </c>
      <c r="E130" t="s">
        <v>2726</v>
      </c>
      <c r="F130" t="s">
        <v>351</v>
      </c>
    </row>
    <row r="131" spans="1:6" x14ac:dyDescent="0.25">
      <c r="A131" t="s">
        <v>393</v>
      </c>
      <c r="B131" t="s">
        <v>2921</v>
      </c>
      <c r="C131" t="s">
        <v>191</v>
      </c>
      <c r="D131" t="s">
        <v>191</v>
      </c>
      <c r="E131" t="s">
        <v>209</v>
      </c>
      <c r="F131" t="s">
        <v>338</v>
      </c>
    </row>
    <row r="132" spans="1:6" x14ac:dyDescent="0.25">
      <c r="A132" t="s">
        <v>393</v>
      </c>
      <c r="B132" t="s">
        <v>2919</v>
      </c>
      <c r="C132" t="s">
        <v>2919</v>
      </c>
      <c r="D132" t="s">
        <v>2653</v>
      </c>
      <c r="E132" t="s">
        <v>2733</v>
      </c>
      <c r="F132" t="s">
        <v>348</v>
      </c>
    </row>
    <row r="133" spans="1:6" x14ac:dyDescent="0.25">
      <c r="A133" t="s">
        <v>393</v>
      </c>
      <c r="B133" t="s">
        <v>2919</v>
      </c>
      <c r="C133" t="s">
        <v>2919</v>
      </c>
      <c r="D133" t="s">
        <v>2654</v>
      </c>
      <c r="E133" t="s">
        <v>119</v>
      </c>
      <c r="F133" t="s">
        <v>345</v>
      </c>
    </row>
    <row r="134" spans="1:6" x14ac:dyDescent="0.25">
      <c r="A134" t="s">
        <v>393</v>
      </c>
      <c r="B134" t="s">
        <v>2928</v>
      </c>
      <c r="C134" t="s">
        <v>2916</v>
      </c>
      <c r="D134" t="s">
        <v>2638</v>
      </c>
      <c r="E134" t="s">
        <v>2703</v>
      </c>
      <c r="F134" t="s">
        <v>334</v>
      </c>
    </row>
    <row r="135" spans="1:6" x14ac:dyDescent="0.25">
      <c r="A135" t="s">
        <v>511</v>
      </c>
      <c r="B135" t="s">
        <v>2935</v>
      </c>
      <c r="C135" t="s">
        <v>2935</v>
      </c>
      <c r="D135" t="s">
        <v>2657</v>
      </c>
      <c r="E135" t="s">
        <v>2727</v>
      </c>
      <c r="F135" t="s">
        <v>379</v>
      </c>
    </row>
    <row r="136" spans="1:6" x14ac:dyDescent="0.25">
      <c r="A136" t="s">
        <v>511</v>
      </c>
      <c r="B136" t="s">
        <v>2927</v>
      </c>
      <c r="C136" t="s">
        <v>2923</v>
      </c>
      <c r="D136" t="s">
        <v>2655</v>
      </c>
      <c r="E136" t="s">
        <v>2700</v>
      </c>
      <c r="F136" t="s">
        <v>375</v>
      </c>
    </row>
    <row r="137" spans="1:6" x14ac:dyDescent="0.25">
      <c r="A137" t="s">
        <v>511</v>
      </c>
      <c r="B137" t="s">
        <v>2927</v>
      </c>
      <c r="C137" t="s">
        <v>2914</v>
      </c>
      <c r="D137" t="s">
        <v>2637</v>
      </c>
      <c r="E137" t="s">
        <v>2700</v>
      </c>
      <c r="F137" t="s">
        <v>372</v>
      </c>
    </row>
    <row r="138" spans="1:6" x14ac:dyDescent="0.25">
      <c r="A138" t="s">
        <v>511</v>
      </c>
      <c r="B138" t="s">
        <v>2927</v>
      </c>
      <c r="C138" t="s">
        <v>2914</v>
      </c>
      <c r="D138" t="s">
        <v>2637</v>
      </c>
      <c r="E138" t="s">
        <v>82</v>
      </c>
      <c r="F138" t="s">
        <v>391</v>
      </c>
    </row>
    <row r="139" spans="1:6" x14ac:dyDescent="0.25">
      <c r="A139" t="s">
        <v>511</v>
      </c>
      <c r="B139" t="s">
        <v>2927</v>
      </c>
      <c r="C139" t="s">
        <v>2917</v>
      </c>
      <c r="D139" t="s">
        <v>2659</v>
      </c>
      <c r="E139" t="s">
        <v>2699</v>
      </c>
      <c r="F139" t="s">
        <v>373</v>
      </c>
    </row>
    <row r="140" spans="1:6" x14ac:dyDescent="0.25">
      <c r="A140" t="s">
        <v>511</v>
      </c>
      <c r="B140" t="s">
        <v>2927</v>
      </c>
      <c r="C140" t="s">
        <v>2917</v>
      </c>
      <c r="D140" t="s">
        <v>2687</v>
      </c>
      <c r="E140" t="s">
        <v>79</v>
      </c>
      <c r="F140" t="s">
        <v>396</v>
      </c>
    </row>
    <row r="141" spans="1:6" x14ac:dyDescent="0.25">
      <c r="A141" t="s">
        <v>511</v>
      </c>
      <c r="B141" t="s">
        <v>2927</v>
      </c>
      <c r="C141" t="s">
        <v>2917</v>
      </c>
      <c r="D141" t="s">
        <v>325</v>
      </c>
      <c r="E141" t="s">
        <v>2700</v>
      </c>
      <c r="F141" t="s">
        <v>398</v>
      </c>
    </row>
    <row r="142" spans="1:6" x14ac:dyDescent="0.25">
      <c r="A142" t="s">
        <v>511</v>
      </c>
      <c r="B142" t="s">
        <v>75</v>
      </c>
      <c r="C142" t="s">
        <v>75</v>
      </c>
      <c r="D142" t="s">
        <v>2640</v>
      </c>
      <c r="E142" t="s">
        <v>2700</v>
      </c>
      <c r="F142" t="s">
        <v>368</v>
      </c>
    </row>
    <row r="143" spans="1:6" x14ac:dyDescent="0.25">
      <c r="A143" t="s">
        <v>511</v>
      </c>
      <c r="B143" t="s">
        <v>75</v>
      </c>
      <c r="C143" t="s">
        <v>75</v>
      </c>
      <c r="D143" t="s">
        <v>2640</v>
      </c>
      <c r="E143" t="s">
        <v>2726</v>
      </c>
      <c r="F143" t="s">
        <v>388</v>
      </c>
    </row>
    <row r="144" spans="1:6" x14ac:dyDescent="0.25">
      <c r="A144" t="s">
        <v>511</v>
      </c>
      <c r="B144" t="s">
        <v>75</v>
      </c>
      <c r="C144" t="s">
        <v>75</v>
      </c>
      <c r="D144" t="s">
        <v>2640</v>
      </c>
      <c r="E144" t="s">
        <v>2715</v>
      </c>
      <c r="F144" t="s">
        <v>365</v>
      </c>
    </row>
    <row r="145" spans="1:6" x14ac:dyDescent="0.25">
      <c r="A145" t="s">
        <v>511</v>
      </c>
      <c r="B145" t="s">
        <v>2921</v>
      </c>
      <c r="C145" t="s">
        <v>2918</v>
      </c>
      <c r="D145" t="s">
        <v>2639</v>
      </c>
      <c r="E145" t="s">
        <v>2701</v>
      </c>
      <c r="F145" t="s">
        <v>335</v>
      </c>
    </row>
    <row r="146" spans="1:6" x14ac:dyDescent="0.25">
      <c r="A146" t="s">
        <v>511</v>
      </c>
      <c r="B146" t="s">
        <v>2921</v>
      </c>
      <c r="C146" t="s">
        <v>27</v>
      </c>
      <c r="D146" t="s">
        <v>2930</v>
      </c>
      <c r="E146" t="s">
        <v>274</v>
      </c>
      <c r="F146" t="s">
        <v>371</v>
      </c>
    </row>
    <row r="147" spans="1:6" x14ac:dyDescent="0.25">
      <c r="A147" t="s">
        <v>511</v>
      </c>
      <c r="B147" t="s">
        <v>2921</v>
      </c>
      <c r="C147" t="s">
        <v>2921</v>
      </c>
      <c r="D147" t="s">
        <v>2644</v>
      </c>
      <c r="E147" t="s">
        <v>2726</v>
      </c>
      <c r="F147" t="s">
        <v>404</v>
      </c>
    </row>
    <row r="148" spans="1:6" x14ac:dyDescent="0.25">
      <c r="A148" t="s">
        <v>511</v>
      </c>
      <c r="B148" t="s">
        <v>2921</v>
      </c>
      <c r="C148" t="s">
        <v>191</v>
      </c>
      <c r="D148" t="s">
        <v>191</v>
      </c>
      <c r="E148" t="s">
        <v>209</v>
      </c>
      <c r="F148" t="s">
        <v>338</v>
      </c>
    </row>
    <row r="149" spans="1:6" x14ac:dyDescent="0.25">
      <c r="A149" t="s">
        <v>511</v>
      </c>
      <c r="B149" t="s">
        <v>2919</v>
      </c>
      <c r="C149" t="s">
        <v>2919</v>
      </c>
      <c r="D149" t="s">
        <v>2653</v>
      </c>
      <c r="E149" t="s">
        <v>2727</v>
      </c>
      <c r="F149" t="s">
        <v>407</v>
      </c>
    </row>
    <row r="150" spans="1:6" x14ac:dyDescent="0.25">
      <c r="A150" t="s">
        <v>511</v>
      </c>
      <c r="B150" t="s">
        <v>2919</v>
      </c>
      <c r="C150" t="s">
        <v>2919</v>
      </c>
      <c r="D150" t="s">
        <v>2654</v>
      </c>
      <c r="E150" t="s">
        <v>101</v>
      </c>
      <c r="F150" t="s">
        <v>378</v>
      </c>
    </row>
    <row r="151" spans="1:6" x14ac:dyDescent="0.25">
      <c r="A151" t="s">
        <v>511</v>
      </c>
      <c r="B151" t="s">
        <v>2919</v>
      </c>
      <c r="C151" t="s">
        <v>2919</v>
      </c>
      <c r="D151" t="s">
        <v>2654</v>
      </c>
      <c r="E151" t="s">
        <v>2727</v>
      </c>
      <c r="F151" t="s">
        <v>401</v>
      </c>
    </row>
    <row r="152" spans="1:6" x14ac:dyDescent="0.25">
      <c r="A152" t="s">
        <v>511</v>
      </c>
      <c r="B152" t="s">
        <v>2928</v>
      </c>
      <c r="C152" t="s">
        <v>2916</v>
      </c>
      <c r="D152" t="s">
        <v>2656</v>
      </c>
      <c r="E152" t="s">
        <v>101</v>
      </c>
      <c r="F152" t="s">
        <v>385</v>
      </c>
    </row>
    <row r="153" spans="1:6" x14ac:dyDescent="0.25">
      <c r="A153" t="s">
        <v>511</v>
      </c>
      <c r="B153" t="s">
        <v>2928</v>
      </c>
      <c r="C153" t="s">
        <v>2916</v>
      </c>
      <c r="D153" t="s">
        <v>2656</v>
      </c>
      <c r="E153" t="s">
        <v>2731</v>
      </c>
      <c r="F153" t="s">
        <v>382</v>
      </c>
    </row>
    <row r="154" spans="1:6" x14ac:dyDescent="0.25">
      <c r="A154" t="s">
        <v>511</v>
      </c>
      <c r="B154" t="s">
        <v>2928</v>
      </c>
      <c r="C154" t="s">
        <v>2916</v>
      </c>
      <c r="D154" t="s">
        <v>2656</v>
      </c>
      <c r="E154" t="s">
        <v>2734</v>
      </c>
      <c r="F154" t="s">
        <v>362</v>
      </c>
    </row>
    <row r="155" spans="1:6" x14ac:dyDescent="0.25">
      <c r="A155" t="s">
        <v>511</v>
      </c>
      <c r="B155" t="s">
        <v>2928</v>
      </c>
      <c r="C155" t="s">
        <v>2916</v>
      </c>
      <c r="D155" t="s">
        <v>2638</v>
      </c>
      <c r="E155" t="s">
        <v>2703</v>
      </c>
      <c r="F155" t="s">
        <v>334</v>
      </c>
    </row>
    <row r="156" spans="1:6" x14ac:dyDescent="0.25">
      <c r="A156" t="s">
        <v>511</v>
      </c>
      <c r="B156" t="s">
        <v>2928</v>
      </c>
      <c r="C156" t="s">
        <v>2922</v>
      </c>
      <c r="D156" t="s">
        <v>2658</v>
      </c>
      <c r="E156" t="s">
        <v>2734</v>
      </c>
      <c r="F156" t="s">
        <v>359</v>
      </c>
    </row>
    <row r="157" spans="1:6" x14ac:dyDescent="0.25">
      <c r="A157" t="s">
        <v>551</v>
      </c>
      <c r="B157" t="s">
        <v>2935</v>
      </c>
      <c r="C157" t="s">
        <v>2935</v>
      </c>
      <c r="D157" t="s">
        <v>247</v>
      </c>
      <c r="E157" t="s">
        <v>2153</v>
      </c>
      <c r="F157" t="s">
        <v>247</v>
      </c>
    </row>
    <row r="158" spans="1:6" x14ac:dyDescent="0.25">
      <c r="A158" t="s">
        <v>555</v>
      </c>
      <c r="B158" t="s">
        <v>2935</v>
      </c>
      <c r="C158" t="s">
        <v>2935</v>
      </c>
      <c r="D158" t="s">
        <v>247</v>
      </c>
      <c r="E158" t="s">
        <v>2153</v>
      </c>
      <c r="F158" t="s">
        <v>247</v>
      </c>
    </row>
    <row r="159" spans="1:6" x14ac:dyDescent="0.25">
      <c r="A159" t="s">
        <v>715</v>
      </c>
      <c r="B159" t="s">
        <v>2927</v>
      </c>
      <c r="C159" t="s">
        <v>2914</v>
      </c>
      <c r="D159" t="s">
        <v>2637</v>
      </c>
      <c r="E159" t="s">
        <v>2712</v>
      </c>
      <c r="F159" t="s">
        <v>488</v>
      </c>
    </row>
    <row r="160" spans="1:6" x14ac:dyDescent="0.25">
      <c r="A160" t="s">
        <v>715</v>
      </c>
      <c r="B160" t="s">
        <v>2927</v>
      </c>
      <c r="C160" t="s">
        <v>2917</v>
      </c>
      <c r="D160" t="s">
        <v>490</v>
      </c>
      <c r="E160" t="s">
        <v>2712</v>
      </c>
      <c r="F160" t="s">
        <v>489</v>
      </c>
    </row>
    <row r="161" spans="1:6" x14ac:dyDescent="0.25">
      <c r="A161" t="s">
        <v>715</v>
      </c>
      <c r="B161" t="s">
        <v>2927</v>
      </c>
      <c r="C161" t="s">
        <v>2917</v>
      </c>
      <c r="D161" t="s">
        <v>1206</v>
      </c>
      <c r="E161" t="s">
        <v>2715</v>
      </c>
      <c r="F161" t="s">
        <v>493</v>
      </c>
    </row>
    <row r="162" spans="1:6" x14ac:dyDescent="0.25">
      <c r="A162" t="s">
        <v>715</v>
      </c>
      <c r="B162" t="s">
        <v>2927</v>
      </c>
      <c r="C162" t="s">
        <v>2917</v>
      </c>
      <c r="D162" t="s">
        <v>748</v>
      </c>
      <c r="E162" t="s">
        <v>2715</v>
      </c>
      <c r="F162" t="s">
        <v>492</v>
      </c>
    </row>
    <row r="163" spans="1:6" x14ac:dyDescent="0.25">
      <c r="A163" t="s">
        <v>715</v>
      </c>
      <c r="B163" t="s">
        <v>2927</v>
      </c>
      <c r="C163" t="s">
        <v>2917</v>
      </c>
      <c r="D163" t="s">
        <v>2684</v>
      </c>
      <c r="E163" t="s">
        <v>2720</v>
      </c>
      <c r="F163" t="s">
        <v>496</v>
      </c>
    </row>
    <row r="164" spans="1:6" x14ac:dyDescent="0.25">
      <c r="A164" t="s">
        <v>715</v>
      </c>
      <c r="B164" t="s">
        <v>2921</v>
      </c>
      <c r="C164" t="s">
        <v>2918</v>
      </c>
      <c r="D164" t="s">
        <v>2639</v>
      </c>
      <c r="E164" t="s">
        <v>2699</v>
      </c>
      <c r="F164" t="s">
        <v>479</v>
      </c>
    </row>
    <row r="165" spans="1:6" x14ac:dyDescent="0.25">
      <c r="A165" t="s">
        <v>715</v>
      </c>
      <c r="B165" t="s">
        <v>2921</v>
      </c>
      <c r="C165" t="s">
        <v>2918</v>
      </c>
      <c r="D165" t="s">
        <v>2639</v>
      </c>
      <c r="E165" t="s">
        <v>2726</v>
      </c>
      <c r="F165" t="s">
        <v>478</v>
      </c>
    </row>
    <row r="166" spans="1:6" x14ac:dyDescent="0.25">
      <c r="A166" t="s">
        <v>715</v>
      </c>
      <c r="B166" t="s">
        <v>2921</v>
      </c>
      <c r="C166" t="s">
        <v>2921</v>
      </c>
      <c r="D166" t="s">
        <v>2644</v>
      </c>
      <c r="E166" t="s">
        <v>2700</v>
      </c>
      <c r="F166" t="s">
        <v>499</v>
      </c>
    </row>
    <row r="167" spans="1:6" x14ac:dyDescent="0.25">
      <c r="A167" t="s">
        <v>715</v>
      </c>
      <c r="B167" t="s">
        <v>2921</v>
      </c>
      <c r="C167" t="s">
        <v>191</v>
      </c>
      <c r="D167" t="s">
        <v>191</v>
      </c>
      <c r="E167" t="s">
        <v>209</v>
      </c>
      <c r="F167" t="s">
        <v>338</v>
      </c>
    </row>
    <row r="168" spans="1:6" x14ac:dyDescent="0.25">
      <c r="A168" t="s">
        <v>715</v>
      </c>
      <c r="B168" t="s">
        <v>2919</v>
      </c>
      <c r="C168" t="s">
        <v>2919</v>
      </c>
      <c r="D168" t="s">
        <v>2653</v>
      </c>
      <c r="E168" t="s">
        <v>85</v>
      </c>
      <c r="F168" t="s">
        <v>498</v>
      </c>
    </row>
    <row r="169" spans="1:6" x14ac:dyDescent="0.25">
      <c r="A169" t="s">
        <v>715</v>
      </c>
      <c r="B169" t="s">
        <v>2928</v>
      </c>
      <c r="C169" t="s">
        <v>2916</v>
      </c>
      <c r="D169" t="s">
        <v>2656</v>
      </c>
      <c r="E169" t="s">
        <v>2710</v>
      </c>
      <c r="F169" t="s">
        <v>482</v>
      </c>
    </row>
    <row r="170" spans="1:6" x14ac:dyDescent="0.25">
      <c r="A170" t="s">
        <v>715</v>
      </c>
      <c r="B170" t="s">
        <v>2928</v>
      </c>
      <c r="C170" t="s">
        <v>2916</v>
      </c>
      <c r="D170" t="s">
        <v>2656</v>
      </c>
      <c r="E170" t="s">
        <v>128</v>
      </c>
      <c r="F170" t="s">
        <v>485</v>
      </c>
    </row>
    <row r="171" spans="1:6" x14ac:dyDescent="0.25">
      <c r="A171" t="s">
        <v>726</v>
      </c>
      <c r="B171" t="s">
        <v>2927</v>
      </c>
      <c r="C171" t="s">
        <v>2914</v>
      </c>
      <c r="D171" t="s">
        <v>2637</v>
      </c>
      <c r="E171" t="s">
        <v>2700</v>
      </c>
      <c r="F171" t="s">
        <v>505</v>
      </c>
    </row>
    <row r="172" spans="1:6" x14ac:dyDescent="0.25">
      <c r="A172" t="s">
        <v>726</v>
      </c>
      <c r="B172" t="s">
        <v>2927</v>
      </c>
      <c r="C172" t="s">
        <v>2914</v>
      </c>
      <c r="D172" t="s">
        <v>2637</v>
      </c>
      <c r="E172" t="s">
        <v>2721</v>
      </c>
      <c r="F172" t="s">
        <v>516</v>
      </c>
    </row>
    <row r="173" spans="1:6" x14ac:dyDescent="0.25">
      <c r="A173" t="s">
        <v>726</v>
      </c>
      <c r="B173" t="s">
        <v>2927</v>
      </c>
      <c r="C173" t="s">
        <v>2917</v>
      </c>
      <c r="D173" t="s">
        <v>2659</v>
      </c>
      <c r="E173" t="s">
        <v>2700</v>
      </c>
      <c r="F173" t="s">
        <v>507</v>
      </c>
    </row>
    <row r="174" spans="1:6" x14ac:dyDescent="0.25">
      <c r="A174" t="s">
        <v>726</v>
      </c>
      <c r="B174" t="s">
        <v>2927</v>
      </c>
      <c r="C174" t="s">
        <v>2917</v>
      </c>
      <c r="D174" t="s">
        <v>2659</v>
      </c>
      <c r="E174" t="s">
        <v>2699</v>
      </c>
      <c r="F174" t="s">
        <v>506</v>
      </c>
    </row>
    <row r="175" spans="1:6" x14ac:dyDescent="0.25">
      <c r="A175" t="s">
        <v>726</v>
      </c>
      <c r="B175" t="s">
        <v>75</v>
      </c>
      <c r="C175" t="s">
        <v>75</v>
      </c>
      <c r="D175" t="s">
        <v>2660</v>
      </c>
      <c r="E175" t="s">
        <v>2711</v>
      </c>
      <c r="F175" t="s">
        <v>501</v>
      </c>
    </row>
    <row r="176" spans="1:6" x14ac:dyDescent="0.25">
      <c r="A176" t="s">
        <v>726</v>
      </c>
      <c r="B176" t="s">
        <v>75</v>
      </c>
      <c r="C176" t="s">
        <v>75</v>
      </c>
      <c r="D176" t="s">
        <v>1212</v>
      </c>
      <c r="E176" t="s">
        <v>274</v>
      </c>
      <c r="F176" t="s">
        <v>504</v>
      </c>
    </row>
    <row r="177" spans="1:6" x14ac:dyDescent="0.25">
      <c r="A177" t="s">
        <v>726</v>
      </c>
      <c r="B177" t="s">
        <v>2921</v>
      </c>
      <c r="C177" t="s">
        <v>2918</v>
      </c>
      <c r="D177" t="s">
        <v>2639</v>
      </c>
      <c r="E177" t="s">
        <v>2726</v>
      </c>
      <c r="F177" t="s">
        <v>478</v>
      </c>
    </row>
    <row r="178" spans="1:6" x14ac:dyDescent="0.25">
      <c r="A178" t="s">
        <v>726</v>
      </c>
      <c r="B178" t="s">
        <v>2921</v>
      </c>
      <c r="C178" t="s">
        <v>2918</v>
      </c>
      <c r="D178" t="s">
        <v>2639</v>
      </c>
      <c r="E178" t="s">
        <v>2726</v>
      </c>
      <c r="F178" t="s">
        <v>500</v>
      </c>
    </row>
    <row r="179" spans="1:6" x14ac:dyDescent="0.25">
      <c r="A179" t="s">
        <v>726</v>
      </c>
      <c r="B179" t="s">
        <v>2921</v>
      </c>
      <c r="C179" t="s">
        <v>2918</v>
      </c>
      <c r="D179" t="s">
        <v>2639</v>
      </c>
      <c r="E179" t="s">
        <v>162</v>
      </c>
      <c r="F179" t="s">
        <v>415</v>
      </c>
    </row>
    <row r="180" spans="1:6" x14ac:dyDescent="0.25">
      <c r="A180" t="s">
        <v>726</v>
      </c>
      <c r="B180" t="s">
        <v>2921</v>
      </c>
      <c r="C180" t="s">
        <v>2921</v>
      </c>
      <c r="D180" t="s">
        <v>2644</v>
      </c>
      <c r="E180" t="s">
        <v>2715</v>
      </c>
      <c r="F180" t="s">
        <v>514</v>
      </c>
    </row>
    <row r="181" spans="1:6" x14ac:dyDescent="0.25">
      <c r="A181" t="s">
        <v>726</v>
      </c>
      <c r="B181" t="s">
        <v>2921</v>
      </c>
      <c r="C181" t="s">
        <v>191</v>
      </c>
      <c r="D181" t="s">
        <v>191</v>
      </c>
      <c r="E181" t="s">
        <v>209</v>
      </c>
      <c r="F181" t="s">
        <v>338</v>
      </c>
    </row>
    <row r="182" spans="1:6" x14ac:dyDescent="0.25">
      <c r="A182" t="s">
        <v>726</v>
      </c>
      <c r="B182" t="s">
        <v>2919</v>
      </c>
      <c r="C182" t="s">
        <v>2919</v>
      </c>
      <c r="D182" t="s">
        <v>2648</v>
      </c>
      <c r="E182" t="s">
        <v>300</v>
      </c>
      <c r="F182" t="s">
        <v>509</v>
      </c>
    </row>
    <row r="183" spans="1:6" x14ac:dyDescent="0.25">
      <c r="A183" t="s">
        <v>726</v>
      </c>
      <c r="B183" t="s">
        <v>2928</v>
      </c>
      <c r="C183" t="s">
        <v>2916</v>
      </c>
      <c r="D183" t="s">
        <v>2638</v>
      </c>
      <c r="E183" t="s">
        <v>2703</v>
      </c>
      <c r="F183" t="s">
        <v>334</v>
      </c>
    </row>
    <row r="184" spans="1:6" x14ac:dyDescent="0.25">
      <c r="A184" t="s">
        <v>787</v>
      </c>
      <c r="B184" t="s">
        <v>2927</v>
      </c>
      <c r="C184" t="s">
        <v>2917</v>
      </c>
      <c r="D184" t="s">
        <v>2679</v>
      </c>
      <c r="E184" t="s">
        <v>108</v>
      </c>
      <c r="F184" t="s">
        <v>519</v>
      </c>
    </row>
    <row r="185" spans="1:6" x14ac:dyDescent="0.25">
      <c r="A185" t="s">
        <v>787</v>
      </c>
      <c r="B185" t="s">
        <v>2921</v>
      </c>
      <c r="C185" t="s">
        <v>2918</v>
      </c>
      <c r="D185" t="s">
        <v>2639</v>
      </c>
      <c r="E185" t="s">
        <v>79</v>
      </c>
      <c r="F185" t="s">
        <v>517</v>
      </c>
    </row>
    <row r="186" spans="1:6" x14ac:dyDescent="0.25">
      <c r="A186" t="s">
        <v>787</v>
      </c>
      <c r="B186" t="s">
        <v>2921</v>
      </c>
      <c r="C186" t="s">
        <v>2918</v>
      </c>
      <c r="D186" t="s">
        <v>2639</v>
      </c>
      <c r="E186" t="s">
        <v>2700</v>
      </c>
      <c r="F186" t="s">
        <v>436</v>
      </c>
    </row>
    <row r="187" spans="1:6" x14ac:dyDescent="0.25">
      <c r="A187" t="s">
        <v>787</v>
      </c>
      <c r="B187" t="s">
        <v>2921</v>
      </c>
      <c r="C187" t="s">
        <v>2921</v>
      </c>
      <c r="D187" t="s">
        <v>2644</v>
      </c>
      <c r="E187" t="s">
        <v>295</v>
      </c>
      <c r="F187" t="s">
        <v>525</v>
      </c>
    </row>
    <row r="188" spans="1:6" x14ac:dyDescent="0.25">
      <c r="A188" t="s">
        <v>787</v>
      </c>
      <c r="B188" t="s">
        <v>2921</v>
      </c>
      <c r="C188" t="s">
        <v>191</v>
      </c>
      <c r="D188" t="s">
        <v>191</v>
      </c>
      <c r="E188" t="s">
        <v>209</v>
      </c>
      <c r="F188" t="s">
        <v>338</v>
      </c>
    </row>
    <row r="189" spans="1:6" x14ac:dyDescent="0.25">
      <c r="A189" t="s">
        <v>787</v>
      </c>
      <c r="B189" t="s">
        <v>2919</v>
      </c>
      <c r="C189" t="s">
        <v>2919</v>
      </c>
      <c r="D189" t="s">
        <v>2653</v>
      </c>
      <c r="E189" t="s">
        <v>2731</v>
      </c>
      <c r="F189" t="s">
        <v>521</v>
      </c>
    </row>
    <row r="190" spans="1:6" x14ac:dyDescent="0.25">
      <c r="A190" t="s">
        <v>787</v>
      </c>
      <c r="B190" t="s">
        <v>2919</v>
      </c>
      <c r="C190" t="s">
        <v>2919</v>
      </c>
      <c r="D190" t="s">
        <v>2653</v>
      </c>
      <c r="E190" t="s">
        <v>2742</v>
      </c>
      <c r="F190" t="s">
        <v>522</v>
      </c>
    </row>
    <row r="191" spans="1:6" x14ac:dyDescent="0.25">
      <c r="A191" t="s">
        <v>787</v>
      </c>
      <c r="B191" t="s">
        <v>2928</v>
      </c>
      <c r="C191" t="s">
        <v>2916</v>
      </c>
      <c r="D191" t="s">
        <v>2656</v>
      </c>
      <c r="E191" t="s">
        <v>2741</v>
      </c>
      <c r="F191" t="s">
        <v>518</v>
      </c>
    </row>
    <row r="192" spans="1:6" x14ac:dyDescent="0.25">
      <c r="A192" t="s">
        <v>787</v>
      </c>
      <c r="B192" t="s">
        <v>2928</v>
      </c>
      <c r="C192" t="s">
        <v>2916</v>
      </c>
      <c r="D192" t="s">
        <v>2656</v>
      </c>
      <c r="E192" t="s">
        <v>2710</v>
      </c>
      <c r="F192" t="s">
        <v>482</v>
      </c>
    </row>
    <row r="193" spans="1:6" x14ac:dyDescent="0.25">
      <c r="A193" t="s">
        <v>841</v>
      </c>
      <c r="B193" t="s">
        <v>2927</v>
      </c>
      <c r="C193" t="s">
        <v>2914</v>
      </c>
      <c r="D193" t="s">
        <v>2637</v>
      </c>
      <c r="E193" t="s">
        <v>71</v>
      </c>
      <c r="F193" t="s">
        <v>528</v>
      </c>
    </row>
    <row r="194" spans="1:6" x14ac:dyDescent="0.25">
      <c r="A194" t="s">
        <v>841</v>
      </c>
      <c r="B194" t="s">
        <v>2927</v>
      </c>
      <c r="C194" t="s">
        <v>2917</v>
      </c>
      <c r="D194" t="s">
        <v>2659</v>
      </c>
      <c r="E194" t="s">
        <v>108</v>
      </c>
      <c r="F194" t="s">
        <v>534</v>
      </c>
    </row>
    <row r="195" spans="1:6" x14ac:dyDescent="0.25">
      <c r="A195" t="s">
        <v>841</v>
      </c>
      <c r="B195" t="s">
        <v>2927</v>
      </c>
      <c r="C195" t="s">
        <v>2917</v>
      </c>
      <c r="D195" t="s">
        <v>2659</v>
      </c>
      <c r="E195" t="s">
        <v>2744</v>
      </c>
      <c r="F195" t="s">
        <v>531</v>
      </c>
    </row>
    <row r="196" spans="1:6" x14ac:dyDescent="0.25">
      <c r="A196" t="s">
        <v>841</v>
      </c>
      <c r="B196" t="s">
        <v>2927</v>
      </c>
      <c r="C196" t="s">
        <v>2917</v>
      </c>
      <c r="D196" t="s">
        <v>2684</v>
      </c>
      <c r="E196" t="s">
        <v>162</v>
      </c>
      <c r="F196" t="s">
        <v>537</v>
      </c>
    </row>
    <row r="197" spans="1:6" x14ac:dyDescent="0.25">
      <c r="A197" t="s">
        <v>841</v>
      </c>
      <c r="B197" t="s">
        <v>2921</v>
      </c>
      <c r="C197" t="s">
        <v>2918</v>
      </c>
      <c r="D197" t="s">
        <v>2639</v>
      </c>
      <c r="E197" t="s">
        <v>79</v>
      </c>
      <c r="F197" t="s">
        <v>517</v>
      </c>
    </row>
    <row r="198" spans="1:6" x14ac:dyDescent="0.25">
      <c r="A198" t="s">
        <v>841</v>
      </c>
      <c r="B198" t="s">
        <v>2921</v>
      </c>
      <c r="C198" t="s">
        <v>2918</v>
      </c>
      <c r="D198" t="s">
        <v>2639</v>
      </c>
      <c r="E198" t="s">
        <v>2743</v>
      </c>
      <c r="F198" t="s">
        <v>526</v>
      </c>
    </row>
    <row r="199" spans="1:6" x14ac:dyDescent="0.25">
      <c r="A199" t="s">
        <v>841</v>
      </c>
      <c r="B199" t="s">
        <v>2921</v>
      </c>
      <c r="C199" t="s">
        <v>191</v>
      </c>
      <c r="D199" t="s">
        <v>191</v>
      </c>
      <c r="E199" t="s">
        <v>209</v>
      </c>
      <c r="F199" t="s">
        <v>338</v>
      </c>
    </row>
    <row r="200" spans="1:6" x14ac:dyDescent="0.25">
      <c r="A200" t="s">
        <v>841</v>
      </c>
      <c r="B200" t="s">
        <v>2919</v>
      </c>
      <c r="C200" t="s">
        <v>2919</v>
      </c>
      <c r="D200" t="s">
        <v>2653</v>
      </c>
      <c r="E200" t="s">
        <v>2742</v>
      </c>
      <c r="F200" t="s">
        <v>539</v>
      </c>
    </row>
    <row r="201" spans="1:6" x14ac:dyDescent="0.25">
      <c r="A201" t="s">
        <v>841</v>
      </c>
      <c r="B201" t="s">
        <v>2928</v>
      </c>
      <c r="C201" t="s">
        <v>2916</v>
      </c>
      <c r="D201" t="s">
        <v>2656</v>
      </c>
      <c r="E201" t="s">
        <v>128</v>
      </c>
      <c r="F201" t="s">
        <v>485</v>
      </c>
    </row>
    <row r="202" spans="1:6" x14ac:dyDescent="0.25">
      <c r="A202" t="s">
        <v>841</v>
      </c>
      <c r="B202" t="s">
        <v>2928</v>
      </c>
      <c r="C202" t="s">
        <v>2916</v>
      </c>
      <c r="D202" t="s">
        <v>2656</v>
      </c>
      <c r="E202" t="s">
        <v>2703</v>
      </c>
      <c r="F202" t="s">
        <v>527</v>
      </c>
    </row>
    <row r="203" spans="1:6" x14ac:dyDescent="0.25">
      <c r="A203" t="s">
        <v>879</v>
      </c>
      <c r="B203" t="s">
        <v>2927</v>
      </c>
      <c r="C203" t="s">
        <v>2914</v>
      </c>
      <c r="D203" t="s">
        <v>2637</v>
      </c>
      <c r="E203" t="s">
        <v>2745</v>
      </c>
      <c r="F203" t="s">
        <v>542</v>
      </c>
    </row>
    <row r="204" spans="1:6" x14ac:dyDescent="0.25">
      <c r="A204" t="s">
        <v>879</v>
      </c>
      <c r="B204" t="s">
        <v>2927</v>
      </c>
      <c r="C204" t="s">
        <v>2914</v>
      </c>
      <c r="D204" t="s">
        <v>2637</v>
      </c>
      <c r="E204" t="s">
        <v>2726</v>
      </c>
      <c r="F204" t="s">
        <v>545</v>
      </c>
    </row>
    <row r="205" spans="1:6" x14ac:dyDescent="0.25">
      <c r="A205" t="s">
        <v>879</v>
      </c>
      <c r="B205" t="s">
        <v>2927</v>
      </c>
      <c r="C205" t="s">
        <v>2917</v>
      </c>
      <c r="D205" t="s">
        <v>2659</v>
      </c>
      <c r="E205" t="s">
        <v>2715</v>
      </c>
      <c r="F205" t="s">
        <v>547</v>
      </c>
    </row>
    <row r="206" spans="1:6" x14ac:dyDescent="0.25">
      <c r="A206" t="s">
        <v>879</v>
      </c>
      <c r="B206" t="s">
        <v>2927</v>
      </c>
      <c r="C206" t="s">
        <v>2917</v>
      </c>
      <c r="D206" t="s">
        <v>2659</v>
      </c>
      <c r="E206" t="s">
        <v>2746</v>
      </c>
      <c r="F206" t="s">
        <v>546</v>
      </c>
    </row>
    <row r="207" spans="1:6" x14ac:dyDescent="0.25">
      <c r="A207" t="s">
        <v>879</v>
      </c>
      <c r="B207" t="s">
        <v>75</v>
      </c>
      <c r="C207" t="s">
        <v>75</v>
      </c>
      <c r="D207" t="s">
        <v>2640</v>
      </c>
      <c r="E207" t="s">
        <v>2711</v>
      </c>
      <c r="F207" t="s">
        <v>419</v>
      </c>
    </row>
    <row r="208" spans="1:6" x14ac:dyDescent="0.25">
      <c r="A208" t="s">
        <v>879</v>
      </c>
      <c r="B208" t="s">
        <v>2921</v>
      </c>
      <c r="C208" t="s">
        <v>2918</v>
      </c>
      <c r="D208" t="s">
        <v>2639</v>
      </c>
      <c r="E208" t="s">
        <v>2700</v>
      </c>
      <c r="F208" t="s">
        <v>540</v>
      </c>
    </row>
    <row r="209" spans="1:6" x14ac:dyDescent="0.25">
      <c r="A209" t="s">
        <v>879</v>
      </c>
      <c r="B209" t="s">
        <v>2921</v>
      </c>
      <c r="C209" t="s">
        <v>2918</v>
      </c>
      <c r="D209" t="s">
        <v>2639</v>
      </c>
      <c r="E209" t="s">
        <v>2726</v>
      </c>
      <c r="F209" t="s">
        <v>478</v>
      </c>
    </row>
    <row r="210" spans="1:6" x14ac:dyDescent="0.25">
      <c r="A210" t="s">
        <v>879</v>
      </c>
      <c r="B210" t="s">
        <v>2921</v>
      </c>
      <c r="C210" t="s">
        <v>2921</v>
      </c>
      <c r="D210" t="s">
        <v>2644</v>
      </c>
      <c r="E210" t="s">
        <v>108</v>
      </c>
      <c r="F210" t="s">
        <v>549</v>
      </c>
    </row>
    <row r="211" spans="1:6" x14ac:dyDescent="0.25">
      <c r="A211" t="s">
        <v>879</v>
      </c>
      <c r="B211" t="s">
        <v>2921</v>
      </c>
      <c r="C211" t="s">
        <v>191</v>
      </c>
      <c r="D211" t="s">
        <v>191</v>
      </c>
      <c r="E211" t="s">
        <v>209</v>
      </c>
      <c r="F211" t="s">
        <v>338</v>
      </c>
    </row>
    <row r="212" spans="1:6" x14ac:dyDescent="0.25">
      <c r="A212" t="s">
        <v>879</v>
      </c>
      <c r="B212" t="s">
        <v>2919</v>
      </c>
      <c r="C212" t="s">
        <v>2919</v>
      </c>
      <c r="D212" t="s">
        <v>2653</v>
      </c>
      <c r="E212" t="s">
        <v>2747</v>
      </c>
      <c r="F212" t="s">
        <v>548</v>
      </c>
    </row>
    <row r="213" spans="1:6" x14ac:dyDescent="0.25">
      <c r="A213" t="s">
        <v>879</v>
      </c>
      <c r="B213" t="s">
        <v>2928</v>
      </c>
      <c r="C213" t="s">
        <v>2916</v>
      </c>
      <c r="D213" t="s">
        <v>2656</v>
      </c>
      <c r="E213" t="s">
        <v>2703</v>
      </c>
      <c r="F213" t="s">
        <v>541</v>
      </c>
    </row>
    <row r="214" spans="1:6" x14ac:dyDescent="0.25">
      <c r="A214" t="s">
        <v>558</v>
      </c>
      <c r="B214" t="s">
        <v>2927</v>
      </c>
      <c r="C214" t="s">
        <v>2914</v>
      </c>
      <c r="D214" t="s">
        <v>2637</v>
      </c>
      <c r="E214" t="s">
        <v>2715</v>
      </c>
      <c r="F214" t="s">
        <v>432</v>
      </c>
    </row>
    <row r="215" spans="1:6" x14ac:dyDescent="0.25">
      <c r="A215" t="s">
        <v>558</v>
      </c>
      <c r="B215" t="s">
        <v>2927</v>
      </c>
      <c r="C215" t="s">
        <v>2914</v>
      </c>
      <c r="D215" t="s">
        <v>2637</v>
      </c>
      <c r="E215" t="s">
        <v>2705</v>
      </c>
      <c r="F215" t="s">
        <v>423</v>
      </c>
    </row>
    <row r="216" spans="1:6" x14ac:dyDescent="0.25">
      <c r="A216" t="s">
        <v>558</v>
      </c>
      <c r="B216" t="s">
        <v>75</v>
      </c>
      <c r="C216" t="s">
        <v>75</v>
      </c>
      <c r="D216" t="s">
        <v>2640</v>
      </c>
      <c r="E216" t="s">
        <v>2711</v>
      </c>
      <c r="F216" t="s">
        <v>419</v>
      </c>
    </row>
    <row r="217" spans="1:6" x14ac:dyDescent="0.25">
      <c r="A217" t="s">
        <v>558</v>
      </c>
      <c r="B217" t="s">
        <v>75</v>
      </c>
      <c r="C217" t="s">
        <v>75</v>
      </c>
      <c r="D217" t="s">
        <v>2640</v>
      </c>
      <c r="E217" t="s">
        <v>2705</v>
      </c>
      <c r="F217" t="s">
        <v>420</v>
      </c>
    </row>
    <row r="218" spans="1:6" x14ac:dyDescent="0.25">
      <c r="A218" t="s">
        <v>558</v>
      </c>
      <c r="B218" t="s">
        <v>2921</v>
      </c>
      <c r="C218" t="s">
        <v>2918</v>
      </c>
      <c r="D218" t="s">
        <v>2639</v>
      </c>
      <c r="E218" t="s">
        <v>2700</v>
      </c>
      <c r="F218" t="s">
        <v>412</v>
      </c>
    </row>
    <row r="219" spans="1:6" x14ac:dyDescent="0.25">
      <c r="A219" t="s">
        <v>558</v>
      </c>
      <c r="B219" t="s">
        <v>2921</v>
      </c>
      <c r="C219" t="s">
        <v>2918</v>
      </c>
      <c r="D219" t="s">
        <v>2639</v>
      </c>
      <c r="E219" t="s">
        <v>162</v>
      </c>
      <c r="F219" t="s">
        <v>415</v>
      </c>
    </row>
    <row r="220" spans="1:6" x14ac:dyDescent="0.25">
      <c r="A220" t="s">
        <v>558</v>
      </c>
      <c r="B220" t="s">
        <v>2921</v>
      </c>
      <c r="C220" t="s">
        <v>27</v>
      </c>
      <c r="D220" t="s">
        <v>2930</v>
      </c>
      <c r="E220" t="s">
        <v>274</v>
      </c>
      <c r="F220" t="s">
        <v>371</v>
      </c>
    </row>
    <row r="221" spans="1:6" x14ac:dyDescent="0.25">
      <c r="A221" t="s">
        <v>558</v>
      </c>
      <c r="B221" t="s">
        <v>2921</v>
      </c>
      <c r="C221" t="s">
        <v>2920</v>
      </c>
      <c r="D221" t="s">
        <v>2643</v>
      </c>
      <c r="E221" t="s">
        <v>2703</v>
      </c>
      <c r="F221" t="s">
        <v>411</v>
      </c>
    </row>
    <row r="222" spans="1:6" x14ac:dyDescent="0.25">
      <c r="A222" t="s">
        <v>558</v>
      </c>
      <c r="B222" t="s">
        <v>2921</v>
      </c>
      <c r="C222" t="s">
        <v>2921</v>
      </c>
      <c r="D222" t="s">
        <v>2644</v>
      </c>
      <c r="E222" t="s">
        <v>2726</v>
      </c>
      <c r="F222" t="s">
        <v>429</v>
      </c>
    </row>
    <row r="223" spans="1:6" x14ac:dyDescent="0.25">
      <c r="A223" t="s">
        <v>558</v>
      </c>
      <c r="B223" t="s">
        <v>2919</v>
      </c>
      <c r="C223" t="s">
        <v>2919</v>
      </c>
      <c r="D223" t="s">
        <v>2661</v>
      </c>
      <c r="E223" t="s">
        <v>2736</v>
      </c>
      <c r="F223" t="s">
        <v>424</v>
      </c>
    </row>
    <row r="224" spans="1:6" x14ac:dyDescent="0.25">
      <c r="A224" t="s">
        <v>558</v>
      </c>
      <c r="B224" t="s">
        <v>2919</v>
      </c>
      <c r="C224" t="s">
        <v>2919</v>
      </c>
      <c r="D224" t="s">
        <v>2653</v>
      </c>
      <c r="E224" t="s">
        <v>119</v>
      </c>
      <c r="F224" t="s">
        <v>428</v>
      </c>
    </row>
    <row r="225" spans="1:6" x14ac:dyDescent="0.25">
      <c r="A225" t="s">
        <v>558</v>
      </c>
      <c r="B225" t="s">
        <v>2919</v>
      </c>
      <c r="C225" t="s">
        <v>2919</v>
      </c>
      <c r="D225" t="s">
        <v>2654</v>
      </c>
      <c r="E225" t="s">
        <v>2734</v>
      </c>
      <c r="F225" t="s">
        <v>427</v>
      </c>
    </row>
    <row r="226" spans="1:6" x14ac:dyDescent="0.25">
      <c r="A226" t="s">
        <v>558</v>
      </c>
      <c r="B226" t="s">
        <v>2928</v>
      </c>
      <c r="C226" t="s">
        <v>2916</v>
      </c>
      <c r="D226" t="s">
        <v>2656</v>
      </c>
      <c r="E226" t="s">
        <v>2734</v>
      </c>
      <c r="F226" t="s">
        <v>416</v>
      </c>
    </row>
    <row r="227" spans="1:6" x14ac:dyDescent="0.25">
      <c r="A227" t="s">
        <v>558</v>
      </c>
      <c r="B227" t="s">
        <v>2928</v>
      </c>
      <c r="C227" t="s">
        <v>2916</v>
      </c>
      <c r="D227" t="s">
        <v>2638</v>
      </c>
      <c r="E227" t="s">
        <v>2735</v>
      </c>
      <c r="F227" t="s">
        <v>410</v>
      </c>
    </row>
    <row r="228" spans="1:6" x14ac:dyDescent="0.25">
      <c r="A228" t="s">
        <v>613</v>
      </c>
      <c r="B228" t="s">
        <v>2927</v>
      </c>
      <c r="C228" t="s">
        <v>2914</v>
      </c>
      <c r="D228" t="s">
        <v>2637</v>
      </c>
      <c r="E228" t="s">
        <v>2715</v>
      </c>
      <c r="F228" t="s">
        <v>452</v>
      </c>
    </row>
    <row r="229" spans="1:6" x14ac:dyDescent="0.25">
      <c r="A229" t="s">
        <v>613</v>
      </c>
      <c r="B229" t="s">
        <v>2927</v>
      </c>
      <c r="C229" t="s">
        <v>2924</v>
      </c>
      <c r="D229" t="s">
        <v>2664</v>
      </c>
      <c r="E229" t="s">
        <v>2739</v>
      </c>
      <c r="F229" t="s">
        <v>445</v>
      </c>
    </row>
    <row r="230" spans="1:6" x14ac:dyDescent="0.25">
      <c r="A230" t="s">
        <v>613</v>
      </c>
      <c r="B230" t="s">
        <v>75</v>
      </c>
      <c r="C230" t="s">
        <v>75</v>
      </c>
      <c r="D230" t="s">
        <v>2640</v>
      </c>
      <c r="E230" t="s">
        <v>2738</v>
      </c>
      <c r="F230" t="s">
        <v>443</v>
      </c>
    </row>
    <row r="231" spans="1:6" x14ac:dyDescent="0.25">
      <c r="A231" t="s">
        <v>613</v>
      </c>
      <c r="B231" t="s">
        <v>2921</v>
      </c>
      <c r="C231" t="s">
        <v>2918</v>
      </c>
      <c r="D231" t="s">
        <v>2639</v>
      </c>
      <c r="E231" t="s">
        <v>2700</v>
      </c>
      <c r="F231" t="s">
        <v>436</v>
      </c>
    </row>
    <row r="232" spans="1:6" x14ac:dyDescent="0.25">
      <c r="A232" t="s">
        <v>613</v>
      </c>
      <c r="B232" t="s">
        <v>2921</v>
      </c>
      <c r="C232" t="s">
        <v>2918</v>
      </c>
      <c r="D232" t="s">
        <v>2639</v>
      </c>
      <c r="E232" t="s">
        <v>2700</v>
      </c>
      <c r="F232" t="s">
        <v>412</v>
      </c>
    </row>
    <row r="233" spans="1:6" x14ac:dyDescent="0.25">
      <c r="A233" t="s">
        <v>613</v>
      </c>
      <c r="B233" t="s">
        <v>2921</v>
      </c>
      <c r="C233" t="s">
        <v>2918</v>
      </c>
      <c r="D233" t="s">
        <v>2639</v>
      </c>
      <c r="E233" t="s">
        <v>108</v>
      </c>
      <c r="F233" t="s">
        <v>437</v>
      </c>
    </row>
    <row r="234" spans="1:6" x14ac:dyDescent="0.25">
      <c r="A234" t="s">
        <v>613</v>
      </c>
      <c r="B234" t="s">
        <v>2921</v>
      </c>
      <c r="C234" t="s">
        <v>27</v>
      </c>
      <c r="D234" t="s">
        <v>2930</v>
      </c>
      <c r="E234" t="s">
        <v>2712</v>
      </c>
      <c r="F234" t="s">
        <v>444</v>
      </c>
    </row>
    <row r="235" spans="1:6" x14ac:dyDescent="0.25">
      <c r="A235" t="s">
        <v>613</v>
      </c>
      <c r="B235" t="s">
        <v>2921</v>
      </c>
      <c r="C235" t="s">
        <v>2920</v>
      </c>
      <c r="D235" t="s">
        <v>2643</v>
      </c>
      <c r="E235" t="s">
        <v>2703</v>
      </c>
      <c r="F235" t="s">
        <v>411</v>
      </c>
    </row>
    <row r="236" spans="1:6" x14ac:dyDescent="0.25">
      <c r="A236" t="s">
        <v>613</v>
      </c>
      <c r="B236" t="s">
        <v>2921</v>
      </c>
      <c r="C236" t="s">
        <v>2921</v>
      </c>
      <c r="D236" t="s">
        <v>2644</v>
      </c>
      <c r="E236" t="s">
        <v>2699</v>
      </c>
      <c r="F236" t="s">
        <v>451</v>
      </c>
    </row>
    <row r="237" spans="1:6" x14ac:dyDescent="0.25">
      <c r="A237" t="s">
        <v>613</v>
      </c>
      <c r="B237" t="s">
        <v>2919</v>
      </c>
      <c r="C237" t="s">
        <v>2919</v>
      </c>
      <c r="D237" t="s">
        <v>2662</v>
      </c>
      <c r="E237" t="s">
        <v>101</v>
      </c>
      <c r="F237" t="s">
        <v>448</v>
      </c>
    </row>
    <row r="238" spans="1:6" x14ac:dyDescent="0.25">
      <c r="A238" t="s">
        <v>613</v>
      </c>
      <c r="B238" t="s">
        <v>2919</v>
      </c>
      <c r="C238" t="s">
        <v>2919</v>
      </c>
      <c r="D238" t="s">
        <v>2663</v>
      </c>
      <c r="E238" t="s">
        <v>286</v>
      </c>
      <c r="F238" t="s">
        <v>440</v>
      </c>
    </row>
    <row r="239" spans="1:6" x14ac:dyDescent="0.25">
      <c r="A239" t="s">
        <v>613</v>
      </c>
      <c r="B239" t="s">
        <v>2928</v>
      </c>
      <c r="C239" t="s">
        <v>2916</v>
      </c>
      <c r="D239" t="s">
        <v>2638</v>
      </c>
      <c r="E239" t="s">
        <v>189</v>
      </c>
      <c r="F239" t="s">
        <v>434</v>
      </c>
    </row>
    <row r="240" spans="1:6" x14ac:dyDescent="0.25">
      <c r="A240" t="s">
        <v>613</v>
      </c>
      <c r="B240" t="s">
        <v>2928</v>
      </c>
      <c r="C240" t="s">
        <v>2916</v>
      </c>
      <c r="D240" t="s">
        <v>2638</v>
      </c>
      <c r="E240" t="s">
        <v>2737</v>
      </c>
      <c r="F240" t="s">
        <v>435</v>
      </c>
    </row>
    <row r="241" spans="1:6" x14ac:dyDescent="0.25">
      <c r="A241" t="s">
        <v>671</v>
      </c>
      <c r="B241" t="s">
        <v>2927</v>
      </c>
      <c r="C241" t="s">
        <v>2914</v>
      </c>
      <c r="D241" t="s">
        <v>2637</v>
      </c>
      <c r="E241" t="s">
        <v>2725</v>
      </c>
      <c r="F241" t="s">
        <v>462</v>
      </c>
    </row>
    <row r="242" spans="1:6" x14ac:dyDescent="0.25">
      <c r="A242" t="s">
        <v>671</v>
      </c>
      <c r="B242" t="s">
        <v>2927</v>
      </c>
      <c r="C242" t="s">
        <v>2917</v>
      </c>
      <c r="D242" t="s">
        <v>2659</v>
      </c>
      <c r="E242" t="s">
        <v>2711</v>
      </c>
      <c r="F242" t="s">
        <v>467</v>
      </c>
    </row>
    <row r="243" spans="1:6" x14ac:dyDescent="0.25">
      <c r="A243" t="s">
        <v>671</v>
      </c>
      <c r="B243" t="s">
        <v>2927</v>
      </c>
      <c r="C243" t="s">
        <v>2917</v>
      </c>
      <c r="D243" t="s">
        <v>1206</v>
      </c>
      <c r="E243" t="s">
        <v>2714</v>
      </c>
      <c r="F243" t="s">
        <v>470</v>
      </c>
    </row>
    <row r="244" spans="1:6" x14ac:dyDescent="0.25">
      <c r="A244" t="s">
        <v>671</v>
      </c>
      <c r="B244" t="s">
        <v>2927</v>
      </c>
      <c r="C244" t="s">
        <v>2917</v>
      </c>
      <c r="D244" t="s">
        <v>1206</v>
      </c>
      <c r="E244" t="s">
        <v>2711</v>
      </c>
      <c r="F244" t="s">
        <v>466</v>
      </c>
    </row>
    <row r="245" spans="1:6" x14ac:dyDescent="0.25">
      <c r="A245" t="s">
        <v>671</v>
      </c>
      <c r="B245" t="s">
        <v>2927</v>
      </c>
      <c r="C245" t="s">
        <v>2917</v>
      </c>
      <c r="D245" t="s">
        <v>2679</v>
      </c>
      <c r="E245" t="s">
        <v>2713</v>
      </c>
      <c r="F245" t="s">
        <v>472</v>
      </c>
    </row>
    <row r="246" spans="1:6" x14ac:dyDescent="0.25">
      <c r="A246" t="s">
        <v>671</v>
      </c>
      <c r="B246" t="s">
        <v>2927</v>
      </c>
      <c r="C246" t="s">
        <v>2917</v>
      </c>
      <c r="D246" t="s">
        <v>2679</v>
      </c>
      <c r="E246" t="s">
        <v>2713</v>
      </c>
      <c r="F246" t="s">
        <v>475</v>
      </c>
    </row>
    <row r="247" spans="1:6" x14ac:dyDescent="0.25">
      <c r="A247" t="s">
        <v>671</v>
      </c>
      <c r="B247" t="s">
        <v>2927</v>
      </c>
      <c r="C247" t="s">
        <v>2917</v>
      </c>
      <c r="D247" t="s">
        <v>748</v>
      </c>
      <c r="E247" t="s">
        <v>2714</v>
      </c>
      <c r="F247" t="s">
        <v>463</v>
      </c>
    </row>
    <row r="248" spans="1:6" x14ac:dyDescent="0.25">
      <c r="A248" t="s">
        <v>671</v>
      </c>
      <c r="B248" t="s">
        <v>75</v>
      </c>
      <c r="C248" t="s">
        <v>75</v>
      </c>
      <c r="D248" t="s">
        <v>2640</v>
      </c>
      <c r="E248" t="s">
        <v>2714</v>
      </c>
      <c r="F248" t="s">
        <v>460</v>
      </c>
    </row>
    <row r="249" spans="1:6" x14ac:dyDescent="0.25">
      <c r="A249" t="s">
        <v>671</v>
      </c>
      <c r="B249" t="s">
        <v>2921</v>
      </c>
      <c r="C249" t="s">
        <v>2918</v>
      </c>
      <c r="D249" t="s">
        <v>2639</v>
      </c>
      <c r="E249" t="s">
        <v>2712</v>
      </c>
      <c r="F249" t="s">
        <v>454</v>
      </c>
    </row>
    <row r="250" spans="1:6" x14ac:dyDescent="0.25">
      <c r="A250" t="s">
        <v>671</v>
      </c>
      <c r="B250" t="s">
        <v>2921</v>
      </c>
      <c r="C250" t="s">
        <v>27</v>
      </c>
      <c r="D250" t="s">
        <v>2930</v>
      </c>
      <c r="E250" t="s">
        <v>196</v>
      </c>
      <c r="F250" t="s">
        <v>461</v>
      </c>
    </row>
    <row r="251" spans="1:6" x14ac:dyDescent="0.25">
      <c r="A251" t="s">
        <v>671</v>
      </c>
      <c r="B251" t="s">
        <v>2921</v>
      </c>
      <c r="C251" t="s">
        <v>2920</v>
      </c>
      <c r="D251" t="s">
        <v>2643</v>
      </c>
      <c r="E251" t="s">
        <v>2710</v>
      </c>
      <c r="F251" t="s">
        <v>453</v>
      </c>
    </row>
    <row r="252" spans="1:6" x14ac:dyDescent="0.25">
      <c r="A252" t="s">
        <v>671</v>
      </c>
      <c r="B252" t="s">
        <v>2921</v>
      </c>
      <c r="C252" t="s">
        <v>2921</v>
      </c>
      <c r="D252" t="s">
        <v>2644</v>
      </c>
      <c r="E252" t="s">
        <v>2712</v>
      </c>
      <c r="F252" t="s">
        <v>477</v>
      </c>
    </row>
    <row r="253" spans="1:6" x14ac:dyDescent="0.25">
      <c r="A253" t="s">
        <v>671</v>
      </c>
      <c r="B253" t="s">
        <v>2919</v>
      </c>
      <c r="C253" t="s">
        <v>2919</v>
      </c>
      <c r="D253" t="s">
        <v>2663</v>
      </c>
      <c r="E253" t="s">
        <v>2740</v>
      </c>
      <c r="F253" t="s">
        <v>457</v>
      </c>
    </row>
    <row r="254" spans="1:6" x14ac:dyDescent="0.25">
      <c r="A254" t="s">
        <v>912</v>
      </c>
      <c r="B254" t="s">
        <v>2927</v>
      </c>
      <c r="C254" t="s">
        <v>2914</v>
      </c>
      <c r="D254" t="s">
        <v>2637</v>
      </c>
      <c r="E254" t="s">
        <v>79</v>
      </c>
      <c r="F254" t="s">
        <v>557</v>
      </c>
    </row>
    <row r="255" spans="1:6" x14ac:dyDescent="0.25">
      <c r="A255" t="s">
        <v>912</v>
      </c>
      <c r="B255" t="s">
        <v>2927</v>
      </c>
      <c r="C255" t="s">
        <v>2914</v>
      </c>
      <c r="D255" t="s">
        <v>2637</v>
      </c>
      <c r="E255" t="s">
        <v>2700</v>
      </c>
      <c r="F255" t="s">
        <v>561</v>
      </c>
    </row>
    <row r="256" spans="1:6" x14ac:dyDescent="0.25">
      <c r="A256" t="s">
        <v>912</v>
      </c>
      <c r="B256" t="s">
        <v>2927</v>
      </c>
      <c r="C256" t="s">
        <v>2914</v>
      </c>
      <c r="D256" t="s">
        <v>2637</v>
      </c>
      <c r="E256" t="s">
        <v>2700</v>
      </c>
      <c r="F256" t="s">
        <v>562</v>
      </c>
    </row>
    <row r="257" spans="1:6" x14ac:dyDescent="0.25">
      <c r="A257" t="s">
        <v>912</v>
      </c>
      <c r="B257" t="s">
        <v>2927</v>
      </c>
      <c r="C257" t="s">
        <v>2914</v>
      </c>
      <c r="D257" t="s">
        <v>2637</v>
      </c>
      <c r="E257" t="s">
        <v>2715</v>
      </c>
      <c r="F257" t="s">
        <v>565</v>
      </c>
    </row>
    <row r="258" spans="1:6" x14ac:dyDescent="0.25">
      <c r="A258" t="s">
        <v>912</v>
      </c>
      <c r="B258" t="s">
        <v>75</v>
      </c>
      <c r="C258" t="s">
        <v>75</v>
      </c>
      <c r="D258" t="s">
        <v>1212</v>
      </c>
      <c r="E258" t="s">
        <v>139</v>
      </c>
      <c r="F258" t="s">
        <v>554</v>
      </c>
    </row>
    <row r="259" spans="1:6" x14ac:dyDescent="0.25">
      <c r="A259" t="s">
        <v>912</v>
      </c>
      <c r="B259" t="s">
        <v>2919</v>
      </c>
      <c r="C259" t="s">
        <v>2919</v>
      </c>
      <c r="D259" t="s">
        <v>2653</v>
      </c>
      <c r="E259" t="s">
        <v>85</v>
      </c>
      <c r="F259" t="s">
        <v>569</v>
      </c>
    </row>
    <row r="260" spans="1:6" x14ac:dyDescent="0.25">
      <c r="A260" t="s">
        <v>912</v>
      </c>
      <c r="B260" t="s">
        <v>2919</v>
      </c>
      <c r="C260" t="s">
        <v>2919</v>
      </c>
      <c r="D260" t="s">
        <v>2663</v>
      </c>
      <c r="E260" t="s">
        <v>128</v>
      </c>
      <c r="F260" t="s">
        <v>566</v>
      </c>
    </row>
    <row r="261" spans="1:6" x14ac:dyDescent="0.25">
      <c r="A261" t="s">
        <v>912</v>
      </c>
      <c r="B261" t="s">
        <v>2928</v>
      </c>
      <c r="C261" t="s">
        <v>2916</v>
      </c>
      <c r="D261" t="s">
        <v>2638</v>
      </c>
      <c r="E261" t="s">
        <v>2703</v>
      </c>
      <c r="F261" t="s">
        <v>334</v>
      </c>
    </row>
    <row r="262" spans="1:6" x14ac:dyDescent="0.25">
      <c r="A262" t="s">
        <v>935</v>
      </c>
      <c r="B262" t="s">
        <v>2935</v>
      </c>
      <c r="C262" t="s">
        <v>2935</v>
      </c>
      <c r="D262" t="s">
        <v>2946</v>
      </c>
      <c r="E262" t="s">
        <v>101</v>
      </c>
      <c r="F262" t="s">
        <v>578</v>
      </c>
    </row>
    <row r="263" spans="1:6" x14ac:dyDescent="0.25">
      <c r="A263" t="s">
        <v>935</v>
      </c>
      <c r="B263" t="s">
        <v>2927</v>
      </c>
      <c r="C263" t="s">
        <v>2914</v>
      </c>
      <c r="D263" t="s">
        <v>2637</v>
      </c>
      <c r="E263" t="s">
        <v>79</v>
      </c>
      <c r="F263" t="s">
        <v>557</v>
      </c>
    </row>
    <row r="264" spans="1:6" x14ac:dyDescent="0.25">
      <c r="A264" t="s">
        <v>935</v>
      </c>
      <c r="B264" t="s">
        <v>2927</v>
      </c>
      <c r="C264" t="s">
        <v>2914</v>
      </c>
      <c r="D264" t="s">
        <v>2637</v>
      </c>
      <c r="E264" t="s">
        <v>2700</v>
      </c>
      <c r="F264" t="s">
        <v>505</v>
      </c>
    </row>
    <row r="265" spans="1:6" x14ac:dyDescent="0.25">
      <c r="A265" t="s">
        <v>935</v>
      </c>
      <c r="B265" t="s">
        <v>2927</v>
      </c>
      <c r="C265" t="s">
        <v>2914</v>
      </c>
      <c r="D265" t="s">
        <v>2637</v>
      </c>
      <c r="E265" t="s">
        <v>2719</v>
      </c>
      <c r="F265" t="s">
        <v>571</v>
      </c>
    </row>
    <row r="266" spans="1:6" x14ac:dyDescent="0.25">
      <c r="A266" t="s">
        <v>935</v>
      </c>
      <c r="B266" t="s">
        <v>75</v>
      </c>
      <c r="C266" t="s">
        <v>75</v>
      </c>
      <c r="D266" t="s">
        <v>2640</v>
      </c>
      <c r="E266" t="s">
        <v>2726</v>
      </c>
      <c r="F266" t="s">
        <v>570</v>
      </c>
    </row>
    <row r="267" spans="1:6" x14ac:dyDescent="0.25">
      <c r="A267" t="s">
        <v>935</v>
      </c>
      <c r="B267" t="s">
        <v>2919</v>
      </c>
      <c r="C267" t="s">
        <v>2919</v>
      </c>
      <c r="D267" t="s">
        <v>2654</v>
      </c>
      <c r="E267" t="s">
        <v>101</v>
      </c>
      <c r="F267" t="s">
        <v>575</v>
      </c>
    </row>
    <row r="268" spans="1:6" x14ac:dyDescent="0.25">
      <c r="A268" t="s">
        <v>935</v>
      </c>
      <c r="B268" t="s">
        <v>2919</v>
      </c>
      <c r="C268" t="s">
        <v>2919</v>
      </c>
      <c r="D268" t="s">
        <v>2654</v>
      </c>
      <c r="E268" t="s">
        <v>189</v>
      </c>
      <c r="F268" t="s">
        <v>574</v>
      </c>
    </row>
    <row r="269" spans="1:6" x14ac:dyDescent="0.25">
      <c r="A269" t="s">
        <v>935</v>
      </c>
      <c r="B269" t="s">
        <v>2928</v>
      </c>
      <c r="C269" t="s">
        <v>2916</v>
      </c>
      <c r="D269" t="s">
        <v>2638</v>
      </c>
      <c r="E269" t="s">
        <v>2703</v>
      </c>
      <c r="F269" t="s">
        <v>334</v>
      </c>
    </row>
    <row r="270" spans="1:6" x14ac:dyDescent="0.25">
      <c r="A270" t="s">
        <v>977</v>
      </c>
      <c r="B270" t="s">
        <v>2927</v>
      </c>
      <c r="C270" t="s">
        <v>2914</v>
      </c>
      <c r="D270" t="s">
        <v>2637</v>
      </c>
      <c r="E270" t="s">
        <v>2700</v>
      </c>
      <c r="F270" t="s">
        <v>505</v>
      </c>
    </row>
    <row r="271" spans="1:6" x14ac:dyDescent="0.25">
      <c r="A271" t="s">
        <v>977</v>
      </c>
      <c r="B271" t="s">
        <v>2927</v>
      </c>
      <c r="C271" t="s">
        <v>2914</v>
      </c>
      <c r="D271" t="s">
        <v>2637</v>
      </c>
      <c r="E271" t="s">
        <v>2743</v>
      </c>
      <c r="F271" t="s">
        <v>581</v>
      </c>
    </row>
    <row r="272" spans="1:6" x14ac:dyDescent="0.25">
      <c r="A272" t="s">
        <v>977</v>
      </c>
      <c r="B272" t="s">
        <v>2921</v>
      </c>
      <c r="C272" t="s">
        <v>2918</v>
      </c>
      <c r="D272" t="s">
        <v>2639</v>
      </c>
      <c r="E272" t="s">
        <v>79</v>
      </c>
      <c r="F272" t="s">
        <v>313</v>
      </c>
    </row>
    <row r="273" spans="1:6" x14ac:dyDescent="0.25">
      <c r="A273" t="s">
        <v>977</v>
      </c>
      <c r="B273" t="s">
        <v>2921</v>
      </c>
      <c r="C273" t="s">
        <v>27</v>
      </c>
      <c r="D273" t="s">
        <v>2930</v>
      </c>
      <c r="E273" t="s">
        <v>274</v>
      </c>
      <c r="F273" t="s">
        <v>371</v>
      </c>
    </row>
    <row r="274" spans="1:6" x14ac:dyDescent="0.25">
      <c r="A274" t="s">
        <v>977</v>
      </c>
      <c r="B274" t="s">
        <v>2919</v>
      </c>
      <c r="C274" t="s">
        <v>2919</v>
      </c>
      <c r="D274" t="s">
        <v>2665</v>
      </c>
      <c r="E274" t="s">
        <v>2734</v>
      </c>
      <c r="F274" t="s">
        <v>582</v>
      </c>
    </row>
    <row r="275" spans="1:6" x14ac:dyDescent="0.25">
      <c r="A275" t="s">
        <v>977</v>
      </c>
      <c r="B275" t="s">
        <v>2928</v>
      </c>
      <c r="C275" t="s">
        <v>2916</v>
      </c>
      <c r="D275" t="s">
        <v>2638</v>
      </c>
      <c r="E275" t="s">
        <v>2717</v>
      </c>
      <c r="F275" t="s">
        <v>580</v>
      </c>
    </row>
    <row r="276" spans="1:6" x14ac:dyDescent="0.25">
      <c r="A276" t="s">
        <v>1002</v>
      </c>
      <c r="B276" t="s">
        <v>2927</v>
      </c>
      <c r="C276" t="s">
        <v>2914</v>
      </c>
      <c r="D276" t="s">
        <v>2637</v>
      </c>
      <c r="E276" t="s">
        <v>2726</v>
      </c>
      <c r="F276" t="s">
        <v>605</v>
      </c>
    </row>
    <row r="277" spans="1:6" x14ac:dyDescent="0.25">
      <c r="A277" t="s">
        <v>1002</v>
      </c>
      <c r="B277" t="s">
        <v>2927</v>
      </c>
      <c r="C277" t="s">
        <v>2914</v>
      </c>
      <c r="D277" t="s">
        <v>2637</v>
      </c>
      <c r="E277" t="s">
        <v>2701</v>
      </c>
      <c r="F277" t="s">
        <v>600</v>
      </c>
    </row>
    <row r="278" spans="1:6" x14ac:dyDescent="0.25">
      <c r="A278" t="s">
        <v>1002</v>
      </c>
      <c r="B278" t="s">
        <v>2927</v>
      </c>
      <c r="C278" t="s">
        <v>2914</v>
      </c>
      <c r="D278" t="s">
        <v>2637</v>
      </c>
      <c r="E278" t="s">
        <v>2750</v>
      </c>
      <c r="F278" t="s">
        <v>601</v>
      </c>
    </row>
    <row r="279" spans="1:6" x14ac:dyDescent="0.25">
      <c r="A279" t="s">
        <v>1002</v>
      </c>
      <c r="B279" t="s">
        <v>2927</v>
      </c>
      <c r="C279" t="s">
        <v>2917</v>
      </c>
      <c r="D279" t="s">
        <v>2659</v>
      </c>
      <c r="E279" t="s">
        <v>2726</v>
      </c>
      <c r="F279" t="s">
        <v>602</v>
      </c>
    </row>
    <row r="280" spans="1:6" x14ac:dyDescent="0.25">
      <c r="A280" t="s">
        <v>1002</v>
      </c>
      <c r="B280" t="s">
        <v>75</v>
      </c>
      <c r="C280" t="s">
        <v>75</v>
      </c>
      <c r="D280" t="s">
        <v>1212</v>
      </c>
      <c r="E280" t="s">
        <v>2749</v>
      </c>
      <c r="F280" t="s">
        <v>598</v>
      </c>
    </row>
    <row r="281" spans="1:6" x14ac:dyDescent="0.25">
      <c r="A281" t="s">
        <v>1002</v>
      </c>
      <c r="B281" t="s">
        <v>2921</v>
      </c>
      <c r="C281" t="s">
        <v>2918</v>
      </c>
      <c r="D281" t="s">
        <v>2639</v>
      </c>
      <c r="E281" t="s">
        <v>2743</v>
      </c>
      <c r="F281" t="s">
        <v>590</v>
      </c>
    </row>
    <row r="282" spans="1:6" x14ac:dyDescent="0.25">
      <c r="A282" t="s">
        <v>1002</v>
      </c>
      <c r="B282" t="s">
        <v>2921</v>
      </c>
      <c r="C282" t="s">
        <v>27</v>
      </c>
      <c r="D282" t="s">
        <v>2930</v>
      </c>
      <c r="E282" t="s">
        <v>79</v>
      </c>
      <c r="F282" t="s">
        <v>599</v>
      </c>
    </row>
    <row r="283" spans="1:6" x14ac:dyDescent="0.25">
      <c r="A283" t="s">
        <v>1002</v>
      </c>
      <c r="B283" t="s">
        <v>2921</v>
      </c>
      <c r="C283" t="s">
        <v>2920</v>
      </c>
      <c r="D283" t="s">
        <v>2643</v>
      </c>
      <c r="E283" t="s">
        <v>85</v>
      </c>
      <c r="F283" t="s">
        <v>587</v>
      </c>
    </row>
    <row r="284" spans="1:6" x14ac:dyDescent="0.25">
      <c r="A284" t="s">
        <v>1002</v>
      </c>
      <c r="B284" t="s">
        <v>2921</v>
      </c>
      <c r="C284" t="s">
        <v>191</v>
      </c>
      <c r="D284" t="s">
        <v>191</v>
      </c>
      <c r="E284" t="s">
        <v>209</v>
      </c>
      <c r="F284" t="s">
        <v>338</v>
      </c>
    </row>
    <row r="285" spans="1:6" x14ac:dyDescent="0.25">
      <c r="A285" t="s">
        <v>1002</v>
      </c>
      <c r="B285" t="s">
        <v>2919</v>
      </c>
      <c r="C285" t="s">
        <v>2919</v>
      </c>
      <c r="D285" t="s">
        <v>2663</v>
      </c>
      <c r="E285" t="s">
        <v>2748</v>
      </c>
      <c r="F285" t="s">
        <v>592</v>
      </c>
    </row>
    <row r="286" spans="1:6" x14ac:dyDescent="0.25">
      <c r="A286" t="s">
        <v>1002</v>
      </c>
      <c r="B286" t="s">
        <v>2919</v>
      </c>
      <c r="C286" t="s">
        <v>2919</v>
      </c>
      <c r="D286" t="s">
        <v>2650</v>
      </c>
      <c r="E286" t="s">
        <v>2747</v>
      </c>
      <c r="F286" t="s">
        <v>591</v>
      </c>
    </row>
    <row r="287" spans="1:6" x14ac:dyDescent="0.25">
      <c r="A287" t="s">
        <v>1002</v>
      </c>
      <c r="B287" t="s">
        <v>2928</v>
      </c>
      <c r="C287" t="s">
        <v>2916</v>
      </c>
      <c r="D287" t="s">
        <v>2656</v>
      </c>
      <c r="E287" t="s">
        <v>2747</v>
      </c>
      <c r="F287" t="s">
        <v>595</v>
      </c>
    </row>
    <row r="288" spans="1:6" x14ac:dyDescent="0.25">
      <c r="A288" t="s">
        <v>1002</v>
      </c>
      <c r="B288" t="s">
        <v>2928</v>
      </c>
      <c r="C288" t="s">
        <v>2916</v>
      </c>
      <c r="D288" t="s">
        <v>2638</v>
      </c>
      <c r="E288" t="s">
        <v>2703</v>
      </c>
      <c r="F288" t="s">
        <v>585</v>
      </c>
    </row>
    <row r="289" spans="1:6" x14ac:dyDescent="0.25">
      <c r="A289" t="s">
        <v>1002</v>
      </c>
      <c r="B289" t="s">
        <v>2928</v>
      </c>
      <c r="C289" t="s">
        <v>2916</v>
      </c>
      <c r="D289" t="s">
        <v>2638</v>
      </c>
      <c r="E289" t="s">
        <v>2739</v>
      </c>
      <c r="F289" t="s">
        <v>586</v>
      </c>
    </row>
    <row r="290" spans="1:6" x14ac:dyDescent="0.25">
      <c r="A290" t="s">
        <v>1048</v>
      </c>
      <c r="B290" t="s">
        <v>2927</v>
      </c>
      <c r="C290" t="s">
        <v>2914</v>
      </c>
      <c r="D290" t="s">
        <v>2637</v>
      </c>
      <c r="E290" t="s">
        <v>71</v>
      </c>
      <c r="F290" t="s">
        <v>609</v>
      </c>
    </row>
    <row r="291" spans="1:6" x14ac:dyDescent="0.25">
      <c r="A291" t="s">
        <v>1048</v>
      </c>
      <c r="B291" t="s">
        <v>2927</v>
      </c>
      <c r="C291" t="s">
        <v>2914</v>
      </c>
      <c r="D291" t="s">
        <v>2637</v>
      </c>
      <c r="E291" t="s">
        <v>2699</v>
      </c>
      <c r="F291" t="s">
        <v>610</v>
      </c>
    </row>
    <row r="292" spans="1:6" x14ac:dyDescent="0.25">
      <c r="A292" t="s">
        <v>1048</v>
      </c>
      <c r="B292" t="s">
        <v>2927</v>
      </c>
      <c r="C292" t="s">
        <v>2917</v>
      </c>
      <c r="D292" t="s">
        <v>2659</v>
      </c>
      <c r="E292" t="s">
        <v>2700</v>
      </c>
      <c r="F292" t="s">
        <v>611</v>
      </c>
    </row>
    <row r="293" spans="1:6" x14ac:dyDescent="0.25">
      <c r="A293" t="s">
        <v>1048</v>
      </c>
      <c r="B293" t="s">
        <v>75</v>
      </c>
      <c r="C293" t="s">
        <v>75</v>
      </c>
      <c r="D293" t="s">
        <v>1212</v>
      </c>
      <c r="E293" t="s">
        <v>108</v>
      </c>
      <c r="F293" t="s">
        <v>337</v>
      </c>
    </row>
    <row r="294" spans="1:6" x14ac:dyDescent="0.25">
      <c r="A294" t="s">
        <v>1048</v>
      </c>
      <c r="B294" t="s">
        <v>2921</v>
      </c>
      <c r="C294" t="s">
        <v>27</v>
      </c>
      <c r="D294" t="s">
        <v>2930</v>
      </c>
      <c r="E294" t="s">
        <v>274</v>
      </c>
      <c r="F294" t="s">
        <v>371</v>
      </c>
    </row>
    <row r="295" spans="1:6" x14ac:dyDescent="0.25">
      <c r="A295" t="s">
        <v>1048</v>
      </c>
      <c r="B295" t="s">
        <v>2921</v>
      </c>
      <c r="C295" t="s">
        <v>2921</v>
      </c>
      <c r="D295" t="s">
        <v>2644</v>
      </c>
      <c r="E295" t="s">
        <v>2700</v>
      </c>
      <c r="F295" t="s">
        <v>617</v>
      </c>
    </row>
    <row r="296" spans="1:6" x14ac:dyDescent="0.25">
      <c r="A296" t="s">
        <v>1048</v>
      </c>
      <c r="B296" t="s">
        <v>2921</v>
      </c>
      <c r="C296" t="s">
        <v>191</v>
      </c>
      <c r="D296" t="s">
        <v>191</v>
      </c>
      <c r="E296" t="s">
        <v>209</v>
      </c>
      <c r="F296" t="s">
        <v>338</v>
      </c>
    </row>
    <row r="297" spans="1:6" x14ac:dyDescent="0.25">
      <c r="A297" t="s">
        <v>1048</v>
      </c>
      <c r="B297" t="s">
        <v>2919</v>
      </c>
      <c r="C297" t="s">
        <v>2919</v>
      </c>
      <c r="D297" t="s">
        <v>2663</v>
      </c>
      <c r="E297" t="s">
        <v>283</v>
      </c>
      <c r="F297" t="s">
        <v>619</v>
      </c>
    </row>
    <row r="298" spans="1:6" x14ac:dyDescent="0.25">
      <c r="A298" t="s">
        <v>1048</v>
      </c>
      <c r="B298" t="s">
        <v>2919</v>
      </c>
      <c r="C298" t="s">
        <v>2919</v>
      </c>
      <c r="D298" t="s">
        <v>2663</v>
      </c>
      <c r="E298" t="s">
        <v>2736</v>
      </c>
      <c r="F298" t="s">
        <v>616</v>
      </c>
    </row>
    <row r="299" spans="1:6" x14ac:dyDescent="0.25">
      <c r="A299" t="s">
        <v>1048</v>
      </c>
      <c r="B299" t="s">
        <v>2919</v>
      </c>
      <c r="C299" t="s">
        <v>2919</v>
      </c>
      <c r="D299" t="s">
        <v>2650</v>
      </c>
      <c r="E299" t="s">
        <v>101</v>
      </c>
      <c r="F299" t="s">
        <v>607</v>
      </c>
    </row>
    <row r="300" spans="1:6" x14ac:dyDescent="0.25">
      <c r="A300" t="s">
        <v>1048</v>
      </c>
      <c r="B300" t="s">
        <v>2928</v>
      </c>
      <c r="C300" t="s">
        <v>2916</v>
      </c>
      <c r="D300" t="s">
        <v>2656</v>
      </c>
      <c r="E300" t="s">
        <v>2734</v>
      </c>
      <c r="F300" t="s">
        <v>608</v>
      </c>
    </row>
    <row r="301" spans="1:6" x14ac:dyDescent="0.25">
      <c r="A301" t="s">
        <v>1048</v>
      </c>
      <c r="B301" t="s">
        <v>2928</v>
      </c>
      <c r="C301" t="s">
        <v>2916</v>
      </c>
      <c r="D301" t="s">
        <v>2638</v>
      </c>
      <c r="E301" t="s">
        <v>2724</v>
      </c>
      <c r="F301" t="s">
        <v>606</v>
      </c>
    </row>
    <row r="302" spans="1:6" x14ac:dyDescent="0.25">
      <c r="A302" t="s">
        <v>1092</v>
      </c>
      <c r="B302" t="s">
        <v>2927</v>
      </c>
      <c r="C302" t="s">
        <v>2914</v>
      </c>
      <c r="D302" t="s">
        <v>2637</v>
      </c>
      <c r="E302" t="s">
        <v>2721</v>
      </c>
      <c r="F302" t="s">
        <v>624</v>
      </c>
    </row>
    <row r="303" spans="1:6" x14ac:dyDescent="0.25">
      <c r="A303" t="s">
        <v>1092</v>
      </c>
      <c r="B303" t="s">
        <v>2927</v>
      </c>
      <c r="C303" t="s">
        <v>2914</v>
      </c>
      <c r="D303" t="s">
        <v>2637</v>
      </c>
      <c r="E303" t="s">
        <v>71</v>
      </c>
      <c r="F303" t="s">
        <v>625</v>
      </c>
    </row>
    <row r="304" spans="1:6" x14ac:dyDescent="0.25">
      <c r="A304" t="s">
        <v>1092</v>
      </c>
      <c r="B304" t="s">
        <v>2927</v>
      </c>
      <c r="C304" t="s">
        <v>2914</v>
      </c>
      <c r="D304" t="s">
        <v>2637</v>
      </c>
      <c r="E304" t="s">
        <v>2711</v>
      </c>
      <c r="F304" t="s">
        <v>635</v>
      </c>
    </row>
    <row r="305" spans="1:6" x14ac:dyDescent="0.25">
      <c r="A305" t="s">
        <v>1092</v>
      </c>
      <c r="B305" t="s">
        <v>2927</v>
      </c>
      <c r="C305" t="s">
        <v>2924</v>
      </c>
      <c r="D305" t="s">
        <v>630</v>
      </c>
      <c r="E305" t="s">
        <v>2727</v>
      </c>
      <c r="F305" t="s">
        <v>629</v>
      </c>
    </row>
    <row r="306" spans="1:6" x14ac:dyDescent="0.25">
      <c r="A306" t="s">
        <v>1092</v>
      </c>
      <c r="B306" t="s">
        <v>75</v>
      </c>
      <c r="C306" t="s">
        <v>75</v>
      </c>
      <c r="D306" t="s">
        <v>2640</v>
      </c>
      <c r="E306" t="s">
        <v>162</v>
      </c>
      <c r="F306" t="s">
        <v>623</v>
      </c>
    </row>
    <row r="307" spans="1:6" x14ac:dyDescent="0.25">
      <c r="A307" t="s">
        <v>1092</v>
      </c>
      <c r="B307" t="s">
        <v>2921</v>
      </c>
      <c r="C307" t="s">
        <v>2921</v>
      </c>
      <c r="D307" t="s">
        <v>2644</v>
      </c>
      <c r="E307" t="s">
        <v>2713</v>
      </c>
      <c r="F307" t="s">
        <v>633</v>
      </c>
    </row>
    <row r="308" spans="1:6" x14ac:dyDescent="0.25">
      <c r="A308" t="s">
        <v>1092</v>
      </c>
      <c r="B308" t="s">
        <v>2921</v>
      </c>
      <c r="C308" t="s">
        <v>191</v>
      </c>
      <c r="D308" t="s">
        <v>191</v>
      </c>
      <c r="E308" t="s">
        <v>209</v>
      </c>
      <c r="F308" t="s">
        <v>338</v>
      </c>
    </row>
    <row r="309" spans="1:6" x14ac:dyDescent="0.25">
      <c r="A309" t="s">
        <v>1092</v>
      </c>
      <c r="B309" t="s">
        <v>2919</v>
      </c>
      <c r="C309" t="s">
        <v>2919</v>
      </c>
      <c r="D309" t="s">
        <v>2666</v>
      </c>
      <c r="E309" t="s">
        <v>2717</v>
      </c>
      <c r="F309" t="s">
        <v>626</v>
      </c>
    </row>
    <row r="310" spans="1:6" x14ac:dyDescent="0.25">
      <c r="A310" t="s">
        <v>1092</v>
      </c>
      <c r="B310" t="s">
        <v>2919</v>
      </c>
      <c r="C310" t="s">
        <v>2919</v>
      </c>
      <c r="D310" t="s">
        <v>2650</v>
      </c>
      <c r="E310" t="s">
        <v>2724</v>
      </c>
      <c r="F310" t="s">
        <v>638</v>
      </c>
    </row>
    <row r="311" spans="1:6" x14ac:dyDescent="0.25">
      <c r="A311" t="s">
        <v>1092</v>
      </c>
      <c r="B311" t="s">
        <v>2919</v>
      </c>
      <c r="C311" t="s">
        <v>2919</v>
      </c>
      <c r="D311" t="s">
        <v>2654</v>
      </c>
      <c r="E311" t="s">
        <v>2751</v>
      </c>
      <c r="F311" t="s">
        <v>632</v>
      </c>
    </row>
    <row r="312" spans="1:6" x14ac:dyDescent="0.25">
      <c r="A312" t="s">
        <v>1092</v>
      </c>
      <c r="B312" t="s">
        <v>2928</v>
      </c>
      <c r="C312" t="s">
        <v>2916</v>
      </c>
      <c r="D312" t="s">
        <v>2656</v>
      </c>
      <c r="E312" t="s">
        <v>2724</v>
      </c>
      <c r="F312" t="s">
        <v>622</v>
      </c>
    </row>
    <row r="313" spans="1:6" x14ac:dyDescent="0.25">
      <c r="A313" t="s">
        <v>1092</v>
      </c>
      <c r="B313" t="s">
        <v>2928</v>
      </c>
      <c r="C313" t="s">
        <v>2916</v>
      </c>
      <c r="D313" t="s">
        <v>2638</v>
      </c>
      <c r="E313" t="s">
        <v>2710</v>
      </c>
      <c r="F313" t="s">
        <v>621</v>
      </c>
    </row>
    <row r="314" spans="1:6" x14ac:dyDescent="0.25">
      <c r="A314" t="s">
        <v>1092</v>
      </c>
      <c r="B314" t="s">
        <v>2928</v>
      </c>
      <c r="C314" t="s">
        <v>2916</v>
      </c>
      <c r="D314" t="s">
        <v>2638</v>
      </c>
      <c r="E314" t="s">
        <v>189</v>
      </c>
      <c r="F314" t="s">
        <v>636</v>
      </c>
    </row>
    <row r="315" spans="1:6" x14ac:dyDescent="0.25">
      <c r="A315" t="s">
        <v>1160</v>
      </c>
      <c r="B315" t="s">
        <v>2935</v>
      </c>
      <c r="C315" t="s">
        <v>2935</v>
      </c>
      <c r="D315" t="s">
        <v>247</v>
      </c>
      <c r="E315" t="s">
        <v>2153</v>
      </c>
      <c r="F315" t="s">
        <v>247</v>
      </c>
    </row>
    <row r="316" spans="1:6" x14ac:dyDescent="0.25">
      <c r="A316" t="s">
        <v>1164</v>
      </c>
      <c r="B316" t="s">
        <v>2935</v>
      </c>
      <c r="C316" t="s">
        <v>2935</v>
      </c>
      <c r="D316" t="s">
        <v>247</v>
      </c>
      <c r="E316" t="s">
        <v>2153</v>
      </c>
      <c r="F316" t="s">
        <v>247</v>
      </c>
    </row>
    <row r="317" spans="1:6" x14ac:dyDescent="0.25">
      <c r="A317" t="s">
        <v>1168</v>
      </c>
      <c r="B317" t="s">
        <v>2927</v>
      </c>
      <c r="C317" t="s">
        <v>2914</v>
      </c>
      <c r="D317" t="s">
        <v>2637</v>
      </c>
      <c r="E317" t="s">
        <v>2761</v>
      </c>
      <c r="F317" t="s">
        <v>653</v>
      </c>
    </row>
    <row r="318" spans="1:6" x14ac:dyDescent="0.25">
      <c r="A318" t="s">
        <v>1168</v>
      </c>
      <c r="B318" t="s">
        <v>2927</v>
      </c>
      <c r="C318" t="s">
        <v>2917</v>
      </c>
      <c r="D318" t="s">
        <v>2659</v>
      </c>
      <c r="E318" t="s">
        <v>2763</v>
      </c>
      <c r="F318" t="s">
        <v>659</v>
      </c>
    </row>
    <row r="319" spans="1:6" x14ac:dyDescent="0.25">
      <c r="A319" t="s">
        <v>1168</v>
      </c>
      <c r="B319" t="s">
        <v>2927</v>
      </c>
      <c r="C319" t="s">
        <v>2917</v>
      </c>
      <c r="D319" t="s">
        <v>2659</v>
      </c>
      <c r="E319" t="s">
        <v>2764</v>
      </c>
      <c r="F319" t="s">
        <v>658</v>
      </c>
    </row>
    <row r="320" spans="1:6" x14ac:dyDescent="0.25">
      <c r="A320" t="s">
        <v>1168</v>
      </c>
      <c r="B320" t="s">
        <v>2927</v>
      </c>
      <c r="C320" t="s">
        <v>2917</v>
      </c>
      <c r="D320" t="s">
        <v>1206</v>
      </c>
      <c r="E320" t="s">
        <v>2763</v>
      </c>
      <c r="F320" t="s">
        <v>655</v>
      </c>
    </row>
    <row r="321" spans="1:6" x14ac:dyDescent="0.25">
      <c r="A321" t="s">
        <v>1168</v>
      </c>
      <c r="B321" t="s">
        <v>75</v>
      </c>
      <c r="C321" t="s">
        <v>75</v>
      </c>
      <c r="D321" t="s">
        <v>2660</v>
      </c>
      <c r="E321" t="s">
        <v>2757</v>
      </c>
      <c r="F321" t="s">
        <v>646</v>
      </c>
    </row>
    <row r="322" spans="1:6" x14ac:dyDescent="0.25">
      <c r="A322" t="s">
        <v>1168</v>
      </c>
      <c r="B322" t="s">
        <v>75</v>
      </c>
      <c r="C322" t="s">
        <v>75</v>
      </c>
      <c r="D322" t="s">
        <v>2640</v>
      </c>
      <c r="E322" t="s">
        <v>2760</v>
      </c>
      <c r="F322" t="s">
        <v>650</v>
      </c>
    </row>
    <row r="323" spans="1:6" x14ac:dyDescent="0.25">
      <c r="A323" t="s">
        <v>1168</v>
      </c>
      <c r="B323" t="s">
        <v>75</v>
      </c>
      <c r="C323" t="s">
        <v>75</v>
      </c>
      <c r="D323" t="s">
        <v>2640</v>
      </c>
      <c r="E323" t="s">
        <v>2758</v>
      </c>
      <c r="F323" t="s">
        <v>649</v>
      </c>
    </row>
    <row r="324" spans="1:6" x14ac:dyDescent="0.25">
      <c r="A324" t="s">
        <v>1168</v>
      </c>
      <c r="B324" t="s">
        <v>75</v>
      </c>
      <c r="C324" t="s">
        <v>75</v>
      </c>
      <c r="D324" t="s">
        <v>1212</v>
      </c>
      <c r="E324" t="s">
        <v>2759</v>
      </c>
      <c r="F324" t="s">
        <v>504</v>
      </c>
    </row>
    <row r="325" spans="1:6" x14ac:dyDescent="0.25">
      <c r="A325" t="s">
        <v>1168</v>
      </c>
      <c r="B325" t="s">
        <v>2921</v>
      </c>
      <c r="C325" t="s">
        <v>2918</v>
      </c>
      <c r="D325" t="s">
        <v>2639</v>
      </c>
      <c r="E325" t="s">
        <v>2753</v>
      </c>
      <c r="F325" t="s">
        <v>436</v>
      </c>
    </row>
    <row r="326" spans="1:6" x14ac:dyDescent="0.25">
      <c r="A326" t="s">
        <v>1168</v>
      </c>
      <c r="B326" t="s">
        <v>2921</v>
      </c>
      <c r="C326" t="s">
        <v>2918</v>
      </c>
      <c r="D326" t="s">
        <v>2639</v>
      </c>
      <c r="E326" t="s">
        <v>2754</v>
      </c>
      <c r="F326" t="s">
        <v>415</v>
      </c>
    </row>
    <row r="327" spans="1:6" x14ac:dyDescent="0.25">
      <c r="A327" t="s">
        <v>1168</v>
      </c>
      <c r="B327" t="s">
        <v>2921</v>
      </c>
      <c r="C327" t="s">
        <v>2921</v>
      </c>
      <c r="D327" t="s">
        <v>2644</v>
      </c>
      <c r="E327" t="s">
        <v>2768</v>
      </c>
      <c r="F327" t="s">
        <v>451</v>
      </c>
    </row>
    <row r="328" spans="1:6" x14ac:dyDescent="0.25">
      <c r="A328" t="s">
        <v>1168</v>
      </c>
      <c r="B328" t="s">
        <v>2921</v>
      </c>
      <c r="C328" t="s">
        <v>2921</v>
      </c>
      <c r="D328" t="s">
        <v>2644</v>
      </c>
      <c r="E328" t="s">
        <v>2776</v>
      </c>
      <c r="F328" t="s">
        <v>668</v>
      </c>
    </row>
    <row r="329" spans="1:6" x14ac:dyDescent="0.25">
      <c r="A329" t="s">
        <v>1168</v>
      </c>
      <c r="B329" t="s">
        <v>2921</v>
      </c>
      <c r="C329" t="s">
        <v>191</v>
      </c>
      <c r="D329" t="s">
        <v>191</v>
      </c>
      <c r="E329" t="s">
        <v>2762</v>
      </c>
      <c r="F329" t="s">
        <v>654</v>
      </c>
    </row>
    <row r="330" spans="1:6" x14ac:dyDescent="0.25">
      <c r="A330" t="s">
        <v>1168</v>
      </c>
      <c r="B330" t="s">
        <v>2919</v>
      </c>
      <c r="C330" t="s">
        <v>2919</v>
      </c>
      <c r="D330" t="s">
        <v>2653</v>
      </c>
      <c r="E330" t="s">
        <v>2767</v>
      </c>
      <c r="F330" t="s">
        <v>665</v>
      </c>
    </row>
    <row r="331" spans="1:6" x14ac:dyDescent="0.25">
      <c r="A331" t="s">
        <v>1168</v>
      </c>
      <c r="B331" t="s">
        <v>2919</v>
      </c>
      <c r="C331" t="s">
        <v>2919</v>
      </c>
      <c r="D331" t="s">
        <v>2654</v>
      </c>
      <c r="E331" t="s">
        <v>2766</v>
      </c>
      <c r="F331" t="s">
        <v>662</v>
      </c>
    </row>
    <row r="332" spans="1:6" x14ac:dyDescent="0.25">
      <c r="A332" t="s">
        <v>1168</v>
      </c>
      <c r="B332" t="s">
        <v>2919</v>
      </c>
      <c r="C332" t="s">
        <v>2919</v>
      </c>
      <c r="D332" t="s">
        <v>2654</v>
      </c>
      <c r="E332" t="s">
        <v>2765</v>
      </c>
      <c r="F332" t="s">
        <v>661</v>
      </c>
    </row>
    <row r="333" spans="1:6" x14ac:dyDescent="0.25">
      <c r="A333" t="s">
        <v>1168</v>
      </c>
      <c r="B333" t="s">
        <v>2928</v>
      </c>
      <c r="C333" t="s">
        <v>2916</v>
      </c>
      <c r="D333" t="s">
        <v>2656</v>
      </c>
      <c r="E333" t="s">
        <v>2756</v>
      </c>
      <c r="F333" t="s">
        <v>640</v>
      </c>
    </row>
    <row r="334" spans="1:6" x14ac:dyDescent="0.25">
      <c r="A334" t="s">
        <v>1168</v>
      </c>
      <c r="B334" t="s">
        <v>2928</v>
      </c>
      <c r="C334" t="s">
        <v>2916</v>
      </c>
      <c r="D334" t="s">
        <v>2656</v>
      </c>
      <c r="E334" t="s">
        <v>2752</v>
      </c>
      <c r="F334" t="s">
        <v>643</v>
      </c>
    </row>
    <row r="335" spans="1:6" x14ac:dyDescent="0.25">
      <c r="A335" t="s">
        <v>1168</v>
      </c>
      <c r="B335" t="s">
        <v>2928</v>
      </c>
      <c r="C335" t="s">
        <v>2916</v>
      </c>
      <c r="D335" t="s">
        <v>2656</v>
      </c>
      <c r="E335" t="s">
        <v>2755</v>
      </c>
      <c r="F335" t="s">
        <v>639</v>
      </c>
    </row>
    <row r="336" spans="1:6" x14ac:dyDescent="0.25">
      <c r="A336" t="s">
        <v>1168</v>
      </c>
      <c r="B336" t="s">
        <v>2928</v>
      </c>
      <c r="C336" t="s">
        <v>2916</v>
      </c>
      <c r="D336" t="s">
        <v>2638</v>
      </c>
      <c r="E336" t="s">
        <v>2752</v>
      </c>
      <c r="F336" t="s">
        <v>606</v>
      </c>
    </row>
    <row r="337" spans="1:6" x14ac:dyDescent="0.25">
      <c r="A337" t="s">
        <v>1216</v>
      </c>
      <c r="B337" t="s">
        <v>2927</v>
      </c>
      <c r="C337" t="s">
        <v>2914</v>
      </c>
      <c r="D337" t="s">
        <v>2637</v>
      </c>
      <c r="E337" t="s">
        <v>2759</v>
      </c>
      <c r="F337" t="s">
        <v>680</v>
      </c>
    </row>
    <row r="338" spans="1:6" x14ac:dyDescent="0.25">
      <c r="A338" t="s">
        <v>1216</v>
      </c>
      <c r="B338" t="s">
        <v>2927</v>
      </c>
      <c r="C338" t="s">
        <v>2914</v>
      </c>
      <c r="D338" t="s">
        <v>2637</v>
      </c>
      <c r="E338" t="s">
        <v>2771</v>
      </c>
      <c r="F338" t="s">
        <v>681</v>
      </c>
    </row>
    <row r="339" spans="1:6" x14ac:dyDescent="0.25">
      <c r="A339" t="s">
        <v>1216</v>
      </c>
      <c r="B339" t="s">
        <v>2927</v>
      </c>
      <c r="C339" t="s">
        <v>2914</v>
      </c>
      <c r="D339" t="s">
        <v>2637</v>
      </c>
      <c r="E339" t="s">
        <v>2772</v>
      </c>
      <c r="F339" t="s">
        <v>682</v>
      </c>
    </row>
    <row r="340" spans="1:6" x14ac:dyDescent="0.25">
      <c r="A340" t="s">
        <v>1216</v>
      </c>
      <c r="B340" t="s">
        <v>75</v>
      </c>
      <c r="C340" t="s">
        <v>75</v>
      </c>
      <c r="D340" t="s">
        <v>1212</v>
      </c>
      <c r="E340" t="s">
        <v>2757</v>
      </c>
      <c r="F340" t="s">
        <v>554</v>
      </c>
    </row>
    <row r="341" spans="1:6" x14ac:dyDescent="0.25">
      <c r="A341" t="s">
        <v>1216</v>
      </c>
      <c r="B341" t="s">
        <v>2921</v>
      </c>
      <c r="C341" t="s">
        <v>2918</v>
      </c>
      <c r="D341" t="s">
        <v>2639</v>
      </c>
      <c r="E341" t="s">
        <v>2792</v>
      </c>
      <c r="F341" t="s">
        <v>674</v>
      </c>
    </row>
    <row r="342" spans="1:6" x14ac:dyDescent="0.25">
      <c r="A342" t="s">
        <v>1216</v>
      </c>
      <c r="B342" t="s">
        <v>2921</v>
      </c>
      <c r="C342" t="s">
        <v>2918</v>
      </c>
      <c r="D342" t="s">
        <v>2639</v>
      </c>
      <c r="E342" t="s">
        <v>2770</v>
      </c>
      <c r="F342" t="s">
        <v>329</v>
      </c>
    </row>
    <row r="343" spans="1:6" x14ac:dyDescent="0.25">
      <c r="A343" t="s">
        <v>1216</v>
      </c>
      <c r="B343" t="s">
        <v>2921</v>
      </c>
      <c r="C343" t="s">
        <v>27</v>
      </c>
      <c r="D343" t="s">
        <v>2930</v>
      </c>
      <c r="E343" t="s">
        <v>2759</v>
      </c>
      <c r="F343" t="s">
        <v>371</v>
      </c>
    </row>
    <row r="344" spans="1:6" x14ac:dyDescent="0.25">
      <c r="A344" t="s">
        <v>1216</v>
      </c>
      <c r="B344" t="s">
        <v>2921</v>
      </c>
      <c r="C344" t="s">
        <v>2920</v>
      </c>
      <c r="D344" t="s">
        <v>2643</v>
      </c>
      <c r="E344" t="s">
        <v>2779</v>
      </c>
      <c r="F344" t="s">
        <v>453</v>
      </c>
    </row>
    <row r="345" spans="1:6" x14ac:dyDescent="0.25">
      <c r="A345" t="s">
        <v>1216</v>
      </c>
      <c r="B345" t="s">
        <v>2919</v>
      </c>
      <c r="C345" t="s">
        <v>2919</v>
      </c>
      <c r="D345" t="s">
        <v>2653</v>
      </c>
      <c r="E345" t="s">
        <v>2773</v>
      </c>
      <c r="F345" t="s">
        <v>683</v>
      </c>
    </row>
    <row r="346" spans="1:6" x14ac:dyDescent="0.25">
      <c r="A346" t="s">
        <v>1216</v>
      </c>
      <c r="B346" t="s">
        <v>2919</v>
      </c>
      <c r="C346" t="s">
        <v>2919</v>
      </c>
      <c r="D346" t="s">
        <v>2649</v>
      </c>
      <c r="E346" t="s">
        <v>2790</v>
      </c>
      <c r="F346" t="s">
        <v>677</v>
      </c>
    </row>
    <row r="347" spans="1:6" x14ac:dyDescent="0.25">
      <c r="A347" t="s">
        <v>1216</v>
      </c>
      <c r="B347" t="s">
        <v>2928</v>
      </c>
      <c r="C347" t="s">
        <v>2916</v>
      </c>
      <c r="D347" t="s">
        <v>2638</v>
      </c>
      <c r="E347" t="s">
        <v>2769</v>
      </c>
      <c r="F347" t="s">
        <v>670</v>
      </c>
    </row>
    <row r="348" spans="1:6" x14ac:dyDescent="0.25">
      <c r="A348" t="s">
        <v>1346</v>
      </c>
      <c r="B348" t="s">
        <v>2927</v>
      </c>
      <c r="C348" t="s">
        <v>2914</v>
      </c>
      <c r="D348" t="s">
        <v>2637</v>
      </c>
      <c r="E348" t="s">
        <v>2753</v>
      </c>
      <c r="F348" t="s">
        <v>707</v>
      </c>
    </row>
    <row r="349" spans="1:6" x14ac:dyDescent="0.25">
      <c r="A349" t="s">
        <v>1346</v>
      </c>
      <c r="B349" t="s">
        <v>2927</v>
      </c>
      <c r="C349" t="s">
        <v>2914</v>
      </c>
      <c r="D349" t="s">
        <v>2637</v>
      </c>
      <c r="E349" t="s">
        <v>2759</v>
      </c>
      <c r="F349" t="s">
        <v>680</v>
      </c>
    </row>
    <row r="350" spans="1:6" x14ac:dyDescent="0.25">
      <c r="A350" t="s">
        <v>1346</v>
      </c>
      <c r="B350" t="s">
        <v>2927</v>
      </c>
      <c r="C350" t="s">
        <v>2917</v>
      </c>
      <c r="D350" t="s">
        <v>2659</v>
      </c>
      <c r="E350" t="s">
        <v>2753</v>
      </c>
      <c r="F350" t="s">
        <v>691</v>
      </c>
    </row>
    <row r="351" spans="1:6" x14ac:dyDescent="0.25">
      <c r="A351" t="s">
        <v>1346</v>
      </c>
      <c r="B351" t="s">
        <v>2927</v>
      </c>
      <c r="C351" t="s">
        <v>2917</v>
      </c>
      <c r="D351" t="s">
        <v>325</v>
      </c>
      <c r="E351" t="s">
        <v>2776</v>
      </c>
      <c r="F351" t="s">
        <v>694</v>
      </c>
    </row>
    <row r="352" spans="1:6" x14ac:dyDescent="0.25">
      <c r="A352" t="s">
        <v>1346</v>
      </c>
      <c r="B352" t="s">
        <v>2927</v>
      </c>
      <c r="C352" t="s">
        <v>2917</v>
      </c>
      <c r="D352" t="s">
        <v>2679</v>
      </c>
      <c r="E352" t="s">
        <v>2753</v>
      </c>
      <c r="F352" t="s">
        <v>697</v>
      </c>
    </row>
    <row r="353" spans="1:6" x14ac:dyDescent="0.25">
      <c r="A353" t="s">
        <v>1346</v>
      </c>
      <c r="B353" t="s">
        <v>75</v>
      </c>
      <c r="C353" t="s">
        <v>75</v>
      </c>
      <c r="D353" t="s">
        <v>1212</v>
      </c>
      <c r="E353" t="s">
        <v>2775</v>
      </c>
      <c r="F353" t="s">
        <v>689</v>
      </c>
    </row>
    <row r="354" spans="1:6" x14ac:dyDescent="0.25">
      <c r="A354" t="s">
        <v>1346</v>
      </c>
      <c r="B354" t="s">
        <v>2921</v>
      </c>
      <c r="C354" t="s">
        <v>2918</v>
      </c>
      <c r="D354" t="s">
        <v>2639</v>
      </c>
      <c r="E354" t="s">
        <v>2759</v>
      </c>
      <c r="F354" t="s">
        <v>687</v>
      </c>
    </row>
    <row r="355" spans="1:6" x14ac:dyDescent="0.25">
      <c r="A355" t="s">
        <v>1346</v>
      </c>
      <c r="B355" t="s">
        <v>2921</v>
      </c>
      <c r="C355" t="s">
        <v>27</v>
      </c>
      <c r="D355" t="s">
        <v>2930</v>
      </c>
      <c r="E355" t="s">
        <v>2757</v>
      </c>
      <c r="F355" t="s">
        <v>690</v>
      </c>
    </row>
    <row r="356" spans="1:6" x14ac:dyDescent="0.25">
      <c r="A356" t="s">
        <v>1346</v>
      </c>
      <c r="B356" t="s">
        <v>2919</v>
      </c>
      <c r="C356" t="s">
        <v>2919</v>
      </c>
      <c r="D356" t="s">
        <v>2653</v>
      </c>
      <c r="E356" t="s">
        <v>2755</v>
      </c>
      <c r="F356" t="s">
        <v>699</v>
      </c>
    </row>
    <row r="357" spans="1:6" x14ac:dyDescent="0.25">
      <c r="A357" t="s">
        <v>1346</v>
      </c>
      <c r="B357" t="s">
        <v>2919</v>
      </c>
      <c r="C357" t="s">
        <v>2919</v>
      </c>
      <c r="D357" t="s">
        <v>2653</v>
      </c>
      <c r="E357" t="s">
        <v>2773</v>
      </c>
      <c r="F357" t="s">
        <v>718</v>
      </c>
    </row>
    <row r="358" spans="1:6" x14ac:dyDescent="0.25">
      <c r="A358" t="s">
        <v>1346</v>
      </c>
      <c r="B358" t="s">
        <v>2919</v>
      </c>
      <c r="C358" t="s">
        <v>2919</v>
      </c>
      <c r="D358" t="s">
        <v>2663</v>
      </c>
      <c r="E358" t="s">
        <v>2778</v>
      </c>
      <c r="F358" t="s">
        <v>705</v>
      </c>
    </row>
    <row r="359" spans="1:6" x14ac:dyDescent="0.25">
      <c r="A359" t="s">
        <v>1346</v>
      </c>
      <c r="B359" t="s">
        <v>2928</v>
      </c>
      <c r="C359" t="s">
        <v>2916</v>
      </c>
      <c r="D359" t="s">
        <v>2642</v>
      </c>
      <c r="E359" t="s">
        <v>2774</v>
      </c>
      <c r="F359" t="s">
        <v>688</v>
      </c>
    </row>
    <row r="360" spans="1:6" x14ac:dyDescent="0.25">
      <c r="A360" t="s">
        <v>1346</v>
      </c>
      <c r="B360" t="s">
        <v>2928</v>
      </c>
      <c r="C360" t="s">
        <v>2916</v>
      </c>
      <c r="D360" t="s">
        <v>2638</v>
      </c>
      <c r="E360" t="s">
        <v>2774</v>
      </c>
      <c r="F360" t="s">
        <v>334</v>
      </c>
    </row>
    <row r="361" spans="1:6" x14ac:dyDescent="0.25">
      <c r="A361" t="s">
        <v>1375</v>
      </c>
      <c r="B361" t="s">
        <v>2927</v>
      </c>
      <c r="C361" t="s">
        <v>2914</v>
      </c>
      <c r="D361" t="s">
        <v>2637</v>
      </c>
      <c r="E361" t="s">
        <v>2768</v>
      </c>
      <c r="F361" t="s">
        <v>724</v>
      </c>
    </row>
    <row r="362" spans="1:6" x14ac:dyDescent="0.25">
      <c r="A362" t="s">
        <v>1375</v>
      </c>
      <c r="B362" t="s">
        <v>2927</v>
      </c>
      <c r="C362" t="s">
        <v>2914</v>
      </c>
      <c r="D362" t="s">
        <v>2637</v>
      </c>
      <c r="E362" t="s">
        <v>2803</v>
      </c>
      <c r="F362" t="s">
        <v>725</v>
      </c>
    </row>
    <row r="363" spans="1:6" x14ac:dyDescent="0.25">
      <c r="A363" t="s">
        <v>1375</v>
      </c>
      <c r="B363" t="s">
        <v>75</v>
      </c>
      <c r="C363" t="s">
        <v>75</v>
      </c>
      <c r="D363" t="s">
        <v>1212</v>
      </c>
      <c r="E363" t="s">
        <v>2810</v>
      </c>
      <c r="F363" t="s">
        <v>722</v>
      </c>
    </row>
    <row r="364" spans="1:6" x14ac:dyDescent="0.25">
      <c r="A364" t="s">
        <v>1375</v>
      </c>
      <c r="B364" t="s">
        <v>2921</v>
      </c>
      <c r="C364" t="s">
        <v>2918</v>
      </c>
      <c r="D364" t="s">
        <v>2639</v>
      </c>
      <c r="E364" t="s">
        <v>2801</v>
      </c>
      <c r="F364" t="s">
        <v>720</v>
      </c>
    </row>
    <row r="365" spans="1:6" x14ac:dyDescent="0.25">
      <c r="A365" t="s">
        <v>1375</v>
      </c>
      <c r="B365" t="s">
        <v>2921</v>
      </c>
      <c r="C365" t="s">
        <v>27</v>
      </c>
      <c r="D365" t="s">
        <v>2930</v>
      </c>
      <c r="E365" t="s">
        <v>2801</v>
      </c>
      <c r="F365" t="s">
        <v>723</v>
      </c>
    </row>
    <row r="366" spans="1:6" x14ac:dyDescent="0.25">
      <c r="A366" t="s">
        <v>1375</v>
      </c>
      <c r="B366" t="s">
        <v>2921</v>
      </c>
      <c r="C366" t="s">
        <v>2920</v>
      </c>
      <c r="D366" t="s">
        <v>2643</v>
      </c>
      <c r="E366" t="s">
        <v>2791</v>
      </c>
      <c r="F366" t="s">
        <v>719</v>
      </c>
    </row>
    <row r="367" spans="1:6" x14ac:dyDescent="0.25">
      <c r="A367" t="s">
        <v>1375</v>
      </c>
      <c r="B367" t="s">
        <v>2919</v>
      </c>
      <c r="C367" t="s">
        <v>2919</v>
      </c>
      <c r="D367" t="s">
        <v>2663</v>
      </c>
      <c r="E367" t="s">
        <v>2788</v>
      </c>
      <c r="F367" t="s">
        <v>721</v>
      </c>
    </row>
    <row r="368" spans="1:6" x14ac:dyDescent="0.25">
      <c r="A368" t="s">
        <v>1375</v>
      </c>
      <c r="B368" t="s">
        <v>2928</v>
      </c>
      <c r="C368" t="s">
        <v>2916</v>
      </c>
      <c r="D368" t="s">
        <v>2638</v>
      </c>
      <c r="E368" t="s">
        <v>2780</v>
      </c>
      <c r="F368" t="s">
        <v>580</v>
      </c>
    </row>
    <row r="369" spans="1:6" x14ac:dyDescent="0.25">
      <c r="A369" t="s">
        <v>1256</v>
      </c>
      <c r="B369" t="s">
        <v>2927</v>
      </c>
      <c r="C369" t="s">
        <v>2914</v>
      </c>
      <c r="D369" t="s">
        <v>2637</v>
      </c>
      <c r="E369" t="s">
        <v>2753</v>
      </c>
      <c r="F369" t="s">
        <v>707</v>
      </c>
    </row>
    <row r="370" spans="1:6" x14ac:dyDescent="0.25">
      <c r="A370" t="s">
        <v>1256</v>
      </c>
      <c r="B370" t="s">
        <v>2927</v>
      </c>
      <c r="C370" t="s">
        <v>2914</v>
      </c>
      <c r="D370" t="s">
        <v>2637</v>
      </c>
      <c r="E370" t="s">
        <v>2759</v>
      </c>
      <c r="F370" t="s">
        <v>680</v>
      </c>
    </row>
    <row r="371" spans="1:6" x14ac:dyDescent="0.25">
      <c r="A371" t="s">
        <v>1256</v>
      </c>
      <c r="B371" t="s">
        <v>2927</v>
      </c>
      <c r="C371" t="s">
        <v>2917</v>
      </c>
      <c r="D371" t="s">
        <v>2659</v>
      </c>
      <c r="E371" t="s">
        <v>2753</v>
      </c>
      <c r="F371" t="s">
        <v>691</v>
      </c>
    </row>
    <row r="372" spans="1:6" x14ac:dyDescent="0.25">
      <c r="A372" t="s">
        <v>1256</v>
      </c>
      <c r="B372" t="s">
        <v>2927</v>
      </c>
      <c r="C372" t="s">
        <v>2917</v>
      </c>
      <c r="D372" t="s">
        <v>325</v>
      </c>
      <c r="E372" t="s">
        <v>2776</v>
      </c>
      <c r="F372" t="s">
        <v>694</v>
      </c>
    </row>
    <row r="373" spans="1:6" x14ac:dyDescent="0.25">
      <c r="A373" t="s">
        <v>1256</v>
      </c>
      <c r="B373" t="s">
        <v>2927</v>
      </c>
      <c r="C373" t="s">
        <v>2917</v>
      </c>
      <c r="D373" t="s">
        <v>2679</v>
      </c>
      <c r="E373" t="s">
        <v>2753</v>
      </c>
      <c r="F373" t="s">
        <v>697</v>
      </c>
    </row>
    <row r="374" spans="1:6" x14ac:dyDescent="0.25">
      <c r="A374" t="s">
        <v>1256</v>
      </c>
      <c r="B374" t="s">
        <v>75</v>
      </c>
      <c r="C374" t="s">
        <v>75</v>
      </c>
      <c r="D374" t="s">
        <v>1212</v>
      </c>
      <c r="E374" t="s">
        <v>2775</v>
      </c>
      <c r="F374" t="s">
        <v>689</v>
      </c>
    </row>
    <row r="375" spans="1:6" x14ac:dyDescent="0.25">
      <c r="A375" t="s">
        <v>1256</v>
      </c>
      <c r="B375" t="s">
        <v>2921</v>
      </c>
      <c r="C375" t="s">
        <v>2918</v>
      </c>
      <c r="D375" t="s">
        <v>2639</v>
      </c>
      <c r="E375" t="s">
        <v>2759</v>
      </c>
      <c r="F375" t="s">
        <v>687</v>
      </c>
    </row>
    <row r="376" spans="1:6" x14ac:dyDescent="0.25">
      <c r="A376" t="s">
        <v>1256</v>
      </c>
      <c r="B376" t="s">
        <v>2921</v>
      </c>
      <c r="C376" t="s">
        <v>27</v>
      </c>
      <c r="D376" t="s">
        <v>2930</v>
      </c>
      <c r="E376" t="s">
        <v>2757</v>
      </c>
      <c r="F376" t="s">
        <v>690</v>
      </c>
    </row>
    <row r="377" spans="1:6" x14ac:dyDescent="0.25">
      <c r="A377" t="s">
        <v>1256</v>
      </c>
      <c r="B377" t="s">
        <v>2921</v>
      </c>
      <c r="C377" t="s">
        <v>191</v>
      </c>
      <c r="D377" t="s">
        <v>191</v>
      </c>
      <c r="E377" t="s">
        <v>2762</v>
      </c>
      <c r="F377" t="s">
        <v>654</v>
      </c>
    </row>
    <row r="378" spans="1:6" x14ac:dyDescent="0.25">
      <c r="A378" t="s">
        <v>1256</v>
      </c>
      <c r="B378" t="s">
        <v>2919</v>
      </c>
      <c r="C378" t="s">
        <v>2919</v>
      </c>
      <c r="D378" t="s">
        <v>2653</v>
      </c>
      <c r="E378" t="s">
        <v>2755</v>
      </c>
      <c r="F378" t="s">
        <v>699</v>
      </c>
    </row>
    <row r="379" spans="1:6" x14ac:dyDescent="0.25">
      <c r="A379" t="s">
        <v>1256</v>
      </c>
      <c r="B379" t="s">
        <v>2919</v>
      </c>
      <c r="C379" t="s">
        <v>2919</v>
      </c>
      <c r="D379" t="s">
        <v>2653</v>
      </c>
      <c r="E379" t="s">
        <v>2773</v>
      </c>
      <c r="F379" t="s">
        <v>702</v>
      </c>
    </row>
    <row r="380" spans="1:6" x14ac:dyDescent="0.25">
      <c r="A380" t="s">
        <v>1256</v>
      </c>
      <c r="B380" t="s">
        <v>2919</v>
      </c>
      <c r="C380" t="s">
        <v>2919</v>
      </c>
      <c r="D380" t="s">
        <v>2663</v>
      </c>
      <c r="E380" t="s">
        <v>2778</v>
      </c>
      <c r="F380" t="s">
        <v>705</v>
      </c>
    </row>
    <row r="381" spans="1:6" x14ac:dyDescent="0.25">
      <c r="A381" t="s">
        <v>1256</v>
      </c>
      <c r="B381" t="s">
        <v>2928</v>
      </c>
      <c r="C381" t="s">
        <v>2916</v>
      </c>
      <c r="D381" t="s">
        <v>2642</v>
      </c>
      <c r="E381" t="s">
        <v>2774</v>
      </c>
      <c r="F381" t="s">
        <v>688</v>
      </c>
    </row>
    <row r="382" spans="1:6" x14ac:dyDescent="0.25">
      <c r="A382" t="s">
        <v>1256</v>
      </c>
      <c r="B382" t="s">
        <v>2928</v>
      </c>
      <c r="C382" t="s">
        <v>2916</v>
      </c>
      <c r="D382" t="s">
        <v>2638</v>
      </c>
      <c r="E382" t="s">
        <v>2814</v>
      </c>
      <c r="F382" t="s">
        <v>686</v>
      </c>
    </row>
    <row r="383" spans="1:6" x14ac:dyDescent="0.25">
      <c r="A383" t="s">
        <v>1287</v>
      </c>
      <c r="B383" t="s">
        <v>2927</v>
      </c>
      <c r="C383" t="s">
        <v>2914</v>
      </c>
      <c r="D383" t="s">
        <v>2637</v>
      </c>
      <c r="E383" t="s">
        <v>2753</v>
      </c>
      <c r="F383" t="s">
        <v>712</v>
      </c>
    </row>
    <row r="384" spans="1:6" x14ac:dyDescent="0.25">
      <c r="A384" t="s">
        <v>1287</v>
      </c>
      <c r="B384" t="s">
        <v>2927</v>
      </c>
      <c r="C384" t="s">
        <v>2914</v>
      </c>
      <c r="D384" t="s">
        <v>2637</v>
      </c>
      <c r="E384" t="s">
        <v>2761</v>
      </c>
      <c r="F384" t="s">
        <v>713</v>
      </c>
    </row>
    <row r="385" spans="1:6" x14ac:dyDescent="0.25">
      <c r="A385" t="s">
        <v>1287</v>
      </c>
      <c r="B385" t="s">
        <v>75</v>
      </c>
      <c r="C385" t="s">
        <v>75</v>
      </c>
      <c r="D385" t="s">
        <v>1212</v>
      </c>
      <c r="E385" t="s">
        <v>2759</v>
      </c>
      <c r="F385" t="s">
        <v>504</v>
      </c>
    </row>
    <row r="386" spans="1:6" x14ac:dyDescent="0.25">
      <c r="A386" t="s">
        <v>1287</v>
      </c>
      <c r="B386" t="s">
        <v>2921</v>
      </c>
      <c r="C386" t="s">
        <v>2918</v>
      </c>
      <c r="D386" t="s">
        <v>2639</v>
      </c>
      <c r="E386" t="s">
        <v>2770</v>
      </c>
      <c r="F386" t="s">
        <v>329</v>
      </c>
    </row>
    <row r="387" spans="1:6" x14ac:dyDescent="0.25">
      <c r="A387" t="s">
        <v>1287</v>
      </c>
      <c r="B387" t="s">
        <v>2921</v>
      </c>
      <c r="C387" t="s">
        <v>27</v>
      </c>
      <c r="D387" t="s">
        <v>2930</v>
      </c>
      <c r="E387" t="s">
        <v>2770</v>
      </c>
      <c r="F387" t="s">
        <v>711</v>
      </c>
    </row>
    <row r="388" spans="1:6" x14ac:dyDescent="0.25">
      <c r="A388" t="s">
        <v>1287</v>
      </c>
      <c r="B388" t="s">
        <v>2921</v>
      </c>
      <c r="C388" t="s">
        <v>191</v>
      </c>
      <c r="D388" t="s">
        <v>191</v>
      </c>
      <c r="E388" t="s">
        <v>2762</v>
      </c>
      <c r="F388" t="s">
        <v>654</v>
      </c>
    </row>
    <row r="389" spans="1:6" x14ac:dyDescent="0.25">
      <c r="A389" t="s">
        <v>1287</v>
      </c>
      <c r="B389" t="s">
        <v>2919</v>
      </c>
      <c r="C389" t="s">
        <v>2919</v>
      </c>
      <c r="D389" t="s">
        <v>2663</v>
      </c>
      <c r="E389" t="s">
        <v>2813</v>
      </c>
      <c r="F389" t="s">
        <v>710</v>
      </c>
    </row>
    <row r="390" spans="1:6" x14ac:dyDescent="0.25">
      <c r="A390" t="s">
        <v>1287</v>
      </c>
      <c r="B390" t="s">
        <v>2919</v>
      </c>
      <c r="C390" t="s">
        <v>2919</v>
      </c>
      <c r="D390" t="s">
        <v>2650</v>
      </c>
      <c r="E390" t="s">
        <v>2797</v>
      </c>
      <c r="F390" t="s">
        <v>709</v>
      </c>
    </row>
    <row r="391" spans="1:6" x14ac:dyDescent="0.25">
      <c r="A391" t="s">
        <v>1287</v>
      </c>
      <c r="B391" t="s">
        <v>2928</v>
      </c>
      <c r="C391" t="s">
        <v>2916</v>
      </c>
      <c r="D391" t="s">
        <v>2638</v>
      </c>
      <c r="E391" t="s">
        <v>2752</v>
      </c>
      <c r="F391" t="s">
        <v>606</v>
      </c>
    </row>
    <row r="392" spans="1:6" x14ac:dyDescent="0.25">
      <c r="A392" t="s">
        <v>1315</v>
      </c>
      <c r="B392" t="s">
        <v>2927</v>
      </c>
      <c r="C392" t="s">
        <v>2914</v>
      </c>
      <c r="D392" t="s">
        <v>2637</v>
      </c>
      <c r="E392" t="s">
        <v>2759</v>
      </c>
      <c r="F392" t="s">
        <v>680</v>
      </c>
    </row>
    <row r="393" spans="1:6" x14ac:dyDescent="0.25">
      <c r="A393" t="s">
        <v>1315</v>
      </c>
      <c r="B393" t="s">
        <v>2927</v>
      </c>
      <c r="C393" t="s">
        <v>2914</v>
      </c>
      <c r="D393" t="s">
        <v>2637</v>
      </c>
      <c r="E393" t="s">
        <v>2771</v>
      </c>
      <c r="F393" t="s">
        <v>681</v>
      </c>
    </row>
    <row r="394" spans="1:6" x14ac:dyDescent="0.25">
      <c r="A394" t="s">
        <v>1315</v>
      </c>
      <c r="B394" t="s">
        <v>2927</v>
      </c>
      <c r="C394" t="s">
        <v>2914</v>
      </c>
      <c r="D394" t="s">
        <v>2637</v>
      </c>
      <c r="E394" t="s">
        <v>2772</v>
      </c>
      <c r="F394" t="s">
        <v>682</v>
      </c>
    </row>
    <row r="395" spans="1:6" x14ac:dyDescent="0.25">
      <c r="A395" t="s">
        <v>1315</v>
      </c>
      <c r="B395" t="s">
        <v>75</v>
      </c>
      <c r="C395" t="s">
        <v>75</v>
      </c>
      <c r="D395" t="s">
        <v>1212</v>
      </c>
      <c r="E395" t="s">
        <v>2757</v>
      </c>
      <c r="F395" t="s">
        <v>554</v>
      </c>
    </row>
    <row r="396" spans="1:6" x14ac:dyDescent="0.25">
      <c r="A396" t="s">
        <v>1315</v>
      </c>
      <c r="B396" t="s">
        <v>2921</v>
      </c>
      <c r="C396" t="s">
        <v>2918</v>
      </c>
      <c r="D396" t="s">
        <v>2639</v>
      </c>
      <c r="E396" t="s">
        <v>2792</v>
      </c>
      <c r="F396" t="s">
        <v>674</v>
      </c>
    </row>
    <row r="397" spans="1:6" x14ac:dyDescent="0.25">
      <c r="A397" t="s">
        <v>1315</v>
      </c>
      <c r="B397" t="s">
        <v>2921</v>
      </c>
      <c r="C397" t="s">
        <v>2918</v>
      </c>
      <c r="D397" t="s">
        <v>2639</v>
      </c>
      <c r="E397" t="s">
        <v>2770</v>
      </c>
      <c r="F397" t="s">
        <v>329</v>
      </c>
    </row>
    <row r="398" spans="1:6" x14ac:dyDescent="0.25">
      <c r="A398" t="s">
        <v>1315</v>
      </c>
      <c r="B398" t="s">
        <v>2921</v>
      </c>
      <c r="C398" t="s">
        <v>27</v>
      </c>
      <c r="D398" t="s">
        <v>2930</v>
      </c>
      <c r="E398" t="s">
        <v>2759</v>
      </c>
      <c r="F398" t="s">
        <v>371</v>
      </c>
    </row>
    <row r="399" spans="1:6" x14ac:dyDescent="0.25">
      <c r="A399" t="s">
        <v>1315</v>
      </c>
      <c r="B399" t="s">
        <v>2921</v>
      </c>
      <c r="C399" t="s">
        <v>2920</v>
      </c>
      <c r="D399" t="s">
        <v>2643</v>
      </c>
      <c r="E399" t="s">
        <v>2778</v>
      </c>
      <c r="F399" t="s">
        <v>714</v>
      </c>
    </row>
    <row r="400" spans="1:6" x14ac:dyDescent="0.25">
      <c r="A400" t="s">
        <v>1315</v>
      </c>
      <c r="B400" t="s">
        <v>2921</v>
      </c>
      <c r="C400" t="s">
        <v>191</v>
      </c>
      <c r="D400" t="s">
        <v>191</v>
      </c>
      <c r="E400" t="s">
        <v>2762</v>
      </c>
      <c r="F400" t="s">
        <v>654</v>
      </c>
    </row>
    <row r="401" spans="1:6" x14ac:dyDescent="0.25">
      <c r="A401" t="s">
        <v>1315</v>
      </c>
      <c r="B401" t="s">
        <v>2919</v>
      </c>
      <c r="C401" t="s">
        <v>2919</v>
      </c>
      <c r="D401" t="s">
        <v>2653</v>
      </c>
      <c r="E401" t="s">
        <v>2773</v>
      </c>
      <c r="F401" t="s">
        <v>683</v>
      </c>
    </row>
    <row r="402" spans="1:6" x14ac:dyDescent="0.25">
      <c r="A402" t="s">
        <v>1315</v>
      </c>
      <c r="B402" t="s">
        <v>2919</v>
      </c>
      <c r="C402" t="s">
        <v>2919</v>
      </c>
      <c r="D402" t="s">
        <v>2649</v>
      </c>
      <c r="E402" t="s">
        <v>2790</v>
      </c>
      <c r="F402" t="s">
        <v>677</v>
      </c>
    </row>
    <row r="403" spans="1:6" x14ac:dyDescent="0.25">
      <c r="A403" t="s">
        <v>1315</v>
      </c>
      <c r="B403" t="s">
        <v>2928</v>
      </c>
      <c r="C403" t="s">
        <v>2916</v>
      </c>
      <c r="D403" t="s">
        <v>2638</v>
      </c>
      <c r="E403" t="s">
        <v>2769</v>
      </c>
      <c r="F403" t="s">
        <v>670</v>
      </c>
    </row>
    <row r="404" spans="1:6" x14ac:dyDescent="0.25">
      <c r="A404" t="s">
        <v>1413</v>
      </c>
      <c r="B404" t="s">
        <v>2927</v>
      </c>
      <c r="C404" t="s">
        <v>2914</v>
      </c>
      <c r="D404" t="s">
        <v>2637</v>
      </c>
      <c r="E404" t="s">
        <v>2759</v>
      </c>
      <c r="F404" t="s">
        <v>680</v>
      </c>
    </row>
    <row r="405" spans="1:6" x14ac:dyDescent="0.25">
      <c r="A405" t="s">
        <v>1413</v>
      </c>
      <c r="B405" t="s">
        <v>2927</v>
      </c>
      <c r="C405" t="s">
        <v>2914</v>
      </c>
      <c r="D405" t="s">
        <v>2637</v>
      </c>
      <c r="E405" t="s">
        <v>2771</v>
      </c>
      <c r="F405" t="s">
        <v>681</v>
      </c>
    </row>
    <row r="406" spans="1:6" x14ac:dyDescent="0.25">
      <c r="A406" t="s">
        <v>1413</v>
      </c>
      <c r="B406" t="s">
        <v>2927</v>
      </c>
      <c r="C406" t="s">
        <v>2914</v>
      </c>
      <c r="D406" t="s">
        <v>2637</v>
      </c>
      <c r="E406" t="s">
        <v>2771</v>
      </c>
      <c r="F406" t="s">
        <v>736</v>
      </c>
    </row>
    <row r="407" spans="1:6" x14ac:dyDescent="0.25">
      <c r="A407" t="s">
        <v>1413</v>
      </c>
      <c r="B407" t="s">
        <v>2927</v>
      </c>
      <c r="C407" t="s">
        <v>2914</v>
      </c>
      <c r="D407" t="s">
        <v>2637</v>
      </c>
      <c r="E407" t="s">
        <v>2772</v>
      </c>
      <c r="F407" t="s">
        <v>682</v>
      </c>
    </row>
    <row r="408" spans="1:6" x14ac:dyDescent="0.25">
      <c r="A408" t="s">
        <v>1413</v>
      </c>
      <c r="B408" t="s">
        <v>75</v>
      </c>
      <c r="C408" t="s">
        <v>75</v>
      </c>
      <c r="D408" t="s">
        <v>2640</v>
      </c>
      <c r="E408" t="s">
        <v>2753</v>
      </c>
      <c r="F408" t="s">
        <v>368</v>
      </c>
    </row>
    <row r="409" spans="1:6" x14ac:dyDescent="0.25">
      <c r="A409" t="s">
        <v>1413</v>
      </c>
      <c r="B409" t="s">
        <v>75</v>
      </c>
      <c r="C409" t="s">
        <v>75</v>
      </c>
      <c r="D409" t="s">
        <v>1212</v>
      </c>
      <c r="E409" t="s">
        <v>2757</v>
      </c>
      <c r="F409" t="s">
        <v>554</v>
      </c>
    </row>
    <row r="410" spans="1:6" x14ac:dyDescent="0.25">
      <c r="A410" t="s">
        <v>1413</v>
      </c>
      <c r="B410" t="s">
        <v>2921</v>
      </c>
      <c r="C410" t="s">
        <v>2918</v>
      </c>
      <c r="D410" t="s">
        <v>2639</v>
      </c>
      <c r="E410" t="s">
        <v>2792</v>
      </c>
      <c r="F410" t="s">
        <v>674</v>
      </c>
    </row>
    <row r="411" spans="1:6" x14ac:dyDescent="0.25">
      <c r="A411" t="s">
        <v>1413</v>
      </c>
      <c r="B411" t="s">
        <v>2921</v>
      </c>
      <c r="C411" t="s">
        <v>2918</v>
      </c>
      <c r="D411" t="s">
        <v>2639</v>
      </c>
      <c r="E411" t="s">
        <v>2798</v>
      </c>
      <c r="F411" t="s">
        <v>730</v>
      </c>
    </row>
    <row r="412" spans="1:6" x14ac:dyDescent="0.25">
      <c r="A412" t="s">
        <v>1413</v>
      </c>
      <c r="B412" t="s">
        <v>2921</v>
      </c>
      <c r="C412" t="s">
        <v>2918</v>
      </c>
      <c r="D412" t="s">
        <v>2639</v>
      </c>
      <c r="E412" t="s">
        <v>2770</v>
      </c>
      <c r="F412" t="s">
        <v>329</v>
      </c>
    </row>
    <row r="413" spans="1:6" x14ac:dyDescent="0.25">
      <c r="A413" t="s">
        <v>1413</v>
      </c>
      <c r="B413" t="s">
        <v>2921</v>
      </c>
      <c r="C413" t="s">
        <v>2918</v>
      </c>
      <c r="D413" t="s">
        <v>2688</v>
      </c>
      <c r="E413" t="s">
        <v>2763</v>
      </c>
      <c r="F413" t="s">
        <v>737</v>
      </c>
    </row>
    <row r="414" spans="1:6" x14ac:dyDescent="0.25">
      <c r="A414" t="s">
        <v>1413</v>
      </c>
      <c r="B414" t="s">
        <v>2921</v>
      </c>
      <c r="C414" t="s">
        <v>27</v>
      </c>
      <c r="D414" t="s">
        <v>2930</v>
      </c>
      <c r="E414" t="s">
        <v>2759</v>
      </c>
      <c r="F414" t="s">
        <v>371</v>
      </c>
    </row>
    <row r="415" spans="1:6" x14ac:dyDescent="0.25">
      <c r="A415" t="s">
        <v>1413</v>
      </c>
      <c r="B415" t="s">
        <v>2921</v>
      </c>
      <c r="C415" t="s">
        <v>2920</v>
      </c>
      <c r="D415" t="s">
        <v>2643</v>
      </c>
      <c r="E415" t="s">
        <v>2778</v>
      </c>
      <c r="F415" t="s">
        <v>714</v>
      </c>
    </row>
    <row r="416" spans="1:6" x14ac:dyDescent="0.25">
      <c r="A416" t="s">
        <v>1413</v>
      </c>
      <c r="B416" t="s">
        <v>2921</v>
      </c>
      <c r="C416" t="s">
        <v>2920</v>
      </c>
      <c r="D416" t="s">
        <v>2643</v>
      </c>
      <c r="E416" t="s">
        <v>2788</v>
      </c>
      <c r="F416" t="s">
        <v>729</v>
      </c>
    </row>
    <row r="417" spans="1:6" x14ac:dyDescent="0.25">
      <c r="A417" t="s">
        <v>1413</v>
      </c>
      <c r="B417" t="s">
        <v>2919</v>
      </c>
      <c r="C417" t="s">
        <v>2919</v>
      </c>
      <c r="D417" t="s">
        <v>2653</v>
      </c>
      <c r="E417" t="s">
        <v>2756</v>
      </c>
      <c r="F417" t="s">
        <v>733</v>
      </c>
    </row>
    <row r="418" spans="1:6" x14ac:dyDescent="0.25">
      <c r="A418" t="s">
        <v>1413</v>
      </c>
      <c r="B418" t="s">
        <v>2919</v>
      </c>
      <c r="C418" t="s">
        <v>2919</v>
      </c>
      <c r="D418" t="s">
        <v>2653</v>
      </c>
      <c r="E418" t="s">
        <v>2773</v>
      </c>
      <c r="F418" t="s">
        <v>683</v>
      </c>
    </row>
    <row r="419" spans="1:6" x14ac:dyDescent="0.25">
      <c r="A419" t="s">
        <v>1413</v>
      </c>
      <c r="B419" t="s">
        <v>2919</v>
      </c>
      <c r="C419" t="s">
        <v>2919</v>
      </c>
      <c r="D419" t="s">
        <v>2649</v>
      </c>
      <c r="E419" t="s">
        <v>2790</v>
      </c>
      <c r="F419" t="s">
        <v>677</v>
      </c>
    </row>
    <row r="420" spans="1:6" x14ac:dyDescent="0.25">
      <c r="A420" t="s">
        <v>1413</v>
      </c>
      <c r="B420" t="s">
        <v>2928</v>
      </c>
      <c r="C420" t="s">
        <v>2916</v>
      </c>
      <c r="D420" t="s">
        <v>2638</v>
      </c>
      <c r="E420" t="s">
        <v>2769</v>
      </c>
      <c r="F420" t="s">
        <v>670</v>
      </c>
    </row>
    <row r="421" spans="1:6" x14ac:dyDescent="0.25">
      <c r="A421" t="s">
        <v>1413</v>
      </c>
      <c r="B421" t="s">
        <v>2928</v>
      </c>
      <c r="C421" t="s">
        <v>2916</v>
      </c>
      <c r="D421" t="s">
        <v>2638</v>
      </c>
      <c r="E421" t="s">
        <v>2752</v>
      </c>
      <c r="F421" t="s">
        <v>606</v>
      </c>
    </row>
    <row r="422" spans="1:6" x14ac:dyDescent="0.25">
      <c r="A422" t="s">
        <v>1435</v>
      </c>
      <c r="B422" t="s">
        <v>2927</v>
      </c>
      <c r="C422" t="s">
        <v>2914</v>
      </c>
      <c r="D422" t="s">
        <v>2637</v>
      </c>
      <c r="E422" t="s">
        <v>2760</v>
      </c>
      <c r="F422" t="s">
        <v>745</v>
      </c>
    </row>
    <row r="423" spans="1:6" x14ac:dyDescent="0.25">
      <c r="A423" t="s">
        <v>1435</v>
      </c>
      <c r="B423" t="s">
        <v>2927</v>
      </c>
      <c r="C423" t="s">
        <v>2914</v>
      </c>
      <c r="D423" t="s">
        <v>2637</v>
      </c>
      <c r="E423" t="s">
        <v>2816</v>
      </c>
      <c r="F423" t="s">
        <v>746</v>
      </c>
    </row>
    <row r="424" spans="1:6" x14ac:dyDescent="0.25">
      <c r="A424" t="s">
        <v>1435</v>
      </c>
      <c r="B424" t="s">
        <v>75</v>
      </c>
      <c r="C424" t="s">
        <v>75</v>
      </c>
      <c r="D424" t="s">
        <v>1212</v>
      </c>
      <c r="E424" t="s">
        <v>2757</v>
      </c>
      <c r="F424" t="s">
        <v>554</v>
      </c>
    </row>
    <row r="425" spans="1:6" x14ac:dyDescent="0.25">
      <c r="A425" t="s">
        <v>1435</v>
      </c>
      <c r="B425" t="s">
        <v>2921</v>
      </c>
      <c r="C425" t="s">
        <v>2920</v>
      </c>
      <c r="D425" t="s">
        <v>2667</v>
      </c>
      <c r="E425" t="s">
        <v>2786</v>
      </c>
      <c r="F425" t="s">
        <v>742</v>
      </c>
    </row>
    <row r="426" spans="1:6" x14ac:dyDescent="0.25">
      <c r="A426" t="s">
        <v>1435</v>
      </c>
      <c r="B426" t="s">
        <v>2921</v>
      </c>
      <c r="C426" t="s">
        <v>2920</v>
      </c>
      <c r="D426" t="s">
        <v>2643</v>
      </c>
      <c r="E426" t="s">
        <v>2774</v>
      </c>
      <c r="F426" t="s">
        <v>740</v>
      </c>
    </row>
    <row r="427" spans="1:6" x14ac:dyDescent="0.25">
      <c r="A427" t="s">
        <v>1435</v>
      </c>
      <c r="B427" t="s">
        <v>2921</v>
      </c>
      <c r="C427" t="s">
        <v>2921</v>
      </c>
      <c r="D427" t="s">
        <v>2644</v>
      </c>
      <c r="E427" t="s">
        <v>2759</v>
      </c>
      <c r="F427" t="s">
        <v>747</v>
      </c>
    </row>
    <row r="428" spans="1:6" x14ac:dyDescent="0.25">
      <c r="A428" t="s">
        <v>1435</v>
      </c>
      <c r="B428" t="s">
        <v>2919</v>
      </c>
      <c r="C428" t="s">
        <v>2919</v>
      </c>
      <c r="D428" t="s">
        <v>2676</v>
      </c>
      <c r="E428" t="s">
        <v>2791</v>
      </c>
      <c r="F428" t="s">
        <v>749</v>
      </c>
    </row>
    <row r="429" spans="1:6" x14ac:dyDescent="0.25">
      <c r="A429" t="s">
        <v>1435</v>
      </c>
      <c r="B429" t="s">
        <v>2928</v>
      </c>
      <c r="C429" t="s">
        <v>2916</v>
      </c>
      <c r="D429" t="s">
        <v>2642</v>
      </c>
      <c r="E429" t="s">
        <v>2769</v>
      </c>
      <c r="F429" t="s">
        <v>741</v>
      </c>
    </row>
    <row r="430" spans="1:6" x14ac:dyDescent="0.25">
      <c r="A430" t="s">
        <v>1435</v>
      </c>
      <c r="B430" t="s">
        <v>2928</v>
      </c>
      <c r="C430" t="s">
        <v>2916</v>
      </c>
      <c r="D430" t="s">
        <v>2638</v>
      </c>
      <c r="E430" t="s">
        <v>2815</v>
      </c>
      <c r="F430" t="s">
        <v>739</v>
      </c>
    </row>
    <row r="431" spans="1:6" x14ac:dyDescent="0.25">
      <c r="A431" t="s">
        <v>1464</v>
      </c>
      <c r="B431" t="s">
        <v>2927</v>
      </c>
      <c r="C431" t="s">
        <v>2914</v>
      </c>
      <c r="D431" t="s">
        <v>2637</v>
      </c>
      <c r="E431" t="s">
        <v>2757</v>
      </c>
      <c r="F431" t="s">
        <v>758</v>
      </c>
    </row>
    <row r="432" spans="1:6" x14ac:dyDescent="0.25">
      <c r="A432" t="s">
        <v>1464</v>
      </c>
      <c r="B432" t="s">
        <v>2921</v>
      </c>
      <c r="C432" t="s">
        <v>2920</v>
      </c>
      <c r="D432" t="s">
        <v>2643</v>
      </c>
      <c r="E432" t="s">
        <v>2778</v>
      </c>
      <c r="F432" t="s">
        <v>714</v>
      </c>
    </row>
    <row r="433" spans="1:6" x14ac:dyDescent="0.25">
      <c r="A433" t="s">
        <v>1464</v>
      </c>
      <c r="B433" t="s">
        <v>2919</v>
      </c>
      <c r="C433" t="s">
        <v>2919</v>
      </c>
      <c r="D433" t="s">
        <v>2650</v>
      </c>
      <c r="E433" t="s">
        <v>2774</v>
      </c>
      <c r="F433" t="s">
        <v>752</v>
      </c>
    </row>
    <row r="434" spans="1:6" x14ac:dyDescent="0.25">
      <c r="A434" t="s">
        <v>1464</v>
      </c>
      <c r="B434" t="s">
        <v>2928</v>
      </c>
      <c r="C434" t="s">
        <v>2916</v>
      </c>
      <c r="D434" t="s">
        <v>2638</v>
      </c>
      <c r="E434" t="s">
        <v>2769</v>
      </c>
      <c r="F434" t="s">
        <v>751</v>
      </c>
    </row>
    <row r="435" spans="1:6" x14ac:dyDescent="0.25">
      <c r="A435" t="s">
        <v>1464</v>
      </c>
      <c r="B435" t="s">
        <v>2928</v>
      </c>
      <c r="C435" t="s">
        <v>2916</v>
      </c>
      <c r="D435" t="s">
        <v>2638</v>
      </c>
      <c r="E435" t="s">
        <v>2780</v>
      </c>
      <c r="F435" t="s">
        <v>580</v>
      </c>
    </row>
    <row r="436" spans="1:6" x14ac:dyDescent="0.25">
      <c r="A436" t="s">
        <v>1464</v>
      </c>
      <c r="B436" t="s">
        <v>2928</v>
      </c>
      <c r="C436" t="s">
        <v>2922</v>
      </c>
      <c r="D436" t="s">
        <v>2668</v>
      </c>
      <c r="E436" t="s">
        <v>2779</v>
      </c>
      <c r="F436" t="s">
        <v>755</v>
      </c>
    </row>
    <row r="437" spans="1:6" x14ac:dyDescent="0.25">
      <c r="A437" t="s">
        <v>1490</v>
      </c>
      <c r="B437" t="s">
        <v>2927</v>
      </c>
      <c r="C437" t="s">
        <v>2917</v>
      </c>
      <c r="D437" t="s">
        <v>1206</v>
      </c>
      <c r="E437" t="s">
        <v>2761</v>
      </c>
      <c r="F437" t="s">
        <v>774</v>
      </c>
    </row>
    <row r="438" spans="1:6" x14ac:dyDescent="0.25">
      <c r="A438" t="s">
        <v>1490</v>
      </c>
      <c r="B438" t="s">
        <v>2927</v>
      </c>
      <c r="C438" t="s">
        <v>2924</v>
      </c>
      <c r="D438" t="s">
        <v>750</v>
      </c>
      <c r="E438" t="s">
        <v>2784</v>
      </c>
      <c r="F438" t="s">
        <v>777</v>
      </c>
    </row>
    <row r="439" spans="1:6" x14ac:dyDescent="0.25">
      <c r="A439" t="s">
        <v>1490</v>
      </c>
      <c r="B439" t="s">
        <v>75</v>
      </c>
      <c r="C439" t="s">
        <v>75</v>
      </c>
      <c r="D439" t="s">
        <v>2640</v>
      </c>
      <c r="E439" t="s">
        <v>2793</v>
      </c>
      <c r="F439" t="s">
        <v>770</v>
      </c>
    </row>
    <row r="440" spans="1:6" x14ac:dyDescent="0.25">
      <c r="A440" t="s">
        <v>1490</v>
      </c>
      <c r="B440" t="s">
        <v>2921</v>
      </c>
      <c r="C440" t="s">
        <v>2918</v>
      </c>
      <c r="D440" t="s">
        <v>2639</v>
      </c>
      <c r="E440" t="s">
        <v>2770</v>
      </c>
      <c r="F440" t="s">
        <v>759</v>
      </c>
    </row>
    <row r="441" spans="1:6" x14ac:dyDescent="0.25">
      <c r="A441" t="s">
        <v>1490</v>
      </c>
      <c r="B441" t="s">
        <v>2921</v>
      </c>
      <c r="C441" t="s">
        <v>2918</v>
      </c>
      <c r="D441" t="s">
        <v>2639</v>
      </c>
      <c r="E441" t="s">
        <v>2793</v>
      </c>
      <c r="F441" t="s">
        <v>763</v>
      </c>
    </row>
    <row r="442" spans="1:6" x14ac:dyDescent="0.25">
      <c r="A442" t="s">
        <v>1490</v>
      </c>
      <c r="B442" t="s">
        <v>2921</v>
      </c>
      <c r="C442" t="s">
        <v>2918</v>
      </c>
      <c r="D442" t="s">
        <v>2639</v>
      </c>
      <c r="E442" t="s">
        <v>2801</v>
      </c>
      <c r="F442" t="s">
        <v>762</v>
      </c>
    </row>
    <row r="443" spans="1:6" x14ac:dyDescent="0.25">
      <c r="A443" t="s">
        <v>1490</v>
      </c>
      <c r="B443" t="s">
        <v>2921</v>
      </c>
      <c r="C443" t="s">
        <v>2918</v>
      </c>
      <c r="D443" t="s">
        <v>2669</v>
      </c>
      <c r="E443" t="s">
        <v>2794</v>
      </c>
      <c r="F443" t="s">
        <v>764</v>
      </c>
    </row>
    <row r="444" spans="1:6" x14ac:dyDescent="0.25">
      <c r="A444" t="s">
        <v>1490</v>
      </c>
      <c r="B444" t="s">
        <v>2921</v>
      </c>
      <c r="C444" t="s">
        <v>2921</v>
      </c>
      <c r="D444" t="s">
        <v>2670</v>
      </c>
      <c r="E444" t="s">
        <v>2785</v>
      </c>
      <c r="F444" t="s">
        <v>785</v>
      </c>
    </row>
    <row r="445" spans="1:6" x14ac:dyDescent="0.25">
      <c r="A445" t="s">
        <v>1490</v>
      </c>
      <c r="B445" t="s">
        <v>2921</v>
      </c>
      <c r="C445" t="s">
        <v>2921</v>
      </c>
      <c r="D445" t="s">
        <v>2670</v>
      </c>
      <c r="E445" t="s">
        <v>2796</v>
      </c>
      <c r="F445" t="s">
        <v>771</v>
      </c>
    </row>
    <row r="446" spans="1:6" x14ac:dyDescent="0.25">
      <c r="A446" t="s">
        <v>1490</v>
      </c>
      <c r="B446" t="s">
        <v>2921</v>
      </c>
      <c r="C446" t="s">
        <v>191</v>
      </c>
      <c r="D446" t="s">
        <v>191</v>
      </c>
      <c r="E446" t="s">
        <v>2817</v>
      </c>
      <c r="F446" t="s">
        <v>338</v>
      </c>
    </row>
    <row r="447" spans="1:6" x14ac:dyDescent="0.25">
      <c r="A447" t="s">
        <v>1490</v>
      </c>
      <c r="B447" t="s">
        <v>2919</v>
      </c>
      <c r="C447" t="s">
        <v>2919</v>
      </c>
      <c r="D447" t="s">
        <v>2654</v>
      </c>
      <c r="E447" t="s">
        <v>2783</v>
      </c>
      <c r="F447" t="s">
        <v>779</v>
      </c>
    </row>
    <row r="448" spans="1:6" x14ac:dyDescent="0.25">
      <c r="A448" t="s">
        <v>1490</v>
      </c>
      <c r="B448" t="s">
        <v>2919</v>
      </c>
      <c r="C448" t="s">
        <v>2919</v>
      </c>
      <c r="D448" t="s">
        <v>2654</v>
      </c>
      <c r="E448" t="s">
        <v>2755</v>
      </c>
      <c r="F448" t="s">
        <v>782</v>
      </c>
    </row>
    <row r="449" spans="1:6" x14ac:dyDescent="0.25">
      <c r="A449" t="s">
        <v>1490</v>
      </c>
      <c r="B449" t="s">
        <v>2928</v>
      </c>
      <c r="C449" t="s">
        <v>2916</v>
      </c>
      <c r="D449" t="s">
        <v>2656</v>
      </c>
      <c r="E449" t="s">
        <v>2795</v>
      </c>
      <c r="F449" t="s">
        <v>767</v>
      </c>
    </row>
    <row r="450" spans="1:6" x14ac:dyDescent="0.25">
      <c r="A450" t="s">
        <v>1630</v>
      </c>
      <c r="B450" t="s">
        <v>2927</v>
      </c>
      <c r="C450" t="s">
        <v>2914</v>
      </c>
      <c r="D450" t="s">
        <v>2637</v>
      </c>
      <c r="E450" t="s">
        <v>2761</v>
      </c>
      <c r="F450" t="s">
        <v>862</v>
      </c>
    </row>
    <row r="451" spans="1:6" x14ac:dyDescent="0.25">
      <c r="A451" t="s">
        <v>1630</v>
      </c>
      <c r="B451" t="s">
        <v>75</v>
      </c>
      <c r="C451" t="s">
        <v>75</v>
      </c>
      <c r="D451" t="s">
        <v>2640</v>
      </c>
      <c r="E451" t="s">
        <v>2761</v>
      </c>
      <c r="F451" t="s">
        <v>863</v>
      </c>
    </row>
    <row r="452" spans="1:6" x14ac:dyDescent="0.25">
      <c r="A452" t="s">
        <v>1630</v>
      </c>
      <c r="B452" t="s">
        <v>75</v>
      </c>
      <c r="C452" t="s">
        <v>75</v>
      </c>
      <c r="D452" t="s">
        <v>1212</v>
      </c>
      <c r="E452" t="s">
        <v>2757</v>
      </c>
      <c r="F452" t="s">
        <v>554</v>
      </c>
    </row>
    <row r="453" spans="1:6" x14ac:dyDescent="0.25">
      <c r="A453" t="s">
        <v>1630</v>
      </c>
      <c r="B453" t="s">
        <v>2921</v>
      </c>
      <c r="C453" t="s">
        <v>2918</v>
      </c>
      <c r="D453" t="s">
        <v>2639</v>
      </c>
      <c r="E453" t="s">
        <v>2768</v>
      </c>
      <c r="F453" t="s">
        <v>856</v>
      </c>
    </row>
    <row r="454" spans="1:6" x14ac:dyDescent="0.25">
      <c r="A454" t="s">
        <v>1630</v>
      </c>
      <c r="B454" t="s">
        <v>2921</v>
      </c>
      <c r="C454" t="s">
        <v>2918</v>
      </c>
      <c r="D454" t="s">
        <v>2639</v>
      </c>
      <c r="E454" t="s">
        <v>2803</v>
      </c>
      <c r="F454" t="s">
        <v>478</v>
      </c>
    </row>
    <row r="455" spans="1:6" x14ac:dyDescent="0.25">
      <c r="A455" t="s">
        <v>1630</v>
      </c>
      <c r="B455" t="s">
        <v>2921</v>
      </c>
      <c r="C455" t="s">
        <v>2921</v>
      </c>
      <c r="D455" t="s">
        <v>2644</v>
      </c>
      <c r="E455" t="s">
        <v>2753</v>
      </c>
      <c r="F455" t="s">
        <v>860</v>
      </c>
    </row>
    <row r="456" spans="1:6" x14ac:dyDescent="0.25">
      <c r="A456" t="s">
        <v>1630</v>
      </c>
      <c r="B456" t="s">
        <v>2921</v>
      </c>
      <c r="C456" t="s">
        <v>2921</v>
      </c>
      <c r="D456" t="s">
        <v>2644</v>
      </c>
      <c r="E456" t="s">
        <v>2753</v>
      </c>
      <c r="F456" t="s">
        <v>861</v>
      </c>
    </row>
    <row r="457" spans="1:6" x14ac:dyDescent="0.25">
      <c r="A457" t="s">
        <v>1630</v>
      </c>
      <c r="B457" t="s">
        <v>2921</v>
      </c>
      <c r="C457" t="s">
        <v>191</v>
      </c>
      <c r="D457" t="s">
        <v>191</v>
      </c>
      <c r="E457" t="s">
        <v>2817</v>
      </c>
      <c r="F457" t="s">
        <v>338</v>
      </c>
    </row>
    <row r="458" spans="1:6" x14ac:dyDescent="0.25">
      <c r="A458" t="s">
        <v>1630</v>
      </c>
      <c r="B458" t="s">
        <v>2919</v>
      </c>
      <c r="C458" t="s">
        <v>2919</v>
      </c>
      <c r="D458" t="s">
        <v>2653</v>
      </c>
      <c r="E458" t="s">
        <v>2755</v>
      </c>
      <c r="F458" t="s">
        <v>498</v>
      </c>
    </row>
    <row r="459" spans="1:6" x14ac:dyDescent="0.25">
      <c r="A459" t="s">
        <v>1630</v>
      </c>
      <c r="B459" t="s">
        <v>2919</v>
      </c>
      <c r="C459" t="s">
        <v>2919</v>
      </c>
      <c r="D459" t="s">
        <v>2648</v>
      </c>
      <c r="E459" t="s">
        <v>2765</v>
      </c>
      <c r="F459" t="s">
        <v>859</v>
      </c>
    </row>
    <row r="460" spans="1:6" x14ac:dyDescent="0.25">
      <c r="A460" t="s">
        <v>1630</v>
      </c>
      <c r="B460" t="s">
        <v>2919</v>
      </c>
      <c r="C460" t="s">
        <v>2919</v>
      </c>
      <c r="D460" t="s">
        <v>2654</v>
      </c>
      <c r="E460" t="s">
        <v>2797</v>
      </c>
      <c r="F460" t="s">
        <v>574</v>
      </c>
    </row>
    <row r="461" spans="1:6" x14ac:dyDescent="0.25">
      <c r="A461" t="s">
        <v>1630</v>
      </c>
      <c r="B461" t="s">
        <v>2928</v>
      </c>
      <c r="C461" t="s">
        <v>2916</v>
      </c>
      <c r="D461" t="s">
        <v>2656</v>
      </c>
      <c r="E461" t="s">
        <v>2786</v>
      </c>
      <c r="F461" t="s">
        <v>485</v>
      </c>
    </row>
    <row r="462" spans="1:6" x14ac:dyDescent="0.25">
      <c r="A462" t="s">
        <v>1630</v>
      </c>
      <c r="B462" t="s">
        <v>2928</v>
      </c>
      <c r="C462" t="s">
        <v>2916</v>
      </c>
      <c r="D462" t="s">
        <v>2638</v>
      </c>
      <c r="E462" t="s">
        <v>2774</v>
      </c>
      <c r="F462" t="s">
        <v>334</v>
      </c>
    </row>
    <row r="463" spans="1:6" x14ac:dyDescent="0.25">
      <c r="A463" t="s">
        <v>1668</v>
      </c>
      <c r="B463" t="s">
        <v>2927</v>
      </c>
      <c r="C463" t="s">
        <v>2914</v>
      </c>
      <c r="D463" t="s">
        <v>2637</v>
      </c>
      <c r="E463" t="s">
        <v>2794</v>
      </c>
      <c r="F463" t="s">
        <v>870</v>
      </c>
    </row>
    <row r="464" spans="1:6" x14ac:dyDescent="0.25">
      <c r="A464" t="s">
        <v>1668</v>
      </c>
      <c r="B464" t="s">
        <v>2927</v>
      </c>
      <c r="C464" t="s">
        <v>2914</v>
      </c>
      <c r="D464" t="s">
        <v>2637</v>
      </c>
      <c r="E464" t="s">
        <v>2793</v>
      </c>
      <c r="F464" t="s">
        <v>869</v>
      </c>
    </row>
    <row r="465" spans="1:6" x14ac:dyDescent="0.25">
      <c r="A465" t="s">
        <v>1668</v>
      </c>
      <c r="B465" t="s">
        <v>2927</v>
      </c>
      <c r="C465" t="s">
        <v>2917</v>
      </c>
      <c r="D465" t="s">
        <v>2687</v>
      </c>
      <c r="E465" t="s">
        <v>2770</v>
      </c>
      <c r="F465" t="s">
        <v>875</v>
      </c>
    </row>
    <row r="466" spans="1:6" x14ac:dyDescent="0.25">
      <c r="A466" t="s">
        <v>1668</v>
      </c>
      <c r="B466" t="s">
        <v>2927</v>
      </c>
      <c r="C466" t="s">
        <v>2917</v>
      </c>
      <c r="D466" t="s">
        <v>1206</v>
      </c>
      <c r="E466" t="s">
        <v>2759</v>
      </c>
      <c r="F466" t="s">
        <v>873</v>
      </c>
    </row>
    <row r="467" spans="1:6" x14ac:dyDescent="0.25">
      <c r="A467" t="s">
        <v>1668</v>
      </c>
      <c r="B467" t="s">
        <v>75</v>
      </c>
      <c r="C467" t="s">
        <v>75</v>
      </c>
      <c r="D467" t="s">
        <v>2640</v>
      </c>
      <c r="E467" t="s">
        <v>2776</v>
      </c>
      <c r="F467" t="s">
        <v>865</v>
      </c>
    </row>
    <row r="468" spans="1:6" x14ac:dyDescent="0.25">
      <c r="A468" t="s">
        <v>1668</v>
      </c>
      <c r="B468" t="s">
        <v>2921</v>
      </c>
      <c r="C468" t="s">
        <v>2918</v>
      </c>
      <c r="D468" t="s">
        <v>2639</v>
      </c>
      <c r="E468" t="s">
        <v>2794</v>
      </c>
      <c r="F468" t="s">
        <v>313</v>
      </c>
    </row>
    <row r="469" spans="1:6" x14ac:dyDescent="0.25">
      <c r="A469" t="s">
        <v>1668</v>
      </c>
      <c r="B469" t="s">
        <v>2921</v>
      </c>
      <c r="C469" t="s">
        <v>27</v>
      </c>
      <c r="D469" t="s">
        <v>2930</v>
      </c>
      <c r="E469" t="s">
        <v>2822</v>
      </c>
      <c r="F469" t="s">
        <v>868</v>
      </c>
    </row>
    <row r="470" spans="1:6" x14ac:dyDescent="0.25">
      <c r="A470" t="s">
        <v>1668</v>
      </c>
      <c r="B470" t="s">
        <v>2921</v>
      </c>
      <c r="C470" t="s">
        <v>2921</v>
      </c>
      <c r="D470" t="s">
        <v>2644</v>
      </c>
      <c r="E470" t="s">
        <v>2753</v>
      </c>
      <c r="F470" t="s">
        <v>886</v>
      </c>
    </row>
    <row r="471" spans="1:6" x14ac:dyDescent="0.25">
      <c r="A471" t="s">
        <v>1668</v>
      </c>
      <c r="B471" t="s">
        <v>2921</v>
      </c>
      <c r="C471" t="s">
        <v>2921</v>
      </c>
      <c r="D471" t="s">
        <v>2644</v>
      </c>
      <c r="E471" t="s">
        <v>2776</v>
      </c>
      <c r="F471" t="s">
        <v>884</v>
      </c>
    </row>
    <row r="472" spans="1:6" x14ac:dyDescent="0.25">
      <c r="A472" t="s">
        <v>1668</v>
      </c>
      <c r="B472" t="s">
        <v>2919</v>
      </c>
      <c r="C472" t="s">
        <v>2919</v>
      </c>
      <c r="D472" t="s">
        <v>2654</v>
      </c>
      <c r="E472" t="s">
        <v>2781</v>
      </c>
      <c r="F472" t="s">
        <v>882</v>
      </c>
    </row>
    <row r="473" spans="1:6" x14ac:dyDescent="0.25">
      <c r="A473" t="s">
        <v>1668</v>
      </c>
      <c r="B473" t="s">
        <v>2919</v>
      </c>
      <c r="C473" t="s">
        <v>2919</v>
      </c>
      <c r="D473" t="s">
        <v>2654</v>
      </c>
      <c r="E473" t="s">
        <v>2797</v>
      </c>
      <c r="F473" t="s">
        <v>883</v>
      </c>
    </row>
    <row r="474" spans="1:6" x14ac:dyDescent="0.25">
      <c r="A474" t="s">
        <v>1668</v>
      </c>
      <c r="B474" t="s">
        <v>2919</v>
      </c>
      <c r="C474" t="s">
        <v>2919</v>
      </c>
      <c r="D474" t="s">
        <v>2654</v>
      </c>
      <c r="E474" t="s">
        <v>2823</v>
      </c>
      <c r="F474" t="s">
        <v>876</v>
      </c>
    </row>
    <row r="475" spans="1:6" x14ac:dyDescent="0.25">
      <c r="A475" t="s">
        <v>1668</v>
      </c>
      <c r="B475" t="s">
        <v>2928</v>
      </c>
      <c r="C475" t="s">
        <v>2916</v>
      </c>
      <c r="D475" t="s">
        <v>2656</v>
      </c>
      <c r="E475" t="s">
        <v>2797</v>
      </c>
      <c r="F475" t="s">
        <v>864</v>
      </c>
    </row>
    <row r="476" spans="1:6" x14ac:dyDescent="0.25">
      <c r="A476" t="s">
        <v>1710</v>
      </c>
      <c r="B476" t="s">
        <v>2927</v>
      </c>
      <c r="C476" t="s">
        <v>2914</v>
      </c>
      <c r="D476" t="s">
        <v>2637</v>
      </c>
      <c r="E476" t="s">
        <v>2794</v>
      </c>
      <c r="F476" t="s">
        <v>894</v>
      </c>
    </row>
    <row r="477" spans="1:6" x14ac:dyDescent="0.25">
      <c r="A477" t="s">
        <v>1710</v>
      </c>
      <c r="B477" t="s">
        <v>2927</v>
      </c>
      <c r="C477" t="s">
        <v>2914</v>
      </c>
      <c r="D477" t="s">
        <v>2637</v>
      </c>
      <c r="E477" t="s">
        <v>2792</v>
      </c>
      <c r="F477" t="s">
        <v>895</v>
      </c>
    </row>
    <row r="478" spans="1:6" x14ac:dyDescent="0.25">
      <c r="A478" t="s">
        <v>1710</v>
      </c>
      <c r="B478" t="s">
        <v>2927</v>
      </c>
      <c r="C478" t="s">
        <v>2914</v>
      </c>
      <c r="D478" t="s">
        <v>2637</v>
      </c>
      <c r="E478" t="s">
        <v>2757</v>
      </c>
      <c r="F478" t="s">
        <v>896</v>
      </c>
    </row>
    <row r="479" spans="1:6" x14ac:dyDescent="0.25">
      <c r="A479" t="s">
        <v>1710</v>
      </c>
      <c r="B479" t="s">
        <v>2927</v>
      </c>
      <c r="C479" t="s">
        <v>2914</v>
      </c>
      <c r="D479" t="s">
        <v>2637</v>
      </c>
      <c r="E479" t="s">
        <v>2763</v>
      </c>
      <c r="F479" t="s">
        <v>905</v>
      </c>
    </row>
    <row r="480" spans="1:6" x14ac:dyDescent="0.25">
      <c r="A480" t="s">
        <v>1710</v>
      </c>
      <c r="B480" t="s">
        <v>75</v>
      </c>
      <c r="C480" t="s">
        <v>75</v>
      </c>
      <c r="D480" t="s">
        <v>2640</v>
      </c>
      <c r="E480" t="s">
        <v>2768</v>
      </c>
      <c r="F480" t="s">
        <v>891</v>
      </c>
    </row>
    <row r="481" spans="1:6" x14ac:dyDescent="0.25">
      <c r="A481" t="s">
        <v>1710</v>
      </c>
      <c r="B481" t="s">
        <v>75</v>
      </c>
      <c r="C481" t="s">
        <v>75</v>
      </c>
      <c r="D481" t="s">
        <v>2640</v>
      </c>
      <c r="E481" t="s">
        <v>2761</v>
      </c>
      <c r="F481" t="s">
        <v>892</v>
      </c>
    </row>
    <row r="482" spans="1:6" x14ac:dyDescent="0.25">
      <c r="A482" t="s">
        <v>1710</v>
      </c>
      <c r="B482" t="s">
        <v>2921</v>
      </c>
      <c r="C482" t="s">
        <v>2918</v>
      </c>
      <c r="D482" t="s">
        <v>2639</v>
      </c>
      <c r="E482" t="s">
        <v>2794</v>
      </c>
      <c r="F482" t="s">
        <v>889</v>
      </c>
    </row>
    <row r="483" spans="1:6" x14ac:dyDescent="0.25">
      <c r="A483" t="s">
        <v>1710</v>
      </c>
      <c r="B483" t="s">
        <v>2921</v>
      </c>
      <c r="C483" t="s">
        <v>27</v>
      </c>
      <c r="D483" t="s">
        <v>2930</v>
      </c>
      <c r="E483" t="s">
        <v>2810</v>
      </c>
      <c r="F483" t="s">
        <v>893</v>
      </c>
    </row>
    <row r="484" spans="1:6" x14ac:dyDescent="0.25">
      <c r="A484" t="s">
        <v>1710</v>
      </c>
      <c r="B484" t="s">
        <v>2919</v>
      </c>
      <c r="C484" t="s">
        <v>2919</v>
      </c>
      <c r="D484" t="s">
        <v>2654</v>
      </c>
      <c r="E484" t="s">
        <v>2774</v>
      </c>
      <c r="F484" t="s">
        <v>897</v>
      </c>
    </row>
    <row r="485" spans="1:6" x14ac:dyDescent="0.25">
      <c r="A485" t="s">
        <v>1710</v>
      </c>
      <c r="B485" t="s">
        <v>2919</v>
      </c>
      <c r="C485" t="s">
        <v>2919</v>
      </c>
      <c r="D485" t="s">
        <v>2654</v>
      </c>
      <c r="E485" t="s">
        <v>2788</v>
      </c>
      <c r="F485" t="s">
        <v>899</v>
      </c>
    </row>
    <row r="486" spans="1:6" x14ac:dyDescent="0.25">
      <c r="A486" t="s">
        <v>1710</v>
      </c>
      <c r="B486" t="s">
        <v>2919</v>
      </c>
      <c r="C486" t="s">
        <v>2919</v>
      </c>
      <c r="D486" t="s">
        <v>2654</v>
      </c>
      <c r="E486" t="s">
        <v>2752</v>
      </c>
      <c r="F486" t="s">
        <v>898</v>
      </c>
    </row>
    <row r="487" spans="1:6" x14ac:dyDescent="0.25">
      <c r="A487" t="s">
        <v>1710</v>
      </c>
      <c r="B487" t="s">
        <v>2919</v>
      </c>
      <c r="C487" t="s">
        <v>2919</v>
      </c>
      <c r="D487" t="s">
        <v>2654</v>
      </c>
      <c r="E487" t="s">
        <v>2755</v>
      </c>
      <c r="F487" t="s">
        <v>902</v>
      </c>
    </row>
    <row r="488" spans="1:6" x14ac:dyDescent="0.25">
      <c r="A488" t="s">
        <v>1710</v>
      </c>
      <c r="B488" t="s">
        <v>2928</v>
      </c>
      <c r="C488" t="s">
        <v>2916</v>
      </c>
      <c r="D488" t="s">
        <v>2656</v>
      </c>
      <c r="E488" t="s">
        <v>2823</v>
      </c>
      <c r="F488" t="s">
        <v>890</v>
      </c>
    </row>
    <row r="489" spans="1:6" x14ac:dyDescent="0.25">
      <c r="A489" t="s">
        <v>1710</v>
      </c>
      <c r="B489" t="s">
        <v>2928</v>
      </c>
      <c r="C489" t="s">
        <v>2916</v>
      </c>
      <c r="D489" t="s">
        <v>2638</v>
      </c>
      <c r="E489" t="s">
        <v>2778</v>
      </c>
      <c r="F489" t="s">
        <v>888</v>
      </c>
    </row>
    <row r="490" spans="1:6" x14ac:dyDescent="0.25">
      <c r="A490" t="s">
        <v>1746</v>
      </c>
      <c r="B490" t="s">
        <v>2927</v>
      </c>
      <c r="C490" t="s">
        <v>2914</v>
      </c>
      <c r="D490" t="s">
        <v>2637</v>
      </c>
      <c r="E490" t="s">
        <v>2794</v>
      </c>
      <c r="F490" t="s">
        <v>870</v>
      </c>
    </row>
    <row r="491" spans="1:6" x14ac:dyDescent="0.25">
      <c r="A491" t="s">
        <v>1746</v>
      </c>
      <c r="B491" t="s">
        <v>2927</v>
      </c>
      <c r="C491" t="s">
        <v>2914</v>
      </c>
      <c r="D491" t="s">
        <v>2637</v>
      </c>
      <c r="E491" t="s">
        <v>2759</v>
      </c>
      <c r="F491" t="s">
        <v>909</v>
      </c>
    </row>
    <row r="492" spans="1:6" x14ac:dyDescent="0.25">
      <c r="A492" t="s">
        <v>1746</v>
      </c>
      <c r="B492" t="s">
        <v>2927</v>
      </c>
      <c r="C492" t="s">
        <v>2914</v>
      </c>
      <c r="D492" t="s">
        <v>2637</v>
      </c>
      <c r="E492" t="s">
        <v>2776</v>
      </c>
      <c r="F492" t="s">
        <v>908</v>
      </c>
    </row>
    <row r="493" spans="1:6" x14ac:dyDescent="0.25">
      <c r="A493" t="s">
        <v>1746</v>
      </c>
      <c r="B493" t="s">
        <v>2927</v>
      </c>
      <c r="C493" t="s">
        <v>2917</v>
      </c>
      <c r="D493" t="s">
        <v>2687</v>
      </c>
      <c r="E493" t="s">
        <v>2770</v>
      </c>
      <c r="F493" t="s">
        <v>875</v>
      </c>
    </row>
    <row r="494" spans="1:6" x14ac:dyDescent="0.25">
      <c r="A494" t="s">
        <v>1746</v>
      </c>
      <c r="B494" t="s">
        <v>2927</v>
      </c>
      <c r="C494" t="s">
        <v>2917</v>
      </c>
      <c r="D494" t="s">
        <v>1206</v>
      </c>
      <c r="E494" t="s">
        <v>2759</v>
      </c>
      <c r="F494" t="s">
        <v>873</v>
      </c>
    </row>
    <row r="495" spans="1:6" x14ac:dyDescent="0.25">
      <c r="A495" t="s">
        <v>1746</v>
      </c>
      <c r="B495" t="s">
        <v>2921</v>
      </c>
      <c r="C495" t="s">
        <v>2918</v>
      </c>
      <c r="D495" t="s">
        <v>2639</v>
      </c>
      <c r="E495" t="s">
        <v>2794</v>
      </c>
      <c r="F495" t="s">
        <v>889</v>
      </c>
    </row>
    <row r="496" spans="1:6" x14ac:dyDescent="0.25">
      <c r="A496" t="s">
        <v>1746</v>
      </c>
      <c r="B496" t="s">
        <v>2921</v>
      </c>
      <c r="C496" t="s">
        <v>27</v>
      </c>
      <c r="D496" t="s">
        <v>2930</v>
      </c>
      <c r="E496" t="s">
        <v>2824</v>
      </c>
      <c r="F496" t="s">
        <v>907</v>
      </c>
    </row>
    <row r="497" spans="1:6" x14ac:dyDescent="0.25">
      <c r="A497" t="s">
        <v>1746</v>
      </c>
      <c r="B497" t="s">
        <v>2921</v>
      </c>
      <c r="C497" t="s">
        <v>2921</v>
      </c>
      <c r="D497" t="s">
        <v>2644</v>
      </c>
      <c r="E497" t="s">
        <v>2753</v>
      </c>
      <c r="F497" t="s">
        <v>886</v>
      </c>
    </row>
    <row r="498" spans="1:6" x14ac:dyDescent="0.25">
      <c r="A498" t="s">
        <v>1746</v>
      </c>
      <c r="B498" t="s">
        <v>2921</v>
      </c>
      <c r="C498" t="s">
        <v>2921</v>
      </c>
      <c r="D498" t="s">
        <v>2644</v>
      </c>
      <c r="E498" t="s">
        <v>2776</v>
      </c>
      <c r="F498" t="s">
        <v>884</v>
      </c>
    </row>
    <row r="499" spans="1:6" x14ac:dyDescent="0.25">
      <c r="A499" t="s">
        <v>1746</v>
      </c>
      <c r="B499" t="s">
        <v>2921</v>
      </c>
      <c r="C499" t="s">
        <v>191</v>
      </c>
      <c r="D499" t="s">
        <v>191</v>
      </c>
      <c r="E499" t="s">
        <v>2817</v>
      </c>
      <c r="F499" t="s">
        <v>338</v>
      </c>
    </row>
    <row r="500" spans="1:6" x14ac:dyDescent="0.25">
      <c r="A500" t="s">
        <v>1746</v>
      </c>
      <c r="B500" t="s">
        <v>2919</v>
      </c>
      <c r="C500" t="s">
        <v>2919</v>
      </c>
      <c r="D500" t="s">
        <v>2654</v>
      </c>
      <c r="E500" t="s">
        <v>2788</v>
      </c>
      <c r="F500" t="s">
        <v>910</v>
      </c>
    </row>
    <row r="501" spans="1:6" x14ac:dyDescent="0.25">
      <c r="A501" t="s">
        <v>1746</v>
      </c>
      <c r="B501" t="s">
        <v>2919</v>
      </c>
      <c r="C501" t="s">
        <v>2919</v>
      </c>
      <c r="D501" t="s">
        <v>2654</v>
      </c>
      <c r="E501" t="s">
        <v>2823</v>
      </c>
      <c r="F501" t="s">
        <v>876</v>
      </c>
    </row>
    <row r="502" spans="1:6" x14ac:dyDescent="0.25">
      <c r="A502" t="s">
        <v>1746</v>
      </c>
      <c r="B502" t="s">
        <v>2928</v>
      </c>
      <c r="C502" t="s">
        <v>2916</v>
      </c>
      <c r="D502" t="s">
        <v>2656</v>
      </c>
      <c r="E502" t="s">
        <v>2797</v>
      </c>
      <c r="F502" t="s">
        <v>864</v>
      </c>
    </row>
    <row r="503" spans="1:6" x14ac:dyDescent="0.25">
      <c r="A503" t="s">
        <v>1746</v>
      </c>
      <c r="B503" t="s">
        <v>2928</v>
      </c>
      <c r="C503" t="s">
        <v>2916</v>
      </c>
      <c r="D503" t="s">
        <v>2638</v>
      </c>
      <c r="E503" t="s">
        <v>2790</v>
      </c>
      <c r="F503" t="s">
        <v>906</v>
      </c>
    </row>
    <row r="504" spans="1:6" x14ac:dyDescent="0.25">
      <c r="A504" t="s">
        <v>1786</v>
      </c>
      <c r="B504" t="s">
        <v>2927</v>
      </c>
      <c r="C504" t="s">
        <v>2914</v>
      </c>
      <c r="D504" t="s">
        <v>2637</v>
      </c>
      <c r="E504" t="s">
        <v>2807</v>
      </c>
      <c r="F504" t="s">
        <v>916</v>
      </c>
    </row>
    <row r="505" spans="1:6" x14ac:dyDescent="0.25">
      <c r="A505" t="s">
        <v>1786</v>
      </c>
      <c r="B505" t="s">
        <v>2921</v>
      </c>
      <c r="C505" t="s">
        <v>27</v>
      </c>
      <c r="D505" t="s">
        <v>2930</v>
      </c>
      <c r="E505" t="s">
        <v>2764</v>
      </c>
      <c r="F505" t="s">
        <v>915</v>
      </c>
    </row>
    <row r="506" spans="1:6" x14ac:dyDescent="0.25">
      <c r="A506" t="s">
        <v>1786</v>
      </c>
      <c r="B506" t="s">
        <v>2921</v>
      </c>
      <c r="C506" t="s">
        <v>2921</v>
      </c>
      <c r="D506" t="s">
        <v>2644</v>
      </c>
      <c r="E506" t="s">
        <v>2794</v>
      </c>
      <c r="F506" t="s">
        <v>918</v>
      </c>
    </row>
    <row r="507" spans="1:6" x14ac:dyDescent="0.25">
      <c r="A507" t="s">
        <v>1786</v>
      </c>
      <c r="B507" t="s">
        <v>2919</v>
      </c>
      <c r="C507" t="s">
        <v>2919</v>
      </c>
      <c r="D507" t="s">
        <v>2654</v>
      </c>
      <c r="E507" t="s">
        <v>2780</v>
      </c>
      <c r="F507" t="s">
        <v>917</v>
      </c>
    </row>
    <row r="508" spans="1:6" x14ac:dyDescent="0.25">
      <c r="A508" t="s">
        <v>1786</v>
      </c>
      <c r="B508" t="s">
        <v>2928</v>
      </c>
      <c r="C508" t="s">
        <v>2916</v>
      </c>
      <c r="D508" t="s">
        <v>2638</v>
      </c>
      <c r="E508" t="s">
        <v>2790</v>
      </c>
      <c r="F508" t="s">
        <v>911</v>
      </c>
    </row>
    <row r="509" spans="1:6" x14ac:dyDescent="0.25">
      <c r="A509" t="s">
        <v>1798</v>
      </c>
      <c r="B509" t="s">
        <v>2927</v>
      </c>
      <c r="C509" t="s">
        <v>2914</v>
      </c>
      <c r="D509" t="s">
        <v>2637</v>
      </c>
      <c r="E509" t="s">
        <v>2775</v>
      </c>
      <c r="F509" t="s">
        <v>924</v>
      </c>
    </row>
    <row r="510" spans="1:6" x14ac:dyDescent="0.25">
      <c r="A510" t="s">
        <v>1798</v>
      </c>
      <c r="B510" t="s">
        <v>2927</v>
      </c>
      <c r="C510" t="s">
        <v>2914</v>
      </c>
      <c r="D510" t="s">
        <v>2637</v>
      </c>
      <c r="E510" t="s">
        <v>2768</v>
      </c>
      <c r="F510" t="s">
        <v>925</v>
      </c>
    </row>
    <row r="511" spans="1:6" x14ac:dyDescent="0.25">
      <c r="A511" t="s">
        <v>1798</v>
      </c>
      <c r="B511" t="s">
        <v>75</v>
      </c>
      <c r="C511" t="s">
        <v>75</v>
      </c>
      <c r="D511" t="s">
        <v>2640</v>
      </c>
      <c r="E511" t="s">
        <v>2768</v>
      </c>
      <c r="F511" t="s">
        <v>923</v>
      </c>
    </row>
    <row r="512" spans="1:6" x14ac:dyDescent="0.25">
      <c r="A512" t="s">
        <v>1798</v>
      </c>
      <c r="B512" t="s">
        <v>2921</v>
      </c>
      <c r="C512" t="s">
        <v>2918</v>
      </c>
      <c r="D512" t="s">
        <v>2639</v>
      </c>
      <c r="E512" t="s">
        <v>2810</v>
      </c>
      <c r="F512" t="s">
        <v>919</v>
      </c>
    </row>
    <row r="513" spans="1:6" x14ac:dyDescent="0.25">
      <c r="A513" t="s">
        <v>1798</v>
      </c>
      <c r="B513" t="s">
        <v>2921</v>
      </c>
      <c r="C513" t="s">
        <v>27</v>
      </c>
      <c r="D513" t="s">
        <v>2930</v>
      </c>
      <c r="E513" t="s">
        <v>2770</v>
      </c>
      <c r="F513" t="s">
        <v>711</v>
      </c>
    </row>
    <row r="514" spans="1:6" x14ac:dyDescent="0.25">
      <c r="A514" t="s">
        <v>1798</v>
      </c>
      <c r="B514" t="s">
        <v>2919</v>
      </c>
      <c r="C514" t="s">
        <v>2919</v>
      </c>
      <c r="D514" t="s">
        <v>2654</v>
      </c>
      <c r="E514" t="s">
        <v>2756</v>
      </c>
      <c r="F514" t="s">
        <v>926</v>
      </c>
    </row>
    <row r="515" spans="1:6" x14ac:dyDescent="0.25">
      <c r="A515" t="s">
        <v>1798</v>
      </c>
      <c r="B515" t="s">
        <v>2928</v>
      </c>
      <c r="C515" t="s">
        <v>2916</v>
      </c>
      <c r="D515" t="s">
        <v>2656</v>
      </c>
      <c r="E515" t="s">
        <v>2756</v>
      </c>
      <c r="F515" t="s">
        <v>920</v>
      </c>
    </row>
    <row r="516" spans="1:6" x14ac:dyDescent="0.25">
      <c r="A516" t="s">
        <v>1798</v>
      </c>
      <c r="B516" t="s">
        <v>2928</v>
      </c>
      <c r="C516" t="s">
        <v>2916</v>
      </c>
      <c r="D516" t="s">
        <v>2638</v>
      </c>
      <c r="E516" t="s">
        <v>2752</v>
      </c>
      <c r="F516" t="s">
        <v>606</v>
      </c>
    </row>
    <row r="517" spans="1:6" x14ac:dyDescent="0.25">
      <c r="A517" t="s">
        <v>1817</v>
      </c>
      <c r="B517" t="s">
        <v>2927</v>
      </c>
      <c r="C517" t="s">
        <v>2914</v>
      </c>
      <c r="D517" t="s">
        <v>2637</v>
      </c>
      <c r="E517" t="s">
        <v>2753</v>
      </c>
      <c r="F517" t="s">
        <v>825</v>
      </c>
    </row>
    <row r="518" spans="1:6" x14ac:dyDescent="0.25">
      <c r="A518" t="s">
        <v>1817</v>
      </c>
      <c r="B518" t="s">
        <v>2927</v>
      </c>
      <c r="C518" t="s">
        <v>2914</v>
      </c>
      <c r="D518" t="s">
        <v>2637</v>
      </c>
      <c r="E518" t="s">
        <v>2771</v>
      </c>
      <c r="F518" t="s">
        <v>934</v>
      </c>
    </row>
    <row r="519" spans="1:6" x14ac:dyDescent="0.25">
      <c r="A519" t="s">
        <v>1817</v>
      </c>
      <c r="B519" t="s">
        <v>75</v>
      </c>
      <c r="C519" t="s">
        <v>75</v>
      </c>
      <c r="D519" t="s">
        <v>2640</v>
      </c>
      <c r="E519" t="s">
        <v>2757</v>
      </c>
      <c r="F519" t="s">
        <v>933</v>
      </c>
    </row>
    <row r="520" spans="1:6" x14ac:dyDescent="0.25">
      <c r="A520" t="s">
        <v>1817</v>
      </c>
      <c r="B520" t="s">
        <v>75</v>
      </c>
      <c r="C520" t="s">
        <v>75</v>
      </c>
      <c r="D520" t="s">
        <v>2640</v>
      </c>
      <c r="E520" t="s">
        <v>2776</v>
      </c>
      <c r="F520" t="s">
        <v>932</v>
      </c>
    </row>
    <row r="521" spans="1:6" x14ac:dyDescent="0.25">
      <c r="A521" t="s">
        <v>1817</v>
      </c>
      <c r="B521" t="s">
        <v>2921</v>
      </c>
      <c r="C521" t="s">
        <v>2918</v>
      </c>
      <c r="D521" t="s">
        <v>2639</v>
      </c>
      <c r="E521" t="s">
        <v>2759</v>
      </c>
      <c r="F521" t="s">
        <v>929</v>
      </c>
    </row>
    <row r="522" spans="1:6" x14ac:dyDescent="0.25">
      <c r="A522" t="s">
        <v>1817</v>
      </c>
      <c r="B522" t="s">
        <v>2921</v>
      </c>
      <c r="C522" t="s">
        <v>27</v>
      </c>
      <c r="D522" t="s">
        <v>2930</v>
      </c>
      <c r="E522" t="s">
        <v>2757</v>
      </c>
      <c r="F522" t="s">
        <v>690</v>
      </c>
    </row>
    <row r="523" spans="1:6" x14ac:dyDescent="0.25">
      <c r="A523" t="s">
        <v>1817</v>
      </c>
      <c r="B523" t="s">
        <v>2921</v>
      </c>
      <c r="C523" t="s">
        <v>2920</v>
      </c>
      <c r="D523" t="s">
        <v>2643</v>
      </c>
      <c r="E523" t="s">
        <v>2752</v>
      </c>
      <c r="F523" t="s">
        <v>928</v>
      </c>
    </row>
    <row r="524" spans="1:6" x14ac:dyDescent="0.25">
      <c r="A524" t="s">
        <v>1817</v>
      </c>
      <c r="B524" t="s">
        <v>2921</v>
      </c>
      <c r="C524" t="s">
        <v>191</v>
      </c>
      <c r="D524" t="s">
        <v>191</v>
      </c>
      <c r="E524" t="s">
        <v>2817</v>
      </c>
      <c r="F524" t="s">
        <v>338</v>
      </c>
    </row>
    <row r="525" spans="1:6" x14ac:dyDescent="0.25">
      <c r="A525" t="s">
        <v>1817</v>
      </c>
      <c r="B525" t="s">
        <v>2919</v>
      </c>
      <c r="C525" t="s">
        <v>2919</v>
      </c>
      <c r="D525" t="s">
        <v>2648</v>
      </c>
      <c r="E525" t="s">
        <v>2826</v>
      </c>
      <c r="F525" t="s">
        <v>938</v>
      </c>
    </row>
    <row r="526" spans="1:6" x14ac:dyDescent="0.25">
      <c r="A526" t="s">
        <v>1817</v>
      </c>
      <c r="B526" t="s">
        <v>2928</v>
      </c>
      <c r="C526" t="s">
        <v>2916</v>
      </c>
      <c r="D526" t="s">
        <v>2656</v>
      </c>
      <c r="E526" t="s">
        <v>2786</v>
      </c>
      <c r="F526" t="s">
        <v>485</v>
      </c>
    </row>
    <row r="527" spans="1:6" x14ac:dyDescent="0.25">
      <c r="A527" t="s">
        <v>1817</v>
      </c>
      <c r="B527" t="s">
        <v>2928</v>
      </c>
      <c r="C527" t="s">
        <v>2916</v>
      </c>
      <c r="D527" t="s">
        <v>2656</v>
      </c>
      <c r="E527" t="s">
        <v>2826</v>
      </c>
      <c r="F527" t="s">
        <v>931</v>
      </c>
    </row>
    <row r="528" spans="1:6" x14ac:dyDescent="0.25">
      <c r="A528" t="s">
        <v>1817</v>
      </c>
      <c r="B528" t="s">
        <v>2928</v>
      </c>
      <c r="C528" t="s">
        <v>2916</v>
      </c>
      <c r="D528" t="s">
        <v>2642</v>
      </c>
      <c r="E528" t="s">
        <v>2825</v>
      </c>
      <c r="F528" t="s">
        <v>930</v>
      </c>
    </row>
    <row r="529" spans="1:6" x14ac:dyDescent="0.25">
      <c r="A529" t="s">
        <v>1817</v>
      </c>
      <c r="B529" t="s">
        <v>2928</v>
      </c>
      <c r="C529" t="s">
        <v>2916</v>
      </c>
      <c r="D529" t="s">
        <v>2638</v>
      </c>
      <c r="E529" t="s">
        <v>2765</v>
      </c>
      <c r="F529" t="s">
        <v>927</v>
      </c>
    </row>
    <row r="530" spans="1:6" x14ac:dyDescent="0.25">
      <c r="A530" t="s">
        <v>1530</v>
      </c>
      <c r="B530" t="s">
        <v>2927</v>
      </c>
      <c r="C530" t="s">
        <v>2914</v>
      </c>
      <c r="D530" t="s">
        <v>2637</v>
      </c>
      <c r="E530" t="s">
        <v>2793</v>
      </c>
      <c r="F530" t="s">
        <v>813</v>
      </c>
    </row>
    <row r="531" spans="1:6" x14ac:dyDescent="0.25">
      <c r="A531" t="s">
        <v>1530</v>
      </c>
      <c r="B531" t="s">
        <v>2927</v>
      </c>
      <c r="C531" t="s">
        <v>2924</v>
      </c>
      <c r="D531" t="s">
        <v>807</v>
      </c>
      <c r="E531" t="s">
        <v>2783</v>
      </c>
      <c r="F531" t="s">
        <v>806</v>
      </c>
    </row>
    <row r="532" spans="1:6" x14ac:dyDescent="0.25">
      <c r="A532" t="s">
        <v>1530</v>
      </c>
      <c r="B532" t="s">
        <v>75</v>
      </c>
      <c r="C532" t="s">
        <v>75</v>
      </c>
      <c r="D532" t="s">
        <v>2640</v>
      </c>
      <c r="E532" t="s">
        <v>2819</v>
      </c>
      <c r="F532" t="s">
        <v>800</v>
      </c>
    </row>
    <row r="533" spans="1:6" x14ac:dyDescent="0.25">
      <c r="A533" t="s">
        <v>1530</v>
      </c>
      <c r="B533" t="s">
        <v>75</v>
      </c>
      <c r="C533" t="s">
        <v>75</v>
      </c>
      <c r="D533" t="s">
        <v>2640</v>
      </c>
      <c r="E533" t="s">
        <v>2760</v>
      </c>
      <c r="F533" t="s">
        <v>796</v>
      </c>
    </row>
    <row r="534" spans="1:6" x14ac:dyDescent="0.25">
      <c r="A534" t="s">
        <v>1530</v>
      </c>
      <c r="B534" t="s">
        <v>75</v>
      </c>
      <c r="C534" t="s">
        <v>75</v>
      </c>
      <c r="D534" t="s">
        <v>2640</v>
      </c>
      <c r="E534" t="s">
        <v>2761</v>
      </c>
      <c r="F534" t="s">
        <v>797</v>
      </c>
    </row>
    <row r="535" spans="1:6" x14ac:dyDescent="0.25">
      <c r="A535" t="s">
        <v>1530</v>
      </c>
      <c r="B535" t="s">
        <v>75</v>
      </c>
      <c r="C535" t="s">
        <v>75</v>
      </c>
      <c r="D535" t="s">
        <v>1212</v>
      </c>
      <c r="E535" t="s">
        <v>2770</v>
      </c>
      <c r="F535" t="s">
        <v>337</v>
      </c>
    </row>
    <row r="536" spans="1:6" x14ac:dyDescent="0.25">
      <c r="A536" t="s">
        <v>1530</v>
      </c>
      <c r="B536" t="s">
        <v>2921</v>
      </c>
      <c r="C536" t="s">
        <v>2918</v>
      </c>
      <c r="D536" t="s">
        <v>2639</v>
      </c>
      <c r="E536" t="s">
        <v>2753</v>
      </c>
      <c r="F536" t="s">
        <v>540</v>
      </c>
    </row>
    <row r="537" spans="1:6" x14ac:dyDescent="0.25">
      <c r="A537" t="s">
        <v>1530</v>
      </c>
      <c r="B537" t="s">
        <v>2921</v>
      </c>
      <c r="C537" t="s">
        <v>2920</v>
      </c>
      <c r="D537" t="s">
        <v>2643</v>
      </c>
      <c r="E537" t="s">
        <v>2797</v>
      </c>
      <c r="F537" t="s">
        <v>790</v>
      </c>
    </row>
    <row r="538" spans="1:6" x14ac:dyDescent="0.25">
      <c r="A538" t="s">
        <v>1530</v>
      </c>
      <c r="B538" t="s">
        <v>2921</v>
      </c>
      <c r="C538" t="s">
        <v>2921</v>
      </c>
      <c r="D538" t="s">
        <v>2644</v>
      </c>
      <c r="E538" t="s">
        <v>2768</v>
      </c>
      <c r="F538" t="s">
        <v>451</v>
      </c>
    </row>
    <row r="539" spans="1:6" x14ac:dyDescent="0.25">
      <c r="A539" t="s">
        <v>1530</v>
      </c>
      <c r="B539" t="s">
        <v>2919</v>
      </c>
      <c r="C539" t="s">
        <v>2919</v>
      </c>
      <c r="D539" t="s">
        <v>2653</v>
      </c>
      <c r="E539" t="s">
        <v>2799</v>
      </c>
      <c r="F539" t="s">
        <v>809</v>
      </c>
    </row>
    <row r="540" spans="1:6" x14ac:dyDescent="0.25">
      <c r="A540" t="s">
        <v>1530</v>
      </c>
      <c r="B540" t="s">
        <v>2919</v>
      </c>
      <c r="C540" t="s">
        <v>2919</v>
      </c>
      <c r="D540" t="s">
        <v>2671</v>
      </c>
      <c r="E540" t="s">
        <v>2820</v>
      </c>
      <c r="F540" t="s">
        <v>803</v>
      </c>
    </row>
    <row r="541" spans="1:6" x14ac:dyDescent="0.25">
      <c r="A541" t="s">
        <v>1530</v>
      </c>
      <c r="B541" t="s">
        <v>2919</v>
      </c>
      <c r="C541" t="s">
        <v>2919</v>
      </c>
      <c r="D541" t="s">
        <v>2663</v>
      </c>
      <c r="E541" t="s">
        <v>2765</v>
      </c>
      <c r="F541" t="s">
        <v>810</v>
      </c>
    </row>
    <row r="542" spans="1:6" x14ac:dyDescent="0.25">
      <c r="A542" t="s">
        <v>1530</v>
      </c>
      <c r="B542" t="s">
        <v>2928</v>
      </c>
      <c r="C542" t="s">
        <v>2916</v>
      </c>
      <c r="D542" t="s">
        <v>2641</v>
      </c>
      <c r="E542" t="s">
        <v>2818</v>
      </c>
      <c r="F542" t="s">
        <v>793</v>
      </c>
    </row>
    <row r="543" spans="1:6" x14ac:dyDescent="0.25">
      <c r="A543" t="s">
        <v>1530</v>
      </c>
      <c r="B543" t="s">
        <v>2928</v>
      </c>
      <c r="C543" t="s">
        <v>2916</v>
      </c>
      <c r="D543" t="s">
        <v>2638</v>
      </c>
      <c r="E543" t="s">
        <v>2769</v>
      </c>
      <c r="F543" t="s">
        <v>670</v>
      </c>
    </row>
    <row r="544" spans="1:6" x14ac:dyDescent="0.25">
      <c r="A544" t="s">
        <v>1569</v>
      </c>
      <c r="B544" t="s">
        <v>2927</v>
      </c>
      <c r="C544" t="s">
        <v>2914</v>
      </c>
      <c r="D544" t="s">
        <v>2637</v>
      </c>
      <c r="E544" t="s">
        <v>2821</v>
      </c>
      <c r="F544" t="s">
        <v>824</v>
      </c>
    </row>
    <row r="545" spans="1:6" x14ac:dyDescent="0.25">
      <c r="A545" t="s">
        <v>1569</v>
      </c>
      <c r="B545" t="s">
        <v>2927</v>
      </c>
      <c r="C545" t="s">
        <v>2914</v>
      </c>
      <c r="D545" t="s">
        <v>2637</v>
      </c>
      <c r="E545" t="s">
        <v>2753</v>
      </c>
      <c r="F545" t="s">
        <v>825</v>
      </c>
    </row>
    <row r="546" spans="1:6" x14ac:dyDescent="0.25">
      <c r="A546" t="s">
        <v>1569</v>
      </c>
      <c r="B546" t="s">
        <v>2927</v>
      </c>
      <c r="C546" t="s">
        <v>2914</v>
      </c>
      <c r="D546" t="s">
        <v>2637</v>
      </c>
      <c r="E546" t="s">
        <v>2768</v>
      </c>
      <c r="F546" t="s">
        <v>828</v>
      </c>
    </row>
    <row r="547" spans="1:6" x14ac:dyDescent="0.25">
      <c r="A547" t="s">
        <v>1569</v>
      </c>
      <c r="B547" t="s">
        <v>2927</v>
      </c>
      <c r="C547" t="s">
        <v>2914</v>
      </c>
      <c r="D547" t="s">
        <v>2637</v>
      </c>
      <c r="E547" t="s">
        <v>2768</v>
      </c>
      <c r="F547" t="s">
        <v>831</v>
      </c>
    </row>
    <row r="548" spans="1:6" x14ac:dyDescent="0.25">
      <c r="A548" t="s">
        <v>1569</v>
      </c>
      <c r="B548" t="s">
        <v>75</v>
      </c>
      <c r="C548" t="s">
        <v>75</v>
      </c>
      <c r="D548" t="s">
        <v>2640</v>
      </c>
      <c r="E548" t="s">
        <v>2753</v>
      </c>
      <c r="F548" t="s">
        <v>820</v>
      </c>
    </row>
    <row r="549" spans="1:6" x14ac:dyDescent="0.25">
      <c r="A549" t="s">
        <v>1569</v>
      </c>
      <c r="B549" t="s">
        <v>75</v>
      </c>
      <c r="C549" t="s">
        <v>75</v>
      </c>
      <c r="D549" t="s">
        <v>2640</v>
      </c>
      <c r="E549" t="s">
        <v>2768</v>
      </c>
      <c r="F549" t="s">
        <v>821</v>
      </c>
    </row>
    <row r="550" spans="1:6" x14ac:dyDescent="0.25">
      <c r="A550" t="s">
        <v>1569</v>
      </c>
      <c r="B550" t="s">
        <v>2921</v>
      </c>
      <c r="C550" t="s">
        <v>2918</v>
      </c>
      <c r="D550" t="s">
        <v>2639</v>
      </c>
      <c r="E550" t="s">
        <v>2760</v>
      </c>
      <c r="F550" t="s">
        <v>819</v>
      </c>
    </row>
    <row r="551" spans="1:6" x14ac:dyDescent="0.25">
      <c r="A551" t="s">
        <v>1569</v>
      </c>
      <c r="B551" t="s">
        <v>2921</v>
      </c>
      <c r="C551" t="s">
        <v>2920</v>
      </c>
      <c r="D551" t="s">
        <v>2643</v>
      </c>
      <c r="E551" t="s">
        <v>2786</v>
      </c>
      <c r="F551" t="s">
        <v>816</v>
      </c>
    </row>
    <row r="552" spans="1:6" x14ac:dyDescent="0.25">
      <c r="A552" t="s">
        <v>1569</v>
      </c>
      <c r="B552" t="s">
        <v>2921</v>
      </c>
      <c r="C552" t="s">
        <v>2921</v>
      </c>
      <c r="D552" t="s">
        <v>2672</v>
      </c>
      <c r="E552" t="s">
        <v>2778</v>
      </c>
      <c r="F552" t="s">
        <v>844</v>
      </c>
    </row>
    <row r="553" spans="1:6" x14ac:dyDescent="0.25">
      <c r="A553" t="s">
        <v>1569</v>
      </c>
      <c r="B553" t="s">
        <v>2921</v>
      </c>
      <c r="C553" t="s">
        <v>2921</v>
      </c>
      <c r="D553" t="s">
        <v>2672</v>
      </c>
      <c r="E553" t="s">
        <v>2778</v>
      </c>
      <c r="F553" t="s">
        <v>838</v>
      </c>
    </row>
    <row r="554" spans="1:6" x14ac:dyDescent="0.25">
      <c r="A554" t="s">
        <v>1569</v>
      </c>
      <c r="B554" t="s">
        <v>2919</v>
      </c>
      <c r="C554" t="s">
        <v>2919</v>
      </c>
      <c r="D554" t="s">
        <v>2654</v>
      </c>
      <c r="E554" t="s">
        <v>2791</v>
      </c>
      <c r="F554" t="s">
        <v>834</v>
      </c>
    </row>
    <row r="555" spans="1:6" x14ac:dyDescent="0.25">
      <c r="A555" t="s">
        <v>1569</v>
      </c>
      <c r="B555" t="s">
        <v>2928</v>
      </c>
      <c r="C555" t="s">
        <v>2916</v>
      </c>
      <c r="D555" t="s">
        <v>2638</v>
      </c>
      <c r="E555" t="s">
        <v>2786</v>
      </c>
      <c r="F555" t="s">
        <v>835</v>
      </c>
    </row>
    <row r="556" spans="1:6" x14ac:dyDescent="0.25">
      <c r="A556" t="s">
        <v>1569</v>
      </c>
      <c r="B556" t="s">
        <v>2928</v>
      </c>
      <c r="C556" t="s">
        <v>2916</v>
      </c>
      <c r="D556" t="s">
        <v>2638</v>
      </c>
      <c r="E556" t="s">
        <v>2797</v>
      </c>
      <c r="F556" t="s">
        <v>814</v>
      </c>
    </row>
    <row r="557" spans="1:6" x14ac:dyDescent="0.25">
      <c r="A557" t="s">
        <v>1569</v>
      </c>
      <c r="B557" t="s">
        <v>2928</v>
      </c>
      <c r="C557" t="s">
        <v>2916</v>
      </c>
      <c r="D557" t="s">
        <v>2638</v>
      </c>
      <c r="E557" t="s">
        <v>2755</v>
      </c>
      <c r="F557" t="s">
        <v>815</v>
      </c>
    </row>
    <row r="558" spans="1:6" x14ac:dyDescent="0.25">
      <c r="A558" t="s">
        <v>1614</v>
      </c>
      <c r="B558" t="s">
        <v>2921</v>
      </c>
      <c r="C558" t="s">
        <v>2921</v>
      </c>
      <c r="D558" t="s">
        <v>2644</v>
      </c>
      <c r="E558" t="s">
        <v>2770</v>
      </c>
      <c r="F558" t="s">
        <v>848</v>
      </c>
    </row>
    <row r="559" spans="1:6" x14ac:dyDescent="0.25">
      <c r="A559" t="s">
        <v>1614</v>
      </c>
      <c r="B559" t="s">
        <v>2921</v>
      </c>
      <c r="C559" t="s">
        <v>2921</v>
      </c>
      <c r="D559" t="s">
        <v>2644</v>
      </c>
      <c r="E559" t="s">
        <v>2812</v>
      </c>
      <c r="F559" t="s">
        <v>851</v>
      </c>
    </row>
    <row r="560" spans="1:6" x14ac:dyDescent="0.25">
      <c r="A560" t="s">
        <v>1614</v>
      </c>
      <c r="B560" t="s">
        <v>2921</v>
      </c>
      <c r="C560" t="s">
        <v>2921</v>
      </c>
      <c r="D560" t="s">
        <v>2644</v>
      </c>
      <c r="E560" t="s">
        <v>2801</v>
      </c>
      <c r="F560" t="s">
        <v>853</v>
      </c>
    </row>
    <row r="561" spans="1:6" x14ac:dyDescent="0.25">
      <c r="A561" t="s">
        <v>1614</v>
      </c>
      <c r="B561" t="s">
        <v>2919</v>
      </c>
      <c r="C561" t="s">
        <v>2919</v>
      </c>
      <c r="D561" t="s">
        <v>2650</v>
      </c>
      <c r="E561" t="s">
        <v>2774</v>
      </c>
      <c r="F561" t="s">
        <v>854</v>
      </c>
    </row>
    <row r="562" spans="1:6" x14ac:dyDescent="0.25">
      <c r="A562" t="s">
        <v>1614</v>
      </c>
      <c r="B562" t="s">
        <v>2919</v>
      </c>
      <c r="C562" t="s">
        <v>2919</v>
      </c>
      <c r="D562" t="s">
        <v>2654</v>
      </c>
      <c r="E562" t="s">
        <v>2800</v>
      </c>
      <c r="F562" t="s">
        <v>847</v>
      </c>
    </row>
    <row r="563" spans="1:6" x14ac:dyDescent="0.25">
      <c r="A563" t="s">
        <v>1614</v>
      </c>
      <c r="B563" t="s">
        <v>2928</v>
      </c>
      <c r="C563" t="s">
        <v>2916</v>
      </c>
      <c r="D563" t="s">
        <v>2638</v>
      </c>
      <c r="E563" t="s">
        <v>2779</v>
      </c>
      <c r="F563" t="s">
        <v>621</v>
      </c>
    </row>
    <row r="564" spans="1:6" x14ac:dyDescent="0.25">
      <c r="A564" t="s">
        <v>1614</v>
      </c>
      <c r="B564" t="s">
        <v>2928</v>
      </c>
      <c r="C564" t="s">
        <v>2916</v>
      </c>
      <c r="D564" t="s">
        <v>2638</v>
      </c>
      <c r="E564" t="s">
        <v>2752</v>
      </c>
      <c r="F564" t="s">
        <v>606</v>
      </c>
    </row>
    <row r="565" spans="1:6" x14ac:dyDescent="0.25">
      <c r="A565" t="s">
        <v>2195</v>
      </c>
      <c r="B565" t="s">
        <v>2927</v>
      </c>
      <c r="C565" t="s">
        <v>2914</v>
      </c>
      <c r="D565" t="s">
        <v>2637</v>
      </c>
      <c r="E565" t="s">
        <v>2840</v>
      </c>
      <c r="F565" t="s">
        <v>1113</v>
      </c>
    </row>
    <row r="566" spans="1:6" x14ac:dyDescent="0.25">
      <c r="A566" t="s">
        <v>2195</v>
      </c>
      <c r="B566" t="s">
        <v>2927</v>
      </c>
      <c r="C566" t="s">
        <v>2914</v>
      </c>
      <c r="D566" t="s">
        <v>2637</v>
      </c>
      <c r="E566" t="s">
        <v>2808</v>
      </c>
      <c r="F566" t="s">
        <v>1098</v>
      </c>
    </row>
    <row r="567" spans="1:6" x14ac:dyDescent="0.25">
      <c r="A567" t="s">
        <v>2195</v>
      </c>
      <c r="B567" t="s">
        <v>2927</v>
      </c>
      <c r="C567" t="s">
        <v>2917</v>
      </c>
      <c r="D567" t="s">
        <v>1206</v>
      </c>
      <c r="E567" t="s">
        <v>2763</v>
      </c>
      <c r="F567" t="s">
        <v>1106</v>
      </c>
    </row>
    <row r="568" spans="1:6" x14ac:dyDescent="0.25">
      <c r="A568" t="s">
        <v>2195</v>
      </c>
      <c r="B568" t="s">
        <v>2927</v>
      </c>
      <c r="C568" t="s">
        <v>2917</v>
      </c>
      <c r="D568" t="s">
        <v>748</v>
      </c>
      <c r="E568" t="s">
        <v>2801</v>
      </c>
      <c r="F568" t="s">
        <v>1099</v>
      </c>
    </row>
    <row r="569" spans="1:6" x14ac:dyDescent="0.25">
      <c r="A569" t="s">
        <v>2195</v>
      </c>
      <c r="B569" t="s">
        <v>2927</v>
      </c>
      <c r="C569" t="s">
        <v>2917</v>
      </c>
      <c r="D569" t="s">
        <v>748</v>
      </c>
      <c r="E569" t="s">
        <v>2801</v>
      </c>
      <c r="F569" t="s">
        <v>1101</v>
      </c>
    </row>
    <row r="570" spans="1:6" x14ac:dyDescent="0.25">
      <c r="A570" t="s">
        <v>2195</v>
      </c>
      <c r="B570" t="s">
        <v>2927</v>
      </c>
      <c r="C570" t="s">
        <v>2917</v>
      </c>
      <c r="D570" t="s">
        <v>217</v>
      </c>
      <c r="E570" t="s">
        <v>2802</v>
      </c>
      <c r="F570" t="s">
        <v>1108</v>
      </c>
    </row>
    <row r="571" spans="1:6" x14ac:dyDescent="0.25">
      <c r="A571" t="s">
        <v>2195</v>
      </c>
      <c r="B571" t="s">
        <v>75</v>
      </c>
      <c r="C571" t="s">
        <v>75</v>
      </c>
      <c r="D571" t="s">
        <v>2646</v>
      </c>
      <c r="E571" t="s">
        <v>2810</v>
      </c>
      <c r="F571" t="s">
        <v>1043</v>
      </c>
    </row>
    <row r="572" spans="1:6" x14ac:dyDescent="0.25">
      <c r="A572" t="s">
        <v>2195</v>
      </c>
      <c r="B572" t="s">
        <v>2921</v>
      </c>
      <c r="C572" t="s">
        <v>2918</v>
      </c>
      <c r="D572" t="s">
        <v>2639</v>
      </c>
      <c r="E572" t="s">
        <v>2811</v>
      </c>
      <c r="F572" t="s">
        <v>1088</v>
      </c>
    </row>
    <row r="573" spans="1:6" x14ac:dyDescent="0.25">
      <c r="A573" t="s">
        <v>2195</v>
      </c>
      <c r="B573" t="s">
        <v>2921</v>
      </c>
      <c r="C573" t="s">
        <v>2918</v>
      </c>
      <c r="D573" t="s">
        <v>2639</v>
      </c>
      <c r="E573" t="s">
        <v>2832</v>
      </c>
      <c r="F573" t="s">
        <v>1089</v>
      </c>
    </row>
    <row r="574" spans="1:6" x14ac:dyDescent="0.25">
      <c r="A574" t="s">
        <v>2195</v>
      </c>
      <c r="B574" t="s">
        <v>2921</v>
      </c>
      <c r="C574" t="s">
        <v>2920</v>
      </c>
      <c r="D574" t="s">
        <v>2667</v>
      </c>
      <c r="E574" t="s">
        <v>2752</v>
      </c>
      <c r="F574" t="s">
        <v>1095</v>
      </c>
    </row>
    <row r="575" spans="1:6" x14ac:dyDescent="0.25">
      <c r="A575" t="s">
        <v>2195</v>
      </c>
      <c r="B575" t="s">
        <v>2921</v>
      </c>
      <c r="C575" t="s">
        <v>191</v>
      </c>
      <c r="D575" t="s">
        <v>191</v>
      </c>
      <c r="E575" t="s">
        <v>2817</v>
      </c>
      <c r="F575" t="s">
        <v>338</v>
      </c>
    </row>
    <row r="576" spans="1:6" x14ac:dyDescent="0.25">
      <c r="A576" t="s">
        <v>2195</v>
      </c>
      <c r="B576" t="s">
        <v>2919</v>
      </c>
      <c r="C576" t="s">
        <v>2919</v>
      </c>
      <c r="D576" t="s">
        <v>2653</v>
      </c>
      <c r="E576" t="s">
        <v>2773</v>
      </c>
      <c r="F576" t="s">
        <v>1110</v>
      </c>
    </row>
    <row r="577" spans="1:6" x14ac:dyDescent="0.25">
      <c r="A577" t="s">
        <v>2195</v>
      </c>
      <c r="B577" t="s">
        <v>2919</v>
      </c>
      <c r="C577" t="s">
        <v>188</v>
      </c>
      <c r="D577" t="s">
        <v>188</v>
      </c>
      <c r="E577" t="s">
        <v>2761</v>
      </c>
      <c r="F577" t="s">
        <v>1104</v>
      </c>
    </row>
    <row r="578" spans="1:6" x14ac:dyDescent="0.25">
      <c r="A578" t="s">
        <v>2198</v>
      </c>
      <c r="B578" t="s">
        <v>2927</v>
      </c>
      <c r="C578" t="s">
        <v>2917</v>
      </c>
      <c r="D578" t="s">
        <v>490</v>
      </c>
      <c r="E578" t="s">
        <v>2763</v>
      </c>
      <c r="F578" t="s">
        <v>1135</v>
      </c>
    </row>
    <row r="579" spans="1:6" x14ac:dyDescent="0.25">
      <c r="A579" t="s">
        <v>2198</v>
      </c>
      <c r="B579" t="s">
        <v>2927</v>
      </c>
      <c r="C579" t="s">
        <v>2917</v>
      </c>
      <c r="D579" t="s">
        <v>1206</v>
      </c>
      <c r="E579" t="s">
        <v>2753</v>
      </c>
      <c r="F579" t="s">
        <v>1127</v>
      </c>
    </row>
    <row r="580" spans="1:6" x14ac:dyDescent="0.25">
      <c r="A580" t="s">
        <v>2198</v>
      </c>
      <c r="B580" t="s">
        <v>2927</v>
      </c>
      <c r="C580" t="s">
        <v>2917</v>
      </c>
      <c r="D580" t="s">
        <v>1206</v>
      </c>
      <c r="E580" t="s">
        <v>2819</v>
      </c>
      <c r="F580" t="s">
        <v>1129</v>
      </c>
    </row>
    <row r="581" spans="1:6" x14ac:dyDescent="0.25">
      <c r="A581" t="s">
        <v>2198</v>
      </c>
      <c r="B581" t="s">
        <v>2927</v>
      </c>
      <c r="C581" t="s">
        <v>2917</v>
      </c>
      <c r="D581" t="s">
        <v>1206</v>
      </c>
      <c r="E581" t="s">
        <v>2816</v>
      </c>
      <c r="F581" t="s">
        <v>1125</v>
      </c>
    </row>
    <row r="582" spans="1:6" x14ac:dyDescent="0.25">
      <c r="A582" t="s">
        <v>2198</v>
      </c>
      <c r="B582" t="s">
        <v>2927</v>
      </c>
      <c r="C582" t="s">
        <v>2917</v>
      </c>
      <c r="D582" t="s">
        <v>2679</v>
      </c>
      <c r="E582" t="s">
        <v>2754</v>
      </c>
      <c r="F582" t="s">
        <v>1133</v>
      </c>
    </row>
    <row r="583" spans="1:6" x14ac:dyDescent="0.25">
      <c r="A583" t="s">
        <v>2198</v>
      </c>
      <c r="B583" t="s">
        <v>2921</v>
      </c>
      <c r="C583" t="s">
        <v>2918</v>
      </c>
      <c r="D583" t="s">
        <v>2639</v>
      </c>
      <c r="E583" t="s">
        <v>2792</v>
      </c>
      <c r="F583" t="s">
        <v>1114</v>
      </c>
    </row>
    <row r="584" spans="1:6" x14ac:dyDescent="0.25">
      <c r="A584" t="s">
        <v>2198</v>
      </c>
      <c r="B584" t="s">
        <v>2921</v>
      </c>
      <c r="C584" t="s">
        <v>2918</v>
      </c>
      <c r="D584" t="s">
        <v>2639</v>
      </c>
      <c r="E584" t="s">
        <v>2811</v>
      </c>
      <c r="F584" t="s">
        <v>1120</v>
      </c>
    </row>
    <row r="585" spans="1:6" x14ac:dyDescent="0.25">
      <c r="A585" t="s">
        <v>2198</v>
      </c>
      <c r="B585" t="s">
        <v>2921</v>
      </c>
      <c r="C585" t="s">
        <v>2918</v>
      </c>
      <c r="D585" t="s">
        <v>2639</v>
      </c>
      <c r="E585" t="s">
        <v>2754</v>
      </c>
      <c r="F585" t="s">
        <v>1117</v>
      </c>
    </row>
    <row r="586" spans="1:6" x14ac:dyDescent="0.25">
      <c r="A586" t="s">
        <v>2198</v>
      </c>
      <c r="B586" t="s">
        <v>2921</v>
      </c>
      <c r="C586" t="s">
        <v>2920</v>
      </c>
      <c r="D586" t="s">
        <v>2667</v>
      </c>
      <c r="E586" t="s">
        <v>2774</v>
      </c>
      <c r="F586" t="s">
        <v>1121</v>
      </c>
    </row>
    <row r="587" spans="1:6" x14ac:dyDescent="0.25">
      <c r="A587" t="s">
        <v>2198</v>
      </c>
      <c r="B587" t="s">
        <v>2921</v>
      </c>
      <c r="C587" t="s">
        <v>191</v>
      </c>
      <c r="D587" t="s">
        <v>191</v>
      </c>
      <c r="E587" t="s">
        <v>2817</v>
      </c>
      <c r="F587" t="s">
        <v>338</v>
      </c>
    </row>
    <row r="588" spans="1:6" x14ac:dyDescent="0.25">
      <c r="A588" t="s">
        <v>2198</v>
      </c>
      <c r="B588" t="s">
        <v>2919</v>
      </c>
      <c r="C588" t="s">
        <v>2919</v>
      </c>
      <c r="D588" t="s">
        <v>2653</v>
      </c>
      <c r="E588" t="s">
        <v>2755</v>
      </c>
      <c r="F588" t="s">
        <v>1138</v>
      </c>
    </row>
    <row r="589" spans="1:6" x14ac:dyDescent="0.25">
      <c r="A589" t="s">
        <v>2198</v>
      </c>
      <c r="B589" t="s">
        <v>2919</v>
      </c>
      <c r="C589" t="s">
        <v>2919</v>
      </c>
      <c r="D589" t="s">
        <v>2673</v>
      </c>
      <c r="E589" t="s">
        <v>2791</v>
      </c>
      <c r="F589" t="s">
        <v>1122</v>
      </c>
    </row>
    <row r="590" spans="1:6" x14ac:dyDescent="0.25">
      <c r="A590" t="s">
        <v>2198</v>
      </c>
      <c r="B590" t="s">
        <v>2919</v>
      </c>
      <c r="C590" t="s">
        <v>188</v>
      </c>
      <c r="D590" t="s">
        <v>188</v>
      </c>
      <c r="E590" t="s">
        <v>2763</v>
      </c>
      <c r="F590" t="s">
        <v>1130</v>
      </c>
    </row>
    <row r="591" spans="1:6" x14ac:dyDescent="0.25">
      <c r="A591" t="s">
        <v>2201</v>
      </c>
      <c r="B591" t="s">
        <v>2927</v>
      </c>
      <c r="C591" t="s">
        <v>2914</v>
      </c>
      <c r="D591" t="s">
        <v>2637</v>
      </c>
      <c r="E591" t="s">
        <v>2753</v>
      </c>
      <c r="F591" t="s">
        <v>1157</v>
      </c>
    </row>
    <row r="592" spans="1:6" x14ac:dyDescent="0.25">
      <c r="A592" t="s">
        <v>2201</v>
      </c>
      <c r="B592" t="s">
        <v>2927</v>
      </c>
      <c r="C592" t="s">
        <v>2914</v>
      </c>
      <c r="D592" t="s">
        <v>2637</v>
      </c>
      <c r="E592" t="s">
        <v>2838</v>
      </c>
      <c r="F592" t="s">
        <v>1147</v>
      </c>
    </row>
    <row r="593" spans="1:6" x14ac:dyDescent="0.25">
      <c r="A593" t="s">
        <v>2201</v>
      </c>
      <c r="B593" t="s">
        <v>2927</v>
      </c>
      <c r="C593" t="s">
        <v>2917</v>
      </c>
      <c r="D593" t="s">
        <v>2659</v>
      </c>
      <c r="E593" t="s">
        <v>2792</v>
      </c>
      <c r="F593" t="s">
        <v>1154</v>
      </c>
    </row>
    <row r="594" spans="1:6" x14ac:dyDescent="0.25">
      <c r="A594" t="s">
        <v>2201</v>
      </c>
      <c r="B594" t="s">
        <v>2927</v>
      </c>
      <c r="C594" t="s">
        <v>2917</v>
      </c>
      <c r="D594" t="s">
        <v>748</v>
      </c>
      <c r="E594" t="s">
        <v>2768</v>
      </c>
      <c r="F594" t="s">
        <v>1148</v>
      </c>
    </row>
    <row r="595" spans="1:6" x14ac:dyDescent="0.25">
      <c r="A595" t="s">
        <v>2201</v>
      </c>
      <c r="B595" t="s">
        <v>75</v>
      </c>
      <c r="C595" t="s">
        <v>75</v>
      </c>
      <c r="D595" t="s">
        <v>2640</v>
      </c>
      <c r="E595" t="s">
        <v>2760</v>
      </c>
      <c r="F595" t="s">
        <v>1143</v>
      </c>
    </row>
    <row r="596" spans="1:6" x14ac:dyDescent="0.25">
      <c r="A596" t="s">
        <v>2201</v>
      </c>
      <c r="B596" t="s">
        <v>2921</v>
      </c>
      <c r="C596" t="s">
        <v>2918</v>
      </c>
      <c r="D596" t="s">
        <v>2639</v>
      </c>
      <c r="E596" t="s">
        <v>2792</v>
      </c>
      <c r="F596" t="s">
        <v>1140</v>
      </c>
    </row>
    <row r="597" spans="1:6" x14ac:dyDescent="0.25">
      <c r="A597" t="s">
        <v>2201</v>
      </c>
      <c r="B597" t="s">
        <v>2921</v>
      </c>
      <c r="C597" t="s">
        <v>2920</v>
      </c>
      <c r="D597" t="s">
        <v>2667</v>
      </c>
      <c r="E597" t="s">
        <v>2841</v>
      </c>
      <c r="F597" t="s">
        <v>1146</v>
      </c>
    </row>
    <row r="598" spans="1:6" x14ac:dyDescent="0.25">
      <c r="A598" t="s">
        <v>2201</v>
      </c>
      <c r="B598" t="s">
        <v>2921</v>
      </c>
      <c r="C598" t="s">
        <v>2921</v>
      </c>
      <c r="D598" t="s">
        <v>2644</v>
      </c>
      <c r="E598" t="s">
        <v>2768</v>
      </c>
      <c r="F598" t="s">
        <v>1151</v>
      </c>
    </row>
    <row r="599" spans="1:6" x14ac:dyDescent="0.25">
      <c r="A599" t="s">
        <v>2201</v>
      </c>
      <c r="B599" t="s">
        <v>2921</v>
      </c>
      <c r="C599" t="s">
        <v>2921</v>
      </c>
      <c r="D599" t="s">
        <v>2644</v>
      </c>
      <c r="E599" t="s">
        <v>2803</v>
      </c>
      <c r="F599" t="s">
        <v>429</v>
      </c>
    </row>
    <row r="600" spans="1:6" x14ac:dyDescent="0.25">
      <c r="A600" t="s">
        <v>2201</v>
      </c>
      <c r="B600" t="s">
        <v>2921</v>
      </c>
      <c r="C600" t="s">
        <v>191</v>
      </c>
      <c r="D600" t="s">
        <v>191</v>
      </c>
      <c r="E600" t="s">
        <v>2817</v>
      </c>
      <c r="F600" t="s">
        <v>338</v>
      </c>
    </row>
    <row r="601" spans="1:6" x14ac:dyDescent="0.25">
      <c r="A601" t="s">
        <v>2201</v>
      </c>
      <c r="B601" t="s">
        <v>2928</v>
      </c>
      <c r="C601" t="s">
        <v>2916</v>
      </c>
      <c r="D601" t="s">
        <v>2638</v>
      </c>
      <c r="E601" t="s">
        <v>2781</v>
      </c>
      <c r="F601" t="s">
        <v>1139</v>
      </c>
    </row>
    <row r="602" spans="1:6" x14ac:dyDescent="0.25">
      <c r="A602" t="s">
        <v>1847</v>
      </c>
      <c r="B602" t="s">
        <v>2927</v>
      </c>
      <c r="C602" t="s">
        <v>2917</v>
      </c>
      <c r="D602" t="s">
        <v>748</v>
      </c>
      <c r="E602" t="s">
        <v>2770</v>
      </c>
      <c r="F602" t="s">
        <v>957</v>
      </c>
    </row>
    <row r="603" spans="1:6" x14ac:dyDescent="0.25">
      <c r="A603" t="s">
        <v>1847</v>
      </c>
      <c r="B603" t="s">
        <v>2927</v>
      </c>
      <c r="C603" t="s">
        <v>2917</v>
      </c>
      <c r="D603" t="s">
        <v>748</v>
      </c>
      <c r="E603" t="s">
        <v>2793</v>
      </c>
      <c r="F603" t="s">
        <v>949</v>
      </c>
    </row>
    <row r="604" spans="1:6" x14ac:dyDescent="0.25">
      <c r="A604" t="s">
        <v>1847</v>
      </c>
      <c r="B604" t="s">
        <v>2921</v>
      </c>
      <c r="C604" t="s">
        <v>2918</v>
      </c>
      <c r="D604" t="s">
        <v>2639</v>
      </c>
      <c r="E604" t="s">
        <v>2794</v>
      </c>
      <c r="F604" t="s">
        <v>948</v>
      </c>
    </row>
    <row r="605" spans="1:6" x14ac:dyDescent="0.25">
      <c r="A605" t="s">
        <v>1847</v>
      </c>
      <c r="B605" t="s">
        <v>2921</v>
      </c>
      <c r="C605" t="s">
        <v>2918</v>
      </c>
      <c r="D605" t="s">
        <v>2639</v>
      </c>
      <c r="E605" t="s">
        <v>2828</v>
      </c>
      <c r="F605" t="s">
        <v>942</v>
      </c>
    </row>
    <row r="606" spans="1:6" x14ac:dyDescent="0.25">
      <c r="A606" t="s">
        <v>1847</v>
      </c>
      <c r="B606" t="s">
        <v>2921</v>
      </c>
      <c r="C606" t="s">
        <v>2918</v>
      </c>
      <c r="D606" t="s">
        <v>2639</v>
      </c>
      <c r="E606" t="s">
        <v>2827</v>
      </c>
      <c r="F606" t="s">
        <v>939</v>
      </c>
    </row>
    <row r="607" spans="1:6" x14ac:dyDescent="0.25">
      <c r="A607" t="s">
        <v>1847</v>
      </c>
      <c r="B607" t="s">
        <v>2921</v>
      </c>
      <c r="C607" t="s">
        <v>2918</v>
      </c>
      <c r="D607" t="s">
        <v>2639</v>
      </c>
      <c r="E607" t="s">
        <v>2801</v>
      </c>
      <c r="F607" t="s">
        <v>945</v>
      </c>
    </row>
    <row r="608" spans="1:6" x14ac:dyDescent="0.25">
      <c r="A608" t="s">
        <v>1847</v>
      </c>
      <c r="B608" t="s">
        <v>2921</v>
      </c>
      <c r="C608" t="s">
        <v>2918</v>
      </c>
      <c r="D608" t="s">
        <v>2669</v>
      </c>
      <c r="E608" t="s">
        <v>2794</v>
      </c>
      <c r="F608" t="s">
        <v>764</v>
      </c>
    </row>
    <row r="609" spans="1:6" x14ac:dyDescent="0.25">
      <c r="A609" t="s">
        <v>1847</v>
      </c>
      <c r="B609" t="s">
        <v>2919</v>
      </c>
      <c r="C609" t="s">
        <v>2919</v>
      </c>
      <c r="D609" t="s">
        <v>2654</v>
      </c>
      <c r="E609" t="s">
        <v>2786</v>
      </c>
      <c r="F609" t="s">
        <v>953</v>
      </c>
    </row>
    <row r="610" spans="1:6" x14ac:dyDescent="0.25">
      <c r="A610" t="s">
        <v>1847</v>
      </c>
      <c r="B610" t="s">
        <v>2919</v>
      </c>
      <c r="C610" t="s">
        <v>2919</v>
      </c>
      <c r="D610" t="s">
        <v>2654</v>
      </c>
      <c r="E610" t="s">
        <v>2797</v>
      </c>
      <c r="F610" t="s">
        <v>954</v>
      </c>
    </row>
    <row r="611" spans="1:6" x14ac:dyDescent="0.25">
      <c r="A611" t="s">
        <v>1847</v>
      </c>
      <c r="B611" t="s">
        <v>2919</v>
      </c>
      <c r="C611" t="s">
        <v>188</v>
      </c>
      <c r="D611" t="s">
        <v>188</v>
      </c>
      <c r="E611" t="s">
        <v>2763</v>
      </c>
      <c r="F611" t="s">
        <v>951</v>
      </c>
    </row>
    <row r="612" spans="1:6" x14ac:dyDescent="0.25">
      <c r="A612" t="s">
        <v>1869</v>
      </c>
      <c r="B612" t="s">
        <v>2927</v>
      </c>
      <c r="C612" t="s">
        <v>2914</v>
      </c>
      <c r="D612" t="s">
        <v>2637</v>
      </c>
      <c r="E612" t="s">
        <v>2753</v>
      </c>
      <c r="F612" t="s">
        <v>984</v>
      </c>
    </row>
    <row r="613" spans="1:6" x14ac:dyDescent="0.25">
      <c r="A613" t="s">
        <v>1869</v>
      </c>
      <c r="B613" t="s">
        <v>2927</v>
      </c>
      <c r="C613" t="s">
        <v>2914</v>
      </c>
      <c r="D613" t="s">
        <v>2637</v>
      </c>
      <c r="E613" t="s">
        <v>2787</v>
      </c>
      <c r="F613" t="s">
        <v>969</v>
      </c>
    </row>
    <row r="614" spans="1:6" x14ac:dyDescent="0.25">
      <c r="A614" t="s">
        <v>1869</v>
      </c>
      <c r="B614" t="s">
        <v>2927</v>
      </c>
      <c r="C614" t="s">
        <v>2914</v>
      </c>
      <c r="D614" t="s">
        <v>2637</v>
      </c>
      <c r="E614" t="s">
        <v>2810</v>
      </c>
      <c r="F614" t="s">
        <v>968</v>
      </c>
    </row>
    <row r="615" spans="1:6" x14ac:dyDescent="0.25">
      <c r="A615" t="s">
        <v>1869</v>
      </c>
      <c r="B615" t="s">
        <v>2927</v>
      </c>
      <c r="C615" t="s">
        <v>2914</v>
      </c>
      <c r="D615" t="s">
        <v>2637</v>
      </c>
      <c r="E615" t="s">
        <v>2770</v>
      </c>
      <c r="F615" t="s">
        <v>986</v>
      </c>
    </row>
    <row r="616" spans="1:6" x14ac:dyDescent="0.25">
      <c r="A616" t="s">
        <v>1869</v>
      </c>
      <c r="B616" t="s">
        <v>2927</v>
      </c>
      <c r="C616" t="s">
        <v>2914</v>
      </c>
      <c r="D616" t="s">
        <v>2637</v>
      </c>
      <c r="E616" t="s">
        <v>2776</v>
      </c>
      <c r="F616" t="s">
        <v>970</v>
      </c>
    </row>
    <row r="617" spans="1:6" x14ac:dyDescent="0.25">
      <c r="A617" t="s">
        <v>1869</v>
      </c>
      <c r="B617" t="s">
        <v>75</v>
      </c>
      <c r="C617" t="s">
        <v>75</v>
      </c>
      <c r="D617" t="s">
        <v>2646</v>
      </c>
      <c r="E617" t="s">
        <v>2776</v>
      </c>
      <c r="F617" t="s">
        <v>964</v>
      </c>
    </row>
    <row r="618" spans="1:6" x14ac:dyDescent="0.25">
      <c r="A618" t="s">
        <v>1869</v>
      </c>
      <c r="B618" t="s">
        <v>2921</v>
      </c>
      <c r="C618" t="s">
        <v>2920</v>
      </c>
      <c r="D618" t="s">
        <v>2667</v>
      </c>
      <c r="E618" t="s">
        <v>2786</v>
      </c>
      <c r="F618" t="s">
        <v>965</v>
      </c>
    </row>
    <row r="619" spans="1:6" x14ac:dyDescent="0.25">
      <c r="A619" t="s">
        <v>1869</v>
      </c>
      <c r="B619" t="s">
        <v>2921</v>
      </c>
      <c r="C619" t="s">
        <v>2920</v>
      </c>
      <c r="D619" t="s">
        <v>2643</v>
      </c>
      <c r="E619" t="s">
        <v>2774</v>
      </c>
      <c r="F619" t="s">
        <v>411</v>
      </c>
    </row>
    <row r="620" spans="1:6" x14ac:dyDescent="0.25">
      <c r="A620" t="s">
        <v>1869</v>
      </c>
      <c r="B620" t="s">
        <v>2921</v>
      </c>
      <c r="C620" t="s">
        <v>2921</v>
      </c>
      <c r="D620" t="s">
        <v>2674</v>
      </c>
      <c r="E620" t="s">
        <v>2778</v>
      </c>
      <c r="F620" t="s">
        <v>980</v>
      </c>
    </row>
    <row r="621" spans="1:6" x14ac:dyDescent="0.25">
      <c r="A621" t="s">
        <v>1869</v>
      </c>
      <c r="B621" t="s">
        <v>2921</v>
      </c>
      <c r="C621" t="s">
        <v>2921</v>
      </c>
      <c r="D621" t="s">
        <v>2674</v>
      </c>
      <c r="E621" t="s">
        <v>2778</v>
      </c>
      <c r="F621" t="s">
        <v>974</v>
      </c>
    </row>
    <row r="622" spans="1:6" x14ac:dyDescent="0.25">
      <c r="A622" t="s">
        <v>1869</v>
      </c>
      <c r="B622" t="s">
        <v>2919</v>
      </c>
      <c r="C622" t="s">
        <v>2919</v>
      </c>
      <c r="D622" t="s">
        <v>2673</v>
      </c>
      <c r="E622" t="s">
        <v>2788</v>
      </c>
      <c r="F622" t="s">
        <v>971</v>
      </c>
    </row>
    <row r="623" spans="1:6" x14ac:dyDescent="0.25">
      <c r="A623" t="s">
        <v>1869</v>
      </c>
      <c r="B623" t="s">
        <v>2919</v>
      </c>
      <c r="C623" t="s">
        <v>2919</v>
      </c>
      <c r="D623" t="s">
        <v>2663</v>
      </c>
      <c r="E623" t="s">
        <v>2752</v>
      </c>
      <c r="F623" t="s">
        <v>960</v>
      </c>
    </row>
    <row r="624" spans="1:6" x14ac:dyDescent="0.25">
      <c r="A624" t="s">
        <v>1869</v>
      </c>
      <c r="B624" t="s">
        <v>2919</v>
      </c>
      <c r="C624" t="s">
        <v>2919</v>
      </c>
      <c r="D624" t="s">
        <v>2650</v>
      </c>
      <c r="E624" t="s">
        <v>2780</v>
      </c>
      <c r="F624" t="s">
        <v>961</v>
      </c>
    </row>
    <row r="625" spans="1:6" x14ac:dyDescent="0.25">
      <c r="A625" t="s">
        <v>1869</v>
      </c>
      <c r="B625" t="s">
        <v>2928</v>
      </c>
      <c r="C625" t="s">
        <v>2916</v>
      </c>
      <c r="D625" t="s">
        <v>2642</v>
      </c>
      <c r="E625" t="s">
        <v>2781</v>
      </c>
      <c r="F625" t="s">
        <v>962</v>
      </c>
    </row>
    <row r="626" spans="1:6" x14ac:dyDescent="0.25">
      <c r="A626" t="s">
        <v>1869</v>
      </c>
      <c r="B626" t="s">
        <v>2928</v>
      </c>
      <c r="C626" t="s">
        <v>2916</v>
      </c>
      <c r="D626" t="s">
        <v>2642</v>
      </c>
      <c r="E626" t="s">
        <v>2774</v>
      </c>
      <c r="F626" t="s">
        <v>983</v>
      </c>
    </row>
    <row r="627" spans="1:6" x14ac:dyDescent="0.25">
      <c r="A627" t="s">
        <v>1869</v>
      </c>
      <c r="B627" t="s">
        <v>2928</v>
      </c>
      <c r="C627" t="s">
        <v>2916</v>
      </c>
      <c r="D627" t="s">
        <v>2638</v>
      </c>
      <c r="E627" t="s">
        <v>2786</v>
      </c>
      <c r="F627" t="s">
        <v>959</v>
      </c>
    </row>
    <row r="628" spans="1:6" x14ac:dyDescent="0.25">
      <c r="A628" t="s">
        <v>1869</v>
      </c>
      <c r="B628" t="s">
        <v>2928</v>
      </c>
      <c r="C628" t="s">
        <v>2916</v>
      </c>
      <c r="D628" t="s">
        <v>2638</v>
      </c>
      <c r="E628" t="s">
        <v>2797</v>
      </c>
      <c r="F628" t="s">
        <v>987</v>
      </c>
    </row>
    <row r="629" spans="1:6" x14ac:dyDescent="0.25">
      <c r="A629" t="s">
        <v>1869</v>
      </c>
      <c r="B629" t="s">
        <v>2928</v>
      </c>
      <c r="C629" t="s">
        <v>2922</v>
      </c>
      <c r="D629" t="s">
        <v>2658</v>
      </c>
      <c r="E629" t="s">
        <v>2765</v>
      </c>
      <c r="F629" t="s">
        <v>963</v>
      </c>
    </row>
    <row r="630" spans="1:6" x14ac:dyDescent="0.25">
      <c r="A630" t="s">
        <v>1916</v>
      </c>
      <c r="B630" t="s">
        <v>2927</v>
      </c>
      <c r="C630" t="s">
        <v>2914</v>
      </c>
      <c r="D630" t="s">
        <v>2637</v>
      </c>
      <c r="E630" t="s">
        <v>2794</v>
      </c>
      <c r="F630" t="s">
        <v>557</v>
      </c>
    </row>
    <row r="631" spans="1:6" x14ac:dyDescent="0.25">
      <c r="A631" t="s">
        <v>1916</v>
      </c>
      <c r="B631" t="s">
        <v>2927</v>
      </c>
      <c r="C631" t="s">
        <v>2914</v>
      </c>
      <c r="D631" t="s">
        <v>2637</v>
      </c>
      <c r="E631" t="s">
        <v>2787</v>
      </c>
      <c r="F631" t="s">
        <v>991</v>
      </c>
    </row>
    <row r="632" spans="1:6" x14ac:dyDescent="0.25">
      <c r="A632" t="s">
        <v>1916</v>
      </c>
      <c r="B632" t="s">
        <v>2927</v>
      </c>
      <c r="C632" t="s">
        <v>2914</v>
      </c>
      <c r="D632" t="s">
        <v>2637</v>
      </c>
      <c r="E632" t="s">
        <v>2811</v>
      </c>
      <c r="F632" t="s">
        <v>988</v>
      </c>
    </row>
    <row r="633" spans="1:6" x14ac:dyDescent="0.25">
      <c r="A633" t="s">
        <v>1916</v>
      </c>
      <c r="B633" t="s">
        <v>2927</v>
      </c>
      <c r="C633" t="s">
        <v>2914</v>
      </c>
      <c r="D633" t="s">
        <v>2637</v>
      </c>
      <c r="E633" t="s">
        <v>2776</v>
      </c>
      <c r="F633" t="s">
        <v>995</v>
      </c>
    </row>
    <row r="634" spans="1:6" x14ac:dyDescent="0.25">
      <c r="A634" t="s">
        <v>1916</v>
      </c>
      <c r="B634" t="s">
        <v>2927</v>
      </c>
      <c r="C634" t="s">
        <v>2917</v>
      </c>
      <c r="D634" t="s">
        <v>325</v>
      </c>
      <c r="E634" t="s">
        <v>2789</v>
      </c>
      <c r="F634" t="s">
        <v>992</v>
      </c>
    </row>
    <row r="635" spans="1:6" x14ac:dyDescent="0.25">
      <c r="A635" t="s">
        <v>1916</v>
      </c>
      <c r="B635" t="s">
        <v>75</v>
      </c>
      <c r="C635" t="s">
        <v>75</v>
      </c>
      <c r="D635" t="s">
        <v>2646</v>
      </c>
      <c r="E635" t="s">
        <v>2776</v>
      </c>
      <c r="F635" t="s">
        <v>964</v>
      </c>
    </row>
    <row r="636" spans="1:6" x14ac:dyDescent="0.25">
      <c r="A636" t="s">
        <v>1916</v>
      </c>
      <c r="B636" t="s">
        <v>2919</v>
      </c>
      <c r="C636" t="s">
        <v>2919</v>
      </c>
      <c r="D636" t="s">
        <v>2673</v>
      </c>
      <c r="E636" t="s">
        <v>2788</v>
      </c>
      <c r="F636" t="s">
        <v>971</v>
      </c>
    </row>
    <row r="637" spans="1:6" x14ac:dyDescent="0.25">
      <c r="A637" t="s">
        <v>1916</v>
      </c>
      <c r="B637" t="s">
        <v>2928</v>
      </c>
      <c r="C637" t="s">
        <v>2916</v>
      </c>
      <c r="D637" t="s">
        <v>2642</v>
      </c>
      <c r="E637" t="s">
        <v>2781</v>
      </c>
      <c r="F637" t="s">
        <v>962</v>
      </c>
    </row>
    <row r="638" spans="1:6" x14ac:dyDescent="0.25">
      <c r="A638" t="s">
        <v>1916</v>
      </c>
      <c r="B638" t="s">
        <v>2928</v>
      </c>
      <c r="C638" t="s">
        <v>2922</v>
      </c>
      <c r="D638" t="s">
        <v>2658</v>
      </c>
      <c r="E638" t="s">
        <v>2765</v>
      </c>
      <c r="F638" t="s">
        <v>963</v>
      </c>
    </row>
    <row r="639" spans="1:6" x14ac:dyDescent="0.25">
      <c r="A639" t="s">
        <v>1938</v>
      </c>
      <c r="B639" t="s">
        <v>2927</v>
      </c>
      <c r="C639" t="s">
        <v>2914</v>
      </c>
      <c r="D639" t="s">
        <v>2637</v>
      </c>
      <c r="E639" t="s">
        <v>2794</v>
      </c>
      <c r="F639" t="s">
        <v>1011</v>
      </c>
    </row>
    <row r="640" spans="1:6" x14ac:dyDescent="0.25">
      <c r="A640" t="s">
        <v>1938</v>
      </c>
      <c r="B640" t="s">
        <v>2927</v>
      </c>
      <c r="C640" t="s">
        <v>2914</v>
      </c>
      <c r="D640" t="s">
        <v>2637</v>
      </c>
      <c r="E640" t="s">
        <v>2812</v>
      </c>
      <c r="F640" t="s">
        <v>1006</v>
      </c>
    </row>
    <row r="641" spans="1:6" x14ac:dyDescent="0.25">
      <c r="A641" t="s">
        <v>1938</v>
      </c>
      <c r="B641" t="s">
        <v>75</v>
      </c>
      <c r="C641" t="s">
        <v>75</v>
      </c>
      <c r="D641" t="s">
        <v>2646</v>
      </c>
      <c r="E641" t="s">
        <v>2831</v>
      </c>
      <c r="F641" t="s">
        <v>1001</v>
      </c>
    </row>
    <row r="642" spans="1:6" x14ac:dyDescent="0.25">
      <c r="A642" t="s">
        <v>1938</v>
      </c>
      <c r="B642" t="s">
        <v>2921</v>
      </c>
      <c r="C642" t="s">
        <v>2920</v>
      </c>
      <c r="D642" t="s">
        <v>2667</v>
      </c>
      <c r="E642" t="s">
        <v>2774</v>
      </c>
      <c r="F642" t="s">
        <v>1005</v>
      </c>
    </row>
    <row r="643" spans="1:6" x14ac:dyDescent="0.25">
      <c r="A643" t="s">
        <v>1938</v>
      </c>
      <c r="B643" t="s">
        <v>2921</v>
      </c>
      <c r="C643" t="s">
        <v>2921</v>
      </c>
      <c r="D643" t="s">
        <v>2674</v>
      </c>
      <c r="E643" t="s">
        <v>2782</v>
      </c>
      <c r="F643" t="s">
        <v>1010</v>
      </c>
    </row>
    <row r="644" spans="1:6" x14ac:dyDescent="0.25">
      <c r="A644" t="s">
        <v>1938</v>
      </c>
      <c r="B644" t="s">
        <v>2921</v>
      </c>
      <c r="C644" t="s">
        <v>2921</v>
      </c>
      <c r="D644" t="s">
        <v>2674</v>
      </c>
      <c r="E644" t="s">
        <v>2782</v>
      </c>
      <c r="F644" t="s">
        <v>1009</v>
      </c>
    </row>
    <row r="645" spans="1:6" x14ac:dyDescent="0.25">
      <c r="A645" t="s">
        <v>1938</v>
      </c>
      <c r="B645" t="s">
        <v>2919</v>
      </c>
      <c r="C645" t="s">
        <v>2919</v>
      </c>
      <c r="D645" t="s">
        <v>2673</v>
      </c>
      <c r="E645" t="s">
        <v>2752</v>
      </c>
      <c r="F645" t="s">
        <v>1007</v>
      </c>
    </row>
    <row r="646" spans="1:6" x14ac:dyDescent="0.25">
      <c r="A646" t="s">
        <v>1938</v>
      </c>
      <c r="B646" t="s">
        <v>2928</v>
      </c>
      <c r="C646" t="s">
        <v>2916</v>
      </c>
      <c r="D646" t="s">
        <v>2642</v>
      </c>
      <c r="E646" t="s">
        <v>2791</v>
      </c>
      <c r="F646" t="s">
        <v>999</v>
      </c>
    </row>
    <row r="647" spans="1:6" x14ac:dyDescent="0.25">
      <c r="A647" t="s">
        <v>1938</v>
      </c>
      <c r="B647" t="s">
        <v>2928</v>
      </c>
      <c r="C647" t="s">
        <v>2916</v>
      </c>
      <c r="D647" t="s">
        <v>2642</v>
      </c>
      <c r="E647" t="s">
        <v>2790</v>
      </c>
      <c r="F647" t="s">
        <v>996</v>
      </c>
    </row>
    <row r="648" spans="1:6" x14ac:dyDescent="0.25">
      <c r="A648" t="s">
        <v>1938</v>
      </c>
      <c r="B648" t="s">
        <v>2928</v>
      </c>
      <c r="C648" t="s">
        <v>2916</v>
      </c>
      <c r="D648" t="s">
        <v>2638</v>
      </c>
      <c r="E648" t="s">
        <v>2790</v>
      </c>
      <c r="F648" t="s">
        <v>1008</v>
      </c>
    </row>
    <row r="649" spans="1:6" x14ac:dyDescent="0.25">
      <c r="A649" t="s">
        <v>1938</v>
      </c>
      <c r="B649" t="s">
        <v>2928</v>
      </c>
      <c r="C649" t="s">
        <v>2922</v>
      </c>
      <c r="D649" t="s">
        <v>2658</v>
      </c>
      <c r="E649" t="s">
        <v>2780</v>
      </c>
      <c r="F649" t="s">
        <v>1000</v>
      </c>
    </row>
    <row r="650" spans="1:6" x14ac:dyDescent="0.25">
      <c r="A650" t="s">
        <v>1959</v>
      </c>
      <c r="B650" t="s">
        <v>2927</v>
      </c>
      <c r="C650" t="s">
        <v>2914</v>
      </c>
      <c r="D650" t="s">
        <v>2637</v>
      </c>
      <c r="E650" t="s">
        <v>2753</v>
      </c>
      <c r="F650" t="s">
        <v>1021</v>
      </c>
    </row>
    <row r="651" spans="1:6" x14ac:dyDescent="0.25">
      <c r="A651" t="s">
        <v>1959</v>
      </c>
      <c r="B651" t="s">
        <v>2927</v>
      </c>
      <c r="C651" t="s">
        <v>2914</v>
      </c>
      <c r="D651" t="s">
        <v>2637</v>
      </c>
      <c r="E651" t="s">
        <v>2753</v>
      </c>
      <c r="F651" t="s">
        <v>372</v>
      </c>
    </row>
    <row r="652" spans="1:6" x14ac:dyDescent="0.25">
      <c r="A652" t="s">
        <v>1959</v>
      </c>
      <c r="B652" t="s">
        <v>2927</v>
      </c>
      <c r="C652" t="s">
        <v>2914</v>
      </c>
      <c r="D652" t="s">
        <v>2637</v>
      </c>
      <c r="E652" t="s">
        <v>2753</v>
      </c>
      <c r="F652" t="s">
        <v>984</v>
      </c>
    </row>
    <row r="653" spans="1:6" x14ac:dyDescent="0.25">
      <c r="A653" t="s">
        <v>1959</v>
      </c>
      <c r="B653" t="s">
        <v>75</v>
      </c>
      <c r="C653" t="s">
        <v>75</v>
      </c>
      <c r="D653" t="s">
        <v>2646</v>
      </c>
      <c r="E653" t="s">
        <v>2753</v>
      </c>
      <c r="F653" t="s">
        <v>1016</v>
      </c>
    </row>
    <row r="654" spans="1:6" x14ac:dyDescent="0.25">
      <c r="A654" t="s">
        <v>1959</v>
      </c>
      <c r="B654" t="s">
        <v>2921</v>
      </c>
      <c r="C654" t="s">
        <v>2918</v>
      </c>
      <c r="D654" t="s">
        <v>2639</v>
      </c>
      <c r="E654" t="s">
        <v>2792</v>
      </c>
      <c r="F654" t="s">
        <v>1012</v>
      </c>
    </row>
    <row r="655" spans="1:6" x14ac:dyDescent="0.25">
      <c r="A655" t="s">
        <v>1959</v>
      </c>
      <c r="B655" t="s">
        <v>2919</v>
      </c>
      <c r="C655" t="s">
        <v>2919</v>
      </c>
      <c r="D655" t="s">
        <v>2689</v>
      </c>
      <c r="E655" t="s">
        <v>2804</v>
      </c>
      <c r="F655" t="s">
        <v>1018</v>
      </c>
    </row>
    <row r="656" spans="1:6" x14ac:dyDescent="0.25">
      <c r="A656" t="s">
        <v>1959</v>
      </c>
      <c r="B656" t="s">
        <v>2919</v>
      </c>
      <c r="C656" t="s">
        <v>2919</v>
      </c>
      <c r="D656" t="s">
        <v>2666</v>
      </c>
      <c r="E656" t="s">
        <v>2756</v>
      </c>
      <c r="F656" t="s">
        <v>1017</v>
      </c>
    </row>
    <row r="657" spans="1:6" x14ac:dyDescent="0.25">
      <c r="A657" t="s">
        <v>1959</v>
      </c>
      <c r="B657" t="s">
        <v>2919</v>
      </c>
      <c r="C657" t="s">
        <v>2919</v>
      </c>
      <c r="D657" t="s">
        <v>2650</v>
      </c>
      <c r="E657" t="s">
        <v>2788</v>
      </c>
      <c r="F657" t="s">
        <v>1013</v>
      </c>
    </row>
    <row r="658" spans="1:6" x14ac:dyDescent="0.25">
      <c r="A658" t="s">
        <v>1959</v>
      </c>
      <c r="B658" t="s">
        <v>2928</v>
      </c>
      <c r="C658" t="s">
        <v>2916</v>
      </c>
      <c r="D658" t="s">
        <v>2642</v>
      </c>
      <c r="E658" t="s">
        <v>2829</v>
      </c>
      <c r="F658" t="s">
        <v>1014</v>
      </c>
    </row>
    <row r="659" spans="1:6" x14ac:dyDescent="0.25">
      <c r="A659" t="s">
        <v>1959</v>
      </c>
      <c r="B659" t="s">
        <v>2928</v>
      </c>
      <c r="C659" t="s">
        <v>2922</v>
      </c>
      <c r="D659" t="s">
        <v>2658</v>
      </c>
      <c r="E659" t="s">
        <v>2804</v>
      </c>
      <c r="F659" t="s">
        <v>1020</v>
      </c>
    </row>
    <row r="660" spans="1:6" x14ac:dyDescent="0.25">
      <c r="A660" t="s">
        <v>1959</v>
      </c>
      <c r="B660" t="s">
        <v>2928</v>
      </c>
      <c r="C660" t="s">
        <v>2922</v>
      </c>
      <c r="D660" t="s">
        <v>2658</v>
      </c>
      <c r="E660" t="s">
        <v>2830</v>
      </c>
      <c r="F660" t="s">
        <v>1015</v>
      </c>
    </row>
    <row r="661" spans="1:6" x14ac:dyDescent="0.25">
      <c r="A661" t="s">
        <v>1991</v>
      </c>
      <c r="B661" t="s">
        <v>2927</v>
      </c>
      <c r="C661" t="s">
        <v>2914</v>
      </c>
      <c r="D661" t="s">
        <v>2637</v>
      </c>
      <c r="E661" t="s">
        <v>2803</v>
      </c>
      <c r="F661" t="s">
        <v>1039</v>
      </c>
    </row>
    <row r="662" spans="1:6" x14ac:dyDescent="0.25">
      <c r="A662" t="s">
        <v>1991</v>
      </c>
      <c r="B662" t="s">
        <v>2927</v>
      </c>
      <c r="C662" t="s">
        <v>2914</v>
      </c>
      <c r="D662" t="s">
        <v>2637</v>
      </c>
      <c r="E662" t="s">
        <v>2803</v>
      </c>
      <c r="F662" t="s">
        <v>1038</v>
      </c>
    </row>
    <row r="663" spans="1:6" x14ac:dyDescent="0.25">
      <c r="A663" t="s">
        <v>1991</v>
      </c>
      <c r="B663" t="s">
        <v>2927</v>
      </c>
      <c r="C663" t="s">
        <v>2914</v>
      </c>
      <c r="D663" t="s">
        <v>2637</v>
      </c>
      <c r="E663" t="s">
        <v>2808</v>
      </c>
      <c r="F663" t="s">
        <v>1036</v>
      </c>
    </row>
    <row r="664" spans="1:6" x14ac:dyDescent="0.25">
      <c r="A664" t="s">
        <v>1991</v>
      </c>
      <c r="B664" t="s">
        <v>2927</v>
      </c>
      <c r="C664" t="s">
        <v>2914</v>
      </c>
      <c r="D664" t="s">
        <v>2637</v>
      </c>
      <c r="E664" t="s">
        <v>2835</v>
      </c>
      <c r="F664" t="s">
        <v>1035</v>
      </c>
    </row>
    <row r="665" spans="1:6" x14ac:dyDescent="0.25">
      <c r="A665" t="s">
        <v>1991</v>
      </c>
      <c r="B665" t="s">
        <v>75</v>
      </c>
      <c r="C665" t="s">
        <v>75</v>
      </c>
      <c r="D665" t="s">
        <v>2646</v>
      </c>
      <c r="E665" t="s">
        <v>2803</v>
      </c>
      <c r="F665" t="s">
        <v>1033</v>
      </c>
    </row>
    <row r="666" spans="1:6" x14ac:dyDescent="0.25">
      <c r="A666" t="s">
        <v>1991</v>
      </c>
      <c r="B666" t="s">
        <v>75</v>
      </c>
      <c r="C666" t="s">
        <v>75</v>
      </c>
      <c r="D666" t="s">
        <v>1212</v>
      </c>
      <c r="E666" t="s">
        <v>2807</v>
      </c>
      <c r="F666" t="s">
        <v>1034</v>
      </c>
    </row>
    <row r="667" spans="1:6" x14ac:dyDescent="0.25">
      <c r="A667" t="s">
        <v>1991</v>
      </c>
      <c r="B667" t="s">
        <v>2921</v>
      </c>
      <c r="C667" t="s">
        <v>2918</v>
      </c>
      <c r="D667" t="s">
        <v>2639</v>
      </c>
      <c r="E667" t="s">
        <v>2832</v>
      </c>
      <c r="F667" t="s">
        <v>1023</v>
      </c>
    </row>
    <row r="668" spans="1:6" x14ac:dyDescent="0.25">
      <c r="A668" t="s">
        <v>1991</v>
      </c>
      <c r="B668" t="s">
        <v>2919</v>
      </c>
      <c r="C668" t="s">
        <v>2919</v>
      </c>
      <c r="D668" t="s">
        <v>2689</v>
      </c>
      <c r="E668" t="s">
        <v>2804</v>
      </c>
      <c r="F668" t="s">
        <v>1018</v>
      </c>
    </row>
    <row r="669" spans="1:6" x14ac:dyDescent="0.25">
      <c r="A669" t="s">
        <v>1991</v>
      </c>
      <c r="B669" t="s">
        <v>2919</v>
      </c>
      <c r="C669" t="s">
        <v>2919</v>
      </c>
      <c r="D669" t="s">
        <v>2666</v>
      </c>
      <c r="E669" t="s">
        <v>2834</v>
      </c>
      <c r="F669" t="s">
        <v>1037</v>
      </c>
    </row>
    <row r="670" spans="1:6" x14ac:dyDescent="0.25">
      <c r="A670" t="s">
        <v>1991</v>
      </c>
      <c r="B670" t="s">
        <v>2919</v>
      </c>
      <c r="C670" t="s">
        <v>2919</v>
      </c>
      <c r="D670" t="s">
        <v>2650</v>
      </c>
      <c r="E670" t="s">
        <v>2755</v>
      </c>
      <c r="F670" t="s">
        <v>1024</v>
      </c>
    </row>
    <row r="671" spans="1:6" x14ac:dyDescent="0.25">
      <c r="A671" t="s">
        <v>1991</v>
      </c>
      <c r="B671" t="s">
        <v>2928</v>
      </c>
      <c r="C671" t="s">
        <v>2916</v>
      </c>
      <c r="D671" t="s">
        <v>2642</v>
      </c>
      <c r="E671" t="s">
        <v>2785</v>
      </c>
      <c r="F671" t="s">
        <v>1025</v>
      </c>
    </row>
    <row r="672" spans="1:6" x14ac:dyDescent="0.25">
      <c r="A672" t="s">
        <v>1991</v>
      </c>
      <c r="B672" t="s">
        <v>2928</v>
      </c>
      <c r="C672" t="s">
        <v>2922</v>
      </c>
      <c r="D672" t="s">
        <v>2658</v>
      </c>
      <c r="E672" t="s">
        <v>2806</v>
      </c>
      <c r="F672" t="s">
        <v>1032</v>
      </c>
    </row>
    <row r="673" spans="1:6" x14ac:dyDescent="0.25">
      <c r="A673" t="s">
        <v>1991</v>
      </c>
      <c r="B673" t="s">
        <v>2928</v>
      </c>
      <c r="C673" t="s">
        <v>2922</v>
      </c>
      <c r="D673" t="s">
        <v>2658</v>
      </c>
      <c r="E673" t="s">
        <v>2805</v>
      </c>
      <c r="F673" t="s">
        <v>1029</v>
      </c>
    </row>
    <row r="674" spans="1:6" x14ac:dyDescent="0.25">
      <c r="A674" t="s">
        <v>1991</v>
      </c>
      <c r="B674" t="s">
        <v>2928</v>
      </c>
      <c r="C674" t="s">
        <v>2922</v>
      </c>
      <c r="D674" t="s">
        <v>2675</v>
      </c>
      <c r="E674" t="s">
        <v>2833</v>
      </c>
      <c r="F674" t="s">
        <v>1026</v>
      </c>
    </row>
    <row r="675" spans="1:6" x14ac:dyDescent="0.25">
      <c r="A675" t="s">
        <v>2026</v>
      </c>
      <c r="B675" t="s">
        <v>2927</v>
      </c>
      <c r="C675" t="s">
        <v>2914</v>
      </c>
      <c r="D675" t="s">
        <v>2637</v>
      </c>
      <c r="E675" t="s">
        <v>2770</v>
      </c>
      <c r="F675" t="s">
        <v>1047</v>
      </c>
    </row>
    <row r="676" spans="1:6" x14ac:dyDescent="0.25">
      <c r="A676" t="s">
        <v>2026</v>
      </c>
      <c r="B676" t="s">
        <v>2927</v>
      </c>
      <c r="C676" t="s">
        <v>2914</v>
      </c>
      <c r="D676" t="s">
        <v>2637</v>
      </c>
      <c r="E676" t="s">
        <v>2770</v>
      </c>
      <c r="F676" t="s">
        <v>1044</v>
      </c>
    </row>
    <row r="677" spans="1:6" x14ac:dyDescent="0.25">
      <c r="A677" t="s">
        <v>2026</v>
      </c>
      <c r="B677" t="s">
        <v>2927</v>
      </c>
      <c r="C677" t="s">
        <v>2914</v>
      </c>
      <c r="D677" t="s">
        <v>2637</v>
      </c>
      <c r="E677" t="s">
        <v>2770</v>
      </c>
      <c r="F677" t="s">
        <v>1046</v>
      </c>
    </row>
    <row r="678" spans="1:6" x14ac:dyDescent="0.25">
      <c r="A678" t="s">
        <v>2026</v>
      </c>
      <c r="B678" t="s">
        <v>75</v>
      </c>
      <c r="C678" t="s">
        <v>75</v>
      </c>
      <c r="D678" t="s">
        <v>2646</v>
      </c>
      <c r="E678" t="s">
        <v>2810</v>
      </c>
      <c r="F678" t="s">
        <v>1043</v>
      </c>
    </row>
    <row r="679" spans="1:6" x14ac:dyDescent="0.25">
      <c r="A679" t="s">
        <v>2026</v>
      </c>
      <c r="B679" t="s">
        <v>2919</v>
      </c>
      <c r="C679" t="s">
        <v>2919</v>
      </c>
      <c r="D679" t="s">
        <v>2666</v>
      </c>
      <c r="E679" t="s">
        <v>2780</v>
      </c>
      <c r="F679" t="s">
        <v>626</v>
      </c>
    </row>
    <row r="680" spans="1:6" x14ac:dyDescent="0.25">
      <c r="A680" t="s">
        <v>2026</v>
      </c>
      <c r="B680" t="s">
        <v>2928</v>
      </c>
      <c r="C680" t="s">
        <v>2916</v>
      </c>
      <c r="D680" t="s">
        <v>2642</v>
      </c>
      <c r="E680" t="s">
        <v>2809</v>
      </c>
      <c r="F680" t="s">
        <v>1040</v>
      </c>
    </row>
    <row r="681" spans="1:6" x14ac:dyDescent="0.25">
      <c r="A681" t="s">
        <v>2026</v>
      </c>
      <c r="B681" t="s">
        <v>2928</v>
      </c>
      <c r="C681" t="s">
        <v>2916</v>
      </c>
      <c r="D681" t="s">
        <v>2642</v>
      </c>
      <c r="E681" t="s">
        <v>2786</v>
      </c>
      <c r="F681" t="s">
        <v>1041</v>
      </c>
    </row>
    <row r="682" spans="1:6" x14ac:dyDescent="0.25">
      <c r="A682" t="s">
        <v>2026</v>
      </c>
      <c r="B682" t="s">
        <v>2928</v>
      </c>
      <c r="C682" t="s">
        <v>2922</v>
      </c>
      <c r="D682" t="s">
        <v>2658</v>
      </c>
      <c r="E682" t="s">
        <v>2785</v>
      </c>
      <c r="F682" t="s">
        <v>1042</v>
      </c>
    </row>
    <row r="683" spans="1:6" x14ac:dyDescent="0.25">
      <c r="A683" t="s">
        <v>2026</v>
      </c>
      <c r="B683" t="s">
        <v>2928</v>
      </c>
      <c r="C683" t="s">
        <v>2922</v>
      </c>
      <c r="D683" t="s">
        <v>2658</v>
      </c>
      <c r="E683" t="s">
        <v>2774</v>
      </c>
      <c r="F683" t="s">
        <v>1045</v>
      </c>
    </row>
    <row r="684" spans="1:6" x14ac:dyDescent="0.25">
      <c r="A684" t="s">
        <v>2048</v>
      </c>
      <c r="B684" t="s">
        <v>2927</v>
      </c>
      <c r="C684" t="s">
        <v>2914</v>
      </c>
      <c r="D684" t="s">
        <v>2637</v>
      </c>
      <c r="E684" t="s">
        <v>2753</v>
      </c>
      <c r="F684" t="s">
        <v>1057</v>
      </c>
    </row>
    <row r="685" spans="1:6" x14ac:dyDescent="0.25">
      <c r="A685" t="s">
        <v>2048</v>
      </c>
      <c r="B685" t="s">
        <v>2927</v>
      </c>
      <c r="C685" t="s">
        <v>2914</v>
      </c>
      <c r="D685" t="s">
        <v>2637</v>
      </c>
      <c r="E685" t="s">
        <v>2757</v>
      </c>
      <c r="F685" t="s">
        <v>1055</v>
      </c>
    </row>
    <row r="686" spans="1:6" x14ac:dyDescent="0.25">
      <c r="A686" t="s">
        <v>2048</v>
      </c>
      <c r="B686" t="s">
        <v>2927</v>
      </c>
      <c r="C686" t="s">
        <v>2914</v>
      </c>
      <c r="D686" t="s">
        <v>2637</v>
      </c>
      <c r="E686" t="s">
        <v>2801</v>
      </c>
      <c r="F686" t="s">
        <v>1056</v>
      </c>
    </row>
    <row r="687" spans="1:6" x14ac:dyDescent="0.25">
      <c r="A687" t="s">
        <v>2048</v>
      </c>
      <c r="B687" t="s">
        <v>2927</v>
      </c>
      <c r="C687" t="s">
        <v>2914</v>
      </c>
      <c r="D687" t="s">
        <v>2637</v>
      </c>
      <c r="E687" t="s">
        <v>2801</v>
      </c>
      <c r="F687" t="s">
        <v>1065</v>
      </c>
    </row>
    <row r="688" spans="1:6" x14ac:dyDescent="0.25">
      <c r="A688" t="s">
        <v>2048</v>
      </c>
      <c r="B688" t="s">
        <v>75</v>
      </c>
      <c r="C688" t="s">
        <v>75</v>
      </c>
      <c r="D688" t="s">
        <v>2646</v>
      </c>
      <c r="E688" t="s">
        <v>2770</v>
      </c>
      <c r="F688" t="s">
        <v>1054</v>
      </c>
    </row>
    <row r="689" spans="1:6" x14ac:dyDescent="0.25">
      <c r="A689" t="s">
        <v>2048</v>
      </c>
      <c r="B689" t="s">
        <v>2921</v>
      </c>
      <c r="C689" t="s">
        <v>2918</v>
      </c>
      <c r="D689" t="s">
        <v>2639</v>
      </c>
      <c r="E689" t="s">
        <v>2772</v>
      </c>
      <c r="F689" t="s">
        <v>1051</v>
      </c>
    </row>
    <row r="690" spans="1:6" x14ac:dyDescent="0.25">
      <c r="A690" t="s">
        <v>2048</v>
      </c>
      <c r="B690" t="s">
        <v>2921</v>
      </c>
      <c r="C690" t="s">
        <v>2920</v>
      </c>
      <c r="D690" t="s">
        <v>2667</v>
      </c>
      <c r="E690" t="s">
        <v>2774</v>
      </c>
      <c r="F690" t="s">
        <v>1005</v>
      </c>
    </row>
    <row r="691" spans="1:6" x14ac:dyDescent="0.25">
      <c r="A691" t="s">
        <v>2048</v>
      </c>
      <c r="B691" t="s">
        <v>2921</v>
      </c>
      <c r="C691" t="s">
        <v>2921</v>
      </c>
      <c r="D691" t="s">
        <v>2672</v>
      </c>
      <c r="E691" t="s">
        <v>2790</v>
      </c>
      <c r="F691" t="s">
        <v>1062</v>
      </c>
    </row>
    <row r="692" spans="1:6" x14ac:dyDescent="0.25">
      <c r="A692" t="s">
        <v>2048</v>
      </c>
      <c r="B692" t="s">
        <v>2921</v>
      </c>
      <c r="C692" t="s">
        <v>2921</v>
      </c>
      <c r="D692" t="s">
        <v>2672</v>
      </c>
      <c r="E692" t="s">
        <v>2790</v>
      </c>
      <c r="F692" t="s">
        <v>1059</v>
      </c>
    </row>
    <row r="693" spans="1:6" x14ac:dyDescent="0.25">
      <c r="A693" t="s">
        <v>2048</v>
      </c>
      <c r="B693" t="s">
        <v>2919</v>
      </c>
      <c r="C693" t="s">
        <v>2919</v>
      </c>
      <c r="D693" t="s">
        <v>2666</v>
      </c>
      <c r="E693" t="s">
        <v>2781</v>
      </c>
      <c r="F693" t="s">
        <v>1058</v>
      </c>
    </row>
    <row r="694" spans="1:6" x14ac:dyDescent="0.25">
      <c r="A694" t="s">
        <v>2048</v>
      </c>
      <c r="B694" t="s">
        <v>2928</v>
      </c>
      <c r="C694" t="s">
        <v>2916</v>
      </c>
      <c r="D694" t="s">
        <v>2642</v>
      </c>
      <c r="E694" t="s">
        <v>2765</v>
      </c>
      <c r="F694" t="s">
        <v>1052</v>
      </c>
    </row>
    <row r="695" spans="1:6" x14ac:dyDescent="0.25">
      <c r="A695" t="s">
        <v>2048</v>
      </c>
      <c r="B695" t="s">
        <v>2928</v>
      </c>
      <c r="C695" t="s">
        <v>2922</v>
      </c>
      <c r="D695" t="s">
        <v>2675</v>
      </c>
      <c r="E695" t="s">
        <v>2780</v>
      </c>
      <c r="F695" t="s">
        <v>1053</v>
      </c>
    </row>
    <row r="696" spans="1:6" x14ac:dyDescent="0.25">
      <c r="A696" t="s">
        <v>2099</v>
      </c>
      <c r="B696" t="s">
        <v>2927</v>
      </c>
      <c r="C696" t="s">
        <v>2914</v>
      </c>
      <c r="D696" t="s">
        <v>2637</v>
      </c>
      <c r="E696" t="s">
        <v>2768</v>
      </c>
      <c r="F696" t="s">
        <v>1073</v>
      </c>
    </row>
    <row r="697" spans="1:6" x14ac:dyDescent="0.25">
      <c r="A697" t="s">
        <v>2099</v>
      </c>
      <c r="B697" t="s">
        <v>2927</v>
      </c>
      <c r="C697" t="s">
        <v>2914</v>
      </c>
      <c r="D697" t="s">
        <v>2637</v>
      </c>
      <c r="E697" t="s">
        <v>2811</v>
      </c>
      <c r="F697" t="s">
        <v>988</v>
      </c>
    </row>
    <row r="698" spans="1:6" x14ac:dyDescent="0.25">
      <c r="A698" t="s">
        <v>2099</v>
      </c>
      <c r="B698" t="s">
        <v>2927</v>
      </c>
      <c r="C698" t="s">
        <v>2914</v>
      </c>
      <c r="D698" t="s">
        <v>2637</v>
      </c>
      <c r="E698" t="s">
        <v>2759</v>
      </c>
      <c r="F698" t="s">
        <v>1074</v>
      </c>
    </row>
    <row r="699" spans="1:6" x14ac:dyDescent="0.25">
      <c r="A699" t="s">
        <v>2099</v>
      </c>
      <c r="B699" t="s">
        <v>2927</v>
      </c>
      <c r="C699" t="s">
        <v>2914</v>
      </c>
      <c r="D699" t="s">
        <v>2637</v>
      </c>
      <c r="E699" t="s">
        <v>2776</v>
      </c>
      <c r="F699" t="s">
        <v>970</v>
      </c>
    </row>
    <row r="700" spans="1:6" x14ac:dyDescent="0.25">
      <c r="A700" t="s">
        <v>2099</v>
      </c>
      <c r="B700" t="s">
        <v>75</v>
      </c>
      <c r="C700" t="s">
        <v>75</v>
      </c>
      <c r="D700" t="s">
        <v>2646</v>
      </c>
      <c r="E700" t="s">
        <v>2760</v>
      </c>
      <c r="F700" t="s">
        <v>1067</v>
      </c>
    </row>
    <row r="701" spans="1:6" x14ac:dyDescent="0.25">
      <c r="A701" t="s">
        <v>2099</v>
      </c>
      <c r="B701" t="s">
        <v>2921</v>
      </c>
      <c r="C701" t="s">
        <v>2918</v>
      </c>
      <c r="D701" t="s">
        <v>2639</v>
      </c>
      <c r="E701" t="s">
        <v>2794</v>
      </c>
      <c r="F701" t="s">
        <v>313</v>
      </c>
    </row>
    <row r="702" spans="1:6" x14ac:dyDescent="0.25">
      <c r="A702" t="s">
        <v>2099</v>
      </c>
      <c r="B702" t="s">
        <v>2921</v>
      </c>
      <c r="C702" t="s">
        <v>2920</v>
      </c>
      <c r="D702" t="s">
        <v>2667</v>
      </c>
      <c r="E702" t="s">
        <v>2788</v>
      </c>
      <c r="F702" t="s">
        <v>1068</v>
      </c>
    </row>
    <row r="703" spans="1:6" x14ac:dyDescent="0.25">
      <c r="A703" t="s">
        <v>2099</v>
      </c>
      <c r="B703" t="s">
        <v>2919</v>
      </c>
      <c r="C703" t="s">
        <v>2919</v>
      </c>
      <c r="D703" t="s">
        <v>2666</v>
      </c>
      <c r="E703" t="s">
        <v>2786</v>
      </c>
      <c r="F703" t="s">
        <v>1069</v>
      </c>
    </row>
    <row r="704" spans="1:6" x14ac:dyDescent="0.25">
      <c r="A704" t="s">
        <v>2099</v>
      </c>
      <c r="B704" t="s">
        <v>2928</v>
      </c>
      <c r="C704" t="s">
        <v>2916</v>
      </c>
      <c r="D704" t="s">
        <v>2642</v>
      </c>
      <c r="E704" t="s">
        <v>2752</v>
      </c>
      <c r="F704" t="s">
        <v>314</v>
      </c>
    </row>
    <row r="705" spans="1:6" x14ac:dyDescent="0.25">
      <c r="A705" t="s">
        <v>2099</v>
      </c>
      <c r="B705" t="s">
        <v>2928</v>
      </c>
      <c r="C705" t="s">
        <v>2916</v>
      </c>
      <c r="D705" t="s">
        <v>2642</v>
      </c>
      <c r="E705" t="s">
        <v>2782</v>
      </c>
      <c r="F705" t="s">
        <v>1070</v>
      </c>
    </row>
    <row r="706" spans="1:6" x14ac:dyDescent="0.25">
      <c r="A706" t="s">
        <v>2099</v>
      </c>
      <c r="B706" t="s">
        <v>2928</v>
      </c>
      <c r="C706" t="s">
        <v>2922</v>
      </c>
      <c r="D706" t="s">
        <v>2675</v>
      </c>
      <c r="E706" t="s">
        <v>2755</v>
      </c>
      <c r="F706" t="s">
        <v>1066</v>
      </c>
    </row>
    <row r="707" spans="1:6" x14ac:dyDescent="0.25">
      <c r="A707" t="s">
        <v>2121</v>
      </c>
      <c r="B707" t="s">
        <v>2927</v>
      </c>
      <c r="C707" t="s">
        <v>2914</v>
      </c>
      <c r="D707" t="s">
        <v>2637</v>
      </c>
      <c r="E707" t="s">
        <v>2768</v>
      </c>
      <c r="F707" t="s">
        <v>1087</v>
      </c>
    </row>
    <row r="708" spans="1:6" x14ac:dyDescent="0.25">
      <c r="A708" t="s">
        <v>2121</v>
      </c>
      <c r="B708" t="s">
        <v>2927</v>
      </c>
      <c r="C708" t="s">
        <v>2914</v>
      </c>
      <c r="D708" t="s">
        <v>2637</v>
      </c>
      <c r="E708" t="s">
        <v>2803</v>
      </c>
      <c r="F708" t="s">
        <v>1080</v>
      </c>
    </row>
    <row r="709" spans="1:6" x14ac:dyDescent="0.25">
      <c r="A709" t="s">
        <v>2121</v>
      </c>
      <c r="B709" t="s">
        <v>2927</v>
      </c>
      <c r="C709" t="s">
        <v>2914</v>
      </c>
      <c r="D709" t="s">
        <v>2637</v>
      </c>
      <c r="E709" t="s">
        <v>2838</v>
      </c>
      <c r="F709" t="s">
        <v>1081</v>
      </c>
    </row>
    <row r="710" spans="1:6" x14ac:dyDescent="0.25">
      <c r="A710" t="s">
        <v>2121</v>
      </c>
      <c r="B710" t="s">
        <v>2927</v>
      </c>
      <c r="C710" t="s">
        <v>2924</v>
      </c>
      <c r="D710" t="s">
        <v>1084</v>
      </c>
      <c r="E710" t="s">
        <v>2785</v>
      </c>
      <c r="F710" t="s">
        <v>1083</v>
      </c>
    </row>
    <row r="711" spans="1:6" x14ac:dyDescent="0.25">
      <c r="A711" t="s">
        <v>2121</v>
      </c>
      <c r="B711" t="s">
        <v>75</v>
      </c>
      <c r="C711" t="s">
        <v>75</v>
      </c>
      <c r="D711" t="s">
        <v>2646</v>
      </c>
      <c r="E711" t="s">
        <v>2771</v>
      </c>
      <c r="F711" t="s">
        <v>1078</v>
      </c>
    </row>
    <row r="712" spans="1:6" x14ac:dyDescent="0.25">
      <c r="A712" t="s">
        <v>2121</v>
      </c>
      <c r="B712" t="s">
        <v>2921</v>
      </c>
      <c r="C712" t="s">
        <v>2918</v>
      </c>
      <c r="D712" t="s">
        <v>2639</v>
      </c>
      <c r="E712" t="s">
        <v>2836</v>
      </c>
      <c r="F712" t="s">
        <v>1076</v>
      </c>
    </row>
    <row r="713" spans="1:6" x14ac:dyDescent="0.25">
      <c r="A713" t="s">
        <v>2121</v>
      </c>
      <c r="B713" t="s">
        <v>2921</v>
      </c>
      <c r="C713" t="s">
        <v>2920</v>
      </c>
      <c r="D713" t="s">
        <v>2667</v>
      </c>
      <c r="E713" t="s">
        <v>2755</v>
      </c>
      <c r="F713" t="s">
        <v>1079</v>
      </c>
    </row>
    <row r="714" spans="1:6" x14ac:dyDescent="0.25">
      <c r="A714" t="s">
        <v>2121</v>
      </c>
      <c r="B714" t="s">
        <v>2919</v>
      </c>
      <c r="C714" t="s">
        <v>2919</v>
      </c>
      <c r="D714" t="s">
        <v>2666</v>
      </c>
      <c r="E714" t="s">
        <v>2839</v>
      </c>
      <c r="F714" t="s">
        <v>1082</v>
      </c>
    </row>
    <row r="715" spans="1:6" x14ac:dyDescent="0.25">
      <c r="A715" t="s">
        <v>2121</v>
      </c>
      <c r="B715" t="s">
        <v>2928</v>
      </c>
      <c r="C715" t="s">
        <v>2916</v>
      </c>
      <c r="D715" t="s">
        <v>2642</v>
      </c>
      <c r="E715" t="s">
        <v>2781</v>
      </c>
      <c r="F715" t="s">
        <v>1086</v>
      </c>
    </row>
    <row r="716" spans="1:6" x14ac:dyDescent="0.25">
      <c r="A716" t="s">
        <v>2121</v>
      </c>
      <c r="B716" t="s">
        <v>2928</v>
      </c>
      <c r="C716" t="s">
        <v>2916</v>
      </c>
      <c r="D716" t="s">
        <v>2642</v>
      </c>
      <c r="E716" t="s">
        <v>2829</v>
      </c>
      <c r="F716" t="s">
        <v>1014</v>
      </c>
    </row>
    <row r="717" spans="1:6" x14ac:dyDescent="0.25">
      <c r="A717" t="s">
        <v>2121</v>
      </c>
      <c r="B717" t="s">
        <v>2928</v>
      </c>
      <c r="C717" t="s">
        <v>2922</v>
      </c>
      <c r="D717" t="s">
        <v>2675</v>
      </c>
      <c r="E717" t="s">
        <v>2837</v>
      </c>
      <c r="F717" t="s">
        <v>1077</v>
      </c>
    </row>
    <row r="718" spans="1:6" x14ac:dyDescent="0.25">
      <c r="A718" t="s">
        <v>2210</v>
      </c>
      <c r="B718" t="s">
        <v>2921</v>
      </c>
      <c r="C718" t="s">
        <v>2918</v>
      </c>
      <c r="D718" t="s">
        <v>2639</v>
      </c>
      <c r="E718" t="s">
        <v>2770</v>
      </c>
      <c r="F718" t="s">
        <v>329</v>
      </c>
    </row>
    <row r="719" spans="1:6" x14ac:dyDescent="0.25">
      <c r="A719" t="s">
        <v>2210</v>
      </c>
      <c r="B719" t="s">
        <v>2921</v>
      </c>
      <c r="C719" t="s">
        <v>2920</v>
      </c>
      <c r="D719" t="s">
        <v>2643</v>
      </c>
      <c r="E719" t="s">
        <v>2766</v>
      </c>
      <c r="F719" t="s">
        <v>1167</v>
      </c>
    </row>
    <row r="720" spans="1:6" x14ac:dyDescent="0.25">
      <c r="A720" t="s">
        <v>2210</v>
      </c>
      <c r="B720" t="s">
        <v>2921</v>
      </c>
      <c r="C720" t="s">
        <v>2920</v>
      </c>
      <c r="D720" t="s">
        <v>2643</v>
      </c>
      <c r="E720" t="s">
        <v>2755</v>
      </c>
      <c r="F720" t="s">
        <v>1163</v>
      </c>
    </row>
    <row r="721" spans="1:6" x14ac:dyDescent="0.25">
      <c r="A721" t="s">
        <v>2210</v>
      </c>
      <c r="B721" t="s">
        <v>2921</v>
      </c>
      <c r="C721" t="s">
        <v>2921</v>
      </c>
      <c r="D721" t="s">
        <v>2644</v>
      </c>
      <c r="E721" t="s">
        <v>2794</v>
      </c>
      <c r="F721" t="s">
        <v>1172</v>
      </c>
    </row>
    <row r="722" spans="1:6" x14ac:dyDescent="0.25">
      <c r="A722" t="s">
        <v>2210</v>
      </c>
      <c r="B722" t="s">
        <v>2921</v>
      </c>
      <c r="C722" t="s">
        <v>2921</v>
      </c>
      <c r="D722" t="s">
        <v>2644</v>
      </c>
      <c r="E722" t="s">
        <v>2792</v>
      </c>
      <c r="F722" t="s">
        <v>1174</v>
      </c>
    </row>
    <row r="723" spans="1:6" x14ac:dyDescent="0.25">
      <c r="A723" t="s">
        <v>2210</v>
      </c>
      <c r="B723" t="s">
        <v>2919</v>
      </c>
      <c r="C723" t="s">
        <v>2919</v>
      </c>
      <c r="D723" t="s">
        <v>2648</v>
      </c>
      <c r="E723" t="s">
        <v>2752</v>
      </c>
      <c r="F723" t="s">
        <v>1171</v>
      </c>
    </row>
    <row r="724" spans="1:6" x14ac:dyDescent="0.25">
      <c r="A724" t="s">
        <v>2210</v>
      </c>
      <c r="B724" t="s">
        <v>2928</v>
      </c>
      <c r="C724" t="s">
        <v>2916</v>
      </c>
      <c r="D724" t="s">
        <v>2638</v>
      </c>
      <c r="E724" t="s">
        <v>2752</v>
      </c>
      <c r="F724" t="s">
        <v>606</v>
      </c>
    </row>
    <row r="725" spans="1:6" x14ac:dyDescent="0.25">
      <c r="A725" t="s">
        <v>2210</v>
      </c>
      <c r="B725" t="s">
        <v>2928</v>
      </c>
      <c r="C725" t="s">
        <v>2916</v>
      </c>
      <c r="D725" t="s">
        <v>2638</v>
      </c>
      <c r="E725" t="s">
        <v>2829</v>
      </c>
      <c r="F725" t="s">
        <v>1159</v>
      </c>
    </row>
    <row r="726" spans="1:6" x14ac:dyDescent="0.25">
      <c r="A726" t="s">
        <v>2213</v>
      </c>
      <c r="B726" t="s">
        <v>2927</v>
      </c>
      <c r="C726" t="s">
        <v>2914</v>
      </c>
      <c r="D726" t="s">
        <v>2637</v>
      </c>
      <c r="E726" t="s">
        <v>2753</v>
      </c>
      <c r="F726" t="s">
        <v>712</v>
      </c>
    </row>
    <row r="727" spans="1:6" x14ac:dyDescent="0.25">
      <c r="A727" t="s">
        <v>2213</v>
      </c>
      <c r="B727" t="s">
        <v>2927</v>
      </c>
      <c r="C727" t="s">
        <v>2914</v>
      </c>
      <c r="D727" t="s">
        <v>2637</v>
      </c>
      <c r="E727" t="s">
        <v>2842</v>
      </c>
      <c r="F727" t="s">
        <v>391</v>
      </c>
    </row>
    <row r="728" spans="1:6" x14ac:dyDescent="0.25">
      <c r="A728" t="s">
        <v>2213</v>
      </c>
      <c r="B728" t="s">
        <v>2921</v>
      </c>
      <c r="C728" t="s">
        <v>27</v>
      </c>
      <c r="D728" t="s">
        <v>2930</v>
      </c>
      <c r="E728" t="s">
        <v>2776</v>
      </c>
      <c r="F728" t="s">
        <v>1177</v>
      </c>
    </row>
    <row r="729" spans="1:6" x14ac:dyDescent="0.25">
      <c r="A729" t="s">
        <v>2213</v>
      </c>
      <c r="B729" t="s">
        <v>2921</v>
      </c>
      <c r="C729" t="s">
        <v>2921</v>
      </c>
      <c r="D729" t="s">
        <v>2644</v>
      </c>
      <c r="E729" t="s">
        <v>2807</v>
      </c>
      <c r="F729" t="s">
        <v>1179</v>
      </c>
    </row>
    <row r="730" spans="1:6" x14ac:dyDescent="0.25">
      <c r="A730" t="s">
        <v>2213</v>
      </c>
      <c r="B730" t="s">
        <v>2919</v>
      </c>
      <c r="C730" t="s">
        <v>2919</v>
      </c>
      <c r="D730" t="s">
        <v>2648</v>
      </c>
      <c r="E730" t="s">
        <v>2756</v>
      </c>
      <c r="F730" t="s">
        <v>1178</v>
      </c>
    </row>
    <row r="731" spans="1:6" x14ac:dyDescent="0.25">
      <c r="A731" t="s">
        <v>2213</v>
      </c>
      <c r="B731" t="s">
        <v>2928</v>
      </c>
      <c r="C731" t="s">
        <v>2916</v>
      </c>
      <c r="D731" t="s">
        <v>2638</v>
      </c>
      <c r="E731" t="s">
        <v>2780</v>
      </c>
      <c r="F731" t="s">
        <v>580</v>
      </c>
    </row>
    <row r="732" spans="1:6" x14ac:dyDescent="0.25">
      <c r="A732" t="s">
        <v>2213</v>
      </c>
      <c r="B732" t="s">
        <v>2928</v>
      </c>
      <c r="C732" t="s">
        <v>2916</v>
      </c>
      <c r="D732" t="s">
        <v>2638</v>
      </c>
      <c r="E732" t="s">
        <v>2829</v>
      </c>
      <c r="F732" t="s">
        <v>1176</v>
      </c>
    </row>
    <row r="733" spans="1:6" x14ac:dyDescent="0.25">
      <c r="A733" t="s">
        <v>2216</v>
      </c>
      <c r="B733" t="s">
        <v>2927</v>
      </c>
      <c r="C733" t="s">
        <v>2914</v>
      </c>
      <c r="D733" t="s">
        <v>2637</v>
      </c>
      <c r="E733" t="s">
        <v>2753</v>
      </c>
      <c r="F733" t="s">
        <v>712</v>
      </c>
    </row>
    <row r="734" spans="1:6" x14ac:dyDescent="0.25">
      <c r="A734" t="s">
        <v>2216</v>
      </c>
      <c r="B734" t="s">
        <v>2927</v>
      </c>
      <c r="C734" t="s">
        <v>2914</v>
      </c>
      <c r="D734" t="s">
        <v>2637</v>
      </c>
      <c r="E734" t="s">
        <v>2842</v>
      </c>
      <c r="F734" t="s">
        <v>391</v>
      </c>
    </row>
    <row r="735" spans="1:6" x14ac:dyDescent="0.25">
      <c r="A735" t="s">
        <v>2216</v>
      </c>
      <c r="B735" t="s">
        <v>2927</v>
      </c>
      <c r="C735" t="s">
        <v>2924</v>
      </c>
      <c r="D735" t="s">
        <v>630</v>
      </c>
      <c r="E735" t="s">
        <v>2799</v>
      </c>
      <c r="F735" t="s">
        <v>1184</v>
      </c>
    </row>
    <row r="736" spans="1:6" x14ac:dyDescent="0.25">
      <c r="A736" t="s">
        <v>2216</v>
      </c>
      <c r="B736" t="s">
        <v>2921</v>
      </c>
      <c r="C736" t="s">
        <v>2918</v>
      </c>
      <c r="D736" t="s">
        <v>2639</v>
      </c>
      <c r="E736" t="s">
        <v>2794</v>
      </c>
      <c r="F736" t="s">
        <v>313</v>
      </c>
    </row>
    <row r="737" spans="1:6" x14ac:dyDescent="0.25">
      <c r="A737" t="s">
        <v>2216</v>
      </c>
      <c r="B737" t="s">
        <v>2921</v>
      </c>
      <c r="C737" t="s">
        <v>2920</v>
      </c>
      <c r="D737" t="s">
        <v>2643</v>
      </c>
      <c r="E737" t="s">
        <v>2778</v>
      </c>
      <c r="F737" t="s">
        <v>714</v>
      </c>
    </row>
    <row r="738" spans="1:6" x14ac:dyDescent="0.25">
      <c r="A738" t="s">
        <v>2216</v>
      </c>
      <c r="B738" t="s">
        <v>2921</v>
      </c>
      <c r="C738" t="s">
        <v>2920</v>
      </c>
      <c r="D738" t="s">
        <v>2643</v>
      </c>
      <c r="E738" t="s">
        <v>2780</v>
      </c>
      <c r="F738" t="s">
        <v>1182</v>
      </c>
    </row>
    <row r="739" spans="1:6" x14ac:dyDescent="0.25">
      <c r="A739" t="s">
        <v>2216</v>
      </c>
      <c r="B739" t="s">
        <v>2919</v>
      </c>
      <c r="C739" t="s">
        <v>2919</v>
      </c>
      <c r="D739" t="s">
        <v>2648</v>
      </c>
      <c r="E739" t="s">
        <v>2823</v>
      </c>
      <c r="F739" t="s">
        <v>1183</v>
      </c>
    </row>
    <row r="740" spans="1:6" x14ac:dyDescent="0.25">
      <c r="A740" t="s">
        <v>2216</v>
      </c>
      <c r="B740" t="s">
        <v>2928</v>
      </c>
      <c r="C740" t="s">
        <v>2916</v>
      </c>
      <c r="D740" t="s">
        <v>2638</v>
      </c>
      <c r="E740" t="s">
        <v>2797</v>
      </c>
      <c r="F740" t="s">
        <v>1181</v>
      </c>
    </row>
    <row r="741" spans="1:6" x14ac:dyDescent="0.25">
      <c r="A741" t="s">
        <v>2216</v>
      </c>
      <c r="B741" t="s">
        <v>2928</v>
      </c>
      <c r="C741" t="s">
        <v>2916</v>
      </c>
      <c r="D741" t="s">
        <v>2638</v>
      </c>
      <c r="E741" t="s">
        <v>2755</v>
      </c>
      <c r="F741" t="s">
        <v>1180</v>
      </c>
    </row>
    <row r="742" spans="1:6" x14ac:dyDescent="0.25">
      <c r="A742" t="s">
        <v>2219</v>
      </c>
      <c r="B742" t="s">
        <v>2927</v>
      </c>
      <c r="C742" t="s">
        <v>2914</v>
      </c>
      <c r="D742" t="s">
        <v>2637</v>
      </c>
      <c r="E742" t="s">
        <v>2775</v>
      </c>
      <c r="F742" t="s">
        <v>924</v>
      </c>
    </row>
    <row r="743" spans="1:6" x14ac:dyDescent="0.25">
      <c r="A743" t="s">
        <v>2219</v>
      </c>
      <c r="B743" t="s">
        <v>2921</v>
      </c>
      <c r="C743" t="s">
        <v>27</v>
      </c>
      <c r="D743" t="s">
        <v>2930</v>
      </c>
      <c r="E743" t="s">
        <v>2822</v>
      </c>
      <c r="F743" t="s">
        <v>868</v>
      </c>
    </row>
    <row r="744" spans="1:6" x14ac:dyDescent="0.25">
      <c r="A744" t="s">
        <v>2219</v>
      </c>
      <c r="B744" t="s">
        <v>2919</v>
      </c>
      <c r="C744" t="s">
        <v>2919</v>
      </c>
      <c r="D744" t="s">
        <v>2648</v>
      </c>
      <c r="E744" t="s">
        <v>2782</v>
      </c>
      <c r="F744" t="s">
        <v>1186</v>
      </c>
    </row>
    <row r="745" spans="1:6" x14ac:dyDescent="0.25">
      <c r="A745" t="s">
        <v>2219</v>
      </c>
      <c r="B745" t="s">
        <v>2928</v>
      </c>
      <c r="C745" t="s">
        <v>2916</v>
      </c>
      <c r="D745" t="s">
        <v>2638</v>
      </c>
      <c r="E745" t="s">
        <v>2778</v>
      </c>
      <c r="F745" t="s">
        <v>1185</v>
      </c>
    </row>
    <row r="746" spans="1:6" x14ac:dyDescent="0.25">
      <c r="A746" t="s">
        <v>2219</v>
      </c>
      <c r="B746" t="s">
        <v>2928</v>
      </c>
      <c r="C746" t="s">
        <v>2916</v>
      </c>
      <c r="D746" t="s">
        <v>2638</v>
      </c>
      <c r="E746" t="s">
        <v>2778</v>
      </c>
      <c r="F746" t="s">
        <v>888</v>
      </c>
    </row>
    <row r="747" spans="1:6" x14ac:dyDescent="0.25">
      <c r="A747" t="s">
        <v>2222</v>
      </c>
      <c r="B747" t="s">
        <v>2927</v>
      </c>
      <c r="C747" t="s">
        <v>2914</v>
      </c>
      <c r="D747" t="s">
        <v>2637</v>
      </c>
      <c r="E747" t="s">
        <v>2811</v>
      </c>
      <c r="F747" t="s">
        <v>581</v>
      </c>
    </row>
    <row r="748" spans="1:6" x14ac:dyDescent="0.25">
      <c r="A748" t="s">
        <v>2222</v>
      </c>
      <c r="B748" t="s">
        <v>2927</v>
      </c>
      <c r="C748" t="s">
        <v>2914</v>
      </c>
      <c r="D748" t="s">
        <v>2637</v>
      </c>
      <c r="E748" t="s">
        <v>2776</v>
      </c>
      <c r="F748" t="s">
        <v>1188</v>
      </c>
    </row>
    <row r="749" spans="1:6" x14ac:dyDescent="0.25">
      <c r="A749" t="s">
        <v>2222</v>
      </c>
      <c r="B749" t="s">
        <v>2927</v>
      </c>
      <c r="C749" t="s">
        <v>2914</v>
      </c>
      <c r="D749" t="s">
        <v>2637</v>
      </c>
      <c r="E749" t="s">
        <v>2761</v>
      </c>
      <c r="F749" t="s">
        <v>1189</v>
      </c>
    </row>
    <row r="750" spans="1:6" x14ac:dyDescent="0.25">
      <c r="A750" t="s">
        <v>2222</v>
      </c>
      <c r="B750" t="s">
        <v>2921</v>
      </c>
      <c r="C750" t="s">
        <v>27</v>
      </c>
      <c r="D750" t="s">
        <v>2930</v>
      </c>
      <c r="E750" t="s">
        <v>2759</v>
      </c>
      <c r="F750" t="s">
        <v>371</v>
      </c>
    </row>
    <row r="751" spans="1:6" x14ac:dyDescent="0.25">
      <c r="A751" t="s">
        <v>2222</v>
      </c>
      <c r="B751" t="s">
        <v>2921</v>
      </c>
      <c r="C751" t="s">
        <v>2921</v>
      </c>
      <c r="D751" t="s">
        <v>2644</v>
      </c>
      <c r="E751" t="s">
        <v>2801</v>
      </c>
      <c r="F751" t="s">
        <v>1191</v>
      </c>
    </row>
    <row r="752" spans="1:6" x14ac:dyDescent="0.25">
      <c r="A752" t="s">
        <v>2222</v>
      </c>
      <c r="B752" t="s">
        <v>2919</v>
      </c>
      <c r="C752" t="s">
        <v>2919</v>
      </c>
      <c r="D752" t="s">
        <v>2648</v>
      </c>
      <c r="E752" t="s">
        <v>2765</v>
      </c>
      <c r="F752" t="s">
        <v>859</v>
      </c>
    </row>
    <row r="753" spans="1:6" x14ac:dyDescent="0.25">
      <c r="A753" t="s">
        <v>2222</v>
      </c>
      <c r="B753" t="s">
        <v>2919</v>
      </c>
      <c r="C753" t="s">
        <v>2919</v>
      </c>
      <c r="D753" t="s">
        <v>2654</v>
      </c>
      <c r="E753" t="s">
        <v>2755</v>
      </c>
      <c r="F753" t="s">
        <v>1190</v>
      </c>
    </row>
    <row r="754" spans="1:6" x14ac:dyDescent="0.25">
      <c r="A754" t="s">
        <v>2222</v>
      </c>
      <c r="B754" t="s">
        <v>2928</v>
      </c>
      <c r="C754" t="s">
        <v>2916</v>
      </c>
      <c r="D754" t="s">
        <v>2638</v>
      </c>
      <c r="E754" t="s">
        <v>2797</v>
      </c>
      <c r="F754" t="s">
        <v>1181</v>
      </c>
    </row>
    <row r="755" spans="1:6" x14ac:dyDescent="0.25">
      <c r="A755" t="s">
        <v>2222</v>
      </c>
      <c r="B755" t="s">
        <v>2928</v>
      </c>
      <c r="C755" t="s">
        <v>2916</v>
      </c>
      <c r="D755" t="s">
        <v>2638</v>
      </c>
      <c r="E755" t="s">
        <v>2843</v>
      </c>
      <c r="F755" t="s">
        <v>1187</v>
      </c>
    </row>
    <row r="756" spans="1:6" x14ac:dyDescent="0.25">
      <c r="A756" t="s">
        <v>2204</v>
      </c>
      <c r="B756" t="s">
        <v>2935</v>
      </c>
      <c r="C756" t="s">
        <v>2935</v>
      </c>
      <c r="D756" t="s">
        <v>247</v>
      </c>
      <c r="E756" t="s">
        <v>2153</v>
      </c>
      <c r="F756" t="s">
        <v>247</v>
      </c>
    </row>
    <row r="757" spans="1:6" x14ac:dyDescent="0.25">
      <c r="A757" t="s">
        <v>2207</v>
      </c>
      <c r="B757" t="s">
        <v>2935</v>
      </c>
      <c r="C757" t="s">
        <v>2935</v>
      </c>
      <c r="D757" t="s">
        <v>247</v>
      </c>
      <c r="E757" t="s">
        <v>2153</v>
      </c>
      <c r="F757" t="s">
        <v>247</v>
      </c>
    </row>
    <row r="758" spans="1:6" x14ac:dyDescent="0.25">
      <c r="A758" t="s">
        <v>2225</v>
      </c>
      <c r="B758" t="s">
        <v>75</v>
      </c>
      <c r="C758" t="s">
        <v>75</v>
      </c>
      <c r="D758" t="s">
        <v>2646</v>
      </c>
      <c r="E758" t="s">
        <v>2802</v>
      </c>
      <c r="F758" t="s">
        <v>1195</v>
      </c>
    </row>
    <row r="759" spans="1:6" x14ac:dyDescent="0.25">
      <c r="A759" t="s">
        <v>2225</v>
      </c>
      <c r="B759" t="s">
        <v>2921</v>
      </c>
      <c r="C759" t="s">
        <v>2921</v>
      </c>
      <c r="D759" t="s">
        <v>2644</v>
      </c>
      <c r="E759" t="s">
        <v>2770</v>
      </c>
      <c r="F759" t="s">
        <v>1197</v>
      </c>
    </row>
    <row r="760" spans="1:6" x14ac:dyDescent="0.25">
      <c r="A760" t="s">
        <v>2225</v>
      </c>
      <c r="B760" t="s">
        <v>2919</v>
      </c>
      <c r="C760" t="s">
        <v>2919</v>
      </c>
      <c r="D760" t="s">
        <v>2653</v>
      </c>
      <c r="E760" t="s">
        <v>2797</v>
      </c>
      <c r="F760" t="s">
        <v>1198</v>
      </c>
    </row>
    <row r="761" spans="1:6" x14ac:dyDescent="0.25">
      <c r="A761" t="s">
        <v>2225</v>
      </c>
      <c r="B761" t="s">
        <v>2919</v>
      </c>
      <c r="C761" t="s">
        <v>2919</v>
      </c>
      <c r="D761" t="s">
        <v>2650</v>
      </c>
      <c r="E761" t="s">
        <v>2781</v>
      </c>
      <c r="F761" t="s">
        <v>1199</v>
      </c>
    </row>
    <row r="762" spans="1:6" x14ac:dyDescent="0.25">
      <c r="A762" t="s">
        <v>2225</v>
      </c>
      <c r="B762" t="s">
        <v>2919</v>
      </c>
      <c r="C762" t="s">
        <v>2919</v>
      </c>
      <c r="D762" t="s">
        <v>2650</v>
      </c>
      <c r="E762" t="s">
        <v>2818</v>
      </c>
      <c r="F762" t="s">
        <v>1193</v>
      </c>
    </row>
    <row r="763" spans="1:6" x14ac:dyDescent="0.25">
      <c r="A763" t="s">
        <v>2225</v>
      </c>
      <c r="B763" t="s">
        <v>2919</v>
      </c>
      <c r="C763" t="s">
        <v>2919</v>
      </c>
      <c r="D763" t="s">
        <v>2654</v>
      </c>
      <c r="E763" t="s">
        <v>2774</v>
      </c>
      <c r="F763" t="s">
        <v>1196</v>
      </c>
    </row>
    <row r="764" spans="1:6" x14ac:dyDescent="0.25">
      <c r="A764" t="s">
        <v>2225</v>
      </c>
      <c r="B764" t="s">
        <v>2928</v>
      </c>
      <c r="C764" t="s">
        <v>2916</v>
      </c>
      <c r="D764" t="s">
        <v>2642</v>
      </c>
      <c r="E764" t="s">
        <v>2779</v>
      </c>
      <c r="F764" t="s">
        <v>1194</v>
      </c>
    </row>
    <row r="765" spans="1:6" x14ac:dyDescent="0.25">
      <c r="A765" t="s">
        <v>2225</v>
      </c>
      <c r="B765" t="s">
        <v>2928</v>
      </c>
      <c r="C765" t="s">
        <v>2916</v>
      </c>
      <c r="D765" t="s">
        <v>2642</v>
      </c>
      <c r="E765" t="s">
        <v>2774</v>
      </c>
      <c r="F765" t="s">
        <v>688</v>
      </c>
    </row>
    <row r="766" spans="1:6" x14ac:dyDescent="0.25">
      <c r="A766" t="s">
        <v>2225</v>
      </c>
      <c r="B766" t="s">
        <v>2928</v>
      </c>
      <c r="C766" t="s">
        <v>2916</v>
      </c>
      <c r="D766" t="s">
        <v>2638</v>
      </c>
      <c r="E766" t="s">
        <v>2781</v>
      </c>
      <c r="F766" t="s">
        <v>1139</v>
      </c>
    </row>
    <row r="767" spans="1:6" x14ac:dyDescent="0.25">
      <c r="A767" t="s">
        <v>2225</v>
      </c>
      <c r="B767" t="s">
        <v>2928</v>
      </c>
      <c r="C767" t="s">
        <v>2916</v>
      </c>
      <c r="D767" t="s">
        <v>2638</v>
      </c>
      <c r="E767" t="s">
        <v>2782</v>
      </c>
      <c r="F767" t="s">
        <v>1192</v>
      </c>
    </row>
    <row r="768" spans="1:6" x14ac:dyDescent="0.25">
      <c r="A768" t="s">
        <v>2228</v>
      </c>
      <c r="B768" t="s">
        <v>2927</v>
      </c>
      <c r="C768" t="s">
        <v>2914</v>
      </c>
      <c r="D768" t="s">
        <v>2637</v>
      </c>
      <c r="E768" t="s">
        <v>2810</v>
      </c>
      <c r="F768" t="s">
        <v>1204</v>
      </c>
    </row>
    <row r="769" spans="1:6" x14ac:dyDescent="0.25">
      <c r="A769" t="s">
        <v>2228</v>
      </c>
      <c r="B769" t="s">
        <v>75</v>
      </c>
      <c r="C769" t="s">
        <v>75</v>
      </c>
      <c r="D769" t="s">
        <v>2646</v>
      </c>
      <c r="E769" t="s">
        <v>2802</v>
      </c>
      <c r="F769" t="s">
        <v>1195</v>
      </c>
    </row>
    <row r="770" spans="1:6" x14ac:dyDescent="0.25">
      <c r="A770" t="s">
        <v>2228</v>
      </c>
      <c r="B770" t="s">
        <v>2921</v>
      </c>
      <c r="C770" t="s">
        <v>2918</v>
      </c>
      <c r="D770" t="s">
        <v>2639</v>
      </c>
      <c r="E770" t="s">
        <v>2754</v>
      </c>
      <c r="F770" t="s">
        <v>1202</v>
      </c>
    </row>
    <row r="771" spans="1:6" x14ac:dyDescent="0.25">
      <c r="A771" t="s">
        <v>2228</v>
      </c>
      <c r="B771" t="s">
        <v>2921</v>
      </c>
      <c r="C771" t="s">
        <v>2920</v>
      </c>
      <c r="D771" t="s">
        <v>2643</v>
      </c>
      <c r="E771" t="s">
        <v>2781</v>
      </c>
      <c r="F771" t="s">
        <v>1201</v>
      </c>
    </row>
    <row r="772" spans="1:6" x14ac:dyDescent="0.25">
      <c r="A772" t="s">
        <v>2228</v>
      </c>
      <c r="B772" t="s">
        <v>2921</v>
      </c>
      <c r="C772" t="s">
        <v>2921</v>
      </c>
      <c r="D772" t="s">
        <v>2644</v>
      </c>
      <c r="E772" t="s">
        <v>2757</v>
      </c>
      <c r="F772" t="s">
        <v>1205</v>
      </c>
    </row>
    <row r="773" spans="1:6" x14ac:dyDescent="0.25">
      <c r="A773" t="s">
        <v>2228</v>
      </c>
      <c r="B773" t="s">
        <v>2919</v>
      </c>
      <c r="C773" t="s">
        <v>2919</v>
      </c>
      <c r="D773" t="s">
        <v>2650</v>
      </c>
      <c r="E773" t="s">
        <v>2829</v>
      </c>
      <c r="F773" t="s">
        <v>1203</v>
      </c>
    </row>
    <row r="774" spans="1:6" x14ac:dyDescent="0.25">
      <c r="A774" t="s">
        <v>2228</v>
      </c>
      <c r="B774" t="s">
        <v>2928</v>
      </c>
      <c r="C774" t="s">
        <v>2916</v>
      </c>
      <c r="D774" t="s">
        <v>2638</v>
      </c>
      <c r="E774" t="s">
        <v>2791</v>
      </c>
      <c r="F774" t="s">
        <v>1207</v>
      </c>
    </row>
    <row r="775" spans="1:6" x14ac:dyDescent="0.25">
      <c r="A775" t="s">
        <v>2228</v>
      </c>
      <c r="B775" t="s">
        <v>2928</v>
      </c>
      <c r="C775" t="s">
        <v>2916</v>
      </c>
      <c r="D775" t="s">
        <v>2638</v>
      </c>
      <c r="E775" t="s">
        <v>2788</v>
      </c>
      <c r="F775" t="s">
        <v>1200</v>
      </c>
    </row>
    <row r="776" spans="1:6" x14ac:dyDescent="0.25">
      <c r="A776" t="s">
        <v>2231</v>
      </c>
      <c r="B776" t="s">
        <v>2927</v>
      </c>
      <c r="C776" t="s">
        <v>2914</v>
      </c>
      <c r="D776" t="s">
        <v>2637</v>
      </c>
      <c r="E776" t="s">
        <v>2753</v>
      </c>
      <c r="F776" t="s">
        <v>1209</v>
      </c>
    </row>
    <row r="777" spans="1:6" x14ac:dyDescent="0.25">
      <c r="A777" t="s">
        <v>2231</v>
      </c>
      <c r="B777" t="s">
        <v>2927</v>
      </c>
      <c r="C777" t="s">
        <v>2914</v>
      </c>
      <c r="D777" t="s">
        <v>2637</v>
      </c>
      <c r="E777" t="s">
        <v>2844</v>
      </c>
      <c r="F777" t="s">
        <v>1210</v>
      </c>
    </row>
    <row r="778" spans="1:6" x14ac:dyDescent="0.25">
      <c r="A778" t="s">
        <v>2231</v>
      </c>
      <c r="B778" t="s">
        <v>75</v>
      </c>
      <c r="C778" t="s">
        <v>75</v>
      </c>
      <c r="D778" t="s">
        <v>2646</v>
      </c>
      <c r="E778" t="s">
        <v>2757</v>
      </c>
      <c r="F778" t="s">
        <v>1208</v>
      </c>
    </row>
    <row r="779" spans="1:6" x14ac:dyDescent="0.25">
      <c r="A779" t="s">
        <v>2231</v>
      </c>
      <c r="B779" t="s">
        <v>2928</v>
      </c>
      <c r="C779" t="s">
        <v>2916</v>
      </c>
      <c r="D779" t="s">
        <v>2641</v>
      </c>
      <c r="E779" t="s">
        <v>2786</v>
      </c>
      <c r="F779" t="s">
        <v>1211</v>
      </c>
    </row>
    <row r="780" spans="1:6" x14ac:dyDescent="0.25">
      <c r="A780" t="s">
        <v>2231</v>
      </c>
      <c r="B780" t="s">
        <v>2928</v>
      </c>
      <c r="C780" t="s">
        <v>2916</v>
      </c>
      <c r="D780" t="s">
        <v>2638</v>
      </c>
      <c r="E780" t="s">
        <v>2769</v>
      </c>
      <c r="F780" t="s">
        <v>1213</v>
      </c>
    </row>
    <row r="781" spans="1:6" x14ac:dyDescent="0.25">
      <c r="A781" t="s">
        <v>2234</v>
      </c>
      <c r="B781" t="s">
        <v>2927</v>
      </c>
      <c r="C781" t="s">
        <v>2914</v>
      </c>
      <c r="D781" t="s">
        <v>2637</v>
      </c>
      <c r="E781" t="s">
        <v>2792</v>
      </c>
      <c r="F781" t="s">
        <v>1226</v>
      </c>
    </row>
    <row r="782" spans="1:6" x14ac:dyDescent="0.25">
      <c r="A782" t="s">
        <v>2234</v>
      </c>
      <c r="B782" t="s">
        <v>2927</v>
      </c>
      <c r="C782" t="s">
        <v>2917</v>
      </c>
      <c r="D782" t="s">
        <v>2659</v>
      </c>
      <c r="E782" t="s">
        <v>2801</v>
      </c>
      <c r="F782" t="s">
        <v>1229</v>
      </c>
    </row>
    <row r="783" spans="1:6" x14ac:dyDescent="0.25">
      <c r="A783" t="s">
        <v>2234</v>
      </c>
      <c r="B783" t="s">
        <v>2927</v>
      </c>
      <c r="C783" t="s">
        <v>2917</v>
      </c>
      <c r="D783" t="s">
        <v>490</v>
      </c>
      <c r="E783" t="s">
        <v>2763</v>
      </c>
      <c r="F783" t="s">
        <v>1227</v>
      </c>
    </row>
    <row r="784" spans="1:6" x14ac:dyDescent="0.25">
      <c r="A784" t="s">
        <v>2234</v>
      </c>
      <c r="B784" t="s">
        <v>2927</v>
      </c>
      <c r="C784" t="s">
        <v>2924</v>
      </c>
      <c r="D784" t="s">
        <v>2664</v>
      </c>
      <c r="E784" t="s">
        <v>2846</v>
      </c>
      <c r="F784" t="s">
        <v>1232</v>
      </c>
    </row>
    <row r="785" spans="1:6" x14ac:dyDescent="0.25">
      <c r="A785" t="s">
        <v>2234</v>
      </c>
      <c r="B785" t="s">
        <v>2921</v>
      </c>
      <c r="C785" t="s">
        <v>2918</v>
      </c>
      <c r="D785" t="s">
        <v>2639</v>
      </c>
      <c r="E785" t="s">
        <v>2776</v>
      </c>
      <c r="F785" t="s">
        <v>1219</v>
      </c>
    </row>
    <row r="786" spans="1:6" x14ac:dyDescent="0.25">
      <c r="A786" t="s">
        <v>2234</v>
      </c>
      <c r="B786" t="s">
        <v>2921</v>
      </c>
      <c r="C786" t="s">
        <v>2920</v>
      </c>
      <c r="D786" t="s">
        <v>2643</v>
      </c>
      <c r="E786" t="s">
        <v>2756</v>
      </c>
      <c r="F786" t="s">
        <v>1215</v>
      </c>
    </row>
    <row r="787" spans="1:6" x14ac:dyDescent="0.25">
      <c r="A787" t="s">
        <v>2234</v>
      </c>
      <c r="B787" t="s">
        <v>2921</v>
      </c>
      <c r="C787" t="s">
        <v>2677</v>
      </c>
      <c r="D787" t="s">
        <v>2677</v>
      </c>
      <c r="E787" t="s">
        <v>2769</v>
      </c>
      <c r="F787" t="s">
        <v>1220</v>
      </c>
    </row>
    <row r="788" spans="1:6" x14ac:dyDescent="0.25">
      <c r="A788" t="s">
        <v>2234</v>
      </c>
      <c r="B788" t="s">
        <v>2921</v>
      </c>
      <c r="C788" t="s">
        <v>191</v>
      </c>
      <c r="D788" t="s">
        <v>2138</v>
      </c>
      <c r="E788" t="s">
        <v>2817</v>
      </c>
      <c r="F788" t="s">
        <v>338</v>
      </c>
    </row>
    <row r="789" spans="1:6" x14ac:dyDescent="0.25">
      <c r="A789" t="s">
        <v>2234</v>
      </c>
      <c r="B789" t="s">
        <v>2919</v>
      </c>
      <c r="C789" t="s">
        <v>2919</v>
      </c>
      <c r="D789" t="s">
        <v>2653</v>
      </c>
      <c r="E789" t="s">
        <v>2786</v>
      </c>
      <c r="F789" t="s">
        <v>1234</v>
      </c>
    </row>
    <row r="790" spans="1:6" x14ac:dyDescent="0.25">
      <c r="A790" t="s">
        <v>2234</v>
      </c>
      <c r="B790" t="s">
        <v>2919</v>
      </c>
      <c r="C790" t="s">
        <v>2919</v>
      </c>
      <c r="D790" t="s">
        <v>2676</v>
      </c>
      <c r="E790" t="s">
        <v>2780</v>
      </c>
      <c r="F790" t="s">
        <v>1223</v>
      </c>
    </row>
    <row r="791" spans="1:6" x14ac:dyDescent="0.25">
      <c r="A791" t="s">
        <v>2234</v>
      </c>
      <c r="B791" t="s">
        <v>2928</v>
      </c>
      <c r="C791" t="s">
        <v>2916</v>
      </c>
      <c r="D791" t="s">
        <v>2638</v>
      </c>
      <c r="E791" t="s">
        <v>2752</v>
      </c>
      <c r="F791" t="s">
        <v>606</v>
      </c>
    </row>
    <row r="792" spans="1:6" x14ac:dyDescent="0.25">
      <c r="A792" t="s">
        <v>2234</v>
      </c>
      <c r="B792" t="s">
        <v>2928</v>
      </c>
      <c r="C792" t="s">
        <v>2916</v>
      </c>
      <c r="D792" t="s">
        <v>2638</v>
      </c>
      <c r="E792" t="s">
        <v>2845</v>
      </c>
      <c r="F792" t="s">
        <v>1214</v>
      </c>
    </row>
    <row r="793" spans="1:6" x14ac:dyDescent="0.25">
      <c r="A793" t="s">
        <v>2240</v>
      </c>
      <c r="B793" t="s">
        <v>2927</v>
      </c>
      <c r="C793" t="s">
        <v>2914</v>
      </c>
      <c r="D793" t="s">
        <v>2637</v>
      </c>
      <c r="E793" t="s">
        <v>2848</v>
      </c>
      <c r="F793" t="s">
        <v>1238</v>
      </c>
    </row>
    <row r="794" spans="1:6" x14ac:dyDescent="0.25">
      <c r="A794" t="s">
        <v>2240</v>
      </c>
      <c r="B794" t="s">
        <v>2927</v>
      </c>
      <c r="C794" t="s">
        <v>2914</v>
      </c>
      <c r="D794" t="s">
        <v>2637</v>
      </c>
      <c r="E794" t="s">
        <v>2798</v>
      </c>
      <c r="F794" t="s">
        <v>1239</v>
      </c>
    </row>
    <row r="795" spans="1:6" x14ac:dyDescent="0.25">
      <c r="A795" t="s">
        <v>2240</v>
      </c>
      <c r="B795" t="s">
        <v>2927</v>
      </c>
      <c r="C795" t="s">
        <v>2914</v>
      </c>
      <c r="D795" t="s">
        <v>2637</v>
      </c>
      <c r="E795" t="s">
        <v>2801</v>
      </c>
      <c r="F795" t="s">
        <v>1244</v>
      </c>
    </row>
    <row r="796" spans="1:6" x14ac:dyDescent="0.25">
      <c r="A796" t="s">
        <v>2240</v>
      </c>
      <c r="B796" t="s">
        <v>2921</v>
      </c>
      <c r="C796" t="s">
        <v>2918</v>
      </c>
      <c r="D796" t="s">
        <v>2651</v>
      </c>
      <c r="E796" t="s">
        <v>2756</v>
      </c>
      <c r="F796" t="s">
        <v>1241</v>
      </c>
    </row>
    <row r="797" spans="1:6" x14ac:dyDescent="0.25">
      <c r="A797" t="s">
        <v>2240</v>
      </c>
      <c r="B797" t="s">
        <v>2921</v>
      </c>
      <c r="C797" t="s">
        <v>2918</v>
      </c>
      <c r="D797" t="s">
        <v>2639</v>
      </c>
      <c r="E797" t="s">
        <v>2803</v>
      </c>
      <c r="F797" t="s">
        <v>1236</v>
      </c>
    </row>
    <row r="798" spans="1:6" x14ac:dyDescent="0.25">
      <c r="A798" t="s">
        <v>2240</v>
      </c>
      <c r="B798" t="s">
        <v>2921</v>
      </c>
      <c r="C798" t="s">
        <v>2918</v>
      </c>
      <c r="D798" t="s">
        <v>2639</v>
      </c>
      <c r="E798" t="s">
        <v>2847</v>
      </c>
      <c r="F798" t="s">
        <v>1235</v>
      </c>
    </row>
    <row r="799" spans="1:6" x14ac:dyDescent="0.25">
      <c r="A799" t="s">
        <v>2240</v>
      </c>
      <c r="B799" t="s">
        <v>2921</v>
      </c>
      <c r="C799" t="s">
        <v>27</v>
      </c>
      <c r="D799" t="s">
        <v>2930</v>
      </c>
      <c r="E799" t="s">
        <v>2776</v>
      </c>
      <c r="F799" t="s">
        <v>1237</v>
      </c>
    </row>
    <row r="800" spans="1:6" x14ac:dyDescent="0.25">
      <c r="A800" t="s">
        <v>2240</v>
      </c>
      <c r="B800" t="s">
        <v>2921</v>
      </c>
      <c r="C800" t="s">
        <v>191</v>
      </c>
      <c r="D800" t="s">
        <v>2138</v>
      </c>
      <c r="E800" t="s">
        <v>2817</v>
      </c>
      <c r="F800" t="s">
        <v>338</v>
      </c>
    </row>
    <row r="801" spans="1:6" x14ac:dyDescent="0.25">
      <c r="A801" t="s">
        <v>2240</v>
      </c>
      <c r="B801" t="s">
        <v>2919</v>
      </c>
      <c r="C801" t="s">
        <v>2919</v>
      </c>
      <c r="D801" t="s">
        <v>2648</v>
      </c>
      <c r="E801" t="s">
        <v>2849</v>
      </c>
      <c r="F801" t="s">
        <v>1240</v>
      </c>
    </row>
    <row r="802" spans="1:6" x14ac:dyDescent="0.25">
      <c r="A802" t="s">
        <v>2240</v>
      </c>
      <c r="B802" t="s">
        <v>2919</v>
      </c>
      <c r="C802" t="s">
        <v>2919</v>
      </c>
      <c r="D802" t="s">
        <v>2676</v>
      </c>
      <c r="E802" t="s">
        <v>2773</v>
      </c>
      <c r="F802" t="s">
        <v>2938</v>
      </c>
    </row>
    <row r="803" spans="1:6" x14ac:dyDescent="0.25">
      <c r="A803" t="s">
        <v>2240</v>
      </c>
      <c r="B803" t="s">
        <v>2928</v>
      </c>
      <c r="C803" t="s">
        <v>2916</v>
      </c>
      <c r="D803" t="s">
        <v>2638</v>
      </c>
      <c r="E803" t="s">
        <v>2845</v>
      </c>
      <c r="F803" t="s">
        <v>1214</v>
      </c>
    </row>
    <row r="804" spans="1:6" x14ac:dyDescent="0.25">
      <c r="A804" t="s">
        <v>2243</v>
      </c>
      <c r="B804" t="s">
        <v>2927</v>
      </c>
      <c r="C804" t="s">
        <v>2914</v>
      </c>
      <c r="D804" t="s">
        <v>2637</v>
      </c>
      <c r="E804" t="s">
        <v>2768</v>
      </c>
      <c r="F804" t="s">
        <v>724</v>
      </c>
    </row>
    <row r="805" spans="1:6" x14ac:dyDescent="0.25">
      <c r="A805" t="s">
        <v>2243</v>
      </c>
      <c r="B805" t="s">
        <v>2927</v>
      </c>
      <c r="C805" t="s">
        <v>2914</v>
      </c>
      <c r="D805" t="s">
        <v>2637</v>
      </c>
      <c r="E805" t="s">
        <v>2776</v>
      </c>
      <c r="F805" t="s">
        <v>432</v>
      </c>
    </row>
    <row r="806" spans="1:6" x14ac:dyDescent="0.25">
      <c r="A806" t="s">
        <v>2243</v>
      </c>
      <c r="B806" t="s">
        <v>2927</v>
      </c>
      <c r="C806" t="s">
        <v>2924</v>
      </c>
      <c r="D806" t="s">
        <v>2664</v>
      </c>
      <c r="E806" t="s">
        <v>2841</v>
      </c>
      <c r="F806" t="s">
        <v>1253</v>
      </c>
    </row>
    <row r="807" spans="1:6" x14ac:dyDescent="0.25">
      <c r="A807" t="s">
        <v>2243</v>
      </c>
      <c r="B807" t="s">
        <v>2921</v>
      </c>
      <c r="C807" t="s">
        <v>2918</v>
      </c>
      <c r="D807" t="s">
        <v>2639</v>
      </c>
      <c r="E807" t="s">
        <v>2757</v>
      </c>
      <c r="F807" t="s">
        <v>1251</v>
      </c>
    </row>
    <row r="808" spans="1:6" x14ac:dyDescent="0.25">
      <c r="A808" t="s">
        <v>2243</v>
      </c>
      <c r="B808" t="s">
        <v>2921</v>
      </c>
      <c r="C808" t="s">
        <v>2918</v>
      </c>
      <c r="D808" t="s">
        <v>263</v>
      </c>
      <c r="E808" t="s">
        <v>2797</v>
      </c>
      <c r="F808" t="s">
        <v>1248</v>
      </c>
    </row>
    <row r="809" spans="1:6" x14ac:dyDescent="0.25">
      <c r="A809" t="s">
        <v>2243</v>
      </c>
      <c r="B809" t="s">
        <v>2921</v>
      </c>
      <c r="C809" t="s">
        <v>2920</v>
      </c>
      <c r="D809" t="s">
        <v>2643</v>
      </c>
      <c r="E809" t="s">
        <v>2829</v>
      </c>
      <c r="F809" t="s">
        <v>1247</v>
      </c>
    </row>
    <row r="810" spans="1:6" x14ac:dyDescent="0.25">
      <c r="A810" t="s">
        <v>2243</v>
      </c>
      <c r="B810" t="s">
        <v>2921</v>
      </c>
      <c r="C810" t="s">
        <v>2677</v>
      </c>
      <c r="D810" t="s">
        <v>2677</v>
      </c>
      <c r="E810" t="s">
        <v>2788</v>
      </c>
      <c r="F810" t="s">
        <v>1252</v>
      </c>
    </row>
    <row r="811" spans="1:6" x14ac:dyDescent="0.25">
      <c r="A811" t="s">
        <v>2243</v>
      </c>
      <c r="B811" t="s">
        <v>2921</v>
      </c>
      <c r="C811" t="s">
        <v>191</v>
      </c>
      <c r="D811" t="s">
        <v>2138</v>
      </c>
      <c r="E811" t="s">
        <v>2817</v>
      </c>
      <c r="F811" t="s">
        <v>338</v>
      </c>
    </row>
    <row r="812" spans="1:6" x14ac:dyDescent="0.25">
      <c r="A812" t="s">
        <v>2243</v>
      </c>
      <c r="B812" t="s">
        <v>2919</v>
      </c>
      <c r="C812" t="s">
        <v>2919</v>
      </c>
      <c r="D812" t="s">
        <v>2648</v>
      </c>
      <c r="E812" t="s">
        <v>2850</v>
      </c>
      <c r="F812" t="s">
        <v>1254</v>
      </c>
    </row>
    <row r="813" spans="1:6" x14ac:dyDescent="0.25">
      <c r="A813" t="s">
        <v>2243</v>
      </c>
      <c r="B813" t="s">
        <v>2928</v>
      </c>
      <c r="C813" t="s">
        <v>2916</v>
      </c>
      <c r="D813" t="s">
        <v>2638</v>
      </c>
      <c r="E813" t="s">
        <v>2795</v>
      </c>
      <c r="F813" t="s">
        <v>1245</v>
      </c>
    </row>
    <row r="814" spans="1:6" x14ac:dyDescent="0.25">
      <c r="A814" t="s">
        <v>2243</v>
      </c>
      <c r="B814" t="s">
        <v>2928</v>
      </c>
      <c r="C814" t="s">
        <v>2916</v>
      </c>
      <c r="D814" t="s">
        <v>2638</v>
      </c>
      <c r="E814" t="s">
        <v>2773</v>
      </c>
      <c r="F814" t="s">
        <v>1246</v>
      </c>
    </row>
    <row r="815" spans="1:6" x14ac:dyDescent="0.25">
      <c r="A815" t="s">
        <v>2246</v>
      </c>
      <c r="B815" t="s">
        <v>2927</v>
      </c>
      <c r="C815" t="s">
        <v>2914</v>
      </c>
      <c r="D815" t="s">
        <v>2637</v>
      </c>
      <c r="E815" t="s">
        <v>2803</v>
      </c>
      <c r="F815" t="s">
        <v>318</v>
      </c>
    </row>
    <row r="816" spans="1:6" x14ac:dyDescent="0.25">
      <c r="A816" t="s">
        <v>2246</v>
      </c>
      <c r="B816" t="s">
        <v>2927</v>
      </c>
      <c r="C816" t="s">
        <v>2917</v>
      </c>
      <c r="D816" t="s">
        <v>2678</v>
      </c>
      <c r="E816" t="s">
        <v>2770</v>
      </c>
      <c r="F816" t="s">
        <v>1264</v>
      </c>
    </row>
    <row r="817" spans="1:6" x14ac:dyDescent="0.25">
      <c r="A817" t="s">
        <v>2246</v>
      </c>
      <c r="B817" t="s">
        <v>2927</v>
      </c>
      <c r="C817" t="s">
        <v>2917</v>
      </c>
      <c r="D817" t="s">
        <v>2679</v>
      </c>
      <c r="E817" t="s">
        <v>2771</v>
      </c>
      <c r="F817" t="s">
        <v>1266</v>
      </c>
    </row>
    <row r="818" spans="1:6" x14ac:dyDescent="0.25">
      <c r="A818" t="s">
        <v>2246</v>
      </c>
      <c r="B818" t="s">
        <v>2921</v>
      </c>
      <c r="C818" t="s">
        <v>2918</v>
      </c>
      <c r="D818" t="s">
        <v>2639</v>
      </c>
      <c r="E818" t="s">
        <v>2768</v>
      </c>
      <c r="F818" t="s">
        <v>1261</v>
      </c>
    </row>
    <row r="819" spans="1:6" x14ac:dyDescent="0.25">
      <c r="A819" t="s">
        <v>2246</v>
      </c>
      <c r="B819" t="s">
        <v>2921</v>
      </c>
      <c r="C819" t="s">
        <v>2918</v>
      </c>
      <c r="D819" t="s">
        <v>263</v>
      </c>
      <c r="E819" t="s">
        <v>2788</v>
      </c>
      <c r="F819" t="s">
        <v>1260</v>
      </c>
    </row>
    <row r="820" spans="1:6" x14ac:dyDescent="0.25">
      <c r="A820" t="s">
        <v>2246</v>
      </c>
      <c r="B820" t="s">
        <v>2921</v>
      </c>
      <c r="C820" t="s">
        <v>2920</v>
      </c>
      <c r="D820" t="s">
        <v>2643</v>
      </c>
      <c r="E820" t="s">
        <v>2769</v>
      </c>
      <c r="F820" t="s">
        <v>1259</v>
      </c>
    </row>
    <row r="821" spans="1:6" x14ac:dyDescent="0.25">
      <c r="A821" t="s">
        <v>2246</v>
      </c>
      <c r="B821" t="s">
        <v>2921</v>
      </c>
      <c r="C821" t="s">
        <v>2677</v>
      </c>
      <c r="D821" t="s">
        <v>2677</v>
      </c>
      <c r="E821" t="s">
        <v>2791</v>
      </c>
      <c r="F821" t="s">
        <v>1262</v>
      </c>
    </row>
    <row r="822" spans="1:6" x14ac:dyDescent="0.25">
      <c r="A822" t="s">
        <v>2246</v>
      </c>
      <c r="B822" t="s">
        <v>2921</v>
      </c>
      <c r="C822" t="s">
        <v>191</v>
      </c>
      <c r="D822" t="s">
        <v>2138</v>
      </c>
      <c r="E822" t="s">
        <v>2817</v>
      </c>
      <c r="F822" t="s">
        <v>338</v>
      </c>
    </row>
    <row r="823" spans="1:6" x14ac:dyDescent="0.25">
      <c r="A823" t="s">
        <v>2246</v>
      </c>
      <c r="B823" t="s">
        <v>2919</v>
      </c>
      <c r="C823" t="s">
        <v>2919</v>
      </c>
      <c r="D823" t="s">
        <v>2648</v>
      </c>
      <c r="E823" t="s">
        <v>2799</v>
      </c>
      <c r="F823" t="s">
        <v>1269</v>
      </c>
    </row>
    <row r="824" spans="1:6" x14ac:dyDescent="0.25">
      <c r="A824" t="s">
        <v>2246</v>
      </c>
      <c r="B824" t="s">
        <v>2919</v>
      </c>
      <c r="C824" t="s">
        <v>2919</v>
      </c>
      <c r="D824" t="s">
        <v>2676</v>
      </c>
      <c r="E824" t="s">
        <v>2755</v>
      </c>
      <c r="F824" t="s">
        <v>1263</v>
      </c>
    </row>
    <row r="825" spans="1:6" x14ac:dyDescent="0.25">
      <c r="A825" t="s">
        <v>2246</v>
      </c>
      <c r="B825" t="s">
        <v>2928</v>
      </c>
      <c r="C825" t="s">
        <v>2916</v>
      </c>
      <c r="D825" t="s">
        <v>2638</v>
      </c>
      <c r="E825" t="s">
        <v>2788</v>
      </c>
      <c r="F825" t="s">
        <v>1200</v>
      </c>
    </row>
    <row r="826" spans="1:6" x14ac:dyDescent="0.25">
      <c r="A826" t="s">
        <v>2246</v>
      </c>
      <c r="B826" t="s">
        <v>2928</v>
      </c>
      <c r="C826" t="s">
        <v>2916</v>
      </c>
      <c r="D826" t="s">
        <v>2638</v>
      </c>
      <c r="E826" t="s">
        <v>2823</v>
      </c>
      <c r="F826" t="s">
        <v>1255</v>
      </c>
    </row>
    <row r="827" spans="1:6" x14ac:dyDescent="0.25">
      <c r="A827" t="s">
        <v>2249</v>
      </c>
      <c r="B827" t="s">
        <v>2927</v>
      </c>
      <c r="C827" t="s">
        <v>2914</v>
      </c>
      <c r="D827" t="s">
        <v>2637</v>
      </c>
      <c r="E827" t="s">
        <v>2760</v>
      </c>
      <c r="F827" t="s">
        <v>1272</v>
      </c>
    </row>
    <row r="828" spans="1:6" x14ac:dyDescent="0.25">
      <c r="A828" t="s">
        <v>2249</v>
      </c>
      <c r="B828" t="s">
        <v>2927</v>
      </c>
      <c r="C828" t="s">
        <v>2917</v>
      </c>
      <c r="D828" t="s">
        <v>1206</v>
      </c>
      <c r="E828" t="s">
        <v>2771</v>
      </c>
      <c r="F828" t="s">
        <v>1273</v>
      </c>
    </row>
    <row r="829" spans="1:6" x14ac:dyDescent="0.25">
      <c r="A829" t="s">
        <v>2249</v>
      </c>
      <c r="B829" t="s">
        <v>75</v>
      </c>
      <c r="C829" t="s">
        <v>75</v>
      </c>
      <c r="D829" t="s">
        <v>1212</v>
      </c>
      <c r="E829" t="s">
        <v>2759</v>
      </c>
      <c r="F829" t="s">
        <v>504</v>
      </c>
    </row>
    <row r="830" spans="1:6" x14ac:dyDescent="0.25">
      <c r="A830" t="s">
        <v>2249</v>
      </c>
      <c r="B830" t="s">
        <v>2928</v>
      </c>
      <c r="C830" t="s">
        <v>2916</v>
      </c>
      <c r="D830" t="s">
        <v>2642</v>
      </c>
      <c r="E830" t="s">
        <v>2769</v>
      </c>
      <c r="F830" t="s">
        <v>1271</v>
      </c>
    </row>
    <row r="831" spans="1:6" x14ac:dyDescent="0.25">
      <c r="A831" t="s">
        <v>2249</v>
      </c>
      <c r="B831" t="s">
        <v>2928</v>
      </c>
      <c r="C831" t="s">
        <v>2916</v>
      </c>
      <c r="D831" t="s">
        <v>2638</v>
      </c>
      <c r="E831" t="s">
        <v>2779</v>
      </c>
      <c r="F831" t="s">
        <v>1270</v>
      </c>
    </row>
    <row r="832" spans="1:6" x14ac:dyDescent="0.25">
      <c r="A832" t="s">
        <v>2252</v>
      </c>
      <c r="B832" t="s">
        <v>2927</v>
      </c>
      <c r="C832" t="s">
        <v>2914</v>
      </c>
      <c r="D832" t="s">
        <v>2637</v>
      </c>
      <c r="E832" t="s">
        <v>2759</v>
      </c>
      <c r="F832" t="s">
        <v>680</v>
      </c>
    </row>
    <row r="833" spans="1:6" x14ac:dyDescent="0.25">
      <c r="A833" t="s">
        <v>2252</v>
      </c>
      <c r="B833" t="s">
        <v>2927</v>
      </c>
      <c r="C833" t="s">
        <v>2914</v>
      </c>
      <c r="D833" t="s">
        <v>2637</v>
      </c>
      <c r="E833" t="s">
        <v>2760</v>
      </c>
      <c r="F833" t="s">
        <v>1278</v>
      </c>
    </row>
    <row r="834" spans="1:6" x14ac:dyDescent="0.25">
      <c r="A834" t="s">
        <v>2252</v>
      </c>
      <c r="B834" t="s">
        <v>2921</v>
      </c>
      <c r="C834" t="s">
        <v>2918</v>
      </c>
      <c r="D834" t="s">
        <v>2639</v>
      </c>
      <c r="E834" t="s">
        <v>2763</v>
      </c>
      <c r="F834" t="s">
        <v>1274</v>
      </c>
    </row>
    <row r="835" spans="1:6" x14ac:dyDescent="0.25">
      <c r="A835" t="s">
        <v>2252</v>
      </c>
      <c r="B835" t="s">
        <v>2921</v>
      </c>
      <c r="C835" t="s">
        <v>27</v>
      </c>
      <c r="D835" t="s">
        <v>2930</v>
      </c>
      <c r="E835" t="s">
        <v>2759</v>
      </c>
      <c r="F835" t="s">
        <v>371</v>
      </c>
    </row>
    <row r="836" spans="1:6" x14ac:dyDescent="0.25">
      <c r="A836" t="s">
        <v>2252</v>
      </c>
      <c r="B836" t="s">
        <v>2921</v>
      </c>
      <c r="C836" t="s">
        <v>191</v>
      </c>
      <c r="D836" t="s">
        <v>2138</v>
      </c>
      <c r="E836" t="s">
        <v>2762</v>
      </c>
      <c r="F836" t="s">
        <v>654</v>
      </c>
    </row>
    <row r="837" spans="1:6" x14ac:dyDescent="0.25">
      <c r="A837" t="s">
        <v>2252</v>
      </c>
      <c r="B837" t="s">
        <v>2928</v>
      </c>
      <c r="C837" t="s">
        <v>2922</v>
      </c>
      <c r="D837" t="s">
        <v>2668</v>
      </c>
      <c r="E837" t="s">
        <v>2781</v>
      </c>
      <c r="F837" t="s">
        <v>1277</v>
      </c>
    </row>
    <row r="838" spans="1:6" x14ac:dyDescent="0.25">
      <c r="A838" t="s">
        <v>2255</v>
      </c>
      <c r="B838" t="s">
        <v>2927</v>
      </c>
      <c r="C838" t="s">
        <v>2914</v>
      </c>
      <c r="D838" t="s">
        <v>2637</v>
      </c>
      <c r="E838" t="s">
        <v>2768</v>
      </c>
      <c r="F838" t="s">
        <v>610</v>
      </c>
    </row>
    <row r="839" spans="1:6" x14ac:dyDescent="0.25">
      <c r="A839" t="s">
        <v>2255</v>
      </c>
      <c r="B839" t="s">
        <v>2927</v>
      </c>
      <c r="C839" t="s">
        <v>2914</v>
      </c>
      <c r="D839" t="s">
        <v>2637</v>
      </c>
      <c r="E839" t="s">
        <v>2776</v>
      </c>
      <c r="F839" t="s">
        <v>1282</v>
      </c>
    </row>
    <row r="840" spans="1:6" x14ac:dyDescent="0.25">
      <c r="A840" t="s">
        <v>2255</v>
      </c>
      <c r="B840" t="s">
        <v>75</v>
      </c>
      <c r="C840" t="s">
        <v>75</v>
      </c>
      <c r="D840" t="s">
        <v>1212</v>
      </c>
      <c r="E840" t="s">
        <v>2770</v>
      </c>
      <c r="F840" t="s">
        <v>337</v>
      </c>
    </row>
    <row r="841" spans="1:6" x14ac:dyDescent="0.25">
      <c r="A841" t="s">
        <v>2255</v>
      </c>
      <c r="B841" t="s">
        <v>2921</v>
      </c>
      <c r="C841" t="s">
        <v>2918</v>
      </c>
      <c r="D841" t="s">
        <v>2639</v>
      </c>
      <c r="E841" t="s">
        <v>2803</v>
      </c>
      <c r="F841" t="s">
        <v>1280</v>
      </c>
    </row>
    <row r="842" spans="1:6" x14ac:dyDescent="0.25">
      <c r="A842" t="s">
        <v>2255</v>
      </c>
      <c r="B842" t="s">
        <v>2921</v>
      </c>
      <c r="C842" t="s">
        <v>27</v>
      </c>
      <c r="D842" t="s">
        <v>2930</v>
      </c>
      <c r="E842" t="s">
        <v>2759</v>
      </c>
      <c r="F842" t="s">
        <v>371</v>
      </c>
    </row>
    <row r="843" spans="1:6" x14ac:dyDescent="0.25">
      <c r="A843" t="s">
        <v>2255</v>
      </c>
      <c r="B843" t="s">
        <v>2921</v>
      </c>
      <c r="C843" t="s">
        <v>191</v>
      </c>
      <c r="D843" t="s">
        <v>2138</v>
      </c>
      <c r="E843" t="s">
        <v>2762</v>
      </c>
      <c r="F843" t="s">
        <v>654</v>
      </c>
    </row>
    <row r="844" spans="1:6" x14ac:dyDescent="0.25">
      <c r="A844" t="s">
        <v>2255</v>
      </c>
      <c r="B844" t="s">
        <v>2919</v>
      </c>
      <c r="C844" t="s">
        <v>2919</v>
      </c>
      <c r="D844" t="s">
        <v>2648</v>
      </c>
      <c r="E844" t="s">
        <v>2851</v>
      </c>
      <c r="F844" t="s">
        <v>1281</v>
      </c>
    </row>
    <row r="845" spans="1:6" x14ac:dyDescent="0.25">
      <c r="A845" t="s">
        <v>2255</v>
      </c>
      <c r="B845" t="s">
        <v>2919</v>
      </c>
      <c r="C845" t="s">
        <v>2919</v>
      </c>
      <c r="D845" t="s">
        <v>2654</v>
      </c>
      <c r="E845" t="s">
        <v>2756</v>
      </c>
      <c r="F845" t="s">
        <v>378</v>
      </c>
    </row>
    <row r="846" spans="1:6" x14ac:dyDescent="0.25">
      <c r="A846" t="s">
        <v>2255</v>
      </c>
      <c r="B846" t="s">
        <v>2928</v>
      </c>
      <c r="C846" t="s">
        <v>2916</v>
      </c>
      <c r="D846" t="s">
        <v>2638</v>
      </c>
      <c r="E846" t="s">
        <v>2818</v>
      </c>
      <c r="F846" t="s">
        <v>410</v>
      </c>
    </row>
    <row r="847" spans="1:6" x14ac:dyDescent="0.25">
      <c r="A847" t="s">
        <v>2255</v>
      </c>
      <c r="B847" t="s">
        <v>2928</v>
      </c>
      <c r="C847" t="s">
        <v>2916</v>
      </c>
      <c r="D847" t="s">
        <v>2638</v>
      </c>
      <c r="E847" t="s">
        <v>2845</v>
      </c>
      <c r="F847" t="s">
        <v>1214</v>
      </c>
    </row>
    <row r="848" spans="1:6" x14ac:dyDescent="0.25">
      <c r="A848" t="s">
        <v>2258</v>
      </c>
      <c r="B848" t="s">
        <v>2927</v>
      </c>
      <c r="C848" t="s">
        <v>2914</v>
      </c>
      <c r="D848" t="s">
        <v>2637</v>
      </c>
      <c r="E848" t="s">
        <v>2794</v>
      </c>
      <c r="F848" t="s">
        <v>557</v>
      </c>
    </row>
    <row r="849" spans="1:6" x14ac:dyDescent="0.25">
      <c r="A849" t="s">
        <v>2258</v>
      </c>
      <c r="B849" t="s">
        <v>2927</v>
      </c>
      <c r="C849" t="s">
        <v>2914</v>
      </c>
      <c r="D849" t="s">
        <v>2637</v>
      </c>
      <c r="E849" t="s">
        <v>2819</v>
      </c>
      <c r="F849" t="s">
        <v>1284</v>
      </c>
    </row>
    <row r="850" spans="1:6" x14ac:dyDescent="0.25">
      <c r="A850" t="s">
        <v>2258</v>
      </c>
      <c r="B850" t="s">
        <v>2927</v>
      </c>
      <c r="C850" t="s">
        <v>2914</v>
      </c>
      <c r="D850" t="s">
        <v>2637</v>
      </c>
      <c r="E850" t="s">
        <v>2802</v>
      </c>
      <c r="F850" t="s">
        <v>635</v>
      </c>
    </row>
    <row r="851" spans="1:6" x14ac:dyDescent="0.25">
      <c r="A851" t="s">
        <v>2258</v>
      </c>
      <c r="B851" t="s">
        <v>2921</v>
      </c>
      <c r="C851" t="s">
        <v>2921</v>
      </c>
      <c r="D851" t="s">
        <v>2644</v>
      </c>
      <c r="E851" t="s">
        <v>2794</v>
      </c>
      <c r="F851" t="s">
        <v>1285</v>
      </c>
    </row>
    <row r="852" spans="1:6" x14ac:dyDescent="0.25">
      <c r="A852" t="s">
        <v>2258</v>
      </c>
      <c r="B852" t="s">
        <v>2921</v>
      </c>
      <c r="C852" t="s">
        <v>191</v>
      </c>
      <c r="D852" t="s">
        <v>2138</v>
      </c>
      <c r="E852" t="s">
        <v>2762</v>
      </c>
      <c r="F852" t="s">
        <v>654</v>
      </c>
    </row>
    <row r="853" spans="1:6" x14ac:dyDescent="0.25">
      <c r="A853" t="s">
        <v>2258</v>
      </c>
      <c r="B853" t="s">
        <v>2919</v>
      </c>
      <c r="C853" t="s">
        <v>2919</v>
      </c>
      <c r="D853" t="s">
        <v>2650</v>
      </c>
      <c r="E853" t="s">
        <v>2767</v>
      </c>
      <c r="F853" t="s">
        <v>1283</v>
      </c>
    </row>
    <row r="854" spans="1:6" x14ac:dyDescent="0.25">
      <c r="A854" t="s">
        <v>2258</v>
      </c>
      <c r="B854" t="s">
        <v>2928</v>
      </c>
      <c r="C854" t="s">
        <v>2916</v>
      </c>
      <c r="D854" t="s">
        <v>2638</v>
      </c>
      <c r="E854" t="s">
        <v>2843</v>
      </c>
      <c r="F854" t="s">
        <v>1187</v>
      </c>
    </row>
    <row r="855" spans="1:6" x14ac:dyDescent="0.25">
      <c r="A855" t="s">
        <v>2261</v>
      </c>
      <c r="B855" t="s">
        <v>2927</v>
      </c>
      <c r="C855" t="s">
        <v>2914</v>
      </c>
      <c r="D855" t="s">
        <v>2637</v>
      </c>
      <c r="E855" t="s">
        <v>2819</v>
      </c>
      <c r="F855" t="s">
        <v>1290</v>
      </c>
    </row>
    <row r="856" spans="1:6" x14ac:dyDescent="0.25">
      <c r="A856" t="s">
        <v>2261</v>
      </c>
      <c r="B856" t="s">
        <v>2927</v>
      </c>
      <c r="C856" t="s">
        <v>2914</v>
      </c>
      <c r="D856" t="s">
        <v>2637</v>
      </c>
      <c r="E856" t="s">
        <v>2761</v>
      </c>
      <c r="F856" t="s">
        <v>423</v>
      </c>
    </row>
    <row r="857" spans="1:6" x14ac:dyDescent="0.25">
      <c r="A857" t="s">
        <v>2261</v>
      </c>
      <c r="B857" t="s">
        <v>2921</v>
      </c>
      <c r="C857" t="s">
        <v>2918</v>
      </c>
      <c r="D857" t="s">
        <v>2639</v>
      </c>
      <c r="E857" t="s">
        <v>2827</v>
      </c>
      <c r="F857" t="s">
        <v>1286</v>
      </c>
    </row>
    <row r="858" spans="1:6" x14ac:dyDescent="0.25">
      <c r="A858" t="s">
        <v>2261</v>
      </c>
      <c r="B858" t="s">
        <v>2921</v>
      </c>
      <c r="C858" t="s">
        <v>2918</v>
      </c>
      <c r="D858" t="s">
        <v>2639</v>
      </c>
      <c r="E858" t="s">
        <v>2801</v>
      </c>
      <c r="F858" t="s">
        <v>720</v>
      </c>
    </row>
    <row r="859" spans="1:6" x14ac:dyDescent="0.25">
      <c r="A859" t="s">
        <v>2261</v>
      </c>
      <c r="B859" t="s">
        <v>2921</v>
      </c>
      <c r="C859" t="s">
        <v>2921</v>
      </c>
      <c r="D859" t="s">
        <v>2644</v>
      </c>
      <c r="E859" t="s">
        <v>2807</v>
      </c>
      <c r="F859" t="s">
        <v>1291</v>
      </c>
    </row>
    <row r="860" spans="1:6" x14ac:dyDescent="0.25">
      <c r="A860" t="s">
        <v>2261</v>
      </c>
      <c r="B860" t="s">
        <v>2921</v>
      </c>
      <c r="C860" t="s">
        <v>191</v>
      </c>
      <c r="D860" t="s">
        <v>2138</v>
      </c>
      <c r="E860" t="s">
        <v>2762</v>
      </c>
      <c r="F860" t="s">
        <v>654</v>
      </c>
    </row>
    <row r="861" spans="1:6" x14ac:dyDescent="0.25">
      <c r="A861" t="s">
        <v>2261</v>
      </c>
      <c r="B861" t="s">
        <v>2919</v>
      </c>
      <c r="C861" t="s">
        <v>2919</v>
      </c>
      <c r="D861" t="s">
        <v>2648</v>
      </c>
      <c r="E861" t="s">
        <v>2756</v>
      </c>
      <c r="F861" t="s">
        <v>1178</v>
      </c>
    </row>
    <row r="862" spans="1:6" x14ac:dyDescent="0.25">
      <c r="A862" t="s">
        <v>2261</v>
      </c>
      <c r="B862" t="s">
        <v>2928</v>
      </c>
      <c r="C862" t="s">
        <v>2916</v>
      </c>
      <c r="D862" t="s">
        <v>2638</v>
      </c>
      <c r="E862" t="s">
        <v>2780</v>
      </c>
      <c r="F862" t="s">
        <v>580</v>
      </c>
    </row>
    <row r="863" spans="1:6" x14ac:dyDescent="0.25">
      <c r="A863" t="s">
        <v>2264</v>
      </c>
      <c r="B863" t="s">
        <v>2927</v>
      </c>
      <c r="C863" t="s">
        <v>2914</v>
      </c>
      <c r="D863" t="s">
        <v>2637</v>
      </c>
      <c r="E863" t="s">
        <v>2761</v>
      </c>
      <c r="F863" t="s">
        <v>653</v>
      </c>
    </row>
    <row r="864" spans="1:6" x14ac:dyDescent="0.25">
      <c r="A864" t="s">
        <v>2264</v>
      </c>
      <c r="B864" t="s">
        <v>2927</v>
      </c>
      <c r="C864" t="s">
        <v>2917</v>
      </c>
      <c r="D864" t="s">
        <v>1206</v>
      </c>
      <c r="E864" t="s">
        <v>2754</v>
      </c>
      <c r="F864" t="s">
        <v>1293</v>
      </c>
    </row>
    <row r="865" spans="1:6" x14ac:dyDescent="0.25">
      <c r="A865" t="s">
        <v>2264</v>
      </c>
      <c r="B865" t="s">
        <v>2921</v>
      </c>
      <c r="C865" t="s">
        <v>2918</v>
      </c>
      <c r="D865" t="s">
        <v>2639</v>
      </c>
      <c r="E865" t="s">
        <v>2832</v>
      </c>
      <c r="F865" t="s">
        <v>1292</v>
      </c>
    </row>
    <row r="866" spans="1:6" x14ac:dyDescent="0.25">
      <c r="A866" t="s">
        <v>2264</v>
      </c>
      <c r="B866" t="s">
        <v>2921</v>
      </c>
      <c r="C866" t="s">
        <v>27</v>
      </c>
      <c r="D866" t="s">
        <v>2930</v>
      </c>
      <c r="E866" t="s">
        <v>2759</v>
      </c>
      <c r="F866" t="s">
        <v>371</v>
      </c>
    </row>
    <row r="867" spans="1:6" x14ac:dyDescent="0.25">
      <c r="A867" t="s">
        <v>2264</v>
      </c>
      <c r="B867" t="s">
        <v>2921</v>
      </c>
      <c r="C867" t="s">
        <v>2921</v>
      </c>
      <c r="D867" t="s">
        <v>2644</v>
      </c>
      <c r="E867" t="s">
        <v>2770</v>
      </c>
      <c r="F867" t="s">
        <v>1299</v>
      </c>
    </row>
    <row r="868" spans="1:6" x14ac:dyDescent="0.25">
      <c r="A868" t="s">
        <v>2264</v>
      </c>
      <c r="B868" t="s">
        <v>2921</v>
      </c>
      <c r="C868" t="s">
        <v>191</v>
      </c>
      <c r="D868" t="s">
        <v>2138</v>
      </c>
      <c r="E868" t="s">
        <v>2762</v>
      </c>
      <c r="F868" t="s">
        <v>654</v>
      </c>
    </row>
    <row r="869" spans="1:6" x14ac:dyDescent="0.25">
      <c r="A869" t="s">
        <v>2264</v>
      </c>
      <c r="B869" t="s">
        <v>2919</v>
      </c>
      <c r="C869" t="s">
        <v>2919</v>
      </c>
      <c r="D869" t="s">
        <v>2653</v>
      </c>
      <c r="E869" t="s">
        <v>2778</v>
      </c>
      <c r="F869" t="s">
        <v>1295</v>
      </c>
    </row>
    <row r="870" spans="1:6" x14ac:dyDescent="0.25">
      <c r="A870" t="s">
        <v>2264</v>
      </c>
      <c r="B870" t="s">
        <v>2919</v>
      </c>
      <c r="C870" t="s">
        <v>2919</v>
      </c>
      <c r="D870" t="s">
        <v>2648</v>
      </c>
      <c r="E870" t="s">
        <v>2795</v>
      </c>
      <c r="F870" t="s">
        <v>1298</v>
      </c>
    </row>
    <row r="871" spans="1:6" x14ac:dyDescent="0.25">
      <c r="A871" t="s">
        <v>2264</v>
      </c>
      <c r="B871" t="s">
        <v>2928</v>
      </c>
      <c r="C871" t="s">
        <v>2916</v>
      </c>
      <c r="D871" t="s">
        <v>2638</v>
      </c>
      <c r="E871" t="s">
        <v>2780</v>
      </c>
      <c r="F871" t="s">
        <v>580</v>
      </c>
    </row>
    <row r="872" spans="1:6" x14ac:dyDescent="0.25">
      <c r="A872" t="s">
        <v>2267</v>
      </c>
      <c r="B872" t="s">
        <v>2927</v>
      </c>
      <c r="C872" t="s">
        <v>2914</v>
      </c>
      <c r="D872" t="s">
        <v>2637</v>
      </c>
      <c r="E872" t="s">
        <v>2759</v>
      </c>
      <c r="F872" t="s">
        <v>1305</v>
      </c>
    </row>
    <row r="873" spans="1:6" x14ac:dyDescent="0.25">
      <c r="A873" t="s">
        <v>2267</v>
      </c>
      <c r="B873" t="s">
        <v>2927</v>
      </c>
      <c r="C873" t="s">
        <v>2914</v>
      </c>
      <c r="D873" t="s">
        <v>2637</v>
      </c>
      <c r="E873" t="s">
        <v>2776</v>
      </c>
      <c r="F873" t="s">
        <v>1188</v>
      </c>
    </row>
    <row r="874" spans="1:6" x14ac:dyDescent="0.25">
      <c r="A874" t="s">
        <v>2267</v>
      </c>
      <c r="B874" t="s">
        <v>2927</v>
      </c>
      <c r="C874" t="s">
        <v>2917</v>
      </c>
      <c r="D874" t="s">
        <v>490</v>
      </c>
      <c r="E874" t="s">
        <v>2776</v>
      </c>
      <c r="F874" t="s">
        <v>1308</v>
      </c>
    </row>
    <row r="875" spans="1:6" x14ac:dyDescent="0.25">
      <c r="A875" t="s">
        <v>2267</v>
      </c>
      <c r="B875" t="s">
        <v>75</v>
      </c>
      <c r="C875" t="s">
        <v>75</v>
      </c>
      <c r="D875" t="s">
        <v>1212</v>
      </c>
      <c r="E875" t="s">
        <v>2770</v>
      </c>
      <c r="F875" t="s">
        <v>337</v>
      </c>
    </row>
    <row r="876" spans="1:6" x14ac:dyDescent="0.25">
      <c r="A876" t="s">
        <v>2267</v>
      </c>
      <c r="B876" t="s">
        <v>2921</v>
      </c>
      <c r="C876" t="s">
        <v>2918</v>
      </c>
      <c r="D876" t="s">
        <v>2639</v>
      </c>
      <c r="E876" t="s">
        <v>2759</v>
      </c>
      <c r="F876" t="s">
        <v>687</v>
      </c>
    </row>
    <row r="877" spans="1:6" x14ac:dyDescent="0.25">
      <c r="A877" t="s">
        <v>2267</v>
      </c>
      <c r="B877" t="s">
        <v>2921</v>
      </c>
      <c r="C877" t="s">
        <v>2918</v>
      </c>
      <c r="D877" t="s">
        <v>2639</v>
      </c>
      <c r="E877" t="s">
        <v>2770</v>
      </c>
      <c r="F877" t="s">
        <v>1302</v>
      </c>
    </row>
    <row r="878" spans="1:6" x14ac:dyDescent="0.25">
      <c r="A878" t="s">
        <v>2267</v>
      </c>
      <c r="B878" t="s">
        <v>2921</v>
      </c>
      <c r="C878" t="s">
        <v>191</v>
      </c>
      <c r="D878" t="s">
        <v>2138</v>
      </c>
      <c r="E878" t="s">
        <v>2762</v>
      </c>
      <c r="F878" t="s">
        <v>654</v>
      </c>
    </row>
    <row r="879" spans="1:6" x14ac:dyDescent="0.25">
      <c r="A879" t="s">
        <v>2267</v>
      </c>
      <c r="B879" t="s">
        <v>2919</v>
      </c>
      <c r="C879" t="s">
        <v>2919</v>
      </c>
      <c r="D879" t="s">
        <v>2650</v>
      </c>
      <c r="E879" t="s">
        <v>2791</v>
      </c>
      <c r="F879" t="s">
        <v>1310</v>
      </c>
    </row>
    <row r="880" spans="1:6" x14ac:dyDescent="0.25">
      <c r="A880" t="s">
        <v>2267</v>
      </c>
      <c r="B880" t="s">
        <v>2928</v>
      </c>
      <c r="C880" t="s">
        <v>2916</v>
      </c>
      <c r="D880" t="s">
        <v>2642</v>
      </c>
      <c r="E880" t="s">
        <v>2752</v>
      </c>
      <c r="F880" t="s">
        <v>314</v>
      </c>
    </row>
    <row r="881" spans="1:6" x14ac:dyDescent="0.25">
      <c r="A881" t="s">
        <v>2267</v>
      </c>
      <c r="B881" t="s">
        <v>2928</v>
      </c>
      <c r="C881" t="s">
        <v>2916</v>
      </c>
      <c r="D881" t="s">
        <v>2638</v>
      </c>
      <c r="E881" t="s">
        <v>2752</v>
      </c>
      <c r="F881" t="s">
        <v>606</v>
      </c>
    </row>
    <row r="882" spans="1:6" x14ac:dyDescent="0.25">
      <c r="A882" t="s">
        <v>2270</v>
      </c>
      <c r="B882" t="s">
        <v>2927</v>
      </c>
      <c r="C882" t="s">
        <v>2923</v>
      </c>
      <c r="D882" t="s">
        <v>2655</v>
      </c>
      <c r="E882" t="s">
        <v>2819</v>
      </c>
      <c r="F882" t="s">
        <v>1321</v>
      </c>
    </row>
    <row r="883" spans="1:6" x14ac:dyDescent="0.25">
      <c r="A883" t="s">
        <v>2270</v>
      </c>
      <c r="B883" t="s">
        <v>2927</v>
      </c>
      <c r="C883" t="s">
        <v>2923</v>
      </c>
      <c r="D883" t="s">
        <v>2655</v>
      </c>
      <c r="E883" t="s">
        <v>2771</v>
      </c>
      <c r="F883" t="s">
        <v>1318</v>
      </c>
    </row>
    <row r="884" spans="1:6" x14ac:dyDescent="0.25">
      <c r="A884" t="s">
        <v>2270</v>
      </c>
      <c r="B884" t="s">
        <v>2927</v>
      </c>
      <c r="C884" t="s">
        <v>2914</v>
      </c>
      <c r="D884" t="s">
        <v>2637</v>
      </c>
      <c r="E884" t="s">
        <v>2802</v>
      </c>
      <c r="F884" t="s">
        <v>1314</v>
      </c>
    </row>
    <row r="885" spans="1:6" x14ac:dyDescent="0.25">
      <c r="A885" t="s">
        <v>2270</v>
      </c>
      <c r="B885" t="s">
        <v>2921</v>
      </c>
      <c r="C885" t="s">
        <v>2918</v>
      </c>
      <c r="D885" t="s">
        <v>2639</v>
      </c>
      <c r="E885" t="s">
        <v>2794</v>
      </c>
      <c r="F885" t="s">
        <v>889</v>
      </c>
    </row>
    <row r="886" spans="1:6" x14ac:dyDescent="0.25">
      <c r="A886" t="s">
        <v>2270</v>
      </c>
      <c r="B886" t="s">
        <v>2921</v>
      </c>
      <c r="C886" t="s">
        <v>2918</v>
      </c>
      <c r="D886" t="s">
        <v>2639</v>
      </c>
      <c r="E886" t="s">
        <v>2801</v>
      </c>
      <c r="F886" t="s">
        <v>1311</v>
      </c>
    </row>
    <row r="887" spans="1:6" x14ac:dyDescent="0.25">
      <c r="A887" t="s">
        <v>2270</v>
      </c>
      <c r="B887" t="s">
        <v>2921</v>
      </c>
      <c r="C887" t="s">
        <v>191</v>
      </c>
      <c r="D887" t="s">
        <v>2138</v>
      </c>
      <c r="E887" t="s">
        <v>2762</v>
      </c>
      <c r="F887" t="s">
        <v>654</v>
      </c>
    </row>
    <row r="888" spans="1:6" x14ac:dyDescent="0.25">
      <c r="A888" t="s">
        <v>2270</v>
      </c>
      <c r="B888" t="s">
        <v>2919</v>
      </c>
      <c r="C888" t="s">
        <v>2919</v>
      </c>
      <c r="D888" t="s">
        <v>2653</v>
      </c>
      <c r="E888" t="s">
        <v>2841</v>
      </c>
      <c r="F888" t="s">
        <v>1322</v>
      </c>
    </row>
    <row r="889" spans="1:6" x14ac:dyDescent="0.25">
      <c r="A889" t="s">
        <v>2270</v>
      </c>
      <c r="B889" t="s">
        <v>2919</v>
      </c>
      <c r="C889" t="s">
        <v>2919</v>
      </c>
      <c r="D889" t="s">
        <v>2648</v>
      </c>
      <c r="E889" t="s">
        <v>2752</v>
      </c>
      <c r="F889" t="s">
        <v>1323</v>
      </c>
    </row>
    <row r="890" spans="1:6" x14ac:dyDescent="0.25">
      <c r="A890" t="s">
        <v>2273</v>
      </c>
      <c r="B890" t="s">
        <v>2927</v>
      </c>
      <c r="C890" t="s">
        <v>2914</v>
      </c>
      <c r="D890" t="s">
        <v>2637</v>
      </c>
      <c r="E890" t="s">
        <v>2807</v>
      </c>
      <c r="F890" t="s">
        <v>1326</v>
      </c>
    </row>
    <row r="891" spans="1:6" x14ac:dyDescent="0.25">
      <c r="A891" t="s">
        <v>2273</v>
      </c>
      <c r="B891" t="s">
        <v>2927</v>
      </c>
      <c r="C891" t="s">
        <v>2914</v>
      </c>
      <c r="D891" t="s">
        <v>2637</v>
      </c>
      <c r="E891" t="s">
        <v>2802</v>
      </c>
      <c r="F891" t="s">
        <v>1325</v>
      </c>
    </row>
    <row r="892" spans="1:6" x14ac:dyDescent="0.25">
      <c r="A892" t="s">
        <v>2273</v>
      </c>
      <c r="B892" t="s">
        <v>2927</v>
      </c>
      <c r="C892" t="s">
        <v>2914</v>
      </c>
      <c r="D892" t="s">
        <v>2637</v>
      </c>
      <c r="E892" t="s">
        <v>2776</v>
      </c>
      <c r="F892" t="s">
        <v>1327</v>
      </c>
    </row>
    <row r="893" spans="1:6" x14ac:dyDescent="0.25">
      <c r="A893" t="s">
        <v>2273</v>
      </c>
      <c r="B893" t="s">
        <v>2921</v>
      </c>
      <c r="C893" t="s">
        <v>2918</v>
      </c>
      <c r="D893" t="s">
        <v>2639</v>
      </c>
      <c r="E893" t="s">
        <v>2832</v>
      </c>
      <c r="F893" t="s">
        <v>1324</v>
      </c>
    </row>
    <row r="894" spans="1:6" x14ac:dyDescent="0.25">
      <c r="A894" t="s">
        <v>2273</v>
      </c>
      <c r="B894" t="s">
        <v>2921</v>
      </c>
      <c r="C894" t="s">
        <v>2918</v>
      </c>
      <c r="D894" t="s">
        <v>2639</v>
      </c>
      <c r="E894" t="s">
        <v>2770</v>
      </c>
      <c r="F894" t="s">
        <v>329</v>
      </c>
    </row>
    <row r="895" spans="1:6" x14ac:dyDescent="0.25">
      <c r="A895" t="s">
        <v>2273</v>
      </c>
      <c r="B895" t="s">
        <v>2921</v>
      </c>
      <c r="C895" t="s">
        <v>2921</v>
      </c>
      <c r="D895" t="s">
        <v>2644</v>
      </c>
      <c r="E895" t="s">
        <v>2770</v>
      </c>
      <c r="F895" t="s">
        <v>1329</v>
      </c>
    </row>
    <row r="896" spans="1:6" x14ac:dyDescent="0.25">
      <c r="A896" t="s">
        <v>2273</v>
      </c>
      <c r="B896" t="s">
        <v>2921</v>
      </c>
      <c r="C896" t="s">
        <v>191</v>
      </c>
      <c r="D896" t="s">
        <v>2138</v>
      </c>
      <c r="E896" t="s">
        <v>2762</v>
      </c>
      <c r="F896" t="s">
        <v>654</v>
      </c>
    </row>
    <row r="897" spans="1:6" x14ac:dyDescent="0.25">
      <c r="A897" t="s">
        <v>2273</v>
      </c>
      <c r="B897" t="s">
        <v>2919</v>
      </c>
      <c r="C897" t="s">
        <v>2919</v>
      </c>
      <c r="D897" t="s">
        <v>2653</v>
      </c>
      <c r="E897" t="s">
        <v>2791</v>
      </c>
      <c r="F897" t="s">
        <v>1328</v>
      </c>
    </row>
    <row r="898" spans="1:6" x14ac:dyDescent="0.25">
      <c r="A898" t="s">
        <v>2273</v>
      </c>
      <c r="B898" t="s">
        <v>2919</v>
      </c>
      <c r="C898" t="s">
        <v>2919</v>
      </c>
      <c r="D898" t="s">
        <v>2648</v>
      </c>
      <c r="E898" t="s">
        <v>2765</v>
      </c>
      <c r="F898" t="s">
        <v>859</v>
      </c>
    </row>
    <row r="899" spans="1:6" x14ac:dyDescent="0.25">
      <c r="A899" t="s">
        <v>2273</v>
      </c>
      <c r="B899" t="s">
        <v>2928</v>
      </c>
      <c r="C899" t="s">
        <v>2916</v>
      </c>
      <c r="D899" t="s">
        <v>2638</v>
      </c>
      <c r="E899" t="s">
        <v>2774</v>
      </c>
      <c r="F899" t="s">
        <v>334</v>
      </c>
    </row>
    <row r="900" spans="1:6" x14ac:dyDescent="0.25">
      <c r="A900" t="s">
        <v>2276</v>
      </c>
      <c r="B900" t="s">
        <v>2927</v>
      </c>
      <c r="C900" t="s">
        <v>2923</v>
      </c>
      <c r="D900" t="s">
        <v>2655</v>
      </c>
      <c r="E900" t="s">
        <v>2776</v>
      </c>
      <c r="F900" t="s">
        <v>1331</v>
      </c>
    </row>
    <row r="901" spans="1:6" x14ac:dyDescent="0.25">
      <c r="A901" t="s">
        <v>2276</v>
      </c>
      <c r="B901" t="s">
        <v>2921</v>
      </c>
      <c r="C901" t="s">
        <v>2918</v>
      </c>
      <c r="D901" t="s">
        <v>2639</v>
      </c>
      <c r="E901" t="s">
        <v>2770</v>
      </c>
      <c r="F901" t="s">
        <v>1330</v>
      </c>
    </row>
    <row r="902" spans="1:6" x14ac:dyDescent="0.25">
      <c r="A902" t="s">
        <v>2276</v>
      </c>
      <c r="B902" t="s">
        <v>2921</v>
      </c>
      <c r="C902" t="s">
        <v>191</v>
      </c>
      <c r="D902" t="s">
        <v>2138</v>
      </c>
      <c r="E902" t="s">
        <v>2762</v>
      </c>
      <c r="F902" t="s">
        <v>654</v>
      </c>
    </row>
    <row r="903" spans="1:6" x14ac:dyDescent="0.25">
      <c r="A903" t="s">
        <v>2276</v>
      </c>
      <c r="B903" t="s">
        <v>2919</v>
      </c>
      <c r="C903" t="s">
        <v>2919</v>
      </c>
      <c r="D903" t="s">
        <v>2654</v>
      </c>
      <c r="E903" t="s">
        <v>2755</v>
      </c>
      <c r="F903" t="s">
        <v>1332</v>
      </c>
    </row>
    <row r="904" spans="1:6" x14ac:dyDescent="0.25">
      <c r="A904" t="s">
        <v>2279</v>
      </c>
      <c r="B904" t="s">
        <v>75</v>
      </c>
      <c r="C904" t="s">
        <v>75</v>
      </c>
      <c r="D904" t="s">
        <v>1212</v>
      </c>
      <c r="E904" t="s">
        <v>2810</v>
      </c>
      <c r="F904" t="s">
        <v>722</v>
      </c>
    </row>
    <row r="905" spans="1:6" x14ac:dyDescent="0.25">
      <c r="A905" t="s">
        <v>2279</v>
      </c>
      <c r="B905" t="s">
        <v>2921</v>
      </c>
      <c r="C905" t="s">
        <v>2918</v>
      </c>
      <c r="D905" t="s">
        <v>2639</v>
      </c>
      <c r="E905" t="s">
        <v>2776</v>
      </c>
      <c r="F905" t="s">
        <v>1335</v>
      </c>
    </row>
    <row r="906" spans="1:6" x14ac:dyDescent="0.25">
      <c r="A906" t="s">
        <v>2279</v>
      </c>
      <c r="B906" t="s">
        <v>2921</v>
      </c>
      <c r="C906" t="s">
        <v>2920</v>
      </c>
      <c r="D906" t="s">
        <v>2643</v>
      </c>
      <c r="E906" t="s">
        <v>2788</v>
      </c>
      <c r="F906" t="s">
        <v>729</v>
      </c>
    </row>
    <row r="907" spans="1:6" x14ac:dyDescent="0.25">
      <c r="A907" t="s">
        <v>2279</v>
      </c>
      <c r="B907" t="s">
        <v>2928</v>
      </c>
      <c r="C907" t="s">
        <v>2916</v>
      </c>
      <c r="D907" t="s">
        <v>2638</v>
      </c>
      <c r="E907" t="s">
        <v>2788</v>
      </c>
      <c r="F907" t="s">
        <v>1336</v>
      </c>
    </row>
    <row r="908" spans="1:6" x14ac:dyDescent="0.25">
      <c r="A908" t="s">
        <v>2279</v>
      </c>
      <c r="B908" t="s">
        <v>2928</v>
      </c>
      <c r="C908" t="s">
        <v>2916</v>
      </c>
      <c r="D908" t="s">
        <v>2638</v>
      </c>
      <c r="E908" t="s">
        <v>2752</v>
      </c>
      <c r="F908" t="s">
        <v>1337</v>
      </c>
    </row>
    <row r="909" spans="1:6" x14ac:dyDescent="0.25">
      <c r="A909" t="s">
        <v>2279</v>
      </c>
      <c r="B909" t="s">
        <v>2928</v>
      </c>
      <c r="C909" t="s">
        <v>2916</v>
      </c>
      <c r="D909" t="s">
        <v>2638</v>
      </c>
      <c r="E909" t="s">
        <v>2773</v>
      </c>
      <c r="F909" t="s">
        <v>1246</v>
      </c>
    </row>
    <row r="910" spans="1:6" x14ac:dyDescent="0.25">
      <c r="A910" t="s">
        <v>2282</v>
      </c>
      <c r="B910" t="s">
        <v>75</v>
      </c>
      <c r="C910" t="s">
        <v>75</v>
      </c>
      <c r="D910" t="s">
        <v>2646</v>
      </c>
      <c r="E910" t="s">
        <v>2802</v>
      </c>
      <c r="F910" t="s">
        <v>1338</v>
      </c>
    </row>
    <row r="911" spans="1:6" x14ac:dyDescent="0.25">
      <c r="A911" t="s">
        <v>2282</v>
      </c>
      <c r="B911" t="s">
        <v>2921</v>
      </c>
      <c r="C911" t="s">
        <v>2920</v>
      </c>
      <c r="D911" t="s">
        <v>2643</v>
      </c>
      <c r="E911" t="s">
        <v>2779</v>
      </c>
      <c r="F911" t="s">
        <v>453</v>
      </c>
    </row>
    <row r="912" spans="1:6" x14ac:dyDescent="0.25">
      <c r="A912" t="s">
        <v>2282</v>
      </c>
      <c r="B912" t="s">
        <v>2928</v>
      </c>
      <c r="C912" t="s">
        <v>2916</v>
      </c>
      <c r="D912" t="s">
        <v>2638</v>
      </c>
      <c r="E912" t="s">
        <v>2797</v>
      </c>
      <c r="F912" t="s">
        <v>434</v>
      </c>
    </row>
    <row r="913" spans="1:6" x14ac:dyDescent="0.25">
      <c r="A913" t="s">
        <v>2282</v>
      </c>
      <c r="B913" t="s">
        <v>2928</v>
      </c>
      <c r="C913" t="s">
        <v>2916</v>
      </c>
      <c r="D913" t="s">
        <v>2638</v>
      </c>
      <c r="E913" t="s">
        <v>2765</v>
      </c>
      <c r="F913" t="s">
        <v>927</v>
      </c>
    </row>
    <row r="914" spans="1:6" x14ac:dyDescent="0.25">
      <c r="A914" t="s">
        <v>2294</v>
      </c>
      <c r="B914" t="s">
        <v>2927</v>
      </c>
      <c r="C914" t="s">
        <v>2914</v>
      </c>
      <c r="D914" t="s">
        <v>2637</v>
      </c>
      <c r="E914" t="s">
        <v>2821</v>
      </c>
      <c r="F914" t="s">
        <v>824</v>
      </c>
    </row>
    <row r="915" spans="1:6" x14ac:dyDescent="0.25">
      <c r="A915" t="s">
        <v>2294</v>
      </c>
      <c r="B915" t="s">
        <v>2927</v>
      </c>
      <c r="C915" t="s">
        <v>2914</v>
      </c>
      <c r="D915" t="s">
        <v>2637</v>
      </c>
      <c r="E915" t="s">
        <v>2794</v>
      </c>
      <c r="F915" t="s">
        <v>1374</v>
      </c>
    </row>
    <row r="916" spans="1:6" x14ac:dyDescent="0.25">
      <c r="A916" t="s">
        <v>2294</v>
      </c>
      <c r="B916" t="s">
        <v>2927</v>
      </c>
      <c r="C916" t="s">
        <v>2914</v>
      </c>
      <c r="D916" t="s">
        <v>2637</v>
      </c>
      <c r="E916" t="s">
        <v>2776</v>
      </c>
      <c r="F916" t="s">
        <v>908</v>
      </c>
    </row>
    <row r="917" spans="1:6" x14ac:dyDescent="0.25">
      <c r="A917" t="s">
        <v>2294</v>
      </c>
      <c r="B917" t="s">
        <v>75</v>
      </c>
      <c r="C917" t="s">
        <v>75</v>
      </c>
      <c r="D917" t="s">
        <v>2640</v>
      </c>
      <c r="E917" t="s">
        <v>2792</v>
      </c>
      <c r="F917" t="s">
        <v>1371</v>
      </c>
    </row>
    <row r="918" spans="1:6" x14ac:dyDescent="0.25">
      <c r="A918" t="s">
        <v>2294</v>
      </c>
      <c r="B918" t="s">
        <v>2921</v>
      </c>
      <c r="C918" t="s">
        <v>2918</v>
      </c>
      <c r="D918" t="s">
        <v>2639</v>
      </c>
      <c r="E918" t="s">
        <v>2842</v>
      </c>
      <c r="F918" t="s">
        <v>1370</v>
      </c>
    </row>
    <row r="919" spans="1:6" x14ac:dyDescent="0.25">
      <c r="A919" t="s">
        <v>2294</v>
      </c>
      <c r="B919" t="s">
        <v>2921</v>
      </c>
      <c r="C919" t="s">
        <v>2921</v>
      </c>
      <c r="D919" t="s">
        <v>2644</v>
      </c>
      <c r="E919" t="s">
        <v>2771</v>
      </c>
      <c r="F919" t="s">
        <v>1372</v>
      </c>
    </row>
    <row r="920" spans="1:6" x14ac:dyDescent="0.25">
      <c r="A920" t="s">
        <v>2294</v>
      </c>
      <c r="B920" t="s">
        <v>2928</v>
      </c>
      <c r="C920" t="s">
        <v>2916</v>
      </c>
      <c r="D920" t="s">
        <v>2638</v>
      </c>
      <c r="E920" t="s">
        <v>2788</v>
      </c>
      <c r="F920" t="s">
        <v>1200</v>
      </c>
    </row>
    <row r="921" spans="1:6" x14ac:dyDescent="0.25">
      <c r="A921" t="s">
        <v>2297</v>
      </c>
      <c r="B921" t="s">
        <v>2927</v>
      </c>
      <c r="C921" t="s">
        <v>2914</v>
      </c>
      <c r="D921" t="s">
        <v>2637</v>
      </c>
      <c r="E921" t="s">
        <v>2770</v>
      </c>
      <c r="F921" t="s">
        <v>1360</v>
      </c>
    </row>
    <row r="922" spans="1:6" x14ac:dyDescent="0.25">
      <c r="A922" t="s">
        <v>2297</v>
      </c>
      <c r="B922" t="s">
        <v>2921</v>
      </c>
      <c r="C922" t="s">
        <v>2918</v>
      </c>
      <c r="D922" t="s">
        <v>2639</v>
      </c>
      <c r="E922" t="s">
        <v>2794</v>
      </c>
      <c r="F922" t="s">
        <v>1379</v>
      </c>
    </row>
    <row r="923" spans="1:6" x14ac:dyDescent="0.25">
      <c r="A923" t="s">
        <v>2297</v>
      </c>
      <c r="B923" t="s">
        <v>2921</v>
      </c>
      <c r="C923" t="s">
        <v>27</v>
      </c>
      <c r="D923" t="s">
        <v>2930</v>
      </c>
      <c r="E923" t="s">
        <v>2810</v>
      </c>
      <c r="F923" t="s">
        <v>893</v>
      </c>
    </row>
    <row r="924" spans="1:6" x14ac:dyDescent="0.25">
      <c r="A924" t="s">
        <v>2297</v>
      </c>
      <c r="B924" t="s">
        <v>2921</v>
      </c>
      <c r="C924" t="s">
        <v>2920</v>
      </c>
      <c r="D924" t="s">
        <v>2643</v>
      </c>
      <c r="E924" t="s">
        <v>2829</v>
      </c>
      <c r="F924" t="s">
        <v>1378</v>
      </c>
    </row>
    <row r="925" spans="1:6" x14ac:dyDescent="0.25">
      <c r="A925" t="s">
        <v>2297</v>
      </c>
      <c r="B925" t="s">
        <v>2921</v>
      </c>
      <c r="C925" t="s">
        <v>2921</v>
      </c>
      <c r="D925" t="s">
        <v>2644</v>
      </c>
      <c r="E925" t="s">
        <v>2770</v>
      </c>
      <c r="F925" t="s">
        <v>1382</v>
      </c>
    </row>
    <row r="926" spans="1:6" x14ac:dyDescent="0.25">
      <c r="A926" t="s">
        <v>2297</v>
      </c>
      <c r="B926" t="s">
        <v>2928</v>
      </c>
      <c r="C926" t="s">
        <v>2916</v>
      </c>
      <c r="D926" t="s">
        <v>2638</v>
      </c>
      <c r="E926" t="s">
        <v>2797</v>
      </c>
      <c r="F926" t="s">
        <v>434</v>
      </c>
    </row>
    <row r="927" spans="1:6" x14ac:dyDescent="0.25">
      <c r="A927" t="s">
        <v>2297</v>
      </c>
      <c r="B927" t="s">
        <v>2928</v>
      </c>
      <c r="C927" t="s">
        <v>2916</v>
      </c>
      <c r="D927" t="s">
        <v>2638</v>
      </c>
      <c r="E927" t="s">
        <v>2854</v>
      </c>
      <c r="F927" t="s">
        <v>1377</v>
      </c>
    </row>
    <row r="928" spans="1:6" x14ac:dyDescent="0.25">
      <c r="A928" t="s">
        <v>2300</v>
      </c>
      <c r="B928" t="s">
        <v>2927</v>
      </c>
      <c r="C928" t="s">
        <v>2914</v>
      </c>
      <c r="D928" t="s">
        <v>2637</v>
      </c>
      <c r="E928" t="s">
        <v>2761</v>
      </c>
      <c r="F928" t="s">
        <v>653</v>
      </c>
    </row>
    <row r="929" spans="1:6" x14ac:dyDescent="0.25">
      <c r="A929" t="s">
        <v>2300</v>
      </c>
      <c r="B929" t="s">
        <v>2921</v>
      </c>
      <c r="C929" t="s">
        <v>2918</v>
      </c>
      <c r="D929" t="s">
        <v>2639</v>
      </c>
      <c r="E929" t="s">
        <v>2808</v>
      </c>
      <c r="F929" t="s">
        <v>335</v>
      </c>
    </row>
    <row r="930" spans="1:6" x14ac:dyDescent="0.25">
      <c r="A930" t="s">
        <v>2300</v>
      </c>
      <c r="B930" t="s">
        <v>2921</v>
      </c>
      <c r="C930" t="s">
        <v>27</v>
      </c>
      <c r="D930" t="s">
        <v>2930</v>
      </c>
      <c r="E930" t="s">
        <v>2831</v>
      </c>
      <c r="F930" t="s">
        <v>330</v>
      </c>
    </row>
    <row r="931" spans="1:6" x14ac:dyDescent="0.25">
      <c r="A931" t="s">
        <v>2300</v>
      </c>
      <c r="B931" t="s">
        <v>2921</v>
      </c>
      <c r="C931" t="s">
        <v>2920</v>
      </c>
      <c r="D931" t="s">
        <v>2643</v>
      </c>
      <c r="E931" t="s">
        <v>2755</v>
      </c>
      <c r="F931" t="s">
        <v>1383</v>
      </c>
    </row>
    <row r="932" spans="1:6" x14ac:dyDescent="0.25">
      <c r="A932" t="s">
        <v>2300</v>
      </c>
      <c r="B932" t="s">
        <v>2921</v>
      </c>
      <c r="C932" t="s">
        <v>2921</v>
      </c>
      <c r="D932" t="s">
        <v>2644</v>
      </c>
      <c r="E932" t="s">
        <v>2757</v>
      </c>
      <c r="F932" t="s">
        <v>1388</v>
      </c>
    </row>
    <row r="933" spans="1:6" x14ac:dyDescent="0.25">
      <c r="A933" t="s">
        <v>2300</v>
      </c>
      <c r="B933" t="s">
        <v>2921</v>
      </c>
      <c r="C933" t="s">
        <v>2921</v>
      </c>
      <c r="D933" t="s">
        <v>2644</v>
      </c>
      <c r="E933" t="s">
        <v>2759</v>
      </c>
      <c r="F933" t="s">
        <v>1385</v>
      </c>
    </row>
    <row r="934" spans="1:6" x14ac:dyDescent="0.25">
      <c r="A934" t="s">
        <v>2300</v>
      </c>
      <c r="B934" t="s">
        <v>2921</v>
      </c>
      <c r="C934" t="s">
        <v>2921</v>
      </c>
      <c r="D934" t="s">
        <v>2644</v>
      </c>
      <c r="E934" t="s">
        <v>2759</v>
      </c>
      <c r="F934" t="s">
        <v>1387</v>
      </c>
    </row>
    <row r="935" spans="1:6" x14ac:dyDescent="0.25">
      <c r="A935" t="s">
        <v>2300</v>
      </c>
      <c r="B935" t="s">
        <v>2921</v>
      </c>
      <c r="C935" t="s">
        <v>2921</v>
      </c>
      <c r="D935" t="s">
        <v>2644</v>
      </c>
      <c r="E935" t="s">
        <v>2776</v>
      </c>
      <c r="F935" t="s">
        <v>1386</v>
      </c>
    </row>
    <row r="936" spans="1:6" x14ac:dyDescent="0.25">
      <c r="A936" t="s">
        <v>2300</v>
      </c>
      <c r="B936" t="s">
        <v>2921</v>
      </c>
      <c r="C936" t="s">
        <v>191</v>
      </c>
      <c r="D936" t="s">
        <v>2138</v>
      </c>
      <c r="E936" t="s">
        <v>2817</v>
      </c>
      <c r="F936" t="s">
        <v>338</v>
      </c>
    </row>
    <row r="937" spans="1:6" x14ac:dyDescent="0.25">
      <c r="A937" t="s">
        <v>2300</v>
      </c>
      <c r="B937" t="s">
        <v>2919</v>
      </c>
      <c r="C937" t="s">
        <v>2919</v>
      </c>
      <c r="D937" t="s">
        <v>2648</v>
      </c>
      <c r="E937" t="s">
        <v>2755</v>
      </c>
      <c r="F937" t="s">
        <v>1384</v>
      </c>
    </row>
    <row r="938" spans="1:6" x14ac:dyDescent="0.25">
      <c r="A938" t="s">
        <v>2300</v>
      </c>
      <c r="B938" t="s">
        <v>2928</v>
      </c>
      <c r="C938" t="s">
        <v>2916</v>
      </c>
      <c r="D938" t="s">
        <v>2638</v>
      </c>
      <c r="E938" t="s">
        <v>2752</v>
      </c>
      <c r="F938" t="s">
        <v>606</v>
      </c>
    </row>
    <row r="939" spans="1:6" x14ac:dyDescent="0.25">
      <c r="A939" t="s">
        <v>2300</v>
      </c>
      <c r="B939" t="s">
        <v>2928</v>
      </c>
      <c r="C939" t="s">
        <v>2916</v>
      </c>
      <c r="D939" t="s">
        <v>2638</v>
      </c>
      <c r="E939" t="s">
        <v>2782</v>
      </c>
      <c r="F939" t="s">
        <v>1192</v>
      </c>
    </row>
    <row r="940" spans="1:6" x14ac:dyDescent="0.25">
      <c r="A940" t="s">
        <v>2303</v>
      </c>
      <c r="B940" t="s">
        <v>2927</v>
      </c>
      <c r="C940" t="s">
        <v>2914</v>
      </c>
      <c r="D940" t="s">
        <v>2637</v>
      </c>
      <c r="E940" t="s">
        <v>2768</v>
      </c>
      <c r="F940" t="s">
        <v>610</v>
      </c>
    </row>
    <row r="941" spans="1:6" x14ac:dyDescent="0.25">
      <c r="A941" t="s">
        <v>2303</v>
      </c>
      <c r="B941" t="s">
        <v>2927</v>
      </c>
      <c r="C941" t="s">
        <v>2914</v>
      </c>
      <c r="D941" t="s">
        <v>2637</v>
      </c>
      <c r="E941" t="s">
        <v>2802</v>
      </c>
      <c r="F941" t="s">
        <v>1400</v>
      </c>
    </row>
    <row r="942" spans="1:6" x14ac:dyDescent="0.25">
      <c r="A942" t="s">
        <v>2303</v>
      </c>
      <c r="B942" t="s">
        <v>2921</v>
      </c>
      <c r="C942" t="s">
        <v>2918</v>
      </c>
      <c r="D942" t="s">
        <v>2639</v>
      </c>
      <c r="E942" t="s">
        <v>2794</v>
      </c>
      <c r="F942" t="s">
        <v>889</v>
      </c>
    </row>
    <row r="943" spans="1:6" x14ac:dyDescent="0.25">
      <c r="A943" t="s">
        <v>2303</v>
      </c>
      <c r="B943" t="s">
        <v>2921</v>
      </c>
      <c r="C943" t="s">
        <v>27</v>
      </c>
      <c r="D943" t="s">
        <v>2930</v>
      </c>
      <c r="E943" t="s">
        <v>2770</v>
      </c>
      <c r="F943" t="s">
        <v>711</v>
      </c>
    </row>
    <row r="944" spans="1:6" x14ac:dyDescent="0.25">
      <c r="A944" t="s">
        <v>2303</v>
      </c>
      <c r="B944" t="s">
        <v>2921</v>
      </c>
      <c r="C944" t="s">
        <v>2920</v>
      </c>
      <c r="D944" t="s">
        <v>2643</v>
      </c>
      <c r="E944" t="s">
        <v>2800</v>
      </c>
      <c r="F944" t="s">
        <v>1390</v>
      </c>
    </row>
    <row r="945" spans="1:6" x14ac:dyDescent="0.25">
      <c r="A945" t="s">
        <v>2303</v>
      </c>
      <c r="B945" t="s">
        <v>2921</v>
      </c>
      <c r="C945" t="s">
        <v>2921</v>
      </c>
      <c r="D945" t="s">
        <v>2644</v>
      </c>
      <c r="E945" t="s">
        <v>2794</v>
      </c>
      <c r="F945" t="s">
        <v>1398</v>
      </c>
    </row>
    <row r="946" spans="1:6" x14ac:dyDescent="0.25">
      <c r="A946" t="s">
        <v>2303</v>
      </c>
      <c r="B946" t="s">
        <v>2921</v>
      </c>
      <c r="C946" t="s">
        <v>2921</v>
      </c>
      <c r="D946" t="s">
        <v>2644</v>
      </c>
      <c r="E946" t="s">
        <v>2760</v>
      </c>
      <c r="F946" t="s">
        <v>1399</v>
      </c>
    </row>
    <row r="947" spans="1:6" x14ac:dyDescent="0.25">
      <c r="A947" t="s">
        <v>2303</v>
      </c>
      <c r="B947" t="s">
        <v>2921</v>
      </c>
      <c r="C947" t="s">
        <v>2921</v>
      </c>
      <c r="D947" t="s">
        <v>2670</v>
      </c>
      <c r="E947" t="s">
        <v>2855</v>
      </c>
      <c r="F947" t="s">
        <v>1391</v>
      </c>
    </row>
    <row r="948" spans="1:6" x14ac:dyDescent="0.25">
      <c r="A948" t="s">
        <v>2303</v>
      </c>
      <c r="B948" t="s">
        <v>2921</v>
      </c>
      <c r="C948" t="s">
        <v>191</v>
      </c>
      <c r="D948" t="s">
        <v>2138</v>
      </c>
      <c r="E948" t="s">
        <v>2762</v>
      </c>
      <c r="F948" t="s">
        <v>654</v>
      </c>
    </row>
    <row r="949" spans="1:6" x14ac:dyDescent="0.25">
      <c r="A949" t="s">
        <v>2303</v>
      </c>
      <c r="B949" t="s">
        <v>2919</v>
      </c>
      <c r="C949" t="s">
        <v>2919</v>
      </c>
      <c r="D949" t="s">
        <v>2680</v>
      </c>
      <c r="E949" t="s">
        <v>2773</v>
      </c>
      <c r="F949" t="s">
        <v>1395</v>
      </c>
    </row>
    <row r="950" spans="1:6" x14ac:dyDescent="0.25">
      <c r="A950" t="s">
        <v>2303</v>
      </c>
      <c r="B950" t="s">
        <v>2919</v>
      </c>
      <c r="C950" t="s">
        <v>2919</v>
      </c>
      <c r="D950" t="s">
        <v>2648</v>
      </c>
      <c r="E950" t="s">
        <v>2756</v>
      </c>
      <c r="F950" t="s">
        <v>1178</v>
      </c>
    </row>
    <row r="951" spans="1:6" x14ac:dyDescent="0.25">
      <c r="A951" t="s">
        <v>2303</v>
      </c>
      <c r="B951" t="s">
        <v>2919</v>
      </c>
      <c r="C951" t="s">
        <v>2919</v>
      </c>
      <c r="D951" t="s">
        <v>2654</v>
      </c>
      <c r="E951" t="s">
        <v>2756</v>
      </c>
      <c r="F951" t="s">
        <v>378</v>
      </c>
    </row>
    <row r="952" spans="1:6" x14ac:dyDescent="0.25">
      <c r="A952" t="s">
        <v>2303</v>
      </c>
      <c r="B952" t="s">
        <v>2928</v>
      </c>
      <c r="C952" t="s">
        <v>2916</v>
      </c>
      <c r="D952" t="s">
        <v>2638</v>
      </c>
      <c r="E952" t="s">
        <v>2826</v>
      </c>
      <c r="F952" t="s">
        <v>1389</v>
      </c>
    </row>
    <row r="953" spans="1:6" x14ac:dyDescent="0.25">
      <c r="A953" t="s">
        <v>2306</v>
      </c>
      <c r="B953" t="s">
        <v>2927</v>
      </c>
      <c r="C953" t="s">
        <v>2914</v>
      </c>
      <c r="D953" t="s">
        <v>2637</v>
      </c>
      <c r="E953" t="s">
        <v>2770</v>
      </c>
      <c r="F953" t="s">
        <v>1403</v>
      </c>
    </row>
    <row r="954" spans="1:6" x14ac:dyDescent="0.25">
      <c r="A954" t="s">
        <v>2306</v>
      </c>
      <c r="B954" t="s">
        <v>2921</v>
      </c>
      <c r="C954" t="s">
        <v>2918</v>
      </c>
      <c r="D954" t="s">
        <v>2639</v>
      </c>
      <c r="E954" t="s">
        <v>2754</v>
      </c>
      <c r="F954" t="s">
        <v>415</v>
      </c>
    </row>
    <row r="955" spans="1:6" x14ac:dyDescent="0.25">
      <c r="A955" t="s">
        <v>2306</v>
      </c>
      <c r="B955" t="s">
        <v>2921</v>
      </c>
      <c r="C955" t="s">
        <v>2918</v>
      </c>
      <c r="D955" t="s">
        <v>2639</v>
      </c>
      <c r="E955" t="s">
        <v>2801</v>
      </c>
      <c r="F955" t="s">
        <v>1401</v>
      </c>
    </row>
    <row r="956" spans="1:6" x14ac:dyDescent="0.25">
      <c r="A956" t="s">
        <v>2306</v>
      </c>
      <c r="B956" t="s">
        <v>2921</v>
      </c>
      <c r="C956" t="s">
        <v>27</v>
      </c>
      <c r="D956" t="s">
        <v>2930</v>
      </c>
      <c r="E956" t="s">
        <v>2802</v>
      </c>
      <c r="F956" t="s">
        <v>1402</v>
      </c>
    </row>
    <row r="957" spans="1:6" x14ac:dyDescent="0.25">
      <c r="A957" t="s">
        <v>2306</v>
      </c>
      <c r="B957" t="s">
        <v>2921</v>
      </c>
      <c r="C957" t="s">
        <v>2920</v>
      </c>
      <c r="D957" t="s">
        <v>2643</v>
      </c>
      <c r="E957" t="s">
        <v>2769</v>
      </c>
      <c r="F957" t="s">
        <v>1357</v>
      </c>
    </row>
    <row r="958" spans="1:6" x14ac:dyDescent="0.25">
      <c r="A958" t="s">
        <v>2306</v>
      </c>
      <c r="B958" t="s">
        <v>2921</v>
      </c>
      <c r="C958" t="s">
        <v>2921</v>
      </c>
      <c r="D958" t="s">
        <v>2644</v>
      </c>
      <c r="E958" t="s">
        <v>2759</v>
      </c>
      <c r="F958" t="s">
        <v>1405</v>
      </c>
    </row>
    <row r="959" spans="1:6" x14ac:dyDescent="0.25">
      <c r="A959" t="s">
        <v>2306</v>
      </c>
      <c r="B959" t="s">
        <v>2921</v>
      </c>
      <c r="C959" t="s">
        <v>2921</v>
      </c>
      <c r="D959" t="s">
        <v>2644</v>
      </c>
      <c r="E959" t="s">
        <v>2760</v>
      </c>
      <c r="F959" t="s">
        <v>1406</v>
      </c>
    </row>
    <row r="960" spans="1:6" x14ac:dyDescent="0.25">
      <c r="A960" t="s">
        <v>2306</v>
      </c>
      <c r="B960" t="s">
        <v>2921</v>
      </c>
      <c r="C960" t="s">
        <v>191</v>
      </c>
      <c r="D960" t="s">
        <v>2138</v>
      </c>
      <c r="E960" t="s">
        <v>2817</v>
      </c>
      <c r="F960" t="s">
        <v>338</v>
      </c>
    </row>
    <row r="961" spans="1:6" x14ac:dyDescent="0.25">
      <c r="A961" t="s">
        <v>2306</v>
      </c>
      <c r="B961" t="s">
        <v>2919</v>
      </c>
      <c r="C961" t="s">
        <v>2919</v>
      </c>
      <c r="D961" t="s">
        <v>2648</v>
      </c>
      <c r="E961" t="s">
        <v>2779</v>
      </c>
      <c r="F961" t="s">
        <v>1404</v>
      </c>
    </row>
    <row r="962" spans="1:6" x14ac:dyDescent="0.25">
      <c r="A962" t="s">
        <v>2306</v>
      </c>
      <c r="B962" t="s">
        <v>2928</v>
      </c>
      <c r="C962" t="s">
        <v>2916</v>
      </c>
      <c r="D962" t="s">
        <v>2638</v>
      </c>
      <c r="E962" t="s">
        <v>2774</v>
      </c>
      <c r="F962" t="s">
        <v>334</v>
      </c>
    </row>
    <row r="963" spans="1:6" x14ac:dyDescent="0.25">
      <c r="A963" t="s">
        <v>2309</v>
      </c>
      <c r="B963" t="s">
        <v>2927</v>
      </c>
      <c r="C963" t="s">
        <v>2914</v>
      </c>
      <c r="D963" t="s">
        <v>2637</v>
      </c>
      <c r="E963" t="s">
        <v>2794</v>
      </c>
      <c r="F963" t="s">
        <v>1408</v>
      </c>
    </row>
    <row r="964" spans="1:6" x14ac:dyDescent="0.25">
      <c r="A964" t="s">
        <v>2309</v>
      </c>
      <c r="B964" t="s">
        <v>2927</v>
      </c>
      <c r="C964" t="s">
        <v>2914</v>
      </c>
      <c r="D964" t="s">
        <v>2637</v>
      </c>
      <c r="E964" t="s">
        <v>2776</v>
      </c>
      <c r="F964" t="s">
        <v>1411</v>
      </c>
    </row>
    <row r="965" spans="1:6" x14ac:dyDescent="0.25">
      <c r="A965" t="s">
        <v>2309</v>
      </c>
      <c r="B965" t="s">
        <v>75</v>
      </c>
      <c r="C965" t="s">
        <v>75</v>
      </c>
      <c r="D965" t="s">
        <v>2646</v>
      </c>
      <c r="E965" t="s">
        <v>2802</v>
      </c>
      <c r="F965" t="s">
        <v>1195</v>
      </c>
    </row>
    <row r="966" spans="1:6" x14ac:dyDescent="0.25">
      <c r="A966" t="s">
        <v>2309</v>
      </c>
      <c r="B966" t="s">
        <v>2921</v>
      </c>
      <c r="C966" t="s">
        <v>2920</v>
      </c>
      <c r="D966" t="s">
        <v>2667</v>
      </c>
      <c r="E966" t="s">
        <v>2774</v>
      </c>
      <c r="F966" t="s">
        <v>1005</v>
      </c>
    </row>
    <row r="967" spans="1:6" x14ac:dyDescent="0.25">
      <c r="A967" t="s">
        <v>2309</v>
      </c>
      <c r="B967" t="s">
        <v>2921</v>
      </c>
      <c r="C967" t="s">
        <v>2921</v>
      </c>
      <c r="D967" t="s">
        <v>2644</v>
      </c>
      <c r="E967" t="s">
        <v>2812</v>
      </c>
      <c r="F967" t="s">
        <v>1410</v>
      </c>
    </row>
    <row r="968" spans="1:6" x14ac:dyDescent="0.25">
      <c r="A968" t="s">
        <v>2309</v>
      </c>
      <c r="B968" t="s">
        <v>2921</v>
      </c>
      <c r="C968" t="s">
        <v>191</v>
      </c>
      <c r="D968" t="s">
        <v>2138</v>
      </c>
      <c r="E968" t="s">
        <v>2762</v>
      </c>
      <c r="F968" t="s">
        <v>654</v>
      </c>
    </row>
    <row r="969" spans="1:6" x14ac:dyDescent="0.25">
      <c r="A969" t="s">
        <v>2309</v>
      </c>
      <c r="B969" t="s">
        <v>2919</v>
      </c>
      <c r="C969" t="s">
        <v>2919</v>
      </c>
      <c r="D969" t="s">
        <v>2680</v>
      </c>
      <c r="E969" t="s">
        <v>2780</v>
      </c>
      <c r="F969" t="s">
        <v>1409</v>
      </c>
    </row>
    <row r="970" spans="1:6" x14ac:dyDescent="0.25">
      <c r="A970" t="s">
        <v>2309</v>
      </c>
      <c r="B970" t="s">
        <v>2928</v>
      </c>
      <c r="C970" t="s">
        <v>2916</v>
      </c>
      <c r="D970" t="s">
        <v>2642</v>
      </c>
      <c r="E970" t="s">
        <v>2788</v>
      </c>
      <c r="F970" t="s">
        <v>1407</v>
      </c>
    </row>
    <row r="971" spans="1:6" x14ac:dyDescent="0.25">
      <c r="A971" t="s">
        <v>2309</v>
      </c>
      <c r="B971" t="s">
        <v>2928</v>
      </c>
      <c r="C971" t="s">
        <v>2916</v>
      </c>
      <c r="D971" t="s">
        <v>2642</v>
      </c>
      <c r="E971" t="s">
        <v>2790</v>
      </c>
      <c r="F971" t="s">
        <v>996</v>
      </c>
    </row>
    <row r="972" spans="1:6" x14ac:dyDescent="0.25">
      <c r="A972" t="s">
        <v>2309</v>
      </c>
      <c r="B972" t="s">
        <v>2928</v>
      </c>
      <c r="C972" t="s">
        <v>2916</v>
      </c>
      <c r="D972" t="s">
        <v>2638</v>
      </c>
      <c r="E972" t="s">
        <v>2788</v>
      </c>
      <c r="F972" t="s">
        <v>1200</v>
      </c>
    </row>
    <row r="973" spans="1:6" x14ac:dyDescent="0.25">
      <c r="A973" t="s">
        <v>2309</v>
      </c>
      <c r="B973" t="s">
        <v>2928</v>
      </c>
      <c r="C973" t="s">
        <v>2916</v>
      </c>
      <c r="D973" t="s">
        <v>2638</v>
      </c>
      <c r="E973" t="s">
        <v>2790</v>
      </c>
      <c r="F973" t="s">
        <v>906</v>
      </c>
    </row>
    <row r="974" spans="1:6" x14ac:dyDescent="0.25">
      <c r="A974" t="s">
        <v>2312</v>
      </c>
      <c r="B974" t="s">
        <v>2927</v>
      </c>
      <c r="C974" t="s">
        <v>2914</v>
      </c>
      <c r="D974" t="s">
        <v>2637</v>
      </c>
      <c r="E974" t="s">
        <v>2753</v>
      </c>
      <c r="F974" t="s">
        <v>712</v>
      </c>
    </row>
    <row r="975" spans="1:6" x14ac:dyDescent="0.25">
      <c r="A975" t="s">
        <v>2312</v>
      </c>
      <c r="B975" t="s">
        <v>2921</v>
      </c>
      <c r="C975" t="s">
        <v>2920</v>
      </c>
      <c r="D975" t="s">
        <v>2643</v>
      </c>
      <c r="E975" t="s">
        <v>2774</v>
      </c>
      <c r="F975" t="s">
        <v>1412</v>
      </c>
    </row>
    <row r="976" spans="1:6" x14ac:dyDescent="0.25">
      <c r="A976" t="s">
        <v>2312</v>
      </c>
      <c r="B976" t="s">
        <v>2921</v>
      </c>
      <c r="C976" t="s">
        <v>2921</v>
      </c>
      <c r="D976" t="s">
        <v>2644</v>
      </c>
      <c r="E976" t="s">
        <v>2770</v>
      </c>
      <c r="F976" t="s">
        <v>1417</v>
      </c>
    </row>
    <row r="977" spans="1:6" x14ac:dyDescent="0.25">
      <c r="A977" t="s">
        <v>2312</v>
      </c>
      <c r="B977" t="s">
        <v>2921</v>
      </c>
      <c r="C977" t="s">
        <v>191</v>
      </c>
      <c r="D977" t="s">
        <v>2138</v>
      </c>
      <c r="E977" t="s">
        <v>2762</v>
      </c>
      <c r="F977" t="s">
        <v>654</v>
      </c>
    </row>
    <row r="978" spans="1:6" x14ac:dyDescent="0.25">
      <c r="A978" t="s">
        <v>2312</v>
      </c>
      <c r="B978" t="s">
        <v>2919</v>
      </c>
      <c r="C978" t="s">
        <v>2919</v>
      </c>
      <c r="D978" t="s">
        <v>2648</v>
      </c>
      <c r="E978" t="s">
        <v>2826</v>
      </c>
      <c r="F978" t="s">
        <v>1416</v>
      </c>
    </row>
    <row r="979" spans="1:6" x14ac:dyDescent="0.25">
      <c r="A979" t="s">
        <v>2312</v>
      </c>
      <c r="B979" t="s">
        <v>2928</v>
      </c>
      <c r="C979" t="s">
        <v>2916</v>
      </c>
      <c r="D979" t="s">
        <v>2638</v>
      </c>
      <c r="E979" t="s">
        <v>2779</v>
      </c>
      <c r="F979" t="s">
        <v>621</v>
      </c>
    </row>
    <row r="980" spans="1:6" x14ac:dyDescent="0.25">
      <c r="A980" t="s">
        <v>2312</v>
      </c>
      <c r="B980" t="s">
        <v>2928</v>
      </c>
      <c r="C980" t="s">
        <v>2916</v>
      </c>
      <c r="D980" t="s">
        <v>2638</v>
      </c>
      <c r="E980" t="s">
        <v>2786</v>
      </c>
      <c r="F980" t="s">
        <v>959</v>
      </c>
    </row>
    <row r="981" spans="1:6" x14ac:dyDescent="0.25">
      <c r="A981" t="s">
        <v>2315</v>
      </c>
      <c r="B981" t="s">
        <v>2927</v>
      </c>
      <c r="C981" t="s">
        <v>2914</v>
      </c>
      <c r="D981" t="s">
        <v>2637</v>
      </c>
      <c r="E981" t="s">
        <v>2776</v>
      </c>
      <c r="F981" t="s">
        <v>1421</v>
      </c>
    </row>
    <row r="982" spans="1:6" x14ac:dyDescent="0.25">
      <c r="A982" t="s">
        <v>2315</v>
      </c>
      <c r="B982" t="s">
        <v>2927</v>
      </c>
      <c r="C982" t="s">
        <v>2914</v>
      </c>
      <c r="D982" t="s">
        <v>2637</v>
      </c>
      <c r="E982" t="s">
        <v>2761</v>
      </c>
      <c r="F982" t="s">
        <v>423</v>
      </c>
    </row>
    <row r="983" spans="1:6" x14ac:dyDescent="0.25">
      <c r="A983" t="s">
        <v>2315</v>
      </c>
      <c r="B983" t="s">
        <v>2921</v>
      </c>
      <c r="C983" t="s">
        <v>2918</v>
      </c>
      <c r="D983" t="s">
        <v>2639</v>
      </c>
      <c r="E983" t="s">
        <v>2770</v>
      </c>
      <c r="F983" t="s">
        <v>329</v>
      </c>
    </row>
    <row r="984" spans="1:6" x14ac:dyDescent="0.25">
      <c r="A984" t="s">
        <v>2315</v>
      </c>
      <c r="B984" t="s">
        <v>2921</v>
      </c>
      <c r="C984" t="s">
        <v>2918</v>
      </c>
      <c r="D984" t="s">
        <v>2639</v>
      </c>
      <c r="E984" t="s">
        <v>2772</v>
      </c>
      <c r="F984" t="s">
        <v>1419</v>
      </c>
    </row>
    <row r="985" spans="1:6" x14ac:dyDescent="0.25">
      <c r="A985" t="s">
        <v>2315</v>
      </c>
      <c r="B985" t="s">
        <v>2921</v>
      </c>
      <c r="C985" t="s">
        <v>2920</v>
      </c>
      <c r="D985" t="s">
        <v>2643</v>
      </c>
      <c r="E985" t="s">
        <v>2791</v>
      </c>
      <c r="F985" t="s">
        <v>1418</v>
      </c>
    </row>
    <row r="986" spans="1:6" x14ac:dyDescent="0.25">
      <c r="A986" t="s">
        <v>2315</v>
      </c>
      <c r="B986" t="s">
        <v>2921</v>
      </c>
      <c r="C986" t="s">
        <v>191</v>
      </c>
      <c r="D986" t="s">
        <v>2138</v>
      </c>
      <c r="E986" t="s">
        <v>2762</v>
      </c>
      <c r="F986" t="s">
        <v>654</v>
      </c>
    </row>
    <row r="987" spans="1:6" x14ac:dyDescent="0.25">
      <c r="A987" t="s">
        <v>2315</v>
      </c>
      <c r="B987" t="s">
        <v>2919</v>
      </c>
      <c r="C987" t="s">
        <v>2919</v>
      </c>
      <c r="D987" t="s">
        <v>2648</v>
      </c>
      <c r="E987" t="s">
        <v>2843</v>
      </c>
      <c r="F987" t="s">
        <v>1420</v>
      </c>
    </row>
    <row r="988" spans="1:6" x14ac:dyDescent="0.25">
      <c r="A988" t="s">
        <v>2315</v>
      </c>
      <c r="B988" t="s">
        <v>2928</v>
      </c>
      <c r="C988" t="s">
        <v>2916</v>
      </c>
      <c r="D988" t="s">
        <v>2638</v>
      </c>
      <c r="E988" t="s">
        <v>2779</v>
      </c>
      <c r="F988" t="s">
        <v>621</v>
      </c>
    </row>
    <row r="989" spans="1:6" x14ac:dyDescent="0.25">
      <c r="A989" t="s">
        <v>2315</v>
      </c>
      <c r="B989" t="s">
        <v>2928</v>
      </c>
      <c r="C989" t="s">
        <v>2916</v>
      </c>
      <c r="D989" t="s">
        <v>2638</v>
      </c>
      <c r="E989" t="s">
        <v>2774</v>
      </c>
      <c r="F989" t="s">
        <v>334</v>
      </c>
    </row>
    <row r="990" spans="1:6" x14ac:dyDescent="0.25">
      <c r="A990" t="s">
        <v>2285</v>
      </c>
      <c r="B990" t="s">
        <v>2927</v>
      </c>
      <c r="C990" t="s">
        <v>2914</v>
      </c>
      <c r="D990" t="s">
        <v>2637</v>
      </c>
      <c r="E990" t="s">
        <v>2821</v>
      </c>
      <c r="F990" t="s">
        <v>1355</v>
      </c>
    </row>
    <row r="991" spans="1:6" x14ac:dyDescent="0.25">
      <c r="A991" t="s">
        <v>2285</v>
      </c>
      <c r="B991" t="s">
        <v>2927</v>
      </c>
      <c r="C991" t="s">
        <v>2914</v>
      </c>
      <c r="D991" t="s">
        <v>2637</v>
      </c>
      <c r="E991" t="s">
        <v>2753</v>
      </c>
      <c r="F991" t="s">
        <v>712</v>
      </c>
    </row>
    <row r="992" spans="1:6" x14ac:dyDescent="0.25">
      <c r="A992" t="s">
        <v>2285</v>
      </c>
      <c r="B992" t="s">
        <v>2927</v>
      </c>
      <c r="C992" t="s">
        <v>2914</v>
      </c>
      <c r="D992" t="s">
        <v>2637</v>
      </c>
      <c r="E992" t="s">
        <v>2770</v>
      </c>
      <c r="F992" t="s">
        <v>986</v>
      </c>
    </row>
    <row r="993" spans="1:6" x14ac:dyDescent="0.25">
      <c r="A993" t="s">
        <v>2285</v>
      </c>
      <c r="B993" t="s">
        <v>2927</v>
      </c>
      <c r="C993" t="s">
        <v>2914</v>
      </c>
      <c r="D993" t="s">
        <v>2637</v>
      </c>
      <c r="E993" t="s">
        <v>2776</v>
      </c>
      <c r="F993" t="s">
        <v>970</v>
      </c>
    </row>
    <row r="994" spans="1:6" x14ac:dyDescent="0.25">
      <c r="A994" t="s">
        <v>2285</v>
      </c>
      <c r="B994" t="s">
        <v>75</v>
      </c>
      <c r="C994" t="s">
        <v>75</v>
      </c>
      <c r="D994" t="s">
        <v>2646</v>
      </c>
      <c r="E994" t="s">
        <v>2760</v>
      </c>
      <c r="F994" t="s">
        <v>1067</v>
      </c>
    </row>
    <row r="995" spans="1:6" x14ac:dyDescent="0.25">
      <c r="A995" t="s">
        <v>2285</v>
      </c>
      <c r="B995" t="s">
        <v>75</v>
      </c>
      <c r="C995" t="s">
        <v>75</v>
      </c>
      <c r="D995" t="s">
        <v>1212</v>
      </c>
      <c r="E995" t="s">
        <v>2810</v>
      </c>
      <c r="F995" t="s">
        <v>722</v>
      </c>
    </row>
    <row r="996" spans="1:6" x14ac:dyDescent="0.25">
      <c r="A996" t="s">
        <v>2285</v>
      </c>
      <c r="B996" t="s">
        <v>2921</v>
      </c>
      <c r="C996" t="s">
        <v>2918</v>
      </c>
      <c r="D996" t="s">
        <v>2639</v>
      </c>
      <c r="E996" t="s">
        <v>2794</v>
      </c>
      <c r="F996" t="s">
        <v>1340</v>
      </c>
    </row>
    <row r="997" spans="1:6" x14ac:dyDescent="0.25">
      <c r="A997" t="s">
        <v>2285</v>
      </c>
      <c r="B997" t="s">
        <v>2921</v>
      </c>
      <c r="C997" t="s">
        <v>2920</v>
      </c>
      <c r="D997" t="s">
        <v>2643</v>
      </c>
      <c r="E997" t="s">
        <v>2779</v>
      </c>
      <c r="F997" t="s">
        <v>453</v>
      </c>
    </row>
    <row r="998" spans="1:6" x14ac:dyDescent="0.25">
      <c r="A998" t="s">
        <v>2285</v>
      </c>
      <c r="B998" t="s">
        <v>2921</v>
      </c>
      <c r="C998" t="s">
        <v>191</v>
      </c>
      <c r="D998" t="s">
        <v>2138</v>
      </c>
      <c r="E998" t="s">
        <v>2762</v>
      </c>
      <c r="F998" t="s">
        <v>654</v>
      </c>
    </row>
    <row r="999" spans="1:6" x14ac:dyDescent="0.25">
      <c r="A999" t="s">
        <v>2285</v>
      </c>
      <c r="B999" t="s">
        <v>2919</v>
      </c>
      <c r="C999" t="s">
        <v>2919</v>
      </c>
      <c r="D999" t="s">
        <v>2650</v>
      </c>
      <c r="E999" t="s">
        <v>2791</v>
      </c>
      <c r="F999" t="s">
        <v>1341</v>
      </c>
    </row>
    <row r="1000" spans="1:6" x14ac:dyDescent="0.25">
      <c r="A1000" t="s">
        <v>2285</v>
      </c>
      <c r="B1000" t="s">
        <v>2919</v>
      </c>
      <c r="C1000" t="s">
        <v>2919</v>
      </c>
      <c r="D1000" t="s">
        <v>2650</v>
      </c>
      <c r="E1000" t="s">
        <v>2755</v>
      </c>
      <c r="F1000" t="s">
        <v>1342</v>
      </c>
    </row>
    <row r="1001" spans="1:6" x14ac:dyDescent="0.25">
      <c r="A1001" t="s">
        <v>2285</v>
      </c>
      <c r="B1001" t="s">
        <v>2919</v>
      </c>
      <c r="C1001" t="s">
        <v>2919</v>
      </c>
      <c r="D1001" t="s">
        <v>2654</v>
      </c>
      <c r="E1001" t="s">
        <v>2843</v>
      </c>
      <c r="F1001" t="s">
        <v>1353</v>
      </c>
    </row>
    <row r="1002" spans="1:6" x14ac:dyDescent="0.25">
      <c r="A1002" t="s">
        <v>2285</v>
      </c>
      <c r="B1002" t="s">
        <v>2928</v>
      </c>
      <c r="C1002" t="s">
        <v>2916</v>
      </c>
      <c r="D1002" t="s">
        <v>2641</v>
      </c>
      <c r="E1002" t="s">
        <v>2790</v>
      </c>
      <c r="F1002" t="s">
        <v>1349</v>
      </c>
    </row>
    <row r="1003" spans="1:6" x14ac:dyDescent="0.25">
      <c r="A1003" t="s">
        <v>2285</v>
      </c>
      <c r="B1003" t="s">
        <v>2928</v>
      </c>
      <c r="C1003" t="s">
        <v>2916</v>
      </c>
      <c r="D1003" t="s">
        <v>2656</v>
      </c>
      <c r="E1003" t="s">
        <v>2755</v>
      </c>
      <c r="F1003" t="s">
        <v>1352</v>
      </c>
    </row>
    <row r="1004" spans="1:6" x14ac:dyDescent="0.25">
      <c r="A1004" t="s">
        <v>2285</v>
      </c>
      <c r="B1004" t="s">
        <v>2928</v>
      </c>
      <c r="C1004" t="s">
        <v>2916</v>
      </c>
      <c r="D1004" t="s">
        <v>2638</v>
      </c>
      <c r="E1004" t="s">
        <v>2791</v>
      </c>
      <c r="F1004" t="s">
        <v>1339</v>
      </c>
    </row>
    <row r="1005" spans="1:6" x14ac:dyDescent="0.25">
      <c r="A1005" t="s">
        <v>2285</v>
      </c>
      <c r="B1005" t="s">
        <v>2928</v>
      </c>
      <c r="C1005" t="s">
        <v>2916</v>
      </c>
      <c r="D1005" t="s">
        <v>2638</v>
      </c>
      <c r="E1005" t="s">
        <v>2852</v>
      </c>
      <c r="F1005" t="s">
        <v>1354</v>
      </c>
    </row>
    <row r="1006" spans="1:6" x14ac:dyDescent="0.25">
      <c r="A1006" t="s">
        <v>2285</v>
      </c>
      <c r="B1006" t="s">
        <v>2928</v>
      </c>
      <c r="C1006" t="s">
        <v>2916</v>
      </c>
      <c r="D1006" t="s">
        <v>2638</v>
      </c>
      <c r="E1006" t="s">
        <v>2795</v>
      </c>
      <c r="F1006" t="s">
        <v>1245</v>
      </c>
    </row>
    <row r="1007" spans="1:6" x14ac:dyDescent="0.25">
      <c r="A1007" t="s">
        <v>2285</v>
      </c>
      <c r="B1007" t="s">
        <v>2928</v>
      </c>
      <c r="C1007" t="s">
        <v>2922</v>
      </c>
      <c r="D1007" t="s">
        <v>2668</v>
      </c>
      <c r="E1007" t="s">
        <v>2786</v>
      </c>
      <c r="F1007" t="s">
        <v>1343</v>
      </c>
    </row>
    <row r="1008" spans="1:6" x14ac:dyDescent="0.25">
      <c r="A1008" t="s">
        <v>2288</v>
      </c>
      <c r="B1008" t="s">
        <v>2927</v>
      </c>
      <c r="C1008" t="s">
        <v>2914</v>
      </c>
      <c r="D1008" t="s">
        <v>2637</v>
      </c>
      <c r="E1008" t="s">
        <v>2759</v>
      </c>
      <c r="F1008" t="s">
        <v>1362</v>
      </c>
    </row>
    <row r="1009" spans="1:6" x14ac:dyDescent="0.25">
      <c r="A1009" t="s">
        <v>2288</v>
      </c>
      <c r="B1009" t="s">
        <v>2927</v>
      </c>
      <c r="C1009" t="s">
        <v>2914</v>
      </c>
      <c r="D1009" t="s">
        <v>2637</v>
      </c>
      <c r="E1009" t="s">
        <v>2770</v>
      </c>
      <c r="F1009" t="s">
        <v>1361</v>
      </c>
    </row>
    <row r="1010" spans="1:6" x14ac:dyDescent="0.25">
      <c r="A1010" t="s">
        <v>2288</v>
      </c>
      <c r="B1010" t="s">
        <v>2927</v>
      </c>
      <c r="C1010" t="s">
        <v>2914</v>
      </c>
      <c r="D1010" t="s">
        <v>2637</v>
      </c>
      <c r="E1010" t="s">
        <v>2770</v>
      </c>
      <c r="F1010" t="s">
        <v>1360</v>
      </c>
    </row>
    <row r="1011" spans="1:6" x14ac:dyDescent="0.25">
      <c r="A1011" t="s">
        <v>2288</v>
      </c>
      <c r="B1011" t="s">
        <v>2921</v>
      </c>
      <c r="C1011" t="s">
        <v>2918</v>
      </c>
      <c r="D1011" t="s">
        <v>2639</v>
      </c>
      <c r="E1011" t="s">
        <v>2801</v>
      </c>
      <c r="F1011" t="s">
        <v>1358</v>
      </c>
    </row>
    <row r="1012" spans="1:6" x14ac:dyDescent="0.25">
      <c r="A1012" t="s">
        <v>2288</v>
      </c>
      <c r="B1012" t="s">
        <v>2921</v>
      </c>
      <c r="C1012" t="s">
        <v>27</v>
      </c>
      <c r="D1012" t="s">
        <v>2930</v>
      </c>
      <c r="E1012" t="s">
        <v>2787</v>
      </c>
      <c r="F1012" t="s">
        <v>317</v>
      </c>
    </row>
    <row r="1013" spans="1:6" x14ac:dyDescent="0.25">
      <c r="A1013" t="s">
        <v>2288</v>
      </c>
      <c r="B1013" t="s">
        <v>2921</v>
      </c>
      <c r="C1013" t="s">
        <v>2920</v>
      </c>
      <c r="D1013" t="s">
        <v>2643</v>
      </c>
      <c r="E1013" t="s">
        <v>2769</v>
      </c>
      <c r="F1013" t="s">
        <v>1357</v>
      </c>
    </row>
    <row r="1014" spans="1:6" x14ac:dyDescent="0.25">
      <c r="A1014" t="s">
        <v>2288</v>
      </c>
      <c r="B1014" t="s">
        <v>2921</v>
      </c>
      <c r="C1014" t="s">
        <v>2921</v>
      </c>
      <c r="D1014" t="s">
        <v>2644</v>
      </c>
      <c r="E1014" t="s">
        <v>2760</v>
      </c>
      <c r="F1014" t="s">
        <v>1363</v>
      </c>
    </row>
    <row r="1015" spans="1:6" x14ac:dyDescent="0.25">
      <c r="A1015" t="s">
        <v>2288</v>
      </c>
      <c r="B1015" t="s">
        <v>2921</v>
      </c>
      <c r="C1015" t="s">
        <v>191</v>
      </c>
      <c r="D1015" t="s">
        <v>2138</v>
      </c>
      <c r="E1015" t="s">
        <v>2762</v>
      </c>
      <c r="F1015" t="s">
        <v>654</v>
      </c>
    </row>
    <row r="1016" spans="1:6" x14ac:dyDescent="0.25">
      <c r="A1016" t="s">
        <v>2288</v>
      </c>
      <c r="B1016" t="s">
        <v>2919</v>
      </c>
      <c r="C1016" t="s">
        <v>2919</v>
      </c>
      <c r="D1016" t="s">
        <v>2650</v>
      </c>
      <c r="E1016" t="s">
        <v>2853</v>
      </c>
      <c r="F1016" t="s">
        <v>1359</v>
      </c>
    </row>
    <row r="1017" spans="1:6" x14ac:dyDescent="0.25">
      <c r="A1017" t="s">
        <v>2288</v>
      </c>
      <c r="B1017" t="s">
        <v>2928</v>
      </c>
      <c r="C1017" t="s">
        <v>2916</v>
      </c>
      <c r="D1017" t="s">
        <v>2638</v>
      </c>
      <c r="E1017" t="s">
        <v>2797</v>
      </c>
      <c r="F1017" t="s">
        <v>434</v>
      </c>
    </row>
    <row r="1018" spans="1:6" x14ac:dyDescent="0.25">
      <c r="A1018" t="s">
        <v>2288</v>
      </c>
      <c r="B1018" t="s">
        <v>2928</v>
      </c>
      <c r="C1018" t="s">
        <v>2916</v>
      </c>
      <c r="D1018" t="s">
        <v>2638</v>
      </c>
      <c r="E1018" t="s">
        <v>2813</v>
      </c>
      <c r="F1018" t="s">
        <v>1356</v>
      </c>
    </row>
    <row r="1019" spans="1:6" x14ac:dyDescent="0.25">
      <c r="A1019" t="s">
        <v>2291</v>
      </c>
      <c r="B1019" t="s">
        <v>2927</v>
      </c>
      <c r="C1019" t="s">
        <v>2914</v>
      </c>
      <c r="D1019" t="s">
        <v>2637</v>
      </c>
      <c r="E1019" t="s">
        <v>2770</v>
      </c>
      <c r="F1019" t="s">
        <v>1369</v>
      </c>
    </row>
    <row r="1020" spans="1:6" x14ac:dyDescent="0.25">
      <c r="A1020" t="s">
        <v>2291</v>
      </c>
      <c r="B1020" t="s">
        <v>75</v>
      </c>
      <c r="C1020" t="s">
        <v>75</v>
      </c>
      <c r="D1020" t="s">
        <v>2646</v>
      </c>
      <c r="E1020" t="s">
        <v>2759</v>
      </c>
      <c r="F1020" t="s">
        <v>1367</v>
      </c>
    </row>
    <row r="1021" spans="1:6" x14ac:dyDescent="0.25">
      <c r="A1021" t="s">
        <v>2291</v>
      </c>
      <c r="B1021" t="s">
        <v>2921</v>
      </c>
      <c r="C1021" t="s">
        <v>2918</v>
      </c>
      <c r="D1021" t="s">
        <v>2639</v>
      </c>
      <c r="E1021" t="s">
        <v>2794</v>
      </c>
      <c r="F1021" t="s">
        <v>1340</v>
      </c>
    </row>
    <row r="1022" spans="1:6" x14ac:dyDescent="0.25">
      <c r="A1022" t="s">
        <v>2291</v>
      </c>
      <c r="B1022" t="s">
        <v>2921</v>
      </c>
      <c r="C1022" t="s">
        <v>2918</v>
      </c>
      <c r="D1022" t="s">
        <v>2639</v>
      </c>
      <c r="E1022" t="s">
        <v>2792</v>
      </c>
      <c r="F1022" t="s">
        <v>1140</v>
      </c>
    </row>
    <row r="1023" spans="1:6" x14ac:dyDescent="0.25">
      <c r="A1023" t="s">
        <v>2291</v>
      </c>
      <c r="B1023" t="s">
        <v>2921</v>
      </c>
      <c r="C1023" t="s">
        <v>2920</v>
      </c>
      <c r="D1023" t="s">
        <v>2667</v>
      </c>
      <c r="E1023" t="s">
        <v>2769</v>
      </c>
      <c r="F1023" t="s">
        <v>1368</v>
      </c>
    </row>
    <row r="1024" spans="1:6" x14ac:dyDescent="0.25">
      <c r="A1024" t="s">
        <v>2291</v>
      </c>
      <c r="B1024" t="s">
        <v>2921</v>
      </c>
      <c r="C1024" t="s">
        <v>2920</v>
      </c>
      <c r="D1024" t="s">
        <v>2643</v>
      </c>
      <c r="E1024" t="s">
        <v>2781</v>
      </c>
      <c r="F1024" t="s">
        <v>1201</v>
      </c>
    </row>
    <row r="1025" spans="1:6" x14ac:dyDescent="0.25">
      <c r="A1025" t="s">
        <v>2291</v>
      </c>
      <c r="B1025" t="s">
        <v>2921</v>
      </c>
      <c r="C1025" t="s">
        <v>191</v>
      </c>
      <c r="D1025" t="s">
        <v>2138</v>
      </c>
      <c r="E1025" t="s">
        <v>2762</v>
      </c>
      <c r="F1025" t="s">
        <v>654</v>
      </c>
    </row>
    <row r="1026" spans="1:6" x14ac:dyDescent="0.25">
      <c r="A1026" t="s">
        <v>2291</v>
      </c>
      <c r="B1026" t="s">
        <v>2919</v>
      </c>
      <c r="C1026" t="s">
        <v>2919</v>
      </c>
      <c r="D1026" t="s">
        <v>2666</v>
      </c>
      <c r="E1026" t="s">
        <v>2786</v>
      </c>
      <c r="F1026" t="s">
        <v>1069</v>
      </c>
    </row>
    <row r="1027" spans="1:6" x14ac:dyDescent="0.25">
      <c r="A1027" t="s">
        <v>2291</v>
      </c>
      <c r="B1027" t="s">
        <v>2928</v>
      </c>
      <c r="C1027" t="s">
        <v>2916</v>
      </c>
      <c r="D1027" t="s">
        <v>2641</v>
      </c>
      <c r="E1027" t="s">
        <v>2778</v>
      </c>
      <c r="F1027" t="s">
        <v>1364</v>
      </c>
    </row>
    <row r="1028" spans="1:6" x14ac:dyDescent="0.25">
      <c r="A1028" t="s">
        <v>2318</v>
      </c>
      <c r="B1028" t="s">
        <v>2927</v>
      </c>
      <c r="C1028" t="s">
        <v>2914</v>
      </c>
      <c r="D1028" t="s">
        <v>2637</v>
      </c>
      <c r="E1028" t="s">
        <v>2819</v>
      </c>
      <c r="F1028" t="s">
        <v>1428</v>
      </c>
    </row>
    <row r="1029" spans="1:6" x14ac:dyDescent="0.25">
      <c r="A1029" t="s">
        <v>2318</v>
      </c>
      <c r="B1029" t="s">
        <v>2927</v>
      </c>
      <c r="C1029" t="s">
        <v>2914</v>
      </c>
      <c r="D1029" t="s">
        <v>2637</v>
      </c>
      <c r="E1029" t="s">
        <v>2857</v>
      </c>
      <c r="F1029" t="s">
        <v>1431</v>
      </c>
    </row>
    <row r="1030" spans="1:6" x14ac:dyDescent="0.25">
      <c r="A1030" t="s">
        <v>2318</v>
      </c>
      <c r="B1030" t="s">
        <v>2927</v>
      </c>
      <c r="C1030" t="s">
        <v>2914</v>
      </c>
      <c r="D1030" t="s">
        <v>2637</v>
      </c>
      <c r="E1030" t="s">
        <v>2802</v>
      </c>
      <c r="F1030" t="s">
        <v>1314</v>
      </c>
    </row>
    <row r="1031" spans="1:6" x14ac:dyDescent="0.25">
      <c r="A1031" t="s">
        <v>2318</v>
      </c>
      <c r="B1031" t="s">
        <v>2927</v>
      </c>
      <c r="C1031" t="s">
        <v>2917</v>
      </c>
      <c r="D1031" t="s">
        <v>1206</v>
      </c>
      <c r="E1031" t="s">
        <v>2770</v>
      </c>
      <c r="F1031" t="s">
        <v>1434</v>
      </c>
    </row>
    <row r="1032" spans="1:6" x14ac:dyDescent="0.25">
      <c r="A1032" t="s">
        <v>2318</v>
      </c>
      <c r="B1032" t="s">
        <v>75</v>
      </c>
      <c r="C1032" t="s">
        <v>75</v>
      </c>
      <c r="D1032" t="s">
        <v>2640</v>
      </c>
      <c r="E1032" t="s">
        <v>2771</v>
      </c>
      <c r="F1032" t="s">
        <v>1424</v>
      </c>
    </row>
    <row r="1033" spans="1:6" x14ac:dyDescent="0.25">
      <c r="A1033" t="s">
        <v>2318</v>
      </c>
      <c r="B1033" t="s">
        <v>75</v>
      </c>
      <c r="C1033" t="s">
        <v>75</v>
      </c>
      <c r="D1033" t="s">
        <v>2640</v>
      </c>
      <c r="E1033" t="s">
        <v>2772</v>
      </c>
      <c r="F1033" t="s">
        <v>1426</v>
      </c>
    </row>
    <row r="1034" spans="1:6" x14ac:dyDescent="0.25">
      <c r="A1034" t="s">
        <v>2318</v>
      </c>
      <c r="B1034" t="s">
        <v>75</v>
      </c>
      <c r="C1034" t="s">
        <v>75</v>
      </c>
      <c r="D1034" t="s">
        <v>1212</v>
      </c>
      <c r="E1034" t="s">
        <v>2757</v>
      </c>
      <c r="F1034" t="s">
        <v>554</v>
      </c>
    </row>
    <row r="1035" spans="1:6" x14ac:dyDescent="0.25">
      <c r="A1035" t="s">
        <v>2318</v>
      </c>
      <c r="B1035" t="s">
        <v>2921</v>
      </c>
      <c r="C1035" t="s">
        <v>2918</v>
      </c>
      <c r="D1035" t="s">
        <v>2639</v>
      </c>
      <c r="E1035" t="s">
        <v>2759</v>
      </c>
      <c r="F1035" t="s">
        <v>687</v>
      </c>
    </row>
    <row r="1036" spans="1:6" x14ac:dyDescent="0.25">
      <c r="A1036" t="s">
        <v>2318</v>
      </c>
      <c r="B1036" t="s">
        <v>2919</v>
      </c>
      <c r="C1036" t="s">
        <v>2919</v>
      </c>
      <c r="D1036" t="s">
        <v>2650</v>
      </c>
      <c r="E1036" t="s">
        <v>2778</v>
      </c>
      <c r="F1036" t="s">
        <v>1423</v>
      </c>
    </row>
    <row r="1037" spans="1:6" x14ac:dyDescent="0.25">
      <c r="A1037" t="s">
        <v>2318</v>
      </c>
      <c r="B1037" t="s">
        <v>2919</v>
      </c>
      <c r="C1037" t="s">
        <v>2919</v>
      </c>
      <c r="D1037" t="s">
        <v>2654</v>
      </c>
      <c r="E1037" t="s">
        <v>2837</v>
      </c>
      <c r="F1037" t="s">
        <v>1438</v>
      </c>
    </row>
    <row r="1038" spans="1:6" x14ac:dyDescent="0.25">
      <c r="A1038" t="s">
        <v>2318</v>
      </c>
      <c r="B1038" t="s">
        <v>2928</v>
      </c>
      <c r="C1038" t="s">
        <v>2916</v>
      </c>
      <c r="D1038" t="s">
        <v>2638</v>
      </c>
      <c r="E1038" t="s">
        <v>2856</v>
      </c>
      <c r="F1038" t="s">
        <v>1422</v>
      </c>
    </row>
    <row r="1039" spans="1:6" x14ac:dyDescent="0.25">
      <c r="A1039" t="s">
        <v>2321</v>
      </c>
      <c r="B1039" t="s">
        <v>2927</v>
      </c>
      <c r="C1039" t="s">
        <v>2914</v>
      </c>
      <c r="D1039" t="s">
        <v>2637</v>
      </c>
      <c r="E1039" t="s">
        <v>2759</v>
      </c>
      <c r="F1039" t="s">
        <v>909</v>
      </c>
    </row>
    <row r="1040" spans="1:6" x14ac:dyDescent="0.25">
      <c r="A1040" t="s">
        <v>2321</v>
      </c>
      <c r="B1040" t="s">
        <v>2927</v>
      </c>
      <c r="C1040" t="s">
        <v>2914</v>
      </c>
      <c r="D1040" t="s">
        <v>2637</v>
      </c>
      <c r="E1040" t="s">
        <v>2770</v>
      </c>
      <c r="F1040" t="s">
        <v>1456</v>
      </c>
    </row>
    <row r="1041" spans="1:6" x14ac:dyDescent="0.25">
      <c r="A1041" t="s">
        <v>2321</v>
      </c>
      <c r="B1041" t="s">
        <v>2927</v>
      </c>
      <c r="C1041" t="s">
        <v>2924</v>
      </c>
      <c r="D1041" t="s">
        <v>630</v>
      </c>
      <c r="E1041" t="s">
        <v>2756</v>
      </c>
      <c r="F1041" t="s">
        <v>1454</v>
      </c>
    </row>
    <row r="1042" spans="1:6" x14ac:dyDescent="0.25">
      <c r="A1042" t="s">
        <v>2321</v>
      </c>
      <c r="B1042" t="s">
        <v>75</v>
      </c>
      <c r="C1042" t="s">
        <v>75</v>
      </c>
      <c r="D1042" t="s">
        <v>2640</v>
      </c>
      <c r="E1042" t="s">
        <v>2810</v>
      </c>
      <c r="F1042" t="s">
        <v>1449</v>
      </c>
    </row>
    <row r="1043" spans="1:6" x14ac:dyDescent="0.25">
      <c r="A1043" t="s">
        <v>2321</v>
      </c>
      <c r="B1043" t="s">
        <v>75</v>
      </c>
      <c r="C1043" t="s">
        <v>75</v>
      </c>
      <c r="D1043" t="s">
        <v>2646</v>
      </c>
      <c r="E1043" t="s">
        <v>2776</v>
      </c>
      <c r="F1043" t="s">
        <v>964</v>
      </c>
    </row>
    <row r="1044" spans="1:6" x14ac:dyDescent="0.25">
      <c r="A1044" t="s">
        <v>2321</v>
      </c>
      <c r="B1044" t="s">
        <v>2921</v>
      </c>
      <c r="C1044" t="s">
        <v>2920</v>
      </c>
      <c r="D1044" t="s">
        <v>2667</v>
      </c>
      <c r="E1044" t="s">
        <v>2769</v>
      </c>
      <c r="F1044" t="s">
        <v>1368</v>
      </c>
    </row>
    <row r="1045" spans="1:6" x14ac:dyDescent="0.25">
      <c r="A1045" t="s">
        <v>2321</v>
      </c>
      <c r="B1045" t="s">
        <v>2921</v>
      </c>
      <c r="C1045" t="s">
        <v>2921</v>
      </c>
      <c r="D1045" t="s">
        <v>2670</v>
      </c>
      <c r="E1045" t="s">
        <v>2752</v>
      </c>
      <c r="F1045" t="s">
        <v>1450</v>
      </c>
    </row>
    <row r="1046" spans="1:6" x14ac:dyDescent="0.25">
      <c r="A1046" t="s">
        <v>2321</v>
      </c>
      <c r="B1046" t="s">
        <v>2919</v>
      </c>
      <c r="C1046" t="s">
        <v>2919</v>
      </c>
      <c r="D1046" t="s">
        <v>2680</v>
      </c>
      <c r="E1046" t="s">
        <v>2800</v>
      </c>
      <c r="F1046" t="s">
        <v>1453</v>
      </c>
    </row>
    <row r="1047" spans="1:6" x14ac:dyDescent="0.25">
      <c r="A1047" t="s">
        <v>2321</v>
      </c>
      <c r="B1047" t="s">
        <v>2919</v>
      </c>
      <c r="C1047" t="s">
        <v>2919</v>
      </c>
      <c r="D1047" t="s">
        <v>2654</v>
      </c>
      <c r="E1047" t="s">
        <v>2818</v>
      </c>
      <c r="F1047" t="s">
        <v>1455</v>
      </c>
    </row>
    <row r="1048" spans="1:6" x14ac:dyDescent="0.25">
      <c r="A1048" t="s">
        <v>2321</v>
      </c>
      <c r="B1048" t="s">
        <v>2928</v>
      </c>
      <c r="C1048" t="s">
        <v>2916</v>
      </c>
      <c r="D1048" t="s">
        <v>2641</v>
      </c>
      <c r="E1048" t="s">
        <v>2788</v>
      </c>
      <c r="F1048" t="s">
        <v>1448</v>
      </c>
    </row>
    <row r="1049" spans="1:6" x14ac:dyDescent="0.25">
      <c r="A1049" t="s">
        <v>2321</v>
      </c>
      <c r="B1049" t="s">
        <v>2928</v>
      </c>
      <c r="C1049" t="s">
        <v>2916</v>
      </c>
      <c r="D1049" t="s">
        <v>2641</v>
      </c>
      <c r="E1049" t="s">
        <v>2782</v>
      </c>
      <c r="F1049" t="s">
        <v>1445</v>
      </c>
    </row>
    <row r="1050" spans="1:6" x14ac:dyDescent="0.25">
      <c r="A1050" t="s">
        <v>2321</v>
      </c>
      <c r="B1050" t="s">
        <v>2928</v>
      </c>
      <c r="C1050" t="s">
        <v>2916</v>
      </c>
      <c r="D1050" t="s">
        <v>2642</v>
      </c>
      <c r="E1050" t="s">
        <v>2782</v>
      </c>
      <c r="F1050" t="s">
        <v>1441</v>
      </c>
    </row>
    <row r="1051" spans="1:6" x14ac:dyDescent="0.25">
      <c r="A1051" t="s">
        <v>2321</v>
      </c>
      <c r="B1051" t="s">
        <v>2928</v>
      </c>
      <c r="C1051" t="s">
        <v>2916</v>
      </c>
      <c r="D1051" t="s">
        <v>2642</v>
      </c>
      <c r="E1051" t="s">
        <v>2755</v>
      </c>
      <c r="F1051" t="s">
        <v>1444</v>
      </c>
    </row>
    <row r="1052" spans="1:6" x14ac:dyDescent="0.25">
      <c r="A1052" t="s">
        <v>2324</v>
      </c>
      <c r="B1052" t="s">
        <v>2927</v>
      </c>
      <c r="C1052" t="s">
        <v>2914</v>
      </c>
      <c r="D1052" t="s">
        <v>2637</v>
      </c>
      <c r="E1052" t="s">
        <v>2753</v>
      </c>
      <c r="F1052" t="s">
        <v>1459</v>
      </c>
    </row>
    <row r="1053" spans="1:6" x14ac:dyDescent="0.25">
      <c r="A1053" t="s">
        <v>2324</v>
      </c>
      <c r="B1053" t="s">
        <v>2927</v>
      </c>
      <c r="C1053" t="s">
        <v>2914</v>
      </c>
      <c r="D1053" t="s">
        <v>2637</v>
      </c>
      <c r="E1053" t="s">
        <v>2776</v>
      </c>
      <c r="F1053" t="s">
        <v>995</v>
      </c>
    </row>
    <row r="1054" spans="1:6" x14ac:dyDescent="0.25">
      <c r="A1054" t="s">
        <v>2324</v>
      </c>
      <c r="B1054" t="s">
        <v>75</v>
      </c>
      <c r="C1054" t="s">
        <v>75</v>
      </c>
      <c r="D1054" t="s">
        <v>2640</v>
      </c>
      <c r="E1054" t="s">
        <v>2776</v>
      </c>
      <c r="F1054" t="s">
        <v>932</v>
      </c>
    </row>
    <row r="1055" spans="1:6" x14ac:dyDescent="0.25">
      <c r="A1055" t="s">
        <v>2324</v>
      </c>
      <c r="B1055" t="s">
        <v>75</v>
      </c>
      <c r="C1055" t="s">
        <v>75</v>
      </c>
      <c r="D1055" t="s">
        <v>2646</v>
      </c>
      <c r="E1055" t="s">
        <v>2770</v>
      </c>
      <c r="F1055" t="s">
        <v>1054</v>
      </c>
    </row>
    <row r="1056" spans="1:6" x14ac:dyDescent="0.25">
      <c r="A1056" t="s">
        <v>2324</v>
      </c>
      <c r="B1056" t="s">
        <v>2921</v>
      </c>
      <c r="C1056" t="s">
        <v>2920</v>
      </c>
      <c r="D1056" t="s">
        <v>2667</v>
      </c>
      <c r="E1056" t="s">
        <v>2788</v>
      </c>
      <c r="F1056" t="s">
        <v>1068</v>
      </c>
    </row>
    <row r="1057" spans="1:6" x14ac:dyDescent="0.25">
      <c r="A1057" t="s">
        <v>2324</v>
      </c>
      <c r="B1057" t="s">
        <v>2921</v>
      </c>
      <c r="C1057" t="s">
        <v>2921</v>
      </c>
      <c r="D1057" t="s">
        <v>2644</v>
      </c>
      <c r="E1057" t="s">
        <v>2844</v>
      </c>
      <c r="F1057" t="s">
        <v>1463</v>
      </c>
    </row>
    <row r="1058" spans="1:6" x14ac:dyDescent="0.25">
      <c r="A1058" t="s">
        <v>2324</v>
      </c>
      <c r="B1058" t="s">
        <v>2919</v>
      </c>
      <c r="C1058" t="s">
        <v>2919</v>
      </c>
      <c r="D1058" t="s">
        <v>2680</v>
      </c>
      <c r="E1058" t="s">
        <v>2756</v>
      </c>
      <c r="F1058" t="s">
        <v>1460</v>
      </c>
    </row>
    <row r="1059" spans="1:6" x14ac:dyDescent="0.25">
      <c r="A1059" t="s">
        <v>2324</v>
      </c>
      <c r="B1059" t="s">
        <v>2919</v>
      </c>
      <c r="C1059" t="s">
        <v>2919</v>
      </c>
      <c r="D1059" t="s">
        <v>2673</v>
      </c>
      <c r="E1059" t="s">
        <v>2765</v>
      </c>
      <c r="F1059" t="s">
        <v>1462</v>
      </c>
    </row>
    <row r="1060" spans="1:6" x14ac:dyDescent="0.25">
      <c r="A1060" t="s">
        <v>2324</v>
      </c>
      <c r="B1060" t="s">
        <v>2919</v>
      </c>
      <c r="C1060" t="s">
        <v>2919</v>
      </c>
      <c r="D1060" t="s">
        <v>2654</v>
      </c>
      <c r="E1060" t="s">
        <v>2795</v>
      </c>
      <c r="F1060" t="s">
        <v>1461</v>
      </c>
    </row>
    <row r="1061" spans="1:6" x14ac:dyDescent="0.25">
      <c r="A1061" t="s">
        <v>2324</v>
      </c>
      <c r="B1061" t="s">
        <v>2928</v>
      </c>
      <c r="C1061" t="s">
        <v>2916</v>
      </c>
      <c r="D1061" t="s">
        <v>2641</v>
      </c>
      <c r="E1061" t="s">
        <v>2779</v>
      </c>
      <c r="F1061" t="s">
        <v>1457</v>
      </c>
    </row>
    <row r="1062" spans="1:6" x14ac:dyDescent="0.25">
      <c r="A1062" t="s">
        <v>2324</v>
      </c>
      <c r="B1062" t="s">
        <v>2928</v>
      </c>
      <c r="C1062" t="s">
        <v>2916</v>
      </c>
      <c r="D1062" t="s">
        <v>2641</v>
      </c>
      <c r="E1062" t="s">
        <v>2769</v>
      </c>
      <c r="F1062" t="s">
        <v>1458</v>
      </c>
    </row>
    <row r="1063" spans="1:6" x14ac:dyDescent="0.25">
      <c r="A1063" t="s">
        <v>2324</v>
      </c>
      <c r="B1063" t="s">
        <v>2928</v>
      </c>
      <c r="C1063" t="s">
        <v>2916</v>
      </c>
      <c r="D1063" t="s">
        <v>2642</v>
      </c>
      <c r="E1063" t="s">
        <v>2829</v>
      </c>
      <c r="F1063" t="s">
        <v>1014</v>
      </c>
    </row>
    <row r="1064" spans="1:6" x14ac:dyDescent="0.25">
      <c r="A1064" t="s">
        <v>2327</v>
      </c>
      <c r="B1064" t="s">
        <v>2927</v>
      </c>
      <c r="C1064" t="s">
        <v>2914</v>
      </c>
      <c r="D1064" t="s">
        <v>2637</v>
      </c>
      <c r="E1064" t="s">
        <v>2787</v>
      </c>
      <c r="F1064" t="s">
        <v>991</v>
      </c>
    </row>
    <row r="1065" spans="1:6" x14ac:dyDescent="0.25">
      <c r="A1065" t="s">
        <v>2327</v>
      </c>
      <c r="B1065" t="s">
        <v>2927</v>
      </c>
      <c r="C1065" t="s">
        <v>2914</v>
      </c>
      <c r="D1065" t="s">
        <v>2637</v>
      </c>
      <c r="E1065" t="s">
        <v>2844</v>
      </c>
      <c r="F1065" t="s">
        <v>1470</v>
      </c>
    </row>
    <row r="1066" spans="1:6" x14ac:dyDescent="0.25">
      <c r="A1066" t="s">
        <v>2327</v>
      </c>
      <c r="B1066" t="s">
        <v>2927</v>
      </c>
      <c r="C1066" t="s">
        <v>2917</v>
      </c>
      <c r="D1066" t="s">
        <v>325</v>
      </c>
      <c r="E1066" t="s">
        <v>2768</v>
      </c>
      <c r="F1066" t="s">
        <v>1476</v>
      </c>
    </row>
    <row r="1067" spans="1:6" x14ac:dyDescent="0.25">
      <c r="A1067" t="s">
        <v>2327</v>
      </c>
      <c r="B1067" t="s">
        <v>2921</v>
      </c>
      <c r="C1067" t="s">
        <v>2918</v>
      </c>
      <c r="D1067" t="s">
        <v>2639</v>
      </c>
      <c r="E1067" t="s">
        <v>2821</v>
      </c>
      <c r="F1067" t="s">
        <v>1466</v>
      </c>
    </row>
    <row r="1068" spans="1:6" x14ac:dyDescent="0.25">
      <c r="A1068" t="s">
        <v>2327</v>
      </c>
      <c r="B1068" t="s">
        <v>2921</v>
      </c>
      <c r="C1068" t="s">
        <v>2677</v>
      </c>
      <c r="D1068" t="s">
        <v>2677</v>
      </c>
      <c r="E1068" t="s">
        <v>2786</v>
      </c>
      <c r="F1068" t="s">
        <v>1467</v>
      </c>
    </row>
    <row r="1069" spans="1:6" x14ac:dyDescent="0.25">
      <c r="A1069" t="s">
        <v>2327</v>
      </c>
      <c r="B1069" t="s">
        <v>2919</v>
      </c>
      <c r="C1069" t="s">
        <v>2919</v>
      </c>
      <c r="D1069" t="s">
        <v>2681</v>
      </c>
      <c r="E1069" t="s">
        <v>2779</v>
      </c>
      <c r="F1069" t="s">
        <v>1473</v>
      </c>
    </row>
    <row r="1070" spans="1:6" x14ac:dyDescent="0.25">
      <c r="A1070" t="s">
        <v>2327</v>
      </c>
      <c r="B1070" t="s">
        <v>2928</v>
      </c>
      <c r="C1070" t="s">
        <v>2916</v>
      </c>
      <c r="D1070" t="s">
        <v>2641</v>
      </c>
      <c r="E1070" t="s">
        <v>2769</v>
      </c>
      <c r="F1070" t="s">
        <v>1458</v>
      </c>
    </row>
    <row r="1071" spans="1:6" x14ac:dyDescent="0.25">
      <c r="A1071" t="s">
        <v>2327</v>
      </c>
      <c r="B1071" t="s">
        <v>2928</v>
      </c>
      <c r="C1071" t="s">
        <v>2916</v>
      </c>
      <c r="D1071" t="s">
        <v>2638</v>
      </c>
      <c r="E1071" t="s">
        <v>2774</v>
      </c>
      <c r="F1071" t="s">
        <v>334</v>
      </c>
    </row>
    <row r="1072" spans="1:6" x14ac:dyDescent="0.25">
      <c r="A1072" t="s">
        <v>2327</v>
      </c>
      <c r="B1072" t="s">
        <v>2928</v>
      </c>
      <c r="C1072" t="s">
        <v>2916</v>
      </c>
      <c r="D1072" t="s">
        <v>2638</v>
      </c>
      <c r="E1072" t="s">
        <v>2782</v>
      </c>
      <c r="F1072" t="s">
        <v>1478</v>
      </c>
    </row>
    <row r="1073" spans="1:6" x14ac:dyDescent="0.25">
      <c r="A1073" t="s">
        <v>2330</v>
      </c>
      <c r="B1073" t="s">
        <v>2927</v>
      </c>
      <c r="C1073" t="s">
        <v>2914</v>
      </c>
      <c r="D1073" t="s">
        <v>2637</v>
      </c>
      <c r="E1073" t="s">
        <v>2858</v>
      </c>
      <c r="F1073" t="s">
        <v>1486</v>
      </c>
    </row>
    <row r="1074" spans="1:6" x14ac:dyDescent="0.25">
      <c r="A1074" t="s">
        <v>2330</v>
      </c>
      <c r="B1074" t="s">
        <v>75</v>
      </c>
      <c r="C1074" t="s">
        <v>75</v>
      </c>
      <c r="D1074" t="s">
        <v>1212</v>
      </c>
      <c r="E1074" t="s">
        <v>2776</v>
      </c>
      <c r="F1074" t="s">
        <v>1483</v>
      </c>
    </row>
    <row r="1075" spans="1:6" x14ac:dyDescent="0.25">
      <c r="A1075" t="s">
        <v>2330</v>
      </c>
      <c r="B1075" t="s">
        <v>2921</v>
      </c>
      <c r="C1075" t="s">
        <v>2918</v>
      </c>
      <c r="D1075" t="s">
        <v>2639</v>
      </c>
      <c r="E1075" t="s">
        <v>2801</v>
      </c>
      <c r="F1075" t="s">
        <v>1481</v>
      </c>
    </row>
    <row r="1076" spans="1:6" x14ac:dyDescent="0.25">
      <c r="A1076" t="s">
        <v>2330</v>
      </c>
      <c r="B1076" t="s">
        <v>2921</v>
      </c>
      <c r="C1076" t="s">
        <v>2921</v>
      </c>
      <c r="D1076" t="s">
        <v>2644</v>
      </c>
      <c r="E1076" t="s">
        <v>2770</v>
      </c>
      <c r="F1076" t="s">
        <v>1485</v>
      </c>
    </row>
    <row r="1077" spans="1:6" x14ac:dyDescent="0.25">
      <c r="A1077" t="s">
        <v>2330</v>
      </c>
      <c r="B1077" t="s">
        <v>2921</v>
      </c>
      <c r="C1077" t="s">
        <v>2921</v>
      </c>
      <c r="D1077" t="s">
        <v>2670</v>
      </c>
      <c r="E1077" t="s">
        <v>2769</v>
      </c>
      <c r="F1077" t="s">
        <v>1484</v>
      </c>
    </row>
    <row r="1078" spans="1:6" x14ac:dyDescent="0.25">
      <c r="A1078" t="s">
        <v>2330</v>
      </c>
      <c r="B1078" t="s">
        <v>2928</v>
      </c>
      <c r="C1078" t="s">
        <v>2916</v>
      </c>
      <c r="D1078" t="s">
        <v>2641</v>
      </c>
      <c r="E1078" t="s">
        <v>2778</v>
      </c>
      <c r="F1078" t="s">
        <v>1364</v>
      </c>
    </row>
    <row r="1079" spans="1:6" x14ac:dyDescent="0.25">
      <c r="A1079" t="s">
        <v>2330</v>
      </c>
      <c r="B1079" t="s">
        <v>2928</v>
      </c>
      <c r="C1079" t="s">
        <v>2916</v>
      </c>
      <c r="D1079" t="s">
        <v>2641</v>
      </c>
      <c r="E1079" t="s">
        <v>2843</v>
      </c>
      <c r="F1079" t="s">
        <v>1482</v>
      </c>
    </row>
    <row r="1080" spans="1:6" x14ac:dyDescent="0.25">
      <c r="A1080" t="s">
        <v>2333</v>
      </c>
      <c r="B1080" t="s">
        <v>2927</v>
      </c>
      <c r="C1080" t="s">
        <v>2914</v>
      </c>
      <c r="D1080" t="s">
        <v>2637</v>
      </c>
      <c r="E1080" t="s">
        <v>2759</v>
      </c>
      <c r="F1080" t="s">
        <v>909</v>
      </c>
    </row>
    <row r="1081" spans="1:6" x14ac:dyDescent="0.25">
      <c r="A1081" t="s">
        <v>2333</v>
      </c>
      <c r="B1081" t="s">
        <v>2927</v>
      </c>
      <c r="C1081" t="s">
        <v>2914</v>
      </c>
      <c r="D1081" t="s">
        <v>2637</v>
      </c>
      <c r="E1081" t="s">
        <v>2801</v>
      </c>
      <c r="F1081" t="s">
        <v>1498</v>
      </c>
    </row>
    <row r="1082" spans="1:6" x14ac:dyDescent="0.25">
      <c r="A1082" t="s">
        <v>2333</v>
      </c>
      <c r="B1082" t="s">
        <v>75</v>
      </c>
      <c r="C1082" t="s">
        <v>75</v>
      </c>
      <c r="D1082" t="s">
        <v>1212</v>
      </c>
      <c r="E1082" t="s">
        <v>2844</v>
      </c>
      <c r="F1082" t="s">
        <v>1496</v>
      </c>
    </row>
    <row r="1083" spans="1:6" x14ac:dyDescent="0.25">
      <c r="A1083" t="s">
        <v>2333</v>
      </c>
      <c r="B1083" t="s">
        <v>2921</v>
      </c>
      <c r="C1083" t="s">
        <v>2921</v>
      </c>
      <c r="D1083" t="s">
        <v>2670</v>
      </c>
      <c r="E1083" t="s">
        <v>2774</v>
      </c>
      <c r="F1083" t="s">
        <v>1497</v>
      </c>
    </row>
    <row r="1084" spans="1:6" x14ac:dyDescent="0.25">
      <c r="A1084" t="s">
        <v>2333</v>
      </c>
      <c r="B1084" t="s">
        <v>2919</v>
      </c>
      <c r="C1084" t="s">
        <v>2919</v>
      </c>
      <c r="D1084" t="s">
        <v>2681</v>
      </c>
      <c r="E1084" t="s">
        <v>2769</v>
      </c>
      <c r="F1084" t="s">
        <v>1499</v>
      </c>
    </row>
    <row r="1085" spans="1:6" x14ac:dyDescent="0.25">
      <c r="A1085" t="s">
        <v>2333</v>
      </c>
      <c r="B1085" t="s">
        <v>2919</v>
      </c>
      <c r="C1085" t="s">
        <v>2919</v>
      </c>
      <c r="D1085" t="s">
        <v>2650</v>
      </c>
      <c r="E1085" t="s">
        <v>2779</v>
      </c>
      <c r="F1085" t="s">
        <v>1488</v>
      </c>
    </row>
    <row r="1086" spans="1:6" x14ac:dyDescent="0.25">
      <c r="A1086" t="s">
        <v>2333</v>
      </c>
      <c r="B1086" t="s">
        <v>2928</v>
      </c>
      <c r="C1086" t="s">
        <v>2916</v>
      </c>
      <c r="D1086" t="s">
        <v>2641</v>
      </c>
      <c r="E1086" t="s">
        <v>2779</v>
      </c>
      <c r="F1086" t="s">
        <v>1489</v>
      </c>
    </row>
    <row r="1087" spans="1:6" x14ac:dyDescent="0.25">
      <c r="A1087" t="s">
        <v>2333</v>
      </c>
      <c r="B1087" t="s">
        <v>2928</v>
      </c>
      <c r="C1087" t="s">
        <v>2916</v>
      </c>
      <c r="D1087" t="s">
        <v>2641</v>
      </c>
      <c r="E1087" t="s">
        <v>2791</v>
      </c>
      <c r="F1087" t="s">
        <v>1493</v>
      </c>
    </row>
    <row r="1088" spans="1:6" x14ac:dyDescent="0.25">
      <c r="A1088" t="s">
        <v>2336</v>
      </c>
      <c r="B1088" t="s">
        <v>2935</v>
      </c>
      <c r="C1088" t="s">
        <v>2935</v>
      </c>
      <c r="D1088" t="s">
        <v>247</v>
      </c>
      <c r="E1088" t="s">
        <v>2153</v>
      </c>
      <c r="F1088" t="s">
        <v>247</v>
      </c>
    </row>
    <row r="1089" spans="1:6" x14ac:dyDescent="0.25">
      <c r="A1089" t="s">
        <v>2339</v>
      </c>
      <c r="B1089" t="s">
        <v>2927</v>
      </c>
      <c r="C1089" t="s">
        <v>2914</v>
      </c>
      <c r="D1089" t="s">
        <v>2637</v>
      </c>
      <c r="E1089" t="s">
        <v>2801</v>
      </c>
      <c r="F1089" t="s">
        <v>1505</v>
      </c>
    </row>
    <row r="1090" spans="1:6" x14ac:dyDescent="0.25">
      <c r="A1090" t="s">
        <v>2339</v>
      </c>
      <c r="B1090" t="s">
        <v>75</v>
      </c>
      <c r="C1090" t="s">
        <v>75</v>
      </c>
      <c r="D1090" t="s">
        <v>2640</v>
      </c>
      <c r="E1090" t="s">
        <v>2770</v>
      </c>
      <c r="F1090" t="s">
        <v>1503</v>
      </c>
    </row>
    <row r="1091" spans="1:6" x14ac:dyDescent="0.25">
      <c r="A1091" t="s">
        <v>2339</v>
      </c>
      <c r="B1091" t="s">
        <v>75</v>
      </c>
      <c r="C1091" t="s">
        <v>75</v>
      </c>
      <c r="D1091" t="s">
        <v>2640</v>
      </c>
      <c r="E1091" t="s">
        <v>2770</v>
      </c>
      <c r="F1091" t="s">
        <v>1504</v>
      </c>
    </row>
    <row r="1092" spans="1:6" x14ac:dyDescent="0.25">
      <c r="A1092" t="s">
        <v>2339</v>
      </c>
      <c r="B1092" t="s">
        <v>2921</v>
      </c>
      <c r="C1092" t="s">
        <v>2921</v>
      </c>
      <c r="D1092" t="s">
        <v>2644</v>
      </c>
      <c r="E1092" t="s">
        <v>2794</v>
      </c>
      <c r="F1092" t="s">
        <v>1507</v>
      </c>
    </row>
    <row r="1093" spans="1:6" x14ac:dyDescent="0.25">
      <c r="A1093" t="s">
        <v>2339</v>
      </c>
      <c r="B1093" t="s">
        <v>2919</v>
      </c>
      <c r="C1093" t="s">
        <v>2919</v>
      </c>
      <c r="D1093" t="s">
        <v>2654</v>
      </c>
      <c r="E1093" t="s">
        <v>2769</v>
      </c>
      <c r="F1093" t="s">
        <v>1506</v>
      </c>
    </row>
    <row r="1094" spans="1:6" x14ac:dyDescent="0.25">
      <c r="A1094" t="s">
        <v>2339</v>
      </c>
      <c r="B1094" t="s">
        <v>2928</v>
      </c>
      <c r="C1094" t="s">
        <v>2916</v>
      </c>
      <c r="D1094" t="s">
        <v>2656</v>
      </c>
      <c r="E1094" t="s">
        <v>2755</v>
      </c>
      <c r="F1094" t="s">
        <v>1502</v>
      </c>
    </row>
    <row r="1095" spans="1:6" x14ac:dyDescent="0.25">
      <c r="A1095" t="s">
        <v>2339</v>
      </c>
      <c r="B1095" t="s">
        <v>2928</v>
      </c>
      <c r="C1095" t="s">
        <v>2916</v>
      </c>
      <c r="D1095" t="s">
        <v>2638</v>
      </c>
      <c r="E1095" t="s">
        <v>2778</v>
      </c>
      <c r="F1095" t="s">
        <v>1185</v>
      </c>
    </row>
    <row r="1096" spans="1:6" x14ac:dyDescent="0.25">
      <c r="A1096" t="s">
        <v>2342</v>
      </c>
      <c r="B1096" t="s">
        <v>2927</v>
      </c>
      <c r="C1096" t="s">
        <v>2914</v>
      </c>
      <c r="D1096" t="s">
        <v>2637</v>
      </c>
      <c r="E1096" t="s">
        <v>2822</v>
      </c>
      <c r="F1096" t="s">
        <v>1513</v>
      </c>
    </row>
    <row r="1097" spans="1:6" x14ac:dyDescent="0.25">
      <c r="A1097" t="s">
        <v>2342</v>
      </c>
      <c r="B1097" t="s">
        <v>2927</v>
      </c>
      <c r="C1097" t="s">
        <v>2914</v>
      </c>
      <c r="D1097" t="s">
        <v>2637</v>
      </c>
      <c r="E1097" t="s">
        <v>2768</v>
      </c>
      <c r="F1097" t="s">
        <v>1510</v>
      </c>
    </row>
    <row r="1098" spans="1:6" x14ac:dyDescent="0.25">
      <c r="A1098" t="s">
        <v>2342</v>
      </c>
      <c r="B1098" t="s">
        <v>75</v>
      </c>
      <c r="C1098" t="s">
        <v>75</v>
      </c>
      <c r="D1098" t="s">
        <v>2640</v>
      </c>
      <c r="E1098" t="s">
        <v>2793</v>
      </c>
      <c r="F1098" t="s">
        <v>1509</v>
      </c>
    </row>
    <row r="1099" spans="1:6" x14ac:dyDescent="0.25">
      <c r="A1099" t="s">
        <v>2342</v>
      </c>
      <c r="B1099" t="s">
        <v>2921</v>
      </c>
      <c r="C1099" t="s">
        <v>27</v>
      </c>
      <c r="D1099" t="s">
        <v>2930</v>
      </c>
      <c r="E1099" t="s">
        <v>2775</v>
      </c>
      <c r="F1099" t="s">
        <v>461</v>
      </c>
    </row>
    <row r="1100" spans="1:6" x14ac:dyDescent="0.25">
      <c r="A1100" t="s">
        <v>2342</v>
      </c>
      <c r="B1100" t="s">
        <v>2921</v>
      </c>
      <c r="C1100" t="s">
        <v>2921</v>
      </c>
      <c r="D1100" t="s">
        <v>2644</v>
      </c>
      <c r="E1100" t="s">
        <v>2776</v>
      </c>
      <c r="F1100" t="s">
        <v>1514</v>
      </c>
    </row>
    <row r="1101" spans="1:6" x14ac:dyDescent="0.25">
      <c r="A1101" t="s">
        <v>2342</v>
      </c>
      <c r="B1101" t="s">
        <v>2919</v>
      </c>
      <c r="C1101" t="s">
        <v>2919</v>
      </c>
      <c r="D1101" t="s">
        <v>2654</v>
      </c>
      <c r="E1101" t="s">
        <v>2791</v>
      </c>
      <c r="F1101" t="s">
        <v>834</v>
      </c>
    </row>
    <row r="1102" spans="1:6" x14ac:dyDescent="0.25">
      <c r="A1102" t="s">
        <v>2342</v>
      </c>
      <c r="B1102" t="s">
        <v>2928</v>
      </c>
      <c r="C1102" t="s">
        <v>2916</v>
      </c>
      <c r="D1102" t="s">
        <v>2638</v>
      </c>
      <c r="E1102" t="s">
        <v>2782</v>
      </c>
      <c r="F1102" t="s">
        <v>1508</v>
      </c>
    </row>
    <row r="1103" spans="1:6" x14ac:dyDescent="0.25">
      <c r="A1103" t="s">
        <v>2345</v>
      </c>
      <c r="B1103" t="s">
        <v>75</v>
      </c>
      <c r="C1103" t="s">
        <v>75</v>
      </c>
      <c r="D1103" t="s">
        <v>2640</v>
      </c>
      <c r="E1103" t="s">
        <v>2793</v>
      </c>
      <c r="F1103" t="s">
        <v>770</v>
      </c>
    </row>
    <row r="1104" spans="1:6" x14ac:dyDescent="0.25">
      <c r="A1104" t="s">
        <v>2345</v>
      </c>
      <c r="B1104" t="s">
        <v>75</v>
      </c>
      <c r="C1104" t="s">
        <v>75</v>
      </c>
      <c r="D1104" t="s">
        <v>2640</v>
      </c>
      <c r="E1104" t="s">
        <v>2793</v>
      </c>
      <c r="F1104" t="s">
        <v>1509</v>
      </c>
    </row>
    <row r="1105" spans="1:6" x14ac:dyDescent="0.25">
      <c r="A1105" t="s">
        <v>2345</v>
      </c>
      <c r="B1105" t="s">
        <v>2921</v>
      </c>
      <c r="C1105" t="s">
        <v>2918</v>
      </c>
      <c r="D1105" t="s">
        <v>2639</v>
      </c>
      <c r="E1105" t="s">
        <v>2770</v>
      </c>
      <c r="F1105" t="s">
        <v>329</v>
      </c>
    </row>
    <row r="1106" spans="1:6" x14ac:dyDescent="0.25">
      <c r="A1106" t="s">
        <v>2345</v>
      </c>
      <c r="B1106" t="s">
        <v>2921</v>
      </c>
      <c r="C1106" t="s">
        <v>2921</v>
      </c>
      <c r="D1106" t="s">
        <v>2644</v>
      </c>
      <c r="E1106" t="s">
        <v>2768</v>
      </c>
      <c r="F1106" t="s">
        <v>1518</v>
      </c>
    </row>
    <row r="1107" spans="1:6" x14ac:dyDescent="0.25">
      <c r="A1107" t="s">
        <v>2345</v>
      </c>
      <c r="B1107" t="s">
        <v>2919</v>
      </c>
      <c r="C1107" t="s">
        <v>2919</v>
      </c>
      <c r="D1107" t="s">
        <v>2648</v>
      </c>
      <c r="E1107" t="s">
        <v>2797</v>
      </c>
      <c r="F1107" t="s">
        <v>1517</v>
      </c>
    </row>
    <row r="1108" spans="1:6" x14ac:dyDescent="0.25">
      <c r="A1108" t="s">
        <v>2345</v>
      </c>
      <c r="B1108" t="s">
        <v>2919</v>
      </c>
      <c r="C1108" t="s">
        <v>2919</v>
      </c>
      <c r="D1108" t="s">
        <v>2654</v>
      </c>
      <c r="E1108" t="s">
        <v>2765</v>
      </c>
      <c r="F1108" t="s">
        <v>661</v>
      </c>
    </row>
    <row r="1109" spans="1:6" x14ac:dyDescent="0.25">
      <c r="A1109" t="s">
        <v>2345</v>
      </c>
      <c r="B1109" t="s">
        <v>2928</v>
      </c>
      <c r="C1109" t="s">
        <v>2916</v>
      </c>
      <c r="D1109" t="s">
        <v>2656</v>
      </c>
      <c r="E1109" t="s">
        <v>2756</v>
      </c>
      <c r="F1109" t="s">
        <v>385</v>
      </c>
    </row>
    <row r="1110" spans="1:6" x14ac:dyDescent="0.25">
      <c r="A1110" t="s">
        <v>2345</v>
      </c>
      <c r="B1110" t="s">
        <v>2928</v>
      </c>
      <c r="C1110" t="s">
        <v>2916</v>
      </c>
      <c r="D1110" t="s">
        <v>2656</v>
      </c>
      <c r="E1110" t="s">
        <v>2755</v>
      </c>
      <c r="F1110" t="s">
        <v>1352</v>
      </c>
    </row>
    <row r="1111" spans="1:6" x14ac:dyDescent="0.25">
      <c r="A1111" t="s">
        <v>2345</v>
      </c>
      <c r="B1111" t="s">
        <v>2928</v>
      </c>
      <c r="C1111" t="s">
        <v>2916</v>
      </c>
      <c r="D1111" t="s">
        <v>2638</v>
      </c>
      <c r="E1111" t="s">
        <v>2779</v>
      </c>
      <c r="F1111" t="s">
        <v>1270</v>
      </c>
    </row>
    <row r="1112" spans="1:6" x14ac:dyDescent="0.25">
      <c r="A1112" t="s">
        <v>2348</v>
      </c>
      <c r="B1112" t="s">
        <v>2935</v>
      </c>
      <c r="C1112" t="s">
        <v>2935</v>
      </c>
      <c r="D1112" t="s">
        <v>247</v>
      </c>
      <c r="E1112" t="s">
        <v>2153</v>
      </c>
      <c r="F1112" t="s">
        <v>247</v>
      </c>
    </row>
    <row r="1113" spans="1:6" x14ac:dyDescent="0.25">
      <c r="A1113" t="s">
        <v>2350</v>
      </c>
      <c r="B1113" t="s">
        <v>2927</v>
      </c>
      <c r="C1113" t="s">
        <v>2917</v>
      </c>
      <c r="D1113" t="s">
        <v>2687</v>
      </c>
      <c r="E1113" t="s">
        <v>2776</v>
      </c>
      <c r="F1113" t="s">
        <v>1519</v>
      </c>
    </row>
    <row r="1114" spans="1:6" x14ac:dyDescent="0.25">
      <c r="A1114" t="s">
        <v>2350</v>
      </c>
      <c r="B1114" t="s">
        <v>2927</v>
      </c>
      <c r="C1114" t="s">
        <v>2917</v>
      </c>
      <c r="D1114" t="s">
        <v>2678</v>
      </c>
      <c r="E1114" t="s">
        <v>2776</v>
      </c>
      <c r="F1114" t="s">
        <v>1522</v>
      </c>
    </row>
    <row r="1115" spans="1:6" x14ac:dyDescent="0.25">
      <c r="A1115" t="s">
        <v>2350</v>
      </c>
      <c r="B1115" t="s">
        <v>2919</v>
      </c>
      <c r="C1115" t="s">
        <v>2919</v>
      </c>
      <c r="D1115" t="s">
        <v>2653</v>
      </c>
      <c r="E1115" t="s">
        <v>2786</v>
      </c>
      <c r="F1115" t="s">
        <v>1525</v>
      </c>
    </row>
    <row r="1116" spans="1:6" x14ac:dyDescent="0.25">
      <c r="A1116" t="s">
        <v>2350</v>
      </c>
      <c r="B1116" t="s">
        <v>2919</v>
      </c>
      <c r="C1116" t="s">
        <v>2919</v>
      </c>
      <c r="D1116" t="s">
        <v>2653</v>
      </c>
      <c r="E1116" t="s">
        <v>2843</v>
      </c>
      <c r="F1116" t="s">
        <v>1524</v>
      </c>
    </row>
    <row r="1117" spans="1:6" x14ac:dyDescent="0.25">
      <c r="A1117" t="s">
        <v>2350</v>
      </c>
      <c r="B1117" t="s">
        <v>2919</v>
      </c>
      <c r="C1117" t="s">
        <v>2919</v>
      </c>
      <c r="D1117" t="s">
        <v>2648</v>
      </c>
      <c r="E1117" t="s">
        <v>2766</v>
      </c>
      <c r="F1117" t="s">
        <v>1523</v>
      </c>
    </row>
    <row r="1118" spans="1:6" x14ac:dyDescent="0.25">
      <c r="A1118" t="s">
        <v>2353</v>
      </c>
      <c r="B1118" t="s">
        <v>2927</v>
      </c>
      <c r="C1118" t="s">
        <v>2917</v>
      </c>
      <c r="D1118" t="s">
        <v>2933</v>
      </c>
      <c r="E1118" t="s">
        <v>2776</v>
      </c>
      <c r="F1118" t="s">
        <v>1527</v>
      </c>
    </row>
    <row r="1119" spans="1:6" x14ac:dyDescent="0.25">
      <c r="A1119" t="s">
        <v>2353</v>
      </c>
      <c r="B1119" t="s">
        <v>2927</v>
      </c>
      <c r="C1119" t="s">
        <v>2917</v>
      </c>
      <c r="D1119" t="s">
        <v>2687</v>
      </c>
      <c r="E1119" t="s">
        <v>2768</v>
      </c>
      <c r="F1119" t="s">
        <v>1528</v>
      </c>
    </row>
    <row r="1120" spans="1:6" x14ac:dyDescent="0.25">
      <c r="A1120" t="s">
        <v>2353</v>
      </c>
      <c r="B1120" t="s">
        <v>2927</v>
      </c>
      <c r="C1120" t="s">
        <v>2917</v>
      </c>
      <c r="D1120" t="s">
        <v>2678</v>
      </c>
      <c r="E1120" t="s">
        <v>2768</v>
      </c>
      <c r="F1120" t="s">
        <v>1529</v>
      </c>
    </row>
    <row r="1121" spans="1:6" x14ac:dyDescent="0.25">
      <c r="A1121" t="s">
        <v>2353</v>
      </c>
      <c r="B1121" t="s">
        <v>2927</v>
      </c>
      <c r="C1121" t="s">
        <v>2924</v>
      </c>
      <c r="D1121" t="s">
        <v>750</v>
      </c>
      <c r="E1121" t="s">
        <v>2766</v>
      </c>
      <c r="F1121" t="s">
        <v>1533</v>
      </c>
    </row>
    <row r="1122" spans="1:6" x14ac:dyDescent="0.25">
      <c r="A1122" t="s">
        <v>2353</v>
      </c>
      <c r="B1122" t="s">
        <v>2919</v>
      </c>
      <c r="C1122" t="s">
        <v>2919</v>
      </c>
      <c r="D1122" t="s">
        <v>2653</v>
      </c>
      <c r="E1122" t="s">
        <v>2756</v>
      </c>
      <c r="F1122" t="s">
        <v>1535</v>
      </c>
    </row>
    <row r="1123" spans="1:6" x14ac:dyDescent="0.25">
      <c r="A1123" t="s">
        <v>2353</v>
      </c>
      <c r="B1123" t="s">
        <v>2919</v>
      </c>
      <c r="C1123" t="s">
        <v>2919</v>
      </c>
      <c r="D1123" t="s">
        <v>2653</v>
      </c>
      <c r="E1123" t="s">
        <v>2765</v>
      </c>
      <c r="F1123" t="s">
        <v>1536</v>
      </c>
    </row>
    <row r="1124" spans="1:6" x14ac:dyDescent="0.25">
      <c r="A1124" t="s">
        <v>2353</v>
      </c>
      <c r="B1124" t="s">
        <v>2919</v>
      </c>
      <c r="C1124" t="s">
        <v>2919</v>
      </c>
      <c r="D1124" t="s">
        <v>2648</v>
      </c>
      <c r="E1124" t="s">
        <v>2766</v>
      </c>
      <c r="F1124" t="s">
        <v>1523</v>
      </c>
    </row>
    <row r="1125" spans="1:6" x14ac:dyDescent="0.25">
      <c r="A1125" t="s">
        <v>2356</v>
      </c>
      <c r="B1125" t="s">
        <v>2927</v>
      </c>
      <c r="C1125" t="s">
        <v>2917</v>
      </c>
      <c r="D1125" t="s">
        <v>2933</v>
      </c>
      <c r="E1125" t="s">
        <v>2770</v>
      </c>
      <c r="F1125" t="s">
        <v>1537</v>
      </c>
    </row>
    <row r="1126" spans="1:6" x14ac:dyDescent="0.25">
      <c r="A1126" t="s">
        <v>2356</v>
      </c>
      <c r="B1126" t="s">
        <v>2927</v>
      </c>
      <c r="C1126" t="s">
        <v>2917</v>
      </c>
      <c r="D1126" t="s">
        <v>2687</v>
      </c>
      <c r="E1126" t="s">
        <v>2812</v>
      </c>
      <c r="F1126" t="s">
        <v>1538</v>
      </c>
    </row>
    <row r="1127" spans="1:6" x14ac:dyDescent="0.25">
      <c r="A1127" t="s">
        <v>2356</v>
      </c>
      <c r="B1127" t="s">
        <v>2927</v>
      </c>
      <c r="C1127" t="s">
        <v>2917</v>
      </c>
      <c r="D1127" t="s">
        <v>2678</v>
      </c>
      <c r="E1127" t="s">
        <v>2770</v>
      </c>
      <c r="F1127" t="s">
        <v>1539</v>
      </c>
    </row>
    <row r="1128" spans="1:6" x14ac:dyDescent="0.25">
      <c r="A1128" t="s">
        <v>2356</v>
      </c>
      <c r="B1128" t="s">
        <v>2919</v>
      </c>
      <c r="C1128" t="s">
        <v>2919</v>
      </c>
      <c r="D1128" t="s">
        <v>2653</v>
      </c>
      <c r="E1128" t="s">
        <v>2774</v>
      </c>
      <c r="F1128" t="s">
        <v>1541</v>
      </c>
    </row>
    <row r="1129" spans="1:6" x14ac:dyDescent="0.25">
      <c r="A1129" t="s">
        <v>2356</v>
      </c>
      <c r="B1129" t="s">
        <v>2919</v>
      </c>
      <c r="C1129" t="s">
        <v>2919</v>
      </c>
      <c r="D1129" t="s">
        <v>2653</v>
      </c>
      <c r="E1129" t="s">
        <v>2800</v>
      </c>
      <c r="F1129" t="s">
        <v>1540</v>
      </c>
    </row>
    <row r="1130" spans="1:6" x14ac:dyDescent="0.25">
      <c r="A1130" t="s">
        <v>2356</v>
      </c>
      <c r="B1130" t="s">
        <v>2919</v>
      </c>
      <c r="C1130" t="s">
        <v>2919</v>
      </c>
      <c r="D1130" t="s">
        <v>2648</v>
      </c>
      <c r="E1130" t="s">
        <v>2766</v>
      </c>
      <c r="F1130" t="s">
        <v>1523</v>
      </c>
    </row>
    <row r="1131" spans="1:6" x14ac:dyDescent="0.25">
      <c r="A1131" t="s">
        <v>2359</v>
      </c>
      <c r="B1131" t="s">
        <v>2927</v>
      </c>
      <c r="C1131" t="s">
        <v>2914</v>
      </c>
      <c r="D1131" t="s">
        <v>2637</v>
      </c>
      <c r="E1131" t="s">
        <v>2819</v>
      </c>
      <c r="F1131" t="s">
        <v>1290</v>
      </c>
    </row>
    <row r="1132" spans="1:6" x14ac:dyDescent="0.25">
      <c r="A1132" t="s">
        <v>2359</v>
      </c>
      <c r="B1132" t="s">
        <v>2927</v>
      </c>
      <c r="C1132" t="s">
        <v>2914</v>
      </c>
      <c r="D1132" t="s">
        <v>2637</v>
      </c>
      <c r="E1132" t="s">
        <v>2861</v>
      </c>
      <c r="F1132" t="s">
        <v>1545</v>
      </c>
    </row>
    <row r="1133" spans="1:6" x14ac:dyDescent="0.25">
      <c r="A1133" t="s">
        <v>2359</v>
      </c>
      <c r="B1133" t="s">
        <v>2921</v>
      </c>
      <c r="C1133" t="s">
        <v>2918</v>
      </c>
      <c r="D1133" t="s">
        <v>2639</v>
      </c>
      <c r="E1133" t="s">
        <v>2860</v>
      </c>
      <c r="F1133" t="s">
        <v>1543</v>
      </c>
    </row>
    <row r="1134" spans="1:6" x14ac:dyDescent="0.25">
      <c r="A1134" t="s">
        <v>2359</v>
      </c>
      <c r="B1134" t="s">
        <v>2921</v>
      </c>
      <c r="C1134" t="s">
        <v>27</v>
      </c>
      <c r="D1134" t="s">
        <v>2930</v>
      </c>
      <c r="E1134" t="s">
        <v>2810</v>
      </c>
      <c r="F1134" t="s">
        <v>893</v>
      </c>
    </row>
    <row r="1135" spans="1:6" x14ac:dyDescent="0.25">
      <c r="A1135" t="s">
        <v>2359</v>
      </c>
      <c r="B1135" t="s">
        <v>2921</v>
      </c>
      <c r="C1135" t="s">
        <v>2920</v>
      </c>
      <c r="D1135" t="s">
        <v>2643</v>
      </c>
      <c r="E1135" t="s">
        <v>2859</v>
      </c>
      <c r="F1135" t="s">
        <v>1542</v>
      </c>
    </row>
    <row r="1136" spans="1:6" x14ac:dyDescent="0.25">
      <c r="A1136" t="s">
        <v>2359</v>
      </c>
      <c r="B1136" t="s">
        <v>2919</v>
      </c>
      <c r="C1136" t="s">
        <v>2919</v>
      </c>
      <c r="D1136" t="s">
        <v>2676</v>
      </c>
      <c r="E1136" t="s">
        <v>2813</v>
      </c>
      <c r="F1136" t="s">
        <v>1544</v>
      </c>
    </row>
    <row r="1137" spans="1:6" x14ac:dyDescent="0.25">
      <c r="A1137" t="s">
        <v>2359</v>
      </c>
      <c r="B1137" t="s">
        <v>2919</v>
      </c>
      <c r="C1137" t="s">
        <v>2919</v>
      </c>
      <c r="D1137" t="s">
        <v>2654</v>
      </c>
      <c r="E1137" t="s">
        <v>2804</v>
      </c>
      <c r="F1137" t="s">
        <v>1546</v>
      </c>
    </row>
    <row r="1138" spans="1:6" x14ac:dyDescent="0.25">
      <c r="A1138" t="s">
        <v>2359</v>
      </c>
      <c r="B1138" t="s">
        <v>2928</v>
      </c>
      <c r="C1138" t="s">
        <v>2916</v>
      </c>
      <c r="D1138" t="s">
        <v>2638</v>
      </c>
      <c r="E1138" t="s">
        <v>2785</v>
      </c>
      <c r="F1138" t="s">
        <v>328</v>
      </c>
    </row>
    <row r="1139" spans="1:6" x14ac:dyDescent="0.25">
      <c r="A1139" t="s">
        <v>2362</v>
      </c>
      <c r="B1139" t="s">
        <v>2927</v>
      </c>
      <c r="C1139" t="s">
        <v>2914</v>
      </c>
      <c r="D1139" t="s">
        <v>2637</v>
      </c>
      <c r="E1139" t="s">
        <v>2753</v>
      </c>
      <c r="F1139" t="s">
        <v>505</v>
      </c>
    </row>
    <row r="1140" spans="1:6" x14ac:dyDescent="0.25">
      <c r="A1140" t="s">
        <v>2362</v>
      </c>
      <c r="B1140" t="s">
        <v>2927</v>
      </c>
      <c r="C1140" t="s">
        <v>2914</v>
      </c>
      <c r="D1140" t="s">
        <v>2637</v>
      </c>
      <c r="E1140" t="s">
        <v>2768</v>
      </c>
      <c r="F1140" t="s">
        <v>925</v>
      </c>
    </row>
    <row r="1141" spans="1:6" x14ac:dyDescent="0.25">
      <c r="A1141" t="s">
        <v>2362</v>
      </c>
      <c r="B1141" t="s">
        <v>2927</v>
      </c>
      <c r="C1141" t="s">
        <v>2917</v>
      </c>
      <c r="D1141" t="s">
        <v>1206</v>
      </c>
      <c r="E1141" t="s">
        <v>2794</v>
      </c>
      <c r="F1141" t="s">
        <v>1553</v>
      </c>
    </row>
    <row r="1142" spans="1:6" x14ac:dyDescent="0.25">
      <c r="A1142" t="s">
        <v>2362</v>
      </c>
      <c r="B1142" t="s">
        <v>2921</v>
      </c>
      <c r="C1142" t="s">
        <v>2918</v>
      </c>
      <c r="D1142" t="s">
        <v>2639</v>
      </c>
      <c r="E1142" t="s">
        <v>2794</v>
      </c>
      <c r="F1142" t="s">
        <v>1552</v>
      </c>
    </row>
    <row r="1143" spans="1:6" x14ac:dyDescent="0.25">
      <c r="A1143" t="s">
        <v>2362</v>
      </c>
      <c r="B1143" t="s">
        <v>2921</v>
      </c>
      <c r="C1143" t="s">
        <v>2918</v>
      </c>
      <c r="D1143" t="s">
        <v>2639</v>
      </c>
      <c r="E1143" t="s">
        <v>2842</v>
      </c>
      <c r="F1143" t="s">
        <v>1551</v>
      </c>
    </row>
    <row r="1144" spans="1:6" x14ac:dyDescent="0.25">
      <c r="A1144" t="s">
        <v>2362</v>
      </c>
      <c r="B1144" t="s">
        <v>2921</v>
      </c>
      <c r="C1144" t="s">
        <v>27</v>
      </c>
      <c r="D1144" t="s">
        <v>2930</v>
      </c>
      <c r="E1144" t="s">
        <v>2810</v>
      </c>
      <c r="F1144" t="s">
        <v>893</v>
      </c>
    </row>
    <row r="1145" spans="1:6" x14ac:dyDescent="0.25">
      <c r="A1145" t="s">
        <v>2362</v>
      </c>
      <c r="B1145" t="s">
        <v>2921</v>
      </c>
      <c r="C1145" t="s">
        <v>2920</v>
      </c>
      <c r="D1145" t="s">
        <v>2643</v>
      </c>
      <c r="E1145" t="s">
        <v>2845</v>
      </c>
      <c r="F1145" t="s">
        <v>1550</v>
      </c>
    </row>
    <row r="1146" spans="1:6" x14ac:dyDescent="0.25">
      <c r="A1146" t="s">
        <v>2362</v>
      </c>
      <c r="B1146" t="s">
        <v>2919</v>
      </c>
      <c r="C1146" t="s">
        <v>2919</v>
      </c>
      <c r="D1146" t="s">
        <v>2648</v>
      </c>
      <c r="E1146" t="s">
        <v>2755</v>
      </c>
      <c r="F1146" t="s">
        <v>1555</v>
      </c>
    </row>
    <row r="1147" spans="1:6" x14ac:dyDescent="0.25">
      <c r="A1147" t="s">
        <v>2362</v>
      </c>
      <c r="B1147" t="s">
        <v>2919</v>
      </c>
      <c r="C1147" t="s">
        <v>2919</v>
      </c>
      <c r="D1147" t="s">
        <v>2654</v>
      </c>
      <c r="E1147" t="s">
        <v>2804</v>
      </c>
      <c r="F1147" t="s">
        <v>1554</v>
      </c>
    </row>
    <row r="1148" spans="1:6" x14ac:dyDescent="0.25">
      <c r="A1148" t="s">
        <v>2362</v>
      </c>
      <c r="B1148" t="s">
        <v>2928</v>
      </c>
      <c r="C1148" t="s">
        <v>2916</v>
      </c>
      <c r="D1148" t="s">
        <v>2638</v>
      </c>
      <c r="E1148" t="s">
        <v>2829</v>
      </c>
      <c r="F1148" t="s">
        <v>1549</v>
      </c>
    </row>
    <row r="1149" spans="1:6" x14ac:dyDescent="0.25">
      <c r="A1149" t="s">
        <v>2365</v>
      </c>
      <c r="B1149" t="s">
        <v>2927</v>
      </c>
      <c r="C1149" t="s">
        <v>2914</v>
      </c>
      <c r="D1149" t="s">
        <v>2637</v>
      </c>
      <c r="E1149" t="s">
        <v>2801</v>
      </c>
      <c r="F1149" t="s">
        <v>1557</v>
      </c>
    </row>
    <row r="1150" spans="1:6" x14ac:dyDescent="0.25">
      <c r="A1150" t="s">
        <v>2365</v>
      </c>
      <c r="B1150" t="s">
        <v>2921</v>
      </c>
      <c r="C1150" t="s">
        <v>2918</v>
      </c>
      <c r="D1150" t="s">
        <v>2639</v>
      </c>
      <c r="E1150" t="s">
        <v>2794</v>
      </c>
      <c r="F1150" t="s">
        <v>889</v>
      </c>
    </row>
    <row r="1151" spans="1:6" x14ac:dyDescent="0.25">
      <c r="A1151" t="s">
        <v>2365</v>
      </c>
      <c r="B1151" t="s">
        <v>2921</v>
      </c>
      <c r="C1151" t="s">
        <v>2920</v>
      </c>
      <c r="D1151" t="s">
        <v>2643</v>
      </c>
      <c r="E1151" t="s">
        <v>2752</v>
      </c>
      <c r="F1151" t="s">
        <v>1556</v>
      </c>
    </row>
    <row r="1152" spans="1:6" x14ac:dyDescent="0.25">
      <c r="A1152" t="s">
        <v>2365</v>
      </c>
      <c r="B1152" t="s">
        <v>2919</v>
      </c>
      <c r="C1152" t="s">
        <v>2919</v>
      </c>
      <c r="D1152" t="s">
        <v>2654</v>
      </c>
      <c r="E1152" t="s">
        <v>2843</v>
      </c>
      <c r="F1152" t="s">
        <v>1558</v>
      </c>
    </row>
    <row r="1153" spans="1:6" x14ac:dyDescent="0.25">
      <c r="A1153" t="s">
        <v>2365</v>
      </c>
      <c r="B1153" t="s">
        <v>2928</v>
      </c>
      <c r="C1153" t="s">
        <v>2916</v>
      </c>
      <c r="D1153" t="s">
        <v>2638</v>
      </c>
      <c r="E1153" t="s">
        <v>2752</v>
      </c>
      <c r="F1153" t="s">
        <v>606</v>
      </c>
    </row>
    <row r="1154" spans="1:6" x14ac:dyDescent="0.25">
      <c r="A1154" t="s">
        <v>2377</v>
      </c>
      <c r="B1154" t="s">
        <v>2921</v>
      </c>
      <c r="C1154" t="s">
        <v>2920</v>
      </c>
      <c r="D1154" t="s">
        <v>2667</v>
      </c>
      <c r="E1154" t="s">
        <v>2818</v>
      </c>
      <c r="F1154" t="s">
        <v>1562</v>
      </c>
    </row>
    <row r="1155" spans="1:6" x14ac:dyDescent="0.25">
      <c r="A1155" t="s">
        <v>2380</v>
      </c>
      <c r="B1155" t="s">
        <v>2919</v>
      </c>
      <c r="C1155" t="s">
        <v>2919</v>
      </c>
      <c r="D1155" t="s">
        <v>2666</v>
      </c>
      <c r="E1155" t="s">
        <v>2868</v>
      </c>
      <c r="F1155" t="s">
        <v>1563</v>
      </c>
    </row>
    <row r="1156" spans="1:6" x14ac:dyDescent="0.25">
      <c r="A1156" t="s">
        <v>2383</v>
      </c>
      <c r="B1156" t="s">
        <v>2927</v>
      </c>
      <c r="C1156" t="s">
        <v>2914</v>
      </c>
      <c r="D1156" t="s">
        <v>2637</v>
      </c>
      <c r="E1156" t="s">
        <v>2857</v>
      </c>
      <c r="F1156" t="s">
        <v>1564</v>
      </c>
    </row>
    <row r="1157" spans="1:6" x14ac:dyDescent="0.25">
      <c r="A1157" t="s">
        <v>2386</v>
      </c>
      <c r="B1157" t="s">
        <v>2928</v>
      </c>
      <c r="C1157" t="s">
        <v>2916</v>
      </c>
      <c r="D1157" t="s">
        <v>2642</v>
      </c>
      <c r="E1157" t="s">
        <v>2765</v>
      </c>
      <c r="F1157" t="s">
        <v>1567</v>
      </c>
    </row>
    <row r="1158" spans="1:6" x14ac:dyDescent="0.25">
      <c r="A1158" t="s">
        <v>2389</v>
      </c>
      <c r="B1158" t="s">
        <v>2927</v>
      </c>
      <c r="C1158" t="s">
        <v>2914</v>
      </c>
      <c r="D1158" t="s">
        <v>2637</v>
      </c>
      <c r="E1158" t="s">
        <v>2840</v>
      </c>
      <c r="F1158" t="s">
        <v>1568</v>
      </c>
    </row>
    <row r="1159" spans="1:6" x14ac:dyDescent="0.25">
      <c r="A1159" t="s">
        <v>2392</v>
      </c>
      <c r="B1159" t="s">
        <v>2921</v>
      </c>
      <c r="C1159" t="s">
        <v>2921</v>
      </c>
      <c r="D1159" t="s">
        <v>2670</v>
      </c>
      <c r="E1159" t="s">
        <v>2800</v>
      </c>
      <c r="F1159" t="s">
        <v>1572</v>
      </c>
    </row>
    <row r="1160" spans="1:6" x14ac:dyDescent="0.25">
      <c r="A1160" t="s">
        <v>2395</v>
      </c>
      <c r="B1160" t="s">
        <v>2928</v>
      </c>
      <c r="C1160" t="s">
        <v>2916</v>
      </c>
      <c r="D1160" t="s">
        <v>2641</v>
      </c>
      <c r="E1160" t="s">
        <v>2797</v>
      </c>
      <c r="F1160" t="s">
        <v>1575</v>
      </c>
    </row>
    <row r="1161" spans="1:6" x14ac:dyDescent="0.25">
      <c r="A1161" t="s">
        <v>2398</v>
      </c>
      <c r="B1161" t="s">
        <v>2927</v>
      </c>
      <c r="C1161" t="s">
        <v>2914</v>
      </c>
      <c r="D1161" t="s">
        <v>2637</v>
      </c>
      <c r="E1161" t="s">
        <v>2864</v>
      </c>
      <c r="F1161" t="s">
        <v>1576</v>
      </c>
    </row>
    <row r="1162" spans="1:6" x14ac:dyDescent="0.25">
      <c r="A1162" t="s">
        <v>2401</v>
      </c>
      <c r="B1162" t="s">
        <v>2921</v>
      </c>
      <c r="C1162" t="s">
        <v>2920</v>
      </c>
      <c r="D1162" t="s">
        <v>2643</v>
      </c>
      <c r="E1162" t="s">
        <v>2752</v>
      </c>
      <c r="F1162" t="s">
        <v>1577</v>
      </c>
    </row>
    <row r="1163" spans="1:6" x14ac:dyDescent="0.25">
      <c r="A1163" t="s">
        <v>2404</v>
      </c>
      <c r="B1163" t="s">
        <v>2919</v>
      </c>
      <c r="C1163" t="s">
        <v>2919</v>
      </c>
      <c r="D1163" t="s">
        <v>2650</v>
      </c>
      <c r="E1163" t="s">
        <v>2869</v>
      </c>
      <c r="F1163" t="s">
        <v>1578</v>
      </c>
    </row>
    <row r="1164" spans="1:6" x14ac:dyDescent="0.25">
      <c r="A1164" t="s">
        <v>2407</v>
      </c>
      <c r="B1164" t="s">
        <v>2921</v>
      </c>
      <c r="C1164" t="s">
        <v>27</v>
      </c>
      <c r="D1164" t="s">
        <v>2930</v>
      </c>
      <c r="E1164" t="s">
        <v>2763</v>
      </c>
      <c r="F1164" t="s">
        <v>1579</v>
      </c>
    </row>
    <row r="1165" spans="1:6" x14ac:dyDescent="0.25">
      <c r="A1165" t="s">
        <v>2410</v>
      </c>
      <c r="B1165" t="s">
        <v>2928</v>
      </c>
      <c r="C1165" t="s">
        <v>2916</v>
      </c>
      <c r="D1165" t="s">
        <v>2638</v>
      </c>
      <c r="E1165" t="s">
        <v>2854</v>
      </c>
      <c r="F1165" t="s">
        <v>1580</v>
      </c>
    </row>
    <row r="1166" spans="1:6" x14ac:dyDescent="0.25">
      <c r="A1166" t="s">
        <v>2413</v>
      </c>
      <c r="B1166" t="s">
        <v>2927</v>
      </c>
      <c r="C1166" t="s">
        <v>2914</v>
      </c>
      <c r="D1166" t="s">
        <v>2637</v>
      </c>
      <c r="E1166" t="s">
        <v>2753</v>
      </c>
      <c r="F1166" t="s">
        <v>1581</v>
      </c>
    </row>
    <row r="1167" spans="1:6" x14ac:dyDescent="0.25">
      <c r="A1167" t="s">
        <v>2368</v>
      </c>
      <c r="B1167" t="s">
        <v>2921</v>
      </c>
      <c r="C1167" t="s">
        <v>2918</v>
      </c>
      <c r="D1167" t="s">
        <v>2639</v>
      </c>
      <c r="E1167" t="s">
        <v>2819</v>
      </c>
      <c r="F1167" t="s">
        <v>1559</v>
      </c>
    </row>
    <row r="1168" spans="1:6" x14ac:dyDescent="0.25">
      <c r="A1168" t="s">
        <v>2371</v>
      </c>
      <c r="B1168" t="s">
        <v>2921</v>
      </c>
      <c r="C1168" t="s">
        <v>2918</v>
      </c>
      <c r="D1168" t="s">
        <v>2639</v>
      </c>
      <c r="E1168" t="s">
        <v>2862</v>
      </c>
      <c r="F1168" t="s">
        <v>1560</v>
      </c>
    </row>
    <row r="1169" spans="1:6" x14ac:dyDescent="0.25">
      <c r="A1169" t="s">
        <v>2374</v>
      </c>
      <c r="B1169" t="s">
        <v>2927</v>
      </c>
      <c r="C1169" t="s">
        <v>2914</v>
      </c>
      <c r="D1169" t="s">
        <v>2637</v>
      </c>
      <c r="E1169" t="s">
        <v>2863</v>
      </c>
      <c r="F1169" t="s">
        <v>1561</v>
      </c>
    </row>
    <row r="1170" spans="1:6" x14ac:dyDescent="0.25">
      <c r="A1170" t="s">
        <v>2416</v>
      </c>
      <c r="B1170" t="s">
        <v>2927</v>
      </c>
      <c r="C1170" t="s">
        <v>2914</v>
      </c>
      <c r="D1170" t="s">
        <v>2637</v>
      </c>
      <c r="E1170" t="s">
        <v>2759</v>
      </c>
      <c r="F1170" t="s">
        <v>1584</v>
      </c>
    </row>
    <row r="1171" spans="1:6" x14ac:dyDescent="0.25">
      <c r="A1171" t="s">
        <v>2416</v>
      </c>
      <c r="B1171" t="s">
        <v>2927</v>
      </c>
      <c r="C1171" t="s">
        <v>2914</v>
      </c>
      <c r="D1171" t="s">
        <v>2637</v>
      </c>
      <c r="E1171" t="s">
        <v>2770</v>
      </c>
      <c r="F1171" t="s">
        <v>1599</v>
      </c>
    </row>
    <row r="1172" spans="1:6" x14ac:dyDescent="0.25">
      <c r="A1172" t="s">
        <v>2416</v>
      </c>
      <c r="B1172" t="s">
        <v>2927</v>
      </c>
      <c r="C1172" t="s">
        <v>2924</v>
      </c>
      <c r="D1172" t="s">
        <v>2664</v>
      </c>
      <c r="E1172" t="s">
        <v>2820</v>
      </c>
      <c r="F1172" t="s">
        <v>1588</v>
      </c>
    </row>
    <row r="1173" spans="1:6" x14ac:dyDescent="0.25">
      <c r="A1173" t="s">
        <v>2416</v>
      </c>
      <c r="B1173" t="s">
        <v>2927</v>
      </c>
      <c r="C1173" t="s">
        <v>2924</v>
      </c>
      <c r="D1173" t="s">
        <v>2664</v>
      </c>
      <c r="E1173" t="s">
        <v>2820</v>
      </c>
      <c r="F1173" t="s">
        <v>1585</v>
      </c>
    </row>
    <row r="1174" spans="1:6" x14ac:dyDescent="0.25">
      <c r="A1174" t="s">
        <v>2416</v>
      </c>
      <c r="B1174" t="s">
        <v>2921</v>
      </c>
      <c r="C1174" t="s">
        <v>2918</v>
      </c>
      <c r="D1174" t="s">
        <v>2682</v>
      </c>
      <c r="E1174" t="s">
        <v>2759</v>
      </c>
      <c r="F1174" t="s">
        <v>1596</v>
      </c>
    </row>
    <row r="1175" spans="1:6" x14ac:dyDescent="0.25">
      <c r="A1175" t="s">
        <v>2416</v>
      </c>
      <c r="B1175" t="s">
        <v>2921</v>
      </c>
      <c r="C1175" t="s">
        <v>2921</v>
      </c>
      <c r="D1175" t="s">
        <v>2672</v>
      </c>
      <c r="E1175" t="s">
        <v>2779</v>
      </c>
      <c r="F1175" t="s">
        <v>1593</v>
      </c>
    </row>
    <row r="1176" spans="1:6" x14ac:dyDescent="0.25">
      <c r="A1176" t="s">
        <v>2416</v>
      </c>
      <c r="B1176" t="s">
        <v>2921</v>
      </c>
      <c r="C1176" t="s">
        <v>2921</v>
      </c>
      <c r="D1176" t="s">
        <v>2672</v>
      </c>
      <c r="E1176" t="s">
        <v>2779</v>
      </c>
      <c r="F1176" t="s">
        <v>1590</v>
      </c>
    </row>
    <row r="1177" spans="1:6" x14ac:dyDescent="0.25">
      <c r="A1177" t="s">
        <v>2416</v>
      </c>
      <c r="B1177" t="s">
        <v>2919</v>
      </c>
      <c r="C1177" t="s">
        <v>2919</v>
      </c>
      <c r="D1177" t="s">
        <v>2650</v>
      </c>
      <c r="E1177" t="s">
        <v>2841</v>
      </c>
      <c r="F1177" t="s">
        <v>1582</v>
      </c>
    </row>
    <row r="1178" spans="1:6" x14ac:dyDescent="0.25">
      <c r="A1178" t="s">
        <v>2416</v>
      </c>
      <c r="B1178" t="s">
        <v>2928</v>
      </c>
      <c r="C1178" t="s">
        <v>2916</v>
      </c>
      <c r="D1178" t="s">
        <v>2638</v>
      </c>
      <c r="E1178" t="s">
        <v>2782</v>
      </c>
      <c r="F1178" t="s">
        <v>1508</v>
      </c>
    </row>
    <row r="1179" spans="1:6" x14ac:dyDescent="0.25">
      <c r="A1179" t="s">
        <v>2416</v>
      </c>
      <c r="B1179" t="s">
        <v>2928</v>
      </c>
      <c r="C1179" t="s">
        <v>2922</v>
      </c>
      <c r="D1179" t="s">
        <v>2668</v>
      </c>
      <c r="E1179" t="s">
        <v>2779</v>
      </c>
      <c r="F1179" t="s">
        <v>1583</v>
      </c>
    </row>
    <row r="1180" spans="1:6" x14ac:dyDescent="0.25">
      <c r="A1180" t="s">
        <v>2419</v>
      </c>
      <c r="B1180" t="s">
        <v>2927</v>
      </c>
      <c r="C1180" t="s">
        <v>2914</v>
      </c>
      <c r="D1180" t="s">
        <v>2637</v>
      </c>
      <c r="E1180" t="s">
        <v>2760</v>
      </c>
      <c r="F1180" t="s">
        <v>745</v>
      </c>
    </row>
    <row r="1181" spans="1:6" x14ac:dyDescent="0.25">
      <c r="A1181" t="s">
        <v>2419</v>
      </c>
      <c r="B1181" t="s">
        <v>2927</v>
      </c>
      <c r="C1181" t="s">
        <v>2914</v>
      </c>
      <c r="D1181" t="s">
        <v>2637</v>
      </c>
      <c r="E1181" t="s">
        <v>2776</v>
      </c>
      <c r="F1181" t="s">
        <v>1607</v>
      </c>
    </row>
    <row r="1182" spans="1:6" x14ac:dyDescent="0.25">
      <c r="A1182" t="s">
        <v>2419</v>
      </c>
      <c r="B1182" t="s">
        <v>2927</v>
      </c>
      <c r="C1182" t="s">
        <v>2924</v>
      </c>
      <c r="D1182" t="s">
        <v>2664</v>
      </c>
      <c r="E1182" t="s">
        <v>2866</v>
      </c>
      <c r="F1182" t="s">
        <v>1604</v>
      </c>
    </row>
    <row r="1183" spans="1:6" x14ac:dyDescent="0.25">
      <c r="A1183" t="s">
        <v>2419</v>
      </c>
      <c r="B1183" t="s">
        <v>2927</v>
      </c>
      <c r="C1183" t="s">
        <v>2924</v>
      </c>
      <c r="D1183" t="s">
        <v>2664</v>
      </c>
      <c r="E1183" t="s">
        <v>2866</v>
      </c>
      <c r="F1183" t="s">
        <v>1603</v>
      </c>
    </row>
    <row r="1184" spans="1:6" x14ac:dyDescent="0.25">
      <c r="A1184" t="s">
        <v>2419</v>
      </c>
      <c r="B1184" t="s">
        <v>2921</v>
      </c>
      <c r="C1184" t="s">
        <v>27</v>
      </c>
      <c r="D1184" t="s">
        <v>2930</v>
      </c>
      <c r="E1184" t="s">
        <v>2759</v>
      </c>
      <c r="F1184" t="s">
        <v>371</v>
      </c>
    </row>
    <row r="1185" spans="1:6" x14ac:dyDescent="0.25">
      <c r="A1185" t="s">
        <v>2419</v>
      </c>
      <c r="B1185" t="s">
        <v>2921</v>
      </c>
      <c r="C1185" t="s">
        <v>2921</v>
      </c>
      <c r="D1185" t="s">
        <v>2672</v>
      </c>
      <c r="E1185" t="s">
        <v>2778</v>
      </c>
      <c r="F1185" t="s">
        <v>1606</v>
      </c>
    </row>
    <row r="1186" spans="1:6" x14ac:dyDescent="0.25">
      <c r="A1186" t="s">
        <v>2419</v>
      </c>
      <c r="B1186" t="s">
        <v>2921</v>
      </c>
      <c r="C1186" t="s">
        <v>2921</v>
      </c>
      <c r="D1186" t="s">
        <v>2672</v>
      </c>
      <c r="E1186" t="s">
        <v>2778</v>
      </c>
      <c r="F1186" t="s">
        <v>838</v>
      </c>
    </row>
    <row r="1187" spans="1:6" x14ac:dyDescent="0.25">
      <c r="A1187" t="s">
        <v>2419</v>
      </c>
      <c r="B1187" t="s">
        <v>2919</v>
      </c>
      <c r="C1187" t="s">
        <v>2919</v>
      </c>
      <c r="D1187" t="s">
        <v>2666</v>
      </c>
      <c r="E1187" t="s">
        <v>2865</v>
      </c>
      <c r="F1187" t="s">
        <v>1602</v>
      </c>
    </row>
    <row r="1188" spans="1:6" x14ac:dyDescent="0.25">
      <c r="A1188" t="s">
        <v>2419</v>
      </c>
      <c r="B1188" t="s">
        <v>2919</v>
      </c>
      <c r="C1188" t="s">
        <v>2919</v>
      </c>
      <c r="D1188" t="s">
        <v>2650</v>
      </c>
      <c r="E1188" t="s">
        <v>2823</v>
      </c>
      <c r="F1188" t="s">
        <v>1600</v>
      </c>
    </row>
    <row r="1189" spans="1:6" x14ac:dyDescent="0.25">
      <c r="A1189" t="s">
        <v>2419</v>
      </c>
      <c r="B1189" t="s">
        <v>2928</v>
      </c>
      <c r="C1189" t="s">
        <v>2916</v>
      </c>
      <c r="D1189" t="s">
        <v>2638</v>
      </c>
      <c r="E1189" t="s">
        <v>2778</v>
      </c>
      <c r="F1189" t="s">
        <v>1605</v>
      </c>
    </row>
    <row r="1190" spans="1:6" x14ac:dyDescent="0.25">
      <c r="A1190" t="s">
        <v>2419</v>
      </c>
      <c r="B1190" t="s">
        <v>2928</v>
      </c>
      <c r="C1190" t="s">
        <v>2916</v>
      </c>
      <c r="D1190" t="s">
        <v>2638</v>
      </c>
      <c r="E1190" t="s">
        <v>2788</v>
      </c>
      <c r="F1190" t="s">
        <v>1200</v>
      </c>
    </row>
    <row r="1191" spans="1:6" x14ac:dyDescent="0.25">
      <c r="A1191" t="s">
        <v>2419</v>
      </c>
      <c r="B1191" t="s">
        <v>2928</v>
      </c>
      <c r="C1191" t="s">
        <v>2922</v>
      </c>
      <c r="D1191" t="s">
        <v>2668</v>
      </c>
      <c r="E1191" t="s">
        <v>2778</v>
      </c>
      <c r="F1191" t="s">
        <v>1601</v>
      </c>
    </row>
    <row r="1192" spans="1:6" x14ac:dyDescent="0.25">
      <c r="A1192" t="s">
        <v>2422</v>
      </c>
      <c r="B1192" t="s">
        <v>2927</v>
      </c>
      <c r="C1192" t="s">
        <v>2914</v>
      </c>
      <c r="D1192" t="s">
        <v>2637</v>
      </c>
      <c r="E1192" t="s">
        <v>2821</v>
      </c>
      <c r="F1192" t="s">
        <v>824</v>
      </c>
    </row>
    <row r="1193" spans="1:6" x14ac:dyDescent="0.25">
      <c r="A1193" t="s">
        <v>2422</v>
      </c>
      <c r="B1193" t="s">
        <v>2927</v>
      </c>
      <c r="C1193" t="s">
        <v>2914</v>
      </c>
      <c r="D1193" t="s">
        <v>2637</v>
      </c>
      <c r="E1193" t="s">
        <v>2753</v>
      </c>
      <c r="F1193" t="s">
        <v>1613</v>
      </c>
    </row>
    <row r="1194" spans="1:6" x14ac:dyDescent="0.25">
      <c r="A1194" t="s">
        <v>2422</v>
      </c>
      <c r="B1194" t="s">
        <v>2927</v>
      </c>
      <c r="C1194" t="s">
        <v>2914</v>
      </c>
      <c r="D1194" t="s">
        <v>2637</v>
      </c>
      <c r="E1194" t="s">
        <v>2757</v>
      </c>
      <c r="F1194" t="s">
        <v>1612</v>
      </c>
    </row>
    <row r="1195" spans="1:6" x14ac:dyDescent="0.25">
      <c r="A1195" t="s">
        <v>2422</v>
      </c>
      <c r="B1195" t="s">
        <v>2927</v>
      </c>
      <c r="C1195" t="s">
        <v>2924</v>
      </c>
      <c r="D1195" t="s">
        <v>2664</v>
      </c>
      <c r="E1195" t="s">
        <v>2855</v>
      </c>
      <c r="F1195" t="s">
        <v>1610</v>
      </c>
    </row>
    <row r="1196" spans="1:6" x14ac:dyDescent="0.25">
      <c r="A1196" t="s">
        <v>2422</v>
      </c>
      <c r="B1196" t="s">
        <v>2927</v>
      </c>
      <c r="C1196" t="s">
        <v>2924</v>
      </c>
      <c r="D1196" t="s">
        <v>2664</v>
      </c>
      <c r="E1196" t="s">
        <v>2855</v>
      </c>
      <c r="F1196" t="s">
        <v>1609</v>
      </c>
    </row>
    <row r="1197" spans="1:6" x14ac:dyDescent="0.25">
      <c r="A1197" t="s">
        <v>2422</v>
      </c>
      <c r="B1197" t="s">
        <v>2921</v>
      </c>
      <c r="C1197" t="s">
        <v>2918</v>
      </c>
      <c r="D1197" t="s">
        <v>2682</v>
      </c>
      <c r="E1197" t="s">
        <v>2760</v>
      </c>
      <c r="F1197" t="s">
        <v>1611</v>
      </c>
    </row>
    <row r="1198" spans="1:6" x14ac:dyDescent="0.25">
      <c r="A1198" t="s">
        <v>2422</v>
      </c>
      <c r="B1198" t="s">
        <v>2921</v>
      </c>
      <c r="C1198" t="s">
        <v>2921</v>
      </c>
      <c r="D1198" t="s">
        <v>2672</v>
      </c>
      <c r="E1198" t="s">
        <v>2778</v>
      </c>
      <c r="F1198" t="s">
        <v>1606</v>
      </c>
    </row>
    <row r="1199" spans="1:6" x14ac:dyDescent="0.25">
      <c r="A1199" t="s">
        <v>2422</v>
      </c>
      <c r="B1199" t="s">
        <v>2921</v>
      </c>
      <c r="C1199" t="s">
        <v>2921</v>
      </c>
      <c r="D1199" t="s">
        <v>2672</v>
      </c>
      <c r="E1199" t="s">
        <v>2778</v>
      </c>
      <c r="F1199" t="s">
        <v>838</v>
      </c>
    </row>
    <row r="1200" spans="1:6" x14ac:dyDescent="0.25">
      <c r="A1200" t="s">
        <v>2422</v>
      </c>
      <c r="B1200" t="s">
        <v>2919</v>
      </c>
      <c r="C1200" t="s">
        <v>2919</v>
      </c>
      <c r="D1200" t="s">
        <v>2650</v>
      </c>
      <c r="E1200" t="s">
        <v>2867</v>
      </c>
      <c r="F1200" t="s">
        <v>1608</v>
      </c>
    </row>
    <row r="1201" spans="1:6" x14ac:dyDescent="0.25">
      <c r="A1201" t="s">
        <v>2422</v>
      </c>
      <c r="B1201" t="s">
        <v>2919</v>
      </c>
      <c r="C1201" t="s">
        <v>2919</v>
      </c>
      <c r="D1201" t="s">
        <v>2654</v>
      </c>
      <c r="E1201" t="s">
        <v>2791</v>
      </c>
      <c r="F1201" t="s">
        <v>834</v>
      </c>
    </row>
    <row r="1202" spans="1:6" x14ac:dyDescent="0.25">
      <c r="A1202" t="s">
        <v>2425</v>
      </c>
      <c r="B1202" t="s">
        <v>2927</v>
      </c>
      <c r="C1202" t="s">
        <v>2914</v>
      </c>
      <c r="D1202" t="s">
        <v>2637</v>
      </c>
      <c r="E1202" t="s">
        <v>2757</v>
      </c>
      <c r="F1202" t="s">
        <v>1626</v>
      </c>
    </row>
    <row r="1203" spans="1:6" x14ac:dyDescent="0.25">
      <c r="A1203" t="s">
        <v>2425</v>
      </c>
      <c r="B1203" t="s">
        <v>2927</v>
      </c>
      <c r="C1203" t="s">
        <v>2914</v>
      </c>
      <c r="D1203" t="s">
        <v>2637</v>
      </c>
      <c r="E1203" t="s">
        <v>2776</v>
      </c>
      <c r="F1203" t="s">
        <v>1188</v>
      </c>
    </row>
    <row r="1204" spans="1:6" x14ac:dyDescent="0.25">
      <c r="A1204" t="s">
        <v>2425</v>
      </c>
      <c r="B1204" t="s">
        <v>2927</v>
      </c>
      <c r="C1204" t="s">
        <v>2914</v>
      </c>
      <c r="D1204" t="s">
        <v>2637</v>
      </c>
      <c r="E1204" t="s">
        <v>2761</v>
      </c>
      <c r="F1204" t="s">
        <v>1189</v>
      </c>
    </row>
    <row r="1205" spans="1:6" x14ac:dyDescent="0.25">
      <c r="A1205" t="s">
        <v>2425</v>
      </c>
      <c r="B1205" t="s">
        <v>2927</v>
      </c>
      <c r="C1205" t="s">
        <v>2917</v>
      </c>
      <c r="D1205" t="s">
        <v>2659</v>
      </c>
      <c r="E1205" t="s">
        <v>2776</v>
      </c>
      <c r="F1205" t="s">
        <v>1624</v>
      </c>
    </row>
    <row r="1206" spans="1:6" x14ac:dyDescent="0.25">
      <c r="A1206" t="s">
        <v>2425</v>
      </c>
      <c r="B1206" t="s">
        <v>75</v>
      </c>
      <c r="C1206" t="s">
        <v>75</v>
      </c>
      <c r="D1206" t="s">
        <v>2660</v>
      </c>
      <c r="E1206" t="s">
        <v>2763</v>
      </c>
      <c r="F1206" t="s">
        <v>1617</v>
      </c>
    </row>
    <row r="1207" spans="1:6" x14ac:dyDescent="0.25">
      <c r="A1207" t="s">
        <v>2425</v>
      </c>
      <c r="B1207" t="s">
        <v>75</v>
      </c>
      <c r="C1207" t="s">
        <v>75</v>
      </c>
      <c r="D1207" t="s">
        <v>2640</v>
      </c>
      <c r="E1207" t="s">
        <v>2819</v>
      </c>
      <c r="F1207" t="s">
        <v>1621</v>
      </c>
    </row>
    <row r="1208" spans="1:6" x14ac:dyDescent="0.25">
      <c r="A1208" t="s">
        <v>2425</v>
      </c>
      <c r="B1208" t="s">
        <v>75</v>
      </c>
      <c r="C1208" t="s">
        <v>75</v>
      </c>
      <c r="D1208" t="s">
        <v>2640</v>
      </c>
      <c r="E1208" t="s">
        <v>2802</v>
      </c>
      <c r="F1208" t="s">
        <v>1620</v>
      </c>
    </row>
    <row r="1209" spans="1:6" x14ac:dyDescent="0.25">
      <c r="A1209" t="s">
        <v>2425</v>
      </c>
      <c r="B1209" t="s">
        <v>75</v>
      </c>
      <c r="C1209" t="s">
        <v>75</v>
      </c>
      <c r="D1209" t="s">
        <v>2640</v>
      </c>
      <c r="E1209" t="s">
        <v>2776</v>
      </c>
      <c r="F1209" t="s">
        <v>1622</v>
      </c>
    </row>
    <row r="1210" spans="1:6" x14ac:dyDescent="0.25">
      <c r="A1210" t="s">
        <v>2425</v>
      </c>
      <c r="B1210" t="s">
        <v>2921</v>
      </c>
      <c r="C1210" t="s">
        <v>2918</v>
      </c>
      <c r="D1210" t="s">
        <v>2639</v>
      </c>
      <c r="E1210" t="s">
        <v>2753</v>
      </c>
      <c r="F1210" t="s">
        <v>412</v>
      </c>
    </row>
    <row r="1211" spans="1:6" x14ac:dyDescent="0.25">
      <c r="A1211" t="s">
        <v>2425</v>
      </c>
      <c r="B1211" t="s">
        <v>2921</v>
      </c>
      <c r="C1211" t="s">
        <v>2918</v>
      </c>
      <c r="D1211" t="s">
        <v>2639</v>
      </c>
      <c r="E1211" t="s">
        <v>2754</v>
      </c>
      <c r="F1211" t="s">
        <v>415</v>
      </c>
    </row>
    <row r="1212" spans="1:6" x14ac:dyDescent="0.25">
      <c r="A1212" t="s">
        <v>2425</v>
      </c>
      <c r="B1212" t="s">
        <v>2921</v>
      </c>
      <c r="C1212" t="s">
        <v>27</v>
      </c>
      <c r="D1212" t="s">
        <v>2930</v>
      </c>
      <c r="E1212" t="s">
        <v>2759</v>
      </c>
      <c r="F1212" t="s">
        <v>371</v>
      </c>
    </row>
    <row r="1213" spans="1:6" x14ac:dyDescent="0.25">
      <c r="A1213" t="s">
        <v>2425</v>
      </c>
      <c r="B1213" t="s">
        <v>2921</v>
      </c>
      <c r="C1213" t="s">
        <v>2920</v>
      </c>
      <c r="D1213" t="s">
        <v>2643</v>
      </c>
      <c r="E1213" t="s">
        <v>2781</v>
      </c>
      <c r="F1213" t="s">
        <v>1201</v>
      </c>
    </row>
    <row r="1214" spans="1:6" x14ac:dyDescent="0.25">
      <c r="A1214" t="s">
        <v>2425</v>
      </c>
      <c r="B1214" t="s">
        <v>2919</v>
      </c>
      <c r="C1214" t="s">
        <v>2919</v>
      </c>
      <c r="D1214" t="s">
        <v>2661</v>
      </c>
      <c r="E1214" t="s">
        <v>2765</v>
      </c>
      <c r="F1214" t="s">
        <v>1623</v>
      </c>
    </row>
    <row r="1215" spans="1:6" x14ac:dyDescent="0.25">
      <c r="A1215" t="s">
        <v>2425</v>
      </c>
      <c r="B1215" t="s">
        <v>2919</v>
      </c>
      <c r="C1215" t="s">
        <v>2919</v>
      </c>
      <c r="D1215" t="s">
        <v>2654</v>
      </c>
      <c r="E1215" t="s">
        <v>2755</v>
      </c>
      <c r="F1215" t="s">
        <v>1190</v>
      </c>
    </row>
    <row r="1216" spans="1:6" x14ac:dyDescent="0.25">
      <c r="A1216" t="s">
        <v>2425</v>
      </c>
      <c r="B1216" t="s">
        <v>2928</v>
      </c>
      <c r="C1216" t="s">
        <v>2916</v>
      </c>
      <c r="D1216" t="s">
        <v>2656</v>
      </c>
      <c r="E1216" t="s">
        <v>2755</v>
      </c>
      <c r="F1216" t="s">
        <v>1352</v>
      </c>
    </row>
    <row r="1217" spans="1:6" x14ac:dyDescent="0.25">
      <c r="A1217" t="s">
        <v>2425</v>
      </c>
      <c r="B1217" t="s">
        <v>2928</v>
      </c>
      <c r="C1217" t="s">
        <v>2916</v>
      </c>
      <c r="D1217" t="s">
        <v>2638</v>
      </c>
      <c r="E1217" t="s">
        <v>2769</v>
      </c>
      <c r="F1217" t="s">
        <v>670</v>
      </c>
    </row>
    <row r="1218" spans="1:6" x14ac:dyDescent="0.25">
      <c r="A1218" t="s">
        <v>2428</v>
      </c>
      <c r="B1218" t="s">
        <v>2927</v>
      </c>
      <c r="C1218" t="s">
        <v>2914</v>
      </c>
      <c r="D1218" t="s">
        <v>2637</v>
      </c>
      <c r="E1218" t="s">
        <v>2775</v>
      </c>
      <c r="F1218" t="s">
        <v>924</v>
      </c>
    </row>
    <row r="1219" spans="1:6" x14ac:dyDescent="0.25">
      <c r="A1219" t="s">
        <v>2428</v>
      </c>
      <c r="B1219" t="s">
        <v>2927</v>
      </c>
      <c r="C1219" t="s">
        <v>2917</v>
      </c>
      <c r="D1219" t="s">
        <v>2659</v>
      </c>
      <c r="E1219" t="s">
        <v>2824</v>
      </c>
      <c r="F1219" t="s">
        <v>1633</v>
      </c>
    </row>
    <row r="1220" spans="1:6" x14ac:dyDescent="0.25">
      <c r="A1220" t="s">
        <v>2428</v>
      </c>
      <c r="B1220" t="s">
        <v>2927</v>
      </c>
      <c r="C1220" t="s">
        <v>2917</v>
      </c>
      <c r="D1220" t="s">
        <v>2659</v>
      </c>
      <c r="E1220" t="s">
        <v>2831</v>
      </c>
      <c r="F1220" t="s">
        <v>1629</v>
      </c>
    </row>
    <row r="1221" spans="1:6" x14ac:dyDescent="0.25">
      <c r="A1221" t="s">
        <v>2428</v>
      </c>
      <c r="B1221" t="s">
        <v>75</v>
      </c>
      <c r="C1221" t="s">
        <v>75</v>
      </c>
      <c r="D1221" t="s">
        <v>2660</v>
      </c>
      <c r="E1221" t="s">
        <v>2831</v>
      </c>
      <c r="F1221" t="s">
        <v>1628</v>
      </c>
    </row>
    <row r="1222" spans="1:6" x14ac:dyDescent="0.25">
      <c r="A1222" t="s">
        <v>2428</v>
      </c>
      <c r="B1222" t="s">
        <v>75</v>
      </c>
      <c r="C1222" t="s">
        <v>75</v>
      </c>
      <c r="D1222" t="s">
        <v>2640</v>
      </c>
      <c r="E1222" t="s">
        <v>2754</v>
      </c>
      <c r="F1222" t="s">
        <v>623</v>
      </c>
    </row>
    <row r="1223" spans="1:6" x14ac:dyDescent="0.25">
      <c r="A1223" t="s">
        <v>2428</v>
      </c>
      <c r="B1223" t="s">
        <v>2921</v>
      </c>
      <c r="C1223" t="s">
        <v>27</v>
      </c>
      <c r="D1223" t="s">
        <v>2930</v>
      </c>
      <c r="E1223" t="s">
        <v>2822</v>
      </c>
      <c r="F1223" t="s">
        <v>868</v>
      </c>
    </row>
    <row r="1224" spans="1:6" x14ac:dyDescent="0.25">
      <c r="A1224" t="s">
        <v>2428</v>
      </c>
      <c r="B1224" t="s">
        <v>2919</v>
      </c>
      <c r="C1224" t="s">
        <v>2919</v>
      </c>
      <c r="D1224" t="s">
        <v>2663</v>
      </c>
      <c r="E1224" t="s">
        <v>2779</v>
      </c>
      <c r="F1224" t="s">
        <v>1627</v>
      </c>
    </row>
    <row r="1225" spans="1:6" x14ac:dyDescent="0.25">
      <c r="A1225" t="s">
        <v>2428</v>
      </c>
      <c r="B1225" t="s">
        <v>2919</v>
      </c>
      <c r="C1225" t="s">
        <v>2919</v>
      </c>
      <c r="D1225" t="s">
        <v>2654</v>
      </c>
      <c r="E1225" t="s">
        <v>2781</v>
      </c>
      <c r="F1225" t="s">
        <v>1635</v>
      </c>
    </row>
    <row r="1226" spans="1:6" x14ac:dyDescent="0.25">
      <c r="A1226" t="s">
        <v>2431</v>
      </c>
      <c r="B1226" t="s">
        <v>2927</v>
      </c>
      <c r="C1226" t="s">
        <v>2914</v>
      </c>
      <c r="D1226" t="s">
        <v>2637</v>
      </c>
      <c r="E1226" t="s">
        <v>2802</v>
      </c>
      <c r="F1226" t="s">
        <v>1325</v>
      </c>
    </row>
    <row r="1227" spans="1:6" x14ac:dyDescent="0.25">
      <c r="A1227" t="s">
        <v>2431</v>
      </c>
      <c r="B1227" t="s">
        <v>2927</v>
      </c>
      <c r="C1227" t="s">
        <v>2914</v>
      </c>
      <c r="D1227" t="s">
        <v>2637</v>
      </c>
      <c r="E1227" t="s">
        <v>2763</v>
      </c>
      <c r="F1227" t="s">
        <v>1639</v>
      </c>
    </row>
    <row r="1228" spans="1:6" x14ac:dyDescent="0.25">
      <c r="A1228" t="s">
        <v>2431</v>
      </c>
      <c r="B1228" t="s">
        <v>2927</v>
      </c>
      <c r="C1228" t="s">
        <v>2917</v>
      </c>
      <c r="D1228" t="s">
        <v>2659</v>
      </c>
      <c r="E1228" t="s">
        <v>2763</v>
      </c>
      <c r="F1228" t="s">
        <v>1640</v>
      </c>
    </row>
    <row r="1229" spans="1:6" x14ac:dyDescent="0.25">
      <c r="A1229" t="s">
        <v>2431</v>
      </c>
      <c r="B1229" t="s">
        <v>75</v>
      </c>
      <c r="C1229" t="s">
        <v>75</v>
      </c>
      <c r="D1229" t="s">
        <v>2660</v>
      </c>
      <c r="E1229" t="s">
        <v>2758</v>
      </c>
      <c r="F1229" t="s">
        <v>1638</v>
      </c>
    </row>
    <row r="1230" spans="1:6" x14ac:dyDescent="0.25">
      <c r="A1230" t="s">
        <v>2431</v>
      </c>
      <c r="B1230" t="s">
        <v>75</v>
      </c>
      <c r="C1230" t="s">
        <v>75</v>
      </c>
      <c r="D1230" t="s">
        <v>2640</v>
      </c>
      <c r="E1230" t="s">
        <v>2761</v>
      </c>
      <c r="F1230" t="s">
        <v>420</v>
      </c>
    </row>
    <row r="1231" spans="1:6" x14ac:dyDescent="0.25">
      <c r="A1231" t="s">
        <v>2431</v>
      </c>
      <c r="B1231" t="s">
        <v>2921</v>
      </c>
      <c r="C1231" t="s">
        <v>2918</v>
      </c>
      <c r="D1231" t="s">
        <v>2639</v>
      </c>
      <c r="E1231" t="s">
        <v>2757</v>
      </c>
      <c r="F1231" t="s">
        <v>1636</v>
      </c>
    </row>
    <row r="1232" spans="1:6" x14ac:dyDescent="0.25">
      <c r="A1232" t="s">
        <v>2431</v>
      </c>
      <c r="B1232" t="s">
        <v>2921</v>
      </c>
      <c r="C1232" t="s">
        <v>27</v>
      </c>
      <c r="D1232" t="s">
        <v>2930</v>
      </c>
      <c r="E1232" t="s">
        <v>2824</v>
      </c>
      <c r="F1232" t="s">
        <v>907</v>
      </c>
    </row>
    <row r="1233" spans="1:6" x14ac:dyDescent="0.25">
      <c r="A1233" t="s">
        <v>2431</v>
      </c>
      <c r="B1233" t="s">
        <v>2919</v>
      </c>
      <c r="C1233" t="s">
        <v>2919</v>
      </c>
      <c r="D1233" t="s">
        <v>2663</v>
      </c>
      <c r="E1233" t="s">
        <v>2870</v>
      </c>
      <c r="F1233" t="s">
        <v>1637</v>
      </c>
    </row>
    <row r="1234" spans="1:6" x14ac:dyDescent="0.25">
      <c r="A1234" t="s">
        <v>2431</v>
      </c>
      <c r="B1234" t="s">
        <v>2919</v>
      </c>
      <c r="C1234" t="s">
        <v>2919</v>
      </c>
      <c r="D1234" t="s">
        <v>2654</v>
      </c>
      <c r="E1234" t="s">
        <v>2791</v>
      </c>
      <c r="F1234" t="s">
        <v>1641</v>
      </c>
    </row>
    <row r="1235" spans="1:6" x14ac:dyDescent="0.25">
      <c r="A1235" t="s">
        <v>2431</v>
      </c>
      <c r="B1235" t="s">
        <v>2928</v>
      </c>
      <c r="C1235" t="s">
        <v>2916</v>
      </c>
      <c r="D1235" t="s">
        <v>2638</v>
      </c>
      <c r="E1235" t="s">
        <v>2782</v>
      </c>
      <c r="F1235" t="s">
        <v>1508</v>
      </c>
    </row>
    <row r="1236" spans="1:6" x14ac:dyDescent="0.25">
      <c r="A1236" t="s">
        <v>2434</v>
      </c>
      <c r="B1236" t="s">
        <v>2927</v>
      </c>
      <c r="C1236" t="s">
        <v>2914</v>
      </c>
      <c r="D1236" t="s">
        <v>2637</v>
      </c>
      <c r="E1236" t="s">
        <v>2821</v>
      </c>
      <c r="F1236" t="s">
        <v>1643</v>
      </c>
    </row>
    <row r="1237" spans="1:6" x14ac:dyDescent="0.25">
      <c r="A1237" t="s">
        <v>2434</v>
      </c>
      <c r="B1237" t="s">
        <v>2927</v>
      </c>
      <c r="C1237" t="s">
        <v>2917</v>
      </c>
      <c r="D1237" t="s">
        <v>2679</v>
      </c>
      <c r="E1237" t="s">
        <v>2753</v>
      </c>
      <c r="F1237" t="s">
        <v>697</v>
      </c>
    </row>
    <row r="1238" spans="1:6" x14ac:dyDescent="0.25">
      <c r="A1238" t="s">
        <v>2434</v>
      </c>
      <c r="B1238" t="s">
        <v>2927</v>
      </c>
      <c r="C1238" t="s">
        <v>2917</v>
      </c>
      <c r="D1238" t="s">
        <v>2679</v>
      </c>
      <c r="E1238" t="s">
        <v>2768</v>
      </c>
      <c r="F1238" t="s">
        <v>1644</v>
      </c>
    </row>
    <row r="1239" spans="1:6" x14ac:dyDescent="0.25">
      <c r="A1239" t="s">
        <v>2434</v>
      </c>
      <c r="B1239" t="s">
        <v>2927</v>
      </c>
      <c r="C1239" t="s">
        <v>2917</v>
      </c>
      <c r="D1239" t="s">
        <v>2679</v>
      </c>
      <c r="E1239" t="s">
        <v>2754</v>
      </c>
      <c r="F1239" t="s">
        <v>1645</v>
      </c>
    </row>
    <row r="1240" spans="1:6" x14ac:dyDescent="0.25">
      <c r="A1240" t="s">
        <v>2434</v>
      </c>
      <c r="B1240" t="s">
        <v>2927</v>
      </c>
      <c r="C1240" t="s">
        <v>2917</v>
      </c>
      <c r="D1240" t="s">
        <v>2679</v>
      </c>
      <c r="E1240" t="s">
        <v>2754</v>
      </c>
      <c r="F1240" t="s">
        <v>1647</v>
      </c>
    </row>
    <row r="1241" spans="1:6" x14ac:dyDescent="0.25">
      <c r="A1241" t="s">
        <v>2434</v>
      </c>
      <c r="B1241" t="s">
        <v>2927</v>
      </c>
      <c r="C1241" t="s">
        <v>2924</v>
      </c>
      <c r="D1241" t="s">
        <v>2664</v>
      </c>
      <c r="E1241" t="s">
        <v>2871</v>
      </c>
      <c r="F1241" t="s">
        <v>1648</v>
      </c>
    </row>
    <row r="1242" spans="1:6" x14ac:dyDescent="0.25">
      <c r="A1242" t="s">
        <v>2434</v>
      </c>
      <c r="B1242" t="s">
        <v>2919</v>
      </c>
      <c r="C1242" t="s">
        <v>2919</v>
      </c>
      <c r="D1242" t="s">
        <v>2650</v>
      </c>
      <c r="E1242" t="s">
        <v>2781</v>
      </c>
      <c r="F1242" t="s">
        <v>1642</v>
      </c>
    </row>
    <row r="1243" spans="1:6" x14ac:dyDescent="0.25">
      <c r="A1243" t="s">
        <v>2434</v>
      </c>
      <c r="B1243" t="s">
        <v>2928</v>
      </c>
      <c r="C1243" t="s">
        <v>2916</v>
      </c>
      <c r="D1243" t="s">
        <v>2638</v>
      </c>
      <c r="E1243" t="s">
        <v>2790</v>
      </c>
      <c r="F1243" t="s">
        <v>911</v>
      </c>
    </row>
    <row r="1244" spans="1:6" x14ac:dyDescent="0.25">
      <c r="A1244" t="s">
        <v>2437</v>
      </c>
      <c r="B1244" t="s">
        <v>2927</v>
      </c>
      <c r="C1244" t="s">
        <v>2914</v>
      </c>
      <c r="D1244" t="s">
        <v>2637</v>
      </c>
      <c r="E1244" t="s">
        <v>2803</v>
      </c>
      <c r="F1244" t="s">
        <v>1650</v>
      </c>
    </row>
    <row r="1245" spans="1:6" x14ac:dyDescent="0.25">
      <c r="A1245" t="s">
        <v>2437</v>
      </c>
      <c r="B1245" t="s">
        <v>2927</v>
      </c>
      <c r="C1245" t="s">
        <v>2914</v>
      </c>
      <c r="D1245" t="s">
        <v>2637</v>
      </c>
      <c r="E1245" t="s">
        <v>2770</v>
      </c>
      <c r="F1245" t="s">
        <v>1656</v>
      </c>
    </row>
    <row r="1246" spans="1:6" x14ac:dyDescent="0.25">
      <c r="A1246" t="s">
        <v>2437</v>
      </c>
      <c r="B1246" t="s">
        <v>2927</v>
      </c>
      <c r="C1246" t="s">
        <v>2917</v>
      </c>
      <c r="D1246" t="s">
        <v>1206</v>
      </c>
      <c r="E1246" t="s">
        <v>2824</v>
      </c>
      <c r="F1246" t="s">
        <v>1653</v>
      </c>
    </row>
    <row r="1247" spans="1:6" x14ac:dyDescent="0.25">
      <c r="A1247" t="s">
        <v>2437</v>
      </c>
      <c r="B1247" t="s">
        <v>2927</v>
      </c>
      <c r="C1247" t="s">
        <v>2924</v>
      </c>
      <c r="D1247" t="s">
        <v>807</v>
      </c>
      <c r="E1247" t="s">
        <v>2872</v>
      </c>
      <c r="F1247" t="s">
        <v>1654</v>
      </c>
    </row>
    <row r="1248" spans="1:6" x14ac:dyDescent="0.25">
      <c r="A1248" t="s">
        <v>2437</v>
      </c>
      <c r="B1248" t="s">
        <v>2921</v>
      </c>
      <c r="C1248" t="s">
        <v>2918</v>
      </c>
      <c r="D1248" t="s">
        <v>2639</v>
      </c>
      <c r="E1248" t="s">
        <v>2794</v>
      </c>
      <c r="F1248" t="s">
        <v>313</v>
      </c>
    </row>
    <row r="1249" spans="1:6" x14ac:dyDescent="0.25">
      <c r="A1249" t="s">
        <v>2437</v>
      </c>
      <c r="B1249" t="s">
        <v>2921</v>
      </c>
      <c r="C1249" t="s">
        <v>2918</v>
      </c>
      <c r="D1249" t="s">
        <v>2639</v>
      </c>
      <c r="E1249" t="s">
        <v>2753</v>
      </c>
      <c r="F1249" t="s">
        <v>540</v>
      </c>
    </row>
    <row r="1250" spans="1:6" x14ac:dyDescent="0.25">
      <c r="A1250" t="s">
        <v>2437</v>
      </c>
      <c r="B1250" t="s">
        <v>2921</v>
      </c>
      <c r="C1250" t="s">
        <v>27</v>
      </c>
      <c r="D1250" t="s">
        <v>2930</v>
      </c>
      <c r="E1250" t="s">
        <v>2802</v>
      </c>
      <c r="F1250" t="s">
        <v>1402</v>
      </c>
    </row>
    <row r="1251" spans="1:6" x14ac:dyDescent="0.25">
      <c r="A1251" t="s">
        <v>2437</v>
      </c>
      <c r="B1251" t="s">
        <v>2919</v>
      </c>
      <c r="C1251" t="s">
        <v>2919</v>
      </c>
      <c r="D1251" t="s">
        <v>2661</v>
      </c>
      <c r="E1251" t="s">
        <v>2765</v>
      </c>
      <c r="F1251" t="s">
        <v>1623</v>
      </c>
    </row>
    <row r="1252" spans="1:6" x14ac:dyDescent="0.25">
      <c r="A1252" t="s">
        <v>2437</v>
      </c>
      <c r="B1252" t="s">
        <v>2919</v>
      </c>
      <c r="C1252" t="s">
        <v>2919</v>
      </c>
      <c r="D1252" t="s">
        <v>2653</v>
      </c>
      <c r="E1252" t="s">
        <v>2773</v>
      </c>
      <c r="F1252" t="s">
        <v>1655</v>
      </c>
    </row>
    <row r="1253" spans="1:6" x14ac:dyDescent="0.25">
      <c r="A1253" t="s">
        <v>2437</v>
      </c>
      <c r="B1253" t="s">
        <v>2928</v>
      </c>
      <c r="C1253" t="s">
        <v>2916</v>
      </c>
      <c r="D1253" t="s">
        <v>2638</v>
      </c>
      <c r="E1253" t="s">
        <v>2752</v>
      </c>
      <c r="F1253" t="s">
        <v>1657</v>
      </c>
    </row>
    <row r="1254" spans="1:6" x14ac:dyDescent="0.25">
      <c r="A1254" t="s">
        <v>2437</v>
      </c>
      <c r="B1254" t="s">
        <v>2928</v>
      </c>
      <c r="C1254" t="s">
        <v>2916</v>
      </c>
      <c r="D1254" t="s">
        <v>2638</v>
      </c>
      <c r="E1254" t="s">
        <v>2780</v>
      </c>
      <c r="F1254" t="s">
        <v>1649</v>
      </c>
    </row>
    <row r="1255" spans="1:6" x14ac:dyDescent="0.25">
      <c r="A1255" t="s">
        <v>2440</v>
      </c>
      <c r="B1255" t="s">
        <v>2927</v>
      </c>
      <c r="C1255" t="s">
        <v>2914</v>
      </c>
      <c r="D1255" t="s">
        <v>2637</v>
      </c>
      <c r="E1255" t="s">
        <v>2821</v>
      </c>
      <c r="F1255" t="s">
        <v>1667</v>
      </c>
    </row>
    <row r="1256" spans="1:6" x14ac:dyDescent="0.25">
      <c r="A1256" t="s">
        <v>2440</v>
      </c>
      <c r="B1256" t="s">
        <v>2927</v>
      </c>
      <c r="C1256" t="s">
        <v>2914</v>
      </c>
      <c r="D1256" t="s">
        <v>2637</v>
      </c>
      <c r="E1256" t="s">
        <v>2822</v>
      </c>
      <c r="F1256" t="s">
        <v>1663</v>
      </c>
    </row>
    <row r="1257" spans="1:6" x14ac:dyDescent="0.25">
      <c r="A1257" t="s">
        <v>2440</v>
      </c>
      <c r="B1257" t="s">
        <v>2927</v>
      </c>
      <c r="C1257" t="s">
        <v>2914</v>
      </c>
      <c r="D1257" t="s">
        <v>2637</v>
      </c>
      <c r="E1257" t="s">
        <v>2776</v>
      </c>
      <c r="F1257" t="s">
        <v>1664</v>
      </c>
    </row>
    <row r="1258" spans="1:6" x14ac:dyDescent="0.25">
      <c r="A1258" t="s">
        <v>2440</v>
      </c>
      <c r="B1258" t="s">
        <v>2927</v>
      </c>
      <c r="C1258" t="s">
        <v>2917</v>
      </c>
      <c r="D1258" t="s">
        <v>1206</v>
      </c>
      <c r="E1258" t="s">
        <v>2760</v>
      </c>
      <c r="F1258" t="s">
        <v>1671</v>
      </c>
    </row>
    <row r="1259" spans="1:6" x14ac:dyDescent="0.25">
      <c r="A1259" t="s">
        <v>2440</v>
      </c>
      <c r="B1259" t="s">
        <v>75</v>
      </c>
      <c r="C1259" t="s">
        <v>75</v>
      </c>
      <c r="D1259" t="s">
        <v>2640</v>
      </c>
      <c r="E1259" t="s">
        <v>2763</v>
      </c>
      <c r="F1259" t="s">
        <v>1662</v>
      </c>
    </row>
    <row r="1260" spans="1:6" x14ac:dyDescent="0.25">
      <c r="A1260" t="s">
        <v>2440</v>
      </c>
      <c r="B1260" t="s">
        <v>75</v>
      </c>
      <c r="C1260" t="s">
        <v>75</v>
      </c>
      <c r="D1260" t="s">
        <v>1212</v>
      </c>
      <c r="E1260" t="s">
        <v>2754</v>
      </c>
      <c r="F1260" t="s">
        <v>1661</v>
      </c>
    </row>
    <row r="1261" spans="1:6" x14ac:dyDescent="0.25">
      <c r="A1261" t="s">
        <v>2440</v>
      </c>
      <c r="B1261" t="s">
        <v>2919</v>
      </c>
      <c r="C1261" t="s">
        <v>2919</v>
      </c>
      <c r="D1261" t="s">
        <v>2653</v>
      </c>
      <c r="E1261" t="s">
        <v>2765</v>
      </c>
      <c r="F1261" t="s">
        <v>1672</v>
      </c>
    </row>
    <row r="1262" spans="1:6" x14ac:dyDescent="0.25">
      <c r="A1262" t="s">
        <v>2440</v>
      </c>
      <c r="B1262" t="s">
        <v>2928</v>
      </c>
      <c r="C1262" t="s">
        <v>2916</v>
      </c>
      <c r="D1262" t="s">
        <v>2656</v>
      </c>
      <c r="E1262" t="s">
        <v>2774</v>
      </c>
      <c r="F1262" t="s">
        <v>1658</v>
      </c>
    </row>
    <row r="1263" spans="1:6" x14ac:dyDescent="0.25">
      <c r="A1263" t="s">
        <v>2440</v>
      </c>
      <c r="B1263" t="s">
        <v>2928</v>
      </c>
      <c r="C1263" t="s">
        <v>2916</v>
      </c>
      <c r="D1263" t="s">
        <v>2638</v>
      </c>
      <c r="E1263" t="s">
        <v>2782</v>
      </c>
      <c r="F1263" t="s">
        <v>1508</v>
      </c>
    </row>
    <row r="1264" spans="1:6" x14ac:dyDescent="0.25">
      <c r="A1264" t="s">
        <v>2443</v>
      </c>
      <c r="B1264" t="s">
        <v>2927</v>
      </c>
      <c r="C1264" t="s">
        <v>2914</v>
      </c>
      <c r="D1264" t="s">
        <v>2637</v>
      </c>
      <c r="E1264" t="s">
        <v>2821</v>
      </c>
      <c r="F1264" t="s">
        <v>1680</v>
      </c>
    </row>
    <row r="1265" spans="1:6" x14ac:dyDescent="0.25">
      <c r="A1265" t="s">
        <v>2443</v>
      </c>
      <c r="B1265" t="s">
        <v>2927</v>
      </c>
      <c r="C1265" t="s">
        <v>2914</v>
      </c>
      <c r="D1265" t="s">
        <v>2637</v>
      </c>
      <c r="E1265" t="s">
        <v>2873</v>
      </c>
      <c r="F1265" t="s">
        <v>1688</v>
      </c>
    </row>
    <row r="1266" spans="1:6" x14ac:dyDescent="0.25">
      <c r="A1266" t="s">
        <v>2443</v>
      </c>
      <c r="B1266" t="s">
        <v>2927</v>
      </c>
      <c r="C1266" t="s">
        <v>2914</v>
      </c>
      <c r="D1266" t="s">
        <v>2637</v>
      </c>
      <c r="E1266" t="s">
        <v>2802</v>
      </c>
      <c r="F1266" t="s">
        <v>1314</v>
      </c>
    </row>
    <row r="1267" spans="1:6" x14ac:dyDescent="0.25">
      <c r="A1267" t="s">
        <v>2443</v>
      </c>
      <c r="B1267" t="s">
        <v>2927</v>
      </c>
      <c r="C1267" t="s">
        <v>2914</v>
      </c>
      <c r="D1267" t="s">
        <v>2637</v>
      </c>
      <c r="E1267" t="s">
        <v>2776</v>
      </c>
      <c r="F1267" t="s">
        <v>1679</v>
      </c>
    </row>
    <row r="1268" spans="1:6" x14ac:dyDescent="0.25">
      <c r="A1268" t="s">
        <v>2443</v>
      </c>
      <c r="B1268" t="s">
        <v>75</v>
      </c>
      <c r="C1268" t="s">
        <v>75</v>
      </c>
      <c r="D1268" t="s">
        <v>2646</v>
      </c>
      <c r="E1268" t="s">
        <v>2760</v>
      </c>
      <c r="F1268" t="s">
        <v>1067</v>
      </c>
    </row>
    <row r="1269" spans="1:6" x14ac:dyDescent="0.25">
      <c r="A1269" t="s">
        <v>2443</v>
      </c>
      <c r="B1269" t="s">
        <v>75</v>
      </c>
      <c r="C1269" t="s">
        <v>75</v>
      </c>
      <c r="D1269" t="s">
        <v>2647</v>
      </c>
      <c r="E1269" t="s">
        <v>2753</v>
      </c>
      <c r="F1269" t="s">
        <v>1675</v>
      </c>
    </row>
    <row r="1270" spans="1:6" x14ac:dyDescent="0.25">
      <c r="A1270" t="s">
        <v>2443</v>
      </c>
      <c r="B1270" t="s">
        <v>2921</v>
      </c>
      <c r="C1270" t="s">
        <v>2918</v>
      </c>
      <c r="D1270" t="s">
        <v>2651</v>
      </c>
      <c r="E1270" t="s">
        <v>2791</v>
      </c>
      <c r="F1270" t="s">
        <v>1685</v>
      </c>
    </row>
    <row r="1271" spans="1:6" x14ac:dyDescent="0.25">
      <c r="A1271" t="s">
        <v>2443</v>
      </c>
      <c r="B1271" t="s">
        <v>2921</v>
      </c>
      <c r="C1271" t="s">
        <v>2921</v>
      </c>
      <c r="D1271" t="s">
        <v>2670</v>
      </c>
      <c r="E1271" t="s">
        <v>2829</v>
      </c>
      <c r="F1271" t="s">
        <v>1676</v>
      </c>
    </row>
    <row r="1272" spans="1:6" x14ac:dyDescent="0.25">
      <c r="A1272" t="s">
        <v>2443</v>
      </c>
      <c r="B1272" t="s">
        <v>2921</v>
      </c>
      <c r="C1272" t="s">
        <v>191</v>
      </c>
      <c r="D1272" t="s">
        <v>2138</v>
      </c>
      <c r="E1272" t="s">
        <v>2762</v>
      </c>
      <c r="F1272" t="s">
        <v>654</v>
      </c>
    </row>
    <row r="1273" spans="1:6" x14ac:dyDescent="0.25">
      <c r="A1273" t="s">
        <v>2443</v>
      </c>
      <c r="B1273" t="s">
        <v>2919</v>
      </c>
      <c r="C1273" t="s">
        <v>2919</v>
      </c>
      <c r="D1273" t="s">
        <v>2666</v>
      </c>
      <c r="E1273" t="s">
        <v>2797</v>
      </c>
      <c r="F1273" t="s">
        <v>1681</v>
      </c>
    </row>
    <row r="1274" spans="1:6" x14ac:dyDescent="0.25">
      <c r="A1274" t="s">
        <v>2443</v>
      </c>
      <c r="B1274" t="s">
        <v>2919</v>
      </c>
      <c r="C1274" t="s">
        <v>2919</v>
      </c>
      <c r="D1274" t="s">
        <v>2671</v>
      </c>
      <c r="E1274" t="s">
        <v>2773</v>
      </c>
      <c r="F1274" t="s">
        <v>1683</v>
      </c>
    </row>
    <row r="1275" spans="1:6" x14ac:dyDescent="0.25">
      <c r="A1275" t="s">
        <v>2443</v>
      </c>
      <c r="B1275" t="s">
        <v>2919</v>
      </c>
      <c r="C1275" t="s">
        <v>2919</v>
      </c>
      <c r="D1275" t="s">
        <v>2645</v>
      </c>
      <c r="E1275" t="s">
        <v>2755</v>
      </c>
      <c r="F1275" t="s">
        <v>1682</v>
      </c>
    </row>
    <row r="1276" spans="1:6" x14ac:dyDescent="0.25">
      <c r="A1276" t="s">
        <v>2443</v>
      </c>
      <c r="B1276" t="s">
        <v>2928</v>
      </c>
      <c r="C1276" t="s">
        <v>2916</v>
      </c>
      <c r="D1276" t="s">
        <v>2641</v>
      </c>
      <c r="E1276" t="s">
        <v>2829</v>
      </c>
      <c r="F1276" t="s">
        <v>1673</v>
      </c>
    </row>
    <row r="1277" spans="1:6" x14ac:dyDescent="0.25">
      <c r="A1277" t="s">
        <v>2443</v>
      </c>
      <c r="B1277" t="s">
        <v>2928</v>
      </c>
      <c r="C1277" t="s">
        <v>2916</v>
      </c>
      <c r="D1277" t="s">
        <v>2641</v>
      </c>
      <c r="E1277" t="s">
        <v>2845</v>
      </c>
      <c r="F1277" t="s">
        <v>1674</v>
      </c>
    </row>
    <row r="1278" spans="1:6" x14ac:dyDescent="0.25">
      <c r="A1278" t="s">
        <v>2446</v>
      </c>
      <c r="B1278" t="s">
        <v>2927</v>
      </c>
      <c r="C1278" t="s">
        <v>2914</v>
      </c>
      <c r="D1278" t="s">
        <v>2637</v>
      </c>
      <c r="E1278" t="s">
        <v>2761</v>
      </c>
      <c r="F1278" t="s">
        <v>653</v>
      </c>
    </row>
    <row r="1279" spans="1:6" x14ac:dyDescent="0.25">
      <c r="A1279" t="s">
        <v>2446</v>
      </c>
      <c r="B1279" t="s">
        <v>2927</v>
      </c>
      <c r="C1279" t="s">
        <v>2917</v>
      </c>
      <c r="D1279" t="s">
        <v>490</v>
      </c>
      <c r="E1279" t="s">
        <v>2794</v>
      </c>
      <c r="F1279" t="s">
        <v>1697</v>
      </c>
    </row>
    <row r="1280" spans="1:6" x14ac:dyDescent="0.25">
      <c r="A1280" t="s">
        <v>2446</v>
      </c>
      <c r="B1280" t="s">
        <v>2927</v>
      </c>
      <c r="C1280" t="s">
        <v>2917</v>
      </c>
      <c r="D1280" t="s">
        <v>1206</v>
      </c>
      <c r="E1280" t="s">
        <v>2753</v>
      </c>
      <c r="F1280" t="s">
        <v>1702</v>
      </c>
    </row>
    <row r="1281" spans="1:6" x14ac:dyDescent="0.25">
      <c r="A1281" t="s">
        <v>2446</v>
      </c>
      <c r="B1281" t="s">
        <v>2927</v>
      </c>
      <c r="C1281" t="s">
        <v>2917</v>
      </c>
      <c r="D1281" t="s">
        <v>748</v>
      </c>
      <c r="E1281" t="s">
        <v>2803</v>
      </c>
      <c r="F1281" t="s">
        <v>1700</v>
      </c>
    </row>
    <row r="1282" spans="1:6" x14ac:dyDescent="0.25">
      <c r="A1282" t="s">
        <v>2446</v>
      </c>
      <c r="B1282" t="s">
        <v>2921</v>
      </c>
      <c r="C1282" t="s">
        <v>2918</v>
      </c>
      <c r="D1282" t="s">
        <v>2639</v>
      </c>
      <c r="E1282" t="s">
        <v>2842</v>
      </c>
      <c r="F1282" t="s">
        <v>1693</v>
      </c>
    </row>
    <row r="1283" spans="1:6" x14ac:dyDescent="0.25">
      <c r="A1283" t="s">
        <v>2446</v>
      </c>
      <c r="B1283" t="s">
        <v>2921</v>
      </c>
      <c r="C1283" t="s">
        <v>2918</v>
      </c>
      <c r="D1283" t="s">
        <v>2639</v>
      </c>
      <c r="E1283" t="s">
        <v>2874</v>
      </c>
      <c r="F1283" t="s">
        <v>1691</v>
      </c>
    </row>
    <row r="1284" spans="1:6" x14ac:dyDescent="0.25">
      <c r="A1284" t="s">
        <v>2446</v>
      </c>
      <c r="B1284" t="s">
        <v>2921</v>
      </c>
      <c r="C1284" t="s">
        <v>2918</v>
      </c>
      <c r="D1284" t="s">
        <v>2639</v>
      </c>
      <c r="E1284" t="s">
        <v>2874</v>
      </c>
      <c r="F1284" t="s">
        <v>1692</v>
      </c>
    </row>
    <row r="1285" spans="1:6" x14ac:dyDescent="0.25">
      <c r="A1285" t="s">
        <v>2446</v>
      </c>
      <c r="B1285" t="s">
        <v>2921</v>
      </c>
      <c r="C1285" t="s">
        <v>27</v>
      </c>
      <c r="D1285" t="s">
        <v>2930</v>
      </c>
      <c r="E1285" t="s">
        <v>2770</v>
      </c>
      <c r="F1285" t="s">
        <v>711</v>
      </c>
    </row>
    <row r="1286" spans="1:6" x14ac:dyDescent="0.25">
      <c r="A1286" t="s">
        <v>2446</v>
      </c>
      <c r="B1286" t="s">
        <v>2921</v>
      </c>
      <c r="C1286" t="s">
        <v>2920</v>
      </c>
      <c r="D1286" t="s">
        <v>2643</v>
      </c>
      <c r="E1286" t="s">
        <v>2780</v>
      </c>
      <c r="F1286" t="s">
        <v>1690</v>
      </c>
    </row>
    <row r="1287" spans="1:6" x14ac:dyDescent="0.25">
      <c r="A1287" t="s">
        <v>2446</v>
      </c>
      <c r="B1287" t="s">
        <v>2921</v>
      </c>
      <c r="C1287" t="s">
        <v>191</v>
      </c>
      <c r="D1287" t="s">
        <v>2138</v>
      </c>
      <c r="E1287" t="s">
        <v>2817</v>
      </c>
      <c r="F1287" t="s">
        <v>338</v>
      </c>
    </row>
    <row r="1288" spans="1:6" x14ac:dyDescent="0.25">
      <c r="A1288" t="s">
        <v>2446</v>
      </c>
      <c r="B1288" t="s">
        <v>2919</v>
      </c>
      <c r="C1288" t="s">
        <v>2919</v>
      </c>
      <c r="D1288" t="s">
        <v>2653</v>
      </c>
      <c r="E1288" t="s">
        <v>2765</v>
      </c>
      <c r="F1288" t="s">
        <v>1704</v>
      </c>
    </row>
    <row r="1289" spans="1:6" x14ac:dyDescent="0.25">
      <c r="A1289" t="s">
        <v>2446</v>
      </c>
      <c r="B1289" t="s">
        <v>2919</v>
      </c>
      <c r="C1289" t="s">
        <v>2919</v>
      </c>
      <c r="D1289" t="s">
        <v>2648</v>
      </c>
      <c r="E1289" t="s">
        <v>2795</v>
      </c>
      <c r="F1289" t="s">
        <v>1703</v>
      </c>
    </row>
    <row r="1290" spans="1:6" x14ac:dyDescent="0.25">
      <c r="A1290" t="s">
        <v>2446</v>
      </c>
      <c r="B1290" t="s">
        <v>2919</v>
      </c>
      <c r="C1290" t="s">
        <v>2919</v>
      </c>
      <c r="D1290" t="s">
        <v>2676</v>
      </c>
      <c r="E1290" t="s">
        <v>2791</v>
      </c>
      <c r="F1290" t="s">
        <v>1696</v>
      </c>
    </row>
    <row r="1291" spans="1:6" x14ac:dyDescent="0.25">
      <c r="A1291" t="s">
        <v>2446</v>
      </c>
      <c r="B1291" t="s">
        <v>2928</v>
      </c>
      <c r="C1291" t="s">
        <v>2916</v>
      </c>
      <c r="D1291" t="s">
        <v>2638</v>
      </c>
      <c r="E1291" t="s">
        <v>2765</v>
      </c>
      <c r="F1291" t="s">
        <v>927</v>
      </c>
    </row>
    <row r="1292" spans="1:6" x14ac:dyDescent="0.25">
      <c r="A1292" t="s">
        <v>2446</v>
      </c>
      <c r="B1292" t="s">
        <v>2928</v>
      </c>
      <c r="C1292" t="s">
        <v>2916</v>
      </c>
      <c r="D1292" t="s">
        <v>2638</v>
      </c>
      <c r="E1292" t="s">
        <v>2790</v>
      </c>
      <c r="F1292" t="s">
        <v>906</v>
      </c>
    </row>
    <row r="1293" spans="1:6" x14ac:dyDescent="0.25">
      <c r="A1293" t="s">
        <v>2446</v>
      </c>
      <c r="B1293" t="s">
        <v>2928</v>
      </c>
      <c r="C1293" t="s">
        <v>2916</v>
      </c>
      <c r="D1293" t="s">
        <v>2638</v>
      </c>
      <c r="E1293" t="s">
        <v>2755</v>
      </c>
      <c r="F1293" t="s">
        <v>1689</v>
      </c>
    </row>
    <row r="1294" spans="1:6" x14ac:dyDescent="0.25">
      <c r="A1294" t="s">
        <v>2449</v>
      </c>
      <c r="B1294" t="s">
        <v>2927</v>
      </c>
      <c r="C1294" t="s">
        <v>2914</v>
      </c>
      <c r="D1294" t="s">
        <v>2637</v>
      </c>
      <c r="E1294" t="s">
        <v>2803</v>
      </c>
      <c r="F1294" t="s">
        <v>1716</v>
      </c>
    </row>
    <row r="1295" spans="1:6" x14ac:dyDescent="0.25">
      <c r="A1295" t="s">
        <v>2449</v>
      </c>
      <c r="B1295" t="s">
        <v>2927</v>
      </c>
      <c r="C1295" t="s">
        <v>2917</v>
      </c>
      <c r="D1295" t="s">
        <v>2659</v>
      </c>
      <c r="E1295" t="s">
        <v>2776</v>
      </c>
      <c r="F1295" t="s">
        <v>1718</v>
      </c>
    </row>
    <row r="1296" spans="1:6" x14ac:dyDescent="0.25">
      <c r="A1296" t="s">
        <v>2449</v>
      </c>
      <c r="B1296" t="s">
        <v>2927</v>
      </c>
      <c r="C1296" t="s">
        <v>2917</v>
      </c>
      <c r="D1296" t="s">
        <v>1206</v>
      </c>
      <c r="E1296" t="s">
        <v>2776</v>
      </c>
      <c r="F1296" t="s">
        <v>1717</v>
      </c>
    </row>
    <row r="1297" spans="1:6" x14ac:dyDescent="0.25">
      <c r="A1297" t="s">
        <v>2449</v>
      </c>
      <c r="B1297" t="s">
        <v>75</v>
      </c>
      <c r="C1297" t="s">
        <v>75</v>
      </c>
      <c r="D1297" t="s">
        <v>2646</v>
      </c>
      <c r="E1297" t="s">
        <v>2776</v>
      </c>
      <c r="F1297" t="s">
        <v>964</v>
      </c>
    </row>
    <row r="1298" spans="1:6" x14ac:dyDescent="0.25">
      <c r="A1298" t="s">
        <v>2449</v>
      </c>
      <c r="B1298" t="s">
        <v>2921</v>
      </c>
      <c r="C1298" t="s">
        <v>2918</v>
      </c>
      <c r="D1298" t="s">
        <v>2639</v>
      </c>
      <c r="E1298" t="s">
        <v>2792</v>
      </c>
      <c r="F1298" t="s">
        <v>1012</v>
      </c>
    </row>
    <row r="1299" spans="1:6" x14ac:dyDescent="0.25">
      <c r="A1299" t="s">
        <v>2449</v>
      </c>
      <c r="B1299" t="s">
        <v>2921</v>
      </c>
      <c r="C1299" t="s">
        <v>2918</v>
      </c>
      <c r="D1299" t="s">
        <v>2639</v>
      </c>
      <c r="E1299" t="s">
        <v>2875</v>
      </c>
      <c r="F1299" t="s">
        <v>1708</v>
      </c>
    </row>
    <row r="1300" spans="1:6" x14ac:dyDescent="0.25">
      <c r="A1300" t="s">
        <v>2449</v>
      </c>
      <c r="B1300" t="s">
        <v>2921</v>
      </c>
      <c r="C1300" t="s">
        <v>2920</v>
      </c>
      <c r="D1300" t="s">
        <v>2667</v>
      </c>
      <c r="E1300" t="s">
        <v>2829</v>
      </c>
      <c r="F1300" t="s">
        <v>1713</v>
      </c>
    </row>
    <row r="1301" spans="1:6" x14ac:dyDescent="0.25">
      <c r="A1301" t="s">
        <v>2449</v>
      </c>
      <c r="B1301" t="s">
        <v>2921</v>
      </c>
      <c r="C1301" t="s">
        <v>2920</v>
      </c>
      <c r="D1301" t="s">
        <v>2643</v>
      </c>
      <c r="E1301" t="s">
        <v>2829</v>
      </c>
      <c r="F1301" t="s">
        <v>1247</v>
      </c>
    </row>
    <row r="1302" spans="1:6" x14ac:dyDescent="0.25">
      <c r="A1302" t="s">
        <v>2449</v>
      </c>
      <c r="B1302" t="s">
        <v>2921</v>
      </c>
      <c r="C1302" t="s">
        <v>191</v>
      </c>
      <c r="D1302" t="s">
        <v>2138</v>
      </c>
      <c r="E1302" t="s">
        <v>2817</v>
      </c>
      <c r="F1302" t="s">
        <v>338</v>
      </c>
    </row>
    <row r="1303" spans="1:6" x14ac:dyDescent="0.25">
      <c r="A1303" t="s">
        <v>2449</v>
      </c>
      <c r="B1303" t="s">
        <v>2919</v>
      </c>
      <c r="C1303" t="s">
        <v>2919</v>
      </c>
      <c r="D1303" t="s">
        <v>2648</v>
      </c>
      <c r="E1303" t="s">
        <v>2823</v>
      </c>
      <c r="F1303" t="s">
        <v>1722</v>
      </c>
    </row>
    <row r="1304" spans="1:6" x14ac:dyDescent="0.25">
      <c r="A1304" t="s">
        <v>2449</v>
      </c>
      <c r="B1304" t="s">
        <v>2919</v>
      </c>
      <c r="C1304" t="s">
        <v>2919</v>
      </c>
      <c r="D1304" t="s">
        <v>2676</v>
      </c>
      <c r="E1304" t="s">
        <v>2786</v>
      </c>
      <c r="F1304" t="s">
        <v>1709</v>
      </c>
    </row>
    <row r="1305" spans="1:6" x14ac:dyDescent="0.25">
      <c r="A1305" t="s">
        <v>2449</v>
      </c>
      <c r="B1305" t="s">
        <v>2919</v>
      </c>
      <c r="C1305" t="s">
        <v>2919</v>
      </c>
      <c r="D1305" t="s">
        <v>2654</v>
      </c>
      <c r="E1305" t="s">
        <v>2823</v>
      </c>
      <c r="F1305" t="s">
        <v>1721</v>
      </c>
    </row>
    <row r="1306" spans="1:6" x14ac:dyDescent="0.25">
      <c r="A1306" t="s">
        <v>2449</v>
      </c>
      <c r="B1306" t="s">
        <v>2928</v>
      </c>
      <c r="C1306" t="s">
        <v>2916</v>
      </c>
      <c r="D1306" t="s">
        <v>2638</v>
      </c>
      <c r="E1306" t="s">
        <v>2778</v>
      </c>
      <c r="F1306" t="s">
        <v>1707</v>
      </c>
    </row>
    <row r="1307" spans="1:6" x14ac:dyDescent="0.25">
      <c r="A1307" t="s">
        <v>2449</v>
      </c>
      <c r="B1307" t="s">
        <v>2928</v>
      </c>
      <c r="C1307" t="s">
        <v>2916</v>
      </c>
      <c r="D1307" t="s">
        <v>2638</v>
      </c>
      <c r="E1307" t="s">
        <v>2797</v>
      </c>
      <c r="F1307" t="s">
        <v>1181</v>
      </c>
    </row>
    <row r="1308" spans="1:6" x14ac:dyDescent="0.25">
      <c r="A1308" t="s">
        <v>2449</v>
      </c>
      <c r="B1308" t="s">
        <v>2928</v>
      </c>
      <c r="C1308" t="s">
        <v>2916</v>
      </c>
      <c r="D1308" t="s">
        <v>2638</v>
      </c>
      <c r="E1308" t="s">
        <v>2755</v>
      </c>
      <c r="F1308" t="s">
        <v>1706</v>
      </c>
    </row>
    <row r="1309" spans="1:6" x14ac:dyDescent="0.25">
      <c r="A1309" t="s">
        <v>2452</v>
      </c>
      <c r="B1309" t="s">
        <v>2927</v>
      </c>
      <c r="C1309" t="s">
        <v>2917</v>
      </c>
      <c r="D1309" t="s">
        <v>490</v>
      </c>
      <c r="E1309" t="s">
        <v>2792</v>
      </c>
      <c r="F1309" t="s">
        <v>1725</v>
      </c>
    </row>
    <row r="1310" spans="1:6" x14ac:dyDescent="0.25">
      <c r="A1310" t="s">
        <v>2452</v>
      </c>
      <c r="B1310" t="s">
        <v>2927</v>
      </c>
      <c r="C1310" t="s">
        <v>2917</v>
      </c>
      <c r="D1310" t="s">
        <v>217</v>
      </c>
      <c r="E1310" t="s">
        <v>2771</v>
      </c>
      <c r="F1310" t="s">
        <v>1726</v>
      </c>
    </row>
    <row r="1311" spans="1:6" x14ac:dyDescent="0.25">
      <c r="A1311" t="s">
        <v>2452</v>
      </c>
      <c r="B1311" t="s">
        <v>75</v>
      </c>
      <c r="C1311" t="s">
        <v>75</v>
      </c>
      <c r="D1311" t="s">
        <v>2640</v>
      </c>
      <c r="E1311" t="s">
        <v>2876</v>
      </c>
      <c r="F1311" t="s">
        <v>1724</v>
      </c>
    </row>
    <row r="1312" spans="1:6" x14ac:dyDescent="0.25">
      <c r="A1312" t="s">
        <v>2452</v>
      </c>
      <c r="B1312" t="s">
        <v>2921</v>
      </c>
      <c r="C1312" t="s">
        <v>2918</v>
      </c>
      <c r="D1312" t="s">
        <v>2639</v>
      </c>
      <c r="E1312" t="s">
        <v>2838</v>
      </c>
      <c r="F1312" t="s">
        <v>1723</v>
      </c>
    </row>
    <row r="1313" spans="1:6" x14ac:dyDescent="0.25">
      <c r="A1313" t="s">
        <v>2452</v>
      </c>
      <c r="B1313" t="s">
        <v>2921</v>
      </c>
      <c r="C1313" t="s">
        <v>2920</v>
      </c>
      <c r="D1313" t="s">
        <v>2643</v>
      </c>
      <c r="E1313" t="s">
        <v>2780</v>
      </c>
      <c r="F1313" t="s">
        <v>1690</v>
      </c>
    </row>
    <row r="1314" spans="1:6" x14ac:dyDescent="0.25">
      <c r="A1314" t="s">
        <v>2452</v>
      </c>
      <c r="B1314" t="s">
        <v>2919</v>
      </c>
      <c r="C1314" t="s">
        <v>2919</v>
      </c>
      <c r="D1314" t="s">
        <v>2653</v>
      </c>
      <c r="E1314" t="s">
        <v>2859</v>
      </c>
      <c r="F1314" t="s">
        <v>1728</v>
      </c>
    </row>
    <row r="1315" spans="1:6" x14ac:dyDescent="0.25">
      <c r="A1315" t="s">
        <v>2452</v>
      </c>
      <c r="B1315" t="s">
        <v>2919</v>
      </c>
      <c r="C1315" t="s">
        <v>2919</v>
      </c>
      <c r="D1315" t="s">
        <v>2648</v>
      </c>
      <c r="E1315" t="s">
        <v>2841</v>
      </c>
      <c r="F1315" t="s">
        <v>1729</v>
      </c>
    </row>
    <row r="1316" spans="1:6" x14ac:dyDescent="0.25">
      <c r="A1316" t="s">
        <v>2452</v>
      </c>
      <c r="B1316" t="s">
        <v>2928</v>
      </c>
      <c r="C1316" t="s">
        <v>2916</v>
      </c>
      <c r="D1316" t="s">
        <v>2638</v>
      </c>
      <c r="E1316" t="s">
        <v>2765</v>
      </c>
      <c r="F1316" t="s">
        <v>927</v>
      </c>
    </row>
    <row r="1317" spans="1:6" x14ac:dyDescent="0.25">
      <c r="A1317" t="s">
        <v>2455</v>
      </c>
      <c r="B1317" t="s">
        <v>2927</v>
      </c>
      <c r="C1317" t="s">
        <v>2914</v>
      </c>
      <c r="D1317" t="s">
        <v>2637</v>
      </c>
      <c r="E1317" t="s">
        <v>2768</v>
      </c>
      <c r="F1317" t="s">
        <v>828</v>
      </c>
    </row>
    <row r="1318" spans="1:6" x14ac:dyDescent="0.25">
      <c r="A1318" t="s">
        <v>2455</v>
      </c>
      <c r="B1318" t="s">
        <v>2927</v>
      </c>
      <c r="C1318" t="s">
        <v>2914</v>
      </c>
      <c r="D1318" t="s">
        <v>2637</v>
      </c>
      <c r="E1318" t="s">
        <v>2768</v>
      </c>
      <c r="F1318" t="s">
        <v>1732</v>
      </c>
    </row>
    <row r="1319" spans="1:6" x14ac:dyDescent="0.25">
      <c r="A1319" t="s">
        <v>2455</v>
      </c>
      <c r="B1319" t="s">
        <v>2927</v>
      </c>
      <c r="C1319" t="s">
        <v>2914</v>
      </c>
      <c r="D1319" t="s">
        <v>2637</v>
      </c>
      <c r="E1319" t="s">
        <v>2757</v>
      </c>
      <c r="F1319" t="s">
        <v>896</v>
      </c>
    </row>
    <row r="1320" spans="1:6" x14ac:dyDescent="0.25">
      <c r="A1320" t="s">
        <v>2455</v>
      </c>
      <c r="B1320" t="s">
        <v>75</v>
      </c>
      <c r="C1320" t="s">
        <v>75</v>
      </c>
      <c r="D1320" t="s">
        <v>2640</v>
      </c>
      <c r="E1320" t="s">
        <v>2753</v>
      </c>
      <c r="F1320" t="s">
        <v>1731</v>
      </c>
    </row>
    <row r="1321" spans="1:6" x14ac:dyDescent="0.25">
      <c r="A1321" t="s">
        <v>2455</v>
      </c>
      <c r="B1321" t="s">
        <v>75</v>
      </c>
      <c r="C1321" t="s">
        <v>75</v>
      </c>
      <c r="D1321" t="s">
        <v>2640</v>
      </c>
      <c r="E1321" t="s">
        <v>2753</v>
      </c>
      <c r="F1321" t="s">
        <v>368</v>
      </c>
    </row>
    <row r="1322" spans="1:6" x14ac:dyDescent="0.25">
      <c r="A1322" t="s">
        <v>2455</v>
      </c>
      <c r="B1322" t="s">
        <v>2921</v>
      </c>
      <c r="C1322" t="s">
        <v>2918</v>
      </c>
      <c r="D1322" t="s">
        <v>2639</v>
      </c>
      <c r="E1322" t="s">
        <v>2848</v>
      </c>
      <c r="F1322" t="s">
        <v>1730</v>
      </c>
    </row>
    <row r="1323" spans="1:6" x14ac:dyDescent="0.25">
      <c r="A1323" t="s">
        <v>2455</v>
      </c>
      <c r="B1323" t="s">
        <v>2921</v>
      </c>
      <c r="C1323" t="s">
        <v>2921</v>
      </c>
      <c r="D1323" t="s">
        <v>2644</v>
      </c>
      <c r="E1323" t="s">
        <v>2761</v>
      </c>
      <c r="F1323" t="s">
        <v>1734</v>
      </c>
    </row>
    <row r="1324" spans="1:6" x14ac:dyDescent="0.25">
      <c r="A1324" t="s">
        <v>2455</v>
      </c>
      <c r="B1324" t="s">
        <v>2919</v>
      </c>
      <c r="C1324" t="s">
        <v>2919</v>
      </c>
      <c r="D1324" t="s">
        <v>2653</v>
      </c>
      <c r="E1324" t="s">
        <v>2756</v>
      </c>
      <c r="F1324" t="s">
        <v>1733</v>
      </c>
    </row>
    <row r="1325" spans="1:6" x14ac:dyDescent="0.25">
      <c r="A1325" t="s">
        <v>2455</v>
      </c>
      <c r="B1325" t="s">
        <v>2919</v>
      </c>
      <c r="C1325" t="s">
        <v>2919</v>
      </c>
      <c r="D1325" t="s">
        <v>2648</v>
      </c>
      <c r="E1325" t="s">
        <v>2755</v>
      </c>
      <c r="F1325" t="s">
        <v>1384</v>
      </c>
    </row>
    <row r="1326" spans="1:6" x14ac:dyDescent="0.25">
      <c r="A1326" t="s">
        <v>2455</v>
      </c>
      <c r="B1326" t="s">
        <v>2928</v>
      </c>
      <c r="C1326" t="s">
        <v>2916</v>
      </c>
      <c r="D1326" t="s">
        <v>2638</v>
      </c>
      <c r="E1326" t="s">
        <v>2774</v>
      </c>
      <c r="F1326" t="s">
        <v>334</v>
      </c>
    </row>
    <row r="1327" spans="1:6" x14ac:dyDescent="0.25">
      <c r="A1327" t="s">
        <v>2455</v>
      </c>
      <c r="B1327" t="s">
        <v>2928</v>
      </c>
      <c r="C1327" t="s">
        <v>2916</v>
      </c>
      <c r="D1327" t="s">
        <v>2638</v>
      </c>
      <c r="E1327" t="s">
        <v>2797</v>
      </c>
      <c r="F1327" t="s">
        <v>434</v>
      </c>
    </row>
    <row r="1328" spans="1:6" x14ac:dyDescent="0.25">
      <c r="A1328" t="s">
        <v>2458</v>
      </c>
      <c r="B1328" t="s">
        <v>2927</v>
      </c>
      <c r="C1328" t="s">
        <v>2917</v>
      </c>
      <c r="D1328" t="s">
        <v>490</v>
      </c>
      <c r="E1328" t="s">
        <v>2770</v>
      </c>
      <c r="F1328" t="s">
        <v>1737</v>
      </c>
    </row>
    <row r="1329" spans="1:6" x14ac:dyDescent="0.25">
      <c r="A1329" t="s">
        <v>2458</v>
      </c>
      <c r="B1329" t="s">
        <v>2927</v>
      </c>
      <c r="C1329" t="s">
        <v>2917</v>
      </c>
      <c r="D1329" t="s">
        <v>1206</v>
      </c>
      <c r="E1329" t="s">
        <v>2760</v>
      </c>
      <c r="F1329" t="s">
        <v>1738</v>
      </c>
    </row>
    <row r="1330" spans="1:6" x14ac:dyDescent="0.25">
      <c r="A1330" t="s">
        <v>2458</v>
      </c>
      <c r="B1330" t="s">
        <v>2921</v>
      </c>
      <c r="C1330" t="s">
        <v>2918</v>
      </c>
      <c r="D1330" t="s">
        <v>2639</v>
      </c>
      <c r="E1330" t="s">
        <v>2794</v>
      </c>
      <c r="F1330" t="s">
        <v>889</v>
      </c>
    </row>
    <row r="1331" spans="1:6" x14ac:dyDescent="0.25">
      <c r="A1331" t="s">
        <v>2458</v>
      </c>
      <c r="B1331" t="s">
        <v>2919</v>
      </c>
      <c r="C1331" t="s">
        <v>2919</v>
      </c>
      <c r="D1331" t="s">
        <v>2653</v>
      </c>
      <c r="E1331" t="s">
        <v>2841</v>
      </c>
      <c r="F1331" t="s">
        <v>1322</v>
      </c>
    </row>
    <row r="1332" spans="1:6" x14ac:dyDescent="0.25">
      <c r="A1332" t="s">
        <v>2458</v>
      </c>
      <c r="B1332" t="s">
        <v>2919</v>
      </c>
      <c r="C1332" t="s">
        <v>2919</v>
      </c>
      <c r="D1332" t="s">
        <v>2648</v>
      </c>
      <c r="E1332" t="s">
        <v>2752</v>
      </c>
      <c r="F1332" t="s">
        <v>1323</v>
      </c>
    </row>
    <row r="1333" spans="1:6" x14ac:dyDescent="0.25">
      <c r="A1333" t="s">
        <v>2458</v>
      </c>
      <c r="B1333" t="s">
        <v>2928</v>
      </c>
      <c r="C1333" t="s">
        <v>2916</v>
      </c>
      <c r="D1333" t="s">
        <v>2656</v>
      </c>
      <c r="E1333" t="s">
        <v>2780</v>
      </c>
      <c r="F1333" t="s">
        <v>1736</v>
      </c>
    </row>
    <row r="1334" spans="1:6" x14ac:dyDescent="0.25">
      <c r="A1334" t="s">
        <v>2458</v>
      </c>
      <c r="B1334" t="s">
        <v>2928</v>
      </c>
      <c r="C1334" t="s">
        <v>2916</v>
      </c>
      <c r="D1334" t="s">
        <v>2638</v>
      </c>
      <c r="E1334" t="s">
        <v>2786</v>
      </c>
      <c r="F1334" t="s">
        <v>1735</v>
      </c>
    </row>
    <row r="1335" spans="1:6" x14ac:dyDescent="0.25">
      <c r="A1335" t="s">
        <v>2461</v>
      </c>
      <c r="B1335" t="s">
        <v>2927</v>
      </c>
      <c r="C1335" t="s">
        <v>2914</v>
      </c>
      <c r="D1335" t="s">
        <v>2637</v>
      </c>
      <c r="E1335" t="s">
        <v>2763</v>
      </c>
      <c r="F1335" t="s">
        <v>1752</v>
      </c>
    </row>
    <row r="1336" spans="1:6" x14ac:dyDescent="0.25">
      <c r="A1336" t="s">
        <v>2461</v>
      </c>
      <c r="B1336" t="s">
        <v>2927</v>
      </c>
      <c r="C1336" t="s">
        <v>2914</v>
      </c>
      <c r="D1336" t="s">
        <v>2637</v>
      </c>
      <c r="E1336" t="s">
        <v>2793</v>
      </c>
      <c r="F1336" t="s">
        <v>1745</v>
      </c>
    </row>
    <row r="1337" spans="1:6" x14ac:dyDescent="0.25">
      <c r="A1337" t="s">
        <v>2461</v>
      </c>
      <c r="B1337" t="s">
        <v>2921</v>
      </c>
      <c r="C1337" t="s">
        <v>2918</v>
      </c>
      <c r="D1337" t="s">
        <v>2639</v>
      </c>
      <c r="E1337" t="s">
        <v>2768</v>
      </c>
      <c r="F1337" t="s">
        <v>479</v>
      </c>
    </row>
    <row r="1338" spans="1:6" x14ac:dyDescent="0.25">
      <c r="A1338" t="s">
        <v>2461</v>
      </c>
      <c r="B1338" t="s">
        <v>2921</v>
      </c>
      <c r="C1338" t="s">
        <v>2920</v>
      </c>
      <c r="D1338" t="s">
        <v>2643</v>
      </c>
      <c r="E1338" t="s">
        <v>2785</v>
      </c>
      <c r="F1338" t="s">
        <v>1741</v>
      </c>
    </row>
    <row r="1339" spans="1:6" x14ac:dyDescent="0.25">
      <c r="A1339" t="s">
        <v>2461</v>
      </c>
      <c r="B1339" t="s">
        <v>2921</v>
      </c>
      <c r="C1339" t="s">
        <v>2920</v>
      </c>
      <c r="D1339" t="s">
        <v>2643</v>
      </c>
      <c r="E1339" t="s">
        <v>2791</v>
      </c>
      <c r="F1339" t="s">
        <v>1742</v>
      </c>
    </row>
    <row r="1340" spans="1:6" x14ac:dyDescent="0.25">
      <c r="A1340" t="s">
        <v>2461</v>
      </c>
      <c r="B1340" t="s">
        <v>2921</v>
      </c>
      <c r="C1340" t="s">
        <v>2921</v>
      </c>
      <c r="D1340" t="s">
        <v>2644</v>
      </c>
      <c r="E1340" t="s">
        <v>2878</v>
      </c>
      <c r="F1340" t="s">
        <v>1751</v>
      </c>
    </row>
    <row r="1341" spans="1:6" x14ac:dyDescent="0.25">
      <c r="A1341" t="s">
        <v>2461</v>
      </c>
      <c r="B1341" t="s">
        <v>2921</v>
      </c>
      <c r="C1341" t="s">
        <v>191</v>
      </c>
      <c r="D1341" t="s">
        <v>2138</v>
      </c>
      <c r="E1341" t="s">
        <v>2817</v>
      </c>
      <c r="F1341" t="s">
        <v>338</v>
      </c>
    </row>
    <row r="1342" spans="1:6" x14ac:dyDescent="0.25">
      <c r="A1342" t="s">
        <v>2461</v>
      </c>
      <c r="B1342" t="s">
        <v>2919</v>
      </c>
      <c r="C1342" t="s">
        <v>2919</v>
      </c>
      <c r="D1342" t="s">
        <v>2653</v>
      </c>
      <c r="E1342" t="s">
        <v>2756</v>
      </c>
      <c r="F1342" t="s">
        <v>1749</v>
      </c>
    </row>
    <row r="1343" spans="1:6" x14ac:dyDescent="0.25">
      <c r="A1343" t="s">
        <v>2461</v>
      </c>
      <c r="B1343" t="s">
        <v>2919</v>
      </c>
      <c r="C1343" t="s">
        <v>2919</v>
      </c>
      <c r="D1343" t="s">
        <v>2648</v>
      </c>
      <c r="E1343" t="s">
        <v>2877</v>
      </c>
      <c r="F1343" t="s">
        <v>1750</v>
      </c>
    </row>
    <row r="1344" spans="1:6" x14ac:dyDescent="0.25">
      <c r="A1344" t="s">
        <v>2461</v>
      </c>
      <c r="B1344" t="s">
        <v>2928</v>
      </c>
      <c r="C1344" t="s">
        <v>2916</v>
      </c>
      <c r="D1344" t="s">
        <v>2656</v>
      </c>
      <c r="E1344" t="s">
        <v>2774</v>
      </c>
      <c r="F1344" t="s">
        <v>527</v>
      </c>
    </row>
    <row r="1345" spans="1:6" x14ac:dyDescent="0.25">
      <c r="A1345" t="s">
        <v>2461</v>
      </c>
      <c r="B1345" t="s">
        <v>2928</v>
      </c>
      <c r="C1345" t="s">
        <v>2916</v>
      </c>
      <c r="D1345" t="s">
        <v>2638</v>
      </c>
      <c r="E1345" t="s">
        <v>2765</v>
      </c>
      <c r="F1345" t="s">
        <v>1739</v>
      </c>
    </row>
    <row r="1346" spans="1:6" x14ac:dyDescent="0.25">
      <c r="A1346" t="s">
        <v>2461</v>
      </c>
      <c r="B1346" t="s">
        <v>2928</v>
      </c>
      <c r="C1346" t="s">
        <v>2916</v>
      </c>
      <c r="D1346" t="s">
        <v>2638</v>
      </c>
      <c r="E1346" t="s">
        <v>2795</v>
      </c>
      <c r="F1346" t="s">
        <v>1740</v>
      </c>
    </row>
    <row r="1347" spans="1:6" x14ac:dyDescent="0.25">
      <c r="A1347" t="s">
        <v>2464</v>
      </c>
      <c r="B1347" t="s">
        <v>2927</v>
      </c>
      <c r="C1347" t="s">
        <v>2914</v>
      </c>
      <c r="D1347" t="s">
        <v>2637</v>
      </c>
      <c r="E1347" t="s">
        <v>2803</v>
      </c>
      <c r="F1347" t="s">
        <v>1716</v>
      </c>
    </row>
    <row r="1348" spans="1:6" x14ac:dyDescent="0.25">
      <c r="A1348" t="s">
        <v>2464</v>
      </c>
      <c r="B1348" t="s">
        <v>2927</v>
      </c>
      <c r="C1348" t="s">
        <v>2917</v>
      </c>
      <c r="D1348" t="s">
        <v>2659</v>
      </c>
      <c r="E1348" t="s">
        <v>2770</v>
      </c>
      <c r="F1348" t="s">
        <v>1757</v>
      </c>
    </row>
    <row r="1349" spans="1:6" x14ac:dyDescent="0.25">
      <c r="A1349" t="s">
        <v>2464</v>
      </c>
      <c r="B1349" t="s">
        <v>2927</v>
      </c>
      <c r="C1349" t="s">
        <v>2917</v>
      </c>
      <c r="D1349" t="s">
        <v>325</v>
      </c>
      <c r="E1349" t="s">
        <v>2801</v>
      </c>
      <c r="F1349" t="s">
        <v>1758</v>
      </c>
    </row>
    <row r="1350" spans="1:6" x14ac:dyDescent="0.25">
      <c r="A1350" t="s">
        <v>2464</v>
      </c>
      <c r="B1350" t="s">
        <v>2927</v>
      </c>
      <c r="C1350" t="s">
        <v>2917</v>
      </c>
      <c r="D1350" t="s">
        <v>1206</v>
      </c>
      <c r="E1350" t="s">
        <v>2770</v>
      </c>
      <c r="F1350" t="s">
        <v>1756</v>
      </c>
    </row>
    <row r="1351" spans="1:6" x14ac:dyDescent="0.25">
      <c r="A1351" t="s">
        <v>2464</v>
      </c>
      <c r="B1351" t="s">
        <v>2927</v>
      </c>
      <c r="C1351" t="s">
        <v>2917</v>
      </c>
      <c r="D1351" t="s">
        <v>2679</v>
      </c>
      <c r="E1351" t="s">
        <v>2793</v>
      </c>
      <c r="F1351" t="s">
        <v>1761</v>
      </c>
    </row>
    <row r="1352" spans="1:6" x14ac:dyDescent="0.25">
      <c r="A1352" t="s">
        <v>2464</v>
      </c>
      <c r="B1352" t="s">
        <v>2921</v>
      </c>
      <c r="C1352" t="s">
        <v>2920</v>
      </c>
      <c r="D1352" t="s">
        <v>2643</v>
      </c>
      <c r="E1352" t="s">
        <v>2756</v>
      </c>
      <c r="F1352" t="s">
        <v>1215</v>
      </c>
    </row>
    <row r="1353" spans="1:6" x14ac:dyDescent="0.25">
      <c r="A1353" t="s">
        <v>2464</v>
      </c>
      <c r="B1353" t="s">
        <v>2921</v>
      </c>
      <c r="C1353" t="s">
        <v>191</v>
      </c>
      <c r="D1353" t="s">
        <v>2138</v>
      </c>
      <c r="E1353" t="s">
        <v>2817</v>
      </c>
      <c r="F1353" t="s">
        <v>338</v>
      </c>
    </row>
    <row r="1354" spans="1:6" x14ac:dyDescent="0.25">
      <c r="A1354" t="s">
        <v>2464</v>
      </c>
      <c r="B1354" t="s">
        <v>2919</v>
      </c>
      <c r="C1354" t="s">
        <v>2919</v>
      </c>
      <c r="D1354" t="s">
        <v>2653</v>
      </c>
      <c r="E1354" t="s">
        <v>2786</v>
      </c>
      <c r="F1354" t="s">
        <v>1762</v>
      </c>
    </row>
    <row r="1355" spans="1:6" x14ac:dyDescent="0.25">
      <c r="A1355" t="s">
        <v>2464</v>
      </c>
      <c r="B1355" t="s">
        <v>2919</v>
      </c>
      <c r="C1355" t="s">
        <v>2919</v>
      </c>
      <c r="D1355" t="s">
        <v>2648</v>
      </c>
      <c r="E1355" t="s">
        <v>2767</v>
      </c>
      <c r="F1355" t="s">
        <v>1765</v>
      </c>
    </row>
    <row r="1356" spans="1:6" x14ac:dyDescent="0.25">
      <c r="A1356" t="s">
        <v>2464</v>
      </c>
      <c r="B1356" t="s">
        <v>2919</v>
      </c>
      <c r="C1356" t="s">
        <v>2919</v>
      </c>
      <c r="D1356" t="s">
        <v>2676</v>
      </c>
      <c r="E1356" t="s">
        <v>2786</v>
      </c>
      <c r="F1356" t="s">
        <v>1709</v>
      </c>
    </row>
    <row r="1357" spans="1:6" x14ac:dyDescent="0.25">
      <c r="A1357" t="s">
        <v>2464</v>
      </c>
      <c r="B1357" t="s">
        <v>2928</v>
      </c>
      <c r="C1357" t="s">
        <v>2916</v>
      </c>
      <c r="D1357" t="s">
        <v>2642</v>
      </c>
      <c r="E1357" t="s">
        <v>2778</v>
      </c>
      <c r="F1357" t="s">
        <v>1755</v>
      </c>
    </row>
    <row r="1358" spans="1:6" x14ac:dyDescent="0.25">
      <c r="A1358" t="s">
        <v>2464</v>
      </c>
      <c r="B1358" t="s">
        <v>2928</v>
      </c>
      <c r="C1358" t="s">
        <v>2916</v>
      </c>
      <c r="D1358" t="s">
        <v>2642</v>
      </c>
      <c r="E1358" t="s">
        <v>2778</v>
      </c>
      <c r="F1358" t="s">
        <v>1754</v>
      </c>
    </row>
    <row r="1359" spans="1:6" x14ac:dyDescent="0.25">
      <c r="A1359" t="s">
        <v>2464</v>
      </c>
      <c r="B1359" t="s">
        <v>2928</v>
      </c>
      <c r="C1359" t="s">
        <v>2916</v>
      </c>
      <c r="D1359" t="s">
        <v>2638</v>
      </c>
      <c r="E1359" t="s">
        <v>2766</v>
      </c>
      <c r="F1359" t="s">
        <v>1753</v>
      </c>
    </row>
    <row r="1360" spans="1:6" x14ac:dyDescent="0.25">
      <c r="A1360" t="s">
        <v>2464</v>
      </c>
      <c r="B1360" t="s">
        <v>2928</v>
      </c>
      <c r="C1360" t="s">
        <v>2916</v>
      </c>
      <c r="D1360" t="s">
        <v>2638</v>
      </c>
      <c r="E1360" t="s">
        <v>2823</v>
      </c>
      <c r="F1360" t="s">
        <v>1255</v>
      </c>
    </row>
    <row r="1361" spans="1:6" x14ac:dyDescent="0.25">
      <c r="A1361" t="s">
        <v>2467</v>
      </c>
      <c r="B1361" t="s">
        <v>2927</v>
      </c>
      <c r="C1361" t="s">
        <v>2914</v>
      </c>
      <c r="D1361" t="s">
        <v>2637</v>
      </c>
      <c r="E1361" t="s">
        <v>2792</v>
      </c>
      <c r="F1361" t="s">
        <v>625</v>
      </c>
    </row>
    <row r="1362" spans="1:6" x14ac:dyDescent="0.25">
      <c r="A1362" t="s">
        <v>2467</v>
      </c>
      <c r="B1362" t="s">
        <v>2927</v>
      </c>
      <c r="C1362" t="s">
        <v>2917</v>
      </c>
      <c r="D1362" t="s">
        <v>2659</v>
      </c>
      <c r="E1362" t="s">
        <v>2794</v>
      </c>
      <c r="F1362" t="s">
        <v>1770</v>
      </c>
    </row>
    <row r="1363" spans="1:6" x14ac:dyDescent="0.25">
      <c r="A1363" t="s">
        <v>2467</v>
      </c>
      <c r="B1363" t="s">
        <v>2927</v>
      </c>
      <c r="C1363" t="s">
        <v>2917</v>
      </c>
      <c r="D1363" t="s">
        <v>490</v>
      </c>
      <c r="E1363" t="s">
        <v>2754</v>
      </c>
      <c r="F1363" t="s">
        <v>1769</v>
      </c>
    </row>
    <row r="1364" spans="1:6" x14ac:dyDescent="0.25">
      <c r="A1364" t="s">
        <v>2467</v>
      </c>
      <c r="B1364" t="s">
        <v>2927</v>
      </c>
      <c r="C1364" t="s">
        <v>2917</v>
      </c>
      <c r="D1364" t="s">
        <v>1206</v>
      </c>
      <c r="E1364" t="s">
        <v>2782</v>
      </c>
      <c r="F1364" t="s">
        <v>1777</v>
      </c>
    </row>
    <row r="1365" spans="1:6" x14ac:dyDescent="0.25">
      <c r="A1365" t="s">
        <v>2467</v>
      </c>
      <c r="B1365" t="s">
        <v>2927</v>
      </c>
      <c r="C1365" t="s">
        <v>2917</v>
      </c>
      <c r="D1365" t="s">
        <v>2679</v>
      </c>
      <c r="E1365" t="s">
        <v>2776</v>
      </c>
      <c r="F1365" t="s">
        <v>1771</v>
      </c>
    </row>
    <row r="1366" spans="1:6" x14ac:dyDescent="0.25">
      <c r="A1366" t="s">
        <v>2467</v>
      </c>
      <c r="B1366" t="s">
        <v>2921</v>
      </c>
      <c r="C1366" t="s">
        <v>2918</v>
      </c>
      <c r="D1366" t="s">
        <v>2639</v>
      </c>
      <c r="E1366" t="s">
        <v>2811</v>
      </c>
      <c r="F1366" t="s">
        <v>526</v>
      </c>
    </row>
    <row r="1367" spans="1:6" x14ac:dyDescent="0.25">
      <c r="A1367" t="s">
        <v>2467</v>
      </c>
      <c r="B1367" t="s">
        <v>2921</v>
      </c>
      <c r="C1367" t="s">
        <v>27</v>
      </c>
      <c r="D1367" t="s">
        <v>2930</v>
      </c>
      <c r="E1367" t="s">
        <v>2822</v>
      </c>
      <c r="F1367" t="s">
        <v>868</v>
      </c>
    </row>
    <row r="1368" spans="1:6" x14ac:dyDescent="0.25">
      <c r="A1368" t="s">
        <v>2467</v>
      </c>
      <c r="B1368" t="s">
        <v>2921</v>
      </c>
      <c r="C1368" t="s">
        <v>191</v>
      </c>
      <c r="D1368" t="s">
        <v>2138</v>
      </c>
      <c r="E1368" t="s">
        <v>2817</v>
      </c>
      <c r="F1368" t="s">
        <v>338</v>
      </c>
    </row>
    <row r="1369" spans="1:6" x14ac:dyDescent="0.25">
      <c r="A1369" t="s">
        <v>2467</v>
      </c>
      <c r="B1369" t="s">
        <v>2919</v>
      </c>
      <c r="C1369" t="s">
        <v>2919</v>
      </c>
      <c r="D1369" t="s">
        <v>2683</v>
      </c>
      <c r="E1369" t="s">
        <v>2829</v>
      </c>
      <c r="F1369" t="s">
        <v>1766</v>
      </c>
    </row>
    <row r="1370" spans="1:6" x14ac:dyDescent="0.25">
      <c r="A1370" t="s">
        <v>2467</v>
      </c>
      <c r="B1370" t="s">
        <v>2919</v>
      </c>
      <c r="C1370" t="s">
        <v>2919</v>
      </c>
      <c r="D1370" t="s">
        <v>2653</v>
      </c>
      <c r="E1370" t="s">
        <v>2774</v>
      </c>
      <c r="F1370" t="s">
        <v>1775</v>
      </c>
    </row>
    <row r="1371" spans="1:6" x14ac:dyDescent="0.25">
      <c r="A1371" t="s">
        <v>2467</v>
      </c>
      <c r="B1371" t="s">
        <v>2919</v>
      </c>
      <c r="C1371" t="s">
        <v>2919</v>
      </c>
      <c r="D1371" t="s">
        <v>2648</v>
      </c>
      <c r="E1371" t="s">
        <v>2829</v>
      </c>
      <c r="F1371" t="s">
        <v>1774</v>
      </c>
    </row>
    <row r="1372" spans="1:6" x14ac:dyDescent="0.25">
      <c r="A1372" t="s">
        <v>2467</v>
      </c>
      <c r="B1372" t="s">
        <v>2928</v>
      </c>
      <c r="C1372" t="s">
        <v>2916</v>
      </c>
      <c r="D1372" t="s">
        <v>2638</v>
      </c>
      <c r="E1372" t="s">
        <v>2778</v>
      </c>
      <c r="F1372" t="s">
        <v>888</v>
      </c>
    </row>
    <row r="1373" spans="1:6" x14ac:dyDescent="0.25">
      <c r="A1373" t="s">
        <v>2467</v>
      </c>
      <c r="B1373" t="s">
        <v>2928</v>
      </c>
      <c r="C1373" t="s">
        <v>2916</v>
      </c>
      <c r="D1373" t="s">
        <v>2638</v>
      </c>
      <c r="E1373" t="s">
        <v>2755</v>
      </c>
      <c r="F1373" t="s">
        <v>815</v>
      </c>
    </row>
    <row r="1374" spans="1:6" x14ac:dyDescent="0.25">
      <c r="A1374" t="s">
        <v>2470</v>
      </c>
      <c r="B1374" t="s">
        <v>2927</v>
      </c>
      <c r="C1374" t="s">
        <v>2914</v>
      </c>
      <c r="D1374" t="s">
        <v>2637</v>
      </c>
      <c r="E1374" t="s">
        <v>2776</v>
      </c>
      <c r="F1374" t="s">
        <v>565</v>
      </c>
    </row>
    <row r="1375" spans="1:6" x14ac:dyDescent="0.25">
      <c r="A1375" t="s">
        <v>2470</v>
      </c>
      <c r="B1375" t="s">
        <v>2927</v>
      </c>
      <c r="C1375" t="s">
        <v>2917</v>
      </c>
      <c r="D1375" t="s">
        <v>2659</v>
      </c>
      <c r="E1375" t="s">
        <v>2759</v>
      </c>
      <c r="F1375" t="s">
        <v>1778</v>
      </c>
    </row>
    <row r="1376" spans="1:6" x14ac:dyDescent="0.25">
      <c r="A1376" t="s">
        <v>2470</v>
      </c>
      <c r="B1376" t="s">
        <v>2927</v>
      </c>
      <c r="C1376" t="s">
        <v>2917</v>
      </c>
      <c r="D1376" t="s">
        <v>2678</v>
      </c>
      <c r="E1376" t="s">
        <v>2754</v>
      </c>
      <c r="F1376" t="s">
        <v>1779</v>
      </c>
    </row>
    <row r="1377" spans="1:6" x14ac:dyDescent="0.25">
      <c r="A1377" t="s">
        <v>2470</v>
      </c>
      <c r="B1377" t="s">
        <v>2927</v>
      </c>
      <c r="C1377" t="s">
        <v>2917</v>
      </c>
      <c r="D1377" t="s">
        <v>2684</v>
      </c>
      <c r="E1377" t="s">
        <v>2763</v>
      </c>
      <c r="F1377" t="s">
        <v>1782</v>
      </c>
    </row>
    <row r="1378" spans="1:6" x14ac:dyDescent="0.25">
      <c r="A1378" t="s">
        <v>2470</v>
      </c>
      <c r="B1378" t="s">
        <v>2921</v>
      </c>
      <c r="C1378" t="s">
        <v>27</v>
      </c>
      <c r="D1378" t="s">
        <v>2930</v>
      </c>
      <c r="E1378" t="s">
        <v>2759</v>
      </c>
      <c r="F1378" t="s">
        <v>371</v>
      </c>
    </row>
    <row r="1379" spans="1:6" x14ac:dyDescent="0.25">
      <c r="A1379" t="s">
        <v>2470</v>
      </c>
      <c r="B1379" t="s">
        <v>2921</v>
      </c>
      <c r="C1379" t="s">
        <v>191</v>
      </c>
      <c r="D1379" t="s">
        <v>2138</v>
      </c>
      <c r="E1379" t="s">
        <v>2817</v>
      </c>
      <c r="F1379" t="s">
        <v>338</v>
      </c>
    </row>
    <row r="1380" spans="1:6" x14ac:dyDescent="0.25">
      <c r="A1380" t="s">
        <v>2470</v>
      </c>
      <c r="B1380" t="s">
        <v>2919</v>
      </c>
      <c r="C1380" t="s">
        <v>2919</v>
      </c>
      <c r="D1380" t="s">
        <v>2653</v>
      </c>
      <c r="E1380" t="s">
        <v>2786</v>
      </c>
      <c r="F1380" t="s">
        <v>1785</v>
      </c>
    </row>
    <row r="1381" spans="1:6" x14ac:dyDescent="0.25">
      <c r="A1381" t="s">
        <v>2470</v>
      </c>
      <c r="B1381" t="s">
        <v>2919</v>
      </c>
      <c r="C1381" t="s">
        <v>2919</v>
      </c>
      <c r="D1381" t="s">
        <v>2648</v>
      </c>
      <c r="E1381" t="s">
        <v>2765</v>
      </c>
      <c r="F1381" t="s">
        <v>859</v>
      </c>
    </row>
    <row r="1382" spans="1:6" x14ac:dyDescent="0.25">
      <c r="A1382" t="s">
        <v>2470</v>
      </c>
      <c r="B1382" t="s">
        <v>2928</v>
      </c>
      <c r="C1382" t="s">
        <v>2916</v>
      </c>
      <c r="D1382" t="s">
        <v>2638</v>
      </c>
      <c r="E1382" t="s">
        <v>2797</v>
      </c>
      <c r="F1382" t="s">
        <v>1181</v>
      </c>
    </row>
    <row r="1383" spans="1:6" x14ac:dyDescent="0.25">
      <c r="A1383" t="s">
        <v>2470</v>
      </c>
      <c r="B1383" t="s">
        <v>2928</v>
      </c>
      <c r="C1383" t="s">
        <v>2916</v>
      </c>
      <c r="D1383" t="s">
        <v>2638</v>
      </c>
      <c r="E1383" t="s">
        <v>2790</v>
      </c>
      <c r="F1383" t="s">
        <v>906</v>
      </c>
    </row>
    <row r="1384" spans="1:6" x14ac:dyDescent="0.25">
      <c r="A1384" t="s">
        <v>2473</v>
      </c>
      <c r="B1384" t="s">
        <v>2927</v>
      </c>
      <c r="C1384" t="s">
        <v>2914</v>
      </c>
      <c r="D1384" t="s">
        <v>2637</v>
      </c>
      <c r="E1384" t="s">
        <v>2770</v>
      </c>
      <c r="F1384" t="s">
        <v>1360</v>
      </c>
    </row>
    <row r="1385" spans="1:6" x14ac:dyDescent="0.25">
      <c r="A1385" t="s">
        <v>2473</v>
      </c>
      <c r="B1385" t="s">
        <v>2927</v>
      </c>
      <c r="C1385" t="s">
        <v>2914</v>
      </c>
      <c r="D1385" t="s">
        <v>2637</v>
      </c>
      <c r="E1385" t="s">
        <v>2761</v>
      </c>
      <c r="F1385" t="s">
        <v>1797</v>
      </c>
    </row>
    <row r="1386" spans="1:6" x14ac:dyDescent="0.25">
      <c r="A1386" t="s">
        <v>2473</v>
      </c>
      <c r="B1386" t="s">
        <v>2927</v>
      </c>
      <c r="C1386" t="s">
        <v>2917</v>
      </c>
      <c r="D1386" t="s">
        <v>2659</v>
      </c>
      <c r="E1386" t="s">
        <v>2776</v>
      </c>
      <c r="F1386" t="s">
        <v>1793</v>
      </c>
    </row>
    <row r="1387" spans="1:6" x14ac:dyDescent="0.25">
      <c r="A1387" t="s">
        <v>2473</v>
      </c>
      <c r="B1387" t="s">
        <v>2927</v>
      </c>
      <c r="C1387" t="s">
        <v>2917</v>
      </c>
      <c r="D1387" t="s">
        <v>2659</v>
      </c>
      <c r="E1387" t="s">
        <v>2754</v>
      </c>
      <c r="F1387" t="s">
        <v>1790</v>
      </c>
    </row>
    <row r="1388" spans="1:6" x14ac:dyDescent="0.25">
      <c r="A1388" t="s">
        <v>2473</v>
      </c>
      <c r="B1388" t="s">
        <v>2927</v>
      </c>
      <c r="C1388" t="s">
        <v>2917</v>
      </c>
      <c r="D1388" t="s">
        <v>1206</v>
      </c>
      <c r="E1388" t="s">
        <v>2794</v>
      </c>
      <c r="F1388" t="s">
        <v>1796</v>
      </c>
    </row>
    <row r="1389" spans="1:6" x14ac:dyDescent="0.25">
      <c r="A1389" t="s">
        <v>2473</v>
      </c>
      <c r="B1389" t="s">
        <v>75</v>
      </c>
      <c r="C1389" t="s">
        <v>75</v>
      </c>
      <c r="D1389" t="s">
        <v>2640</v>
      </c>
      <c r="E1389" t="s">
        <v>2761</v>
      </c>
      <c r="F1389" t="s">
        <v>892</v>
      </c>
    </row>
    <row r="1390" spans="1:6" x14ac:dyDescent="0.25">
      <c r="A1390" t="s">
        <v>2473</v>
      </c>
      <c r="B1390" t="s">
        <v>2921</v>
      </c>
      <c r="C1390" t="s">
        <v>27</v>
      </c>
      <c r="D1390" t="s">
        <v>2930</v>
      </c>
      <c r="E1390" t="s">
        <v>2770</v>
      </c>
      <c r="F1390" t="s">
        <v>711</v>
      </c>
    </row>
    <row r="1391" spans="1:6" x14ac:dyDescent="0.25">
      <c r="A1391" t="s">
        <v>2473</v>
      </c>
      <c r="B1391" t="s">
        <v>2921</v>
      </c>
      <c r="C1391" t="s">
        <v>191</v>
      </c>
      <c r="D1391" t="s">
        <v>2138</v>
      </c>
      <c r="E1391" t="s">
        <v>2817</v>
      </c>
      <c r="F1391" t="s">
        <v>338</v>
      </c>
    </row>
    <row r="1392" spans="1:6" x14ac:dyDescent="0.25">
      <c r="A1392" t="s">
        <v>2473</v>
      </c>
      <c r="B1392" t="s">
        <v>2919</v>
      </c>
      <c r="C1392" t="s">
        <v>2919</v>
      </c>
      <c r="D1392" t="s">
        <v>2680</v>
      </c>
      <c r="E1392" t="s">
        <v>2788</v>
      </c>
      <c r="F1392" t="s">
        <v>1795</v>
      </c>
    </row>
    <row r="1393" spans="1:6" x14ac:dyDescent="0.25">
      <c r="A1393" t="s">
        <v>2473</v>
      </c>
      <c r="B1393" t="s">
        <v>2919</v>
      </c>
      <c r="C1393" t="s">
        <v>2919</v>
      </c>
      <c r="D1393" t="s">
        <v>2648</v>
      </c>
      <c r="E1393" t="s">
        <v>2774</v>
      </c>
      <c r="F1393" t="s">
        <v>1794</v>
      </c>
    </row>
    <row r="1394" spans="1:6" x14ac:dyDescent="0.25">
      <c r="A1394" t="s">
        <v>2473</v>
      </c>
      <c r="B1394" t="s">
        <v>2919</v>
      </c>
      <c r="C1394" t="s">
        <v>2919</v>
      </c>
      <c r="D1394" t="s">
        <v>2654</v>
      </c>
      <c r="E1394" t="s">
        <v>2755</v>
      </c>
      <c r="F1394" t="s">
        <v>1190</v>
      </c>
    </row>
    <row r="1395" spans="1:6" x14ac:dyDescent="0.25">
      <c r="A1395" t="s">
        <v>2473</v>
      </c>
      <c r="B1395" t="s">
        <v>2928</v>
      </c>
      <c r="C1395" t="s">
        <v>2916</v>
      </c>
      <c r="D1395" t="s">
        <v>2642</v>
      </c>
      <c r="E1395" t="s">
        <v>2786</v>
      </c>
      <c r="F1395" t="s">
        <v>1041</v>
      </c>
    </row>
    <row r="1396" spans="1:6" x14ac:dyDescent="0.25">
      <c r="A1396" t="s">
        <v>2473</v>
      </c>
      <c r="B1396" t="s">
        <v>2928</v>
      </c>
      <c r="C1396" t="s">
        <v>2916</v>
      </c>
      <c r="D1396" t="s">
        <v>2638</v>
      </c>
      <c r="E1396" t="s">
        <v>2765</v>
      </c>
      <c r="F1396" t="s">
        <v>927</v>
      </c>
    </row>
    <row r="1397" spans="1:6" x14ac:dyDescent="0.25">
      <c r="A1397" t="s">
        <v>2473</v>
      </c>
      <c r="B1397" t="s">
        <v>2928</v>
      </c>
      <c r="C1397" t="s">
        <v>2922</v>
      </c>
      <c r="D1397" t="s">
        <v>2658</v>
      </c>
      <c r="E1397" t="s">
        <v>2791</v>
      </c>
      <c r="F1397" t="s">
        <v>1789</v>
      </c>
    </row>
    <row r="1398" spans="1:6" x14ac:dyDescent="0.25">
      <c r="A1398" t="s">
        <v>2476</v>
      </c>
      <c r="B1398" t="s">
        <v>2927</v>
      </c>
      <c r="C1398" t="s">
        <v>2914</v>
      </c>
      <c r="D1398" t="s">
        <v>2637</v>
      </c>
      <c r="E1398" t="s">
        <v>2821</v>
      </c>
      <c r="F1398" t="s">
        <v>1802</v>
      </c>
    </row>
    <row r="1399" spans="1:6" x14ac:dyDescent="0.25">
      <c r="A1399" t="s">
        <v>2476</v>
      </c>
      <c r="B1399" t="s">
        <v>2927</v>
      </c>
      <c r="C1399" t="s">
        <v>2924</v>
      </c>
      <c r="D1399" t="s">
        <v>2664</v>
      </c>
      <c r="E1399" t="s">
        <v>2797</v>
      </c>
      <c r="F1399" t="s">
        <v>1803</v>
      </c>
    </row>
    <row r="1400" spans="1:6" x14ac:dyDescent="0.25">
      <c r="A1400" t="s">
        <v>2476</v>
      </c>
      <c r="B1400" t="s">
        <v>75</v>
      </c>
      <c r="C1400" t="s">
        <v>75</v>
      </c>
      <c r="D1400" t="s">
        <v>2640</v>
      </c>
      <c r="E1400" t="s">
        <v>2770</v>
      </c>
      <c r="F1400" t="s">
        <v>1801</v>
      </c>
    </row>
    <row r="1401" spans="1:6" x14ac:dyDescent="0.25">
      <c r="A1401" t="s">
        <v>2476</v>
      </c>
      <c r="B1401" t="s">
        <v>2921</v>
      </c>
      <c r="C1401" t="s">
        <v>27</v>
      </c>
      <c r="D1401" t="s">
        <v>2930</v>
      </c>
      <c r="E1401" t="s">
        <v>2822</v>
      </c>
      <c r="F1401" t="s">
        <v>868</v>
      </c>
    </row>
    <row r="1402" spans="1:6" x14ac:dyDescent="0.25">
      <c r="A1402" t="s">
        <v>2476</v>
      </c>
      <c r="B1402" t="s">
        <v>2921</v>
      </c>
      <c r="C1402" t="s">
        <v>2921</v>
      </c>
      <c r="D1402" t="s">
        <v>2644</v>
      </c>
      <c r="E1402" t="s">
        <v>2858</v>
      </c>
      <c r="F1402" t="s">
        <v>1808</v>
      </c>
    </row>
    <row r="1403" spans="1:6" x14ac:dyDescent="0.25">
      <c r="A1403" t="s">
        <v>2476</v>
      </c>
      <c r="B1403" t="s">
        <v>2921</v>
      </c>
      <c r="C1403" t="s">
        <v>191</v>
      </c>
      <c r="D1403" t="s">
        <v>2138</v>
      </c>
      <c r="E1403" t="s">
        <v>2762</v>
      </c>
      <c r="F1403" t="s">
        <v>654</v>
      </c>
    </row>
    <row r="1404" spans="1:6" x14ac:dyDescent="0.25">
      <c r="A1404" t="s">
        <v>2476</v>
      </c>
      <c r="B1404" t="s">
        <v>2919</v>
      </c>
      <c r="C1404" t="s">
        <v>2919</v>
      </c>
      <c r="D1404" t="s">
        <v>2653</v>
      </c>
      <c r="E1404" t="s">
        <v>2841</v>
      </c>
      <c r="F1404" t="s">
        <v>1807</v>
      </c>
    </row>
    <row r="1405" spans="1:6" x14ac:dyDescent="0.25">
      <c r="A1405" t="s">
        <v>2476</v>
      </c>
      <c r="B1405" t="s">
        <v>2919</v>
      </c>
      <c r="C1405" t="s">
        <v>2919</v>
      </c>
      <c r="D1405" t="s">
        <v>2654</v>
      </c>
      <c r="E1405" t="s">
        <v>2752</v>
      </c>
      <c r="F1405" t="s">
        <v>1806</v>
      </c>
    </row>
    <row r="1406" spans="1:6" x14ac:dyDescent="0.25">
      <c r="A1406" t="s">
        <v>2476</v>
      </c>
      <c r="B1406" t="s">
        <v>2928</v>
      </c>
      <c r="C1406" t="s">
        <v>2916</v>
      </c>
      <c r="D1406" t="s">
        <v>2638</v>
      </c>
      <c r="E1406" t="s">
        <v>2790</v>
      </c>
      <c r="F1406" t="s">
        <v>911</v>
      </c>
    </row>
    <row r="1407" spans="1:6" x14ac:dyDescent="0.25">
      <c r="A1407" t="s">
        <v>2479</v>
      </c>
      <c r="B1407" t="s">
        <v>2927</v>
      </c>
      <c r="C1407" t="s">
        <v>2914</v>
      </c>
      <c r="D1407" t="s">
        <v>2637</v>
      </c>
      <c r="E1407" t="s">
        <v>2794</v>
      </c>
      <c r="F1407" t="s">
        <v>1810</v>
      </c>
    </row>
    <row r="1408" spans="1:6" x14ac:dyDescent="0.25">
      <c r="A1408" t="s">
        <v>2479</v>
      </c>
      <c r="B1408" t="s">
        <v>2927</v>
      </c>
      <c r="C1408" t="s">
        <v>2914</v>
      </c>
      <c r="D1408" t="s">
        <v>2637</v>
      </c>
      <c r="E1408" t="s">
        <v>2794</v>
      </c>
      <c r="F1408" t="s">
        <v>557</v>
      </c>
    </row>
    <row r="1409" spans="1:6" x14ac:dyDescent="0.25">
      <c r="A1409" t="s">
        <v>2479</v>
      </c>
      <c r="B1409" t="s">
        <v>2927</v>
      </c>
      <c r="C1409" t="s">
        <v>2917</v>
      </c>
      <c r="D1409" t="s">
        <v>1206</v>
      </c>
      <c r="E1409" t="s">
        <v>2770</v>
      </c>
      <c r="F1409" t="s">
        <v>1811</v>
      </c>
    </row>
    <row r="1410" spans="1:6" x14ac:dyDescent="0.25">
      <c r="A1410" t="s">
        <v>2479</v>
      </c>
      <c r="B1410" t="s">
        <v>2927</v>
      </c>
      <c r="C1410" t="s">
        <v>2917</v>
      </c>
      <c r="D1410" t="s">
        <v>1206</v>
      </c>
      <c r="E1410" t="s">
        <v>2770</v>
      </c>
      <c r="F1410" t="s">
        <v>1812</v>
      </c>
    </row>
    <row r="1411" spans="1:6" x14ac:dyDescent="0.25">
      <c r="A1411" t="s">
        <v>2479</v>
      </c>
      <c r="B1411" t="s">
        <v>2921</v>
      </c>
      <c r="C1411" t="s">
        <v>2920</v>
      </c>
      <c r="D1411" t="s">
        <v>2643</v>
      </c>
      <c r="E1411" t="s">
        <v>2769</v>
      </c>
      <c r="F1411" t="s">
        <v>1357</v>
      </c>
    </row>
    <row r="1412" spans="1:6" x14ac:dyDescent="0.25">
      <c r="A1412" t="s">
        <v>2479</v>
      </c>
      <c r="B1412" t="s">
        <v>2921</v>
      </c>
      <c r="C1412" t="s">
        <v>191</v>
      </c>
      <c r="D1412" t="s">
        <v>2138</v>
      </c>
      <c r="E1412" t="s">
        <v>2762</v>
      </c>
      <c r="F1412" t="s">
        <v>654</v>
      </c>
    </row>
    <row r="1413" spans="1:6" x14ac:dyDescent="0.25">
      <c r="A1413" t="s">
        <v>2479</v>
      </c>
      <c r="B1413" t="s">
        <v>2919</v>
      </c>
      <c r="C1413" t="s">
        <v>2919</v>
      </c>
      <c r="D1413" t="s">
        <v>2648</v>
      </c>
      <c r="E1413" t="s">
        <v>2829</v>
      </c>
      <c r="F1413" t="s">
        <v>1815</v>
      </c>
    </row>
    <row r="1414" spans="1:6" x14ac:dyDescent="0.25">
      <c r="A1414" t="s">
        <v>2479</v>
      </c>
      <c r="B1414" t="s">
        <v>2919</v>
      </c>
      <c r="C1414" t="s">
        <v>2919</v>
      </c>
      <c r="D1414" t="s">
        <v>2650</v>
      </c>
      <c r="E1414" t="s">
        <v>2779</v>
      </c>
      <c r="F1414" t="s">
        <v>1488</v>
      </c>
    </row>
    <row r="1415" spans="1:6" x14ac:dyDescent="0.25">
      <c r="A1415" t="s">
        <v>2479</v>
      </c>
      <c r="B1415" t="s">
        <v>2928</v>
      </c>
      <c r="C1415" t="s">
        <v>2916</v>
      </c>
      <c r="D1415" t="s">
        <v>2638</v>
      </c>
      <c r="E1415" t="s">
        <v>2797</v>
      </c>
      <c r="F1415" t="s">
        <v>1181</v>
      </c>
    </row>
    <row r="1416" spans="1:6" x14ac:dyDescent="0.25">
      <c r="A1416" t="s">
        <v>2479</v>
      </c>
      <c r="B1416" t="s">
        <v>2928</v>
      </c>
      <c r="C1416" t="s">
        <v>2916</v>
      </c>
      <c r="D1416" t="s">
        <v>2638</v>
      </c>
      <c r="E1416" t="s">
        <v>2769</v>
      </c>
      <c r="F1416" t="s">
        <v>1809</v>
      </c>
    </row>
    <row r="1417" spans="1:6" x14ac:dyDescent="0.25">
      <c r="A1417" t="s">
        <v>2482</v>
      </c>
      <c r="B1417" t="s">
        <v>2927</v>
      </c>
      <c r="C1417" t="s">
        <v>2914</v>
      </c>
      <c r="D1417" t="s">
        <v>2637</v>
      </c>
      <c r="E1417" t="s">
        <v>2794</v>
      </c>
      <c r="F1417" t="s">
        <v>1408</v>
      </c>
    </row>
    <row r="1418" spans="1:6" x14ac:dyDescent="0.25">
      <c r="A1418" t="s">
        <v>2482</v>
      </c>
      <c r="B1418" t="s">
        <v>2927</v>
      </c>
      <c r="C1418" t="s">
        <v>2914</v>
      </c>
      <c r="D1418" t="s">
        <v>2637</v>
      </c>
      <c r="E1418" t="s">
        <v>2831</v>
      </c>
      <c r="F1418" t="s">
        <v>1821</v>
      </c>
    </row>
    <row r="1419" spans="1:6" x14ac:dyDescent="0.25">
      <c r="A1419" t="s">
        <v>2482</v>
      </c>
      <c r="B1419" t="s">
        <v>75</v>
      </c>
      <c r="C1419" t="s">
        <v>75</v>
      </c>
      <c r="D1419" t="s">
        <v>2646</v>
      </c>
      <c r="E1419" t="s">
        <v>2776</v>
      </c>
      <c r="F1419" t="s">
        <v>964</v>
      </c>
    </row>
    <row r="1420" spans="1:6" x14ac:dyDescent="0.25">
      <c r="A1420" t="s">
        <v>2482</v>
      </c>
      <c r="B1420" t="s">
        <v>2921</v>
      </c>
      <c r="C1420" t="s">
        <v>27</v>
      </c>
      <c r="D1420" t="s">
        <v>2930</v>
      </c>
      <c r="E1420" t="s">
        <v>2821</v>
      </c>
      <c r="F1420" t="s">
        <v>1820</v>
      </c>
    </row>
    <row r="1421" spans="1:6" x14ac:dyDescent="0.25">
      <c r="A1421" t="s">
        <v>2482</v>
      </c>
      <c r="B1421" t="s">
        <v>2921</v>
      </c>
      <c r="C1421" t="s">
        <v>191</v>
      </c>
      <c r="D1421" t="s">
        <v>2138</v>
      </c>
      <c r="E1421" t="s">
        <v>2762</v>
      </c>
      <c r="F1421" t="s">
        <v>1823</v>
      </c>
    </row>
    <row r="1422" spans="1:6" x14ac:dyDescent="0.25">
      <c r="A1422" t="s">
        <v>2482</v>
      </c>
      <c r="B1422" t="s">
        <v>2919</v>
      </c>
      <c r="C1422" t="s">
        <v>2919</v>
      </c>
      <c r="D1422" t="s">
        <v>2673</v>
      </c>
      <c r="E1422" t="s">
        <v>2781</v>
      </c>
      <c r="F1422" t="s">
        <v>1822</v>
      </c>
    </row>
    <row r="1423" spans="1:6" x14ac:dyDescent="0.25">
      <c r="A1423" t="s">
        <v>2482</v>
      </c>
      <c r="B1423" t="s">
        <v>2928</v>
      </c>
      <c r="C1423" t="s">
        <v>2916</v>
      </c>
      <c r="D1423" t="s">
        <v>2642</v>
      </c>
      <c r="E1423" t="s">
        <v>2778</v>
      </c>
      <c r="F1423" t="s">
        <v>1755</v>
      </c>
    </row>
    <row r="1424" spans="1:6" x14ac:dyDescent="0.25">
      <c r="A1424" t="s">
        <v>2482</v>
      </c>
      <c r="B1424" t="s">
        <v>2928</v>
      </c>
      <c r="C1424" t="s">
        <v>2916</v>
      </c>
      <c r="D1424" t="s">
        <v>2642</v>
      </c>
      <c r="E1424" t="s">
        <v>2782</v>
      </c>
      <c r="F1424" t="s">
        <v>1441</v>
      </c>
    </row>
    <row r="1425" spans="1:6" x14ac:dyDescent="0.25">
      <c r="A1425" t="s">
        <v>2482</v>
      </c>
      <c r="B1425" t="s">
        <v>2928</v>
      </c>
      <c r="C1425" t="s">
        <v>2916</v>
      </c>
      <c r="D1425" t="s">
        <v>2638</v>
      </c>
      <c r="E1425" t="s">
        <v>2790</v>
      </c>
      <c r="F1425" t="s">
        <v>911</v>
      </c>
    </row>
    <row r="1426" spans="1:6" x14ac:dyDescent="0.25">
      <c r="A1426" t="s">
        <v>2482</v>
      </c>
      <c r="B1426" t="s">
        <v>2928</v>
      </c>
      <c r="C1426" t="s">
        <v>2916</v>
      </c>
      <c r="D1426" t="s">
        <v>2638</v>
      </c>
      <c r="E1426" t="s">
        <v>2782</v>
      </c>
      <c r="F1426" t="s">
        <v>1816</v>
      </c>
    </row>
    <row r="1427" spans="1:6" x14ac:dyDescent="0.25">
      <c r="A1427" t="s">
        <v>2482</v>
      </c>
      <c r="B1427" t="s">
        <v>2928</v>
      </c>
      <c r="C1427" t="s">
        <v>2922</v>
      </c>
      <c r="D1427" t="s">
        <v>2668</v>
      </c>
      <c r="E1427" t="s">
        <v>2779</v>
      </c>
      <c r="F1427" t="s">
        <v>1583</v>
      </c>
    </row>
    <row r="1428" spans="1:6" x14ac:dyDescent="0.25">
      <c r="A1428" t="s">
        <v>2485</v>
      </c>
      <c r="B1428" t="s">
        <v>2921</v>
      </c>
      <c r="C1428" t="s">
        <v>2918</v>
      </c>
      <c r="D1428" t="s">
        <v>2639</v>
      </c>
      <c r="E1428" t="s">
        <v>2880</v>
      </c>
      <c r="F1428" t="s">
        <v>1830</v>
      </c>
    </row>
    <row r="1429" spans="1:6" x14ac:dyDescent="0.25">
      <c r="A1429" t="s">
        <v>2485</v>
      </c>
      <c r="B1429" t="s">
        <v>2921</v>
      </c>
      <c r="C1429" t="s">
        <v>2918</v>
      </c>
      <c r="D1429" t="s">
        <v>2685</v>
      </c>
      <c r="E1429" t="s">
        <v>2769</v>
      </c>
      <c r="F1429" t="s">
        <v>1831</v>
      </c>
    </row>
    <row r="1430" spans="1:6" x14ac:dyDescent="0.25">
      <c r="A1430" t="s">
        <v>2485</v>
      </c>
      <c r="B1430" t="s">
        <v>2921</v>
      </c>
      <c r="C1430" t="s">
        <v>2920</v>
      </c>
      <c r="D1430" t="s">
        <v>2643</v>
      </c>
      <c r="E1430" t="s">
        <v>2849</v>
      </c>
      <c r="F1430" t="s">
        <v>1829</v>
      </c>
    </row>
    <row r="1431" spans="1:6" x14ac:dyDescent="0.25">
      <c r="A1431" t="s">
        <v>2485</v>
      </c>
      <c r="B1431" t="s">
        <v>2921</v>
      </c>
      <c r="C1431" t="s">
        <v>2920</v>
      </c>
      <c r="D1431" t="s">
        <v>2643</v>
      </c>
      <c r="E1431" t="s">
        <v>2879</v>
      </c>
      <c r="F1431" t="s">
        <v>1826</v>
      </c>
    </row>
    <row r="1432" spans="1:6" x14ac:dyDescent="0.25">
      <c r="A1432" t="s">
        <v>2485</v>
      </c>
      <c r="B1432" t="s">
        <v>2928</v>
      </c>
      <c r="C1432" t="s">
        <v>2916</v>
      </c>
      <c r="D1432" t="s">
        <v>2638</v>
      </c>
      <c r="E1432" t="s">
        <v>2766</v>
      </c>
      <c r="F1432" t="s">
        <v>1825</v>
      </c>
    </row>
    <row r="1433" spans="1:6" x14ac:dyDescent="0.25">
      <c r="A1433" t="s">
        <v>2485</v>
      </c>
      <c r="B1433" t="s">
        <v>2928</v>
      </c>
      <c r="C1433" t="s">
        <v>2916</v>
      </c>
      <c r="D1433" t="s">
        <v>2638</v>
      </c>
      <c r="E1433" t="s">
        <v>2766</v>
      </c>
      <c r="F1433" t="s">
        <v>1824</v>
      </c>
    </row>
    <row r="1434" spans="1:6" x14ac:dyDescent="0.25">
      <c r="A1434" t="s">
        <v>2485</v>
      </c>
      <c r="B1434" t="s">
        <v>2928</v>
      </c>
      <c r="C1434" t="s">
        <v>2916</v>
      </c>
      <c r="D1434" t="s">
        <v>2638</v>
      </c>
      <c r="E1434" t="s">
        <v>2781</v>
      </c>
      <c r="F1434" t="s">
        <v>1834</v>
      </c>
    </row>
    <row r="1435" spans="1:6" x14ac:dyDescent="0.25">
      <c r="A1435" t="s">
        <v>2488</v>
      </c>
      <c r="B1435" t="s">
        <v>2927</v>
      </c>
      <c r="C1435" t="s">
        <v>2914</v>
      </c>
      <c r="D1435" t="s">
        <v>2637</v>
      </c>
      <c r="E1435" t="s">
        <v>2776</v>
      </c>
      <c r="F1435" t="s">
        <v>1188</v>
      </c>
    </row>
    <row r="1436" spans="1:6" x14ac:dyDescent="0.25">
      <c r="A1436" t="s">
        <v>2488</v>
      </c>
      <c r="B1436" t="s">
        <v>75</v>
      </c>
      <c r="C1436" t="s">
        <v>75</v>
      </c>
      <c r="D1436" t="s">
        <v>2646</v>
      </c>
      <c r="E1436" t="s">
        <v>2770</v>
      </c>
      <c r="F1436" t="s">
        <v>1054</v>
      </c>
    </row>
    <row r="1437" spans="1:6" x14ac:dyDescent="0.25">
      <c r="A1437" t="s">
        <v>2488</v>
      </c>
      <c r="B1437" t="s">
        <v>2921</v>
      </c>
      <c r="C1437" t="s">
        <v>2920</v>
      </c>
      <c r="D1437" t="s">
        <v>2643</v>
      </c>
      <c r="E1437" t="s">
        <v>2791</v>
      </c>
      <c r="F1437" t="s">
        <v>719</v>
      </c>
    </row>
    <row r="1438" spans="1:6" x14ac:dyDescent="0.25">
      <c r="A1438" t="s">
        <v>2488</v>
      </c>
      <c r="B1438" t="s">
        <v>2921</v>
      </c>
      <c r="C1438" t="s">
        <v>2921</v>
      </c>
      <c r="D1438" t="s">
        <v>2644</v>
      </c>
      <c r="E1438" t="s">
        <v>2803</v>
      </c>
      <c r="F1438" t="s">
        <v>1839</v>
      </c>
    </row>
    <row r="1439" spans="1:6" x14ac:dyDescent="0.25">
      <c r="A1439" t="s">
        <v>2488</v>
      </c>
      <c r="B1439" t="s">
        <v>2921</v>
      </c>
      <c r="C1439" t="s">
        <v>2921</v>
      </c>
      <c r="D1439" t="s">
        <v>2644</v>
      </c>
      <c r="E1439" t="s">
        <v>2812</v>
      </c>
      <c r="F1439" t="s">
        <v>1836</v>
      </c>
    </row>
    <row r="1440" spans="1:6" x14ac:dyDescent="0.25">
      <c r="A1440" t="s">
        <v>2488</v>
      </c>
      <c r="B1440" t="s">
        <v>2921</v>
      </c>
      <c r="C1440" t="s">
        <v>2921</v>
      </c>
      <c r="D1440" t="s">
        <v>2674</v>
      </c>
      <c r="E1440" t="s">
        <v>2778</v>
      </c>
      <c r="F1440" t="s">
        <v>980</v>
      </c>
    </row>
    <row r="1441" spans="1:6" x14ac:dyDescent="0.25">
      <c r="A1441" t="s">
        <v>2488</v>
      </c>
      <c r="B1441" t="s">
        <v>2921</v>
      </c>
      <c r="C1441" t="s">
        <v>2921</v>
      </c>
      <c r="D1441" t="s">
        <v>2674</v>
      </c>
      <c r="E1441" t="s">
        <v>2778</v>
      </c>
      <c r="F1441" t="s">
        <v>974</v>
      </c>
    </row>
    <row r="1442" spans="1:6" x14ac:dyDescent="0.25">
      <c r="A1442" t="s">
        <v>2488</v>
      </c>
      <c r="B1442" t="s">
        <v>2919</v>
      </c>
      <c r="C1442" t="s">
        <v>2919</v>
      </c>
      <c r="D1442" t="s">
        <v>2654</v>
      </c>
      <c r="E1442" t="s">
        <v>2781</v>
      </c>
      <c r="F1442" t="s">
        <v>882</v>
      </c>
    </row>
    <row r="1443" spans="1:6" x14ac:dyDescent="0.25">
      <c r="A1443" t="s">
        <v>2488</v>
      </c>
      <c r="B1443" t="s">
        <v>2928</v>
      </c>
      <c r="C1443" t="s">
        <v>2916</v>
      </c>
      <c r="D1443" t="s">
        <v>2638</v>
      </c>
      <c r="E1443" t="s">
        <v>2766</v>
      </c>
      <c r="F1443" t="s">
        <v>1842</v>
      </c>
    </row>
    <row r="1444" spans="1:6" x14ac:dyDescent="0.25">
      <c r="A1444" t="s">
        <v>2488</v>
      </c>
      <c r="B1444" t="s">
        <v>2928</v>
      </c>
      <c r="C1444" t="s">
        <v>2916</v>
      </c>
      <c r="D1444" t="s">
        <v>2638</v>
      </c>
      <c r="E1444" t="s">
        <v>2779</v>
      </c>
      <c r="F1444" t="s">
        <v>1835</v>
      </c>
    </row>
    <row r="1445" spans="1:6" x14ac:dyDescent="0.25">
      <c r="A1445" t="s">
        <v>2488</v>
      </c>
      <c r="B1445" t="s">
        <v>2928</v>
      </c>
      <c r="C1445" t="s">
        <v>2916</v>
      </c>
      <c r="D1445" t="s">
        <v>2638</v>
      </c>
      <c r="E1445" t="s">
        <v>2780</v>
      </c>
      <c r="F1445" t="s">
        <v>580</v>
      </c>
    </row>
    <row r="1446" spans="1:6" x14ac:dyDescent="0.25">
      <c r="A1446" t="s">
        <v>2490</v>
      </c>
      <c r="B1446" t="s">
        <v>2927</v>
      </c>
      <c r="C1446" t="s">
        <v>2914</v>
      </c>
      <c r="D1446" t="s">
        <v>2637</v>
      </c>
      <c r="E1446" t="s">
        <v>2770</v>
      </c>
      <c r="F1446" t="s">
        <v>1360</v>
      </c>
    </row>
    <row r="1447" spans="1:6" x14ac:dyDescent="0.25">
      <c r="A1447" t="s">
        <v>2490</v>
      </c>
      <c r="B1447" t="s">
        <v>2921</v>
      </c>
      <c r="C1447" t="s">
        <v>2918</v>
      </c>
      <c r="D1447" t="s">
        <v>2639</v>
      </c>
      <c r="E1447" t="s">
        <v>2794</v>
      </c>
      <c r="F1447" t="s">
        <v>1844</v>
      </c>
    </row>
    <row r="1448" spans="1:6" x14ac:dyDescent="0.25">
      <c r="A1448" t="s">
        <v>2490</v>
      </c>
      <c r="B1448" t="s">
        <v>2921</v>
      </c>
      <c r="C1448" t="s">
        <v>27</v>
      </c>
      <c r="D1448" t="s">
        <v>2930</v>
      </c>
      <c r="E1448" t="s">
        <v>2801</v>
      </c>
      <c r="F1448" t="s">
        <v>723</v>
      </c>
    </row>
    <row r="1449" spans="1:6" x14ac:dyDescent="0.25">
      <c r="A1449" t="s">
        <v>2490</v>
      </c>
      <c r="B1449" t="s">
        <v>2921</v>
      </c>
      <c r="C1449" t="s">
        <v>2920</v>
      </c>
      <c r="D1449" t="s">
        <v>2643</v>
      </c>
      <c r="E1449" t="s">
        <v>2774</v>
      </c>
      <c r="F1449" t="s">
        <v>411</v>
      </c>
    </row>
    <row r="1450" spans="1:6" x14ac:dyDescent="0.25">
      <c r="A1450" t="s">
        <v>2490</v>
      </c>
      <c r="B1450" t="s">
        <v>2921</v>
      </c>
      <c r="C1450" t="s">
        <v>2921</v>
      </c>
      <c r="D1450" t="s">
        <v>2672</v>
      </c>
      <c r="E1450" t="s">
        <v>2778</v>
      </c>
      <c r="F1450" t="s">
        <v>1606</v>
      </c>
    </row>
    <row r="1451" spans="1:6" x14ac:dyDescent="0.25">
      <c r="A1451" t="s">
        <v>2490</v>
      </c>
      <c r="B1451" t="s">
        <v>2921</v>
      </c>
      <c r="C1451" t="s">
        <v>2921</v>
      </c>
      <c r="D1451" t="s">
        <v>2672</v>
      </c>
      <c r="E1451" t="s">
        <v>2778</v>
      </c>
      <c r="F1451" t="s">
        <v>838</v>
      </c>
    </row>
    <row r="1452" spans="1:6" x14ac:dyDescent="0.25">
      <c r="A1452" t="s">
        <v>2490</v>
      </c>
      <c r="B1452" t="s">
        <v>2921</v>
      </c>
      <c r="C1452" t="s">
        <v>2921</v>
      </c>
      <c r="D1452" t="s">
        <v>2644</v>
      </c>
      <c r="E1452" t="s">
        <v>2770</v>
      </c>
      <c r="F1452" t="s">
        <v>1846</v>
      </c>
    </row>
    <row r="1453" spans="1:6" x14ac:dyDescent="0.25">
      <c r="A1453" t="s">
        <v>2490</v>
      </c>
      <c r="B1453" t="s">
        <v>2919</v>
      </c>
      <c r="C1453" t="s">
        <v>2919</v>
      </c>
      <c r="D1453" t="s">
        <v>2650</v>
      </c>
      <c r="E1453" t="s">
        <v>2777</v>
      </c>
      <c r="F1453" t="s">
        <v>1845</v>
      </c>
    </row>
    <row r="1454" spans="1:6" x14ac:dyDescent="0.25">
      <c r="A1454" t="s">
        <v>2490</v>
      </c>
      <c r="B1454" t="s">
        <v>2919</v>
      </c>
      <c r="C1454" t="s">
        <v>2919</v>
      </c>
      <c r="D1454" t="s">
        <v>2654</v>
      </c>
      <c r="E1454" t="s">
        <v>2765</v>
      </c>
      <c r="F1454" t="s">
        <v>661</v>
      </c>
    </row>
    <row r="1455" spans="1:6" x14ac:dyDescent="0.25">
      <c r="A1455" t="s">
        <v>2490</v>
      </c>
      <c r="B1455" t="s">
        <v>2928</v>
      </c>
      <c r="C1455" t="s">
        <v>2916</v>
      </c>
      <c r="D1455" t="s">
        <v>2638</v>
      </c>
      <c r="E1455" t="s">
        <v>2766</v>
      </c>
      <c r="F1455" t="s">
        <v>1842</v>
      </c>
    </row>
    <row r="1456" spans="1:6" x14ac:dyDescent="0.25">
      <c r="A1456" t="s">
        <v>2490</v>
      </c>
      <c r="B1456" t="s">
        <v>2928</v>
      </c>
      <c r="C1456" t="s">
        <v>2916</v>
      </c>
      <c r="D1456" t="s">
        <v>2638</v>
      </c>
      <c r="E1456" t="s">
        <v>2778</v>
      </c>
      <c r="F1456" t="s">
        <v>1605</v>
      </c>
    </row>
    <row r="1457" spans="1:6" x14ac:dyDescent="0.25">
      <c r="A1457" t="s">
        <v>2490</v>
      </c>
      <c r="B1457" t="s">
        <v>2928</v>
      </c>
      <c r="C1457" t="s">
        <v>2916</v>
      </c>
      <c r="D1457" t="s">
        <v>2638</v>
      </c>
      <c r="E1457" t="s">
        <v>2788</v>
      </c>
      <c r="F1457" t="s">
        <v>1843</v>
      </c>
    </row>
    <row r="1458" spans="1:6" x14ac:dyDescent="0.25">
      <c r="A1458" t="s">
        <v>2490</v>
      </c>
      <c r="B1458" t="s">
        <v>2928</v>
      </c>
      <c r="C1458" t="s">
        <v>2916</v>
      </c>
      <c r="D1458" t="s">
        <v>2638</v>
      </c>
      <c r="E1458" t="s">
        <v>2765</v>
      </c>
      <c r="F1458" t="s">
        <v>927</v>
      </c>
    </row>
    <row r="1459" spans="1:6" x14ac:dyDescent="0.25">
      <c r="A1459" t="s">
        <v>2492</v>
      </c>
      <c r="B1459" t="s">
        <v>2927</v>
      </c>
      <c r="C1459" t="s">
        <v>2914</v>
      </c>
      <c r="D1459" t="s">
        <v>2637</v>
      </c>
      <c r="E1459" t="s">
        <v>2760</v>
      </c>
      <c r="F1459" t="s">
        <v>745</v>
      </c>
    </row>
    <row r="1460" spans="1:6" x14ac:dyDescent="0.25">
      <c r="A1460" t="s">
        <v>2492</v>
      </c>
      <c r="B1460" t="s">
        <v>2927</v>
      </c>
      <c r="C1460" t="s">
        <v>2924</v>
      </c>
      <c r="D1460" t="s">
        <v>630</v>
      </c>
      <c r="E1460" t="s">
        <v>2767</v>
      </c>
      <c r="F1460" t="s">
        <v>1852</v>
      </c>
    </row>
    <row r="1461" spans="1:6" x14ac:dyDescent="0.25">
      <c r="A1461" t="s">
        <v>2492</v>
      </c>
      <c r="B1461" t="s">
        <v>75</v>
      </c>
      <c r="C1461" t="s">
        <v>75</v>
      </c>
      <c r="D1461" t="s">
        <v>2646</v>
      </c>
      <c r="E1461" t="s">
        <v>2763</v>
      </c>
      <c r="F1461" t="s">
        <v>1851</v>
      </c>
    </row>
    <row r="1462" spans="1:6" x14ac:dyDescent="0.25">
      <c r="A1462" t="s">
        <v>2492</v>
      </c>
      <c r="B1462" t="s">
        <v>2921</v>
      </c>
      <c r="C1462" t="s">
        <v>2918</v>
      </c>
      <c r="D1462" t="s">
        <v>2639</v>
      </c>
      <c r="E1462" t="s">
        <v>2794</v>
      </c>
      <c r="F1462" t="s">
        <v>1340</v>
      </c>
    </row>
    <row r="1463" spans="1:6" x14ac:dyDescent="0.25">
      <c r="A1463" t="s">
        <v>2492</v>
      </c>
      <c r="B1463" t="s">
        <v>2921</v>
      </c>
      <c r="C1463" t="s">
        <v>2920</v>
      </c>
      <c r="D1463" t="s">
        <v>2643</v>
      </c>
      <c r="E1463" t="s">
        <v>2769</v>
      </c>
      <c r="F1463" t="s">
        <v>1357</v>
      </c>
    </row>
    <row r="1464" spans="1:6" x14ac:dyDescent="0.25">
      <c r="A1464" t="s">
        <v>2492</v>
      </c>
      <c r="B1464" t="s">
        <v>2919</v>
      </c>
      <c r="C1464" t="s">
        <v>2919</v>
      </c>
      <c r="D1464" t="s">
        <v>2650</v>
      </c>
      <c r="E1464" t="s">
        <v>2765</v>
      </c>
      <c r="F1464" t="s">
        <v>1850</v>
      </c>
    </row>
    <row r="1465" spans="1:6" x14ac:dyDescent="0.25">
      <c r="A1465" t="s">
        <v>2492</v>
      </c>
      <c r="B1465" t="s">
        <v>2928</v>
      </c>
      <c r="C1465" t="s">
        <v>2916</v>
      </c>
      <c r="D1465" t="s">
        <v>2642</v>
      </c>
      <c r="E1465" t="s">
        <v>2778</v>
      </c>
      <c r="F1465" t="s">
        <v>1755</v>
      </c>
    </row>
    <row r="1466" spans="1:6" x14ac:dyDescent="0.25">
      <c r="A1466" t="s">
        <v>2492</v>
      </c>
      <c r="B1466" t="s">
        <v>2928</v>
      </c>
      <c r="C1466" t="s">
        <v>2916</v>
      </c>
      <c r="D1466" t="s">
        <v>2638</v>
      </c>
      <c r="E1466" t="s">
        <v>2766</v>
      </c>
      <c r="F1466" t="s">
        <v>1842</v>
      </c>
    </row>
    <row r="1467" spans="1:6" x14ac:dyDescent="0.25">
      <c r="A1467" t="s">
        <v>2492</v>
      </c>
      <c r="B1467" t="s">
        <v>2928</v>
      </c>
      <c r="C1467" t="s">
        <v>2916</v>
      </c>
      <c r="D1467" t="s">
        <v>2638</v>
      </c>
      <c r="E1467" t="s">
        <v>2797</v>
      </c>
      <c r="F1467" t="s">
        <v>434</v>
      </c>
    </row>
    <row r="1468" spans="1:6" x14ac:dyDescent="0.25">
      <c r="A1468" t="s">
        <v>2492</v>
      </c>
      <c r="B1468" t="s">
        <v>2928</v>
      </c>
      <c r="C1468" t="s">
        <v>2916</v>
      </c>
      <c r="D1468" t="s">
        <v>2638</v>
      </c>
      <c r="E1468" t="s">
        <v>2788</v>
      </c>
      <c r="F1468" t="s">
        <v>1200</v>
      </c>
    </row>
    <row r="1469" spans="1:6" x14ac:dyDescent="0.25">
      <c r="A1469" t="s">
        <v>2492</v>
      </c>
      <c r="B1469" t="s">
        <v>2928</v>
      </c>
      <c r="C1469" t="s">
        <v>2916</v>
      </c>
      <c r="D1469" t="s">
        <v>2638</v>
      </c>
      <c r="E1469" t="s">
        <v>2790</v>
      </c>
      <c r="F1469" t="s">
        <v>1008</v>
      </c>
    </row>
    <row r="1470" spans="1:6" x14ac:dyDescent="0.25">
      <c r="A1470" t="s">
        <v>2497</v>
      </c>
      <c r="B1470" t="s">
        <v>2935</v>
      </c>
      <c r="C1470" t="s">
        <v>2935</v>
      </c>
      <c r="D1470" t="s">
        <v>247</v>
      </c>
      <c r="E1470" t="s">
        <v>2153</v>
      </c>
      <c r="F1470" t="s">
        <v>247</v>
      </c>
    </row>
    <row r="1471" spans="1:6" x14ac:dyDescent="0.25">
      <c r="A1471" t="s">
        <v>2494</v>
      </c>
      <c r="B1471" t="s">
        <v>2935</v>
      </c>
      <c r="C1471" t="s">
        <v>2935</v>
      </c>
      <c r="D1471" t="s">
        <v>247</v>
      </c>
      <c r="E1471" t="s">
        <v>2153</v>
      </c>
      <c r="F1471" t="s">
        <v>247</v>
      </c>
    </row>
    <row r="1472" spans="1:6" x14ac:dyDescent="0.25">
      <c r="A1472" t="s">
        <v>2500</v>
      </c>
      <c r="B1472" t="s">
        <v>2921</v>
      </c>
      <c r="C1472" t="s">
        <v>27</v>
      </c>
      <c r="D1472" t="s">
        <v>2930</v>
      </c>
      <c r="E1472" t="s">
        <v>2761</v>
      </c>
      <c r="F1472" t="s">
        <v>1854</v>
      </c>
    </row>
    <row r="1473" spans="1:6" x14ac:dyDescent="0.25">
      <c r="A1473" t="s">
        <v>2503</v>
      </c>
      <c r="B1473" t="s">
        <v>2927</v>
      </c>
      <c r="C1473" t="s">
        <v>2914</v>
      </c>
      <c r="D1473" t="s">
        <v>2637</v>
      </c>
      <c r="E1473" t="s">
        <v>2882</v>
      </c>
      <c r="F1473" t="s">
        <v>1856</v>
      </c>
    </row>
    <row r="1474" spans="1:6" x14ac:dyDescent="0.25">
      <c r="A1474" t="s">
        <v>2503</v>
      </c>
      <c r="B1474" t="s">
        <v>2928</v>
      </c>
      <c r="C1474" t="s">
        <v>2916</v>
      </c>
      <c r="D1474" t="s">
        <v>2638</v>
      </c>
      <c r="E1474" t="s">
        <v>2881</v>
      </c>
      <c r="F1474" t="s">
        <v>1855</v>
      </c>
    </row>
    <row r="1475" spans="1:6" x14ac:dyDescent="0.25">
      <c r="A1475" t="s">
        <v>2506</v>
      </c>
      <c r="B1475" t="s">
        <v>2927</v>
      </c>
      <c r="C1475" t="s">
        <v>2914</v>
      </c>
      <c r="D1475" t="s">
        <v>2637</v>
      </c>
      <c r="E1475" t="s">
        <v>2883</v>
      </c>
      <c r="F1475" t="s">
        <v>1857</v>
      </c>
    </row>
    <row r="1476" spans="1:6" x14ac:dyDescent="0.25">
      <c r="A1476" t="s">
        <v>2506</v>
      </c>
      <c r="B1476" t="s">
        <v>2928</v>
      </c>
      <c r="C1476" t="s">
        <v>2916</v>
      </c>
      <c r="D1476" t="s">
        <v>2638</v>
      </c>
      <c r="E1476" t="s">
        <v>2881</v>
      </c>
      <c r="F1476" t="s">
        <v>1855</v>
      </c>
    </row>
    <row r="1477" spans="1:6" x14ac:dyDescent="0.25">
      <c r="A1477" t="s">
        <v>2509</v>
      </c>
      <c r="B1477" t="s">
        <v>2927</v>
      </c>
      <c r="C1477" t="s">
        <v>2914</v>
      </c>
      <c r="D1477" t="s">
        <v>2637</v>
      </c>
      <c r="E1477" t="s">
        <v>2883</v>
      </c>
      <c r="F1477" t="s">
        <v>1857</v>
      </c>
    </row>
    <row r="1478" spans="1:6" x14ac:dyDescent="0.25">
      <c r="A1478" t="s">
        <v>2509</v>
      </c>
      <c r="B1478" t="s">
        <v>2928</v>
      </c>
      <c r="C1478" t="s">
        <v>2916</v>
      </c>
      <c r="D1478" t="s">
        <v>2638</v>
      </c>
      <c r="E1478" t="s">
        <v>2884</v>
      </c>
      <c r="F1478" t="s">
        <v>1858</v>
      </c>
    </row>
    <row r="1479" spans="1:6" x14ac:dyDescent="0.25">
      <c r="A1479" t="s">
        <v>2512</v>
      </c>
      <c r="B1479" t="s">
        <v>2927</v>
      </c>
      <c r="C1479" t="s">
        <v>2914</v>
      </c>
      <c r="D1479" t="s">
        <v>2637</v>
      </c>
      <c r="E1479" t="s">
        <v>2885</v>
      </c>
      <c r="F1479" t="s">
        <v>1859</v>
      </c>
    </row>
    <row r="1480" spans="1:6" x14ac:dyDescent="0.25">
      <c r="A1480" t="s">
        <v>2515</v>
      </c>
      <c r="B1480" t="s">
        <v>2927</v>
      </c>
      <c r="C1480" t="s">
        <v>2914</v>
      </c>
      <c r="D1480" t="s">
        <v>2637</v>
      </c>
      <c r="E1480" t="s">
        <v>2847</v>
      </c>
      <c r="F1480" t="s">
        <v>1861</v>
      </c>
    </row>
    <row r="1481" spans="1:6" x14ac:dyDescent="0.25">
      <c r="A1481" t="s">
        <v>2518</v>
      </c>
      <c r="B1481" t="s">
        <v>2928</v>
      </c>
      <c r="C1481" t="s">
        <v>2916</v>
      </c>
      <c r="D1481" t="s">
        <v>2638</v>
      </c>
      <c r="E1481" t="s">
        <v>2785</v>
      </c>
      <c r="F1481" t="s">
        <v>1862</v>
      </c>
    </row>
    <row r="1482" spans="1:6" x14ac:dyDescent="0.25">
      <c r="A1482" t="s">
        <v>2521</v>
      </c>
      <c r="B1482" t="s">
        <v>2921</v>
      </c>
      <c r="C1482" t="s">
        <v>2918</v>
      </c>
      <c r="D1482" t="s">
        <v>2639</v>
      </c>
      <c r="E1482" t="s">
        <v>2886</v>
      </c>
      <c r="F1482" t="s">
        <v>1863</v>
      </c>
    </row>
    <row r="1483" spans="1:6" x14ac:dyDescent="0.25">
      <c r="A1483" t="s">
        <v>2523</v>
      </c>
      <c r="B1483" t="s">
        <v>2921</v>
      </c>
      <c r="C1483" t="s">
        <v>2918</v>
      </c>
      <c r="D1483" t="s">
        <v>2639</v>
      </c>
      <c r="E1483" t="s">
        <v>2887</v>
      </c>
      <c r="F1483" t="s">
        <v>1864</v>
      </c>
    </row>
    <row r="1484" spans="1:6" x14ac:dyDescent="0.25">
      <c r="A1484" t="s">
        <v>2525</v>
      </c>
      <c r="B1484" t="s">
        <v>2927</v>
      </c>
      <c r="C1484" t="s">
        <v>2914</v>
      </c>
      <c r="D1484" t="s">
        <v>2637</v>
      </c>
      <c r="E1484" t="s">
        <v>2794</v>
      </c>
      <c r="F1484" t="s">
        <v>1872</v>
      </c>
    </row>
    <row r="1485" spans="1:6" x14ac:dyDescent="0.25">
      <c r="A1485" t="s">
        <v>2525</v>
      </c>
      <c r="B1485" t="s">
        <v>2927</v>
      </c>
      <c r="C1485" t="s">
        <v>2914</v>
      </c>
      <c r="D1485" t="s">
        <v>2637</v>
      </c>
      <c r="E1485" t="s">
        <v>2770</v>
      </c>
      <c r="F1485" t="s">
        <v>1868</v>
      </c>
    </row>
    <row r="1486" spans="1:6" x14ac:dyDescent="0.25">
      <c r="A1486" t="s">
        <v>2525</v>
      </c>
      <c r="B1486" t="s">
        <v>2927</v>
      </c>
      <c r="C1486" t="s">
        <v>2914</v>
      </c>
      <c r="D1486" t="s">
        <v>2637</v>
      </c>
      <c r="E1486" t="s">
        <v>2770</v>
      </c>
      <c r="F1486" t="s">
        <v>1867</v>
      </c>
    </row>
    <row r="1487" spans="1:6" x14ac:dyDescent="0.25">
      <c r="A1487" t="s">
        <v>2525</v>
      </c>
      <c r="B1487" t="s">
        <v>75</v>
      </c>
      <c r="C1487" t="s">
        <v>75</v>
      </c>
      <c r="D1487" t="s">
        <v>2640</v>
      </c>
      <c r="E1487" t="s">
        <v>2801</v>
      </c>
      <c r="F1487" t="s">
        <v>1877</v>
      </c>
    </row>
    <row r="1488" spans="1:6" x14ac:dyDescent="0.25">
      <c r="A1488" t="s">
        <v>2525</v>
      </c>
      <c r="B1488" t="s">
        <v>75</v>
      </c>
      <c r="C1488" t="s">
        <v>75</v>
      </c>
      <c r="D1488" t="s">
        <v>2646</v>
      </c>
      <c r="E1488" t="s">
        <v>2810</v>
      </c>
      <c r="F1488" t="s">
        <v>1876</v>
      </c>
    </row>
    <row r="1489" spans="1:6" x14ac:dyDescent="0.25">
      <c r="A1489" t="s">
        <v>2525</v>
      </c>
      <c r="B1489" t="s">
        <v>2921</v>
      </c>
      <c r="C1489" t="s">
        <v>2918</v>
      </c>
      <c r="D1489" t="s">
        <v>2639</v>
      </c>
      <c r="E1489" t="s">
        <v>2768</v>
      </c>
      <c r="F1489" t="s">
        <v>1261</v>
      </c>
    </row>
    <row r="1490" spans="1:6" x14ac:dyDescent="0.25">
      <c r="A1490" t="s">
        <v>2525</v>
      </c>
      <c r="B1490" t="s">
        <v>2921</v>
      </c>
      <c r="C1490" t="s">
        <v>2918</v>
      </c>
      <c r="D1490" t="s">
        <v>2639</v>
      </c>
      <c r="E1490" t="s">
        <v>2808</v>
      </c>
      <c r="F1490" t="s">
        <v>1865</v>
      </c>
    </row>
    <row r="1491" spans="1:6" x14ac:dyDescent="0.25">
      <c r="A1491" t="s">
        <v>2525</v>
      </c>
      <c r="B1491" t="s">
        <v>2921</v>
      </c>
      <c r="C1491" t="s">
        <v>2920</v>
      </c>
      <c r="D1491" t="s">
        <v>2667</v>
      </c>
      <c r="E1491" t="s">
        <v>2752</v>
      </c>
      <c r="F1491" t="s">
        <v>1095</v>
      </c>
    </row>
    <row r="1492" spans="1:6" x14ac:dyDescent="0.25">
      <c r="A1492" t="s">
        <v>2525</v>
      </c>
      <c r="B1492" t="s">
        <v>2921</v>
      </c>
      <c r="C1492" t="s">
        <v>191</v>
      </c>
      <c r="D1492" t="s">
        <v>2138</v>
      </c>
      <c r="E1492" t="s">
        <v>2817</v>
      </c>
      <c r="F1492" t="s">
        <v>338</v>
      </c>
    </row>
    <row r="1493" spans="1:6" x14ac:dyDescent="0.25">
      <c r="A1493" t="s">
        <v>2525</v>
      </c>
      <c r="B1493" t="s">
        <v>2919</v>
      </c>
      <c r="C1493" t="s">
        <v>2919</v>
      </c>
      <c r="D1493" t="s">
        <v>2680</v>
      </c>
      <c r="E1493" t="s">
        <v>2845</v>
      </c>
      <c r="F1493" t="s">
        <v>1875</v>
      </c>
    </row>
    <row r="1494" spans="1:6" x14ac:dyDescent="0.25">
      <c r="A1494" t="s">
        <v>2525</v>
      </c>
      <c r="B1494" t="s">
        <v>2928</v>
      </c>
      <c r="C1494" t="s">
        <v>2916</v>
      </c>
      <c r="D1494" t="s">
        <v>2642</v>
      </c>
      <c r="E1494" t="s">
        <v>2788</v>
      </c>
      <c r="F1494" t="s">
        <v>1866</v>
      </c>
    </row>
    <row r="1495" spans="1:6" x14ac:dyDescent="0.25">
      <c r="A1495" t="s">
        <v>2528</v>
      </c>
      <c r="B1495" t="s">
        <v>2927</v>
      </c>
      <c r="C1495" t="s">
        <v>2914</v>
      </c>
      <c r="D1495" t="s">
        <v>2637</v>
      </c>
      <c r="E1495" t="s">
        <v>2803</v>
      </c>
      <c r="F1495" t="s">
        <v>1880</v>
      </c>
    </row>
    <row r="1496" spans="1:6" x14ac:dyDescent="0.25">
      <c r="A1496" t="s">
        <v>2528</v>
      </c>
      <c r="B1496" t="s">
        <v>2927</v>
      </c>
      <c r="C1496" t="s">
        <v>2914</v>
      </c>
      <c r="D1496" t="s">
        <v>2637</v>
      </c>
      <c r="E1496" t="s">
        <v>2838</v>
      </c>
      <c r="F1496" t="s">
        <v>1147</v>
      </c>
    </row>
    <row r="1497" spans="1:6" x14ac:dyDescent="0.25">
      <c r="A1497" t="s">
        <v>2528</v>
      </c>
      <c r="B1497" t="s">
        <v>2927</v>
      </c>
      <c r="C1497" t="s">
        <v>2914</v>
      </c>
      <c r="D1497" t="s">
        <v>2637</v>
      </c>
      <c r="E1497" t="s">
        <v>2776</v>
      </c>
      <c r="F1497" t="s">
        <v>432</v>
      </c>
    </row>
    <row r="1498" spans="1:6" x14ac:dyDescent="0.25">
      <c r="A1498" t="s">
        <v>2528</v>
      </c>
      <c r="B1498" t="s">
        <v>75</v>
      </c>
      <c r="C1498" t="s">
        <v>75</v>
      </c>
      <c r="D1498" t="s">
        <v>2646</v>
      </c>
      <c r="E1498" t="s">
        <v>2761</v>
      </c>
      <c r="F1498" t="s">
        <v>1879</v>
      </c>
    </row>
    <row r="1499" spans="1:6" x14ac:dyDescent="0.25">
      <c r="A1499" t="s">
        <v>2528</v>
      </c>
      <c r="B1499" t="s">
        <v>2921</v>
      </c>
      <c r="C1499" t="s">
        <v>2918</v>
      </c>
      <c r="D1499" t="s">
        <v>2639</v>
      </c>
      <c r="E1499" t="s">
        <v>2860</v>
      </c>
      <c r="F1499" t="s">
        <v>1543</v>
      </c>
    </row>
    <row r="1500" spans="1:6" x14ac:dyDescent="0.25">
      <c r="A1500" t="s">
        <v>2528</v>
      </c>
      <c r="B1500" t="s">
        <v>2921</v>
      </c>
      <c r="C1500" t="s">
        <v>191</v>
      </c>
      <c r="D1500" t="s">
        <v>2138</v>
      </c>
      <c r="E1500" t="s">
        <v>2817</v>
      </c>
      <c r="F1500" t="s">
        <v>338</v>
      </c>
    </row>
    <row r="1501" spans="1:6" x14ac:dyDescent="0.25">
      <c r="A1501" t="s">
        <v>2528</v>
      </c>
      <c r="B1501" t="s">
        <v>2919</v>
      </c>
      <c r="C1501" t="s">
        <v>2919</v>
      </c>
      <c r="D1501" t="s">
        <v>2662</v>
      </c>
      <c r="E1501" t="s">
        <v>2777</v>
      </c>
      <c r="F1501" t="s">
        <v>1882</v>
      </c>
    </row>
    <row r="1502" spans="1:6" x14ac:dyDescent="0.25">
      <c r="A1502" t="s">
        <v>2528</v>
      </c>
      <c r="B1502" t="s">
        <v>2919</v>
      </c>
      <c r="C1502" t="s">
        <v>2919</v>
      </c>
      <c r="D1502" t="s">
        <v>2654</v>
      </c>
      <c r="E1502" t="s">
        <v>2833</v>
      </c>
      <c r="F1502" t="s">
        <v>1881</v>
      </c>
    </row>
    <row r="1503" spans="1:6" x14ac:dyDescent="0.25">
      <c r="A1503" t="s">
        <v>2528</v>
      </c>
      <c r="B1503" t="s">
        <v>2928</v>
      </c>
      <c r="C1503" t="s">
        <v>2916</v>
      </c>
      <c r="D1503" t="s">
        <v>2638</v>
      </c>
      <c r="E1503" t="s">
        <v>2785</v>
      </c>
      <c r="F1503" t="s">
        <v>328</v>
      </c>
    </row>
    <row r="1504" spans="1:6" x14ac:dyDescent="0.25">
      <c r="A1504" t="s">
        <v>2528</v>
      </c>
      <c r="B1504" t="s">
        <v>2928</v>
      </c>
      <c r="C1504" t="s">
        <v>2916</v>
      </c>
      <c r="D1504" t="s">
        <v>2638</v>
      </c>
      <c r="E1504" t="s">
        <v>2785</v>
      </c>
      <c r="F1504" t="s">
        <v>1878</v>
      </c>
    </row>
    <row r="1505" spans="1:6" x14ac:dyDescent="0.25">
      <c r="A1505" t="s">
        <v>2531</v>
      </c>
      <c r="B1505" t="s">
        <v>2927</v>
      </c>
      <c r="C1505" t="s">
        <v>2914</v>
      </c>
      <c r="D1505" t="s">
        <v>2637</v>
      </c>
      <c r="E1505" t="s">
        <v>2885</v>
      </c>
      <c r="F1505" t="s">
        <v>1888</v>
      </c>
    </row>
    <row r="1506" spans="1:6" x14ac:dyDescent="0.25">
      <c r="A1506" t="s">
        <v>2531</v>
      </c>
      <c r="B1506" t="s">
        <v>2927</v>
      </c>
      <c r="C1506" t="s">
        <v>2914</v>
      </c>
      <c r="D1506" t="s">
        <v>2637</v>
      </c>
      <c r="E1506" t="s">
        <v>2888</v>
      </c>
      <c r="F1506" t="s">
        <v>1887</v>
      </c>
    </row>
    <row r="1507" spans="1:6" x14ac:dyDescent="0.25">
      <c r="A1507" t="s">
        <v>2531</v>
      </c>
      <c r="B1507" t="s">
        <v>2927</v>
      </c>
      <c r="C1507" t="s">
        <v>2917</v>
      </c>
      <c r="D1507" t="s">
        <v>325</v>
      </c>
      <c r="E1507" t="s">
        <v>2763</v>
      </c>
      <c r="F1507" t="s">
        <v>1891</v>
      </c>
    </row>
    <row r="1508" spans="1:6" x14ac:dyDescent="0.25">
      <c r="A1508" t="s">
        <v>2531</v>
      </c>
      <c r="B1508" t="s">
        <v>2927</v>
      </c>
      <c r="C1508" t="s">
        <v>2917</v>
      </c>
      <c r="D1508" t="s">
        <v>2679</v>
      </c>
      <c r="E1508" t="s">
        <v>2764</v>
      </c>
      <c r="F1508" t="s">
        <v>1894</v>
      </c>
    </row>
    <row r="1509" spans="1:6" x14ac:dyDescent="0.25">
      <c r="A1509" t="s">
        <v>2531</v>
      </c>
      <c r="B1509" t="s">
        <v>2921</v>
      </c>
      <c r="C1509" t="s">
        <v>2918</v>
      </c>
      <c r="D1509" t="s">
        <v>2639</v>
      </c>
      <c r="E1509" t="s">
        <v>2794</v>
      </c>
      <c r="F1509" t="s">
        <v>1883</v>
      </c>
    </row>
    <row r="1510" spans="1:6" x14ac:dyDescent="0.25">
      <c r="A1510" t="s">
        <v>2531</v>
      </c>
      <c r="B1510" t="s">
        <v>2921</v>
      </c>
      <c r="C1510" t="s">
        <v>2918</v>
      </c>
      <c r="D1510" t="s">
        <v>2639</v>
      </c>
      <c r="E1510" t="s">
        <v>2832</v>
      </c>
      <c r="F1510" t="s">
        <v>1292</v>
      </c>
    </row>
    <row r="1511" spans="1:6" x14ac:dyDescent="0.25">
      <c r="A1511" t="s">
        <v>2531</v>
      </c>
      <c r="B1511" t="s">
        <v>2921</v>
      </c>
      <c r="C1511" t="s">
        <v>2918</v>
      </c>
      <c r="D1511" t="s">
        <v>2639</v>
      </c>
      <c r="E1511" t="s">
        <v>2875</v>
      </c>
      <c r="F1511" t="s">
        <v>1884</v>
      </c>
    </row>
    <row r="1512" spans="1:6" x14ac:dyDescent="0.25">
      <c r="A1512" t="s">
        <v>2531</v>
      </c>
      <c r="B1512" t="s">
        <v>2921</v>
      </c>
      <c r="C1512" t="s">
        <v>27</v>
      </c>
      <c r="D1512" t="s">
        <v>2930</v>
      </c>
      <c r="E1512" t="s">
        <v>2810</v>
      </c>
      <c r="F1512" t="s">
        <v>893</v>
      </c>
    </row>
    <row r="1513" spans="1:6" x14ac:dyDescent="0.25">
      <c r="A1513" t="s">
        <v>2531</v>
      </c>
      <c r="B1513" t="s">
        <v>2921</v>
      </c>
      <c r="C1513" t="s">
        <v>2920</v>
      </c>
      <c r="D1513" t="s">
        <v>2667</v>
      </c>
      <c r="E1513" t="s">
        <v>2829</v>
      </c>
      <c r="F1513" t="s">
        <v>1886</v>
      </c>
    </row>
    <row r="1514" spans="1:6" x14ac:dyDescent="0.25">
      <c r="A1514" t="s">
        <v>2531</v>
      </c>
      <c r="B1514" t="s">
        <v>2921</v>
      </c>
      <c r="C1514" t="s">
        <v>191</v>
      </c>
      <c r="D1514" t="s">
        <v>2138</v>
      </c>
      <c r="E1514" t="s">
        <v>2817</v>
      </c>
      <c r="F1514" t="s">
        <v>338</v>
      </c>
    </row>
    <row r="1515" spans="1:6" x14ac:dyDescent="0.25">
      <c r="A1515" t="s">
        <v>2531</v>
      </c>
      <c r="B1515" t="s">
        <v>2919</v>
      </c>
      <c r="C1515" t="s">
        <v>2919</v>
      </c>
      <c r="D1515" t="s">
        <v>2666</v>
      </c>
      <c r="E1515" t="s">
        <v>2788</v>
      </c>
      <c r="F1515" t="s">
        <v>1889</v>
      </c>
    </row>
    <row r="1516" spans="1:6" x14ac:dyDescent="0.25">
      <c r="A1516" t="s">
        <v>2531</v>
      </c>
      <c r="B1516" t="s">
        <v>2928</v>
      </c>
      <c r="C1516" t="s">
        <v>2916</v>
      </c>
      <c r="D1516" t="s">
        <v>2642</v>
      </c>
      <c r="E1516" t="s">
        <v>2786</v>
      </c>
      <c r="F1516" t="s">
        <v>1041</v>
      </c>
    </row>
    <row r="1517" spans="1:6" x14ac:dyDescent="0.25">
      <c r="A1517" t="s">
        <v>2531</v>
      </c>
      <c r="B1517" t="s">
        <v>2928</v>
      </c>
      <c r="C1517" t="s">
        <v>2916</v>
      </c>
      <c r="D1517" t="s">
        <v>2642</v>
      </c>
      <c r="E1517" t="s">
        <v>2765</v>
      </c>
      <c r="F1517" t="s">
        <v>1885</v>
      </c>
    </row>
    <row r="1518" spans="1:6" x14ac:dyDescent="0.25">
      <c r="A1518" t="s">
        <v>2534</v>
      </c>
      <c r="B1518" t="s">
        <v>2935</v>
      </c>
      <c r="C1518" t="s">
        <v>2935</v>
      </c>
      <c r="D1518" t="s">
        <v>247</v>
      </c>
      <c r="E1518" t="s">
        <v>2153</v>
      </c>
      <c r="F1518" t="s">
        <v>247</v>
      </c>
    </row>
    <row r="1519" spans="1:6" x14ac:dyDescent="0.25">
      <c r="A1519" t="s">
        <v>2537</v>
      </c>
      <c r="B1519" t="s">
        <v>2935</v>
      </c>
      <c r="C1519" t="s">
        <v>2935</v>
      </c>
      <c r="D1519" t="s">
        <v>247</v>
      </c>
      <c r="E1519" t="s">
        <v>2153</v>
      </c>
      <c r="F1519" t="s">
        <v>247</v>
      </c>
    </row>
    <row r="1520" spans="1:6" x14ac:dyDescent="0.25">
      <c r="A1520" t="s">
        <v>2540</v>
      </c>
      <c r="B1520" t="s">
        <v>2921</v>
      </c>
      <c r="C1520" t="s">
        <v>2918</v>
      </c>
      <c r="D1520" t="s">
        <v>2639</v>
      </c>
      <c r="E1520" t="s">
        <v>2821</v>
      </c>
      <c r="F1520" t="s">
        <v>1466</v>
      </c>
    </row>
    <row r="1521" spans="1:6" x14ac:dyDescent="0.25">
      <c r="A1521" t="s">
        <v>2540</v>
      </c>
      <c r="B1521" t="s">
        <v>2921</v>
      </c>
      <c r="C1521" t="s">
        <v>2918</v>
      </c>
      <c r="D1521" t="s">
        <v>2685</v>
      </c>
      <c r="E1521" t="s">
        <v>2769</v>
      </c>
      <c r="F1521" t="s">
        <v>1831</v>
      </c>
    </row>
    <row r="1522" spans="1:6" x14ac:dyDescent="0.25">
      <c r="A1522" t="s">
        <v>2540</v>
      </c>
      <c r="B1522" t="s">
        <v>2921</v>
      </c>
      <c r="C1522" t="s">
        <v>2920</v>
      </c>
      <c r="D1522" t="s">
        <v>2643</v>
      </c>
      <c r="E1522" t="s">
        <v>2804</v>
      </c>
      <c r="F1522" t="s">
        <v>1896</v>
      </c>
    </row>
    <row r="1523" spans="1:6" x14ac:dyDescent="0.25">
      <c r="A1523" t="s">
        <v>2540</v>
      </c>
      <c r="B1523" t="s">
        <v>2928</v>
      </c>
      <c r="C1523" t="s">
        <v>2916</v>
      </c>
      <c r="D1523" t="s">
        <v>2638</v>
      </c>
      <c r="E1523" t="s">
        <v>2766</v>
      </c>
      <c r="F1523" t="s">
        <v>1825</v>
      </c>
    </row>
    <row r="1524" spans="1:6" x14ac:dyDescent="0.25">
      <c r="A1524" t="s">
        <v>2540</v>
      </c>
      <c r="B1524" t="s">
        <v>2928</v>
      </c>
      <c r="C1524" t="s">
        <v>2916</v>
      </c>
      <c r="D1524" t="s">
        <v>2638</v>
      </c>
      <c r="E1524" t="s">
        <v>2766</v>
      </c>
      <c r="F1524" t="s">
        <v>1824</v>
      </c>
    </row>
    <row r="1525" spans="1:6" x14ac:dyDescent="0.25">
      <c r="A1525" t="s">
        <v>2540</v>
      </c>
      <c r="B1525" t="s">
        <v>2928</v>
      </c>
      <c r="C1525" t="s">
        <v>2916</v>
      </c>
      <c r="D1525" t="s">
        <v>2638</v>
      </c>
      <c r="E1525" t="s">
        <v>2785</v>
      </c>
      <c r="F1525" t="s">
        <v>328</v>
      </c>
    </row>
    <row r="1526" spans="1:6" x14ac:dyDescent="0.25">
      <c r="A1526" t="s">
        <v>2543</v>
      </c>
      <c r="B1526" t="s">
        <v>2927</v>
      </c>
      <c r="C1526" t="s">
        <v>2914</v>
      </c>
      <c r="D1526" t="s">
        <v>2637</v>
      </c>
      <c r="E1526" t="s">
        <v>2808</v>
      </c>
      <c r="F1526" t="s">
        <v>600</v>
      </c>
    </row>
    <row r="1527" spans="1:6" x14ac:dyDescent="0.25">
      <c r="A1527" t="s">
        <v>2543</v>
      </c>
      <c r="B1527" t="s">
        <v>2927</v>
      </c>
      <c r="C1527" t="s">
        <v>2917</v>
      </c>
      <c r="D1527" t="s">
        <v>2659</v>
      </c>
      <c r="E1527" t="s">
        <v>2768</v>
      </c>
      <c r="F1527" t="s">
        <v>1904</v>
      </c>
    </row>
    <row r="1528" spans="1:6" x14ac:dyDescent="0.25">
      <c r="A1528" t="s">
        <v>2543</v>
      </c>
      <c r="B1528" t="s">
        <v>2927</v>
      </c>
      <c r="C1528" t="s">
        <v>2917</v>
      </c>
      <c r="D1528" t="s">
        <v>748</v>
      </c>
      <c r="E1528" t="s">
        <v>2803</v>
      </c>
      <c r="F1528" t="s">
        <v>1902</v>
      </c>
    </row>
    <row r="1529" spans="1:6" x14ac:dyDescent="0.25">
      <c r="A1529" t="s">
        <v>2543</v>
      </c>
      <c r="B1529" t="s">
        <v>2927</v>
      </c>
      <c r="C1529" t="s">
        <v>2924</v>
      </c>
      <c r="D1529" t="s">
        <v>2664</v>
      </c>
      <c r="E1529" t="s">
        <v>2896</v>
      </c>
      <c r="F1529" t="s">
        <v>1914</v>
      </c>
    </row>
    <row r="1530" spans="1:6" x14ac:dyDescent="0.25">
      <c r="A1530" t="s">
        <v>2543</v>
      </c>
      <c r="B1530" t="s">
        <v>2927</v>
      </c>
      <c r="C1530" t="s">
        <v>2924</v>
      </c>
      <c r="D1530" t="s">
        <v>750</v>
      </c>
      <c r="E1530" t="s">
        <v>2892</v>
      </c>
      <c r="F1530" t="s">
        <v>1905</v>
      </c>
    </row>
    <row r="1531" spans="1:6" x14ac:dyDescent="0.25">
      <c r="A1531" t="s">
        <v>2543</v>
      </c>
      <c r="B1531" t="s">
        <v>2927</v>
      </c>
      <c r="C1531" t="s">
        <v>2924</v>
      </c>
      <c r="D1531" t="s">
        <v>1084</v>
      </c>
      <c r="E1531" t="s">
        <v>2894</v>
      </c>
      <c r="F1531" t="s">
        <v>1910</v>
      </c>
    </row>
    <row r="1532" spans="1:6" x14ac:dyDescent="0.25">
      <c r="A1532" t="s">
        <v>2543</v>
      </c>
      <c r="B1532" t="s">
        <v>2927</v>
      </c>
      <c r="C1532" t="s">
        <v>2924</v>
      </c>
      <c r="D1532" t="s">
        <v>1908</v>
      </c>
      <c r="E1532" t="s">
        <v>2893</v>
      </c>
      <c r="F1532" t="s">
        <v>1907</v>
      </c>
    </row>
    <row r="1533" spans="1:6" x14ac:dyDescent="0.25">
      <c r="A1533" t="s">
        <v>2543</v>
      </c>
      <c r="B1533" t="s">
        <v>2927</v>
      </c>
      <c r="C1533" t="s">
        <v>2924</v>
      </c>
      <c r="D1533" t="s">
        <v>630</v>
      </c>
      <c r="E1533" t="s">
        <v>2895</v>
      </c>
      <c r="F1533" t="s">
        <v>1912</v>
      </c>
    </row>
    <row r="1534" spans="1:6" x14ac:dyDescent="0.25">
      <c r="A1534" t="s">
        <v>2543</v>
      </c>
      <c r="B1534" t="s">
        <v>75</v>
      </c>
      <c r="C1534" t="s">
        <v>75</v>
      </c>
      <c r="D1534" t="s">
        <v>2646</v>
      </c>
      <c r="E1534" t="s">
        <v>2812</v>
      </c>
      <c r="F1534" t="s">
        <v>1901</v>
      </c>
    </row>
    <row r="1535" spans="1:6" x14ac:dyDescent="0.25">
      <c r="A1535" t="s">
        <v>2543</v>
      </c>
      <c r="B1535" t="s">
        <v>2921</v>
      </c>
      <c r="C1535" t="s">
        <v>2918</v>
      </c>
      <c r="D1535" t="s">
        <v>2639</v>
      </c>
      <c r="E1535" t="s">
        <v>2889</v>
      </c>
      <c r="F1535" t="s">
        <v>1898</v>
      </c>
    </row>
    <row r="1536" spans="1:6" x14ac:dyDescent="0.25">
      <c r="A1536" t="s">
        <v>2543</v>
      </c>
      <c r="B1536" t="s">
        <v>2921</v>
      </c>
      <c r="C1536" t="s">
        <v>2918</v>
      </c>
      <c r="D1536" t="s">
        <v>2639</v>
      </c>
      <c r="E1536" t="s">
        <v>2890</v>
      </c>
      <c r="F1536" t="s">
        <v>1899</v>
      </c>
    </row>
    <row r="1537" spans="1:6" x14ac:dyDescent="0.25">
      <c r="A1537" t="s">
        <v>2543</v>
      </c>
      <c r="B1537" t="s">
        <v>2919</v>
      </c>
      <c r="C1537" t="s">
        <v>2919</v>
      </c>
      <c r="D1537" t="s">
        <v>2676</v>
      </c>
      <c r="E1537" t="s">
        <v>2891</v>
      </c>
      <c r="F1537" t="s">
        <v>1900</v>
      </c>
    </row>
    <row r="1538" spans="1:6" x14ac:dyDescent="0.25">
      <c r="A1538" t="s">
        <v>2543</v>
      </c>
      <c r="B1538" t="s">
        <v>2928</v>
      </c>
      <c r="C1538" t="s">
        <v>2916</v>
      </c>
      <c r="D1538" t="s">
        <v>2638</v>
      </c>
      <c r="E1538" t="s">
        <v>2755</v>
      </c>
      <c r="F1538" t="s">
        <v>815</v>
      </c>
    </row>
    <row r="1539" spans="1:6" x14ac:dyDescent="0.25">
      <c r="A1539" t="s">
        <v>2543</v>
      </c>
      <c r="B1539" t="s">
        <v>2928</v>
      </c>
      <c r="C1539" t="s">
        <v>2916</v>
      </c>
      <c r="D1539" t="s">
        <v>2638</v>
      </c>
      <c r="E1539" t="s">
        <v>2755</v>
      </c>
      <c r="F1539" t="s">
        <v>1897</v>
      </c>
    </row>
    <row r="1540" spans="1:6" x14ac:dyDescent="0.25">
      <c r="A1540" t="s">
        <v>2546</v>
      </c>
      <c r="B1540" t="s">
        <v>2935</v>
      </c>
      <c r="C1540" t="s">
        <v>2935</v>
      </c>
      <c r="D1540" t="s">
        <v>247</v>
      </c>
      <c r="E1540" t="s">
        <v>2153</v>
      </c>
      <c r="F1540" t="s">
        <v>247</v>
      </c>
    </row>
    <row r="1541" spans="1:6" x14ac:dyDescent="0.25">
      <c r="A1541" t="s">
        <v>2549</v>
      </c>
      <c r="B1541" t="s">
        <v>2927</v>
      </c>
      <c r="C1541" t="s">
        <v>2914</v>
      </c>
      <c r="D1541" t="s">
        <v>2637</v>
      </c>
      <c r="E1541" t="s">
        <v>2770</v>
      </c>
      <c r="F1541" t="s">
        <v>1360</v>
      </c>
    </row>
    <row r="1542" spans="1:6" x14ac:dyDescent="0.25">
      <c r="A1542" t="s">
        <v>2549</v>
      </c>
      <c r="B1542" t="s">
        <v>2921</v>
      </c>
      <c r="C1542" t="s">
        <v>2920</v>
      </c>
      <c r="D1542" t="s">
        <v>2643</v>
      </c>
      <c r="E1542" t="s">
        <v>2781</v>
      </c>
      <c r="F1542" t="s">
        <v>1201</v>
      </c>
    </row>
    <row r="1543" spans="1:6" x14ac:dyDescent="0.25">
      <c r="A1543" t="s">
        <v>2549</v>
      </c>
      <c r="B1543" t="s">
        <v>2921</v>
      </c>
      <c r="C1543" t="s">
        <v>2921</v>
      </c>
      <c r="D1543" t="s">
        <v>2644</v>
      </c>
      <c r="E1543" t="s">
        <v>2759</v>
      </c>
      <c r="F1543" t="s">
        <v>1922</v>
      </c>
    </row>
    <row r="1544" spans="1:6" x14ac:dyDescent="0.25">
      <c r="A1544" t="s">
        <v>2549</v>
      </c>
      <c r="B1544" t="s">
        <v>2919</v>
      </c>
      <c r="C1544" t="s">
        <v>2919</v>
      </c>
      <c r="D1544" t="s">
        <v>2648</v>
      </c>
      <c r="E1544" t="s">
        <v>2769</v>
      </c>
      <c r="F1544" t="s">
        <v>1921</v>
      </c>
    </row>
    <row r="1545" spans="1:6" x14ac:dyDescent="0.25">
      <c r="A1545" t="s">
        <v>2549</v>
      </c>
      <c r="B1545" t="s">
        <v>2919</v>
      </c>
      <c r="C1545" t="s">
        <v>2919</v>
      </c>
      <c r="D1545" t="s">
        <v>2650</v>
      </c>
      <c r="E1545" t="s">
        <v>2781</v>
      </c>
      <c r="F1545" t="s">
        <v>1920</v>
      </c>
    </row>
    <row r="1546" spans="1:6" x14ac:dyDescent="0.25">
      <c r="A1546" t="s">
        <v>2549</v>
      </c>
      <c r="B1546" t="s">
        <v>2919</v>
      </c>
      <c r="C1546" t="s">
        <v>2919</v>
      </c>
      <c r="D1546" t="s">
        <v>2649</v>
      </c>
      <c r="E1546" t="s">
        <v>2788</v>
      </c>
      <c r="F1546" t="s">
        <v>1919</v>
      </c>
    </row>
    <row r="1547" spans="1:6" x14ac:dyDescent="0.25">
      <c r="A1547" t="s">
        <v>2549</v>
      </c>
      <c r="B1547" t="s">
        <v>2928</v>
      </c>
      <c r="C1547" t="s">
        <v>2916</v>
      </c>
      <c r="D1547" t="s">
        <v>2638</v>
      </c>
      <c r="E1547" t="s">
        <v>2797</v>
      </c>
      <c r="F1547" t="s">
        <v>434</v>
      </c>
    </row>
    <row r="1548" spans="1:6" x14ac:dyDescent="0.25">
      <c r="A1548" t="s">
        <v>2549</v>
      </c>
      <c r="B1548" t="s">
        <v>2928</v>
      </c>
      <c r="C1548" t="s">
        <v>2916</v>
      </c>
      <c r="D1548" t="s">
        <v>2638</v>
      </c>
      <c r="E1548" t="s">
        <v>2755</v>
      </c>
      <c r="F1548" t="s">
        <v>815</v>
      </c>
    </row>
    <row r="1549" spans="1:6" x14ac:dyDescent="0.25">
      <c r="A1549" t="s">
        <v>2552</v>
      </c>
      <c r="B1549" t="s">
        <v>2927</v>
      </c>
      <c r="C1549" t="s">
        <v>2914</v>
      </c>
      <c r="D1549" t="s">
        <v>2637</v>
      </c>
      <c r="E1549" t="s">
        <v>2770</v>
      </c>
      <c r="F1549" t="s">
        <v>1360</v>
      </c>
    </row>
    <row r="1550" spans="1:6" x14ac:dyDescent="0.25">
      <c r="A1550" t="s">
        <v>2552</v>
      </c>
      <c r="B1550" t="s">
        <v>2927</v>
      </c>
      <c r="C1550" t="s">
        <v>2914</v>
      </c>
      <c r="D1550" t="s">
        <v>2637</v>
      </c>
      <c r="E1550" t="s">
        <v>2776</v>
      </c>
      <c r="F1550" t="s">
        <v>1934</v>
      </c>
    </row>
    <row r="1551" spans="1:6" x14ac:dyDescent="0.25">
      <c r="A1551" t="s">
        <v>2552</v>
      </c>
      <c r="B1551" t="s">
        <v>2927</v>
      </c>
      <c r="C1551" t="s">
        <v>2917</v>
      </c>
      <c r="D1551" t="s">
        <v>2659</v>
      </c>
      <c r="E1551" t="s">
        <v>2858</v>
      </c>
      <c r="F1551" t="s">
        <v>1928</v>
      </c>
    </row>
    <row r="1552" spans="1:6" x14ac:dyDescent="0.25">
      <c r="A1552" t="s">
        <v>2552</v>
      </c>
      <c r="B1552" t="s">
        <v>2927</v>
      </c>
      <c r="C1552" t="s">
        <v>2917</v>
      </c>
      <c r="D1552" t="s">
        <v>325</v>
      </c>
      <c r="E1552" t="s">
        <v>2792</v>
      </c>
      <c r="F1552" t="s">
        <v>1929</v>
      </c>
    </row>
    <row r="1553" spans="1:6" x14ac:dyDescent="0.25">
      <c r="A1553" t="s">
        <v>2552</v>
      </c>
      <c r="B1553" t="s">
        <v>2927</v>
      </c>
      <c r="C1553" t="s">
        <v>2917</v>
      </c>
      <c r="D1553" t="s">
        <v>2679</v>
      </c>
      <c r="E1553" t="s">
        <v>2776</v>
      </c>
      <c r="F1553" t="s">
        <v>1932</v>
      </c>
    </row>
    <row r="1554" spans="1:6" x14ac:dyDescent="0.25">
      <c r="A1554" t="s">
        <v>2552</v>
      </c>
      <c r="B1554" t="s">
        <v>2927</v>
      </c>
      <c r="C1554" t="s">
        <v>2917</v>
      </c>
      <c r="D1554" t="s">
        <v>217</v>
      </c>
      <c r="E1554" t="s">
        <v>2776</v>
      </c>
      <c r="F1554" t="s">
        <v>1933</v>
      </c>
    </row>
    <row r="1555" spans="1:6" x14ac:dyDescent="0.25">
      <c r="A1555" t="s">
        <v>2552</v>
      </c>
      <c r="B1555" t="s">
        <v>2921</v>
      </c>
      <c r="C1555" t="s">
        <v>2918</v>
      </c>
      <c r="D1555" t="s">
        <v>2639</v>
      </c>
      <c r="E1555" t="s">
        <v>2821</v>
      </c>
      <c r="F1555" t="s">
        <v>1466</v>
      </c>
    </row>
    <row r="1556" spans="1:6" x14ac:dyDescent="0.25">
      <c r="A1556" t="s">
        <v>2552</v>
      </c>
      <c r="B1556" t="s">
        <v>2921</v>
      </c>
      <c r="C1556" t="s">
        <v>2918</v>
      </c>
      <c r="D1556" t="s">
        <v>2639</v>
      </c>
      <c r="E1556" t="s">
        <v>2776</v>
      </c>
      <c r="F1556" t="s">
        <v>1219</v>
      </c>
    </row>
    <row r="1557" spans="1:6" x14ac:dyDescent="0.25">
      <c r="A1557" t="s">
        <v>2552</v>
      </c>
      <c r="B1557" t="s">
        <v>2921</v>
      </c>
      <c r="C1557" t="s">
        <v>2920</v>
      </c>
      <c r="D1557" t="s">
        <v>2643</v>
      </c>
      <c r="E1557" t="s">
        <v>2774</v>
      </c>
      <c r="F1557" t="s">
        <v>411</v>
      </c>
    </row>
    <row r="1558" spans="1:6" x14ac:dyDescent="0.25">
      <c r="A1558" t="s">
        <v>2552</v>
      </c>
      <c r="B1558" t="s">
        <v>2919</v>
      </c>
      <c r="C1558" t="s">
        <v>2919</v>
      </c>
      <c r="D1558" t="s">
        <v>2663</v>
      </c>
      <c r="E1558" t="s">
        <v>2769</v>
      </c>
      <c r="F1558" t="s">
        <v>1924</v>
      </c>
    </row>
    <row r="1559" spans="1:6" x14ac:dyDescent="0.25">
      <c r="A1559" t="s">
        <v>2552</v>
      </c>
      <c r="B1559" t="s">
        <v>2919</v>
      </c>
      <c r="C1559" t="s">
        <v>2919</v>
      </c>
      <c r="D1559" t="s">
        <v>2663</v>
      </c>
      <c r="E1559" t="s">
        <v>2769</v>
      </c>
      <c r="F1559" t="s">
        <v>1925</v>
      </c>
    </row>
    <row r="1560" spans="1:6" x14ac:dyDescent="0.25">
      <c r="A1560" t="s">
        <v>2552</v>
      </c>
      <c r="B1560" t="s">
        <v>2919</v>
      </c>
      <c r="C1560" t="s">
        <v>2919</v>
      </c>
      <c r="D1560" t="s">
        <v>2650</v>
      </c>
      <c r="E1560" t="s">
        <v>2779</v>
      </c>
      <c r="F1560" t="s">
        <v>1488</v>
      </c>
    </row>
    <row r="1561" spans="1:6" x14ac:dyDescent="0.25">
      <c r="A1561" t="s">
        <v>2552</v>
      </c>
      <c r="B1561" t="s">
        <v>2919</v>
      </c>
      <c r="C1561" t="s">
        <v>2919</v>
      </c>
      <c r="D1561" t="s">
        <v>2649</v>
      </c>
      <c r="E1561" t="s">
        <v>2755</v>
      </c>
      <c r="F1561" t="s">
        <v>1923</v>
      </c>
    </row>
    <row r="1562" spans="1:6" x14ac:dyDescent="0.25">
      <c r="A1562" t="s">
        <v>2552</v>
      </c>
      <c r="B1562" t="s">
        <v>2919</v>
      </c>
      <c r="C1562" t="s">
        <v>2919</v>
      </c>
      <c r="D1562" t="s">
        <v>2654</v>
      </c>
      <c r="E1562" t="s">
        <v>2788</v>
      </c>
      <c r="F1562" t="s">
        <v>910</v>
      </c>
    </row>
    <row r="1563" spans="1:6" x14ac:dyDescent="0.25">
      <c r="A1563" t="s">
        <v>2552</v>
      </c>
      <c r="B1563" t="s">
        <v>2928</v>
      </c>
      <c r="C1563" t="s">
        <v>2916</v>
      </c>
      <c r="D1563" t="s">
        <v>2638</v>
      </c>
      <c r="E1563" t="s">
        <v>2797</v>
      </c>
      <c r="F1563" t="s">
        <v>434</v>
      </c>
    </row>
    <row r="1564" spans="1:6" x14ac:dyDescent="0.25">
      <c r="A1564" t="s">
        <v>2552</v>
      </c>
      <c r="B1564" t="s">
        <v>2928</v>
      </c>
      <c r="C1564" t="s">
        <v>2916</v>
      </c>
      <c r="D1564" t="s">
        <v>2638</v>
      </c>
      <c r="E1564" t="s">
        <v>2755</v>
      </c>
      <c r="F1564" t="s">
        <v>815</v>
      </c>
    </row>
    <row r="1565" spans="1:6" x14ac:dyDescent="0.25">
      <c r="A1565" t="s">
        <v>2555</v>
      </c>
      <c r="B1565" t="s">
        <v>2927</v>
      </c>
      <c r="C1565" t="s">
        <v>2914</v>
      </c>
      <c r="D1565" t="s">
        <v>2637</v>
      </c>
      <c r="E1565" t="s">
        <v>2807</v>
      </c>
      <c r="F1565" t="s">
        <v>1326</v>
      </c>
    </row>
    <row r="1566" spans="1:6" x14ac:dyDescent="0.25">
      <c r="A1566" t="s">
        <v>2555</v>
      </c>
      <c r="B1566" t="s">
        <v>2927</v>
      </c>
      <c r="C1566" t="s">
        <v>2914</v>
      </c>
      <c r="D1566" t="s">
        <v>2637</v>
      </c>
      <c r="E1566" t="s">
        <v>2761</v>
      </c>
      <c r="F1566" t="s">
        <v>423</v>
      </c>
    </row>
    <row r="1567" spans="1:6" x14ac:dyDescent="0.25">
      <c r="A1567" t="s">
        <v>2555</v>
      </c>
      <c r="B1567" t="s">
        <v>2927</v>
      </c>
      <c r="C1567" t="s">
        <v>2924</v>
      </c>
      <c r="D1567" t="s">
        <v>630</v>
      </c>
      <c r="E1567" t="s">
        <v>2796</v>
      </c>
      <c r="F1567" t="s">
        <v>1941</v>
      </c>
    </row>
    <row r="1568" spans="1:6" x14ac:dyDescent="0.25">
      <c r="A1568" t="s">
        <v>2555</v>
      </c>
      <c r="B1568" t="s">
        <v>75</v>
      </c>
      <c r="C1568" t="s">
        <v>75</v>
      </c>
      <c r="D1568" t="s">
        <v>2646</v>
      </c>
      <c r="E1568" t="s">
        <v>2812</v>
      </c>
      <c r="F1568" t="s">
        <v>1901</v>
      </c>
    </row>
    <row r="1569" spans="1:6" x14ac:dyDescent="0.25">
      <c r="A1569" t="s">
        <v>2555</v>
      </c>
      <c r="B1569" t="s">
        <v>2919</v>
      </c>
      <c r="C1569" t="s">
        <v>2919</v>
      </c>
      <c r="D1569" t="s">
        <v>2650</v>
      </c>
      <c r="E1569" t="s">
        <v>2786</v>
      </c>
      <c r="F1569" t="s">
        <v>1937</v>
      </c>
    </row>
    <row r="1570" spans="1:6" x14ac:dyDescent="0.25">
      <c r="A1570" t="s">
        <v>2555</v>
      </c>
      <c r="B1570" t="s">
        <v>2919</v>
      </c>
      <c r="C1570" t="s">
        <v>2919</v>
      </c>
      <c r="D1570" t="s">
        <v>2649</v>
      </c>
      <c r="E1570" t="s">
        <v>2769</v>
      </c>
      <c r="F1570" t="s">
        <v>1936</v>
      </c>
    </row>
    <row r="1571" spans="1:6" x14ac:dyDescent="0.25">
      <c r="A1571" t="s">
        <v>2555</v>
      </c>
      <c r="B1571" t="s">
        <v>2928</v>
      </c>
      <c r="C1571" t="s">
        <v>2916</v>
      </c>
      <c r="D1571" t="s">
        <v>2638</v>
      </c>
      <c r="E1571" t="s">
        <v>2769</v>
      </c>
      <c r="F1571" t="s">
        <v>670</v>
      </c>
    </row>
    <row r="1572" spans="1:6" x14ac:dyDescent="0.25">
      <c r="A1572" t="s">
        <v>2558</v>
      </c>
      <c r="B1572" t="s">
        <v>2927</v>
      </c>
      <c r="C1572" t="s">
        <v>2914</v>
      </c>
      <c r="D1572" t="s">
        <v>2637</v>
      </c>
      <c r="E1572" t="s">
        <v>2776</v>
      </c>
      <c r="F1572" t="s">
        <v>1188</v>
      </c>
    </row>
    <row r="1573" spans="1:6" x14ac:dyDescent="0.25">
      <c r="A1573" t="s">
        <v>2558</v>
      </c>
      <c r="B1573" t="s">
        <v>2927</v>
      </c>
      <c r="C1573" t="s">
        <v>2917</v>
      </c>
      <c r="D1573" t="s">
        <v>2933</v>
      </c>
      <c r="E1573" t="s">
        <v>2768</v>
      </c>
      <c r="F1573" t="s">
        <v>1644</v>
      </c>
    </row>
    <row r="1574" spans="1:6" x14ac:dyDescent="0.25">
      <c r="A1574" t="s">
        <v>2558</v>
      </c>
      <c r="B1574" t="s">
        <v>2927</v>
      </c>
      <c r="C1574" t="s">
        <v>2917</v>
      </c>
      <c r="D1574" t="s">
        <v>2679</v>
      </c>
      <c r="E1574" t="s">
        <v>2753</v>
      </c>
      <c r="F1574" t="s">
        <v>697</v>
      </c>
    </row>
    <row r="1575" spans="1:6" x14ac:dyDescent="0.25">
      <c r="A1575" t="s">
        <v>2558</v>
      </c>
      <c r="B1575" t="s">
        <v>2927</v>
      </c>
      <c r="C1575" t="s">
        <v>2924</v>
      </c>
      <c r="D1575" t="s">
        <v>2664</v>
      </c>
      <c r="E1575" t="s">
        <v>2871</v>
      </c>
      <c r="F1575" t="s">
        <v>1648</v>
      </c>
    </row>
    <row r="1576" spans="1:6" x14ac:dyDescent="0.25">
      <c r="A1576" t="s">
        <v>2558</v>
      </c>
      <c r="B1576" t="s">
        <v>2927</v>
      </c>
      <c r="C1576" t="s">
        <v>2924</v>
      </c>
      <c r="D1576" t="s">
        <v>2664</v>
      </c>
      <c r="E1576" t="s">
        <v>2897</v>
      </c>
      <c r="F1576" t="s">
        <v>1942</v>
      </c>
    </row>
    <row r="1577" spans="1:6" x14ac:dyDescent="0.25">
      <c r="A1577" t="s">
        <v>2561</v>
      </c>
      <c r="B1577" t="s">
        <v>2927</v>
      </c>
      <c r="C1577" t="s">
        <v>2914</v>
      </c>
      <c r="D1577" t="s">
        <v>2637</v>
      </c>
      <c r="E1577" t="s">
        <v>2792</v>
      </c>
      <c r="F1577" t="s">
        <v>609</v>
      </c>
    </row>
    <row r="1578" spans="1:6" x14ac:dyDescent="0.25">
      <c r="A1578" t="s">
        <v>2561</v>
      </c>
      <c r="B1578" t="s">
        <v>2927</v>
      </c>
      <c r="C1578" t="s">
        <v>2914</v>
      </c>
      <c r="D1578" t="s">
        <v>2637</v>
      </c>
      <c r="E1578" t="s">
        <v>2802</v>
      </c>
      <c r="F1578" t="s">
        <v>1400</v>
      </c>
    </row>
    <row r="1579" spans="1:6" x14ac:dyDescent="0.25">
      <c r="A1579" t="s">
        <v>2561</v>
      </c>
      <c r="B1579" t="s">
        <v>2927</v>
      </c>
      <c r="C1579" t="s">
        <v>2914</v>
      </c>
      <c r="D1579" t="s">
        <v>2637</v>
      </c>
      <c r="E1579" t="s">
        <v>2847</v>
      </c>
      <c r="F1579" t="s">
        <v>1947</v>
      </c>
    </row>
    <row r="1580" spans="1:6" x14ac:dyDescent="0.25">
      <c r="A1580" t="s">
        <v>2561</v>
      </c>
      <c r="B1580" t="s">
        <v>2927</v>
      </c>
      <c r="C1580" t="s">
        <v>2917</v>
      </c>
      <c r="D1580" t="s">
        <v>490</v>
      </c>
      <c r="E1580" t="s">
        <v>2753</v>
      </c>
      <c r="F1580" t="s">
        <v>1949</v>
      </c>
    </row>
    <row r="1581" spans="1:6" x14ac:dyDescent="0.25">
      <c r="A1581" t="s">
        <v>2561</v>
      </c>
      <c r="B1581" t="s">
        <v>2927</v>
      </c>
      <c r="C1581" t="s">
        <v>2917</v>
      </c>
      <c r="D1581" t="s">
        <v>325</v>
      </c>
      <c r="E1581" t="s">
        <v>2760</v>
      </c>
      <c r="F1581" t="s">
        <v>1951</v>
      </c>
    </row>
    <row r="1582" spans="1:6" x14ac:dyDescent="0.25">
      <c r="A1582" t="s">
        <v>2561</v>
      </c>
      <c r="B1582" t="s">
        <v>75</v>
      </c>
      <c r="C1582" t="s">
        <v>75</v>
      </c>
      <c r="D1582" t="s">
        <v>2640</v>
      </c>
      <c r="E1582" t="s">
        <v>2821</v>
      </c>
      <c r="F1582" t="s">
        <v>1946</v>
      </c>
    </row>
    <row r="1583" spans="1:6" x14ac:dyDescent="0.25">
      <c r="A1583" t="s">
        <v>2561</v>
      </c>
      <c r="B1583" t="s">
        <v>75</v>
      </c>
      <c r="C1583" t="s">
        <v>75</v>
      </c>
      <c r="D1583" t="s">
        <v>2640</v>
      </c>
      <c r="E1583" t="s">
        <v>2789</v>
      </c>
      <c r="F1583" t="s">
        <v>1945</v>
      </c>
    </row>
    <row r="1584" spans="1:6" x14ac:dyDescent="0.25">
      <c r="A1584" t="s">
        <v>2561</v>
      </c>
      <c r="B1584" t="s">
        <v>75</v>
      </c>
      <c r="C1584" t="s">
        <v>75</v>
      </c>
      <c r="D1584" t="s">
        <v>2646</v>
      </c>
      <c r="E1584" t="s">
        <v>2802</v>
      </c>
      <c r="F1584" t="s">
        <v>1195</v>
      </c>
    </row>
    <row r="1585" spans="1:6" x14ac:dyDescent="0.25">
      <c r="A1585" t="s">
        <v>2561</v>
      </c>
      <c r="B1585" t="s">
        <v>75</v>
      </c>
      <c r="C1585" t="s">
        <v>75</v>
      </c>
      <c r="D1585" t="s">
        <v>1212</v>
      </c>
      <c r="E1585" t="s">
        <v>2810</v>
      </c>
      <c r="F1585" t="s">
        <v>722</v>
      </c>
    </row>
    <row r="1586" spans="1:6" x14ac:dyDescent="0.25">
      <c r="A1586" t="s">
        <v>2561</v>
      </c>
      <c r="B1586" t="s">
        <v>2921</v>
      </c>
      <c r="C1586" t="s">
        <v>2918</v>
      </c>
      <c r="D1586" t="s">
        <v>2639</v>
      </c>
      <c r="E1586" t="s">
        <v>2792</v>
      </c>
      <c r="F1586" t="s">
        <v>1943</v>
      </c>
    </row>
    <row r="1587" spans="1:6" x14ac:dyDescent="0.25">
      <c r="A1587" t="s">
        <v>2561</v>
      </c>
      <c r="B1587" t="s">
        <v>2921</v>
      </c>
      <c r="C1587" t="s">
        <v>2918</v>
      </c>
      <c r="D1587" t="s">
        <v>2639</v>
      </c>
      <c r="E1587" t="s">
        <v>2832</v>
      </c>
      <c r="F1587" t="s">
        <v>1944</v>
      </c>
    </row>
    <row r="1588" spans="1:6" x14ac:dyDescent="0.25">
      <c r="A1588" t="s">
        <v>2561</v>
      </c>
      <c r="B1588" t="s">
        <v>2921</v>
      </c>
      <c r="C1588" t="s">
        <v>2918</v>
      </c>
      <c r="D1588" t="s">
        <v>2639</v>
      </c>
      <c r="E1588" t="s">
        <v>2770</v>
      </c>
      <c r="F1588" t="s">
        <v>329</v>
      </c>
    </row>
    <row r="1589" spans="1:6" x14ac:dyDescent="0.25">
      <c r="A1589" t="s">
        <v>2561</v>
      </c>
      <c r="B1589" t="s">
        <v>2921</v>
      </c>
      <c r="C1589" t="s">
        <v>191</v>
      </c>
      <c r="D1589" t="s">
        <v>2138</v>
      </c>
      <c r="E1589" t="s">
        <v>2817</v>
      </c>
      <c r="F1589" t="s">
        <v>338</v>
      </c>
    </row>
    <row r="1590" spans="1:6" x14ac:dyDescent="0.25">
      <c r="A1590" t="s">
        <v>2561</v>
      </c>
      <c r="B1590" t="s">
        <v>2919</v>
      </c>
      <c r="C1590" t="s">
        <v>2919</v>
      </c>
      <c r="D1590" t="s">
        <v>2666</v>
      </c>
      <c r="E1590" t="s">
        <v>2786</v>
      </c>
      <c r="F1590" t="s">
        <v>1948</v>
      </c>
    </row>
    <row r="1591" spans="1:6" x14ac:dyDescent="0.25">
      <c r="A1591" t="s">
        <v>2561</v>
      </c>
      <c r="B1591" t="s">
        <v>2919</v>
      </c>
      <c r="C1591" t="s">
        <v>2919</v>
      </c>
      <c r="D1591" t="s">
        <v>2654</v>
      </c>
      <c r="E1591" t="s">
        <v>2804</v>
      </c>
      <c r="F1591" t="s">
        <v>1953</v>
      </c>
    </row>
    <row r="1592" spans="1:6" x14ac:dyDescent="0.25">
      <c r="A1592" t="s">
        <v>2561</v>
      </c>
      <c r="B1592" t="s">
        <v>2919</v>
      </c>
      <c r="C1592" t="s">
        <v>2919</v>
      </c>
      <c r="D1592" t="s">
        <v>2654</v>
      </c>
      <c r="E1592" t="s">
        <v>2765</v>
      </c>
      <c r="F1592" t="s">
        <v>661</v>
      </c>
    </row>
    <row r="1593" spans="1:6" x14ac:dyDescent="0.25">
      <c r="A1593" t="s">
        <v>2561</v>
      </c>
      <c r="B1593" t="s">
        <v>2919</v>
      </c>
      <c r="C1593" t="s">
        <v>2919</v>
      </c>
      <c r="D1593" t="s">
        <v>2654</v>
      </c>
      <c r="E1593" t="s">
        <v>2795</v>
      </c>
      <c r="F1593" t="s">
        <v>1952</v>
      </c>
    </row>
    <row r="1594" spans="1:6" x14ac:dyDescent="0.25">
      <c r="A1594" t="s">
        <v>2561</v>
      </c>
      <c r="B1594" t="s">
        <v>2928</v>
      </c>
      <c r="C1594" t="s">
        <v>2916</v>
      </c>
      <c r="D1594" t="s">
        <v>2638</v>
      </c>
      <c r="E1594" t="s">
        <v>2781</v>
      </c>
      <c r="F1594" t="s">
        <v>1139</v>
      </c>
    </row>
    <row r="1595" spans="1:6" x14ac:dyDescent="0.25">
      <c r="A1595" t="s">
        <v>2564</v>
      </c>
      <c r="B1595" t="s">
        <v>2927</v>
      </c>
      <c r="C1595" t="s">
        <v>2914</v>
      </c>
      <c r="D1595" t="s">
        <v>2637</v>
      </c>
      <c r="E1595" t="s">
        <v>2885</v>
      </c>
      <c r="F1595" t="s">
        <v>1962</v>
      </c>
    </row>
    <row r="1596" spans="1:6" x14ac:dyDescent="0.25">
      <c r="A1596" t="s">
        <v>2564</v>
      </c>
      <c r="B1596" t="s">
        <v>2927</v>
      </c>
      <c r="C1596" t="s">
        <v>2914</v>
      </c>
      <c r="D1596" t="s">
        <v>2637</v>
      </c>
      <c r="E1596" t="s">
        <v>2899</v>
      </c>
      <c r="F1596" t="s">
        <v>1963</v>
      </c>
    </row>
    <row r="1597" spans="1:6" x14ac:dyDescent="0.25">
      <c r="A1597" t="s">
        <v>2564</v>
      </c>
      <c r="B1597" t="s">
        <v>2927</v>
      </c>
      <c r="C1597" t="s">
        <v>2917</v>
      </c>
      <c r="D1597" t="s">
        <v>490</v>
      </c>
      <c r="E1597" t="s">
        <v>2819</v>
      </c>
      <c r="F1597" t="s">
        <v>1965</v>
      </c>
    </row>
    <row r="1598" spans="1:6" x14ac:dyDescent="0.25">
      <c r="A1598" t="s">
        <v>2564</v>
      </c>
      <c r="B1598" t="s">
        <v>2927</v>
      </c>
      <c r="C1598" t="s">
        <v>2917</v>
      </c>
      <c r="D1598" t="s">
        <v>325</v>
      </c>
      <c r="E1598" t="s">
        <v>2771</v>
      </c>
      <c r="F1598" t="s">
        <v>1966</v>
      </c>
    </row>
    <row r="1599" spans="1:6" x14ac:dyDescent="0.25">
      <c r="A1599" t="s">
        <v>2564</v>
      </c>
      <c r="B1599" t="s">
        <v>2927</v>
      </c>
      <c r="C1599" t="s">
        <v>2917</v>
      </c>
      <c r="D1599" t="s">
        <v>2679</v>
      </c>
      <c r="E1599" t="s">
        <v>2753</v>
      </c>
      <c r="F1599" t="s">
        <v>1967</v>
      </c>
    </row>
    <row r="1600" spans="1:6" x14ac:dyDescent="0.25">
      <c r="A1600" t="s">
        <v>2564</v>
      </c>
      <c r="B1600" t="s">
        <v>75</v>
      </c>
      <c r="C1600" t="s">
        <v>75</v>
      </c>
      <c r="D1600" t="s">
        <v>2640</v>
      </c>
      <c r="E1600" t="s">
        <v>2821</v>
      </c>
      <c r="F1600" t="s">
        <v>1946</v>
      </c>
    </row>
    <row r="1601" spans="1:6" x14ac:dyDescent="0.25">
      <c r="A1601" t="s">
        <v>2564</v>
      </c>
      <c r="B1601" t="s">
        <v>75</v>
      </c>
      <c r="C1601" t="s">
        <v>75</v>
      </c>
      <c r="D1601" t="s">
        <v>2640</v>
      </c>
      <c r="E1601" t="s">
        <v>2848</v>
      </c>
      <c r="F1601" t="s">
        <v>1958</v>
      </c>
    </row>
    <row r="1602" spans="1:6" x14ac:dyDescent="0.25">
      <c r="A1602" t="s">
        <v>2564</v>
      </c>
      <c r="B1602" t="s">
        <v>75</v>
      </c>
      <c r="C1602" t="s">
        <v>75</v>
      </c>
      <c r="D1602" t="s">
        <v>2646</v>
      </c>
      <c r="E1602" t="s">
        <v>2763</v>
      </c>
      <c r="F1602" t="s">
        <v>1851</v>
      </c>
    </row>
    <row r="1603" spans="1:6" x14ac:dyDescent="0.25">
      <c r="A1603" t="s">
        <v>2564</v>
      </c>
      <c r="B1603" t="s">
        <v>75</v>
      </c>
      <c r="C1603" t="s">
        <v>75</v>
      </c>
      <c r="D1603" t="s">
        <v>1212</v>
      </c>
      <c r="E1603" t="s">
        <v>2770</v>
      </c>
      <c r="F1603" t="s">
        <v>337</v>
      </c>
    </row>
    <row r="1604" spans="1:6" x14ac:dyDescent="0.25">
      <c r="A1604" t="s">
        <v>2564</v>
      </c>
      <c r="B1604" t="s">
        <v>2921</v>
      </c>
      <c r="C1604" t="s">
        <v>2918</v>
      </c>
      <c r="D1604" t="s">
        <v>2639</v>
      </c>
      <c r="E1604" t="s">
        <v>2794</v>
      </c>
      <c r="F1604" t="s">
        <v>313</v>
      </c>
    </row>
    <row r="1605" spans="1:6" x14ac:dyDescent="0.25">
      <c r="A1605" t="s">
        <v>2564</v>
      </c>
      <c r="B1605" t="s">
        <v>2921</v>
      </c>
      <c r="C1605" t="s">
        <v>2918</v>
      </c>
      <c r="D1605" t="s">
        <v>2639</v>
      </c>
      <c r="E1605" t="s">
        <v>2842</v>
      </c>
      <c r="F1605" t="s">
        <v>1551</v>
      </c>
    </row>
    <row r="1606" spans="1:6" x14ac:dyDescent="0.25">
      <c r="A1606" t="s">
        <v>2564</v>
      </c>
      <c r="B1606" t="s">
        <v>2921</v>
      </c>
      <c r="C1606" t="s">
        <v>2918</v>
      </c>
      <c r="D1606" t="s">
        <v>2639</v>
      </c>
      <c r="E1606" t="s">
        <v>2898</v>
      </c>
      <c r="F1606" t="s">
        <v>1957</v>
      </c>
    </row>
    <row r="1607" spans="1:6" x14ac:dyDescent="0.25">
      <c r="A1607" t="s">
        <v>2564</v>
      </c>
      <c r="B1607" t="s">
        <v>2921</v>
      </c>
      <c r="C1607" t="s">
        <v>2920</v>
      </c>
      <c r="D1607" t="s">
        <v>2643</v>
      </c>
      <c r="E1607" t="s">
        <v>2752</v>
      </c>
      <c r="F1607" t="s">
        <v>1956</v>
      </c>
    </row>
    <row r="1608" spans="1:6" x14ac:dyDescent="0.25">
      <c r="A1608" t="s">
        <v>2564</v>
      </c>
      <c r="B1608" t="s">
        <v>2921</v>
      </c>
      <c r="C1608" t="s">
        <v>191</v>
      </c>
      <c r="D1608" t="s">
        <v>2138</v>
      </c>
      <c r="E1608" t="s">
        <v>2817</v>
      </c>
      <c r="F1608" t="s">
        <v>338</v>
      </c>
    </row>
    <row r="1609" spans="1:6" x14ac:dyDescent="0.25">
      <c r="A1609" t="s">
        <v>2564</v>
      </c>
      <c r="B1609" t="s">
        <v>2919</v>
      </c>
      <c r="C1609" t="s">
        <v>2919</v>
      </c>
      <c r="D1609" t="s">
        <v>2666</v>
      </c>
      <c r="E1609" t="s">
        <v>2843</v>
      </c>
      <c r="F1609" t="s">
        <v>1964</v>
      </c>
    </row>
    <row r="1610" spans="1:6" x14ac:dyDescent="0.25">
      <c r="A1610" t="s">
        <v>2564</v>
      </c>
      <c r="B1610" t="s">
        <v>2919</v>
      </c>
      <c r="C1610" t="s">
        <v>2919</v>
      </c>
      <c r="D1610" t="s">
        <v>2654</v>
      </c>
      <c r="E1610" t="s">
        <v>2756</v>
      </c>
      <c r="F1610" t="s">
        <v>575</v>
      </c>
    </row>
    <row r="1611" spans="1:6" x14ac:dyDescent="0.25">
      <c r="A1611" t="s">
        <v>2564</v>
      </c>
      <c r="B1611" t="s">
        <v>2919</v>
      </c>
      <c r="C1611" t="s">
        <v>2919</v>
      </c>
      <c r="D1611" t="s">
        <v>2654</v>
      </c>
      <c r="E1611" t="s">
        <v>2830</v>
      </c>
      <c r="F1611" t="s">
        <v>1968</v>
      </c>
    </row>
    <row r="1612" spans="1:6" x14ac:dyDescent="0.25">
      <c r="A1612" t="s">
        <v>2564</v>
      </c>
      <c r="B1612" t="s">
        <v>2919</v>
      </c>
      <c r="C1612" t="s">
        <v>2919</v>
      </c>
      <c r="D1612" t="s">
        <v>2654</v>
      </c>
      <c r="E1612" t="s">
        <v>2795</v>
      </c>
      <c r="F1612" t="s">
        <v>1461</v>
      </c>
    </row>
    <row r="1613" spans="1:6" x14ac:dyDescent="0.25">
      <c r="A1613" t="s">
        <v>2564</v>
      </c>
      <c r="B1613" t="s">
        <v>2928</v>
      </c>
      <c r="C1613" t="s">
        <v>2916</v>
      </c>
      <c r="D1613" t="s">
        <v>2638</v>
      </c>
      <c r="E1613" t="s">
        <v>2769</v>
      </c>
      <c r="F1613" t="s">
        <v>670</v>
      </c>
    </row>
    <row r="1614" spans="1:6" x14ac:dyDescent="0.25">
      <c r="A1614" t="s">
        <v>2597</v>
      </c>
      <c r="B1614" t="s">
        <v>2927</v>
      </c>
      <c r="C1614" t="s">
        <v>2923</v>
      </c>
      <c r="D1614" t="s">
        <v>2655</v>
      </c>
      <c r="E1614" t="s">
        <v>2768</v>
      </c>
      <c r="F1614" t="s">
        <v>2093</v>
      </c>
    </row>
    <row r="1615" spans="1:6" x14ac:dyDescent="0.25">
      <c r="A1615" t="s">
        <v>2597</v>
      </c>
      <c r="B1615" t="s">
        <v>2927</v>
      </c>
      <c r="C1615" t="s">
        <v>2914</v>
      </c>
      <c r="D1615" t="s">
        <v>2637</v>
      </c>
      <c r="E1615" t="s">
        <v>2811</v>
      </c>
      <c r="F1615" t="s">
        <v>581</v>
      </c>
    </row>
    <row r="1616" spans="1:6" x14ac:dyDescent="0.25">
      <c r="A1616" t="s">
        <v>2597</v>
      </c>
      <c r="B1616" t="s">
        <v>2927</v>
      </c>
      <c r="C1616" t="s">
        <v>2914</v>
      </c>
      <c r="D1616" t="s">
        <v>2637</v>
      </c>
      <c r="E1616" t="s">
        <v>2770</v>
      </c>
      <c r="F1616" t="s">
        <v>2096</v>
      </c>
    </row>
    <row r="1617" spans="1:6" x14ac:dyDescent="0.25">
      <c r="A1617" t="s">
        <v>2597</v>
      </c>
      <c r="B1617" t="s">
        <v>75</v>
      </c>
      <c r="C1617" t="s">
        <v>75</v>
      </c>
      <c r="D1617" t="s">
        <v>2646</v>
      </c>
      <c r="E1617" t="s">
        <v>2802</v>
      </c>
      <c r="F1617" t="s">
        <v>1195</v>
      </c>
    </row>
    <row r="1618" spans="1:6" x14ac:dyDescent="0.25">
      <c r="A1618" t="s">
        <v>2597</v>
      </c>
      <c r="B1618" t="s">
        <v>2921</v>
      </c>
      <c r="C1618" t="s">
        <v>2918</v>
      </c>
      <c r="D1618" t="s">
        <v>2639</v>
      </c>
      <c r="E1618" t="s">
        <v>2794</v>
      </c>
      <c r="F1618" t="s">
        <v>1340</v>
      </c>
    </row>
    <row r="1619" spans="1:6" x14ac:dyDescent="0.25">
      <c r="A1619" t="s">
        <v>2597</v>
      </c>
      <c r="B1619" t="s">
        <v>2921</v>
      </c>
      <c r="C1619" t="s">
        <v>2918</v>
      </c>
      <c r="D1619" t="s">
        <v>2639</v>
      </c>
      <c r="E1619" t="s">
        <v>2770</v>
      </c>
      <c r="F1619" t="s">
        <v>437</v>
      </c>
    </row>
    <row r="1620" spans="1:6" x14ac:dyDescent="0.25">
      <c r="A1620" t="s">
        <v>2597</v>
      </c>
      <c r="B1620" t="s">
        <v>2921</v>
      </c>
      <c r="C1620" t="s">
        <v>2921</v>
      </c>
      <c r="D1620" t="s">
        <v>2644</v>
      </c>
      <c r="E1620" t="s">
        <v>2770</v>
      </c>
      <c r="F1620" t="s">
        <v>2095</v>
      </c>
    </row>
    <row r="1621" spans="1:6" x14ac:dyDescent="0.25">
      <c r="A1621" t="s">
        <v>2597</v>
      </c>
      <c r="B1621" t="s">
        <v>2919</v>
      </c>
      <c r="C1621" t="s">
        <v>2919</v>
      </c>
      <c r="D1621" t="s">
        <v>2680</v>
      </c>
      <c r="E1621" t="s">
        <v>2795</v>
      </c>
      <c r="F1621" t="s">
        <v>2091</v>
      </c>
    </row>
    <row r="1622" spans="1:6" x14ac:dyDescent="0.25">
      <c r="A1622" t="s">
        <v>2597</v>
      </c>
      <c r="B1622" t="s">
        <v>2928</v>
      </c>
      <c r="C1622" t="s">
        <v>2916</v>
      </c>
      <c r="D1622" t="s">
        <v>2642</v>
      </c>
      <c r="E1622" t="s">
        <v>2755</v>
      </c>
      <c r="F1622" t="s">
        <v>1444</v>
      </c>
    </row>
    <row r="1623" spans="1:6" x14ac:dyDescent="0.25">
      <c r="A1623" t="s">
        <v>2597</v>
      </c>
      <c r="B1623" t="s">
        <v>2928</v>
      </c>
      <c r="C1623" t="s">
        <v>2916</v>
      </c>
      <c r="D1623" t="s">
        <v>2638</v>
      </c>
      <c r="E1623" t="s">
        <v>2766</v>
      </c>
      <c r="F1623" t="s">
        <v>1753</v>
      </c>
    </row>
    <row r="1624" spans="1:6" x14ac:dyDescent="0.25">
      <c r="A1624" t="s">
        <v>2567</v>
      </c>
      <c r="B1624" t="s">
        <v>2927</v>
      </c>
      <c r="C1624" t="s">
        <v>2923</v>
      </c>
      <c r="D1624" t="s">
        <v>2655</v>
      </c>
      <c r="E1624" t="s">
        <v>2770</v>
      </c>
      <c r="F1624" t="s">
        <v>1972</v>
      </c>
    </row>
    <row r="1625" spans="1:6" x14ac:dyDescent="0.25">
      <c r="A1625" t="s">
        <v>2567</v>
      </c>
      <c r="B1625" t="s">
        <v>2927</v>
      </c>
      <c r="C1625" t="s">
        <v>2914</v>
      </c>
      <c r="D1625" t="s">
        <v>2637</v>
      </c>
      <c r="E1625" t="s">
        <v>2802</v>
      </c>
      <c r="F1625" t="s">
        <v>1325</v>
      </c>
    </row>
    <row r="1626" spans="1:6" x14ac:dyDescent="0.25">
      <c r="A1626" t="s">
        <v>2567</v>
      </c>
      <c r="B1626" t="s">
        <v>2927</v>
      </c>
      <c r="C1626" t="s">
        <v>2917</v>
      </c>
      <c r="D1626" t="s">
        <v>1206</v>
      </c>
      <c r="E1626" t="s">
        <v>2761</v>
      </c>
      <c r="F1626" t="s">
        <v>1975</v>
      </c>
    </row>
    <row r="1627" spans="1:6" x14ac:dyDescent="0.25">
      <c r="A1627" t="s">
        <v>2567</v>
      </c>
      <c r="B1627" t="s">
        <v>2927</v>
      </c>
      <c r="C1627" t="s">
        <v>2917</v>
      </c>
      <c r="D1627" t="s">
        <v>2679</v>
      </c>
      <c r="E1627" t="s">
        <v>2794</v>
      </c>
      <c r="F1627" t="s">
        <v>1978</v>
      </c>
    </row>
    <row r="1628" spans="1:6" x14ac:dyDescent="0.25">
      <c r="A1628" t="s">
        <v>2567</v>
      </c>
      <c r="B1628" t="s">
        <v>2927</v>
      </c>
      <c r="C1628" t="s">
        <v>2917</v>
      </c>
      <c r="D1628" t="s">
        <v>2679</v>
      </c>
      <c r="E1628" t="s">
        <v>2753</v>
      </c>
      <c r="F1628" t="s">
        <v>1971</v>
      </c>
    </row>
    <row r="1629" spans="1:6" x14ac:dyDescent="0.25">
      <c r="A1629" t="s">
        <v>2567</v>
      </c>
      <c r="B1629" t="s">
        <v>2927</v>
      </c>
      <c r="C1629" t="s">
        <v>2917</v>
      </c>
      <c r="D1629" t="s">
        <v>2679</v>
      </c>
      <c r="E1629" t="s">
        <v>2761</v>
      </c>
      <c r="F1629" t="s">
        <v>1977</v>
      </c>
    </row>
    <row r="1630" spans="1:6" x14ac:dyDescent="0.25">
      <c r="A1630" t="s">
        <v>2567</v>
      </c>
      <c r="B1630" t="s">
        <v>2921</v>
      </c>
      <c r="C1630" t="s">
        <v>191</v>
      </c>
      <c r="D1630" t="s">
        <v>2138</v>
      </c>
      <c r="E1630" t="s">
        <v>2762</v>
      </c>
      <c r="F1630" t="s">
        <v>654</v>
      </c>
    </row>
    <row r="1631" spans="1:6" x14ac:dyDescent="0.25">
      <c r="A1631" t="s">
        <v>2567</v>
      </c>
      <c r="B1631" t="s">
        <v>2919</v>
      </c>
      <c r="C1631" t="s">
        <v>2919</v>
      </c>
      <c r="D1631" t="s">
        <v>2663</v>
      </c>
      <c r="E1631" t="s">
        <v>2778</v>
      </c>
      <c r="F1631" t="s">
        <v>1970</v>
      </c>
    </row>
    <row r="1632" spans="1:6" x14ac:dyDescent="0.25">
      <c r="A1632" t="s">
        <v>2567</v>
      </c>
      <c r="B1632" t="s">
        <v>2919</v>
      </c>
      <c r="C1632" t="s">
        <v>2919</v>
      </c>
      <c r="D1632" t="s">
        <v>2650</v>
      </c>
      <c r="E1632" t="s">
        <v>2790</v>
      </c>
      <c r="F1632" t="s">
        <v>1969</v>
      </c>
    </row>
    <row r="1633" spans="1:6" x14ac:dyDescent="0.25">
      <c r="A1633" t="s">
        <v>2570</v>
      </c>
      <c r="B1633" t="s">
        <v>2927</v>
      </c>
      <c r="C1633" t="s">
        <v>2923</v>
      </c>
      <c r="D1633" t="s">
        <v>2655</v>
      </c>
      <c r="E1633" t="s">
        <v>2759</v>
      </c>
      <c r="F1633" t="s">
        <v>1985</v>
      </c>
    </row>
    <row r="1634" spans="1:6" x14ac:dyDescent="0.25">
      <c r="A1634" t="s">
        <v>2570</v>
      </c>
      <c r="B1634" t="s">
        <v>2927</v>
      </c>
      <c r="C1634" t="s">
        <v>2917</v>
      </c>
      <c r="D1634" t="s">
        <v>1206</v>
      </c>
      <c r="E1634" t="s">
        <v>2760</v>
      </c>
      <c r="F1634" t="s">
        <v>1988</v>
      </c>
    </row>
    <row r="1635" spans="1:6" x14ac:dyDescent="0.25">
      <c r="A1635" t="s">
        <v>2570</v>
      </c>
      <c r="B1635" t="s">
        <v>2927</v>
      </c>
      <c r="C1635" t="s">
        <v>2917</v>
      </c>
      <c r="D1635" t="s">
        <v>1206</v>
      </c>
      <c r="E1635" t="s">
        <v>2761</v>
      </c>
      <c r="F1635" t="s">
        <v>1975</v>
      </c>
    </row>
    <row r="1636" spans="1:6" x14ac:dyDescent="0.25">
      <c r="A1636" t="s">
        <v>2570</v>
      </c>
      <c r="B1636" t="s">
        <v>2927</v>
      </c>
      <c r="C1636" t="s">
        <v>2917</v>
      </c>
      <c r="D1636" t="s">
        <v>2679</v>
      </c>
      <c r="E1636" t="s">
        <v>2770</v>
      </c>
      <c r="F1636" t="s">
        <v>519</v>
      </c>
    </row>
    <row r="1637" spans="1:6" x14ac:dyDescent="0.25">
      <c r="A1637" t="s">
        <v>2570</v>
      </c>
      <c r="B1637" t="s">
        <v>75</v>
      </c>
      <c r="C1637" t="s">
        <v>75</v>
      </c>
      <c r="D1637" t="s">
        <v>2660</v>
      </c>
      <c r="E1637" t="s">
        <v>2759</v>
      </c>
      <c r="F1637" t="s">
        <v>1983</v>
      </c>
    </row>
    <row r="1638" spans="1:6" x14ac:dyDescent="0.25">
      <c r="A1638" t="s">
        <v>2570</v>
      </c>
      <c r="B1638" t="s">
        <v>75</v>
      </c>
      <c r="C1638" t="s">
        <v>75</v>
      </c>
      <c r="D1638" t="s">
        <v>2640</v>
      </c>
      <c r="E1638" t="s">
        <v>2771</v>
      </c>
      <c r="F1638" t="s">
        <v>1984</v>
      </c>
    </row>
    <row r="1639" spans="1:6" x14ac:dyDescent="0.25">
      <c r="A1639" t="s">
        <v>2570</v>
      </c>
      <c r="B1639" t="s">
        <v>2921</v>
      </c>
      <c r="C1639" t="s">
        <v>27</v>
      </c>
      <c r="D1639" t="s">
        <v>2930</v>
      </c>
      <c r="E1639" t="s">
        <v>2759</v>
      </c>
      <c r="F1639" t="s">
        <v>371</v>
      </c>
    </row>
    <row r="1640" spans="1:6" x14ac:dyDescent="0.25">
      <c r="A1640" t="s">
        <v>2570</v>
      </c>
      <c r="B1640" t="s">
        <v>2921</v>
      </c>
      <c r="C1640" t="s">
        <v>2920</v>
      </c>
      <c r="D1640" t="s">
        <v>2643</v>
      </c>
      <c r="E1640" t="s">
        <v>2774</v>
      </c>
      <c r="F1640" t="s">
        <v>1412</v>
      </c>
    </row>
    <row r="1641" spans="1:6" x14ac:dyDescent="0.25">
      <c r="A1641" t="s">
        <v>2570</v>
      </c>
      <c r="B1641" t="s">
        <v>2921</v>
      </c>
      <c r="C1641" t="s">
        <v>2921</v>
      </c>
      <c r="D1641" t="s">
        <v>2644</v>
      </c>
      <c r="E1641" t="s">
        <v>2768</v>
      </c>
      <c r="F1641" t="s">
        <v>1989</v>
      </c>
    </row>
    <row r="1642" spans="1:6" x14ac:dyDescent="0.25">
      <c r="A1642" t="s">
        <v>2570</v>
      </c>
      <c r="B1642" t="s">
        <v>2921</v>
      </c>
      <c r="C1642" t="s">
        <v>2921</v>
      </c>
      <c r="D1642" t="s">
        <v>2644</v>
      </c>
      <c r="E1642" t="s">
        <v>2776</v>
      </c>
      <c r="F1642" t="s">
        <v>1990</v>
      </c>
    </row>
    <row r="1643" spans="1:6" x14ac:dyDescent="0.25">
      <c r="A1643" t="s">
        <v>2570</v>
      </c>
      <c r="B1643" t="s">
        <v>2921</v>
      </c>
      <c r="C1643" t="s">
        <v>191</v>
      </c>
      <c r="D1643" t="s">
        <v>2138</v>
      </c>
      <c r="E1643" t="s">
        <v>2817</v>
      </c>
      <c r="F1643" t="s">
        <v>338</v>
      </c>
    </row>
    <row r="1644" spans="1:6" x14ac:dyDescent="0.25">
      <c r="A1644" t="s">
        <v>2570</v>
      </c>
      <c r="B1644" t="s">
        <v>2919</v>
      </c>
      <c r="C1644" t="s">
        <v>2919</v>
      </c>
      <c r="D1644" t="s">
        <v>2650</v>
      </c>
      <c r="E1644" t="s">
        <v>2755</v>
      </c>
      <c r="F1644" t="s">
        <v>1024</v>
      </c>
    </row>
    <row r="1645" spans="1:6" x14ac:dyDescent="0.25">
      <c r="A1645" t="s">
        <v>2570</v>
      </c>
      <c r="B1645" t="s">
        <v>2928</v>
      </c>
      <c r="C1645" t="s">
        <v>2916</v>
      </c>
      <c r="D1645" t="s">
        <v>2656</v>
      </c>
      <c r="E1645" t="s">
        <v>2795</v>
      </c>
      <c r="F1645" t="s">
        <v>1980</v>
      </c>
    </row>
    <row r="1646" spans="1:6" x14ac:dyDescent="0.25">
      <c r="A1646" t="s">
        <v>2570</v>
      </c>
      <c r="B1646" t="s">
        <v>2928</v>
      </c>
      <c r="C1646" t="s">
        <v>2916</v>
      </c>
      <c r="D1646" t="s">
        <v>2638</v>
      </c>
      <c r="E1646" t="s">
        <v>2752</v>
      </c>
      <c r="F1646" t="s">
        <v>606</v>
      </c>
    </row>
    <row r="1647" spans="1:6" x14ac:dyDescent="0.25">
      <c r="A1647" t="s">
        <v>2573</v>
      </c>
      <c r="B1647" t="s">
        <v>2927</v>
      </c>
      <c r="C1647" t="s">
        <v>2923</v>
      </c>
      <c r="D1647" t="s">
        <v>2655</v>
      </c>
      <c r="E1647" t="s">
        <v>2819</v>
      </c>
      <c r="F1647" t="s">
        <v>1996</v>
      </c>
    </row>
    <row r="1648" spans="1:6" x14ac:dyDescent="0.25">
      <c r="A1648" t="s">
        <v>2573</v>
      </c>
      <c r="B1648" t="s">
        <v>2927</v>
      </c>
      <c r="C1648" t="s">
        <v>2923</v>
      </c>
      <c r="D1648" t="s">
        <v>2655</v>
      </c>
      <c r="E1648" t="s">
        <v>2768</v>
      </c>
      <c r="F1648" t="s">
        <v>1999</v>
      </c>
    </row>
    <row r="1649" spans="1:6" x14ac:dyDescent="0.25">
      <c r="A1649" t="s">
        <v>2573</v>
      </c>
      <c r="B1649" t="s">
        <v>2927</v>
      </c>
      <c r="C1649" t="s">
        <v>2914</v>
      </c>
      <c r="D1649" t="s">
        <v>2637</v>
      </c>
      <c r="E1649" t="s">
        <v>2761</v>
      </c>
      <c r="F1649" t="s">
        <v>423</v>
      </c>
    </row>
    <row r="1650" spans="1:6" x14ac:dyDescent="0.25">
      <c r="A1650" t="s">
        <v>2573</v>
      </c>
      <c r="B1650" t="s">
        <v>2927</v>
      </c>
      <c r="C1650" t="s">
        <v>2917</v>
      </c>
      <c r="D1650" t="s">
        <v>2679</v>
      </c>
      <c r="E1650" t="s">
        <v>2763</v>
      </c>
      <c r="F1650" t="s">
        <v>2001</v>
      </c>
    </row>
    <row r="1651" spans="1:6" x14ac:dyDescent="0.25">
      <c r="A1651" t="s">
        <v>2573</v>
      </c>
      <c r="B1651" t="s">
        <v>2927</v>
      </c>
      <c r="C1651" t="s">
        <v>2917</v>
      </c>
      <c r="D1651" t="s">
        <v>2679</v>
      </c>
      <c r="E1651" t="s">
        <v>2761</v>
      </c>
      <c r="F1651" t="s">
        <v>2002</v>
      </c>
    </row>
    <row r="1652" spans="1:6" x14ac:dyDescent="0.25">
      <c r="A1652" t="s">
        <v>2573</v>
      </c>
      <c r="B1652" t="s">
        <v>75</v>
      </c>
      <c r="C1652" t="s">
        <v>75</v>
      </c>
      <c r="D1652" t="s">
        <v>2640</v>
      </c>
      <c r="E1652" t="s">
        <v>2763</v>
      </c>
      <c r="F1652" t="s">
        <v>336</v>
      </c>
    </row>
    <row r="1653" spans="1:6" x14ac:dyDescent="0.25">
      <c r="A1653" t="s">
        <v>2573</v>
      </c>
      <c r="B1653" t="s">
        <v>75</v>
      </c>
      <c r="C1653" t="s">
        <v>75</v>
      </c>
      <c r="D1653" t="s">
        <v>2640</v>
      </c>
      <c r="E1653" t="s">
        <v>2776</v>
      </c>
      <c r="F1653" t="s">
        <v>1995</v>
      </c>
    </row>
    <row r="1654" spans="1:6" x14ac:dyDescent="0.25">
      <c r="A1654" t="s">
        <v>2573</v>
      </c>
      <c r="B1654" t="s">
        <v>75</v>
      </c>
      <c r="C1654" t="s">
        <v>75</v>
      </c>
      <c r="D1654" t="s">
        <v>1212</v>
      </c>
      <c r="E1654" t="s">
        <v>2810</v>
      </c>
      <c r="F1654" t="s">
        <v>722</v>
      </c>
    </row>
    <row r="1655" spans="1:6" x14ac:dyDescent="0.25">
      <c r="A1655" t="s">
        <v>2573</v>
      </c>
      <c r="B1655" t="s">
        <v>2921</v>
      </c>
      <c r="C1655" t="s">
        <v>2918</v>
      </c>
      <c r="D1655" t="s">
        <v>2639</v>
      </c>
      <c r="E1655" t="s">
        <v>2754</v>
      </c>
      <c r="F1655" t="s">
        <v>415</v>
      </c>
    </row>
    <row r="1656" spans="1:6" x14ac:dyDescent="0.25">
      <c r="A1656" t="s">
        <v>2573</v>
      </c>
      <c r="B1656" t="s">
        <v>2921</v>
      </c>
      <c r="C1656" t="s">
        <v>27</v>
      </c>
      <c r="D1656" t="s">
        <v>2930</v>
      </c>
      <c r="E1656" t="s">
        <v>2810</v>
      </c>
      <c r="F1656" t="s">
        <v>893</v>
      </c>
    </row>
    <row r="1657" spans="1:6" x14ac:dyDescent="0.25">
      <c r="A1657" t="s">
        <v>2573</v>
      </c>
      <c r="B1657" t="s">
        <v>2921</v>
      </c>
      <c r="C1657" t="s">
        <v>191</v>
      </c>
      <c r="D1657" t="s">
        <v>2138</v>
      </c>
      <c r="E1657" t="s">
        <v>2817</v>
      </c>
      <c r="F1657" t="s">
        <v>338</v>
      </c>
    </row>
    <row r="1658" spans="1:6" x14ac:dyDescent="0.25">
      <c r="A1658" t="s">
        <v>2573</v>
      </c>
      <c r="B1658" t="s">
        <v>2919</v>
      </c>
      <c r="C1658" t="s">
        <v>2919</v>
      </c>
      <c r="D1658" t="s">
        <v>2653</v>
      </c>
      <c r="E1658" t="s">
        <v>2900</v>
      </c>
      <c r="F1658" t="s">
        <v>2004</v>
      </c>
    </row>
    <row r="1659" spans="1:6" x14ac:dyDescent="0.25">
      <c r="A1659" t="s">
        <v>2573</v>
      </c>
      <c r="B1659" t="s">
        <v>2919</v>
      </c>
      <c r="C1659" t="s">
        <v>2919</v>
      </c>
      <c r="D1659" t="s">
        <v>2663</v>
      </c>
      <c r="E1659" t="s">
        <v>2755</v>
      </c>
      <c r="F1659" t="s">
        <v>1994</v>
      </c>
    </row>
    <row r="1660" spans="1:6" x14ac:dyDescent="0.25">
      <c r="A1660" t="s">
        <v>2573</v>
      </c>
      <c r="B1660" t="s">
        <v>2928</v>
      </c>
      <c r="C1660" t="s">
        <v>2916</v>
      </c>
      <c r="D1660" t="s">
        <v>2638</v>
      </c>
      <c r="E1660" t="s">
        <v>2848</v>
      </c>
      <c r="F1660" t="s">
        <v>670</v>
      </c>
    </row>
    <row r="1661" spans="1:6" x14ac:dyDescent="0.25">
      <c r="A1661" t="s">
        <v>2576</v>
      </c>
      <c r="B1661" t="s">
        <v>2935</v>
      </c>
      <c r="C1661" t="s">
        <v>2935</v>
      </c>
      <c r="D1661" t="s">
        <v>247</v>
      </c>
      <c r="E1661" t="s">
        <v>2153</v>
      </c>
      <c r="F1661" t="s">
        <v>247</v>
      </c>
    </row>
    <row r="1662" spans="1:6" x14ac:dyDescent="0.25">
      <c r="A1662" t="s">
        <v>2579</v>
      </c>
      <c r="B1662" t="s">
        <v>2935</v>
      </c>
      <c r="C1662" t="s">
        <v>2935</v>
      </c>
      <c r="D1662" t="s">
        <v>247</v>
      </c>
      <c r="E1662" t="s">
        <v>2153</v>
      </c>
      <c r="F1662" t="s">
        <v>247</v>
      </c>
    </row>
    <row r="1663" spans="1:6" x14ac:dyDescent="0.25">
      <c r="A1663" t="s">
        <v>2582</v>
      </c>
      <c r="B1663" t="s">
        <v>2927</v>
      </c>
      <c r="C1663" t="s">
        <v>2914</v>
      </c>
      <c r="D1663" t="s">
        <v>2637</v>
      </c>
      <c r="E1663" t="s">
        <v>2802</v>
      </c>
      <c r="F1663" t="s">
        <v>1325</v>
      </c>
    </row>
    <row r="1664" spans="1:6" x14ac:dyDescent="0.25">
      <c r="A1664" t="s">
        <v>2582</v>
      </c>
      <c r="B1664" t="s">
        <v>2927</v>
      </c>
      <c r="C1664" t="s">
        <v>2914</v>
      </c>
      <c r="D1664" t="s">
        <v>2637</v>
      </c>
      <c r="E1664" t="s">
        <v>2776</v>
      </c>
      <c r="F1664" t="s">
        <v>2011</v>
      </c>
    </row>
    <row r="1665" spans="1:6" x14ac:dyDescent="0.25">
      <c r="A1665" t="s">
        <v>2582</v>
      </c>
      <c r="B1665" t="s">
        <v>2927</v>
      </c>
      <c r="C1665" t="s">
        <v>2917</v>
      </c>
      <c r="D1665" t="s">
        <v>2659</v>
      </c>
      <c r="E1665" t="s">
        <v>2772</v>
      </c>
      <c r="F1665" t="s">
        <v>2009</v>
      </c>
    </row>
    <row r="1666" spans="1:6" x14ac:dyDescent="0.25">
      <c r="A1666" t="s">
        <v>2582</v>
      </c>
      <c r="B1666" t="s">
        <v>2921</v>
      </c>
      <c r="C1666" t="s">
        <v>2920</v>
      </c>
      <c r="D1666" t="s">
        <v>2643</v>
      </c>
      <c r="E1666" t="s">
        <v>2901</v>
      </c>
      <c r="F1666" t="s">
        <v>2005</v>
      </c>
    </row>
    <row r="1667" spans="1:6" x14ac:dyDescent="0.25">
      <c r="A1667" t="s">
        <v>2582</v>
      </c>
      <c r="B1667" t="s">
        <v>2921</v>
      </c>
      <c r="C1667" t="s">
        <v>191</v>
      </c>
      <c r="D1667" t="s">
        <v>2138</v>
      </c>
      <c r="E1667" t="s">
        <v>2762</v>
      </c>
      <c r="F1667" t="s">
        <v>654</v>
      </c>
    </row>
    <row r="1668" spans="1:6" x14ac:dyDescent="0.25">
      <c r="A1668" t="s">
        <v>2582</v>
      </c>
      <c r="B1668" t="s">
        <v>2919</v>
      </c>
      <c r="C1668" t="s">
        <v>2919</v>
      </c>
      <c r="D1668" t="s">
        <v>2673</v>
      </c>
      <c r="E1668" t="s">
        <v>2870</v>
      </c>
      <c r="F1668" t="s">
        <v>2006</v>
      </c>
    </row>
    <row r="1669" spans="1:6" x14ac:dyDescent="0.25">
      <c r="A1669" t="s">
        <v>2582</v>
      </c>
      <c r="B1669" t="s">
        <v>2928</v>
      </c>
      <c r="C1669" t="s">
        <v>2916</v>
      </c>
      <c r="D1669" t="s">
        <v>2638</v>
      </c>
      <c r="E1669" t="s">
        <v>2779</v>
      </c>
      <c r="F1669" t="s">
        <v>1270</v>
      </c>
    </row>
    <row r="1670" spans="1:6" x14ac:dyDescent="0.25">
      <c r="A1670" t="s">
        <v>2582</v>
      </c>
      <c r="B1670" t="s">
        <v>2928</v>
      </c>
      <c r="C1670" t="s">
        <v>2916</v>
      </c>
      <c r="D1670" t="s">
        <v>2638</v>
      </c>
      <c r="E1670" t="s">
        <v>2781</v>
      </c>
      <c r="F1670" t="s">
        <v>1834</v>
      </c>
    </row>
    <row r="1671" spans="1:6" x14ac:dyDescent="0.25">
      <c r="A1671" t="s">
        <v>2585</v>
      </c>
      <c r="B1671" t="s">
        <v>2927</v>
      </c>
      <c r="C1671" t="s">
        <v>2914</v>
      </c>
      <c r="D1671" t="s">
        <v>2637</v>
      </c>
      <c r="E1671" t="s">
        <v>2757</v>
      </c>
      <c r="F1671" t="s">
        <v>2015</v>
      </c>
    </row>
    <row r="1672" spans="1:6" x14ac:dyDescent="0.25">
      <c r="A1672" t="s">
        <v>2585</v>
      </c>
      <c r="B1672" t="s">
        <v>2927</v>
      </c>
      <c r="C1672" t="s">
        <v>2917</v>
      </c>
      <c r="D1672" t="s">
        <v>2659</v>
      </c>
      <c r="E1672" t="s">
        <v>2757</v>
      </c>
      <c r="F1672" t="s">
        <v>2019</v>
      </c>
    </row>
    <row r="1673" spans="1:6" x14ac:dyDescent="0.25">
      <c r="A1673" t="s">
        <v>2585</v>
      </c>
      <c r="B1673" t="s">
        <v>2927</v>
      </c>
      <c r="C1673" t="s">
        <v>2917</v>
      </c>
      <c r="D1673" t="s">
        <v>1206</v>
      </c>
      <c r="E1673" t="s">
        <v>2792</v>
      </c>
      <c r="F1673" t="s">
        <v>2016</v>
      </c>
    </row>
    <row r="1674" spans="1:6" x14ac:dyDescent="0.25">
      <c r="A1674" t="s">
        <v>2585</v>
      </c>
      <c r="B1674" t="s">
        <v>2927</v>
      </c>
      <c r="C1674" t="s">
        <v>2917</v>
      </c>
      <c r="D1674" t="s">
        <v>1206</v>
      </c>
      <c r="E1674" t="s">
        <v>2901</v>
      </c>
      <c r="F1674" t="s">
        <v>2025</v>
      </c>
    </row>
    <row r="1675" spans="1:6" x14ac:dyDescent="0.25">
      <c r="A1675" t="s">
        <v>2585</v>
      </c>
      <c r="B1675" t="s">
        <v>2927</v>
      </c>
      <c r="C1675" t="s">
        <v>2917</v>
      </c>
      <c r="D1675" t="s">
        <v>1206</v>
      </c>
      <c r="E1675" t="s">
        <v>2801</v>
      </c>
      <c r="F1675" t="s">
        <v>2022</v>
      </c>
    </row>
    <row r="1676" spans="1:6" x14ac:dyDescent="0.25">
      <c r="A1676" t="s">
        <v>2585</v>
      </c>
      <c r="B1676" t="s">
        <v>2927</v>
      </c>
      <c r="C1676" t="s">
        <v>2917</v>
      </c>
      <c r="D1676" t="s">
        <v>2679</v>
      </c>
      <c r="E1676" t="s">
        <v>2794</v>
      </c>
      <c r="F1676" t="s">
        <v>2020</v>
      </c>
    </row>
    <row r="1677" spans="1:6" x14ac:dyDescent="0.25">
      <c r="A1677" t="s">
        <v>2585</v>
      </c>
      <c r="B1677" t="s">
        <v>2927</v>
      </c>
      <c r="C1677" t="s">
        <v>2917</v>
      </c>
      <c r="D1677" t="s">
        <v>217</v>
      </c>
      <c r="E1677" t="s">
        <v>2801</v>
      </c>
      <c r="F1677" t="s">
        <v>2021</v>
      </c>
    </row>
    <row r="1678" spans="1:6" x14ac:dyDescent="0.25">
      <c r="A1678" t="s">
        <v>2585</v>
      </c>
      <c r="B1678" t="s">
        <v>2921</v>
      </c>
      <c r="C1678" t="s">
        <v>2918</v>
      </c>
      <c r="D1678" t="s">
        <v>2639</v>
      </c>
      <c r="E1678" t="s">
        <v>2770</v>
      </c>
      <c r="F1678" t="s">
        <v>2013</v>
      </c>
    </row>
    <row r="1679" spans="1:6" x14ac:dyDescent="0.25">
      <c r="A1679" t="s">
        <v>2585</v>
      </c>
      <c r="B1679" t="s">
        <v>2921</v>
      </c>
      <c r="C1679" t="s">
        <v>2918</v>
      </c>
      <c r="D1679" t="s">
        <v>2639</v>
      </c>
      <c r="E1679" t="s">
        <v>2801</v>
      </c>
      <c r="F1679" t="s">
        <v>2012</v>
      </c>
    </row>
    <row r="1680" spans="1:6" x14ac:dyDescent="0.25">
      <c r="A1680" t="s">
        <v>2585</v>
      </c>
      <c r="B1680" t="s">
        <v>2921</v>
      </c>
      <c r="C1680" t="s">
        <v>27</v>
      </c>
      <c r="D1680" t="s">
        <v>2930</v>
      </c>
      <c r="E1680" t="s">
        <v>2760</v>
      </c>
      <c r="F1680" t="s">
        <v>2014</v>
      </c>
    </row>
    <row r="1681" spans="1:6" x14ac:dyDescent="0.25">
      <c r="A1681" t="s">
        <v>2585</v>
      </c>
      <c r="B1681" t="s">
        <v>2921</v>
      </c>
      <c r="C1681" t="s">
        <v>2921</v>
      </c>
      <c r="D1681" t="s">
        <v>2644</v>
      </c>
      <c r="E1681" t="s">
        <v>2760</v>
      </c>
      <c r="F1681" t="s">
        <v>2023</v>
      </c>
    </row>
    <row r="1682" spans="1:6" x14ac:dyDescent="0.25">
      <c r="A1682" t="s">
        <v>2585</v>
      </c>
      <c r="B1682" t="s">
        <v>2921</v>
      </c>
      <c r="C1682" t="s">
        <v>191</v>
      </c>
      <c r="D1682" t="s">
        <v>2138</v>
      </c>
      <c r="E1682" t="s">
        <v>2817</v>
      </c>
      <c r="F1682" t="s">
        <v>338</v>
      </c>
    </row>
    <row r="1683" spans="1:6" x14ac:dyDescent="0.25">
      <c r="A1683" t="s">
        <v>2585</v>
      </c>
      <c r="B1683" t="s">
        <v>2919</v>
      </c>
      <c r="C1683" t="s">
        <v>2919</v>
      </c>
      <c r="D1683" t="s">
        <v>2663</v>
      </c>
      <c r="E1683" t="s">
        <v>2786</v>
      </c>
      <c r="F1683" t="s">
        <v>2024</v>
      </c>
    </row>
    <row r="1684" spans="1:6" x14ac:dyDescent="0.25">
      <c r="A1684" t="s">
        <v>2585</v>
      </c>
      <c r="B1684" t="s">
        <v>2919</v>
      </c>
      <c r="C1684" t="s">
        <v>2919</v>
      </c>
      <c r="D1684" t="s">
        <v>2650</v>
      </c>
      <c r="E1684" t="s">
        <v>2779</v>
      </c>
      <c r="F1684" t="s">
        <v>1488</v>
      </c>
    </row>
    <row r="1685" spans="1:6" x14ac:dyDescent="0.25">
      <c r="A1685" t="s">
        <v>2585</v>
      </c>
      <c r="B1685" t="s">
        <v>2928</v>
      </c>
      <c r="C1685" t="s">
        <v>2916</v>
      </c>
      <c r="D1685" t="s">
        <v>2638</v>
      </c>
      <c r="E1685" t="s">
        <v>2778</v>
      </c>
      <c r="F1685" t="s">
        <v>888</v>
      </c>
    </row>
    <row r="1686" spans="1:6" x14ac:dyDescent="0.25">
      <c r="A1686" t="s">
        <v>2585</v>
      </c>
      <c r="B1686" t="s">
        <v>2928</v>
      </c>
      <c r="C1686" t="s">
        <v>2916</v>
      </c>
      <c r="D1686" t="s">
        <v>2638</v>
      </c>
      <c r="E1686" t="s">
        <v>2788</v>
      </c>
      <c r="F1686" t="s">
        <v>1200</v>
      </c>
    </row>
    <row r="1687" spans="1:6" x14ac:dyDescent="0.25">
      <c r="A1687" t="s">
        <v>2588</v>
      </c>
      <c r="B1687" t="s">
        <v>2927</v>
      </c>
      <c r="C1687" t="s">
        <v>2914</v>
      </c>
      <c r="D1687" t="s">
        <v>2637</v>
      </c>
      <c r="E1687" t="s">
        <v>2776</v>
      </c>
      <c r="F1687" t="s">
        <v>2030</v>
      </c>
    </row>
    <row r="1688" spans="1:6" x14ac:dyDescent="0.25">
      <c r="A1688" t="s">
        <v>2588</v>
      </c>
      <c r="B1688" t="s">
        <v>2927</v>
      </c>
      <c r="C1688" t="s">
        <v>2917</v>
      </c>
      <c r="D1688" t="s">
        <v>1206</v>
      </c>
      <c r="E1688" t="s">
        <v>2807</v>
      </c>
      <c r="F1688" t="s">
        <v>2031</v>
      </c>
    </row>
    <row r="1689" spans="1:6" x14ac:dyDescent="0.25">
      <c r="A1689" t="s">
        <v>2588</v>
      </c>
      <c r="B1689" t="s">
        <v>2927</v>
      </c>
      <c r="C1689" t="s">
        <v>2917</v>
      </c>
      <c r="D1689" t="s">
        <v>217</v>
      </c>
      <c r="E1689" t="s">
        <v>2770</v>
      </c>
      <c r="F1689" t="s">
        <v>2032</v>
      </c>
    </row>
    <row r="1690" spans="1:6" x14ac:dyDescent="0.25">
      <c r="A1690" t="s">
        <v>2588</v>
      </c>
      <c r="B1690" t="s">
        <v>2921</v>
      </c>
      <c r="C1690" t="s">
        <v>2918</v>
      </c>
      <c r="D1690" t="s">
        <v>2639</v>
      </c>
      <c r="E1690" t="s">
        <v>2770</v>
      </c>
      <c r="F1690" t="s">
        <v>2013</v>
      </c>
    </row>
    <row r="1691" spans="1:6" x14ac:dyDescent="0.25">
      <c r="A1691" t="s">
        <v>2588</v>
      </c>
      <c r="B1691" t="s">
        <v>2921</v>
      </c>
      <c r="C1691" t="s">
        <v>2921</v>
      </c>
      <c r="D1691" t="s">
        <v>2644</v>
      </c>
      <c r="E1691" t="s">
        <v>2771</v>
      </c>
      <c r="F1691" t="s">
        <v>2033</v>
      </c>
    </row>
    <row r="1692" spans="1:6" x14ac:dyDescent="0.25">
      <c r="A1692" t="s">
        <v>2588</v>
      </c>
      <c r="B1692" t="s">
        <v>2921</v>
      </c>
      <c r="C1692" t="s">
        <v>191</v>
      </c>
      <c r="D1692" t="s">
        <v>2138</v>
      </c>
      <c r="E1692" t="s">
        <v>2817</v>
      </c>
      <c r="F1692" t="s">
        <v>338</v>
      </c>
    </row>
    <row r="1693" spans="1:6" x14ac:dyDescent="0.25">
      <c r="A1693" t="s">
        <v>2588</v>
      </c>
      <c r="B1693" t="s">
        <v>2919</v>
      </c>
      <c r="C1693" t="s">
        <v>2919</v>
      </c>
      <c r="D1693" t="s">
        <v>2663</v>
      </c>
      <c r="E1693" t="s">
        <v>2769</v>
      </c>
      <c r="F1693" t="s">
        <v>2034</v>
      </c>
    </row>
    <row r="1694" spans="1:6" x14ac:dyDescent="0.25">
      <c r="A1694" t="s">
        <v>2588</v>
      </c>
      <c r="B1694" t="s">
        <v>2919</v>
      </c>
      <c r="C1694" t="s">
        <v>2919</v>
      </c>
      <c r="D1694" t="s">
        <v>2650</v>
      </c>
      <c r="E1694" t="s">
        <v>2902</v>
      </c>
      <c r="F1694" t="s">
        <v>2029</v>
      </c>
    </row>
    <row r="1695" spans="1:6" x14ac:dyDescent="0.25">
      <c r="A1695" t="s">
        <v>2588</v>
      </c>
      <c r="B1695" t="s">
        <v>2928</v>
      </c>
      <c r="C1695" t="s">
        <v>2916</v>
      </c>
      <c r="D1695" t="s">
        <v>2638</v>
      </c>
      <c r="E1695" t="s">
        <v>2791</v>
      </c>
      <c r="F1695" t="s">
        <v>1339</v>
      </c>
    </row>
    <row r="1696" spans="1:6" x14ac:dyDescent="0.25">
      <c r="A1696" t="s">
        <v>2588</v>
      </c>
      <c r="B1696" t="s">
        <v>2928</v>
      </c>
      <c r="C1696" t="s">
        <v>2916</v>
      </c>
      <c r="D1696" t="s">
        <v>2638</v>
      </c>
      <c r="E1696" t="s">
        <v>2790</v>
      </c>
      <c r="F1696" t="s">
        <v>906</v>
      </c>
    </row>
    <row r="1697" spans="1:6" x14ac:dyDescent="0.25">
      <c r="A1697" t="s">
        <v>2591</v>
      </c>
      <c r="B1697" t="s">
        <v>2927</v>
      </c>
      <c r="C1697" t="s">
        <v>2914</v>
      </c>
      <c r="D1697" t="s">
        <v>2637</v>
      </c>
      <c r="E1697" t="s">
        <v>2801</v>
      </c>
      <c r="F1697" t="s">
        <v>1557</v>
      </c>
    </row>
    <row r="1698" spans="1:6" x14ac:dyDescent="0.25">
      <c r="A1698" t="s">
        <v>2591</v>
      </c>
      <c r="B1698" t="s">
        <v>2927</v>
      </c>
      <c r="C1698" t="s">
        <v>2917</v>
      </c>
      <c r="D1698" t="s">
        <v>2659</v>
      </c>
      <c r="E1698" t="s">
        <v>2776</v>
      </c>
      <c r="F1698" t="s">
        <v>2043</v>
      </c>
    </row>
    <row r="1699" spans="1:6" x14ac:dyDescent="0.25">
      <c r="A1699" t="s">
        <v>2591</v>
      </c>
      <c r="B1699" t="s">
        <v>2927</v>
      </c>
      <c r="C1699" t="s">
        <v>2917</v>
      </c>
      <c r="D1699" t="s">
        <v>1206</v>
      </c>
      <c r="E1699" t="s">
        <v>2776</v>
      </c>
      <c r="F1699" t="s">
        <v>2042</v>
      </c>
    </row>
    <row r="1700" spans="1:6" x14ac:dyDescent="0.25">
      <c r="A1700" t="s">
        <v>2591</v>
      </c>
      <c r="B1700" t="s">
        <v>2927</v>
      </c>
      <c r="C1700" t="s">
        <v>2917</v>
      </c>
      <c r="D1700" t="s">
        <v>2679</v>
      </c>
      <c r="E1700" t="s">
        <v>2776</v>
      </c>
      <c r="F1700" t="s">
        <v>1932</v>
      </c>
    </row>
    <row r="1701" spans="1:6" x14ac:dyDescent="0.25">
      <c r="A1701" t="s">
        <v>2591</v>
      </c>
      <c r="B1701" t="s">
        <v>2927</v>
      </c>
      <c r="C1701" t="s">
        <v>2917</v>
      </c>
      <c r="D1701" t="s">
        <v>748</v>
      </c>
      <c r="E1701" t="s">
        <v>2753</v>
      </c>
      <c r="F1701" t="s">
        <v>2040</v>
      </c>
    </row>
    <row r="1702" spans="1:6" x14ac:dyDescent="0.25">
      <c r="A1702" t="s">
        <v>2591</v>
      </c>
      <c r="B1702" t="s">
        <v>2927</v>
      </c>
      <c r="C1702" t="s">
        <v>2917</v>
      </c>
      <c r="D1702" t="s">
        <v>217</v>
      </c>
      <c r="E1702" t="s">
        <v>2801</v>
      </c>
      <c r="F1702" t="s">
        <v>2021</v>
      </c>
    </row>
    <row r="1703" spans="1:6" x14ac:dyDescent="0.25">
      <c r="A1703" t="s">
        <v>2591</v>
      </c>
      <c r="B1703" t="s">
        <v>2921</v>
      </c>
      <c r="C1703" t="s">
        <v>2918</v>
      </c>
      <c r="D1703" t="s">
        <v>2639</v>
      </c>
      <c r="E1703" t="s">
        <v>2775</v>
      </c>
      <c r="F1703" t="s">
        <v>2038</v>
      </c>
    </row>
    <row r="1704" spans="1:6" x14ac:dyDescent="0.25">
      <c r="A1704" t="s">
        <v>2591</v>
      </c>
      <c r="B1704" t="s">
        <v>2921</v>
      </c>
      <c r="C1704" t="s">
        <v>2918</v>
      </c>
      <c r="D1704" t="s">
        <v>2639</v>
      </c>
      <c r="E1704" t="s">
        <v>2757</v>
      </c>
      <c r="F1704" t="s">
        <v>2037</v>
      </c>
    </row>
    <row r="1705" spans="1:6" x14ac:dyDescent="0.25">
      <c r="A1705" t="s">
        <v>2591</v>
      </c>
      <c r="B1705" t="s">
        <v>2921</v>
      </c>
      <c r="C1705" t="s">
        <v>2918</v>
      </c>
      <c r="D1705" t="s">
        <v>2639</v>
      </c>
      <c r="E1705" t="s">
        <v>2771</v>
      </c>
      <c r="F1705" t="s">
        <v>2036</v>
      </c>
    </row>
    <row r="1706" spans="1:6" x14ac:dyDescent="0.25">
      <c r="A1706" t="s">
        <v>2591</v>
      </c>
      <c r="B1706" t="s">
        <v>2921</v>
      </c>
      <c r="C1706" t="s">
        <v>27</v>
      </c>
      <c r="D1706" t="s">
        <v>2930</v>
      </c>
      <c r="E1706" t="s">
        <v>2903</v>
      </c>
      <c r="F1706" t="s">
        <v>2039</v>
      </c>
    </row>
    <row r="1707" spans="1:6" x14ac:dyDescent="0.25">
      <c r="A1707" t="s">
        <v>2591</v>
      </c>
      <c r="B1707" t="s">
        <v>2921</v>
      </c>
      <c r="C1707" t="s">
        <v>2921</v>
      </c>
      <c r="D1707" t="s">
        <v>2644</v>
      </c>
      <c r="E1707" t="s">
        <v>2770</v>
      </c>
      <c r="F1707" t="s">
        <v>2044</v>
      </c>
    </row>
    <row r="1708" spans="1:6" x14ac:dyDescent="0.25">
      <c r="A1708" t="s">
        <v>2591</v>
      </c>
      <c r="B1708" t="s">
        <v>2921</v>
      </c>
      <c r="C1708" t="s">
        <v>191</v>
      </c>
      <c r="D1708" t="s">
        <v>2138</v>
      </c>
      <c r="E1708" t="s">
        <v>2817</v>
      </c>
      <c r="F1708" t="s">
        <v>338</v>
      </c>
    </row>
    <row r="1709" spans="1:6" x14ac:dyDescent="0.25">
      <c r="A1709" t="s">
        <v>2591</v>
      </c>
      <c r="B1709" t="s">
        <v>2919</v>
      </c>
      <c r="C1709" t="s">
        <v>2919</v>
      </c>
      <c r="D1709" t="s">
        <v>2663</v>
      </c>
      <c r="E1709" t="s">
        <v>2856</v>
      </c>
      <c r="F1709" t="s">
        <v>2045</v>
      </c>
    </row>
    <row r="1710" spans="1:6" x14ac:dyDescent="0.25">
      <c r="A1710" t="s">
        <v>2591</v>
      </c>
      <c r="B1710" t="s">
        <v>2928</v>
      </c>
      <c r="C1710" t="s">
        <v>2916</v>
      </c>
      <c r="D1710" t="s">
        <v>2638</v>
      </c>
      <c r="E1710" t="s">
        <v>2781</v>
      </c>
      <c r="F1710" t="s">
        <v>1139</v>
      </c>
    </row>
    <row r="1711" spans="1:6" x14ac:dyDescent="0.25">
      <c r="A1711" t="s">
        <v>2591</v>
      </c>
      <c r="B1711" t="s">
        <v>2928</v>
      </c>
      <c r="C1711" t="s">
        <v>2916</v>
      </c>
      <c r="D1711" t="s">
        <v>2638</v>
      </c>
      <c r="E1711" t="s">
        <v>2902</v>
      </c>
      <c r="F1711" t="s">
        <v>2035</v>
      </c>
    </row>
    <row r="1712" spans="1:6" x14ac:dyDescent="0.25">
      <c r="A1712" t="s">
        <v>2594</v>
      </c>
      <c r="B1712" t="s">
        <v>2935</v>
      </c>
      <c r="C1712" t="s">
        <v>2935</v>
      </c>
      <c r="D1712" t="s">
        <v>2946</v>
      </c>
      <c r="E1712" t="s">
        <v>2843</v>
      </c>
      <c r="F1712" t="s">
        <v>2086</v>
      </c>
    </row>
    <row r="1713" spans="1:6" x14ac:dyDescent="0.25">
      <c r="A1713" t="s">
        <v>2594</v>
      </c>
      <c r="B1713" t="s">
        <v>2927</v>
      </c>
      <c r="C1713" t="s">
        <v>2923</v>
      </c>
      <c r="D1713" t="s">
        <v>2655</v>
      </c>
      <c r="E1713" t="s">
        <v>2808</v>
      </c>
      <c r="F1713" t="s">
        <v>2069</v>
      </c>
    </row>
    <row r="1714" spans="1:6" x14ac:dyDescent="0.25">
      <c r="A1714" t="s">
        <v>2594</v>
      </c>
      <c r="B1714" t="s">
        <v>2927</v>
      </c>
      <c r="C1714" t="s">
        <v>2923</v>
      </c>
      <c r="D1714" t="s">
        <v>2655</v>
      </c>
      <c r="E1714" t="s">
        <v>2808</v>
      </c>
      <c r="F1714" t="s">
        <v>2077</v>
      </c>
    </row>
    <row r="1715" spans="1:6" x14ac:dyDescent="0.25">
      <c r="A1715" t="s">
        <v>2594</v>
      </c>
      <c r="B1715" t="s">
        <v>2927</v>
      </c>
      <c r="C1715" t="s">
        <v>2923</v>
      </c>
      <c r="D1715" t="s">
        <v>2655</v>
      </c>
      <c r="E1715" t="s">
        <v>2808</v>
      </c>
      <c r="F1715" t="s">
        <v>2062</v>
      </c>
    </row>
    <row r="1716" spans="1:6" x14ac:dyDescent="0.25">
      <c r="A1716" t="s">
        <v>2594</v>
      </c>
      <c r="B1716" t="s">
        <v>2927</v>
      </c>
      <c r="C1716" t="s">
        <v>2923</v>
      </c>
      <c r="D1716" t="s">
        <v>2655</v>
      </c>
      <c r="E1716" t="s">
        <v>2808</v>
      </c>
      <c r="F1716" t="s">
        <v>2067</v>
      </c>
    </row>
    <row r="1717" spans="1:6" x14ac:dyDescent="0.25">
      <c r="A1717" t="s">
        <v>2594</v>
      </c>
      <c r="B1717" t="s">
        <v>2927</v>
      </c>
      <c r="C1717" t="s">
        <v>2923</v>
      </c>
      <c r="D1717" t="s">
        <v>2655</v>
      </c>
      <c r="E1717" t="s">
        <v>2808</v>
      </c>
      <c r="F1717" t="s">
        <v>2075</v>
      </c>
    </row>
    <row r="1718" spans="1:6" x14ac:dyDescent="0.25">
      <c r="A1718" t="s">
        <v>2594</v>
      </c>
      <c r="B1718" t="s">
        <v>2927</v>
      </c>
      <c r="C1718" t="s">
        <v>2923</v>
      </c>
      <c r="D1718" t="s">
        <v>2655</v>
      </c>
      <c r="E1718" t="s">
        <v>2808</v>
      </c>
      <c r="F1718" t="s">
        <v>2061</v>
      </c>
    </row>
    <row r="1719" spans="1:6" x14ac:dyDescent="0.25">
      <c r="A1719" t="s">
        <v>2594</v>
      </c>
      <c r="B1719" t="s">
        <v>2927</v>
      </c>
      <c r="C1719" t="s">
        <v>2923</v>
      </c>
      <c r="D1719" t="s">
        <v>2655</v>
      </c>
      <c r="E1719" t="s">
        <v>2793</v>
      </c>
      <c r="F1719" t="s">
        <v>2079</v>
      </c>
    </row>
    <row r="1720" spans="1:6" x14ac:dyDescent="0.25">
      <c r="A1720" t="s">
        <v>2594</v>
      </c>
      <c r="B1720" t="s">
        <v>2927</v>
      </c>
      <c r="C1720" t="s">
        <v>2923</v>
      </c>
      <c r="D1720" t="s">
        <v>2655</v>
      </c>
      <c r="E1720" t="s">
        <v>2793</v>
      </c>
      <c r="F1720" t="s">
        <v>2071</v>
      </c>
    </row>
    <row r="1721" spans="1:6" x14ac:dyDescent="0.25">
      <c r="A1721" t="s">
        <v>2594</v>
      </c>
      <c r="B1721" t="s">
        <v>2927</v>
      </c>
      <c r="C1721" t="s">
        <v>2923</v>
      </c>
      <c r="D1721" t="s">
        <v>2655</v>
      </c>
      <c r="E1721" t="s">
        <v>2793</v>
      </c>
      <c r="F1721" t="s">
        <v>2065</v>
      </c>
    </row>
    <row r="1722" spans="1:6" x14ac:dyDescent="0.25">
      <c r="A1722" t="s">
        <v>2594</v>
      </c>
      <c r="B1722" t="s">
        <v>2927</v>
      </c>
      <c r="C1722" t="s">
        <v>2923</v>
      </c>
      <c r="D1722" t="s">
        <v>2686</v>
      </c>
      <c r="E1722" t="s">
        <v>2776</v>
      </c>
      <c r="F1722" t="s">
        <v>2083</v>
      </c>
    </row>
    <row r="1723" spans="1:6" x14ac:dyDescent="0.25">
      <c r="A1723" t="s">
        <v>2594</v>
      </c>
      <c r="B1723" t="s">
        <v>2927</v>
      </c>
      <c r="C1723" t="s">
        <v>2923</v>
      </c>
      <c r="D1723" t="s">
        <v>2686</v>
      </c>
      <c r="E1723" t="s">
        <v>2776</v>
      </c>
      <c r="F1723" t="s">
        <v>2051</v>
      </c>
    </row>
    <row r="1724" spans="1:6" x14ac:dyDescent="0.25">
      <c r="A1724" t="s">
        <v>2594</v>
      </c>
      <c r="B1724" t="s">
        <v>2927</v>
      </c>
      <c r="C1724" t="s">
        <v>2923</v>
      </c>
      <c r="D1724" t="s">
        <v>2686</v>
      </c>
      <c r="E1724" t="s">
        <v>2776</v>
      </c>
      <c r="F1724" t="s">
        <v>2059</v>
      </c>
    </row>
    <row r="1725" spans="1:6" x14ac:dyDescent="0.25">
      <c r="A1725" t="s">
        <v>2594</v>
      </c>
      <c r="B1725" t="s">
        <v>2927</v>
      </c>
      <c r="C1725" t="s">
        <v>2914</v>
      </c>
      <c r="D1725" t="s">
        <v>2637</v>
      </c>
      <c r="E1725" t="s">
        <v>2812</v>
      </c>
      <c r="F1725" t="s">
        <v>2088</v>
      </c>
    </row>
    <row r="1726" spans="1:6" x14ac:dyDescent="0.25">
      <c r="A1726" t="s">
        <v>2594</v>
      </c>
      <c r="B1726" t="s">
        <v>2927</v>
      </c>
      <c r="C1726" t="s">
        <v>2917</v>
      </c>
      <c r="D1726" t="s">
        <v>2659</v>
      </c>
      <c r="E1726" t="s">
        <v>2761</v>
      </c>
      <c r="F1726" t="s">
        <v>2057</v>
      </c>
    </row>
    <row r="1727" spans="1:6" x14ac:dyDescent="0.25">
      <c r="A1727" t="s">
        <v>2594</v>
      </c>
      <c r="B1727" t="s">
        <v>2927</v>
      </c>
      <c r="C1727" t="s">
        <v>2917</v>
      </c>
      <c r="D1727" t="s">
        <v>1206</v>
      </c>
      <c r="E1727" t="s">
        <v>2793</v>
      </c>
      <c r="F1727" t="s">
        <v>2055</v>
      </c>
    </row>
    <row r="1728" spans="1:6" x14ac:dyDescent="0.25">
      <c r="A1728" t="s">
        <v>2594</v>
      </c>
      <c r="B1728" t="s">
        <v>2927</v>
      </c>
      <c r="C1728" t="s">
        <v>2917</v>
      </c>
      <c r="D1728" t="s">
        <v>1206</v>
      </c>
      <c r="E1728" t="s">
        <v>2761</v>
      </c>
      <c r="F1728" t="s">
        <v>2054</v>
      </c>
    </row>
    <row r="1729" spans="1:6" x14ac:dyDescent="0.25">
      <c r="A1729" t="s">
        <v>2594</v>
      </c>
      <c r="B1729" t="s">
        <v>2927</v>
      </c>
      <c r="C1729" t="s">
        <v>2924</v>
      </c>
      <c r="D1729" t="s">
        <v>750</v>
      </c>
      <c r="E1729" t="s">
        <v>2905</v>
      </c>
      <c r="F1729" t="s">
        <v>2081</v>
      </c>
    </row>
    <row r="1730" spans="1:6" x14ac:dyDescent="0.25">
      <c r="A1730" t="s">
        <v>2594</v>
      </c>
      <c r="B1730" t="s">
        <v>2927</v>
      </c>
      <c r="C1730" t="s">
        <v>2924</v>
      </c>
      <c r="D1730" t="s">
        <v>750</v>
      </c>
      <c r="E1730" t="s">
        <v>2904</v>
      </c>
      <c r="F1730" t="s">
        <v>2073</v>
      </c>
    </row>
    <row r="1731" spans="1:6" x14ac:dyDescent="0.25">
      <c r="A1731" t="s">
        <v>2594</v>
      </c>
      <c r="B1731" t="s">
        <v>75</v>
      </c>
      <c r="C1731" t="s">
        <v>75</v>
      </c>
      <c r="D1731" t="s">
        <v>2640</v>
      </c>
      <c r="E1731" t="s">
        <v>2753</v>
      </c>
      <c r="F1731" t="s">
        <v>820</v>
      </c>
    </row>
    <row r="1732" spans="1:6" x14ac:dyDescent="0.25">
      <c r="A1732" t="s">
        <v>2594</v>
      </c>
      <c r="B1732" t="s">
        <v>75</v>
      </c>
      <c r="C1732" t="s">
        <v>75</v>
      </c>
      <c r="D1732" t="s">
        <v>2640</v>
      </c>
      <c r="E1732" t="s">
        <v>2760</v>
      </c>
      <c r="F1732" t="s">
        <v>796</v>
      </c>
    </row>
    <row r="1733" spans="1:6" x14ac:dyDescent="0.25">
      <c r="A1733" t="s">
        <v>2594</v>
      </c>
      <c r="B1733" t="s">
        <v>2921</v>
      </c>
      <c r="C1733" t="s">
        <v>27</v>
      </c>
      <c r="D1733" t="s">
        <v>2930</v>
      </c>
      <c r="E1733" t="s">
        <v>2770</v>
      </c>
      <c r="F1733" t="s">
        <v>711</v>
      </c>
    </row>
    <row r="1734" spans="1:6" x14ac:dyDescent="0.25">
      <c r="A1734" t="s">
        <v>2594</v>
      </c>
      <c r="B1734" t="s">
        <v>2921</v>
      </c>
      <c r="C1734" t="s">
        <v>2920</v>
      </c>
      <c r="D1734" t="s">
        <v>2643</v>
      </c>
      <c r="E1734" t="s">
        <v>2866</v>
      </c>
      <c r="F1734" t="s">
        <v>2047</v>
      </c>
    </row>
    <row r="1735" spans="1:6" x14ac:dyDescent="0.25">
      <c r="A1735" t="s">
        <v>2594</v>
      </c>
      <c r="B1735" t="s">
        <v>2919</v>
      </c>
      <c r="C1735" t="s">
        <v>2919</v>
      </c>
      <c r="D1735" t="s">
        <v>2653</v>
      </c>
      <c r="E1735" t="s">
        <v>2846</v>
      </c>
      <c r="F1735" t="s">
        <v>2085</v>
      </c>
    </row>
    <row r="1736" spans="1:6" x14ac:dyDescent="0.25">
      <c r="A1736" t="s">
        <v>2594</v>
      </c>
      <c r="B1736" t="s">
        <v>2919</v>
      </c>
      <c r="C1736" t="s">
        <v>2919</v>
      </c>
      <c r="D1736" t="s">
        <v>2690</v>
      </c>
      <c r="E1736" t="s">
        <v>2829</v>
      </c>
      <c r="F1736" t="s">
        <v>2089</v>
      </c>
    </row>
    <row r="1737" spans="1:6" x14ac:dyDescent="0.25">
      <c r="A1737" t="s">
        <v>2594</v>
      </c>
      <c r="B1737" t="s">
        <v>2928</v>
      </c>
      <c r="C1737" t="s">
        <v>2916</v>
      </c>
      <c r="D1737" t="s">
        <v>2638</v>
      </c>
      <c r="E1737" t="s">
        <v>2867</v>
      </c>
      <c r="F1737" t="s">
        <v>2046</v>
      </c>
    </row>
    <row r="1738" spans="1:6" x14ac:dyDescent="0.25">
      <c r="A1738" t="s">
        <v>2600</v>
      </c>
      <c r="B1738" t="s">
        <v>2927</v>
      </c>
      <c r="C1738" t="s">
        <v>2914</v>
      </c>
      <c r="D1738" t="s">
        <v>2637</v>
      </c>
      <c r="E1738" t="s">
        <v>2757</v>
      </c>
      <c r="F1738" t="s">
        <v>2103</v>
      </c>
    </row>
    <row r="1739" spans="1:6" x14ac:dyDescent="0.25">
      <c r="A1739" t="s">
        <v>2600</v>
      </c>
      <c r="B1739" t="s">
        <v>2927</v>
      </c>
      <c r="C1739" t="s">
        <v>2914</v>
      </c>
      <c r="D1739" t="s">
        <v>2637</v>
      </c>
      <c r="E1739" t="s">
        <v>2759</v>
      </c>
      <c r="F1739" t="s">
        <v>1584</v>
      </c>
    </row>
    <row r="1740" spans="1:6" x14ac:dyDescent="0.25">
      <c r="A1740" t="s">
        <v>2600</v>
      </c>
      <c r="B1740" t="s">
        <v>2927</v>
      </c>
      <c r="C1740" t="s">
        <v>2914</v>
      </c>
      <c r="D1740" t="s">
        <v>2637</v>
      </c>
      <c r="E1740" t="s">
        <v>2801</v>
      </c>
      <c r="F1740" t="s">
        <v>2104</v>
      </c>
    </row>
    <row r="1741" spans="1:6" x14ac:dyDescent="0.25">
      <c r="A1741" t="s">
        <v>2600</v>
      </c>
      <c r="B1741" t="s">
        <v>75</v>
      </c>
      <c r="C1741" t="s">
        <v>75</v>
      </c>
      <c r="D1741" t="s">
        <v>2646</v>
      </c>
      <c r="E1741" t="s">
        <v>2802</v>
      </c>
      <c r="F1741" t="s">
        <v>1195</v>
      </c>
    </row>
    <row r="1742" spans="1:6" x14ac:dyDescent="0.25">
      <c r="A1742" t="s">
        <v>2600</v>
      </c>
      <c r="B1742" t="s">
        <v>2921</v>
      </c>
      <c r="C1742" t="s">
        <v>2918</v>
      </c>
      <c r="D1742" t="s">
        <v>2639</v>
      </c>
      <c r="E1742" t="s">
        <v>2757</v>
      </c>
      <c r="F1742" t="s">
        <v>2097</v>
      </c>
    </row>
    <row r="1743" spans="1:6" x14ac:dyDescent="0.25">
      <c r="A1743" t="s">
        <v>2600</v>
      </c>
      <c r="B1743" t="s">
        <v>2921</v>
      </c>
      <c r="C1743" t="s">
        <v>2918</v>
      </c>
      <c r="D1743" t="s">
        <v>2639</v>
      </c>
      <c r="E1743" t="s">
        <v>2761</v>
      </c>
      <c r="F1743" t="s">
        <v>2098</v>
      </c>
    </row>
    <row r="1744" spans="1:6" x14ac:dyDescent="0.25">
      <c r="A1744" t="s">
        <v>2600</v>
      </c>
      <c r="B1744" t="s">
        <v>2921</v>
      </c>
      <c r="C1744" t="s">
        <v>2920</v>
      </c>
      <c r="D1744" t="s">
        <v>2643</v>
      </c>
      <c r="E1744" t="s">
        <v>2774</v>
      </c>
      <c r="F1744" t="s">
        <v>411</v>
      </c>
    </row>
    <row r="1745" spans="1:6" x14ac:dyDescent="0.25">
      <c r="A1745" t="s">
        <v>2600</v>
      </c>
      <c r="B1745" t="s">
        <v>2919</v>
      </c>
      <c r="C1745" t="s">
        <v>2919</v>
      </c>
      <c r="D1745" t="s">
        <v>2648</v>
      </c>
      <c r="E1745" t="s">
        <v>2779</v>
      </c>
      <c r="F1745" t="s">
        <v>2106</v>
      </c>
    </row>
    <row r="1746" spans="1:6" x14ac:dyDescent="0.25">
      <c r="A1746" t="s">
        <v>2600</v>
      </c>
      <c r="B1746" t="s">
        <v>2919</v>
      </c>
      <c r="C1746" t="s">
        <v>2919</v>
      </c>
      <c r="D1746" t="s">
        <v>2663</v>
      </c>
      <c r="E1746" t="s">
        <v>2779</v>
      </c>
      <c r="F1746" t="s">
        <v>2105</v>
      </c>
    </row>
    <row r="1747" spans="1:6" x14ac:dyDescent="0.25">
      <c r="A1747" t="s">
        <v>2600</v>
      </c>
      <c r="B1747" t="s">
        <v>2919</v>
      </c>
      <c r="C1747" t="s">
        <v>2919</v>
      </c>
      <c r="D1747" t="s">
        <v>2650</v>
      </c>
      <c r="E1747" t="s">
        <v>2779</v>
      </c>
      <c r="F1747" t="s">
        <v>1488</v>
      </c>
    </row>
    <row r="1748" spans="1:6" x14ac:dyDescent="0.25">
      <c r="A1748" t="s">
        <v>2600</v>
      </c>
      <c r="B1748" t="s">
        <v>2928</v>
      </c>
      <c r="C1748" t="s">
        <v>2916</v>
      </c>
      <c r="D1748" t="s">
        <v>2642</v>
      </c>
      <c r="E1748" t="s">
        <v>2906</v>
      </c>
      <c r="F1748" t="s">
        <v>2102</v>
      </c>
    </row>
    <row r="1749" spans="1:6" x14ac:dyDescent="0.25">
      <c r="A1749" t="s">
        <v>2600</v>
      </c>
      <c r="B1749" t="s">
        <v>2928</v>
      </c>
      <c r="C1749" t="s">
        <v>2916</v>
      </c>
      <c r="D1749" t="s">
        <v>2638</v>
      </c>
      <c r="E1749" t="s">
        <v>2797</v>
      </c>
      <c r="F1749" t="s">
        <v>1181</v>
      </c>
    </row>
    <row r="1750" spans="1:6" x14ac:dyDescent="0.25">
      <c r="A1750" t="s">
        <v>2603</v>
      </c>
      <c r="B1750" t="s">
        <v>2927</v>
      </c>
      <c r="C1750" t="s">
        <v>2914</v>
      </c>
      <c r="D1750" t="s">
        <v>2637</v>
      </c>
      <c r="E1750" t="s">
        <v>2759</v>
      </c>
      <c r="F1750" t="s">
        <v>1584</v>
      </c>
    </row>
    <row r="1751" spans="1:6" x14ac:dyDescent="0.25">
      <c r="A1751" t="s">
        <v>2603</v>
      </c>
      <c r="B1751" t="s">
        <v>2927</v>
      </c>
      <c r="C1751" t="s">
        <v>2914</v>
      </c>
      <c r="D1751" t="s">
        <v>2637</v>
      </c>
      <c r="E1751" t="s">
        <v>2810</v>
      </c>
      <c r="F1751" t="s">
        <v>2113</v>
      </c>
    </row>
    <row r="1752" spans="1:6" x14ac:dyDescent="0.25">
      <c r="A1752" t="s">
        <v>2603</v>
      </c>
      <c r="B1752" t="s">
        <v>2927</v>
      </c>
      <c r="C1752" t="s">
        <v>2914</v>
      </c>
      <c r="D1752" t="s">
        <v>2637</v>
      </c>
      <c r="E1752" t="s">
        <v>2763</v>
      </c>
      <c r="F1752" t="s">
        <v>2108</v>
      </c>
    </row>
    <row r="1753" spans="1:6" x14ac:dyDescent="0.25">
      <c r="A1753" t="s">
        <v>2603</v>
      </c>
      <c r="B1753" t="s">
        <v>2927</v>
      </c>
      <c r="C1753" t="s">
        <v>2914</v>
      </c>
      <c r="D1753" t="s">
        <v>2637</v>
      </c>
      <c r="E1753" t="s">
        <v>2776</v>
      </c>
      <c r="F1753" t="s">
        <v>2112</v>
      </c>
    </row>
    <row r="1754" spans="1:6" x14ac:dyDescent="0.25">
      <c r="A1754" t="s">
        <v>2603</v>
      </c>
      <c r="B1754" t="s">
        <v>75</v>
      </c>
      <c r="C1754" t="s">
        <v>75</v>
      </c>
      <c r="D1754" t="s">
        <v>2646</v>
      </c>
      <c r="E1754" t="s">
        <v>2760</v>
      </c>
      <c r="F1754" t="s">
        <v>1067</v>
      </c>
    </row>
    <row r="1755" spans="1:6" x14ac:dyDescent="0.25">
      <c r="A1755" t="s">
        <v>2603</v>
      </c>
      <c r="B1755" t="s">
        <v>2921</v>
      </c>
      <c r="C1755" t="s">
        <v>2918</v>
      </c>
      <c r="D1755" t="s">
        <v>2639</v>
      </c>
      <c r="E1755" t="s">
        <v>2763</v>
      </c>
      <c r="F1755" t="s">
        <v>2107</v>
      </c>
    </row>
    <row r="1756" spans="1:6" x14ac:dyDescent="0.25">
      <c r="A1756" t="s">
        <v>2603</v>
      </c>
      <c r="B1756" t="s">
        <v>2919</v>
      </c>
      <c r="C1756" t="s">
        <v>2919</v>
      </c>
      <c r="D1756" t="s">
        <v>2680</v>
      </c>
      <c r="E1756" t="s">
        <v>2797</v>
      </c>
      <c r="F1756" t="s">
        <v>2109</v>
      </c>
    </row>
    <row r="1757" spans="1:6" x14ac:dyDescent="0.25">
      <c r="A1757" t="s">
        <v>2603</v>
      </c>
      <c r="B1757" t="s">
        <v>2919</v>
      </c>
      <c r="C1757" t="s">
        <v>2919</v>
      </c>
      <c r="D1757" t="s">
        <v>2648</v>
      </c>
      <c r="E1757" t="s">
        <v>2752</v>
      </c>
      <c r="F1757" t="s">
        <v>2110</v>
      </c>
    </row>
    <row r="1758" spans="1:6" x14ac:dyDescent="0.25">
      <c r="A1758" t="s">
        <v>2603</v>
      </c>
      <c r="B1758" t="s">
        <v>2928</v>
      </c>
      <c r="C1758" t="s">
        <v>2916</v>
      </c>
      <c r="D1758" t="s">
        <v>2642</v>
      </c>
      <c r="E1758" t="s">
        <v>2780</v>
      </c>
      <c r="F1758" t="s">
        <v>2111</v>
      </c>
    </row>
    <row r="1759" spans="1:6" x14ac:dyDescent="0.25">
      <c r="A1759" t="s">
        <v>2603</v>
      </c>
      <c r="B1759" t="s">
        <v>2928</v>
      </c>
      <c r="C1759" t="s">
        <v>2916</v>
      </c>
      <c r="D1759" t="s">
        <v>2638</v>
      </c>
      <c r="E1759" t="s">
        <v>2797</v>
      </c>
      <c r="F1759" t="s">
        <v>1181</v>
      </c>
    </row>
    <row r="1760" spans="1:6" x14ac:dyDescent="0.25">
      <c r="A1760" t="s">
        <v>2606</v>
      </c>
      <c r="B1760" t="s">
        <v>2927</v>
      </c>
      <c r="C1760" t="s">
        <v>2914</v>
      </c>
      <c r="D1760" t="s">
        <v>2637</v>
      </c>
      <c r="E1760" t="s">
        <v>2753</v>
      </c>
      <c r="F1760" t="s">
        <v>2117</v>
      </c>
    </row>
    <row r="1761" spans="1:6" x14ac:dyDescent="0.25">
      <c r="A1761" t="s">
        <v>2606</v>
      </c>
      <c r="B1761" t="s">
        <v>2927</v>
      </c>
      <c r="C1761" t="s">
        <v>2914</v>
      </c>
      <c r="D1761" t="s">
        <v>2637</v>
      </c>
      <c r="E1761" t="s">
        <v>2776</v>
      </c>
      <c r="F1761" t="s">
        <v>1188</v>
      </c>
    </row>
    <row r="1762" spans="1:6" x14ac:dyDescent="0.25">
      <c r="A1762" t="s">
        <v>2606</v>
      </c>
      <c r="B1762" t="s">
        <v>2927</v>
      </c>
      <c r="C1762" t="s">
        <v>2914</v>
      </c>
      <c r="D1762" t="s">
        <v>2637</v>
      </c>
      <c r="E1762" t="s">
        <v>2771</v>
      </c>
      <c r="F1762" t="s">
        <v>2118</v>
      </c>
    </row>
    <row r="1763" spans="1:6" x14ac:dyDescent="0.25">
      <c r="A1763" t="s">
        <v>2606</v>
      </c>
      <c r="B1763" t="s">
        <v>2921</v>
      </c>
      <c r="C1763" t="s">
        <v>2918</v>
      </c>
      <c r="D1763" t="s">
        <v>2639</v>
      </c>
      <c r="E1763" t="s">
        <v>2794</v>
      </c>
      <c r="F1763" t="s">
        <v>1552</v>
      </c>
    </row>
    <row r="1764" spans="1:6" x14ac:dyDescent="0.25">
      <c r="A1764" t="s">
        <v>2606</v>
      </c>
      <c r="B1764" t="s">
        <v>2921</v>
      </c>
      <c r="C1764" t="s">
        <v>2918</v>
      </c>
      <c r="D1764" t="s">
        <v>2639</v>
      </c>
      <c r="E1764" t="s">
        <v>2753</v>
      </c>
      <c r="F1764" t="s">
        <v>412</v>
      </c>
    </row>
    <row r="1765" spans="1:6" x14ac:dyDescent="0.25">
      <c r="A1765" t="s">
        <v>2606</v>
      </c>
      <c r="B1765" t="s">
        <v>2921</v>
      </c>
      <c r="C1765" t="s">
        <v>27</v>
      </c>
      <c r="D1765" t="s">
        <v>2930</v>
      </c>
      <c r="E1765" t="s">
        <v>2760</v>
      </c>
      <c r="F1765" t="s">
        <v>2014</v>
      </c>
    </row>
    <row r="1766" spans="1:6" x14ac:dyDescent="0.25">
      <c r="A1766" t="s">
        <v>2606</v>
      </c>
      <c r="B1766" t="s">
        <v>2919</v>
      </c>
      <c r="C1766" t="s">
        <v>2919</v>
      </c>
      <c r="D1766" t="s">
        <v>2680</v>
      </c>
      <c r="E1766" t="s">
        <v>2778</v>
      </c>
      <c r="F1766" t="s">
        <v>2116</v>
      </c>
    </row>
    <row r="1767" spans="1:6" x14ac:dyDescent="0.25">
      <c r="A1767" t="s">
        <v>2606</v>
      </c>
      <c r="B1767" t="s">
        <v>2919</v>
      </c>
      <c r="C1767" t="s">
        <v>2919</v>
      </c>
      <c r="D1767" t="s">
        <v>2663</v>
      </c>
      <c r="E1767" t="s">
        <v>2791</v>
      </c>
      <c r="F1767" t="s">
        <v>2119</v>
      </c>
    </row>
    <row r="1768" spans="1:6" x14ac:dyDescent="0.25">
      <c r="A1768" t="s">
        <v>2606</v>
      </c>
      <c r="B1768" t="s">
        <v>2919</v>
      </c>
      <c r="C1768" t="s">
        <v>2919</v>
      </c>
      <c r="D1768" t="s">
        <v>2650</v>
      </c>
      <c r="E1768" t="s">
        <v>2865</v>
      </c>
      <c r="F1768" t="s">
        <v>2114</v>
      </c>
    </row>
    <row r="1769" spans="1:6" x14ac:dyDescent="0.25">
      <c r="A1769" t="s">
        <v>2606</v>
      </c>
      <c r="B1769" t="s">
        <v>2928</v>
      </c>
      <c r="C1769" t="s">
        <v>2916</v>
      </c>
      <c r="D1769" t="s">
        <v>2642</v>
      </c>
      <c r="E1769" t="s">
        <v>2782</v>
      </c>
      <c r="F1769" t="s">
        <v>2115</v>
      </c>
    </row>
    <row r="1770" spans="1:6" x14ac:dyDescent="0.25">
      <c r="A1770" t="s">
        <v>2606</v>
      </c>
      <c r="B1770" t="s">
        <v>2928</v>
      </c>
      <c r="C1770" t="s">
        <v>2916</v>
      </c>
      <c r="D1770" t="s">
        <v>2638</v>
      </c>
      <c r="E1770" t="s">
        <v>2782</v>
      </c>
      <c r="F1770" t="s">
        <v>1508</v>
      </c>
    </row>
    <row r="1771" spans="1:6" x14ac:dyDescent="0.25">
      <c r="A1771" t="s">
        <v>2609</v>
      </c>
      <c r="B1771" t="s">
        <v>2927</v>
      </c>
      <c r="C1771" t="s">
        <v>2914</v>
      </c>
      <c r="D1771" t="s">
        <v>2637</v>
      </c>
      <c r="E1771" t="s">
        <v>2753</v>
      </c>
      <c r="F1771" t="s">
        <v>712</v>
      </c>
    </row>
    <row r="1772" spans="1:6" x14ac:dyDescent="0.25">
      <c r="A1772" t="s">
        <v>2609</v>
      </c>
      <c r="B1772" t="s">
        <v>2927</v>
      </c>
      <c r="C1772" t="s">
        <v>2914</v>
      </c>
      <c r="D1772" t="s">
        <v>2637</v>
      </c>
      <c r="E1772" t="s">
        <v>2812</v>
      </c>
      <c r="F1772" t="s">
        <v>2125</v>
      </c>
    </row>
    <row r="1773" spans="1:6" x14ac:dyDescent="0.25">
      <c r="A1773" t="s">
        <v>2609</v>
      </c>
      <c r="B1773" t="s">
        <v>2927</v>
      </c>
      <c r="C1773" t="s">
        <v>2914</v>
      </c>
      <c r="D1773" t="s">
        <v>2637</v>
      </c>
      <c r="E1773" t="s">
        <v>2793</v>
      </c>
      <c r="F1773" t="s">
        <v>2126</v>
      </c>
    </row>
    <row r="1774" spans="1:6" x14ac:dyDescent="0.25">
      <c r="A1774" t="s">
        <v>2609</v>
      </c>
      <c r="B1774" t="s">
        <v>2927</v>
      </c>
      <c r="C1774" t="s">
        <v>2914</v>
      </c>
      <c r="D1774" t="s">
        <v>2637</v>
      </c>
      <c r="E1774" t="s">
        <v>2793</v>
      </c>
      <c r="F1774" t="s">
        <v>2128</v>
      </c>
    </row>
    <row r="1775" spans="1:6" x14ac:dyDescent="0.25">
      <c r="A1775" t="s">
        <v>2609</v>
      </c>
      <c r="B1775" t="s">
        <v>75</v>
      </c>
      <c r="C1775" t="s">
        <v>75</v>
      </c>
      <c r="D1775" t="s">
        <v>1212</v>
      </c>
      <c r="E1775" t="s">
        <v>2794</v>
      </c>
      <c r="F1775" t="s">
        <v>2124</v>
      </c>
    </row>
    <row r="1776" spans="1:6" x14ac:dyDescent="0.25">
      <c r="A1776" t="s">
        <v>2609</v>
      </c>
      <c r="B1776" t="s">
        <v>2921</v>
      </c>
      <c r="C1776" t="s">
        <v>2918</v>
      </c>
      <c r="D1776" t="s">
        <v>2639</v>
      </c>
      <c r="E1776" t="s">
        <v>2794</v>
      </c>
      <c r="F1776" t="s">
        <v>313</v>
      </c>
    </row>
    <row r="1777" spans="1:6" x14ac:dyDescent="0.25">
      <c r="A1777" t="s">
        <v>2609</v>
      </c>
      <c r="B1777" t="s">
        <v>2921</v>
      </c>
      <c r="C1777" t="s">
        <v>2920</v>
      </c>
      <c r="D1777" t="s">
        <v>2643</v>
      </c>
      <c r="E1777" t="s">
        <v>2788</v>
      </c>
      <c r="F1777" t="s">
        <v>729</v>
      </c>
    </row>
    <row r="1778" spans="1:6" x14ac:dyDescent="0.25">
      <c r="A1778" t="s">
        <v>2609</v>
      </c>
      <c r="B1778" t="s">
        <v>2919</v>
      </c>
      <c r="C1778" t="s">
        <v>2919</v>
      </c>
      <c r="D1778" t="s">
        <v>2653</v>
      </c>
      <c r="E1778" t="s">
        <v>2797</v>
      </c>
      <c r="F1778" t="s">
        <v>2129</v>
      </c>
    </row>
    <row r="1779" spans="1:6" x14ac:dyDescent="0.25">
      <c r="A1779" t="s">
        <v>2609</v>
      </c>
      <c r="B1779" t="s">
        <v>2919</v>
      </c>
      <c r="C1779" t="s">
        <v>2919</v>
      </c>
      <c r="D1779" t="s">
        <v>2653</v>
      </c>
      <c r="E1779" t="s">
        <v>2797</v>
      </c>
      <c r="F1779" t="s">
        <v>2131</v>
      </c>
    </row>
    <row r="1780" spans="1:6" x14ac:dyDescent="0.25">
      <c r="A1780" t="s">
        <v>2609</v>
      </c>
      <c r="B1780" t="s">
        <v>2919</v>
      </c>
      <c r="C1780" t="s">
        <v>2919</v>
      </c>
      <c r="D1780" t="s">
        <v>2648</v>
      </c>
      <c r="E1780" t="s">
        <v>2756</v>
      </c>
      <c r="F1780" t="s">
        <v>1178</v>
      </c>
    </row>
    <row r="1781" spans="1:6" x14ac:dyDescent="0.25">
      <c r="A1781" t="s">
        <v>2609</v>
      </c>
      <c r="B1781" t="s">
        <v>2919</v>
      </c>
      <c r="C1781" t="s">
        <v>2919</v>
      </c>
      <c r="D1781" t="s">
        <v>2654</v>
      </c>
      <c r="E1781" t="s">
        <v>2795</v>
      </c>
      <c r="F1781" t="s">
        <v>1461</v>
      </c>
    </row>
    <row r="1782" spans="1:6" x14ac:dyDescent="0.25">
      <c r="A1782" t="s">
        <v>2609</v>
      </c>
      <c r="B1782" t="s">
        <v>2928</v>
      </c>
      <c r="C1782" t="s">
        <v>2916</v>
      </c>
      <c r="D1782" t="s">
        <v>2638</v>
      </c>
      <c r="E1782" t="s">
        <v>2765</v>
      </c>
      <c r="F1782" t="s">
        <v>927</v>
      </c>
    </row>
    <row r="1783" spans="1:6" x14ac:dyDescent="0.25">
      <c r="A1783" t="s">
        <v>2609</v>
      </c>
      <c r="B1783" t="s">
        <v>2928</v>
      </c>
      <c r="C1783" t="s">
        <v>2922</v>
      </c>
      <c r="D1783" t="s">
        <v>2658</v>
      </c>
      <c r="E1783" t="s">
        <v>2755</v>
      </c>
      <c r="F1783" t="s">
        <v>2120</v>
      </c>
    </row>
    <row r="1784" spans="1:6" x14ac:dyDescent="0.25">
      <c r="A1784" t="s">
        <v>2237</v>
      </c>
      <c r="B1784" t="s">
        <v>2927</v>
      </c>
      <c r="C1784" t="s">
        <v>2914</v>
      </c>
      <c r="D1784" t="s">
        <v>2637</v>
      </c>
      <c r="E1784" t="s">
        <v>2811</v>
      </c>
      <c r="F1784" t="s">
        <v>581</v>
      </c>
    </row>
    <row r="1785" spans="1:6" x14ac:dyDescent="0.25">
      <c r="A1785" t="s">
        <v>2237</v>
      </c>
      <c r="B1785" t="s">
        <v>2927</v>
      </c>
      <c r="C1785" t="s">
        <v>2914</v>
      </c>
      <c r="D1785" t="s">
        <v>2637</v>
      </c>
      <c r="E1785" t="s">
        <v>2763</v>
      </c>
      <c r="F1785" t="s">
        <v>2133</v>
      </c>
    </row>
    <row r="1786" spans="1:6" x14ac:dyDescent="0.25">
      <c r="A1786" t="s">
        <v>2237</v>
      </c>
      <c r="B1786" t="s">
        <v>2927</v>
      </c>
      <c r="C1786" t="s">
        <v>2914</v>
      </c>
      <c r="D1786" t="s">
        <v>2637</v>
      </c>
      <c r="E1786" t="s">
        <v>2776</v>
      </c>
      <c r="F1786" t="s">
        <v>2134</v>
      </c>
    </row>
    <row r="1787" spans="1:6" x14ac:dyDescent="0.25">
      <c r="A1787" t="s">
        <v>2237</v>
      </c>
      <c r="B1787" t="s">
        <v>2927</v>
      </c>
      <c r="C1787" t="s">
        <v>2914</v>
      </c>
      <c r="D1787" t="s">
        <v>2637</v>
      </c>
      <c r="E1787" t="s">
        <v>2793</v>
      </c>
      <c r="F1787" t="s">
        <v>1745</v>
      </c>
    </row>
    <row r="1788" spans="1:6" x14ac:dyDescent="0.25">
      <c r="A1788" t="s">
        <v>2237</v>
      </c>
      <c r="B1788" t="s">
        <v>2921</v>
      </c>
      <c r="C1788" t="s">
        <v>2918</v>
      </c>
      <c r="D1788" t="s">
        <v>2639</v>
      </c>
      <c r="E1788" t="s">
        <v>2770</v>
      </c>
      <c r="F1788" t="s">
        <v>329</v>
      </c>
    </row>
    <row r="1789" spans="1:6" x14ac:dyDescent="0.25">
      <c r="A1789" t="s">
        <v>2237</v>
      </c>
      <c r="B1789" t="s">
        <v>2921</v>
      </c>
      <c r="C1789" t="s">
        <v>2920</v>
      </c>
      <c r="D1789" t="s">
        <v>2643</v>
      </c>
      <c r="E1789" t="s">
        <v>2791</v>
      </c>
      <c r="F1789" t="s">
        <v>719</v>
      </c>
    </row>
    <row r="1790" spans="1:6" x14ac:dyDescent="0.25">
      <c r="A1790" t="s">
        <v>2237</v>
      </c>
      <c r="B1790" t="s">
        <v>2919</v>
      </c>
      <c r="C1790" t="s">
        <v>2919</v>
      </c>
      <c r="D1790" t="s">
        <v>2653</v>
      </c>
      <c r="E1790" t="s">
        <v>2829</v>
      </c>
      <c r="F1790" t="s">
        <v>2135</v>
      </c>
    </row>
    <row r="1791" spans="1:6" x14ac:dyDescent="0.25">
      <c r="A1791" t="s">
        <v>2237</v>
      </c>
      <c r="B1791" t="s">
        <v>2919</v>
      </c>
      <c r="C1791" t="s">
        <v>2919</v>
      </c>
      <c r="D1791" t="s">
        <v>2648</v>
      </c>
      <c r="E1791" t="s">
        <v>2756</v>
      </c>
      <c r="F1791" t="s">
        <v>1178</v>
      </c>
    </row>
    <row r="1792" spans="1:6" x14ac:dyDescent="0.25">
      <c r="A1792" t="s">
        <v>2237</v>
      </c>
      <c r="B1792" t="s">
        <v>2928</v>
      </c>
      <c r="C1792" t="s">
        <v>2916</v>
      </c>
      <c r="D1792" t="s">
        <v>2638</v>
      </c>
      <c r="E1792" t="s">
        <v>2769</v>
      </c>
      <c r="F1792" t="s">
        <v>670</v>
      </c>
    </row>
    <row r="1793" spans="1:1" x14ac:dyDescent="0.25">
      <c r="A1793" t="s">
        <v>2154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540AF-7AA2-41BA-B4EB-A92375DC8730}">
  <dimension ref="A1:C71"/>
  <sheetViews>
    <sheetView zoomScaleNormal="100" workbookViewId="0">
      <selection activeCell="A8" sqref="A8"/>
    </sheetView>
  </sheetViews>
  <sheetFormatPr defaultRowHeight="15" x14ac:dyDescent="0.25"/>
  <cols>
    <col min="1" max="1" width="35.140625" bestFit="1" customWidth="1"/>
    <col min="2" max="2" width="22.140625" bestFit="1" customWidth="1"/>
    <col min="3" max="3" width="16.5703125" bestFit="1" customWidth="1"/>
  </cols>
  <sheetData>
    <row r="1" spans="1:3" s="8" customFormat="1" x14ac:dyDescent="0.25">
      <c r="A1" s="10" t="s">
        <v>2932</v>
      </c>
      <c r="B1" s="11" t="s">
        <v>2931</v>
      </c>
      <c r="C1" s="12" t="s">
        <v>2915</v>
      </c>
    </row>
    <row r="2" spans="1:3" x14ac:dyDescent="0.25">
      <c r="A2" s="13" t="s">
        <v>2638</v>
      </c>
      <c r="B2" s="14" t="s">
        <v>2916</v>
      </c>
      <c r="C2" s="15" t="s">
        <v>2928</v>
      </c>
    </row>
    <row r="3" spans="1:3" x14ac:dyDescent="0.25">
      <c r="A3" s="13" t="s">
        <v>2637</v>
      </c>
      <c r="B3" s="14" t="s">
        <v>2914</v>
      </c>
      <c r="C3" s="15" t="s">
        <v>2927</v>
      </c>
    </row>
    <row r="4" spans="1:3" x14ac:dyDescent="0.25">
      <c r="A4" s="13" t="s">
        <v>2639</v>
      </c>
      <c r="B4" s="14" t="s">
        <v>2918</v>
      </c>
      <c r="C4" s="15" t="s">
        <v>2921</v>
      </c>
    </row>
    <row r="5" spans="1:3" x14ac:dyDescent="0.25">
      <c r="A5" s="13" t="s">
        <v>2640</v>
      </c>
      <c r="B5" s="14" t="s">
        <v>75</v>
      </c>
      <c r="C5" s="15" t="s">
        <v>75</v>
      </c>
    </row>
    <row r="6" spans="1:3" x14ac:dyDescent="0.25">
      <c r="A6" s="13" t="s">
        <v>1206</v>
      </c>
      <c r="B6" s="14" t="s">
        <v>2917</v>
      </c>
      <c r="C6" s="15" t="s">
        <v>2927</v>
      </c>
    </row>
    <row r="7" spans="1:3" x14ac:dyDescent="0.25">
      <c r="A7" s="13" t="s">
        <v>2679</v>
      </c>
      <c r="B7" s="14" t="s">
        <v>2917</v>
      </c>
      <c r="C7" s="15" t="s">
        <v>2927</v>
      </c>
    </row>
    <row r="8" spans="1:3" x14ac:dyDescent="0.25">
      <c r="A8" s="13" t="s">
        <v>2653</v>
      </c>
      <c r="B8" s="14" t="s">
        <v>2919</v>
      </c>
      <c r="C8" s="15" t="s">
        <v>2919</v>
      </c>
    </row>
    <row r="9" spans="1:3" x14ac:dyDescent="0.25">
      <c r="A9" s="13" t="s">
        <v>2643</v>
      </c>
      <c r="B9" s="14" t="s">
        <v>2920</v>
      </c>
      <c r="C9" s="15" t="s">
        <v>2921</v>
      </c>
    </row>
    <row r="10" spans="1:3" x14ac:dyDescent="0.25">
      <c r="A10" s="13" t="s">
        <v>2642</v>
      </c>
      <c r="B10" s="14" t="s">
        <v>2916</v>
      </c>
      <c r="C10" s="15" t="s">
        <v>2928</v>
      </c>
    </row>
    <row r="11" spans="1:3" x14ac:dyDescent="0.25">
      <c r="A11" s="13" t="s">
        <v>2641</v>
      </c>
      <c r="B11" s="14" t="s">
        <v>2916</v>
      </c>
      <c r="C11" s="15" t="s">
        <v>2928</v>
      </c>
    </row>
    <row r="12" spans="1:3" x14ac:dyDescent="0.25">
      <c r="A12" s="13" t="s">
        <v>1212</v>
      </c>
      <c r="B12" s="14" t="s">
        <v>75</v>
      </c>
      <c r="C12" s="15" t="s">
        <v>75</v>
      </c>
    </row>
    <row r="13" spans="1:3" x14ac:dyDescent="0.25">
      <c r="A13" s="13" t="s">
        <v>2644</v>
      </c>
      <c r="B13" s="14" t="s">
        <v>2921</v>
      </c>
      <c r="C13" s="15" t="s">
        <v>2921</v>
      </c>
    </row>
    <row r="14" spans="1:3" x14ac:dyDescent="0.25">
      <c r="A14" s="13" t="s">
        <v>2646</v>
      </c>
      <c r="B14" s="14" t="s">
        <v>75</v>
      </c>
      <c r="C14" s="15" t="s">
        <v>75</v>
      </c>
    </row>
    <row r="15" spans="1:3" x14ac:dyDescent="0.25">
      <c r="A15" s="13" t="s">
        <v>2647</v>
      </c>
      <c r="B15" s="14" t="s">
        <v>75</v>
      </c>
      <c r="C15" s="15" t="s">
        <v>75</v>
      </c>
    </row>
    <row r="16" spans="1:3" x14ac:dyDescent="0.25">
      <c r="A16" s="13" t="s">
        <v>2645</v>
      </c>
      <c r="B16" s="14" t="s">
        <v>2919</v>
      </c>
      <c r="C16" s="15" t="s">
        <v>2919</v>
      </c>
    </row>
    <row r="17" spans="1:3" x14ac:dyDescent="0.25">
      <c r="A17" s="13" t="s">
        <v>191</v>
      </c>
      <c r="B17" s="14" t="s">
        <v>191</v>
      </c>
      <c r="C17" s="15" t="s">
        <v>2921</v>
      </c>
    </row>
    <row r="18" spans="1:3" x14ac:dyDescent="0.25">
      <c r="A18" s="13" t="s">
        <v>2649</v>
      </c>
      <c r="B18" s="14" t="s">
        <v>2919</v>
      </c>
      <c r="C18" s="15" t="s">
        <v>2919</v>
      </c>
    </row>
    <row r="19" spans="1:3" x14ac:dyDescent="0.25">
      <c r="A19" s="13" t="s">
        <v>2930</v>
      </c>
      <c r="B19" s="14" t="s">
        <v>27</v>
      </c>
      <c r="C19" s="15" t="s">
        <v>2921</v>
      </c>
    </row>
    <row r="20" spans="1:3" x14ac:dyDescent="0.25">
      <c r="A20" s="13" t="s">
        <v>2678</v>
      </c>
      <c r="B20" s="14" t="s">
        <v>2917</v>
      </c>
      <c r="C20" s="15" t="s">
        <v>2927</v>
      </c>
    </row>
    <row r="21" spans="1:3" x14ac:dyDescent="0.25">
      <c r="A21" s="13" t="s">
        <v>217</v>
      </c>
      <c r="B21" s="14" t="s">
        <v>2917</v>
      </c>
      <c r="C21" s="15" t="s">
        <v>2927</v>
      </c>
    </row>
    <row r="22" spans="1:3" x14ac:dyDescent="0.25">
      <c r="A22" s="13" t="s">
        <v>2648</v>
      </c>
      <c r="B22" s="14" t="s">
        <v>2919</v>
      </c>
      <c r="C22" s="15" t="s">
        <v>2919</v>
      </c>
    </row>
    <row r="23" spans="1:3" x14ac:dyDescent="0.25">
      <c r="A23" s="13" t="s">
        <v>2659</v>
      </c>
      <c r="B23" s="14" t="s">
        <v>2917</v>
      </c>
      <c r="C23" s="15" t="s">
        <v>2927</v>
      </c>
    </row>
    <row r="24" spans="1:3" x14ac:dyDescent="0.25">
      <c r="A24" s="13" t="s">
        <v>263</v>
      </c>
      <c r="B24" s="14" t="s">
        <v>2918</v>
      </c>
      <c r="C24" s="15" t="s">
        <v>2921</v>
      </c>
    </row>
    <row r="25" spans="1:3" x14ac:dyDescent="0.25">
      <c r="A25" s="13" t="s">
        <v>2650</v>
      </c>
      <c r="B25" s="14" t="s">
        <v>2919</v>
      </c>
      <c r="C25" s="15" t="s">
        <v>2919</v>
      </c>
    </row>
    <row r="26" spans="1:3" x14ac:dyDescent="0.25">
      <c r="A26" s="13" t="s">
        <v>2651</v>
      </c>
      <c r="B26" s="14" t="s">
        <v>2918</v>
      </c>
      <c r="C26" s="15" t="s">
        <v>2921</v>
      </c>
    </row>
    <row r="27" spans="1:3" x14ac:dyDescent="0.25">
      <c r="A27" s="13" t="s">
        <v>2652</v>
      </c>
      <c r="B27" s="14" t="s">
        <v>2918</v>
      </c>
      <c r="C27" s="15" t="s">
        <v>2921</v>
      </c>
    </row>
    <row r="28" spans="1:3" x14ac:dyDescent="0.25">
      <c r="A28" s="13" t="s">
        <v>748</v>
      </c>
      <c r="B28" s="14" t="s">
        <v>2917</v>
      </c>
      <c r="C28" s="15" t="s">
        <v>2927</v>
      </c>
    </row>
    <row r="29" spans="1:3" x14ac:dyDescent="0.25">
      <c r="A29" s="13" t="s">
        <v>2654</v>
      </c>
      <c r="B29" s="14" t="s">
        <v>2919</v>
      </c>
      <c r="C29" s="15" t="s">
        <v>2919</v>
      </c>
    </row>
    <row r="30" spans="1:3" x14ac:dyDescent="0.25">
      <c r="A30" s="13" t="s">
        <v>2658</v>
      </c>
      <c r="B30" s="14" t="s">
        <v>2922</v>
      </c>
      <c r="C30" s="15" t="s">
        <v>2928</v>
      </c>
    </row>
    <row r="31" spans="1:3" x14ac:dyDescent="0.25">
      <c r="A31" s="13" t="s">
        <v>2656</v>
      </c>
      <c r="B31" s="14" t="s">
        <v>2916</v>
      </c>
      <c r="C31" s="15" t="s">
        <v>2928</v>
      </c>
    </row>
    <row r="32" spans="1:3" x14ac:dyDescent="0.25">
      <c r="A32" s="13" t="s">
        <v>2655</v>
      </c>
      <c r="B32" s="14" t="s">
        <v>2923</v>
      </c>
      <c r="C32" s="15" t="s">
        <v>2927</v>
      </c>
    </row>
    <row r="33" spans="1:3" x14ac:dyDescent="0.25">
      <c r="A33" s="13" t="s">
        <v>2687</v>
      </c>
      <c r="B33" s="14" t="s">
        <v>2917</v>
      </c>
      <c r="C33" s="15" t="s">
        <v>2927</v>
      </c>
    </row>
    <row r="34" spans="1:3" x14ac:dyDescent="0.25">
      <c r="A34" s="13" t="s">
        <v>2661</v>
      </c>
      <c r="B34" s="14" t="s">
        <v>2919</v>
      </c>
      <c r="C34" s="15" t="s">
        <v>2919</v>
      </c>
    </row>
    <row r="35" spans="1:3" x14ac:dyDescent="0.25">
      <c r="A35" s="13" t="s">
        <v>2663</v>
      </c>
      <c r="B35" s="14" t="s">
        <v>2919</v>
      </c>
      <c r="C35" s="15" t="s">
        <v>2919</v>
      </c>
    </row>
    <row r="36" spans="1:3" x14ac:dyDescent="0.25">
      <c r="A36" s="13" t="s">
        <v>2664</v>
      </c>
      <c r="B36" s="14" t="s">
        <v>2924</v>
      </c>
      <c r="C36" s="15" t="s">
        <v>2927</v>
      </c>
    </row>
    <row r="37" spans="1:3" x14ac:dyDescent="0.25">
      <c r="A37" s="13" t="s">
        <v>2662</v>
      </c>
      <c r="B37" s="14" t="s">
        <v>2919</v>
      </c>
      <c r="C37" s="15" t="s">
        <v>2919</v>
      </c>
    </row>
    <row r="38" spans="1:3" x14ac:dyDescent="0.25">
      <c r="A38" s="13" t="s">
        <v>2684</v>
      </c>
      <c r="B38" s="14" t="s">
        <v>2917</v>
      </c>
      <c r="C38" s="15" t="s">
        <v>2927</v>
      </c>
    </row>
    <row r="39" spans="1:3" x14ac:dyDescent="0.25">
      <c r="A39" s="13" t="s">
        <v>2660</v>
      </c>
      <c r="B39" s="14" t="s">
        <v>75</v>
      </c>
      <c r="C39" s="15" t="s">
        <v>75</v>
      </c>
    </row>
    <row r="40" spans="1:3" x14ac:dyDescent="0.25">
      <c r="A40" s="13" t="s">
        <v>2665</v>
      </c>
      <c r="B40" s="14" t="s">
        <v>2919</v>
      </c>
      <c r="C40" s="15" t="s">
        <v>2919</v>
      </c>
    </row>
    <row r="41" spans="1:3" x14ac:dyDescent="0.25">
      <c r="A41" s="13" t="s">
        <v>2666</v>
      </c>
      <c r="B41" s="14" t="s">
        <v>2919</v>
      </c>
      <c r="C41" s="15" t="s">
        <v>2919</v>
      </c>
    </row>
    <row r="42" spans="1:3" x14ac:dyDescent="0.25">
      <c r="A42" s="13" t="s">
        <v>630</v>
      </c>
      <c r="B42" s="14" t="s">
        <v>2924</v>
      </c>
      <c r="C42" s="15" t="s">
        <v>2927</v>
      </c>
    </row>
    <row r="43" spans="1:3" x14ac:dyDescent="0.25">
      <c r="A43" s="13" t="s">
        <v>2688</v>
      </c>
      <c r="B43" s="14" t="s">
        <v>2918</v>
      </c>
      <c r="C43" s="15" t="s">
        <v>2921</v>
      </c>
    </row>
    <row r="44" spans="1:3" x14ac:dyDescent="0.25">
      <c r="A44" s="13" t="s">
        <v>2667</v>
      </c>
      <c r="B44" s="14" t="s">
        <v>2920</v>
      </c>
      <c r="C44" s="15" t="s">
        <v>2921</v>
      </c>
    </row>
    <row r="45" spans="1:3" x14ac:dyDescent="0.25">
      <c r="A45" s="13" t="s">
        <v>2676</v>
      </c>
      <c r="B45" s="14" t="s">
        <v>2919</v>
      </c>
      <c r="C45" s="15" t="s">
        <v>2919</v>
      </c>
    </row>
    <row r="46" spans="1:3" x14ac:dyDescent="0.25">
      <c r="A46" s="13" t="s">
        <v>188</v>
      </c>
      <c r="B46" s="14" t="s">
        <v>188</v>
      </c>
      <c r="C46" s="15" t="s">
        <v>2919</v>
      </c>
    </row>
    <row r="47" spans="1:3" x14ac:dyDescent="0.25">
      <c r="A47" s="13" t="s">
        <v>2668</v>
      </c>
      <c r="B47" s="14" t="s">
        <v>2922</v>
      </c>
      <c r="C47" s="15" t="s">
        <v>2928</v>
      </c>
    </row>
    <row r="48" spans="1:3" x14ac:dyDescent="0.25">
      <c r="A48" s="13" t="s">
        <v>2669</v>
      </c>
      <c r="B48" s="14" t="s">
        <v>2918</v>
      </c>
      <c r="C48" s="15" t="s">
        <v>2921</v>
      </c>
    </row>
    <row r="49" spans="1:3" x14ac:dyDescent="0.25">
      <c r="A49" s="13" t="s">
        <v>2670</v>
      </c>
      <c r="B49" s="14" t="s">
        <v>2921</v>
      </c>
      <c r="C49" s="15" t="s">
        <v>2921</v>
      </c>
    </row>
    <row r="50" spans="1:3" x14ac:dyDescent="0.25">
      <c r="A50" s="13" t="s">
        <v>750</v>
      </c>
      <c r="B50" s="14" t="s">
        <v>2924</v>
      </c>
      <c r="C50" s="15" t="s">
        <v>2927</v>
      </c>
    </row>
    <row r="51" spans="1:3" x14ac:dyDescent="0.25">
      <c r="A51" s="13" t="s">
        <v>2671</v>
      </c>
      <c r="B51" s="14" t="s">
        <v>2919</v>
      </c>
      <c r="C51" s="15" t="s">
        <v>2919</v>
      </c>
    </row>
    <row r="52" spans="1:3" x14ac:dyDescent="0.25">
      <c r="A52" s="13" t="s">
        <v>807</v>
      </c>
      <c r="B52" s="14" t="s">
        <v>2924</v>
      </c>
      <c r="C52" s="15" t="s">
        <v>2927</v>
      </c>
    </row>
    <row r="53" spans="1:3" x14ac:dyDescent="0.25">
      <c r="A53" s="13" t="s">
        <v>2672</v>
      </c>
      <c r="B53" s="14" t="s">
        <v>2921</v>
      </c>
      <c r="C53" s="15" t="s">
        <v>2921</v>
      </c>
    </row>
    <row r="54" spans="1:3" x14ac:dyDescent="0.25">
      <c r="A54" s="13" t="s">
        <v>2673</v>
      </c>
      <c r="B54" s="14" t="s">
        <v>2919</v>
      </c>
      <c r="C54" s="15" t="s">
        <v>2919</v>
      </c>
    </row>
    <row r="55" spans="1:3" x14ac:dyDescent="0.25">
      <c r="A55" s="13" t="s">
        <v>2674</v>
      </c>
      <c r="B55" s="14" t="s">
        <v>2921</v>
      </c>
      <c r="C55" s="15" t="s">
        <v>2921</v>
      </c>
    </row>
    <row r="56" spans="1:3" x14ac:dyDescent="0.25">
      <c r="A56" s="13" t="s">
        <v>2689</v>
      </c>
      <c r="B56" s="14" t="s">
        <v>2919</v>
      </c>
      <c r="C56" s="15" t="s">
        <v>2919</v>
      </c>
    </row>
    <row r="57" spans="1:3" x14ac:dyDescent="0.25">
      <c r="A57" s="13" t="s">
        <v>2675</v>
      </c>
      <c r="B57" s="14" t="s">
        <v>2922</v>
      </c>
      <c r="C57" s="15" t="s">
        <v>2928</v>
      </c>
    </row>
    <row r="58" spans="1:3" x14ac:dyDescent="0.25">
      <c r="A58" s="13" t="s">
        <v>1084</v>
      </c>
      <c r="B58" s="14" t="s">
        <v>2924</v>
      </c>
      <c r="C58" s="15" t="s">
        <v>2927</v>
      </c>
    </row>
    <row r="59" spans="1:3" x14ac:dyDescent="0.25">
      <c r="A59" s="13" t="s">
        <v>490</v>
      </c>
      <c r="B59" s="14" t="s">
        <v>2917</v>
      </c>
      <c r="C59" s="15" t="s">
        <v>2927</v>
      </c>
    </row>
    <row r="60" spans="1:3" x14ac:dyDescent="0.25">
      <c r="A60" s="13" t="s">
        <v>2677</v>
      </c>
      <c r="B60" s="14" t="s">
        <v>2677</v>
      </c>
      <c r="C60" s="15" t="s">
        <v>2921</v>
      </c>
    </row>
    <row r="61" spans="1:3" x14ac:dyDescent="0.25">
      <c r="A61" s="13" t="s">
        <v>2138</v>
      </c>
      <c r="B61" s="14" t="s">
        <v>191</v>
      </c>
      <c r="C61" s="15" t="s">
        <v>2921</v>
      </c>
    </row>
    <row r="62" spans="1:3" x14ac:dyDescent="0.25">
      <c r="A62" s="13" t="s">
        <v>2680</v>
      </c>
      <c r="B62" s="14" t="s">
        <v>2919</v>
      </c>
      <c r="C62" s="15" t="s">
        <v>2919</v>
      </c>
    </row>
    <row r="63" spans="1:3" x14ac:dyDescent="0.25">
      <c r="A63" s="13" t="s">
        <v>2681</v>
      </c>
      <c r="B63" s="14" t="s">
        <v>2919</v>
      </c>
      <c r="C63" s="15" t="s">
        <v>2919</v>
      </c>
    </row>
    <row r="64" spans="1:3" x14ac:dyDescent="0.25">
      <c r="A64" s="13" t="s">
        <v>2682</v>
      </c>
      <c r="B64" s="14" t="s">
        <v>2918</v>
      </c>
      <c r="C64" s="15" t="s">
        <v>2921</v>
      </c>
    </row>
    <row r="65" spans="1:3" x14ac:dyDescent="0.25">
      <c r="A65" s="13" t="s">
        <v>325</v>
      </c>
      <c r="B65" s="14" t="s">
        <v>2917</v>
      </c>
      <c r="C65" s="15" t="s">
        <v>2927</v>
      </c>
    </row>
    <row r="66" spans="1:3" x14ac:dyDescent="0.25">
      <c r="A66" s="13" t="s">
        <v>2683</v>
      </c>
      <c r="B66" s="14" t="s">
        <v>2919</v>
      </c>
      <c r="C66" s="15" t="s">
        <v>2919</v>
      </c>
    </row>
    <row r="67" spans="1:3" x14ac:dyDescent="0.25">
      <c r="A67" s="13" t="s">
        <v>2685</v>
      </c>
      <c r="B67" s="14" t="s">
        <v>2918</v>
      </c>
      <c r="C67" s="15" t="s">
        <v>2921</v>
      </c>
    </row>
    <row r="68" spans="1:3" x14ac:dyDescent="0.25">
      <c r="A68" s="13" t="s">
        <v>1908</v>
      </c>
      <c r="B68" s="14" t="s">
        <v>2924</v>
      </c>
      <c r="C68" s="15" t="s">
        <v>2927</v>
      </c>
    </row>
    <row r="69" spans="1:3" x14ac:dyDescent="0.25">
      <c r="A69" s="13" t="s">
        <v>2686</v>
      </c>
      <c r="B69" s="14" t="s">
        <v>2923</v>
      </c>
      <c r="C69" s="15" t="s">
        <v>2927</v>
      </c>
    </row>
    <row r="70" spans="1:3" x14ac:dyDescent="0.25">
      <c r="A70" t="s">
        <v>2933</v>
      </c>
      <c r="B70" s="14" t="s">
        <v>2917</v>
      </c>
      <c r="C70" s="15" t="s">
        <v>2927</v>
      </c>
    </row>
    <row r="71" spans="1:3" x14ac:dyDescent="0.25">
      <c r="A71" s="16" t="s">
        <v>2690</v>
      </c>
      <c r="B71" s="17" t="s">
        <v>2919</v>
      </c>
      <c r="C71" s="18" t="s">
        <v>2919</v>
      </c>
    </row>
  </sheetData>
  <pageMargins left="0.7" right="0.7" top="0.75" bottom="0.75" header="0.3" footer="0.3"/>
</worksheet>
</file>

<file path=docMetadata/LabelInfo.xml><?xml version="1.0" encoding="utf-8"?>
<clbl:labelList xmlns:clbl="http://schemas.microsoft.com/office/2020/mipLabelMetadata">
  <clbl:label id="{5f5fe31f-9de1-4167-a753-111c0df8115f}" enabled="1" method="Standard" siteId="{cc4baf00-15c9-48dd-9f59-88c98bde2be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vt:lpstr>
      <vt:lpstr>Sheet11</vt:lpstr>
      <vt:lpstr>Pivot</vt:lpstr>
      <vt:lpstr>Mapping DEF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GAUDIANO PAOLO</cp:lastModifiedBy>
  <dcterms:created xsi:type="dcterms:W3CDTF">2026-02-25T09:41:00Z</dcterms:created>
  <dcterms:modified xsi:type="dcterms:W3CDTF">2026-02-27T11:04:58Z</dcterms:modified>
</cp:coreProperties>
</file>